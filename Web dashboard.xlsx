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34719\Desktop\"/>
    </mc:Choice>
  </mc:AlternateContent>
  <xr:revisionPtr revIDLastSave="0" documentId="13_ncr:1_{0DEDC865-E27C-4E7A-B7F5-06BB9D3D3DC9}" xr6:coauthVersionLast="47" xr6:coauthVersionMax="47" xr10:uidLastSave="{00000000-0000-0000-0000-000000000000}"/>
  <bookViews>
    <workbookView xWindow="0" yWindow="360" windowWidth="20640" windowHeight="11040" tabRatio="820" firstSheet="1" activeTab="1" xr2:uid="{2F31949C-96B3-47B4-A116-B617DE4D8F64}"/>
  </bookViews>
  <sheets>
    <sheet name="Read" sheetId="11" r:id="rId1"/>
    <sheet name="Dashboard" sheetId="10" r:id="rId2"/>
    <sheet name="Raw Data" sheetId="1" r:id="rId3"/>
    <sheet name="PickerMonthlyReport" sheetId="3" r:id="rId4"/>
    <sheet name="Storekeeper Monthly Report " sheetId="6" r:id="rId5"/>
    <sheet name="Tour Analysis" sheetId="7" r:id="rId6"/>
    <sheet name="Daily Analysis" sheetId="8" r:id="rId7"/>
    <sheet name="Article Analysis" sheetId="9" r:id="rId8"/>
    <sheet name="Sheet1" sheetId="12" state="hidden" r:id="rId9"/>
    <sheet name="Sheet2" sheetId="5" state="hidden" r:id="rId10"/>
  </sheets>
  <definedNames>
    <definedName name="ChartDates">_xlfn.ANCHORARRAY(Dashboard!$N$11)</definedName>
    <definedName name="ChartErrors">_xlfn.ANCHORARRAY(Dashboard!$O$11)</definedName>
    <definedName name="MonthList">_xlfn._xlws.SORT(_xlfn.UNIQUE('Raw Data'!$I$2:$I$10005))</definedName>
    <definedName name="TourChartX">_xlfn.ANCHORARRAY(Dashboard!#REF!)</definedName>
    <definedName name="TourChartY">_xlfn.ANCHORARRAY(Dashboard!#REF!)</definedName>
    <definedName name="Tourcharty7">Dashboard!$U$15:$U$16</definedName>
    <definedName name="z">Dashboard!#REF!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0" l="1" a="1"/>
  <c r="F7" i="10" s="1"/>
  <c r="E7" i="10" a="1"/>
  <c r="E7" i="10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K106" i="1" s="1"/>
  <c r="I105" i="1"/>
  <c r="J105" i="1" s="1"/>
  <c r="I104" i="1"/>
  <c r="J104" i="1" s="1"/>
  <c r="I103" i="1"/>
  <c r="J103" i="1" s="1"/>
  <c r="I102" i="1"/>
  <c r="J102" i="1" s="1"/>
  <c r="I2" i="1"/>
  <c r="I3" i="1"/>
  <c r="J3" i="1" s="1"/>
  <c r="K3" i="1" s="1"/>
  <c r="I4" i="1"/>
  <c r="J4" i="1" s="1"/>
  <c r="K4" i="1" s="1"/>
  <c r="I5" i="1"/>
  <c r="J5" i="1" s="1"/>
  <c r="L5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I10" i="1"/>
  <c r="J10" i="1" s="1"/>
  <c r="I11" i="1"/>
  <c r="J11" i="1" s="1"/>
  <c r="I12" i="1"/>
  <c r="J12" i="1" s="1"/>
  <c r="I13" i="1"/>
  <c r="J13" i="1" s="1"/>
  <c r="I14" i="1"/>
  <c r="J14" i="1" s="1"/>
  <c r="K14" i="1" s="1"/>
  <c r="I15" i="1"/>
  <c r="J15" i="1" s="1"/>
  <c r="K15" i="1" s="1"/>
  <c r="I16" i="1"/>
  <c r="J16" i="1" s="1"/>
  <c r="I17" i="1"/>
  <c r="J17" i="1" s="1"/>
  <c r="K17" i="1" s="1"/>
  <c r="I18" i="1"/>
  <c r="J18" i="1" s="1"/>
  <c r="K18" i="1" s="1"/>
  <c r="I19" i="1"/>
  <c r="J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I25" i="1"/>
  <c r="J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I33" i="1"/>
  <c r="J33" i="1" s="1"/>
  <c r="K33" i="1" s="1"/>
  <c r="I34" i="1"/>
  <c r="J34" i="1" s="1"/>
  <c r="I35" i="1"/>
  <c r="J35" i="1" s="1"/>
  <c r="I36" i="1"/>
  <c r="J36" i="1" s="1"/>
  <c r="I37" i="1"/>
  <c r="J37" i="1" s="1"/>
  <c r="K37" i="1" s="1"/>
  <c r="I38" i="1"/>
  <c r="J38" i="1" s="1"/>
  <c r="I39" i="1"/>
  <c r="J39" i="1" s="1"/>
  <c r="K39" i="1" s="1"/>
  <c r="I40" i="1"/>
  <c r="J40" i="1" s="1"/>
  <c r="I41" i="1"/>
  <c r="J41" i="1" s="1"/>
  <c r="I42" i="1"/>
  <c r="J42" i="1" s="1"/>
  <c r="I43" i="1"/>
  <c r="J43" i="1" s="1"/>
  <c r="K43" i="1" s="1"/>
  <c r="I44" i="1"/>
  <c r="J44" i="1" s="1"/>
  <c r="I45" i="1"/>
  <c r="J45" i="1" s="1"/>
  <c r="K45" i="1" s="1"/>
  <c r="I46" i="1"/>
  <c r="J46" i="1" s="1"/>
  <c r="I47" i="1"/>
  <c r="J47" i="1" s="1"/>
  <c r="K47" i="1" s="1"/>
  <c r="I48" i="1"/>
  <c r="J48" i="1" s="1"/>
  <c r="L48" i="1" s="1"/>
  <c r="I49" i="1"/>
  <c r="J49" i="1" s="1"/>
  <c r="K49" i="1" s="1"/>
  <c r="I50" i="1"/>
  <c r="J50" i="1" s="1"/>
  <c r="I51" i="1"/>
  <c r="J51" i="1" s="1"/>
  <c r="I52" i="1"/>
  <c r="J52" i="1" s="1"/>
  <c r="I53" i="1"/>
  <c r="J53" i="1" s="1"/>
  <c r="K53" i="1" s="1"/>
  <c r="I54" i="1"/>
  <c r="J54" i="1" s="1"/>
  <c r="K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K60" i="1" s="1"/>
  <c r="I61" i="1"/>
  <c r="J61" i="1" s="1"/>
  <c r="I62" i="1"/>
  <c r="J62" i="1" s="1"/>
  <c r="I63" i="1"/>
  <c r="J63" i="1" s="1"/>
  <c r="I64" i="1"/>
  <c r="J64" i="1" s="1"/>
  <c r="K64" i="1" s="1"/>
  <c r="I65" i="1"/>
  <c r="I66" i="1"/>
  <c r="J66" i="1" s="1"/>
  <c r="K66" i="1" s="1"/>
  <c r="I67" i="1"/>
  <c r="J67" i="1" s="1"/>
  <c r="K67" i="1" s="1"/>
  <c r="I68" i="1"/>
  <c r="J68" i="1" s="1"/>
  <c r="I69" i="1"/>
  <c r="J69" i="1" s="1"/>
  <c r="I70" i="1"/>
  <c r="J70" i="1" s="1"/>
  <c r="I71" i="1"/>
  <c r="J71" i="1" s="1"/>
  <c r="K71" i="1" s="1"/>
  <c r="I72" i="1"/>
  <c r="J72" i="1" s="1"/>
  <c r="I73" i="1"/>
  <c r="J73" i="1" s="1"/>
  <c r="K73" i="1" s="1"/>
  <c r="I74" i="1"/>
  <c r="J74" i="1" s="1"/>
  <c r="I75" i="1"/>
  <c r="J75" i="1" s="1"/>
  <c r="K75" i="1" s="1"/>
  <c r="I76" i="1"/>
  <c r="J76" i="1" s="1"/>
  <c r="K76" i="1" s="1"/>
  <c r="I77" i="1"/>
  <c r="J77" i="1" s="1"/>
  <c r="K77" i="1" s="1"/>
  <c r="I78" i="1"/>
  <c r="J78" i="1" s="1"/>
  <c r="K78" i="1" s="1"/>
  <c r="I79" i="1"/>
  <c r="J79" i="1" s="1"/>
  <c r="I80" i="1"/>
  <c r="J80" i="1" s="1"/>
  <c r="I81" i="1"/>
  <c r="J81" i="1" s="1"/>
  <c r="K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K89" i="1" s="1"/>
  <c r="I90" i="1"/>
  <c r="J90" i="1" s="1"/>
  <c r="K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K99" i="1" s="1"/>
  <c r="I100" i="1"/>
  <c r="J100" i="1" s="1"/>
  <c r="I101" i="1"/>
  <c r="J101" i="1" s="1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C67" i="9"/>
  <c r="D67" i="9"/>
  <c r="E67" i="9"/>
  <c r="F67" i="9"/>
  <c r="C68" i="9"/>
  <c r="D68" i="9"/>
  <c r="E68" i="9"/>
  <c r="F68" i="9"/>
  <c r="C69" i="9"/>
  <c r="D69" i="9"/>
  <c r="E69" i="9"/>
  <c r="F69" i="9"/>
  <c r="C70" i="9"/>
  <c r="D70" i="9"/>
  <c r="E70" i="9"/>
  <c r="F70" i="9"/>
  <c r="C71" i="9"/>
  <c r="D71" i="9"/>
  <c r="E71" i="9"/>
  <c r="F71" i="9"/>
  <c r="C72" i="9"/>
  <c r="D72" i="9"/>
  <c r="E72" i="9"/>
  <c r="F72" i="9"/>
  <c r="C73" i="9"/>
  <c r="D73" i="9"/>
  <c r="E73" i="9"/>
  <c r="F73" i="9"/>
  <c r="C74" i="9"/>
  <c r="D74" i="9"/>
  <c r="E74" i="9"/>
  <c r="F74" i="9"/>
  <c r="C75" i="9"/>
  <c r="D75" i="9"/>
  <c r="E75" i="9"/>
  <c r="F75" i="9"/>
  <c r="C76" i="9"/>
  <c r="D76" i="9"/>
  <c r="E76" i="9"/>
  <c r="F76" i="9"/>
  <c r="C77" i="9"/>
  <c r="D77" i="9"/>
  <c r="E77" i="9"/>
  <c r="F77" i="9"/>
  <c r="C78" i="9"/>
  <c r="D78" i="9"/>
  <c r="E78" i="9"/>
  <c r="F78" i="9"/>
  <c r="C79" i="9"/>
  <c r="D79" i="9"/>
  <c r="E79" i="9"/>
  <c r="F79" i="9"/>
  <c r="C80" i="9"/>
  <c r="D80" i="9"/>
  <c r="E80" i="9"/>
  <c r="F80" i="9"/>
  <c r="C81" i="9"/>
  <c r="D81" i="9"/>
  <c r="E81" i="9"/>
  <c r="F81" i="9"/>
  <c r="C82" i="9"/>
  <c r="D82" i="9"/>
  <c r="E82" i="9"/>
  <c r="F82" i="9"/>
  <c r="C83" i="9"/>
  <c r="D83" i="9"/>
  <c r="E83" i="9"/>
  <c r="F83" i="9"/>
  <c r="C84" i="9"/>
  <c r="D84" i="9"/>
  <c r="E84" i="9"/>
  <c r="F84" i="9"/>
  <c r="C85" i="9"/>
  <c r="D85" i="9"/>
  <c r="E85" i="9"/>
  <c r="F85" i="9"/>
  <c r="C86" i="9"/>
  <c r="D86" i="9"/>
  <c r="E86" i="9"/>
  <c r="F86" i="9"/>
  <c r="C87" i="9"/>
  <c r="D87" i="9"/>
  <c r="E87" i="9"/>
  <c r="F87" i="9"/>
  <c r="C88" i="9"/>
  <c r="D88" i="9"/>
  <c r="E88" i="9"/>
  <c r="F88" i="9"/>
  <c r="C89" i="9"/>
  <c r="D89" i="9"/>
  <c r="E89" i="9"/>
  <c r="F89" i="9"/>
  <c r="C90" i="9"/>
  <c r="D90" i="9"/>
  <c r="E90" i="9"/>
  <c r="F90" i="9"/>
  <c r="C91" i="9"/>
  <c r="D91" i="9"/>
  <c r="E91" i="9"/>
  <c r="F91" i="9"/>
  <c r="C92" i="9"/>
  <c r="D92" i="9"/>
  <c r="E92" i="9"/>
  <c r="F92" i="9"/>
  <c r="C93" i="9"/>
  <c r="D93" i="9"/>
  <c r="E93" i="9"/>
  <c r="F93" i="9"/>
  <c r="C94" i="9"/>
  <c r="D94" i="9"/>
  <c r="E94" i="9"/>
  <c r="F94" i="9"/>
  <c r="C95" i="9"/>
  <c r="D95" i="9"/>
  <c r="E95" i="9"/>
  <c r="F95" i="9"/>
  <c r="C96" i="9"/>
  <c r="D96" i="9"/>
  <c r="E96" i="9"/>
  <c r="F96" i="9"/>
  <c r="C97" i="9"/>
  <c r="D97" i="9"/>
  <c r="E97" i="9"/>
  <c r="F97" i="9"/>
  <c r="C98" i="9"/>
  <c r="D98" i="9"/>
  <c r="E98" i="9"/>
  <c r="F98" i="9"/>
  <c r="C99" i="9"/>
  <c r="D99" i="9"/>
  <c r="E99" i="9"/>
  <c r="F99" i="9"/>
  <c r="C100" i="9"/>
  <c r="D100" i="9"/>
  <c r="E100" i="9"/>
  <c r="F100" i="9"/>
  <c r="C101" i="9"/>
  <c r="D101" i="9"/>
  <c r="E101" i="9"/>
  <c r="F101" i="9"/>
  <c r="C102" i="9"/>
  <c r="D102" i="9"/>
  <c r="E102" i="9"/>
  <c r="F102" i="9"/>
  <c r="C103" i="9"/>
  <c r="D103" i="9"/>
  <c r="E103" i="9"/>
  <c r="F103" i="9"/>
  <c r="C104" i="9"/>
  <c r="D104" i="9"/>
  <c r="E104" i="9"/>
  <c r="F104" i="9"/>
  <c r="C105" i="9"/>
  <c r="D105" i="9"/>
  <c r="E105" i="9"/>
  <c r="F105" i="9"/>
  <c r="C106" i="9"/>
  <c r="D106" i="9"/>
  <c r="E106" i="9"/>
  <c r="F106" i="9"/>
  <c r="C107" i="9"/>
  <c r="D107" i="9"/>
  <c r="E107" i="9"/>
  <c r="F107" i="9"/>
  <c r="C108" i="9"/>
  <c r="D108" i="9"/>
  <c r="E108" i="9"/>
  <c r="F108" i="9"/>
  <c r="C109" i="9"/>
  <c r="D109" i="9"/>
  <c r="E109" i="9"/>
  <c r="F109" i="9"/>
  <c r="C110" i="9"/>
  <c r="D110" i="9"/>
  <c r="E110" i="9"/>
  <c r="F110" i="9"/>
  <c r="C111" i="9"/>
  <c r="D111" i="9"/>
  <c r="E111" i="9"/>
  <c r="F111" i="9"/>
  <c r="C112" i="9"/>
  <c r="D112" i="9"/>
  <c r="E112" i="9"/>
  <c r="F112" i="9"/>
  <c r="C113" i="9"/>
  <c r="D113" i="9"/>
  <c r="E113" i="9"/>
  <c r="F113" i="9"/>
  <c r="C114" i="9"/>
  <c r="D114" i="9"/>
  <c r="E114" i="9"/>
  <c r="F114" i="9"/>
  <c r="C115" i="9"/>
  <c r="D115" i="9"/>
  <c r="E115" i="9"/>
  <c r="F115" i="9"/>
  <c r="C116" i="9"/>
  <c r="D116" i="9"/>
  <c r="E116" i="9"/>
  <c r="F116" i="9"/>
  <c r="C117" i="9"/>
  <c r="D117" i="9"/>
  <c r="E117" i="9"/>
  <c r="F117" i="9"/>
  <c r="C118" i="9"/>
  <c r="D118" i="9"/>
  <c r="E118" i="9"/>
  <c r="F118" i="9"/>
  <c r="C119" i="9"/>
  <c r="D119" i="9"/>
  <c r="E119" i="9"/>
  <c r="F119" i="9"/>
  <c r="C120" i="9"/>
  <c r="D120" i="9"/>
  <c r="E120" i="9"/>
  <c r="F120" i="9"/>
  <c r="C121" i="9"/>
  <c r="D121" i="9"/>
  <c r="E121" i="9"/>
  <c r="F121" i="9"/>
  <c r="C122" i="9"/>
  <c r="D122" i="9"/>
  <c r="E122" i="9"/>
  <c r="F122" i="9"/>
  <c r="C123" i="9"/>
  <c r="D123" i="9"/>
  <c r="E123" i="9"/>
  <c r="F123" i="9"/>
  <c r="C124" i="9"/>
  <c r="D124" i="9"/>
  <c r="E124" i="9"/>
  <c r="F124" i="9"/>
  <c r="C125" i="9"/>
  <c r="D125" i="9"/>
  <c r="E125" i="9"/>
  <c r="F125" i="9"/>
  <c r="C126" i="9"/>
  <c r="D126" i="9"/>
  <c r="E126" i="9"/>
  <c r="F126" i="9"/>
  <c r="C127" i="9"/>
  <c r="D127" i="9"/>
  <c r="E127" i="9"/>
  <c r="F127" i="9"/>
  <c r="C128" i="9"/>
  <c r="D128" i="9"/>
  <c r="E128" i="9"/>
  <c r="F128" i="9"/>
  <c r="C129" i="9"/>
  <c r="D129" i="9"/>
  <c r="E129" i="9"/>
  <c r="F129" i="9"/>
  <c r="C130" i="9"/>
  <c r="D130" i="9"/>
  <c r="E130" i="9"/>
  <c r="F130" i="9"/>
  <c r="C131" i="9"/>
  <c r="D131" i="9"/>
  <c r="E131" i="9"/>
  <c r="F131" i="9"/>
  <c r="C132" i="9"/>
  <c r="D132" i="9"/>
  <c r="E132" i="9"/>
  <c r="F132" i="9"/>
  <c r="C133" i="9"/>
  <c r="D133" i="9"/>
  <c r="E133" i="9"/>
  <c r="F133" i="9"/>
  <c r="C134" i="9"/>
  <c r="D134" i="9"/>
  <c r="E134" i="9"/>
  <c r="F134" i="9"/>
  <c r="C135" i="9"/>
  <c r="D135" i="9"/>
  <c r="E135" i="9"/>
  <c r="F135" i="9"/>
  <c r="C136" i="9"/>
  <c r="D136" i="9"/>
  <c r="E136" i="9"/>
  <c r="F136" i="9"/>
  <c r="C137" i="9"/>
  <c r="D137" i="9"/>
  <c r="E137" i="9"/>
  <c r="F137" i="9"/>
  <c r="C138" i="9"/>
  <c r="D138" i="9"/>
  <c r="E138" i="9"/>
  <c r="F138" i="9"/>
  <c r="C139" i="9"/>
  <c r="D139" i="9"/>
  <c r="E139" i="9"/>
  <c r="F139" i="9"/>
  <c r="C140" i="9"/>
  <c r="D140" i="9"/>
  <c r="E140" i="9"/>
  <c r="F140" i="9"/>
  <c r="C141" i="9"/>
  <c r="D141" i="9"/>
  <c r="E141" i="9"/>
  <c r="F141" i="9"/>
  <c r="C142" i="9"/>
  <c r="D142" i="9"/>
  <c r="E142" i="9"/>
  <c r="F142" i="9"/>
  <c r="C143" i="9"/>
  <c r="D143" i="9"/>
  <c r="E143" i="9"/>
  <c r="F143" i="9"/>
  <c r="C144" i="9"/>
  <c r="D144" i="9"/>
  <c r="E144" i="9"/>
  <c r="F144" i="9"/>
  <c r="C145" i="9"/>
  <c r="D145" i="9"/>
  <c r="E145" i="9"/>
  <c r="F145" i="9"/>
  <c r="C146" i="9"/>
  <c r="D146" i="9"/>
  <c r="E146" i="9"/>
  <c r="F146" i="9"/>
  <c r="C147" i="9"/>
  <c r="D147" i="9"/>
  <c r="E147" i="9"/>
  <c r="F147" i="9"/>
  <c r="C148" i="9"/>
  <c r="D148" i="9"/>
  <c r="E148" i="9"/>
  <c r="F148" i="9"/>
  <c r="C149" i="9"/>
  <c r="D149" i="9"/>
  <c r="E149" i="9"/>
  <c r="F149" i="9"/>
  <c r="C150" i="9"/>
  <c r="D150" i="9"/>
  <c r="E150" i="9"/>
  <c r="F150" i="9"/>
  <c r="C151" i="9"/>
  <c r="D151" i="9"/>
  <c r="E151" i="9"/>
  <c r="F151" i="9"/>
  <c r="C152" i="9"/>
  <c r="D152" i="9"/>
  <c r="E152" i="9"/>
  <c r="F152" i="9"/>
  <c r="C153" i="9"/>
  <c r="D153" i="9"/>
  <c r="E153" i="9"/>
  <c r="F153" i="9"/>
  <c r="C154" i="9"/>
  <c r="D154" i="9"/>
  <c r="E154" i="9"/>
  <c r="F154" i="9"/>
  <c r="C155" i="9"/>
  <c r="D155" i="9"/>
  <c r="E155" i="9"/>
  <c r="F155" i="9"/>
  <c r="C156" i="9"/>
  <c r="D156" i="9"/>
  <c r="E156" i="9"/>
  <c r="F156" i="9"/>
  <c r="C157" i="9"/>
  <c r="D157" i="9"/>
  <c r="E157" i="9"/>
  <c r="F157" i="9"/>
  <c r="C158" i="9"/>
  <c r="D158" i="9"/>
  <c r="E158" i="9"/>
  <c r="F158" i="9"/>
  <c r="C159" i="9"/>
  <c r="D159" i="9"/>
  <c r="E159" i="9"/>
  <c r="F159" i="9"/>
  <c r="C160" i="9"/>
  <c r="D160" i="9"/>
  <c r="E160" i="9"/>
  <c r="F160" i="9"/>
  <c r="C161" i="9"/>
  <c r="D161" i="9"/>
  <c r="E161" i="9"/>
  <c r="F161" i="9"/>
  <c r="C162" i="9"/>
  <c r="D162" i="9"/>
  <c r="E162" i="9"/>
  <c r="F162" i="9"/>
  <c r="C163" i="9"/>
  <c r="D163" i="9"/>
  <c r="E163" i="9"/>
  <c r="F163" i="9"/>
  <c r="C164" i="9"/>
  <c r="D164" i="9"/>
  <c r="E164" i="9"/>
  <c r="F164" i="9"/>
  <c r="C165" i="9"/>
  <c r="D165" i="9"/>
  <c r="E165" i="9"/>
  <c r="F165" i="9"/>
  <c r="C166" i="9"/>
  <c r="D166" i="9"/>
  <c r="E166" i="9"/>
  <c r="F166" i="9"/>
  <c r="C167" i="9"/>
  <c r="D167" i="9"/>
  <c r="E167" i="9"/>
  <c r="F167" i="9"/>
  <c r="C168" i="9"/>
  <c r="D168" i="9"/>
  <c r="E168" i="9"/>
  <c r="F168" i="9"/>
  <c r="C169" i="9"/>
  <c r="D169" i="9"/>
  <c r="E169" i="9"/>
  <c r="F169" i="9"/>
  <c r="C170" i="9"/>
  <c r="D170" i="9"/>
  <c r="E170" i="9"/>
  <c r="F170" i="9"/>
  <c r="C171" i="9"/>
  <c r="D171" i="9"/>
  <c r="E171" i="9"/>
  <c r="F171" i="9"/>
  <c r="C172" i="9"/>
  <c r="D172" i="9"/>
  <c r="E172" i="9"/>
  <c r="F172" i="9"/>
  <c r="C173" i="9"/>
  <c r="D173" i="9"/>
  <c r="E173" i="9"/>
  <c r="F173" i="9"/>
  <c r="C174" i="9"/>
  <c r="D174" i="9"/>
  <c r="E174" i="9"/>
  <c r="F174" i="9"/>
  <c r="C175" i="9"/>
  <c r="D175" i="9"/>
  <c r="E175" i="9"/>
  <c r="F175" i="9"/>
  <c r="C176" i="9"/>
  <c r="D176" i="9"/>
  <c r="E176" i="9"/>
  <c r="F176" i="9"/>
  <c r="C177" i="9"/>
  <c r="D177" i="9"/>
  <c r="E177" i="9"/>
  <c r="F177" i="9"/>
  <c r="C178" i="9"/>
  <c r="D178" i="9"/>
  <c r="E178" i="9"/>
  <c r="F178" i="9"/>
  <c r="C179" i="9"/>
  <c r="D179" i="9"/>
  <c r="E179" i="9"/>
  <c r="F179" i="9"/>
  <c r="C180" i="9"/>
  <c r="D180" i="9"/>
  <c r="E180" i="9"/>
  <c r="F180" i="9"/>
  <c r="C181" i="9"/>
  <c r="D181" i="9"/>
  <c r="E181" i="9"/>
  <c r="F181" i="9"/>
  <c r="C182" i="9"/>
  <c r="D182" i="9"/>
  <c r="E182" i="9"/>
  <c r="F182" i="9"/>
  <c r="C183" i="9"/>
  <c r="D183" i="9"/>
  <c r="E183" i="9"/>
  <c r="F183" i="9"/>
  <c r="C184" i="9"/>
  <c r="D184" i="9"/>
  <c r="E184" i="9"/>
  <c r="F184" i="9"/>
  <c r="C185" i="9"/>
  <c r="D185" i="9"/>
  <c r="E185" i="9"/>
  <c r="F185" i="9"/>
  <c r="C186" i="9"/>
  <c r="D186" i="9"/>
  <c r="E186" i="9"/>
  <c r="F186" i="9"/>
  <c r="C187" i="9"/>
  <c r="D187" i="9"/>
  <c r="E187" i="9"/>
  <c r="F187" i="9"/>
  <c r="C188" i="9"/>
  <c r="D188" i="9"/>
  <c r="E188" i="9"/>
  <c r="F188" i="9"/>
  <c r="C189" i="9"/>
  <c r="D189" i="9"/>
  <c r="E189" i="9"/>
  <c r="F189" i="9"/>
  <c r="C190" i="9"/>
  <c r="D190" i="9"/>
  <c r="E190" i="9"/>
  <c r="F190" i="9"/>
  <c r="C191" i="9"/>
  <c r="D191" i="9"/>
  <c r="E191" i="9"/>
  <c r="F191" i="9"/>
  <c r="C192" i="9"/>
  <c r="D192" i="9"/>
  <c r="E192" i="9"/>
  <c r="F192" i="9"/>
  <c r="C193" i="9"/>
  <c r="D193" i="9"/>
  <c r="E193" i="9"/>
  <c r="F193" i="9"/>
  <c r="C194" i="9"/>
  <c r="D194" i="9"/>
  <c r="E194" i="9"/>
  <c r="F194" i="9"/>
  <c r="C195" i="9"/>
  <c r="D195" i="9"/>
  <c r="E195" i="9"/>
  <c r="F195" i="9"/>
  <c r="C196" i="9"/>
  <c r="D196" i="9"/>
  <c r="E196" i="9"/>
  <c r="F196" i="9"/>
  <c r="C197" i="9"/>
  <c r="D197" i="9"/>
  <c r="E197" i="9"/>
  <c r="F197" i="9"/>
  <c r="C198" i="9"/>
  <c r="D198" i="9"/>
  <c r="E198" i="9"/>
  <c r="F198" i="9"/>
  <c r="C199" i="9"/>
  <c r="D199" i="9"/>
  <c r="E199" i="9"/>
  <c r="F199" i="9"/>
  <c r="C200" i="9"/>
  <c r="D200" i="9"/>
  <c r="E200" i="9"/>
  <c r="F200" i="9"/>
  <c r="C201" i="9"/>
  <c r="D201" i="9"/>
  <c r="E201" i="9"/>
  <c r="F201" i="9"/>
  <c r="C202" i="9"/>
  <c r="D202" i="9"/>
  <c r="E202" i="9"/>
  <c r="F202" i="9"/>
  <c r="C203" i="9"/>
  <c r="D203" i="9"/>
  <c r="E203" i="9"/>
  <c r="F203" i="9"/>
  <c r="C204" i="9"/>
  <c r="D204" i="9"/>
  <c r="E204" i="9"/>
  <c r="F204" i="9"/>
  <c r="C205" i="9"/>
  <c r="D205" i="9"/>
  <c r="E205" i="9"/>
  <c r="F205" i="9"/>
  <c r="C206" i="9"/>
  <c r="D206" i="9"/>
  <c r="E206" i="9"/>
  <c r="F206" i="9"/>
  <c r="C207" i="9"/>
  <c r="D207" i="9"/>
  <c r="E207" i="9"/>
  <c r="F207" i="9"/>
  <c r="C208" i="9"/>
  <c r="D208" i="9"/>
  <c r="E208" i="9"/>
  <c r="F208" i="9"/>
  <c r="C209" i="9"/>
  <c r="D209" i="9"/>
  <c r="E209" i="9"/>
  <c r="F209" i="9"/>
  <c r="C210" i="9"/>
  <c r="D210" i="9"/>
  <c r="E210" i="9"/>
  <c r="F210" i="9"/>
  <c r="C211" i="9"/>
  <c r="D211" i="9"/>
  <c r="E211" i="9"/>
  <c r="F211" i="9"/>
  <c r="C212" i="9"/>
  <c r="D212" i="9"/>
  <c r="E212" i="9"/>
  <c r="F212" i="9"/>
  <c r="C213" i="9"/>
  <c r="D213" i="9"/>
  <c r="E213" i="9"/>
  <c r="F213" i="9"/>
  <c r="C214" i="9"/>
  <c r="D214" i="9"/>
  <c r="E214" i="9"/>
  <c r="F214" i="9"/>
  <c r="C215" i="9"/>
  <c r="D215" i="9"/>
  <c r="E215" i="9"/>
  <c r="F215" i="9"/>
  <c r="C216" i="9"/>
  <c r="D216" i="9"/>
  <c r="E216" i="9"/>
  <c r="F216" i="9"/>
  <c r="C217" i="9"/>
  <c r="D217" i="9"/>
  <c r="E217" i="9"/>
  <c r="F217" i="9"/>
  <c r="C218" i="9"/>
  <c r="D218" i="9"/>
  <c r="E218" i="9"/>
  <c r="F218" i="9"/>
  <c r="C219" i="9"/>
  <c r="D219" i="9"/>
  <c r="E219" i="9"/>
  <c r="F219" i="9"/>
  <c r="C220" i="9"/>
  <c r="D220" i="9"/>
  <c r="E220" i="9"/>
  <c r="F220" i="9"/>
  <c r="C221" i="9"/>
  <c r="D221" i="9"/>
  <c r="E221" i="9"/>
  <c r="F221" i="9"/>
  <c r="C222" i="9"/>
  <c r="D222" i="9"/>
  <c r="E222" i="9"/>
  <c r="F222" i="9"/>
  <c r="C223" i="9"/>
  <c r="D223" i="9"/>
  <c r="E223" i="9"/>
  <c r="F223" i="9"/>
  <c r="C224" i="9"/>
  <c r="D224" i="9"/>
  <c r="E224" i="9"/>
  <c r="F224" i="9"/>
  <c r="C225" i="9"/>
  <c r="D225" i="9"/>
  <c r="E225" i="9"/>
  <c r="F225" i="9"/>
  <c r="C226" i="9"/>
  <c r="D226" i="9"/>
  <c r="E226" i="9"/>
  <c r="F226" i="9"/>
  <c r="C227" i="9"/>
  <c r="D227" i="9"/>
  <c r="E227" i="9"/>
  <c r="F227" i="9"/>
  <c r="C228" i="9"/>
  <c r="D228" i="9"/>
  <c r="E228" i="9"/>
  <c r="F228" i="9"/>
  <c r="C229" i="9"/>
  <c r="D229" i="9"/>
  <c r="E229" i="9"/>
  <c r="F229" i="9"/>
  <c r="C230" i="9"/>
  <c r="D230" i="9"/>
  <c r="E230" i="9"/>
  <c r="F230" i="9"/>
  <c r="C231" i="9"/>
  <c r="D231" i="9"/>
  <c r="E231" i="9"/>
  <c r="F231" i="9"/>
  <c r="C232" i="9"/>
  <c r="D232" i="9"/>
  <c r="E232" i="9"/>
  <c r="F232" i="9"/>
  <c r="C233" i="9"/>
  <c r="D233" i="9"/>
  <c r="E233" i="9"/>
  <c r="F233" i="9"/>
  <c r="C234" i="9"/>
  <c r="D234" i="9"/>
  <c r="E234" i="9"/>
  <c r="F234" i="9"/>
  <c r="C235" i="9"/>
  <c r="D235" i="9"/>
  <c r="E235" i="9"/>
  <c r="F235" i="9"/>
  <c r="C236" i="9"/>
  <c r="D236" i="9"/>
  <c r="E236" i="9"/>
  <c r="F236" i="9"/>
  <c r="C237" i="9"/>
  <c r="D237" i="9"/>
  <c r="E237" i="9"/>
  <c r="F237" i="9"/>
  <c r="C238" i="9"/>
  <c r="D238" i="9"/>
  <c r="E238" i="9"/>
  <c r="F238" i="9"/>
  <c r="C239" i="9"/>
  <c r="D239" i="9"/>
  <c r="E239" i="9"/>
  <c r="F239" i="9"/>
  <c r="C240" i="9"/>
  <c r="D240" i="9"/>
  <c r="E240" i="9"/>
  <c r="F240" i="9"/>
  <c r="C241" i="9"/>
  <c r="D241" i="9"/>
  <c r="E241" i="9"/>
  <c r="F241" i="9"/>
  <c r="C242" i="9"/>
  <c r="D242" i="9"/>
  <c r="E242" i="9"/>
  <c r="F242" i="9"/>
  <c r="C243" i="9"/>
  <c r="D243" i="9"/>
  <c r="E243" i="9"/>
  <c r="F243" i="9"/>
  <c r="C244" i="9"/>
  <c r="D244" i="9"/>
  <c r="E244" i="9"/>
  <c r="F244" i="9"/>
  <c r="C245" i="9"/>
  <c r="D245" i="9"/>
  <c r="E245" i="9"/>
  <c r="F245" i="9"/>
  <c r="C246" i="9"/>
  <c r="D246" i="9"/>
  <c r="E246" i="9"/>
  <c r="F246" i="9"/>
  <c r="C247" i="9"/>
  <c r="D247" i="9"/>
  <c r="E247" i="9"/>
  <c r="F247" i="9"/>
  <c r="C248" i="9"/>
  <c r="D248" i="9"/>
  <c r="E248" i="9"/>
  <c r="F248" i="9"/>
  <c r="C249" i="9"/>
  <c r="D249" i="9"/>
  <c r="E249" i="9"/>
  <c r="F249" i="9"/>
  <c r="C250" i="9"/>
  <c r="D250" i="9"/>
  <c r="E250" i="9"/>
  <c r="F250" i="9"/>
  <c r="C251" i="9"/>
  <c r="D251" i="9"/>
  <c r="E251" i="9"/>
  <c r="F251" i="9"/>
  <c r="C252" i="9"/>
  <c r="D252" i="9"/>
  <c r="E252" i="9"/>
  <c r="F252" i="9"/>
  <c r="C253" i="9"/>
  <c r="D253" i="9"/>
  <c r="E253" i="9"/>
  <c r="F253" i="9"/>
  <c r="C254" i="9"/>
  <c r="D254" i="9"/>
  <c r="E254" i="9"/>
  <c r="F254" i="9"/>
  <c r="C255" i="9"/>
  <c r="D255" i="9"/>
  <c r="E255" i="9"/>
  <c r="F255" i="9"/>
  <c r="C256" i="9"/>
  <c r="D256" i="9"/>
  <c r="E256" i="9"/>
  <c r="F256" i="9"/>
  <c r="C257" i="9"/>
  <c r="D257" i="9"/>
  <c r="E257" i="9"/>
  <c r="F257" i="9"/>
  <c r="C258" i="9"/>
  <c r="D258" i="9"/>
  <c r="E258" i="9"/>
  <c r="F258" i="9"/>
  <c r="C259" i="9"/>
  <c r="D259" i="9"/>
  <c r="E259" i="9"/>
  <c r="F259" i="9"/>
  <c r="C260" i="9"/>
  <c r="D260" i="9"/>
  <c r="E260" i="9"/>
  <c r="F260" i="9"/>
  <c r="C261" i="9"/>
  <c r="D261" i="9"/>
  <c r="E261" i="9"/>
  <c r="F261" i="9"/>
  <c r="C262" i="9"/>
  <c r="D262" i="9"/>
  <c r="E262" i="9"/>
  <c r="F262" i="9"/>
  <c r="C263" i="9"/>
  <c r="D263" i="9"/>
  <c r="E263" i="9"/>
  <c r="F263" i="9"/>
  <c r="C264" i="9"/>
  <c r="D264" i="9"/>
  <c r="E264" i="9"/>
  <c r="F264" i="9"/>
  <c r="C265" i="9"/>
  <c r="D265" i="9"/>
  <c r="E265" i="9"/>
  <c r="F265" i="9"/>
  <c r="C266" i="9"/>
  <c r="D266" i="9"/>
  <c r="E266" i="9"/>
  <c r="F266" i="9"/>
  <c r="C267" i="9"/>
  <c r="D267" i="9"/>
  <c r="E267" i="9"/>
  <c r="F267" i="9"/>
  <c r="C268" i="9"/>
  <c r="D268" i="9"/>
  <c r="E268" i="9"/>
  <c r="F268" i="9"/>
  <c r="C269" i="9"/>
  <c r="D269" i="9"/>
  <c r="E269" i="9"/>
  <c r="F269" i="9"/>
  <c r="C270" i="9"/>
  <c r="D270" i="9"/>
  <c r="E270" i="9"/>
  <c r="F270" i="9"/>
  <c r="C271" i="9"/>
  <c r="D271" i="9"/>
  <c r="E271" i="9"/>
  <c r="F271" i="9"/>
  <c r="C272" i="9"/>
  <c r="D272" i="9"/>
  <c r="E272" i="9"/>
  <c r="F272" i="9"/>
  <c r="C273" i="9"/>
  <c r="D273" i="9"/>
  <c r="E273" i="9"/>
  <c r="F273" i="9"/>
  <c r="C274" i="9"/>
  <c r="D274" i="9"/>
  <c r="E274" i="9"/>
  <c r="F274" i="9"/>
  <c r="C275" i="9"/>
  <c r="D275" i="9"/>
  <c r="E275" i="9"/>
  <c r="F275" i="9"/>
  <c r="C276" i="9"/>
  <c r="D276" i="9"/>
  <c r="E276" i="9"/>
  <c r="F276" i="9"/>
  <c r="C277" i="9"/>
  <c r="D277" i="9"/>
  <c r="E277" i="9"/>
  <c r="F277" i="9"/>
  <c r="C278" i="9"/>
  <c r="D278" i="9"/>
  <c r="E278" i="9"/>
  <c r="F278" i="9"/>
  <c r="C279" i="9"/>
  <c r="D279" i="9"/>
  <c r="E279" i="9"/>
  <c r="F279" i="9"/>
  <c r="C280" i="9"/>
  <c r="D280" i="9"/>
  <c r="E280" i="9"/>
  <c r="F280" i="9"/>
  <c r="C281" i="9"/>
  <c r="D281" i="9"/>
  <c r="E281" i="9"/>
  <c r="F281" i="9"/>
  <c r="C282" i="9"/>
  <c r="D282" i="9"/>
  <c r="E282" i="9"/>
  <c r="F282" i="9"/>
  <c r="C283" i="9"/>
  <c r="D283" i="9"/>
  <c r="E283" i="9"/>
  <c r="F283" i="9"/>
  <c r="C284" i="9"/>
  <c r="D284" i="9"/>
  <c r="E284" i="9"/>
  <c r="F284" i="9"/>
  <c r="C285" i="9"/>
  <c r="D285" i="9"/>
  <c r="E285" i="9"/>
  <c r="F285" i="9"/>
  <c r="C286" i="9"/>
  <c r="D286" i="9"/>
  <c r="E286" i="9"/>
  <c r="F286" i="9"/>
  <c r="C287" i="9"/>
  <c r="D287" i="9"/>
  <c r="E287" i="9"/>
  <c r="F287" i="9"/>
  <c r="C288" i="9"/>
  <c r="D288" i="9"/>
  <c r="E288" i="9"/>
  <c r="F288" i="9"/>
  <c r="C289" i="9"/>
  <c r="D289" i="9"/>
  <c r="E289" i="9"/>
  <c r="F289" i="9"/>
  <c r="C290" i="9"/>
  <c r="D290" i="9"/>
  <c r="E290" i="9"/>
  <c r="F290" i="9"/>
  <c r="C291" i="9"/>
  <c r="D291" i="9"/>
  <c r="E291" i="9"/>
  <c r="F291" i="9"/>
  <c r="C292" i="9"/>
  <c r="D292" i="9"/>
  <c r="E292" i="9"/>
  <c r="F292" i="9"/>
  <c r="C293" i="9"/>
  <c r="D293" i="9"/>
  <c r="E293" i="9"/>
  <c r="F293" i="9"/>
  <c r="C294" i="9"/>
  <c r="D294" i="9"/>
  <c r="E294" i="9"/>
  <c r="F294" i="9"/>
  <c r="C295" i="9"/>
  <c r="D295" i="9"/>
  <c r="E295" i="9"/>
  <c r="F295" i="9"/>
  <c r="C296" i="9"/>
  <c r="D296" i="9"/>
  <c r="E296" i="9"/>
  <c r="F296" i="9"/>
  <c r="C297" i="9"/>
  <c r="D297" i="9"/>
  <c r="E297" i="9"/>
  <c r="F297" i="9"/>
  <c r="C298" i="9"/>
  <c r="D298" i="9"/>
  <c r="E298" i="9"/>
  <c r="F298" i="9"/>
  <c r="C299" i="9"/>
  <c r="D299" i="9"/>
  <c r="E299" i="9"/>
  <c r="F299" i="9"/>
  <c r="C300" i="9"/>
  <c r="D300" i="9"/>
  <c r="E300" i="9"/>
  <c r="F300" i="9"/>
  <c r="C301" i="9"/>
  <c r="D301" i="9"/>
  <c r="E301" i="9"/>
  <c r="F301" i="9"/>
  <c r="C302" i="9"/>
  <c r="D302" i="9"/>
  <c r="E302" i="9"/>
  <c r="F302" i="9"/>
  <c r="C303" i="9"/>
  <c r="D303" i="9"/>
  <c r="E303" i="9"/>
  <c r="F303" i="9"/>
  <c r="C304" i="9"/>
  <c r="D304" i="9"/>
  <c r="E304" i="9"/>
  <c r="F304" i="9"/>
  <c r="C305" i="9"/>
  <c r="D305" i="9"/>
  <c r="E305" i="9"/>
  <c r="F305" i="9"/>
  <c r="C306" i="9"/>
  <c r="D306" i="9"/>
  <c r="E306" i="9"/>
  <c r="F306" i="9"/>
  <c r="C307" i="9"/>
  <c r="D307" i="9"/>
  <c r="E307" i="9"/>
  <c r="F307" i="9"/>
  <c r="C308" i="9"/>
  <c r="D308" i="9"/>
  <c r="E308" i="9"/>
  <c r="F308" i="9"/>
  <c r="C309" i="9"/>
  <c r="D309" i="9"/>
  <c r="E309" i="9"/>
  <c r="F309" i="9"/>
  <c r="C310" i="9"/>
  <c r="D310" i="9"/>
  <c r="E310" i="9"/>
  <c r="F310" i="9"/>
  <c r="C311" i="9"/>
  <c r="D311" i="9"/>
  <c r="E311" i="9"/>
  <c r="F311" i="9"/>
  <c r="C312" i="9"/>
  <c r="D312" i="9"/>
  <c r="E312" i="9"/>
  <c r="F312" i="9"/>
  <c r="C313" i="9"/>
  <c r="D313" i="9"/>
  <c r="E313" i="9"/>
  <c r="F313" i="9"/>
  <c r="C314" i="9"/>
  <c r="D314" i="9"/>
  <c r="E314" i="9"/>
  <c r="F314" i="9"/>
  <c r="C315" i="9"/>
  <c r="D315" i="9"/>
  <c r="E315" i="9"/>
  <c r="F315" i="9"/>
  <c r="C316" i="9"/>
  <c r="D316" i="9"/>
  <c r="E316" i="9"/>
  <c r="F316" i="9"/>
  <c r="C317" i="9"/>
  <c r="D317" i="9"/>
  <c r="E317" i="9"/>
  <c r="F317" i="9"/>
  <c r="C318" i="9"/>
  <c r="D318" i="9"/>
  <c r="E318" i="9"/>
  <c r="F318" i="9"/>
  <c r="C319" i="9"/>
  <c r="D319" i="9"/>
  <c r="E319" i="9"/>
  <c r="F319" i="9"/>
  <c r="C320" i="9"/>
  <c r="D320" i="9"/>
  <c r="E320" i="9"/>
  <c r="F320" i="9"/>
  <c r="C321" i="9"/>
  <c r="D321" i="9"/>
  <c r="E321" i="9"/>
  <c r="F321" i="9"/>
  <c r="C322" i="9"/>
  <c r="D322" i="9"/>
  <c r="E322" i="9"/>
  <c r="F322" i="9"/>
  <c r="C323" i="9"/>
  <c r="D323" i="9"/>
  <c r="E323" i="9"/>
  <c r="F323" i="9"/>
  <c r="C324" i="9"/>
  <c r="D324" i="9"/>
  <c r="E324" i="9"/>
  <c r="F324" i="9"/>
  <c r="C325" i="9"/>
  <c r="D325" i="9"/>
  <c r="E325" i="9"/>
  <c r="F325" i="9"/>
  <c r="C326" i="9"/>
  <c r="D326" i="9"/>
  <c r="E326" i="9"/>
  <c r="F326" i="9"/>
  <c r="C327" i="9"/>
  <c r="D327" i="9"/>
  <c r="E327" i="9"/>
  <c r="F327" i="9"/>
  <c r="C328" i="9"/>
  <c r="D328" i="9"/>
  <c r="E328" i="9"/>
  <c r="F328" i="9"/>
  <c r="C329" i="9"/>
  <c r="D329" i="9"/>
  <c r="E329" i="9"/>
  <c r="F329" i="9"/>
  <c r="C330" i="9"/>
  <c r="D330" i="9"/>
  <c r="E330" i="9"/>
  <c r="F330" i="9"/>
  <c r="C331" i="9"/>
  <c r="D331" i="9"/>
  <c r="E331" i="9"/>
  <c r="F331" i="9"/>
  <c r="C332" i="9"/>
  <c r="D332" i="9"/>
  <c r="E332" i="9"/>
  <c r="F332" i="9"/>
  <c r="C333" i="9"/>
  <c r="D333" i="9"/>
  <c r="E333" i="9"/>
  <c r="F333" i="9"/>
  <c r="C334" i="9"/>
  <c r="D334" i="9"/>
  <c r="E334" i="9"/>
  <c r="F334" i="9"/>
  <c r="C335" i="9"/>
  <c r="D335" i="9"/>
  <c r="E335" i="9"/>
  <c r="F335" i="9"/>
  <c r="C336" i="9"/>
  <c r="D336" i="9"/>
  <c r="E336" i="9"/>
  <c r="F336" i="9"/>
  <c r="C337" i="9"/>
  <c r="D337" i="9"/>
  <c r="E337" i="9"/>
  <c r="F337" i="9"/>
  <c r="C338" i="9"/>
  <c r="D338" i="9"/>
  <c r="E338" i="9"/>
  <c r="F338" i="9"/>
  <c r="C339" i="9"/>
  <c r="D339" i="9"/>
  <c r="E339" i="9"/>
  <c r="F339" i="9"/>
  <c r="C340" i="9"/>
  <c r="D340" i="9"/>
  <c r="E340" i="9"/>
  <c r="F340" i="9"/>
  <c r="C341" i="9"/>
  <c r="D341" i="9"/>
  <c r="E341" i="9"/>
  <c r="F341" i="9"/>
  <c r="C342" i="9"/>
  <c r="D342" i="9"/>
  <c r="E342" i="9"/>
  <c r="F342" i="9"/>
  <c r="C343" i="9"/>
  <c r="D343" i="9"/>
  <c r="E343" i="9"/>
  <c r="F343" i="9"/>
  <c r="C344" i="9"/>
  <c r="D344" i="9"/>
  <c r="E344" i="9"/>
  <c r="F344" i="9"/>
  <c r="C345" i="9"/>
  <c r="D345" i="9"/>
  <c r="E345" i="9"/>
  <c r="F345" i="9"/>
  <c r="C346" i="9"/>
  <c r="D346" i="9"/>
  <c r="E346" i="9"/>
  <c r="F346" i="9"/>
  <c r="C347" i="9"/>
  <c r="D347" i="9"/>
  <c r="E347" i="9"/>
  <c r="F347" i="9"/>
  <c r="C348" i="9"/>
  <c r="D348" i="9"/>
  <c r="E348" i="9"/>
  <c r="F348" i="9"/>
  <c r="C349" i="9"/>
  <c r="D349" i="9"/>
  <c r="E349" i="9"/>
  <c r="F349" i="9"/>
  <c r="C350" i="9"/>
  <c r="D350" i="9"/>
  <c r="E350" i="9"/>
  <c r="F350" i="9"/>
  <c r="C351" i="9"/>
  <c r="D351" i="9"/>
  <c r="E351" i="9"/>
  <c r="F351" i="9"/>
  <c r="C352" i="9"/>
  <c r="D352" i="9"/>
  <c r="E352" i="9"/>
  <c r="F352" i="9"/>
  <c r="C353" i="9"/>
  <c r="D353" i="9"/>
  <c r="E353" i="9"/>
  <c r="F353" i="9"/>
  <c r="C354" i="9"/>
  <c r="D354" i="9"/>
  <c r="E354" i="9"/>
  <c r="F354" i="9"/>
  <c r="C355" i="9"/>
  <c r="D355" i="9"/>
  <c r="E355" i="9"/>
  <c r="F355" i="9"/>
  <c r="C356" i="9"/>
  <c r="D356" i="9"/>
  <c r="E356" i="9"/>
  <c r="F356" i="9"/>
  <c r="C357" i="9"/>
  <c r="D357" i="9"/>
  <c r="E357" i="9"/>
  <c r="F357" i="9"/>
  <c r="C358" i="9"/>
  <c r="D358" i="9"/>
  <c r="E358" i="9"/>
  <c r="F358" i="9"/>
  <c r="C359" i="9"/>
  <c r="D359" i="9"/>
  <c r="E359" i="9"/>
  <c r="F359" i="9"/>
  <c r="C360" i="9"/>
  <c r="D360" i="9"/>
  <c r="E360" i="9"/>
  <c r="F360" i="9"/>
  <c r="C361" i="9"/>
  <c r="D361" i="9"/>
  <c r="E361" i="9"/>
  <c r="F361" i="9"/>
  <c r="C362" i="9"/>
  <c r="D362" i="9"/>
  <c r="E362" i="9"/>
  <c r="F362" i="9"/>
  <c r="C363" i="9"/>
  <c r="D363" i="9"/>
  <c r="E363" i="9"/>
  <c r="F363" i="9"/>
  <c r="C364" i="9"/>
  <c r="D364" i="9"/>
  <c r="E364" i="9"/>
  <c r="F364" i="9"/>
  <c r="C365" i="9"/>
  <c r="D365" i="9"/>
  <c r="E365" i="9"/>
  <c r="F365" i="9"/>
  <c r="C366" i="9"/>
  <c r="D366" i="9"/>
  <c r="E366" i="9"/>
  <c r="F366" i="9"/>
  <c r="C367" i="9"/>
  <c r="D367" i="9"/>
  <c r="E367" i="9"/>
  <c r="F367" i="9"/>
  <c r="C368" i="9"/>
  <c r="D368" i="9"/>
  <c r="E368" i="9"/>
  <c r="F368" i="9"/>
  <c r="C369" i="9"/>
  <c r="D369" i="9"/>
  <c r="E369" i="9"/>
  <c r="F369" i="9"/>
  <c r="C370" i="9"/>
  <c r="D370" i="9"/>
  <c r="E370" i="9"/>
  <c r="F370" i="9"/>
  <c r="C371" i="9"/>
  <c r="D371" i="9"/>
  <c r="E371" i="9"/>
  <c r="F371" i="9"/>
  <c r="C372" i="9"/>
  <c r="D372" i="9"/>
  <c r="E372" i="9"/>
  <c r="F372" i="9"/>
  <c r="C373" i="9"/>
  <c r="D373" i="9"/>
  <c r="E373" i="9"/>
  <c r="F373" i="9"/>
  <c r="C374" i="9"/>
  <c r="D374" i="9"/>
  <c r="E374" i="9"/>
  <c r="F374" i="9"/>
  <c r="C375" i="9"/>
  <c r="D375" i="9"/>
  <c r="E375" i="9"/>
  <c r="F375" i="9"/>
  <c r="C376" i="9"/>
  <c r="D376" i="9"/>
  <c r="E376" i="9"/>
  <c r="F376" i="9"/>
  <c r="C377" i="9"/>
  <c r="D377" i="9"/>
  <c r="E377" i="9"/>
  <c r="F377" i="9"/>
  <c r="C378" i="9"/>
  <c r="D378" i="9"/>
  <c r="E378" i="9"/>
  <c r="F378" i="9"/>
  <c r="C379" i="9"/>
  <c r="D379" i="9"/>
  <c r="E379" i="9"/>
  <c r="F379" i="9"/>
  <c r="C380" i="9"/>
  <c r="D380" i="9"/>
  <c r="E380" i="9"/>
  <c r="F380" i="9"/>
  <c r="C381" i="9"/>
  <c r="D381" i="9"/>
  <c r="E381" i="9"/>
  <c r="F381" i="9"/>
  <c r="C382" i="9"/>
  <c r="D382" i="9"/>
  <c r="E382" i="9"/>
  <c r="F382" i="9"/>
  <c r="C383" i="9"/>
  <c r="D383" i="9"/>
  <c r="E383" i="9"/>
  <c r="F383" i="9"/>
  <c r="C384" i="9"/>
  <c r="D384" i="9"/>
  <c r="E384" i="9"/>
  <c r="F384" i="9"/>
  <c r="C385" i="9"/>
  <c r="D385" i="9"/>
  <c r="E385" i="9"/>
  <c r="F385" i="9"/>
  <c r="C386" i="9"/>
  <c r="D386" i="9"/>
  <c r="E386" i="9"/>
  <c r="F386" i="9"/>
  <c r="C387" i="9"/>
  <c r="D387" i="9"/>
  <c r="E387" i="9"/>
  <c r="F387" i="9"/>
  <c r="C388" i="9"/>
  <c r="D388" i="9"/>
  <c r="E388" i="9"/>
  <c r="F388" i="9"/>
  <c r="C389" i="9"/>
  <c r="D389" i="9"/>
  <c r="E389" i="9"/>
  <c r="F389" i="9"/>
  <c r="C390" i="9"/>
  <c r="D390" i="9"/>
  <c r="E390" i="9"/>
  <c r="F390" i="9"/>
  <c r="C391" i="9"/>
  <c r="D391" i="9"/>
  <c r="E391" i="9"/>
  <c r="F391" i="9"/>
  <c r="C392" i="9"/>
  <c r="D392" i="9"/>
  <c r="E392" i="9"/>
  <c r="F392" i="9"/>
  <c r="C393" i="9"/>
  <c r="D393" i="9"/>
  <c r="E393" i="9"/>
  <c r="F393" i="9"/>
  <c r="C394" i="9"/>
  <c r="D394" i="9"/>
  <c r="E394" i="9"/>
  <c r="F394" i="9"/>
  <c r="C395" i="9"/>
  <c r="D395" i="9"/>
  <c r="E395" i="9"/>
  <c r="F395" i="9"/>
  <c r="C396" i="9"/>
  <c r="D396" i="9"/>
  <c r="E396" i="9"/>
  <c r="F396" i="9"/>
  <c r="C397" i="9"/>
  <c r="D397" i="9"/>
  <c r="E397" i="9"/>
  <c r="F397" i="9"/>
  <c r="C398" i="9"/>
  <c r="D398" i="9"/>
  <c r="E398" i="9"/>
  <c r="F398" i="9"/>
  <c r="C399" i="9"/>
  <c r="D399" i="9"/>
  <c r="E399" i="9"/>
  <c r="F399" i="9"/>
  <c r="C400" i="9"/>
  <c r="D400" i="9"/>
  <c r="E400" i="9"/>
  <c r="F400" i="9"/>
  <c r="C401" i="9"/>
  <c r="D401" i="9"/>
  <c r="E401" i="9"/>
  <c r="F401" i="9"/>
  <c r="C402" i="9"/>
  <c r="D402" i="9"/>
  <c r="E402" i="9"/>
  <c r="F402" i="9"/>
  <c r="C403" i="9"/>
  <c r="D403" i="9"/>
  <c r="E403" i="9"/>
  <c r="F403" i="9"/>
  <c r="C404" i="9"/>
  <c r="D404" i="9"/>
  <c r="E404" i="9"/>
  <c r="F404" i="9"/>
  <c r="C405" i="9"/>
  <c r="D405" i="9"/>
  <c r="E405" i="9"/>
  <c r="F405" i="9"/>
  <c r="C406" i="9"/>
  <c r="D406" i="9"/>
  <c r="E406" i="9"/>
  <c r="F406" i="9"/>
  <c r="C407" i="9"/>
  <c r="D407" i="9"/>
  <c r="E407" i="9"/>
  <c r="F407" i="9"/>
  <c r="C408" i="9"/>
  <c r="D408" i="9"/>
  <c r="E408" i="9"/>
  <c r="F408" i="9"/>
  <c r="C409" i="9"/>
  <c r="D409" i="9"/>
  <c r="E409" i="9"/>
  <c r="F409" i="9"/>
  <c r="C410" i="9"/>
  <c r="D410" i="9"/>
  <c r="E410" i="9"/>
  <c r="F410" i="9"/>
  <c r="C411" i="9"/>
  <c r="D411" i="9"/>
  <c r="E411" i="9"/>
  <c r="F411" i="9"/>
  <c r="C412" i="9"/>
  <c r="D412" i="9"/>
  <c r="E412" i="9"/>
  <c r="F412" i="9"/>
  <c r="C413" i="9"/>
  <c r="D413" i="9"/>
  <c r="E413" i="9"/>
  <c r="F413" i="9"/>
  <c r="C414" i="9"/>
  <c r="D414" i="9"/>
  <c r="E414" i="9"/>
  <c r="F414" i="9"/>
  <c r="C415" i="9"/>
  <c r="D415" i="9"/>
  <c r="E415" i="9"/>
  <c r="F415" i="9"/>
  <c r="C416" i="9"/>
  <c r="D416" i="9"/>
  <c r="E416" i="9"/>
  <c r="F416" i="9"/>
  <c r="C417" i="9"/>
  <c r="D417" i="9"/>
  <c r="E417" i="9"/>
  <c r="F417" i="9"/>
  <c r="C418" i="9"/>
  <c r="D418" i="9"/>
  <c r="E418" i="9"/>
  <c r="F418" i="9"/>
  <c r="C419" i="9"/>
  <c r="D419" i="9"/>
  <c r="E419" i="9"/>
  <c r="F419" i="9"/>
  <c r="C420" i="9"/>
  <c r="D420" i="9"/>
  <c r="E420" i="9"/>
  <c r="F420" i="9"/>
  <c r="C421" i="9"/>
  <c r="D421" i="9"/>
  <c r="E421" i="9"/>
  <c r="F421" i="9"/>
  <c r="C422" i="9"/>
  <c r="D422" i="9"/>
  <c r="E422" i="9"/>
  <c r="F422" i="9"/>
  <c r="C423" i="9"/>
  <c r="D423" i="9"/>
  <c r="E423" i="9"/>
  <c r="F423" i="9"/>
  <c r="C424" i="9"/>
  <c r="D424" i="9"/>
  <c r="E424" i="9"/>
  <c r="F424" i="9"/>
  <c r="C425" i="9"/>
  <c r="D425" i="9"/>
  <c r="E425" i="9"/>
  <c r="F425" i="9"/>
  <c r="C426" i="9"/>
  <c r="D426" i="9"/>
  <c r="E426" i="9"/>
  <c r="F426" i="9"/>
  <c r="C427" i="9"/>
  <c r="D427" i="9"/>
  <c r="E427" i="9"/>
  <c r="F427" i="9"/>
  <c r="C428" i="9"/>
  <c r="D428" i="9"/>
  <c r="E428" i="9"/>
  <c r="F428" i="9"/>
  <c r="C429" i="9"/>
  <c r="D429" i="9"/>
  <c r="E429" i="9"/>
  <c r="F429" i="9"/>
  <c r="C430" i="9"/>
  <c r="D430" i="9"/>
  <c r="E430" i="9"/>
  <c r="F430" i="9"/>
  <c r="C431" i="9"/>
  <c r="D431" i="9"/>
  <c r="E431" i="9"/>
  <c r="F431" i="9"/>
  <c r="C432" i="9"/>
  <c r="D432" i="9"/>
  <c r="E432" i="9"/>
  <c r="F432" i="9"/>
  <c r="C433" i="9"/>
  <c r="D433" i="9"/>
  <c r="E433" i="9"/>
  <c r="F433" i="9"/>
  <c r="C434" i="9"/>
  <c r="D434" i="9"/>
  <c r="E434" i="9"/>
  <c r="F434" i="9"/>
  <c r="C435" i="9"/>
  <c r="D435" i="9"/>
  <c r="E435" i="9"/>
  <c r="F435" i="9"/>
  <c r="C436" i="9"/>
  <c r="D436" i="9"/>
  <c r="E436" i="9"/>
  <c r="F436" i="9"/>
  <c r="C437" i="9"/>
  <c r="D437" i="9"/>
  <c r="E437" i="9"/>
  <c r="F437" i="9"/>
  <c r="C438" i="9"/>
  <c r="D438" i="9"/>
  <c r="E438" i="9"/>
  <c r="F438" i="9"/>
  <c r="C439" i="9"/>
  <c r="D439" i="9"/>
  <c r="E439" i="9"/>
  <c r="F439" i="9"/>
  <c r="C440" i="9"/>
  <c r="D440" i="9"/>
  <c r="E440" i="9"/>
  <c r="F440" i="9"/>
  <c r="C441" i="9"/>
  <c r="D441" i="9"/>
  <c r="E441" i="9"/>
  <c r="F441" i="9"/>
  <c r="C442" i="9"/>
  <c r="D442" i="9"/>
  <c r="E442" i="9"/>
  <c r="F442" i="9"/>
  <c r="C443" i="9"/>
  <c r="D443" i="9"/>
  <c r="E443" i="9"/>
  <c r="F443" i="9"/>
  <c r="C444" i="9"/>
  <c r="D444" i="9"/>
  <c r="E444" i="9"/>
  <c r="F444" i="9"/>
  <c r="C445" i="9"/>
  <c r="D445" i="9"/>
  <c r="E445" i="9"/>
  <c r="F445" i="9"/>
  <c r="C446" i="9"/>
  <c r="D446" i="9"/>
  <c r="E446" i="9"/>
  <c r="F446" i="9"/>
  <c r="C447" i="9"/>
  <c r="D447" i="9"/>
  <c r="E447" i="9"/>
  <c r="F447" i="9"/>
  <c r="C448" i="9"/>
  <c r="D448" i="9"/>
  <c r="E448" i="9"/>
  <c r="F448" i="9"/>
  <c r="C449" i="9"/>
  <c r="D449" i="9"/>
  <c r="E449" i="9"/>
  <c r="F449" i="9"/>
  <c r="C450" i="9"/>
  <c r="D450" i="9"/>
  <c r="E450" i="9"/>
  <c r="F450" i="9"/>
  <c r="C451" i="9"/>
  <c r="D451" i="9"/>
  <c r="E451" i="9"/>
  <c r="F451" i="9"/>
  <c r="C452" i="9"/>
  <c r="D452" i="9"/>
  <c r="E452" i="9"/>
  <c r="F452" i="9"/>
  <c r="C453" i="9"/>
  <c r="D453" i="9"/>
  <c r="E453" i="9"/>
  <c r="F453" i="9"/>
  <c r="C454" i="9"/>
  <c r="D454" i="9"/>
  <c r="E454" i="9"/>
  <c r="F454" i="9"/>
  <c r="C455" i="9"/>
  <c r="D455" i="9"/>
  <c r="E455" i="9"/>
  <c r="F455" i="9"/>
  <c r="C456" i="9"/>
  <c r="D456" i="9"/>
  <c r="E456" i="9"/>
  <c r="F456" i="9"/>
  <c r="C457" i="9"/>
  <c r="D457" i="9"/>
  <c r="E457" i="9"/>
  <c r="F457" i="9"/>
  <c r="C458" i="9"/>
  <c r="D458" i="9"/>
  <c r="E458" i="9"/>
  <c r="F458" i="9"/>
  <c r="C459" i="9"/>
  <c r="D459" i="9"/>
  <c r="E459" i="9"/>
  <c r="F459" i="9"/>
  <c r="C460" i="9"/>
  <c r="D460" i="9"/>
  <c r="E460" i="9"/>
  <c r="F460" i="9"/>
  <c r="C461" i="9"/>
  <c r="D461" i="9"/>
  <c r="E461" i="9"/>
  <c r="F461" i="9"/>
  <c r="C462" i="9"/>
  <c r="D462" i="9"/>
  <c r="E462" i="9"/>
  <c r="F462" i="9"/>
  <c r="C463" i="9"/>
  <c r="D463" i="9"/>
  <c r="E463" i="9"/>
  <c r="F463" i="9"/>
  <c r="C464" i="9"/>
  <c r="D464" i="9"/>
  <c r="E464" i="9"/>
  <c r="F464" i="9"/>
  <c r="C465" i="9"/>
  <c r="D465" i="9"/>
  <c r="E465" i="9"/>
  <c r="F465" i="9"/>
  <c r="C466" i="9"/>
  <c r="D466" i="9"/>
  <c r="E466" i="9"/>
  <c r="F466" i="9"/>
  <c r="C467" i="9"/>
  <c r="D467" i="9"/>
  <c r="E467" i="9"/>
  <c r="F467" i="9"/>
  <c r="C468" i="9"/>
  <c r="D468" i="9"/>
  <c r="E468" i="9"/>
  <c r="F468" i="9"/>
  <c r="C469" i="9"/>
  <c r="D469" i="9"/>
  <c r="E469" i="9"/>
  <c r="F469" i="9"/>
  <c r="C470" i="9"/>
  <c r="D470" i="9"/>
  <c r="E470" i="9"/>
  <c r="F470" i="9"/>
  <c r="C471" i="9"/>
  <c r="D471" i="9"/>
  <c r="E471" i="9"/>
  <c r="F471" i="9"/>
  <c r="C472" i="9"/>
  <c r="D472" i="9"/>
  <c r="E472" i="9"/>
  <c r="F472" i="9"/>
  <c r="C473" i="9"/>
  <c r="D473" i="9"/>
  <c r="E473" i="9"/>
  <c r="F473" i="9"/>
  <c r="C474" i="9"/>
  <c r="D474" i="9"/>
  <c r="E474" i="9"/>
  <c r="F474" i="9"/>
  <c r="C475" i="9"/>
  <c r="D475" i="9"/>
  <c r="E475" i="9"/>
  <c r="F475" i="9"/>
  <c r="C476" i="9"/>
  <c r="D476" i="9"/>
  <c r="E476" i="9"/>
  <c r="F476" i="9"/>
  <c r="C477" i="9"/>
  <c r="D477" i="9"/>
  <c r="E477" i="9"/>
  <c r="F477" i="9"/>
  <c r="C478" i="9"/>
  <c r="D478" i="9"/>
  <c r="E478" i="9"/>
  <c r="F478" i="9"/>
  <c r="C479" i="9"/>
  <c r="D479" i="9"/>
  <c r="E479" i="9"/>
  <c r="F479" i="9"/>
  <c r="C480" i="9"/>
  <c r="D480" i="9"/>
  <c r="E480" i="9"/>
  <c r="F480" i="9"/>
  <c r="C481" i="9"/>
  <c r="D481" i="9"/>
  <c r="E481" i="9"/>
  <c r="F481" i="9"/>
  <c r="C482" i="9"/>
  <c r="D482" i="9"/>
  <c r="E482" i="9"/>
  <c r="F482" i="9"/>
  <c r="C483" i="9"/>
  <c r="D483" i="9"/>
  <c r="E483" i="9"/>
  <c r="F483" i="9"/>
  <c r="C484" i="9"/>
  <c r="D484" i="9"/>
  <c r="E484" i="9"/>
  <c r="F484" i="9"/>
  <c r="C485" i="9"/>
  <c r="D485" i="9"/>
  <c r="E485" i="9"/>
  <c r="F485" i="9"/>
  <c r="C486" i="9"/>
  <c r="D486" i="9"/>
  <c r="E486" i="9"/>
  <c r="F486" i="9"/>
  <c r="C487" i="9"/>
  <c r="D487" i="9"/>
  <c r="E487" i="9"/>
  <c r="F487" i="9"/>
  <c r="C488" i="9"/>
  <c r="D488" i="9"/>
  <c r="E488" i="9"/>
  <c r="F488" i="9"/>
  <c r="C489" i="9"/>
  <c r="D489" i="9"/>
  <c r="E489" i="9"/>
  <c r="F489" i="9"/>
  <c r="C490" i="9"/>
  <c r="D490" i="9"/>
  <c r="E490" i="9"/>
  <c r="F490" i="9"/>
  <c r="C491" i="9"/>
  <c r="D491" i="9"/>
  <c r="E491" i="9"/>
  <c r="F491" i="9"/>
  <c r="C492" i="9"/>
  <c r="D492" i="9"/>
  <c r="E492" i="9"/>
  <c r="F492" i="9"/>
  <c r="C493" i="9"/>
  <c r="D493" i="9"/>
  <c r="E493" i="9"/>
  <c r="F493" i="9"/>
  <c r="C494" i="9"/>
  <c r="D494" i="9"/>
  <c r="E494" i="9"/>
  <c r="F494" i="9"/>
  <c r="C495" i="9"/>
  <c r="D495" i="9"/>
  <c r="E495" i="9"/>
  <c r="F495" i="9"/>
  <c r="C496" i="9"/>
  <c r="D496" i="9"/>
  <c r="E496" i="9"/>
  <c r="F496" i="9"/>
  <c r="C497" i="9"/>
  <c r="D497" i="9"/>
  <c r="E497" i="9"/>
  <c r="F497" i="9"/>
  <c r="C498" i="9"/>
  <c r="D498" i="9"/>
  <c r="E498" i="9"/>
  <c r="F498" i="9"/>
  <c r="C499" i="9"/>
  <c r="D499" i="9"/>
  <c r="E499" i="9"/>
  <c r="F499" i="9"/>
  <c r="C500" i="9"/>
  <c r="D500" i="9"/>
  <c r="E500" i="9"/>
  <c r="F500" i="9"/>
  <c r="C501" i="9"/>
  <c r="D501" i="9"/>
  <c r="E501" i="9"/>
  <c r="F501" i="9"/>
  <c r="C502" i="9"/>
  <c r="D502" i="9"/>
  <c r="E502" i="9"/>
  <c r="F502" i="9"/>
  <c r="C503" i="9"/>
  <c r="D503" i="9"/>
  <c r="E503" i="9"/>
  <c r="F503" i="9"/>
  <c r="C504" i="9"/>
  <c r="D504" i="9"/>
  <c r="E504" i="9"/>
  <c r="F504" i="9"/>
  <c r="C505" i="9"/>
  <c r="D505" i="9"/>
  <c r="E505" i="9"/>
  <c r="F505" i="9"/>
  <c r="C506" i="9"/>
  <c r="D506" i="9"/>
  <c r="E506" i="9"/>
  <c r="F506" i="9"/>
  <c r="C507" i="9"/>
  <c r="D507" i="9"/>
  <c r="E507" i="9"/>
  <c r="F507" i="9"/>
  <c r="C508" i="9"/>
  <c r="D508" i="9"/>
  <c r="E508" i="9"/>
  <c r="F508" i="9"/>
  <c r="C509" i="9"/>
  <c r="D509" i="9"/>
  <c r="E509" i="9"/>
  <c r="F509" i="9"/>
  <c r="C510" i="9"/>
  <c r="D510" i="9"/>
  <c r="E510" i="9"/>
  <c r="F510" i="9"/>
  <c r="C511" i="9"/>
  <c r="D511" i="9"/>
  <c r="E511" i="9"/>
  <c r="F511" i="9"/>
  <c r="C512" i="9"/>
  <c r="D512" i="9"/>
  <c r="E512" i="9"/>
  <c r="F512" i="9"/>
  <c r="C513" i="9"/>
  <c r="D513" i="9"/>
  <c r="E513" i="9"/>
  <c r="F513" i="9"/>
  <c r="C514" i="9"/>
  <c r="D514" i="9"/>
  <c r="E514" i="9"/>
  <c r="F514" i="9"/>
  <c r="C515" i="9"/>
  <c r="D515" i="9"/>
  <c r="E515" i="9"/>
  <c r="F515" i="9"/>
  <c r="C516" i="9"/>
  <c r="D516" i="9"/>
  <c r="E516" i="9"/>
  <c r="F516" i="9"/>
  <c r="C517" i="9"/>
  <c r="D517" i="9"/>
  <c r="E517" i="9"/>
  <c r="F517" i="9"/>
  <c r="C518" i="9"/>
  <c r="D518" i="9"/>
  <c r="E518" i="9"/>
  <c r="F518" i="9"/>
  <c r="C519" i="9"/>
  <c r="D519" i="9"/>
  <c r="E519" i="9"/>
  <c r="F519" i="9"/>
  <c r="C520" i="9"/>
  <c r="D520" i="9"/>
  <c r="E520" i="9"/>
  <c r="F520" i="9"/>
  <c r="C521" i="9"/>
  <c r="D521" i="9"/>
  <c r="E521" i="9"/>
  <c r="F521" i="9"/>
  <c r="C522" i="9"/>
  <c r="D522" i="9"/>
  <c r="E522" i="9"/>
  <c r="F522" i="9"/>
  <c r="C523" i="9"/>
  <c r="D523" i="9"/>
  <c r="E523" i="9"/>
  <c r="F523" i="9"/>
  <c r="C524" i="9"/>
  <c r="D524" i="9"/>
  <c r="E524" i="9"/>
  <c r="F524" i="9"/>
  <c r="C525" i="9"/>
  <c r="D525" i="9"/>
  <c r="E525" i="9"/>
  <c r="F525" i="9"/>
  <c r="C526" i="9"/>
  <c r="D526" i="9"/>
  <c r="E526" i="9"/>
  <c r="F526" i="9"/>
  <c r="C527" i="9"/>
  <c r="D527" i="9"/>
  <c r="E527" i="9"/>
  <c r="F527" i="9"/>
  <c r="C528" i="9"/>
  <c r="D528" i="9"/>
  <c r="E528" i="9"/>
  <c r="F528" i="9"/>
  <c r="C529" i="9"/>
  <c r="D529" i="9"/>
  <c r="E529" i="9"/>
  <c r="F529" i="9"/>
  <c r="C530" i="9"/>
  <c r="D530" i="9"/>
  <c r="E530" i="9"/>
  <c r="F530" i="9"/>
  <c r="C531" i="9"/>
  <c r="D531" i="9"/>
  <c r="E531" i="9"/>
  <c r="F531" i="9"/>
  <c r="C532" i="9"/>
  <c r="D532" i="9"/>
  <c r="E532" i="9"/>
  <c r="F532" i="9"/>
  <c r="C533" i="9"/>
  <c r="D533" i="9"/>
  <c r="E533" i="9"/>
  <c r="F533" i="9"/>
  <c r="C534" i="9"/>
  <c r="D534" i="9"/>
  <c r="E534" i="9"/>
  <c r="F534" i="9"/>
  <c r="C535" i="9"/>
  <c r="D535" i="9"/>
  <c r="E535" i="9"/>
  <c r="F535" i="9"/>
  <c r="C536" i="9"/>
  <c r="D536" i="9"/>
  <c r="E536" i="9"/>
  <c r="F536" i="9"/>
  <c r="C537" i="9"/>
  <c r="D537" i="9"/>
  <c r="E537" i="9"/>
  <c r="F537" i="9"/>
  <c r="C538" i="9"/>
  <c r="D538" i="9"/>
  <c r="E538" i="9"/>
  <c r="F538" i="9"/>
  <c r="C539" i="9"/>
  <c r="D539" i="9"/>
  <c r="E539" i="9"/>
  <c r="F539" i="9"/>
  <c r="C540" i="9"/>
  <c r="D540" i="9"/>
  <c r="E540" i="9"/>
  <c r="F540" i="9"/>
  <c r="C541" i="9"/>
  <c r="D541" i="9"/>
  <c r="E541" i="9"/>
  <c r="F541" i="9"/>
  <c r="C542" i="9"/>
  <c r="D542" i="9"/>
  <c r="E542" i="9"/>
  <c r="F542" i="9"/>
  <c r="C543" i="9"/>
  <c r="D543" i="9"/>
  <c r="E543" i="9"/>
  <c r="F543" i="9"/>
  <c r="C544" i="9"/>
  <c r="D544" i="9"/>
  <c r="E544" i="9"/>
  <c r="F544" i="9"/>
  <c r="C545" i="9"/>
  <c r="D545" i="9"/>
  <c r="E545" i="9"/>
  <c r="F545" i="9"/>
  <c r="C546" i="9"/>
  <c r="D546" i="9"/>
  <c r="E546" i="9"/>
  <c r="F546" i="9"/>
  <c r="C547" i="9"/>
  <c r="D547" i="9"/>
  <c r="E547" i="9"/>
  <c r="F547" i="9"/>
  <c r="C548" i="9"/>
  <c r="D548" i="9"/>
  <c r="E548" i="9"/>
  <c r="F548" i="9"/>
  <c r="C549" i="9"/>
  <c r="D549" i="9"/>
  <c r="E549" i="9"/>
  <c r="F549" i="9"/>
  <c r="C550" i="9"/>
  <c r="D550" i="9"/>
  <c r="E550" i="9"/>
  <c r="F550" i="9"/>
  <c r="C551" i="9"/>
  <c r="D551" i="9"/>
  <c r="E551" i="9"/>
  <c r="F551" i="9"/>
  <c r="C552" i="9"/>
  <c r="D552" i="9"/>
  <c r="E552" i="9"/>
  <c r="F552" i="9"/>
  <c r="C553" i="9"/>
  <c r="D553" i="9"/>
  <c r="E553" i="9"/>
  <c r="F553" i="9"/>
  <c r="C554" i="9"/>
  <c r="D554" i="9"/>
  <c r="E554" i="9"/>
  <c r="F554" i="9"/>
  <c r="C555" i="9"/>
  <c r="D555" i="9"/>
  <c r="E555" i="9"/>
  <c r="F555" i="9"/>
  <c r="C556" i="9"/>
  <c r="D556" i="9"/>
  <c r="E556" i="9"/>
  <c r="F556" i="9"/>
  <c r="C557" i="9"/>
  <c r="D557" i="9"/>
  <c r="E557" i="9"/>
  <c r="F557" i="9"/>
  <c r="C558" i="9"/>
  <c r="D558" i="9"/>
  <c r="E558" i="9"/>
  <c r="F558" i="9"/>
  <c r="C559" i="9"/>
  <c r="D559" i="9"/>
  <c r="E559" i="9"/>
  <c r="F559" i="9"/>
  <c r="C560" i="9"/>
  <c r="D560" i="9"/>
  <c r="E560" i="9"/>
  <c r="F560" i="9"/>
  <c r="C561" i="9"/>
  <c r="D561" i="9"/>
  <c r="E561" i="9"/>
  <c r="F561" i="9"/>
  <c r="C562" i="9"/>
  <c r="D562" i="9"/>
  <c r="E562" i="9"/>
  <c r="F562" i="9"/>
  <c r="C563" i="9"/>
  <c r="D563" i="9"/>
  <c r="E563" i="9"/>
  <c r="F563" i="9"/>
  <c r="C564" i="9"/>
  <c r="D564" i="9"/>
  <c r="E564" i="9"/>
  <c r="F564" i="9"/>
  <c r="C565" i="9"/>
  <c r="D565" i="9"/>
  <c r="E565" i="9"/>
  <c r="F565" i="9"/>
  <c r="C566" i="9"/>
  <c r="D566" i="9"/>
  <c r="E566" i="9"/>
  <c r="F566" i="9"/>
  <c r="C567" i="9"/>
  <c r="D567" i="9"/>
  <c r="E567" i="9"/>
  <c r="F567" i="9"/>
  <c r="C568" i="9"/>
  <c r="D568" i="9"/>
  <c r="E568" i="9"/>
  <c r="F568" i="9"/>
  <c r="C569" i="9"/>
  <c r="D569" i="9"/>
  <c r="E569" i="9"/>
  <c r="F569" i="9"/>
  <c r="C570" i="9"/>
  <c r="D570" i="9"/>
  <c r="E570" i="9"/>
  <c r="F570" i="9"/>
  <c r="C571" i="9"/>
  <c r="D571" i="9"/>
  <c r="E571" i="9"/>
  <c r="F571" i="9"/>
  <c r="C572" i="9"/>
  <c r="D572" i="9"/>
  <c r="E572" i="9"/>
  <c r="F572" i="9"/>
  <c r="C573" i="9"/>
  <c r="D573" i="9"/>
  <c r="E573" i="9"/>
  <c r="F573" i="9"/>
  <c r="C574" i="9"/>
  <c r="D574" i="9"/>
  <c r="E574" i="9"/>
  <c r="F574" i="9"/>
  <c r="C575" i="9"/>
  <c r="D575" i="9"/>
  <c r="E575" i="9"/>
  <c r="F575" i="9"/>
  <c r="C576" i="9"/>
  <c r="D576" i="9"/>
  <c r="E576" i="9"/>
  <c r="F576" i="9"/>
  <c r="C577" i="9"/>
  <c r="D577" i="9"/>
  <c r="E577" i="9"/>
  <c r="F577" i="9"/>
  <c r="C578" i="9"/>
  <c r="D578" i="9"/>
  <c r="E578" i="9"/>
  <c r="F578" i="9"/>
  <c r="C579" i="9"/>
  <c r="D579" i="9"/>
  <c r="E579" i="9"/>
  <c r="F579" i="9"/>
  <c r="C580" i="9"/>
  <c r="D580" i="9"/>
  <c r="E580" i="9"/>
  <c r="F580" i="9"/>
  <c r="C581" i="9"/>
  <c r="D581" i="9"/>
  <c r="E581" i="9"/>
  <c r="F581" i="9"/>
  <c r="C582" i="9"/>
  <c r="D582" i="9"/>
  <c r="E582" i="9"/>
  <c r="F582" i="9"/>
  <c r="C583" i="9"/>
  <c r="D583" i="9"/>
  <c r="E583" i="9"/>
  <c r="F583" i="9"/>
  <c r="C584" i="9"/>
  <c r="D584" i="9"/>
  <c r="E584" i="9"/>
  <c r="F584" i="9"/>
  <c r="C585" i="9"/>
  <c r="D585" i="9"/>
  <c r="E585" i="9"/>
  <c r="F585" i="9"/>
  <c r="C586" i="9"/>
  <c r="D586" i="9"/>
  <c r="E586" i="9"/>
  <c r="F586" i="9"/>
  <c r="C587" i="9"/>
  <c r="D587" i="9"/>
  <c r="E587" i="9"/>
  <c r="F587" i="9"/>
  <c r="C588" i="9"/>
  <c r="D588" i="9"/>
  <c r="E588" i="9"/>
  <c r="F588" i="9"/>
  <c r="C589" i="9"/>
  <c r="D589" i="9"/>
  <c r="E589" i="9"/>
  <c r="F589" i="9"/>
  <c r="C590" i="9"/>
  <c r="D590" i="9"/>
  <c r="E590" i="9"/>
  <c r="F590" i="9"/>
  <c r="C591" i="9"/>
  <c r="D591" i="9"/>
  <c r="E591" i="9"/>
  <c r="F591" i="9"/>
  <c r="C592" i="9"/>
  <c r="D592" i="9"/>
  <c r="E592" i="9"/>
  <c r="F592" i="9"/>
  <c r="C593" i="9"/>
  <c r="D593" i="9"/>
  <c r="E593" i="9"/>
  <c r="F593" i="9"/>
  <c r="C594" i="9"/>
  <c r="D594" i="9"/>
  <c r="E594" i="9"/>
  <c r="F594" i="9"/>
  <c r="C595" i="9"/>
  <c r="D595" i="9"/>
  <c r="E595" i="9"/>
  <c r="F595" i="9"/>
  <c r="C596" i="9"/>
  <c r="D596" i="9"/>
  <c r="E596" i="9"/>
  <c r="F596" i="9"/>
  <c r="C597" i="9"/>
  <c r="D597" i="9"/>
  <c r="E597" i="9"/>
  <c r="F597" i="9"/>
  <c r="C598" i="9"/>
  <c r="D598" i="9"/>
  <c r="E598" i="9"/>
  <c r="F598" i="9"/>
  <c r="C599" i="9"/>
  <c r="D599" i="9"/>
  <c r="E599" i="9"/>
  <c r="F599" i="9"/>
  <c r="C600" i="9"/>
  <c r="D600" i="9"/>
  <c r="E600" i="9"/>
  <c r="F600" i="9"/>
  <c r="C601" i="9"/>
  <c r="D601" i="9"/>
  <c r="E601" i="9"/>
  <c r="F601" i="9"/>
  <c r="C602" i="9"/>
  <c r="D602" i="9"/>
  <c r="E602" i="9"/>
  <c r="F602" i="9"/>
  <c r="C603" i="9"/>
  <c r="D603" i="9"/>
  <c r="E603" i="9"/>
  <c r="F603" i="9"/>
  <c r="C604" i="9"/>
  <c r="D604" i="9"/>
  <c r="E604" i="9"/>
  <c r="F604" i="9"/>
  <c r="C605" i="9"/>
  <c r="D605" i="9"/>
  <c r="E605" i="9"/>
  <c r="F605" i="9"/>
  <c r="C606" i="9"/>
  <c r="D606" i="9"/>
  <c r="E606" i="9"/>
  <c r="F606" i="9"/>
  <c r="C607" i="9"/>
  <c r="D607" i="9"/>
  <c r="E607" i="9"/>
  <c r="F607" i="9"/>
  <c r="C608" i="9"/>
  <c r="D608" i="9"/>
  <c r="E608" i="9"/>
  <c r="F608" i="9"/>
  <c r="C609" i="9"/>
  <c r="D609" i="9"/>
  <c r="E609" i="9"/>
  <c r="F609" i="9"/>
  <c r="C610" i="9"/>
  <c r="D610" i="9"/>
  <c r="E610" i="9"/>
  <c r="F610" i="9"/>
  <c r="C611" i="9"/>
  <c r="D611" i="9"/>
  <c r="E611" i="9"/>
  <c r="F611" i="9"/>
  <c r="C612" i="9"/>
  <c r="D612" i="9"/>
  <c r="E612" i="9"/>
  <c r="F612" i="9"/>
  <c r="C613" i="9"/>
  <c r="D613" i="9"/>
  <c r="E613" i="9"/>
  <c r="F613" i="9"/>
  <c r="C614" i="9"/>
  <c r="D614" i="9"/>
  <c r="E614" i="9"/>
  <c r="F614" i="9"/>
  <c r="C615" i="9"/>
  <c r="D615" i="9"/>
  <c r="E615" i="9"/>
  <c r="F615" i="9"/>
  <c r="C616" i="9"/>
  <c r="D616" i="9"/>
  <c r="E616" i="9"/>
  <c r="F616" i="9"/>
  <c r="C617" i="9"/>
  <c r="D617" i="9"/>
  <c r="E617" i="9"/>
  <c r="F617" i="9"/>
  <c r="C618" i="9"/>
  <c r="D618" i="9"/>
  <c r="E618" i="9"/>
  <c r="F618" i="9"/>
  <c r="C619" i="9"/>
  <c r="D619" i="9"/>
  <c r="E619" i="9"/>
  <c r="F619" i="9"/>
  <c r="C620" i="9"/>
  <c r="D620" i="9"/>
  <c r="E620" i="9"/>
  <c r="F620" i="9"/>
  <c r="C621" i="9"/>
  <c r="D621" i="9"/>
  <c r="E621" i="9"/>
  <c r="F621" i="9"/>
  <c r="C622" i="9"/>
  <c r="D622" i="9"/>
  <c r="E622" i="9"/>
  <c r="F622" i="9"/>
  <c r="C623" i="9"/>
  <c r="D623" i="9"/>
  <c r="E623" i="9"/>
  <c r="F623" i="9"/>
  <c r="C624" i="9"/>
  <c r="D624" i="9"/>
  <c r="E624" i="9"/>
  <c r="F624" i="9"/>
  <c r="C625" i="9"/>
  <c r="D625" i="9"/>
  <c r="E625" i="9"/>
  <c r="F625" i="9"/>
  <c r="C626" i="9"/>
  <c r="D626" i="9"/>
  <c r="E626" i="9"/>
  <c r="F626" i="9"/>
  <c r="C627" i="9"/>
  <c r="D627" i="9"/>
  <c r="E627" i="9"/>
  <c r="F627" i="9"/>
  <c r="C628" i="9"/>
  <c r="D628" i="9"/>
  <c r="E628" i="9"/>
  <c r="F628" i="9"/>
  <c r="C629" i="9"/>
  <c r="D629" i="9"/>
  <c r="E629" i="9"/>
  <c r="F629" i="9"/>
  <c r="C630" i="9"/>
  <c r="D630" i="9"/>
  <c r="E630" i="9"/>
  <c r="F630" i="9"/>
  <c r="C631" i="9"/>
  <c r="D631" i="9"/>
  <c r="E631" i="9"/>
  <c r="F631" i="9"/>
  <c r="C632" i="9"/>
  <c r="D632" i="9"/>
  <c r="E632" i="9"/>
  <c r="F632" i="9"/>
  <c r="C633" i="9"/>
  <c r="D633" i="9"/>
  <c r="E633" i="9"/>
  <c r="F633" i="9"/>
  <c r="C634" i="9"/>
  <c r="D634" i="9"/>
  <c r="E634" i="9"/>
  <c r="F634" i="9"/>
  <c r="C635" i="9"/>
  <c r="D635" i="9"/>
  <c r="E635" i="9"/>
  <c r="F635" i="9"/>
  <c r="C636" i="9"/>
  <c r="D636" i="9"/>
  <c r="E636" i="9"/>
  <c r="F636" i="9"/>
  <c r="C637" i="9"/>
  <c r="D637" i="9"/>
  <c r="E637" i="9"/>
  <c r="F637" i="9"/>
  <c r="C638" i="9"/>
  <c r="D638" i="9"/>
  <c r="E638" i="9"/>
  <c r="F638" i="9"/>
  <c r="C639" i="9"/>
  <c r="D639" i="9"/>
  <c r="E639" i="9"/>
  <c r="F639" i="9"/>
  <c r="C640" i="9"/>
  <c r="D640" i="9"/>
  <c r="E640" i="9"/>
  <c r="F640" i="9"/>
  <c r="C641" i="9"/>
  <c r="D641" i="9"/>
  <c r="E641" i="9"/>
  <c r="F641" i="9"/>
  <c r="C642" i="9"/>
  <c r="D642" i="9"/>
  <c r="E642" i="9"/>
  <c r="F642" i="9"/>
  <c r="C643" i="9"/>
  <c r="D643" i="9"/>
  <c r="E643" i="9"/>
  <c r="F643" i="9"/>
  <c r="C644" i="9"/>
  <c r="D644" i="9"/>
  <c r="E644" i="9"/>
  <c r="F644" i="9"/>
  <c r="C645" i="9"/>
  <c r="D645" i="9"/>
  <c r="E645" i="9"/>
  <c r="F645" i="9"/>
  <c r="C646" i="9"/>
  <c r="D646" i="9"/>
  <c r="E646" i="9"/>
  <c r="F646" i="9"/>
  <c r="C647" i="9"/>
  <c r="D647" i="9"/>
  <c r="E647" i="9"/>
  <c r="F647" i="9"/>
  <c r="C648" i="9"/>
  <c r="D648" i="9"/>
  <c r="E648" i="9"/>
  <c r="F648" i="9"/>
  <c r="C649" i="9"/>
  <c r="D649" i="9"/>
  <c r="E649" i="9"/>
  <c r="F649" i="9"/>
  <c r="C650" i="9"/>
  <c r="D650" i="9"/>
  <c r="E650" i="9"/>
  <c r="F650" i="9"/>
  <c r="C651" i="9"/>
  <c r="D651" i="9"/>
  <c r="E651" i="9"/>
  <c r="F651" i="9"/>
  <c r="C652" i="9"/>
  <c r="D652" i="9"/>
  <c r="E652" i="9"/>
  <c r="F652" i="9"/>
  <c r="C653" i="9"/>
  <c r="D653" i="9"/>
  <c r="E653" i="9"/>
  <c r="F653" i="9"/>
  <c r="C654" i="9"/>
  <c r="D654" i="9"/>
  <c r="E654" i="9"/>
  <c r="F654" i="9"/>
  <c r="C655" i="9"/>
  <c r="D655" i="9"/>
  <c r="E655" i="9"/>
  <c r="F655" i="9"/>
  <c r="C656" i="9"/>
  <c r="D656" i="9"/>
  <c r="E656" i="9"/>
  <c r="F656" i="9"/>
  <c r="C657" i="9"/>
  <c r="D657" i="9"/>
  <c r="E657" i="9"/>
  <c r="F657" i="9"/>
  <c r="C658" i="9"/>
  <c r="D658" i="9"/>
  <c r="E658" i="9"/>
  <c r="F658" i="9"/>
  <c r="C659" i="9"/>
  <c r="D659" i="9"/>
  <c r="E659" i="9"/>
  <c r="F659" i="9"/>
  <c r="C660" i="9"/>
  <c r="D660" i="9"/>
  <c r="E660" i="9"/>
  <c r="F660" i="9"/>
  <c r="C661" i="9"/>
  <c r="D661" i="9"/>
  <c r="E661" i="9"/>
  <c r="F661" i="9"/>
  <c r="C662" i="9"/>
  <c r="D662" i="9"/>
  <c r="E662" i="9"/>
  <c r="F662" i="9"/>
  <c r="C663" i="9"/>
  <c r="D663" i="9"/>
  <c r="E663" i="9"/>
  <c r="F663" i="9"/>
  <c r="C664" i="9"/>
  <c r="D664" i="9"/>
  <c r="E664" i="9"/>
  <c r="F664" i="9"/>
  <c r="C665" i="9"/>
  <c r="D665" i="9"/>
  <c r="E665" i="9"/>
  <c r="F665" i="9"/>
  <c r="C666" i="9"/>
  <c r="D666" i="9"/>
  <c r="E666" i="9"/>
  <c r="F666" i="9"/>
  <c r="C667" i="9"/>
  <c r="D667" i="9"/>
  <c r="E667" i="9"/>
  <c r="F667" i="9"/>
  <c r="C668" i="9"/>
  <c r="D668" i="9"/>
  <c r="E668" i="9"/>
  <c r="F668" i="9"/>
  <c r="C669" i="9"/>
  <c r="D669" i="9"/>
  <c r="E669" i="9"/>
  <c r="F669" i="9"/>
  <c r="C670" i="9"/>
  <c r="D670" i="9"/>
  <c r="E670" i="9"/>
  <c r="F670" i="9"/>
  <c r="C671" i="9"/>
  <c r="D671" i="9"/>
  <c r="E671" i="9"/>
  <c r="F671" i="9"/>
  <c r="C672" i="9"/>
  <c r="D672" i="9"/>
  <c r="E672" i="9"/>
  <c r="F672" i="9"/>
  <c r="C673" i="9"/>
  <c r="D673" i="9"/>
  <c r="E673" i="9"/>
  <c r="F673" i="9"/>
  <c r="C674" i="9"/>
  <c r="D674" i="9"/>
  <c r="E674" i="9"/>
  <c r="F674" i="9"/>
  <c r="C675" i="9"/>
  <c r="D675" i="9"/>
  <c r="E675" i="9"/>
  <c r="F675" i="9"/>
  <c r="C676" i="9"/>
  <c r="D676" i="9"/>
  <c r="E676" i="9"/>
  <c r="F676" i="9"/>
  <c r="C677" i="9"/>
  <c r="D677" i="9"/>
  <c r="E677" i="9"/>
  <c r="F677" i="9"/>
  <c r="C678" i="9"/>
  <c r="D678" i="9"/>
  <c r="E678" i="9"/>
  <c r="F678" i="9"/>
  <c r="C679" i="9"/>
  <c r="D679" i="9"/>
  <c r="E679" i="9"/>
  <c r="F679" i="9"/>
  <c r="C680" i="9"/>
  <c r="D680" i="9"/>
  <c r="E680" i="9"/>
  <c r="F680" i="9"/>
  <c r="C681" i="9"/>
  <c r="D681" i="9"/>
  <c r="E681" i="9"/>
  <c r="F681" i="9"/>
  <c r="C682" i="9"/>
  <c r="D682" i="9"/>
  <c r="E682" i="9"/>
  <c r="F682" i="9"/>
  <c r="C683" i="9"/>
  <c r="D683" i="9"/>
  <c r="E683" i="9"/>
  <c r="F683" i="9"/>
  <c r="C684" i="9"/>
  <c r="D684" i="9"/>
  <c r="E684" i="9"/>
  <c r="F684" i="9"/>
  <c r="C685" i="9"/>
  <c r="D685" i="9"/>
  <c r="E685" i="9"/>
  <c r="F685" i="9"/>
  <c r="C686" i="9"/>
  <c r="D686" i="9"/>
  <c r="E686" i="9"/>
  <c r="F686" i="9"/>
  <c r="C687" i="9"/>
  <c r="D687" i="9"/>
  <c r="E687" i="9"/>
  <c r="F687" i="9"/>
  <c r="C688" i="9"/>
  <c r="D688" i="9"/>
  <c r="E688" i="9"/>
  <c r="F688" i="9"/>
  <c r="C689" i="9"/>
  <c r="D689" i="9"/>
  <c r="E689" i="9"/>
  <c r="F689" i="9"/>
  <c r="C690" i="9"/>
  <c r="D690" i="9"/>
  <c r="E690" i="9"/>
  <c r="F690" i="9"/>
  <c r="C691" i="9"/>
  <c r="D691" i="9"/>
  <c r="E691" i="9"/>
  <c r="F691" i="9"/>
  <c r="B28" i="8"/>
  <c r="C28" i="8"/>
  <c r="D28" i="8"/>
  <c r="E28" i="8"/>
  <c r="B29" i="8"/>
  <c r="C29" i="8"/>
  <c r="D29" i="8"/>
  <c r="E29" i="8"/>
  <c r="B30" i="8"/>
  <c r="C30" i="8"/>
  <c r="D30" i="8"/>
  <c r="E30" i="8"/>
  <c r="B31" i="8"/>
  <c r="C31" i="8"/>
  <c r="D31" i="8"/>
  <c r="E31" i="8"/>
  <c r="B32" i="8"/>
  <c r="C32" i="8"/>
  <c r="D32" i="8"/>
  <c r="E32" i="8"/>
  <c r="B33" i="8"/>
  <c r="C33" i="8"/>
  <c r="D33" i="8"/>
  <c r="E33" i="8"/>
  <c r="B34" i="8"/>
  <c r="C34" i="8"/>
  <c r="D34" i="8"/>
  <c r="E34" i="8"/>
  <c r="B35" i="8"/>
  <c r="C35" i="8"/>
  <c r="D35" i="8"/>
  <c r="E35" i="8"/>
  <c r="B36" i="8"/>
  <c r="C36" i="8"/>
  <c r="D36" i="8"/>
  <c r="E36" i="8"/>
  <c r="B37" i="8"/>
  <c r="C37" i="8"/>
  <c r="D37" i="8"/>
  <c r="E37" i="8"/>
  <c r="B38" i="8"/>
  <c r="C38" i="8"/>
  <c r="D38" i="8"/>
  <c r="E38" i="8"/>
  <c r="B39" i="8"/>
  <c r="C39" i="8"/>
  <c r="D39" i="8"/>
  <c r="E39" i="8"/>
  <c r="B40" i="8"/>
  <c r="C40" i="8"/>
  <c r="D40" i="8"/>
  <c r="E40" i="8"/>
  <c r="B41" i="8"/>
  <c r="C41" i="8"/>
  <c r="D41" i="8"/>
  <c r="E41" i="8"/>
  <c r="B42" i="8"/>
  <c r="C42" i="8"/>
  <c r="D42" i="8"/>
  <c r="E42" i="8"/>
  <c r="B43" i="8"/>
  <c r="C43" i="8"/>
  <c r="D43" i="8"/>
  <c r="E43" i="8"/>
  <c r="B44" i="8"/>
  <c r="C44" i="8"/>
  <c r="D44" i="8"/>
  <c r="E44" i="8"/>
  <c r="B45" i="8"/>
  <c r="C45" i="8"/>
  <c r="D45" i="8"/>
  <c r="E45" i="8"/>
  <c r="B46" i="8"/>
  <c r="C46" i="8"/>
  <c r="D46" i="8"/>
  <c r="E46" i="8"/>
  <c r="B47" i="8"/>
  <c r="C47" i="8"/>
  <c r="D47" i="8"/>
  <c r="E47" i="8"/>
  <c r="B48" i="8"/>
  <c r="C48" i="8"/>
  <c r="D48" i="8"/>
  <c r="E48" i="8"/>
  <c r="B49" i="8"/>
  <c r="C49" i="8"/>
  <c r="D49" i="8"/>
  <c r="E49" i="8"/>
  <c r="B50" i="8"/>
  <c r="C50" i="8"/>
  <c r="D50" i="8"/>
  <c r="E50" i="8"/>
  <c r="B51" i="8"/>
  <c r="C51" i="8"/>
  <c r="D51" i="8"/>
  <c r="E51" i="8"/>
  <c r="B52" i="8"/>
  <c r="C52" i="8"/>
  <c r="D52" i="8"/>
  <c r="E52" i="8"/>
  <c r="B53" i="8"/>
  <c r="C53" i="8"/>
  <c r="D53" i="8"/>
  <c r="E53" i="8"/>
  <c r="B54" i="8"/>
  <c r="C54" i="8"/>
  <c r="D54" i="8"/>
  <c r="E54" i="8"/>
  <c r="B55" i="8"/>
  <c r="C55" i="8"/>
  <c r="D55" i="8"/>
  <c r="E55" i="8"/>
  <c r="B56" i="8"/>
  <c r="C56" i="8"/>
  <c r="D56" i="8"/>
  <c r="E56" i="8"/>
  <c r="B57" i="8"/>
  <c r="C57" i="8"/>
  <c r="D57" i="8"/>
  <c r="E57" i="8"/>
  <c r="B58" i="8"/>
  <c r="C58" i="8"/>
  <c r="D58" i="8"/>
  <c r="E58" i="8"/>
  <c r="B59" i="8"/>
  <c r="C59" i="8"/>
  <c r="D59" i="8"/>
  <c r="E59" i="8"/>
  <c r="B60" i="8"/>
  <c r="C60" i="8"/>
  <c r="D60" i="8"/>
  <c r="E60" i="8"/>
  <c r="B61" i="8"/>
  <c r="C61" i="8"/>
  <c r="D61" i="8"/>
  <c r="E61" i="8"/>
  <c r="B62" i="8"/>
  <c r="C62" i="8"/>
  <c r="D62" i="8"/>
  <c r="E62" i="8"/>
  <c r="B63" i="8"/>
  <c r="C63" i="8"/>
  <c r="D63" i="8"/>
  <c r="E63" i="8"/>
  <c r="B64" i="8"/>
  <c r="C64" i="8"/>
  <c r="D64" i="8"/>
  <c r="E64" i="8"/>
  <c r="B65" i="8"/>
  <c r="C65" i="8"/>
  <c r="D65" i="8"/>
  <c r="E65" i="8"/>
  <c r="B66" i="8"/>
  <c r="C66" i="8"/>
  <c r="D66" i="8"/>
  <c r="E66" i="8"/>
  <c r="B67" i="8"/>
  <c r="C67" i="8"/>
  <c r="D67" i="8"/>
  <c r="E67" i="8"/>
  <c r="B68" i="8"/>
  <c r="C68" i="8"/>
  <c r="D68" i="8"/>
  <c r="E68" i="8"/>
  <c r="B69" i="8"/>
  <c r="C69" i="8"/>
  <c r="D69" i="8"/>
  <c r="E69" i="8"/>
  <c r="B70" i="8"/>
  <c r="C70" i="8"/>
  <c r="D70" i="8"/>
  <c r="E70" i="8"/>
  <c r="B71" i="8"/>
  <c r="C71" i="8"/>
  <c r="D71" i="8"/>
  <c r="E71" i="8"/>
  <c r="B72" i="8"/>
  <c r="C72" i="8"/>
  <c r="D72" i="8"/>
  <c r="E72" i="8"/>
  <c r="B73" i="8"/>
  <c r="C73" i="8"/>
  <c r="D73" i="8"/>
  <c r="E73" i="8"/>
  <c r="B74" i="8"/>
  <c r="C74" i="8"/>
  <c r="D74" i="8"/>
  <c r="E74" i="8"/>
  <c r="B75" i="8"/>
  <c r="C75" i="8"/>
  <c r="D75" i="8"/>
  <c r="E75" i="8"/>
  <c r="B76" i="8"/>
  <c r="C76" i="8"/>
  <c r="D76" i="8"/>
  <c r="E76" i="8"/>
  <c r="B77" i="8"/>
  <c r="C77" i="8"/>
  <c r="D77" i="8"/>
  <c r="E77" i="8"/>
  <c r="B78" i="8"/>
  <c r="C78" i="8"/>
  <c r="D78" i="8"/>
  <c r="E78" i="8"/>
  <c r="B79" i="8"/>
  <c r="C79" i="8"/>
  <c r="D79" i="8"/>
  <c r="E79" i="8"/>
  <c r="B80" i="8"/>
  <c r="C80" i="8"/>
  <c r="D80" i="8"/>
  <c r="E80" i="8"/>
  <c r="B81" i="8"/>
  <c r="C81" i="8"/>
  <c r="D81" i="8"/>
  <c r="E81" i="8"/>
  <c r="B82" i="8"/>
  <c r="C82" i="8"/>
  <c r="D82" i="8"/>
  <c r="E82" i="8"/>
  <c r="B83" i="8"/>
  <c r="C83" i="8"/>
  <c r="D83" i="8"/>
  <c r="E83" i="8"/>
  <c r="B84" i="8"/>
  <c r="C84" i="8"/>
  <c r="D84" i="8"/>
  <c r="E84" i="8"/>
  <c r="B85" i="8"/>
  <c r="C85" i="8"/>
  <c r="D85" i="8"/>
  <c r="E85" i="8"/>
  <c r="B86" i="8"/>
  <c r="C86" i="8"/>
  <c r="D86" i="8"/>
  <c r="E86" i="8"/>
  <c r="B87" i="8"/>
  <c r="C87" i="8"/>
  <c r="D87" i="8"/>
  <c r="E87" i="8"/>
  <c r="B88" i="8"/>
  <c r="C88" i="8"/>
  <c r="D88" i="8"/>
  <c r="E88" i="8"/>
  <c r="B89" i="8"/>
  <c r="C89" i="8"/>
  <c r="D89" i="8"/>
  <c r="E89" i="8"/>
  <c r="B90" i="8"/>
  <c r="C90" i="8"/>
  <c r="D90" i="8"/>
  <c r="E90" i="8"/>
  <c r="B91" i="8"/>
  <c r="C91" i="8"/>
  <c r="D91" i="8"/>
  <c r="E91" i="8"/>
  <c r="B92" i="8"/>
  <c r="C92" i="8"/>
  <c r="D92" i="8"/>
  <c r="E92" i="8"/>
  <c r="B93" i="8"/>
  <c r="C93" i="8"/>
  <c r="D93" i="8"/>
  <c r="E93" i="8"/>
  <c r="B94" i="8"/>
  <c r="C94" i="8"/>
  <c r="D94" i="8"/>
  <c r="E94" i="8"/>
  <c r="B95" i="8"/>
  <c r="C95" i="8"/>
  <c r="D95" i="8"/>
  <c r="E95" i="8"/>
  <c r="B96" i="8"/>
  <c r="C96" i="8"/>
  <c r="D96" i="8"/>
  <c r="E96" i="8"/>
  <c r="B97" i="8"/>
  <c r="C97" i="8"/>
  <c r="D97" i="8"/>
  <c r="E97" i="8"/>
  <c r="B98" i="8"/>
  <c r="C98" i="8"/>
  <c r="D98" i="8"/>
  <c r="E98" i="8"/>
  <c r="B99" i="8"/>
  <c r="C99" i="8"/>
  <c r="D99" i="8"/>
  <c r="E99" i="8"/>
  <c r="B100" i="8"/>
  <c r="C100" i="8"/>
  <c r="D100" i="8"/>
  <c r="E100" i="8"/>
  <c r="B101" i="8"/>
  <c r="C101" i="8"/>
  <c r="D101" i="8"/>
  <c r="E101" i="8"/>
  <c r="B102" i="8"/>
  <c r="C102" i="8"/>
  <c r="D102" i="8"/>
  <c r="E102" i="8"/>
  <c r="B103" i="8"/>
  <c r="C103" i="8"/>
  <c r="D103" i="8"/>
  <c r="E103" i="8"/>
  <c r="B104" i="8"/>
  <c r="C104" i="8"/>
  <c r="D104" i="8"/>
  <c r="E104" i="8"/>
  <c r="B105" i="8"/>
  <c r="C105" i="8"/>
  <c r="D105" i="8"/>
  <c r="E105" i="8"/>
  <c r="B106" i="8"/>
  <c r="C106" i="8"/>
  <c r="D106" i="8"/>
  <c r="E106" i="8"/>
  <c r="B107" i="8"/>
  <c r="C107" i="8"/>
  <c r="D107" i="8"/>
  <c r="E107" i="8"/>
  <c r="B108" i="8"/>
  <c r="C108" i="8"/>
  <c r="D108" i="8"/>
  <c r="E108" i="8"/>
  <c r="B109" i="8"/>
  <c r="C109" i="8"/>
  <c r="D109" i="8"/>
  <c r="E109" i="8"/>
  <c r="B110" i="8"/>
  <c r="C110" i="8"/>
  <c r="D110" i="8"/>
  <c r="E110" i="8"/>
  <c r="B111" i="8"/>
  <c r="C111" i="8"/>
  <c r="D111" i="8"/>
  <c r="E111" i="8"/>
  <c r="B112" i="8"/>
  <c r="C112" i="8"/>
  <c r="D112" i="8"/>
  <c r="E112" i="8"/>
  <c r="B113" i="8"/>
  <c r="C113" i="8"/>
  <c r="D113" i="8"/>
  <c r="E113" i="8"/>
  <c r="B114" i="8"/>
  <c r="C114" i="8"/>
  <c r="D114" i="8"/>
  <c r="E114" i="8"/>
  <c r="B115" i="8"/>
  <c r="C115" i="8"/>
  <c r="D115" i="8"/>
  <c r="E115" i="8"/>
  <c r="B116" i="8"/>
  <c r="C116" i="8"/>
  <c r="D116" i="8"/>
  <c r="E116" i="8"/>
  <c r="B117" i="8"/>
  <c r="C117" i="8"/>
  <c r="D117" i="8"/>
  <c r="E117" i="8"/>
  <c r="B118" i="8"/>
  <c r="C118" i="8"/>
  <c r="D118" i="8"/>
  <c r="E118" i="8"/>
  <c r="B119" i="8"/>
  <c r="C119" i="8"/>
  <c r="D119" i="8"/>
  <c r="E119" i="8"/>
  <c r="B120" i="8"/>
  <c r="C120" i="8"/>
  <c r="D120" i="8"/>
  <c r="E120" i="8"/>
  <c r="B121" i="8"/>
  <c r="C121" i="8"/>
  <c r="D121" i="8"/>
  <c r="E121" i="8"/>
  <c r="B122" i="8"/>
  <c r="C122" i="8"/>
  <c r="D122" i="8"/>
  <c r="E122" i="8"/>
  <c r="B123" i="8"/>
  <c r="C123" i="8"/>
  <c r="D123" i="8"/>
  <c r="E123" i="8"/>
  <c r="B124" i="8"/>
  <c r="C124" i="8"/>
  <c r="D124" i="8"/>
  <c r="E124" i="8"/>
  <c r="B125" i="8"/>
  <c r="C125" i="8"/>
  <c r="D125" i="8"/>
  <c r="E125" i="8"/>
  <c r="B126" i="8"/>
  <c r="C126" i="8"/>
  <c r="D126" i="8"/>
  <c r="E126" i="8"/>
  <c r="B127" i="8"/>
  <c r="C127" i="8"/>
  <c r="D127" i="8"/>
  <c r="E127" i="8"/>
  <c r="B128" i="8"/>
  <c r="C128" i="8"/>
  <c r="D128" i="8"/>
  <c r="E128" i="8"/>
  <c r="B129" i="8"/>
  <c r="C129" i="8"/>
  <c r="D129" i="8"/>
  <c r="E129" i="8"/>
  <c r="B130" i="8"/>
  <c r="C130" i="8"/>
  <c r="D130" i="8"/>
  <c r="E130" i="8"/>
  <c r="B131" i="8"/>
  <c r="C131" i="8"/>
  <c r="D131" i="8"/>
  <c r="E131" i="8"/>
  <c r="B132" i="8"/>
  <c r="C132" i="8"/>
  <c r="D132" i="8"/>
  <c r="E132" i="8"/>
  <c r="B133" i="8"/>
  <c r="C133" i="8"/>
  <c r="D133" i="8"/>
  <c r="E133" i="8"/>
  <c r="B134" i="8"/>
  <c r="C134" i="8"/>
  <c r="D134" i="8"/>
  <c r="E134" i="8"/>
  <c r="B135" i="8"/>
  <c r="C135" i="8"/>
  <c r="D135" i="8"/>
  <c r="E135" i="8"/>
  <c r="B136" i="8"/>
  <c r="C136" i="8"/>
  <c r="D136" i="8"/>
  <c r="E136" i="8"/>
  <c r="B137" i="8"/>
  <c r="C137" i="8"/>
  <c r="D137" i="8"/>
  <c r="E137" i="8"/>
  <c r="B31" i="7"/>
  <c r="C31" i="7"/>
  <c r="D31" i="7"/>
  <c r="E31" i="7"/>
  <c r="B32" i="7"/>
  <c r="C32" i="7"/>
  <c r="D32" i="7"/>
  <c r="E32" i="7"/>
  <c r="B33" i="7"/>
  <c r="C33" i="7"/>
  <c r="D33" i="7"/>
  <c r="E33" i="7"/>
  <c r="B34" i="7"/>
  <c r="C34" i="7"/>
  <c r="D34" i="7"/>
  <c r="E34" i="7"/>
  <c r="B35" i="7"/>
  <c r="C35" i="7"/>
  <c r="D35" i="7"/>
  <c r="E35" i="7"/>
  <c r="B36" i="7"/>
  <c r="C36" i="7"/>
  <c r="D36" i="7"/>
  <c r="E36" i="7"/>
  <c r="B37" i="7"/>
  <c r="C37" i="7"/>
  <c r="D37" i="7"/>
  <c r="E37" i="7"/>
  <c r="B38" i="7"/>
  <c r="C38" i="7"/>
  <c r="D38" i="7"/>
  <c r="E38" i="7"/>
  <c r="B39" i="7"/>
  <c r="C39" i="7"/>
  <c r="D39" i="7"/>
  <c r="E39" i="7"/>
  <c r="B40" i="7"/>
  <c r="C40" i="7"/>
  <c r="D40" i="7"/>
  <c r="E40" i="7"/>
  <c r="B41" i="7"/>
  <c r="C41" i="7"/>
  <c r="D41" i="7"/>
  <c r="E41" i="7"/>
  <c r="B42" i="7"/>
  <c r="C42" i="7"/>
  <c r="D42" i="7"/>
  <c r="E42" i="7"/>
  <c r="B43" i="7"/>
  <c r="C43" i="7"/>
  <c r="D43" i="7"/>
  <c r="E43" i="7"/>
  <c r="B44" i="7"/>
  <c r="C44" i="7"/>
  <c r="D44" i="7"/>
  <c r="E44" i="7"/>
  <c r="B45" i="7"/>
  <c r="C45" i="7"/>
  <c r="D45" i="7"/>
  <c r="E45" i="7"/>
  <c r="B46" i="7"/>
  <c r="C46" i="7"/>
  <c r="D46" i="7"/>
  <c r="E46" i="7"/>
  <c r="B47" i="7"/>
  <c r="C47" i="7"/>
  <c r="D47" i="7"/>
  <c r="E47" i="7"/>
  <c r="B48" i="7"/>
  <c r="C48" i="7"/>
  <c r="D48" i="7"/>
  <c r="E48" i="7"/>
  <c r="B49" i="7"/>
  <c r="C49" i="7"/>
  <c r="D49" i="7"/>
  <c r="E49" i="7"/>
  <c r="B50" i="7"/>
  <c r="C50" i="7"/>
  <c r="D50" i="7"/>
  <c r="E50" i="7"/>
  <c r="B51" i="7"/>
  <c r="C51" i="7"/>
  <c r="D51" i="7"/>
  <c r="E51" i="7"/>
  <c r="B52" i="7"/>
  <c r="C52" i="7"/>
  <c r="D52" i="7"/>
  <c r="E52" i="7"/>
  <c r="B53" i="7"/>
  <c r="C53" i="7"/>
  <c r="D53" i="7"/>
  <c r="E53" i="7"/>
  <c r="B54" i="7"/>
  <c r="C54" i="7"/>
  <c r="D54" i="7"/>
  <c r="E54" i="7"/>
  <c r="B55" i="7"/>
  <c r="C55" i="7"/>
  <c r="D55" i="7"/>
  <c r="E55" i="7"/>
  <c r="B56" i="7"/>
  <c r="C56" i="7"/>
  <c r="D56" i="7"/>
  <c r="E56" i="7"/>
  <c r="B57" i="7"/>
  <c r="C57" i="7"/>
  <c r="D57" i="7"/>
  <c r="E57" i="7"/>
  <c r="B58" i="7"/>
  <c r="C58" i="7"/>
  <c r="D58" i="7"/>
  <c r="E58" i="7"/>
  <c r="B59" i="7"/>
  <c r="C59" i="7"/>
  <c r="D59" i="7"/>
  <c r="E59" i="7"/>
  <c r="B60" i="7"/>
  <c r="C60" i="7"/>
  <c r="D60" i="7"/>
  <c r="E60" i="7"/>
  <c r="B61" i="7"/>
  <c r="C61" i="7"/>
  <c r="D61" i="7"/>
  <c r="E61" i="7"/>
  <c r="B62" i="7"/>
  <c r="C62" i="7"/>
  <c r="D62" i="7"/>
  <c r="E62" i="7"/>
  <c r="B63" i="7"/>
  <c r="C63" i="7"/>
  <c r="D63" i="7"/>
  <c r="E63" i="7"/>
  <c r="B64" i="7"/>
  <c r="C64" i="7"/>
  <c r="D64" i="7"/>
  <c r="E64" i="7"/>
  <c r="B65" i="7"/>
  <c r="C65" i="7"/>
  <c r="D65" i="7"/>
  <c r="E65" i="7"/>
  <c r="B66" i="7"/>
  <c r="C66" i="7"/>
  <c r="D66" i="7"/>
  <c r="E66" i="7"/>
  <c r="B67" i="7"/>
  <c r="C67" i="7"/>
  <c r="D67" i="7"/>
  <c r="E67" i="7"/>
  <c r="B68" i="7"/>
  <c r="C68" i="7"/>
  <c r="D68" i="7"/>
  <c r="E68" i="7"/>
  <c r="B69" i="7"/>
  <c r="C69" i="7"/>
  <c r="D69" i="7"/>
  <c r="E69" i="7"/>
  <c r="B70" i="7"/>
  <c r="C70" i="7"/>
  <c r="D70" i="7"/>
  <c r="E70" i="7"/>
  <c r="B71" i="7"/>
  <c r="C71" i="7"/>
  <c r="D71" i="7"/>
  <c r="E71" i="7"/>
  <c r="B72" i="7"/>
  <c r="C72" i="7"/>
  <c r="D72" i="7"/>
  <c r="E72" i="7"/>
  <c r="B73" i="7"/>
  <c r="C73" i="7"/>
  <c r="D73" i="7"/>
  <c r="E73" i="7"/>
  <c r="B74" i="7"/>
  <c r="C74" i="7"/>
  <c r="D74" i="7"/>
  <c r="E74" i="7"/>
  <c r="B75" i="7"/>
  <c r="C75" i="7"/>
  <c r="D75" i="7"/>
  <c r="E75" i="7"/>
  <c r="B76" i="7"/>
  <c r="C76" i="7"/>
  <c r="D76" i="7"/>
  <c r="E76" i="7"/>
  <c r="B77" i="7"/>
  <c r="C77" i="7"/>
  <c r="D77" i="7"/>
  <c r="E77" i="7"/>
  <c r="B78" i="7"/>
  <c r="C78" i="7"/>
  <c r="D78" i="7"/>
  <c r="E78" i="7"/>
  <c r="B79" i="7"/>
  <c r="C79" i="7"/>
  <c r="D79" i="7"/>
  <c r="E79" i="7"/>
  <c r="B80" i="7"/>
  <c r="C80" i="7"/>
  <c r="D80" i="7"/>
  <c r="E80" i="7"/>
  <c r="B81" i="7"/>
  <c r="C81" i="7"/>
  <c r="D81" i="7"/>
  <c r="E81" i="7"/>
  <c r="B82" i="7"/>
  <c r="C82" i="7"/>
  <c r="D82" i="7"/>
  <c r="E82" i="7"/>
  <c r="B83" i="7"/>
  <c r="C83" i="7"/>
  <c r="D83" i="7"/>
  <c r="E83" i="7"/>
  <c r="B84" i="7"/>
  <c r="C84" i="7"/>
  <c r="D84" i="7"/>
  <c r="E84" i="7"/>
  <c r="B85" i="7"/>
  <c r="C85" i="7"/>
  <c r="D85" i="7"/>
  <c r="E85" i="7"/>
  <c r="B86" i="7"/>
  <c r="C86" i="7"/>
  <c r="D86" i="7"/>
  <c r="E86" i="7"/>
  <c r="B87" i="7"/>
  <c r="C87" i="7"/>
  <c r="D87" i="7"/>
  <c r="E87" i="7"/>
  <c r="B88" i="7"/>
  <c r="C88" i="7"/>
  <c r="D88" i="7"/>
  <c r="E88" i="7"/>
  <c r="B89" i="7"/>
  <c r="C89" i="7"/>
  <c r="D89" i="7"/>
  <c r="E89" i="7"/>
  <c r="B90" i="7"/>
  <c r="C90" i="7"/>
  <c r="D90" i="7"/>
  <c r="E90" i="7"/>
  <c r="B91" i="7"/>
  <c r="C91" i="7"/>
  <c r="D91" i="7"/>
  <c r="E91" i="7"/>
  <c r="B92" i="7"/>
  <c r="C92" i="7"/>
  <c r="D92" i="7"/>
  <c r="E92" i="7"/>
  <c r="B93" i="7"/>
  <c r="C93" i="7"/>
  <c r="D93" i="7"/>
  <c r="E93" i="7"/>
  <c r="B94" i="7"/>
  <c r="C94" i="7"/>
  <c r="D94" i="7"/>
  <c r="E94" i="7"/>
  <c r="B95" i="7"/>
  <c r="C95" i="7"/>
  <c r="D95" i="7"/>
  <c r="E95" i="7"/>
  <c r="B96" i="7"/>
  <c r="C96" i="7"/>
  <c r="D96" i="7"/>
  <c r="E96" i="7"/>
  <c r="B97" i="7"/>
  <c r="C97" i="7"/>
  <c r="D97" i="7"/>
  <c r="E97" i="7"/>
  <c r="B98" i="7"/>
  <c r="C98" i="7"/>
  <c r="D98" i="7"/>
  <c r="E98" i="7"/>
  <c r="B99" i="7"/>
  <c r="C99" i="7"/>
  <c r="D99" i="7"/>
  <c r="E99" i="7"/>
  <c r="B100" i="7"/>
  <c r="C100" i="7"/>
  <c r="D100" i="7"/>
  <c r="E100" i="7"/>
  <c r="B101" i="7"/>
  <c r="C101" i="7"/>
  <c r="D101" i="7"/>
  <c r="E101" i="7"/>
  <c r="B102" i="7"/>
  <c r="C102" i="7"/>
  <c r="D102" i="7"/>
  <c r="E102" i="7"/>
  <c r="B103" i="7"/>
  <c r="C103" i="7"/>
  <c r="D103" i="7"/>
  <c r="E103" i="7"/>
  <c r="B104" i="7"/>
  <c r="C104" i="7"/>
  <c r="D104" i="7"/>
  <c r="E104" i="7"/>
  <c r="B105" i="7"/>
  <c r="C105" i="7"/>
  <c r="D105" i="7"/>
  <c r="E105" i="7"/>
  <c r="B106" i="7"/>
  <c r="C106" i="7"/>
  <c r="D106" i="7"/>
  <c r="E106" i="7"/>
  <c r="B107" i="7"/>
  <c r="C107" i="7"/>
  <c r="D107" i="7"/>
  <c r="E107" i="7"/>
  <c r="B108" i="7"/>
  <c r="C108" i="7"/>
  <c r="D108" i="7"/>
  <c r="E108" i="7"/>
  <c r="B109" i="7"/>
  <c r="C109" i="7"/>
  <c r="D109" i="7"/>
  <c r="E109" i="7"/>
  <c r="B110" i="7"/>
  <c r="C110" i="7"/>
  <c r="D110" i="7"/>
  <c r="E110" i="7"/>
  <c r="B111" i="7"/>
  <c r="C111" i="7"/>
  <c r="D111" i="7"/>
  <c r="E111" i="7"/>
  <c r="B112" i="7"/>
  <c r="C112" i="7"/>
  <c r="D112" i="7"/>
  <c r="E112" i="7"/>
  <c r="B113" i="7"/>
  <c r="C113" i="7"/>
  <c r="D113" i="7"/>
  <c r="E113" i="7"/>
  <c r="B114" i="7"/>
  <c r="C114" i="7"/>
  <c r="D114" i="7"/>
  <c r="E114" i="7"/>
  <c r="B115" i="7"/>
  <c r="C115" i="7"/>
  <c r="D115" i="7"/>
  <c r="E115" i="7"/>
  <c r="B116" i="7"/>
  <c r="C116" i="7"/>
  <c r="D116" i="7"/>
  <c r="E116" i="7"/>
  <c r="B117" i="7"/>
  <c r="C117" i="7"/>
  <c r="D117" i="7"/>
  <c r="E117" i="7"/>
  <c r="B118" i="7"/>
  <c r="C118" i="7"/>
  <c r="D118" i="7"/>
  <c r="E118" i="7"/>
  <c r="B119" i="7"/>
  <c r="C119" i="7"/>
  <c r="D119" i="7"/>
  <c r="E119" i="7"/>
  <c r="B120" i="7"/>
  <c r="C120" i="7"/>
  <c r="D120" i="7"/>
  <c r="E120" i="7"/>
  <c r="B121" i="7"/>
  <c r="C121" i="7"/>
  <c r="D121" i="7"/>
  <c r="E121" i="7"/>
  <c r="B122" i="7"/>
  <c r="C122" i="7"/>
  <c r="D122" i="7"/>
  <c r="E122" i="7"/>
  <c r="B123" i="7"/>
  <c r="C123" i="7"/>
  <c r="D123" i="7"/>
  <c r="E123" i="7"/>
  <c r="B124" i="7"/>
  <c r="C124" i="7"/>
  <c r="D124" i="7"/>
  <c r="E124" i="7"/>
  <c r="B125" i="7"/>
  <c r="C125" i="7"/>
  <c r="D125" i="7"/>
  <c r="E125" i="7"/>
  <c r="B126" i="7"/>
  <c r="C126" i="7"/>
  <c r="D126" i="7"/>
  <c r="E126" i="7"/>
  <c r="B127" i="7"/>
  <c r="C127" i="7"/>
  <c r="D127" i="7"/>
  <c r="E127" i="7"/>
  <c r="B128" i="7"/>
  <c r="C128" i="7"/>
  <c r="D128" i="7"/>
  <c r="E128" i="7"/>
  <c r="B129" i="7"/>
  <c r="C129" i="7"/>
  <c r="D129" i="7"/>
  <c r="E129" i="7"/>
  <c r="B130" i="7"/>
  <c r="C130" i="7"/>
  <c r="D130" i="7"/>
  <c r="E130" i="7"/>
  <c r="B131" i="7"/>
  <c r="C131" i="7"/>
  <c r="D131" i="7"/>
  <c r="E131" i="7"/>
  <c r="B132" i="7"/>
  <c r="C132" i="7"/>
  <c r="D132" i="7"/>
  <c r="E132" i="7"/>
  <c r="B133" i="7"/>
  <c r="C133" i="7"/>
  <c r="D133" i="7"/>
  <c r="E133" i="7"/>
  <c r="B134" i="7"/>
  <c r="C134" i="7"/>
  <c r="D134" i="7"/>
  <c r="E134" i="7"/>
  <c r="B135" i="7"/>
  <c r="C135" i="7"/>
  <c r="D135" i="7"/>
  <c r="E135" i="7"/>
  <c r="B136" i="7"/>
  <c r="C136" i="7"/>
  <c r="D136" i="7"/>
  <c r="E136" i="7"/>
  <c r="B137" i="7"/>
  <c r="C137" i="7"/>
  <c r="D137" i="7"/>
  <c r="E137" i="7"/>
  <c r="B138" i="7"/>
  <c r="C138" i="7"/>
  <c r="D138" i="7"/>
  <c r="E138" i="7"/>
  <c r="B139" i="7"/>
  <c r="C139" i="7"/>
  <c r="D139" i="7"/>
  <c r="E139" i="7"/>
  <c r="B140" i="7"/>
  <c r="C140" i="7"/>
  <c r="D140" i="7"/>
  <c r="E140" i="7"/>
  <c r="B141" i="7"/>
  <c r="C141" i="7"/>
  <c r="D141" i="7"/>
  <c r="E141" i="7"/>
  <c r="B142" i="7"/>
  <c r="C142" i="7"/>
  <c r="D142" i="7"/>
  <c r="E142" i="7"/>
  <c r="B143" i="7"/>
  <c r="C143" i="7"/>
  <c r="D143" i="7"/>
  <c r="E143" i="7"/>
  <c r="B144" i="7"/>
  <c r="C144" i="7"/>
  <c r="D144" i="7"/>
  <c r="E144" i="7"/>
  <c r="B145" i="7"/>
  <c r="C145" i="7"/>
  <c r="D145" i="7"/>
  <c r="E145" i="7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C137" i="3"/>
  <c r="D137" i="3"/>
  <c r="E137" i="3"/>
  <c r="F137" i="3"/>
  <c r="G137" i="3"/>
  <c r="H137" i="3"/>
  <c r="B138" i="3"/>
  <c r="C138" i="3"/>
  <c r="D138" i="3"/>
  <c r="E138" i="3"/>
  <c r="F138" i="3"/>
  <c r="G138" i="3"/>
  <c r="H138" i="3"/>
  <c r="B139" i="3"/>
  <c r="C139" i="3"/>
  <c r="D139" i="3"/>
  <c r="E139" i="3"/>
  <c r="F139" i="3"/>
  <c r="G139" i="3"/>
  <c r="H139" i="3"/>
  <c r="B140" i="3"/>
  <c r="C140" i="3"/>
  <c r="D140" i="3"/>
  <c r="E140" i="3"/>
  <c r="F140" i="3"/>
  <c r="G140" i="3"/>
  <c r="H140" i="3"/>
  <c r="B141" i="3"/>
  <c r="C141" i="3"/>
  <c r="D141" i="3"/>
  <c r="E141" i="3"/>
  <c r="F141" i="3"/>
  <c r="G141" i="3"/>
  <c r="H141" i="3"/>
  <c r="B142" i="3"/>
  <c r="C142" i="3"/>
  <c r="D142" i="3"/>
  <c r="E142" i="3"/>
  <c r="F142" i="3"/>
  <c r="G142" i="3"/>
  <c r="H142" i="3"/>
  <c r="AI21" i="10"/>
  <c r="AC21" i="10"/>
  <c r="AC22" i="10"/>
  <c r="AC23" i="10"/>
  <c r="AC24" i="10"/>
  <c r="AC25" i="10"/>
  <c r="AE22" i="10"/>
  <c r="AE21" i="10"/>
  <c r="Y11" i="10" a="1"/>
  <c r="Y11" i="10" s="1"/>
  <c r="Z11" i="10" a="1"/>
  <c r="Z11" i="10" s="1"/>
  <c r="AA11" i="10" a="1"/>
  <c r="AA11" i="10" s="1"/>
  <c r="AB11" i="10" a="1"/>
  <c r="AB11" i="10" s="1"/>
  <c r="Q3" i="10"/>
  <c r="O28400" i="10"/>
  <c r="O28401" i="10"/>
  <c r="O28402" i="10"/>
  <c r="O28403" i="10"/>
  <c r="O28404" i="10"/>
  <c r="O28405" i="10"/>
  <c r="O28406" i="10"/>
  <c r="O28407" i="10"/>
  <c r="O28408" i="10"/>
  <c r="O28409" i="10"/>
  <c r="O28410" i="10"/>
  <c r="O28411" i="10"/>
  <c r="O28412" i="10"/>
  <c r="O28413" i="10"/>
  <c r="O28414" i="10"/>
  <c r="O28415" i="10"/>
  <c r="O28416" i="10"/>
  <c r="O28417" i="10"/>
  <c r="O28418" i="10"/>
  <c r="O28419" i="10"/>
  <c r="O28420" i="10"/>
  <c r="O28421" i="10"/>
  <c r="O28422" i="10"/>
  <c r="O28423" i="10"/>
  <c r="O28424" i="10"/>
  <c r="O28425" i="10"/>
  <c r="O28426" i="10"/>
  <c r="O28427" i="10"/>
  <c r="O28428" i="10"/>
  <c r="O28429" i="10"/>
  <c r="O28430" i="10"/>
  <c r="O28431" i="10"/>
  <c r="O28432" i="10"/>
  <c r="O28433" i="10"/>
  <c r="O28434" i="10"/>
  <c r="O28435" i="10"/>
  <c r="O28436" i="10"/>
  <c r="O28437" i="10"/>
  <c r="O28438" i="10"/>
  <c r="O28439" i="10"/>
  <c r="O28440" i="10"/>
  <c r="O28441" i="10"/>
  <c r="O28442" i="10"/>
  <c r="O28443" i="10"/>
  <c r="O28444" i="10"/>
  <c r="O28445" i="10"/>
  <c r="O28446" i="10"/>
  <c r="O28447" i="10"/>
  <c r="O28448" i="10"/>
  <c r="O28449" i="10"/>
  <c r="O28450" i="10"/>
  <c r="O28451" i="10"/>
  <c r="O28452" i="10"/>
  <c r="O28453" i="10"/>
  <c r="O28454" i="10"/>
  <c r="O28455" i="10"/>
  <c r="O28456" i="10"/>
  <c r="O28457" i="10"/>
  <c r="O28458" i="10"/>
  <c r="O28459" i="10"/>
  <c r="O28460" i="10"/>
  <c r="O28461" i="10"/>
  <c r="O28462" i="10"/>
  <c r="O28463" i="10"/>
  <c r="O28464" i="10"/>
  <c r="O28465" i="10"/>
  <c r="O28466" i="10"/>
  <c r="O28467" i="10"/>
  <c r="O28468" i="10"/>
  <c r="O28469" i="10"/>
  <c r="O28470" i="10"/>
  <c r="O28471" i="10"/>
  <c r="O28472" i="10"/>
  <c r="O28473" i="10"/>
  <c r="O28474" i="10"/>
  <c r="O28475" i="10"/>
  <c r="O28476" i="10"/>
  <c r="O28477" i="10"/>
  <c r="O28478" i="10"/>
  <c r="O28479" i="10"/>
  <c r="O28480" i="10"/>
  <c r="O28481" i="10"/>
  <c r="O28482" i="10"/>
  <c r="O28483" i="10"/>
  <c r="O28484" i="10"/>
  <c r="O28485" i="10"/>
  <c r="O28486" i="10"/>
  <c r="O28487" i="10"/>
  <c r="O28488" i="10"/>
  <c r="O28489" i="10"/>
  <c r="O28490" i="10"/>
  <c r="O28491" i="10"/>
  <c r="O28492" i="10"/>
  <c r="O28493" i="10"/>
  <c r="O28494" i="10"/>
  <c r="O28495" i="10"/>
  <c r="O28496" i="10"/>
  <c r="O28497" i="10"/>
  <c r="O28498" i="10"/>
  <c r="O28499" i="10"/>
  <c r="O28500" i="10"/>
  <c r="O28501" i="10"/>
  <c r="O28502" i="10"/>
  <c r="O28503" i="10"/>
  <c r="O28504" i="10"/>
  <c r="O28505" i="10"/>
  <c r="O28506" i="10"/>
  <c r="O28507" i="10"/>
  <c r="O28508" i="10"/>
  <c r="O28509" i="10"/>
  <c r="O28510" i="10"/>
  <c r="O28511" i="10"/>
  <c r="O28512" i="10"/>
  <c r="O28513" i="10"/>
  <c r="O28514" i="10"/>
  <c r="O28515" i="10"/>
  <c r="O28516" i="10"/>
  <c r="O28517" i="10"/>
  <c r="O28518" i="10"/>
  <c r="O28519" i="10"/>
  <c r="O28520" i="10"/>
  <c r="O28521" i="10"/>
  <c r="O28522" i="10"/>
  <c r="O28523" i="10"/>
  <c r="O28524" i="10"/>
  <c r="O28525" i="10"/>
  <c r="O28526" i="10"/>
  <c r="O28527" i="10"/>
  <c r="O28528" i="10"/>
  <c r="O28529" i="10"/>
  <c r="O28530" i="10"/>
  <c r="O28531" i="10"/>
  <c r="O28532" i="10"/>
  <c r="O28533" i="10"/>
  <c r="O28534" i="10"/>
  <c r="O28535" i="10"/>
  <c r="O28536" i="10"/>
  <c r="O28537" i="10"/>
  <c r="O28538" i="10"/>
  <c r="O28539" i="10"/>
  <c r="O28540" i="10"/>
  <c r="O28541" i="10"/>
  <c r="O28542" i="10"/>
  <c r="O28543" i="10"/>
  <c r="O28544" i="10"/>
  <c r="O28545" i="10"/>
  <c r="O28546" i="10"/>
  <c r="O28547" i="10"/>
  <c r="O28548" i="10"/>
  <c r="O28549" i="10"/>
  <c r="O28550" i="10"/>
  <c r="O28551" i="10"/>
  <c r="O28552" i="10"/>
  <c r="O28553" i="10"/>
  <c r="O28554" i="10"/>
  <c r="O28555" i="10"/>
  <c r="O28556" i="10"/>
  <c r="O28557" i="10"/>
  <c r="O28558" i="10"/>
  <c r="O28559" i="10"/>
  <c r="O28560" i="10"/>
  <c r="O28561" i="10"/>
  <c r="O28562" i="10"/>
  <c r="O28563" i="10"/>
  <c r="O28564" i="10"/>
  <c r="O28565" i="10"/>
  <c r="O28566" i="10"/>
  <c r="O28567" i="10"/>
  <c r="O28568" i="10"/>
  <c r="O28569" i="10"/>
  <c r="O28570" i="10"/>
  <c r="O28571" i="10"/>
  <c r="O28572" i="10"/>
  <c r="O28573" i="10"/>
  <c r="O28574" i="10"/>
  <c r="O28575" i="10"/>
  <c r="O28576" i="10"/>
  <c r="O28577" i="10"/>
  <c r="O28578" i="10"/>
  <c r="O28579" i="10"/>
  <c r="O28580" i="10"/>
  <c r="O28581" i="10"/>
  <c r="O28582" i="10"/>
  <c r="O28583" i="10"/>
  <c r="O28584" i="10"/>
  <c r="O28585" i="10"/>
  <c r="O28586" i="10"/>
  <c r="O28587" i="10"/>
  <c r="O28588" i="10"/>
  <c r="O28589" i="10"/>
  <c r="O28590" i="10"/>
  <c r="O28591" i="10"/>
  <c r="O28592" i="10"/>
  <c r="O28593" i="10"/>
  <c r="O28594" i="10"/>
  <c r="O28595" i="10"/>
  <c r="O28596" i="10"/>
  <c r="O28597" i="10"/>
  <c r="O28598" i="10"/>
  <c r="O28599" i="10"/>
  <c r="O28600" i="10"/>
  <c r="O28601" i="10"/>
  <c r="O28602" i="10"/>
  <c r="O28603" i="10"/>
  <c r="O28604" i="10"/>
  <c r="O28605" i="10"/>
  <c r="O28606" i="10"/>
  <c r="O28607" i="10"/>
  <c r="O28608" i="10"/>
  <c r="O28609" i="10"/>
  <c r="O28610" i="10"/>
  <c r="O28611" i="10"/>
  <c r="O28612" i="10"/>
  <c r="O28613" i="10"/>
  <c r="O28614" i="10"/>
  <c r="O28615" i="10"/>
  <c r="O28616" i="10"/>
  <c r="O28617" i="10"/>
  <c r="O28618" i="10"/>
  <c r="O28619" i="10"/>
  <c r="O28620" i="10"/>
  <c r="O28621" i="10"/>
  <c r="O28622" i="10"/>
  <c r="O28623" i="10"/>
  <c r="O28624" i="10"/>
  <c r="O28625" i="10"/>
  <c r="O28626" i="10"/>
  <c r="O28627" i="10"/>
  <c r="O28628" i="10"/>
  <c r="O28629" i="10"/>
  <c r="O28630" i="10"/>
  <c r="O28631" i="10"/>
  <c r="O28632" i="10"/>
  <c r="O28633" i="10"/>
  <c r="O28634" i="10"/>
  <c r="O28635" i="10"/>
  <c r="O28636" i="10"/>
  <c r="O28637" i="10"/>
  <c r="O28638" i="10"/>
  <c r="O28639" i="10"/>
  <c r="O28640" i="10"/>
  <c r="O28641" i="10"/>
  <c r="O28642" i="10"/>
  <c r="O28643" i="10"/>
  <c r="O28644" i="10"/>
  <c r="O28645" i="10"/>
  <c r="O28646" i="10"/>
  <c r="O28647" i="10"/>
  <c r="O28648" i="10"/>
  <c r="O28649" i="10"/>
  <c r="O28650" i="10"/>
  <c r="O28651" i="10"/>
  <c r="O28652" i="10"/>
  <c r="O28653" i="10"/>
  <c r="O28654" i="10"/>
  <c r="O28655" i="10"/>
  <c r="O28656" i="10"/>
  <c r="O28657" i="10"/>
  <c r="O28658" i="10"/>
  <c r="O28659" i="10"/>
  <c r="O28660" i="10"/>
  <c r="O28661" i="10"/>
  <c r="O28662" i="10"/>
  <c r="O28663" i="10"/>
  <c r="O28664" i="10"/>
  <c r="O28665" i="10"/>
  <c r="O28666" i="10"/>
  <c r="O28667" i="10"/>
  <c r="O28668" i="10"/>
  <c r="O28669" i="10"/>
  <c r="O28670" i="10"/>
  <c r="O28671" i="10"/>
  <c r="O28672" i="10"/>
  <c r="O28673" i="10"/>
  <c r="O28674" i="10"/>
  <c r="O28675" i="10"/>
  <c r="O28676" i="10"/>
  <c r="O28677" i="10"/>
  <c r="O28678" i="10"/>
  <c r="O28679" i="10"/>
  <c r="O28680" i="10"/>
  <c r="O28681" i="10"/>
  <c r="O28682" i="10"/>
  <c r="O28683" i="10"/>
  <c r="O28684" i="10"/>
  <c r="O28685" i="10"/>
  <c r="O28686" i="10"/>
  <c r="O28687" i="10"/>
  <c r="O28688" i="10"/>
  <c r="O28689" i="10"/>
  <c r="O28690" i="10"/>
  <c r="O28691" i="10"/>
  <c r="O28692" i="10"/>
  <c r="O28693" i="10"/>
  <c r="O28694" i="10"/>
  <c r="O28695" i="10"/>
  <c r="O28696" i="10"/>
  <c r="O28697" i="10"/>
  <c r="O28698" i="10"/>
  <c r="O28699" i="10"/>
  <c r="O28700" i="10"/>
  <c r="O28701" i="10"/>
  <c r="O28702" i="10"/>
  <c r="O28703" i="10"/>
  <c r="O28704" i="10"/>
  <c r="O28705" i="10"/>
  <c r="O28706" i="10"/>
  <c r="O28707" i="10"/>
  <c r="O28708" i="10"/>
  <c r="O28709" i="10"/>
  <c r="O28710" i="10"/>
  <c r="O28711" i="10"/>
  <c r="O28712" i="10"/>
  <c r="O28713" i="10"/>
  <c r="O28714" i="10"/>
  <c r="O28715" i="10"/>
  <c r="O28716" i="10"/>
  <c r="O28717" i="10"/>
  <c r="O28718" i="10"/>
  <c r="O28719" i="10"/>
  <c r="O28720" i="10"/>
  <c r="O28721" i="10"/>
  <c r="O28722" i="10"/>
  <c r="O28723" i="10"/>
  <c r="O28724" i="10"/>
  <c r="O28725" i="10"/>
  <c r="O28726" i="10"/>
  <c r="O28727" i="10"/>
  <c r="O28728" i="10"/>
  <c r="O28729" i="10"/>
  <c r="O28730" i="10"/>
  <c r="O28731" i="10"/>
  <c r="O28732" i="10"/>
  <c r="O28733" i="10"/>
  <c r="O28734" i="10"/>
  <c r="O28735" i="10"/>
  <c r="O28736" i="10"/>
  <c r="O28737" i="10"/>
  <c r="O28738" i="10"/>
  <c r="O28739" i="10"/>
  <c r="O28740" i="10"/>
  <c r="O28741" i="10"/>
  <c r="O28742" i="10"/>
  <c r="O28743" i="10"/>
  <c r="O28744" i="10"/>
  <c r="O28745" i="10"/>
  <c r="O28746" i="10"/>
  <c r="O28747" i="10"/>
  <c r="O28748" i="10"/>
  <c r="O28749" i="10"/>
  <c r="O28750" i="10"/>
  <c r="O28751" i="10"/>
  <c r="O28752" i="10"/>
  <c r="O28753" i="10"/>
  <c r="O28754" i="10"/>
  <c r="O28755" i="10"/>
  <c r="O28756" i="10"/>
  <c r="O28757" i="10"/>
  <c r="O28758" i="10"/>
  <c r="O28759" i="10"/>
  <c r="O28760" i="10"/>
  <c r="O28761" i="10"/>
  <c r="O28762" i="10"/>
  <c r="O28763" i="10"/>
  <c r="O28764" i="10"/>
  <c r="O28765" i="10"/>
  <c r="O28766" i="10"/>
  <c r="O28767" i="10"/>
  <c r="O28768" i="10"/>
  <c r="O28769" i="10"/>
  <c r="O28770" i="10"/>
  <c r="O28771" i="10"/>
  <c r="O28772" i="10"/>
  <c r="O28773" i="10"/>
  <c r="O28774" i="10"/>
  <c r="O28775" i="10"/>
  <c r="O28776" i="10"/>
  <c r="O28777" i="10"/>
  <c r="O28778" i="10"/>
  <c r="O28779" i="10"/>
  <c r="O28780" i="10"/>
  <c r="O28781" i="10"/>
  <c r="O28782" i="10"/>
  <c r="O28783" i="10"/>
  <c r="O28784" i="10"/>
  <c r="O28785" i="10"/>
  <c r="O28786" i="10"/>
  <c r="O28787" i="10"/>
  <c r="O28788" i="10"/>
  <c r="O28789" i="10"/>
  <c r="O28790" i="10"/>
  <c r="O28791" i="10"/>
  <c r="O28792" i="10"/>
  <c r="O28793" i="10"/>
  <c r="O28794" i="10"/>
  <c r="O28795" i="10"/>
  <c r="O28796" i="10"/>
  <c r="O28797" i="10"/>
  <c r="O28798" i="10"/>
  <c r="O28799" i="10"/>
  <c r="O28800" i="10"/>
  <c r="O28801" i="10"/>
  <c r="O28802" i="10"/>
  <c r="O28803" i="10"/>
  <c r="O28804" i="10"/>
  <c r="O28805" i="10"/>
  <c r="O28806" i="10"/>
  <c r="O28807" i="10"/>
  <c r="O28808" i="10"/>
  <c r="O28809" i="10"/>
  <c r="O28810" i="10"/>
  <c r="O28811" i="10"/>
  <c r="O28812" i="10"/>
  <c r="O28813" i="10"/>
  <c r="O28814" i="10"/>
  <c r="O28815" i="10"/>
  <c r="O28816" i="10"/>
  <c r="O28817" i="10"/>
  <c r="O28818" i="10"/>
  <c r="O28819" i="10"/>
  <c r="O28820" i="10"/>
  <c r="O28821" i="10"/>
  <c r="O28822" i="10"/>
  <c r="O28823" i="10"/>
  <c r="O28824" i="10"/>
  <c r="O28825" i="10"/>
  <c r="O28826" i="10"/>
  <c r="O28827" i="10"/>
  <c r="O28828" i="10"/>
  <c r="O28829" i="10"/>
  <c r="O28830" i="10"/>
  <c r="O28831" i="10"/>
  <c r="O28832" i="10"/>
  <c r="O28833" i="10"/>
  <c r="O28834" i="10"/>
  <c r="O28835" i="10"/>
  <c r="O28836" i="10"/>
  <c r="O28837" i="10"/>
  <c r="O28838" i="10"/>
  <c r="O28839" i="10"/>
  <c r="O28840" i="10"/>
  <c r="O28841" i="10"/>
  <c r="O28842" i="10"/>
  <c r="O28843" i="10"/>
  <c r="O28844" i="10"/>
  <c r="O28845" i="10"/>
  <c r="O28846" i="10"/>
  <c r="O28847" i="10"/>
  <c r="O28848" i="10"/>
  <c r="O28849" i="10"/>
  <c r="O28850" i="10"/>
  <c r="O28851" i="10"/>
  <c r="O28852" i="10"/>
  <c r="O28853" i="10"/>
  <c r="O28854" i="10"/>
  <c r="O28855" i="10"/>
  <c r="O28856" i="10"/>
  <c r="O28857" i="10"/>
  <c r="O28858" i="10"/>
  <c r="O28859" i="10"/>
  <c r="O28860" i="10"/>
  <c r="O28861" i="10"/>
  <c r="O28862" i="10"/>
  <c r="O28863" i="10"/>
  <c r="O28864" i="10"/>
  <c r="O28865" i="10"/>
  <c r="O28866" i="10"/>
  <c r="O28867" i="10"/>
  <c r="O28868" i="10"/>
  <c r="O28869" i="10"/>
  <c r="O28870" i="10"/>
  <c r="O28871" i="10"/>
  <c r="O28872" i="10"/>
  <c r="O28873" i="10"/>
  <c r="O28874" i="10"/>
  <c r="O28875" i="10"/>
  <c r="O28876" i="10"/>
  <c r="O28877" i="10"/>
  <c r="O28878" i="10"/>
  <c r="O28879" i="10"/>
  <c r="O28880" i="10"/>
  <c r="O28881" i="10"/>
  <c r="O28882" i="10"/>
  <c r="O28883" i="10"/>
  <c r="O28884" i="10"/>
  <c r="O28885" i="10"/>
  <c r="O28886" i="10"/>
  <c r="O28887" i="10"/>
  <c r="O28888" i="10"/>
  <c r="O28889" i="10"/>
  <c r="O28890" i="10"/>
  <c r="O28891" i="10"/>
  <c r="O28892" i="10"/>
  <c r="O28893" i="10"/>
  <c r="O28894" i="10"/>
  <c r="O28895" i="10"/>
  <c r="O28896" i="10"/>
  <c r="O28897" i="10"/>
  <c r="O28898" i="10"/>
  <c r="O28899" i="10"/>
  <c r="O28900" i="10"/>
  <c r="O28901" i="10"/>
  <c r="O28902" i="10"/>
  <c r="O28903" i="10"/>
  <c r="O28904" i="10"/>
  <c r="O28905" i="10"/>
  <c r="O28906" i="10"/>
  <c r="O28907" i="10"/>
  <c r="O28908" i="10"/>
  <c r="O28909" i="10"/>
  <c r="O28910" i="10"/>
  <c r="O28911" i="10"/>
  <c r="O28912" i="10"/>
  <c r="O28913" i="10"/>
  <c r="O28914" i="10"/>
  <c r="O28915" i="10"/>
  <c r="O28916" i="10"/>
  <c r="O28917" i="10"/>
  <c r="O28918" i="10"/>
  <c r="O28919" i="10"/>
  <c r="O28920" i="10"/>
  <c r="O28921" i="10"/>
  <c r="O28922" i="10"/>
  <c r="O28923" i="10"/>
  <c r="O28924" i="10"/>
  <c r="O28925" i="10"/>
  <c r="O28926" i="10"/>
  <c r="O28927" i="10"/>
  <c r="O28928" i="10"/>
  <c r="O28929" i="10"/>
  <c r="O28930" i="10"/>
  <c r="O28931" i="10"/>
  <c r="O28932" i="10"/>
  <c r="O28933" i="10"/>
  <c r="O28934" i="10"/>
  <c r="O28935" i="10"/>
  <c r="O28936" i="10"/>
  <c r="O28937" i="10"/>
  <c r="O28938" i="10"/>
  <c r="O28939" i="10"/>
  <c r="O28940" i="10"/>
  <c r="O28941" i="10"/>
  <c r="O28942" i="10"/>
  <c r="O28943" i="10"/>
  <c r="O28944" i="10"/>
  <c r="O28945" i="10"/>
  <c r="O28946" i="10"/>
  <c r="O28947" i="10"/>
  <c r="O28948" i="10"/>
  <c r="O28949" i="10"/>
  <c r="O28950" i="10"/>
  <c r="O28951" i="10"/>
  <c r="O28952" i="10"/>
  <c r="O28953" i="10"/>
  <c r="O28954" i="10"/>
  <c r="O28955" i="10"/>
  <c r="O28956" i="10"/>
  <c r="O28957" i="10"/>
  <c r="O28958" i="10"/>
  <c r="O28959" i="10"/>
  <c r="O28960" i="10"/>
  <c r="O28961" i="10"/>
  <c r="O28962" i="10"/>
  <c r="O28963" i="10"/>
  <c r="O28964" i="10"/>
  <c r="O28965" i="10"/>
  <c r="O28966" i="10"/>
  <c r="O28967" i="10"/>
  <c r="O28968" i="10"/>
  <c r="O28969" i="10"/>
  <c r="O28970" i="10"/>
  <c r="O28971" i="10"/>
  <c r="O28972" i="10"/>
  <c r="O28973" i="10"/>
  <c r="O28974" i="10"/>
  <c r="O28975" i="10"/>
  <c r="O28976" i="10"/>
  <c r="O28977" i="10"/>
  <c r="O28978" i="10"/>
  <c r="O28979" i="10"/>
  <c r="O28980" i="10"/>
  <c r="O28981" i="10"/>
  <c r="O28982" i="10"/>
  <c r="O28983" i="10"/>
  <c r="O28984" i="10"/>
  <c r="O28985" i="10"/>
  <c r="O28986" i="10"/>
  <c r="O28987" i="10"/>
  <c r="O28988" i="10"/>
  <c r="O28989" i="10"/>
  <c r="O28990" i="10"/>
  <c r="O28991" i="10"/>
  <c r="O28992" i="10"/>
  <c r="O28993" i="10"/>
  <c r="O28994" i="10"/>
  <c r="O28995" i="10"/>
  <c r="O28996" i="10"/>
  <c r="O28997" i="10"/>
  <c r="O28998" i="10"/>
  <c r="O28999" i="10"/>
  <c r="O29000" i="10"/>
  <c r="O29001" i="10"/>
  <c r="O29002" i="10"/>
  <c r="O29003" i="10"/>
  <c r="O29004" i="10"/>
  <c r="O29005" i="10"/>
  <c r="O29006" i="10"/>
  <c r="O29007" i="10"/>
  <c r="O29008" i="10"/>
  <c r="O29009" i="10"/>
  <c r="O29010" i="10"/>
  <c r="O29011" i="10"/>
  <c r="O29012" i="10"/>
  <c r="O29013" i="10"/>
  <c r="O29014" i="10"/>
  <c r="O29015" i="10"/>
  <c r="O29016" i="10"/>
  <c r="O29017" i="10"/>
  <c r="O29018" i="10"/>
  <c r="O29019" i="10"/>
  <c r="O29020" i="10"/>
  <c r="O29021" i="10"/>
  <c r="O29022" i="10"/>
  <c r="O29023" i="10"/>
  <c r="O29024" i="10"/>
  <c r="O29025" i="10"/>
  <c r="O29026" i="10"/>
  <c r="O29027" i="10"/>
  <c r="O29028" i="10"/>
  <c r="O29029" i="10"/>
  <c r="O29030" i="10"/>
  <c r="O29031" i="10"/>
  <c r="O29032" i="10"/>
  <c r="O29033" i="10"/>
  <c r="O29034" i="10"/>
  <c r="O29035" i="10"/>
  <c r="O29036" i="10"/>
  <c r="O29037" i="10"/>
  <c r="O29038" i="10"/>
  <c r="O29039" i="10"/>
  <c r="O29040" i="10"/>
  <c r="O29041" i="10"/>
  <c r="O29042" i="10"/>
  <c r="O29043" i="10"/>
  <c r="O29044" i="10"/>
  <c r="O29045" i="10"/>
  <c r="O29046" i="10"/>
  <c r="O29047" i="10"/>
  <c r="O29048" i="10"/>
  <c r="O29049" i="10"/>
  <c r="O29050" i="10"/>
  <c r="O29051" i="10"/>
  <c r="O29052" i="10"/>
  <c r="O29053" i="10"/>
  <c r="O29054" i="10"/>
  <c r="O29055" i="10"/>
  <c r="O29056" i="10"/>
  <c r="O29057" i="10"/>
  <c r="O29058" i="10"/>
  <c r="O29059" i="10"/>
  <c r="O29060" i="10"/>
  <c r="O29061" i="10"/>
  <c r="O29062" i="10"/>
  <c r="O29063" i="10"/>
  <c r="O29064" i="10"/>
  <c r="O29065" i="10"/>
  <c r="O29066" i="10"/>
  <c r="O29067" i="10"/>
  <c r="O29068" i="10"/>
  <c r="O29069" i="10"/>
  <c r="O29070" i="10"/>
  <c r="O29071" i="10"/>
  <c r="O29072" i="10"/>
  <c r="O29073" i="10"/>
  <c r="O29074" i="10"/>
  <c r="O29075" i="10"/>
  <c r="O29076" i="10"/>
  <c r="O29077" i="10"/>
  <c r="O29078" i="10"/>
  <c r="O29079" i="10"/>
  <c r="O29080" i="10"/>
  <c r="O29081" i="10"/>
  <c r="O29082" i="10"/>
  <c r="O29083" i="10"/>
  <c r="O29084" i="10"/>
  <c r="O29085" i="10"/>
  <c r="O29086" i="10"/>
  <c r="O29087" i="10"/>
  <c r="O29088" i="10"/>
  <c r="O29089" i="10"/>
  <c r="O29090" i="10"/>
  <c r="O29091" i="10"/>
  <c r="O29092" i="10"/>
  <c r="O29093" i="10"/>
  <c r="O29094" i="10"/>
  <c r="O29095" i="10"/>
  <c r="O29096" i="10"/>
  <c r="O29097" i="10"/>
  <c r="O29098" i="10"/>
  <c r="O29099" i="10"/>
  <c r="O29100" i="10"/>
  <c r="O29101" i="10"/>
  <c r="O29102" i="10"/>
  <c r="O29103" i="10"/>
  <c r="O29104" i="10"/>
  <c r="O29105" i="10"/>
  <c r="O29106" i="10"/>
  <c r="O29107" i="10"/>
  <c r="O29108" i="10"/>
  <c r="O29109" i="10"/>
  <c r="O29110" i="10"/>
  <c r="O29111" i="10"/>
  <c r="O29112" i="10"/>
  <c r="O29113" i="10"/>
  <c r="O29114" i="10"/>
  <c r="O29115" i="10"/>
  <c r="O29116" i="10"/>
  <c r="O29117" i="10"/>
  <c r="O29118" i="10"/>
  <c r="O29119" i="10"/>
  <c r="O29120" i="10"/>
  <c r="O29121" i="10"/>
  <c r="O29122" i="10"/>
  <c r="O29123" i="10"/>
  <c r="O29124" i="10"/>
  <c r="O29125" i="10"/>
  <c r="O29126" i="10"/>
  <c r="O29127" i="10"/>
  <c r="O29128" i="10"/>
  <c r="O29129" i="10"/>
  <c r="O29130" i="10"/>
  <c r="O29131" i="10"/>
  <c r="O29132" i="10"/>
  <c r="O29133" i="10"/>
  <c r="O29134" i="10"/>
  <c r="O29135" i="10"/>
  <c r="O29136" i="10"/>
  <c r="O29137" i="10"/>
  <c r="O29138" i="10"/>
  <c r="O29139" i="10"/>
  <c r="O29140" i="10"/>
  <c r="O29141" i="10"/>
  <c r="O29142" i="10"/>
  <c r="O29143" i="10"/>
  <c r="O29144" i="10"/>
  <c r="O29145" i="10"/>
  <c r="O29146" i="10"/>
  <c r="O29147" i="10"/>
  <c r="O29148" i="10"/>
  <c r="O29149" i="10"/>
  <c r="O29150" i="10"/>
  <c r="O29151" i="10"/>
  <c r="O29152" i="10"/>
  <c r="O29153" i="10"/>
  <c r="O29154" i="10"/>
  <c r="O29155" i="10"/>
  <c r="O29156" i="10"/>
  <c r="O29157" i="10"/>
  <c r="O29158" i="10"/>
  <c r="O29159" i="10"/>
  <c r="O29160" i="10"/>
  <c r="O29161" i="10"/>
  <c r="O29162" i="10"/>
  <c r="O29163" i="10"/>
  <c r="O29164" i="10"/>
  <c r="O29165" i="10"/>
  <c r="O29166" i="10"/>
  <c r="O29167" i="10"/>
  <c r="O29168" i="10"/>
  <c r="O29169" i="10"/>
  <c r="O29170" i="10"/>
  <c r="O29171" i="10"/>
  <c r="O29172" i="10"/>
  <c r="O29173" i="10"/>
  <c r="O29174" i="10"/>
  <c r="O29175" i="10"/>
  <c r="O29176" i="10"/>
  <c r="O29177" i="10"/>
  <c r="O29178" i="10"/>
  <c r="O29179" i="10"/>
  <c r="O29180" i="10"/>
  <c r="O29181" i="10"/>
  <c r="O29182" i="10"/>
  <c r="O29183" i="10"/>
  <c r="O29184" i="10"/>
  <c r="O29185" i="10"/>
  <c r="O29186" i="10"/>
  <c r="O29187" i="10"/>
  <c r="O29188" i="10"/>
  <c r="O29189" i="10"/>
  <c r="O29190" i="10"/>
  <c r="O29191" i="10"/>
  <c r="O29192" i="10"/>
  <c r="O29193" i="10"/>
  <c r="O29194" i="10"/>
  <c r="O29195" i="10"/>
  <c r="O29196" i="10"/>
  <c r="O29197" i="10"/>
  <c r="O29198" i="10"/>
  <c r="O29199" i="10"/>
  <c r="O29200" i="10"/>
  <c r="O29201" i="10"/>
  <c r="O29202" i="10"/>
  <c r="O29203" i="10"/>
  <c r="O29204" i="10"/>
  <c r="O29205" i="10"/>
  <c r="O29206" i="10"/>
  <c r="O29207" i="10"/>
  <c r="O29208" i="10"/>
  <c r="O29209" i="10"/>
  <c r="O29210" i="10"/>
  <c r="O29211" i="10"/>
  <c r="O29212" i="10"/>
  <c r="O29213" i="10"/>
  <c r="O29214" i="10"/>
  <c r="O29215" i="10"/>
  <c r="O29216" i="10"/>
  <c r="O29217" i="10"/>
  <c r="O29218" i="10"/>
  <c r="O29219" i="10"/>
  <c r="O29220" i="10"/>
  <c r="O29221" i="10"/>
  <c r="O29222" i="10"/>
  <c r="O29223" i="10"/>
  <c r="O29224" i="10"/>
  <c r="O29225" i="10"/>
  <c r="O29226" i="10"/>
  <c r="O29227" i="10"/>
  <c r="O29228" i="10"/>
  <c r="O29229" i="10"/>
  <c r="O29230" i="10"/>
  <c r="O29231" i="10"/>
  <c r="O29232" i="10"/>
  <c r="O29233" i="10"/>
  <c r="O29234" i="10"/>
  <c r="O29235" i="10"/>
  <c r="O29236" i="10"/>
  <c r="O29237" i="10"/>
  <c r="O29238" i="10"/>
  <c r="O29239" i="10"/>
  <c r="O29240" i="10"/>
  <c r="O29241" i="10"/>
  <c r="O29242" i="10"/>
  <c r="O29243" i="10"/>
  <c r="O29244" i="10"/>
  <c r="O29245" i="10"/>
  <c r="O29246" i="10"/>
  <c r="O29247" i="10"/>
  <c r="O29248" i="10"/>
  <c r="O29249" i="10"/>
  <c r="O29250" i="10"/>
  <c r="O29251" i="10"/>
  <c r="O29252" i="10"/>
  <c r="O29253" i="10"/>
  <c r="O29254" i="10"/>
  <c r="O29255" i="10"/>
  <c r="O29256" i="10"/>
  <c r="O29257" i="10"/>
  <c r="O29258" i="10"/>
  <c r="O29259" i="10"/>
  <c r="O29260" i="10"/>
  <c r="O29261" i="10"/>
  <c r="O29262" i="10"/>
  <c r="O29263" i="10"/>
  <c r="O29264" i="10"/>
  <c r="O29265" i="10"/>
  <c r="O29266" i="10"/>
  <c r="O29267" i="10"/>
  <c r="O29268" i="10"/>
  <c r="O29269" i="10"/>
  <c r="O29270" i="10"/>
  <c r="O29271" i="10"/>
  <c r="O29272" i="10"/>
  <c r="O29273" i="10"/>
  <c r="O29274" i="10"/>
  <c r="O29275" i="10"/>
  <c r="O29276" i="10"/>
  <c r="O29277" i="10"/>
  <c r="O29278" i="10"/>
  <c r="O29279" i="10"/>
  <c r="O29280" i="10"/>
  <c r="O29281" i="10"/>
  <c r="O29282" i="10"/>
  <c r="O29283" i="10"/>
  <c r="O29284" i="10"/>
  <c r="O29285" i="10"/>
  <c r="O29286" i="10"/>
  <c r="O29287" i="10"/>
  <c r="O29288" i="10"/>
  <c r="O29289" i="10"/>
  <c r="O29290" i="10"/>
  <c r="O29291" i="10"/>
  <c r="O29292" i="10"/>
  <c r="O29293" i="10"/>
  <c r="O29294" i="10"/>
  <c r="O29295" i="10"/>
  <c r="O29296" i="10"/>
  <c r="O29297" i="10"/>
  <c r="O29298" i="10"/>
  <c r="O29299" i="10"/>
  <c r="O29300" i="10"/>
  <c r="O29301" i="10"/>
  <c r="O29302" i="10"/>
  <c r="O29303" i="10"/>
  <c r="O29304" i="10"/>
  <c r="O29305" i="10"/>
  <c r="O29306" i="10"/>
  <c r="O29307" i="10"/>
  <c r="O29308" i="10"/>
  <c r="O29309" i="10"/>
  <c r="O29310" i="10"/>
  <c r="O29311" i="10"/>
  <c r="O29312" i="10"/>
  <c r="O29313" i="10"/>
  <c r="O29314" i="10"/>
  <c r="O29315" i="10"/>
  <c r="O29316" i="10"/>
  <c r="O29317" i="10"/>
  <c r="O29318" i="10"/>
  <c r="O29319" i="10"/>
  <c r="O29320" i="10"/>
  <c r="O29321" i="10"/>
  <c r="O29322" i="10"/>
  <c r="O29323" i="10"/>
  <c r="O29324" i="10"/>
  <c r="O29325" i="10"/>
  <c r="O29326" i="10"/>
  <c r="O29327" i="10"/>
  <c r="O29328" i="10"/>
  <c r="O29329" i="10"/>
  <c r="O29330" i="10"/>
  <c r="O29331" i="10"/>
  <c r="O29332" i="10"/>
  <c r="O29333" i="10"/>
  <c r="O29334" i="10"/>
  <c r="O29335" i="10"/>
  <c r="O29336" i="10"/>
  <c r="O29337" i="10"/>
  <c r="O29338" i="10"/>
  <c r="O29339" i="10"/>
  <c r="O29340" i="10"/>
  <c r="O29341" i="10"/>
  <c r="O29342" i="10"/>
  <c r="O29343" i="10"/>
  <c r="O29344" i="10"/>
  <c r="O29345" i="10"/>
  <c r="O29346" i="10"/>
  <c r="O29347" i="10"/>
  <c r="O29348" i="10"/>
  <c r="O29349" i="10"/>
  <c r="O29350" i="10"/>
  <c r="O29351" i="10"/>
  <c r="O29352" i="10"/>
  <c r="O29353" i="10"/>
  <c r="O29354" i="10"/>
  <c r="O29355" i="10"/>
  <c r="O29356" i="10"/>
  <c r="O29357" i="10"/>
  <c r="O29358" i="10"/>
  <c r="O29359" i="10"/>
  <c r="O29360" i="10"/>
  <c r="O29361" i="10"/>
  <c r="O29362" i="10"/>
  <c r="O29363" i="10"/>
  <c r="O29364" i="10"/>
  <c r="O29365" i="10"/>
  <c r="O29366" i="10"/>
  <c r="O29367" i="10"/>
  <c r="O29368" i="10"/>
  <c r="O29369" i="10"/>
  <c r="O29370" i="10"/>
  <c r="O29371" i="10"/>
  <c r="O29372" i="10"/>
  <c r="O29373" i="10"/>
  <c r="O29374" i="10"/>
  <c r="O29375" i="10"/>
  <c r="O29376" i="10"/>
  <c r="O29377" i="10"/>
  <c r="O29378" i="10"/>
  <c r="O29379" i="10"/>
  <c r="O29380" i="10"/>
  <c r="O29381" i="10"/>
  <c r="O29382" i="10"/>
  <c r="O29383" i="10"/>
  <c r="O29384" i="10"/>
  <c r="O29385" i="10"/>
  <c r="O29386" i="10"/>
  <c r="O29387" i="10"/>
  <c r="O29388" i="10"/>
  <c r="O29389" i="10"/>
  <c r="O29390" i="10"/>
  <c r="O29391" i="10"/>
  <c r="O29392" i="10"/>
  <c r="O29393" i="10"/>
  <c r="O29394" i="10"/>
  <c r="O29395" i="10"/>
  <c r="O29396" i="10"/>
  <c r="O29397" i="10"/>
  <c r="O29398" i="10"/>
  <c r="O29399" i="10"/>
  <c r="O29400" i="10"/>
  <c r="O29401" i="10"/>
  <c r="O29402" i="10"/>
  <c r="O29403" i="10"/>
  <c r="O29404" i="10"/>
  <c r="O29405" i="10"/>
  <c r="O29406" i="10"/>
  <c r="O29407" i="10"/>
  <c r="O29408" i="10"/>
  <c r="O29409" i="10"/>
  <c r="O29410" i="10"/>
  <c r="O29411" i="10"/>
  <c r="O29412" i="10"/>
  <c r="O29413" i="10"/>
  <c r="O29414" i="10"/>
  <c r="O29415" i="10"/>
  <c r="O29416" i="10"/>
  <c r="O29417" i="10"/>
  <c r="O29418" i="10"/>
  <c r="O29419" i="10"/>
  <c r="O29420" i="10"/>
  <c r="O29421" i="10"/>
  <c r="O29422" i="10"/>
  <c r="O29423" i="10"/>
  <c r="O29424" i="10"/>
  <c r="O29425" i="10"/>
  <c r="O29426" i="10"/>
  <c r="O29427" i="10"/>
  <c r="O29428" i="10"/>
  <c r="O29429" i="10"/>
  <c r="O29430" i="10"/>
  <c r="O29431" i="10"/>
  <c r="O29432" i="10"/>
  <c r="O29433" i="10"/>
  <c r="O29434" i="10"/>
  <c r="O29435" i="10"/>
  <c r="O29436" i="10"/>
  <c r="O29437" i="10"/>
  <c r="O29438" i="10"/>
  <c r="O29439" i="10"/>
  <c r="O29440" i="10"/>
  <c r="O29441" i="10"/>
  <c r="O29442" i="10"/>
  <c r="O29443" i="10"/>
  <c r="O29444" i="10"/>
  <c r="O29445" i="10"/>
  <c r="O29446" i="10"/>
  <c r="O29447" i="10"/>
  <c r="O29448" i="10"/>
  <c r="O29449" i="10"/>
  <c r="O29450" i="10"/>
  <c r="O29451" i="10"/>
  <c r="O29452" i="10"/>
  <c r="O29453" i="10"/>
  <c r="O29454" i="10"/>
  <c r="O29455" i="10"/>
  <c r="O29456" i="10"/>
  <c r="O29457" i="10"/>
  <c r="O29458" i="10"/>
  <c r="O29459" i="10"/>
  <c r="O29460" i="10"/>
  <c r="O29461" i="10"/>
  <c r="O29462" i="10"/>
  <c r="O29463" i="10"/>
  <c r="O29464" i="10"/>
  <c r="O29465" i="10"/>
  <c r="O29466" i="10"/>
  <c r="O29467" i="10"/>
  <c r="O29468" i="10"/>
  <c r="O29469" i="10"/>
  <c r="O29470" i="10"/>
  <c r="O29471" i="10"/>
  <c r="O29472" i="10"/>
  <c r="O29473" i="10"/>
  <c r="O29474" i="10"/>
  <c r="O29475" i="10"/>
  <c r="O29476" i="10"/>
  <c r="O29477" i="10"/>
  <c r="O29478" i="10"/>
  <c r="O29479" i="10"/>
  <c r="O29480" i="10"/>
  <c r="O29481" i="10"/>
  <c r="O29482" i="10"/>
  <c r="O29483" i="10"/>
  <c r="O29484" i="10"/>
  <c r="O29485" i="10"/>
  <c r="O29486" i="10"/>
  <c r="O29487" i="10"/>
  <c r="O29488" i="10"/>
  <c r="O29489" i="10"/>
  <c r="O29490" i="10"/>
  <c r="O29491" i="10"/>
  <c r="O29492" i="10"/>
  <c r="O29493" i="10"/>
  <c r="O29494" i="10"/>
  <c r="O29495" i="10"/>
  <c r="O29496" i="10"/>
  <c r="O29497" i="10"/>
  <c r="O29498" i="10"/>
  <c r="O29499" i="10"/>
  <c r="O29500" i="10"/>
  <c r="O29501" i="10"/>
  <c r="O29502" i="10"/>
  <c r="O29503" i="10"/>
  <c r="O29504" i="10"/>
  <c r="O29505" i="10"/>
  <c r="O29506" i="10"/>
  <c r="O29507" i="10"/>
  <c r="O29508" i="10"/>
  <c r="O29509" i="10"/>
  <c r="O29510" i="10"/>
  <c r="O29511" i="10"/>
  <c r="O29512" i="10"/>
  <c r="O29513" i="10"/>
  <c r="O29514" i="10"/>
  <c r="O29515" i="10"/>
  <c r="O29516" i="10"/>
  <c r="O29517" i="10"/>
  <c r="O29518" i="10"/>
  <c r="O29519" i="10"/>
  <c r="O29520" i="10"/>
  <c r="O29521" i="10"/>
  <c r="O29522" i="10"/>
  <c r="O29523" i="10"/>
  <c r="O29524" i="10"/>
  <c r="O29525" i="10"/>
  <c r="O29526" i="10"/>
  <c r="O29527" i="10"/>
  <c r="O29528" i="10"/>
  <c r="O29529" i="10"/>
  <c r="O29530" i="10"/>
  <c r="O29531" i="10"/>
  <c r="O29532" i="10"/>
  <c r="O29533" i="10"/>
  <c r="O29534" i="10"/>
  <c r="O29535" i="10"/>
  <c r="O29536" i="10"/>
  <c r="O29537" i="10"/>
  <c r="O29538" i="10"/>
  <c r="O29539" i="10"/>
  <c r="O29540" i="10"/>
  <c r="O29541" i="10"/>
  <c r="O29542" i="10"/>
  <c r="O29543" i="10"/>
  <c r="O29544" i="10"/>
  <c r="O29545" i="10"/>
  <c r="O29546" i="10"/>
  <c r="O29547" i="10"/>
  <c r="O29548" i="10"/>
  <c r="O29549" i="10"/>
  <c r="O29550" i="10"/>
  <c r="O29551" i="10"/>
  <c r="O29552" i="10"/>
  <c r="O29553" i="10"/>
  <c r="O29554" i="10"/>
  <c r="O29555" i="10"/>
  <c r="O29556" i="10"/>
  <c r="O29557" i="10"/>
  <c r="O29558" i="10"/>
  <c r="O29559" i="10"/>
  <c r="O29560" i="10"/>
  <c r="O29561" i="10"/>
  <c r="O29562" i="10"/>
  <c r="O29563" i="10"/>
  <c r="O29564" i="10"/>
  <c r="O29565" i="10"/>
  <c r="O29566" i="10"/>
  <c r="O29567" i="10"/>
  <c r="O29568" i="10"/>
  <c r="O29569" i="10"/>
  <c r="O29570" i="10"/>
  <c r="O29571" i="10"/>
  <c r="O29572" i="10"/>
  <c r="O29573" i="10"/>
  <c r="O29574" i="10"/>
  <c r="O29575" i="10"/>
  <c r="O29576" i="10"/>
  <c r="O29577" i="10"/>
  <c r="O29578" i="10"/>
  <c r="O29579" i="10"/>
  <c r="O29580" i="10"/>
  <c r="O29581" i="10"/>
  <c r="O29582" i="10"/>
  <c r="O29583" i="10"/>
  <c r="O29584" i="10"/>
  <c r="O29585" i="10"/>
  <c r="O29586" i="10"/>
  <c r="O29587" i="10"/>
  <c r="O29588" i="10"/>
  <c r="O29589" i="10"/>
  <c r="O29590" i="10"/>
  <c r="O29591" i="10"/>
  <c r="O29592" i="10"/>
  <c r="O29593" i="10"/>
  <c r="O29594" i="10"/>
  <c r="O29595" i="10"/>
  <c r="O29596" i="10"/>
  <c r="O29597" i="10"/>
  <c r="O29598" i="10"/>
  <c r="O29599" i="10"/>
  <c r="O29600" i="10"/>
  <c r="O29601" i="10"/>
  <c r="O29602" i="10"/>
  <c r="O29603" i="10"/>
  <c r="O29604" i="10"/>
  <c r="O29605" i="10"/>
  <c r="O29606" i="10"/>
  <c r="O29607" i="10"/>
  <c r="O29608" i="10"/>
  <c r="O29609" i="10"/>
  <c r="O29610" i="10"/>
  <c r="O29611" i="10"/>
  <c r="O29612" i="10"/>
  <c r="O29613" i="10"/>
  <c r="O29614" i="10"/>
  <c r="O29615" i="10"/>
  <c r="O29616" i="10"/>
  <c r="O29617" i="10"/>
  <c r="O29618" i="10"/>
  <c r="O29619" i="10"/>
  <c r="O29620" i="10"/>
  <c r="O29621" i="10"/>
  <c r="O29622" i="10"/>
  <c r="O29623" i="10"/>
  <c r="O29624" i="10"/>
  <c r="O29625" i="10"/>
  <c r="O29626" i="10"/>
  <c r="O29627" i="10"/>
  <c r="O29628" i="10"/>
  <c r="O29629" i="10"/>
  <c r="O29630" i="10"/>
  <c r="O29631" i="10"/>
  <c r="O29632" i="10"/>
  <c r="O29633" i="10"/>
  <c r="O29634" i="10"/>
  <c r="O29635" i="10"/>
  <c r="O29636" i="10"/>
  <c r="O29637" i="10"/>
  <c r="O29638" i="10"/>
  <c r="O29639" i="10"/>
  <c r="O29640" i="10"/>
  <c r="O29641" i="10"/>
  <c r="O29642" i="10"/>
  <c r="O29643" i="10"/>
  <c r="O29644" i="10"/>
  <c r="O29645" i="10"/>
  <c r="O29646" i="10"/>
  <c r="O29647" i="10"/>
  <c r="O29648" i="10"/>
  <c r="O29649" i="10"/>
  <c r="O29650" i="10"/>
  <c r="O29651" i="10"/>
  <c r="O29652" i="10"/>
  <c r="O29653" i="10"/>
  <c r="O29654" i="10"/>
  <c r="O29655" i="10"/>
  <c r="O29656" i="10"/>
  <c r="O29657" i="10"/>
  <c r="O29658" i="10"/>
  <c r="O29659" i="10"/>
  <c r="O29660" i="10"/>
  <c r="O29661" i="10"/>
  <c r="O29662" i="10"/>
  <c r="O29663" i="10"/>
  <c r="O29664" i="10"/>
  <c r="O29665" i="10"/>
  <c r="O29666" i="10"/>
  <c r="O29667" i="10"/>
  <c r="O29668" i="10"/>
  <c r="O29669" i="10"/>
  <c r="O29670" i="10"/>
  <c r="O29671" i="10"/>
  <c r="O29672" i="10"/>
  <c r="O29673" i="10"/>
  <c r="O29674" i="10"/>
  <c r="O29675" i="10"/>
  <c r="O29676" i="10"/>
  <c r="O29677" i="10"/>
  <c r="O29678" i="10"/>
  <c r="O29679" i="10"/>
  <c r="O29680" i="10"/>
  <c r="O29681" i="10"/>
  <c r="O29682" i="10"/>
  <c r="O29683" i="10"/>
  <c r="O29684" i="10"/>
  <c r="O29685" i="10"/>
  <c r="O29686" i="10"/>
  <c r="O29687" i="10"/>
  <c r="O29688" i="10"/>
  <c r="O29689" i="10"/>
  <c r="O29690" i="10"/>
  <c r="O29691" i="10"/>
  <c r="O29692" i="10"/>
  <c r="O29693" i="10"/>
  <c r="O29694" i="10"/>
  <c r="O29695" i="10"/>
  <c r="O29696" i="10"/>
  <c r="O29697" i="10"/>
  <c r="O29698" i="10"/>
  <c r="O29699" i="10"/>
  <c r="O29700" i="10"/>
  <c r="O29701" i="10"/>
  <c r="O29702" i="10"/>
  <c r="O29703" i="10"/>
  <c r="O29704" i="10"/>
  <c r="O29705" i="10"/>
  <c r="O29706" i="10"/>
  <c r="O29707" i="10"/>
  <c r="O29708" i="10"/>
  <c r="O29709" i="10"/>
  <c r="O29710" i="10"/>
  <c r="O29711" i="10"/>
  <c r="O29712" i="10"/>
  <c r="O29713" i="10"/>
  <c r="O29714" i="10"/>
  <c r="O29715" i="10"/>
  <c r="O29716" i="10"/>
  <c r="O29717" i="10"/>
  <c r="O29718" i="10"/>
  <c r="O29719" i="10"/>
  <c r="O29720" i="10"/>
  <c r="O29721" i="10"/>
  <c r="O29722" i="10"/>
  <c r="O29723" i="10"/>
  <c r="O29724" i="10"/>
  <c r="O29725" i="10"/>
  <c r="O29726" i="10"/>
  <c r="O29727" i="10"/>
  <c r="O29728" i="10"/>
  <c r="O29729" i="10"/>
  <c r="O29730" i="10"/>
  <c r="O29731" i="10"/>
  <c r="O29732" i="10"/>
  <c r="O29733" i="10"/>
  <c r="O29734" i="10"/>
  <c r="O29735" i="10"/>
  <c r="O29736" i="10"/>
  <c r="O29737" i="10"/>
  <c r="O29738" i="10"/>
  <c r="O29739" i="10"/>
  <c r="O29740" i="10"/>
  <c r="O29741" i="10"/>
  <c r="O29742" i="10"/>
  <c r="O29743" i="10"/>
  <c r="O29744" i="10"/>
  <c r="O29745" i="10"/>
  <c r="O29746" i="10"/>
  <c r="O29747" i="10"/>
  <c r="O29748" i="10"/>
  <c r="O29749" i="10"/>
  <c r="O29750" i="10"/>
  <c r="O29751" i="10"/>
  <c r="O29752" i="10"/>
  <c r="O29753" i="10"/>
  <c r="O29754" i="10"/>
  <c r="O29755" i="10"/>
  <c r="O29756" i="10"/>
  <c r="O29757" i="10"/>
  <c r="O29758" i="10"/>
  <c r="O29759" i="10"/>
  <c r="O29760" i="10"/>
  <c r="O29761" i="10"/>
  <c r="O29762" i="10"/>
  <c r="O29763" i="10"/>
  <c r="O29764" i="10"/>
  <c r="O29765" i="10"/>
  <c r="O29766" i="10"/>
  <c r="O29767" i="10"/>
  <c r="O29768" i="10"/>
  <c r="O29769" i="10"/>
  <c r="O29770" i="10"/>
  <c r="O29771" i="10"/>
  <c r="O29772" i="10"/>
  <c r="O29773" i="10"/>
  <c r="O29774" i="10"/>
  <c r="O29775" i="10"/>
  <c r="O29776" i="10"/>
  <c r="O29777" i="10"/>
  <c r="O29778" i="10"/>
  <c r="O29779" i="10"/>
  <c r="O29780" i="10"/>
  <c r="O29781" i="10"/>
  <c r="O29782" i="10"/>
  <c r="O29783" i="10"/>
  <c r="O29784" i="10"/>
  <c r="O29785" i="10"/>
  <c r="O29786" i="10"/>
  <c r="O29787" i="10"/>
  <c r="O29788" i="10"/>
  <c r="O29789" i="10"/>
  <c r="O29790" i="10"/>
  <c r="O29791" i="10"/>
  <c r="O29792" i="10"/>
  <c r="O29793" i="10"/>
  <c r="O29794" i="10"/>
  <c r="O29795" i="10"/>
  <c r="O29796" i="10"/>
  <c r="O29797" i="10"/>
  <c r="O29798" i="10"/>
  <c r="O29799" i="10"/>
  <c r="O29800" i="10"/>
  <c r="O29801" i="10"/>
  <c r="O29802" i="10"/>
  <c r="O29803" i="10"/>
  <c r="O29804" i="10"/>
  <c r="O29805" i="10"/>
  <c r="O29806" i="10"/>
  <c r="O29807" i="10"/>
  <c r="O29808" i="10"/>
  <c r="O29809" i="10"/>
  <c r="O29810" i="10"/>
  <c r="O29811" i="10"/>
  <c r="O29812" i="10"/>
  <c r="O29813" i="10"/>
  <c r="O29814" i="10"/>
  <c r="O29815" i="10"/>
  <c r="O29816" i="10"/>
  <c r="O29817" i="10"/>
  <c r="O29818" i="10"/>
  <c r="O29819" i="10"/>
  <c r="O29820" i="10"/>
  <c r="O29821" i="10"/>
  <c r="O29822" i="10"/>
  <c r="O29823" i="10"/>
  <c r="O29824" i="10"/>
  <c r="O29825" i="10"/>
  <c r="O29826" i="10"/>
  <c r="O29827" i="10"/>
  <c r="O29828" i="10"/>
  <c r="O29829" i="10"/>
  <c r="O29830" i="10"/>
  <c r="O29831" i="10"/>
  <c r="O29832" i="10"/>
  <c r="O29833" i="10"/>
  <c r="O29834" i="10"/>
  <c r="O29835" i="10"/>
  <c r="O29836" i="10"/>
  <c r="O29837" i="10"/>
  <c r="O29838" i="10"/>
  <c r="O29839" i="10"/>
  <c r="O29840" i="10"/>
  <c r="O29841" i="10"/>
  <c r="O29842" i="10"/>
  <c r="O29843" i="10"/>
  <c r="O29844" i="10"/>
  <c r="O29845" i="10"/>
  <c r="O29846" i="10"/>
  <c r="O29847" i="10"/>
  <c r="O29848" i="10"/>
  <c r="O29849" i="10"/>
  <c r="O29850" i="10"/>
  <c r="O29851" i="10"/>
  <c r="O29852" i="10"/>
  <c r="O29853" i="10"/>
  <c r="O29854" i="10"/>
  <c r="O29855" i="10"/>
  <c r="O29856" i="10"/>
  <c r="O29857" i="10"/>
  <c r="O29858" i="10"/>
  <c r="O29859" i="10"/>
  <c r="O29860" i="10"/>
  <c r="O29861" i="10"/>
  <c r="O29862" i="10"/>
  <c r="O29863" i="10"/>
  <c r="O29864" i="10"/>
  <c r="O29865" i="10"/>
  <c r="O29866" i="10"/>
  <c r="O29867" i="10"/>
  <c r="O29868" i="10"/>
  <c r="O29869" i="10"/>
  <c r="O29870" i="10"/>
  <c r="O29871" i="10"/>
  <c r="O29872" i="10"/>
  <c r="O29873" i="10"/>
  <c r="O29874" i="10"/>
  <c r="O29875" i="10"/>
  <c r="O29876" i="10"/>
  <c r="O29877" i="10"/>
  <c r="O29878" i="10"/>
  <c r="O29879" i="10"/>
  <c r="O29880" i="10"/>
  <c r="O29881" i="10"/>
  <c r="O29882" i="10"/>
  <c r="O29883" i="10"/>
  <c r="O29884" i="10"/>
  <c r="O29885" i="10"/>
  <c r="O29886" i="10"/>
  <c r="O29887" i="10"/>
  <c r="O29888" i="10"/>
  <c r="O29889" i="10"/>
  <c r="O29890" i="10"/>
  <c r="O29891" i="10"/>
  <c r="O29892" i="10"/>
  <c r="O29893" i="10"/>
  <c r="O29894" i="10"/>
  <c r="O29895" i="10"/>
  <c r="O29896" i="10"/>
  <c r="O29897" i="10"/>
  <c r="O29898" i="10"/>
  <c r="O29899" i="10"/>
  <c r="O29900" i="10"/>
  <c r="O29901" i="10"/>
  <c r="O29902" i="10"/>
  <c r="O29903" i="10"/>
  <c r="O29904" i="10"/>
  <c r="O29905" i="10"/>
  <c r="O29906" i="10"/>
  <c r="O29907" i="10"/>
  <c r="O29908" i="10"/>
  <c r="O29909" i="10"/>
  <c r="O29910" i="10"/>
  <c r="O29911" i="10"/>
  <c r="O29912" i="10"/>
  <c r="O29913" i="10"/>
  <c r="O29914" i="10"/>
  <c r="O29915" i="10"/>
  <c r="O29916" i="10"/>
  <c r="O29917" i="10"/>
  <c r="O29918" i="10"/>
  <c r="O29919" i="10"/>
  <c r="O29920" i="10"/>
  <c r="O29921" i="10"/>
  <c r="O29922" i="10"/>
  <c r="O29923" i="10"/>
  <c r="O29924" i="10"/>
  <c r="O29925" i="10"/>
  <c r="O29926" i="10"/>
  <c r="O29927" i="10"/>
  <c r="O29928" i="10"/>
  <c r="O29929" i="10"/>
  <c r="O29930" i="10"/>
  <c r="O29931" i="10"/>
  <c r="O29932" i="10"/>
  <c r="O29933" i="10"/>
  <c r="O29934" i="10"/>
  <c r="O29935" i="10"/>
  <c r="O29936" i="10"/>
  <c r="O29937" i="10"/>
  <c r="O29938" i="10"/>
  <c r="O29939" i="10"/>
  <c r="O29940" i="10"/>
  <c r="O29941" i="10"/>
  <c r="O29942" i="10"/>
  <c r="O29943" i="10"/>
  <c r="O29944" i="10"/>
  <c r="O29945" i="10"/>
  <c r="O29946" i="10"/>
  <c r="O29947" i="10"/>
  <c r="O29948" i="10"/>
  <c r="O29949" i="10"/>
  <c r="O29950" i="10"/>
  <c r="O29951" i="10"/>
  <c r="O29952" i="10"/>
  <c r="O29953" i="10"/>
  <c r="O29954" i="10"/>
  <c r="O29955" i="10"/>
  <c r="O29956" i="10"/>
  <c r="O29957" i="10"/>
  <c r="O29958" i="10"/>
  <c r="O29959" i="10"/>
  <c r="O29960" i="10"/>
  <c r="O29961" i="10"/>
  <c r="O29962" i="10"/>
  <c r="O29963" i="10"/>
  <c r="O29964" i="10"/>
  <c r="O29965" i="10"/>
  <c r="O29966" i="10"/>
  <c r="O29967" i="10"/>
  <c r="O29968" i="10"/>
  <c r="O29969" i="10"/>
  <c r="O29970" i="10"/>
  <c r="O29971" i="10"/>
  <c r="O29972" i="10"/>
  <c r="O29973" i="10"/>
  <c r="O29974" i="10"/>
  <c r="O29975" i="10"/>
  <c r="O29976" i="10"/>
  <c r="O29977" i="10"/>
  <c r="O29978" i="10"/>
  <c r="O29979" i="10"/>
  <c r="O29980" i="10"/>
  <c r="O29981" i="10"/>
  <c r="O29982" i="10"/>
  <c r="O29983" i="10"/>
  <c r="O29984" i="10"/>
  <c r="O29985" i="10"/>
  <c r="O29986" i="10"/>
  <c r="O29987" i="10"/>
  <c r="O29988" i="10"/>
  <c r="O29989" i="10"/>
  <c r="O29990" i="10"/>
  <c r="O29991" i="10"/>
  <c r="O29992" i="10"/>
  <c r="O29993" i="10"/>
  <c r="O29994" i="10"/>
  <c r="O29995" i="10"/>
  <c r="O29996" i="10"/>
  <c r="O29997" i="10"/>
  <c r="O29998" i="10"/>
  <c r="O29999" i="10"/>
  <c r="O30000" i="10"/>
  <c r="O30001" i="10"/>
  <c r="O30002" i="10"/>
  <c r="O30003" i="10"/>
  <c r="O30004" i="10"/>
  <c r="O30005" i="10"/>
  <c r="O30006" i="10"/>
  <c r="O30007" i="10"/>
  <c r="O30008" i="10"/>
  <c r="O30009" i="10"/>
  <c r="O30010" i="10"/>
  <c r="O30011" i="10"/>
  <c r="O30012" i="10"/>
  <c r="O30013" i="10"/>
  <c r="O30014" i="10"/>
  <c r="O30015" i="10"/>
  <c r="O30016" i="10"/>
  <c r="O30017" i="10"/>
  <c r="O30018" i="10"/>
  <c r="O30019" i="10"/>
  <c r="O30020" i="10"/>
  <c r="O30021" i="10"/>
  <c r="O30022" i="10"/>
  <c r="O30023" i="10"/>
  <c r="O30024" i="10"/>
  <c r="O30025" i="10"/>
  <c r="O30026" i="10"/>
  <c r="O30027" i="10"/>
  <c r="O30028" i="10"/>
  <c r="O30029" i="10"/>
  <c r="O30030" i="10"/>
  <c r="O30031" i="10"/>
  <c r="O30032" i="10"/>
  <c r="O30033" i="10"/>
  <c r="O30034" i="10"/>
  <c r="O30035" i="10"/>
  <c r="O30036" i="10"/>
  <c r="O30037" i="10"/>
  <c r="O30038" i="10"/>
  <c r="O30039" i="10"/>
  <c r="O30040" i="10"/>
  <c r="O30041" i="10"/>
  <c r="O30042" i="10"/>
  <c r="O30043" i="10"/>
  <c r="O30044" i="10"/>
  <c r="O30045" i="10"/>
  <c r="O30046" i="10"/>
  <c r="O30047" i="10"/>
  <c r="O30048" i="10"/>
  <c r="O30049" i="10"/>
  <c r="O30050" i="10"/>
  <c r="O30051" i="10"/>
  <c r="O30052" i="10"/>
  <c r="O30053" i="10"/>
  <c r="O30054" i="10"/>
  <c r="O30055" i="10"/>
  <c r="O30056" i="10"/>
  <c r="O30057" i="10"/>
  <c r="O30058" i="10"/>
  <c r="O30059" i="10"/>
  <c r="O30060" i="10"/>
  <c r="O30061" i="10"/>
  <c r="O30062" i="10"/>
  <c r="O30063" i="10"/>
  <c r="O30064" i="10"/>
  <c r="O30065" i="10"/>
  <c r="O30066" i="10"/>
  <c r="O30067" i="10"/>
  <c r="O30068" i="10"/>
  <c r="O30069" i="10"/>
  <c r="O30070" i="10"/>
  <c r="O30071" i="10"/>
  <c r="O30072" i="10"/>
  <c r="O30073" i="10"/>
  <c r="O30074" i="10"/>
  <c r="O30075" i="10"/>
  <c r="O30076" i="10"/>
  <c r="O30077" i="10"/>
  <c r="O30078" i="10"/>
  <c r="O30079" i="10"/>
  <c r="O30080" i="10"/>
  <c r="O30081" i="10"/>
  <c r="O30082" i="10"/>
  <c r="O30083" i="10"/>
  <c r="O30084" i="10"/>
  <c r="O30085" i="10"/>
  <c r="O30086" i="10"/>
  <c r="O30087" i="10"/>
  <c r="O30088" i="10"/>
  <c r="O30089" i="10"/>
  <c r="O30090" i="10"/>
  <c r="O30091" i="10"/>
  <c r="O30092" i="10"/>
  <c r="O30093" i="10"/>
  <c r="O30094" i="10"/>
  <c r="O30095" i="10"/>
  <c r="O30096" i="10"/>
  <c r="O30097" i="10"/>
  <c r="O30098" i="10"/>
  <c r="O30099" i="10"/>
  <c r="O30100" i="10"/>
  <c r="O30101" i="10"/>
  <c r="O30102" i="10"/>
  <c r="O30103" i="10"/>
  <c r="O30104" i="10"/>
  <c r="O30105" i="10"/>
  <c r="O30106" i="10"/>
  <c r="O30107" i="10"/>
  <c r="O30108" i="10"/>
  <c r="O30109" i="10"/>
  <c r="O30110" i="10"/>
  <c r="O30111" i="10"/>
  <c r="O30112" i="10"/>
  <c r="O30113" i="10"/>
  <c r="O30114" i="10"/>
  <c r="O30115" i="10"/>
  <c r="O30116" i="10"/>
  <c r="O30117" i="10"/>
  <c r="O30118" i="10"/>
  <c r="O30119" i="10"/>
  <c r="O30120" i="10"/>
  <c r="O30121" i="10"/>
  <c r="O30122" i="10"/>
  <c r="O30123" i="10"/>
  <c r="O30124" i="10"/>
  <c r="O30125" i="10"/>
  <c r="O30126" i="10"/>
  <c r="O30127" i="10"/>
  <c r="O30128" i="10"/>
  <c r="O30129" i="10"/>
  <c r="O30130" i="10"/>
  <c r="O30131" i="10"/>
  <c r="O30132" i="10"/>
  <c r="O30133" i="10"/>
  <c r="O30134" i="10"/>
  <c r="O30135" i="10"/>
  <c r="O30136" i="10"/>
  <c r="O30137" i="10"/>
  <c r="O30138" i="10"/>
  <c r="O30139" i="10"/>
  <c r="O30140" i="10"/>
  <c r="O30141" i="10"/>
  <c r="O30142" i="10"/>
  <c r="O30143" i="10"/>
  <c r="O30144" i="10"/>
  <c r="O30145" i="10"/>
  <c r="O30146" i="10"/>
  <c r="O30147" i="10"/>
  <c r="O30148" i="10"/>
  <c r="O30149" i="10"/>
  <c r="O30150" i="10"/>
  <c r="O30151" i="10"/>
  <c r="O30152" i="10"/>
  <c r="O30153" i="10"/>
  <c r="O30154" i="10"/>
  <c r="O30155" i="10"/>
  <c r="O30156" i="10"/>
  <c r="O30157" i="10"/>
  <c r="O30158" i="10"/>
  <c r="O30159" i="10"/>
  <c r="O30160" i="10"/>
  <c r="O30161" i="10"/>
  <c r="O30162" i="10"/>
  <c r="O30163" i="10"/>
  <c r="O30164" i="10"/>
  <c r="O30165" i="10"/>
  <c r="O30166" i="10"/>
  <c r="O30167" i="10"/>
  <c r="O30168" i="10"/>
  <c r="O30169" i="10"/>
  <c r="O30170" i="10"/>
  <c r="O30171" i="10"/>
  <c r="O30172" i="10"/>
  <c r="O30173" i="10"/>
  <c r="O30174" i="10"/>
  <c r="O30175" i="10"/>
  <c r="O30176" i="10"/>
  <c r="O30177" i="10"/>
  <c r="O30178" i="10"/>
  <c r="O30179" i="10"/>
  <c r="O30180" i="10"/>
  <c r="O30181" i="10"/>
  <c r="O30182" i="10"/>
  <c r="O30183" i="10"/>
  <c r="O30184" i="10"/>
  <c r="O30185" i="10"/>
  <c r="O30186" i="10"/>
  <c r="O30187" i="10"/>
  <c r="O30188" i="10"/>
  <c r="O30189" i="10"/>
  <c r="O30190" i="10"/>
  <c r="O30191" i="10"/>
  <c r="O30192" i="10"/>
  <c r="O30193" i="10"/>
  <c r="O30194" i="10"/>
  <c r="O30195" i="10"/>
  <c r="O30196" i="10"/>
  <c r="O30197" i="10"/>
  <c r="O30198" i="10"/>
  <c r="O30199" i="10"/>
  <c r="O30200" i="10"/>
  <c r="O30201" i="10"/>
  <c r="O30202" i="10"/>
  <c r="O30203" i="10"/>
  <c r="O30204" i="10"/>
  <c r="O30205" i="10"/>
  <c r="O30206" i="10"/>
  <c r="O30207" i="10"/>
  <c r="O30208" i="10"/>
  <c r="O30209" i="10"/>
  <c r="O30210" i="10"/>
  <c r="O30211" i="10"/>
  <c r="O30212" i="10"/>
  <c r="O30213" i="10"/>
  <c r="O30214" i="10"/>
  <c r="O30215" i="10"/>
  <c r="O30216" i="10"/>
  <c r="O30217" i="10"/>
  <c r="O30218" i="10"/>
  <c r="O30219" i="10"/>
  <c r="O30220" i="10"/>
  <c r="O30221" i="10"/>
  <c r="O30222" i="10"/>
  <c r="O30223" i="10"/>
  <c r="O30224" i="10"/>
  <c r="O30225" i="10"/>
  <c r="O30226" i="10"/>
  <c r="O30227" i="10"/>
  <c r="O30228" i="10"/>
  <c r="O30229" i="10"/>
  <c r="O30230" i="10"/>
  <c r="O30231" i="10"/>
  <c r="O30232" i="10"/>
  <c r="O30233" i="10"/>
  <c r="O30234" i="10"/>
  <c r="O30235" i="10"/>
  <c r="O30236" i="10"/>
  <c r="O30237" i="10"/>
  <c r="O30238" i="10"/>
  <c r="O30239" i="10"/>
  <c r="O30240" i="10"/>
  <c r="O30241" i="10"/>
  <c r="O30242" i="10"/>
  <c r="O30243" i="10"/>
  <c r="O30244" i="10"/>
  <c r="O30245" i="10"/>
  <c r="O30246" i="10"/>
  <c r="O30247" i="10"/>
  <c r="O30248" i="10"/>
  <c r="O30249" i="10"/>
  <c r="O30250" i="10"/>
  <c r="O30251" i="10"/>
  <c r="O30252" i="10"/>
  <c r="O30253" i="10"/>
  <c r="O30254" i="10"/>
  <c r="O30255" i="10"/>
  <c r="O30256" i="10"/>
  <c r="O30257" i="10"/>
  <c r="O30258" i="10"/>
  <c r="O30259" i="10"/>
  <c r="O30260" i="10"/>
  <c r="O30261" i="10"/>
  <c r="O30262" i="10"/>
  <c r="O30263" i="10"/>
  <c r="O30264" i="10"/>
  <c r="O30265" i="10"/>
  <c r="O30266" i="10"/>
  <c r="O30267" i="10"/>
  <c r="O30268" i="10"/>
  <c r="O30269" i="10"/>
  <c r="O30270" i="10"/>
  <c r="O30271" i="10"/>
  <c r="O30272" i="10"/>
  <c r="O30273" i="10"/>
  <c r="O30274" i="10"/>
  <c r="O30275" i="10"/>
  <c r="O30276" i="10"/>
  <c r="O30277" i="10"/>
  <c r="O30278" i="10"/>
  <c r="O30279" i="10"/>
  <c r="O30280" i="10"/>
  <c r="O30281" i="10"/>
  <c r="O30282" i="10"/>
  <c r="O30283" i="10"/>
  <c r="O30284" i="10"/>
  <c r="O30285" i="10"/>
  <c r="O30286" i="10"/>
  <c r="O30287" i="10"/>
  <c r="O30288" i="10"/>
  <c r="O30289" i="10"/>
  <c r="O30290" i="10"/>
  <c r="O30291" i="10"/>
  <c r="O30292" i="10"/>
  <c r="O30293" i="10"/>
  <c r="O30294" i="10"/>
  <c r="O30295" i="10"/>
  <c r="O30296" i="10"/>
  <c r="O30297" i="10"/>
  <c r="O30298" i="10"/>
  <c r="O30299" i="10"/>
  <c r="O30300" i="10"/>
  <c r="O30301" i="10"/>
  <c r="O30302" i="10"/>
  <c r="O30303" i="10"/>
  <c r="O30304" i="10"/>
  <c r="O30305" i="10"/>
  <c r="O30306" i="10"/>
  <c r="O30307" i="10"/>
  <c r="O30308" i="10"/>
  <c r="O30309" i="10"/>
  <c r="O30310" i="10"/>
  <c r="O30311" i="10"/>
  <c r="O30312" i="10"/>
  <c r="O30313" i="10"/>
  <c r="O30314" i="10"/>
  <c r="O30315" i="10"/>
  <c r="O30316" i="10"/>
  <c r="O30317" i="10"/>
  <c r="O30318" i="10"/>
  <c r="O30319" i="10"/>
  <c r="O30320" i="10"/>
  <c r="O30321" i="10"/>
  <c r="O30322" i="10"/>
  <c r="O30323" i="10"/>
  <c r="O30324" i="10"/>
  <c r="O30325" i="10"/>
  <c r="O30326" i="10"/>
  <c r="O30327" i="10"/>
  <c r="O30328" i="10"/>
  <c r="O30329" i="10"/>
  <c r="O30330" i="10"/>
  <c r="O30331" i="10"/>
  <c r="O30332" i="10"/>
  <c r="O30333" i="10"/>
  <c r="O30334" i="10"/>
  <c r="O30335" i="10"/>
  <c r="O30336" i="10"/>
  <c r="O30337" i="10"/>
  <c r="O30338" i="10"/>
  <c r="O30339" i="10"/>
  <c r="O30340" i="10"/>
  <c r="O30341" i="10"/>
  <c r="O30342" i="10"/>
  <c r="O30343" i="10"/>
  <c r="O30344" i="10"/>
  <c r="O30345" i="10"/>
  <c r="O30346" i="10"/>
  <c r="O30347" i="10"/>
  <c r="O30348" i="10"/>
  <c r="O30349" i="10"/>
  <c r="O30350" i="10"/>
  <c r="O30351" i="10"/>
  <c r="O30352" i="10"/>
  <c r="O30353" i="10"/>
  <c r="O30354" i="10"/>
  <c r="O30355" i="10"/>
  <c r="O30356" i="10"/>
  <c r="O30357" i="10"/>
  <c r="O30358" i="10"/>
  <c r="O30359" i="10"/>
  <c r="O30360" i="10"/>
  <c r="O30361" i="10"/>
  <c r="O30362" i="10"/>
  <c r="O30363" i="10"/>
  <c r="O30364" i="10"/>
  <c r="O30365" i="10"/>
  <c r="O30366" i="10"/>
  <c r="O30367" i="10"/>
  <c r="O30368" i="10"/>
  <c r="O30369" i="10"/>
  <c r="O30370" i="10"/>
  <c r="O30371" i="10"/>
  <c r="O30372" i="10"/>
  <c r="O30373" i="10"/>
  <c r="O30374" i="10"/>
  <c r="O30375" i="10"/>
  <c r="O30376" i="10"/>
  <c r="O30377" i="10"/>
  <c r="O30378" i="10"/>
  <c r="O30379" i="10"/>
  <c r="O30380" i="10"/>
  <c r="O30381" i="10"/>
  <c r="O30382" i="10"/>
  <c r="O30383" i="10"/>
  <c r="O30384" i="10"/>
  <c r="O30385" i="10"/>
  <c r="O30386" i="10"/>
  <c r="O30387" i="10"/>
  <c r="O30388" i="10"/>
  <c r="O30389" i="10"/>
  <c r="O30390" i="10"/>
  <c r="O30391" i="10"/>
  <c r="O30392" i="10"/>
  <c r="O30393" i="10"/>
  <c r="O30394" i="10"/>
  <c r="O30395" i="10"/>
  <c r="O30396" i="10"/>
  <c r="O30397" i="10"/>
  <c r="O30398" i="10"/>
  <c r="O30399" i="10"/>
  <c r="O30400" i="10"/>
  <c r="O30401" i="10"/>
  <c r="O30402" i="10"/>
  <c r="O30403" i="10"/>
  <c r="O30404" i="10"/>
  <c r="O30405" i="10"/>
  <c r="O30406" i="10"/>
  <c r="O30407" i="10"/>
  <c r="O30408" i="10"/>
  <c r="O30409" i="10"/>
  <c r="O30410" i="10"/>
  <c r="O30411" i="10"/>
  <c r="O30412" i="10"/>
  <c r="O30413" i="10"/>
  <c r="O30414" i="10"/>
  <c r="O30415" i="10"/>
  <c r="O30416" i="10"/>
  <c r="O30417" i="10"/>
  <c r="O30418" i="10"/>
  <c r="O30419" i="10"/>
  <c r="O30420" i="10"/>
  <c r="O30421" i="10"/>
  <c r="O30422" i="10"/>
  <c r="O30423" i="10"/>
  <c r="O30424" i="10"/>
  <c r="O30425" i="10"/>
  <c r="O30426" i="10"/>
  <c r="O30427" i="10"/>
  <c r="O30428" i="10"/>
  <c r="O30429" i="10"/>
  <c r="O30430" i="10"/>
  <c r="O30431" i="10"/>
  <c r="O30432" i="10"/>
  <c r="O30433" i="10"/>
  <c r="O30434" i="10"/>
  <c r="O30435" i="10"/>
  <c r="O30436" i="10"/>
  <c r="O30437" i="10"/>
  <c r="O30438" i="10"/>
  <c r="O30439" i="10"/>
  <c r="O30440" i="10"/>
  <c r="O30441" i="10"/>
  <c r="O30442" i="10"/>
  <c r="O30443" i="10"/>
  <c r="O30444" i="10"/>
  <c r="O30445" i="10"/>
  <c r="O30446" i="10"/>
  <c r="O30447" i="10"/>
  <c r="O30448" i="10"/>
  <c r="O30449" i="10"/>
  <c r="O30450" i="10"/>
  <c r="O30451" i="10"/>
  <c r="O30452" i="10"/>
  <c r="O30453" i="10"/>
  <c r="O30454" i="10"/>
  <c r="O30455" i="10"/>
  <c r="O30456" i="10"/>
  <c r="O30457" i="10"/>
  <c r="O30458" i="10"/>
  <c r="O30459" i="10"/>
  <c r="O30460" i="10"/>
  <c r="O30461" i="10"/>
  <c r="O30462" i="10"/>
  <c r="O30463" i="10"/>
  <c r="O30464" i="10"/>
  <c r="O30465" i="10"/>
  <c r="O30466" i="10"/>
  <c r="O30467" i="10"/>
  <c r="O30468" i="10"/>
  <c r="O30469" i="10"/>
  <c r="O30470" i="10"/>
  <c r="O30471" i="10"/>
  <c r="O30472" i="10"/>
  <c r="O30473" i="10"/>
  <c r="O30474" i="10"/>
  <c r="O30475" i="10"/>
  <c r="O30476" i="10"/>
  <c r="O30477" i="10"/>
  <c r="O30478" i="10"/>
  <c r="O30479" i="10"/>
  <c r="O30480" i="10"/>
  <c r="O30481" i="10"/>
  <c r="O30482" i="10"/>
  <c r="O30483" i="10"/>
  <c r="O30484" i="10"/>
  <c r="O30485" i="10"/>
  <c r="O30486" i="10"/>
  <c r="O30487" i="10"/>
  <c r="O30488" i="10"/>
  <c r="O30489" i="10"/>
  <c r="O30490" i="10"/>
  <c r="O30491" i="10"/>
  <c r="O30492" i="10"/>
  <c r="O30493" i="10"/>
  <c r="O30494" i="10"/>
  <c r="O30495" i="10"/>
  <c r="O30496" i="10"/>
  <c r="O30497" i="10"/>
  <c r="O30498" i="10"/>
  <c r="O30499" i="10"/>
  <c r="O30500" i="10"/>
  <c r="O30501" i="10"/>
  <c r="O30502" i="10"/>
  <c r="O30503" i="10"/>
  <c r="O30504" i="10"/>
  <c r="O30505" i="10"/>
  <c r="O30506" i="10"/>
  <c r="O30507" i="10"/>
  <c r="O30508" i="10"/>
  <c r="O30509" i="10"/>
  <c r="O30510" i="10"/>
  <c r="O30511" i="10"/>
  <c r="O30512" i="10"/>
  <c r="O30513" i="10"/>
  <c r="O30514" i="10"/>
  <c r="O30515" i="10"/>
  <c r="O30516" i="10"/>
  <c r="O30517" i="10"/>
  <c r="O30518" i="10"/>
  <c r="O30519" i="10"/>
  <c r="O30520" i="10"/>
  <c r="O30521" i="10"/>
  <c r="O30522" i="10"/>
  <c r="O30523" i="10"/>
  <c r="O30524" i="10"/>
  <c r="O30525" i="10"/>
  <c r="O30526" i="10"/>
  <c r="O30527" i="10"/>
  <c r="O30528" i="10"/>
  <c r="O30529" i="10"/>
  <c r="O30530" i="10"/>
  <c r="O30531" i="10"/>
  <c r="O30532" i="10"/>
  <c r="O30533" i="10"/>
  <c r="O30534" i="10"/>
  <c r="O30535" i="10"/>
  <c r="O30536" i="10"/>
  <c r="O30537" i="10"/>
  <c r="O30538" i="10"/>
  <c r="O30539" i="10"/>
  <c r="O30540" i="10"/>
  <c r="O30541" i="10"/>
  <c r="O30542" i="10"/>
  <c r="O30543" i="10"/>
  <c r="O30544" i="10"/>
  <c r="O30545" i="10"/>
  <c r="O30546" i="10"/>
  <c r="O30547" i="10"/>
  <c r="O30548" i="10"/>
  <c r="O30549" i="10"/>
  <c r="O30550" i="10"/>
  <c r="O30551" i="10"/>
  <c r="O30552" i="10"/>
  <c r="O30553" i="10"/>
  <c r="O30554" i="10"/>
  <c r="O30555" i="10"/>
  <c r="O30556" i="10"/>
  <c r="O30557" i="10"/>
  <c r="O30558" i="10"/>
  <c r="O30559" i="10"/>
  <c r="O30560" i="10"/>
  <c r="O30561" i="10"/>
  <c r="O30562" i="10"/>
  <c r="O30563" i="10"/>
  <c r="O30564" i="10"/>
  <c r="O30565" i="10"/>
  <c r="O30566" i="10"/>
  <c r="O30567" i="10"/>
  <c r="O30568" i="10"/>
  <c r="O30569" i="10"/>
  <c r="O30570" i="10"/>
  <c r="O30571" i="10"/>
  <c r="O30572" i="10"/>
  <c r="O30573" i="10"/>
  <c r="O30574" i="10"/>
  <c r="O30575" i="10"/>
  <c r="O30576" i="10"/>
  <c r="O30577" i="10"/>
  <c r="O30578" i="10"/>
  <c r="O30579" i="10"/>
  <c r="O30580" i="10"/>
  <c r="O30581" i="10"/>
  <c r="O30582" i="10"/>
  <c r="O30583" i="10"/>
  <c r="O30584" i="10"/>
  <c r="O30585" i="10"/>
  <c r="O30586" i="10"/>
  <c r="O30587" i="10"/>
  <c r="O30588" i="10"/>
  <c r="O30589" i="10"/>
  <c r="O30590" i="10"/>
  <c r="O30591" i="10"/>
  <c r="O30592" i="10"/>
  <c r="O30593" i="10"/>
  <c r="O30594" i="10"/>
  <c r="O30595" i="10"/>
  <c r="O30596" i="10"/>
  <c r="O30597" i="10"/>
  <c r="O30598" i="10"/>
  <c r="O30599" i="10"/>
  <c r="O30600" i="10"/>
  <c r="O30601" i="10"/>
  <c r="O30602" i="10"/>
  <c r="O30603" i="10"/>
  <c r="O30604" i="10"/>
  <c r="O30605" i="10"/>
  <c r="O30606" i="10"/>
  <c r="O30607" i="10"/>
  <c r="O30608" i="10"/>
  <c r="O30609" i="10"/>
  <c r="O30610" i="10"/>
  <c r="O30611" i="10"/>
  <c r="O30612" i="10"/>
  <c r="O30613" i="10"/>
  <c r="O30614" i="10"/>
  <c r="O30615" i="10"/>
  <c r="O30616" i="10"/>
  <c r="O30617" i="10"/>
  <c r="O30618" i="10"/>
  <c r="O30619" i="10"/>
  <c r="O30620" i="10"/>
  <c r="O30621" i="10"/>
  <c r="O30622" i="10"/>
  <c r="O30623" i="10"/>
  <c r="O30624" i="10"/>
  <c r="O30625" i="10"/>
  <c r="O30626" i="10"/>
  <c r="O30627" i="10"/>
  <c r="O30628" i="10"/>
  <c r="O30629" i="10"/>
  <c r="O30630" i="10"/>
  <c r="O30631" i="10"/>
  <c r="O30632" i="10"/>
  <c r="O30633" i="10"/>
  <c r="O30634" i="10"/>
  <c r="O30635" i="10"/>
  <c r="O30636" i="10"/>
  <c r="O30637" i="10"/>
  <c r="O30638" i="10"/>
  <c r="O30639" i="10"/>
  <c r="O30640" i="10"/>
  <c r="O30641" i="10"/>
  <c r="O30642" i="10"/>
  <c r="O30643" i="10"/>
  <c r="O30644" i="10"/>
  <c r="O30645" i="10"/>
  <c r="O30646" i="10"/>
  <c r="O30647" i="10"/>
  <c r="O30648" i="10"/>
  <c r="O30649" i="10"/>
  <c r="O30650" i="10"/>
  <c r="O30651" i="10"/>
  <c r="O30652" i="10"/>
  <c r="O30653" i="10"/>
  <c r="O30654" i="10"/>
  <c r="O30655" i="10"/>
  <c r="O30656" i="10"/>
  <c r="O30657" i="10"/>
  <c r="O30658" i="10"/>
  <c r="O30659" i="10"/>
  <c r="O30660" i="10"/>
  <c r="O30661" i="10"/>
  <c r="O30662" i="10"/>
  <c r="O30663" i="10"/>
  <c r="O30664" i="10"/>
  <c r="O30665" i="10"/>
  <c r="O30666" i="10"/>
  <c r="O30667" i="10"/>
  <c r="O30668" i="10"/>
  <c r="O30669" i="10"/>
  <c r="O30670" i="10"/>
  <c r="O30671" i="10"/>
  <c r="O30672" i="10"/>
  <c r="O30673" i="10"/>
  <c r="O30674" i="10"/>
  <c r="O30675" i="10"/>
  <c r="O30676" i="10"/>
  <c r="O30677" i="10"/>
  <c r="O30678" i="10"/>
  <c r="O30679" i="10"/>
  <c r="O30680" i="10"/>
  <c r="O30681" i="10"/>
  <c r="O30682" i="10"/>
  <c r="O30683" i="10"/>
  <c r="O30684" i="10"/>
  <c r="O30685" i="10"/>
  <c r="O30686" i="10"/>
  <c r="O30687" i="10"/>
  <c r="O30688" i="10"/>
  <c r="O30689" i="10"/>
  <c r="O30690" i="10"/>
  <c r="O30691" i="10"/>
  <c r="O30692" i="10"/>
  <c r="O30693" i="10"/>
  <c r="O30694" i="10"/>
  <c r="O30695" i="10"/>
  <c r="O30696" i="10"/>
  <c r="O30697" i="10"/>
  <c r="O30698" i="10"/>
  <c r="O30699" i="10"/>
  <c r="O30700" i="10"/>
  <c r="O30701" i="10"/>
  <c r="O30702" i="10"/>
  <c r="O30703" i="10"/>
  <c r="O30704" i="10"/>
  <c r="O30705" i="10"/>
  <c r="O30706" i="10"/>
  <c r="O30707" i="10"/>
  <c r="O30708" i="10"/>
  <c r="O30709" i="10"/>
  <c r="O30710" i="10"/>
  <c r="O30711" i="10"/>
  <c r="O30712" i="10"/>
  <c r="O30713" i="10"/>
  <c r="O30714" i="10"/>
  <c r="O30715" i="10"/>
  <c r="O30716" i="10"/>
  <c r="O30717" i="10"/>
  <c r="O30718" i="10"/>
  <c r="O30719" i="10"/>
  <c r="O30720" i="10"/>
  <c r="O30721" i="10"/>
  <c r="O30722" i="10"/>
  <c r="O30723" i="10"/>
  <c r="O30724" i="10"/>
  <c r="O30725" i="10"/>
  <c r="O30726" i="10"/>
  <c r="O30727" i="10"/>
  <c r="O30728" i="10"/>
  <c r="O30729" i="10"/>
  <c r="O30730" i="10"/>
  <c r="O30731" i="10"/>
  <c r="O30732" i="10"/>
  <c r="O30733" i="10"/>
  <c r="O30734" i="10"/>
  <c r="O30735" i="10"/>
  <c r="O30736" i="10"/>
  <c r="O30737" i="10"/>
  <c r="O30738" i="10"/>
  <c r="O30739" i="10"/>
  <c r="O30740" i="10"/>
  <c r="O30741" i="10"/>
  <c r="O30742" i="10"/>
  <c r="O30743" i="10"/>
  <c r="O30744" i="10"/>
  <c r="O30745" i="10"/>
  <c r="O30746" i="10"/>
  <c r="O30747" i="10"/>
  <c r="O30748" i="10"/>
  <c r="O30749" i="10"/>
  <c r="O30750" i="10"/>
  <c r="O30751" i="10"/>
  <c r="O30752" i="10"/>
  <c r="O30753" i="10"/>
  <c r="O30754" i="10"/>
  <c r="O30755" i="10"/>
  <c r="O30756" i="10"/>
  <c r="O30757" i="10"/>
  <c r="O30758" i="10"/>
  <c r="O30759" i="10"/>
  <c r="O30760" i="10"/>
  <c r="O30761" i="10"/>
  <c r="O30762" i="10"/>
  <c r="O30763" i="10"/>
  <c r="O30764" i="10"/>
  <c r="O30765" i="10"/>
  <c r="O30766" i="10"/>
  <c r="O30767" i="10"/>
  <c r="O30768" i="10"/>
  <c r="O30769" i="10"/>
  <c r="O30770" i="10"/>
  <c r="O30771" i="10"/>
  <c r="O30772" i="10"/>
  <c r="O30773" i="10"/>
  <c r="O30774" i="10"/>
  <c r="O30775" i="10"/>
  <c r="O30776" i="10"/>
  <c r="O30777" i="10"/>
  <c r="O30778" i="10"/>
  <c r="O30779" i="10"/>
  <c r="O30780" i="10"/>
  <c r="O30781" i="10"/>
  <c r="O30782" i="10"/>
  <c r="O30783" i="10"/>
  <c r="O30784" i="10"/>
  <c r="O30785" i="10"/>
  <c r="O30786" i="10"/>
  <c r="O30787" i="10"/>
  <c r="O30788" i="10"/>
  <c r="O30789" i="10"/>
  <c r="O30790" i="10"/>
  <c r="O30791" i="10"/>
  <c r="O30792" i="10"/>
  <c r="O30793" i="10"/>
  <c r="O30794" i="10"/>
  <c r="O30795" i="10"/>
  <c r="O30796" i="10"/>
  <c r="O30797" i="10"/>
  <c r="O30798" i="10"/>
  <c r="O30799" i="10"/>
  <c r="O30800" i="10"/>
  <c r="O30801" i="10"/>
  <c r="O30802" i="10"/>
  <c r="O30803" i="10"/>
  <c r="O30804" i="10"/>
  <c r="O30805" i="10"/>
  <c r="O30806" i="10"/>
  <c r="O30807" i="10"/>
  <c r="O30808" i="10"/>
  <c r="O30809" i="10"/>
  <c r="O30810" i="10"/>
  <c r="O30811" i="10"/>
  <c r="O30812" i="10"/>
  <c r="O30813" i="10"/>
  <c r="O30814" i="10"/>
  <c r="O30815" i="10"/>
  <c r="O30816" i="10"/>
  <c r="O30817" i="10"/>
  <c r="O30818" i="10"/>
  <c r="O30819" i="10"/>
  <c r="O30820" i="10"/>
  <c r="O30821" i="10"/>
  <c r="O30822" i="10"/>
  <c r="O30823" i="10"/>
  <c r="O30824" i="10"/>
  <c r="O30825" i="10"/>
  <c r="O30826" i="10"/>
  <c r="O30827" i="10"/>
  <c r="O30828" i="10"/>
  <c r="O30829" i="10"/>
  <c r="O30830" i="10"/>
  <c r="O30831" i="10"/>
  <c r="O30832" i="10"/>
  <c r="O30833" i="10"/>
  <c r="O30834" i="10"/>
  <c r="O30835" i="10"/>
  <c r="O30836" i="10"/>
  <c r="O30837" i="10"/>
  <c r="O30838" i="10"/>
  <c r="O30839" i="10"/>
  <c r="O30840" i="10"/>
  <c r="O30841" i="10"/>
  <c r="O30842" i="10"/>
  <c r="O30843" i="10"/>
  <c r="O30844" i="10"/>
  <c r="O30845" i="10"/>
  <c r="O30846" i="10"/>
  <c r="O30847" i="10"/>
  <c r="O30848" i="10"/>
  <c r="O30849" i="10"/>
  <c r="O30850" i="10"/>
  <c r="O30851" i="10"/>
  <c r="O30852" i="10"/>
  <c r="O30853" i="10"/>
  <c r="O30854" i="10"/>
  <c r="O30855" i="10"/>
  <c r="O30856" i="10"/>
  <c r="O30857" i="10"/>
  <c r="O30858" i="10"/>
  <c r="O30859" i="10"/>
  <c r="O30860" i="10"/>
  <c r="O30861" i="10"/>
  <c r="O30862" i="10"/>
  <c r="O30863" i="10"/>
  <c r="O30864" i="10"/>
  <c r="O30865" i="10"/>
  <c r="O30866" i="10"/>
  <c r="O30867" i="10"/>
  <c r="O30868" i="10"/>
  <c r="O30869" i="10"/>
  <c r="O30870" i="10"/>
  <c r="O30871" i="10"/>
  <c r="O30872" i="10"/>
  <c r="O30873" i="10"/>
  <c r="O30874" i="10"/>
  <c r="O30875" i="10"/>
  <c r="O30876" i="10"/>
  <c r="O30877" i="10"/>
  <c r="O30878" i="10"/>
  <c r="O30879" i="10"/>
  <c r="O30880" i="10"/>
  <c r="O30881" i="10"/>
  <c r="O30882" i="10"/>
  <c r="O30883" i="10"/>
  <c r="O30884" i="10"/>
  <c r="O30885" i="10"/>
  <c r="O30886" i="10"/>
  <c r="O30887" i="10"/>
  <c r="O30888" i="10"/>
  <c r="O30889" i="10"/>
  <c r="O30890" i="10"/>
  <c r="O30891" i="10"/>
  <c r="O30892" i="10"/>
  <c r="O30893" i="10"/>
  <c r="O30894" i="10"/>
  <c r="O30895" i="10"/>
  <c r="O30896" i="10"/>
  <c r="O30897" i="10"/>
  <c r="O30898" i="10"/>
  <c r="O30899" i="10"/>
  <c r="O30900" i="10"/>
  <c r="O30901" i="10"/>
  <c r="O30902" i="10"/>
  <c r="O30903" i="10"/>
  <c r="O30904" i="10"/>
  <c r="O30905" i="10"/>
  <c r="O30906" i="10"/>
  <c r="O30907" i="10"/>
  <c r="O30908" i="10"/>
  <c r="O30909" i="10"/>
  <c r="O30910" i="10"/>
  <c r="O30911" i="10"/>
  <c r="O30912" i="10"/>
  <c r="O30913" i="10"/>
  <c r="O30914" i="10"/>
  <c r="O30915" i="10"/>
  <c r="O30916" i="10"/>
  <c r="O30917" i="10"/>
  <c r="O30918" i="10"/>
  <c r="O30919" i="10"/>
  <c r="O30920" i="10"/>
  <c r="O30921" i="10"/>
  <c r="O30922" i="10"/>
  <c r="O30923" i="10"/>
  <c r="O30924" i="10"/>
  <c r="O30925" i="10"/>
  <c r="O16296" i="10"/>
  <c r="O16297" i="10"/>
  <c r="O16298" i="10"/>
  <c r="O16299" i="10"/>
  <c r="O16300" i="10"/>
  <c r="O16301" i="10"/>
  <c r="O16302" i="10"/>
  <c r="O16303" i="10"/>
  <c r="O16304" i="10"/>
  <c r="O16305" i="10"/>
  <c r="O16306" i="10"/>
  <c r="O16307" i="10"/>
  <c r="O16308" i="10"/>
  <c r="O16309" i="10"/>
  <c r="O16310" i="10"/>
  <c r="O16311" i="10"/>
  <c r="O16312" i="10"/>
  <c r="O16313" i="10"/>
  <c r="O16314" i="10"/>
  <c r="O16315" i="10"/>
  <c r="O16316" i="10"/>
  <c r="O16317" i="10"/>
  <c r="O16318" i="10"/>
  <c r="O16319" i="10"/>
  <c r="O16320" i="10"/>
  <c r="O16321" i="10"/>
  <c r="O16322" i="10"/>
  <c r="O16323" i="10"/>
  <c r="O16324" i="10"/>
  <c r="O16325" i="10"/>
  <c r="O16326" i="10"/>
  <c r="O16327" i="10"/>
  <c r="O16328" i="10"/>
  <c r="O16329" i="10"/>
  <c r="O16330" i="10"/>
  <c r="O16331" i="10"/>
  <c r="O16332" i="10"/>
  <c r="O16333" i="10"/>
  <c r="O16334" i="10"/>
  <c r="O16335" i="10"/>
  <c r="O16336" i="10"/>
  <c r="O16337" i="10"/>
  <c r="O16338" i="10"/>
  <c r="O16339" i="10"/>
  <c r="O16340" i="10"/>
  <c r="O16341" i="10"/>
  <c r="O16342" i="10"/>
  <c r="O16343" i="10"/>
  <c r="O16344" i="10"/>
  <c r="O16345" i="10"/>
  <c r="O16346" i="10"/>
  <c r="O16347" i="10"/>
  <c r="O16348" i="10"/>
  <c r="O16349" i="10"/>
  <c r="O16350" i="10"/>
  <c r="O16351" i="10"/>
  <c r="O16352" i="10"/>
  <c r="O16353" i="10"/>
  <c r="O16354" i="10"/>
  <c r="O16355" i="10"/>
  <c r="O16356" i="10"/>
  <c r="O16357" i="10"/>
  <c r="O16358" i="10"/>
  <c r="O16359" i="10"/>
  <c r="O16360" i="10"/>
  <c r="O16361" i="10"/>
  <c r="O16362" i="10"/>
  <c r="O16363" i="10"/>
  <c r="O16364" i="10"/>
  <c r="O16365" i="10"/>
  <c r="O16366" i="10"/>
  <c r="O16367" i="10"/>
  <c r="O16368" i="10"/>
  <c r="O16369" i="10"/>
  <c r="O16370" i="10"/>
  <c r="O16371" i="10"/>
  <c r="O16372" i="10"/>
  <c r="O16373" i="10"/>
  <c r="O16374" i="10"/>
  <c r="O16375" i="10"/>
  <c r="O16376" i="10"/>
  <c r="O16377" i="10"/>
  <c r="O16378" i="10"/>
  <c r="O16379" i="10"/>
  <c r="O16380" i="10"/>
  <c r="O16381" i="10"/>
  <c r="O16382" i="10"/>
  <c r="O16383" i="10"/>
  <c r="O16384" i="10"/>
  <c r="O16385" i="10"/>
  <c r="O16386" i="10"/>
  <c r="O16387" i="10"/>
  <c r="O16388" i="10"/>
  <c r="O16389" i="10"/>
  <c r="O16390" i="10"/>
  <c r="O16391" i="10"/>
  <c r="O16392" i="10"/>
  <c r="O16393" i="10"/>
  <c r="O16394" i="10"/>
  <c r="O16395" i="10"/>
  <c r="O16396" i="10"/>
  <c r="O16397" i="10"/>
  <c r="O16398" i="10"/>
  <c r="O16399" i="10"/>
  <c r="O16400" i="10"/>
  <c r="O16401" i="10"/>
  <c r="O16402" i="10"/>
  <c r="O16403" i="10"/>
  <c r="O16404" i="10"/>
  <c r="O16405" i="10"/>
  <c r="O16406" i="10"/>
  <c r="O16407" i="10"/>
  <c r="O16408" i="10"/>
  <c r="O16409" i="10"/>
  <c r="O16410" i="10"/>
  <c r="O16411" i="10"/>
  <c r="O16412" i="10"/>
  <c r="O16413" i="10"/>
  <c r="O16414" i="10"/>
  <c r="O16415" i="10"/>
  <c r="O16416" i="10"/>
  <c r="O16417" i="10"/>
  <c r="O16418" i="10"/>
  <c r="O16419" i="10"/>
  <c r="O16420" i="10"/>
  <c r="O16421" i="10"/>
  <c r="O16422" i="10"/>
  <c r="O16423" i="10"/>
  <c r="O16424" i="10"/>
  <c r="O16425" i="10"/>
  <c r="O16426" i="10"/>
  <c r="O16427" i="10"/>
  <c r="O16428" i="10"/>
  <c r="O16429" i="10"/>
  <c r="O16430" i="10"/>
  <c r="O16431" i="10"/>
  <c r="O16432" i="10"/>
  <c r="O16433" i="10"/>
  <c r="O16434" i="10"/>
  <c r="O16435" i="10"/>
  <c r="O16436" i="10"/>
  <c r="O16437" i="10"/>
  <c r="O16438" i="10"/>
  <c r="O16439" i="10"/>
  <c r="O16440" i="10"/>
  <c r="O16441" i="10"/>
  <c r="O16442" i="10"/>
  <c r="O16443" i="10"/>
  <c r="O16444" i="10"/>
  <c r="O16445" i="10"/>
  <c r="O16446" i="10"/>
  <c r="O16447" i="10"/>
  <c r="O16448" i="10"/>
  <c r="O16449" i="10"/>
  <c r="O16450" i="10"/>
  <c r="O16451" i="10"/>
  <c r="O16452" i="10"/>
  <c r="O16453" i="10"/>
  <c r="O16454" i="10"/>
  <c r="O16455" i="10"/>
  <c r="O16456" i="10"/>
  <c r="O16457" i="10"/>
  <c r="O16458" i="10"/>
  <c r="O16459" i="10"/>
  <c r="O16460" i="10"/>
  <c r="O16461" i="10"/>
  <c r="O16462" i="10"/>
  <c r="O16463" i="10"/>
  <c r="O16464" i="10"/>
  <c r="O16465" i="10"/>
  <c r="O16466" i="10"/>
  <c r="O16467" i="10"/>
  <c r="O16468" i="10"/>
  <c r="O16469" i="10"/>
  <c r="O16470" i="10"/>
  <c r="O16471" i="10"/>
  <c r="O16472" i="10"/>
  <c r="O16473" i="10"/>
  <c r="O16474" i="10"/>
  <c r="O16475" i="10"/>
  <c r="O16476" i="10"/>
  <c r="O16477" i="10"/>
  <c r="O16478" i="10"/>
  <c r="O16479" i="10"/>
  <c r="O16480" i="10"/>
  <c r="O16481" i="10"/>
  <c r="O16482" i="10"/>
  <c r="O16483" i="10"/>
  <c r="O16484" i="10"/>
  <c r="O16485" i="10"/>
  <c r="O16486" i="10"/>
  <c r="O16487" i="10"/>
  <c r="O16488" i="10"/>
  <c r="O16489" i="10"/>
  <c r="O16490" i="10"/>
  <c r="O16491" i="10"/>
  <c r="O16492" i="10"/>
  <c r="O16493" i="10"/>
  <c r="O16494" i="10"/>
  <c r="O16495" i="10"/>
  <c r="O16496" i="10"/>
  <c r="O16497" i="10"/>
  <c r="O16498" i="10"/>
  <c r="O16499" i="10"/>
  <c r="O16500" i="10"/>
  <c r="O16501" i="10"/>
  <c r="O16502" i="10"/>
  <c r="O16503" i="10"/>
  <c r="O16504" i="10"/>
  <c r="O16505" i="10"/>
  <c r="O16506" i="10"/>
  <c r="O16507" i="10"/>
  <c r="O16508" i="10"/>
  <c r="O16509" i="10"/>
  <c r="O16510" i="10"/>
  <c r="O16511" i="10"/>
  <c r="O16512" i="10"/>
  <c r="O16513" i="10"/>
  <c r="O16514" i="10"/>
  <c r="O16515" i="10"/>
  <c r="O16516" i="10"/>
  <c r="O16517" i="10"/>
  <c r="O16518" i="10"/>
  <c r="O16519" i="10"/>
  <c r="O16520" i="10"/>
  <c r="O16521" i="10"/>
  <c r="O16522" i="10"/>
  <c r="O16523" i="10"/>
  <c r="O16524" i="10"/>
  <c r="O16525" i="10"/>
  <c r="O16526" i="10"/>
  <c r="O16527" i="10"/>
  <c r="O16528" i="10"/>
  <c r="O16529" i="10"/>
  <c r="O16530" i="10"/>
  <c r="O16531" i="10"/>
  <c r="O16532" i="10"/>
  <c r="O16533" i="10"/>
  <c r="O16534" i="10"/>
  <c r="O16535" i="10"/>
  <c r="O16536" i="10"/>
  <c r="O16537" i="10"/>
  <c r="O16538" i="10"/>
  <c r="O16539" i="10"/>
  <c r="O16540" i="10"/>
  <c r="O16541" i="10"/>
  <c r="O16542" i="10"/>
  <c r="O16543" i="10"/>
  <c r="O16544" i="10"/>
  <c r="O16545" i="10"/>
  <c r="O16546" i="10"/>
  <c r="O16547" i="10"/>
  <c r="O16548" i="10"/>
  <c r="O16549" i="10"/>
  <c r="O16550" i="10"/>
  <c r="O16551" i="10"/>
  <c r="O16552" i="10"/>
  <c r="O16553" i="10"/>
  <c r="O16554" i="10"/>
  <c r="O16555" i="10"/>
  <c r="O16556" i="10"/>
  <c r="O16557" i="10"/>
  <c r="O16558" i="10"/>
  <c r="O16559" i="10"/>
  <c r="O16560" i="10"/>
  <c r="O16561" i="10"/>
  <c r="O16562" i="10"/>
  <c r="O16563" i="10"/>
  <c r="O16564" i="10"/>
  <c r="O16565" i="10"/>
  <c r="O16566" i="10"/>
  <c r="O16567" i="10"/>
  <c r="O16568" i="10"/>
  <c r="O16569" i="10"/>
  <c r="O16570" i="10"/>
  <c r="O16571" i="10"/>
  <c r="O16572" i="10"/>
  <c r="O16573" i="10"/>
  <c r="O16574" i="10"/>
  <c r="O16575" i="10"/>
  <c r="O16576" i="10"/>
  <c r="O16577" i="10"/>
  <c r="O16578" i="10"/>
  <c r="O16579" i="10"/>
  <c r="O16580" i="10"/>
  <c r="O16581" i="10"/>
  <c r="O16582" i="10"/>
  <c r="O16583" i="10"/>
  <c r="O16584" i="10"/>
  <c r="O16585" i="10"/>
  <c r="O16586" i="10"/>
  <c r="O16587" i="10"/>
  <c r="O16588" i="10"/>
  <c r="O16589" i="10"/>
  <c r="O16590" i="10"/>
  <c r="O16591" i="10"/>
  <c r="O16592" i="10"/>
  <c r="O16593" i="10"/>
  <c r="O16594" i="10"/>
  <c r="O16595" i="10"/>
  <c r="O16596" i="10"/>
  <c r="O16597" i="10"/>
  <c r="O16598" i="10"/>
  <c r="O16599" i="10"/>
  <c r="O16600" i="10"/>
  <c r="O16601" i="10"/>
  <c r="O16602" i="10"/>
  <c r="O16603" i="10"/>
  <c r="O16604" i="10"/>
  <c r="O16605" i="10"/>
  <c r="O16606" i="10"/>
  <c r="O16607" i="10"/>
  <c r="O16608" i="10"/>
  <c r="O16609" i="10"/>
  <c r="O16610" i="10"/>
  <c r="O16611" i="10"/>
  <c r="O16612" i="10"/>
  <c r="O16613" i="10"/>
  <c r="O16614" i="10"/>
  <c r="O16615" i="10"/>
  <c r="O16616" i="10"/>
  <c r="O16617" i="10"/>
  <c r="O16618" i="10"/>
  <c r="O16619" i="10"/>
  <c r="O16620" i="10"/>
  <c r="O16621" i="10"/>
  <c r="O16622" i="10"/>
  <c r="O16623" i="10"/>
  <c r="O16624" i="10"/>
  <c r="O16625" i="10"/>
  <c r="O16626" i="10"/>
  <c r="O16627" i="10"/>
  <c r="O16628" i="10"/>
  <c r="O16629" i="10"/>
  <c r="O16630" i="10"/>
  <c r="O16631" i="10"/>
  <c r="O16632" i="10"/>
  <c r="O16633" i="10"/>
  <c r="O16634" i="10"/>
  <c r="O16635" i="10"/>
  <c r="O16636" i="10"/>
  <c r="O16637" i="10"/>
  <c r="O16638" i="10"/>
  <c r="O16639" i="10"/>
  <c r="O16640" i="10"/>
  <c r="O16641" i="10"/>
  <c r="O16642" i="10"/>
  <c r="O16643" i="10"/>
  <c r="O16644" i="10"/>
  <c r="O16645" i="10"/>
  <c r="O16646" i="10"/>
  <c r="O16647" i="10"/>
  <c r="O16648" i="10"/>
  <c r="O16649" i="10"/>
  <c r="O16650" i="10"/>
  <c r="O16651" i="10"/>
  <c r="O16652" i="10"/>
  <c r="O16653" i="10"/>
  <c r="O16654" i="10"/>
  <c r="O16655" i="10"/>
  <c r="O16656" i="10"/>
  <c r="O16657" i="10"/>
  <c r="O16658" i="10"/>
  <c r="O16659" i="10"/>
  <c r="O16660" i="10"/>
  <c r="O16661" i="10"/>
  <c r="O16662" i="10"/>
  <c r="O16663" i="10"/>
  <c r="O16664" i="10"/>
  <c r="O16665" i="10"/>
  <c r="O16666" i="10"/>
  <c r="O16667" i="10"/>
  <c r="O16668" i="10"/>
  <c r="O16669" i="10"/>
  <c r="O16670" i="10"/>
  <c r="O16671" i="10"/>
  <c r="O16672" i="10"/>
  <c r="O16673" i="10"/>
  <c r="O16674" i="10"/>
  <c r="O16675" i="10"/>
  <c r="O16676" i="10"/>
  <c r="O16677" i="10"/>
  <c r="O16678" i="10"/>
  <c r="O16679" i="10"/>
  <c r="O16680" i="10"/>
  <c r="O16681" i="10"/>
  <c r="O16682" i="10"/>
  <c r="O16683" i="10"/>
  <c r="O16684" i="10"/>
  <c r="O16685" i="10"/>
  <c r="O16686" i="10"/>
  <c r="O16687" i="10"/>
  <c r="O16688" i="10"/>
  <c r="O16689" i="10"/>
  <c r="O16690" i="10"/>
  <c r="O16691" i="10"/>
  <c r="O16692" i="10"/>
  <c r="O16693" i="10"/>
  <c r="O16694" i="10"/>
  <c r="O16695" i="10"/>
  <c r="O16696" i="10"/>
  <c r="O16697" i="10"/>
  <c r="O16698" i="10"/>
  <c r="O16699" i="10"/>
  <c r="O16700" i="10"/>
  <c r="O16701" i="10"/>
  <c r="O16702" i="10"/>
  <c r="O16703" i="10"/>
  <c r="O16704" i="10"/>
  <c r="O16705" i="10"/>
  <c r="O16706" i="10"/>
  <c r="O16707" i="10"/>
  <c r="O16708" i="10"/>
  <c r="O16709" i="10"/>
  <c r="O16710" i="10"/>
  <c r="O16711" i="10"/>
  <c r="O16712" i="10"/>
  <c r="O16713" i="10"/>
  <c r="O16714" i="10"/>
  <c r="O16715" i="10"/>
  <c r="O16716" i="10"/>
  <c r="O16717" i="10"/>
  <c r="O16718" i="10"/>
  <c r="O16719" i="10"/>
  <c r="O16720" i="10"/>
  <c r="O16721" i="10"/>
  <c r="O16722" i="10"/>
  <c r="O16723" i="10"/>
  <c r="O16724" i="10"/>
  <c r="O16725" i="10"/>
  <c r="O16726" i="10"/>
  <c r="O16727" i="10"/>
  <c r="O16728" i="10"/>
  <c r="O16729" i="10"/>
  <c r="O16730" i="10"/>
  <c r="O16731" i="10"/>
  <c r="O16732" i="10"/>
  <c r="O16733" i="10"/>
  <c r="O16734" i="10"/>
  <c r="O16735" i="10"/>
  <c r="O16736" i="10"/>
  <c r="O16737" i="10"/>
  <c r="O16738" i="10"/>
  <c r="O16739" i="10"/>
  <c r="O16740" i="10"/>
  <c r="O16741" i="10"/>
  <c r="O16742" i="10"/>
  <c r="O16743" i="10"/>
  <c r="O16744" i="10"/>
  <c r="O16745" i="10"/>
  <c r="O16746" i="10"/>
  <c r="O16747" i="10"/>
  <c r="O16748" i="10"/>
  <c r="O16749" i="10"/>
  <c r="O16750" i="10"/>
  <c r="O16751" i="10"/>
  <c r="O16752" i="10"/>
  <c r="O16753" i="10"/>
  <c r="O16754" i="10"/>
  <c r="O16755" i="10"/>
  <c r="O16756" i="10"/>
  <c r="O16757" i="10"/>
  <c r="O16758" i="10"/>
  <c r="O16759" i="10"/>
  <c r="O16760" i="10"/>
  <c r="O16761" i="10"/>
  <c r="O16762" i="10"/>
  <c r="O16763" i="10"/>
  <c r="O16764" i="10"/>
  <c r="O16765" i="10"/>
  <c r="O16766" i="10"/>
  <c r="O16767" i="10"/>
  <c r="O16768" i="10"/>
  <c r="O16769" i="10"/>
  <c r="O16770" i="10"/>
  <c r="O16771" i="10"/>
  <c r="O16772" i="10"/>
  <c r="O16773" i="10"/>
  <c r="O16774" i="10"/>
  <c r="O16775" i="10"/>
  <c r="O16776" i="10"/>
  <c r="O16777" i="10"/>
  <c r="O16778" i="10"/>
  <c r="O16779" i="10"/>
  <c r="O16780" i="10"/>
  <c r="O16781" i="10"/>
  <c r="O16782" i="10"/>
  <c r="O16783" i="10"/>
  <c r="O16784" i="10"/>
  <c r="O16785" i="10"/>
  <c r="O16786" i="10"/>
  <c r="O16787" i="10"/>
  <c r="O16788" i="10"/>
  <c r="O16789" i="10"/>
  <c r="O16790" i="10"/>
  <c r="O16791" i="10"/>
  <c r="O16792" i="10"/>
  <c r="O16793" i="10"/>
  <c r="O16794" i="10"/>
  <c r="O16795" i="10"/>
  <c r="O16796" i="10"/>
  <c r="O16797" i="10"/>
  <c r="O16798" i="10"/>
  <c r="O16799" i="10"/>
  <c r="O16800" i="10"/>
  <c r="O16801" i="10"/>
  <c r="O16802" i="10"/>
  <c r="O16803" i="10"/>
  <c r="O16804" i="10"/>
  <c r="O16805" i="10"/>
  <c r="O16806" i="10"/>
  <c r="O16807" i="10"/>
  <c r="O16808" i="10"/>
  <c r="O16809" i="10"/>
  <c r="O16810" i="10"/>
  <c r="O16811" i="10"/>
  <c r="O16812" i="10"/>
  <c r="O16813" i="10"/>
  <c r="O16814" i="10"/>
  <c r="O16815" i="10"/>
  <c r="O16816" i="10"/>
  <c r="O16817" i="10"/>
  <c r="O16818" i="10"/>
  <c r="O16819" i="10"/>
  <c r="O16820" i="10"/>
  <c r="O16821" i="10"/>
  <c r="O16822" i="10"/>
  <c r="O16823" i="10"/>
  <c r="O16824" i="10"/>
  <c r="O16825" i="10"/>
  <c r="O16826" i="10"/>
  <c r="O16827" i="10"/>
  <c r="O16828" i="10"/>
  <c r="O16829" i="10"/>
  <c r="O16830" i="10"/>
  <c r="O16831" i="10"/>
  <c r="O16832" i="10"/>
  <c r="O16833" i="10"/>
  <c r="O16834" i="10"/>
  <c r="O16835" i="10"/>
  <c r="O16836" i="10"/>
  <c r="O16837" i="10"/>
  <c r="O16838" i="10"/>
  <c r="O16839" i="10"/>
  <c r="O16840" i="10"/>
  <c r="O16841" i="10"/>
  <c r="O16842" i="10"/>
  <c r="O16843" i="10"/>
  <c r="O16844" i="10"/>
  <c r="O16845" i="10"/>
  <c r="O16846" i="10"/>
  <c r="O16847" i="10"/>
  <c r="O16848" i="10"/>
  <c r="O16849" i="10"/>
  <c r="O16850" i="10"/>
  <c r="O16851" i="10"/>
  <c r="O16852" i="10"/>
  <c r="O16853" i="10"/>
  <c r="O16854" i="10"/>
  <c r="O16855" i="10"/>
  <c r="O16856" i="10"/>
  <c r="O16857" i="10"/>
  <c r="O16858" i="10"/>
  <c r="O16859" i="10"/>
  <c r="O16860" i="10"/>
  <c r="O16861" i="10"/>
  <c r="O16862" i="10"/>
  <c r="O16863" i="10"/>
  <c r="O16864" i="10"/>
  <c r="O16865" i="10"/>
  <c r="O16866" i="10"/>
  <c r="O16867" i="10"/>
  <c r="O16868" i="10"/>
  <c r="O16869" i="10"/>
  <c r="O16870" i="10"/>
  <c r="O16871" i="10"/>
  <c r="O16872" i="10"/>
  <c r="O16873" i="10"/>
  <c r="O16874" i="10"/>
  <c r="O16875" i="10"/>
  <c r="O16876" i="10"/>
  <c r="O16877" i="10"/>
  <c r="O16878" i="10"/>
  <c r="O16879" i="10"/>
  <c r="O16880" i="10"/>
  <c r="O16881" i="10"/>
  <c r="O16882" i="10"/>
  <c r="O16883" i="10"/>
  <c r="O16884" i="10"/>
  <c r="O16885" i="10"/>
  <c r="O16886" i="10"/>
  <c r="O16887" i="10"/>
  <c r="O16888" i="10"/>
  <c r="O16889" i="10"/>
  <c r="O16890" i="10"/>
  <c r="O16891" i="10"/>
  <c r="O16892" i="10"/>
  <c r="O16893" i="10"/>
  <c r="O16894" i="10"/>
  <c r="O16895" i="10"/>
  <c r="O16896" i="10"/>
  <c r="O16897" i="10"/>
  <c r="O16898" i="10"/>
  <c r="O16899" i="10"/>
  <c r="O16900" i="10"/>
  <c r="O16901" i="10"/>
  <c r="O16902" i="10"/>
  <c r="O16903" i="10"/>
  <c r="O16904" i="10"/>
  <c r="O16905" i="10"/>
  <c r="O16906" i="10"/>
  <c r="O16907" i="10"/>
  <c r="O16908" i="10"/>
  <c r="O16909" i="10"/>
  <c r="O16910" i="10"/>
  <c r="O16911" i="10"/>
  <c r="O16912" i="10"/>
  <c r="O16913" i="10"/>
  <c r="O16914" i="10"/>
  <c r="O16915" i="10"/>
  <c r="O16916" i="10"/>
  <c r="O16917" i="10"/>
  <c r="O16918" i="10"/>
  <c r="O16919" i="10"/>
  <c r="O16920" i="10"/>
  <c r="O16921" i="10"/>
  <c r="O16922" i="10"/>
  <c r="O16923" i="10"/>
  <c r="O16924" i="10"/>
  <c r="O16925" i="10"/>
  <c r="O16926" i="10"/>
  <c r="O16927" i="10"/>
  <c r="O16928" i="10"/>
  <c r="O16929" i="10"/>
  <c r="O16930" i="10"/>
  <c r="O16931" i="10"/>
  <c r="O16932" i="10"/>
  <c r="O16933" i="10"/>
  <c r="O16934" i="10"/>
  <c r="O16935" i="10"/>
  <c r="O16936" i="10"/>
  <c r="O16937" i="10"/>
  <c r="O16938" i="10"/>
  <c r="O16939" i="10"/>
  <c r="O16940" i="10"/>
  <c r="O16941" i="10"/>
  <c r="O16942" i="10"/>
  <c r="O16943" i="10"/>
  <c r="O16944" i="10"/>
  <c r="O16945" i="10"/>
  <c r="O16946" i="10"/>
  <c r="O16947" i="10"/>
  <c r="O16948" i="10"/>
  <c r="O16949" i="10"/>
  <c r="O16950" i="10"/>
  <c r="O16951" i="10"/>
  <c r="O16952" i="10"/>
  <c r="O16953" i="10"/>
  <c r="O16954" i="10"/>
  <c r="O16955" i="10"/>
  <c r="O16956" i="10"/>
  <c r="O16957" i="10"/>
  <c r="O16958" i="10"/>
  <c r="O16959" i="10"/>
  <c r="O16960" i="10"/>
  <c r="O16961" i="10"/>
  <c r="O16962" i="10"/>
  <c r="O16963" i="10"/>
  <c r="O16964" i="10"/>
  <c r="O16965" i="10"/>
  <c r="O16966" i="10"/>
  <c r="O16967" i="10"/>
  <c r="O16968" i="10"/>
  <c r="O16969" i="10"/>
  <c r="O16970" i="10"/>
  <c r="O16971" i="10"/>
  <c r="O16972" i="10"/>
  <c r="O16973" i="10"/>
  <c r="O16974" i="10"/>
  <c r="O16975" i="10"/>
  <c r="O16976" i="10"/>
  <c r="O16977" i="10"/>
  <c r="O16978" i="10"/>
  <c r="O16979" i="10"/>
  <c r="O16980" i="10"/>
  <c r="O16981" i="10"/>
  <c r="O16982" i="10"/>
  <c r="O16983" i="10"/>
  <c r="O16984" i="10"/>
  <c r="O16985" i="10"/>
  <c r="O16986" i="10"/>
  <c r="O16987" i="10"/>
  <c r="O16988" i="10"/>
  <c r="O16989" i="10"/>
  <c r="O16990" i="10"/>
  <c r="O16991" i="10"/>
  <c r="O16992" i="10"/>
  <c r="O16993" i="10"/>
  <c r="O16994" i="10"/>
  <c r="O16995" i="10"/>
  <c r="O16996" i="10"/>
  <c r="O16997" i="10"/>
  <c r="O16998" i="10"/>
  <c r="O16999" i="10"/>
  <c r="O17000" i="10"/>
  <c r="O17001" i="10"/>
  <c r="O17002" i="10"/>
  <c r="O17003" i="10"/>
  <c r="O17004" i="10"/>
  <c r="O17005" i="10"/>
  <c r="O17006" i="10"/>
  <c r="O17007" i="10"/>
  <c r="O17008" i="10"/>
  <c r="O17009" i="10"/>
  <c r="O17010" i="10"/>
  <c r="O17011" i="10"/>
  <c r="O17012" i="10"/>
  <c r="O17013" i="10"/>
  <c r="O17014" i="10"/>
  <c r="O17015" i="10"/>
  <c r="O17016" i="10"/>
  <c r="O17017" i="10"/>
  <c r="O17018" i="10"/>
  <c r="O17019" i="10"/>
  <c r="O17020" i="10"/>
  <c r="O17021" i="10"/>
  <c r="O17022" i="10"/>
  <c r="O17023" i="10"/>
  <c r="O17024" i="10"/>
  <c r="O17025" i="10"/>
  <c r="O17026" i="10"/>
  <c r="O17027" i="10"/>
  <c r="O17028" i="10"/>
  <c r="O17029" i="10"/>
  <c r="O17030" i="10"/>
  <c r="O17031" i="10"/>
  <c r="O17032" i="10"/>
  <c r="O17033" i="10"/>
  <c r="O17034" i="10"/>
  <c r="O17035" i="10"/>
  <c r="O17036" i="10"/>
  <c r="O17037" i="10"/>
  <c r="O17038" i="10"/>
  <c r="O17039" i="10"/>
  <c r="O17040" i="10"/>
  <c r="O17041" i="10"/>
  <c r="O17042" i="10"/>
  <c r="O17043" i="10"/>
  <c r="O17044" i="10"/>
  <c r="O17045" i="10"/>
  <c r="O17046" i="10"/>
  <c r="O17047" i="10"/>
  <c r="O17048" i="10"/>
  <c r="O17049" i="10"/>
  <c r="O17050" i="10"/>
  <c r="O17051" i="10"/>
  <c r="O17052" i="10"/>
  <c r="O17053" i="10"/>
  <c r="O17054" i="10"/>
  <c r="O17055" i="10"/>
  <c r="O17056" i="10"/>
  <c r="O17057" i="10"/>
  <c r="O17058" i="10"/>
  <c r="O17059" i="10"/>
  <c r="O17060" i="10"/>
  <c r="O17061" i="10"/>
  <c r="O17062" i="10"/>
  <c r="O17063" i="10"/>
  <c r="O17064" i="10"/>
  <c r="O17065" i="10"/>
  <c r="O17066" i="10"/>
  <c r="O17067" i="10"/>
  <c r="O17068" i="10"/>
  <c r="O17069" i="10"/>
  <c r="O17070" i="10"/>
  <c r="O17071" i="10"/>
  <c r="O17072" i="10"/>
  <c r="O17073" i="10"/>
  <c r="O17074" i="10"/>
  <c r="O17075" i="10"/>
  <c r="O17076" i="10"/>
  <c r="O17077" i="10"/>
  <c r="O17078" i="10"/>
  <c r="O17079" i="10"/>
  <c r="O17080" i="10"/>
  <c r="O17081" i="10"/>
  <c r="O17082" i="10"/>
  <c r="O17083" i="10"/>
  <c r="O17084" i="10"/>
  <c r="O17085" i="10"/>
  <c r="O17086" i="10"/>
  <c r="O17087" i="10"/>
  <c r="O17088" i="10"/>
  <c r="O17089" i="10"/>
  <c r="O17090" i="10"/>
  <c r="O17091" i="10"/>
  <c r="O17092" i="10"/>
  <c r="O17093" i="10"/>
  <c r="O17094" i="10"/>
  <c r="O17095" i="10"/>
  <c r="O17096" i="10"/>
  <c r="O17097" i="10"/>
  <c r="O17098" i="10"/>
  <c r="O17099" i="10"/>
  <c r="O17100" i="10"/>
  <c r="O17101" i="10"/>
  <c r="O17102" i="10"/>
  <c r="O17103" i="10"/>
  <c r="O17104" i="10"/>
  <c r="O17105" i="10"/>
  <c r="O17106" i="10"/>
  <c r="O17107" i="10"/>
  <c r="O17108" i="10"/>
  <c r="O17109" i="10"/>
  <c r="O17110" i="10"/>
  <c r="O17111" i="10"/>
  <c r="O17112" i="10"/>
  <c r="O17113" i="10"/>
  <c r="O17114" i="10"/>
  <c r="O17115" i="10"/>
  <c r="O17116" i="10"/>
  <c r="O17117" i="10"/>
  <c r="O17118" i="10"/>
  <c r="O17119" i="10"/>
  <c r="O17120" i="10"/>
  <c r="O17121" i="10"/>
  <c r="O17122" i="10"/>
  <c r="O17123" i="10"/>
  <c r="O17124" i="10"/>
  <c r="O17125" i="10"/>
  <c r="O17126" i="10"/>
  <c r="O17127" i="10"/>
  <c r="O17128" i="10"/>
  <c r="O17129" i="10"/>
  <c r="O17130" i="10"/>
  <c r="O17131" i="10"/>
  <c r="O17132" i="10"/>
  <c r="O17133" i="10"/>
  <c r="O17134" i="10"/>
  <c r="O17135" i="10"/>
  <c r="O17136" i="10"/>
  <c r="O17137" i="10"/>
  <c r="O17138" i="10"/>
  <c r="O17139" i="10"/>
  <c r="O17140" i="10"/>
  <c r="O17141" i="10"/>
  <c r="O17142" i="10"/>
  <c r="O17143" i="10"/>
  <c r="O17144" i="10"/>
  <c r="O17145" i="10"/>
  <c r="O17146" i="10"/>
  <c r="O17147" i="10"/>
  <c r="O17148" i="10"/>
  <c r="O17149" i="10"/>
  <c r="O17150" i="10"/>
  <c r="O17151" i="10"/>
  <c r="O17152" i="10"/>
  <c r="O17153" i="10"/>
  <c r="O17154" i="10"/>
  <c r="O17155" i="10"/>
  <c r="O17156" i="10"/>
  <c r="O17157" i="10"/>
  <c r="O17158" i="10"/>
  <c r="O17159" i="10"/>
  <c r="O17160" i="10"/>
  <c r="O17161" i="10"/>
  <c r="O17162" i="10"/>
  <c r="O17163" i="10"/>
  <c r="O17164" i="10"/>
  <c r="O17165" i="10"/>
  <c r="O17166" i="10"/>
  <c r="O17167" i="10"/>
  <c r="O17168" i="10"/>
  <c r="O17169" i="10"/>
  <c r="O17170" i="10"/>
  <c r="O17171" i="10"/>
  <c r="O17172" i="10"/>
  <c r="O17173" i="10"/>
  <c r="O17174" i="10"/>
  <c r="O17175" i="10"/>
  <c r="O17176" i="10"/>
  <c r="O17177" i="10"/>
  <c r="O17178" i="10"/>
  <c r="O17179" i="10"/>
  <c r="O17180" i="10"/>
  <c r="O17181" i="10"/>
  <c r="O17182" i="10"/>
  <c r="O17183" i="10"/>
  <c r="O17184" i="10"/>
  <c r="O17185" i="10"/>
  <c r="O17186" i="10"/>
  <c r="O17187" i="10"/>
  <c r="O17188" i="10"/>
  <c r="O17189" i="10"/>
  <c r="O17190" i="10"/>
  <c r="O17191" i="10"/>
  <c r="O17192" i="10"/>
  <c r="O17193" i="10"/>
  <c r="O17194" i="10"/>
  <c r="O17195" i="10"/>
  <c r="O17196" i="10"/>
  <c r="O17197" i="10"/>
  <c r="O17198" i="10"/>
  <c r="O17199" i="10"/>
  <c r="O17200" i="10"/>
  <c r="O17201" i="10"/>
  <c r="O17202" i="10"/>
  <c r="O17203" i="10"/>
  <c r="O17204" i="10"/>
  <c r="O17205" i="10"/>
  <c r="O17206" i="10"/>
  <c r="O17207" i="10"/>
  <c r="O17208" i="10"/>
  <c r="O17209" i="10"/>
  <c r="O17210" i="10"/>
  <c r="O17211" i="10"/>
  <c r="O17212" i="10"/>
  <c r="O17213" i="10"/>
  <c r="O17214" i="10"/>
  <c r="O17215" i="10"/>
  <c r="O17216" i="10"/>
  <c r="O17217" i="10"/>
  <c r="O17218" i="10"/>
  <c r="O17219" i="10"/>
  <c r="O17220" i="10"/>
  <c r="O17221" i="10"/>
  <c r="O17222" i="10"/>
  <c r="O17223" i="10"/>
  <c r="O17224" i="10"/>
  <c r="O17225" i="10"/>
  <c r="O17226" i="10"/>
  <c r="O17227" i="10"/>
  <c r="O17228" i="10"/>
  <c r="O17229" i="10"/>
  <c r="O17230" i="10"/>
  <c r="O17231" i="10"/>
  <c r="O17232" i="10"/>
  <c r="O17233" i="10"/>
  <c r="O17234" i="10"/>
  <c r="O17235" i="10"/>
  <c r="O17236" i="10"/>
  <c r="O17237" i="10"/>
  <c r="O17238" i="10"/>
  <c r="O17239" i="10"/>
  <c r="O17240" i="10"/>
  <c r="O17241" i="10"/>
  <c r="O17242" i="10"/>
  <c r="O17243" i="10"/>
  <c r="O17244" i="10"/>
  <c r="O17245" i="10"/>
  <c r="O17246" i="10"/>
  <c r="O17247" i="10"/>
  <c r="O17248" i="10"/>
  <c r="O17249" i="10"/>
  <c r="O17250" i="10"/>
  <c r="O17251" i="10"/>
  <c r="O17252" i="10"/>
  <c r="O17253" i="10"/>
  <c r="O17254" i="10"/>
  <c r="O17255" i="10"/>
  <c r="O17256" i="10"/>
  <c r="O17257" i="10"/>
  <c r="O17258" i="10"/>
  <c r="O17259" i="10"/>
  <c r="O17260" i="10"/>
  <c r="O17261" i="10"/>
  <c r="O17262" i="10"/>
  <c r="O17263" i="10"/>
  <c r="O17264" i="10"/>
  <c r="O17265" i="10"/>
  <c r="O17266" i="10"/>
  <c r="O17267" i="10"/>
  <c r="O17268" i="10"/>
  <c r="O17269" i="10"/>
  <c r="O17270" i="10"/>
  <c r="O17271" i="10"/>
  <c r="O17272" i="10"/>
  <c r="O17273" i="10"/>
  <c r="O17274" i="10"/>
  <c r="O17275" i="10"/>
  <c r="O17276" i="10"/>
  <c r="O17277" i="10"/>
  <c r="O17278" i="10"/>
  <c r="O17279" i="10"/>
  <c r="O17280" i="10"/>
  <c r="O17281" i="10"/>
  <c r="O17282" i="10"/>
  <c r="O17283" i="10"/>
  <c r="O17284" i="10"/>
  <c r="O17285" i="10"/>
  <c r="O17286" i="10"/>
  <c r="O17287" i="10"/>
  <c r="O17288" i="10"/>
  <c r="O17289" i="10"/>
  <c r="O17290" i="10"/>
  <c r="O17291" i="10"/>
  <c r="O17292" i="10"/>
  <c r="O17293" i="10"/>
  <c r="O17294" i="10"/>
  <c r="O17295" i="10"/>
  <c r="O17296" i="10"/>
  <c r="O17297" i="10"/>
  <c r="O17298" i="10"/>
  <c r="O17299" i="10"/>
  <c r="O17300" i="10"/>
  <c r="O17301" i="10"/>
  <c r="O17302" i="10"/>
  <c r="O17303" i="10"/>
  <c r="O17304" i="10"/>
  <c r="O17305" i="10"/>
  <c r="O17306" i="10"/>
  <c r="O17307" i="10"/>
  <c r="O17308" i="10"/>
  <c r="O17309" i="10"/>
  <c r="O17310" i="10"/>
  <c r="O17311" i="10"/>
  <c r="O17312" i="10"/>
  <c r="O17313" i="10"/>
  <c r="O17314" i="10"/>
  <c r="O17315" i="10"/>
  <c r="O17316" i="10"/>
  <c r="O17317" i="10"/>
  <c r="O17318" i="10"/>
  <c r="O17319" i="10"/>
  <c r="O17320" i="10"/>
  <c r="O17321" i="10"/>
  <c r="O17322" i="10"/>
  <c r="O17323" i="10"/>
  <c r="O17324" i="10"/>
  <c r="O17325" i="10"/>
  <c r="O17326" i="10"/>
  <c r="O17327" i="10"/>
  <c r="O17328" i="10"/>
  <c r="O17329" i="10"/>
  <c r="O17330" i="10"/>
  <c r="O17331" i="10"/>
  <c r="O17332" i="10"/>
  <c r="O17333" i="10"/>
  <c r="O17334" i="10"/>
  <c r="O17335" i="10"/>
  <c r="O17336" i="10"/>
  <c r="O17337" i="10"/>
  <c r="O17338" i="10"/>
  <c r="O17339" i="10"/>
  <c r="O17340" i="10"/>
  <c r="O17341" i="10"/>
  <c r="O17342" i="10"/>
  <c r="O17343" i="10"/>
  <c r="O17344" i="10"/>
  <c r="O17345" i="10"/>
  <c r="O17346" i="10"/>
  <c r="O17347" i="10"/>
  <c r="O17348" i="10"/>
  <c r="O17349" i="10"/>
  <c r="O17350" i="10"/>
  <c r="O17351" i="10"/>
  <c r="O17352" i="10"/>
  <c r="O17353" i="10"/>
  <c r="O17354" i="10"/>
  <c r="O17355" i="10"/>
  <c r="O17356" i="10"/>
  <c r="O17357" i="10"/>
  <c r="O17358" i="10"/>
  <c r="O17359" i="10"/>
  <c r="O17360" i="10"/>
  <c r="O17361" i="10"/>
  <c r="O17362" i="10"/>
  <c r="O17363" i="10"/>
  <c r="O17364" i="10"/>
  <c r="O17365" i="10"/>
  <c r="O17366" i="10"/>
  <c r="O17367" i="10"/>
  <c r="O17368" i="10"/>
  <c r="O17369" i="10"/>
  <c r="O17370" i="10"/>
  <c r="O17371" i="10"/>
  <c r="O17372" i="10"/>
  <c r="O17373" i="10"/>
  <c r="O17374" i="10"/>
  <c r="O17375" i="10"/>
  <c r="O17376" i="10"/>
  <c r="O17377" i="10"/>
  <c r="O17378" i="10"/>
  <c r="O17379" i="10"/>
  <c r="O17380" i="10"/>
  <c r="O17381" i="10"/>
  <c r="O17382" i="10"/>
  <c r="O17383" i="10"/>
  <c r="O17384" i="10"/>
  <c r="O17385" i="10"/>
  <c r="O17386" i="10"/>
  <c r="O17387" i="10"/>
  <c r="O17388" i="10"/>
  <c r="O17389" i="10"/>
  <c r="O17390" i="10"/>
  <c r="O17391" i="10"/>
  <c r="O17392" i="10"/>
  <c r="O17393" i="10"/>
  <c r="O17394" i="10"/>
  <c r="O17395" i="10"/>
  <c r="O17396" i="10"/>
  <c r="O17397" i="10"/>
  <c r="O17398" i="10"/>
  <c r="O17399" i="10"/>
  <c r="O17400" i="10"/>
  <c r="O17401" i="10"/>
  <c r="O17402" i="10"/>
  <c r="O17403" i="10"/>
  <c r="O17404" i="10"/>
  <c r="O17405" i="10"/>
  <c r="O17406" i="10"/>
  <c r="O17407" i="10"/>
  <c r="O17408" i="10"/>
  <c r="O17409" i="10"/>
  <c r="O17410" i="10"/>
  <c r="O17411" i="10"/>
  <c r="O17412" i="10"/>
  <c r="O17413" i="10"/>
  <c r="O17414" i="10"/>
  <c r="O17415" i="10"/>
  <c r="O17416" i="10"/>
  <c r="O17417" i="10"/>
  <c r="O17418" i="10"/>
  <c r="O17419" i="10"/>
  <c r="O17420" i="10"/>
  <c r="O17421" i="10"/>
  <c r="O17422" i="10"/>
  <c r="O17423" i="10"/>
  <c r="O17424" i="10"/>
  <c r="O17425" i="10"/>
  <c r="O17426" i="10"/>
  <c r="O17427" i="10"/>
  <c r="O17428" i="10"/>
  <c r="O17429" i="10"/>
  <c r="O17430" i="10"/>
  <c r="O17431" i="10"/>
  <c r="O17432" i="10"/>
  <c r="O17433" i="10"/>
  <c r="O17434" i="10"/>
  <c r="O17435" i="10"/>
  <c r="O17436" i="10"/>
  <c r="O17437" i="10"/>
  <c r="O17438" i="10"/>
  <c r="O17439" i="10"/>
  <c r="O17440" i="10"/>
  <c r="O17441" i="10"/>
  <c r="O17442" i="10"/>
  <c r="O17443" i="10"/>
  <c r="O17444" i="10"/>
  <c r="O17445" i="10"/>
  <c r="O17446" i="10"/>
  <c r="O17447" i="10"/>
  <c r="O17448" i="10"/>
  <c r="O17449" i="10"/>
  <c r="O17450" i="10"/>
  <c r="O17451" i="10"/>
  <c r="O17452" i="10"/>
  <c r="O17453" i="10"/>
  <c r="O17454" i="10"/>
  <c r="O17455" i="10"/>
  <c r="O17456" i="10"/>
  <c r="O17457" i="10"/>
  <c r="O17458" i="10"/>
  <c r="O17459" i="10"/>
  <c r="O17460" i="10"/>
  <c r="O17461" i="10"/>
  <c r="O17462" i="10"/>
  <c r="O17463" i="10"/>
  <c r="O17464" i="10"/>
  <c r="O17465" i="10"/>
  <c r="O17466" i="10"/>
  <c r="O17467" i="10"/>
  <c r="O17468" i="10"/>
  <c r="O17469" i="10"/>
  <c r="O17470" i="10"/>
  <c r="O17471" i="10"/>
  <c r="O17472" i="10"/>
  <c r="O17473" i="10"/>
  <c r="O17474" i="10"/>
  <c r="O17475" i="10"/>
  <c r="O17476" i="10"/>
  <c r="O17477" i="10"/>
  <c r="O17478" i="10"/>
  <c r="O17479" i="10"/>
  <c r="O17480" i="10"/>
  <c r="O17481" i="10"/>
  <c r="O17482" i="10"/>
  <c r="O17483" i="10"/>
  <c r="O17484" i="10"/>
  <c r="O17485" i="10"/>
  <c r="O17486" i="10"/>
  <c r="O17487" i="10"/>
  <c r="O17488" i="10"/>
  <c r="O17489" i="10"/>
  <c r="O17490" i="10"/>
  <c r="O17491" i="10"/>
  <c r="O17492" i="10"/>
  <c r="O17493" i="10"/>
  <c r="O17494" i="10"/>
  <c r="O17495" i="10"/>
  <c r="O17496" i="10"/>
  <c r="O17497" i="10"/>
  <c r="O17498" i="10"/>
  <c r="O17499" i="10"/>
  <c r="O17500" i="10"/>
  <c r="O17501" i="10"/>
  <c r="O17502" i="10"/>
  <c r="O17503" i="10"/>
  <c r="O17504" i="10"/>
  <c r="O17505" i="10"/>
  <c r="O17506" i="10"/>
  <c r="O17507" i="10"/>
  <c r="O17508" i="10"/>
  <c r="O17509" i="10"/>
  <c r="O17510" i="10"/>
  <c r="O17511" i="10"/>
  <c r="O17512" i="10"/>
  <c r="O17513" i="10"/>
  <c r="O17514" i="10"/>
  <c r="O17515" i="10"/>
  <c r="O17516" i="10"/>
  <c r="O17517" i="10"/>
  <c r="O17518" i="10"/>
  <c r="O17519" i="10"/>
  <c r="O17520" i="10"/>
  <c r="O17521" i="10"/>
  <c r="O17522" i="10"/>
  <c r="O17523" i="10"/>
  <c r="O17524" i="10"/>
  <c r="O17525" i="10"/>
  <c r="O17526" i="10"/>
  <c r="O17527" i="10"/>
  <c r="O17528" i="10"/>
  <c r="O17529" i="10"/>
  <c r="O17530" i="10"/>
  <c r="O17531" i="10"/>
  <c r="O17532" i="10"/>
  <c r="O17533" i="10"/>
  <c r="O17534" i="10"/>
  <c r="O17535" i="10"/>
  <c r="O17536" i="10"/>
  <c r="O17537" i="10"/>
  <c r="O17538" i="10"/>
  <c r="O17539" i="10"/>
  <c r="O17540" i="10"/>
  <c r="O17541" i="10"/>
  <c r="O17542" i="10"/>
  <c r="O17543" i="10"/>
  <c r="O17544" i="10"/>
  <c r="O17545" i="10"/>
  <c r="O17546" i="10"/>
  <c r="O17547" i="10"/>
  <c r="O17548" i="10"/>
  <c r="O17549" i="10"/>
  <c r="O17550" i="10"/>
  <c r="O17551" i="10"/>
  <c r="O17552" i="10"/>
  <c r="O17553" i="10"/>
  <c r="O17554" i="10"/>
  <c r="O17555" i="10"/>
  <c r="O17556" i="10"/>
  <c r="O17557" i="10"/>
  <c r="O17558" i="10"/>
  <c r="O17559" i="10"/>
  <c r="O17560" i="10"/>
  <c r="O17561" i="10"/>
  <c r="O17562" i="10"/>
  <c r="O17563" i="10"/>
  <c r="O17564" i="10"/>
  <c r="O17565" i="10"/>
  <c r="O17566" i="10"/>
  <c r="O17567" i="10"/>
  <c r="O17568" i="10"/>
  <c r="O17569" i="10"/>
  <c r="O17570" i="10"/>
  <c r="O17571" i="10"/>
  <c r="O17572" i="10"/>
  <c r="O17573" i="10"/>
  <c r="O17574" i="10"/>
  <c r="O17575" i="10"/>
  <c r="O17576" i="10"/>
  <c r="O17577" i="10"/>
  <c r="O17578" i="10"/>
  <c r="O17579" i="10"/>
  <c r="O17580" i="10"/>
  <c r="O17581" i="10"/>
  <c r="O17582" i="10"/>
  <c r="O17583" i="10"/>
  <c r="O17584" i="10"/>
  <c r="O17585" i="10"/>
  <c r="O17586" i="10"/>
  <c r="O17587" i="10"/>
  <c r="O17588" i="10"/>
  <c r="O17589" i="10"/>
  <c r="O17590" i="10"/>
  <c r="O17591" i="10"/>
  <c r="O17592" i="10"/>
  <c r="O17593" i="10"/>
  <c r="O17594" i="10"/>
  <c r="O17595" i="10"/>
  <c r="O17596" i="10"/>
  <c r="O17597" i="10"/>
  <c r="O17598" i="10"/>
  <c r="O17599" i="10"/>
  <c r="O17600" i="10"/>
  <c r="O17601" i="10"/>
  <c r="O17602" i="10"/>
  <c r="O17603" i="10"/>
  <c r="O17604" i="10"/>
  <c r="O17605" i="10"/>
  <c r="O17606" i="10"/>
  <c r="O17607" i="10"/>
  <c r="O17608" i="10"/>
  <c r="O17609" i="10"/>
  <c r="O17610" i="10"/>
  <c r="O17611" i="10"/>
  <c r="O17612" i="10"/>
  <c r="O17613" i="10"/>
  <c r="O17614" i="10"/>
  <c r="O17615" i="10"/>
  <c r="O17616" i="10"/>
  <c r="O17617" i="10"/>
  <c r="O17618" i="10"/>
  <c r="O17619" i="10"/>
  <c r="O17620" i="10"/>
  <c r="O17621" i="10"/>
  <c r="O17622" i="10"/>
  <c r="O17623" i="10"/>
  <c r="O17624" i="10"/>
  <c r="O17625" i="10"/>
  <c r="O17626" i="10"/>
  <c r="O17627" i="10"/>
  <c r="O17628" i="10"/>
  <c r="O17629" i="10"/>
  <c r="O17630" i="10"/>
  <c r="O17631" i="10"/>
  <c r="O17632" i="10"/>
  <c r="O17633" i="10"/>
  <c r="O17634" i="10"/>
  <c r="O17635" i="10"/>
  <c r="O17636" i="10"/>
  <c r="O17637" i="10"/>
  <c r="O17638" i="10"/>
  <c r="O17639" i="10"/>
  <c r="O17640" i="10"/>
  <c r="O17641" i="10"/>
  <c r="O17642" i="10"/>
  <c r="O17643" i="10"/>
  <c r="O17644" i="10"/>
  <c r="O17645" i="10"/>
  <c r="O17646" i="10"/>
  <c r="O17647" i="10"/>
  <c r="O17648" i="10"/>
  <c r="O17649" i="10"/>
  <c r="O17650" i="10"/>
  <c r="O17651" i="10"/>
  <c r="O17652" i="10"/>
  <c r="O17653" i="10"/>
  <c r="O17654" i="10"/>
  <c r="O17655" i="10"/>
  <c r="O17656" i="10"/>
  <c r="O17657" i="10"/>
  <c r="O17658" i="10"/>
  <c r="O17659" i="10"/>
  <c r="O17660" i="10"/>
  <c r="O17661" i="10"/>
  <c r="O17662" i="10"/>
  <c r="O17663" i="10"/>
  <c r="O17664" i="10"/>
  <c r="O17665" i="10"/>
  <c r="O17666" i="10"/>
  <c r="O17667" i="10"/>
  <c r="O17668" i="10"/>
  <c r="O17669" i="10"/>
  <c r="O17670" i="10"/>
  <c r="O17671" i="10"/>
  <c r="O17672" i="10"/>
  <c r="O17673" i="10"/>
  <c r="O17674" i="10"/>
  <c r="O17675" i="10"/>
  <c r="O17676" i="10"/>
  <c r="O17677" i="10"/>
  <c r="O17678" i="10"/>
  <c r="O17679" i="10"/>
  <c r="O17680" i="10"/>
  <c r="O17681" i="10"/>
  <c r="O17682" i="10"/>
  <c r="O17683" i="10"/>
  <c r="O17684" i="10"/>
  <c r="O17685" i="10"/>
  <c r="O17686" i="10"/>
  <c r="O17687" i="10"/>
  <c r="O17688" i="10"/>
  <c r="O17689" i="10"/>
  <c r="O17690" i="10"/>
  <c r="O17691" i="10"/>
  <c r="O17692" i="10"/>
  <c r="O17693" i="10"/>
  <c r="O17694" i="10"/>
  <c r="O17695" i="10"/>
  <c r="O17696" i="10"/>
  <c r="O17697" i="10"/>
  <c r="O17698" i="10"/>
  <c r="O17699" i="10"/>
  <c r="O17700" i="10"/>
  <c r="O17701" i="10"/>
  <c r="O17702" i="10"/>
  <c r="O17703" i="10"/>
  <c r="O17704" i="10"/>
  <c r="O17705" i="10"/>
  <c r="O17706" i="10"/>
  <c r="O17707" i="10"/>
  <c r="O17708" i="10"/>
  <c r="O17709" i="10"/>
  <c r="O17710" i="10"/>
  <c r="O17711" i="10"/>
  <c r="O17712" i="10"/>
  <c r="O17713" i="10"/>
  <c r="O17714" i="10"/>
  <c r="O17715" i="10"/>
  <c r="O17716" i="10"/>
  <c r="O17717" i="10"/>
  <c r="O17718" i="10"/>
  <c r="O17719" i="10"/>
  <c r="O17720" i="10"/>
  <c r="O17721" i="10"/>
  <c r="O17722" i="10"/>
  <c r="O17723" i="10"/>
  <c r="O17724" i="10"/>
  <c r="O17725" i="10"/>
  <c r="O17726" i="10"/>
  <c r="O17727" i="10"/>
  <c r="O17728" i="10"/>
  <c r="O17729" i="10"/>
  <c r="O17730" i="10"/>
  <c r="O17731" i="10"/>
  <c r="O17732" i="10"/>
  <c r="O17733" i="10"/>
  <c r="O17734" i="10"/>
  <c r="O17735" i="10"/>
  <c r="O17736" i="10"/>
  <c r="O17737" i="10"/>
  <c r="O17738" i="10"/>
  <c r="O17739" i="10"/>
  <c r="O17740" i="10"/>
  <c r="O17741" i="10"/>
  <c r="O17742" i="10"/>
  <c r="O17743" i="10"/>
  <c r="O17744" i="10"/>
  <c r="O17745" i="10"/>
  <c r="O17746" i="10"/>
  <c r="O17747" i="10"/>
  <c r="O17748" i="10"/>
  <c r="O17749" i="10"/>
  <c r="O17750" i="10"/>
  <c r="O17751" i="10"/>
  <c r="O17752" i="10"/>
  <c r="O17753" i="10"/>
  <c r="O17754" i="10"/>
  <c r="O17755" i="10"/>
  <c r="O17756" i="10"/>
  <c r="O17757" i="10"/>
  <c r="O17758" i="10"/>
  <c r="O17759" i="10"/>
  <c r="O17760" i="10"/>
  <c r="O17761" i="10"/>
  <c r="O17762" i="10"/>
  <c r="O17763" i="10"/>
  <c r="O17764" i="10"/>
  <c r="O17765" i="10"/>
  <c r="O17766" i="10"/>
  <c r="O17767" i="10"/>
  <c r="O17768" i="10"/>
  <c r="O17769" i="10"/>
  <c r="O17770" i="10"/>
  <c r="O17771" i="10"/>
  <c r="O17772" i="10"/>
  <c r="O17773" i="10"/>
  <c r="O17774" i="10"/>
  <c r="O17775" i="10"/>
  <c r="O17776" i="10"/>
  <c r="O17777" i="10"/>
  <c r="O17778" i="10"/>
  <c r="O17779" i="10"/>
  <c r="O17780" i="10"/>
  <c r="O17781" i="10"/>
  <c r="O17782" i="10"/>
  <c r="O17783" i="10"/>
  <c r="O17784" i="10"/>
  <c r="O17785" i="10"/>
  <c r="O17786" i="10"/>
  <c r="O17787" i="10"/>
  <c r="O17788" i="10"/>
  <c r="O17789" i="10"/>
  <c r="O17790" i="10"/>
  <c r="O17791" i="10"/>
  <c r="O17792" i="10"/>
  <c r="O17793" i="10"/>
  <c r="O17794" i="10"/>
  <c r="O17795" i="10"/>
  <c r="O17796" i="10"/>
  <c r="O17797" i="10"/>
  <c r="O17798" i="10"/>
  <c r="O17799" i="10"/>
  <c r="O17800" i="10"/>
  <c r="O17801" i="10"/>
  <c r="O17802" i="10"/>
  <c r="O17803" i="10"/>
  <c r="O17804" i="10"/>
  <c r="O17805" i="10"/>
  <c r="O17806" i="10"/>
  <c r="O17807" i="10"/>
  <c r="O17808" i="10"/>
  <c r="O17809" i="10"/>
  <c r="O17810" i="10"/>
  <c r="O17811" i="10"/>
  <c r="O17812" i="10"/>
  <c r="O17813" i="10"/>
  <c r="O17814" i="10"/>
  <c r="O17815" i="10"/>
  <c r="O17816" i="10"/>
  <c r="O17817" i="10"/>
  <c r="O17818" i="10"/>
  <c r="O17819" i="10"/>
  <c r="O17820" i="10"/>
  <c r="O17821" i="10"/>
  <c r="O17822" i="10"/>
  <c r="O17823" i="10"/>
  <c r="O17824" i="10"/>
  <c r="O17825" i="10"/>
  <c r="O17826" i="10"/>
  <c r="O17827" i="10"/>
  <c r="O17828" i="10"/>
  <c r="O17829" i="10"/>
  <c r="O17830" i="10"/>
  <c r="O17831" i="10"/>
  <c r="O17832" i="10"/>
  <c r="O17833" i="10"/>
  <c r="O17834" i="10"/>
  <c r="O17835" i="10"/>
  <c r="O17836" i="10"/>
  <c r="O17837" i="10"/>
  <c r="O17838" i="10"/>
  <c r="O17839" i="10"/>
  <c r="O17840" i="10"/>
  <c r="O17841" i="10"/>
  <c r="O17842" i="10"/>
  <c r="O17843" i="10"/>
  <c r="O17844" i="10"/>
  <c r="O17845" i="10"/>
  <c r="O17846" i="10"/>
  <c r="O17847" i="10"/>
  <c r="O17848" i="10"/>
  <c r="O17849" i="10"/>
  <c r="O17850" i="10"/>
  <c r="O17851" i="10"/>
  <c r="O17852" i="10"/>
  <c r="O17853" i="10"/>
  <c r="O17854" i="10"/>
  <c r="O17855" i="10"/>
  <c r="O17856" i="10"/>
  <c r="O17857" i="10"/>
  <c r="O17858" i="10"/>
  <c r="O17859" i="10"/>
  <c r="O17860" i="10"/>
  <c r="O17861" i="10"/>
  <c r="O17862" i="10"/>
  <c r="O17863" i="10"/>
  <c r="O17864" i="10"/>
  <c r="O17865" i="10"/>
  <c r="O17866" i="10"/>
  <c r="O17867" i="10"/>
  <c r="O17868" i="10"/>
  <c r="O17869" i="10"/>
  <c r="O17870" i="10"/>
  <c r="O17871" i="10"/>
  <c r="O17872" i="10"/>
  <c r="O17873" i="10"/>
  <c r="O17874" i="10"/>
  <c r="O17875" i="10"/>
  <c r="O17876" i="10"/>
  <c r="O17877" i="10"/>
  <c r="O17878" i="10"/>
  <c r="O17879" i="10"/>
  <c r="O17880" i="10"/>
  <c r="O17881" i="10"/>
  <c r="O17882" i="10"/>
  <c r="O17883" i="10"/>
  <c r="O17884" i="10"/>
  <c r="O17885" i="10"/>
  <c r="O17886" i="10"/>
  <c r="O17887" i="10"/>
  <c r="O17888" i="10"/>
  <c r="O17889" i="10"/>
  <c r="O17890" i="10"/>
  <c r="O17891" i="10"/>
  <c r="O17892" i="10"/>
  <c r="O17893" i="10"/>
  <c r="O17894" i="10"/>
  <c r="O17895" i="10"/>
  <c r="O17896" i="10"/>
  <c r="O17897" i="10"/>
  <c r="O17898" i="10"/>
  <c r="O17899" i="10"/>
  <c r="O17900" i="10"/>
  <c r="O17901" i="10"/>
  <c r="O17902" i="10"/>
  <c r="O17903" i="10"/>
  <c r="O17904" i="10"/>
  <c r="O17905" i="10"/>
  <c r="O17906" i="10"/>
  <c r="O17907" i="10"/>
  <c r="O17908" i="10"/>
  <c r="O17909" i="10"/>
  <c r="O17910" i="10"/>
  <c r="O17911" i="10"/>
  <c r="O17912" i="10"/>
  <c r="O17913" i="10"/>
  <c r="O17914" i="10"/>
  <c r="O17915" i="10"/>
  <c r="O17916" i="10"/>
  <c r="O17917" i="10"/>
  <c r="O17918" i="10"/>
  <c r="O17919" i="10"/>
  <c r="O17920" i="10"/>
  <c r="O17921" i="10"/>
  <c r="O17922" i="10"/>
  <c r="O17923" i="10"/>
  <c r="O17924" i="10"/>
  <c r="O17925" i="10"/>
  <c r="O17926" i="10"/>
  <c r="O17927" i="10"/>
  <c r="O17928" i="10"/>
  <c r="O17929" i="10"/>
  <c r="O17930" i="10"/>
  <c r="O17931" i="10"/>
  <c r="O17932" i="10"/>
  <c r="O17933" i="10"/>
  <c r="O17934" i="10"/>
  <c r="O17935" i="10"/>
  <c r="O17936" i="10"/>
  <c r="O17937" i="10"/>
  <c r="O17938" i="10"/>
  <c r="O17939" i="10"/>
  <c r="O17940" i="10"/>
  <c r="O17941" i="10"/>
  <c r="O17942" i="10"/>
  <c r="O17943" i="10"/>
  <c r="O17944" i="10"/>
  <c r="O17945" i="10"/>
  <c r="O17946" i="10"/>
  <c r="O17947" i="10"/>
  <c r="O17948" i="10"/>
  <c r="O17949" i="10"/>
  <c r="O17950" i="10"/>
  <c r="O17951" i="10"/>
  <c r="O17952" i="10"/>
  <c r="O17953" i="10"/>
  <c r="O17954" i="10"/>
  <c r="O17955" i="10"/>
  <c r="O17956" i="10"/>
  <c r="O17957" i="10"/>
  <c r="O17958" i="10"/>
  <c r="O17959" i="10"/>
  <c r="O17960" i="10"/>
  <c r="O17961" i="10"/>
  <c r="O17962" i="10"/>
  <c r="O17963" i="10"/>
  <c r="O17964" i="10"/>
  <c r="O17965" i="10"/>
  <c r="O17966" i="10"/>
  <c r="O17967" i="10"/>
  <c r="O17968" i="10"/>
  <c r="O17969" i="10"/>
  <c r="O17970" i="10"/>
  <c r="O17971" i="10"/>
  <c r="O17972" i="10"/>
  <c r="O17973" i="10"/>
  <c r="O17974" i="10"/>
  <c r="O17975" i="10"/>
  <c r="O17976" i="10"/>
  <c r="O17977" i="10"/>
  <c r="O17978" i="10"/>
  <c r="O17979" i="10"/>
  <c r="O17980" i="10"/>
  <c r="O17981" i="10"/>
  <c r="O17982" i="10"/>
  <c r="O17983" i="10"/>
  <c r="O17984" i="10"/>
  <c r="O17985" i="10"/>
  <c r="O17986" i="10"/>
  <c r="O17987" i="10"/>
  <c r="O17988" i="10"/>
  <c r="O17989" i="10"/>
  <c r="O17990" i="10"/>
  <c r="O17991" i="10"/>
  <c r="O17992" i="10"/>
  <c r="O17993" i="10"/>
  <c r="O17994" i="10"/>
  <c r="O17995" i="10"/>
  <c r="O17996" i="10"/>
  <c r="O17997" i="10"/>
  <c r="O17998" i="10"/>
  <c r="O17999" i="10"/>
  <c r="O18000" i="10"/>
  <c r="O18001" i="10"/>
  <c r="O18002" i="10"/>
  <c r="O18003" i="10"/>
  <c r="O18004" i="10"/>
  <c r="O18005" i="10"/>
  <c r="O18006" i="10"/>
  <c r="O18007" i="10"/>
  <c r="O18008" i="10"/>
  <c r="O18009" i="10"/>
  <c r="O18010" i="10"/>
  <c r="O18011" i="10"/>
  <c r="O18012" i="10"/>
  <c r="O18013" i="10"/>
  <c r="O18014" i="10"/>
  <c r="O18015" i="10"/>
  <c r="O18016" i="10"/>
  <c r="O18017" i="10"/>
  <c r="O18018" i="10"/>
  <c r="O18019" i="10"/>
  <c r="O18020" i="10"/>
  <c r="O18021" i="10"/>
  <c r="O18022" i="10"/>
  <c r="O18023" i="10"/>
  <c r="O18024" i="10"/>
  <c r="O18025" i="10"/>
  <c r="O18026" i="10"/>
  <c r="O18027" i="10"/>
  <c r="O18028" i="10"/>
  <c r="O18029" i="10"/>
  <c r="O18030" i="10"/>
  <c r="O18031" i="10"/>
  <c r="O18032" i="10"/>
  <c r="O18033" i="10"/>
  <c r="O18034" i="10"/>
  <c r="O18035" i="10"/>
  <c r="O18036" i="10"/>
  <c r="O18037" i="10"/>
  <c r="O18038" i="10"/>
  <c r="O18039" i="10"/>
  <c r="O18040" i="10"/>
  <c r="O18041" i="10"/>
  <c r="O18042" i="10"/>
  <c r="O18043" i="10"/>
  <c r="O18044" i="10"/>
  <c r="O18045" i="10"/>
  <c r="O18046" i="10"/>
  <c r="O18047" i="10"/>
  <c r="O18048" i="10"/>
  <c r="O18049" i="10"/>
  <c r="O18050" i="10"/>
  <c r="O18051" i="10"/>
  <c r="O18052" i="10"/>
  <c r="O18053" i="10"/>
  <c r="O18054" i="10"/>
  <c r="O18055" i="10"/>
  <c r="O18056" i="10"/>
  <c r="O18057" i="10"/>
  <c r="O18058" i="10"/>
  <c r="O18059" i="10"/>
  <c r="O18060" i="10"/>
  <c r="O18061" i="10"/>
  <c r="O18062" i="10"/>
  <c r="O18063" i="10"/>
  <c r="O18064" i="10"/>
  <c r="O18065" i="10"/>
  <c r="O18066" i="10"/>
  <c r="O18067" i="10"/>
  <c r="O18068" i="10"/>
  <c r="O18069" i="10"/>
  <c r="O18070" i="10"/>
  <c r="O18071" i="10"/>
  <c r="O18072" i="10"/>
  <c r="O18073" i="10"/>
  <c r="O18074" i="10"/>
  <c r="O18075" i="10"/>
  <c r="O18076" i="10"/>
  <c r="O18077" i="10"/>
  <c r="O18078" i="10"/>
  <c r="O18079" i="10"/>
  <c r="O18080" i="10"/>
  <c r="O18081" i="10"/>
  <c r="O18082" i="10"/>
  <c r="O18083" i="10"/>
  <c r="O18084" i="10"/>
  <c r="O18085" i="10"/>
  <c r="O18086" i="10"/>
  <c r="O18087" i="10"/>
  <c r="O18088" i="10"/>
  <c r="O18089" i="10"/>
  <c r="O18090" i="10"/>
  <c r="O18091" i="10"/>
  <c r="O18092" i="10"/>
  <c r="O18093" i="10"/>
  <c r="O18094" i="10"/>
  <c r="O18095" i="10"/>
  <c r="O18096" i="10"/>
  <c r="O18097" i="10"/>
  <c r="O18098" i="10"/>
  <c r="O18099" i="10"/>
  <c r="O18100" i="10"/>
  <c r="O18101" i="10"/>
  <c r="O18102" i="10"/>
  <c r="O18103" i="10"/>
  <c r="O18104" i="10"/>
  <c r="O18105" i="10"/>
  <c r="O18106" i="10"/>
  <c r="O18107" i="10"/>
  <c r="O18108" i="10"/>
  <c r="O18109" i="10"/>
  <c r="O18110" i="10"/>
  <c r="O18111" i="10"/>
  <c r="O18112" i="10"/>
  <c r="O18113" i="10"/>
  <c r="O18114" i="10"/>
  <c r="O18115" i="10"/>
  <c r="O18116" i="10"/>
  <c r="O18117" i="10"/>
  <c r="O18118" i="10"/>
  <c r="O18119" i="10"/>
  <c r="O18120" i="10"/>
  <c r="O18121" i="10"/>
  <c r="O18122" i="10"/>
  <c r="O18123" i="10"/>
  <c r="O18124" i="10"/>
  <c r="O18125" i="10"/>
  <c r="O18126" i="10"/>
  <c r="O18127" i="10"/>
  <c r="O18128" i="10"/>
  <c r="O18129" i="10"/>
  <c r="O18130" i="10"/>
  <c r="O18131" i="10"/>
  <c r="O18132" i="10"/>
  <c r="O18133" i="10"/>
  <c r="O18134" i="10"/>
  <c r="O18135" i="10"/>
  <c r="O18136" i="10"/>
  <c r="O18137" i="10"/>
  <c r="O18138" i="10"/>
  <c r="O18139" i="10"/>
  <c r="O18140" i="10"/>
  <c r="O18141" i="10"/>
  <c r="O18142" i="10"/>
  <c r="O18143" i="10"/>
  <c r="O18144" i="10"/>
  <c r="O18145" i="10"/>
  <c r="O18146" i="10"/>
  <c r="O18147" i="10"/>
  <c r="O18148" i="10"/>
  <c r="O18149" i="10"/>
  <c r="O18150" i="10"/>
  <c r="O18151" i="10"/>
  <c r="O18152" i="10"/>
  <c r="O18153" i="10"/>
  <c r="O18154" i="10"/>
  <c r="O18155" i="10"/>
  <c r="O18156" i="10"/>
  <c r="O18157" i="10"/>
  <c r="O18158" i="10"/>
  <c r="O18159" i="10"/>
  <c r="O18160" i="10"/>
  <c r="O18161" i="10"/>
  <c r="O18162" i="10"/>
  <c r="O18163" i="10"/>
  <c r="O18164" i="10"/>
  <c r="O18165" i="10"/>
  <c r="O18166" i="10"/>
  <c r="O18167" i="10"/>
  <c r="O18168" i="10"/>
  <c r="O18169" i="10"/>
  <c r="O18170" i="10"/>
  <c r="O18171" i="10"/>
  <c r="O18172" i="10"/>
  <c r="O18173" i="10"/>
  <c r="O18174" i="10"/>
  <c r="O18175" i="10"/>
  <c r="O18176" i="10"/>
  <c r="O18177" i="10"/>
  <c r="O18178" i="10"/>
  <c r="O18179" i="10"/>
  <c r="O18180" i="10"/>
  <c r="O18181" i="10"/>
  <c r="O18182" i="10"/>
  <c r="O18183" i="10"/>
  <c r="O18184" i="10"/>
  <c r="O18185" i="10"/>
  <c r="O18186" i="10"/>
  <c r="O18187" i="10"/>
  <c r="O18188" i="10"/>
  <c r="O18189" i="10"/>
  <c r="O18190" i="10"/>
  <c r="O18191" i="10"/>
  <c r="O18192" i="10"/>
  <c r="O18193" i="10"/>
  <c r="O18194" i="10"/>
  <c r="O18195" i="10"/>
  <c r="O18196" i="10"/>
  <c r="O18197" i="10"/>
  <c r="O18198" i="10"/>
  <c r="O18199" i="10"/>
  <c r="O18200" i="10"/>
  <c r="O18201" i="10"/>
  <c r="O18202" i="10"/>
  <c r="O18203" i="10"/>
  <c r="O18204" i="10"/>
  <c r="O18205" i="10"/>
  <c r="O18206" i="10"/>
  <c r="O18207" i="10"/>
  <c r="O18208" i="10"/>
  <c r="O18209" i="10"/>
  <c r="O18210" i="10"/>
  <c r="O18211" i="10"/>
  <c r="O18212" i="10"/>
  <c r="O18213" i="10"/>
  <c r="O18214" i="10"/>
  <c r="O18215" i="10"/>
  <c r="O18216" i="10"/>
  <c r="O18217" i="10"/>
  <c r="O18218" i="10"/>
  <c r="O18219" i="10"/>
  <c r="O18220" i="10"/>
  <c r="O18221" i="10"/>
  <c r="O18222" i="10"/>
  <c r="O18223" i="10"/>
  <c r="O18224" i="10"/>
  <c r="O18225" i="10"/>
  <c r="O18226" i="10"/>
  <c r="O18227" i="10"/>
  <c r="O18228" i="10"/>
  <c r="O18229" i="10"/>
  <c r="O18230" i="10"/>
  <c r="O18231" i="10"/>
  <c r="O18232" i="10"/>
  <c r="O18233" i="10"/>
  <c r="O18234" i="10"/>
  <c r="O18235" i="10"/>
  <c r="O18236" i="10"/>
  <c r="O18237" i="10"/>
  <c r="O18238" i="10"/>
  <c r="O18239" i="10"/>
  <c r="O18240" i="10"/>
  <c r="O18241" i="10"/>
  <c r="O18242" i="10"/>
  <c r="O18243" i="10"/>
  <c r="O18244" i="10"/>
  <c r="O18245" i="10"/>
  <c r="O18246" i="10"/>
  <c r="O18247" i="10"/>
  <c r="O18248" i="10"/>
  <c r="O18249" i="10"/>
  <c r="O18250" i="10"/>
  <c r="O18251" i="10"/>
  <c r="O18252" i="10"/>
  <c r="O18253" i="10"/>
  <c r="O18254" i="10"/>
  <c r="O18255" i="10"/>
  <c r="O18256" i="10"/>
  <c r="O18257" i="10"/>
  <c r="O18258" i="10"/>
  <c r="O18259" i="10"/>
  <c r="O18260" i="10"/>
  <c r="O18261" i="10"/>
  <c r="O18262" i="10"/>
  <c r="O18263" i="10"/>
  <c r="O18264" i="10"/>
  <c r="O18265" i="10"/>
  <c r="O18266" i="10"/>
  <c r="O18267" i="10"/>
  <c r="O18268" i="10"/>
  <c r="O18269" i="10"/>
  <c r="O18270" i="10"/>
  <c r="O18271" i="10"/>
  <c r="O18272" i="10"/>
  <c r="O18273" i="10"/>
  <c r="O18274" i="10"/>
  <c r="O18275" i="10"/>
  <c r="O18276" i="10"/>
  <c r="O18277" i="10"/>
  <c r="O18278" i="10"/>
  <c r="O18279" i="10"/>
  <c r="O18280" i="10"/>
  <c r="O18281" i="10"/>
  <c r="O18282" i="10"/>
  <c r="O18283" i="10"/>
  <c r="O18284" i="10"/>
  <c r="O18285" i="10"/>
  <c r="O18286" i="10"/>
  <c r="O18287" i="10"/>
  <c r="O18288" i="10"/>
  <c r="O18289" i="10"/>
  <c r="O18290" i="10"/>
  <c r="O18291" i="10"/>
  <c r="O18292" i="10"/>
  <c r="O18293" i="10"/>
  <c r="O18294" i="10"/>
  <c r="O18295" i="10"/>
  <c r="O18296" i="10"/>
  <c r="O18297" i="10"/>
  <c r="O18298" i="10"/>
  <c r="O18299" i="10"/>
  <c r="O18300" i="10"/>
  <c r="O18301" i="10"/>
  <c r="O18302" i="10"/>
  <c r="O18303" i="10"/>
  <c r="O18304" i="10"/>
  <c r="O18305" i="10"/>
  <c r="O18306" i="10"/>
  <c r="O18307" i="10"/>
  <c r="O18308" i="10"/>
  <c r="O18309" i="10"/>
  <c r="O18310" i="10"/>
  <c r="O18311" i="10"/>
  <c r="O18312" i="10"/>
  <c r="O18313" i="10"/>
  <c r="O18314" i="10"/>
  <c r="O18315" i="10"/>
  <c r="O18316" i="10"/>
  <c r="O18317" i="10"/>
  <c r="O18318" i="10"/>
  <c r="O18319" i="10"/>
  <c r="O18320" i="10"/>
  <c r="O18321" i="10"/>
  <c r="O18322" i="10"/>
  <c r="O18323" i="10"/>
  <c r="O18324" i="10"/>
  <c r="O18325" i="10"/>
  <c r="O18326" i="10"/>
  <c r="O18327" i="10"/>
  <c r="O18328" i="10"/>
  <c r="O18329" i="10"/>
  <c r="O18330" i="10"/>
  <c r="O18331" i="10"/>
  <c r="O18332" i="10"/>
  <c r="O18333" i="10"/>
  <c r="O18334" i="10"/>
  <c r="O18335" i="10"/>
  <c r="O18336" i="10"/>
  <c r="O18337" i="10"/>
  <c r="O18338" i="10"/>
  <c r="O18339" i="10"/>
  <c r="O18340" i="10"/>
  <c r="O18341" i="10"/>
  <c r="O18342" i="10"/>
  <c r="O18343" i="10"/>
  <c r="O18344" i="10"/>
  <c r="O18345" i="10"/>
  <c r="O18346" i="10"/>
  <c r="O18347" i="10"/>
  <c r="O18348" i="10"/>
  <c r="O18349" i="10"/>
  <c r="O18350" i="10"/>
  <c r="O18351" i="10"/>
  <c r="O18352" i="10"/>
  <c r="O18353" i="10"/>
  <c r="O18354" i="10"/>
  <c r="O18355" i="10"/>
  <c r="O18356" i="10"/>
  <c r="O18357" i="10"/>
  <c r="O18358" i="10"/>
  <c r="O18359" i="10"/>
  <c r="O18360" i="10"/>
  <c r="O18361" i="10"/>
  <c r="O18362" i="10"/>
  <c r="O18363" i="10"/>
  <c r="O18364" i="10"/>
  <c r="O18365" i="10"/>
  <c r="O18366" i="10"/>
  <c r="O18367" i="10"/>
  <c r="O18368" i="10"/>
  <c r="O18369" i="10"/>
  <c r="O18370" i="10"/>
  <c r="O18371" i="10"/>
  <c r="O18372" i="10"/>
  <c r="O18373" i="10"/>
  <c r="O18374" i="10"/>
  <c r="O18375" i="10"/>
  <c r="O18376" i="10"/>
  <c r="O18377" i="10"/>
  <c r="O18378" i="10"/>
  <c r="O18379" i="10"/>
  <c r="O18380" i="10"/>
  <c r="O18381" i="10"/>
  <c r="O18382" i="10"/>
  <c r="O18383" i="10"/>
  <c r="O18384" i="10"/>
  <c r="O18385" i="10"/>
  <c r="O18386" i="10"/>
  <c r="O18387" i="10"/>
  <c r="O18388" i="10"/>
  <c r="O18389" i="10"/>
  <c r="O18390" i="10"/>
  <c r="O18391" i="10"/>
  <c r="O18392" i="10"/>
  <c r="O18393" i="10"/>
  <c r="O18394" i="10"/>
  <c r="O18395" i="10"/>
  <c r="O18396" i="10"/>
  <c r="O18397" i="10"/>
  <c r="O18398" i="10"/>
  <c r="O18399" i="10"/>
  <c r="O18400" i="10"/>
  <c r="O18401" i="10"/>
  <c r="O18402" i="10"/>
  <c r="O18403" i="10"/>
  <c r="O18404" i="10"/>
  <c r="O18405" i="10"/>
  <c r="O18406" i="10"/>
  <c r="O18407" i="10"/>
  <c r="O18408" i="10"/>
  <c r="O18409" i="10"/>
  <c r="O18410" i="10"/>
  <c r="O18411" i="10"/>
  <c r="O18412" i="10"/>
  <c r="O18413" i="10"/>
  <c r="O18414" i="10"/>
  <c r="O18415" i="10"/>
  <c r="O18416" i="10"/>
  <c r="O18417" i="10"/>
  <c r="O18418" i="10"/>
  <c r="O18419" i="10"/>
  <c r="O18420" i="10"/>
  <c r="O18421" i="10"/>
  <c r="O18422" i="10"/>
  <c r="O18423" i="10"/>
  <c r="O18424" i="10"/>
  <c r="O18425" i="10"/>
  <c r="O18426" i="10"/>
  <c r="O18427" i="10"/>
  <c r="O18428" i="10"/>
  <c r="O18429" i="10"/>
  <c r="O18430" i="10"/>
  <c r="O18431" i="10"/>
  <c r="O18432" i="10"/>
  <c r="O18433" i="10"/>
  <c r="O18434" i="10"/>
  <c r="O18435" i="10"/>
  <c r="O18436" i="10"/>
  <c r="O18437" i="10"/>
  <c r="O18438" i="10"/>
  <c r="O18439" i="10"/>
  <c r="O18440" i="10"/>
  <c r="O18441" i="10"/>
  <c r="O18442" i="10"/>
  <c r="O18443" i="10"/>
  <c r="O18444" i="10"/>
  <c r="O18445" i="10"/>
  <c r="O18446" i="10"/>
  <c r="O18447" i="10"/>
  <c r="O18448" i="10"/>
  <c r="O18449" i="10"/>
  <c r="O18450" i="10"/>
  <c r="O18451" i="10"/>
  <c r="O18452" i="10"/>
  <c r="O18453" i="10"/>
  <c r="O18454" i="10"/>
  <c r="O18455" i="10"/>
  <c r="O18456" i="10"/>
  <c r="O18457" i="10"/>
  <c r="O18458" i="10"/>
  <c r="O18459" i="10"/>
  <c r="O18460" i="10"/>
  <c r="O18461" i="10"/>
  <c r="O18462" i="10"/>
  <c r="O18463" i="10"/>
  <c r="O18464" i="10"/>
  <c r="O18465" i="10"/>
  <c r="O18466" i="10"/>
  <c r="O18467" i="10"/>
  <c r="O18468" i="10"/>
  <c r="O18469" i="10"/>
  <c r="O18470" i="10"/>
  <c r="O18471" i="10"/>
  <c r="O18472" i="10"/>
  <c r="O18473" i="10"/>
  <c r="O18474" i="10"/>
  <c r="O18475" i="10"/>
  <c r="O18476" i="10"/>
  <c r="O18477" i="10"/>
  <c r="O18478" i="10"/>
  <c r="O18479" i="10"/>
  <c r="O18480" i="10"/>
  <c r="O18481" i="10"/>
  <c r="O18482" i="10"/>
  <c r="O18483" i="10"/>
  <c r="O18484" i="10"/>
  <c r="O18485" i="10"/>
  <c r="O18486" i="10"/>
  <c r="O18487" i="10"/>
  <c r="O18488" i="10"/>
  <c r="O18489" i="10"/>
  <c r="O18490" i="10"/>
  <c r="O18491" i="10"/>
  <c r="O18492" i="10"/>
  <c r="O18493" i="10"/>
  <c r="O18494" i="10"/>
  <c r="O18495" i="10"/>
  <c r="O18496" i="10"/>
  <c r="O18497" i="10"/>
  <c r="O18498" i="10"/>
  <c r="O18499" i="10"/>
  <c r="O18500" i="10"/>
  <c r="O18501" i="10"/>
  <c r="O18502" i="10"/>
  <c r="O18503" i="10"/>
  <c r="O18504" i="10"/>
  <c r="O18505" i="10"/>
  <c r="O18506" i="10"/>
  <c r="O18507" i="10"/>
  <c r="O18508" i="10"/>
  <c r="O18509" i="10"/>
  <c r="O18510" i="10"/>
  <c r="O18511" i="10"/>
  <c r="O18512" i="10"/>
  <c r="O18513" i="10"/>
  <c r="O18514" i="10"/>
  <c r="O18515" i="10"/>
  <c r="O18516" i="10"/>
  <c r="O18517" i="10"/>
  <c r="O18518" i="10"/>
  <c r="O18519" i="10"/>
  <c r="O18520" i="10"/>
  <c r="O18521" i="10"/>
  <c r="O18522" i="10"/>
  <c r="O18523" i="10"/>
  <c r="O18524" i="10"/>
  <c r="O18525" i="10"/>
  <c r="O18526" i="10"/>
  <c r="O18527" i="10"/>
  <c r="O18528" i="10"/>
  <c r="O18529" i="10"/>
  <c r="O18530" i="10"/>
  <c r="O18531" i="10"/>
  <c r="O18532" i="10"/>
  <c r="O18533" i="10"/>
  <c r="O18534" i="10"/>
  <c r="O18535" i="10"/>
  <c r="O18536" i="10"/>
  <c r="O18537" i="10"/>
  <c r="O18538" i="10"/>
  <c r="O18539" i="10"/>
  <c r="O18540" i="10"/>
  <c r="O18541" i="10"/>
  <c r="O18542" i="10"/>
  <c r="O18543" i="10"/>
  <c r="O18544" i="10"/>
  <c r="O18545" i="10"/>
  <c r="O18546" i="10"/>
  <c r="O18547" i="10"/>
  <c r="O18548" i="10"/>
  <c r="O18549" i="10"/>
  <c r="O18550" i="10"/>
  <c r="O18551" i="10"/>
  <c r="O18552" i="10"/>
  <c r="O18553" i="10"/>
  <c r="O18554" i="10"/>
  <c r="O18555" i="10"/>
  <c r="O18556" i="10"/>
  <c r="O18557" i="10"/>
  <c r="O18558" i="10"/>
  <c r="O18559" i="10"/>
  <c r="O18560" i="10"/>
  <c r="O18561" i="10"/>
  <c r="O18562" i="10"/>
  <c r="O18563" i="10"/>
  <c r="O18564" i="10"/>
  <c r="O18565" i="10"/>
  <c r="O18566" i="10"/>
  <c r="O18567" i="10"/>
  <c r="O18568" i="10"/>
  <c r="O18569" i="10"/>
  <c r="O18570" i="10"/>
  <c r="O18571" i="10"/>
  <c r="O18572" i="10"/>
  <c r="O18573" i="10"/>
  <c r="O18574" i="10"/>
  <c r="O18575" i="10"/>
  <c r="O18576" i="10"/>
  <c r="O18577" i="10"/>
  <c r="O18578" i="10"/>
  <c r="O18579" i="10"/>
  <c r="O18580" i="10"/>
  <c r="O18581" i="10"/>
  <c r="O18582" i="10"/>
  <c r="O18583" i="10"/>
  <c r="O18584" i="10"/>
  <c r="O18585" i="10"/>
  <c r="O18586" i="10"/>
  <c r="O18587" i="10"/>
  <c r="O18588" i="10"/>
  <c r="O18589" i="10"/>
  <c r="O18590" i="10"/>
  <c r="O18591" i="10"/>
  <c r="O18592" i="10"/>
  <c r="O18593" i="10"/>
  <c r="O18594" i="10"/>
  <c r="O18595" i="10"/>
  <c r="O18596" i="10"/>
  <c r="O18597" i="10"/>
  <c r="O18598" i="10"/>
  <c r="O18599" i="10"/>
  <c r="O18600" i="10"/>
  <c r="O18601" i="10"/>
  <c r="O18602" i="10"/>
  <c r="O18603" i="10"/>
  <c r="O18604" i="10"/>
  <c r="O18605" i="10"/>
  <c r="O18606" i="10"/>
  <c r="O18607" i="10"/>
  <c r="O18608" i="10"/>
  <c r="O18609" i="10"/>
  <c r="O18610" i="10"/>
  <c r="O18611" i="10"/>
  <c r="O18612" i="10"/>
  <c r="O18613" i="10"/>
  <c r="O18614" i="10"/>
  <c r="O18615" i="10"/>
  <c r="O18616" i="10"/>
  <c r="O18617" i="10"/>
  <c r="O18618" i="10"/>
  <c r="O18619" i="10"/>
  <c r="O18620" i="10"/>
  <c r="O18621" i="10"/>
  <c r="O18622" i="10"/>
  <c r="O18623" i="10"/>
  <c r="O18624" i="10"/>
  <c r="O18625" i="10"/>
  <c r="O18626" i="10"/>
  <c r="O18627" i="10"/>
  <c r="O18628" i="10"/>
  <c r="O18629" i="10"/>
  <c r="O18630" i="10"/>
  <c r="O18631" i="10"/>
  <c r="O18632" i="10"/>
  <c r="O18633" i="10"/>
  <c r="O18634" i="10"/>
  <c r="O18635" i="10"/>
  <c r="O18636" i="10"/>
  <c r="O18637" i="10"/>
  <c r="O18638" i="10"/>
  <c r="O18639" i="10"/>
  <c r="O18640" i="10"/>
  <c r="O18641" i="10"/>
  <c r="O18642" i="10"/>
  <c r="O18643" i="10"/>
  <c r="O18644" i="10"/>
  <c r="O18645" i="10"/>
  <c r="O18646" i="10"/>
  <c r="O18647" i="10"/>
  <c r="O18648" i="10"/>
  <c r="O18649" i="10"/>
  <c r="O18650" i="10"/>
  <c r="O18651" i="10"/>
  <c r="O18652" i="10"/>
  <c r="O18653" i="10"/>
  <c r="O18654" i="10"/>
  <c r="O18655" i="10"/>
  <c r="O18656" i="10"/>
  <c r="O18657" i="10"/>
  <c r="O18658" i="10"/>
  <c r="O18659" i="10"/>
  <c r="O18660" i="10"/>
  <c r="O18661" i="10"/>
  <c r="O18662" i="10"/>
  <c r="O18663" i="10"/>
  <c r="O18664" i="10"/>
  <c r="O18665" i="10"/>
  <c r="O18666" i="10"/>
  <c r="O18667" i="10"/>
  <c r="O18668" i="10"/>
  <c r="O18669" i="10"/>
  <c r="O18670" i="10"/>
  <c r="O18671" i="10"/>
  <c r="O18672" i="10"/>
  <c r="O18673" i="10"/>
  <c r="O18674" i="10"/>
  <c r="O18675" i="10"/>
  <c r="O18676" i="10"/>
  <c r="O18677" i="10"/>
  <c r="O18678" i="10"/>
  <c r="O18679" i="10"/>
  <c r="O18680" i="10"/>
  <c r="O18681" i="10"/>
  <c r="O18682" i="10"/>
  <c r="O18683" i="10"/>
  <c r="O18684" i="10"/>
  <c r="O18685" i="10"/>
  <c r="O18686" i="10"/>
  <c r="O18687" i="10"/>
  <c r="O18688" i="10"/>
  <c r="O18689" i="10"/>
  <c r="O18690" i="10"/>
  <c r="O18691" i="10"/>
  <c r="O18692" i="10"/>
  <c r="O18693" i="10"/>
  <c r="O18694" i="10"/>
  <c r="O18695" i="10"/>
  <c r="O18696" i="10"/>
  <c r="O18697" i="10"/>
  <c r="O18698" i="10"/>
  <c r="O18699" i="10"/>
  <c r="O18700" i="10"/>
  <c r="O18701" i="10"/>
  <c r="O18702" i="10"/>
  <c r="O18703" i="10"/>
  <c r="O18704" i="10"/>
  <c r="O18705" i="10"/>
  <c r="O18706" i="10"/>
  <c r="O18707" i="10"/>
  <c r="O18708" i="10"/>
  <c r="O18709" i="10"/>
  <c r="O18710" i="10"/>
  <c r="O18711" i="10"/>
  <c r="O18712" i="10"/>
  <c r="O18713" i="10"/>
  <c r="O18714" i="10"/>
  <c r="O18715" i="10"/>
  <c r="O18716" i="10"/>
  <c r="O18717" i="10"/>
  <c r="O18718" i="10"/>
  <c r="O18719" i="10"/>
  <c r="O18720" i="10"/>
  <c r="O18721" i="10"/>
  <c r="O18722" i="10"/>
  <c r="O18723" i="10"/>
  <c r="O18724" i="10"/>
  <c r="O18725" i="10"/>
  <c r="O18726" i="10"/>
  <c r="O18727" i="10"/>
  <c r="O18728" i="10"/>
  <c r="O18729" i="10"/>
  <c r="O18730" i="10"/>
  <c r="O18731" i="10"/>
  <c r="O18732" i="10"/>
  <c r="O18733" i="10"/>
  <c r="O18734" i="10"/>
  <c r="O18735" i="10"/>
  <c r="O18736" i="10"/>
  <c r="O18737" i="10"/>
  <c r="O18738" i="10"/>
  <c r="O18739" i="10"/>
  <c r="O18740" i="10"/>
  <c r="O18741" i="10"/>
  <c r="O18742" i="10"/>
  <c r="O18743" i="10"/>
  <c r="O18744" i="10"/>
  <c r="O18745" i="10"/>
  <c r="O18746" i="10"/>
  <c r="O18747" i="10"/>
  <c r="O18748" i="10"/>
  <c r="O18749" i="10"/>
  <c r="O18750" i="10"/>
  <c r="O18751" i="10"/>
  <c r="O18752" i="10"/>
  <c r="O18753" i="10"/>
  <c r="O18754" i="10"/>
  <c r="O18755" i="10"/>
  <c r="O18756" i="10"/>
  <c r="O18757" i="10"/>
  <c r="O18758" i="10"/>
  <c r="O18759" i="10"/>
  <c r="O18760" i="10"/>
  <c r="O18761" i="10"/>
  <c r="O18762" i="10"/>
  <c r="O18763" i="10"/>
  <c r="O18764" i="10"/>
  <c r="O18765" i="10"/>
  <c r="O18766" i="10"/>
  <c r="O18767" i="10"/>
  <c r="O18768" i="10"/>
  <c r="O18769" i="10"/>
  <c r="O18770" i="10"/>
  <c r="O18771" i="10"/>
  <c r="O18772" i="10"/>
  <c r="O18773" i="10"/>
  <c r="O18774" i="10"/>
  <c r="O18775" i="10"/>
  <c r="O18776" i="10"/>
  <c r="O18777" i="10"/>
  <c r="O18778" i="10"/>
  <c r="O18779" i="10"/>
  <c r="O18780" i="10"/>
  <c r="O18781" i="10"/>
  <c r="O18782" i="10"/>
  <c r="O18783" i="10"/>
  <c r="O18784" i="10"/>
  <c r="O18785" i="10"/>
  <c r="O18786" i="10"/>
  <c r="O18787" i="10"/>
  <c r="O18788" i="10"/>
  <c r="O18789" i="10"/>
  <c r="O18790" i="10"/>
  <c r="O18791" i="10"/>
  <c r="O18792" i="10"/>
  <c r="O18793" i="10"/>
  <c r="O18794" i="10"/>
  <c r="O18795" i="10"/>
  <c r="O18796" i="10"/>
  <c r="O18797" i="10"/>
  <c r="O18798" i="10"/>
  <c r="O18799" i="10"/>
  <c r="O18800" i="10"/>
  <c r="O18801" i="10"/>
  <c r="O18802" i="10"/>
  <c r="O18803" i="10"/>
  <c r="O18804" i="10"/>
  <c r="O18805" i="10"/>
  <c r="O18806" i="10"/>
  <c r="O18807" i="10"/>
  <c r="O18808" i="10"/>
  <c r="O18809" i="10"/>
  <c r="O18810" i="10"/>
  <c r="O18811" i="10"/>
  <c r="O18812" i="10"/>
  <c r="O18813" i="10"/>
  <c r="O18814" i="10"/>
  <c r="O18815" i="10"/>
  <c r="O18816" i="10"/>
  <c r="O18817" i="10"/>
  <c r="O18818" i="10"/>
  <c r="O18819" i="10"/>
  <c r="O18820" i="10"/>
  <c r="O18821" i="10"/>
  <c r="O18822" i="10"/>
  <c r="O18823" i="10"/>
  <c r="O18824" i="10"/>
  <c r="O18825" i="10"/>
  <c r="O18826" i="10"/>
  <c r="O18827" i="10"/>
  <c r="O18828" i="10"/>
  <c r="O18829" i="10"/>
  <c r="O18830" i="10"/>
  <c r="O18831" i="10"/>
  <c r="O18832" i="10"/>
  <c r="O18833" i="10"/>
  <c r="O18834" i="10"/>
  <c r="O18835" i="10"/>
  <c r="O18836" i="10"/>
  <c r="O18837" i="10"/>
  <c r="O18838" i="10"/>
  <c r="O18839" i="10"/>
  <c r="O18840" i="10"/>
  <c r="O18841" i="10"/>
  <c r="O18842" i="10"/>
  <c r="O18843" i="10"/>
  <c r="O18844" i="10"/>
  <c r="O18845" i="10"/>
  <c r="O18846" i="10"/>
  <c r="O18847" i="10"/>
  <c r="O18848" i="10"/>
  <c r="O18849" i="10"/>
  <c r="O18850" i="10"/>
  <c r="O18851" i="10"/>
  <c r="O18852" i="10"/>
  <c r="O18853" i="10"/>
  <c r="O18854" i="10"/>
  <c r="O18855" i="10"/>
  <c r="O18856" i="10"/>
  <c r="O18857" i="10"/>
  <c r="O18858" i="10"/>
  <c r="O18859" i="10"/>
  <c r="O18860" i="10"/>
  <c r="O18861" i="10"/>
  <c r="O18862" i="10"/>
  <c r="O18863" i="10"/>
  <c r="O18864" i="10"/>
  <c r="O18865" i="10"/>
  <c r="O18866" i="10"/>
  <c r="O18867" i="10"/>
  <c r="O18868" i="10"/>
  <c r="O18869" i="10"/>
  <c r="O18870" i="10"/>
  <c r="O18871" i="10"/>
  <c r="O18872" i="10"/>
  <c r="O18873" i="10"/>
  <c r="O18874" i="10"/>
  <c r="O18875" i="10"/>
  <c r="O18876" i="10"/>
  <c r="O18877" i="10"/>
  <c r="O18878" i="10"/>
  <c r="O18879" i="10"/>
  <c r="O18880" i="10"/>
  <c r="O18881" i="10"/>
  <c r="O18882" i="10"/>
  <c r="O18883" i="10"/>
  <c r="O18884" i="10"/>
  <c r="O18885" i="10"/>
  <c r="O18886" i="10"/>
  <c r="O18887" i="10"/>
  <c r="O18888" i="10"/>
  <c r="O18889" i="10"/>
  <c r="O18890" i="10"/>
  <c r="O18891" i="10"/>
  <c r="O18892" i="10"/>
  <c r="O18893" i="10"/>
  <c r="O18894" i="10"/>
  <c r="O18895" i="10"/>
  <c r="O18896" i="10"/>
  <c r="O18897" i="10"/>
  <c r="O18898" i="10"/>
  <c r="O18899" i="10"/>
  <c r="O18900" i="10"/>
  <c r="O18901" i="10"/>
  <c r="O18902" i="10"/>
  <c r="O18903" i="10"/>
  <c r="O18904" i="10"/>
  <c r="O18905" i="10"/>
  <c r="O18906" i="10"/>
  <c r="O18907" i="10"/>
  <c r="O18908" i="10"/>
  <c r="O18909" i="10"/>
  <c r="O18910" i="10"/>
  <c r="O18911" i="10"/>
  <c r="O18912" i="10"/>
  <c r="O18913" i="10"/>
  <c r="O18914" i="10"/>
  <c r="O18915" i="10"/>
  <c r="O18916" i="10"/>
  <c r="O18917" i="10"/>
  <c r="O18918" i="10"/>
  <c r="O18919" i="10"/>
  <c r="O18920" i="10"/>
  <c r="O18921" i="10"/>
  <c r="O18922" i="10"/>
  <c r="O18923" i="10"/>
  <c r="O18924" i="10"/>
  <c r="O18925" i="10"/>
  <c r="O18926" i="10"/>
  <c r="O18927" i="10"/>
  <c r="O18928" i="10"/>
  <c r="O18929" i="10"/>
  <c r="O18930" i="10"/>
  <c r="O18931" i="10"/>
  <c r="O18932" i="10"/>
  <c r="O18933" i="10"/>
  <c r="O18934" i="10"/>
  <c r="O18935" i="10"/>
  <c r="O18936" i="10"/>
  <c r="O18937" i="10"/>
  <c r="O18938" i="10"/>
  <c r="O18939" i="10"/>
  <c r="O18940" i="10"/>
  <c r="O18941" i="10"/>
  <c r="O18942" i="10"/>
  <c r="O18943" i="10"/>
  <c r="O18944" i="10"/>
  <c r="O18945" i="10"/>
  <c r="O18946" i="10"/>
  <c r="O18947" i="10"/>
  <c r="O18948" i="10"/>
  <c r="O18949" i="10"/>
  <c r="O18950" i="10"/>
  <c r="O18951" i="10"/>
  <c r="O18952" i="10"/>
  <c r="O18953" i="10"/>
  <c r="O18954" i="10"/>
  <c r="O18955" i="10"/>
  <c r="O18956" i="10"/>
  <c r="O18957" i="10"/>
  <c r="O18958" i="10"/>
  <c r="O18959" i="10"/>
  <c r="O18960" i="10"/>
  <c r="O18961" i="10"/>
  <c r="O18962" i="10"/>
  <c r="O18963" i="10"/>
  <c r="O18964" i="10"/>
  <c r="O18965" i="10"/>
  <c r="O18966" i="10"/>
  <c r="O18967" i="10"/>
  <c r="O18968" i="10"/>
  <c r="O18969" i="10"/>
  <c r="O18970" i="10"/>
  <c r="O18971" i="10"/>
  <c r="O18972" i="10"/>
  <c r="O18973" i="10"/>
  <c r="O18974" i="10"/>
  <c r="O18975" i="10"/>
  <c r="O18976" i="10"/>
  <c r="O18977" i="10"/>
  <c r="O18978" i="10"/>
  <c r="O18979" i="10"/>
  <c r="O18980" i="10"/>
  <c r="O18981" i="10"/>
  <c r="O18982" i="10"/>
  <c r="O18983" i="10"/>
  <c r="O18984" i="10"/>
  <c r="O18985" i="10"/>
  <c r="O18986" i="10"/>
  <c r="O18987" i="10"/>
  <c r="O18988" i="10"/>
  <c r="O18989" i="10"/>
  <c r="O18990" i="10"/>
  <c r="O18991" i="10"/>
  <c r="O18992" i="10"/>
  <c r="O18993" i="10"/>
  <c r="O18994" i="10"/>
  <c r="O18995" i="10"/>
  <c r="O18996" i="10"/>
  <c r="O18997" i="10"/>
  <c r="O18998" i="10"/>
  <c r="O18999" i="10"/>
  <c r="O19000" i="10"/>
  <c r="O19001" i="10"/>
  <c r="O19002" i="10"/>
  <c r="O19003" i="10"/>
  <c r="O19004" i="10"/>
  <c r="O19005" i="10"/>
  <c r="O19006" i="10"/>
  <c r="O19007" i="10"/>
  <c r="O19008" i="10"/>
  <c r="O19009" i="10"/>
  <c r="O19010" i="10"/>
  <c r="O19011" i="10"/>
  <c r="O19012" i="10"/>
  <c r="O19013" i="10"/>
  <c r="O19014" i="10"/>
  <c r="O19015" i="10"/>
  <c r="O19016" i="10"/>
  <c r="O19017" i="10"/>
  <c r="O19018" i="10"/>
  <c r="O19019" i="10"/>
  <c r="O19020" i="10"/>
  <c r="O19021" i="10"/>
  <c r="O19022" i="10"/>
  <c r="O19023" i="10"/>
  <c r="O19024" i="10"/>
  <c r="O19025" i="10"/>
  <c r="O19026" i="10"/>
  <c r="O19027" i="10"/>
  <c r="O19028" i="10"/>
  <c r="O19029" i="10"/>
  <c r="O19030" i="10"/>
  <c r="O19031" i="10"/>
  <c r="O19032" i="10"/>
  <c r="O19033" i="10"/>
  <c r="O19034" i="10"/>
  <c r="O19035" i="10"/>
  <c r="O19036" i="10"/>
  <c r="O19037" i="10"/>
  <c r="O19038" i="10"/>
  <c r="O19039" i="10"/>
  <c r="O19040" i="10"/>
  <c r="O19041" i="10"/>
  <c r="O19042" i="10"/>
  <c r="O19043" i="10"/>
  <c r="O19044" i="10"/>
  <c r="O19045" i="10"/>
  <c r="O19046" i="10"/>
  <c r="O19047" i="10"/>
  <c r="O19048" i="10"/>
  <c r="O19049" i="10"/>
  <c r="O19050" i="10"/>
  <c r="O19051" i="10"/>
  <c r="O19052" i="10"/>
  <c r="O19053" i="10"/>
  <c r="O19054" i="10"/>
  <c r="O19055" i="10"/>
  <c r="O19056" i="10"/>
  <c r="O19057" i="10"/>
  <c r="O19058" i="10"/>
  <c r="O19059" i="10"/>
  <c r="O19060" i="10"/>
  <c r="O19061" i="10"/>
  <c r="O19062" i="10"/>
  <c r="O19063" i="10"/>
  <c r="O19064" i="10"/>
  <c r="O19065" i="10"/>
  <c r="O19066" i="10"/>
  <c r="O19067" i="10"/>
  <c r="O19068" i="10"/>
  <c r="O19069" i="10"/>
  <c r="O19070" i="10"/>
  <c r="O19071" i="10"/>
  <c r="O19072" i="10"/>
  <c r="O19073" i="10"/>
  <c r="O19074" i="10"/>
  <c r="O19075" i="10"/>
  <c r="O19076" i="10"/>
  <c r="O19077" i="10"/>
  <c r="O19078" i="10"/>
  <c r="O19079" i="10"/>
  <c r="O19080" i="10"/>
  <c r="O19081" i="10"/>
  <c r="O19082" i="10"/>
  <c r="O19083" i="10"/>
  <c r="O19084" i="10"/>
  <c r="O19085" i="10"/>
  <c r="O19086" i="10"/>
  <c r="O19087" i="10"/>
  <c r="O19088" i="10"/>
  <c r="O19089" i="10"/>
  <c r="O19090" i="10"/>
  <c r="O19091" i="10"/>
  <c r="O19092" i="10"/>
  <c r="O19093" i="10"/>
  <c r="O19094" i="10"/>
  <c r="O19095" i="10"/>
  <c r="O19096" i="10"/>
  <c r="O19097" i="10"/>
  <c r="O19098" i="10"/>
  <c r="O19099" i="10"/>
  <c r="O19100" i="10"/>
  <c r="O19101" i="10"/>
  <c r="O19102" i="10"/>
  <c r="O19103" i="10"/>
  <c r="O19104" i="10"/>
  <c r="O19105" i="10"/>
  <c r="O19106" i="10"/>
  <c r="O19107" i="10"/>
  <c r="O19108" i="10"/>
  <c r="O19109" i="10"/>
  <c r="O19110" i="10"/>
  <c r="O19111" i="10"/>
  <c r="O19112" i="10"/>
  <c r="O19113" i="10"/>
  <c r="O19114" i="10"/>
  <c r="O19115" i="10"/>
  <c r="O19116" i="10"/>
  <c r="O19117" i="10"/>
  <c r="O19118" i="10"/>
  <c r="O19119" i="10"/>
  <c r="O19120" i="10"/>
  <c r="O19121" i="10"/>
  <c r="O19122" i="10"/>
  <c r="O19123" i="10"/>
  <c r="O19124" i="10"/>
  <c r="O19125" i="10"/>
  <c r="O19126" i="10"/>
  <c r="O19127" i="10"/>
  <c r="O19128" i="10"/>
  <c r="O19129" i="10"/>
  <c r="O19130" i="10"/>
  <c r="O19131" i="10"/>
  <c r="O19132" i="10"/>
  <c r="O19133" i="10"/>
  <c r="O19134" i="10"/>
  <c r="O19135" i="10"/>
  <c r="O19136" i="10"/>
  <c r="O19137" i="10"/>
  <c r="O19138" i="10"/>
  <c r="O19139" i="10"/>
  <c r="O19140" i="10"/>
  <c r="O19141" i="10"/>
  <c r="O19142" i="10"/>
  <c r="O19143" i="10"/>
  <c r="O19144" i="10"/>
  <c r="O19145" i="10"/>
  <c r="O19146" i="10"/>
  <c r="O19147" i="10"/>
  <c r="O19148" i="10"/>
  <c r="O19149" i="10"/>
  <c r="O19150" i="10"/>
  <c r="O19151" i="10"/>
  <c r="O19152" i="10"/>
  <c r="O19153" i="10"/>
  <c r="O19154" i="10"/>
  <c r="O19155" i="10"/>
  <c r="O19156" i="10"/>
  <c r="O19157" i="10"/>
  <c r="O19158" i="10"/>
  <c r="O19159" i="10"/>
  <c r="O19160" i="10"/>
  <c r="O19161" i="10"/>
  <c r="O19162" i="10"/>
  <c r="O19163" i="10"/>
  <c r="O19164" i="10"/>
  <c r="O19165" i="10"/>
  <c r="O19166" i="10"/>
  <c r="O19167" i="10"/>
  <c r="O19168" i="10"/>
  <c r="O19169" i="10"/>
  <c r="O19170" i="10"/>
  <c r="O19171" i="10"/>
  <c r="O19172" i="10"/>
  <c r="O19173" i="10"/>
  <c r="O19174" i="10"/>
  <c r="O19175" i="10"/>
  <c r="O19176" i="10"/>
  <c r="O19177" i="10"/>
  <c r="O19178" i="10"/>
  <c r="O19179" i="10"/>
  <c r="O19180" i="10"/>
  <c r="O19181" i="10"/>
  <c r="O19182" i="10"/>
  <c r="O19183" i="10"/>
  <c r="O19184" i="10"/>
  <c r="O19185" i="10"/>
  <c r="O19186" i="10"/>
  <c r="O19187" i="10"/>
  <c r="O19188" i="10"/>
  <c r="O19189" i="10"/>
  <c r="O19190" i="10"/>
  <c r="O19191" i="10"/>
  <c r="O19192" i="10"/>
  <c r="O19193" i="10"/>
  <c r="O19194" i="10"/>
  <c r="O19195" i="10"/>
  <c r="O19196" i="10"/>
  <c r="O19197" i="10"/>
  <c r="O19198" i="10"/>
  <c r="O19199" i="10"/>
  <c r="O19200" i="10"/>
  <c r="O19201" i="10"/>
  <c r="O19202" i="10"/>
  <c r="O19203" i="10"/>
  <c r="O19204" i="10"/>
  <c r="O19205" i="10"/>
  <c r="O19206" i="10"/>
  <c r="O19207" i="10"/>
  <c r="O19208" i="10"/>
  <c r="O19209" i="10"/>
  <c r="O19210" i="10"/>
  <c r="O19211" i="10"/>
  <c r="O19212" i="10"/>
  <c r="O19213" i="10"/>
  <c r="O19214" i="10"/>
  <c r="O19215" i="10"/>
  <c r="O19216" i="10"/>
  <c r="O19217" i="10"/>
  <c r="O19218" i="10"/>
  <c r="O19219" i="10"/>
  <c r="O19220" i="10"/>
  <c r="O19221" i="10"/>
  <c r="O19222" i="10"/>
  <c r="O19223" i="10"/>
  <c r="O19224" i="10"/>
  <c r="O19225" i="10"/>
  <c r="O19226" i="10"/>
  <c r="O19227" i="10"/>
  <c r="O19228" i="10"/>
  <c r="O19229" i="10"/>
  <c r="O19230" i="10"/>
  <c r="O19231" i="10"/>
  <c r="O19232" i="10"/>
  <c r="O19233" i="10"/>
  <c r="O19234" i="10"/>
  <c r="O19235" i="10"/>
  <c r="O19236" i="10"/>
  <c r="O19237" i="10"/>
  <c r="O19238" i="10"/>
  <c r="O19239" i="10"/>
  <c r="O19240" i="10"/>
  <c r="O19241" i="10"/>
  <c r="O19242" i="10"/>
  <c r="O19243" i="10"/>
  <c r="O19244" i="10"/>
  <c r="O19245" i="10"/>
  <c r="O19246" i="10"/>
  <c r="O19247" i="10"/>
  <c r="O19248" i="10"/>
  <c r="O19249" i="10"/>
  <c r="O19250" i="10"/>
  <c r="O19251" i="10"/>
  <c r="O19252" i="10"/>
  <c r="O19253" i="10"/>
  <c r="O19254" i="10"/>
  <c r="O19255" i="10"/>
  <c r="O19256" i="10"/>
  <c r="O19257" i="10"/>
  <c r="O19258" i="10"/>
  <c r="O19259" i="10"/>
  <c r="O19260" i="10"/>
  <c r="O19261" i="10"/>
  <c r="O19262" i="10"/>
  <c r="O19263" i="10"/>
  <c r="O19264" i="10"/>
  <c r="O19265" i="10"/>
  <c r="O19266" i="10"/>
  <c r="O19267" i="10"/>
  <c r="O19268" i="10"/>
  <c r="O19269" i="10"/>
  <c r="O19270" i="10"/>
  <c r="O19271" i="10"/>
  <c r="O19272" i="10"/>
  <c r="O19273" i="10"/>
  <c r="O19274" i="10"/>
  <c r="O19275" i="10"/>
  <c r="O19276" i="10"/>
  <c r="O19277" i="10"/>
  <c r="O19278" i="10"/>
  <c r="O19279" i="10"/>
  <c r="O19280" i="10"/>
  <c r="O19281" i="10"/>
  <c r="O19282" i="10"/>
  <c r="O19283" i="10"/>
  <c r="O19284" i="10"/>
  <c r="O19285" i="10"/>
  <c r="O19286" i="10"/>
  <c r="O19287" i="10"/>
  <c r="O19288" i="10"/>
  <c r="O19289" i="10"/>
  <c r="O19290" i="10"/>
  <c r="O19291" i="10"/>
  <c r="O19292" i="10"/>
  <c r="O19293" i="10"/>
  <c r="O19294" i="10"/>
  <c r="O19295" i="10"/>
  <c r="O19296" i="10"/>
  <c r="O19297" i="10"/>
  <c r="O19298" i="10"/>
  <c r="O19299" i="10"/>
  <c r="O19300" i="10"/>
  <c r="O19301" i="10"/>
  <c r="O19302" i="10"/>
  <c r="O19303" i="10"/>
  <c r="O19304" i="10"/>
  <c r="O19305" i="10"/>
  <c r="O19306" i="10"/>
  <c r="O19307" i="10"/>
  <c r="O19308" i="10"/>
  <c r="O19309" i="10"/>
  <c r="O19310" i="10"/>
  <c r="O19311" i="10"/>
  <c r="O19312" i="10"/>
  <c r="O19313" i="10"/>
  <c r="O19314" i="10"/>
  <c r="O19315" i="10"/>
  <c r="O19316" i="10"/>
  <c r="O19317" i="10"/>
  <c r="O19318" i="10"/>
  <c r="O19319" i="10"/>
  <c r="O19320" i="10"/>
  <c r="O19321" i="10"/>
  <c r="O19322" i="10"/>
  <c r="O19323" i="10"/>
  <c r="O19324" i="10"/>
  <c r="O19325" i="10"/>
  <c r="O19326" i="10"/>
  <c r="O19327" i="10"/>
  <c r="O19328" i="10"/>
  <c r="O19329" i="10"/>
  <c r="O19330" i="10"/>
  <c r="O19331" i="10"/>
  <c r="O19332" i="10"/>
  <c r="O19333" i="10"/>
  <c r="O19334" i="10"/>
  <c r="O19335" i="10"/>
  <c r="O19336" i="10"/>
  <c r="O19337" i="10"/>
  <c r="O19338" i="10"/>
  <c r="O19339" i="10"/>
  <c r="O19340" i="10"/>
  <c r="O19341" i="10"/>
  <c r="O19342" i="10"/>
  <c r="O19343" i="10"/>
  <c r="O19344" i="10"/>
  <c r="O19345" i="10"/>
  <c r="O19346" i="10"/>
  <c r="O19347" i="10"/>
  <c r="O19348" i="10"/>
  <c r="O19349" i="10"/>
  <c r="O19350" i="10"/>
  <c r="O19351" i="10"/>
  <c r="O19352" i="10"/>
  <c r="O19353" i="10"/>
  <c r="O19354" i="10"/>
  <c r="O19355" i="10"/>
  <c r="O19356" i="10"/>
  <c r="O19357" i="10"/>
  <c r="O19358" i="10"/>
  <c r="O19359" i="10"/>
  <c r="O19360" i="10"/>
  <c r="O19361" i="10"/>
  <c r="O19362" i="10"/>
  <c r="O19363" i="10"/>
  <c r="O19364" i="10"/>
  <c r="O19365" i="10"/>
  <c r="O19366" i="10"/>
  <c r="O19367" i="10"/>
  <c r="O19368" i="10"/>
  <c r="O19369" i="10"/>
  <c r="O19370" i="10"/>
  <c r="O19371" i="10"/>
  <c r="O19372" i="10"/>
  <c r="O19373" i="10"/>
  <c r="O19374" i="10"/>
  <c r="O19375" i="10"/>
  <c r="O19376" i="10"/>
  <c r="O19377" i="10"/>
  <c r="O19378" i="10"/>
  <c r="O19379" i="10"/>
  <c r="O19380" i="10"/>
  <c r="O19381" i="10"/>
  <c r="O19382" i="10"/>
  <c r="O19383" i="10"/>
  <c r="O19384" i="10"/>
  <c r="O19385" i="10"/>
  <c r="O19386" i="10"/>
  <c r="O19387" i="10"/>
  <c r="O19388" i="10"/>
  <c r="O19389" i="10"/>
  <c r="O19390" i="10"/>
  <c r="O19391" i="10"/>
  <c r="O19392" i="10"/>
  <c r="O19393" i="10"/>
  <c r="O19394" i="10"/>
  <c r="O19395" i="10"/>
  <c r="O19396" i="10"/>
  <c r="O19397" i="10"/>
  <c r="O19398" i="10"/>
  <c r="O19399" i="10"/>
  <c r="O19400" i="10"/>
  <c r="O19401" i="10"/>
  <c r="O19402" i="10"/>
  <c r="O19403" i="10"/>
  <c r="O19404" i="10"/>
  <c r="O19405" i="10"/>
  <c r="O19406" i="10"/>
  <c r="O19407" i="10"/>
  <c r="O19408" i="10"/>
  <c r="O19409" i="10"/>
  <c r="O19410" i="10"/>
  <c r="O19411" i="10"/>
  <c r="O19412" i="10"/>
  <c r="O19413" i="10"/>
  <c r="O19414" i="10"/>
  <c r="O19415" i="10"/>
  <c r="O19416" i="10"/>
  <c r="O19417" i="10"/>
  <c r="O19418" i="10"/>
  <c r="O19419" i="10"/>
  <c r="O19420" i="10"/>
  <c r="O19421" i="10"/>
  <c r="O19422" i="10"/>
  <c r="O19423" i="10"/>
  <c r="O19424" i="10"/>
  <c r="O19425" i="10"/>
  <c r="O19426" i="10"/>
  <c r="O19427" i="10"/>
  <c r="O19428" i="10"/>
  <c r="O19429" i="10"/>
  <c r="O19430" i="10"/>
  <c r="O19431" i="10"/>
  <c r="O19432" i="10"/>
  <c r="O19433" i="10"/>
  <c r="O19434" i="10"/>
  <c r="O19435" i="10"/>
  <c r="O19436" i="10"/>
  <c r="O19437" i="10"/>
  <c r="O19438" i="10"/>
  <c r="O19439" i="10"/>
  <c r="O19440" i="10"/>
  <c r="O19441" i="10"/>
  <c r="O19442" i="10"/>
  <c r="O19443" i="10"/>
  <c r="O19444" i="10"/>
  <c r="O19445" i="10"/>
  <c r="O19446" i="10"/>
  <c r="O19447" i="10"/>
  <c r="O19448" i="10"/>
  <c r="O19449" i="10"/>
  <c r="O19450" i="10"/>
  <c r="O19451" i="10"/>
  <c r="O19452" i="10"/>
  <c r="O19453" i="10"/>
  <c r="O19454" i="10"/>
  <c r="O19455" i="10"/>
  <c r="O19456" i="10"/>
  <c r="O19457" i="10"/>
  <c r="O19458" i="10"/>
  <c r="O19459" i="10"/>
  <c r="O19460" i="10"/>
  <c r="O19461" i="10"/>
  <c r="O19462" i="10"/>
  <c r="O19463" i="10"/>
  <c r="O19464" i="10"/>
  <c r="O19465" i="10"/>
  <c r="O19466" i="10"/>
  <c r="O19467" i="10"/>
  <c r="O19468" i="10"/>
  <c r="O19469" i="10"/>
  <c r="O19470" i="10"/>
  <c r="O19471" i="10"/>
  <c r="O19472" i="10"/>
  <c r="O19473" i="10"/>
  <c r="O19474" i="10"/>
  <c r="O19475" i="10"/>
  <c r="O19476" i="10"/>
  <c r="O19477" i="10"/>
  <c r="O19478" i="10"/>
  <c r="O19479" i="10"/>
  <c r="O19480" i="10"/>
  <c r="O19481" i="10"/>
  <c r="O19482" i="10"/>
  <c r="O19483" i="10"/>
  <c r="O19484" i="10"/>
  <c r="O19485" i="10"/>
  <c r="O19486" i="10"/>
  <c r="O19487" i="10"/>
  <c r="O19488" i="10"/>
  <c r="O19489" i="10"/>
  <c r="O19490" i="10"/>
  <c r="O19491" i="10"/>
  <c r="O19492" i="10"/>
  <c r="O19493" i="10"/>
  <c r="O19494" i="10"/>
  <c r="O19495" i="10"/>
  <c r="O19496" i="10"/>
  <c r="O19497" i="10"/>
  <c r="O19498" i="10"/>
  <c r="O19499" i="10"/>
  <c r="O19500" i="10"/>
  <c r="O19501" i="10"/>
  <c r="O19502" i="10"/>
  <c r="O19503" i="10"/>
  <c r="O19504" i="10"/>
  <c r="O19505" i="10"/>
  <c r="O19506" i="10"/>
  <c r="O19507" i="10"/>
  <c r="O19508" i="10"/>
  <c r="O19509" i="10"/>
  <c r="O19510" i="10"/>
  <c r="O19511" i="10"/>
  <c r="O19512" i="10"/>
  <c r="O19513" i="10"/>
  <c r="O19514" i="10"/>
  <c r="O19515" i="10"/>
  <c r="O19516" i="10"/>
  <c r="O19517" i="10"/>
  <c r="O19518" i="10"/>
  <c r="O19519" i="10"/>
  <c r="O19520" i="10"/>
  <c r="O19521" i="10"/>
  <c r="O19522" i="10"/>
  <c r="O19523" i="10"/>
  <c r="O19524" i="10"/>
  <c r="O19525" i="10"/>
  <c r="O19526" i="10"/>
  <c r="O19527" i="10"/>
  <c r="O19528" i="10"/>
  <c r="O19529" i="10"/>
  <c r="O19530" i="10"/>
  <c r="O19531" i="10"/>
  <c r="O19532" i="10"/>
  <c r="O19533" i="10"/>
  <c r="O19534" i="10"/>
  <c r="O19535" i="10"/>
  <c r="O19536" i="10"/>
  <c r="O19537" i="10"/>
  <c r="O19538" i="10"/>
  <c r="O19539" i="10"/>
  <c r="O19540" i="10"/>
  <c r="O19541" i="10"/>
  <c r="O19542" i="10"/>
  <c r="O19543" i="10"/>
  <c r="O19544" i="10"/>
  <c r="O19545" i="10"/>
  <c r="O19546" i="10"/>
  <c r="O19547" i="10"/>
  <c r="O19548" i="10"/>
  <c r="O19549" i="10"/>
  <c r="O19550" i="10"/>
  <c r="O19551" i="10"/>
  <c r="O19552" i="10"/>
  <c r="O19553" i="10"/>
  <c r="O19554" i="10"/>
  <c r="O19555" i="10"/>
  <c r="O19556" i="10"/>
  <c r="O19557" i="10"/>
  <c r="O19558" i="10"/>
  <c r="O19559" i="10"/>
  <c r="O19560" i="10"/>
  <c r="O19561" i="10"/>
  <c r="O19562" i="10"/>
  <c r="O19563" i="10"/>
  <c r="O19564" i="10"/>
  <c r="O19565" i="10"/>
  <c r="O19566" i="10"/>
  <c r="O19567" i="10"/>
  <c r="O19568" i="10"/>
  <c r="O19569" i="10"/>
  <c r="O19570" i="10"/>
  <c r="O19571" i="10"/>
  <c r="O19572" i="10"/>
  <c r="O19573" i="10"/>
  <c r="O19574" i="10"/>
  <c r="O19575" i="10"/>
  <c r="O19576" i="10"/>
  <c r="O19577" i="10"/>
  <c r="O19578" i="10"/>
  <c r="O19579" i="10"/>
  <c r="O19580" i="10"/>
  <c r="O19581" i="10"/>
  <c r="O19582" i="10"/>
  <c r="O19583" i="10"/>
  <c r="O19584" i="10"/>
  <c r="O19585" i="10"/>
  <c r="O19586" i="10"/>
  <c r="O19587" i="10"/>
  <c r="O19588" i="10"/>
  <c r="O19589" i="10"/>
  <c r="O19590" i="10"/>
  <c r="O19591" i="10"/>
  <c r="O19592" i="10"/>
  <c r="O19593" i="10"/>
  <c r="O19594" i="10"/>
  <c r="O19595" i="10"/>
  <c r="O19596" i="10"/>
  <c r="O19597" i="10"/>
  <c r="O19598" i="10"/>
  <c r="O19599" i="10"/>
  <c r="O19600" i="10"/>
  <c r="O19601" i="10"/>
  <c r="O19602" i="10"/>
  <c r="O19603" i="10"/>
  <c r="O19604" i="10"/>
  <c r="O19605" i="10"/>
  <c r="O19606" i="10"/>
  <c r="O19607" i="10"/>
  <c r="O19608" i="10"/>
  <c r="O19609" i="10"/>
  <c r="O19610" i="10"/>
  <c r="O19611" i="10"/>
  <c r="O19612" i="10"/>
  <c r="O19613" i="10"/>
  <c r="O19614" i="10"/>
  <c r="O19615" i="10"/>
  <c r="O19616" i="10"/>
  <c r="O19617" i="10"/>
  <c r="O19618" i="10"/>
  <c r="O19619" i="10"/>
  <c r="O19620" i="10"/>
  <c r="O19621" i="10"/>
  <c r="O19622" i="10"/>
  <c r="O19623" i="10"/>
  <c r="O19624" i="10"/>
  <c r="O19625" i="10"/>
  <c r="O19626" i="10"/>
  <c r="O19627" i="10"/>
  <c r="O19628" i="10"/>
  <c r="O19629" i="10"/>
  <c r="O19630" i="10"/>
  <c r="O19631" i="10"/>
  <c r="O19632" i="10"/>
  <c r="O19633" i="10"/>
  <c r="O19634" i="10"/>
  <c r="O19635" i="10"/>
  <c r="O19636" i="10"/>
  <c r="O19637" i="10"/>
  <c r="O19638" i="10"/>
  <c r="O19639" i="10"/>
  <c r="O19640" i="10"/>
  <c r="O19641" i="10"/>
  <c r="O19642" i="10"/>
  <c r="O19643" i="10"/>
  <c r="O19644" i="10"/>
  <c r="O19645" i="10"/>
  <c r="O19646" i="10"/>
  <c r="O19647" i="10"/>
  <c r="O19648" i="10"/>
  <c r="O19649" i="10"/>
  <c r="O19650" i="10"/>
  <c r="O19651" i="10"/>
  <c r="O19652" i="10"/>
  <c r="O19653" i="10"/>
  <c r="O19654" i="10"/>
  <c r="O19655" i="10"/>
  <c r="O19656" i="10"/>
  <c r="O19657" i="10"/>
  <c r="O19658" i="10"/>
  <c r="O19659" i="10"/>
  <c r="O19660" i="10"/>
  <c r="O19661" i="10"/>
  <c r="O19662" i="10"/>
  <c r="O19663" i="10"/>
  <c r="O19664" i="10"/>
  <c r="O19665" i="10"/>
  <c r="O19666" i="10"/>
  <c r="O19667" i="10"/>
  <c r="O19668" i="10"/>
  <c r="O19669" i="10"/>
  <c r="O19670" i="10"/>
  <c r="O19671" i="10"/>
  <c r="O19672" i="10"/>
  <c r="O19673" i="10"/>
  <c r="O19674" i="10"/>
  <c r="O19675" i="10"/>
  <c r="O19676" i="10"/>
  <c r="O19677" i="10"/>
  <c r="O19678" i="10"/>
  <c r="O19679" i="10"/>
  <c r="O19680" i="10"/>
  <c r="O19681" i="10"/>
  <c r="O19682" i="10"/>
  <c r="O19683" i="10"/>
  <c r="O19684" i="10"/>
  <c r="O19685" i="10"/>
  <c r="O19686" i="10"/>
  <c r="O19687" i="10"/>
  <c r="O19688" i="10"/>
  <c r="O19689" i="10"/>
  <c r="O19690" i="10"/>
  <c r="O19691" i="10"/>
  <c r="O19692" i="10"/>
  <c r="O19693" i="10"/>
  <c r="O19694" i="10"/>
  <c r="O19695" i="10"/>
  <c r="O19696" i="10"/>
  <c r="O19697" i="10"/>
  <c r="O19698" i="10"/>
  <c r="O19699" i="10"/>
  <c r="O19700" i="10"/>
  <c r="O19701" i="10"/>
  <c r="O19702" i="10"/>
  <c r="O19703" i="10"/>
  <c r="O19704" i="10"/>
  <c r="O19705" i="10"/>
  <c r="O19706" i="10"/>
  <c r="O19707" i="10"/>
  <c r="O19708" i="10"/>
  <c r="O19709" i="10"/>
  <c r="O19710" i="10"/>
  <c r="O19711" i="10"/>
  <c r="O19712" i="10"/>
  <c r="O19713" i="10"/>
  <c r="O19714" i="10"/>
  <c r="O19715" i="10"/>
  <c r="O19716" i="10"/>
  <c r="O19717" i="10"/>
  <c r="O19718" i="10"/>
  <c r="O19719" i="10"/>
  <c r="O19720" i="10"/>
  <c r="O19721" i="10"/>
  <c r="O19722" i="10"/>
  <c r="O19723" i="10"/>
  <c r="O19724" i="10"/>
  <c r="O19725" i="10"/>
  <c r="O19726" i="10"/>
  <c r="O19727" i="10"/>
  <c r="O19728" i="10"/>
  <c r="O19729" i="10"/>
  <c r="O19730" i="10"/>
  <c r="O19731" i="10"/>
  <c r="O19732" i="10"/>
  <c r="O19733" i="10"/>
  <c r="O19734" i="10"/>
  <c r="O19735" i="10"/>
  <c r="O19736" i="10"/>
  <c r="O19737" i="10"/>
  <c r="O19738" i="10"/>
  <c r="O19739" i="10"/>
  <c r="O19740" i="10"/>
  <c r="O19741" i="10"/>
  <c r="O19742" i="10"/>
  <c r="O19743" i="10"/>
  <c r="O19744" i="10"/>
  <c r="O19745" i="10"/>
  <c r="O19746" i="10"/>
  <c r="O19747" i="10"/>
  <c r="O19748" i="10"/>
  <c r="O19749" i="10"/>
  <c r="O19750" i="10"/>
  <c r="O19751" i="10"/>
  <c r="O19752" i="10"/>
  <c r="O19753" i="10"/>
  <c r="O19754" i="10"/>
  <c r="O19755" i="10"/>
  <c r="O19756" i="10"/>
  <c r="O19757" i="10"/>
  <c r="O19758" i="10"/>
  <c r="O19759" i="10"/>
  <c r="O19760" i="10"/>
  <c r="O19761" i="10"/>
  <c r="O19762" i="10"/>
  <c r="O19763" i="10"/>
  <c r="O19764" i="10"/>
  <c r="O19765" i="10"/>
  <c r="O19766" i="10"/>
  <c r="O19767" i="10"/>
  <c r="O19768" i="10"/>
  <c r="O19769" i="10"/>
  <c r="O19770" i="10"/>
  <c r="O19771" i="10"/>
  <c r="O19772" i="10"/>
  <c r="O19773" i="10"/>
  <c r="O19774" i="10"/>
  <c r="O19775" i="10"/>
  <c r="O19776" i="10"/>
  <c r="O19777" i="10"/>
  <c r="O19778" i="10"/>
  <c r="O19779" i="10"/>
  <c r="O19780" i="10"/>
  <c r="O19781" i="10"/>
  <c r="O19782" i="10"/>
  <c r="O19783" i="10"/>
  <c r="O19784" i="10"/>
  <c r="O19785" i="10"/>
  <c r="O19786" i="10"/>
  <c r="O19787" i="10"/>
  <c r="O19788" i="10"/>
  <c r="O19789" i="10"/>
  <c r="O19790" i="10"/>
  <c r="O19791" i="10"/>
  <c r="O19792" i="10"/>
  <c r="O19793" i="10"/>
  <c r="O19794" i="10"/>
  <c r="O19795" i="10"/>
  <c r="O19796" i="10"/>
  <c r="O19797" i="10"/>
  <c r="O19798" i="10"/>
  <c r="O19799" i="10"/>
  <c r="O19800" i="10"/>
  <c r="O19801" i="10"/>
  <c r="O19802" i="10"/>
  <c r="O19803" i="10"/>
  <c r="O19804" i="10"/>
  <c r="O19805" i="10"/>
  <c r="O19806" i="10"/>
  <c r="O19807" i="10"/>
  <c r="O19808" i="10"/>
  <c r="O19809" i="10"/>
  <c r="O19810" i="10"/>
  <c r="O19811" i="10"/>
  <c r="O19812" i="10"/>
  <c r="O19813" i="10"/>
  <c r="O19814" i="10"/>
  <c r="O19815" i="10"/>
  <c r="O19816" i="10"/>
  <c r="O19817" i="10"/>
  <c r="O19818" i="10"/>
  <c r="O19819" i="10"/>
  <c r="O19820" i="10"/>
  <c r="O19821" i="10"/>
  <c r="O19822" i="10"/>
  <c r="O19823" i="10"/>
  <c r="O19824" i="10"/>
  <c r="O19825" i="10"/>
  <c r="O19826" i="10"/>
  <c r="O19827" i="10"/>
  <c r="O19828" i="10"/>
  <c r="O19829" i="10"/>
  <c r="O19830" i="10"/>
  <c r="O19831" i="10"/>
  <c r="O19832" i="10"/>
  <c r="O19833" i="10"/>
  <c r="O19834" i="10"/>
  <c r="O19835" i="10"/>
  <c r="O19836" i="10"/>
  <c r="O19837" i="10"/>
  <c r="O19838" i="10"/>
  <c r="O19839" i="10"/>
  <c r="O19840" i="10"/>
  <c r="O19841" i="10"/>
  <c r="O19842" i="10"/>
  <c r="O19843" i="10"/>
  <c r="O19844" i="10"/>
  <c r="O19845" i="10"/>
  <c r="O19846" i="10"/>
  <c r="O19847" i="10"/>
  <c r="O19848" i="10"/>
  <c r="O19849" i="10"/>
  <c r="O19850" i="10"/>
  <c r="O19851" i="10"/>
  <c r="O19852" i="10"/>
  <c r="O19853" i="10"/>
  <c r="O19854" i="10"/>
  <c r="O19855" i="10"/>
  <c r="O19856" i="10"/>
  <c r="O19857" i="10"/>
  <c r="O19858" i="10"/>
  <c r="O19859" i="10"/>
  <c r="O19860" i="10"/>
  <c r="O19861" i="10"/>
  <c r="O19862" i="10"/>
  <c r="O19863" i="10"/>
  <c r="O19864" i="10"/>
  <c r="O19865" i="10"/>
  <c r="O19866" i="10"/>
  <c r="O19867" i="10"/>
  <c r="O19868" i="10"/>
  <c r="O19869" i="10"/>
  <c r="O19870" i="10"/>
  <c r="O19871" i="10"/>
  <c r="O19872" i="10"/>
  <c r="O19873" i="10"/>
  <c r="O19874" i="10"/>
  <c r="O19875" i="10"/>
  <c r="O19876" i="10"/>
  <c r="O19877" i="10"/>
  <c r="O19878" i="10"/>
  <c r="O19879" i="10"/>
  <c r="O19880" i="10"/>
  <c r="O19881" i="10"/>
  <c r="O19882" i="10"/>
  <c r="O19883" i="10"/>
  <c r="O19884" i="10"/>
  <c r="O19885" i="10"/>
  <c r="O19886" i="10"/>
  <c r="O19887" i="10"/>
  <c r="O19888" i="10"/>
  <c r="O19889" i="10"/>
  <c r="O19890" i="10"/>
  <c r="O19891" i="10"/>
  <c r="O19892" i="10"/>
  <c r="O19893" i="10"/>
  <c r="O19894" i="10"/>
  <c r="O19895" i="10"/>
  <c r="O19896" i="10"/>
  <c r="O19897" i="10"/>
  <c r="O19898" i="10"/>
  <c r="O19899" i="10"/>
  <c r="O19900" i="10"/>
  <c r="O19901" i="10"/>
  <c r="O19902" i="10"/>
  <c r="O19903" i="10"/>
  <c r="O19904" i="10"/>
  <c r="O19905" i="10"/>
  <c r="O19906" i="10"/>
  <c r="O19907" i="10"/>
  <c r="O19908" i="10"/>
  <c r="O19909" i="10"/>
  <c r="O19910" i="10"/>
  <c r="O19911" i="10"/>
  <c r="O19912" i="10"/>
  <c r="O19913" i="10"/>
  <c r="O19914" i="10"/>
  <c r="O19915" i="10"/>
  <c r="O19916" i="10"/>
  <c r="O19917" i="10"/>
  <c r="O19918" i="10"/>
  <c r="O19919" i="10"/>
  <c r="O19920" i="10"/>
  <c r="O19921" i="10"/>
  <c r="O19922" i="10"/>
  <c r="O19923" i="10"/>
  <c r="O19924" i="10"/>
  <c r="O19925" i="10"/>
  <c r="O19926" i="10"/>
  <c r="O19927" i="10"/>
  <c r="O19928" i="10"/>
  <c r="O19929" i="10"/>
  <c r="O19930" i="10"/>
  <c r="O19931" i="10"/>
  <c r="O19932" i="10"/>
  <c r="O19933" i="10"/>
  <c r="O19934" i="10"/>
  <c r="O19935" i="10"/>
  <c r="O19936" i="10"/>
  <c r="O19937" i="10"/>
  <c r="O19938" i="10"/>
  <c r="O19939" i="10"/>
  <c r="O19940" i="10"/>
  <c r="O19941" i="10"/>
  <c r="O19942" i="10"/>
  <c r="O19943" i="10"/>
  <c r="O19944" i="10"/>
  <c r="O19945" i="10"/>
  <c r="O19946" i="10"/>
  <c r="O19947" i="10"/>
  <c r="O19948" i="10"/>
  <c r="O19949" i="10"/>
  <c r="O19950" i="10"/>
  <c r="O19951" i="10"/>
  <c r="O19952" i="10"/>
  <c r="O19953" i="10"/>
  <c r="O19954" i="10"/>
  <c r="O19955" i="10"/>
  <c r="O19956" i="10"/>
  <c r="O19957" i="10"/>
  <c r="O19958" i="10"/>
  <c r="O19959" i="10"/>
  <c r="O19960" i="10"/>
  <c r="O19961" i="10"/>
  <c r="O19962" i="10"/>
  <c r="O19963" i="10"/>
  <c r="O19964" i="10"/>
  <c r="O19965" i="10"/>
  <c r="O19966" i="10"/>
  <c r="O19967" i="10"/>
  <c r="O19968" i="10"/>
  <c r="O19969" i="10"/>
  <c r="O19970" i="10"/>
  <c r="O19971" i="10"/>
  <c r="O19972" i="10"/>
  <c r="O19973" i="10"/>
  <c r="O19974" i="10"/>
  <c r="O19975" i="10"/>
  <c r="O19976" i="10"/>
  <c r="O19977" i="10"/>
  <c r="O19978" i="10"/>
  <c r="O19979" i="10"/>
  <c r="O19980" i="10"/>
  <c r="O19981" i="10"/>
  <c r="O19982" i="10"/>
  <c r="O19983" i="10"/>
  <c r="O19984" i="10"/>
  <c r="O19985" i="10"/>
  <c r="O19986" i="10"/>
  <c r="O19987" i="10"/>
  <c r="O19988" i="10"/>
  <c r="O19989" i="10"/>
  <c r="O19990" i="10"/>
  <c r="O19991" i="10"/>
  <c r="O19992" i="10"/>
  <c r="O19993" i="10"/>
  <c r="O19994" i="10"/>
  <c r="O19995" i="10"/>
  <c r="O19996" i="10"/>
  <c r="O19997" i="10"/>
  <c r="O19998" i="10"/>
  <c r="O19999" i="10"/>
  <c r="O20000" i="10"/>
  <c r="O20001" i="10"/>
  <c r="O20002" i="10"/>
  <c r="O20003" i="10"/>
  <c r="O20004" i="10"/>
  <c r="O20005" i="10"/>
  <c r="O20006" i="10"/>
  <c r="O20007" i="10"/>
  <c r="O20008" i="10"/>
  <c r="O20009" i="10"/>
  <c r="O20010" i="10"/>
  <c r="O20011" i="10"/>
  <c r="O20012" i="10"/>
  <c r="O20013" i="10"/>
  <c r="O20014" i="10"/>
  <c r="O20015" i="10"/>
  <c r="O20016" i="10"/>
  <c r="O20017" i="10"/>
  <c r="O20018" i="10"/>
  <c r="O20019" i="10"/>
  <c r="O20020" i="10"/>
  <c r="O20021" i="10"/>
  <c r="O20022" i="10"/>
  <c r="O20023" i="10"/>
  <c r="O20024" i="10"/>
  <c r="O20025" i="10"/>
  <c r="O20026" i="10"/>
  <c r="O20027" i="10"/>
  <c r="O20028" i="10"/>
  <c r="O20029" i="10"/>
  <c r="O20030" i="10"/>
  <c r="O20031" i="10"/>
  <c r="O20032" i="10"/>
  <c r="O20033" i="10"/>
  <c r="O20034" i="10"/>
  <c r="O20035" i="10"/>
  <c r="O20036" i="10"/>
  <c r="O20037" i="10"/>
  <c r="O20038" i="10"/>
  <c r="O20039" i="10"/>
  <c r="O20040" i="10"/>
  <c r="O20041" i="10"/>
  <c r="O20042" i="10"/>
  <c r="O20043" i="10"/>
  <c r="O20044" i="10"/>
  <c r="O20045" i="10"/>
  <c r="O20046" i="10"/>
  <c r="O20047" i="10"/>
  <c r="O20048" i="10"/>
  <c r="O20049" i="10"/>
  <c r="O20050" i="10"/>
  <c r="O20051" i="10"/>
  <c r="O20052" i="10"/>
  <c r="O20053" i="10"/>
  <c r="O20054" i="10"/>
  <c r="O20055" i="10"/>
  <c r="O20056" i="10"/>
  <c r="O20057" i="10"/>
  <c r="O20058" i="10"/>
  <c r="O20059" i="10"/>
  <c r="O20060" i="10"/>
  <c r="O20061" i="10"/>
  <c r="O20062" i="10"/>
  <c r="O20063" i="10"/>
  <c r="O20064" i="10"/>
  <c r="O20065" i="10"/>
  <c r="O20066" i="10"/>
  <c r="O20067" i="10"/>
  <c r="O20068" i="10"/>
  <c r="O20069" i="10"/>
  <c r="O20070" i="10"/>
  <c r="O20071" i="10"/>
  <c r="O20072" i="10"/>
  <c r="O20073" i="10"/>
  <c r="O20074" i="10"/>
  <c r="O20075" i="10"/>
  <c r="O20076" i="10"/>
  <c r="O20077" i="10"/>
  <c r="O20078" i="10"/>
  <c r="O20079" i="10"/>
  <c r="O20080" i="10"/>
  <c r="O20081" i="10"/>
  <c r="O20082" i="10"/>
  <c r="O20083" i="10"/>
  <c r="O20084" i="10"/>
  <c r="O20085" i="10"/>
  <c r="O20086" i="10"/>
  <c r="O20087" i="10"/>
  <c r="O20088" i="10"/>
  <c r="O20089" i="10"/>
  <c r="O20090" i="10"/>
  <c r="O20091" i="10"/>
  <c r="O20092" i="10"/>
  <c r="O20093" i="10"/>
  <c r="O20094" i="10"/>
  <c r="O20095" i="10"/>
  <c r="O20096" i="10"/>
  <c r="O20097" i="10"/>
  <c r="O20098" i="10"/>
  <c r="O20099" i="10"/>
  <c r="O20100" i="10"/>
  <c r="O20101" i="10"/>
  <c r="O20102" i="10"/>
  <c r="O20103" i="10"/>
  <c r="O20104" i="10"/>
  <c r="O20105" i="10"/>
  <c r="O20106" i="10"/>
  <c r="O20107" i="10"/>
  <c r="O20108" i="10"/>
  <c r="O20109" i="10"/>
  <c r="O20110" i="10"/>
  <c r="O20111" i="10"/>
  <c r="O20112" i="10"/>
  <c r="O20113" i="10"/>
  <c r="O20114" i="10"/>
  <c r="O20115" i="10"/>
  <c r="O20116" i="10"/>
  <c r="O20117" i="10"/>
  <c r="O20118" i="10"/>
  <c r="O20119" i="10"/>
  <c r="O20120" i="10"/>
  <c r="O20121" i="10"/>
  <c r="O20122" i="10"/>
  <c r="O20123" i="10"/>
  <c r="O20124" i="10"/>
  <c r="O20125" i="10"/>
  <c r="O20126" i="10"/>
  <c r="O20127" i="10"/>
  <c r="O20128" i="10"/>
  <c r="O20129" i="10"/>
  <c r="O20130" i="10"/>
  <c r="O20131" i="10"/>
  <c r="O20132" i="10"/>
  <c r="O20133" i="10"/>
  <c r="O20134" i="10"/>
  <c r="O20135" i="10"/>
  <c r="O20136" i="10"/>
  <c r="O20137" i="10"/>
  <c r="O20138" i="10"/>
  <c r="O20139" i="10"/>
  <c r="O20140" i="10"/>
  <c r="O20141" i="10"/>
  <c r="O20142" i="10"/>
  <c r="O20143" i="10"/>
  <c r="O20144" i="10"/>
  <c r="O20145" i="10"/>
  <c r="O20146" i="10"/>
  <c r="O20147" i="10"/>
  <c r="O20148" i="10"/>
  <c r="O20149" i="10"/>
  <c r="O20150" i="10"/>
  <c r="O20151" i="10"/>
  <c r="O20152" i="10"/>
  <c r="O20153" i="10"/>
  <c r="O20154" i="10"/>
  <c r="O20155" i="10"/>
  <c r="O20156" i="10"/>
  <c r="O20157" i="10"/>
  <c r="O20158" i="10"/>
  <c r="O20159" i="10"/>
  <c r="O20160" i="10"/>
  <c r="O20161" i="10"/>
  <c r="O20162" i="10"/>
  <c r="O20163" i="10"/>
  <c r="O20164" i="10"/>
  <c r="O20165" i="10"/>
  <c r="O20166" i="10"/>
  <c r="O20167" i="10"/>
  <c r="O20168" i="10"/>
  <c r="O20169" i="10"/>
  <c r="O20170" i="10"/>
  <c r="O20171" i="10"/>
  <c r="O20172" i="10"/>
  <c r="O20173" i="10"/>
  <c r="O20174" i="10"/>
  <c r="O20175" i="10"/>
  <c r="O20176" i="10"/>
  <c r="O20177" i="10"/>
  <c r="O20178" i="10"/>
  <c r="O20179" i="10"/>
  <c r="O20180" i="10"/>
  <c r="O20181" i="10"/>
  <c r="O20182" i="10"/>
  <c r="O20183" i="10"/>
  <c r="O20184" i="10"/>
  <c r="O20185" i="10"/>
  <c r="O20186" i="10"/>
  <c r="O20187" i="10"/>
  <c r="O20188" i="10"/>
  <c r="O20189" i="10"/>
  <c r="O20190" i="10"/>
  <c r="O20191" i="10"/>
  <c r="O20192" i="10"/>
  <c r="O20193" i="10"/>
  <c r="O20194" i="10"/>
  <c r="O20195" i="10"/>
  <c r="O20196" i="10"/>
  <c r="O20197" i="10"/>
  <c r="O20198" i="10"/>
  <c r="O20199" i="10"/>
  <c r="O20200" i="10"/>
  <c r="O20201" i="10"/>
  <c r="O20202" i="10"/>
  <c r="O20203" i="10"/>
  <c r="O20204" i="10"/>
  <c r="O20205" i="10"/>
  <c r="O20206" i="10"/>
  <c r="O20207" i="10"/>
  <c r="O20208" i="10"/>
  <c r="O20209" i="10"/>
  <c r="O20210" i="10"/>
  <c r="O20211" i="10"/>
  <c r="O20212" i="10"/>
  <c r="O20213" i="10"/>
  <c r="O20214" i="10"/>
  <c r="O20215" i="10"/>
  <c r="O20216" i="10"/>
  <c r="O20217" i="10"/>
  <c r="O20218" i="10"/>
  <c r="O20219" i="10"/>
  <c r="O20220" i="10"/>
  <c r="O20221" i="10"/>
  <c r="O20222" i="10"/>
  <c r="O20223" i="10"/>
  <c r="O20224" i="10"/>
  <c r="O20225" i="10"/>
  <c r="O20226" i="10"/>
  <c r="O20227" i="10"/>
  <c r="O20228" i="10"/>
  <c r="O20229" i="10"/>
  <c r="O20230" i="10"/>
  <c r="O20231" i="10"/>
  <c r="O20232" i="10"/>
  <c r="O20233" i="10"/>
  <c r="O20234" i="10"/>
  <c r="O20235" i="10"/>
  <c r="O20236" i="10"/>
  <c r="O20237" i="10"/>
  <c r="O20238" i="10"/>
  <c r="O20239" i="10"/>
  <c r="O20240" i="10"/>
  <c r="O20241" i="10"/>
  <c r="O20242" i="10"/>
  <c r="O20243" i="10"/>
  <c r="O20244" i="10"/>
  <c r="O20245" i="10"/>
  <c r="O20246" i="10"/>
  <c r="O20247" i="10"/>
  <c r="O20248" i="10"/>
  <c r="O20249" i="10"/>
  <c r="O20250" i="10"/>
  <c r="O20251" i="10"/>
  <c r="O20252" i="10"/>
  <c r="O20253" i="10"/>
  <c r="O20254" i="10"/>
  <c r="O20255" i="10"/>
  <c r="O20256" i="10"/>
  <c r="O20257" i="10"/>
  <c r="O20258" i="10"/>
  <c r="O20259" i="10"/>
  <c r="O20260" i="10"/>
  <c r="O20261" i="10"/>
  <c r="O20262" i="10"/>
  <c r="O20263" i="10"/>
  <c r="O20264" i="10"/>
  <c r="O20265" i="10"/>
  <c r="O20266" i="10"/>
  <c r="O20267" i="10"/>
  <c r="O20268" i="10"/>
  <c r="O20269" i="10"/>
  <c r="O20270" i="10"/>
  <c r="O20271" i="10"/>
  <c r="O20272" i="10"/>
  <c r="O20273" i="10"/>
  <c r="O20274" i="10"/>
  <c r="O20275" i="10"/>
  <c r="O20276" i="10"/>
  <c r="O20277" i="10"/>
  <c r="O20278" i="10"/>
  <c r="O20279" i="10"/>
  <c r="O20280" i="10"/>
  <c r="O20281" i="10"/>
  <c r="O20282" i="10"/>
  <c r="O20283" i="10"/>
  <c r="O20284" i="10"/>
  <c r="O20285" i="10"/>
  <c r="O20286" i="10"/>
  <c r="O20287" i="10"/>
  <c r="O20288" i="10"/>
  <c r="O20289" i="10"/>
  <c r="O20290" i="10"/>
  <c r="O20291" i="10"/>
  <c r="O20292" i="10"/>
  <c r="O20293" i="10"/>
  <c r="O20294" i="10"/>
  <c r="O20295" i="10"/>
  <c r="O20296" i="10"/>
  <c r="O20297" i="10"/>
  <c r="O20298" i="10"/>
  <c r="O20299" i="10"/>
  <c r="O20300" i="10"/>
  <c r="O20301" i="10"/>
  <c r="O20302" i="10"/>
  <c r="O20303" i="10"/>
  <c r="O20304" i="10"/>
  <c r="O20305" i="10"/>
  <c r="O20306" i="10"/>
  <c r="O20307" i="10"/>
  <c r="O20308" i="10"/>
  <c r="O20309" i="10"/>
  <c r="O20310" i="10"/>
  <c r="O20311" i="10"/>
  <c r="O20312" i="10"/>
  <c r="O20313" i="10"/>
  <c r="O20314" i="10"/>
  <c r="O20315" i="10"/>
  <c r="O20316" i="10"/>
  <c r="O20317" i="10"/>
  <c r="O20318" i="10"/>
  <c r="O20319" i="10"/>
  <c r="O20320" i="10"/>
  <c r="O20321" i="10"/>
  <c r="O20322" i="10"/>
  <c r="O20323" i="10"/>
  <c r="O20324" i="10"/>
  <c r="O20325" i="10"/>
  <c r="O20326" i="10"/>
  <c r="O20327" i="10"/>
  <c r="O20328" i="10"/>
  <c r="O20329" i="10"/>
  <c r="O20330" i="10"/>
  <c r="O20331" i="10"/>
  <c r="O20332" i="10"/>
  <c r="O20333" i="10"/>
  <c r="O20334" i="10"/>
  <c r="O20335" i="10"/>
  <c r="O20336" i="10"/>
  <c r="O20337" i="10"/>
  <c r="O20338" i="10"/>
  <c r="O20339" i="10"/>
  <c r="O20340" i="10"/>
  <c r="O20341" i="10"/>
  <c r="O20342" i="10"/>
  <c r="O20343" i="10"/>
  <c r="O20344" i="10"/>
  <c r="O20345" i="10"/>
  <c r="O20346" i="10"/>
  <c r="O20347" i="10"/>
  <c r="O20348" i="10"/>
  <c r="O20349" i="10"/>
  <c r="O20350" i="10"/>
  <c r="O20351" i="10"/>
  <c r="O20352" i="10"/>
  <c r="O20353" i="10"/>
  <c r="O20354" i="10"/>
  <c r="O20355" i="10"/>
  <c r="O20356" i="10"/>
  <c r="O20357" i="10"/>
  <c r="O20358" i="10"/>
  <c r="O20359" i="10"/>
  <c r="O20360" i="10"/>
  <c r="O20361" i="10"/>
  <c r="O20362" i="10"/>
  <c r="O20363" i="10"/>
  <c r="O20364" i="10"/>
  <c r="O20365" i="10"/>
  <c r="O20366" i="10"/>
  <c r="O20367" i="10"/>
  <c r="O20368" i="10"/>
  <c r="O20369" i="10"/>
  <c r="O20370" i="10"/>
  <c r="O20371" i="10"/>
  <c r="O20372" i="10"/>
  <c r="O20373" i="10"/>
  <c r="O20374" i="10"/>
  <c r="O20375" i="10"/>
  <c r="O20376" i="10"/>
  <c r="O20377" i="10"/>
  <c r="O20378" i="10"/>
  <c r="O20379" i="10"/>
  <c r="O20380" i="10"/>
  <c r="O20381" i="10"/>
  <c r="O20382" i="10"/>
  <c r="O20383" i="10"/>
  <c r="O20384" i="10"/>
  <c r="O20385" i="10"/>
  <c r="O20386" i="10"/>
  <c r="O20387" i="10"/>
  <c r="O20388" i="10"/>
  <c r="O20389" i="10"/>
  <c r="O20390" i="10"/>
  <c r="O20391" i="10"/>
  <c r="O20392" i="10"/>
  <c r="O20393" i="10"/>
  <c r="O20394" i="10"/>
  <c r="O20395" i="10"/>
  <c r="O20396" i="10"/>
  <c r="O20397" i="10"/>
  <c r="O20398" i="10"/>
  <c r="O20399" i="10"/>
  <c r="O20400" i="10"/>
  <c r="O20401" i="10"/>
  <c r="O20402" i="10"/>
  <c r="O20403" i="10"/>
  <c r="O20404" i="10"/>
  <c r="O20405" i="10"/>
  <c r="O20406" i="10"/>
  <c r="O20407" i="10"/>
  <c r="O20408" i="10"/>
  <c r="O20409" i="10"/>
  <c r="O20410" i="10"/>
  <c r="O20411" i="10"/>
  <c r="O20412" i="10"/>
  <c r="O20413" i="10"/>
  <c r="O20414" i="10"/>
  <c r="O20415" i="10"/>
  <c r="O20416" i="10"/>
  <c r="O20417" i="10"/>
  <c r="O20418" i="10"/>
  <c r="O20419" i="10"/>
  <c r="O20420" i="10"/>
  <c r="O20421" i="10"/>
  <c r="O20422" i="10"/>
  <c r="O20423" i="10"/>
  <c r="O20424" i="10"/>
  <c r="O20425" i="10"/>
  <c r="O20426" i="10"/>
  <c r="O20427" i="10"/>
  <c r="O20428" i="10"/>
  <c r="O20429" i="10"/>
  <c r="O20430" i="10"/>
  <c r="O20431" i="10"/>
  <c r="O20432" i="10"/>
  <c r="O20433" i="10"/>
  <c r="O20434" i="10"/>
  <c r="O20435" i="10"/>
  <c r="O20436" i="10"/>
  <c r="O20437" i="10"/>
  <c r="O20438" i="10"/>
  <c r="O20439" i="10"/>
  <c r="O20440" i="10"/>
  <c r="O20441" i="10"/>
  <c r="O20442" i="10"/>
  <c r="O20443" i="10"/>
  <c r="O20444" i="10"/>
  <c r="O20445" i="10"/>
  <c r="O20446" i="10"/>
  <c r="O20447" i="10"/>
  <c r="O20448" i="10"/>
  <c r="O20449" i="10"/>
  <c r="O20450" i="10"/>
  <c r="O20451" i="10"/>
  <c r="O20452" i="10"/>
  <c r="O20453" i="10"/>
  <c r="O20454" i="10"/>
  <c r="O20455" i="10"/>
  <c r="O20456" i="10"/>
  <c r="O20457" i="10"/>
  <c r="O20458" i="10"/>
  <c r="O20459" i="10"/>
  <c r="O20460" i="10"/>
  <c r="O20461" i="10"/>
  <c r="O20462" i="10"/>
  <c r="O20463" i="10"/>
  <c r="O20464" i="10"/>
  <c r="O20465" i="10"/>
  <c r="O20466" i="10"/>
  <c r="O20467" i="10"/>
  <c r="O20468" i="10"/>
  <c r="O20469" i="10"/>
  <c r="O20470" i="10"/>
  <c r="O20471" i="10"/>
  <c r="O20472" i="10"/>
  <c r="O20473" i="10"/>
  <c r="O20474" i="10"/>
  <c r="O20475" i="10"/>
  <c r="O20476" i="10"/>
  <c r="O20477" i="10"/>
  <c r="O20478" i="10"/>
  <c r="O20479" i="10"/>
  <c r="O20480" i="10"/>
  <c r="O20481" i="10"/>
  <c r="O20482" i="10"/>
  <c r="O20483" i="10"/>
  <c r="O20484" i="10"/>
  <c r="O20485" i="10"/>
  <c r="O20486" i="10"/>
  <c r="O20487" i="10"/>
  <c r="O20488" i="10"/>
  <c r="O20489" i="10"/>
  <c r="O20490" i="10"/>
  <c r="O20491" i="10"/>
  <c r="O20492" i="10"/>
  <c r="O20493" i="10"/>
  <c r="O20494" i="10"/>
  <c r="O20495" i="10"/>
  <c r="O20496" i="10"/>
  <c r="O20497" i="10"/>
  <c r="O20498" i="10"/>
  <c r="O20499" i="10"/>
  <c r="O20500" i="10"/>
  <c r="O20501" i="10"/>
  <c r="O20502" i="10"/>
  <c r="O20503" i="10"/>
  <c r="O20504" i="10"/>
  <c r="O20505" i="10"/>
  <c r="O20506" i="10"/>
  <c r="O20507" i="10"/>
  <c r="O20508" i="10"/>
  <c r="O20509" i="10"/>
  <c r="O20510" i="10"/>
  <c r="O20511" i="10"/>
  <c r="O20512" i="10"/>
  <c r="O20513" i="10"/>
  <c r="O20514" i="10"/>
  <c r="O20515" i="10"/>
  <c r="O20516" i="10"/>
  <c r="O20517" i="10"/>
  <c r="O20518" i="10"/>
  <c r="O20519" i="10"/>
  <c r="O20520" i="10"/>
  <c r="O20521" i="10"/>
  <c r="O20522" i="10"/>
  <c r="O20523" i="10"/>
  <c r="O20524" i="10"/>
  <c r="O20525" i="10"/>
  <c r="O20526" i="10"/>
  <c r="O20527" i="10"/>
  <c r="O20528" i="10"/>
  <c r="O20529" i="10"/>
  <c r="O20530" i="10"/>
  <c r="O20531" i="10"/>
  <c r="O20532" i="10"/>
  <c r="O20533" i="10"/>
  <c r="O20534" i="10"/>
  <c r="O20535" i="10"/>
  <c r="O20536" i="10"/>
  <c r="O20537" i="10"/>
  <c r="O20538" i="10"/>
  <c r="O20539" i="10"/>
  <c r="O20540" i="10"/>
  <c r="O20541" i="10"/>
  <c r="O20542" i="10"/>
  <c r="O20543" i="10"/>
  <c r="O20544" i="10"/>
  <c r="O20545" i="10"/>
  <c r="O20546" i="10"/>
  <c r="O20547" i="10"/>
  <c r="O20548" i="10"/>
  <c r="O20549" i="10"/>
  <c r="O20550" i="10"/>
  <c r="O20551" i="10"/>
  <c r="O20552" i="10"/>
  <c r="O20553" i="10"/>
  <c r="O20554" i="10"/>
  <c r="O20555" i="10"/>
  <c r="O20556" i="10"/>
  <c r="O20557" i="10"/>
  <c r="O20558" i="10"/>
  <c r="O20559" i="10"/>
  <c r="O20560" i="10"/>
  <c r="O20561" i="10"/>
  <c r="O20562" i="10"/>
  <c r="O20563" i="10"/>
  <c r="O20564" i="10"/>
  <c r="O20565" i="10"/>
  <c r="O20566" i="10"/>
  <c r="O20567" i="10"/>
  <c r="O20568" i="10"/>
  <c r="O20569" i="10"/>
  <c r="O20570" i="10"/>
  <c r="O20571" i="10"/>
  <c r="O20572" i="10"/>
  <c r="O20573" i="10"/>
  <c r="O20574" i="10"/>
  <c r="O20575" i="10"/>
  <c r="O20576" i="10"/>
  <c r="O20577" i="10"/>
  <c r="O20578" i="10"/>
  <c r="O20579" i="10"/>
  <c r="O20580" i="10"/>
  <c r="O20581" i="10"/>
  <c r="O20582" i="10"/>
  <c r="O20583" i="10"/>
  <c r="O20584" i="10"/>
  <c r="O20585" i="10"/>
  <c r="O20586" i="10"/>
  <c r="O20587" i="10"/>
  <c r="O20588" i="10"/>
  <c r="O20589" i="10"/>
  <c r="O20590" i="10"/>
  <c r="O20591" i="10"/>
  <c r="O20592" i="10"/>
  <c r="O20593" i="10"/>
  <c r="O20594" i="10"/>
  <c r="O20595" i="10"/>
  <c r="O20596" i="10"/>
  <c r="O20597" i="10"/>
  <c r="O20598" i="10"/>
  <c r="O20599" i="10"/>
  <c r="O20600" i="10"/>
  <c r="O20601" i="10"/>
  <c r="O20602" i="10"/>
  <c r="O20603" i="10"/>
  <c r="O20604" i="10"/>
  <c r="O20605" i="10"/>
  <c r="O20606" i="10"/>
  <c r="O20607" i="10"/>
  <c r="O20608" i="10"/>
  <c r="O20609" i="10"/>
  <c r="O20610" i="10"/>
  <c r="O20611" i="10"/>
  <c r="O20612" i="10"/>
  <c r="O20613" i="10"/>
  <c r="O20614" i="10"/>
  <c r="O20615" i="10"/>
  <c r="O20616" i="10"/>
  <c r="O20617" i="10"/>
  <c r="O20618" i="10"/>
  <c r="O20619" i="10"/>
  <c r="O20620" i="10"/>
  <c r="O20621" i="10"/>
  <c r="O20622" i="10"/>
  <c r="O20623" i="10"/>
  <c r="O20624" i="10"/>
  <c r="O20625" i="10"/>
  <c r="O20626" i="10"/>
  <c r="O20627" i="10"/>
  <c r="O20628" i="10"/>
  <c r="O20629" i="10"/>
  <c r="O20630" i="10"/>
  <c r="O20631" i="10"/>
  <c r="O20632" i="10"/>
  <c r="O20633" i="10"/>
  <c r="O20634" i="10"/>
  <c r="O20635" i="10"/>
  <c r="O20636" i="10"/>
  <c r="O20637" i="10"/>
  <c r="O20638" i="10"/>
  <c r="O20639" i="10"/>
  <c r="O20640" i="10"/>
  <c r="O20641" i="10"/>
  <c r="O20642" i="10"/>
  <c r="O20643" i="10"/>
  <c r="O20644" i="10"/>
  <c r="O20645" i="10"/>
  <c r="O20646" i="10"/>
  <c r="O20647" i="10"/>
  <c r="O20648" i="10"/>
  <c r="O20649" i="10"/>
  <c r="O20650" i="10"/>
  <c r="O20651" i="10"/>
  <c r="O20652" i="10"/>
  <c r="O20653" i="10"/>
  <c r="O20654" i="10"/>
  <c r="O20655" i="10"/>
  <c r="O20656" i="10"/>
  <c r="O20657" i="10"/>
  <c r="O20658" i="10"/>
  <c r="O20659" i="10"/>
  <c r="O20660" i="10"/>
  <c r="O20661" i="10"/>
  <c r="O20662" i="10"/>
  <c r="O20663" i="10"/>
  <c r="O20664" i="10"/>
  <c r="O20665" i="10"/>
  <c r="O20666" i="10"/>
  <c r="O20667" i="10"/>
  <c r="O20668" i="10"/>
  <c r="O20669" i="10"/>
  <c r="O20670" i="10"/>
  <c r="O20671" i="10"/>
  <c r="O20672" i="10"/>
  <c r="O20673" i="10"/>
  <c r="O20674" i="10"/>
  <c r="O20675" i="10"/>
  <c r="O20676" i="10"/>
  <c r="O20677" i="10"/>
  <c r="O20678" i="10"/>
  <c r="O20679" i="10"/>
  <c r="O20680" i="10"/>
  <c r="O20681" i="10"/>
  <c r="O20682" i="10"/>
  <c r="O20683" i="10"/>
  <c r="O20684" i="10"/>
  <c r="O20685" i="10"/>
  <c r="O20686" i="10"/>
  <c r="O20687" i="10"/>
  <c r="O20688" i="10"/>
  <c r="O20689" i="10"/>
  <c r="O20690" i="10"/>
  <c r="O20691" i="10"/>
  <c r="O20692" i="10"/>
  <c r="O20693" i="10"/>
  <c r="O20694" i="10"/>
  <c r="O20695" i="10"/>
  <c r="O20696" i="10"/>
  <c r="O20697" i="10"/>
  <c r="O20698" i="10"/>
  <c r="O20699" i="10"/>
  <c r="O20700" i="10"/>
  <c r="O20701" i="10"/>
  <c r="O20702" i="10"/>
  <c r="O20703" i="10"/>
  <c r="O20704" i="10"/>
  <c r="O20705" i="10"/>
  <c r="O20706" i="10"/>
  <c r="O20707" i="10"/>
  <c r="O20708" i="10"/>
  <c r="O20709" i="10"/>
  <c r="O20710" i="10"/>
  <c r="O20711" i="10"/>
  <c r="O20712" i="10"/>
  <c r="O20713" i="10"/>
  <c r="O20714" i="10"/>
  <c r="O20715" i="10"/>
  <c r="O20716" i="10"/>
  <c r="O20717" i="10"/>
  <c r="O20718" i="10"/>
  <c r="O20719" i="10"/>
  <c r="O20720" i="10"/>
  <c r="O20721" i="10"/>
  <c r="O20722" i="10"/>
  <c r="O20723" i="10"/>
  <c r="O20724" i="10"/>
  <c r="O20725" i="10"/>
  <c r="O20726" i="10"/>
  <c r="O20727" i="10"/>
  <c r="O20728" i="10"/>
  <c r="O20729" i="10"/>
  <c r="O20730" i="10"/>
  <c r="O20731" i="10"/>
  <c r="O20732" i="10"/>
  <c r="O20733" i="10"/>
  <c r="O20734" i="10"/>
  <c r="O20735" i="10"/>
  <c r="O20736" i="10"/>
  <c r="O20737" i="10"/>
  <c r="O20738" i="10"/>
  <c r="O20739" i="10"/>
  <c r="O20740" i="10"/>
  <c r="O20741" i="10"/>
  <c r="O20742" i="10"/>
  <c r="O20743" i="10"/>
  <c r="O20744" i="10"/>
  <c r="O20745" i="10"/>
  <c r="O20746" i="10"/>
  <c r="O20747" i="10"/>
  <c r="O20748" i="10"/>
  <c r="O20749" i="10"/>
  <c r="O20750" i="10"/>
  <c r="O20751" i="10"/>
  <c r="O20752" i="10"/>
  <c r="O20753" i="10"/>
  <c r="O20754" i="10"/>
  <c r="O20755" i="10"/>
  <c r="O20756" i="10"/>
  <c r="O20757" i="10"/>
  <c r="O20758" i="10"/>
  <c r="O20759" i="10"/>
  <c r="O20760" i="10"/>
  <c r="O20761" i="10"/>
  <c r="O20762" i="10"/>
  <c r="O20763" i="10"/>
  <c r="O20764" i="10"/>
  <c r="O20765" i="10"/>
  <c r="O20766" i="10"/>
  <c r="O20767" i="10"/>
  <c r="O20768" i="10"/>
  <c r="O20769" i="10"/>
  <c r="O20770" i="10"/>
  <c r="O20771" i="10"/>
  <c r="O20772" i="10"/>
  <c r="O20773" i="10"/>
  <c r="O20774" i="10"/>
  <c r="O20775" i="10"/>
  <c r="O20776" i="10"/>
  <c r="O20777" i="10"/>
  <c r="O20778" i="10"/>
  <c r="O20779" i="10"/>
  <c r="O20780" i="10"/>
  <c r="O20781" i="10"/>
  <c r="O20782" i="10"/>
  <c r="O20783" i="10"/>
  <c r="O20784" i="10"/>
  <c r="O20785" i="10"/>
  <c r="O20786" i="10"/>
  <c r="O20787" i="10"/>
  <c r="O20788" i="10"/>
  <c r="O20789" i="10"/>
  <c r="O20790" i="10"/>
  <c r="O20791" i="10"/>
  <c r="O20792" i="10"/>
  <c r="O20793" i="10"/>
  <c r="O20794" i="10"/>
  <c r="O20795" i="10"/>
  <c r="O20796" i="10"/>
  <c r="O20797" i="10"/>
  <c r="O20798" i="10"/>
  <c r="O20799" i="10"/>
  <c r="O20800" i="10"/>
  <c r="O20801" i="10"/>
  <c r="O20802" i="10"/>
  <c r="O20803" i="10"/>
  <c r="O20804" i="10"/>
  <c r="O20805" i="10"/>
  <c r="O20806" i="10"/>
  <c r="O20807" i="10"/>
  <c r="O20808" i="10"/>
  <c r="O20809" i="10"/>
  <c r="O20810" i="10"/>
  <c r="O20811" i="10"/>
  <c r="O20812" i="10"/>
  <c r="O20813" i="10"/>
  <c r="O20814" i="10"/>
  <c r="O20815" i="10"/>
  <c r="O20816" i="10"/>
  <c r="O20817" i="10"/>
  <c r="O20818" i="10"/>
  <c r="O20819" i="10"/>
  <c r="O20820" i="10"/>
  <c r="O20821" i="10"/>
  <c r="O20822" i="10"/>
  <c r="O20823" i="10"/>
  <c r="O20824" i="10"/>
  <c r="O20825" i="10"/>
  <c r="O20826" i="10"/>
  <c r="O20827" i="10"/>
  <c r="O20828" i="10"/>
  <c r="O20829" i="10"/>
  <c r="O20830" i="10"/>
  <c r="O20831" i="10"/>
  <c r="O20832" i="10"/>
  <c r="O20833" i="10"/>
  <c r="O20834" i="10"/>
  <c r="O20835" i="10"/>
  <c r="O20836" i="10"/>
  <c r="O20837" i="10"/>
  <c r="O20838" i="10"/>
  <c r="O20839" i="10"/>
  <c r="O20840" i="10"/>
  <c r="O20841" i="10"/>
  <c r="O20842" i="10"/>
  <c r="O20843" i="10"/>
  <c r="O20844" i="10"/>
  <c r="O20845" i="10"/>
  <c r="O20846" i="10"/>
  <c r="O20847" i="10"/>
  <c r="O20848" i="10"/>
  <c r="O20849" i="10"/>
  <c r="O20850" i="10"/>
  <c r="O20851" i="10"/>
  <c r="O20852" i="10"/>
  <c r="O20853" i="10"/>
  <c r="O20854" i="10"/>
  <c r="O20855" i="10"/>
  <c r="O20856" i="10"/>
  <c r="O20857" i="10"/>
  <c r="O20858" i="10"/>
  <c r="O20859" i="10"/>
  <c r="O20860" i="10"/>
  <c r="O20861" i="10"/>
  <c r="O20862" i="10"/>
  <c r="O20863" i="10"/>
  <c r="O20864" i="10"/>
  <c r="O20865" i="10"/>
  <c r="O20866" i="10"/>
  <c r="O20867" i="10"/>
  <c r="O20868" i="10"/>
  <c r="O20869" i="10"/>
  <c r="O20870" i="10"/>
  <c r="O20871" i="10"/>
  <c r="O20872" i="10"/>
  <c r="O20873" i="10"/>
  <c r="O20874" i="10"/>
  <c r="O20875" i="10"/>
  <c r="O20876" i="10"/>
  <c r="O20877" i="10"/>
  <c r="O20878" i="10"/>
  <c r="O20879" i="10"/>
  <c r="O20880" i="10"/>
  <c r="O20881" i="10"/>
  <c r="O20882" i="10"/>
  <c r="O20883" i="10"/>
  <c r="O20884" i="10"/>
  <c r="O20885" i="10"/>
  <c r="O20886" i="10"/>
  <c r="O20887" i="10"/>
  <c r="O20888" i="10"/>
  <c r="O20889" i="10"/>
  <c r="O20890" i="10"/>
  <c r="O20891" i="10"/>
  <c r="O20892" i="10"/>
  <c r="O20893" i="10"/>
  <c r="O20894" i="10"/>
  <c r="O20895" i="10"/>
  <c r="O20896" i="10"/>
  <c r="O20897" i="10"/>
  <c r="O20898" i="10"/>
  <c r="O20899" i="10"/>
  <c r="O20900" i="10"/>
  <c r="O20901" i="10"/>
  <c r="O20902" i="10"/>
  <c r="O20903" i="10"/>
  <c r="O20904" i="10"/>
  <c r="O20905" i="10"/>
  <c r="O20906" i="10"/>
  <c r="O20907" i="10"/>
  <c r="O20908" i="10"/>
  <c r="O20909" i="10"/>
  <c r="O20910" i="10"/>
  <c r="O20911" i="10"/>
  <c r="O20912" i="10"/>
  <c r="O20913" i="10"/>
  <c r="O20914" i="10"/>
  <c r="O20915" i="10"/>
  <c r="O20916" i="10"/>
  <c r="O20917" i="10"/>
  <c r="O20918" i="10"/>
  <c r="O20919" i="10"/>
  <c r="O20920" i="10"/>
  <c r="O20921" i="10"/>
  <c r="O20922" i="10"/>
  <c r="O20923" i="10"/>
  <c r="O20924" i="10"/>
  <c r="O20925" i="10"/>
  <c r="O20926" i="10"/>
  <c r="O20927" i="10"/>
  <c r="O20928" i="10"/>
  <c r="O20929" i="10"/>
  <c r="O20930" i="10"/>
  <c r="O20931" i="10"/>
  <c r="O20932" i="10"/>
  <c r="O20933" i="10"/>
  <c r="O20934" i="10"/>
  <c r="O20935" i="10"/>
  <c r="O20936" i="10"/>
  <c r="O20937" i="10"/>
  <c r="O20938" i="10"/>
  <c r="O20939" i="10"/>
  <c r="O20940" i="10"/>
  <c r="O20941" i="10"/>
  <c r="O20942" i="10"/>
  <c r="O20943" i="10"/>
  <c r="O20944" i="10"/>
  <c r="O20945" i="10"/>
  <c r="O20946" i="10"/>
  <c r="O20947" i="10"/>
  <c r="O20948" i="10"/>
  <c r="O20949" i="10"/>
  <c r="O20950" i="10"/>
  <c r="O20951" i="10"/>
  <c r="O20952" i="10"/>
  <c r="O20953" i="10"/>
  <c r="O20954" i="10"/>
  <c r="O20955" i="10"/>
  <c r="O20956" i="10"/>
  <c r="O20957" i="10"/>
  <c r="O20958" i="10"/>
  <c r="O20959" i="10"/>
  <c r="O20960" i="10"/>
  <c r="O20961" i="10"/>
  <c r="O20962" i="10"/>
  <c r="O20963" i="10"/>
  <c r="O20964" i="10"/>
  <c r="O20965" i="10"/>
  <c r="O20966" i="10"/>
  <c r="O20967" i="10"/>
  <c r="O20968" i="10"/>
  <c r="O20969" i="10"/>
  <c r="O20970" i="10"/>
  <c r="O20971" i="10"/>
  <c r="O20972" i="10"/>
  <c r="O20973" i="10"/>
  <c r="O20974" i="10"/>
  <c r="O20975" i="10"/>
  <c r="O20976" i="10"/>
  <c r="O20977" i="10"/>
  <c r="O20978" i="10"/>
  <c r="O20979" i="10"/>
  <c r="O20980" i="10"/>
  <c r="O20981" i="10"/>
  <c r="O20982" i="10"/>
  <c r="O20983" i="10"/>
  <c r="O20984" i="10"/>
  <c r="O20985" i="10"/>
  <c r="O20986" i="10"/>
  <c r="O20987" i="10"/>
  <c r="O20988" i="10"/>
  <c r="O20989" i="10"/>
  <c r="O20990" i="10"/>
  <c r="O20991" i="10"/>
  <c r="O20992" i="10"/>
  <c r="O20993" i="10"/>
  <c r="O20994" i="10"/>
  <c r="O20995" i="10"/>
  <c r="O20996" i="10"/>
  <c r="O20997" i="10"/>
  <c r="O20998" i="10"/>
  <c r="O20999" i="10"/>
  <c r="O21000" i="10"/>
  <c r="O21001" i="10"/>
  <c r="O21002" i="10"/>
  <c r="O21003" i="10"/>
  <c r="O21004" i="10"/>
  <c r="O21005" i="10"/>
  <c r="O21006" i="10"/>
  <c r="O21007" i="10"/>
  <c r="O21008" i="10"/>
  <c r="O21009" i="10"/>
  <c r="O21010" i="10"/>
  <c r="O21011" i="10"/>
  <c r="O21012" i="10"/>
  <c r="O21013" i="10"/>
  <c r="O21014" i="10"/>
  <c r="O21015" i="10"/>
  <c r="O21016" i="10"/>
  <c r="O21017" i="10"/>
  <c r="O21018" i="10"/>
  <c r="O21019" i="10"/>
  <c r="O21020" i="10"/>
  <c r="O21021" i="10"/>
  <c r="O21022" i="10"/>
  <c r="O21023" i="10"/>
  <c r="O21024" i="10"/>
  <c r="O21025" i="10"/>
  <c r="O21026" i="10"/>
  <c r="O21027" i="10"/>
  <c r="O21028" i="10"/>
  <c r="O21029" i="10"/>
  <c r="O21030" i="10"/>
  <c r="O21031" i="10"/>
  <c r="O21032" i="10"/>
  <c r="O21033" i="10"/>
  <c r="O21034" i="10"/>
  <c r="O21035" i="10"/>
  <c r="O21036" i="10"/>
  <c r="O21037" i="10"/>
  <c r="O21038" i="10"/>
  <c r="O21039" i="10"/>
  <c r="O21040" i="10"/>
  <c r="O21041" i="10"/>
  <c r="O21042" i="10"/>
  <c r="O21043" i="10"/>
  <c r="O21044" i="10"/>
  <c r="O21045" i="10"/>
  <c r="O21046" i="10"/>
  <c r="O21047" i="10"/>
  <c r="O21048" i="10"/>
  <c r="O21049" i="10"/>
  <c r="O21050" i="10"/>
  <c r="O21051" i="10"/>
  <c r="O21052" i="10"/>
  <c r="O21053" i="10"/>
  <c r="O21054" i="10"/>
  <c r="O21055" i="10"/>
  <c r="O21056" i="10"/>
  <c r="O21057" i="10"/>
  <c r="O21058" i="10"/>
  <c r="O21059" i="10"/>
  <c r="O21060" i="10"/>
  <c r="O21061" i="10"/>
  <c r="O21062" i="10"/>
  <c r="O21063" i="10"/>
  <c r="O21064" i="10"/>
  <c r="O21065" i="10"/>
  <c r="O21066" i="10"/>
  <c r="O21067" i="10"/>
  <c r="O21068" i="10"/>
  <c r="O21069" i="10"/>
  <c r="O21070" i="10"/>
  <c r="O21071" i="10"/>
  <c r="O21072" i="10"/>
  <c r="O21073" i="10"/>
  <c r="O21074" i="10"/>
  <c r="O21075" i="10"/>
  <c r="O21076" i="10"/>
  <c r="O21077" i="10"/>
  <c r="O21078" i="10"/>
  <c r="O21079" i="10"/>
  <c r="O21080" i="10"/>
  <c r="O21081" i="10"/>
  <c r="O21082" i="10"/>
  <c r="O21083" i="10"/>
  <c r="O21084" i="10"/>
  <c r="O21085" i="10"/>
  <c r="O21086" i="10"/>
  <c r="O21087" i="10"/>
  <c r="O21088" i="10"/>
  <c r="O21089" i="10"/>
  <c r="O21090" i="10"/>
  <c r="O21091" i="10"/>
  <c r="O21092" i="10"/>
  <c r="O21093" i="10"/>
  <c r="O21094" i="10"/>
  <c r="O21095" i="10"/>
  <c r="O21096" i="10"/>
  <c r="O21097" i="10"/>
  <c r="O21098" i="10"/>
  <c r="O21099" i="10"/>
  <c r="O21100" i="10"/>
  <c r="O21101" i="10"/>
  <c r="O21102" i="10"/>
  <c r="O21103" i="10"/>
  <c r="O21104" i="10"/>
  <c r="O21105" i="10"/>
  <c r="O21106" i="10"/>
  <c r="O21107" i="10"/>
  <c r="O21108" i="10"/>
  <c r="O21109" i="10"/>
  <c r="O21110" i="10"/>
  <c r="O21111" i="10"/>
  <c r="O21112" i="10"/>
  <c r="O21113" i="10"/>
  <c r="O21114" i="10"/>
  <c r="O21115" i="10"/>
  <c r="O21116" i="10"/>
  <c r="O21117" i="10"/>
  <c r="O21118" i="10"/>
  <c r="O21119" i="10"/>
  <c r="O21120" i="10"/>
  <c r="O21121" i="10"/>
  <c r="O21122" i="10"/>
  <c r="O21123" i="10"/>
  <c r="O21124" i="10"/>
  <c r="O21125" i="10"/>
  <c r="O21126" i="10"/>
  <c r="O21127" i="10"/>
  <c r="O21128" i="10"/>
  <c r="O21129" i="10"/>
  <c r="O21130" i="10"/>
  <c r="O21131" i="10"/>
  <c r="O21132" i="10"/>
  <c r="O21133" i="10"/>
  <c r="O21134" i="10"/>
  <c r="O21135" i="10"/>
  <c r="O21136" i="10"/>
  <c r="O21137" i="10"/>
  <c r="O21138" i="10"/>
  <c r="O21139" i="10"/>
  <c r="O21140" i="10"/>
  <c r="O21141" i="10"/>
  <c r="O21142" i="10"/>
  <c r="O21143" i="10"/>
  <c r="O21144" i="10"/>
  <c r="O21145" i="10"/>
  <c r="O21146" i="10"/>
  <c r="O21147" i="10"/>
  <c r="O21148" i="10"/>
  <c r="O21149" i="10"/>
  <c r="O21150" i="10"/>
  <c r="O21151" i="10"/>
  <c r="O21152" i="10"/>
  <c r="O21153" i="10"/>
  <c r="O21154" i="10"/>
  <c r="O21155" i="10"/>
  <c r="O21156" i="10"/>
  <c r="O21157" i="10"/>
  <c r="O21158" i="10"/>
  <c r="O21159" i="10"/>
  <c r="O21160" i="10"/>
  <c r="O21161" i="10"/>
  <c r="O21162" i="10"/>
  <c r="O21163" i="10"/>
  <c r="O21164" i="10"/>
  <c r="O21165" i="10"/>
  <c r="O21166" i="10"/>
  <c r="O21167" i="10"/>
  <c r="O21168" i="10"/>
  <c r="O21169" i="10"/>
  <c r="O21170" i="10"/>
  <c r="O21171" i="10"/>
  <c r="O21172" i="10"/>
  <c r="O21173" i="10"/>
  <c r="O21174" i="10"/>
  <c r="O21175" i="10"/>
  <c r="O21176" i="10"/>
  <c r="O21177" i="10"/>
  <c r="O21178" i="10"/>
  <c r="O21179" i="10"/>
  <c r="O21180" i="10"/>
  <c r="O21181" i="10"/>
  <c r="O21182" i="10"/>
  <c r="O21183" i="10"/>
  <c r="O21184" i="10"/>
  <c r="O21185" i="10"/>
  <c r="O21186" i="10"/>
  <c r="O21187" i="10"/>
  <c r="O21188" i="10"/>
  <c r="O21189" i="10"/>
  <c r="O21190" i="10"/>
  <c r="O21191" i="10"/>
  <c r="O21192" i="10"/>
  <c r="O21193" i="10"/>
  <c r="O21194" i="10"/>
  <c r="O21195" i="10"/>
  <c r="O21196" i="10"/>
  <c r="O21197" i="10"/>
  <c r="O21198" i="10"/>
  <c r="O21199" i="10"/>
  <c r="O21200" i="10"/>
  <c r="O21201" i="10"/>
  <c r="O21202" i="10"/>
  <c r="O21203" i="10"/>
  <c r="O21204" i="10"/>
  <c r="O21205" i="10"/>
  <c r="O21206" i="10"/>
  <c r="O21207" i="10"/>
  <c r="O21208" i="10"/>
  <c r="O21209" i="10"/>
  <c r="O21210" i="10"/>
  <c r="O21211" i="10"/>
  <c r="O21212" i="10"/>
  <c r="O21213" i="10"/>
  <c r="O21214" i="10"/>
  <c r="O21215" i="10"/>
  <c r="O21216" i="10"/>
  <c r="O21217" i="10"/>
  <c r="O21218" i="10"/>
  <c r="O21219" i="10"/>
  <c r="O21220" i="10"/>
  <c r="O21221" i="10"/>
  <c r="O21222" i="10"/>
  <c r="O21223" i="10"/>
  <c r="O21224" i="10"/>
  <c r="O21225" i="10"/>
  <c r="O21226" i="10"/>
  <c r="O21227" i="10"/>
  <c r="O21228" i="10"/>
  <c r="O21229" i="10"/>
  <c r="O21230" i="10"/>
  <c r="O21231" i="10"/>
  <c r="O21232" i="10"/>
  <c r="O21233" i="10"/>
  <c r="O21234" i="10"/>
  <c r="O21235" i="10"/>
  <c r="O21236" i="10"/>
  <c r="O21237" i="10"/>
  <c r="O21238" i="10"/>
  <c r="O21239" i="10"/>
  <c r="O21240" i="10"/>
  <c r="O21241" i="10"/>
  <c r="O21242" i="10"/>
  <c r="O21243" i="10"/>
  <c r="O21244" i="10"/>
  <c r="O21245" i="10"/>
  <c r="O21246" i="10"/>
  <c r="O21247" i="10"/>
  <c r="O21248" i="10"/>
  <c r="O21249" i="10"/>
  <c r="O21250" i="10"/>
  <c r="O21251" i="10"/>
  <c r="O21252" i="10"/>
  <c r="O21253" i="10"/>
  <c r="O21254" i="10"/>
  <c r="O21255" i="10"/>
  <c r="O21256" i="10"/>
  <c r="O21257" i="10"/>
  <c r="O21258" i="10"/>
  <c r="O21259" i="10"/>
  <c r="O21260" i="10"/>
  <c r="O21261" i="10"/>
  <c r="O21262" i="10"/>
  <c r="O21263" i="10"/>
  <c r="O21264" i="10"/>
  <c r="O21265" i="10"/>
  <c r="O21266" i="10"/>
  <c r="O21267" i="10"/>
  <c r="O21268" i="10"/>
  <c r="O21269" i="10"/>
  <c r="O21270" i="10"/>
  <c r="O21271" i="10"/>
  <c r="O21272" i="10"/>
  <c r="O21273" i="10"/>
  <c r="O21274" i="10"/>
  <c r="O21275" i="10"/>
  <c r="O21276" i="10"/>
  <c r="O21277" i="10"/>
  <c r="O21278" i="10"/>
  <c r="O21279" i="10"/>
  <c r="O21280" i="10"/>
  <c r="O21281" i="10"/>
  <c r="O21282" i="10"/>
  <c r="O21283" i="10"/>
  <c r="O21284" i="10"/>
  <c r="O21285" i="10"/>
  <c r="O21286" i="10"/>
  <c r="O21287" i="10"/>
  <c r="O21288" i="10"/>
  <c r="O21289" i="10"/>
  <c r="O21290" i="10"/>
  <c r="O21291" i="10"/>
  <c r="O21292" i="10"/>
  <c r="O21293" i="10"/>
  <c r="O21294" i="10"/>
  <c r="O21295" i="10"/>
  <c r="O21296" i="10"/>
  <c r="O21297" i="10"/>
  <c r="O21298" i="10"/>
  <c r="O21299" i="10"/>
  <c r="O21300" i="10"/>
  <c r="O21301" i="10"/>
  <c r="O21302" i="10"/>
  <c r="O21303" i="10"/>
  <c r="O21304" i="10"/>
  <c r="O21305" i="10"/>
  <c r="O21306" i="10"/>
  <c r="O21307" i="10"/>
  <c r="O21308" i="10"/>
  <c r="O21309" i="10"/>
  <c r="O21310" i="10"/>
  <c r="O21311" i="10"/>
  <c r="O21312" i="10"/>
  <c r="O21313" i="10"/>
  <c r="O21314" i="10"/>
  <c r="O21315" i="10"/>
  <c r="O21316" i="10"/>
  <c r="O21317" i="10"/>
  <c r="O21318" i="10"/>
  <c r="O21319" i="10"/>
  <c r="O21320" i="10"/>
  <c r="O21321" i="10"/>
  <c r="O21322" i="10"/>
  <c r="O21323" i="10"/>
  <c r="O21324" i="10"/>
  <c r="O21325" i="10"/>
  <c r="O21326" i="10"/>
  <c r="O21327" i="10"/>
  <c r="O21328" i="10"/>
  <c r="O21329" i="10"/>
  <c r="O21330" i="10"/>
  <c r="O21331" i="10"/>
  <c r="O21332" i="10"/>
  <c r="O21333" i="10"/>
  <c r="O21334" i="10"/>
  <c r="O21335" i="10"/>
  <c r="O21336" i="10"/>
  <c r="O21337" i="10"/>
  <c r="O21338" i="10"/>
  <c r="O21339" i="10"/>
  <c r="O21340" i="10"/>
  <c r="O21341" i="10"/>
  <c r="O21342" i="10"/>
  <c r="O21343" i="10"/>
  <c r="O21344" i="10"/>
  <c r="O21345" i="10"/>
  <c r="O21346" i="10"/>
  <c r="O21347" i="10"/>
  <c r="O21348" i="10"/>
  <c r="O21349" i="10"/>
  <c r="O21350" i="10"/>
  <c r="O21351" i="10"/>
  <c r="O21352" i="10"/>
  <c r="O21353" i="10"/>
  <c r="O21354" i="10"/>
  <c r="O21355" i="10"/>
  <c r="O21356" i="10"/>
  <c r="O21357" i="10"/>
  <c r="O21358" i="10"/>
  <c r="O21359" i="10"/>
  <c r="O21360" i="10"/>
  <c r="O21361" i="10"/>
  <c r="O21362" i="10"/>
  <c r="O21363" i="10"/>
  <c r="O21364" i="10"/>
  <c r="O21365" i="10"/>
  <c r="O21366" i="10"/>
  <c r="O21367" i="10"/>
  <c r="O21368" i="10"/>
  <c r="O21369" i="10"/>
  <c r="O21370" i="10"/>
  <c r="O21371" i="10"/>
  <c r="O21372" i="10"/>
  <c r="O21373" i="10"/>
  <c r="O21374" i="10"/>
  <c r="O21375" i="10"/>
  <c r="O21376" i="10"/>
  <c r="O21377" i="10"/>
  <c r="O21378" i="10"/>
  <c r="O21379" i="10"/>
  <c r="O21380" i="10"/>
  <c r="O21381" i="10"/>
  <c r="O21382" i="10"/>
  <c r="O21383" i="10"/>
  <c r="O21384" i="10"/>
  <c r="O21385" i="10"/>
  <c r="O21386" i="10"/>
  <c r="O21387" i="10"/>
  <c r="O21388" i="10"/>
  <c r="O21389" i="10"/>
  <c r="O21390" i="10"/>
  <c r="O21391" i="10"/>
  <c r="O21392" i="10"/>
  <c r="O21393" i="10"/>
  <c r="O21394" i="10"/>
  <c r="O21395" i="10"/>
  <c r="O21396" i="10"/>
  <c r="O21397" i="10"/>
  <c r="O21398" i="10"/>
  <c r="O21399" i="10"/>
  <c r="O21400" i="10"/>
  <c r="O21401" i="10"/>
  <c r="O21402" i="10"/>
  <c r="O21403" i="10"/>
  <c r="O21404" i="10"/>
  <c r="O21405" i="10"/>
  <c r="O21406" i="10"/>
  <c r="O21407" i="10"/>
  <c r="O21408" i="10"/>
  <c r="O21409" i="10"/>
  <c r="O21410" i="10"/>
  <c r="O21411" i="10"/>
  <c r="O21412" i="10"/>
  <c r="O21413" i="10"/>
  <c r="O21414" i="10"/>
  <c r="O21415" i="10"/>
  <c r="O21416" i="10"/>
  <c r="O21417" i="10"/>
  <c r="O21418" i="10"/>
  <c r="O21419" i="10"/>
  <c r="O21420" i="10"/>
  <c r="O21421" i="10"/>
  <c r="O21422" i="10"/>
  <c r="O21423" i="10"/>
  <c r="O21424" i="10"/>
  <c r="O21425" i="10"/>
  <c r="O21426" i="10"/>
  <c r="O21427" i="10"/>
  <c r="O21428" i="10"/>
  <c r="O21429" i="10"/>
  <c r="O21430" i="10"/>
  <c r="O21431" i="10"/>
  <c r="O21432" i="10"/>
  <c r="O21433" i="10"/>
  <c r="O21434" i="10"/>
  <c r="O21435" i="10"/>
  <c r="O21436" i="10"/>
  <c r="O21437" i="10"/>
  <c r="O21438" i="10"/>
  <c r="O21439" i="10"/>
  <c r="O21440" i="10"/>
  <c r="O21441" i="10"/>
  <c r="O21442" i="10"/>
  <c r="O21443" i="10"/>
  <c r="O21444" i="10"/>
  <c r="O21445" i="10"/>
  <c r="O21446" i="10"/>
  <c r="O21447" i="10"/>
  <c r="O21448" i="10"/>
  <c r="O21449" i="10"/>
  <c r="O21450" i="10"/>
  <c r="O21451" i="10"/>
  <c r="O21452" i="10"/>
  <c r="O21453" i="10"/>
  <c r="O21454" i="10"/>
  <c r="O21455" i="10"/>
  <c r="O21456" i="10"/>
  <c r="O21457" i="10"/>
  <c r="O21458" i="10"/>
  <c r="O21459" i="10"/>
  <c r="O21460" i="10"/>
  <c r="O21461" i="10"/>
  <c r="O21462" i="10"/>
  <c r="O21463" i="10"/>
  <c r="O21464" i="10"/>
  <c r="O21465" i="10"/>
  <c r="O21466" i="10"/>
  <c r="O21467" i="10"/>
  <c r="O21468" i="10"/>
  <c r="O21469" i="10"/>
  <c r="O21470" i="10"/>
  <c r="O21471" i="10"/>
  <c r="O21472" i="10"/>
  <c r="O21473" i="10"/>
  <c r="O21474" i="10"/>
  <c r="O21475" i="10"/>
  <c r="O21476" i="10"/>
  <c r="O21477" i="10"/>
  <c r="O21478" i="10"/>
  <c r="O21479" i="10"/>
  <c r="O21480" i="10"/>
  <c r="O21481" i="10"/>
  <c r="O21482" i="10"/>
  <c r="O21483" i="10"/>
  <c r="O21484" i="10"/>
  <c r="O21485" i="10"/>
  <c r="O21486" i="10"/>
  <c r="O21487" i="10"/>
  <c r="O21488" i="10"/>
  <c r="O21489" i="10"/>
  <c r="O21490" i="10"/>
  <c r="O21491" i="10"/>
  <c r="O21492" i="10"/>
  <c r="O21493" i="10"/>
  <c r="O21494" i="10"/>
  <c r="O21495" i="10"/>
  <c r="O21496" i="10"/>
  <c r="O21497" i="10"/>
  <c r="O21498" i="10"/>
  <c r="O21499" i="10"/>
  <c r="O21500" i="10"/>
  <c r="O21501" i="10"/>
  <c r="O21502" i="10"/>
  <c r="O21503" i="10"/>
  <c r="O21504" i="10"/>
  <c r="O21505" i="10"/>
  <c r="O21506" i="10"/>
  <c r="O21507" i="10"/>
  <c r="O21508" i="10"/>
  <c r="O21509" i="10"/>
  <c r="O21510" i="10"/>
  <c r="O21511" i="10"/>
  <c r="O21512" i="10"/>
  <c r="O21513" i="10"/>
  <c r="O21514" i="10"/>
  <c r="O21515" i="10"/>
  <c r="O21516" i="10"/>
  <c r="O21517" i="10"/>
  <c r="O21518" i="10"/>
  <c r="O21519" i="10"/>
  <c r="O21520" i="10"/>
  <c r="O21521" i="10"/>
  <c r="O21522" i="10"/>
  <c r="O21523" i="10"/>
  <c r="O21524" i="10"/>
  <c r="O21525" i="10"/>
  <c r="O21526" i="10"/>
  <c r="O21527" i="10"/>
  <c r="O21528" i="10"/>
  <c r="O21529" i="10"/>
  <c r="O21530" i="10"/>
  <c r="O21531" i="10"/>
  <c r="O21532" i="10"/>
  <c r="O21533" i="10"/>
  <c r="O21534" i="10"/>
  <c r="O21535" i="10"/>
  <c r="O21536" i="10"/>
  <c r="O21537" i="10"/>
  <c r="O21538" i="10"/>
  <c r="O21539" i="10"/>
  <c r="O21540" i="10"/>
  <c r="O21541" i="10"/>
  <c r="O21542" i="10"/>
  <c r="O21543" i="10"/>
  <c r="O21544" i="10"/>
  <c r="O21545" i="10"/>
  <c r="O21546" i="10"/>
  <c r="O21547" i="10"/>
  <c r="O21548" i="10"/>
  <c r="O21549" i="10"/>
  <c r="O21550" i="10"/>
  <c r="O21551" i="10"/>
  <c r="O21552" i="10"/>
  <c r="O21553" i="10"/>
  <c r="O21554" i="10"/>
  <c r="O21555" i="10"/>
  <c r="O21556" i="10"/>
  <c r="O21557" i="10"/>
  <c r="O21558" i="10"/>
  <c r="O21559" i="10"/>
  <c r="O21560" i="10"/>
  <c r="O21561" i="10"/>
  <c r="O21562" i="10"/>
  <c r="O21563" i="10"/>
  <c r="O21564" i="10"/>
  <c r="O21565" i="10"/>
  <c r="O21566" i="10"/>
  <c r="O21567" i="10"/>
  <c r="O21568" i="10"/>
  <c r="O21569" i="10"/>
  <c r="O21570" i="10"/>
  <c r="O21571" i="10"/>
  <c r="O21572" i="10"/>
  <c r="O21573" i="10"/>
  <c r="O21574" i="10"/>
  <c r="O21575" i="10"/>
  <c r="O21576" i="10"/>
  <c r="O21577" i="10"/>
  <c r="O21578" i="10"/>
  <c r="O21579" i="10"/>
  <c r="O21580" i="10"/>
  <c r="O21581" i="10"/>
  <c r="O21582" i="10"/>
  <c r="O21583" i="10"/>
  <c r="O21584" i="10"/>
  <c r="O21585" i="10"/>
  <c r="O21586" i="10"/>
  <c r="O21587" i="10"/>
  <c r="O21588" i="10"/>
  <c r="O21589" i="10"/>
  <c r="O21590" i="10"/>
  <c r="O21591" i="10"/>
  <c r="O21592" i="10"/>
  <c r="O21593" i="10"/>
  <c r="O21594" i="10"/>
  <c r="O21595" i="10"/>
  <c r="O21596" i="10"/>
  <c r="O21597" i="10"/>
  <c r="O21598" i="10"/>
  <c r="O21599" i="10"/>
  <c r="O21600" i="10"/>
  <c r="O21601" i="10"/>
  <c r="O21602" i="10"/>
  <c r="O21603" i="10"/>
  <c r="O21604" i="10"/>
  <c r="O21605" i="10"/>
  <c r="O21606" i="10"/>
  <c r="O21607" i="10"/>
  <c r="O21608" i="10"/>
  <c r="O21609" i="10"/>
  <c r="O21610" i="10"/>
  <c r="O21611" i="10"/>
  <c r="O21612" i="10"/>
  <c r="O21613" i="10"/>
  <c r="O21614" i="10"/>
  <c r="O21615" i="10"/>
  <c r="O21616" i="10"/>
  <c r="O21617" i="10"/>
  <c r="O21618" i="10"/>
  <c r="O21619" i="10"/>
  <c r="O21620" i="10"/>
  <c r="O21621" i="10"/>
  <c r="O21622" i="10"/>
  <c r="O21623" i="10"/>
  <c r="O21624" i="10"/>
  <c r="O21625" i="10"/>
  <c r="O21626" i="10"/>
  <c r="O21627" i="10"/>
  <c r="O21628" i="10"/>
  <c r="O21629" i="10"/>
  <c r="O21630" i="10"/>
  <c r="O21631" i="10"/>
  <c r="O21632" i="10"/>
  <c r="O21633" i="10"/>
  <c r="O21634" i="10"/>
  <c r="O21635" i="10"/>
  <c r="O21636" i="10"/>
  <c r="O21637" i="10"/>
  <c r="O21638" i="10"/>
  <c r="O21639" i="10"/>
  <c r="O21640" i="10"/>
  <c r="O21641" i="10"/>
  <c r="O21642" i="10"/>
  <c r="O21643" i="10"/>
  <c r="O21644" i="10"/>
  <c r="O21645" i="10"/>
  <c r="O21646" i="10"/>
  <c r="O21647" i="10"/>
  <c r="O21648" i="10"/>
  <c r="O21649" i="10"/>
  <c r="O21650" i="10"/>
  <c r="O21651" i="10"/>
  <c r="O21652" i="10"/>
  <c r="O21653" i="10"/>
  <c r="O21654" i="10"/>
  <c r="O21655" i="10"/>
  <c r="O21656" i="10"/>
  <c r="O21657" i="10"/>
  <c r="O21658" i="10"/>
  <c r="O21659" i="10"/>
  <c r="O21660" i="10"/>
  <c r="O21661" i="10"/>
  <c r="O21662" i="10"/>
  <c r="O21663" i="10"/>
  <c r="O21664" i="10"/>
  <c r="O21665" i="10"/>
  <c r="O21666" i="10"/>
  <c r="O21667" i="10"/>
  <c r="O21668" i="10"/>
  <c r="O21669" i="10"/>
  <c r="O21670" i="10"/>
  <c r="O21671" i="10"/>
  <c r="O21672" i="10"/>
  <c r="O21673" i="10"/>
  <c r="O21674" i="10"/>
  <c r="O21675" i="10"/>
  <c r="O21676" i="10"/>
  <c r="O21677" i="10"/>
  <c r="O21678" i="10"/>
  <c r="O21679" i="10"/>
  <c r="O21680" i="10"/>
  <c r="O21681" i="10"/>
  <c r="O21682" i="10"/>
  <c r="O21683" i="10"/>
  <c r="O21684" i="10"/>
  <c r="O21685" i="10"/>
  <c r="O21686" i="10"/>
  <c r="O21687" i="10"/>
  <c r="O21688" i="10"/>
  <c r="O21689" i="10"/>
  <c r="O21690" i="10"/>
  <c r="O21691" i="10"/>
  <c r="O21692" i="10"/>
  <c r="O21693" i="10"/>
  <c r="O21694" i="10"/>
  <c r="O21695" i="10"/>
  <c r="O21696" i="10"/>
  <c r="O21697" i="10"/>
  <c r="O21698" i="10"/>
  <c r="O21699" i="10"/>
  <c r="O21700" i="10"/>
  <c r="O21701" i="10"/>
  <c r="O21702" i="10"/>
  <c r="O21703" i="10"/>
  <c r="O21704" i="10"/>
  <c r="O21705" i="10"/>
  <c r="O21706" i="10"/>
  <c r="O21707" i="10"/>
  <c r="O21708" i="10"/>
  <c r="O21709" i="10"/>
  <c r="O21710" i="10"/>
  <c r="O21711" i="10"/>
  <c r="O21712" i="10"/>
  <c r="O21713" i="10"/>
  <c r="O21714" i="10"/>
  <c r="O21715" i="10"/>
  <c r="O21716" i="10"/>
  <c r="O21717" i="10"/>
  <c r="O21718" i="10"/>
  <c r="O21719" i="10"/>
  <c r="O21720" i="10"/>
  <c r="O21721" i="10"/>
  <c r="O21722" i="10"/>
  <c r="O21723" i="10"/>
  <c r="O21724" i="10"/>
  <c r="O21725" i="10"/>
  <c r="O21726" i="10"/>
  <c r="O21727" i="10"/>
  <c r="O21728" i="10"/>
  <c r="O21729" i="10"/>
  <c r="O21730" i="10"/>
  <c r="O21731" i="10"/>
  <c r="O21732" i="10"/>
  <c r="O21733" i="10"/>
  <c r="O21734" i="10"/>
  <c r="O21735" i="10"/>
  <c r="O21736" i="10"/>
  <c r="O21737" i="10"/>
  <c r="O21738" i="10"/>
  <c r="O21739" i="10"/>
  <c r="O21740" i="10"/>
  <c r="O21741" i="10"/>
  <c r="O21742" i="10"/>
  <c r="O21743" i="10"/>
  <c r="O21744" i="10"/>
  <c r="O21745" i="10"/>
  <c r="O21746" i="10"/>
  <c r="O21747" i="10"/>
  <c r="O21748" i="10"/>
  <c r="O21749" i="10"/>
  <c r="O21750" i="10"/>
  <c r="O21751" i="10"/>
  <c r="O21752" i="10"/>
  <c r="O21753" i="10"/>
  <c r="O21754" i="10"/>
  <c r="O21755" i="10"/>
  <c r="O21756" i="10"/>
  <c r="O21757" i="10"/>
  <c r="O21758" i="10"/>
  <c r="O21759" i="10"/>
  <c r="O21760" i="10"/>
  <c r="O21761" i="10"/>
  <c r="O21762" i="10"/>
  <c r="O21763" i="10"/>
  <c r="O21764" i="10"/>
  <c r="O21765" i="10"/>
  <c r="O21766" i="10"/>
  <c r="O21767" i="10"/>
  <c r="O21768" i="10"/>
  <c r="O21769" i="10"/>
  <c r="O21770" i="10"/>
  <c r="O21771" i="10"/>
  <c r="O21772" i="10"/>
  <c r="O21773" i="10"/>
  <c r="O21774" i="10"/>
  <c r="O21775" i="10"/>
  <c r="O21776" i="10"/>
  <c r="O21777" i="10"/>
  <c r="O21778" i="10"/>
  <c r="O21779" i="10"/>
  <c r="O21780" i="10"/>
  <c r="O21781" i="10"/>
  <c r="O21782" i="10"/>
  <c r="O21783" i="10"/>
  <c r="O21784" i="10"/>
  <c r="O21785" i="10"/>
  <c r="O21786" i="10"/>
  <c r="O21787" i="10"/>
  <c r="O21788" i="10"/>
  <c r="O21789" i="10"/>
  <c r="O21790" i="10"/>
  <c r="O21791" i="10"/>
  <c r="O21792" i="10"/>
  <c r="O21793" i="10"/>
  <c r="O21794" i="10"/>
  <c r="O21795" i="10"/>
  <c r="O21796" i="10"/>
  <c r="O21797" i="10"/>
  <c r="O21798" i="10"/>
  <c r="O21799" i="10"/>
  <c r="O21800" i="10"/>
  <c r="O21801" i="10"/>
  <c r="O21802" i="10"/>
  <c r="O21803" i="10"/>
  <c r="O21804" i="10"/>
  <c r="O21805" i="10"/>
  <c r="O21806" i="10"/>
  <c r="O21807" i="10"/>
  <c r="O21808" i="10"/>
  <c r="O21809" i="10"/>
  <c r="O21810" i="10"/>
  <c r="O21811" i="10"/>
  <c r="O21812" i="10"/>
  <c r="O21813" i="10"/>
  <c r="O21814" i="10"/>
  <c r="O21815" i="10"/>
  <c r="O21816" i="10"/>
  <c r="O21817" i="10"/>
  <c r="O21818" i="10"/>
  <c r="O21819" i="10"/>
  <c r="O21820" i="10"/>
  <c r="O21821" i="10"/>
  <c r="O21822" i="10"/>
  <c r="O21823" i="10"/>
  <c r="O21824" i="10"/>
  <c r="O21825" i="10"/>
  <c r="O21826" i="10"/>
  <c r="O21827" i="10"/>
  <c r="O21828" i="10"/>
  <c r="O21829" i="10"/>
  <c r="O21830" i="10"/>
  <c r="O21831" i="10"/>
  <c r="O21832" i="10"/>
  <c r="O21833" i="10"/>
  <c r="O21834" i="10"/>
  <c r="O21835" i="10"/>
  <c r="O21836" i="10"/>
  <c r="O21837" i="10"/>
  <c r="O21838" i="10"/>
  <c r="O21839" i="10"/>
  <c r="O21840" i="10"/>
  <c r="O21841" i="10"/>
  <c r="O21842" i="10"/>
  <c r="O21843" i="10"/>
  <c r="O21844" i="10"/>
  <c r="O21845" i="10"/>
  <c r="O21846" i="10"/>
  <c r="O21847" i="10"/>
  <c r="O21848" i="10"/>
  <c r="O21849" i="10"/>
  <c r="O21850" i="10"/>
  <c r="O21851" i="10"/>
  <c r="O21852" i="10"/>
  <c r="O21853" i="10"/>
  <c r="O21854" i="10"/>
  <c r="O21855" i="10"/>
  <c r="O21856" i="10"/>
  <c r="O21857" i="10"/>
  <c r="O21858" i="10"/>
  <c r="O21859" i="10"/>
  <c r="O21860" i="10"/>
  <c r="O21861" i="10"/>
  <c r="O21862" i="10"/>
  <c r="O21863" i="10"/>
  <c r="O21864" i="10"/>
  <c r="O21865" i="10"/>
  <c r="O21866" i="10"/>
  <c r="O21867" i="10"/>
  <c r="O21868" i="10"/>
  <c r="O21869" i="10"/>
  <c r="O21870" i="10"/>
  <c r="O21871" i="10"/>
  <c r="O21872" i="10"/>
  <c r="O21873" i="10"/>
  <c r="O21874" i="10"/>
  <c r="O21875" i="10"/>
  <c r="O21876" i="10"/>
  <c r="O21877" i="10"/>
  <c r="O21878" i="10"/>
  <c r="O21879" i="10"/>
  <c r="O21880" i="10"/>
  <c r="O21881" i="10"/>
  <c r="O21882" i="10"/>
  <c r="O21883" i="10"/>
  <c r="O21884" i="10"/>
  <c r="O21885" i="10"/>
  <c r="O21886" i="10"/>
  <c r="O21887" i="10"/>
  <c r="O21888" i="10"/>
  <c r="O21889" i="10"/>
  <c r="O21890" i="10"/>
  <c r="O21891" i="10"/>
  <c r="O21892" i="10"/>
  <c r="O21893" i="10"/>
  <c r="O21894" i="10"/>
  <c r="O21895" i="10"/>
  <c r="O21896" i="10"/>
  <c r="O21897" i="10"/>
  <c r="O21898" i="10"/>
  <c r="O21899" i="10"/>
  <c r="O21900" i="10"/>
  <c r="O21901" i="10"/>
  <c r="O21902" i="10"/>
  <c r="O21903" i="10"/>
  <c r="O21904" i="10"/>
  <c r="O21905" i="10"/>
  <c r="O21906" i="10"/>
  <c r="O21907" i="10"/>
  <c r="O21908" i="10"/>
  <c r="O21909" i="10"/>
  <c r="O21910" i="10"/>
  <c r="O21911" i="10"/>
  <c r="O21912" i="10"/>
  <c r="O21913" i="10"/>
  <c r="O21914" i="10"/>
  <c r="O21915" i="10"/>
  <c r="O21916" i="10"/>
  <c r="O21917" i="10"/>
  <c r="O21918" i="10"/>
  <c r="O21919" i="10"/>
  <c r="O21920" i="10"/>
  <c r="O21921" i="10"/>
  <c r="O21922" i="10"/>
  <c r="O21923" i="10"/>
  <c r="O21924" i="10"/>
  <c r="O21925" i="10"/>
  <c r="O21926" i="10"/>
  <c r="O21927" i="10"/>
  <c r="O21928" i="10"/>
  <c r="O21929" i="10"/>
  <c r="O21930" i="10"/>
  <c r="O21931" i="10"/>
  <c r="O21932" i="10"/>
  <c r="O21933" i="10"/>
  <c r="O21934" i="10"/>
  <c r="O21935" i="10"/>
  <c r="O21936" i="10"/>
  <c r="O21937" i="10"/>
  <c r="O21938" i="10"/>
  <c r="O21939" i="10"/>
  <c r="O21940" i="10"/>
  <c r="O21941" i="10"/>
  <c r="O21942" i="10"/>
  <c r="O21943" i="10"/>
  <c r="O21944" i="10"/>
  <c r="O21945" i="10"/>
  <c r="O21946" i="10"/>
  <c r="O21947" i="10"/>
  <c r="O21948" i="10"/>
  <c r="O21949" i="10"/>
  <c r="O21950" i="10"/>
  <c r="O21951" i="10"/>
  <c r="O21952" i="10"/>
  <c r="O21953" i="10"/>
  <c r="O21954" i="10"/>
  <c r="O21955" i="10"/>
  <c r="O21956" i="10"/>
  <c r="O21957" i="10"/>
  <c r="O21958" i="10"/>
  <c r="O21959" i="10"/>
  <c r="O21960" i="10"/>
  <c r="O21961" i="10"/>
  <c r="O21962" i="10"/>
  <c r="O21963" i="10"/>
  <c r="O21964" i="10"/>
  <c r="O21965" i="10"/>
  <c r="O21966" i="10"/>
  <c r="O21967" i="10"/>
  <c r="O21968" i="10"/>
  <c r="O21969" i="10"/>
  <c r="O21970" i="10"/>
  <c r="O21971" i="10"/>
  <c r="O21972" i="10"/>
  <c r="O21973" i="10"/>
  <c r="O21974" i="10"/>
  <c r="O21975" i="10"/>
  <c r="O21976" i="10"/>
  <c r="O21977" i="10"/>
  <c r="O21978" i="10"/>
  <c r="O21979" i="10"/>
  <c r="O21980" i="10"/>
  <c r="O21981" i="10"/>
  <c r="O21982" i="10"/>
  <c r="O21983" i="10"/>
  <c r="O21984" i="10"/>
  <c r="O21985" i="10"/>
  <c r="O21986" i="10"/>
  <c r="O21987" i="10"/>
  <c r="O21988" i="10"/>
  <c r="O21989" i="10"/>
  <c r="O21990" i="10"/>
  <c r="O21991" i="10"/>
  <c r="O21992" i="10"/>
  <c r="O21993" i="10"/>
  <c r="O21994" i="10"/>
  <c r="O21995" i="10"/>
  <c r="O21996" i="10"/>
  <c r="O21997" i="10"/>
  <c r="O21998" i="10"/>
  <c r="O21999" i="10"/>
  <c r="O22000" i="10"/>
  <c r="O22001" i="10"/>
  <c r="O22002" i="10"/>
  <c r="O22003" i="10"/>
  <c r="O22004" i="10"/>
  <c r="O22005" i="10"/>
  <c r="O22006" i="10"/>
  <c r="O22007" i="10"/>
  <c r="O22008" i="10"/>
  <c r="O22009" i="10"/>
  <c r="O22010" i="10"/>
  <c r="O22011" i="10"/>
  <c r="O22012" i="10"/>
  <c r="O22013" i="10"/>
  <c r="O22014" i="10"/>
  <c r="O22015" i="10"/>
  <c r="O22016" i="10"/>
  <c r="O22017" i="10"/>
  <c r="O22018" i="10"/>
  <c r="O22019" i="10"/>
  <c r="O22020" i="10"/>
  <c r="O22021" i="10"/>
  <c r="O22022" i="10"/>
  <c r="O22023" i="10"/>
  <c r="O22024" i="10"/>
  <c r="O22025" i="10"/>
  <c r="O22026" i="10"/>
  <c r="O22027" i="10"/>
  <c r="O22028" i="10"/>
  <c r="O22029" i="10"/>
  <c r="O22030" i="10"/>
  <c r="O22031" i="10"/>
  <c r="O22032" i="10"/>
  <c r="O22033" i="10"/>
  <c r="O22034" i="10"/>
  <c r="O22035" i="10"/>
  <c r="O22036" i="10"/>
  <c r="O22037" i="10"/>
  <c r="O22038" i="10"/>
  <c r="O22039" i="10"/>
  <c r="O22040" i="10"/>
  <c r="O22041" i="10"/>
  <c r="O22042" i="10"/>
  <c r="O22043" i="10"/>
  <c r="O22044" i="10"/>
  <c r="O22045" i="10"/>
  <c r="O22046" i="10"/>
  <c r="O22047" i="10"/>
  <c r="O22048" i="10"/>
  <c r="O22049" i="10"/>
  <c r="O22050" i="10"/>
  <c r="O22051" i="10"/>
  <c r="O22052" i="10"/>
  <c r="O22053" i="10"/>
  <c r="O22054" i="10"/>
  <c r="O22055" i="10"/>
  <c r="O22056" i="10"/>
  <c r="O22057" i="10"/>
  <c r="O22058" i="10"/>
  <c r="O22059" i="10"/>
  <c r="O22060" i="10"/>
  <c r="O22061" i="10"/>
  <c r="O22062" i="10"/>
  <c r="O22063" i="10"/>
  <c r="O22064" i="10"/>
  <c r="O22065" i="10"/>
  <c r="O22066" i="10"/>
  <c r="O22067" i="10"/>
  <c r="O22068" i="10"/>
  <c r="O22069" i="10"/>
  <c r="O22070" i="10"/>
  <c r="O22071" i="10"/>
  <c r="O22072" i="10"/>
  <c r="O22073" i="10"/>
  <c r="O22074" i="10"/>
  <c r="O22075" i="10"/>
  <c r="O22076" i="10"/>
  <c r="O22077" i="10"/>
  <c r="O22078" i="10"/>
  <c r="O22079" i="10"/>
  <c r="O22080" i="10"/>
  <c r="O22081" i="10"/>
  <c r="O22082" i="10"/>
  <c r="O22083" i="10"/>
  <c r="O22084" i="10"/>
  <c r="O22085" i="10"/>
  <c r="O22086" i="10"/>
  <c r="O22087" i="10"/>
  <c r="O22088" i="10"/>
  <c r="O22089" i="10"/>
  <c r="O22090" i="10"/>
  <c r="O22091" i="10"/>
  <c r="O22092" i="10"/>
  <c r="O22093" i="10"/>
  <c r="O22094" i="10"/>
  <c r="O22095" i="10"/>
  <c r="O22096" i="10"/>
  <c r="O22097" i="10"/>
  <c r="O22098" i="10"/>
  <c r="O22099" i="10"/>
  <c r="O22100" i="10"/>
  <c r="O22101" i="10"/>
  <c r="O22102" i="10"/>
  <c r="O22103" i="10"/>
  <c r="O22104" i="10"/>
  <c r="O22105" i="10"/>
  <c r="O22106" i="10"/>
  <c r="O22107" i="10"/>
  <c r="O22108" i="10"/>
  <c r="O22109" i="10"/>
  <c r="O22110" i="10"/>
  <c r="O22111" i="10"/>
  <c r="O22112" i="10"/>
  <c r="O22113" i="10"/>
  <c r="O22114" i="10"/>
  <c r="O22115" i="10"/>
  <c r="O22116" i="10"/>
  <c r="O22117" i="10"/>
  <c r="O22118" i="10"/>
  <c r="O22119" i="10"/>
  <c r="O22120" i="10"/>
  <c r="O22121" i="10"/>
  <c r="O22122" i="10"/>
  <c r="O22123" i="10"/>
  <c r="O22124" i="10"/>
  <c r="O22125" i="10"/>
  <c r="O22126" i="10"/>
  <c r="O22127" i="10"/>
  <c r="O22128" i="10"/>
  <c r="O22129" i="10"/>
  <c r="O22130" i="10"/>
  <c r="O22131" i="10"/>
  <c r="O22132" i="10"/>
  <c r="O22133" i="10"/>
  <c r="O22134" i="10"/>
  <c r="O22135" i="10"/>
  <c r="O22136" i="10"/>
  <c r="O22137" i="10"/>
  <c r="O22138" i="10"/>
  <c r="O22139" i="10"/>
  <c r="O22140" i="10"/>
  <c r="O22141" i="10"/>
  <c r="O22142" i="10"/>
  <c r="O22143" i="10"/>
  <c r="O22144" i="10"/>
  <c r="O22145" i="10"/>
  <c r="O22146" i="10"/>
  <c r="O22147" i="10"/>
  <c r="O22148" i="10"/>
  <c r="O22149" i="10"/>
  <c r="O22150" i="10"/>
  <c r="O22151" i="10"/>
  <c r="O22152" i="10"/>
  <c r="O22153" i="10"/>
  <c r="O22154" i="10"/>
  <c r="O22155" i="10"/>
  <c r="O22156" i="10"/>
  <c r="O22157" i="10"/>
  <c r="O22158" i="10"/>
  <c r="O22159" i="10"/>
  <c r="O22160" i="10"/>
  <c r="O22161" i="10"/>
  <c r="O22162" i="10"/>
  <c r="O22163" i="10"/>
  <c r="O22164" i="10"/>
  <c r="O22165" i="10"/>
  <c r="O22166" i="10"/>
  <c r="O22167" i="10"/>
  <c r="O22168" i="10"/>
  <c r="O22169" i="10"/>
  <c r="O22170" i="10"/>
  <c r="O22171" i="10"/>
  <c r="O22172" i="10"/>
  <c r="O22173" i="10"/>
  <c r="O22174" i="10"/>
  <c r="O22175" i="10"/>
  <c r="O22176" i="10"/>
  <c r="O22177" i="10"/>
  <c r="O22178" i="10"/>
  <c r="O22179" i="10"/>
  <c r="O22180" i="10"/>
  <c r="O22181" i="10"/>
  <c r="O22182" i="10"/>
  <c r="O22183" i="10"/>
  <c r="O22184" i="10"/>
  <c r="O22185" i="10"/>
  <c r="O22186" i="10"/>
  <c r="O22187" i="10"/>
  <c r="O22188" i="10"/>
  <c r="O22189" i="10"/>
  <c r="O22190" i="10"/>
  <c r="O22191" i="10"/>
  <c r="O22192" i="10"/>
  <c r="O22193" i="10"/>
  <c r="O22194" i="10"/>
  <c r="O22195" i="10"/>
  <c r="O22196" i="10"/>
  <c r="O22197" i="10"/>
  <c r="O22198" i="10"/>
  <c r="O22199" i="10"/>
  <c r="O22200" i="10"/>
  <c r="O22201" i="10"/>
  <c r="O22202" i="10"/>
  <c r="O22203" i="10"/>
  <c r="O22204" i="10"/>
  <c r="O22205" i="10"/>
  <c r="O22206" i="10"/>
  <c r="O22207" i="10"/>
  <c r="O22208" i="10"/>
  <c r="O22209" i="10"/>
  <c r="O22210" i="10"/>
  <c r="O22211" i="10"/>
  <c r="O22212" i="10"/>
  <c r="O22213" i="10"/>
  <c r="O22214" i="10"/>
  <c r="O22215" i="10"/>
  <c r="O22216" i="10"/>
  <c r="O22217" i="10"/>
  <c r="O22218" i="10"/>
  <c r="O22219" i="10"/>
  <c r="O22220" i="10"/>
  <c r="O22221" i="10"/>
  <c r="O22222" i="10"/>
  <c r="O22223" i="10"/>
  <c r="O22224" i="10"/>
  <c r="O22225" i="10"/>
  <c r="O22226" i="10"/>
  <c r="O22227" i="10"/>
  <c r="O22228" i="10"/>
  <c r="O22229" i="10"/>
  <c r="O22230" i="10"/>
  <c r="O22231" i="10"/>
  <c r="O22232" i="10"/>
  <c r="O22233" i="10"/>
  <c r="O22234" i="10"/>
  <c r="O22235" i="10"/>
  <c r="O22236" i="10"/>
  <c r="O22237" i="10"/>
  <c r="O22238" i="10"/>
  <c r="O22239" i="10"/>
  <c r="O22240" i="10"/>
  <c r="O22241" i="10"/>
  <c r="O22242" i="10"/>
  <c r="O22243" i="10"/>
  <c r="O22244" i="10"/>
  <c r="O22245" i="10"/>
  <c r="O22246" i="10"/>
  <c r="O22247" i="10"/>
  <c r="O22248" i="10"/>
  <c r="O22249" i="10"/>
  <c r="O22250" i="10"/>
  <c r="O22251" i="10"/>
  <c r="O22252" i="10"/>
  <c r="O22253" i="10"/>
  <c r="O22254" i="10"/>
  <c r="O22255" i="10"/>
  <c r="O22256" i="10"/>
  <c r="O22257" i="10"/>
  <c r="O22258" i="10"/>
  <c r="O22259" i="10"/>
  <c r="O22260" i="10"/>
  <c r="O22261" i="10"/>
  <c r="O22262" i="10"/>
  <c r="O22263" i="10"/>
  <c r="O22264" i="10"/>
  <c r="O22265" i="10"/>
  <c r="O22266" i="10"/>
  <c r="O22267" i="10"/>
  <c r="O22268" i="10"/>
  <c r="O22269" i="10"/>
  <c r="O22270" i="10"/>
  <c r="O22271" i="10"/>
  <c r="O22272" i="10"/>
  <c r="O22273" i="10"/>
  <c r="O22274" i="10"/>
  <c r="O22275" i="10"/>
  <c r="O22276" i="10"/>
  <c r="O22277" i="10"/>
  <c r="O22278" i="10"/>
  <c r="O22279" i="10"/>
  <c r="O22280" i="10"/>
  <c r="O22281" i="10"/>
  <c r="O22282" i="10"/>
  <c r="O22283" i="10"/>
  <c r="O22284" i="10"/>
  <c r="O22285" i="10"/>
  <c r="O22286" i="10"/>
  <c r="O22287" i="10"/>
  <c r="O22288" i="10"/>
  <c r="O22289" i="10"/>
  <c r="O22290" i="10"/>
  <c r="O22291" i="10"/>
  <c r="O22292" i="10"/>
  <c r="O22293" i="10"/>
  <c r="O22294" i="10"/>
  <c r="O22295" i="10"/>
  <c r="O22296" i="10"/>
  <c r="O22297" i="10"/>
  <c r="O22298" i="10"/>
  <c r="O22299" i="10"/>
  <c r="O22300" i="10"/>
  <c r="O22301" i="10"/>
  <c r="O22302" i="10"/>
  <c r="O22303" i="10"/>
  <c r="O22304" i="10"/>
  <c r="O22305" i="10"/>
  <c r="O22306" i="10"/>
  <c r="O22307" i="10"/>
  <c r="O22308" i="10"/>
  <c r="O22309" i="10"/>
  <c r="O22310" i="10"/>
  <c r="O22311" i="10"/>
  <c r="O22312" i="10"/>
  <c r="O22313" i="10"/>
  <c r="O22314" i="10"/>
  <c r="O22315" i="10"/>
  <c r="O22316" i="10"/>
  <c r="O22317" i="10"/>
  <c r="O22318" i="10"/>
  <c r="O22319" i="10"/>
  <c r="O22320" i="10"/>
  <c r="O22321" i="10"/>
  <c r="O22322" i="10"/>
  <c r="O22323" i="10"/>
  <c r="O22324" i="10"/>
  <c r="O22325" i="10"/>
  <c r="O22326" i="10"/>
  <c r="O22327" i="10"/>
  <c r="O22328" i="10"/>
  <c r="O22329" i="10"/>
  <c r="O22330" i="10"/>
  <c r="O22331" i="10"/>
  <c r="O22332" i="10"/>
  <c r="O22333" i="10"/>
  <c r="O22334" i="10"/>
  <c r="O22335" i="10"/>
  <c r="O22336" i="10"/>
  <c r="O22337" i="10"/>
  <c r="O22338" i="10"/>
  <c r="O22339" i="10"/>
  <c r="O22340" i="10"/>
  <c r="O22341" i="10"/>
  <c r="O22342" i="10"/>
  <c r="O22343" i="10"/>
  <c r="O22344" i="10"/>
  <c r="O22345" i="10"/>
  <c r="O22346" i="10"/>
  <c r="O22347" i="10"/>
  <c r="O22348" i="10"/>
  <c r="O22349" i="10"/>
  <c r="O22350" i="10"/>
  <c r="O22351" i="10"/>
  <c r="O22352" i="10"/>
  <c r="O22353" i="10"/>
  <c r="O22354" i="10"/>
  <c r="O22355" i="10"/>
  <c r="O22356" i="10"/>
  <c r="O22357" i="10"/>
  <c r="O22358" i="10"/>
  <c r="O22359" i="10"/>
  <c r="O22360" i="10"/>
  <c r="O22361" i="10"/>
  <c r="O22362" i="10"/>
  <c r="O22363" i="10"/>
  <c r="O22364" i="10"/>
  <c r="O22365" i="10"/>
  <c r="O22366" i="10"/>
  <c r="O22367" i="10"/>
  <c r="O22368" i="10"/>
  <c r="O22369" i="10"/>
  <c r="O22370" i="10"/>
  <c r="O22371" i="10"/>
  <c r="O22372" i="10"/>
  <c r="O22373" i="10"/>
  <c r="O22374" i="10"/>
  <c r="O22375" i="10"/>
  <c r="O22376" i="10"/>
  <c r="O22377" i="10"/>
  <c r="O22378" i="10"/>
  <c r="O22379" i="10"/>
  <c r="O22380" i="10"/>
  <c r="O22381" i="10"/>
  <c r="O22382" i="10"/>
  <c r="O22383" i="10"/>
  <c r="O22384" i="10"/>
  <c r="O22385" i="10"/>
  <c r="O22386" i="10"/>
  <c r="O22387" i="10"/>
  <c r="O22388" i="10"/>
  <c r="O22389" i="10"/>
  <c r="O22390" i="10"/>
  <c r="O22391" i="10"/>
  <c r="O22392" i="10"/>
  <c r="O22393" i="10"/>
  <c r="O22394" i="10"/>
  <c r="O22395" i="10"/>
  <c r="O22396" i="10"/>
  <c r="O22397" i="10"/>
  <c r="O22398" i="10"/>
  <c r="O22399" i="10"/>
  <c r="O22400" i="10"/>
  <c r="O22401" i="10"/>
  <c r="O22402" i="10"/>
  <c r="O22403" i="10"/>
  <c r="O22404" i="10"/>
  <c r="O22405" i="10"/>
  <c r="O22406" i="10"/>
  <c r="O22407" i="10"/>
  <c r="O22408" i="10"/>
  <c r="O22409" i="10"/>
  <c r="O22410" i="10"/>
  <c r="O22411" i="10"/>
  <c r="O22412" i="10"/>
  <c r="O22413" i="10"/>
  <c r="O22414" i="10"/>
  <c r="O22415" i="10"/>
  <c r="O22416" i="10"/>
  <c r="O22417" i="10"/>
  <c r="O22418" i="10"/>
  <c r="O22419" i="10"/>
  <c r="O22420" i="10"/>
  <c r="O22421" i="10"/>
  <c r="O22422" i="10"/>
  <c r="O22423" i="10"/>
  <c r="O22424" i="10"/>
  <c r="O22425" i="10"/>
  <c r="O22426" i="10"/>
  <c r="O22427" i="10"/>
  <c r="O22428" i="10"/>
  <c r="O22429" i="10"/>
  <c r="O22430" i="10"/>
  <c r="O22431" i="10"/>
  <c r="O22432" i="10"/>
  <c r="O22433" i="10"/>
  <c r="O22434" i="10"/>
  <c r="O22435" i="10"/>
  <c r="O22436" i="10"/>
  <c r="O22437" i="10"/>
  <c r="O22438" i="10"/>
  <c r="O22439" i="10"/>
  <c r="O22440" i="10"/>
  <c r="O22441" i="10"/>
  <c r="O22442" i="10"/>
  <c r="O22443" i="10"/>
  <c r="O22444" i="10"/>
  <c r="O22445" i="10"/>
  <c r="O22446" i="10"/>
  <c r="O22447" i="10"/>
  <c r="O22448" i="10"/>
  <c r="O22449" i="10"/>
  <c r="O22450" i="10"/>
  <c r="O22451" i="10"/>
  <c r="O22452" i="10"/>
  <c r="O22453" i="10"/>
  <c r="O22454" i="10"/>
  <c r="O22455" i="10"/>
  <c r="O22456" i="10"/>
  <c r="O22457" i="10"/>
  <c r="O22458" i="10"/>
  <c r="O22459" i="10"/>
  <c r="O22460" i="10"/>
  <c r="O22461" i="10"/>
  <c r="O22462" i="10"/>
  <c r="O22463" i="10"/>
  <c r="O22464" i="10"/>
  <c r="O22465" i="10"/>
  <c r="O22466" i="10"/>
  <c r="O22467" i="10"/>
  <c r="O22468" i="10"/>
  <c r="O22469" i="10"/>
  <c r="O22470" i="10"/>
  <c r="O22471" i="10"/>
  <c r="O22472" i="10"/>
  <c r="O22473" i="10"/>
  <c r="O22474" i="10"/>
  <c r="O22475" i="10"/>
  <c r="O22476" i="10"/>
  <c r="O22477" i="10"/>
  <c r="O22478" i="10"/>
  <c r="O22479" i="10"/>
  <c r="O22480" i="10"/>
  <c r="O22481" i="10"/>
  <c r="O22482" i="10"/>
  <c r="O22483" i="10"/>
  <c r="O22484" i="10"/>
  <c r="O22485" i="10"/>
  <c r="O22486" i="10"/>
  <c r="O22487" i="10"/>
  <c r="O22488" i="10"/>
  <c r="O22489" i="10"/>
  <c r="O22490" i="10"/>
  <c r="O22491" i="10"/>
  <c r="O22492" i="10"/>
  <c r="O22493" i="10"/>
  <c r="O22494" i="10"/>
  <c r="O22495" i="10"/>
  <c r="O22496" i="10"/>
  <c r="O22497" i="10"/>
  <c r="O22498" i="10"/>
  <c r="O22499" i="10"/>
  <c r="O22500" i="10"/>
  <c r="O22501" i="10"/>
  <c r="O22502" i="10"/>
  <c r="O22503" i="10"/>
  <c r="O22504" i="10"/>
  <c r="O22505" i="10"/>
  <c r="O22506" i="10"/>
  <c r="O22507" i="10"/>
  <c r="O22508" i="10"/>
  <c r="O22509" i="10"/>
  <c r="O22510" i="10"/>
  <c r="O22511" i="10"/>
  <c r="O22512" i="10"/>
  <c r="O22513" i="10"/>
  <c r="O22514" i="10"/>
  <c r="O22515" i="10"/>
  <c r="O22516" i="10"/>
  <c r="O22517" i="10"/>
  <c r="O22518" i="10"/>
  <c r="O22519" i="10"/>
  <c r="O22520" i="10"/>
  <c r="O22521" i="10"/>
  <c r="O22522" i="10"/>
  <c r="O22523" i="10"/>
  <c r="O22524" i="10"/>
  <c r="O22525" i="10"/>
  <c r="O22526" i="10"/>
  <c r="O22527" i="10"/>
  <c r="O22528" i="10"/>
  <c r="O22529" i="10"/>
  <c r="O22530" i="10"/>
  <c r="O22531" i="10"/>
  <c r="O22532" i="10"/>
  <c r="O22533" i="10"/>
  <c r="O22534" i="10"/>
  <c r="O22535" i="10"/>
  <c r="O22536" i="10"/>
  <c r="O22537" i="10"/>
  <c r="O22538" i="10"/>
  <c r="O22539" i="10"/>
  <c r="O22540" i="10"/>
  <c r="O22541" i="10"/>
  <c r="O22542" i="10"/>
  <c r="O22543" i="10"/>
  <c r="O22544" i="10"/>
  <c r="O22545" i="10"/>
  <c r="O22546" i="10"/>
  <c r="O22547" i="10"/>
  <c r="O22548" i="10"/>
  <c r="O22549" i="10"/>
  <c r="O22550" i="10"/>
  <c r="O22551" i="10"/>
  <c r="O22552" i="10"/>
  <c r="O22553" i="10"/>
  <c r="O22554" i="10"/>
  <c r="O22555" i="10"/>
  <c r="O22556" i="10"/>
  <c r="O22557" i="10"/>
  <c r="O22558" i="10"/>
  <c r="O22559" i="10"/>
  <c r="O22560" i="10"/>
  <c r="O22561" i="10"/>
  <c r="O22562" i="10"/>
  <c r="O22563" i="10"/>
  <c r="O22564" i="10"/>
  <c r="O22565" i="10"/>
  <c r="O22566" i="10"/>
  <c r="O22567" i="10"/>
  <c r="O22568" i="10"/>
  <c r="O22569" i="10"/>
  <c r="O22570" i="10"/>
  <c r="O22571" i="10"/>
  <c r="O22572" i="10"/>
  <c r="O22573" i="10"/>
  <c r="O22574" i="10"/>
  <c r="O22575" i="10"/>
  <c r="O22576" i="10"/>
  <c r="O22577" i="10"/>
  <c r="O22578" i="10"/>
  <c r="O22579" i="10"/>
  <c r="O22580" i="10"/>
  <c r="O22581" i="10"/>
  <c r="O22582" i="10"/>
  <c r="O22583" i="10"/>
  <c r="O22584" i="10"/>
  <c r="O22585" i="10"/>
  <c r="O22586" i="10"/>
  <c r="O22587" i="10"/>
  <c r="O22588" i="10"/>
  <c r="O22589" i="10"/>
  <c r="O22590" i="10"/>
  <c r="O22591" i="10"/>
  <c r="O22592" i="10"/>
  <c r="O22593" i="10"/>
  <c r="O22594" i="10"/>
  <c r="O22595" i="10"/>
  <c r="O22596" i="10"/>
  <c r="O22597" i="10"/>
  <c r="O22598" i="10"/>
  <c r="O22599" i="10"/>
  <c r="O22600" i="10"/>
  <c r="O22601" i="10"/>
  <c r="O22602" i="10"/>
  <c r="O22603" i="10"/>
  <c r="O22604" i="10"/>
  <c r="O22605" i="10"/>
  <c r="O22606" i="10"/>
  <c r="O22607" i="10"/>
  <c r="O22608" i="10"/>
  <c r="O22609" i="10"/>
  <c r="O22610" i="10"/>
  <c r="O22611" i="10"/>
  <c r="O22612" i="10"/>
  <c r="O22613" i="10"/>
  <c r="O22614" i="10"/>
  <c r="O22615" i="10"/>
  <c r="O22616" i="10"/>
  <c r="O22617" i="10"/>
  <c r="O22618" i="10"/>
  <c r="O22619" i="10"/>
  <c r="O22620" i="10"/>
  <c r="O22621" i="10"/>
  <c r="O22622" i="10"/>
  <c r="O22623" i="10"/>
  <c r="O22624" i="10"/>
  <c r="O22625" i="10"/>
  <c r="O22626" i="10"/>
  <c r="O22627" i="10"/>
  <c r="O22628" i="10"/>
  <c r="O22629" i="10"/>
  <c r="O22630" i="10"/>
  <c r="O22631" i="10"/>
  <c r="O22632" i="10"/>
  <c r="O22633" i="10"/>
  <c r="O22634" i="10"/>
  <c r="O22635" i="10"/>
  <c r="O22636" i="10"/>
  <c r="O22637" i="10"/>
  <c r="O22638" i="10"/>
  <c r="O22639" i="10"/>
  <c r="O22640" i="10"/>
  <c r="O22641" i="10"/>
  <c r="O22642" i="10"/>
  <c r="O22643" i="10"/>
  <c r="O22644" i="10"/>
  <c r="O22645" i="10"/>
  <c r="O22646" i="10"/>
  <c r="O22647" i="10"/>
  <c r="O22648" i="10"/>
  <c r="O22649" i="10"/>
  <c r="O22650" i="10"/>
  <c r="O22651" i="10"/>
  <c r="O22652" i="10"/>
  <c r="O22653" i="10"/>
  <c r="O22654" i="10"/>
  <c r="O22655" i="10"/>
  <c r="O22656" i="10"/>
  <c r="O22657" i="10"/>
  <c r="O22658" i="10"/>
  <c r="O22659" i="10"/>
  <c r="O22660" i="10"/>
  <c r="O22661" i="10"/>
  <c r="O22662" i="10"/>
  <c r="O22663" i="10"/>
  <c r="O22664" i="10"/>
  <c r="O22665" i="10"/>
  <c r="O22666" i="10"/>
  <c r="O22667" i="10"/>
  <c r="O22668" i="10"/>
  <c r="O22669" i="10"/>
  <c r="O22670" i="10"/>
  <c r="O22671" i="10"/>
  <c r="O22672" i="10"/>
  <c r="O22673" i="10"/>
  <c r="O22674" i="10"/>
  <c r="O22675" i="10"/>
  <c r="O22676" i="10"/>
  <c r="O22677" i="10"/>
  <c r="O22678" i="10"/>
  <c r="O22679" i="10"/>
  <c r="O22680" i="10"/>
  <c r="O22681" i="10"/>
  <c r="O22682" i="10"/>
  <c r="O22683" i="10"/>
  <c r="O22684" i="10"/>
  <c r="O22685" i="10"/>
  <c r="O22686" i="10"/>
  <c r="O22687" i="10"/>
  <c r="O22688" i="10"/>
  <c r="O22689" i="10"/>
  <c r="O22690" i="10"/>
  <c r="O22691" i="10"/>
  <c r="O22692" i="10"/>
  <c r="O22693" i="10"/>
  <c r="O22694" i="10"/>
  <c r="O22695" i="10"/>
  <c r="O22696" i="10"/>
  <c r="O22697" i="10"/>
  <c r="O22698" i="10"/>
  <c r="O22699" i="10"/>
  <c r="O22700" i="10"/>
  <c r="O22701" i="10"/>
  <c r="O22702" i="10"/>
  <c r="O22703" i="10"/>
  <c r="O22704" i="10"/>
  <c r="O22705" i="10"/>
  <c r="O22706" i="10"/>
  <c r="O22707" i="10"/>
  <c r="O22708" i="10"/>
  <c r="O22709" i="10"/>
  <c r="O22710" i="10"/>
  <c r="O22711" i="10"/>
  <c r="O22712" i="10"/>
  <c r="O22713" i="10"/>
  <c r="O22714" i="10"/>
  <c r="O22715" i="10"/>
  <c r="O22716" i="10"/>
  <c r="O22717" i="10"/>
  <c r="O22718" i="10"/>
  <c r="O22719" i="10"/>
  <c r="O22720" i="10"/>
  <c r="O22721" i="10"/>
  <c r="O22722" i="10"/>
  <c r="O22723" i="10"/>
  <c r="O22724" i="10"/>
  <c r="O22725" i="10"/>
  <c r="O22726" i="10"/>
  <c r="O22727" i="10"/>
  <c r="O22728" i="10"/>
  <c r="O22729" i="10"/>
  <c r="O22730" i="10"/>
  <c r="O22731" i="10"/>
  <c r="O22732" i="10"/>
  <c r="O22733" i="10"/>
  <c r="O22734" i="10"/>
  <c r="O22735" i="10"/>
  <c r="O22736" i="10"/>
  <c r="O22737" i="10"/>
  <c r="O22738" i="10"/>
  <c r="O22739" i="10"/>
  <c r="O22740" i="10"/>
  <c r="O22741" i="10"/>
  <c r="O22742" i="10"/>
  <c r="O22743" i="10"/>
  <c r="O22744" i="10"/>
  <c r="O22745" i="10"/>
  <c r="O22746" i="10"/>
  <c r="O22747" i="10"/>
  <c r="O22748" i="10"/>
  <c r="O22749" i="10"/>
  <c r="O22750" i="10"/>
  <c r="O22751" i="10"/>
  <c r="O22752" i="10"/>
  <c r="O22753" i="10"/>
  <c r="O22754" i="10"/>
  <c r="O22755" i="10"/>
  <c r="O22756" i="10"/>
  <c r="O22757" i="10"/>
  <c r="O22758" i="10"/>
  <c r="O22759" i="10"/>
  <c r="O22760" i="10"/>
  <c r="O22761" i="10"/>
  <c r="O22762" i="10"/>
  <c r="O22763" i="10"/>
  <c r="O22764" i="10"/>
  <c r="O22765" i="10"/>
  <c r="O22766" i="10"/>
  <c r="O22767" i="10"/>
  <c r="O22768" i="10"/>
  <c r="O22769" i="10"/>
  <c r="O22770" i="10"/>
  <c r="O22771" i="10"/>
  <c r="O22772" i="10"/>
  <c r="O22773" i="10"/>
  <c r="O22774" i="10"/>
  <c r="O22775" i="10"/>
  <c r="O22776" i="10"/>
  <c r="O22777" i="10"/>
  <c r="O22778" i="10"/>
  <c r="O22779" i="10"/>
  <c r="O22780" i="10"/>
  <c r="O22781" i="10"/>
  <c r="O22782" i="10"/>
  <c r="O22783" i="10"/>
  <c r="O22784" i="10"/>
  <c r="O22785" i="10"/>
  <c r="O22786" i="10"/>
  <c r="O22787" i="10"/>
  <c r="O22788" i="10"/>
  <c r="O22789" i="10"/>
  <c r="O22790" i="10"/>
  <c r="O22791" i="10"/>
  <c r="O22792" i="10"/>
  <c r="O22793" i="10"/>
  <c r="O22794" i="10"/>
  <c r="O22795" i="10"/>
  <c r="O22796" i="10"/>
  <c r="O22797" i="10"/>
  <c r="O22798" i="10"/>
  <c r="O22799" i="10"/>
  <c r="O22800" i="10"/>
  <c r="O22801" i="10"/>
  <c r="O22802" i="10"/>
  <c r="O22803" i="10"/>
  <c r="O22804" i="10"/>
  <c r="O22805" i="10"/>
  <c r="O22806" i="10"/>
  <c r="O22807" i="10"/>
  <c r="O22808" i="10"/>
  <c r="O22809" i="10"/>
  <c r="O22810" i="10"/>
  <c r="O22811" i="10"/>
  <c r="O22812" i="10"/>
  <c r="O22813" i="10"/>
  <c r="O22814" i="10"/>
  <c r="O22815" i="10"/>
  <c r="O22816" i="10"/>
  <c r="O22817" i="10"/>
  <c r="O22818" i="10"/>
  <c r="O22819" i="10"/>
  <c r="O22820" i="10"/>
  <c r="O22821" i="10"/>
  <c r="O22822" i="10"/>
  <c r="O22823" i="10"/>
  <c r="O22824" i="10"/>
  <c r="O22825" i="10"/>
  <c r="O22826" i="10"/>
  <c r="O22827" i="10"/>
  <c r="O22828" i="10"/>
  <c r="O22829" i="10"/>
  <c r="O22830" i="10"/>
  <c r="O22831" i="10"/>
  <c r="O22832" i="10"/>
  <c r="O22833" i="10"/>
  <c r="O22834" i="10"/>
  <c r="O22835" i="10"/>
  <c r="O22836" i="10"/>
  <c r="O22837" i="10"/>
  <c r="O22838" i="10"/>
  <c r="O22839" i="10"/>
  <c r="O22840" i="10"/>
  <c r="O22841" i="10"/>
  <c r="O22842" i="10"/>
  <c r="O22843" i="10"/>
  <c r="O22844" i="10"/>
  <c r="O22845" i="10"/>
  <c r="O22846" i="10"/>
  <c r="O22847" i="10"/>
  <c r="O22848" i="10"/>
  <c r="O22849" i="10"/>
  <c r="O22850" i="10"/>
  <c r="O22851" i="10"/>
  <c r="O22852" i="10"/>
  <c r="O22853" i="10"/>
  <c r="O22854" i="10"/>
  <c r="O22855" i="10"/>
  <c r="O22856" i="10"/>
  <c r="O22857" i="10"/>
  <c r="O22858" i="10"/>
  <c r="O22859" i="10"/>
  <c r="O22860" i="10"/>
  <c r="O22861" i="10"/>
  <c r="O22862" i="10"/>
  <c r="O22863" i="10"/>
  <c r="O22864" i="10"/>
  <c r="O22865" i="10"/>
  <c r="O22866" i="10"/>
  <c r="O22867" i="10"/>
  <c r="O22868" i="10"/>
  <c r="O22869" i="10"/>
  <c r="O22870" i="10"/>
  <c r="O22871" i="10"/>
  <c r="O22872" i="10"/>
  <c r="O22873" i="10"/>
  <c r="O22874" i="10"/>
  <c r="O22875" i="10"/>
  <c r="O22876" i="10"/>
  <c r="O22877" i="10"/>
  <c r="O22878" i="10"/>
  <c r="O22879" i="10"/>
  <c r="O22880" i="10"/>
  <c r="O22881" i="10"/>
  <c r="O22882" i="10"/>
  <c r="O22883" i="10"/>
  <c r="O22884" i="10"/>
  <c r="O22885" i="10"/>
  <c r="O22886" i="10"/>
  <c r="O22887" i="10"/>
  <c r="O22888" i="10"/>
  <c r="O22889" i="10"/>
  <c r="O22890" i="10"/>
  <c r="O22891" i="10"/>
  <c r="O22892" i="10"/>
  <c r="O22893" i="10"/>
  <c r="O22894" i="10"/>
  <c r="O22895" i="10"/>
  <c r="O22896" i="10"/>
  <c r="O22897" i="10"/>
  <c r="O22898" i="10"/>
  <c r="O22899" i="10"/>
  <c r="O22900" i="10"/>
  <c r="O22901" i="10"/>
  <c r="O22902" i="10"/>
  <c r="O22903" i="10"/>
  <c r="O22904" i="10"/>
  <c r="O22905" i="10"/>
  <c r="O22906" i="10"/>
  <c r="O22907" i="10"/>
  <c r="O22908" i="10"/>
  <c r="O22909" i="10"/>
  <c r="O22910" i="10"/>
  <c r="O22911" i="10"/>
  <c r="O22912" i="10"/>
  <c r="O22913" i="10"/>
  <c r="O22914" i="10"/>
  <c r="O22915" i="10"/>
  <c r="O22916" i="10"/>
  <c r="O22917" i="10"/>
  <c r="O22918" i="10"/>
  <c r="O22919" i="10"/>
  <c r="O22920" i="10"/>
  <c r="O22921" i="10"/>
  <c r="O22922" i="10"/>
  <c r="O22923" i="10"/>
  <c r="O22924" i="10"/>
  <c r="O22925" i="10"/>
  <c r="O22926" i="10"/>
  <c r="O22927" i="10"/>
  <c r="O22928" i="10"/>
  <c r="O22929" i="10"/>
  <c r="O22930" i="10"/>
  <c r="O22931" i="10"/>
  <c r="O22932" i="10"/>
  <c r="O22933" i="10"/>
  <c r="O22934" i="10"/>
  <c r="O22935" i="10"/>
  <c r="O22936" i="10"/>
  <c r="O22937" i="10"/>
  <c r="O22938" i="10"/>
  <c r="O22939" i="10"/>
  <c r="O22940" i="10"/>
  <c r="O22941" i="10"/>
  <c r="O22942" i="10"/>
  <c r="O22943" i="10"/>
  <c r="O22944" i="10"/>
  <c r="O22945" i="10"/>
  <c r="O22946" i="10"/>
  <c r="O22947" i="10"/>
  <c r="O22948" i="10"/>
  <c r="O22949" i="10"/>
  <c r="O22950" i="10"/>
  <c r="O22951" i="10"/>
  <c r="O22952" i="10"/>
  <c r="O22953" i="10"/>
  <c r="O22954" i="10"/>
  <c r="O22955" i="10"/>
  <c r="O22956" i="10"/>
  <c r="O22957" i="10"/>
  <c r="O22958" i="10"/>
  <c r="O22959" i="10"/>
  <c r="O22960" i="10"/>
  <c r="O22961" i="10"/>
  <c r="O22962" i="10"/>
  <c r="O22963" i="10"/>
  <c r="O22964" i="10"/>
  <c r="O22965" i="10"/>
  <c r="O22966" i="10"/>
  <c r="O22967" i="10"/>
  <c r="O22968" i="10"/>
  <c r="O22969" i="10"/>
  <c r="O22970" i="10"/>
  <c r="O22971" i="10"/>
  <c r="O22972" i="10"/>
  <c r="O22973" i="10"/>
  <c r="O22974" i="10"/>
  <c r="O22975" i="10"/>
  <c r="O22976" i="10"/>
  <c r="O22977" i="10"/>
  <c r="O22978" i="10"/>
  <c r="O22979" i="10"/>
  <c r="O22980" i="10"/>
  <c r="O22981" i="10"/>
  <c r="O22982" i="10"/>
  <c r="O22983" i="10"/>
  <c r="O22984" i="10"/>
  <c r="O22985" i="10"/>
  <c r="O22986" i="10"/>
  <c r="O22987" i="10"/>
  <c r="O22988" i="10"/>
  <c r="O22989" i="10"/>
  <c r="O22990" i="10"/>
  <c r="O22991" i="10"/>
  <c r="O22992" i="10"/>
  <c r="O22993" i="10"/>
  <c r="O22994" i="10"/>
  <c r="O22995" i="10"/>
  <c r="O22996" i="10"/>
  <c r="O22997" i="10"/>
  <c r="O22998" i="10"/>
  <c r="O22999" i="10"/>
  <c r="O23000" i="10"/>
  <c r="O23001" i="10"/>
  <c r="O23002" i="10"/>
  <c r="O23003" i="10"/>
  <c r="O23004" i="10"/>
  <c r="O23005" i="10"/>
  <c r="O23006" i="10"/>
  <c r="O23007" i="10"/>
  <c r="O23008" i="10"/>
  <c r="O23009" i="10"/>
  <c r="O23010" i="10"/>
  <c r="O23011" i="10"/>
  <c r="O23012" i="10"/>
  <c r="O23013" i="10"/>
  <c r="O23014" i="10"/>
  <c r="O23015" i="10"/>
  <c r="O23016" i="10"/>
  <c r="O23017" i="10"/>
  <c r="O23018" i="10"/>
  <c r="O23019" i="10"/>
  <c r="O23020" i="10"/>
  <c r="O23021" i="10"/>
  <c r="O23022" i="10"/>
  <c r="O23023" i="10"/>
  <c r="O23024" i="10"/>
  <c r="O23025" i="10"/>
  <c r="O23026" i="10"/>
  <c r="O23027" i="10"/>
  <c r="O23028" i="10"/>
  <c r="O23029" i="10"/>
  <c r="O23030" i="10"/>
  <c r="O23031" i="10"/>
  <c r="O23032" i="10"/>
  <c r="O23033" i="10"/>
  <c r="O23034" i="10"/>
  <c r="O23035" i="10"/>
  <c r="O23036" i="10"/>
  <c r="O23037" i="10"/>
  <c r="O23038" i="10"/>
  <c r="O23039" i="10"/>
  <c r="O23040" i="10"/>
  <c r="O23041" i="10"/>
  <c r="O23042" i="10"/>
  <c r="O23043" i="10"/>
  <c r="O23044" i="10"/>
  <c r="O23045" i="10"/>
  <c r="O23046" i="10"/>
  <c r="O23047" i="10"/>
  <c r="O23048" i="10"/>
  <c r="O23049" i="10"/>
  <c r="O23050" i="10"/>
  <c r="O23051" i="10"/>
  <c r="O23052" i="10"/>
  <c r="O23053" i="10"/>
  <c r="O23054" i="10"/>
  <c r="O23055" i="10"/>
  <c r="O23056" i="10"/>
  <c r="O23057" i="10"/>
  <c r="O23058" i="10"/>
  <c r="O23059" i="10"/>
  <c r="O23060" i="10"/>
  <c r="O23061" i="10"/>
  <c r="O23062" i="10"/>
  <c r="O23063" i="10"/>
  <c r="O23064" i="10"/>
  <c r="O23065" i="10"/>
  <c r="O23066" i="10"/>
  <c r="O23067" i="10"/>
  <c r="O23068" i="10"/>
  <c r="O23069" i="10"/>
  <c r="O23070" i="10"/>
  <c r="O23071" i="10"/>
  <c r="O23072" i="10"/>
  <c r="O23073" i="10"/>
  <c r="O23074" i="10"/>
  <c r="O23075" i="10"/>
  <c r="O23076" i="10"/>
  <c r="O23077" i="10"/>
  <c r="O23078" i="10"/>
  <c r="O23079" i="10"/>
  <c r="O23080" i="10"/>
  <c r="O23081" i="10"/>
  <c r="O23082" i="10"/>
  <c r="O23083" i="10"/>
  <c r="O23084" i="10"/>
  <c r="O23085" i="10"/>
  <c r="O23086" i="10"/>
  <c r="O23087" i="10"/>
  <c r="O23088" i="10"/>
  <c r="O23089" i="10"/>
  <c r="O23090" i="10"/>
  <c r="O23091" i="10"/>
  <c r="O23092" i="10"/>
  <c r="O23093" i="10"/>
  <c r="O23094" i="10"/>
  <c r="O23095" i="10"/>
  <c r="O23096" i="10"/>
  <c r="O23097" i="10"/>
  <c r="O23098" i="10"/>
  <c r="O23099" i="10"/>
  <c r="O23100" i="10"/>
  <c r="O23101" i="10"/>
  <c r="O23102" i="10"/>
  <c r="O23103" i="10"/>
  <c r="O23104" i="10"/>
  <c r="O23105" i="10"/>
  <c r="O23106" i="10"/>
  <c r="O23107" i="10"/>
  <c r="O23108" i="10"/>
  <c r="O23109" i="10"/>
  <c r="O23110" i="10"/>
  <c r="O23111" i="10"/>
  <c r="O23112" i="10"/>
  <c r="O23113" i="10"/>
  <c r="O23114" i="10"/>
  <c r="O23115" i="10"/>
  <c r="O23116" i="10"/>
  <c r="O23117" i="10"/>
  <c r="O23118" i="10"/>
  <c r="O23119" i="10"/>
  <c r="O23120" i="10"/>
  <c r="O23121" i="10"/>
  <c r="O23122" i="10"/>
  <c r="O23123" i="10"/>
  <c r="O23124" i="10"/>
  <c r="O23125" i="10"/>
  <c r="O23126" i="10"/>
  <c r="O23127" i="10"/>
  <c r="O23128" i="10"/>
  <c r="O23129" i="10"/>
  <c r="O23130" i="10"/>
  <c r="O23131" i="10"/>
  <c r="O23132" i="10"/>
  <c r="O23133" i="10"/>
  <c r="O23134" i="10"/>
  <c r="O23135" i="10"/>
  <c r="O23136" i="10"/>
  <c r="O23137" i="10"/>
  <c r="O23138" i="10"/>
  <c r="O23139" i="10"/>
  <c r="O23140" i="10"/>
  <c r="O23141" i="10"/>
  <c r="O23142" i="10"/>
  <c r="O23143" i="10"/>
  <c r="O23144" i="10"/>
  <c r="O23145" i="10"/>
  <c r="O23146" i="10"/>
  <c r="O23147" i="10"/>
  <c r="O23148" i="10"/>
  <c r="O23149" i="10"/>
  <c r="O23150" i="10"/>
  <c r="O23151" i="10"/>
  <c r="O23152" i="10"/>
  <c r="O23153" i="10"/>
  <c r="O23154" i="10"/>
  <c r="O23155" i="10"/>
  <c r="O23156" i="10"/>
  <c r="O23157" i="10"/>
  <c r="O23158" i="10"/>
  <c r="O23159" i="10"/>
  <c r="O23160" i="10"/>
  <c r="O23161" i="10"/>
  <c r="O23162" i="10"/>
  <c r="O23163" i="10"/>
  <c r="O23164" i="10"/>
  <c r="O23165" i="10"/>
  <c r="O23166" i="10"/>
  <c r="O23167" i="10"/>
  <c r="O23168" i="10"/>
  <c r="O23169" i="10"/>
  <c r="O23170" i="10"/>
  <c r="O23171" i="10"/>
  <c r="O23172" i="10"/>
  <c r="O23173" i="10"/>
  <c r="O23174" i="10"/>
  <c r="O23175" i="10"/>
  <c r="O23176" i="10"/>
  <c r="O23177" i="10"/>
  <c r="O23178" i="10"/>
  <c r="O23179" i="10"/>
  <c r="O23180" i="10"/>
  <c r="O23181" i="10"/>
  <c r="O23182" i="10"/>
  <c r="O23183" i="10"/>
  <c r="O23184" i="10"/>
  <c r="O23185" i="10"/>
  <c r="O23186" i="10"/>
  <c r="O23187" i="10"/>
  <c r="O23188" i="10"/>
  <c r="O23189" i="10"/>
  <c r="O23190" i="10"/>
  <c r="O23191" i="10"/>
  <c r="O23192" i="10"/>
  <c r="O23193" i="10"/>
  <c r="O23194" i="10"/>
  <c r="O23195" i="10"/>
  <c r="O23196" i="10"/>
  <c r="O23197" i="10"/>
  <c r="O23198" i="10"/>
  <c r="O23199" i="10"/>
  <c r="O23200" i="10"/>
  <c r="O23201" i="10"/>
  <c r="O23202" i="10"/>
  <c r="O23203" i="10"/>
  <c r="O23204" i="10"/>
  <c r="O23205" i="10"/>
  <c r="O23206" i="10"/>
  <c r="O23207" i="10"/>
  <c r="O23208" i="10"/>
  <c r="O23209" i="10"/>
  <c r="O23210" i="10"/>
  <c r="O23211" i="10"/>
  <c r="O23212" i="10"/>
  <c r="O23213" i="10"/>
  <c r="O23214" i="10"/>
  <c r="O23215" i="10"/>
  <c r="O23216" i="10"/>
  <c r="O23217" i="10"/>
  <c r="O23218" i="10"/>
  <c r="O23219" i="10"/>
  <c r="O23220" i="10"/>
  <c r="O23221" i="10"/>
  <c r="O23222" i="10"/>
  <c r="O23223" i="10"/>
  <c r="O23224" i="10"/>
  <c r="O23225" i="10"/>
  <c r="O23226" i="10"/>
  <c r="O23227" i="10"/>
  <c r="O23228" i="10"/>
  <c r="O23229" i="10"/>
  <c r="O23230" i="10"/>
  <c r="O23231" i="10"/>
  <c r="O23232" i="10"/>
  <c r="O23233" i="10"/>
  <c r="O23234" i="10"/>
  <c r="O23235" i="10"/>
  <c r="O23236" i="10"/>
  <c r="O23237" i="10"/>
  <c r="O23238" i="10"/>
  <c r="O23239" i="10"/>
  <c r="O23240" i="10"/>
  <c r="O23241" i="10"/>
  <c r="O23242" i="10"/>
  <c r="O23243" i="10"/>
  <c r="O23244" i="10"/>
  <c r="O23245" i="10"/>
  <c r="O23246" i="10"/>
  <c r="O23247" i="10"/>
  <c r="O23248" i="10"/>
  <c r="O23249" i="10"/>
  <c r="O23250" i="10"/>
  <c r="O23251" i="10"/>
  <c r="O23252" i="10"/>
  <c r="O23253" i="10"/>
  <c r="O23254" i="10"/>
  <c r="O23255" i="10"/>
  <c r="O23256" i="10"/>
  <c r="O23257" i="10"/>
  <c r="O23258" i="10"/>
  <c r="O23259" i="10"/>
  <c r="O23260" i="10"/>
  <c r="O23261" i="10"/>
  <c r="O23262" i="10"/>
  <c r="O23263" i="10"/>
  <c r="O23264" i="10"/>
  <c r="O23265" i="10"/>
  <c r="O23266" i="10"/>
  <c r="O23267" i="10"/>
  <c r="O23268" i="10"/>
  <c r="O23269" i="10"/>
  <c r="O23270" i="10"/>
  <c r="O23271" i="10"/>
  <c r="O23272" i="10"/>
  <c r="O23273" i="10"/>
  <c r="O23274" i="10"/>
  <c r="O23275" i="10"/>
  <c r="O23276" i="10"/>
  <c r="O23277" i="10"/>
  <c r="O23278" i="10"/>
  <c r="O23279" i="10"/>
  <c r="O23280" i="10"/>
  <c r="O23281" i="10"/>
  <c r="O23282" i="10"/>
  <c r="O23283" i="10"/>
  <c r="O23284" i="10"/>
  <c r="O23285" i="10"/>
  <c r="O23286" i="10"/>
  <c r="O23287" i="10"/>
  <c r="O23288" i="10"/>
  <c r="O23289" i="10"/>
  <c r="O23290" i="10"/>
  <c r="O23291" i="10"/>
  <c r="O23292" i="10"/>
  <c r="O23293" i="10"/>
  <c r="O23294" i="10"/>
  <c r="O23295" i="10"/>
  <c r="O23296" i="10"/>
  <c r="O23297" i="10"/>
  <c r="O23298" i="10"/>
  <c r="O23299" i="10"/>
  <c r="O23300" i="10"/>
  <c r="O23301" i="10"/>
  <c r="O23302" i="10"/>
  <c r="O23303" i="10"/>
  <c r="O23304" i="10"/>
  <c r="O23305" i="10"/>
  <c r="O23306" i="10"/>
  <c r="O23307" i="10"/>
  <c r="O23308" i="10"/>
  <c r="O23309" i="10"/>
  <c r="O23310" i="10"/>
  <c r="O23311" i="10"/>
  <c r="O23312" i="10"/>
  <c r="O23313" i="10"/>
  <c r="O23314" i="10"/>
  <c r="O23315" i="10"/>
  <c r="O23316" i="10"/>
  <c r="O23317" i="10"/>
  <c r="O23318" i="10"/>
  <c r="O23319" i="10"/>
  <c r="O23320" i="10"/>
  <c r="O23321" i="10"/>
  <c r="O23322" i="10"/>
  <c r="O23323" i="10"/>
  <c r="O23324" i="10"/>
  <c r="O23325" i="10"/>
  <c r="O23326" i="10"/>
  <c r="O23327" i="10"/>
  <c r="O23328" i="10"/>
  <c r="O23329" i="10"/>
  <c r="O23330" i="10"/>
  <c r="O23331" i="10"/>
  <c r="O23332" i="10"/>
  <c r="O23333" i="10"/>
  <c r="O23334" i="10"/>
  <c r="O23335" i="10"/>
  <c r="O23336" i="10"/>
  <c r="O23337" i="10"/>
  <c r="O23338" i="10"/>
  <c r="O23339" i="10"/>
  <c r="O23340" i="10"/>
  <c r="O23341" i="10"/>
  <c r="O23342" i="10"/>
  <c r="O23343" i="10"/>
  <c r="O23344" i="10"/>
  <c r="O23345" i="10"/>
  <c r="O23346" i="10"/>
  <c r="O23347" i="10"/>
  <c r="O23348" i="10"/>
  <c r="O23349" i="10"/>
  <c r="O23350" i="10"/>
  <c r="O23351" i="10"/>
  <c r="O23352" i="10"/>
  <c r="O23353" i="10"/>
  <c r="O23354" i="10"/>
  <c r="O23355" i="10"/>
  <c r="O23356" i="10"/>
  <c r="O23357" i="10"/>
  <c r="O23358" i="10"/>
  <c r="O23359" i="10"/>
  <c r="O23360" i="10"/>
  <c r="O23361" i="10"/>
  <c r="O23362" i="10"/>
  <c r="O23363" i="10"/>
  <c r="O23364" i="10"/>
  <c r="O23365" i="10"/>
  <c r="O23366" i="10"/>
  <c r="O23367" i="10"/>
  <c r="O23368" i="10"/>
  <c r="O23369" i="10"/>
  <c r="O23370" i="10"/>
  <c r="O23371" i="10"/>
  <c r="O23372" i="10"/>
  <c r="O23373" i="10"/>
  <c r="O23374" i="10"/>
  <c r="O23375" i="10"/>
  <c r="O23376" i="10"/>
  <c r="O23377" i="10"/>
  <c r="O23378" i="10"/>
  <c r="O23379" i="10"/>
  <c r="O23380" i="10"/>
  <c r="O23381" i="10"/>
  <c r="O23382" i="10"/>
  <c r="O23383" i="10"/>
  <c r="O23384" i="10"/>
  <c r="O23385" i="10"/>
  <c r="O23386" i="10"/>
  <c r="O23387" i="10"/>
  <c r="O23388" i="10"/>
  <c r="O23389" i="10"/>
  <c r="O23390" i="10"/>
  <c r="O23391" i="10"/>
  <c r="O23392" i="10"/>
  <c r="O23393" i="10"/>
  <c r="O23394" i="10"/>
  <c r="O23395" i="10"/>
  <c r="O23396" i="10"/>
  <c r="O23397" i="10"/>
  <c r="O23398" i="10"/>
  <c r="O23399" i="10"/>
  <c r="O23400" i="10"/>
  <c r="O23401" i="10"/>
  <c r="O23402" i="10"/>
  <c r="O23403" i="10"/>
  <c r="O23404" i="10"/>
  <c r="O23405" i="10"/>
  <c r="O23406" i="10"/>
  <c r="O23407" i="10"/>
  <c r="O23408" i="10"/>
  <c r="O23409" i="10"/>
  <c r="O23410" i="10"/>
  <c r="O23411" i="10"/>
  <c r="O23412" i="10"/>
  <c r="O23413" i="10"/>
  <c r="O23414" i="10"/>
  <c r="O23415" i="10"/>
  <c r="O23416" i="10"/>
  <c r="O23417" i="10"/>
  <c r="O23418" i="10"/>
  <c r="O23419" i="10"/>
  <c r="O23420" i="10"/>
  <c r="O23421" i="10"/>
  <c r="O23422" i="10"/>
  <c r="O23423" i="10"/>
  <c r="O23424" i="10"/>
  <c r="O23425" i="10"/>
  <c r="O23426" i="10"/>
  <c r="O23427" i="10"/>
  <c r="O23428" i="10"/>
  <c r="O23429" i="10"/>
  <c r="O23430" i="10"/>
  <c r="O23431" i="10"/>
  <c r="O23432" i="10"/>
  <c r="O23433" i="10"/>
  <c r="O23434" i="10"/>
  <c r="O23435" i="10"/>
  <c r="O23436" i="10"/>
  <c r="O23437" i="10"/>
  <c r="O23438" i="10"/>
  <c r="O23439" i="10"/>
  <c r="O23440" i="10"/>
  <c r="O23441" i="10"/>
  <c r="O23442" i="10"/>
  <c r="O23443" i="10"/>
  <c r="O23444" i="10"/>
  <c r="O23445" i="10"/>
  <c r="O23446" i="10"/>
  <c r="O23447" i="10"/>
  <c r="O23448" i="10"/>
  <c r="O23449" i="10"/>
  <c r="O23450" i="10"/>
  <c r="O23451" i="10"/>
  <c r="O23452" i="10"/>
  <c r="O23453" i="10"/>
  <c r="O23454" i="10"/>
  <c r="O23455" i="10"/>
  <c r="O23456" i="10"/>
  <c r="O23457" i="10"/>
  <c r="O23458" i="10"/>
  <c r="O23459" i="10"/>
  <c r="O23460" i="10"/>
  <c r="O23461" i="10"/>
  <c r="O23462" i="10"/>
  <c r="O23463" i="10"/>
  <c r="O23464" i="10"/>
  <c r="O23465" i="10"/>
  <c r="O23466" i="10"/>
  <c r="O23467" i="10"/>
  <c r="O23468" i="10"/>
  <c r="O23469" i="10"/>
  <c r="O23470" i="10"/>
  <c r="O23471" i="10"/>
  <c r="O23472" i="10"/>
  <c r="O23473" i="10"/>
  <c r="O23474" i="10"/>
  <c r="O23475" i="10"/>
  <c r="O23476" i="10"/>
  <c r="O23477" i="10"/>
  <c r="O23478" i="10"/>
  <c r="O23479" i="10"/>
  <c r="O23480" i="10"/>
  <c r="O23481" i="10"/>
  <c r="O23482" i="10"/>
  <c r="O23483" i="10"/>
  <c r="O23484" i="10"/>
  <c r="O23485" i="10"/>
  <c r="O23486" i="10"/>
  <c r="O23487" i="10"/>
  <c r="O23488" i="10"/>
  <c r="O23489" i="10"/>
  <c r="O23490" i="10"/>
  <c r="O23491" i="10"/>
  <c r="O23492" i="10"/>
  <c r="O23493" i="10"/>
  <c r="O23494" i="10"/>
  <c r="O23495" i="10"/>
  <c r="O23496" i="10"/>
  <c r="O23497" i="10"/>
  <c r="O23498" i="10"/>
  <c r="O23499" i="10"/>
  <c r="O23500" i="10"/>
  <c r="O23501" i="10"/>
  <c r="O23502" i="10"/>
  <c r="O23503" i="10"/>
  <c r="O23504" i="10"/>
  <c r="O23505" i="10"/>
  <c r="O23506" i="10"/>
  <c r="O23507" i="10"/>
  <c r="O23508" i="10"/>
  <c r="O23509" i="10"/>
  <c r="O23510" i="10"/>
  <c r="O23511" i="10"/>
  <c r="O23512" i="10"/>
  <c r="O23513" i="10"/>
  <c r="O23514" i="10"/>
  <c r="O23515" i="10"/>
  <c r="O23516" i="10"/>
  <c r="O23517" i="10"/>
  <c r="O23518" i="10"/>
  <c r="O23519" i="10"/>
  <c r="O23520" i="10"/>
  <c r="O23521" i="10"/>
  <c r="O23522" i="10"/>
  <c r="O23523" i="10"/>
  <c r="O23524" i="10"/>
  <c r="O23525" i="10"/>
  <c r="O23526" i="10"/>
  <c r="O23527" i="10"/>
  <c r="O23528" i="10"/>
  <c r="O23529" i="10"/>
  <c r="O23530" i="10"/>
  <c r="O23531" i="10"/>
  <c r="O23532" i="10"/>
  <c r="O23533" i="10"/>
  <c r="O23534" i="10"/>
  <c r="O23535" i="10"/>
  <c r="O23536" i="10"/>
  <c r="O23537" i="10"/>
  <c r="O23538" i="10"/>
  <c r="O23539" i="10"/>
  <c r="O23540" i="10"/>
  <c r="O23541" i="10"/>
  <c r="O23542" i="10"/>
  <c r="O23543" i="10"/>
  <c r="O23544" i="10"/>
  <c r="O23545" i="10"/>
  <c r="O23546" i="10"/>
  <c r="O23547" i="10"/>
  <c r="O23548" i="10"/>
  <c r="O23549" i="10"/>
  <c r="O23550" i="10"/>
  <c r="O23551" i="10"/>
  <c r="O23552" i="10"/>
  <c r="O23553" i="10"/>
  <c r="O23554" i="10"/>
  <c r="O23555" i="10"/>
  <c r="O23556" i="10"/>
  <c r="O23557" i="10"/>
  <c r="O23558" i="10"/>
  <c r="O23559" i="10"/>
  <c r="O23560" i="10"/>
  <c r="O23561" i="10"/>
  <c r="O23562" i="10"/>
  <c r="O23563" i="10"/>
  <c r="O23564" i="10"/>
  <c r="O23565" i="10"/>
  <c r="O23566" i="10"/>
  <c r="O23567" i="10"/>
  <c r="O23568" i="10"/>
  <c r="O23569" i="10"/>
  <c r="O23570" i="10"/>
  <c r="O23571" i="10"/>
  <c r="O23572" i="10"/>
  <c r="O23573" i="10"/>
  <c r="O23574" i="10"/>
  <c r="O23575" i="10"/>
  <c r="O23576" i="10"/>
  <c r="O23577" i="10"/>
  <c r="O23578" i="10"/>
  <c r="O23579" i="10"/>
  <c r="O23580" i="10"/>
  <c r="O23581" i="10"/>
  <c r="O23582" i="10"/>
  <c r="O23583" i="10"/>
  <c r="O23584" i="10"/>
  <c r="O23585" i="10"/>
  <c r="O23586" i="10"/>
  <c r="O23587" i="10"/>
  <c r="O23588" i="10"/>
  <c r="O23589" i="10"/>
  <c r="O23590" i="10"/>
  <c r="O23591" i="10"/>
  <c r="O23592" i="10"/>
  <c r="O23593" i="10"/>
  <c r="O23594" i="10"/>
  <c r="O23595" i="10"/>
  <c r="O23596" i="10"/>
  <c r="O23597" i="10"/>
  <c r="O23598" i="10"/>
  <c r="O23599" i="10"/>
  <c r="O23600" i="10"/>
  <c r="O23601" i="10"/>
  <c r="O23602" i="10"/>
  <c r="O23603" i="10"/>
  <c r="O23604" i="10"/>
  <c r="O23605" i="10"/>
  <c r="O23606" i="10"/>
  <c r="O23607" i="10"/>
  <c r="O23608" i="10"/>
  <c r="O23609" i="10"/>
  <c r="O23610" i="10"/>
  <c r="O23611" i="10"/>
  <c r="O23612" i="10"/>
  <c r="O23613" i="10"/>
  <c r="O23614" i="10"/>
  <c r="O23615" i="10"/>
  <c r="O23616" i="10"/>
  <c r="O23617" i="10"/>
  <c r="O23618" i="10"/>
  <c r="O23619" i="10"/>
  <c r="O23620" i="10"/>
  <c r="O23621" i="10"/>
  <c r="O23622" i="10"/>
  <c r="O23623" i="10"/>
  <c r="O23624" i="10"/>
  <c r="O23625" i="10"/>
  <c r="O23626" i="10"/>
  <c r="O23627" i="10"/>
  <c r="O23628" i="10"/>
  <c r="O23629" i="10"/>
  <c r="O23630" i="10"/>
  <c r="O23631" i="10"/>
  <c r="O23632" i="10"/>
  <c r="O23633" i="10"/>
  <c r="O23634" i="10"/>
  <c r="O23635" i="10"/>
  <c r="O23636" i="10"/>
  <c r="O23637" i="10"/>
  <c r="O23638" i="10"/>
  <c r="O23639" i="10"/>
  <c r="O23640" i="10"/>
  <c r="O23641" i="10"/>
  <c r="O23642" i="10"/>
  <c r="O23643" i="10"/>
  <c r="O23644" i="10"/>
  <c r="O23645" i="10"/>
  <c r="O23646" i="10"/>
  <c r="O23647" i="10"/>
  <c r="O23648" i="10"/>
  <c r="O23649" i="10"/>
  <c r="O23650" i="10"/>
  <c r="O23651" i="10"/>
  <c r="O23652" i="10"/>
  <c r="O23653" i="10"/>
  <c r="O23654" i="10"/>
  <c r="O23655" i="10"/>
  <c r="O23656" i="10"/>
  <c r="O23657" i="10"/>
  <c r="O23658" i="10"/>
  <c r="O23659" i="10"/>
  <c r="O23660" i="10"/>
  <c r="O23661" i="10"/>
  <c r="O23662" i="10"/>
  <c r="O23663" i="10"/>
  <c r="O23664" i="10"/>
  <c r="O23665" i="10"/>
  <c r="O23666" i="10"/>
  <c r="O23667" i="10"/>
  <c r="O23668" i="10"/>
  <c r="O23669" i="10"/>
  <c r="O23670" i="10"/>
  <c r="O23671" i="10"/>
  <c r="O23672" i="10"/>
  <c r="O23673" i="10"/>
  <c r="O23674" i="10"/>
  <c r="O23675" i="10"/>
  <c r="O23676" i="10"/>
  <c r="O23677" i="10"/>
  <c r="O23678" i="10"/>
  <c r="O23679" i="10"/>
  <c r="O23680" i="10"/>
  <c r="O23681" i="10"/>
  <c r="O23682" i="10"/>
  <c r="O23683" i="10"/>
  <c r="O23684" i="10"/>
  <c r="O23685" i="10"/>
  <c r="O23686" i="10"/>
  <c r="O23687" i="10"/>
  <c r="O23688" i="10"/>
  <c r="O23689" i="10"/>
  <c r="O23690" i="10"/>
  <c r="O23691" i="10"/>
  <c r="O23692" i="10"/>
  <c r="O23693" i="10"/>
  <c r="O23694" i="10"/>
  <c r="O23695" i="10"/>
  <c r="O23696" i="10"/>
  <c r="O23697" i="10"/>
  <c r="O23698" i="10"/>
  <c r="O23699" i="10"/>
  <c r="O23700" i="10"/>
  <c r="O23701" i="10"/>
  <c r="O23702" i="10"/>
  <c r="O23703" i="10"/>
  <c r="O23704" i="10"/>
  <c r="O23705" i="10"/>
  <c r="O23706" i="10"/>
  <c r="O23707" i="10"/>
  <c r="O23708" i="10"/>
  <c r="O23709" i="10"/>
  <c r="O23710" i="10"/>
  <c r="O23711" i="10"/>
  <c r="O23712" i="10"/>
  <c r="O23713" i="10"/>
  <c r="O23714" i="10"/>
  <c r="O23715" i="10"/>
  <c r="O23716" i="10"/>
  <c r="O23717" i="10"/>
  <c r="O23718" i="10"/>
  <c r="O23719" i="10"/>
  <c r="O23720" i="10"/>
  <c r="O23721" i="10"/>
  <c r="O23722" i="10"/>
  <c r="O23723" i="10"/>
  <c r="O23724" i="10"/>
  <c r="O23725" i="10"/>
  <c r="O23726" i="10"/>
  <c r="O23727" i="10"/>
  <c r="O23728" i="10"/>
  <c r="O23729" i="10"/>
  <c r="O23730" i="10"/>
  <c r="O23731" i="10"/>
  <c r="O23732" i="10"/>
  <c r="O23733" i="10"/>
  <c r="O23734" i="10"/>
  <c r="O23735" i="10"/>
  <c r="O23736" i="10"/>
  <c r="O23737" i="10"/>
  <c r="O23738" i="10"/>
  <c r="O23739" i="10"/>
  <c r="O23740" i="10"/>
  <c r="O23741" i="10"/>
  <c r="O23742" i="10"/>
  <c r="O23743" i="10"/>
  <c r="O23744" i="10"/>
  <c r="O23745" i="10"/>
  <c r="O23746" i="10"/>
  <c r="O23747" i="10"/>
  <c r="O23748" i="10"/>
  <c r="O23749" i="10"/>
  <c r="O23750" i="10"/>
  <c r="O23751" i="10"/>
  <c r="O23752" i="10"/>
  <c r="O23753" i="10"/>
  <c r="O23754" i="10"/>
  <c r="O23755" i="10"/>
  <c r="O23756" i="10"/>
  <c r="O23757" i="10"/>
  <c r="O23758" i="10"/>
  <c r="O23759" i="10"/>
  <c r="O23760" i="10"/>
  <c r="O23761" i="10"/>
  <c r="O23762" i="10"/>
  <c r="O23763" i="10"/>
  <c r="O23764" i="10"/>
  <c r="O23765" i="10"/>
  <c r="O23766" i="10"/>
  <c r="O23767" i="10"/>
  <c r="O23768" i="10"/>
  <c r="O23769" i="10"/>
  <c r="O23770" i="10"/>
  <c r="O23771" i="10"/>
  <c r="O23772" i="10"/>
  <c r="O23773" i="10"/>
  <c r="O23774" i="10"/>
  <c r="O23775" i="10"/>
  <c r="O23776" i="10"/>
  <c r="O23777" i="10"/>
  <c r="O23778" i="10"/>
  <c r="O23779" i="10"/>
  <c r="O23780" i="10"/>
  <c r="O23781" i="10"/>
  <c r="O23782" i="10"/>
  <c r="O23783" i="10"/>
  <c r="O23784" i="10"/>
  <c r="O23785" i="10"/>
  <c r="O23786" i="10"/>
  <c r="O23787" i="10"/>
  <c r="O23788" i="10"/>
  <c r="O23789" i="10"/>
  <c r="O23790" i="10"/>
  <c r="O23791" i="10"/>
  <c r="O23792" i="10"/>
  <c r="O23793" i="10"/>
  <c r="O23794" i="10"/>
  <c r="O23795" i="10"/>
  <c r="O23796" i="10"/>
  <c r="O23797" i="10"/>
  <c r="O23798" i="10"/>
  <c r="O23799" i="10"/>
  <c r="O23800" i="10"/>
  <c r="O23801" i="10"/>
  <c r="O23802" i="10"/>
  <c r="O23803" i="10"/>
  <c r="O23804" i="10"/>
  <c r="O23805" i="10"/>
  <c r="O23806" i="10"/>
  <c r="O23807" i="10"/>
  <c r="O23808" i="10"/>
  <c r="O23809" i="10"/>
  <c r="O23810" i="10"/>
  <c r="O23811" i="10"/>
  <c r="O23812" i="10"/>
  <c r="O23813" i="10"/>
  <c r="O23814" i="10"/>
  <c r="O23815" i="10"/>
  <c r="O23816" i="10"/>
  <c r="O23817" i="10"/>
  <c r="O23818" i="10"/>
  <c r="O23819" i="10"/>
  <c r="O23820" i="10"/>
  <c r="O23821" i="10"/>
  <c r="O23822" i="10"/>
  <c r="O23823" i="10"/>
  <c r="O23824" i="10"/>
  <c r="O23825" i="10"/>
  <c r="O23826" i="10"/>
  <c r="O23827" i="10"/>
  <c r="O23828" i="10"/>
  <c r="O23829" i="10"/>
  <c r="O23830" i="10"/>
  <c r="O23831" i="10"/>
  <c r="O23832" i="10"/>
  <c r="O23833" i="10"/>
  <c r="O23834" i="10"/>
  <c r="O23835" i="10"/>
  <c r="O23836" i="10"/>
  <c r="O23837" i="10"/>
  <c r="O23838" i="10"/>
  <c r="O23839" i="10"/>
  <c r="O23840" i="10"/>
  <c r="O23841" i="10"/>
  <c r="O23842" i="10"/>
  <c r="O23843" i="10"/>
  <c r="O23844" i="10"/>
  <c r="O23845" i="10"/>
  <c r="O23846" i="10"/>
  <c r="O23847" i="10"/>
  <c r="O23848" i="10"/>
  <c r="O23849" i="10"/>
  <c r="O23850" i="10"/>
  <c r="O23851" i="10"/>
  <c r="O23852" i="10"/>
  <c r="O23853" i="10"/>
  <c r="O23854" i="10"/>
  <c r="O23855" i="10"/>
  <c r="O23856" i="10"/>
  <c r="O23857" i="10"/>
  <c r="O23858" i="10"/>
  <c r="O23859" i="10"/>
  <c r="O23860" i="10"/>
  <c r="O23861" i="10"/>
  <c r="O23862" i="10"/>
  <c r="O23863" i="10"/>
  <c r="O23864" i="10"/>
  <c r="O23865" i="10"/>
  <c r="O23866" i="10"/>
  <c r="O23867" i="10"/>
  <c r="O23868" i="10"/>
  <c r="O23869" i="10"/>
  <c r="O23870" i="10"/>
  <c r="O23871" i="10"/>
  <c r="O23872" i="10"/>
  <c r="O23873" i="10"/>
  <c r="O23874" i="10"/>
  <c r="O23875" i="10"/>
  <c r="O23876" i="10"/>
  <c r="O23877" i="10"/>
  <c r="O23878" i="10"/>
  <c r="O23879" i="10"/>
  <c r="O23880" i="10"/>
  <c r="O23881" i="10"/>
  <c r="O23882" i="10"/>
  <c r="O23883" i="10"/>
  <c r="O23884" i="10"/>
  <c r="O23885" i="10"/>
  <c r="O23886" i="10"/>
  <c r="O23887" i="10"/>
  <c r="O23888" i="10"/>
  <c r="O23889" i="10"/>
  <c r="O23890" i="10"/>
  <c r="O23891" i="10"/>
  <c r="O23892" i="10"/>
  <c r="O23893" i="10"/>
  <c r="O23894" i="10"/>
  <c r="O23895" i="10"/>
  <c r="O23896" i="10"/>
  <c r="O23897" i="10"/>
  <c r="O23898" i="10"/>
  <c r="O23899" i="10"/>
  <c r="O23900" i="10"/>
  <c r="O23901" i="10"/>
  <c r="O23902" i="10"/>
  <c r="O23903" i="10"/>
  <c r="O23904" i="10"/>
  <c r="O23905" i="10"/>
  <c r="O23906" i="10"/>
  <c r="O23907" i="10"/>
  <c r="O23908" i="10"/>
  <c r="O23909" i="10"/>
  <c r="O23910" i="10"/>
  <c r="O23911" i="10"/>
  <c r="O23912" i="10"/>
  <c r="O23913" i="10"/>
  <c r="O23914" i="10"/>
  <c r="O23915" i="10"/>
  <c r="O23916" i="10"/>
  <c r="O23917" i="10"/>
  <c r="O23918" i="10"/>
  <c r="O23919" i="10"/>
  <c r="O23920" i="10"/>
  <c r="O23921" i="10"/>
  <c r="O23922" i="10"/>
  <c r="O23923" i="10"/>
  <c r="O23924" i="10"/>
  <c r="O23925" i="10"/>
  <c r="O23926" i="10"/>
  <c r="O23927" i="10"/>
  <c r="O23928" i="10"/>
  <c r="O23929" i="10"/>
  <c r="O23930" i="10"/>
  <c r="O23931" i="10"/>
  <c r="O23932" i="10"/>
  <c r="O23933" i="10"/>
  <c r="O23934" i="10"/>
  <c r="O23935" i="10"/>
  <c r="O23936" i="10"/>
  <c r="O23937" i="10"/>
  <c r="O23938" i="10"/>
  <c r="O23939" i="10"/>
  <c r="O23940" i="10"/>
  <c r="O23941" i="10"/>
  <c r="O23942" i="10"/>
  <c r="O23943" i="10"/>
  <c r="O23944" i="10"/>
  <c r="O23945" i="10"/>
  <c r="O23946" i="10"/>
  <c r="O23947" i="10"/>
  <c r="O23948" i="10"/>
  <c r="O23949" i="10"/>
  <c r="O23950" i="10"/>
  <c r="O23951" i="10"/>
  <c r="O23952" i="10"/>
  <c r="O23953" i="10"/>
  <c r="O23954" i="10"/>
  <c r="O23955" i="10"/>
  <c r="O23956" i="10"/>
  <c r="O23957" i="10"/>
  <c r="O23958" i="10"/>
  <c r="O23959" i="10"/>
  <c r="O23960" i="10"/>
  <c r="O23961" i="10"/>
  <c r="O23962" i="10"/>
  <c r="O23963" i="10"/>
  <c r="O23964" i="10"/>
  <c r="O23965" i="10"/>
  <c r="O23966" i="10"/>
  <c r="O23967" i="10"/>
  <c r="O23968" i="10"/>
  <c r="O23969" i="10"/>
  <c r="O23970" i="10"/>
  <c r="O23971" i="10"/>
  <c r="O23972" i="10"/>
  <c r="O23973" i="10"/>
  <c r="O23974" i="10"/>
  <c r="O23975" i="10"/>
  <c r="O23976" i="10"/>
  <c r="O23977" i="10"/>
  <c r="O23978" i="10"/>
  <c r="O23979" i="10"/>
  <c r="O23980" i="10"/>
  <c r="O23981" i="10"/>
  <c r="O23982" i="10"/>
  <c r="O23983" i="10"/>
  <c r="O23984" i="10"/>
  <c r="O23985" i="10"/>
  <c r="O23986" i="10"/>
  <c r="O23987" i="10"/>
  <c r="O23988" i="10"/>
  <c r="O23989" i="10"/>
  <c r="O23990" i="10"/>
  <c r="O23991" i="10"/>
  <c r="O23992" i="10"/>
  <c r="O23993" i="10"/>
  <c r="O23994" i="10"/>
  <c r="O23995" i="10"/>
  <c r="O23996" i="10"/>
  <c r="O23997" i="10"/>
  <c r="O23998" i="10"/>
  <c r="O23999" i="10"/>
  <c r="O24000" i="10"/>
  <c r="O24001" i="10"/>
  <c r="O24002" i="10"/>
  <c r="O24003" i="10"/>
  <c r="O24004" i="10"/>
  <c r="O24005" i="10"/>
  <c r="O24006" i="10"/>
  <c r="O24007" i="10"/>
  <c r="O24008" i="10"/>
  <c r="O24009" i="10"/>
  <c r="O24010" i="10"/>
  <c r="O24011" i="10"/>
  <c r="O24012" i="10"/>
  <c r="O24013" i="10"/>
  <c r="O24014" i="10"/>
  <c r="O24015" i="10"/>
  <c r="O24016" i="10"/>
  <c r="O24017" i="10"/>
  <c r="O24018" i="10"/>
  <c r="O24019" i="10"/>
  <c r="O24020" i="10"/>
  <c r="O24021" i="10"/>
  <c r="O24022" i="10"/>
  <c r="O24023" i="10"/>
  <c r="O24024" i="10"/>
  <c r="O24025" i="10"/>
  <c r="O24026" i="10"/>
  <c r="O24027" i="10"/>
  <c r="O24028" i="10"/>
  <c r="O24029" i="10"/>
  <c r="O24030" i="10"/>
  <c r="O24031" i="10"/>
  <c r="O24032" i="10"/>
  <c r="O24033" i="10"/>
  <c r="O24034" i="10"/>
  <c r="O24035" i="10"/>
  <c r="O24036" i="10"/>
  <c r="O24037" i="10"/>
  <c r="O24038" i="10"/>
  <c r="O24039" i="10"/>
  <c r="O24040" i="10"/>
  <c r="O24041" i="10"/>
  <c r="O24042" i="10"/>
  <c r="O24043" i="10"/>
  <c r="O24044" i="10"/>
  <c r="O24045" i="10"/>
  <c r="O24046" i="10"/>
  <c r="O24047" i="10"/>
  <c r="O24048" i="10"/>
  <c r="O24049" i="10"/>
  <c r="O24050" i="10"/>
  <c r="O24051" i="10"/>
  <c r="O24052" i="10"/>
  <c r="O24053" i="10"/>
  <c r="O24054" i="10"/>
  <c r="O24055" i="10"/>
  <c r="O24056" i="10"/>
  <c r="O24057" i="10"/>
  <c r="O24058" i="10"/>
  <c r="O24059" i="10"/>
  <c r="O24060" i="10"/>
  <c r="O24061" i="10"/>
  <c r="O24062" i="10"/>
  <c r="O24063" i="10"/>
  <c r="O24064" i="10"/>
  <c r="O24065" i="10"/>
  <c r="O24066" i="10"/>
  <c r="O24067" i="10"/>
  <c r="O24068" i="10"/>
  <c r="O24069" i="10"/>
  <c r="O24070" i="10"/>
  <c r="O24071" i="10"/>
  <c r="O24072" i="10"/>
  <c r="O24073" i="10"/>
  <c r="O24074" i="10"/>
  <c r="O24075" i="10"/>
  <c r="O24076" i="10"/>
  <c r="O24077" i="10"/>
  <c r="O24078" i="10"/>
  <c r="O24079" i="10"/>
  <c r="O24080" i="10"/>
  <c r="O24081" i="10"/>
  <c r="O24082" i="10"/>
  <c r="O24083" i="10"/>
  <c r="O24084" i="10"/>
  <c r="O24085" i="10"/>
  <c r="O24086" i="10"/>
  <c r="O24087" i="10"/>
  <c r="O24088" i="10"/>
  <c r="O24089" i="10"/>
  <c r="O24090" i="10"/>
  <c r="O24091" i="10"/>
  <c r="O24092" i="10"/>
  <c r="O24093" i="10"/>
  <c r="O24094" i="10"/>
  <c r="O24095" i="10"/>
  <c r="O24096" i="10"/>
  <c r="O24097" i="10"/>
  <c r="O24098" i="10"/>
  <c r="O24099" i="10"/>
  <c r="O24100" i="10"/>
  <c r="O24101" i="10"/>
  <c r="O24102" i="10"/>
  <c r="O24103" i="10"/>
  <c r="O24104" i="10"/>
  <c r="O24105" i="10"/>
  <c r="O24106" i="10"/>
  <c r="O24107" i="10"/>
  <c r="O24108" i="10"/>
  <c r="O24109" i="10"/>
  <c r="O24110" i="10"/>
  <c r="O24111" i="10"/>
  <c r="O24112" i="10"/>
  <c r="O24113" i="10"/>
  <c r="O24114" i="10"/>
  <c r="O24115" i="10"/>
  <c r="O24116" i="10"/>
  <c r="O24117" i="10"/>
  <c r="O24118" i="10"/>
  <c r="O24119" i="10"/>
  <c r="O24120" i="10"/>
  <c r="O24121" i="10"/>
  <c r="O24122" i="10"/>
  <c r="O24123" i="10"/>
  <c r="O24124" i="10"/>
  <c r="O24125" i="10"/>
  <c r="O24126" i="10"/>
  <c r="O24127" i="10"/>
  <c r="O24128" i="10"/>
  <c r="O24129" i="10"/>
  <c r="O24130" i="10"/>
  <c r="O24131" i="10"/>
  <c r="O24132" i="10"/>
  <c r="O24133" i="10"/>
  <c r="O24134" i="10"/>
  <c r="O24135" i="10"/>
  <c r="O24136" i="10"/>
  <c r="O24137" i="10"/>
  <c r="O24138" i="10"/>
  <c r="O24139" i="10"/>
  <c r="O24140" i="10"/>
  <c r="O24141" i="10"/>
  <c r="O24142" i="10"/>
  <c r="O24143" i="10"/>
  <c r="O24144" i="10"/>
  <c r="O24145" i="10"/>
  <c r="O24146" i="10"/>
  <c r="O24147" i="10"/>
  <c r="O24148" i="10"/>
  <c r="O24149" i="10"/>
  <c r="O24150" i="10"/>
  <c r="O24151" i="10"/>
  <c r="O24152" i="10"/>
  <c r="O24153" i="10"/>
  <c r="O24154" i="10"/>
  <c r="O24155" i="10"/>
  <c r="O24156" i="10"/>
  <c r="O24157" i="10"/>
  <c r="O24158" i="10"/>
  <c r="O24159" i="10"/>
  <c r="O24160" i="10"/>
  <c r="O24161" i="10"/>
  <c r="O24162" i="10"/>
  <c r="O24163" i="10"/>
  <c r="O24164" i="10"/>
  <c r="O24165" i="10"/>
  <c r="O24166" i="10"/>
  <c r="O24167" i="10"/>
  <c r="O24168" i="10"/>
  <c r="O24169" i="10"/>
  <c r="O24170" i="10"/>
  <c r="O24171" i="10"/>
  <c r="O24172" i="10"/>
  <c r="O24173" i="10"/>
  <c r="O24174" i="10"/>
  <c r="O24175" i="10"/>
  <c r="O24176" i="10"/>
  <c r="O24177" i="10"/>
  <c r="O24178" i="10"/>
  <c r="O24179" i="10"/>
  <c r="O24180" i="10"/>
  <c r="O24181" i="10"/>
  <c r="O24182" i="10"/>
  <c r="O24183" i="10"/>
  <c r="O24184" i="10"/>
  <c r="O24185" i="10"/>
  <c r="O24186" i="10"/>
  <c r="O24187" i="10"/>
  <c r="O24188" i="10"/>
  <c r="O24189" i="10"/>
  <c r="O24190" i="10"/>
  <c r="O24191" i="10"/>
  <c r="O24192" i="10"/>
  <c r="O24193" i="10"/>
  <c r="O24194" i="10"/>
  <c r="O24195" i="10"/>
  <c r="O24196" i="10"/>
  <c r="O24197" i="10"/>
  <c r="O24198" i="10"/>
  <c r="O24199" i="10"/>
  <c r="O24200" i="10"/>
  <c r="O24201" i="10"/>
  <c r="O24202" i="10"/>
  <c r="O24203" i="10"/>
  <c r="O24204" i="10"/>
  <c r="O24205" i="10"/>
  <c r="O24206" i="10"/>
  <c r="O24207" i="10"/>
  <c r="O24208" i="10"/>
  <c r="O24209" i="10"/>
  <c r="O24210" i="10"/>
  <c r="O24211" i="10"/>
  <c r="O24212" i="10"/>
  <c r="O24213" i="10"/>
  <c r="O24214" i="10"/>
  <c r="O24215" i="10"/>
  <c r="O24216" i="10"/>
  <c r="O24217" i="10"/>
  <c r="O24218" i="10"/>
  <c r="O24219" i="10"/>
  <c r="O24220" i="10"/>
  <c r="O24221" i="10"/>
  <c r="O24222" i="10"/>
  <c r="O24223" i="10"/>
  <c r="O24224" i="10"/>
  <c r="O24225" i="10"/>
  <c r="O24226" i="10"/>
  <c r="O24227" i="10"/>
  <c r="O24228" i="10"/>
  <c r="O24229" i="10"/>
  <c r="O24230" i="10"/>
  <c r="O24231" i="10"/>
  <c r="O24232" i="10"/>
  <c r="O24233" i="10"/>
  <c r="O24234" i="10"/>
  <c r="O24235" i="10"/>
  <c r="O24236" i="10"/>
  <c r="O24237" i="10"/>
  <c r="O24238" i="10"/>
  <c r="O24239" i="10"/>
  <c r="O24240" i="10"/>
  <c r="O24241" i="10"/>
  <c r="O24242" i="10"/>
  <c r="O24243" i="10"/>
  <c r="O24244" i="10"/>
  <c r="O24245" i="10"/>
  <c r="O24246" i="10"/>
  <c r="O24247" i="10"/>
  <c r="O24248" i="10"/>
  <c r="O24249" i="10"/>
  <c r="O24250" i="10"/>
  <c r="O24251" i="10"/>
  <c r="O24252" i="10"/>
  <c r="O24253" i="10"/>
  <c r="O24254" i="10"/>
  <c r="O24255" i="10"/>
  <c r="O24256" i="10"/>
  <c r="O24257" i="10"/>
  <c r="O24258" i="10"/>
  <c r="O24259" i="10"/>
  <c r="O24260" i="10"/>
  <c r="O24261" i="10"/>
  <c r="O24262" i="10"/>
  <c r="O24263" i="10"/>
  <c r="O24264" i="10"/>
  <c r="O24265" i="10"/>
  <c r="O24266" i="10"/>
  <c r="O24267" i="10"/>
  <c r="O24268" i="10"/>
  <c r="O24269" i="10"/>
  <c r="O24270" i="10"/>
  <c r="O24271" i="10"/>
  <c r="O24272" i="10"/>
  <c r="O24273" i="10"/>
  <c r="O24274" i="10"/>
  <c r="O24275" i="10"/>
  <c r="O24276" i="10"/>
  <c r="O24277" i="10"/>
  <c r="O24278" i="10"/>
  <c r="O24279" i="10"/>
  <c r="O24280" i="10"/>
  <c r="O24281" i="10"/>
  <c r="O24282" i="10"/>
  <c r="O24283" i="10"/>
  <c r="O24284" i="10"/>
  <c r="O24285" i="10"/>
  <c r="O24286" i="10"/>
  <c r="O24287" i="10"/>
  <c r="O24288" i="10"/>
  <c r="O24289" i="10"/>
  <c r="O24290" i="10"/>
  <c r="O24291" i="10"/>
  <c r="O24292" i="10"/>
  <c r="O24293" i="10"/>
  <c r="O24294" i="10"/>
  <c r="O24295" i="10"/>
  <c r="O24296" i="10"/>
  <c r="O24297" i="10"/>
  <c r="O24298" i="10"/>
  <c r="O24299" i="10"/>
  <c r="O24300" i="10"/>
  <c r="O24301" i="10"/>
  <c r="O24302" i="10"/>
  <c r="O24303" i="10"/>
  <c r="O24304" i="10"/>
  <c r="O24305" i="10"/>
  <c r="O24306" i="10"/>
  <c r="O24307" i="10"/>
  <c r="O24308" i="10"/>
  <c r="O24309" i="10"/>
  <c r="O24310" i="10"/>
  <c r="O24311" i="10"/>
  <c r="O24312" i="10"/>
  <c r="O24313" i="10"/>
  <c r="O24314" i="10"/>
  <c r="O24315" i="10"/>
  <c r="O24316" i="10"/>
  <c r="O24317" i="10"/>
  <c r="O24318" i="10"/>
  <c r="O24319" i="10"/>
  <c r="O24320" i="10"/>
  <c r="O24321" i="10"/>
  <c r="O24322" i="10"/>
  <c r="O24323" i="10"/>
  <c r="O24324" i="10"/>
  <c r="O24325" i="10"/>
  <c r="O24326" i="10"/>
  <c r="O24327" i="10"/>
  <c r="O24328" i="10"/>
  <c r="O24329" i="10"/>
  <c r="O24330" i="10"/>
  <c r="O24331" i="10"/>
  <c r="O24332" i="10"/>
  <c r="O24333" i="10"/>
  <c r="O24334" i="10"/>
  <c r="O24335" i="10"/>
  <c r="O24336" i="10"/>
  <c r="O24337" i="10"/>
  <c r="O24338" i="10"/>
  <c r="O24339" i="10"/>
  <c r="O24340" i="10"/>
  <c r="O24341" i="10"/>
  <c r="O24342" i="10"/>
  <c r="O24343" i="10"/>
  <c r="O24344" i="10"/>
  <c r="O24345" i="10"/>
  <c r="O24346" i="10"/>
  <c r="O24347" i="10"/>
  <c r="O24348" i="10"/>
  <c r="O24349" i="10"/>
  <c r="O24350" i="10"/>
  <c r="O24351" i="10"/>
  <c r="O24352" i="10"/>
  <c r="O24353" i="10"/>
  <c r="O24354" i="10"/>
  <c r="O24355" i="10"/>
  <c r="O24356" i="10"/>
  <c r="O24357" i="10"/>
  <c r="O24358" i="10"/>
  <c r="O24359" i="10"/>
  <c r="O24360" i="10"/>
  <c r="O24361" i="10"/>
  <c r="O24362" i="10"/>
  <c r="O24363" i="10"/>
  <c r="O24364" i="10"/>
  <c r="O24365" i="10"/>
  <c r="O24366" i="10"/>
  <c r="O24367" i="10"/>
  <c r="O24368" i="10"/>
  <c r="O24369" i="10"/>
  <c r="O24370" i="10"/>
  <c r="O24371" i="10"/>
  <c r="O24372" i="10"/>
  <c r="O24373" i="10"/>
  <c r="O24374" i="10"/>
  <c r="O24375" i="10"/>
  <c r="O24376" i="10"/>
  <c r="O24377" i="10"/>
  <c r="O24378" i="10"/>
  <c r="O24379" i="10"/>
  <c r="O24380" i="10"/>
  <c r="O24381" i="10"/>
  <c r="O24382" i="10"/>
  <c r="O24383" i="10"/>
  <c r="O24384" i="10"/>
  <c r="O24385" i="10"/>
  <c r="O24386" i="10"/>
  <c r="O24387" i="10"/>
  <c r="O24388" i="10"/>
  <c r="O24389" i="10"/>
  <c r="O24390" i="10"/>
  <c r="O24391" i="10"/>
  <c r="O24392" i="10"/>
  <c r="O24393" i="10"/>
  <c r="O24394" i="10"/>
  <c r="O24395" i="10"/>
  <c r="O24396" i="10"/>
  <c r="O24397" i="10"/>
  <c r="O24398" i="10"/>
  <c r="O24399" i="10"/>
  <c r="O24400" i="10"/>
  <c r="O24401" i="10"/>
  <c r="O24402" i="10"/>
  <c r="O24403" i="10"/>
  <c r="O24404" i="10"/>
  <c r="O24405" i="10"/>
  <c r="O24406" i="10"/>
  <c r="O24407" i="10"/>
  <c r="O24408" i="10"/>
  <c r="O24409" i="10"/>
  <c r="O24410" i="10"/>
  <c r="O24411" i="10"/>
  <c r="O24412" i="10"/>
  <c r="O24413" i="10"/>
  <c r="O24414" i="10"/>
  <c r="O24415" i="10"/>
  <c r="O24416" i="10"/>
  <c r="O24417" i="10"/>
  <c r="O24418" i="10"/>
  <c r="O24419" i="10"/>
  <c r="O24420" i="10"/>
  <c r="O24421" i="10"/>
  <c r="O24422" i="10"/>
  <c r="O24423" i="10"/>
  <c r="O24424" i="10"/>
  <c r="O24425" i="10"/>
  <c r="O24426" i="10"/>
  <c r="O24427" i="10"/>
  <c r="O24428" i="10"/>
  <c r="O24429" i="10"/>
  <c r="O24430" i="10"/>
  <c r="O24431" i="10"/>
  <c r="O24432" i="10"/>
  <c r="O24433" i="10"/>
  <c r="O24434" i="10"/>
  <c r="O24435" i="10"/>
  <c r="O24436" i="10"/>
  <c r="O24437" i="10"/>
  <c r="O24438" i="10"/>
  <c r="O24439" i="10"/>
  <c r="O24440" i="10"/>
  <c r="O24441" i="10"/>
  <c r="O24442" i="10"/>
  <c r="O24443" i="10"/>
  <c r="O24444" i="10"/>
  <c r="O24445" i="10"/>
  <c r="O24446" i="10"/>
  <c r="O24447" i="10"/>
  <c r="O24448" i="10"/>
  <c r="O24449" i="10"/>
  <c r="O24450" i="10"/>
  <c r="O24451" i="10"/>
  <c r="O24452" i="10"/>
  <c r="O24453" i="10"/>
  <c r="O24454" i="10"/>
  <c r="O24455" i="10"/>
  <c r="O24456" i="10"/>
  <c r="O24457" i="10"/>
  <c r="O24458" i="10"/>
  <c r="O24459" i="10"/>
  <c r="O24460" i="10"/>
  <c r="O24461" i="10"/>
  <c r="O24462" i="10"/>
  <c r="O24463" i="10"/>
  <c r="O24464" i="10"/>
  <c r="O24465" i="10"/>
  <c r="O24466" i="10"/>
  <c r="O24467" i="10"/>
  <c r="O24468" i="10"/>
  <c r="O24469" i="10"/>
  <c r="O24470" i="10"/>
  <c r="O24471" i="10"/>
  <c r="O24472" i="10"/>
  <c r="O24473" i="10"/>
  <c r="O24474" i="10"/>
  <c r="O24475" i="10"/>
  <c r="O24476" i="10"/>
  <c r="O24477" i="10"/>
  <c r="O24478" i="10"/>
  <c r="O24479" i="10"/>
  <c r="O24480" i="10"/>
  <c r="O24481" i="10"/>
  <c r="O24482" i="10"/>
  <c r="O24483" i="10"/>
  <c r="O24484" i="10"/>
  <c r="O24485" i="10"/>
  <c r="O24486" i="10"/>
  <c r="O24487" i="10"/>
  <c r="O24488" i="10"/>
  <c r="O24489" i="10"/>
  <c r="O24490" i="10"/>
  <c r="O24491" i="10"/>
  <c r="O24492" i="10"/>
  <c r="O24493" i="10"/>
  <c r="O24494" i="10"/>
  <c r="O24495" i="10"/>
  <c r="O24496" i="10"/>
  <c r="O24497" i="10"/>
  <c r="O24498" i="10"/>
  <c r="O24499" i="10"/>
  <c r="O24500" i="10"/>
  <c r="O24501" i="10"/>
  <c r="O24502" i="10"/>
  <c r="O24503" i="10"/>
  <c r="O24504" i="10"/>
  <c r="O24505" i="10"/>
  <c r="O24506" i="10"/>
  <c r="O24507" i="10"/>
  <c r="O24508" i="10"/>
  <c r="O24509" i="10"/>
  <c r="O24510" i="10"/>
  <c r="O24511" i="10"/>
  <c r="O24512" i="10"/>
  <c r="O24513" i="10"/>
  <c r="O24514" i="10"/>
  <c r="O24515" i="10"/>
  <c r="O24516" i="10"/>
  <c r="O24517" i="10"/>
  <c r="O24518" i="10"/>
  <c r="O24519" i="10"/>
  <c r="O24520" i="10"/>
  <c r="O24521" i="10"/>
  <c r="O24522" i="10"/>
  <c r="O24523" i="10"/>
  <c r="O24524" i="10"/>
  <c r="O24525" i="10"/>
  <c r="O24526" i="10"/>
  <c r="O24527" i="10"/>
  <c r="O24528" i="10"/>
  <c r="O24529" i="10"/>
  <c r="O24530" i="10"/>
  <c r="O24531" i="10"/>
  <c r="O24532" i="10"/>
  <c r="O24533" i="10"/>
  <c r="O24534" i="10"/>
  <c r="O24535" i="10"/>
  <c r="O24536" i="10"/>
  <c r="O24537" i="10"/>
  <c r="O24538" i="10"/>
  <c r="O24539" i="10"/>
  <c r="O24540" i="10"/>
  <c r="O24541" i="10"/>
  <c r="O24542" i="10"/>
  <c r="O24543" i="10"/>
  <c r="O24544" i="10"/>
  <c r="O24545" i="10"/>
  <c r="O24546" i="10"/>
  <c r="O24547" i="10"/>
  <c r="O24548" i="10"/>
  <c r="O24549" i="10"/>
  <c r="O24550" i="10"/>
  <c r="O24551" i="10"/>
  <c r="O24552" i="10"/>
  <c r="O24553" i="10"/>
  <c r="O24554" i="10"/>
  <c r="O24555" i="10"/>
  <c r="O24556" i="10"/>
  <c r="O24557" i="10"/>
  <c r="O24558" i="10"/>
  <c r="O24559" i="10"/>
  <c r="O24560" i="10"/>
  <c r="O24561" i="10"/>
  <c r="O24562" i="10"/>
  <c r="O24563" i="10"/>
  <c r="O24564" i="10"/>
  <c r="O24565" i="10"/>
  <c r="O24566" i="10"/>
  <c r="O24567" i="10"/>
  <c r="O24568" i="10"/>
  <c r="O24569" i="10"/>
  <c r="O24570" i="10"/>
  <c r="O24571" i="10"/>
  <c r="O24572" i="10"/>
  <c r="O24573" i="10"/>
  <c r="O24574" i="10"/>
  <c r="O24575" i="10"/>
  <c r="O24576" i="10"/>
  <c r="O24577" i="10"/>
  <c r="O24578" i="10"/>
  <c r="O24579" i="10"/>
  <c r="O24580" i="10"/>
  <c r="O24581" i="10"/>
  <c r="O24582" i="10"/>
  <c r="O24583" i="10"/>
  <c r="O24584" i="10"/>
  <c r="O24585" i="10"/>
  <c r="O24586" i="10"/>
  <c r="O24587" i="10"/>
  <c r="O24588" i="10"/>
  <c r="O24589" i="10"/>
  <c r="O24590" i="10"/>
  <c r="O24591" i="10"/>
  <c r="O24592" i="10"/>
  <c r="O24593" i="10"/>
  <c r="O24594" i="10"/>
  <c r="O24595" i="10"/>
  <c r="O24596" i="10"/>
  <c r="O24597" i="10"/>
  <c r="O24598" i="10"/>
  <c r="O24599" i="10"/>
  <c r="O24600" i="10"/>
  <c r="O24601" i="10"/>
  <c r="O24602" i="10"/>
  <c r="O24603" i="10"/>
  <c r="O24604" i="10"/>
  <c r="O24605" i="10"/>
  <c r="O24606" i="10"/>
  <c r="O24607" i="10"/>
  <c r="O24608" i="10"/>
  <c r="O24609" i="10"/>
  <c r="O24610" i="10"/>
  <c r="O24611" i="10"/>
  <c r="O24612" i="10"/>
  <c r="O24613" i="10"/>
  <c r="O24614" i="10"/>
  <c r="O24615" i="10"/>
  <c r="O24616" i="10"/>
  <c r="O24617" i="10"/>
  <c r="O24618" i="10"/>
  <c r="O24619" i="10"/>
  <c r="O24620" i="10"/>
  <c r="O24621" i="10"/>
  <c r="O24622" i="10"/>
  <c r="O24623" i="10"/>
  <c r="O24624" i="10"/>
  <c r="O24625" i="10"/>
  <c r="O24626" i="10"/>
  <c r="O24627" i="10"/>
  <c r="O24628" i="10"/>
  <c r="O24629" i="10"/>
  <c r="O24630" i="10"/>
  <c r="O24631" i="10"/>
  <c r="O24632" i="10"/>
  <c r="O24633" i="10"/>
  <c r="O24634" i="10"/>
  <c r="O24635" i="10"/>
  <c r="O24636" i="10"/>
  <c r="O24637" i="10"/>
  <c r="O24638" i="10"/>
  <c r="O24639" i="10"/>
  <c r="O24640" i="10"/>
  <c r="O24641" i="10"/>
  <c r="O24642" i="10"/>
  <c r="O24643" i="10"/>
  <c r="O24644" i="10"/>
  <c r="O24645" i="10"/>
  <c r="O24646" i="10"/>
  <c r="O24647" i="10"/>
  <c r="O24648" i="10"/>
  <c r="O24649" i="10"/>
  <c r="O24650" i="10"/>
  <c r="O24651" i="10"/>
  <c r="O24652" i="10"/>
  <c r="O24653" i="10"/>
  <c r="O24654" i="10"/>
  <c r="O24655" i="10"/>
  <c r="O24656" i="10"/>
  <c r="O24657" i="10"/>
  <c r="O24658" i="10"/>
  <c r="O24659" i="10"/>
  <c r="O24660" i="10"/>
  <c r="O24661" i="10"/>
  <c r="O24662" i="10"/>
  <c r="O24663" i="10"/>
  <c r="O24664" i="10"/>
  <c r="O24665" i="10"/>
  <c r="O24666" i="10"/>
  <c r="O24667" i="10"/>
  <c r="O24668" i="10"/>
  <c r="O24669" i="10"/>
  <c r="O24670" i="10"/>
  <c r="O24671" i="10"/>
  <c r="O24672" i="10"/>
  <c r="O24673" i="10"/>
  <c r="O24674" i="10"/>
  <c r="O24675" i="10"/>
  <c r="O24676" i="10"/>
  <c r="O24677" i="10"/>
  <c r="O24678" i="10"/>
  <c r="O24679" i="10"/>
  <c r="O24680" i="10"/>
  <c r="O24681" i="10"/>
  <c r="O24682" i="10"/>
  <c r="O24683" i="10"/>
  <c r="O24684" i="10"/>
  <c r="O24685" i="10"/>
  <c r="O24686" i="10"/>
  <c r="O24687" i="10"/>
  <c r="O24688" i="10"/>
  <c r="O24689" i="10"/>
  <c r="O24690" i="10"/>
  <c r="O24691" i="10"/>
  <c r="O24692" i="10"/>
  <c r="O24693" i="10"/>
  <c r="O24694" i="10"/>
  <c r="O24695" i="10"/>
  <c r="O24696" i="10"/>
  <c r="O24697" i="10"/>
  <c r="O24698" i="10"/>
  <c r="O24699" i="10"/>
  <c r="O24700" i="10"/>
  <c r="O24701" i="10"/>
  <c r="O24702" i="10"/>
  <c r="O24703" i="10"/>
  <c r="O24704" i="10"/>
  <c r="O24705" i="10"/>
  <c r="O24706" i="10"/>
  <c r="O24707" i="10"/>
  <c r="O24708" i="10"/>
  <c r="O24709" i="10"/>
  <c r="O24710" i="10"/>
  <c r="O24711" i="10"/>
  <c r="O24712" i="10"/>
  <c r="O24713" i="10"/>
  <c r="O24714" i="10"/>
  <c r="O24715" i="10"/>
  <c r="O24716" i="10"/>
  <c r="O24717" i="10"/>
  <c r="O24718" i="10"/>
  <c r="O24719" i="10"/>
  <c r="O24720" i="10"/>
  <c r="O24721" i="10"/>
  <c r="O24722" i="10"/>
  <c r="O24723" i="10"/>
  <c r="O24724" i="10"/>
  <c r="O24725" i="10"/>
  <c r="O24726" i="10"/>
  <c r="O24727" i="10"/>
  <c r="O24728" i="10"/>
  <c r="O24729" i="10"/>
  <c r="O24730" i="10"/>
  <c r="O24731" i="10"/>
  <c r="O24732" i="10"/>
  <c r="O24733" i="10"/>
  <c r="O24734" i="10"/>
  <c r="O24735" i="10"/>
  <c r="O24736" i="10"/>
  <c r="O24737" i="10"/>
  <c r="O24738" i="10"/>
  <c r="O24739" i="10"/>
  <c r="O24740" i="10"/>
  <c r="O24741" i="10"/>
  <c r="O24742" i="10"/>
  <c r="O24743" i="10"/>
  <c r="O24744" i="10"/>
  <c r="O24745" i="10"/>
  <c r="O24746" i="10"/>
  <c r="O24747" i="10"/>
  <c r="O24748" i="10"/>
  <c r="O24749" i="10"/>
  <c r="O24750" i="10"/>
  <c r="O24751" i="10"/>
  <c r="O24752" i="10"/>
  <c r="O24753" i="10"/>
  <c r="O24754" i="10"/>
  <c r="O24755" i="10"/>
  <c r="O24756" i="10"/>
  <c r="O24757" i="10"/>
  <c r="O24758" i="10"/>
  <c r="O24759" i="10"/>
  <c r="O24760" i="10"/>
  <c r="O24761" i="10"/>
  <c r="O24762" i="10"/>
  <c r="O24763" i="10"/>
  <c r="O24764" i="10"/>
  <c r="O24765" i="10"/>
  <c r="O24766" i="10"/>
  <c r="O24767" i="10"/>
  <c r="O24768" i="10"/>
  <c r="O24769" i="10"/>
  <c r="O24770" i="10"/>
  <c r="O24771" i="10"/>
  <c r="O24772" i="10"/>
  <c r="O24773" i="10"/>
  <c r="O24774" i="10"/>
  <c r="O24775" i="10"/>
  <c r="O24776" i="10"/>
  <c r="O24777" i="10"/>
  <c r="O24778" i="10"/>
  <c r="O24779" i="10"/>
  <c r="O24780" i="10"/>
  <c r="O24781" i="10"/>
  <c r="O24782" i="10"/>
  <c r="O24783" i="10"/>
  <c r="O24784" i="10"/>
  <c r="O24785" i="10"/>
  <c r="O24786" i="10"/>
  <c r="O24787" i="10"/>
  <c r="O24788" i="10"/>
  <c r="O24789" i="10"/>
  <c r="O24790" i="10"/>
  <c r="O24791" i="10"/>
  <c r="O24792" i="10"/>
  <c r="O24793" i="10"/>
  <c r="O24794" i="10"/>
  <c r="O24795" i="10"/>
  <c r="O24796" i="10"/>
  <c r="O24797" i="10"/>
  <c r="O24798" i="10"/>
  <c r="O24799" i="10"/>
  <c r="O24800" i="10"/>
  <c r="O24801" i="10"/>
  <c r="O24802" i="10"/>
  <c r="O24803" i="10"/>
  <c r="O24804" i="10"/>
  <c r="O24805" i="10"/>
  <c r="O24806" i="10"/>
  <c r="O24807" i="10"/>
  <c r="O24808" i="10"/>
  <c r="O24809" i="10"/>
  <c r="O24810" i="10"/>
  <c r="O24811" i="10"/>
  <c r="O24812" i="10"/>
  <c r="O24813" i="10"/>
  <c r="O24814" i="10"/>
  <c r="O24815" i="10"/>
  <c r="O24816" i="10"/>
  <c r="O24817" i="10"/>
  <c r="O24818" i="10"/>
  <c r="O24819" i="10"/>
  <c r="O24820" i="10"/>
  <c r="O24821" i="10"/>
  <c r="O24822" i="10"/>
  <c r="O24823" i="10"/>
  <c r="O24824" i="10"/>
  <c r="O24825" i="10"/>
  <c r="O24826" i="10"/>
  <c r="O24827" i="10"/>
  <c r="O24828" i="10"/>
  <c r="O24829" i="10"/>
  <c r="O24830" i="10"/>
  <c r="O24831" i="10"/>
  <c r="O24832" i="10"/>
  <c r="O24833" i="10"/>
  <c r="O24834" i="10"/>
  <c r="O24835" i="10"/>
  <c r="O24836" i="10"/>
  <c r="O24837" i="10"/>
  <c r="O24838" i="10"/>
  <c r="O24839" i="10"/>
  <c r="O24840" i="10"/>
  <c r="O24841" i="10"/>
  <c r="O24842" i="10"/>
  <c r="O24843" i="10"/>
  <c r="O24844" i="10"/>
  <c r="O24845" i="10"/>
  <c r="O24846" i="10"/>
  <c r="O24847" i="10"/>
  <c r="O24848" i="10"/>
  <c r="O24849" i="10"/>
  <c r="O24850" i="10"/>
  <c r="O24851" i="10"/>
  <c r="O24852" i="10"/>
  <c r="O24853" i="10"/>
  <c r="O24854" i="10"/>
  <c r="O24855" i="10"/>
  <c r="O24856" i="10"/>
  <c r="O24857" i="10"/>
  <c r="O24858" i="10"/>
  <c r="O24859" i="10"/>
  <c r="O24860" i="10"/>
  <c r="O24861" i="10"/>
  <c r="O24862" i="10"/>
  <c r="O24863" i="10"/>
  <c r="O24864" i="10"/>
  <c r="O24865" i="10"/>
  <c r="O24866" i="10"/>
  <c r="O24867" i="10"/>
  <c r="O24868" i="10"/>
  <c r="O24869" i="10"/>
  <c r="O24870" i="10"/>
  <c r="O24871" i="10"/>
  <c r="O24872" i="10"/>
  <c r="O24873" i="10"/>
  <c r="O24874" i="10"/>
  <c r="O24875" i="10"/>
  <c r="O24876" i="10"/>
  <c r="O24877" i="10"/>
  <c r="O24878" i="10"/>
  <c r="O24879" i="10"/>
  <c r="O24880" i="10"/>
  <c r="O24881" i="10"/>
  <c r="O24882" i="10"/>
  <c r="O24883" i="10"/>
  <c r="O24884" i="10"/>
  <c r="O24885" i="10"/>
  <c r="O24886" i="10"/>
  <c r="O24887" i="10"/>
  <c r="O24888" i="10"/>
  <c r="O24889" i="10"/>
  <c r="O24890" i="10"/>
  <c r="O24891" i="10"/>
  <c r="O24892" i="10"/>
  <c r="O24893" i="10"/>
  <c r="O24894" i="10"/>
  <c r="O24895" i="10"/>
  <c r="O24896" i="10"/>
  <c r="O24897" i="10"/>
  <c r="O24898" i="10"/>
  <c r="O24899" i="10"/>
  <c r="O24900" i="10"/>
  <c r="O24901" i="10"/>
  <c r="O24902" i="10"/>
  <c r="O24903" i="10"/>
  <c r="O24904" i="10"/>
  <c r="O24905" i="10"/>
  <c r="O24906" i="10"/>
  <c r="O24907" i="10"/>
  <c r="O24908" i="10"/>
  <c r="O24909" i="10"/>
  <c r="O24910" i="10"/>
  <c r="O24911" i="10"/>
  <c r="O24912" i="10"/>
  <c r="O24913" i="10"/>
  <c r="O24914" i="10"/>
  <c r="O24915" i="10"/>
  <c r="O24916" i="10"/>
  <c r="O24917" i="10"/>
  <c r="O24918" i="10"/>
  <c r="O24919" i="10"/>
  <c r="O24920" i="10"/>
  <c r="O24921" i="10"/>
  <c r="O24922" i="10"/>
  <c r="O24923" i="10"/>
  <c r="O24924" i="10"/>
  <c r="O24925" i="10"/>
  <c r="O24926" i="10"/>
  <c r="O24927" i="10"/>
  <c r="O24928" i="10"/>
  <c r="O24929" i="10"/>
  <c r="O24930" i="10"/>
  <c r="O24931" i="10"/>
  <c r="O24932" i="10"/>
  <c r="O24933" i="10"/>
  <c r="O24934" i="10"/>
  <c r="O24935" i="10"/>
  <c r="O24936" i="10"/>
  <c r="O24937" i="10"/>
  <c r="O24938" i="10"/>
  <c r="O24939" i="10"/>
  <c r="O24940" i="10"/>
  <c r="O24941" i="10"/>
  <c r="O24942" i="10"/>
  <c r="O24943" i="10"/>
  <c r="O24944" i="10"/>
  <c r="O24945" i="10"/>
  <c r="O24946" i="10"/>
  <c r="O24947" i="10"/>
  <c r="O24948" i="10"/>
  <c r="O24949" i="10"/>
  <c r="O24950" i="10"/>
  <c r="O24951" i="10"/>
  <c r="O24952" i="10"/>
  <c r="O24953" i="10"/>
  <c r="O24954" i="10"/>
  <c r="O24955" i="10"/>
  <c r="O24956" i="10"/>
  <c r="O24957" i="10"/>
  <c r="O24958" i="10"/>
  <c r="O24959" i="10"/>
  <c r="O24960" i="10"/>
  <c r="O24961" i="10"/>
  <c r="O24962" i="10"/>
  <c r="O24963" i="10"/>
  <c r="O24964" i="10"/>
  <c r="O24965" i="10"/>
  <c r="O24966" i="10"/>
  <c r="O24967" i="10"/>
  <c r="O24968" i="10"/>
  <c r="O24969" i="10"/>
  <c r="O24970" i="10"/>
  <c r="O24971" i="10"/>
  <c r="O24972" i="10"/>
  <c r="O24973" i="10"/>
  <c r="O24974" i="10"/>
  <c r="O24975" i="10"/>
  <c r="O24976" i="10"/>
  <c r="O24977" i="10"/>
  <c r="O24978" i="10"/>
  <c r="O24979" i="10"/>
  <c r="O24980" i="10"/>
  <c r="O24981" i="10"/>
  <c r="O24982" i="10"/>
  <c r="O24983" i="10"/>
  <c r="O24984" i="10"/>
  <c r="O24985" i="10"/>
  <c r="O24986" i="10"/>
  <c r="O24987" i="10"/>
  <c r="O24988" i="10"/>
  <c r="O24989" i="10"/>
  <c r="O24990" i="10"/>
  <c r="O24991" i="10"/>
  <c r="O24992" i="10"/>
  <c r="O24993" i="10"/>
  <c r="O24994" i="10"/>
  <c r="O24995" i="10"/>
  <c r="O24996" i="10"/>
  <c r="O24997" i="10"/>
  <c r="O24998" i="10"/>
  <c r="O24999" i="10"/>
  <c r="O25000" i="10"/>
  <c r="O25001" i="10"/>
  <c r="O25002" i="10"/>
  <c r="O25003" i="10"/>
  <c r="O25004" i="10"/>
  <c r="O25005" i="10"/>
  <c r="O25006" i="10"/>
  <c r="O25007" i="10"/>
  <c r="O25008" i="10"/>
  <c r="O25009" i="10"/>
  <c r="O25010" i="10"/>
  <c r="O25011" i="10"/>
  <c r="O25012" i="10"/>
  <c r="O25013" i="10"/>
  <c r="O25014" i="10"/>
  <c r="O25015" i="10"/>
  <c r="O25016" i="10"/>
  <c r="O25017" i="10"/>
  <c r="O25018" i="10"/>
  <c r="O25019" i="10"/>
  <c r="O25020" i="10"/>
  <c r="O25021" i="10"/>
  <c r="O25022" i="10"/>
  <c r="O25023" i="10"/>
  <c r="O25024" i="10"/>
  <c r="O25025" i="10"/>
  <c r="O25026" i="10"/>
  <c r="O25027" i="10"/>
  <c r="O25028" i="10"/>
  <c r="O25029" i="10"/>
  <c r="O25030" i="10"/>
  <c r="O25031" i="10"/>
  <c r="O25032" i="10"/>
  <c r="O25033" i="10"/>
  <c r="O25034" i="10"/>
  <c r="O25035" i="10"/>
  <c r="O25036" i="10"/>
  <c r="O25037" i="10"/>
  <c r="O25038" i="10"/>
  <c r="O25039" i="10"/>
  <c r="O25040" i="10"/>
  <c r="O25041" i="10"/>
  <c r="O25042" i="10"/>
  <c r="O25043" i="10"/>
  <c r="O25044" i="10"/>
  <c r="O25045" i="10"/>
  <c r="O25046" i="10"/>
  <c r="O25047" i="10"/>
  <c r="O25048" i="10"/>
  <c r="O25049" i="10"/>
  <c r="O25050" i="10"/>
  <c r="O25051" i="10"/>
  <c r="O25052" i="10"/>
  <c r="O25053" i="10"/>
  <c r="O25054" i="10"/>
  <c r="O25055" i="10"/>
  <c r="O25056" i="10"/>
  <c r="O25057" i="10"/>
  <c r="O25058" i="10"/>
  <c r="O25059" i="10"/>
  <c r="O25060" i="10"/>
  <c r="O25061" i="10"/>
  <c r="O25062" i="10"/>
  <c r="O25063" i="10"/>
  <c r="O25064" i="10"/>
  <c r="O25065" i="10"/>
  <c r="O25066" i="10"/>
  <c r="O25067" i="10"/>
  <c r="O25068" i="10"/>
  <c r="O25069" i="10"/>
  <c r="O25070" i="10"/>
  <c r="O25071" i="10"/>
  <c r="O25072" i="10"/>
  <c r="O25073" i="10"/>
  <c r="O25074" i="10"/>
  <c r="O25075" i="10"/>
  <c r="O25076" i="10"/>
  <c r="O25077" i="10"/>
  <c r="O25078" i="10"/>
  <c r="O25079" i="10"/>
  <c r="O25080" i="10"/>
  <c r="O25081" i="10"/>
  <c r="O25082" i="10"/>
  <c r="O25083" i="10"/>
  <c r="O25084" i="10"/>
  <c r="O25085" i="10"/>
  <c r="O25086" i="10"/>
  <c r="O25087" i="10"/>
  <c r="O25088" i="10"/>
  <c r="O25089" i="10"/>
  <c r="O25090" i="10"/>
  <c r="O25091" i="10"/>
  <c r="O25092" i="10"/>
  <c r="O25093" i="10"/>
  <c r="O25094" i="10"/>
  <c r="O25095" i="10"/>
  <c r="O25096" i="10"/>
  <c r="O25097" i="10"/>
  <c r="O25098" i="10"/>
  <c r="O25099" i="10"/>
  <c r="O25100" i="10"/>
  <c r="O25101" i="10"/>
  <c r="O25102" i="10"/>
  <c r="O25103" i="10"/>
  <c r="O25104" i="10"/>
  <c r="O25105" i="10"/>
  <c r="O25106" i="10"/>
  <c r="O25107" i="10"/>
  <c r="O25108" i="10"/>
  <c r="O25109" i="10"/>
  <c r="O25110" i="10"/>
  <c r="O25111" i="10"/>
  <c r="O25112" i="10"/>
  <c r="O25113" i="10"/>
  <c r="O25114" i="10"/>
  <c r="O25115" i="10"/>
  <c r="O25116" i="10"/>
  <c r="O25117" i="10"/>
  <c r="O25118" i="10"/>
  <c r="O25119" i="10"/>
  <c r="O25120" i="10"/>
  <c r="O25121" i="10"/>
  <c r="O25122" i="10"/>
  <c r="O25123" i="10"/>
  <c r="O25124" i="10"/>
  <c r="O25125" i="10"/>
  <c r="O25126" i="10"/>
  <c r="O25127" i="10"/>
  <c r="O25128" i="10"/>
  <c r="O25129" i="10"/>
  <c r="O25130" i="10"/>
  <c r="O25131" i="10"/>
  <c r="O25132" i="10"/>
  <c r="O25133" i="10"/>
  <c r="O25134" i="10"/>
  <c r="O25135" i="10"/>
  <c r="O25136" i="10"/>
  <c r="O25137" i="10"/>
  <c r="O25138" i="10"/>
  <c r="O25139" i="10"/>
  <c r="O25140" i="10"/>
  <c r="O25141" i="10"/>
  <c r="O25142" i="10"/>
  <c r="O25143" i="10"/>
  <c r="O25144" i="10"/>
  <c r="O25145" i="10"/>
  <c r="O25146" i="10"/>
  <c r="O25147" i="10"/>
  <c r="O25148" i="10"/>
  <c r="O25149" i="10"/>
  <c r="O25150" i="10"/>
  <c r="O25151" i="10"/>
  <c r="O25152" i="10"/>
  <c r="O25153" i="10"/>
  <c r="O25154" i="10"/>
  <c r="O25155" i="10"/>
  <c r="O25156" i="10"/>
  <c r="O25157" i="10"/>
  <c r="O25158" i="10"/>
  <c r="O25159" i="10"/>
  <c r="O25160" i="10"/>
  <c r="O25161" i="10"/>
  <c r="O25162" i="10"/>
  <c r="O25163" i="10"/>
  <c r="O25164" i="10"/>
  <c r="O25165" i="10"/>
  <c r="O25166" i="10"/>
  <c r="O25167" i="10"/>
  <c r="O25168" i="10"/>
  <c r="O25169" i="10"/>
  <c r="O25170" i="10"/>
  <c r="O25171" i="10"/>
  <c r="O25172" i="10"/>
  <c r="O25173" i="10"/>
  <c r="O25174" i="10"/>
  <c r="O25175" i="10"/>
  <c r="O25176" i="10"/>
  <c r="O25177" i="10"/>
  <c r="O25178" i="10"/>
  <c r="O25179" i="10"/>
  <c r="O25180" i="10"/>
  <c r="O25181" i="10"/>
  <c r="O25182" i="10"/>
  <c r="O25183" i="10"/>
  <c r="O25184" i="10"/>
  <c r="O25185" i="10"/>
  <c r="O25186" i="10"/>
  <c r="O25187" i="10"/>
  <c r="O25188" i="10"/>
  <c r="O25189" i="10"/>
  <c r="O25190" i="10"/>
  <c r="O25191" i="10"/>
  <c r="O25192" i="10"/>
  <c r="O25193" i="10"/>
  <c r="O25194" i="10"/>
  <c r="O25195" i="10"/>
  <c r="O25196" i="10"/>
  <c r="O25197" i="10"/>
  <c r="O25198" i="10"/>
  <c r="O25199" i="10"/>
  <c r="O25200" i="10"/>
  <c r="O25201" i="10"/>
  <c r="O25202" i="10"/>
  <c r="O25203" i="10"/>
  <c r="O25204" i="10"/>
  <c r="O25205" i="10"/>
  <c r="O25206" i="10"/>
  <c r="O25207" i="10"/>
  <c r="O25208" i="10"/>
  <c r="O25209" i="10"/>
  <c r="O25210" i="10"/>
  <c r="O25211" i="10"/>
  <c r="O25212" i="10"/>
  <c r="O25213" i="10"/>
  <c r="O25214" i="10"/>
  <c r="O25215" i="10"/>
  <c r="O25216" i="10"/>
  <c r="O25217" i="10"/>
  <c r="O25218" i="10"/>
  <c r="O25219" i="10"/>
  <c r="O25220" i="10"/>
  <c r="O25221" i="10"/>
  <c r="O25222" i="10"/>
  <c r="O25223" i="10"/>
  <c r="O25224" i="10"/>
  <c r="O25225" i="10"/>
  <c r="O25226" i="10"/>
  <c r="O25227" i="10"/>
  <c r="O25228" i="10"/>
  <c r="O25229" i="10"/>
  <c r="O25230" i="10"/>
  <c r="O25231" i="10"/>
  <c r="O25232" i="10"/>
  <c r="O25233" i="10"/>
  <c r="O25234" i="10"/>
  <c r="O25235" i="10"/>
  <c r="O25236" i="10"/>
  <c r="O25237" i="10"/>
  <c r="O25238" i="10"/>
  <c r="O25239" i="10"/>
  <c r="O25240" i="10"/>
  <c r="O25241" i="10"/>
  <c r="O25242" i="10"/>
  <c r="O25243" i="10"/>
  <c r="O25244" i="10"/>
  <c r="O25245" i="10"/>
  <c r="O25246" i="10"/>
  <c r="O25247" i="10"/>
  <c r="O25248" i="10"/>
  <c r="O25249" i="10"/>
  <c r="O25250" i="10"/>
  <c r="O25251" i="10"/>
  <c r="O25252" i="10"/>
  <c r="O25253" i="10"/>
  <c r="O25254" i="10"/>
  <c r="O25255" i="10"/>
  <c r="O25256" i="10"/>
  <c r="O25257" i="10"/>
  <c r="O25258" i="10"/>
  <c r="O25259" i="10"/>
  <c r="O25260" i="10"/>
  <c r="O25261" i="10"/>
  <c r="O25262" i="10"/>
  <c r="O25263" i="10"/>
  <c r="O25264" i="10"/>
  <c r="O25265" i="10"/>
  <c r="O25266" i="10"/>
  <c r="O25267" i="10"/>
  <c r="O25268" i="10"/>
  <c r="O25269" i="10"/>
  <c r="O25270" i="10"/>
  <c r="O25271" i="10"/>
  <c r="O25272" i="10"/>
  <c r="O25273" i="10"/>
  <c r="O25274" i="10"/>
  <c r="O25275" i="10"/>
  <c r="O25276" i="10"/>
  <c r="O25277" i="10"/>
  <c r="O25278" i="10"/>
  <c r="O25279" i="10"/>
  <c r="O25280" i="10"/>
  <c r="O25281" i="10"/>
  <c r="O25282" i="10"/>
  <c r="O25283" i="10"/>
  <c r="O25284" i="10"/>
  <c r="O25285" i="10"/>
  <c r="O25286" i="10"/>
  <c r="O25287" i="10"/>
  <c r="O25288" i="10"/>
  <c r="O25289" i="10"/>
  <c r="O25290" i="10"/>
  <c r="O25291" i="10"/>
  <c r="O25292" i="10"/>
  <c r="O25293" i="10"/>
  <c r="O25294" i="10"/>
  <c r="O25295" i="10"/>
  <c r="O25296" i="10"/>
  <c r="O25297" i="10"/>
  <c r="O25298" i="10"/>
  <c r="O25299" i="10"/>
  <c r="O25300" i="10"/>
  <c r="O25301" i="10"/>
  <c r="O25302" i="10"/>
  <c r="O25303" i="10"/>
  <c r="O25304" i="10"/>
  <c r="O25305" i="10"/>
  <c r="O25306" i="10"/>
  <c r="O25307" i="10"/>
  <c r="O25308" i="10"/>
  <c r="O25309" i="10"/>
  <c r="O25310" i="10"/>
  <c r="O25311" i="10"/>
  <c r="O25312" i="10"/>
  <c r="O25313" i="10"/>
  <c r="O25314" i="10"/>
  <c r="O25315" i="10"/>
  <c r="O25316" i="10"/>
  <c r="O25317" i="10"/>
  <c r="O25318" i="10"/>
  <c r="O25319" i="10"/>
  <c r="O25320" i="10"/>
  <c r="O25321" i="10"/>
  <c r="O25322" i="10"/>
  <c r="O25323" i="10"/>
  <c r="O25324" i="10"/>
  <c r="O25325" i="10"/>
  <c r="O25326" i="10"/>
  <c r="O25327" i="10"/>
  <c r="O25328" i="10"/>
  <c r="O25329" i="10"/>
  <c r="O25330" i="10"/>
  <c r="O25331" i="10"/>
  <c r="O25332" i="10"/>
  <c r="O25333" i="10"/>
  <c r="O25334" i="10"/>
  <c r="O25335" i="10"/>
  <c r="O25336" i="10"/>
  <c r="O25337" i="10"/>
  <c r="O25338" i="10"/>
  <c r="O25339" i="10"/>
  <c r="O25340" i="10"/>
  <c r="O25341" i="10"/>
  <c r="O25342" i="10"/>
  <c r="O25343" i="10"/>
  <c r="O25344" i="10"/>
  <c r="O25345" i="10"/>
  <c r="O25346" i="10"/>
  <c r="O25347" i="10"/>
  <c r="O25348" i="10"/>
  <c r="O25349" i="10"/>
  <c r="O25350" i="10"/>
  <c r="O25351" i="10"/>
  <c r="O25352" i="10"/>
  <c r="O25353" i="10"/>
  <c r="O25354" i="10"/>
  <c r="O25355" i="10"/>
  <c r="O25356" i="10"/>
  <c r="O25357" i="10"/>
  <c r="O25358" i="10"/>
  <c r="O25359" i="10"/>
  <c r="O25360" i="10"/>
  <c r="O25361" i="10"/>
  <c r="O25362" i="10"/>
  <c r="O25363" i="10"/>
  <c r="O25364" i="10"/>
  <c r="O25365" i="10"/>
  <c r="O25366" i="10"/>
  <c r="O25367" i="10"/>
  <c r="O25368" i="10"/>
  <c r="O25369" i="10"/>
  <c r="O25370" i="10"/>
  <c r="O25371" i="10"/>
  <c r="O25372" i="10"/>
  <c r="O25373" i="10"/>
  <c r="O25374" i="10"/>
  <c r="O25375" i="10"/>
  <c r="O25376" i="10"/>
  <c r="O25377" i="10"/>
  <c r="O25378" i="10"/>
  <c r="O25379" i="10"/>
  <c r="O25380" i="10"/>
  <c r="O25381" i="10"/>
  <c r="O25382" i="10"/>
  <c r="O25383" i="10"/>
  <c r="O25384" i="10"/>
  <c r="O25385" i="10"/>
  <c r="O25386" i="10"/>
  <c r="O25387" i="10"/>
  <c r="O25388" i="10"/>
  <c r="O25389" i="10"/>
  <c r="O25390" i="10"/>
  <c r="O25391" i="10"/>
  <c r="O25392" i="10"/>
  <c r="O25393" i="10"/>
  <c r="O25394" i="10"/>
  <c r="O25395" i="10"/>
  <c r="O25396" i="10"/>
  <c r="O25397" i="10"/>
  <c r="O25398" i="10"/>
  <c r="O25399" i="10"/>
  <c r="O25400" i="10"/>
  <c r="O25401" i="10"/>
  <c r="O25402" i="10"/>
  <c r="O25403" i="10"/>
  <c r="O25404" i="10"/>
  <c r="O25405" i="10"/>
  <c r="O25406" i="10"/>
  <c r="O25407" i="10"/>
  <c r="O25408" i="10"/>
  <c r="O25409" i="10"/>
  <c r="O25410" i="10"/>
  <c r="O25411" i="10"/>
  <c r="O25412" i="10"/>
  <c r="O25413" i="10"/>
  <c r="O25414" i="10"/>
  <c r="O25415" i="10"/>
  <c r="O25416" i="10"/>
  <c r="O25417" i="10"/>
  <c r="O25418" i="10"/>
  <c r="O25419" i="10"/>
  <c r="O25420" i="10"/>
  <c r="O25421" i="10"/>
  <c r="O25422" i="10"/>
  <c r="O25423" i="10"/>
  <c r="O25424" i="10"/>
  <c r="O25425" i="10"/>
  <c r="O25426" i="10"/>
  <c r="O25427" i="10"/>
  <c r="O25428" i="10"/>
  <c r="O25429" i="10"/>
  <c r="O25430" i="10"/>
  <c r="O25431" i="10"/>
  <c r="O25432" i="10"/>
  <c r="O25433" i="10"/>
  <c r="O25434" i="10"/>
  <c r="O25435" i="10"/>
  <c r="O25436" i="10"/>
  <c r="O25437" i="10"/>
  <c r="O25438" i="10"/>
  <c r="O25439" i="10"/>
  <c r="O25440" i="10"/>
  <c r="O25441" i="10"/>
  <c r="O25442" i="10"/>
  <c r="O25443" i="10"/>
  <c r="O25444" i="10"/>
  <c r="O25445" i="10"/>
  <c r="O25446" i="10"/>
  <c r="O25447" i="10"/>
  <c r="O25448" i="10"/>
  <c r="O25449" i="10"/>
  <c r="O25450" i="10"/>
  <c r="O25451" i="10"/>
  <c r="O25452" i="10"/>
  <c r="O25453" i="10"/>
  <c r="O25454" i="10"/>
  <c r="O25455" i="10"/>
  <c r="O25456" i="10"/>
  <c r="O25457" i="10"/>
  <c r="O25458" i="10"/>
  <c r="O25459" i="10"/>
  <c r="O25460" i="10"/>
  <c r="O25461" i="10"/>
  <c r="O25462" i="10"/>
  <c r="O25463" i="10"/>
  <c r="O25464" i="10"/>
  <c r="O25465" i="10"/>
  <c r="O25466" i="10"/>
  <c r="O25467" i="10"/>
  <c r="O25468" i="10"/>
  <c r="O25469" i="10"/>
  <c r="O25470" i="10"/>
  <c r="O25471" i="10"/>
  <c r="O25472" i="10"/>
  <c r="O25473" i="10"/>
  <c r="O25474" i="10"/>
  <c r="O25475" i="10"/>
  <c r="O25476" i="10"/>
  <c r="O25477" i="10"/>
  <c r="O25478" i="10"/>
  <c r="O25479" i="10"/>
  <c r="O25480" i="10"/>
  <c r="O25481" i="10"/>
  <c r="O25482" i="10"/>
  <c r="O25483" i="10"/>
  <c r="O25484" i="10"/>
  <c r="O25485" i="10"/>
  <c r="O25486" i="10"/>
  <c r="O25487" i="10"/>
  <c r="O25488" i="10"/>
  <c r="O25489" i="10"/>
  <c r="O25490" i="10"/>
  <c r="O25491" i="10"/>
  <c r="O25492" i="10"/>
  <c r="O25493" i="10"/>
  <c r="O25494" i="10"/>
  <c r="O25495" i="10"/>
  <c r="O25496" i="10"/>
  <c r="O25497" i="10"/>
  <c r="O25498" i="10"/>
  <c r="O25499" i="10"/>
  <c r="O25500" i="10"/>
  <c r="O25501" i="10"/>
  <c r="O25502" i="10"/>
  <c r="O25503" i="10"/>
  <c r="O25504" i="10"/>
  <c r="O25505" i="10"/>
  <c r="O25506" i="10"/>
  <c r="O25507" i="10"/>
  <c r="O25508" i="10"/>
  <c r="O25509" i="10"/>
  <c r="O25510" i="10"/>
  <c r="O25511" i="10"/>
  <c r="O25512" i="10"/>
  <c r="O25513" i="10"/>
  <c r="O25514" i="10"/>
  <c r="O25515" i="10"/>
  <c r="O25516" i="10"/>
  <c r="O25517" i="10"/>
  <c r="O25518" i="10"/>
  <c r="O25519" i="10"/>
  <c r="O25520" i="10"/>
  <c r="O25521" i="10"/>
  <c r="O25522" i="10"/>
  <c r="O25523" i="10"/>
  <c r="O25524" i="10"/>
  <c r="O25525" i="10"/>
  <c r="O25526" i="10"/>
  <c r="O25527" i="10"/>
  <c r="O25528" i="10"/>
  <c r="O25529" i="10"/>
  <c r="O25530" i="10"/>
  <c r="O25531" i="10"/>
  <c r="O25532" i="10"/>
  <c r="O25533" i="10"/>
  <c r="O25534" i="10"/>
  <c r="O25535" i="10"/>
  <c r="O25536" i="10"/>
  <c r="O25537" i="10"/>
  <c r="O25538" i="10"/>
  <c r="O25539" i="10"/>
  <c r="O25540" i="10"/>
  <c r="O25541" i="10"/>
  <c r="O25542" i="10"/>
  <c r="O25543" i="10"/>
  <c r="O25544" i="10"/>
  <c r="O25545" i="10"/>
  <c r="O25546" i="10"/>
  <c r="O25547" i="10"/>
  <c r="O25548" i="10"/>
  <c r="O25549" i="10"/>
  <c r="O25550" i="10"/>
  <c r="O25551" i="10"/>
  <c r="O25552" i="10"/>
  <c r="O25553" i="10"/>
  <c r="O25554" i="10"/>
  <c r="O25555" i="10"/>
  <c r="O25556" i="10"/>
  <c r="O25557" i="10"/>
  <c r="O25558" i="10"/>
  <c r="O25559" i="10"/>
  <c r="O25560" i="10"/>
  <c r="O25561" i="10"/>
  <c r="O25562" i="10"/>
  <c r="O25563" i="10"/>
  <c r="O25564" i="10"/>
  <c r="O25565" i="10"/>
  <c r="O25566" i="10"/>
  <c r="O25567" i="10"/>
  <c r="O25568" i="10"/>
  <c r="O25569" i="10"/>
  <c r="O25570" i="10"/>
  <c r="O25571" i="10"/>
  <c r="O25572" i="10"/>
  <c r="O25573" i="10"/>
  <c r="O25574" i="10"/>
  <c r="O25575" i="10"/>
  <c r="O25576" i="10"/>
  <c r="O25577" i="10"/>
  <c r="O25578" i="10"/>
  <c r="O25579" i="10"/>
  <c r="O25580" i="10"/>
  <c r="O25581" i="10"/>
  <c r="O25582" i="10"/>
  <c r="O25583" i="10"/>
  <c r="O25584" i="10"/>
  <c r="O25585" i="10"/>
  <c r="O25586" i="10"/>
  <c r="O25587" i="10"/>
  <c r="O25588" i="10"/>
  <c r="O25589" i="10"/>
  <c r="O25590" i="10"/>
  <c r="O25591" i="10"/>
  <c r="O25592" i="10"/>
  <c r="O25593" i="10"/>
  <c r="O25594" i="10"/>
  <c r="O25595" i="10"/>
  <c r="O25596" i="10"/>
  <c r="O25597" i="10"/>
  <c r="O25598" i="10"/>
  <c r="O25599" i="10"/>
  <c r="O25600" i="10"/>
  <c r="O25601" i="10"/>
  <c r="O25602" i="10"/>
  <c r="O25603" i="10"/>
  <c r="O25604" i="10"/>
  <c r="O25605" i="10"/>
  <c r="O25606" i="10"/>
  <c r="O25607" i="10"/>
  <c r="O25608" i="10"/>
  <c r="O25609" i="10"/>
  <c r="O25610" i="10"/>
  <c r="O25611" i="10"/>
  <c r="O25612" i="10"/>
  <c r="O25613" i="10"/>
  <c r="O25614" i="10"/>
  <c r="O25615" i="10"/>
  <c r="O25616" i="10"/>
  <c r="O25617" i="10"/>
  <c r="O25618" i="10"/>
  <c r="O25619" i="10"/>
  <c r="O25620" i="10"/>
  <c r="O25621" i="10"/>
  <c r="O25622" i="10"/>
  <c r="O25623" i="10"/>
  <c r="O25624" i="10"/>
  <c r="O25625" i="10"/>
  <c r="O25626" i="10"/>
  <c r="O25627" i="10"/>
  <c r="O25628" i="10"/>
  <c r="O25629" i="10"/>
  <c r="O25630" i="10"/>
  <c r="O25631" i="10"/>
  <c r="O25632" i="10"/>
  <c r="O25633" i="10"/>
  <c r="O25634" i="10"/>
  <c r="O25635" i="10"/>
  <c r="O25636" i="10"/>
  <c r="O25637" i="10"/>
  <c r="O25638" i="10"/>
  <c r="O25639" i="10"/>
  <c r="O25640" i="10"/>
  <c r="O25641" i="10"/>
  <c r="O25642" i="10"/>
  <c r="O25643" i="10"/>
  <c r="O25644" i="10"/>
  <c r="O25645" i="10"/>
  <c r="O25646" i="10"/>
  <c r="O25647" i="10"/>
  <c r="O25648" i="10"/>
  <c r="O25649" i="10"/>
  <c r="O25650" i="10"/>
  <c r="O25651" i="10"/>
  <c r="O25652" i="10"/>
  <c r="O25653" i="10"/>
  <c r="O25654" i="10"/>
  <c r="O25655" i="10"/>
  <c r="O25656" i="10"/>
  <c r="O25657" i="10"/>
  <c r="O25658" i="10"/>
  <c r="O25659" i="10"/>
  <c r="O25660" i="10"/>
  <c r="O25661" i="10"/>
  <c r="O25662" i="10"/>
  <c r="O25663" i="10"/>
  <c r="O25664" i="10"/>
  <c r="O25665" i="10"/>
  <c r="O25666" i="10"/>
  <c r="O25667" i="10"/>
  <c r="O25668" i="10"/>
  <c r="O25669" i="10"/>
  <c r="O25670" i="10"/>
  <c r="O25671" i="10"/>
  <c r="O25672" i="10"/>
  <c r="O25673" i="10"/>
  <c r="O25674" i="10"/>
  <c r="O25675" i="10"/>
  <c r="O25676" i="10"/>
  <c r="O25677" i="10"/>
  <c r="O25678" i="10"/>
  <c r="O25679" i="10"/>
  <c r="O25680" i="10"/>
  <c r="O25681" i="10"/>
  <c r="O25682" i="10"/>
  <c r="O25683" i="10"/>
  <c r="O25684" i="10"/>
  <c r="O25685" i="10"/>
  <c r="O25686" i="10"/>
  <c r="O25687" i="10"/>
  <c r="O25688" i="10"/>
  <c r="O25689" i="10"/>
  <c r="O25690" i="10"/>
  <c r="O25691" i="10"/>
  <c r="O25692" i="10"/>
  <c r="O25693" i="10"/>
  <c r="O25694" i="10"/>
  <c r="O25695" i="10"/>
  <c r="O25696" i="10"/>
  <c r="O25697" i="10"/>
  <c r="O25698" i="10"/>
  <c r="O25699" i="10"/>
  <c r="O25700" i="10"/>
  <c r="O25701" i="10"/>
  <c r="O25702" i="10"/>
  <c r="O25703" i="10"/>
  <c r="O25704" i="10"/>
  <c r="O25705" i="10"/>
  <c r="O25706" i="10"/>
  <c r="O25707" i="10"/>
  <c r="O25708" i="10"/>
  <c r="O25709" i="10"/>
  <c r="O25710" i="10"/>
  <c r="O25711" i="10"/>
  <c r="O25712" i="10"/>
  <c r="O25713" i="10"/>
  <c r="O25714" i="10"/>
  <c r="O25715" i="10"/>
  <c r="O25716" i="10"/>
  <c r="O25717" i="10"/>
  <c r="O25718" i="10"/>
  <c r="O25719" i="10"/>
  <c r="O25720" i="10"/>
  <c r="O25721" i="10"/>
  <c r="O25722" i="10"/>
  <c r="O25723" i="10"/>
  <c r="O25724" i="10"/>
  <c r="O25725" i="10"/>
  <c r="O25726" i="10"/>
  <c r="O25727" i="10"/>
  <c r="O25728" i="10"/>
  <c r="O25729" i="10"/>
  <c r="O25730" i="10"/>
  <c r="O25731" i="10"/>
  <c r="O25732" i="10"/>
  <c r="O25733" i="10"/>
  <c r="O25734" i="10"/>
  <c r="O25735" i="10"/>
  <c r="O25736" i="10"/>
  <c r="O25737" i="10"/>
  <c r="O25738" i="10"/>
  <c r="O25739" i="10"/>
  <c r="O25740" i="10"/>
  <c r="O25741" i="10"/>
  <c r="O25742" i="10"/>
  <c r="O25743" i="10"/>
  <c r="O25744" i="10"/>
  <c r="O25745" i="10"/>
  <c r="O25746" i="10"/>
  <c r="O25747" i="10"/>
  <c r="O25748" i="10"/>
  <c r="O25749" i="10"/>
  <c r="O25750" i="10"/>
  <c r="O25751" i="10"/>
  <c r="O25752" i="10"/>
  <c r="O25753" i="10"/>
  <c r="O25754" i="10"/>
  <c r="O25755" i="10"/>
  <c r="O25756" i="10"/>
  <c r="O25757" i="10"/>
  <c r="O25758" i="10"/>
  <c r="O25759" i="10"/>
  <c r="O25760" i="10"/>
  <c r="O25761" i="10"/>
  <c r="O25762" i="10"/>
  <c r="O25763" i="10"/>
  <c r="O25764" i="10"/>
  <c r="O25765" i="10"/>
  <c r="O25766" i="10"/>
  <c r="O25767" i="10"/>
  <c r="O25768" i="10"/>
  <c r="O25769" i="10"/>
  <c r="O25770" i="10"/>
  <c r="O25771" i="10"/>
  <c r="O25772" i="10"/>
  <c r="O25773" i="10"/>
  <c r="O25774" i="10"/>
  <c r="O25775" i="10"/>
  <c r="O25776" i="10"/>
  <c r="O25777" i="10"/>
  <c r="O25778" i="10"/>
  <c r="O25779" i="10"/>
  <c r="O25780" i="10"/>
  <c r="O25781" i="10"/>
  <c r="O25782" i="10"/>
  <c r="O25783" i="10"/>
  <c r="O25784" i="10"/>
  <c r="O25785" i="10"/>
  <c r="O25786" i="10"/>
  <c r="O25787" i="10"/>
  <c r="O25788" i="10"/>
  <c r="O25789" i="10"/>
  <c r="O25790" i="10"/>
  <c r="O25791" i="10"/>
  <c r="O25792" i="10"/>
  <c r="O25793" i="10"/>
  <c r="O25794" i="10"/>
  <c r="O25795" i="10"/>
  <c r="O25796" i="10"/>
  <c r="O25797" i="10"/>
  <c r="O25798" i="10"/>
  <c r="O25799" i="10"/>
  <c r="O25800" i="10"/>
  <c r="O25801" i="10"/>
  <c r="O25802" i="10"/>
  <c r="O25803" i="10"/>
  <c r="O25804" i="10"/>
  <c r="O25805" i="10"/>
  <c r="O25806" i="10"/>
  <c r="O25807" i="10"/>
  <c r="O25808" i="10"/>
  <c r="O25809" i="10"/>
  <c r="O25810" i="10"/>
  <c r="O25811" i="10"/>
  <c r="O25812" i="10"/>
  <c r="O25813" i="10"/>
  <c r="O25814" i="10"/>
  <c r="O25815" i="10"/>
  <c r="O25816" i="10"/>
  <c r="O25817" i="10"/>
  <c r="O25818" i="10"/>
  <c r="O25819" i="10"/>
  <c r="O25820" i="10"/>
  <c r="O25821" i="10"/>
  <c r="O25822" i="10"/>
  <c r="O25823" i="10"/>
  <c r="O25824" i="10"/>
  <c r="O25825" i="10"/>
  <c r="O25826" i="10"/>
  <c r="O25827" i="10"/>
  <c r="O25828" i="10"/>
  <c r="O25829" i="10"/>
  <c r="O25830" i="10"/>
  <c r="O25831" i="10"/>
  <c r="O25832" i="10"/>
  <c r="O25833" i="10"/>
  <c r="O25834" i="10"/>
  <c r="O25835" i="10"/>
  <c r="O25836" i="10"/>
  <c r="O25837" i="10"/>
  <c r="O25838" i="10"/>
  <c r="O25839" i="10"/>
  <c r="O25840" i="10"/>
  <c r="O25841" i="10"/>
  <c r="O25842" i="10"/>
  <c r="O25843" i="10"/>
  <c r="O25844" i="10"/>
  <c r="O25845" i="10"/>
  <c r="O25846" i="10"/>
  <c r="O25847" i="10"/>
  <c r="O25848" i="10"/>
  <c r="O25849" i="10"/>
  <c r="O25850" i="10"/>
  <c r="O25851" i="10"/>
  <c r="O25852" i="10"/>
  <c r="O25853" i="10"/>
  <c r="O25854" i="10"/>
  <c r="O25855" i="10"/>
  <c r="O25856" i="10"/>
  <c r="O25857" i="10"/>
  <c r="O25858" i="10"/>
  <c r="O25859" i="10"/>
  <c r="O25860" i="10"/>
  <c r="O25861" i="10"/>
  <c r="O25862" i="10"/>
  <c r="O25863" i="10"/>
  <c r="O25864" i="10"/>
  <c r="O25865" i="10"/>
  <c r="O25866" i="10"/>
  <c r="O25867" i="10"/>
  <c r="O25868" i="10"/>
  <c r="O25869" i="10"/>
  <c r="O25870" i="10"/>
  <c r="O25871" i="10"/>
  <c r="O25872" i="10"/>
  <c r="O25873" i="10"/>
  <c r="O25874" i="10"/>
  <c r="O25875" i="10"/>
  <c r="O25876" i="10"/>
  <c r="O25877" i="10"/>
  <c r="O25878" i="10"/>
  <c r="O25879" i="10"/>
  <c r="O25880" i="10"/>
  <c r="O25881" i="10"/>
  <c r="O25882" i="10"/>
  <c r="O25883" i="10"/>
  <c r="O25884" i="10"/>
  <c r="O25885" i="10"/>
  <c r="O25886" i="10"/>
  <c r="O25887" i="10"/>
  <c r="O25888" i="10"/>
  <c r="O25889" i="10"/>
  <c r="O25890" i="10"/>
  <c r="O25891" i="10"/>
  <c r="O25892" i="10"/>
  <c r="O25893" i="10"/>
  <c r="O25894" i="10"/>
  <c r="O25895" i="10"/>
  <c r="O25896" i="10"/>
  <c r="O25897" i="10"/>
  <c r="O25898" i="10"/>
  <c r="O25899" i="10"/>
  <c r="O25900" i="10"/>
  <c r="O25901" i="10"/>
  <c r="O25902" i="10"/>
  <c r="O25903" i="10"/>
  <c r="O25904" i="10"/>
  <c r="O25905" i="10"/>
  <c r="O25906" i="10"/>
  <c r="O25907" i="10"/>
  <c r="O25908" i="10"/>
  <c r="O25909" i="10"/>
  <c r="O25910" i="10"/>
  <c r="O25911" i="10"/>
  <c r="O25912" i="10"/>
  <c r="O25913" i="10"/>
  <c r="O25914" i="10"/>
  <c r="O25915" i="10"/>
  <c r="O25916" i="10"/>
  <c r="O25917" i="10"/>
  <c r="O25918" i="10"/>
  <c r="O25919" i="10"/>
  <c r="O25920" i="10"/>
  <c r="O25921" i="10"/>
  <c r="O25922" i="10"/>
  <c r="O25923" i="10"/>
  <c r="O25924" i="10"/>
  <c r="O25925" i="10"/>
  <c r="O25926" i="10"/>
  <c r="O25927" i="10"/>
  <c r="O25928" i="10"/>
  <c r="O25929" i="10"/>
  <c r="O25930" i="10"/>
  <c r="O25931" i="10"/>
  <c r="O25932" i="10"/>
  <c r="O25933" i="10"/>
  <c r="O25934" i="10"/>
  <c r="O25935" i="10"/>
  <c r="O25936" i="10"/>
  <c r="O25937" i="10"/>
  <c r="O25938" i="10"/>
  <c r="O25939" i="10"/>
  <c r="O25940" i="10"/>
  <c r="O25941" i="10"/>
  <c r="O25942" i="10"/>
  <c r="O25943" i="10"/>
  <c r="O25944" i="10"/>
  <c r="O25945" i="10"/>
  <c r="O25946" i="10"/>
  <c r="O25947" i="10"/>
  <c r="O25948" i="10"/>
  <c r="O25949" i="10"/>
  <c r="O25950" i="10"/>
  <c r="O25951" i="10"/>
  <c r="O25952" i="10"/>
  <c r="O25953" i="10"/>
  <c r="O25954" i="10"/>
  <c r="O25955" i="10"/>
  <c r="O25956" i="10"/>
  <c r="O25957" i="10"/>
  <c r="O25958" i="10"/>
  <c r="O25959" i="10"/>
  <c r="O25960" i="10"/>
  <c r="O25961" i="10"/>
  <c r="O25962" i="10"/>
  <c r="O25963" i="10"/>
  <c r="O25964" i="10"/>
  <c r="O25965" i="10"/>
  <c r="O25966" i="10"/>
  <c r="O25967" i="10"/>
  <c r="O25968" i="10"/>
  <c r="O25969" i="10"/>
  <c r="O25970" i="10"/>
  <c r="O25971" i="10"/>
  <c r="O25972" i="10"/>
  <c r="O25973" i="10"/>
  <c r="O25974" i="10"/>
  <c r="O25975" i="10"/>
  <c r="O25976" i="10"/>
  <c r="O25977" i="10"/>
  <c r="O25978" i="10"/>
  <c r="O25979" i="10"/>
  <c r="O25980" i="10"/>
  <c r="O25981" i="10"/>
  <c r="O25982" i="10"/>
  <c r="O25983" i="10"/>
  <c r="O25984" i="10"/>
  <c r="O25985" i="10"/>
  <c r="O25986" i="10"/>
  <c r="O25987" i="10"/>
  <c r="O25988" i="10"/>
  <c r="O25989" i="10"/>
  <c r="O25990" i="10"/>
  <c r="O25991" i="10"/>
  <c r="O25992" i="10"/>
  <c r="O25993" i="10"/>
  <c r="O25994" i="10"/>
  <c r="O25995" i="10"/>
  <c r="O25996" i="10"/>
  <c r="O25997" i="10"/>
  <c r="O25998" i="10"/>
  <c r="O25999" i="10"/>
  <c r="O26000" i="10"/>
  <c r="O26001" i="10"/>
  <c r="O26002" i="10"/>
  <c r="O26003" i="10"/>
  <c r="O26004" i="10"/>
  <c r="O26005" i="10"/>
  <c r="O26006" i="10"/>
  <c r="O26007" i="10"/>
  <c r="O26008" i="10"/>
  <c r="O26009" i="10"/>
  <c r="O26010" i="10"/>
  <c r="O26011" i="10"/>
  <c r="O26012" i="10"/>
  <c r="O26013" i="10"/>
  <c r="O26014" i="10"/>
  <c r="O26015" i="10"/>
  <c r="O26016" i="10"/>
  <c r="O26017" i="10"/>
  <c r="O26018" i="10"/>
  <c r="O26019" i="10"/>
  <c r="O26020" i="10"/>
  <c r="O26021" i="10"/>
  <c r="O26022" i="10"/>
  <c r="O26023" i="10"/>
  <c r="O26024" i="10"/>
  <c r="O26025" i="10"/>
  <c r="O26026" i="10"/>
  <c r="O26027" i="10"/>
  <c r="O26028" i="10"/>
  <c r="O26029" i="10"/>
  <c r="O26030" i="10"/>
  <c r="O26031" i="10"/>
  <c r="O26032" i="10"/>
  <c r="O26033" i="10"/>
  <c r="O26034" i="10"/>
  <c r="O26035" i="10"/>
  <c r="O26036" i="10"/>
  <c r="O26037" i="10"/>
  <c r="O26038" i="10"/>
  <c r="O26039" i="10"/>
  <c r="O26040" i="10"/>
  <c r="O26041" i="10"/>
  <c r="O26042" i="10"/>
  <c r="O26043" i="10"/>
  <c r="O26044" i="10"/>
  <c r="O26045" i="10"/>
  <c r="O26046" i="10"/>
  <c r="O26047" i="10"/>
  <c r="O26048" i="10"/>
  <c r="O26049" i="10"/>
  <c r="O26050" i="10"/>
  <c r="O26051" i="10"/>
  <c r="O26052" i="10"/>
  <c r="O26053" i="10"/>
  <c r="O26054" i="10"/>
  <c r="O26055" i="10"/>
  <c r="O26056" i="10"/>
  <c r="O26057" i="10"/>
  <c r="O26058" i="10"/>
  <c r="O26059" i="10"/>
  <c r="O26060" i="10"/>
  <c r="O26061" i="10"/>
  <c r="O26062" i="10"/>
  <c r="O26063" i="10"/>
  <c r="O26064" i="10"/>
  <c r="O26065" i="10"/>
  <c r="O26066" i="10"/>
  <c r="O26067" i="10"/>
  <c r="O26068" i="10"/>
  <c r="O26069" i="10"/>
  <c r="O26070" i="10"/>
  <c r="O26071" i="10"/>
  <c r="O26072" i="10"/>
  <c r="O26073" i="10"/>
  <c r="O26074" i="10"/>
  <c r="O26075" i="10"/>
  <c r="O26076" i="10"/>
  <c r="O26077" i="10"/>
  <c r="O26078" i="10"/>
  <c r="O26079" i="10"/>
  <c r="O26080" i="10"/>
  <c r="O26081" i="10"/>
  <c r="O26082" i="10"/>
  <c r="O26083" i="10"/>
  <c r="O26084" i="10"/>
  <c r="O26085" i="10"/>
  <c r="O26086" i="10"/>
  <c r="O26087" i="10"/>
  <c r="O26088" i="10"/>
  <c r="O26089" i="10"/>
  <c r="O26090" i="10"/>
  <c r="O26091" i="10"/>
  <c r="O26092" i="10"/>
  <c r="O26093" i="10"/>
  <c r="O26094" i="10"/>
  <c r="O26095" i="10"/>
  <c r="O26096" i="10"/>
  <c r="O26097" i="10"/>
  <c r="O26098" i="10"/>
  <c r="O26099" i="10"/>
  <c r="O26100" i="10"/>
  <c r="O26101" i="10"/>
  <c r="O26102" i="10"/>
  <c r="O26103" i="10"/>
  <c r="O26104" i="10"/>
  <c r="O26105" i="10"/>
  <c r="O26106" i="10"/>
  <c r="O26107" i="10"/>
  <c r="O26108" i="10"/>
  <c r="O26109" i="10"/>
  <c r="O26110" i="10"/>
  <c r="O26111" i="10"/>
  <c r="O26112" i="10"/>
  <c r="O26113" i="10"/>
  <c r="O26114" i="10"/>
  <c r="O26115" i="10"/>
  <c r="O26116" i="10"/>
  <c r="O26117" i="10"/>
  <c r="O26118" i="10"/>
  <c r="O26119" i="10"/>
  <c r="O26120" i="10"/>
  <c r="O26121" i="10"/>
  <c r="O26122" i="10"/>
  <c r="O26123" i="10"/>
  <c r="O26124" i="10"/>
  <c r="O26125" i="10"/>
  <c r="O26126" i="10"/>
  <c r="O26127" i="10"/>
  <c r="O26128" i="10"/>
  <c r="O26129" i="10"/>
  <c r="O26130" i="10"/>
  <c r="O26131" i="10"/>
  <c r="O26132" i="10"/>
  <c r="O26133" i="10"/>
  <c r="O26134" i="10"/>
  <c r="O26135" i="10"/>
  <c r="O26136" i="10"/>
  <c r="O26137" i="10"/>
  <c r="O26138" i="10"/>
  <c r="O26139" i="10"/>
  <c r="O26140" i="10"/>
  <c r="O26141" i="10"/>
  <c r="O26142" i="10"/>
  <c r="O26143" i="10"/>
  <c r="O26144" i="10"/>
  <c r="O26145" i="10"/>
  <c r="O26146" i="10"/>
  <c r="O26147" i="10"/>
  <c r="O26148" i="10"/>
  <c r="O26149" i="10"/>
  <c r="O26150" i="10"/>
  <c r="O26151" i="10"/>
  <c r="O26152" i="10"/>
  <c r="O26153" i="10"/>
  <c r="O26154" i="10"/>
  <c r="O26155" i="10"/>
  <c r="O26156" i="10"/>
  <c r="O26157" i="10"/>
  <c r="O26158" i="10"/>
  <c r="O26159" i="10"/>
  <c r="O26160" i="10"/>
  <c r="O26161" i="10"/>
  <c r="O26162" i="10"/>
  <c r="O26163" i="10"/>
  <c r="O26164" i="10"/>
  <c r="O26165" i="10"/>
  <c r="O26166" i="10"/>
  <c r="O26167" i="10"/>
  <c r="O26168" i="10"/>
  <c r="O26169" i="10"/>
  <c r="O26170" i="10"/>
  <c r="O26171" i="10"/>
  <c r="O26172" i="10"/>
  <c r="O26173" i="10"/>
  <c r="O26174" i="10"/>
  <c r="O26175" i="10"/>
  <c r="O26176" i="10"/>
  <c r="O26177" i="10"/>
  <c r="O26178" i="10"/>
  <c r="O26179" i="10"/>
  <c r="O26180" i="10"/>
  <c r="O26181" i="10"/>
  <c r="O26182" i="10"/>
  <c r="O26183" i="10"/>
  <c r="O26184" i="10"/>
  <c r="O26185" i="10"/>
  <c r="O26186" i="10"/>
  <c r="O26187" i="10"/>
  <c r="O26188" i="10"/>
  <c r="O26189" i="10"/>
  <c r="O26190" i="10"/>
  <c r="O26191" i="10"/>
  <c r="O26192" i="10"/>
  <c r="O26193" i="10"/>
  <c r="O26194" i="10"/>
  <c r="O26195" i="10"/>
  <c r="O26196" i="10"/>
  <c r="O26197" i="10"/>
  <c r="O26198" i="10"/>
  <c r="O26199" i="10"/>
  <c r="O26200" i="10"/>
  <c r="O26201" i="10"/>
  <c r="O26202" i="10"/>
  <c r="O26203" i="10"/>
  <c r="O26204" i="10"/>
  <c r="O26205" i="10"/>
  <c r="O26206" i="10"/>
  <c r="O26207" i="10"/>
  <c r="O26208" i="10"/>
  <c r="O26209" i="10"/>
  <c r="O26210" i="10"/>
  <c r="O26211" i="10"/>
  <c r="O26212" i="10"/>
  <c r="O26213" i="10"/>
  <c r="O26214" i="10"/>
  <c r="O26215" i="10"/>
  <c r="O26216" i="10"/>
  <c r="O26217" i="10"/>
  <c r="O26218" i="10"/>
  <c r="O26219" i="10"/>
  <c r="O26220" i="10"/>
  <c r="O26221" i="10"/>
  <c r="O26222" i="10"/>
  <c r="O26223" i="10"/>
  <c r="O26224" i="10"/>
  <c r="O26225" i="10"/>
  <c r="O26226" i="10"/>
  <c r="O26227" i="10"/>
  <c r="O26228" i="10"/>
  <c r="O26229" i="10"/>
  <c r="O26230" i="10"/>
  <c r="O26231" i="10"/>
  <c r="O26232" i="10"/>
  <c r="O26233" i="10"/>
  <c r="O26234" i="10"/>
  <c r="O26235" i="10"/>
  <c r="O26236" i="10"/>
  <c r="O26237" i="10"/>
  <c r="O26238" i="10"/>
  <c r="O26239" i="10"/>
  <c r="O26240" i="10"/>
  <c r="O26241" i="10"/>
  <c r="O26242" i="10"/>
  <c r="O26243" i="10"/>
  <c r="O26244" i="10"/>
  <c r="O26245" i="10"/>
  <c r="O26246" i="10"/>
  <c r="O26247" i="10"/>
  <c r="O26248" i="10"/>
  <c r="O26249" i="10"/>
  <c r="O26250" i="10"/>
  <c r="O26251" i="10"/>
  <c r="O26252" i="10"/>
  <c r="O26253" i="10"/>
  <c r="O26254" i="10"/>
  <c r="O26255" i="10"/>
  <c r="O26256" i="10"/>
  <c r="O26257" i="10"/>
  <c r="O26258" i="10"/>
  <c r="O26259" i="10"/>
  <c r="O26260" i="10"/>
  <c r="O26261" i="10"/>
  <c r="O26262" i="10"/>
  <c r="O26263" i="10"/>
  <c r="O26264" i="10"/>
  <c r="O26265" i="10"/>
  <c r="O26266" i="10"/>
  <c r="O26267" i="10"/>
  <c r="O26268" i="10"/>
  <c r="O26269" i="10"/>
  <c r="O26270" i="10"/>
  <c r="O26271" i="10"/>
  <c r="O26272" i="10"/>
  <c r="O26273" i="10"/>
  <c r="O26274" i="10"/>
  <c r="O26275" i="10"/>
  <c r="O26276" i="10"/>
  <c r="O26277" i="10"/>
  <c r="O26278" i="10"/>
  <c r="O26279" i="10"/>
  <c r="O26280" i="10"/>
  <c r="O26281" i="10"/>
  <c r="O26282" i="10"/>
  <c r="O26283" i="10"/>
  <c r="O26284" i="10"/>
  <c r="O26285" i="10"/>
  <c r="O26286" i="10"/>
  <c r="O26287" i="10"/>
  <c r="O26288" i="10"/>
  <c r="O26289" i="10"/>
  <c r="O26290" i="10"/>
  <c r="O26291" i="10"/>
  <c r="O26292" i="10"/>
  <c r="O26293" i="10"/>
  <c r="O26294" i="10"/>
  <c r="O26295" i="10"/>
  <c r="O26296" i="10"/>
  <c r="O26297" i="10"/>
  <c r="O26298" i="10"/>
  <c r="O26299" i="10"/>
  <c r="O26300" i="10"/>
  <c r="O26301" i="10"/>
  <c r="O26302" i="10"/>
  <c r="O26303" i="10"/>
  <c r="O26304" i="10"/>
  <c r="O26305" i="10"/>
  <c r="O26306" i="10"/>
  <c r="O26307" i="10"/>
  <c r="O26308" i="10"/>
  <c r="O26309" i="10"/>
  <c r="O26310" i="10"/>
  <c r="O26311" i="10"/>
  <c r="O26312" i="10"/>
  <c r="O26313" i="10"/>
  <c r="O26314" i="10"/>
  <c r="O26315" i="10"/>
  <c r="O26316" i="10"/>
  <c r="O26317" i="10"/>
  <c r="O26318" i="10"/>
  <c r="O26319" i="10"/>
  <c r="O26320" i="10"/>
  <c r="O26321" i="10"/>
  <c r="O26322" i="10"/>
  <c r="O26323" i="10"/>
  <c r="O26324" i="10"/>
  <c r="O26325" i="10"/>
  <c r="O26326" i="10"/>
  <c r="O26327" i="10"/>
  <c r="O26328" i="10"/>
  <c r="O26329" i="10"/>
  <c r="O26330" i="10"/>
  <c r="O26331" i="10"/>
  <c r="O26332" i="10"/>
  <c r="O26333" i="10"/>
  <c r="O26334" i="10"/>
  <c r="O26335" i="10"/>
  <c r="O26336" i="10"/>
  <c r="O26337" i="10"/>
  <c r="O26338" i="10"/>
  <c r="O26339" i="10"/>
  <c r="O26340" i="10"/>
  <c r="O26341" i="10"/>
  <c r="O26342" i="10"/>
  <c r="O26343" i="10"/>
  <c r="O26344" i="10"/>
  <c r="O26345" i="10"/>
  <c r="O26346" i="10"/>
  <c r="O26347" i="10"/>
  <c r="O26348" i="10"/>
  <c r="O26349" i="10"/>
  <c r="O26350" i="10"/>
  <c r="O26351" i="10"/>
  <c r="O26352" i="10"/>
  <c r="O26353" i="10"/>
  <c r="O26354" i="10"/>
  <c r="O26355" i="10"/>
  <c r="O26356" i="10"/>
  <c r="O26357" i="10"/>
  <c r="O26358" i="10"/>
  <c r="O26359" i="10"/>
  <c r="O26360" i="10"/>
  <c r="O26361" i="10"/>
  <c r="O26362" i="10"/>
  <c r="O26363" i="10"/>
  <c r="O26364" i="10"/>
  <c r="O26365" i="10"/>
  <c r="O26366" i="10"/>
  <c r="O26367" i="10"/>
  <c r="O26368" i="10"/>
  <c r="O26369" i="10"/>
  <c r="O26370" i="10"/>
  <c r="O26371" i="10"/>
  <c r="O26372" i="10"/>
  <c r="O26373" i="10"/>
  <c r="O26374" i="10"/>
  <c r="O26375" i="10"/>
  <c r="O26376" i="10"/>
  <c r="O26377" i="10"/>
  <c r="O26378" i="10"/>
  <c r="O26379" i="10"/>
  <c r="O26380" i="10"/>
  <c r="O26381" i="10"/>
  <c r="O26382" i="10"/>
  <c r="O26383" i="10"/>
  <c r="O26384" i="10"/>
  <c r="O26385" i="10"/>
  <c r="O26386" i="10"/>
  <c r="O26387" i="10"/>
  <c r="O26388" i="10"/>
  <c r="O26389" i="10"/>
  <c r="O26390" i="10"/>
  <c r="O26391" i="10"/>
  <c r="O26392" i="10"/>
  <c r="O26393" i="10"/>
  <c r="O26394" i="10"/>
  <c r="O26395" i="10"/>
  <c r="O26396" i="10"/>
  <c r="O26397" i="10"/>
  <c r="O26398" i="10"/>
  <c r="O26399" i="10"/>
  <c r="O26400" i="10"/>
  <c r="O26401" i="10"/>
  <c r="O26402" i="10"/>
  <c r="O26403" i="10"/>
  <c r="O26404" i="10"/>
  <c r="O26405" i="10"/>
  <c r="O26406" i="10"/>
  <c r="O26407" i="10"/>
  <c r="O26408" i="10"/>
  <c r="O26409" i="10"/>
  <c r="O26410" i="10"/>
  <c r="O26411" i="10"/>
  <c r="O26412" i="10"/>
  <c r="O26413" i="10"/>
  <c r="O26414" i="10"/>
  <c r="O26415" i="10"/>
  <c r="O26416" i="10"/>
  <c r="O26417" i="10"/>
  <c r="O26418" i="10"/>
  <c r="O26419" i="10"/>
  <c r="O26420" i="10"/>
  <c r="O26421" i="10"/>
  <c r="O26422" i="10"/>
  <c r="O26423" i="10"/>
  <c r="O26424" i="10"/>
  <c r="O26425" i="10"/>
  <c r="O26426" i="10"/>
  <c r="O26427" i="10"/>
  <c r="O26428" i="10"/>
  <c r="O26429" i="10"/>
  <c r="O26430" i="10"/>
  <c r="O26431" i="10"/>
  <c r="O26432" i="10"/>
  <c r="O26433" i="10"/>
  <c r="O26434" i="10"/>
  <c r="O26435" i="10"/>
  <c r="O26436" i="10"/>
  <c r="O26437" i="10"/>
  <c r="O26438" i="10"/>
  <c r="O26439" i="10"/>
  <c r="O26440" i="10"/>
  <c r="O26441" i="10"/>
  <c r="O26442" i="10"/>
  <c r="O26443" i="10"/>
  <c r="O26444" i="10"/>
  <c r="O26445" i="10"/>
  <c r="O26446" i="10"/>
  <c r="O26447" i="10"/>
  <c r="O26448" i="10"/>
  <c r="O26449" i="10"/>
  <c r="O26450" i="10"/>
  <c r="O26451" i="10"/>
  <c r="O26452" i="10"/>
  <c r="O26453" i="10"/>
  <c r="O26454" i="10"/>
  <c r="O26455" i="10"/>
  <c r="O26456" i="10"/>
  <c r="O26457" i="10"/>
  <c r="O26458" i="10"/>
  <c r="O26459" i="10"/>
  <c r="O26460" i="10"/>
  <c r="O26461" i="10"/>
  <c r="O26462" i="10"/>
  <c r="O26463" i="10"/>
  <c r="O26464" i="10"/>
  <c r="O26465" i="10"/>
  <c r="O26466" i="10"/>
  <c r="O26467" i="10"/>
  <c r="O26468" i="10"/>
  <c r="O26469" i="10"/>
  <c r="O26470" i="10"/>
  <c r="O26471" i="10"/>
  <c r="O26472" i="10"/>
  <c r="O26473" i="10"/>
  <c r="O26474" i="10"/>
  <c r="O26475" i="10"/>
  <c r="O26476" i="10"/>
  <c r="O26477" i="10"/>
  <c r="O26478" i="10"/>
  <c r="O26479" i="10"/>
  <c r="O26480" i="10"/>
  <c r="O26481" i="10"/>
  <c r="O26482" i="10"/>
  <c r="O26483" i="10"/>
  <c r="O26484" i="10"/>
  <c r="O26485" i="10"/>
  <c r="O26486" i="10"/>
  <c r="O26487" i="10"/>
  <c r="O26488" i="10"/>
  <c r="O26489" i="10"/>
  <c r="O26490" i="10"/>
  <c r="O26491" i="10"/>
  <c r="O26492" i="10"/>
  <c r="O26493" i="10"/>
  <c r="O26494" i="10"/>
  <c r="O26495" i="10"/>
  <c r="O26496" i="10"/>
  <c r="O26497" i="10"/>
  <c r="O26498" i="10"/>
  <c r="O26499" i="10"/>
  <c r="O26500" i="10"/>
  <c r="O26501" i="10"/>
  <c r="O26502" i="10"/>
  <c r="O26503" i="10"/>
  <c r="O26504" i="10"/>
  <c r="O26505" i="10"/>
  <c r="O26506" i="10"/>
  <c r="O26507" i="10"/>
  <c r="O26508" i="10"/>
  <c r="O26509" i="10"/>
  <c r="O26510" i="10"/>
  <c r="O26511" i="10"/>
  <c r="O26512" i="10"/>
  <c r="O26513" i="10"/>
  <c r="O26514" i="10"/>
  <c r="O26515" i="10"/>
  <c r="O26516" i="10"/>
  <c r="O26517" i="10"/>
  <c r="O26518" i="10"/>
  <c r="O26519" i="10"/>
  <c r="O26520" i="10"/>
  <c r="O26521" i="10"/>
  <c r="O26522" i="10"/>
  <c r="O26523" i="10"/>
  <c r="O26524" i="10"/>
  <c r="O26525" i="10"/>
  <c r="O26526" i="10"/>
  <c r="O26527" i="10"/>
  <c r="O26528" i="10"/>
  <c r="O26529" i="10"/>
  <c r="O26530" i="10"/>
  <c r="O26531" i="10"/>
  <c r="O26532" i="10"/>
  <c r="O26533" i="10"/>
  <c r="O26534" i="10"/>
  <c r="O26535" i="10"/>
  <c r="O26536" i="10"/>
  <c r="O26537" i="10"/>
  <c r="O26538" i="10"/>
  <c r="O26539" i="10"/>
  <c r="O26540" i="10"/>
  <c r="O26541" i="10"/>
  <c r="O26542" i="10"/>
  <c r="O26543" i="10"/>
  <c r="O26544" i="10"/>
  <c r="O26545" i="10"/>
  <c r="O26546" i="10"/>
  <c r="O26547" i="10"/>
  <c r="O26548" i="10"/>
  <c r="O26549" i="10"/>
  <c r="O26550" i="10"/>
  <c r="O26551" i="10"/>
  <c r="O26552" i="10"/>
  <c r="O26553" i="10"/>
  <c r="O26554" i="10"/>
  <c r="O26555" i="10"/>
  <c r="O26556" i="10"/>
  <c r="O26557" i="10"/>
  <c r="O26558" i="10"/>
  <c r="O26559" i="10"/>
  <c r="O26560" i="10"/>
  <c r="O26561" i="10"/>
  <c r="O26562" i="10"/>
  <c r="O26563" i="10"/>
  <c r="O26564" i="10"/>
  <c r="O26565" i="10"/>
  <c r="O26566" i="10"/>
  <c r="O26567" i="10"/>
  <c r="O26568" i="10"/>
  <c r="O26569" i="10"/>
  <c r="O26570" i="10"/>
  <c r="O26571" i="10"/>
  <c r="O26572" i="10"/>
  <c r="O26573" i="10"/>
  <c r="O26574" i="10"/>
  <c r="O26575" i="10"/>
  <c r="O26576" i="10"/>
  <c r="O26577" i="10"/>
  <c r="O26578" i="10"/>
  <c r="O26579" i="10"/>
  <c r="O26580" i="10"/>
  <c r="O26581" i="10"/>
  <c r="O26582" i="10"/>
  <c r="O26583" i="10"/>
  <c r="O26584" i="10"/>
  <c r="O26585" i="10"/>
  <c r="O26586" i="10"/>
  <c r="O26587" i="10"/>
  <c r="O26588" i="10"/>
  <c r="O26589" i="10"/>
  <c r="O26590" i="10"/>
  <c r="O26591" i="10"/>
  <c r="O26592" i="10"/>
  <c r="O26593" i="10"/>
  <c r="O26594" i="10"/>
  <c r="O26595" i="10"/>
  <c r="O26596" i="10"/>
  <c r="O26597" i="10"/>
  <c r="O26598" i="10"/>
  <c r="O26599" i="10"/>
  <c r="O26600" i="10"/>
  <c r="O26601" i="10"/>
  <c r="O26602" i="10"/>
  <c r="O26603" i="10"/>
  <c r="O26604" i="10"/>
  <c r="O26605" i="10"/>
  <c r="O26606" i="10"/>
  <c r="O26607" i="10"/>
  <c r="O26608" i="10"/>
  <c r="O26609" i="10"/>
  <c r="O26610" i="10"/>
  <c r="O26611" i="10"/>
  <c r="O26612" i="10"/>
  <c r="O26613" i="10"/>
  <c r="O26614" i="10"/>
  <c r="O26615" i="10"/>
  <c r="O26616" i="10"/>
  <c r="O26617" i="10"/>
  <c r="O26618" i="10"/>
  <c r="O26619" i="10"/>
  <c r="O26620" i="10"/>
  <c r="O26621" i="10"/>
  <c r="O26622" i="10"/>
  <c r="O26623" i="10"/>
  <c r="O26624" i="10"/>
  <c r="O26625" i="10"/>
  <c r="O26626" i="10"/>
  <c r="O26627" i="10"/>
  <c r="O26628" i="10"/>
  <c r="O26629" i="10"/>
  <c r="O26630" i="10"/>
  <c r="O26631" i="10"/>
  <c r="O26632" i="10"/>
  <c r="O26633" i="10"/>
  <c r="O26634" i="10"/>
  <c r="O26635" i="10"/>
  <c r="O26636" i="10"/>
  <c r="O26637" i="10"/>
  <c r="O26638" i="10"/>
  <c r="O26639" i="10"/>
  <c r="O26640" i="10"/>
  <c r="O26641" i="10"/>
  <c r="O26642" i="10"/>
  <c r="O26643" i="10"/>
  <c r="O26644" i="10"/>
  <c r="O26645" i="10"/>
  <c r="O26646" i="10"/>
  <c r="O26647" i="10"/>
  <c r="O26648" i="10"/>
  <c r="O26649" i="10"/>
  <c r="O26650" i="10"/>
  <c r="O26651" i="10"/>
  <c r="O26652" i="10"/>
  <c r="O26653" i="10"/>
  <c r="O26654" i="10"/>
  <c r="O26655" i="10"/>
  <c r="O26656" i="10"/>
  <c r="O26657" i="10"/>
  <c r="O26658" i="10"/>
  <c r="O26659" i="10"/>
  <c r="O26660" i="10"/>
  <c r="O26661" i="10"/>
  <c r="O26662" i="10"/>
  <c r="O26663" i="10"/>
  <c r="O26664" i="10"/>
  <c r="O26665" i="10"/>
  <c r="O26666" i="10"/>
  <c r="O26667" i="10"/>
  <c r="O26668" i="10"/>
  <c r="O26669" i="10"/>
  <c r="O26670" i="10"/>
  <c r="O26671" i="10"/>
  <c r="O26672" i="10"/>
  <c r="O26673" i="10"/>
  <c r="O26674" i="10"/>
  <c r="O26675" i="10"/>
  <c r="O26676" i="10"/>
  <c r="O26677" i="10"/>
  <c r="O26678" i="10"/>
  <c r="O26679" i="10"/>
  <c r="O26680" i="10"/>
  <c r="O26681" i="10"/>
  <c r="O26682" i="10"/>
  <c r="O26683" i="10"/>
  <c r="O26684" i="10"/>
  <c r="O26685" i="10"/>
  <c r="O26686" i="10"/>
  <c r="O26687" i="10"/>
  <c r="O26688" i="10"/>
  <c r="O26689" i="10"/>
  <c r="O26690" i="10"/>
  <c r="O26691" i="10"/>
  <c r="O26692" i="10"/>
  <c r="O26693" i="10"/>
  <c r="O26694" i="10"/>
  <c r="O26695" i="10"/>
  <c r="O26696" i="10"/>
  <c r="O26697" i="10"/>
  <c r="O26698" i="10"/>
  <c r="O26699" i="10"/>
  <c r="O26700" i="10"/>
  <c r="O26701" i="10"/>
  <c r="O26702" i="10"/>
  <c r="O26703" i="10"/>
  <c r="O26704" i="10"/>
  <c r="O26705" i="10"/>
  <c r="O26706" i="10"/>
  <c r="O26707" i="10"/>
  <c r="O26708" i="10"/>
  <c r="O26709" i="10"/>
  <c r="O26710" i="10"/>
  <c r="O26711" i="10"/>
  <c r="O26712" i="10"/>
  <c r="O26713" i="10"/>
  <c r="O26714" i="10"/>
  <c r="O26715" i="10"/>
  <c r="O26716" i="10"/>
  <c r="O26717" i="10"/>
  <c r="O26718" i="10"/>
  <c r="O26719" i="10"/>
  <c r="O26720" i="10"/>
  <c r="O26721" i="10"/>
  <c r="O26722" i="10"/>
  <c r="O26723" i="10"/>
  <c r="O26724" i="10"/>
  <c r="O26725" i="10"/>
  <c r="O26726" i="10"/>
  <c r="O26727" i="10"/>
  <c r="O26728" i="10"/>
  <c r="O26729" i="10"/>
  <c r="O26730" i="10"/>
  <c r="O26731" i="10"/>
  <c r="O26732" i="10"/>
  <c r="O26733" i="10"/>
  <c r="O26734" i="10"/>
  <c r="O26735" i="10"/>
  <c r="O26736" i="10"/>
  <c r="O26737" i="10"/>
  <c r="O26738" i="10"/>
  <c r="O26739" i="10"/>
  <c r="O26740" i="10"/>
  <c r="O26741" i="10"/>
  <c r="O26742" i="10"/>
  <c r="O26743" i="10"/>
  <c r="O26744" i="10"/>
  <c r="O26745" i="10"/>
  <c r="O26746" i="10"/>
  <c r="O26747" i="10"/>
  <c r="O26748" i="10"/>
  <c r="O26749" i="10"/>
  <c r="O26750" i="10"/>
  <c r="O26751" i="10"/>
  <c r="O26752" i="10"/>
  <c r="O26753" i="10"/>
  <c r="O26754" i="10"/>
  <c r="O26755" i="10"/>
  <c r="O26756" i="10"/>
  <c r="O26757" i="10"/>
  <c r="O26758" i="10"/>
  <c r="O26759" i="10"/>
  <c r="O26760" i="10"/>
  <c r="O26761" i="10"/>
  <c r="O26762" i="10"/>
  <c r="O26763" i="10"/>
  <c r="O26764" i="10"/>
  <c r="O26765" i="10"/>
  <c r="O26766" i="10"/>
  <c r="O26767" i="10"/>
  <c r="O26768" i="10"/>
  <c r="O26769" i="10"/>
  <c r="O26770" i="10"/>
  <c r="O26771" i="10"/>
  <c r="O26772" i="10"/>
  <c r="O26773" i="10"/>
  <c r="O26774" i="10"/>
  <c r="O26775" i="10"/>
  <c r="O26776" i="10"/>
  <c r="O26777" i="10"/>
  <c r="O26778" i="10"/>
  <c r="O26779" i="10"/>
  <c r="O26780" i="10"/>
  <c r="O26781" i="10"/>
  <c r="O26782" i="10"/>
  <c r="O26783" i="10"/>
  <c r="O26784" i="10"/>
  <c r="O26785" i="10"/>
  <c r="O26786" i="10"/>
  <c r="O26787" i="10"/>
  <c r="O26788" i="10"/>
  <c r="O26789" i="10"/>
  <c r="O26790" i="10"/>
  <c r="O26791" i="10"/>
  <c r="O26792" i="10"/>
  <c r="O26793" i="10"/>
  <c r="O26794" i="10"/>
  <c r="O26795" i="10"/>
  <c r="O26796" i="10"/>
  <c r="O26797" i="10"/>
  <c r="O26798" i="10"/>
  <c r="O26799" i="10"/>
  <c r="O26800" i="10"/>
  <c r="O26801" i="10"/>
  <c r="O26802" i="10"/>
  <c r="O26803" i="10"/>
  <c r="O26804" i="10"/>
  <c r="O26805" i="10"/>
  <c r="O26806" i="10"/>
  <c r="O26807" i="10"/>
  <c r="O26808" i="10"/>
  <c r="O26809" i="10"/>
  <c r="O26810" i="10"/>
  <c r="O26811" i="10"/>
  <c r="O26812" i="10"/>
  <c r="O26813" i="10"/>
  <c r="O26814" i="10"/>
  <c r="O26815" i="10"/>
  <c r="O26816" i="10"/>
  <c r="O26817" i="10"/>
  <c r="O26818" i="10"/>
  <c r="O26819" i="10"/>
  <c r="O26820" i="10"/>
  <c r="O26821" i="10"/>
  <c r="O26822" i="10"/>
  <c r="O26823" i="10"/>
  <c r="O26824" i="10"/>
  <c r="O26825" i="10"/>
  <c r="O26826" i="10"/>
  <c r="O26827" i="10"/>
  <c r="O26828" i="10"/>
  <c r="O26829" i="10"/>
  <c r="O26830" i="10"/>
  <c r="O26831" i="10"/>
  <c r="O26832" i="10"/>
  <c r="O26833" i="10"/>
  <c r="O26834" i="10"/>
  <c r="O26835" i="10"/>
  <c r="O26836" i="10"/>
  <c r="O26837" i="10"/>
  <c r="O26838" i="10"/>
  <c r="O26839" i="10"/>
  <c r="O26840" i="10"/>
  <c r="O26841" i="10"/>
  <c r="O26842" i="10"/>
  <c r="O26843" i="10"/>
  <c r="O26844" i="10"/>
  <c r="O26845" i="10"/>
  <c r="O26846" i="10"/>
  <c r="O26847" i="10"/>
  <c r="O26848" i="10"/>
  <c r="O26849" i="10"/>
  <c r="O26850" i="10"/>
  <c r="O26851" i="10"/>
  <c r="O26852" i="10"/>
  <c r="O26853" i="10"/>
  <c r="O26854" i="10"/>
  <c r="O26855" i="10"/>
  <c r="O26856" i="10"/>
  <c r="O26857" i="10"/>
  <c r="O26858" i="10"/>
  <c r="O26859" i="10"/>
  <c r="O26860" i="10"/>
  <c r="O26861" i="10"/>
  <c r="O26862" i="10"/>
  <c r="O26863" i="10"/>
  <c r="O26864" i="10"/>
  <c r="O26865" i="10"/>
  <c r="O26866" i="10"/>
  <c r="O26867" i="10"/>
  <c r="O26868" i="10"/>
  <c r="O26869" i="10"/>
  <c r="O26870" i="10"/>
  <c r="O26871" i="10"/>
  <c r="O26872" i="10"/>
  <c r="O26873" i="10"/>
  <c r="O26874" i="10"/>
  <c r="O26875" i="10"/>
  <c r="O26876" i="10"/>
  <c r="O26877" i="10"/>
  <c r="O26878" i="10"/>
  <c r="O26879" i="10"/>
  <c r="O26880" i="10"/>
  <c r="O26881" i="10"/>
  <c r="O26882" i="10"/>
  <c r="O26883" i="10"/>
  <c r="O26884" i="10"/>
  <c r="O26885" i="10"/>
  <c r="O26886" i="10"/>
  <c r="O26887" i="10"/>
  <c r="O26888" i="10"/>
  <c r="O26889" i="10"/>
  <c r="O26890" i="10"/>
  <c r="O26891" i="10"/>
  <c r="O26892" i="10"/>
  <c r="O26893" i="10"/>
  <c r="O26894" i="10"/>
  <c r="O26895" i="10"/>
  <c r="O26896" i="10"/>
  <c r="O26897" i="10"/>
  <c r="O26898" i="10"/>
  <c r="O26899" i="10"/>
  <c r="O26900" i="10"/>
  <c r="O26901" i="10"/>
  <c r="O26902" i="10"/>
  <c r="O26903" i="10"/>
  <c r="O26904" i="10"/>
  <c r="O26905" i="10"/>
  <c r="O26906" i="10"/>
  <c r="O26907" i="10"/>
  <c r="O26908" i="10"/>
  <c r="O26909" i="10"/>
  <c r="O26910" i="10"/>
  <c r="O26911" i="10"/>
  <c r="O26912" i="10"/>
  <c r="O26913" i="10"/>
  <c r="O26914" i="10"/>
  <c r="O26915" i="10"/>
  <c r="O26916" i="10"/>
  <c r="O26917" i="10"/>
  <c r="O26918" i="10"/>
  <c r="O26919" i="10"/>
  <c r="O26920" i="10"/>
  <c r="O26921" i="10"/>
  <c r="O26922" i="10"/>
  <c r="O26923" i="10"/>
  <c r="O26924" i="10"/>
  <c r="O26925" i="10"/>
  <c r="O26926" i="10"/>
  <c r="O26927" i="10"/>
  <c r="O26928" i="10"/>
  <c r="O26929" i="10"/>
  <c r="O26930" i="10"/>
  <c r="O26931" i="10"/>
  <c r="O26932" i="10"/>
  <c r="O26933" i="10"/>
  <c r="O26934" i="10"/>
  <c r="O26935" i="10"/>
  <c r="O26936" i="10"/>
  <c r="O26937" i="10"/>
  <c r="O26938" i="10"/>
  <c r="O26939" i="10"/>
  <c r="O26940" i="10"/>
  <c r="O26941" i="10"/>
  <c r="O26942" i="10"/>
  <c r="O26943" i="10"/>
  <c r="O26944" i="10"/>
  <c r="O26945" i="10"/>
  <c r="O26946" i="10"/>
  <c r="O26947" i="10"/>
  <c r="O26948" i="10"/>
  <c r="O26949" i="10"/>
  <c r="O26950" i="10"/>
  <c r="O26951" i="10"/>
  <c r="O26952" i="10"/>
  <c r="O26953" i="10"/>
  <c r="O26954" i="10"/>
  <c r="O26955" i="10"/>
  <c r="O26956" i="10"/>
  <c r="O26957" i="10"/>
  <c r="O26958" i="10"/>
  <c r="O26959" i="10"/>
  <c r="O26960" i="10"/>
  <c r="O26961" i="10"/>
  <c r="O26962" i="10"/>
  <c r="O26963" i="10"/>
  <c r="O26964" i="10"/>
  <c r="O26965" i="10"/>
  <c r="O26966" i="10"/>
  <c r="O26967" i="10"/>
  <c r="O26968" i="10"/>
  <c r="O26969" i="10"/>
  <c r="O26970" i="10"/>
  <c r="O26971" i="10"/>
  <c r="O26972" i="10"/>
  <c r="O26973" i="10"/>
  <c r="O26974" i="10"/>
  <c r="O26975" i="10"/>
  <c r="O26976" i="10"/>
  <c r="O26977" i="10"/>
  <c r="O26978" i="10"/>
  <c r="O26979" i="10"/>
  <c r="O26980" i="10"/>
  <c r="O26981" i="10"/>
  <c r="O26982" i="10"/>
  <c r="O26983" i="10"/>
  <c r="O26984" i="10"/>
  <c r="O26985" i="10"/>
  <c r="O26986" i="10"/>
  <c r="O26987" i="10"/>
  <c r="O26988" i="10"/>
  <c r="O26989" i="10"/>
  <c r="O26990" i="10"/>
  <c r="O26991" i="10"/>
  <c r="O26992" i="10"/>
  <c r="O26993" i="10"/>
  <c r="O26994" i="10"/>
  <c r="O26995" i="10"/>
  <c r="O26996" i="10"/>
  <c r="O26997" i="10"/>
  <c r="O26998" i="10"/>
  <c r="O26999" i="10"/>
  <c r="O27000" i="10"/>
  <c r="O27001" i="10"/>
  <c r="O27002" i="10"/>
  <c r="O27003" i="10"/>
  <c r="O27004" i="10"/>
  <c r="O27005" i="10"/>
  <c r="O27006" i="10"/>
  <c r="O27007" i="10"/>
  <c r="O27008" i="10"/>
  <c r="O27009" i="10"/>
  <c r="O27010" i="10"/>
  <c r="O27011" i="10"/>
  <c r="O27012" i="10"/>
  <c r="O27013" i="10"/>
  <c r="O27014" i="10"/>
  <c r="O27015" i="10"/>
  <c r="O27016" i="10"/>
  <c r="O27017" i="10"/>
  <c r="O27018" i="10"/>
  <c r="O27019" i="10"/>
  <c r="O27020" i="10"/>
  <c r="O27021" i="10"/>
  <c r="O27022" i="10"/>
  <c r="O27023" i="10"/>
  <c r="O27024" i="10"/>
  <c r="O27025" i="10"/>
  <c r="O27026" i="10"/>
  <c r="O27027" i="10"/>
  <c r="O27028" i="10"/>
  <c r="O27029" i="10"/>
  <c r="O27030" i="10"/>
  <c r="O27031" i="10"/>
  <c r="O27032" i="10"/>
  <c r="O27033" i="10"/>
  <c r="O27034" i="10"/>
  <c r="O27035" i="10"/>
  <c r="O27036" i="10"/>
  <c r="O27037" i="10"/>
  <c r="O27038" i="10"/>
  <c r="O27039" i="10"/>
  <c r="O27040" i="10"/>
  <c r="O27041" i="10"/>
  <c r="O27042" i="10"/>
  <c r="O27043" i="10"/>
  <c r="O27044" i="10"/>
  <c r="O27045" i="10"/>
  <c r="O27046" i="10"/>
  <c r="O27047" i="10"/>
  <c r="O27048" i="10"/>
  <c r="O27049" i="10"/>
  <c r="O27050" i="10"/>
  <c r="O27051" i="10"/>
  <c r="O27052" i="10"/>
  <c r="O27053" i="10"/>
  <c r="O27054" i="10"/>
  <c r="O27055" i="10"/>
  <c r="O27056" i="10"/>
  <c r="O27057" i="10"/>
  <c r="O27058" i="10"/>
  <c r="O27059" i="10"/>
  <c r="O27060" i="10"/>
  <c r="O27061" i="10"/>
  <c r="O27062" i="10"/>
  <c r="O27063" i="10"/>
  <c r="O27064" i="10"/>
  <c r="O27065" i="10"/>
  <c r="O27066" i="10"/>
  <c r="O27067" i="10"/>
  <c r="O27068" i="10"/>
  <c r="O27069" i="10"/>
  <c r="O27070" i="10"/>
  <c r="O27071" i="10"/>
  <c r="O27072" i="10"/>
  <c r="O27073" i="10"/>
  <c r="O27074" i="10"/>
  <c r="O27075" i="10"/>
  <c r="O27076" i="10"/>
  <c r="O27077" i="10"/>
  <c r="O27078" i="10"/>
  <c r="O27079" i="10"/>
  <c r="O27080" i="10"/>
  <c r="O27081" i="10"/>
  <c r="O27082" i="10"/>
  <c r="O27083" i="10"/>
  <c r="O27084" i="10"/>
  <c r="O27085" i="10"/>
  <c r="O27086" i="10"/>
  <c r="O27087" i="10"/>
  <c r="O27088" i="10"/>
  <c r="O27089" i="10"/>
  <c r="O27090" i="10"/>
  <c r="O27091" i="10"/>
  <c r="O27092" i="10"/>
  <c r="O27093" i="10"/>
  <c r="O27094" i="10"/>
  <c r="O27095" i="10"/>
  <c r="O27096" i="10"/>
  <c r="O27097" i="10"/>
  <c r="O27098" i="10"/>
  <c r="O27099" i="10"/>
  <c r="O27100" i="10"/>
  <c r="O27101" i="10"/>
  <c r="O27102" i="10"/>
  <c r="O27103" i="10"/>
  <c r="O27104" i="10"/>
  <c r="O27105" i="10"/>
  <c r="O27106" i="10"/>
  <c r="O27107" i="10"/>
  <c r="O27108" i="10"/>
  <c r="O27109" i="10"/>
  <c r="O27110" i="10"/>
  <c r="O27111" i="10"/>
  <c r="O27112" i="10"/>
  <c r="O27113" i="10"/>
  <c r="O27114" i="10"/>
  <c r="O27115" i="10"/>
  <c r="O27116" i="10"/>
  <c r="O27117" i="10"/>
  <c r="O27118" i="10"/>
  <c r="O27119" i="10"/>
  <c r="O27120" i="10"/>
  <c r="O27121" i="10"/>
  <c r="O27122" i="10"/>
  <c r="O27123" i="10"/>
  <c r="O27124" i="10"/>
  <c r="O27125" i="10"/>
  <c r="O27126" i="10"/>
  <c r="O27127" i="10"/>
  <c r="O27128" i="10"/>
  <c r="O27129" i="10"/>
  <c r="O27130" i="10"/>
  <c r="O27131" i="10"/>
  <c r="O27132" i="10"/>
  <c r="O27133" i="10"/>
  <c r="O27134" i="10"/>
  <c r="O27135" i="10"/>
  <c r="O27136" i="10"/>
  <c r="O27137" i="10"/>
  <c r="O27138" i="10"/>
  <c r="O27139" i="10"/>
  <c r="O27140" i="10"/>
  <c r="O27141" i="10"/>
  <c r="O27142" i="10"/>
  <c r="O27143" i="10"/>
  <c r="O27144" i="10"/>
  <c r="O27145" i="10"/>
  <c r="O27146" i="10"/>
  <c r="O27147" i="10"/>
  <c r="O27148" i="10"/>
  <c r="O27149" i="10"/>
  <c r="O27150" i="10"/>
  <c r="O27151" i="10"/>
  <c r="O27152" i="10"/>
  <c r="O27153" i="10"/>
  <c r="O27154" i="10"/>
  <c r="O27155" i="10"/>
  <c r="O27156" i="10"/>
  <c r="O27157" i="10"/>
  <c r="O27158" i="10"/>
  <c r="O27159" i="10"/>
  <c r="O27160" i="10"/>
  <c r="O27161" i="10"/>
  <c r="O27162" i="10"/>
  <c r="O27163" i="10"/>
  <c r="O27164" i="10"/>
  <c r="O27165" i="10"/>
  <c r="O27166" i="10"/>
  <c r="O27167" i="10"/>
  <c r="O27168" i="10"/>
  <c r="O27169" i="10"/>
  <c r="O27170" i="10"/>
  <c r="O27171" i="10"/>
  <c r="O27172" i="10"/>
  <c r="O27173" i="10"/>
  <c r="O27174" i="10"/>
  <c r="O27175" i="10"/>
  <c r="O27176" i="10"/>
  <c r="O27177" i="10"/>
  <c r="O27178" i="10"/>
  <c r="O27179" i="10"/>
  <c r="O27180" i="10"/>
  <c r="O27181" i="10"/>
  <c r="O27182" i="10"/>
  <c r="O27183" i="10"/>
  <c r="O27184" i="10"/>
  <c r="O27185" i="10"/>
  <c r="O27186" i="10"/>
  <c r="O27187" i="10"/>
  <c r="O27188" i="10"/>
  <c r="O27189" i="10"/>
  <c r="O27190" i="10"/>
  <c r="O27191" i="10"/>
  <c r="O27192" i="10"/>
  <c r="O27193" i="10"/>
  <c r="O27194" i="10"/>
  <c r="O27195" i="10"/>
  <c r="O27196" i="10"/>
  <c r="O27197" i="10"/>
  <c r="O27198" i="10"/>
  <c r="O27199" i="10"/>
  <c r="O27200" i="10"/>
  <c r="O27201" i="10"/>
  <c r="O27202" i="10"/>
  <c r="O27203" i="10"/>
  <c r="O27204" i="10"/>
  <c r="O27205" i="10"/>
  <c r="O27206" i="10"/>
  <c r="O27207" i="10"/>
  <c r="O27208" i="10"/>
  <c r="O27209" i="10"/>
  <c r="O27210" i="10"/>
  <c r="O27211" i="10"/>
  <c r="O27212" i="10"/>
  <c r="O27213" i="10"/>
  <c r="O27214" i="10"/>
  <c r="O27215" i="10"/>
  <c r="O27216" i="10"/>
  <c r="O27217" i="10"/>
  <c r="O27218" i="10"/>
  <c r="O27219" i="10"/>
  <c r="O27220" i="10"/>
  <c r="O27221" i="10"/>
  <c r="O27222" i="10"/>
  <c r="O27223" i="10"/>
  <c r="O27224" i="10"/>
  <c r="O27225" i="10"/>
  <c r="O27226" i="10"/>
  <c r="O27227" i="10"/>
  <c r="O27228" i="10"/>
  <c r="O27229" i="10"/>
  <c r="O27230" i="10"/>
  <c r="O27231" i="10"/>
  <c r="O27232" i="10"/>
  <c r="O27233" i="10"/>
  <c r="O27234" i="10"/>
  <c r="O27235" i="10"/>
  <c r="O27236" i="10"/>
  <c r="O27237" i="10"/>
  <c r="O27238" i="10"/>
  <c r="O27239" i="10"/>
  <c r="O27240" i="10"/>
  <c r="O27241" i="10"/>
  <c r="O27242" i="10"/>
  <c r="O27243" i="10"/>
  <c r="O27244" i="10"/>
  <c r="O27245" i="10"/>
  <c r="O27246" i="10"/>
  <c r="O27247" i="10"/>
  <c r="O27248" i="10"/>
  <c r="O27249" i="10"/>
  <c r="O27250" i="10"/>
  <c r="O27251" i="10"/>
  <c r="O27252" i="10"/>
  <c r="O27253" i="10"/>
  <c r="O27254" i="10"/>
  <c r="O27255" i="10"/>
  <c r="O27256" i="10"/>
  <c r="O27257" i="10"/>
  <c r="O27258" i="10"/>
  <c r="O27259" i="10"/>
  <c r="O27260" i="10"/>
  <c r="O27261" i="10"/>
  <c r="O27262" i="10"/>
  <c r="O27263" i="10"/>
  <c r="O27264" i="10"/>
  <c r="O27265" i="10"/>
  <c r="O27266" i="10"/>
  <c r="O27267" i="10"/>
  <c r="O27268" i="10"/>
  <c r="O27269" i="10"/>
  <c r="O27270" i="10"/>
  <c r="O27271" i="10"/>
  <c r="O27272" i="10"/>
  <c r="O27273" i="10"/>
  <c r="O27274" i="10"/>
  <c r="O27275" i="10"/>
  <c r="O27276" i="10"/>
  <c r="O27277" i="10"/>
  <c r="O27278" i="10"/>
  <c r="O27279" i="10"/>
  <c r="O27280" i="10"/>
  <c r="O27281" i="10"/>
  <c r="O27282" i="10"/>
  <c r="O27283" i="10"/>
  <c r="O27284" i="10"/>
  <c r="O27285" i="10"/>
  <c r="O27286" i="10"/>
  <c r="O27287" i="10"/>
  <c r="O27288" i="10"/>
  <c r="O27289" i="10"/>
  <c r="O27290" i="10"/>
  <c r="O27291" i="10"/>
  <c r="O27292" i="10"/>
  <c r="O27293" i="10"/>
  <c r="O27294" i="10"/>
  <c r="O27295" i="10"/>
  <c r="O27296" i="10"/>
  <c r="O27297" i="10"/>
  <c r="O27298" i="10"/>
  <c r="O27299" i="10"/>
  <c r="O27300" i="10"/>
  <c r="O27301" i="10"/>
  <c r="O27302" i="10"/>
  <c r="O27303" i="10"/>
  <c r="O27304" i="10"/>
  <c r="O27305" i="10"/>
  <c r="O27306" i="10"/>
  <c r="O27307" i="10"/>
  <c r="O27308" i="10"/>
  <c r="O27309" i="10"/>
  <c r="O27310" i="10"/>
  <c r="O27311" i="10"/>
  <c r="O27312" i="10"/>
  <c r="O27313" i="10"/>
  <c r="O27314" i="10"/>
  <c r="O27315" i="10"/>
  <c r="O27316" i="10"/>
  <c r="O27317" i="10"/>
  <c r="O27318" i="10"/>
  <c r="O27319" i="10"/>
  <c r="O27320" i="10"/>
  <c r="O27321" i="10"/>
  <c r="O27322" i="10"/>
  <c r="O27323" i="10"/>
  <c r="O27324" i="10"/>
  <c r="O27325" i="10"/>
  <c r="O27326" i="10"/>
  <c r="O27327" i="10"/>
  <c r="O27328" i="10"/>
  <c r="O27329" i="10"/>
  <c r="O27330" i="10"/>
  <c r="O27331" i="10"/>
  <c r="O27332" i="10"/>
  <c r="O27333" i="10"/>
  <c r="O27334" i="10"/>
  <c r="O27335" i="10"/>
  <c r="O27336" i="10"/>
  <c r="O27337" i="10"/>
  <c r="O27338" i="10"/>
  <c r="O27339" i="10"/>
  <c r="O27340" i="10"/>
  <c r="O27341" i="10"/>
  <c r="O27342" i="10"/>
  <c r="O27343" i="10"/>
  <c r="O27344" i="10"/>
  <c r="O27345" i="10"/>
  <c r="O27346" i="10"/>
  <c r="O27347" i="10"/>
  <c r="O27348" i="10"/>
  <c r="O27349" i="10"/>
  <c r="O27350" i="10"/>
  <c r="O27351" i="10"/>
  <c r="O27352" i="10"/>
  <c r="O27353" i="10"/>
  <c r="O27354" i="10"/>
  <c r="O27355" i="10"/>
  <c r="O27356" i="10"/>
  <c r="O27357" i="10"/>
  <c r="O27358" i="10"/>
  <c r="O27359" i="10"/>
  <c r="O27360" i="10"/>
  <c r="O27361" i="10"/>
  <c r="O27362" i="10"/>
  <c r="O27363" i="10"/>
  <c r="O27364" i="10"/>
  <c r="O27365" i="10"/>
  <c r="O27366" i="10"/>
  <c r="O27367" i="10"/>
  <c r="O27368" i="10"/>
  <c r="O27369" i="10"/>
  <c r="O27370" i="10"/>
  <c r="O27371" i="10"/>
  <c r="O27372" i="10"/>
  <c r="O27373" i="10"/>
  <c r="O27374" i="10"/>
  <c r="O27375" i="10"/>
  <c r="O27376" i="10"/>
  <c r="O27377" i="10"/>
  <c r="O27378" i="10"/>
  <c r="O27379" i="10"/>
  <c r="O27380" i="10"/>
  <c r="O27381" i="10"/>
  <c r="O27382" i="10"/>
  <c r="O27383" i="10"/>
  <c r="O27384" i="10"/>
  <c r="O27385" i="10"/>
  <c r="O27386" i="10"/>
  <c r="O27387" i="10"/>
  <c r="O27388" i="10"/>
  <c r="O27389" i="10"/>
  <c r="O27390" i="10"/>
  <c r="O27391" i="10"/>
  <c r="O27392" i="10"/>
  <c r="O27393" i="10"/>
  <c r="O27394" i="10"/>
  <c r="O27395" i="10"/>
  <c r="O27396" i="10"/>
  <c r="O27397" i="10"/>
  <c r="O27398" i="10"/>
  <c r="O27399" i="10"/>
  <c r="O27400" i="10"/>
  <c r="O27401" i="10"/>
  <c r="O27402" i="10"/>
  <c r="O27403" i="10"/>
  <c r="O27404" i="10"/>
  <c r="O27405" i="10"/>
  <c r="O27406" i="10"/>
  <c r="O27407" i="10"/>
  <c r="O27408" i="10"/>
  <c r="O27409" i="10"/>
  <c r="O27410" i="10"/>
  <c r="O27411" i="10"/>
  <c r="O27412" i="10"/>
  <c r="O27413" i="10"/>
  <c r="O27414" i="10"/>
  <c r="O27415" i="10"/>
  <c r="O27416" i="10"/>
  <c r="O27417" i="10"/>
  <c r="O27418" i="10"/>
  <c r="O27419" i="10"/>
  <c r="O27420" i="10"/>
  <c r="O27421" i="10"/>
  <c r="O27422" i="10"/>
  <c r="O27423" i="10"/>
  <c r="O27424" i="10"/>
  <c r="O27425" i="10"/>
  <c r="O27426" i="10"/>
  <c r="O27427" i="10"/>
  <c r="O27428" i="10"/>
  <c r="O27429" i="10"/>
  <c r="O27430" i="10"/>
  <c r="O27431" i="10"/>
  <c r="O27432" i="10"/>
  <c r="O27433" i="10"/>
  <c r="O27434" i="10"/>
  <c r="O27435" i="10"/>
  <c r="O27436" i="10"/>
  <c r="O27437" i="10"/>
  <c r="O27438" i="10"/>
  <c r="O27439" i="10"/>
  <c r="O27440" i="10"/>
  <c r="O27441" i="10"/>
  <c r="O27442" i="10"/>
  <c r="O27443" i="10"/>
  <c r="O27444" i="10"/>
  <c r="O27445" i="10"/>
  <c r="O27446" i="10"/>
  <c r="O27447" i="10"/>
  <c r="O27448" i="10"/>
  <c r="O27449" i="10"/>
  <c r="O27450" i="10"/>
  <c r="O27451" i="10"/>
  <c r="O27452" i="10"/>
  <c r="O27453" i="10"/>
  <c r="O27454" i="10"/>
  <c r="O27455" i="10"/>
  <c r="O27456" i="10"/>
  <c r="O27457" i="10"/>
  <c r="O27458" i="10"/>
  <c r="O27459" i="10"/>
  <c r="O27460" i="10"/>
  <c r="O27461" i="10"/>
  <c r="O27462" i="10"/>
  <c r="O27463" i="10"/>
  <c r="O27464" i="10"/>
  <c r="O27465" i="10"/>
  <c r="O27466" i="10"/>
  <c r="O27467" i="10"/>
  <c r="O27468" i="10"/>
  <c r="O27469" i="10"/>
  <c r="O27470" i="10"/>
  <c r="O27471" i="10"/>
  <c r="O27472" i="10"/>
  <c r="O27473" i="10"/>
  <c r="O27474" i="10"/>
  <c r="O27475" i="10"/>
  <c r="O27476" i="10"/>
  <c r="O27477" i="10"/>
  <c r="O27478" i="10"/>
  <c r="O27479" i="10"/>
  <c r="O27480" i="10"/>
  <c r="O27481" i="10"/>
  <c r="O27482" i="10"/>
  <c r="O27483" i="10"/>
  <c r="O27484" i="10"/>
  <c r="O27485" i="10"/>
  <c r="O27486" i="10"/>
  <c r="O27487" i="10"/>
  <c r="O27488" i="10"/>
  <c r="O27489" i="10"/>
  <c r="O27490" i="10"/>
  <c r="O27491" i="10"/>
  <c r="O27492" i="10"/>
  <c r="O27493" i="10"/>
  <c r="O27494" i="10"/>
  <c r="O27495" i="10"/>
  <c r="O27496" i="10"/>
  <c r="O27497" i="10"/>
  <c r="O27498" i="10"/>
  <c r="O27499" i="10"/>
  <c r="O27500" i="10"/>
  <c r="O27501" i="10"/>
  <c r="O27502" i="10"/>
  <c r="O27503" i="10"/>
  <c r="O27504" i="10"/>
  <c r="O27505" i="10"/>
  <c r="O27506" i="10"/>
  <c r="O27507" i="10"/>
  <c r="O27508" i="10"/>
  <c r="O27509" i="10"/>
  <c r="O27510" i="10"/>
  <c r="O27511" i="10"/>
  <c r="O27512" i="10"/>
  <c r="O27513" i="10"/>
  <c r="O27514" i="10"/>
  <c r="O27515" i="10"/>
  <c r="O27516" i="10"/>
  <c r="O27517" i="10"/>
  <c r="O27518" i="10"/>
  <c r="O27519" i="10"/>
  <c r="O27520" i="10"/>
  <c r="O27521" i="10"/>
  <c r="O27522" i="10"/>
  <c r="O27523" i="10"/>
  <c r="O27524" i="10"/>
  <c r="O27525" i="10"/>
  <c r="O27526" i="10"/>
  <c r="O27527" i="10"/>
  <c r="O27528" i="10"/>
  <c r="O27529" i="10"/>
  <c r="O27530" i="10"/>
  <c r="O27531" i="10"/>
  <c r="O27532" i="10"/>
  <c r="O27533" i="10"/>
  <c r="O27534" i="10"/>
  <c r="O27535" i="10"/>
  <c r="O27536" i="10"/>
  <c r="O27537" i="10"/>
  <c r="O27538" i="10"/>
  <c r="O27539" i="10"/>
  <c r="O27540" i="10"/>
  <c r="O27541" i="10"/>
  <c r="O27542" i="10"/>
  <c r="O27543" i="10"/>
  <c r="O27544" i="10"/>
  <c r="O27545" i="10"/>
  <c r="O27546" i="10"/>
  <c r="O27547" i="10"/>
  <c r="O27548" i="10"/>
  <c r="O27549" i="10"/>
  <c r="O27550" i="10"/>
  <c r="O27551" i="10"/>
  <c r="O27552" i="10"/>
  <c r="O27553" i="10"/>
  <c r="O27554" i="10"/>
  <c r="O27555" i="10"/>
  <c r="O27556" i="10"/>
  <c r="O27557" i="10"/>
  <c r="O27558" i="10"/>
  <c r="O27559" i="10"/>
  <c r="O27560" i="10"/>
  <c r="O27561" i="10"/>
  <c r="O27562" i="10"/>
  <c r="O27563" i="10"/>
  <c r="O27564" i="10"/>
  <c r="O27565" i="10"/>
  <c r="O27566" i="10"/>
  <c r="O27567" i="10"/>
  <c r="O27568" i="10"/>
  <c r="O27569" i="10"/>
  <c r="O27570" i="10"/>
  <c r="O27571" i="10"/>
  <c r="O27572" i="10"/>
  <c r="O27573" i="10"/>
  <c r="O27574" i="10"/>
  <c r="O27575" i="10"/>
  <c r="O27576" i="10"/>
  <c r="O27577" i="10"/>
  <c r="O27578" i="10"/>
  <c r="O27579" i="10"/>
  <c r="O27580" i="10"/>
  <c r="O27581" i="10"/>
  <c r="O27582" i="10"/>
  <c r="O27583" i="10"/>
  <c r="O27584" i="10"/>
  <c r="O27585" i="10"/>
  <c r="O27586" i="10"/>
  <c r="O27587" i="10"/>
  <c r="O27588" i="10"/>
  <c r="O27589" i="10"/>
  <c r="O27590" i="10"/>
  <c r="O27591" i="10"/>
  <c r="O27592" i="10"/>
  <c r="O27593" i="10"/>
  <c r="O27594" i="10"/>
  <c r="O27595" i="10"/>
  <c r="O27596" i="10"/>
  <c r="O27597" i="10"/>
  <c r="O27598" i="10"/>
  <c r="O27599" i="10"/>
  <c r="O27600" i="10"/>
  <c r="O27601" i="10"/>
  <c r="O27602" i="10"/>
  <c r="O27603" i="10"/>
  <c r="O27604" i="10"/>
  <c r="O27605" i="10"/>
  <c r="O27606" i="10"/>
  <c r="O27607" i="10"/>
  <c r="O27608" i="10"/>
  <c r="O27609" i="10"/>
  <c r="O27610" i="10"/>
  <c r="O27611" i="10"/>
  <c r="O27612" i="10"/>
  <c r="O27613" i="10"/>
  <c r="O27614" i="10"/>
  <c r="O27615" i="10"/>
  <c r="O27616" i="10"/>
  <c r="O27617" i="10"/>
  <c r="O27618" i="10"/>
  <c r="O27619" i="10"/>
  <c r="O27620" i="10"/>
  <c r="O27621" i="10"/>
  <c r="O27622" i="10"/>
  <c r="O27623" i="10"/>
  <c r="O27624" i="10"/>
  <c r="O27625" i="10"/>
  <c r="O27626" i="10"/>
  <c r="O27627" i="10"/>
  <c r="O27628" i="10"/>
  <c r="O27629" i="10"/>
  <c r="O27630" i="10"/>
  <c r="O27631" i="10"/>
  <c r="O27632" i="10"/>
  <c r="O27633" i="10"/>
  <c r="O27634" i="10"/>
  <c r="O27635" i="10"/>
  <c r="O27636" i="10"/>
  <c r="O27637" i="10"/>
  <c r="O27638" i="10"/>
  <c r="O27639" i="10"/>
  <c r="O27640" i="10"/>
  <c r="O27641" i="10"/>
  <c r="O27642" i="10"/>
  <c r="O27643" i="10"/>
  <c r="O27644" i="10"/>
  <c r="O27645" i="10"/>
  <c r="O27646" i="10"/>
  <c r="O27647" i="10"/>
  <c r="O27648" i="10"/>
  <c r="O27649" i="10"/>
  <c r="O27650" i="10"/>
  <c r="O27651" i="10"/>
  <c r="O27652" i="10"/>
  <c r="O27653" i="10"/>
  <c r="O27654" i="10"/>
  <c r="O27655" i="10"/>
  <c r="O27656" i="10"/>
  <c r="O27657" i="10"/>
  <c r="O27658" i="10"/>
  <c r="O27659" i="10"/>
  <c r="O27660" i="10"/>
  <c r="O27661" i="10"/>
  <c r="O27662" i="10"/>
  <c r="O27663" i="10"/>
  <c r="O27664" i="10"/>
  <c r="O27665" i="10"/>
  <c r="O27666" i="10"/>
  <c r="O27667" i="10"/>
  <c r="O27668" i="10"/>
  <c r="O27669" i="10"/>
  <c r="O27670" i="10"/>
  <c r="O27671" i="10"/>
  <c r="O27672" i="10"/>
  <c r="O27673" i="10"/>
  <c r="O27674" i="10"/>
  <c r="O27675" i="10"/>
  <c r="O27676" i="10"/>
  <c r="O27677" i="10"/>
  <c r="O27678" i="10"/>
  <c r="O27679" i="10"/>
  <c r="O27680" i="10"/>
  <c r="O27681" i="10"/>
  <c r="O27682" i="10"/>
  <c r="O27683" i="10"/>
  <c r="O27684" i="10"/>
  <c r="O27685" i="10"/>
  <c r="O27686" i="10"/>
  <c r="O27687" i="10"/>
  <c r="O27688" i="10"/>
  <c r="O27689" i="10"/>
  <c r="O27690" i="10"/>
  <c r="O27691" i="10"/>
  <c r="O27692" i="10"/>
  <c r="O27693" i="10"/>
  <c r="O27694" i="10"/>
  <c r="O27695" i="10"/>
  <c r="O27696" i="10"/>
  <c r="O27697" i="10"/>
  <c r="O27698" i="10"/>
  <c r="O27699" i="10"/>
  <c r="O27700" i="10"/>
  <c r="O27701" i="10"/>
  <c r="O27702" i="10"/>
  <c r="O27703" i="10"/>
  <c r="O27704" i="10"/>
  <c r="O27705" i="10"/>
  <c r="O27706" i="10"/>
  <c r="O27707" i="10"/>
  <c r="O27708" i="10"/>
  <c r="O27709" i="10"/>
  <c r="O27710" i="10"/>
  <c r="O27711" i="10"/>
  <c r="O27712" i="10"/>
  <c r="O27713" i="10"/>
  <c r="O27714" i="10"/>
  <c r="O27715" i="10"/>
  <c r="O27716" i="10"/>
  <c r="O27717" i="10"/>
  <c r="O27718" i="10"/>
  <c r="O27719" i="10"/>
  <c r="O27720" i="10"/>
  <c r="O27721" i="10"/>
  <c r="O27722" i="10"/>
  <c r="O27723" i="10"/>
  <c r="O27724" i="10"/>
  <c r="O27725" i="10"/>
  <c r="O27726" i="10"/>
  <c r="O27727" i="10"/>
  <c r="O27728" i="10"/>
  <c r="O27729" i="10"/>
  <c r="O27730" i="10"/>
  <c r="O27731" i="10"/>
  <c r="O27732" i="10"/>
  <c r="O27733" i="10"/>
  <c r="O27734" i="10"/>
  <c r="O27735" i="10"/>
  <c r="O27736" i="10"/>
  <c r="O27737" i="10"/>
  <c r="O27738" i="10"/>
  <c r="O27739" i="10"/>
  <c r="O27740" i="10"/>
  <c r="O27741" i="10"/>
  <c r="O27742" i="10"/>
  <c r="O27743" i="10"/>
  <c r="O27744" i="10"/>
  <c r="O27745" i="10"/>
  <c r="O27746" i="10"/>
  <c r="O27747" i="10"/>
  <c r="O27748" i="10"/>
  <c r="O27749" i="10"/>
  <c r="O27750" i="10"/>
  <c r="O27751" i="10"/>
  <c r="O27752" i="10"/>
  <c r="O27753" i="10"/>
  <c r="O27754" i="10"/>
  <c r="O27755" i="10"/>
  <c r="O27756" i="10"/>
  <c r="O27757" i="10"/>
  <c r="O27758" i="10"/>
  <c r="O27759" i="10"/>
  <c r="O27760" i="10"/>
  <c r="O27761" i="10"/>
  <c r="O27762" i="10"/>
  <c r="O27763" i="10"/>
  <c r="O27764" i="10"/>
  <c r="O27765" i="10"/>
  <c r="O27766" i="10"/>
  <c r="O27767" i="10"/>
  <c r="O27768" i="10"/>
  <c r="O27769" i="10"/>
  <c r="O27770" i="10"/>
  <c r="O27771" i="10"/>
  <c r="O27772" i="10"/>
  <c r="O27773" i="10"/>
  <c r="O27774" i="10"/>
  <c r="O27775" i="10"/>
  <c r="O27776" i="10"/>
  <c r="O27777" i="10"/>
  <c r="O27778" i="10"/>
  <c r="O27779" i="10"/>
  <c r="O27780" i="10"/>
  <c r="O27781" i="10"/>
  <c r="O27782" i="10"/>
  <c r="O27783" i="10"/>
  <c r="O27784" i="10"/>
  <c r="O27785" i="10"/>
  <c r="O27786" i="10"/>
  <c r="O27787" i="10"/>
  <c r="O27788" i="10"/>
  <c r="O27789" i="10"/>
  <c r="O27790" i="10"/>
  <c r="O27791" i="10"/>
  <c r="O27792" i="10"/>
  <c r="O27793" i="10"/>
  <c r="O27794" i="10"/>
  <c r="O27795" i="10"/>
  <c r="O27796" i="10"/>
  <c r="O27797" i="10"/>
  <c r="O27798" i="10"/>
  <c r="O27799" i="10"/>
  <c r="O27800" i="10"/>
  <c r="O27801" i="10"/>
  <c r="O27802" i="10"/>
  <c r="O27803" i="10"/>
  <c r="O27804" i="10"/>
  <c r="O27805" i="10"/>
  <c r="O27806" i="10"/>
  <c r="O27807" i="10"/>
  <c r="O27808" i="10"/>
  <c r="O27809" i="10"/>
  <c r="O27810" i="10"/>
  <c r="O27811" i="10"/>
  <c r="O27812" i="10"/>
  <c r="O27813" i="10"/>
  <c r="O27814" i="10"/>
  <c r="O27815" i="10"/>
  <c r="O27816" i="10"/>
  <c r="O27817" i="10"/>
  <c r="O27818" i="10"/>
  <c r="O27819" i="10"/>
  <c r="O27820" i="10"/>
  <c r="O27821" i="10"/>
  <c r="O27822" i="10"/>
  <c r="O27823" i="10"/>
  <c r="O27824" i="10"/>
  <c r="O27825" i="10"/>
  <c r="O27826" i="10"/>
  <c r="O27827" i="10"/>
  <c r="O27828" i="10"/>
  <c r="O27829" i="10"/>
  <c r="O27830" i="10"/>
  <c r="O27831" i="10"/>
  <c r="O27832" i="10"/>
  <c r="O27833" i="10"/>
  <c r="O27834" i="10"/>
  <c r="O27835" i="10"/>
  <c r="O27836" i="10"/>
  <c r="O27837" i="10"/>
  <c r="O27838" i="10"/>
  <c r="O27839" i="10"/>
  <c r="O27840" i="10"/>
  <c r="O27841" i="10"/>
  <c r="O27842" i="10"/>
  <c r="O27843" i="10"/>
  <c r="O27844" i="10"/>
  <c r="O27845" i="10"/>
  <c r="O27846" i="10"/>
  <c r="O27847" i="10"/>
  <c r="O27848" i="10"/>
  <c r="O27849" i="10"/>
  <c r="O27850" i="10"/>
  <c r="O27851" i="10"/>
  <c r="O27852" i="10"/>
  <c r="O27853" i="10"/>
  <c r="O27854" i="10"/>
  <c r="O27855" i="10"/>
  <c r="O27856" i="10"/>
  <c r="O27857" i="10"/>
  <c r="O27858" i="10"/>
  <c r="O27859" i="10"/>
  <c r="O27860" i="10"/>
  <c r="O27861" i="10"/>
  <c r="O27862" i="10"/>
  <c r="O27863" i="10"/>
  <c r="O27864" i="10"/>
  <c r="O27865" i="10"/>
  <c r="O27866" i="10"/>
  <c r="O27867" i="10"/>
  <c r="O27868" i="10"/>
  <c r="O27869" i="10"/>
  <c r="O27870" i="10"/>
  <c r="O27871" i="10"/>
  <c r="O27872" i="10"/>
  <c r="O27873" i="10"/>
  <c r="O27874" i="10"/>
  <c r="O27875" i="10"/>
  <c r="O27876" i="10"/>
  <c r="O27877" i="10"/>
  <c r="O27878" i="10"/>
  <c r="O27879" i="10"/>
  <c r="O27880" i="10"/>
  <c r="O27881" i="10"/>
  <c r="O27882" i="10"/>
  <c r="O27883" i="10"/>
  <c r="O27884" i="10"/>
  <c r="O27885" i="10"/>
  <c r="O27886" i="10"/>
  <c r="O27887" i="10"/>
  <c r="O27888" i="10"/>
  <c r="O27889" i="10"/>
  <c r="O27890" i="10"/>
  <c r="O27891" i="10"/>
  <c r="O27892" i="10"/>
  <c r="O27893" i="10"/>
  <c r="O27894" i="10"/>
  <c r="O27895" i="10"/>
  <c r="O27896" i="10"/>
  <c r="O27897" i="10"/>
  <c r="O27898" i="10"/>
  <c r="O27899" i="10"/>
  <c r="O27900" i="10"/>
  <c r="O27901" i="10"/>
  <c r="O27902" i="10"/>
  <c r="O27903" i="10"/>
  <c r="O27904" i="10"/>
  <c r="O27905" i="10"/>
  <c r="O27906" i="10"/>
  <c r="O27907" i="10"/>
  <c r="O27908" i="10"/>
  <c r="O27909" i="10"/>
  <c r="O27910" i="10"/>
  <c r="O27911" i="10"/>
  <c r="O27912" i="10"/>
  <c r="O27913" i="10"/>
  <c r="O27914" i="10"/>
  <c r="O27915" i="10"/>
  <c r="O27916" i="10"/>
  <c r="O27917" i="10"/>
  <c r="O27918" i="10"/>
  <c r="O27919" i="10"/>
  <c r="O27920" i="10"/>
  <c r="O27921" i="10"/>
  <c r="O27922" i="10"/>
  <c r="O27923" i="10"/>
  <c r="O27924" i="10"/>
  <c r="O27925" i="10"/>
  <c r="O27926" i="10"/>
  <c r="O27927" i="10"/>
  <c r="O27928" i="10"/>
  <c r="O27929" i="10"/>
  <c r="O27930" i="10"/>
  <c r="O27931" i="10"/>
  <c r="O27932" i="10"/>
  <c r="O27933" i="10"/>
  <c r="O27934" i="10"/>
  <c r="O27935" i="10"/>
  <c r="O27936" i="10"/>
  <c r="O27937" i="10"/>
  <c r="O27938" i="10"/>
  <c r="O27939" i="10"/>
  <c r="O27940" i="10"/>
  <c r="O27941" i="10"/>
  <c r="O27942" i="10"/>
  <c r="O27943" i="10"/>
  <c r="O27944" i="10"/>
  <c r="O27945" i="10"/>
  <c r="O27946" i="10"/>
  <c r="O27947" i="10"/>
  <c r="O27948" i="10"/>
  <c r="O27949" i="10"/>
  <c r="O27950" i="10"/>
  <c r="O27951" i="10"/>
  <c r="O27952" i="10"/>
  <c r="O27953" i="10"/>
  <c r="O27954" i="10"/>
  <c r="O27955" i="10"/>
  <c r="O27956" i="10"/>
  <c r="O27957" i="10"/>
  <c r="O27958" i="10"/>
  <c r="O27959" i="10"/>
  <c r="O27960" i="10"/>
  <c r="O27961" i="10"/>
  <c r="O27962" i="10"/>
  <c r="O27963" i="10"/>
  <c r="O27964" i="10"/>
  <c r="O27965" i="10"/>
  <c r="O27966" i="10"/>
  <c r="O27967" i="10"/>
  <c r="O27968" i="10"/>
  <c r="O27969" i="10"/>
  <c r="O27970" i="10"/>
  <c r="O27971" i="10"/>
  <c r="O27972" i="10"/>
  <c r="O27973" i="10"/>
  <c r="O27974" i="10"/>
  <c r="O27975" i="10"/>
  <c r="O27976" i="10"/>
  <c r="O27977" i="10"/>
  <c r="O27978" i="10"/>
  <c r="O27979" i="10"/>
  <c r="O27980" i="10"/>
  <c r="O27981" i="10"/>
  <c r="O27982" i="10"/>
  <c r="O27983" i="10"/>
  <c r="O27984" i="10"/>
  <c r="O27985" i="10"/>
  <c r="O27986" i="10"/>
  <c r="O27987" i="10"/>
  <c r="O27988" i="10"/>
  <c r="O27989" i="10"/>
  <c r="O27990" i="10"/>
  <c r="O27991" i="10"/>
  <c r="O27992" i="10"/>
  <c r="O27993" i="10"/>
  <c r="O27994" i="10"/>
  <c r="O27995" i="10"/>
  <c r="O27996" i="10"/>
  <c r="O27997" i="10"/>
  <c r="O27998" i="10"/>
  <c r="O27999" i="10"/>
  <c r="O28000" i="10"/>
  <c r="O28001" i="10"/>
  <c r="O28002" i="10"/>
  <c r="O28003" i="10"/>
  <c r="O28004" i="10"/>
  <c r="O28005" i="10"/>
  <c r="O28006" i="10"/>
  <c r="O28007" i="10"/>
  <c r="O28008" i="10"/>
  <c r="O28009" i="10"/>
  <c r="O28010" i="10"/>
  <c r="O28011" i="10"/>
  <c r="O28012" i="10"/>
  <c r="O28013" i="10"/>
  <c r="O28014" i="10"/>
  <c r="O28015" i="10"/>
  <c r="O28016" i="10"/>
  <c r="O28017" i="10"/>
  <c r="O28018" i="10"/>
  <c r="O28019" i="10"/>
  <c r="O28020" i="10"/>
  <c r="O28021" i="10"/>
  <c r="O28022" i="10"/>
  <c r="O28023" i="10"/>
  <c r="O28024" i="10"/>
  <c r="O28025" i="10"/>
  <c r="O28026" i="10"/>
  <c r="O28027" i="10"/>
  <c r="O28028" i="10"/>
  <c r="O28029" i="10"/>
  <c r="O28030" i="10"/>
  <c r="O28031" i="10"/>
  <c r="O28032" i="10"/>
  <c r="O28033" i="10"/>
  <c r="O28034" i="10"/>
  <c r="O28035" i="10"/>
  <c r="O28036" i="10"/>
  <c r="O28037" i="10"/>
  <c r="O28038" i="10"/>
  <c r="O28039" i="10"/>
  <c r="O28040" i="10"/>
  <c r="O28041" i="10"/>
  <c r="O28042" i="10"/>
  <c r="O28043" i="10"/>
  <c r="O28044" i="10"/>
  <c r="O28045" i="10"/>
  <c r="O28046" i="10"/>
  <c r="O28047" i="10"/>
  <c r="O28048" i="10"/>
  <c r="O28049" i="10"/>
  <c r="O28050" i="10"/>
  <c r="O28051" i="10"/>
  <c r="O28052" i="10"/>
  <c r="O28053" i="10"/>
  <c r="O28054" i="10"/>
  <c r="O28055" i="10"/>
  <c r="O28056" i="10"/>
  <c r="O28057" i="10"/>
  <c r="O28058" i="10"/>
  <c r="O28059" i="10"/>
  <c r="O28060" i="10"/>
  <c r="O28061" i="10"/>
  <c r="O28062" i="10"/>
  <c r="O28063" i="10"/>
  <c r="O28064" i="10"/>
  <c r="O28065" i="10"/>
  <c r="O28066" i="10"/>
  <c r="O28067" i="10"/>
  <c r="O28068" i="10"/>
  <c r="O28069" i="10"/>
  <c r="O28070" i="10"/>
  <c r="O28071" i="10"/>
  <c r="O28072" i="10"/>
  <c r="O28073" i="10"/>
  <c r="O28074" i="10"/>
  <c r="O28075" i="10"/>
  <c r="O28076" i="10"/>
  <c r="O28077" i="10"/>
  <c r="O28078" i="10"/>
  <c r="O28079" i="10"/>
  <c r="O28080" i="10"/>
  <c r="O28081" i="10"/>
  <c r="O28082" i="10"/>
  <c r="O28083" i="10"/>
  <c r="O28084" i="10"/>
  <c r="O28085" i="10"/>
  <c r="O28086" i="10"/>
  <c r="O28087" i="10"/>
  <c r="O28088" i="10"/>
  <c r="O28089" i="10"/>
  <c r="O28090" i="10"/>
  <c r="O28091" i="10"/>
  <c r="O28092" i="10"/>
  <c r="O28093" i="10"/>
  <c r="O28094" i="10"/>
  <c r="O28095" i="10"/>
  <c r="O28096" i="10"/>
  <c r="O28097" i="10"/>
  <c r="O28098" i="10"/>
  <c r="O28099" i="10"/>
  <c r="O28100" i="10"/>
  <c r="O28101" i="10"/>
  <c r="O28102" i="10"/>
  <c r="O28103" i="10"/>
  <c r="O28104" i="10"/>
  <c r="O28105" i="10"/>
  <c r="O28106" i="10"/>
  <c r="O28107" i="10"/>
  <c r="O28108" i="10"/>
  <c r="O28109" i="10"/>
  <c r="O28110" i="10"/>
  <c r="O28111" i="10"/>
  <c r="O28112" i="10"/>
  <c r="O28113" i="10"/>
  <c r="O28114" i="10"/>
  <c r="O28115" i="10"/>
  <c r="O28116" i="10"/>
  <c r="O28117" i="10"/>
  <c r="O28118" i="10"/>
  <c r="O28119" i="10"/>
  <c r="O28120" i="10"/>
  <c r="O28121" i="10"/>
  <c r="O28122" i="10"/>
  <c r="O28123" i="10"/>
  <c r="O28124" i="10"/>
  <c r="O28125" i="10"/>
  <c r="O28126" i="10"/>
  <c r="O28127" i="10"/>
  <c r="O28128" i="10"/>
  <c r="O28129" i="10"/>
  <c r="O28130" i="10"/>
  <c r="O28131" i="10"/>
  <c r="O28132" i="10"/>
  <c r="O28133" i="10"/>
  <c r="O28134" i="10"/>
  <c r="O28135" i="10"/>
  <c r="O28136" i="10"/>
  <c r="O28137" i="10"/>
  <c r="O28138" i="10"/>
  <c r="O28139" i="10"/>
  <c r="O28140" i="10"/>
  <c r="O28141" i="10"/>
  <c r="O28142" i="10"/>
  <c r="O28143" i="10"/>
  <c r="O28144" i="10"/>
  <c r="O28145" i="10"/>
  <c r="O28146" i="10"/>
  <c r="O28147" i="10"/>
  <c r="O28148" i="10"/>
  <c r="O28149" i="10"/>
  <c r="O28150" i="10"/>
  <c r="O28151" i="10"/>
  <c r="O28152" i="10"/>
  <c r="O28153" i="10"/>
  <c r="O28154" i="10"/>
  <c r="O28155" i="10"/>
  <c r="O28156" i="10"/>
  <c r="O28157" i="10"/>
  <c r="O28158" i="10"/>
  <c r="O28159" i="10"/>
  <c r="O28160" i="10"/>
  <c r="O28161" i="10"/>
  <c r="O28162" i="10"/>
  <c r="O28163" i="10"/>
  <c r="O28164" i="10"/>
  <c r="O28165" i="10"/>
  <c r="O28166" i="10"/>
  <c r="O28167" i="10"/>
  <c r="O28168" i="10"/>
  <c r="O28169" i="10"/>
  <c r="O28170" i="10"/>
  <c r="O28171" i="10"/>
  <c r="O28172" i="10"/>
  <c r="O28173" i="10"/>
  <c r="O28174" i="10"/>
  <c r="O28175" i="10"/>
  <c r="O28176" i="10"/>
  <c r="O28177" i="10"/>
  <c r="O28178" i="10"/>
  <c r="O28179" i="10"/>
  <c r="O28180" i="10"/>
  <c r="O28181" i="10"/>
  <c r="O28182" i="10"/>
  <c r="O28183" i="10"/>
  <c r="O28184" i="10"/>
  <c r="O28185" i="10"/>
  <c r="O28186" i="10"/>
  <c r="O28187" i="10"/>
  <c r="O28188" i="10"/>
  <c r="O28189" i="10"/>
  <c r="O28190" i="10"/>
  <c r="O28191" i="10"/>
  <c r="O28192" i="10"/>
  <c r="O28193" i="10"/>
  <c r="O28194" i="10"/>
  <c r="O28195" i="10"/>
  <c r="O28196" i="10"/>
  <c r="O28197" i="10"/>
  <c r="O28198" i="10"/>
  <c r="O28199" i="10"/>
  <c r="O28200" i="10"/>
  <c r="O28201" i="10"/>
  <c r="O28202" i="10"/>
  <c r="O28203" i="10"/>
  <c r="O28204" i="10"/>
  <c r="O28205" i="10"/>
  <c r="O28206" i="10"/>
  <c r="O28207" i="10"/>
  <c r="O28208" i="10"/>
  <c r="O28209" i="10"/>
  <c r="O28210" i="10"/>
  <c r="O28211" i="10"/>
  <c r="O28212" i="10"/>
  <c r="O28213" i="10"/>
  <c r="O28214" i="10"/>
  <c r="O28215" i="10"/>
  <c r="O28216" i="10"/>
  <c r="O28217" i="10"/>
  <c r="O28218" i="10"/>
  <c r="O28219" i="10"/>
  <c r="O28220" i="10"/>
  <c r="O28221" i="10"/>
  <c r="O28222" i="10"/>
  <c r="O28223" i="10"/>
  <c r="O28224" i="10"/>
  <c r="O28225" i="10"/>
  <c r="O28226" i="10"/>
  <c r="O28227" i="10"/>
  <c r="O28228" i="10"/>
  <c r="O28229" i="10"/>
  <c r="O28230" i="10"/>
  <c r="O28231" i="10"/>
  <c r="O28232" i="10"/>
  <c r="O28233" i="10"/>
  <c r="O28234" i="10"/>
  <c r="O28235" i="10"/>
  <c r="O28236" i="10"/>
  <c r="O28237" i="10"/>
  <c r="O28238" i="10"/>
  <c r="O28239" i="10"/>
  <c r="O28240" i="10"/>
  <c r="O28241" i="10"/>
  <c r="O28242" i="10"/>
  <c r="O28243" i="10"/>
  <c r="O28244" i="10"/>
  <c r="O28245" i="10"/>
  <c r="O28246" i="10"/>
  <c r="O28247" i="10"/>
  <c r="O28248" i="10"/>
  <c r="O28249" i="10"/>
  <c r="O28250" i="10"/>
  <c r="O28251" i="10"/>
  <c r="O28252" i="10"/>
  <c r="O28253" i="10"/>
  <c r="O28254" i="10"/>
  <c r="O28255" i="10"/>
  <c r="O28256" i="10"/>
  <c r="O28257" i="10"/>
  <c r="O28258" i="10"/>
  <c r="O28259" i="10"/>
  <c r="O28260" i="10"/>
  <c r="O28261" i="10"/>
  <c r="O28262" i="10"/>
  <c r="O28263" i="10"/>
  <c r="O28264" i="10"/>
  <c r="O28265" i="10"/>
  <c r="O28266" i="10"/>
  <c r="O28267" i="10"/>
  <c r="O28268" i="10"/>
  <c r="O28269" i="10"/>
  <c r="O28270" i="10"/>
  <c r="O28271" i="10"/>
  <c r="O28272" i="10"/>
  <c r="O28273" i="10"/>
  <c r="O28274" i="10"/>
  <c r="O28275" i="10"/>
  <c r="O28276" i="10"/>
  <c r="O28277" i="10"/>
  <c r="O28278" i="10"/>
  <c r="O28279" i="10"/>
  <c r="O28280" i="10"/>
  <c r="O28281" i="10"/>
  <c r="O28282" i="10"/>
  <c r="O28283" i="10"/>
  <c r="O28284" i="10"/>
  <c r="O28285" i="10"/>
  <c r="O28286" i="10"/>
  <c r="O28287" i="10"/>
  <c r="O28288" i="10"/>
  <c r="O28289" i="10"/>
  <c r="O28290" i="10"/>
  <c r="O28291" i="10"/>
  <c r="O28292" i="10"/>
  <c r="O28293" i="10"/>
  <c r="O28294" i="10"/>
  <c r="O28295" i="10"/>
  <c r="O28296" i="10"/>
  <c r="O28297" i="10"/>
  <c r="O28298" i="10"/>
  <c r="O28299" i="10"/>
  <c r="O28300" i="10"/>
  <c r="O28301" i="10"/>
  <c r="O28302" i="10"/>
  <c r="O28303" i="10"/>
  <c r="O28304" i="10"/>
  <c r="O28305" i="10"/>
  <c r="O28306" i="10"/>
  <c r="O28307" i="10"/>
  <c r="O28308" i="10"/>
  <c r="O28309" i="10"/>
  <c r="O28310" i="10"/>
  <c r="O28311" i="10"/>
  <c r="O28312" i="10"/>
  <c r="O28313" i="10"/>
  <c r="O28314" i="10"/>
  <c r="O28315" i="10"/>
  <c r="O28316" i="10"/>
  <c r="O28317" i="10"/>
  <c r="O28318" i="10"/>
  <c r="O28319" i="10"/>
  <c r="O28320" i="10"/>
  <c r="O28321" i="10"/>
  <c r="O28322" i="10"/>
  <c r="O28323" i="10"/>
  <c r="O28324" i="10"/>
  <c r="O28325" i="10"/>
  <c r="O28326" i="10"/>
  <c r="O28327" i="10"/>
  <c r="O28328" i="10"/>
  <c r="O28329" i="10"/>
  <c r="O28330" i="10"/>
  <c r="O28331" i="10"/>
  <c r="O28332" i="10"/>
  <c r="O28333" i="10"/>
  <c r="O28334" i="10"/>
  <c r="O28335" i="10"/>
  <c r="O28336" i="10"/>
  <c r="O28337" i="10"/>
  <c r="O28338" i="10"/>
  <c r="O28339" i="10"/>
  <c r="O28340" i="10"/>
  <c r="O28341" i="10"/>
  <c r="O28342" i="10"/>
  <c r="O28343" i="10"/>
  <c r="O28344" i="10"/>
  <c r="O28345" i="10"/>
  <c r="O28346" i="10"/>
  <c r="O28347" i="10"/>
  <c r="O28348" i="10"/>
  <c r="O28349" i="10"/>
  <c r="O28350" i="10"/>
  <c r="O28351" i="10"/>
  <c r="O28352" i="10"/>
  <c r="O28353" i="10"/>
  <c r="O28354" i="10"/>
  <c r="O28355" i="10"/>
  <c r="O28356" i="10"/>
  <c r="O28357" i="10"/>
  <c r="O28358" i="10"/>
  <c r="O28359" i="10"/>
  <c r="O28360" i="10"/>
  <c r="O28361" i="10"/>
  <c r="O28362" i="10"/>
  <c r="O28363" i="10"/>
  <c r="O28364" i="10"/>
  <c r="O28365" i="10"/>
  <c r="O28366" i="10"/>
  <c r="O28367" i="10"/>
  <c r="O28368" i="10"/>
  <c r="O28369" i="10"/>
  <c r="O28370" i="10"/>
  <c r="O28371" i="10"/>
  <c r="O28372" i="10"/>
  <c r="O28373" i="10"/>
  <c r="O28374" i="10"/>
  <c r="O28375" i="10"/>
  <c r="O28376" i="10"/>
  <c r="O28377" i="10"/>
  <c r="O28378" i="10"/>
  <c r="O28379" i="10"/>
  <c r="O28380" i="10"/>
  <c r="O28381" i="10"/>
  <c r="O28382" i="10"/>
  <c r="O28383" i="10"/>
  <c r="O28384" i="10"/>
  <c r="O28385" i="10"/>
  <c r="O28386" i="10"/>
  <c r="O28387" i="10"/>
  <c r="O28388" i="10"/>
  <c r="O28389" i="10"/>
  <c r="O28390" i="10"/>
  <c r="O28391" i="10"/>
  <c r="O28392" i="10"/>
  <c r="O28393" i="10"/>
  <c r="O28394" i="10"/>
  <c r="O28395" i="10"/>
  <c r="O28396" i="10"/>
  <c r="O28397" i="10"/>
  <c r="O28398" i="10"/>
  <c r="O28399" i="10"/>
  <c r="O4874" i="10"/>
  <c r="O4875" i="10"/>
  <c r="O4876" i="10"/>
  <c r="O4877" i="10"/>
  <c r="O4878" i="10"/>
  <c r="O4879" i="10"/>
  <c r="O4880" i="10"/>
  <c r="O4881" i="10"/>
  <c r="O4882" i="10"/>
  <c r="O4883" i="10"/>
  <c r="O4884" i="10"/>
  <c r="O4885" i="10"/>
  <c r="O4886" i="10"/>
  <c r="O4887" i="10"/>
  <c r="O4888" i="10"/>
  <c r="O4889" i="10"/>
  <c r="O4890" i="10"/>
  <c r="O4891" i="10"/>
  <c r="O4892" i="10"/>
  <c r="O4893" i="10"/>
  <c r="O4894" i="10"/>
  <c r="O4895" i="10"/>
  <c r="O4896" i="10"/>
  <c r="O4897" i="10"/>
  <c r="O4898" i="10"/>
  <c r="O4899" i="10"/>
  <c r="O4900" i="10"/>
  <c r="O4901" i="10"/>
  <c r="O4902" i="10"/>
  <c r="O4903" i="10"/>
  <c r="O4904" i="10"/>
  <c r="O4905" i="10"/>
  <c r="O4906" i="10"/>
  <c r="O4907" i="10"/>
  <c r="O4908" i="10"/>
  <c r="O4909" i="10"/>
  <c r="O4910" i="10"/>
  <c r="O4911" i="10"/>
  <c r="O4912" i="10"/>
  <c r="O4913" i="10"/>
  <c r="O4914" i="10"/>
  <c r="O4915" i="10"/>
  <c r="O4916" i="10"/>
  <c r="O4917" i="10"/>
  <c r="O4918" i="10"/>
  <c r="O4919" i="10"/>
  <c r="O4920" i="10"/>
  <c r="O4921" i="10"/>
  <c r="O4922" i="10"/>
  <c r="O4923" i="10"/>
  <c r="O4924" i="10"/>
  <c r="O4925" i="10"/>
  <c r="O4926" i="10"/>
  <c r="O4927" i="10"/>
  <c r="O4928" i="10"/>
  <c r="O4929" i="10"/>
  <c r="O4930" i="10"/>
  <c r="O4931" i="10"/>
  <c r="O4932" i="10"/>
  <c r="O4933" i="10"/>
  <c r="O4934" i="10"/>
  <c r="O4935" i="10"/>
  <c r="O4936" i="10"/>
  <c r="O4937" i="10"/>
  <c r="O4938" i="10"/>
  <c r="O4939" i="10"/>
  <c r="O4940" i="10"/>
  <c r="O4941" i="10"/>
  <c r="O4942" i="10"/>
  <c r="O4943" i="10"/>
  <c r="O4944" i="10"/>
  <c r="O4945" i="10"/>
  <c r="O4946" i="10"/>
  <c r="O4947" i="10"/>
  <c r="O4948" i="10"/>
  <c r="O4949" i="10"/>
  <c r="O4950" i="10"/>
  <c r="O4951" i="10"/>
  <c r="O4952" i="10"/>
  <c r="O4953" i="10"/>
  <c r="O4954" i="10"/>
  <c r="O4955" i="10"/>
  <c r="O4956" i="10"/>
  <c r="O4957" i="10"/>
  <c r="O4958" i="10"/>
  <c r="O4959" i="10"/>
  <c r="O4960" i="10"/>
  <c r="O4961" i="10"/>
  <c r="O4962" i="10"/>
  <c r="O4963" i="10"/>
  <c r="O4964" i="10"/>
  <c r="O4965" i="10"/>
  <c r="O4966" i="10"/>
  <c r="O4967" i="10"/>
  <c r="O4968" i="10"/>
  <c r="O4969" i="10"/>
  <c r="O4970" i="10"/>
  <c r="O4971" i="10"/>
  <c r="O4972" i="10"/>
  <c r="O4973" i="10"/>
  <c r="O4974" i="10"/>
  <c r="O4975" i="10"/>
  <c r="O4976" i="10"/>
  <c r="O4977" i="10"/>
  <c r="O4978" i="10"/>
  <c r="O4979" i="10"/>
  <c r="O4980" i="10"/>
  <c r="O4981" i="10"/>
  <c r="O4982" i="10"/>
  <c r="O4983" i="10"/>
  <c r="O4984" i="10"/>
  <c r="O4985" i="10"/>
  <c r="O4986" i="10"/>
  <c r="O4987" i="10"/>
  <c r="O4988" i="10"/>
  <c r="O4989" i="10"/>
  <c r="O4990" i="10"/>
  <c r="O4991" i="10"/>
  <c r="O4992" i="10"/>
  <c r="O4993" i="10"/>
  <c r="O4994" i="10"/>
  <c r="O4995" i="10"/>
  <c r="O4996" i="10"/>
  <c r="O4997" i="10"/>
  <c r="O4998" i="10"/>
  <c r="O4999" i="10"/>
  <c r="O5000" i="10"/>
  <c r="O5001" i="10"/>
  <c r="O5002" i="10"/>
  <c r="O5003" i="10"/>
  <c r="O5004" i="10"/>
  <c r="O5005" i="10"/>
  <c r="O5006" i="10"/>
  <c r="O5007" i="10"/>
  <c r="O5008" i="10"/>
  <c r="O5009" i="10"/>
  <c r="O5010" i="10"/>
  <c r="O5011" i="10"/>
  <c r="O5012" i="10"/>
  <c r="O5013" i="10"/>
  <c r="O5014" i="10"/>
  <c r="O5015" i="10"/>
  <c r="O5016" i="10"/>
  <c r="O5017" i="10"/>
  <c r="O5018" i="10"/>
  <c r="O5019" i="10"/>
  <c r="O5020" i="10"/>
  <c r="O5021" i="10"/>
  <c r="O5022" i="10"/>
  <c r="O5023" i="10"/>
  <c r="O5024" i="10"/>
  <c r="O5025" i="10"/>
  <c r="O5026" i="10"/>
  <c r="O5027" i="10"/>
  <c r="O5028" i="10"/>
  <c r="O5029" i="10"/>
  <c r="O5030" i="10"/>
  <c r="O5031" i="10"/>
  <c r="O5032" i="10"/>
  <c r="O5033" i="10"/>
  <c r="O5034" i="10"/>
  <c r="O5035" i="10"/>
  <c r="O5036" i="10"/>
  <c r="O5037" i="10"/>
  <c r="O5038" i="10"/>
  <c r="O5039" i="10"/>
  <c r="O5040" i="10"/>
  <c r="O5041" i="10"/>
  <c r="O5042" i="10"/>
  <c r="O5043" i="10"/>
  <c r="O5044" i="10"/>
  <c r="O5045" i="10"/>
  <c r="O5046" i="10"/>
  <c r="O5047" i="10"/>
  <c r="O5048" i="10"/>
  <c r="O5049" i="10"/>
  <c r="O5050" i="10"/>
  <c r="O5051" i="10"/>
  <c r="O5052" i="10"/>
  <c r="O5053" i="10"/>
  <c r="O5054" i="10"/>
  <c r="O5055" i="10"/>
  <c r="O5056" i="10"/>
  <c r="O5057" i="10"/>
  <c r="O5058" i="10"/>
  <c r="O5059" i="10"/>
  <c r="O5060" i="10"/>
  <c r="O5061" i="10"/>
  <c r="O5062" i="10"/>
  <c r="O5063" i="10"/>
  <c r="O5064" i="10"/>
  <c r="O5065" i="10"/>
  <c r="O5066" i="10"/>
  <c r="O5067" i="10"/>
  <c r="O5068" i="10"/>
  <c r="O5069" i="10"/>
  <c r="O5070" i="10"/>
  <c r="O5071" i="10"/>
  <c r="O5072" i="10"/>
  <c r="O5073" i="10"/>
  <c r="O5074" i="10"/>
  <c r="O5075" i="10"/>
  <c r="O5076" i="10"/>
  <c r="O5077" i="10"/>
  <c r="O5078" i="10"/>
  <c r="O5079" i="10"/>
  <c r="O5080" i="10"/>
  <c r="O5081" i="10"/>
  <c r="O5082" i="10"/>
  <c r="O5083" i="10"/>
  <c r="O5084" i="10"/>
  <c r="O5085" i="10"/>
  <c r="O5086" i="10"/>
  <c r="O5087" i="10"/>
  <c r="O5088" i="10"/>
  <c r="O5089" i="10"/>
  <c r="O5090" i="10"/>
  <c r="O5091" i="10"/>
  <c r="O5092" i="10"/>
  <c r="O5093" i="10"/>
  <c r="O5094" i="10"/>
  <c r="O5095" i="10"/>
  <c r="O5096" i="10"/>
  <c r="O5097" i="10"/>
  <c r="O5098" i="10"/>
  <c r="O5099" i="10"/>
  <c r="O5100" i="10"/>
  <c r="O5101" i="10"/>
  <c r="O5102" i="10"/>
  <c r="O5103" i="10"/>
  <c r="O5104" i="10"/>
  <c r="O5105" i="10"/>
  <c r="O5106" i="10"/>
  <c r="O5107" i="10"/>
  <c r="O5108" i="10"/>
  <c r="O5109" i="10"/>
  <c r="O5110" i="10"/>
  <c r="O5111" i="10"/>
  <c r="O5112" i="10"/>
  <c r="O5113" i="10"/>
  <c r="O5114" i="10"/>
  <c r="O5115" i="10"/>
  <c r="O5116" i="10"/>
  <c r="O5117" i="10"/>
  <c r="O5118" i="10"/>
  <c r="O5119" i="10"/>
  <c r="O5120" i="10"/>
  <c r="O5121" i="10"/>
  <c r="O5122" i="10"/>
  <c r="O5123" i="10"/>
  <c r="O5124" i="10"/>
  <c r="O5125" i="10"/>
  <c r="O5126" i="10"/>
  <c r="O5127" i="10"/>
  <c r="O5128" i="10"/>
  <c r="O5129" i="10"/>
  <c r="O5130" i="10"/>
  <c r="O5131" i="10"/>
  <c r="O5132" i="10"/>
  <c r="O5133" i="10"/>
  <c r="O5134" i="10"/>
  <c r="O5135" i="10"/>
  <c r="O5136" i="10"/>
  <c r="O5137" i="10"/>
  <c r="O5138" i="10"/>
  <c r="O5139" i="10"/>
  <c r="O5140" i="10"/>
  <c r="O5141" i="10"/>
  <c r="O5142" i="10"/>
  <c r="O5143" i="10"/>
  <c r="O5144" i="10"/>
  <c r="O5145" i="10"/>
  <c r="O5146" i="10"/>
  <c r="O5147" i="10"/>
  <c r="O5148" i="10"/>
  <c r="O5149" i="10"/>
  <c r="O5150" i="10"/>
  <c r="O5151" i="10"/>
  <c r="O5152" i="10"/>
  <c r="O5153" i="10"/>
  <c r="O5154" i="10"/>
  <c r="O5155" i="10"/>
  <c r="O5156" i="10"/>
  <c r="O5157" i="10"/>
  <c r="O5158" i="10"/>
  <c r="O5159" i="10"/>
  <c r="O5160" i="10"/>
  <c r="O5161" i="10"/>
  <c r="O5162" i="10"/>
  <c r="O5163" i="10"/>
  <c r="O5164" i="10"/>
  <c r="O5165" i="10"/>
  <c r="O5166" i="10"/>
  <c r="O5167" i="10"/>
  <c r="O5168" i="10"/>
  <c r="O5169" i="10"/>
  <c r="O5170" i="10"/>
  <c r="O5171" i="10"/>
  <c r="O5172" i="10"/>
  <c r="O5173" i="10"/>
  <c r="O5174" i="10"/>
  <c r="O5175" i="10"/>
  <c r="O5176" i="10"/>
  <c r="O5177" i="10"/>
  <c r="O5178" i="10"/>
  <c r="O5179" i="10"/>
  <c r="O5180" i="10"/>
  <c r="O5181" i="10"/>
  <c r="O5182" i="10"/>
  <c r="O5183" i="10"/>
  <c r="O5184" i="10"/>
  <c r="O5185" i="10"/>
  <c r="O5186" i="10"/>
  <c r="O5187" i="10"/>
  <c r="O5188" i="10"/>
  <c r="O5189" i="10"/>
  <c r="O5190" i="10"/>
  <c r="O5191" i="10"/>
  <c r="O5192" i="10"/>
  <c r="O5193" i="10"/>
  <c r="O5194" i="10"/>
  <c r="O5195" i="10"/>
  <c r="O5196" i="10"/>
  <c r="O5197" i="10"/>
  <c r="O5198" i="10"/>
  <c r="O5199" i="10"/>
  <c r="O5200" i="10"/>
  <c r="O5201" i="10"/>
  <c r="O5202" i="10"/>
  <c r="O5203" i="10"/>
  <c r="O5204" i="10"/>
  <c r="O5205" i="10"/>
  <c r="O5206" i="10"/>
  <c r="O5207" i="10"/>
  <c r="O5208" i="10"/>
  <c r="O5209" i="10"/>
  <c r="O5210" i="10"/>
  <c r="O5211" i="10"/>
  <c r="O5212" i="10"/>
  <c r="O5213" i="10"/>
  <c r="O5214" i="10"/>
  <c r="O5215" i="10"/>
  <c r="O5216" i="10"/>
  <c r="O5217" i="10"/>
  <c r="O5218" i="10"/>
  <c r="O5219" i="10"/>
  <c r="O5220" i="10"/>
  <c r="O5221" i="10"/>
  <c r="O5222" i="10"/>
  <c r="O5223" i="10"/>
  <c r="O5224" i="10"/>
  <c r="O5225" i="10"/>
  <c r="O5226" i="10"/>
  <c r="O5227" i="10"/>
  <c r="O5228" i="10"/>
  <c r="O5229" i="10"/>
  <c r="O5230" i="10"/>
  <c r="O5231" i="10"/>
  <c r="O5232" i="10"/>
  <c r="O5233" i="10"/>
  <c r="O5234" i="10"/>
  <c r="O5235" i="10"/>
  <c r="O5236" i="10"/>
  <c r="O5237" i="10"/>
  <c r="O5238" i="10"/>
  <c r="O5239" i="10"/>
  <c r="O5240" i="10"/>
  <c r="O5241" i="10"/>
  <c r="O5242" i="10"/>
  <c r="O5243" i="10"/>
  <c r="O5244" i="10"/>
  <c r="O5245" i="10"/>
  <c r="O5246" i="10"/>
  <c r="O5247" i="10"/>
  <c r="O5248" i="10"/>
  <c r="O5249" i="10"/>
  <c r="O5250" i="10"/>
  <c r="O5251" i="10"/>
  <c r="O5252" i="10"/>
  <c r="O5253" i="10"/>
  <c r="O5254" i="10"/>
  <c r="O5255" i="10"/>
  <c r="O5256" i="10"/>
  <c r="O5257" i="10"/>
  <c r="O5258" i="10"/>
  <c r="O5259" i="10"/>
  <c r="O5260" i="10"/>
  <c r="O5261" i="10"/>
  <c r="O5262" i="10"/>
  <c r="O5263" i="10"/>
  <c r="O5264" i="10"/>
  <c r="O5265" i="10"/>
  <c r="O5266" i="10"/>
  <c r="O5267" i="10"/>
  <c r="O5268" i="10"/>
  <c r="O5269" i="10"/>
  <c r="O5270" i="10"/>
  <c r="O5271" i="10"/>
  <c r="O5272" i="10"/>
  <c r="O5273" i="10"/>
  <c r="O5274" i="10"/>
  <c r="O5275" i="10"/>
  <c r="O5276" i="10"/>
  <c r="O5277" i="10"/>
  <c r="O5278" i="10"/>
  <c r="O5279" i="10"/>
  <c r="O5280" i="10"/>
  <c r="O5281" i="10"/>
  <c r="O5282" i="10"/>
  <c r="O5283" i="10"/>
  <c r="O5284" i="10"/>
  <c r="O5285" i="10"/>
  <c r="O5286" i="10"/>
  <c r="O5287" i="10"/>
  <c r="O5288" i="10"/>
  <c r="O5289" i="10"/>
  <c r="O5290" i="10"/>
  <c r="O5291" i="10"/>
  <c r="O5292" i="10"/>
  <c r="O5293" i="10"/>
  <c r="O5294" i="10"/>
  <c r="O5295" i="10"/>
  <c r="O5296" i="10"/>
  <c r="O5297" i="10"/>
  <c r="O5298" i="10"/>
  <c r="O5299" i="10"/>
  <c r="O5300" i="10"/>
  <c r="O5301" i="10"/>
  <c r="O5302" i="10"/>
  <c r="O5303" i="10"/>
  <c r="O5304" i="10"/>
  <c r="O5305" i="10"/>
  <c r="O5306" i="10"/>
  <c r="O5307" i="10"/>
  <c r="O5308" i="10"/>
  <c r="O5309" i="10"/>
  <c r="O5310" i="10"/>
  <c r="O5311" i="10"/>
  <c r="O5312" i="10"/>
  <c r="O5313" i="10"/>
  <c r="O5314" i="10"/>
  <c r="O5315" i="10"/>
  <c r="O5316" i="10"/>
  <c r="O5317" i="10"/>
  <c r="O5318" i="10"/>
  <c r="O5319" i="10"/>
  <c r="O5320" i="10"/>
  <c r="O5321" i="10"/>
  <c r="O5322" i="10"/>
  <c r="O5323" i="10"/>
  <c r="O5324" i="10"/>
  <c r="O5325" i="10"/>
  <c r="O5326" i="10"/>
  <c r="O5327" i="10"/>
  <c r="O5328" i="10"/>
  <c r="O5329" i="10"/>
  <c r="O5330" i="10"/>
  <c r="O5331" i="10"/>
  <c r="O5332" i="10"/>
  <c r="O5333" i="10"/>
  <c r="O5334" i="10"/>
  <c r="O5335" i="10"/>
  <c r="O5336" i="10"/>
  <c r="O5337" i="10"/>
  <c r="O5338" i="10"/>
  <c r="O5339" i="10"/>
  <c r="O5340" i="10"/>
  <c r="O5341" i="10"/>
  <c r="O5342" i="10"/>
  <c r="O5343" i="10"/>
  <c r="O5344" i="10"/>
  <c r="O5345" i="10"/>
  <c r="O5346" i="10"/>
  <c r="O5347" i="10"/>
  <c r="O5348" i="10"/>
  <c r="O5349" i="10"/>
  <c r="O5350" i="10"/>
  <c r="O5351" i="10"/>
  <c r="O5352" i="10"/>
  <c r="O5353" i="10"/>
  <c r="O5354" i="10"/>
  <c r="O5355" i="10"/>
  <c r="O5356" i="10"/>
  <c r="O5357" i="10"/>
  <c r="O5358" i="10"/>
  <c r="O5359" i="10"/>
  <c r="O5360" i="10"/>
  <c r="O5361" i="10"/>
  <c r="O5362" i="10"/>
  <c r="O5363" i="10"/>
  <c r="O5364" i="10"/>
  <c r="O5365" i="10"/>
  <c r="O5366" i="10"/>
  <c r="O5367" i="10"/>
  <c r="O5368" i="10"/>
  <c r="O5369" i="10"/>
  <c r="O5370" i="10"/>
  <c r="O5371" i="10"/>
  <c r="O5372" i="10"/>
  <c r="O5373" i="10"/>
  <c r="O5374" i="10"/>
  <c r="O5375" i="10"/>
  <c r="O5376" i="10"/>
  <c r="O5377" i="10"/>
  <c r="O5378" i="10"/>
  <c r="O5379" i="10"/>
  <c r="O5380" i="10"/>
  <c r="O5381" i="10"/>
  <c r="O5382" i="10"/>
  <c r="O5383" i="10"/>
  <c r="O5384" i="10"/>
  <c r="O5385" i="10"/>
  <c r="O5386" i="10"/>
  <c r="O5387" i="10"/>
  <c r="O5388" i="10"/>
  <c r="O5389" i="10"/>
  <c r="O5390" i="10"/>
  <c r="O5391" i="10"/>
  <c r="O5392" i="10"/>
  <c r="O5393" i="10"/>
  <c r="O5394" i="10"/>
  <c r="O5395" i="10"/>
  <c r="O5396" i="10"/>
  <c r="O5397" i="10"/>
  <c r="O5398" i="10"/>
  <c r="O5399" i="10"/>
  <c r="O5400" i="10"/>
  <c r="O5401" i="10"/>
  <c r="O5402" i="10"/>
  <c r="O5403" i="10"/>
  <c r="O5404" i="10"/>
  <c r="O5405" i="10"/>
  <c r="O5406" i="10"/>
  <c r="O5407" i="10"/>
  <c r="O5408" i="10"/>
  <c r="O5409" i="10"/>
  <c r="O5410" i="10"/>
  <c r="O5411" i="10"/>
  <c r="O5412" i="10"/>
  <c r="O5413" i="10"/>
  <c r="O5414" i="10"/>
  <c r="O5415" i="10"/>
  <c r="O5416" i="10"/>
  <c r="O5417" i="10"/>
  <c r="O5418" i="10"/>
  <c r="O5419" i="10"/>
  <c r="O5420" i="10"/>
  <c r="O5421" i="10"/>
  <c r="O5422" i="10"/>
  <c r="O5423" i="10"/>
  <c r="O5424" i="10"/>
  <c r="O5425" i="10"/>
  <c r="O5426" i="10"/>
  <c r="O5427" i="10"/>
  <c r="O5428" i="10"/>
  <c r="O5429" i="10"/>
  <c r="O5430" i="10"/>
  <c r="O5431" i="10"/>
  <c r="O5432" i="10"/>
  <c r="O5433" i="10"/>
  <c r="O5434" i="10"/>
  <c r="O5435" i="10"/>
  <c r="O5436" i="10"/>
  <c r="O5437" i="10"/>
  <c r="O5438" i="10"/>
  <c r="O5439" i="10"/>
  <c r="O5440" i="10"/>
  <c r="O5441" i="10"/>
  <c r="O5442" i="10"/>
  <c r="O5443" i="10"/>
  <c r="O5444" i="10"/>
  <c r="O5445" i="10"/>
  <c r="O5446" i="10"/>
  <c r="O5447" i="10"/>
  <c r="O5448" i="10"/>
  <c r="O5449" i="10"/>
  <c r="O5450" i="10"/>
  <c r="O5451" i="10"/>
  <c r="O5452" i="10"/>
  <c r="O5453" i="10"/>
  <c r="O5454" i="10"/>
  <c r="O5455" i="10"/>
  <c r="O5456" i="10"/>
  <c r="O5457" i="10"/>
  <c r="O5458" i="10"/>
  <c r="O5459" i="10"/>
  <c r="O5460" i="10"/>
  <c r="O5461" i="10"/>
  <c r="O5462" i="10"/>
  <c r="O5463" i="10"/>
  <c r="O5464" i="10"/>
  <c r="O5465" i="10"/>
  <c r="O5466" i="10"/>
  <c r="O5467" i="10"/>
  <c r="O5468" i="10"/>
  <c r="O5469" i="10"/>
  <c r="O5470" i="10"/>
  <c r="O5471" i="10"/>
  <c r="O5472" i="10"/>
  <c r="O5473" i="10"/>
  <c r="O5474" i="10"/>
  <c r="O5475" i="10"/>
  <c r="O5476" i="10"/>
  <c r="O5477" i="10"/>
  <c r="O5478" i="10"/>
  <c r="O5479" i="10"/>
  <c r="O5480" i="10"/>
  <c r="O5481" i="10"/>
  <c r="O5482" i="10"/>
  <c r="O5483" i="10"/>
  <c r="O5484" i="10"/>
  <c r="O5485" i="10"/>
  <c r="O5486" i="10"/>
  <c r="O5487" i="10"/>
  <c r="O5488" i="10"/>
  <c r="O5489" i="10"/>
  <c r="O5490" i="10"/>
  <c r="O5491" i="10"/>
  <c r="O5492" i="10"/>
  <c r="O5493" i="10"/>
  <c r="O5494" i="10"/>
  <c r="O5495" i="10"/>
  <c r="O5496" i="10"/>
  <c r="O5497" i="10"/>
  <c r="O5498" i="10"/>
  <c r="O5499" i="10"/>
  <c r="O5500" i="10"/>
  <c r="O5501" i="10"/>
  <c r="O5502" i="10"/>
  <c r="O5503" i="10"/>
  <c r="O5504" i="10"/>
  <c r="O5505" i="10"/>
  <c r="O5506" i="10"/>
  <c r="O5507" i="10"/>
  <c r="O5508" i="10"/>
  <c r="O5509" i="10"/>
  <c r="O5510" i="10"/>
  <c r="O5511" i="10"/>
  <c r="O5512" i="10"/>
  <c r="O5513" i="10"/>
  <c r="O5514" i="10"/>
  <c r="O5515" i="10"/>
  <c r="O5516" i="10"/>
  <c r="O5517" i="10"/>
  <c r="O5518" i="10"/>
  <c r="O5519" i="10"/>
  <c r="O5520" i="10"/>
  <c r="O5521" i="10"/>
  <c r="O5522" i="10"/>
  <c r="O5523" i="10"/>
  <c r="O5524" i="10"/>
  <c r="O5525" i="10"/>
  <c r="O5526" i="10"/>
  <c r="O5527" i="10"/>
  <c r="O5528" i="10"/>
  <c r="O5529" i="10"/>
  <c r="O5530" i="10"/>
  <c r="O5531" i="10"/>
  <c r="O5532" i="10"/>
  <c r="O5533" i="10"/>
  <c r="O5534" i="10"/>
  <c r="O5535" i="10"/>
  <c r="O5536" i="10"/>
  <c r="O5537" i="10"/>
  <c r="O5538" i="10"/>
  <c r="O5539" i="10"/>
  <c r="O5540" i="10"/>
  <c r="O5541" i="10"/>
  <c r="O5542" i="10"/>
  <c r="O5543" i="10"/>
  <c r="O5544" i="10"/>
  <c r="O5545" i="10"/>
  <c r="O5546" i="10"/>
  <c r="O5547" i="10"/>
  <c r="O5548" i="10"/>
  <c r="O5549" i="10"/>
  <c r="O5550" i="10"/>
  <c r="O5551" i="10"/>
  <c r="O5552" i="10"/>
  <c r="O5553" i="10"/>
  <c r="O5554" i="10"/>
  <c r="O5555" i="10"/>
  <c r="O5556" i="10"/>
  <c r="O5557" i="10"/>
  <c r="O5558" i="10"/>
  <c r="O5559" i="10"/>
  <c r="O5560" i="10"/>
  <c r="O5561" i="10"/>
  <c r="O5562" i="10"/>
  <c r="O5563" i="10"/>
  <c r="O5564" i="10"/>
  <c r="O5565" i="10"/>
  <c r="O5566" i="10"/>
  <c r="O5567" i="10"/>
  <c r="O5568" i="10"/>
  <c r="O5569" i="10"/>
  <c r="O5570" i="10"/>
  <c r="O5571" i="10"/>
  <c r="O5572" i="10"/>
  <c r="O5573" i="10"/>
  <c r="O5574" i="10"/>
  <c r="O5575" i="10"/>
  <c r="O5576" i="10"/>
  <c r="O5577" i="10"/>
  <c r="O5578" i="10"/>
  <c r="O5579" i="10"/>
  <c r="O5580" i="10"/>
  <c r="O5581" i="10"/>
  <c r="O5582" i="10"/>
  <c r="O5583" i="10"/>
  <c r="O5584" i="10"/>
  <c r="O5585" i="10"/>
  <c r="O5586" i="10"/>
  <c r="O5587" i="10"/>
  <c r="O5588" i="10"/>
  <c r="O5589" i="10"/>
  <c r="O5590" i="10"/>
  <c r="O5591" i="10"/>
  <c r="O5592" i="10"/>
  <c r="O5593" i="10"/>
  <c r="O5594" i="10"/>
  <c r="O5595" i="10"/>
  <c r="O5596" i="10"/>
  <c r="O5597" i="10"/>
  <c r="O5598" i="10"/>
  <c r="O5599" i="10"/>
  <c r="O5600" i="10"/>
  <c r="O5601" i="10"/>
  <c r="O5602" i="10"/>
  <c r="O5603" i="10"/>
  <c r="O5604" i="10"/>
  <c r="O5605" i="10"/>
  <c r="O5606" i="10"/>
  <c r="O5607" i="10"/>
  <c r="O5608" i="10"/>
  <c r="O5609" i="10"/>
  <c r="O5610" i="10"/>
  <c r="O5611" i="10"/>
  <c r="O5612" i="10"/>
  <c r="O5613" i="10"/>
  <c r="O5614" i="10"/>
  <c r="O5615" i="10"/>
  <c r="O5616" i="10"/>
  <c r="O5617" i="10"/>
  <c r="O5618" i="10"/>
  <c r="O5619" i="10"/>
  <c r="O5620" i="10"/>
  <c r="O5621" i="10"/>
  <c r="O5622" i="10"/>
  <c r="O5623" i="10"/>
  <c r="O5624" i="10"/>
  <c r="O5625" i="10"/>
  <c r="O5626" i="10"/>
  <c r="O5627" i="10"/>
  <c r="O5628" i="10"/>
  <c r="O5629" i="10"/>
  <c r="O5630" i="10"/>
  <c r="O5631" i="10"/>
  <c r="O5632" i="10"/>
  <c r="O5633" i="10"/>
  <c r="O5634" i="10"/>
  <c r="O5635" i="10"/>
  <c r="O5636" i="10"/>
  <c r="O5637" i="10"/>
  <c r="O5638" i="10"/>
  <c r="O5639" i="10"/>
  <c r="O5640" i="10"/>
  <c r="O5641" i="10"/>
  <c r="O5642" i="10"/>
  <c r="O5643" i="10"/>
  <c r="O5644" i="10"/>
  <c r="O5645" i="10"/>
  <c r="O5646" i="10"/>
  <c r="O5647" i="10"/>
  <c r="O5648" i="10"/>
  <c r="O5649" i="10"/>
  <c r="O5650" i="10"/>
  <c r="O5651" i="10"/>
  <c r="O5652" i="10"/>
  <c r="O5653" i="10"/>
  <c r="O5654" i="10"/>
  <c r="O5655" i="10"/>
  <c r="O5656" i="10"/>
  <c r="O5657" i="10"/>
  <c r="O5658" i="10"/>
  <c r="O5659" i="10"/>
  <c r="O5660" i="10"/>
  <c r="O5661" i="10"/>
  <c r="O5662" i="10"/>
  <c r="O5663" i="10"/>
  <c r="O5664" i="10"/>
  <c r="O5665" i="10"/>
  <c r="O5666" i="10"/>
  <c r="O5667" i="10"/>
  <c r="O5668" i="10"/>
  <c r="O5669" i="10"/>
  <c r="O5670" i="10"/>
  <c r="O5671" i="10"/>
  <c r="O5672" i="10"/>
  <c r="O5673" i="10"/>
  <c r="O5674" i="10"/>
  <c r="O5675" i="10"/>
  <c r="O5676" i="10"/>
  <c r="O5677" i="10"/>
  <c r="O5678" i="10"/>
  <c r="O5679" i="10"/>
  <c r="O5680" i="10"/>
  <c r="O5681" i="10"/>
  <c r="O5682" i="10"/>
  <c r="O5683" i="10"/>
  <c r="O5684" i="10"/>
  <c r="O5685" i="10"/>
  <c r="O5686" i="10"/>
  <c r="O5687" i="10"/>
  <c r="O5688" i="10"/>
  <c r="O5689" i="10"/>
  <c r="O5690" i="10"/>
  <c r="O5691" i="10"/>
  <c r="O5692" i="10"/>
  <c r="O5693" i="10"/>
  <c r="O5694" i="10"/>
  <c r="O5695" i="10"/>
  <c r="O5696" i="10"/>
  <c r="O5697" i="10"/>
  <c r="O5698" i="10"/>
  <c r="O5699" i="10"/>
  <c r="O5700" i="10"/>
  <c r="O5701" i="10"/>
  <c r="O5702" i="10"/>
  <c r="O5703" i="10"/>
  <c r="O5704" i="10"/>
  <c r="O5705" i="10"/>
  <c r="O5706" i="10"/>
  <c r="O5707" i="10"/>
  <c r="O5708" i="10"/>
  <c r="O5709" i="10"/>
  <c r="O5710" i="10"/>
  <c r="O5711" i="10"/>
  <c r="O5712" i="10"/>
  <c r="O5713" i="10"/>
  <c r="O5714" i="10"/>
  <c r="O5715" i="10"/>
  <c r="O5716" i="10"/>
  <c r="O5717" i="10"/>
  <c r="O5718" i="10"/>
  <c r="O5719" i="10"/>
  <c r="O5720" i="10"/>
  <c r="O5721" i="10"/>
  <c r="O5722" i="10"/>
  <c r="O5723" i="10"/>
  <c r="O5724" i="10"/>
  <c r="O5725" i="10"/>
  <c r="O5726" i="10"/>
  <c r="O5727" i="10"/>
  <c r="O5728" i="10"/>
  <c r="O5729" i="10"/>
  <c r="O5730" i="10"/>
  <c r="O5731" i="10"/>
  <c r="O5732" i="10"/>
  <c r="O5733" i="10"/>
  <c r="O5734" i="10"/>
  <c r="O5735" i="10"/>
  <c r="O5736" i="10"/>
  <c r="O5737" i="10"/>
  <c r="O5738" i="10"/>
  <c r="O5739" i="10"/>
  <c r="O5740" i="10"/>
  <c r="O5741" i="10"/>
  <c r="O5742" i="10"/>
  <c r="O5743" i="10"/>
  <c r="O5744" i="10"/>
  <c r="O5745" i="10"/>
  <c r="O5746" i="10"/>
  <c r="O5747" i="10"/>
  <c r="O5748" i="10"/>
  <c r="O5749" i="10"/>
  <c r="O5750" i="10"/>
  <c r="O5751" i="10"/>
  <c r="O5752" i="10"/>
  <c r="O5753" i="10"/>
  <c r="O5754" i="10"/>
  <c r="O5755" i="10"/>
  <c r="O5756" i="10"/>
  <c r="O5757" i="10"/>
  <c r="O5758" i="10"/>
  <c r="O5759" i="10"/>
  <c r="O5760" i="10"/>
  <c r="O5761" i="10"/>
  <c r="O5762" i="10"/>
  <c r="O5763" i="10"/>
  <c r="O5764" i="10"/>
  <c r="O5765" i="10"/>
  <c r="O5766" i="10"/>
  <c r="O5767" i="10"/>
  <c r="O5768" i="10"/>
  <c r="O5769" i="10"/>
  <c r="O5770" i="10"/>
  <c r="O5771" i="10"/>
  <c r="O5772" i="10"/>
  <c r="O5773" i="10"/>
  <c r="O5774" i="10"/>
  <c r="O5775" i="10"/>
  <c r="O5776" i="10"/>
  <c r="O5777" i="10"/>
  <c r="O5778" i="10"/>
  <c r="O5779" i="10"/>
  <c r="O5780" i="10"/>
  <c r="O5781" i="10"/>
  <c r="O5782" i="10"/>
  <c r="O5783" i="10"/>
  <c r="O5784" i="10"/>
  <c r="O5785" i="10"/>
  <c r="O5786" i="10"/>
  <c r="O5787" i="10"/>
  <c r="O5788" i="10"/>
  <c r="O5789" i="10"/>
  <c r="O5790" i="10"/>
  <c r="O5791" i="10"/>
  <c r="O5792" i="10"/>
  <c r="O5793" i="10"/>
  <c r="O5794" i="10"/>
  <c r="O5795" i="10"/>
  <c r="O5796" i="10"/>
  <c r="O5797" i="10"/>
  <c r="O5798" i="10"/>
  <c r="O5799" i="10"/>
  <c r="O5800" i="10"/>
  <c r="O5801" i="10"/>
  <c r="O5802" i="10"/>
  <c r="O5803" i="10"/>
  <c r="O5804" i="10"/>
  <c r="O5805" i="10"/>
  <c r="O5806" i="10"/>
  <c r="O5807" i="10"/>
  <c r="O5808" i="10"/>
  <c r="O5809" i="10"/>
  <c r="O5810" i="10"/>
  <c r="O5811" i="10"/>
  <c r="O5812" i="10"/>
  <c r="O5813" i="10"/>
  <c r="O5814" i="10"/>
  <c r="O5815" i="10"/>
  <c r="O5816" i="10"/>
  <c r="O5817" i="10"/>
  <c r="O5818" i="10"/>
  <c r="O5819" i="10"/>
  <c r="O5820" i="10"/>
  <c r="O5821" i="10"/>
  <c r="O5822" i="10"/>
  <c r="O5823" i="10"/>
  <c r="O5824" i="10"/>
  <c r="O5825" i="10"/>
  <c r="O5826" i="10"/>
  <c r="O5827" i="10"/>
  <c r="O5828" i="10"/>
  <c r="O5829" i="10"/>
  <c r="O5830" i="10"/>
  <c r="O5831" i="10"/>
  <c r="O5832" i="10"/>
  <c r="O5833" i="10"/>
  <c r="O5834" i="10"/>
  <c r="O5835" i="10"/>
  <c r="O5836" i="10"/>
  <c r="O5837" i="10"/>
  <c r="O5838" i="10"/>
  <c r="O5839" i="10"/>
  <c r="O5840" i="10"/>
  <c r="O5841" i="10"/>
  <c r="O5842" i="10"/>
  <c r="O5843" i="10"/>
  <c r="O5844" i="10"/>
  <c r="O5845" i="10"/>
  <c r="O5846" i="10"/>
  <c r="O5847" i="10"/>
  <c r="O5848" i="10"/>
  <c r="O5849" i="10"/>
  <c r="O5850" i="10"/>
  <c r="O5851" i="10"/>
  <c r="O5852" i="10"/>
  <c r="O5853" i="10"/>
  <c r="O5854" i="10"/>
  <c r="O5855" i="10"/>
  <c r="O5856" i="10"/>
  <c r="O5857" i="10"/>
  <c r="O5858" i="10"/>
  <c r="O5859" i="10"/>
  <c r="O5860" i="10"/>
  <c r="O5861" i="10"/>
  <c r="O5862" i="10"/>
  <c r="O5863" i="10"/>
  <c r="O5864" i="10"/>
  <c r="O5865" i="10"/>
  <c r="O5866" i="10"/>
  <c r="O5867" i="10"/>
  <c r="O5868" i="10"/>
  <c r="O5869" i="10"/>
  <c r="O5870" i="10"/>
  <c r="O5871" i="10"/>
  <c r="O5872" i="10"/>
  <c r="O5873" i="10"/>
  <c r="O5874" i="10"/>
  <c r="O5875" i="10"/>
  <c r="O5876" i="10"/>
  <c r="O5877" i="10"/>
  <c r="O5878" i="10"/>
  <c r="O5879" i="10"/>
  <c r="O5880" i="10"/>
  <c r="O5881" i="10"/>
  <c r="O5882" i="10"/>
  <c r="O5883" i="10"/>
  <c r="O5884" i="10"/>
  <c r="O5885" i="10"/>
  <c r="O5886" i="10"/>
  <c r="O5887" i="10"/>
  <c r="O5888" i="10"/>
  <c r="O5889" i="10"/>
  <c r="O5890" i="10"/>
  <c r="O5891" i="10"/>
  <c r="O5892" i="10"/>
  <c r="O5893" i="10"/>
  <c r="O5894" i="10"/>
  <c r="O5895" i="10"/>
  <c r="O5896" i="10"/>
  <c r="O5897" i="10"/>
  <c r="O5898" i="10"/>
  <c r="O5899" i="10"/>
  <c r="O5900" i="10"/>
  <c r="O5901" i="10"/>
  <c r="O5902" i="10"/>
  <c r="O5903" i="10"/>
  <c r="O5904" i="10"/>
  <c r="O5905" i="10"/>
  <c r="O5906" i="10"/>
  <c r="O5907" i="10"/>
  <c r="O5908" i="10"/>
  <c r="O5909" i="10"/>
  <c r="O5910" i="10"/>
  <c r="O5911" i="10"/>
  <c r="O5912" i="10"/>
  <c r="O5913" i="10"/>
  <c r="O5914" i="10"/>
  <c r="O5915" i="10"/>
  <c r="O5916" i="10"/>
  <c r="O5917" i="10"/>
  <c r="O5918" i="10"/>
  <c r="O5919" i="10"/>
  <c r="O5920" i="10"/>
  <c r="O5921" i="10"/>
  <c r="O5922" i="10"/>
  <c r="O5923" i="10"/>
  <c r="O5924" i="10"/>
  <c r="O5925" i="10"/>
  <c r="O5926" i="10"/>
  <c r="O5927" i="10"/>
  <c r="O5928" i="10"/>
  <c r="O5929" i="10"/>
  <c r="O5930" i="10"/>
  <c r="O5931" i="10"/>
  <c r="O5932" i="10"/>
  <c r="O5933" i="10"/>
  <c r="O5934" i="10"/>
  <c r="O5935" i="10"/>
  <c r="O5936" i="10"/>
  <c r="O5937" i="10"/>
  <c r="O5938" i="10"/>
  <c r="O5939" i="10"/>
  <c r="O5940" i="10"/>
  <c r="O5941" i="10"/>
  <c r="O5942" i="10"/>
  <c r="O5943" i="10"/>
  <c r="O5944" i="10"/>
  <c r="O5945" i="10"/>
  <c r="O5946" i="10"/>
  <c r="O5947" i="10"/>
  <c r="O5948" i="10"/>
  <c r="O5949" i="10"/>
  <c r="O5950" i="10"/>
  <c r="O5951" i="10"/>
  <c r="O5952" i="10"/>
  <c r="O5953" i="10"/>
  <c r="O5954" i="10"/>
  <c r="O5955" i="10"/>
  <c r="O5956" i="10"/>
  <c r="O5957" i="10"/>
  <c r="O5958" i="10"/>
  <c r="O5959" i="10"/>
  <c r="O5960" i="10"/>
  <c r="O5961" i="10"/>
  <c r="O5962" i="10"/>
  <c r="O5963" i="10"/>
  <c r="O5964" i="10"/>
  <c r="O5965" i="10"/>
  <c r="O5966" i="10"/>
  <c r="O5967" i="10"/>
  <c r="O5968" i="10"/>
  <c r="O5969" i="10"/>
  <c r="O5970" i="10"/>
  <c r="O5971" i="10"/>
  <c r="O5972" i="10"/>
  <c r="O5973" i="10"/>
  <c r="O5974" i="10"/>
  <c r="O5975" i="10"/>
  <c r="O5976" i="10"/>
  <c r="O5977" i="10"/>
  <c r="O5978" i="10"/>
  <c r="O5979" i="10"/>
  <c r="O5980" i="10"/>
  <c r="O5981" i="10"/>
  <c r="O5982" i="10"/>
  <c r="O5983" i="10"/>
  <c r="O5984" i="10"/>
  <c r="O5985" i="10"/>
  <c r="O5986" i="10"/>
  <c r="O5987" i="10"/>
  <c r="O5988" i="10"/>
  <c r="O5989" i="10"/>
  <c r="O5990" i="10"/>
  <c r="O5991" i="10"/>
  <c r="O5992" i="10"/>
  <c r="O5993" i="10"/>
  <c r="O5994" i="10"/>
  <c r="O5995" i="10"/>
  <c r="O5996" i="10"/>
  <c r="O5997" i="10"/>
  <c r="O5998" i="10"/>
  <c r="O5999" i="10"/>
  <c r="O6000" i="10"/>
  <c r="O6001" i="10"/>
  <c r="O6002" i="10"/>
  <c r="O6003" i="10"/>
  <c r="O6004" i="10"/>
  <c r="O6005" i="10"/>
  <c r="O6006" i="10"/>
  <c r="O6007" i="10"/>
  <c r="O6008" i="10"/>
  <c r="O6009" i="10"/>
  <c r="O6010" i="10"/>
  <c r="O6011" i="10"/>
  <c r="O6012" i="10"/>
  <c r="O6013" i="10"/>
  <c r="O6014" i="10"/>
  <c r="O6015" i="10"/>
  <c r="O6016" i="10"/>
  <c r="O6017" i="10"/>
  <c r="O6018" i="10"/>
  <c r="O6019" i="10"/>
  <c r="O6020" i="10"/>
  <c r="O6021" i="10"/>
  <c r="O6022" i="10"/>
  <c r="O6023" i="10"/>
  <c r="O6024" i="10"/>
  <c r="O6025" i="10"/>
  <c r="O6026" i="10"/>
  <c r="O6027" i="10"/>
  <c r="O6028" i="10"/>
  <c r="O6029" i="10"/>
  <c r="O6030" i="10"/>
  <c r="O6031" i="10"/>
  <c r="O6032" i="10"/>
  <c r="O6033" i="10"/>
  <c r="O6034" i="10"/>
  <c r="O6035" i="10"/>
  <c r="O6036" i="10"/>
  <c r="O6037" i="10"/>
  <c r="O6038" i="10"/>
  <c r="O6039" i="10"/>
  <c r="O6040" i="10"/>
  <c r="O6041" i="10"/>
  <c r="O6042" i="10"/>
  <c r="O6043" i="10"/>
  <c r="O6044" i="10"/>
  <c r="O6045" i="10"/>
  <c r="O6046" i="10"/>
  <c r="O6047" i="10"/>
  <c r="O6048" i="10"/>
  <c r="O6049" i="10"/>
  <c r="O6050" i="10"/>
  <c r="O6051" i="10"/>
  <c r="O6052" i="10"/>
  <c r="O6053" i="10"/>
  <c r="O6054" i="10"/>
  <c r="O6055" i="10"/>
  <c r="O6056" i="10"/>
  <c r="O6057" i="10"/>
  <c r="O6058" i="10"/>
  <c r="O6059" i="10"/>
  <c r="O6060" i="10"/>
  <c r="O6061" i="10"/>
  <c r="O6062" i="10"/>
  <c r="O6063" i="10"/>
  <c r="O6064" i="10"/>
  <c r="O6065" i="10"/>
  <c r="O6066" i="10"/>
  <c r="O6067" i="10"/>
  <c r="O6068" i="10"/>
  <c r="O6069" i="10"/>
  <c r="O6070" i="10"/>
  <c r="O6071" i="10"/>
  <c r="O6072" i="10"/>
  <c r="O6073" i="10"/>
  <c r="O6074" i="10"/>
  <c r="O6075" i="10"/>
  <c r="O6076" i="10"/>
  <c r="O6077" i="10"/>
  <c r="O6078" i="10"/>
  <c r="O6079" i="10"/>
  <c r="O6080" i="10"/>
  <c r="O6081" i="10"/>
  <c r="O6082" i="10"/>
  <c r="O6083" i="10"/>
  <c r="O6084" i="10"/>
  <c r="O6085" i="10"/>
  <c r="O6086" i="10"/>
  <c r="O6087" i="10"/>
  <c r="O6088" i="10"/>
  <c r="O6089" i="10"/>
  <c r="O6090" i="10"/>
  <c r="O6091" i="10"/>
  <c r="O6092" i="10"/>
  <c r="O6093" i="10"/>
  <c r="O6094" i="10"/>
  <c r="O6095" i="10"/>
  <c r="O6096" i="10"/>
  <c r="O6097" i="10"/>
  <c r="O6098" i="10"/>
  <c r="O6099" i="10"/>
  <c r="O6100" i="10"/>
  <c r="O6101" i="10"/>
  <c r="O6102" i="10"/>
  <c r="O6103" i="10"/>
  <c r="O6104" i="10"/>
  <c r="O6105" i="10"/>
  <c r="O6106" i="10"/>
  <c r="O6107" i="10"/>
  <c r="O6108" i="10"/>
  <c r="O6109" i="10"/>
  <c r="O6110" i="10"/>
  <c r="O6111" i="10"/>
  <c r="O6112" i="10"/>
  <c r="O6113" i="10"/>
  <c r="O6114" i="10"/>
  <c r="O6115" i="10"/>
  <c r="O6116" i="10"/>
  <c r="O6117" i="10"/>
  <c r="O6118" i="10"/>
  <c r="O6119" i="10"/>
  <c r="O6120" i="10"/>
  <c r="O6121" i="10"/>
  <c r="O6122" i="10"/>
  <c r="O6123" i="10"/>
  <c r="O6124" i="10"/>
  <c r="O6125" i="10"/>
  <c r="O6126" i="10"/>
  <c r="O6127" i="10"/>
  <c r="O6128" i="10"/>
  <c r="O6129" i="10"/>
  <c r="O6130" i="10"/>
  <c r="O6131" i="10"/>
  <c r="O6132" i="10"/>
  <c r="O6133" i="10"/>
  <c r="O6134" i="10"/>
  <c r="O6135" i="10"/>
  <c r="O6136" i="10"/>
  <c r="O6137" i="10"/>
  <c r="O6138" i="10"/>
  <c r="O6139" i="10"/>
  <c r="O6140" i="10"/>
  <c r="O6141" i="10"/>
  <c r="O6142" i="10"/>
  <c r="O6143" i="10"/>
  <c r="O6144" i="10"/>
  <c r="O6145" i="10"/>
  <c r="O6146" i="10"/>
  <c r="O6147" i="10"/>
  <c r="O6148" i="10"/>
  <c r="O6149" i="10"/>
  <c r="O6150" i="10"/>
  <c r="O6151" i="10"/>
  <c r="O6152" i="10"/>
  <c r="O6153" i="10"/>
  <c r="O6154" i="10"/>
  <c r="O6155" i="10"/>
  <c r="O6156" i="10"/>
  <c r="O6157" i="10"/>
  <c r="O6158" i="10"/>
  <c r="O6159" i="10"/>
  <c r="O6160" i="10"/>
  <c r="O6161" i="10"/>
  <c r="O6162" i="10"/>
  <c r="O6163" i="10"/>
  <c r="O6164" i="10"/>
  <c r="O6165" i="10"/>
  <c r="O6166" i="10"/>
  <c r="O6167" i="10"/>
  <c r="O6168" i="10"/>
  <c r="O6169" i="10"/>
  <c r="O6170" i="10"/>
  <c r="O6171" i="10"/>
  <c r="O6172" i="10"/>
  <c r="O6173" i="10"/>
  <c r="O6174" i="10"/>
  <c r="O6175" i="10"/>
  <c r="O6176" i="10"/>
  <c r="O6177" i="10"/>
  <c r="O6178" i="10"/>
  <c r="O6179" i="10"/>
  <c r="O6180" i="10"/>
  <c r="O6181" i="10"/>
  <c r="O6182" i="10"/>
  <c r="O6183" i="10"/>
  <c r="O6184" i="10"/>
  <c r="O6185" i="10"/>
  <c r="O6186" i="10"/>
  <c r="O6187" i="10"/>
  <c r="O6188" i="10"/>
  <c r="O6189" i="10"/>
  <c r="O6190" i="10"/>
  <c r="O6191" i="10"/>
  <c r="O6192" i="10"/>
  <c r="O6193" i="10"/>
  <c r="O6194" i="10"/>
  <c r="O6195" i="10"/>
  <c r="O6196" i="10"/>
  <c r="O6197" i="10"/>
  <c r="O6198" i="10"/>
  <c r="O6199" i="10"/>
  <c r="O6200" i="10"/>
  <c r="O6201" i="10"/>
  <c r="O6202" i="10"/>
  <c r="O6203" i="10"/>
  <c r="O6204" i="10"/>
  <c r="O6205" i="10"/>
  <c r="O6206" i="10"/>
  <c r="O6207" i="10"/>
  <c r="O6208" i="10"/>
  <c r="O6209" i="10"/>
  <c r="O6210" i="10"/>
  <c r="O6211" i="10"/>
  <c r="O6212" i="10"/>
  <c r="O6213" i="10"/>
  <c r="O6214" i="10"/>
  <c r="O6215" i="10"/>
  <c r="O6216" i="10"/>
  <c r="O6217" i="10"/>
  <c r="O6218" i="10"/>
  <c r="O6219" i="10"/>
  <c r="O6220" i="10"/>
  <c r="O6221" i="10"/>
  <c r="O6222" i="10"/>
  <c r="O6223" i="10"/>
  <c r="O6224" i="10"/>
  <c r="O6225" i="10"/>
  <c r="O6226" i="10"/>
  <c r="O6227" i="10"/>
  <c r="O6228" i="10"/>
  <c r="O6229" i="10"/>
  <c r="O6230" i="10"/>
  <c r="O6231" i="10"/>
  <c r="O6232" i="10"/>
  <c r="O6233" i="10"/>
  <c r="O6234" i="10"/>
  <c r="O6235" i="10"/>
  <c r="O6236" i="10"/>
  <c r="O6237" i="10"/>
  <c r="O6238" i="10"/>
  <c r="O6239" i="10"/>
  <c r="O6240" i="10"/>
  <c r="O6241" i="10"/>
  <c r="O6242" i="10"/>
  <c r="O6243" i="10"/>
  <c r="O6244" i="10"/>
  <c r="O6245" i="10"/>
  <c r="O6246" i="10"/>
  <c r="O6247" i="10"/>
  <c r="O6248" i="10"/>
  <c r="O6249" i="10"/>
  <c r="O6250" i="10"/>
  <c r="O6251" i="10"/>
  <c r="O6252" i="10"/>
  <c r="O6253" i="10"/>
  <c r="O6254" i="10"/>
  <c r="O6255" i="10"/>
  <c r="O6256" i="10"/>
  <c r="O6257" i="10"/>
  <c r="O6258" i="10"/>
  <c r="O6259" i="10"/>
  <c r="O6260" i="10"/>
  <c r="O6261" i="10"/>
  <c r="O6262" i="10"/>
  <c r="O6263" i="10"/>
  <c r="O6264" i="10"/>
  <c r="O6265" i="10"/>
  <c r="O6266" i="10"/>
  <c r="O6267" i="10"/>
  <c r="O6268" i="10"/>
  <c r="O6269" i="10"/>
  <c r="O6270" i="10"/>
  <c r="O6271" i="10"/>
  <c r="O6272" i="10"/>
  <c r="O6273" i="10"/>
  <c r="O6274" i="10"/>
  <c r="O6275" i="10"/>
  <c r="O6276" i="10"/>
  <c r="O6277" i="10"/>
  <c r="O6278" i="10"/>
  <c r="O6279" i="10"/>
  <c r="O6280" i="10"/>
  <c r="O6281" i="10"/>
  <c r="O6282" i="10"/>
  <c r="O6283" i="10"/>
  <c r="O6284" i="10"/>
  <c r="O6285" i="10"/>
  <c r="O6286" i="10"/>
  <c r="O6287" i="10"/>
  <c r="O6288" i="10"/>
  <c r="O6289" i="10"/>
  <c r="O6290" i="10"/>
  <c r="O6291" i="10"/>
  <c r="O6292" i="10"/>
  <c r="O6293" i="10"/>
  <c r="O6294" i="10"/>
  <c r="O6295" i="10"/>
  <c r="O6296" i="10"/>
  <c r="O6297" i="10"/>
  <c r="O6298" i="10"/>
  <c r="O6299" i="10"/>
  <c r="O6300" i="10"/>
  <c r="O6301" i="10"/>
  <c r="O6302" i="10"/>
  <c r="O6303" i="10"/>
  <c r="O6304" i="10"/>
  <c r="O6305" i="10"/>
  <c r="O6306" i="10"/>
  <c r="O6307" i="10"/>
  <c r="O6308" i="10"/>
  <c r="O6309" i="10"/>
  <c r="O6310" i="10"/>
  <c r="O6311" i="10"/>
  <c r="O6312" i="10"/>
  <c r="O6313" i="10"/>
  <c r="O6314" i="10"/>
  <c r="O6315" i="10"/>
  <c r="O6316" i="10"/>
  <c r="O6317" i="10"/>
  <c r="O6318" i="10"/>
  <c r="O6319" i="10"/>
  <c r="O6320" i="10"/>
  <c r="O6321" i="10"/>
  <c r="O6322" i="10"/>
  <c r="O6323" i="10"/>
  <c r="O6324" i="10"/>
  <c r="O6325" i="10"/>
  <c r="O6326" i="10"/>
  <c r="O6327" i="10"/>
  <c r="O6328" i="10"/>
  <c r="O6329" i="10"/>
  <c r="O6330" i="10"/>
  <c r="O6331" i="10"/>
  <c r="O6332" i="10"/>
  <c r="O6333" i="10"/>
  <c r="O6334" i="10"/>
  <c r="O6335" i="10"/>
  <c r="O6336" i="10"/>
  <c r="O6337" i="10"/>
  <c r="O6338" i="10"/>
  <c r="O6339" i="10"/>
  <c r="O6340" i="10"/>
  <c r="O6341" i="10"/>
  <c r="O6342" i="10"/>
  <c r="O6343" i="10"/>
  <c r="O6344" i="10"/>
  <c r="O6345" i="10"/>
  <c r="O6346" i="10"/>
  <c r="O6347" i="10"/>
  <c r="O6348" i="10"/>
  <c r="O6349" i="10"/>
  <c r="O6350" i="10"/>
  <c r="O6351" i="10"/>
  <c r="O6352" i="10"/>
  <c r="O6353" i="10"/>
  <c r="O6354" i="10"/>
  <c r="O6355" i="10"/>
  <c r="O6356" i="10"/>
  <c r="O6357" i="10"/>
  <c r="O6358" i="10"/>
  <c r="O6359" i="10"/>
  <c r="O6360" i="10"/>
  <c r="O6361" i="10"/>
  <c r="O6362" i="10"/>
  <c r="O6363" i="10"/>
  <c r="O6364" i="10"/>
  <c r="O6365" i="10"/>
  <c r="O6366" i="10"/>
  <c r="O6367" i="10"/>
  <c r="O6368" i="10"/>
  <c r="O6369" i="10"/>
  <c r="O6370" i="10"/>
  <c r="O6371" i="10"/>
  <c r="O6372" i="10"/>
  <c r="O6373" i="10"/>
  <c r="O6374" i="10"/>
  <c r="O6375" i="10"/>
  <c r="O6376" i="10"/>
  <c r="O6377" i="10"/>
  <c r="O6378" i="10"/>
  <c r="O6379" i="10"/>
  <c r="O6380" i="10"/>
  <c r="O6381" i="10"/>
  <c r="O6382" i="10"/>
  <c r="O6383" i="10"/>
  <c r="O6384" i="10"/>
  <c r="O6385" i="10"/>
  <c r="O6386" i="10"/>
  <c r="O6387" i="10"/>
  <c r="O6388" i="10"/>
  <c r="O6389" i="10"/>
  <c r="O6390" i="10"/>
  <c r="O6391" i="10"/>
  <c r="O6392" i="10"/>
  <c r="O6393" i="10"/>
  <c r="O6394" i="10"/>
  <c r="O6395" i="10"/>
  <c r="O6396" i="10"/>
  <c r="O6397" i="10"/>
  <c r="O6398" i="10"/>
  <c r="O6399" i="10"/>
  <c r="O6400" i="10"/>
  <c r="O6401" i="10"/>
  <c r="O6402" i="10"/>
  <c r="O6403" i="10"/>
  <c r="O6404" i="10"/>
  <c r="O6405" i="10"/>
  <c r="O6406" i="10"/>
  <c r="O6407" i="10"/>
  <c r="O6408" i="10"/>
  <c r="O6409" i="10"/>
  <c r="O6410" i="10"/>
  <c r="O6411" i="10"/>
  <c r="O6412" i="10"/>
  <c r="O6413" i="10"/>
  <c r="O6414" i="10"/>
  <c r="O6415" i="10"/>
  <c r="O6416" i="10"/>
  <c r="O6417" i="10"/>
  <c r="O6418" i="10"/>
  <c r="O6419" i="10"/>
  <c r="O6420" i="10"/>
  <c r="O6421" i="10"/>
  <c r="O6422" i="10"/>
  <c r="O6423" i="10"/>
  <c r="O6424" i="10"/>
  <c r="O6425" i="10"/>
  <c r="O6426" i="10"/>
  <c r="O6427" i="10"/>
  <c r="O6428" i="10"/>
  <c r="O6429" i="10"/>
  <c r="O6430" i="10"/>
  <c r="O6431" i="10"/>
  <c r="O6432" i="10"/>
  <c r="O6433" i="10"/>
  <c r="O6434" i="10"/>
  <c r="O6435" i="10"/>
  <c r="O6436" i="10"/>
  <c r="O6437" i="10"/>
  <c r="O6438" i="10"/>
  <c r="O6439" i="10"/>
  <c r="O6440" i="10"/>
  <c r="O6441" i="10"/>
  <c r="O6442" i="10"/>
  <c r="O6443" i="10"/>
  <c r="O6444" i="10"/>
  <c r="O6445" i="10"/>
  <c r="O6446" i="10"/>
  <c r="O6447" i="10"/>
  <c r="O6448" i="10"/>
  <c r="O6449" i="10"/>
  <c r="O6450" i="10"/>
  <c r="O6451" i="10"/>
  <c r="O6452" i="10"/>
  <c r="O6453" i="10"/>
  <c r="O6454" i="10"/>
  <c r="O6455" i="10"/>
  <c r="O6456" i="10"/>
  <c r="O6457" i="10"/>
  <c r="O6458" i="10"/>
  <c r="O6459" i="10"/>
  <c r="O6460" i="10"/>
  <c r="O6461" i="10"/>
  <c r="O6462" i="10"/>
  <c r="O6463" i="10"/>
  <c r="O6464" i="10"/>
  <c r="O6465" i="10"/>
  <c r="O6466" i="10"/>
  <c r="O6467" i="10"/>
  <c r="O6468" i="10"/>
  <c r="O6469" i="10"/>
  <c r="O6470" i="10"/>
  <c r="O6471" i="10"/>
  <c r="O6472" i="10"/>
  <c r="O6473" i="10"/>
  <c r="O6474" i="10"/>
  <c r="O6475" i="10"/>
  <c r="O6476" i="10"/>
  <c r="O6477" i="10"/>
  <c r="O6478" i="10"/>
  <c r="O6479" i="10"/>
  <c r="O6480" i="10"/>
  <c r="O6481" i="10"/>
  <c r="O6482" i="10"/>
  <c r="O6483" i="10"/>
  <c r="O6484" i="10"/>
  <c r="O6485" i="10"/>
  <c r="O6486" i="10"/>
  <c r="O6487" i="10"/>
  <c r="O6488" i="10"/>
  <c r="O6489" i="10"/>
  <c r="O6490" i="10"/>
  <c r="O6491" i="10"/>
  <c r="O6492" i="10"/>
  <c r="O6493" i="10"/>
  <c r="O6494" i="10"/>
  <c r="O6495" i="10"/>
  <c r="O6496" i="10"/>
  <c r="O6497" i="10"/>
  <c r="O6498" i="10"/>
  <c r="O6499" i="10"/>
  <c r="O6500" i="10"/>
  <c r="O6501" i="10"/>
  <c r="O6502" i="10"/>
  <c r="O6503" i="10"/>
  <c r="O6504" i="10"/>
  <c r="O6505" i="10"/>
  <c r="O6506" i="10"/>
  <c r="O6507" i="10"/>
  <c r="O6508" i="10"/>
  <c r="O6509" i="10"/>
  <c r="O6510" i="10"/>
  <c r="O6511" i="10"/>
  <c r="O6512" i="10"/>
  <c r="O6513" i="10"/>
  <c r="O6514" i="10"/>
  <c r="O6515" i="10"/>
  <c r="O6516" i="10"/>
  <c r="O6517" i="10"/>
  <c r="O6518" i="10"/>
  <c r="O6519" i="10"/>
  <c r="O6520" i="10"/>
  <c r="O6521" i="10"/>
  <c r="O6522" i="10"/>
  <c r="O6523" i="10"/>
  <c r="O6524" i="10"/>
  <c r="O6525" i="10"/>
  <c r="O6526" i="10"/>
  <c r="O6527" i="10"/>
  <c r="O6528" i="10"/>
  <c r="O6529" i="10"/>
  <c r="O6530" i="10"/>
  <c r="O6531" i="10"/>
  <c r="O6532" i="10"/>
  <c r="O6533" i="10"/>
  <c r="O6534" i="10"/>
  <c r="O6535" i="10"/>
  <c r="O6536" i="10"/>
  <c r="O6537" i="10"/>
  <c r="O6538" i="10"/>
  <c r="O6539" i="10"/>
  <c r="O6540" i="10"/>
  <c r="O6541" i="10"/>
  <c r="O6542" i="10"/>
  <c r="O6543" i="10"/>
  <c r="O6544" i="10"/>
  <c r="O6545" i="10"/>
  <c r="O6546" i="10"/>
  <c r="O6547" i="10"/>
  <c r="O6548" i="10"/>
  <c r="O6549" i="10"/>
  <c r="O6550" i="10"/>
  <c r="O6551" i="10"/>
  <c r="O6552" i="10"/>
  <c r="O6553" i="10"/>
  <c r="O6554" i="10"/>
  <c r="O6555" i="10"/>
  <c r="O6556" i="10"/>
  <c r="O6557" i="10"/>
  <c r="O6558" i="10"/>
  <c r="O6559" i="10"/>
  <c r="O6560" i="10"/>
  <c r="O6561" i="10"/>
  <c r="O6562" i="10"/>
  <c r="O6563" i="10"/>
  <c r="O6564" i="10"/>
  <c r="O6565" i="10"/>
  <c r="O6566" i="10"/>
  <c r="O6567" i="10"/>
  <c r="O6568" i="10"/>
  <c r="O6569" i="10"/>
  <c r="O6570" i="10"/>
  <c r="O6571" i="10"/>
  <c r="O6572" i="10"/>
  <c r="O6573" i="10"/>
  <c r="O6574" i="10"/>
  <c r="O6575" i="10"/>
  <c r="O6576" i="10"/>
  <c r="O6577" i="10"/>
  <c r="O6578" i="10"/>
  <c r="O6579" i="10"/>
  <c r="O6580" i="10"/>
  <c r="O6581" i="10"/>
  <c r="O6582" i="10"/>
  <c r="O6583" i="10"/>
  <c r="O6584" i="10"/>
  <c r="O6585" i="10"/>
  <c r="O6586" i="10"/>
  <c r="O6587" i="10"/>
  <c r="O6588" i="10"/>
  <c r="O6589" i="10"/>
  <c r="O6590" i="10"/>
  <c r="O6591" i="10"/>
  <c r="O6592" i="10"/>
  <c r="O6593" i="10"/>
  <c r="O6594" i="10"/>
  <c r="O6595" i="10"/>
  <c r="O6596" i="10"/>
  <c r="O6597" i="10"/>
  <c r="O6598" i="10"/>
  <c r="O6599" i="10"/>
  <c r="O6600" i="10"/>
  <c r="O6601" i="10"/>
  <c r="O6602" i="10"/>
  <c r="O6603" i="10"/>
  <c r="O6604" i="10"/>
  <c r="O6605" i="10"/>
  <c r="O6606" i="10"/>
  <c r="O6607" i="10"/>
  <c r="O6608" i="10"/>
  <c r="O6609" i="10"/>
  <c r="O6610" i="10"/>
  <c r="O6611" i="10"/>
  <c r="O6612" i="10"/>
  <c r="O6613" i="10"/>
  <c r="O6614" i="10"/>
  <c r="O6615" i="10"/>
  <c r="O6616" i="10"/>
  <c r="O6617" i="10"/>
  <c r="O6618" i="10"/>
  <c r="O6619" i="10"/>
  <c r="O6620" i="10"/>
  <c r="O6621" i="10"/>
  <c r="O6622" i="10"/>
  <c r="O6623" i="10"/>
  <c r="O6624" i="10"/>
  <c r="O6625" i="10"/>
  <c r="O6626" i="10"/>
  <c r="O6627" i="10"/>
  <c r="O6628" i="10"/>
  <c r="O6629" i="10"/>
  <c r="O6630" i="10"/>
  <c r="O6631" i="10"/>
  <c r="O6632" i="10"/>
  <c r="O6633" i="10"/>
  <c r="O6634" i="10"/>
  <c r="O6635" i="10"/>
  <c r="O6636" i="10"/>
  <c r="O6637" i="10"/>
  <c r="O6638" i="10"/>
  <c r="O6639" i="10"/>
  <c r="O6640" i="10"/>
  <c r="O6641" i="10"/>
  <c r="O6642" i="10"/>
  <c r="O6643" i="10"/>
  <c r="O6644" i="10"/>
  <c r="O6645" i="10"/>
  <c r="O6646" i="10"/>
  <c r="O6647" i="10"/>
  <c r="O6648" i="10"/>
  <c r="O6649" i="10"/>
  <c r="O6650" i="10"/>
  <c r="O6651" i="10"/>
  <c r="O6652" i="10"/>
  <c r="O6653" i="10"/>
  <c r="O6654" i="10"/>
  <c r="O6655" i="10"/>
  <c r="O6656" i="10"/>
  <c r="O6657" i="10"/>
  <c r="O6658" i="10"/>
  <c r="O6659" i="10"/>
  <c r="O6660" i="10"/>
  <c r="O6661" i="10"/>
  <c r="O6662" i="10"/>
  <c r="O6663" i="10"/>
  <c r="O6664" i="10"/>
  <c r="O6665" i="10"/>
  <c r="O6666" i="10"/>
  <c r="O6667" i="10"/>
  <c r="O6668" i="10"/>
  <c r="O6669" i="10"/>
  <c r="O6670" i="10"/>
  <c r="O6671" i="10"/>
  <c r="O6672" i="10"/>
  <c r="O6673" i="10"/>
  <c r="O6674" i="10"/>
  <c r="O6675" i="10"/>
  <c r="O6676" i="10"/>
  <c r="O6677" i="10"/>
  <c r="O6678" i="10"/>
  <c r="O6679" i="10"/>
  <c r="O6680" i="10"/>
  <c r="O6681" i="10"/>
  <c r="O6682" i="10"/>
  <c r="O6683" i="10"/>
  <c r="O6684" i="10"/>
  <c r="O6685" i="10"/>
  <c r="O6686" i="10"/>
  <c r="O6687" i="10"/>
  <c r="O6688" i="10"/>
  <c r="O6689" i="10"/>
  <c r="O6690" i="10"/>
  <c r="O6691" i="10"/>
  <c r="O6692" i="10"/>
  <c r="O6693" i="10"/>
  <c r="O6694" i="10"/>
  <c r="O6695" i="10"/>
  <c r="O6696" i="10"/>
  <c r="O6697" i="10"/>
  <c r="O6698" i="10"/>
  <c r="O6699" i="10"/>
  <c r="O6700" i="10"/>
  <c r="O6701" i="10"/>
  <c r="O6702" i="10"/>
  <c r="O6703" i="10"/>
  <c r="O6704" i="10"/>
  <c r="O6705" i="10"/>
  <c r="O6706" i="10"/>
  <c r="O6707" i="10"/>
  <c r="O6708" i="10"/>
  <c r="O6709" i="10"/>
  <c r="O6710" i="10"/>
  <c r="O6711" i="10"/>
  <c r="O6712" i="10"/>
  <c r="O6713" i="10"/>
  <c r="O6714" i="10"/>
  <c r="O6715" i="10"/>
  <c r="O6716" i="10"/>
  <c r="O6717" i="10"/>
  <c r="O6718" i="10"/>
  <c r="O6719" i="10"/>
  <c r="O6720" i="10"/>
  <c r="O6721" i="10"/>
  <c r="O6722" i="10"/>
  <c r="O6723" i="10"/>
  <c r="O6724" i="10"/>
  <c r="O6725" i="10"/>
  <c r="O6726" i="10"/>
  <c r="O6727" i="10"/>
  <c r="O6728" i="10"/>
  <c r="O6729" i="10"/>
  <c r="O6730" i="10"/>
  <c r="O6731" i="10"/>
  <c r="O6732" i="10"/>
  <c r="O6733" i="10"/>
  <c r="O6734" i="10"/>
  <c r="O6735" i="10"/>
  <c r="O6736" i="10"/>
  <c r="O6737" i="10"/>
  <c r="O6738" i="10"/>
  <c r="O6739" i="10"/>
  <c r="O6740" i="10"/>
  <c r="O6741" i="10"/>
  <c r="O6742" i="10"/>
  <c r="O6743" i="10"/>
  <c r="O6744" i="10"/>
  <c r="O6745" i="10"/>
  <c r="O6746" i="10"/>
  <c r="O6747" i="10"/>
  <c r="O6748" i="10"/>
  <c r="O6749" i="10"/>
  <c r="O6750" i="10"/>
  <c r="O6751" i="10"/>
  <c r="O6752" i="10"/>
  <c r="O6753" i="10"/>
  <c r="O6754" i="10"/>
  <c r="O6755" i="10"/>
  <c r="O6756" i="10"/>
  <c r="O6757" i="10"/>
  <c r="O6758" i="10"/>
  <c r="O6759" i="10"/>
  <c r="O6760" i="10"/>
  <c r="O6761" i="10"/>
  <c r="O6762" i="10"/>
  <c r="O6763" i="10"/>
  <c r="O6764" i="10"/>
  <c r="O6765" i="10"/>
  <c r="O6766" i="10"/>
  <c r="O6767" i="10"/>
  <c r="O6768" i="10"/>
  <c r="O6769" i="10"/>
  <c r="O6770" i="10"/>
  <c r="O6771" i="10"/>
  <c r="O6772" i="10"/>
  <c r="O6773" i="10"/>
  <c r="O6774" i="10"/>
  <c r="O6775" i="10"/>
  <c r="O6776" i="10"/>
  <c r="O6777" i="10"/>
  <c r="O6778" i="10"/>
  <c r="O6779" i="10"/>
  <c r="O6780" i="10"/>
  <c r="O6781" i="10"/>
  <c r="O6782" i="10"/>
  <c r="O6783" i="10"/>
  <c r="O6784" i="10"/>
  <c r="O6785" i="10"/>
  <c r="O6786" i="10"/>
  <c r="O6787" i="10"/>
  <c r="O6788" i="10"/>
  <c r="O6789" i="10"/>
  <c r="O6790" i="10"/>
  <c r="O6791" i="10"/>
  <c r="O6792" i="10"/>
  <c r="O6793" i="10"/>
  <c r="O6794" i="10"/>
  <c r="O6795" i="10"/>
  <c r="O6796" i="10"/>
  <c r="O6797" i="10"/>
  <c r="O6798" i="10"/>
  <c r="O6799" i="10"/>
  <c r="O6800" i="10"/>
  <c r="O6801" i="10"/>
  <c r="O6802" i="10"/>
  <c r="O6803" i="10"/>
  <c r="O6804" i="10"/>
  <c r="O6805" i="10"/>
  <c r="O6806" i="10"/>
  <c r="O6807" i="10"/>
  <c r="O6808" i="10"/>
  <c r="O6809" i="10"/>
  <c r="O6810" i="10"/>
  <c r="O6811" i="10"/>
  <c r="O6812" i="10"/>
  <c r="O6813" i="10"/>
  <c r="O6814" i="10"/>
  <c r="O6815" i="10"/>
  <c r="O6816" i="10"/>
  <c r="O6817" i="10"/>
  <c r="O6818" i="10"/>
  <c r="O6819" i="10"/>
  <c r="O6820" i="10"/>
  <c r="O6821" i="10"/>
  <c r="O6822" i="10"/>
  <c r="O6823" i="10"/>
  <c r="O6824" i="10"/>
  <c r="O6825" i="10"/>
  <c r="O6826" i="10"/>
  <c r="O6827" i="10"/>
  <c r="O6828" i="10"/>
  <c r="O6829" i="10"/>
  <c r="O6830" i="10"/>
  <c r="O6831" i="10"/>
  <c r="O6832" i="10"/>
  <c r="O6833" i="10"/>
  <c r="O6834" i="10"/>
  <c r="O6835" i="10"/>
  <c r="O6836" i="10"/>
  <c r="O6837" i="10"/>
  <c r="O6838" i="10"/>
  <c r="O6839" i="10"/>
  <c r="O6840" i="10"/>
  <c r="O6841" i="10"/>
  <c r="O6842" i="10"/>
  <c r="O6843" i="10"/>
  <c r="O6844" i="10"/>
  <c r="O6845" i="10"/>
  <c r="O6846" i="10"/>
  <c r="O6847" i="10"/>
  <c r="O6848" i="10"/>
  <c r="O6849" i="10"/>
  <c r="O6850" i="10"/>
  <c r="O6851" i="10"/>
  <c r="O6852" i="10"/>
  <c r="O6853" i="10"/>
  <c r="O6854" i="10"/>
  <c r="O6855" i="10"/>
  <c r="O6856" i="10"/>
  <c r="O6857" i="10"/>
  <c r="O6858" i="10"/>
  <c r="O6859" i="10"/>
  <c r="O6860" i="10"/>
  <c r="O6861" i="10"/>
  <c r="O6862" i="10"/>
  <c r="O6863" i="10"/>
  <c r="O6864" i="10"/>
  <c r="O6865" i="10"/>
  <c r="O6866" i="10"/>
  <c r="O6867" i="10"/>
  <c r="O6868" i="10"/>
  <c r="O6869" i="10"/>
  <c r="O6870" i="10"/>
  <c r="O6871" i="10"/>
  <c r="O6872" i="10"/>
  <c r="O6873" i="10"/>
  <c r="O6874" i="10"/>
  <c r="O6875" i="10"/>
  <c r="O6876" i="10"/>
  <c r="O6877" i="10"/>
  <c r="O6878" i="10"/>
  <c r="O6879" i="10"/>
  <c r="O6880" i="10"/>
  <c r="O6881" i="10"/>
  <c r="O6882" i="10"/>
  <c r="O6883" i="10"/>
  <c r="O6884" i="10"/>
  <c r="O6885" i="10"/>
  <c r="O6886" i="10"/>
  <c r="O6887" i="10"/>
  <c r="O6888" i="10"/>
  <c r="O6889" i="10"/>
  <c r="O6890" i="10"/>
  <c r="O6891" i="10"/>
  <c r="O6892" i="10"/>
  <c r="O6893" i="10"/>
  <c r="O6894" i="10"/>
  <c r="O6895" i="10"/>
  <c r="O6896" i="10"/>
  <c r="O6897" i="10"/>
  <c r="O6898" i="10"/>
  <c r="O6899" i="10"/>
  <c r="O6900" i="10"/>
  <c r="O6901" i="10"/>
  <c r="O6902" i="10"/>
  <c r="O6903" i="10"/>
  <c r="O6904" i="10"/>
  <c r="O6905" i="10"/>
  <c r="O6906" i="10"/>
  <c r="O6907" i="10"/>
  <c r="O6908" i="10"/>
  <c r="O6909" i="10"/>
  <c r="O6910" i="10"/>
  <c r="O6911" i="10"/>
  <c r="O6912" i="10"/>
  <c r="O6913" i="10"/>
  <c r="O6914" i="10"/>
  <c r="O6915" i="10"/>
  <c r="O6916" i="10"/>
  <c r="O6917" i="10"/>
  <c r="O6918" i="10"/>
  <c r="O6919" i="10"/>
  <c r="O6920" i="10"/>
  <c r="O6921" i="10"/>
  <c r="O6922" i="10"/>
  <c r="O6923" i="10"/>
  <c r="O6924" i="10"/>
  <c r="O6925" i="10"/>
  <c r="O6926" i="10"/>
  <c r="O6927" i="10"/>
  <c r="O6928" i="10"/>
  <c r="O6929" i="10"/>
  <c r="O6930" i="10"/>
  <c r="O6931" i="10"/>
  <c r="O6932" i="10"/>
  <c r="O6933" i="10"/>
  <c r="O6934" i="10"/>
  <c r="O6935" i="10"/>
  <c r="O6936" i="10"/>
  <c r="O6937" i="10"/>
  <c r="O6938" i="10"/>
  <c r="O6939" i="10"/>
  <c r="O6940" i="10"/>
  <c r="O6941" i="10"/>
  <c r="O6942" i="10"/>
  <c r="O6943" i="10"/>
  <c r="O6944" i="10"/>
  <c r="O6945" i="10"/>
  <c r="O6946" i="10"/>
  <c r="O6947" i="10"/>
  <c r="O6948" i="10"/>
  <c r="O6949" i="10"/>
  <c r="O6950" i="10"/>
  <c r="O6951" i="10"/>
  <c r="O6952" i="10"/>
  <c r="O6953" i="10"/>
  <c r="O6954" i="10"/>
  <c r="O6955" i="10"/>
  <c r="O6956" i="10"/>
  <c r="O6957" i="10"/>
  <c r="O6958" i="10"/>
  <c r="O6959" i="10"/>
  <c r="O6960" i="10"/>
  <c r="O6961" i="10"/>
  <c r="O6962" i="10"/>
  <c r="O6963" i="10"/>
  <c r="O6964" i="10"/>
  <c r="O6965" i="10"/>
  <c r="O6966" i="10"/>
  <c r="O6967" i="10"/>
  <c r="O6968" i="10"/>
  <c r="O6969" i="10"/>
  <c r="O6970" i="10"/>
  <c r="O6971" i="10"/>
  <c r="O6972" i="10"/>
  <c r="O6973" i="10"/>
  <c r="O6974" i="10"/>
  <c r="O6975" i="10"/>
  <c r="O6976" i="10"/>
  <c r="O6977" i="10"/>
  <c r="O6978" i="10"/>
  <c r="O6979" i="10"/>
  <c r="O6980" i="10"/>
  <c r="O6981" i="10"/>
  <c r="O6982" i="10"/>
  <c r="O6983" i="10"/>
  <c r="O6984" i="10"/>
  <c r="O6985" i="10"/>
  <c r="O6986" i="10"/>
  <c r="O6987" i="10"/>
  <c r="O6988" i="10"/>
  <c r="O6989" i="10"/>
  <c r="O6990" i="10"/>
  <c r="O6991" i="10"/>
  <c r="O6992" i="10"/>
  <c r="O6993" i="10"/>
  <c r="O6994" i="10"/>
  <c r="O6995" i="10"/>
  <c r="O6996" i="10"/>
  <c r="O6997" i="10"/>
  <c r="O6998" i="10"/>
  <c r="O6999" i="10"/>
  <c r="O7000" i="10"/>
  <c r="O7001" i="10"/>
  <c r="O7002" i="10"/>
  <c r="O7003" i="10"/>
  <c r="O7004" i="10"/>
  <c r="O7005" i="10"/>
  <c r="O7006" i="10"/>
  <c r="O7007" i="10"/>
  <c r="O7008" i="10"/>
  <c r="O7009" i="10"/>
  <c r="O7010" i="10"/>
  <c r="O7011" i="10"/>
  <c r="O7012" i="10"/>
  <c r="O7013" i="10"/>
  <c r="O7014" i="10"/>
  <c r="O7015" i="10"/>
  <c r="O7016" i="10"/>
  <c r="O7017" i="10"/>
  <c r="O7018" i="10"/>
  <c r="O7019" i="10"/>
  <c r="O7020" i="10"/>
  <c r="O7021" i="10"/>
  <c r="O7022" i="10"/>
  <c r="O7023" i="10"/>
  <c r="O7024" i="10"/>
  <c r="O7025" i="10"/>
  <c r="O7026" i="10"/>
  <c r="O7027" i="10"/>
  <c r="O7028" i="10"/>
  <c r="O7029" i="10"/>
  <c r="O7030" i="10"/>
  <c r="O7031" i="10"/>
  <c r="O7032" i="10"/>
  <c r="O7033" i="10"/>
  <c r="O7034" i="10"/>
  <c r="O7035" i="10"/>
  <c r="O7036" i="10"/>
  <c r="O7037" i="10"/>
  <c r="O7038" i="10"/>
  <c r="O7039" i="10"/>
  <c r="O7040" i="10"/>
  <c r="O7041" i="10"/>
  <c r="O7042" i="10"/>
  <c r="O7043" i="10"/>
  <c r="O7044" i="10"/>
  <c r="O7045" i="10"/>
  <c r="O7046" i="10"/>
  <c r="O7047" i="10"/>
  <c r="O7048" i="10"/>
  <c r="O7049" i="10"/>
  <c r="O7050" i="10"/>
  <c r="O7051" i="10"/>
  <c r="O7052" i="10"/>
  <c r="O7053" i="10"/>
  <c r="O7054" i="10"/>
  <c r="O7055" i="10"/>
  <c r="O7056" i="10"/>
  <c r="O7057" i="10"/>
  <c r="O7058" i="10"/>
  <c r="O7059" i="10"/>
  <c r="O7060" i="10"/>
  <c r="O7061" i="10"/>
  <c r="O7062" i="10"/>
  <c r="O7063" i="10"/>
  <c r="O7064" i="10"/>
  <c r="O7065" i="10"/>
  <c r="O7066" i="10"/>
  <c r="O7067" i="10"/>
  <c r="O7068" i="10"/>
  <c r="O7069" i="10"/>
  <c r="O7070" i="10"/>
  <c r="O7071" i="10"/>
  <c r="O7072" i="10"/>
  <c r="O7073" i="10"/>
  <c r="O7074" i="10"/>
  <c r="O7075" i="10"/>
  <c r="O7076" i="10"/>
  <c r="O7077" i="10"/>
  <c r="O7078" i="10"/>
  <c r="O7079" i="10"/>
  <c r="O7080" i="10"/>
  <c r="O7081" i="10"/>
  <c r="O7082" i="10"/>
  <c r="O7083" i="10"/>
  <c r="O7084" i="10"/>
  <c r="O7085" i="10"/>
  <c r="O7086" i="10"/>
  <c r="O7087" i="10"/>
  <c r="O7088" i="10"/>
  <c r="O7089" i="10"/>
  <c r="O7090" i="10"/>
  <c r="O7091" i="10"/>
  <c r="O7092" i="10"/>
  <c r="O7093" i="10"/>
  <c r="O7094" i="10"/>
  <c r="O7095" i="10"/>
  <c r="O7096" i="10"/>
  <c r="O7097" i="10"/>
  <c r="O7098" i="10"/>
  <c r="O7099" i="10"/>
  <c r="O7100" i="10"/>
  <c r="O7101" i="10"/>
  <c r="O7102" i="10"/>
  <c r="O7103" i="10"/>
  <c r="O7104" i="10"/>
  <c r="O7105" i="10"/>
  <c r="O7106" i="10"/>
  <c r="O7107" i="10"/>
  <c r="O7108" i="10"/>
  <c r="O7109" i="10"/>
  <c r="O7110" i="10"/>
  <c r="O7111" i="10"/>
  <c r="O7112" i="10"/>
  <c r="O7113" i="10"/>
  <c r="O7114" i="10"/>
  <c r="O7115" i="10"/>
  <c r="O7116" i="10"/>
  <c r="O7117" i="10"/>
  <c r="O7118" i="10"/>
  <c r="O7119" i="10"/>
  <c r="O7120" i="10"/>
  <c r="O7121" i="10"/>
  <c r="O7122" i="10"/>
  <c r="O7123" i="10"/>
  <c r="O7124" i="10"/>
  <c r="O7125" i="10"/>
  <c r="O7126" i="10"/>
  <c r="O7127" i="10"/>
  <c r="O7128" i="10"/>
  <c r="O7129" i="10"/>
  <c r="O7130" i="10"/>
  <c r="O7131" i="10"/>
  <c r="O7132" i="10"/>
  <c r="O7133" i="10"/>
  <c r="O7134" i="10"/>
  <c r="O7135" i="10"/>
  <c r="O7136" i="10"/>
  <c r="O7137" i="10"/>
  <c r="O7138" i="10"/>
  <c r="O7139" i="10"/>
  <c r="O7140" i="10"/>
  <c r="O7141" i="10"/>
  <c r="O7142" i="10"/>
  <c r="O7143" i="10"/>
  <c r="O7144" i="10"/>
  <c r="O7145" i="10"/>
  <c r="O7146" i="10"/>
  <c r="O7147" i="10"/>
  <c r="O7148" i="10"/>
  <c r="O7149" i="10"/>
  <c r="O7150" i="10"/>
  <c r="O7151" i="10"/>
  <c r="O7152" i="10"/>
  <c r="O7153" i="10"/>
  <c r="O7154" i="10"/>
  <c r="O7155" i="10"/>
  <c r="O7156" i="10"/>
  <c r="O7157" i="10"/>
  <c r="O7158" i="10"/>
  <c r="O7159" i="10"/>
  <c r="O7160" i="10"/>
  <c r="O7161" i="10"/>
  <c r="O7162" i="10"/>
  <c r="O7163" i="10"/>
  <c r="O7164" i="10"/>
  <c r="O7165" i="10"/>
  <c r="O7166" i="10"/>
  <c r="O7167" i="10"/>
  <c r="O7168" i="10"/>
  <c r="O7169" i="10"/>
  <c r="O7170" i="10"/>
  <c r="O7171" i="10"/>
  <c r="O7172" i="10"/>
  <c r="O7173" i="10"/>
  <c r="O7174" i="10"/>
  <c r="O7175" i="10"/>
  <c r="O7176" i="10"/>
  <c r="O7177" i="10"/>
  <c r="O7178" i="10"/>
  <c r="O7179" i="10"/>
  <c r="O7180" i="10"/>
  <c r="O7181" i="10"/>
  <c r="O7182" i="10"/>
  <c r="O7183" i="10"/>
  <c r="O7184" i="10"/>
  <c r="O7185" i="10"/>
  <c r="O7186" i="10"/>
  <c r="O7187" i="10"/>
  <c r="O7188" i="10"/>
  <c r="O7189" i="10"/>
  <c r="O7190" i="10"/>
  <c r="O7191" i="10"/>
  <c r="O7192" i="10"/>
  <c r="O7193" i="10"/>
  <c r="O7194" i="10"/>
  <c r="O7195" i="10"/>
  <c r="O7196" i="10"/>
  <c r="O7197" i="10"/>
  <c r="O7198" i="10"/>
  <c r="O7199" i="10"/>
  <c r="O7200" i="10"/>
  <c r="O7201" i="10"/>
  <c r="O7202" i="10"/>
  <c r="O7203" i="10"/>
  <c r="O7204" i="10"/>
  <c r="O7205" i="10"/>
  <c r="O7206" i="10"/>
  <c r="O7207" i="10"/>
  <c r="O7208" i="10"/>
  <c r="O7209" i="10"/>
  <c r="O7210" i="10"/>
  <c r="O7211" i="10"/>
  <c r="O7212" i="10"/>
  <c r="O7213" i="10"/>
  <c r="O7214" i="10"/>
  <c r="O7215" i="10"/>
  <c r="O7216" i="10"/>
  <c r="O7217" i="10"/>
  <c r="O7218" i="10"/>
  <c r="O7219" i="10"/>
  <c r="O7220" i="10"/>
  <c r="O7221" i="10"/>
  <c r="O7222" i="10"/>
  <c r="O7223" i="10"/>
  <c r="O7224" i="10"/>
  <c r="O7225" i="10"/>
  <c r="O7226" i="10"/>
  <c r="O7227" i="10"/>
  <c r="O7228" i="10"/>
  <c r="O7229" i="10"/>
  <c r="O7230" i="10"/>
  <c r="O7231" i="10"/>
  <c r="O7232" i="10"/>
  <c r="O7233" i="10"/>
  <c r="O7234" i="10"/>
  <c r="O7235" i="10"/>
  <c r="O7236" i="10"/>
  <c r="O7237" i="10"/>
  <c r="O7238" i="10"/>
  <c r="O7239" i="10"/>
  <c r="O7240" i="10"/>
  <c r="O7241" i="10"/>
  <c r="O7242" i="10"/>
  <c r="O7243" i="10"/>
  <c r="O7244" i="10"/>
  <c r="O7245" i="10"/>
  <c r="O7246" i="10"/>
  <c r="O7247" i="10"/>
  <c r="O7248" i="10"/>
  <c r="O7249" i="10"/>
  <c r="O7250" i="10"/>
  <c r="O7251" i="10"/>
  <c r="O7252" i="10"/>
  <c r="O7253" i="10"/>
  <c r="O7254" i="10"/>
  <c r="O7255" i="10"/>
  <c r="O7256" i="10"/>
  <c r="O7257" i="10"/>
  <c r="O7258" i="10"/>
  <c r="O7259" i="10"/>
  <c r="O7260" i="10"/>
  <c r="O7261" i="10"/>
  <c r="O7262" i="10"/>
  <c r="O7263" i="10"/>
  <c r="O7264" i="10"/>
  <c r="O7265" i="10"/>
  <c r="O7266" i="10"/>
  <c r="O7267" i="10"/>
  <c r="O7268" i="10"/>
  <c r="O7269" i="10"/>
  <c r="O7270" i="10"/>
  <c r="O7271" i="10"/>
  <c r="O7272" i="10"/>
  <c r="O7273" i="10"/>
  <c r="O7274" i="10"/>
  <c r="O7275" i="10"/>
  <c r="O7276" i="10"/>
  <c r="O7277" i="10"/>
  <c r="O7278" i="10"/>
  <c r="O7279" i="10"/>
  <c r="O7280" i="10"/>
  <c r="O7281" i="10"/>
  <c r="O7282" i="10"/>
  <c r="O7283" i="10"/>
  <c r="O7284" i="10"/>
  <c r="O7285" i="10"/>
  <c r="O7286" i="10"/>
  <c r="O7287" i="10"/>
  <c r="O7288" i="10"/>
  <c r="O7289" i="10"/>
  <c r="O7290" i="10"/>
  <c r="O7291" i="10"/>
  <c r="O7292" i="10"/>
  <c r="O7293" i="10"/>
  <c r="O7294" i="10"/>
  <c r="O7295" i="10"/>
  <c r="O7296" i="10"/>
  <c r="O7297" i="10"/>
  <c r="O7298" i="10"/>
  <c r="O7299" i="10"/>
  <c r="O7300" i="10"/>
  <c r="O7301" i="10"/>
  <c r="O7302" i="10"/>
  <c r="O7303" i="10"/>
  <c r="O7304" i="10"/>
  <c r="O7305" i="10"/>
  <c r="O7306" i="10"/>
  <c r="O7307" i="10"/>
  <c r="O7308" i="10"/>
  <c r="O7309" i="10"/>
  <c r="O7310" i="10"/>
  <c r="O7311" i="10"/>
  <c r="O7312" i="10"/>
  <c r="O7313" i="10"/>
  <c r="O7314" i="10"/>
  <c r="O7315" i="10"/>
  <c r="O7316" i="10"/>
  <c r="O7317" i="10"/>
  <c r="O7318" i="10"/>
  <c r="O7319" i="10"/>
  <c r="O7320" i="10"/>
  <c r="O7321" i="10"/>
  <c r="O7322" i="10"/>
  <c r="O7323" i="10"/>
  <c r="O7324" i="10"/>
  <c r="O7325" i="10"/>
  <c r="O7326" i="10"/>
  <c r="O7327" i="10"/>
  <c r="O7328" i="10"/>
  <c r="O7329" i="10"/>
  <c r="O7330" i="10"/>
  <c r="O7331" i="10"/>
  <c r="O7332" i="10"/>
  <c r="O7333" i="10"/>
  <c r="O7334" i="10"/>
  <c r="O7335" i="10"/>
  <c r="O7336" i="10"/>
  <c r="O7337" i="10"/>
  <c r="O7338" i="10"/>
  <c r="O7339" i="10"/>
  <c r="O7340" i="10"/>
  <c r="O7341" i="10"/>
  <c r="O7342" i="10"/>
  <c r="O7343" i="10"/>
  <c r="O7344" i="10"/>
  <c r="O7345" i="10"/>
  <c r="O7346" i="10"/>
  <c r="O7347" i="10"/>
  <c r="O7348" i="10"/>
  <c r="O7349" i="10"/>
  <c r="O7350" i="10"/>
  <c r="O7351" i="10"/>
  <c r="O7352" i="10"/>
  <c r="O7353" i="10"/>
  <c r="O7354" i="10"/>
  <c r="O7355" i="10"/>
  <c r="O7356" i="10"/>
  <c r="O7357" i="10"/>
  <c r="O7358" i="10"/>
  <c r="O7359" i="10"/>
  <c r="O7360" i="10"/>
  <c r="O7361" i="10"/>
  <c r="O7362" i="10"/>
  <c r="O7363" i="10"/>
  <c r="O7364" i="10"/>
  <c r="O7365" i="10"/>
  <c r="O7366" i="10"/>
  <c r="O7367" i="10"/>
  <c r="O7368" i="10"/>
  <c r="O7369" i="10"/>
  <c r="O7370" i="10"/>
  <c r="O7371" i="10"/>
  <c r="O7372" i="10"/>
  <c r="O7373" i="10"/>
  <c r="O7374" i="10"/>
  <c r="O7375" i="10"/>
  <c r="O7376" i="10"/>
  <c r="O7377" i="10"/>
  <c r="O7378" i="10"/>
  <c r="O7379" i="10"/>
  <c r="O7380" i="10"/>
  <c r="O7381" i="10"/>
  <c r="O7382" i="10"/>
  <c r="O7383" i="10"/>
  <c r="O7384" i="10"/>
  <c r="O7385" i="10"/>
  <c r="O7386" i="10"/>
  <c r="O7387" i="10"/>
  <c r="O7388" i="10"/>
  <c r="O7389" i="10"/>
  <c r="O7390" i="10"/>
  <c r="O7391" i="10"/>
  <c r="O7392" i="10"/>
  <c r="O7393" i="10"/>
  <c r="O7394" i="10"/>
  <c r="O7395" i="10"/>
  <c r="O7396" i="10"/>
  <c r="O7397" i="10"/>
  <c r="O7398" i="10"/>
  <c r="O7399" i="10"/>
  <c r="O7400" i="10"/>
  <c r="O7401" i="10"/>
  <c r="O7402" i="10"/>
  <c r="O7403" i="10"/>
  <c r="O7404" i="10"/>
  <c r="O7405" i="10"/>
  <c r="O7406" i="10"/>
  <c r="O7407" i="10"/>
  <c r="O7408" i="10"/>
  <c r="O7409" i="10"/>
  <c r="O7410" i="10"/>
  <c r="O7411" i="10"/>
  <c r="O7412" i="10"/>
  <c r="O7413" i="10"/>
  <c r="O7414" i="10"/>
  <c r="O7415" i="10"/>
  <c r="O7416" i="10"/>
  <c r="O7417" i="10"/>
  <c r="O7418" i="10"/>
  <c r="O7419" i="10"/>
  <c r="O7420" i="10"/>
  <c r="O7421" i="10"/>
  <c r="O7422" i="10"/>
  <c r="O7423" i="10"/>
  <c r="O7424" i="10"/>
  <c r="O7425" i="10"/>
  <c r="O7426" i="10"/>
  <c r="O7427" i="10"/>
  <c r="O7428" i="10"/>
  <c r="O7429" i="10"/>
  <c r="O7430" i="10"/>
  <c r="O7431" i="10"/>
  <c r="O7432" i="10"/>
  <c r="O7433" i="10"/>
  <c r="O7434" i="10"/>
  <c r="O7435" i="10"/>
  <c r="O7436" i="10"/>
  <c r="O7437" i="10"/>
  <c r="O7438" i="10"/>
  <c r="O7439" i="10"/>
  <c r="O7440" i="10"/>
  <c r="O7441" i="10"/>
  <c r="O7442" i="10"/>
  <c r="O7443" i="10"/>
  <c r="O7444" i="10"/>
  <c r="O7445" i="10"/>
  <c r="O7446" i="10"/>
  <c r="O7447" i="10"/>
  <c r="O7448" i="10"/>
  <c r="O7449" i="10"/>
  <c r="O7450" i="10"/>
  <c r="O7451" i="10"/>
  <c r="O7452" i="10"/>
  <c r="O7453" i="10"/>
  <c r="O7454" i="10"/>
  <c r="O7455" i="10"/>
  <c r="O7456" i="10"/>
  <c r="O7457" i="10"/>
  <c r="O7458" i="10"/>
  <c r="O7459" i="10"/>
  <c r="O7460" i="10"/>
  <c r="O7461" i="10"/>
  <c r="O7462" i="10"/>
  <c r="O7463" i="10"/>
  <c r="O7464" i="10"/>
  <c r="O7465" i="10"/>
  <c r="O7466" i="10"/>
  <c r="O7467" i="10"/>
  <c r="O7468" i="10"/>
  <c r="O7469" i="10"/>
  <c r="O7470" i="10"/>
  <c r="O7471" i="10"/>
  <c r="O7472" i="10"/>
  <c r="O7473" i="10"/>
  <c r="O7474" i="10"/>
  <c r="O7475" i="10"/>
  <c r="O7476" i="10"/>
  <c r="O7477" i="10"/>
  <c r="O7478" i="10"/>
  <c r="O7479" i="10"/>
  <c r="O7480" i="10"/>
  <c r="O7481" i="10"/>
  <c r="O7482" i="10"/>
  <c r="O7483" i="10"/>
  <c r="O7484" i="10"/>
  <c r="O7485" i="10"/>
  <c r="O7486" i="10"/>
  <c r="O7487" i="10"/>
  <c r="O7488" i="10"/>
  <c r="O7489" i="10"/>
  <c r="O7490" i="10"/>
  <c r="O7491" i="10"/>
  <c r="O7492" i="10"/>
  <c r="O7493" i="10"/>
  <c r="O7494" i="10"/>
  <c r="O7495" i="10"/>
  <c r="O7496" i="10"/>
  <c r="O7497" i="10"/>
  <c r="O7498" i="10"/>
  <c r="O7499" i="10"/>
  <c r="O7500" i="10"/>
  <c r="O7501" i="10"/>
  <c r="O7502" i="10"/>
  <c r="O7503" i="10"/>
  <c r="O7504" i="10"/>
  <c r="O7505" i="10"/>
  <c r="O7506" i="10"/>
  <c r="O7507" i="10"/>
  <c r="O7508" i="10"/>
  <c r="O7509" i="10"/>
  <c r="O7510" i="10"/>
  <c r="O7511" i="10"/>
  <c r="O7512" i="10"/>
  <c r="O7513" i="10"/>
  <c r="O7514" i="10"/>
  <c r="O7515" i="10"/>
  <c r="O7516" i="10"/>
  <c r="O7517" i="10"/>
  <c r="O7518" i="10"/>
  <c r="O7519" i="10"/>
  <c r="O7520" i="10"/>
  <c r="O7521" i="10"/>
  <c r="O7522" i="10"/>
  <c r="O7523" i="10"/>
  <c r="O7524" i="10"/>
  <c r="O7525" i="10"/>
  <c r="O7526" i="10"/>
  <c r="O7527" i="10"/>
  <c r="O7528" i="10"/>
  <c r="O7529" i="10"/>
  <c r="O7530" i="10"/>
  <c r="O7531" i="10"/>
  <c r="O7532" i="10"/>
  <c r="O7533" i="10"/>
  <c r="O7534" i="10"/>
  <c r="O7535" i="10"/>
  <c r="O7536" i="10"/>
  <c r="O7537" i="10"/>
  <c r="O7538" i="10"/>
  <c r="O7539" i="10"/>
  <c r="O7540" i="10"/>
  <c r="O7541" i="10"/>
  <c r="O7542" i="10"/>
  <c r="O7543" i="10"/>
  <c r="O7544" i="10"/>
  <c r="O7545" i="10"/>
  <c r="O7546" i="10"/>
  <c r="O7547" i="10"/>
  <c r="O7548" i="10"/>
  <c r="O7549" i="10"/>
  <c r="O7550" i="10"/>
  <c r="O7551" i="10"/>
  <c r="O7552" i="10"/>
  <c r="O7553" i="10"/>
  <c r="O7554" i="10"/>
  <c r="O7555" i="10"/>
  <c r="O7556" i="10"/>
  <c r="O7557" i="10"/>
  <c r="O7558" i="10"/>
  <c r="O7559" i="10"/>
  <c r="O7560" i="10"/>
  <c r="O7561" i="10"/>
  <c r="O7562" i="10"/>
  <c r="O7563" i="10"/>
  <c r="O7564" i="10"/>
  <c r="O7565" i="10"/>
  <c r="O7566" i="10"/>
  <c r="O7567" i="10"/>
  <c r="O7568" i="10"/>
  <c r="O7569" i="10"/>
  <c r="O7570" i="10"/>
  <c r="O7571" i="10"/>
  <c r="O7572" i="10"/>
  <c r="O7573" i="10"/>
  <c r="O7574" i="10"/>
  <c r="O7575" i="10"/>
  <c r="O7576" i="10"/>
  <c r="O7577" i="10"/>
  <c r="O7578" i="10"/>
  <c r="O7579" i="10"/>
  <c r="O7580" i="10"/>
  <c r="O7581" i="10"/>
  <c r="O7582" i="10"/>
  <c r="O7583" i="10"/>
  <c r="O7584" i="10"/>
  <c r="O7585" i="10"/>
  <c r="O7586" i="10"/>
  <c r="O7587" i="10"/>
  <c r="O7588" i="10"/>
  <c r="O7589" i="10"/>
  <c r="O7590" i="10"/>
  <c r="O7591" i="10"/>
  <c r="O7592" i="10"/>
  <c r="O7593" i="10"/>
  <c r="O7594" i="10"/>
  <c r="O7595" i="10"/>
  <c r="O7596" i="10"/>
  <c r="O7597" i="10"/>
  <c r="O7598" i="10"/>
  <c r="O7599" i="10"/>
  <c r="O7600" i="10"/>
  <c r="O7601" i="10"/>
  <c r="O7602" i="10"/>
  <c r="O7603" i="10"/>
  <c r="O7604" i="10"/>
  <c r="O7605" i="10"/>
  <c r="O7606" i="10"/>
  <c r="O7607" i="10"/>
  <c r="O7608" i="10"/>
  <c r="O7609" i="10"/>
  <c r="O7610" i="10"/>
  <c r="O7611" i="10"/>
  <c r="O7612" i="10"/>
  <c r="O7613" i="10"/>
  <c r="O7614" i="10"/>
  <c r="O7615" i="10"/>
  <c r="O7616" i="10"/>
  <c r="O7617" i="10"/>
  <c r="O7618" i="10"/>
  <c r="O7619" i="10"/>
  <c r="O7620" i="10"/>
  <c r="O7621" i="10"/>
  <c r="O7622" i="10"/>
  <c r="O7623" i="10"/>
  <c r="O7624" i="10"/>
  <c r="O7625" i="10"/>
  <c r="O7626" i="10"/>
  <c r="O7627" i="10"/>
  <c r="O7628" i="10"/>
  <c r="O7629" i="10"/>
  <c r="O7630" i="10"/>
  <c r="O7631" i="10"/>
  <c r="O7632" i="10"/>
  <c r="O7633" i="10"/>
  <c r="O7634" i="10"/>
  <c r="O7635" i="10"/>
  <c r="O7636" i="10"/>
  <c r="O7637" i="10"/>
  <c r="O7638" i="10"/>
  <c r="O7639" i="10"/>
  <c r="O7640" i="10"/>
  <c r="O7641" i="10"/>
  <c r="O7642" i="10"/>
  <c r="O7643" i="10"/>
  <c r="O7644" i="10"/>
  <c r="O7645" i="10"/>
  <c r="O7646" i="10"/>
  <c r="O7647" i="10"/>
  <c r="O7648" i="10"/>
  <c r="O7649" i="10"/>
  <c r="O7650" i="10"/>
  <c r="O7651" i="10"/>
  <c r="O7652" i="10"/>
  <c r="O7653" i="10"/>
  <c r="O7654" i="10"/>
  <c r="O7655" i="10"/>
  <c r="O7656" i="10"/>
  <c r="O7657" i="10"/>
  <c r="O7658" i="10"/>
  <c r="O7659" i="10"/>
  <c r="O7660" i="10"/>
  <c r="O7661" i="10"/>
  <c r="O7662" i="10"/>
  <c r="O7663" i="10"/>
  <c r="O7664" i="10"/>
  <c r="O7665" i="10"/>
  <c r="O7666" i="10"/>
  <c r="O7667" i="10"/>
  <c r="O7668" i="10"/>
  <c r="O7669" i="10"/>
  <c r="O7670" i="10"/>
  <c r="O7671" i="10"/>
  <c r="O7672" i="10"/>
  <c r="O7673" i="10"/>
  <c r="O7674" i="10"/>
  <c r="O7675" i="10"/>
  <c r="O7676" i="10"/>
  <c r="O7677" i="10"/>
  <c r="O7678" i="10"/>
  <c r="O7679" i="10"/>
  <c r="O7680" i="10"/>
  <c r="O7681" i="10"/>
  <c r="O7682" i="10"/>
  <c r="O7683" i="10"/>
  <c r="O7684" i="10"/>
  <c r="O7685" i="10"/>
  <c r="O7686" i="10"/>
  <c r="O7687" i="10"/>
  <c r="O7688" i="10"/>
  <c r="O7689" i="10"/>
  <c r="O7690" i="10"/>
  <c r="O7691" i="10"/>
  <c r="O7692" i="10"/>
  <c r="O7693" i="10"/>
  <c r="O7694" i="10"/>
  <c r="O7695" i="10"/>
  <c r="O7696" i="10"/>
  <c r="O7697" i="10"/>
  <c r="O7698" i="10"/>
  <c r="O7699" i="10"/>
  <c r="O7700" i="10"/>
  <c r="O7701" i="10"/>
  <c r="O7702" i="10"/>
  <c r="O7703" i="10"/>
  <c r="O7704" i="10"/>
  <c r="O7705" i="10"/>
  <c r="O7706" i="10"/>
  <c r="O7707" i="10"/>
  <c r="O7708" i="10"/>
  <c r="O7709" i="10"/>
  <c r="O7710" i="10"/>
  <c r="O7711" i="10"/>
  <c r="O7712" i="10"/>
  <c r="O7713" i="10"/>
  <c r="O7714" i="10"/>
  <c r="O7715" i="10"/>
  <c r="O7716" i="10"/>
  <c r="O7717" i="10"/>
  <c r="O7718" i="10"/>
  <c r="O7719" i="10"/>
  <c r="O7720" i="10"/>
  <c r="O7721" i="10"/>
  <c r="O7722" i="10"/>
  <c r="O7723" i="10"/>
  <c r="O7724" i="10"/>
  <c r="O7725" i="10"/>
  <c r="O7726" i="10"/>
  <c r="O7727" i="10"/>
  <c r="O7728" i="10"/>
  <c r="O7729" i="10"/>
  <c r="O7730" i="10"/>
  <c r="O7731" i="10"/>
  <c r="O7732" i="10"/>
  <c r="O7733" i="10"/>
  <c r="O7734" i="10"/>
  <c r="O7735" i="10"/>
  <c r="O7736" i="10"/>
  <c r="O7737" i="10"/>
  <c r="O7738" i="10"/>
  <c r="O7739" i="10"/>
  <c r="O7740" i="10"/>
  <c r="O7741" i="10"/>
  <c r="O7742" i="10"/>
  <c r="O7743" i="10"/>
  <c r="O7744" i="10"/>
  <c r="O7745" i="10"/>
  <c r="O7746" i="10"/>
  <c r="O7747" i="10"/>
  <c r="O7748" i="10"/>
  <c r="O7749" i="10"/>
  <c r="O7750" i="10"/>
  <c r="O7751" i="10"/>
  <c r="O7752" i="10"/>
  <c r="O7753" i="10"/>
  <c r="O7754" i="10"/>
  <c r="O7755" i="10"/>
  <c r="O7756" i="10"/>
  <c r="O7757" i="10"/>
  <c r="O7758" i="10"/>
  <c r="O7759" i="10"/>
  <c r="O7760" i="10"/>
  <c r="O7761" i="10"/>
  <c r="O7762" i="10"/>
  <c r="O7763" i="10"/>
  <c r="O7764" i="10"/>
  <c r="O7765" i="10"/>
  <c r="O7766" i="10"/>
  <c r="O7767" i="10"/>
  <c r="O7768" i="10"/>
  <c r="O7769" i="10"/>
  <c r="O7770" i="10"/>
  <c r="O7771" i="10"/>
  <c r="O7772" i="10"/>
  <c r="O7773" i="10"/>
  <c r="O7774" i="10"/>
  <c r="O7775" i="10"/>
  <c r="O7776" i="10"/>
  <c r="O7777" i="10"/>
  <c r="O7778" i="10"/>
  <c r="O7779" i="10"/>
  <c r="O7780" i="10"/>
  <c r="O7781" i="10"/>
  <c r="O7782" i="10"/>
  <c r="O7783" i="10"/>
  <c r="O7784" i="10"/>
  <c r="O7785" i="10"/>
  <c r="O7786" i="10"/>
  <c r="O7787" i="10"/>
  <c r="O7788" i="10"/>
  <c r="O7789" i="10"/>
  <c r="O7790" i="10"/>
  <c r="O7791" i="10"/>
  <c r="O7792" i="10"/>
  <c r="O7793" i="10"/>
  <c r="O7794" i="10"/>
  <c r="O7795" i="10"/>
  <c r="O7796" i="10"/>
  <c r="O7797" i="10"/>
  <c r="O7798" i="10"/>
  <c r="O7799" i="10"/>
  <c r="O7800" i="10"/>
  <c r="O7801" i="10"/>
  <c r="O7802" i="10"/>
  <c r="O7803" i="10"/>
  <c r="O7804" i="10"/>
  <c r="O7805" i="10"/>
  <c r="O7806" i="10"/>
  <c r="O7807" i="10"/>
  <c r="O7808" i="10"/>
  <c r="O7809" i="10"/>
  <c r="O7810" i="10"/>
  <c r="O7811" i="10"/>
  <c r="O7812" i="10"/>
  <c r="O7813" i="10"/>
  <c r="O7814" i="10"/>
  <c r="O7815" i="10"/>
  <c r="O7816" i="10"/>
  <c r="O7817" i="10"/>
  <c r="O7818" i="10"/>
  <c r="O7819" i="10"/>
  <c r="O7820" i="10"/>
  <c r="O7821" i="10"/>
  <c r="O7822" i="10"/>
  <c r="O7823" i="10"/>
  <c r="O7824" i="10"/>
  <c r="O7825" i="10"/>
  <c r="O7826" i="10"/>
  <c r="O7827" i="10"/>
  <c r="O7828" i="10"/>
  <c r="O7829" i="10"/>
  <c r="O7830" i="10"/>
  <c r="O7831" i="10"/>
  <c r="O7832" i="10"/>
  <c r="O7833" i="10"/>
  <c r="O7834" i="10"/>
  <c r="O7835" i="10"/>
  <c r="O7836" i="10"/>
  <c r="O7837" i="10"/>
  <c r="O7838" i="10"/>
  <c r="O7839" i="10"/>
  <c r="O7840" i="10"/>
  <c r="O7841" i="10"/>
  <c r="O7842" i="10"/>
  <c r="O7843" i="10"/>
  <c r="O7844" i="10"/>
  <c r="O7845" i="10"/>
  <c r="O7846" i="10"/>
  <c r="O7847" i="10"/>
  <c r="O7848" i="10"/>
  <c r="O7849" i="10"/>
  <c r="O7850" i="10"/>
  <c r="O7851" i="10"/>
  <c r="O7852" i="10"/>
  <c r="O7853" i="10"/>
  <c r="O7854" i="10"/>
  <c r="O7855" i="10"/>
  <c r="O7856" i="10"/>
  <c r="O7857" i="10"/>
  <c r="O7858" i="10"/>
  <c r="O7859" i="10"/>
  <c r="O7860" i="10"/>
  <c r="O7861" i="10"/>
  <c r="O7862" i="10"/>
  <c r="O7863" i="10"/>
  <c r="O7864" i="10"/>
  <c r="O7865" i="10"/>
  <c r="O7866" i="10"/>
  <c r="O7867" i="10"/>
  <c r="O7868" i="10"/>
  <c r="O7869" i="10"/>
  <c r="O7870" i="10"/>
  <c r="O7871" i="10"/>
  <c r="O7872" i="10"/>
  <c r="O7873" i="10"/>
  <c r="O7874" i="10"/>
  <c r="O7875" i="10"/>
  <c r="O7876" i="10"/>
  <c r="O7877" i="10"/>
  <c r="O7878" i="10"/>
  <c r="O7879" i="10"/>
  <c r="O7880" i="10"/>
  <c r="O7881" i="10"/>
  <c r="O7882" i="10"/>
  <c r="O7883" i="10"/>
  <c r="O7884" i="10"/>
  <c r="O7885" i="10"/>
  <c r="O7886" i="10"/>
  <c r="O7887" i="10"/>
  <c r="O7888" i="10"/>
  <c r="O7889" i="10"/>
  <c r="O7890" i="10"/>
  <c r="O7891" i="10"/>
  <c r="O7892" i="10"/>
  <c r="O7893" i="10"/>
  <c r="O7894" i="10"/>
  <c r="O7895" i="10"/>
  <c r="O7896" i="10"/>
  <c r="O7897" i="10"/>
  <c r="O7898" i="10"/>
  <c r="O7899" i="10"/>
  <c r="O7900" i="10"/>
  <c r="O7901" i="10"/>
  <c r="O7902" i="10"/>
  <c r="O7903" i="10"/>
  <c r="O7904" i="10"/>
  <c r="O7905" i="10"/>
  <c r="O7906" i="10"/>
  <c r="O7907" i="10"/>
  <c r="O7908" i="10"/>
  <c r="O7909" i="10"/>
  <c r="O7910" i="10"/>
  <c r="O7911" i="10"/>
  <c r="O7912" i="10"/>
  <c r="O7913" i="10"/>
  <c r="O7914" i="10"/>
  <c r="O7915" i="10"/>
  <c r="O7916" i="10"/>
  <c r="O7917" i="10"/>
  <c r="O7918" i="10"/>
  <c r="O7919" i="10"/>
  <c r="O7920" i="10"/>
  <c r="O7921" i="10"/>
  <c r="O7922" i="10"/>
  <c r="O7923" i="10"/>
  <c r="O7924" i="10"/>
  <c r="O7925" i="10"/>
  <c r="O7926" i="10"/>
  <c r="O7927" i="10"/>
  <c r="O7928" i="10"/>
  <c r="O7929" i="10"/>
  <c r="O7930" i="10"/>
  <c r="O7931" i="10"/>
  <c r="O7932" i="10"/>
  <c r="O7933" i="10"/>
  <c r="O7934" i="10"/>
  <c r="O7935" i="10"/>
  <c r="O7936" i="10"/>
  <c r="O7937" i="10"/>
  <c r="O7938" i="10"/>
  <c r="O7939" i="10"/>
  <c r="O7940" i="10"/>
  <c r="O7941" i="10"/>
  <c r="O7942" i="10"/>
  <c r="O7943" i="10"/>
  <c r="O7944" i="10"/>
  <c r="O7945" i="10"/>
  <c r="O7946" i="10"/>
  <c r="O7947" i="10"/>
  <c r="O7948" i="10"/>
  <c r="O7949" i="10"/>
  <c r="O7950" i="10"/>
  <c r="O7951" i="10"/>
  <c r="O7952" i="10"/>
  <c r="O7953" i="10"/>
  <c r="O7954" i="10"/>
  <c r="O7955" i="10"/>
  <c r="O7956" i="10"/>
  <c r="O7957" i="10"/>
  <c r="O7958" i="10"/>
  <c r="O7959" i="10"/>
  <c r="O7960" i="10"/>
  <c r="O7961" i="10"/>
  <c r="O7962" i="10"/>
  <c r="O7963" i="10"/>
  <c r="O7964" i="10"/>
  <c r="O7965" i="10"/>
  <c r="O7966" i="10"/>
  <c r="O7967" i="10"/>
  <c r="O7968" i="10"/>
  <c r="O7969" i="10"/>
  <c r="O7970" i="10"/>
  <c r="O7971" i="10"/>
  <c r="O7972" i="10"/>
  <c r="O7973" i="10"/>
  <c r="O7974" i="10"/>
  <c r="O7975" i="10"/>
  <c r="O7976" i="10"/>
  <c r="O7977" i="10"/>
  <c r="O7978" i="10"/>
  <c r="O7979" i="10"/>
  <c r="O7980" i="10"/>
  <c r="O7981" i="10"/>
  <c r="O7982" i="10"/>
  <c r="O7983" i="10"/>
  <c r="O7984" i="10"/>
  <c r="O7985" i="10"/>
  <c r="O7986" i="10"/>
  <c r="O7987" i="10"/>
  <c r="O7988" i="10"/>
  <c r="O7989" i="10"/>
  <c r="O7990" i="10"/>
  <c r="O7991" i="10"/>
  <c r="O7992" i="10"/>
  <c r="O7993" i="10"/>
  <c r="O7994" i="10"/>
  <c r="O7995" i="10"/>
  <c r="O7996" i="10"/>
  <c r="O7997" i="10"/>
  <c r="O7998" i="10"/>
  <c r="O7999" i="10"/>
  <c r="O8000" i="10"/>
  <c r="O8001" i="10"/>
  <c r="O8002" i="10"/>
  <c r="O8003" i="10"/>
  <c r="O8004" i="10"/>
  <c r="O8005" i="10"/>
  <c r="O8006" i="10"/>
  <c r="O8007" i="10"/>
  <c r="O8008" i="10"/>
  <c r="O8009" i="10"/>
  <c r="O8010" i="10"/>
  <c r="O8011" i="10"/>
  <c r="O8012" i="10"/>
  <c r="O8013" i="10"/>
  <c r="O8014" i="10"/>
  <c r="O8015" i="10"/>
  <c r="O8016" i="10"/>
  <c r="O8017" i="10"/>
  <c r="O8018" i="10"/>
  <c r="O8019" i="10"/>
  <c r="O8020" i="10"/>
  <c r="O8021" i="10"/>
  <c r="O8022" i="10"/>
  <c r="O8023" i="10"/>
  <c r="O8024" i="10"/>
  <c r="O8025" i="10"/>
  <c r="O8026" i="10"/>
  <c r="O8027" i="10"/>
  <c r="O8028" i="10"/>
  <c r="O8029" i="10"/>
  <c r="O8030" i="10"/>
  <c r="O8031" i="10"/>
  <c r="O8032" i="10"/>
  <c r="O8033" i="10"/>
  <c r="O8034" i="10"/>
  <c r="O8035" i="10"/>
  <c r="O8036" i="10"/>
  <c r="O8037" i="10"/>
  <c r="O8038" i="10"/>
  <c r="O8039" i="10"/>
  <c r="O8040" i="10"/>
  <c r="O8041" i="10"/>
  <c r="O8042" i="10"/>
  <c r="O8043" i="10"/>
  <c r="O8044" i="10"/>
  <c r="O8045" i="10"/>
  <c r="O8046" i="10"/>
  <c r="O8047" i="10"/>
  <c r="O8048" i="10"/>
  <c r="O8049" i="10"/>
  <c r="O8050" i="10"/>
  <c r="O8051" i="10"/>
  <c r="O8052" i="10"/>
  <c r="O8053" i="10"/>
  <c r="O8054" i="10"/>
  <c r="O8055" i="10"/>
  <c r="O8056" i="10"/>
  <c r="O8057" i="10"/>
  <c r="O8058" i="10"/>
  <c r="O8059" i="10"/>
  <c r="O8060" i="10"/>
  <c r="O8061" i="10"/>
  <c r="O8062" i="10"/>
  <c r="O8063" i="10"/>
  <c r="O8064" i="10"/>
  <c r="O8065" i="10"/>
  <c r="O8066" i="10"/>
  <c r="O8067" i="10"/>
  <c r="O8068" i="10"/>
  <c r="O8069" i="10"/>
  <c r="O8070" i="10"/>
  <c r="O8071" i="10"/>
  <c r="O8072" i="10"/>
  <c r="O8073" i="10"/>
  <c r="O8074" i="10"/>
  <c r="O8075" i="10"/>
  <c r="O8076" i="10"/>
  <c r="O8077" i="10"/>
  <c r="O8078" i="10"/>
  <c r="O8079" i="10"/>
  <c r="O8080" i="10"/>
  <c r="O8081" i="10"/>
  <c r="O8082" i="10"/>
  <c r="O8083" i="10"/>
  <c r="O8084" i="10"/>
  <c r="O8085" i="10"/>
  <c r="O8086" i="10"/>
  <c r="O8087" i="10"/>
  <c r="O8088" i="10"/>
  <c r="O8089" i="10"/>
  <c r="O8090" i="10"/>
  <c r="O8091" i="10"/>
  <c r="O8092" i="10"/>
  <c r="O8093" i="10"/>
  <c r="O8094" i="10"/>
  <c r="O8095" i="10"/>
  <c r="O8096" i="10"/>
  <c r="O8097" i="10"/>
  <c r="O8098" i="10"/>
  <c r="O8099" i="10"/>
  <c r="O8100" i="10"/>
  <c r="O8101" i="10"/>
  <c r="O8102" i="10"/>
  <c r="O8103" i="10"/>
  <c r="O8104" i="10"/>
  <c r="O8105" i="10"/>
  <c r="O8106" i="10"/>
  <c r="O8107" i="10"/>
  <c r="O8108" i="10"/>
  <c r="O8109" i="10"/>
  <c r="O8110" i="10"/>
  <c r="O8111" i="10"/>
  <c r="O8112" i="10"/>
  <c r="O8113" i="10"/>
  <c r="O8114" i="10"/>
  <c r="O8115" i="10"/>
  <c r="O8116" i="10"/>
  <c r="O8117" i="10"/>
  <c r="O8118" i="10"/>
  <c r="O8119" i="10"/>
  <c r="O8120" i="10"/>
  <c r="O8121" i="10"/>
  <c r="O8122" i="10"/>
  <c r="O8123" i="10"/>
  <c r="O8124" i="10"/>
  <c r="O8125" i="10"/>
  <c r="O8126" i="10"/>
  <c r="O8127" i="10"/>
  <c r="O8128" i="10"/>
  <c r="O8129" i="10"/>
  <c r="O8130" i="10"/>
  <c r="O8131" i="10"/>
  <c r="O8132" i="10"/>
  <c r="O8133" i="10"/>
  <c r="O8134" i="10"/>
  <c r="O8135" i="10"/>
  <c r="O8136" i="10"/>
  <c r="O8137" i="10"/>
  <c r="O8138" i="10"/>
  <c r="O8139" i="10"/>
  <c r="O8140" i="10"/>
  <c r="O8141" i="10"/>
  <c r="O8142" i="10"/>
  <c r="O8143" i="10"/>
  <c r="O8144" i="10"/>
  <c r="O8145" i="10"/>
  <c r="O8146" i="10"/>
  <c r="O8147" i="10"/>
  <c r="O8148" i="10"/>
  <c r="O8149" i="10"/>
  <c r="O8150" i="10"/>
  <c r="O8151" i="10"/>
  <c r="O8152" i="10"/>
  <c r="O8153" i="10"/>
  <c r="O8154" i="10"/>
  <c r="O8155" i="10"/>
  <c r="O8156" i="10"/>
  <c r="O8157" i="10"/>
  <c r="O8158" i="10"/>
  <c r="O8159" i="10"/>
  <c r="O8160" i="10"/>
  <c r="O8161" i="10"/>
  <c r="O8162" i="10"/>
  <c r="O8163" i="10"/>
  <c r="O8164" i="10"/>
  <c r="O8165" i="10"/>
  <c r="O8166" i="10"/>
  <c r="O8167" i="10"/>
  <c r="O8168" i="10"/>
  <c r="O8169" i="10"/>
  <c r="O8170" i="10"/>
  <c r="O8171" i="10"/>
  <c r="O8172" i="10"/>
  <c r="O8173" i="10"/>
  <c r="O8174" i="10"/>
  <c r="O8175" i="10"/>
  <c r="O8176" i="10"/>
  <c r="O8177" i="10"/>
  <c r="O8178" i="10"/>
  <c r="O8179" i="10"/>
  <c r="O8180" i="10"/>
  <c r="O8181" i="10"/>
  <c r="O8182" i="10"/>
  <c r="O8183" i="10"/>
  <c r="O8184" i="10"/>
  <c r="O8185" i="10"/>
  <c r="O8186" i="10"/>
  <c r="O8187" i="10"/>
  <c r="O8188" i="10"/>
  <c r="O8189" i="10"/>
  <c r="O8190" i="10"/>
  <c r="O8191" i="10"/>
  <c r="O8192" i="10"/>
  <c r="O8193" i="10"/>
  <c r="O8194" i="10"/>
  <c r="O8195" i="10"/>
  <c r="O8196" i="10"/>
  <c r="O8197" i="10"/>
  <c r="O8198" i="10"/>
  <c r="O8199" i="10"/>
  <c r="O8200" i="10"/>
  <c r="O8201" i="10"/>
  <c r="O8202" i="10"/>
  <c r="O8203" i="10"/>
  <c r="O8204" i="10"/>
  <c r="O8205" i="10"/>
  <c r="O8206" i="10"/>
  <c r="O8207" i="10"/>
  <c r="O8208" i="10"/>
  <c r="O8209" i="10"/>
  <c r="O8210" i="10"/>
  <c r="O8211" i="10"/>
  <c r="O8212" i="10"/>
  <c r="O8213" i="10"/>
  <c r="O8214" i="10"/>
  <c r="O8215" i="10"/>
  <c r="O8216" i="10"/>
  <c r="O8217" i="10"/>
  <c r="O8218" i="10"/>
  <c r="O8219" i="10"/>
  <c r="O8220" i="10"/>
  <c r="O8221" i="10"/>
  <c r="O8222" i="10"/>
  <c r="O8223" i="10"/>
  <c r="O8224" i="10"/>
  <c r="O8225" i="10"/>
  <c r="O8226" i="10"/>
  <c r="O8227" i="10"/>
  <c r="O8228" i="10"/>
  <c r="O8229" i="10"/>
  <c r="O8230" i="10"/>
  <c r="O8231" i="10"/>
  <c r="O8232" i="10"/>
  <c r="O8233" i="10"/>
  <c r="O8234" i="10"/>
  <c r="O8235" i="10"/>
  <c r="O8236" i="10"/>
  <c r="O8237" i="10"/>
  <c r="O8238" i="10"/>
  <c r="O8239" i="10"/>
  <c r="O8240" i="10"/>
  <c r="O8241" i="10"/>
  <c r="O8242" i="10"/>
  <c r="O8243" i="10"/>
  <c r="O8244" i="10"/>
  <c r="O8245" i="10"/>
  <c r="O8246" i="10"/>
  <c r="O8247" i="10"/>
  <c r="O8248" i="10"/>
  <c r="O8249" i="10"/>
  <c r="O8250" i="10"/>
  <c r="O8251" i="10"/>
  <c r="O8252" i="10"/>
  <c r="O8253" i="10"/>
  <c r="O8254" i="10"/>
  <c r="O8255" i="10"/>
  <c r="O8256" i="10"/>
  <c r="O8257" i="10"/>
  <c r="O8258" i="10"/>
  <c r="O8259" i="10"/>
  <c r="O8260" i="10"/>
  <c r="O8261" i="10"/>
  <c r="O8262" i="10"/>
  <c r="O8263" i="10"/>
  <c r="O8264" i="10"/>
  <c r="O8265" i="10"/>
  <c r="O8266" i="10"/>
  <c r="O8267" i="10"/>
  <c r="O8268" i="10"/>
  <c r="O8269" i="10"/>
  <c r="O8270" i="10"/>
  <c r="O8271" i="10"/>
  <c r="O8272" i="10"/>
  <c r="O8273" i="10"/>
  <c r="O8274" i="10"/>
  <c r="O8275" i="10"/>
  <c r="O8276" i="10"/>
  <c r="O8277" i="10"/>
  <c r="O8278" i="10"/>
  <c r="O8279" i="10"/>
  <c r="O8280" i="10"/>
  <c r="O8281" i="10"/>
  <c r="O8282" i="10"/>
  <c r="O8283" i="10"/>
  <c r="O8284" i="10"/>
  <c r="O8285" i="10"/>
  <c r="O8286" i="10"/>
  <c r="O8287" i="10"/>
  <c r="O8288" i="10"/>
  <c r="O8289" i="10"/>
  <c r="O8290" i="10"/>
  <c r="O8291" i="10"/>
  <c r="O8292" i="10"/>
  <c r="O8293" i="10"/>
  <c r="O8294" i="10"/>
  <c r="O8295" i="10"/>
  <c r="O8296" i="10"/>
  <c r="O8297" i="10"/>
  <c r="O8298" i="10"/>
  <c r="O8299" i="10"/>
  <c r="O8300" i="10"/>
  <c r="O8301" i="10"/>
  <c r="O8302" i="10"/>
  <c r="O8303" i="10"/>
  <c r="O8304" i="10"/>
  <c r="O8305" i="10"/>
  <c r="O8306" i="10"/>
  <c r="O8307" i="10"/>
  <c r="O8308" i="10"/>
  <c r="O8309" i="10"/>
  <c r="O8310" i="10"/>
  <c r="O8311" i="10"/>
  <c r="O8312" i="10"/>
  <c r="O8313" i="10"/>
  <c r="O8314" i="10"/>
  <c r="O8315" i="10"/>
  <c r="O8316" i="10"/>
  <c r="O8317" i="10"/>
  <c r="O8318" i="10"/>
  <c r="O8319" i="10"/>
  <c r="O8320" i="10"/>
  <c r="O8321" i="10"/>
  <c r="O8322" i="10"/>
  <c r="O8323" i="10"/>
  <c r="O8324" i="10"/>
  <c r="O8325" i="10"/>
  <c r="O8326" i="10"/>
  <c r="O8327" i="10"/>
  <c r="O8328" i="10"/>
  <c r="O8329" i="10"/>
  <c r="O8330" i="10"/>
  <c r="O8331" i="10"/>
  <c r="O8332" i="10"/>
  <c r="O8333" i="10"/>
  <c r="O8334" i="10"/>
  <c r="O8335" i="10"/>
  <c r="O8336" i="10"/>
  <c r="O8337" i="10"/>
  <c r="O8338" i="10"/>
  <c r="O8339" i="10"/>
  <c r="O8340" i="10"/>
  <c r="O8341" i="10"/>
  <c r="O8342" i="10"/>
  <c r="O8343" i="10"/>
  <c r="O8344" i="10"/>
  <c r="O8345" i="10"/>
  <c r="O8346" i="10"/>
  <c r="O8347" i="10"/>
  <c r="O8348" i="10"/>
  <c r="O8349" i="10"/>
  <c r="O8350" i="10"/>
  <c r="O8351" i="10"/>
  <c r="O8352" i="10"/>
  <c r="O8353" i="10"/>
  <c r="O8354" i="10"/>
  <c r="O8355" i="10"/>
  <c r="O8356" i="10"/>
  <c r="O8357" i="10"/>
  <c r="O8358" i="10"/>
  <c r="O8359" i="10"/>
  <c r="O8360" i="10"/>
  <c r="O8361" i="10"/>
  <c r="O8362" i="10"/>
  <c r="O8363" i="10"/>
  <c r="O8364" i="10"/>
  <c r="O8365" i="10"/>
  <c r="O8366" i="10"/>
  <c r="O8367" i="10"/>
  <c r="O8368" i="10"/>
  <c r="O8369" i="10"/>
  <c r="O8370" i="10"/>
  <c r="O8371" i="10"/>
  <c r="O8372" i="10"/>
  <c r="O8373" i="10"/>
  <c r="O8374" i="10"/>
  <c r="O8375" i="10"/>
  <c r="O8376" i="10"/>
  <c r="O8377" i="10"/>
  <c r="O8378" i="10"/>
  <c r="O8379" i="10"/>
  <c r="O8380" i="10"/>
  <c r="O8381" i="10"/>
  <c r="O8382" i="10"/>
  <c r="O8383" i="10"/>
  <c r="O8384" i="10"/>
  <c r="O8385" i="10"/>
  <c r="O8386" i="10"/>
  <c r="O8387" i="10"/>
  <c r="O8388" i="10"/>
  <c r="O8389" i="10"/>
  <c r="O8390" i="10"/>
  <c r="O8391" i="10"/>
  <c r="O8392" i="10"/>
  <c r="O8393" i="10"/>
  <c r="O8394" i="10"/>
  <c r="O8395" i="10"/>
  <c r="O8396" i="10"/>
  <c r="O8397" i="10"/>
  <c r="O8398" i="10"/>
  <c r="O8399" i="10"/>
  <c r="O8400" i="10"/>
  <c r="O8401" i="10"/>
  <c r="O8402" i="10"/>
  <c r="O8403" i="10"/>
  <c r="O8404" i="10"/>
  <c r="O8405" i="10"/>
  <c r="O8406" i="10"/>
  <c r="O8407" i="10"/>
  <c r="O8408" i="10"/>
  <c r="O8409" i="10"/>
  <c r="O8410" i="10"/>
  <c r="O8411" i="10"/>
  <c r="O8412" i="10"/>
  <c r="O8413" i="10"/>
  <c r="O8414" i="10"/>
  <c r="O8415" i="10"/>
  <c r="O8416" i="10"/>
  <c r="O8417" i="10"/>
  <c r="O8418" i="10"/>
  <c r="O8419" i="10"/>
  <c r="O8420" i="10"/>
  <c r="O8421" i="10"/>
  <c r="O8422" i="10"/>
  <c r="O8423" i="10"/>
  <c r="O8424" i="10"/>
  <c r="O8425" i="10"/>
  <c r="O8426" i="10"/>
  <c r="O8427" i="10"/>
  <c r="O8428" i="10"/>
  <c r="O8429" i="10"/>
  <c r="O8430" i="10"/>
  <c r="O8431" i="10"/>
  <c r="O8432" i="10"/>
  <c r="O8433" i="10"/>
  <c r="O8434" i="10"/>
  <c r="O8435" i="10"/>
  <c r="O8436" i="10"/>
  <c r="O8437" i="10"/>
  <c r="O8438" i="10"/>
  <c r="O8439" i="10"/>
  <c r="O8440" i="10"/>
  <c r="O8441" i="10"/>
  <c r="O8442" i="10"/>
  <c r="O8443" i="10"/>
  <c r="O8444" i="10"/>
  <c r="O8445" i="10"/>
  <c r="O8446" i="10"/>
  <c r="O8447" i="10"/>
  <c r="O8448" i="10"/>
  <c r="O8449" i="10"/>
  <c r="O8450" i="10"/>
  <c r="O8451" i="10"/>
  <c r="O8452" i="10"/>
  <c r="O8453" i="10"/>
  <c r="O8454" i="10"/>
  <c r="O8455" i="10"/>
  <c r="O8456" i="10"/>
  <c r="O8457" i="10"/>
  <c r="O8458" i="10"/>
  <c r="O8459" i="10"/>
  <c r="O8460" i="10"/>
  <c r="O8461" i="10"/>
  <c r="O8462" i="10"/>
  <c r="O8463" i="10"/>
  <c r="O8464" i="10"/>
  <c r="O8465" i="10"/>
  <c r="O8466" i="10"/>
  <c r="O8467" i="10"/>
  <c r="O8468" i="10"/>
  <c r="O8469" i="10"/>
  <c r="O8470" i="10"/>
  <c r="O8471" i="10"/>
  <c r="O8472" i="10"/>
  <c r="O8473" i="10"/>
  <c r="O8474" i="10"/>
  <c r="O8475" i="10"/>
  <c r="O8476" i="10"/>
  <c r="O8477" i="10"/>
  <c r="O8478" i="10"/>
  <c r="O8479" i="10"/>
  <c r="O8480" i="10"/>
  <c r="O8481" i="10"/>
  <c r="O8482" i="10"/>
  <c r="O8483" i="10"/>
  <c r="O8484" i="10"/>
  <c r="O8485" i="10"/>
  <c r="O8486" i="10"/>
  <c r="O8487" i="10"/>
  <c r="O8488" i="10"/>
  <c r="O8489" i="10"/>
  <c r="O8490" i="10"/>
  <c r="O8491" i="10"/>
  <c r="O8492" i="10"/>
  <c r="O8493" i="10"/>
  <c r="O8494" i="10"/>
  <c r="O8495" i="10"/>
  <c r="O8496" i="10"/>
  <c r="O8497" i="10"/>
  <c r="O8498" i="10"/>
  <c r="O8499" i="10"/>
  <c r="O8500" i="10"/>
  <c r="O8501" i="10"/>
  <c r="O8502" i="10"/>
  <c r="O8503" i="10"/>
  <c r="O8504" i="10"/>
  <c r="O8505" i="10"/>
  <c r="O8506" i="10"/>
  <c r="O8507" i="10"/>
  <c r="O8508" i="10"/>
  <c r="O8509" i="10"/>
  <c r="O8510" i="10"/>
  <c r="O8511" i="10"/>
  <c r="O8512" i="10"/>
  <c r="O8513" i="10"/>
  <c r="O8514" i="10"/>
  <c r="O8515" i="10"/>
  <c r="O8516" i="10"/>
  <c r="O8517" i="10"/>
  <c r="O8518" i="10"/>
  <c r="O8519" i="10"/>
  <c r="O8520" i="10"/>
  <c r="O8521" i="10"/>
  <c r="O8522" i="10"/>
  <c r="O8523" i="10"/>
  <c r="O8524" i="10"/>
  <c r="O8525" i="10"/>
  <c r="O8526" i="10"/>
  <c r="O8527" i="10"/>
  <c r="O8528" i="10"/>
  <c r="O8529" i="10"/>
  <c r="O8530" i="10"/>
  <c r="O8531" i="10"/>
  <c r="O8532" i="10"/>
  <c r="O8533" i="10"/>
  <c r="O8534" i="10"/>
  <c r="O8535" i="10"/>
  <c r="O8536" i="10"/>
  <c r="O8537" i="10"/>
  <c r="O8538" i="10"/>
  <c r="O8539" i="10"/>
  <c r="O8540" i="10"/>
  <c r="O8541" i="10"/>
  <c r="O8542" i="10"/>
  <c r="O8543" i="10"/>
  <c r="O8544" i="10"/>
  <c r="O8545" i="10"/>
  <c r="O8546" i="10"/>
  <c r="O8547" i="10"/>
  <c r="O8548" i="10"/>
  <c r="O8549" i="10"/>
  <c r="O8550" i="10"/>
  <c r="O8551" i="10"/>
  <c r="O8552" i="10"/>
  <c r="O8553" i="10"/>
  <c r="O8554" i="10"/>
  <c r="O8555" i="10"/>
  <c r="O8556" i="10"/>
  <c r="O8557" i="10"/>
  <c r="O8558" i="10"/>
  <c r="O8559" i="10"/>
  <c r="O8560" i="10"/>
  <c r="O8561" i="10"/>
  <c r="O8562" i="10"/>
  <c r="O8563" i="10"/>
  <c r="O8564" i="10"/>
  <c r="O8565" i="10"/>
  <c r="O8566" i="10"/>
  <c r="O8567" i="10"/>
  <c r="O8568" i="10"/>
  <c r="O8569" i="10"/>
  <c r="O8570" i="10"/>
  <c r="O8571" i="10"/>
  <c r="O8572" i="10"/>
  <c r="O8573" i="10"/>
  <c r="O8574" i="10"/>
  <c r="O8575" i="10"/>
  <c r="O8576" i="10"/>
  <c r="O8577" i="10"/>
  <c r="O8578" i="10"/>
  <c r="O8579" i="10"/>
  <c r="O8580" i="10"/>
  <c r="O8581" i="10"/>
  <c r="O8582" i="10"/>
  <c r="O8583" i="10"/>
  <c r="O8584" i="10"/>
  <c r="O8585" i="10"/>
  <c r="O8586" i="10"/>
  <c r="O8587" i="10"/>
  <c r="O8588" i="10"/>
  <c r="O8589" i="10"/>
  <c r="O8590" i="10"/>
  <c r="O8591" i="10"/>
  <c r="O8592" i="10"/>
  <c r="O8593" i="10"/>
  <c r="O8594" i="10"/>
  <c r="O8595" i="10"/>
  <c r="O8596" i="10"/>
  <c r="O8597" i="10"/>
  <c r="O8598" i="10"/>
  <c r="O8599" i="10"/>
  <c r="O8600" i="10"/>
  <c r="O8601" i="10"/>
  <c r="O8602" i="10"/>
  <c r="O8603" i="10"/>
  <c r="O8604" i="10"/>
  <c r="O8605" i="10"/>
  <c r="O8606" i="10"/>
  <c r="O8607" i="10"/>
  <c r="O8608" i="10"/>
  <c r="O8609" i="10"/>
  <c r="O8610" i="10"/>
  <c r="O8611" i="10"/>
  <c r="O8612" i="10"/>
  <c r="O8613" i="10"/>
  <c r="O8614" i="10"/>
  <c r="O8615" i="10"/>
  <c r="O8616" i="10"/>
  <c r="O8617" i="10"/>
  <c r="O8618" i="10"/>
  <c r="O8619" i="10"/>
  <c r="O8620" i="10"/>
  <c r="O8621" i="10"/>
  <c r="O8622" i="10"/>
  <c r="O8623" i="10"/>
  <c r="O8624" i="10"/>
  <c r="O8625" i="10"/>
  <c r="O8626" i="10"/>
  <c r="O8627" i="10"/>
  <c r="O8628" i="10"/>
  <c r="O8629" i="10"/>
  <c r="O8630" i="10"/>
  <c r="O8631" i="10"/>
  <c r="O8632" i="10"/>
  <c r="O8633" i="10"/>
  <c r="O8634" i="10"/>
  <c r="O8635" i="10"/>
  <c r="O8636" i="10"/>
  <c r="O8637" i="10"/>
  <c r="O8638" i="10"/>
  <c r="O8639" i="10"/>
  <c r="O8640" i="10"/>
  <c r="O8641" i="10"/>
  <c r="O8642" i="10"/>
  <c r="O8643" i="10"/>
  <c r="O8644" i="10"/>
  <c r="O8645" i="10"/>
  <c r="O8646" i="10"/>
  <c r="O8647" i="10"/>
  <c r="O8648" i="10"/>
  <c r="O8649" i="10"/>
  <c r="O8650" i="10"/>
  <c r="O8651" i="10"/>
  <c r="O8652" i="10"/>
  <c r="O8653" i="10"/>
  <c r="O8654" i="10"/>
  <c r="O8655" i="10"/>
  <c r="O8656" i="10"/>
  <c r="O8657" i="10"/>
  <c r="O8658" i="10"/>
  <c r="O8659" i="10"/>
  <c r="O8660" i="10"/>
  <c r="O8661" i="10"/>
  <c r="O8662" i="10"/>
  <c r="O8663" i="10"/>
  <c r="O8664" i="10"/>
  <c r="O8665" i="10"/>
  <c r="O8666" i="10"/>
  <c r="O8667" i="10"/>
  <c r="O8668" i="10"/>
  <c r="O8669" i="10"/>
  <c r="O8670" i="10"/>
  <c r="O8671" i="10"/>
  <c r="O8672" i="10"/>
  <c r="O8673" i="10"/>
  <c r="O8674" i="10"/>
  <c r="O8675" i="10"/>
  <c r="O8676" i="10"/>
  <c r="O8677" i="10"/>
  <c r="O8678" i="10"/>
  <c r="O8679" i="10"/>
  <c r="O8680" i="10"/>
  <c r="O8681" i="10"/>
  <c r="O8682" i="10"/>
  <c r="O8683" i="10"/>
  <c r="O8684" i="10"/>
  <c r="O8685" i="10"/>
  <c r="O8686" i="10"/>
  <c r="O8687" i="10"/>
  <c r="O8688" i="10"/>
  <c r="O8689" i="10"/>
  <c r="O8690" i="10"/>
  <c r="O8691" i="10"/>
  <c r="O8692" i="10"/>
  <c r="O8693" i="10"/>
  <c r="O8694" i="10"/>
  <c r="O8695" i="10"/>
  <c r="O8696" i="10"/>
  <c r="O8697" i="10"/>
  <c r="O8698" i="10"/>
  <c r="O8699" i="10"/>
  <c r="O8700" i="10"/>
  <c r="O8701" i="10"/>
  <c r="O8702" i="10"/>
  <c r="O8703" i="10"/>
  <c r="O8704" i="10"/>
  <c r="O8705" i="10"/>
  <c r="O8706" i="10"/>
  <c r="O8707" i="10"/>
  <c r="O8708" i="10"/>
  <c r="O8709" i="10"/>
  <c r="O8710" i="10"/>
  <c r="O8711" i="10"/>
  <c r="O8712" i="10"/>
  <c r="O8713" i="10"/>
  <c r="O8714" i="10"/>
  <c r="O8715" i="10"/>
  <c r="O8716" i="10"/>
  <c r="O8717" i="10"/>
  <c r="O8718" i="10"/>
  <c r="O8719" i="10"/>
  <c r="O8720" i="10"/>
  <c r="O8721" i="10"/>
  <c r="O8722" i="10"/>
  <c r="O8723" i="10"/>
  <c r="O8724" i="10"/>
  <c r="O8725" i="10"/>
  <c r="O8726" i="10"/>
  <c r="O8727" i="10"/>
  <c r="O8728" i="10"/>
  <c r="O8729" i="10"/>
  <c r="O8730" i="10"/>
  <c r="O8731" i="10"/>
  <c r="O8732" i="10"/>
  <c r="O8733" i="10"/>
  <c r="O8734" i="10"/>
  <c r="O8735" i="10"/>
  <c r="O8736" i="10"/>
  <c r="O8737" i="10"/>
  <c r="O8738" i="10"/>
  <c r="O8739" i="10"/>
  <c r="O8740" i="10"/>
  <c r="O8741" i="10"/>
  <c r="O8742" i="10"/>
  <c r="O8743" i="10"/>
  <c r="O8744" i="10"/>
  <c r="O8745" i="10"/>
  <c r="O8746" i="10"/>
  <c r="O8747" i="10"/>
  <c r="O8748" i="10"/>
  <c r="O8749" i="10"/>
  <c r="O8750" i="10"/>
  <c r="O8751" i="10"/>
  <c r="O8752" i="10"/>
  <c r="O8753" i="10"/>
  <c r="O8754" i="10"/>
  <c r="O8755" i="10"/>
  <c r="O8756" i="10"/>
  <c r="O8757" i="10"/>
  <c r="O8758" i="10"/>
  <c r="O8759" i="10"/>
  <c r="O8760" i="10"/>
  <c r="O8761" i="10"/>
  <c r="O8762" i="10"/>
  <c r="O8763" i="10"/>
  <c r="O8764" i="10"/>
  <c r="O8765" i="10"/>
  <c r="O8766" i="10"/>
  <c r="O8767" i="10"/>
  <c r="O8768" i="10"/>
  <c r="O8769" i="10"/>
  <c r="O8770" i="10"/>
  <c r="O8771" i="10"/>
  <c r="O8772" i="10"/>
  <c r="O8773" i="10"/>
  <c r="O8774" i="10"/>
  <c r="O8775" i="10"/>
  <c r="O8776" i="10"/>
  <c r="O8777" i="10"/>
  <c r="O8778" i="10"/>
  <c r="O8779" i="10"/>
  <c r="O8780" i="10"/>
  <c r="O8781" i="10"/>
  <c r="O8782" i="10"/>
  <c r="O8783" i="10"/>
  <c r="O8784" i="10"/>
  <c r="O8785" i="10"/>
  <c r="O8786" i="10"/>
  <c r="O8787" i="10"/>
  <c r="O8788" i="10"/>
  <c r="O8789" i="10"/>
  <c r="O8790" i="10"/>
  <c r="O8791" i="10"/>
  <c r="O8792" i="10"/>
  <c r="O8793" i="10"/>
  <c r="O8794" i="10"/>
  <c r="O8795" i="10"/>
  <c r="O8796" i="10"/>
  <c r="O8797" i="10"/>
  <c r="O8798" i="10"/>
  <c r="O8799" i="10"/>
  <c r="O8800" i="10"/>
  <c r="O8801" i="10"/>
  <c r="O8802" i="10"/>
  <c r="O8803" i="10"/>
  <c r="O8804" i="10"/>
  <c r="O8805" i="10"/>
  <c r="O8806" i="10"/>
  <c r="O8807" i="10"/>
  <c r="O8808" i="10"/>
  <c r="O8809" i="10"/>
  <c r="O8810" i="10"/>
  <c r="O8811" i="10"/>
  <c r="O8812" i="10"/>
  <c r="O8813" i="10"/>
  <c r="O8814" i="10"/>
  <c r="O8815" i="10"/>
  <c r="O8816" i="10"/>
  <c r="O8817" i="10"/>
  <c r="O8818" i="10"/>
  <c r="O8819" i="10"/>
  <c r="O8820" i="10"/>
  <c r="O8821" i="10"/>
  <c r="O8822" i="10"/>
  <c r="O8823" i="10"/>
  <c r="O8824" i="10"/>
  <c r="O8825" i="10"/>
  <c r="O8826" i="10"/>
  <c r="O8827" i="10"/>
  <c r="O8828" i="10"/>
  <c r="O8829" i="10"/>
  <c r="O8830" i="10"/>
  <c r="O8831" i="10"/>
  <c r="O8832" i="10"/>
  <c r="O8833" i="10"/>
  <c r="O8834" i="10"/>
  <c r="O8835" i="10"/>
  <c r="O8836" i="10"/>
  <c r="O8837" i="10"/>
  <c r="O8838" i="10"/>
  <c r="O8839" i="10"/>
  <c r="O8840" i="10"/>
  <c r="O8841" i="10"/>
  <c r="O8842" i="10"/>
  <c r="O8843" i="10"/>
  <c r="O8844" i="10"/>
  <c r="O8845" i="10"/>
  <c r="O8846" i="10"/>
  <c r="O8847" i="10"/>
  <c r="O8848" i="10"/>
  <c r="O8849" i="10"/>
  <c r="O8850" i="10"/>
  <c r="O8851" i="10"/>
  <c r="O8852" i="10"/>
  <c r="O8853" i="10"/>
  <c r="O8854" i="10"/>
  <c r="O8855" i="10"/>
  <c r="O8856" i="10"/>
  <c r="O8857" i="10"/>
  <c r="O8858" i="10"/>
  <c r="O8859" i="10"/>
  <c r="O8860" i="10"/>
  <c r="O8861" i="10"/>
  <c r="O8862" i="10"/>
  <c r="O8863" i="10"/>
  <c r="O8864" i="10"/>
  <c r="O8865" i="10"/>
  <c r="O8866" i="10"/>
  <c r="O8867" i="10"/>
  <c r="O8868" i="10"/>
  <c r="O8869" i="10"/>
  <c r="O8870" i="10"/>
  <c r="O8871" i="10"/>
  <c r="O8872" i="10"/>
  <c r="O8873" i="10"/>
  <c r="O8874" i="10"/>
  <c r="O8875" i="10"/>
  <c r="O8876" i="10"/>
  <c r="O8877" i="10"/>
  <c r="O8878" i="10"/>
  <c r="O8879" i="10"/>
  <c r="O8880" i="10"/>
  <c r="O8881" i="10"/>
  <c r="O8882" i="10"/>
  <c r="O8883" i="10"/>
  <c r="O8884" i="10"/>
  <c r="O8885" i="10"/>
  <c r="O8886" i="10"/>
  <c r="O8887" i="10"/>
  <c r="O8888" i="10"/>
  <c r="O8889" i="10"/>
  <c r="O8890" i="10"/>
  <c r="O8891" i="10"/>
  <c r="O8892" i="10"/>
  <c r="O8893" i="10"/>
  <c r="O8894" i="10"/>
  <c r="O8895" i="10"/>
  <c r="O8896" i="10"/>
  <c r="O8897" i="10"/>
  <c r="O8898" i="10"/>
  <c r="O8899" i="10"/>
  <c r="O8900" i="10"/>
  <c r="O8901" i="10"/>
  <c r="O8902" i="10"/>
  <c r="O8903" i="10"/>
  <c r="O8904" i="10"/>
  <c r="O8905" i="10"/>
  <c r="O8906" i="10"/>
  <c r="O8907" i="10"/>
  <c r="O8908" i="10"/>
  <c r="O8909" i="10"/>
  <c r="O8910" i="10"/>
  <c r="O8911" i="10"/>
  <c r="O8912" i="10"/>
  <c r="O8913" i="10"/>
  <c r="O8914" i="10"/>
  <c r="O8915" i="10"/>
  <c r="O8916" i="10"/>
  <c r="O8917" i="10"/>
  <c r="O8918" i="10"/>
  <c r="O8919" i="10"/>
  <c r="O8920" i="10"/>
  <c r="O8921" i="10"/>
  <c r="O8922" i="10"/>
  <c r="O8923" i="10"/>
  <c r="O8924" i="10"/>
  <c r="O8925" i="10"/>
  <c r="O8926" i="10"/>
  <c r="O8927" i="10"/>
  <c r="O8928" i="10"/>
  <c r="O8929" i="10"/>
  <c r="O8930" i="10"/>
  <c r="O8931" i="10"/>
  <c r="O8932" i="10"/>
  <c r="O8933" i="10"/>
  <c r="O8934" i="10"/>
  <c r="O8935" i="10"/>
  <c r="O8936" i="10"/>
  <c r="O8937" i="10"/>
  <c r="O8938" i="10"/>
  <c r="O8939" i="10"/>
  <c r="O8940" i="10"/>
  <c r="O8941" i="10"/>
  <c r="O8942" i="10"/>
  <c r="O8943" i="10"/>
  <c r="O8944" i="10"/>
  <c r="O8945" i="10"/>
  <c r="O8946" i="10"/>
  <c r="O8947" i="10"/>
  <c r="O8948" i="10"/>
  <c r="O8949" i="10"/>
  <c r="O8950" i="10"/>
  <c r="O8951" i="10"/>
  <c r="O8952" i="10"/>
  <c r="O8953" i="10"/>
  <c r="O8954" i="10"/>
  <c r="O8955" i="10"/>
  <c r="O8956" i="10"/>
  <c r="O8957" i="10"/>
  <c r="O8958" i="10"/>
  <c r="O8959" i="10"/>
  <c r="O8960" i="10"/>
  <c r="O8961" i="10"/>
  <c r="O8962" i="10"/>
  <c r="O8963" i="10"/>
  <c r="O8964" i="10"/>
  <c r="O8965" i="10"/>
  <c r="O8966" i="10"/>
  <c r="O8967" i="10"/>
  <c r="O8968" i="10"/>
  <c r="O8969" i="10"/>
  <c r="O8970" i="10"/>
  <c r="O8971" i="10"/>
  <c r="O8972" i="10"/>
  <c r="O8973" i="10"/>
  <c r="O8974" i="10"/>
  <c r="O8975" i="10"/>
  <c r="O8976" i="10"/>
  <c r="O8977" i="10"/>
  <c r="O8978" i="10"/>
  <c r="O8979" i="10"/>
  <c r="O8980" i="10"/>
  <c r="O8981" i="10"/>
  <c r="O8982" i="10"/>
  <c r="O8983" i="10"/>
  <c r="O8984" i="10"/>
  <c r="O8985" i="10"/>
  <c r="O8986" i="10"/>
  <c r="O8987" i="10"/>
  <c r="O8988" i="10"/>
  <c r="O8989" i="10"/>
  <c r="O8990" i="10"/>
  <c r="O8991" i="10"/>
  <c r="O8992" i="10"/>
  <c r="O8993" i="10"/>
  <c r="O8994" i="10"/>
  <c r="O8995" i="10"/>
  <c r="O8996" i="10"/>
  <c r="O8997" i="10"/>
  <c r="O8998" i="10"/>
  <c r="O8999" i="10"/>
  <c r="O9000" i="10"/>
  <c r="O9001" i="10"/>
  <c r="O9002" i="10"/>
  <c r="O9003" i="10"/>
  <c r="O9004" i="10"/>
  <c r="O9005" i="10"/>
  <c r="O9006" i="10"/>
  <c r="O9007" i="10"/>
  <c r="O9008" i="10"/>
  <c r="O9009" i="10"/>
  <c r="O9010" i="10"/>
  <c r="O9011" i="10"/>
  <c r="O9012" i="10"/>
  <c r="O9013" i="10"/>
  <c r="O9014" i="10"/>
  <c r="O9015" i="10"/>
  <c r="O9016" i="10"/>
  <c r="O9017" i="10"/>
  <c r="O9018" i="10"/>
  <c r="O9019" i="10"/>
  <c r="O9020" i="10"/>
  <c r="O9021" i="10"/>
  <c r="O9022" i="10"/>
  <c r="O9023" i="10"/>
  <c r="O9024" i="10"/>
  <c r="O9025" i="10"/>
  <c r="O9026" i="10"/>
  <c r="O9027" i="10"/>
  <c r="O9028" i="10"/>
  <c r="O9029" i="10"/>
  <c r="O9030" i="10"/>
  <c r="O9031" i="10"/>
  <c r="O9032" i="10"/>
  <c r="O9033" i="10"/>
  <c r="O9034" i="10"/>
  <c r="O9035" i="10"/>
  <c r="O9036" i="10"/>
  <c r="O9037" i="10"/>
  <c r="O9038" i="10"/>
  <c r="O9039" i="10"/>
  <c r="O9040" i="10"/>
  <c r="O9041" i="10"/>
  <c r="O9042" i="10"/>
  <c r="O9043" i="10"/>
  <c r="O9044" i="10"/>
  <c r="O9045" i="10"/>
  <c r="O9046" i="10"/>
  <c r="O9047" i="10"/>
  <c r="O9048" i="10"/>
  <c r="O9049" i="10"/>
  <c r="O9050" i="10"/>
  <c r="O9051" i="10"/>
  <c r="O9052" i="10"/>
  <c r="O9053" i="10"/>
  <c r="O9054" i="10"/>
  <c r="O9055" i="10"/>
  <c r="O9056" i="10"/>
  <c r="O9057" i="10"/>
  <c r="O9058" i="10"/>
  <c r="O9059" i="10"/>
  <c r="O9060" i="10"/>
  <c r="O9061" i="10"/>
  <c r="O9062" i="10"/>
  <c r="O9063" i="10"/>
  <c r="O9064" i="10"/>
  <c r="O9065" i="10"/>
  <c r="O9066" i="10"/>
  <c r="O9067" i="10"/>
  <c r="O9068" i="10"/>
  <c r="O9069" i="10"/>
  <c r="O9070" i="10"/>
  <c r="O9071" i="10"/>
  <c r="O9072" i="10"/>
  <c r="O9073" i="10"/>
  <c r="O9074" i="10"/>
  <c r="O9075" i="10"/>
  <c r="O9076" i="10"/>
  <c r="O9077" i="10"/>
  <c r="O9078" i="10"/>
  <c r="O9079" i="10"/>
  <c r="O9080" i="10"/>
  <c r="O9081" i="10"/>
  <c r="O9082" i="10"/>
  <c r="O9083" i="10"/>
  <c r="O9084" i="10"/>
  <c r="O9085" i="10"/>
  <c r="O9086" i="10"/>
  <c r="O9087" i="10"/>
  <c r="O9088" i="10"/>
  <c r="O9089" i="10"/>
  <c r="O9090" i="10"/>
  <c r="O9091" i="10"/>
  <c r="O9092" i="10"/>
  <c r="O9093" i="10"/>
  <c r="O9094" i="10"/>
  <c r="O9095" i="10"/>
  <c r="O9096" i="10"/>
  <c r="O9097" i="10"/>
  <c r="O9098" i="10"/>
  <c r="O9099" i="10"/>
  <c r="O9100" i="10"/>
  <c r="O9101" i="10"/>
  <c r="O9102" i="10"/>
  <c r="O9103" i="10"/>
  <c r="O9104" i="10"/>
  <c r="O9105" i="10"/>
  <c r="O9106" i="10"/>
  <c r="O9107" i="10"/>
  <c r="O9108" i="10"/>
  <c r="O9109" i="10"/>
  <c r="O9110" i="10"/>
  <c r="O9111" i="10"/>
  <c r="O9112" i="10"/>
  <c r="O9113" i="10"/>
  <c r="O9114" i="10"/>
  <c r="O9115" i="10"/>
  <c r="O9116" i="10"/>
  <c r="O9117" i="10"/>
  <c r="O9118" i="10"/>
  <c r="O9119" i="10"/>
  <c r="O9120" i="10"/>
  <c r="O9121" i="10"/>
  <c r="O9122" i="10"/>
  <c r="O9123" i="10"/>
  <c r="O9124" i="10"/>
  <c r="O9125" i="10"/>
  <c r="O9126" i="10"/>
  <c r="O9127" i="10"/>
  <c r="O9128" i="10"/>
  <c r="O9129" i="10"/>
  <c r="O9130" i="10"/>
  <c r="O9131" i="10"/>
  <c r="O9132" i="10"/>
  <c r="O9133" i="10"/>
  <c r="O9134" i="10"/>
  <c r="O9135" i="10"/>
  <c r="O9136" i="10"/>
  <c r="O9137" i="10"/>
  <c r="O9138" i="10"/>
  <c r="O9139" i="10"/>
  <c r="O9140" i="10"/>
  <c r="O9141" i="10"/>
  <c r="O9142" i="10"/>
  <c r="O9143" i="10"/>
  <c r="O9144" i="10"/>
  <c r="O9145" i="10"/>
  <c r="O9146" i="10"/>
  <c r="O9147" i="10"/>
  <c r="O9148" i="10"/>
  <c r="O9149" i="10"/>
  <c r="O9150" i="10"/>
  <c r="O9151" i="10"/>
  <c r="O9152" i="10"/>
  <c r="O9153" i="10"/>
  <c r="O9154" i="10"/>
  <c r="O9155" i="10"/>
  <c r="O9156" i="10"/>
  <c r="O9157" i="10"/>
  <c r="O9158" i="10"/>
  <c r="O9159" i="10"/>
  <c r="O9160" i="10"/>
  <c r="O9161" i="10"/>
  <c r="O9162" i="10"/>
  <c r="O9163" i="10"/>
  <c r="O9164" i="10"/>
  <c r="O9165" i="10"/>
  <c r="O9166" i="10"/>
  <c r="O9167" i="10"/>
  <c r="O9168" i="10"/>
  <c r="O9169" i="10"/>
  <c r="O9170" i="10"/>
  <c r="O9171" i="10"/>
  <c r="O9172" i="10"/>
  <c r="O9173" i="10"/>
  <c r="O9174" i="10"/>
  <c r="O9175" i="10"/>
  <c r="O9176" i="10"/>
  <c r="O9177" i="10"/>
  <c r="O9178" i="10"/>
  <c r="O9179" i="10"/>
  <c r="O9180" i="10"/>
  <c r="O9181" i="10"/>
  <c r="O9182" i="10"/>
  <c r="O9183" i="10"/>
  <c r="O9184" i="10"/>
  <c r="O9185" i="10"/>
  <c r="O9186" i="10"/>
  <c r="O9187" i="10"/>
  <c r="O9188" i="10"/>
  <c r="O9189" i="10"/>
  <c r="O9190" i="10"/>
  <c r="O9191" i="10"/>
  <c r="O9192" i="10"/>
  <c r="O9193" i="10"/>
  <c r="O9194" i="10"/>
  <c r="O9195" i="10"/>
  <c r="O9196" i="10"/>
  <c r="O9197" i="10"/>
  <c r="O9198" i="10"/>
  <c r="O9199" i="10"/>
  <c r="O9200" i="10"/>
  <c r="O9201" i="10"/>
  <c r="O9202" i="10"/>
  <c r="O9203" i="10"/>
  <c r="O9204" i="10"/>
  <c r="O9205" i="10"/>
  <c r="O9206" i="10"/>
  <c r="O9207" i="10"/>
  <c r="O9208" i="10"/>
  <c r="O9209" i="10"/>
  <c r="O9210" i="10"/>
  <c r="O9211" i="10"/>
  <c r="O9212" i="10"/>
  <c r="O9213" i="10"/>
  <c r="O9214" i="10"/>
  <c r="O9215" i="10"/>
  <c r="O9216" i="10"/>
  <c r="O9217" i="10"/>
  <c r="O9218" i="10"/>
  <c r="O9219" i="10"/>
  <c r="O9220" i="10"/>
  <c r="O9221" i="10"/>
  <c r="O9222" i="10"/>
  <c r="O9223" i="10"/>
  <c r="O9224" i="10"/>
  <c r="O9225" i="10"/>
  <c r="O9226" i="10"/>
  <c r="O9227" i="10"/>
  <c r="O9228" i="10"/>
  <c r="O9229" i="10"/>
  <c r="O9230" i="10"/>
  <c r="O9231" i="10"/>
  <c r="O9232" i="10"/>
  <c r="O9233" i="10"/>
  <c r="O9234" i="10"/>
  <c r="O9235" i="10"/>
  <c r="O9236" i="10"/>
  <c r="O9237" i="10"/>
  <c r="O9238" i="10"/>
  <c r="O9239" i="10"/>
  <c r="O9240" i="10"/>
  <c r="O9241" i="10"/>
  <c r="O9242" i="10"/>
  <c r="O9243" i="10"/>
  <c r="O9244" i="10"/>
  <c r="O9245" i="10"/>
  <c r="O9246" i="10"/>
  <c r="O9247" i="10"/>
  <c r="O9248" i="10"/>
  <c r="O9249" i="10"/>
  <c r="O9250" i="10"/>
  <c r="O9251" i="10"/>
  <c r="O9252" i="10"/>
  <c r="O9253" i="10"/>
  <c r="O9254" i="10"/>
  <c r="O9255" i="10"/>
  <c r="O9256" i="10"/>
  <c r="O9257" i="10"/>
  <c r="O9258" i="10"/>
  <c r="O9259" i="10"/>
  <c r="O9260" i="10"/>
  <c r="O9261" i="10"/>
  <c r="O9262" i="10"/>
  <c r="O9263" i="10"/>
  <c r="O9264" i="10"/>
  <c r="O9265" i="10"/>
  <c r="O9266" i="10"/>
  <c r="O9267" i="10"/>
  <c r="O9268" i="10"/>
  <c r="O9269" i="10"/>
  <c r="O9270" i="10"/>
  <c r="O9271" i="10"/>
  <c r="O9272" i="10"/>
  <c r="O9273" i="10"/>
  <c r="O9274" i="10"/>
  <c r="O9275" i="10"/>
  <c r="O9276" i="10"/>
  <c r="O9277" i="10"/>
  <c r="O9278" i="10"/>
  <c r="O9279" i="10"/>
  <c r="O9280" i="10"/>
  <c r="O9281" i="10"/>
  <c r="O9282" i="10"/>
  <c r="O9283" i="10"/>
  <c r="O9284" i="10"/>
  <c r="O9285" i="10"/>
  <c r="O9286" i="10"/>
  <c r="O9287" i="10"/>
  <c r="O9288" i="10"/>
  <c r="O9289" i="10"/>
  <c r="O9290" i="10"/>
  <c r="O9291" i="10"/>
  <c r="O9292" i="10"/>
  <c r="O9293" i="10"/>
  <c r="O9294" i="10"/>
  <c r="O9295" i="10"/>
  <c r="O9296" i="10"/>
  <c r="O9297" i="10"/>
  <c r="O9298" i="10"/>
  <c r="O9299" i="10"/>
  <c r="O9300" i="10"/>
  <c r="O9301" i="10"/>
  <c r="O9302" i="10"/>
  <c r="O9303" i="10"/>
  <c r="O9304" i="10"/>
  <c r="O9305" i="10"/>
  <c r="O9306" i="10"/>
  <c r="O9307" i="10"/>
  <c r="O9308" i="10"/>
  <c r="O9309" i="10"/>
  <c r="O9310" i="10"/>
  <c r="O9311" i="10"/>
  <c r="O9312" i="10"/>
  <c r="O9313" i="10"/>
  <c r="O9314" i="10"/>
  <c r="O9315" i="10"/>
  <c r="O9316" i="10"/>
  <c r="O9317" i="10"/>
  <c r="O9318" i="10"/>
  <c r="O9319" i="10"/>
  <c r="O9320" i="10"/>
  <c r="O9321" i="10"/>
  <c r="O9322" i="10"/>
  <c r="O9323" i="10"/>
  <c r="O9324" i="10"/>
  <c r="O9325" i="10"/>
  <c r="O9326" i="10"/>
  <c r="O9327" i="10"/>
  <c r="O9328" i="10"/>
  <c r="O9329" i="10"/>
  <c r="O9330" i="10"/>
  <c r="O9331" i="10"/>
  <c r="O9332" i="10"/>
  <c r="O9333" i="10"/>
  <c r="O9334" i="10"/>
  <c r="O9335" i="10"/>
  <c r="O9336" i="10"/>
  <c r="O9337" i="10"/>
  <c r="O9338" i="10"/>
  <c r="O9339" i="10"/>
  <c r="O9340" i="10"/>
  <c r="O9341" i="10"/>
  <c r="O9342" i="10"/>
  <c r="O9343" i="10"/>
  <c r="O9344" i="10"/>
  <c r="O9345" i="10"/>
  <c r="O9346" i="10"/>
  <c r="O9347" i="10"/>
  <c r="O9348" i="10"/>
  <c r="O9349" i="10"/>
  <c r="O9350" i="10"/>
  <c r="O9351" i="10"/>
  <c r="O9352" i="10"/>
  <c r="O9353" i="10"/>
  <c r="O9354" i="10"/>
  <c r="O9355" i="10"/>
  <c r="O9356" i="10"/>
  <c r="O9357" i="10"/>
  <c r="O9358" i="10"/>
  <c r="O9359" i="10"/>
  <c r="O9360" i="10"/>
  <c r="O9361" i="10"/>
  <c r="O9362" i="10"/>
  <c r="O9363" i="10"/>
  <c r="O9364" i="10"/>
  <c r="O9365" i="10"/>
  <c r="O9366" i="10"/>
  <c r="O9367" i="10"/>
  <c r="O9368" i="10"/>
  <c r="O9369" i="10"/>
  <c r="O9370" i="10"/>
  <c r="O9371" i="10"/>
  <c r="O9372" i="10"/>
  <c r="O9373" i="10"/>
  <c r="O9374" i="10"/>
  <c r="O9375" i="10"/>
  <c r="O9376" i="10"/>
  <c r="O9377" i="10"/>
  <c r="O9378" i="10"/>
  <c r="O9379" i="10"/>
  <c r="O9380" i="10"/>
  <c r="O9381" i="10"/>
  <c r="O9382" i="10"/>
  <c r="O9383" i="10"/>
  <c r="O9384" i="10"/>
  <c r="O9385" i="10"/>
  <c r="O9386" i="10"/>
  <c r="O9387" i="10"/>
  <c r="O9388" i="10"/>
  <c r="O9389" i="10"/>
  <c r="O9390" i="10"/>
  <c r="O9391" i="10"/>
  <c r="O9392" i="10"/>
  <c r="O9393" i="10"/>
  <c r="O9394" i="10"/>
  <c r="O9395" i="10"/>
  <c r="O9396" i="10"/>
  <c r="O9397" i="10"/>
  <c r="O9398" i="10"/>
  <c r="O9399" i="10"/>
  <c r="O9400" i="10"/>
  <c r="O9401" i="10"/>
  <c r="O9402" i="10"/>
  <c r="O9403" i="10"/>
  <c r="O9404" i="10"/>
  <c r="O9405" i="10"/>
  <c r="O9406" i="10"/>
  <c r="O9407" i="10"/>
  <c r="O9408" i="10"/>
  <c r="O9409" i="10"/>
  <c r="O9410" i="10"/>
  <c r="O9411" i="10"/>
  <c r="O9412" i="10"/>
  <c r="O9413" i="10"/>
  <c r="O9414" i="10"/>
  <c r="O9415" i="10"/>
  <c r="O9416" i="10"/>
  <c r="O9417" i="10"/>
  <c r="O9418" i="10"/>
  <c r="O9419" i="10"/>
  <c r="O9420" i="10"/>
  <c r="O9421" i="10"/>
  <c r="O9422" i="10"/>
  <c r="O9423" i="10"/>
  <c r="O9424" i="10"/>
  <c r="O9425" i="10"/>
  <c r="O9426" i="10"/>
  <c r="O9427" i="10"/>
  <c r="O9428" i="10"/>
  <c r="O9429" i="10"/>
  <c r="O9430" i="10"/>
  <c r="O9431" i="10"/>
  <c r="O9432" i="10"/>
  <c r="O9433" i="10"/>
  <c r="O9434" i="10"/>
  <c r="O9435" i="10"/>
  <c r="O9436" i="10"/>
  <c r="O9437" i="10"/>
  <c r="O9438" i="10"/>
  <c r="O9439" i="10"/>
  <c r="O9440" i="10"/>
  <c r="O9441" i="10"/>
  <c r="O9442" i="10"/>
  <c r="O9443" i="10"/>
  <c r="O9444" i="10"/>
  <c r="O9445" i="10"/>
  <c r="O9446" i="10"/>
  <c r="O9447" i="10"/>
  <c r="O9448" i="10"/>
  <c r="O9449" i="10"/>
  <c r="O9450" i="10"/>
  <c r="O9451" i="10"/>
  <c r="O9452" i="10"/>
  <c r="O9453" i="10"/>
  <c r="O9454" i="10"/>
  <c r="O9455" i="10"/>
  <c r="O9456" i="10"/>
  <c r="O9457" i="10"/>
  <c r="O9458" i="10"/>
  <c r="O9459" i="10"/>
  <c r="O9460" i="10"/>
  <c r="O9461" i="10"/>
  <c r="O9462" i="10"/>
  <c r="O9463" i="10"/>
  <c r="O9464" i="10"/>
  <c r="O9465" i="10"/>
  <c r="O9466" i="10"/>
  <c r="O9467" i="10"/>
  <c r="O9468" i="10"/>
  <c r="O9469" i="10"/>
  <c r="O9470" i="10"/>
  <c r="O9471" i="10"/>
  <c r="O9472" i="10"/>
  <c r="O9473" i="10"/>
  <c r="O9474" i="10"/>
  <c r="O9475" i="10"/>
  <c r="O9476" i="10"/>
  <c r="O9477" i="10"/>
  <c r="O9478" i="10"/>
  <c r="O9479" i="10"/>
  <c r="O9480" i="10"/>
  <c r="O9481" i="10"/>
  <c r="O9482" i="10"/>
  <c r="O9483" i="10"/>
  <c r="O9484" i="10"/>
  <c r="O9485" i="10"/>
  <c r="O9486" i="10"/>
  <c r="O9487" i="10"/>
  <c r="O9488" i="10"/>
  <c r="O9489" i="10"/>
  <c r="O9490" i="10"/>
  <c r="O9491" i="10"/>
  <c r="O9492" i="10"/>
  <c r="O9493" i="10"/>
  <c r="O9494" i="10"/>
  <c r="O9495" i="10"/>
  <c r="O9496" i="10"/>
  <c r="O9497" i="10"/>
  <c r="O9498" i="10"/>
  <c r="O9499" i="10"/>
  <c r="O9500" i="10"/>
  <c r="O9501" i="10"/>
  <c r="O9502" i="10"/>
  <c r="O9503" i="10"/>
  <c r="O9504" i="10"/>
  <c r="O9505" i="10"/>
  <c r="O9506" i="10"/>
  <c r="O9507" i="10"/>
  <c r="O9508" i="10"/>
  <c r="O9509" i="10"/>
  <c r="O9510" i="10"/>
  <c r="O9511" i="10"/>
  <c r="O9512" i="10"/>
  <c r="O9513" i="10"/>
  <c r="O9514" i="10"/>
  <c r="O9515" i="10"/>
  <c r="O9516" i="10"/>
  <c r="O9517" i="10"/>
  <c r="O9518" i="10"/>
  <c r="O9519" i="10"/>
  <c r="O9520" i="10"/>
  <c r="O9521" i="10"/>
  <c r="O9522" i="10"/>
  <c r="O9523" i="10"/>
  <c r="O9524" i="10"/>
  <c r="O9525" i="10"/>
  <c r="O9526" i="10"/>
  <c r="O9527" i="10"/>
  <c r="O9528" i="10"/>
  <c r="O9529" i="10"/>
  <c r="O9530" i="10"/>
  <c r="O9531" i="10"/>
  <c r="O9532" i="10"/>
  <c r="O9533" i="10"/>
  <c r="O9534" i="10"/>
  <c r="O9535" i="10"/>
  <c r="O9536" i="10"/>
  <c r="O9537" i="10"/>
  <c r="O9538" i="10"/>
  <c r="O9539" i="10"/>
  <c r="O9540" i="10"/>
  <c r="O9541" i="10"/>
  <c r="O9542" i="10"/>
  <c r="O9543" i="10"/>
  <c r="O9544" i="10"/>
  <c r="O9545" i="10"/>
  <c r="O9546" i="10"/>
  <c r="O9547" i="10"/>
  <c r="O9548" i="10"/>
  <c r="O9549" i="10"/>
  <c r="O9550" i="10"/>
  <c r="O9551" i="10"/>
  <c r="O9552" i="10"/>
  <c r="O9553" i="10"/>
  <c r="O9554" i="10"/>
  <c r="O9555" i="10"/>
  <c r="O9556" i="10"/>
  <c r="O9557" i="10"/>
  <c r="O9558" i="10"/>
  <c r="O9559" i="10"/>
  <c r="O9560" i="10"/>
  <c r="O9561" i="10"/>
  <c r="O9562" i="10"/>
  <c r="O9563" i="10"/>
  <c r="O9564" i="10"/>
  <c r="O9565" i="10"/>
  <c r="O9566" i="10"/>
  <c r="O9567" i="10"/>
  <c r="O9568" i="10"/>
  <c r="O9569" i="10"/>
  <c r="O9570" i="10"/>
  <c r="O9571" i="10"/>
  <c r="O9572" i="10"/>
  <c r="O9573" i="10"/>
  <c r="O9574" i="10"/>
  <c r="O9575" i="10"/>
  <c r="O9576" i="10"/>
  <c r="O9577" i="10"/>
  <c r="O9578" i="10"/>
  <c r="O9579" i="10"/>
  <c r="O9580" i="10"/>
  <c r="O9581" i="10"/>
  <c r="O9582" i="10"/>
  <c r="O9583" i="10"/>
  <c r="O9584" i="10"/>
  <c r="O9585" i="10"/>
  <c r="O9586" i="10"/>
  <c r="O9587" i="10"/>
  <c r="O9588" i="10"/>
  <c r="O9589" i="10"/>
  <c r="O9590" i="10"/>
  <c r="O9591" i="10"/>
  <c r="O9592" i="10"/>
  <c r="O9593" i="10"/>
  <c r="O9594" i="10"/>
  <c r="O9595" i="10"/>
  <c r="O9596" i="10"/>
  <c r="O9597" i="10"/>
  <c r="O9598" i="10"/>
  <c r="O9599" i="10"/>
  <c r="O9600" i="10"/>
  <c r="O9601" i="10"/>
  <c r="O9602" i="10"/>
  <c r="O9603" i="10"/>
  <c r="O9604" i="10"/>
  <c r="O9605" i="10"/>
  <c r="O9606" i="10"/>
  <c r="O9607" i="10"/>
  <c r="O9608" i="10"/>
  <c r="O9609" i="10"/>
  <c r="O9610" i="10"/>
  <c r="O9611" i="10"/>
  <c r="O9612" i="10"/>
  <c r="O9613" i="10"/>
  <c r="O9614" i="10"/>
  <c r="O9615" i="10"/>
  <c r="O9616" i="10"/>
  <c r="O9617" i="10"/>
  <c r="O9618" i="10"/>
  <c r="O9619" i="10"/>
  <c r="O9620" i="10"/>
  <c r="O9621" i="10"/>
  <c r="O9622" i="10"/>
  <c r="O9623" i="10"/>
  <c r="O9624" i="10"/>
  <c r="O9625" i="10"/>
  <c r="O9626" i="10"/>
  <c r="O9627" i="10"/>
  <c r="O9628" i="10"/>
  <c r="O9629" i="10"/>
  <c r="O9630" i="10"/>
  <c r="O9631" i="10"/>
  <c r="O9632" i="10"/>
  <c r="O9633" i="10"/>
  <c r="O9634" i="10"/>
  <c r="O9635" i="10"/>
  <c r="O9636" i="10"/>
  <c r="O9637" i="10"/>
  <c r="O9638" i="10"/>
  <c r="O9639" i="10"/>
  <c r="O9640" i="10"/>
  <c r="O9641" i="10"/>
  <c r="O9642" i="10"/>
  <c r="O9643" i="10"/>
  <c r="O9644" i="10"/>
  <c r="O9645" i="10"/>
  <c r="O9646" i="10"/>
  <c r="O9647" i="10"/>
  <c r="O9648" i="10"/>
  <c r="O9649" i="10"/>
  <c r="O9650" i="10"/>
  <c r="O9651" i="10"/>
  <c r="O9652" i="10"/>
  <c r="O9653" i="10"/>
  <c r="O9654" i="10"/>
  <c r="O9655" i="10"/>
  <c r="O9656" i="10"/>
  <c r="O9657" i="10"/>
  <c r="O9658" i="10"/>
  <c r="O9659" i="10"/>
  <c r="O9660" i="10"/>
  <c r="O9661" i="10"/>
  <c r="O9662" i="10"/>
  <c r="O9663" i="10"/>
  <c r="O9664" i="10"/>
  <c r="O9665" i="10"/>
  <c r="O9666" i="10"/>
  <c r="O9667" i="10"/>
  <c r="O9668" i="10"/>
  <c r="O9669" i="10"/>
  <c r="O9670" i="10"/>
  <c r="O9671" i="10"/>
  <c r="O9672" i="10"/>
  <c r="O9673" i="10"/>
  <c r="O9674" i="10"/>
  <c r="O9675" i="10"/>
  <c r="O9676" i="10"/>
  <c r="O9677" i="10"/>
  <c r="O9678" i="10"/>
  <c r="O9679" i="10"/>
  <c r="O9680" i="10"/>
  <c r="O9681" i="10"/>
  <c r="O9682" i="10"/>
  <c r="O9683" i="10"/>
  <c r="O9684" i="10"/>
  <c r="O9685" i="10"/>
  <c r="O9686" i="10"/>
  <c r="O9687" i="10"/>
  <c r="O9688" i="10"/>
  <c r="O9689" i="10"/>
  <c r="O9690" i="10"/>
  <c r="O9691" i="10"/>
  <c r="O9692" i="10"/>
  <c r="O9693" i="10"/>
  <c r="O9694" i="10"/>
  <c r="O9695" i="10"/>
  <c r="O9696" i="10"/>
  <c r="O9697" i="10"/>
  <c r="O9698" i="10"/>
  <c r="O9699" i="10"/>
  <c r="O9700" i="10"/>
  <c r="O9701" i="10"/>
  <c r="O9702" i="10"/>
  <c r="O9703" i="10"/>
  <c r="O9704" i="10"/>
  <c r="O9705" i="10"/>
  <c r="O9706" i="10"/>
  <c r="O9707" i="10"/>
  <c r="O9708" i="10"/>
  <c r="O9709" i="10"/>
  <c r="O9710" i="10"/>
  <c r="O9711" i="10"/>
  <c r="O9712" i="10"/>
  <c r="O9713" i="10"/>
  <c r="O9714" i="10"/>
  <c r="O9715" i="10"/>
  <c r="O9716" i="10"/>
  <c r="O9717" i="10"/>
  <c r="O9718" i="10"/>
  <c r="O9719" i="10"/>
  <c r="O9720" i="10"/>
  <c r="O9721" i="10"/>
  <c r="O9722" i="10"/>
  <c r="O9723" i="10"/>
  <c r="O9724" i="10"/>
  <c r="O9725" i="10"/>
  <c r="O9726" i="10"/>
  <c r="O9727" i="10"/>
  <c r="O9728" i="10"/>
  <c r="O9729" i="10"/>
  <c r="O9730" i="10"/>
  <c r="O9731" i="10"/>
  <c r="O9732" i="10"/>
  <c r="O9733" i="10"/>
  <c r="O9734" i="10"/>
  <c r="O9735" i="10"/>
  <c r="O9736" i="10"/>
  <c r="O9737" i="10"/>
  <c r="O9738" i="10"/>
  <c r="O9739" i="10"/>
  <c r="O9740" i="10"/>
  <c r="O9741" i="10"/>
  <c r="O9742" i="10"/>
  <c r="O9743" i="10"/>
  <c r="O9744" i="10"/>
  <c r="O9745" i="10"/>
  <c r="O9746" i="10"/>
  <c r="O9747" i="10"/>
  <c r="O9748" i="10"/>
  <c r="O9749" i="10"/>
  <c r="O9750" i="10"/>
  <c r="O9751" i="10"/>
  <c r="O9752" i="10"/>
  <c r="O9753" i="10"/>
  <c r="O9754" i="10"/>
  <c r="O9755" i="10"/>
  <c r="O9756" i="10"/>
  <c r="O9757" i="10"/>
  <c r="O9758" i="10"/>
  <c r="O9759" i="10"/>
  <c r="O9760" i="10"/>
  <c r="O9761" i="10"/>
  <c r="O9762" i="10"/>
  <c r="O9763" i="10"/>
  <c r="O9764" i="10"/>
  <c r="O9765" i="10"/>
  <c r="O9766" i="10"/>
  <c r="O9767" i="10"/>
  <c r="O9768" i="10"/>
  <c r="O9769" i="10"/>
  <c r="O9770" i="10"/>
  <c r="O9771" i="10"/>
  <c r="O9772" i="10"/>
  <c r="O9773" i="10"/>
  <c r="O9774" i="10"/>
  <c r="O9775" i="10"/>
  <c r="O9776" i="10"/>
  <c r="O9777" i="10"/>
  <c r="O9778" i="10"/>
  <c r="O9779" i="10"/>
  <c r="O9780" i="10"/>
  <c r="O9781" i="10"/>
  <c r="O9782" i="10"/>
  <c r="O9783" i="10"/>
  <c r="O9784" i="10"/>
  <c r="O9785" i="10"/>
  <c r="O9786" i="10"/>
  <c r="O9787" i="10"/>
  <c r="O9788" i="10"/>
  <c r="O9789" i="10"/>
  <c r="O9790" i="10"/>
  <c r="O9791" i="10"/>
  <c r="O9792" i="10"/>
  <c r="O9793" i="10"/>
  <c r="O9794" i="10"/>
  <c r="O9795" i="10"/>
  <c r="O9796" i="10"/>
  <c r="O9797" i="10"/>
  <c r="O9798" i="10"/>
  <c r="O9799" i="10"/>
  <c r="O9800" i="10"/>
  <c r="O9801" i="10"/>
  <c r="O9802" i="10"/>
  <c r="O9803" i="10"/>
  <c r="O9804" i="10"/>
  <c r="O9805" i="10"/>
  <c r="O9806" i="10"/>
  <c r="O9807" i="10"/>
  <c r="O9808" i="10"/>
  <c r="O9809" i="10"/>
  <c r="O9810" i="10"/>
  <c r="O9811" i="10"/>
  <c r="O9812" i="10"/>
  <c r="O9813" i="10"/>
  <c r="O9814" i="10"/>
  <c r="O9815" i="10"/>
  <c r="O9816" i="10"/>
  <c r="O9817" i="10"/>
  <c r="O9818" i="10"/>
  <c r="O9819" i="10"/>
  <c r="O9820" i="10"/>
  <c r="O9821" i="10"/>
  <c r="O9822" i="10"/>
  <c r="O9823" i="10"/>
  <c r="O9824" i="10"/>
  <c r="O9825" i="10"/>
  <c r="O9826" i="10"/>
  <c r="O9827" i="10"/>
  <c r="O9828" i="10"/>
  <c r="O9829" i="10"/>
  <c r="O9830" i="10"/>
  <c r="O9831" i="10"/>
  <c r="O9832" i="10"/>
  <c r="O9833" i="10"/>
  <c r="O9834" i="10"/>
  <c r="O9835" i="10"/>
  <c r="O9836" i="10"/>
  <c r="O9837" i="10"/>
  <c r="O9838" i="10"/>
  <c r="O9839" i="10"/>
  <c r="O9840" i="10"/>
  <c r="O9841" i="10"/>
  <c r="O9842" i="10"/>
  <c r="O9843" i="10"/>
  <c r="O9844" i="10"/>
  <c r="O9845" i="10"/>
  <c r="O9846" i="10"/>
  <c r="O9847" i="10"/>
  <c r="O9848" i="10"/>
  <c r="O9849" i="10"/>
  <c r="O9850" i="10"/>
  <c r="O9851" i="10"/>
  <c r="O9852" i="10"/>
  <c r="O9853" i="10"/>
  <c r="O9854" i="10"/>
  <c r="O9855" i="10"/>
  <c r="O9856" i="10"/>
  <c r="O9857" i="10"/>
  <c r="O9858" i="10"/>
  <c r="O9859" i="10"/>
  <c r="O9860" i="10"/>
  <c r="O9861" i="10"/>
  <c r="O9862" i="10"/>
  <c r="O9863" i="10"/>
  <c r="O9864" i="10"/>
  <c r="O9865" i="10"/>
  <c r="O9866" i="10"/>
  <c r="O9867" i="10"/>
  <c r="O9868" i="10"/>
  <c r="O9869" i="10"/>
  <c r="O9870" i="10"/>
  <c r="O9871" i="10"/>
  <c r="O9872" i="10"/>
  <c r="O9873" i="10"/>
  <c r="O9874" i="10"/>
  <c r="O9875" i="10"/>
  <c r="O9876" i="10"/>
  <c r="O9877" i="10"/>
  <c r="O9878" i="10"/>
  <c r="O9879" i="10"/>
  <c r="O9880" i="10"/>
  <c r="O9881" i="10"/>
  <c r="O9882" i="10"/>
  <c r="O9883" i="10"/>
  <c r="O9884" i="10"/>
  <c r="O9885" i="10"/>
  <c r="O9886" i="10"/>
  <c r="O9887" i="10"/>
  <c r="O9888" i="10"/>
  <c r="O9889" i="10"/>
  <c r="O9890" i="10"/>
  <c r="O9891" i="10"/>
  <c r="O9892" i="10"/>
  <c r="O9893" i="10"/>
  <c r="O9894" i="10"/>
  <c r="O9895" i="10"/>
  <c r="O9896" i="10"/>
  <c r="O9897" i="10"/>
  <c r="O9898" i="10"/>
  <c r="O9899" i="10"/>
  <c r="O9900" i="10"/>
  <c r="O9901" i="10"/>
  <c r="O9902" i="10"/>
  <c r="O9903" i="10"/>
  <c r="O9904" i="10"/>
  <c r="O9905" i="10"/>
  <c r="O9906" i="10"/>
  <c r="O9907" i="10"/>
  <c r="O9908" i="10"/>
  <c r="O9909" i="10"/>
  <c r="O9910" i="10"/>
  <c r="O9911" i="10"/>
  <c r="O9912" i="10"/>
  <c r="O9913" i="10"/>
  <c r="O9914" i="10"/>
  <c r="O9915" i="10"/>
  <c r="O9916" i="10"/>
  <c r="O9917" i="10"/>
  <c r="O9918" i="10"/>
  <c r="O9919" i="10"/>
  <c r="O9920" i="10"/>
  <c r="O9921" i="10"/>
  <c r="O9922" i="10"/>
  <c r="O9923" i="10"/>
  <c r="O9924" i="10"/>
  <c r="O9925" i="10"/>
  <c r="O9926" i="10"/>
  <c r="O9927" i="10"/>
  <c r="O9928" i="10"/>
  <c r="O9929" i="10"/>
  <c r="O9930" i="10"/>
  <c r="O9931" i="10"/>
  <c r="O9932" i="10"/>
  <c r="O9933" i="10"/>
  <c r="O9934" i="10"/>
  <c r="O9935" i="10"/>
  <c r="O9936" i="10"/>
  <c r="O9937" i="10"/>
  <c r="O9938" i="10"/>
  <c r="O9939" i="10"/>
  <c r="O9940" i="10"/>
  <c r="O9941" i="10"/>
  <c r="O9942" i="10"/>
  <c r="O9943" i="10"/>
  <c r="O9944" i="10"/>
  <c r="O9945" i="10"/>
  <c r="O9946" i="10"/>
  <c r="O9947" i="10"/>
  <c r="O9948" i="10"/>
  <c r="O9949" i="10"/>
  <c r="O9950" i="10"/>
  <c r="O9951" i="10"/>
  <c r="O9952" i="10"/>
  <c r="O9953" i="10"/>
  <c r="O9954" i="10"/>
  <c r="O9955" i="10"/>
  <c r="O9956" i="10"/>
  <c r="O9957" i="10"/>
  <c r="O9958" i="10"/>
  <c r="O9959" i="10"/>
  <c r="O9960" i="10"/>
  <c r="O9961" i="10"/>
  <c r="O9962" i="10"/>
  <c r="O9963" i="10"/>
  <c r="O9964" i="10"/>
  <c r="O9965" i="10"/>
  <c r="O9966" i="10"/>
  <c r="O9967" i="10"/>
  <c r="O9968" i="10"/>
  <c r="O9969" i="10"/>
  <c r="O9970" i="10"/>
  <c r="O9971" i="10"/>
  <c r="O9972" i="10"/>
  <c r="O9973" i="10"/>
  <c r="O9974" i="10"/>
  <c r="O9975" i="10"/>
  <c r="O9976" i="10"/>
  <c r="O9977" i="10"/>
  <c r="O9978" i="10"/>
  <c r="O9979" i="10"/>
  <c r="O9980" i="10"/>
  <c r="O9981" i="10"/>
  <c r="O9982" i="10"/>
  <c r="O9983" i="10"/>
  <c r="O9984" i="10"/>
  <c r="O9985" i="10"/>
  <c r="O9986" i="10"/>
  <c r="O9987" i="10"/>
  <c r="O9988" i="10"/>
  <c r="O9989" i="10"/>
  <c r="O9990" i="10"/>
  <c r="O9991" i="10"/>
  <c r="O9992" i="10"/>
  <c r="O9993" i="10"/>
  <c r="O9994" i="10"/>
  <c r="O9995" i="10"/>
  <c r="O9996" i="10"/>
  <c r="O9997" i="10"/>
  <c r="O9998" i="10"/>
  <c r="O9999" i="10"/>
  <c r="O10000" i="10"/>
  <c r="O10001" i="10"/>
  <c r="O10002" i="10"/>
  <c r="O10003" i="10"/>
  <c r="O10004" i="10"/>
  <c r="O10005" i="10"/>
  <c r="O10006" i="10"/>
  <c r="O10007" i="10"/>
  <c r="O10008" i="10"/>
  <c r="O10009" i="10"/>
  <c r="O10010" i="10"/>
  <c r="O10011" i="10"/>
  <c r="O10012" i="10"/>
  <c r="O10013" i="10"/>
  <c r="O10014" i="10"/>
  <c r="O10015" i="10"/>
  <c r="O10016" i="10"/>
  <c r="O10017" i="10"/>
  <c r="O10018" i="10"/>
  <c r="O10019" i="10"/>
  <c r="O10020" i="10"/>
  <c r="O10021" i="10"/>
  <c r="O10022" i="10"/>
  <c r="O10023" i="10"/>
  <c r="O10024" i="10"/>
  <c r="O10025" i="10"/>
  <c r="O10026" i="10"/>
  <c r="O10027" i="10"/>
  <c r="O10028" i="10"/>
  <c r="O10029" i="10"/>
  <c r="O10030" i="10"/>
  <c r="O10031" i="10"/>
  <c r="O10032" i="10"/>
  <c r="O10033" i="10"/>
  <c r="O10034" i="10"/>
  <c r="O10035" i="10"/>
  <c r="O10036" i="10"/>
  <c r="O10037" i="10"/>
  <c r="O10038" i="10"/>
  <c r="O10039" i="10"/>
  <c r="O10040" i="10"/>
  <c r="O10041" i="10"/>
  <c r="O10042" i="10"/>
  <c r="O10043" i="10"/>
  <c r="O10044" i="10"/>
  <c r="O10045" i="10"/>
  <c r="O10046" i="10"/>
  <c r="O10047" i="10"/>
  <c r="O10048" i="10"/>
  <c r="O10049" i="10"/>
  <c r="O10050" i="10"/>
  <c r="O10051" i="10"/>
  <c r="O10052" i="10"/>
  <c r="O10053" i="10"/>
  <c r="O10054" i="10"/>
  <c r="O10055" i="10"/>
  <c r="O10056" i="10"/>
  <c r="O10057" i="10"/>
  <c r="O10058" i="10"/>
  <c r="O10059" i="10"/>
  <c r="O10060" i="10"/>
  <c r="O10061" i="10"/>
  <c r="O10062" i="10"/>
  <c r="O10063" i="10"/>
  <c r="O10064" i="10"/>
  <c r="O10065" i="10"/>
  <c r="O10066" i="10"/>
  <c r="O10067" i="10"/>
  <c r="O10068" i="10"/>
  <c r="O10069" i="10"/>
  <c r="O10070" i="10"/>
  <c r="O10071" i="10"/>
  <c r="O10072" i="10"/>
  <c r="O10073" i="10"/>
  <c r="O10074" i="10"/>
  <c r="O10075" i="10"/>
  <c r="O10076" i="10"/>
  <c r="O10077" i="10"/>
  <c r="O10078" i="10"/>
  <c r="O10079" i="10"/>
  <c r="O10080" i="10"/>
  <c r="O10081" i="10"/>
  <c r="O10082" i="10"/>
  <c r="O10083" i="10"/>
  <c r="O10084" i="10"/>
  <c r="O10085" i="10"/>
  <c r="O10086" i="10"/>
  <c r="O10087" i="10"/>
  <c r="O10088" i="10"/>
  <c r="O10089" i="10"/>
  <c r="O10090" i="10"/>
  <c r="O10091" i="10"/>
  <c r="O10092" i="10"/>
  <c r="O10093" i="10"/>
  <c r="O10094" i="10"/>
  <c r="O10095" i="10"/>
  <c r="O10096" i="10"/>
  <c r="O10097" i="10"/>
  <c r="O10098" i="10"/>
  <c r="O10099" i="10"/>
  <c r="O10100" i="10"/>
  <c r="O10101" i="10"/>
  <c r="O10102" i="10"/>
  <c r="O10103" i="10"/>
  <c r="O10104" i="10"/>
  <c r="O10105" i="10"/>
  <c r="O10106" i="10"/>
  <c r="O10107" i="10"/>
  <c r="O10108" i="10"/>
  <c r="O10109" i="10"/>
  <c r="O10110" i="10"/>
  <c r="O10111" i="10"/>
  <c r="O10112" i="10"/>
  <c r="O10113" i="10"/>
  <c r="O10114" i="10"/>
  <c r="O10115" i="10"/>
  <c r="O10116" i="10"/>
  <c r="O10117" i="10"/>
  <c r="O10118" i="10"/>
  <c r="O10119" i="10"/>
  <c r="O10120" i="10"/>
  <c r="O10121" i="10"/>
  <c r="O10122" i="10"/>
  <c r="O10123" i="10"/>
  <c r="O10124" i="10"/>
  <c r="O10125" i="10"/>
  <c r="O10126" i="10"/>
  <c r="O10127" i="10"/>
  <c r="O10128" i="10"/>
  <c r="O10129" i="10"/>
  <c r="O10130" i="10"/>
  <c r="O10131" i="10"/>
  <c r="O10132" i="10"/>
  <c r="O10133" i="10"/>
  <c r="O10134" i="10"/>
  <c r="O10135" i="10"/>
  <c r="O10136" i="10"/>
  <c r="O10137" i="10"/>
  <c r="O10138" i="10"/>
  <c r="O10139" i="10"/>
  <c r="O10140" i="10"/>
  <c r="O10141" i="10"/>
  <c r="O10142" i="10"/>
  <c r="O10143" i="10"/>
  <c r="O10144" i="10"/>
  <c r="O10145" i="10"/>
  <c r="O10146" i="10"/>
  <c r="O10147" i="10"/>
  <c r="O10148" i="10"/>
  <c r="O10149" i="10"/>
  <c r="O10150" i="10"/>
  <c r="O10151" i="10"/>
  <c r="O10152" i="10"/>
  <c r="O10153" i="10"/>
  <c r="O10154" i="10"/>
  <c r="O10155" i="10"/>
  <c r="O10156" i="10"/>
  <c r="O10157" i="10"/>
  <c r="O10158" i="10"/>
  <c r="O10159" i="10"/>
  <c r="O10160" i="10"/>
  <c r="O10161" i="10"/>
  <c r="O10162" i="10"/>
  <c r="O10163" i="10"/>
  <c r="O10164" i="10"/>
  <c r="O10165" i="10"/>
  <c r="O10166" i="10"/>
  <c r="O10167" i="10"/>
  <c r="O10168" i="10"/>
  <c r="O10169" i="10"/>
  <c r="O10170" i="10"/>
  <c r="O10171" i="10"/>
  <c r="O10172" i="10"/>
  <c r="O10173" i="10"/>
  <c r="O10174" i="10"/>
  <c r="O10175" i="10"/>
  <c r="O10176" i="10"/>
  <c r="O10177" i="10"/>
  <c r="O10178" i="10"/>
  <c r="O10179" i="10"/>
  <c r="O10180" i="10"/>
  <c r="O10181" i="10"/>
  <c r="O10182" i="10"/>
  <c r="O10183" i="10"/>
  <c r="O10184" i="10"/>
  <c r="O10185" i="10"/>
  <c r="O10186" i="10"/>
  <c r="O10187" i="10"/>
  <c r="O10188" i="10"/>
  <c r="O10189" i="10"/>
  <c r="O10190" i="10"/>
  <c r="O10191" i="10"/>
  <c r="O10192" i="10"/>
  <c r="O10193" i="10"/>
  <c r="O10194" i="10"/>
  <c r="O10195" i="10"/>
  <c r="O10196" i="10"/>
  <c r="O10197" i="10"/>
  <c r="O10198" i="10"/>
  <c r="O10199" i="10"/>
  <c r="O10200" i="10"/>
  <c r="O10201" i="10"/>
  <c r="O10202" i="10"/>
  <c r="O10203" i="10"/>
  <c r="O10204" i="10"/>
  <c r="O10205" i="10"/>
  <c r="O10206" i="10"/>
  <c r="O10207" i="10"/>
  <c r="O10208" i="10"/>
  <c r="O10209" i="10"/>
  <c r="O10210" i="10"/>
  <c r="O10211" i="10"/>
  <c r="O10212" i="10"/>
  <c r="O10213" i="10"/>
  <c r="O10214" i="10"/>
  <c r="O10215" i="10"/>
  <c r="O10216" i="10"/>
  <c r="O10217" i="10"/>
  <c r="O10218" i="10"/>
  <c r="O10219" i="10"/>
  <c r="O10220" i="10"/>
  <c r="O10221" i="10"/>
  <c r="O10222" i="10"/>
  <c r="O10223" i="10"/>
  <c r="O10224" i="10"/>
  <c r="O10225" i="10"/>
  <c r="O10226" i="10"/>
  <c r="O10227" i="10"/>
  <c r="O10228" i="10"/>
  <c r="O10229" i="10"/>
  <c r="O10230" i="10"/>
  <c r="O10231" i="10"/>
  <c r="O10232" i="10"/>
  <c r="O10233" i="10"/>
  <c r="O10234" i="10"/>
  <c r="O10235" i="10"/>
  <c r="O10236" i="10"/>
  <c r="O10237" i="10"/>
  <c r="O10238" i="10"/>
  <c r="O10239" i="10"/>
  <c r="O10240" i="10"/>
  <c r="O10241" i="10"/>
  <c r="O10242" i="10"/>
  <c r="O10243" i="10"/>
  <c r="O10244" i="10"/>
  <c r="O10245" i="10"/>
  <c r="O10246" i="10"/>
  <c r="O10247" i="10"/>
  <c r="O10248" i="10"/>
  <c r="O10249" i="10"/>
  <c r="O10250" i="10"/>
  <c r="O10251" i="10"/>
  <c r="O10252" i="10"/>
  <c r="O10253" i="10"/>
  <c r="O10254" i="10"/>
  <c r="O10255" i="10"/>
  <c r="O10256" i="10"/>
  <c r="O10257" i="10"/>
  <c r="O10258" i="10"/>
  <c r="O10259" i="10"/>
  <c r="O10260" i="10"/>
  <c r="O10261" i="10"/>
  <c r="O10262" i="10"/>
  <c r="O10263" i="10"/>
  <c r="O10264" i="10"/>
  <c r="O10265" i="10"/>
  <c r="O10266" i="10"/>
  <c r="O10267" i="10"/>
  <c r="O10268" i="10"/>
  <c r="O10269" i="10"/>
  <c r="O10270" i="10"/>
  <c r="O10271" i="10"/>
  <c r="O10272" i="10"/>
  <c r="O10273" i="10"/>
  <c r="O10274" i="10"/>
  <c r="O10275" i="10"/>
  <c r="O10276" i="10"/>
  <c r="O10277" i="10"/>
  <c r="O10278" i="10"/>
  <c r="O10279" i="10"/>
  <c r="O10280" i="10"/>
  <c r="O10281" i="10"/>
  <c r="O10282" i="10"/>
  <c r="O10283" i="10"/>
  <c r="O10284" i="10"/>
  <c r="O10285" i="10"/>
  <c r="O10286" i="10"/>
  <c r="O10287" i="10"/>
  <c r="O10288" i="10"/>
  <c r="O10289" i="10"/>
  <c r="O10290" i="10"/>
  <c r="O10291" i="10"/>
  <c r="O10292" i="10"/>
  <c r="O10293" i="10"/>
  <c r="O10294" i="10"/>
  <c r="O10295" i="10"/>
  <c r="O10296" i="10"/>
  <c r="O10297" i="10"/>
  <c r="O10298" i="10"/>
  <c r="O10299" i="10"/>
  <c r="O10300" i="10"/>
  <c r="O10301" i="10"/>
  <c r="O10302" i="10"/>
  <c r="O10303" i="10"/>
  <c r="O10304" i="10"/>
  <c r="O10305" i="10"/>
  <c r="O10306" i="10"/>
  <c r="O10307" i="10"/>
  <c r="O10308" i="10"/>
  <c r="O10309" i="10"/>
  <c r="O10310" i="10"/>
  <c r="O10311" i="10"/>
  <c r="O10312" i="10"/>
  <c r="O10313" i="10"/>
  <c r="O10314" i="10"/>
  <c r="O10315" i="10"/>
  <c r="O10316" i="10"/>
  <c r="O10317" i="10"/>
  <c r="O10318" i="10"/>
  <c r="O10319" i="10"/>
  <c r="O10320" i="10"/>
  <c r="O10321" i="10"/>
  <c r="O10322" i="10"/>
  <c r="O10323" i="10"/>
  <c r="O10324" i="10"/>
  <c r="O10325" i="10"/>
  <c r="O10326" i="10"/>
  <c r="O10327" i="10"/>
  <c r="O10328" i="10"/>
  <c r="O10329" i="10"/>
  <c r="O10330" i="10"/>
  <c r="O10331" i="10"/>
  <c r="O10332" i="10"/>
  <c r="O10333" i="10"/>
  <c r="O10334" i="10"/>
  <c r="O10335" i="10"/>
  <c r="O10336" i="10"/>
  <c r="O10337" i="10"/>
  <c r="O10338" i="10"/>
  <c r="O10339" i="10"/>
  <c r="O10340" i="10"/>
  <c r="O10341" i="10"/>
  <c r="O10342" i="10"/>
  <c r="O10343" i="10"/>
  <c r="O10344" i="10"/>
  <c r="O10345" i="10"/>
  <c r="O10346" i="10"/>
  <c r="O10347" i="10"/>
  <c r="O10348" i="10"/>
  <c r="O10349" i="10"/>
  <c r="O10350" i="10"/>
  <c r="O10351" i="10"/>
  <c r="O10352" i="10"/>
  <c r="O10353" i="10"/>
  <c r="O10354" i="10"/>
  <c r="O10355" i="10"/>
  <c r="O10356" i="10"/>
  <c r="O10357" i="10"/>
  <c r="O10358" i="10"/>
  <c r="O10359" i="10"/>
  <c r="O10360" i="10"/>
  <c r="O10361" i="10"/>
  <c r="O10362" i="10"/>
  <c r="O10363" i="10"/>
  <c r="O10364" i="10"/>
  <c r="O10365" i="10"/>
  <c r="O10366" i="10"/>
  <c r="O10367" i="10"/>
  <c r="O10368" i="10"/>
  <c r="O10369" i="10"/>
  <c r="O10370" i="10"/>
  <c r="O10371" i="10"/>
  <c r="O10372" i="10"/>
  <c r="O10373" i="10"/>
  <c r="O10374" i="10"/>
  <c r="O10375" i="10"/>
  <c r="O10376" i="10"/>
  <c r="O10377" i="10"/>
  <c r="O10378" i="10"/>
  <c r="O10379" i="10"/>
  <c r="O10380" i="10"/>
  <c r="O10381" i="10"/>
  <c r="O10382" i="10"/>
  <c r="O10383" i="10"/>
  <c r="O10384" i="10"/>
  <c r="O10385" i="10"/>
  <c r="O10386" i="10"/>
  <c r="O10387" i="10"/>
  <c r="O10388" i="10"/>
  <c r="O10389" i="10"/>
  <c r="O10390" i="10"/>
  <c r="O10391" i="10"/>
  <c r="O10392" i="10"/>
  <c r="O10393" i="10"/>
  <c r="O10394" i="10"/>
  <c r="O10395" i="10"/>
  <c r="O10396" i="10"/>
  <c r="O10397" i="10"/>
  <c r="O10398" i="10"/>
  <c r="O10399" i="10"/>
  <c r="O10400" i="10"/>
  <c r="O10401" i="10"/>
  <c r="O10402" i="10"/>
  <c r="O10403" i="10"/>
  <c r="O10404" i="10"/>
  <c r="O10405" i="10"/>
  <c r="O10406" i="10"/>
  <c r="O10407" i="10"/>
  <c r="O10408" i="10"/>
  <c r="O10409" i="10"/>
  <c r="O10410" i="10"/>
  <c r="O10411" i="10"/>
  <c r="O10412" i="10"/>
  <c r="O10413" i="10"/>
  <c r="O10414" i="10"/>
  <c r="O10415" i="10"/>
  <c r="O10416" i="10"/>
  <c r="O10417" i="10"/>
  <c r="O10418" i="10"/>
  <c r="O10419" i="10"/>
  <c r="O10420" i="10"/>
  <c r="O10421" i="10"/>
  <c r="O10422" i="10"/>
  <c r="O10423" i="10"/>
  <c r="O10424" i="10"/>
  <c r="O10425" i="10"/>
  <c r="O10426" i="10"/>
  <c r="O10427" i="10"/>
  <c r="O10428" i="10"/>
  <c r="O10429" i="10"/>
  <c r="O10430" i="10"/>
  <c r="O10431" i="10"/>
  <c r="O10432" i="10"/>
  <c r="O10433" i="10"/>
  <c r="O10434" i="10"/>
  <c r="O10435" i="10"/>
  <c r="O10436" i="10"/>
  <c r="O10437" i="10"/>
  <c r="O10438" i="10"/>
  <c r="O10439" i="10"/>
  <c r="O10440" i="10"/>
  <c r="O10441" i="10"/>
  <c r="O10442" i="10"/>
  <c r="O10443" i="10"/>
  <c r="O10444" i="10"/>
  <c r="O10445" i="10"/>
  <c r="O10446" i="10"/>
  <c r="O10447" i="10"/>
  <c r="O10448" i="10"/>
  <c r="O10449" i="10"/>
  <c r="O10450" i="10"/>
  <c r="O10451" i="10"/>
  <c r="O10452" i="10"/>
  <c r="O10453" i="10"/>
  <c r="O10454" i="10"/>
  <c r="O10455" i="10"/>
  <c r="O10456" i="10"/>
  <c r="O10457" i="10"/>
  <c r="O10458" i="10"/>
  <c r="O10459" i="10"/>
  <c r="O10460" i="10"/>
  <c r="O10461" i="10"/>
  <c r="O10462" i="10"/>
  <c r="O10463" i="10"/>
  <c r="O10464" i="10"/>
  <c r="O10465" i="10"/>
  <c r="O10466" i="10"/>
  <c r="O10467" i="10"/>
  <c r="O10468" i="10"/>
  <c r="O10469" i="10"/>
  <c r="O10470" i="10"/>
  <c r="O10471" i="10"/>
  <c r="O10472" i="10"/>
  <c r="O10473" i="10"/>
  <c r="O10474" i="10"/>
  <c r="O10475" i="10"/>
  <c r="O10476" i="10"/>
  <c r="O10477" i="10"/>
  <c r="O10478" i="10"/>
  <c r="O10479" i="10"/>
  <c r="O10480" i="10"/>
  <c r="O10481" i="10"/>
  <c r="O10482" i="10"/>
  <c r="O10483" i="10"/>
  <c r="O10484" i="10"/>
  <c r="O10485" i="10"/>
  <c r="O10486" i="10"/>
  <c r="O10487" i="10"/>
  <c r="O10488" i="10"/>
  <c r="O10489" i="10"/>
  <c r="O10490" i="10"/>
  <c r="O10491" i="10"/>
  <c r="O10492" i="10"/>
  <c r="O10493" i="10"/>
  <c r="O10494" i="10"/>
  <c r="O10495" i="10"/>
  <c r="O10496" i="10"/>
  <c r="O10497" i="10"/>
  <c r="O10498" i="10"/>
  <c r="O10499" i="10"/>
  <c r="O10500" i="10"/>
  <c r="O10501" i="10"/>
  <c r="O10502" i="10"/>
  <c r="O10503" i="10"/>
  <c r="O10504" i="10"/>
  <c r="O10505" i="10"/>
  <c r="O10506" i="10"/>
  <c r="O10507" i="10"/>
  <c r="O10508" i="10"/>
  <c r="O10509" i="10"/>
  <c r="O10510" i="10"/>
  <c r="O10511" i="10"/>
  <c r="O10512" i="10"/>
  <c r="O10513" i="10"/>
  <c r="O10514" i="10"/>
  <c r="O10515" i="10"/>
  <c r="O10516" i="10"/>
  <c r="O10517" i="10"/>
  <c r="O10518" i="10"/>
  <c r="O10519" i="10"/>
  <c r="O10520" i="10"/>
  <c r="O10521" i="10"/>
  <c r="O10522" i="10"/>
  <c r="O10523" i="10"/>
  <c r="O10524" i="10"/>
  <c r="O10525" i="10"/>
  <c r="O10526" i="10"/>
  <c r="O10527" i="10"/>
  <c r="O10528" i="10"/>
  <c r="O10529" i="10"/>
  <c r="O10530" i="10"/>
  <c r="O10531" i="10"/>
  <c r="O10532" i="10"/>
  <c r="O10533" i="10"/>
  <c r="O10534" i="10"/>
  <c r="O10535" i="10"/>
  <c r="O10536" i="10"/>
  <c r="O10537" i="10"/>
  <c r="O10538" i="10"/>
  <c r="O10539" i="10"/>
  <c r="O10540" i="10"/>
  <c r="O10541" i="10"/>
  <c r="O10542" i="10"/>
  <c r="O10543" i="10"/>
  <c r="O10544" i="10"/>
  <c r="O10545" i="10"/>
  <c r="O10546" i="10"/>
  <c r="O10547" i="10"/>
  <c r="O10548" i="10"/>
  <c r="O10549" i="10"/>
  <c r="O10550" i="10"/>
  <c r="O10551" i="10"/>
  <c r="O10552" i="10"/>
  <c r="O10553" i="10"/>
  <c r="O10554" i="10"/>
  <c r="O10555" i="10"/>
  <c r="O10556" i="10"/>
  <c r="O10557" i="10"/>
  <c r="O10558" i="10"/>
  <c r="O10559" i="10"/>
  <c r="O10560" i="10"/>
  <c r="O10561" i="10"/>
  <c r="O10562" i="10"/>
  <c r="O10563" i="10"/>
  <c r="O10564" i="10"/>
  <c r="O10565" i="10"/>
  <c r="O10566" i="10"/>
  <c r="O10567" i="10"/>
  <c r="O10568" i="10"/>
  <c r="O10569" i="10"/>
  <c r="O10570" i="10"/>
  <c r="O10571" i="10"/>
  <c r="O10572" i="10"/>
  <c r="O10573" i="10"/>
  <c r="O10574" i="10"/>
  <c r="O10575" i="10"/>
  <c r="O10576" i="10"/>
  <c r="O10577" i="10"/>
  <c r="O10578" i="10"/>
  <c r="O10579" i="10"/>
  <c r="O10580" i="10"/>
  <c r="O10581" i="10"/>
  <c r="O10582" i="10"/>
  <c r="O10583" i="10"/>
  <c r="O10584" i="10"/>
  <c r="O10585" i="10"/>
  <c r="O10586" i="10"/>
  <c r="O10587" i="10"/>
  <c r="O10588" i="10"/>
  <c r="O10589" i="10"/>
  <c r="O10590" i="10"/>
  <c r="O10591" i="10"/>
  <c r="O10592" i="10"/>
  <c r="O10593" i="10"/>
  <c r="O10594" i="10"/>
  <c r="O10595" i="10"/>
  <c r="O10596" i="10"/>
  <c r="O10597" i="10"/>
  <c r="O10598" i="10"/>
  <c r="O10599" i="10"/>
  <c r="O10600" i="10"/>
  <c r="O10601" i="10"/>
  <c r="O10602" i="10"/>
  <c r="O10603" i="10"/>
  <c r="O10604" i="10"/>
  <c r="O10605" i="10"/>
  <c r="O10606" i="10"/>
  <c r="O10607" i="10"/>
  <c r="O10608" i="10"/>
  <c r="O10609" i="10"/>
  <c r="O10610" i="10"/>
  <c r="O10611" i="10"/>
  <c r="O10612" i="10"/>
  <c r="O10613" i="10"/>
  <c r="O10614" i="10"/>
  <c r="O10615" i="10"/>
  <c r="O10616" i="10"/>
  <c r="O10617" i="10"/>
  <c r="O10618" i="10"/>
  <c r="O10619" i="10"/>
  <c r="O10620" i="10"/>
  <c r="O10621" i="10"/>
  <c r="O10622" i="10"/>
  <c r="O10623" i="10"/>
  <c r="O10624" i="10"/>
  <c r="O10625" i="10"/>
  <c r="O10626" i="10"/>
  <c r="O10627" i="10"/>
  <c r="O10628" i="10"/>
  <c r="O10629" i="10"/>
  <c r="O10630" i="10"/>
  <c r="O10631" i="10"/>
  <c r="O10632" i="10"/>
  <c r="O10633" i="10"/>
  <c r="O10634" i="10"/>
  <c r="O10635" i="10"/>
  <c r="O10636" i="10"/>
  <c r="O10637" i="10"/>
  <c r="O10638" i="10"/>
  <c r="O10639" i="10"/>
  <c r="O10640" i="10"/>
  <c r="O10641" i="10"/>
  <c r="O10642" i="10"/>
  <c r="O10643" i="10"/>
  <c r="O10644" i="10"/>
  <c r="O10645" i="10"/>
  <c r="O10646" i="10"/>
  <c r="O10647" i="10"/>
  <c r="O10648" i="10"/>
  <c r="O10649" i="10"/>
  <c r="O10650" i="10"/>
  <c r="O10651" i="10"/>
  <c r="O10652" i="10"/>
  <c r="O10653" i="10"/>
  <c r="O10654" i="10"/>
  <c r="O10655" i="10"/>
  <c r="O10656" i="10"/>
  <c r="O10657" i="10"/>
  <c r="O10658" i="10"/>
  <c r="O10659" i="10"/>
  <c r="O10660" i="10"/>
  <c r="O10661" i="10"/>
  <c r="O10662" i="10"/>
  <c r="O10663" i="10"/>
  <c r="O10664" i="10"/>
  <c r="O10665" i="10"/>
  <c r="O10666" i="10"/>
  <c r="O10667" i="10"/>
  <c r="O10668" i="10"/>
  <c r="O10669" i="10"/>
  <c r="O10670" i="10"/>
  <c r="O10671" i="10"/>
  <c r="O10672" i="10"/>
  <c r="O10673" i="10"/>
  <c r="O10674" i="10"/>
  <c r="O10675" i="10"/>
  <c r="O10676" i="10"/>
  <c r="O10677" i="10"/>
  <c r="O10678" i="10"/>
  <c r="O10679" i="10"/>
  <c r="O10680" i="10"/>
  <c r="O10681" i="10"/>
  <c r="O10682" i="10"/>
  <c r="O10683" i="10"/>
  <c r="O10684" i="10"/>
  <c r="O10685" i="10"/>
  <c r="O10686" i="10"/>
  <c r="O10687" i="10"/>
  <c r="O10688" i="10"/>
  <c r="O10689" i="10"/>
  <c r="O10690" i="10"/>
  <c r="O10691" i="10"/>
  <c r="O10692" i="10"/>
  <c r="O10693" i="10"/>
  <c r="O10694" i="10"/>
  <c r="O10695" i="10"/>
  <c r="O10696" i="10"/>
  <c r="O10697" i="10"/>
  <c r="O10698" i="10"/>
  <c r="O10699" i="10"/>
  <c r="O10700" i="10"/>
  <c r="O10701" i="10"/>
  <c r="O10702" i="10"/>
  <c r="O10703" i="10"/>
  <c r="O10704" i="10"/>
  <c r="O10705" i="10"/>
  <c r="O10706" i="10"/>
  <c r="O10707" i="10"/>
  <c r="O10708" i="10"/>
  <c r="O10709" i="10"/>
  <c r="O10710" i="10"/>
  <c r="O10711" i="10"/>
  <c r="O10712" i="10"/>
  <c r="O10713" i="10"/>
  <c r="O10714" i="10"/>
  <c r="O10715" i="10"/>
  <c r="O10716" i="10"/>
  <c r="O10717" i="10"/>
  <c r="O10718" i="10"/>
  <c r="O10719" i="10"/>
  <c r="O10720" i="10"/>
  <c r="O10721" i="10"/>
  <c r="O10722" i="10"/>
  <c r="O10723" i="10"/>
  <c r="O10724" i="10"/>
  <c r="O10725" i="10"/>
  <c r="O10726" i="10"/>
  <c r="O10727" i="10"/>
  <c r="O10728" i="10"/>
  <c r="O10729" i="10"/>
  <c r="O10730" i="10"/>
  <c r="O10731" i="10"/>
  <c r="O10732" i="10"/>
  <c r="O10733" i="10"/>
  <c r="O10734" i="10"/>
  <c r="O10735" i="10"/>
  <c r="O10736" i="10"/>
  <c r="O10737" i="10"/>
  <c r="O10738" i="10"/>
  <c r="O10739" i="10"/>
  <c r="O10740" i="10"/>
  <c r="O10741" i="10"/>
  <c r="O10742" i="10"/>
  <c r="O10743" i="10"/>
  <c r="O10744" i="10"/>
  <c r="O10745" i="10"/>
  <c r="O10746" i="10"/>
  <c r="O10747" i="10"/>
  <c r="O10748" i="10"/>
  <c r="O10749" i="10"/>
  <c r="O10750" i="10"/>
  <c r="O10751" i="10"/>
  <c r="O10752" i="10"/>
  <c r="O10753" i="10"/>
  <c r="O10754" i="10"/>
  <c r="O10755" i="10"/>
  <c r="O10756" i="10"/>
  <c r="O10757" i="10"/>
  <c r="O10758" i="10"/>
  <c r="O10759" i="10"/>
  <c r="O10760" i="10"/>
  <c r="O10761" i="10"/>
  <c r="O10762" i="10"/>
  <c r="O10763" i="10"/>
  <c r="O10764" i="10"/>
  <c r="O10765" i="10"/>
  <c r="O10766" i="10"/>
  <c r="O10767" i="10"/>
  <c r="O10768" i="10"/>
  <c r="O10769" i="10"/>
  <c r="O10770" i="10"/>
  <c r="O10771" i="10"/>
  <c r="O10772" i="10"/>
  <c r="O10773" i="10"/>
  <c r="O10774" i="10"/>
  <c r="O10775" i="10"/>
  <c r="O10776" i="10"/>
  <c r="O10777" i="10"/>
  <c r="O10778" i="10"/>
  <c r="O10779" i="10"/>
  <c r="O10780" i="10"/>
  <c r="O10781" i="10"/>
  <c r="O10782" i="10"/>
  <c r="O10783" i="10"/>
  <c r="O10784" i="10"/>
  <c r="O10785" i="10"/>
  <c r="O10786" i="10"/>
  <c r="O10787" i="10"/>
  <c r="O10788" i="10"/>
  <c r="O10789" i="10"/>
  <c r="O10790" i="10"/>
  <c r="O10791" i="10"/>
  <c r="O10792" i="10"/>
  <c r="O10793" i="10"/>
  <c r="O10794" i="10"/>
  <c r="O10795" i="10"/>
  <c r="O10796" i="10"/>
  <c r="O10797" i="10"/>
  <c r="O10798" i="10"/>
  <c r="O10799" i="10"/>
  <c r="O10800" i="10"/>
  <c r="O10801" i="10"/>
  <c r="O10802" i="10"/>
  <c r="O10803" i="10"/>
  <c r="O10804" i="10"/>
  <c r="O10805" i="10"/>
  <c r="O10806" i="10"/>
  <c r="O10807" i="10"/>
  <c r="O10808" i="10"/>
  <c r="O10809" i="10"/>
  <c r="O10810" i="10"/>
  <c r="O10811" i="10"/>
  <c r="O10812" i="10"/>
  <c r="O10813" i="10"/>
  <c r="O10814" i="10"/>
  <c r="O10815" i="10"/>
  <c r="O10816" i="10"/>
  <c r="O10817" i="10"/>
  <c r="O10818" i="10"/>
  <c r="O10819" i="10"/>
  <c r="O10820" i="10"/>
  <c r="O10821" i="10"/>
  <c r="O10822" i="10"/>
  <c r="O10823" i="10"/>
  <c r="O10824" i="10"/>
  <c r="O10825" i="10"/>
  <c r="O10826" i="10"/>
  <c r="O10827" i="10"/>
  <c r="O10828" i="10"/>
  <c r="O10829" i="10"/>
  <c r="O10830" i="10"/>
  <c r="O10831" i="10"/>
  <c r="O10832" i="10"/>
  <c r="O10833" i="10"/>
  <c r="O10834" i="10"/>
  <c r="O10835" i="10"/>
  <c r="O10836" i="10"/>
  <c r="O10837" i="10"/>
  <c r="O10838" i="10"/>
  <c r="O10839" i="10"/>
  <c r="O10840" i="10"/>
  <c r="O10841" i="10"/>
  <c r="O10842" i="10"/>
  <c r="O10843" i="10"/>
  <c r="O10844" i="10"/>
  <c r="O10845" i="10"/>
  <c r="O10846" i="10"/>
  <c r="O10847" i="10"/>
  <c r="O10848" i="10"/>
  <c r="O10849" i="10"/>
  <c r="O10850" i="10"/>
  <c r="O10851" i="10"/>
  <c r="O10852" i="10"/>
  <c r="O10853" i="10"/>
  <c r="O10854" i="10"/>
  <c r="O10855" i="10"/>
  <c r="O10856" i="10"/>
  <c r="O10857" i="10"/>
  <c r="O10858" i="10"/>
  <c r="O10859" i="10"/>
  <c r="O10860" i="10"/>
  <c r="O10861" i="10"/>
  <c r="O10862" i="10"/>
  <c r="O10863" i="10"/>
  <c r="O10864" i="10"/>
  <c r="O10865" i="10"/>
  <c r="O10866" i="10"/>
  <c r="O10867" i="10"/>
  <c r="O10868" i="10"/>
  <c r="O10869" i="10"/>
  <c r="O10870" i="10"/>
  <c r="O10871" i="10"/>
  <c r="O10872" i="10"/>
  <c r="O10873" i="10"/>
  <c r="O10874" i="10"/>
  <c r="O10875" i="10"/>
  <c r="O10876" i="10"/>
  <c r="O10877" i="10"/>
  <c r="O10878" i="10"/>
  <c r="O10879" i="10"/>
  <c r="O10880" i="10"/>
  <c r="O10881" i="10"/>
  <c r="O10882" i="10"/>
  <c r="O10883" i="10"/>
  <c r="O10884" i="10"/>
  <c r="O10885" i="10"/>
  <c r="O10886" i="10"/>
  <c r="O10887" i="10"/>
  <c r="O10888" i="10"/>
  <c r="O10889" i="10"/>
  <c r="O10890" i="10"/>
  <c r="O10891" i="10"/>
  <c r="O10892" i="10"/>
  <c r="O10893" i="10"/>
  <c r="O10894" i="10"/>
  <c r="O10895" i="10"/>
  <c r="O10896" i="10"/>
  <c r="O10897" i="10"/>
  <c r="O10898" i="10"/>
  <c r="O10899" i="10"/>
  <c r="O10900" i="10"/>
  <c r="O10901" i="10"/>
  <c r="O10902" i="10"/>
  <c r="O10903" i="10"/>
  <c r="O10904" i="10"/>
  <c r="O10905" i="10"/>
  <c r="O10906" i="10"/>
  <c r="O10907" i="10"/>
  <c r="O10908" i="10"/>
  <c r="O10909" i="10"/>
  <c r="O10910" i="10"/>
  <c r="O10911" i="10"/>
  <c r="O10912" i="10"/>
  <c r="O10913" i="10"/>
  <c r="O10914" i="10"/>
  <c r="O10915" i="10"/>
  <c r="O10916" i="10"/>
  <c r="O10917" i="10"/>
  <c r="O10918" i="10"/>
  <c r="O10919" i="10"/>
  <c r="O10920" i="10"/>
  <c r="O10921" i="10"/>
  <c r="O10922" i="10"/>
  <c r="O10923" i="10"/>
  <c r="O10924" i="10"/>
  <c r="O10925" i="10"/>
  <c r="O10926" i="10"/>
  <c r="O10927" i="10"/>
  <c r="O10928" i="10"/>
  <c r="O10929" i="10"/>
  <c r="O10930" i="10"/>
  <c r="O10931" i="10"/>
  <c r="O10932" i="10"/>
  <c r="O10933" i="10"/>
  <c r="O10934" i="10"/>
  <c r="O10935" i="10"/>
  <c r="O10936" i="10"/>
  <c r="O10937" i="10"/>
  <c r="O10938" i="10"/>
  <c r="O10939" i="10"/>
  <c r="O10940" i="10"/>
  <c r="O10941" i="10"/>
  <c r="O10942" i="10"/>
  <c r="O10943" i="10"/>
  <c r="O10944" i="10"/>
  <c r="O10945" i="10"/>
  <c r="O10946" i="10"/>
  <c r="O10947" i="10"/>
  <c r="O10948" i="10"/>
  <c r="O10949" i="10"/>
  <c r="O10950" i="10"/>
  <c r="O10951" i="10"/>
  <c r="O10952" i="10"/>
  <c r="O10953" i="10"/>
  <c r="O10954" i="10"/>
  <c r="O10955" i="10"/>
  <c r="O10956" i="10"/>
  <c r="O10957" i="10"/>
  <c r="O10958" i="10"/>
  <c r="O10959" i="10"/>
  <c r="O10960" i="10"/>
  <c r="O10961" i="10"/>
  <c r="O10962" i="10"/>
  <c r="O10963" i="10"/>
  <c r="O10964" i="10"/>
  <c r="O10965" i="10"/>
  <c r="O10966" i="10"/>
  <c r="O10967" i="10"/>
  <c r="O10968" i="10"/>
  <c r="O10969" i="10"/>
  <c r="O10970" i="10"/>
  <c r="O10971" i="10"/>
  <c r="O10972" i="10"/>
  <c r="O10973" i="10"/>
  <c r="O10974" i="10"/>
  <c r="O10975" i="10"/>
  <c r="O10976" i="10"/>
  <c r="O10977" i="10"/>
  <c r="O10978" i="10"/>
  <c r="O10979" i="10"/>
  <c r="O10980" i="10"/>
  <c r="O10981" i="10"/>
  <c r="O10982" i="10"/>
  <c r="O10983" i="10"/>
  <c r="O10984" i="10"/>
  <c r="O10985" i="10"/>
  <c r="O10986" i="10"/>
  <c r="O10987" i="10"/>
  <c r="O10988" i="10"/>
  <c r="O10989" i="10"/>
  <c r="O10990" i="10"/>
  <c r="O10991" i="10"/>
  <c r="O10992" i="10"/>
  <c r="O10993" i="10"/>
  <c r="O10994" i="10"/>
  <c r="O10995" i="10"/>
  <c r="O10996" i="10"/>
  <c r="O10997" i="10"/>
  <c r="O10998" i="10"/>
  <c r="O10999" i="10"/>
  <c r="O11000" i="10"/>
  <c r="O11001" i="10"/>
  <c r="O11002" i="10"/>
  <c r="O11003" i="10"/>
  <c r="O11004" i="10"/>
  <c r="O11005" i="10"/>
  <c r="O11006" i="10"/>
  <c r="O11007" i="10"/>
  <c r="O11008" i="10"/>
  <c r="O11009" i="10"/>
  <c r="O11010" i="10"/>
  <c r="O11011" i="10"/>
  <c r="O11012" i="10"/>
  <c r="O11013" i="10"/>
  <c r="O11014" i="10"/>
  <c r="O11015" i="10"/>
  <c r="O11016" i="10"/>
  <c r="O11017" i="10"/>
  <c r="O11018" i="10"/>
  <c r="O11019" i="10"/>
  <c r="O11020" i="10"/>
  <c r="O11021" i="10"/>
  <c r="O11022" i="10"/>
  <c r="O11023" i="10"/>
  <c r="O11024" i="10"/>
  <c r="O11025" i="10"/>
  <c r="O11026" i="10"/>
  <c r="O11027" i="10"/>
  <c r="O11028" i="10"/>
  <c r="O11029" i="10"/>
  <c r="O11030" i="10"/>
  <c r="O11031" i="10"/>
  <c r="O11032" i="10"/>
  <c r="O11033" i="10"/>
  <c r="O11034" i="10"/>
  <c r="O11035" i="10"/>
  <c r="O11036" i="10"/>
  <c r="O11037" i="10"/>
  <c r="O11038" i="10"/>
  <c r="O11039" i="10"/>
  <c r="O11040" i="10"/>
  <c r="O11041" i="10"/>
  <c r="O11042" i="10"/>
  <c r="O11043" i="10"/>
  <c r="O11044" i="10"/>
  <c r="O11045" i="10"/>
  <c r="O11046" i="10"/>
  <c r="O11047" i="10"/>
  <c r="O11048" i="10"/>
  <c r="O11049" i="10"/>
  <c r="O11050" i="10"/>
  <c r="O11051" i="10"/>
  <c r="O11052" i="10"/>
  <c r="O11053" i="10"/>
  <c r="O11054" i="10"/>
  <c r="O11055" i="10"/>
  <c r="O11056" i="10"/>
  <c r="O11057" i="10"/>
  <c r="O11058" i="10"/>
  <c r="O11059" i="10"/>
  <c r="O11060" i="10"/>
  <c r="O11061" i="10"/>
  <c r="O11062" i="10"/>
  <c r="O11063" i="10"/>
  <c r="O11064" i="10"/>
  <c r="O11065" i="10"/>
  <c r="O11066" i="10"/>
  <c r="O11067" i="10"/>
  <c r="O11068" i="10"/>
  <c r="O11069" i="10"/>
  <c r="O11070" i="10"/>
  <c r="O11071" i="10"/>
  <c r="O11072" i="10"/>
  <c r="O11073" i="10"/>
  <c r="O11074" i="10"/>
  <c r="O11075" i="10"/>
  <c r="O11076" i="10"/>
  <c r="O11077" i="10"/>
  <c r="O11078" i="10"/>
  <c r="O11079" i="10"/>
  <c r="O11080" i="10"/>
  <c r="O11081" i="10"/>
  <c r="O11082" i="10"/>
  <c r="O11083" i="10"/>
  <c r="O11084" i="10"/>
  <c r="O11085" i="10"/>
  <c r="O11086" i="10"/>
  <c r="O11087" i="10"/>
  <c r="O11088" i="10"/>
  <c r="O11089" i="10"/>
  <c r="O11090" i="10"/>
  <c r="O11091" i="10"/>
  <c r="O11092" i="10"/>
  <c r="O11093" i="10"/>
  <c r="O11094" i="10"/>
  <c r="O11095" i="10"/>
  <c r="O11096" i="10"/>
  <c r="O11097" i="10"/>
  <c r="O11098" i="10"/>
  <c r="O11099" i="10"/>
  <c r="O11100" i="10"/>
  <c r="O11101" i="10"/>
  <c r="O11102" i="10"/>
  <c r="O11103" i="10"/>
  <c r="O11104" i="10"/>
  <c r="O11105" i="10"/>
  <c r="O11106" i="10"/>
  <c r="O11107" i="10"/>
  <c r="O11108" i="10"/>
  <c r="O11109" i="10"/>
  <c r="O11110" i="10"/>
  <c r="O11111" i="10"/>
  <c r="O11112" i="10"/>
  <c r="O11113" i="10"/>
  <c r="O11114" i="10"/>
  <c r="O11115" i="10"/>
  <c r="O11116" i="10"/>
  <c r="O11117" i="10"/>
  <c r="O11118" i="10"/>
  <c r="O11119" i="10"/>
  <c r="O11120" i="10"/>
  <c r="O11121" i="10"/>
  <c r="O11122" i="10"/>
  <c r="O11123" i="10"/>
  <c r="O11124" i="10"/>
  <c r="O11125" i="10"/>
  <c r="O11126" i="10"/>
  <c r="O11127" i="10"/>
  <c r="O11128" i="10"/>
  <c r="O11129" i="10"/>
  <c r="O11130" i="10"/>
  <c r="O11131" i="10"/>
  <c r="O11132" i="10"/>
  <c r="O11133" i="10"/>
  <c r="O11134" i="10"/>
  <c r="O11135" i="10"/>
  <c r="O11136" i="10"/>
  <c r="O11137" i="10"/>
  <c r="O11138" i="10"/>
  <c r="O11139" i="10"/>
  <c r="O11140" i="10"/>
  <c r="O11141" i="10"/>
  <c r="O11142" i="10"/>
  <c r="O11143" i="10"/>
  <c r="O11144" i="10"/>
  <c r="O11145" i="10"/>
  <c r="O11146" i="10"/>
  <c r="O11147" i="10"/>
  <c r="O11148" i="10"/>
  <c r="O11149" i="10"/>
  <c r="O11150" i="10"/>
  <c r="O11151" i="10"/>
  <c r="O11152" i="10"/>
  <c r="O11153" i="10"/>
  <c r="O11154" i="10"/>
  <c r="O11155" i="10"/>
  <c r="O11156" i="10"/>
  <c r="O11157" i="10"/>
  <c r="O11158" i="10"/>
  <c r="O11159" i="10"/>
  <c r="O11160" i="10"/>
  <c r="O11161" i="10"/>
  <c r="O11162" i="10"/>
  <c r="O11163" i="10"/>
  <c r="O11164" i="10"/>
  <c r="O11165" i="10"/>
  <c r="O11166" i="10"/>
  <c r="O11167" i="10"/>
  <c r="O11168" i="10"/>
  <c r="O11169" i="10"/>
  <c r="O11170" i="10"/>
  <c r="O11171" i="10"/>
  <c r="O11172" i="10"/>
  <c r="O11173" i="10"/>
  <c r="O11174" i="10"/>
  <c r="O11175" i="10"/>
  <c r="O11176" i="10"/>
  <c r="O11177" i="10"/>
  <c r="O11178" i="10"/>
  <c r="O11179" i="10"/>
  <c r="O11180" i="10"/>
  <c r="O11181" i="10"/>
  <c r="O11182" i="10"/>
  <c r="O11183" i="10"/>
  <c r="O11184" i="10"/>
  <c r="O11185" i="10"/>
  <c r="O11186" i="10"/>
  <c r="O11187" i="10"/>
  <c r="O11188" i="10"/>
  <c r="O11189" i="10"/>
  <c r="O11190" i="10"/>
  <c r="O11191" i="10"/>
  <c r="O11192" i="10"/>
  <c r="O11193" i="10"/>
  <c r="O11194" i="10"/>
  <c r="O11195" i="10"/>
  <c r="O11196" i="10"/>
  <c r="O11197" i="10"/>
  <c r="O11198" i="10"/>
  <c r="O11199" i="10"/>
  <c r="O11200" i="10"/>
  <c r="O11201" i="10"/>
  <c r="O11202" i="10"/>
  <c r="O11203" i="10"/>
  <c r="O11204" i="10"/>
  <c r="O11205" i="10"/>
  <c r="O11206" i="10"/>
  <c r="O11207" i="10"/>
  <c r="O11208" i="10"/>
  <c r="O11209" i="10"/>
  <c r="O11210" i="10"/>
  <c r="O11211" i="10"/>
  <c r="O11212" i="10"/>
  <c r="O11213" i="10"/>
  <c r="O11214" i="10"/>
  <c r="O11215" i="10"/>
  <c r="O11216" i="10"/>
  <c r="O11217" i="10"/>
  <c r="O11218" i="10"/>
  <c r="O11219" i="10"/>
  <c r="O11220" i="10"/>
  <c r="O11221" i="10"/>
  <c r="O11222" i="10"/>
  <c r="O11223" i="10"/>
  <c r="O11224" i="10"/>
  <c r="O11225" i="10"/>
  <c r="O11226" i="10"/>
  <c r="O11227" i="10"/>
  <c r="O11228" i="10"/>
  <c r="O11229" i="10"/>
  <c r="O11230" i="10"/>
  <c r="O11231" i="10"/>
  <c r="O11232" i="10"/>
  <c r="O11233" i="10"/>
  <c r="O11234" i="10"/>
  <c r="O11235" i="10"/>
  <c r="O11236" i="10"/>
  <c r="O11237" i="10"/>
  <c r="O11238" i="10"/>
  <c r="O11239" i="10"/>
  <c r="O11240" i="10"/>
  <c r="O11241" i="10"/>
  <c r="O11242" i="10"/>
  <c r="O11243" i="10"/>
  <c r="O11244" i="10"/>
  <c r="O11245" i="10"/>
  <c r="O11246" i="10"/>
  <c r="O11247" i="10"/>
  <c r="O11248" i="10"/>
  <c r="O11249" i="10"/>
  <c r="O11250" i="10"/>
  <c r="O11251" i="10"/>
  <c r="O11252" i="10"/>
  <c r="O11253" i="10"/>
  <c r="O11254" i="10"/>
  <c r="O11255" i="10"/>
  <c r="O11256" i="10"/>
  <c r="O11257" i="10"/>
  <c r="O11258" i="10"/>
  <c r="O11259" i="10"/>
  <c r="O11260" i="10"/>
  <c r="O11261" i="10"/>
  <c r="O11262" i="10"/>
  <c r="O11263" i="10"/>
  <c r="O11264" i="10"/>
  <c r="O11265" i="10"/>
  <c r="O11266" i="10"/>
  <c r="O11267" i="10"/>
  <c r="O11268" i="10"/>
  <c r="O11269" i="10"/>
  <c r="O11270" i="10"/>
  <c r="O11271" i="10"/>
  <c r="O11272" i="10"/>
  <c r="O11273" i="10"/>
  <c r="O11274" i="10"/>
  <c r="O11275" i="10"/>
  <c r="O11276" i="10"/>
  <c r="O11277" i="10"/>
  <c r="O11278" i="10"/>
  <c r="O11279" i="10"/>
  <c r="O11280" i="10"/>
  <c r="O11281" i="10"/>
  <c r="O11282" i="10"/>
  <c r="O11283" i="10"/>
  <c r="O11284" i="10"/>
  <c r="O11285" i="10"/>
  <c r="O11286" i="10"/>
  <c r="O11287" i="10"/>
  <c r="O11288" i="10"/>
  <c r="O11289" i="10"/>
  <c r="O11290" i="10"/>
  <c r="O11291" i="10"/>
  <c r="O11292" i="10"/>
  <c r="O11293" i="10"/>
  <c r="O11294" i="10"/>
  <c r="O11295" i="10"/>
  <c r="O11296" i="10"/>
  <c r="O11297" i="10"/>
  <c r="O11298" i="10"/>
  <c r="O11299" i="10"/>
  <c r="O11300" i="10"/>
  <c r="O11301" i="10"/>
  <c r="O11302" i="10"/>
  <c r="O11303" i="10"/>
  <c r="O11304" i="10"/>
  <c r="O11305" i="10"/>
  <c r="O11306" i="10"/>
  <c r="O11307" i="10"/>
  <c r="O11308" i="10"/>
  <c r="O11309" i="10"/>
  <c r="O11310" i="10"/>
  <c r="O11311" i="10"/>
  <c r="O11312" i="10"/>
  <c r="O11313" i="10"/>
  <c r="O11314" i="10"/>
  <c r="O11315" i="10"/>
  <c r="O11316" i="10"/>
  <c r="O11317" i="10"/>
  <c r="O11318" i="10"/>
  <c r="O11319" i="10"/>
  <c r="O11320" i="10"/>
  <c r="O11321" i="10"/>
  <c r="O11322" i="10"/>
  <c r="O11323" i="10"/>
  <c r="O11324" i="10"/>
  <c r="O11325" i="10"/>
  <c r="O11326" i="10"/>
  <c r="O11327" i="10"/>
  <c r="O11328" i="10"/>
  <c r="O11329" i="10"/>
  <c r="O11330" i="10"/>
  <c r="O11331" i="10"/>
  <c r="O11332" i="10"/>
  <c r="O11333" i="10"/>
  <c r="O11334" i="10"/>
  <c r="O11335" i="10"/>
  <c r="O11336" i="10"/>
  <c r="O11337" i="10"/>
  <c r="O11338" i="10"/>
  <c r="O11339" i="10"/>
  <c r="O11340" i="10"/>
  <c r="O11341" i="10"/>
  <c r="O11342" i="10"/>
  <c r="O11343" i="10"/>
  <c r="O11344" i="10"/>
  <c r="O11345" i="10"/>
  <c r="O11346" i="10"/>
  <c r="O11347" i="10"/>
  <c r="O11348" i="10"/>
  <c r="O11349" i="10"/>
  <c r="O11350" i="10"/>
  <c r="O11351" i="10"/>
  <c r="O11352" i="10"/>
  <c r="O11353" i="10"/>
  <c r="O11354" i="10"/>
  <c r="O11355" i="10"/>
  <c r="O11356" i="10"/>
  <c r="O11357" i="10"/>
  <c r="O11358" i="10"/>
  <c r="O11359" i="10"/>
  <c r="O11360" i="10"/>
  <c r="O11361" i="10"/>
  <c r="O11362" i="10"/>
  <c r="O11363" i="10"/>
  <c r="O11364" i="10"/>
  <c r="O11365" i="10"/>
  <c r="O11366" i="10"/>
  <c r="O11367" i="10"/>
  <c r="O11368" i="10"/>
  <c r="O11369" i="10"/>
  <c r="O11370" i="10"/>
  <c r="O11371" i="10"/>
  <c r="O11372" i="10"/>
  <c r="O11373" i="10"/>
  <c r="O11374" i="10"/>
  <c r="O11375" i="10"/>
  <c r="O11376" i="10"/>
  <c r="O11377" i="10"/>
  <c r="O11378" i="10"/>
  <c r="O11379" i="10"/>
  <c r="O11380" i="10"/>
  <c r="O11381" i="10"/>
  <c r="O11382" i="10"/>
  <c r="O11383" i="10"/>
  <c r="O11384" i="10"/>
  <c r="O11385" i="10"/>
  <c r="O11386" i="10"/>
  <c r="O11387" i="10"/>
  <c r="O11388" i="10"/>
  <c r="O11389" i="10"/>
  <c r="O11390" i="10"/>
  <c r="O11391" i="10"/>
  <c r="O11392" i="10"/>
  <c r="O11393" i="10"/>
  <c r="O11394" i="10"/>
  <c r="O11395" i="10"/>
  <c r="O11396" i="10"/>
  <c r="O11397" i="10"/>
  <c r="O11398" i="10"/>
  <c r="O11399" i="10"/>
  <c r="O11400" i="10"/>
  <c r="O11401" i="10"/>
  <c r="O11402" i="10"/>
  <c r="O11403" i="10"/>
  <c r="O11404" i="10"/>
  <c r="O11405" i="10"/>
  <c r="O11406" i="10"/>
  <c r="O11407" i="10"/>
  <c r="O11408" i="10"/>
  <c r="O11409" i="10"/>
  <c r="O11410" i="10"/>
  <c r="O11411" i="10"/>
  <c r="O11412" i="10"/>
  <c r="O11413" i="10"/>
  <c r="O11414" i="10"/>
  <c r="O11415" i="10"/>
  <c r="O11416" i="10"/>
  <c r="O11417" i="10"/>
  <c r="O11418" i="10"/>
  <c r="O11419" i="10"/>
  <c r="O11420" i="10"/>
  <c r="O11421" i="10"/>
  <c r="O11422" i="10"/>
  <c r="O11423" i="10"/>
  <c r="O11424" i="10"/>
  <c r="O11425" i="10"/>
  <c r="O11426" i="10"/>
  <c r="O11427" i="10"/>
  <c r="O11428" i="10"/>
  <c r="O11429" i="10"/>
  <c r="O11430" i="10"/>
  <c r="O11431" i="10"/>
  <c r="O11432" i="10"/>
  <c r="O11433" i="10"/>
  <c r="O11434" i="10"/>
  <c r="O11435" i="10"/>
  <c r="O11436" i="10"/>
  <c r="O11437" i="10"/>
  <c r="O11438" i="10"/>
  <c r="O11439" i="10"/>
  <c r="O11440" i="10"/>
  <c r="O11441" i="10"/>
  <c r="O11442" i="10"/>
  <c r="O11443" i="10"/>
  <c r="O11444" i="10"/>
  <c r="O11445" i="10"/>
  <c r="O11446" i="10"/>
  <c r="O11447" i="10"/>
  <c r="O11448" i="10"/>
  <c r="O11449" i="10"/>
  <c r="O11450" i="10"/>
  <c r="O11451" i="10"/>
  <c r="O11452" i="10"/>
  <c r="O11453" i="10"/>
  <c r="O11454" i="10"/>
  <c r="O11455" i="10"/>
  <c r="O11456" i="10"/>
  <c r="O11457" i="10"/>
  <c r="O11458" i="10"/>
  <c r="O11459" i="10"/>
  <c r="O11460" i="10"/>
  <c r="O11461" i="10"/>
  <c r="O11462" i="10"/>
  <c r="O11463" i="10"/>
  <c r="O11464" i="10"/>
  <c r="O11465" i="10"/>
  <c r="O11466" i="10"/>
  <c r="O11467" i="10"/>
  <c r="O11468" i="10"/>
  <c r="O11469" i="10"/>
  <c r="O11470" i="10"/>
  <c r="O11471" i="10"/>
  <c r="O11472" i="10"/>
  <c r="O11473" i="10"/>
  <c r="O11474" i="10"/>
  <c r="O11475" i="10"/>
  <c r="O11476" i="10"/>
  <c r="O11477" i="10"/>
  <c r="O11478" i="10"/>
  <c r="O11479" i="10"/>
  <c r="O11480" i="10"/>
  <c r="O11481" i="10"/>
  <c r="O11482" i="10"/>
  <c r="O11483" i="10"/>
  <c r="O11484" i="10"/>
  <c r="O11485" i="10"/>
  <c r="O11486" i="10"/>
  <c r="O11487" i="10"/>
  <c r="O11488" i="10"/>
  <c r="O11489" i="10"/>
  <c r="O11490" i="10"/>
  <c r="O11491" i="10"/>
  <c r="O11492" i="10"/>
  <c r="O11493" i="10"/>
  <c r="O11494" i="10"/>
  <c r="O11495" i="10"/>
  <c r="O11496" i="10"/>
  <c r="O11497" i="10"/>
  <c r="O11498" i="10"/>
  <c r="O11499" i="10"/>
  <c r="O11500" i="10"/>
  <c r="O11501" i="10"/>
  <c r="O11502" i="10"/>
  <c r="O11503" i="10"/>
  <c r="O11504" i="10"/>
  <c r="O11505" i="10"/>
  <c r="O11506" i="10"/>
  <c r="O11507" i="10"/>
  <c r="O11508" i="10"/>
  <c r="O11509" i="10"/>
  <c r="O11510" i="10"/>
  <c r="O11511" i="10"/>
  <c r="O11512" i="10"/>
  <c r="O11513" i="10"/>
  <c r="O11514" i="10"/>
  <c r="O11515" i="10"/>
  <c r="O11516" i="10"/>
  <c r="O11517" i="10"/>
  <c r="O11518" i="10"/>
  <c r="O11519" i="10"/>
  <c r="O11520" i="10"/>
  <c r="O11521" i="10"/>
  <c r="O11522" i="10"/>
  <c r="O11523" i="10"/>
  <c r="O11524" i="10"/>
  <c r="O11525" i="10"/>
  <c r="O11526" i="10"/>
  <c r="O11527" i="10"/>
  <c r="O11528" i="10"/>
  <c r="O11529" i="10"/>
  <c r="O11530" i="10"/>
  <c r="O11531" i="10"/>
  <c r="O11532" i="10"/>
  <c r="O11533" i="10"/>
  <c r="O11534" i="10"/>
  <c r="O11535" i="10"/>
  <c r="O11536" i="10"/>
  <c r="O11537" i="10"/>
  <c r="O11538" i="10"/>
  <c r="O11539" i="10"/>
  <c r="O11540" i="10"/>
  <c r="O11541" i="10"/>
  <c r="O11542" i="10"/>
  <c r="O11543" i="10"/>
  <c r="O11544" i="10"/>
  <c r="O11545" i="10"/>
  <c r="O11546" i="10"/>
  <c r="O11547" i="10"/>
  <c r="O11548" i="10"/>
  <c r="O11549" i="10"/>
  <c r="O11550" i="10"/>
  <c r="O11551" i="10"/>
  <c r="O11552" i="10"/>
  <c r="O11553" i="10"/>
  <c r="O11554" i="10"/>
  <c r="O11555" i="10"/>
  <c r="O11556" i="10"/>
  <c r="O11557" i="10"/>
  <c r="O11558" i="10"/>
  <c r="O11559" i="10"/>
  <c r="O11560" i="10"/>
  <c r="O11561" i="10"/>
  <c r="O11562" i="10"/>
  <c r="O11563" i="10"/>
  <c r="O11564" i="10"/>
  <c r="O11565" i="10"/>
  <c r="O11566" i="10"/>
  <c r="O11567" i="10"/>
  <c r="O11568" i="10"/>
  <c r="O11569" i="10"/>
  <c r="O11570" i="10"/>
  <c r="O11571" i="10"/>
  <c r="O11572" i="10"/>
  <c r="O11573" i="10"/>
  <c r="O11574" i="10"/>
  <c r="O11575" i="10"/>
  <c r="O11576" i="10"/>
  <c r="O11577" i="10"/>
  <c r="O11578" i="10"/>
  <c r="O11579" i="10"/>
  <c r="O11580" i="10"/>
  <c r="O11581" i="10"/>
  <c r="O11582" i="10"/>
  <c r="O11583" i="10"/>
  <c r="O11584" i="10"/>
  <c r="O11585" i="10"/>
  <c r="O11586" i="10"/>
  <c r="O11587" i="10"/>
  <c r="O11588" i="10"/>
  <c r="O11589" i="10"/>
  <c r="O11590" i="10"/>
  <c r="O11591" i="10"/>
  <c r="O11592" i="10"/>
  <c r="O11593" i="10"/>
  <c r="O11594" i="10"/>
  <c r="O11595" i="10"/>
  <c r="O11596" i="10"/>
  <c r="O11597" i="10"/>
  <c r="O11598" i="10"/>
  <c r="O11599" i="10"/>
  <c r="O11600" i="10"/>
  <c r="O11601" i="10"/>
  <c r="O11602" i="10"/>
  <c r="O11603" i="10"/>
  <c r="O11604" i="10"/>
  <c r="O11605" i="10"/>
  <c r="O11606" i="10"/>
  <c r="O11607" i="10"/>
  <c r="O11608" i="10"/>
  <c r="O11609" i="10"/>
  <c r="O11610" i="10"/>
  <c r="O11611" i="10"/>
  <c r="O11612" i="10"/>
  <c r="O11613" i="10"/>
  <c r="O11614" i="10"/>
  <c r="O11615" i="10"/>
  <c r="O11616" i="10"/>
  <c r="O11617" i="10"/>
  <c r="O11618" i="10"/>
  <c r="O11619" i="10"/>
  <c r="O11620" i="10"/>
  <c r="O11621" i="10"/>
  <c r="O11622" i="10"/>
  <c r="O11623" i="10"/>
  <c r="O11624" i="10"/>
  <c r="O11625" i="10"/>
  <c r="O11626" i="10"/>
  <c r="O11627" i="10"/>
  <c r="O11628" i="10"/>
  <c r="O11629" i="10"/>
  <c r="O11630" i="10"/>
  <c r="O11631" i="10"/>
  <c r="O11632" i="10"/>
  <c r="O11633" i="10"/>
  <c r="O11634" i="10"/>
  <c r="O11635" i="10"/>
  <c r="O11636" i="10"/>
  <c r="O11637" i="10"/>
  <c r="O11638" i="10"/>
  <c r="O11639" i="10"/>
  <c r="O11640" i="10"/>
  <c r="O11641" i="10"/>
  <c r="O11642" i="10"/>
  <c r="O11643" i="10"/>
  <c r="O11644" i="10"/>
  <c r="O11645" i="10"/>
  <c r="O11646" i="10"/>
  <c r="O11647" i="10"/>
  <c r="O11648" i="10"/>
  <c r="O11649" i="10"/>
  <c r="O11650" i="10"/>
  <c r="O11651" i="10"/>
  <c r="O11652" i="10"/>
  <c r="O11653" i="10"/>
  <c r="O11654" i="10"/>
  <c r="O11655" i="10"/>
  <c r="O11656" i="10"/>
  <c r="O11657" i="10"/>
  <c r="O11658" i="10"/>
  <c r="O11659" i="10"/>
  <c r="O11660" i="10"/>
  <c r="O11661" i="10"/>
  <c r="O11662" i="10"/>
  <c r="O11663" i="10"/>
  <c r="O11664" i="10"/>
  <c r="O11665" i="10"/>
  <c r="O11666" i="10"/>
  <c r="O11667" i="10"/>
  <c r="O11668" i="10"/>
  <c r="O11669" i="10"/>
  <c r="O11670" i="10"/>
  <c r="O11671" i="10"/>
  <c r="O11672" i="10"/>
  <c r="O11673" i="10"/>
  <c r="O11674" i="10"/>
  <c r="O11675" i="10"/>
  <c r="O11676" i="10"/>
  <c r="O11677" i="10"/>
  <c r="O11678" i="10"/>
  <c r="O11679" i="10"/>
  <c r="O11680" i="10"/>
  <c r="O11681" i="10"/>
  <c r="O11682" i="10"/>
  <c r="O11683" i="10"/>
  <c r="O11684" i="10"/>
  <c r="O11685" i="10"/>
  <c r="O11686" i="10"/>
  <c r="O11687" i="10"/>
  <c r="O11688" i="10"/>
  <c r="O11689" i="10"/>
  <c r="O11690" i="10"/>
  <c r="O11691" i="10"/>
  <c r="O11692" i="10"/>
  <c r="O11693" i="10"/>
  <c r="O11694" i="10"/>
  <c r="O11695" i="10"/>
  <c r="O11696" i="10"/>
  <c r="O11697" i="10"/>
  <c r="O11698" i="10"/>
  <c r="O11699" i="10"/>
  <c r="O11700" i="10"/>
  <c r="O11701" i="10"/>
  <c r="O11702" i="10"/>
  <c r="O11703" i="10"/>
  <c r="O11704" i="10"/>
  <c r="O11705" i="10"/>
  <c r="O11706" i="10"/>
  <c r="O11707" i="10"/>
  <c r="O11708" i="10"/>
  <c r="O11709" i="10"/>
  <c r="O11710" i="10"/>
  <c r="O11711" i="10"/>
  <c r="O11712" i="10"/>
  <c r="O11713" i="10"/>
  <c r="O11714" i="10"/>
  <c r="O11715" i="10"/>
  <c r="O11716" i="10"/>
  <c r="O11717" i="10"/>
  <c r="O11718" i="10"/>
  <c r="O11719" i="10"/>
  <c r="O11720" i="10"/>
  <c r="O11721" i="10"/>
  <c r="O11722" i="10"/>
  <c r="O11723" i="10"/>
  <c r="O11724" i="10"/>
  <c r="O11725" i="10"/>
  <c r="O11726" i="10"/>
  <c r="O11727" i="10"/>
  <c r="O11728" i="10"/>
  <c r="O11729" i="10"/>
  <c r="O11730" i="10"/>
  <c r="O11731" i="10"/>
  <c r="O11732" i="10"/>
  <c r="O11733" i="10"/>
  <c r="O11734" i="10"/>
  <c r="O11735" i="10"/>
  <c r="O11736" i="10"/>
  <c r="O11737" i="10"/>
  <c r="O11738" i="10"/>
  <c r="O11739" i="10"/>
  <c r="O11740" i="10"/>
  <c r="O11741" i="10"/>
  <c r="O11742" i="10"/>
  <c r="O11743" i="10"/>
  <c r="O11744" i="10"/>
  <c r="O11745" i="10"/>
  <c r="O11746" i="10"/>
  <c r="O11747" i="10"/>
  <c r="O11748" i="10"/>
  <c r="O11749" i="10"/>
  <c r="O11750" i="10"/>
  <c r="O11751" i="10"/>
  <c r="O11752" i="10"/>
  <c r="O11753" i="10"/>
  <c r="O11754" i="10"/>
  <c r="O11755" i="10"/>
  <c r="O11756" i="10"/>
  <c r="O11757" i="10"/>
  <c r="O11758" i="10"/>
  <c r="O11759" i="10"/>
  <c r="O11760" i="10"/>
  <c r="O11761" i="10"/>
  <c r="O11762" i="10"/>
  <c r="O11763" i="10"/>
  <c r="O11764" i="10"/>
  <c r="O11765" i="10"/>
  <c r="O11766" i="10"/>
  <c r="O11767" i="10"/>
  <c r="O11768" i="10"/>
  <c r="O11769" i="10"/>
  <c r="O11770" i="10"/>
  <c r="O11771" i="10"/>
  <c r="O11772" i="10"/>
  <c r="O11773" i="10"/>
  <c r="O11774" i="10"/>
  <c r="O11775" i="10"/>
  <c r="O11776" i="10"/>
  <c r="O11777" i="10"/>
  <c r="O11778" i="10"/>
  <c r="O11779" i="10"/>
  <c r="O11780" i="10"/>
  <c r="O11781" i="10"/>
  <c r="O11782" i="10"/>
  <c r="O11783" i="10"/>
  <c r="O11784" i="10"/>
  <c r="O11785" i="10"/>
  <c r="O11786" i="10"/>
  <c r="O11787" i="10"/>
  <c r="O11788" i="10"/>
  <c r="O11789" i="10"/>
  <c r="O11790" i="10"/>
  <c r="O11791" i="10"/>
  <c r="O11792" i="10"/>
  <c r="O11793" i="10"/>
  <c r="O11794" i="10"/>
  <c r="O11795" i="10"/>
  <c r="O11796" i="10"/>
  <c r="O11797" i="10"/>
  <c r="O11798" i="10"/>
  <c r="O11799" i="10"/>
  <c r="O11800" i="10"/>
  <c r="O11801" i="10"/>
  <c r="O11802" i="10"/>
  <c r="O11803" i="10"/>
  <c r="O11804" i="10"/>
  <c r="O11805" i="10"/>
  <c r="O11806" i="10"/>
  <c r="O11807" i="10"/>
  <c r="O11808" i="10"/>
  <c r="O11809" i="10"/>
  <c r="O11810" i="10"/>
  <c r="O11811" i="10"/>
  <c r="O11812" i="10"/>
  <c r="O11813" i="10"/>
  <c r="O11814" i="10"/>
  <c r="O11815" i="10"/>
  <c r="O11816" i="10"/>
  <c r="O11817" i="10"/>
  <c r="O11818" i="10"/>
  <c r="O11819" i="10"/>
  <c r="O11820" i="10"/>
  <c r="O11821" i="10"/>
  <c r="O11822" i="10"/>
  <c r="O11823" i="10"/>
  <c r="O11824" i="10"/>
  <c r="O11825" i="10"/>
  <c r="O11826" i="10"/>
  <c r="O11827" i="10"/>
  <c r="O11828" i="10"/>
  <c r="O11829" i="10"/>
  <c r="O11830" i="10"/>
  <c r="O11831" i="10"/>
  <c r="O11832" i="10"/>
  <c r="O11833" i="10"/>
  <c r="O11834" i="10"/>
  <c r="O11835" i="10"/>
  <c r="O11836" i="10"/>
  <c r="O11837" i="10"/>
  <c r="O11838" i="10"/>
  <c r="O11839" i="10"/>
  <c r="O11840" i="10"/>
  <c r="O11841" i="10"/>
  <c r="O11842" i="10"/>
  <c r="O11843" i="10"/>
  <c r="O11844" i="10"/>
  <c r="O11845" i="10"/>
  <c r="O11846" i="10"/>
  <c r="O11847" i="10"/>
  <c r="O11848" i="10"/>
  <c r="O11849" i="10"/>
  <c r="O11850" i="10"/>
  <c r="O11851" i="10"/>
  <c r="O11852" i="10"/>
  <c r="O11853" i="10"/>
  <c r="O11854" i="10"/>
  <c r="O11855" i="10"/>
  <c r="O11856" i="10"/>
  <c r="O11857" i="10"/>
  <c r="O11858" i="10"/>
  <c r="O11859" i="10"/>
  <c r="O11860" i="10"/>
  <c r="O11861" i="10"/>
  <c r="O11862" i="10"/>
  <c r="O11863" i="10"/>
  <c r="O11864" i="10"/>
  <c r="O11865" i="10"/>
  <c r="O11866" i="10"/>
  <c r="O11867" i="10"/>
  <c r="O11868" i="10"/>
  <c r="O11869" i="10"/>
  <c r="O11870" i="10"/>
  <c r="O11871" i="10"/>
  <c r="O11872" i="10"/>
  <c r="O11873" i="10"/>
  <c r="O11874" i="10"/>
  <c r="O11875" i="10"/>
  <c r="O11876" i="10"/>
  <c r="O11877" i="10"/>
  <c r="O11878" i="10"/>
  <c r="O11879" i="10"/>
  <c r="O11880" i="10"/>
  <c r="O11881" i="10"/>
  <c r="O11882" i="10"/>
  <c r="O11883" i="10"/>
  <c r="O11884" i="10"/>
  <c r="O11885" i="10"/>
  <c r="O11886" i="10"/>
  <c r="O11887" i="10"/>
  <c r="O11888" i="10"/>
  <c r="O11889" i="10"/>
  <c r="O11890" i="10"/>
  <c r="O11891" i="10"/>
  <c r="O11892" i="10"/>
  <c r="O11893" i="10"/>
  <c r="O11894" i="10"/>
  <c r="O11895" i="10"/>
  <c r="O11896" i="10"/>
  <c r="O11897" i="10"/>
  <c r="O11898" i="10"/>
  <c r="O11899" i="10"/>
  <c r="O11900" i="10"/>
  <c r="O11901" i="10"/>
  <c r="O11902" i="10"/>
  <c r="O11903" i="10"/>
  <c r="O11904" i="10"/>
  <c r="O11905" i="10"/>
  <c r="O11906" i="10"/>
  <c r="O11907" i="10"/>
  <c r="O11908" i="10"/>
  <c r="O11909" i="10"/>
  <c r="O11910" i="10"/>
  <c r="O11911" i="10"/>
  <c r="O11912" i="10"/>
  <c r="O11913" i="10"/>
  <c r="O11914" i="10"/>
  <c r="O11915" i="10"/>
  <c r="O11916" i="10"/>
  <c r="O11917" i="10"/>
  <c r="O11918" i="10"/>
  <c r="O11919" i="10"/>
  <c r="O11920" i="10"/>
  <c r="O11921" i="10"/>
  <c r="O11922" i="10"/>
  <c r="O11923" i="10"/>
  <c r="O11924" i="10"/>
  <c r="O11925" i="10"/>
  <c r="O11926" i="10"/>
  <c r="O11927" i="10"/>
  <c r="O11928" i="10"/>
  <c r="O11929" i="10"/>
  <c r="O11930" i="10"/>
  <c r="O11931" i="10"/>
  <c r="O11932" i="10"/>
  <c r="O11933" i="10"/>
  <c r="O11934" i="10"/>
  <c r="O11935" i="10"/>
  <c r="O11936" i="10"/>
  <c r="O11937" i="10"/>
  <c r="O11938" i="10"/>
  <c r="O11939" i="10"/>
  <c r="O11940" i="10"/>
  <c r="O11941" i="10"/>
  <c r="O11942" i="10"/>
  <c r="O11943" i="10"/>
  <c r="O11944" i="10"/>
  <c r="O11945" i="10"/>
  <c r="O11946" i="10"/>
  <c r="O11947" i="10"/>
  <c r="O11948" i="10"/>
  <c r="O11949" i="10"/>
  <c r="O11950" i="10"/>
  <c r="O11951" i="10"/>
  <c r="O11952" i="10"/>
  <c r="O11953" i="10"/>
  <c r="O11954" i="10"/>
  <c r="O11955" i="10"/>
  <c r="O11956" i="10"/>
  <c r="O11957" i="10"/>
  <c r="O11958" i="10"/>
  <c r="O11959" i="10"/>
  <c r="O11960" i="10"/>
  <c r="O11961" i="10"/>
  <c r="O11962" i="10"/>
  <c r="O11963" i="10"/>
  <c r="O11964" i="10"/>
  <c r="O11965" i="10"/>
  <c r="O11966" i="10"/>
  <c r="O11967" i="10"/>
  <c r="O11968" i="10"/>
  <c r="O11969" i="10"/>
  <c r="O11970" i="10"/>
  <c r="O11971" i="10"/>
  <c r="O11972" i="10"/>
  <c r="O11973" i="10"/>
  <c r="O11974" i="10"/>
  <c r="O11975" i="10"/>
  <c r="O11976" i="10"/>
  <c r="O11977" i="10"/>
  <c r="O11978" i="10"/>
  <c r="O11979" i="10"/>
  <c r="O11980" i="10"/>
  <c r="O11981" i="10"/>
  <c r="O11982" i="10"/>
  <c r="O11983" i="10"/>
  <c r="O11984" i="10"/>
  <c r="O11985" i="10"/>
  <c r="O11986" i="10"/>
  <c r="O11987" i="10"/>
  <c r="O11988" i="10"/>
  <c r="O11989" i="10"/>
  <c r="O11990" i="10"/>
  <c r="O11991" i="10"/>
  <c r="O11992" i="10"/>
  <c r="O11993" i="10"/>
  <c r="O11994" i="10"/>
  <c r="O11995" i="10"/>
  <c r="O11996" i="10"/>
  <c r="O11997" i="10"/>
  <c r="O11998" i="10"/>
  <c r="O11999" i="10"/>
  <c r="O12000" i="10"/>
  <c r="O12001" i="10"/>
  <c r="O12002" i="10"/>
  <c r="O12003" i="10"/>
  <c r="O12004" i="10"/>
  <c r="O12005" i="10"/>
  <c r="O12006" i="10"/>
  <c r="O12007" i="10"/>
  <c r="O12008" i="10"/>
  <c r="O12009" i="10"/>
  <c r="O12010" i="10"/>
  <c r="O12011" i="10"/>
  <c r="O12012" i="10"/>
  <c r="O12013" i="10"/>
  <c r="O12014" i="10"/>
  <c r="O12015" i="10"/>
  <c r="O12016" i="10"/>
  <c r="O12017" i="10"/>
  <c r="O12018" i="10"/>
  <c r="O12019" i="10"/>
  <c r="O12020" i="10"/>
  <c r="O12021" i="10"/>
  <c r="O12022" i="10"/>
  <c r="O12023" i="10"/>
  <c r="O12024" i="10"/>
  <c r="O12025" i="10"/>
  <c r="O12026" i="10"/>
  <c r="O12027" i="10"/>
  <c r="O12028" i="10"/>
  <c r="O12029" i="10"/>
  <c r="O12030" i="10"/>
  <c r="O12031" i="10"/>
  <c r="O12032" i="10"/>
  <c r="O12033" i="10"/>
  <c r="O12034" i="10"/>
  <c r="O12035" i="10"/>
  <c r="O12036" i="10"/>
  <c r="O12037" i="10"/>
  <c r="O12038" i="10"/>
  <c r="O12039" i="10"/>
  <c r="O12040" i="10"/>
  <c r="O12041" i="10"/>
  <c r="O12042" i="10"/>
  <c r="O12043" i="10"/>
  <c r="O12044" i="10"/>
  <c r="O12045" i="10"/>
  <c r="O12046" i="10"/>
  <c r="O12047" i="10"/>
  <c r="O12048" i="10"/>
  <c r="O12049" i="10"/>
  <c r="O12050" i="10"/>
  <c r="O12051" i="10"/>
  <c r="O12052" i="10"/>
  <c r="O12053" i="10"/>
  <c r="O12054" i="10"/>
  <c r="O12055" i="10"/>
  <c r="O12056" i="10"/>
  <c r="O12057" i="10"/>
  <c r="O12058" i="10"/>
  <c r="O12059" i="10"/>
  <c r="O12060" i="10"/>
  <c r="O12061" i="10"/>
  <c r="O12062" i="10"/>
  <c r="O12063" i="10"/>
  <c r="O12064" i="10"/>
  <c r="O12065" i="10"/>
  <c r="O12066" i="10"/>
  <c r="O12067" i="10"/>
  <c r="O12068" i="10"/>
  <c r="O12069" i="10"/>
  <c r="O12070" i="10"/>
  <c r="O12071" i="10"/>
  <c r="O12072" i="10"/>
  <c r="O12073" i="10"/>
  <c r="O12074" i="10"/>
  <c r="O12075" i="10"/>
  <c r="O12076" i="10"/>
  <c r="O12077" i="10"/>
  <c r="O12078" i="10"/>
  <c r="O12079" i="10"/>
  <c r="O12080" i="10"/>
  <c r="O12081" i="10"/>
  <c r="O12082" i="10"/>
  <c r="O12083" i="10"/>
  <c r="O12084" i="10"/>
  <c r="O12085" i="10"/>
  <c r="O12086" i="10"/>
  <c r="O12087" i="10"/>
  <c r="O12088" i="10"/>
  <c r="O12089" i="10"/>
  <c r="O12090" i="10"/>
  <c r="O12091" i="10"/>
  <c r="O12092" i="10"/>
  <c r="O12093" i="10"/>
  <c r="O12094" i="10"/>
  <c r="O12095" i="10"/>
  <c r="O12096" i="10"/>
  <c r="O12097" i="10"/>
  <c r="O12098" i="10"/>
  <c r="O12099" i="10"/>
  <c r="O12100" i="10"/>
  <c r="O12101" i="10"/>
  <c r="O12102" i="10"/>
  <c r="O12103" i="10"/>
  <c r="O12104" i="10"/>
  <c r="O12105" i="10"/>
  <c r="O12106" i="10"/>
  <c r="O12107" i="10"/>
  <c r="O12108" i="10"/>
  <c r="O12109" i="10"/>
  <c r="O12110" i="10"/>
  <c r="O12111" i="10"/>
  <c r="O12112" i="10"/>
  <c r="O12113" i="10"/>
  <c r="O12114" i="10"/>
  <c r="O12115" i="10"/>
  <c r="O12116" i="10"/>
  <c r="O12117" i="10"/>
  <c r="O12118" i="10"/>
  <c r="O12119" i="10"/>
  <c r="O12120" i="10"/>
  <c r="O12121" i="10"/>
  <c r="O12122" i="10"/>
  <c r="O12123" i="10"/>
  <c r="O12124" i="10"/>
  <c r="O12125" i="10"/>
  <c r="O12126" i="10"/>
  <c r="O12127" i="10"/>
  <c r="O12128" i="10"/>
  <c r="O12129" i="10"/>
  <c r="O12130" i="10"/>
  <c r="O12131" i="10"/>
  <c r="O12132" i="10"/>
  <c r="O12133" i="10"/>
  <c r="O12134" i="10"/>
  <c r="O12135" i="10"/>
  <c r="O12136" i="10"/>
  <c r="O12137" i="10"/>
  <c r="O12138" i="10"/>
  <c r="O12139" i="10"/>
  <c r="O12140" i="10"/>
  <c r="O12141" i="10"/>
  <c r="O12142" i="10"/>
  <c r="O12143" i="10"/>
  <c r="O12144" i="10"/>
  <c r="O12145" i="10"/>
  <c r="O12146" i="10"/>
  <c r="O12147" i="10"/>
  <c r="O12148" i="10"/>
  <c r="O12149" i="10"/>
  <c r="O12150" i="10"/>
  <c r="O12151" i="10"/>
  <c r="O12152" i="10"/>
  <c r="O12153" i="10"/>
  <c r="O12154" i="10"/>
  <c r="O12155" i="10"/>
  <c r="O12156" i="10"/>
  <c r="O12157" i="10"/>
  <c r="O12158" i="10"/>
  <c r="O12159" i="10"/>
  <c r="O12160" i="10"/>
  <c r="O12161" i="10"/>
  <c r="O12162" i="10"/>
  <c r="O12163" i="10"/>
  <c r="O12164" i="10"/>
  <c r="O12165" i="10"/>
  <c r="O12166" i="10"/>
  <c r="O12167" i="10"/>
  <c r="O12168" i="10"/>
  <c r="O12169" i="10"/>
  <c r="O12170" i="10"/>
  <c r="O12171" i="10"/>
  <c r="O12172" i="10"/>
  <c r="O12173" i="10"/>
  <c r="O12174" i="10"/>
  <c r="O12175" i="10"/>
  <c r="O12176" i="10"/>
  <c r="O12177" i="10"/>
  <c r="O12178" i="10"/>
  <c r="O12179" i="10"/>
  <c r="O12180" i="10"/>
  <c r="O12181" i="10"/>
  <c r="O12182" i="10"/>
  <c r="O12183" i="10"/>
  <c r="O12184" i="10"/>
  <c r="O12185" i="10"/>
  <c r="O12186" i="10"/>
  <c r="O12187" i="10"/>
  <c r="O12188" i="10"/>
  <c r="O12189" i="10"/>
  <c r="O12190" i="10"/>
  <c r="O12191" i="10"/>
  <c r="O12192" i="10"/>
  <c r="O12193" i="10"/>
  <c r="O12194" i="10"/>
  <c r="O12195" i="10"/>
  <c r="O12196" i="10"/>
  <c r="O12197" i="10"/>
  <c r="O12198" i="10"/>
  <c r="O12199" i="10"/>
  <c r="O12200" i="10"/>
  <c r="O12201" i="10"/>
  <c r="O12202" i="10"/>
  <c r="O12203" i="10"/>
  <c r="O12204" i="10"/>
  <c r="O12205" i="10"/>
  <c r="O12206" i="10"/>
  <c r="O12207" i="10"/>
  <c r="O12208" i="10"/>
  <c r="O12209" i="10"/>
  <c r="O12210" i="10"/>
  <c r="O12211" i="10"/>
  <c r="O12212" i="10"/>
  <c r="O12213" i="10"/>
  <c r="O12214" i="10"/>
  <c r="O12215" i="10"/>
  <c r="O12216" i="10"/>
  <c r="O12217" i="10"/>
  <c r="O12218" i="10"/>
  <c r="O12219" i="10"/>
  <c r="O12220" i="10"/>
  <c r="O12221" i="10"/>
  <c r="O12222" i="10"/>
  <c r="O12223" i="10"/>
  <c r="O12224" i="10"/>
  <c r="O12225" i="10"/>
  <c r="O12226" i="10"/>
  <c r="O12227" i="10"/>
  <c r="O12228" i="10"/>
  <c r="O12229" i="10"/>
  <c r="O12230" i="10"/>
  <c r="O12231" i="10"/>
  <c r="O12232" i="10"/>
  <c r="O12233" i="10"/>
  <c r="O12234" i="10"/>
  <c r="O12235" i="10"/>
  <c r="O12236" i="10"/>
  <c r="O12237" i="10"/>
  <c r="O12238" i="10"/>
  <c r="O12239" i="10"/>
  <c r="O12240" i="10"/>
  <c r="O12241" i="10"/>
  <c r="O12242" i="10"/>
  <c r="O12243" i="10"/>
  <c r="O12244" i="10"/>
  <c r="O12245" i="10"/>
  <c r="O12246" i="10"/>
  <c r="O12247" i="10"/>
  <c r="O12248" i="10"/>
  <c r="O12249" i="10"/>
  <c r="O12250" i="10"/>
  <c r="O12251" i="10"/>
  <c r="O12252" i="10"/>
  <c r="O12253" i="10"/>
  <c r="O12254" i="10"/>
  <c r="O12255" i="10"/>
  <c r="O12256" i="10"/>
  <c r="O12257" i="10"/>
  <c r="O12258" i="10"/>
  <c r="O12259" i="10"/>
  <c r="O12260" i="10"/>
  <c r="O12261" i="10"/>
  <c r="O12262" i="10"/>
  <c r="O12263" i="10"/>
  <c r="O12264" i="10"/>
  <c r="O12265" i="10"/>
  <c r="O12266" i="10"/>
  <c r="O12267" i="10"/>
  <c r="O12268" i="10"/>
  <c r="O12269" i="10"/>
  <c r="O12270" i="10"/>
  <c r="O12271" i="10"/>
  <c r="O12272" i="10"/>
  <c r="O12273" i="10"/>
  <c r="O12274" i="10"/>
  <c r="O12275" i="10"/>
  <c r="O12276" i="10"/>
  <c r="O12277" i="10"/>
  <c r="O12278" i="10"/>
  <c r="O12279" i="10"/>
  <c r="O12280" i="10"/>
  <c r="O12281" i="10"/>
  <c r="O12282" i="10"/>
  <c r="O12283" i="10"/>
  <c r="O12284" i="10"/>
  <c r="O12285" i="10"/>
  <c r="O12286" i="10"/>
  <c r="O12287" i="10"/>
  <c r="O12288" i="10"/>
  <c r="O12289" i="10"/>
  <c r="O12290" i="10"/>
  <c r="O12291" i="10"/>
  <c r="O12292" i="10"/>
  <c r="O12293" i="10"/>
  <c r="O12294" i="10"/>
  <c r="O12295" i="10"/>
  <c r="O12296" i="10"/>
  <c r="O12297" i="10"/>
  <c r="O12298" i="10"/>
  <c r="O12299" i="10"/>
  <c r="O12300" i="10"/>
  <c r="O12301" i="10"/>
  <c r="O12302" i="10"/>
  <c r="O12303" i="10"/>
  <c r="O12304" i="10"/>
  <c r="O12305" i="10"/>
  <c r="O12306" i="10"/>
  <c r="O12307" i="10"/>
  <c r="O12308" i="10"/>
  <c r="O12309" i="10"/>
  <c r="O12310" i="10"/>
  <c r="O12311" i="10"/>
  <c r="O12312" i="10"/>
  <c r="O12313" i="10"/>
  <c r="O12314" i="10"/>
  <c r="O12315" i="10"/>
  <c r="O12316" i="10"/>
  <c r="O12317" i="10"/>
  <c r="O12318" i="10"/>
  <c r="O12319" i="10"/>
  <c r="O12320" i="10"/>
  <c r="O12321" i="10"/>
  <c r="O12322" i="10"/>
  <c r="O12323" i="10"/>
  <c r="O12324" i="10"/>
  <c r="O12325" i="10"/>
  <c r="O12326" i="10"/>
  <c r="O12327" i="10"/>
  <c r="O12328" i="10"/>
  <c r="O12329" i="10"/>
  <c r="O12330" i="10"/>
  <c r="O12331" i="10"/>
  <c r="O12332" i="10"/>
  <c r="O12333" i="10"/>
  <c r="O12334" i="10"/>
  <c r="O12335" i="10"/>
  <c r="O12336" i="10"/>
  <c r="O12337" i="10"/>
  <c r="O12338" i="10"/>
  <c r="O12339" i="10"/>
  <c r="O12340" i="10"/>
  <c r="O12341" i="10"/>
  <c r="O12342" i="10"/>
  <c r="O12343" i="10"/>
  <c r="O12344" i="10"/>
  <c r="O12345" i="10"/>
  <c r="O12346" i="10"/>
  <c r="O12347" i="10"/>
  <c r="O12348" i="10"/>
  <c r="O12349" i="10"/>
  <c r="O12350" i="10"/>
  <c r="O12351" i="10"/>
  <c r="O12352" i="10"/>
  <c r="O12353" i="10"/>
  <c r="O12354" i="10"/>
  <c r="O12355" i="10"/>
  <c r="O12356" i="10"/>
  <c r="O12357" i="10"/>
  <c r="O12358" i="10"/>
  <c r="O12359" i="10"/>
  <c r="O12360" i="10"/>
  <c r="O12361" i="10"/>
  <c r="O12362" i="10"/>
  <c r="O12363" i="10"/>
  <c r="O12364" i="10"/>
  <c r="O12365" i="10"/>
  <c r="O12366" i="10"/>
  <c r="O12367" i="10"/>
  <c r="O12368" i="10"/>
  <c r="O12369" i="10"/>
  <c r="O12370" i="10"/>
  <c r="O12371" i="10"/>
  <c r="O12372" i="10"/>
  <c r="O12373" i="10"/>
  <c r="O12374" i="10"/>
  <c r="O12375" i="10"/>
  <c r="O12376" i="10"/>
  <c r="O12377" i="10"/>
  <c r="O12378" i="10"/>
  <c r="O12379" i="10"/>
  <c r="O12380" i="10"/>
  <c r="O12381" i="10"/>
  <c r="O12382" i="10"/>
  <c r="O12383" i="10"/>
  <c r="O12384" i="10"/>
  <c r="O12385" i="10"/>
  <c r="O12386" i="10"/>
  <c r="O12387" i="10"/>
  <c r="O12388" i="10"/>
  <c r="O12389" i="10"/>
  <c r="O12390" i="10"/>
  <c r="O12391" i="10"/>
  <c r="O12392" i="10"/>
  <c r="O12393" i="10"/>
  <c r="O12394" i="10"/>
  <c r="O12395" i="10"/>
  <c r="O12396" i="10"/>
  <c r="O12397" i="10"/>
  <c r="O12398" i="10"/>
  <c r="O12399" i="10"/>
  <c r="O12400" i="10"/>
  <c r="O12401" i="10"/>
  <c r="O12402" i="10"/>
  <c r="O12403" i="10"/>
  <c r="O12404" i="10"/>
  <c r="O12405" i="10"/>
  <c r="O12406" i="10"/>
  <c r="O12407" i="10"/>
  <c r="O12408" i="10"/>
  <c r="O12409" i="10"/>
  <c r="O12410" i="10"/>
  <c r="O12411" i="10"/>
  <c r="O12412" i="10"/>
  <c r="O12413" i="10"/>
  <c r="O12414" i="10"/>
  <c r="O12415" i="10"/>
  <c r="O12416" i="10"/>
  <c r="O12417" i="10"/>
  <c r="O12418" i="10"/>
  <c r="O12419" i="10"/>
  <c r="O12420" i="10"/>
  <c r="O12421" i="10"/>
  <c r="O12422" i="10"/>
  <c r="O12423" i="10"/>
  <c r="O12424" i="10"/>
  <c r="O12425" i="10"/>
  <c r="O12426" i="10"/>
  <c r="O12427" i="10"/>
  <c r="O12428" i="10"/>
  <c r="O12429" i="10"/>
  <c r="O12430" i="10"/>
  <c r="O12431" i="10"/>
  <c r="O12432" i="10"/>
  <c r="O12433" i="10"/>
  <c r="O12434" i="10"/>
  <c r="O12435" i="10"/>
  <c r="O12436" i="10"/>
  <c r="O12437" i="10"/>
  <c r="O12438" i="10"/>
  <c r="O12439" i="10"/>
  <c r="O12440" i="10"/>
  <c r="O12441" i="10"/>
  <c r="O12442" i="10"/>
  <c r="O12443" i="10"/>
  <c r="O12444" i="10"/>
  <c r="O12445" i="10"/>
  <c r="O12446" i="10"/>
  <c r="O12447" i="10"/>
  <c r="O12448" i="10"/>
  <c r="O12449" i="10"/>
  <c r="O12450" i="10"/>
  <c r="O12451" i="10"/>
  <c r="O12452" i="10"/>
  <c r="O12453" i="10"/>
  <c r="O12454" i="10"/>
  <c r="O12455" i="10"/>
  <c r="O12456" i="10"/>
  <c r="O12457" i="10"/>
  <c r="O12458" i="10"/>
  <c r="O12459" i="10"/>
  <c r="O12460" i="10"/>
  <c r="O12461" i="10"/>
  <c r="O12462" i="10"/>
  <c r="O12463" i="10"/>
  <c r="O12464" i="10"/>
  <c r="O12465" i="10"/>
  <c r="O12466" i="10"/>
  <c r="O12467" i="10"/>
  <c r="O12468" i="10"/>
  <c r="O12469" i="10"/>
  <c r="O12470" i="10"/>
  <c r="O12471" i="10"/>
  <c r="O12472" i="10"/>
  <c r="O12473" i="10"/>
  <c r="O12474" i="10"/>
  <c r="O12475" i="10"/>
  <c r="O12476" i="10"/>
  <c r="O12477" i="10"/>
  <c r="O12478" i="10"/>
  <c r="O12479" i="10"/>
  <c r="O12480" i="10"/>
  <c r="O12481" i="10"/>
  <c r="O12482" i="10"/>
  <c r="O12483" i="10"/>
  <c r="O12484" i="10"/>
  <c r="O12485" i="10"/>
  <c r="O12486" i="10"/>
  <c r="O12487" i="10"/>
  <c r="O12488" i="10"/>
  <c r="O12489" i="10"/>
  <c r="O12490" i="10"/>
  <c r="O12491" i="10"/>
  <c r="O12492" i="10"/>
  <c r="O12493" i="10"/>
  <c r="O12494" i="10"/>
  <c r="O12495" i="10"/>
  <c r="O12496" i="10"/>
  <c r="O12497" i="10"/>
  <c r="O12498" i="10"/>
  <c r="O12499" i="10"/>
  <c r="O12500" i="10"/>
  <c r="O12501" i="10"/>
  <c r="O12502" i="10"/>
  <c r="O12503" i="10"/>
  <c r="O12504" i="10"/>
  <c r="O12505" i="10"/>
  <c r="O12506" i="10"/>
  <c r="O12507" i="10"/>
  <c r="O12508" i="10"/>
  <c r="O12509" i="10"/>
  <c r="O12510" i="10"/>
  <c r="O12511" i="10"/>
  <c r="O12512" i="10"/>
  <c r="O12513" i="10"/>
  <c r="O12514" i="10"/>
  <c r="O12515" i="10"/>
  <c r="O12516" i="10"/>
  <c r="O12517" i="10"/>
  <c r="O12518" i="10"/>
  <c r="O12519" i="10"/>
  <c r="O12520" i="10"/>
  <c r="O12521" i="10"/>
  <c r="O12522" i="10"/>
  <c r="O12523" i="10"/>
  <c r="O12524" i="10"/>
  <c r="O12525" i="10"/>
  <c r="O12526" i="10"/>
  <c r="O12527" i="10"/>
  <c r="O12528" i="10"/>
  <c r="O12529" i="10"/>
  <c r="O12530" i="10"/>
  <c r="O12531" i="10"/>
  <c r="O12532" i="10"/>
  <c r="O12533" i="10"/>
  <c r="O12534" i="10"/>
  <c r="O12535" i="10"/>
  <c r="O12536" i="10"/>
  <c r="O12537" i="10"/>
  <c r="O12538" i="10"/>
  <c r="O12539" i="10"/>
  <c r="O12540" i="10"/>
  <c r="O12541" i="10"/>
  <c r="O12542" i="10"/>
  <c r="O12543" i="10"/>
  <c r="O12544" i="10"/>
  <c r="O12545" i="10"/>
  <c r="O12546" i="10"/>
  <c r="O12547" i="10"/>
  <c r="O12548" i="10"/>
  <c r="O12549" i="10"/>
  <c r="O12550" i="10"/>
  <c r="O12551" i="10"/>
  <c r="O12552" i="10"/>
  <c r="O12553" i="10"/>
  <c r="O12554" i="10"/>
  <c r="O12555" i="10"/>
  <c r="O12556" i="10"/>
  <c r="O12557" i="10"/>
  <c r="O12558" i="10"/>
  <c r="O12559" i="10"/>
  <c r="O12560" i="10"/>
  <c r="O12561" i="10"/>
  <c r="O12562" i="10"/>
  <c r="O12563" i="10"/>
  <c r="O12564" i="10"/>
  <c r="O12565" i="10"/>
  <c r="O12566" i="10"/>
  <c r="O12567" i="10"/>
  <c r="O12568" i="10"/>
  <c r="O12569" i="10"/>
  <c r="O12570" i="10"/>
  <c r="O12571" i="10"/>
  <c r="O12572" i="10"/>
  <c r="O12573" i="10"/>
  <c r="O12574" i="10"/>
  <c r="O12575" i="10"/>
  <c r="O12576" i="10"/>
  <c r="O12577" i="10"/>
  <c r="O12578" i="10"/>
  <c r="O12579" i="10"/>
  <c r="O12580" i="10"/>
  <c r="O12581" i="10"/>
  <c r="O12582" i="10"/>
  <c r="O12583" i="10"/>
  <c r="O12584" i="10"/>
  <c r="O12585" i="10"/>
  <c r="O12586" i="10"/>
  <c r="O12587" i="10"/>
  <c r="O12588" i="10"/>
  <c r="O12589" i="10"/>
  <c r="O12590" i="10"/>
  <c r="O12591" i="10"/>
  <c r="O12592" i="10"/>
  <c r="O12593" i="10"/>
  <c r="O12594" i="10"/>
  <c r="O12595" i="10"/>
  <c r="O12596" i="10"/>
  <c r="O12597" i="10"/>
  <c r="O12598" i="10"/>
  <c r="O12599" i="10"/>
  <c r="O12600" i="10"/>
  <c r="O12601" i="10"/>
  <c r="O12602" i="10"/>
  <c r="O12603" i="10"/>
  <c r="O12604" i="10"/>
  <c r="O12605" i="10"/>
  <c r="O12606" i="10"/>
  <c r="O12607" i="10"/>
  <c r="O12608" i="10"/>
  <c r="O12609" i="10"/>
  <c r="O12610" i="10"/>
  <c r="O12611" i="10"/>
  <c r="O12612" i="10"/>
  <c r="O12613" i="10"/>
  <c r="O12614" i="10"/>
  <c r="O12615" i="10"/>
  <c r="O12616" i="10"/>
  <c r="O12617" i="10"/>
  <c r="O12618" i="10"/>
  <c r="O12619" i="10"/>
  <c r="O12620" i="10"/>
  <c r="O12621" i="10"/>
  <c r="O12622" i="10"/>
  <c r="O12623" i="10"/>
  <c r="O12624" i="10"/>
  <c r="O12625" i="10"/>
  <c r="O12626" i="10"/>
  <c r="O12627" i="10"/>
  <c r="O12628" i="10"/>
  <c r="O12629" i="10"/>
  <c r="O12630" i="10"/>
  <c r="O12631" i="10"/>
  <c r="O12632" i="10"/>
  <c r="O12633" i="10"/>
  <c r="O12634" i="10"/>
  <c r="O12635" i="10"/>
  <c r="O12636" i="10"/>
  <c r="O12637" i="10"/>
  <c r="O12638" i="10"/>
  <c r="O12639" i="10"/>
  <c r="O12640" i="10"/>
  <c r="O12641" i="10"/>
  <c r="O12642" i="10"/>
  <c r="O12643" i="10"/>
  <c r="O12644" i="10"/>
  <c r="O12645" i="10"/>
  <c r="O12646" i="10"/>
  <c r="O12647" i="10"/>
  <c r="O12648" i="10"/>
  <c r="O12649" i="10"/>
  <c r="O12650" i="10"/>
  <c r="O12651" i="10"/>
  <c r="O12652" i="10"/>
  <c r="O12653" i="10"/>
  <c r="O12654" i="10"/>
  <c r="O12655" i="10"/>
  <c r="O12656" i="10"/>
  <c r="O12657" i="10"/>
  <c r="O12658" i="10"/>
  <c r="O12659" i="10"/>
  <c r="O12660" i="10"/>
  <c r="O12661" i="10"/>
  <c r="O12662" i="10"/>
  <c r="O12663" i="10"/>
  <c r="O12664" i="10"/>
  <c r="O12665" i="10"/>
  <c r="O12666" i="10"/>
  <c r="O12667" i="10"/>
  <c r="O12668" i="10"/>
  <c r="O12669" i="10"/>
  <c r="O12670" i="10"/>
  <c r="O12671" i="10"/>
  <c r="O12672" i="10"/>
  <c r="O12673" i="10"/>
  <c r="O12674" i="10"/>
  <c r="O12675" i="10"/>
  <c r="O12676" i="10"/>
  <c r="O12677" i="10"/>
  <c r="O12678" i="10"/>
  <c r="O12679" i="10"/>
  <c r="O12680" i="10"/>
  <c r="O12681" i="10"/>
  <c r="O12682" i="10"/>
  <c r="O12683" i="10"/>
  <c r="O12684" i="10"/>
  <c r="O12685" i="10"/>
  <c r="O12686" i="10"/>
  <c r="O12687" i="10"/>
  <c r="O12688" i="10"/>
  <c r="O12689" i="10"/>
  <c r="O12690" i="10"/>
  <c r="O12691" i="10"/>
  <c r="O12692" i="10"/>
  <c r="O12693" i="10"/>
  <c r="O12694" i="10"/>
  <c r="O12695" i="10"/>
  <c r="O12696" i="10"/>
  <c r="O12697" i="10"/>
  <c r="O12698" i="10"/>
  <c r="O12699" i="10"/>
  <c r="O12700" i="10"/>
  <c r="O12701" i="10"/>
  <c r="O12702" i="10"/>
  <c r="O12703" i="10"/>
  <c r="O12704" i="10"/>
  <c r="O12705" i="10"/>
  <c r="O12706" i="10"/>
  <c r="O12707" i="10"/>
  <c r="O12708" i="10"/>
  <c r="O12709" i="10"/>
  <c r="O12710" i="10"/>
  <c r="O12711" i="10"/>
  <c r="O12712" i="10"/>
  <c r="O12713" i="10"/>
  <c r="O12714" i="10"/>
  <c r="O12715" i="10"/>
  <c r="O12716" i="10"/>
  <c r="O12717" i="10"/>
  <c r="O12718" i="10"/>
  <c r="O12719" i="10"/>
  <c r="O12720" i="10"/>
  <c r="O12721" i="10"/>
  <c r="O12722" i="10"/>
  <c r="O12723" i="10"/>
  <c r="O12724" i="10"/>
  <c r="O12725" i="10"/>
  <c r="O12726" i="10"/>
  <c r="O12727" i="10"/>
  <c r="O12728" i="10"/>
  <c r="O12729" i="10"/>
  <c r="O12730" i="10"/>
  <c r="O12731" i="10"/>
  <c r="O12732" i="10"/>
  <c r="O12733" i="10"/>
  <c r="O12734" i="10"/>
  <c r="O12735" i="10"/>
  <c r="O12736" i="10"/>
  <c r="O12737" i="10"/>
  <c r="O12738" i="10"/>
  <c r="O12739" i="10"/>
  <c r="O12740" i="10"/>
  <c r="O12741" i="10"/>
  <c r="O12742" i="10"/>
  <c r="O12743" i="10"/>
  <c r="O12744" i="10"/>
  <c r="O12745" i="10"/>
  <c r="O12746" i="10"/>
  <c r="O12747" i="10"/>
  <c r="O12748" i="10"/>
  <c r="O12749" i="10"/>
  <c r="O12750" i="10"/>
  <c r="O12751" i="10"/>
  <c r="O12752" i="10"/>
  <c r="O12753" i="10"/>
  <c r="O12754" i="10"/>
  <c r="O12755" i="10"/>
  <c r="O12756" i="10"/>
  <c r="O12757" i="10"/>
  <c r="O12758" i="10"/>
  <c r="O12759" i="10"/>
  <c r="O12760" i="10"/>
  <c r="O12761" i="10"/>
  <c r="O12762" i="10"/>
  <c r="O12763" i="10"/>
  <c r="O12764" i="10"/>
  <c r="O12765" i="10"/>
  <c r="O12766" i="10"/>
  <c r="O12767" i="10"/>
  <c r="O12768" i="10"/>
  <c r="O12769" i="10"/>
  <c r="O12770" i="10"/>
  <c r="O12771" i="10"/>
  <c r="O12772" i="10"/>
  <c r="O12773" i="10"/>
  <c r="O12774" i="10"/>
  <c r="O12775" i="10"/>
  <c r="O12776" i="10"/>
  <c r="O12777" i="10"/>
  <c r="O12778" i="10"/>
  <c r="O12779" i="10"/>
  <c r="O12780" i="10"/>
  <c r="O12781" i="10"/>
  <c r="O12782" i="10"/>
  <c r="O12783" i="10"/>
  <c r="O12784" i="10"/>
  <c r="O12785" i="10"/>
  <c r="O12786" i="10"/>
  <c r="O12787" i="10"/>
  <c r="O12788" i="10"/>
  <c r="O12789" i="10"/>
  <c r="O12790" i="10"/>
  <c r="O12791" i="10"/>
  <c r="O12792" i="10"/>
  <c r="O12793" i="10"/>
  <c r="O12794" i="10"/>
  <c r="O12795" i="10"/>
  <c r="O12796" i="10"/>
  <c r="O12797" i="10"/>
  <c r="O12798" i="10"/>
  <c r="O12799" i="10"/>
  <c r="O12800" i="10"/>
  <c r="O12801" i="10"/>
  <c r="O12802" i="10"/>
  <c r="O12803" i="10"/>
  <c r="O12804" i="10"/>
  <c r="O12805" i="10"/>
  <c r="O12806" i="10"/>
  <c r="O12807" i="10"/>
  <c r="O12808" i="10"/>
  <c r="O12809" i="10"/>
  <c r="O12810" i="10"/>
  <c r="O12811" i="10"/>
  <c r="O12812" i="10"/>
  <c r="O12813" i="10"/>
  <c r="O12814" i="10"/>
  <c r="O12815" i="10"/>
  <c r="O12816" i="10"/>
  <c r="O12817" i="10"/>
  <c r="O12818" i="10"/>
  <c r="O12819" i="10"/>
  <c r="O12820" i="10"/>
  <c r="O12821" i="10"/>
  <c r="O12822" i="10"/>
  <c r="O12823" i="10"/>
  <c r="O12824" i="10"/>
  <c r="O12825" i="10"/>
  <c r="O12826" i="10"/>
  <c r="O12827" i="10"/>
  <c r="O12828" i="10"/>
  <c r="O12829" i="10"/>
  <c r="O12830" i="10"/>
  <c r="O12831" i="10"/>
  <c r="O12832" i="10"/>
  <c r="O12833" i="10"/>
  <c r="O12834" i="10"/>
  <c r="O12835" i="10"/>
  <c r="O12836" i="10"/>
  <c r="O12837" i="10"/>
  <c r="O12838" i="10"/>
  <c r="O12839" i="10"/>
  <c r="O12840" i="10"/>
  <c r="O12841" i="10"/>
  <c r="O12842" i="10"/>
  <c r="O12843" i="10"/>
  <c r="O12844" i="10"/>
  <c r="O12845" i="10"/>
  <c r="O12846" i="10"/>
  <c r="O12847" i="10"/>
  <c r="O12848" i="10"/>
  <c r="O12849" i="10"/>
  <c r="O12850" i="10"/>
  <c r="O12851" i="10"/>
  <c r="O12852" i="10"/>
  <c r="O12853" i="10"/>
  <c r="O12854" i="10"/>
  <c r="O12855" i="10"/>
  <c r="O12856" i="10"/>
  <c r="O12857" i="10"/>
  <c r="O12858" i="10"/>
  <c r="O12859" i="10"/>
  <c r="O12860" i="10"/>
  <c r="O12861" i="10"/>
  <c r="O12862" i="10"/>
  <c r="O12863" i="10"/>
  <c r="O12864" i="10"/>
  <c r="O12865" i="10"/>
  <c r="O12866" i="10"/>
  <c r="O12867" i="10"/>
  <c r="O12868" i="10"/>
  <c r="O12869" i="10"/>
  <c r="O12870" i="10"/>
  <c r="O12871" i="10"/>
  <c r="O12872" i="10"/>
  <c r="O12873" i="10"/>
  <c r="O12874" i="10"/>
  <c r="O12875" i="10"/>
  <c r="O12876" i="10"/>
  <c r="O12877" i="10"/>
  <c r="O12878" i="10"/>
  <c r="O12879" i="10"/>
  <c r="O12880" i="10"/>
  <c r="O12881" i="10"/>
  <c r="O12882" i="10"/>
  <c r="O12883" i="10"/>
  <c r="O12884" i="10"/>
  <c r="O12885" i="10"/>
  <c r="O12886" i="10"/>
  <c r="O12887" i="10"/>
  <c r="O12888" i="10"/>
  <c r="O12889" i="10"/>
  <c r="O12890" i="10"/>
  <c r="O12891" i="10"/>
  <c r="O12892" i="10"/>
  <c r="O12893" i="10"/>
  <c r="O12894" i="10"/>
  <c r="O12895" i="10"/>
  <c r="O12896" i="10"/>
  <c r="O12897" i="10"/>
  <c r="O12898" i="10"/>
  <c r="O12899" i="10"/>
  <c r="O12900" i="10"/>
  <c r="O12901" i="10"/>
  <c r="O12902" i="10"/>
  <c r="O12903" i="10"/>
  <c r="O12904" i="10"/>
  <c r="O12905" i="10"/>
  <c r="O12906" i="10"/>
  <c r="O12907" i="10"/>
  <c r="O12908" i="10"/>
  <c r="O12909" i="10"/>
  <c r="O12910" i="10"/>
  <c r="O12911" i="10"/>
  <c r="O12912" i="10"/>
  <c r="O12913" i="10"/>
  <c r="O12914" i="10"/>
  <c r="O12915" i="10"/>
  <c r="O12916" i="10"/>
  <c r="O12917" i="10"/>
  <c r="O12918" i="10"/>
  <c r="O12919" i="10"/>
  <c r="O12920" i="10"/>
  <c r="O12921" i="10"/>
  <c r="O12922" i="10"/>
  <c r="O12923" i="10"/>
  <c r="O12924" i="10"/>
  <c r="O12925" i="10"/>
  <c r="O12926" i="10"/>
  <c r="O12927" i="10"/>
  <c r="O12928" i="10"/>
  <c r="O12929" i="10"/>
  <c r="O12930" i="10"/>
  <c r="O12931" i="10"/>
  <c r="O12932" i="10"/>
  <c r="O12933" i="10"/>
  <c r="O12934" i="10"/>
  <c r="O12935" i="10"/>
  <c r="O12936" i="10"/>
  <c r="O12937" i="10"/>
  <c r="O12938" i="10"/>
  <c r="O12939" i="10"/>
  <c r="O12940" i="10"/>
  <c r="O12941" i="10"/>
  <c r="O12942" i="10"/>
  <c r="O12943" i="10"/>
  <c r="O12944" i="10"/>
  <c r="O12945" i="10"/>
  <c r="O12946" i="10"/>
  <c r="O12947" i="10"/>
  <c r="O12948" i="10"/>
  <c r="O12949" i="10"/>
  <c r="O12950" i="10"/>
  <c r="O12951" i="10"/>
  <c r="O12952" i="10"/>
  <c r="O12953" i="10"/>
  <c r="O12954" i="10"/>
  <c r="O12955" i="10"/>
  <c r="O12956" i="10"/>
  <c r="O12957" i="10"/>
  <c r="O12958" i="10"/>
  <c r="O12959" i="10"/>
  <c r="O12960" i="10"/>
  <c r="O12961" i="10"/>
  <c r="O12962" i="10"/>
  <c r="O12963" i="10"/>
  <c r="O12964" i="10"/>
  <c r="O12965" i="10"/>
  <c r="O12966" i="10"/>
  <c r="O12967" i="10"/>
  <c r="O12968" i="10"/>
  <c r="O12969" i="10"/>
  <c r="O12970" i="10"/>
  <c r="O12971" i="10"/>
  <c r="O12972" i="10"/>
  <c r="O12973" i="10"/>
  <c r="O12974" i="10"/>
  <c r="O12975" i="10"/>
  <c r="O12976" i="10"/>
  <c r="O12977" i="10"/>
  <c r="O12978" i="10"/>
  <c r="O12979" i="10"/>
  <c r="O12980" i="10"/>
  <c r="O12981" i="10"/>
  <c r="O12982" i="10"/>
  <c r="O12983" i="10"/>
  <c r="O12984" i="10"/>
  <c r="O12985" i="10"/>
  <c r="O12986" i="10"/>
  <c r="O12987" i="10"/>
  <c r="O12988" i="10"/>
  <c r="O12989" i="10"/>
  <c r="O12990" i="10"/>
  <c r="O12991" i="10"/>
  <c r="O12992" i="10"/>
  <c r="O12993" i="10"/>
  <c r="O12994" i="10"/>
  <c r="O12995" i="10"/>
  <c r="O12996" i="10"/>
  <c r="O12997" i="10"/>
  <c r="O12998" i="10"/>
  <c r="O12999" i="10"/>
  <c r="O13000" i="10"/>
  <c r="O13001" i="10"/>
  <c r="O13002" i="10"/>
  <c r="O13003" i="10"/>
  <c r="O13004" i="10"/>
  <c r="O13005" i="10"/>
  <c r="O13006" i="10"/>
  <c r="O13007" i="10"/>
  <c r="O13008" i="10"/>
  <c r="O13009" i="10"/>
  <c r="O13010" i="10"/>
  <c r="O13011" i="10"/>
  <c r="O13012" i="10"/>
  <c r="O13013" i="10"/>
  <c r="O13014" i="10"/>
  <c r="O13015" i="10"/>
  <c r="O13016" i="10"/>
  <c r="O13017" i="10"/>
  <c r="O13018" i="10"/>
  <c r="O13019" i="10"/>
  <c r="O13020" i="10"/>
  <c r="O13021" i="10"/>
  <c r="O13022" i="10"/>
  <c r="O13023" i="10"/>
  <c r="O13024" i="10"/>
  <c r="O13025" i="10"/>
  <c r="O13026" i="10"/>
  <c r="O13027" i="10"/>
  <c r="O13028" i="10"/>
  <c r="O13029" i="10"/>
  <c r="O13030" i="10"/>
  <c r="O13031" i="10"/>
  <c r="O13032" i="10"/>
  <c r="O13033" i="10"/>
  <c r="O13034" i="10"/>
  <c r="O13035" i="10"/>
  <c r="O13036" i="10"/>
  <c r="O13037" i="10"/>
  <c r="O13038" i="10"/>
  <c r="O13039" i="10"/>
  <c r="O13040" i="10"/>
  <c r="O13041" i="10"/>
  <c r="O13042" i="10"/>
  <c r="O13043" i="10"/>
  <c r="O13044" i="10"/>
  <c r="O13045" i="10"/>
  <c r="O13046" i="10"/>
  <c r="O13047" i="10"/>
  <c r="O13048" i="10"/>
  <c r="O13049" i="10"/>
  <c r="O13050" i="10"/>
  <c r="O13051" i="10"/>
  <c r="O13052" i="10"/>
  <c r="O13053" i="10"/>
  <c r="O13054" i="10"/>
  <c r="O13055" i="10"/>
  <c r="O13056" i="10"/>
  <c r="O13057" i="10"/>
  <c r="O13058" i="10"/>
  <c r="O13059" i="10"/>
  <c r="O13060" i="10"/>
  <c r="O13061" i="10"/>
  <c r="O13062" i="10"/>
  <c r="O13063" i="10"/>
  <c r="O13064" i="10"/>
  <c r="O13065" i="10"/>
  <c r="O13066" i="10"/>
  <c r="O13067" i="10"/>
  <c r="O13068" i="10"/>
  <c r="O13069" i="10"/>
  <c r="O13070" i="10"/>
  <c r="O13071" i="10"/>
  <c r="O13072" i="10"/>
  <c r="O13073" i="10"/>
  <c r="O13074" i="10"/>
  <c r="O13075" i="10"/>
  <c r="O13076" i="10"/>
  <c r="O13077" i="10"/>
  <c r="O13078" i="10"/>
  <c r="O13079" i="10"/>
  <c r="O13080" i="10"/>
  <c r="O13081" i="10"/>
  <c r="O13082" i="10"/>
  <c r="O13083" i="10"/>
  <c r="O13084" i="10"/>
  <c r="O13085" i="10"/>
  <c r="O13086" i="10"/>
  <c r="O13087" i="10"/>
  <c r="O13088" i="10"/>
  <c r="O13089" i="10"/>
  <c r="O13090" i="10"/>
  <c r="O13091" i="10"/>
  <c r="O13092" i="10"/>
  <c r="O13093" i="10"/>
  <c r="O13094" i="10"/>
  <c r="O13095" i="10"/>
  <c r="O13096" i="10"/>
  <c r="O13097" i="10"/>
  <c r="O13098" i="10"/>
  <c r="O13099" i="10"/>
  <c r="O13100" i="10"/>
  <c r="O13101" i="10"/>
  <c r="O13102" i="10"/>
  <c r="O13103" i="10"/>
  <c r="O13104" i="10"/>
  <c r="O13105" i="10"/>
  <c r="O13106" i="10"/>
  <c r="O13107" i="10"/>
  <c r="O13108" i="10"/>
  <c r="O13109" i="10"/>
  <c r="O13110" i="10"/>
  <c r="O13111" i="10"/>
  <c r="O13112" i="10"/>
  <c r="O13113" i="10"/>
  <c r="O13114" i="10"/>
  <c r="O13115" i="10"/>
  <c r="O13116" i="10"/>
  <c r="O13117" i="10"/>
  <c r="O13118" i="10"/>
  <c r="O13119" i="10"/>
  <c r="O13120" i="10"/>
  <c r="O13121" i="10"/>
  <c r="O13122" i="10"/>
  <c r="O13123" i="10"/>
  <c r="O13124" i="10"/>
  <c r="O13125" i="10"/>
  <c r="O13126" i="10"/>
  <c r="O13127" i="10"/>
  <c r="O13128" i="10"/>
  <c r="O13129" i="10"/>
  <c r="O13130" i="10"/>
  <c r="O13131" i="10"/>
  <c r="O13132" i="10"/>
  <c r="O13133" i="10"/>
  <c r="O13134" i="10"/>
  <c r="O13135" i="10"/>
  <c r="O13136" i="10"/>
  <c r="O13137" i="10"/>
  <c r="O13138" i="10"/>
  <c r="O13139" i="10"/>
  <c r="O13140" i="10"/>
  <c r="O13141" i="10"/>
  <c r="O13142" i="10"/>
  <c r="O13143" i="10"/>
  <c r="O13144" i="10"/>
  <c r="O13145" i="10"/>
  <c r="O13146" i="10"/>
  <c r="O13147" i="10"/>
  <c r="O13148" i="10"/>
  <c r="O13149" i="10"/>
  <c r="O13150" i="10"/>
  <c r="O13151" i="10"/>
  <c r="O13152" i="10"/>
  <c r="O13153" i="10"/>
  <c r="O13154" i="10"/>
  <c r="O13155" i="10"/>
  <c r="O13156" i="10"/>
  <c r="O13157" i="10"/>
  <c r="O13158" i="10"/>
  <c r="O13159" i="10"/>
  <c r="O13160" i="10"/>
  <c r="O13161" i="10"/>
  <c r="O13162" i="10"/>
  <c r="O13163" i="10"/>
  <c r="O13164" i="10"/>
  <c r="O13165" i="10"/>
  <c r="O13166" i="10"/>
  <c r="O13167" i="10"/>
  <c r="O13168" i="10"/>
  <c r="O13169" i="10"/>
  <c r="O13170" i="10"/>
  <c r="O13171" i="10"/>
  <c r="O13172" i="10"/>
  <c r="O13173" i="10"/>
  <c r="O13174" i="10"/>
  <c r="O13175" i="10"/>
  <c r="O13176" i="10"/>
  <c r="O13177" i="10"/>
  <c r="O13178" i="10"/>
  <c r="O13179" i="10"/>
  <c r="O13180" i="10"/>
  <c r="O13181" i="10"/>
  <c r="O13182" i="10"/>
  <c r="O13183" i="10"/>
  <c r="O13184" i="10"/>
  <c r="O13185" i="10"/>
  <c r="O13186" i="10"/>
  <c r="O13187" i="10"/>
  <c r="O13188" i="10"/>
  <c r="O13189" i="10"/>
  <c r="O13190" i="10"/>
  <c r="O13191" i="10"/>
  <c r="O13192" i="10"/>
  <c r="O13193" i="10"/>
  <c r="O13194" i="10"/>
  <c r="O13195" i="10"/>
  <c r="O13196" i="10"/>
  <c r="O13197" i="10"/>
  <c r="O13198" i="10"/>
  <c r="O13199" i="10"/>
  <c r="O13200" i="10"/>
  <c r="O13201" i="10"/>
  <c r="O13202" i="10"/>
  <c r="O13203" i="10"/>
  <c r="O13204" i="10"/>
  <c r="O13205" i="10"/>
  <c r="O13206" i="10"/>
  <c r="O13207" i="10"/>
  <c r="O13208" i="10"/>
  <c r="O13209" i="10"/>
  <c r="O13210" i="10"/>
  <c r="O13211" i="10"/>
  <c r="O13212" i="10"/>
  <c r="O13213" i="10"/>
  <c r="O13214" i="10"/>
  <c r="O13215" i="10"/>
  <c r="O13216" i="10"/>
  <c r="O13217" i="10"/>
  <c r="O13218" i="10"/>
  <c r="O13219" i="10"/>
  <c r="O13220" i="10"/>
  <c r="O13221" i="10"/>
  <c r="O13222" i="10"/>
  <c r="O13223" i="10"/>
  <c r="O13224" i="10"/>
  <c r="O13225" i="10"/>
  <c r="O13226" i="10"/>
  <c r="O13227" i="10"/>
  <c r="O13228" i="10"/>
  <c r="O13229" i="10"/>
  <c r="O13230" i="10"/>
  <c r="O13231" i="10"/>
  <c r="O13232" i="10"/>
  <c r="O13233" i="10"/>
  <c r="O13234" i="10"/>
  <c r="O13235" i="10"/>
  <c r="O13236" i="10"/>
  <c r="O13237" i="10"/>
  <c r="O13238" i="10"/>
  <c r="O13239" i="10"/>
  <c r="O13240" i="10"/>
  <c r="O13241" i="10"/>
  <c r="O13242" i="10"/>
  <c r="O13243" i="10"/>
  <c r="O13244" i="10"/>
  <c r="O13245" i="10"/>
  <c r="O13246" i="10"/>
  <c r="O13247" i="10"/>
  <c r="O13248" i="10"/>
  <c r="O13249" i="10"/>
  <c r="O13250" i="10"/>
  <c r="O13251" i="10"/>
  <c r="O13252" i="10"/>
  <c r="O13253" i="10"/>
  <c r="O13254" i="10"/>
  <c r="O13255" i="10"/>
  <c r="O13256" i="10"/>
  <c r="O13257" i="10"/>
  <c r="O13258" i="10"/>
  <c r="O13259" i="10"/>
  <c r="O13260" i="10"/>
  <c r="O13261" i="10"/>
  <c r="O13262" i="10"/>
  <c r="O13263" i="10"/>
  <c r="O13264" i="10"/>
  <c r="O13265" i="10"/>
  <c r="O13266" i="10"/>
  <c r="O13267" i="10"/>
  <c r="O13268" i="10"/>
  <c r="O13269" i="10"/>
  <c r="O13270" i="10"/>
  <c r="O13271" i="10"/>
  <c r="O13272" i="10"/>
  <c r="O13273" i="10"/>
  <c r="O13274" i="10"/>
  <c r="O13275" i="10"/>
  <c r="O13276" i="10"/>
  <c r="O13277" i="10"/>
  <c r="O13278" i="10"/>
  <c r="O13279" i="10"/>
  <c r="O13280" i="10"/>
  <c r="O13281" i="10"/>
  <c r="O13282" i="10"/>
  <c r="O13283" i="10"/>
  <c r="O13284" i="10"/>
  <c r="O13285" i="10"/>
  <c r="O13286" i="10"/>
  <c r="O13287" i="10"/>
  <c r="O13288" i="10"/>
  <c r="O13289" i="10"/>
  <c r="O13290" i="10"/>
  <c r="O13291" i="10"/>
  <c r="O13292" i="10"/>
  <c r="O13293" i="10"/>
  <c r="O13294" i="10"/>
  <c r="O13295" i="10"/>
  <c r="O13296" i="10"/>
  <c r="O13297" i="10"/>
  <c r="O13298" i="10"/>
  <c r="O13299" i="10"/>
  <c r="O13300" i="10"/>
  <c r="O13301" i="10"/>
  <c r="O13302" i="10"/>
  <c r="O13303" i="10"/>
  <c r="O13304" i="10"/>
  <c r="O13305" i="10"/>
  <c r="O13306" i="10"/>
  <c r="O13307" i="10"/>
  <c r="O13308" i="10"/>
  <c r="O13309" i="10"/>
  <c r="O13310" i="10"/>
  <c r="O13311" i="10"/>
  <c r="O13312" i="10"/>
  <c r="O13313" i="10"/>
  <c r="O13314" i="10"/>
  <c r="O13315" i="10"/>
  <c r="O13316" i="10"/>
  <c r="O13317" i="10"/>
  <c r="O13318" i="10"/>
  <c r="O13319" i="10"/>
  <c r="O13320" i="10"/>
  <c r="O13321" i="10"/>
  <c r="O13322" i="10"/>
  <c r="O13323" i="10"/>
  <c r="O13324" i="10"/>
  <c r="O13325" i="10"/>
  <c r="O13326" i="10"/>
  <c r="O13327" i="10"/>
  <c r="O13328" i="10"/>
  <c r="O13329" i="10"/>
  <c r="O13330" i="10"/>
  <c r="O13331" i="10"/>
  <c r="O13332" i="10"/>
  <c r="O13333" i="10"/>
  <c r="O13334" i="10"/>
  <c r="O13335" i="10"/>
  <c r="O13336" i="10"/>
  <c r="O13337" i="10"/>
  <c r="O13338" i="10"/>
  <c r="O13339" i="10"/>
  <c r="O13340" i="10"/>
  <c r="O13341" i="10"/>
  <c r="O13342" i="10"/>
  <c r="O13343" i="10"/>
  <c r="O13344" i="10"/>
  <c r="O13345" i="10"/>
  <c r="O13346" i="10"/>
  <c r="O13347" i="10"/>
  <c r="O13348" i="10"/>
  <c r="O13349" i="10"/>
  <c r="O13350" i="10"/>
  <c r="O13351" i="10"/>
  <c r="O13352" i="10"/>
  <c r="O13353" i="10"/>
  <c r="O13354" i="10"/>
  <c r="O13355" i="10"/>
  <c r="O13356" i="10"/>
  <c r="O13357" i="10"/>
  <c r="O13358" i="10"/>
  <c r="O13359" i="10"/>
  <c r="O13360" i="10"/>
  <c r="O13361" i="10"/>
  <c r="O13362" i="10"/>
  <c r="O13363" i="10"/>
  <c r="O13364" i="10"/>
  <c r="O13365" i="10"/>
  <c r="O13366" i="10"/>
  <c r="O13367" i="10"/>
  <c r="O13368" i="10"/>
  <c r="O13369" i="10"/>
  <c r="O13370" i="10"/>
  <c r="O13371" i="10"/>
  <c r="O13372" i="10"/>
  <c r="O13373" i="10"/>
  <c r="O13374" i="10"/>
  <c r="O13375" i="10"/>
  <c r="O13376" i="10"/>
  <c r="O13377" i="10"/>
  <c r="O13378" i="10"/>
  <c r="O13379" i="10"/>
  <c r="O13380" i="10"/>
  <c r="O13381" i="10"/>
  <c r="O13382" i="10"/>
  <c r="O13383" i="10"/>
  <c r="O13384" i="10"/>
  <c r="O13385" i="10"/>
  <c r="O13386" i="10"/>
  <c r="O13387" i="10"/>
  <c r="O13388" i="10"/>
  <c r="O13389" i="10"/>
  <c r="O13390" i="10"/>
  <c r="O13391" i="10"/>
  <c r="O13392" i="10"/>
  <c r="O13393" i="10"/>
  <c r="O13394" i="10"/>
  <c r="O13395" i="10"/>
  <c r="O13396" i="10"/>
  <c r="O13397" i="10"/>
  <c r="O13398" i="10"/>
  <c r="O13399" i="10"/>
  <c r="O13400" i="10"/>
  <c r="O13401" i="10"/>
  <c r="O13402" i="10"/>
  <c r="O13403" i="10"/>
  <c r="O13404" i="10"/>
  <c r="O13405" i="10"/>
  <c r="O13406" i="10"/>
  <c r="O13407" i="10"/>
  <c r="O13408" i="10"/>
  <c r="O13409" i="10"/>
  <c r="O13410" i="10"/>
  <c r="O13411" i="10"/>
  <c r="O13412" i="10"/>
  <c r="O13413" i="10"/>
  <c r="O13414" i="10"/>
  <c r="O13415" i="10"/>
  <c r="O13416" i="10"/>
  <c r="O13417" i="10"/>
  <c r="O13418" i="10"/>
  <c r="O13419" i="10"/>
  <c r="O13420" i="10"/>
  <c r="O13421" i="10"/>
  <c r="O13422" i="10"/>
  <c r="O13423" i="10"/>
  <c r="O13424" i="10"/>
  <c r="O13425" i="10"/>
  <c r="O13426" i="10"/>
  <c r="O13427" i="10"/>
  <c r="O13428" i="10"/>
  <c r="O13429" i="10"/>
  <c r="O13430" i="10"/>
  <c r="O13431" i="10"/>
  <c r="O13432" i="10"/>
  <c r="O13433" i="10"/>
  <c r="O13434" i="10"/>
  <c r="O13435" i="10"/>
  <c r="O13436" i="10"/>
  <c r="O13437" i="10"/>
  <c r="O13438" i="10"/>
  <c r="O13439" i="10"/>
  <c r="O13440" i="10"/>
  <c r="O13441" i="10"/>
  <c r="O13442" i="10"/>
  <c r="O13443" i="10"/>
  <c r="O13444" i="10"/>
  <c r="O13445" i="10"/>
  <c r="O13446" i="10"/>
  <c r="O13447" i="10"/>
  <c r="O13448" i="10"/>
  <c r="O13449" i="10"/>
  <c r="O13450" i="10"/>
  <c r="O13451" i="10"/>
  <c r="O13452" i="10"/>
  <c r="O13453" i="10"/>
  <c r="O13454" i="10"/>
  <c r="O13455" i="10"/>
  <c r="O13456" i="10"/>
  <c r="O13457" i="10"/>
  <c r="O13458" i="10"/>
  <c r="O13459" i="10"/>
  <c r="O13460" i="10"/>
  <c r="O13461" i="10"/>
  <c r="O13462" i="10"/>
  <c r="O13463" i="10"/>
  <c r="O13464" i="10"/>
  <c r="O13465" i="10"/>
  <c r="O13466" i="10"/>
  <c r="O13467" i="10"/>
  <c r="O13468" i="10"/>
  <c r="O13469" i="10"/>
  <c r="O13470" i="10"/>
  <c r="O13471" i="10"/>
  <c r="O13472" i="10"/>
  <c r="O13473" i="10"/>
  <c r="O13474" i="10"/>
  <c r="O13475" i="10"/>
  <c r="O13476" i="10"/>
  <c r="O13477" i="10"/>
  <c r="O13478" i="10"/>
  <c r="O13479" i="10"/>
  <c r="O13480" i="10"/>
  <c r="O13481" i="10"/>
  <c r="O13482" i="10"/>
  <c r="O13483" i="10"/>
  <c r="O13484" i="10"/>
  <c r="O13485" i="10"/>
  <c r="O13486" i="10"/>
  <c r="O13487" i="10"/>
  <c r="O13488" i="10"/>
  <c r="O13489" i="10"/>
  <c r="O13490" i="10"/>
  <c r="O13491" i="10"/>
  <c r="O13492" i="10"/>
  <c r="O13493" i="10"/>
  <c r="O13494" i="10"/>
  <c r="O13495" i="10"/>
  <c r="O13496" i="10"/>
  <c r="O13497" i="10"/>
  <c r="O13498" i="10"/>
  <c r="O13499" i="10"/>
  <c r="O13500" i="10"/>
  <c r="O13501" i="10"/>
  <c r="O13502" i="10"/>
  <c r="O13503" i="10"/>
  <c r="O13504" i="10"/>
  <c r="O13505" i="10"/>
  <c r="O13506" i="10"/>
  <c r="O13507" i="10"/>
  <c r="O13508" i="10"/>
  <c r="O13509" i="10"/>
  <c r="O13510" i="10"/>
  <c r="O13511" i="10"/>
  <c r="O13512" i="10"/>
  <c r="O13513" i="10"/>
  <c r="O13514" i="10"/>
  <c r="O13515" i="10"/>
  <c r="O13516" i="10"/>
  <c r="O13517" i="10"/>
  <c r="O13518" i="10"/>
  <c r="O13519" i="10"/>
  <c r="O13520" i="10"/>
  <c r="O13521" i="10"/>
  <c r="O13522" i="10"/>
  <c r="O13523" i="10"/>
  <c r="O13524" i="10"/>
  <c r="O13525" i="10"/>
  <c r="O13526" i="10"/>
  <c r="O13527" i="10"/>
  <c r="O13528" i="10"/>
  <c r="O13529" i="10"/>
  <c r="O13530" i="10"/>
  <c r="O13531" i="10"/>
  <c r="O13532" i="10"/>
  <c r="O13533" i="10"/>
  <c r="O13534" i="10"/>
  <c r="O13535" i="10"/>
  <c r="O13536" i="10"/>
  <c r="O13537" i="10"/>
  <c r="O13538" i="10"/>
  <c r="O13539" i="10"/>
  <c r="O13540" i="10"/>
  <c r="O13541" i="10"/>
  <c r="O13542" i="10"/>
  <c r="O13543" i="10"/>
  <c r="O13544" i="10"/>
  <c r="O13545" i="10"/>
  <c r="O13546" i="10"/>
  <c r="O13547" i="10"/>
  <c r="O13548" i="10"/>
  <c r="O13549" i="10"/>
  <c r="O13550" i="10"/>
  <c r="O13551" i="10"/>
  <c r="O13552" i="10"/>
  <c r="O13553" i="10"/>
  <c r="O13554" i="10"/>
  <c r="O13555" i="10"/>
  <c r="O13556" i="10"/>
  <c r="O13557" i="10"/>
  <c r="O13558" i="10"/>
  <c r="O13559" i="10"/>
  <c r="O13560" i="10"/>
  <c r="O13561" i="10"/>
  <c r="O13562" i="10"/>
  <c r="O13563" i="10"/>
  <c r="O13564" i="10"/>
  <c r="O13565" i="10"/>
  <c r="O13566" i="10"/>
  <c r="O13567" i="10"/>
  <c r="O13568" i="10"/>
  <c r="O13569" i="10"/>
  <c r="O13570" i="10"/>
  <c r="O13571" i="10"/>
  <c r="O13572" i="10"/>
  <c r="O13573" i="10"/>
  <c r="O13574" i="10"/>
  <c r="O13575" i="10"/>
  <c r="O13576" i="10"/>
  <c r="O13577" i="10"/>
  <c r="O13578" i="10"/>
  <c r="O13579" i="10"/>
  <c r="O13580" i="10"/>
  <c r="O13581" i="10"/>
  <c r="O13582" i="10"/>
  <c r="O13583" i="10"/>
  <c r="O13584" i="10"/>
  <c r="O13585" i="10"/>
  <c r="O13586" i="10"/>
  <c r="O13587" i="10"/>
  <c r="O13588" i="10"/>
  <c r="O13589" i="10"/>
  <c r="O13590" i="10"/>
  <c r="O13591" i="10"/>
  <c r="O13592" i="10"/>
  <c r="O13593" i="10"/>
  <c r="O13594" i="10"/>
  <c r="O13595" i="10"/>
  <c r="O13596" i="10"/>
  <c r="O13597" i="10"/>
  <c r="O13598" i="10"/>
  <c r="O13599" i="10"/>
  <c r="O13600" i="10"/>
  <c r="O13601" i="10"/>
  <c r="O13602" i="10"/>
  <c r="O13603" i="10"/>
  <c r="O13604" i="10"/>
  <c r="O13605" i="10"/>
  <c r="O13606" i="10"/>
  <c r="O13607" i="10"/>
  <c r="O13608" i="10"/>
  <c r="O13609" i="10"/>
  <c r="O13610" i="10"/>
  <c r="O13611" i="10"/>
  <c r="O13612" i="10"/>
  <c r="O13613" i="10"/>
  <c r="O13614" i="10"/>
  <c r="O13615" i="10"/>
  <c r="O13616" i="10"/>
  <c r="O13617" i="10"/>
  <c r="O13618" i="10"/>
  <c r="O13619" i="10"/>
  <c r="O13620" i="10"/>
  <c r="O13621" i="10"/>
  <c r="O13622" i="10"/>
  <c r="O13623" i="10"/>
  <c r="O13624" i="10"/>
  <c r="O13625" i="10"/>
  <c r="O13626" i="10"/>
  <c r="O13627" i="10"/>
  <c r="O13628" i="10"/>
  <c r="O13629" i="10"/>
  <c r="O13630" i="10"/>
  <c r="O13631" i="10"/>
  <c r="O13632" i="10"/>
  <c r="O13633" i="10"/>
  <c r="O13634" i="10"/>
  <c r="O13635" i="10"/>
  <c r="O13636" i="10"/>
  <c r="O13637" i="10"/>
  <c r="O13638" i="10"/>
  <c r="O13639" i="10"/>
  <c r="O13640" i="10"/>
  <c r="O13641" i="10"/>
  <c r="O13642" i="10"/>
  <c r="O13643" i="10"/>
  <c r="O13644" i="10"/>
  <c r="O13645" i="10"/>
  <c r="O13646" i="10"/>
  <c r="O13647" i="10"/>
  <c r="O13648" i="10"/>
  <c r="O13649" i="10"/>
  <c r="O13650" i="10"/>
  <c r="O13651" i="10"/>
  <c r="O13652" i="10"/>
  <c r="O13653" i="10"/>
  <c r="O13654" i="10"/>
  <c r="O13655" i="10"/>
  <c r="O13656" i="10"/>
  <c r="O13657" i="10"/>
  <c r="O13658" i="10"/>
  <c r="O13659" i="10"/>
  <c r="O13660" i="10"/>
  <c r="O13661" i="10"/>
  <c r="O13662" i="10"/>
  <c r="O13663" i="10"/>
  <c r="O13664" i="10"/>
  <c r="O13665" i="10"/>
  <c r="O13666" i="10"/>
  <c r="O13667" i="10"/>
  <c r="O13668" i="10"/>
  <c r="O13669" i="10"/>
  <c r="O13670" i="10"/>
  <c r="O13671" i="10"/>
  <c r="O13672" i="10"/>
  <c r="O13673" i="10"/>
  <c r="O13674" i="10"/>
  <c r="O13675" i="10"/>
  <c r="O13676" i="10"/>
  <c r="O13677" i="10"/>
  <c r="O13678" i="10"/>
  <c r="O13679" i="10"/>
  <c r="O13680" i="10"/>
  <c r="O13681" i="10"/>
  <c r="O13682" i="10"/>
  <c r="O13683" i="10"/>
  <c r="O13684" i="10"/>
  <c r="O13685" i="10"/>
  <c r="O13686" i="10"/>
  <c r="O13687" i="10"/>
  <c r="O13688" i="10"/>
  <c r="O13689" i="10"/>
  <c r="O13690" i="10"/>
  <c r="O13691" i="10"/>
  <c r="O13692" i="10"/>
  <c r="O13693" i="10"/>
  <c r="O13694" i="10"/>
  <c r="O13695" i="10"/>
  <c r="O13696" i="10"/>
  <c r="O13697" i="10"/>
  <c r="O13698" i="10"/>
  <c r="O13699" i="10"/>
  <c r="O13700" i="10"/>
  <c r="O13701" i="10"/>
  <c r="O13702" i="10"/>
  <c r="O13703" i="10"/>
  <c r="O13704" i="10"/>
  <c r="O13705" i="10"/>
  <c r="O13706" i="10"/>
  <c r="O13707" i="10"/>
  <c r="O13708" i="10"/>
  <c r="O13709" i="10"/>
  <c r="O13710" i="10"/>
  <c r="O13711" i="10"/>
  <c r="O13712" i="10"/>
  <c r="O13713" i="10"/>
  <c r="O13714" i="10"/>
  <c r="O13715" i="10"/>
  <c r="O13716" i="10"/>
  <c r="O13717" i="10"/>
  <c r="O13718" i="10"/>
  <c r="O13719" i="10"/>
  <c r="O13720" i="10"/>
  <c r="O13721" i="10"/>
  <c r="O13722" i="10"/>
  <c r="O13723" i="10"/>
  <c r="O13724" i="10"/>
  <c r="O13725" i="10"/>
  <c r="O13726" i="10"/>
  <c r="O13727" i="10"/>
  <c r="O13728" i="10"/>
  <c r="O13729" i="10"/>
  <c r="O13730" i="10"/>
  <c r="O13731" i="10"/>
  <c r="O13732" i="10"/>
  <c r="O13733" i="10"/>
  <c r="O13734" i="10"/>
  <c r="O13735" i="10"/>
  <c r="O13736" i="10"/>
  <c r="O13737" i="10"/>
  <c r="O13738" i="10"/>
  <c r="O13739" i="10"/>
  <c r="O13740" i="10"/>
  <c r="O13741" i="10"/>
  <c r="O13742" i="10"/>
  <c r="O13743" i="10"/>
  <c r="O13744" i="10"/>
  <c r="O13745" i="10"/>
  <c r="O13746" i="10"/>
  <c r="O13747" i="10"/>
  <c r="O13748" i="10"/>
  <c r="O13749" i="10"/>
  <c r="O13750" i="10"/>
  <c r="O13751" i="10"/>
  <c r="O13752" i="10"/>
  <c r="O13753" i="10"/>
  <c r="O13754" i="10"/>
  <c r="O13755" i="10"/>
  <c r="O13756" i="10"/>
  <c r="O13757" i="10"/>
  <c r="O13758" i="10"/>
  <c r="O13759" i="10"/>
  <c r="O13760" i="10"/>
  <c r="O13761" i="10"/>
  <c r="O13762" i="10"/>
  <c r="O13763" i="10"/>
  <c r="O13764" i="10"/>
  <c r="O13765" i="10"/>
  <c r="O13766" i="10"/>
  <c r="O13767" i="10"/>
  <c r="O13768" i="10"/>
  <c r="O13769" i="10"/>
  <c r="O13770" i="10"/>
  <c r="O13771" i="10"/>
  <c r="O13772" i="10"/>
  <c r="O13773" i="10"/>
  <c r="O13774" i="10"/>
  <c r="O13775" i="10"/>
  <c r="O13776" i="10"/>
  <c r="O13777" i="10"/>
  <c r="O13778" i="10"/>
  <c r="O13779" i="10"/>
  <c r="O13780" i="10"/>
  <c r="O13781" i="10"/>
  <c r="O13782" i="10"/>
  <c r="O13783" i="10"/>
  <c r="O13784" i="10"/>
  <c r="O13785" i="10"/>
  <c r="O13786" i="10"/>
  <c r="O13787" i="10"/>
  <c r="O13788" i="10"/>
  <c r="O13789" i="10"/>
  <c r="O13790" i="10"/>
  <c r="O13791" i="10"/>
  <c r="O13792" i="10"/>
  <c r="O13793" i="10"/>
  <c r="O13794" i="10"/>
  <c r="O13795" i="10"/>
  <c r="O13796" i="10"/>
  <c r="O13797" i="10"/>
  <c r="O13798" i="10"/>
  <c r="O13799" i="10"/>
  <c r="O13800" i="10"/>
  <c r="O13801" i="10"/>
  <c r="O13802" i="10"/>
  <c r="O13803" i="10"/>
  <c r="O13804" i="10"/>
  <c r="O13805" i="10"/>
  <c r="O13806" i="10"/>
  <c r="O13807" i="10"/>
  <c r="O13808" i="10"/>
  <c r="O13809" i="10"/>
  <c r="O13810" i="10"/>
  <c r="O13811" i="10"/>
  <c r="O13812" i="10"/>
  <c r="O13813" i="10"/>
  <c r="O13814" i="10"/>
  <c r="O13815" i="10"/>
  <c r="O13816" i="10"/>
  <c r="O13817" i="10"/>
  <c r="O13818" i="10"/>
  <c r="O13819" i="10"/>
  <c r="O13820" i="10"/>
  <c r="O13821" i="10"/>
  <c r="O13822" i="10"/>
  <c r="O13823" i="10"/>
  <c r="O13824" i="10"/>
  <c r="O13825" i="10"/>
  <c r="O13826" i="10"/>
  <c r="O13827" i="10"/>
  <c r="O13828" i="10"/>
  <c r="O13829" i="10"/>
  <c r="O13830" i="10"/>
  <c r="O13831" i="10"/>
  <c r="O13832" i="10"/>
  <c r="O13833" i="10"/>
  <c r="O13834" i="10"/>
  <c r="O13835" i="10"/>
  <c r="O13836" i="10"/>
  <c r="O13837" i="10"/>
  <c r="O13838" i="10"/>
  <c r="O13839" i="10"/>
  <c r="O13840" i="10"/>
  <c r="O13841" i="10"/>
  <c r="O13842" i="10"/>
  <c r="O13843" i="10"/>
  <c r="O13844" i="10"/>
  <c r="O13845" i="10"/>
  <c r="O13846" i="10"/>
  <c r="O13847" i="10"/>
  <c r="O13848" i="10"/>
  <c r="O13849" i="10"/>
  <c r="O13850" i="10"/>
  <c r="O13851" i="10"/>
  <c r="O13852" i="10"/>
  <c r="O13853" i="10"/>
  <c r="O13854" i="10"/>
  <c r="O13855" i="10"/>
  <c r="O13856" i="10"/>
  <c r="O13857" i="10"/>
  <c r="O13858" i="10"/>
  <c r="O13859" i="10"/>
  <c r="O13860" i="10"/>
  <c r="O13861" i="10"/>
  <c r="O13862" i="10"/>
  <c r="O13863" i="10"/>
  <c r="O13864" i="10"/>
  <c r="O13865" i="10"/>
  <c r="O13866" i="10"/>
  <c r="O13867" i="10"/>
  <c r="O13868" i="10"/>
  <c r="O13869" i="10"/>
  <c r="O13870" i="10"/>
  <c r="O13871" i="10"/>
  <c r="O13872" i="10"/>
  <c r="O13873" i="10"/>
  <c r="O13874" i="10"/>
  <c r="O13875" i="10"/>
  <c r="O13876" i="10"/>
  <c r="O13877" i="10"/>
  <c r="O13878" i="10"/>
  <c r="O13879" i="10"/>
  <c r="O13880" i="10"/>
  <c r="O13881" i="10"/>
  <c r="O13882" i="10"/>
  <c r="O13883" i="10"/>
  <c r="O13884" i="10"/>
  <c r="O13885" i="10"/>
  <c r="O13886" i="10"/>
  <c r="O13887" i="10"/>
  <c r="O13888" i="10"/>
  <c r="O13889" i="10"/>
  <c r="O13890" i="10"/>
  <c r="O13891" i="10"/>
  <c r="O13892" i="10"/>
  <c r="O13893" i="10"/>
  <c r="O13894" i="10"/>
  <c r="O13895" i="10"/>
  <c r="O13896" i="10"/>
  <c r="O13897" i="10"/>
  <c r="O13898" i="10"/>
  <c r="O13899" i="10"/>
  <c r="O13900" i="10"/>
  <c r="O13901" i="10"/>
  <c r="O13902" i="10"/>
  <c r="O13903" i="10"/>
  <c r="O13904" i="10"/>
  <c r="O13905" i="10"/>
  <c r="O13906" i="10"/>
  <c r="O13907" i="10"/>
  <c r="O13908" i="10"/>
  <c r="O13909" i="10"/>
  <c r="O13910" i="10"/>
  <c r="O13911" i="10"/>
  <c r="O13912" i="10"/>
  <c r="O13913" i="10"/>
  <c r="O13914" i="10"/>
  <c r="O13915" i="10"/>
  <c r="O13916" i="10"/>
  <c r="O13917" i="10"/>
  <c r="O13918" i="10"/>
  <c r="O13919" i="10"/>
  <c r="O13920" i="10"/>
  <c r="O13921" i="10"/>
  <c r="O13922" i="10"/>
  <c r="O13923" i="10"/>
  <c r="O13924" i="10"/>
  <c r="O13925" i="10"/>
  <c r="O13926" i="10"/>
  <c r="O13927" i="10"/>
  <c r="O13928" i="10"/>
  <c r="O13929" i="10"/>
  <c r="O13930" i="10"/>
  <c r="O13931" i="10"/>
  <c r="O13932" i="10"/>
  <c r="O13933" i="10"/>
  <c r="O13934" i="10"/>
  <c r="O13935" i="10"/>
  <c r="O13936" i="10"/>
  <c r="O13937" i="10"/>
  <c r="O13938" i="10"/>
  <c r="O13939" i="10"/>
  <c r="O13940" i="10"/>
  <c r="O13941" i="10"/>
  <c r="O13942" i="10"/>
  <c r="O13943" i="10"/>
  <c r="O13944" i="10"/>
  <c r="O13945" i="10"/>
  <c r="O13946" i="10"/>
  <c r="O13947" i="10"/>
  <c r="O13948" i="10"/>
  <c r="O13949" i="10"/>
  <c r="O13950" i="10"/>
  <c r="O13951" i="10"/>
  <c r="O13952" i="10"/>
  <c r="O13953" i="10"/>
  <c r="O13954" i="10"/>
  <c r="O13955" i="10"/>
  <c r="O13956" i="10"/>
  <c r="O13957" i="10"/>
  <c r="O13958" i="10"/>
  <c r="O13959" i="10"/>
  <c r="O13960" i="10"/>
  <c r="O13961" i="10"/>
  <c r="O13962" i="10"/>
  <c r="O13963" i="10"/>
  <c r="O13964" i="10"/>
  <c r="O13965" i="10"/>
  <c r="O13966" i="10"/>
  <c r="O13967" i="10"/>
  <c r="O13968" i="10"/>
  <c r="O13969" i="10"/>
  <c r="O13970" i="10"/>
  <c r="O13971" i="10"/>
  <c r="O13972" i="10"/>
  <c r="O13973" i="10"/>
  <c r="O13974" i="10"/>
  <c r="O13975" i="10"/>
  <c r="O13976" i="10"/>
  <c r="O13977" i="10"/>
  <c r="O13978" i="10"/>
  <c r="O13979" i="10"/>
  <c r="O13980" i="10"/>
  <c r="O13981" i="10"/>
  <c r="O13982" i="10"/>
  <c r="O13983" i="10"/>
  <c r="O13984" i="10"/>
  <c r="O13985" i="10"/>
  <c r="O13986" i="10"/>
  <c r="O13987" i="10"/>
  <c r="O13988" i="10"/>
  <c r="O13989" i="10"/>
  <c r="O13990" i="10"/>
  <c r="O13991" i="10"/>
  <c r="O13992" i="10"/>
  <c r="O13993" i="10"/>
  <c r="O13994" i="10"/>
  <c r="O13995" i="10"/>
  <c r="O13996" i="10"/>
  <c r="O13997" i="10"/>
  <c r="O13998" i="10"/>
  <c r="O13999" i="10"/>
  <c r="O14000" i="10"/>
  <c r="O14001" i="10"/>
  <c r="O14002" i="10"/>
  <c r="O14003" i="10"/>
  <c r="O14004" i="10"/>
  <c r="O14005" i="10"/>
  <c r="O14006" i="10"/>
  <c r="O14007" i="10"/>
  <c r="O14008" i="10"/>
  <c r="O14009" i="10"/>
  <c r="O14010" i="10"/>
  <c r="O14011" i="10"/>
  <c r="O14012" i="10"/>
  <c r="O14013" i="10"/>
  <c r="O14014" i="10"/>
  <c r="O14015" i="10"/>
  <c r="O14016" i="10"/>
  <c r="O14017" i="10"/>
  <c r="O14018" i="10"/>
  <c r="O14019" i="10"/>
  <c r="O14020" i="10"/>
  <c r="O14021" i="10"/>
  <c r="O14022" i="10"/>
  <c r="O14023" i="10"/>
  <c r="O14024" i="10"/>
  <c r="O14025" i="10"/>
  <c r="O14026" i="10"/>
  <c r="O14027" i="10"/>
  <c r="O14028" i="10"/>
  <c r="O14029" i="10"/>
  <c r="O14030" i="10"/>
  <c r="O14031" i="10"/>
  <c r="O14032" i="10"/>
  <c r="O14033" i="10"/>
  <c r="O14034" i="10"/>
  <c r="O14035" i="10"/>
  <c r="O14036" i="10"/>
  <c r="O14037" i="10"/>
  <c r="O14038" i="10"/>
  <c r="O14039" i="10"/>
  <c r="O14040" i="10"/>
  <c r="O14041" i="10"/>
  <c r="O14042" i="10"/>
  <c r="O14043" i="10"/>
  <c r="O14044" i="10"/>
  <c r="O14045" i="10"/>
  <c r="O14046" i="10"/>
  <c r="O14047" i="10"/>
  <c r="O14048" i="10"/>
  <c r="O14049" i="10"/>
  <c r="O14050" i="10"/>
  <c r="O14051" i="10"/>
  <c r="O14052" i="10"/>
  <c r="O14053" i="10"/>
  <c r="O14054" i="10"/>
  <c r="O14055" i="10"/>
  <c r="O14056" i="10"/>
  <c r="O14057" i="10"/>
  <c r="O14058" i="10"/>
  <c r="O14059" i="10"/>
  <c r="O14060" i="10"/>
  <c r="O14061" i="10"/>
  <c r="O14062" i="10"/>
  <c r="O14063" i="10"/>
  <c r="O14064" i="10"/>
  <c r="O14065" i="10"/>
  <c r="O14066" i="10"/>
  <c r="O14067" i="10"/>
  <c r="O14068" i="10"/>
  <c r="O14069" i="10"/>
  <c r="O14070" i="10"/>
  <c r="O14071" i="10"/>
  <c r="O14072" i="10"/>
  <c r="O14073" i="10"/>
  <c r="O14074" i="10"/>
  <c r="O14075" i="10"/>
  <c r="O14076" i="10"/>
  <c r="O14077" i="10"/>
  <c r="O14078" i="10"/>
  <c r="O14079" i="10"/>
  <c r="O14080" i="10"/>
  <c r="O14081" i="10"/>
  <c r="O14082" i="10"/>
  <c r="O14083" i="10"/>
  <c r="O14084" i="10"/>
  <c r="O14085" i="10"/>
  <c r="O14086" i="10"/>
  <c r="O14087" i="10"/>
  <c r="O14088" i="10"/>
  <c r="O14089" i="10"/>
  <c r="O14090" i="10"/>
  <c r="O14091" i="10"/>
  <c r="O14092" i="10"/>
  <c r="O14093" i="10"/>
  <c r="O14094" i="10"/>
  <c r="O14095" i="10"/>
  <c r="O14096" i="10"/>
  <c r="O14097" i="10"/>
  <c r="O14098" i="10"/>
  <c r="O14099" i="10"/>
  <c r="O14100" i="10"/>
  <c r="O14101" i="10"/>
  <c r="O14102" i="10"/>
  <c r="O14103" i="10"/>
  <c r="O14104" i="10"/>
  <c r="O14105" i="10"/>
  <c r="O14106" i="10"/>
  <c r="O14107" i="10"/>
  <c r="O14108" i="10"/>
  <c r="O14109" i="10"/>
  <c r="O14110" i="10"/>
  <c r="O14111" i="10"/>
  <c r="O14112" i="10"/>
  <c r="O14113" i="10"/>
  <c r="O14114" i="10"/>
  <c r="O14115" i="10"/>
  <c r="O14116" i="10"/>
  <c r="O14117" i="10"/>
  <c r="O14118" i="10"/>
  <c r="O14119" i="10"/>
  <c r="O14120" i="10"/>
  <c r="O14121" i="10"/>
  <c r="O14122" i="10"/>
  <c r="O14123" i="10"/>
  <c r="O14124" i="10"/>
  <c r="O14125" i="10"/>
  <c r="O14126" i="10"/>
  <c r="O14127" i="10"/>
  <c r="O14128" i="10"/>
  <c r="O14129" i="10"/>
  <c r="O14130" i="10"/>
  <c r="O14131" i="10"/>
  <c r="O14132" i="10"/>
  <c r="O14133" i="10"/>
  <c r="O14134" i="10"/>
  <c r="O14135" i="10"/>
  <c r="O14136" i="10"/>
  <c r="O14137" i="10"/>
  <c r="O14138" i="10"/>
  <c r="O14139" i="10"/>
  <c r="O14140" i="10"/>
  <c r="O14141" i="10"/>
  <c r="O14142" i="10"/>
  <c r="O14143" i="10"/>
  <c r="O14144" i="10"/>
  <c r="O14145" i="10"/>
  <c r="O14146" i="10"/>
  <c r="O14147" i="10"/>
  <c r="O14148" i="10"/>
  <c r="O14149" i="10"/>
  <c r="O14150" i="10"/>
  <c r="O14151" i="10"/>
  <c r="O14152" i="10"/>
  <c r="O14153" i="10"/>
  <c r="O14154" i="10"/>
  <c r="O14155" i="10"/>
  <c r="O14156" i="10"/>
  <c r="O14157" i="10"/>
  <c r="O14158" i="10"/>
  <c r="O14159" i="10"/>
  <c r="O14160" i="10"/>
  <c r="O14161" i="10"/>
  <c r="O14162" i="10"/>
  <c r="O14163" i="10"/>
  <c r="O14164" i="10"/>
  <c r="O14165" i="10"/>
  <c r="O14166" i="10"/>
  <c r="O14167" i="10"/>
  <c r="O14168" i="10"/>
  <c r="O14169" i="10"/>
  <c r="O14170" i="10"/>
  <c r="O14171" i="10"/>
  <c r="O14172" i="10"/>
  <c r="O14173" i="10"/>
  <c r="O14174" i="10"/>
  <c r="O14175" i="10"/>
  <c r="O14176" i="10"/>
  <c r="O14177" i="10"/>
  <c r="O14178" i="10"/>
  <c r="O14179" i="10"/>
  <c r="O14180" i="10"/>
  <c r="O14181" i="10"/>
  <c r="O14182" i="10"/>
  <c r="O14183" i="10"/>
  <c r="O14184" i="10"/>
  <c r="O14185" i="10"/>
  <c r="O14186" i="10"/>
  <c r="O14187" i="10"/>
  <c r="O14188" i="10"/>
  <c r="O14189" i="10"/>
  <c r="O14190" i="10"/>
  <c r="O14191" i="10"/>
  <c r="O14192" i="10"/>
  <c r="O14193" i="10"/>
  <c r="O14194" i="10"/>
  <c r="O14195" i="10"/>
  <c r="O14196" i="10"/>
  <c r="O14197" i="10"/>
  <c r="O14198" i="10"/>
  <c r="O14199" i="10"/>
  <c r="O14200" i="10"/>
  <c r="O14201" i="10"/>
  <c r="O14202" i="10"/>
  <c r="O14203" i="10"/>
  <c r="O14204" i="10"/>
  <c r="O14205" i="10"/>
  <c r="O14206" i="10"/>
  <c r="O14207" i="10"/>
  <c r="O14208" i="10"/>
  <c r="O14209" i="10"/>
  <c r="O14210" i="10"/>
  <c r="O14211" i="10"/>
  <c r="O14212" i="10"/>
  <c r="O14213" i="10"/>
  <c r="O14214" i="10"/>
  <c r="O14215" i="10"/>
  <c r="O14216" i="10"/>
  <c r="O14217" i="10"/>
  <c r="O14218" i="10"/>
  <c r="O14219" i="10"/>
  <c r="O14220" i="10"/>
  <c r="O14221" i="10"/>
  <c r="O14222" i="10"/>
  <c r="O14223" i="10"/>
  <c r="O14224" i="10"/>
  <c r="O14225" i="10"/>
  <c r="O14226" i="10"/>
  <c r="O14227" i="10"/>
  <c r="O14228" i="10"/>
  <c r="O14229" i="10"/>
  <c r="O14230" i="10"/>
  <c r="O14231" i="10"/>
  <c r="O14232" i="10"/>
  <c r="O14233" i="10"/>
  <c r="O14234" i="10"/>
  <c r="O14235" i="10"/>
  <c r="O14236" i="10"/>
  <c r="O14237" i="10"/>
  <c r="O14238" i="10"/>
  <c r="O14239" i="10"/>
  <c r="O14240" i="10"/>
  <c r="O14241" i="10"/>
  <c r="O14242" i="10"/>
  <c r="O14243" i="10"/>
  <c r="O14244" i="10"/>
  <c r="O14245" i="10"/>
  <c r="O14246" i="10"/>
  <c r="O14247" i="10"/>
  <c r="O14248" i="10"/>
  <c r="O14249" i="10"/>
  <c r="O14250" i="10"/>
  <c r="O14251" i="10"/>
  <c r="O14252" i="10"/>
  <c r="O14253" i="10"/>
  <c r="O14254" i="10"/>
  <c r="O14255" i="10"/>
  <c r="O14256" i="10"/>
  <c r="O14257" i="10"/>
  <c r="O14258" i="10"/>
  <c r="O14259" i="10"/>
  <c r="O14260" i="10"/>
  <c r="O14261" i="10"/>
  <c r="O14262" i="10"/>
  <c r="O14263" i="10"/>
  <c r="O14264" i="10"/>
  <c r="O14265" i="10"/>
  <c r="O14266" i="10"/>
  <c r="O14267" i="10"/>
  <c r="O14268" i="10"/>
  <c r="O14269" i="10"/>
  <c r="O14270" i="10"/>
  <c r="O14271" i="10"/>
  <c r="O14272" i="10"/>
  <c r="O14273" i="10"/>
  <c r="O14274" i="10"/>
  <c r="O14275" i="10"/>
  <c r="O14276" i="10"/>
  <c r="O14277" i="10"/>
  <c r="O14278" i="10"/>
  <c r="O14279" i="10"/>
  <c r="O14280" i="10"/>
  <c r="O14281" i="10"/>
  <c r="O14282" i="10"/>
  <c r="O14283" i="10"/>
  <c r="O14284" i="10"/>
  <c r="O14285" i="10"/>
  <c r="O14286" i="10"/>
  <c r="O14287" i="10"/>
  <c r="O14288" i="10"/>
  <c r="O14289" i="10"/>
  <c r="O14290" i="10"/>
  <c r="O14291" i="10"/>
  <c r="O14292" i="10"/>
  <c r="O14293" i="10"/>
  <c r="O14294" i="10"/>
  <c r="O14295" i="10"/>
  <c r="O14296" i="10"/>
  <c r="O14297" i="10"/>
  <c r="O14298" i="10"/>
  <c r="O14299" i="10"/>
  <c r="O14300" i="10"/>
  <c r="O14301" i="10"/>
  <c r="O14302" i="10"/>
  <c r="O14303" i="10"/>
  <c r="O14304" i="10"/>
  <c r="O14305" i="10"/>
  <c r="O14306" i="10"/>
  <c r="O14307" i="10"/>
  <c r="O14308" i="10"/>
  <c r="O14309" i="10"/>
  <c r="O14310" i="10"/>
  <c r="O14311" i="10"/>
  <c r="O14312" i="10"/>
  <c r="O14313" i="10"/>
  <c r="O14314" i="10"/>
  <c r="O14315" i="10"/>
  <c r="O14316" i="10"/>
  <c r="O14317" i="10"/>
  <c r="O14318" i="10"/>
  <c r="O14319" i="10"/>
  <c r="O14320" i="10"/>
  <c r="O14321" i="10"/>
  <c r="O14322" i="10"/>
  <c r="O14323" i="10"/>
  <c r="O14324" i="10"/>
  <c r="O14325" i="10"/>
  <c r="O14326" i="10"/>
  <c r="O14327" i="10"/>
  <c r="O14328" i="10"/>
  <c r="O14329" i="10"/>
  <c r="O14330" i="10"/>
  <c r="O14331" i="10"/>
  <c r="O14332" i="10"/>
  <c r="O14333" i="10"/>
  <c r="O14334" i="10"/>
  <c r="O14335" i="10"/>
  <c r="O14336" i="10"/>
  <c r="O14337" i="10"/>
  <c r="O14338" i="10"/>
  <c r="O14339" i="10"/>
  <c r="O14340" i="10"/>
  <c r="O14341" i="10"/>
  <c r="O14342" i="10"/>
  <c r="O14343" i="10"/>
  <c r="O14344" i="10"/>
  <c r="O14345" i="10"/>
  <c r="O14346" i="10"/>
  <c r="O14347" i="10"/>
  <c r="O14348" i="10"/>
  <c r="O14349" i="10"/>
  <c r="O14350" i="10"/>
  <c r="O14351" i="10"/>
  <c r="O14352" i="10"/>
  <c r="O14353" i="10"/>
  <c r="O14354" i="10"/>
  <c r="O14355" i="10"/>
  <c r="O14356" i="10"/>
  <c r="O14357" i="10"/>
  <c r="O14358" i="10"/>
  <c r="O14359" i="10"/>
  <c r="O14360" i="10"/>
  <c r="O14361" i="10"/>
  <c r="O14362" i="10"/>
  <c r="O14363" i="10"/>
  <c r="O14364" i="10"/>
  <c r="O14365" i="10"/>
  <c r="O14366" i="10"/>
  <c r="O14367" i="10"/>
  <c r="O14368" i="10"/>
  <c r="O14369" i="10"/>
  <c r="O14370" i="10"/>
  <c r="O14371" i="10"/>
  <c r="O14372" i="10"/>
  <c r="O14373" i="10"/>
  <c r="O14374" i="10"/>
  <c r="O14375" i="10"/>
  <c r="O14376" i="10"/>
  <c r="O14377" i="10"/>
  <c r="O14378" i="10"/>
  <c r="O14379" i="10"/>
  <c r="O14380" i="10"/>
  <c r="O14381" i="10"/>
  <c r="O14382" i="10"/>
  <c r="O14383" i="10"/>
  <c r="O14384" i="10"/>
  <c r="O14385" i="10"/>
  <c r="O14386" i="10"/>
  <c r="O14387" i="10"/>
  <c r="O14388" i="10"/>
  <c r="O14389" i="10"/>
  <c r="O14390" i="10"/>
  <c r="O14391" i="10"/>
  <c r="O14392" i="10"/>
  <c r="O14393" i="10"/>
  <c r="O14394" i="10"/>
  <c r="O14395" i="10"/>
  <c r="O14396" i="10"/>
  <c r="O14397" i="10"/>
  <c r="O14398" i="10"/>
  <c r="O14399" i="10"/>
  <c r="O14400" i="10"/>
  <c r="O14401" i="10"/>
  <c r="O14402" i="10"/>
  <c r="O14403" i="10"/>
  <c r="O14404" i="10"/>
  <c r="O14405" i="10"/>
  <c r="O14406" i="10"/>
  <c r="O14407" i="10"/>
  <c r="O14408" i="10"/>
  <c r="O14409" i="10"/>
  <c r="O14410" i="10"/>
  <c r="O14411" i="10"/>
  <c r="O14412" i="10"/>
  <c r="O14413" i="10"/>
  <c r="O14414" i="10"/>
  <c r="O14415" i="10"/>
  <c r="O14416" i="10"/>
  <c r="O14417" i="10"/>
  <c r="O14418" i="10"/>
  <c r="O14419" i="10"/>
  <c r="O14420" i="10"/>
  <c r="O14421" i="10"/>
  <c r="O14422" i="10"/>
  <c r="O14423" i="10"/>
  <c r="O14424" i="10"/>
  <c r="O14425" i="10"/>
  <c r="O14426" i="10"/>
  <c r="O14427" i="10"/>
  <c r="O14428" i="10"/>
  <c r="O14429" i="10"/>
  <c r="O14430" i="10"/>
  <c r="O14431" i="10"/>
  <c r="O14432" i="10"/>
  <c r="O14433" i="10"/>
  <c r="O14434" i="10"/>
  <c r="O14435" i="10"/>
  <c r="O14436" i="10"/>
  <c r="O14437" i="10"/>
  <c r="O14438" i="10"/>
  <c r="O14439" i="10"/>
  <c r="O14440" i="10"/>
  <c r="O14441" i="10"/>
  <c r="O14442" i="10"/>
  <c r="O14443" i="10"/>
  <c r="O14444" i="10"/>
  <c r="O14445" i="10"/>
  <c r="O14446" i="10"/>
  <c r="O14447" i="10"/>
  <c r="O14448" i="10"/>
  <c r="O14449" i="10"/>
  <c r="O14450" i="10"/>
  <c r="O14451" i="10"/>
  <c r="O14452" i="10"/>
  <c r="O14453" i="10"/>
  <c r="O14454" i="10"/>
  <c r="O14455" i="10"/>
  <c r="O14456" i="10"/>
  <c r="O14457" i="10"/>
  <c r="O14458" i="10"/>
  <c r="O14459" i="10"/>
  <c r="O14460" i="10"/>
  <c r="O14461" i="10"/>
  <c r="O14462" i="10"/>
  <c r="O14463" i="10"/>
  <c r="O14464" i="10"/>
  <c r="O14465" i="10"/>
  <c r="O14466" i="10"/>
  <c r="O14467" i="10"/>
  <c r="O14468" i="10"/>
  <c r="O14469" i="10"/>
  <c r="O14470" i="10"/>
  <c r="O14471" i="10"/>
  <c r="O14472" i="10"/>
  <c r="O14473" i="10"/>
  <c r="O14474" i="10"/>
  <c r="O14475" i="10"/>
  <c r="O14476" i="10"/>
  <c r="O14477" i="10"/>
  <c r="O14478" i="10"/>
  <c r="O14479" i="10"/>
  <c r="O14480" i="10"/>
  <c r="O14481" i="10"/>
  <c r="O14482" i="10"/>
  <c r="O14483" i="10"/>
  <c r="O14484" i="10"/>
  <c r="O14485" i="10"/>
  <c r="O14486" i="10"/>
  <c r="O14487" i="10"/>
  <c r="O14488" i="10"/>
  <c r="O14489" i="10"/>
  <c r="O14490" i="10"/>
  <c r="O14491" i="10"/>
  <c r="O14492" i="10"/>
  <c r="O14493" i="10"/>
  <c r="O14494" i="10"/>
  <c r="O14495" i="10"/>
  <c r="O14496" i="10"/>
  <c r="O14497" i="10"/>
  <c r="O14498" i="10"/>
  <c r="O14499" i="10"/>
  <c r="O14500" i="10"/>
  <c r="O14501" i="10"/>
  <c r="O14502" i="10"/>
  <c r="O14503" i="10"/>
  <c r="O14504" i="10"/>
  <c r="O14505" i="10"/>
  <c r="O14506" i="10"/>
  <c r="O14507" i="10"/>
  <c r="O14508" i="10"/>
  <c r="O14509" i="10"/>
  <c r="O14510" i="10"/>
  <c r="O14511" i="10"/>
  <c r="O14512" i="10"/>
  <c r="O14513" i="10"/>
  <c r="O14514" i="10"/>
  <c r="O14515" i="10"/>
  <c r="O14516" i="10"/>
  <c r="O14517" i="10"/>
  <c r="O14518" i="10"/>
  <c r="O14519" i="10"/>
  <c r="O14520" i="10"/>
  <c r="O14521" i="10"/>
  <c r="O14522" i="10"/>
  <c r="O14523" i="10"/>
  <c r="O14524" i="10"/>
  <c r="O14525" i="10"/>
  <c r="O14526" i="10"/>
  <c r="O14527" i="10"/>
  <c r="O14528" i="10"/>
  <c r="O14529" i="10"/>
  <c r="O14530" i="10"/>
  <c r="O14531" i="10"/>
  <c r="O14532" i="10"/>
  <c r="O14533" i="10"/>
  <c r="O14534" i="10"/>
  <c r="O14535" i="10"/>
  <c r="O14536" i="10"/>
  <c r="O14537" i="10"/>
  <c r="O14538" i="10"/>
  <c r="O14539" i="10"/>
  <c r="O14540" i="10"/>
  <c r="O14541" i="10"/>
  <c r="O14542" i="10"/>
  <c r="O14543" i="10"/>
  <c r="O14544" i="10"/>
  <c r="O14545" i="10"/>
  <c r="O14546" i="10"/>
  <c r="O14547" i="10"/>
  <c r="O14548" i="10"/>
  <c r="O14549" i="10"/>
  <c r="O14550" i="10"/>
  <c r="O14551" i="10"/>
  <c r="O14552" i="10"/>
  <c r="O14553" i="10"/>
  <c r="O14554" i="10"/>
  <c r="O14555" i="10"/>
  <c r="O14556" i="10"/>
  <c r="O14557" i="10"/>
  <c r="O14558" i="10"/>
  <c r="O14559" i="10"/>
  <c r="O14560" i="10"/>
  <c r="O14561" i="10"/>
  <c r="O14562" i="10"/>
  <c r="O14563" i="10"/>
  <c r="O14564" i="10"/>
  <c r="O14565" i="10"/>
  <c r="O14566" i="10"/>
  <c r="O14567" i="10"/>
  <c r="O14568" i="10"/>
  <c r="O14569" i="10"/>
  <c r="O14570" i="10"/>
  <c r="O14571" i="10"/>
  <c r="O14572" i="10"/>
  <c r="O14573" i="10"/>
  <c r="O14574" i="10"/>
  <c r="O14575" i="10"/>
  <c r="O14576" i="10"/>
  <c r="O14577" i="10"/>
  <c r="O14578" i="10"/>
  <c r="O14579" i="10"/>
  <c r="O14580" i="10"/>
  <c r="O14581" i="10"/>
  <c r="O14582" i="10"/>
  <c r="O14583" i="10"/>
  <c r="O14584" i="10"/>
  <c r="O14585" i="10"/>
  <c r="O14586" i="10"/>
  <c r="O14587" i="10"/>
  <c r="O14588" i="10"/>
  <c r="O14589" i="10"/>
  <c r="O14590" i="10"/>
  <c r="O14591" i="10"/>
  <c r="O14592" i="10"/>
  <c r="O14593" i="10"/>
  <c r="O14594" i="10"/>
  <c r="O14595" i="10"/>
  <c r="O14596" i="10"/>
  <c r="O14597" i="10"/>
  <c r="O14598" i="10"/>
  <c r="O14599" i="10"/>
  <c r="O14600" i="10"/>
  <c r="O14601" i="10"/>
  <c r="O14602" i="10"/>
  <c r="O14603" i="10"/>
  <c r="O14604" i="10"/>
  <c r="O14605" i="10"/>
  <c r="O14606" i="10"/>
  <c r="O14607" i="10"/>
  <c r="O14608" i="10"/>
  <c r="O14609" i="10"/>
  <c r="O14610" i="10"/>
  <c r="O14611" i="10"/>
  <c r="O14612" i="10"/>
  <c r="O14613" i="10"/>
  <c r="O14614" i="10"/>
  <c r="O14615" i="10"/>
  <c r="O14616" i="10"/>
  <c r="O14617" i="10"/>
  <c r="O14618" i="10"/>
  <c r="O14619" i="10"/>
  <c r="O14620" i="10"/>
  <c r="O14621" i="10"/>
  <c r="O14622" i="10"/>
  <c r="O14623" i="10"/>
  <c r="O14624" i="10"/>
  <c r="O14625" i="10"/>
  <c r="O14626" i="10"/>
  <c r="O14627" i="10"/>
  <c r="O14628" i="10"/>
  <c r="O14629" i="10"/>
  <c r="O14630" i="10"/>
  <c r="O14631" i="10"/>
  <c r="O14632" i="10"/>
  <c r="O14633" i="10"/>
  <c r="O14634" i="10"/>
  <c r="O14635" i="10"/>
  <c r="O14636" i="10"/>
  <c r="O14637" i="10"/>
  <c r="O14638" i="10"/>
  <c r="O14639" i="10"/>
  <c r="O14640" i="10"/>
  <c r="O14641" i="10"/>
  <c r="O14642" i="10"/>
  <c r="O14643" i="10"/>
  <c r="O14644" i="10"/>
  <c r="O14645" i="10"/>
  <c r="O14646" i="10"/>
  <c r="O14647" i="10"/>
  <c r="O14648" i="10"/>
  <c r="O14649" i="10"/>
  <c r="O14650" i="10"/>
  <c r="O14651" i="10"/>
  <c r="O14652" i="10"/>
  <c r="O14653" i="10"/>
  <c r="O14654" i="10"/>
  <c r="O14655" i="10"/>
  <c r="O14656" i="10"/>
  <c r="O14657" i="10"/>
  <c r="O14658" i="10"/>
  <c r="O14659" i="10"/>
  <c r="O14660" i="10"/>
  <c r="O14661" i="10"/>
  <c r="O14662" i="10"/>
  <c r="O14663" i="10"/>
  <c r="O14664" i="10"/>
  <c r="O14665" i="10"/>
  <c r="O14666" i="10"/>
  <c r="O14667" i="10"/>
  <c r="O14668" i="10"/>
  <c r="O14669" i="10"/>
  <c r="O14670" i="10"/>
  <c r="O14671" i="10"/>
  <c r="O14672" i="10"/>
  <c r="O14673" i="10"/>
  <c r="O14674" i="10"/>
  <c r="O14675" i="10"/>
  <c r="O14676" i="10"/>
  <c r="O14677" i="10"/>
  <c r="O14678" i="10"/>
  <c r="O14679" i="10"/>
  <c r="O14680" i="10"/>
  <c r="O14681" i="10"/>
  <c r="O14682" i="10"/>
  <c r="O14683" i="10"/>
  <c r="O14684" i="10"/>
  <c r="O14685" i="10"/>
  <c r="O14686" i="10"/>
  <c r="O14687" i="10"/>
  <c r="O14688" i="10"/>
  <c r="O14689" i="10"/>
  <c r="O14690" i="10"/>
  <c r="O14691" i="10"/>
  <c r="O14692" i="10"/>
  <c r="O14693" i="10"/>
  <c r="O14694" i="10"/>
  <c r="O14695" i="10"/>
  <c r="O14696" i="10"/>
  <c r="O14697" i="10"/>
  <c r="O14698" i="10"/>
  <c r="O14699" i="10"/>
  <c r="O14700" i="10"/>
  <c r="O14701" i="10"/>
  <c r="O14702" i="10"/>
  <c r="O14703" i="10"/>
  <c r="O14704" i="10"/>
  <c r="O14705" i="10"/>
  <c r="O14706" i="10"/>
  <c r="O14707" i="10"/>
  <c r="O14708" i="10"/>
  <c r="O14709" i="10"/>
  <c r="O14710" i="10"/>
  <c r="O14711" i="10"/>
  <c r="O14712" i="10"/>
  <c r="O14713" i="10"/>
  <c r="O14714" i="10"/>
  <c r="O14715" i="10"/>
  <c r="O14716" i="10"/>
  <c r="O14717" i="10"/>
  <c r="O14718" i="10"/>
  <c r="O14719" i="10"/>
  <c r="O14720" i="10"/>
  <c r="O14721" i="10"/>
  <c r="O14722" i="10"/>
  <c r="O14723" i="10"/>
  <c r="O14724" i="10"/>
  <c r="O14725" i="10"/>
  <c r="O14726" i="10"/>
  <c r="O14727" i="10"/>
  <c r="O14728" i="10"/>
  <c r="O14729" i="10"/>
  <c r="O14730" i="10"/>
  <c r="O14731" i="10"/>
  <c r="O14732" i="10"/>
  <c r="O14733" i="10"/>
  <c r="O14734" i="10"/>
  <c r="O14735" i="10"/>
  <c r="O14736" i="10"/>
  <c r="O14737" i="10"/>
  <c r="O14738" i="10"/>
  <c r="O14739" i="10"/>
  <c r="O14740" i="10"/>
  <c r="O14741" i="10"/>
  <c r="O14742" i="10"/>
  <c r="O14743" i="10"/>
  <c r="O14744" i="10"/>
  <c r="O14745" i="10"/>
  <c r="O14746" i="10"/>
  <c r="O14747" i="10"/>
  <c r="O14748" i="10"/>
  <c r="O14749" i="10"/>
  <c r="O14750" i="10"/>
  <c r="O14751" i="10"/>
  <c r="O14752" i="10"/>
  <c r="O14753" i="10"/>
  <c r="O14754" i="10"/>
  <c r="O14755" i="10"/>
  <c r="O14756" i="10"/>
  <c r="O14757" i="10"/>
  <c r="O14758" i="10"/>
  <c r="O14759" i="10"/>
  <c r="O14760" i="10"/>
  <c r="O14761" i="10"/>
  <c r="O14762" i="10"/>
  <c r="O14763" i="10"/>
  <c r="O14764" i="10"/>
  <c r="O14765" i="10"/>
  <c r="O14766" i="10"/>
  <c r="O14767" i="10"/>
  <c r="O14768" i="10"/>
  <c r="O14769" i="10"/>
  <c r="O14770" i="10"/>
  <c r="O14771" i="10"/>
  <c r="O14772" i="10"/>
  <c r="O14773" i="10"/>
  <c r="O14774" i="10"/>
  <c r="O14775" i="10"/>
  <c r="O14776" i="10"/>
  <c r="O14777" i="10"/>
  <c r="O14778" i="10"/>
  <c r="O14779" i="10"/>
  <c r="O14780" i="10"/>
  <c r="O14781" i="10"/>
  <c r="O14782" i="10"/>
  <c r="O14783" i="10"/>
  <c r="O14784" i="10"/>
  <c r="O14785" i="10"/>
  <c r="O14786" i="10"/>
  <c r="O14787" i="10"/>
  <c r="O14788" i="10"/>
  <c r="O14789" i="10"/>
  <c r="O14790" i="10"/>
  <c r="O14791" i="10"/>
  <c r="O14792" i="10"/>
  <c r="O14793" i="10"/>
  <c r="O14794" i="10"/>
  <c r="O14795" i="10"/>
  <c r="O14796" i="10"/>
  <c r="O14797" i="10"/>
  <c r="O14798" i="10"/>
  <c r="O14799" i="10"/>
  <c r="O14800" i="10"/>
  <c r="O14801" i="10"/>
  <c r="O14802" i="10"/>
  <c r="O14803" i="10"/>
  <c r="O14804" i="10"/>
  <c r="O14805" i="10"/>
  <c r="O14806" i="10"/>
  <c r="O14807" i="10"/>
  <c r="O14808" i="10"/>
  <c r="O14809" i="10"/>
  <c r="O14810" i="10"/>
  <c r="O14811" i="10"/>
  <c r="O14812" i="10"/>
  <c r="O14813" i="10"/>
  <c r="O14814" i="10"/>
  <c r="O14815" i="10"/>
  <c r="O14816" i="10"/>
  <c r="O14817" i="10"/>
  <c r="O14818" i="10"/>
  <c r="O14819" i="10"/>
  <c r="O14820" i="10"/>
  <c r="O14821" i="10"/>
  <c r="O14822" i="10"/>
  <c r="O14823" i="10"/>
  <c r="O14824" i="10"/>
  <c r="O14825" i="10"/>
  <c r="O14826" i="10"/>
  <c r="O14827" i="10"/>
  <c r="O14828" i="10"/>
  <c r="O14829" i="10"/>
  <c r="O14830" i="10"/>
  <c r="O14831" i="10"/>
  <c r="O14832" i="10"/>
  <c r="O14833" i="10"/>
  <c r="O14834" i="10"/>
  <c r="O14835" i="10"/>
  <c r="O14836" i="10"/>
  <c r="O14837" i="10"/>
  <c r="O14838" i="10"/>
  <c r="O14839" i="10"/>
  <c r="O14840" i="10"/>
  <c r="O14841" i="10"/>
  <c r="O14842" i="10"/>
  <c r="O14843" i="10"/>
  <c r="O14844" i="10"/>
  <c r="O14845" i="10"/>
  <c r="O14846" i="10"/>
  <c r="O14847" i="10"/>
  <c r="O14848" i="10"/>
  <c r="O14849" i="10"/>
  <c r="O14850" i="10"/>
  <c r="O14851" i="10"/>
  <c r="O14852" i="10"/>
  <c r="O14853" i="10"/>
  <c r="O14854" i="10"/>
  <c r="O14855" i="10"/>
  <c r="O14856" i="10"/>
  <c r="O14857" i="10"/>
  <c r="O14858" i="10"/>
  <c r="O14859" i="10"/>
  <c r="O14860" i="10"/>
  <c r="O14861" i="10"/>
  <c r="O14862" i="10"/>
  <c r="O14863" i="10"/>
  <c r="O14864" i="10"/>
  <c r="O14865" i="10"/>
  <c r="O14866" i="10"/>
  <c r="O14867" i="10"/>
  <c r="O14868" i="10"/>
  <c r="O14869" i="10"/>
  <c r="O14870" i="10"/>
  <c r="O14871" i="10"/>
  <c r="O14872" i="10"/>
  <c r="O14873" i="10"/>
  <c r="O14874" i="10"/>
  <c r="O14875" i="10"/>
  <c r="O14876" i="10"/>
  <c r="O14877" i="10"/>
  <c r="O14878" i="10"/>
  <c r="O14879" i="10"/>
  <c r="O14880" i="10"/>
  <c r="O14881" i="10"/>
  <c r="O14882" i="10"/>
  <c r="O14883" i="10"/>
  <c r="O14884" i="10"/>
  <c r="O14885" i="10"/>
  <c r="O14886" i="10"/>
  <c r="O14887" i="10"/>
  <c r="O14888" i="10"/>
  <c r="O14889" i="10"/>
  <c r="O14890" i="10"/>
  <c r="O14891" i="10"/>
  <c r="O14892" i="10"/>
  <c r="O14893" i="10"/>
  <c r="O14894" i="10"/>
  <c r="O14895" i="10"/>
  <c r="O14896" i="10"/>
  <c r="O14897" i="10"/>
  <c r="O14898" i="10"/>
  <c r="O14899" i="10"/>
  <c r="O14900" i="10"/>
  <c r="O14901" i="10"/>
  <c r="O14902" i="10"/>
  <c r="O14903" i="10"/>
  <c r="O14904" i="10"/>
  <c r="O14905" i="10"/>
  <c r="O14906" i="10"/>
  <c r="O14907" i="10"/>
  <c r="O14908" i="10"/>
  <c r="O14909" i="10"/>
  <c r="O14910" i="10"/>
  <c r="O14911" i="10"/>
  <c r="O14912" i="10"/>
  <c r="O14913" i="10"/>
  <c r="O14914" i="10"/>
  <c r="O14915" i="10"/>
  <c r="O14916" i="10"/>
  <c r="O14917" i="10"/>
  <c r="O14918" i="10"/>
  <c r="O14919" i="10"/>
  <c r="O14920" i="10"/>
  <c r="O14921" i="10"/>
  <c r="O14922" i="10"/>
  <c r="O14923" i="10"/>
  <c r="O14924" i="10"/>
  <c r="O14925" i="10"/>
  <c r="O14926" i="10"/>
  <c r="O14927" i="10"/>
  <c r="O14928" i="10"/>
  <c r="O14929" i="10"/>
  <c r="O14930" i="10"/>
  <c r="O14931" i="10"/>
  <c r="O14932" i="10"/>
  <c r="O14933" i="10"/>
  <c r="O14934" i="10"/>
  <c r="O14935" i="10"/>
  <c r="O14936" i="10"/>
  <c r="O14937" i="10"/>
  <c r="O14938" i="10"/>
  <c r="O14939" i="10"/>
  <c r="O14940" i="10"/>
  <c r="O14941" i="10"/>
  <c r="O14942" i="10"/>
  <c r="O14943" i="10"/>
  <c r="O14944" i="10"/>
  <c r="O14945" i="10"/>
  <c r="O14946" i="10"/>
  <c r="O14947" i="10"/>
  <c r="O14948" i="10"/>
  <c r="O14949" i="10"/>
  <c r="O14950" i="10"/>
  <c r="O14951" i="10"/>
  <c r="O14952" i="10"/>
  <c r="O14953" i="10"/>
  <c r="O14954" i="10"/>
  <c r="O14955" i="10"/>
  <c r="O14956" i="10"/>
  <c r="O14957" i="10"/>
  <c r="O14958" i="10"/>
  <c r="O14959" i="10"/>
  <c r="O14960" i="10"/>
  <c r="O14961" i="10"/>
  <c r="O14962" i="10"/>
  <c r="O14963" i="10"/>
  <c r="O14964" i="10"/>
  <c r="O14965" i="10"/>
  <c r="O14966" i="10"/>
  <c r="O14967" i="10"/>
  <c r="O14968" i="10"/>
  <c r="O14969" i="10"/>
  <c r="O14970" i="10"/>
  <c r="O14971" i="10"/>
  <c r="O14972" i="10"/>
  <c r="O14973" i="10"/>
  <c r="O14974" i="10"/>
  <c r="O14975" i="10"/>
  <c r="O14976" i="10"/>
  <c r="O14977" i="10"/>
  <c r="O14978" i="10"/>
  <c r="O14979" i="10"/>
  <c r="O14980" i="10"/>
  <c r="O14981" i="10"/>
  <c r="O14982" i="10"/>
  <c r="O14983" i="10"/>
  <c r="O14984" i="10"/>
  <c r="O14985" i="10"/>
  <c r="O14986" i="10"/>
  <c r="O14987" i="10"/>
  <c r="O14988" i="10"/>
  <c r="O14989" i="10"/>
  <c r="O14990" i="10"/>
  <c r="O14991" i="10"/>
  <c r="O14992" i="10"/>
  <c r="O14993" i="10"/>
  <c r="O14994" i="10"/>
  <c r="O14995" i="10"/>
  <c r="O14996" i="10"/>
  <c r="O14997" i="10"/>
  <c r="O14998" i="10"/>
  <c r="O14999" i="10"/>
  <c r="O15000" i="10"/>
  <c r="O15001" i="10"/>
  <c r="O15002" i="10"/>
  <c r="O15003" i="10"/>
  <c r="O15004" i="10"/>
  <c r="O15005" i="10"/>
  <c r="O15006" i="10"/>
  <c r="O15007" i="10"/>
  <c r="O15008" i="10"/>
  <c r="O15009" i="10"/>
  <c r="O15010" i="10"/>
  <c r="O15011" i="10"/>
  <c r="O15012" i="10"/>
  <c r="O15013" i="10"/>
  <c r="O15014" i="10"/>
  <c r="O15015" i="10"/>
  <c r="O15016" i="10"/>
  <c r="O15017" i="10"/>
  <c r="O15018" i="10"/>
  <c r="O15019" i="10"/>
  <c r="O15020" i="10"/>
  <c r="O15021" i="10"/>
  <c r="O15022" i="10"/>
  <c r="O15023" i="10"/>
  <c r="O15024" i="10"/>
  <c r="O15025" i="10"/>
  <c r="O15026" i="10"/>
  <c r="O15027" i="10"/>
  <c r="O15028" i="10"/>
  <c r="O15029" i="10"/>
  <c r="O15030" i="10"/>
  <c r="O15031" i="10"/>
  <c r="O15032" i="10"/>
  <c r="O15033" i="10"/>
  <c r="O15034" i="10"/>
  <c r="O15035" i="10"/>
  <c r="O15036" i="10"/>
  <c r="O15037" i="10"/>
  <c r="O15038" i="10"/>
  <c r="O15039" i="10"/>
  <c r="O15040" i="10"/>
  <c r="O15041" i="10"/>
  <c r="O15042" i="10"/>
  <c r="O15043" i="10"/>
  <c r="O15044" i="10"/>
  <c r="O15045" i="10"/>
  <c r="O15046" i="10"/>
  <c r="O15047" i="10"/>
  <c r="O15048" i="10"/>
  <c r="O15049" i="10"/>
  <c r="O15050" i="10"/>
  <c r="O15051" i="10"/>
  <c r="O15052" i="10"/>
  <c r="O15053" i="10"/>
  <c r="O15054" i="10"/>
  <c r="O15055" i="10"/>
  <c r="O15056" i="10"/>
  <c r="O15057" i="10"/>
  <c r="O15058" i="10"/>
  <c r="O15059" i="10"/>
  <c r="O15060" i="10"/>
  <c r="O15061" i="10"/>
  <c r="O15062" i="10"/>
  <c r="O15063" i="10"/>
  <c r="O15064" i="10"/>
  <c r="O15065" i="10"/>
  <c r="O15066" i="10"/>
  <c r="O15067" i="10"/>
  <c r="O15068" i="10"/>
  <c r="O15069" i="10"/>
  <c r="O15070" i="10"/>
  <c r="O15071" i="10"/>
  <c r="O15072" i="10"/>
  <c r="O15073" i="10"/>
  <c r="O15074" i="10"/>
  <c r="O15075" i="10"/>
  <c r="O15076" i="10"/>
  <c r="O15077" i="10"/>
  <c r="O15078" i="10"/>
  <c r="O15079" i="10"/>
  <c r="O15080" i="10"/>
  <c r="O15081" i="10"/>
  <c r="O15082" i="10"/>
  <c r="O15083" i="10"/>
  <c r="O15084" i="10"/>
  <c r="O15085" i="10"/>
  <c r="O15086" i="10"/>
  <c r="O15087" i="10"/>
  <c r="O15088" i="10"/>
  <c r="O15089" i="10"/>
  <c r="O15090" i="10"/>
  <c r="O15091" i="10"/>
  <c r="O15092" i="10"/>
  <c r="O15093" i="10"/>
  <c r="O15094" i="10"/>
  <c r="O15095" i="10"/>
  <c r="O15096" i="10"/>
  <c r="O15097" i="10"/>
  <c r="O15098" i="10"/>
  <c r="O15099" i="10"/>
  <c r="O15100" i="10"/>
  <c r="O15101" i="10"/>
  <c r="O15102" i="10"/>
  <c r="O15103" i="10"/>
  <c r="O15104" i="10"/>
  <c r="O15105" i="10"/>
  <c r="O15106" i="10"/>
  <c r="O15107" i="10"/>
  <c r="O15108" i="10"/>
  <c r="O15109" i="10"/>
  <c r="O15110" i="10"/>
  <c r="O15111" i="10"/>
  <c r="O15112" i="10"/>
  <c r="O15113" i="10"/>
  <c r="O15114" i="10"/>
  <c r="O15115" i="10"/>
  <c r="O15116" i="10"/>
  <c r="O15117" i="10"/>
  <c r="O15118" i="10"/>
  <c r="O15119" i="10"/>
  <c r="O15120" i="10"/>
  <c r="O15121" i="10"/>
  <c r="O15122" i="10"/>
  <c r="O15123" i="10"/>
  <c r="O15124" i="10"/>
  <c r="O15125" i="10"/>
  <c r="O15126" i="10"/>
  <c r="O15127" i="10"/>
  <c r="O15128" i="10"/>
  <c r="O15129" i="10"/>
  <c r="O15130" i="10"/>
  <c r="O15131" i="10"/>
  <c r="O15132" i="10"/>
  <c r="O15133" i="10"/>
  <c r="O15134" i="10"/>
  <c r="O15135" i="10"/>
  <c r="O15136" i="10"/>
  <c r="O15137" i="10"/>
  <c r="O15138" i="10"/>
  <c r="O15139" i="10"/>
  <c r="O15140" i="10"/>
  <c r="O15141" i="10"/>
  <c r="O15142" i="10"/>
  <c r="O15143" i="10"/>
  <c r="O15144" i="10"/>
  <c r="O15145" i="10"/>
  <c r="O15146" i="10"/>
  <c r="O15147" i="10"/>
  <c r="O15148" i="10"/>
  <c r="O15149" i="10"/>
  <c r="O15150" i="10"/>
  <c r="O15151" i="10"/>
  <c r="O15152" i="10"/>
  <c r="O15153" i="10"/>
  <c r="O15154" i="10"/>
  <c r="O15155" i="10"/>
  <c r="O15156" i="10"/>
  <c r="O15157" i="10"/>
  <c r="O15158" i="10"/>
  <c r="O15159" i="10"/>
  <c r="O15160" i="10"/>
  <c r="O15161" i="10"/>
  <c r="O15162" i="10"/>
  <c r="O15163" i="10"/>
  <c r="O15164" i="10"/>
  <c r="O15165" i="10"/>
  <c r="O15166" i="10"/>
  <c r="O15167" i="10"/>
  <c r="O15168" i="10"/>
  <c r="O15169" i="10"/>
  <c r="O15170" i="10"/>
  <c r="O15171" i="10"/>
  <c r="O15172" i="10"/>
  <c r="O15173" i="10"/>
  <c r="O15174" i="10"/>
  <c r="O15175" i="10"/>
  <c r="O15176" i="10"/>
  <c r="O15177" i="10"/>
  <c r="O15178" i="10"/>
  <c r="O15179" i="10"/>
  <c r="O15180" i="10"/>
  <c r="O15181" i="10"/>
  <c r="O15182" i="10"/>
  <c r="O15183" i="10"/>
  <c r="O15184" i="10"/>
  <c r="O15185" i="10"/>
  <c r="O15186" i="10"/>
  <c r="O15187" i="10"/>
  <c r="O15188" i="10"/>
  <c r="O15189" i="10"/>
  <c r="O15190" i="10"/>
  <c r="O15191" i="10"/>
  <c r="O15192" i="10"/>
  <c r="O15193" i="10"/>
  <c r="O15194" i="10"/>
  <c r="O15195" i="10"/>
  <c r="O15196" i="10"/>
  <c r="O15197" i="10"/>
  <c r="O15198" i="10"/>
  <c r="O15199" i="10"/>
  <c r="O15200" i="10"/>
  <c r="O15201" i="10"/>
  <c r="O15202" i="10"/>
  <c r="O15203" i="10"/>
  <c r="O15204" i="10"/>
  <c r="O15205" i="10"/>
  <c r="O15206" i="10"/>
  <c r="O15207" i="10"/>
  <c r="O15208" i="10"/>
  <c r="O15209" i="10"/>
  <c r="O15210" i="10"/>
  <c r="O15211" i="10"/>
  <c r="O15212" i="10"/>
  <c r="O15213" i="10"/>
  <c r="O15214" i="10"/>
  <c r="O15215" i="10"/>
  <c r="O15216" i="10"/>
  <c r="O15217" i="10"/>
  <c r="O15218" i="10"/>
  <c r="O15219" i="10"/>
  <c r="O15220" i="10"/>
  <c r="O15221" i="10"/>
  <c r="O15222" i="10"/>
  <c r="O15223" i="10"/>
  <c r="O15224" i="10"/>
  <c r="O15225" i="10"/>
  <c r="O15226" i="10"/>
  <c r="O15227" i="10"/>
  <c r="O15228" i="10"/>
  <c r="O15229" i="10"/>
  <c r="O15230" i="10"/>
  <c r="O15231" i="10"/>
  <c r="O15232" i="10"/>
  <c r="O15233" i="10"/>
  <c r="O15234" i="10"/>
  <c r="O15235" i="10"/>
  <c r="O15236" i="10"/>
  <c r="O15237" i="10"/>
  <c r="O15238" i="10"/>
  <c r="O15239" i="10"/>
  <c r="O15240" i="10"/>
  <c r="O15241" i="10"/>
  <c r="O15242" i="10"/>
  <c r="O15243" i="10"/>
  <c r="O15244" i="10"/>
  <c r="O15245" i="10"/>
  <c r="O15246" i="10"/>
  <c r="O15247" i="10"/>
  <c r="O15248" i="10"/>
  <c r="O15249" i="10"/>
  <c r="O15250" i="10"/>
  <c r="O15251" i="10"/>
  <c r="O15252" i="10"/>
  <c r="O15253" i="10"/>
  <c r="O15254" i="10"/>
  <c r="O15255" i="10"/>
  <c r="O15256" i="10"/>
  <c r="O15257" i="10"/>
  <c r="O15258" i="10"/>
  <c r="O15259" i="10"/>
  <c r="O15260" i="10"/>
  <c r="O15261" i="10"/>
  <c r="O15262" i="10"/>
  <c r="O15263" i="10"/>
  <c r="O15264" i="10"/>
  <c r="O15265" i="10"/>
  <c r="O15266" i="10"/>
  <c r="O15267" i="10"/>
  <c r="O15268" i="10"/>
  <c r="O15269" i="10"/>
  <c r="O15270" i="10"/>
  <c r="O15271" i="10"/>
  <c r="O15272" i="10"/>
  <c r="O15273" i="10"/>
  <c r="O15274" i="10"/>
  <c r="O15275" i="10"/>
  <c r="O15276" i="10"/>
  <c r="O15277" i="10"/>
  <c r="O15278" i="10"/>
  <c r="O15279" i="10"/>
  <c r="O15280" i="10"/>
  <c r="O15281" i="10"/>
  <c r="O15282" i="10"/>
  <c r="O15283" i="10"/>
  <c r="O15284" i="10"/>
  <c r="O15285" i="10"/>
  <c r="O15286" i="10"/>
  <c r="O15287" i="10"/>
  <c r="O15288" i="10"/>
  <c r="O15289" i="10"/>
  <c r="O15290" i="10"/>
  <c r="O15291" i="10"/>
  <c r="O15292" i="10"/>
  <c r="O15293" i="10"/>
  <c r="O15294" i="10"/>
  <c r="O15295" i="10"/>
  <c r="O15296" i="10"/>
  <c r="O15297" i="10"/>
  <c r="O15298" i="10"/>
  <c r="O15299" i="10"/>
  <c r="O15300" i="10"/>
  <c r="O15301" i="10"/>
  <c r="O15302" i="10"/>
  <c r="O15303" i="10"/>
  <c r="O15304" i="10"/>
  <c r="O15305" i="10"/>
  <c r="O15306" i="10"/>
  <c r="O15307" i="10"/>
  <c r="O15308" i="10"/>
  <c r="O15309" i="10"/>
  <c r="O15310" i="10"/>
  <c r="O15311" i="10"/>
  <c r="O15312" i="10"/>
  <c r="O15313" i="10"/>
  <c r="O15314" i="10"/>
  <c r="O15315" i="10"/>
  <c r="O15316" i="10"/>
  <c r="O15317" i="10"/>
  <c r="O15318" i="10"/>
  <c r="O15319" i="10"/>
  <c r="O15320" i="10"/>
  <c r="O15321" i="10"/>
  <c r="O15322" i="10"/>
  <c r="O15323" i="10"/>
  <c r="O15324" i="10"/>
  <c r="O15325" i="10"/>
  <c r="O15326" i="10"/>
  <c r="O15327" i="10"/>
  <c r="O15328" i="10"/>
  <c r="O15329" i="10"/>
  <c r="O15330" i="10"/>
  <c r="O15331" i="10"/>
  <c r="O15332" i="10"/>
  <c r="O15333" i="10"/>
  <c r="O15334" i="10"/>
  <c r="O15335" i="10"/>
  <c r="O15336" i="10"/>
  <c r="O15337" i="10"/>
  <c r="O15338" i="10"/>
  <c r="O15339" i="10"/>
  <c r="O15340" i="10"/>
  <c r="O15341" i="10"/>
  <c r="O15342" i="10"/>
  <c r="O15343" i="10"/>
  <c r="O15344" i="10"/>
  <c r="O15345" i="10"/>
  <c r="O15346" i="10"/>
  <c r="O15347" i="10"/>
  <c r="O15348" i="10"/>
  <c r="O15349" i="10"/>
  <c r="O15350" i="10"/>
  <c r="O15351" i="10"/>
  <c r="O15352" i="10"/>
  <c r="O15353" i="10"/>
  <c r="O15354" i="10"/>
  <c r="O15355" i="10"/>
  <c r="O15356" i="10"/>
  <c r="O15357" i="10"/>
  <c r="O15358" i="10"/>
  <c r="O15359" i="10"/>
  <c r="O15360" i="10"/>
  <c r="O15361" i="10"/>
  <c r="O15362" i="10"/>
  <c r="O15363" i="10"/>
  <c r="O15364" i="10"/>
  <c r="O15365" i="10"/>
  <c r="O15366" i="10"/>
  <c r="O15367" i="10"/>
  <c r="O15368" i="10"/>
  <c r="O15369" i="10"/>
  <c r="O15370" i="10"/>
  <c r="O15371" i="10"/>
  <c r="O15372" i="10"/>
  <c r="O15373" i="10"/>
  <c r="O15374" i="10"/>
  <c r="O15375" i="10"/>
  <c r="O15376" i="10"/>
  <c r="O15377" i="10"/>
  <c r="O15378" i="10"/>
  <c r="O15379" i="10"/>
  <c r="O15380" i="10"/>
  <c r="O15381" i="10"/>
  <c r="O15382" i="10"/>
  <c r="O15383" i="10"/>
  <c r="O15384" i="10"/>
  <c r="O15385" i="10"/>
  <c r="O15386" i="10"/>
  <c r="O15387" i="10"/>
  <c r="O15388" i="10"/>
  <c r="O15389" i="10"/>
  <c r="O15390" i="10"/>
  <c r="O15391" i="10"/>
  <c r="O15392" i="10"/>
  <c r="O15393" i="10"/>
  <c r="O15394" i="10"/>
  <c r="O15395" i="10"/>
  <c r="O15396" i="10"/>
  <c r="O15397" i="10"/>
  <c r="O15398" i="10"/>
  <c r="O15399" i="10"/>
  <c r="O15400" i="10"/>
  <c r="O15401" i="10"/>
  <c r="O15402" i="10"/>
  <c r="O15403" i="10"/>
  <c r="O15404" i="10"/>
  <c r="O15405" i="10"/>
  <c r="O15406" i="10"/>
  <c r="O15407" i="10"/>
  <c r="O15408" i="10"/>
  <c r="O15409" i="10"/>
  <c r="O15410" i="10"/>
  <c r="O15411" i="10"/>
  <c r="O15412" i="10"/>
  <c r="O15413" i="10"/>
  <c r="O15414" i="10"/>
  <c r="O15415" i="10"/>
  <c r="O15416" i="10"/>
  <c r="O15417" i="10"/>
  <c r="O15418" i="10"/>
  <c r="O15419" i="10"/>
  <c r="O15420" i="10"/>
  <c r="O15421" i="10"/>
  <c r="O15422" i="10"/>
  <c r="O15423" i="10"/>
  <c r="O15424" i="10"/>
  <c r="O15425" i="10"/>
  <c r="O15426" i="10"/>
  <c r="O15427" i="10"/>
  <c r="O15428" i="10"/>
  <c r="O15429" i="10"/>
  <c r="O15430" i="10"/>
  <c r="O15431" i="10"/>
  <c r="O15432" i="10"/>
  <c r="O15433" i="10"/>
  <c r="O15434" i="10"/>
  <c r="O15435" i="10"/>
  <c r="O15436" i="10"/>
  <c r="O15437" i="10"/>
  <c r="O15438" i="10"/>
  <c r="O15439" i="10"/>
  <c r="O15440" i="10"/>
  <c r="O15441" i="10"/>
  <c r="O15442" i="10"/>
  <c r="O15443" i="10"/>
  <c r="O15444" i="10"/>
  <c r="O15445" i="10"/>
  <c r="O15446" i="10"/>
  <c r="O15447" i="10"/>
  <c r="O15448" i="10"/>
  <c r="O15449" i="10"/>
  <c r="O15450" i="10"/>
  <c r="O15451" i="10"/>
  <c r="O15452" i="10"/>
  <c r="O15453" i="10"/>
  <c r="O15454" i="10"/>
  <c r="O15455" i="10"/>
  <c r="O15456" i="10"/>
  <c r="O15457" i="10"/>
  <c r="O15458" i="10"/>
  <c r="O15459" i="10"/>
  <c r="O15460" i="10"/>
  <c r="O15461" i="10"/>
  <c r="O15462" i="10"/>
  <c r="O15463" i="10"/>
  <c r="O15464" i="10"/>
  <c r="O15465" i="10"/>
  <c r="O15466" i="10"/>
  <c r="O15467" i="10"/>
  <c r="O15468" i="10"/>
  <c r="O15469" i="10"/>
  <c r="O15470" i="10"/>
  <c r="O15471" i="10"/>
  <c r="O15472" i="10"/>
  <c r="O15473" i="10"/>
  <c r="O15474" i="10"/>
  <c r="O15475" i="10"/>
  <c r="O15476" i="10"/>
  <c r="O15477" i="10"/>
  <c r="O15478" i="10"/>
  <c r="O15479" i="10"/>
  <c r="O15480" i="10"/>
  <c r="O15481" i="10"/>
  <c r="O15482" i="10"/>
  <c r="O15483" i="10"/>
  <c r="O15484" i="10"/>
  <c r="O15485" i="10"/>
  <c r="O15486" i="10"/>
  <c r="O15487" i="10"/>
  <c r="O15488" i="10"/>
  <c r="O15489" i="10"/>
  <c r="O15490" i="10"/>
  <c r="O15491" i="10"/>
  <c r="O15492" i="10"/>
  <c r="O15493" i="10"/>
  <c r="O15494" i="10"/>
  <c r="O15495" i="10"/>
  <c r="O15496" i="10"/>
  <c r="O15497" i="10"/>
  <c r="O15498" i="10"/>
  <c r="O15499" i="10"/>
  <c r="O15500" i="10"/>
  <c r="O15501" i="10"/>
  <c r="O15502" i="10"/>
  <c r="O15503" i="10"/>
  <c r="O15504" i="10"/>
  <c r="O15505" i="10"/>
  <c r="O15506" i="10"/>
  <c r="O15507" i="10"/>
  <c r="O15508" i="10"/>
  <c r="O15509" i="10"/>
  <c r="O15510" i="10"/>
  <c r="O15511" i="10"/>
  <c r="O15512" i="10"/>
  <c r="O15513" i="10"/>
  <c r="O15514" i="10"/>
  <c r="O15515" i="10"/>
  <c r="O15516" i="10"/>
  <c r="O15517" i="10"/>
  <c r="O15518" i="10"/>
  <c r="O15519" i="10"/>
  <c r="O15520" i="10"/>
  <c r="O15521" i="10"/>
  <c r="O15522" i="10"/>
  <c r="O15523" i="10"/>
  <c r="O15524" i="10"/>
  <c r="O15525" i="10"/>
  <c r="O15526" i="10"/>
  <c r="O15527" i="10"/>
  <c r="O15528" i="10"/>
  <c r="O15529" i="10"/>
  <c r="O15530" i="10"/>
  <c r="O15531" i="10"/>
  <c r="O15532" i="10"/>
  <c r="O15533" i="10"/>
  <c r="O15534" i="10"/>
  <c r="O15535" i="10"/>
  <c r="O15536" i="10"/>
  <c r="O15537" i="10"/>
  <c r="O15538" i="10"/>
  <c r="O15539" i="10"/>
  <c r="O15540" i="10"/>
  <c r="O15541" i="10"/>
  <c r="O15542" i="10"/>
  <c r="O15543" i="10"/>
  <c r="O15544" i="10"/>
  <c r="O15545" i="10"/>
  <c r="O15546" i="10"/>
  <c r="O15547" i="10"/>
  <c r="O15548" i="10"/>
  <c r="O15549" i="10"/>
  <c r="O15550" i="10"/>
  <c r="O15551" i="10"/>
  <c r="O15552" i="10"/>
  <c r="O15553" i="10"/>
  <c r="O15554" i="10"/>
  <c r="O15555" i="10"/>
  <c r="O15556" i="10"/>
  <c r="O15557" i="10"/>
  <c r="O15558" i="10"/>
  <c r="O15559" i="10"/>
  <c r="O15560" i="10"/>
  <c r="O15561" i="10"/>
  <c r="O15562" i="10"/>
  <c r="O15563" i="10"/>
  <c r="O15564" i="10"/>
  <c r="O15565" i="10"/>
  <c r="O15566" i="10"/>
  <c r="O15567" i="10"/>
  <c r="O15568" i="10"/>
  <c r="O15569" i="10"/>
  <c r="O15570" i="10"/>
  <c r="O15571" i="10"/>
  <c r="O15572" i="10"/>
  <c r="O15573" i="10"/>
  <c r="O15574" i="10"/>
  <c r="O15575" i="10"/>
  <c r="O15576" i="10"/>
  <c r="O15577" i="10"/>
  <c r="O15578" i="10"/>
  <c r="O15579" i="10"/>
  <c r="O15580" i="10"/>
  <c r="O15581" i="10"/>
  <c r="O15582" i="10"/>
  <c r="O15583" i="10"/>
  <c r="O15584" i="10"/>
  <c r="O15585" i="10"/>
  <c r="O15586" i="10"/>
  <c r="O15587" i="10"/>
  <c r="O15588" i="10"/>
  <c r="O15589" i="10"/>
  <c r="O15590" i="10"/>
  <c r="O15591" i="10"/>
  <c r="O15592" i="10"/>
  <c r="O15593" i="10"/>
  <c r="O15594" i="10"/>
  <c r="O15595" i="10"/>
  <c r="O15596" i="10"/>
  <c r="O15597" i="10"/>
  <c r="O15598" i="10"/>
  <c r="O15599" i="10"/>
  <c r="O15600" i="10"/>
  <c r="O15601" i="10"/>
  <c r="O15602" i="10"/>
  <c r="O15603" i="10"/>
  <c r="O15604" i="10"/>
  <c r="O15605" i="10"/>
  <c r="O15606" i="10"/>
  <c r="O15607" i="10"/>
  <c r="O15608" i="10"/>
  <c r="O15609" i="10"/>
  <c r="O15610" i="10"/>
  <c r="O15611" i="10"/>
  <c r="O15612" i="10"/>
  <c r="O15613" i="10"/>
  <c r="O15614" i="10"/>
  <c r="O15615" i="10"/>
  <c r="O15616" i="10"/>
  <c r="O15617" i="10"/>
  <c r="O15618" i="10"/>
  <c r="O15619" i="10"/>
  <c r="O15620" i="10"/>
  <c r="O15621" i="10"/>
  <c r="O15622" i="10"/>
  <c r="O15623" i="10"/>
  <c r="O15624" i="10"/>
  <c r="O15625" i="10"/>
  <c r="O15626" i="10"/>
  <c r="O15627" i="10"/>
  <c r="O15628" i="10"/>
  <c r="O15629" i="10"/>
  <c r="O15630" i="10"/>
  <c r="O15631" i="10"/>
  <c r="O15632" i="10"/>
  <c r="O15633" i="10"/>
  <c r="O15634" i="10"/>
  <c r="O15635" i="10"/>
  <c r="O15636" i="10"/>
  <c r="O15637" i="10"/>
  <c r="O15638" i="10"/>
  <c r="O15639" i="10"/>
  <c r="O15640" i="10"/>
  <c r="O15641" i="10"/>
  <c r="O15642" i="10"/>
  <c r="O15643" i="10"/>
  <c r="O15644" i="10"/>
  <c r="O15645" i="10"/>
  <c r="O15646" i="10"/>
  <c r="O15647" i="10"/>
  <c r="O15648" i="10"/>
  <c r="O15649" i="10"/>
  <c r="O15650" i="10"/>
  <c r="O15651" i="10"/>
  <c r="O15652" i="10"/>
  <c r="O15653" i="10"/>
  <c r="O15654" i="10"/>
  <c r="O15655" i="10"/>
  <c r="O15656" i="10"/>
  <c r="O15657" i="10"/>
  <c r="O15658" i="10"/>
  <c r="O15659" i="10"/>
  <c r="O15660" i="10"/>
  <c r="O15661" i="10"/>
  <c r="O15662" i="10"/>
  <c r="O15663" i="10"/>
  <c r="O15664" i="10"/>
  <c r="O15665" i="10"/>
  <c r="O15666" i="10"/>
  <c r="O15667" i="10"/>
  <c r="O15668" i="10"/>
  <c r="O15669" i="10"/>
  <c r="O15670" i="10"/>
  <c r="O15671" i="10"/>
  <c r="O15672" i="10"/>
  <c r="O15673" i="10"/>
  <c r="O15674" i="10"/>
  <c r="O15675" i="10"/>
  <c r="O15676" i="10"/>
  <c r="O15677" i="10"/>
  <c r="O15678" i="10"/>
  <c r="O15679" i="10"/>
  <c r="O15680" i="10"/>
  <c r="O15681" i="10"/>
  <c r="O15682" i="10"/>
  <c r="O15683" i="10"/>
  <c r="O15684" i="10"/>
  <c r="O15685" i="10"/>
  <c r="O15686" i="10"/>
  <c r="O15687" i="10"/>
  <c r="O15688" i="10"/>
  <c r="O15689" i="10"/>
  <c r="O15690" i="10"/>
  <c r="O15691" i="10"/>
  <c r="O15692" i="10"/>
  <c r="O15693" i="10"/>
  <c r="O15694" i="10"/>
  <c r="O15695" i="10"/>
  <c r="O15696" i="10"/>
  <c r="O15697" i="10"/>
  <c r="O15698" i="10"/>
  <c r="O15699" i="10"/>
  <c r="O15700" i="10"/>
  <c r="O15701" i="10"/>
  <c r="O15702" i="10"/>
  <c r="O15703" i="10"/>
  <c r="O15704" i="10"/>
  <c r="O15705" i="10"/>
  <c r="O15706" i="10"/>
  <c r="O15707" i="10"/>
  <c r="O15708" i="10"/>
  <c r="O15709" i="10"/>
  <c r="O15710" i="10"/>
  <c r="O15711" i="10"/>
  <c r="O15712" i="10"/>
  <c r="O15713" i="10"/>
  <c r="O15714" i="10"/>
  <c r="O15715" i="10"/>
  <c r="O15716" i="10"/>
  <c r="O15717" i="10"/>
  <c r="O15718" i="10"/>
  <c r="O15719" i="10"/>
  <c r="O15720" i="10"/>
  <c r="O15721" i="10"/>
  <c r="O15722" i="10"/>
  <c r="O15723" i="10"/>
  <c r="O15724" i="10"/>
  <c r="O15725" i="10"/>
  <c r="O15726" i="10"/>
  <c r="O15727" i="10"/>
  <c r="O15728" i="10"/>
  <c r="O15729" i="10"/>
  <c r="O15730" i="10"/>
  <c r="O15731" i="10"/>
  <c r="O15732" i="10"/>
  <c r="O15733" i="10"/>
  <c r="O15734" i="10"/>
  <c r="O15735" i="10"/>
  <c r="O15736" i="10"/>
  <c r="O15737" i="10"/>
  <c r="O15738" i="10"/>
  <c r="O15739" i="10"/>
  <c r="O15740" i="10"/>
  <c r="O15741" i="10"/>
  <c r="O15742" i="10"/>
  <c r="O15743" i="10"/>
  <c r="O15744" i="10"/>
  <c r="O15745" i="10"/>
  <c r="O15746" i="10"/>
  <c r="O15747" i="10"/>
  <c r="O15748" i="10"/>
  <c r="O15749" i="10"/>
  <c r="O15750" i="10"/>
  <c r="O15751" i="10"/>
  <c r="O15752" i="10"/>
  <c r="O15753" i="10"/>
  <c r="O15754" i="10"/>
  <c r="O15755" i="10"/>
  <c r="O15756" i="10"/>
  <c r="O15757" i="10"/>
  <c r="O15758" i="10"/>
  <c r="O15759" i="10"/>
  <c r="O15760" i="10"/>
  <c r="O15761" i="10"/>
  <c r="O15762" i="10"/>
  <c r="O15763" i="10"/>
  <c r="O15764" i="10"/>
  <c r="O15765" i="10"/>
  <c r="O15766" i="10"/>
  <c r="O15767" i="10"/>
  <c r="O15768" i="10"/>
  <c r="O15769" i="10"/>
  <c r="O15770" i="10"/>
  <c r="O15771" i="10"/>
  <c r="O15772" i="10"/>
  <c r="O15773" i="10"/>
  <c r="O15774" i="10"/>
  <c r="O15775" i="10"/>
  <c r="O15776" i="10"/>
  <c r="O15777" i="10"/>
  <c r="O15778" i="10"/>
  <c r="O15779" i="10"/>
  <c r="O15780" i="10"/>
  <c r="O15781" i="10"/>
  <c r="O15782" i="10"/>
  <c r="O15783" i="10"/>
  <c r="O15784" i="10"/>
  <c r="O15785" i="10"/>
  <c r="O15786" i="10"/>
  <c r="O15787" i="10"/>
  <c r="O15788" i="10"/>
  <c r="O15789" i="10"/>
  <c r="O15790" i="10"/>
  <c r="O15791" i="10"/>
  <c r="O15792" i="10"/>
  <c r="O15793" i="10"/>
  <c r="O15794" i="10"/>
  <c r="O15795" i="10"/>
  <c r="O15796" i="10"/>
  <c r="O15797" i="10"/>
  <c r="O15798" i="10"/>
  <c r="O15799" i="10"/>
  <c r="O15800" i="10"/>
  <c r="O15801" i="10"/>
  <c r="O15802" i="10"/>
  <c r="O15803" i="10"/>
  <c r="O15804" i="10"/>
  <c r="O15805" i="10"/>
  <c r="O15806" i="10"/>
  <c r="O15807" i="10"/>
  <c r="O15808" i="10"/>
  <c r="O15809" i="10"/>
  <c r="O15810" i="10"/>
  <c r="O15811" i="10"/>
  <c r="O15812" i="10"/>
  <c r="O15813" i="10"/>
  <c r="O15814" i="10"/>
  <c r="O15815" i="10"/>
  <c r="O15816" i="10"/>
  <c r="O15817" i="10"/>
  <c r="O15818" i="10"/>
  <c r="O15819" i="10"/>
  <c r="O15820" i="10"/>
  <c r="O15821" i="10"/>
  <c r="O15822" i="10"/>
  <c r="O15823" i="10"/>
  <c r="O15824" i="10"/>
  <c r="O15825" i="10"/>
  <c r="O15826" i="10"/>
  <c r="O15827" i="10"/>
  <c r="O15828" i="10"/>
  <c r="O15829" i="10"/>
  <c r="O15830" i="10"/>
  <c r="O15831" i="10"/>
  <c r="O15832" i="10"/>
  <c r="O15833" i="10"/>
  <c r="O15834" i="10"/>
  <c r="O15835" i="10"/>
  <c r="O15836" i="10"/>
  <c r="O15837" i="10"/>
  <c r="O15838" i="10"/>
  <c r="O15839" i="10"/>
  <c r="O15840" i="10"/>
  <c r="O15841" i="10"/>
  <c r="O15842" i="10"/>
  <c r="O15843" i="10"/>
  <c r="O15844" i="10"/>
  <c r="O15845" i="10"/>
  <c r="O15846" i="10"/>
  <c r="O15847" i="10"/>
  <c r="O15848" i="10"/>
  <c r="O15849" i="10"/>
  <c r="O15850" i="10"/>
  <c r="O15851" i="10"/>
  <c r="O15852" i="10"/>
  <c r="O15853" i="10"/>
  <c r="O15854" i="10"/>
  <c r="O15855" i="10"/>
  <c r="O15856" i="10"/>
  <c r="O15857" i="10"/>
  <c r="O15858" i="10"/>
  <c r="O15859" i="10"/>
  <c r="O15860" i="10"/>
  <c r="O15861" i="10"/>
  <c r="O15862" i="10"/>
  <c r="O15863" i="10"/>
  <c r="O15864" i="10"/>
  <c r="O15865" i="10"/>
  <c r="O15866" i="10"/>
  <c r="O15867" i="10"/>
  <c r="O15868" i="10"/>
  <c r="O15869" i="10"/>
  <c r="O15870" i="10"/>
  <c r="O15871" i="10"/>
  <c r="O15872" i="10"/>
  <c r="O15873" i="10"/>
  <c r="O15874" i="10"/>
  <c r="O15875" i="10"/>
  <c r="O15876" i="10"/>
  <c r="O15877" i="10"/>
  <c r="O15878" i="10"/>
  <c r="O15879" i="10"/>
  <c r="O15880" i="10"/>
  <c r="O15881" i="10"/>
  <c r="O15882" i="10"/>
  <c r="O15883" i="10"/>
  <c r="O15884" i="10"/>
  <c r="O15885" i="10"/>
  <c r="O15886" i="10"/>
  <c r="O15887" i="10"/>
  <c r="O15888" i="10"/>
  <c r="O15889" i="10"/>
  <c r="O15890" i="10"/>
  <c r="O15891" i="10"/>
  <c r="O15892" i="10"/>
  <c r="O15893" i="10"/>
  <c r="O15894" i="10"/>
  <c r="O15895" i="10"/>
  <c r="O15896" i="10"/>
  <c r="O15897" i="10"/>
  <c r="O15898" i="10"/>
  <c r="O15899" i="10"/>
  <c r="O15900" i="10"/>
  <c r="O15901" i="10"/>
  <c r="O15902" i="10"/>
  <c r="O15903" i="10"/>
  <c r="O15904" i="10"/>
  <c r="O15905" i="10"/>
  <c r="O15906" i="10"/>
  <c r="O15907" i="10"/>
  <c r="O15908" i="10"/>
  <c r="O15909" i="10"/>
  <c r="O15910" i="10"/>
  <c r="O15911" i="10"/>
  <c r="O15912" i="10"/>
  <c r="O15913" i="10"/>
  <c r="O15914" i="10"/>
  <c r="O15915" i="10"/>
  <c r="O15916" i="10"/>
  <c r="O15917" i="10"/>
  <c r="O15918" i="10"/>
  <c r="O15919" i="10"/>
  <c r="O15920" i="10"/>
  <c r="O15921" i="10"/>
  <c r="O15922" i="10"/>
  <c r="O15923" i="10"/>
  <c r="O15924" i="10"/>
  <c r="O15925" i="10"/>
  <c r="O15926" i="10"/>
  <c r="O15927" i="10"/>
  <c r="O15928" i="10"/>
  <c r="O15929" i="10"/>
  <c r="O15930" i="10"/>
  <c r="O15931" i="10"/>
  <c r="O15932" i="10"/>
  <c r="O15933" i="10"/>
  <c r="O15934" i="10"/>
  <c r="O15935" i="10"/>
  <c r="O15936" i="10"/>
  <c r="O15937" i="10"/>
  <c r="O15938" i="10"/>
  <c r="O15939" i="10"/>
  <c r="O15940" i="10"/>
  <c r="O15941" i="10"/>
  <c r="O15942" i="10"/>
  <c r="O15943" i="10"/>
  <c r="O15944" i="10"/>
  <c r="O15945" i="10"/>
  <c r="O15946" i="10"/>
  <c r="O15947" i="10"/>
  <c r="O15948" i="10"/>
  <c r="O15949" i="10"/>
  <c r="O15950" i="10"/>
  <c r="O15951" i="10"/>
  <c r="O15952" i="10"/>
  <c r="O15953" i="10"/>
  <c r="O15954" i="10"/>
  <c r="O15955" i="10"/>
  <c r="O15956" i="10"/>
  <c r="O15957" i="10"/>
  <c r="O15958" i="10"/>
  <c r="O15959" i="10"/>
  <c r="O15960" i="10"/>
  <c r="O15961" i="10"/>
  <c r="O15962" i="10"/>
  <c r="O15963" i="10"/>
  <c r="O15964" i="10"/>
  <c r="O15965" i="10"/>
  <c r="O15966" i="10"/>
  <c r="O15967" i="10"/>
  <c r="O15968" i="10"/>
  <c r="O15969" i="10"/>
  <c r="O15970" i="10"/>
  <c r="O15971" i="10"/>
  <c r="O15972" i="10"/>
  <c r="O15973" i="10"/>
  <c r="O15974" i="10"/>
  <c r="O15975" i="10"/>
  <c r="O15976" i="10"/>
  <c r="O15977" i="10"/>
  <c r="O15978" i="10"/>
  <c r="O15979" i="10"/>
  <c r="O15980" i="10"/>
  <c r="O15981" i="10"/>
  <c r="O15982" i="10"/>
  <c r="O15983" i="10"/>
  <c r="O15984" i="10"/>
  <c r="O15985" i="10"/>
  <c r="O15986" i="10"/>
  <c r="O15987" i="10"/>
  <c r="O15988" i="10"/>
  <c r="O15989" i="10"/>
  <c r="O15990" i="10"/>
  <c r="O15991" i="10"/>
  <c r="O15992" i="10"/>
  <c r="O15993" i="10"/>
  <c r="O15994" i="10"/>
  <c r="O15995" i="10"/>
  <c r="O15996" i="10"/>
  <c r="O15997" i="10"/>
  <c r="O15998" i="10"/>
  <c r="O15999" i="10"/>
  <c r="O16000" i="10"/>
  <c r="O16001" i="10"/>
  <c r="O16002" i="10"/>
  <c r="O16003" i="10"/>
  <c r="O16004" i="10"/>
  <c r="O16005" i="10"/>
  <c r="O16006" i="10"/>
  <c r="O16007" i="10"/>
  <c r="O16008" i="10"/>
  <c r="O16009" i="10"/>
  <c r="O16010" i="10"/>
  <c r="O16011" i="10"/>
  <c r="O16012" i="10"/>
  <c r="O16013" i="10"/>
  <c r="O16014" i="10"/>
  <c r="O16015" i="10"/>
  <c r="O16016" i="10"/>
  <c r="O16017" i="10"/>
  <c r="O16018" i="10"/>
  <c r="O16019" i="10"/>
  <c r="O16020" i="10"/>
  <c r="O16021" i="10"/>
  <c r="O16022" i="10"/>
  <c r="O16023" i="10"/>
  <c r="O16024" i="10"/>
  <c r="O16025" i="10"/>
  <c r="O16026" i="10"/>
  <c r="O16027" i="10"/>
  <c r="O16028" i="10"/>
  <c r="O16029" i="10"/>
  <c r="O16030" i="10"/>
  <c r="O16031" i="10"/>
  <c r="O16032" i="10"/>
  <c r="O16033" i="10"/>
  <c r="O16034" i="10"/>
  <c r="O16035" i="10"/>
  <c r="O16036" i="10"/>
  <c r="O16037" i="10"/>
  <c r="O16038" i="10"/>
  <c r="O16039" i="10"/>
  <c r="O16040" i="10"/>
  <c r="O16041" i="10"/>
  <c r="O16042" i="10"/>
  <c r="O16043" i="10"/>
  <c r="O16044" i="10"/>
  <c r="O16045" i="10"/>
  <c r="O16046" i="10"/>
  <c r="O16047" i="10"/>
  <c r="O16048" i="10"/>
  <c r="O16049" i="10"/>
  <c r="O16050" i="10"/>
  <c r="O16051" i="10"/>
  <c r="O16052" i="10"/>
  <c r="O16053" i="10"/>
  <c r="O16054" i="10"/>
  <c r="O16055" i="10"/>
  <c r="O16056" i="10"/>
  <c r="O16057" i="10"/>
  <c r="O16058" i="10"/>
  <c r="O16059" i="10"/>
  <c r="O16060" i="10"/>
  <c r="O16061" i="10"/>
  <c r="O16062" i="10"/>
  <c r="O16063" i="10"/>
  <c r="O16064" i="10"/>
  <c r="O16065" i="10"/>
  <c r="O16066" i="10"/>
  <c r="O16067" i="10"/>
  <c r="O16068" i="10"/>
  <c r="O16069" i="10"/>
  <c r="O16070" i="10"/>
  <c r="O16071" i="10"/>
  <c r="O16072" i="10"/>
  <c r="O16073" i="10"/>
  <c r="O16074" i="10"/>
  <c r="O16075" i="10"/>
  <c r="O16076" i="10"/>
  <c r="O16077" i="10"/>
  <c r="O16078" i="10"/>
  <c r="O16079" i="10"/>
  <c r="O16080" i="10"/>
  <c r="O16081" i="10"/>
  <c r="O16082" i="10"/>
  <c r="O16083" i="10"/>
  <c r="O16084" i="10"/>
  <c r="O16085" i="10"/>
  <c r="O16086" i="10"/>
  <c r="O16087" i="10"/>
  <c r="O16088" i="10"/>
  <c r="O16089" i="10"/>
  <c r="O16090" i="10"/>
  <c r="O16091" i="10"/>
  <c r="O16092" i="10"/>
  <c r="O16093" i="10"/>
  <c r="O16094" i="10"/>
  <c r="O16095" i="10"/>
  <c r="O16096" i="10"/>
  <c r="O16097" i="10"/>
  <c r="O16098" i="10"/>
  <c r="O16099" i="10"/>
  <c r="O16100" i="10"/>
  <c r="O16101" i="10"/>
  <c r="O16102" i="10"/>
  <c r="O16103" i="10"/>
  <c r="O16104" i="10"/>
  <c r="O16105" i="10"/>
  <c r="O16106" i="10"/>
  <c r="O16107" i="10"/>
  <c r="O16108" i="10"/>
  <c r="O16109" i="10"/>
  <c r="O16110" i="10"/>
  <c r="O16111" i="10"/>
  <c r="O16112" i="10"/>
  <c r="O16113" i="10"/>
  <c r="O16114" i="10"/>
  <c r="O16115" i="10"/>
  <c r="O16116" i="10"/>
  <c r="O16117" i="10"/>
  <c r="O16118" i="10"/>
  <c r="O16119" i="10"/>
  <c r="O16120" i="10"/>
  <c r="O16121" i="10"/>
  <c r="O16122" i="10"/>
  <c r="O16123" i="10"/>
  <c r="O16124" i="10"/>
  <c r="O16125" i="10"/>
  <c r="O16126" i="10"/>
  <c r="O16127" i="10"/>
  <c r="O16128" i="10"/>
  <c r="O16129" i="10"/>
  <c r="O16130" i="10"/>
  <c r="O16131" i="10"/>
  <c r="O16132" i="10"/>
  <c r="O16133" i="10"/>
  <c r="O16134" i="10"/>
  <c r="O16135" i="10"/>
  <c r="O16136" i="10"/>
  <c r="O16137" i="10"/>
  <c r="O16138" i="10"/>
  <c r="O16139" i="10"/>
  <c r="O16140" i="10"/>
  <c r="O16141" i="10"/>
  <c r="O16142" i="10"/>
  <c r="O16143" i="10"/>
  <c r="O16144" i="10"/>
  <c r="O16145" i="10"/>
  <c r="O16146" i="10"/>
  <c r="O16147" i="10"/>
  <c r="O16148" i="10"/>
  <c r="O16149" i="10"/>
  <c r="O16150" i="10"/>
  <c r="O16151" i="10"/>
  <c r="O16152" i="10"/>
  <c r="O16153" i="10"/>
  <c r="O16154" i="10"/>
  <c r="O16155" i="10"/>
  <c r="O16156" i="10"/>
  <c r="O16157" i="10"/>
  <c r="O16158" i="10"/>
  <c r="O16159" i="10"/>
  <c r="O16160" i="10"/>
  <c r="O16161" i="10"/>
  <c r="O16162" i="10"/>
  <c r="O16163" i="10"/>
  <c r="O16164" i="10"/>
  <c r="O16165" i="10"/>
  <c r="O16166" i="10"/>
  <c r="O16167" i="10"/>
  <c r="O16168" i="10"/>
  <c r="O16169" i="10"/>
  <c r="O16170" i="10"/>
  <c r="O16171" i="10"/>
  <c r="O16172" i="10"/>
  <c r="O16173" i="10"/>
  <c r="O16174" i="10"/>
  <c r="O16175" i="10"/>
  <c r="O16176" i="10"/>
  <c r="O16177" i="10"/>
  <c r="O16178" i="10"/>
  <c r="O16179" i="10"/>
  <c r="O16180" i="10"/>
  <c r="O16181" i="10"/>
  <c r="O16182" i="10"/>
  <c r="O16183" i="10"/>
  <c r="O16184" i="10"/>
  <c r="O16185" i="10"/>
  <c r="O16186" i="10"/>
  <c r="O16187" i="10"/>
  <c r="O16188" i="10"/>
  <c r="O16189" i="10"/>
  <c r="O16190" i="10"/>
  <c r="O16191" i="10"/>
  <c r="O16192" i="10"/>
  <c r="O16193" i="10"/>
  <c r="O16194" i="10"/>
  <c r="O16195" i="10"/>
  <c r="O16196" i="10"/>
  <c r="O16197" i="10"/>
  <c r="O16198" i="10"/>
  <c r="O16199" i="10"/>
  <c r="O16200" i="10"/>
  <c r="O16201" i="10"/>
  <c r="O16202" i="10"/>
  <c r="O16203" i="10"/>
  <c r="O16204" i="10"/>
  <c r="O16205" i="10"/>
  <c r="O16206" i="10"/>
  <c r="O16207" i="10"/>
  <c r="O16208" i="10"/>
  <c r="O16209" i="10"/>
  <c r="O16210" i="10"/>
  <c r="O16211" i="10"/>
  <c r="O16212" i="10"/>
  <c r="O16213" i="10"/>
  <c r="O16214" i="10"/>
  <c r="O16215" i="10"/>
  <c r="O16216" i="10"/>
  <c r="O16217" i="10"/>
  <c r="O16218" i="10"/>
  <c r="O16219" i="10"/>
  <c r="O16220" i="10"/>
  <c r="O16221" i="10"/>
  <c r="O16222" i="10"/>
  <c r="O16223" i="10"/>
  <c r="O16224" i="10"/>
  <c r="O16225" i="10"/>
  <c r="O16226" i="10"/>
  <c r="O16227" i="10"/>
  <c r="O16228" i="10"/>
  <c r="O16229" i="10"/>
  <c r="O16230" i="10"/>
  <c r="O16231" i="10"/>
  <c r="O16232" i="10"/>
  <c r="O16233" i="10"/>
  <c r="O16234" i="10"/>
  <c r="O16235" i="10"/>
  <c r="O16236" i="10"/>
  <c r="O16237" i="10"/>
  <c r="O16238" i="10"/>
  <c r="O16239" i="10"/>
  <c r="O16240" i="10"/>
  <c r="O16241" i="10"/>
  <c r="O16242" i="10"/>
  <c r="O16243" i="10"/>
  <c r="O16244" i="10"/>
  <c r="O16245" i="10"/>
  <c r="O16246" i="10"/>
  <c r="O16247" i="10"/>
  <c r="O16248" i="10"/>
  <c r="O16249" i="10"/>
  <c r="O16250" i="10"/>
  <c r="O16251" i="10"/>
  <c r="O16252" i="10"/>
  <c r="O16253" i="10"/>
  <c r="O16254" i="10"/>
  <c r="O16255" i="10"/>
  <c r="O16256" i="10"/>
  <c r="O16257" i="10"/>
  <c r="O16258" i="10"/>
  <c r="O16259" i="10"/>
  <c r="O16260" i="10"/>
  <c r="O16261" i="10"/>
  <c r="O16262" i="10"/>
  <c r="O16263" i="10"/>
  <c r="O16264" i="10"/>
  <c r="O16265" i="10"/>
  <c r="O16266" i="10"/>
  <c r="O16267" i="10"/>
  <c r="O16268" i="10"/>
  <c r="O16269" i="10"/>
  <c r="O16270" i="10"/>
  <c r="O16271" i="10"/>
  <c r="O16272" i="10"/>
  <c r="O16273" i="10"/>
  <c r="O16274" i="10"/>
  <c r="O16275" i="10"/>
  <c r="O16276" i="10"/>
  <c r="O16277" i="10"/>
  <c r="O16278" i="10"/>
  <c r="O16279" i="10"/>
  <c r="O16280" i="10"/>
  <c r="O16281" i="10"/>
  <c r="O16282" i="10"/>
  <c r="O16283" i="10"/>
  <c r="O16284" i="10"/>
  <c r="O16285" i="10"/>
  <c r="O16286" i="10"/>
  <c r="O16287" i="10"/>
  <c r="O16288" i="10"/>
  <c r="O16289" i="10"/>
  <c r="O16290" i="10"/>
  <c r="O16291" i="10"/>
  <c r="O16292" i="10"/>
  <c r="O16293" i="10"/>
  <c r="O16294" i="10"/>
  <c r="O16295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604" i="10"/>
  <c r="O605" i="10"/>
  <c r="O606" i="10"/>
  <c r="O607" i="10"/>
  <c r="O608" i="10"/>
  <c r="O609" i="10"/>
  <c r="O610" i="10"/>
  <c r="O611" i="10"/>
  <c r="O612" i="10"/>
  <c r="O613" i="10"/>
  <c r="O614" i="10"/>
  <c r="O615" i="10"/>
  <c r="O616" i="10"/>
  <c r="O617" i="10"/>
  <c r="O618" i="10"/>
  <c r="O619" i="10"/>
  <c r="O620" i="10"/>
  <c r="O621" i="10"/>
  <c r="O622" i="10"/>
  <c r="O623" i="10"/>
  <c r="O624" i="10"/>
  <c r="O625" i="10"/>
  <c r="O626" i="10"/>
  <c r="O627" i="10"/>
  <c r="O628" i="10"/>
  <c r="O629" i="10"/>
  <c r="O630" i="10"/>
  <c r="O631" i="10"/>
  <c r="O632" i="10"/>
  <c r="O633" i="10"/>
  <c r="O634" i="10"/>
  <c r="O635" i="10"/>
  <c r="O636" i="10"/>
  <c r="O637" i="10"/>
  <c r="O638" i="10"/>
  <c r="O639" i="10"/>
  <c r="O640" i="10"/>
  <c r="O641" i="10"/>
  <c r="O642" i="10"/>
  <c r="O643" i="10"/>
  <c r="O644" i="10"/>
  <c r="O645" i="10"/>
  <c r="O646" i="10"/>
  <c r="O647" i="10"/>
  <c r="O648" i="10"/>
  <c r="O649" i="10"/>
  <c r="O650" i="10"/>
  <c r="O651" i="10"/>
  <c r="O652" i="10"/>
  <c r="O653" i="10"/>
  <c r="O654" i="10"/>
  <c r="O655" i="10"/>
  <c r="O656" i="10"/>
  <c r="O657" i="10"/>
  <c r="O658" i="10"/>
  <c r="O659" i="10"/>
  <c r="O660" i="10"/>
  <c r="O661" i="10"/>
  <c r="O662" i="10"/>
  <c r="O663" i="10"/>
  <c r="O664" i="10"/>
  <c r="O665" i="10"/>
  <c r="O666" i="10"/>
  <c r="O667" i="10"/>
  <c r="O668" i="10"/>
  <c r="O669" i="10"/>
  <c r="O670" i="10"/>
  <c r="O671" i="10"/>
  <c r="O672" i="10"/>
  <c r="O673" i="10"/>
  <c r="O674" i="10"/>
  <c r="O675" i="10"/>
  <c r="O676" i="10"/>
  <c r="O677" i="10"/>
  <c r="O678" i="10"/>
  <c r="O679" i="10"/>
  <c r="O680" i="10"/>
  <c r="O681" i="10"/>
  <c r="O682" i="10"/>
  <c r="O683" i="10"/>
  <c r="O684" i="10"/>
  <c r="O685" i="10"/>
  <c r="O686" i="10"/>
  <c r="O687" i="10"/>
  <c r="O688" i="10"/>
  <c r="O689" i="10"/>
  <c r="O690" i="10"/>
  <c r="O691" i="10"/>
  <c r="O692" i="10"/>
  <c r="O693" i="10"/>
  <c r="O694" i="10"/>
  <c r="O695" i="10"/>
  <c r="O696" i="10"/>
  <c r="O697" i="10"/>
  <c r="O698" i="10"/>
  <c r="O699" i="10"/>
  <c r="O700" i="10"/>
  <c r="O701" i="10"/>
  <c r="O702" i="10"/>
  <c r="O703" i="10"/>
  <c r="O704" i="10"/>
  <c r="O705" i="10"/>
  <c r="O706" i="10"/>
  <c r="O707" i="10"/>
  <c r="O708" i="10"/>
  <c r="O709" i="10"/>
  <c r="O710" i="10"/>
  <c r="O711" i="10"/>
  <c r="O712" i="10"/>
  <c r="O713" i="10"/>
  <c r="O714" i="10"/>
  <c r="O715" i="10"/>
  <c r="O716" i="10"/>
  <c r="O717" i="10"/>
  <c r="O718" i="10"/>
  <c r="O719" i="10"/>
  <c r="O720" i="10"/>
  <c r="O721" i="10"/>
  <c r="O722" i="10"/>
  <c r="O723" i="10"/>
  <c r="O724" i="10"/>
  <c r="O725" i="10"/>
  <c r="O726" i="10"/>
  <c r="O727" i="10"/>
  <c r="O728" i="10"/>
  <c r="O729" i="10"/>
  <c r="O730" i="10"/>
  <c r="O731" i="10"/>
  <c r="O732" i="10"/>
  <c r="O733" i="10"/>
  <c r="O734" i="10"/>
  <c r="O735" i="10"/>
  <c r="O736" i="10"/>
  <c r="O737" i="10"/>
  <c r="O738" i="10"/>
  <c r="O739" i="10"/>
  <c r="O740" i="10"/>
  <c r="O741" i="10"/>
  <c r="O742" i="10"/>
  <c r="O743" i="10"/>
  <c r="O744" i="10"/>
  <c r="O745" i="10"/>
  <c r="O746" i="10"/>
  <c r="O747" i="10"/>
  <c r="O748" i="10"/>
  <c r="O749" i="10"/>
  <c r="O750" i="10"/>
  <c r="O751" i="10"/>
  <c r="O752" i="10"/>
  <c r="O753" i="10"/>
  <c r="O754" i="10"/>
  <c r="O755" i="10"/>
  <c r="O756" i="10"/>
  <c r="O757" i="10"/>
  <c r="O758" i="10"/>
  <c r="O759" i="10"/>
  <c r="O760" i="10"/>
  <c r="O761" i="10"/>
  <c r="O762" i="10"/>
  <c r="O763" i="10"/>
  <c r="O764" i="10"/>
  <c r="O765" i="10"/>
  <c r="O766" i="10"/>
  <c r="O767" i="10"/>
  <c r="O768" i="10"/>
  <c r="O769" i="10"/>
  <c r="O770" i="10"/>
  <c r="O771" i="10"/>
  <c r="O772" i="10"/>
  <c r="O773" i="10"/>
  <c r="O774" i="10"/>
  <c r="O775" i="10"/>
  <c r="O776" i="10"/>
  <c r="O777" i="10"/>
  <c r="O778" i="10"/>
  <c r="O779" i="10"/>
  <c r="O780" i="10"/>
  <c r="O781" i="10"/>
  <c r="O782" i="10"/>
  <c r="O783" i="10"/>
  <c r="O784" i="10"/>
  <c r="O785" i="10"/>
  <c r="O786" i="10"/>
  <c r="O787" i="10"/>
  <c r="O788" i="10"/>
  <c r="O789" i="10"/>
  <c r="O790" i="10"/>
  <c r="O791" i="10"/>
  <c r="O792" i="10"/>
  <c r="O793" i="10"/>
  <c r="O794" i="10"/>
  <c r="O795" i="10"/>
  <c r="O796" i="10"/>
  <c r="O797" i="10"/>
  <c r="O798" i="10"/>
  <c r="O799" i="10"/>
  <c r="O800" i="10"/>
  <c r="O801" i="10"/>
  <c r="O802" i="10"/>
  <c r="O803" i="10"/>
  <c r="O804" i="10"/>
  <c r="O805" i="10"/>
  <c r="O806" i="10"/>
  <c r="O807" i="10"/>
  <c r="O808" i="10"/>
  <c r="O809" i="10"/>
  <c r="O810" i="10"/>
  <c r="O811" i="10"/>
  <c r="O812" i="10"/>
  <c r="O813" i="10"/>
  <c r="O814" i="10"/>
  <c r="O815" i="10"/>
  <c r="O816" i="10"/>
  <c r="O817" i="10"/>
  <c r="O818" i="10"/>
  <c r="O819" i="10"/>
  <c r="O820" i="10"/>
  <c r="O821" i="10"/>
  <c r="O822" i="10"/>
  <c r="O823" i="10"/>
  <c r="O824" i="10"/>
  <c r="O825" i="10"/>
  <c r="O826" i="10"/>
  <c r="O827" i="10"/>
  <c r="O828" i="10"/>
  <c r="O829" i="10"/>
  <c r="O830" i="10"/>
  <c r="O831" i="10"/>
  <c r="O832" i="10"/>
  <c r="O833" i="10"/>
  <c r="O834" i="10"/>
  <c r="O835" i="10"/>
  <c r="O836" i="10"/>
  <c r="O837" i="10"/>
  <c r="O838" i="10"/>
  <c r="O839" i="10"/>
  <c r="O840" i="10"/>
  <c r="O841" i="10"/>
  <c r="O842" i="10"/>
  <c r="O843" i="10"/>
  <c r="O844" i="10"/>
  <c r="O845" i="10"/>
  <c r="O846" i="10"/>
  <c r="O847" i="10"/>
  <c r="O848" i="10"/>
  <c r="O849" i="10"/>
  <c r="O850" i="10"/>
  <c r="O851" i="10"/>
  <c r="O852" i="10"/>
  <c r="O853" i="10"/>
  <c r="O854" i="10"/>
  <c r="O855" i="10"/>
  <c r="O856" i="10"/>
  <c r="O857" i="10"/>
  <c r="O858" i="10"/>
  <c r="O859" i="10"/>
  <c r="O860" i="10"/>
  <c r="O861" i="10"/>
  <c r="O862" i="10"/>
  <c r="O863" i="10"/>
  <c r="O864" i="10"/>
  <c r="O865" i="10"/>
  <c r="O866" i="10"/>
  <c r="O867" i="10"/>
  <c r="O868" i="10"/>
  <c r="O869" i="10"/>
  <c r="O870" i="10"/>
  <c r="O871" i="10"/>
  <c r="O872" i="10"/>
  <c r="O873" i="10"/>
  <c r="O874" i="10"/>
  <c r="O875" i="10"/>
  <c r="O876" i="10"/>
  <c r="O877" i="10"/>
  <c r="O878" i="10"/>
  <c r="O879" i="10"/>
  <c r="O880" i="10"/>
  <c r="O881" i="10"/>
  <c r="O882" i="10"/>
  <c r="O883" i="10"/>
  <c r="O884" i="10"/>
  <c r="O885" i="10"/>
  <c r="O886" i="10"/>
  <c r="O887" i="10"/>
  <c r="O888" i="10"/>
  <c r="O889" i="10"/>
  <c r="O890" i="10"/>
  <c r="O891" i="10"/>
  <c r="O892" i="10"/>
  <c r="O893" i="10"/>
  <c r="O894" i="10"/>
  <c r="O895" i="10"/>
  <c r="O896" i="10"/>
  <c r="O897" i="10"/>
  <c r="O898" i="10"/>
  <c r="O899" i="10"/>
  <c r="O900" i="10"/>
  <c r="O901" i="10"/>
  <c r="O902" i="10"/>
  <c r="O903" i="10"/>
  <c r="O904" i="10"/>
  <c r="O905" i="10"/>
  <c r="O906" i="10"/>
  <c r="O907" i="10"/>
  <c r="O908" i="10"/>
  <c r="O909" i="10"/>
  <c r="O910" i="10"/>
  <c r="O911" i="10"/>
  <c r="O912" i="10"/>
  <c r="O913" i="10"/>
  <c r="O914" i="10"/>
  <c r="O915" i="10"/>
  <c r="O916" i="10"/>
  <c r="O917" i="10"/>
  <c r="O918" i="10"/>
  <c r="O919" i="10"/>
  <c r="O920" i="10"/>
  <c r="O921" i="10"/>
  <c r="O922" i="10"/>
  <c r="O923" i="10"/>
  <c r="O924" i="10"/>
  <c r="O925" i="10"/>
  <c r="O926" i="10"/>
  <c r="O927" i="10"/>
  <c r="O928" i="10"/>
  <c r="O929" i="10"/>
  <c r="O930" i="10"/>
  <c r="O931" i="10"/>
  <c r="O932" i="10"/>
  <c r="O933" i="10"/>
  <c r="O934" i="10"/>
  <c r="O935" i="10"/>
  <c r="O936" i="10"/>
  <c r="O937" i="10"/>
  <c r="O938" i="10"/>
  <c r="O939" i="10"/>
  <c r="O940" i="10"/>
  <c r="O941" i="10"/>
  <c r="O942" i="10"/>
  <c r="O943" i="10"/>
  <c r="O944" i="10"/>
  <c r="O945" i="10"/>
  <c r="O946" i="10"/>
  <c r="O947" i="10"/>
  <c r="O948" i="10"/>
  <c r="O949" i="10"/>
  <c r="O950" i="10"/>
  <c r="O951" i="10"/>
  <c r="O952" i="10"/>
  <c r="O953" i="10"/>
  <c r="O954" i="10"/>
  <c r="O955" i="10"/>
  <c r="O956" i="10"/>
  <c r="O957" i="10"/>
  <c r="O958" i="10"/>
  <c r="O959" i="10"/>
  <c r="O960" i="10"/>
  <c r="O961" i="10"/>
  <c r="O962" i="10"/>
  <c r="O963" i="10"/>
  <c r="O964" i="10"/>
  <c r="O965" i="10"/>
  <c r="O966" i="10"/>
  <c r="O967" i="10"/>
  <c r="O968" i="10"/>
  <c r="O969" i="10"/>
  <c r="O970" i="10"/>
  <c r="O971" i="10"/>
  <c r="O972" i="10"/>
  <c r="O973" i="10"/>
  <c r="O974" i="10"/>
  <c r="O975" i="10"/>
  <c r="O976" i="10"/>
  <c r="O977" i="10"/>
  <c r="O978" i="10"/>
  <c r="O979" i="10"/>
  <c r="O980" i="10"/>
  <c r="O981" i="10"/>
  <c r="O982" i="10"/>
  <c r="O983" i="10"/>
  <c r="O984" i="10"/>
  <c r="O985" i="10"/>
  <c r="O986" i="10"/>
  <c r="O987" i="10"/>
  <c r="O988" i="10"/>
  <c r="O989" i="10"/>
  <c r="O990" i="10"/>
  <c r="O991" i="10"/>
  <c r="O992" i="10"/>
  <c r="O993" i="10"/>
  <c r="O994" i="10"/>
  <c r="O995" i="10"/>
  <c r="O996" i="10"/>
  <c r="O997" i="10"/>
  <c r="O998" i="10"/>
  <c r="O999" i="10"/>
  <c r="O1000" i="10"/>
  <c r="O1001" i="10"/>
  <c r="O1002" i="10"/>
  <c r="O1003" i="10"/>
  <c r="O1004" i="10"/>
  <c r="O1005" i="10"/>
  <c r="O1006" i="10"/>
  <c r="O1007" i="10"/>
  <c r="O1008" i="10"/>
  <c r="O1009" i="10"/>
  <c r="O1010" i="10"/>
  <c r="O1011" i="10"/>
  <c r="O1012" i="10"/>
  <c r="O1013" i="10"/>
  <c r="O1014" i="10"/>
  <c r="O1015" i="10"/>
  <c r="O1016" i="10"/>
  <c r="O1017" i="10"/>
  <c r="O1018" i="10"/>
  <c r="O1019" i="10"/>
  <c r="O1020" i="10"/>
  <c r="O1021" i="10"/>
  <c r="O1022" i="10"/>
  <c r="O1023" i="10"/>
  <c r="O1024" i="10"/>
  <c r="O1025" i="10"/>
  <c r="O1026" i="10"/>
  <c r="O1027" i="10"/>
  <c r="O1028" i="10"/>
  <c r="O1029" i="10"/>
  <c r="O1030" i="10"/>
  <c r="O1031" i="10"/>
  <c r="O1032" i="10"/>
  <c r="O1033" i="10"/>
  <c r="O1034" i="10"/>
  <c r="O1035" i="10"/>
  <c r="O1036" i="10"/>
  <c r="O1037" i="10"/>
  <c r="O1038" i="10"/>
  <c r="O1039" i="10"/>
  <c r="O1040" i="10"/>
  <c r="O1041" i="10"/>
  <c r="O1042" i="10"/>
  <c r="O1043" i="10"/>
  <c r="O1044" i="10"/>
  <c r="O1045" i="10"/>
  <c r="O1046" i="10"/>
  <c r="O1047" i="10"/>
  <c r="O1048" i="10"/>
  <c r="O1049" i="10"/>
  <c r="O1050" i="10"/>
  <c r="O1051" i="10"/>
  <c r="O1052" i="10"/>
  <c r="O1053" i="10"/>
  <c r="O1054" i="10"/>
  <c r="O1055" i="10"/>
  <c r="O1056" i="10"/>
  <c r="O1057" i="10"/>
  <c r="O1058" i="10"/>
  <c r="O1059" i="10"/>
  <c r="O1060" i="10"/>
  <c r="O1061" i="10"/>
  <c r="O1062" i="10"/>
  <c r="O1063" i="10"/>
  <c r="O1064" i="10"/>
  <c r="O1065" i="10"/>
  <c r="O1066" i="10"/>
  <c r="O1067" i="10"/>
  <c r="O1068" i="10"/>
  <c r="O1069" i="10"/>
  <c r="O1070" i="10"/>
  <c r="O1071" i="10"/>
  <c r="O1072" i="10"/>
  <c r="O1073" i="10"/>
  <c r="O1074" i="10"/>
  <c r="O1075" i="10"/>
  <c r="O1076" i="10"/>
  <c r="O1077" i="10"/>
  <c r="O1078" i="10"/>
  <c r="O1079" i="10"/>
  <c r="O1080" i="10"/>
  <c r="O1081" i="10"/>
  <c r="O1082" i="10"/>
  <c r="O1083" i="10"/>
  <c r="O1084" i="10"/>
  <c r="O1085" i="10"/>
  <c r="O1086" i="10"/>
  <c r="O1087" i="10"/>
  <c r="O1088" i="10"/>
  <c r="O1089" i="10"/>
  <c r="O1090" i="10"/>
  <c r="O1091" i="10"/>
  <c r="O1092" i="10"/>
  <c r="O1093" i="10"/>
  <c r="O1094" i="10"/>
  <c r="O1095" i="10"/>
  <c r="O1096" i="10"/>
  <c r="O1097" i="10"/>
  <c r="O1098" i="10"/>
  <c r="O1099" i="10"/>
  <c r="O1100" i="10"/>
  <c r="O1101" i="10"/>
  <c r="O1102" i="10"/>
  <c r="O1103" i="10"/>
  <c r="O1104" i="10"/>
  <c r="O1105" i="10"/>
  <c r="O1106" i="10"/>
  <c r="O1107" i="10"/>
  <c r="O1108" i="10"/>
  <c r="O1109" i="10"/>
  <c r="O1110" i="10"/>
  <c r="O1111" i="10"/>
  <c r="O1112" i="10"/>
  <c r="O1113" i="10"/>
  <c r="O1114" i="10"/>
  <c r="O1115" i="10"/>
  <c r="O1116" i="10"/>
  <c r="O1117" i="10"/>
  <c r="O1118" i="10"/>
  <c r="O1119" i="10"/>
  <c r="O1120" i="10"/>
  <c r="O1121" i="10"/>
  <c r="O1122" i="10"/>
  <c r="O1123" i="10"/>
  <c r="O1124" i="10"/>
  <c r="O1125" i="10"/>
  <c r="O1126" i="10"/>
  <c r="O1127" i="10"/>
  <c r="O1128" i="10"/>
  <c r="O1129" i="10"/>
  <c r="O1130" i="10"/>
  <c r="O1131" i="10"/>
  <c r="O1132" i="10"/>
  <c r="O1133" i="10"/>
  <c r="O1134" i="10"/>
  <c r="O1135" i="10"/>
  <c r="O1136" i="10"/>
  <c r="O1137" i="10"/>
  <c r="O1138" i="10"/>
  <c r="O1139" i="10"/>
  <c r="O1140" i="10"/>
  <c r="O1141" i="10"/>
  <c r="O1142" i="10"/>
  <c r="O1143" i="10"/>
  <c r="O1144" i="10"/>
  <c r="O1145" i="10"/>
  <c r="O1146" i="10"/>
  <c r="O1147" i="10"/>
  <c r="O1148" i="10"/>
  <c r="O1149" i="10"/>
  <c r="O1150" i="10"/>
  <c r="O1151" i="10"/>
  <c r="O1152" i="10"/>
  <c r="O1153" i="10"/>
  <c r="O1154" i="10"/>
  <c r="O1155" i="10"/>
  <c r="O1156" i="10"/>
  <c r="O1157" i="10"/>
  <c r="O1158" i="10"/>
  <c r="O1159" i="10"/>
  <c r="O1160" i="10"/>
  <c r="O1161" i="10"/>
  <c r="O1162" i="10"/>
  <c r="O1163" i="10"/>
  <c r="O1164" i="10"/>
  <c r="O1165" i="10"/>
  <c r="O1166" i="10"/>
  <c r="O1167" i="10"/>
  <c r="O1168" i="10"/>
  <c r="O1169" i="10"/>
  <c r="O1170" i="10"/>
  <c r="O1171" i="10"/>
  <c r="O1172" i="10"/>
  <c r="O1173" i="10"/>
  <c r="O1174" i="10"/>
  <c r="O1175" i="10"/>
  <c r="O1176" i="10"/>
  <c r="O1177" i="10"/>
  <c r="O1178" i="10"/>
  <c r="O1179" i="10"/>
  <c r="O1180" i="10"/>
  <c r="O1181" i="10"/>
  <c r="O1182" i="10"/>
  <c r="O1183" i="10"/>
  <c r="O1184" i="10"/>
  <c r="O1185" i="10"/>
  <c r="O1186" i="10"/>
  <c r="O1187" i="10"/>
  <c r="O1188" i="10"/>
  <c r="O1189" i="10"/>
  <c r="O1190" i="10"/>
  <c r="O1191" i="10"/>
  <c r="O1192" i="10"/>
  <c r="O1193" i="10"/>
  <c r="O1194" i="10"/>
  <c r="O1195" i="10"/>
  <c r="O1196" i="10"/>
  <c r="O1197" i="10"/>
  <c r="O1198" i="10"/>
  <c r="O1199" i="10"/>
  <c r="O1200" i="10"/>
  <c r="O1201" i="10"/>
  <c r="O1202" i="10"/>
  <c r="O1203" i="10"/>
  <c r="O1204" i="10"/>
  <c r="O1205" i="10"/>
  <c r="O1206" i="10"/>
  <c r="O1207" i="10"/>
  <c r="O1208" i="10"/>
  <c r="O1209" i="10"/>
  <c r="O1210" i="10"/>
  <c r="O1211" i="10"/>
  <c r="O1212" i="10"/>
  <c r="O1213" i="10"/>
  <c r="O1214" i="10"/>
  <c r="O1215" i="10"/>
  <c r="O1216" i="10"/>
  <c r="O1217" i="10"/>
  <c r="O1218" i="10"/>
  <c r="O1219" i="10"/>
  <c r="O1220" i="10"/>
  <c r="O1221" i="10"/>
  <c r="O1222" i="10"/>
  <c r="O1223" i="10"/>
  <c r="O1224" i="10"/>
  <c r="O1225" i="10"/>
  <c r="O1226" i="10"/>
  <c r="O1227" i="10"/>
  <c r="O1228" i="10"/>
  <c r="O1229" i="10"/>
  <c r="O1230" i="10"/>
  <c r="O1231" i="10"/>
  <c r="O1232" i="10"/>
  <c r="O1233" i="10"/>
  <c r="O1234" i="10"/>
  <c r="O1235" i="10"/>
  <c r="O1236" i="10"/>
  <c r="O1237" i="10"/>
  <c r="O1238" i="10"/>
  <c r="O1239" i="10"/>
  <c r="O1240" i="10"/>
  <c r="O1241" i="10"/>
  <c r="O1242" i="10"/>
  <c r="O1243" i="10"/>
  <c r="O1244" i="10"/>
  <c r="O1245" i="10"/>
  <c r="O1246" i="10"/>
  <c r="O1247" i="10"/>
  <c r="O1248" i="10"/>
  <c r="O1249" i="10"/>
  <c r="O1250" i="10"/>
  <c r="O1251" i="10"/>
  <c r="O1252" i="10"/>
  <c r="O1253" i="10"/>
  <c r="O1254" i="10"/>
  <c r="O1255" i="10"/>
  <c r="O1256" i="10"/>
  <c r="O1257" i="10"/>
  <c r="O1258" i="10"/>
  <c r="O1259" i="10"/>
  <c r="O1260" i="10"/>
  <c r="O1261" i="10"/>
  <c r="O1262" i="10"/>
  <c r="O1263" i="10"/>
  <c r="O1264" i="10"/>
  <c r="O1265" i="10"/>
  <c r="O1266" i="10"/>
  <c r="O1267" i="10"/>
  <c r="O1268" i="10"/>
  <c r="O1269" i="10"/>
  <c r="O1270" i="10"/>
  <c r="O1271" i="10"/>
  <c r="O1272" i="10"/>
  <c r="O1273" i="10"/>
  <c r="O1274" i="10"/>
  <c r="O1275" i="10"/>
  <c r="O1276" i="10"/>
  <c r="O1277" i="10"/>
  <c r="O1278" i="10"/>
  <c r="O1279" i="10"/>
  <c r="O1280" i="10"/>
  <c r="O1281" i="10"/>
  <c r="O1282" i="10"/>
  <c r="O1283" i="10"/>
  <c r="O1284" i="10"/>
  <c r="O1285" i="10"/>
  <c r="O1286" i="10"/>
  <c r="O1287" i="10"/>
  <c r="O1288" i="10"/>
  <c r="O1289" i="10"/>
  <c r="O1290" i="10"/>
  <c r="O1291" i="10"/>
  <c r="O1292" i="10"/>
  <c r="O1293" i="10"/>
  <c r="O1294" i="10"/>
  <c r="O1295" i="10"/>
  <c r="O1296" i="10"/>
  <c r="O1297" i="10"/>
  <c r="O1298" i="10"/>
  <c r="O1299" i="10"/>
  <c r="O1300" i="10"/>
  <c r="O1301" i="10"/>
  <c r="O1302" i="10"/>
  <c r="O1303" i="10"/>
  <c r="O1304" i="10"/>
  <c r="O1305" i="10"/>
  <c r="O1306" i="10"/>
  <c r="O1307" i="10"/>
  <c r="O1308" i="10"/>
  <c r="O1309" i="10"/>
  <c r="O1310" i="10"/>
  <c r="O1311" i="10"/>
  <c r="O1312" i="10"/>
  <c r="O1313" i="10"/>
  <c r="O1314" i="10"/>
  <c r="O1315" i="10"/>
  <c r="O1316" i="10"/>
  <c r="O1317" i="10"/>
  <c r="O1318" i="10"/>
  <c r="O1319" i="10"/>
  <c r="O1320" i="10"/>
  <c r="O1321" i="10"/>
  <c r="O1322" i="10"/>
  <c r="O1323" i="10"/>
  <c r="O1324" i="10"/>
  <c r="O1325" i="10"/>
  <c r="O1326" i="10"/>
  <c r="O1327" i="10"/>
  <c r="O1328" i="10"/>
  <c r="O1329" i="10"/>
  <c r="O1330" i="10"/>
  <c r="O1331" i="10"/>
  <c r="O1332" i="10"/>
  <c r="O1333" i="10"/>
  <c r="O1334" i="10"/>
  <c r="O1335" i="10"/>
  <c r="O1336" i="10"/>
  <c r="O1337" i="10"/>
  <c r="O1338" i="10"/>
  <c r="O1339" i="10"/>
  <c r="O1340" i="10"/>
  <c r="O1341" i="10"/>
  <c r="O1342" i="10"/>
  <c r="O1343" i="10"/>
  <c r="O1344" i="10"/>
  <c r="O1345" i="10"/>
  <c r="O1346" i="10"/>
  <c r="O1347" i="10"/>
  <c r="O1348" i="10"/>
  <c r="O1349" i="10"/>
  <c r="O1350" i="10"/>
  <c r="O1351" i="10"/>
  <c r="O1352" i="10"/>
  <c r="O1353" i="10"/>
  <c r="O1354" i="10"/>
  <c r="O1355" i="10"/>
  <c r="O1356" i="10"/>
  <c r="O1357" i="10"/>
  <c r="O1358" i="10"/>
  <c r="O1359" i="10"/>
  <c r="O1360" i="10"/>
  <c r="O1361" i="10"/>
  <c r="O1362" i="10"/>
  <c r="O1363" i="10"/>
  <c r="O1364" i="10"/>
  <c r="O1365" i="10"/>
  <c r="O1366" i="10"/>
  <c r="O1367" i="10"/>
  <c r="O1368" i="10"/>
  <c r="O1369" i="10"/>
  <c r="O1370" i="10"/>
  <c r="O1371" i="10"/>
  <c r="O1372" i="10"/>
  <c r="O1373" i="10"/>
  <c r="O1374" i="10"/>
  <c r="O1375" i="10"/>
  <c r="O1376" i="10"/>
  <c r="O1377" i="10"/>
  <c r="O1378" i="10"/>
  <c r="O1379" i="10"/>
  <c r="O1380" i="10"/>
  <c r="O1381" i="10"/>
  <c r="O1382" i="10"/>
  <c r="O1383" i="10"/>
  <c r="O1384" i="10"/>
  <c r="O1385" i="10"/>
  <c r="O1386" i="10"/>
  <c r="O1387" i="10"/>
  <c r="O1388" i="10"/>
  <c r="O1389" i="10"/>
  <c r="O1390" i="10"/>
  <c r="O1391" i="10"/>
  <c r="O1392" i="10"/>
  <c r="O1393" i="10"/>
  <c r="O1394" i="10"/>
  <c r="O1395" i="10"/>
  <c r="O1396" i="10"/>
  <c r="O1397" i="10"/>
  <c r="O1398" i="10"/>
  <c r="O1399" i="10"/>
  <c r="O1400" i="10"/>
  <c r="O1401" i="10"/>
  <c r="O1402" i="10"/>
  <c r="O1403" i="10"/>
  <c r="O1404" i="10"/>
  <c r="O1405" i="10"/>
  <c r="O1406" i="10"/>
  <c r="O1407" i="10"/>
  <c r="O1408" i="10"/>
  <c r="O1409" i="10"/>
  <c r="O1410" i="10"/>
  <c r="O1411" i="10"/>
  <c r="O1412" i="10"/>
  <c r="O1413" i="10"/>
  <c r="O1414" i="10"/>
  <c r="O1415" i="10"/>
  <c r="O1416" i="10"/>
  <c r="O1417" i="10"/>
  <c r="O1418" i="10"/>
  <c r="O1419" i="10"/>
  <c r="O1420" i="10"/>
  <c r="O1421" i="10"/>
  <c r="O1422" i="10"/>
  <c r="O1423" i="10"/>
  <c r="O1424" i="10"/>
  <c r="O1425" i="10"/>
  <c r="O1426" i="10"/>
  <c r="O1427" i="10"/>
  <c r="O1428" i="10"/>
  <c r="O1429" i="10"/>
  <c r="O1430" i="10"/>
  <c r="O1431" i="10"/>
  <c r="O1432" i="10"/>
  <c r="O1433" i="10"/>
  <c r="O1434" i="10"/>
  <c r="O1435" i="10"/>
  <c r="O1436" i="10"/>
  <c r="O1437" i="10"/>
  <c r="O1438" i="10"/>
  <c r="O1439" i="10"/>
  <c r="O1440" i="10"/>
  <c r="O1441" i="10"/>
  <c r="O1442" i="10"/>
  <c r="O1443" i="10"/>
  <c r="O1444" i="10"/>
  <c r="O1445" i="10"/>
  <c r="O1446" i="10"/>
  <c r="O1447" i="10"/>
  <c r="O1448" i="10"/>
  <c r="O1449" i="10"/>
  <c r="O1450" i="10"/>
  <c r="O1451" i="10"/>
  <c r="O1452" i="10"/>
  <c r="O1453" i="10"/>
  <c r="O1454" i="10"/>
  <c r="O1455" i="10"/>
  <c r="O1456" i="10"/>
  <c r="O1457" i="10"/>
  <c r="O1458" i="10"/>
  <c r="O1459" i="10"/>
  <c r="O1460" i="10"/>
  <c r="O1461" i="10"/>
  <c r="O1462" i="10"/>
  <c r="O1463" i="10"/>
  <c r="O1464" i="10"/>
  <c r="O1465" i="10"/>
  <c r="O1466" i="10"/>
  <c r="O1467" i="10"/>
  <c r="O1468" i="10"/>
  <c r="O1469" i="10"/>
  <c r="O1470" i="10"/>
  <c r="O1471" i="10"/>
  <c r="O1472" i="10"/>
  <c r="O1473" i="10"/>
  <c r="O1474" i="10"/>
  <c r="O1475" i="10"/>
  <c r="O1476" i="10"/>
  <c r="O1477" i="10"/>
  <c r="O1478" i="10"/>
  <c r="O1479" i="10"/>
  <c r="O1480" i="10"/>
  <c r="O1481" i="10"/>
  <c r="O1482" i="10"/>
  <c r="O1483" i="10"/>
  <c r="O1484" i="10"/>
  <c r="O1485" i="10"/>
  <c r="O1486" i="10"/>
  <c r="O1487" i="10"/>
  <c r="O1488" i="10"/>
  <c r="O1489" i="10"/>
  <c r="O1490" i="10"/>
  <c r="O1491" i="10"/>
  <c r="O1492" i="10"/>
  <c r="O1493" i="10"/>
  <c r="O1494" i="10"/>
  <c r="O1495" i="10"/>
  <c r="O1496" i="10"/>
  <c r="O1497" i="10"/>
  <c r="O1498" i="10"/>
  <c r="O1499" i="10"/>
  <c r="O1500" i="10"/>
  <c r="O1501" i="10"/>
  <c r="O1502" i="10"/>
  <c r="O1503" i="10"/>
  <c r="O1504" i="10"/>
  <c r="O1505" i="10"/>
  <c r="O1506" i="10"/>
  <c r="O1507" i="10"/>
  <c r="O1508" i="10"/>
  <c r="O1509" i="10"/>
  <c r="O1510" i="10"/>
  <c r="O1511" i="10"/>
  <c r="O1512" i="10"/>
  <c r="O1513" i="10"/>
  <c r="O1514" i="10"/>
  <c r="O1515" i="10"/>
  <c r="O1516" i="10"/>
  <c r="O1517" i="10"/>
  <c r="O1518" i="10"/>
  <c r="O1519" i="10"/>
  <c r="O1520" i="10"/>
  <c r="O1521" i="10"/>
  <c r="O1522" i="10"/>
  <c r="O1523" i="10"/>
  <c r="O1524" i="10"/>
  <c r="O1525" i="10"/>
  <c r="O1526" i="10"/>
  <c r="O1527" i="10"/>
  <c r="O1528" i="10"/>
  <c r="O1529" i="10"/>
  <c r="O1530" i="10"/>
  <c r="O1531" i="10"/>
  <c r="O1532" i="10"/>
  <c r="O1533" i="10"/>
  <c r="O1534" i="10"/>
  <c r="O1535" i="10"/>
  <c r="O1536" i="10"/>
  <c r="O1537" i="10"/>
  <c r="O1538" i="10"/>
  <c r="O1539" i="10"/>
  <c r="O1540" i="10"/>
  <c r="O1541" i="10"/>
  <c r="O1542" i="10"/>
  <c r="O1543" i="10"/>
  <c r="O1544" i="10"/>
  <c r="O1545" i="10"/>
  <c r="O1546" i="10"/>
  <c r="O1547" i="10"/>
  <c r="O1548" i="10"/>
  <c r="O1549" i="10"/>
  <c r="O1550" i="10"/>
  <c r="O1551" i="10"/>
  <c r="O1552" i="10"/>
  <c r="O1553" i="10"/>
  <c r="O1554" i="10"/>
  <c r="O1555" i="10"/>
  <c r="O1556" i="10"/>
  <c r="O1557" i="10"/>
  <c r="O1558" i="10"/>
  <c r="O1559" i="10"/>
  <c r="O1560" i="10"/>
  <c r="O1561" i="10"/>
  <c r="O1562" i="10"/>
  <c r="O1563" i="10"/>
  <c r="O1564" i="10"/>
  <c r="O1565" i="10"/>
  <c r="O1566" i="10"/>
  <c r="O1567" i="10"/>
  <c r="O1568" i="10"/>
  <c r="O1569" i="10"/>
  <c r="O1570" i="10"/>
  <c r="O1571" i="10"/>
  <c r="O1572" i="10"/>
  <c r="O1573" i="10"/>
  <c r="O1574" i="10"/>
  <c r="O1575" i="10"/>
  <c r="O1576" i="10"/>
  <c r="O1577" i="10"/>
  <c r="O1578" i="10"/>
  <c r="O1579" i="10"/>
  <c r="O1580" i="10"/>
  <c r="O1581" i="10"/>
  <c r="O1582" i="10"/>
  <c r="O1583" i="10"/>
  <c r="O1584" i="10"/>
  <c r="O1585" i="10"/>
  <c r="O1586" i="10"/>
  <c r="O1587" i="10"/>
  <c r="O1588" i="10"/>
  <c r="O1589" i="10"/>
  <c r="O1590" i="10"/>
  <c r="O1591" i="10"/>
  <c r="O1592" i="10"/>
  <c r="O1593" i="10"/>
  <c r="O1594" i="10"/>
  <c r="O1595" i="10"/>
  <c r="O1596" i="10"/>
  <c r="O1597" i="10"/>
  <c r="O1598" i="10"/>
  <c r="O1599" i="10"/>
  <c r="O1600" i="10"/>
  <c r="O1601" i="10"/>
  <c r="O1602" i="10"/>
  <c r="O1603" i="10"/>
  <c r="O1604" i="10"/>
  <c r="O1605" i="10"/>
  <c r="O1606" i="10"/>
  <c r="O1607" i="10"/>
  <c r="O1608" i="10"/>
  <c r="O1609" i="10"/>
  <c r="O1610" i="10"/>
  <c r="O1611" i="10"/>
  <c r="O1612" i="10"/>
  <c r="O1613" i="10"/>
  <c r="O1614" i="10"/>
  <c r="O1615" i="10"/>
  <c r="O1616" i="10"/>
  <c r="O1617" i="10"/>
  <c r="O1618" i="10"/>
  <c r="O1619" i="10"/>
  <c r="O1620" i="10"/>
  <c r="O1621" i="10"/>
  <c r="O1622" i="10"/>
  <c r="O1623" i="10"/>
  <c r="O1624" i="10"/>
  <c r="O1625" i="10"/>
  <c r="O1626" i="10"/>
  <c r="O1627" i="10"/>
  <c r="O1628" i="10"/>
  <c r="O1629" i="10"/>
  <c r="O1630" i="10"/>
  <c r="O1631" i="10"/>
  <c r="O1632" i="10"/>
  <c r="O1633" i="10"/>
  <c r="O1634" i="10"/>
  <c r="O1635" i="10"/>
  <c r="O1636" i="10"/>
  <c r="O1637" i="10"/>
  <c r="O1638" i="10"/>
  <c r="O1639" i="10"/>
  <c r="O1640" i="10"/>
  <c r="O1641" i="10"/>
  <c r="O1642" i="10"/>
  <c r="O1643" i="10"/>
  <c r="O1644" i="10"/>
  <c r="O1645" i="10"/>
  <c r="O1646" i="10"/>
  <c r="O1647" i="10"/>
  <c r="O1648" i="10"/>
  <c r="O1649" i="10"/>
  <c r="O1650" i="10"/>
  <c r="O1651" i="10"/>
  <c r="O1652" i="10"/>
  <c r="O1653" i="10"/>
  <c r="O1654" i="10"/>
  <c r="O1655" i="10"/>
  <c r="O1656" i="10"/>
  <c r="O1657" i="10"/>
  <c r="O1658" i="10"/>
  <c r="O1659" i="10"/>
  <c r="O1660" i="10"/>
  <c r="O1661" i="10"/>
  <c r="O1662" i="10"/>
  <c r="O1663" i="10"/>
  <c r="O1664" i="10"/>
  <c r="O1665" i="10"/>
  <c r="O1666" i="10"/>
  <c r="O1667" i="10"/>
  <c r="O1668" i="10"/>
  <c r="O1669" i="10"/>
  <c r="O1670" i="10"/>
  <c r="O1671" i="10"/>
  <c r="O1672" i="10"/>
  <c r="O1673" i="10"/>
  <c r="O1674" i="10"/>
  <c r="O1675" i="10"/>
  <c r="O1676" i="10"/>
  <c r="O1677" i="10"/>
  <c r="O1678" i="10"/>
  <c r="O1679" i="10"/>
  <c r="O1680" i="10"/>
  <c r="O1681" i="10"/>
  <c r="O1682" i="10"/>
  <c r="O1683" i="10"/>
  <c r="O1684" i="10"/>
  <c r="O1685" i="10"/>
  <c r="O1686" i="10"/>
  <c r="O1687" i="10"/>
  <c r="O1688" i="10"/>
  <c r="O1689" i="10"/>
  <c r="O1690" i="10"/>
  <c r="O1691" i="10"/>
  <c r="O1692" i="10"/>
  <c r="O1693" i="10"/>
  <c r="O1694" i="10"/>
  <c r="O1695" i="10"/>
  <c r="O1696" i="10"/>
  <c r="O1697" i="10"/>
  <c r="O1698" i="10"/>
  <c r="O1699" i="10"/>
  <c r="O1700" i="10"/>
  <c r="O1701" i="10"/>
  <c r="O1702" i="10"/>
  <c r="O1703" i="10"/>
  <c r="O1704" i="10"/>
  <c r="O1705" i="10"/>
  <c r="O1706" i="10"/>
  <c r="O1707" i="10"/>
  <c r="O1708" i="10"/>
  <c r="O1709" i="10"/>
  <c r="O1710" i="10"/>
  <c r="O1711" i="10"/>
  <c r="O1712" i="10"/>
  <c r="O1713" i="10"/>
  <c r="O1714" i="10"/>
  <c r="O1715" i="10"/>
  <c r="O1716" i="10"/>
  <c r="O1717" i="10"/>
  <c r="O1718" i="10"/>
  <c r="O1719" i="10"/>
  <c r="O1720" i="10"/>
  <c r="O1721" i="10"/>
  <c r="O1722" i="10"/>
  <c r="O1723" i="10"/>
  <c r="O1724" i="10"/>
  <c r="O1725" i="10"/>
  <c r="O1726" i="10"/>
  <c r="O1727" i="10"/>
  <c r="O1728" i="10"/>
  <c r="O1729" i="10"/>
  <c r="O1730" i="10"/>
  <c r="O1731" i="10"/>
  <c r="O1732" i="10"/>
  <c r="O1733" i="10"/>
  <c r="O1734" i="10"/>
  <c r="O1735" i="10"/>
  <c r="O1736" i="10"/>
  <c r="O1737" i="10"/>
  <c r="O1738" i="10"/>
  <c r="O1739" i="10"/>
  <c r="O1740" i="10"/>
  <c r="O1741" i="10"/>
  <c r="O1742" i="10"/>
  <c r="O1743" i="10"/>
  <c r="O1744" i="10"/>
  <c r="O1745" i="10"/>
  <c r="O1746" i="10"/>
  <c r="O1747" i="10"/>
  <c r="O1748" i="10"/>
  <c r="O1749" i="10"/>
  <c r="O1750" i="10"/>
  <c r="O1751" i="10"/>
  <c r="O1752" i="10"/>
  <c r="O1753" i="10"/>
  <c r="O1754" i="10"/>
  <c r="O1755" i="10"/>
  <c r="O1756" i="10"/>
  <c r="O1757" i="10"/>
  <c r="O1758" i="10"/>
  <c r="O1759" i="10"/>
  <c r="O1760" i="10"/>
  <c r="O1761" i="10"/>
  <c r="O1762" i="10"/>
  <c r="O1763" i="10"/>
  <c r="O1764" i="10"/>
  <c r="O1765" i="10"/>
  <c r="O1766" i="10"/>
  <c r="O1767" i="10"/>
  <c r="O1768" i="10"/>
  <c r="O1769" i="10"/>
  <c r="O1770" i="10"/>
  <c r="O1771" i="10"/>
  <c r="O1772" i="10"/>
  <c r="O1773" i="10"/>
  <c r="O1774" i="10"/>
  <c r="O1775" i="10"/>
  <c r="O1776" i="10"/>
  <c r="O1777" i="10"/>
  <c r="O1778" i="10"/>
  <c r="O1779" i="10"/>
  <c r="O1780" i="10"/>
  <c r="O1781" i="10"/>
  <c r="O1782" i="10"/>
  <c r="O1783" i="10"/>
  <c r="O1784" i="10"/>
  <c r="O1785" i="10"/>
  <c r="O1786" i="10"/>
  <c r="O1787" i="10"/>
  <c r="O1788" i="10"/>
  <c r="O1789" i="10"/>
  <c r="O1790" i="10"/>
  <c r="O1791" i="10"/>
  <c r="O1792" i="10"/>
  <c r="O1793" i="10"/>
  <c r="O1794" i="10"/>
  <c r="O1795" i="10"/>
  <c r="O1796" i="10"/>
  <c r="O1797" i="10"/>
  <c r="O1798" i="10"/>
  <c r="O1799" i="10"/>
  <c r="O1800" i="10"/>
  <c r="O1801" i="10"/>
  <c r="O1802" i="10"/>
  <c r="O1803" i="10"/>
  <c r="O1804" i="10"/>
  <c r="O1805" i="10"/>
  <c r="O1806" i="10"/>
  <c r="O1807" i="10"/>
  <c r="O1808" i="10"/>
  <c r="O1809" i="10"/>
  <c r="O1810" i="10"/>
  <c r="O1811" i="10"/>
  <c r="O1812" i="10"/>
  <c r="O1813" i="10"/>
  <c r="O1814" i="10"/>
  <c r="O1815" i="10"/>
  <c r="O1816" i="10"/>
  <c r="O1817" i="10"/>
  <c r="O1818" i="10"/>
  <c r="O1819" i="10"/>
  <c r="O1820" i="10"/>
  <c r="O1821" i="10"/>
  <c r="O1822" i="10"/>
  <c r="O1823" i="10"/>
  <c r="O1824" i="10"/>
  <c r="O1825" i="10"/>
  <c r="O1826" i="10"/>
  <c r="O1827" i="10"/>
  <c r="O1828" i="10"/>
  <c r="O1829" i="10"/>
  <c r="O1830" i="10"/>
  <c r="O1831" i="10"/>
  <c r="O1832" i="10"/>
  <c r="O1833" i="10"/>
  <c r="O1834" i="10"/>
  <c r="O1835" i="10"/>
  <c r="O1836" i="10"/>
  <c r="O1837" i="10"/>
  <c r="O1838" i="10"/>
  <c r="O1839" i="10"/>
  <c r="O1840" i="10"/>
  <c r="O1841" i="10"/>
  <c r="O1842" i="10"/>
  <c r="O1843" i="10"/>
  <c r="O1844" i="10"/>
  <c r="O1845" i="10"/>
  <c r="O1846" i="10"/>
  <c r="O1847" i="10"/>
  <c r="O1848" i="10"/>
  <c r="O1849" i="10"/>
  <c r="O1850" i="10"/>
  <c r="O1851" i="10"/>
  <c r="O1852" i="10"/>
  <c r="O1853" i="10"/>
  <c r="O1854" i="10"/>
  <c r="O1855" i="10"/>
  <c r="O1856" i="10"/>
  <c r="O1857" i="10"/>
  <c r="O1858" i="10"/>
  <c r="O1859" i="10"/>
  <c r="O1860" i="10"/>
  <c r="O1861" i="10"/>
  <c r="O1862" i="10"/>
  <c r="O1863" i="10"/>
  <c r="O1864" i="10"/>
  <c r="O1865" i="10"/>
  <c r="O1866" i="10"/>
  <c r="O1867" i="10"/>
  <c r="O1868" i="10"/>
  <c r="O1869" i="10"/>
  <c r="O1870" i="10"/>
  <c r="O1871" i="10"/>
  <c r="O1872" i="10"/>
  <c r="O1873" i="10"/>
  <c r="O1874" i="10"/>
  <c r="O1875" i="10"/>
  <c r="O1876" i="10"/>
  <c r="O1877" i="10"/>
  <c r="O1878" i="10"/>
  <c r="O1879" i="10"/>
  <c r="O1880" i="10"/>
  <c r="O1881" i="10"/>
  <c r="O1882" i="10"/>
  <c r="O1883" i="10"/>
  <c r="O1884" i="10"/>
  <c r="O1885" i="10"/>
  <c r="O1886" i="10"/>
  <c r="O1887" i="10"/>
  <c r="O1888" i="10"/>
  <c r="O1889" i="10"/>
  <c r="O1890" i="10"/>
  <c r="O1891" i="10"/>
  <c r="O1892" i="10"/>
  <c r="O1893" i="10"/>
  <c r="O1894" i="10"/>
  <c r="O1895" i="10"/>
  <c r="O1896" i="10"/>
  <c r="O1897" i="10"/>
  <c r="O1898" i="10"/>
  <c r="O1899" i="10"/>
  <c r="O1900" i="10"/>
  <c r="O1901" i="10"/>
  <c r="O1902" i="10"/>
  <c r="O1903" i="10"/>
  <c r="O1904" i="10"/>
  <c r="O1905" i="10"/>
  <c r="O1906" i="10"/>
  <c r="O1907" i="10"/>
  <c r="O1908" i="10"/>
  <c r="O1909" i="10"/>
  <c r="O1910" i="10"/>
  <c r="O1911" i="10"/>
  <c r="O1912" i="10"/>
  <c r="O1913" i="10"/>
  <c r="O1914" i="10"/>
  <c r="O1915" i="10"/>
  <c r="O1916" i="10"/>
  <c r="O1917" i="10"/>
  <c r="O1918" i="10"/>
  <c r="O1919" i="10"/>
  <c r="O1920" i="10"/>
  <c r="O1921" i="10"/>
  <c r="O1922" i="10"/>
  <c r="O1923" i="10"/>
  <c r="O1924" i="10"/>
  <c r="O1925" i="10"/>
  <c r="O1926" i="10"/>
  <c r="O1927" i="10"/>
  <c r="O1928" i="10"/>
  <c r="O1929" i="10"/>
  <c r="O1930" i="10"/>
  <c r="O1931" i="10"/>
  <c r="O1932" i="10"/>
  <c r="O1933" i="10"/>
  <c r="O1934" i="10"/>
  <c r="O1935" i="10"/>
  <c r="O1936" i="10"/>
  <c r="O1937" i="10"/>
  <c r="O1938" i="10"/>
  <c r="O1939" i="10"/>
  <c r="O1940" i="10"/>
  <c r="O1941" i="10"/>
  <c r="O1942" i="10"/>
  <c r="O1943" i="10"/>
  <c r="O1944" i="10"/>
  <c r="O1945" i="10"/>
  <c r="O1946" i="10"/>
  <c r="O1947" i="10"/>
  <c r="O1948" i="10"/>
  <c r="O1949" i="10"/>
  <c r="O1950" i="10"/>
  <c r="O1951" i="10"/>
  <c r="O1952" i="10"/>
  <c r="O1953" i="10"/>
  <c r="O1954" i="10"/>
  <c r="O1955" i="10"/>
  <c r="O1956" i="10"/>
  <c r="O1957" i="10"/>
  <c r="O1958" i="10"/>
  <c r="O1959" i="10"/>
  <c r="O1960" i="10"/>
  <c r="O1961" i="10"/>
  <c r="O1962" i="10"/>
  <c r="O1963" i="10"/>
  <c r="O1964" i="10"/>
  <c r="O1965" i="10"/>
  <c r="O1966" i="10"/>
  <c r="O1967" i="10"/>
  <c r="O1968" i="10"/>
  <c r="O1969" i="10"/>
  <c r="O1970" i="10"/>
  <c r="O1971" i="10"/>
  <c r="O1972" i="10"/>
  <c r="O1973" i="10"/>
  <c r="O1974" i="10"/>
  <c r="O1975" i="10"/>
  <c r="O1976" i="10"/>
  <c r="O1977" i="10"/>
  <c r="O1978" i="10"/>
  <c r="O1979" i="10"/>
  <c r="O1980" i="10"/>
  <c r="O1981" i="10"/>
  <c r="O1982" i="10"/>
  <c r="O1983" i="10"/>
  <c r="O1984" i="10"/>
  <c r="O1985" i="10"/>
  <c r="O1986" i="10"/>
  <c r="O1987" i="10"/>
  <c r="O1988" i="10"/>
  <c r="O1989" i="10"/>
  <c r="O1990" i="10"/>
  <c r="O1991" i="10"/>
  <c r="O1992" i="10"/>
  <c r="O1993" i="10"/>
  <c r="O1994" i="10"/>
  <c r="O1995" i="10"/>
  <c r="O1996" i="10"/>
  <c r="O1997" i="10"/>
  <c r="O1998" i="10"/>
  <c r="O1999" i="10"/>
  <c r="O2000" i="10"/>
  <c r="O2001" i="10"/>
  <c r="O2002" i="10"/>
  <c r="O2003" i="10"/>
  <c r="O2004" i="10"/>
  <c r="O2005" i="10"/>
  <c r="O2006" i="10"/>
  <c r="O2007" i="10"/>
  <c r="O2008" i="10"/>
  <c r="O2009" i="10"/>
  <c r="O2010" i="10"/>
  <c r="O2011" i="10"/>
  <c r="O2012" i="10"/>
  <c r="O2013" i="10"/>
  <c r="O2014" i="10"/>
  <c r="O2015" i="10"/>
  <c r="O2016" i="10"/>
  <c r="O2017" i="10"/>
  <c r="O2018" i="10"/>
  <c r="O2019" i="10"/>
  <c r="O2020" i="10"/>
  <c r="O2021" i="10"/>
  <c r="O2022" i="10"/>
  <c r="O2023" i="10"/>
  <c r="O2024" i="10"/>
  <c r="O2025" i="10"/>
  <c r="O2026" i="10"/>
  <c r="O2027" i="10"/>
  <c r="O2028" i="10"/>
  <c r="O2029" i="10"/>
  <c r="O2030" i="10"/>
  <c r="O2031" i="10"/>
  <c r="O2032" i="10"/>
  <c r="O2033" i="10"/>
  <c r="O2034" i="10"/>
  <c r="O2035" i="10"/>
  <c r="O2036" i="10"/>
  <c r="O2037" i="10"/>
  <c r="O2038" i="10"/>
  <c r="O2039" i="10"/>
  <c r="O2040" i="10"/>
  <c r="O2041" i="10"/>
  <c r="O2042" i="10"/>
  <c r="O2043" i="10"/>
  <c r="O2044" i="10"/>
  <c r="O2045" i="10"/>
  <c r="O2046" i="10"/>
  <c r="O2047" i="10"/>
  <c r="O2048" i="10"/>
  <c r="O2049" i="10"/>
  <c r="O2050" i="10"/>
  <c r="O2051" i="10"/>
  <c r="O2052" i="10"/>
  <c r="O2053" i="10"/>
  <c r="O2054" i="10"/>
  <c r="O2055" i="10"/>
  <c r="O2056" i="10"/>
  <c r="O2057" i="10"/>
  <c r="O2058" i="10"/>
  <c r="O2059" i="10"/>
  <c r="O2060" i="10"/>
  <c r="O2061" i="10"/>
  <c r="O2062" i="10"/>
  <c r="O2063" i="10"/>
  <c r="O2064" i="10"/>
  <c r="O2065" i="10"/>
  <c r="O2066" i="10"/>
  <c r="O2067" i="10"/>
  <c r="O2068" i="10"/>
  <c r="O2069" i="10"/>
  <c r="O2070" i="10"/>
  <c r="O2071" i="10"/>
  <c r="O2072" i="10"/>
  <c r="O2073" i="10"/>
  <c r="O2074" i="10"/>
  <c r="O2075" i="10"/>
  <c r="O2076" i="10"/>
  <c r="O2077" i="10"/>
  <c r="O2078" i="10"/>
  <c r="O2079" i="10"/>
  <c r="O2080" i="10"/>
  <c r="O2081" i="10"/>
  <c r="O2082" i="10"/>
  <c r="O2083" i="10"/>
  <c r="O2084" i="10"/>
  <c r="O2085" i="10"/>
  <c r="O2086" i="10"/>
  <c r="O2087" i="10"/>
  <c r="O2088" i="10"/>
  <c r="O2089" i="10"/>
  <c r="O2090" i="10"/>
  <c r="O2091" i="10"/>
  <c r="O2092" i="10"/>
  <c r="O2093" i="10"/>
  <c r="O2094" i="10"/>
  <c r="O2095" i="10"/>
  <c r="O2096" i="10"/>
  <c r="O2097" i="10"/>
  <c r="O2098" i="10"/>
  <c r="O2099" i="10"/>
  <c r="O2100" i="10"/>
  <c r="O2101" i="10"/>
  <c r="O2102" i="10"/>
  <c r="O2103" i="10"/>
  <c r="O2104" i="10"/>
  <c r="O2105" i="10"/>
  <c r="O2106" i="10"/>
  <c r="O2107" i="10"/>
  <c r="O2108" i="10"/>
  <c r="O2109" i="10"/>
  <c r="O2110" i="10"/>
  <c r="O2111" i="10"/>
  <c r="O2112" i="10"/>
  <c r="O2113" i="10"/>
  <c r="O2114" i="10"/>
  <c r="O2115" i="10"/>
  <c r="O2116" i="10"/>
  <c r="O2117" i="10"/>
  <c r="O2118" i="10"/>
  <c r="O2119" i="10"/>
  <c r="O2120" i="10"/>
  <c r="O2121" i="10"/>
  <c r="O2122" i="10"/>
  <c r="O2123" i="10"/>
  <c r="O2124" i="10"/>
  <c r="O2125" i="10"/>
  <c r="O2126" i="10"/>
  <c r="O2127" i="10"/>
  <c r="O2128" i="10"/>
  <c r="O2129" i="10"/>
  <c r="O2130" i="10"/>
  <c r="O2131" i="10"/>
  <c r="O2132" i="10"/>
  <c r="O2133" i="10"/>
  <c r="O2134" i="10"/>
  <c r="O2135" i="10"/>
  <c r="O2136" i="10"/>
  <c r="O2137" i="10"/>
  <c r="O2138" i="10"/>
  <c r="O2139" i="10"/>
  <c r="O2140" i="10"/>
  <c r="O2141" i="10"/>
  <c r="O2142" i="10"/>
  <c r="O2143" i="10"/>
  <c r="O2144" i="10"/>
  <c r="O2145" i="10"/>
  <c r="O2146" i="10"/>
  <c r="O2147" i="10"/>
  <c r="O2148" i="10"/>
  <c r="O2149" i="10"/>
  <c r="O2150" i="10"/>
  <c r="O2151" i="10"/>
  <c r="O2152" i="10"/>
  <c r="O2153" i="10"/>
  <c r="O2154" i="10"/>
  <c r="O2155" i="10"/>
  <c r="O2156" i="10"/>
  <c r="O2157" i="10"/>
  <c r="O2158" i="10"/>
  <c r="O2159" i="10"/>
  <c r="O2160" i="10"/>
  <c r="O2161" i="10"/>
  <c r="O2162" i="10"/>
  <c r="O2163" i="10"/>
  <c r="O2164" i="10"/>
  <c r="O2165" i="10"/>
  <c r="O2166" i="10"/>
  <c r="O2167" i="10"/>
  <c r="O2168" i="10"/>
  <c r="O2169" i="10"/>
  <c r="O2170" i="10"/>
  <c r="O2171" i="10"/>
  <c r="O2172" i="10"/>
  <c r="O2173" i="10"/>
  <c r="O2174" i="10"/>
  <c r="O2175" i="10"/>
  <c r="O2176" i="10"/>
  <c r="O2177" i="10"/>
  <c r="O2178" i="10"/>
  <c r="O2179" i="10"/>
  <c r="O2180" i="10"/>
  <c r="O2181" i="10"/>
  <c r="O2182" i="10"/>
  <c r="O2183" i="10"/>
  <c r="O2184" i="10"/>
  <c r="O2185" i="10"/>
  <c r="O2186" i="10"/>
  <c r="O2187" i="10"/>
  <c r="O2188" i="10"/>
  <c r="O2189" i="10"/>
  <c r="O2190" i="10"/>
  <c r="O2191" i="10"/>
  <c r="O2192" i="10"/>
  <c r="O2193" i="10"/>
  <c r="O2194" i="10"/>
  <c r="O2195" i="10"/>
  <c r="O2196" i="10"/>
  <c r="O2197" i="10"/>
  <c r="O2198" i="10"/>
  <c r="O2199" i="10"/>
  <c r="O2200" i="10"/>
  <c r="O2201" i="10"/>
  <c r="O2202" i="10"/>
  <c r="O2203" i="10"/>
  <c r="O2204" i="10"/>
  <c r="O2205" i="10"/>
  <c r="O2206" i="10"/>
  <c r="O2207" i="10"/>
  <c r="O2208" i="10"/>
  <c r="O2209" i="10"/>
  <c r="O2210" i="10"/>
  <c r="O2211" i="10"/>
  <c r="O2212" i="10"/>
  <c r="O2213" i="10"/>
  <c r="O2214" i="10"/>
  <c r="O2215" i="10"/>
  <c r="O2216" i="10"/>
  <c r="O2217" i="10"/>
  <c r="O2218" i="10"/>
  <c r="O2219" i="10"/>
  <c r="O2220" i="10"/>
  <c r="O2221" i="10"/>
  <c r="O2222" i="10"/>
  <c r="O2223" i="10"/>
  <c r="O2224" i="10"/>
  <c r="O2225" i="10"/>
  <c r="O2226" i="10"/>
  <c r="O2227" i="10"/>
  <c r="O2228" i="10"/>
  <c r="O2229" i="10"/>
  <c r="O2230" i="10"/>
  <c r="O2231" i="10"/>
  <c r="O2232" i="10"/>
  <c r="O2233" i="10"/>
  <c r="O2234" i="10"/>
  <c r="O2235" i="10"/>
  <c r="O2236" i="10"/>
  <c r="O2237" i="10"/>
  <c r="O2238" i="10"/>
  <c r="O2239" i="10"/>
  <c r="O2240" i="10"/>
  <c r="O2241" i="10"/>
  <c r="O2242" i="10"/>
  <c r="O2243" i="10"/>
  <c r="O2244" i="10"/>
  <c r="O2245" i="10"/>
  <c r="O2246" i="10"/>
  <c r="O2247" i="10"/>
  <c r="O2248" i="10"/>
  <c r="O2249" i="10"/>
  <c r="O2250" i="10"/>
  <c r="O2251" i="10"/>
  <c r="O2252" i="10"/>
  <c r="O2253" i="10"/>
  <c r="O2254" i="10"/>
  <c r="O2255" i="10"/>
  <c r="O2256" i="10"/>
  <c r="O2257" i="10"/>
  <c r="O2258" i="10"/>
  <c r="O2259" i="10"/>
  <c r="O2260" i="10"/>
  <c r="O2261" i="10"/>
  <c r="O2262" i="10"/>
  <c r="O2263" i="10"/>
  <c r="O2264" i="10"/>
  <c r="O2265" i="10"/>
  <c r="O2266" i="10"/>
  <c r="O2267" i="10"/>
  <c r="O2268" i="10"/>
  <c r="O2269" i="10"/>
  <c r="O2270" i="10"/>
  <c r="O2271" i="10"/>
  <c r="O2272" i="10"/>
  <c r="O2273" i="10"/>
  <c r="O2274" i="10"/>
  <c r="O2275" i="10"/>
  <c r="O2276" i="10"/>
  <c r="O2277" i="10"/>
  <c r="O2278" i="10"/>
  <c r="O2279" i="10"/>
  <c r="O2280" i="10"/>
  <c r="O2281" i="10"/>
  <c r="O2282" i="10"/>
  <c r="O2283" i="10"/>
  <c r="O2284" i="10"/>
  <c r="O2285" i="10"/>
  <c r="O2286" i="10"/>
  <c r="O2287" i="10"/>
  <c r="O2288" i="10"/>
  <c r="O2289" i="10"/>
  <c r="O2290" i="10"/>
  <c r="O2291" i="10"/>
  <c r="O2292" i="10"/>
  <c r="O2293" i="10"/>
  <c r="O2294" i="10"/>
  <c r="O2295" i="10"/>
  <c r="O2296" i="10"/>
  <c r="O2297" i="10"/>
  <c r="O2298" i="10"/>
  <c r="O2299" i="10"/>
  <c r="O2300" i="10"/>
  <c r="O2301" i="10"/>
  <c r="O2302" i="10"/>
  <c r="O2303" i="10"/>
  <c r="O2304" i="10"/>
  <c r="O2305" i="10"/>
  <c r="O2306" i="10"/>
  <c r="O2307" i="10"/>
  <c r="O2308" i="10"/>
  <c r="O2309" i="10"/>
  <c r="O2310" i="10"/>
  <c r="O2311" i="10"/>
  <c r="O2312" i="10"/>
  <c r="O2313" i="10"/>
  <c r="O2314" i="10"/>
  <c r="O2315" i="10"/>
  <c r="O2316" i="10"/>
  <c r="O2317" i="10"/>
  <c r="O2318" i="10"/>
  <c r="O2319" i="10"/>
  <c r="O2320" i="10"/>
  <c r="O2321" i="10"/>
  <c r="O2322" i="10"/>
  <c r="O2323" i="10"/>
  <c r="O2324" i="10"/>
  <c r="O2325" i="10"/>
  <c r="O2326" i="10"/>
  <c r="O2327" i="10"/>
  <c r="O2328" i="10"/>
  <c r="O2329" i="10"/>
  <c r="O2330" i="10"/>
  <c r="O2331" i="10"/>
  <c r="O2332" i="10"/>
  <c r="O2333" i="10"/>
  <c r="O2334" i="10"/>
  <c r="O2335" i="10"/>
  <c r="O2336" i="10"/>
  <c r="O2337" i="10"/>
  <c r="O2338" i="10"/>
  <c r="O2339" i="10"/>
  <c r="O2340" i="10"/>
  <c r="O2341" i="10"/>
  <c r="O2342" i="10"/>
  <c r="O2343" i="10"/>
  <c r="O2344" i="10"/>
  <c r="O2345" i="10"/>
  <c r="O2346" i="10"/>
  <c r="O2347" i="10"/>
  <c r="O2348" i="10"/>
  <c r="O2349" i="10"/>
  <c r="O2350" i="10"/>
  <c r="O2351" i="10"/>
  <c r="O2352" i="10"/>
  <c r="O2353" i="10"/>
  <c r="O2354" i="10"/>
  <c r="O2355" i="10"/>
  <c r="O2356" i="10"/>
  <c r="O2357" i="10"/>
  <c r="O2358" i="10"/>
  <c r="O2359" i="10"/>
  <c r="O2360" i="10"/>
  <c r="O2361" i="10"/>
  <c r="O2362" i="10"/>
  <c r="O2363" i="10"/>
  <c r="O2364" i="10"/>
  <c r="O2365" i="10"/>
  <c r="O2366" i="10"/>
  <c r="O2367" i="10"/>
  <c r="O2368" i="10"/>
  <c r="O2369" i="10"/>
  <c r="O2370" i="10"/>
  <c r="O2371" i="10"/>
  <c r="O2372" i="10"/>
  <c r="O2373" i="10"/>
  <c r="O2374" i="10"/>
  <c r="O2375" i="10"/>
  <c r="O2376" i="10"/>
  <c r="O2377" i="10"/>
  <c r="O2378" i="10"/>
  <c r="O2379" i="10"/>
  <c r="O2380" i="10"/>
  <c r="O2381" i="10"/>
  <c r="O2382" i="10"/>
  <c r="O2383" i="10"/>
  <c r="O2384" i="10"/>
  <c r="O2385" i="10"/>
  <c r="O2386" i="10"/>
  <c r="O2387" i="10"/>
  <c r="O2388" i="10"/>
  <c r="O2389" i="10"/>
  <c r="O2390" i="10"/>
  <c r="O2391" i="10"/>
  <c r="O2392" i="10"/>
  <c r="O2393" i="10"/>
  <c r="O2394" i="10"/>
  <c r="O2395" i="10"/>
  <c r="O2396" i="10"/>
  <c r="O2397" i="10"/>
  <c r="O2398" i="10"/>
  <c r="O2399" i="10"/>
  <c r="O2400" i="10"/>
  <c r="O2401" i="10"/>
  <c r="O2402" i="10"/>
  <c r="O2403" i="10"/>
  <c r="O2404" i="10"/>
  <c r="O2405" i="10"/>
  <c r="O2406" i="10"/>
  <c r="O2407" i="10"/>
  <c r="O2408" i="10"/>
  <c r="O2409" i="10"/>
  <c r="O2410" i="10"/>
  <c r="O2411" i="10"/>
  <c r="O2412" i="10"/>
  <c r="O2413" i="10"/>
  <c r="O2414" i="10"/>
  <c r="O2415" i="10"/>
  <c r="O2416" i="10"/>
  <c r="O2417" i="10"/>
  <c r="O2418" i="10"/>
  <c r="O2419" i="10"/>
  <c r="O2420" i="10"/>
  <c r="O2421" i="10"/>
  <c r="O2422" i="10"/>
  <c r="O2423" i="10"/>
  <c r="O2424" i="10"/>
  <c r="O2425" i="10"/>
  <c r="O2426" i="10"/>
  <c r="O2427" i="10"/>
  <c r="O2428" i="10"/>
  <c r="O2429" i="10"/>
  <c r="O2430" i="10"/>
  <c r="O2431" i="10"/>
  <c r="O2432" i="10"/>
  <c r="O2433" i="10"/>
  <c r="O2434" i="10"/>
  <c r="O2435" i="10"/>
  <c r="O2436" i="10"/>
  <c r="O2437" i="10"/>
  <c r="O2438" i="10"/>
  <c r="O2439" i="10"/>
  <c r="O2440" i="10"/>
  <c r="O2441" i="10"/>
  <c r="O2442" i="10"/>
  <c r="O2443" i="10"/>
  <c r="O2444" i="10"/>
  <c r="O2445" i="10"/>
  <c r="O2446" i="10"/>
  <c r="O2447" i="10"/>
  <c r="O2448" i="10"/>
  <c r="O2449" i="10"/>
  <c r="O2450" i="10"/>
  <c r="O2451" i="10"/>
  <c r="O2452" i="10"/>
  <c r="O2453" i="10"/>
  <c r="O2454" i="10"/>
  <c r="O2455" i="10"/>
  <c r="O2456" i="10"/>
  <c r="O2457" i="10"/>
  <c r="O2458" i="10"/>
  <c r="O2459" i="10"/>
  <c r="O2460" i="10"/>
  <c r="O2461" i="10"/>
  <c r="O2462" i="10"/>
  <c r="O2463" i="10"/>
  <c r="O2464" i="10"/>
  <c r="O2465" i="10"/>
  <c r="O2466" i="10"/>
  <c r="O2467" i="10"/>
  <c r="O2468" i="10"/>
  <c r="O2469" i="10"/>
  <c r="O2470" i="10"/>
  <c r="O2471" i="10"/>
  <c r="O2472" i="10"/>
  <c r="O2473" i="10"/>
  <c r="O2474" i="10"/>
  <c r="O2475" i="10"/>
  <c r="O2476" i="10"/>
  <c r="O2477" i="10"/>
  <c r="O2478" i="10"/>
  <c r="O2479" i="10"/>
  <c r="O2480" i="10"/>
  <c r="O2481" i="10"/>
  <c r="O2482" i="10"/>
  <c r="O2483" i="10"/>
  <c r="O2484" i="10"/>
  <c r="O2485" i="10"/>
  <c r="O2486" i="10"/>
  <c r="O2487" i="10"/>
  <c r="O2488" i="10"/>
  <c r="O2489" i="10"/>
  <c r="O2490" i="10"/>
  <c r="O2491" i="10"/>
  <c r="O2492" i="10"/>
  <c r="O2493" i="10"/>
  <c r="O2494" i="10"/>
  <c r="O2495" i="10"/>
  <c r="O2496" i="10"/>
  <c r="O2497" i="10"/>
  <c r="O2498" i="10"/>
  <c r="O2499" i="10"/>
  <c r="O2500" i="10"/>
  <c r="O2501" i="10"/>
  <c r="O2502" i="10"/>
  <c r="O2503" i="10"/>
  <c r="O2504" i="10"/>
  <c r="O2505" i="10"/>
  <c r="O2506" i="10"/>
  <c r="O2507" i="10"/>
  <c r="O2508" i="10"/>
  <c r="O2509" i="10"/>
  <c r="O2510" i="10"/>
  <c r="O2511" i="10"/>
  <c r="O2512" i="10"/>
  <c r="O2513" i="10"/>
  <c r="O2514" i="10"/>
  <c r="O2515" i="10"/>
  <c r="O2516" i="10"/>
  <c r="O2517" i="10"/>
  <c r="O2518" i="10"/>
  <c r="O2519" i="10"/>
  <c r="O2520" i="10"/>
  <c r="O2521" i="10"/>
  <c r="O2522" i="10"/>
  <c r="O2523" i="10"/>
  <c r="O2524" i="10"/>
  <c r="O2525" i="10"/>
  <c r="O2526" i="10"/>
  <c r="O2527" i="10"/>
  <c r="O2528" i="10"/>
  <c r="O2529" i="10"/>
  <c r="O2530" i="10"/>
  <c r="O2531" i="10"/>
  <c r="O2532" i="10"/>
  <c r="O2533" i="10"/>
  <c r="O2534" i="10"/>
  <c r="O2535" i="10"/>
  <c r="O2536" i="10"/>
  <c r="O2537" i="10"/>
  <c r="O2538" i="10"/>
  <c r="O2539" i="10"/>
  <c r="O2540" i="10"/>
  <c r="O2541" i="10"/>
  <c r="O2542" i="10"/>
  <c r="O2543" i="10"/>
  <c r="O2544" i="10"/>
  <c r="O2545" i="10"/>
  <c r="O2546" i="10"/>
  <c r="O2547" i="10"/>
  <c r="O2548" i="10"/>
  <c r="O2549" i="10"/>
  <c r="O2550" i="10"/>
  <c r="O2551" i="10"/>
  <c r="O2552" i="10"/>
  <c r="O2553" i="10"/>
  <c r="O2554" i="10"/>
  <c r="O2555" i="10"/>
  <c r="O2556" i="10"/>
  <c r="O2557" i="10"/>
  <c r="O2558" i="10"/>
  <c r="O2559" i="10"/>
  <c r="O2560" i="10"/>
  <c r="O2561" i="10"/>
  <c r="O2562" i="10"/>
  <c r="O2563" i="10"/>
  <c r="O2564" i="10"/>
  <c r="O2565" i="10"/>
  <c r="O2566" i="10"/>
  <c r="O2567" i="10"/>
  <c r="O2568" i="10"/>
  <c r="O2569" i="10"/>
  <c r="O2570" i="10"/>
  <c r="O2571" i="10"/>
  <c r="O2572" i="10"/>
  <c r="O2573" i="10"/>
  <c r="O2574" i="10"/>
  <c r="O2575" i="10"/>
  <c r="O2576" i="10"/>
  <c r="O2577" i="10"/>
  <c r="O2578" i="10"/>
  <c r="O2579" i="10"/>
  <c r="O2580" i="10"/>
  <c r="O2581" i="10"/>
  <c r="O2582" i="10"/>
  <c r="O2583" i="10"/>
  <c r="O2584" i="10"/>
  <c r="O2585" i="10"/>
  <c r="O2586" i="10"/>
  <c r="O2587" i="10"/>
  <c r="O2588" i="10"/>
  <c r="O2589" i="10"/>
  <c r="O2590" i="10"/>
  <c r="O2591" i="10"/>
  <c r="O2592" i="10"/>
  <c r="O2593" i="10"/>
  <c r="O2594" i="10"/>
  <c r="O2595" i="10"/>
  <c r="O2596" i="10"/>
  <c r="O2597" i="10"/>
  <c r="O2598" i="10"/>
  <c r="O2599" i="10"/>
  <c r="O2600" i="10"/>
  <c r="O2601" i="10"/>
  <c r="O2602" i="10"/>
  <c r="O2603" i="10"/>
  <c r="O2604" i="10"/>
  <c r="O2605" i="10"/>
  <c r="O2606" i="10"/>
  <c r="O2607" i="10"/>
  <c r="O2608" i="10"/>
  <c r="O2609" i="10"/>
  <c r="O2610" i="10"/>
  <c r="O2611" i="10"/>
  <c r="O2612" i="10"/>
  <c r="O2613" i="10"/>
  <c r="O2614" i="10"/>
  <c r="O2615" i="10"/>
  <c r="O2616" i="10"/>
  <c r="O2617" i="10"/>
  <c r="O2618" i="10"/>
  <c r="O2619" i="10"/>
  <c r="O2620" i="10"/>
  <c r="O2621" i="10"/>
  <c r="O2622" i="10"/>
  <c r="O2623" i="10"/>
  <c r="O2624" i="10"/>
  <c r="O2625" i="10"/>
  <c r="O2626" i="10"/>
  <c r="O2627" i="10"/>
  <c r="O2628" i="10"/>
  <c r="O2629" i="10"/>
  <c r="O2630" i="10"/>
  <c r="O2631" i="10"/>
  <c r="O2632" i="10"/>
  <c r="O2633" i="10"/>
  <c r="O2634" i="10"/>
  <c r="O2635" i="10"/>
  <c r="O2636" i="10"/>
  <c r="O2637" i="10"/>
  <c r="O2638" i="10"/>
  <c r="O2639" i="10"/>
  <c r="O2640" i="10"/>
  <c r="O2641" i="10"/>
  <c r="O2642" i="10"/>
  <c r="O2643" i="10"/>
  <c r="O2644" i="10"/>
  <c r="O2645" i="10"/>
  <c r="O2646" i="10"/>
  <c r="O2647" i="10"/>
  <c r="O2648" i="10"/>
  <c r="O2649" i="10"/>
  <c r="O2650" i="10"/>
  <c r="O2651" i="10"/>
  <c r="O2652" i="10"/>
  <c r="O2653" i="10"/>
  <c r="O2654" i="10"/>
  <c r="O2655" i="10"/>
  <c r="O2656" i="10"/>
  <c r="O2657" i="10"/>
  <c r="O2658" i="10"/>
  <c r="O2659" i="10"/>
  <c r="O2660" i="10"/>
  <c r="O2661" i="10"/>
  <c r="O2662" i="10"/>
  <c r="O2663" i="10"/>
  <c r="O2664" i="10"/>
  <c r="O2665" i="10"/>
  <c r="O2666" i="10"/>
  <c r="O2667" i="10"/>
  <c r="O2668" i="10"/>
  <c r="O2669" i="10"/>
  <c r="O2670" i="10"/>
  <c r="O2671" i="10"/>
  <c r="O2672" i="10"/>
  <c r="O2673" i="10"/>
  <c r="O2674" i="10"/>
  <c r="O2675" i="10"/>
  <c r="O2676" i="10"/>
  <c r="O2677" i="10"/>
  <c r="O2678" i="10"/>
  <c r="O2679" i="10"/>
  <c r="O2680" i="10"/>
  <c r="O2681" i="10"/>
  <c r="O2682" i="10"/>
  <c r="O2683" i="10"/>
  <c r="O2684" i="10"/>
  <c r="O2685" i="10"/>
  <c r="O2686" i="10"/>
  <c r="O2687" i="10"/>
  <c r="O2688" i="10"/>
  <c r="O2689" i="10"/>
  <c r="O2690" i="10"/>
  <c r="O2691" i="10"/>
  <c r="O2692" i="10"/>
  <c r="O2693" i="10"/>
  <c r="O2694" i="10"/>
  <c r="O2695" i="10"/>
  <c r="O2696" i="10"/>
  <c r="O2697" i="10"/>
  <c r="O2698" i="10"/>
  <c r="O2699" i="10"/>
  <c r="O2700" i="10"/>
  <c r="O2701" i="10"/>
  <c r="O2702" i="10"/>
  <c r="O2703" i="10"/>
  <c r="O2704" i="10"/>
  <c r="O2705" i="10"/>
  <c r="O2706" i="10"/>
  <c r="O2707" i="10"/>
  <c r="O2708" i="10"/>
  <c r="O2709" i="10"/>
  <c r="O2710" i="10"/>
  <c r="O2711" i="10"/>
  <c r="O2712" i="10"/>
  <c r="O2713" i="10"/>
  <c r="O2714" i="10"/>
  <c r="O2715" i="10"/>
  <c r="O2716" i="10"/>
  <c r="O2717" i="10"/>
  <c r="O2718" i="10"/>
  <c r="O2719" i="10"/>
  <c r="O2720" i="10"/>
  <c r="O2721" i="10"/>
  <c r="O2722" i="10"/>
  <c r="O2723" i="10"/>
  <c r="O2724" i="10"/>
  <c r="O2725" i="10"/>
  <c r="O2726" i="10"/>
  <c r="O2727" i="10"/>
  <c r="O2728" i="10"/>
  <c r="O2729" i="10"/>
  <c r="O2730" i="10"/>
  <c r="O2731" i="10"/>
  <c r="O2732" i="10"/>
  <c r="O2733" i="10"/>
  <c r="O2734" i="10"/>
  <c r="O2735" i="10"/>
  <c r="O2736" i="10"/>
  <c r="O2737" i="10"/>
  <c r="O2738" i="10"/>
  <c r="O2739" i="10"/>
  <c r="O2740" i="10"/>
  <c r="O2741" i="10"/>
  <c r="O2742" i="10"/>
  <c r="O2743" i="10"/>
  <c r="O2744" i="10"/>
  <c r="O2745" i="10"/>
  <c r="O2746" i="10"/>
  <c r="O2747" i="10"/>
  <c r="O2748" i="10"/>
  <c r="O2749" i="10"/>
  <c r="O2750" i="10"/>
  <c r="O2751" i="10"/>
  <c r="O2752" i="10"/>
  <c r="O2753" i="10"/>
  <c r="O2754" i="10"/>
  <c r="O2755" i="10"/>
  <c r="O2756" i="10"/>
  <c r="O2757" i="10"/>
  <c r="O2758" i="10"/>
  <c r="O2759" i="10"/>
  <c r="O2760" i="10"/>
  <c r="O2761" i="10"/>
  <c r="O2762" i="10"/>
  <c r="O2763" i="10"/>
  <c r="O2764" i="10"/>
  <c r="O2765" i="10"/>
  <c r="O2766" i="10"/>
  <c r="O2767" i="10"/>
  <c r="O2768" i="10"/>
  <c r="O2769" i="10"/>
  <c r="O2770" i="10"/>
  <c r="O2771" i="10"/>
  <c r="O2772" i="10"/>
  <c r="O2773" i="10"/>
  <c r="O2774" i="10"/>
  <c r="O2775" i="10"/>
  <c r="O2776" i="10"/>
  <c r="O2777" i="10"/>
  <c r="O2778" i="10"/>
  <c r="O2779" i="10"/>
  <c r="O2780" i="10"/>
  <c r="O2781" i="10"/>
  <c r="O2782" i="10"/>
  <c r="O2783" i="10"/>
  <c r="O2784" i="10"/>
  <c r="O2785" i="10"/>
  <c r="O2786" i="10"/>
  <c r="O2787" i="10"/>
  <c r="O2788" i="10"/>
  <c r="O2789" i="10"/>
  <c r="O2790" i="10"/>
  <c r="O2791" i="10"/>
  <c r="O2792" i="10"/>
  <c r="O2793" i="10"/>
  <c r="O2794" i="10"/>
  <c r="O2795" i="10"/>
  <c r="O2796" i="10"/>
  <c r="O2797" i="10"/>
  <c r="O2798" i="10"/>
  <c r="O2799" i="10"/>
  <c r="O2800" i="10"/>
  <c r="O2801" i="10"/>
  <c r="O2802" i="10"/>
  <c r="O2803" i="10"/>
  <c r="O2804" i="10"/>
  <c r="O2805" i="10"/>
  <c r="O2806" i="10"/>
  <c r="O2807" i="10"/>
  <c r="O2808" i="10"/>
  <c r="O2809" i="10"/>
  <c r="O2810" i="10"/>
  <c r="O2811" i="10"/>
  <c r="O2812" i="10"/>
  <c r="O2813" i="10"/>
  <c r="O2814" i="10"/>
  <c r="O2815" i="10"/>
  <c r="O2816" i="10"/>
  <c r="O2817" i="10"/>
  <c r="O2818" i="10"/>
  <c r="O2819" i="10"/>
  <c r="O2820" i="10"/>
  <c r="O2821" i="10"/>
  <c r="O2822" i="10"/>
  <c r="O2823" i="10"/>
  <c r="O2824" i="10"/>
  <c r="O2825" i="10"/>
  <c r="O2826" i="10"/>
  <c r="O2827" i="10"/>
  <c r="O2828" i="10"/>
  <c r="O2829" i="10"/>
  <c r="O2830" i="10"/>
  <c r="O2831" i="10"/>
  <c r="O2832" i="10"/>
  <c r="O2833" i="10"/>
  <c r="O2834" i="10"/>
  <c r="O2835" i="10"/>
  <c r="O2836" i="10"/>
  <c r="O2837" i="10"/>
  <c r="O2838" i="10"/>
  <c r="O2839" i="10"/>
  <c r="O2840" i="10"/>
  <c r="O2841" i="10"/>
  <c r="O2842" i="10"/>
  <c r="O2843" i="10"/>
  <c r="O2844" i="10"/>
  <c r="O2845" i="10"/>
  <c r="O2846" i="10"/>
  <c r="O2847" i="10"/>
  <c r="O2848" i="10"/>
  <c r="O2849" i="10"/>
  <c r="O2850" i="10"/>
  <c r="O2851" i="10"/>
  <c r="O2852" i="10"/>
  <c r="O2853" i="10"/>
  <c r="O2854" i="10"/>
  <c r="O2855" i="10"/>
  <c r="O2856" i="10"/>
  <c r="O2857" i="10"/>
  <c r="O2858" i="10"/>
  <c r="O2859" i="10"/>
  <c r="O2860" i="10"/>
  <c r="O2861" i="10"/>
  <c r="O2862" i="10"/>
  <c r="O2863" i="10"/>
  <c r="O2864" i="10"/>
  <c r="O2865" i="10"/>
  <c r="O2866" i="10"/>
  <c r="O2867" i="10"/>
  <c r="O2868" i="10"/>
  <c r="O2869" i="10"/>
  <c r="O2870" i="10"/>
  <c r="O2871" i="10"/>
  <c r="O2872" i="10"/>
  <c r="O2873" i="10"/>
  <c r="O2874" i="10"/>
  <c r="O2875" i="10"/>
  <c r="O2876" i="10"/>
  <c r="O2877" i="10"/>
  <c r="O2878" i="10"/>
  <c r="O2879" i="10"/>
  <c r="O2880" i="10"/>
  <c r="O2881" i="10"/>
  <c r="O2882" i="10"/>
  <c r="O2883" i="10"/>
  <c r="O2884" i="10"/>
  <c r="O2885" i="10"/>
  <c r="O2886" i="10"/>
  <c r="O2887" i="10"/>
  <c r="O2888" i="10"/>
  <c r="O2889" i="10"/>
  <c r="O2890" i="10"/>
  <c r="O2891" i="10"/>
  <c r="O2892" i="10"/>
  <c r="O2893" i="10"/>
  <c r="O2894" i="10"/>
  <c r="O2895" i="10"/>
  <c r="O2896" i="10"/>
  <c r="O2897" i="10"/>
  <c r="O2898" i="10"/>
  <c r="O2899" i="10"/>
  <c r="O2900" i="10"/>
  <c r="O2901" i="10"/>
  <c r="O2902" i="10"/>
  <c r="O2903" i="10"/>
  <c r="O2904" i="10"/>
  <c r="O2905" i="10"/>
  <c r="O2906" i="10"/>
  <c r="O2907" i="10"/>
  <c r="O2908" i="10"/>
  <c r="O2909" i="10"/>
  <c r="O2910" i="10"/>
  <c r="O2911" i="10"/>
  <c r="O2912" i="10"/>
  <c r="O2913" i="10"/>
  <c r="O2914" i="10"/>
  <c r="O2915" i="10"/>
  <c r="O2916" i="10"/>
  <c r="O2917" i="10"/>
  <c r="O2918" i="10"/>
  <c r="O2919" i="10"/>
  <c r="O2920" i="10"/>
  <c r="O2921" i="10"/>
  <c r="O2922" i="10"/>
  <c r="O2923" i="10"/>
  <c r="O2924" i="10"/>
  <c r="O2925" i="10"/>
  <c r="O2926" i="10"/>
  <c r="O2927" i="10"/>
  <c r="O2928" i="10"/>
  <c r="O2929" i="10"/>
  <c r="O2930" i="10"/>
  <c r="O2931" i="10"/>
  <c r="O2932" i="10"/>
  <c r="O2933" i="10"/>
  <c r="O2934" i="10"/>
  <c r="O2935" i="10"/>
  <c r="O2936" i="10"/>
  <c r="O2937" i="10"/>
  <c r="O2938" i="10"/>
  <c r="O2939" i="10"/>
  <c r="O2940" i="10"/>
  <c r="O2941" i="10"/>
  <c r="O2942" i="10"/>
  <c r="O2943" i="10"/>
  <c r="O2944" i="10"/>
  <c r="O2945" i="10"/>
  <c r="O2946" i="10"/>
  <c r="O2947" i="10"/>
  <c r="O2948" i="10"/>
  <c r="O2949" i="10"/>
  <c r="O2950" i="10"/>
  <c r="O2951" i="10"/>
  <c r="O2952" i="10"/>
  <c r="O2953" i="10"/>
  <c r="O2954" i="10"/>
  <c r="O2955" i="10"/>
  <c r="O2956" i="10"/>
  <c r="O2957" i="10"/>
  <c r="O2958" i="10"/>
  <c r="O2959" i="10"/>
  <c r="O2960" i="10"/>
  <c r="O2961" i="10"/>
  <c r="O2962" i="10"/>
  <c r="O2963" i="10"/>
  <c r="O2964" i="10"/>
  <c r="O2965" i="10"/>
  <c r="O2966" i="10"/>
  <c r="O2967" i="10"/>
  <c r="O2968" i="10"/>
  <c r="O2969" i="10"/>
  <c r="O2970" i="10"/>
  <c r="O2971" i="10"/>
  <c r="O2972" i="10"/>
  <c r="O2973" i="10"/>
  <c r="O2974" i="10"/>
  <c r="O2975" i="10"/>
  <c r="O2976" i="10"/>
  <c r="O2977" i="10"/>
  <c r="O2978" i="10"/>
  <c r="O2979" i="10"/>
  <c r="O2980" i="10"/>
  <c r="O2981" i="10"/>
  <c r="O2982" i="10"/>
  <c r="O2983" i="10"/>
  <c r="O2984" i="10"/>
  <c r="O2985" i="10"/>
  <c r="O2986" i="10"/>
  <c r="O2987" i="10"/>
  <c r="O2988" i="10"/>
  <c r="O2989" i="10"/>
  <c r="O2990" i="10"/>
  <c r="O2991" i="10"/>
  <c r="O2992" i="10"/>
  <c r="O2993" i="10"/>
  <c r="O2994" i="10"/>
  <c r="O2995" i="10"/>
  <c r="O2996" i="10"/>
  <c r="O2997" i="10"/>
  <c r="O2998" i="10"/>
  <c r="O2999" i="10"/>
  <c r="O3000" i="10"/>
  <c r="O3001" i="10"/>
  <c r="O3002" i="10"/>
  <c r="O3003" i="10"/>
  <c r="O3004" i="10"/>
  <c r="O3005" i="10"/>
  <c r="O3006" i="10"/>
  <c r="O3007" i="10"/>
  <c r="O3008" i="10"/>
  <c r="O3009" i="10"/>
  <c r="O3010" i="10"/>
  <c r="O3011" i="10"/>
  <c r="O3012" i="10"/>
  <c r="O3013" i="10"/>
  <c r="O3014" i="10"/>
  <c r="O3015" i="10"/>
  <c r="O3016" i="10"/>
  <c r="O3017" i="10"/>
  <c r="O3018" i="10"/>
  <c r="O3019" i="10"/>
  <c r="O3020" i="10"/>
  <c r="O3021" i="10"/>
  <c r="O3022" i="10"/>
  <c r="O3023" i="10"/>
  <c r="O3024" i="10"/>
  <c r="O3025" i="10"/>
  <c r="O3026" i="10"/>
  <c r="O3027" i="10"/>
  <c r="O3028" i="10"/>
  <c r="O3029" i="10"/>
  <c r="O3030" i="10"/>
  <c r="O3031" i="10"/>
  <c r="O3032" i="10"/>
  <c r="O3033" i="10"/>
  <c r="O3034" i="10"/>
  <c r="O3035" i="10"/>
  <c r="O3036" i="10"/>
  <c r="O3037" i="10"/>
  <c r="O3038" i="10"/>
  <c r="O3039" i="10"/>
  <c r="O3040" i="10"/>
  <c r="O3041" i="10"/>
  <c r="O3042" i="10"/>
  <c r="O3043" i="10"/>
  <c r="O3044" i="10"/>
  <c r="O3045" i="10"/>
  <c r="O3046" i="10"/>
  <c r="O3047" i="10"/>
  <c r="O3048" i="10"/>
  <c r="O3049" i="10"/>
  <c r="O3050" i="10"/>
  <c r="O3051" i="10"/>
  <c r="O3052" i="10"/>
  <c r="O3053" i="10"/>
  <c r="O3054" i="10"/>
  <c r="O3055" i="10"/>
  <c r="O3056" i="10"/>
  <c r="O3057" i="10"/>
  <c r="O3058" i="10"/>
  <c r="O3059" i="10"/>
  <c r="O3060" i="10"/>
  <c r="O3061" i="10"/>
  <c r="O3062" i="10"/>
  <c r="O3063" i="10"/>
  <c r="O3064" i="10"/>
  <c r="O3065" i="10"/>
  <c r="O3066" i="10"/>
  <c r="O3067" i="10"/>
  <c r="O3068" i="10"/>
  <c r="O3069" i="10"/>
  <c r="O3070" i="10"/>
  <c r="O3071" i="10"/>
  <c r="O3072" i="10"/>
  <c r="O3073" i="10"/>
  <c r="O3074" i="10"/>
  <c r="O3075" i="10"/>
  <c r="O3076" i="10"/>
  <c r="O3077" i="10"/>
  <c r="O3078" i="10"/>
  <c r="O3079" i="10"/>
  <c r="O3080" i="10"/>
  <c r="O3081" i="10"/>
  <c r="O3082" i="10"/>
  <c r="O3083" i="10"/>
  <c r="O3084" i="10"/>
  <c r="O3085" i="10"/>
  <c r="O3086" i="10"/>
  <c r="O3087" i="10"/>
  <c r="O3088" i="10"/>
  <c r="O3089" i="10"/>
  <c r="O3090" i="10"/>
  <c r="O3091" i="10"/>
  <c r="O3092" i="10"/>
  <c r="O3093" i="10"/>
  <c r="O3094" i="10"/>
  <c r="O3095" i="10"/>
  <c r="O3096" i="10"/>
  <c r="O3097" i="10"/>
  <c r="O3098" i="10"/>
  <c r="O3099" i="10"/>
  <c r="O3100" i="10"/>
  <c r="O3101" i="10"/>
  <c r="O3102" i="10"/>
  <c r="O3103" i="10"/>
  <c r="O3104" i="10"/>
  <c r="O3105" i="10"/>
  <c r="O3106" i="10"/>
  <c r="O3107" i="10"/>
  <c r="O3108" i="10"/>
  <c r="O3109" i="10"/>
  <c r="O3110" i="10"/>
  <c r="O3111" i="10"/>
  <c r="O3112" i="10"/>
  <c r="O3113" i="10"/>
  <c r="O3114" i="10"/>
  <c r="O3115" i="10"/>
  <c r="O3116" i="10"/>
  <c r="O3117" i="10"/>
  <c r="O3118" i="10"/>
  <c r="O3119" i="10"/>
  <c r="O3120" i="10"/>
  <c r="O3121" i="10"/>
  <c r="O3122" i="10"/>
  <c r="O3123" i="10"/>
  <c r="O3124" i="10"/>
  <c r="O3125" i="10"/>
  <c r="O3126" i="10"/>
  <c r="O3127" i="10"/>
  <c r="O3128" i="10"/>
  <c r="O3129" i="10"/>
  <c r="O3130" i="10"/>
  <c r="O3131" i="10"/>
  <c r="O3132" i="10"/>
  <c r="O3133" i="10"/>
  <c r="O3134" i="10"/>
  <c r="O3135" i="10"/>
  <c r="O3136" i="10"/>
  <c r="O3137" i="10"/>
  <c r="O3138" i="10"/>
  <c r="O3139" i="10"/>
  <c r="O3140" i="10"/>
  <c r="O3141" i="10"/>
  <c r="O3142" i="10"/>
  <c r="O3143" i="10"/>
  <c r="O3144" i="10"/>
  <c r="O3145" i="10"/>
  <c r="O3146" i="10"/>
  <c r="O3147" i="10"/>
  <c r="O3148" i="10"/>
  <c r="O3149" i="10"/>
  <c r="O3150" i="10"/>
  <c r="O3151" i="10"/>
  <c r="O3152" i="10"/>
  <c r="O3153" i="10"/>
  <c r="O3154" i="10"/>
  <c r="O3155" i="10"/>
  <c r="O3156" i="10"/>
  <c r="O3157" i="10"/>
  <c r="O3158" i="10"/>
  <c r="O3159" i="10"/>
  <c r="O3160" i="10"/>
  <c r="O3161" i="10"/>
  <c r="O3162" i="10"/>
  <c r="O3163" i="10"/>
  <c r="O3164" i="10"/>
  <c r="O3165" i="10"/>
  <c r="O3166" i="10"/>
  <c r="O3167" i="10"/>
  <c r="O3168" i="10"/>
  <c r="O3169" i="10"/>
  <c r="O3170" i="10"/>
  <c r="O3171" i="10"/>
  <c r="O3172" i="10"/>
  <c r="O3173" i="10"/>
  <c r="O3174" i="10"/>
  <c r="O3175" i="10"/>
  <c r="O3176" i="10"/>
  <c r="O3177" i="10"/>
  <c r="O3178" i="10"/>
  <c r="O3179" i="10"/>
  <c r="O3180" i="10"/>
  <c r="O3181" i="10"/>
  <c r="O3182" i="10"/>
  <c r="O3183" i="10"/>
  <c r="O3184" i="10"/>
  <c r="O3185" i="10"/>
  <c r="O3186" i="10"/>
  <c r="O3187" i="10"/>
  <c r="O3188" i="10"/>
  <c r="O3189" i="10"/>
  <c r="O3190" i="10"/>
  <c r="O3191" i="10"/>
  <c r="O3192" i="10"/>
  <c r="O3193" i="10"/>
  <c r="O3194" i="10"/>
  <c r="O3195" i="10"/>
  <c r="O3196" i="10"/>
  <c r="O3197" i="10"/>
  <c r="O3198" i="10"/>
  <c r="O3199" i="10"/>
  <c r="O3200" i="10"/>
  <c r="O3201" i="10"/>
  <c r="O3202" i="10"/>
  <c r="O3203" i="10"/>
  <c r="O3204" i="10"/>
  <c r="O3205" i="10"/>
  <c r="O3206" i="10"/>
  <c r="O3207" i="10"/>
  <c r="O3208" i="10"/>
  <c r="O3209" i="10"/>
  <c r="O3210" i="10"/>
  <c r="O3211" i="10"/>
  <c r="O3212" i="10"/>
  <c r="O3213" i="10"/>
  <c r="O3214" i="10"/>
  <c r="O3215" i="10"/>
  <c r="O3216" i="10"/>
  <c r="O3217" i="10"/>
  <c r="O3218" i="10"/>
  <c r="O3219" i="10"/>
  <c r="O3220" i="10"/>
  <c r="O3221" i="10"/>
  <c r="O3222" i="10"/>
  <c r="O3223" i="10"/>
  <c r="O3224" i="10"/>
  <c r="O3225" i="10"/>
  <c r="O3226" i="10"/>
  <c r="O3227" i="10"/>
  <c r="O3228" i="10"/>
  <c r="O3229" i="10"/>
  <c r="O3230" i="10"/>
  <c r="O3231" i="10"/>
  <c r="O3232" i="10"/>
  <c r="O3233" i="10"/>
  <c r="O3234" i="10"/>
  <c r="O3235" i="10"/>
  <c r="O3236" i="10"/>
  <c r="O3237" i="10"/>
  <c r="O3238" i="10"/>
  <c r="O3239" i="10"/>
  <c r="O3240" i="10"/>
  <c r="O3241" i="10"/>
  <c r="O3242" i="10"/>
  <c r="O3243" i="10"/>
  <c r="O3244" i="10"/>
  <c r="O3245" i="10"/>
  <c r="O3246" i="10"/>
  <c r="O3247" i="10"/>
  <c r="O3248" i="10"/>
  <c r="O3249" i="10"/>
  <c r="O3250" i="10"/>
  <c r="O3251" i="10"/>
  <c r="O3252" i="10"/>
  <c r="O3253" i="10"/>
  <c r="O3254" i="10"/>
  <c r="O3255" i="10"/>
  <c r="O3256" i="10"/>
  <c r="O3257" i="10"/>
  <c r="O3258" i="10"/>
  <c r="O3259" i="10"/>
  <c r="O3260" i="10"/>
  <c r="O3261" i="10"/>
  <c r="O3262" i="10"/>
  <c r="O3263" i="10"/>
  <c r="O3264" i="10"/>
  <c r="O3265" i="10"/>
  <c r="O3266" i="10"/>
  <c r="O3267" i="10"/>
  <c r="O3268" i="10"/>
  <c r="O3269" i="10"/>
  <c r="O3270" i="10"/>
  <c r="O3271" i="10"/>
  <c r="O3272" i="10"/>
  <c r="O3273" i="10"/>
  <c r="O3274" i="10"/>
  <c r="O3275" i="10"/>
  <c r="O3276" i="10"/>
  <c r="O3277" i="10"/>
  <c r="O3278" i="10"/>
  <c r="O3279" i="10"/>
  <c r="O3280" i="10"/>
  <c r="O3281" i="10"/>
  <c r="O3282" i="10"/>
  <c r="O3283" i="10"/>
  <c r="O3284" i="10"/>
  <c r="O3285" i="10"/>
  <c r="O3286" i="10"/>
  <c r="O3287" i="10"/>
  <c r="O3288" i="10"/>
  <c r="O3289" i="10"/>
  <c r="O3290" i="10"/>
  <c r="O3291" i="10"/>
  <c r="O3292" i="10"/>
  <c r="O3293" i="10"/>
  <c r="O3294" i="10"/>
  <c r="O3295" i="10"/>
  <c r="O3296" i="10"/>
  <c r="O3297" i="10"/>
  <c r="O3298" i="10"/>
  <c r="O3299" i="10"/>
  <c r="O3300" i="10"/>
  <c r="O3301" i="10"/>
  <c r="O3302" i="10"/>
  <c r="O3303" i="10"/>
  <c r="O3304" i="10"/>
  <c r="O3305" i="10"/>
  <c r="O3306" i="10"/>
  <c r="O3307" i="10"/>
  <c r="O3308" i="10"/>
  <c r="O3309" i="10"/>
  <c r="O3310" i="10"/>
  <c r="O3311" i="10"/>
  <c r="O3312" i="10"/>
  <c r="O3313" i="10"/>
  <c r="O3314" i="10"/>
  <c r="O3315" i="10"/>
  <c r="O3316" i="10"/>
  <c r="O3317" i="10"/>
  <c r="O3318" i="10"/>
  <c r="O3319" i="10"/>
  <c r="O3320" i="10"/>
  <c r="O3321" i="10"/>
  <c r="O3322" i="10"/>
  <c r="O3323" i="10"/>
  <c r="O3324" i="10"/>
  <c r="O3325" i="10"/>
  <c r="O3326" i="10"/>
  <c r="O3327" i="10"/>
  <c r="O3328" i="10"/>
  <c r="O3329" i="10"/>
  <c r="O3330" i="10"/>
  <c r="O3331" i="10"/>
  <c r="O3332" i="10"/>
  <c r="O3333" i="10"/>
  <c r="O3334" i="10"/>
  <c r="O3335" i="10"/>
  <c r="O3336" i="10"/>
  <c r="O3337" i="10"/>
  <c r="O3338" i="10"/>
  <c r="O3339" i="10"/>
  <c r="O3340" i="10"/>
  <c r="O3341" i="10"/>
  <c r="O3342" i="10"/>
  <c r="O3343" i="10"/>
  <c r="O3344" i="10"/>
  <c r="O3345" i="10"/>
  <c r="O3346" i="10"/>
  <c r="O3347" i="10"/>
  <c r="O3348" i="10"/>
  <c r="O3349" i="10"/>
  <c r="O3350" i="10"/>
  <c r="O3351" i="10"/>
  <c r="O3352" i="10"/>
  <c r="O3353" i="10"/>
  <c r="O3354" i="10"/>
  <c r="O3355" i="10"/>
  <c r="O3356" i="10"/>
  <c r="O3357" i="10"/>
  <c r="O3358" i="10"/>
  <c r="O3359" i="10"/>
  <c r="O3360" i="10"/>
  <c r="O3361" i="10"/>
  <c r="O3362" i="10"/>
  <c r="O3363" i="10"/>
  <c r="O3364" i="10"/>
  <c r="O3365" i="10"/>
  <c r="O3366" i="10"/>
  <c r="O3367" i="10"/>
  <c r="O3368" i="10"/>
  <c r="O3369" i="10"/>
  <c r="O3370" i="10"/>
  <c r="O3371" i="10"/>
  <c r="O3372" i="10"/>
  <c r="O3373" i="10"/>
  <c r="O3374" i="10"/>
  <c r="O3375" i="10"/>
  <c r="O3376" i="10"/>
  <c r="O3377" i="10"/>
  <c r="O3378" i="10"/>
  <c r="O3379" i="10"/>
  <c r="O3380" i="10"/>
  <c r="O3381" i="10"/>
  <c r="O3382" i="10"/>
  <c r="O3383" i="10"/>
  <c r="O3384" i="10"/>
  <c r="O3385" i="10"/>
  <c r="O3386" i="10"/>
  <c r="O3387" i="10"/>
  <c r="O3388" i="10"/>
  <c r="O3389" i="10"/>
  <c r="O3390" i="10"/>
  <c r="O3391" i="10"/>
  <c r="O3392" i="10"/>
  <c r="O3393" i="10"/>
  <c r="O3394" i="10"/>
  <c r="O3395" i="10"/>
  <c r="O3396" i="10"/>
  <c r="O3397" i="10"/>
  <c r="O3398" i="10"/>
  <c r="O3399" i="10"/>
  <c r="O3400" i="10"/>
  <c r="O3401" i="10"/>
  <c r="O3402" i="10"/>
  <c r="O3403" i="10"/>
  <c r="O3404" i="10"/>
  <c r="O3405" i="10"/>
  <c r="O3406" i="10"/>
  <c r="O3407" i="10"/>
  <c r="O3408" i="10"/>
  <c r="O3409" i="10"/>
  <c r="O3410" i="10"/>
  <c r="O3411" i="10"/>
  <c r="O3412" i="10"/>
  <c r="O3413" i="10"/>
  <c r="O3414" i="10"/>
  <c r="O3415" i="10"/>
  <c r="O3416" i="10"/>
  <c r="O3417" i="10"/>
  <c r="O3418" i="10"/>
  <c r="O3419" i="10"/>
  <c r="O3420" i="10"/>
  <c r="O3421" i="10"/>
  <c r="O3422" i="10"/>
  <c r="O3423" i="10"/>
  <c r="O3424" i="10"/>
  <c r="O3425" i="10"/>
  <c r="O3426" i="10"/>
  <c r="O3427" i="10"/>
  <c r="O3428" i="10"/>
  <c r="O3429" i="10"/>
  <c r="O3430" i="10"/>
  <c r="O3431" i="10"/>
  <c r="O3432" i="10"/>
  <c r="O3433" i="10"/>
  <c r="O3434" i="10"/>
  <c r="O3435" i="10"/>
  <c r="O3436" i="10"/>
  <c r="O3437" i="10"/>
  <c r="O3438" i="10"/>
  <c r="O3439" i="10"/>
  <c r="O3440" i="10"/>
  <c r="O3441" i="10"/>
  <c r="O3442" i="10"/>
  <c r="O3443" i="10"/>
  <c r="O3444" i="10"/>
  <c r="O3445" i="10"/>
  <c r="O3446" i="10"/>
  <c r="O3447" i="10"/>
  <c r="O3448" i="10"/>
  <c r="O3449" i="10"/>
  <c r="O3450" i="10"/>
  <c r="O3451" i="10"/>
  <c r="O3452" i="10"/>
  <c r="O3453" i="10"/>
  <c r="O3454" i="10"/>
  <c r="O3455" i="10"/>
  <c r="O3456" i="10"/>
  <c r="O3457" i="10"/>
  <c r="O3458" i="10"/>
  <c r="O3459" i="10"/>
  <c r="O3460" i="10"/>
  <c r="O3461" i="10"/>
  <c r="O3462" i="10"/>
  <c r="O3463" i="10"/>
  <c r="O3464" i="10"/>
  <c r="O3465" i="10"/>
  <c r="O3466" i="10"/>
  <c r="O3467" i="10"/>
  <c r="O3468" i="10"/>
  <c r="O3469" i="10"/>
  <c r="O3470" i="10"/>
  <c r="O3471" i="10"/>
  <c r="O3472" i="10"/>
  <c r="O3473" i="10"/>
  <c r="O3474" i="10"/>
  <c r="O3475" i="10"/>
  <c r="O3476" i="10"/>
  <c r="O3477" i="10"/>
  <c r="O3478" i="10"/>
  <c r="O3479" i="10"/>
  <c r="O3480" i="10"/>
  <c r="O3481" i="10"/>
  <c r="O3482" i="10"/>
  <c r="O3483" i="10"/>
  <c r="O3484" i="10"/>
  <c r="O3485" i="10"/>
  <c r="O3486" i="10"/>
  <c r="O3487" i="10"/>
  <c r="O3488" i="10"/>
  <c r="O3489" i="10"/>
  <c r="O3490" i="10"/>
  <c r="O3491" i="10"/>
  <c r="O3492" i="10"/>
  <c r="O3493" i="10"/>
  <c r="O3494" i="10"/>
  <c r="O3495" i="10"/>
  <c r="O3496" i="10"/>
  <c r="O3497" i="10"/>
  <c r="O3498" i="10"/>
  <c r="O3499" i="10"/>
  <c r="O3500" i="10"/>
  <c r="O3501" i="10"/>
  <c r="O3502" i="10"/>
  <c r="O3503" i="10"/>
  <c r="O3504" i="10"/>
  <c r="O3505" i="10"/>
  <c r="O3506" i="10"/>
  <c r="O3507" i="10"/>
  <c r="O3508" i="10"/>
  <c r="O3509" i="10"/>
  <c r="O3510" i="10"/>
  <c r="O3511" i="10"/>
  <c r="O3512" i="10"/>
  <c r="O3513" i="10"/>
  <c r="O3514" i="10"/>
  <c r="O3515" i="10"/>
  <c r="O3516" i="10"/>
  <c r="O3517" i="10"/>
  <c r="O3518" i="10"/>
  <c r="O3519" i="10"/>
  <c r="O3520" i="10"/>
  <c r="O3521" i="10"/>
  <c r="O3522" i="10"/>
  <c r="O3523" i="10"/>
  <c r="O3524" i="10"/>
  <c r="O3525" i="10"/>
  <c r="O3526" i="10"/>
  <c r="O3527" i="10"/>
  <c r="O3528" i="10"/>
  <c r="O3529" i="10"/>
  <c r="O3530" i="10"/>
  <c r="O3531" i="10"/>
  <c r="O3532" i="10"/>
  <c r="O3533" i="10"/>
  <c r="O3534" i="10"/>
  <c r="O3535" i="10"/>
  <c r="O3536" i="10"/>
  <c r="O3537" i="10"/>
  <c r="O3538" i="10"/>
  <c r="O3539" i="10"/>
  <c r="O3540" i="10"/>
  <c r="O3541" i="10"/>
  <c r="O3542" i="10"/>
  <c r="O3543" i="10"/>
  <c r="O3544" i="10"/>
  <c r="O3545" i="10"/>
  <c r="O3546" i="10"/>
  <c r="O3547" i="10"/>
  <c r="O3548" i="10"/>
  <c r="O3549" i="10"/>
  <c r="O3550" i="10"/>
  <c r="O3551" i="10"/>
  <c r="O3552" i="10"/>
  <c r="O3553" i="10"/>
  <c r="O3554" i="10"/>
  <c r="O3555" i="10"/>
  <c r="O3556" i="10"/>
  <c r="O3557" i="10"/>
  <c r="O3558" i="10"/>
  <c r="O3559" i="10"/>
  <c r="O3560" i="10"/>
  <c r="O3561" i="10"/>
  <c r="O3562" i="10"/>
  <c r="O3563" i="10"/>
  <c r="O3564" i="10"/>
  <c r="O3565" i="10"/>
  <c r="O3566" i="10"/>
  <c r="O3567" i="10"/>
  <c r="O3568" i="10"/>
  <c r="O3569" i="10"/>
  <c r="O3570" i="10"/>
  <c r="O3571" i="10"/>
  <c r="O3572" i="10"/>
  <c r="O3573" i="10"/>
  <c r="O3574" i="10"/>
  <c r="O3575" i="10"/>
  <c r="O3576" i="10"/>
  <c r="O3577" i="10"/>
  <c r="O3578" i="10"/>
  <c r="O3579" i="10"/>
  <c r="O3580" i="10"/>
  <c r="O3581" i="10"/>
  <c r="O3582" i="10"/>
  <c r="O3583" i="10"/>
  <c r="O3584" i="10"/>
  <c r="O3585" i="10"/>
  <c r="O3586" i="10"/>
  <c r="O3587" i="10"/>
  <c r="O3588" i="10"/>
  <c r="O3589" i="10"/>
  <c r="O3590" i="10"/>
  <c r="O3591" i="10"/>
  <c r="O3592" i="10"/>
  <c r="O3593" i="10"/>
  <c r="O3594" i="10"/>
  <c r="O3595" i="10"/>
  <c r="O3596" i="10"/>
  <c r="O3597" i="10"/>
  <c r="O3598" i="10"/>
  <c r="O3599" i="10"/>
  <c r="O3600" i="10"/>
  <c r="O3601" i="10"/>
  <c r="O3602" i="10"/>
  <c r="O3603" i="10"/>
  <c r="O3604" i="10"/>
  <c r="O3605" i="10"/>
  <c r="O3606" i="10"/>
  <c r="O3607" i="10"/>
  <c r="O3608" i="10"/>
  <c r="O3609" i="10"/>
  <c r="O3610" i="10"/>
  <c r="O3611" i="10"/>
  <c r="O3612" i="10"/>
  <c r="O3613" i="10"/>
  <c r="O3614" i="10"/>
  <c r="O3615" i="10"/>
  <c r="O3616" i="10"/>
  <c r="O3617" i="10"/>
  <c r="O3618" i="10"/>
  <c r="O3619" i="10"/>
  <c r="O3620" i="10"/>
  <c r="O3621" i="10"/>
  <c r="O3622" i="10"/>
  <c r="O3623" i="10"/>
  <c r="O3624" i="10"/>
  <c r="O3625" i="10"/>
  <c r="O3626" i="10"/>
  <c r="O3627" i="10"/>
  <c r="O3628" i="10"/>
  <c r="O3629" i="10"/>
  <c r="O3630" i="10"/>
  <c r="O3631" i="10"/>
  <c r="O3632" i="10"/>
  <c r="O3633" i="10"/>
  <c r="O3634" i="10"/>
  <c r="O3635" i="10"/>
  <c r="O3636" i="10"/>
  <c r="O3637" i="10"/>
  <c r="O3638" i="10"/>
  <c r="O3639" i="10"/>
  <c r="O3640" i="10"/>
  <c r="O3641" i="10"/>
  <c r="O3642" i="10"/>
  <c r="O3643" i="10"/>
  <c r="O3644" i="10"/>
  <c r="O3645" i="10"/>
  <c r="O3646" i="10"/>
  <c r="O3647" i="10"/>
  <c r="O3648" i="10"/>
  <c r="O3649" i="10"/>
  <c r="O3650" i="10"/>
  <c r="O3651" i="10"/>
  <c r="O3652" i="10"/>
  <c r="O3653" i="10"/>
  <c r="O3654" i="10"/>
  <c r="O3655" i="10"/>
  <c r="O3656" i="10"/>
  <c r="O3657" i="10"/>
  <c r="O3658" i="10"/>
  <c r="O3659" i="10"/>
  <c r="O3660" i="10"/>
  <c r="O3661" i="10"/>
  <c r="O3662" i="10"/>
  <c r="O3663" i="10"/>
  <c r="O3664" i="10"/>
  <c r="O3665" i="10"/>
  <c r="O3666" i="10"/>
  <c r="O3667" i="10"/>
  <c r="O3668" i="10"/>
  <c r="O3669" i="10"/>
  <c r="O3670" i="10"/>
  <c r="O3671" i="10"/>
  <c r="O3672" i="10"/>
  <c r="O3673" i="10"/>
  <c r="O3674" i="10"/>
  <c r="O3675" i="10"/>
  <c r="O3676" i="10"/>
  <c r="O3677" i="10"/>
  <c r="O3678" i="10"/>
  <c r="O3679" i="10"/>
  <c r="O3680" i="10"/>
  <c r="O3681" i="10"/>
  <c r="O3682" i="10"/>
  <c r="O3683" i="10"/>
  <c r="O3684" i="10"/>
  <c r="O3685" i="10"/>
  <c r="O3686" i="10"/>
  <c r="O3687" i="10"/>
  <c r="O3688" i="10"/>
  <c r="O3689" i="10"/>
  <c r="O3690" i="10"/>
  <c r="O3691" i="10"/>
  <c r="O3692" i="10"/>
  <c r="O3693" i="10"/>
  <c r="O3694" i="10"/>
  <c r="O3695" i="10"/>
  <c r="O3696" i="10"/>
  <c r="O3697" i="10"/>
  <c r="O3698" i="10"/>
  <c r="O3699" i="10"/>
  <c r="O3700" i="10"/>
  <c r="O3701" i="10"/>
  <c r="O3702" i="10"/>
  <c r="O3703" i="10"/>
  <c r="O3704" i="10"/>
  <c r="O3705" i="10"/>
  <c r="O3706" i="10"/>
  <c r="O3707" i="10"/>
  <c r="O3708" i="10"/>
  <c r="O3709" i="10"/>
  <c r="O3710" i="10"/>
  <c r="O3711" i="10"/>
  <c r="O3712" i="10"/>
  <c r="O3713" i="10"/>
  <c r="O3714" i="10"/>
  <c r="O3715" i="10"/>
  <c r="O3716" i="10"/>
  <c r="O3717" i="10"/>
  <c r="O3718" i="10"/>
  <c r="O3719" i="10"/>
  <c r="O3720" i="10"/>
  <c r="O3721" i="10"/>
  <c r="O3722" i="10"/>
  <c r="O3723" i="10"/>
  <c r="O3724" i="10"/>
  <c r="O3725" i="10"/>
  <c r="O3726" i="10"/>
  <c r="O3727" i="10"/>
  <c r="O3728" i="10"/>
  <c r="O3729" i="10"/>
  <c r="O3730" i="10"/>
  <c r="O3731" i="10"/>
  <c r="O3732" i="10"/>
  <c r="O3733" i="10"/>
  <c r="O3734" i="10"/>
  <c r="O3735" i="10"/>
  <c r="O3736" i="10"/>
  <c r="O3737" i="10"/>
  <c r="O3738" i="10"/>
  <c r="O3739" i="10"/>
  <c r="O3740" i="10"/>
  <c r="O3741" i="10"/>
  <c r="O3742" i="10"/>
  <c r="O3743" i="10"/>
  <c r="O3744" i="10"/>
  <c r="O3745" i="10"/>
  <c r="O3746" i="10"/>
  <c r="O3747" i="10"/>
  <c r="O3748" i="10"/>
  <c r="O3749" i="10"/>
  <c r="O3750" i="10"/>
  <c r="O3751" i="10"/>
  <c r="O3752" i="10"/>
  <c r="O3753" i="10"/>
  <c r="O3754" i="10"/>
  <c r="O3755" i="10"/>
  <c r="O3756" i="10"/>
  <c r="O3757" i="10"/>
  <c r="O3758" i="10"/>
  <c r="O3759" i="10"/>
  <c r="O3760" i="10"/>
  <c r="O3761" i="10"/>
  <c r="O3762" i="10"/>
  <c r="O3763" i="10"/>
  <c r="O3764" i="10"/>
  <c r="O3765" i="10"/>
  <c r="O3766" i="10"/>
  <c r="O3767" i="10"/>
  <c r="O3768" i="10"/>
  <c r="O3769" i="10"/>
  <c r="O3770" i="10"/>
  <c r="O3771" i="10"/>
  <c r="O3772" i="10"/>
  <c r="O3773" i="10"/>
  <c r="O3774" i="10"/>
  <c r="O3775" i="10"/>
  <c r="O3776" i="10"/>
  <c r="O3777" i="10"/>
  <c r="O3778" i="10"/>
  <c r="O3779" i="10"/>
  <c r="O3780" i="10"/>
  <c r="O3781" i="10"/>
  <c r="O3782" i="10"/>
  <c r="O3783" i="10"/>
  <c r="O3784" i="10"/>
  <c r="O3785" i="10"/>
  <c r="O3786" i="10"/>
  <c r="O3787" i="10"/>
  <c r="O3788" i="10"/>
  <c r="O3789" i="10"/>
  <c r="O3790" i="10"/>
  <c r="O3791" i="10"/>
  <c r="O3792" i="10"/>
  <c r="O3793" i="10"/>
  <c r="O3794" i="10"/>
  <c r="O3795" i="10"/>
  <c r="O3796" i="10"/>
  <c r="O3797" i="10"/>
  <c r="O3798" i="10"/>
  <c r="O3799" i="10"/>
  <c r="O3800" i="10"/>
  <c r="O3801" i="10"/>
  <c r="O3802" i="10"/>
  <c r="O3803" i="10"/>
  <c r="O3804" i="10"/>
  <c r="O3805" i="10"/>
  <c r="O3806" i="10"/>
  <c r="O3807" i="10"/>
  <c r="O3808" i="10"/>
  <c r="O3809" i="10"/>
  <c r="O3810" i="10"/>
  <c r="O3811" i="10"/>
  <c r="O3812" i="10"/>
  <c r="O3813" i="10"/>
  <c r="O3814" i="10"/>
  <c r="O3815" i="10"/>
  <c r="O3816" i="10"/>
  <c r="O3817" i="10"/>
  <c r="O3818" i="10"/>
  <c r="O3819" i="10"/>
  <c r="O3820" i="10"/>
  <c r="O3821" i="10"/>
  <c r="O3822" i="10"/>
  <c r="O3823" i="10"/>
  <c r="O3824" i="10"/>
  <c r="O3825" i="10"/>
  <c r="O3826" i="10"/>
  <c r="O3827" i="10"/>
  <c r="O3828" i="10"/>
  <c r="O3829" i="10"/>
  <c r="O3830" i="10"/>
  <c r="O3831" i="10"/>
  <c r="O3832" i="10"/>
  <c r="O3833" i="10"/>
  <c r="O3834" i="10"/>
  <c r="O3835" i="10"/>
  <c r="O3836" i="10"/>
  <c r="O3837" i="10"/>
  <c r="O3838" i="10"/>
  <c r="O3839" i="10"/>
  <c r="O3840" i="10"/>
  <c r="O3841" i="10"/>
  <c r="O3842" i="10"/>
  <c r="O3843" i="10"/>
  <c r="O3844" i="10"/>
  <c r="O3845" i="10"/>
  <c r="O3846" i="10"/>
  <c r="O3847" i="10"/>
  <c r="O3848" i="10"/>
  <c r="O3849" i="10"/>
  <c r="O3850" i="10"/>
  <c r="O3851" i="10"/>
  <c r="O3852" i="10"/>
  <c r="O3853" i="10"/>
  <c r="O3854" i="10"/>
  <c r="O3855" i="10"/>
  <c r="O3856" i="10"/>
  <c r="O3857" i="10"/>
  <c r="O3858" i="10"/>
  <c r="O3859" i="10"/>
  <c r="O3860" i="10"/>
  <c r="O3861" i="10"/>
  <c r="O3862" i="10"/>
  <c r="O3863" i="10"/>
  <c r="O3864" i="10"/>
  <c r="O3865" i="10"/>
  <c r="O3866" i="10"/>
  <c r="O3867" i="10"/>
  <c r="O3868" i="10"/>
  <c r="O3869" i="10"/>
  <c r="O3870" i="10"/>
  <c r="O3871" i="10"/>
  <c r="O3872" i="10"/>
  <c r="O3873" i="10"/>
  <c r="O3874" i="10"/>
  <c r="O3875" i="10"/>
  <c r="O3876" i="10"/>
  <c r="O3877" i="10"/>
  <c r="O3878" i="10"/>
  <c r="O3879" i="10"/>
  <c r="O3880" i="10"/>
  <c r="O3881" i="10"/>
  <c r="O3882" i="10"/>
  <c r="O3883" i="10"/>
  <c r="O3884" i="10"/>
  <c r="O3885" i="10"/>
  <c r="O3886" i="10"/>
  <c r="O3887" i="10"/>
  <c r="O3888" i="10"/>
  <c r="O3889" i="10"/>
  <c r="O3890" i="10"/>
  <c r="O3891" i="10"/>
  <c r="O3892" i="10"/>
  <c r="O3893" i="10"/>
  <c r="O3894" i="10"/>
  <c r="O3895" i="10"/>
  <c r="O3896" i="10"/>
  <c r="O3897" i="10"/>
  <c r="O3898" i="10"/>
  <c r="O3899" i="10"/>
  <c r="O3900" i="10"/>
  <c r="O3901" i="10"/>
  <c r="O3902" i="10"/>
  <c r="O3903" i="10"/>
  <c r="O3904" i="10"/>
  <c r="O3905" i="10"/>
  <c r="O3906" i="10"/>
  <c r="O3907" i="10"/>
  <c r="O3908" i="10"/>
  <c r="O3909" i="10"/>
  <c r="O3910" i="10"/>
  <c r="O3911" i="10"/>
  <c r="O3912" i="10"/>
  <c r="O3913" i="10"/>
  <c r="O3914" i="10"/>
  <c r="O3915" i="10"/>
  <c r="O3916" i="10"/>
  <c r="O3917" i="10"/>
  <c r="O3918" i="10"/>
  <c r="O3919" i="10"/>
  <c r="O3920" i="10"/>
  <c r="O3921" i="10"/>
  <c r="O3922" i="10"/>
  <c r="O3923" i="10"/>
  <c r="O3924" i="10"/>
  <c r="O3925" i="10"/>
  <c r="O3926" i="10"/>
  <c r="O3927" i="10"/>
  <c r="O3928" i="10"/>
  <c r="O3929" i="10"/>
  <c r="O3930" i="10"/>
  <c r="O3931" i="10"/>
  <c r="O3932" i="10"/>
  <c r="O3933" i="10"/>
  <c r="O3934" i="10"/>
  <c r="O3935" i="10"/>
  <c r="O3936" i="10"/>
  <c r="O3937" i="10"/>
  <c r="O3938" i="10"/>
  <c r="O3939" i="10"/>
  <c r="O3940" i="10"/>
  <c r="O3941" i="10"/>
  <c r="O3942" i="10"/>
  <c r="O3943" i="10"/>
  <c r="O3944" i="10"/>
  <c r="O3945" i="10"/>
  <c r="O3946" i="10"/>
  <c r="O3947" i="10"/>
  <c r="O3948" i="10"/>
  <c r="O3949" i="10"/>
  <c r="O3950" i="10"/>
  <c r="O3951" i="10"/>
  <c r="O3952" i="10"/>
  <c r="O3953" i="10"/>
  <c r="O3954" i="10"/>
  <c r="O3955" i="10"/>
  <c r="O3956" i="10"/>
  <c r="O3957" i="10"/>
  <c r="O3958" i="10"/>
  <c r="O3959" i="10"/>
  <c r="O3960" i="10"/>
  <c r="O3961" i="10"/>
  <c r="O3962" i="10"/>
  <c r="O3963" i="10"/>
  <c r="O3964" i="10"/>
  <c r="O3965" i="10"/>
  <c r="O3966" i="10"/>
  <c r="O3967" i="10"/>
  <c r="O3968" i="10"/>
  <c r="O3969" i="10"/>
  <c r="O3970" i="10"/>
  <c r="O3971" i="10"/>
  <c r="O3972" i="10"/>
  <c r="O3973" i="10"/>
  <c r="O3974" i="10"/>
  <c r="O3975" i="10"/>
  <c r="O3976" i="10"/>
  <c r="O3977" i="10"/>
  <c r="O3978" i="10"/>
  <c r="O3979" i="10"/>
  <c r="O3980" i="10"/>
  <c r="O3981" i="10"/>
  <c r="O3982" i="10"/>
  <c r="O3983" i="10"/>
  <c r="O3984" i="10"/>
  <c r="O3985" i="10"/>
  <c r="O3986" i="10"/>
  <c r="O3987" i="10"/>
  <c r="O3988" i="10"/>
  <c r="O3989" i="10"/>
  <c r="O3990" i="10"/>
  <c r="O3991" i="10"/>
  <c r="O3992" i="10"/>
  <c r="O3993" i="10"/>
  <c r="O3994" i="10"/>
  <c r="O3995" i="10"/>
  <c r="O3996" i="10"/>
  <c r="O3997" i="10"/>
  <c r="O3998" i="10"/>
  <c r="O3999" i="10"/>
  <c r="O4000" i="10"/>
  <c r="O4001" i="10"/>
  <c r="O4002" i="10"/>
  <c r="O4003" i="10"/>
  <c r="O4004" i="10"/>
  <c r="O4005" i="10"/>
  <c r="O4006" i="10"/>
  <c r="O4007" i="10"/>
  <c r="O4008" i="10"/>
  <c r="O4009" i="10"/>
  <c r="O4010" i="10"/>
  <c r="O4011" i="10"/>
  <c r="O4012" i="10"/>
  <c r="O4013" i="10"/>
  <c r="O4014" i="10"/>
  <c r="O4015" i="10"/>
  <c r="O4016" i="10"/>
  <c r="O4017" i="10"/>
  <c r="O4018" i="10"/>
  <c r="O4019" i="10"/>
  <c r="O4020" i="10"/>
  <c r="O4021" i="10"/>
  <c r="O4022" i="10"/>
  <c r="O4023" i="10"/>
  <c r="O4024" i="10"/>
  <c r="O4025" i="10"/>
  <c r="O4026" i="10"/>
  <c r="O4027" i="10"/>
  <c r="O4028" i="10"/>
  <c r="O4029" i="10"/>
  <c r="O4030" i="10"/>
  <c r="O4031" i="10"/>
  <c r="O4032" i="10"/>
  <c r="O4033" i="10"/>
  <c r="O4034" i="10"/>
  <c r="O4035" i="10"/>
  <c r="O4036" i="10"/>
  <c r="O4037" i="10"/>
  <c r="O4038" i="10"/>
  <c r="O4039" i="10"/>
  <c r="O4040" i="10"/>
  <c r="O4041" i="10"/>
  <c r="O4042" i="10"/>
  <c r="O4043" i="10"/>
  <c r="O4044" i="10"/>
  <c r="O4045" i="10"/>
  <c r="O4046" i="10"/>
  <c r="O4047" i="10"/>
  <c r="O4048" i="10"/>
  <c r="O4049" i="10"/>
  <c r="O4050" i="10"/>
  <c r="O4051" i="10"/>
  <c r="O4052" i="10"/>
  <c r="O4053" i="10"/>
  <c r="O4054" i="10"/>
  <c r="O4055" i="10"/>
  <c r="O4056" i="10"/>
  <c r="O4057" i="10"/>
  <c r="O4058" i="10"/>
  <c r="O4059" i="10"/>
  <c r="O4060" i="10"/>
  <c r="O4061" i="10"/>
  <c r="O4062" i="10"/>
  <c r="O4063" i="10"/>
  <c r="O4064" i="10"/>
  <c r="O4065" i="10"/>
  <c r="O4066" i="10"/>
  <c r="O4067" i="10"/>
  <c r="O4068" i="10"/>
  <c r="O4069" i="10"/>
  <c r="O4070" i="10"/>
  <c r="O4071" i="10"/>
  <c r="O4072" i="10"/>
  <c r="O4073" i="10"/>
  <c r="O4074" i="10"/>
  <c r="O4075" i="10"/>
  <c r="O4076" i="10"/>
  <c r="O4077" i="10"/>
  <c r="O4078" i="10"/>
  <c r="O4079" i="10"/>
  <c r="O4080" i="10"/>
  <c r="O4081" i="10"/>
  <c r="O4082" i="10"/>
  <c r="O4083" i="10"/>
  <c r="O4084" i="10"/>
  <c r="O4085" i="10"/>
  <c r="O4086" i="10"/>
  <c r="O4087" i="10"/>
  <c r="O4088" i="10"/>
  <c r="O4089" i="10"/>
  <c r="O4090" i="10"/>
  <c r="O4091" i="10"/>
  <c r="O4092" i="10"/>
  <c r="O4093" i="10"/>
  <c r="O4094" i="10"/>
  <c r="O4095" i="10"/>
  <c r="O4096" i="10"/>
  <c r="O4097" i="10"/>
  <c r="O4098" i="10"/>
  <c r="O4099" i="10"/>
  <c r="O4100" i="10"/>
  <c r="O4101" i="10"/>
  <c r="O4102" i="10"/>
  <c r="O4103" i="10"/>
  <c r="O4104" i="10"/>
  <c r="O4105" i="10"/>
  <c r="O4106" i="10"/>
  <c r="O4107" i="10"/>
  <c r="O4108" i="10"/>
  <c r="O4109" i="10"/>
  <c r="O4110" i="10"/>
  <c r="O4111" i="10"/>
  <c r="O4112" i="10"/>
  <c r="O4113" i="10"/>
  <c r="O4114" i="10"/>
  <c r="O4115" i="10"/>
  <c r="O4116" i="10"/>
  <c r="O4117" i="10"/>
  <c r="O4118" i="10"/>
  <c r="O4119" i="10"/>
  <c r="O4120" i="10"/>
  <c r="O4121" i="10"/>
  <c r="O4122" i="10"/>
  <c r="O4123" i="10"/>
  <c r="O4124" i="10"/>
  <c r="O4125" i="10"/>
  <c r="O4126" i="10"/>
  <c r="O4127" i="10"/>
  <c r="O4128" i="10"/>
  <c r="O4129" i="10"/>
  <c r="O4130" i="10"/>
  <c r="O4131" i="10"/>
  <c r="O4132" i="10"/>
  <c r="O4133" i="10"/>
  <c r="O4134" i="10"/>
  <c r="O4135" i="10"/>
  <c r="O4136" i="10"/>
  <c r="O4137" i="10"/>
  <c r="O4138" i="10"/>
  <c r="O4139" i="10"/>
  <c r="O4140" i="10"/>
  <c r="O4141" i="10"/>
  <c r="O4142" i="10"/>
  <c r="O4143" i="10"/>
  <c r="O4144" i="10"/>
  <c r="O4145" i="10"/>
  <c r="O4146" i="10"/>
  <c r="O4147" i="10"/>
  <c r="O4148" i="10"/>
  <c r="O4149" i="10"/>
  <c r="O4150" i="10"/>
  <c r="O4151" i="10"/>
  <c r="O4152" i="10"/>
  <c r="O4153" i="10"/>
  <c r="O4154" i="10"/>
  <c r="O4155" i="10"/>
  <c r="O4156" i="10"/>
  <c r="O4157" i="10"/>
  <c r="O4158" i="10"/>
  <c r="O4159" i="10"/>
  <c r="O4160" i="10"/>
  <c r="O4161" i="10"/>
  <c r="O4162" i="10"/>
  <c r="O4163" i="10"/>
  <c r="O4164" i="10"/>
  <c r="O4165" i="10"/>
  <c r="O4166" i="10"/>
  <c r="O4167" i="10"/>
  <c r="O4168" i="10"/>
  <c r="O4169" i="10"/>
  <c r="O4170" i="10"/>
  <c r="O4171" i="10"/>
  <c r="O4172" i="10"/>
  <c r="O4173" i="10"/>
  <c r="O4174" i="10"/>
  <c r="O4175" i="10"/>
  <c r="O4176" i="10"/>
  <c r="O4177" i="10"/>
  <c r="O4178" i="10"/>
  <c r="O4179" i="10"/>
  <c r="O4180" i="10"/>
  <c r="O4181" i="10"/>
  <c r="O4182" i="10"/>
  <c r="O4183" i="10"/>
  <c r="O4184" i="10"/>
  <c r="O4185" i="10"/>
  <c r="O4186" i="10"/>
  <c r="O4187" i="10"/>
  <c r="O4188" i="10"/>
  <c r="O4189" i="10"/>
  <c r="O4190" i="10"/>
  <c r="O4191" i="10"/>
  <c r="O4192" i="10"/>
  <c r="O4193" i="10"/>
  <c r="O4194" i="10"/>
  <c r="O4195" i="10"/>
  <c r="O4196" i="10"/>
  <c r="O4197" i="10"/>
  <c r="O4198" i="10"/>
  <c r="O4199" i="10"/>
  <c r="O4200" i="10"/>
  <c r="O4201" i="10"/>
  <c r="O4202" i="10"/>
  <c r="O4203" i="10"/>
  <c r="O4204" i="10"/>
  <c r="O4205" i="10"/>
  <c r="O4206" i="10"/>
  <c r="O4207" i="10"/>
  <c r="O4208" i="10"/>
  <c r="O4209" i="10"/>
  <c r="O4210" i="10"/>
  <c r="O4211" i="10"/>
  <c r="O4212" i="10"/>
  <c r="O4213" i="10"/>
  <c r="O4214" i="10"/>
  <c r="O4215" i="10"/>
  <c r="O4216" i="10"/>
  <c r="O4217" i="10"/>
  <c r="O4218" i="10"/>
  <c r="O4219" i="10"/>
  <c r="O4220" i="10"/>
  <c r="O4221" i="10"/>
  <c r="O4222" i="10"/>
  <c r="O4223" i="10"/>
  <c r="O4224" i="10"/>
  <c r="O4225" i="10"/>
  <c r="O4226" i="10"/>
  <c r="O4227" i="10"/>
  <c r="O4228" i="10"/>
  <c r="O4229" i="10"/>
  <c r="O4230" i="10"/>
  <c r="O4231" i="10"/>
  <c r="O4232" i="10"/>
  <c r="O4233" i="10"/>
  <c r="O4234" i="10"/>
  <c r="O4235" i="10"/>
  <c r="O4236" i="10"/>
  <c r="O4237" i="10"/>
  <c r="O4238" i="10"/>
  <c r="O4239" i="10"/>
  <c r="O4240" i="10"/>
  <c r="O4241" i="10"/>
  <c r="O4242" i="10"/>
  <c r="O4243" i="10"/>
  <c r="O4244" i="10"/>
  <c r="O4245" i="10"/>
  <c r="O4246" i="10"/>
  <c r="O4247" i="10"/>
  <c r="O4248" i="10"/>
  <c r="O4249" i="10"/>
  <c r="O4250" i="10"/>
  <c r="O4251" i="10"/>
  <c r="O4252" i="10"/>
  <c r="O4253" i="10"/>
  <c r="O4254" i="10"/>
  <c r="O4255" i="10"/>
  <c r="O4256" i="10"/>
  <c r="O4257" i="10"/>
  <c r="O4258" i="10"/>
  <c r="O4259" i="10"/>
  <c r="O4260" i="10"/>
  <c r="O4261" i="10"/>
  <c r="O4262" i="10"/>
  <c r="O4263" i="10"/>
  <c r="O4264" i="10"/>
  <c r="O4265" i="10"/>
  <c r="O4266" i="10"/>
  <c r="O4267" i="10"/>
  <c r="O4268" i="10"/>
  <c r="O4269" i="10"/>
  <c r="O4270" i="10"/>
  <c r="O4271" i="10"/>
  <c r="O4272" i="10"/>
  <c r="O4273" i="10"/>
  <c r="O4274" i="10"/>
  <c r="O4275" i="10"/>
  <c r="O4276" i="10"/>
  <c r="O4277" i="10"/>
  <c r="O4278" i="10"/>
  <c r="O4279" i="10"/>
  <c r="O4280" i="10"/>
  <c r="O4281" i="10"/>
  <c r="O4282" i="10"/>
  <c r="O4283" i="10"/>
  <c r="O4284" i="10"/>
  <c r="O4285" i="10"/>
  <c r="O4286" i="10"/>
  <c r="O4287" i="10"/>
  <c r="O4288" i="10"/>
  <c r="O4289" i="10"/>
  <c r="O4290" i="10"/>
  <c r="O4291" i="10"/>
  <c r="O4292" i="10"/>
  <c r="O4293" i="10"/>
  <c r="O4294" i="10"/>
  <c r="O4295" i="10"/>
  <c r="O4296" i="10"/>
  <c r="O4297" i="10"/>
  <c r="O4298" i="10"/>
  <c r="O4299" i="10"/>
  <c r="O4300" i="10"/>
  <c r="O4301" i="10"/>
  <c r="O4302" i="10"/>
  <c r="O4303" i="10"/>
  <c r="O4304" i="10"/>
  <c r="O4305" i="10"/>
  <c r="O4306" i="10"/>
  <c r="O4307" i="10"/>
  <c r="O4308" i="10"/>
  <c r="O4309" i="10"/>
  <c r="O4310" i="10"/>
  <c r="O4311" i="10"/>
  <c r="O4312" i="10"/>
  <c r="O4313" i="10"/>
  <c r="O4314" i="10"/>
  <c r="O4315" i="10"/>
  <c r="O4316" i="10"/>
  <c r="O4317" i="10"/>
  <c r="O4318" i="10"/>
  <c r="O4319" i="10"/>
  <c r="O4320" i="10"/>
  <c r="O4321" i="10"/>
  <c r="O4322" i="10"/>
  <c r="O4323" i="10"/>
  <c r="O4324" i="10"/>
  <c r="O4325" i="10"/>
  <c r="O4326" i="10"/>
  <c r="O4327" i="10"/>
  <c r="O4328" i="10"/>
  <c r="O4329" i="10"/>
  <c r="O4330" i="10"/>
  <c r="O4331" i="10"/>
  <c r="O4332" i="10"/>
  <c r="O4333" i="10"/>
  <c r="O4334" i="10"/>
  <c r="O4335" i="10"/>
  <c r="O4336" i="10"/>
  <c r="O4337" i="10"/>
  <c r="O4338" i="10"/>
  <c r="O4339" i="10"/>
  <c r="O4340" i="10"/>
  <c r="O4341" i="10"/>
  <c r="O4342" i="10"/>
  <c r="O4343" i="10"/>
  <c r="O4344" i="10"/>
  <c r="O4345" i="10"/>
  <c r="O4346" i="10"/>
  <c r="O4347" i="10"/>
  <c r="O4348" i="10"/>
  <c r="O4349" i="10"/>
  <c r="O4350" i="10"/>
  <c r="O4351" i="10"/>
  <c r="O4352" i="10"/>
  <c r="O4353" i="10"/>
  <c r="O4354" i="10"/>
  <c r="O4355" i="10"/>
  <c r="O4356" i="10"/>
  <c r="O4357" i="10"/>
  <c r="O4358" i="10"/>
  <c r="O4359" i="10"/>
  <c r="O4360" i="10"/>
  <c r="O4361" i="10"/>
  <c r="O4362" i="10"/>
  <c r="O4363" i="10"/>
  <c r="O4364" i="10"/>
  <c r="O4365" i="10"/>
  <c r="O4366" i="10"/>
  <c r="O4367" i="10"/>
  <c r="O4368" i="10"/>
  <c r="O4369" i="10"/>
  <c r="O4370" i="10"/>
  <c r="O4371" i="10"/>
  <c r="O4372" i="10"/>
  <c r="O4373" i="10"/>
  <c r="O4374" i="10"/>
  <c r="O4375" i="10"/>
  <c r="O4376" i="10"/>
  <c r="O4377" i="10"/>
  <c r="O4378" i="10"/>
  <c r="O4379" i="10"/>
  <c r="O4380" i="10"/>
  <c r="O4381" i="10"/>
  <c r="O4382" i="10"/>
  <c r="O4383" i="10"/>
  <c r="O4384" i="10"/>
  <c r="O4385" i="10"/>
  <c r="O4386" i="10"/>
  <c r="O4387" i="10"/>
  <c r="O4388" i="10"/>
  <c r="O4389" i="10"/>
  <c r="O4390" i="10"/>
  <c r="O4391" i="10"/>
  <c r="O4392" i="10"/>
  <c r="O4393" i="10"/>
  <c r="O4394" i="10"/>
  <c r="O4395" i="10"/>
  <c r="O4396" i="10"/>
  <c r="O4397" i="10"/>
  <c r="O4398" i="10"/>
  <c r="O4399" i="10"/>
  <c r="O4400" i="10"/>
  <c r="O4401" i="10"/>
  <c r="O4402" i="10"/>
  <c r="O4403" i="10"/>
  <c r="O4404" i="10"/>
  <c r="O4405" i="10"/>
  <c r="O4406" i="10"/>
  <c r="O4407" i="10"/>
  <c r="O4408" i="10"/>
  <c r="O4409" i="10"/>
  <c r="O4410" i="10"/>
  <c r="O4411" i="10"/>
  <c r="O4412" i="10"/>
  <c r="O4413" i="10"/>
  <c r="O4414" i="10"/>
  <c r="O4415" i="10"/>
  <c r="O4416" i="10"/>
  <c r="O4417" i="10"/>
  <c r="O4418" i="10"/>
  <c r="O4419" i="10"/>
  <c r="O4420" i="10"/>
  <c r="O4421" i="10"/>
  <c r="O4422" i="10"/>
  <c r="O4423" i="10"/>
  <c r="O4424" i="10"/>
  <c r="O4425" i="10"/>
  <c r="O4426" i="10"/>
  <c r="O4427" i="10"/>
  <c r="O4428" i="10"/>
  <c r="O4429" i="10"/>
  <c r="O4430" i="10"/>
  <c r="O4431" i="10"/>
  <c r="O4432" i="10"/>
  <c r="O4433" i="10"/>
  <c r="O4434" i="10"/>
  <c r="O4435" i="10"/>
  <c r="O4436" i="10"/>
  <c r="O4437" i="10"/>
  <c r="O4438" i="10"/>
  <c r="O4439" i="10"/>
  <c r="O4440" i="10"/>
  <c r="O4441" i="10"/>
  <c r="O4442" i="10"/>
  <c r="O4443" i="10"/>
  <c r="O4444" i="10"/>
  <c r="O4445" i="10"/>
  <c r="O4446" i="10"/>
  <c r="O4447" i="10"/>
  <c r="O4448" i="10"/>
  <c r="O4449" i="10"/>
  <c r="O4450" i="10"/>
  <c r="O4451" i="10"/>
  <c r="O4452" i="10"/>
  <c r="O4453" i="10"/>
  <c r="O4454" i="10"/>
  <c r="O4455" i="10"/>
  <c r="O4456" i="10"/>
  <c r="O4457" i="10"/>
  <c r="O4458" i="10"/>
  <c r="O4459" i="10"/>
  <c r="O4460" i="10"/>
  <c r="O4461" i="10"/>
  <c r="O4462" i="10"/>
  <c r="O4463" i="10"/>
  <c r="O4464" i="10"/>
  <c r="O4465" i="10"/>
  <c r="O4466" i="10"/>
  <c r="O4467" i="10"/>
  <c r="O4468" i="10"/>
  <c r="O4469" i="10"/>
  <c r="O4470" i="10"/>
  <c r="O4471" i="10"/>
  <c r="O4472" i="10"/>
  <c r="O4473" i="10"/>
  <c r="O4474" i="10"/>
  <c r="O4475" i="10"/>
  <c r="O4476" i="10"/>
  <c r="O4477" i="10"/>
  <c r="O4478" i="10"/>
  <c r="O4479" i="10"/>
  <c r="O4480" i="10"/>
  <c r="O4481" i="10"/>
  <c r="O4482" i="10"/>
  <c r="O4483" i="10"/>
  <c r="O4484" i="10"/>
  <c r="O4485" i="10"/>
  <c r="O4486" i="10"/>
  <c r="O4487" i="10"/>
  <c r="O4488" i="10"/>
  <c r="O4489" i="10"/>
  <c r="O4490" i="10"/>
  <c r="O4491" i="10"/>
  <c r="O4492" i="10"/>
  <c r="O4493" i="10"/>
  <c r="O4494" i="10"/>
  <c r="O4495" i="10"/>
  <c r="O4496" i="10"/>
  <c r="O4497" i="10"/>
  <c r="O4498" i="10"/>
  <c r="O4499" i="10"/>
  <c r="O4500" i="10"/>
  <c r="O4501" i="10"/>
  <c r="O4502" i="10"/>
  <c r="O4503" i="10"/>
  <c r="O4504" i="10"/>
  <c r="O4505" i="10"/>
  <c r="O4506" i="10"/>
  <c r="O4507" i="10"/>
  <c r="O4508" i="10"/>
  <c r="O4509" i="10"/>
  <c r="O4510" i="10"/>
  <c r="O4511" i="10"/>
  <c r="O4512" i="10"/>
  <c r="O4513" i="10"/>
  <c r="O4514" i="10"/>
  <c r="O4515" i="10"/>
  <c r="O4516" i="10"/>
  <c r="O4517" i="10"/>
  <c r="O4518" i="10"/>
  <c r="O4519" i="10"/>
  <c r="O4520" i="10"/>
  <c r="O4521" i="10"/>
  <c r="O4522" i="10"/>
  <c r="O4523" i="10"/>
  <c r="O4524" i="10"/>
  <c r="O4525" i="10"/>
  <c r="O4526" i="10"/>
  <c r="O4527" i="10"/>
  <c r="O4528" i="10"/>
  <c r="O4529" i="10"/>
  <c r="O4530" i="10"/>
  <c r="O4531" i="10"/>
  <c r="O4532" i="10"/>
  <c r="O4533" i="10"/>
  <c r="O4534" i="10"/>
  <c r="O4535" i="10"/>
  <c r="O4536" i="10"/>
  <c r="O4537" i="10"/>
  <c r="O4538" i="10"/>
  <c r="O4539" i="10"/>
  <c r="O4540" i="10"/>
  <c r="O4541" i="10"/>
  <c r="O4542" i="10"/>
  <c r="O4543" i="10"/>
  <c r="O4544" i="10"/>
  <c r="O4545" i="10"/>
  <c r="O4546" i="10"/>
  <c r="O4547" i="10"/>
  <c r="O4548" i="10"/>
  <c r="O4549" i="10"/>
  <c r="O4550" i="10"/>
  <c r="O4551" i="10"/>
  <c r="O4552" i="10"/>
  <c r="O4553" i="10"/>
  <c r="O4554" i="10"/>
  <c r="O4555" i="10"/>
  <c r="O4556" i="10"/>
  <c r="O4557" i="10"/>
  <c r="O4558" i="10"/>
  <c r="O4559" i="10"/>
  <c r="O4560" i="10"/>
  <c r="O4561" i="10"/>
  <c r="O4562" i="10"/>
  <c r="O4563" i="10"/>
  <c r="O4564" i="10"/>
  <c r="O4565" i="10"/>
  <c r="O4566" i="10"/>
  <c r="O4567" i="10"/>
  <c r="O4568" i="10"/>
  <c r="O4569" i="10"/>
  <c r="O4570" i="10"/>
  <c r="O4571" i="10"/>
  <c r="O4572" i="10"/>
  <c r="O4573" i="10"/>
  <c r="O4574" i="10"/>
  <c r="O4575" i="10"/>
  <c r="O4576" i="10"/>
  <c r="O4577" i="10"/>
  <c r="O4578" i="10"/>
  <c r="O4579" i="10"/>
  <c r="O4580" i="10"/>
  <c r="O4581" i="10"/>
  <c r="O4582" i="10"/>
  <c r="O4583" i="10"/>
  <c r="O4584" i="10"/>
  <c r="O4585" i="10"/>
  <c r="O4586" i="10"/>
  <c r="O4587" i="10"/>
  <c r="O4588" i="10"/>
  <c r="O4589" i="10"/>
  <c r="O4590" i="10"/>
  <c r="O4591" i="10"/>
  <c r="O4592" i="10"/>
  <c r="O4593" i="10"/>
  <c r="O4594" i="10"/>
  <c r="O4595" i="10"/>
  <c r="O4596" i="10"/>
  <c r="O4597" i="10"/>
  <c r="O4598" i="10"/>
  <c r="O4599" i="10"/>
  <c r="O4600" i="10"/>
  <c r="O4601" i="10"/>
  <c r="O4602" i="10"/>
  <c r="O4603" i="10"/>
  <c r="O4604" i="10"/>
  <c r="O4605" i="10"/>
  <c r="O4606" i="10"/>
  <c r="O4607" i="10"/>
  <c r="O4608" i="10"/>
  <c r="O4609" i="10"/>
  <c r="O4610" i="10"/>
  <c r="O4611" i="10"/>
  <c r="O4612" i="10"/>
  <c r="O4613" i="10"/>
  <c r="O4614" i="10"/>
  <c r="O4615" i="10"/>
  <c r="O4616" i="10"/>
  <c r="O4617" i="10"/>
  <c r="O4618" i="10"/>
  <c r="O4619" i="10"/>
  <c r="O4620" i="10"/>
  <c r="O4621" i="10"/>
  <c r="O4622" i="10"/>
  <c r="O4623" i="10"/>
  <c r="O4624" i="10"/>
  <c r="O4625" i="10"/>
  <c r="O4626" i="10"/>
  <c r="O4627" i="10"/>
  <c r="O4628" i="10"/>
  <c r="O4629" i="10"/>
  <c r="O4630" i="10"/>
  <c r="O4631" i="10"/>
  <c r="O4632" i="10"/>
  <c r="O4633" i="10"/>
  <c r="O4634" i="10"/>
  <c r="O4635" i="10"/>
  <c r="O4636" i="10"/>
  <c r="O4637" i="10"/>
  <c r="O4638" i="10"/>
  <c r="O4639" i="10"/>
  <c r="O4640" i="10"/>
  <c r="O4641" i="10"/>
  <c r="O4642" i="10"/>
  <c r="O4643" i="10"/>
  <c r="O4644" i="10"/>
  <c r="O4645" i="10"/>
  <c r="O4646" i="10"/>
  <c r="O4647" i="10"/>
  <c r="O4648" i="10"/>
  <c r="O4649" i="10"/>
  <c r="O4650" i="10"/>
  <c r="O4651" i="10"/>
  <c r="O4652" i="10"/>
  <c r="O4653" i="10"/>
  <c r="O4654" i="10"/>
  <c r="O4655" i="10"/>
  <c r="O4656" i="10"/>
  <c r="O4657" i="10"/>
  <c r="O4658" i="10"/>
  <c r="O4659" i="10"/>
  <c r="O4660" i="10"/>
  <c r="O4661" i="10"/>
  <c r="O4662" i="10"/>
  <c r="O4663" i="10"/>
  <c r="O4664" i="10"/>
  <c r="O4665" i="10"/>
  <c r="O4666" i="10"/>
  <c r="O4667" i="10"/>
  <c r="O4668" i="10"/>
  <c r="O4669" i="10"/>
  <c r="O4670" i="10"/>
  <c r="O4671" i="10"/>
  <c r="O4672" i="10"/>
  <c r="O4673" i="10"/>
  <c r="O4674" i="10"/>
  <c r="O4675" i="10"/>
  <c r="O4676" i="10"/>
  <c r="O4677" i="10"/>
  <c r="O4678" i="10"/>
  <c r="O4679" i="10"/>
  <c r="O4680" i="10"/>
  <c r="O4681" i="10"/>
  <c r="O4682" i="10"/>
  <c r="O4683" i="10"/>
  <c r="O4684" i="10"/>
  <c r="O4685" i="10"/>
  <c r="O4686" i="10"/>
  <c r="O4687" i="10"/>
  <c r="O4688" i="10"/>
  <c r="O4689" i="10"/>
  <c r="O4690" i="10"/>
  <c r="O4691" i="10"/>
  <c r="O4692" i="10"/>
  <c r="O4693" i="10"/>
  <c r="O4694" i="10"/>
  <c r="O4695" i="10"/>
  <c r="O4696" i="10"/>
  <c r="O4697" i="10"/>
  <c r="O4698" i="10"/>
  <c r="O4699" i="10"/>
  <c r="O4700" i="10"/>
  <c r="O4701" i="10"/>
  <c r="O4702" i="10"/>
  <c r="O4703" i="10"/>
  <c r="O4704" i="10"/>
  <c r="O4705" i="10"/>
  <c r="O4706" i="10"/>
  <c r="O4707" i="10"/>
  <c r="O4708" i="10"/>
  <c r="O4709" i="10"/>
  <c r="O4710" i="10"/>
  <c r="O4711" i="10"/>
  <c r="O4712" i="10"/>
  <c r="O4713" i="10"/>
  <c r="O4714" i="10"/>
  <c r="O4715" i="10"/>
  <c r="O4716" i="10"/>
  <c r="O4717" i="10"/>
  <c r="O4718" i="10"/>
  <c r="O4719" i="10"/>
  <c r="O4720" i="10"/>
  <c r="O4721" i="10"/>
  <c r="O4722" i="10"/>
  <c r="O4723" i="10"/>
  <c r="O4724" i="10"/>
  <c r="O4725" i="10"/>
  <c r="O4726" i="10"/>
  <c r="O4727" i="10"/>
  <c r="O4728" i="10"/>
  <c r="O4729" i="10"/>
  <c r="O4730" i="10"/>
  <c r="O4731" i="10"/>
  <c r="O4732" i="10"/>
  <c r="O4733" i="10"/>
  <c r="O4734" i="10"/>
  <c r="O4735" i="10"/>
  <c r="O4736" i="10"/>
  <c r="O4737" i="10"/>
  <c r="O4738" i="10"/>
  <c r="O4739" i="10"/>
  <c r="O4740" i="10"/>
  <c r="O4741" i="10"/>
  <c r="O4742" i="10"/>
  <c r="O4743" i="10"/>
  <c r="O4744" i="10"/>
  <c r="O4745" i="10"/>
  <c r="O4746" i="10"/>
  <c r="O4747" i="10"/>
  <c r="O4748" i="10"/>
  <c r="O4749" i="10"/>
  <c r="O4750" i="10"/>
  <c r="O4751" i="10"/>
  <c r="O4752" i="10"/>
  <c r="O4753" i="10"/>
  <c r="O4754" i="10"/>
  <c r="O4755" i="10"/>
  <c r="O4756" i="10"/>
  <c r="O4757" i="10"/>
  <c r="O4758" i="10"/>
  <c r="O4759" i="10"/>
  <c r="O4760" i="10"/>
  <c r="O4761" i="10"/>
  <c r="O4762" i="10"/>
  <c r="O4763" i="10"/>
  <c r="O4764" i="10"/>
  <c r="O4765" i="10"/>
  <c r="O4766" i="10"/>
  <c r="O4767" i="10"/>
  <c r="O4768" i="10"/>
  <c r="O4769" i="10"/>
  <c r="O4770" i="10"/>
  <c r="O4771" i="10"/>
  <c r="O4772" i="10"/>
  <c r="O4773" i="10"/>
  <c r="O4774" i="10"/>
  <c r="O4775" i="10"/>
  <c r="O4776" i="10"/>
  <c r="O4777" i="10"/>
  <c r="O4778" i="10"/>
  <c r="O4779" i="10"/>
  <c r="O4780" i="10"/>
  <c r="O4781" i="10"/>
  <c r="O4782" i="10"/>
  <c r="O4783" i="10"/>
  <c r="O4784" i="10"/>
  <c r="O4785" i="10"/>
  <c r="O4786" i="10"/>
  <c r="O4787" i="10"/>
  <c r="O4788" i="10"/>
  <c r="O4789" i="10"/>
  <c r="O4790" i="10"/>
  <c r="O4791" i="10"/>
  <c r="O4792" i="10"/>
  <c r="O4793" i="10"/>
  <c r="O4794" i="10"/>
  <c r="O4795" i="10"/>
  <c r="O4796" i="10"/>
  <c r="O4797" i="10"/>
  <c r="O4798" i="10"/>
  <c r="O4799" i="10"/>
  <c r="O4800" i="10"/>
  <c r="O4801" i="10"/>
  <c r="O4802" i="10"/>
  <c r="O4803" i="10"/>
  <c r="O4804" i="10"/>
  <c r="O4805" i="10"/>
  <c r="O4806" i="10"/>
  <c r="O4807" i="10"/>
  <c r="O4808" i="10"/>
  <c r="O4809" i="10"/>
  <c r="O4810" i="10"/>
  <c r="O4811" i="10"/>
  <c r="O4812" i="10"/>
  <c r="O4813" i="10"/>
  <c r="O4814" i="10"/>
  <c r="O4815" i="10"/>
  <c r="O4816" i="10"/>
  <c r="O4817" i="10"/>
  <c r="O4818" i="10"/>
  <c r="O4819" i="10"/>
  <c r="O4820" i="10"/>
  <c r="O4821" i="10"/>
  <c r="O4822" i="10"/>
  <c r="O4823" i="10"/>
  <c r="O4824" i="10"/>
  <c r="O4825" i="10"/>
  <c r="O4826" i="10"/>
  <c r="O4827" i="10"/>
  <c r="O4828" i="10"/>
  <c r="O4829" i="10"/>
  <c r="O4830" i="10"/>
  <c r="O4831" i="10"/>
  <c r="O4832" i="10"/>
  <c r="O4833" i="10"/>
  <c r="O4834" i="10"/>
  <c r="O4835" i="10"/>
  <c r="O4836" i="10"/>
  <c r="O4837" i="10"/>
  <c r="O4838" i="10"/>
  <c r="O4839" i="10"/>
  <c r="O4840" i="10"/>
  <c r="O4841" i="10"/>
  <c r="O4842" i="10"/>
  <c r="O4843" i="10"/>
  <c r="O4844" i="10"/>
  <c r="O4845" i="10"/>
  <c r="O4846" i="10"/>
  <c r="O4847" i="10"/>
  <c r="O4848" i="10"/>
  <c r="O4849" i="10"/>
  <c r="O4850" i="10"/>
  <c r="O4851" i="10"/>
  <c r="O4852" i="10"/>
  <c r="O4853" i="10"/>
  <c r="O4854" i="10"/>
  <c r="O4855" i="10"/>
  <c r="O4856" i="10"/>
  <c r="O4857" i="10"/>
  <c r="O4858" i="10"/>
  <c r="O4859" i="10"/>
  <c r="O4860" i="10"/>
  <c r="O4861" i="10"/>
  <c r="O4862" i="10"/>
  <c r="O4863" i="10"/>
  <c r="O4864" i="10"/>
  <c r="O4865" i="10"/>
  <c r="O4866" i="10"/>
  <c r="O4867" i="10"/>
  <c r="O4868" i="10"/>
  <c r="O4869" i="10"/>
  <c r="O4870" i="10"/>
  <c r="O4871" i="10"/>
  <c r="O4872" i="10"/>
  <c r="O4873" i="10"/>
  <c r="Q6" i="10"/>
  <c r="Q1" i="10"/>
  <c r="Q5" i="10"/>
  <c r="Q4" i="10"/>
  <c r="Q2" i="10"/>
  <c r="I7" i="9"/>
  <c r="E138" i="8"/>
  <c r="E139" i="8"/>
  <c r="E140" i="8"/>
  <c r="E141" i="8"/>
  <c r="B138" i="8"/>
  <c r="C138" i="8"/>
  <c r="D138" i="8"/>
  <c r="B139" i="8"/>
  <c r="C139" i="8"/>
  <c r="D139" i="8"/>
  <c r="B140" i="8"/>
  <c r="C140" i="8"/>
  <c r="D140" i="8"/>
  <c r="B141" i="8"/>
  <c r="C141" i="8"/>
  <c r="D141" i="8"/>
  <c r="B142" i="8"/>
  <c r="C142" i="8"/>
  <c r="D142" i="8"/>
  <c r="E142" i="8"/>
  <c r="B143" i="8"/>
  <c r="C143" i="8"/>
  <c r="D143" i="8"/>
  <c r="E143" i="8"/>
  <c r="B144" i="8"/>
  <c r="C144" i="8"/>
  <c r="D144" i="8"/>
  <c r="E144" i="8"/>
  <c r="B145" i="8"/>
  <c r="C145" i="8"/>
  <c r="D145" i="8"/>
  <c r="E145" i="8"/>
  <c r="B146" i="8"/>
  <c r="C146" i="8"/>
  <c r="D146" i="8"/>
  <c r="E146" i="8"/>
  <c r="B147" i="8"/>
  <c r="C147" i="8"/>
  <c r="D147" i="8"/>
  <c r="E147" i="8"/>
  <c r="B25" i="6"/>
  <c r="C25" i="6"/>
  <c r="D25" i="6"/>
  <c r="E25" i="6"/>
  <c r="F25" i="6"/>
  <c r="G25" i="6"/>
  <c r="H25" i="6"/>
  <c r="B26" i="6"/>
  <c r="C26" i="6"/>
  <c r="D26" i="6"/>
  <c r="E26" i="6"/>
  <c r="F26" i="6"/>
  <c r="G26" i="6"/>
  <c r="H26" i="6"/>
  <c r="B27" i="6"/>
  <c r="C27" i="6"/>
  <c r="D27" i="6"/>
  <c r="E27" i="6"/>
  <c r="F27" i="6"/>
  <c r="G27" i="6"/>
  <c r="H27" i="6"/>
  <c r="B28" i="6"/>
  <c r="C28" i="6"/>
  <c r="D28" i="6"/>
  <c r="E28" i="6"/>
  <c r="F28" i="6"/>
  <c r="G28" i="6"/>
  <c r="H28" i="6"/>
  <c r="B29" i="6"/>
  <c r="C29" i="6"/>
  <c r="D29" i="6"/>
  <c r="E29" i="6"/>
  <c r="F29" i="6"/>
  <c r="G29" i="6"/>
  <c r="H29" i="6"/>
  <c r="B30" i="6"/>
  <c r="C30" i="6"/>
  <c r="D30" i="6"/>
  <c r="E30" i="6"/>
  <c r="F30" i="6"/>
  <c r="G30" i="6"/>
  <c r="H30" i="6"/>
  <c r="B31" i="6"/>
  <c r="C31" i="6"/>
  <c r="D31" i="6"/>
  <c r="E31" i="6"/>
  <c r="F31" i="6"/>
  <c r="G31" i="6"/>
  <c r="H31" i="6"/>
  <c r="B32" i="6"/>
  <c r="C32" i="6"/>
  <c r="D32" i="6"/>
  <c r="E32" i="6"/>
  <c r="F32" i="6"/>
  <c r="G32" i="6"/>
  <c r="H32" i="6"/>
  <c r="B33" i="6"/>
  <c r="C33" i="6"/>
  <c r="D33" i="6"/>
  <c r="E33" i="6"/>
  <c r="F33" i="6"/>
  <c r="G33" i="6"/>
  <c r="H33" i="6"/>
  <c r="B34" i="6"/>
  <c r="C34" i="6"/>
  <c r="D34" i="6"/>
  <c r="E34" i="6"/>
  <c r="F34" i="6"/>
  <c r="G34" i="6"/>
  <c r="H34" i="6"/>
  <c r="B35" i="6"/>
  <c r="C35" i="6"/>
  <c r="D35" i="6"/>
  <c r="E35" i="6"/>
  <c r="F35" i="6"/>
  <c r="G35" i="6"/>
  <c r="H35" i="6"/>
  <c r="B36" i="6"/>
  <c r="C36" i="6"/>
  <c r="D36" i="6"/>
  <c r="E36" i="6"/>
  <c r="F36" i="6"/>
  <c r="G36" i="6"/>
  <c r="H36" i="6"/>
  <c r="B37" i="6"/>
  <c r="C37" i="6"/>
  <c r="D37" i="6"/>
  <c r="E37" i="6"/>
  <c r="F37" i="6"/>
  <c r="G37" i="6"/>
  <c r="H37" i="6"/>
  <c r="B38" i="6"/>
  <c r="C38" i="6"/>
  <c r="D38" i="6"/>
  <c r="E38" i="6"/>
  <c r="F38" i="6"/>
  <c r="G38" i="6"/>
  <c r="H38" i="6"/>
  <c r="B39" i="6"/>
  <c r="C39" i="6"/>
  <c r="D39" i="6"/>
  <c r="E39" i="6"/>
  <c r="F39" i="6"/>
  <c r="G39" i="6"/>
  <c r="H39" i="6"/>
  <c r="B40" i="6"/>
  <c r="C40" i="6"/>
  <c r="D40" i="6"/>
  <c r="E40" i="6"/>
  <c r="F40" i="6"/>
  <c r="G40" i="6"/>
  <c r="H40" i="6"/>
  <c r="B41" i="6"/>
  <c r="C41" i="6"/>
  <c r="D41" i="6"/>
  <c r="E41" i="6"/>
  <c r="F41" i="6"/>
  <c r="G41" i="6"/>
  <c r="H41" i="6"/>
  <c r="B42" i="6"/>
  <c r="C42" i="6"/>
  <c r="D42" i="6"/>
  <c r="E42" i="6"/>
  <c r="F42" i="6"/>
  <c r="G42" i="6"/>
  <c r="H42" i="6"/>
  <c r="B43" i="6"/>
  <c r="C43" i="6"/>
  <c r="D43" i="6"/>
  <c r="E43" i="6"/>
  <c r="F43" i="6"/>
  <c r="G43" i="6"/>
  <c r="H43" i="6"/>
  <c r="B44" i="6"/>
  <c r="C44" i="6"/>
  <c r="D44" i="6"/>
  <c r="E44" i="6"/>
  <c r="F44" i="6"/>
  <c r="G44" i="6"/>
  <c r="H44" i="6"/>
  <c r="B45" i="6"/>
  <c r="C45" i="6"/>
  <c r="D45" i="6"/>
  <c r="E45" i="6"/>
  <c r="F45" i="6"/>
  <c r="G45" i="6"/>
  <c r="H45" i="6"/>
  <c r="B46" i="6"/>
  <c r="C46" i="6"/>
  <c r="D46" i="6"/>
  <c r="E46" i="6"/>
  <c r="F46" i="6"/>
  <c r="G46" i="6"/>
  <c r="H46" i="6"/>
  <c r="B47" i="6"/>
  <c r="C47" i="6"/>
  <c r="D47" i="6"/>
  <c r="E47" i="6"/>
  <c r="F47" i="6"/>
  <c r="G47" i="6"/>
  <c r="H47" i="6"/>
  <c r="B48" i="6"/>
  <c r="C48" i="6"/>
  <c r="D48" i="6"/>
  <c r="E48" i="6"/>
  <c r="F48" i="6"/>
  <c r="G48" i="6"/>
  <c r="H48" i="6"/>
  <c r="B49" i="6"/>
  <c r="C49" i="6"/>
  <c r="D49" i="6"/>
  <c r="E49" i="6"/>
  <c r="F49" i="6"/>
  <c r="G49" i="6"/>
  <c r="H49" i="6"/>
  <c r="B50" i="6"/>
  <c r="C50" i="6"/>
  <c r="D50" i="6"/>
  <c r="E50" i="6"/>
  <c r="F50" i="6"/>
  <c r="G50" i="6"/>
  <c r="H50" i="6"/>
  <c r="B51" i="6"/>
  <c r="C51" i="6"/>
  <c r="D51" i="6"/>
  <c r="E51" i="6"/>
  <c r="F51" i="6"/>
  <c r="G51" i="6"/>
  <c r="H51" i="6"/>
  <c r="B52" i="6"/>
  <c r="C52" i="6"/>
  <c r="D52" i="6"/>
  <c r="E52" i="6"/>
  <c r="F52" i="6"/>
  <c r="G52" i="6"/>
  <c r="H52" i="6"/>
  <c r="B53" i="6"/>
  <c r="C53" i="6"/>
  <c r="D53" i="6"/>
  <c r="E53" i="6"/>
  <c r="F53" i="6"/>
  <c r="G53" i="6"/>
  <c r="H53" i="6"/>
  <c r="B54" i="6"/>
  <c r="C54" i="6"/>
  <c r="D54" i="6"/>
  <c r="E54" i="6"/>
  <c r="F54" i="6"/>
  <c r="G54" i="6"/>
  <c r="H54" i="6"/>
  <c r="B55" i="6"/>
  <c r="C55" i="6"/>
  <c r="D55" i="6"/>
  <c r="E55" i="6"/>
  <c r="F55" i="6"/>
  <c r="G55" i="6"/>
  <c r="H55" i="6"/>
  <c r="B56" i="6"/>
  <c r="C56" i="6"/>
  <c r="D56" i="6"/>
  <c r="E56" i="6"/>
  <c r="F56" i="6"/>
  <c r="G56" i="6"/>
  <c r="H56" i="6"/>
  <c r="B57" i="6"/>
  <c r="C57" i="6"/>
  <c r="D57" i="6"/>
  <c r="E57" i="6"/>
  <c r="F57" i="6"/>
  <c r="G57" i="6"/>
  <c r="H57" i="6"/>
  <c r="B58" i="6"/>
  <c r="C58" i="6"/>
  <c r="D58" i="6"/>
  <c r="E58" i="6"/>
  <c r="F58" i="6"/>
  <c r="G58" i="6"/>
  <c r="H58" i="6"/>
  <c r="B59" i="6"/>
  <c r="C59" i="6"/>
  <c r="D59" i="6"/>
  <c r="E59" i="6"/>
  <c r="F59" i="6"/>
  <c r="G59" i="6"/>
  <c r="H59" i="6"/>
  <c r="B60" i="6"/>
  <c r="C60" i="6"/>
  <c r="D60" i="6"/>
  <c r="E60" i="6"/>
  <c r="F60" i="6"/>
  <c r="G60" i="6"/>
  <c r="H60" i="6"/>
  <c r="B61" i="6"/>
  <c r="C61" i="6"/>
  <c r="D61" i="6"/>
  <c r="E61" i="6"/>
  <c r="F61" i="6"/>
  <c r="G61" i="6"/>
  <c r="H61" i="6"/>
  <c r="B62" i="6"/>
  <c r="C62" i="6"/>
  <c r="D62" i="6"/>
  <c r="E62" i="6"/>
  <c r="F62" i="6"/>
  <c r="G62" i="6"/>
  <c r="H62" i="6"/>
  <c r="B63" i="6"/>
  <c r="C63" i="6"/>
  <c r="D63" i="6"/>
  <c r="E63" i="6"/>
  <c r="F63" i="6"/>
  <c r="G63" i="6"/>
  <c r="H63" i="6"/>
  <c r="B64" i="6"/>
  <c r="C64" i="6"/>
  <c r="D64" i="6"/>
  <c r="E64" i="6"/>
  <c r="F64" i="6"/>
  <c r="G64" i="6"/>
  <c r="H64" i="6"/>
  <c r="B65" i="6"/>
  <c r="C65" i="6"/>
  <c r="D65" i="6"/>
  <c r="E65" i="6"/>
  <c r="F65" i="6"/>
  <c r="G65" i="6"/>
  <c r="H65" i="6"/>
  <c r="B66" i="6"/>
  <c r="C66" i="6"/>
  <c r="D66" i="6"/>
  <c r="E66" i="6"/>
  <c r="F66" i="6"/>
  <c r="G66" i="6"/>
  <c r="H66" i="6"/>
  <c r="B67" i="6"/>
  <c r="C67" i="6"/>
  <c r="D67" i="6"/>
  <c r="E67" i="6"/>
  <c r="F67" i="6"/>
  <c r="G67" i="6"/>
  <c r="H67" i="6"/>
  <c r="B68" i="6"/>
  <c r="C68" i="6"/>
  <c r="D68" i="6"/>
  <c r="E68" i="6"/>
  <c r="F68" i="6"/>
  <c r="G68" i="6"/>
  <c r="H68" i="6"/>
  <c r="B69" i="6"/>
  <c r="C69" i="6"/>
  <c r="D69" i="6"/>
  <c r="E69" i="6"/>
  <c r="F69" i="6"/>
  <c r="G69" i="6"/>
  <c r="H69" i="6"/>
  <c r="B70" i="6"/>
  <c r="C70" i="6"/>
  <c r="D70" i="6"/>
  <c r="E70" i="6"/>
  <c r="F70" i="6"/>
  <c r="G70" i="6"/>
  <c r="H70" i="6"/>
  <c r="B71" i="6"/>
  <c r="C71" i="6"/>
  <c r="D71" i="6"/>
  <c r="E71" i="6"/>
  <c r="F71" i="6"/>
  <c r="G71" i="6"/>
  <c r="H71" i="6"/>
  <c r="B72" i="6"/>
  <c r="C72" i="6"/>
  <c r="D72" i="6"/>
  <c r="E72" i="6"/>
  <c r="F72" i="6"/>
  <c r="G72" i="6"/>
  <c r="H72" i="6"/>
  <c r="B73" i="6"/>
  <c r="C73" i="6"/>
  <c r="D73" i="6"/>
  <c r="E73" i="6"/>
  <c r="F73" i="6"/>
  <c r="G73" i="6"/>
  <c r="H73" i="6"/>
  <c r="B74" i="6"/>
  <c r="C74" i="6"/>
  <c r="D74" i="6"/>
  <c r="E74" i="6"/>
  <c r="F74" i="6"/>
  <c r="G74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B75" i="6"/>
  <c r="C75" i="6"/>
  <c r="D75" i="6"/>
  <c r="E75" i="6"/>
  <c r="F75" i="6"/>
  <c r="G75" i="6"/>
  <c r="B76" i="6"/>
  <c r="C76" i="6"/>
  <c r="D76" i="6"/>
  <c r="E76" i="6"/>
  <c r="F76" i="6"/>
  <c r="G76" i="6"/>
  <c r="B77" i="6"/>
  <c r="C77" i="6"/>
  <c r="D77" i="6"/>
  <c r="E77" i="6"/>
  <c r="F77" i="6"/>
  <c r="G77" i="6"/>
  <c r="B78" i="6"/>
  <c r="C78" i="6"/>
  <c r="D78" i="6"/>
  <c r="E78" i="6"/>
  <c r="F78" i="6"/>
  <c r="G78" i="6"/>
  <c r="B79" i="6"/>
  <c r="C79" i="6"/>
  <c r="D79" i="6"/>
  <c r="E79" i="6"/>
  <c r="F79" i="6"/>
  <c r="G79" i="6"/>
  <c r="B80" i="6"/>
  <c r="C80" i="6"/>
  <c r="D80" i="6"/>
  <c r="E80" i="6"/>
  <c r="F80" i="6"/>
  <c r="G80" i="6"/>
  <c r="B81" i="6"/>
  <c r="C81" i="6"/>
  <c r="D81" i="6"/>
  <c r="E81" i="6"/>
  <c r="F81" i="6"/>
  <c r="G81" i="6"/>
  <c r="B82" i="6"/>
  <c r="C82" i="6"/>
  <c r="D82" i="6"/>
  <c r="E82" i="6"/>
  <c r="F82" i="6"/>
  <c r="G82" i="6"/>
  <c r="B83" i="6"/>
  <c r="C83" i="6"/>
  <c r="D83" i="6"/>
  <c r="E83" i="6"/>
  <c r="F83" i="6"/>
  <c r="G83" i="6"/>
  <c r="B84" i="6"/>
  <c r="C84" i="6"/>
  <c r="D84" i="6"/>
  <c r="E84" i="6"/>
  <c r="F84" i="6"/>
  <c r="G84" i="6"/>
  <c r="B85" i="6"/>
  <c r="C85" i="6"/>
  <c r="D85" i="6"/>
  <c r="E85" i="6"/>
  <c r="F85" i="6"/>
  <c r="G85" i="6"/>
  <c r="B86" i="6"/>
  <c r="C86" i="6"/>
  <c r="D86" i="6"/>
  <c r="E86" i="6"/>
  <c r="F86" i="6"/>
  <c r="G86" i="6"/>
  <c r="B87" i="6"/>
  <c r="C87" i="6"/>
  <c r="D87" i="6"/>
  <c r="E87" i="6"/>
  <c r="F87" i="6"/>
  <c r="G87" i="6"/>
  <c r="B88" i="6"/>
  <c r="C88" i="6"/>
  <c r="D88" i="6"/>
  <c r="E88" i="6"/>
  <c r="F88" i="6"/>
  <c r="G88" i="6"/>
  <c r="B89" i="6"/>
  <c r="C89" i="6"/>
  <c r="D89" i="6"/>
  <c r="E89" i="6"/>
  <c r="F89" i="6"/>
  <c r="G89" i="6"/>
  <c r="B90" i="6"/>
  <c r="C90" i="6"/>
  <c r="D90" i="6"/>
  <c r="E90" i="6"/>
  <c r="F90" i="6"/>
  <c r="G90" i="6"/>
  <c r="B91" i="6"/>
  <c r="C91" i="6"/>
  <c r="D91" i="6"/>
  <c r="E91" i="6"/>
  <c r="F91" i="6"/>
  <c r="G91" i="6"/>
  <c r="B92" i="6"/>
  <c r="C92" i="6"/>
  <c r="D92" i="6"/>
  <c r="E92" i="6"/>
  <c r="F92" i="6"/>
  <c r="G92" i="6"/>
  <c r="B93" i="6"/>
  <c r="C93" i="6"/>
  <c r="D93" i="6"/>
  <c r="E93" i="6"/>
  <c r="F93" i="6"/>
  <c r="G93" i="6"/>
  <c r="B94" i="6"/>
  <c r="C94" i="6"/>
  <c r="D94" i="6"/>
  <c r="E94" i="6"/>
  <c r="F94" i="6"/>
  <c r="G94" i="6"/>
  <c r="B95" i="6"/>
  <c r="C95" i="6"/>
  <c r="D95" i="6"/>
  <c r="E95" i="6"/>
  <c r="F95" i="6"/>
  <c r="G95" i="6"/>
  <c r="B96" i="6"/>
  <c r="C96" i="6"/>
  <c r="D96" i="6"/>
  <c r="E96" i="6"/>
  <c r="F96" i="6"/>
  <c r="G96" i="6"/>
  <c r="B97" i="6"/>
  <c r="C97" i="6"/>
  <c r="D97" i="6"/>
  <c r="E97" i="6"/>
  <c r="F97" i="6"/>
  <c r="G97" i="6"/>
  <c r="B98" i="6"/>
  <c r="C98" i="6"/>
  <c r="D98" i="6"/>
  <c r="E98" i="6"/>
  <c r="F98" i="6"/>
  <c r="G98" i="6"/>
  <c r="B99" i="6"/>
  <c r="C99" i="6"/>
  <c r="D99" i="6"/>
  <c r="E99" i="6"/>
  <c r="F99" i="6"/>
  <c r="G99" i="6"/>
  <c r="B100" i="6"/>
  <c r="C100" i="6"/>
  <c r="D100" i="6"/>
  <c r="E100" i="6"/>
  <c r="F100" i="6"/>
  <c r="G100" i="6"/>
  <c r="B101" i="6"/>
  <c r="C101" i="6"/>
  <c r="D101" i="6"/>
  <c r="E101" i="6"/>
  <c r="F101" i="6"/>
  <c r="G101" i="6"/>
  <c r="B102" i="6"/>
  <c r="C102" i="6"/>
  <c r="D102" i="6"/>
  <c r="E102" i="6"/>
  <c r="F102" i="6"/>
  <c r="G102" i="6"/>
  <c r="B103" i="6"/>
  <c r="C103" i="6"/>
  <c r="D103" i="6"/>
  <c r="E103" i="6"/>
  <c r="F103" i="6"/>
  <c r="G103" i="6"/>
  <c r="B104" i="6"/>
  <c r="C104" i="6"/>
  <c r="D104" i="6"/>
  <c r="E104" i="6"/>
  <c r="F104" i="6"/>
  <c r="G104" i="6"/>
  <c r="B105" i="6"/>
  <c r="C105" i="6"/>
  <c r="D105" i="6"/>
  <c r="E105" i="6"/>
  <c r="F105" i="6"/>
  <c r="G105" i="6"/>
  <c r="B106" i="6"/>
  <c r="C106" i="6"/>
  <c r="D106" i="6"/>
  <c r="E106" i="6"/>
  <c r="F106" i="6"/>
  <c r="G106" i="6"/>
  <c r="B107" i="6"/>
  <c r="C107" i="6"/>
  <c r="D107" i="6"/>
  <c r="E107" i="6"/>
  <c r="F107" i="6"/>
  <c r="G107" i="6"/>
  <c r="B108" i="6"/>
  <c r="C108" i="6"/>
  <c r="D108" i="6"/>
  <c r="E108" i="6"/>
  <c r="F108" i="6"/>
  <c r="G108" i="6"/>
  <c r="B109" i="6"/>
  <c r="C109" i="6"/>
  <c r="D109" i="6"/>
  <c r="E109" i="6"/>
  <c r="F109" i="6"/>
  <c r="G109" i="6"/>
  <c r="B110" i="6"/>
  <c r="C110" i="6"/>
  <c r="D110" i="6"/>
  <c r="E110" i="6"/>
  <c r="F110" i="6"/>
  <c r="G110" i="6"/>
  <c r="B111" i="6"/>
  <c r="C111" i="6"/>
  <c r="D111" i="6"/>
  <c r="E111" i="6"/>
  <c r="F111" i="6"/>
  <c r="G111" i="6"/>
  <c r="B112" i="6"/>
  <c r="C112" i="6"/>
  <c r="D112" i="6"/>
  <c r="E112" i="6"/>
  <c r="F112" i="6"/>
  <c r="G112" i="6"/>
  <c r="B113" i="6"/>
  <c r="C113" i="6"/>
  <c r="D113" i="6"/>
  <c r="E113" i="6"/>
  <c r="F113" i="6"/>
  <c r="G113" i="6"/>
  <c r="B114" i="6"/>
  <c r="C114" i="6"/>
  <c r="D114" i="6"/>
  <c r="E114" i="6"/>
  <c r="F114" i="6"/>
  <c r="G114" i="6"/>
  <c r="B115" i="6"/>
  <c r="C115" i="6"/>
  <c r="D115" i="6"/>
  <c r="E115" i="6"/>
  <c r="F115" i="6"/>
  <c r="G115" i="6"/>
  <c r="B116" i="6"/>
  <c r="C116" i="6"/>
  <c r="D116" i="6"/>
  <c r="E116" i="6"/>
  <c r="F116" i="6"/>
  <c r="G116" i="6"/>
  <c r="B117" i="6"/>
  <c r="C117" i="6"/>
  <c r="D117" i="6"/>
  <c r="E117" i="6"/>
  <c r="F117" i="6"/>
  <c r="G117" i="6"/>
  <c r="B118" i="6"/>
  <c r="C118" i="6"/>
  <c r="D118" i="6"/>
  <c r="E118" i="6"/>
  <c r="F118" i="6"/>
  <c r="G118" i="6"/>
  <c r="B119" i="6"/>
  <c r="C119" i="6"/>
  <c r="D119" i="6"/>
  <c r="E119" i="6"/>
  <c r="F119" i="6"/>
  <c r="G119" i="6"/>
  <c r="B120" i="6"/>
  <c r="C120" i="6"/>
  <c r="D120" i="6"/>
  <c r="E120" i="6"/>
  <c r="F120" i="6"/>
  <c r="G120" i="6"/>
  <c r="B121" i="6"/>
  <c r="C121" i="6"/>
  <c r="D121" i="6"/>
  <c r="E121" i="6"/>
  <c r="F121" i="6"/>
  <c r="G121" i="6"/>
  <c r="B122" i="6"/>
  <c r="C122" i="6"/>
  <c r="D122" i="6"/>
  <c r="E122" i="6"/>
  <c r="F122" i="6"/>
  <c r="G122" i="6"/>
  <c r="B123" i="6"/>
  <c r="C123" i="6"/>
  <c r="D123" i="6"/>
  <c r="E123" i="6"/>
  <c r="F123" i="6"/>
  <c r="G123" i="6"/>
  <c r="B124" i="6"/>
  <c r="C124" i="6"/>
  <c r="D124" i="6"/>
  <c r="E124" i="6"/>
  <c r="F124" i="6"/>
  <c r="G124" i="6"/>
  <c r="B125" i="6"/>
  <c r="C125" i="6"/>
  <c r="D125" i="6"/>
  <c r="E125" i="6"/>
  <c r="F125" i="6"/>
  <c r="G125" i="6"/>
  <c r="B126" i="6"/>
  <c r="C126" i="6"/>
  <c r="D126" i="6"/>
  <c r="E126" i="6"/>
  <c r="F126" i="6"/>
  <c r="G126" i="6"/>
  <c r="B127" i="6"/>
  <c r="C127" i="6"/>
  <c r="D127" i="6"/>
  <c r="E127" i="6"/>
  <c r="F127" i="6"/>
  <c r="G127" i="6"/>
  <c r="B128" i="6"/>
  <c r="C128" i="6"/>
  <c r="D128" i="6"/>
  <c r="E128" i="6"/>
  <c r="F128" i="6"/>
  <c r="G128" i="6"/>
  <c r="B129" i="6"/>
  <c r="C129" i="6"/>
  <c r="D129" i="6"/>
  <c r="E129" i="6"/>
  <c r="F129" i="6"/>
  <c r="G129" i="6"/>
  <c r="B130" i="6"/>
  <c r="C130" i="6"/>
  <c r="D130" i="6"/>
  <c r="E130" i="6"/>
  <c r="F130" i="6"/>
  <c r="G130" i="6"/>
  <c r="B131" i="6"/>
  <c r="C131" i="6"/>
  <c r="D131" i="6"/>
  <c r="E131" i="6"/>
  <c r="F131" i="6"/>
  <c r="G131" i="6"/>
  <c r="B132" i="6"/>
  <c r="C132" i="6"/>
  <c r="D132" i="6"/>
  <c r="E132" i="6"/>
  <c r="F132" i="6"/>
  <c r="G132" i="6"/>
  <c r="B133" i="6"/>
  <c r="C133" i="6"/>
  <c r="D133" i="6"/>
  <c r="E133" i="6"/>
  <c r="F133" i="6"/>
  <c r="G133" i="6"/>
  <c r="B134" i="6"/>
  <c r="C134" i="6"/>
  <c r="D134" i="6"/>
  <c r="E134" i="6"/>
  <c r="F134" i="6"/>
  <c r="G134" i="6"/>
  <c r="B135" i="6"/>
  <c r="C135" i="6"/>
  <c r="D135" i="6"/>
  <c r="E135" i="6"/>
  <c r="F135" i="6"/>
  <c r="G135" i="6"/>
  <c r="B136" i="6"/>
  <c r="C136" i="6"/>
  <c r="D136" i="6"/>
  <c r="E136" i="6"/>
  <c r="F136" i="6"/>
  <c r="G136" i="6"/>
  <c r="B137" i="6"/>
  <c r="C137" i="6"/>
  <c r="D137" i="6"/>
  <c r="E137" i="6"/>
  <c r="F137" i="6"/>
  <c r="G137" i="6"/>
  <c r="B138" i="6"/>
  <c r="C138" i="6"/>
  <c r="D138" i="6"/>
  <c r="E138" i="6"/>
  <c r="F138" i="6"/>
  <c r="G138" i="6"/>
  <c r="B139" i="6"/>
  <c r="C139" i="6"/>
  <c r="D139" i="6"/>
  <c r="E139" i="6"/>
  <c r="F139" i="6"/>
  <c r="G139" i="6"/>
  <c r="B140" i="6"/>
  <c r="C140" i="6"/>
  <c r="D140" i="6"/>
  <c r="E140" i="6"/>
  <c r="F140" i="6"/>
  <c r="G140" i="6"/>
  <c r="B141" i="6"/>
  <c r="C141" i="6"/>
  <c r="D141" i="6"/>
  <c r="E141" i="6"/>
  <c r="F141" i="6"/>
  <c r="G141" i="6"/>
  <c r="B142" i="6"/>
  <c r="C142" i="6"/>
  <c r="D142" i="6"/>
  <c r="E142" i="6"/>
  <c r="F142" i="6"/>
  <c r="G142" i="6"/>
  <c r="B143" i="6"/>
  <c r="C143" i="6"/>
  <c r="D143" i="6"/>
  <c r="E143" i="6"/>
  <c r="F143" i="6"/>
  <c r="G143" i="6"/>
  <c r="B144" i="6"/>
  <c r="C144" i="6"/>
  <c r="D144" i="6"/>
  <c r="E144" i="6"/>
  <c r="F144" i="6"/>
  <c r="G144" i="6"/>
  <c r="B145" i="6"/>
  <c r="C145" i="6"/>
  <c r="D145" i="6"/>
  <c r="E145" i="6"/>
  <c r="F145" i="6"/>
  <c r="G145" i="6"/>
  <c r="B146" i="6"/>
  <c r="C146" i="6"/>
  <c r="D146" i="6"/>
  <c r="E146" i="6"/>
  <c r="F146" i="6"/>
  <c r="G146" i="6"/>
  <c r="B147" i="6"/>
  <c r="C147" i="6"/>
  <c r="D147" i="6"/>
  <c r="E147" i="6"/>
  <c r="F147" i="6"/>
  <c r="G147" i="6"/>
  <c r="B148" i="6"/>
  <c r="C148" i="6"/>
  <c r="D148" i="6"/>
  <c r="E148" i="6"/>
  <c r="F148" i="6"/>
  <c r="G148" i="6"/>
  <c r="B149" i="6"/>
  <c r="C149" i="6"/>
  <c r="D149" i="6"/>
  <c r="E149" i="6"/>
  <c r="F149" i="6"/>
  <c r="G149" i="6"/>
  <c r="B150" i="6"/>
  <c r="C150" i="6"/>
  <c r="D150" i="6"/>
  <c r="E150" i="6"/>
  <c r="F150" i="6"/>
  <c r="G150" i="6"/>
  <c r="B151" i="6"/>
  <c r="C151" i="6"/>
  <c r="D151" i="6"/>
  <c r="E151" i="6"/>
  <c r="F151" i="6"/>
  <c r="G151" i="6"/>
  <c r="B152" i="6"/>
  <c r="C152" i="6"/>
  <c r="D152" i="6"/>
  <c r="E152" i="6"/>
  <c r="F152" i="6"/>
  <c r="G152" i="6"/>
  <c r="B153" i="6"/>
  <c r="C153" i="6"/>
  <c r="D153" i="6"/>
  <c r="E153" i="6"/>
  <c r="F153" i="6"/>
  <c r="G153" i="6"/>
  <c r="B154" i="6"/>
  <c r="C154" i="6"/>
  <c r="D154" i="6"/>
  <c r="E154" i="6"/>
  <c r="F154" i="6"/>
  <c r="G154" i="6"/>
  <c r="B155" i="6"/>
  <c r="C155" i="6"/>
  <c r="D155" i="6"/>
  <c r="E155" i="6"/>
  <c r="F155" i="6"/>
  <c r="G155" i="6"/>
  <c r="B156" i="6"/>
  <c r="C156" i="6"/>
  <c r="D156" i="6"/>
  <c r="E156" i="6"/>
  <c r="F156" i="6"/>
  <c r="G156" i="6"/>
  <c r="B157" i="6"/>
  <c r="C157" i="6"/>
  <c r="D157" i="6"/>
  <c r="E157" i="6"/>
  <c r="F157" i="6"/>
  <c r="G157" i="6"/>
  <c r="B158" i="6"/>
  <c r="C158" i="6"/>
  <c r="D158" i="6"/>
  <c r="E158" i="6"/>
  <c r="F158" i="6"/>
  <c r="G158" i="6"/>
  <c r="C1048576" i="6"/>
  <c r="K110" i="1" l="1"/>
  <c r="K112" i="1"/>
  <c r="L101" i="1"/>
  <c r="L109" i="1"/>
  <c r="L112" i="1"/>
  <c r="K102" i="1"/>
  <c r="L108" i="1"/>
  <c r="K105" i="1"/>
  <c r="L113" i="1"/>
  <c r="K104" i="1"/>
  <c r="K108" i="1"/>
  <c r="K101" i="1"/>
  <c r="K107" i="1"/>
  <c r="K114" i="1"/>
  <c r="K111" i="1"/>
  <c r="L110" i="1"/>
  <c r="K113" i="1"/>
  <c r="K103" i="1"/>
  <c r="K109" i="1"/>
  <c r="L107" i="1"/>
  <c r="L105" i="1"/>
  <c r="L111" i="1"/>
  <c r="L102" i="1"/>
  <c r="L114" i="1"/>
  <c r="L106" i="1"/>
  <c r="K79" i="1"/>
  <c r="K56" i="1"/>
  <c r="K55" i="1"/>
  <c r="K88" i="1"/>
  <c r="K52" i="1"/>
  <c r="K58" i="1"/>
  <c r="K84" i="1"/>
  <c r="K24" i="1"/>
  <c r="K69" i="1"/>
  <c r="K57" i="1"/>
  <c r="K92" i="1"/>
  <c r="K80" i="1"/>
  <c r="K68" i="1"/>
  <c r="K44" i="1"/>
  <c r="K87" i="1"/>
  <c r="K63" i="1"/>
  <c r="K51" i="1"/>
  <c r="K62" i="1"/>
  <c r="K50" i="1"/>
  <c r="K85" i="1"/>
  <c r="L12" i="1"/>
  <c r="K95" i="1"/>
  <c r="K83" i="1"/>
  <c r="L97" i="1"/>
  <c r="L61" i="1"/>
  <c r="L84" i="1"/>
  <c r="L72" i="1"/>
  <c r="L50" i="1"/>
  <c r="L56" i="1"/>
  <c r="L70" i="1"/>
  <c r="L8" i="1"/>
  <c r="L36" i="1"/>
  <c r="K48" i="1"/>
  <c r="L58" i="1"/>
  <c r="K36" i="1"/>
  <c r="K100" i="1"/>
  <c r="K40" i="1"/>
  <c r="K16" i="1"/>
  <c r="L57" i="1"/>
  <c r="L25" i="1"/>
  <c r="L26" i="1"/>
  <c r="L24" i="1"/>
  <c r="L96" i="1"/>
  <c r="K12" i="1"/>
  <c r="L71" i="1"/>
  <c r="L6" i="1"/>
  <c r="L98" i="1"/>
  <c r="L62" i="1"/>
  <c r="L38" i="1"/>
  <c r="L14" i="1"/>
  <c r="L85" i="1"/>
  <c r="L73" i="1"/>
  <c r="L49" i="1"/>
  <c r="L37" i="1"/>
  <c r="K91" i="1"/>
  <c r="K19" i="1"/>
  <c r="L60" i="1"/>
  <c r="L95" i="1"/>
  <c r="L59" i="1"/>
  <c r="L47" i="1"/>
  <c r="L35" i="1"/>
  <c r="L23" i="1"/>
  <c r="L94" i="1"/>
  <c r="L82" i="1"/>
  <c r="L46" i="1"/>
  <c r="L34" i="1"/>
  <c r="L22" i="1"/>
  <c r="L93" i="1"/>
  <c r="L81" i="1"/>
  <c r="L69" i="1"/>
  <c r="L45" i="1"/>
  <c r="L33" i="1"/>
  <c r="L92" i="1"/>
  <c r="L80" i="1"/>
  <c r="L44" i="1"/>
  <c r="L32" i="1"/>
  <c r="L91" i="1"/>
  <c r="L79" i="1"/>
  <c r="L55" i="1"/>
  <c r="L43" i="1"/>
  <c r="L31" i="1"/>
  <c r="L19" i="1"/>
  <c r="L7" i="1"/>
  <c r="K97" i="1"/>
  <c r="K61" i="1"/>
  <c r="L90" i="1"/>
  <c r="L78" i="1"/>
  <c r="L66" i="1"/>
  <c r="L54" i="1"/>
  <c r="L18" i="1"/>
  <c r="L89" i="1"/>
  <c r="L77" i="1"/>
  <c r="L53" i="1"/>
  <c r="L29" i="1"/>
  <c r="L100" i="1"/>
  <c r="L88" i="1"/>
  <c r="L76" i="1"/>
  <c r="L64" i="1"/>
  <c r="L52" i="1"/>
  <c r="L40" i="1"/>
  <c r="L28" i="1"/>
  <c r="L16" i="1"/>
  <c r="K94" i="1"/>
  <c r="L99" i="1"/>
  <c r="L63" i="1"/>
  <c r="L51" i="1"/>
  <c r="L39" i="1"/>
  <c r="L27" i="1"/>
  <c r="L15" i="1"/>
  <c r="K42" i="1"/>
  <c r="K6" i="1"/>
  <c r="K41" i="1"/>
  <c r="K70" i="1"/>
  <c r="K25" i="1"/>
  <c r="K98" i="1"/>
  <c r="K86" i="1"/>
  <c r="K74" i="1"/>
  <c r="K38" i="1"/>
  <c r="K93" i="1"/>
  <c r="K96" i="1"/>
  <c r="K72" i="1"/>
  <c r="K59" i="1"/>
  <c r="K35" i="1"/>
  <c r="K11" i="1"/>
  <c r="K82" i="1"/>
  <c r="K46" i="1"/>
  <c r="K34" i="1"/>
  <c r="K10" i="1"/>
  <c r="K32" i="1"/>
  <c r="K5" i="1"/>
  <c r="J2" i="1"/>
  <c r="L3" i="1" s="1"/>
  <c r="A7" i="10" a="1"/>
  <c r="A7" i="10" s="1"/>
  <c r="L7" i="7" a="1"/>
  <c r="L7" i="7" s="1"/>
  <c r="M7" i="9" a="1"/>
  <c r="M7" i="9" s="1"/>
  <c r="M7" i="3" a="1"/>
  <c r="M7" i="3" s="1"/>
  <c r="L7" i="6" a="1"/>
  <c r="L7" i="6" s="1"/>
  <c r="M7" i="8" a="1"/>
  <c r="M7" i="8" s="1"/>
  <c r="K7" i="3" a="1"/>
  <c r="K7" i="3" s="1"/>
  <c r="J7" i="6" a="1"/>
  <c r="J7" i="6" s="1"/>
  <c r="AF10" i="10" a="1"/>
  <c r="AF10" i="10" s="1"/>
  <c r="AD11" i="10" s="1" a="1"/>
  <c r="AD11" i="10" s="1"/>
  <c r="AJ10" i="10" a="1"/>
  <c r="AJ10" i="10" s="1"/>
  <c r="J7" i="7" a="1"/>
  <c r="J7" i="7" s="1"/>
  <c r="K7" i="8" a="1"/>
  <c r="K7" i="8" s="1"/>
  <c r="K7" i="9" a="1"/>
  <c r="K7" i="9" s="1"/>
  <c r="X11" i="10" a="1"/>
  <c r="X11" i="10" s="1"/>
  <c r="N11" i="10" a="1"/>
  <c r="S10" i="10" a="1"/>
  <c r="S10" i="10" s="1"/>
  <c r="S11" i="10" a="1"/>
  <c r="S11" i="10" s="1"/>
  <c r="J65" i="1"/>
  <c r="L103" i="1" s="1"/>
  <c r="D7" i="10" a="1"/>
  <c r="D7" i="10" s="1"/>
  <c r="B7" i="10" a="1"/>
  <c r="B7" i="10" s="1"/>
  <c r="C7" i="10" a="1"/>
  <c r="C7" i="10" s="1"/>
  <c r="L104" i="1" l="1"/>
  <c r="L87" i="1"/>
  <c r="L75" i="1"/>
  <c r="L17" i="1"/>
  <c r="K65" i="1"/>
  <c r="L65" i="1"/>
  <c r="L68" i="1"/>
  <c r="L4" i="1"/>
  <c r="L83" i="1"/>
  <c r="L74" i="1"/>
  <c r="L2" i="1"/>
  <c r="K2" i="1"/>
  <c r="L20" i="1"/>
  <c r="L9" i="1"/>
  <c r="L21" i="1"/>
  <c r="L10" i="1"/>
  <c r="L11" i="1"/>
  <c r="L86" i="1"/>
  <c r="L30" i="1"/>
  <c r="L67" i="1"/>
  <c r="L13" i="1"/>
  <c r="L41" i="1"/>
  <c r="L42" i="1"/>
  <c r="K13" i="1"/>
  <c r="O30" i="10"/>
  <c r="O31" i="10"/>
  <c r="O12" i="10"/>
  <c r="O29" i="10"/>
  <c r="A7" i="8" a="1"/>
  <c r="A7" i="7" a="1"/>
  <c r="AH11" i="10" a="1"/>
  <c r="AI16" i="10" s="1"/>
  <c r="AC11" i="10"/>
  <c r="AE11" i="10"/>
  <c r="AC12" i="10"/>
  <c r="AC13" i="10"/>
  <c r="AC14" i="10"/>
  <c r="AC15" i="10"/>
  <c r="AC16" i="10"/>
  <c r="AC17" i="10"/>
  <c r="AC18" i="10"/>
  <c r="AC19" i="10"/>
  <c r="AC20" i="10"/>
  <c r="AE13" i="10"/>
  <c r="AE12" i="10"/>
  <c r="AE20" i="10"/>
  <c r="AE19" i="10"/>
  <c r="AE18" i="10"/>
  <c r="AE17" i="10"/>
  <c r="AE16" i="10"/>
  <c r="AE15" i="10"/>
  <c r="AE14" i="10"/>
  <c r="N11" i="10"/>
  <c r="O11" i="10" s="1"/>
  <c r="O21" i="10"/>
  <c r="O20" i="10"/>
  <c r="O27" i="10"/>
  <c r="O26" i="10"/>
  <c r="O25" i="10"/>
  <c r="O24" i="10"/>
  <c r="O23" i="10"/>
  <c r="O22" i="10"/>
  <c r="O28" i="10"/>
  <c r="O13" i="10"/>
  <c r="O8" i="10"/>
  <c r="O14" i="10"/>
  <c r="O15" i="10"/>
  <c r="O16" i="10"/>
  <c r="O17" i="10"/>
  <c r="O18" i="10"/>
  <c r="O19" i="10"/>
  <c r="A7" i="3" a="1"/>
  <c r="A7" i="6" a="1"/>
  <c r="A7" i="6" s="1"/>
  <c r="A7" i="9" a="1"/>
  <c r="D19" i="6"/>
  <c r="E21" i="6"/>
  <c r="F23" i="6"/>
  <c r="C22" i="6"/>
  <c r="D24" i="6"/>
  <c r="E20" i="6"/>
  <c r="F20" i="6"/>
  <c r="B23" i="6"/>
  <c r="D21" i="6"/>
  <c r="E19" i="6"/>
  <c r="F21" i="6"/>
  <c r="B24" i="6"/>
  <c r="F19" i="6"/>
  <c r="B22" i="6"/>
  <c r="C24" i="6"/>
  <c r="C21" i="6"/>
  <c r="G21" i="6" s="1"/>
  <c r="D23" i="6"/>
  <c r="C19" i="6"/>
  <c r="E23" i="6"/>
  <c r="B20" i="6"/>
  <c r="D22" i="6"/>
  <c r="E24" i="6"/>
  <c r="C20" i="6"/>
  <c r="E22" i="6"/>
  <c r="F24" i="6"/>
  <c r="D20" i="6"/>
  <c r="F22" i="6"/>
  <c r="B19" i="6"/>
  <c r="B21" i="6"/>
  <c r="C23" i="6"/>
  <c r="G23" i="6" s="1"/>
  <c r="C38" i="3" l="1"/>
  <c r="F40" i="3"/>
  <c r="B38" i="3"/>
  <c r="D38" i="3"/>
  <c r="C41" i="3"/>
  <c r="G41" i="3" s="1"/>
  <c r="B39" i="3"/>
  <c r="E38" i="3"/>
  <c r="D41" i="3"/>
  <c r="B40" i="3"/>
  <c r="F38" i="3"/>
  <c r="E41" i="3"/>
  <c r="B41" i="3"/>
  <c r="C39" i="3"/>
  <c r="F41" i="3"/>
  <c r="D39" i="3"/>
  <c r="F39" i="3"/>
  <c r="E39" i="3"/>
  <c r="C40" i="3"/>
  <c r="D40" i="3"/>
  <c r="E40" i="3"/>
  <c r="B30" i="7"/>
  <c r="C30" i="7"/>
  <c r="E30" i="7"/>
  <c r="D30" i="7"/>
  <c r="B66" i="9"/>
  <c r="D66" i="9"/>
  <c r="E66" i="9"/>
  <c r="F66" i="9"/>
  <c r="C66" i="9"/>
  <c r="C65" i="9"/>
  <c r="D65" i="9"/>
  <c r="E65" i="9"/>
  <c r="F65" i="9"/>
  <c r="B65" i="9"/>
  <c r="C64" i="9"/>
  <c r="B64" i="9"/>
  <c r="D64" i="9"/>
  <c r="E64" i="9"/>
  <c r="F64" i="9"/>
  <c r="D63" i="9"/>
  <c r="C63" i="9"/>
  <c r="E63" i="9"/>
  <c r="F63" i="9"/>
  <c r="B63" i="9"/>
  <c r="B62" i="9"/>
  <c r="C62" i="9"/>
  <c r="D62" i="9"/>
  <c r="E62" i="9"/>
  <c r="F62" i="9"/>
  <c r="E61" i="9"/>
  <c r="C61" i="9"/>
  <c r="F61" i="9"/>
  <c r="B61" i="9"/>
  <c r="D61" i="9"/>
  <c r="C60" i="9"/>
  <c r="D60" i="9"/>
  <c r="E60" i="9"/>
  <c r="F60" i="9"/>
  <c r="B60" i="9"/>
  <c r="E59" i="9"/>
  <c r="C59" i="9"/>
  <c r="D59" i="9"/>
  <c r="B59" i="9"/>
  <c r="F59" i="9"/>
  <c r="C58" i="9"/>
  <c r="D58" i="9"/>
  <c r="B58" i="9"/>
  <c r="E58" i="9"/>
  <c r="F58" i="9"/>
  <c r="C57" i="9"/>
  <c r="B57" i="9"/>
  <c r="D57" i="9"/>
  <c r="E57" i="9"/>
  <c r="F57" i="9"/>
  <c r="B56" i="9"/>
  <c r="C56" i="9"/>
  <c r="D56" i="9"/>
  <c r="E56" i="9"/>
  <c r="F56" i="9"/>
  <c r="D55" i="9"/>
  <c r="E55" i="9"/>
  <c r="F55" i="9"/>
  <c r="B55" i="9"/>
  <c r="C55" i="9"/>
  <c r="B8" i="9"/>
  <c r="B20" i="9"/>
  <c r="B32" i="9"/>
  <c r="B44" i="9"/>
  <c r="C8" i="9"/>
  <c r="C11" i="9"/>
  <c r="C14" i="9"/>
  <c r="C17" i="9"/>
  <c r="C20" i="9"/>
  <c r="C23" i="9"/>
  <c r="C26" i="9"/>
  <c r="C29" i="9"/>
  <c r="C32" i="9"/>
  <c r="C35" i="9"/>
  <c r="C38" i="9"/>
  <c r="C41" i="9"/>
  <c r="C44" i="9"/>
  <c r="C47" i="9"/>
  <c r="C50" i="9"/>
  <c r="C53" i="9"/>
  <c r="B9" i="9"/>
  <c r="B21" i="9"/>
  <c r="B33" i="9"/>
  <c r="B45" i="9"/>
  <c r="D8" i="9"/>
  <c r="D11" i="9"/>
  <c r="D14" i="9"/>
  <c r="D17" i="9"/>
  <c r="D20" i="9"/>
  <c r="D23" i="9"/>
  <c r="D26" i="9"/>
  <c r="D29" i="9"/>
  <c r="D32" i="9"/>
  <c r="D35" i="9"/>
  <c r="D38" i="9"/>
  <c r="D41" i="9"/>
  <c r="D44" i="9"/>
  <c r="D47" i="9"/>
  <c r="D50" i="9"/>
  <c r="D53" i="9"/>
  <c r="B10" i="9"/>
  <c r="B22" i="9"/>
  <c r="B34" i="9"/>
  <c r="B46" i="9"/>
  <c r="E8" i="9"/>
  <c r="E11" i="9"/>
  <c r="E14" i="9"/>
  <c r="E17" i="9"/>
  <c r="E20" i="9"/>
  <c r="E23" i="9"/>
  <c r="E26" i="9"/>
  <c r="E29" i="9"/>
  <c r="E32" i="9"/>
  <c r="E35" i="9"/>
  <c r="E38" i="9"/>
  <c r="E41" i="9"/>
  <c r="E44" i="9"/>
  <c r="E47" i="9"/>
  <c r="E50" i="9"/>
  <c r="E53" i="9"/>
  <c r="B11" i="9"/>
  <c r="B23" i="9"/>
  <c r="B35" i="9"/>
  <c r="B47" i="9"/>
  <c r="F8" i="9"/>
  <c r="F11" i="9"/>
  <c r="F14" i="9"/>
  <c r="F17" i="9"/>
  <c r="F20" i="9"/>
  <c r="F23" i="9"/>
  <c r="F26" i="9"/>
  <c r="F29" i="9"/>
  <c r="F32" i="9"/>
  <c r="F35" i="9"/>
  <c r="F38" i="9"/>
  <c r="F41" i="9"/>
  <c r="F44" i="9"/>
  <c r="F47" i="9"/>
  <c r="F50" i="9"/>
  <c r="F53" i="9"/>
  <c r="B12" i="9"/>
  <c r="B24" i="9"/>
  <c r="B36" i="9"/>
  <c r="B48" i="9"/>
  <c r="C9" i="9"/>
  <c r="C12" i="9"/>
  <c r="C15" i="9"/>
  <c r="C18" i="9"/>
  <c r="C21" i="9"/>
  <c r="C24" i="9"/>
  <c r="C27" i="9"/>
  <c r="C30" i="9"/>
  <c r="C33" i="9"/>
  <c r="C36" i="9"/>
  <c r="C39" i="9"/>
  <c r="C42" i="9"/>
  <c r="C45" i="9"/>
  <c r="C48" i="9"/>
  <c r="C51" i="9"/>
  <c r="C54" i="9"/>
  <c r="B13" i="9"/>
  <c r="B25" i="9"/>
  <c r="B37" i="9"/>
  <c r="B49" i="9"/>
  <c r="D9" i="9"/>
  <c r="D12" i="9"/>
  <c r="D15" i="9"/>
  <c r="D18" i="9"/>
  <c r="D21" i="9"/>
  <c r="D24" i="9"/>
  <c r="D27" i="9"/>
  <c r="D30" i="9"/>
  <c r="D33" i="9"/>
  <c r="D36" i="9"/>
  <c r="D39" i="9"/>
  <c r="D42" i="9"/>
  <c r="D45" i="9"/>
  <c r="D48" i="9"/>
  <c r="D51" i="9"/>
  <c r="D54" i="9"/>
  <c r="B14" i="9"/>
  <c r="B26" i="9"/>
  <c r="B38" i="9"/>
  <c r="B50" i="9"/>
  <c r="E9" i="9"/>
  <c r="E12" i="9"/>
  <c r="E15" i="9"/>
  <c r="E18" i="9"/>
  <c r="E21" i="9"/>
  <c r="E24" i="9"/>
  <c r="E27" i="9"/>
  <c r="E30" i="9"/>
  <c r="E33" i="9"/>
  <c r="E36" i="9"/>
  <c r="E39" i="9"/>
  <c r="E42" i="9"/>
  <c r="E45" i="9"/>
  <c r="E48" i="9"/>
  <c r="E51" i="9"/>
  <c r="E54" i="9"/>
  <c r="B15" i="9"/>
  <c r="B27" i="9"/>
  <c r="B39" i="9"/>
  <c r="B51" i="9"/>
  <c r="F9" i="9"/>
  <c r="F12" i="9"/>
  <c r="F15" i="9"/>
  <c r="F18" i="9"/>
  <c r="F21" i="9"/>
  <c r="F24" i="9"/>
  <c r="F27" i="9"/>
  <c r="F30" i="9"/>
  <c r="F33" i="9"/>
  <c r="F36" i="9"/>
  <c r="F39" i="9"/>
  <c r="F42" i="9"/>
  <c r="F45" i="9"/>
  <c r="F48" i="9"/>
  <c r="F51" i="9"/>
  <c r="F54" i="9"/>
  <c r="B16" i="9"/>
  <c r="B28" i="9"/>
  <c r="B40" i="9"/>
  <c r="B52" i="9"/>
  <c r="C10" i="9"/>
  <c r="C13" i="9"/>
  <c r="C16" i="9"/>
  <c r="C19" i="9"/>
  <c r="C22" i="9"/>
  <c r="C25" i="9"/>
  <c r="C28" i="9"/>
  <c r="C31" i="9"/>
  <c r="C34" i="9"/>
  <c r="C37" i="9"/>
  <c r="C40" i="9"/>
  <c r="C43" i="9"/>
  <c r="C46" i="9"/>
  <c r="C49" i="9"/>
  <c r="C52" i="9"/>
  <c r="B17" i="9"/>
  <c r="B29" i="9"/>
  <c r="B41" i="9"/>
  <c r="B53" i="9"/>
  <c r="D10" i="9"/>
  <c r="D13" i="9"/>
  <c r="D16" i="9"/>
  <c r="D19" i="9"/>
  <c r="D22" i="9"/>
  <c r="D25" i="9"/>
  <c r="D28" i="9"/>
  <c r="D31" i="9"/>
  <c r="D34" i="9"/>
  <c r="D37" i="9"/>
  <c r="D40" i="9"/>
  <c r="D43" i="9"/>
  <c r="D46" i="9"/>
  <c r="D49" i="9"/>
  <c r="D52" i="9"/>
  <c r="B18" i="9"/>
  <c r="B30" i="9"/>
  <c r="B42" i="9"/>
  <c r="B54" i="9"/>
  <c r="E10" i="9"/>
  <c r="E13" i="9"/>
  <c r="E16" i="9"/>
  <c r="E19" i="9"/>
  <c r="E22" i="9"/>
  <c r="E25" i="9"/>
  <c r="E28" i="9"/>
  <c r="E31" i="9"/>
  <c r="E34" i="9"/>
  <c r="E37" i="9"/>
  <c r="E40" i="9"/>
  <c r="E43" i="9"/>
  <c r="E46" i="9"/>
  <c r="E49" i="9"/>
  <c r="E52" i="9"/>
  <c r="B19" i="9"/>
  <c r="B31" i="9"/>
  <c r="B43" i="9"/>
  <c r="F10" i="9"/>
  <c r="F13" i="9"/>
  <c r="F16" i="9"/>
  <c r="F19" i="9"/>
  <c r="F22" i="9"/>
  <c r="F25" i="9"/>
  <c r="F28" i="9"/>
  <c r="F31" i="9"/>
  <c r="F34" i="9"/>
  <c r="F37" i="9"/>
  <c r="F40" i="9"/>
  <c r="F43" i="9"/>
  <c r="F46" i="9"/>
  <c r="F49" i="9"/>
  <c r="F52" i="9"/>
  <c r="B8" i="8"/>
  <c r="B11" i="8"/>
  <c r="B14" i="8"/>
  <c r="B17" i="8"/>
  <c r="B20" i="8"/>
  <c r="B23" i="8"/>
  <c r="B26" i="8"/>
  <c r="C8" i="8"/>
  <c r="C11" i="8"/>
  <c r="C14" i="8"/>
  <c r="C17" i="8"/>
  <c r="C20" i="8"/>
  <c r="C23" i="8"/>
  <c r="C26" i="8"/>
  <c r="D8" i="8"/>
  <c r="D11" i="8"/>
  <c r="D14" i="8"/>
  <c r="D17" i="8"/>
  <c r="D20" i="8"/>
  <c r="D23" i="8"/>
  <c r="D26" i="8"/>
  <c r="E8" i="8"/>
  <c r="E11" i="8"/>
  <c r="E14" i="8"/>
  <c r="E17" i="8"/>
  <c r="E20" i="8"/>
  <c r="E23" i="8"/>
  <c r="E26" i="8"/>
  <c r="B9" i="8"/>
  <c r="B13" i="8"/>
  <c r="B18" i="8"/>
  <c r="B22" i="8"/>
  <c r="B27" i="8"/>
  <c r="C9" i="8"/>
  <c r="C13" i="8"/>
  <c r="C18" i="8"/>
  <c r="C22" i="8"/>
  <c r="C27" i="8"/>
  <c r="D9" i="8"/>
  <c r="D13" i="8"/>
  <c r="D18" i="8"/>
  <c r="D22" i="8"/>
  <c r="D27" i="8"/>
  <c r="E9" i="8"/>
  <c r="E13" i="8"/>
  <c r="E18" i="8"/>
  <c r="E22" i="8"/>
  <c r="E27" i="8"/>
  <c r="B10" i="8"/>
  <c r="B15" i="8"/>
  <c r="B19" i="8"/>
  <c r="B24" i="8"/>
  <c r="C10" i="8"/>
  <c r="C15" i="8"/>
  <c r="C19" i="8"/>
  <c r="C24" i="8"/>
  <c r="D10" i="8"/>
  <c r="D15" i="8"/>
  <c r="D19" i="8"/>
  <c r="D24" i="8"/>
  <c r="E10" i="8"/>
  <c r="E15" i="8"/>
  <c r="E19" i="8"/>
  <c r="E24" i="8"/>
  <c r="B12" i="8"/>
  <c r="B16" i="8"/>
  <c r="B21" i="8"/>
  <c r="B25" i="8"/>
  <c r="C12" i="8"/>
  <c r="C16" i="8"/>
  <c r="C21" i="8"/>
  <c r="C25" i="8"/>
  <c r="D12" i="8"/>
  <c r="D16" i="8"/>
  <c r="D21" i="8"/>
  <c r="D25" i="8"/>
  <c r="E12" i="8"/>
  <c r="E16" i="8"/>
  <c r="E21" i="8"/>
  <c r="E25" i="8"/>
  <c r="B8" i="7"/>
  <c r="B11" i="7"/>
  <c r="B14" i="7"/>
  <c r="B17" i="7"/>
  <c r="B20" i="7"/>
  <c r="B23" i="7"/>
  <c r="B26" i="7"/>
  <c r="B29" i="7"/>
  <c r="C12" i="7"/>
  <c r="C15" i="7"/>
  <c r="C21" i="7"/>
  <c r="C27" i="7"/>
  <c r="D12" i="7"/>
  <c r="D21" i="7"/>
  <c r="D27" i="7"/>
  <c r="E9" i="7"/>
  <c r="E21" i="7"/>
  <c r="B10" i="7"/>
  <c r="B22" i="7"/>
  <c r="B28" i="7"/>
  <c r="C8" i="7"/>
  <c r="C11" i="7"/>
  <c r="C14" i="7"/>
  <c r="C17" i="7"/>
  <c r="C20" i="7"/>
  <c r="C23" i="7"/>
  <c r="C26" i="7"/>
  <c r="C29" i="7"/>
  <c r="D15" i="7"/>
  <c r="B16" i="7"/>
  <c r="D8" i="7"/>
  <c r="D11" i="7"/>
  <c r="D14" i="7"/>
  <c r="D17" i="7"/>
  <c r="D20" i="7"/>
  <c r="D23" i="7"/>
  <c r="D26" i="7"/>
  <c r="D29" i="7"/>
  <c r="C9" i="7"/>
  <c r="C18" i="7"/>
  <c r="C24" i="7"/>
  <c r="D9" i="7"/>
  <c r="D18" i="7"/>
  <c r="D24" i="7"/>
  <c r="E12" i="7"/>
  <c r="E18" i="7"/>
  <c r="E24" i="7"/>
  <c r="E27" i="7"/>
  <c r="B13" i="7"/>
  <c r="B25" i="7"/>
  <c r="E8" i="7"/>
  <c r="E11" i="7"/>
  <c r="E14" i="7"/>
  <c r="E17" i="7"/>
  <c r="E20" i="7"/>
  <c r="E23" i="7"/>
  <c r="E26" i="7"/>
  <c r="E29" i="7"/>
  <c r="E15" i="7"/>
  <c r="B9" i="7"/>
  <c r="B12" i="7"/>
  <c r="B15" i="7"/>
  <c r="B18" i="7"/>
  <c r="B21" i="7"/>
  <c r="B24" i="7"/>
  <c r="B27" i="7"/>
  <c r="C10" i="7"/>
  <c r="C13" i="7"/>
  <c r="C16" i="7"/>
  <c r="C19" i="7"/>
  <c r="C22" i="7"/>
  <c r="C25" i="7"/>
  <c r="C28" i="7"/>
  <c r="D10" i="7"/>
  <c r="D13" i="7"/>
  <c r="D16" i="7"/>
  <c r="D19" i="7"/>
  <c r="D22" i="7"/>
  <c r="D25" i="7"/>
  <c r="D28" i="7"/>
  <c r="E10" i="7"/>
  <c r="E13" i="7"/>
  <c r="E16" i="7"/>
  <c r="E19" i="7"/>
  <c r="E22" i="7"/>
  <c r="E25" i="7"/>
  <c r="E28" i="7"/>
  <c r="B19" i="7"/>
  <c r="C8" i="3"/>
  <c r="E10" i="3"/>
  <c r="D15" i="3"/>
  <c r="F17" i="3"/>
  <c r="C20" i="3"/>
  <c r="E22" i="3"/>
  <c r="D27" i="3"/>
  <c r="F29" i="3"/>
  <c r="C32" i="3"/>
  <c r="E34" i="3"/>
  <c r="B19" i="3"/>
  <c r="B31" i="3"/>
  <c r="E24" i="3"/>
  <c r="D8" i="3"/>
  <c r="F10" i="3"/>
  <c r="C13" i="3"/>
  <c r="E15" i="3"/>
  <c r="D20" i="3"/>
  <c r="F22" i="3"/>
  <c r="C25" i="3"/>
  <c r="E27" i="3"/>
  <c r="D32" i="3"/>
  <c r="F34" i="3"/>
  <c r="C37" i="3"/>
  <c r="B8" i="3"/>
  <c r="B20" i="3"/>
  <c r="B32" i="3"/>
  <c r="F24" i="3"/>
  <c r="E8" i="3"/>
  <c r="D13" i="3"/>
  <c r="F15" i="3"/>
  <c r="C18" i="3"/>
  <c r="E20" i="3"/>
  <c r="D25" i="3"/>
  <c r="F27" i="3"/>
  <c r="C30" i="3"/>
  <c r="E32" i="3"/>
  <c r="D37" i="3"/>
  <c r="B9" i="3"/>
  <c r="B21" i="3"/>
  <c r="B33" i="3"/>
  <c r="E29" i="3"/>
  <c r="F8" i="3"/>
  <c r="C11" i="3"/>
  <c r="E13" i="3"/>
  <c r="D18" i="3"/>
  <c r="F20" i="3"/>
  <c r="C23" i="3"/>
  <c r="E25" i="3"/>
  <c r="D30" i="3"/>
  <c r="F32" i="3"/>
  <c r="C35" i="3"/>
  <c r="E37" i="3"/>
  <c r="B10" i="3"/>
  <c r="B22" i="3"/>
  <c r="B34" i="3"/>
  <c r="D17" i="3"/>
  <c r="D10" i="3"/>
  <c r="F36" i="3"/>
  <c r="D11" i="3"/>
  <c r="F13" i="3"/>
  <c r="C16" i="3"/>
  <c r="E18" i="3"/>
  <c r="D23" i="3"/>
  <c r="F25" i="3"/>
  <c r="C28" i="3"/>
  <c r="E30" i="3"/>
  <c r="D35" i="3"/>
  <c r="F37" i="3"/>
  <c r="B11" i="3"/>
  <c r="B23" i="3"/>
  <c r="B35" i="3"/>
  <c r="C27" i="3"/>
  <c r="C9" i="3"/>
  <c r="E11" i="3"/>
  <c r="D16" i="3"/>
  <c r="F18" i="3"/>
  <c r="C21" i="3"/>
  <c r="E23" i="3"/>
  <c r="D28" i="3"/>
  <c r="F30" i="3"/>
  <c r="C33" i="3"/>
  <c r="E35" i="3"/>
  <c r="B12" i="3"/>
  <c r="B24" i="3"/>
  <c r="B36" i="3"/>
  <c r="E12" i="3"/>
  <c r="C34" i="3"/>
  <c r="B17" i="3"/>
  <c r="C15" i="3"/>
  <c r="B18" i="3"/>
  <c r="D9" i="3"/>
  <c r="F11" i="3"/>
  <c r="C14" i="3"/>
  <c r="E16" i="3"/>
  <c r="D21" i="3"/>
  <c r="F23" i="3"/>
  <c r="C26" i="3"/>
  <c r="E28" i="3"/>
  <c r="D33" i="3"/>
  <c r="F35" i="3"/>
  <c r="B13" i="3"/>
  <c r="B25" i="3"/>
  <c r="B37" i="3"/>
  <c r="C10" i="3"/>
  <c r="F31" i="3"/>
  <c r="B29" i="3"/>
  <c r="F12" i="3"/>
  <c r="B30" i="3"/>
  <c r="E9" i="3"/>
  <c r="D14" i="3"/>
  <c r="F16" i="3"/>
  <c r="C19" i="3"/>
  <c r="E21" i="3"/>
  <c r="D26" i="3"/>
  <c r="F28" i="3"/>
  <c r="C31" i="3"/>
  <c r="E33" i="3"/>
  <c r="B14" i="3"/>
  <c r="B26" i="3"/>
  <c r="C22" i="3"/>
  <c r="D29" i="3"/>
  <c r="E36" i="3"/>
  <c r="E17" i="3"/>
  <c r="D34" i="3"/>
  <c r="F9" i="3"/>
  <c r="C12" i="3"/>
  <c r="E14" i="3"/>
  <c r="D19" i="3"/>
  <c r="F21" i="3"/>
  <c r="C24" i="3"/>
  <c r="E26" i="3"/>
  <c r="D31" i="3"/>
  <c r="F33" i="3"/>
  <c r="C36" i="3"/>
  <c r="B15" i="3"/>
  <c r="B27" i="3"/>
  <c r="F19" i="3"/>
  <c r="D22" i="3"/>
  <c r="D12" i="3"/>
  <c r="F14" i="3"/>
  <c r="C17" i="3"/>
  <c r="E19" i="3"/>
  <c r="D24" i="3"/>
  <c r="F26" i="3"/>
  <c r="C29" i="3"/>
  <c r="E31" i="3"/>
  <c r="D36" i="3"/>
  <c r="B16" i="3"/>
  <c r="B28" i="3"/>
  <c r="A7" i="8"/>
  <c r="A7" i="7"/>
  <c r="C8" i="6"/>
  <c r="D8" i="6"/>
  <c r="A7" i="3"/>
  <c r="F7" i="6"/>
  <c r="E7" i="6"/>
  <c r="B7" i="6"/>
  <c r="AI15" i="10"/>
  <c r="AG15" i="10"/>
  <c r="AG16" i="10"/>
  <c r="AI20" i="10"/>
  <c r="AI14" i="10"/>
  <c r="AG17" i="10"/>
  <c r="AG20" i="10"/>
  <c r="AG14" i="10"/>
  <c r="AI13" i="10"/>
  <c r="AG19" i="10"/>
  <c r="AG13" i="10"/>
  <c r="AI12" i="10"/>
  <c r="AI19" i="10"/>
  <c r="AI18" i="10"/>
  <c r="AG18" i="10"/>
  <c r="AG12" i="10"/>
  <c r="AI17" i="10"/>
  <c r="AH11" i="10"/>
  <c r="AI11" i="10" s="1"/>
  <c r="B12" i="6"/>
  <c r="C13" i="6"/>
  <c r="E10" i="6"/>
  <c r="F13" i="6"/>
  <c r="F18" i="6"/>
  <c r="E13" i="6"/>
  <c r="D17" i="6"/>
  <c r="F9" i="6"/>
  <c r="B11" i="6"/>
  <c r="E11" i="6"/>
  <c r="C17" i="6"/>
  <c r="E14" i="6"/>
  <c r="F8" i="6"/>
  <c r="D9" i="6"/>
  <c r="F14" i="6"/>
  <c r="B18" i="6"/>
  <c r="E17" i="6"/>
  <c r="C12" i="6"/>
  <c r="E12" i="6"/>
  <c r="F11" i="6"/>
  <c r="F15" i="6"/>
  <c r="D12" i="6"/>
  <c r="C15" i="6"/>
  <c r="D10" i="6"/>
  <c r="C14" i="6"/>
  <c r="C9" i="6"/>
  <c r="E15" i="6"/>
  <c r="B14" i="6"/>
  <c r="F12" i="6"/>
  <c r="C16" i="6"/>
  <c r="C10" i="6"/>
  <c r="D13" i="6"/>
  <c r="D14" i="6"/>
  <c r="F10" i="6"/>
  <c r="F17" i="6"/>
  <c r="B8" i="6"/>
  <c r="B10" i="6"/>
  <c r="C11" i="6"/>
  <c r="E18" i="6"/>
  <c r="D15" i="6"/>
  <c r="E16" i="6"/>
  <c r="D11" i="6"/>
  <c r="B15" i="6"/>
  <c r="D18" i="6"/>
  <c r="C18" i="6"/>
  <c r="B9" i="6"/>
  <c r="F16" i="6"/>
  <c r="D16" i="6"/>
  <c r="B13" i="6"/>
  <c r="B16" i="6"/>
  <c r="B17" i="6"/>
  <c r="E9" i="6"/>
  <c r="E8" i="6"/>
  <c r="A7" i="9"/>
  <c r="C7" i="6"/>
  <c r="G22" i="6"/>
  <c r="G24" i="6"/>
  <c r="G19" i="6"/>
  <c r="G20" i="6"/>
  <c r="D7" i="6"/>
  <c r="G39" i="3" l="1"/>
  <c r="G40" i="3"/>
  <c r="G38" i="3"/>
  <c r="B4" i="9"/>
  <c r="F7" i="9"/>
  <c r="F4" i="9" s="1"/>
  <c r="E7" i="9"/>
  <c r="E4" i="9" s="1"/>
  <c r="D7" i="9"/>
  <c r="D4" i="9" s="1"/>
  <c r="C7" i="9"/>
  <c r="C4" i="9" s="1"/>
  <c r="B7" i="9"/>
  <c r="G32" i="3"/>
  <c r="G33" i="3"/>
  <c r="G37" i="3"/>
  <c r="G31" i="3"/>
  <c r="G19" i="3"/>
  <c r="E7" i="8"/>
  <c r="E4" i="8" s="1"/>
  <c r="D7" i="8"/>
  <c r="D4" i="8" s="1"/>
  <c r="C7" i="8"/>
  <c r="C4" i="8" s="1"/>
  <c r="B7" i="8"/>
  <c r="B4" i="8" s="1"/>
  <c r="G23" i="3"/>
  <c r="G24" i="3"/>
  <c r="E7" i="7"/>
  <c r="E3" i="7" s="1"/>
  <c r="D7" i="7"/>
  <c r="E4" i="7" s="1"/>
  <c r="C7" i="7"/>
  <c r="D4" i="7" s="1"/>
  <c r="B7" i="7"/>
  <c r="C4" i="7" s="1"/>
  <c r="G14" i="3"/>
  <c r="G35" i="3"/>
  <c r="G13" i="3"/>
  <c r="G16" i="3"/>
  <c r="E7" i="3"/>
  <c r="G4" i="3" s="1"/>
  <c r="C7" i="3"/>
  <c r="D7" i="3"/>
  <c r="F4" i="3" s="1"/>
  <c r="F7" i="3"/>
  <c r="G26" i="3"/>
  <c r="G34" i="3"/>
  <c r="G17" i="3"/>
  <c r="G30" i="3"/>
  <c r="G27" i="3"/>
  <c r="G21" i="3"/>
  <c r="G28" i="3"/>
  <c r="G29" i="3"/>
  <c r="G12" i="3"/>
  <c r="G25" i="3"/>
  <c r="G20" i="3"/>
  <c r="G36" i="3"/>
  <c r="G10" i="3"/>
  <c r="G18" i="3"/>
  <c r="G15" i="3"/>
  <c r="G9" i="3"/>
  <c r="G22" i="3"/>
  <c r="G11" i="3"/>
  <c r="G8" i="3"/>
  <c r="B7" i="3"/>
  <c r="H14" i="3" s="1"/>
  <c r="B4" i="7"/>
  <c r="G7" i="6"/>
  <c r="AG11" i="10"/>
  <c r="B4" i="3"/>
  <c r="H7" i="6"/>
  <c r="B4" i="6"/>
  <c r="D4" i="6"/>
  <c r="G10" i="6"/>
  <c r="G15" i="6"/>
  <c r="G14" i="6"/>
  <c r="G12" i="6"/>
  <c r="G9" i="6"/>
  <c r="G8" i="6"/>
  <c r="G17" i="6"/>
  <c r="G11" i="6"/>
  <c r="G16" i="6"/>
  <c r="F4" i="6"/>
  <c r="G18" i="6"/>
  <c r="G13" i="6"/>
  <c r="H16" i="6"/>
  <c r="E4" i="6"/>
  <c r="H21" i="6"/>
  <c r="H23" i="6"/>
  <c r="H24" i="6"/>
  <c r="H22" i="6"/>
  <c r="H14" i="6"/>
  <c r="H17" i="6"/>
  <c r="H15" i="6"/>
  <c r="H20" i="6"/>
  <c r="H18" i="6"/>
  <c r="H19" i="6"/>
  <c r="H8" i="6"/>
  <c r="H10" i="6"/>
  <c r="H9" i="6"/>
  <c r="H11" i="6"/>
  <c r="H13" i="6"/>
  <c r="H12" i="6"/>
  <c r="H41" i="3" l="1"/>
  <c r="H38" i="3"/>
  <c r="H39" i="3"/>
  <c r="H40" i="3"/>
  <c r="G7" i="3"/>
  <c r="H17" i="3"/>
  <c r="H7" i="3"/>
  <c r="H16" i="3"/>
  <c r="H10" i="3"/>
  <c r="H27" i="3"/>
  <c r="H13" i="3"/>
  <c r="H26" i="3"/>
  <c r="H36" i="3"/>
  <c r="H12" i="3"/>
  <c r="H37" i="3"/>
  <c r="H18" i="3"/>
  <c r="H21" i="3"/>
  <c r="H31" i="3"/>
  <c r="H19" i="3"/>
  <c r="H20" i="3"/>
  <c r="H22" i="3"/>
  <c r="H34" i="3"/>
  <c r="H9" i="3"/>
  <c r="H30" i="3"/>
  <c r="H11" i="3"/>
  <c r="H33" i="3"/>
  <c r="H32" i="3"/>
  <c r="H35" i="3"/>
  <c r="H8" i="3"/>
  <c r="H25" i="3"/>
  <c r="H28" i="3"/>
  <c r="H15" i="3"/>
  <c r="H23" i="3"/>
  <c r="H29" i="3"/>
  <c r="H24" i="3"/>
  <c r="D4" i="3"/>
  <c r="E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<sst xmlns="http://schemas.openxmlformats.org/spreadsheetml/2006/main" count="805" uniqueCount="333">
  <si>
    <t xml:space="preserve">Date </t>
  </si>
  <si>
    <t xml:space="preserve">Article </t>
  </si>
  <si>
    <t xml:space="preserve">Error Type </t>
  </si>
  <si>
    <t>Tour/Site</t>
  </si>
  <si>
    <t xml:space="preserve">Picker ID </t>
  </si>
  <si>
    <t>Checker ID</t>
  </si>
  <si>
    <t xml:space="preserve">Qyt Affected ( EA ) </t>
  </si>
  <si>
    <t>Description</t>
  </si>
  <si>
    <t>Excess</t>
  </si>
  <si>
    <t>Short</t>
  </si>
  <si>
    <t xml:space="preserve">Short Cases </t>
  </si>
  <si>
    <t xml:space="preserve">Excess Cases </t>
  </si>
  <si>
    <t xml:space="preserve">Most Common Error </t>
  </si>
  <si>
    <t xml:space="preserve">Error Cases </t>
  </si>
  <si>
    <t xml:space="preserve">Qyt Affected </t>
  </si>
  <si>
    <t xml:space="preserve">Last Error Date </t>
  </si>
  <si>
    <t>Rank</t>
  </si>
  <si>
    <t>Month List</t>
  </si>
  <si>
    <t>SORTBY(UNIQUE('Raw Data'!G2:G9996),COUNTIF('Raw Data'!G2:G9996,UNIQUE('Raw Data'!G2:G9996)),-1)</t>
  </si>
  <si>
    <t>SORTBY(UNIQUE(Filter('Raw Data'!G2:G9996,('Raw Data'!G2:G9996&lt;&gt;"") *('Raw Data'!I2:G9996=$A$4))) COUNTIFS('Raw Data'!G2:G9996,(UNIQUE(Filter('Raw Data'!G2:G9996,('Raw Data'!G2:G9996&lt;&gt;"") *('Raw Data'!I2:G9996=$A$4),-1)</t>
  </si>
  <si>
    <t>Picker Monthly Report</t>
  </si>
  <si>
    <t xml:space="preserve">Helper List </t>
  </si>
  <si>
    <t>FILTER('Raw Data'!G2:G10000,('Raw Data'!G2:G10000&lt;&gt;"")*('Raw Data'!I2:I10000=TEXT($A$4,"mmmm yyyy")))</t>
  </si>
  <si>
    <t xml:space="preserve">Storekeeper ID </t>
  </si>
  <si>
    <t xml:space="preserve">Quantity Affected </t>
  </si>
  <si>
    <t xml:space="preserve">Last Error Found Date </t>
  </si>
  <si>
    <t xml:space="preserve">Most Common Error Found </t>
  </si>
  <si>
    <t xml:space="preserve">Month Drop Box List </t>
  </si>
  <si>
    <t xml:space="preserve">Helper List List </t>
  </si>
  <si>
    <t xml:space="preserve">Storekeeper Monthly Report </t>
  </si>
  <si>
    <t xml:space="preserve">Error Cases Found </t>
  </si>
  <si>
    <t>Short Cases</t>
  </si>
  <si>
    <t>Excess Cases</t>
  </si>
  <si>
    <t>Tour / Store</t>
  </si>
  <si>
    <t xml:space="preserve">Total Error </t>
  </si>
  <si>
    <t xml:space="preserve">Excess </t>
  </si>
  <si>
    <t>Tour Analysis</t>
  </si>
  <si>
    <t>Daily Analysis</t>
  </si>
  <si>
    <t xml:space="preserve">Error Count </t>
  </si>
  <si>
    <t>Qty Affected</t>
  </si>
  <si>
    <t>Article Analysis</t>
  </si>
  <si>
    <t>Article</t>
  </si>
  <si>
    <t xml:space="preserve">MonthList </t>
  </si>
  <si>
    <t>ALL</t>
  </si>
  <si>
    <t xml:space="preserve">Tour/Site List </t>
  </si>
  <si>
    <t>All</t>
  </si>
  <si>
    <t>Picker List</t>
  </si>
  <si>
    <t>Checker List</t>
  </si>
  <si>
    <t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]]=IF($E$4="ALL",RawData[[Error Type ]],$E$4))*RawData[Qyt Affected ( EA ) ])</t>
  </si>
  <si>
    <t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]]=IF($E$4="ALL",RawData[[Error Type ]],$E$4))*1)</t>
  </si>
  <si>
    <t>Total Qyt Affected  DASHBOARD</t>
  </si>
  <si>
    <t>MatchFlag</t>
  </si>
  <si>
    <t>Picker First</t>
  </si>
  <si>
    <t>Checker First</t>
  </si>
  <si>
    <t>if(N7="","",SUMPRODUCT(RawData[[Date ]]=N7)*(RawData[Month List]=IF($A$4="ALL",RawData[Month List],$A$4))*(RawData[Tour/Site]=IF($B$4="ALL",RawData[Tour/Site],$B$4))*(RawData[[Picker ID ]]=IF($C$4="ALL",RawData[[Picker ID ]],$C$4))*(RawData[Checker ID]=IF($D$4="ALL",RawData[Checker ID],$D$4))*(RawData[[Error Type ]]=if($E$4="ALL",RawData[[Error Type ]],$E$4))))</t>
  </si>
  <si>
    <t>Dates</t>
  </si>
  <si>
    <t>Total Errors</t>
  </si>
  <si>
    <t>SORT(UNIQUE(FILTER(RawData[Tour/Site],(RawData[Tour/Site]&lt;&gt;"")*IF($A$4="ALL",1,RawData[Month List]=$A$4)*IF($C$4="ALL",1,RawData[[Picker ID ]]=$C$4)*IF($D$4="ALL",1,RawData[Checker ID]=$D$4)*IF($E$4="ALL",1,RawData[[Error Type ]]=$E$4))))</t>
  </si>
  <si>
    <r>
      <t xml:space="preserve">WAREHOUSE ERROR MONITORING DASHBOARD   </t>
    </r>
    <r>
      <rPr>
        <sz val="9"/>
        <color theme="0"/>
        <rFont val="Aptos Narrow"/>
        <family val="2"/>
        <scheme val="minor"/>
      </rPr>
      <t>Monitor. Analyze . Improve</t>
    </r>
  </si>
  <si>
    <t>Picker ID For Table</t>
  </si>
  <si>
    <t>Error Cases</t>
  </si>
  <si>
    <t>IF(ISNA(AD11),NA(),COUNTIFS(RawData[[Picker ID ]],Dashboard!AD11,RawData[Month List],$Q$1,RawData[Tour/Site],$Q$2,RawData[Checker ID],$Q$4,RawData[[Error Type ]],$Q$5))</t>
  </si>
  <si>
    <t>Storekeeper ID For Table</t>
  </si>
  <si>
    <t>Formulas</t>
  </si>
  <si>
    <t>Picker Monthly Report ( Sheet)</t>
  </si>
  <si>
    <t>Cell</t>
  </si>
  <si>
    <t>Remark</t>
  </si>
  <si>
    <t>A4</t>
  </si>
  <si>
    <t>Droplist for month selections</t>
  </si>
  <si>
    <t>B4</t>
  </si>
  <si>
    <t>COUNTA(A7#)</t>
  </si>
  <si>
    <t>Total picker with Error</t>
  </si>
  <si>
    <t>C4</t>
  </si>
  <si>
    <t>SUM(B7:B1000)</t>
  </si>
  <si>
    <t>Total Error Cases</t>
  </si>
  <si>
    <t>D4</t>
  </si>
  <si>
    <t>SUM(C7:C1000)</t>
  </si>
  <si>
    <t>Total Short Cases</t>
  </si>
  <si>
    <t>E4</t>
  </si>
  <si>
    <t>SUM(D7:D1000)</t>
  </si>
  <si>
    <t xml:space="preserve">Total Excess Cases </t>
  </si>
  <si>
    <t>F4</t>
  </si>
  <si>
    <t>SUM(E7:E900)</t>
  </si>
  <si>
    <t>Total Qyt Affected</t>
  </si>
  <si>
    <t>G4</t>
  </si>
  <si>
    <t>KPI CARD</t>
  </si>
  <si>
    <t>SORTBY(UNIQUE(M7#),COUNTIFS('Raw Data'!G:G,UNIQUE(M7#),'Raw Data'!J:J,TEXT($A$4,"mmmm yyyy")),-1)</t>
  </si>
  <si>
    <t>Analysis</t>
  </si>
  <si>
    <t>A7</t>
  </si>
  <si>
    <t>Picker ID Column</t>
  </si>
  <si>
    <t>IF(A7="","",COUNTIFS('Raw Data'!G:G,A7,'Raw Data'!J:J,TEXT($A$4,"mmmm yyyy")))</t>
  </si>
  <si>
    <t>B7</t>
  </si>
  <si>
    <t>Error Cases Column</t>
  </si>
  <si>
    <t>C7</t>
  </si>
  <si>
    <t>IF(A7="","",COUNTIFS('Raw Data'!G:G,A7,'Raw Data'!J:J,TEXT($A$4,"mmmm yyyy"),'Raw Data'!E:E,"Short"))</t>
  </si>
  <si>
    <t>Short Cases Column</t>
  </si>
  <si>
    <t>D7</t>
  </si>
  <si>
    <t>Excess Cases Column</t>
  </si>
  <si>
    <t>IF(A7="","",COUNTIFS('Raw Data'!G:G,A7,'Raw Data'!J:J,TEXT($A$4,"mmmm yyyy"),'Raw Data'!E:E,"Excess"))</t>
  </si>
  <si>
    <t>IF(A8="","",SUMIFS('Raw Data'!D:D,'Raw Data'!G:G,A8,'Raw Data'!J:J,TEXT($A$4,"mmmm yyyy")))</t>
  </si>
  <si>
    <t>Qyt Affected Column</t>
  </si>
  <si>
    <t>E7</t>
  </si>
  <si>
    <t>F7</t>
  </si>
  <si>
    <t>IF(A7="","",MAXIFS('Raw Data'!A:A,'Raw Data'!G:G,A7,'Raw Data'!J:J,TEXT($A$4,"mmmm yyyy")))</t>
  </si>
  <si>
    <t>Last Error date Column</t>
  </si>
  <si>
    <t>G7</t>
  </si>
  <si>
    <t>IF(A7="","",IF(C7&gt;D7,"Short",IF(D7&gt;C7,"Excess", "Equal")))</t>
  </si>
  <si>
    <t>Most Common Erorr Column</t>
  </si>
  <si>
    <t>H7</t>
  </si>
  <si>
    <t>IF(A7="","",RANK(B7,B$7:B$9995,0))</t>
  </si>
  <si>
    <t>Helper Column</t>
  </si>
  <si>
    <t>K7</t>
  </si>
  <si>
    <t xml:space="preserve">Month Droplist </t>
  </si>
  <si>
    <t>SORTBY(UNIQUE(FILTER(RawData[Month List],RawData[Month List]&lt;&gt;"")),DATEVALUE("01"&amp;UNIQUE(FILTER(RawData[Month List],RawData[Month List]&lt;&gt;""))))</t>
  </si>
  <si>
    <t>FILTER('Raw Data'!G2:G100004,('Raw Data'!G2:G100004&lt;&gt;"")*('Raw Data'!J2:J100004=TEXT($A$4,"mmmm yyyy")))</t>
  </si>
  <si>
    <t>M7</t>
  </si>
  <si>
    <t xml:space="preserve">Helper Column For Extract Data </t>
  </si>
  <si>
    <t>Storekeeper Monthly Report  ( Sheet )</t>
  </si>
  <si>
    <t xml:space="preserve">Total Error Cases Found </t>
  </si>
  <si>
    <t xml:space="preserve">Total Short Cases Found </t>
  </si>
  <si>
    <t xml:space="preserve">Total Excess Cases Found </t>
  </si>
  <si>
    <t xml:space="preserve">Total Qyt Affected </t>
  </si>
  <si>
    <t>SUM(E7:E1000)</t>
  </si>
  <si>
    <t>Storekeeper ID Column</t>
  </si>
  <si>
    <t>SORTBY(UNIQUE(L7#),COUNTIFS('Raw Data'!H:H,UNIQUE(L7#),'Raw Data'!J:J,TEXT($A$4,"mmmm yyyy")),-1)</t>
  </si>
  <si>
    <t>Error Cases Found Column</t>
  </si>
  <si>
    <t>IF(A7="","",COUNTIFS('Raw Data'!H:H,A7,'Raw Data'!J:J,TEXT($A$4,"mmmm yyyy")))</t>
  </si>
  <si>
    <t>Short Cases Found Column</t>
  </si>
  <si>
    <t>Excess Cases Found Column</t>
  </si>
  <si>
    <t>IF(A7="","",COUNTIFS('Raw Data'!H:H,A8,'Raw Data'!J:J,TEXT($A$4,"mmmm yyyy"),'Raw Data'!E:E,"Short"))</t>
  </si>
  <si>
    <t>IF(A7="","",COUNTIFS('Raw Data'!H:H,A8,'Raw Data'!J:J,TEXT($A$4,"mmmm yyyy"),'Raw Data'!E:E,"Excess"))</t>
  </si>
  <si>
    <t>IF(A7="","",SUMIFS('Raw Data'!D:D,'Raw Data'!H:H,A7,'Raw Data'!J:J,TEXT($A$4,"mmmm yyyy")))</t>
  </si>
  <si>
    <t>IF(A7="","",MAXIFS('Raw Data'!A:A,'Raw Data'!H:H,A7,'Raw Data'!J:J,TEXT($A$4,"mmmm yyyy")))</t>
  </si>
  <si>
    <t>Most Common Error Found Column</t>
  </si>
  <si>
    <t>Rank column</t>
  </si>
  <si>
    <t>J7</t>
  </si>
  <si>
    <t>FILTER('Raw Data'!H2:H100004,('Raw Data'!H2:H100004&lt;&gt;"")*('Raw Data'!J2:J100004=TEXT($A$4,"mmmm yyyy")))</t>
  </si>
  <si>
    <t>L7</t>
  </si>
  <si>
    <t xml:space="preserve">Total Store with Error </t>
  </si>
  <si>
    <t>SUM(B7:B10000)</t>
  </si>
  <si>
    <t xml:space="preserve">Total Error Cases </t>
  </si>
  <si>
    <t xml:space="preserve">Total Short Cases </t>
  </si>
  <si>
    <t>SUM(C7:C10000)</t>
  </si>
  <si>
    <t>Total Excess Cases</t>
  </si>
  <si>
    <t>E3</t>
  </si>
  <si>
    <t>SORTBY(UNIQUE(L7#),COUNTIFS('Raw Data'!F:F,UNIQUE(L7#),'Raw Data'!J:J,TEXT($A$4,"mmmm yyyy")),-1)</t>
  </si>
  <si>
    <t>Tour/Site Column</t>
  </si>
  <si>
    <t>Total Error Column</t>
  </si>
  <si>
    <t>IF(A7="","",COUNTIFS('Raw Data'!F:F,A7,'Raw Data'!J:J,TEXT($A$4,"mmmm yyyy")))</t>
  </si>
  <si>
    <t>Total Short Column</t>
  </si>
  <si>
    <t>Total Excess Column</t>
  </si>
  <si>
    <t>Total Qyt Affected Column</t>
  </si>
  <si>
    <t>IF(A7="","",COUNTIFS('Raw Data'!F:F,A7,'Raw Data'!J:J,TEXT($A$4,"mmmm yyyy"),'Raw Data'!E:E,"Short"))</t>
  </si>
  <si>
    <t>IF(A7="","",COUNTIFS('Raw Data'!F:F,A7,'Raw Data'!J:J,TEXT($A$4,"mmmm yyyy"),'Raw Data'!E:E,"Excess"))</t>
  </si>
  <si>
    <t>IF(A7="","",SUMIFS('Raw Data'!D:D,'Raw Data'!F:F,A7,'Raw Data'!J:J,TEXT($A$4,"mmmm yyyy")))</t>
  </si>
  <si>
    <t>FILTER('Raw Data'!F2:F100004,('Raw Data'!F2:F100004&lt;&gt;"")*('Raw Data'!J2:J100004=TEXT(A$4,"mmmm yyyy")))</t>
  </si>
  <si>
    <t>Tour Analysis ( Sheet)</t>
  </si>
  <si>
    <t>Daily Analysis ( Sheet)</t>
  </si>
  <si>
    <t>Date Column</t>
  </si>
  <si>
    <t>SORT(UNIQUE(M7#),1,1)</t>
  </si>
  <si>
    <t>IF(A7="","",COUNTIFS('Raw Data'!A:A,A7))</t>
  </si>
  <si>
    <t>IF(A7="","",COUNTIFS('Raw Data'!A:A,A7,'Raw Data'!E:E,"Short"))</t>
  </si>
  <si>
    <t>IF(A7="","",COUNTIFS('Raw Data'!A:A,A7,'Raw Data'!E:E,"Excess"))</t>
  </si>
  <si>
    <t>IF(A7="","",SUMIFS('Raw Data'!D:D,'Raw Data'!A:A,A7))</t>
  </si>
  <si>
    <t>FILTER('Raw Data'!A2:A100004,('Raw Data'!A2:A100004&lt;&gt;"")*('Raw Data'!J2:J100004=TEXT($A$4,"mmmm yyyy")))</t>
  </si>
  <si>
    <t>Article Analysis ( Sheet)</t>
  </si>
  <si>
    <t xml:space="preserve">Total Articles with Error </t>
  </si>
  <si>
    <t>SUM(D7:D10000)</t>
  </si>
  <si>
    <t>SUM(E7:E10000)</t>
  </si>
  <si>
    <t>SUM(F7:F10000)</t>
  </si>
  <si>
    <t>Article Column</t>
  </si>
  <si>
    <t>DXB510559</t>
  </si>
  <si>
    <t>DXB495322</t>
  </si>
  <si>
    <t>Yard.R/On A/P Pet.Blossom 50ml</t>
  </si>
  <si>
    <t>Hnz Mayonaise Inc.Light 310ml</t>
  </si>
  <si>
    <t>DXB73808R</t>
  </si>
  <si>
    <t>L/Elv ExtOrdOil Midnt.Serm100m</t>
  </si>
  <si>
    <t>DXB489995</t>
  </si>
  <si>
    <t>Axe Deo C/Lthr+Ckie 2x150ml PO</t>
  </si>
  <si>
    <t>DXB494696</t>
  </si>
  <si>
    <t>DXB486073</t>
  </si>
  <si>
    <t>Colgate T/B Adv. Slim Soft 2s</t>
  </si>
  <si>
    <t>Al Osra Fine Sugar 5kg</t>
  </si>
  <si>
    <t>DXB62350R</t>
  </si>
  <si>
    <t>Brit50-50 MaskaChska 10x62g PO</t>
  </si>
  <si>
    <t>DXB504922</t>
  </si>
  <si>
    <t>DXB442324</t>
  </si>
  <si>
    <t>Dov Shmp Ntr.Sol 2n1 Daily400m</t>
  </si>
  <si>
    <t>DXB76893</t>
  </si>
  <si>
    <t>H/M Handwash 3x500ml P/O Z37</t>
  </si>
  <si>
    <t>R/B Handwash 3x500ml P/O 1139</t>
  </si>
  <si>
    <t>Dov.R/On(W)Moist Original 50ml</t>
  </si>
  <si>
    <t>DXB481085</t>
  </si>
  <si>
    <t>Nezo Iodised Salt Red 600gm</t>
  </si>
  <si>
    <t>Sens.T/P Extra Whitng 75mlx2PO</t>
  </si>
  <si>
    <t>DXB492416</t>
  </si>
  <si>
    <t>Yardly Soap Jasmine 100gm 3's</t>
  </si>
  <si>
    <t>DXB488635</t>
  </si>
  <si>
    <t>DXB492425</t>
  </si>
  <si>
    <t>Lrl Cst.Crm Glos100Blk.Lcrc1pk</t>
  </si>
  <si>
    <t>DXB456417</t>
  </si>
  <si>
    <t>Lyf Kitchn.Cleanr A/Bact 750ml</t>
  </si>
  <si>
    <t>DXB425505</t>
  </si>
  <si>
    <t>Clorx T/BowlCln Fresh709ml 2+1</t>
  </si>
  <si>
    <t>DXB504950</t>
  </si>
  <si>
    <t>Nab Ritz Cracker 39.6g 12s PO</t>
  </si>
  <si>
    <t>Laser D.Rzr 2Bld L/H Bag 10+10</t>
  </si>
  <si>
    <t>DXB509334</t>
  </si>
  <si>
    <t>C/F Wht.M.Tuna/Olive 185gm</t>
  </si>
  <si>
    <t>Lux D/W Sunlight Lemon 1250ml</t>
  </si>
  <si>
    <t>DXB492303</t>
  </si>
  <si>
    <t>DXB497063</t>
  </si>
  <si>
    <t>DXB497086</t>
  </si>
  <si>
    <t>Lrl Cst.Crm Glos513 Iced Trfle</t>
  </si>
  <si>
    <t>Lrl Cast.Crm Gloss LghtBrwn500</t>
  </si>
  <si>
    <t>Nawar Sunflower Oil 3L PO</t>
  </si>
  <si>
    <t>B/C PancakeMix ButrMilk 917gPO</t>
  </si>
  <si>
    <t>DXB484498</t>
  </si>
  <si>
    <t>H&amp;S Shmp.A/D Menthl Frsh 500ml</t>
  </si>
  <si>
    <t>DXB485760</t>
  </si>
  <si>
    <t>Tid TplPr Gel DwyFlor 2x1.8LPO</t>
  </si>
  <si>
    <t>DXB486496</t>
  </si>
  <si>
    <t>AlJazira EV OliveOil Tin 175ml</t>
  </si>
  <si>
    <t>DXB504927</t>
  </si>
  <si>
    <t xml:space="preserve"> Sens.T/P Fluoride 75ml 2s P/O</t>
  </si>
  <si>
    <t>DXB63233R</t>
  </si>
  <si>
    <t>Lfeboy B/Wsh ASF CoolFrsh300ml</t>
  </si>
  <si>
    <t>DXB488647</t>
  </si>
  <si>
    <t>Lulu Prem.Lungo CofeCap10s 55g</t>
  </si>
  <si>
    <t>Trsm.Shmp FlawlesCurl SF 350ml</t>
  </si>
  <si>
    <t>DXB65189</t>
  </si>
  <si>
    <t>Indomie Fried Noodles 5's</t>
  </si>
  <si>
    <t>Indomie Soto Mie Noodles 5's</t>
  </si>
  <si>
    <t>Lipton Tea Dust 400g 2s PO</t>
  </si>
  <si>
    <t>DXB487190</t>
  </si>
  <si>
    <t>Pnt Shmp ProVAHF375m+OilRp275m</t>
  </si>
  <si>
    <t>DXB420499</t>
  </si>
  <si>
    <t>Gr.SA Mic.Wtr SalyAcd400m+Cotn</t>
  </si>
  <si>
    <t>J&amp;J BL Intens 48H Dry-Very400m</t>
  </si>
  <si>
    <t>DXB478379</t>
  </si>
  <si>
    <t>Vegtl H/Serum Argan&amp;Brgraj30ml</t>
  </si>
  <si>
    <t>East Chk.Porichathu Masla 115g</t>
  </si>
  <si>
    <t>Nafed Fennel Seeds 100gm</t>
  </si>
  <si>
    <t>Tde AbyaLqd DrkPrct 2x1.85L PO</t>
  </si>
  <si>
    <t>DXB511009</t>
  </si>
  <si>
    <t>Tata Iodised Salt Red Pk 1kg</t>
  </si>
  <si>
    <t>DwnyAIO Conc.LvndrMsk 2.9L PO</t>
  </si>
  <si>
    <t>Baker Chakki Fresh Atta 2kg</t>
  </si>
  <si>
    <t>Nivea Soft 75ml</t>
  </si>
  <si>
    <t>DXB471901</t>
  </si>
  <si>
    <t>Alfares Breadcrmb Grlc&amp;Hrb300g</t>
  </si>
  <si>
    <t>DXB412854</t>
  </si>
  <si>
    <t>DXB501183</t>
  </si>
  <si>
    <t>H&amp;H Tea Bag Orga Peppermnt 20s</t>
  </si>
  <si>
    <t>DXB453498</t>
  </si>
  <si>
    <t>E/day Black Beans 454g</t>
  </si>
  <si>
    <t xml:space="preserve"> Eastrn Spicy ChickenMasala125g</t>
  </si>
  <si>
    <t>Nestle Condensed Milk Sqz 450g</t>
  </si>
  <si>
    <t>Cerlc B/F Ban.Orng.Bsc 6M+ 90g</t>
  </si>
  <si>
    <t xml:space="preserve"> White Seed</t>
  </si>
  <si>
    <t>DXB411399R</t>
  </si>
  <si>
    <t>Rex.Deo(W) A/P 48H PwdrDry150m</t>
  </si>
  <si>
    <t>DXB57291R</t>
  </si>
  <si>
    <t>Safa Tomato Paste 850g</t>
  </si>
  <si>
    <t>Eastern Coconut Oil 2lt</t>
  </si>
  <si>
    <t>Lulu Canola Oil 1.5lt 2s</t>
  </si>
  <si>
    <t>Signl T/P Nat.Elmnt Charcl 75m</t>
  </si>
  <si>
    <t>Lego Pesto Tradtnl Basil 190g</t>
  </si>
  <si>
    <t>DXB414071R</t>
  </si>
  <si>
    <t>HM Antiseptic 750ml 2s+500ml</t>
  </si>
  <si>
    <t>Finsh PB A/1 Qntm Lemn 21s 2pk</t>
  </si>
  <si>
    <t>DXB413486R</t>
  </si>
  <si>
    <t>Dov.B/Wsh Rst.Ritl Cocnt 500ml</t>
  </si>
  <si>
    <t>DXB481020R</t>
  </si>
  <si>
    <t>Pert Shmp Dmg&amp;Dyd OlvOil 600ml</t>
  </si>
  <si>
    <t>6 M/Dubai Drnk.Water500ml 12s PO</t>
  </si>
  <si>
    <t>DXB504923</t>
  </si>
  <si>
    <t>August 2026</t>
  </si>
  <si>
    <t xml:space="preserve">C/G </t>
  </si>
  <si>
    <t>DXB52675R</t>
  </si>
  <si>
    <t>C/G FvaBns Mashd Salsa.Rcp450g</t>
  </si>
  <si>
    <t>J&amp;J Baby Soap 125g 5+1</t>
  </si>
  <si>
    <t>Gerber Bite Tomoto+Carrot 35g</t>
  </si>
  <si>
    <t>Palm.Foamg H/W Lime&amp;Mint 250ml</t>
  </si>
  <si>
    <t>DXB76892</t>
  </si>
  <si>
    <t>Irani Raisin Golden</t>
  </si>
  <si>
    <t>Pringles Chips Sour&amp;Onion 70g</t>
  </si>
  <si>
    <t>DXB462178</t>
  </si>
  <si>
    <t>Clr Shmp(M) A/D ShwrFrsh 400ml</t>
  </si>
  <si>
    <t>DXB487698</t>
  </si>
  <si>
    <t>Surf WP Jasm&amp;FrenchFlw TL 2.4k</t>
  </si>
  <si>
    <t>DXB…......</t>
  </si>
  <si>
    <t>M/Dubai Drnk.Water500ml 12s PO</t>
  </si>
  <si>
    <t>DXB433581</t>
  </si>
  <si>
    <t>Crest Tooth Paste Kids 50ml</t>
  </si>
  <si>
    <t>DXB488630</t>
  </si>
  <si>
    <t>Al Jazira Virgn OliveOil 1ltPO</t>
  </si>
  <si>
    <t>Kotex Nat.Cotn Mxi Nght Wng22s</t>
  </si>
  <si>
    <t>Loreal S/L Invisible Gel 150ml</t>
  </si>
  <si>
    <t>DXB430120R</t>
  </si>
  <si>
    <t>RoyalChef Ponni Boil Rice 5kg</t>
  </si>
  <si>
    <t>Lulu Macaroni Risone 400gm</t>
  </si>
  <si>
    <t>DXB497085</t>
  </si>
  <si>
    <t>C/G Peeld Foul W/Chilly 450g</t>
  </si>
  <si>
    <t>DXB471127</t>
  </si>
  <si>
    <t>Par. C/Bisc.Gold Pineapple 67g</t>
  </si>
  <si>
    <t>C/Up TP WhtFrsh Chrcol Coc75ml</t>
  </si>
  <si>
    <t>H/M Toothpick 280s Sqr. YK0167</t>
  </si>
  <si>
    <t>Colg T/P Total Clean Mint 50ml</t>
  </si>
  <si>
    <t>Heinz Dynamite Sauce Sqz 400ml</t>
  </si>
  <si>
    <t>Det.H/Wash Orgnl 400ml 2s PO</t>
  </si>
  <si>
    <t>Loyal Fab.Softnr Blue Petal 3L</t>
  </si>
  <si>
    <t>Pril D/W UltraPwr Lemn1.25L PO</t>
  </si>
  <si>
    <t>R/B Handwash</t>
  </si>
  <si>
    <t>DXB488644</t>
  </si>
  <si>
    <t>Alodrma Aloe Hydrat.Serum 50ml</t>
  </si>
  <si>
    <t>Balmy Sisal Face&amp;Body Bath Pad</t>
  </si>
  <si>
    <t>C&amp;C F/Scrb M/Enrgy S/Enrgs150m</t>
  </si>
  <si>
    <t>A/Garden AppleCider Vinegar 1L</t>
  </si>
  <si>
    <t>Aptamil Lactose Free 400g 0-6M</t>
  </si>
  <si>
    <t>Oman Chips 97g</t>
  </si>
  <si>
    <t xml:space="preserve"> Brit.Toastea WhtRusk 2x305g PO</t>
  </si>
  <si>
    <t>DXB494649</t>
  </si>
  <si>
    <t>Hnz Thsnd.Islnd Drsng 400ml PO</t>
  </si>
  <si>
    <t>H/P Cont. MW 1000m5s+500m5s PO</t>
  </si>
  <si>
    <t>Najat Bsmti Rice XXXL1121 5kg</t>
  </si>
  <si>
    <t>Nestle Coffeemate 170gm</t>
  </si>
  <si>
    <t>Hug.Dpr Pants#3 6-11kg 44s PO</t>
  </si>
  <si>
    <t>DXB497090</t>
  </si>
  <si>
    <t>F/B InsDry Pant#4 9-15k 44s PO</t>
  </si>
  <si>
    <t>Dove B/W Deep Moisture 400ml</t>
  </si>
  <si>
    <t>Indo Chkn.Curry Nodle 75g 10s</t>
  </si>
  <si>
    <t>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</si>
</sst>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yy"/>
    <numFmt numFmtId="165" formatCode="[$-409]d\-mmm\-yyyy;@"/>
    <numFmt numFmtId="166" formatCode="mmmm\ yyyy"/>
  </numFmts>
  <fonts count="3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3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1"/>
      <color theme="1"/>
      <name val="ADLaM Display"/>
    </font>
    <font>
      <sz val="11"/>
      <color theme="0"/>
      <name val="ADLaM Display"/>
    </font>
    <font>
      <b/>
      <sz val="12"/>
      <color theme="0"/>
      <name val="Aharoni"/>
      <charset val="177"/>
    </font>
    <font>
      <b/>
      <sz val="22"/>
      <color theme="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b/>
      <sz val="16"/>
      <color theme="9" tint="-0.499984740745262"/>
      <name val="Aptos Narrow"/>
      <family val="2"/>
      <scheme val="minor"/>
    </font>
    <font>
      <b/>
      <sz val="22"/>
      <color theme="9" tint="0.59999389629810485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theme="9" tint="0.59999389629810485"/>
      <name val="Aptos Narrow"/>
      <family val="2"/>
      <scheme val="minor"/>
    </font>
    <font>
      <b/>
      <sz val="14"/>
      <color theme="9" tint="-0.499984740745262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theme="9" tint="0.39997558519241921"/>
      <name val="Aptos Narrow"/>
      <family val="2"/>
      <scheme val="minor"/>
    </font>
    <font>
      <b/>
      <sz val="18"/>
      <color theme="9" tint="0.39997558519241921"/>
      <name val="Aptos Narrow"/>
      <family val="2"/>
      <scheme val="minor"/>
    </font>
    <font>
      <b/>
      <sz val="12"/>
      <color theme="9" tint="0.39997558519241921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  <font>
      <b/>
      <sz val="26"/>
      <color theme="9" tint="0.39997558519241921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-0.499984740745262"/>
        <b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0" fillId="0" borderId="0" xfId="0" applyNumberFormat="1"/>
    <xf numFmtId="0" fontId="9" fillId="0" borderId="0" xfId="0" applyFont="1"/>
    <xf numFmtId="14" fontId="9" fillId="0" borderId="0" xfId="0" applyNumberFormat="1" applyFont="1"/>
    <xf numFmtId="165" fontId="0" fillId="0" borderId="0" xfId="0" applyNumberFormat="1"/>
    <xf numFmtId="165" fontId="2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65" fontId="7" fillId="2" borderId="0" xfId="0" applyNumberFormat="1" applyFont="1" applyFill="1"/>
    <xf numFmtId="0" fontId="0" fillId="4" borderId="0" xfId="0" applyFill="1"/>
    <xf numFmtId="0" fontId="8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165" fontId="0" fillId="4" borderId="0" xfId="0" applyNumberFormat="1" applyFill="1"/>
    <xf numFmtId="0" fontId="1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7" fillId="4" borderId="0" xfId="0" applyFont="1" applyFill="1"/>
    <xf numFmtId="0" fontId="0" fillId="4" borderId="0" xfId="0" applyFill="1" applyAlignment="1">
      <alignment horizontal="center"/>
    </xf>
    <xf numFmtId="166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16" fillId="2" borderId="0" xfId="0" applyFont="1" applyFill="1"/>
    <xf numFmtId="164" fontId="16" fillId="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165" fontId="20" fillId="5" borderId="0" xfId="0" applyNumberFormat="1" applyFont="1" applyFill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6" fillId="0" borderId="0" xfId="0" applyFont="1"/>
    <xf numFmtId="166" fontId="6" fillId="0" borderId="0" xfId="0" applyNumberFormat="1" applyFont="1"/>
    <xf numFmtId="0" fontId="21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23" fillId="5" borderId="0" xfId="0" applyFont="1" applyFill="1"/>
    <xf numFmtId="166" fontId="23" fillId="5" borderId="0" xfId="0" applyNumberFormat="1" applyFont="1" applyFill="1"/>
    <xf numFmtId="166" fontId="25" fillId="5" borderId="0" xfId="0" applyNumberFormat="1" applyFont="1" applyFill="1" applyAlignment="1" applyProtection="1">
      <alignment horizontal="center" vertical="center"/>
      <protection locked="0"/>
    </xf>
    <xf numFmtId="0" fontId="4" fillId="0" borderId="2" xfId="0" applyFont="1" applyBorder="1"/>
    <xf numFmtId="166" fontId="18" fillId="4" borderId="0" xfId="0" applyNumberFormat="1" applyFont="1" applyFill="1" applyAlignment="1" applyProtection="1">
      <alignment horizontal="center" vertical="center"/>
      <protection locked="0"/>
    </xf>
    <xf numFmtId="166" fontId="14" fillId="4" borderId="0" xfId="0" applyNumberFormat="1" applyFont="1" applyFill="1" applyAlignment="1" applyProtection="1">
      <alignment horizontal="center" vertical="center"/>
      <protection locked="0"/>
    </xf>
    <xf numFmtId="0" fontId="13" fillId="4" borderId="0" xfId="0" applyFont="1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4" fontId="1" fillId="0" borderId="0" xfId="0" applyNumberFormat="1" applyFont="1" applyAlignment="1" applyProtection="1">
      <alignment horizontal="center" vertical="center"/>
      <protection locked="0"/>
    </xf>
    <xf numFmtId="3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0" fontId="1" fillId="0" borderId="0" xfId="0" applyFont="1"/>
    <xf numFmtId="0" fontId="17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27" fillId="2" borderId="0" xfId="0" applyFont="1" applyFill="1" applyAlignment="1">
      <alignment horizontal="center" vertical="center"/>
    </xf>
    <xf numFmtId="0" fontId="25" fillId="4" borderId="0" xfId="0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28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29" fillId="0" borderId="0" xfId="0" applyFont="1" applyAlignment="1">
      <alignment vertical="center"/>
    </xf>
    <xf numFmtId="0" fontId="30" fillId="0" borderId="0" xfId="0" applyFont="1"/>
    <xf numFmtId="0" fontId="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12" fillId="2" borderId="0" xfId="0" applyFont="1" applyFill="1" applyAlignment="1">
      <alignment horizontal="center"/>
    </xf>
    <xf numFmtId="165" fontId="7" fillId="2" borderId="0" xfId="0" applyNumberFormat="1" applyFont="1" applyFill="1" applyAlignment="1">
      <alignment horizontal="center"/>
    </xf>
    <xf numFmtId="0" fontId="29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0" fillId="0" borderId="0" xfId="0" applyFont="1" applyAlignment="1">
      <alignment horizontal="center"/>
    </xf>
  </cellXfs>
  <cellStyles count="1">
    <cellStyle name="Normal" xfId="0" builtinId="0"/>
  </cellStyles>
  <dxfs count="49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4B4B"/>
        </patternFill>
      </fill>
    </dxf>
    <dxf>
      <font>
        <b/>
        <i val="0"/>
      </font>
      <fill>
        <patternFill>
          <bgColor rgb="FFFF3737"/>
        </patternFill>
      </fill>
    </dxf>
    <dxf>
      <font>
        <b/>
        <i val="0"/>
      </font>
      <fill>
        <patternFill>
          <bgColor rgb="FFFFDF79"/>
        </patternFill>
      </fill>
    </dxf>
    <dxf>
      <numFmt numFmtId="0" formatCode="General"/>
      <alignment horizontal="center" vertical="center" textRotation="0" wrapText="0" indent="0" justifyLastLine="0" shrinkToFit="0" readingOrder="0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1" hidden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numFmt numFmtId="3" formatCode="#,##0"/>
      <alignment horizontal="center" vertical="center" textRotation="0" wrapText="0" indent="0" justifyLastLine="0" shrinkToFit="0" readingOrder="0"/>
      <protection locked="0" hidden="0"/>
    </dxf>
    <dxf>
      <numFmt numFmtId="30" formatCode="@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165" formatCode="[$-409]d\-mmm\-yyyy;@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</dxf>
    <dxf>
      <font>
        <b/>
      </font>
    </dxf>
  </dxfs>
  <tableStyles count="0" defaultTableStyle="TableStyleMedium2" defaultPivotStyle="PivotStyleLight16"/>
  <colors>
    <mruColors>
      <color rgb="FF075301"/>
      <color rgb="FFFF3B3B"/>
      <color rgb="FFFF4B4B"/>
      <color rgb="FFFFDF79"/>
      <color rgb="FFFF37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251703179404282E-2"/>
          <c:y val="0.1469037338074676"/>
          <c:w val="0.92757048448259671"/>
          <c:h val="0.43006970282560836"/>
        </c:manualLayout>
      </c:layout>
      <c:lineChart>
        <c:grouping val="standard"/>
        <c:varyColors val="0"/>
        <c:ser>
          <c:idx val="0"/>
          <c:order val="0"/>
          <c:tx>
            <c:strRef>
              <c:f>Dashboard!$O$10</c:f>
              <c:strCache>
                <c:ptCount val="1"/>
                <c:pt idx="0">
                  <c:v>Total Errors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Dashboard!$N$11:$N$35</c:f>
              <c:numCache>
                <c:formatCode>dd\-mmm\-yyyy</c:formatCode>
                <c:ptCount val="25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46239</c:v>
                </c:pt>
                <c:pt idx="4">
                  <c:v>46240</c:v>
                </c:pt>
                <c:pt idx="5">
                  <c:v>46241</c:v>
                </c:pt>
                <c:pt idx="6">
                  <c:v>46242</c:v>
                </c:pt>
                <c:pt idx="7">
                  <c:v>46244</c:v>
                </c:pt>
                <c:pt idx="8">
                  <c:v>46246</c:v>
                </c:pt>
                <c:pt idx="9">
                  <c:v>46247</c:v>
                </c:pt>
                <c:pt idx="10">
                  <c:v>46248</c:v>
                </c:pt>
                <c:pt idx="11">
                  <c:v>46249</c:v>
                </c:pt>
                <c:pt idx="12">
                  <c:v>46250</c:v>
                </c:pt>
                <c:pt idx="13">
                  <c:v>46252</c:v>
                </c:pt>
                <c:pt idx="14">
                  <c:v>46253</c:v>
                </c:pt>
                <c:pt idx="15">
                  <c:v>46254</c:v>
                </c:pt>
                <c:pt idx="16">
                  <c:v>46255</c:v>
                </c:pt>
                <c:pt idx="17">
                  <c:v>46256</c:v>
                </c:pt>
                <c:pt idx="18">
                  <c:v>46257</c:v>
                </c:pt>
              </c:numCache>
            </c:numRef>
          </c:cat>
          <c:val>
            <c:numRef>
              <c:f>Dashboard!$O$11:$O$35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8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F-4377-811A-F7C8633B2E4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21339471"/>
        <c:axId val="421346191"/>
      </c:lineChart>
      <c:dateAx>
        <c:axId val="421339471"/>
        <c:scaling>
          <c:orientation val="minMax"/>
        </c:scaling>
        <c:delete val="0"/>
        <c:axPos val="b"/>
        <c:numFmt formatCode="dd\-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600" b="0" i="0" u="none" strike="noStrike" kern="1200" baseline="0">
                <a:solidFill>
                  <a:schemeClr val="accent6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346191"/>
        <c:crosses val="autoZero"/>
        <c:auto val="1"/>
        <c:lblOffset val="100"/>
        <c:baseTimeUnit val="days"/>
      </c:dateAx>
      <c:valAx>
        <c:axId val="42134619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2133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accent6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47594050743657E-2"/>
          <c:y val="0.29524368856702676"/>
          <c:w val="0.88380796150481189"/>
          <c:h val="0.52073035743162688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Dashboard!$R$10:$R$11</c:f>
              <c:strCache>
                <c:ptCount val="2"/>
                <c:pt idx="0">
                  <c:v>Short Cases</c:v>
                </c:pt>
                <c:pt idx="1">
                  <c:v>Excess Cases</c:v>
                </c:pt>
              </c:strCache>
            </c:strRef>
          </c:cat>
          <c:val>
            <c:numRef>
              <c:f>Dashboard!$S$10:$S$11</c:f>
              <c:numCache>
                <c:formatCode>General</c:formatCode>
                <c:ptCount val="2"/>
                <c:pt idx="0">
                  <c:v>44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D5-4DB2-92A9-93F3AB4C74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02244367"/>
        <c:axId val="2002263567"/>
      </c:barChart>
      <c:catAx>
        <c:axId val="20022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6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263567"/>
        <c:crosses val="autoZero"/>
        <c:auto val="1"/>
        <c:lblAlgn val="ctr"/>
        <c:lblOffset val="100"/>
        <c:noMultiLvlLbl val="0"/>
      </c:catAx>
      <c:valAx>
        <c:axId val="200226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6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2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209550</xdr:colOff>
      <xdr:row>0</xdr:row>
      <xdr:rowOff>161925</xdr:rowOff>
    </xdr:from>
    <xdr:to>
      <xdr:col>19</xdr:col>
      <xdr:colOff>419100</xdr:colOff>
      <xdr:row>25</xdr:row>
      <xdr:rowOff>180975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CCE23970-93AC-F3DE-FD6F-4B7DB2B9A158}"/>
            </a:ext>
          </a:extLst>
        </xdr:cNvPr>
        <xdr:cNvSpPr/>
      </xdr:nvSpPr>
      <xdr:spPr>
        <a:xfrm>
          <a:off x="209550" y="161925"/>
          <a:ext cx="11791950" cy="4781550"/>
        </a:xfrm>
        <a:prstGeom prst="round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600"/>
        </a:p>
      </xdr:txBody>
    </xdr:sp>
    <xdr:clientData/>
  </xdr:twoCellAnchor>
  <xdr:twoCellAnchor>
    <xdr:from>
      <xdr:col>3</xdr:col>
      <xdr:colOff>304800</xdr:colOff>
      <xdr:row>12</xdr:row>
      <xdr:rowOff>28575</xdr:rowOff>
    </xdr:from>
    <xdr:to>
      <xdr:col>17</xdr:col>
      <xdr:colOff>19050</xdr:colOff>
      <xdr:row>16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4EBCA65-9ACC-7CC8-8C54-EFBA7B88A302}"/>
            </a:ext>
          </a:extLst>
        </xdr:cNvPr>
        <xdr:cNvSpPr txBox="1"/>
      </xdr:nvSpPr>
      <xdr:spPr>
        <a:xfrm>
          <a:off x="2133600" y="2314575"/>
          <a:ext cx="8248650" cy="914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6000" b="1">
              <a:solidFill>
                <a:schemeClr val="bg1"/>
              </a:solidFill>
            </a:rPr>
            <a:t>Work</a:t>
          </a:r>
          <a:r>
            <a:rPr lang="en-US" sz="6000" b="1" baseline="0">
              <a:solidFill>
                <a:schemeClr val="bg1"/>
              </a:solidFill>
            </a:rPr>
            <a:t> in progress........</a:t>
          </a:r>
          <a:endParaRPr lang="en-US" sz="60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542925</xdr:colOff>
      <xdr:row>5</xdr:row>
      <xdr:rowOff>76200</xdr:rowOff>
    </xdr:from>
    <xdr:to>
      <xdr:col>17</xdr:col>
      <xdr:colOff>581025</xdr:colOff>
      <xdr:row>10</xdr:row>
      <xdr:rowOff>38100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CD432D0-C98F-8FF5-5CAB-9DD895F96FFE}"/>
            </a:ext>
          </a:extLst>
        </xdr:cNvPr>
        <xdr:cNvSpPr txBox="1"/>
      </xdr:nvSpPr>
      <xdr:spPr>
        <a:xfrm>
          <a:off x="1152525" y="1028700"/>
          <a:ext cx="9791700" cy="914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8000" b="1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Do</a:t>
          </a:r>
          <a:r>
            <a:rPr lang="en-US" sz="8000" b="1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Not Open this File</a:t>
          </a:r>
          <a:endParaRPr lang="en-US" sz="85700" b="1">
            <a:solidFill>
              <a:schemeClr val="bg1"/>
            </a:solidFill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334032</xdr:colOff>
      <xdr:row>4</xdr:row>
      <xdr:rowOff>78171</xdr:rowOff>
    </xdr:from>
    <xdr:to>
      <xdr:col>5</xdr:col>
      <xdr:colOff>2147067</xdr:colOff>
      <xdr:row>8</xdr:row>
      <xdr:rowOff>124536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AD3BB2BA-71E5-5C22-8C40-05FFFACC4F24}"/>
            </a:ext>
          </a:extLst>
        </xdr:cNvPr>
        <xdr:cNvSpPr/>
      </xdr:nvSpPr>
      <xdr:spPr>
        <a:xfrm>
          <a:off x="10573407" y="1164021"/>
          <a:ext cx="1813035" cy="78931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207576</xdr:colOff>
      <xdr:row>4</xdr:row>
      <xdr:rowOff>78335</xdr:rowOff>
    </xdr:from>
    <xdr:to>
      <xdr:col>5</xdr:col>
      <xdr:colOff>111673</xdr:colOff>
      <xdr:row>8</xdr:row>
      <xdr:rowOff>124372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FBFE066B-ACA9-3AFE-F01C-24996CB8A055}"/>
            </a:ext>
          </a:extLst>
        </xdr:cNvPr>
        <xdr:cNvSpPr/>
      </xdr:nvSpPr>
      <xdr:spPr>
        <a:xfrm>
          <a:off x="8399076" y="1164185"/>
          <a:ext cx="1951972" cy="78898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168820</xdr:colOff>
      <xdr:row>4</xdr:row>
      <xdr:rowOff>78335</xdr:rowOff>
    </xdr:from>
    <xdr:to>
      <xdr:col>3</xdr:col>
      <xdr:colOff>1989738</xdr:colOff>
      <xdr:row>8</xdr:row>
      <xdr:rowOff>124372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04504423-D5F6-C02E-79D6-FD40031BFD87}"/>
            </a:ext>
          </a:extLst>
        </xdr:cNvPr>
        <xdr:cNvSpPr/>
      </xdr:nvSpPr>
      <xdr:spPr>
        <a:xfrm>
          <a:off x="6312445" y="1164185"/>
          <a:ext cx="1820918" cy="78898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247649</xdr:colOff>
      <xdr:row>4</xdr:row>
      <xdr:rowOff>78335</xdr:rowOff>
    </xdr:from>
    <xdr:to>
      <xdr:col>3</xdr:col>
      <xdr:colOff>19049</xdr:colOff>
      <xdr:row>8</xdr:row>
      <xdr:rowOff>124372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3E6E2779-F127-7F10-2643-CB58E79435E6}"/>
            </a:ext>
          </a:extLst>
        </xdr:cNvPr>
        <xdr:cNvSpPr/>
      </xdr:nvSpPr>
      <xdr:spPr>
        <a:xfrm>
          <a:off x="4343399" y="1164185"/>
          <a:ext cx="1819275" cy="78898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257174</xdr:colOff>
      <xdr:row>4</xdr:row>
      <xdr:rowOff>78335</xdr:rowOff>
    </xdr:from>
    <xdr:to>
      <xdr:col>2</xdr:col>
      <xdr:colOff>28574</xdr:colOff>
      <xdr:row>8</xdr:row>
      <xdr:rowOff>124372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018D4105-1E7E-CF86-B54F-8863B855B13F}"/>
            </a:ext>
          </a:extLst>
        </xdr:cNvPr>
        <xdr:cNvSpPr/>
      </xdr:nvSpPr>
      <xdr:spPr>
        <a:xfrm>
          <a:off x="2305049" y="1164185"/>
          <a:ext cx="1819275" cy="78898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180974</xdr:colOff>
      <xdr:row>4</xdr:row>
      <xdr:rowOff>78335</xdr:rowOff>
    </xdr:from>
    <xdr:to>
      <xdr:col>0</xdr:col>
      <xdr:colOff>2000249</xdr:colOff>
      <xdr:row>8</xdr:row>
      <xdr:rowOff>124372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6BFC3202-2BAF-4C44-8A89-6FFD1524183E}"/>
            </a:ext>
          </a:extLst>
        </xdr:cNvPr>
        <xdr:cNvSpPr/>
      </xdr:nvSpPr>
      <xdr:spPr>
        <a:xfrm>
          <a:off x="180974" y="1164185"/>
          <a:ext cx="1819275" cy="78898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410816</xdr:colOff>
      <xdr:row>1</xdr:row>
      <xdr:rowOff>123825</xdr:rowOff>
    </xdr:from>
    <xdr:to>
      <xdr:col>0</xdr:col>
      <xdr:colOff>1715742</xdr:colOff>
      <xdr:row>2</xdr:row>
      <xdr:rowOff>142875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9C592D94-B6AC-C7D4-8052-BCBD229FD202}"/>
            </a:ext>
          </a:extLst>
        </xdr:cNvPr>
        <xdr:cNvSpPr/>
      </xdr:nvSpPr>
      <xdr:spPr>
        <a:xfrm>
          <a:off x="410816" y="504825"/>
          <a:ext cx="1304926" cy="209550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Month</a:t>
          </a:r>
          <a:endParaRPr lang="en-US" sz="900" b="1"/>
        </a:p>
      </xdr:txBody>
    </xdr:sp>
    <xdr:clientData/>
  </xdr:twoCellAnchor>
  <xdr:twoCellAnchor>
    <xdr:from>
      <xdr:col>1</xdr:col>
      <xdr:colOff>401291</xdr:colOff>
      <xdr:row>1</xdr:row>
      <xdr:rowOff>66612</xdr:rowOff>
    </xdr:from>
    <xdr:to>
      <xdr:col>1</xdr:col>
      <xdr:colOff>1706217</xdr:colOff>
      <xdr:row>2</xdr:row>
      <xdr:rowOff>125960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E4DC4B25-9812-AF93-5691-43609ECB4F06}"/>
            </a:ext>
          </a:extLst>
        </xdr:cNvPr>
        <xdr:cNvSpPr/>
      </xdr:nvSpPr>
      <xdr:spPr>
        <a:xfrm>
          <a:off x="2449166" y="447612"/>
          <a:ext cx="1304926" cy="249848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Tour/Site</a:t>
          </a:r>
          <a:endParaRPr lang="en-US" sz="900" b="1"/>
        </a:p>
      </xdr:txBody>
    </xdr:sp>
    <xdr:clientData/>
  </xdr:twoCellAnchor>
  <xdr:twoCellAnchor>
    <xdr:from>
      <xdr:col>2</xdr:col>
      <xdr:colOff>364656</xdr:colOff>
      <xdr:row>1</xdr:row>
      <xdr:rowOff>66612</xdr:rowOff>
    </xdr:from>
    <xdr:to>
      <xdr:col>2</xdr:col>
      <xdr:colOff>1669582</xdr:colOff>
      <xdr:row>2</xdr:row>
      <xdr:rowOff>125960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BEB1E2C0-5464-6B50-3421-E766525AD77A}"/>
            </a:ext>
          </a:extLst>
        </xdr:cNvPr>
        <xdr:cNvSpPr/>
      </xdr:nvSpPr>
      <xdr:spPr>
        <a:xfrm>
          <a:off x="4460406" y="447612"/>
          <a:ext cx="1304926" cy="249848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Picker ID</a:t>
          </a:r>
          <a:endParaRPr lang="en-US" sz="900" b="1"/>
        </a:p>
      </xdr:txBody>
    </xdr:sp>
    <xdr:clientData/>
  </xdr:twoCellAnchor>
  <xdr:twoCellAnchor>
    <xdr:from>
      <xdr:col>3</xdr:col>
      <xdr:colOff>386637</xdr:colOff>
      <xdr:row>1</xdr:row>
      <xdr:rowOff>66612</xdr:rowOff>
    </xdr:from>
    <xdr:to>
      <xdr:col>3</xdr:col>
      <xdr:colOff>1691563</xdr:colOff>
      <xdr:row>2</xdr:row>
      <xdr:rowOff>125960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A70F34EA-A2C0-CF07-879E-937744A81CDC}"/>
            </a:ext>
          </a:extLst>
        </xdr:cNvPr>
        <xdr:cNvSpPr/>
      </xdr:nvSpPr>
      <xdr:spPr>
        <a:xfrm>
          <a:off x="6530262" y="447612"/>
          <a:ext cx="1304926" cy="249848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Storekeeper ID</a:t>
          </a:r>
          <a:endParaRPr lang="en-US" sz="900" b="1"/>
        </a:p>
      </xdr:txBody>
    </xdr:sp>
    <xdr:clientData/>
  </xdr:twoCellAnchor>
  <xdr:twoCellAnchor>
    <xdr:from>
      <xdr:col>4</xdr:col>
      <xdr:colOff>364656</xdr:colOff>
      <xdr:row>1</xdr:row>
      <xdr:rowOff>66612</xdr:rowOff>
    </xdr:from>
    <xdr:to>
      <xdr:col>4</xdr:col>
      <xdr:colOff>1669582</xdr:colOff>
      <xdr:row>2</xdr:row>
      <xdr:rowOff>125960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43177AB7-A1D7-330A-BCFF-DC5AF44139AD}"/>
            </a:ext>
          </a:extLst>
        </xdr:cNvPr>
        <xdr:cNvSpPr/>
      </xdr:nvSpPr>
      <xdr:spPr>
        <a:xfrm>
          <a:off x="8556156" y="447612"/>
          <a:ext cx="1304926" cy="249848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Error Type</a:t>
          </a:r>
          <a:endParaRPr lang="en-US" sz="900" b="1"/>
        </a:p>
      </xdr:txBody>
    </xdr:sp>
    <xdr:clientData/>
  </xdr:twoCellAnchor>
  <xdr:twoCellAnchor>
    <xdr:from>
      <xdr:col>0</xdr:col>
      <xdr:colOff>1924050</xdr:colOff>
      <xdr:row>3</xdr:row>
      <xdr:rowOff>42861</xdr:rowOff>
    </xdr:from>
    <xdr:to>
      <xdr:col>0</xdr:col>
      <xdr:colOff>2000250</xdr:colOff>
      <xdr:row>3</xdr:row>
      <xdr:rowOff>119061</xdr:rowOff>
    </xdr:to>
    <xdr:sp macro="" textlink="">
      <xdr:nvSpPr>
        <xdr:cNvPr id="7" name="Isosceles Triangle 6">
          <a:extLst>
            <a:ext uri="{FF2B5EF4-FFF2-40B4-BE49-F238E27FC236}">
              <a16:creationId xmlns:a16="http://schemas.microsoft.com/office/drawing/2014/main" id="{B9ACBC0F-56B4-8A0B-05C9-D2B60D700EC9}"/>
            </a:ext>
          </a:extLst>
        </xdr:cNvPr>
        <xdr:cNvSpPr/>
      </xdr:nvSpPr>
      <xdr:spPr>
        <a:xfrm rot="10800000">
          <a:off x="1924050" y="814386"/>
          <a:ext cx="76200" cy="76200"/>
        </a:xfrm>
        <a:prstGeom prst="triangl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1905000</xdr:colOff>
      <xdr:row>3</xdr:row>
      <xdr:rowOff>42861</xdr:rowOff>
    </xdr:from>
    <xdr:to>
      <xdr:col>1</xdr:col>
      <xdr:colOff>1981200</xdr:colOff>
      <xdr:row>3</xdr:row>
      <xdr:rowOff>119061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879728FB-CB57-9A3A-655D-6558FD2714AF}"/>
            </a:ext>
          </a:extLst>
        </xdr:cNvPr>
        <xdr:cNvSpPr/>
      </xdr:nvSpPr>
      <xdr:spPr>
        <a:xfrm rot="10800000">
          <a:off x="3952875" y="623886"/>
          <a:ext cx="76200" cy="76200"/>
        </a:xfrm>
        <a:prstGeom prst="triangl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1895475</xdr:colOff>
      <xdr:row>3</xdr:row>
      <xdr:rowOff>42861</xdr:rowOff>
    </xdr:from>
    <xdr:to>
      <xdr:col>2</xdr:col>
      <xdr:colOff>1971675</xdr:colOff>
      <xdr:row>3</xdr:row>
      <xdr:rowOff>119061</xdr:rowOff>
    </xdr:to>
    <xdr:sp macro="" textlink="">
      <xdr:nvSpPr>
        <xdr:cNvPr id="9" name="Isosceles Triangle 8">
          <a:extLst>
            <a:ext uri="{FF2B5EF4-FFF2-40B4-BE49-F238E27FC236}">
              <a16:creationId xmlns:a16="http://schemas.microsoft.com/office/drawing/2014/main" id="{FFF0DF72-D332-4977-9F3A-A3F793A5E533}"/>
            </a:ext>
          </a:extLst>
        </xdr:cNvPr>
        <xdr:cNvSpPr/>
      </xdr:nvSpPr>
      <xdr:spPr>
        <a:xfrm rot="10800000">
          <a:off x="5991225" y="623886"/>
          <a:ext cx="76200" cy="76200"/>
        </a:xfrm>
        <a:prstGeom prst="triangl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1905000</xdr:colOff>
      <xdr:row>3</xdr:row>
      <xdr:rowOff>42861</xdr:rowOff>
    </xdr:from>
    <xdr:to>
      <xdr:col>3</xdr:col>
      <xdr:colOff>1981200</xdr:colOff>
      <xdr:row>3</xdr:row>
      <xdr:rowOff>119061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0B6FE119-4410-2FC1-BC95-1A68B5E6CA27}"/>
            </a:ext>
          </a:extLst>
        </xdr:cNvPr>
        <xdr:cNvSpPr/>
      </xdr:nvSpPr>
      <xdr:spPr>
        <a:xfrm rot="10800000">
          <a:off x="8048625" y="623886"/>
          <a:ext cx="76200" cy="76200"/>
        </a:xfrm>
        <a:prstGeom prst="triangl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1895475</xdr:colOff>
      <xdr:row>3</xdr:row>
      <xdr:rowOff>42861</xdr:rowOff>
    </xdr:from>
    <xdr:to>
      <xdr:col>4</xdr:col>
      <xdr:colOff>1971675</xdr:colOff>
      <xdr:row>3</xdr:row>
      <xdr:rowOff>119061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DB4B7A15-DD9E-25CC-93FF-AA88B79B2CD2}"/>
            </a:ext>
          </a:extLst>
        </xdr:cNvPr>
        <xdr:cNvSpPr/>
      </xdr:nvSpPr>
      <xdr:spPr>
        <a:xfrm rot="10800000">
          <a:off x="10086975" y="623886"/>
          <a:ext cx="76200" cy="76200"/>
        </a:xfrm>
        <a:prstGeom prst="triangl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439391</xdr:colOff>
      <xdr:row>4</xdr:row>
      <xdr:rowOff>183969</xdr:rowOff>
    </xdr:from>
    <xdr:to>
      <xdr:col>0</xdr:col>
      <xdr:colOff>1744317</xdr:colOff>
      <xdr:row>6</xdr:row>
      <xdr:rowOff>47688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980714D7-C121-1DC9-5D40-C29F35F9E198}"/>
            </a:ext>
          </a:extLst>
        </xdr:cNvPr>
        <xdr:cNvSpPr/>
      </xdr:nvSpPr>
      <xdr:spPr>
        <a:xfrm>
          <a:off x="439391" y="1269819"/>
          <a:ext cx="1304926" cy="244719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Tota</a:t>
          </a:r>
          <a:r>
            <a:rPr lang="en-US" sz="1050" b="1" baseline="0"/>
            <a:t>l Error Cases</a:t>
          </a:r>
          <a:endParaRPr lang="en-US" sz="900" b="1"/>
        </a:p>
      </xdr:txBody>
    </xdr:sp>
    <xdr:clientData/>
  </xdr:twoCellAnchor>
  <xdr:twoCellAnchor>
    <xdr:from>
      <xdr:col>1</xdr:col>
      <xdr:colOff>335858</xdr:colOff>
      <xdr:row>4</xdr:row>
      <xdr:rowOff>183969</xdr:rowOff>
    </xdr:from>
    <xdr:to>
      <xdr:col>1</xdr:col>
      <xdr:colOff>1905000</xdr:colOff>
      <xdr:row>6</xdr:row>
      <xdr:rowOff>47688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692F2275-FCB0-635B-C880-1CF82274B33D}"/>
            </a:ext>
          </a:extLst>
        </xdr:cNvPr>
        <xdr:cNvSpPr/>
      </xdr:nvSpPr>
      <xdr:spPr>
        <a:xfrm>
          <a:off x="2383733" y="1269819"/>
          <a:ext cx="1569142" cy="244719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Total</a:t>
          </a:r>
          <a:r>
            <a:rPr lang="en-US" sz="1050" b="1" baseline="0"/>
            <a:t> Qyt Affected ( EA) </a:t>
          </a:r>
          <a:endParaRPr lang="en-US" sz="900" b="1"/>
        </a:p>
      </xdr:txBody>
    </xdr:sp>
    <xdr:clientData/>
  </xdr:twoCellAnchor>
  <xdr:twoCellAnchor>
    <xdr:from>
      <xdr:col>2</xdr:col>
      <xdr:colOff>447274</xdr:colOff>
      <xdr:row>4</xdr:row>
      <xdr:rowOff>183969</xdr:rowOff>
    </xdr:from>
    <xdr:to>
      <xdr:col>2</xdr:col>
      <xdr:colOff>1752200</xdr:colOff>
      <xdr:row>6</xdr:row>
      <xdr:rowOff>47688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73FD1623-CDAF-F8A1-C043-EB6863AE71BE}"/>
            </a:ext>
          </a:extLst>
        </xdr:cNvPr>
        <xdr:cNvSpPr/>
      </xdr:nvSpPr>
      <xdr:spPr>
        <a:xfrm>
          <a:off x="4543024" y="1269819"/>
          <a:ext cx="1304926" cy="244719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Total</a:t>
          </a:r>
          <a:r>
            <a:rPr lang="en-US" sz="1050" b="1" baseline="0"/>
            <a:t> Short Cases</a:t>
          </a:r>
          <a:endParaRPr lang="en-US" sz="900" b="1"/>
        </a:p>
      </xdr:txBody>
    </xdr:sp>
    <xdr:clientData/>
  </xdr:twoCellAnchor>
  <xdr:twoCellAnchor>
    <xdr:from>
      <xdr:col>3</xdr:col>
      <xdr:colOff>391766</xdr:colOff>
      <xdr:row>4</xdr:row>
      <xdr:rowOff>183969</xdr:rowOff>
    </xdr:from>
    <xdr:to>
      <xdr:col>3</xdr:col>
      <xdr:colOff>1696692</xdr:colOff>
      <xdr:row>6</xdr:row>
      <xdr:rowOff>47688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250F0EC6-52F3-2650-2B71-995A40F3A1A1}"/>
            </a:ext>
          </a:extLst>
        </xdr:cNvPr>
        <xdr:cNvSpPr/>
      </xdr:nvSpPr>
      <xdr:spPr>
        <a:xfrm>
          <a:off x="6535391" y="1269819"/>
          <a:ext cx="1304926" cy="244719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Total</a:t>
          </a:r>
          <a:r>
            <a:rPr lang="en-US" sz="1050" b="1" baseline="0"/>
            <a:t> Excess Cases</a:t>
          </a:r>
          <a:endParaRPr lang="en-US" sz="900" b="1"/>
        </a:p>
      </xdr:txBody>
    </xdr:sp>
    <xdr:clientData/>
  </xdr:twoCellAnchor>
  <xdr:twoCellAnchor>
    <xdr:from>
      <xdr:col>4</xdr:col>
      <xdr:colOff>372716</xdr:colOff>
      <xdr:row>4</xdr:row>
      <xdr:rowOff>183969</xdr:rowOff>
    </xdr:from>
    <xdr:to>
      <xdr:col>5</xdr:col>
      <xdr:colOff>47625</xdr:colOff>
      <xdr:row>6</xdr:row>
      <xdr:rowOff>47688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18EA3E7B-DB36-83EE-80A9-17C1FB2E16B0}"/>
            </a:ext>
          </a:extLst>
        </xdr:cNvPr>
        <xdr:cNvSpPr/>
      </xdr:nvSpPr>
      <xdr:spPr>
        <a:xfrm>
          <a:off x="8564216" y="1269819"/>
          <a:ext cx="1722784" cy="244719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Total</a:t>
          </a:r>
          <a:r>
            <a:rPr lang="en-US" sz="1050" b="1" baseline="0"/>
            <a:t> Picker With Error </a:t>
          </a:r>
          <a:endParaRPr lang="en-US" sz="900" b="1"/>
        </a:p>
      </xdr:txBody>
    </xdr:sp>
    <xdr:clientData/>
  </xdr:twoCellAnchor>
  <xdr:twoCellAnchor>
    <xdr:from>
      <xdr:col>5</xdr:col>
      <xdr:colOff>420341</xdr:colOff>
      <xdr:row>4</xdr:row>
      <xdr:rowOff>183969</xdr:rowOff>
    </xdr:from>
    <xdr:to>
      <xdr:col>5</xdr:col>
      <xdr:colOff>2085975</xdr:colOff>
      <xdr:row>6</xdr:row>
      <xdr:rowOff>47688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A3ECB20F-CE6A-9B7D-E20B-2FD6A9B40DED}"/>
            </a:ext>
          </a:extLst>
        </xdr:cNvPr>
        <xdr:cNvSpPr/>
      </xdr:nvSpPr>
      <xdr:spPr>
        <a:xfrm>
          <a:off x="10659716" y="1250769"/>
          <a:ext cx="1665634" cy="244719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/>
            <a:t>Total</a:t>
          </a:r>
          <a:r>
            <a:rPr lang="en-US" sz="900" b="1" baseline="0"/>
            <a:t> StoreKeeper With Error </a:t>
          </a:r>
          <a:endParaRPr lang="en-US" sz="700" b="1"/>
        </a:p>
      </xdr:txBody>
    </xdr:sp>
    <xdr:clientData/>
  </xdr:twoCellAnchor>
  <xdr:twoCellAnchor>
    <xdr:from>
      <xdr:col>0</xdr:col>
      <xdr:colOff>66674</xdr:colOff>
      <xdr:row>6</xdr:row>
      <xdr:rowOff>86984</xdr:rowOff>
    </xdr:from>
    <xdr:to>
      <xdr:col>0</xdr:col>
      <xdr:colOff>2038350</xdr:colOff>
      <xdr:row>8</xdr:row>
      <xdr:rowOff>128260</xdr:rowOff>
    </xdr:to>
    <xdr:sp macro="" textlink="A7">
      <xdr:nvSpPr>
        <xdr:cNvPr id="22" name="TextBox 21">
          <a:extLst>
            <a:ext uri="{FF2B5EF4-FFF2-40B4-BE49-F238E27FC236}">
              <a16:creationId xmlns:a16="http://schemas.microsoft.com/office/drawing/2014/main" id="{5C9E2E09-E067-478B-BC24-F0AD27A9A1B6}"/>
            </a:ext>
          </a:extLst>
        </xdr:cNvPr>
        <xdr:cNvSpPr txBox="1"/>
      </xdr:nvSpPr>
      <xdr:spPr>
        <a:xfrm>
          <a:off x="66674" y="1534784"/>
          <a:ext cx="1971676" cy="4032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CB3A04B-98BC-425E-9935-F47AB5864C60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algn="ctr"/>
            <a:t>65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180974</xdr:colOff>
      <xdr:row>6</xdr:row>
      <xdr:rowOff>86984</xdr:rowOff>
    </xdr:from>
    <xdr:to>
      <xdr:col>2</xdr:col>
      <xdr:colOff>85725</xdr:colOff>
      <xdr:row>8</xdr:row>
      <xdr:rowOff>128260</xdr:rowOff>
    </xdr:to>
    <xdr:sp macro="" textlink="B7">
      <xdr:nvSpPr>
        <xdr:cNvPr id="24" name="TextBox 23">
          <a:extLst>
            <a:ext uri="{FF2B5EF4-FFF2-40B4-BE49-F238E27FC236}">
              <a16:creationId xmlns:a16="http://schemas.microsoft.com/office/drawing/2014/main" id="{C0B14FB4-C3E7-51B1-1287-BEAFF4127430}"/>
            </a:ext>
          </a:extLst>
        </xdr:cNvPr>
        <xdr:cNvSpPr txBox="1"/>
      </xdr:nvSpPr>
      <xdr:spPr>
        <a:xfrm>
          <a:off x="2228849" y="1534784"/>
          <a:ext cx="1952626" cy="4032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A029832-C290-41DC-9A04-EDC96F6D2CD7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726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235496</xdr:colOff>
      <xdr:row>6</xdr:row>
      <xdr:rowOff>86984</xdr:rowOff>
    </xdr:from>
    <xdr:to>
      <xdr:col>2</xdr:col>
      <xdr:colOff>2000250</xdr:colOff>
      <xdr:row>8</xdr:row>
      <xdr:rowOff>128260</xdr:rowOff>
    </xdr:to>
    <xdr:sp macro="" textlink="C7">
      <xdr:nvSpPr>
        <xdr:cNvPr id="26" name="TextBox 25">
          <a:extLst>
            <a:ext uri="{FF2B5EF4-FFF2-40B4-BE49-F238E27FC236}">
              <a16:creationId xmlns:a16="http://schemas.microsoft.com/office/drawing/2014/main" id="{83BFDD61-A463-90E7-866B-DFC806409F0B}"/>
            </a:ext>
          </a:extLst>
        </xdr:cNvPr>
        <xdr:cNvSpPr txBox="1"/>
      </xdr:nvSpPr>
      <xdr:spPr>
        <a:xfrm>
          <a:off x="4331246" y="1534784"/>
          <a:ext cx="1764754" cy="4032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EA90017-E4C7-40CE-B71D-522EEADA9D6E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44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202979</xdr:colOff>
      <xdr:row>6</xdr:row>
      <xdr:rowOff>86984</xdr:rowOff>
    </xdr:from>
    <xdr:to>
      <xdr:col>3</xdr:col>
      <xdr:colOff>1914525</xdr:colOff>
      <xdr:row>8</xdr:row>
      <xdr:rowOff>128260</xdr:rowOff>
    </xdr:to>
    <xdr:sp macro="" textlink="D7">
      <xdr:nvSpPr>
        <xdr:cNvPr id="28" name="TextBox 27">
          <a:extLst>
            <a:ext uri="{FF2B5EF4-FFF2-40B4-BE49-F238E27FC236}">
              <a16:creationId xmlns:a16="http://schemas.microsoft.com/office/drawing/2014/main" id="{FA0BFC47-D605-9CE5-EA8C-0A7688397BA0}"/>
            </a:ext>
          </a:extLst>
        </xdr:cNvPr>
        <xdr:cNvSpPr txBox="1"/>
      </xdr:nvSpPr>
      <xdr:spPr>
        <a:xfrm>
          <a:off x="6346604" y="1534784"/>
          <a:ext cx="1711546" cy="4032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40E9DC7-A39E-4223-AC97-11292C88C68C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21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291988</xdr:colOff>
      <xdr:row>6</xdr:row>
      <xdr:rowOff>86984</xdr:rowOff>
    </xdr:from>
    <xdr:to>
      <xdr:col>5</xdr:col>
      <xdr:colOff>66675</xdr:colOff>
      <xdr:row>8</xdr:row>
      <xdr:rowOff>128260</xdr:rowOff>
    </xdr:to>
    <xdr:sp macro="" textlink="E7">
      <xdr:nvSpPr>
        <xdr:cNvPr id="30" name="TextBox 29">
          <a:extLst>
            <a:ext uri="{FF2B5EF4-FFF2-40B4-BE49-F238E27FC236}">
              <a16:creationId xmlns:a16="http://schemas.microsoft.com/office/drawing/2014/main" id="{09D462CA-0F8E-05A6-047C-CFE44E9DB141}"/>
            </a:ext>
          </a:extLst>
        </xdr:cNvPr>
        <xdr:cNvSpPr txBox="1"/>
      </xdr:nvSpPr>
      <xdr:spPr>
        <a:xfrm>
          <a:off x="8483488" y="1534784"/>
          <a:ext cx="1822562" cy="4032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796303EB-6C10-4649-8AB7-EFBD312A5D9C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35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409572</xdr:colOff>
      <xdr:row>6</xdr:row>
      <xdr:rowOff>86984</xdr:rowOff>
    </xdr:from>
    <xdr:to>
      <xdr:col>5</xdr:col>
      <xdr:colOff>2152650</xdr:colOff>
      <xdr:row>8</xdr:row>
      <xdr:rowOff>128260</xdr:rowOff>
    </xdr:to>
    <xdr:sp macro="" textlink="F7">
      <xdr:nvSpPr>
        <xdr:cNvPr id="32" name="TextBox 31">
          <a:extLst>
            <a:ext uri="{FF2B5EF4-FFF2-40B4-BE49-F238E27FC236}">
              <a16:creationId xmlns:a16="http://schemas.microsoft.com/office/drawing/2014/main" id="{9F46466F-1D01-D83F-F1BB-6EA1B55F295D}"/>
            </a:ext>
          </a:extLst>
        </xdr:cNvPr>
        <xdr:cNvSpPr txBox="1"/>
      </xdr:nvSpPr>
      <xdr:spPr>
        <a:xfrm>
          <a:off x="10648947" y="1534784"/>
          <a:ext cx="1743078" cy="4032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39F16E80-B0CC-4EF2-BC8C-8BDB5BB3BE99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5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6162</xdr:colOff>
      <xdr:row>11</xdr:row>
      <xdr:rowOff>123825</xdr:rowOff>
    </xdr:from>
    <xdr:to>
      <xdr:col>3</xdr:col>
      <xdr:colOff>1006288</xdr:colOff>
      <xdr:row>20</xdr:row>
      <xdr:rowOff>123825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FFE1A6C-A5B6-82C6-B1C6-ADEFE4660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58616</xdr:colOff>
      <xdr:row>0</xdr:row>
      <xdr:rowOff>171451</xdr:rowOff>
    </xdr:from>
    <xdr:to>
      <xdr:col>1</xdr:col>
      <xdr:colOff>219808</xdr:colOff>
      <xdr:row>0</xdr:row>
      <xdr:rowOff>104775</xdr:rowOff>
    </xdr:to>
    <xdr:sp macro="" textlink="">
      <xdr:nvSpPr>
        <xdr:cNvPr id="38" name="Rectangle: Rounded Corners 37">
          <a:extLst>
            <a:ext uri="{FF2B5EF4-FFF2-40B4-BE49-F238E27FC236}">
              <a16:creationId xmlns:a16="http://schemas.microsoft.com/office/drawing/2014/main" id="{6846659E-0C0E-45B5-A1CB-31D753C8222E}"/>
            </a:ext>
          </a:extLst>
        </xdr:cNvPr>
        <xdr:cNvSpPr/>
      </xdr:nvSpPr>
      <xdr:spPr>
        <a:xfrm>
          <a:off x="58616" y="2028826"/>
          <a:ext cx="2209067" cy="180974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Select Month For Daily Trend Error </a:t>
          </a:r>
          <a:endParaRPr lang="en-US" sz="900" b="1"/>
        </a:p>
      </xdr:txBody>
    </xdr:sp>
    <xdr:clientData/>
  </xdr:twoCellAnchor>
  <xdr:oneCellAnchor>
    <xdr:from>
      <xdr:col>1</xdr:col>
      <xdr:colOff>675154</xdr:colOff>
      <xdr:row>10</xdr:row>
      <xdr:rowOff>104819</xdr:rowOff>
    </xdr:from>
    <xdr:ext cx="1680883" cy="311496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46AD6826-C822-E2ED-0580-43AF1EECF3F6}"/>
            </a:ext>
          </a:extLst>
        </xdr:cNvPr>
        <xdr:cNvSpPr txBox="1"/>
      </xdr:nvSpPr>
      <xdr:spPr>
        <a:xfrm>
          <a:off x="2723029" y="2362244"/>
          <a:ext cx="1680883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US" sz="1400" b="1">
              <a:solidFill>
                <a:schemeClr val="accent6">
                  <a:lumMod val="50000"/>
                </a:schemeClr>
              </a:solidFill>
            </a:rPr>
            <a:t>Daily</a:t>
          </a:r>
          <a:r>
            <a:rPr lang="en-US" sz="1200" b="1">
              <a:solidFill>
                <a:schemeClr val="accent6">
                  <a:lumMod val="50000"/>
                </a:schemeClr>
              </a:solidFill>
            </a:rPr>
            <a:t> Error Trend</a:t>
          </a:r>
        </a:p>
      </xdr:txBody>
    </xdr:sp>
    <xdr:clientData/>
  </xdr:oneCellAnchor>
  <xdr:twoCellAnchor>
    <xdr:from>
      <xdr:col>0</xdr:col>
      <xdr:colOff>1676400</xdr:colOff>
      <xdr:row>10</xdr:row>
      <xdr:rowOff>90486</xdr:rowOff>
    </xdr:from>
    <xdr:to>
      <xdr:col>0</xdr:col>
      <xdr:colOff>1752600</xdr:colOff>
      <xdr:row>10</xdr:row>
      <xdr:rowOff>166686</xdr:rowOff>
    </xdr:to>
    <xdr:sp macro="" textlink="">
      <xdr:nvSpPr>
        <xdr:cNvPr id="40" name="Isosceles Triangle 39">
          <a:extLst>
            <a:ext uri="{FF2B5EF4-FFF2-40B4-BE49-F238E27FC236}">
              <a16:creationId xmlns:a16="http://schemas.microsoft.com/office/drawing/2014/main" id="{C17FA1E7-12FE-7110-D250-507A44BAFAB4}"/>
            </a:ext>
          </a:extLst>
        </xdr:cNvPr>
        <xdr:cNvSpPr/>
      </xdr:nvSpPr>
      <xdr:spPr>
        <a:xfrm rot="10800000">
          <a:off x="1676400" y="2309811"/>
          <a:ext cx="76200" cy="76200"/>
        </a:xfrm>
        <a:prstGeom prst="triangl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1504950</xdr:colOff>
      <xdr:row>10</xdr:row>
      <xdr:rowOff>57150</xdr:rowOff>
    </xdr:from>
    <xdr:to>
      <xdr:col>5</xdr:col>
      <xdr:colOff>1981200</xdr:colOff>
      <xdr:row>18</xdr:row>
      <xdr:rowOff>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2C7381C-B1C2-201A-5B66-40291AA405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4</xdr:col>
      <xdr:colOff>621366</xdr:colOff>
      <xdr:row>10</xdr:row>
      <xdr:rowOff>114344</xdr:rowOff>
    </xdr:from>
    <xdr:ext cx="2169460" cy="311496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531D3FD4-87F7-1C33-6BD3-C98938770E30}"/>
            </a:ext>
          </a:extLst>
        </xdr:cNvPr>
        <xdr:cNvSpPr txBox="1"/>
      </xdr:nvSpPr>
      <xdr:spPr>
        <a:xfrm>
          <a:off x="8812866" y="2333669"/>
          <a:ext cx="2169460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US" sz="1400" b="1">
              <a:solidFill>
                <a:schemeClr val="accent6">
                  <a:lumMod val="50000"/>
                </a:schemeClr>
              </a:solidFill>
            </a:rPr>
            <a:t>Short</a:t>
          </a:r>
          <a:r>
            <a:rPr lang="en-US" sz="1400" b="1" baseline="0">
              <a:solidFill>
                <a:schemeClr val="accent6">
                  <a:lumMod val="50000"/>
                </a:schemeClr>
              </a:solidFill>
            </a:rPr>
            <a:t> vs Excess Cases</a:t>
          </a:r>
          <a:endParaRPr lang="en-US" sz="1200" b="1">
            <a:solidFill>
              <a:schemeClr val="accent6">
                <a:lumMod val="50000"/>
              </a:schemeClr>
            </a:solidFill>
          </a:endParaRPr>
        </a:p>
      </xdr:txBody>
    </xdr:sp>
    <xdr:clientData/>
  </xdr:oneCellAnchor>
  <xdr:twoCellAnchor>
    <xdr:from>
      <xdr:col>0</xdr:col>
      <xdr:colOff>228601</xdr:colOff>
      <xdr:row>20</xdr:row>
      <xdr:rowOff>133350</xdr:rowOff>
    </xdr:from>
    <xdr:to>
      <xdr:col>2</xdr:col>
      <xdr:colOff>1438275</xdr:colOff>
      <xdr:row>36</xdr:row>
      <xdr:rowOff>152400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AB612CA2-A66A-D89D-E1C3-41418B44352E}"/>
            </a:ext>
          </a:extLst>
        </xdr:cNvPr>
        <xdr:cNvSpPr/>
      </xdr:nvSpPr>
      <xdr:spPr>
        <a:xfrm>
          <a:off x="228601" y="4552950"/>
          <a:ext cx="5305424" cy="306705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409575</xdr:colOff>
      <xdr:row>23</xdr:row>
      <xdr:rowOff>70757</xdr:rowOff>
    </xdr:from>
    <xdr:to>
      <xdr:col>0</xdr:col>
      <xdr:colOff>2009775</xdr:colOff>
      <xdr:row>34</xdr:row>
      <xdr:rowOff>167369</xdr:rowOff>
    </xdr:to>
    <xdr:grpSp>
      <xdr:nvGrpSpPr>
        <xdr:cNvPr id="168" name="Group 167">
          <a:extLst>
            <a:ext uri="{FF2B5EF4-FFF2-40B4-BE49-F238E27FC236}">
              <a16:creationId xmlns:a16="http://schemas.microsoft.com/office/drawing/2014/main" id="{662CFE06-9BED-5BB7-0FB3-E56D50D0B6D7}"/>
            </a:ext>
          </a:extLst>
        </xdr:cNvPr>
        <xdr:cNvGrpSpPr/>
      </xdr:nvGrpSpPr>
      <xdr:grpSpPr>
        <a:xfrm>
          <a:off x="409575" y="5099957"/>
          <a:ext cx="1600200" cy="2192112"/>
          <a:chOff x="409575" y="5061857"/>
          <a:chExt cx="1600200" cy="2192112"/>
        </a:xfrm>
        <a:solidFill>
          <a:schemeClr val="bg1">
            <a:lumMod val="85000"/>
          </a:schemeClr>
        </a:solidFill>
      </xdr:grpSpPr>
      <xdr:sp macro="" textlink="">
        <xdr:nvSpPr>
          <xdr:cNvPr id="115" name="Rectangle 114">
            <a:extLst>
              <a:ext uri="{FF2B5EF4-FFF2-40B4-BE49-F238E27FC236}">
                <a16:creationId xmlns:a16="http://schemas.microsoft.com/office/drawing/2014/main" id="{09DBD4CB-AA47-A051-5A89-C0E9B4A43A47}"/>
              </a:ext>
            </a:extLst>
          </xdr:cNvPr>
          <xdr:cNvSpPr/>
        </xdr:nvSpPr>
        <xdr:spPr>
          <a:xfrm>
            <a:off x="409575" y="5061857"/>
            <a:ext cx="1600200" cy="191862"/>
          </a:xfrm>
          <a:prstGeom prst="rect">
            <a:avLst/>
          </a:prstGeom>
          <a:no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 i="0" u="none" strike="noStrike">
                <a:solidFill>
                  <a:srgbClr val="000000"/>
                </a:solidFill>
                <a:latin typeface="Aptos Narrow"/>
              </a:rPr>
              <a:t>Rank</a:t>
            </a:r>
          </a:p>
        </xdr:txBody>
      </xdr:sp>
      <xdr:sp macro="" textlink="$AC$11">
        <xdr:nvSpPr>
          <xdr:cNvPr id="134" name="Rectangle 133">
            <a:extLst>
              <a:ext uri="{FF2B5EF4-FFF2-40B4-BE49-F238E27FC236}">
                <a16:creationId xmlns:a16="http://schemas.microsoft.com/office/drawing/2014/main" id="{FC600F6E-564C-C0B8-1BD3-A68E2993C3DA}"/>
              </a:ext>
            </a:extLst>
          </xdr:cNvPr>
          <xdr:cNvSpPr/>
        </xdr:nvSpPr>
        <xdr:spPr>
          <a:xfrm>
            <a:off x="409575" y="52618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CE4C915-CAEF-477A-934A-518AD234CB90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</a:t>
            </a:fld>
            <a:endParaRPr lang="en-US" sz="1100"/>
          </a:p>
        </xdr:txBody>
      </xdr:sp>
      <xdr:sp macro="" textlink="$AC$12">
        <xdr:nvSpPr>
          <xdr:cNvPr id="135" name="Rectangle 134">
            <a:extLst>
              <a:ext uri="{FF2B5EF4-FFF2-40B4-BE49-F238E27FC236}">
                <a16:creationId xmlns:a16="http://schemas.microsoft.com/office/drawing/2014/main" id="{432C4489-BF69-8F93-CDA0-55E687D8DBED}"/>
              </a:ext>
            </a:extLst>
          </xdr:cNvPr>
          <xdr:cNvSpPr/>
        </xdr:nvSpPr>
        <xdr:spPr>
          <a:xfrm>
            <a:off x="409575" y="54619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83A5D5C-8AE1-4171-85FC-EA72F0416E83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2</a:t>
            </a:fld>
            <a:endParaRPr lang="en-US" sz="1100"/>
          </a:p>
        </xdr:txBody>
      </xdr:sp>
      <xdr:sp macro="" textlink="$AC$13">
        <xdr:nvSpPr>
          <xdr:cNvPr id="136" name="Rectangle 135">
            <a:extLst>
              <a:ext uri="{FF2B5EF4-FFF2-40B4-BE49-F238E27FC236}">
                <a16:creationId xmlns:a16="http://schemas.microsoft.com/office/drawing/2014/main" id="{55A9B396-9453-D11D-2FED-16A7188377FD}"/>
              </a:ext>
            </a:extLst>
          </xdr:cNvPr>
          <xdr:cNvSpPr/>
        </xdr:nvSpPr>
        <xdr:spPr>
          <a:xfrm>
            <a:off x="409575" y="56619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0124EC9-7CBA-43AF-90D1-14FD84E400C0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3</a:t>
            </a:fld>
            <a:endParaRPr lang="en-US" sz="1100"/>
          </a:p>
        </xdr:txBody>
      </xdr:sp>
      <xdr:sp macro="" textlink="$AC$14">
        <xdr:nvSpPr>
          <xdr:cNvPr id="137" name="Rectangle 136">
            <a:extLst>
              <a:ext uri="{FF2B5EF4-FFF2-40B4-BE49-F238E27FC236}">
                <a16:creationId xmlns:a16="http://schemas.microsoft.com/office/drawing/2014/main" id="{9ED1FA50-01B3-CCEC-E42D-D3FCE74D0450}"/>
              </a:ext>
            </a:extLst>
          </xdr:cNvPr>
          <xdr:cNvSpPr/>
        </xdr:nvSpPr>
        <xdr:spPr>
          <a:xfrm>
            <a:off x="409575" y="58619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6175889-FB44-448D-89C5-436F3197CB8F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4</a:t>
            </a:fld>
            <a:endParaRPr lang="en-US" sz="1100"/>
          </a:p>
        </xdr:txBody>
      </xdr:sp>
      <xdr:sp macro="" textlink="$AC$15">
        <xdr:nvSpPr>
          <xdr:cNvPr id="138" name="Rectangle 137">
            <a:extLst>
              <a:ext uri="{FF2B5EF4-FFF2-40B4-BE49-F238E27FC236}">
                <a16:creationId xmlns:a16="http://schemas.microsoft.com/office/drawing/2014/main" id="{E9BD7605-C4C3-AC4C-7DDA-BC3DBCB2E320}"/>
              </a:ext>
            </a:extLst>
          </xdr:cNvPr>
          <xdr:cNvSpPr/>
        </xdr:nvSpPr>
        <xdr:spPr>
          <a:xfrm>
            <a:off x="409575" y="60619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DAB075B-A42D-45C1-A16C-3BBBEB6EB881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5</a:t>
            </a:fld>
            <a:endParaRPr lang="en-US" sz="1100"/>
          </a:p>
        </xdr:txBody>
      </xdr:sp>
      <xdr:sp macro="" textlink="$AC$16">
        <xdr:nvSpPr>
          <xdr:cNvPr id="139" name="Rectangle 138">
            <a:extLst>
              <a:ext uri="{FF2B5EF4-FFF2-40B4-BE49-F238E27FC236}">
                <a16:creationId xmlns:a16="http://schemas.microsoft.com/office/drawing/2014/main" id="{04E5397E-EA5F-B3AF-403A-83F51D0D1796}"/>
              </a:ext>
            </a:extLst>
          </xdr:cNvPr>
          <xdr:cNvSpPr/>
        </xdr:nvSpPr>
        <xdr:spPr>
          <a:xfrm>
            <a:off x="409575" y="62620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EF50451-8037-4340-81E6-7AC674839E9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6</a:t>
            </a:fld>
            <a:endParaRPr lang="en-US" sz="1100"/>
          </a:p>
        </xdr:txBody>
      </xdr:sp>
      <xdr:sp macro="" textlink="$AC$17">
        <xdr:nvSpPr>
          <xdr:cNvPr id="140" name="Rectangle 139">
            <a:extLst>
              <a:ext uri="{FF2B5EF4-FFF2-40B4-BE49-F238E27FC236}">
                <a16:creationId xmlns:a16="http://schemas.microsoft.com/office/drawing/2014/main" id="{6D6DF9F1-8109-0BF9-6DFA-2A211CC165A5}"/>
              </a:ext>
            </a:extLst>
          </xdr:cNvPr>
          <xdr:cNvSpPr/>
        </xdr:nvSpPr>
        <xdr:spPr>
          <a:xfrm>
            <a:off x="409575" y="64620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4484DBD-F98B-485F-8562-F040706465B1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7</a:t>
            </a:fld>
            <a:endParaRPr lang="en-US" sz="1100"/>
          </a:p>
        </xdr:txBody>
      </xdr:sp>
      <xdr:sp macro="" textlink="$AC$18">
        <xdr:nvSpPr>
          <xdr:cNvPr id="141" name="Rectangle 140">
            <a:extLst>
              <a:ext uri="{FF2B5EF4-FFF2-40B4-BE49-F238E27FC236}">
                <a16:creationId xmlns:a16="http://schemas.microsoft.com/office/drawing/2014/main" id="{A6AE9CF7-B3EC-9E20-F80A-133260CA5482}"/>
              </a:ext>
            </a:extLst>
          </xdr:cNvPr>
          <xdr:cNvSpPr/>
        </xdr:nvSpPr>
        <xdr:spPr>
          <a:xfrm>
            <a:off x="409575" y="66620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109FBA1-DB8D-4E67-9369-41C4565D8854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8</a:t>
            </a:fld>
            <a:endParaRPr lang="en-US" sz="1100"/>
          </a:p>
        </xdr:txBody>
      </xdr:sp>
      <xdr:sp macro="" textlink="$AC$19">
        <xdr:nvSpPr>
          <xdr:cNvPr id="142" name="Rectangle 141">
            <a:extLst>
              <a:ext uri="{FF2B5EF4-FFF2-40B4-BE49-F238E27FC236}">
                <a16:creationId xmlns:a16="http://schemas.microsoft.com/office/drawing/2014/main" id="{DBDC1B1D-EFE7-819F-93EF-A225852AC1CD}"/>
              </a:ext>
            </a:extLst>
          </xdr:cNvPr>
          <xdr:cNvSpPr/>
        </xdr:nvSpPr>
        <xdr:spPr>
          <a:xfrm>
            <a:off x="409575" y="68620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FBB6A18D-0D13-4B19-A976-74A3F7A70DCB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9</a:t>
            </a:fld>
            <a:endParaRPr lang="en-US" sz="1100"/>
          </a:p>
        </xdr:txBody>
      </xdr:sp>
      <xdr:sp macro="" textlink="$AC$20">
        <xdr:nvSpPr>
          <xdr:cNvPr id="143" name="Rectangle 142">
            <a:extLst>
              <a:ext uri="{FF2B5EF4-FFF2-40B4-BE49-F238E27FC236}">
                <a16:creationId xmlns:a16="http://schemas.microsoft.com/office/drawing/2014/main" id="{99A4C67E-53B3-DD2A-CB80-A2CD6E1AC705}"/>
              </a:ext>
            </a:extLst>
          </xdr:cNvPr>
          <xdr:cNvSpPr/>
        </xdr:nvSpPr>
        <xdr:spPr>
          <a:xfrm>
            <a:off x="409575" y="70621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1CF842F-2E91-472A-9F04-393D888EC849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10</a:t>
            </a:fld>
            <a:endParaRPr lang="en-US" sz="1100"/>
          </a:p>
        </xdr:txBody>
      </xdr:sp>
    </xdr:grpSp>
    <xdr:clientData/>
  </xdr:twoCellAnchor>
  <xdr:twoCellAnchor>
    <xdr:from>
      <xdr:col>1</xdr:col>
      <xdr:colOff>0</xdr:colOff>
      <xdr:row>23</xdr:row>
      <xdr:rowOff>80282</xdr:rowOff>
    </xdr:from>
    <xdr:to>
      <xdr:col>1</xdr:col>
      <xdr:colOff>1600200</xdr:colOff>
      <xdr:row>34</xdr:row>
      <xdr:rowOff>176894</xdr:rowOff>
    </xdr:to>
    <xdr:grpSp>
      <xdr:nvGrpSpPr>
        <xdr:cNvPr id="155" name="Group 154">
          <a:extLst>
            <a:ext uri="{FF2B5EF4-FFF2-40B4-BE49-F238E27FC236}">
              <a16:creationId xmlns:a16="http://schemas.microsoft.com/office/drawing/2014/main" id="{6969C427-C51F-3409-E7E5-65EDC6177984}"/>
            </a:ext>
          </a:extLst>
        </xdr:cNvPr>
        <xdr:cNvGrpSpPr/>
      </xdr:nvGrpSpPr>
      <xdr:grpSpPr>
        <a:xfrm>
          <a:off x="2047875" y="5109482"/>
          <a:ext cx="1600200" cy="2192112"/>
          <a:chOff x="2047875" y="5071382"/>
          <a:chExt cx="1600200" cy="2192112"/>
        </a:xfrm>
        <a:solidFill>
          <a:schemeClr val="bg1">
            <a:lumMod val="85000"/>
          </a:schemeClr>
        </a:solidFill>
      </xdr:grpSpPr>
      <xdr:sp macro="" textlink="">
        <xdr:nvSpPr>
          <xdr:cNvPr id="144" name="Rectangle 143">
            <a:extLst>
              <a:ext uri="{FF2B5EF4-FFF2-40B4-BE49-F238E27FC236}">
                <a16:creationId xmlns:a16="http://schemas.microsoft.com/office/drawing/2014/main" id="{9918F2CC-CBD3-F907-06AE-72F49B9B126A}"/>
              </a:ext>
            </a:extLst>
          </xdr:cNvPr>
          <xdr:cNvSpPr/>
        </xdr:nvSpPr>
        <xdr:spPr>
          <a:xfrm>
            <a:off x="2047875" y="50713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 i="0" u="none" strike="noStrike">
                <a:solidFill>
                  <a:srgbClr val="000000"/>
                </a:solidFill>
                <a:latin typeface="Aptos Narrow"/>
              </a:rPr>
              <a:t>Picker</a:t>
            </a:r>
            <a:r>
              <a:rPr lang="en-US" sz="1400" b="1" i="0" u="none" strike="noStrike" baseline="0">
                <a:solidFill>
                  <a:srgbClr val="000000"/>
                </a:solidFill>
                <a:latin typeface="Aptos Narrow"/>
              </a:rPr>
              <a:t> ID</a:t>
            </a:r>
            <a:endParaRPr lang="en-US" sz="1400" b="1" i="0" u="none" strike="noStrike">
              <a:solidFill>
                <a:srgbClr val="000000"/>
              </a:solidFill>
              <a:latin typeface="Aptos Narrow"/>
            </a:endParaRPr>
          </a:p>
        </xdr:txBody>
      </xdr:sp>
      <xdr:sp macro="" textlink="$AD$11">
        <xdr:nvSpPr>
          <xdr:cNvPr id="145" name="Rectangle 144">
            <a:extLst>
              <a:ext uri="{FF2B5EF4-FFF2-40B4-BE49-F238E27FC236}">
                <a16:creationId xmlns:a16="http://schemas.microsoft.com/office/drawing/2014/main" id="{BBD7D7BB-CAF2-D53F-07A8-4D090AA8102B}"/>
              </a:ext>
            </a:extLst>
          </xdr:cNvPr>
          <xdr:cNvSpPr/>
        </xdr:nvSpPr>
        <xdr:spPr>
          <a:xfrm>
            <a:off x="2047875" y="52714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2914A1E-1411-40D5-8A14-45CD23EFDEAD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DXB425505</a:t>
            </a:fld>
            <a:endParaRPr lang="en-US" sz="1100"/>
          </a:p>
        </xdr:txBody>
      </xdr:sp>
      <xdr:sp macro="" textlink="$AD$12">
        <xdr:nvSpPr>
          <xdr:cNvPr id="146" name="Rectangle 145">
            <a:extLst>
              <a:ext uri="{FF2B5EF4-FFF2-40B4-BE49-F238E27FC236}">
                <a16:creationId xmlns:a16="http://schemas.microsoft.com/office/drawing/2014/main" id="{7B0FD07D-4D5A-2C43-5EF0-C2669C01F9C5}"/>
              </a:ext>
            </a:extLst>
          </xdr:cNvPr>
          <xdr:cNvSpPr/>
        </xdr:nvSpPr>
        <xdr:spPr>
          <a:xfrm>
            <a:off x="2047875" y="54714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BF65088-D3B3-44D1-93EC-1F73F2D9D091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DXB504922</a:t>
            </a:fld>
            <a:endParaRPr lang="en-US" sz="1100"/>
          </a:p>
        </xdr:txBody>
      </xdr:sp>
      <xdr:sp macro="" textlink="$AD$13">
        <xdr:nvSpPr>
          <xdr:cNvPr id="147" name="Rectangle 146">
            <a:extLst>
              <a:ext uri="{FF2B5EF4-FFF2-40B4-BE49-F238E27FC236}">
                <a16:creationId xmlns:a16="http://schemas.microsoft.com/office/drawing/2014/main" id="{30771382-3202-2C74-6256-3C3E00280DCF}"/>
              </a:ext>
            </a:extLst>
          </xdr:cNvPr>
          <xdr:cNvSpPr/>
        </xdr:nvSpPr>
        <xdr:spPr>
          <a:xfrm>
            <a:off x="2047875" y="56714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0BEEBE2-A9E2-43B4-9557-D6AA0310E850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DXB504950</a:t>
            </a:fld>
            <a:endParaRPr lang="en-US" sz="1100"/>
          </a:p>
        </xdr:txBody>
      </xdr:sp>
      <xdr:sp macro="" textlink="$AD$14">
        <xdr:nvSpPr>
          <xdr:cNvPr id="148" name="Rectangle 147">
            <a:extLst>
              <a:ext uri="{FF2B5EF4-FFF2-40B4-BE49-F238E27FC236}">
                <a16:creationId xmlns:a16="http://schemas.microsoft.com/office/drawing/2014/main" id="{71FB0A1C-AA7E-BF8A-1C06-437C618DB2B5}"/>
              </a:ext>
            </a:extLst>
          </xdr:cNvPr>
          <xdr:cNvSpPr/>
        </xdr:nvSpPr>
        <xdr:spPr>
          <a:xfrm>
            <a:off x="2047875" y="58714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618C48C-9E39-4492-984B-107011C4F0B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DXB52675R</a:t>
            </a:fld>
            <a:endParaRPr lang="en-US" sz="1100"/>
          </a:p>
        </xdr:txBody>
      </xdr:sp>
      <xdr:sp macro="" textlink="$AD$15">
        <xdr:nvSpPr>
          <xdr:cNvPr id="149" name="Rectangle 148">
            <a:extLst>
              <a:ext uri="{FF2B5EF4-FFF2-40B4-BE49-F238E27FC236}">
                <a16:creationId xmlns:a16="http://schemas.microsoft.com/office/drawing/2014/main" id="{F4AE8382-8382-0913-8B1B-0073AE8016D3}"/>
              </a:ext>
            </a:extLst>
          </xdr:cNvPr>
          <xdr:cNvSpPr/>
        </xdr:nvSpPr>
        <xdr:spPr>
          <a:xfrm>
            <a:off x="2047875" y="60715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A102DBF-3506-4B72-9DDF-AE734959608E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DXB471127</a:t>
            </a:fld>
            <a:endParaRPr lang="en-US" sz="1100"/>
          </a:p>
        </xdr:txBody>
      </xdr:sp>
      <xdr:sp macro="" textlink="$AD$16">
        <xdr:nvSpPr>
          <xdr:cNvPr id="150" name="Rectangle 149">
            <a:extLst>
              <a:ext uri="{FF2B5EF4-FFF2-40B4-BE49-F238E27FC236}">
                <a16:creationId xmlns:a16="http://schemas.microsoft.com/office/drawing/2014/main" id="{DD76D29B-522C-1735-78B6-BC6D8E0AED85}"/>
              </a:ext>
            </a:extLst>
          </xdr:cNvPr>
          <xdr:cNvSpPr/>
        </xdr:nvSpPr>
        <xdr:spPr>
          <a:xfrm>
            <a:off x="2047875" y="62715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D67E55D-E452-4099-BAD1-9E771C6B471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DXB411399R</a:t>
            </a:fld>
            <a:endParaRPr lang="en-US" sz="1100"/>
          </a:p>
        </xdr:txBody>
      </xdr:sp>
      <xdr:sp macro="" textlink="$AD$17">
        <xdr:nvSpPr>
          <xdr:cNvPr id="151" name="Rectangle 150">
            <a:extLst>
              <a:ext uri="{FF2B5EF4-FFF2-40B4-BE49-F238E27FC236}">
                <a16:creationId xmlns:a16="http://schemas.microsoft.com/office/drawing/2014/main" id="{B74D7D1D-CFCC-5C72-151E-AC9806AFBE77}"/>
              </a:ext>
            </a:extLst>
          </xdr:cNvPr>
          <xdr:cNvSpPr/>
        </xdr:nvSpPr>
        <xdr:spPr>
          <a:xfrm>
            <a:off x="2047875" y="64715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C40ACC3-0782-45BF-89DC-9F79BBA43792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DXB57291R</a:t>
            </a:fld>
            <a:endParaRPr lang="en-US" sz="1100"/>
          </a:p>
        </xdr:txBody>
      </xdr:sp>
      <xdr:sp macro="" textlink="$AD$18">
        <xdr:nvSpPr>
          <xdr:cNvPr id="152" name="Rectangle 151">
            <a:extLst>
              <a:ext uri="{FF2B5EF4-FFF2-40B4-BE49-F238E27FC236}">
                <a16:creationId xmlns:a16="http://schemas.microsoft.com/office/drawing/2014/main" id="{30BB9266-627E-AE4C-AF3F-45225F37C62C}"/>
              </a:ext>
            </a:extLst>
          </xdr:cNvPr>
          <xdr:cNvSpPr/>
        </xdr:nvSpPr>
        <xdr:spPr>
          <a:xfrm>
            <a:off x="2047875" y="66715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049F0C7-A3DC-4B6A-A70C-55D2CF93AE2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DXB509334</a:t>
            </a:fld>
            <a:endParaRPr lang="en-US" sz="1100"/>
          </a:p>
        </xdr:txBody>
      </xdr:sp>
      <xdr:sp macro="" textlink="$AD$19">
        <xdr:nvSpPr>
          <xdr:cNvPr id="153" name="Rectangle 152">
            <a:extLst>
              <a:ext uri="{FF2B5EF4-FFF2-40B4-BE49-F238E27FC236}">
                <a16:creationId xmlns:a16="http://schemas.microsoft.com/office/drawing/2014/main" id="{EAD5F1DE-82DF-1ED7-E248-ADD14AF0A621}"/>
              </a:ext>
            </a:extLst>
          </xdr:cNvPr>
          <xdr:cNvSpPr/>
        </xdr:nvSpPr>
        <xdr:spPr>
          <a:xfrm>
            <a:off x="2047875" y="68716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612A176-2477-45FD-8F81-9A151E37A0C4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DXB497085</a:t>
            </a:fld>
            <a:endParaRPr lang="en-US" sz="1100"/>
          </a:p>
        </xdr:txBody>
      </xdr:sp>
      <xdr:sp macro="" textlink="$AD$20">
        <xdr:nvSpPr>
          <xdr:cNvPr id="154" name="Rectangle 153">
            <a:extLst>
              <a:ext uri="{FF2B5EF4-FFF2-40B4-BE49-F238E27FC236}">
                <a16:creationId xmlns:a16="http://schemas.microsoft.com/office/drawing/2014/main" id="{4944A101-F8F3-008D-1703-4A4DF6542818}"/>
              </a:ext>
            </a:extLst>
          </xdr:cNvPr>
          <xdr:cNvSpPr/>
        </xdr:nvSpPr>
        <xdr:spPr>
          <a:xfrm>
            <a:off x="2047875" y="70716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F34C990-6FFF-4BE4-BE9E-BD2E2A76A0BD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DXB494696</a:t>
            </a:fld>
            <a:endParaRPr lang="en-US" sz="1100"/>
          </a:p>
        </xdr:txBody>
      </xdr:sp>
    </xdr:grpSp>
    <xdr:clientData/>
  </xdr:twoCellAnchor>
  <xdr:twoCellAnchor>
    <xdr:from>
      <xdr:col>1</xdr:col>
      <xdr:colOff>1638300</xdr:colOff>
      <xdr:row>23</xdr:row>
      <xdr:rowOff>80282</xdr:rowOff>
    </xdr:from>
    <xdr:to>
      <xdr:col>2</xdr:col>
      <xdr:colOff>1190625</xdr:colOff>
      <xdr:row>34</xdr:row>
      <xdr:rowOff>176894</xdr:rowOff>
    </xdr:to>
    <xdr:grpSp>
      <xdr:nvGrpSpPr>
        <xdr:cNvPr id="156" name="Group 155">
          <a:extLst>
            <a:ext uri="{FF2B5EF4-FFF2-40B4-BE49-F238E27FC236}">
              <a16:creationId xmlns:a16="http://schemas.microsoft.com/office/drawing/2014/main" id="{865CB822-58C6-A727-AF2F-62DA0D70432B}"/>
            </a:ext>
          </a:extLst>
        </xdr:cNvPr>
        <xdr:cNvGrpSpPr/>
      </xdr:nvGrpSpPr>
      <xdr:grpSpPr>
        <a:xfrm>
          <a:off x="3686175" y="5109482"/>
          <a:ext cx="1600200" cy="2192112"/>
          <a:chOff x="2047875" y="5071382"/>
          <a:chExt cx="1600200" cy="2192112"/>
        </a:xfrm>
        <a:solidFill>
          <a:schemeClr val="bg1">
            <a:lumMod val="85000"/>
          </a:schemeClr>
        </a:solidFill>
      </xdr:grpSpPr>
      <xdr:sp macro="" textlink="">
        <xdr:nvSpPr>
          <xdr:cNvPr id="157" name="Rectangle 156">
            <a:extLst>
              <a:ext uri="{FF2B5EF4-FFF2-40B4-BE49-F238E27FC236}">
                <a16:creationId xmlns:a16="http://schemas.microsoft.com/office/drawing/2014/main" id="{E21F4ECF-6238-71F3-4FCE-1DBEE033904E}"/>
              </a:ext>
            </a:extLst>
          </xdr:cNvPr>
          <xdr:cNvSpPr/>
        </xdr:nvSpPr>
        <xdr:spPr>
          <a:xfrm>
            <a:off x="2047875" y="50713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 i="0" u="none" strike="noStrike">
                <a:solidFill>
                  <a:srgbClr val="000000"/>
                </a:solidFill>
                <a:latin typeface="Aptos Narrow"/>
              </a:rPr>
              <a:t>Error Cases</a:t>
            </a:r>
          </a:p>
        </xdr:txBody>
      </xdr:sp>
      <xdr:sp macro="" textlink="$AE$11">
        <xdr:nvSpPr>
          <xdr:cNvPr id="158" name="Rectangle 157">
            <a:extLst>
              <a:ext uri="{FF2B5EF4-FFF2-40B4-BE49-F238E27FC236}">
                <a16:creationId xmlns:a16="http://schemas.microsoft.com/office/drawing/2014/main" id="{AB25AC37-4FBF-7675-9354-64E8217FABD2}"/>
              </a:ext>
            </a:extLst>
          </xdr:cNvPr>
          <xdr:cNvSpPr/>
        </xdr:nvSpPr>
        <xdr:spPr>
          <a:xfrm>
            <a:off x="2047875" y="52714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32C568E-AA5B-4C21-9FBF-AC0AF329A764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5</a:t>
            </a:fld>
            <a:endParaRPr lang="en-US" sz="1100"/>
          </a:p>
        </xdr:txBody>
      </xdr:sp>
      <xdr:sp macro="" textlink="$AE$12">
        <xdr:nvSpPr>
          <xdr:cNvPr id="159" name="Rectangle 158">
            <a:extLst>
              <a:ext uri="{FF2B5EF4-FFF2-40B4-BE49-F238E27FC236}">
                <a16:creationId xmlns:a16="http://schemas.microsoft.com/office/drawing/2014/main" id="{BD72D05C-BFF9-2D35-1721-9F5CA86CFD93}"/>
              </a:ext>
            </a:extLst>
          </xdr:cNvPr>
          <xdr:cNvSpPr/>
        </xdr:nvSpPr>
        <xdr:spPr>
          <a:xfrm>
            <a:off x="2047875" y="54714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C0E8FCC-50F6-40B3-A49D-C62357AFFB8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4</a:t>
            </a:fld>
            <a:endParaRPr lang="en-US" sz="1100"/>
          </a:p>
        </xdr:txBody>
      </xdr:sp>
      <xdr:sp macro="" textlink="$AE$13">
        <xdr:nvSpPr>
          <xdr:cNvPr id="160" name="Rectangle 159">
            <a:extLst>
              <a:ext uri="{FF2B5EF4-FFF2-40B4-BE49-F238E27FC236}">
                <a16:creationId xmlns:a16="http://schemas.microsoft.com/office/drawing/2014/main" id="{D8248055-A793-2129-377F-6903F5357C21}"/>
              </a:ext>
            </a:extLst>
          </xdr:cNvPr>
          <xdr:cNvSpPr/>
        </xdr:nvSpPr>
        <xdr:spPr>
          <a:xfrm>
            <a:off x="2047875" y="56714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5DAE27E-FA0A-44AF-B7BB-5A5B3FC1162A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4</a:t>
            </a:fld>
            <a:endParaRPr lang="en-US" sz="1100"/>
          </a:p>
        </xdr:txBody>
      </xdr:sp>
      <xdr:sp macro="" textlink="$AE$14">
        <xdr:nvSpPr>
          <xdr:cNvPr id="161" name="Rectangle 160">
            <a:extLst>
              <a:ext uri="{FF2B5EF4-FFF2-40B4-BE49-F238E27FC236}">
                <a16:creationId xmlns:a16="http://schemas.microsoft.com/office/drawing/2014/main" id="{F9592C1D-70BE-64F2-6543-0DA1478C81AB}"/>
              </a:ext>
            </a:extLst>
          </xdr:cNvPr>
          <xdr:cNvSpPr/>
        </xdr:nvSpPr>
        <xdr:spPr>
          <a:xfrm>
            <a:off x="2047875" y="58714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8030FBA-C9C0-420D-9627-21D47CB8216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4</a:t>
            </a:fld>
            <a:endParaRPr lang="en-US" sz="1100"/>
          </a:p>
        </xdr:txBody>
      </xdr:sp>
      <xdr:sp macro="" textlink="$AE$15">
        <xdr:nvSpPr>
          <xdr:cNvPr id="162" name="Rectangle 161">
            <a:extLst>
              <a:ext uri="{FF2B5EF4-FFF2-40B4-BE49-F238E27FC236}">
                <a16:creationId xmlns:a16="http://schemas.microsoft.com/office/drawing/2014/main" id="{C1CDE270-940B-A718-8D8B-C9F69B542EC2}"/>
              </a:ext>
            </a:extLst>
          </xdr:cNvPr>
          <xdr:cNvSpPr/>
        </xdr:nvSpPr>
        <xdr:spPr>
          <a:xfrm>
            <a:off x="2047875" y="60715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FDF9482-5306-483D-AB4B-E14B9F370D6D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4</a:t>
            </a:fld>
            <a:endParaRPr lang="en-US" sz="1100"/>
          </a:p>
        </xdr:txBody>
      </xdr:sp>
      <xdr:sp macro="" textlink="$AE$16">
        <xdr:nvSpPr>
          <xdr:cNvPr id="163" name="Rectangle 162">
            <a:extLst>
              <a:ext uri="{FF2B5EF4-FFF2-40B4-BE49-F238E27FC236}">
                <a16:creationId xmlns:a16="http://schemas.microsoft.com/office/drawing/2014/main" id="{B5D450DE-5C9D-B8A4-D05C-AB0B247F38A3}"/>
              </a:ext>
            </a:extLst>
          </xdr:cNvPr>
          <xdr:cNvSpPr/>
        </xdr:nvSpPr>
        <xdr:spPr>
          <a:xfrm>
            <a:off x="2047875" y="62715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70EC7D6-6E32-4231-B30F-8812C3D6285F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3</a:t>
            </a:fld>
            <a:endParaRPr lang="en-US" sz="1100"/>
          </a:p>
        </xdr:txBody>
      </xdr:sp>
      <xdr:sp macro="" textlink="$AE$17">
        <xdr:nvSpPr>
          <xdr:cNvPr id="164" name="Rectangle 163">
            <a:extLst>
              <a:ext uri="{FF2B5EF4-FFF2-40B4-BE49-F238E27FC236}">
                <a16:creationId xmlns:a16="http://schemas.microsoft.com/office/drawing/2014/main" id="{B2111BE4-6CEB-74ED-D8EB-FF72D71E3A7B}"/>
              </a:ext>
            </a:extLst>
          </xdr:cNvPr>
          <xdr:cNvSpPr/>
        </xdr:nvSpPr>
        <xdr:spPr>
          <a:xfrm>
            <a:off x="2047875" y="64715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996A636-668A-4EB2-AB1E-9638CA294C7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3</a:t>
            </a:fld>
            <a:endParaRPr lang="en-US" sz="1100"/>
          </a:p>
        </xdr:txBody>
      </xdr:sp>
      <xdr:sp macro="" textlink="$AE$18">
        <xdr:nvSpPr>
          <xdr:cNvPr id="165" name="Rectangle 164">
            <a:extLst>
              <a:ext uri="{FF2B5EF4-FFF2-40B4-BE49-F238E27FC236}">
                <a16:creationId xmlns:a16="http://schemas.microsoft.com/office/drawing/2014/main" id="{43DC2BD1-7279-7104-ECBC-055BBD0B7D6D}"/>
              </a:ext>
            </a:extLst>
          </xdr:cNvPr>
          <xdr:cNvSpPr/>
        </xdr:nvSpPr>
        <xdr:spPr>
          <a:xfrm>
            <a:off x="2047875" y="66715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14233D7-278B-4ACD-B297-915D2B0DF1F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3</a:t>
            </a:fld>
            <a:endParaRPr lang="en-US" sz="1100"/>
          </a:p>
        </xdr:txBody>
      </xdr:sp>
      <xdr:sp macro="" textlink="$AE$19">
        <xdr:nvSpPr>
          <xdr:cNvPr id="166" name="Rectangle 165">
            <a:extLst>
              <a:ext uri="{FF2B5EF4-FFF2-40B4-BE49-F238E27FC236}">
                <a16:creationId xmlns:a16="http://schemas.microsoft.com/office/drawing/2014/main" id="{8C78427A-D3AD-5E3C-8133-043BD1641595}"/>
              </a:ext>
            </a:extLst>
          </xdr:cNvPr>
          <xdr:cNvSpPr/>
        </xdr:nvSpPr>
        <xdr:spPr>
          <a:xfrm>
            <a:off x="2047875" y="68716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C08F096-DBC5-417E-B248-DA4566FD43C4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3</a:t>
            </a:fld>
            <a:endParaRPr lang="en-US" sz="1100"/>
          </a:p>
        </xdr:txBody>
      </xdr:sp>
      <xdr:sp macro="" textlink="$AE$20">
        <xdr:nvSpPr>
          <xdr:cNvPr id="167" name="Rectangle 166">
            <a:extLst>
              <a:ext uri="{FF2B5EF4-FFF2-40B4-BE49-F238E27FC236}">
                <a16:creationId xmlns:a16="http://schemas.microsoft.com/office/drawing/2014/main" id="{C0938D7D-8203-DB64-7047-B88FB1D8106A}"/>
              </a:ext>
            </a:extLst>
          </xdr:cNvPr>
          <xdr:cNvSpPr/>
        </xdr:nvSpPr>
        <xdr:spPr>
          <a:xfrm>
            <a:off x="2047875" y="70716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34C8BAA-B751-4C48-ACC3-0013D5B6B14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2</a:t>
            </a:fld>
            <a:endParaRPr lang="en-US" sz="1100"/>
          </a:p>
        </xdr:txBody>
      </xdr:sp>
    </xdr:grpSp>
    <xdr:clientData/>
  </xdr:twoCellAnchor>
  <xdr:twoCellAnchor>
    <xdr:from>
      <xdr:col>3</xdr:col>
      <xdr:colOff>733426</xdr:colOff>
      <xdr:row>20</xdr:row>
      <xdr:rowOff>152400</xdr:rowOff>
    </xdr:from>
    <xdr:to>
      <xdr:col>5</xdr:col>
      <xdr:colOff>1943100</xdr:colOff>
      <xdr:row>36</xdr:row>
      <xdr:rowOff>171450</xdr:rowOff>
    </xdr:to>
    <xdr:sp macro="" textlink="">
      <xdr:nvSpPr>
        <xdr:cNvPr id="169" name="Rectangle: Rounded Corners 168">
          <a:extLst>
            <a:ext uri="{FF2B5EF4-FFF2-40B4-BE49-F238E27FC236}">
              <a16:creationId xmlns:a16="http://schemas.microsoft.com/office/drawing/2014/main" id="{ADD7C584-F0F0-C4B9-D82E-775D083124E3}"/>
            </a:ext>
          </a:extLst>
        </xdr:cNvPr>
        <xdr:cNvSpPr/>
      </xdr:nvSpPr>
      <xdr:spPr>
        <a:xfrm>
          <a:off x="6877051" y="4572000"/>
          <a:ext cx="5305424" cy="306705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904875</xdr:colOff>
      <xdr:row>23</xdr:row>
      <xdr:rowOff>70757</xdr:rowOff>
    </xdr:from>
    <xdr:to>
      <xdr:col>4</xdr:col>
      <xdr:colOff>457200</xdr:colOff>
      <xdr:row>34</xdr:row>
      <xdr:rowOff>167369</xdr:rowOff>
    </xdr:to>
    <xdr:grpSp>
      <xdr:nvGrpSpPr>
        <xdr:cNvPr id="170" name="Group 169">
          <a:extLst>
            <a:ext uri="{FF2B5EF4-FFF2-40B4-BE49-F238E27FC236}">
              <a16:creationId xmlns:a16="http://schemas.microsoft.com/office/drawing/2014/main" id="{F6D1EA5E-2B7C-97EE-ED32-7113BC5164C8}"/>
            </a:ext>
          </a:extLst>
        </xdr:cNvPr>
        <xdr:cNvGrpSpPr/>
      </xdr:nvGrpSpPr>
      <xdr:grpSpPr>
        <a:xfrm>
          <a:off x="7048500" y="5099957"/>
          <a:ext cx="1600200" cy="2192112"/>
          <a:chOff x="409575" y="5061857"/>
          <a:chExt cx="1600200" cy="2192112"/>
        </a:xfrm>
        <a:solidFill>
          <a:schemeClr val="bg1">
            <a:lumMod val="85000"/>
          </a:schemeClr>
        </a:solidFill>
      </xdr:grpSpPr>
      <xdr:sp macro="" textlink="">
        <xdr:nvSpPr>
          <xdr:cNvPr id="171" name="Rectangle 170">
            <a:extLst>
              <a:ext uri="{FF2B5EF4-FFF2-40B4-BE49-F238E27FC236}">
                <a16:creationId xmlns:a16="http://schemas.microsoft.com/office/drawing/2014/main" id="{868AFDB3-2ED6-69A1-C053-BCB2A475EBD0}"/>
              </a:ext>
            </a:extLst>
          </xdr:cNvPr>
          <xdr:cNvSpPr/>
        </xdr:nvSpPr>
        <xdr:spPr>
          <a:xfrm>
            <a:off x="409575" y="50618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 i="0" u="none" strike="noStrike">
                <a:solidFill>
                  <a:srgbClr val="000000"/>
                </a:solidFill>
                <a:latin typeface="Aptos Narrow"/>
              </a:rPr>
              <a:t>Rank</a:t>
            </a:r>
          </a:p>
        </xdr:txBody>
      </xdr:sp>
      <xdr:sp macro="" textlink="$AG$11">
        <xdr:nvSpPr>
          <xdr:cNvPr id="172" name="Rectangle 171">
            <a:extLst>
              <a:ext uri="{FF2B5EF4-FFF2-40B4-BE49-F238E27FC236}">
                <a16:creationId xmlns:a16="http://schemas.microsoft.com/office/drawing/2014/main" id="{2E72E4AE-9737-FB38-A4FA-8E00C0A1E138}"/>
              </a:ext>
            </a:extLst>
          </xdr:cNvPr>
          <xdr:cNvSpPr/>
        </xdr:nvSpPr>
        <xdr:spPr>
          <a:xfrm>
            <a:off x="409575" y="52618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43355DC-37A8-44A0-8D9A-F4492632A49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</a:t>
            </a:fld>
            <a:endParaRPr lang="en-US" sz="1100"/>
          </a:p>
        </xdr:txBody>
      </xdr:sp>
      <xdr:sp macro="" textlink="$AG$12">
        <xdr:nvSpPr>
          <xdr:cNvPr id="173" name="Rectangle 172">
            <a:extLst>
              <a:ext uri="{FF2B5EF4-FFF2-40B4-BE49-F238E27FC236}">
                <a16:creationId xmlns:a16="http://schemas.microsoft.com/office/drawing/2014/main" id="{B3A46271-1DE5-8ACB-DFC1-BAD4563FEA80}"/>
              </a:ext>
            </a:extLst>
          </xdr:cNvPr>
          <xdr:cNvSpPr/>
        </xdr:nvSpPr>
        <xdr:spPr>
          <a:xfrm>
            <a:off x="409575" y="54619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E397FBF-F29F-488D-91F0-474268AAE19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2</a:t>
            </a:fld>
            <a:endParaRPr lang="en-US" sz="1100"/>
          </a:p>
        </xdr:txBody>
      </xdr:sp>
      <xdr:sp macro="" textlink="$AG$13">
        <xdr:nvSpPr>
          <xdr:cNvPr id="174" name="Rectangle 173">
            <a:extLst>
              <a:ext uri="{FF2B5EF4-FFF2-40B4-BE49-F238E27FC236}">
                <a16:creationId xmlns:a16="http://schemas.microsoft.com/office/drawing/2014/main" id="{8B653FF4-F6B2-BF2D-B792-74A483EF5B51}"/>
              </a:ext>
            </a:extLst>
          </xdr:cNvPr>
          <xdr:cNvSpPr/>
        </xdr:nvSpPr>
        <xdr:spPr>
          <a:xfrm>
            <a:off x="409575" y="56619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26279CE-2682-4444-9D90-A73D376494F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3</a:t>
            </a:fld>
            <a:endParaRPr lang="en-US" sz="1100"/>
          </a:p>
        </xdr:txBody>
      </xdr:sp>
      <xdr:sp macro="" textlink="$AG$14">
        <xdr:nvSpPr>
          <xdr:cNvPr id="175" name="Rectangle 174">
            <a:extLst>
              <a:ext uri="{FF2B5EF4-FFF2-40B4-BE49-F238E27FC236}">
                <a16:creationId xmlns:a16="http://schemas.microsoft.com/office/drawing/2014/main" id="{B8ED865F-4477-6CED-3EA7-C408EAB8CC92}"/>
              </a:ext>
            </a:extLst>
          </xdr:cNvPr>
          <xdr:cNvSpPr/>
        </xdr:nvSpPr>
        <xdr:spPr>
          <a:xfrm>
            <a:off x="409575" y="58619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1282D8F-BE64-4B6D-8C3A-C6CDC71F1AA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4</a:t>
            </a:fld>
            <a:endParaRPr lang="en-US" sz="1100"/>
          </a:p>
        </xdr:txBody>
      </xdr:sp>
      <xdr:sp macro="" textlink="$AG$15">
        <xdr:nvSpPr>
          <xdr:cNvPr id="176" name="Rectangle 175">
            <a:extLst>
              <a:ext uri="{FF2B5EF4-FFF2-40B4-BE49-F238E27FC236}">
                <a16:creationId xmlns:a16="http://schemas.microsoft.com/office/drawing/2014/main" id="{2C424FD2-5600-2E52-F51A-FBDFE29A1CF0}"/>
              </a:ext>
            </a:extLst>
          </xdr:cNvPr>
          <xdr:cNvSpPr/>
        </xdr:nvSpPr>
        <xdr:spPr>
          <a:xfrm>
            <a:off x="409575" y="60619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FA3198F-2F99-44F2-8140-5E20520D473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5</a:t>
            </a:fld>
            <a:endParaRPr lang="en-US" sz="1100"/>
          </a:p>
        </xdr:txBody>
      </xdr:sp>
      <xdr:sp macro="" textlink="$AG$16">
        <xdr:nvSpPr>
          <xdr:cNvPr id="177" name="Rectangle 176">
            <a:extLst>
              <a:ext uri="{FF2B5EF4-FFF2-40B4-BE49-F238E27FC236}">
                <a16:creationId xmlns:a16="http://schemas.microsoft.com/office/drawing/2014/main" id="{EED10EED-AB33-FF3B-0E67-E4F304D5336B}"/>
              </a:ext>
            </a:extLst>
          </xdr:cNvPr>
          <xdr:cNvSpPr/>
        </xdr:nvSpPr>
        <xdr:spPr>
          <a:xfrm>
            <a:off x="409575" y="62620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AE47368-99DB-4C89-BBEA-8C4501EE1FC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G$17">
        <xdr:nvSpPr>
          <xdr:cNvPr id="178" name="Rectangle 177">
            <a:extLst>
              <a:ext uri="{FF2B5EF4-FFF2-40B4-BE49-F238E27FC236}">
                <a16:creationId xmlns:a16="http://schemas.microsoft.com/office/drawing/2014/main" id="{0FD0FE1A-A34F-A2C2-00BB-64F76F5F50EA}"/>
              </a:ext>
            </a:extLst>
          </xdr:cNvPr>
          <xdr:cNvSpPr/>
        </xdr:nvSpPr>
        <xdr:spPr>
          <a:xfrm>
            <a:off x="409575" y="64620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F96B31B-DA1A-4C71-B56A-F6909A5440B0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G$18">
        <xdr:nvSpPr>
          <xdr:cNvPr id="179" name="Rectangle 178">
            <a:extLst>
              <a:ext uri="{FF2B5EF4-FFF2-40B4-BE49-F238E27FC236}">
                <a16:creationId xmlns:a16="http://schemas.microsoft.com/office/drawing/2014/main" id="{609779B7-DD53-4F57-375B-FF7C8BB341AD}"/>
              </a:ext>
            </a:extLst>
          </xdr:cNvPr>
          <xdr:cNvSpPr/>
        </xdr:nvSpPr>
        <xdr:spPr>
          <a:xfrm>
            <a:off x="409575" y="66620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F9654B2-2780-4EEF-8984-2B0295DA1B29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G$19">
        <xdr:nvSpPr>
          <xdr:cNvPr id="180" name="Rectangle 179">
            <a:extLst>
              <a:ext uri="{FF2B5EF4-FFF2-40B4-BE49-F238E27FC236}">
                <a16:creationId xmlns:a16="http://schemas.microsoft.com/office/drawing/2014/main" id="{DA86491E-0C7E-5E18-DCCD-D19CD66FE772}"/>
              </a:ext>
            </a:extLst>
          </xdr:cNvPr>
          <xdr:cNvSpPr/>
        </xdr:nvSpPr>
        <xdr:spPr>
          <a:xfrm>
            <a:off x="409575" y="68620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8EA030F-32F5-4B19-914B-F9F6B41B630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G$20">
        <xdr:nvSpPr>
          <xdr:cNvPr id="181" name="Rectangle 180">
            <a:extLst>
              <a:ext uri="{FF2B5EF4-FFF2-40B4-BE49-F238E27FC236}">
                <a16:creationId xmlns:a16="http://schemas.microsoft.com/office/drawing/2014/main" id="{4A34FE6A-738C-E3B0-DD34-D9B5DF5B63FE}"/>
              </a:ext>
            </a:extLst>
          </xdr:cNvPr>
          <xdr:cNvSpPr/>
        </xdr:nvSpPr>
        <xdr:spPr>
          <a:xfrm>
            <a:off x="409575" y="70621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08AC9EE-84AA-42FF-9846-53787EAF980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</xdr:grpSp>
    <xdr:clientData/>
  </xdr:twoCellAnchor>
  <xdr:twoCellAnchor>
    <xdr:from>
      <xdr:col>4</xdr:col>
      <xdr:colOff>495300</xdr:colOff>
      <xdr:row>23</xdr:row>
      <xdr:rowOff>70757</xdr:rowOff>
    </xdr:from>
    <xdr:to>
      <xdr:col>5</xdr:col>
      <xdr:colOff>47625</xdr:colOff>
      <xdr:row>34</xdr:row>
      <xdr:rowOff>167369</xdr:rowOff>
    </xdr:to>
    <xdr:grpSp>
      <xdr:nvGrpSpPr>
        <xdr:cNvPr id="182" name="Group 181">
          <a:extLst>
            <a:ext uri="{FF2B5EF4-FFF2-40B4-BE49-F238E27FC236}">
              <a16:creationId xmlns:a16="http://schemas.microsoft.com/office/drawing/2014/main" id="{DCEC222F-7D2D-E939-E1D1-DFB9DF32BCB2}"/>
            </a:ext>
          </a:extLst>
        </xdr:cNvPr>
        <xdr:cNvGrpSpPr/>
      </xdr:nvGrpSpPr>
      <xdr:grpSpPr>
        <a:xfrm>
          <a:off x="8686800" y="5099957"/>
          <a:ext cx="1600200" cy="2192112"/>
          <a:chOff x="2047875" y="5071382"/>
          <a:chExt cx="1600200" cy="2192112"/>
        </a:xfrm>
        <a:solidFill>
          <a:schemeClr val="bg1">
            <a:lumMod val="85000"/>
          </a:schemeClr>
        </a:solidFill>
      </xdr:grpSpPr>
      <xdr:sp macro="" textlink="">
        <xdr:nvSpPr>
          <xdr:cNvPr id="183" name="Rectangle 182">
            <a:extLst>
              <a:ext uri="{FF2B5EF4-FFF2-40B4-BE49-F238E27FC236}">
                <a16:creationId xmlns:a16="http://schemas.microsoft.com/office/drawing/2014/main" id="{B156CA74-23B3-B0D4-B9D9-0A6309B9FB48}"/>
              </a:ext>
            </a:extLst>
          </xdr:cNvPr>
          <xdr:cNvSpPr/>
        </xdr:nvSpPr>
        <xdr:spPr>
          <a:xfrm>
            <a:off x="2047875" y="50713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 i="0" u="none" strike="noStrike">
                <a:solidFill>
                  <a:srgbClr val="000000"/>
                </a:solidFill>
                <a:latin typeface="Aptos Narrow"/>
              </a:rPr>
              <a:t>Storekeeper </a:t>
            </a:r>
            <a:r>
              <a:rPr lang="en-US" sz="1400" b="1" i="0" u="none" strike="noStrike" baseline="0">
                <a:solidFill>
                  <a:srgbClr val="000000"/>
                </a:solidFill>
                <a:latin typeface="Aptos Narrow"/>
              </a:rPr>
              <a:t> ID</a:t>
            </a:r>
            <a:endParaRPr lang="en-US" sz="1400" b="1" i="0" u="none" strike="noStrike">
              <a:solidFill>
                <a:srgbClr val="000000"/>
              </a:solidFill>
              <a:latin typeface="Aptos Narrow"/>
            </a:endParaRPr>
          </a:p>
        </xdr:txBody>
      </xdr:sp>
      <xdr:sp macro="" textlink="$AH$11">
        <xdr:nvSpPr>
          <xdr:cNvPr id="184" name="Rectangle 183">
            <a:extLst>
              <a:ext uri="{FF2B5EF4-FFF2-40B4-BE49-F238E27FC236}">
                <a16:creationId xmlns:a16="http://schemas.microsoft.com/office/drawing/2014/main" id="{E1E602D1-753F-9A4A-2110-811F67D0DBFB}"/>
              </a:ext>
            </a:extLst>
          </xdr:cNvPr>
          <xdr:cNvSpPr/>
        </xdr:nvSpPr>
        <xdr:spPr>
          <a:xfrm>
            <a:off x="2047875" y="52714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4C3043F-C9F9-498D-82FA-485765B48F87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DXB456417</a:t>
            </a:fld>
            <a:endParaRPr lang="en-US" sz="1100"/>
          </a:p>
        </xdr:txBody>
      </xdr:sp>
      <xdr:sp macro="" textlink="$AH$12">
        <xdr:nvSpPr>
          <xdr:cNvPr id="185" name="Rectangle 184">
            <a:extLst>
              <a:ext uri="{FF2B5EF4-FFF2-40B4-BE49-F238E27FC236}">
                <a16:creationId xmlns:a16="http://schemas.microsoft.com/office/drawing/2014/main" id="{C17A2243-813E-609A-CDFD-A4AEB794284F}"/>
              </a:ext>
            </a:extLst>
          </xdr:cNvPr>
          <xdr:cNvSpPr/>
        </xdr:nvSpPr>
        <xdr:spPr>
          <a:xfrm>
            <a:off x="2047875" y="54714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0380977-7345-4594-A1FF-753F909EBA31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DXB495322</a:t>
            </a:fld>
            <a:endParaRPr lang="en-US" sz="1100"/>
          </a:p>
        </xdr:txBody>
      </xdr:sp>
      <xdr:sp macro="" textlink="$AH$13">
        <xdr:nvSpPr>
          <xdr:cNvPr id="186" name="Rectangle 185">
            <a:extLst>
              <a:ext uri="{FF2B5EF4-FFF2-40B4-BE49-F238E27FC236}">
                <a16:creationId xmlns:a16="http://schemas.microsoft.com/office/drawing/2014/main" id="{454A1C45-4BC5-242A-45AF-DED13CE7C448}"/>
              </a:ext>
            </a:extLst>
          </xdr:cNvPr>
          <xdr:cNvSpPr/>
        </xdr:nvSpPr>
        <xdr:spPr>
          <a:xfrm>
            <a:off x="2047875" y="56714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63BDEE68-8941-47DF-B487-BAAE42A91279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DXB492425</a:t>
            </a:fld>
            <a:endParaRPr lang="en-US" sz="1100"/>
          </a:p>
        </xdr:txBody>
      </xdr:sp>
      <xdr:sp macro="" textlink="$AH$14">
        <xdr:nvSpPr>
          <xdr:cNvPr id="187" name="Rectangle 186">
            <a:extLst>
              <a:ext uri="{FF2B5EF4-FFF2-40B4-BE49-F238E27FC236}">
                <a16:creationId xmlns:a16="http://schemas.microsoft.com/office/drawing/2014/main" id="{FD664D07-8E2B-8FFF-173D-039C685FD31B}"/>
              </a:ext>
            </a:extLst>
          </xdr:cNvPr>
          <xdr:cNvSpPr/>
        </xdr:nvSpPr>
        <xdr:spPr>
          <a:xfrm>
            <a:off x="2047875" y="58714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C0D7CD3-3848-431E-A970-E0E3FF007038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DXB501183</a:t>
            </a:fld>
            <a:endParaRPr lang="en-US" sz="1100"/>
          </a:p>
        </xdr:txBody>
      </xdr:sp>
      <xdr:sp macro="" textlink="$AH$15">
        <xdr:nvSpPr>
          <xdr:cNvPr id="188" name="Rectangle 187">
            <a:extLst>
              <a:ext uri="{FF2B5EF4-FFF2-40B4-BE49-F238E27FC236}">
                <a16:creationId xmlns:a16="http://schemas.microsoft.com/office/drawing/2014/main" id="{755E67B7-BE50-4AE4-4BFE-5C54FF208728}"/>
              </a:ext>
            </a:extLst>
          </xdr:cNvPr>
          <xdr:cNvSpPr/>
        </xdr:nvSpPr>
        <xdr:spPr>
          <a:xfrm>
            <a:off x="2047875" y="60715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CAE6C35-EC3F-45FD-8A00-9B7B44B8A68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DXB442324</a:t>
            </a:fld>
            <a:endParaRPr lang="en-US" sz="1100"/>
          </a:p>
        </xdr:txBody>
      </xdr:sp>
      <xdr:sp macro="" textlink="$AH$16">
        <xdr:nvSpPr>
          <xdr:cNvPr id="189" name="Rectangle 188">
            <a:extLst>
              <a:ext uri="{FF2B5EF4-FFF2-40B4-BE49-F238E27FC236}">
                <a16:creationId xmlns:a16="http://schemas.microsoft.com/office/drawing/2014/main" id="{682E2D96-17B8-7D9C-5B05-8F569A338679}"/>
              </a:ext>
            </a:extLst>
          </xdr:cNvPr>
          <xdr:cNvSpPr/>
        </xdr:nvSpPr>
        <xdr:spPr>
          <a:xfrm>
            <a:off x="2047875" y="62715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BE04606-85A3-4CD1-9DC7-EB6CFA2B14BC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H$17">
        <xdr:nvSpPr>
          <xdr:cNvPr id="190" name="Rectangle 189">
            <a:extLst>
              <a:ext uri="{FF2B5EF4-FFF2-40B4-BE49-F238E27FC236}">
                <a16:creationId xmlns:a16="http://schemas.microsoft.com/office/drawing/2014/main" id="{39C40117-CC56-0D69-9B7B-E9E715405B43}"/>
              </a:ext>
            </a:extLst>
          </xdr:cNvPr>
          <xdr:cNvSpPr/>
        </xdr:nvSpPr>
        <xdr:spPr>
          <a:xfrm>
            <a:off x="2047875" y="64715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4D77BE9-FA42-4727-B0CF-616FB455E92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H$18">
        <xdr:nvSpPr>
          <xdr:cNvPr id="191" name="Rectangle 190">
            <a:extLst>
              <a:ext uri="{FF2B5EF4-FFF2-40B4-BE49-F238E27FC236}">
                <a16:creationId xmlns:a16="http://schemas.microsoft.com/office/drawing/2014/main" id="{0D0CD111-E4A1-3BA3-B337-C5A6315D5D0A}"/>
              </a:ext>
            </a:extLst>
          </xdr:cNvPr>
          <xdr:cNvSpPr/>
        </xdr:nvSpPr>
        <xdr:spPr>
          <a:xfrm>
            <a:off x="2047875" y="66715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CA612D7-E85A-4397-B8A0-024C78F61832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H$19">
        <xdr:nvSpPr>
          <xdr:cNvPr id="192" name="Rectangle 191">
            <a:extLst>
              <a:ext uri="{FF2B5EF4-FFF2-40B4-BE49-F238E27FC236}">
                <a16:creationId xmlns:a16="http://schemas.microsoft.com/office/drawing/2014/main" id="{FD395E7A-3BB2-A193-7823-DADDC911E59D}"/>
              </a:ext>
            </a:extLst>
          </xdr:cNvPr>
          <xdr:cNvSpPr/>
        </xdr:nvSpPr>
        <xdr:spPr>
          <a:xfrm>
            <a:off x="2047875" y="68716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F17C49D3-41A1-4799-B02C-B8B1B2286B4B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H$20">
        <xdr:nvSpPr>
          <xdr:cNvPr id="193" name="Rectangle 192">
            <a:extLst>
              <a:ext uri="{FF2B5EF4-FFF2-40B4-BE49-F238E27FC236}">
                <a16:creationId xmlns:a16="http://schemas.microsoft.com/office/drawing/2014/main" id="{02424970-0476-6A62-334A-25C10E4E943C}"/>
              </a:ext>
            </a:extLst>
          </xdr:cNvPr>
          <xdr:cNvSpPr/>
        </xdr:nvSpPr>
        <xdr:spPr>
          <a:xfrm>
            <a:off x="2047875" y="70716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4AB5CCF-1980-427F-8705-71D9AA7687CF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</xdr:grpSp>
    <xdr:clientData/>
  </xdr:twoCellAnchor>
  <xdr:twoCellAnchor>
    <xdr:from>
      <xdr:col>5</xdr:col>
      <xdr:colOff>85725</xdr:colOff>
      <xdr:row>23</xdr:row>
      <xdr:rowOff>70757</xdr:rowOff>
    </xdr:from>
    <xdr:to>
      <xdr:col>5</xdr:col>
      <xdr:colOff>1685925</xdr:colOff>
      <xdr:row>34</xdr:row>
      <xdr:rowOff>167369</xdr:rowOff>
    </xdr:to>
    <xdr:grpSp>
      <xdr:nvGrpSpPr>
        <xdr:cNvPr id="194" name="Group 193">
          <a:extLst>
            <a:ext uri="{FF2B5EF4-FFF2-40B4-BE49-F238E27FC236}">
              <a16:creationId xmlns:a16="http://schemas.microsoft.com/office/drawing/2014/main" id="{A33BFEC5-F7B1-329F-0BAA-6E45DD21E517}"/>
            </a:ext>
          </a:extLst>
        </xdr:cNvPr>
        <xdr:cNvGrpSpPr/>
      </xdr:nvGrpSpPr>
      <xdr:grpSpPr>
        <a:xfrm>
          <a:off x="10325100" y="5099957"/>
          <a:ext cx="1600200" cy="2192112"/>
          <a:chOff x="2047875" y="5071382"/>
          <a:chExt cx="1600200" cy="2192112"/>
        </a:xfrm>
        <a:solidFill>
          <a:schemeClr val="bg1">
            <a:lumMod val="85000"/>
          </a:schemeClr>
        </a:solidFill>
      </xdr:grpSpPr>
      <xdr:sp macro="" textlink="">
        <xdr:nvSpPr>
          <xdr:cNvPr id="195" name="Rectangle 194">
            <a:extLst>
              <a:ext uri="{FF2B5EF4-FFF2-40B4-BE49-F238E27FC236}">
                <a16:creationId xmlns:a16="http://schemas.microsoft.com/office/drawing/2014/main" id="{298823F1-97B1-7657-5E8A-12173F77B65A}"/>
              </a:ext>
            </a:extLst>
          </xdr:cNvPr>
          <xdr:cNvSpPr/>
        </xdr:nvSpPr>
        <xdr:spPr>
          <a:xfrm>
            <a:off x="2047875" y="50713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 i="0" u="none" strike="noStrike">
                <a:solidFill>
                  <a:srgbClr val="000000"/>
                </a:solidFill>
                <a:latin typeface="Aptos Narrow"/>
              </a:rPr>
              <a:t>Error</a:t>
            </a:r>
            <a:r>
              <a:rPr lang="en-US" sz="1400" b="1" i="0" u="none" strike="noStrike" baseline="0">
                <a:solidFill>
                  <a:srgbClr val="000000"/>
                </a:solidFill>
                <a:latin typeface="Aptos Narrow"/>
              </a:rPr>
              <a:t> Found</a:t>
            </a:r>
            <a:endParaRPr lang="en-US" sz="1400" b="1" i="0" u="none" strike="noStrike">
              <a:solidFill>
                <a:srgbClr val="000000"/>
              </a:solidFill>
              <a:latin typeface="Aptos Narrow"/>
            </a:endParaRPr>
          </a:p>
        </xdr:txBody>
      </xdr:sp>
      <xdr:sp macro="" textlink="$AI$11">
        <xdr:nvSpPr>
          <xdr:cNvPr id="196" name="Rectangle 195">
            <a:extLst>
              <a:ext uri="{FF2B5EF4-FFF2-40B4-BE49-F238E27FC236}">
                <a16:creationId xmlns:a16="http://schemas.microsoft.com/office/drawing/2014/main" id="{0878CA2C-11D9-AEA4-C1EB-BE1FAA75574F}"/>
              </a:ext>
            </a:extLst>
          </xdr:cNvPr>
          <xdr:cNvSpPr/>
        </xdr:nvSpPr>
        <xdr:spPr>
          <a:xfrm>
            <a:off x="2047875" y="52714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FCFAB5A-2ABB-4406-A02C-6289C678795F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17</a:t>
            </a:fld>
            <a:endParaRPr lang="en-US" sz="1100"/>
          </a:p>
        </xdr:txBody>
      </xdr:sp>
      <xdr:sp macro="" textlink="$AI$12">
        <xdr:nvSpPr>
          <xdr:cNvPr id="197" name="Rectangle 196">
            <a:extLst>
              <a:ext uri="{FF2B5EF4-FFF2-40B4-BE49-F238E27FC236}">
                <a16:creationId xmlns:a16="http://schemas.microsoft.com/office/drawing/2014/main" id="{956C672B-1C3B-A170-8A74-8F95E4522FAB}"/>
              </a:ext>
            </a:extLst>
          </xdr:cNvPr>
          <xdr:cNvSpPr/>
        </xdr:nvSpPr>
        <xdr:spPr>
          <a:xfrm>
            <a:off x="2047875" y="54714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B0CA5BF-B1EF-45EF-A870-FD4B4BCF152A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15</a:t>
            </a:fld>
            <a:endParaRPr lang="en-US" sz="1100"/>
          </a:p>
        </xdr:txBody>
      </xdr:sp>
      <xdr:sp macro="" textlink="$AI$13">
        <xdr:nvSpPr>
          <xdr:cNvPr id="198" name="Rectangle 197">
            <a:extLst>
              <a:ext uri="{FF2B5EF4-FFF2-40B4-BE49-F238E27FC236}">
                <a16:creationId xmlns:a16="http://schemas.microsoft.com/office/drawing/2014/main" id="{56DC1240-1AA4-1142-5124-93A20DA31C7F}"/>
              </a:ext>
            </a:extLst>
          </xdr:cNvPr>
          <xdr:cNvSpPr/>
        </xdr:nvSpPr>
        <xdr:spPr>
          <a:xfrm>
            <a:off x="2047875" y="56714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C7D9CD7-802B-43D1-9E4B-B5845BE8C491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12</a:t>
            </a:fld>
            <a:endParaRPr lang="en-US" sz="1100"/>
          </a:p>
        </xdr:txBody>
      </xdr:sp>
      <xdr:sp macro="" textlink="$AI$14">
        <xdr:nvSpPr>
          <xdr:cNvPr id="199" name="Rectangle 198">
            <a:extLst>
              <a:ext uri="{FF2B5EF4-FFF2-40B4-BE49-F238E27FC236}">
                <a16:creationId xmlns:a16="http://schemas.microsoft.com/office/drawing/2014/main" id="{3D0706CC-2AC2-80CD-3ACB-2EC580C3B1AC}"/>
              </a:ext>
            </a:extLst>
          </xdr:cNvPr>
          <xdr:cNvSpPr/>
        </xdr:nvSpPr>
        <xdr:spPr>
          <a:xfrm>
            <a:off x="2047875" y="58714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BDE8A69-9638-46B9-8973-21281C8D1F3B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11</a:t>
            </a:fld>
            <a:endParaRPr lang="en-US" sz="1100"/>
          </a:p>
        </xdr:txBody>
      </xdr:sp>
      <xdr:sp macro="" textlink="$AI$15">
        <xdr:nvSpPr>
          <xdr:cNvPr id="200" name="Rectangle 199">
            <a:extLst>
              <a:ext uri="{FF2B5EF4-FFF2-40B4-BE49-F238E27FC236}">
                <a16:creationId xmlns:a16="http://schemas.microsoft.com/office/drawing/2014/main" id="{A174DD96-E5BD-9B2A-E2BD-A2052A03D2EF}"/>
              </a:ext>
            </a:extLst>
          </xdr:cNvPr>
          <xdr:cNvSpPr/>
        </xdr:nvSpPr>
        <xdr:spPr>
          <a:xfrm>
            <a:off x="2047875" y="60715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4AFFC6B-1F7C-444D-B27A-383CE8F99726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10</a:t>
            </a:fld>
            <a:endParaRPr lang="en-US" sz="1100"/>
          </a:p>
        </xdr:txBody>
      </xdr:sp>
      <xdr:sp macro="" textlink="$AI$16">
        <xdr:nvSpPr>
          <xdr:cNvPr id="201" name="Rectangle 200">
            <a:extLst>
              <a:ext uri="{FF2B5EF4-FFF2-40B4-BE49-F238E27FC236}">
                <a16:creationId xmlns:a16="http://schemas.microsoft.com/office/drawing/2014/main" id="{CCDC9252-E8E6-4ED4-6F96-7A2FA53FEB09}"/>
              </a:ext>
            </a:extLst>
          </xdr:cNvPr>
          <xdr:cNvSpPr/>
        </xdr:nvSpPr>
        <xdr:spPr>
          <a:xfrm>
            <a:off x="2047875" y="62715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C680F74-8306-4292-9300-D3BD0E64E255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I$17">
        <xdr:nvSpPr>
          <xdr:cNvPr id="202" name="Rectangle 201">
            <a:extLst>
              <a:ext uri="{FF2B5EF4-FFF2-40B4-BE49-F238E27FC236}">
                <a16:creationId xmlns:a16="http://schemas.microsoft.com/office/drawing/2014/main" id="{BC504279-DABC-4464-802E-AAF24289D065}"/>
              </a:ext>
            </a:extLst>
          </xdr:cNvPr>
          <xdr:cNvSpPr/>
        </xdr:nvSpPr>
        <xdr:spPr>
          <a:xfrm>
            <a:off x="2047875" y="647155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8BBFCB8-E2B6-4443-90AC-8FE8F5B2AE48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I$18">
        <xdr:nvSpPr>
          <xdr:cNvPr id="203" name="Rectangle 202">
            <a:extLst>
              <a:ext uri="{FF2B5EF4-FFF2-40B4-BE49-F238E27FC236}">
                <a16:creationId xmlns:a16="http://schemas.microsoft.com/office/drawing/2014/main" id="{AF595398-A10E-FB4A-AC51-61BF2C453F89}"/>
              </a:ext>
            </a:extLst>
          </xdr:cNvPr>
          <xdr:cNvSpPr/>
        </xdr:nvSpPr>
        <xdr:spPr>
          <a:xfrm>
            <a:off x="2047875" y="667158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B973329-126F-4C08-8048-534AD6C71104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I$19">
        <xdr:nvSpPr>
          <xdr:cNvPr id="204" name="Rectangle 203">
            <a:extLst>
              <a:ext uri="{FF2B5EF4-FFF2-40B4-BE49-F238E27FC236}">
                <a16:creationId xmlns:a16="http://schemas.microsoft.com/office/drawing/2014/main" id="{D2DC91B7-1D47-2884-2ED2-281CBA3E1580}"/>
              </a:ext>
            </a:extLst>
          </xdr:cNvPr>
          <xdr:cNvSpPr/>
        </xdr:nvSpPr>
        <xdr:spPr>
          <a:xfrm>
            <a:off x="2047875" y="6871607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70B4C34-F989-4F5C-ABE0-7AC54C7CFFE2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  <xdr:sp macro="" textlink="$AI$20">
        <xdr:nvSpPr>
          <xdr:cNvPr id="205" name="Rectangle 204">
            <a:extLst>
              <a:ext uri="{FF2B5EF4-FFF2-40B4-BE49-F238E27FC236}">
                <a16:creationId xmlns:a16="http://schemas.microsoft.com/office/drawing/2014/main" id="{C00FF349-CBF7-D47F-E831-FECCD8370FBE}"/>
              </a:ext>
            </a:extLst>
          </xdr:cNvPr>
          <xdr:cNvSpPr/>
        </xdr:nvSpPr>
        <xdr:spPr>
          <a:xfrm>
            <a:off x="2047875" y="7071632"/>
            <a:ext cx="1600200" cy="191862"/>
          </a:xfrm>
          <a:prstGeom prst="rect">
            <a:avLst/>
          </a:prstGeom>
          <a:grpFill/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749683E-B539-4740-8D7F-0B4736602FB4}" type="TxLink">
              <a:rPr lang="en-US" sz="11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US" sz="1100"/>
          </a:p>
        </xdr:txBody>
      </xdr:sp>
    </xdr:grpSp>
    <xdr:clientData/>
  </xdr:twoCellAnchor>
  <xdr:twoCellAnchor>
    <xdr:from>
      <xdr:col>0</xdr:col>
      <xdr:colOff>771525</xdr:colOff>
      <xdr:row>21</xdr:row>
      <xdr:rowOff>28576</xdr:rowOff>
    </xdr:from>
    <xdr:to>
      <xdr:col>2</xdr:col>
      <xdr:colOff>1047750</xdr:colOff>
      <xdr:row>23</xdr:row>
      <xdr:rowOff>0</xdr:rowOff>
    </xdr:to>
    <xdr:sp macro="" textlink="">
      <xdr:nvSpPr>
        <xdr:cNvPr id="206" name="TextBox 205">
          <a:extLst>
            <a:ext uri="{FF2B5EF4-FFF2-40B4-BE49-F238E27FC236}">
              <a16:creationId xmlns:a16="http://schemas.microsoft.com/office/drawing/2014/main" id="{D503C461-C9F9-523A-0E98-CC6869F74D66}"/>
            </a:ext>
          </a:extLst>
        </xdr:cNvPr>
        <xdr:cNvSpPr txBox="1"/>
      </xdr:nvSpPr>
      <xdr:spPr>
        <a:xfrm>
          <a:off x="771525" y="4638676"/>
          <a:ext cx="4371975" cy="3524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1">
              <a:solidFill>
                <a:schemeClr val="accent6">
                  <a:lumMod val="50000"/>
                </a:schemeClr>
              </a:solidFill>
            </a:rPr>
            <a:t>Top 10 Pickers with Most Error</a:t>
          </a:r>
        </a:p>
      </xdr:txBody>
    </xdr:sp>
    <xdr:clientData/>
  </xdr:twoCellAnchor>
  <xdr:twoCellAnchor>
    <xdr:from>
      <xdr:col>3</xdr:col>
      <xdr:colOff>923925</xdr:colOff>
      <xdr:row>21</xdr:row>
      <xdr:rowOff>47626</xdr:rowOff>
    </xdr:from>
    <xdr:to>
      <xdr:col>5</xdr:col>
      <xdr:colOff>1619251</xdr:colOff>
      <xdr:row>23</xdr:row>
      <xdr:rowOff>19050</xdr:rowOff>
    </xdr:to>
    <xdr:sp macro="" textlink="">
      <xdr:nvSpPr>
        <xdr:cNvPr id="207" name="TextBox 206">
          <a:extLst>
            <a:ext uri="{FF2B5EF4-FFF2-40B4-BE49-F238E27FC236}">
              <a16:creationId xmlns:a16="http://schemas.microsoft.com/office/drawing/2014/main" id="{6D705A2B-4A2C-F4A5-CBF3-ED094D62B0B6}"/>
            </a:ext>
          </a:extLst>
        </xdr:cNvPr>
        <xdr:cNvSpPr txBox="1"/>
      </xdr:nvSpPr>
      <xdr:spPr>
        <a:xfrm>
          <a:off x="7067550" y="4657726"/>
          <a:ext cx="4791076" cy="3524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1">
              <a:solidFill>
                <a:schemeClr val="accent6">
                  <a:lumMod val="50000"/>
                </a:schemeClr>
              </a:solidFill>
            </a:rPr>
            <a:t>Top 10 Storekeepers with Most Error Found</a:t>
          </a:r>
        </a:p>
      </xdr:txBody>
    </xdr:sp>
    <xdr:clientData/>
  </xdr:twoCellAnchor>
  <xdr:twoCellAnchor>
    <xdr:from>
      <xdr:col>0</xdr:col>
      <xdr:colOff>85725</xdr:colOff>
      <xdr:row>9</xdr:row>
      <xdr:rowOff>57150</xdr:rowOff>
    </xdr:from>
    <xdr:to>
      <xdr:col>1</xdr:col>
      <xdr:colOff>238125</xdr:colOff>
      <xdr:row>9</xdr:row>
      <xdr:rowOff>228600</xdr:rowOff>
    </xdr:to>
    <xdr:sp macro="" textlink="">
      <xdr:nvSpPr>
        <xdr:cNvPr id="209" name="Rectangle: Rounded Corners 208">
          <a:extLst>
            <a:ext uri="{FF2B5EF4-FFF2-40B4-BE49-F238E27FC236}">
              <a16:creationId xmlns:a16="http://schemas.microsoft.com/office/drawing/2014/main" id="{1221D975-F9B6-102E-EDB9-E60EE322B83C}"/>
            </a:ext>
          </a:extLst>
        </xdr:cNvPr>
        <xdr:cNvSpPr/>
      </xdr:nvSpPr>
      <xdr:spPr>
        <a:xfrm>
          <a:off x="85725" y="2066925"/>
          <a:ext cx="2200275" cy="171450"/>
        </a:xfrm>
        <a:prstGeom prst="roundRect">
          <a:avLst>
            <a:gd name="adj" fmla="val 50000"/>
          </a:avLst>
        </a:prstGeom>
        <a:solidFill>
          <a:srgbClr val="07530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 b="1"/>
            <a:t>Select Month for</a:t>
          </a:r>
          <a:r>
            <a:rPr lang="en-US" sz="1050" b="1" baseline="0"/>
            <a:t> Daily Trend Error</a:t>
          </a:r>
          <a:endParaRPr lang="en-US" sz="900" b="1"/>
        </a:p>
      </xdr:txBody>
    </xdr:sp>
    <xdr:clientData/>
  </xdr:twoCellAnchor>
  <xdr:oneCellAnchor>
    <xdr:from>
      <xdr:col>0</xdr:col>
      <xdr:colOff>65554</xdr:colOff>
      <xdr:row>10</xdr:row>
      <xdr:rowOff>178658</xdr:rowOff>
    </xdr:from>
    <xdr:ext cx="2087096" cy="201915"/>
    <xdr:sp macro="" textlink="">
      <xdr:nvSpPr>
        <xdr:cNvPr id="210" name="TextBox 209">
          <a:extLst>
            <a:ext uri="{FF2B5EF4-FFF2-40B4-BE49-F238E27FC236}">
              <a16:creationId xmlns:a16="http://schemas.microsoft.com/office/drawing/2014/main" id="{1725CDC1-4C79-D47A-C4C0-A46F150CA765}"/>
            </a:ext>
          </a:extLst>
        </xdr:cNvPr>
        <xdr:cNvSpPr txBox="1"/>
      </xdr:nvSpPr>
      <xdr:spPr>
        <a:xfrm>
          <a:off x="65554" y="2436083"/>
          <a:ext cx="2087096" cy="20191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US" sz="700" b="1">
              <a:solidFill>
                <a:schemeClr val="accent6">
                  <a:lumMod val="50000"/>
                </a:schemeClr>
              </a:solidFill>
            </a:rPr>
            <a:t>"</a:t>
          </a:r>
          <a:r>
            <a:rPr lang="en-US" sz="700" b="1" baseline="0">
              <a:solidFill>
                <a:schemeClr val="accent6">
                  <a:lumMod val="50000"/>
                </a:schemeClr>
              </a:solidFill>
            </a:rPr>
            <a:t> Not linked to main dashboard month filter "</a:t>
          </a:r>
          <a:endParaRPr lang="en-US" sz="600" b="1">
            <a:solidFill>
              <a:schemeClr val="accent6">
                <a:lumMod val="50000"/>
              </a:schemeClr>
            </a:solidFill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102290</xdr:colOff>
      <xdr:row>0</xdr:row>
      <xdr:rowOff>0</xdr:rowOff>
    </xdr:from>
    <xdr:to>
      <xdr:col>14</xdr:col>
      <xdr:colOff>596348</xdr:colOff>
      <xdr:row>1115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C990375A-3928-E8E8-87AB-B9D3FCDFDBCF}"/>
            </a:ext>
          </a:extLst>
        </xdr:cNvPr>
        <xdr:cNvSpPr/>
      </xdr:nvSpPr>
      <xdr:spPr>
        <a:xfrm>
          <a:off x="12335703" y="0"/>
          <a:ext cx="5861188" cy="212407500"/>
        </a:xfrm>
        <a:prstGeom prst="roundRect">
          <a:avLst>
            <a:gd name="adj" fmla="val 0"/>
          </a:avLst>
        </a:prstGeom>
        <a:solidFill>
          <a:schemeClr val="bg1"/>
        </a:solidFill>
        <a:ln>
          <a:solidFill>
            <a:schemeClr val="accent6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17318</xdr:rowOff>
    </xdr:from>
    <xdr:to>
      <xdr:col>2</xdr:col>
      <xdr:colOff>0</xdr:colOff>
      <xdr:row>3</xdr:row>
      <xdr:rowOff>8659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682686C3-D997-103C-55F2-11A72E46FEEF}"/>
            </a:ext>
          </a:extLst>
        </xdr:cNvPr>
        <xdr:cNvSpPr/>
      </xdr:nvSpPr>
      <xdr:spPr>
        <a:xfrm>
          <a:off x="2519795" y="519545"/>
          <a:ext cx="1359478" cy="311728"/>
        </a:xfrm>
        <a:prstGeom prst="roundRect">
          <a:avLst>
            <a:gd name="adj" fmla="val 50000"/>
          </a:avLst>
        </a:prstGeom>
        <a:noFill/>
        <a:ln w="381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</xdr:row>
      <xdr:rowOff>17318</xdr:rowOff>
    </xdr:from>
    <xdr:to>
      <xdr:col>2</xdr:col>
      <xdr:colOff>0</xdr:colOff>
      <xdr:row>3</xdr:row>
      <xdr:rowOff>8659</xdr:rowOff>
    </xdr:to>
    <xdr:sp macro="" textlink="">
      <xdr:nvSpPr>
        <xdr:cNvPr id="40" name="Rectangle: Rounded Corners 39">
          <a:extLst>
            <a:ext uri="{FF2B5EF4-FFF2-40B4-BE49-F238E27FC236}">
              <a16:creationId xmlns:a16="http://schemas.microsoft.com/office/drawing/2014/main" id="{CE7D7CE0-AC39-6B82-A665-3537BDB5A6C0}"/>
            </a:ext>
          </a:extLst>
        </xdr:cNvPr>
        <xdr:cNvSpPr/>
      </xdr:nvSpPr>
      <xdr:spPr>
        <a:xfrm>
          <a:off x="3844636" y="519545"/>
          <a:ext cx="1446070" cy="311728"/>
        </a:xfrm>
        <a:prstGeom prst="roundRect">
          <a:avLst>
            <a:gd name="adj" fmla="val 50000"/>
          </a:avLst>
        </a:prstGeom>
        <a:noFill/>
        <a:ln w="381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0</xdr:colOff>
      <xdr:row>2</xdr:row>
      <xdr:rowOff>13855</xdr:rowOff>
    </xdr:from>
    <xdr:to>
      <xdr:col>2</xdr:col>
      <xdr:colOff>0</xdr:colOff>
      <xdr:row>3</xdr:row>
      <xdr:rowOff>5196</xdr:rowOff>
    </xdr:to>
    <xdr:sp macro="" textlink="">
      <xdr:nvSpPr>
        <xdr:cNvPr id="41" name="Rectangle: Rounded Corners 40">
          <a:extLst>
            <a:ext uri="{FF2B5EF4-FFF2-40B4-BE49-F238E27FC236}">
              <a16:creationId xmlns:a16="http://schemas.microsoft.com/office/drawing/2014/main" id="{86040B18-FB67-82DD-9611-EA8AF7E092FF}"/>
            </a:ext>
          </a:extLst>
        </xdr:cNvPr>
        <xdr:cNvSpPr/>
      </xdr:nvSpPr>
      <xdr:spPr>
        <a:xfrm>
          <a:off x="5264727" y="516082"/>
          <a:ext cx="1333500" cy="311728"/>
        </a:xfrm>
        <a:prstGeom prst="roundRect">
          <a:avLst>
            <a:gd name="adj" fmla="val 50000"/>
          </a:avLst>
        </a:prstGeom>
        <a:noFill/>
        <a:ln w="381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34637</xdr:colOff>
      <xdr:row>2</xdr:row>
      <xdr:rowOff>8660</xdr:rowOff>
    </xdr:from>
    <xdr:to>
      <xdr:col>1</xdr:col>
      <xdr:colOff>8659</xdr:colOff>
      <xdr:row>2</xdr:row>
      <xdr:rowOff>277091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DB59B6E9-1F8A-BA1A-3470-33E01114495E}"/>
            </a:ext>
          </a:extLst>
        </xdr:cNvPr>
        <xdr:cNvSpPr/>
      </xdr:nvSpPr>
      <xdr:spPr>
        <a:xfrm>
          <a:off x="34637" y="381001"/>
          <a:ext cx="1229590" cy="268431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Month</a:t>
          </a:r>
          <a:r>
            <a:rPr lang="en-US" sz="1200" b="1" baseline="0">
              <a:solidFill>
                <a:schemeClr val="bg1"/>
              </a:solidFill>
            </a:rPr>
            <a:t> List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294410</xdr:colOff>
      <xdr:row>1</xdr:row>
      <xdr:rowOff>64944</xdr:rowOff>
    </xdr:from>
    <xdr:to>
      <xdr:col>2</xdr:col>
      <xdr:colOff>813086</xdr:colOff>
      <xdr:row>4</xdr:row>
      <xdr:rowOff>363754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B43EF496-E065-CE64-BF85-33A8DBFD5867}"/>
            </a:ext>
          </a:extLst>
        </xdr:cNvPr>
        <xdr:cNvSpPr/>
      </xdr:nvSpPr>
      <xdr:spPr>
        <a:xfrm>
          <a:off x="1697183" y="350694"/>
          <a:ext cx="1739608" cy="91360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709178</xdr:colOff>
      <xdr:row>3</xdr:row>
      <xdr:rowOff>33632</xdr:rowOff>
    </xdr:from>
    <xdr:to>
      <xdr:col>2</xdr:col>
      <xdr:colOff>398318</xdr:colOff>
      <xdr:row>4</xdr:row>
      <xdr:rowOff>264252</xdr:rowOff>
    </xdr:to>
    <xdr:sp macro="" textlink="B4">
      <xdr:nvSpPr>
        <xdr:cNvPr id="32" name="TextBox 31">
          <a:extLst>
            <a:ext uri="{FF2B5EF4-FFF2-40B4-BE49-F238E27FC236}">
              <a16:creationId xmlns:a16="http://schemas.microsoft.com/office/drawing/2014/main" id="{F9A8DAE9-DF1B-8B28-2CAF-AE8A237A0EDB}"/>
            </a:ext>
          </a:extLst>
        </xdr:cNvPr>
        <xdr:cNvSpPr txBox="1"/>
      </xdr:nvSpPr>
      <xdr:spPr>
        <a:xfrm>
          <a:off x="1964746" y="691723"/>
          <a:ext cx="910072" cy="473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DDA0A820-6288-4F66-946F-91697AA8F404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35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397451</xdr:colOff>
      <xdr:row>2</xdr:row>
      <xdr:rowOff>55907</xdr:rowOff>
    </xdr:from>
    <xdr:to>
      <xdr:col>2</xdr:col>
      <xdr:colOff>710045</xdr:colOff>
      <xdr:row>3</xdr:row>
      <xdr:rowOff>47249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D255C729-5B8E-3F55-5D84-E0ED9F312F62}"/>
            </a:ext>
          </a:extLst>
        </xdr:cNvPr>
        <xdr:cNvSpPr/>
      </xdr:nvSpPr>
      <xdr:spPr>
        <a:xfrm>
          <a:off x="1800224" y="428248"/>
          <a:ext cx="1533526" cy="277092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picker with Error</a:t>
          </a:r>
        </a:p>
      </xdr:txBody>
    </xdr:sp>
    <xdr:clientData/>
  </xdr:twoCellAnchor>
  <xdr:twoCellAnchor>
    <xdr:from>
      <xdr:col>6</xdr:col>
      <xdr:colOff>1309332</xdr:colOff>
      <xdr:row>1</xdr:row>
      <xdr:rowOff>74468</xdr:rowOff>
    </xdr:from>
    <xdr:to>
      <xdr:col>7</xdr:col>
      <xdr:colOff>1274541</xdr:colOff>
      <xdr:row>4</xdr:row>
      <xdr:rowOff>354230</xdr:rowOff>
    </xdr:to>
    <xdr:sp macro="" textlink="">
      <xdr:nvSpPr>
        <xdr:cNvPr id="35" name="Rectangle: Rounded Corners 34">
          <a:extLst>
            <a:ext uri="{FF2B5EF4-FFF2-40B4-BE49-F238E27FC236}">
              <a16:creationId xmlns:a16="http://schemas.microsoft.com/office/drawing/2014/main" id="{90EA647F-17A9-AB9E-C546-578F7E951E79}"/>
            </a:ext>
          </a:extLst>
        </xdr:cNvPr>
        <xdr:cNvSpPr/>
      </xdr:nvSpPr>
      <xdr:spPr>
        <a:xfrm>
          <a:off x="9232400" y="360218"/>
          <a:ext cx="1731664" cy="89455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806237</xdr:colOff>
      <xdr:row>1</xdr:row>
      <xdr:rowOff>73674</xdr:rowOff>
    </xdr:from>
    <xdr:to>
      <xdr:col>6</xdr:col>
      <xdr:colOff>1187087</xdr:colOff>
      <xdr:row>4</xdr:row>
      <xdr:rowOff>355024</xdr:rowOff>
    </xdr:to>
    <xdr:sp macro="" textlink="">
      <xdr:nvSpPr>
        <xdr:cNvPr id="36" name="Rectangle: Rounded Corners 35">
          <a:extLst>
            <a:ext uri="{FF2B5EF4-FFF2-40B4-BE49-F238E27FC236}">
              <a16:creationId xmlns:a16="http://schemas.microsoft.com/office/drawing/2014/main" id="{ECA3BC48-E210-33A9-F9C5-B5273B3FFC73}"/>
            </a:ext>
          </a:extLst>
        </xdr:cNvPr>
        <xdr:cNvSpPr/>
      </xdr:nvSpPr>
      <xdr:spPr>
        <a:xfrm>
          <a:off x="7525692" y="359424"/>
          <a:ext cx="1731668" cy="89614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172904</xdr:colOff>
      <xdr:row>1</xdr:row>
      <xdr:rowOff>83992</xdr:rowOff>
    </xdr:from>
    <xdr:to>
      <xdr:col>5</xdr:col>
      <xdr:colOff>577688</xdr:colOff>
      <xdr:row>4</xdr:row>
      <xdr:rowOff>344705</xdr:rowOff>
    </xdr:to>
    <xdr:sp macro="" textlink="">
      <xdr:nvSpPr>
        <xdr:cNvPr id="37" name="Rectangle: Rounded Corners 36">
          <a:extLst>
            <a:ext uri="{FF2B5EF4-FFF2-40B4-BE49-F238E27FC236}">
              <a16:creationId xmlns:a16="http://schemas.microsoft.com/office/drawing/2014/main" id="{4E46ECEE-47EE-3E24-CF3A-DAEBA84A6B4A}"/>
            </a:ext>
          </a:extLst>
        </xdr:cNvPr>
        <xdr:cNvSpPr/>
      </xdr:nvSpPr>
      <xdr:spPr>
        <a:xfrm>
          <a:off x="5411654" y="369742"/>
          <a:ext cx="1738284" cy="875508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1541204</xdr:colOff>
      <xdr:row>2</xdr:row>
      <xdr:rowOff>79906</xdr:rowOff>
    </xdr:from>
    <xdr:to>
      <xdr:col>7</xdr:col>
      <xdr:colOff>1042669</xdr:colOff>
      <xdr:row>3</xdr:row>
      <xdr:rowOff>23250</xdr:rowOff>
    </xdr:to>
    <xdr:sp macro="" textlink="">
      <xdr:nvSpPr>
        <xdr:cNvPr id="38" name="Rectangle: Rounded Corners 37">
          <a:extLst>
            <a:ext uri="{FF2B5EF4-FFF2-40B4-BE49-F238E27FC236}">
              <a16:creationId xmlns:a16="http://schemas.microsoft.com/office/drawing/2014/main" id="{F6E1CA8F-3BEB-0B51-B158-509F90C02909}"/>
            </a:ext>
          </a:extLst>
        </xdr:cNvPr>
        <xdr:cNvSpPr/>
      </xdr:nvSpPr>
      <xdr:spPr>
        <a:xfrm>
          <a:off x="9464272" y="452247"/>
          <a:ext cx="1267920" cy="229094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</a:rPr>
            <a:t>Total Qyt Affected </a:t>
          </a:r>
        </a:p>
      </xdr:txBody>
    </xdr:sp>
    <xdr:clientData/>
  </xdr:twoCellAnchor>
  <xdr:twoCellAnchor>
    <xdr:from>
      <xdr:col>4</xdr:col>
      <xdr:colOff>343615</xdr:colOff>
      <xdr:row>3</xdr:row>
      <xdr:rowOff>27282</xdr:rowOff>
    </xdr:from>
    <xdr:to>
      <xdr:col>5</xdr:col>
      <xdr:colOff>406977</xdr:colOff>
      <xdr:row>4</xdr:row>
      <xdr:rowOff>270603</xdr:rowOff>
    </xdr:to>
    <xdr:sp macro="" textlink="E4">
      <xdr:nvSpPr>
        <xdr:cNvPr id="42" name="TextBox 41">
          <a:extLst>
            <a:ext uri="{FF2B5EF4-FFF2-40B4-BE49-F238E27FC236}">
              <a16:creationId xmlns:a16="http://schemas.microsoft.com/office/drawing/2014/main" id="{9D532833-3D57-8B31-F6A6-2CFF606AF85D}"/>
            </a:ext>
          </a:extLst>
        </xdr:cNvPr>
        <xdr:cNvSpPr txBox="1"/>
      </xdr:nvSpPr>
      <xdr:spPr>
        <a:xfrm>
          <a:off x="5729570" y="685373"/>
          <a:ext cx="1396862" cy="4857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6B6A7200-81B2-47F1-8B16-1EA94F8D65E3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44</a:t>
          </a:fld>
          <a:endParaRPr lang="en-US" sz="44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1118756</xdr:colOff>
      <xdr:row>3</xdr:row>
      <xdr:rowOff>27282</xdr:rowOff>
    </xdr:from>
    <xdr:to>
      <xdr:col>6</xdr:col>
      <xdr:colOff>874568</xdr:colOff>
      <xdr:row>4</xdr:row>
      <xdr:rowOff>270603</xdr:rowOff>
    </xdr:to>
    <xdr:sp macro="" textlink="F4">
      <xdr:nvSpPr>
        <xdr:cNvPr id="44" name="TextBox 43">
          <a:extLst>
            <a:ext uri="{FF2B5EF4-FFF2-40B4-BE49-F238E27FC236}">
              <a16:creationId xmlns:a16="http://schemas.microsoft.com/office/drawing/2014/main" id="{C2209A60-25D3-29E4-022A-EDF0DEA251FC}"/>
            </a:ext>
          </a:extLst>
        </xdr:cNvPr>
        <xdr:cNvSpPr txBox="1"/>
      </xdr:nvSpPr>
      <xdr:spPr>
        <a:xfrm>
          <a:off x="7838211" y="685373"/>
          <a:ext cx="1106630" cy="4857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CDB02EA-D59C-41EF-A221-A48A87B0B80D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21</a:t>
          </a:fld>
          <a:endParaRPr lang="en-US" sz="44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1753587</xdr:colOff>
      <xdr:row>3</xdr:row>
      <xdr:rowOff>37825</xdr:rowOff>
    </xdr:from>
    <xdr:to>
      <xdr:col>7</xdr:col>
      <xdr:colOff>830286</xdr:colOff>
      <xdr:row>4</xdr:row>
      <xdr:rowOff>260060</xdr:rowOff>
    </xdr:to>
    <xdr:sp macro="" textlink="G4">
      <xdr:nvSpPr>
        <xdr:cNvPr id="45" name="TextBox 44">
          <a:extLst>
            <a:ext uri="{FF2B5EF4-FFF2-40B4-BE49-F238E27FC236}">
              <a16:creationId xmlns:a16="http://schemas.microsoft.com/office/drawing/2014/main" id="{B03789A2-F229-A7A9-EB27-B6CFCC79272B}"/>
            </a:ext>
          </a:extLst>
        </xdr:cNvPr>
        <xdr:cNvSpPr txBox="1"/>
      </xdr:nvSpPr>
      <xdr:spPr>
        <a:xfrm>
          <a:off x="9676655" y="695916"/>
          <a:ext cx="843154" cy="464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261065DF-270F-4A1C-B289-F096D2F38E20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726</a:t>
          </a:fld>
          <a:endParaRPr lang="en-US" sz="44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286400</xdr:colOff>
      <xdr:row>2</xdr:row>
      <xdr:rowOff>78927</xdr:rowOff>
    </xdr:from>
    <xdr:to>
      <xdr:col>5</xdr:col>
      <xdr:colOff>464192</xdr:colOff>
      <xdr:row>3</xdr:row>
      <xdr:rowOff>24230</xdr:rowOff>
    </xdr:to>
    <xdr:sp macro="" textlink="">
      <xdr:nvSpPr>
        <xdr:cNvPr id="46" name="Rectangle: Rounded Corners 45">
          <a:extLst>
            <a:ext uri="{FF2B5EF4-FFF2-40B4-BE49-F238E27FC236}">
              <a16:creationId xmlns:a16="http://schemas.microsoft.com/office/drawing/2014/main" id="{C0758E5B-F7C6-0EF6-949F-5EA68CAEA284}"/>
            </a:ext>
          </a:extLst>
        </xdr:cNvPr>
        <xdr:cNvSpPr/>
      </xdr:nvSpPr>
      <xdr:spPr>
        <a:xfrm>
          <a:off x="5525150" y="451268"/>
          <a:ext cx="1511292" cy="231053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Short </a:t>
          </a:r>
          <a:r>
            <a:rPr lang="en-US" sz="1100" b="1">
              <a:solidFill>
                <a:schemeClr val="bg1"/>
              </a:solidFill>
            </a:rPr>
            <a:t>Cases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5</xdr:col>
      <xdr:colOff>944590</xdr:colOff>
      <xdr:row>2</xdr:row>
      <xdr:rowOff>63413</xdr:rowOff>
    </xdr:from>
    <xdr:to>
      <xdr:col>6</xdr:col>
      <xdr:colOff>1048734</xdr:colOff>
      <xdr:row>3</xdr:row>
      <xdr:rowOff>39744</xdr:rowOff>
    </xdr:to>
    <xdr:sp macro="" textlink="">
      <xdr:nvSpPr>
        <xdr:cNvPr id="47" name="Rectangle: Rounded Corners 46">
          <a:extLst>
            <a:ext uri="{FF2B5EF4-FFF2-40B4-BE49-F238E27FC236}">
              <a16:creationId xmlns:a16="http://schemas.microsoft.com/office/drawing/2014/main" id="{FACA2FCC-AD60-8082-C87B-2869CBEAC948}"/>
            </a:ext>
          </a:extLst>
        </xdr:cNvPr>
        <xdr:cNvSpPr/>
      </xdr:nvSpPr>
      <xdr:spPr>
        <a:xfrm>
          <a:off x="7516840" y="435754"/>
          <a:ext cx="1454962" cy="262081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Excess Cases Found</a:t>
          </a:r>
        </a:p>
      </xdr:txBody>
    </xdr:sp>
    <xdr:clientData/>
  </xdr:twoCellAnchor>
  <xdr:twoCellAnchor>
    <xdr:from>
      <xdr:col>2</xdr:col>
      <xdr:colOff>1004454</xdr:colOff>
      <xdr:row>1</xdr:row>
      <xdr:rowOff>64943</xdr:rowOff>
    </xdr:from>
    <xdr:to>
      <xdr:col>3</xdr:col>
      <xdr:colOff>1384585</xdr:colOff>
      <xdr:row>4</xdr:row>
      <xdr:rowOff>363755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59D495FD-A9B8-588E-1BB7-09864E6E3F69}"/>
            </a:ext>
          </a:extLst>
        </xdr:cNvPr>
        <xdr:cNvSpPr/>
      </xdr:nvSpPr>
      <xdr:spPr>
        <a:xfrm>
          <a:off x="3480954" y="350693"/>
          <a:ext cx="1739608" cy="91360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1220062</xdr:colOff>
      <xdr:row>3</xdr:row>
      <xdr:rowOff>33631</xdr:rowOff>
    </xdr:from>
    <xdr:to>
      <xdr:col>3</xdr:col>
      <xdr:colOff>1168977</xdr:colOff>
      <xdr:row>4</xdr:row>
      <xdr:rowOff>264253</xdr:rowOff>
    </xdr:to>
    <xdr:sp macro="" textlink="D4">
      <xdr:nvSpPr>
        <xdr:cNvPr id="49" name="TextBox 48">
          <a:extLst>
            <a:ext uri="{FF2B5EF4-FFF2-40B4-BE49-F238E27FC236}">
              <a16:creationId xmlns:a16="http://schemas.microsoft.com/office/drawing/2014/main" id="{797F9EE0-6ECA-F621-078B-AE3EF7B53A59}"/>
            </a:ext>
          </a:extLst>
        </xdr:cNvPr>
        <xdr:cNvSpPr txBox="1"/>
      </xdr:nvSpPr>
      <xdr:spPr>
        <a:xfrm>
          <a:off x="3843767" y="691722"/>
          <a:ext cx="1308392" cy="4730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A318499-4F14-4C89-8D25-8A97B82CEB86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65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1128179</xdr:colOff>
      <xdr:row>2</xdr:row>
      <xdr:rowOff>59083</xdr:rowOff>
    </xdr:from>
    <xdr:to>
      <xdr:col>3</xdr:col>
      <xdr:colOff>1260860</xdr:colOff>
      <xdr:row>3</xdr:row>
      <xdr:rowOff>44073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0318EB16-881E-A1BC-7E8C-C71801D6393B}"/>
            </a:ext>
          </a:extLst>
        </xdr:cNvPr>
        <xdr:cNvSpPr/>
      </xdr:nvSpPr>
      <xdr:spPr>
        <a:xfrm>
          <a:off x="3604679" y="431424"/>
          <a:ext cx="1492158" cy="270740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Error Cases  Found</a:t>
          </a:r>
        </a:p>
      </xdr:txBody>
    </xdr:sp>
    <xdr:clientData/>
  </xdr:twoCellAnchor>
  <xdr:twoCellAnchor>
    <xdr:from>
      <xdr:col>0</xdr:col>
      <xdr:colOff>1350818</xdr:colOff>
      <xdr:row>3</xdr:row>
      <xdr:rowOff>69273</xdr:rowOff>
    </xdr:from>
    <xdr:to>
      <xdr:col>1</xdr:col>
      <xdr:colOff>147205</xdr:colOff>
      <xdr:row>3</xdr:row>
      <xdr:rowOff>199159</xdr:rowOff>
    </xdr:to>
    <xdr:sp macro="" textlink="">
      <xdr:nvSpPr>
        <xdr:cNvPr id="2" name="Flowchart: Merge 1">
          <a:extLst>
            <a:ext uri="{FF2B5EF4-FFF2-40B4-BE49-F238E27FC236}">
              <a16:creationId xmlns:a16="http://schemas.microsoft.com/office/drawing/2014/main" id="{4034B205-A1A5-4838-B76D-B31DF6F1F109}"/>
            </a:ext>
          </a:extLst>
        </xdr:cNvPr>
        <xdr:cNvSpPr/>
      </xdr:nvSpPr>
      <xdr:spPr>
        <a:xfrm>
          <a:off x="1350818" y="727364"/>
          <a:ext cx="199160" cy="129886"/>
        </a:xfrm>
        <a:prstGeom prst="flowChartMerg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1512310</xdr:colOff>
      <xdr:row>15</xdr:row>
      <xdr:rowOff>37235</xdr:rowOff>
    </xdr:from>
    <xdr:to>
      <xdr:col>2</xdr:col>
      <xdr:colOff>486211</xdr:colOff>
      <xdr:row>16</xdr:row>
      <xdr:rowOff>77932</xdr:rowOff>
    </xdr:to>
    <xdr:sp macro="" textlink="#REF!">
      <xdr:nvSpPr>
        <xdr:cNvPr id="8" name="TextBox 7">
          <a:extLst>
            <a:ext uri="{FF2B5EF4-FFF2-40B4-BE49-F238E27FC236}">
              <a16:creationId xmlns:a16="http://schemas.microsoft.com/office/drawing/2014/main" id="{A054AF74-4EF9-41B3-A02A-41A37D091CCE}"/>
            </a:ext>
          </a:extLst>
        </xdr:cNvPr>
        <xdr:cNvSpPr txBox="1"/>
      </xdr:nvSpPr>
      <xdr:spPr>
        <a:xfrm>
          <a:off x="2769610" y="4352060"/>
          <a:ext cx="745551" cy="35502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D544B36-F5C9-40F6-A1E3-C5721858E10F}" type="TxLink">
            <a:rPr lang="en-US" sz="2800" b="1" i="0" u="none" strike="noStrike" kern="1200">
              <a:solidFill>
                <a:srgbClr val="000000"/>
              </a:solidFill>
              <a:latin typeface="Aptos Narrow"/>
            </a:rPr>
            <a:pPr algn="ctr"/>
            <a:t> </a:t>
          </a:fld>
          <a:endParaRPr lang="en-US" sz="16600" b="1" kern="1200">
            <a:solidFill>
              <a:sysClr val="windowText" lastClr="000000"/>
            </a:solidFill>
            <a:latin typeface="+mj-lt"/>
          </a:endParaRPr>
        </a:p>
      </xdr:txBody>
    </xdr:sp>
    <xdr:clientData/>
  </xdr:twoCellAnchor>
  <xdr:twoCellAnchor>
    <xdr:from>
      <xdr:col>5</xdr:col>
      <xdr:colOff>1569460</xdr:colOff>
      <xdr:row>15</xdr:row>
      <xdr:rowOff>27710</xdr:rowOff>
    </xdr:from>
    <xdr:to>
      <xdr:col>6</xdr:col>
      <xdr:colOff>610036</xdr:colOff>
      <xdr:row>16</xdr:row>
      <xdr:rowOff>68407</xdr:rowOff>
    </xdr:to>
    <xdr:sp macro="" textlink="#REF!">
      <xdr:nvSpPr>
        <xdr:cNvPr id="14" name="TextBox 13">
          <a:extLst>
            <a:ext uri="{FF2B5EF4-FFF2-40B4-BE49-F238E27FC236}">
              <a16:creationId xmlns:a16="http://schemas.microsoft.com/office/drawing/2014/main" id="{951A890B-BD55-EE07-74D9-2AD03DA36DDF}"/>
            </a:ext>
          </a:extLst>
        </xdr:cNvPr>
        <xdr:cNvSpPr txBox="1"/>
      </xdr:nvSpPr>
      <xdr:spPr>
        <a:xfrm>
          <a:off x="8913235" y="4342535"/>
          <a:ext cx="745551" cy="35502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96DDCD9-C4AC-4B41-A7FD-4EA3F64D8E4D}" type="TxLink">
            <a:rPr lang="en-US" sz="2800" b="1" i="0" u="none" strike="noStrike" kern="1200">
              <a:solidFill>
                <a:srgbClr val="000000"/>
              </a:solidFill>
              <a:latin typeface="Aptos Narrow"/>
            </a:rPr>
            <a:pPr algn="ctr"/>
            <a:t> </a:t>
          </a:fld>
          <a:endParaRPr lang="en-US" sz="333300" b="1" kern="1200">
            <a:solidFill>
              <a:sysClr val="windowText" lastClr="000000"/>
            </a:solidFill>
            <a:latin typeface="+mj-lt"/>
          </a:endParaRPr>
        </a:p>
      </xdr:txBody>
    </xdr:sp>
    <xdr:clientData/>
  </xdr:twoCellAnchor>
  <xdr:twoCellAnchor>
    <xdr:from>
      <xdr:col>6</xdr:col>
      <xdr:colOff>428625</xdr:colOff>
      <xdr:row>1</xdr:row>
      <xdr:rowOff>104669</xdr:rowOff>
    </xdr:from>
    <xdr:to>
      <xdr:col>7</xdr:col>
      <xdr:colOff>419102</xdr:colOff>
      <xdr:row>4</xdr:row>
      <xdr:rowOff>208650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76EC39D1-DD91-4BCF-AB8E-EC49CCE7A07F}"/>
            </a:ext>
          </a:extLst>
        </xdr:cNvPr>
        <xdr:cNvSpPr/>
      </xdr:nvSpPr>
      <xdr:spPr>
        <a:xfrm>
          <a:off x="9563100" y="418994"/>
          <a:ext cx="1924052" cy="951706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1117124</xdr:colOff>
      <xdr:row>1</xdr:row>
      <xdr:rowOff>106082</xdr:rowOff>
    </xdr:from>
    <xdr:to>
      <xdr:col>5</xdr:col>
      <xdr:colOff>1585212</xdr:colOff>
      <xdr:row>4</xdr:row>
      <xdr:rowOff>207238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0F20A333-738F-4954-84E6-35D26E547B51}"/>
            </a:ext>
          </a:extLst>
        </xdr:cNvPr>
        <xdr:cNvSpPr/>
      </xdr:nvSpPr>
      <xdr:spPr>
        <a:xfrm>
          <a:off x="6936899" y="420407"/>
          <a:ext cx="2077813" cy="948881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1338083</xdr:colOff>
      <xdr:row>1</xdr:row>
      <xdr:rowOff>74193</xdr:rowOff>
    </xdr:from>
    <xdr:to>
      <xdr:col>4</xdr:col>
      <xdr:colOff>530509</xdr:colOff>
      <xdr:row>4</xdr:row>
      <xdr:rowOff>239127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A4842AD5-9FFB-46CF-A6B9-BC72502A2DA0}"/>
            </a:ext>
          </a:extLst>
        </xdr:cNvPr>
        <xdr:cNvSpPr/>
      </xdr:nvSpPr>
      <xdr:spPr>
        <a:xfrm>
          <a:off x="4262258" y="388518"/>
          <a:ext cx="2088026" cy="1012659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613230</xdr:colOff>
      <xdr:row>2</xdr:row>
      <xdr:rowOff>40467</xdr:rowOff>
    </xdr:from>
    <xdr:to>
      <xdr:col>7</xdr:col>
      <xdr:colOff>200025</xdr:colOff>
      <xdr:row>2</xdr:row>
      <xdr:rowOff>269560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C001B7F6-E4F6-4B6E-B279-577AE154BB1E}"/>
            </a:ext>
          </a:extLst>
        </xdr:cNvPr>
        <xdr:cNvSpPr/>
      </xdr:nvSpPr>
      <xdr:spPr>
        <a:xfrm>
          <a:off x="9747705" y="507192"/>
          <a:ext cx="1520370" cy="229093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</a:rPr>
            <a:t>Total Qyt Affected </a:t>
          </a:r>
        </a:p>
      </xdr:txBody>
    </xdr:sp>
    <xdr:clientData/>
  </xdr:twoCellAnchor>
  <xdr:twoCellAnchor>
    <xdr:from>
      <xdr:col>3</xdr:col>
      <xdr:colOff>444857</xdr:colOff>
      <xdr:row>2</xdr:row>
      <xdr:rowOff>326364</xdr:rowOff>
    </xdr:from>
    <xdr:to>
      <xdr:col>3</xdr:col>
      <xdr:colOff>1326697</xdr:colOff>
      <xdr:row>4</xdr:row>
      <xdr:rowOff>116813</xdr:rowOff>
    </xdr:to>
    <xdr:sp macro="" textlink="D4">
      <xdr:nvSpPr>
        <xdr:cNvPr id="12" name="TextBox 11">
          <a:extLst>
            <a:ext uri="{FF2B5EF4-FFF2-40B4-BE49-F238E27FC236}">
              <a16:creationId xmlns:a16="http://schemas.microsoft.com/office/drawing/2014/main" id="{E2C2B642-A67B-4349-B32E-8D065BEAB25E}"/>
            </a:ext>
          </a:extLst>
        </xdr:cNvPr>
        <xdr:cNvSpPr txBox="1"/>
      </xdr:nvSpPr>
      <xdr:spPr>
        <a:xfrm>
          <a:off x="4883507" y="793089"/>
          <a:ext cx="881840" cy="4857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83C90132-C95A-4E65-98FE-214636721E5D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27</a:t>
          </a:fld>
          <a:endParaRPr lang="en-US" sz="48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1555500</xdr:colOff>
      <xdr:row>2</xdr:row>
      <xdr:rowOff>326364</xdr:rowOff>
    </xdr:from>
    <xdr:to>
      <xdr:col>5</xdr:col>
      <xdr:colOff>1004412</xdr:colOff>
      <xdr:row>4</xdr:row>
      <xdr:rowOff>116813</xdr:rowOff>
    </xdr:to>
    <xdr:sp macro="" textlink="E4">
      <xdr:nvSpPr>
        <xdr:cNvPr id="13" name="TextBox 12">
          <a:extLst>
            <a:ext uri="{FF2B5EF4-FFF2-40B4-BE49-F238E27FC236}">
              <a16:creationId xmlns:a16="http://schemas.microsoft.com/office/drawing/2014/main" id="{C99FD50F-54CF-49D7-AD46-093F5AEA97B4}"/>
            </a:ext>
          </a:extLst>
        </xdr:cNvPr>
        <xdr:cNvSpPr txBox="1"/>
      </xdr:nvSpPr>
      <xdr:spPr>
        <a:xfrm>
          <a:off x="7375275" y="793089"/>
          <a:ext cx="1058637" cy="4857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D9DB0C66-1815-45C2-B685-2636D7802620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21</a:t>
          </a:fld>
          <a:endParaRPr lang="en-US" sz="48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889208</xdr:colOff>
      <xdr:row>2</xdr:row>
      <xdr:rowOff>336906</xdr:rowOff>
    </xdr:from>
    <xdr:to>
      <xdr:col>6</xdr:col>
      <xdr:colOff>1900238</xdr:colOff>
      <xdr:row>4</xdr:row>
      <xdr:rowOff>106271</xdr:rowOff>
    </xdr:to>
    <xdr:sp macro="" textlink="F4">
      <xdr:nvSpPr>
        <xdr:cNvPr id="18" name="TextBox 17">
          <a:extLst>
            <a:ext uri="{FF2B5EF4-FFF2-40B4-BE49-F238E27FC236}">
              <a16:creationId xmlns:a16="http://schemas.microsoft.com/office/drawing/2014/main" id="{950AA5B7-F727-4ACE-BAF3-C0EC1E4CBEB1}"/>
            </a:ext>
          </a:extLst>
        </xdr:cNvPr>
        <xdr:cNvSpPr txBox="1"/>
      </xdr:nvSpPr>
      <xdr:spPr>
        <a:xfrm>
          <a:off x="10023683" y="803631"/>
          <a:ext cx="1011030" cy="4646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C47B33D0-9997-4229-B5C4-A08FD61914F9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571</a:t>
          </a:fld>
          <a:endParaRPr lang="en-US" sz="48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1483702</xdr:colOff>
      <xdr:row>2</xdr:row>
      <xdr:rowOff>16191</xdr:rowOff>
    </xdr:from>
    <xdr:to>
      <xdr:col>4</xdr:col>
      <xdr:colOff>403940</xdr:colOff>
      <xdr:row>2</xdr:row>
      <xdr:rowOff>293835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7EE88321-E696-4AED-87E3-21C0BD4B737F}"/>
            </a:ext>
          </a:extLst>
        </xdr:cNvPr>
        <xdr:cNvSpPr/>
      </xdr:nvSpPr>
      <xdr:spPr>
        <a:xfrm>
          <a:off x="4407877" y="482916"/>
          <a:ext cx="1815838" cy="277644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Short </a:t>
          </a:r>
          <a:r>
            <a:rPr lang="en-US" sz="1100" b="1">
              <a:solidFill>
                <a:schemeClr val="bg1"/>
              </a:solidFill>
            </a:rPr>
            <a:t>Cases</a:t>
          </a:r>
          <a:r>
            <a:rPr lang="en-US" sz="1200" b="1">
              <a:solidFill>
                <a:schemeClr val="bg1"/>
              </a:solidFill>
            </a:rPr>
            <a:t> Found</a:t>
          </a:r>
        </a:p>
      </xdr:txBody>
    </xdr:sp>
    <xdr:clientData/>
  </xdr:twoCellAnchor>
  <xdr:twoCellAnchor>
    <xdr:from>
      <xdr:col>4</xdr:col>
      <xdr:colOff>1266351</xdr:colOff>
      <xdr:row>2</xdr:row>
      <xdr:rowOff>23508</xdr:rowOff>
    </xdr:from>
    <xdr:to>
      <xdr:col>5</xdr:col>
      <xdr:colOff>1404002</xdr:colOff>
      <xdr:row>2</xdr:row>
      <xdr:rowOff>286518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F9E4E17A-2961-4703-B41C-FCD21419C8E7}"/>
            </a:ext>
          </a:extLst>
        </xdr:cNvPr>
        <xdr:cNvSpPr/>
      </xdr:nvSpPr>
      <xdr:spPr>
        <a:xfrm>
          <a:off x="7086126" y="490233"/>
          <a:ext cx="1747376" cy="263010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Excess Cases Found</a:t>
          </a:r>
        </a:p>
      </xdr:txBody>
    </xdr:sp>
    <xdr:clientData/>
  </xdr:twoCellAnchor>
  <xdr:twoCellAnchor>
    <xdr:from>
      <xdr:col>1</xdr:col>
      <xdr:colOff>441729</xdr:colOff>
      <xdr:row>1</xdr:row>
      <xdr:rowOff>87008</xdr:rowOff>
    </xdr:from>
    <xdr:to>
      <xdr:col>2</xdr:col>
      <xdr:colOff>860828</xdr:colOff>
      <xdr:row>4</xdr:row>
      <xdr:rowOff>226312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232793DA-4848-4FD6-9833-7592A7CF65BC}"/>
            </a:ext>
          </a:extLst>
        </xdr:cNvPr>
        <xdr:cNvSpPr/>
      </xdr:nvSpPr>
      <xdr:spPr>
        <a:xfrm>
          <a:off x="1699029" y="401333"/>
          <a:ext cx="2085974" cy="987029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1026326</xdr:colOff>
      <xdr:row>2</xdr:row>
      <xdr:rowOff>313731</xdr:rowOff>
    </xdr:from>
    <xdr:to>
      <xdr:col>2</xdr:col>
      <xdr:colOff>264325</xdr:colOff>
      <xdr:row>4</xdr:row>
      <xdr:rowOff>129447</xdr:rowOff>
    </xdr:to>
    <xdr:sp macro="" textlink="B4">
      <xdr:nvSpPr>
        <xdr:cNvPr id="26" name="TextBox 25">
          <a:extLst>
            <a:ext uri="{FF2B5EF4-FFF2-40B4-BE49-F238E27FC236}">
              <a16:creationId xmlns:a16="http://schemas.microsoft.com/office/drawing/2014/main" id="{E0944747-A7DD-4B70-AAB2-05A0E197F571}"/>
            </a:ext>
          </a:extLst>
        </xdr:cNvPr>
        <xdr:cNvSpPr txBox="1"/>
      </xdr:nvSpPr>
      <xdr:spPr>
        <a:xfrm>
          <a:off x="2283626" y="780456"/>
          <a:ext cx="904874" cy="5110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004FC2C-B4F6-4113-BBC0-531DC1741954}" type="TxLink">
            <a:rPr lang="en-US" sz="3200" b="1" i="0" u="none" strike="noStrike">
              <a:solidFill>
                <a:srgbClr val="275317"/>
              </a:solidFill>
              <a:latin typeface="Aptos Narrow"/>
            </a:rPr>
            <a:pPr algn="ctr"/>
            <a:t>48</a:t>
          </a:fld>
          <a:endParaRPr lang="en-US" sz="2400"/>
        </a:p>
      </xdr:txBody>
    </xdr:sp>
    <xdr:clientData/>
  </xdr:twoCellAnchor>
  <xdr:twoCellAnchor>
    <xdr:from>
      <xdr:col>1</xdr:col>
      <xdr:colOff>590088</xdr:colOff>
      <xdr:row>2</xdr:row>
      <xdr:rowOff>8711</xdr:rowOff>
    </xdr:from>
    <xdr:to>
      <xdr:col>2</xdr:col>
      <xdr:colOff>712470</xdr:colOff>
      <xdr:row>2</xdr:row>
      <xdr:rowOff>301316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5DE61742-7EB1-41AB-A88E-94AFDA947F75}"/>
            </a:ext>
          </a:extLst>
        </xdr:cNvPr>
        <xdr:cNvSpPr/>
      </xdr:nvSpPr>
      <xdr:spPr>
        <a:xfrm>
          <a:off x="1847388" y="475436"/>
          <a:ext cx="1789257" cy="292605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Error Cases  Found</a:t>
          </a:r>
        </a:p>
      </xdr:txBody>
    </xdr:sp>
    <xdr:clientData/>
  </xdr:twoCellAnchor>
  <xdr:twoCellAnchor>
    <xdr:from>
      <xdr:col>0</xdr:col>
      <xdr:colOff>73025</xdr:colOff>
      <xdr:row>2</xdr:row>
      <xdr:rowOff>0</xdr:rowOff>
    </xdr:from>
    <xdr:to>
      <xdr:col>1</xdr:col>
      <xdr:colOff>47625</xdr:colOff>
      <xdr:row>2</xdr:row>
      <xdr:rowOff>304800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800FC16A-A659-4F75-B765-F77B37FC0DC1}"/>
            </a:ext>
          </a:extLst>
        </xdr:cNvPr>
        <xdr:cNvSpPr/>
      </xdr:nvSpPr>
      <xdr:spPr>
        <a:xfrm>
          <a:off x="73025" y="466725"/>
          <a:ext cx="1231900" cy="304800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bg1"/>
              </a:solidFill>
            </a:rPr>
            <a:t>Month</a:t>
          </a:r>
        </a:p>
      </xdr:txBody>
    </xdr:sp>
    <xdr:clientData/>
  </xdr:twoCellAnchor>
  <xdr:twoCellAnchor>
    <xdr:from>
      <xdr:col>1</xdr:col>
      <xdr:colOff>104775</xdr:colOff>
      <xdr:row>3</xdr:row>
      <xdr:rowOff>142875</xdr:rowOff>
    </xdr:from>
    <xdr:to>
      <xdr:col>1</xdr:col>
      <xdr:colOff>261937</xdr:colOff>
      <xdr:row>3</xdr:row>
      <xdr:rowOff>230187</xdr:rowOff>
    </xdr:to>
    <xdr:sp macro="" textlink="">
      <xdr:nvSpPr>
        <xdr:cNvPr id="29" name="Flowchart: Merge 28">
          <a:extLst>
            <a:ext uri="{FF2B5EF4-FFF2-40B4-BE49-F238E27FC236}">
              <a16:creationId xmlns:a16="http://schemas.microsoft.com/office/drawing/2014/main" id="{2C061F34-A2E9-45C6-80DC-18F86C29C38D}"/>
            </a:ext>
          </a:extLst>
        </xdr:cNvPr>
        <xdr:cNvSpPr/>
      </xdr:nvSpPr>
      <xdr:spPr>
        <a:xfrm>
          <a:off x="1362075" y="971550"/>
          <a:ext cx="157162" cy="87312"/>
        </a:xfrm>
        <a:prstGeom prst="flowChartMerg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1</xdr:row>
      <xdr:rowOff>105172</xdr:rowOff>
    </xdr:from>
    <xdr:to>
      <xdr:col>4</xdr:col>
      <xdr:colOff>2247899</xdr:colOff>
      <xdr:row>4</xdr:row>
      <xdr:rowOff>105172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335249F6-36A8-42DF-8A6E-10D9E3028737}"/>
            </a:ext>
          </a:extLst>
        </xdr:cNvPr>
        <xdr:cNvSpPr/>
      </xdr:nvSpPr>
      <xdr:spPr>
        <a:xfrm>
          <a:off x="10477500" y="419497"/>
          <a:ext cx="1828799" cy="933450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876300</xdr:colOff>
      <xdr:row>1</xdr:row>
      <xdr:rowOff>119460</xdr:rowOff>
    </xdr:from>
    <xdr:to>
      <xdr:col>4</xdr:col>
      <xdr:colOff>152400</xdr:colOff>
      <xdr:row>4</xdr:row>
      <xdr:rowOff>90885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7B2C315B-9E71-45B9-9228-3171636CDA8F}"/>
            </a:ext>
          </a:extLst>
        </xdr:cNvPr>
        <xdr:cNvSpPr/>
      </xdr:nvSpPr>
      <xdr:spPr>
        <a:xfrm>
          <a:off x="8420100" y="433785"/>
          <a:ext cx="1790700" cy="90487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1325562</xdr:colOff>
      <xdr:row>1</xdr:row>
      <xdr:rowOff>138906</xdr:rowOff>
    </xdr:from>
    <xdr:to>
      <xdr:col>3</xdr:col>
      <xdr:colOff>571500</xdr:colOff>
      <xdr:row>4</xdr:row>
      <xdr:rowOff>71438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7D620DC2-7BAB-4E64-ADEB-95AB63863BBC}"/>
            </a:ext>
          </a:extLst>
        </xdr:cNvPr>
        <xdr:cNvSpPr/>
      </xdr:nvSpPr>
      <xdr:spPr>
        <a:xfrm>
          <a:off x="6354762" y="453231"/>
          <a:ext cx="1760538" cy="865982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594178</xdr:colOff>
      <xdr:row>2</xdr:row>
      <xdr:rowOff>80067</xdr:rowOff>
    </xdr:from>
    <xdr:to>
      <xdr:col>4</xdr:col>
      <xdr:colOff>2038350</xdr:colOff>
      <xdr:row>2</xdr:row>
      <xdr:rowOff>309160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0B104C90-8B30-43AE-A9D2-459F443829F5}"/>
            </a:ext>
          </a:extLst>
        </xdr:cNvPr>
        <xdr:cNvSpPr/>
      </xdr:nvSpPr>
      <xdr:spPr>
        <a:xfrm>
          <a:off x="10652578" y="565842"/>
          <a:ext cx="1444172" cy="229093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</a:rPr>
            <a:t>Total Qyt Affected </a:t>
          </a:r>
        </a:p>
      </xdr:txBody>
    </xdr:sp>
    <xdr:clientData/>
  </xdr:twoCellAnchor>
  <xdr:twoCellAnchor>
    <xdr:from>
      <xdr:col>2</xdr:col>
      <xdr:colOff>1846665</xdr:colOff>
      <xdr:row>2</xdr:row>
      <xdr:rowOff>298166</xdr:rowOff>
    </xdr:from>
    <xdr:to>
      <xdr:col>3</xdr:col>
      <xdr:colOff>50397</xdr:colOff>
      <xdr:row>4</xdr:row>
      <xdr:rowOff>21940</xdr:rowOff>
    </xdr:to>
    <xdr:sp macro="" textlink="D4">
      <xdr:nvSpPr>
        <xdr:cNvPr id="18" name="TextBox 17">
          <a:extLst>
            <a:ext uri="{FF2B5EF4-FFF2-40B4-BE49-F238E27FC236}">
              <a16:creationId xmlns:a16="http://schemas.microsoft.com/office/drawing/2014/main" id="{3D2B06E5-F9C7-46F4-A059-A8AE676B2EFD}"/>
            </a:ext>
          </a:extLst>
        </xdr:cNvPr>
        <xdr:cNvSpPr txBox="1"/>
      </xdr:nvSpPr>
      <xdr:spPr>
        <a:xfrm>
          <a:off x="6875865" y="783941"/>
          <a:ext cx="718332" cy="4857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83C90132-C95A-4E65-98FE-214636721E5D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44</a:t>
          </a:fld>
          <a:endParaRPr lang="en-US" sz="48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1223478</xdr:colOff>
      <xdr:row>2</xdr:row>
      <xdr:rowOff>298166</xdr:rowOff>
    </xdr:from>
    <xdr:to>
      <xdr:col>3</xdr:col>
      <xdr:colOff>2319823</xdr:colOff>
      <xdr:row>4</xdr:row>
      <xdr:rowOff>21940</xdr:rowOff>
    </xdr:to>
    <xdr:sp macro="" textlink="E4">
      <xdr:nvSpPr>
        <xdr:cNvPr id="19" name="TextBox 18">
          <a:extLst>
            <a:ext uri="{FF2B5EF4-FFF2-40B4-BE49-F238E27FC236}">
              <a16:creationId xmlns:a16="http://schemas.microsoft.com/office/drawing/2014/main" id="{BB7D484A-0872-4FC8-8A94-34640DB723A6}"/>
            </a:ext>
          </a:extLst>
        </xdr:cNvPr>
        <xdr:cNvSpPr txBox="1"/>
      </xdr:nvSpPr>
      <xdr:spPr>
        <a:xfrm>
          <a:off x="8767278" y="783941"/>
          <a:ext cx="1096345" cy="4857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D9DB0C66-1815-45C2-B685-2636D7802620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21</a:t>
          </a:fld>
          <a:endParaRPr lang="en-US" sz="48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765382</xdr:colOff>
      <xdr:row>2</xdr:row>
      <xdr:rowOff>308708</xdr:rowOff>
    </xdr:from>
    <xdr:to>
      <xdr:col>4</xdr:col>
      <xdr:colOff>1909762</xdr:colOff>
      <xdr:row>4</xdr:row>
      <xdr:rowOff>11398</xdr:rowOff>
    </xdr:to>
    <xdr:sp macro="" textlink="E3">
      <xdr:nvSpPr>
        <xdr:cNvPr id="20" name="TextBox 19">
          <a:extLst>
            <a:ext uri="{FF2B5EF4-FFF2-40B4-BE49-F238E27FC236}">
              <a16:creationId xmlns:a16="http://schemas.microsoft.com/office/drawing/2014/main" id="{C8875875-6D13-4FB7-91A6-B35BE88DC6BE}"/>
            </a:ext>
          </a:extLst>
        </xdr:cNvPr>
        <xdr:cNvSpPr txBox="1"/>
      </xdr:nvSpPr>
      <xdr:spPr>
        <a:xfrm>
          <a:off x="10823782" y="794483"/>
          <a:ext cx="1144380" cy="4646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6942E0D-7C62-4038-9726-DC9C1C2B7FCE}" type="TxLink">
            <a:rPr lang="en-US" sz="32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726</a:t>
          </a:fld>
          <a:endParaRPr lang="en-US" sz="32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1525364</xdr:colOff>
      <xdr:row>2</xdr:row>
      <xdr:rowOff>79087</xdr:rowOff>
    </xdr:from>
    <xdr:to>
      <xdr:col>3</xdr:col>
      <xdr:colOff>371698</xdr:colOff>
      <xdr:row>2</xdr:row>
      <xdr:rowOff>310140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046C8C36-5768-456B-9596-1A5F6C9AA5FB}"/>
            </a:ext>
          </a:extLst>
        </xdr:cNvPr>
        <xdr:cNvSpPr/>
      </xdr:nvSpPr>
      <xdr:spPr>
        <a:xfrm>
          <a:off x="6554564" y="564862"/>
          <a:ext cx="1360934" cy="231053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Short </a:t>
          </a:r>
          <a:r>
            <a:rPr lang="en-US" sz="1100" b="1">
              <a:solidFill>
                <a:schemeClr val="bg1"/>
              </a:solidFill>
            </a:rPr>
            <a:t>Cases</a:t>
          </a:r>
          <a:r>
            <a:rPr lang="en-US" sz="1200" b="1">
              <a:solidFill>
                <a:schemeClr val="bg1"/>
              </a:solidFill>
            </a:rPr>
            <a:t> </a:t>
          </a:r>
        </a:p>
      </xdr:txBody>
    </xdr:sp>
    <xdr:clientData/>
  </xdr:twoCellAnchor>
  <xdr:twoCellAnchor>
    <xdr:from>
      <xdr:col>3</xdr:col>
      <xdr:colOff>969878</xdr:colOff>
      <xdr:row>2</xdr:row>
      <xdr:rowOff>63573</xdr:rowOff>
    </xdr:from>
    <xdr:to>
      <xdr:col>4</xdr:col>
      <xdr:colOff>58823</xdr:colOff>
      <xdr:row>3</xdr:row>
      <xdr:rowOff>11329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7E28C9D2-B8C3-475F-AFB9-8281B90A89B9}"/>
            </a:ext>
          </a:extLst>
        </xdr:cNvPr>
        <xdr:cNvSpPr/>
      </xdr:nvSpPr>
      <xdr:spPr>
        <a:xfrm>
          <a:off x="8513678" y="549348"/>
          <a:ext cx="1603545" cy="262081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Excess Cases </a:t>
          </a:r>
        </a:p>
      </xdr:txBody>
    </xdr:sp>
    <xdr:clientData/>
  </xdr:twoCellAnchor>
  <xdr:twoCellAnchor>
    <xdr:from>
      <xdr:col>0</xdr:col>
      <xdr:colOff>2495549</xdr:colOff>
      <xdr:row>1</xdr:row>
      <xdr:rowOff>105569</xdr:rowOff>
    </xdr:from>
    <xdr:to>
      <xdr:col>1</xdr:col>
      <xdr:colOff>1628775</xdr:colOff>
      <xdr:row>4</xdr:row>
      <xdr:rowOff>104775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355B4E28-5FDE-7D4D-D7E3-43294C6090DF}"/>
            </a:ext>
          </a:extLst>
        </xdr:cNvPr>
        <xdr:cNvSpPr/>
      </xdr:nvSpPr>
      <xdr:spPr>
        <a:xfrm>
          <a:off x="2495549" y="419894"/>
          <a:ext cx="1647826" cy="932656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281782</xdr:colOff>
      <xdr:row>2</xdr:row>
      <xdr:rowOff>256098</xdr:rowOff>
    </xdr:from>
    <xdr:to>
      <xdr:col>1</xdr:col>
      <xdr:colOff>1327943</xdr:colOff>
      <xdr:row>4</xdr:row>
      <xdr:rowOff>64009</xdr:rowOff>
    </xdr:to>
    <xdr:sp macro="" textlink="B4">
      <xdr:nvSpPr>
        <xdr:cNvPr id="25" name="TextBox 24">
          <a:extLst>
            <a:ext uri="{FF2B5EF4-FFF2-40B4-BE49-F238E27FC236}">
              <a16:creationId xmlns:a16="http://schemas.microsoft.com/office/drawing/2014/main" id="{30C0CB3D-8436-277C-14D4-FC9BAD41D3A5}"/>
            </a:ext>
          </a:extLst>
        </xdr:cNvPr>
        <xdr:cNvSpPr txBox="1"/>
      </xdr:nvSpPr>
      <xdr:spPr>
        <a:xfrm>
          <a:off x="2796382" y="741873"/>
          <a:ext cx="1046161" cy="5699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394A7BE-4905-4EE5-8499-C2B0DA05E053}" type="TxLink">
            <a:rPr lang="en-US" sz="3200" b="1" i="0" u="none" strike="noStrike">
              <a:solidFill>
                <a:srgbClr val="275317"/>
              </a:solidFill>
              <a:latin typeface="Aptos Narrow"/>
            </a:rPr>
            <a:pPr algn="ctr"/>
            <a:t>23</a:t>
          </a:fld>
          <a:endParaRPr lang="en-US" sz="2400"/>
        </a:p>
      </xdr:txBody>
    </xdr:sp>
    <xdr:clientData/>
  </xdr:twoCellAnchor>
  <xdr:twoCellAnchor>
    <xdr:from>
      <xdr:col>1</xdr:col>
      <xdr:colOff>110920</xdr:colOff>
      <xdr:row>2</xdr:row>
      <xdr:rowOff>74901</xdr:rowOff>
    </xdr:from>
    <xdr:to>
      <xdr:col>1</xdr:col>
      <xdr:colOff>1498804</xdr:colOff>
      <xdr:row>3</xdr:row>
      <xdr:rowOff>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11F3BCDA-36D8-43E8-85A9-C72D2187C97F}"/>
            </a:ext>
          </a:extLst>
        </xdr:cNvPr>
        <xdr:cNvSpPr/>
      </xdr:nvSpPr>
      <xdr:spPr>
        <a:xfrm>
          <a:off x="2625520" y="560676"/>
          <a:ext cx="1387884" cy="239424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</a:rPr>
            <a:t>Total Store with Error </a:t>
          </a:r>
        </a:p>
      </xdr:txBody>
    </xdr:sp>
    <xdr:clientData/>
  </xdr:twoCellAnchor>
  <xdr:twoCellAnchor>
    <xdr:from>
      <xdr:col>1</xdr:col>
      <xdr:colOff>1866899</xdr:colOff>
      <xdr:row>1</xdr:row>
      <xdr:rowOff>119857</xdr:rowOff>
    </xdr:from>
    <xdr:to>
      <xdr:col>2</xdr:col>
      <xdr:colOff>1076325</xdr:colOff>
      <xdr:row>4</xdr:row>
      <xdr:rowOff>90488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DC8CFE30-14C0-E861-1C14-EFE8A306329C}"/>
            </a:ext>
          </a:extLst>
        </xdr:cNvPr>
        <xdr:cNvSpPr/>
      </xdr:nvSpPr>
      <xdr:spPr>
        <a:xfrm>
          <a:off x="4381499" y="434182"/>
          <a:ext cx="1724026" cy="904081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2321494</xdr:colOff>
      <xdr:row>2</xdr:row>
      <xdr:rowOff>304516</xdr:rowOff>
    </xdr:from>
    <xdr:to>
      <xdr:col>2</xdr:col>
      <xdr:colOff>621730</xdr:colOff>
      <xdr:row>4</xdr:row>
      <xdr:rowOff>15591</xdr:rowOff>
    </xdr:to>
    <xdr:sp macro="" textlink="C4">
      <xdr:nvSpPr>
        <xdr:cNvPr id="26" name="TextBox 25">
          <a:extLst>
            <a:ext uri="{FF2B5EF4-FFF2-40B4-BE49-F238E27FC236}">
              <a16:creationId xmlns:a16="http://schemas.microsoft.com/office/drawing/2014/main" id="{11D29653-7C32-1787-65EC-83452455C176}"/>
            </a:ext>
          </a:extLst>
        </xdr:cNvPr>
        <xdr:cNvSpPr txBox="1"/>
      </xdr:nvSpPr>
      <xdr:spPr>
        <a:xfrm>
          <a:off x="4836094" y="790291"/>
          <a:ext cx="814836" cy="473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495DD24-F626-4664-9C96-F2EBA871BFDE}" type="TxLink">
            <a:rPr lang="en-US" sz="3200" b="1" i="0" u="none" strike="noStrike">
              <a:solidFill>
                <a:srgbClr val="275317"/>
              </a:solidFill>
              <a:latin typeface="Aptos Narrow"/>
            </a:rPr>
            <a:pPr algn="ctr"/>
            <a:t>65</a:t>
          </a:fld>
          <a:endParaRPr lang="en-US" sz="2400"/>
        </a:p>
      </xdr:txBody>
    </xdr:sp>
    <xdr:clientData/>
  </xdr:twoCellAnchor>
  <xdr:twoCellAnchor>
    <xdr:from>
      <xdr:col>1</xdr:col>
      <xdr:colOff>2004785</xdr:colOff>
      <xdr:row>2</xdr:row>
      <xdr:rowOff>64005</xdr:rowOff>
    </xdr:from>
    <xdr:to>
      <xdr:col>2</xdr:col>
      <xdr:colOff>938439</xdr:colOff>
      <xdr:row>3</xdr:row>
      <xdr:rowOff>10896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CC446BD7-248A-0A1E-7402-DA8647B82436}"/>
            </a:ext>
          </a:extLst>
        </xdr:cNvPr>
        <xdr:cNvSpPr/>
      </xdr:nvSpPr>
      <xdr:spPr>
        <a:xfrm>
          <a:off x="4519385" y="549780"/>
          <a:ext cx="1448254" cy="261216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Error Cases </a:t>
          </a:r>
        </a:p>
      </xdr:txBody>
    </xdr:sp>
    <xdr:clientData/>
  </xdr:twoCellAnchor>
  <xdr:twoCellAnchor>
    <xdr:from>
      <xdr:col>0</xdr:col>
      <xdr:colOff>517525</xdr:colOff>
      <xdr:row>2</xdr:row>
      <xdr:rowOff>38100</xdr:rowOff>
    </xdr:from>
    <xdr:to>
      <xdr:col>0</xdr:col>
      <xdr:colOff>2295525</xdr:colOff>
      <xdr:row>3</xdr:row>
      <xdr:rowOff>28575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5DEB9BCC-EAE5-4FB1-A34F-C3F8A87555BB}"/>
            </a:ext>
          </a:extLst>
        </xdr:cNvPr>
        <xdr:cNvSpPr/>
      </xdr:nvSpPr>
      <xdr:spPr>
        <a:xfrm>
          <a:off x="517525" y="523875"/>
          <a:ext cx="1778000" cy="304800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Month</a:t>
          </a:r>
        </a:p>
      </xdr:txBody>
    </xdr:sp>
    <xdr:clientData/>
  </xdr:twoCellAnchor>
  <xdr:twoCellAnchor>
    <xdr:from>
      <xdr:col>0</xdr:col>
      <xdr:colOff>1984375</xdr:colOff>
      <xdr:row>3</xdr:row>
      <xdr:rowOff>200025</xdr:rowOff>
    </xdr:from>
    <xdr:to>
      <xdr:col>0</xdr:col>
      <xdr:colOff>2141537</xdr:colOff>
      <xdr:row>3</xdr:row>
      <xdr:rowOff>287337</xdr:rowOff>
    </xdr:to>
    <xdr:sp macro="" textlink="">
      <xdr:nvSpPr>
        <xdr:cNvPr id="32" name="Flowchart: Merge 31">
          <a:extLst>
            <a:ext uri="{FF2B5EF4-FFF2-40B4-BE49-F238E27FC236}">
              <a16:creationId xmlns:a16="http://schemas.microsoft.com/office/drawing/2014/main" id="{F125F2B7-549C-4074-89A8-72A18F7D48F1}"/>
            </a:ext>
          </a:extLst>
        </xdr:cNvPr>
        <xdr:cNvSpPr/>
      </xdr:nvSpPr>
      <xdr:spPr>
        <a:xfrm>
          <a:off x="1984375" y="1000125"/>
          <a:ext cx="157162" cy="87312"/>
        </a:xfrm>
        <a:prstGeom prst="flowChartMerg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5440</xdr:colOff>
      <xdr:row>1</xdr:row>
      <xdr:rowOff>53974</xdr:rowOff>
    </xdr:from>
    <xdr:to>
      <xdr:col>4</xdr:col>
      <xdr:colOff>1801810</xdr:colOff>
      <xdr:row>4</xdr:row>
      <xdr:rowOff>95249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E8DAD29-3ABC-417A-95FA-43A69C1F2F88}"/>
            </a:ext>
          </a:extLst>
        </xdr:cNvPr>
        <xdr:cNvSpPr/>
      </xdr:nvSpPr>
      <xdr:spPr>
        <a:xfrm>
          <a:off x="8196940" y="347662"/>
          <a:ext cx="1796370" cy="731837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150814</xdr:colOff>
      <xdr:row>1</xdr:row>
      <xdr:rowOff>31748</xdr:rowOff>
    </xdr:from>
    <xdr:to>
      <xdr:col>3</xdr:col>
      <xdr:colOff>1825625</xdr:colOff>
      <xdr:row>4</xdr:row>
      <xdr:rowOff>95248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A64DE8FC-250A-4161-8570-11B4B55CF9E8}"/>
            </a:ext>
          </a:extLst>
        </xdr:cNvPr>
        <xdr:cNvSpPr/>
      </xdr:nvSpPr>
      <xdr:spPr>
        <a:xfrm>
          <a:off x="6294439" y="325436"/>
          <a:ext cx="1674811" cy="754062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244473</xdr:colOff>
      <xdr:row>1</xdr:row>
      <xdr:rowOff>56355</xdr:rowOff>
    </xdr:from>
    <xdr:to>
      <xdr:col>2</xdr:col>
      <xdr:colOff>2008187</xdr:colOff>
      <xdr:row>4</xdr:row>
      <xdr:rowOff>99219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BF0D4AA9-52C5-4FEB-8A1B-7761D66CC7FF}"/>
            </a:ext>
          </a:extLst>
        </xdr:cNvPr>
        <xdr:cNvSpPr/>
      </xdr:nvSpPr>
      <xdr:spPr>
        <a:xfrm>
          <a:off x="4340223" y="350043"/>
          <a:ext cx="1763714" cy="733426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238125</xdr:colOff>
      <xdr:row>1</xdr:row>
      <xdr:rowOff>47623</xdr:rowOff>
    </xdr:from>
    <xdr:to>
      <xdr:col>1</xdr:col>
      <xdr:colOff>1968501</xdr:colOff>
      <xdr:row>4</xdr:row>
      <xdr:rowOff>79373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F8302AB6-F63A-4275-AF96-57E87897D892}"/>
            </a:ext>
          </a:extLst>
        </xdr:cNvPr>
        <xdr:cNvSpPr/>
      </xdr:nvSpPr>
      <xdr:spPr>
        <a:xfrm>
          <a:off x="2286000" y="341311"/>
          <a:ext cx="1730376" cy="722312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243339</xdr:colOff>
      <xdr:row>2</xdr:row>
      <xdr:rowOff>28329</xdr:rowOff>
    </xdr:from>
    <xdr:to>
      <xdr:col>4</xdr:col>
      <xdr:colOff>1563685</xdr:colOff>
      <xdr:row>2</xdr:row>
      <xdr:rowOff>257422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BEDDB35D-E9D8-4647-8E66-621CD20BD1C2}"/>
            </a:ext>
          </a:extLst>
        </xdr:cNvPr>
        <xdr:cNvSpPr/>
      </xdr:nvSpPr>
      <xdr:spPr>
        <a:xfrm>
          <a:off x="8434839" y="385517"/>
          <a:ext cx="1320346" cy="229093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Qyt Affected </a:t>
          </a:r>
        </a:p>
      </xdr:txBody>
    </xdr:sp>
    <xdr:clientData/>
  </xdr:twoCellAnchor>
  <xdr:twoCellAnchor>
    <xdr:from>
      <xdr:col>1</xdr:col>
      <xdr:colOff>674689</xdr:colOff>
      <xdr:row>2</xdr:row>
      <xdr:rowOff>277995</xdr:rowOff>
    </xdr:from>
    <xdr:to>
      <xdr:col>1</xdr:col>
      <xdr:colOff>1579563</xdr:colOff>
      <xdr:row>4</xdr:row>
      <xdr:rowOff>20459</xdr:rowOff>
    </xdr:to>
    <xdr:sp macro="" textlink="B4">
      <xdr:nvSpPr>
        <xdr:cNvPr id="17" name="TextBox 16">
          <a:extLst>
            <a:ext uri="{FF2B5EF4-FFF2-40B4-BE49-F238E27FC236}">
              <a16:creationId xmlns:a16="http://schemas.microsoft.com/office/drawing/2014/main" id="{5EEE3D8C-29E4-431B-9961-47D4833427D2}"/>
            </a:ext>
          </a:extLst>
        </xdr:cNvPr>
        <xdr:cNvSpPr txBox="1"/>
      </xdr:nvSpPr>
      <xdr:spPr>
        <a:xfrm>
          <a:off x="2722564" y="635183"/>
          <a:ext cx="904874" cy="369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96B92A0-B363-4B4F-828E-B5B8E0470616}" type="TxLink">
            <a:rPr lang="en-US" sz="3200" b="1" i="0" u="none" strike="noStrike">
              <a:solidFill>
                <a:srgbClr val="275317"/>
              </a:solidFill>
              <a:latin typeface="Aptos Narrow"/>
            </a:rPr>
            <a:pPr algn="ctr"/>
            <a:t>65</a:t>
          </a:fld>
          <a:endParaRPr lang="en-US" sz="1600"/>
        </a:p>
      </xdr:txBody>
    </xdr:sp>
    <xdr:clientData/>
  </xdr:twoCellAnchor>
  <xdr:twoCellAnchor>
    <xdr:from>
      <xdr:col>2</xdr:col>
      <xdr:colOff>744534</xdr:colOff>
      <xdr:row>2</xdr:row>
      <xdr:rowOff>279401</xdr:rowOff>
    </xdr:from>
    <xdr:to>
      <xdr:col>2</xdr:col>
      <xdr:colOff>1516061</xdr:colOff>
      <xdr:row>4</xdr:row>
      <xdr:rowOff>98425</xdr:rowOff>
    </xdr:to>
    <xdr:sp macro="" textlink="C4">
      <xdr:nvSpPr>
        <xdr:cNvPr id="18" name="TextBox 17">
          <a:extLst>
            <a:ext uri="{FF2B5EF4-FFF2-40B4-BE49-F238E27FC236}">
              <a16:creationId xmlns:a16="http://schemas.microsoft.com/office/drawing/2014/main" id="{44A3A5FB-491C-4EB8-9A0D-9664BB1BA365}"/>
            </a:ext>
          </a:extLst>
        </xdr:cNvPr>
        <xdr:cNvSpPr txBox="1"/>
      </xdr:nvSpPr>
      <xdr:spPr>
        <a:xfrm>
          <a:off x="4840284" y="636589"/>
          <a:ext cx="771527" cy="4460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3B59FDC6-BF2A-4A06-A8B5-B4B3DC4EB415}" type="TxLink">
            <a:rPr lang="en-US" sz="36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44</a:t>
          </a:fld>
          <a:endParaRPr lang="en-US" sz="36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541338</xdr:colOff>
      <xdr:row>2</xdr:row>
      <xdr:rowOff>271465</xdr:rowOff>
    </xdr:from>
    <xdr:to>
      <xdr:col>3</xdr:col>
      <xdr:colOff>1436689</xdr:colOff>
      <xdr:row>4</xdr:row>
      <xdr:rowOff>90489</xdr:rowOff>
    </xdr:to>
    <xdr:sp macro="" textlink="D4">
      <xdr:nvSpPr>
        <xdr:cNvPr id="19" name="TextBox 18">
          <a:extLst>
            <a:ext uri="{FF2B5EF4-FFF2-40B4-BE49-F238E27FC236}">
              <a16:creationId xmlns:a16="http://schemas.microsoft.com/office/drawing/2014/main" id="{5266F6A0-D503-4589-8A1F-E631A10D33AA}"/>
            </a:ext>
          </a:extLst>
        </xdr:cNvPr>
        <xdr:cNvSpPr txBox="1"/>
      </xdr:nvSpPr>
      <xdr:spPr>
        <a:xfrm>
          <a:off x="6684963" y="628653"/>
          <a:ext cx="895351" cy="4460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D02B30A-A56A-4E29-8373-DECB5C488FD2}" type="TxLink">
            <a:rPr lang="en-US" sz="36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21</a:t>
          </a:fld>
          <a:endParaRPr lang="en-US" sz="36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243091</xdr:colOff>
      <xdr:row>2</xdr:row>
      <xdr:rowOff>289945</xdr:rowOff>
    </xdr:from>
    <xdr:to>
      <xdr:col>4</xdr:col>
      <xdr:colOff>1635123</xdr:colOff>
      <xdr:row>4</xdr:row>
      <xdr:rowOff>87885</xdr:rowOff>
    </xdr:to>
    <xdr:sp macro="" textlink="E4">
      <xdr:nvSpPr>
        <xdr:cNvPr id="20" name="TextBox 19">
          <a:extLst>
            <a:ext uri="{FF2B5EF4-FFF2-40B4-BE49-F238E27FC236}">
              <a16:creationId xmlns:a16="http://schemas.microsoft.com/office/drawing/2014/main" id="{6EB8C043-F411-44C2-B758-BB922F3BF082}"/>
            </a:ext>
          </a:extLst>
        </xdr:cNvPr>
        <xdr:cNvSpPr txBox="1"/>
      </xdr:nvSpPr>
      <xdr:spPr>
        <a:xfrm>
          <a:off x="8434591" y="647133"/>
          <a:ext cx="1392032" cy="42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A017BFC-E209-4F72-B6E9-849D1503A1BA}" type="TxLink">
            <a:rPr lang="en-US" sz="36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726</a:t>
          </a:fld>
          <a:endParaRPr lang="en-US" sz="36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388793</xdr:colOff>
      <xdr:row>2</xdr:row>
      <xdr:rowOff>44234</xdr:rowOff>
    </xdr:from>
    <xdr:to>
      <xdr:col>1</xdr:col>
      <xdr:colOff>1841501</xdr:colOff>
      <xdr:row>2</xdr:row>
      <xdr:rowOff>257389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0AF0E001-FAE0-48A5-BBB1-F4C36DD0D296}"/>
            </a:ext>
          </a:extLst>
        </xdr:cNvPr>
        <xdr:cNvSpPr/>
      </xdr:nvSpPr>
      <xdr:spPr>
        <a:xfrm>
          <a:off x="2436668" y="401422"/>
          <a:ext cx="1452708" cy="213155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Error Cases </a:t>
          </a:r>
        </a:p>
      </xdr:txBody>
    </xdr:sp>
    <xdr:clientData/>
  </xdr:twoCellAnchor>
  <xdr:twoCellAnchor>
    <xdr:from>
      <xdr:col>2</xdr:col>
      <xdr:colOff>477976</xdr:colOff>
      <xdr:row>2</xdr:row>
      <xdr:rowOff>47627</xdr:rowOff>
    </xdr:from>
    <xdr:to>
      <xdr:col>2</xdr:col>
      <xdr:colOff>1857376</xdr:colOff>
      <xdr:row>2</xdr:row>
      <xdr:rowOff>254001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1DD94556-9F88-4C56-82E0-44D81D614728}"/>
            </a:ext>
          </a:extLst>
        </xdr:cNvPr>
        <xdr:cNvSpPr/>
      </xdr:nvSpPr>
      <xdr:spPr>
        <a:xfrm>
          <a:off x="4573726" y="404815"/>
          <a:ext cx="1379400" cy="206374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</a:t>
          </a:r>
          <a:r>
            <a:rPr lang="en-US" sz="1100" b="1">
              <a:solidFill>
                <a:schemeClr val="bg1"/>
              </a:solidFill>
            </a:rPr>
            <a:t>Short</a:t>
          </a:r>
          <a:r>
            <a:rPr lang="en-US" sz="1200" b="1">
              <a:solidFill>
                <a:schemeClr val="bg1"/>
              </a:solidFill>
            </a:rPr>
            <a:t> </a:t>
          </a:r>
          <a:r>
            <a:rPr lang="en-US" sz="1100" b="1">
              <a:solidFill>
                <a:schemeClr val="bg1"/>
              </a:solidFill>
            </a:rPr>
            <a:t>Cases</a:t>
          </a:r>
          <a:r>
            <a:rPr lang="en-US" sz="1200" b="1">
              <a:solidFill>
                <a:schemeClr val="bg1"/>
              </a:solidFill>
            </a:rPr>
            <a:t> </a:t>
          </a:r>
        </a:p>
      </xdr:txBody>
    </xdr:sp>
    <xdr:clientData/>
  </xdr:twoCellAnchor>
  <xdr:twoCellAnchor>
    <xdr:from>
      <xdr:col>3</xdr:col>
      <xdr:colOff>325444</xdr:colOff>
      <xdr:row>2</xdr:row>
      <xdr:rowOff>31752</xdr:rowOff>
    </xdr:from>
    <xdr:to>
      <xdr:col>3</xdr:col>
      <xdr:colOff>1698628</xdr:colOff>
      <xdr:row>2</xdr:row>
      <xdr:rowOff>254000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9DBEE1C5-4DC2-4A2D-A6FB-20ACC1F0A1B5}"/>
            </a:ext>
          </a:extLst>
        </xdr:cNvPr>
        <xdr:cNvSpPr/>
      </xdr:nvSpPr>
      <xdr:spPr>
        <a:xfrm>
          <a:off x="6469069" y="388940"/>
          <a:ext cx="1373184" cy="222248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50" b="1">
              <a:solidFill>
                <a:schemeClr val="bg1"/>
              </a:solidFill>
            </a:rPr>
            <a:t>Total Excess Cases </a:t>
          </a:r>
        </a:p>
      </xdr:txBody>
    </xdr:sp>
    <xdr:clientData/>
  </xdr:twoCellAnchor>
  <xdr:twoCellAnchor>
    <xdr:from>
      <xdr:col>0</xdr:col>
      <xdr:colOff>1811338</xdr:colOff>
      <xdr:row>3</xdr:row>
      <xdr:rowOff>119063</xdr:rowOff>
    </xdr:from>
    <xdr:to>
      <xdr:col>0</xdr:col>
      <xdr:colOff>1968500</xdr:colOff>
      <xdr:row>3</xdr:row>
      <xdr:rowOff>206375</xdr:rowOff>
    </xdr:to>
    <xdr:sp macro="" textlink="">
      <xdr:nvSpPr>
        <xdr:cNvPr id="25" name="Flowchart: Merge 24">
          <a:extLst>
            <a:ext uri="{FF2B5EF4-FFF2-40B4-BE49-F238E27FC236}">
              <a16:creationId xmlns:a16="http://schemas.microsoft.com/office/drawing/2014/main" id="{D8E874CE-135A-4FC2-A79B-893807F469C0}"/>
            </a:ext>
          </a:extLst>
        </xdr:cNvPr>
        <xdr:cNvSpPr/>
      </xdr:nvSpPr>
      <xdr:spPr>
        <a:xfrm>
          <a:off x="1811338" y="960438"/>
          <a:ext cx="157162" cy="87312"/>
        </a:xfrm>
        <a:prstGeom prst="flowChartMerg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152400</xdr:colOff>
      <xdr:row>2</xdr:row>
      <xdr:rowOff>15875</xdr:rowOff>
    </xdr:from>
    <xdr:to>
      <xdr:col>0</xdr:col>
      <xdr:colOff>1936750</xdr:colOff>
      <xdr:row>2</xdr:row>
      <xdr:rowOff>320675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F1546DAD-ED11-4C54-89CD-171F570AEB52}"/>
            </a:ext>
          </a:extLst>
        </xdr:cNvPr>
        <xdr:cNvSpPr/>
      </xdr:nvSpPr>
      <xdr:spPr>
        <a:xfrm>
          <a:off x="152400" y="476250"/>
          <a:ext cx="1784350" cy="304800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Month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1034144</xdr:colOff>
      <xdr:row>1</xdr:row>
      <xdr:rowOff>104775</xdr:rowOff>
    </xdr:from>
    <xdr:to>
      <xdr:col>5</xdr:col>
      <xdr:colOff>1437447</xdr:colOff>
      <xdr:row>4</xdr:row>
      <xdr:rowOff>285750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68370488-E100-F5CE-2736-F425EB8AB2EB}"/>
            </a:ext>
          </a:extLst>
        </xdr:cNvPr>
        <xdr:cNvSpPr/>
      </xdr:nvSpPr>
      <xdr:spPr>
        <a:xfrm>
          <a:off x="10273394" y="438150"/>
          <a:ext cx="1860628" cy="1181100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666751</xdr:colOff>
      <xdr:row>1</xdr:row>
      <xdr:rowOff>104775</xdr:rowOff>
    </xdr:from>
    <xdr:to>
      <xdr:col>4</xdr:col>
      <xdr:colOff>769041</xdr:colOff>
      <xdr:row>4</xdr:row>
      <xdr:rowOff>276225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B799E280-CDC0-D218-CE4F-ED2C962B06F4}"/>
            </a:ext>
          </a:extLst>
        </xdr:cNvPr>
        <xdr:cNvSpPr/>
      </xdr:nvSpPr>
      <xdr:spPr>
        <a:xfrm>
          <a:off x="8277226" y="438150"/>
          <a:ext cx="1731065" cy="117157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485776</xdr:colOff>
      <xdr:row>1</xdr:row>
      <xdr:rowOff>95250</xdr:rowOff>
    </xdr:from>
    <xdr:to>
      <xdr:col>3</xdr:col>
      <xdr:colOff>495301</xdr:colOff>
      <xdr:row>4</xdr:row>
      <xdr:rowOff>304800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0FD60974-3669-070B-5A07-67D1BAFDDABC}"/>
            </a:ext>
          </a:extLst>
        </xdr:cNvPr>
        <xdr:cNvSpPr/>
      </xdr:nvSpPr>
      <xdr:spPr>
        <a:xfrm>
          <a:off x="6448426" y="428625"/>
          <a:ext cx="1657350" cy="120967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1838325</xdr:colOff>
      <xdr:row>3</xdr:row>
      <xdr:rowOff>190501</xdr:rowOff>
    </xdr:from>
    <xdr:to>
      <xdr:col>0</xdr:col>
      <xdr:colOff>2038350</xdr:colOff>
      <xdr:row>3</xdr:row>
      <xdr:rowOff>361951</xdr:rowOff>
    </xdr:to>
    <xdr:sp macro="" textlink="">
      <xdr:nvSpPr>
        <xdr:cNvPr id="15" name="Flowchart: Merge 14">
          <a:extLst>
            <a:ext uri="{FF2B5EF4-FFF2-40B4-BE49-F238E27FC236}">
              <a16:creationId xmlns:a16="http://schemas.microsoft.com/office/drawing/2014/main" id="{F630BF0D-402E-9E3E-0B5A-AECEC6C9D7AA}"/>
            </a:ext>
          </a:extLst>
        </xdr:cNvPr>
        <xdr:cNvSpPr/>
      </xdr:nvSpPr>
      <xdr:spPr>
        <a:xfrm>
          <a:off x="1838325" y="1019176"/>
          <a:ext cx="200025" cy="171450"/>
        </a:xfrm>
        <a:prstGeom prst="flowChartMerge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2524125</xdr:colOff>
      <xdr:row>1</xdr:row>
      <xdr:rowOff>76200</xdr:rowOff>
    </xdr:from>
    <xdr:to>
      <xdr:col>2</xdr:col>
      <xdr:colOff>304800</xdr:colOff>
      <xdr:row>4</xdr:row>
      <xdr:rowOff>304800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1D565C4F-F005-2CC8-4E6C-7FBDB9245B7B}"/>
            </a:ext>
          </a:extLst>
        </xdr:cNvPr>
        <xdr:cNvSpPr/>
      </xdr:nvSpPr>
      <xdr:spPr>
        <a:xfrm>
          <a:off x="4572000" y="409575"/>
          <a:ext cx="1695450" cy="122872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352426</xdr:colOff>
      <xdr:row>1</xdr:row>
      <xdr:rowOff>76200</xdr:rowOff>
    </xdr:from>
    <xdr:to>
      <xdr:col>1</xdr:col>
      <xdr:colOff>2343150</xdr:colOff>
      <xdr:row>4</xdr:row>
      <xdr:rowOff>304800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801BB83B-A151-F696-67AB-863E87DFAD6D}"/>
            </a:ext>
          </a:extLst>
        </xdr:cNvPr>
        <xdr:cNvSpPr/>
      </xdr:nvSpPr>
      <xdr:spPr>
        <a:xfrm>
          <a:off x="2400301" y="409575"/>
          <a:ext cx="1990724" cy="1228725"/>
        </a:xfrm>
        <a:prstGeom prst="roundRect">
          <a:avLst>
            <a:gd name="adj" fmla="val 17791"/>
          </a:avLst>
        </a:prstGeom>
        <a:solidFill>
          <a:schemeClr val="bg1">
            <a:lumMod val="8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1168853</xdr:colOff>
      <xdr:row>2</xdr:row>
      <xdr:rowOff>14967</xdr:rowOff>
    </xdr:from>
    <xdr:to>
      <xdr:col>5</xdr:col>
      <xdr:colOff>1294040</xdr:colOff>
      <xdr:row>2</xdr:row>
      <xdr:rowOff>254454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5AE944FD-ABFE-40A1-B3D5-2245E96E4B4F}"/>
            </a:ext>
          </a:extLst>
        </xdr:cNvPr>
        <xdr:cNvSpPr/>
      </xdr:nvSpPr>
      <xdr:spPr>
        <a:xfrm>
          <a:off x="10408103" y="538842"/>
          <a:ext cx="1582512" cy="239487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Qyt Affected </a:t>
          </a:r>
        </a:p>
      </xdr:txBody>
    </xdr:sp>
    <xdr:clientData/>
  </xdr:twoCellAnchor>
  <xdr:twoCellAnchor>
    <xdr:from>
      <xdr:col>3</xdr:col>
      <xdr:colOff>809573</xdr:colOff>
      <xdr:row>2</xdr:row>
      <xdr:rowOff>18556</xdr:rowOff>
    </xdr:from>
    <xdr:to>
      <xdr:col>4</xdr:col>
      <xdr:colOff>626220</xdr:colOff>
      <xdr:row>2</xdr:row>
      <xdr:rowOff>286987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58D65C8D-B370-47F6-A08D-4A437FD8CA9D}"/>
            </a:ext>
          </a:extLst>
        </xdr:cNvPr>
        <xdr:cNvSpPr/>
      </xdr:nvSpPr>
      <xdr:spPr>
        <a:xfrm>
          <a:off x="8420048" y="542431"/>
          <a:ext cx="1445422" cy="268431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Excess Cases </a:t>
          </a:r>
        </a:p>
      </xdr:txBody>
    </xdr:sp>
    <xdr:clientData/>
  </xdr:twoCellAnchor>
  <xdr:twoCellAnchor>
    <xdr:from>
      <xdr:col>2</xdr:col>
      <xdr:colOff>633845</xdr:colOff>
      <xdr:row>2</xdr:row>
      <xdr:rowOff>17318</xdr:rowOff>
    </xdr:from>
    <xdr:to>
      <xdr:col>3</xdr:col>
      <xdr:colOff>328178</xdr:colOff>
      <xdr:row>2</xdr:row>
      <xdr:rowOff>294409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EEBE3113-A9AF-4CF6-AC3A-FFE455CDD9EE}"/>
            </a:ext>
          </a:extLst>
        </xdr:cNvPr>
        <xdr:cNvSpPr/>
      </xdr:nvSpPr>
      <xdr:spPr>
        <a:xfrm>
          <a:off x="6596495" y="541193"/>
          <a:ext cx="1342158" cy="277091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Short </a:t>
          </a:r>
          <a:r>
            <a:rPr lang="en-US" sz="1100" b="1">
              <a:solidFill>
                <a:schemeClr val="bg1"/>
              </a:solidFill>
            </a:rPr>
            <a:t>Cases</a:t>
          </a:r>
          <a:r>
            <a:rPr lang="en-US" sz="1200" b="1">
              <a:solidFill>
                <a:schemeClr val="bg1"/>
              </a:solidFill>
            </a:rPr>
            <a:t> </a:t>
          </a:r>
        </a:p>
      </xdr:txBody>
    </xdr:sp>
    <xdr:clientData/>
  </xdr:twoCellAnchor>
  <xdr:twoCellAnchor>
    <xdr:from>
      <xdr:col>1</xdr:col>
      <xdr:colOff>2705965</xdr:colOff>
      <xdr:row>2</xdr:row>
      <xdr:rowOff>18184</xdr:rowOff>
    </xdr:from>
    <xdr:to>
      <xdr:col>2</xdr:col>
      <xdr:colOff>124689</xdr:colOff>
      <xdr:row>2</xdr:row>
      <xdr:rowOff>295275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58B2C02B-7EE9-435C-8550-FCF7DB628F4F}"/>
            </a:ext>
          </a:extLst>
        </xdr:cNvPr>
        <xdr:cNvSpPr/>
      </xdr:nvSpPr>
      <xdr:spPr>
        <a:xfrm>
          <a:off x="4753840" y="542059"/>
          <a:ext cx="1333499" cy="277091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Error Cases </a:t>
          </a:r>
        </a:p>
      </xdr:txBody>
    </xdr:sp>
    <xdr:clientData/>
  </xdr:twoCellAnchor>
  <xdr:twoCellAnchor>
    <xdr:from>
      <xdr:col>1</xdr:col>
      <xdr:colOff>442912</xdr:colOff>
      <xdr:row>2</xdr:row>
      <xdr:rowOff>9525</xdr:rowOff>
    </xdr:from>
    <xdr:to>
      <xdr:col>1</xdr:col>
      <xdr:colOff>2252662</xdr:colOff>
      <xdr:row>3</xdr:row>
      <xdr:rowOff>9525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AF806BCD-3AAA-489F-9614-1305D3500ADE}"/>
            </a:ext>
          </a:extLst>
        </xdr:cNvPr>
        <xdr:cNvSpPr/>
      </xdr:nvSpPr>
      <xdr:spPr>
        <a:xfrm>
          <a:off x="2490787" y="533400"/>
          <a:ext cx="1809750" cy="304800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Total Articles With Error </a:t>
          </a:r>
        </a:p>
      </xdr:txBody>
    </xdr:sp>
    <xdr:clientData/>
  </xdr:twoCellAnchor>
  <xdr:twoCellAnchor>
    <xdr:from>
      <xdr:col>0</xdr:col>
      <xdr:colOff>333375</xdr:colOff>
      <xdr:row>1</xdr:row>
      <xdr:rowOff>171450</xdr:rowOff>
    </xdr:from>
    <xdr:to>
      <xdr:col>0</xdr:col>
      <xdr:colOff>1819275</xdr:colOff>
      <xdr:row>2</xdr:row>
      <xdr:rowOff>285750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A08EAAB-FF88-743A-D8A9-7C5D963696E9}"/>
            </a:ext>
          </a:extLst>
        </xdr:cNvPr>
        <xdr:cNvSpPr/>
      </xdr:nvSpPr>
      <xdr:spPr>
        <a:xfrm>
          <a:off x="333375" y="504825"/>
          <a:ext cx="1485900" cy="304800"/>
        </a:xfrm>
        <a:prstGeom prst="roundRect">
          <a:avLst>
            <a:gd name="adj" fmla="val 50000"/>
          </a:avLst>
        </a:prstGeom>
        <a:solidFill>
          <a:schemeClr val="accent6">
            <a:lumMod val="5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Month</a:t>
          </a:r>
        </a:p>
      </xdr:txBody>
    </xdr:sp>
    <xdr:clientData/>
  </xdr:twoCellAnchor>
  <xdr:twoCellAnchor>
    <xdr:from>
      <xdr:col>1</xdr:col>
      <xdr:colOff>704851</xdr:colOff>
      <xdr:row>3</xdr:row>
      <xdr:rowOff>28576</xdr:rowOff>
    </xdr:from>
    <xdr:to>
      <xdr:col>1</xdr:col>
      <xdr:colOff>1990725</xdr:colOff>
      <xdr:row>4</xdr:row>
      <xdr:rowOff>152400</xdr:rowOff>
    </xdr:to>
    <xdr:sp macro="" textlink="B4">
      <xdr:nvSpPr>
        <xdr:cNvPr id="7" name="TextBox 6">
          <a:extLst>
            <a:ext uri="{FF2B5EF4-FFF2-40B4-BE49-F238E27FC236}">
              <a16:creationId xmlns:a16="http://schemas.microsoft.com/office/drawing/2014/main" id="{9EF04D17-09C7-7035-CE5D-B1E35681EC42}"/>
            </a:ext>
          </a:extLst>
        </xdr:cNvPr>
        <xdr:cNvSpPr txBox="1"/>
      </xdr:nvSpPr>
      <xdr:spPr>
        <a:xfrm>
          <a:off x="2752726" y="857251"/>
          <a:ext cx="1285874" cy="6286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96B92A0-B363-4B4F-828E-B5B8E0470616}" type="TxLink">
            <a:rPr lang="en-US" sz="3600" b="1" i="0" u="none" strike="noStrike">
              <a:solidFill>
                <a:srgbClr val="275317"/>
              </a:solidFill>
              <a:latin typeface="Aptos Narrow"/>
            </a:rPr>
            <a:pPr algn="ctr"/>
            <a:t>59</a:t>
          </a:fld>
          <a:endParaRPr lang="en-US" sz="1800"/>
        </a:p>
      </xdr:txBody>
    </xdr:sp>
    <xdr:clientData/>
  </xdr:twoCellAnchor>
  <xdr:twoCellAnchor>
    <xdr:from>
      <xdr:col>1</xdr:col>
      <xdr:colOff>2743199</xdr:colOff>
      <xdr:row>3</xdr:row>
      <xdr:rowOff>76201</xdr:rowOff>
    </xdr:from>
    <xdr:to>
      <xdr:col>2</xdr:col>
      <xdr:colOff>114300</xdr:colOff>
      <xdr:row>4</xdr:row>
      <xdr:rowOff>200025</xdr:rowOff>
    </xdr:to>
    <xdr:sp macro="" textlink="C4">
      <xdr:nvSpPr>
        <xdr:cNvPr id="12" name="TextBox 11">
          <a:extLst>
            <a:ext uri="{FF2B5EF4-FFF2-40B4-BE49-F238E27FC236}">
              <a16:creationId xmlns:a16="http://schemas.microsoft.com/office/drawing/2014/main" id="{C16D1741-96DA-47E3-3BEA-640CB422844D}"/>
            </a:ext>
          </a:extLst>
        </xdr:cNvPr>
        <xdr:cNvSpPr txBox="1"/>
      </xdr:nvSpPr>
      <xdr:spPr>
        <a:xfrm>
          <a:off x="4791074" y="904876"/>
          <a:ext cx="1285876" cy="6286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3B59FDC6-BF2A-4A06-A8B5-B4B3DC4EB415}" type="TxLink">
            <a:rPr lang="en-US" sz="36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65</a:t>
          </a:fld>
          <a:endParaRPr lang="en-US" sz="36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685800</xdr:colOff>
      <xdr:row>3</xdr:row>
      <xdr:rowOff>85726</xdr:rowOff>
    </xdr:from>
    <xdr:to>
      <xdr:col>3</xdr:col>
      <xdr:colOff>276225</xdr:colOff>
      <xdr:row>4</xdr:row>
      <xdr:rowOff>209550</xdr:rowOff>
    </xdr:to>
    <xdr:sp macro="" textlink="D4">
      <xdr:nvSpPr>
        <xdr:cNvPr id="17" name="TextBox 16">
          <a:extLst>
            <a:ext uri="{FF2B5EF4-FFF2-40B4-BE49-F238E27FC236}">
              <a16:creationId xmlns:a16="http://schemas.microsoft.com/office/drawing/2014/main" id="{FE61DF71-B67A-9909-A1D9-40770E41A200}"/>
            </a:ext>
          </a:extLst>
        </xdr:cNvPr>
        <xdr:cNvSpPr txBox="1"/>
      </xdr:nvSpPr>
      <xdr:spPr>
        <a:xfrm>
          <a:off x="6648450" y="914401"/>
          <a:ext cx="1238250" cy="6286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D02B30A-A56A-4E29-8373-DECB5C488FD2}" type="TxLink">
            <a:rPr lang="en-US" sz="36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44</a:t>
          </a:fld>
          <a:endParaRPr lang="en-US" sz="36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952917</xdr:colOff>
      <xdr:row>3</xdr:row>
      <xdr:rowOff>72119</xdr:rowOff>
    </xdr:from>
    <xdr:to>
      <xdr:col>4</xdr:col>
      <xdr:colOff>485776</xdr:colOff>
      <xdr:row>4</xdr:row>
      <xdr:rowOff>195943</xdr:rowOff>
    </xdr:to>
    <xdr:sp macro="" textlink="E4">
      <xdr:nvSpPr>
        <xdr:cNvPr id="19" name="TextBox 18">
          <a:extLst>
            <a:ext uri="{FF2B5EF4-FFF2-40B4-BE49-F238E27FC236}">
              <a16:creationId xmlns:a16="http://schemas.microsoft.com/office/drawing/2014/main" id="{16AD7423-5907-E96B-B9B0-EA4B9F84EE93}"/>
            </a:ext>
          </a:extLst>
        </xdr:cNvPr>
        <xdr:cNvSpPr txBox="1"/>
      </xdr:nvSpPr>
      <xdr:spPr>
        <a:xfrm>
          <a:off x="8563392" y="900794"/>
          <a:ext cx="1161634" cy="6286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A017BFC-E209-4F72-B6E9-849D1503A1BA}" type="TxLink">
            <a:rPr lang="en-US" sz="36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21</a:t>
          </a:fld>
          <a:endParaRPr lang="en-US" sz="36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1430109</xdr:colOff>
      <xdr:row>2</xdr:row>
      <xdr:rowOff>270782</xdr:rowOff>
    </xdr:from>
    <xdr:to>
      <xdr:col>5</xdr:col>
      <xdr:colOff>989239</xdr:colOff>
      <xdr:row>4</xdr:row>
      <xdr:rowOff>89806</xdr:rowOff>
    </xdr:to>
    <xdr:sp macro="" textlink="F4">
      <xdr:nvSpPr>
        <xdr:cNvPr id="21" name="TextBox 20">
          <a:extLst>
            <a:ext uri="{FF2B5EF4-FFF2-40B4-BE49-F238E27FC236}">
              <a16:creationId xmlns:a16="http://schemas.microsoft.com/office/drawing/2014/main" id="{637FFBD5-3D74-2AF7-FF3A-401D13871642}"/>
            </a:ext>
          </a:extLst>
        </xdr:cNvPr>
        <xdr:cNvSpPr txBox="1"/>
      </xdr:nvSpPr>
      <xdr:spPr>
        <a:xfrm>
          <a:off x="10669359" y="794657"/>
          <a:ext cx="1016455" cy="6286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6F5AFEB2-91A0-401A-A6CE-385E2BD77443}" type="TxLink">
            <a:rPr lang="en-US" sz="3600" b="1" i="0" u="none" strike="noStrike">
              <a:solidFill>
                <a:srgbClr val="275317"/>
              </a:solidFill>
              <a:latin typeface="Aptos Narrow"/>
              <a:ea typeface="+mn-ea"/>
              <a:cs typeface="+mn-cs"/>
            </a:rPr>
            <a:pPr marL="0" indent="0" algn="ctr"/>
            <a:t>726</a:t>
          </a:fld>
          <a:endParaRPr lang="en-US" sz="3600" b="1" i="0" u="none" strike="noStrike">
            <a:solidFill>
              <a:srgbClr val="275317"/>
            </a:solidFill>
            <a:latin typeface="Aptos Narrow"/>
            <a:ea typeface="+mn-ea"/>
            <a:cs typeface="+mn-cs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3ABA31-9300-4A26-B71B-A6B3170E4C78}" name="RawData" displayName="RawData" ref="A1:L114" totalsRowShown="0" headerRowDxfId="48" dataDxfId="47">
  <autoFilter ref="A1:L114" xr:uid="{503ABA31-9300-4A26-B71B-A6B3170E4C78}"/>
  <sortState xmlns:xlrd2="http://schemas.microsoft.com/office/spreadsheetml/2017/richdata2" ref="A2:I40">
    <sortCondition ref="A1:A40"/>
  </sortState>
  <tableColumns count="12">
    <tableColumn id="1" xr3:uid="{4A498A13-8B50-44A7-BA6D-B317B56447FE}" name="Date " dataDxfId="46"/>
    <tableColumn id="2" xr3:uid="{9BD2B44B-95C8-4E4B-8F92-B6E8838EC6B3}" name="Article " dataDxfId="45"/>
    <tableColumn id="3" xr3:uid="{BDB404B6-C2AA-4508-BA7C-C4BB4583C0E5}" name="Description" dataDxfId="44"/>
    <tableColumn id="4" xr3:uid="{3E58150F-6197-4CF5-ADC1-32DC0C07616E}" name="Qyt Affected ( EA ) " dataDxfId="43"/>
    <tableColumn id="5" xr3:uid="{566C1C25-85AB-4EC5-A07C-0F4A2AF691DA}" name="Error Type " dataDxfId="42"/>
    <tableColumn id="6" xr3:uid="{1028FF8C-2053-4ED0-894B-27AB172ADAAA}" name="Tour/Site" dataDxfId="41"/>
    <tableColumn id="7" xr3:uid="{DEBB2D31-445A-47DF-A5A2-DEEF3AE800D7}" name="Picker ID " dataDxfId="40"/>
    <tableColumn id="8" xr3:uid="{6C34B498-0D7D-4F93-8550-DE0CB794CBF3}" name="Checker ID" dataDxfId="39"/>
    <tableColumn id="9" xr3:uid="{4C5269AD-831A-4508-BC44-9D1822EE4298}" name="Month List" dataDxfId="38">
      <calculatedColumnFormula>IF(A2="","",TEXT(A2,"mmmm yyyy"))</calculatedColumnFormula>
    </tableColumn>
    <tableColumn id="10" xr3:uid="{43205ED1-8706-47F0-A34C-2FE975605375}" name="MatchFlag" dataDxfId="37">
      <calculatedColumnFormula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calculatedColumnFormula>
    </tableColumn>
    <tableColumn id="11" xr3:uid="{5DE56320-5A04-4DF4-90E3-E5489D81FCD5}" name="Picker First" dataDxfId="36">
      <calculatedColumnFormula>IF(AND(RawData[[#This Row],[MatchFlag]]=1,COUNTIFS($G$2:G2,RawData[[#This Row],[Picker ID ]],$I$2:I2,RawData[[#This Row],[Month List]],$J$2:J2,1)=1),1,0)</calculatedColumnFormula>
    </tableColumn>
    <tableColumn id="12" xr3:uid="{33B2A9D8-5F48-4EF0-8D39-22EF61B74782}" name="Checker First" dataDxfId="35">
      <calculatedColumnFormula>IF(AND(RawData[[#This Row],[MatchFlag]]=1,COUNTIFS($H$2:H2,RawData[[#This Row],[Checker ID]],$I$2:I2,RawData[[#This Row],[Month List]],$J$2:J2,1)=1),1,0)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5D3F6-D7DF-40D7-8E44-AB9122C715D2}">
  <sheetPr>
    <tabColor rgb="FFC00000"/>
  </sheetPr>
  <dimension ref="A1"/>
  <sheetViews>
    <sheetView showGridLines="0" workbookViewId="0">
      <selection activeCell="T2" sqref="T2"/>
    </sheetView>
  </sheetViews>
  <sheetFormatPr defaultRowHeight="15" x14ac:dyDescent="0.25"/>
  <sheetData/>
  <sheetProtection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1F3E-6480-47E5-8564-07E980C77176}">
  <sheetPr>
    <tabColor theme="9" tint="-0.499984740745262"/>
  </sheetPr>
  <dimension ref="A1:AJ30925"/>
  <sheetViews>
    <sheetView showGridLines="0" tabSelected="1" zoomScaleNormal="100" workbookViewId="0">
      <pane ySplit="9" topLeftCell="A10" activePane="bottomLeft" state="frozen"/>
      <selection pane="bottomLeft" activeCell="D21" sqref="D21"/>
    </sheetView>
  </sheetViews>
  <sheetFormatPr defaultColWidth="30.7109375" defaultRowHeight="15" x14ac:dyDescent="0.25"/>
  <cols>
    <col min="1" max="5" width="30.7109375" style="13"/>
    <col min="6" max="6" width="33.7109375" style="13" customWidth="1"/>
    <col min="7" max="13" width="30.7109375" style="13"/>
    <col min="14" max="14" width="30.7109375" style="23"/>
    <col min="15" max="15" width="30.7109375" style="20"/>
    <col min="16" max="23" width="30.7109375" style="13"/>
    <col min="24" max="36" width="30.7109375" style="18"/>
    <col min="37" max="16384" width="30.7109375" style="13"/>
  </cols>
  <sheetData>
    <row r="1" spans="1:36" s="24" customFormat="1" ht="30" customHeight="1" x14ac:dyDescent="0.25">
      <c r="A1" s="65" t="s">
        <v>58</v>
      </c>
      <c r="B1" s="65"/>
      <c r="C1" s="65"/>
      <c r="D1" s="65"/>
      <c r="E1" s="65"/>
      <c r="F1" s="65"/>
      <c r="N1" s="25"/>
      <c r="Q1" s="18" t="str">
        <f>IF($A$4="All","*",$A$4)</f>
        <v>August 2026</v>
      </c>
      <c r="W1" s="26"/>
      <c r="X1" s="26" t="s">
        <v>42</v>
      </c>
      <c r="Y1" s="26" t="s">
        <v>44</v>
      </c>
      <c r="Z1" s="26" t="s">
        <v>46</v>
      </c>
      <c r="AA1" s="26" t="s">
        <v>47</v>
      </c>
      <c r="AB1" s="26" t="s">
        <v>2</v>
      </c>
      <c r="AC1" s="66" t="s">
        <v>59</v>
      </c>
      <c r="AD1" s="66"/>
      <c r="AE1" s="66"/>
      <c r="AF1" s="54"/>
      <c r="AG1" s="55" t="s">
        <v>62</v>
      </c>
      <c r="AH1" s="53"/>
      <c r="AI1" s="53"/>
      <c r="AJ1" s="53"/>
    </row>
    <row r="2" spans="1:36" ht="13.5" customHeight="1" x14ac:dyDescent="0.25">
      <c r="Q2" s="18" t="str">
        <f>IF($B$4="ALL","&lt;&gt;",$B$4)</f>
        <v>&lt;&gt;</v>
      </c>
    </row>
    <row r="3" spans="1:36" ht="19.5" customHeight="1" x14ac:dyDescent="0.25">
      <c r="Q3" s="18" t="str">
        <f>IF($C$4="ALL","&lt;&gt;",$C$4)</f>
        <v>&lt;&gt;</v>
      </c>
    </row>
    <row r="4" spans="1:36" ht="21" customHeight="1" x14ac:dyDescent="0.25">
      <c r="A4" s="43" t="s">
        <v>277</v>
      </c>
      <c r="B4" s="43" t="s">
        <v>45</v>
      </c>
      <c r="C4" s="43" t="s">
        <v>45</v>
      </c>
      <c r="D4" s="43" t="s">
        <v>45</v>
      </c>
      <c r="E4" s="43" t="s">
        <v>45</v>
      </c>
      <c r="Q4" s="18" t="str">
        <f>IF($D$4="ALL","&lt;&gt;",$D$4)</f>
        <v>&lt;&gt;</v>
      </c>
    </row>
    <row r="5" spans="1:36" x14ac:dyDescent="0.25">
      <c r="Q5" s="18" t="str">
        <f>IF($E$4="ALL","&lt;&gt;",$E$4)</f>
        <v>&lt;&gt;</v>
      </c>
    </row>
    <row r="6" spans="1:36" x14ac:dyDescent="0.25">
      <c r="Q6" s="18" t="str">
        <f>IF($A$11="All","*",$A$11)</f>
        <v>August 2026</v>
      </c>
    </row>
    <row r="7" spans="1:36" x14ac:dyDescent="0.25">
      <c r="A7" s="52" cm="1">
        <f t="array" ref="A7"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]]=IF($E$4="ALL",RawData[[Error Type ]],$E$4)))</f>
        <v>65</v>
      </c>
      <c r="B7" s="52" cm="1">
        <f t="array" ref="B7"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]]=IF($E$4="ALL",RawData[[Error Type ]],$E$4))*RawData[Qyt Affected ( EA ) ])</f>
        <v>726</v>
      </c>
      <c r="C7" s="52" cm="1">
        <f t="array" ref="C7"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]]=IF($E$4="ALL",RawData[[Error Type ]],$E$4))*(RawData[[Error Type ]]="SHORT"))</f>
        <v>44</v>
      </c>
      <c r="D7" s="52" cm="1">
        <f t="array" ref="D7"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]]=IF($E$4="ALL",RawData[[Error Type ]],$E$4))*(RawData[[Error Type ]]="Excess"))</f>
        <v>21</v>
      </c>
      <c r="E7" s="52" cm="1">
        <f t="array" ref="E7">COUNTA(_xlfn.UNIQUE(_xlfn._xlws.FILTER(RawData[[Picker ID ]],(RawData[[Picker ID ]]&lt;&gt;"")*IF($A$4="ALL",1,RawData[Month List]=$A$4)*IF($B$4="all",1,RawData[Tour/Site]=$B$4)*IF($C$4="All",1,RawData[[Picker ID ]]=$C$4)*IF($D$4="ALL",1,RawData[Checker ID]=$D$4)*IF($E$4="ALL",1,RawData[[Error Type ]]=$E$4))))</f>
        <v>35</v>
      </c>
      <c r="F7" s="52" cm="1">
        <f t="array" ref="F7">COUNTA(_xlfn.UNIQUE(_xlfn._xlws.FILTER(RawData[Checker ID],(RawData[Checker ID]&lt;&gt;"")*IF($A$4="ALL",1,RawData[Month List]=$A$4)*IF($B$4="all",1,RawData[Tour/Site]=$B$4)*IF($C$4="All",1,RawData[[Picker ID ]]=$C$4)*IF($D$4="ALL",1,RawData[Checker ID]=$D$4)*IF($E$4="ALL",1,RawData[[Error Type ]]=$E$4))))</f>
        <v>5</v>
      </c>
    </row>
    <row r="8" spans="1:36" ht="13.5" customHeight="1" x14ac:dyDescent="0.25">
      <c r="O8" s="20" t="str">
        <f>IF(N8="","",COUNTIFS(RawData[[Date ]],N8,RawData[Month List],$Q$6,RawData[Tour/Site],$Q$2,RawData[[Picker ID ]],$Q$3,RawData[Checker ID],$Q$4,RawData[[Error Type ]],$Q$5))</f>
        <v/>
      </c>
    </row>
    <row r="9" spans="1:36" ht="15.75" customHeight="1" x14ac:dyDescent="0.25"/>
    <row r="10" spans="1:36" ht="19.5" customHeight="1" x14ac:dyDescent="0.25">
      <c r="N10" s="22" t="s">
        <v>55</v>
      </c>
      <c r="O10" s="22" t="s">
        <v>56</v>
      </c>
      <c r="R10" s="13" t="s">
        <v>31</v>
      </c>
      <c r="S10" s="13" cm="1">
        <f t="array" ref="S10"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]]="Short"))</f>
        <v>44</v>
      </c>
      <c r="X10" s="18" t="s">
        <v>43</v>
      </c>
      <c r="Y10" s="18" t="s">
        <v>45</v>
      </c>
      <c r="Z10" s="18" t="s">
        <v>45</v>
      </c>
      <c r="AA10" s="18" t="s">
        <v>45</v>
      </c>
      <c r="AB10" s="18" t="s">
        <v>45</v>
      </c>
      <c r="AC10" s="18" t="s">
        <v>16</v>
      </c>
      <c r="AD10" s="18" t="s">
        <v>4</v>
      </c>
      <c r="AE10" s="18" t="s">
        <v>60</v>
      </c>
      <c r="AF10" s="18" t="str" cm="1">
        <f t="array" ref="AF10:AF74">_xlfn._xlws.FILTER(RawData[[Picker ID ]],(RawData[[Picker ID ]]&lt;&gt;"")*IF($A$4="ALL",1,RawData[Month List]=$A$4)*IF($B$4="ALL",1,RawData[Tour/Site]=$B$4)*IF($C$4="ALL",1,RawData[[Picker ID ]]=$C$4)*IF($D$4="ALL",1,RawData[Checker ID]=$D$4)*IF($E$4="All",1,RawData[[Error Type ]]=$E$4))</f>
        <v>DXB504922</v>
      </c>
      <c r="AG10" s="18" t="s">
        <v>16</v>
      </c>
      <c r="AH10" s="18" t="s">
        <v>23</v>
      </c>
      <c r="AI10" s="18" t="s">
        <v>60</v>
      </c>
      <c r="AJ10" s="18" t="str" cm="1">
        <f t="array" ref="AJ10:AJ74">_xlfn._xlws.FILTER(RawData[Checker ID],(RawData[Checker ID]&lt;&gt;"")*IF($A$4="ALL",1,RawData[Month List]=$A$4)*IF($B$4="ALL",1,RawData[Tour/Site]=$B$4)*IF($C$4="ALL",1,RawData[[Picker ID ]]=$C$4)*IF($D$4="ALL",1,RawData[Checker ID]=$D$4)*IF($E$4="All",1,RawData[[Error Type ]]=$E$4))</f>
        <v>DXB492425</v>
      </c>
    </row>
    <row r="11" spans="1:36" ht="16.5" customHeight="1" x14ac:dyDescent="0.25">
      <c r="A11" s="56" t="s">
        <v>277</v>
      </c>
      <c r="N11" s="23" cm="1">
        <f t="array" ref="N11:N29">IF($A$11="",_xlfn._xlws.SORT(_xlfn.UNIQUE(_xlfn._xlws.FILTER(RawData[[Date ]],RawData[[Date ]]&lt;&gt;""))),_xlfn._xlws.SORT(_xlfn.UNIQUE(_xlfn._xlws.FILTER(RawData[[Date ]],(RawData[[Date ]]&lt;&gt;"")*(RawData[Month List]=$A$11)))))</f>
        <v>46235</v>
      </c>
      <c r="O11" s="20">
        <f>IF(N11="","",COUNTIFS(RawData[[Date ]],N11,RawData[Month List],$Q$6,RawData[Tour/Site],$Q$2,RawData[[Picker ID ]],$Q$3,RawData[Checker ID],$Q$4,RawData[[Error Type ]],$Q$5))</f>
        <v>8</v>
      </c>
      <c r="R11" s="13" t="s">
        <v>32</v>
      </c>
      <c r="S11" s="13" cm="1">
        <f t="array" ref="S11">SUMPRODUCT((RawData[Month List]=IF($A$4="ALL",RawData[Month List],$A$4))*(RawData[Tour/Site]=IF($B$4="ALL",RawData[Tour/Site],$B$4))*(RawData[[Picker ID ]]=IF($C$4="ALL",RawData[[Picker ID ]],$C$4))*(RawData[Checker ID]=IF($D$4="ALL",RawData[Checker ID],$D$4))*(RawData[[Error Type ]]="Excess"))</f>
        <v>21</v>
      </c>
      <c r="X11" s="21" t="str" cm="1">
        <f t="array" ref="X11:X12">_xlfn.SORTBY(_xlfn.UNIQUE(_xlfn._xlws.FILTER(RawData[Month List],RawData[Month List]&lt;&gt;"")),DATEVALUE("01"&amp;_xlfn.UNIQUE(_xlfn._xlws.FILTER(RawData[Month List],RawData[Month List]&lt;&gt;""))))</f>
        <v>July 2026</v>
      </c>
      <c r="Y11" s="18" cm="1">
        <f t="array" ref="Y11:Y39">_xlfn._xlws.SORT(_xlfn.UNIQUE(_xlfn._xlws.FILTER(RawData[Tour/Site],RawData[Tour/Site]&lt;&gt;"")))</f>
        <v>2252</v>
      </c>
      <c r="Z11" s="18" t="str" cm="1">
        <f t="array" ref="Z11:Z59">_xlfn._xlws.SORT(_xlfn.UNIQUE(_xlfn._xlws.FILTER(RawData[[Picker ID ]],RawData[[Picker ID ]]&lt;&gt;"")))</f>
        <v>DXB…......</v>
      </c>
      <c r="AA11" s="18" t="str" cm="1">
        <f t="array" ref="AA11:AA16">_xlfn._xlws.SORT(_xlfn.UNIQUE(_xlfn._xlws.FILTER(RawData[Checker ID],RawData[Checker ID]&lt;&gt;"")))</f>
        <v>DXB442324</v>
      </c>
      <c r="AB11" s="18" t="str" cm="1">
        <f t="array" ref="AB11:AB12">_xlfn._xlws.SORT(_xlfn.UNIQUE(_xlfn._xlws.FILTER(RawData[[Error Type ]],RawData[[Error Type ]]&lt;&gt;"")))</f>
        <v>Excess</v>
      </c>
      <c r="AC11" s="18">
        <f>IF(AD11="","",ROW()-ROW($AD$10))</f>
        <v>1</v>
      </c>
      <c r="AD11" s="18" t="str" cm="1">
        <f t="array" ref="AD11:AD20">IFERROR(INDEX(_xlfn.SORTBY(_xlfn.UNIQUE(_xlfn.ANCHORARRAY(AF10)),COUNTIFS(RawData[[Picker ID ]],_xlfn.UNIQUE(_xlfn.ANCHORARRAY(AF10)),RawData[Month List],$Q$1,RawData[Tour/Site],$Q$2,RawData[Checker ID],$Q$4,RawData[[Error Type ]],$Q$5),-1),_xlfn.SEQUENCE(10)),"")</f>
        <v>DXB425505</v>
      </c>
      <c r="AE11" s="18">
        <f>IF(AD11="","",COUNTIFS(RawData[[Picker ID ]],AD11,RawData[Month List],$Q$1,RawData[Tour/Site],$Q$2,RawData[[Picker ID ]],$Q$3,RawData[Checker ID],$Q$4,RawData[[Error Type ]],$Q$5))</f>
        <v>5</v>
      </c>
      <c r="AF11" s="18" t="str">
        <v>DXB504922</v>
      </c>
      <c r="AG11" s="18">
        <f>IF(AH11="","",ROW()-ROW($AH$10))</f>
        <v>1</v>
      </c>
      <c r="AH11" s="18" t="str" cm="1">
        <f t="array" ref="AH11:AH20">IFERROR(INDEX(_xlfn.SORTBY(_xlfn.UNIQUE(_xlfn.ANCHORARRAY(AJ10)),COUNTIFS(RawData[Checker ID],_xlfn.UNIQUE(_xlfn.ANCHORARRAY(AJ10)),RawData[Month List],$Q$1,RawData[Tour/Site],$Q$2,RawData[Checker ID],$Q$4,RawData[[Error Type ]],$Q$5),-1),_xlfn.SEQUENCE(10)),"")</f>
        <v>DXB456417</v>
      </c>
      <c r="AI11" s="18">
        <f>IF(AH11="","",COUNTIFS(RawData[Checker ID],AH11,RawData[Month List],$Q$1,RawData[Tour/Site],$Q$2,RawData[[Picker ID ]],$Q$3,RawData[Checker ID],$Q$4,RawData[[Error Type ]],$Q$5))</f>
        <v>17</v>
      </c>
      <c r="AJ11" s="18" t="str">
        <v>DXB492425</v>
      </c>
    </row>
    <row r="12" spans="1:36" ht="21.75" customHeight="1" x14ac:dyDescent="0.25">
      <c r="N12" s="23">
        <v>46236</v>
      </c>
      <c r="O12" s="20">
        <f>IF(N12="","",COUNTIFS(RawData[[Date ]],N12,RawData[Month List],$Q$6,RawData[Tour/Site],$Q$2,RawData[[Picker ID ]],$Q$3,RawData[Checker ID],$Q$4,RawData[[Error Type ]],$Q$5))</f>
        <v>2</v>
      </c>
      <c r="X12" s="18" t="str">
        <v>August 2026</v>
      </c>
      <c r="Y12" s="18">
        <v>2255</v>
      </c>
      <c r="Z12" s="18" t="str">
        <v>DXB411399R</v>
      </c>
      <c r="AA12" s="18" t="str">
        <v>DXB456417</v>
      </c>
      <c r="AB12" s="18" t="str">
        <v>Short</v>
      </c>
      <c r="AC12" s="18">
        <f t="shared" ref="AC12:AC20" si="0">IF(AD12="","",ROW()-ROW($AD$10))</f>
        <v>2</v>
      </c>
      <c r="AD12" s="18" t="str">
        <v>DXB504922</v>
      </c>
      <c r="AE12" s="18">
        <f>IF(AD12="","",COUNTIFS(RawData[[Picker ID ]],AD12,RawData[Month List],$Q$1,RawData[Tour/Site],$Q$2,RawData[[Picker ID ]],$Q$3,RawData[Checker ID],$Q$4,RawData[[Error Type ]],$Q$5))</f>
        <v>4</v>
      </c>
      <c r="AF12" s="18" t="str">
        <v>DXB420499</v>
      </c>
      <c r="AG12" s="18">
        <f t="shared" ref="AG12:AG20" si="1">IF(AH12="","",ROW()-ROW($AH$10))</f>
        <v>2</v>
      </c>
      <c r="AH12" s="18" t="str">
        <v>DXB495322</v>
      </c>
      <c r="AI12" s="18">
        <f>IF(AH12="","",COUNTIFS(RawData[Checker ID],AH12,RawData[Month List],$Q$1,RawData[Tour/Site],$Q$2,RawData[[Picker ID ]],$Q$3,RawData[Checker ID],$Q$4,RawData[[Error Type ]],$Q$5))</f>
        <v>15</v>
      </c>
      <c r="AJ12" s="18" t="str">
        <v>DXB501183</v>
      </c>
    </row>
    <row r="13" spans="1:36" ht="19.5" customHeight="1" x14ac:dyDescent="0.25">
      <c r="N13" s="23">
        <v>46237</v>
      </c>
      <c r="O13" s="20">
        <f>IF(N13="","",COUNTIFS(RawData[[Date ]],N13,RawData[Month List],$Q$6,RawData[Tour/Site],$Q$2,RawData[[Picker ID ]],$Q$3,RawData[Checker ID],$Q$4,RawData[[Error Type ]],$Q$5))</f>
        <v>2</v>
      </c>
      <c r="Y13" s="18">
        <v>2257</v>
      </c>
      <c r="Z13" s="18" t="str">
        <v>DXB412854</v>
      </c>
      <c r="AA13" s="18" t="str">
        <v>DXB486073</v>
      </c>
      <c r="AC13" s="18">
        <f t="shared" si="0"/>
        <v>3</v>
      </c>
      <c r="AD13" s="18" t="str">
        <v>DXB504950</v>
      </c>
      <c r="AE13" s="18">
        <f>IF(AD13="","",COUNTIFS(RawData[[Picker ID ]],AD13,RawData[Month List],$Q$1,RawData[Tour/Site],$Q$2,RawData[[Picker ID ]],$Q$3,RawData[Checker ID],$Q$4,RawData[[Error Type ]],$Q$5))</f>
        <v>4</v>
      </c>
      <c r="AF13" s="18" t="str">
        <v>DXB411399R</v>
      </c>
      <c r="AG13" s="18">
        <f t="shared" si="1"/>
        <v>3</v>
      </c>
      <c r="AH13" s="18" t="str">
        <v>DXB492425</v>
      </c>
      <c r="AI13" s="18">
        <f>IF(AH13="","",COUNTIFS(RawData[Checker ID],AH13,RawData[Month List],$Q$1,RawData[Tour/Site],$Q$2,RawData[[Picker ID ]],$Q$3,RawData[Checker ID],$Q$4,RawData[[Error Type ]],$Q$5))</f>
        <v>12</v>
      </c>
      <c r="AJ13" s="18" t="str">
        <v>DXB495322</v>
      </c>
    </row>
    <row r="14" spans="1:36" x14ac:dyDescent="0.25">
      <c r="N14" s="23">
        <v>46239</v>
      </c>
      <c r="O14" s="20">
        <f>IF(N14="","",COUNTIFS(RawData[[Date ]],N14,RawData[Month List],$Q$6,RawData[Tour/Site],$Q$2,RawData[[Picker ID ]],$Q$3,RawData[Checker ID],$Q$4,RawData[[Error Type ]],$Q$5))</f>
        <v>2</v>
      </c>
      <c r="Y14" s="18">
        <v>2262</v>
      </c>
      <c r="Z14" s="18" t="str">
        <v>DXB413486R</v>
      </c>
      <c r="AA14" s="18" t="str">
        <v>DXB492425</v>
      </c>
      <c r="AC14" s="18">
        <f t="shared" si="0"/>
        <v>4</v>
      </c>
      <c r="AD14" s="18" t="str">
        <v>DXB52675R</v>
      </c>
      <c r="AE14" s="18">
        <f>IF(AD14="","",COUNTIFS(RawData[[Picker ID ]],AD14,RawData[Month List],$Q$1,RawData[Tour/Site],$Q$2,RawData[[Picker ID ]],$Q$3,RawData[Checker ID],$Q$4,RawData[[Error Type ]],$Q$5))</f>
        <v>4</v>
      </c>
      <c r="AF14" s="18" t="str">
        <v>DXB57291R</v>
      </c>
      <c r="AG14" s="18">
        <f t="shared" si="1"/>
        <v>4</v>
      </c>
      <c r="AH14" s="18" t="str">
        <v>DXB501183</v>
      </c>
      <c r="AI14" s="18">
        <f>IF(AH14="","",COUNTIFS(RawData[Checker ID],AH14,RawData[Month List],$Q$1,RawData[Tour/Site],$Q$2,RawData[[Picker ID ]],$Q$3,RawData[Checker ID],$Q$4,RawData[[Error Type ]],$Q$5))</f>
        <v>11</v>
      </c>
      <c r="AJ14" s="18" t="str">
        <v>DXB495322</v>
      </c>
    </row>
    <row r="15" spans="1:36" ht="15.75" customHeight="1" x14ac:dyDescent="0.25">
      <c r="N15" s="23">
        <v>46240</v>
      </c>
      <c r="O15" s="20">
        <f>IF(N15="","",COUNTIFS(RawData[[Date ]],N15,RawData[Month List],$Q$6,RawData[Tour/Site],$Q$2,RawData[[Picker ID ]],$Q$3,RawData[Checker ID],$Q$4,RawData[[Error Type ]],$Q$5))</f>
        <v>5</v>
      </c>
      <c r="Q15" s="18"/>
      <c r="Y15" s="18">
        <v>2267</v>
      </c>
      <c r="Z15" s="18" t="str">
        <v>DXB414071R</v>
      </c>
      <c r="AA15" s="18" t="str">
        <v>DXB495322</v>
      </c>
      <c r="AC15" s="18">
        <f t="shared" si="0"/>
        <v>5</v>
      </c>
      <c r="AD15" s="18" t="str">
        <v>DXB471127</v>
      </c>
      <c r="AE15" s="18">
        <f>IF(AD15="","",COUNTIFS(RawData[[Picker ID ]],AD15,RawData[Month List],$Q$1,RawData[Tour/Site],$Q$2,RawData[[Picker ID ]],$Q$3,RawData[Checker ID],$Q$4,RawData[[Error Type ]],$Q$5))</f>
        <v>4</v>
      </c>
      <c r="AF15" s="18" t="str">
        <v>DXB510559</v>
      </c>
      <c r="AG15" s="18">
        <f t="shared" si="1"/>
        <v>5</v>
      </c>
      <c r="AH15" s="18" t="str">
        <v>DXB442324</v>
      </c>
      <c r="AI15" s="18">
        <f>IF(AH15="","",COUNTIFS(RawData[Checker ID],AH15,RawData[Month List],$Q$1,RawData[Tour/Site],$Q$2,RawData[[Picker ID ]],$Q$3,RawData[Checker ID],$Q$4,RawData[[Error Type ]],$Q$5))</f>
        <v>10</v>
      </c>
      <c r="AJ15" s="18" t="str">
        <v>DXB501183</v>
      </c>
    </row>
    <row r="16" spans="1:36" ht="13.5" customHeight="1" x14ac:dyDescent="0.25">
      <c r="N16" s="23">
        <v>46241</v>
      </c>
      <c r="O16" s="20">
        <f>IF(N16="","",COUNTIFS(RawData[[Date ]],N16,RawData[Month List],$Q$6,RawData[Tour/Site],$Q$2,RawData[[Picker ID ]],$Q$3,RawData[Checker ID],$Q$4,RawData[[Error Type ]],$Q$5))</f>
        <v>2</v>
      </c>
      <c r="Y16" s="18">
        <v>2270</v>
      </c>
      <c r="Z16" s="18" t="str">
        <v>DXB420499</v>
      </c>
      <c r="AA16" s="18" t="str">
        <v>DXB501183</v>
      </c>
      <c r="AC16" s="18">
        <f t="shared" si="0"/>
        <v>6</v>
      </c>
      <c r="AD16" s="18" t="str">
        <v>DXB411399R</v>
      </c>
      <c r="AE16" s="18">
        <f>IF(AD16="","",COUNTIFS(RawData[[Picker ID ]],AD16,RawData[Month List],$Q$1,RawData[Tour/Site],$Q$2,RawData[[Picker ID ]],$Q$3,RawData[Checker ID],$Q$4,RawData[[Error Type ]],$Q$5))</f>
        <v>3</v>
      </c>
      <c r="AF16" s="18" t="str">
        <v>DXB412854</v>
      </c>
      <c r="AG16" s="18" t="str">
        <f t="shared" si="1"/>
        <v/>
      </c>
      <c r="AH16" s="18" t="str">
        <v/>
      </c>
      <c r="AI16" s="18" t="str">
        <f>IF(AH16="","",COUNTIFS(RawData[Checker ID],AH16,RawData[Month List],$Q$1,RawData[Tour/Site],$Q$2,RawData[[Picker ID ]],$Q$3,RawData[Checker ID],$Q$4,RawData[[Error Type ]],$Q$5))</f>
        <v/>
      </c>
      <c r="AJ16" s="18" t="str">
        <v>DXB442324</v>
      </c>
    </row>
    <row r="17" spans="14:36" ht="19.5" customHeight="1" x14ac:dyDescent="0.25">
      <c r="N17" s="23">
        <v>46242</v>
      </c>
      <c r="O17" s="20">
        <f>IF(N17="","",COUNTIFS(RawData[[Date ]],N17,RawData[Month List],$Q$6,RawData[Tour/Site],$Q$2,RawData[[Picker ID ]],$Q$3,RawData[Checker ID],$Q$4,RawData[[Error Type ]],$Q$5))</f>
        <v>1</v>
      </c>
      <c r="Y17" s="18">
        <v>2275</v>
      </c>
      <c r="Z17" s="18" t="str">
        <v>DXB425505</v>
      </c>
      <c r="AC17" s="18">
        <f t="shared" si="0"/>
        <v>7</v>
      </c>
      <c r="AD17" s="18" t="str">
        <v>DXB57291R</v>
      </c>
      <c r="AE17" s="18">
        <f>IF(AD17="","",COUNTIFS(RawData[[Picker ID ]],AD17,RawData[Month List],$Q$1,RawData[Tour/Site],$Q$2,RawData[[Picker ID ]],$Q$3,RawData[Checker ID],$Q$4,RawData[[Error Type ]],$Q$5))</f>
        <v>3</v>
      </c>
      <c r="AF17" s="18" t="str">
        <v>DXB494696</v>
      </c>
      <c r="AG17" s="18" t="str">
        <f t="shared" si="1"/>
        <v/>
      </c>
      <c r="AH17" s="18" t="str">
        <v/>
      </c>
      <c r="AI17" s="18" t="str">
        <f>IF(AH17="","",COUNTIFS(RawData[Checker ID],AH17,RawData[Month List],$Q$1,RawData[Tour/Site],$Q$2,RawData[[Picker ID ]],$Q$3,RawData[Checker ID],$Q$4,RawData[[Error Type ]],$Q$5))</f>
        <v/>
      </c>
      <c r="AJ17" s="18" t="str">
        <v>DXB442324</v>
      </c>
    </row>
    <row r="18" spans="14:36" ht="21.75" customHeight="1" x14ac:dyDescent="0.25">
      <c r="N18" s="23">
        <v>46244</v>
      </c>
      <c r="O18" s="20">
        <f>IF(N18="","",COUNTIFS(RawData[[Date ]],N18,RawData[Month List],$Q$6,RawData[Tour/Site],$Q$2,RawData[[Picker ID ]],$Q$3,RawData[Checker ID],$Q$4,RawData[[Error Type ]],$Q$5))</f>
        <v>3</v>
      </c>
      <c r="Y18" s="18">
        <v>2276</v>
      </c>
      <c r="Z18" s="18" t="str">
        <v>DXB430120R</v>
      </c>
      <c r="AC18" s="18">
        <f t="shared" si="0"/>
        <v>8</v>
      </c>
      <c r="AD18" s="18" t="str">
        <v>DXB509334</v>
      </c>
      <c r="AE18" s="18">
        <f>IF(AD18="","",COUNTIFS(RawData[[Picker ID ]],AD18,RawData[Month List],$Q$1,RawData[Tour/Site],$Q$2,RawData[[Picker ID ]],$Q$3,RawData[Checker ID],$Q$4,RawData[[Error Type ]],$Q$5))</f>
        <v>3</v>
      </c>
      <c r="AF18" s="18" t="str">
        <v>DXB504950</v>
      </c>
      <c r="AG18" s="18" t="str">
        <f t="shared" si="1"/>
        <v/>
      </c>
      <c r="AH18" s="18" t="str">
        <v/>
      </c>
      <c r="AI18" s="18" t="str">
        <f>IF(AH18="","",COUNTIFS(RawData[Checker ID],AH18,RawData[Month List],$Q$1,RawData[Tour/Site],$Q$2,RawData[[Picker ID ]],$Q$3,RawData[Checker ID],$Q$4,RawData[[Error Type ]],$Q$5))</f>
        <v/>
      </c>
      <c r="AJ18" s="18" t="str">
        <v>DXB442324</v>
      </c>
    </row>
    <row r="19" spans="14:36" x14ac:dyDescent="0.25">
      <c r="N19" s="23">
        <v>46246</v>
      </c>
      <c r="O19" s="20">
        <f>IF(N19="","",COUNTIFS(RawData[[Date ]],N19,RawData[Month List],$Q$6,RawData[Tour/Site],$Q$2,RawData[[Picker ID ]],$Q$3,RawData[Checker ID],$Q$4,RawData[[Error Type ]],$Q$5))</f>
        <v>2</v>
      </c>
      <c r="Y19" s="18">
        <v>2286</v>
      </c>
      <c r="Z19" s="18" t="str">
        <v>DXB433581</v>
      </c>
      <c r="AC19" s="18">
        <f t="shared" si="0"/>
        <v>9</v>
      </c>
      <c r="AD19" s="18" t="str">
        <v>DXB497085</v>
      </c>
      <c r="AE19" s="18">
        <f>IF(AD19="","",COUNTIFS(RawData[[Picker ID ]],AD19,RawData[Month List],$Q$1,RawData[Tour/Site],$Q$2,RawData[[Picker ID ]],$Q$3,RawData[Checker ID],$Q$4,RawData[[Error Type ]],$Q$5))</f>
        <v>3</v>
      </c>
      <c r="AF19" s="18" t="str">
        <v>DXB411399R</v>
      </c>
      <c r="AG19" s="18" t="str">
        <f t="shared" si="1"/>
        <v/>
      </c>
      <c r="AH19" s="18" t="str">
        <v/>
      </c>
      <c r="AI19" s="18" t="str">
        <f>IF(AH19="","",COUNTIFS(RawData[Checker ID],AH19,RawData[Month List],$Q$1,RawData[Tour/Site],$Q$2,RawData[[Picker ID ]],$Q$3,RawData[Checker ID],$Q$4,RawData[[Error Type ]],$Q$5))</f>
        <v/>
      </c>
      <c r="AJ19" s="18" t="str">
        <v>DXB501183</v>
      </c>
    </row>
    <row r="20" spans="14:36" x14ac:dyDescent="0.25">
      <c r="N20" s="23">
        <v>46247</v>
      </c>
      <c r="O20" s="20">
        <f>IF(N20="","",COUNTIFS(RawData[[Date ]],N20,RawData[Month List],$Q$6,RawData[Tour/Site],$Q$2,RawData[[Picker ID ]],$Q$3,RawData[Checker ID],$Q$4,RawData[[Error Type ]],$Q$5))</f>
        <v>4</v>
      </c>
      <c r="Y20" s="18">
        <v>2300</v>
      </c>
      <c r="Z20" s="18" t="str">
        <v>DXB453498</v>
      </c>
      <c r="AC20" s="18">
        <f t="shared" si="0"/>
        <v>10</v>
      </c>
      <c r="AD20" s="18" t="str">
        <v>DXB494696</v>
      </c>
      <c r="AE20" s="18">
        <f>IF(AD20="","",COUNTIFS(RawData[[Picker ID ]],AD20,RawData[Month List],$Q$1,RawData[Tour/Site],$Q$2,RawData[[Picker ID ]],$Q$3,RawData[Checker ID],$Q$4,RawData[[Error Type ]],$Q$5))</f>
        <v>2</v>
      </c>
      <c r="AF20" s="18" t="str">
        <v>DXB414071R</v>
      </c>
      <c r="AG20" s="18" t="str">
        <f t="shared" si="1"/>
        <v/>
      </c>
      <c r="AH20" s="18" t="str">
        <v/>
      </c>
      <c r="AI20" s="18" t="str">
        <f>IF(AH20="","",COUNTIFS(RawData[Checker ID],AH20,RawData[Month List],$Q$1,RawData[Tour/Site],$Q$2,RawData[[Picker ID ]],$Q$3,RawData[Checker ID],$Q$4,RawData[[Error Type ]],$Q$5))</f>
        <v/>
      </c>
      <c r="AJ20" s="18" t="str">
        <v>DXB501183</v>
      </c>
    </row>
    <row r="21" spans="14:36" x14ac:dyDescent="0.25">
      <c r="N21" s="23">
        <v>46248</v>
      </c>
      <c r="O21" s="20">
        <f>IF(N21="","",COUNTIFS(RawData[[Date ]],N21,RawData[Month List],$Q$6,RawData[Tour/Site],$Q$2,RawData[[Picker ID ]],$Q$3,RawData[Checker ID],$Q$4,RawData[[Error Type ]],$Q$5))</f>
        <v>8</v>
      </c>
      <c r="Y21" s="18">
        <v>2320</v>
      </c>
      <c r="Z21" s="18" t="str">
        <v>DXB462178</v>
      </c>
      <c r="AC21" s="18" t="str">
        <f t="shared" ref="AC21:AC25" si="2">IF(AD21="","",ROW()-ROW($AD$11))</f>
        <v/>
      </c>
      <c r="AE21" s="18" t="str">
        <f>IF(AD21="","",COUNTIFS(RawData[[Picker ID ]],AD21,RawData[Month List],$Q$1,RawData[Tour/Site],$Q$2,RawData[[Picker ID ]],$Q$3,RawData[Checker ID],$Q$4,RawData[[Error Type ]],$Q$5))</f>
        <v/>
      </c>
      <c r="AF21" s="18" t="str">
        <v>DXB411399R</v>
      </c>
      <c r="AI21" s="18" t="str">
        <f>IF(AH21="","",COUNTIFS(RawData[Checker ID],AH21,RawData[Month List],$Q$1,RawData[Tour/Site],$Q$2,RawData[[Picker ID ]],$Q$3,RawData[Checker ID],$Q$4,RawData[[Error Type ]],$Q$5))</f>
        <v/>
      </c>
      <c r="AJ21" s="18" t="str">
        <v>DXB495322</v>
      </c>
    </row>
    <row r="22" spans="14:36" x14ac:dyDescent="0.25">
      <c r="N22" s="23">
        <v>46249</v>
      </c>
      <c r="O22" s="20">
        <f>IF(N22="","",COUNTIFS(RawData[[Date ]],N22,RawData[Month List],$Q$6,RawData[Tour/Site],$Q$2,RawData[[Picker ID ]],$Q$3,RawData[Checker ID],$Q$4,RawData[[Error Type ]],$Q$5))</f>
        <v>4</v>
      </c>
      <c r="Y22" s="18">
        <v>2331</v>
      </c>
      <c r="Z22" s="18" t="str">
        <v>DXB471127</v>
      </c>
      <c r="AC22" s="18" t="str">
        <f t="shared" si="2"/>
        <v/>
      </c>
      <c r="AE22" s="18" t="str">
        <f>IF(AD22="","",COUNTIFS(RawData[[Picker ID ]],AD22,RawData[Month List],$Q$1,RawData[Tour/Site],$Q$2,RawData[[Picker ID ]],$Q$3,RawData[Checker ID],$Q$4,RawData[[Error Type ]],$Q$5))</f>
        <v/>
      </c>
      <c r="AF22" s="18" t="str">
        <v>DXB413486R</v>
      </c>
      <c r="AJ22" s="18" t="str">
        <v>DXB501183</v>
      </c>
    </row>
    <row r="23" spans="14:36" x14ac:dyDescent="0.25">
      <c r="N23" s="23">
        <v>46250</v>
      </c>
      <c r="O23" s="20">
        <f>IF(N23="","",COUNTIFS(RawData[[Date ]],N23,RawData[Month List],$Q$6,RawData[Tour/Site],$Q$2,RawData[[Picker ID ]],$Q$3,RawData[Checker ID],$Q$4,RawData[[Error Type ]],$Q$5))</f>
        <v>4</v>
      </c>
      <c r="Y23" s="18">
        <v>2332</v>
      </c>
      <c r="Z23" s="18" t="str">
        <v>DXB471901</v>
      </c>
      <c r="AC23" s="18" t="str">
        <f t="shared" si="2"/>
        <v/>
      </c>
      <c r="AF23" s="18" t="str">
        <v>DXB425505</v>
      </c>
      <c r="AJ23" s="18" t="str">
        <v>DXB495322</v>
      </c>
    </row>
    <row r="24" spans="14:36" x14ac:dyDescent="0.25">
      <c r="N24" s="23">
        <v>46252</v>
      </c>
      <c r="O24" s="20">
        <f>IF(N24="","",COUNTIFS(RawData[[Date ]],N24,RawData[Month List],$Q$6,RawData[Tour/Site],$Q$2,RawData[[Picker ID ]],$Q$3,RawData[Checker ID],$Q$4,RawData[[Error Type ]],$Q$5))</f>
        <v>3</v>
      </c>
      <c r="Y24" s="18">
        <v>2344</v>
      </c>
      <c r="Z24" s="18" t="str">
        <v>DXB478379</v>
      </c>
      <c r="AC24" s="18" t="str">
        <f t="shared" si="2"/>
        <v/>
      </c>
      <c r="AF24" s="18" t="str">
        <v>DXB481020R</v>
      </c>
      <c r="AJ24" s="18" t="str">
        <v>DXB495322</v>
      </c>
    </row>
    <row r="25" spans="14:36" x14ac:dyDescent="0.25">
      <c r="N25" s="23">
        <v>46253</v>
      </c>
      <c r="O25" s="20">
        <f>IF(N25="","",COUNTIFS(RawData[[Date ]],N25,RawData[Month List],$Q$6,RawData[Tour/Site],$Q$2,RawData[[Picker ID ]],$Q$3,RawData[Checker ID],$Q$4,RawData[[Error Type ]],$Q$5))</f>
        <v>3</v>
      </c>
      <c r="Y25" s="18">
        <v>2350</v>
      </c>
      <c r="Z25" s="18" t="str">
        <v>DXB481020R</v>
      </c>
      <c r="AC25" s="18" t="str">
        <f t="shared" si="2"/>
        <v/>
      </c>
      <c r="AF25" s="18" t="str">
        <v>DXB481020R</v>
      </c>
      <c r="AJ25" s="18" t="str">
        <v>DXB495322</v>
      </c>
    </row>
    <row r="26" spans="14:36" x14ac:dyDescent="0.25">
      <c r="N26" s="23">
        <v>46254</v>
      </c>
      <c r="O26" s="20">
        <f>IF(N26="","",COUNTIFS(RawData[[Date ]],N26,RawData[Month List],$Q$6,RawData[Tour/Site],$Q$2,RawData[[Picker ID ]],$Q$3,RawData[Checker ID],$Q$4,RawData[[Error Type ]],$Q$5))</f>
        <v>3</v>
      </c>
      <c r="Y26" s="18">
        <v>2362</v>
      </c>
      <c r="Z26" s="18" t="str">
        <v>DXB481085</v>
      </c>
      <c r="AF26" s="18" t="str">
        <v>DXB504923</v>
      </c>
      <c r="AJ26" s="18" t="str">
        <v>DXB456417</v>
      </c>
    </row>
    <row r="27" spans="14:36" x14ac:dyDescent="0.25">
      <c r="N27" s="23">
        <v>46255</v>
      </c>
      <c r="O27" s="20">
        <f>IF(N27="","",COUNTIFS(RawData[[Date ]],N27,RawData[Month List],$Q$6,RawData[Tour/Site],$Q$2,RawData[[Picker ID ]],$Q$3,RawData[Checker ID],$Q$4,RawData[[Error Type ]],$Q$5))</f>
        <v>2</v>
      </c>
      <c r="Y27" s="18">
        <v>2380</v>
      </c>
      <c r="Z27" s="18" t="str">
        <v>DXB484498</v>
      </c>
      <c r="AF27" s="18" t="str">
        <v>DXB52675R</v>
      </c>
      <c r="AJ27" s="18" t="str">
        <v>DXB495322</v>
      </c>
    </row>
    <row r="28" spans="14:36" x14ac:dyDescent="0.25">
      <c r="N28" s="23">
        <v>46256</v>
      </c>
      <c r="O28" s="20">
        <f>IF(N28="","",COUNTIFS(RawData[[Date ]],N28,RawData[Month List],$Q$6,RawData[Tour/Site],$Q$2,RawData[[Picker ID ]],$Q$3,RawData[Checker ID],$Q$4,RawData[[Error Type ]],$Q$5))</f>
        <v>3</v>
      </c>
      <c r="Y28" s="18">
        <v>2382</v>
      </c>
      <c r="Z28" s="18" t="str">
        <v>DXB485760</v>
      </c>
      <c r="AF28" s="18" t="str">
        <v>DXB52675R</v>
      </c>
      <c r="AJ28" s="18" t="str">
        <v>DXB495322</v>
      </c>
    </row>
    <row r="29" spans="14:36" x14ac:dyDescent="0.25">
      <c r="N29" s="23">
        <v>46257</v>
      </c>
      <c r="O29" s="20">
        <f>IF(N29="","",COUNTIFS(RawData[[Date ]],N29,RawData[Month List],$Q$6,RawData[Tour/Site],$Q$2,RawData[[Picker ID ]],$Q$3,RawData[Checker ID],$Q$4,RawData[[Error Type ]],$Q$5))</f>
        <v>4</v>
      </c>
      <c r="Y29" s="18">
        <v>2390</v>
      </c>
      <c r="Z29" s="18" t="str">
        <v>DXB486496</v>
      </c>
      <c r="AF29" s="18" t="str">
        <v>DXB76893</v>
      </c>
      <c r="AJ29" s="18" t="str">
        <v>DXB492425</v>
      </c>
    </row>
    <row r="30" spans="14:36" x14ac:dyDescent="0.25">
      <c r="O30" s="20" t="str">
        <f>IF(N30="","",COUNTIFS(RawData[[Date ]],N30,RawData[Month List],$Q$6,RawData[Tour/Site],$Q$2,RawData[[Picker ID ]],$Q$3,RawData[Checker ID],$Q$4,RawData[[Error Type ]],$Q$5))</f>
        <v/>
      </c>
      <c r="Y30" s="18">
        <v>2392</v>
      </c>
      <c r="Z30" s="18" t="str">
        <v>DXB487190</v>
      </c>
      <c r="AF30" s="18" t="str">
        <v>DXB425505</v>
      </c>
      <c r="AJ30" s="18" t="str">
        <v>DXB501183</v>
      </c>
    </row>
    <row r="31" spans="14:36" x14ac:dyDescent="0.25">
      <c r="O31" s="20" t="str">
        <f>IF(N31="","",COUNTIFS(RawData[[Date ]],N31,RawData[Month List],$Q$6,RawData[Tour/Site],$Q$2,RawData[[Picker ID ]],$Q$3,RawData[Checker ID],$Q$4,RawData[[Error Type ]],$Q$5))</f>
        <v/>
      </c>
      <c r="Y31" s="18">
        <v>2394</v>
      </c>
      <c r="Z31" s="18" t="str">
        <v>DXB487698</v>
      </c>
      <c r="AF31" s="18" t="str">
        <v>DXB76892</v>
      </c>
      <c r="AJ31" s="18" t="str">
        <v>DXB492425</v>
      </c>
    </row>
    <row r="32" spans="14:36" x14ac:dyDescent="0.25">
      <c r="O32" s="20" t="str">
        <f>IF(N32="","",COUNTIFS(RawData[[Date ]],N32,RawData[Month List],$Q$6,RawData[Tour/Site],$Q$2,RawData[[Picker ID ]],$Q$3,RawData[Checker ID],$Q$4,RawData[[Error Type ]],$Q$5))</f>
        <v/>
      </c>
      <c r="Y32" s="18">
        <v>2410</v>
      </c>
      <c r="Z32" s="18" t="str">
        <v>DXB488630</v>
      </c>
      <c r="AF32" s="18" t="str">
        <v>DXB57291R</v>
      </c>
      <c r="AJ32" s="18" t="str">
        <v>DXB456417</v>
      </c>
    </row>
    <row r="33" spans="15:36" x14ac:dyDescent="0.25">
      <c r="O33" s="20" t="str">
        <f>IF(N33="","",COUNTIFS(RawData[[Date ]],N33,RawData[Month List],$Q$6,RawData[Tour/Site],$Q$2,RawData[[Picker ID ]],$Q$3,RawData[Checker ID],$Q$4,RawData[[Error Type ]],$Q$5))</f>
        <v/>
      </c>
      <c r="Y33" s="18">
        <v>2420</v>
      </c>
      <c r="Z33" s="18" t="str">
        <v>DXB488635</v>
      </c>
      <c r="AF33" s="18" t="str">
        <v>DXB462178</v>
      </c>
      <c r="AJ33" s="18" t="str">
        <v>DXB501183</v>
      </c>
    </row>
    <row r="34" spans="15:36" x14ac:dyDescent="0.25">
      <c r="O34" s="20" t="str">
        <f>IF(N34="","",COUNTIFS(RawData[[Date ]],N34,RawData[Month List],$Q$6,RawData[Tour/Site],$Q$2,RawData[[Picker ID ]],$Q$3,RawData[Checker ID],$Q$4,RawData[[Error Type ]],$Q$5))</f>
        <v/>
      </c>
      <c r="Y34" s="18">
        <v>2437</v>
      </c>
      <c r="Z34" s="18" t="str">
        <v>DXB488644</v>
      </c>
      <c r="AF34" s="18" t="str">
        <v>DXB425505</v>
      </c>
      <c r="AJ34" s="18" t="str">
        <v>DXB495322</v>
      </c>
    </row>
    <row r="35" spans="15:36" x14ac:dyDescent="0.25">
      <c r="O35" s="20" t="str">
        <f>IF(N35="","",COUNTIFS(RawData[[Date ]],N35,RawData[Month List],$Q$6,RawData[Tour/Site],$Q$2,RawData[[Picker ID ]],$Q$3,RawData[Checker ID],$Q$4,RawData[[Error Type ]],$Q$5))</f>
        <v/>
      </c>
      <c r="Y35" s="18">
        <v>2440</v>
      </c>
      <c r="Z35" s="18" t="str">
        <v>DXB488647</v>
      </c>
      <c r="AF35" s="18" t="str">
        <v>DXB487698</v>
      </c>
      <c r="AJ35" s="18" t="str">
        <v>DXB495322</v>
      </c>
    </row>
    <row r="36" spans="15:36" x14ac:dyDescent="0.25">
      <c r="O36" s="20" t="str">
        <f>IF(N36="","",COUNTIFS(RawData[[Date ]],N36,RawData[Month List],$Q$6,RawData[Tour/Site],$Q$2,RawData[[Picker ID ]],$Q$3,RawData[Checker ID],$Q$4,RawData[[Error Type ]],$Q$5))</f>
        <v/>
      </c>
      <c r="Y36" s="18">
        <v>2450</v>
      </c>
      <c r="Z36" s="18" t="str">
        <v>DXB489995</v>
      </c>
      <c r="AF36" s="18" t="str">
        <v>DXB…......</v>
      </c>
      <c r="AJ36" s="18" t="str">
        <v>DXB442324</v>
      </c>
    </row>
    <row r="37" spans="15:36" x14ac:dyDescent="0.25">
      <c r="O37" s="20" t="str">
        <f>IF(N37="","",COUNTIFS(RawData[[Date ]],N37,RawData[Month List],$Q$6,RawData[Tour/Site],$Q$2,RawData[[Picker ID ]],$Q$3,RawData[Checker ID],$Q$4,RawData[[Error Type ]],$Q$5))</f>
        <v/>
      </c>
      <c r="Y37" s="18">
        <v>2490</v>
      </c>
      <c r="Z37" s="18" t="str">
        <v>DXB492303</v>
      </c>
      <c r="AF37" s="18" t="str">
        <v>DXB433581</v>
      </c>
      <c r="AJ37" s="18" t="str">
        <v>DXB456417</v>
      </c>
    </row>
    <row r="38" spans="15:36" x14ac:dyDescent="0.25">
      <c r="O38" s="20" t="str">
        <f>IF(N38="","",COUNTIFS(RawData[[Date ]],N38,RawData[Month List],$Q$6,RawData[Tour/Site],$Q$2,RawData[[Picker ID ]],$Q$3,RawData[Checker ID],$Q$4,RawData[[Error Type ]],$Q$5))</f>
        <v/>
      </c>
      <c r="Y38" s="18">
        <v>2560</v>
      </c>
      <c r="Z38" s="18" t="str">
        <v>DXB492416</v>
      </c>
      <c r="AF38" s="18" t="str">
        <v>DXB488630</v>
      </c>
      <c r="AJ38" s="18" t="str">
        <v>DXB456417</v>
      </c>
    </row>
    <row r="39" spans="15:36" x14ac:dyDescent="0.25">
      <c r="O39" s="20" t="str">
        <f>IF(N39="","",COUNTIFS(RawData[[Date ]],N39,RawData[Month List],$Q$6,RawData[Tour/Site],$Q$2,RawData[[Picker ID ]],$Q$3,RawData[Checker ID],$Q$4,RawData[[Error Type ]],$Q$5))</f>
        <v/>
      </c>
      <c r="Y39" s="18">
        <v>2575</v>
      </c>
      <c r="Z39" s="18" t="str">
        <v>DXB494649</v>
      </c>
      <c r="AF39" s="18" t="str">
        <v>DXB487190</v>
      </c>
      <c r="AJ39" s="18" t="str">
        <v>DXB456417</v>
      </c>
    </row>
    <row r="40" spans="15:36" x14ac:dyDescent="0.25">
      <c r="O40" s="20" t="str">
        <f>IF(N40="","",COUNTIFS(RawData[[Date ]],N40,RawData[Month List],$Q$6,RawData[Tour/Site],$Q$2,RawData[[Picker ID ]],$Q$3,RawData[Checker ID],$Q$4,RawData[[Error Type ]],$Q$5))</f>
        <v/>
      </c>
      <c r="Z40" s="18" t="str">
        <v>DXB494696</v>
      </c>
      <c r="AF40" s="18" t="str">
        <v>DXB52675R</v>
      </c>
      <c r="AJ40" s="18" t="str">
        <v>DXB456417</v>
      </c>
    </row>
    <row r="41" spans="15:36" x14ac:dyDescent="0.25">
      <c r="O41" s="20" t="str">
        <f>IF(N41="","",COUNTIFS(RawData[[Date ]],N41,RawData[Month List],$Q$6,RawData[Tour/Site],$Q$2,RawData[[Picker ID ]],$Q$3,RawData[Checker ID],$Q$4,RawData[[Error Type ]],$Q$5))</f>
        <v/>
      </c>
      <c r="Z41" s="18" t="str">
        <v>DXB497063</v>
      </c>
      <c r="AF41" s="18" t="str">
        <v>DXB430120R</v>
      </c>
      <c r="AJ41" s="18" t="str">
        <v>DXB456417</v>
      </c>
    </row>
    <row r="42" spans="15:36" x14ac:dyDescent="0.25">
      <c r="O42" s="20" t="str">
        <f>IF(N42="","",COUNTIFS(RawData[[Date ]],N42,RawData[Month List],$Q$6,RawData[Tour/Site],$Q$2,RawData[[Picker ID ]],$Q$3,RawData[Checker ID],$Q$4,RawData[[Error Type ]],$Q$5))</f>
        <v/>
      </c>
      <c r="Z42" s="18" t="str">
        <v>DXB497085</v>
      </c>
      <c r="AF42" s="18" t="str">
        <v>DXB430120R</v>
      </c>
      <c r="AJ42" s="18" t="str">
        <v>DXB456417</v>
      </c>
    </row>
    <row r="43" spans="15:36" x14ac:dyDescent="0.25">
      <c r="O43" s="20" t="str">
        <f>IF(N43="","",COUNTIFS(RawData[[Date ]],N43,RawData[Month List],$Q$6,RawData[Tour/Site],$Q$2,RawData[[Picker ID ]],$Q$3,RawData[Checker ID],$Q$4,RawData[[Error Type ]],$Q$5))</f>
        <v/>
      </c>
      <c r="Z43" s="18" t="str">
        <v>DXB497086</v>
      </c>
      <c r="AF43" s="18" t="str">
        <v>DXB509334</v>
      </c>
      <c r="AJ43" s="18" t="str">
        <v>DXB495322</v>
      </c>
    </row>
    <row r="44" spans="15:36" x14ac:dyDescent="0.25">
      <c r="O44" s="20" t="str">
        <f>IF(N44="","",COUNTIFS(RawData[[Date ]],N44,RawData[Month List],$Q$6,RawData[Tour/Site],$Q$2,RawData[[Picker ID ]],$Q$3,RawData[Checker ID],$Q$4,RawData[[Error Type ]],$Q$5))</f>
        <v/>
      </c>
      <c r="Z44" s="18" t="str">
        <v>DXB497090</v>
      </c>
      <c r="AF44" s="18" t="str">
        <v>DXB485760</v>
      </c>
      <c r="AJ44" s="18" t="str">
        <v>DXB456417</v>
      </c>
    </row>
    <row r="45" spans="15:36" x14ac:dyDescent="0.25">
      <c r="O45" s="20" t="str">
        <f>IF(N45="","",COUNTIFS(RawData[[Date ]],N45,RawData[Month List],$Q$6,RawData[Tour/Site],$Q$2,RawData[[Picker ID ]],$Q$3,RawData[Checker ID],$Q$4,RawData[[Error Type ]],$Q$5))</f>
        <v/>
      </c>
      <c r="Z45" s="18" t="str">
        <v>DXB504922</v>
      </c>
      <c r="AF45" s="18" t="str">
        <v>DXB485760</v>
      </c>
      <c r="AJ45" s="18" t="str">
        <v>DXB456417</v>
      </c>
    </row>
    <row r="46" spans="15:36" x14ac:dyDescent="0.25">
      <c r="O46" s="20" t="str">
        <f>IF(N46="","",COUNTIFS(RawData[[Date ]],N46,RawData[Month List],$Q$6,RawData[Tour/Site],$Q$2,RawData[[Picker ID ]],$Q$3,RawData[Checker ID],$Q$4,RawData[[Error Type ]],$Q$5))</f>
        <v/>
      </c>
      <c r="Z46" s="18" t="str">
        <v>DXB504923</v>
      </c>
      <c r="AF46" s="18" t="str">
        <v>DXB425505</v>
      </c>
      <c r="AJ46" s="18" t="str">
        <v>DXB495322</v>
      </c>
    </row>
    <row r="47" spans="15:36" x14ac:dyDescent="0.25">
      <c r="O47" s="20" t="str">
        <f>IF(N47="","",COUNTIFS(RawData[[Date ]],N47,RawData[Month List],$Q$6,RawData[Tour/Site],$Q$2,RawData[[Picker ID ]],$Q$3,RawData[Checker ID],$Q$4,RawData[[Error Type ]],$Q$5))</f>
        <v/>
      </c>
      <c r="Z47" s="18" t="str">
        <v>DXB504927</v>
      </c>
      <c r="AF47" s="18" t="str">
        <v>DXB425505</v>
      </c>
      <c r="AJ47" s="18" t="str">
        <v>DXB495322</v>
      </c>
    </row>
    <row r="48" spans="15:36" x14ac:dyDescent="0.25">
      <c r="O48" s="20" t="str">
        <f>IF(N48="","",COUNTIFS(RawData[[Date ]],N48,RawData[Month List],$Q$6,RawData[Tour/Site],$Q$2,RawData[[Picker ID ]],$Q$3,RawData[Checker ID],$Q$4,RawData[[Error Type ]],$Q$5))</f>
        <v/>
      </c>
      <c r="Z48" s="18" t="str">
        <v>DXB504950</v>
      </c>
      <c r="AF48" s="18" t="str">
        <v>DXB478379</v>
      </c>
      <c r="AJ48" s="18" t="str">
        <v>DXB456417</v>
      </c>
    </row>
    <row r="49" spans="15:36" x14ac:dyDescent="0.25">
      <c r="O49" s="20" t="str">
        <f>IF(N49="","",COUNTIFS(RawData[[Date ]],N49,RawData[Month List],$Q$6,RawData[Tour/Site],$Q$2,RawData[[Picker ID ]],$Q$3,RawData[Checker ID],$Q$4,RawData[[Error Type ]],$Q$5))</f>
        <v/>
      </c>
      <c r="Z49" s="18" t="str">
        <v>DXB509334</v>
      </c>
      <c r="AF49" s="18" t="str">
        <v>DXB497085</v>
      </c>
      <c r="AJ49" s="18" t="str">
        <v>DXB492425</v>
      </c>
    </row>
    <row r="50" spans="15:36" x14ac:dyDescent="0.25">
      <c r="O50" s="20" t="str">
        <f>IF(N50="","",COUNTIFS(RawData[[Date ]],N50,RawData[Month List],$Q$6,RawData[Tour/Site],$Q$2,RawData[[Picker ID ]],$Q$3,RawData[Checker ID],$Q$4,RawData[[Error Type ]],$Q$5))</f>
        <v/>
      </c>
      <c r="Z50" s="18" t="str">
        <v>DXB510559</v>
      </c>
      <c r="AF50" s="18" t="str">
        <v>DXB471127</v>
      </c>
      <c r="AJ50" s="18" t="str">
        <v>DXB442324</v>
      </c>
    </row>
    <row r="51" spans="15:36" x14ac:dyDescent="0.25">
      <c r="O51" s="20" t="str">
        <f>IF(N51="","",COUNTIFS(RawData[[Date ]],N51,RawData[Month List],$Q$6,RawData[Tour/Site],$Q$2,RawData[[Picker ID ]],$Q$3,RawData[Checker ID],$Q$4,RawData[[Error Type ]],$Q$5))</f>
        <v/>
      </c>
      <c r="Z51" s="18" t="str">
        <v>DXB511009</v>
      </c>
      <c r="AF51" s="18" t="str">
        <v>DXB471127</v>
      </c>
      <c r="AJ51" s="18" t="str">
        <v>DXB442324</v>
      </c>
    </row>
    <row r="52" spans="15:36" x14ac:dyDescent="0.25">
      <c r="O52" s="20" t="str">
        <f>IF(N52="","",COUNTIFS(RawData[[Date ]],N52,RawData[Month List],$Q$6,RawData[Tour/Site],$Q$2,RawData[[Picker ID ]],$Q$3,RawData[Checker ID],$Q$4,RawData[[Error Type ]],$Q$5))</f>
        <v/>
      </c>
      <c r="Z52" s="18" t="str">
        <v>DXB52675R</v>
      </c>
      <c r="AF52" s="18" t="str">
        <v>DXB492303</v>
      </c>
      <c r="AJ52" s="18" t="str">
        <v>DXB492425</v>
      </c>
    </row>
    <row r="53" spans="15:36" x14ac:dyDescent="0.25">
      <c r="O53" s="20" t="str">
        <f>IF(N53="","",COUNTIFS(RawData[[Date ]],N53,RawData[Month List],$Q$6,RawData[Tour/Site],$Q$2,RawData[[Picker ID ]],$Q$3,RawData[Checker ID],$Q$4,RawData[[Error Type ]],$Q$5))</f>
        <v/>
      </c>
      <c r="Z53" s="18" t="str">
        <v>DXB57291R</v>
      </c>
      <c r="AF53" s="18" t="str">
        <v>DXB504922</v>
      </c>
      <c r="AJ53" s="18" t="str">
        <v>DXB492425</v>
      </c>
    </row>
    <row r="54" spans="15:36" x14ac:dyDescent="0.25">
      <c r="O54" s="20" t="str">
        <f>IF(N54="","",COUNTIFS(RawData[[Date ]],N54,RawData[Month List],$Q$6,RawData[Tour/Site],$Q$2,RawData[[Picker ID ]],$Q$3,RawData[Checker ID],$Q$4,RawData[[Error Type ]],$Q$5))</f>
        <v/>
      </c>
      <c r="Z54" s="18" t="str">
        <v>DXB62350R</v>
      </c>
      <c r="AF54" s="18" t="str">
        <v>DXB492303</v>
      </c>
      <c r="AJ54" s="18" t="str">
        <v>DXB492425</v>
      </c>
    </row>
    <row r="55" spans="15:36" x14ac:dyDescent="0.25">
      <c r="O55" s="20" t="str">
        <f>IF(N55="","",COUNTIFS(RawData[[Date ]],N55,RawData[Month List],$Q$6,RawData[Tour/Site],$Q$2,RawData[[Picker ID ]],$Q$3,RawData[Checker ID],$Q$4,RawData[[Error Type ]],$Q$5))</f>
        <v/>
      </c>
      <c r="Z55" s="18" t="str">
        <v>DXB63233R</v>
      </c>
      <c r="AF55" s="18" t="str">
        <v>DXB497086</v>
      </c>
      <c r="AJ55" s="18" t="str">
        <v>DXB492425</v>
      </c>
    </row>
    <row r="56" spans="15:36" x14ac:dyDescent="0.25">
      <c r="O56" s="20" t="str">
        <f>IF(N56="","",COUNTIFS(RawData[[Date ]],N56,RawData[Month List],$Q$6,RawData[Tour/Site],$Q$2,RawData[[Picker ID ]],$Q$3,RawData[Checker ID],$Q$4,RawData[[Error Type ]],$Q$5))</f>
        <v/>
      </c>
      <c r="Z56" s="18" t="str">
        <v>DXB65189</v>
      </c>
      <c r="AF56" s="18" t="str">
        <v>DXB494696</v>
      </c>
      <c r="AJ56" s="18" t="str">
        <v>DXB501183</v>
      </c>
    </row>
    <row r="57" spans="15:36" x14ac:dyDescent="0.25">
      <c r="O57" s="20" t="str">
        <f>IF(N57="","",COUNTIFS(RawData[[Date ]],N57,RawData[Month List],$Q$6,RawData[Tour/Site],$Q$2,RawData[[Picker ID ]],$Q$3,RawData[Checker ID],$Q$4,RawData[[Error Type ]],$Q$5))</f>
        <v/>
      </c>
      <c r="Z57" s="18" t="str">
        <v>DXB73808R</v>
      </c>
      <c r="AF57" s="18" t="str">
        <v>DXB471127</v>
      </c>
      <c r="AJ57" s="18" t="str">
        <v>DXB456417</v>
      </c>
    </row>
    <row r="58" spans="15:36" x14ac:dyDescent="0.25">
      <c r="O58" s="20" t="str">
        <f>IF(N58="","",COUNTIFS(RawData[[Date ]],N58,RawData[Month List],$Q$6,RawData[Tour/Site],$Q$2,RawData[[Picker ID ]],$Q$3,RawData[Checker ID],$Q$4,RawData[[Error Type ]],$Q$5))</f>
        <v/>
      </c>
      <c r="Z58" s="18" t="str">
        <v>DXB76892</v>
      </c>
      <c r="AF58" s="18" t="str">
        <v>DXB471127</v>
      </c>
      <c r="AJ58" s="18" t="str">
        <v>DXB456417</v>
      </c>
    </row>
    <row r="59" spans="15:36" x14ac:dyDescent="0.25">
      <c r="O59" s="20" t="str">
        <f>IF(N59="","",COUNTIFS(RawData[[Date ]],N59,RawData[Month List],$Q$6,RawData[Tour/Site],$Q$2,RawData[[Picker ID ]],$Q$3,RawData[Checker ID],$Q$4,RawData[[Error Type ]],$Q$5))</f>
        <v/>
      </c>
      <c r="Z59" s="18" t="str">
        <v>DXB76893</v>
      </c>
      <c r="AF59" s="18" t="str">
        <v>DXB488644</v>
      </c>
      <c r="AJ59" s="18" t="str">
        <v>DXB456417</v>
      </c>
    </row>
    <row r="60" spans="15:36" x14ac:dyDescent="0.25">
      <c r="O60" s="20" t="str">
        <f>IF(N60="","",COUNTIFS(RawData[[Date ]],N60,RawData[Month List],$Q$6,RawData[Tour/Site],$Q$2,RawData[[Picker ID ]],$Q$3,RawData[Checker ID],$Q$4,RawData[[Error Type ]],$Q$5))</f>
        <v/>
      </c>
      <c r="AF60" s="18" t="str">
        <v>DXB504950</v>
      </c>
      <c r="AJ60" s="18" t="str">
        <v>DXB442324</v>
      </c>
    </row>
    <row r="61" spans="15:36" x14ac:dyDescent="0.25">
      <c r="O61" s="20" t="str">
        <f>IF(N61="","",COUNTIFS(RawData[[Date ]],N61,RawData[Month List],$Q$6,RawData[Tour/Site],$Q$2,RawData[[Picker ID ]],$Q$3,RawData[Checker ID],$Q$4,RawData[[Error Type ]],$Q$5))</f>
        <v/>
      </c>
      <c r="AF61" s="18" t="str">
        <v>DXB504950</v>
      </c>
      <c r="AJ61" s="18" t="str">
        <v>DXB442324</v>
      </c>
    </row>
    <row r="62" spans="15:36" x14ac:dyDescent="0.25">
      <c r="O62" s="20" t="str">
        <f>IF(N62="","",COUNTIFS(RawData[[Date ]],N62,RawData[Month List],$Q$6,RawData[Tour/Site],$Q$2,RawData[[Picker ID ]],$Q$3,RawData[Checker ID],$Q$4,RawData[[Error Type ]],$Q$5))</f>
        <v/>
      </c>
      <c r="AF62" s="18" t="str">
        <v>DXB504950</v>
      </c>
      <c r="AJ62" s="18" t="str">
        <v>DXB442324</v>
      </c>
    </row>
    <row r="63" spans="15:36" x14ac:dyDescent="0.25">
      <c r="O63" s="20" t="str">
        <f>IF(N63="","",COUNTIFS(RawData[[Date ]],N63,RawData[Month List],$Q$6,RawData[Tour/Site],$Q$2,RawData[[Picker ID ]],$Q$3,RawData[Checker ID],$Q$4,RawData[[Error Type ]],$Q$5))</f>
        <v/>
      </c>
      <c r="AF63" s="18" t="str">
        <v>DXB509334</v>
      </c>
      <c r="AJ63" s="18" t="str">
        <v>DXB495322</v>
      </c>
    </row>
    <row r="64" spans="15:36" x14ac:dyDescent="0.25">
      <c r="O64" s="20" t="str">
        <f>IF(N64="","",COUNTIFS(RawData[[Date ]],N64,RawData[Month List],$Q$6,RawData[Tour/Site],$Q$2,RawData[[Picker ID ]],$Q$3,RawData[Checker ID],$Q$4,RawData[[Error Type ]],$Q$5))</f>
        <v/>
      </c>
      <c r="AF64" s="18" t="str">
        <v>DXB509334</v>
      </c>
      <c r="AJ64" s="18" t="str">
        <v>DXB495322</v>
      </c>
    </row>
    <row r="65" spans="15:36" x14ac:dyDescent="0.25">
      <c r="O65" s="20" t="str">
        <f>IF(N65="","",COUNTIFS(RawData[[Date ]],N65,RawData[Month List],$Q$6,RawData[Tour/Site],$Q$2,RawData[[Picker ID ]],$Q$3,RawData[Checker ID],$Q$4,RawData[[Error Type ]],$Q$5))</f>
        <v/>
      </c>
      <c r="AF65" s="18" t="str">
        <v>DXB492416</v>
      </c>
      <c r="AJ65" s="18" t="str">
        <v>DXB501183</v>
      </c>
    </row>
    <row r="66" spans="15:36" x14ac:dyDescent="0.25">
      <c r="O66" s="20" t="str">
        <f>IF(N66="","",COUNTIFS(RawData[[Date ]],N66,RawData[Month List],$Q$6,RawData[Tour/Site],$Q$2,RawData[[Picker ID ]],$Q$3,RawData[Checker ID],$Q$4,RawData[[Error Type ]],$Q$5))</f>
        <v/>
      </c>
      <c r="AF66" s="18" t="str">
        <v>DXB494649</v>
      </c>
      <c r="AJ66" s="18" t="str">
        <v>DXB492425</v>
      </c>
    </row>
    <row r="67" spans="15:36" x14ac:dyDescent="0.25">
      <c r="O67" s="20" t="str">
        <f>IF(N67="","",COUNTIFS(RawData[[Date ]],N67,RawData[Month List],$Q$6,RawData[Tour/Site],$Q$2,RawData[[Picker ID ]],$Q$3,RawData[Checker ID],$Q$4,RawData[[Error Type ]],$Q$5))</f>
        <v/>
      </c>
      <c r="AF67" s="18" t="str">
        <v>DXB504922</v>
      </c>
      <c r="AJ67" s="18" t="str">
        <v>DXB442324</v>
      </c>
    </row>
    <row r="68" spans="15:36" x14ac:dyDescent="0.25">
      <c r="O68" s="20" t="str">
        <f>IF(N68="","",COUNTIFS(RawData[[Date ]],N68,RawData[Month List],$Q$6,RawData[Tour/Site],$Q$2,RawData[[Picker ID ]],$Q$3,RawData[Checker ID],$Q$4,RawData[[Error Type ]],$Q$5))</f>
        <v/>
      </c>
      <c r="AF68" s="18" t="str">
        <v>DXB497085</v>
      </c>
      <c r="AJ68" s="18" t="str">
        <v>DXB492425</v>
      </c>
    </row>
    <row r="69" spans="15:36" x14ac:dyDescent="0.25">
      <c r="O69" s="20" t="str">
        <f>IF(N69="","",COUNTIFS(RawData[[Date ]],N69,RawData[Month List],$Q$6,RawData[Tour/Site],$Q$2,RawData[[Picker ID ]],$Q$3,RawData[Checker ID],$Q$4,RawData[[Error Type ]],$Q$5))</f>
        <v/>
      </c>
      <c r="AF69" s="18" t="str">
        <v>DXB57291R</v>
      </c>
      <c r="AJ69" s="18" t="str">
        <v>DXB501183</v>
      </c>
    </row>
    <row r="70" spans="15:36" x14ac:dyDescent="0.25">
      <c r="O70" s="20" t="str">
        <f>IF(N70="","",COUNTIFS(RawData[[Date ]],N70,RawData[Month List],$Q$6,RawData[Tour/Site],$Q$2,RawData[[Picker ID ]],$Q$3,RawData[Checker ID],$Q$4,RawData[[Error Type ]],$Q$5))</f>
        <v/>
      </c>
      <c r="AF70" s="18" t="str">
        <v>DXB63233R</v>
      </c>
      <c r="AJ70" s="18" t="str">
        <v>DXB501183</v>
      </c>
    </row>
    <row r="71" spans="15:36" x14ac:dyDescent="0.25">
      <c r="O71" s="20" t="str">
        <f>IF(N71="","",COUNTIFS(RawData[[Date ]],N71,RawData[Month List],$Q$6,RawData[Tour/Site],$Q$2,RawData[[Picker ID ]],$Q$3,RawData[Checker ID],$Q$4,RawData[[Error Type ]],$Q$5))</f>
        <v/>
      </c>
      <c r="AF71" s="18" t="str">
        <v>DXB497090</v>
      </c>
      <c r="AJ71" s="18" t="str">
        <v>DXB456417</v>
      </c>
    </row>
    <row r="72" spans="15:36" x14ac:dyDescent="0.25">
      <c r="O72" s="20" t="str">
        <f>IF(N72="","",COUNTIFS(RawData[[Date ]],N72,RawData[Month List],$Q$6,RawData[Tour/Site],$Q$2,RawData[[Picker ID ]],$Q$3,RawData[Checker ID],$Q$4,RawData[[Error Type ]],$Q$5))</f>
        <v/>
      </c>
      <c r="AF72" s="18" t="str">
        <v>DXB497090</v>
      </c>
      <c r="AJ72" s="18" t="str">
        <v>DXB456417</v>
      </c>
    </row>
    <row r="73" spans="15:36" x14ac:dyDescent="0.25">
      <c r="O73" s="20" t="str">
        <f>IF(N73="","",COUNTIFS(RawData[[Date ]],N73,RawData[Month List],$Q$6,RawData[Tour/Site],$Q$2,RawData[[Picker ID ]],$Q$3,RawData[Checker ID],$Q$4,RawData[[Error Type ]],$Q$5))</f>
        <v/>
      </c>
      <c r="AF73" s="18" t="str">
        <v>DXB52675R</v>
      </c>
      <c r="AJ73" s="18" t="str">
        <v>DXB456417</v>
      </c>
    </row>
    <row r="74" spans="15:36" x14ac:dyDescent="0.25">
      <c r="O74" s="20" t="str">
        <f>IF(N74="","",COUNTIFS(RawData[[Date ]],N74,RawData[Month List],$Q$6,RawData[Tour/Site],$Q$2,RawData[[Picker ID ]],$Q$3,RawData[Checker ID],$Q$4,RawData[[Error Type ]],$Q$5))</f>
        <v/>
      </c>
      <c r="AF74" s="18" t="str">
        <v>DXB497085</v>
      </c>
      <c r="AJ74" s="18" t="str">
        <v>DXB492425</v>
      </c>
    </row>
    <row r="75" spans="15:36" x14ac:dyDescent="0.25">
      <c r="O75" s="20" t="str">
        <f>IF(N75="","",COUNTIFS(RawData[[Date ]],N75,RawData[Month List],$Q$6,RawData[Tour/Site],$Q$2,RawData[[Picker ID ]],$Q$3,RawData[Checker ID],$Q$4,RawData[[Error Type ]],$Q$5))</f>
        <v/>
      </c>
    </row>
    <row r="76" spans="15:36" x14ac:dyDescent="0.25">
      <c r="O76" s="20" t="str">
        <f>IF(N76="","",COUNTIFS(RawData[[Date ]],N76,RawData[Month List],$Q$6,RawData[Tour/Site],$Q$2,RawData[[Picker ID ]],$Q$3,RawData[Checker ID],$Q$4,RawData[[Error Type ]],$Q$5))</f>
        <v/>
      </c>
    </row>
    <row r="77" spans="15:36" x14ac:dyDescent="0.25">
      <c r="O77" s="20" t="str">
        <f>IF(N77="","",COUNTIFS(RawData[[Date ]],N77,RawData[Month List],$Q$6,RawData[Tour/Site],$Q$2,RawData[[Picker ID ]],$Q$3,RawData[Checker ID],$Q$4,RawData[[Error Type ]],$Q$5))</f>
        <v/>
      </c>
    </row>
    <row r="78" spans="15:36" x14ac:dyDescent="0.25">
      <c r="O78" s="20" t="str">
        <f>IF(N78="","",COUNTIFS(RawData[[Date ]],N78,RawData[Month List],$Q$6,RawData[Tour/Site],$Q$2,RawData[[Picker ID ]],$Q$3,RawData[Checker ID],$Q$4,RawData[[Error Type ]],$Q$5))</f>
        <v/>
      </c>
    </row>
    <row r="79" spans="15:36" x14ac:dyDescent="0.25">
      <c r="O79" s="20" t="str">
        <f>IF(N79="","",COUNTIFS(RawData[[Date ]],N79,RawData[Month List],$Q$6,RawData[Tour/Site],$Q$2,RawData[[Picker ID ]],$Q$3,RawData[Checker ID],$Q$4,RawData[[Error Type ]],$Q$5))</f>
        <v/>
      </c>
    </row>
    <row r="80" spans="15:36" x14ac:dyDescent="0.25">
      <c r="O80" s="20" t="str">
        <f>IF(N80="","",COUNTIFS(RawData[[Date ]],N80,RawData[Month List],$Q$6,RawData[Tour/Site],$Q$2,RawData[[Picker ID ]],$Q$3,RawData[Checker ID],$Q$4,RawData[[Error Type ]],$Q$5))</f>
        <v/>
      </c>
    </row>
    <row r="81" spans="15:15" x14ac:dyDescent="0.25">
      <c r="O81" s="20" t="str">
        <f>IF(N81="","",COUNTIFS(RawData[[Date ]],N81,RawData[Month List],$Q$6,RawData[Tour/Site],$Q$2,RawData[[Picker ID ]],$Q$3,RawData[Checker ID],$Q$4,RawData[[Error Type ]],$Q$5))</f>
        <v/>
      </c>
    </row>
    <row r="82" spans="15:15" x14ac:dyDescent="0.25">
      <c r="O82" s="20" t="str">
        <f>IF(N82="","",COUNTIFS(RawData[[Date ]],N82,RawData[Month List],$Q$6,RawData[Tour/Site],$Q$2,RawData[[Picker ID ]],$Q$3,RawData[Checker ID],$Q$4,RawData[[Error Type ]],$Q$5))</f>
        <v/>
      </c>
    </row>
    <row r="83" spans="15:15" x14ac:dyDescent="0.25">
      <c r="O83" s="20" t="str">
        <f>IF(N83="","",COUNTIFS(RawData[[Date ]],N83,RawData[Month List],$Q$6,RawData[Tour/Site],$Q$2,RawData[[Picker ID ]],$Q$3,RawData[Checker ID],$Q$4,RawData[[Error Type ]],$Q$5))</f>
        <v/>
      </c>
    </row>
    <row r="84" spans="15:15" x14ac:dyDescent="0.25">
      <c r="O84" s="20" t="str">
        <f>IF(N84="","",COUNTIFS(RawData[[Date ]],N84,RawData[Month List],$Q$6,RawData[Tour/Site],$Q$2,RawData[[Picker ID ]],$Q$3,RawData[Checker ID],$Q$4,RawData[[Error Type ]],$Q$5))</f>
        <v/>
      </c>
    </row>
    <row r="85" spans="15:15" x14ac:dyDescent="0.25">
      <c r="O85" s="20" t="str">
        <f>IF(N85="","",COUNTIFS(RawData[[Date ]],N85,RawData[Month List],$Q$6,RawData[Tour/Site],$Q$2,RawData[[Picker ID ]],$Q$3,RawData[Checker ID],$Q$4,RawData[[Error Type ]],$Q$5))</f>
        <v/>
      </c>
    </row>
    <row r="86" spans="15:15" x14ac:dyDescent="0.25">
      <c r="O86" s="20" t="str">
        <f>IF(N86="","",COUNTIFS(RawData[[Date ]],N86,RawData[Month List],$Q$6,RawData[Tour/Site],$Q$2,RawData[[Picker ID ]],$Q$3,RawData[Checker ID],$Q$4,RawData[[Error Type ]],$Q$5))</f>
        <v/>
      </c>
    </row>
    <row r="87" spans="15:15" x14ac:dyDescent="0.25">
      <c r="O87" s="20" t="str">
        <f>IF(N87="","",COUNTIFS(RawData[[Date ]],N87,RawData[Month List],$Q$6,RawData[Tour/Site],$Q$2,RawData[[Picker ID ]],$Q$3,RawData[Checker ID],$Q$4,RawData[[Error Type ]],$Q$5))</f>
        <v/>
      </c>
    </row>
    <row r="88" spans="15:15" x14ac:dyDescent="0.25">
      <c r="O88" s="20" t="str">
        <f>IF(N88="","",COUNTIFS(RawData[[Date ]],N88,RawData[Month List],$Q$6,RawData[Tour/Site],$Q$2,RawData[[Picker ID ]],$Q$3,RawData[Checker ID],$Q$4,RawData[[Error Type ]],$Q$5))</f>
        <v/>
      </c>
    </row>
    <row r="89" spans="15:15" x14ac:dyDescent="0.25">
      <c r="O89" s="20" t="str">
        <f>IF(N89="","",COUNTIFS(RawData[[Date ]],N89,RawData[Month List],$Q$6,RawData[Tour/Site],$Q$2,RawData[[Picker ID ]],$Q$3,RawData[Checker ID],$Q$4,RawData[[Error Type ]],$Q$5))</f>
        <v/>
      </c>
    </row>
    <row r="90" spans="15:15" x14ac:dyDescent="0.25">
      <c r="O90" s="20" t="str">
        <f>IF(N90="","",COUNTIFS(RawData[[Date ]],N90,RawData[Month List],$Q$6,RawData[Tour/Site],$Q$2,RawData[[Picker ID ]],$Q$3,RawData[Checker ID],$Q$4,RawData[[Error Type ]],$Q$5))</f>
        <v/>
      </c>
    </row>
    <row r="91" spans="15:15" x14ac:dyDescent="0.25">
      <c r="O91" s="20" t="str">
        <f>IF(N91="","",COUNTIFS(RawData[[Date ]],N91,RawData[Month List],$Q$6,RawData[Tour/Site],$Q$2,RawData[[Picker ID ]],$Q$3,RawData[Checker ID],$Q$4,RawData[[Error Type ]],$Q$5))</f>
        <v/>
      </c>
    </row>
    <row r="92" spans="15:15" x14ac:dyDescent="0.25">
      <c r="O92" s="20" t="str">
        <f>IF(N92="","",COUNTIFS(RawData[[Date ]],N92,RawData[Month List],$Q$6,RawData[Tour/Site],$Q$2,RawData[[Picker ID ]],$Q$3,RawData[Checker ID],$Q$4,RawData[[Error Type ]],$Q$5))</f>
        <v/>
      </c>
    </row>
    <row r="93" spans="15:15" x14ac:dyDescent="0.25">
      <c r="O93" s="20" t="str">
        <f>IF(N93="","",COUNTIFS(RawData[[Date ]],N93,RawData[Month List],$Q$6,RawData[Tour/Site],$Q$2,RawData[[Picker ID ]],$Q$3,RawData[Checker ID],$Q$4,RawData[[Error Type ]],$Q$5))</f>
        <v/>
      </c>
    </row>
    <row r="94" spans="15:15" x14ac:dyDescent="0.25">
      <c r="O94" s="20" t="str">
        <f>IF(N94="","",COUNTIFS(RawData[[Date ]],N94,RawData[Month List],$Q$6,RawData[Tour/Site],$Q$2,RawData[[Picker ID ]],$Q$3,RawData[Checker ID],$Q$4,RawData[[Error Type ]],$Q$5))</f>
        <v/>
      </c>
    </row>
    <row r="95" spans="15:15" x14ac:dyDescent="0.25">
      <c r="O95" s="20" t="str">
        <f>IF(N95="","",COUNTIFS(RawData[[Date ]],N95,RawData[Month List],$Q$6,RawData[Tour/Site],$Q$2,RawData[[Picker ID ]],$Q$3,RawData[Checker ID],$Q$4,RawData[[Error Type ]],$Q$5))</f>
        <v/>
      </c>
    </row>
    <row r="96" spans="15:15" x14ac:dyDescent="0.25">
      <c r="O96" s="20" t="str">
        <f>IF(N96="","",COUNTIFS(RawData[[Date ]],N96,RawData[Month List],$Q$6,RawData[Tour/Site],$Q$2,RawData[[Picker ID ]],$Q$3,RawData[Checker ID],$Q$4,RawData[[Error Type ]],$Q$5))</f>
        <v/>
      </c>
    </row>
    <row r="97" spans="15:15" x14ac:dyDescent="0.25">
      <c r="O97" s="20" t="str">
        <f>IF(N97="","",COUNTIFS(RawData[[Date ]],N97,RawData[Month List],$Q$6,RawData[Tour/Site],$Q$2,RawData[[Picker ID ]],$Q$3,RawData[Checker ID],$Q$4,RawData[[Error Type ]],$Q$5))</f>
        <v/>
      </c>
    </row>
    <row r="98" spans="15:15" x14ac:dyDescent="0.25">
      <c r="O98" s="20" t="str">
        <f>IF(N98="","",COUNTIFS(RawData[[Date ]],N98,RawData[Month List],$Q$6,RawData[Tour/Site],$Q$2,RawData[[Picker ID ]],$Q$3,RawData[Checker ID],$Q$4,RawData[[Error Type ]],$Q$5))</f>
        <v/>
      </c>
    </row>
    <row r="99" spans="15:15" x14ac:dyDescent="0.25">
      <c r="O99" s="20" t="str">
        <f>IF(N99="","",COUNTIFS(RawData[[Date ]],N99,RawData[Month List],$Q$6,RawData[Tour/Site],$Q$2,RawData[[Picker ID ]],$Q$3,RawData[Checker ID],$Q$4,RawData[[Error Type ]],$Q$5))</f>
        <v/>
      </c>
    </row>
    <row r="100" spans="15:15" x14ac:dyDescent="0.25">
      <c r="O100" s="20" t="str">
        <f>IF(N100="","",COUNTIFS(RawData[[Date ]],N100,RawData[Month List],$Q$6,RawData[Tour/Site],$Q$2,RawData[[Picker ID ]],$Q$3,RawData[Checker ID],$Q$4,RawData[[Error Type ]],$Q$5))</f>
        <v/>
      </c>
    </row>
    <row r="101" spans="15:15" x14ac:dyDescent="0.25">
      <c r="O101" s="20" t="str">
        <f>IF(N101="","",COUNTIFS(RawData[[Date ]],N101,RawData[Month List],$Q$6,RawData[Tour/Site],$Q$2,RawData[[Picker ID ]],$Q$3,RawData[Checker ID],$Q$4,RawData[[Error Type ]],$Q$5))</f>
        <v/>
      </c>
    </row>
    <row r="102" spans="15:15" x14ac:dyDescent="0.25">
      <c r="O102" s="20" t="str">
        <f>IF(N102="","",COUNTIFS(RawData[[Date ]],N102,RawData[Month List],$Q$6,RawData[Tour/Site],$Q$2,RawData[[Picker ID ]],$Q$3,RawData[Checker ID],$Q$4,RawData[[Error Type ]],$Q$5))</f>
        <v/>
      </c>
    </row>
    <row r="103" spans="15:15" x14ac:dyDescent="0.25">
      <c r="O103" s="20" t="str">
        <f>IF(N103="","",COUNTIFS(RawData[[Date ]],N103,RawData[Month List],$Q$6,RawData[Tour/Site],$Q$2,RawData[[Picker ID ]],$Q$3,RawData[Checker ID],$Q$4,RawData[[Error Type ]],$Q$5))</f>
        <v/>
      </c>
    </row>
    <row r="104" spans="15:15" x14ac:dyDescent="0.25">
      <c r="O104" s="20" t="str">
        <f>IF(N104="","",COUNTIFS(RawData[[Date ]],N104,RawData[Month List],$Q$6,RawData[Tour/Site],$Q$2,RawData[[Picker ID ]],$Q$3,RawData[Checker ID],$Q$4,RawData[[Error Type ]],$Q$5))</f>
        <v/>
      </c>
    </row>
    <row r="105" spans="15:15" x14ac:dyDescent="0.25">
      <c r="O105" s="20" t="str">
        <f>IF(N105="","",COUNTIFS(RawData[[Date ]],N105,RawData[Month List],$Q$6,RawData[Tour/Site],$Q$2,RawData[[Picker ID ]],$Q$3,RawData[Checker ID],$Q$4,RawData[[Error Type ]],$Q$5))</f>
        <v/>
      </c>
    </row>
    <row r="106" spans="15:15" x14ac:dyDescent="0.25">
      <c r="O106" s="20" t="str">
        <f>IF(N106="","",COUNTIFS(RawData[[Date ]],N106,RawData[Month List],$Q$6,RawData[Tour/Site],$Q$2,RawData[[Picker ID ]],$Q$3,RawData[Checker ID],$Q$4,RawData[[Error Type ]],$Q$5))</f>
        <v/>
      </c>
    </row>
    <row r="107" spans="15:15" x14ac:dyDescent="0.25">
      <c r="O107" s="20" t="str">
        <f>IF(N107="","",COUNTIFS(RawData[[Date ]],N107,RawData[Month List],$Q$6,RawData[Tour/Site],$Q$2,RawData[[Picker ID ]],$Q$3,RawData[Checker ID],$Q$4,RawData[[Error Type ]],$Q$5))</f>
        <v/>
      </c>
    </row>
    <row r="108" spans="15:15" x14ac:dyDescent="0.25">
      <c r="O108" s="20" t="str">
        <f>IF(N108="","",COUNTIFS(RawData[[Date ]],N108,RawData[Month List],$Q$6,RawData[Tour/Site],$Q$2,RawData[[Picker ID ]],$Q$3,RawData[Checker ID],$Q$4,RawData[[Error Type ]],$Q$5))</f>
        <v/>
      </c>
    </row>
    <row r="109" spans="15:15" x14ac:dyDescent="0.25">
      <c r="O109" s="20" t="str">
        <f>IF(N109="","",COUNTIFS(RawData[[Date ]],N109,RawData[Month List],$Q$6,RawData[Tour/Site],$Q$2,RawData[[Picker ID ]],$Q$3,RawData[Checker ID],$Q$4,RawData[[Error Type ]],$Q$5))</f>
        <v/>
      </c>
    </row>
    <row r="110" spans="15:15" x14ac:dyDescent="0.25">
      <c r="O110" s="20" t="str">
        <f>IF(N110="","",COUNTIFS(RawData[[Date ]],N110,RawData[Month List],$Q$6,RawData[Tour/Site],$Q$2,RawData[[Picker ID ]],$Q$3,RawData[Checker ID],$Q$4,RawData[[Error Type ]],$Q$5))</f>
        <v/>
      </c>
    </row>
    <row r="111" spans="15:15" x14ac:dyDescent="0.25">
      <c r="O111" s="20" t="str">
        <f>IF(N111="","",COUNTIFS(RawData[[Date ]],N111,RawData[Month List],$Q$6,RawData[Tour/Site],$Q$2,RawData[[Picker ID ]],$Q$3,RawData[Checker ID],$Q$4,RawData[[Error Type ]],$Q$5))</f>
        <v/>
      </c>
    </row>
    <row r="112" spans="15:15" x14ac:dyDescent="0.25">
      <c r="O112" s="20" t="str">
        <f>IF(N112="","",COUNTIFS(RawData[[Date ]],N112,RawData[Month List],$Q$6,RawData[Tour/Site],$Q$2,RawData[[Picker ID ]],$Q$3,RawData[Checker ID],$Q$4,RawData[[Error Type ]],$Q$5))</f>
        <v/>
      </c>
    </row>
    <row r="113" spans="15:15" x14ac:dyDescent="0.25">
      <c r="O113" s="20" t="str">
        <f>IF(N113="","",COUNTIFS(RawData[[Date ]],N113,RawData[Month List],$Q$6,RawData[Tour/Site],$Q$2,RawData[[Picker ID ]],$Q$3,RawData[Checker ID],$Q$4,RawData[[Error Type ]],$Q$5))</f>
        <v/>
      </c>
    </row>
    <row r="114" spans="15:15" x14ac:dyDescent="0.25">
      <c r="O114" s="20" t="str">
        <f>IF(N114="","",COUNTIFS(RawData[[Date ]],N114,RawData[Month List],$Q$6,RawData[Tour/Site],$Q$2,RawData[[Picker ID ]],$Q$3,RawData[Checker ID],$Q$4,RawData[[Error Type ]],$Q$5))</f>
        <v/>
      </c>
    </row>
    <row r="115" spans="15:15" x14ac:dyDescent="0.25">
      <c r="O115" s="20" t="str">
        <f>IF(N115="","",COUNTIFS(RawData[[Date ]],N115,RawData[Month List],$Q$6,RawData[Tour/Site],$Q$2,RawData[[Picker ID ]],$Q$3,RawData[Checker ID],$Q$4,RawData[[Error Type ]],$Q$5))</f>
        <v/>
      </c>
    </row>
    <row r="116" spans="15:15" x14ac:dyDescent="0.25">
      <c r="O116" s="20" t="str">
        <f>IF(N116="","",COUNTIFS(RawData[[Date ]],N116,RawData[Month List],$Q$6,RawData[Tour/Site],$Q$2,RawData[[Picker ID ]],$Q$3,RawData[Checker ID],$Q$4,RawData[[Error Type ]],$Q$5))</f>
        <v/>
      </c>
    </row>
    <row r="117" spans="15:15" x14ac:dyDescent="0.25">
      <c r="O117" s="20" t="str">
        <f>IF(N117="","",COUNTIFS(RawData[[Date ]],N117,RawData[Month List],$Q$6,RawData[Tour/Site],$Q$2,RawData[[Picker ID ]],$Q$3,RawData[Checker ID],$Q$4,RawData[[Error Type ]],$Q$5))</f>
        <v/>
      </c>
    </row>
    <row r="118" spans="15:15" x14ac:dyDescent="0.25">
      <c r="O118" s="20" t="str">
        <f>IF(N118="","",COUNTIFS(RawData[[Date ]],N118,RawData[Month List],$Q$6,RawData[Tour/Site],$Q$2,RawData[[Picker ID ]],$Q$3,RawData[Checker ID],$Q$4,RawData[[Error Type ]],$Q$5))</f>
        <v/>
      </c>
    </row>
    <row r="119" spans="15:15" x14ac:dyDescent="0.25">
      <c r="O119" s="20" t="str">
        <f>IF(N119="","",COUNTIFS(RawData[[Date ]],N119,RawData[Month List],$Q$6,RawData[Tour/Site],$Q$2,RawData[[Picker ID ]],$Q$3,RawData[Checker ID],$Q$4,RawData[[Error Type ]],$Q$5))</f>
        <v/>
      </c>
    </row>
    <row r="120" spans="15:15" x14ac:dyDescent="0.25">
      <c r="O120" s="20" t="str">
        <f>IF(N120="","",COUNTIFS(RawData[[Date ]],N120,RawData[Month List],$Q$6,RawData[Tour/Site],$Q$2,RawData[[Picker ID ]],$Q$3,RawData[Checker ID],$Q$4,RawData[[Error Type ]],$Q$5))</f>
        <v/>
      </c>
    </row>
    <row r="121" spans="15:15" x14ac:dyDescent="0.25">
      <c r="O121" s="20" t="str">
        <f>IF(N121="","",COUNTIFS(RawData[[Date ]],N121,RawData[Month List],$Q$6,RawData[Tour/Site],$Q$2,RawData[[Picker ID ]],$Q$3,RawData[Checker ID],$Q$4,RawData[[Error Type ]],$Q$5))</f>
        <v/>
      </c>
    </row>
    <row r="122" spans="15:15" x14ac:dyDescent="0.25">
      <c r="O122" s="20" t="str">
        <f>IF(N122="","",COUNTIFS(RawData[[Date ]],N122,RawData[Month List],$Q$6,RawData[Tour/Site],$Q$2,RawData[[Picker ID ]],$Q$3,RawData[Checker ID],$Q$4,RawData[[Error Type ]],$Q$5))</f>
        <v/>
      </c>
    </row>
    <row r="123" spans="15:15" x14ac:dyDescent="0.25">
      <c r="O123" s="20" t="str">
        <f>IF(N123="","",COUNTIFS(RawData[[Date ]],N123,RawData[Month List],$Q$6,RawData[Tour/Site],$Q$2,RawData[[Picker ID ]],$Q$3,RawData[Checker ID],$Q$4,RawData[[Error Type ]],$Q$5))</f>
        <v/>
      </c>
    </row>
    <row r="124" spans="15:15" x14ac:dyDescent="0.25">
      <c r="O124" s="20" t="str">
        <f>IF(N124="","",COUNTIFS(RawData[[Date ]],N124,RawData[Month List],$Q$6,RawData[Tour/Site],$Q$2,RawData[[Picker ID ]],$Q$3,RawData[Checker ID],$Q$4,RawData[[Error Type ]],$Q$5))</f>
        <v/>
      </c>
    </row>
    <row r="125" spans="15:15" x14ac:dyDescent="0.25">
      <c r="O125" s="20" t="str">
        <f>IF(N125="","",COUNTIFS(RawData[[Date ]],N125,RawData[Month List],$Q$6,RawData[Tour/Site],$Q$2,RawData[[Picker ID ]],$Q$3,RawData[Checker ID],$Q$4,RawData[[Error Type ]],$Q$5))</f>
        <v/>
      </c>
    </row>
    <row r="126" spans="15:15" x14ac:dyDescent="0.25">
      <c r="O126" s="20" t="str">
        <f>IF(N126="","",COUNTIFS(RawData[[Date ]],N126,RawData[Month List],$Q$6,RawData[Tour/Site],$Q$2,RawData[[Picker ID ]],$Q$3,RawData[Checker ID],$Q$4,RawData[[Error Type ]],$Q$5))</f>
        <v/>
      </c>
    </row>
    <row r="127" spans="15:15" x14ac:dyDescent="0.25">
      <c r="O127" s="20" t="str">
        <f>IF(N127="","",COUNTIFS(RawData[[Date ]],N127,RawData[Month List],$Q$6,RawData[Tour/Site],$Q$2,RawData[[Picker ID ]],$Q$3,RawData[Checker ID],$Q$4,RawData[[Error Type ]],$Q$5))</f>
        <v/>
      </c>
    </row>
    <row r="128" spans="15:15" x14ac:dyDescent="0.25">
      <c r="O128" s="20" t="str">
        <f>IF(N128="","",COUNTIFS(RawData[[Date ]],N128,RawData[Month List],$Q$6,RawData[Tour/Site],$Q$2,RawData[[Picker ID ]],$Q$3,RawData[Checker ID],$Q$4,RawData[[Error Type ]],$Q$5))</f>
        <v/>
      </c>
    </row>
    <row r="129" spans="15:15" x14ac:dyDescent="0.25">
      <c r="O129" s="20" t="str">
        <f>IF(N129="","",COUNTIFS(RawData[[Date ]],N129,RawData[Month List],$Q$6,RawData[Tour/Site],$Q$2,RawData[[Picker ID ]],$Q$3,RawData[Checker ID],$Q$4,RawData[[Error Type ]],$Q$5))</f>
        <v/>
      </c>
    </row>
    <row r="130" spans="15:15" x14ac:dyDescent="0.25">
      <c r="O130" s="20" t="str">
        <f>IF(N130="","",COUNTIFS(RawData[[Date ]],N130,RawData[Month List],$Q$6,RawData[Tour/Site],$Q$2,RawData[[Picker ID ]],$Q$3,RawData[Checker ID],$Q$4,RawData[[Error Type ]],$Q$5))</f>
        <v/>
      </c>
    </row>
    <row r="131" spans="15:15" x14ac:dyDescent="0.25">
      <c r="O131" s="20" t="str">
        <f>IF(N131="","",COUNTIFS(RawData[[Date ]],N131,RawData[Month List],$Q$6,RawData[Tour/Site],$Q$2,RawData[[Picker ID ]],$Q$3,RawData[Checker ID],$Q$4,RawData[[Error Type ]],$Q$5))</f>
        <v/>
      </c>
    </row>
    <row r="132" spans="15:15" x14ac:dyDescent="0.25">
      <c r="O132" s="20" t="str">
        <f>IF(N132="","",COUNTIFS(RawData[[Date ]],N132,RawData[Month List],$Q$6,RawData[Tour/Site],$Q$2,RawData[[Picker ID ]],$Q$3,RawData[Checker ID],$Q$4,RawData[[Error Type ]],$Q$5))</f>
        <v/>
      </c>
    </row>
    <row r="133" spans="15:15" x14ac:dyDescent="0.25">
      <c r="O133" s="20" t="str">
        <f>IF(N133="","",COUNTIFS(RawData[[Date ]],N133,RawData[Month List],$Q$6,RawData[Tour/Site],$Q$2,RawData[[Picker ID ]],$Q$3,RawData[Checker ID],$Q$4,RawData[[Error Type ]],$Q$5))</f>
        <v/>
      </c>
    </row>
    <row r="134" spans="15:15" x14ac:dyDescent="0.25">
      <c r="O134" s="20" t="str">
        <f>IF(N134="","",COUNTIFS(RawData[[Date ]],N134,RawData[Month List],$Q$6,RawData[Tour/Site],$Q$2,RawData[[Picker ID ]],$Q$3,RawData[Checker ID],$Q$4,RawData[[Error Type ]],$Q$5))</f>
        <v/>
      </c>
    </row>
    <row r="135" spans="15:15" x14ac:dyDescent="0.25">
      <c r="O135" s="20" t="str">
        <f>IF(N135="","",COUNTIFS(RawData[[Date ]],N135,RawData[Month List],$Q$6,RawData[Tour/Site],$Q$2,RawData[[Picker ID ]],$Q$3,RawData[Checker ID],$Q$4,RawData[[Error Type ]],$Q$5))</f>
        <v/>
      </c>
    </row>
    <row r="136" spans="15:15" x14ac:dyDescent="0.25">
      <c r="O136" s="20" t="str">
        <f>IF(N136="","",COUNTIFS(RawData[[Date ]],N136,RawData[Month List],$Q$6,RawData[Tour/Site],$Q$2,RawData[[Picker ID ]],$Q$3,RawData[Checker ID],$Q$4,RawData[[Error Type ]],$Q$5))</f>
        <v/>
      </c>
    </row>
    <row r="137" spans="15:15" x14ac:dyDescent="0.25">
      <c r="O137" s="20" t="str">
        <f>IF(N137="","",COUNTIFS(RawData[[Date ]],N137,RawData[Month List],$Q$6,RawData[Tour/Site],$Q$2,RawData[[Picker ID ]],$Q$3,RawData[Checker ID],$Q$4,RawData[[Error Type ]],$Q$5))</f>
        <v/>
      </c>
    </row>
    <row r="138" spans="15:15" x14ac:dyDescent="0.25">
      <c r="O138" s="20" t="str">
        <f>IF(N138="","",COUNTIFS(RawData[[Date ]],N138,RawData[Month List],$Q$6,RawData[Tour/Site],$Q$2,RawData[[Picker ID ]],$Q$3,RawData[Checker ID],$Q$4,RawData[[Error Type ]],$Q$5))</f>
        <v/>
      </c>
    </row>
    <row r="139" spans="15:15" x14ac:dyDescent="0.25">
      <c r="O139" s="20" t="str">
        <f>IF(N139="","",COUNTIFS(RawData[[Date ]],N139,RawData[Month List],$Q$6,RawData[Tour/Site],$Q$2,RawData[[Picker ID ]],$Q$3,RawData[Checker ID],$Q$4,RawData[[Error Type ]],$Q$5))</f>
        <v/>
      </c>
    </row>
    <row r="140" spans="15:15" x14ac:dyDescent="0.25">
      <c r="O140" s="20" t="str">
        <f>IF(N140="","",COUNTIFS(RawData[[Date ]],N140,RawData[Month List],$Q$6,RawData[Tour/Site],$Q$2,RawData[[Picker ID ]],$Q$3,RawData[Checker ID],$Q$4,RawData[[Error Type ]],$Q$5))</f>
        <v/>
      </c>
    </row>
    <row r="141" spans="15:15" x14ac:dyDescent="0.25">
      <c r="O141" s="20" t="str">
        <f>IF(N141="","",COUNTIFS(RawData[[Date ]],N141,RawData[Month List],$Q$6,RawData[Tour/Site],$Q$2,RawData[[Picker ID ]],$Q$3,RawData[Checker ID],$Q$4,RawData[[Error Type ]],$Q$5))</f>
        <v/>
      </c>
    </row>
    <row r="142" spans="15:15" x14ac:dyDescent="0.25">
      <c r="O142" s="20" t="str">
        <f>IF(N142="","",COUNTIFS(RawData[[Date ]],N142,RawData[Month List],$Q$6,RawData[Tour/Site],$Q$2,RawData[[Picker ID ]],$Q$3,RawData[Checker ID],$Q$4,RawData[[Error Type ]],$Q$5))</f>
        <v/>
      </c>
    </row>
    <row r="143" spans="15:15" x14ac:dyDescent="0.25">
      <c r="O143" s="20" t="str">
        <f>IF(N143="","",COUNTIFS(RawData[[Date ]],N143,RawData[Month List],$Q$6,RawData[Tour/Site],$Q$2,RawData[[Picker ID ]],$Q$3,RawData[Checker ID],$Q$4,RawData[[Error Type ]],$Q$5))</f>
        <v/>
      </c>
    </row>
    <row r="144" spans="15:15" x14ac:dyDescent="0.25">
      <c r="O144" s="20" t="str">
        <f>IF(N144="","",COUNTIFS(RawData[[Date ]],N144,RawData[Month List],$Q$6,RawData[Tour/Site],$Q$2,RawData[[Picker ID ]],$Q$3,RawData[Checker ID],$Q$4,RawData[[Error Type ]],$Q$5))</f>
        <v/>
      </c>
    </row>
    <row r="145" spans="15:15" x14ac:dyDescent="0.25">
      <c r="O145" s="20" t="str">
        <f>IF(N145="","",COUNTIFS(RawData[[Date ]],N145,RawData[Month List],$Q$6,RawData[Tour/Site],$Q$2,RawData[[Picker ID ]],$Q$3,RawData[Checker ID],$Q$4,RawData[[Error Type ]],$Q$5))</f>
        <v/>
      </c>
    </row>
    <row r="146" spans="15:15" x14ac:dyDescent="0.25">
      <c r="O146" s="20" t="str">
        <f>IF(N146="","",COUNTIFS(RawData[[Date ]],N146,RawData[Month List],$Q$6,RawData[Tour/Site],$Q$2,RawData[[Picker ID ]],$Q$3,RawData[Checker ID],$Q$4,RawData[[Error Type ]],$Q$5))</f>
        <v/>
      </c>
    </row>
    <row r="147" spans="15:15" x14ac:dyDescent="0.25">
      <c r="O147" s="20" t="str">
        <f>IF(N147="","",COUNTIFS(RawData[[Date ]],N147,RawData[Month List],$Q$6,RawData[Tour/Site],$Q$2,RawData[[Picker ID ]],$Q$3,RawData[Checker ID],$Q$4,RawData[[Error Type ]],$Q$5))</f>
        <v/>
      </c>
    </row>
    <row r="148" spans="15:15" x14ac:dyDescent="0.25">
      <c r="O148" s="20" t="str">
        <f>IF(N148="","",COUNTIFS(RawData[[Date ]],N148,RawData[Month List],$Q$6,RawData[Tour/Site],$Q$2,RawData[[Picker ID ]],$Q$3,RawData[Checker ID],$Q$4,RawData[[Error Type ]],$Q$5))</f>
        <v/>
      </c>
    </row>
    <row r="149" spans="15:15" x14ac:dyDescent="0.25">
      <c r="O149" s="20" t="str">
        <f>IF(N149="","",COUNTIFS(RawData[[Date ]],N149,RawData[Month List],$Q$6,RawData[Tour/Site],$Q$2,RawData[[Picker ID ]],$Q$3,RawData[Checker ID],$Q$4,RawData[[Error Type ]],$Q$5))</f>
        <v/>
      </c>
    </row>
    <row r="150" spans="15:15" x14ac:dyDescent="0.25">
      <c r="O150" s="20" t="str">
        <f>IF(N150="","",COUNTIFS(RawData[[Date ]],N150,RawData[Month List],$Q$6,RawData[Tour/Site],$Q$2,RawData[[Picker ID ]],$Q$3,RawData[Checker ID],$Q$4,RawData[[Error Type ]],$Q$5))</f>
        <v/>
      </c>
    </row>
    <row r="151" spans="15:15" x14ac:dyDescent="0.25">
      <c r="O151" s="20" t="str">
        <f>IF(N151="","",COUNTIFS(RawData[[Date ]],N151,RawData[Month List],$Q$6,RawData[Tour/Site],$Q$2,RawData[[Picker ID ]],$Q$3,RawData[Checker ID],$Q$4,RawData[[Error Type ]],$Q$5))</f>
        <v/>
      </c>
    </row>
    <row r="152" spans="15:15" x14ac:dyDescent="0.25">
      <c r="O152" s="20" t="str">
        <f>IF(N152="","",COUNTIFS(RawData[[Date ]],N152,RawData[Month List],$Q$6,RawData[Tour/Site],$Q$2,RawData[[Picker ID ]],$Q$3,RawData[Checker ID],$Q$4,RawData[[Error Type ]],$Q$5))</f>
        <v/>
      </c>
    </row>
    <row r="153" spans="15:15" x14ac:dyDescent="0.25">
      <c r="O153" s="20" t="str">
        <f>IF(N153="","",COUNTIFS(RawData[[Date ]],N153,RawData[Month List],$Q$6,RawData[Tour/Site],$Q$2,RawData[[Picker ID ]],$Q$3,RawData[Checker ID],$Q$4,RawData[[Error Type ]],$Q$5))</f>
        <v/>
      </c>
    </row>
    <row r="154" spans="15:15" x14ac:dyDescent="0.25">
      <c r="O154" s="20" t="str">
        <f>IF(N154="","",COUNTIFS(RawData[[Date ]],N154,RawData[Month List],$Q$6,RawData[Tour/Site],$Q$2,RawData[[Picker ID ]],$Q$3,RawData[Checker ID],$Q$4,RawData[[Error Type ]],$Q$5))</f>
        <v/>
      </c>
    </row>
    <row r="155" spans="15:15" x14ac:dyDescent="0.25">
      <c r="O155" s="20" t="str">
        <f>IF(N155="","",COUNTIFS(RawData[[Date ]],N155,RawData[Month List],$Q$6,RawData[Tour/Site],$Q$2,RawData[[Picker ID ]],$Q$3,RawData[Checker ID],$Q$4,RawData[[Error Type ]],$Q$5))</f>
        <v/>
      </c>
    </row>
    <row r="156" spans="15:15" x14ac:dyDescent="0.25">
      <c r="O156" s="20" t="str">
        <f>IF(N156="","",COUNTIFS(RawData[[Date ]],N156,RawData[Month List],$Q$6,RawData[Tour/Site],$Q$2,RawData[[Picker ID ]],$Q$3,RawData[Checker ID],$Q$4,RawData[[Error Type ]],$Q$5))</f>
        <v/>
      </c>
    </row>
    <row r="157" spans="15:15" x14ac:dyDescent="0.25">
      <c r="O157" s="20" t="str">
        <f>IF(N157="","",COUNTIFS(RawData[[Date ]],N157,RawData[Month List],$Q$6,RawData[Tour/Site],$Q$2,RawData[[Picker ID ]],$Q$3,RawData[Checker ID],$Q$4,RawData[[Error Type ]],$Q$5))</f>
        <v/>
      </c>
    </row>
    <row r="158" spans="15:15" x14ac:dyDescent="0.25">
      <c r="O158" s="20" t="str">
        <f>IF(N158="","",COUNTIFS(RawData[[Date ]],N158,RawData[Month List],$Q$6,RawData[Tour/Site],$Q$2,RawData[[Picker ID ]],$Q$3,RawData[Checker ID],$Q$4,RawData[[Error Type ]],$Q$5))</f>
        <v/>
      </c>
    </row>
    <row r="159" spans="15:15" x14ac:dyDescent="0.25">
      <c r="O159" s="20" t="str">
        <f>IF(N159="","",COUNTIFS(RawData[[Date ]],N159,RawData[Month List],$Q$6,RawData[Tour/Site],$Q$2,RawData[[Picker ID ]],$Q$3,RawData[Checker ID],$Q$4,RawData[[Error Type ]],$Q$5))</f>
        <v/>
      </c>
    </row>
    <row r="160" spans="15:15" x14ac:dyDescent="0.25">
      <c r="O160" s="20" t="str">
        <f>IF(N160="","",COUNTIFS(RawData[[Date ]],N160,RawData[Month List],$Q$6,RawData[Tour/Site],$Q$2,RawData[[Picker ID ]],$Q$3,RawData[Checker ID],$Q$4,RawData[[Error Type ]],$Q$5))</f>
        <v/>
      </c>
    </row>
    <row r="161" spans="15:15" x14ac:dyDescent="0.25">
      <c r="O161" s="20" t="str">
        <f>IF(N161="","",COUNTIFS(RawData[[Date ]],N161,RawData[Month List],$Q$6,RawData[Tour/Site],$Q$2,RawData[[Picker ID ]],$Q$3,RawData[Checker ID],$Q$4,RawData[[Error Type ]],$Q$5))</f>
        <v/>
      </c>
    </row>
    <row r="162" spans="15:15" x14ac:dyDescent="0.25">
      <c r="O162" s="20" t="str">
        <f>IF(N162="","",COUNTIFS(RawData[[Date ]],N162,RawData[Month List],$Q$6,RawData[Tour/Site],$Q$2,RawData[[Picker ID ]],$Q$3,RawData[Checker ID],$Q$4,RawData[[Error Type ]],$Q$5))</f>
        <v/>
      </c>
    </row>
    <row r="163" spans="15:15" x14ac:dyDescent="0.25">
      <c r="O163" s="20" t="str">
        <f>IF(N163="","",COUNTIFS(RawData[[Date ]],N163,RawData[Month List],$Q$6,RawData[Tour/Site],$Q$2,RawData[[Picker ID ]],$Q$3,RawData[Checker ID],$Q$4,RawData[[Error Type ]],$Q$5))</f>
        <v/>
      </c>
    </row>
    <row r="164" spans="15:15" x14ac:dyDescent="0.25">
      <c r="O164" s="20" t="str">
        <f>IF(N164="","",COUNTIFS(RawData[[Date ]],N164,RawData[Month List],$Q$6,RawData[Tour/Site],$Q$2,RawData[[Picker ID ]],$Q$3,RawData[Checker ID],$Q$4,RawData[[Error Type ]],$Q$5))</f>
        <v/>
      </c>
    </row>
    <row r="165" spans="15:15" x14ac:dyDescent="0.25">
      <c r="O165" s="20" t="str">
        <f>IF(N165="","",COUNTIFS(RawData[[Date ]],N165,RawData[Month List],$Q$6,RawData[Tour/Site],$Q$2,RawData[[Picker ID ]],$Q$3,RawData[Checker ID],$Q$4,RawData[[Error Type ]],$Q$5))</f>
        <v/>
      </c>
    </row>
    <row r="166" spans="15:15" x14ac:dyDescent="0.25">
      <c r="O166" s="20" t="str">
        <f>IF(N166="","",COUNTIFS(RawData[[Date ]],N166,RawData[Month List],$Q$6,RawData[Tour/Site],$Q$2,RawData[[Picker ID ]],$Q$3,RawData[Checker ID],$Q$4,RawData[[Error Type ]],$Q$5))</f>
        <v/>
      </c>
    </row>
    <row r="167" spans="15:15" x14ac:dyDescent="0.25">
      <c r="O167" s="20" t="str">
        <f>IF(N167="","",COUNTIFS(RawData[[Date ]],N167,RawData[Month List],$Q$6,RawData[Tour/Site],$Q$2,RawData[[Picker ID ]],$Q$3,RawData[Checker ID],$Q$4,RawData[[Error Type ]],$Q$5))</f>
        <v/>
      </c>
    </row>
    <row r="168" spans="15:15" x14ac:dyDescent="0.25">
      <c r="O168" s="20" t="str">
        <f>IF(N168="","",COUNTIFS(RawData[[Date ]],N168,RawData[Month List],$Q$6,RawData[Tour/Site],$Q$2,RawData[[Picker ID ]],$Q$3,RawData[Checker ID],$Q$4,RawData[[Error Type ]],$Q$5))</f>
        <v/>
      </c>
    </row>
    <row r="169" spans="15:15" x14ac:dyDescent="0.25">
      <c r="O169" s="20" t="str">
        <f>IF(N169="","",COUNTIFS(RawData[[Date ]],N169,RawData[Month List],$Q$6,RawData[Tour/Site],$Q$2,RawData[[Picker ID ]],$Q$3,RawData[Checker ID],$Q$4,RawData[[Error Type ]],$Q$5))</f>
        <v/>
      </c>
    </row>
    <row r="170" spans="15:15" x14ac:dyDescent="0.25">
      <c r="O170" s="20" t="str">
        <f>IF(N170="","",COUNTIFS(RawData[[Date ]],N170,RawData[Month List],$Q$6,RawData[Tour/Site],$Q$2,RawData[[Picker ID ]],$Q$3,RawData[Checker ID],$Q$4,RawData[[Error Type ]],$Q$5))</f>
        <v/>
      </c>
    </row>
    <row r="171" spans="15:15" x14ac:dyDescent="0.25">
      <c r="O171" s="20" t="str">
        <f>IF(N171="","",COUNTIFS(RawData[[Date ]],N171,RawData[Month List],$Q$6,RawData[Tour/Site],$Q$2,RawData[[Picker ID ]],$Q$3,RawData[Checker ID],$Q$4,RawData[[Error Type ]],$Q$5))</f>
        <v/>
      </c>
    </row>
    <row r="172" spans="15:15" x14ac:dyDescent="0.25">
      <c r="O172" s="20" t="str">
        <f>IF(N172="","",COUNTIFS(RawData[[Date ]],N172,RawData[Month List],$Q$6,RawData[Tour/Site],$Q$2,RawData[[Picker ID ]],$Q$3,RawData[Checker ID],$Q$4,RawData[[Error Type ]],$Q$5))</f>
        <v/>
      </c>
    </row>
    <row r="173" spans="15:15" x14ac:dyDescent="0.25">
      <c r="O173" s="20" t="str">
        <f>IF(N173="","",COUNTIFS(RawData[[Date ]],N173,RawData[Month List],$Q$6,RawData[Tour/Site],$Q$2,RawData[[Picker ID ]],$Q$3,RawData[Checker ID],$Q$4,RawData[[Error Type ]],$Q$5))</f>
        <v/>
      </c>
    </row>
    <row r="174" spans="15:15" x14ac:dyDescent="0.25">
      <c r="O174" s="20" t="str">
        <f>IF(N174="","",COUNTIFS(RawData[[Date ]],N174,RawData[Month List],$Q$6,RawData[Tour/Site],$Q$2,RawData[[Picker ID ]],$Q$3,RawData[Checker ID],$Q$4,RawData[[Error Type ]],$Q$5))</f>
        <v/>
      </c>
    </row>
    <row r="175" spans="15:15" x14ac:dyDescent="0.25">
      <c r="O175" s="20" t="str">
        <f>IF(N175="","",COUNTIFS(RawData[[Date ]],N175,RawData[Month List],$Q$6,RawData[Tour/Site],$Q$2,RawData[[Picker ID ]],$Q$3,RawData[Checker ID],$Q$4,RawData[[Error Type ]],$Q$5))</f>
        <v/>
      </c>
    </row>
    <row r="176" spans="15:15" x14ac:dyDescent="0.25">
      <c r="O176" s="20" t="str">
        <f>IF(N176="","",COUNTIFS(RawData[[Date ]],N176,RawData[Month List],$Q$6,RawData[Tour/Site],$Q$2,RawData[[Picker ID ]],$Q$3,RawData[Checker ID],$Q$4,RawData[[Error Type ]],$Q$5))</f>
        <v/>
      </c>
    </row>
    <row r="177" spans="15:15" x14ac:dyDescent="0.25">
      <c r="O177" s="20" t="str">
        <f>IF(N177="","",COUNTIFS(RawData[[Date ]],N177,RawData[Month List],$Q$6,RawData[Tour/Site],$Q$2,RawData[[Picker ID ]],$Q$3,RawData[Checker ID],$Q$4,RawData[[Error Type ]],$Q$5))</f>
        <v/>
      </c>
    </row>
    <row r="178" spans="15:15" x14ac:dyDescent="0.25">
      <c r="O178" s="20" t="str">
        <f>IF(N178="","",COUNTIFS(RawData[[Date ]],N178,RawData[Month List],$Q$6,RawData[Tour/Site],$Q$2,RawData[[Picker ID ]],$Q$3,RawData[Checker ID],$Q$4,RawData[[Error Type ]],$Q$5))</f>
        <v/>
      </c>
    </row>
    <row r="179" spans="15:15" x14ac:dyDescent="0.25">
      <c r="O179" s="20" t="str">
        <f>IF(N179="","",COUNTIFS(RawData[[Date ]],N179,RawData[Month List],$Q$6,RawData[Tour/Site],$Q$2,RawData[[Picker ID ]],$Q$3,RawData[Checker ID],$Q$4,RawData[[Error Type ]],$Q$5))</f>
        <v/>
      </c>
    </row>
    <row r="180" spans="15:15" x14ac:dyDescent="0.25">
      <c r="O180" s="20" t="str">
        <f>IF(N180="","",COUNTIFS(RawData[[Date ]],N180,RawData[Month List],$Q$6,RawData[Tour/Site],$Q$2,RawData[[Picker ID ]],$Q$3,RawData[Checker ID],$Q$4,RawData[[Error Type ]],$Q$5))</f>
        <v/>
      </c>
    </row>
    <row r="181" spans="15:15" x14ac:dyDescent="0.25">
      <c r="O181" s="20" t="str">
        <f>IF(N181="","",COUNTIFS(RawData[[Date ]],N181,RawData[Month List],$Q$6,RawData[Tour/Site],$Q$2,RawData[[Picker ID ]],$Q$3,RawData[Checker ID],$Q$4,RawData[[Error Type ]],$Q$5))</f>
        <v/>
      </c>
    </row>
    <row r="182" spans="15:15" x14ac:dyDescent="0.25">
      <c r="O182" s="20" t="str">
        <f>IF(N182="","",COUNTIFS(RawData[[Date ]],N182,RawData[Month List],$Q$6,RawData[Tour/Site],$Q$2,RawData[[Picker ID ]],$Q$3,RawData[Checker ID],$Q$4,RawData[[Error Type ]],$Q$5))</f>
        <v/>
      </c>
    </row>
    <row r="183" spans="15:15" x14ac:dyDescent="0.25">
      <c r="O183" s="20" t="str">
        <f>IF(N183="","",COUNTIFS(RawData[[Date ]],N183,RawData[Month List],$Q$6,RawData[Tour/Site],$Q$2,RawData[[Picker ID ]],$Q$3,RawData[Checker ID],$Q$4,RawData[[Error Type ]],$Q$5))</f>
        <v/>
      </c>
    </row>
    <row r="184" spans="15:15" x14ac:dyDescent="0.25">
      <c r="O184" s="20" t="str">
        <f>IF(N184="","",COUNTIFS(RawData[[Date ]],N184,RawData[Month List],$Q$6,RawData[Tour/Site],$Q$2,RawData[[Picker ID ]],$Q$3,RawData[Checker ID],$Q$4,RawData[[Error Type ]],$Q$5))</f>
        <v/>
      </c>
    </row>
    <row r="185" spans="15:15" x14ac:dyDescent="0.25">
      <c r="O185" s="20" t="str">
        <f>IF(N185="","",COUNTIFS(RawData[[Date ]],N185,RawData[Month List],$Q$6,RawData[Tour/Site],$Q$2,RawData[[Picker ID ]],$Q$3,RawData[Checker ID],$Q$4,RawData[[Error Type ]],$Q$5))</f>
        <v/>
      </c>
    </row>
    <row r="186" spans="15:15" x14ac:dyDescent="0.25">
      <c r="O186" s="20" t="str">
        <f>IF(N186="","",COUNTIFS(RawData[[Date ]],N186,RawData[Month List],$Q$6,RawData[Tour/Site],$Q$2,RawData[[Picker ID ]],$Q$3,RawData[Checker ID],$Q$4,RawData[[Error Type ]],$Q$5))</f>
        <v/>
      </c>
    </row>
    <row r="187" spans="15:15" x14ac:dyDescent="0.25">
      <c r="O187" s="20" t="str">
        <f>IF(N187="","",COUNTIFS(RawData[[Date ]],N187,RawData[Month List],$Q$6,RawData[Tour/Site],$Q$2,RawData[[Picker ID ]],$Q$3,RawData[Checker ID],$Q$4,RawData[[Error Type ]],$Q$5))</f>
        <v/>
      </c>
    </row>
    <row r="188" spans="15:15" x14ac:dyDescent="0.25">
      <c r="O188" s="20" t="str">
        <f>IF(N188="","",COUNTIFS(RawData[[Date ]],N188,RawData[Month List],$Q$6,RawData[Tour/Site],$Q$2,RawData[[Picker ID ]],$Q$3,RawData[Checker ID],$Q$4,RawData[[Error Type ]],$Q$5))</f>
        <v/>
      </c>
    </row>
    <row r="189" spans="15:15" x14ac:dyDescent="0.25">
      <c r="O189" s="20" t="str">
        <f>IF(N189="","",COUNTIFS(RawData[[Date ]],N189,RawData[Month List],$Q$6,RawData[Tour/Site],$Q$2,RawData[[Picker ID ]],$Q$3,RawData[Checker ID],$Q$4,RawData[[Error Type ]],$Q$5))</f>
        <v/>
      </c>
    </row>
    <row r="190" spans="15:15" x14ac:dyDescent="0.25">
      <c r="O190" s="20" t="str">
        <f>IF(N190="","",COUNTIFS(RawData[[Date ]],N190,RawData[Month List],$Q$6,RawData[Tour/Site],$Q$2,RawData[[Picker ID ]],$Q$3,RawData[Checker ID],$Q$4,RawData[[Error Type ]],$Q$5))</f>
        <v/>
      </c>
    </row>
    <row r="191" spans="15:15" x14ac:dyDescent="0.25">
      <c r="O191" s="20" t="str">
        <f>IF(N191="","",COUNTIFS(RawData[[Date ]],N191,RawData[Month List],$Q$6,RawData[Tour/Site],$Q$2,RawData[[Picker ID ]],$Q$3,RawData[Checker ID],$Q$4,RawData[[Error Type ]],$Q$5))</f>
        <v/>
      </c>
    </row>
    <row r="192" spans="15:15" x14ac:dyDescent="0.25">
      <c r="O192" s="20" t="str">
        <f>IF(N192="","",COUNTIFS(RawData[[Date ]],N192,RawData[Month List],$Q$6,RawData[Tour/Site],$Q$2,RawData[[Picker ID ]],$Q$3,RawData[Checker ID],$Q$4,RawData[[Error Type ]],$Q$5))</f>
        <v/>
      </c>
    </row>
    <row r="193" spans="15:15" x14ac:dyDescent="0.25">
      <c r="O193" s="20" t="str">
        <f>IF(N193="","",COUNTIFS(RawData[[Date ]],N193,RawData[Month List],$Q$6,RawData[Tour/Site],$Q$2,RawData[[Picker ID ]],$Q$3,RawData[Checker ID],$Q$4,RawData[[Error Type ]],$Q$5))</f>
        <v/>
      </c>
    </row>
    <row r="194" spans="15:15" x14ac:dyDescent="0.25">
      <c r="O194" s="20" t="str">
        <f>IF(N194="","",COUNTIFS(RawData[[Date ]],N194,RawData[Month List],$Q$6,RawData[Tour/Site],$Q$2,RawData[[Picker ID ]],$Q$3,RawData[Checker ID],$Q$4,RawData[[Error Type ]],$Q$5))</f>
        <v/>
      </c>
    </row>
    <row r="195" spans="15:15" x14ac:dyDescent="0.25">
      <c r="O195" s="20" t="str">
        <f>IF(N195="","",COUNTIFS(RawData[[Date ]],N195,RawData[Month List],$Q$6,RawData[Tour/Site],$Q$2,RawData[[Picker ID ]],$Q$3,RawData[Checker ID],$Q$4,RawData[[Error Type ]],$Q$5))</f>
        <v/>
      </c>
    </row>
    <row r="196" spans="15:15" x14ac:dyDescent="0.25">
      <c r="O196" s="20" t="str">
        <f>IF(N196="","",COUNTIFS(RawData[[Date ]],N196,RawData[Month List],$Q$6,RawData[Tour/Site],$Q$2,RawData[[Picker ID ]],$Q$3,RawData[Checker ID],$Q$4,RawData[[Error Type ]],$Q$5))</f>
        <v/>
      </c>
    </row>
    <row r="197" spans="15:15" x14ac:dyDescent="0.25">
      <c r="O197" s="20" t="str">
        <f>IF(N197="","",COUNTIFS(RawData[[Date ]],N197,RawData[Month List],$Q$6,RawData[Tour/Site],$Q$2,RawData[[Picker ID ]],$Q$3,RawData[Checker ID],$Q$4,RawData[[Error Type ]],$Q$5))</f>
        <v/>
      </c>
    </row>
    <row r="198" spans="15:15" x14ac:dyDescent="0.25">
      <c r="O198" s="20" t="str">
        <f>IF(N198="","",COUNTIFS(RawData[[Date ]],N198,RawData[Month List],$Q$6,RawData[Tour/Site],$Q$2,RawData[[Picker ID ]],$Q$3,RawData[Checker ID],$Q$4,RawData[[Error Type ]],$Q$5))</f>
        <v/>
      </c>
    </row>
    <row r="199" spans="15:15" x14ac:dyDescent="0.25">
      <c r="O199" s="20" t="str">
        <f>IF(N199="","",COUNTIFS(RawData[[Date ]],N199,RawData[Month List],$Q$6,RawData[Tour/Site],$Q$2,RawData[[Picker ID ]],$Q$3,RawData[Checker ID],$Q$4,RawData[[Error Type ]],$Q$5))</f>
        <v/>
      </c>
    </row>
    <row r="200" spans="15:15" x14ac:dyDescent="0.25">
      <c r="O200" s="20" t="str">
        <f>IF(N200="","",COUNTIFS(RawData[[Date ]],N200,RawData[Month List],$Q$6,RawData[Tour/Site],$Q$2,RawData[[Picker ID ]],$Q$3,RawData[Checker ID],$Q$4,RawData[[Error Type ]],$Q$5))</f>
        <v/>
      </c>
    </row>
    <row r="201" spans="15:15" x14ac:dyDescent="0.25">
      <c r="O201" s="20" t="str">
        <f>IF(N201="","",COUNTIFS(RawData[[Date ]],N201,RawData[Month List],$Q$6,RawData[Tour/Site],$Q$2,RawData[[Picker ID ]],$Q$3,RawData[Checker ID],$Q$4,RawData[[Error Type ]],$Q$5))</f>
        <v/>
      </c>
    </row>
    <row r="202" spans="15:15" x14ac:dyDescent="0.25">
      <c r="O202" s="20" t="str">
        <f>IF(N202="","",COUNTIFS(RawData[[Date ]],N202,RawData[Month List],$Q$6,RawData[Tour/Site],$Q$2,RawData[[Picker ID ]],$Q$3,RawData[Checker ID],$Q$4,RawData[[Error Type ]],$Q$5))</f>
        <v/>
      </c>
    </row>
    <row r="203" spans="15:15" x14ac:dyDescent="0.25">
      <c r="O203" s="20" t="str">
        <f>IF(N203="","",COUNTIFS(RawData[[Date ]],N203,RawData[Month List],$Q$6,RawData[Tour/Site],$Q$2,RawData[[Picker ID ]],$Q$3,RawData[Checker ID],$Q$4,RawData[[Error Type ]],$Q$5))</f>
        <v/>
      </c>
    </row>
    <row r="204" spans="15:15" x14ac:dyDescent="0.25">
      <c r="O204" s="20" t="str">
        <f>IF(N204="","",COUNTIFS(RawData[[Date ]],N204,RawData[Month List],$Q$6,RawData[Tour/Site],$Q$2,RawData[[Picker ID ]],$Q$3,RawData[Checker ID],$Q$4,RawData[[Error Type ]],$Q$5))</f>
        <v/>
      </c>
    </row>
    <row r="205" spans="15:15" x14ac:dyDescent="0.25">
      <c r="O205" s="20" t="str">
        <f>IF(N205="","",COUNTIFS(RawData[[Date ]],N205,RawData[Month List],$Q$6,RawData[Tour/Site],$Q$2,RawData[[Picker ID ]],$Q$3,RawData[Checker ID],$Q$4,RawData[[Error Type ]],$Q$5))</f>
        <v/>
      </c>
    </row>
    <row r="206" spans="15:15" x14ac:dyDescent="0.25">
      <c r="O206" s="20" t="str">
        <f>IF(N206="","",COUNTIFS(RawData[[Date ]],N206,RawData[Month List],$Q$6,RawData[Tour/Site],$Q$2,RawData[[Picker ID ]],$Q$3,RawData[Checker ID],$Q$4,RawData[[Error Type ]],$Q$5))</f>
        <v/>
      </c>
    </row>
    <row r="207" spans="15:15" x14ac:dyDescent="0.25">
      <c r="O207" s="20" t="str">
        <f>IF(N207="","",COUNTIFS(RawData[[Date ]],N207,RawData[Month List],$Q$6,RawData[Tour/Site],$Q$2,RawData[[Picker ID ]],$Q$3,RawData[Checker ID],$Q$4,RawData[[Error Type ]],$Q$5))</f>
        <v/>
      </c>
    </row>
    <row r="208" spans="15:15" x14ac:dyDescent="0.25">
      <c r="O208" s="20" t="str">
        <f>IF(N208="","",COUNTIFS(RawData[[Date ]],N208,RawData[Month List],$Q$6,RawData[Tour/Site],$Q$2,RawData[[Picker ID ]],$Q$3,RawData[Checker ID],$Q$4,RawData[[Error Type ]],$Q$5))</f>
        <v/>
      </c>
    </row>
    <row r="209" spans="15:15" x14ac:dyDescent="0.25">
      <c r="O209" s="20" t="str">
        <f>IF(N209="","",COUNTIFS(RawData[[Date ]],N209,RawData[Month List],$Q$6,RawData[Tour/Site],$Q$2,RawData[[Picker ID ]],$Q$3,RawData[Checker ID],$Q$4,RawData[[Error Type ]],$Q$5))</f>
        <v/>
      </c>
    </row>
    <row r="210" spans="15:15" x14ac:dyDescent="0.25">
      <c r="O210" s="20" t="str">
        <f>IF(N210="","",COUNTIFS(RawData[[Date ]],N210,RawData[Month List],$Q$6,RawData[Tour/Site],$Q$2,RawData[[Picker ID ]],$Q$3,RawData[Checker ID],$Q$4,RawData[[Error Type ]],$Q$5))</f>
        <v/>
      </c>
    </row>
    <row r="211" spans="15:15" x14ac:dyDescent="0.25">
      <c r="O211" s="20" t="str">
        <f>IF(N211="","",COUNTIFS(RawData[[Date ]],N211,RawData[Month List],$Q$6,RawData[Tour/Site],$Q$2,RawData[[Picker ID ]],$Q$3,RawData[Checker ID],$Q$4,RawData[[Error Type ]],$Q$5))</f>
        <v/>
      </c>
    </row>
    <row r="212" spans="15:15" x14ac:dyDescent="0.25">
      <c r="O212" s="20" t="str">
        <f>IF(N212="","",COUNTIFS(RawData[[Date ]],N212,RawData[Month List],$Q$6,RawData[Tour/Site],$Q$2,RawData[[Picker ID ]],$Q$3,RawData[Checker ID],$Q$4,RawData[[Error Type ]],$Q$5))</f>
        <v/>
      </c>
    </row>
    <row r="213" spans="15:15" x14ac:dyDescent="0.25">
      <c r="O213" s="20" t="str">
        <f>IF(N213="","",COUNTIFS(RawData[[Date ]],N213,RawData[Month List],$Q$6,RawData[Tour/Site],$Q$2,RawData[[Picker ID ]],$Q$3,RawData[Checker ID],$Q$4,RawData[[Error Type ]],$Q$5))</f>
        <v/>
      </c>
    </row>
    <row r="214" spans="15:15" x14ac:dyDescent="0.25">
      <c r="O214" s="20" t="str">
        <f>IF(N214="","",COUNTIFS(RawData[[Date ]],N214,RawData[Month List],$Q$6,RawData[Tour/Site],$Q$2,RawData[[Picker ID ]],$Q$3,RawData[Checker ID],$Q$4,RawData[[Error Type ]],$Q$5))</f>
        <v/>
      </c>
    </row>
    <row r="215" spans="15:15" x14ac:dyDescent="0.25">
      <c r="O215" s="20" t="str">
        <f>IF(N215="","",COUNTIFS(RawData[[Date ]],N215,RawData[Month List],$Q$6,RawData[Tour/Site],$Q$2,RawData[[Picker ID ]],$Q$3,RawData[Checker ID],$Q$4,RawData[[Error Type ]],$Q$5))</f>
        <v/>
      </c>
    </row>
    <row r="216" spans="15:15" x14ac:dyDescent="0.25">
      <c r="O216" s="20" t="str">
        <f>IF(N216="","",COUNTIFS(RawData[[Date ]],N216,RawData[Month List],$Q$6,RawData[Tour/Site],$Q$2,RawData[[Picker ID ]],$Q$3,RawData[Checker ID],$Q$4,RawData[[Error Type ]],$Q$5))</f>
        <v/>
      </c>
    </row>
    <row r="217" spans="15:15" x14ac:dyDescent="0.25">
      <c r="O217" s="20" t="str">
        <f>IF(N217="","",COUNTIFS(RawData[[Date ]],N217,RawData[Month List],$Q$6,RawData[Tour/Site],$Q$2,RawData[[Picker ID ]],$Q$3,RawData[Checker ID],$Q$4,RawData[[Error Type ]],$Q$5))</f>
        <v/>
      </c>
    </row>
    <row r="218" spans="15:15" x14ac:dyDescent="0.25">
      <c r="O218" s="20" t="str">
        <f>IF(N218="","",COUNTIFS(RawData[[Date ]],N218,RawData[Month List],$Q$6,RawData[Tour/Site],$Q$2,RawData[[Picker ID ]],$Q$3,RawData[Checker ID],$Q$4,RawData[[Error Type ]],$Q$5))</f>
        <v/>
      </c>
    </row>
    <row r="219" spans="15:15" x14ac:dyDescent="0.25">
      <c r="O219" s="20" t="str">
        <f>IF(N219="","",COUNTIFS(RawData[[Date ]],N219,RawData[Month List],$Q$6,RawData[Tour/Site],$Q$2,RawData[[Picker ID ]],$Q$3,RawData[Checker ID],$Q$4,RawData[[Error Type ]],$Q$5))</f>
        <v/>
      </c>
    </row>
    <row r="220" spans="15:15" x14ac:dyDescent="0.25">
      <c r="O220" s="20" t="str">
        <f>IF(N220="","",COUNTIFS(RawData[[Date ]],N220,RawData[Month List],$Q$6,RawData[Tour/Site],$Q$2,RawData[[Picker ID ]],$Q$3,RawData[Checker ID],$Q$4,RawData[[Error Type ]],$Q$5))</f>
        <v/>
      </c>
    </row>
    <row r="221" spans="15:15" x14ac:dyDescent="0.25">
      <c r="O221" s="20" t="str">
        <f>IF(N221="","",COUNTIFS(RawData[[Date ]],N221,RawData[Month List],$Q$6,RawData[Tour/Site],$Q$2,RawData[[Picker ID ]],$Q$3,RawData[Checker ID],$Q$4,RawData[[Error Type ]],$Q$5))</f>
        <v/>
      </c>
    </row>
    <row r="222" spans="15:15" x14ac:dyDescent="0.25">
      <c r="O222" s="20" t="str">
        <f>IF(N222="","",COUNTIFS(RawData[[Date ]],N222,RawData[Month List],$Q$6,RawData[Tour/Site],$Q$2,RawData[[Picker ID ]],$Q$3,RawData[Checker ID],$Q$4,RawData[[Error Type ]],$Q$5))</f>
        <v/>
      </c>
    </row>
    <row r="223" spans="15:15" x14ac:dyDescent="0.25">
      <c r="O223" s="20" t="str">
        <f>IF(N223="","",COUNTIFS(RawData[[Date ]],N223,RawData[Month List],$Q$6,RawData[Tour/Site],$Q$2,RawData[[Picker ID ]],$Q$3,RawData[Checker ID],$Q$4,RawData[[Error Type ]],$Q$5))</f>
        <v/>
      </c>
    </row>
    <row r="224" spans="15:15" x14ac:dyDescent="0.25">
      <c r="O224" s="20" t="str">
        <f>IF(N224="","",COUNTIFS(RawData[[Date ]],N224,RawData[Month List],$Q$6,RawData[Tour/Site],$Q$2,RawData[[Picker ID ]],$Q$3,RawData[Checker ID],$Q$4,RawData[[Error Type ]],$Q$5))</f>
        <v/>
      </c>
    </row>
    <row r="225" spans="15:15" x14ac:dyDescent="0.25">
      <c r="O225" s="20" t="str">
        <f>IF(N225="","",COUNTIFS(RawData[[Date ]],N225,RawData[Month List],$Q$6,RawData[Tour/Site],$Q$2,RawData[[Picker ID ]],$Q$3,RawData[Checker ID],$Q$4,RawData[[Error Type ]],$Q$5))</f>
        <v/>
      </c>
    </row>
    <row r="226" spans="15:15" x14ac:dyDescent="0.25">
      <c r="O226" s="20" t="str">
        <f>IF(N226="","",COUNTIFS(RawData[[Date ]],N226,RawData[Month List],$Q$6,RawData[Tour/Site],$Q$2,RawData[[Picker ID ]],$Q$3,RawData[Checker ID],$Q$4,RawData[[Error Type ]],$Q$5))</f>
        <v/>
      </c>
    </row>
    <row r="227" spans="15:15" x14ac:dyDescent="0.25">
      <c r="O227" s="20" t="str">
        <f>IF(N227="","",COUNTIFS(RawData[[Date ]],N227,RawData[Month List],$Q$6,RawData[Tour/Site],$Q$2,RawData[[Picker ID ]],$Q$3,RawData[Checker ID],$Q$4,RawData[[Error Type ]],$Q$5))</f>
        <v/>
      </c>
    </row>
    <row r="228" spans="15:15" x14ac:dyDescent="0.25">
      <c r="O228" s="20" t="str">
        <f>IF(N228="","",COUNTIFS(RawData[[Date ]],N228,RawData[Month List],$Q$6,RawData[Tour/Site],$Q$2,RawData[[Picker ID ]],$Q$3,RawData[Checker ID],$Q$4,RawData[[Error Type ]],$Q$5))</f>
        <v/>
      </c>
    </row>
    <row r="229" spans="15:15" x14ac:dyDescent="0.25">
      <c r="O229" s="20" t="str">
        <f>IF(N229="","",COUNTIFS(RawData[[Date ]],N229,RawData[Month List],$Q$6,RawData[Tour/Site],$Q$2,RawData[[Picker ID ]],$Q$3,RawData[Checker ID],$Q$4,RawData[[Error Type ]],$Q$5))</f>
        <v/>
      </c>
    </row>
    <row r="230" spans="15:15" x14ac:dyDescent="0.25">
      <c r="O230" s="20" t="str">
        <f>IF(N230="","",COUNTIFS(RawData[[Date ]],N230,RawData[Month List],$Q$6,RawData[Tour/Site],$Q$2,RawData[[Picker ID ]],$Q$3,RawData[Checker ID],$Q$4,RawData[[Error Type ]],$Q$5))</f>
        <v/>
      </c>
    </row>
    <row r="231" spans="15:15" x14ac:dyDescent="0.25">
      <c r="O231" s="20" t="str">
        <f>IF(N231="","",COUNTIFS(RawData[[Date ]],N231,RawData[Month List],$Q$6,RawData[Tour/Site],$Q$2,RawData[[Picker ID ]],$Q$3,RawData[Checker ID],$Q$4,RawData[[Error Type ]],$Q$5))</f>
        <v/>
      </c>
    </row>
    <row r="232" spans="15:15" x14ac:dyDescent="0.25">
      <c r="O232" s="20" t="str">
        <f>IF(N232="","",COUNTIFS(RawData[[Date ]],N232,RawData[Month List],$Q$6,RawData[Tour/Site],$Q$2,RawData[[Picker ID ]],$Q$3,RawData[Checker ID],$Q$4,RawData[[Error Type ]],$Q$5))</f>
        <v/>
      </c>
    </row>
    <row r="233" spans="15:15" x14ac:dyDescent="0.25">
      <c r="O233" s="20" t="str">
        <f>IF(N233="","",COUNTIFS(RawData[[Date ]],N233,RawData[Month List],$Q$6,RawData[Tour/Site],$Q$2,RawData[[Picker ID ]],$Q$3,RawData[Checker ID],$Q$4,RawData[[Error Type ]],$Q$5))</f>
        <v/>
      </c>
    </row>
    <row r="234" spans="15:15" x14ac:dyDescent="0.25">
      <c r="O234" s="20" t="str">
        <f>IF(N234="","",COUNTIFS(RawData[[Date ]],N234,RawData[Month List],$Q$6,RawData[Tour/Site],$Q$2,RawData[[Picker ID ]],$Q$3,RawData[Checker ID],$Q$4,RawData[[Error Type ]],$Q$5))</f>
        <v/>
      </c>
    </row>
    <row r="235" spans="15:15" x14ac:dyDescent="0.25">
      <c r="O235" s="20" t="str">
        <f>IF(N235="","",COUNTIFS(RawData[[Date ]],N235,RawData[Month List],$Q$6,RawData[Tour/Site],$Q$2,RawData[[Picker ID ]],$Q$3,RawData[Checker ID],$Q$4,RawData[[Error Type ]],$Q$5))</f>
        <v/>
      </c>
    </row>
    <row r="236" spans="15:15" x14ac:dyDescent="0.25">
      <c r="O236" s="20" t="str">
        <f>IF(N236="","",COUNTIFS(RawData[[Date ]],N236,RawData[Month List],$Q$6,RawData[Tour/Site],$Q$2,RawData[[Picker ID ]],$Q$3,RawData[Checker ID],$Q$4,RawData[[Error Type ]],$Q$5))</f>
        <v/>
      </c>
    </row>
    <row r="237" spans="15:15" x14ac:dyDescent="0.25">
      <c r="O237" s="20" t="str">
        <f>IF(N237="","",COUNTIFS(RawData[[Date ]],N237,RawData[Month List],$Q$6,RawData[Tour/Site],$Q$2,RawData[[Picker ID ]],$Q$3,RawData[Checker ID],$Q$4,RawData[[Error Type ]],$Q$5))</f>
        <v/>
      </c>
    </row>
    <row r="238" spans="15:15" x14ac:dyDescent="0.25">
      <c r="O238" s="20" t="str">
        <f>IF(N238="","",COUNTIFS(RawData[[Date ]],N238,RawData[Month List],$Q$6,RawData[Tour/Site],$Q$2,RawData[[Picker ID ]],$Q$3,RawData[Checker ID],$Q$4,RawData[[Error Type ]],$Q$5))</f>
        <v/>
      </c>
    </row>
    <row r="239" spans="15:15" x14ac:dyDescent="0.25">
      <c r="O239" s="20" t="str">
        <f>IF(N239="","",COUNTIFS(RawData[[Date ]],N239,RawData[Month List],$Q$6,RawData[Tour/Site],$Q$2,RawData[[Picker ID ]],$Q$3,RawData[Checker ID],$Q$4,RawData[[Error Type ]],$Q$5))</f>
        <v/>
      </c>
    </row>
    <row r="240" spans="15:15" x14ac:dyDescent="0.25">
      <c r="O240" s="20" t="str">
        <f>IF(N240="","",COUNTIFS(RawData[[Date ]],N240,RawData[Month List],$Q$6,RawData[Tour/Site],$Q$2,RawData[[Picker ID ]],$Q$3,RawData[Checker ID],$Q$4,RawData[[Error Type ]],$Q$5))</f>
        <v/>
      </c>
    </row>
    <row r="241" spans="15:15" x14ac:dyDescent="0.25">
      <c r="O241" s="20" t="str">
        <f>IF(N241="","",COUNTIFS(RawData[[Date ]],N241,RawData[Month List],$Q$6,RawData[Tour/Site],$Q$2,RawData[[Picker ID ]],$Q$3,RawData[Checker ID],$Q$4,RawData[[Error Type ]],$Q$5))</f>
        <v/>
      </c>
    </row>
    <row r="242" spans="15:15" x14ac:dyDescent="0.25">
      <c r="O242" s="20" t="str">
        <f>IF(N242="","",COUNTIFS(RawData[[Date ]],N242,RawData[Month List],$Q$6,RawData[Tour/Site],$Q$2,RawData[[Picker ID ]],$Q$3,RawData[Checker ID],$Q$4,RawData[[Error Type ]],$Q$5))</f>
        <v/>
      </c>
    </row>
    <row r="243" spans="15:15" x14ac:dyDescent="0.25">
      <c r="O243" s="20" t="str">
        <f>IF(N243="","",COUNTIFS(RawData[[Date ]],N243,RawData[Month List],$Q$6,RawData[Tour/Site],$Q$2,RawData[[Picker ID ]],$Q$3,RawData[Checker ID],$Q$4,RawData[[Error Type ]],$Q$5))</f>
        <v/>
      </c>
    </row>
    <row r="244" spans="15:15" x14ac:dyDescent="0.25">
      <c r="O244" s="20" t="str">
        <f>IF(N244="","",COUNTIFS(RawData[[Date ]],N244,RawData[Month List],$Q$6,RawData[Tour/Site],$Q$2,RawData[[Picker ID ]],$Q$3,RawData[Checker ID],$Q$4,RawData[[Error Type ]],$Q$5))</f>
        <v/>
      </c>
    </row>
    <row r="245" spans="15:15" x14ac:dyDescent="0.25">
      <c r="O245" s="20" t="str">
        <f>IF(N245="","",COUNTIFS(RawData[[Date ]],N245,RawData[Month List],$Q$6,RawData[Tour/Site],$Q$2,RawData[[Picker ID ]],$Q$3,RawData[Checker ID],$Q$4,RawData[[Error Type ]],$Q$5))</f>
        <v/>
      </c>
    </row>
    <row r="246" spans="15:15" x14ac:dyDescent="0.25">
      <c r="O246" s="20" t="str">
        <f>IF(N246="","",COUNTIFS(RawData[[Date ]],N246,RawData[Month List],$Q$6,RawData[Tour/Site],$Q$2,RawData[[Picker ID ]],$Q$3,RawData[Checker ID],$Q$4,RawData[[Error Type ]],$Q$5))</f>
        <v/>
      </c>
    </row>
    <row r="247" spans="15:15" x14ac:dyDescent="0.25">
      <c r="O247" s="20" t="str">
        <f>IF(N247="","",COUNTIFS(RawData[[Date ]],N247,RawData[Month List],$Q$6,RawData[Tour/Site],$Q$2,RawData[[Picker ID ]],$Q$3,RawData[Checker ID],$Q$4,RawData[[Error Type ]],$Q$5))</f>
        <v/>
      </c>
    </row>
    <row r="248" spans="15:15" x14ac:dyDescent="0.25">
      <c r="O248" s="20" t="str">
        <f>IF(N248="","",COUNTIFS(RawData[[Date ]],N248,RawData[Month List],$Q$6,RawData[Tour/Site],$Q$2,RawData[[Picker ID ]],$Q$3,RawData[Checker ID],$Q$4,RawData[[Error Type ]],$Q$5))</f>
        <v/>
      </c>
    </row>
    <row r="249" spans="15:15" x14ac:dyDescent="0.25">
      <c r="O249" s="20" t="str">
        <f>IF(N249="","",COUNTIFS(RawData[[Date ]],N249,RawData[Month List],$Q$6,RawData[Tour/Site],$Q$2,RawData[[Picker ID ]],$Q$3,RawData[Checker ID],$Q$4,RawData[[Error Type ]],$Q$5))</f>
        <v/>
      </c>
    </row>
    <row r="250" spans="15:15" x14ac:dyDescent="0.25">
      <c r="O250" s="20" t="str">
        <f>IF(N250="","",COUNTIFS(RawData[[Date ]],N250,RawData[Month List],$Q$6,RawData[Tour/Site],$Q$2,RawData[[Picker ID ]],$Q$3,RawData[Checker ID],$Q$4,RawData[[Error Type ]],$Q$5))</f>
        <v/>
      </c>
    </row>
    <row r="251" spans="15:15" x14ac:dyDescent="0.25">
      <c r="O251" s="20" t="str">
        <f>IF(N251="","",COUNTIFS(RawData[[Date ]],N251,RawData[Month List],$Q$6,RawData[Tour/Site],$Q$2,RawData[[Picker ID ]],$Q$3,RawData[Checker ID],$Q$4,RawData[[Error Type ]],$Q$5))</f>
        <v/>
      </c>
    </row>
    <row r="252" spans="15:15" x14ac:dyDescent="0.25">
      <c r="O252" s="20" t="str">
        <f>IF(N252="","",COUNTIFS(RawData[[Date ]],N252,RawData[Month List],$Q$6,RawData[Tour/Site],$Q$2,RawData[[Picker ID ]],$Q$3,RawData[Checker ID],$Q$4,RawData[[Error Type ]],$Q$5))</f>
        <v/>
      </c>
    </row>
    <row r="253" spans="15:15" x14ac:dyDescent="0.25">
      <c r="O253" s="20" t="str">
        <f>IF(N253="","",COUNTIFS(RawData[[Date ]],N253,RawData[Month List],$Q$6,RawData[Tour/Site],$Q$2,RawData[[Picker ID ]],$Q$3,RawData[Checker ID],$Q$4,RawData[[Error Type ]],$Q$5))</f>
        <v/>
      </c>
    </row>
    <row r="254" spans="15:15" x14ac:dyDescent="0.25">
      <c r="O254" s="20" t="str">
        <f>IF(N254="","",COUNTIFS(RawData[[Date ]],N254,RawData[Month List],$Q$6,RawData[Tour/Site],$Q$2,RawData[[Picker ID ]],$Q$3,RawData[Checker ID],$Q$4,RawData[[Error Type ]],$Q$5))</f>
        <v/>
      </c>
    </row>
    <row r="255" spans="15:15" x14ac:dyDescent="0.25">
      <c r="O255" s="20" t="str">
        <f>IF(N255="","",COUNTIFS(RawData[[Date ]],N255,RawData[Month List],$Q$6,RawData[Tour/Site],$Q$2,RawData[[Picker ID ]],$Q$3,RawData[Checker ID],$Q$4,RawData[[Error Type ]],$Q$5))</f>
        <v/>
      </c>
    </row>
    <row r="256" spans="15:15" x14ac:dyDescent="0.25">
      <c r="O256" s="20" t="str">
        <f>IF(N256="","",COUNTIFS(RawData[[Date ]],N256,RawData[Month List],$Q$6,RawData[Tour/Site],$Q$2,RawData[[Picker ID ]],$Q$3,RawData[Checker ID],$Q$4,RawData[[Error Type ]],$Q$5))</f>
        <v/>
      </c>
    </row>
    <row r="257" spans="15:15" x14ac:dyDescent="0.25">
      <c r="O257" s="20" t="str">
        <f>IF(N257="","",COUNTIFS(RawData[[Date ]],N257,RawData[Month List],$Q$6,RawData[Tour/Site],$Q$2,RawData[[Picker ID ]],$Q$3,RawData[Checker ID],$Q$4,RawData[[Error Type ]],$Q$5))</f>
        <v/>
      </c>
    </row>
    <row r="258" spans="15:15" x14ac:dyDescent="0.25">
      <c r="O258" s="20" t="str">
        <f>IF(N258="","",COUNTIFS(RawData[[Date ]],N258,RawData[Month List],$Q$6,RawData[Tour/Site],$Q$2,RawData[[Picker ID ]],$Q$3,RawData[Checker ID],$Q$4,RawData[[Error Type ]],$Q$5))</f>
        <v/>
      </c>
    </row>
    <row r="259" spans="15:15" x14ac:dyDescent="0.25">
      <c r="O259" s="20" t="str">
        <f>IF(N259="","",COUNTIFS(RawData[[Date ]],N259,RawData[Month List],$Q$6,RawData[Tour/Site],$Q$2,RawData[[Picker ID ]],$Q$3,RawData[Checker ID],$Q$4,RawData[[Error Type ]],$Q$5))</f>
        <v/>
      </c>
    </row>
    <row r="260" spans="15:15" x14ac:dyDescent="0.25">
      <c r="O260" s="20" t="str">
        <f>IF(N260="","",COUNTIFS(RawData[[Date ]],N260,RawData[Month List],$Q$6,RawData[Tour/Site],$Q$2,RawData[[Picker ID ]],$Q$3,RawData[Checker ID],$Q$4,RawData[[Error Type ]],$Q$5))</f>
        <v/>
      </c>
    </row>
    <row r="261" spans="15:15" x14ac:dyDescent="0.25">
      <c r="O261" s="20" t="str">
        <f>IF(N261="","",COUNTIFS(RawData[[Date ]],N261,RawData[Month List],$Q$6,RawData[Tour/Site],$Q$2,RawData[[Picker ID ]],$Q$3,RawData[Checker ID],$Q$4,RawData[[Error Type ]],$Q$5))</f>
        <v/>
      </c>
    </row>
    <row r="262" spans="15:15" x14ac:dyDescent="0.25">
      <c r="O262" s="20" t="str">
        <f>IF(N262="","",COUNTIFS(RawData[[Date ]],N262,RawData[Month List],$Q$6,RawData[Tour/Site],$Q$2,RawData[[Picker ID ]],$Q$3,RawData[Checker ID],$Q$4,RawData[[Error Type ]],$Q$5))</f>
        <v/>
      </c>
    </row>
    <row r="263" spans="15:15" x14ac:dyDescent="0.25">
      <c r="O263" s="20" t="str">
        <f>IF(N263="","",COUNTIFS(RawData[[Date ]],N263,RawData[Month List],$Q$6,RawData[Tour/Site],$Q$2,RawData[[Picker ID ]],$Q$3,RawData[Checker ID],$Q$4,RawData[[Error Type ]],$Q$5))</f>
        <v/>
      </c>
    </row>
    <row r="264" spans="15:15" x14ac:dyDescent="0.25">
      <c r="O264" s="20" t="str">
        <f>IF(N264="","",COUNTIFS(RawData[[Date ]],N264,RawData[Month List],$Q$6,RawData[Tour/Site],$Q$2,RawData[[Picker ID ]],$Q$3,RawData[Checker ID],$Q$4,RawData[[Error Type ]],$Q$5))</f>
        <v/>
      </c>
    </row>
    <row r="265" spans="15:15" x14ac:dyDescent="0.25">
      <c r="O265" s="20" t="str">
        <f>IF(N265="","",COUNTIFS(RawData[[Date ]],N265,RawData[Month List],$Q$6,RawData[Tour/Site],$Q$2,RawData[[Picker ID ]],$Q$3,RawData[Checker ID],$Q$4,RawData[[Error Type ]],$Q$5))</f>
        <v/>
      </c>
    </row>
    <row r="266" spans="15:15" x14ac:dyDescent="0.25">
      <c r="O266" s="20" t="str">
        <f>IF(N266="","",COUNTIFS(RawData[[Date ]],N266,RawData[Month List],$Q$6,RawData[Tour/Site],$Q$2,RawData[[Picker ID ]],$Q$3,RawData[Checker ID],$Q$4,RawData[[Error Type ]],$Q$5))</f>
        <v/>
      </c>
    </row>
    <row r="267" spans="15:15" x14ac:dyDescent="0.25">
      <c r="O267" s="20" t="str">
        <f>IF(N267="","",COUNTIFS(RawData[[Date ]],N267,RawData[Month List],$Q$6,RawData[Tour/Site],$Q$2,RawData[[Picker ID ]],$Q$3,RawData[Checker ID],$Q$4,RawData[[Error Type ]],$Q$5))</f>
        <v/>
      </c>
    </row>
    <row r="268" spans="15:15" x14ac:dyDescent="0.25">
      <c r="O268" s="20" t="str">
        <f>IF(N268="","",COUNTIFS(RawData[[Date ]],N268,RawData[Month List],$Q$6,RawData[Tour/Site],$Q$2,RawData[[Picker ID ]],$Q$3,RawData[Checker ID],$Q$4,RawData[[Error Type ]],$Q$5))</f>
        <v/>
      </c>
    </row>
    <row r="269" spans="15:15" x14ac:dyDescent="0.25">
      <c r="O269" s="20" t="str">
        <f>IF(N269="","",COUNTIFS(RawData[[Date ]],N269,RawData[Month List],$Q$6,RawData[Tour/Site],$Q$2,RawData[[Picker ID ]],$Q$3,RawData[Checker ID],$Q$4,RawData[[Error Type ]],$Q$5))</f>
        <v/>
      </c>
    </row>
    <row r="270" spans="15:15" x14ac:dyDescent="0.25">
      <c r="O270" s="20" t="str">
        <f>IF(N270="","",COUNTIFS(RawData[[Date ]],N270,RawData[Month List],$Q$6,RawData[Tour/Site],$Q$2,RawData[[Picker ID ]],$Q$3,RawData[Checker ID],$Q$4,RawData[[Error Type ]],$Q$5))</f>
        <v/>
      </c>
    </row>
    <row r="271" spans="15:15" x14ac:dyDescent="0.25">
      <c r="O271" s="20" t="str">
        <f>IF(N271="","",COUNTIFS(RawData[[Date ]],N271,RawData[Month List],$Q$6,RawData[Tour/Site],$Q$2,RawData[[Picker ID ]],$Q$3,RawData[Checker ID],$Q$4,RawData[[Error Type ]],$Q$5))</f>
        <v/>
      </c>
    </row>
    <row r="272" spans="15:15" x14ac:dyDescent="0.25">
      <c r="O272" s="20" t="str">
        <f>IF(N272="","",COUNTIFS(RawData[[Date ]],N272,RawData[Month List],$Q$6,RawData[Tour/Site],$Q$2,RawData[[Picker ID ]],$Q$3,RawData[Checker ID],$Q$4,RawData[[Error Type ]],$Q$5))</f>
        <v/>
      </c>
    </row>
    <row r="273" spans="15:15" x14ac:dyDescent="0.25">
      <c r="O273" s="20" t="str">
        <f>IF(N273="","",COUNTIFS(RawData[[Date ]],N273,RawData[Month List],$Q$6,RawData[Tour/Site],$Q$2,RawData[[Picker ID ]],$Q$3,RawData[Checker ID],$Q$4,RawData[[Error Type ]],$Q$5))</f>
        <v/>
      </c>
    </row>
    <row r="274" spans="15:15" x14ac:dyDescent="0.25">
      <c r="O274" s="20" t="str">
        <f>IF(N274="","",COUNTIFS(RawData[[Date ]],N274,RawData[Month List],$Q$6,RawData[Tour/Site],$Q$2,RawData[[Picker ID ]],$Q$3,RawData[Checker ID],$Q$4,RawData[[Error Type ]],$Q$5))</f>
        <v/>
      </c>
    </row>
    <row r="275" spans="15:15" x14ac:dyDescent="0.25">
      <c r="O275" s="20" t="str">
        <f>IF(N275="","",COUNTIFS(RawData[[Date ]],N275,RawData[Month List],$Q$6,RawData[Tour/Site],$Q$2,RawData[[Picker ID ]],$Q$3,RawData[Checker ID],$Q$4,RawData[[Error Type ]],$Q$5))</f>
        <v/>
      </c>
    </row>
    <row r="276" spans="15:15" x14ac:dyDescent="0.25">
      <c r="O276" s="20" t="str">
        <f>IF(N276="","",COUNTIFS(RawData[[Date ]],N276,RawData[Month List],$Q$6,RawData[Tour/Site],$Q$2,RawData[[Picker ID ]],$Q$3,RawData[Checker ID],$Q$4,RawData[[Error Type ]],$Q$5))</f>
        <v/>
      </c>
    </row>
    <row r="277" spans="15:15" x14ac:dyDescent="0.25">
      <c r="O277" s="20" t="str">
        <f>IF(N277="","",COUNTIFS(RawData[[Date ]],N277,RawData[Month List],$Q$6,RawData[Tour/Site],$Q$2,RawData[[Picker ID ]],$Q$3,RawData[Checker ID],$Q$4,RawData[[Error Type ]],$Q$5))</f>
        <v/>
      </c>
    </row>
    <row r="278" spans="15:15" x14ac:dyDescent="0.25">
      <c r="O278" s="20" t="str">
        <f>IF(N278="","",COUNTIFS(RawData[[Date ]],N278,RawData[Month List],$Q$6,RawData[Tour/Site],$Q$2,RawData[[Picker ID ]],$Q$3,RawData[Checker ID],$Q$4,RawData[[Error Type ]],$Q$5))</f>
        <v/>
      </c>
    </row>
    <row r="279" spans="15:15" x14ac:dyDescent="0.25">
      <c r="O279" s="20" t="str">
        <f>IF(N279="","",COUNTIFS(RawData[[Date ]],N279,RawData[Month List],$Q$6,RawData[Tour/Site],$Q$2,RawData[[Picker ID ]],$Q$3,RawData[Checker ID],$Q$4,RawData[[Error Type ]],$Q$5))</f>
        <v/>
      </c>
    </row>
    <row r="280" spans="15:15" x14ac:dyDescent="0.25">
      <c r="O280" s="20" t="str">
        <f>IF(N280="","",COUNTIFS(RawData[[Date ]],N280,RawData[Month List],$Q$6,RawData[Tour/Site],$Q$2,RawData[[Picker ID ]],$Q$3,RawData[Checker ID],$Q$4,RawData[[Error Type ]],$Q$5))</f>
        <v/>
      </c>
    </row>
    <row r="281" spans="15:15" x14ac:dyDescent="0.25">
      <c r="O281" s="20" t="str">
        <f>IF(N281="","",COUNTIFS(RawData[[Date ]],N281,RawData[Month List],$Q$6,RawData[Tour/Site],$Q$2,RawData[[Picker ID ]],$Q$3,RawData[Checker ID],$Q$4,RawData[[Error Type ]],$Q$5))</f>
        <v/>
      </c>
    </row>
    <row r="282" spans="15:15" x14ac:dyDescent="0.25">
      <c r="O282" s="20" t="str">
        <f>IF(N282="","",COUNTIFS(RawData[[Date ]],N282,RawData[Month List],$Q$6,RawData[Tour/Site],$Q$2,RawData[[Picker ID ]],$Q$3,RawData[Checker ID],$Q$4,RawData[[Error Type ]],$Q$5))</f>
        <v/>
      </c>
    </row>
    <row r="283" spans="15:15" x14ac:dyDescent="0.25">
      <c r="O283" s="20" t="str">
        <f>IF(N283="","",COUNTIFS(RawData[[Date ]],N283,RawData[Month List],$Q$6,RawData[Tour/Site],$Q$2,RawData[[Picker ID ]],$Q$3,RawData[Checker ID],$Q$4,RawData[[Error Type ]],$Q$5))</f>
        <v/>
      </c>
    </row>
    <row r="284" spans="15:15" x14ac:dyDescent="0.25">
      <c r="O284" s="20" t="str">
        <f>IF(N284="","",COUNTIFS(RawData[[Date ]],N284,RawData[Month List],$Q$6,RawData[Tour/Site],$Q$2,RawData[[Picker ID ]],$Q$3,RawData[Checker ID],$Q$4,RawData[[Error Type ]],$Q$5))</f>
        <v/>
      </c>
    </row>
    <row r="285" spans="15:15" x14ac:dyDescent="0.25">
      <c r="O285" s="20" t="str">
        <f>IF(N285="","",COUNTIFS(RawData[[Date ]],N285,RawData[Month List],$Q$6,RawData[Tour/Site],$Q$2,RawData[[Picker ID ]],$Q$3,RawData[Checker ID],$Q$4,RawData[[Error Type ]],$Q$5))</f>
        <v/>
      </c>
    </row>
    <row r="286" spans="15:15" x14ac:dyDescent="0.25">
      <c r="O286" s="20" t="str">
        <f>IF(N286="","",COUNTIFS(RawData[[Date ]],N286,RawData[Month List],$Q$6,RawData[Tour/Site],$Q$2,RawData[[Picker ID ]],$Q$3,RawData[Checker ID],$Q$4,RawData[[Error Type ]],$Q$5))</f>
        <v/>
      </c>
    </row>
    <row r="287" spans="15:15" x14ac:dyDescent="0.25">
      <c r="O287" s="20" t="str">
        <f>IF(N287="","",COUNTIFS(RawData[[Date ]],N287,RawData[Month List],$Q$6,RawData[Tour/Site],$Q$2,RawData[[Picker ID ]],$Q$3,RawData[Checker ID],$Q$4,RawData[[Error Type ]],$Q$5))</f>
        <v/>
      </c>
    </row>
    <row r="288" spans="15:15" x14ac:dyDescent="0.25">
      <c r="O288" s="20" t="str">
        <f>IF(N288="","",COUNTIFS(RawData[[Date ]],N288,RawData[Month List],$Q$6,RawData[Tour/Site],$Q$2,RawData[[Picker ID ]],$Q$3,RawData[Checker ID],$Q$4,RawData[[Error Type ]],$Q$5))</f>
        <v/>
      </c>
    </row>
    <row r="289" spans="15:15" x14ac:dyDescent="0.25">
      <c r="O289" s="20" t="str">
        <f>IF(N289="","",COUNTIFS(RawData[[Date ]],N289,RawData[Month List],$Q$6,RawData[Tour/Site],$Q$2,RawData[[Picker ID ]],$Q$3,RawData[Checker ID],$Q$4,RawData[[Error Type ]],$Q$5))</f>
        <v/>
      </c>
    </row>
    <row r="290" spans="15:15" x14ac:dyDescent="0.25">
      <c r="O290" s="20" t="str">
        <f>IF(N290="","",COUNTIFS(RawData[[Date ]],N290,RawData[Month List],$Q$6,RawData[Tour/Site],$Q$2,RawData[[Picker ID ]],$Q$3,RawData[Checker ID],$Q$4,RawData[[Error Type ]],$Q$5))</f>
        <v/>
      </c>
    </row>
    <row r="291" spans="15:15" x14ac:dyDescent="0.25">
      <c r="O291" s="20" t="str">
        <f>IF(N291="","",COUNTIFS(RawData[[Date ]],N291,RawData[Month List],$Q$6,RawData[Tour/Site],$Q$2,RawData[[Picker ID ]],$Q$3,RawData[Checker ID],$Q$4,RawData[[Error Type ]],$Q$5))</f>
        <v/>
      </c>
    </row>
    <row r="292" spans="15:15" x14ac:dyDescent="0.25">
      <c r="O292" s="20" t="str">
        <f>IF(N292="","",COUNTIFS(RawData[[Date ]],N292,RawData[Month List],$Q$6,RawData[Tour/Site],$Q$2,RawData[[Picker ID ]],$Q$3,RawData[Checker ID],$Q$4,RawData[[Error Type ]],$Q$5))</f>
        <v/>
      </c>
    </row>
    <row r="293" spans="15:15" x14ac:dyDescent="0.25">
      <c r="O293" s="20" t="str">
        <f>IF(N293="","",COUNTIFS(RawData[[Date ]],N293,RawData[Month List],$Q$6,RawData[Tour/Site],$Q$2,RawData[[Picker ID ]],$Q$3,RawData[Checker ID],$Q$4,RawData[[Error Type ]],$Q$5))</f>
        <v/>
      </c>
    </row>
    <row r="294" spans="15:15" x14ac:dyDescent="0.25">
      <c r="O294" s="20" t="str">
        <f>IF(N294="","",COUNTIFS(RawData[[Date ]],N294,RawData[Month List],$Q$6,RawData[Tour/Site],$Q$2,RawData[[Picker ID ]],$Q$3,RawData[Checker ID],$Q$4,RawData[[Error Type ]],$Q$5))</f>
        <v/>
      </c>
    </row>
    <row r="295" spans="15:15" x14ac:dyDescent="0.25">
      <c r="O295" s="20" t="str">
        <f>IF(N295="","",COUNTIFS(RawData[[Date ]],N295,RawData[Month List],$Q$6,RawData[Tour/Site],$Q$2,RawData[[Picker ID ]],$Q$3,RawData[Checker ID],$Q$4,RawData[[Error Type ]],$Q$5))</f>
        <v/>
      </c>
    </row>
    <row r="296" spans="15:15" x14ac:dyDescent="0.25">
      <c r="O296" s="20" t="str">
        <f>IF(N296="","",COUNTIFS(RawData[[Date ]],N296,RawData[Month List],$Q$6,RawData[Tour/Site],$Q$2,RawData[[Picker ID ]],$Q$3,RawData[Checker ID],$Q$4,RawData[[Error Type ]],$Q$5))</f>
        <v/>
      </c>
    </row>
    <row r="297" spans="15:15" x14ac:dyDescent="0.25">
      <c r="O297" s="20" t="str">
        <f>IF(N297="","",COUNTIFS(RawData[[Date ]],N297,RawData[Month List],$Q$6,RawData[Tour/Site],$Q$2,RawData[[Picker ID ]],$Q$3,RawData[Checker ID],$Q$4,RawData[[Error Type ]],$Q$5))</f>
        <v/>
      </c>
    </row>
    <row r="298" spans="15:15" x14ac:dyDescent="0.25">
      <c r="O298" s="20" t="str">
        <f>IF(N298="","",COUNTIFS(RawData[[Date ]],N298,RawData[Month List],$Q$6,RawData[Tour/Site],$Q$2,RawData[[Picker ID ]],$Q$3,RawData[Checker ID],$Q$4,RawData[[Error Type ]],$Q$5))</f>
        <v/>
      </c>
    </row>
    <row r="299" spans="15:15" x14ac:dyDescent="0.25">
      <c r="O299" s="20" t="str">
        <f>IF(N299="","",COUNTIFS(RawData[[Date ]],N299,RawData[Month List],$Q$6,RawData[Tour/Site],$Q$2,RawData[[Picker ID ]],$Q$3,RawData[Checker ID],$Q$4,RawData[[Error Type ]],$Q$5))</f>
        <v/>
      </c>
    </row>
    <row r="300" spans="15:15" x14ac:dyDescent="0.25">
      <c r="O300" s="20" t="str">
        <f>IF(N300="","",COUNTIFS(RawData[[Date ]],N300,RawData[Month List],$Q$6,RawData[Tour/Site],$Q$2,RawData[[Picker ID ]],$Q$3,RawData[Checker ID],$Q$4,RawData[[Error Type ]],$Q$5))</f>
        <v/>
      </c>
    </row>
    <row r="301" spans="15:15" x14ac:dyDescent="0.25">
      <c r="O301" s="20" t="str">
        <f>IF(N301="","",COUNTIFS(RawData[[Date ]],N301,RawData[Month List],$Q$6,RawData[Tour/Site],$Q$2,RawData[[Picker ID ]],$Q$3,RawData[Checker ID],$Q$4,RawData[[Error Type ]],$Q$5))</f>
        <v/>
      </c>
    </row>
    <row r="302" spans="15:15" x14ac:dyDescent="0.25">
      <c r="O302" s="20" t="str">
        <f>IF(N302="","",COUNTIFS(RawData[[Date ]],N302,RawData[Month List],$Q$6,RawData[Tour/Site],$Q$2,RawData[[Picker ID ]],$Q$3,RawData[Checker ID],$Q$4,RawData[[Error Type ]],$Q$5))</f>
        <v/>
      </c>
    </row>
    <row r="303" spans="15:15" x14ac:dyDescent="0.25">
      <c r="O303" s="20" t="str">
        <f>IF(N303="","",COUNTIFS(RawData[[Date ]],N303,RawData[Month List],$Q$6,RawData[Tour/Site],$Q$2,RawData[[Picker ID ]],$Q$3,RawData[Checker ID],$Q$4,RawData[[Error Type ]],$Q$5))</f>
        <v/>
      </c>
    </row>
    <row r="304" spans="15:15" x14ac:dyDescent="0.25">
      <c r="O304" s="20" t="str">
        <f>IF(N304="","",COUNTIFS(RawData[[Date ]],N304,RawData[Month List],$Q$6,RawData[Tour/Site],$Q$2,RawData[[Picker ID ]],$Q$3,RawData[Checker ID],$Q$4,RawData[[Error Type ]],$Q$5))</f>
        <v/>
      </c>
    </row>
    <row r="305" spans="15:15" x14ac:dyDescent="0.25">
      <c r="O305" s="20" t="str">
        <f>IF(N305="","",COUNTIFS(RawData[[Date ]],N305,RawData[Month List],$Q$6,RawData[Tour/Site],$Q$2,RawData[[Picker ID ]],$Q$3,RawData[Checker ID],$Q$4,RawData[[Error Type ]],$Q$5))</f>
        <v/>
      </c>
    </row>
    <row r="306" spans="15:15" x14ac:dyDescent="0.25">
      <c r="O306" s="20" t="str">
        <f>IF(N306="","",COUNTIFS(RawData[[Date ]],N306,RawData[Month List],$Q$6,RawData[Tour/Site],$Q$2,RawData[[Picker ID ]],$Q$3,RawData[Checker ID],$Q$4,RawData[[Error Type ]],$Q$5))</f>
        <v/>
      </c>
    </row>
    <row r="307" spans="15:15" x14ac:dyDescent="0.25">
      <c r="O307" s="20" t="str">
        <f>IF(N307="","",COUNTIFS(RawData[[Date ]],N307,RawData[Month List],$Q$6,RawData[Tour/Site],$Q$2,RawData[[Picker ID ]],$Q$3,RawData[Checker ID],$Q$4,RawData[[Error Type ]],$Q$5))</f>
        <v/>
      </c>
    </row>
    <row r="308" spans="15:15" x14ac:dyDescent="0.25">
      <c r="O308" s="20" t="str">
        <f>IF(N308="","",COUNTIFS(RawData[[Date ]],N308,RawData[Month List],$Q$6,RawData[Tour/Site],$Q$2,RawData[[Picker ID ]],$Q$3,RawData[Checker ID],$Q$4,RawData[[Error Type ]],$Q$5))</f>
        <v/>
      </c>
    </row>
    <row r="309" spans="15:15" x14ac:dyDescent="0.25">
      <c r="O309" s="20" t="str">
        <f>IF(N309="","",COUNTIFS(RawData[[Date ]],N309,RawData[Month List],$Q$6,RawData[Tour/Site],$Q$2,RawData[[Picker ID ]],$Q$3,RawData[Checker ID],$Q$4,RawData[[Error Type ]],$Q$5))</f>
        <v/>
      </c>
    </row>
    <row r="310" spans="15:15" x14ac:dyDescent="0.25">
      <c r="O310" s="20" t="str">
        <f>IF(N310="","",COUNTIFS(RawData[[Date ]],N310,RawData[Month List],$Q$6,RawData[Tour/Site],$Q$2,RawData[[Picker ID ]],$Q$3,RawData[Checker ID],$Q$4,RawData[[Error Type ]],$Q$5))</f>
        <v/>
      </c>
    </row>
    <row r="311" spans="15:15" x14ac:dyDescent="0.25">
      <c r="O311" s="20" t="str">
        <f>IF(N311="","",COUNTIFS(RawData[[Date ]],N311,RawData[Month List],$Q$6,RawData[Tour/Site],$Q$2,RawData[[Picker ID ]],$Q$3,RawData[Checker ID],$Q$4,RawData[[Error Type ]],$Q$5))</f>
        <v/>
      </c>
    </row>
    <row r="312" spans="15:15" x14ac:dyDescent="0.25">
      <c r="O312" s="20" t="str">
        <f>IF(N312="","",COUNTIFS(RawData[[Date ]],N312,RawData[Month List],$Q$6,RawData[Tour/Site],$Q$2,RawData[[Picker ID ]],$Q$3,RawData[Checker ID],$Q$4,RawData[[Error Type ]],$Q$5))</f>
        <v/>
      </c>
    </row>
    <row r="313" spans="15:15" x14ac:dyDescent="0.25">
      <c r="O313" s="20" t="str">
        <f>IF(N313="","",COUNTIFS(RawData[[Date ]],N313,RawData[Month List],$Q$6,RawData[Tour/Site],$Q$2,RawData[[Picker ID ]],$Q$3,RawData[Checker ID],$Q$4,RawData[[Error Type ]],$Q$5))</f>
        <v/>
      </c>
    </row>
    <row r="314" spans="15:15" x14ac:dyDescent="0.25">
      <c r="O314" s="20" t="str">
        <f>IF(N314="","",COUNTIFS(RawData[[Date ]],N314,RawData[Month List],$Q$6,RawData[Tour/Site],$Q$2,RawData[[Picker ID ]],$Q$3,RawData[Checker ID],$Q$4,RawData[[Error Type ]],$Q$5))</f>
        <v/>
      </c>
    </row>
    <row r="315" spans="15:15" x14ac:dyDescent="0.25">
      <c r="O315" s="20" t="str">
        <f>IF(N315="","",COUNTIFS(RawData[[Date ]],N315,RawData[Month List],$Q$6,RawData[Tour/Site],$Q$2,RawData[[Picker ID ]],$Q$3,RawData[Checker ID],$Q$4,RawData[[Error Type ]],$Q$5))</f>
        <v/>
      </c>
    </row>
    <row r="316" spans="15:15" x14ac:dyDescent="0.25">
      <c r="O316" s="20" t="str">
        <f>IF(N316="","",COUNTIFS(RawData[[Date ]],N316,RawData[Month List],$Q$6,RawData[Tour/Site],$Q$2,RawData[[Picker ID ]],$Q$3,RawData[Checker ID],$Q$4,RawData[[Error Type ]],$Q$5))</f>
        <v/>
      </c>
    </row>
    <row r="317" spans="15:15" x14ac:dyDescent="0.25">
      <c r="O317" s="20" t="str">
        <f>IF(N317="","",COUNTIFS(RawData[[Date ]],N317,RawData[Month List],$Q$6,RawData[Tour/Site],$Q$2,RawData[[Picker ID ]],$Q$3,RawData[Checker ID],$Q$4,RawData[[Error Type ]],$Q$5))</f>
        <v/>
      </c>
    </row>
    <row r="318" spans="15:15" x14ac:dyDescent="0.25">
      <c r="O318" s="20" t="str">
        <f>IF(N318="","",COUNTIFS(RawData[[Date ]],N318,RawData[Month List],$Q$6,RawData[Tour/Site],$Q$2,RawData[[Picker ID ]],$Q$3,RawData[Checker ID],$Q$4,RawData[[Error Type ]],$Q$5))</f>
        <v/>
      </c>
    </row>
    <row r="319" spans="15:15" x14ac:dyDescent="0.25">
      <c r="O319" s="20" t="str">
        <f>IF(N319="","",COUNTIFS(RawData[[Date ]],N319,RawData[Month List],$Q$6,RawData[Tour/Site],$Q$2,RawData[[Picker ID ]],$Q$3,RawData[Checker ID],$Q$4,RawData[[Error Type ]],$Q$5))</f>
        <v/>
      </c>
    </row>
    <row r="320" spans="15:15" x14ac:dyDescent="0.25">
      <c r="O320" s="20" t="str">
        <f>IF(N320="","",COUNTIFS(RawData[[Date ]],N320,RawData[Month List],$Q$6,RawData[Tour/Site],$Q$2,RawData[[Picker ID ]],$Q$3,RawData[Checker ID],$Q$4,RawData[[Error Type ]],$Q$5))</f>
        <v/>
      </c>
    </row>
    <row r="321" spans="15:15" x14ac:dyDescent="0.25">
      <c r="O321" s="20" t="str">
        <f>IF(N321="","",COUNTIFS(RawData[[Date ]],N321,RawData[Month List],$Q$6,RawData[Tour/Site],$Q$2,RawData[[Picker ID ]],$Q$3,RawData[Checker ID],$Q$4,RawData[[Error Type ]],$Q$5))</f>
        <v/>
      </c>
    </row>
    <row r="322" spans="15:15" x14ac:dyDescent="0.25">
      <c r="O322" s="20" t="str">
        <f>IF(N322="","",COUNTIFS(RawData[[Date ]],N322,RawData[Month List],$Q$6,RawData[Tour/Site],$Q$2,RawData[[Picker ID ]],$Q$3,RawData[Checker ID],$Q$4,RawData[[Error Type ]],$Q$5))</f>
        <v/>
      </c>
    </row>
    <row r="323" spans="15:15" x14ac:dyDescent="0.25">
      <c r="O323" s="20" t="str">
        <f>IF(N323="","",COUNTIFS(RawData[[Date ]],N323,RawData[Month List],$Q$6,RawData[Tour/Site],$Q$2,RawData[[Picker ID ]],$Q$3,RawData[Checker ID],$Q$4,RawData[[Error Type ]],$Q$5))</f>
        <v/>
      </c>
    </row>
    <row r="324" spans="15:15" x14ac:dyDescent="0.25">
      <c r="O324" s="20" t="str">
        <f>IF(N324="","",COUNTIFS(RawData[[Date ]],N324,RawData[Month List],$Q$6,RawData[Tour/Site],$Q$2,RawData[[Picker ID ]],$Q$3,RawData[Checker ID],$Q$4,RawData[[Error Type ]],$Q$5))</f>
        <v/>
      </c>
    </row>
    <row r="325" spans="15:15" x14ac:dyDescent="0.25">
      <c r="O325" s="20" t="str">
        <f>IF(N325="","",COUNTIFS(RawData[[Date ]],N325,RawData[Month List],$Q$6,RawData[Tour/Site],$Q$2,RawData[[Picker ID ]],$Q$3,RawData[Checker ID],$Q$4,RawData[[Error Type ]],$Q$5))</f>
        <v/>
      </c>
    </row>
    <row r="326" spans="15:15" x14ac:dyDescent="0.25">
      <c r="O326" s="20" t="str">
        <f>IF(N326="","",COUNTIFS(RawData[[Date ]],N326,RawData[Month List],$Q$6,RawData[Tour/Site],$Q$2,RawData[[Picker ID ]],$Q$3,RawData[Checker ID],$Q$4,RawData[[Error Type ]],$Q$5))</f>
        <v/>
      </c>
    </row>
    <row r="327" spans="15:15" x14ac:dyDescent="0.25">
      <c r="O327" s="20" t="str">
        <f>IF(N327="","",COUNTIFS(RawData[[Date ]],N327,RawData[Month List],$Q$6,RawData[Tour/Site],$Q$2,RawData[[Picker ID ]],$Q$3,RawData[Checker ID],$Q$4,RawData[[Error Type ]],$Q$5))</f>
        <v/>
      </c>
    </row>
    <row r="328" spans="15:15" x14ac:dyDescent="0.25">
      <c r="O328" s="20" t="str">
        <f>IF(N328="","",COUNTIFS(RawData[[Date ]],N328,RawData[Month List],$Q$6,RawData[Tour/Site],$Q$2,RawData[[Picker ID ]],$Q$3,RawData[Checker ID],$Q$4,RawData[[Error Type ]],$Q$5))</f>
        <v/>
      </c>
    </row>
    <row r="329" spans="15:15" x14ac:dyDescent="0.25">
      <c r="O329" s="20" t="str">
        <f>IF(N329="","",COUNTIFS(RawData[[Date ]],N329,RawData[Month List],$Q$6,RawData[Tour/Site],$Q$2,RawData[[Picker ID ]],$Q$3,RawData[Checker ID],$Q$4,RawData[[Error Type ]],$Q$5))</f>
        <v/>
      </c>
    </row>
    <row r="330" spans="15:15" x14ac:dyDescent="0.25">
      <c r="O330" s="20" t="str">
        <f>IF(N330="","",COUNTIFS(RawData[[Date ]],N330,RawData[Month List],$Q$6,RawData[Tour/Site],$Q$2,RawData[[Picker ID ]],$Q$3,RawData[Checker ID],$Q$4,RawData[[Error Type ]],$Q$5))</f>
        <v/>
      </c>
    </row>
    <row r="331" spans="15:15" x14ac:dyDescent="0.25">
      <c r="O331" s="20" t="str">
        <f>IF(N331="","",COUNTIFS(RawData[[Date ]],N331,RawData[Month List],$Q$6,RawData[Tour/Site],$Q$2,RawData[[Picker ID ]],$Q$3,RawData[Checker ID],$Q$4,RawData[[Error Type ]],$Q$5))</f>
        <v/>
      </c>
    </row>
    <row r="332" spans="15:15" x14ac:dyDescent="0.25">
      <c r="O332" s="20" t="str">
        <f>IF(N332="","",COUNTIFS(RawData[[Date ]],N332,RawData[Month List],$Q$6,RawData[Tour/Site],$Q$2,RawData[[Picker ID ]],$Q$3,RawData[Checker ID],$Q$4,RawData[[Error Type ]],$Q$5))</f>
        <v/>
      </c>
    </row>
    <row r="333" spans="15:15" x14ac:dyDescent="0.25">
      <c r="O333" s="20" t="str">
        <f>IF(N333="","",COUNTIFS(RawData[[Date ]],N333,RawData[Month List],$Q$6,RawData[Tour/Site],$Q$2,RawData[[Picker ID ]],$Q$3,RawData[Checker ID],$Q$4,RawData[[Error Type ]],$Q$5))</f>
        <v/>
      </c>
    </row>
    <row r="334" spans="15:15" x14ac:dyDescent="0.25">
      <c r="O334" s="20" t="str">
        <f>IF(N334="","",COUNTIFS(RawData[[Date ]],N334,RawData[Month List],$Q$6,RawData[Tour/Site],$Q$2,RawData[[Picker ID ]],$Q$3,RawData[Checker ID],$Q$4,RawData[[Error Type ]],$Q$5))</f>
        <v/>
      </c>
    </row>
    <row r="335" spans="15:15" x14ac:dyDescent="0.25">
      <c r="O335" s="20" t="str">
        <f>IF(N335="","",COUNTIFS(RawData[[Date ]],N335,RawData[Month List],$Q$6,RawData[Tour/Site],$Q$2,RawData[[Picker ID ]],$Q$3,RawData[Checker ID],$Q$4,RawData[[Error Type ]],$Q$5))</f>
        <v/>
      </c>
    </row>
    <row r="336" spans="15:15" x14ac:dyDescent="0.25">
      <c r="O336" s="20" t="str">
        <f>IF(N336="","",COUNTIFS(RawData[[Date ]],N336,RawData[Month List],$Q$6,RawData[Tour/Site],$Q$2,RawData[[Picker ID ]],$Q$3,RawData[Checker ID],$Q$4,RawData[[Error Type ]],$Q$5))</f>
        <v/>
      </c>
    </row>
    <row r="337" spans="15:15" x14ac:dyDescent="0.25">
      <c r="O337" s="20" t="str">
        <f>IF(N337="","",COUNTIFS(RawData[[Date ]],N337,RawData[Month List],$Q$6,RawData[Tour/Site],$Q$2,RawData[[Picker ID ]],$Q$3,RawData[Checker ID],$Q$4,RawData[[Error Type ]],$Q$5))</f>
        <v/>
      </c>
    </row>
    <row r="338" spans="15:15" x14ac:dyDescent="0.25">
      <c r="O338" s="20" t="str">
        <f>IF(N338="","",COUNTIFS(RawData[[Date ]],N338,RawData[Month List],$Q$6,RawData[Tour/Site],$Q$2,RawData[[Picker ID ]],$Q$3,RawData[Checker ID],$Q$4,RawData[[Error Type ]],$Q$5))</f>
        <v/>
      </c>
    </row>
    <row r="339" spans="15:15" x14ac:dyDescent="0.25">
      <c r="O339" s="20" t="str">
        <f>IF(N339="","",COUNTIFS(RawData[[Date ]],N339,RawData[Month List],$Q$6,RawData[Tour/Site],$Q$2,RawData[[Picker ID ]],$Q$3,RawData[Checker ID],$Q$4,RawData[[Error Type ]],$Q$5))</f>
        <v/>
      </c>
    </row>
    <row r="340" spans="15:15" x14ac:dyDescent="0.25">
      <c r="O340" s="20" t="str">
        <f>IF(N340="","",COUNTIFS(RawData[[Date ]],N340,RawData[Month List],$Q$6,RawData[Tour/Site],$Q$2,RawData[[Picker ID ]],$Q$3,RawData[Checker ID],$Q$4,RawData[[Error Type ]],$Q$5))</f>
        <v/>
      </c>
    </row>
    <row r="341" spans="15:15" x14ac:dyDescent="0.25">
      <c r="O341" s="20" t="str">
        <f>IF(N341="","",COUNTIFS(RawData[[Date ]],N341,RawData[Month List],$Q$6,RawData[Tour/Site],$Q$2,RawData[[Picker ID ]],$Q$3,RawData[Checker ID],$Q$4,RawData[[Error Type ]],$Q$5))</f>
        <v/>
      </c>
    </row>
    <row r="342" spans="15:15" x14ac:dyDescent="0.25">
      <c r="O342" s="20" t="str">
        <f>IF(N342="","",COUNTIFS(RawData[[Date ]],N342,RawData[Month List],$Q$6,RawData[Tour/Site],$Q$2,RawData[[Picker ID ]],$Q$3,RawData[Checker ID],$Q$4,RawData[[Error Type ]],$Q$5))</f>
        <v/>
      </c>
    </row>
    <row r="343" spans="15:15" x14ac:dyDescent="0.25">
      <c r="O343" s="20" t="str">
        <f>IF(N343="","",COUNTIFS(RawData[[Date ]],N343,RawData[Month List],$Q$6,RawData[Tour/Site],$Q$2,RawData[[Picker ID ]],$Q$3,RawData[Checker ID],$Q$4,RawData[[Error Type ]],$Q$5))</f>
        <v/>
      </c>
    </row>
    <row r="344" spans="15:15" x14ac:dyDescent="0.25">
      <c r="O344" s="20" t="str">
        <f>IF(N344="","",COUNTIFS(RawData[[Date ]],N344,RawData[Month List],$Q$6,RawData[Tour/Site],$Q$2,RawData[[Picker ID ]],$Q$3,RawData[Checker ID],$Q$4,RawData[[Error Type ]],$Q$5))</f>
        <v/>
      </c>
    </row>
    <row r="345" spans="15:15" x14ac:dyDescent="0.25">
      <c r="O345" s="20" t="str">
        <f>IF(N345="","",COUNTIFS(RawData[[Date ]],N345,RawData[Month List],$Q$6,RawData[Tour/Site],$Q$2,RawData[[Picker ID ]],$Q$3,RawData[Checker ID],$Q$4,RawData[[Error Type ]],$Q$5))</f>
        <v/>
      </c>
    </row>
    <row r="346" spans="15:15" x14ac:dyDescent="0.25">
      <c r="O346" s="20" t="str">
        <f>IF(N346="","",COUNTIFS(RawData[[Date ]],N346,RawData[Month List],$Q$6,RawData[Tour/Site],$Q$2,RawData[[Picker ID ]],$Q$3,RawData[Checker ID],$Q$4,RawData[[Error Type ]],$Q$5))</f>
        <v/>
      </c>
    </row>
    <row r="347" spans="15:15" x14ac:dyDescent="0.25">
      <c r="O347" s="20" t="str">
        <f>IF(N347="","",COUNTIFS(RawData[[Date ]],N347,RawData[Month List],$Q$6,RawData[Tour/Site],$Q$2,RawData[[Picker ID ]],$Q$3,RawData[Checker ID],$Q$4,RawData[[Error Type ]],$Q$5))</f>
        <v/>
      </c>
    </row>
    <row r="348" spans="15:15" x14ac:dyDescent="0.25">
      <c r="O348" s="20" t="str">
        <f>IF(N348="","",COUNTIFS(RawData[[Date ]],N348,RawData[Month List],$Q$6,RawData[Tour/Site],$Q$2,RawData[[Picker ID ]],$Q$3,RawData[Checker ID],$Q$4,RawData[[Error Type ]],$Q$5))</f>
        <v/>
      </c>
    </row>
    <row r="349" spans="15:15" x14ac:dyDescent="0.25">
      <c r="O349" s="20" t="str">
        <f>IF(N349="","",COUNTIFS(RawData[[Date ]],N349,RawData[Month List],$Q$6,RawData[Tour/Site],$Q$2,RawData[[Picker ID ]],$Q$3,RawData[Checker ID],$Q$4,RawData[[Error Type ]],$Q$5))</f>
        <v/>
      </c>
    </row>
    <row r="350" spans="15:15" x14ac:dyDescent="0.25">
      <c r="O350" s="20" t="str">
        <f>IF(N350="","",COUNTIFS(RawData[[Date ]],N350,RawData[Month List],$Q$6,RawData[Tour/Site],$Q$2,RawData[[Picker ID ]],$Q$3,RawData[Checker ID],$Q$4,RawData[[Error Type ]],$Q$5))</f>
        <v/>
      </c>
    </row>
    <row r="351" spans="15:15" x14ac:dyDescent="0.25">
      <c r="O351" s="20" t="str">
        <f>IF(N351="","",COUNTIFS(RawData[[Date ]],N351,RawData[Month List],$Q$6,RawData[Tour/Site],$Q$2,RawData[[Picker ID ]],$Q$3,RawData[Checker ID],$Q$4,RawData[[Error Type ]],$Q$5))</f>
        <v/>
      </c>
    </row>
    <row r="352" spans="15:15" x14ac:dyDescent="0.25">
      <c r="O352" s="20" t="str">
        <f>IF(N352="","",COUNTIFS(RawData[[Date ]],N352,RawData[Month List],$Q$6,RawData[Tour/Site],$Q$2,RawData[[Picker ID ]],$Q$3,RawData[Checker ID],$Q$4,RawData[[Error Type ]],$Q$5))</f>
        <v/>
      </c>
    </row>
    <row r="353" spans="15:15" x14ac:dyDescent="0.25">
      <c r="O353" s="20" t="str">
        <f>IF(N353="","",COUNTIFS(RawData[[Date ]],N353,RawData[Month List],$Q$6,RawData[Tour/Site],$Q$2,RawData[[Picker ID ]],$Q$3,RawData[Checker ID],$Q$4,RawData[[Error Type ]],$Q$5))</f>
        <v/>
      </c>
    </row>
    <row r="354" spans="15:15" x14ac:dyDescent="0.25">
      <c r="O354" s="20" t="str">
        <f>IF(N354="","",COUNTIFS(RawData[[Date ]],N354,RawData[Month List],$Q$6,RawData[Tour/Site],$Q$2,RawData[[Picker ID ]],$Q$3,RawData[Checker ID],$Q$4,RawData[[Error Type ]],$Q$5))</f>
        <v/>
      </c>
    </row>
    <row r="355" spans="15:15" x14ac:dyDescent="0.25">
      <c r="O355" s="20" t="str">
        <f>IF(N355="","",COUNTIFS(RawData[[Date ]],N355,RawData[Month List],$Q$6,RawData[Tour/Site],$Q$2,RawData[[Picker ID ]],$Q$3,RawData[Checker ID],$Q$4,RawData[[Error Type ]],$Q$5))</f>
        <v/>
      </c>
    </row>
    <row r="356" spans="15:15" x14ac:dyDescent="0.25">
      <c r="O356" s="20" t="str">
        <f>IF(N356="","",COUNTIFS(RawData[[Date ]],N356,RawData[Month List],$Q$6,RawData[Tour/Site],$Q$2,RawData[[Picker ID ]],$Q$3,RawData[Checker ID],$Q$4,RawData[[Error Type ]],$Q$5))</f>
        <v/>
      </c>
    </row>
    <row r="357" spans="15:15" x14ac:dyDescent="0.25">
      <c r="O357" s="20" t="str">
        <f>IF(N357="","",COUNTIFS(RawData[[Date ]],N357,RawData[Month List],$Q$6,RawData[Tour/Site],$Q$2,RawData[[Picker ID ]],$Q$3,RawData[Checker ID],$Q$4,RawData[[Error Type ]],$Q$5))</f>
        <v/>
      </c>
    </row>
    <row r="358" spans="15:15" x14ac:dyDescent="0.25">
      <c r="O358" s="20" t="str">
        <f>IF(N358="","",COUNTIFS(RawData[[Date ]],N358,RawData[Month List],$Q$6,RawData[Tour/Site],$Q$2,RawData[[Picker ID ]],$Q$3,RawData[Checker ID],$Q$4,RawData[[Error Type ]],$Q$5))</f>
        <v/>
      </c>
    </row>
    <row r="359" spans="15:15" x14ac:dyDescent="0.25">
      <c r="O359" s="20" t="str">
        <f>IF(N359="","",COUNTIFS(RawData[[Date ]],N359,RawData[Month List],$Q$6,RawData[Tour/Site],$Q$2,RawData[[Picker ID ]],$Q$3,RawData[Checker ID],$Q$4,RawData[[Error Type ]],$Q$5))</f>
        <v/>
      </c>
    </row>
    <row r="360" spans="15:15" x14ac:dyDescent="0.25">
      <c r="O360" s="20" t="str">
        <f>IF(N360="","",COUNTIFS(RawData[[Date ]],N360,RawData[Month List],$Q$6,RawData[Tour/Site],$Q$2,RawData[[Picker ID ]],$Q$3,RawData[Checker ID],$Q$4,RawData[[Error Type ]],$Q$5))</f>
        <v/>
      </c>
    </row>
    <row r="361" spans="15:15" x14ac:dyDescent="0.25">
      <c r="O361" s="20" t="str">
        <f>IF(N361="","",COUNTIFS(RawData[[Date ]],N361,RawData[Month List],$Q$6,RawData[Tour/Site],$Q$2,RawData[[Picker ID ]],$Q$3,RawData[Checker ID],$Q$4,RawData[[Error Type ]],$Q$5))</f>
        <v/>
      </c>
    </row>
    <row r="362" spans="15:15" x14ac:dyDescent="0.25">
      <c r="O362" s="20" t="str">
        <f>IF(N362="","",COUNTIFS(RawData[[Date ]],N362,RawData[Month List],$Q$6,RawData[Tour/Site],$Q$2,RawData[[Picker ID ]],$Q$3,RawData[Checker ID],$Q$4,RawData[[Error Type ]],$Q$5))</f>
        <v/>
      </c>
    </row>
    <row r="363" spans="15:15" x14ac:dyDescent="0.25">
      <c r="O363" s="20" t="str">
        <f>IF(N363="","",COUNTIFS(RawData[[Date ]],N363,RawData[Month List],$Q$6,RawData[Tour/Site],$Q$2,RawData[[Picker ID ]],$Q$3,RawData[Checker ID],$Q$4,RawData[[Error Type ]],$Q$5))</f>
        <v/>
      </c>
    </row>
    <row r="364" spans="15:15" x14ac:dyDescent="0.25">
      <c r="O364" s="20" t="str">
        <f>IF(N364="","",COUNTIFS(RawData[[Date ]],N364,RawData[Month List],$Q$6,RawData[Tour/Site],$Q$2,RawData[[Picker ID ]],$Q$3,RawData[Checker ID],$Q$4,RawData[[Error Type ]],$Q$5))</f>
        <v/>
      </c>
    </row>
    <row r="365" spans="15:15" x14ac:dyDescent="0.25">
      <c r="O365" s="20" t="str">
        <f>IF(N365="","",COUNTIFS(RawData[[Date ]],N365,RawData[Month List],$Q$6,RawData[Tour/Site],$Q$2,RawData[[Picker ID ]],$Q$3,RawData[Checker ID],$Q$4,RawData[[Error Type ]],$Q$5))</f>
        <v/>
      </c>
    </row>
    <row r="366" spans="15:15" x14ac:dyDescent="0.25">
      <c r="O366" s="20" t="str">
        <f>IF(N366="","",COUNTIFS(RawData[[Date ]],N366,RawData[Month List],$Q$6,RawData[Tour/Site],$Q$2,RawData[[Picker ID ]],$Q$3,RawData[Checker ID],$Q$4,RawData[[Error Type ]],$Q$5))</f>
        <v/>
      </c>
    </row>
    <row r="367" spans="15:15" x14ac:dyDescent="0.25">
      <c r="O367" s="20" t="str">
        <f>IF(N367="","",COUNTIFS(RawData[[Date ]],N367,RawData[Month List],$Q$6,RawData[Tour/Site],$Q$2,RawData[[Picker ID ]],$Q$3,RawData[Checker ID],$Q$4,RawData[[Error Type ]],$Q$5))</f>
        <v/>
      </c>
    </row>
    <row r="368" spans="15:15" x14ac:dyDescent="0.25">
      <c r="O368" s="20" t="str">
        <f>IF(N368="","",COUNTIFS(RawData[[Date ]],N368,RawData[Month List],$Q$6,RawData[Tour/Site],$Q$2,RawData[[Picker ID ]],$Q$3,RawData[Checker ID],$Q$4,RawData[[Error Type ]],$Q$5))</f>
        <v/>
      </c>
    </row>
    <row r="369" spans="15:15" x14ac:dyDescent="0.25">
      <c r="O369" s="20" t="str">
        <f>IF(N369="","",COUNTIFS(RawData[[Date ]],N369,RawData[Month List],$Q$6,RawData[Tour/Site],$Q$2,RawData[[Picker ID ]],$Q$3,RawData[Checker ID],$Q$4,RawData[[Error Type ]],$Q$5))</f>
        <v/>
      </c>
    </row>
    <row r="370" spans="15:15" x14ac:dyDescent="0.25">
      <c r="O370" s="20" t="str">
        <f>IF(N370="","",COUNTIFS(RawData[[Date ]],N370,RawData[Month List],$Q$6,RawData[Tour/Site],$Q$2,RawData[[Picker ID ]],$Q$3,RawData[Checker ID],$Q$4,RawData[[Error Type ]],$Q$5))</f>
        <v/>
      </c>
    </row>
    <row r="371" spans="15:15" x14ac:dyDescent="0.25">
      <c r="O371" s="20" t="str">
        <f>IF(N371="","",COUNTIFS(RawData[[Date ]],N371,RawData[Month List],$Q$6,RawData[Tour/Site],$Q$2,RawData[[Picker ID ]],$Q$3,RawData[Checker ID],$Q$4,RawData[[Error Type ]],$Q$5))</f>
        <v/>
      </c>
    </row>
    <row r="372" spans="15:15" x14ac:dyDescent="0.25">
      <c r="O372" s="20" t="str">
        <f>IF(N372="","",COUNTIFS(RawData[[Date ]],N372,RawData[Month List],$Q$6,RawData[Tour/Site],$Q$2,RawData[[Picker ID ]],$Q$3,RawData[Checker ID],$Q$4,RawData[[Error Type ]],$Q$5))</f>
        <v/>
      </c>
    </row>
    <row r="373" spans="15:15" x14ac:dyDescent="0.25">
      <c r="O373" s="20" t="str">
        <f>IF(N373="","",COUNTIFS(RawData[[Date ]],N373,RawData[Month List],$Q$6,RawData[Tour/Site],$Q$2,RawData[[Picker ID ]],$Q$3,RawData[Checker ID],$Q$4,RawData[[Error Type ]],$Q$5))</f>
        <v/>
      </c>
    </row>
    <row r="374" spans="15:15" x14ac:dyDescent="0.25">
      <c r="O374" s="20" t="str">
        <f>IF(N374="","",COUNTIFS(RawData[[Date ]],N374,RawData[Month List],$Q$6,RawData[Tour/Site],$Q$2,RawData[[Picker ID ]],$Q$3,RawData[Checker ID],$Q$4,RawData[[Error Type ]],$Q$5))</f>
        <v/>
      </c>
    </row>
    <row r="375" spans="15:15" x14ac:dyDescent="0.25">
      <c r="O375" s="20" t="str">
        <f>IF(N375="","",COUNTIFS(RawData[[Date ]],N375,RawData[Month List],$Q$6,RawData[Tour/Site],$Q$2,RawData[[Picker ID ]],$Q$3,RawData[Checker ID],$Q$4,RawData[[Error Type ]],$Q$5))</f>
        <v/>
      </c>
    </row>
    <row r="376" spans="15:15" x14ac:dyDescent="0.25">
      <c r="O376" s="20" t="str">
        <f>IF(N376="","",COUNTIFS(RawData[[Date ]],N376,RawData[Month List],$Q$6,RawData[Tour/Site],$Q$2,RawData[[Picker ID ]],$Q$3,RawData[Checker ID],$Q$4,RawData[[Error Type ]],$Q$5))</f>
        <v/>
      </c>
    </row>
    <row r="377" spans="15:15" x14ac:dyDescent="0.25">
      <c r="O377" s="20" t="str">
        <f>IF(N377="","",COUNTIFS(RawData[[Date ]],N377,RawData[Month List],$Q$6,RawData[Tour/Site],$Q$2,RawData[[Picker ID ]],$Q$3,RawData[Checker ID],$Q$4,RawData[[Error Type ]],$Q$5))</f>
        <v/>
      </c>
    </row>
    <row r="378" spans="15:15" x14ac:dyDescent="0.25">
      <c r="O378" s="20" t="str">
        <f>IF(N378="","",COUNTIFS(RawData[[Date ]],N378,RawData[Month List],$Q$6,RawData[Tour/Site],$Q$2,RawData[[Picker ID ]],$Q$3,RawData[Checker ID],$Q$4,RawData[[Error Type ]],$Q$5))</f>
        <v/>
      </c>
    </row>
    <row r="379" spans="15:15" x14ac:dyDescent="0.25">
      <c r="O379" s="20" t="str">
        <f>IF(N379="","",COUNTIFS(RawData[[Date ]],N379,RawData[Month List],$Q$6,RawData[Tour/Site],$Q$2,RawData[[Picker ID ]],$Q$3,RawData[Checker ID],$Q$4,RawData[[Error Type ]],$Q$5))</f>
        <v/>
      </c>
    </row>
    <row r="380" spans="15:15" x14ac:dyDescent="0.25">
      <c r="O380" s="20" t="str">
        <f>IF(N380="","",COUNTIFS(RawData[[Date ]],N380,RawData[Month List],$Q$6,RawData[Tour/Site],$Q$2,RawData[[Picker ID ]],$Q$3,RawData[Checker ID],$Q$4,RawData[[Error Type ]],$Q$5))</f>
        <v/>
      </c>
    </row>
    <row r="381" spans="15:15" x14ac:dyDescent="0.25">
      <c r="O381" s="20" t="str">
        <f>IF(N381="","",COUNTIFS(RawData[[Date ]],N381,RawData[Month List],$Q$6,RawData[Tour/Site],$Q$2,RawData[[Picker ID ]],$Q$3,RawData[Checker ID],$Q$4,RawData[[Error Type ]],$Q$5))</f>
        <v/>
      </c>
    </row>
    <row r="382" spans="15:15" x14ac:dyDescent="0.25">
      <c r="O382" s="20" t="str">
        <f>IF(N382="","",COUNTIFS(RawData[[Date ]],N382,RawData[Month List],$Q$6,RawData[Tour/Site],$Q$2,RawData[[Picker ID ]],$Q$3,RawData[Checker ID],$Q$4,RawData[[Error Type ]],$Q$5))</f>
        <v/>
      </c>
    </row>
    <row r="383" spans="15:15" x14ac:dyDescent="0.25">
      <c r="O383" s="20" t="str">
        <f>IF(N383="","",COUNTIFS(RawData[[Date ]],N383,RawData[Month List],$Q$6,RawData[Tour/Site],$Q$2,RawData[[Picker ID ]],$Q$3,RawData[Checker ID],$Q$4,RawData[[Error Type ]],$Q$5))</f>
        <v/>
      </c>
    </row>
    <row r="384" spans="15:15" x14ac:dyDescent="0.25">
      <c r="O384" s="20" t="str">
        <f>IF(N384="","",COUNTIFS(RawData[[Date ]],N384,RawData[Month List],$Q$6,RawData[Tour/Site],$Q$2,RawData[[Picker ID ]],$Q$3,RawData[Checker ID],$Q$4,RawData[[Error Type ]],$Q$5))</f>
        <v/>
      </c>
    </row>
    <row r="385" spans="15:15" x14ac:dyDescent="0.25">
      <c r="O385" s="20" t="str">
        <f>IF(N385="","",COUNTIFS(RawData[[Date ]],N385,RawData[Month List],$Q$6,RawData[Tour/Site],$Q$2,RawData[[Picker ID ]],$Q$3,RawData[Checker ID],$Q$4,RawData[[Error Type ]],$Q$5))</f>
        <v/>
      </c>
    </row>
    <row r="386" spans="15:15" x14ac:dyDescent="0.25">
      <c r="O386" s="20" t="str">
        <f>IF(N386="","",COUNTIFS(RawData[[Date ]],N386,RawData[Month List],$Q$6,RawData[Tour/Site],$Q$2,RawData[[Picker ID ]],$Q$3,RawData[Checker ID],$Q$4,RawData[[Error Type ]],$Q$5))</f>
        <v/>
      </c>
    </row>
    <row r="387" spans="15:15" x14ac:dyDescent="0.25">
      <c r="O387" s="20" t="str">
        <f>IF(N387="","",COUNTIFS(RawData[[Date ]],N387,RawData[Month List],$Q$6,RawData[Tour/Site],$Q$2,RawData[[Picker ID ]],$Q$3,RawData[Checker ID],$Q$4,RawData[[Error Type ]],$Q$5))</f>
        <v/>
      </c>
    </row>
    <row r="388" spans="15:15" x14ac:dyDescent="0.25">
      <c r="O388" s="20" t="str">
        <f>IF(N388="","",COUNTIFS(RawData[[Date ]],N388,RawData[Month List],$Q$6,RawData[Tour/Site],$Q$2,RawData[[Picker ID ]],$Q$3,RawData[Checker ID],$Q$4,RawData[[Error Type ]],$Q$5))</f>
        <v/>
      </c>
    </row>
    <row r="389" spans="15:15" x14ac:dyDescent="0.25">
      <c r="O389" s="20" t="str">
        <f>IF(N389="","",COUNTIFS(RawData[[Date ]],N389,RawData[Month List],$Q$6,RawData[Tour/Site],$Q$2,RawData[[Picker ID ]],$Q$3,RawData[Checker ID],$Q$4,RawData[[Error Type ]],$Q$5))</f>
        <v/>
      </c>
    </row>
    <row r="390" spans="15:15" x14ac:dyDescent="0.25">
      <c r="O390" s="20" t="str">
        <f>IF(N390="","",COUNTIFS(RawData[[Date ]],N390,RawData[Month List],$Q$6,RawData[Tour/Site],$Q$2,RawData[[Picker ID ]],$Q$3,RawData[Checker ID],$Q$4,RawData[[Error Type ]],$Q$5))</f>
        <v/>
      </c>
    </row>
    <row r="391" spans="15:15" x14ac:dyDescent="0.25">
      <c r="O391" s="20" t="str">
        <f>IF(N391="","",COUNTIFS(RawData[[Date ]],N391,RawData[Month List],$Q$6,RawData[Tour/Site],$Q$2,RawData[[Picker ID ]],$Q$3,RawData[Checker ID],$Q$4,RawData[[Error Type ]],$Q$5))</f>
        <v/>
      </c>
    </row>
    <row r="392" spans="15:15" x14ac:dyDescent="0.25">
      <c r="O392" s="20" t="str">
        <f>IF(N392="","",COUNTIFS(RawData[[Date ]],N392,RawData[Month List],$Q$6,RawData[Tour/Site],$Q$2,RawData[[Picker ID ]],$Q$3,RawData[Checker ID],$Q$4,RawData[[Error Type ]],$Q$5))</f>
        <v/>
      </c>
    </row>
    <row r="393" spans="15:15" x14ac:dyDescent="0.25">
      <c r="O393" s="20" t="str">
        <f>IF(N393="","",COUNTIFS(RawData[[Date ]],N393,RawData[Month List],$Q$6,RawData[Tour/Site],$Q$2,RawData[[Picker ID ]],$Q$3,RawData[Checker ID],$Q$4,RawData[[Error Type ]],$Q$5))</f>
        <v/>
      </c>
    </row>
    <row r="394" spans="15:15" x14ac:dyDescent="0.25">
      <c r="O394" s="20" t="str">
        <f>IF(N394="","",COUNTIFS(RawData[[Date ]],N394,RawData[Month List],$Q$6,RawData[Tour/Site],$Q$2,RawData[[Picker ID ]],$Q$3,RawData[Checker ID],$Q$4,RawData[[Error Type ]],$Q$5))</f>
        <v/>
      </c>
    </row>
    <row r="395" spans="15:15" x14ac:dyDescent="0.25">
      <c r="O395" s="20" t="str">
        <f>IF(N395="","",COUNTIFS(RawData[[Date ]],N395,RawData[Month List],$Q$6,RawData[Tour/Site],$Q$2,RawData[[Picker ID ]],$Q$3,RawData[Checker ID],$Q$4,RawData[[Error Type ]],$Q$5))</f>
        <v/>
      </c>
    </row>
    <row r="396" spans="15:15" x14ac:dyDescent="0.25">
      <c r="O396" s="20" t="str">
        <f>IF(N396="","",COUNTIFS(RawData[[Date ]],N396,RawData[Month List],$Q$6,RawData[Tour/Site],$Q$2,RawData[[Picker ID ]],$Q$3,RawData[Checker ID],$Q$4,RawData[[Error Type ]],$Q$5))</f>
        <v/>
      </c>
    </row>
    <row r="397" spans="15:15" x14ac:dyDescent="0.25">
      <c r="O397" s="20" t="str">
        <f>IF(N397="","",COUNTIFS(RawData[[Date ]],N397,RawData[Month List],$Q$6,RawData[Tour/Site],$Q$2,RawData[[Picker ID ]],$Q$3,RawData[Checker ID],$Q$4,RawData[[Error Type ]],$Q$5))</f>
        <v/>
      </c>
    </row>
    <row r="398" spans="15:15" x14ac:dyDescent="0.25">
      <c r="O398" s="20" t="str">
        <f>IF(N398="","",COUNTIFS(RawData[[Date ]],N398,RawData[Month List],$Q$6,RawData[Tour/Site],$Q$2,RawData[[Picker ID ]],$Q$3,RawData[Checker ID],$Q$4,RawData[[Error Type ]],$Q$5))</f>
        <v/>
      </c>
    </row>
    <row r="399" spans="15:15" x14ac:dyDescent="0.25">
      <c r="O399" s="20" t="str">
        <f>IF(N399="","",COUNTIFS(RawData[[Date ]],N399,RawData[Month List],$Q$6,RawData[Tour/Site],$Q$2,RawData[[Picker ID ]],$Q$3,RawData[Checker ID],$Q$4,RawData[[Error Type ]],$Q$5))</f>
        <v/>
      </c>
    </row>
    <row r="400" spans="15:15" x14ac:dyDescent="0.25">
      <c r="O400" s="20" t="str">
        <f>IF(N400="","",COUNTIFS(RawData[[Date ]],N400,RawData[Month List],$Q$6,RawData[Tour/Site],$Q$2,RawData[[Picker ID ]],$Q$3,RawData[Checker ID],$Q$4,RawData[[Error Type ]],$Q$5))</f>
        <v/>
      </c>
    </row>
    <row r="401" spans="15:15" x14ac:dyDescent="0.25">
      <c r="O401" s="20" t="str">
        <f>IF(N401="","",COUNTIFS(RawData[[Date ]],N401,RawData[Month List],$Q$6,RawData[Tour/Site],$Q$2,RawData[[Picker ID ]],$Q$3,RawData[Checker ID],$Q$4,RawData[[Error Type ]],$Q$5))</f>
        <v/>
      </c>
    </row>
    <row r="402" spans="15:15" x14ac:dyDescent="0.25">
      <c r="O402" s="20" t="str">
        <f>IF(N402="","",COUNTIFS(RawData[[Date ]],N402,RawData[Month List],$Q$6,RawData[Tour/Site],$Q$2,RawData[[Picker ID ]],$Q$3,RawData[Checker ID],$Q$4,RawData[[Error Type ]],$Q$5))</f>
        <v/>
      </c>
    </row>
    <row r="403" spans="15:15" x14ac:dyDescent="0.25">
      <c r="O403" s="20" t="str">
        <f>IF(N403="","",COUNTIFS(RawData[[Date ]],N403,RawData[Month List],$Q$6,RawData[Tour/Site],$Q$2,RawData[[Picker ID ]],$Q$3,RawData[Checker ID],$Q$4,RawData[[Error Type ]],$Q$5))</f>
        <v/>
      </c>
    </row>
    <row r="404" spans="15:15" x14ac:dyDescent="0.25">
      <c r="O404" s="20" t="str">
        <f>IF(N404="","",COUNTIFS(RawData[[Date ]],N404,RawData[Month List],$Q$6,RawData[Tour/Site],$Q$2,RawData[[Picker ID ]],$Q$3,RawData[Checker ID],$Q$4,RawData[[Error Type ]],$Q$5))</f>
        <v/>
      </c>
    </row>
    <row r="405" spans="15:15" x14ac:dyDescent="0.25">
      <c r="O405" s="20" t="str">
        <f>IF(N405="","",COUNTIFS(RawData[[Date ]],N405,RawData[Month List],$Q$6,RawData[Tour/Site],$Q$2,RawData[[Picker ID ]],$Q$3,RawData[Checker ID],$Q$4,RawData[[Error Type ]],$Q$5))</f>
        <v/>
      </c>
    </row>
    <row r="406" spans="15:15" x14ac:dyDescent="0.25">
      <c r="O406" s="20" t="str">
        <f>IF(N406="","",COUNTIFS(RawData[[Date ]],N406,RawData[Month List],$Q$6,RawData[Tour/Site],$Q$2,RawData[[Picker ID ]],$Q$3,RawData[Checker ID],$Q$4,RawData[[Error Type ]],$Q$5))</f>
        <v/>
      </c>
    </row>
    <row r="407" spans="15:15" x14ac:dyDescent="0.25">
      <c r="O407" s="20" t="str">
        <f>IF(N407="","",COUNTIFS(RawData[[Date ]],N407,RawData[Month List],$Q$6,RawData[Tour/Site],$Q$2,RawData[[Picker ID ]],$Q$3,RawData[Checker ID],$Q$4,RawData[[Error Type ]],$Q$5))</f>
        <v/>
      </c>
    </row>
    <row r="408" spans="15:15" x14ac:dyDescent="0.25">
      <c r="O408" s="20" t="str">
        <f>IF(N408="","",COUNTIFS(RawData[[Date ]],N408,RawData[Month List],$Q$6,RawData[Tour/Site],$Q$2,RawData[[Picker ID ]],$Q$3,RawData[Checker ID],$Q$4,RawData[[Error Type ]],$Q$5))</f>
        <v/>
      </c>
    </row>
    <row r="409" spans="15:15" x14ac:dyDescent="0.25">
      <c r="O409" s="20" t="str">
        <f>IF(N409="","",COUNTIFS(RawData[[Date ]],N409,RawData[Month List],$Q$6,RawData[Tour/Site],$Q$2,RawData[[Picker ID ]],$Q$3,RawData[Checker ID],$Q$4,RawData[[Error Type ]],$Q$5))</f>
        <v/>
      </c>
    </row>
    <row r="410" spans="15:15" x14ac:dyDescent="0.25">
      <c r="O410" s="20" t="str">
        <f>IF(N410="","",COUNTIFS(RawData[[Date ]],N410,RawData[Month List],$Q$6,RawData[Tour/Site],$Q$2,RawData[[Picker ID ]],$Q$3,RawData[Checker ID],$Q$4,RawData[[Error Type ]],$Q$5))</f>
        <v/>
      </c>
    </row>
    <row r="411" spans="15:15" x14ac:dyDescent="0.25">
      <c r="O411" s="20" t="str">
        <f>IF(N411="","",COUNTIFS(RawData[[Date ]],N411,RawData[Month List],$Q$6,RawData[Tour/Site],$Q$2,RawData[[Picker ID ]],$Q$3,RawData[Checker ID],$Q$4,RawData[[Error Type ]],$Q$5))</f>
        <v/>
      </c>
    </row>
    <row r="412" spans="15:15" x14ac:dyDescent="0.25">
      <c r="O412" s="20" t="str">
        <f>IF(N412="","",COUNTIFS(RawData[[Date ]],N412,RawData[Month List],$Q$6,RawData[Tour/Site],$Q$2,RawData[[Picker ID ]],$Q$3,RawData[Checker ID],$Q$4,RawData[[Error Type ]],$Q$5))</f>
        <v/>
      </c>
    </row>
    <row r="413" spans="15:15" x14ac:dyDescent="0.25">
      <c r="O413" s="20" t="str">
        <f>IF(N413="","",COUNTIFS(RawData[[Date ]],N413,RawData[Month List],$Q$6,RawData[Tour/Site],$Q$2,RawData[[Picker ID ]],$Q$3,RawData[Checker ID],$Q$4,RawData[[Error Type ]],$Q$5))</f>
        <v/>
      </c>
    </row>
    <row r="414" spans="15:15" x14ac:dyDescent="0.25">
      <c r="O414" s="20" t="str">
        <f>IF(N414="","",COUNTIFS(RawData[[Date ]],N414,RawData[Month List],$Q$6,RawData[Tour/Site],$Q$2,RawData[[Picker ID ]],$Q$3,RawData[Checker ID],$Q$4,RawData[[Error Type ]],$Q$5))</f>
        <v/>
      </c>
    </row>
    <row r="415" spans="15:15" x14ac:dyDescent="0.25">
      <c r="O415" s="20" t="str">
        <f>IF(N415="","",COUNTIFS(RawData[[Date ]],N415,RawData[Month List],$Q$6,RawData[Tour/Site],$Q$2,RawData[[Picker ID ]],$Q$3,RawData[Checker ID],$Q$4,RawData[[Error Type ]],$Q$5))</f>
        <v/>
      </c>
    </row>
    <row r="416" spans="15:15" x14ac:dyDescent="0.25">
      <c r="O416" s="20" t="str">
        <f>IF(N416="","",COUNTIFS(RawData[[Date ]],N416,RawData[Month List],$Q$6,RawData[Tour/Site],$Q$2,RawData[[Picker ID ]],$Q$3,RawData[Checker ID],$Q$4,RawData[[Error Type ]],$Q$5))</f>
        <v/>
      </c>
    </row>
    <row r="417" spans="15:15" x14ac:dyDescent="0.25">
      <c r="O417" s="20" t="str">
        <f>IF(N417="","",COUNTIFS(RawData[[Date ]],N417,RawData[Month List],$Q$6,RawData[Tour/Site],$Q$2,RawData[[Picker ID ]],$Q$3,RawData[Checker ID],$Q$4,RawData[[Error Type ]],$Q$5))</f>
        <v/>
      </c>
    </row>
    <row r="418" spans="15:15" x14ac:dyDescent="0.25">
      <c r="O418" s="20" t="str">
        <f>IF(N418="","",COUNTIFS(RawData[[Date ]],N418,RawData[Month List],$Q$6,RawData[Tour/Site],$Q$2,RawData[[Picker ID ]],$Q$3,RawData[Checker ID],$Q$4,RawData[[Error Type ]],$Q$5))</f>
        <v/>
      </c>
    </row>
    <row r="419" spans="15:15" x14ac:dyDescent="0.25">
      <c r="O419" s="20" t="str">
        <f>IF(N419="","",COUNTIFS(RawData[[Date ]],N419,RawData[Month List],$Q$6,RawData[Tour/Site],$Q$2,RawData[[Picker ID ]],$Q$3,RawData[Checker ID],$Q$4,RawData[[Error Type ]],$Q$5))</f>
        <v/>
      </c>
    </row>
    <row r="420" spans="15:15" x14ac:dyDescent="0.25">
      <c r="O420" s="20" t="str">
        <f>IF(N420="","",COUNTIFS(RawData[[Date ]],N420,RawData[Month List],$Q$6,RawData[Tour/Site],$Q$2,RawData[[Picker ID ]],$Q$3,RawData[Checker ID],$Q$4,RawData[[Error Type ]],$Q$5))</f>
        <v/>
      </c>
    </row>
    <row r="421" spans="15:15" x14ac:dyDescent="0.25">
      <c r="O421" s="20" t="str">
        <f>IF(N421="","",COUNTIFS(RawData[[Date ]],N421,RawData[Month List],$Q$6,RawData[Tour/Site],$Q$2,RawData[[Picker ID ]],$Q$3,RawData[Checker ID],$Q$4,RawData[[Error Type ]],$Q$5))</f>
        <v/>
      </c>
    </row>
    <row r="422" spans="15:15" x14ac:dyDescent="0.25">
      <c r="O422" s="20" t="str">
        <f>IF(N422="","",COUNTIFS(RawData[[Date ]],N422,RawData[Month List],$Q$6,RawData[Tour/Site],$Q$2,RawData[[Picker ID ]],$Q$3,RawData[Checker ID],$Q$4,RawData[[Error Type ]],$Q$5))</f>
        <v/>
      </c>
    </row>
    <row r="423" spans="15:15" x14ac:dyDescent="0.25">
      <c r="O423" s="20" t="str">
        <f>IF(N423="","",COUNTIFS(RawData[[Date ]],N423,RawData[Month List],$Q$6,RawData[Tour/Site],$Q$2,RawData[[Picker ID ]],$Q$3,RawData[Checker ID],$Q$4,RawData[[Error Type ]],$Q$5))</f>
        <v/>
      </c>
    </row>
    <row r="424" spans="15:15" x14ac:dyDescent="0.25">
      <c r="O424" s="20" t="str">
        <f>IF(N424="","",COUNTIFS(RawData[[Date ]],N424,RawData[Month List],$Q$6,RawData[Tour/Site],$Q$2,RawData[[Picker ID ]],$Q$3,RawData[Checker ID],$Q$4,RawData[[Error Type ]],$Q$5))</f>
        <v/>
      </c>
    </row>
    <row r="425" spans="15:15" x14ac:dyDescent="0.25">
      <c r="O425" s="20" t="str">
        <f>IF(N425="","",COUNTIFS(RawData[[Date ]],N425,RawData[Month List],$Q$6,RawData[Tour/Site],$Q$2,RawData[[Picker ID ]],$Q$3,RawData[Checker ID],$Q$4,RawData[[Error Type ]],$Q$5))</f>
        <v/>
      </c>
    </row>
    <row r="426" spans="15:15" x14ac:dyDescent="0.25">
      <c r="O426" s="20" t="str">
        <f>IF(N426="","",COUNTIFS(RawData[[Date ]],N426,RawData[Month List],$Q$6,RawData[Tour/Site],$Q$2,RawData[[Picker ID ]],$Q$3,RawData[Checker ID],$Q$4,RawData[[Error Type ]],$Q$5))</f>
        <v/>
      </c>
    </row>
    <row r="427" spans="15:15" x14ac:dyDescent="0.25">
      <c r="O427" s="20" t="str">
        <f>IF(N427="","",COUNTIFS(RawData[[Date ]],N427,RawData[Month List],$Q$6,RawData[Tour/Site],$Q$2,RawData[[Picker ID ]],$Q$3,RawData[Checker ID],$Q$4,RawData[[Error Type ]],$Q$5))</f>
        <v/>
      </c>
    </row>
    <row r="428" spans="15:15" x14ac:dyDescent="0.25">
      <c r="O428" s="20" t="str">
        <f>IF(N428="","",COUNTIFS(RawData[[Date ]],N428,RawData[Month List],$Q$6,RawData[Tour/Site],$Q$2,RawData[[Picker ID ]],$Q$3,RawData[Checker ID],$Q$4,RawData[[Error Type ]],$Q$5))</f>
        <v/>
      </c>
    </row>
    <row r="429" spans="15:15" x14ac:dyDescent="0.25">
      <c r="O429" s="20" t="str">
        <f>IF(N429="","",COUNTIFS(RawData[[Date ]],N429,RawData[Month List],$Q$6,RawData[Tour/Site],$Q$2,RawData[[Picker ID ]],$Q$3,RawData[Checker ID],$Q$4,RawData[[Error Type ]],$Q$5))</f>
        <v/>
      </c>
    </row>
    <row r="430" spans="15:15" x14ac:dyDescent="0.25">
      <c r="O430" s="20" t="str">
        <f>IF(N430="","",COUNTIFS(RawData[[Date ]],N430,RawData[Month List],$Q$6,RawData[Tour/Site],$Q$2,RawData[[Picker ID ]],$Q$3,RawData[Checker ID],$Q$4,RawData[[Error Type ]],$Q$5))</f>
        <v/>
      </c>
    </row>
    <row r="431" spans="15:15" x14ac:dyDescent="0.25">
      <c r="O431" s="20" t="str">
        <f>IF(N431="","",COUNTIFS(RawData[[Date ]],N431,RawData[Month List],$Q$6,RawData[Tour/Site],$Q$2,RawData[[Picker ID ]],$Q$3,RawData[Checker ID],$Q$4,RawData[[Error Type ]],$Q$5))</f>
        <v/>
      </c>
    </row>
    <row r="432" spans="15:15" x14ac:dyDescent="0.25">
      <c r="O432" s="20" t="str">
        <f>IF(N432="","",COUNTIFS(RawData[[Date ]],N432,RawData[Month List],$Q$6,RawData[Tour/Site],$Q$2,RawData[[Picker ID ]],$Q$3,RawData[Checker ID],$Q$4,RawData[[Error Type ]],$Q$5))</f>
        <v/>
      </c>
    </row>
    <row r="433" spans="15:15" x14ac:dyDescent="0.25">
      <c r="O433" s="20" t="str">
        <f>IF(N433="","",COUNTIFS(RawData[[Date ]],N433,RawData[Month List],$Q$6,RawData[Tour/Site],$Q$2,RawData[[Picker ID ]],$Q$3,RawData[Checker ID],$Q$4,RawData[[Error Type ]],$Q$5))</f>
        <v/>
      </c>
    </row>
    <row r="434" spans="15:15" x14ac:dyDescent="0.25">
      <c r="O434" s="20" t="str">
        <f>IF(N434="","",COUNTIFS(RawData[[Date ]],N434,RawData[Month List],$Q$6,RawData[Tour/Site],$Q$2,RawData[[Picker ID ]],$Q$3,RawData[Checker ID],$Q$4,RawData[[Error Type ]],$Q$5))</f>
        <v/>
      </c>
    </row>
    <row r="435" spans="15:15" x14ac:dyDescent="0.25">
      <c r="O435" s="20" t="str">
        <f>IF(N435="","",COUNTIFS(RawData[[Date ]],N435,RawData[Month List],$Q$6,RawData[Tour/Site],$Q$2,RawData[[Picker ID ]],$Q$3,RawData[Checker ID],$Q$4,RawData[[Error Type ]],$Q$5))</f>
        <v/>
      </c>
    </row>
    <row r="436" spans="15:15" x14ac:dyDescent="0.25">
      <c r="O436" s="20" t="str">
        <f>IF(N436="","",COUNTIFS(RawData[[Date ]],N436,RawData[Month List],$Q$6,RawData[Tour/Site],$Q$2,RawData[[Picker ID ]],$Q$3,RawData[Checker ID],$Q$4,RawData[[Error Type ]],$Q$5))</f>
        <v/>
      </c>
    </row>
    <row r="437" spans="15:15" x14ac:dyDescent="0.25">
      <c r="O437" s="20" t="str">
        <f>IF(N437="","",COUNTIFS(RawData[[Date ]],N437,RawData[Month List],$Q$6,RawData[Tour/Site],$Q$2,RawData[[Picker ID ]],$Q$3,RawData[Checker ID],$Q$4,RawData[[Error Type ]],$Q$5))</f>
        <v/>
      </c>
    </row>
    <row r="438" spans="15:15" x14ac:dyDescent="0.25">
      <c r="O438" s="20" t="str">
        <f>IF(N438="","",COUNTIFS(RawData[[Date ]],N438,RawData[Month List],$Q$6,RawData[Tour/Site],$Q$2,RawData[[Picker ID ]],$Q$3,RawData[Checker ID],$Q$4,RawData[[Error Type ]],$Q$5))</f>
        <v/>
      </c>
    </row>
    <row r="439" spans="15:15" x14ac:dyDescent="0.25">
      <c r="O439" s="20" t="str">
        <f>IF(N439="","",COUNTIFS(RawData[[Date ]],N439,RawData[Month List],$Q$6,RawData[Tour/Site],$Q$2,RawData[[Picker ID ]],$Q$3,RawData[Checker ID],$Q$4,RawData[[Error Type ]],$Q$5))</f>
        <v/>
      </c>
    </row>
    <row r="440" spans="15:15" x14ac:dyDescent="0.25">
      <c r="O440" s="20" t="str">
        <f>IF(N440="","",COUNTIFS(RawData[[Date ]],N440,RawData[Month List],$Q$6,RawData[Tour/Site],$Q$2,RawData[[Picker ID ]],$Q$3,RawData[Checker ID],$Q$4,RawData[[Error Type ]],$Q$5))</f>
        <v/>
      </c>
    </row>
    <row r="441" spans="15:15" x14ac:dyDescent="0.25">
      <c r="O441" s="20" t="str">
        <f>IF(N441="","",COUNTIFS(RawData[[Date ]],N441,RawData[Month List],$Q$6,RawData[Tour/Site],$Q$2,RawData[[Picker ID ]],$Q$3,RawData[Checker ID],$Q$4,RawData[[Error Type ]],$Q$5))</f>
        <v/>
      </c>
    </row>
    <row r="442" spans="15:15" x14ac:dyDescent="0.25">
      <c r="O442" s="20" t="str">
        <f>IF(N442="","",COUNTIFS(RawData[[Date ]],N442,RawData[Month List],$Q$6,RawData[Tour/Site],$Q$2,RawData[[Picker ID ]],$Q$3,RawData[Checker ID],$Q$4,RawData[[Error Type ]],$Q$5))</f>
        <v/>
      </c>
    </row>
    <row r="443" spans="15:15" x14ac:dyDescent="0.25">
      <c r="O443" s="20" t="str">
        <f>IF(N443="","",COUNTIFS(RawData[[Date ]],N443,RawData[Month List],$Q$6,RawData[Tour/Site],$Q$2,RawData[[Picker ID ]],$Q$3,RawData[Checker ID],$Q$4,RawData[[Error Type ]],$Q$5))</f>
        <v/>
      </c>
    </row>
    <row r="444" spans="15:15" x14ac:dyDescent="0.25">
      <c r="O444" s="20" t="str">
        <f>IF(N444="","",COUNTIFS(RawData[[Date ]],N444,RawData[Month List],$Q$6,RawData[Tour/Site],$Q$2,RawData[[Picker ID ]],$Q$3,RawData[Checker ID],$Q$4,RawData[[Error Type ]],$Q$5))</f>
        <v/>
      </c>
    </row>
    <row r="445" spans="15:15" x14ac:dyDescent="0.25">
      <c r="O445" s="20" t="str">
        <f>IF(N445="","",COUNTIFS(RawData[[Date ]],N445,RawData[Month List],$Q$6,RawData[Tour/Site],$Q$2,RawData[[Picker ID ]],$Q$3,RawData[Checker ID],$Q$4,RawData[[Error Type ]],$Q$5))</f>
        <v/>
      </c>
    </row>
    <row r="446" spans="15:15" x14ac:dyDescent="0.25">
      <c r="O446" s="20" t="str">
        <f>IF(N446="","",COUNTIFS(RawData[[Date ]],N446,RawData[Month List],$Q$6,RawData[Tour/Site],$Q$2,RawData[[Picker ID ]],$Q$3,RawData[Checker ID],$Q$4,RawData[[Error Type ]],$Q$5))</f>
        <v/>
      </c>
    </row>
    <row r="447" spans="15:15" x14ac:dyDescent="0.25">
      <c r="O447" s="20" t="str">
        <f>IF(N447="","",COUNTIFS(RawData[[Date ]],N447,RawData[Month List],$Q$6,RawData[Tour/Site],$Q$2,RawData[[Picker ID ]],$Q$3,RawData[Checker ID],$Q$4,RawData[[Error Type ]],$Q$5))</f>
        <v/>
      </c>
    </row>
    <row r="448" spans="15:15" x14ac:dyDescent="0.25">
      <c r="O448" s="20" t="str">
        <f>IF(N448="","",COUNTIFS(RawData[[Date ]],N448,RawData[Month List],$Q$6,RawData[Tour/Site],$Q$2,RawData[[Picker ID ]],$Q$3,RawData[Checker ID],$Q$4,RawData[[Error Type ]],$Q$5))</f>
        <v/>
      </c>
    </row>
    <row r="449" spans="15:15" x14ac:dyDescent="0.25">
      <c r="O449" s="20" t="str">
        <f>IF(N449="","",COUNTIFS(RawData[[Date ]],N449,RawData[Month List],$Q$6,RawData[Tour/Site],$Q$2,RawData[[Picker ID ]],$Q$3,RawData[Checker ID],$Q$4,RawData[[Error Type ]],$Q$5))</f>
        <v/>
      </c>
    </row>
    <row r="450" spans="15:15" x14ac:dyDescent="0.25">
      <c r="O450" s="20" t="str">
        <f>IF(N450="","",COUNTIFS(RawData[[Date ]],N450,RawData[Month List],$Q$6,RawData[Tour/Site],$Q$2,RawData[[Picker ID ]],$Q$3,RawData[Checker ID],$Q$4,RawData[[Error Type ]],$Q$5))</f>
        <v/>
      </c>
    </row>
    <row r="451" spans="15:15" x14ac:dyDescent="0.25">
      <c r="O451" s="20" t="str">
        <f>IF(N451="","",COUNTIFS(RawData[[Date ]],N451,RawData[Month List],$Q$6,RawData[Tour/Site],$Q$2,RawData[[Picker ID ]],$Q$3,RawData[Checker ID],$Q$4,RawData[[Error Type ]],$Q$5))</f>
        <v/>
      </c>
    </row>
    <row r="452" spans="15:15" x14ac:dyDescent="0.25">
      <c r="O452" s="20" t="str">
        <f>IF(N452="","",COUNTIFS(RawData[[Date ]],N452,RawData[Month List],$Q$6,RawData[Tour/Site],$Q$2,RawData[[Picker ID ]],$Q$3,RawData[Checker ID],$Q$4,RawData[[Error Type ]],$Q$5))</f>
        <v/>
      </c>
    </row>
    <row r="453" spans="15:15" x14ac:dyDescent="0.25">
      <c r="O453" s="20" t="str">
        <f>IF(N453="","",COUNTIFS(RawData[[Date ]],N453,RawData[Month List],$Q$6,RawData[Tour/Site],$Q$2,RawData[[Picker ID ]],$Q$3,RawData[Checker ID],$Q$4,RawData[[Error Type ]],$Q$5))</f>
        <v/>
      </c>
    </row>
    <row r="454" spans="15:15" x14ac:dyDescent="0.25">
      <c r="O454" s="20" t="str">
        <f>IF(N454="","",COUNTIFS(RawData[[Date ]],N454,RawData[Month List],$Q$6,RawData[Tour/Site],$Q$2,RawData[[Picker ID ]],$Q$3,RawData[Checker ID],$Q$4,RawData[[Error Type ]],$Q$5))</f>
        <v/>
      </c>
    </row>
    <row r="455" spans="15:15" x14ac:dyDescent="0.25">
      <c r="O455" s="20" t="str">
        <f>IF(N455="","",COUNTIFS(RawData[[Date ]],N455,RawData[Month List],$Q$6,RawData[Tour/Site],$Q$2,RawData[[Picker ID ]],$Q$3,RawData[Checker ID],$Q$4,RawData[[Error Type ]],$Q$5))</f>
        <v/>
      </c>
    </row>
    <row r="456" spans="15:15" x14ac:dyDescent="0.25">
      <c r="O456" s="20" t="str">
        <f>IF(N456="","",COUNTIFS(RawData[[Date ]],N456,RawData[Month List],$Q$6,RawData[Tour/Site],$Q$2,RawData[[Picker ID ]],$Q$3,RawData[Checker ID],$Q$4,RawData[[Error Type ]],$Q$5))</f>
        <v/>
      </c>
    </row>
    <row r="457" spans="15:15" x14ac:dyDescent="0.25">
      <c r="O457" s="20" t="str">
        <f>IF(N457="","",COUNTIFS(RawData[[Date ]],N457,RawData[Month List],$Q$6,RawData[Tour/Site],$Q$2,RawData[[Picker ID ]],$Q$3,RawData[Checker ID],$Q$4,RawData[[Error Type ]],$Q$5))</f>
        <v/>
      </c>
    </row>
    <row r="458" spans="15:15" x14ac:dyDescent="0.25">
      <c r="O458" s="20" t="str">
        <f>IF(N458="","",COUNTIFS(RawData[[Date ]],N458,RawData[Month List],$Q$6,RawData[Tour/Site],$Q$2,RawData[[Picker ID ]],$Q$3,RawData[Checker ID],$Q$4,RawData[[Error Type ]],$Q$5))</f>
        <v/>
      </c>
    </row>
    <row r="459" spans="15:15" x14ac:dyDescent="0.25">
      <c r="O459" s="20" t="str">
        <f>IF(N459="","",COUNTIFS(RawData[[Date ]],N459,RawData[Month List],$Q$6,RawData[Tour/Site],$Q$2,RawData[[Picker ID ]],$Q$3,RawData[Checker ID],$Q$4,RawData[[Error Type ]],$Q$5))</f>
        <v/>
      </c>
    </row>
    <row r="460" spans="15:15" x14ac:dyDescent="0.25">
      <c r="O460" s="20" t="str">
        <f>IF(N460="","",COUNTIFS(RawData[[Date ]],N460,RawData[Month List],$Q$6,RawData[Tour/Site],$Q$2,RawData[[Picker ID ]],$Q$3,RawData[Checker ID],$Q$4,RawData[[Error Type ]],$Q$5))</f>
        <v/>
      </c>
    </row>
    <row r="461" spans="15:15" x14ac:dyDescent="0.25">
      <c r="O461" s="20" t="str">
        <f>IF(N461="","",COUNTIFS(RawData[[Date ]],N461,RawData[Month List],$Q$6,RawData[Tour/Site],$Q$2,RawData[[Picker ID ]],$Q$3,RawData[Checker ID],$Q$4,RawData[[Error Type ]],$Q$5))</f>
        <v/>
      </c>
    </row>
    <row r="462" spans="15:15" x14ac:dyDescent="0.25">
      <c r="O462" s="20" t="str">
        <f>IF(N462="","",COUNTIFS(RawData[[Date ]],N462,RawData[Month List],$Q$6,RawData[Tour/Site],$Q$2,RawData[[Picker ID ]],$Q$3,RawData[Checker ID],$Q$4,RawData[[Error Type ]],$Q$5))</f>
        <v/>
      </c>
    </row>
    <row r="463" spans="15:15" x14ac:dyDescent="0.25">
      <c r="O463" s="20" t="str">
        <f>IF(N463="","",COUNTIFS(RawData[[Date ]],N463,RawData[Month List],$Q$6,RawData[Tour/Site],$Q$2,RawData[[Picker ID ]],$Q$3,RawData[Checker ID],$Q$4,RawData[[Error Type ]],$Q$5))</f>
        <v/>
      </c>
    </row>
    <row r="464" spans="15:15" x14ac:dyDescent="0.25">
      <c r="O464" s="20" t="str">
        <f>IF(N464="","",COUNTIFS(RawData[[Date ]],N464,RawData[Month List],$Q$6,RawData[Tour/Site],$Q$2,RawData[[Picker ID ]],$Q$3,RawData[Checker ID],$Q$4,RawData[[Error Type ]],$Q$5))</f>
        <v/>
      </c>
    </row>
    <row r="465" spans="15:15" x14ac:dyDescent="0.25">
      <c r="O465" s="20" t="str">
        <f>IF(N465="","",COUNTIFS(RawData[[Date ]],N465,RawData[Month List],$Q$6,RawData[Tour/Site],$Q$2,RawData[[Picker ID ]],$Q$3,RawData[Checker ID],$Q$4,RawData[[Error Type ]],$Q$5))</f>
        <v/>
      </c>
    </row>
    <row r="466" spans="15:15" x14ac:dyDescent="0.25">
      <c r="O466" s="20" t="str">
        <f>IF(N466="","",COUNTIFS(RawData[[Date ]],N466,RawData[Month List],$Q$6,RawData[Tour/Site],$Q$2,RawData[[Picker ID ]],$Q$3,RawData[Checker ID],$Q$4,RawData[[Error Type ]],$Q$5))</f>
        <v/>
      </c>
    </row>
    <row r="467" spans="15:15" x14ac:dyDescent="0.25">
      <c r="O467" s="20" t="str">
        <f>IF(N467="","",COUNTIFS(RawData[[Date ]],N467,RawData[Month List],$Q$6,RawData[Tour/Site],$Q$2,RawData[[Picker ID ]],$Q$3,RawData[Checker ID],$Q$4,RawData[[Error Type ]],$Q$5))</f>
        <v/>
      </c>
    </row>
    <row r="468" spans="15:15" x14ac:dyDescent="0.25">
      <c r="O468" s="20" t="str">
        <f>IF(N468="","",COUNTIFS(RawData[[Date ]],N468,RawData[Month List],$Q$6,RawData[Tour/Site],$Q$2,RawData[[Picker ID ]],$Q$3,RawData[Checker ID],$Q$4,RawData[[Error Type ]],$Q$5))</f>
        <v/>
      </c>
    </row>
    <row r="469" spans="15:15" x14ac:dyDescent="0.25">
      <c r="O469" s="20" t="str">
        <f>IF(N469="","",COUNTIFS(RawData[[Date ]],N469,RawData[Month List],$Q$6,RawData[Tour/Site],$Q$2,RawData[[Picker ID ]],$Q$3,RawData[Checker ID],$Q$4,RawData[[Error Type ]],$Q$5))</f>
        <v/>
      </c>
    </row>
    <row r="470" spans="15:15" x14ac:dyDescent="0.25">
      <c r="O470" s="20" t="str">
        <f>IF(N470="","",COUNTIFS(RawData[[Date ]],N470,RawData[Month List],$Q$6,RawData[Tour/Site],$Q$2,RawData[[Picker ID ]],$Q$3,RawData[Checker ID],$Q$4,RawData[[Error Type ]],$Q$5))</f>
        <v/>
      </c>
    </row>
    <row r="471" spans="15:15" x14ac:dyDescent="0.25">
      <c r="O471" s="20" t="str">
        <f>IF(N471="","",COUNTIFS(RawData[[Date ]],N471,RawData[Month List],$Q$6,RawData[Tour/Site],$Q$2,RawData[[Picker ID ]],$Q$3,RawData[Checker ID],$Q$4,RawData[[Error Type ]],$Q$5))</f>
        <v/>
      </c>
    </row>
    <row r="472" spans="15:15" x14ac:dyDescent="0.25">
      <c r="O472" s="20" t="str">
        <f>IF(N472="","",COUNTIFS(RawData[[Date ]],N472,RawData[Month List],$Q$6,RawData[Tour/Site],$Q$2,RawData[[Picker ID ]],$Q$3,RawData[Checker ID],$Q$4,RawData[[Error Type ]],$Q$5))</f>
        <v/>
      </c>
    </row>
    <row r="473" spans="15:15" x14ac:dyDescent="0.25">
      <c r="O473" s="20" t="str">
        <f>IF(N473="","",COUNTIFS(RawData[[Date ]],N473,RawData[Month List],$Q$6,RawData[Tour/Site],$Q$2,RawData[[Picker ID ]],$Q$3,RawData[Checker ID],$Q$4,RawData[[Error Type ]],$Q$5))</f>
        <v/>
      </c>
    </row>
    <row r="474" spans="15:15" x14ac:dyDescent="0.25">
      <c r="O474" s="20" t="str">
        <f>IF(N474="","",COUNTIFS(RawData[[Date ]],N474,RawData[Month List],$Q$6,RawData[Tour/Site],$Q$2,RawData[[Picker ID ]],$Q$3,RawData[Checker ID],$Q$4,RawData[[Error Type ]],$Q$5))</f>
        <v/>
      </c>
    </row>
    <row r="475" spans="15:15" x14ac:dyDescent="0.25">
      <c r="O475" s="20" t="str">
        <f>IF(N475="","",COUNTIFS(RawData[[Date ]],N475,RawData[Month List],$Q$6,RawData[Tour/Site],$Q$2,RawData[[Picker ID ]],$Q$3,RawData[Checker ID],$Q$4,RawData[[Error Type ]],$Q$5))</f>
        <v/>
      </c>
    </row>
    <row r="476" spans="15:15" x14ac:dyDescent="0.25">
      <c r="O476" s="20" t="str">
        <f>IF(N476="","",COUNTIFS(RawData[[Date ]],N476,RawData[Month List],$Q$6,RawData[Tour/Site],$Q$2,RawData[[Picker ID ]],$Q$3,RawData[Checker ID],$Q$4,RawData[[Error Type ]],$Q$5))</f>
        <v/>
      </c>
    </row>
    <row r="477" spans="15:15" x14ac:dyDescent="0.25">
      <c r="O477" s="20" t="str">
        <f>IF(N477="","",COUNTIFS(RawData[[Date ]],N477,RawData[Month List],$Q$6,RawData[Tour/Site],$Q$2,RawData[[Picker ID ]],$Q$3,RawData[Checker ID],$Q$4,RawData[[Error Type ]],$Q$5))</f>
        <v/>
      </c>
    </row>
    <row r="478" spans="15:15" x14ac:dyDescent="0.25">
      <c r="O478" s="20" t="str">
        <f>IF(N478="","",COUNTIFS(RawData[[Date ]],N478,RawData[Month List],$Q$6,RawData[Tour/Site],$Q$2,RawData[[Picker ID ]],$Q$3,RawData[Checker ID],$Q$4,RawData[[Error Type ]],$Q$5))</f>
        <v/>
      </c>
    </row>
    <row r="479" spans="15:15" x14ac:dyDescent="0.25">
      <c r="O479" s="20" t="str">
        <f>IF(N479="","",COUNTIFS(RawData[[Date ]],N479,RawData[Month List],$Q$6,RawData[Tour/Site],$Q$2,RawData[[Picker ID ]],$Q$3,RawData[Checker ID],$Q$4,RawData[[Error Type ]],$Q$5))</f>
        <v/>
      </c>
    </row>
    <row r="480" spans="15:15" x14ac:dyDescent="0.25">
      <c r="O480" s="20" t="str">
        <f>IF(N480="","",COUNTIFS(RawData[[Date ]],N480,RawData[Month List],$Q$6,RawData[Tour/Site],$Q$2,RawData[[Picker ID ]],$Q$3,RawData[Checker ID],$Q$4,RawData[[Error Type ]],$Q$5))</f>
        <v/>
      </c>
    </row>
    <row r="481" spans="15:15" x14ac:dyDescent="0.25">
      <c r="O481" s="20" t="str">
        <f>IF(N481="","",COUNTIFS(RawData[[Date ]],N481,RawData[Month List],$Q$6,RawData[Tour/Site],$Q$2,RawData[[Picker ID ]],$Q$3,RawData[Checker ID],$Q$4,RawData[[Error Type ]],$Q$5))</f>
        <v/>
      </c>
    </row>
    <row r="482" spans="15:15" x14ac:dyDescent="0.25">
      <c r="O482" s="20" t="str">
        <f>IF(N482="","",COUNTIFS(RawData[[Date ]],N482,RawData[Month List],$Q$6,RawData[Tour/Site],$Q$2,RawData[[Picker ID ]],$Q$3,RawData[Checker ID],$Q$4,RawData[[Error Type ]],$Q$5))</f>
        <v/>
      </c>
    </row>
    <row r="483" spans="15:15" x14ac:dyDescent="0.25">
      <c r="O483" s="20" t="str">
        <f>IF(N483="","",COUNTIFS(RawData[[Date ]],N483,RawData[Month List],$Q$6,RawData[Tour/Site],$Q$2,RawData[[Picker ID ]],$Q$3,RawData[Checker ID],$Q$4,RawData[[Error Type ]],$Q$5))</f>
        <v/>
      </c>
    </row>
    <row r="484" spans="15:15" x14ac:dyDescent="0.25">
      <c r="O484" s="20" t="str">
        <f>IF(N484="","",COUNTIFS(RawData[[Date ]],N484,RawData[Month List],$Q$6,RawData[Tour/Site],$Q$2,RawData[[Picker ID ]],$Q$3,RawData[Checker ID],$Q$4,RawData[[Error Type ]],$Q$5))</f>
        <v/>
      </c>
    </row>
    <row r="485" spans="15:15" x14ac:dyDescent="0.25">
      <c r="O485" s="20" t="str">
        <f>IF(N485="","",COUNTIFS(RawData[[Date ]],N485,RawData[Month List],$Q$6,RawData[Tour/Site],$Q$2,RawData[[Picker ID ]],$Q$3,RawData[Checker ID],$Q$4,RawData[[Error Type ]],$Q$5))</f>
        <v/>
      </c>
    </row>
    <row r="486" spans="15:15" x14ac:dyDescent="0.25">
      <c r="O486" s="20" t="str">
        <f>IF(N486="","",COUNTIFS(RawData[[Date ]],N486,RawData[Month List],$Q$6,RawData[Tour/Site],$Q$2,RawData[[Picker ID ]],$Q$3,RawData[Checker ID],$Q$4,RawData[[Error Type ]],$Q$5))</f>
        <v/>
      </c>
    </row>
    <row r="487" spans="15:15" x14ac:dyDescent="0.25">
      <c r="O487" s="20" t="str">
        <f>IF(N487="","",COUNTIFS(RawData[[Date ]],N487,RawData[Month List],$Q$6,RawData[Tour/Site],$Q$2,RawData[[Picker ID ]],$Q$3,RawData[Checker ID],$Q$4,RawData[[Error Type ]],$Q$5))</f>
        <v/>
      </c>
    </row>
    <row r="488" spans="15:15" x14ac:dyDescent="0.25">
      <c r="O488" s="20" t="str">
        <f>IF(N488="","",COUNTIFS(RawData[[Date ]],N488,RawData[Month List],$Q$6,RawData[Tour/Site],$Q$2,RawData[[Picker ID ]],$Q$3,RawData[Checker ID],$Q$4,RawData[[Error Type ]],$Q$5))</f>
        <v/>
      </c>
    </row>
    <row r="489" spans="15:15" x14ac:dyDescent="0.25">
      <c r="O489" s="20" t="str">
        <f>IF(N489="","",COUNTIFS(RawData[[Date ]],N489,RawData[Month List],$Q$6,RawData[Tour/Site],$Q$2,RawData[[Picker ID ]],$Q$3,RawData[Checker ID],$Q$4,RawData[[Error Type ]],$Q$5))</f>
        <v/>
      </c>
    </row>
    <row r="490" spans="15:15" x14ac:dyDescent="0.25">
      <c r="O490" s="20" t="str">
        <f>IF(N490="","",COUNTIFS(RawData[[Date ]],N490,RawData[Month List],$Q$6,RawData[Tour/Site],$Q$2,RawData[[Picker ID ]],$Q$3,RawData[Checker ID],$Q$4,RawData[[Error Type ]],$Q$5))</f>
        <v/>
      </c>
    </row>
    <row r="491" spans="15:15" x14ac:dyDescent="0.25">
      <c r="O491" s="20" t="str">
        <f>IF(N491="","",COUNTIFS(RawData[[Date ]],N491,RawData[Month List],$Q$6,RawData[Tour/Site],$Q$2,RawData[[Picker ID ]],$Q$3,RawData[Checker ID],$Q$4,RawData[[Error Type ]],$Q$5))</f>
        <v/>
      </c>
    </row>
    <row r="492" spans="15:15" x14ac:dyDescent="0.25">
      <c r="O492" s="20" t="str">
        <f>IF(N492="","",COUNTIFS(RawData[[Date ]],N492,RawData[Month List],$Q$6,RawData[Tour/Site],$Q$2,RawData[[Picker ID ]],$Q$3,RawData[Checker ID],$Q$4,RawData[[Error Type ]],$Q$5))</f>
        <v/>
      </c>
    </row>
    <row r="493" spans="15:15" x14ac:dyDescent="0.25">
      <c r="O493" s="20" t="str">
        <f>IF(N493="","",COUNTIFS(RawData[[Date ]],N493,RawData[Month List],$Q$6,RawData[Tour/Site],$Q$2,RawData[[Picker ID ]],$Q$3,RawData[Checker ID],$Q$4,RawData[[Error Type ]],$Q$5))</f>
        <v/>
      </c>
    </row>
    <row r="494" spans="15:15" x14ac:dyDescent="0.25">
      <c r="O494" s="20" t="str">
        <f>IF(N494="","",COUNTIFS(RawData[[Date ]],N494,RawData[Month List],$Q$6,RawData[Tour/Site],$Q$2,RawData[[Picker ID ]],$Q$3,RawData[Checker ID],$Q$4,RawData[[Error Type ]],$Q$5))</f>
        <v/>
      </c>
    </row>
    <row r="495" spans="15:15" x14ac:dyDescent="0.25">
      <c r="O495" s="20" t="str">
        <f>IF(N495="","",COUNTIFS(RawData[[Date ]],N495,RawData[Month List],$Q$6,RawData[Tour/Site],$Q$2,RawData[[Picker ID ]],$Q$3,RawData[Checker ID],$Q$4,RawData[[Error Type ]],$Q$5))</f>
        <v/>
      </c>
    </row>
    <row r="496" spans="15:15" x14ac:dyDescent="0.25">
      <c r="O496" s="20" t="str">
        <f>IF(N496="","",COUNTIFS(RawData[[Date ]],N496,RawData[Month List],$Q$6,RawData[Tour/Site],$Q$2,RawData[[Picker ID ]],$Q$3,RawData[Checker ID],$Q$4,RawData[[Error Type ]],$Q$5))</f>
        <v/>
      </c>
    </row>
    <row r="497" spans="15:15" x14ac:dyDescent="0.25">
      <c r="O497" s="20" t="str">
        <f>IF(N497="","",COUNTIFS(RawData[[Date ]],N497,RawData[Month List],$Q$6,RawData[Tour/Site],$Q$2,RawData[[Picker ID ]],$Q$3,RawData[Checker ID],$Q$4,RawData[[Error Type ]],$Q$5))</f>
        <v/>
      </c>
    </row>
    <row r="498" spans="15:15" x14ac:dyDescent="0.25">
      <c r="O498" s="20" t="str">
        <f>IF(N498="","",COUNTIFS(RawData[[Date ]],N498,RawData[Month List],$Q$6,RawData[Tour/Site],$Q$2,RawData[[Picker ID ]],$Q$3,RawData[Checker ID],$Q$4,RawData[[Error Type ]],$Q$5))</f>
        <v/>
      </c>
    </row>
    <row r="499" spans="15:15" x14ac:dyDescent="0.25">
      <c r="O499" s="20" t="str">
        <f>IF(N499="","",COUNTIFS(RawData[[Date ]],N499,RawData[Month List],$Q$6,RawData[Tour/Site],$Q$2,RawData[[Picker ID ]],$Q$3,RawData[Checker ID],$Q$4,RawData[[Error Type ]],$Q$5))</f>
        <v/>
      </c>
    </row>
    <row r="500" spans="15:15" x14ac:dyDescent="0.25">
      <c r="O500" s="20" t="str">
        <f>IF(N500="","",COUNTIFS(RawData[[Date ]],N500,RawData[Month List],$Q$6,RawData[Tour/Site],$Q$2,RawData[[Picker ID ]],$Q$3,RawData[Checker ID],$Q$4,RawData[[Error Type ]],$Q$5))</f>
        <v/>
      </c>
    </row>
    <row r="501" spans="15:15" x14ac:dyDescent="0.25">
      <c r="O501" s="20" t="str">
        <f>IF(N501="","",COUNTIFS(RawData[[Date ]],N501,RawData[Month List],$Q$6,RawData[Tour/Site],$Q$2,RawData[[Picker ID ]],$Q$3,RawData[Checker ID],$Q$4,RawData[[Error Type ]],$Q$5))</f>
        <v/>
      </c>
    </row>
    <row r="502" spans="15:15" x14ac:dyDescent="0.25">
      <c r="O502" s="20" t="str">
        <f>IF(N502="","",COUNTIFS(RawData[[Date ]],N502,RawData[Month List],$Q$6,RawData[Tour/Site],$Q$2,RawData[[Picker ID ]],$Q$3,RawData[Checker ID],$Q$4,RawData[[Error Type ]],$Q$5))</f>
        <v/>
      </c>
    </row>
    <row r="503" spans="15:15" x14ac:dyDescent="0.25">
      <c r="O503" s="20" t="str">
        <f>IF(N503="","",COUNTIFS(RawData[[Date ]],N503,RawData[Month List],$Q$6,RawData[Tour/Site],$Q$2,RawData[[Picker ID ]],$Q$3,RawData[Checker ID],$Q$4,RawData[[Error Type ]],$Q$5))</f>
        <v/>
      </c>
    </row>
    <row r="504" spans="15:15" x14ac:dyDescent="0.25">
      <c r="O504" s="20" t="str">
        <f>IF(N504="","",COUNTIFS(RawData[[Date ]],N504,RawData[Month List],$Q$6,RawData[Tour/Site],$Q$2,RawData[[Picker ID ]],$Q$3,RawData[Checker ID],$Q$4,RawData[[Error Type ]],$Q$5))</f>
        <v/>
      </c>
    </row>
    <row r="505" spans="15:15" x14ac:dyDescent="0.25">
      <c r="O505" s="20" t="str">
        <f>IF(N505="","",COUNTIFS(RawData[[Date ]],N505,RawData[Month List],$Q$6,RawData[Tour/Site],$Q$2,RawData[[Picker ID ]],$Q$3,RawData[Checker ID],$Q$4,RawData[[Error Type ]],$Q$5))</f>
        <v/>
      </c>
    </row>
    <row r="506" spans="15:15" x14ac:dyDescent="0.25">
      <c r="O506" s="20" t="str">
        <f>IF(N506="","",COUNTIFS(RawData[[Date ]],N506,RawData[Month List],$Q$6,RawData[Tour/Site],$Q$2,RawData[[Picker ID ]],$Q$3,RawData[Checker ID],$Q$4,RawData[[Error Type ]],$Q$5))</f>
        <v/>
      </c>
    </row>
    <row r="507" spans="15:15" x14ac:dyDescent="0.25">
      <c r="O507" s="20" t="str">
        <f>IF(N507="","",COUNTIFS(RawData[[Date ]],N507,RawData[Month List],$Q$6,RawData[Tour/Site],$Q$2,RawData[[Picker ID ]],$Q$3,RawData[Checker ID],$Q$4,RawData[[Error Type ]],$Q$5))</f>
        <v/>
      </c>
    </row>
    <row r="508" spans="15:15" x14ac:dyDescent="0.25">
      <c r="O508" s="20" t="str">
        <f>IF(N508="","",COUNTIFS(RawData[[Date ]],N508,RawData[Month List],$Q$6,RawData[Tour/Site],$Q$2,RawData[[Picker ID ]],$Q$3,RawData[Checker ID],$Q$4,RawData[[Error Type ]],$Q$5))</f>
        <v/>
      </c>
    </row>
    <row r="509" spans="15:15" x14ac:dyDescent="0.25">
      <c r="O509" s="20" t="str">
        <f>IF(N509="","",COUNTIFS(RawData[[Date ]],N509,RawData[Month List],$Q$6,RawData[Tour/Site],$Q$2,RawData[[Picker ID ]],$Q$3,RawData[Checker ID],$Q$4,RawData[[Error Type ]],$Q$5))</f>
        <v/>
      </c>
    </row>
    <row r="510" spans="15:15" x14ac:dyDescent="0.25">
      <c r="O510" s="20" t="str">
        <f>IF(N510="","",COUNTIFS(RawData[[Date ]],N510,RawData[Month List],$Q$6,RawData[Tour/Site],$Q$2,RawData[[Picker ID ]],$Q$3,RawData[Checker ID],$Q$4,RawData[[Error Type ]],$Q$5))</f>
        <v/>
      </c>
    </row>
    <row r="511" spans="15:15" x14ac:dyDescent="0.25">
      <c r="O511" s="20" t="str">
        <f>IF(N511="","",COUNTIFS(RawData[[Date ]],N511,RawData[Month List],$Q$6,RawData[Tour/Site],$Q$2,RawData[[Picker ID ]],$Q$3,RawData[Checker ID],$Q$4,RawData[[Error Type ]],$Q$5))</f>
        <v/>
      </c>
    </row>
    <row r="512" spans="15:15" x14ac:dyDescent="0.25">
      <c r="O512" s="20" t="str">
        <f>IF(N512="","",COUNTIFS(RawData[[Date ]],N512,RawData[Month List],$Q$6,RawData[Tour/Site],$Q$2,RawData[[Picker ID ]],$Q$3,RawData[Checker ID],$Q$4,RawData[[Error Type ]],$Q$5))</f>
        <v/>
      </c>
    </row>
    <row r="513" spans="15:15" x14ac:dyDescent="0.25">
      <c r="O513" s="20" t="str">
        <f>IF(N513="","",COUNTIFS(RawData[[Date ]],N513,RawData[Month List],$Q$6,RawData[Tour/Site],$Q$2,RawData[[Picker ID ]],$Q$3,RawData[Checker ID],$Q$4,RawData[[Error Type ]],$Q$5))</f>
        <v/>
      </c>
    </row>
    <row r="514" spans="15:15" x14ac:dyDescent="0.25">
      <c r="O514" s="20" t="str">
        <f>IF(N514="","",COUNTIFS(RawData[[Date ]],N514,RawData[Month List],$Q$6,RawData[Tour/Site],$Q$2,RawData[[Picker ID ]],$Q$3,RawData[Checker ID],$Q$4,RawData[[Error Type ]],$Q$5))</f>
        <v/>
      </c>
    </row>
    <row r="515" spans="15:15" x14ac:dyDescent="0.25">
      <c r="O515" s="20" t="str">
        <f>IF(N515="","",COUNTIFS(RawData[[Date ]],N515,RawData[Month List],$Q$6,RawData[Tour/Site],$Q$2,RawData[[Picker ID ]],$Q$3,RawData[Checker ID],$Q$4,RawData[[Error Type ]],$Q$5))</f>
        <v/>
      </c>
    </row>
    <row r="516" spans="15:15" x14ac:dyDescent="0.25">
      <c r="O516" s="20" t="str">
        <f>IF(N516="","",COUNTIFS(RawData[[Date ]],N516,RawData[Month List],$Q$6,RawData[Tour/Site],$Q$2,RawData[[Picker ID ]],$Q$3,RawData[Checker ID],$Q$4,RawData[[Error Type ]],$Q$5))</f>
        <v/>
      </c>
    </row>
    <row r="517" spans="15:15" x14ac:dyDescent="0.25">
      <c r="O517" s="20" t="str">
        <f>IF(N517="","",COUNTIFS(RawData[[Date ]],N517,RawData[Month List],$Q$6,RawData[Tour/Site],$Q$2,RawData[[Picker ID ]],$Q$3,RawData[Checker ID],$Q$4,RawData[[Error Type ]],$Q$5))</f>
        <v/>
      </c>
    </row>
    <row r="518" spans="15:15" x14ac:dyDescent="0.25">
      <c r="O518" s="20" t="str">
        <f>IF(N518="","",COUNTIFS(RawData[[Date ]],N518,RawData[Month List],$Q$6,RawData[Tour/Site],$Q$2,RawData[[Picker ID ]],$Q$3,RawData[Checker ID],$Q$4,RawData[[Error Type ]],$Q$5))</f>
        <v/>
      </c>
    </row>
    <row r="519" spans="15:15" x14ac:dyDescent="0.25">
      <c r="O519" s="20" t="str">
        <f>IF(N519="","",COUNTIFS(RawData[[Date ]],N519,RawData[Month List],$Q$6,RawData[Tour/Site],$Q$2,RawData[[Picker ID ]],$Q$3,RawData[Checker ID],$Q$4,RawData[[Error Type ]],$Q$5))</f>
        <v/>
      </c>
    </row>
    <row r="520" spans="15:15" x14ac:dyDescent="0.25">
      <c r="O520" s="20" t="str">
        <f>IF(N520="","",COUNTIFS(RawData[[Date ]],N520,RawData[Month List],$Q$6,RawData[Tour/Site],$Q$2,RawData[[Picker ID ]],$Q$3,RawData[Checker ID],$Q$4,RawData[[Error Type ]],$Q$5))</f>
        <v/>
      </c>
    </row>
    <row r="521" spans="15:15" x14ac:dyDescent="0.25">
      <c r="O521" s="20" t="str">
        <f>IF(N521="","",COUNTIFS(RawData[[Date ]],N521,RawData[Month List],$Q$6,RawData[Tour/Site],$Q$2,RawData[[Picker ID ]],$Q$3,RawData[Checker ID],$Q$4,RawData[[Error Type ]],$Q$5))</f>
        <v/>
      </c>
    </row>
    <row r="522" spans="15:15" x14ac:dyDescent="0.25">
      <c r="O522" s="20" t="str">
        <f>IF(N522="","",COUNTIFS(RawData[[Date ]],N522,RawData[Month List],$Q$6,RawData[Tour/Site],$Q$2,RawData[[Picker ID ]],$Q$3,RawData[Checker ID],$Q$4,RawData[[Error Type ]],$Q$5))</f>
        <v/>
      </c>
    </row>
    <row r="523" spans="15:15" x14ac:dyDescent="0.25">
      <c r="O523" s="20" t="str">
        <f>IF(N523="","",COUNTIFS(RawData[[Date ]],N523,RawData[Month List],$Q$6,RawData[Tour/Site],$Q$2,RawData[[Picker ID ]],$Q$3,RawData[Checker ID],$Q$4,RawData[[Error Type ]],$Q$5))</f>
        <v/>
      </c>
    </row>
    <row r="524" spans="15:15" x14ac:dyDescent="0.25">
      <c r="O524" s="20" t="str">
        <f>IF(N524="","",COUNTIFS(RawData[[Date ]],N524,RawData[Month List],$Q$6,RawData[Tour/Site],$Q$2,RawData[[Picker ID ]],$Q$3,RawData[Checker ID],$Q$4,RawData[[Error Type ]],$Q$5))</f>
        <v/>
      </c>
    </row>
    <row r="525" spans="15:15" x14ac:dyDescent="0.25">
      <c r="O525" s="20" t="str">
        <f>IF(N525="","",COUNTIFS(RawData[[Date ]],N525,RawData[Month List],$Q$6,RawData[Tour/Site],$Q$2,RawData[[Picker ID ]],$Q$3,RawData[Checker ID],$Q$4,RawData[[Error Type ]],$Q$5))</f>
        <v/>
      </c>
    </row>
    <row r="526" spans="15:15" x14ac:dyDescent="0.25">
      <c r="O526" s="20" t="str">
        <f>IF(N526="","",COUNTIFS(RawData[[Date ]],N526,RawData[Month List],$Q$6,RawData[Tour/Site],$Q$2,RawData[[Picker ID ]],$Q$3,RawData[Checker ID],$Q$4,RawData[[Error Type ]],$Q$5))</f>
        <v/>
      </c>
    </row>
    <row r="527" spans="15:15" x14ac:dyDescent="0.25">
      <c r="O527" s="20" t="str">
        <f>IF(N527="","",COUNTIFS(RawData[[Date ]],N527,RawData[Month List],$Q$6,RawData[Tour/Site],$Q$2,RawData[[Picker ID ]],$Q$3,RawData[Checker ID],$Q$4,RawData[[Error Type ]],$Q$5))</f>
        <v/>
      </c>
    </row>
    <row r="528" spans="15:15" x14ac:dyDescent="0.25">
      <c r="O528" s="20" t="str">
        <f>IF(N528="","",COUNTIFS(RawData[[Date ]],N528,RawData[Month List],$Q$6,RawData[Tour/Site],$Q$2,RawData[[Picker ID ]],$Q$3,RawData[Checker ID],$Q$4,RawData[[Error Type ]],$Q$5))</f>
        <v/>
      </c>
    </row>
    <row r="529" spans="15:15" x14ac:dyDescent="0.25">
      <c r="O529" s="20" t="str">
        <f>IF(N529="","",COUNTIFS(RawData[[Date ]],N529,RawData[Month List],$Q$6,RawData[Tour/Site],$Q$2,RawData[[Picker ID ]],$Q$3,RawData[Checker ID],$Q$4,RawData[[Error Type ]],$Q$5))</f>
        <v/>
      </c>
    </row>
    <row r="530" spans="15:15" x14ac:dyDescent="0.25">
      <c r="O530" s="20" t="str">
        <f>IF(N530="","",COUNTIFS(RawData[[Date ]],N530,RawData[Month List],$Q$6,RawData[Tour/Site],$Q$2,RawData[[Picker ID ]],$Q$3,RawData[Checker ID],$Q$4,RawData[[Error Type ]],$Q$5))</f>
        <v/>
      </c>
    </row>
    <row r="531" spans="15:15" x14ac:dyDescent="0.25">
      <c r="O531" s="20" t="str">
        <f>IF(N531="","",COUNTIFS(RawData[[Date ]],N531,RawData[Month List],$Q$6,RawData[Tour/Site],$Q$2,RawData[[Picker ID ]],$Q$3,RawData[Checker ID],$Q$4,RawData[[Error Type ]],$Q$5))</f>
        <v/>
      </c>
    </row>
    <row r="532" spans="15:15" x14ac:dyDescent="0.25">
      <c r="O532" s="20" t="str">
        <f>IF(N532="","",COUNTIFS(RawData[[Date ]],N532,RawData[Month List],$Q$6,RawData[Tour/Site],$Q$2,RawData[[Picker ID ]],$Q$3,RawData[Checker ID],$Q$4,RawData[[Error Type ]],$Q$5))</f>
        <v/>
      </c>
    </row>
    <row r="533" spans="15:15" x14ac:dyDescent="0.25">
      <c r="O533" s="20" t="str">
        <f>IF(N533="","",COUNTIFS(RawData[[Date ]],N533,RawData[Month List],$Q$6,RawData[Tour/Site],$Q$2,RawData[[Picker ID ]],$Q$3,RawData[Checker ID],$Q$4,RawData[[Error Type ]],$Q$5))</f>
        <v/>
      </c>
    </row>
    <row r="534" spans="15:15" x14ac:dyDescent="0.25">
      <c r="O534" s="20" t="str">
        <f>IF(N534="","",COUNTIFS(RawData[[Date ]],N534,RawData[Month List],$Q$6,RawData[Tour/Site],$Q$2,RawData[[Picker ID ]],$Q$3,RawData[Checker ID],$Q$4,RawData[[Error Type ]],$Q$5))</f>
        <v/>
      </c>
    </row>
    <row r="535" spans="15:15" x14ac:dyDescent="0.25">
      <c r="O535" s="20" t="str">
        <f>IF(N535="","",COUNTIFS(RawData[[Date ]],N535,RawData[Month List],$Q$6,RawData[Tour/Site],$Q$2,RawData[[Picker ID ]],$Q$3,RawData[Checker ID],$Q$4,RawData[[Error Type ]],$Q$5))</f>
        <v/>
      </c>
    </row>
    <row r="536" spans="15:15" x14ac:dyDescent="0.25">
      <c r="O536" s="20" t="str">
        <f>IF(N536="","",COUNTIFS(RawData[[Date ]],N536,RawData[Month List],$Q$6,RawData[Tour/Site],$Q$2,RawData[[Picker ID ]],$Q$3,RawData[Checker ID],$Q$4,RawData[[Error Type ]],$Q$5))</f>
        <v/>
      </c>
    </row>
    <row r="537" spans="15:15" x14ac:dyDescent="0.25">
      <c r="O537" s="20" t="str">
        <f>IF(N537="","",COUNTIFS(RawData[[Date ]],N537,RawData[Month List],$Q$6,RawData[Tour/Site],$Q$2,RawData[[Picker ID ]],$Q$3,RawData[Checker ID],$Q$4,RawData[[Error Type ]],$Q$5))</f>
        <v/>
      </c>
    </row>
    <row r="538" spans="15:15" x14ac:dyDescent="0.25">
      <c r="O538" s="20" t="str">
        <f>IF(N538="","",COUNTIFS(RawData[[Date ]],N538,RawData[Month List],$Q$6,RawData[Tour/Site],$Q$2,RawData[[Picker ID ]],$Q$3,RawData[Checker ID],$Q$4,RawData[[Error Type ]],$Q$5))</f>
        <v/>
      </c>
    </row>
    <row r="539" spans="15:15" x14ac:dyDescent="0.25">
      <c r="O539" s="20" t="str">
        <f>IF(N539="","",COUNTIFS(RawData[[Date ]],N539,RawData[Month List],$Q$6,RawData[Tour/Site],$Q$2,RawData[[Picker ID ]],$Q$3,RawData[Checker ID],$Q$4,RawData[[Error Type ]],$Q$5))</f>
        <v/>
      </c>
    </row>
    <row r="540" spans="15:15" x14ac:dyDescent="0.25">
      <c r="O540" s="20" t="str">
        <f>IF(N540="","",COUNTIFS(RawData[[Date ]],N540,RawData[Month List],$Q$6,RawData[Tour/Site],$Q$2,RawData[[Picker ID ]],$Q$3,RawData[Checker ID],$Q$4,RawData[[Error Type ]],$Q$5))</f>
        <v/>
      </c>
    </row>
    <row r="541" spans="15:15" x14ac:dyDescent="0.25">
      <c r="O541" s="20" t="str">
        <f>IF(N541="","",COUNTIFS(RawData[[Date ]],N541,RawData[Month List],$Q$6,RawData[Tour/Site],$Q$2,RawData[[Picker ID ]],$Q$3,RawData[Checker ID],$Q$4,RawData[[Error Type ]],$Q$5))</f>
        <v/>
      </c>
    </row>
    <row r="542" spans="15:15" x14ac:dyDescent="0.25">
      <c r="O542" s="20" t="str">
        <f>IF(N542="","",COUNTIFS(RawData[[Date ]],N542,RawData[Month List],$Q$6,RawData[Tour/Site],$Q$2,RawData[[Picker ID ]],$Q$3,RawData[Checker ID],$Q$4,RawData[[Error Type ]],$Q$5))</f>
        <v/>
      </c>
    </row>
    <row r="543" spans="15:15" x14ac:dyDescent="0.25">
      <c r="O543" s="20" t="str">
        <f>IF(N543="","",COUNTIFS(RawData[[Date ]],N543,RawData[Month List],$Q$6,RawData[Tour/Site],$Q$2,RawData[[Picker ID ]],$Q$3,RawData[Checker ID],$Q$4,RawData[[Error Type ]],$Q$5))</f>
        <v/>
      </c>
    </row>
    <row r="544" spans="15:15" x14ac:dyDescent="0.25">
      <c r="O544" s="20" t="str">
        <f>IF(N544="","",COUNTIFS(RawData[[Date ]],N544,RawData[Month List],$Q$6,RawData[Tour/Site],$Q$2,RawData[[Picker ID ]],$Q$3,RawData[Checker ID],$Q$4,RawData[[Error Type ]],$Q$5))</f>
        <v/>
      </c>
    </row>
    <row r="545" spans="15:15" x14ac:dyDescent="0.25">
      <c r="O545" s="20" t="str">
        <f>IF(N545="","",COUNTIFS(RawData[[Date ]],N545,RawData[Month List],$Q$6,RawData[Tour/Site],$Q$2,RawData[[Picker ID ]],$Q$3,RawData[Checker ID],$Q$4,RawData[[Error Type ]],$Q$5))</f>
        <v/>
      </c>
    </row>
    <row r="546" spans="15:15" x14ac:dyDescent="0.25">
      <c r="O546" s="20" t="str">
        <f>IF(N546="","",COUNTIFS(RawData[[Date ]],N546,RawData[Month List],$Q$6,RawData[Tour/Site],$Q$2,RawData[[Picker ID ]],$Q$3,RawData[Checker ID],$Q$4,RawData[[Error Type ]],$Q$5))</f>
        <v/>
      </c>
    </row>
    <row r="547" spans="15:15" x14ac:dyDescent="0.25">
      <c r="O547" s="20" t="str">
        <f>IF(N547="","",COUNTIFS(RawData[[Date ]],N547,RawData[Month List],$Q$6,RawData[Tour/Site],$Q$2,RawData[[Picker ID ]],$Q$3,RawData[Checker ID],$Q$4,RawData[[Error Type ]],$Q$5))</f>
        <v/>
      </c>
    </row>
    <row r="548" spans="15:15" x14ac:dyDescent="0.25">
      <c r="O548" s="20" t="str">
        <f>IF(N548="","",COUNTIFS(RawData[[Date ]],N548,RawData[Month List],$Q$6,RawData[Tour/Site],$Q$2,RawData[[Picker ID ]],$Q$3,RawData[Checker ID],$Q$4,RawData[[Error Type ]],$Q$5))</f>
        <v/>
      </c>
    </row>
    <row r="549" spans="15:15" x14ac:dyDescent="0.25">
      <c r="O549" s="20" t="str">
        <f>IF(N549="","",COUNTIFS(RawData[[Date ]],N549,RawData[Month List],$Q$6,RawData[Tour/Site],$Q$2,RawData[[Picker ID ]],$Q$3,RawData[Checker ID],$Q$4,RawData[[Error Type ]],$Q$5))</f>
        <v/>
      </c>
    </row>
    <row r="550" spans="15:15" x14ac:dyDescent="0.25">
      <c r="O550" s="20" t="str">
        <f>IF(N550="","",COUNTIFS(RawData[[Date ]],N550,RawData[Month List],$Q$6,RawData[Tour/Site],$Q$2,RawData[[Picker ID ]],$Q$3,RawData[Checker ID],$Q$4,RawData[[Error Type ]],$Q$5))</f>
        <v/>
      </c>
    </row>
    <row r="551" spans="15:15" x14ac:dyDescent="0.25">
      <c r="O551" s="20" t="str">
        <f>IF(N551="","",COUNTIFS(RawData[[Date ]],N551,RawData[Month List],$Q$6,RawData[Tour/Site],$Q$2,RawData[[Picker ID ]],$Q$3,RawData[Checker ID],$Q$4,RawData[[Error Type ]],$Q$5))</f>
        <v/>
      </c>
    </row>
    <row r="552" spans="15:15" x14ac:dyDescent="0.25">
      <c r="O552" s="20" t="str">
        <f>IF(N552="","",COUNTIFS(RawData[[Date ]],N552,RawData[Month List],$Q$6,RawData[Tour/Site],$Q$2,RawData[[Picker ID ]],$Q$3,RawData[Checker ID],$Q$4,RawData[[Error Type ]],$Q$5))</f>
        <v/>
      </c>
    </row>
    <row r="553" spans="15:15" x14ac:dyDescent="0.25">
      <c r="O553" s="20" t="str">
        <f>IF(N553="","",COUNTIFS(RawData[[Date ]],N553,RawData[Month List],$Q$6,RawData[Tour/Site],$Q$2,RawData[[Picker ID ]],$Q$3,RawData[Checker ID],$Q$4,RawData[[Error Type ]],$Q$5))</f>
        <v/>
      </c>
    </row>
    <row r="554" spans="15:15" x14ac:dyDescent="0.25">
      <c r="O554" s="20" t="str">
        <f>IF(N554="","",COUNTIFS(RawData[[Date ]],N554,RawData[Month List],$Q$6,RawData[Tour/Site],$Q$2,RawData[[Picker ID ]],$Q$3,RawData[Checker ID],$Q$4,RawData[[Error Type ]],$Q$5))</f>
        <v/>
      </c>
    </row>
    <row r="555" spans="15:15" x14ac:dyDescent="0.25">
      <c r="O555" s="20" t="str">
        <f>IF(N555="","",COUNTIFS(RawData[[Date ]],N555,RawData[Month List],$Q$6,RawData[Tour/Site],$Q$2,RawData[[Picker ID ]],$Q$3,RawData[Checker ID],$Q$4,RawData[[Error Type ]],$Q$5))</f>
        <v/>
      </c>
    </row>
    <row r="556" spans="15:15" x14ac:dyDescent="0.25">
      <c r="O556" s="20" t="str">
        <f>IF(N556="","",COUNTIFS(RawData[[Date ]],N556,RawData[Month List],$Q$6,RawData[Tour/Site],$Q$2,RawData[[Picker ID ]],$Q$3,RawData[Checker ID],$Q$4,RawData[[Error Type ]],$Q$5))</f>
        <v/>
      </c>
    </row>
    <row r="557" spans="15:15" x14ac:dyDescent="0.25">
      <c r="O557" s="20" t="str">
        <f>IF(N557="","",COUNTIFS(RawData[[Date ]],N557,RawData[Month List],$Q$6,RawData[Tour/Site],$Q$2,RawData[[Picker ID ]],$Q$3,RawData[Checker ID],$Q$4,RawData[[Error Type ]],$Q$5))</f>
        <v/>
      </c>
    </row>
    <row r="558" spans="15:15" x14ac:dyDescent="0.25">
      <c r="O558" s="20" t="str">
        <f>IF(N558="","",COUNTIFS(RawData[[Date ]],N558,RawData[Month List],$Q$6,RawData[Tour/Site],$Q$2,RawData[[Picker ID ]],$Q$3,RawData[Checker ID],$Q$4,RawData[[Error Type ]],$Q$5))</f>
        <v/>
      </c>
    </row>
    <row r="559" spans="15:15" x14ac:dyDescent="0.25">
      <c r="O559" s="20" t="str">
        <f>IF(N559="","",COUNTIFS(RawData[[Date ]],N559,RawData[Month List],$Q$6,RawData[Tour/Site],$Q$2,RawData[[Picker ID ]],$Q$3,RawData[Checker ID],$Q$4,RawData[[Error Type ]],$Q$5))</f>
        <v/>
      </c>
    </row>
    <row r="560" spans="15:15" x14ac:dyDescent="0.25">
      <c r="O560" s="20" t="str">
        <f>IF(N560="","",COUNTIFS(RawData[[Date ]],N560,RawData[Month List],$Q$6,RawData[Tour/Site],$Q$2,RawData[[Picker ID ]],$Q$3,RawData[Checker ID],$Q$4,RawData[[Error Type ]],$Q$5))</f>
        <v/>
      </c>
    </row>
    <row r="561" spans="15:15" x14ac:dyDescent="0.25">
      <c r="O561" s="20" t="str">
        <f>IF(N561="","",COUNTIFS(RawData[[Date ]],N561,RawData[Month List],$Q$6,RawData[Tour/Site],$Q$2,RawData[[Picker ID ]],$Q$3,RawData[Checker ID],$Q$4,RawData[[Error Type ]],$Q$5))</f>
        <v/>
      </c>
    </row>
    <row r="562" spans="15:15" x14ac:dyDescent="0.25">
      <c r="O562" s="20" t="str">
        <f>IF(N562="","",COUNTIFS(RawData[[Date ]],N562,RawData[Month List],$Q$6,RawData[Tour/Site],$Q$2,RawData[[Picker ID ]],$Q$3,RawData[Checker ID],$Q$4,RawData[[Error Type ]],$Q$5))</f>
        <v/>
      </c>
    </row>
    <row r="563" spans="15:15" x14ac:dyDescent="0.25">
      <c r="O563" s="20" t="str">
        <f>IF(N563="","",COUNTIFS(RawData[[Date ]],N563,RawData[Month List],$Q$6,RawData[Tour/Site],$Q$2,RawData[[Picker ID ]],$Q$3,RawData[Checker ID],$Q$4,RawData[[Error Type ]],$Q$5))</f>
        <v/>
      </c>
    </row>
    <row r="564" spans="15:15" x14ac:dyDescent="0.25">
      <c r="O564" s="20" t="str">
        <f>IF(N564="","",COUNTIFS(RawData[[Date ]],N564,RawData[Month List],$Q$6,RawData[Tour/Site],$Q$2,RawData[[Picker ID ]],$Q$3,RawData[Checker ID],$Q$4,RawData[[Error Type ]],$Q$5))</f>
        <v/>
      </c>
    </row>
    <row r="565" spans="15:15" x14ac:dyDescent="0.25">
      <c r="O565" s="20" t="str">
        <f>IF(N565="","",COUNTIFS(RawData[[Date ]],N565,RawData[Month List],$Q$6,RawData[Tour/Site],$Q$2,RawData[[Picker ID ]],$Q$3,RawData[Checker ID],$Q$4,RawData[[Error Type ]],$Q$5))</f>
        <v/>
      </c>
    </row>
    <row r="566" spans="15:15" x14ac:dyDescent="0.25">
      <c r="O566" s="20" t="str">
        <f>IF(N566="","",COUNTIFS(RawData[[Date ]],N566,RawData[Month List],$Q$6,RawData[Tour/Site],$Q$2,RawData[[Picker ID ]],$Q$3,RawData[Checker ID],$Q$4,RawData[[Error Type ]],$Q$5))</f>
        <v/>
      </c>
    </row>
    <row r="567" spans="15:15" x14ac:dyDescent="0.25">
      <c r="O567" s="20" t="str">
        <f>IF(N567="","",COUNTIFS(RawData[[Date ]],N567,RawData[Month List],$Q$6,RawData[Tour/Site],$Q$2,RawData[[Picker ID ]],$Q$3,RawData[Checker ID],$Q$4,RawData[[Error Type ]],$Q$5))</f>
        <v/>
      </c>
    </row>
    <row r="568" spans="15:15" x14ac:dyDescent="0.25">
      <c r="O568" s="20" t="str">
        <f>IF(N568="","",COUNTIFS(RawData[[Date ]],N568,RawData[Month List],$Q$6,RawData[Tour/Site],$Q$2,RawData[[Picker ID ]],$Q$3,RawData[Checker ID],$Q$4,RawData[[Error Type ]],$Q$5))</f>
        <v/>
      </c>
    </row>
    <row r="569" spans="15:15" x14ac:dyDescent="0.25">
      <c r="O569" s="20" t="str">
        <f>IF(N569="","",COUNTIFS(RawData[[Date ]],N569,RawData[Month List],$Q$6,RawData[Tour/Site],$Q$2,RawData[[Picker ID ]],$Q$3,RawData[Checker ID],$Q$4,RawData[[Error Type ]],$Q$5))</f>
        <v/>
      </c>
    </row>
    <row r="570" spans="15:15" x14ac:dyDescent="0.25">
      <c r="O570" s="20" t="str">
        <f>IF(N570="","",COUNTIFS(RawData[[Date ]],N570,RawData[Month List],$Q$6,RawData[Tour/Site],$Q$2,RawData[[Picker ID ]],$Q$3,RawData[Checker ID],$Q$4,RawData[[Error Type ]],$Q$5))</f>
        <v/>
      </c>
    </row>
    <row r="571" spans="15:15" x14ac:dyDescent="0.25">
      <c r="O571" s="20" t="str">
        <f>IF(N571="","",COUNTIFS(RawData[[Date ]],N571,RawData[Month List],$Q$6,RawData[Tour/Site],$Q$2,RawData[[Picker ID ]],$Q$3,RawData[Checker ID],$Q$4,RawData[[Error Type ]],$Q$5))</f>
        <v/>
      </c>
    </row>
    <row r="572" spans="15:15" x14ac:dyDescent="0.25">
      <c r="O572" s="20" t="str">
        <f>IF(N572="","",COUNTIFS(RawData[[Date ]],N572,RawData[Month List],$Q$6,RawData[Tour/Site],$Q$2,RawData[[Picker ID ]],$Q$3,RawData[Checker ID],$Q$4,RawData[[Error Type ]],$Q$5))</f>
        <v/>
      </c>
    </row>
    <row r="573" spans="15:15" x14ac:dyDescent="0.25">
      <c r="O573" s="20" t="str">
        <f>IF(N573="","",COUNTIFS(RawData[[Date ]],N573,RawData[Month List],$Q$6,RawData[Tour/Site],$Q$2,RawData[[Picker ID ]],$Q$3,RawData[Checker ID],$Q$4,RawData[[Error Type ]],$Q$5))</f>
        <v/>
      </c>
    </row>
    <row r="574" spans="15:15" x14ac:dyDescent="0.25">
      <c r="O574" s="20" t="str">
        <f>IF(N574="","",COUNTIFS(RawData[[Date ]],N574,RawData[Month List],$Q$6,RawData[Tour/Site],$Q$2,RawData[[Picker ID ]],$Q$3,RawData[Checker ID],$Q$4,RawData[[Error Type ]],$Q$5))</f>
        <v/>
      </c>
    </row>
    <row r="575" spans="15:15" x14ac:dyDescent="0.25">
      <c r="O575" s="20" t="str">
        <f>IF(N575="","",COUNTIFS(RawData[[Date ]],N575,RawData[Month List],$Q$6,RawData[Tour/Site],$Q$2,RawData[[Picker ID ]],$Q$3,RawData[Checker ID],$Q$4,RawData[[Error Type ]],$Q$5))</f>
        <v/>
      </c>
    </row>
    <row r="576" spans="15:15" x14ac:dyDescent="0.25">
      <c r="O576" s="20" t="str">
        <f>IF(N576="","",COUNTIFS(RawData[[Date ]],N576,RawData[Month List],$Q$6,RawData[Tour/Site],$Q$2,RawData[[Picker ID ]],$Q$3,RawData[Checker ID],$Q$4,RawData[[Error Type ]],$Q$5))</f>
        <v/>
      </c>
    </row>
    <row r="577" spans="15:15" x14ac:dyDescent="0.25">
      <c r="O577" s="20" t="str">
        <f>IF(N577="","",COUNTIFS(RawData[[Date ]],N577,RawData[Month List],$Q$6,RawData[Tour/Site],$Q$2,RawData[[Picker ID ]],$Q$3,RawData[Checker ID],$Q$4,RawData[[Error Type ]],$Q$5))</f>
        <v/>
      </c>
    </row>
    <row r="578" spans="15:15" x14ac:dyDescent="0.25">
      <c r="O578" s="20" t="str">
        <f>IF(N578="","",COUNTIFS(RawData[[Date ]],N578,RawData[Month List],$Q$6,RawData[Tour/Site],$Q$2,RawData[[Picker ID ]],$Q$3,RawData[Checker ID],$Q$4,RawData[[Error Type ]],$Q$5))</f>
        <v/>
      </c>
    </row>
    <row r="579" spans="15:15" x14ac:dyDescent="0.25">
      <c r="O579" s="20" t="str">
        <f>IF(N579="","",COUNTIFS(RawData[[Date ]],N579,RawData[Month List],$Q$6,RawData[Tour/Site],$Q$2,RawData[[Picker ID ]],$Q$3,RawData[Checker ID],$Q$4,RawData[[Error Type ]],$Q$5))</f>
        <v/>
      </c>
    </row>
    <row r="580" spans="15:15" x14ac:dyDescent="0.25">
      <c r="O580" s="20" t="str">
        <f>IF(N580="","",COUNTIFS(RawData[[Date ]],N580,RawData[Month List],$Q$6,RawData[Tour/Site],$Q$2,RawData[[Picker ID ]],$Q$3,RawData[Checker ID],$Q$4,RawData[[Error Type ]],$Q$5))</f>
        <v/>
      </c>
    </row>
    <row r="581" spans="15:15" x14ac:dyDescent="0.25">
      <c r="O581" s="20" t="str">
        <f>IF(N581="","",COUNTIFS(RawData[[Date ]],N581,RawData[Month List],$Q$6,RawData[Tour/Site],$Q$2,RawData[[Picker ID ]],$Q$3,RawData[Checker ID],$Q$4,RawData[[Error Type ]],$Q$5))</f>
        <v/>
      </c>
    </row>
    <row r="582" spans="15:15" x14ac:dyDescent="0.25">
      <c r="O582" s="20" t="str">
        <f>IF(N582="","",COUNTIFS(RawData[[Date ]],N582,RawData[Month List],$Q$6,RawData[Tour/Site],$Q$2,RawData[[Picker ID ]],$Q$3,RawData[Checker ID],$Q$4,RawData[[Error Type ]],$Q$5))</f>
        <v/>
      </c>
    </row>
    <row r="583" spans="15:15" x14ac:dyDescent="0.25">
      <c r="O583" s="20" t="str">
        <f>IF(N583="","",COUNTIFS(RawData[[Date ]],N583,RawData[Month List],$Q$6,RawData[Tour/Site],$Q$2,RawData[[Picker ID ]],$Q$3,RawData[Checker ID],$Q$4,RawData[[Error Type ]],$Q$5))</f>
        <v/>
      </c>
    </row>
    <row r="584" spans="15:15" x14ac:dyDescent="0.25">
      <c r="O584" s="20" t="str">
        <f>IF(N584="","",COUNTIFS(RawData[[Date ]],N584,RawData[Month List],$Q$6,RawData[Tour/Site],$Q$2,RawData[[Picker ID ]],$Q$3,RawData[Checker ID],$Q$4,RawData[[Error Type ]],$Q$5))</f>
        <v/>
      </c>
    </row>
    <row r="585" spans="15:15" x14ac:dyDescent="0.25">
      <c r="O585" s="20" t="str">
        <f>IF(N585="","",COUNTIFS(RawData[[Date ]],N585,RawData[Month List],$Q$6,RawData[Tour/Site],$Q$2,RawData[[Picker ID ]],$Q$3,RawData[Checker ID],$Q$4,RawData[[Error Type ]],$Q$5))</f>
        <v/>
      </c>
    </row>
    <row r="586" spans="15:15" x14ac:dyDescent="0.25">
      <c r="O586" s="20" t="str">
        <f>IF(N586="","",COUNTIFS(RawData[[Date ]],N586,RawData[Month List],$Q$6,RawData[Tour/Site],$Q$2,RawData[[Picker ID ]],$Q$3,RawData[Checker ID],$Q$4,RawData[[Error Type ]],$Q$5))</f>
        <v/>
      </c>
    </row>
    <row r="587" spans="15:15" x14ac:dyDescent="0.25">
      <c r="O587" s="20" t="str">
        <f>IF(N587="","",COUNTIFS(RawData[[Date ]],N587,RawData[Month List],$Q$6,RawData[Tour/Site],$Q$2,RawData[[Picker ID ]],$Q$3,RawData[Checker ID],$Q$4,RawData[[Error Type ]],$Q$5))</f>
        <v/>
      </c>
    </row>
    <row r="588" spans="15:15" x14ac:dyDescent="0.25">
      <c r="O588" s="20" t="str">
        <f>IF(N588="","",COUNTIFS(RawData[[Date ]],N588,RawData[Month List],$Q$6,RawData[Tour/Site],$Q$2,RawData[[Picker ID ]],$Q$3,RawData[Checker ID],$Q$4,RawData[[Error Type ]],$Q$5))</f>
        <v/>
      </c>
    </row>
    <row r="589" spans="15:15" x14ac:dyDescent="0.25">
      <c r="O589" s="20" t="str">
        <f>IF(N589="","",COUNTIFS(RawData[[Date ]],N589,RawData[Month List],$Q$6,RawData[Tour/Site],$Q$2,RawData[[Picker ID ]],$Q$3,RawData[Checker ID],$Q$4,RawData[[Error Type ]],$Q$5))</f>
        <v/>
      </c>
    </row>
    <row r="590" spans="15:15" x14ac:dyDescent="0.25">
      <c r="O590" s="20" t="str">
        <f>IF(N590="","",COUNTIFS(RawData[[Date ]],N590,RawData[Month List],$Q$6,RawData[Tour/Site],$Q$2,RawData[[Picker ID ]],$Q$3,RawData[Checker ID],$Q$4,RawData[[Error Type ]],$Q$5))</f>
        <v/>
      </c>
    </row>
    <row r="591" spans="15:15" x14ac:dyDescent="0.25">
      <c r="O591" s="20" t="str">
        <f>IF(N591="","",COUNTIFS(RawData[[Date ]],N591,RawData[Month List],$Q$6,RawData[Tour/Site],$Q$2,RawData[[Picker ID ]],$Q$3,RawData[Checker ID],$Q$4,RawData[[Error Type ]],$Q$5))</f>
        <v/>
      </c>
    </row>
    <row r="592" spans="15:15" x14ac:dyDescent="0.25">
      <c r="O592" s="20" t="str">
        <f>IF(N592="","",COUNTIFS(RawData[[Date ]],N592,RawData[Month List],$Q$6,RawData[Tour/Site],$Q$2,RawData[[Picker ID ]],$Q$3,RawData[Checker ID],$Q$4,RawData[[Error Type ]],$Q$5))</f>
        <v/>
      </c>
    </row>
    <row r="593" spans="15:15" x14ac:dyDescent="0.25">
      <c r="O593" s="20" t="str">
        <f>IF(N593="","",COUNTIFS(RawData[[Date ]],N593,RawData[Month List],$Q$6,RawData[Tour/Site],$Q$2,RawData[[Picker ID ]],$Q$3,RawData[Checker ID],$Q$4,RawData[[Error Type ]],$Q$5))</f>
        <v/>
      </c>
    </row>
    <row r="594" spans="15:15" x14ac:dyDescent="0.25">
      <c r="O594" s="20" t="str">
        <f>IF(N594="","",COUNTIFS(RawData[[Date ]],N594,RawData[Month List],$Q$6,RawData[Tour/Site],$Q$2,RawData[[Picker ID ]],$Q$3,RawData[Checker ID],$Q$4,RawData[[Error Type ]],$Q$5))</f>
        <v/>
      </c>
    </row>
    <row r="595" spans="15:15" x14ac:dyDescent="0.25">
      <c r="O595" s="20" t="str">
        <f>IF(N595="","",COUNTIFS(RawData[[Date ]],N595,RawData[Month List],$Q$6,RawData[Tour/Site],$Q$2,RawData[[Picker ID ]],$Q$3,RawData[Checker ID],$Q$4,RawData[[Error Type ]],$Q$5))</f>
        <v/>
      </c>
    </row>
    <row r="596" spans="15:15" x14ac:dyDescent="0.25">
      <c r="O596" s="20" t="str">
        <f>IF(N596="","",COUNTIFS(RawData[[Date ]],N596,RawData[Month List],$Q$6,RawData[Tour/Site],$Q$2,RawData[[Picker ID ]],$Q$3,RawData[Checker ID],$Q$4,RawData[[Error Type ]],$Q$5))</f>
        <v/>
      </c>
    </row>
    <row r="597" spans="15:15" x14ac:dyDescent="0.25">
      <c r="O597" s="20" t="str">
        <f>IF(N597="","",COUNTIFS(RawData[[Date ]],N597,RawData[Month List],$Q$6,RawData[Tour/Site],$Q$2,RawData[[Picker ID ]],$Q$3,RawData[Checker ID],$Q$4,RawData[[Error Type ]],$Q$5))</f>
        <v/>
      </c>
    </row>
    <row r="598" spans="15:15" x14ac:dyDescent="0.25">
      <c r="O598" s="20" t="str">
        <f>IF(N598="","",COUNTIFS(RawData[[Date ]],N598,RawData[Month List],$Q$6,RawData[Tour/Site],$Q$2,RawData[[Picker ID ]],$Q$3,RawData[Checker ID],$Q$4,RawData[[Error Type ]],$Q$5))</f>
        <v/>
      </c>
    </row>
    <row r="599" spans="15:15" x14ac:dyDescent="0.25">
      <c r="O599" s="20" t="str">
        <f>IF(N599="","",COUNTIFS(RawData[[Date ]],N599,RawData[Month List],$Q$6,RawData[Tour/Site],$Q$2,RawData[[Picker ID ]],$Q$3,RawData[Checker ID],$Q$4,RawData[[Error Type ]],$Q$5))</f>
        <v/>
      </c>
    </row>
    <row r="600" spans="15:15" x14ac:dyDescent="0.25">
      <c r="O600" s="20" t="str">
        <f>IF(N600="","",COUNTIFS(RawData[[Date ]],N600,RawData[Month List],$Q$6,RawData[Tour/Site],$Q$2,RawData[[Picker ID ]],$Q$3,RawData[Checker ID],$Q$4,RawData[[Error Type ]],$Q$5))</f>
        <v/>
      </c>
    </row>
    <row r="601" spans="15:15" x14ac:dyDescent="0.25">
      <c r="O601" s="20" t="str">
        <f>IF(N601="","",COUNTIFS(RawData[[Date ]],N601,RawData[Month List],$Q$6,RawData[Tour/Site],$Q$2,RawData[[Picker ID ]],$Q$3,RawData[Checker ID],$Q$4,RawData[[Error Type ]],$Q$5))</f>
        <v/>
      </c>
    </row>
    <row r="602" spans="15:15" x14ac:dyDescent="0.25">
      <c r="O602" s="20" t="str">
        <f>IF(N602="","",COUNTIFS(RawData[[Date ]],N602,RawData[Month List],$Q$6,RawData[Tour/Site],$Q$2,RawData[[Picker ID ]],$Q$3,RawData[Checker ID],$Q$4,RawData[[Error Type ]],$Q$5))</f>
        <v/>
      </c>
    </row>
    <row r="603" spans="15:15" x14ac:dyDescent="0.25">
      <c r="O603" s="20" t="str">
        <f>IF(N603="","",COUNTIFS(RawData[[Date ]],N603,RawData[Month List],$Q$6,RawData[Tour/Site],$Q$2,RawData[[Picker ID ]],$Q$3,RawData[Checker ID],$Q$4,RawData[[Error Type ]],$Q$5))</f>
        <v/>
      </c>
    </row>
    <row r="604" spans="15:15" x14ac:dyDescent="0.25">
      <c r="O604" s="20" t="str">
        <f>IF(N604="","",COUNTIFS(RawData[[Date ]],N604,RawData[Month List],$Q$6,RawData[Tour/Site],$Q$2,RawData[[Picker ID ]],$Q$3,RawData[Checker ID],$Q$4,RawData[[Error Type ]],$Q$5))</f>
        <v/>
      </c>
    </row>
    <row r="605" spans="15:15" x14ac:dyDescent="0.25">
      <c r="O605" s="20" t="str">
        <f>IF(N605="","",COUNTIFS(RawData[[Date ]],N605,RawData[Month List],$Q$6,RawData[Tour/Site],$Q$2,RawData[[Picker ID ]],$Q$3,RawData[Checker ID],$Q$4,RawData[[Error Type ]],$Q$5))</f>
        <v/>
      </c>
    </row>
    <row r="606" spans="15:15" x14ac:dyDescent="0.25">
      <c r="O606" s="20" t="str">
        <f>IF(N606="","",COUNTIFS(RawData[[Date ]],N606,RawData[Month List],$Q$6,RawData[Tour/Site],$Q$2,RawData[[Picker ID ]],$Q$3,RawData[Checker ID],$Q$4,RawData[[Error Type ]],$Q$5))</f>
        <v/>
      </c>
    </row>
    <row r="607" spans="15:15" x14ac:dyDescent="0.25">
      <c r="O607" s="20" t="str">
        <f>IF(N607="","",COUNTIFS(RawData[[Date ]],N607,RawData[Month List],$Q$6,RawData[Tour/Site],$Q$2,RawData[[Picker ID ]],$Q$3,RawData[Checker ID],$Q$4,RawData[[Error Type ]],$Q$5))</f>
        <v/>
      </c>
    </row>
    <row r="608" spans="15:15" x14ac:dyDescent="0.25">
      <c r="O608" s="20" t="str">
        <f>IF(N608="","",COUNTIFS(RawData[[Date ]],N608,RawData[Month List],$Q$6,RawData[Tour/Site],$Q$2,RawData[[Picker ID ]],$Q$3,RawData[Checker ID],$Q$4,RawData[[Error Type ]],$Q$5))</f>
        <v/>
      </c>
    </row>
    <row r="609" spans="15:15" x14ac:dyDescent="0.25">
      <c r="O609" s="20" t="str">
        <f>IF(N609="","",COUNTIFS(RawData[[Date ]],N609,RawData[Month List],$Q$6,RawData[Tour/Site],$Q$2,RawData[[Picker ID ]],$Q$3,RawData[Checker ID],$Q$4,RawData[[Error Type ]],$Q$5))</f>
        <v/>
      </c>
    </row>
    <row r="610" spans="15:15" x14ac:dyDescent="0.25">
      <c r="O610" s="20" t="str">
        <f>IF(N610="","",COUNTIFS(RawData[[Date ]],N610,RawData[Month List],$Q$6,RawData[Tour/Site],$Q$2,RawData[[Picker ID ]],$Q$3,RawData[Checker ID],$Q$4,RawData[[Error Type ]],$Q$5))</f>
        <v/>
      </c>
    </row>
    <row r="611" spans="15:15" x14ac:dyDescent="0.25">
      <c r="O611" s="20" t="str">
        <f>IF(N611="","",COUNTIFS(RawData[[Date ]],N611,RawData[Month List],$Q$6,RawData[Tour/Site],$Q$2,RawData[[Picker ID ]],$Q$3,RawData[Checker ID],$Q$4,RawData[[Error Type ]],$Q$5))</f>
        <v/>
      </c>
    </row>
    <row r="612" spans="15:15" x14ac:dyDescent="0.25">
      <c r="O612" s="20" t="str">
        <f>IF(N612="","",COUNTIFS(RawData[[Date ]],N612,RawData[Month List],$Q$6,RawData[Tour/Site],$Q$2,RawData[[Picker ID ]],$Q$3,RawData[Checker ID],$Q$4,RawData[[Error Type ]],$Q$5))</f>
        <v/>
      </c>
    </row>
    <row r="613" spans="15:15" x14ac:dyDescent="0.25">
      <c r="O613" s="20" t="str">
        <f>IF(N613="","",COUNTIFS(RawData[[Date ]],N613,RawData[Month List],$Q$6,RawData[Tour/Site],$Q$2,RawData[[Picker ID ]],$Q$3,RawData[Checker ID],$Q$4,RawData[[Error Type ]],$Q$5))</f>
        <v/>
      </c>
    </row>
    <row r="614" spans="15:15" x14ac:dyDescent="0.25">
      <c r="O614" s="20" t="str">
        <f>IF(N614="","",COUNTIFS(RawData[[Date ]],N614,RawData[Month List],$Q$6,RawData[Tour/Site],$Q$2,RawData[[Picker ID ]],$Q$3,RawData[Checker ID],$Q$4,RawData[[Error Type ]],$Q$5))</f>
        <v/>
      </c>
    </row>
    <row r="615" spans="15:15" x14ac:dyDescent="0.25">
      <c r="O615" s="20" t="str">
        <f>IF(N615="","",COUNTIFS(RawData[[Date ]],N615,RawData[Month List],$Q$6,RawData[Tour/Site],$Q$2,RawData[[Picker ID ]],$Q$3,RawData[Checker ID],$Q$4,RawData[[Error Type ]],$Q$5))</f>
        <v/>
      </c>
    </row>
    <row r="616" spans="15:15" x14ac:dyDescent="0.25">
      <c r="O616" s="20" t="str">
        <f>IF(N616="","",COUNTIFS(RawData[[Date ]],N616,RawData[Month List],$Q$6,RawData[Tour/Site],$Q$2,RawData[[Picker ID ]],$Q$3,RawData[Checker ID],$Q$4,RawData[[Error Type ]],$Q$5))</f>
        <v/>
      </c>
    </row>
    <row r="617" spans="15:15" x14ac:dyDescent="0.25">
      <c r="O617" s="20" t="str">
        <f>IF(N617="","",COUNTIFS(RawData[[Date ]],N617,RawData[Month List],$Q$6,RawData[Tour/Site],$Q$2,RawData[[Picker ID ]],$Q$3,RawData[Checker ID],$Q$4,RawData[[Error Type ]],$Q$5))</f>
        <v/>
      </c>
    </row>
    <row r="618" spans="15:15" x14ac:dyDescent="0.25">
      <c r="O618" s="20" t="str">
        <f>IF(N618="","",COUNTIFS(RawData[[Date ]],N618,RawData[Month List],$Q$6,RawData[Tour/Site],$Q$2,RawData[[Picker ID ]],$Q$3,RawData[Checker ID],$Q$4,RawData[[Error Type ]],$Q$5))</f>
        <v/>
      </c>
    </row>
    <row r="619" spans="15:15" x14ac:dyDescent="0.25">
      <c r="O619" s="20" t="str">
        <f>IF(N619="","",COUNTIFS(RawData[[Date ]],N619,RawData[Month List],$Q$6,RawData[Tour/Site],$Q$2,RawData[[Picker ID ]],$Q$3,RawData[Checker ID],$Q$4,RawData[[Error Type ]],$Q$5))</f>
        <v/>
      </c>
    </row>
    <row r="620" spans="15:15" x14ac:dyDescent="0.25">
      <c r="O620" s="20" t="str">
        <f>IF(N620="","",COUNTIFS(RawData[[Date ]],N620,RawData[Month List],$Q$6,RawData[Tour/Site],$Q$2,RawData[[Picker ID ]],$Q$3,RawData[Checker ID],$Q$4,RawData[[Error Type ]],$Q$5))</f>
        <v/>
      </c>
    </row>
    <row r="621" spans="15:15" x14ac:dyDescent="0.25">
      <c r="O621" s="20" t="str">
        <f>IF(N621="","",COUNTIFS(RawData[[Date ]],N621,RawData[Month List],$Q$6,RawData[Tour/Site],$Q$2,RawData[[Picker ID ]],$Q$3,RawData[Checker ID],$Q$4,RawData[[Error Type ]],$Q$5))</f>
        <v/>
      </c>
    </row>
    <row r="622" spans="15:15" x14ac:dyDescent="0.25">
      <c r="O622" s="20" t="str">
        <f>IF(N622="","",COUNTIFS(RawData[[Date ]],N622,RawData[Month List],$Q$6,RawData[Tour/Site],$Q$2,RawData[[Picker ID ]],$Q$3,RawData[Checker ID],$Q$4,RawData[[Error Type ]],$Q$5))</f>
        <v/>
      </c>
    </row>
    <row r="623" spans="15:15" x14ac:dyDescent="0.25">
      <c r="O623" s="20" t="str">
        <f>IF(N623="","",COUNTIFS(RawData[[Date ]],N623,RawData[Month List],$Q$6,RawData[Tour/Site],$Q$2,RawData[[Picker ID ]],$Q$3,RawData[Checker ID],$Q$4,RawData[[Error Type ]],$Q$5))</f>
        <v/>
      </c>
    </row>
    <row r="624" spans="15:15" x14ac:dyDescent="0.25">
      <c r="O624" s="20" t="str">
        <f>IF(N624="","",COUNTIFS(RawData[[Date ]],N624,RawData[Month List],$Q$6,RawData[Tour/Site],$Q$2,RawData[[Picker ID ]],$Q$3,RawData[Checker ID],$Q$4,RawData[[Error Type ]],$Q$5))</f>
        <v/>
      </c>
    </row>
    <row r="625" spans="15:15" x14ac:dyDescent="0.25">
      <c r="O625" s="20" t="str">
        <f>IF(N625="","",COUNTIFS(RawData[[Date ]],N625,RawData[Month List],$Q$6,RawData[Tour/Site],$Q$2,RawData[[Picker ID ]],$Q$3,RawData[Checker ID],$Q$4,RawData[[Error Type ]],$Q$5))</f>
        <v/>
      </c>
    </row>
    <row r="626" spans="15:15" x14ac:dyDescent="0.25">
      <c r="O626" s="20" t="str">
        <f>IF(N626="","",COUNTIFS(RawData[[Date ]],N626,RawData[Month List],$Q$6,RawData[Tour/Site],$Q$2,RawData[[Picker ID ]],$Q$3,RawData[Checker ID],$Q$4,RawData[[Error Type ]],$Q$5))</f>
        <v/>
      </c>
    </row>
    <row r="627" spans="15:15" x14ac:dyDescent="0.25">
      <c r="O627" s="20" t="str">
        <f>IF(N627="","",COUNTIFS(RawData[[Date ]],N627,RawData[Month List],$Q$6,RawData[Tour/Site],$Q$2,RawData[[Picker ID ]],$Q$3,RawData[Checker ID],$Q$4,RawData[[Error Type ]],$Q$5))</f>
        <v/>
      </c>
    </row>
    <row r="628" spans="15:15" x14ac:dyDescent="0.25">
      <c r="O628" s="20" t="str">
        <f>IF(N628="","",COUNTIFS(RawData[[Date ]],N628,RawData[Month List],$Q$6,RawData[Tour/Site],$Q$2,RawData[[Picker ID ]],$Q$3,RawData[Checker ID],$Q$4,RawData[[Error Type ]],$Q$5))</f>
        <v/>
      </c>
    </row>
    <row r="629" spans="15:15" x14ac:dyDescent="0.25">
      <c r="O629" s="20" t="str">
        <f>IF(N629="","",COUNTIFS(RawData[[Date ]],N629,RawData[Month List],$Q$6,RawData[Tour/Site],$Q$2,RawData[[Picker ID ]],$Q$3,RawData[Checker ID],$Q$4,RawData[[Error Type ]],$Q$5))</f>
        <v/>
      </c>
    </row>
    <row r="630" spans="15:15" x14ac:dyDescent="0.25">
      <c r="O630" s="20" t="str">
        <f>IF(N630="","",COUNTIFS(RawData[[Date ]],N630,RawData[Month List],$Q$6,RawData[Tour/Site],$Q$2,RawData[[Picker ID ]],$Q$3,RawData[Checker ID],$Q$4,RawData[[Error Type ]],$Q$5))</f>
        <v/>
      </c>
    </row>
    <row r="631" spans="15:15" x14ac:dyDescent="0.25">
      <c r="O631" s="20" t="str">
        <f>IF(N631="","",COUNTIFS(RawData[[Date ]],N631,RawData[Month List],$Q$6,RawData[Tour/Site],$Q$2,RawData[[Picker ID ]],$Q$3,RawData[Checker ID],$Q$4,RawData[[Error Type ]],$Q$5))</f>
        <v/>
      </c>
    </row>
    <row r="632" spans="15:15" x14ac:dyDescent="0.25">
      <c r="O632" s="20" t="str">
        <f>IF(N632="","",COUNTIFS(RawData[[Date ]],N632,RawData[Month List],$Q$6,RawData[Tour/Site],$Q$2,RawData[[Picker ID ]],$Q$3,RawData[Checker ID],$Q$4,RawData[[Error Type ]],$Q$5))</f>
        <v/>
      </c>
    </row>
    <row r="633" spans="15:15" x14ac:dyDescent="0.25">
      <c r="O633" s="20" t="str">
        <f>IF(N633="","",COUNTIFS(RawData[[Date ]],N633,RawData[Month List],$Q$6,RawData[Tour/Site],$Q$2,RawData[[Picker ID ]],$Q$3,RawData[Checker ID],$Q$4,RawData[[Error Type ]],$Q$5))</f>
        <v/>
      </c>
    </row>
    <row r="634" spans="15:15" x14ac:dyDescent="0.25">
      <c r="O634" s="20" t="str">
        <f>IF(N634="","",COUNTIFS(RawData[[Date ]],N634,RawData[Month List],$Q$6,RawData[Tour/Site],$Q$2,RawData[[Picker ID ]],$Q$3,RawData[Checker ID],$Q$4,RawData[[Error Type ]],$Q$5))</f>
        <v/>
      </c>
    </row>
    <row r="635" spans="15:15" x14ac:dyDescent="0.25">
      <c r="O635" s="20" t="str">
        <f>IF(N635="","",COUNTIFS(RawData[[Date ]],N635,RawData[Month List],$Q$6,RawData[Tour/Site],$Q$2,RawData[[Picker ID ]],$Q$3,RawData[Checker ID],$Q$4,RawData[[Error Type ]],$Q$5))</f>
        <v/>
      </c>
    </row>
    <row r="636" spans="15:15" x14ac:dyDescent="0.25">
      <c r="O636" s="20" t="str">
        <f>IF(N636="","",COUNTIFS(RawData[[Date ]],N636,RawData[Month List],$Q$6,RawData[Tour/Site],$Q$2,RawData[[Picker ID ]],$Q$3,RawData[Checker ID],$Q$4,RawData[[Error Type ]],$Q$5))</f>
        <v/>
      </c>
    </row>
    <row r="637" spans="15:15" x14ac:dyDescent="0.25">
      <c r="O637" s="20" t="str">
        <f>IF(N637="","",COUNTIFS(RawData[[Date ]],N637,RawData[Month List],$Q$6,RawData[Tour/Site],$Q$2,RawData[[Picker ID ]],$Q$3,RawData[Checker ID],$Q$4,RawData[[Error Type ]],$Q$5))</f>
        <v/>
      </c>
    </row>
    <row r="638" spans="15:15" x14ac:dyDescent="0.25">
      <c r="O638" s="20" t="str">
        <f>IF(N638="","",COUNTIFS(RawData[[Date ]],N638,RawData[Month List],$Q$6,RawData[Tour/Site],$Q$2,RawData[[Picker ID ]],$Q$3,RawData[Checker ID],$Q$4,RawData[[Error Type ]],$Q$5))</f>
        <v/>
      </c>
    </row>
    <row r="639" spans="15:15" x14ac:dyDescent="0.25">
      <c r="O639" s="20" t="str">
        <f>IF(N639="","",COUNTIFS(RawData[[Date ]],N639,RawData[Month List],$Q$6,RawData[Tour/Site],$Q$2,RawData[[Picker ID ]],$Q$3,RawData[Checker ID],$Q$4,RawData[[Error Type ]],$Q$5))</f>
        <v/>
      </c>
    </row>
    <row r="640" spans="15:15" x14ac:dyDescent="0.25">
      <c r="O640" s="20" t="str">
        <f>IF(N640="","",COUNTIFS(RawData[[Date ]],N640,RawData[Month List],$Q$6,RawData[Tour/Site],$Q$2,RawData[[Picker ID ]],$Q$3,RawData[Checker ID],$Q$4,RawData[[Error Type ]],$Q$5))</f>
        <v/>
      </c>
    </row>
    <row r="641" spans="15:15" x14ac:dyDescent="0.25">
      <c r="O641" s="20" t="str">
        <f>IF(N641="","",COUNTIFS(RawData[[Date ]],N641,RawData[Month List],$Q$6,RawData[Tour/Site],$Q$2,RawData[[Picker ID ]],$Q$3,RawData[Checker ID],$Q$4,RawData[[Error Type ]],$Q$5))</f>
        <v/>
      </c>
    </row>
    <row r="642" spans="15:15" x14ac:dyDescent="0.25">
      <c r="O642" s="20" t="str">
        <f>IF(N642="","",COUNTIFS(RawData[[Date ]],N642,RawData[Month List],$Q$6,RawData[Tour/Site],$Q$2,RawData[[Picker ID ]],$Q$3,RawData[Checker ID],$Q$4,RawData[[Error Type ]],$Q$5))</f>
        <v/>
      </c>
    </row>
    <row r="643" spans="15:15" x14ac:dyDescent="0.25">
      <c r="O643" s="20" t="str">
        <f>IF(N643="","",COUNTIFS(RawData[[Date ]],N643,RawData[Month List],$Q$6,RawData[Tour/Site],$Q$2,RawData[[Picker ID ]],$Q$3,RawData[Checker ID],$Q$4,RawData[[Error Type ]],$Q$5))</f>
        <v/>
      </c>
    </row>
    <row r="644" spans="15:15" x14ac:dyDescent="0.25">
      <c r="O644" s="20" t="str">
        <f>IF(N644="","",COUNTIFS(RawData[[Date ]],N644,RawData[Month List],$Q$6,RawData[Tour/Site],$Q$2,RawData[[Picker ID ]],$Q$3,RawData[Checker ID],$Q$4,RawData[[Error Type ]],$Q$5))</f>
        <v/>
      </c>
    </row>
    <row r="645" spans="15:15" x14ac:dyDescent="0.25">
      <c r="O645" s="20" t="str">
        <f>IF(N645="","",COUNTIFS(RawData[[Date ]],N645,RawData[Month List],$Q$6,RawData[Tour/Site],$Q$2,RawData[[Picker ID ]],$Q$3,RawData[Checker ID],$Q$4,RawData[[Error Type ]],$Q$5))</f>
        <v/>
      </c>
    </row>
    <row r="646" spans="15:15" x14ac:dyDescent="0.25">
      <c r="O646" s="20" t="str">
        <f>IF(N646="","",COUNTIFS(RawData[[Date ]],N646,RawData[Month List],$Q$6,RawData[Tour/Site],$Q$2,RawData[[Picker ID ]],$Q$3,RawData[Checker ID],$Q$4,RawData[[Error Type ]],$Q$5))</f>
        <v/>
      </c>
    </row>
    <row r="647" spans="15:15" x14ac:dyDescent="0.25">
      <c r="O647" s="20" t="str">
        <f>IF(N647="","",COUNTIFS(RawData[[Date ]],N647,RawData[Month List],$Q$6,RawData[Tour/Site],$Q$2,RawData[[Picker ID ]],$Q$3,RawData[Checker ID],$Q$4,RawData[[Error Type ]],$Q$5))</f>
        <v/>
      </c>
    </row>
    <row r="648" spans="15:15" x14ac:dyDescent="0.25">
      <c r="O648" s="20" t="str">
        <f>IF(N648="","",COUNTIFS(RawData[[Date ]],N648,RawData[Month List],$Q$6,RawData[Tour/Site],$Q$2,RawData[[Picker ID ]],$Q$3,RawData[Checker ID],$Q$4,RawData[[Error Type ]],$Q$5))</f>
        <v/>
      </c>
    </row>
    <row r="649" spans="15:15" x14ac:dyDescent="0.25">
      <c r="O649" s="20" t="str">
        <f>IF(N649="","",COUNTIFS(RawData[[Date ]],N649,RawData[Month List],$Q$6,RawData[Tour/Site],$Q$2,RawData[[Picker ID ]],$Q$3,RawData[Checker ID],$Q$4,RawData[[Error Type ]],$Q$5))</f>
        <v/>
      </c>
    </row>
    <row r="650" spans="15:15" x14ac:dyDescent="0.25">
      <c r="O650" s="20" t="str">
        <f>IF(N650="","",COUNTIFS(RawData[[Date ]],N650,RawData[Month List],$Q$6,RawData[Tour/Site],$Q$2,RawData[[Picker ID ]],$Q$3,RawData[Checker ID],$Q$4,RawData[[Error Type ]],$Q$5))</f>
        <v/>
      </c>
    </row>
    <row r="651" spans="15:15" x14ac:dyDescent="0.25">
      <c r="O651" s="20" t="str">
        <f>IF(N651="","",COUNTIFS(RawData[[Date ]],N651,RawData[Month List],$Q$6,RawData[Tour/Site],$Q$2,RawData[[Picker ID ]],$Q$3,RawData[Checker ID],$Q$4,RawData[[Error Type ]],$Q$5))</f>
        <v/>
      </c>
    </row>
    <row r="652" spans="15:15" x14ac:dyDescent="0.25">
      <c r="O652" s="20" t="str">
        <f>IF(N652="","",COUNTIFS(RawData[[Date ]],N652,RawData[Month List],$Q$6,RawData[Tour/Site],$Q$2,RawData[[Picker ID ]],$Q$3,RawData[Checker ID],$Q$4,RawData[[Error Type ]],$Q$5))</f>
        <v/>
      </c>
    </row>
    <row r="653" spans="15:15" x14ac:dyDescent="0.25">
      <c r="O653" s="20" t="str">
        <f>IF(N653="","",COUNTIFS(RawData[[Date ]],N653,RawData[Month List],$Q$6,RawData[Tour/Site],$Q$2,RawData[[Picker ID ]],$Q$3,RawData[Checker ID],$Q$4,RawData[[Error Type ]],$Q$5))</f>
        <v/>
      </c>
    </row>
    <row r="654" spans="15:15" x14ac:dyDescent="0.25">
      <c r="O654" s="20" t="str">
        <f>IF(N654="","",COUNTIFS(RawData[[Date ]],N654,RawData[Month List],$Q$6,RawData[Tour/Site],$Q$2,RawData[[Picker ID ]],$Q$3,RawData[Checker ID],$Q$4,RawData[[Error Type ]],$Q$5))</f>
        <v/>
      </c>
    </row>
    <row r="655" spans="15:15" x14ac:dyDescent="0.25">
      <c r="O655" s="20" t="str">
        <f>IF(N655="","",COUNTIFS(RawData[[Date ]],N655,RawData[Month List],$Q$6,RawData[Tour/Site],$Q$2,RawData[[Picker ID ]],$Q$3,RawData[Checker ID],$Q$4,RawData[[Error Type ]],$Q$5))</f>
        <v/>
      </c>
    </row>
    <row r="656" spans="15:15" x14ac:dyDescent="0.25">
      <c r="O656" s="20" t="str">
        <f>IF(N656="","",COUNTIFS(RawData[[Date ]],N656,RawData[Month List],$Q$6,RawData[Tour/Site],$Q$2,RawData[[Picker ID ]],$Q$3,RawData[Checker ID],$Q$4,RawData[[Error Type ]],$Q$5))</f>
        <v/>
      </c>
    </row>
    <row r="657" spans="15:15" x14ac:dyDescent="0.25">
      <c r="O657" s="20" t="str">
        <f>IF(N657="","",COUNTIFS(RawData[[Date ]],N657,RawData[Month List],$Q$6,RawData[Tour/Site],$Q$2,RawData[[Picker ID ]],$Q$3,RawData[Checker ID],$Q$4,RawData[[Error Type ]],$Q$5))</f>
        <v/>
      </c>
    </row>
    <row r="658" spans="15:15" x14ac:dyDescent="0.25">
      <c r="O658" s="20" t="str">
        <f>IF(N658="","",COUNTIFS(RawData[[Date ]],N658,RawData[Month List],$Q$6,RawData[Tour/Site],$Q$2,RawData[[Picker ID ]],$Q$3,RawData[Checker ID],$Q$4,RawData[[Error Type ]],$Q$5))</f>
        <v/>
      </c>
    </row>
    <row r="659" spans="15:15" x14ac:dyDescent="0.25">
      <c r="O659" s="20" t="str">
        <f>IF(N659="","",COUNTIFS(RawData[[Date ]],N659,RawData[Month List],$Q$6,RawData[Tour/Site],$Q$2,RawData[[Picker ID ]],$Q$3,RawData[Checker ID],$Q$4,RawData[[Error Type ]],$Q$5))</f>
        <v/>
      </c>
    </row>
    <row r="660" spans="15:15" x14ac:dyDescent="0.25">
      <c r="O660" s="20" t="str">
        <f>IF(N660="","",COUNTIFS(RawData[[Date ]],N660,RawData[Month List],$Q$6,RawData[Tour/Site],$Q$2,RawData[[Picker ID ]],$Q$3,RawData[Checker ID],$Q$4,RawData[[Error Type ]],$Q$5))</f>
        <v/>
      </c>
    </row>
    <row r="661" spans="15:15" x14ac:dyDescent="0.25">
      <c r="O661" s="20" t="str">
        <f>IF(N661="","",COUNTIFS(RawData[[Date ]],N661,RawData[Month List],$Q$6,RawData[Tour/Site],$Q$2,RawData[[Picker ID ]],$Q$3,RawData[Checker ID],$Q$4,RawData[[Error Type ]],$Q$5))</f>
        <v/>
      </c>
    </row>
    <row r="662" spans="15:15" x14ac:dyDescent="0.25">
      <c r="O662" s="20" t="str">
        <f>IF(N662="","",COUNTIFS(RawData[[Date ]],N662,RawData[Month List],$Q$6,RawData[Tour/Site],$Q$2,RawData[[Picker ID ]],$Q$3,RawData[Checker ID],$Q$4,RawData[[Error Type ]],$Q$5))</f>
        <v/>
      </c>
    </row>
    <row r="663" spans="15:15" x14ac:dyDescent="0.25">
      <c r="O663" s="20" t="str">
        <f>IF(N663="","",COUNTIFS(RawData[[Date ]],N663,RawData[Month List],$Q$6,RawData[Tour/Site],$Q$2,RawData[[Picker ID ]],$Q$3,RawData[Checker ID],$Q$4,RawData[[Error Type ]],$Q$5))</f>
        <v/>
      </c>
    </row>
    <row r="664" spans="15:15" x14ac:dyDescent="0.25">
      <c r="O664" s="20" t="str">
        <f>IF(N664="","",COUNTIFS(RawData[[Date ]],N664,RawData[Month List],$Q$6,RawData[Tour/Site],$Q$2,RawData[[Picker ID ]],$Q$3,RawData[Checker ID],$Q$4,RawData[[Error Type ]],$Q$5))</f>
        <v/>
      </c>
    </row>
    <row r="665" spans="15:15" x14ac:dyDescent="0.25">
      <c r="O665" s="20" t="str">
        <f>IF(N665="","",COUNTIFS(RawData[[Date ]],N665,RawData[Month List],$Q$6,RawData[Tour/Site],$Q$2,RawData[[Picker ID ]],$Q$3,RawData[Checker ID],$Q$4,RawData[[Error Type ]],$Q$5))</f>
        <v/>
      </c>
    </row>
    <row r="666" spans="15:15" x14ac:dyDescent="0.25">
      <c r="O666" s="20" t="str">
        <f>IF(N666="","",COUNTIFS(RawData[[Date ]],N666,RawData[Month List],$Q$6,RawData[Tour/Site],$Q$2,RawData[[Picker ID ]],$Q$3,RawData[Checker ID],$Q$4,RawData[[Error Type ]],$Q$5))</f>
        <v/>
      </c>
    </row>
    <row r="667" spans="15:15" x14ac:dyDescent="0.25">
      <c r="O667" s="20" t="str">
        <f>IF(N667="","",COUNTIFS(RawData[[Date ]],N667,RawData[Month List],$Q$6,RawData[Tour/Site],$Q$2,RawData[[Picker ID ]],$Q$3,RawData[Checker ID],$Q$4,RawData[[Error Type ]],$Q$5))</f>
        <v/>
      </c>
    </row>
    <row r="668" spans="15:15" x14ac:dyDescent="0.25">
      <c r="O668" s="20" t="str">
        <f>IF(N668="","",COUNTIFS(RawData[[Date ]],N668,RawData[Month List],$Q$6,RawData[Tour/Site],$Q$2,RawData[[Picker ID ]],$Q$3,RawData[Checker ID],$Q$4,RawData[[Error Type ]],$Q$5))</f>
        <v/>
      </c>
    </row>
    <row r="669" spans="15:15" x14ac:dyDescent="0.25">
      <c r="O669" s="20" t="str">
        <f>IF(N669="","",COUNTIFS(RawData[[Date ]],N669,RawData[Month List],$Q$6,RawData[Tour/Site],$Q$2,RawData[[Picker ID ]],$Q$3,RawData[Checker ID],$Q$4,RawData[[Error Type ]],$Q$5))</f>
        <v/>
      </c>
    </row>
    <row r="670" spans="15:15" x14ac:dyDescent="0.25">
      <c r="O670" s="20" t="str">
        <f>IF(N670="","",COUNTIFS(RawData[[Date ]],N670,RawData[Month List],$Q$6,RawData[Tour/Site],$Q$2,RawData[[Picker ID ]],$Q$3,RawData[Checker ID],$Q$4,RawData[[Error Type ]],$Q$5))</f>
        <v/>
      </c>
    </row>
    <row r="671" spans="15:15" x14ac:dyDescent="0.25">
      <c r="O671" s="20" t="str">
        <f>IF(N671="","",COUNTIFS(RawData[[Date ]],N671,RawData[Month List],$Q$6,RawData[Tour/Site],$Q$2,RawData[[Picker ID ]],$Q$3,RawData[Checker ID],$Q$4,RawData[[Error Type ]],$Q$5))</f>
        <v/>
      </c>
    </row>
    <row r="672" spans="15:15" x14ac:dyDescent="0.25">
      <c r="O672" s="20" t="str">
        <f>IF(N672="","",COUNTIFS(RawData[[Date ]],N672,RawData[Month List],$Q$6,RawData[Tour/Site],$Q$2,RawData[[Picker ID ]],$Q$3,RawData[Checker ID],$Q$4,RawData[[Error Type ]],$Q$5))</f>
        <v/>
      </c>
    </row>
    <row r="673" spans="15:15" x14ac:dyDescent="0.25">
      <c r="O673" s="20" t="str">
        <f>IF(N673="","",COUNTIFS(RawData[[Date ]],N673,RawData[Month List],$Q$6,RawData[Tour/Site],$Q$2,RawData[[Picker ID ]],$Q$3,RawData[Checker ID],$Q$4,RawData[[Error Type ]],$Q$5))</f>
        <v/>
      </c>
    </row>
    <row r="674" spans="15:15" x14ac:dyDescent="0.25">
      <c r="O674" s="20" t="str">
        <f>IF(N674="","",COUNTIFS(RawData[[Date ]],N674,RawData[Month List],$Q$6,RawData[Tour/Site],$Q$2,RawData[[Picker ID ]],$Q$3,RawData[Checker ID],$Q$4,RawData[[Error Type ]],$Q$5))</f>
        <v/>
      </c>
    </row>
    <row r="675" spans="15:15" x14ac:dyDescent="0.25">
      <c r="O675" s="20" t="str">
        <f>IF(N675="","",COUNTIFS(RawData[[Date ]],N675,RawData[Month List],$Q$6,RawData[Tour/Site],$Q$2,RawData[[Picker ID ]],$Q$3,RawData[Checker ID],$Q$4,RawData[[Error Type ]],$Q$5))</f>
        <v/>
      </c>
    </row>
    <row r="676" spans="15:15" x14ac:dyDescent="0.25">
      <c r="O676" s="20" t="str">
        <f>IF(N676="","",COUNTIFS(RawData[[Date ]],N676,RawData[Month List],$Q$6,RawData[Tour/Site],$Q$2,RawData[[Picker ID ]],$Q$3,RawData[Checker ID],$Q$4,RawData[[Error Type ]],$Q$5))</f>
        <v/>
      </c>
    </row>
    <row r="677" spans="15:15" x14ac:dyDescent="0.25">
      <c r="O677" s="20" t="str">
        <f>IF(N677="","",COUNTIFS(RawData[[Date ]],N677,RawData[Month List],$Q$6,RawData[Tour/Site],$Q$2,RawData[[Picker ID ]],$Q$3,RawData[Checker ID],$Q$4,RawData[[Error Type ]],$Q$5))</f>
        <v/>
      </c>
    </row>
    <row r="678" spans="15:15" x14ac:dyDescent="0.25">
      <c r="O678" s="20" t="str">
        <f>IF(N678="","",COUNTIFS(RawData[[Date ]],N678,RawData[Month List],$Q$6,RawData[Tour/Site],$Q$2,RawData[[Picker ID ]],$Q$3,RawData[Checker ID],$Q$4,RawData[[Error Type ]],$Q$5))</f>
        <v/>
      </c>
    </row>
    <row r="679" spans="15:15" x14ac:dyDescent="0.25">
      <c r="O679" s="20" t="str">
        <f>IF(N679="","",COUNTIFS(RawData[[Date ]],N679,RawData[Month List],$Q$6,RawData[Tour/Site],$Q$2,RawData[[Picker ID ]],$Q$3,RawData[Checker ID],$Q$4,RawData[[Error Type ]],$Q$5))</f>
        <v/>
      </c>
    </row>
    <row r="680" spans="15:15" x14ac:dyDescent="0.25">
      <c r="O680" s="20" t="str">
        <f>IF(N680="","",COUNTIFS(RawData[[Date ]],N680,RawData[Month List],$Q$6,RawData[Tour/Site],$Q$2,RawData[[Picker ID ]],$Q$3,RawData[Checker ID],$Q$4,RawData[[Error Type ]],$Q$5))</f>
        <v/>
      </c>
    </row>
    <row r="681" spans="15:15" x14ac:dyDescent="0.25">
      <c r="O681" s="20" t="str">
        <f>IF(N681="","",COUNTIFS(RawData[[Date ]],N681,RawData[Month List],$Q$6,RawData[Tour/Site],$Q$2,RawData[[Picker ID ]],$Q$3,RawData[Checker ID],$Q$4,RawData[[Error Type ]],$Q$5))</f>
        <v/>
      </c>
    </row>
    <row r="682" spans="15:15" x14ac:dyDescent="0.25">
      <c r="O682" s="20" t="str">
        <f>IF(N682="","",COUNTIFS(RawData[[Date ]],N682,RawData[Month List],$Q$6,RawData[Tour/Site],$Q$2,RawData[[Picker ID ]],$Q$3,RawData[Checker ID],$Q$4,RawData[[Error Type ]],$Q$5))</f>
        <v/>
      </c>
    </row>
    <row r="683" spans="15:15" x14ac:dyDescent="0.25">
      <c r="O683" s="20" t="str">
        <f>IF(N683="","",COUNTIFS(RawData[[Date ]],N683,RawData[Month List],$Q$6,RawData[Tour/Site],$Q$2,RawData[[Picker ID ]],$Q$3,RawData[Checker ID],$Q$4,RawData[[Error Type ]],$Q$5))</f>
        <v/>
      </c>
    </row>
    <row r="684" spans="15:15" x14ac:dyDescent="0.25">
      <c r="O684" s="20" t="str">
        <f>IF(N684="","",COUNTIFS(RawData[[Date ]],N684,RawData[Month List],$Q$6,RawData[Tour/Site],$Q$2,RawData[[Picker ID ]],$Q$3,RawData[Checker ID],$Q$4,RawData[[Error Type ]],$Q$5))</f>
        <v/>
      </c>
    </row>
    <row r="685" spans="15:15" x14ac:dyDescent="0.25">
      <c r="O685" s="20" t="str">
        <f>IF(N685="","",COUNTIFS(RawData[[Date ]],N685,RawData[Month List],$Q$6,RawData[Tour/Site],$Q$2,RawData[[Picker ID ]],$Q$3,RawData[Checker ID],$Q$4,RawData[[Error Type ]],$Q$5))</f>
        <v/>
      </c>
    </row>
    <row r="686" spans="15:15" x14ac:dyDescent="0.25">
      <c r="O686" s="20" t="str">
        <f>IF(N686="","",COUNTIFS(RawData[[Date ]],N686,RawData[Month List],$Q$6,RawData[Tour/Site],$Q$2,RawData[[Picker ID ]],$Q$3,RawData[Checker ID],$Q$4,RawData[[Error Type ]],$Q$5))</f>
        <v/>
      </c>
    </row>
    <row r="687" spans="15:15" x14ac:dyDescent="0.25">
      <c r="O687" s="20" t="str">
        <f>IF(N687="","",COUNTIFS(RawData[[Date ]],N687,RawData[Month List],$Q$6,RawData[Tour/Site],$Q$2,RawData[[Picker ID ]],$Q$3,RawData[Checker ID],$Q$4,RawData[[Error Type ]],$Q$5))</f>
        <v/>
      </c>
    </row>
    <row r="688" spans="15:15" x14ac:dyDescent="0.25">
      <c r="O688" s="20" t="str">
        <f>IF(N688="","",COUNTIFS(RawData[[Date ]],N688,RawData[Month List],$Q$6,RawData[Tour/Site],$Q$2,RawData[[Picker ID ]],$Q$3,RawData[Checker ID],$Q$4,RawData[[Error Type ]],$Q$5))</f>
        <v/>
      </c>
    </row>
    <row r="689" spans="15:15" x14ac:dyDescent="0.25">
      <c r="O689" s="20" t="str">
        <f>IF(N689="","",COUNTIFS(RawData[[Date ]],N689,RawData[Month List],$Q$6,RawData[Tour/Site],$Q$2,RawData[[Picker ID ]],$Q$3,RawData[Checker ID],$Q$4,RawData[[Error Type ]],$Q$5))</f>
        <v/>
      </c>
    </row>
    <row r="690" spans="15:15" x14ac:dyDescent="0.25">
      <c r="O690" s="20" t="str">
        <f>IF(N690="","",COUNTIFS(RawData[[Date ]],N690,RawData[Month List],$Q$6,RawData[Tour/Site],$Q$2,RawData[[Picker ID ]],$Q$3,RawData[Checker ID],$Q$4,RawData[[Error Type ]],$Q$5))</f>
        <v/>
      </c>
    </row>
    <row r="691" spans="15:15" x14ac:dyDescent="0.25">
      <c r="O691" s="20" t="str">
        <f>IF(N691="","",COUNTIFS(RawData[[Date ]],N691,RawData[Month List],$Q$6,RawData[Tour/Site],$Q$2,RawData[[Picker ID ]],$Q$3,RawData[Checker ID],$Q$4,RawData[[Error Type ]],$Q$5))</f>
        <v/>
      </c>
    </row>
    <row r="692" spans="15:15" x14ac:dyDescent="0.25">
      <c r="O692" s="20" t="str">
        <f>IF(N692="","",COUNTIFS(RawData[[Date ]],N692,RawData[Month List],$Q$6,RawData[Tour/Site],$Q$2,RawData[[Picker ID ]],$Q$3,RawData[Checker ID],$Q$4,RawData[[Error Type ]],$Q$5))</f>
        <v/>
      </c>
    </row>
    <row r="693" spans="15:15" x14ac:dyDescent="0.25">
      <c r="O693" s="20" t="str">
        <f>IF(N693="","",COUNTIFS(RawData[[Date ]],N693,RawData[Month List],$Q$6,RawData[Tour/Site],$Q$2,RawData[[Picker ID ]],$Q$3,RawData[Checker ID],$Q$4,RawData[[Error Type ]],$Q$5))</f>
        <v/>
      </c>
    </row>
    <row r="694" spans="15:15" x14ac:dyDescent="0.25">
      <c r="O694" s="20" t="str">
        <f>IF(N694="","",COUNTIFS(RawData[[Date ]],N694,RawData[Month List],$Q$6,RawData[Tour/Site],$Q$2,RawData[[Picker ID ]],$Q$3,RawData[Checker ID],$Q$4,RawData[[Error Type ]],$Q$5))</f>
        <v/>
      </c>
    </row>
    <row r="695" spans="15:15" x14ac:dyDescent="0.25">
      <c r="O695" s="20" t="str">
        <f>IF(N695="","",COUNTIFS(RawData[[Date ]],N695,RawData[Month List],$Q$6,RawData[Tour/Site],$Q$2,RawData[[Picker ID ]],$Q$3,RawData[Checker ID],$Q$4,RawData[[Error Type ]],$Q$5))</f>
        <v/>
      </c>
    </row>
    <row r="696" spans="15:15" x14ac:dyDescent="0.25">
      <c r="O696" s="20" t="str">
        <f>IF(N696="","",COUNTIFS(RawData[[Date ]],N696,RawData[Month List],$Q$6,RawData[Tour/Site],$Q$2,RawData[[Picker ID ]],$Q$3,RawData[Checker ID],$Q$4,RawData[[Error Type ]],$Q$5))</f>
        <v/>
      </c>
    </row>
    <row r="697" spans="15:15" x14ac:dyDescent="0.25">
      <c r="O697" s="20" t="str">
        <f>IF(N697="","",COUNTIFS(RawData[[Date ]],N697,RawData[Month List],$Q$6,RawData[Tour/Site],$Q$2,RawData[[Picker ID ]],$Q$3,RawData[Checker ID],$Q$4,RawData[[Error Type ]],$Q$5))</f>
        <v/>
      </c>
    </row>
    <row r="698" spans="15:15" x14ac:dyDescent="0.25">
      <c r="O698" s="20" t="str">
        <f>IF(N698="","",COUNTIFS(RawData[[Date ]],N698,RawData[Month List],$Q$6,RawData[Tour/Site],$Q$2,RawData[[Picker ID ]],$Q$3,RawData[Checker ID],$Q$4,RawData[[Error Type ]],$Q$5))</f>
        <v/>
      </c>
    </row>
    <row r="699" spans="15:15" x14ac:dyDescent="0.25">
      <c r="O699" s="20" t="str">
        <f>IF(N699="","",COUNTIFS(RawData[[Date ]],N699,RawData[Month List],$Q$6,RawData[Tour/Site],$Q$2,RawData[[Picker ID ]],$Q$3,RawData[Checker ID],$Q$4,RawData[[Error Type ]],$Q$5))</f>
        <v/>
      </c>
    </row>
    <row r="700" spans="15:15" x14ac:dyDescent="0.25">
      <c r="O700" s="20" t="str">
        <f>IF(N700="","",COUNTIFS(RawData[[Date ]],N700,RawData[Month List],$Q$6,RawData[Tour/Site],$Q$2,RawData[[Picker ID ]],$Q$3,RawData[Checker ID],$Q$4,RawData[[Error Type ]],$Q$5))</f>
        <v/>
      </c>
    </row>
    <row r="701" spans="15:15" x14ac:dyDescent="0.25">
      <c r="O701" s="20" t="str">
        <f>IF(N701="","",COUNTIFS(RawData[[Date ]],N701,RawData[Month List],$Q$6,RawData[Tour/Site],$Q$2,RawData[[Picker ID ]],$Q$3,RawData[Checker ID],$Q$4,RawData[[Error Type ]],$Q$5))</f>
        <v/>
      </c>
    </row>
    <row r="702" spans="15:15" x14ac:dyDescent="0.25">
      <c r="O702" s="20" t="str">
        <f>IF(N702="","",COUNTIFS(RawData[[Date ]],N702,RawData[Month List],$Q$6,RawData[Tour/Site],$Q$2,RawData[[Picker ID ]],$Q$3,RawData[Checker ID],$Q$4,RawData[[Error Type ]],$Q$5))</f>
        <v/>
      </c>
    </row>
    <row r="703" spans="15:15" x14ac:dyDescent="0.25">
      <c r="O703" s="20" t="str">
        <f>IF(N703="","",COUNTIFS(RawData[[Date ]],N703,RawData[Month List],$Q$6,RawData[Tour/Site],$Q$2,RawData[[Picker ID ]],$Q$3,RawData[Checker ID],$Q$4,RawData[[Error Type ]],$Q$5))</f>
        <v/>
      </c>
    </row>
    <row r="704" spans="15:15" x14ac:dyDescent="0.25">
      <c r="O704" s="20" t="str">
        <f>IF(N704="","",COUNTIFS(RawData[[Date ]],N704,RawData[Month List],$Q$6,RawData[Tour/Site],$Q$2,RawData[[Picker ID ]],$Q$3,RawData[Checker ID],$Q$4,RawData[[Error Type ]],$Q$5))</f>
        <v/>
      </c>
    </row>
    <row r="705" spans="15:15" x14ac:dyDescent="0.25">
      <c r="O705" s="20" t="str">
        <f>IF(N705="","",COUNTIFS(RawData[[Date ]],N705,RawData[Month List],$Q$6,RawData[Tour/Site],$Q$2,RawData[[Picker ID ]],$Q$3,RawData[Checker ID],$Q$4,RawData[[Error Type ]],$Q$5))</f>
        <v/>
      </c>
    </row>
    <row r="706" spans="15:15" x14ac:dyDescent="0.25">
      <c r="O706" s="20" t="str">
        <f>IF(N706="","",COUNTIFS(RawData[[Date ]],N706,RawData[Month List],$Q$6,RawData[Tour/Site],$Q$2,RawData[[Picker ID ]],$Q$3,RawData[Checker ID],$Q$4,RawData[[Error Type ]],$Q$5))</f>
        <v/>
      </c>
    </row>
    <row r="707" spans="15:15" x14ac:dyDescent="0.25">
      <c r="O707" s="20" t="str">
        <f>IF(N707="","",COUNTIFS(RawData[[Date ]],N707,RawData[Month List],$Q$6,RawData[Tour/Site],$Q$2,RawData[[Picker ID ]],$Q$3,RawData[Checker ID],$Q$4,RawData[[Error Type ]],$Q$5))</f>
        <v/>
      </c>
    </row>
    <row r="708" spans="15:15" x14ac:dyDescent="0.25">
      <c r="O708" s="20" t="str">
        <f>IF(N708="","",COUNTIFS(RawData[[Date ]],N708,RawData[Month List],$Q$6,RawData[Tour/Site],$Q$2,RawData[[Picker ID ]],$Q$3,RawData[Checker ID],$Q$4,RawData[[Error Type ]],$Q$5))</f>
        <v/>
      </c>
    </row>
    <row r="709" spans="15:15" x14ac:dyDescent="0.25">
      <c r="O709" s="20" t="str">
        <f>IF(N709="","",COUNTIFS(RawData[[Date ]],N709,RawData[Month List],$Q$6,RawData[Tour/Site],$Q$2,RawData[[Picker ID ]],$Q$3,RawData[Checker ID],$Q$4,RawData[[Error Type ]],$Q$5))</f>
        <v/>
      </c>
    </row>
    <row r="710" spans="15:15" x14ac:dyDescent="0.25">
      <c r="O710" s="20" t="str">
        <f>IF(N710="","",COUNTIFS(RawData[[Date ]],N710,RawData[Month List],$Q$6,RawData[Tour/Site],$Q$2,RawData[[Picker ID ]],$Q$3,RawData[Checker ID],$Q$4,RawData[[Error Type ]],$Q$5))</f>
        <v/>
      </c>
    </row>
    <row r="711" spans="15:15" x14ac:dyDescent="0.25">
      <c r="O711" s="20" t="str">
        <f>IF(N711="","",COUNTIFS(RawData[[Date ]],N711,RawData[Month List],$Q$6,RawData[Tour/Site],$Q$2,RawData[[Picker ID ]],$Q$3,RawData[Checker ID],$Q$4,RawData[[Error Type ]],$Q$5))</f>
        <v/>
      </c>
    </row>
    <row r="712" spans="15:15" x14ac:dyDescent="0.25">
      <c r="O712" s="20" t="str">
        <f>IF(N712="","",COUNTIFS(RawData[[Date ]],N712,RawData[Month List],$Q$6,RawData[Tour/Site],$Q$2,RawData[[Picker ID ]],$Q$3,RawData[Checker ID],$Q$4,RawData[[Error Type ]],$Q$5))</f>
        <v/>
      </c>
    </row>
    <row r="713" spans="15:15" x14ac:dyDescent="0.25">
      <c r="O713" s="20" t="str">
        <f>IF(N713="","",COUNTIFS(RawData[[Date ]],N713,RawData[Month List],$Q$6,RawData[Tour/Site],$Q$2,RawData[[Picker ID ]],$Q$3,RawData[Checker ID],$Q$4,RawData[[Error Type ]],$Q$5))</f>
        <v/>
      </c>
    </row>
    <row r="714" spans="15:15" x14ac:dyDescent="0.25">
      <c r="O714" s="20" t="str">
        <f>IF(N714="","",COUNTIFS(RawData[[Date ]],N714,RawData[Month List],$Q$6,RawData[Tour/Site],$Q$2,RawData[[Picker ID ]],$Q$3,RawData[Checker ID],$Q$4,RawData[[Error Type ]],$Q$5))</f>
        <v/>
      </c>
    </row>
    <row r="715" spans="15:15" x14ac:dyDescent="0.25">
      <c r="O715" s="20" t="str">
        <f>IF(N715="","",COUNTIFS(RawData[[Date ]],N715,RawData[Month List],$Q$6,RawData[Tour/Site],$Q$2,RawData[[Picker ID ]],$Q$3,RawData[Checker ID],$Q$4,RawData[[Error Type ]],$Q$5))</f>
        <v/>
      </c>
    </row>
    <row r="716" spans="15:15" x14ac:dyDescent="0.25">
      <c r="O716" s="20" t="str">
        <f>IF(N716="","",COUNTIFS(RawData[[Date ]],N716,RawData[Month List],$Q$6,RawData[Tour/Site],$Q$2,RawData[[Picker ID ]],$Q$3,RawData[Checker ID],$Q$4,RawData[[Error Type ]],$Q$5))</f>
        <v/>
      </c>
    </row>
    <row r="717" spans="15:15" x14ac:dyDescent="0.25">
      <c r="O717" s="20" t="str">
        <f>IF(N717="","",COUNTIFS(RawData[[Date ]],N717,RawData[Month List],$Q$6,RawData[Tour/Site],$Q$2,RawData[[Picker ID ]],$Q$3,RawData[Checker ID],$Q$4,RawData[[Error Type ]],$Q$5))</f>
        <v/>
      </c>
    </row>
    <row r="718" spans="15:15" x14ac:dyDescent="0.25">
      <c r="O718" s="20" t="str">
        <f>IF(N718="","",COUNTIFS(RawData[[Date ]],N718,RawData[Month List],$Q$6,RawData[Tour/Site],$Q$2,RawData[[Picker ID ]],$Q$3,RawData[Checker ID],$Q$4,RawData[[Error Type ]],$Q$5))</f>
        <v/>
      </c>
    </row>
    <row r="719" spans="15:15" x14ac:dyDescent="0.25">
      <c r="O719" s="20" t="str">
        <f>IF(N719="","",COUNTIFS(RawData[[Date ]],N719,RawData[Month List],$Q$6,RawData[Tour/Site],$Q$2,RawData[[Picker ID ]],$Q$3,RawData[Checker ID],$Q$4,RawData[[Error Type ]],$Q$5))</f>
        <v/>
      </c>
    </row>
    <row r="720" spans="15:15" x14ac:dyDescent="0.25">
      <c r="O720" s="20" t="str">
        <f>IF(N720="","",COUNTIFS(RawData[[Date ]],N720,RawData[Month List],$Q$6,RawData[Tour/Site],$Q$2,RawData[[Picker ID ]],$Q$3,RawData[Checker ID],$Q$4,RawData[[Error Type ]],$Q$5))</f>
        <v/>
      </c>
    </row>
    <row r="721" spans="15:15" x14ac:dyDescent="0.25">
      <c r="O721" s="20" t="str">
        <f>IF(N721="","",COUNTIFS(RawData[[Date ]],N721,RawData[Month List],$Q$6,RawData[Tour/Site],$Q$2,RawData[[Picker ID ]],$Q$3,RawData[Checker ID],$Q$4,RawData[[Error Type ]],$Q$5))</f>
        <v/>
      </c>
    </row>
    <row r="722" spans="15:15" x14ac:dyDescent="0.25">
      <c r="O722" s="20" t="str">
        <f>IF(N722="","",COUNTIFS(RawData[[Date ]],N722,RawData[Month List],$Q$6,RawData[Tour/Site],$Q$2,RawData[[Picker ID ]],$Q$3,RawData[Checker ID],$Q$4,RawData[[Error Type ]],$Q$5))</f>
        <v/>
      </c>
    </row>
    <row r="723" spans="15:15" x14ac:dyDescent="0.25">
      <c r="O723" s="20" t="str">
        <f>IF(N723="","",COUNTIFS(RawData[[Date ]],N723,RawData[Month List],$Q$6,RawData[Tour/Site],$Q$2,RawData[[Picker ID ]],$Q$3,RawData[Checker ID],$Q$4,RawData[[Error Type ]],$Q$5))</f>
        <v/>
      </c>
    </row>
    <row r="724" spans="15:15" x14ac:dyDescent="0.25">
      <c r="O724" s="20" t="str">
        <f>IF(N724="","",COUNTIFS(RawData[[Date ]],N724,RawData[Month List],$Q$6,RawData[Tour/Site],$Q$2,RawData[[Picker ID ]],$Q$3,RawData[Checker ID],$Q$4,RawData[[Error Type ]],$Q$5))</f>
        <v/>
      </c>
    </row>
    <row r="725" spans="15:15" x14ac:dyDescent="0.25">
      <c r="O725" s="20" t="str">
        <f>IF(N725="","",COUNTIFS(RawData[[Date ]],N725,RawData[Month List],$Q$6,RawData[Tour/Site],$Q$2,RawData[[Picker ID ]],$Q$3,RawData[Checker ID],$Q$4,RawData[[Error Type ]],$Q$5))</f>
        <v/>
      </c>
    </row>
    <row r="726" spans="15:15" x14ac:dyDescent="0.25">
      <c r="O726" s="20" t="str">
        <f>IF(N726="","",COUNTIFS(RawData[[Date ]],N726,RawData[Month List],$Q$6,RawData[Tour/Site],$Q$2,RawData[[Picker ID ]],$Q$3,RawData[Checker ID],$Q$4,RawData[[Error Type ]],$Q$5))</f>
        <v/>
      </c>
    </row>
    <row r="727" spans="15:15" x14ac:dyDescent="0.25">
      <c r="O727" s="20" t="str">
        <f>IF(N727="","",COUNTIFS(RawData[[Date ]],N727,RawData[Month List],$Q$6,RawData[Tour/Site],$Q$2,RawData[[Picker ID ]],$Q$3,RawData[Checker ID],$Q$4,RawData[[Error Type ]],$Q$5))</f>
        <v/>
      </c>
    </row>
    <row r="728" spans="15:15" x14ac:dyDescent="0.25">
      <c r="O728" s="20" t="str">
        <f>IF(N728="","",COUNTIFS(RawData[[Date ]],N728,RawData[Month List],$Q$6,RawData[Tour/Site],$Q$2,RawData[[Picker ID ]],$Q$3,RawData[Checker ID],$Q$4,RawData[[Error Type ]],$Q$5))</f>
        <v/>
      </c>
    </row>
    <row r="729" spans="15:15" x14ac:dyDescent="0.25">
      <c r="O729" s="20" t="str">
        <f>IF(N729="","",COUNTIFS(RawData[[Date ]],N729,RawData[Month List],$Q$6,RawData[Tour/Site],$Q$2,RawData[[Picker ID ]],$Q$3,RawData[Checker ID],$Q$4,RawData[[Error Type ]],$Q$5))</f>
        <v/>
      </c>
    </row>
    <row r="730" spans="15:15" x14ac:dyDescent="0.25">
      <c r="O730" s="20" t="str">
        <f>IF(N730="","",COUNTIFS(RawData[[Date ]],N730,RawData[Month List],$Q$6,RawData[Tour/Site],$Q$2,RawData[[Picker ID ]],$Q$3,RawData[Checker ID],$Q$4,RawData[[Error Type ]],$Q$5))</f>
        <v/>
      </c>
    </row>
    <row r="731" spans="15:15" x14ac:dyDescent="0.25">
      <c r="O731" s="20" t="str">
        <f>IF(N731="","",COUNTIFS(RawData[[Date ]],N731,RawData[Month List],$Q$6,RawData[Tour/Site],$Q$2,RawData[[Picker ID ]],$Q$3,RawData[Checker ID],$Q$4,RawData[[Error Type ]],$Q$5))</f>
        <v/>
      </c>
    </row>
    <row r="732" spans="15:15" x14ac:dyDescent="0.25">
      <c r="O732" s="20" t="str">
        <f>IF(N732="","",COUNTIFS(RawData[[Date ]],N732,RawData[Month List],$Q$6,RawData[Tour/Site],$Q$2,RawData[[Picker ID ]],$Q$3,RawData[Checker ID],$Q$4,RawData[[Error Type ]],$Q$5))</f>
        <v/>
      </c>
    </row>
    <row r="733" spans="15:15" x14ac:dyDescent="0.25">
      <c r="O733" s="20" t="str">
        <f>IF(N733="","",COUNTIFS(RawData[[Date ]],N733,RawData[Month List],$Q$6,RawData[Tour/Site],$Q$2,RawData[[Picker ID ]],$Q$3,RawData[Checker ID],$Q$4,RawData[[Error Type ]],$Q$5))</f>
        <v/>
      </c>
    </row>
    <row r="734" spans="15:15" x14ac:dyDescent="0.25">
      <c r="O734" s="20" t="str">
        <f>IF(N734="","",COUNTIFS(RawData[[Date ]],N734,RawData[Month List],$Q$6,RawData[Tour/Site],$Q$2,RawData[[Picker ID ]],$Q$3,RawData[Checker ID],$Q$4,RawData[[Error Type ]],$Q$5))</f>
        <v/>
      </c>
    </row>
    <row r="735" spans="15:15" x14ac:dyDescent="0.25">
      <c r="O735" s="20" t="str">
        <f>IF(N735="","",COUNTIFS(RawData[[Date ]],N735,RawData[Month List],$Q$6,RawData[Tour/Site],$Q$2,RawData[[Picker ID ]],$Q$3,RawData[Checker ID],$Q$4,RawData[[Error Type ]],$Q$5))</f>
        <v/>
      </c>
    </row>
    <row r="736" spans="15:15" x14ac:dyDescent="0.25">
      <c r="O736" s="20" t="str">
        <f>IF(N736="","",COUNTIFS(RawData[[Date ]],N736,RawData[Month List],$Q$6,RawData[Tour/Site],$Q$2,RawData[[Picker ID ]],$Q$3,RawData[Checker ID],$Q$4,RawData[[Error Type ]],$Q$5))</f>
        <v/>
      </c>
    </row>
    <row r="737" spans="15:15" x14ac:dyDescent="0.25">
      <c r="O737" s="20" t="str">
        <f>IF(N737="","",COUNTIFS(RawData[[Date ]],N737,RawData[Month List],$Q$6,RawData[Tour/Site],$Q$2,RawData[[Picker ID ]],$Q$3,RawData[Checker ID],$Q$4,RawData[[Error Type ]],$Q$5))</f>
        <v/>
      </c>
    </row>
    <row r="738" spans="15:15" x14ac:dyDescent="0.25">
      <c r="O738" s="20" t="str">
        <f>IF(N738="","",COUNTIFS(RawData[[Date ]],N738,RawData[Month List],$Q$6,RawData[Tour/Site],$Q$2,RawData[[Picker ID ]],$Q$3,RawData[Checker ID],$Q$4,RawData[[Error Type ]],$Q$5))</f>
        <v/>
      </c>
    </row>
    <row r="739" spans="15:15" x14ac:dyDescent="0.25">
      <c r="O739" s="20" t="str">
        <f>IF(N739="","",COUNTIFS(RawData[[Date ]],N739,RawData[Month List],$Q$6,RawData[Tour/Site],$Q$2,RawData[[Picker ID ]],$Q$3,RawData[Checker ID],$Q$4,RawData[[Error Type ]],$Q$5))</f>
        <v/>
      </c>
    </row>
    <row r="740" spans="15:15" x14ac:dyDescent="0.25">
      <c r="O740" s="20" t="str">
        <f>IF(N740="","",COUNTIFS(RawData[[Date ]],N740,RawData[Month List],$Q$6,RawData[Tour/Site],$Q$2,RawData[[Picker ID ]],$Q$3,RawData[Checker ID],$Q$4,RawData[[Error Type ]],$Q$5))</f>
        <v/>
      </c>
    </row>
    <row r="741" spans="15:15" x14ac:dyDescent="0.25">
      <c r="O741" s="20" t="str">
        <f>IF(N741="","",COUNTIFS(RawData[[Date ]],N741,RawData[Month List],$Q$6,RawData[Tour/Site],$Q$2,RawData[[Picker ID ]],$Q$3,RawData[Checker ID],$Q$4,RawData[[Error Type ]],$Q$5))</f>
        <v/>
      </c>
    </row>
    <row r="742" spans="15:15" x14ac:dyDescent="0.25">
      <c r="O742" s="20" t="str">
        <f>IF(N742="","",COUNTIFS(RawData[[Date ]],N742,RawData[Month List],$Q$6,RawData[Tour/Site],$Q$2,RawData[[Picker ID ]],$Q$3,RawData[Checker ID],$Q$4,RawData[[Error Type ]],$Q$5))</f>
        <v/>
      </c>
    </row>
    <row r="743" spans="15:15" x14ac:dyDescent="0.25">
      <c r="O743" s="20" t="str">
        <f>IF(N743="","",COUNTIFS(RawData[[Date ]],N743,RawData[Month List],$Q$6,RawData[Tour/Site],$Q$2,RawData[[Picker ID ]],$Q$3,RawData[Checker ID],$Q$4,RawData[[Error Type ]],$Q$5))</f>
        <v/>
      </c>
    </row>
    <row r="744" spans="15:15" x14ac:dyDescent="0.25">
      <c r="O744" s="20" t="str">
        <f>IF(N744="","",COUNTIFS(RawData[[Date ]],N744,RawData[Month List],$Q$6,RawData[Tour/Site],$Q$2,RawData[[Picker ID ]],$Q$3,RawData[Checker ID],$Q$4,RawData[[Error Type ]],$Q$5))</f>
        <v/>
      </c>
    </row>
    <row r="745" spans="15:15" x14ac:dyDescent="0.25">
      <c r="O745" s="20" t="str">
        <f>IF(N745="","",COUNTIFS(RawData[[Date ]],N745,RawData[Month List],$Q$6,RawData[Tour/Site],$Q$2,RawData[[Picker ID ]],$Q$3,RawData[Checker ID],$Q$4,RawData[[Error Type ]],$Q$5))</f>
        <v/>
      </c>
    </row>
    <row r="746" spans="15:15" x14ac:dyDescent="0.25">
      <c r="O746" s="20" t="str">
        <f>IF(N746="","",COUNTIFS(RawData[[Date ]],N746,RawData[Month List],$Q$6,RawData[Tour/Site],$Q$2,RawData[[Picker ID ]],$Q$3,RawData[Checker ID],$Q$4,RawData[[Error Type ]],$Q$5))</f>
        <v/>
      </c>
    </row>
    <row r="747" spans="15:15" x14ac:dyDescent="0.25">
      <c r="O747" s="20" t="str">
        <f>IF(N747="","",COUNTIFS(RawData[[Date ]],N747,RawData[Month List],$Q$6,RawData[Tour/Site],$Q$2,RawData[[Picker ID ]],$Q$3,RawData[Checker ID],$Q$4,RawData[[Error Type ]],$Q$5))</f>
        <v/>
      </c>
    </row>
    <row r="748" spans="15:15" x14ac:dyDescent="0.25">
      <c r="O748" s="20" t="str">
        <f>IF(N748="","",COUNTIFS(RawData[[Date ]],N748,RawData[Month List],$Q$6,RawData[Tour/Site],$Q$2,RawData[[Picker ID ]],$Q$3,RawData[Checker ID],$Q$4,RawData[[Error Type ]],$Q$5))</f>
        <v/>
      </c>
    </row>
    <row r="749" spans="15:15" x14ac:dyDescent="0.25">
      <c r="O749" s="20" t="str">
        <f>IF(N749="","",COUNTIFS(RawData[[Date ]],N749,RawData[Month List],$Q$6,RawData[Tour/Site],$Q$2,RawData[[Picker ID ]],$Q$3,RawData[Checker ID],$Q$4,RawData[[Error Type ]],$Q$5))</f>
        <v/>
      </c>
    </row>
    <row r="750" spans="15:15" x14ac:dyDescent="0.25">
      <c r="O750" s="20" t="str">
        <f>IF(N750="","",COUNTIFS(RawData[[Date ]],N750,RawData[Month List],$Q$6,RawData[Tour/Site],$Q$2,RawData[[Picker ID ]],$Q$3,RawData[Checker ID],$Q$4,RawData[[Error Type ]],$Q$5))</f>
        <v/>
      </c>
    </row>
    <row r="751" spans="15:15" x14ac:dyDescent="0.25">
      <c r="O751" s="20" t="str">
        <f>IF(N751="","",COUNTIFS(RawData[[Date ]],N751,RawData[Month List],$Q$6,RawData[Tour/Site],$Q$2,RawData[[Picker ID ]],$Q$3,RawData[Checker ID],$Q$4,RawData[[Error Type ]],$Q$5))</f>
        <v/>
      </c>
    </row>
    <row r="752" spans="15:15" x14ac:dyDescent="0.25">
      <c r="O752" s="20" t="str">
        <f>IF(N752="","",COUNTIFS(RawData[[Date ]],N752,RawData[Month List],$Q$6,RawData[Tour/Site],$Q$2,RawData[[Picker ID ]],$Q$3,RawData[Checker ID],$Q$4,RawData[[Error Type ]],$Q$5))</f>
        <v/>
      </c>
    </row>
    <row r="753" spans="15:15" x14ac:dyDescent="0.25">
      <c r="O753" s="20" t="str">
        <f>IF(N753="","",COUNTIFS(RawData[[Date ]],N753,RawData[Month List],$Q$6,RawData[Tour/Site],$Q$2,RawData[[Picker ID ]],$Q$3,RawData[Checker ID],$Q$4,RawData[[Error Type ]],$Q$5))</f>
        <v/>
      </c>
    </row>
    <row r="754" spans="15:15" x14ac:dyDescent="0.25">
      <c r="O754" s="20" t="str">
        <f>IF(N754="","",COUNTIFS(RawData[[Date ]],N754,RawData[Month List],$Q$6,RawData[Tour/Site],$Q$2,RawData[[Picker ID ]],$Q$3,RawData[Checker ID],$Q$4,RawData[[Error Type ]],$Q$5))</f>
        <v/>
      </c>
    </row>
    <row r="755" spans="15:15" x14ac:dyDescent="0.25">
      <c r="O755" s="20" t="str">
        <f>IF(N755="","",COUNTIFS(RawData[[Date ]],N755,RawData[Month List],$Q$6,RawData[Tour/Site],$Q$2,RawData[[Picker ID ]],$Q$3,RawData[Checker ID],$Q$4,RawData[[Error Type ]],$Q$5))</f>
        <v/>
      </c>
    </row>
    <row r="756" spans="15:15" x14ac:dyDescent="0.25">
      <c r="O756" s="20" t="str">
        <f>IF(N756="","",COUNTIFS(RawData[[Date ]],N756,RawData[Month List],$Q$6,RawData[Tour/Site],$Q$2,RawData[[Picker ID ]],$Q$3,RawData[Checker ID],$Q$4,RawData[[Error Type ]],$Q$5))</f>
        <v/>
      </c>
    </row>
    <row r="757" spans="15:15" x14ac:dyDescent="0.25">
      <c r="O757" s="20" t="str">
        <f>IF(N757="","",COUNTIFS(RawData[[Date ]],N757,RawData[Month List],$Q$6,RawData[Tour/Site],$Q$2,RawData[[Picker ID ]],$Q$3,RawData[Checker ID],$Q$4,RawData[[Error Type ]],$Q$5))</f>
        <v/>
      </c>
    </row>
    <row r="758" spans="15:15" x14ac:dyDescent="0.25">
      <c r="O758" s="20" t="str">
        <f>IF(N758="","",COUNTIFS(RawData[[Date ]],N758,RawData[Month List],$Q$6,RawData[Tour/Site],$Q$2,RawData[[Picker ID ]],$Q$3,RawData[Checker ID],$Q$4,RawData[[Error Type ]],$Q$5))</f>
        <v/>
      </c>
    </row>
    <row r="759" spans="15:15" x14ac:dyDescent="0.25">
      <c r="O759" s="20" t="str">
        <f>IF(N759="","",COUNTIFS(RawData[[Date ]],N759,RawData[Month List],$Q$6,RawData[Tour/Site],$Q$2,RawData[[Picker ID ]],$Q$3,RawData[Checker ID],$Q$4,RawData[[Error Type ]],$Q$5))</f>
        <v/>
      </c>
    </row>
    <row r="760" spans="15:15" x14ac:dyDescent="0.25">
      <c r="O760" s="20" t="str">
        <f>IF(N760="","",COUNTIFS(RawData[[Date ]],N760,RawData[Month List],$Q$6,RawData[Tour/Site],$Q$2,RawData[[Picker ID ]],$Q$3,RawData[Checker ID],$Q$4,RawData[[Error Type ]],$Q$5))</f>
        <v/>
      </c>
    </row>
    <row r="761" spans="15:15" x14ac:dyDescent="0.25">
      <c r="O761" s="20" t="str">
        <f>IF(N761="","",COUNTIFS(RawData[[Date ]],N761,RawData[Month List],$Q$6,RawData[Tour/Site],$Q$2,RawData[[Picker ID ]],$Q$3,RawData[Checker ID],$Q$4,RawData[[Error Type ]],$Q$5))</f>
        <v/>
      </c>
    </row>
    <row r="762" spans="15:15" x14ac:dyDescent="0.25">
      <c r="O762" s="20" t="str">
        <f>IF(N762="","",COUNTIFS(RawData[[Date ]],N762,RawData[Month List],$Q$6,RawData[Tour/Site],$Q$2,RawData[[Picker ID ]],$Q$3,RawData[Checker ID],$Q$4,RawData[[Error Type ]],$Q$5))</f>
        <v/>
      </c>
    </row>
    <row r="763" spans="15:15" x14ac:dyDescent="0.25">
      <c r="O763" s="20" t="str">
        <f>IF(N763="","",COUNTIFS(RawData[[Date ]],N763,RawData[Month List],$Q$6,RawData[Tour/Site],$Q$2,RawData[[Picker ID ]],$Q$3,RawData[Checker ID],$Q$4,RawData[[Error Type ]],$Q$5))</f>
        <v/>
      </c>
    </row>
    <row r="764" spans="15:15" x14ac:dyDescent="0.25">
      <c r="O764" s="20" t="str">
        <f>IF(N764="","",COUNTIFS(RawData[[Date ]],N764,RawData[Month List],$Q$6,RawData[Tour/Site],$Q$2,RawData[[Picker ID ]],$Q$3,RawData[Checker ID],$Q$4,RawData[[Error Type ]],$Q$5))</f>
        <v/>
      </c>
    </row>
    <row r="765" spans="15:15" x14ac:dyDescent="0.25">
      <c r="O765" s="20" t="str">
        <f>IF(N765="","",COUNTIFS(RawData[[Date ]],N765,RawData[Month List],$Q$6,RawData[Tour/Site],$Q$2,RawData[[Picker ID ]],$Q$3,RawData[Checker ID],$Q$4,RawData[[Error Type ]],$Q$5))</f>
        <v/>
      </c>
    </row>
    <row r="766" spans="15:15" x14ac:dyDescent="0.25">
      <c r="O766" s="20" t="str">
        <f>IF(N766="","",COUNTIFS(RawData[[Date ]],N766,RawData[Month List],$Q$6,RawData[Tour/Site],$Q$2,RawData[[Picker ID ]],$Q$3,RawData[Checker ID],$Q$4,RawData[[Error Type ]],$Q$5))</f>
        <v/>
      </c>
    </row>
    <row r="767" spans="15:15" x14ac:dyDescent="0.25">
      <c r="O767" s="20" t="str">
        <f>IF(N767="","",COUNTIFS(RawData[[Date ]],N767,RawData[Month List],$Q$6,RawData[Tour/Site],$Q$2,RawData[[Picker ID ]],$Q$3,RawData[Checker ID],$Q$4,RawData[[Error Type ]],$Q$5))</f>
        <v/>
      </c>
    </row>
    <row r="768" spans="15:15" x14ac:dyDescent="0.25">
      <c r="O768" s="20" t="str">
        <f>IF(N768="","",COUNTIFS(RawData[[Date ]],N768,RawData[Month List],$Q$6,RawData[Tour/Site],$Q$2,RawData[[Picker ID ]],$Q$3,RawData[Checker ID],$Q$4,RawData[[Error Type ]],$Q$5))</f>
        <v/>
      </c>
    </row>
    <row r="769" spans="15:15" x14ac:dyDescent="0.25">
      <c r="O769" s="20" t="str">
        <f>IF(N769="","",COUNTIFS(RawData[[Date ]],N769,RawData[Month List],$Q$6,RawData[Tour/Site],$Q$2,RawData[[Picker ID ]],$Q$3,RawData[Checker ID],$Q$4,RawData[[Error Type ]],$Q$5))</f>
        <v/>
      </c>
    </row>
    <row r="770" spans="15:15" x14ac:dyDescent="0.25">
      <c r="O770" s="20" t="str">
        <f>IF(N770="","",COUNTIFS(RawData[[Date ]],N770,RawData[Month List],$Q$6,RawData[Tour/Site],$Q$2,RawData[[Picker ID ]],$Q$3,RawData[Checker ID],$Q$4,RawData[[Error Type ]],$Q$5))</f>
        <v/>
      </c>
    </row>
    <row r="771" spans="15:15" x14ac:dyDescent="0.25">
      <c r="O771" s="20" t="str">
        <f>IF(N771="","",COUNTIFS(RawData[[Date ]],N771,RawData[Month List],$Q$6,RawData[Tour/Site],$Q$2,RawData[[Picker ID ]],$Q$3,RawData[Checker ID],$Q$4,RawData[[Error Type ]],$Q$5))</f>
        <v/>
      </c>
    </row>
    <row r="772" spans="15:15" x14ac:dyDescent="0.25">
      <c r="O772" s="20" t="str">
        <f>IF(N772="","",COUNTIFS(RawData[[Date ]],N772,RawData[Month List],$Q$6,RawData[Tour/Site],$Q$2,RawData[[Picker ID ]],$Q$3,RawData[Checker ID],$Q$4,RawData[[Error Type ]],$Q$5))</f>
        <v/>
      </c>
    </row>
    <row r="773" spans="15:15" x14ac:dyDescent="0.25">
      <c r="O773" s="20" t="str">
        <f>IF(N773="","",COUNTIFS(RawData[[Date ]],N773,RawData[Month List],$Q$6,RawData[Tour/Site],$Q$2,RawData[[Picker ID ]],$Q$3,RawData[Checker ID],$Q$4,RawData[[Error Type ]],$Q$5))</f>
        <v/>
      </c>
    </row>
    <row r="774" spans="15:15" x14ac:dyDescent="0.25">
      <c r="O774" s="20" t="str">
        <f>IF(N774="","",COUNTIFS(RawData[[Date ]],N774,RawData[Month List],$Q$6,RawData[Tour/Site],$Q$2,RawData[[Picker ID ]],$Q$3,RawData[Checker ID],$Q$4,RawData[[Error Type ]],$Q$5))</f>
        <v/>
      </c>
    </row>
    <row r="775" spans="15:15" x14ac:dyDescent="0.25">
      <c r="O775" s="20" t="str">
        <f>IF(N775="","",COUNTIFS(RawData[[Date ]],N775,RawData[Month List],$Q$6,RawData[Tour/Site],$Q$2,RawData[[Picker ID ]],$Q$3,RawData[Checker ID],$Q$4,RawData[[Error Type ]],$Q$5))</f>
        <v/>
      </c>
    </row>
    <row r="776" spans="15:15" x14ac:dyDescent="0.25">
      <c r="O776" s="20" t="str">
        <f>IF(N776="","",COUNTIFS(RawData[[Date ]],N776,RawData[Month List],$Q$6,RawData[Tour/Site],$Q$2,RawData[[Picker ID ]],$Q$3,RawData[Checker ID],$Q$4,RawData[[Error Type ]],$Q$5))</f>
        <v/>
      </c>
    </row>
    <row r="777" spans="15:15" x14ac:dyDescent="0.25">
      <c r="O777" s="20" t="str">
        <f>IF(N777="","",COUNTIFS(RawData[[Date ]],N777,RawData[Month List],$Q$6,RawData[Tour/Site],$Q$2,RawData[[Picker ID ]],$Q$3,RawData[Checker ID],$Q$4,RawData[[Error Type ]],$Q$5))</f>
        <v/>
      </c>
    </row>
    <row r="778" spans="15:15" x14ac:dyDescent="0.25">
      <c r="O778" s="20" t="str">
        <f>IF(N778="","",COUNTIFS(RawData[[Date ]],N778,RawData[Month List],$Q$6,RawData[Tour/Site],$Q$2,RawData[[Picker ID ]],$Q$3,RawData[Checker ID],$Q$4,RawData[[Error Type ]],$Q$5))</f>
        <v/>
      </c>
    </row>
    <row r="779" spans="15:15" x14ac:dyDescent="0.25">
      <c r="O779" s="20" t="str">
        <f>IF(N779="","",COUNTIFS(RawData[[Date ]],N779,RawData[Month List],$Q$6,RawData[Tour/Site],$Q$2,RawData[[Picker ID ]],$Q$3,RawData[Checker ID],$Q$4,RawData[[Error Type ]],$Q$5))</f>
        <v/>
      </c>
    </row>
    <row r="780" spans="15:15" x14ac:dyDescent="0.25">
      <c r="O780" s="20" t="str">
        <f>IF(N780="","",COUNTIFS(RawData[[Date ]],N780,RawData[Month List],$Q$6,RawData[Tour/Site],$Q$2,RawData[[Picker ID ]],$Q$3,RawData[Checker ID],$Q$4,RawData[[Error Type ]],$Q$5))</f>
        <v/>
      </c>
    </row>
    <row r="781" spans="15:15" x14ac:dyDescent="0.25">
      <c r="O781" s="20" t="str">
        <f>IF(N781="","",COUNTIFS(RawData[[Date ]],N781,RawData[Month List],$Q$6,RawData[Tour/Site],$Q$2,RawData[[Picker ID ]],$Q$3,RawData[Checker ID],$Q$4,RawData[[Error Type ]],$Q$5))</f>
        <v/>
      </c>
    </row>
    <row r="782" spans="15:15" x14ac:dyDescent="0.25">
      <c r="O782" s="20" t="str">
        <f>IF(N782="","",COUNTIFS(RawData[[Date ]],N782,RawData[Month List],$Q$6,RawData[Tour/Site],$Q$2,RawData[[Picker ID ]],$Q$3,RawData[Checker ID],$Q$4,RawData[[Error Type ]],$Q$5))</f>
        <v/>
      </c>
    </row>
    <row r="783" spans="15:15" x14ac:dyDescent="0.25">
      <c r="O783" s="20" t="str">
        <f>IF(N783="","",COUNTIFS(RawData[[Date ]],N783,RawData[Month List],$Q$6,RawData[Tour/Site],$Q$2,RawData[[Picker ID ]],$Q$3,RawData[Checker ID],$Q$4,RawData[[Error Type ]],$Q$5))</f>
        <v/>
      </c>
    </row>
    <row r="784" spans="15:15" x14ac:dyDescent="0.25">
      <c r="O784" s="20" t="str">
        <f>IF(N784="","",COUNTIFS(RawData[[Date ]],N784,RawData[Month List],$Q$6,RawData[Tour/Site],$Q$2,RawData[[Picker ID ]],$Q$3,RawData[Checker ID],$Q$4,RawData[[Error Type ]],$Q$5))</f>
        <v/>
      </c>
    </row>
    <row r="785" spans="15:15" x14ac:dyDescent="0.25">
      <c r="O785" s="20" t="str">
        <f>IF(N785="","",COUNTIFS(RawData[[Date ]],N785,RawData[Month List],$Q$6,RawData[Tour/Site],$Q$2,RawData[[Picker ID ]],$Q$3,RawData[Checker ID],$Q$4,RawData[[Error Type ]],$Q$5))</f>
        <v/>
      </c>
    </row>
    <row r="786" spans="15:15" x14ac:dyDescent="0.25">
      <c r="O786" s="20" t="str">
        <f>IF(N786="","",COUNTIFS(RawData[[Date ]],N786,RawData[Month List],$Q$6,RawData[Tour/Site],$Q$2,RawData[[Picker ID ]],$Q$3,RawData[Checker ID],$Q$4,RawData[[Error Type ]],$Q$5))</f>
        <v/>
      </c>
    </row>
    <row r="787" spans="15:15" x14ac:dyDescent="0.25">
      <c r="O787" s="20" t="str">
        <f>IF(N787="","",COUNTIFS(RawData[[Date ]],N787,RawData[Month List],$Q$6,RawData[Tour/Site],$Q$2,RawData[[Picker ID ]],$Q$3,RawData[Checker ID],$Q$4,RawData[[Error Type ]],$Q$5))</f>
        <v/>
      </c>
    </row>
    <row r="788" spans="15:15" x14ac:dyDescent="0.25">
      <c r="O788" s="20" t="str">
        <f>IF(N788="","",COUNTIFS(RawData[[Date ]],N788,RawData[Month List],$Q$6,RawData[Tour/Site],$Q$2,RawData[[Picker ID ]],$Q$3,RawData[Checker ID],$Q$4,RawData[[Error Type ]],$Q$5))</f>
        <v/>
      </c>
    </row>
    <row r="789" spans="15:15" x14ac:dyDescent="0.25">
      <c r="O789" s="20" t="str">
        <f>IF(N789="","",COUNTIFS(RawData[[Date ]],N789,RawData[Month List],$Q$6,RawData[Tour/Site],$Q$2,RawData[[Picker ID ]],$Q$3,RawData[Checker ID],$Q$4,RawData[[Error Type ]],$Q$5))</f>
        <v/>
      </c>
    </row>
    <row r="790" spans="15:15" x14ac:dyDescent="0.25">
      <c r="O790" s="20" t="str">
        <f>IF(N790="","",COUNTIFS(RawData[[Date ]],N790,RawData[Month List],$Q$6,RawData[Tour/Site],$Q$2,RawData[[Picker ID ]],$Q$3,RawData[Checker ID],$Q$4,RawData[[Error Type ]],$Q$5))</f>
        <v/>
      </c>
    </row>
    <row r="791" spans="15:15" x14ac:dyDescent="0.25">
      <c r="O791" s="20" t="str">
        <f>IF(N791="","",COUNTIFS(RawData[[Date ]],N791,RawData[Month List],$Q$6,RawData[Tour/Site],$Q$2,RawData[[Picker ID ]],$Q$3,RawData[Checker ID],$Q$4,RawData[[Error Type ]],$Q$5))</f>
        <v/>
      </c>
    </row>
    <row r="792" spans="15:15" x14ac:dyDescent="0.25">
      <c r="O792" s="20" t="str">
        <f>IF(N792="","",COUNTIFS(RawData[[Date ]],N792,RawData[Month List],$Q$6,RawData[Tour/Site],$Q$2,RawData[[Picker ID ]],$Q$3,RawData[Checker ID],$Q$4,RawData[[Error Type ]],$Q$5))</f>
        <v/>
      </c>
    </row>
    <row r="793" spans="15:15" x14ac:dyDescent="0.25">
      <c r="O793" s="20" t="str">
        <f>IF(N793="","",COUNTIFS(RawData[[Date ]],N793,RawData[Month List],$Q$6,RawData[Tour/Site],$Q$2,RawData[[Picker ID ]],$Q$3,RawData[Checker ID],$Q$4,RawData[[Error Type ]],$Q$5))</f>
        <v/>
      </c>
    </row>
    <row r="794" spans="15:15" x14ac:dyDescent="0.25">
      <c r="O794" s="20" t="str">
        <f>IF(N794="","",COUNTIFS(RawData[[Date ]],N794,RawData[Month List],$Q$6,RawData[Tour/Site],$Q$2,RawData[[Picker ID ]],$Q$3,RawData[Checker ID],$Q$4,RawData[[Error Type ]],$Q$5))</f>
        <v/>
      </c>
    </row>
    <row r="795" spans="15:15" x14ac:dyDescent="0.25">
      <c r="O795" s="20" t="str">
        <f>IF(N795="","",COUNTIFS(RawData[[Date ]],N795,RawData[Month List],$Q$6,RawData[Tour/Site],$Q$2,RawData[[Picker ID ]],$Q$3,RawData[Checker ID],$Q$4,RawData[[Error Type ]],$Q$5))</f>
        <v/>
      </c>
    </row>
    <row r="796" spans="15:15" x14ac:dyDescent="0.25">
      <c r="O796" s="20" t="str">
        <f>IF(N796="","",COUNTIFS(RawData[[Date ]],N796,RawData[Month List],$Q$6,RawData[Tour/Site],$Q$2,RawData[[Picker ID ]],$Q$3,RawData[Checker ID],$Q$4,RawData[[Error Type ]],$Q$5))</f>
        <v/>
      </c>
    </row>
    <row r="797" spans="15:15" x14ac:dyDescent="0.25">
      <c r="O797" s="20" t="str">
        <f>IF(N797="","",COUNTIFS(RawData[[Date ]],N797,RawData[Month List],$Q$6,RawData[Tour/Site],$Q$2,RawData[[Picker ID ]],$Q$3,RawData[Checker ID],$Q$4,RawData[[Error Type ]],$Q$5))</f>
        <v/>
      </c>
    </row>
    <row r="798" spans="15:15" x14ac:dyDescent="0.25">
      <c r="O798" s="20" t="str">
        <f>IF(N798="","",COUNTIFS(RawData[[Date ]],N798,RawData[Month List],$Q$6,RawData[Tour/Site],$Q$2,RawData[[Picker ID ]],$Q$3,RawData[Checker ID],$Q$4,RawData[[Error Type ]],$Q$5))</f>
        <v/>
      </c>
    </row>
    <row r="799" spans="15:15" x14ac:dyDescent="0.25">
      <c r="O799" s="20" t="str">
        <f>IF(N799="","",COUNTIFS(RawData[[Date ]],N799,RawData[Month List],$Q$6,RawData[Tour/Site],$Q$2,RawData[[Picker ID ]],$Q$3,RawData[Checker ID],$Q$4,RawData[[Error Type ]],$Q$5))</f>
        <v/>
      </c>
    </row>
    <row r="800" spans="15:15" x14ac:dyDescent="0.25">
      <c r="O800" s="20" t="str">
        <f>IF(N800="","",COUNTIFS(RawData[[Date ]],N800,RawData[Month List],$Q$6,RawData[Tour/Site],$Q$2,RawData[[Picker ID ]],$Q$3,RawData[Checker ID],$Q$4,RawData[[Error Type ]],$Q$5))</f>
        <v/>
      </c>
    </row>
    <row r="801" spans="15:15" x14ac:dyDescent="0.25">
      <c r="O801" s="20" t="str">
        <f>IF(N801="","",COUNTIFS(RawData[[Date ]],N801,RawData[Month List],$Q$6,RawData[Tour/Site],$Q$2,RawData[[Picker ID ]],$Q$3,RawData[Checker ID],$Q$4,RawData[[Error Type ]],$Q$5))</f>
        <v/>
      </c>
    </row>
    <row r="802" spans="15:15" x14ac:dyDescent="0.25">
      <c r="O802" s="20" t="str">
        <f>IF(N802="","",COUNTIFS(RawData[[Date ]],N802,RawData[Month List],$Q$6,RawData[Tour/Site],$Q$2,RawData[[Picker ID ]],$Q$3,RawData[Checker ID],$Q$4,RawData[[Error Type ]],$Q$5))</f>
        <v/>
      </c>
    </row>
    <row r="803" spans="15:15" x14ac:dyDescent="0.25">
      <c r="O803" s="20" t="str">
        <f>IF(N803="","",COUNTIFS(RawData[[Date ]],N803,RawData[Month List],$Q$6,RawData[Tour/Site],$Q$2,RawData[[Picker ID ]],$Q$3,RawData[Checker ID],$Q$4,RawData[[Error Type ]],$Q$5))</f>
        <v/>
      </c>
    </row>
    <row r="804" spans="15:15" x14ac:dyDescent="0.25">
      <c r="O804" s="20" t="str">
        <f>IF(N804="","",COUNTIFS(RawData[[Date ]],N804,RawData[Month List],$Q$6,RawData[Tour/Site],$Q$2,RawData[[Picker ID ]],$Q$3,RawData[Checker ID],$Q$4,RawData[[Error Type ]],$Q$5))</f>
        <v/>
      </c>
    </row>
    <row r="805" spans="15:15" x14ac:dyDescent="0.25">
      <c r="O805" s="20" t="str">
        <f>IF(N805="","",COUNTIFS(RawData[[Date ]],N805,RawData[Month List],$Q$6,RawData[Tour/Site],$Q$2,RawData[[Picker ID ]],$Q$3,RawData[Checker ID],$Q$4,RawData[[Error Type ]],$Q$5))</f>
        <v/>
      </c>
    </row>
    <row r="806" spans="15:15" x14ac:dyDescent="0.25">
      <c r="O806" s="20" t="str">
        <f>IF(N806="","",COUNTIFS(RawData[[Date ]],N806,RawData[Month List],$Q$6,RawData[Tour/Site],$Q$2,RawData[[Picker ID ]],$Q$3,RawData[Checker ID],$Q$4,RawData[[Error Type ]],$Q$5))</f>
        <v/>
      </c>
    </row>
    <row r="807" spans="15:15" x14ac:dyDescent="0.25">
      <c r="O807" s="20" t="str">
        <f>IF(N807="","",COUNTIFS(RawData[[Date ]],N807,RawData[Month List],$Q$6,RawData[Tour/Site],$Q$2,RawData[[Picker ID ]],$Q$3,RawData[Checker ID],$Q$4,RawData[[Error Type ]],$Q$5))</f>
        <v/>
      </c>
    </row>
    <row r="808" spans="15:15" x14ac:dyDescent="0.25">
      <c r="O808" s="20" t="str">
        <f>IF(N808="","",COUNTIFS(RawData[[Date ]],N808,RawData[Month List],$Q$6,RawData[Tour/Site],$Q$2,RawData[[Picker ID ]],$Q$3,RawData[Checker ID],$Q$4,RawData[[Error Type ]],$Q$5))</f>
        <v/>
      </c>
    </row>
    <row r="809" spans="15:15" x14ac:dyDescent="0.25">
      <c r="O809" s="20" t="str">
        <f>IF(N809="","",COUNTIFS(RawData[[Date ]],N809,RawData[Month List],$Q$6,RawData[Tour/Site],$Q$2,RawData[[Picker ID ]],$Q$3,RawData[Checker ID],$Q$4,RawData[[Error Type ]],$Q$5))</f>
        <v/>
      </c>
    </row>
    <row r="810" spans="15:15" x14ac:dyDescent="0.25">
      <c r="O810" s="20" t="str">
        <f>IF(N810="","",COUNTIFS(RawData[[Date ]],N810,RawData[Month List],$Q$6,RawData[Tour/Site],$Q$2,RawData[[Picker ID ]],$Q$3,RawData[Checker ID],$Q$4,RawData[[Error Type ]],$Q$5))</f>
        <v/>
      </c>
    </row>
    <row r="811" spans="15:15" x14ac:dyDescent="0.25">
      <c r="O811" s="20" t="str">
        <f>IF(N811="","",COUNTIFS(RawData[[Date ]],N811,RawData[Month List],$Q$6,RawData[Tour/Site],$Q$2,RawData[[Picker ID ]],$Q$3,RawData[Checker ID],$Q$4,RawData[[Error Type ]],$Q$5))</f>
        <v/>
      </c>
    </row>
    <row r="812" spans="15:15" x14ac:dyDescent="0.25">
      <c r="O812" s="20" t="str">
        <f>IF(N812="","",COUNTIFS(RawData[[Date ]],N812,RawData[Month List],$Q$6,RawData[Tour/Site],$Q$2,RawData[[Picker ID ]],$Q$3,RawData[Checker ID],$Q$4,RawData[[Error Type ]],$Q$5))</f>
        <v/>
      </c>
    </row>
    <row r="813" spans="15:15" x14ac:dyDescent="0.25">
      <c r="O813" s="20" t="str">
        <f>IF(N813="","",COUNTIFS(RawData[[Date ]],N813,RawData[Month List],$Q$6,RawData[Tour/Site],$Q$2,RawData[[Picker ID ]],$Q$3,RawData[Checker ID],$Q$4,RawData[[Error Type ]],$Q$5))</f>
        <v/>
      </c>
    </row>
    <row r="814" spans="15:15" x14ac:dyDescent="0.25">
      <c r="O814" s="20" t="str">
        <f>IF(N814="","",COUNTIFS(RawData[[Date ]],N814,RawData[Month List],$Q$6,RawData[Tour/Site],$Q$2,RawData[[Picker ID ]],$Q$3,RawData[Checker ID],$Q$4,RawData[[Error Type ]],$Q$5))</f>
        <v/>
      </c>
    </row>
    <row r="815" spans="15:15" x14ac:dyDescent="0.25">
      <c r="O815" s="20" t="str">
        <f>IF(N815="","",COUNTIFS(RawData[[Date ]],N815,RawData[Month List],$Q$6,RawData[Tour/Site],$Q$2,RawData[[Picker ID ]],$Q$3,RawData[Checker ID],$Q$4,RawData[[Error Type ]],$Q$5))</f>
        <v/>
      </c>
    </row>
    <row r="816" spans="15:15" x14ac:dyDescent="0.25">
      <c r="O816" s="20" t="str">
        <f>IF(N816="","",COUNTIFS(RawData[[Date ]],N816,RawData[Month List],$Q$6,RawData[Tour/Site],$Q$2,RawData[[Picker ID ]],$Q$3,RawData[Checker ID],$Q$4,RawData[[Error Type ]],$Q$5))</f>
        <v/>
      </c>
    </row>
    <row r="817" spans="15:15" x14ac:dyDescent="0.25">
      <c r="O817" s="20" t="str">
        <f>IF(N817="","",COUNTIFS(RawData[[Date ]],N817,RawData[Month List],$Q$6,RawData[Tour/Site],$Q$2,RawData[[Picker ID ]],$Q$3,RawData[Checker ID],$Q$4,RawData[[Error Type ]],$Q$5))</f>
        <v/>
      </c>
    </row>
    <row r="818" spans="15:15" x14ac:dyDescent="0.25">
      <c r="O818" s="20" t="str">
        <f>IF(N818="","",COUNTIFS(RawData[[Date ]],N818,RawData[Month List],$Q$6,RawData[Tour/Site],$Q$2,RawData[[Picker ID ]],$Q$3,RawData[Checker ID],$Q$4,RawData[[Error Type ]],$Q$5))</f>
        <v/>
      </c>
    </row>
    <row r="819" spans="15:15" x14ac:dyDescent="0.25">
      <c r="O819" s="20" t="str">
        <f>IF(N819="","",COUNTIFS(RawData[[Date ]],N819,RawData[Month List],$Q$6,RawData[Tour/Site],$Q$2,RawData[[Picker ID ]],$Q$3,RawData[Checker ID],$Q$4,RawData[[Error Type ]],$Q$5))</f>
        <v/>
      </c>
    </row>
    <row r="820" spans="15:15" x14ac:dyDescent="0.25">
      <c r="O820" s="20" t="str">
        <f>IF(N820="","",COUNTIFS(RawData[[Date ]],N820,RawData[Month List],$Q$6,RawData[Tour/Site],$Q$2,RawData[[Picker ID ]],$Q$3,RawData[Checker ID],$Q$4,RawData[[Error Type ]],$Q$5))</f>
        <v/>
      </c>
    </row>
    <row r="821" spans="15:15" x14ac:dyDescent="0.25">
      <c r="O821" s="20" t="str">
        <f>IF(N821="","",COUNTIFS(RawData[[Date ]],N821,RawData[Month List],$Q$6,RawData[Tour/Site],$Q$2,RawData[[Picker ID ]],$Q$3,RawData[Checker ID],$Q$4,RawData[[Error Type ]],$Q$5))</f>
        <v/>
      </c>
    </row>
    <row r="822" spans="15:15" x14ac:dyDescent="0.25">
      <c r="O822" s="20" t="str">
        <f>IF(N822="","",COUNTIFS(RawData[[Date ]],N822,RawData[Month List],$Q$6,RawData[Tour/Site],$Q$2,RawData[[Picker ID ]],$Q$3,RawData[Checker ID],$Q$4,RawData[[Error Type ]],$Q$5))</f>
        <v/>
      </c>
    </row>
    <row r="823" spans="15:15" x14ac:dyDescent="0.25">
      <c r="O823" s="20" t="str">
        <f>IF(N823="","",COUNTIFS(RawData[[Date ]],N823,RawData[Month List],$Q$6,RawData[Tour/Site],$Q$2,RawData[[Picker ID ]],$Q$3,RawData[Checker ID],$Q$4,RawData[[Error Type ]],$Q$5))</f>
        <v/>
      </c>
    </row>
    <row r="824" spans="15:15" x14ac:dyDescent="0.25">
      <c r="O824" s="20" t="str">
        <f>IF(N824="","",COUNTIFS(RawData[[Date ]],N824,RawData[Month List],$Q$6,RawData[Tour/Site],$Q$2,RawData[[Picker ID ]],$Q$3,RawData[Checker ID],$Q$4,RawData[[Error Type ]],$Q$5))</f>
        <v/>
      </c>
    </row>
    <row r="825" spans="15:15" x14ac:dyDescent="0.25">
      <c r="O825" s="20" t="str">
        <f>IF(N825="","",COUNTIFS(RawData[[Date ]],N825,RawData[Month List],$Q$6,RawData[Tour/Site],$Q$2,RawData[[Picker ID ]],$Q$3,RawData[Checker ID],$Q$4,RawData[[Error Type ]],$Q$5))</f>
        <v/>
      </c>
    </row>
    <row r="826" spans="15:15" x14ac:dyDescent="0.25">
      <c r="O826" s="20" t="str">
        <f>IF(N826="","",COUNTIFS(RawData[[Date ]],N826,RawData[Month List],$Q$6,RawData[Tour/Site],$Q$2,RawData[[Picker ID ]],$Q$3,RawData[Checker ID],$Q$4,RawData[[Error Type ]],$Q$5))</f>
        <v/>
      </c>
    </row>
    <row r="827" spans="15:15" x14ac:dyDescent="0.25">
      <c r="O827" s="20" t="str">
        <f>IF(N827="","",COUNTIFS(RawData[[Date ]],N827,RawData[Month List],$Q$6,RawData[Tour/Site],$Q$2,RawData[[Picker ID ]],$Q$3,RawData[Checker ID],$Q$4,RawData[[Error Type ]],$Q$5))</f>
        <v/>
      </c>
    </row>
    <row r="828" spans="15:15" x14ac:dyDescent="0.25">
      <c r="O828" s="20" t="str">
        <f>IF(N828="","",COUNTIFS(RawData[[Date ]],N828,RawData[Month List],$Q$6,RawData[Tour/Site],$Q$2,RawData[[Picker ID ]],$Q$3,RawData[Checker ID],$Q$4,RawData[[Error Type ]],$Q$5))</f>
        <v/>
      </c>
    </row>
    <row r="829" spans="15:15" x14ac:dyDescent="0.25">
      <c r="O829" s="20" t="str">
        <f>IF(N829="","",COUNTIFS(RawData[[Date ]],N829,RawData[Month List],$Q$6,RawData[Tour/Site],$Q$2,RawData[[Picker ID ]],$Q$3,RawData[Checker ID],$Q$4,RawData[[Error Type ]],$Q$5))</f>
        <v/>
      </c>
    </row>
    <row r="830" spans="15:15" x14ac:dyDescent="0.25">
      <c r="O830" s="20" t="str">
        <f>IF(N830="","",COUNTIFS(RawData[[Date ]],N830,RawData[Month List],$Q$6,RawData[Tour/Site],$Q$2,RawData[[Picker ID ]],$Q$3,RawData[Checker ID],$Q$4,RawData[[Error Type ]],$Q$5))</f>
        <v/>
      </c>
    </row>
    <row r="831" spans="15:15" x14ac:dyDescent="0.25">
      <c r="O831" s="20" t="str">
        <f>IF(N831="","",COUNTIFS(RawData[[Date ]],N831,RawData[Month List],$Q$6,RawData[Tour/Site],$Q$2,RawData[[Picker ID ]],$Q$3,RawData[Checker ID],$Q$4,RawData[[Error Type ]],$Q$5))</f>
        <v/>
      </c>
    </row>
    <row r="832" spans="15:15" x14ac:dyDescent="0.25">
      <c r="O832" s="20" t="str">
        <f>IF(N832="","",COUNTIFS(RawData[[Date ]],N832,RawData[Month List],$Q$6,RawData[Tour/Site],$Q$2,RawData[[Picker ID ]],$Q$3,RawData[Checker ID],$Q$4,RawData[[Error Type ]],$Q$5))</f>
        <v/>
      </c>
    </row>
    <row r="833" spans="15:15" x14ac:dyDescent="0.25">
      <c r="O833" s="20" t="str">
        <f>IF(N833="","",COUNTIFS(RawData[[Date ]],N833,RawData[Month List],$Q$6,RawData[Tour/Site],$Q$2,RawData[[Picker ID ]],$Q$3,RawData[Checker ID],$Q$4,RawData[[Error Type ]],$Q$5))</f>
        <v/>
      </c>
    </row>
    <row r="834" spans="15:15" x14ac:dyDescent="0.25">
      <c r="O834" s="20" t="str">
        <f>IF(N834="","",COUNTIFS(RawData[[Date ]],N834,RawData[Month List],$Q$6,RawData[Tour/Site],$Q$2,RawData[[Picker ID ]],$Q$3,RawData[Checker ID],$Q$4,RawData[[Error Type ]],$Q$5))</f>
        <v/>
      </c>
    </row>
    <row r="835" spans="15:15" x14ac:dyDescent="0.25">
      <c r="O835" s="20" t="str">
        <f>IF(N835="","",COUNTIFS(RawData[[Date ]],N835,RawData[Month List],$Q$6,RawData[Tour/Site],$Q$2,RawData[[Picker ID ]],$Q$3,RawData[Checker ID],$Q$4,RawData[[Error Type ]],$Q$5))</f>
        <v/>
      </c>
    </row>
    <row r="836" spans="15:15" x14ac:dyDescent="0.25">
      <c r="O836" s="20" t="str">
        <f>IF(N836="","",COUNTIFS(RawData[[Date ]],N836,RawData[Month List],$Q$6,RawData[Tour/Site],$Q$2,RawData[[Picker ID ]],$Q$3,RawData[Checker ID],$Q$4,RawData[[Error Type ]],$Q$5))</f>
        <v/>
      </c>
    </row>
    <row r="837" spans="15:15" x14ac:dyDescent="0.25">
      <c r="O837" s="20" t="str">
        <f>IF(N837="","",COUNTIFS(RawData[[Date ]],N837,RawData[Month List],$Q$6,RawData[Tour/Site],$Q$2,RawData[[Picker ID ]],$Q$3,RawData[Checker ID],$Q$4,RawData[[Error Type ]],$Q$5))</f>
        <v/>
      </c>
    </row>
    <row r="838" spans="15:15" x14ac:dyDescent="0.25">
      <c r="O838" s="20" t="str">
        <f>IF(N838="","",COUNTIFS(RawData[[Date ]],N838,RawData[Month List],$Q$6,RawData[Tour/Site],$Q$2,RawData[[Picker ID ]],$Q$3,RawData[Checker ID],$Q$4,RawData[[Error Type ]],$Q$5))</f>
        <v/>
      </c>
    </row>
    <row r="839" spans="15:15" x14ac:dyDescent="0.25">
      <c r="O839" s="20" t="str">
        <f>IF(N839="","",COUNTIFS(RawData[[Date ]],N839,RawData[Month List],$Q$6,RawData[Tour/Site],$Q$2,RawData[[Picker ID ]],$Q$3,RawData[Checker ID],$Q$4,RawData[[Error Type ]],$Q$5))</f>
        <v/>
      </c>
    </row>
    <row r="840" spans="15:15" x14ac:dyDescent="0.25">
      <c r="O840" s="20" t="str">
        <f>IF(N840="","",COUNTIFS(RawData[[Date ]],N840,RawData[Month List],$Q$6,RawData[Tour/Site],$Q$2,RawData[[Picker ID ]],$Q$3,RawData[Checker ID],$Q$4,RawData[[Error Type ]],$Q$5))</f>
        <v/>
      </c>
    </row>
    <row r="841" spans="15:15" x14ac:dyDescent="0.25">
      <c r="O841" s="20" t="str">
        <f>IF(N841="","",COUNTIFS(RawData[[Date ]],N841,RawData[Month List],$Q$6,RawData[Tour/Site],$Q$2,RawData[[Picker ID ]],$Q$3,RawData[Checker ID],$Q$4,RawData[[Error Type ]],$Q$5))</f>
        <v/>
      </c>
    </row>
    <row r="842" spans="15:15" x14ac:dyDescent="0.25">
      <c r="O842" s="20" t="str">
        <f>IF(N842="","",COUNTIFS(RawData[[Date ]],N842,RawData[Month List],$Q$6,RawData[Tour/Site],$Q$2,RawData[[Picker ID ]],$Q$3,RawData[Checker ID],$Q$4,RawData[[Error Type ]],$Q$5))</f>
        <v/>
      </c>
    </row>
    <row r="843" spans="15:15" x14ac:dyDescent="0.25">
      <c r="O843" s="20" t="str">
        <f>IF(N843="","",COUNTIFS(RawData[[Date ]],N843,RawData[Month List],$Q$6,RawData[Tour/Site],$Q$2,RawData[[Picker ID ]],$Q$3,RawData[Checker ID],$Q$4,RawData[[Error Type ]],$Q$5))</f>
        <v/>
      </c>
    </row>
    <row r="844" spans="15:15" x14ac:dyDescent="0.25">
      <c r="O844" s="20" t="str">
        <f>IF(N844="","",COUNTIFS(RawData[[Date ]],N844,RawData[Month List],$Q$6,RawData[Tour/Site],$Q$2,RawData[[Picker ID ]],$Q$3,RawData[Checker ID],$Q$4,RawData[[Error Type ]],$Q$5))</f>
        <v/>
      </c>
    </row>
    <row r="845" spans="15:15" x14ac:dyDescent="0.25">
      <c r="O845" s="20" t="str">
        <f>IF(N845="","",COUNTIFS(RawData[[Date ]],N845,RawData[Month List],$Q$6,RawData[Tour/Site],$Q$2,RawData[[Picker ID ]],$Q$3,RawData[Checker ID],$Q$4,RawData[[Error Type ]],$Q$5))</f>
        <v/>
      </c>
    </row>
    <row r="846" spans="15:15" x14ac:dyDescent="0.25">
      <c r="O846" s="20" t="str">
        <f>IF(N846="","",COUNTIFS(RawData[[Date ]],N846,RawData[Month List],$Q$6,RawData[Tour/Site],$Q$2,RawData[[Picker ID ]],$Q$3,RawData[Checker ID],$Q$4,RawData[[Error Type ]],$Q$5))</f>
        <v/>
      </c>
    </row>
    <row r="847" spans="15:15" x14ac:dyDescent="0.25">
      <c r="O847" s="20" t="str">
        <f>IF(N847="","",COUNTIFS(RawData[[Date ]],N847,RawData[Month List],$Q$6,RawData[Tour/Site],$Q$2,RawData[[Picker ID ]],$Q$3,RawData[Checker ID],$Q$4,RawData[[Error Type ]],$Q$5))</f>
        <v/>
      </c>
    </row>
    <row r="848" spans="15:15" x14ac:dyDescent="0.25">
      <c r="O848" s="20" t="str">
        <f>IF(N848="","",COUNTIFS(RawData[[Date ]],N848,RawData[Month List],$Q$6,RawData[Tour/Site],$Q$2,RawData[[Picker ID ]],$Q$3,RawData[Checker ID],$Q$4,RawData[[Error Type ]],$Q$5))</f>
        <v/>
      </c>
    </row>
    <row r="849" spans="15:15" x14ac:dyDescent="0.25">
      <c r="O849" s="20" t="str">
        <f>IF(N849="","",COUNTIFS(RawData[[Date ]],N849,RawData[Month List],$Q$6,RawData[Tour/Site],$Q$2,RawData[[Picker ID ]],$Q$3,RawData[Checker ID],$Q$4,RawData[[Error Type ]],$Q$5))</f>
        <v/>
      </c>
    </row>
    <row r="850" spans="15:15" x14ac:dyDescent="0.25">
      <c r="O850" s="20" t="str">
        <f>IF(N850="","",COUNTIFS(RawData[[Date ]],N850,RawData[Month List],$Q$6,RawData[Tour/Site],$Q$2,RawData[[Picker ID ]],$Q$3,RawData[Checker ID],$Q$4,RawData[[Error Type ]],$Q$5))</f>
        <v/>
      </c>
    </row>
    <row r="851" spans="15:15" x14ac:dyDescent="0.25">
      <c r="O851" s="20" t="str">
        <f>IF(N851="","",COUNTIFS(RawData[[Date ]],N851,RawData[Month List],$Q$6,RawData[Tour/Site],$Q$2,RawData[[Picker ID ]],$Q$3,RawData[Checker ID],$Q$4,RawData[[Error Type ]],$Q$5))</f>
        <v/>
      </c>
    </row>
    <row r="852" spans="15:15" x14ac:dyDescent="0.25">
      <c r="O852" s="20" t="str">
        <f>IF(N852="","",COUNTIFS(RawData[[Date ]],N852,RawData[Month List],$Q$6,RawData[Tour/Site],$Q$2,RawData[[Picker ID ]],$Q$3,RawData[Checker ID],$Q$4,RawData[[Error Type ]],$Q$5))</f>
        <v/>
      </c>
    </row>
    <row r="853" spans="15:15" x14ac:dyDescent="0.25">
      <c r="O853" s="20" t="str">
        <f>IF(N853="","",COUNTIFS(RawData[[Date ]],N853,RawData[Month List],$Q$6,RawData[Tour/Site],$Q$2,RawData[[Picker ID ]],$Q$3,RawData[Checker ID],$Q$4,RawData[[Error Type ]],$Q$5))</f>
        <v/>
      </c>
    </row>
    <row r="854" spans="15:15" x14ac:dyDescent="0.25">
      <c r="O854" s="20" t="str">
        <f>IF(N854="","",COUNTIFS(RawData[[Date ]],N854,RawData[Month List],$Q$6,RawData[Tour/Site],$Q$2,RawData[[Picker ID ]],$Q$3,RawData[Checker ID],$Q$4,RawData[[Error Type ]],$Q$5))</f>
        <v/>
      </c>
    </row>
    <row r="855" spans="15:15" x14ac:dyDescent="0.25">
      <c r="O855" s="20" t="str">
        <f>IF(N855="","",COUNTIFS(RawData[[Date ]],N855,RawData[Month List],$Q$6,RawData[Tour/Site],$Q$2,RawData[[Picker ID ]],$Q$3,RawData[Checker ID],$Q$4,RawData[[Error Type ]],$Q$5))</f>
        <v/>
      </c>
    </row>
    <row r="856" spans="15:15" x14ac:dyDescent="0.25">
      <c r="O856" s="20" t="str">
        <f>IF(N856="","",COUNTIFS(RawData[[Date ]],N856,RawData[Month List],$Q$6,RawData[Tour/Site],$Q$2,RawData[[Picker ID ]],$Q$3,RawData[Checker ID],$Q$4,RawData[[Error Type ]],$Q$5))</f>
        <v/>
      </c>
    </row>
    <row r="857" spans="15:15" x14ac:dyDescent="0.25">
      <c r="O857" s="20" t="str">
        <f>IF(N857="","",COUNTIFS(RawData[[Date ]],N857,RawData[Month List],$Q$6,RawData[Tour/Site],$Q$2,RawData[[Picker ID ]],$Q$3,RawData[Checker ID],$Q$4,RawData[[Error Type ]],$Q$5))</f>
        <v/>
      </c>
    </row>
    <row r="858" spans="15:15" x14ac:dyDescent="0.25">
      <c r="O858" s="20" t="str">
        <f>IF(N858="","",COUNTIFS(RawData[[Date ]],N858,RawData[Month List],$Q$6,RawData[Tour/Site],$Q$2,RawData[[Picker ID ]],$Q$3,RawData[Checker ID],$Q$4,RawData[[Error Type ]],$Q$5))</f>
        <v/>
      </c>
    </row>
    <row r="859" spans="15:15" x14ac:dyDescent="0.25">
      <c r="O859" s="20" t="str">
        <f>IF(N859="","",COUNTIFS(RawData[[Date ]],N859,RawData[Month List],$Q$6,RawData[Tour/Site],$Q$2,RawData[[Picker ID ]],$Q$3,RawData[Checker ID],$Q$4,RawData[[Error Type ]],$Q$5))</f>
        <v/>
      </c>
    </row>
    <row r="860" spans="15:15" x14ac:dyDescent="0.25">
      <c r="O860" s="20" t="str">
        <f>IF(N860="","",COUNTIFS(RawData[[Date ]],N860,RawData[Month List],$Q$6,RawData[Tour/Site],$Q$2,RawData[[Picker ID ]],$Q$3,RawData[Checker ID],$Q$4,RawData[[Error Type ]],$Q$5))</f>
        <v/>
      </c>
    </row>
    <row r="861" spans="15:15" x14ac:dyDescent="0.25">
      <c r="O861" s="20" t="str">
        <f>IF(N861="","",COUNTIFS(RawData[[Date ]],N861,RawData[Month List],$Q$6,RawData[Tour/Site],$Q$2,RawData[[Picker ID ]],$Q$3,RawData[Checker ID],$Q$4,RawData[[Error Type ]],$Q$5))</f>
        <v/>
      </c>
    </row>
    <row r="862" spans="15:15" x14ac:dyDescent="0.25">
      <c r="O862" s="20" t="str">
        <f>IF(N862="","",COUNTIFS(RawData[[Date ]],N862,RawData[Month List],$Q$6,RawData[Tour/Site],$Q$2,RawData[[Picker ID ]],$Q$3,RawData[Checker ID],$Q$4,RawData[[Error Type ]],$Q$5))</f>
        <v/>
      </c>
    </row>
    <row r="863" spans="15:15" x14ac:dyDescent="0.25">
      <c r="O863" s="20" t="str">
        <f>IF(N863="","",COUNTIFS(RawData[[Date ]],N863,RawData[Month List],$Q$6,RawData[Tour/Site],$Q$2,RawData[[Picker ID ]],$Q$3,RawData[Checker ID],$Q$4,RawData[[Error Type ]],$Q$5))</f>
        <v/>
      </c>
    </row>
    <row r="864" spans="15:15" x14ac:dyDescent="0.25">
      <c r="O864" s="20" t="str">
        <f>IF(N864="","",COUNTIFS(RawData[[Date ]],N864,RawData[Month List],$Q$6,RawData[Tour/Site],$Q$2,RawData[[Picker ID ]],$Q$3,RawData[Checker ID],$Q$4,RawData[[Error Type ]],$Q$5))</f>
        <v/>
      </c>
    </row>
    <row r="865" spans="15:15" x14ac:dyDescent="0.25">
      <c r="O865" s="20" t="str">
        <f>IF(N865="","",COUNTIFS(RawData[[Date ]],N865,RawData[Month List],$Q$6,RawData[Tour/Site],$Q$2,RawData[[Picker ID ]],$Q$3,RawData[Checker ID],$Q$4,RawData[[Error Type ]],$Q$5))</f>
        <v/>
      </c>
    </row>
    <row r="866" spans="15:15" x14ac:dyDescent="0.25">
      <c r="O866" s="20" t="str">
        <f>IF(N866="","",COUNTIFS(RawData[[Date ]],N866,RawData[Month List],$Q$6,RawData[Tour/Site],$Q$2,RawData[[Picker ID ]],$Q$3,RawData[Checker ID],$Q$4,RawData[[Error Type ]],$Q$5))</f>
        <v/>
      </c>
    </row>
    <row r="867" spans="15:15" x14ac:dyDescent="0.25">
      <c r="O867" s="20" t="str">
        <f>IF(N867="","",COUNTIFS(RawData[[Date ]],N867,RawData[Month List],$Q$6,RawData[Tour/Site],$Q$2,RawData[[Picker ID ]],$Q$3,RawData[Checker ID],$Q$4,RawData[[Error Type ]],$Q$5))</f>
        <v/>
      </c>
    </row>
    <row r="868" spans="15:15" x14ac:dyDescent="0.25">
      <c r="O868" s="20" t="str">
        <f>IF(N868="","",COUNTIFS(RawData[[Date ]],N868,RawData[Month List],$Q$6,RawData[Tour/Site],$Q$2,RawData[[Picker ID ]],$Q$3,RawData[Checker ID],$Q$4,RawData[[Error Type ]],$Q$5))</f>
        <v/>
      </c>
    </row>
    <row r="869" spans="15:15" x14ac:dyDescent="0.25">
      <c r="O869" s="20" t="str">
        <f>IF(N869="","",COUNTIFS(RawData[[Date ]],N869,RawData[Month List],$Q$6,RawData[Tour/Site],$Q$2,RawData[[Picker ID ]],$Q$3,RawData[Checker ID],$Q$4,RawData[[Error Type ]],$Q$5))</f>
        <v/>
      </c>
    </row>
    <row r="870" spans="15:15" x14ac:dyDescent="0.25">
      <c r="O870" s="20" t="str">
        <f>IF(N870="","",COUNTIFS(RawData[[Date ]],N870,RawData[Month List],$Q$6,RawData[Tour/Site],$Q$2,RawData[[Picker ID ]],$Q$3,RawData[Checker ID],$Q$4,RawData[[Error Type ]],$Q$5))</f>
        <v/>
      </c>
    </row>
    <row r="871" spans="15:15" x14ac:dyDescent="0.25">
      <c r="O871" s="20" t="str">
        <f>IF(N871="","",COUNTIFS(RawData[[Date ]],N871,RawData[Month List],$Q$6,RawData[Tour/Site],$Q$2,RawData[[Picker ID ]],$Q$3,RawData[Checker ID],$Q$4,RawData[[Error Type ]],$Q$5))</f>
        <v/>
      </c>
    </row>
    <row r="872" spans="15:15" x14ac:dyDescent="0.25">
      <c r="O872" s="20" t="str">
        <f>IF(N872="","",COUNTIFS(RawData[[Date ]],N872,RawData[Month List],$Q$6,RawData[Tour/Site],$Q$2,RawData[[Picker ID ]],$Q$3,RawData[Checker ID],$Q$4,RawData[[Error Type ]],$Q$5))</f>
        <v/>
      </c>
    </row>
    <row r="873" spans="15:15" x14ac:dyDescent="0.25">
      <c r="O873" s="20" t="str">
        <f>IF(N873="","",COUNTIFS(RawData[[Date ]],N873,RawData[Month List],$Q$6,RawData[Tour/Site],$Q$2,RawData[[Picker ID ]],$Q$3,RawData[Checker ID],$Q$4,RawData[[Error Type ]],$Q$5))</f>
        <v/>
      </c>
    </row>
    <row r="874" spans="15:15" x14ac:dyDescent="0.25">
      <c r="O874" s="20" t="str">
        <f>IF(N874="","",COUNTIFS(RawData[[Date ]],N874,RawData[Month List],$Q$6,RawData[Tour/Site],$Q$2,RawData[[Picker ID ]],$Q$3,RawData[Checker ID],$Q$4,RawData[[Error Type ]],$Q$5))</f>
        <v/>
      </c>
    </row>
    <row r="875" spans="15:15" x14ac:dyDescent="0.25">
      <c r="O875" s="20" t="str">
        <f>IF(N875="","",COUNTIFS(RawData[[Date ]],N875,RawData[Month List],$Q$6,RawData[Tour/Site],$Q$2,RawData[[Picker ID ]],$Q$3,RawData[Checker ID],$Q$4,RawData[[Error Type ]],$Q$5))</f>
        <v/>
      </c>
    </row>
    <row r="876" spans="15:15" x14ac:dyDescent="0.25">
      <c r="O876" s="20" t="str">
        <f>IF(N876="","",COUNTIFS(RawData[[Date ]],N876,RawData[Month List],$Q$6,RawData[Tour/Site],$Q$2,RawData[[Picker ID ]],$Q$3,RawData[Checker ID],$Q$4,RawData[[Error Type ]],$Q$5))</f>
        <v/>
      </c>
    </row>
    <row r="877" spans="15:15" x14ac:dyDescent="0.25">
      <c r="O877" s="20" t="str">
        <f>IF(N877="","",COUNTIFS(RawData[[Date ]],N877,RawData[Month List],$Q$6,RawData[Tour/Site],$Q$2,RawData[[Picker ID ]],$Q$3,RawData[Checker ID],$Q$4,RawData[[Error Type ]],$Q$5))</f>
        <v/>
      </c>
    </row>
    <row r="878" spans="15:15" x14ac:dyDescent="0.25">
      <c r="O878" s="20" t="str">
        <f>IF(N878="","",COUNTIFS(RawData[[Date ]],N878,RawData[Month List],$Q$6,RawData[Tour/Site],$Q$2,RawData[[Picker ID ]],$Q$3,RawData[Checker ID],$Q$4,RawData[[Error Type ]],$Q$5))</f>
        <v/>
      </c>
    </row>
    <row r="879" spans="15:15" x14ac:dyDescent="0.25">
      <c r="O879" s="20" t="str">
        <f>IF(N879="","",COUNTIFS(RawData[[Date ]],N879,RawData[Month List],$Q$6,RawData[Tour/Site],$Q$2,RawData[[Picker ID ]],$Q$3,RawData[Checker ID],$Q$4,RawData[[Error Type ]],$Q$5))</f>
        <v/>
      </c>
    </row>
    <row r="880" spans="15:15" x14ac:dyDescent="0.25">
      <c r="O880" s="20" t="str">
        <f>IF(N880="","",COUNTIFS(RawData[[Date ]],N880,RawData[Month List],$Q$6,RawData[Tour/Site],$Q$2,RawData[[Picker ID ]],$Q$3,RawData[Checker ID],$Q$4,RawData[[Error Type ]],$Q$5))</f>
        <v/>
      </c>
    </row>
    <row r="881" spans="15:15" x14ac:dyDescent="0.25">
      <c r="O881" s="20" t="str">
        <f>IF(N881="","",COUNTIFS(RawData[[Date ]],N881,RawData[Month List],$Q$6,RawData[Tour/Site],$Q$2,RawData[[Picker ID ]],$Q$3,RawData[Checker ID],$Q$4,RawData[[Error Type ]],$Q$5))</f>
        <v/>
      </c>
    </row>
    <row r="882" spans="15:15" x14ac:dyDescent="0.25">
      <c r="O882" s="20" t="str">
        <f>IF(N882="","",COUNTIFS(RawData[[Date ]],N882,RawData[Month List],$Q$6,RawData[Tour/Site],$Q$2,RawData[[Picker ID ]],$Q$3,RawData[Checker ID],$Q$4,RawData[[Error Type ]],$Q$5))</f>
        <v/>
      </c>
    </row>
    <row r="883" spans="15:15" x14ac:dyDescent="0.25">
      <c r="O883" s="20" t="str">
        <f>IF(N883="","",COUNTIFS(RawData[[Date ]],N883,RawData[Month List],$Q$6,RawData[Tour/Site],$Q$2,RawData[[Picker ID ]],$Q$3,RawData[Checker ID],$Q$4,RawData[[Error Type ]],$Q$5))</f>
        <v/>
      </c>
    </row>
    <row r="884" spans="15:15" x14ac:dyDescent="0.25">
      <c r="O884" s="20" t="str">
        <f>IF(N884="","",COUNTIFS(RawData[[Date ]],N884,RawData[Month List],$Q$6,RawData[Tour/Site],$Q$2,RawData[[Picker ID ]],$Q$3,RawData[Checker ID],$Q$4,RawData[[Error Type ]],$Q$5))</f>
        <v/>
      </c>
    </row>
    <row r="885" spans="15:15" x14ac:dyDescent="0.25">
      <c r="O885" s="20" t="str">
        <f>IF(N885="","",COUNTIFS(RawData[[Date ]],N885,RawData[Month List],$Q$6,RawData[Tour/Site],$Q$2,RawData[[Picker ID ]],$Q$3,RawData[Checker ID],$Q$4,RawData[[Error Type ]],$Q$5))</f>
        <v/>
      </c>
    </row>
    <row r="886" spans="15:15" x14ac:dyDescent="0.25">
      <c r="O886" s="20" t="str">
        <f>IF(N886="","",COUNTIFS(RawData[[Date ]],N886,RawData[Month List],$Q$6,RawData[Tour/Site],$Q$2,RawData[[Picker ID ]],$Q$3,RawData[Checker ID],$Q$4,RawData[[Error Type ]],$Q$5))</f>
        <v/>
      </c>
    </row>
    <row r="887" spans="15:15" x14ac:dyDescent="0.25">
      <c r="O887" s="20" t="str">
        <f>IF(N887="","",COUNTIFS(RawData[[Date ]],N887,RawData[Month List],$Q$6,RawData[Tour/Site],$Q$2,RawData[[Picker ID ]],$Q$3,RawData[Checker ID],$Q$4,RawData[[Error Type ]],$Q$5))</f>
        <v/>
      </c>
    </row>
    <row r="888" spans="15:15" x14ac:dyDescent="0.25">
      <c r="O888" s="20" t="str">
        <f>IF(N888="","",COUNTIFS(RawData[[Date ]],N888,RawData[Month List],$Q$6,RawData[Tour/Site],$Q$2,RawData[[Picker ID ]],$Q$3,RawData[Checker ID],$Q$4,RawData[[Error Type ]],$Q$5))</f>
        <v/>
      </c>
    </row>
    <row r="889" spans="15:15" x14ac:dyDescent="0.25">
      <c r="O889" s="20" t="str">
        <f>IF(N889="","",COUNTIFS(RawData[[Date ]],N889,RawData[Month List],$Q$6,RawData[Tour/Site],$Q$2,RawData[[Picker ID ]],$Q$3,RawData[Checker ID],$Q$4,RawData[[Error Type ]],$Q$5))</f>
        <v/>
      </c>
    </row>
    <row r="890" spans="15:15" x14ac:dyDescent="0.25">
      <c r="O890" s="20" t="str">
        <f>IF(N890="","",COUNTIFS(RawData[[Date ]],N890,RawData[Month List],$Q$6,RawData[Tour/Site],$Q$2,RawData[[Picker ID ]],$Q$3,RawData[Checker ID],$Q$4,RawData[[Error Type ]],$Q$5))</f>
        <v/>
      </c>
    </row>
    <row r="891" spans="15:15" x14ac:dyDescent="0.25">
      <c r="O891" s="20" t="str">
        <f>IF(N891="","",COUNTIFS(RawData[[Date ]],N891,RawData[Month List],$Q$6,RawData[Tour/Site],$Q$2,RawData[[Picker ID ]],$Q$3,RawData[Checker ID],$Q$4,RawData[[Error Type ]],$Q$5))</f>
        <v/>
      </c>
    </row>
    <row r="892" spans="15:15" x14ac:dyDescent="0.25">
      <c r="O892" s="20" t="str">
        <f>IF(N892="","",COUNTIFS(RawData[[Date ]],N892,RawData[Month List],$Q$6,RawData[Tour/Site],$Q$2,RawData[[Picker ID ]],$Q$3,RawData[Checker ID],$Q$4,RawData[[Error Type ]],$Q$5))</f>
        <v/>
      </c>
    </row>
    <row r="893" spans="15:15" x14ac:dyDescent="0.25">
      <c r="O893" s="20" t="str">
        <f>IF(N893="","",COUNTIFS(RawData[[Date ]],N893,RawData[Month List],$Q$6,RawData[Tour/Site],$Q$2,RawData[[Picker ID ]],$Q$3,RawData[Checker ID],$Q$4,RawData[[Error Type ]],$Q$5))</f>
        <v/>
      </c>
    </row>
    <row r="894" spans="15:15" x14ac:dyDescent="0.25">
      <c r="O894" s="20" t="str">
        <f>IF(N894="","",COUNTIFS(RawData[[Date ]],N894,RawData[Month List],$Q$6,RawData[Tour/Site],$Q$2,RawData[[Picker ID ]],$Q$3,RawData[Checker ID],$Q$4,RawData[[Error Type ]],$Q$5))</f>
        <v/>
      </c>
    </row>
    <row r="895" spans="15:15" x14ac:dyDescent="0.25">
      <c r="O895" s="20" t="str">
        <f>IF(N895="","",COUNTIFS(RawData[[Date ]],N895,RawData[Month List],$Q$6,RawData[Tour/Site],$Q$2,RawData[[Picker ID ]],$Q$3,RawData[Checker ID],$Q$4,RawData[[Error Type ]],$Q$5))</f>
        <v/>
      </c>
    </row>
    <row r="896" spans="15:15" x14ac:dyDescent="0.25">
      <c r="O896" s="20" t="str">
        <f>IF(N896="","",COUNTIFS(RawData[[Date ]],N896,RawData[Month List],$Q$6,RawData[Tour/Site],$Q$2,RawData[[Picker ID ]],$Q$3,RawData[Checker ID],$Q$4,RawData[[Error Type ]],$Q$5))</f>
        <v/>
      </c>
    </row>
    <row r="897" spans="15:15" x14ac:dyDescent="0.25">
      <c r="O897" s="20" t="str">
        <f>IF(N897="","",COUNTIFS(RawData[[Date ]],N897,RawData[Month List],$Q$6,RawData[Tour/Site],$Q$2,RawData[[Picker ID ]],$Q$3,RawData[Checker ID],$Q$4,RawData[[Error Type ]],$Q$5))</f>
        <v/>
      </c>
    </row>
    <row r="898" spans="15:15" x14ac:dyDescent="0.25">
      <c r="O898" s="20" t="str">
        <f>IF(N898="","",COUNTIFS(RawData[[Date ]],N898,RawData[Month List],$Q$6,RawData[Tour/Site],$Q$2,RawData[[Picker ID ]],$Q$3,RawData[Checker ID],$Q$4,RawData[[Error Type ]],$Q$5))</f>
        <v/>
      </c>
    </row>
    <row r="899" spans="15:15" x14ac:dyDescent="0.25">
      <c r="O899" s="20" t="str">
        <f>IF(N899="","",COUNTIFS(RawData[[Date ]],N899,RawData[Month List],$Q$6,RawData[Tour/Site],$Q$2,RawData[[Picker ID ]],$Q$3,RawData[Checker ID],$Q$4,RawData[[Error Type ]],$Q$5))</f>
        <v/>
      </c>
    </row>
    <row r="900" spans="15:15" x14ac:dyDescent="0.25">
      <c r="O900" s="20" t="str">
        <f>IF(N900="","",COUNTIFS(RawData[[Date ]],N900,RawData[Month List],$Q$6,RawData[Tour/Site],$Q$2,RawData[[Picker ID ]],$Q$3,RawData[Checker ID],$Q$4,RawData[[Error Type ]],$Q$5))</f>
        <v/>
      </c>
    </row>
    <row r="901" spans="15:15" x14ac:dyDescent="0.25">
      <c r="O901" s="20" t="str">
        <f>IF(N901="","",COUNTIFS(RawData[[Date ]],N901,RawData[Month List],$Q$6,RawData[Tour/Site],$Q$2,RawData[[Picker ID ]],$Q$3,RawData[Checker ID],$Q$4,RawData[[Error Type ]],$Q$5))</f>
        <v/>
      </c>
    </row>
    <row r="902" spans="15:15" x14ac:dyDescent="0.25">
      <c r="O902" s="20" t="str">
        <f>IF(N902="","",COUNTIFS(RawData[[Date ]],N902,RawData[Month List],$Q$6,RawData[Tour/Site],$Q$2,RawData[[Picker ID ]],$Q$3,RawData[Checker ID],$Q$4,RawData[[Error Type ]],$Q$5))</f>
        <v/>
      </c>
    </row>
    <row r="903" spans="15:15" x14ac:dyDescent="0.25">
      <c r="O903" s="20" t="str">
        <f>IF(N903="","",COUNTIFS(RawData[[Date ]],N903,RawData[Month List],$Q$6,RawData[Tour/Site],$Q$2,RawData[[Picker ID ]],$Q$3,RawData[Checker ID],$Q$4,RawData[[Error Type ]],$Q$5))</f>
        <v/>
      </c>
    </row>
    <row r="904" spans="15:15" x14ac:dyDescent="0.25">
      <c r="O904" s="20" t="str">
        <f>IF(N904="","",COUNTIFS(RawData[[Date ]],N904,RawData[Month List],$Q$6,RawData[Tour/Site],$Q$2,RawData[[Picker ID ]],$Q$3,RawData[Checker ID],$Q$4,RawData[[Error Type ]],$Q$5))</f>
        <v/>
      </c>
    </row>
    <row r="905" spans="15:15" x14ac:dyDescent="0.25">
      <c r="O905" s="20" t="str">
        <f>IF(N905="","",COUNTIFS(RawData[[Date ]],N905,RawData[Month List],$Q$6,RawData[Tour/Site],$Q$2,RawData[[Picker ID ]],$Q$3,RawData[Checker ID],$Q$4,RawData[[Error Type ]],$Q$5))</f>
        <v/>
      </c>
    </row>
    <row r="906" spans="15:15" x14ac:dyDescent="0.25">
      <c r="O906" s="20" t="str">
        <f>IF(N906="","",COUNTIFS(RawData[[Date ]],N906,RawData[Month List],$Q$6,RawData[Tour/Site],$Q$2,RawData[[Picker ID ]],$Q$3,RawData[Checker ID],$Q$4,RawData[[Error Type ]],$Q$5))</f>
        <v/>
      </c>
    </row>
    <row r="907" spans="15:15" x14ac:dyDescent="0.25">
      <c r="O907" s="20" t="str">
        <f>IF(N907="","",COUNTIFS(RawData[[Date ]],N907,RawData[Month List],$Q$6,RawData[Tour/Site],$Q$2,RawData[[Picker ID ]],$Q$3,RawData[Checker ID],$Q$4,RawData[[Error Type ]],$Q$5))</f>
        <v/>
      </c>
    </row>
    <row r="908" spans="15:15" x14ac:dyDescent="0.25">
      <c r="O908" s="20" t="str">
        <f>IF(N908="","",COUNTIFS(RawData[[Date ]],N908,RawData[Month List],$Q$6,RawData[Tour/Site],$Q$2,RawData[[Picker ID ]],$Q$3,RawData[Checker ID],$Q$4,RawData[[Error Type ]],$Q$5))</f>
        <v/>
      </c>
    </row>
    <row r="909" spans="15:15" x14ac:dyDescent="0.25">
      <c r="O909" s="20" t="str">
        <f>IF(N909="","",COUNTIFS(RawData[[Date ]],N909,RawData[Month List],$Q$6,RawData[Tour/Site],$Q$2,RawData[[Picker ID ]],$Q$3,RawData[Checker ID],$Q$4,RawData[[Error Type ]],$Q$5))</f>
        <v/>
      </c>
    </row>
    <row r="910" spans="15:15" x14ac:dyDescent="0.25">
      <c r="O910" s="20" t="str">
        <f>IF(N910="","",COUNTIFS(RawData[[Date ]],N910,RawData[Month List],$Q$6,RawData[Tour/Site],$Q$2,RawData[[Picker ID ]],$Q$3,RawData[Checker ID],$Q$4,RawData[[Error Type ]],$Q$5))</f>
        <v/>
      </c>
    </row>
    <row r="911" spans="15:15" x14ac:dyDescent="0.25">
      <c r="O911" s="20" t="str">
        <f>IF(N911="","",COUNTIFS(RawData[[Date ]],N911,RawData[Month List],$Q$6,RawData[Tour/Site],$Q$2,RawData[[Picker ID ]],$Q$3,RawData[Checker ID],$Q$4,RawData[[Error Type ]],$Q$5))</f>
        <v/>
      </c>
    </row>
    <row r="912" spans="15:15" x14ac:dyDescent="0.25">
      <c r="O912" s="20" t="str">
        <f>IF(N912="","",COUNTIFS(RawData[[Date ]],N912,RawData[Month List],$Q$6,RawData[Tour/Site],$Q$2,RawData[[Picker ID ]],$Q$3,RawData[Checker ID],$Q$4,RawData[[Error Type ]],$Q$5))</f>
        <v/>
      </c>
    </row>
    <row r="913" spans="15:15" x14ac:dyDescent="0.25">
      <c r="O913" s="20" t="str">
        <f>IF(N913="","",COUNTIFS(RawData[[Date ]],N913,RawData[Month List],$Q$6,RawData[Tour/Site],$Q$2,RawData[[Picker ID ]],$Q$3,RawData[Checker ID],$Q$4,RawData[[Error Type ]],$Q$5))</f>
        <v/>
      </c>
    </row>
    <row r="914" spans="15:15" x14ac:dyDescent="0.25">
      <c r="O914" s="20" t="str">
        <f>IF(N914="","",COUNTIFS(RawData[[Date ]],N914,RawData[Month List],$Q$6,RawData[Tour/Site],$Q$2,RawData[[Picker ID ]],$Q$3,RawData[Checker ID],$Q$4,RawData[[Error Type ]],$Q$5))</f>
        <v/>
      </c>
    </row>
    <row r="915" spans="15:15" x14ac:dyDescent="0.25">
      <c r="O915" s="20" t="str">
        <f>IF(N915="","",COUNTIFS(RawData[[Date ]],N915,RawData[Month List],$Q$6,RawData[Tour/Site],$Q$2,RawData[[Picker ID ]],$Q$3,RawData[Checker ID],$Q$4,RawData[[Error Type ]],$Q$5))</f>
        <v/>
      </c>
    </row>
    <row r="916" spans="15:15" x14ac:dyDescent="0.25">
      <c r="O916" s="20" t="str">
        <f>IF(N916="","",COUNTIFS(RawData[[Date ]],N916,RawData[Month List],$Q$6,RawData[Tour/Site],$Q$2,RawData[[Picker ID ]],$Q$3,RawData[Checker ID],$Q$4,RawData[[Error Type ]],$Q$5))</f>
        <v/>
      </c>
    </row>
    <row r="917" spans="15:15" x14ac:dyDescent="0.25">
      <c r="O917" s="20" t="str">
        <f>IF(N917="","",COUNTIFS(RawData[[Date ]],N917,RawData[Month List],$Q$6,RawData[Tour/Site],$Q$2,RawData[[Picker ID ]],$Q$3,RawData[Checker ID],$Q$4,RawData[[Error Type ]],$Q$5))</f>
        <v/>
      </c>
    </row>
    <row r="918" spans="15:15" x14ac:dyDescent="0.25">
      <c r="O918" s="20" t="str">
        <f>IF(N918="","",COUNTIFS(RawData[[Date ]],N918,RawData[Month List],$Q$6,RawData[Tour/Site],$Q$2,RawData[[Picker ID ]],$Q$3,RawData[Checker ID],$Q$4,RawData[[Error Type ]],$Q$5))</f>
        <v/>
      </c>
    </row>
    <row r="919" spans="15:15" x14ac:dyDescent="0.25">
      <c r="O919" s="20" t="str">
        <f>IF(N919="","",COUNTIFS(RawData[[Date ]],N919,RawData[Month List],$Q$6,RawData[Tour/Site],$Q$2,RawData[[Picker ID ]],$Q$3,RawData[Checker ID],$Q$4,RawData[[Error Type ]],$Q$5))</f>
        <v/>
      </c>
    </row>
    <row r="920" spans="15:15" x14ac:dyDescent="0.25">
      <c r="O920" s="20" t="str">
        <f>IF(N920="","",COUNTIFS(RawData[[Date ]],N920,RawData[Month List],$Q$6,RawData[Tour/Site],$Q$2,RawData[[Picker ID ]],$Q$3,RawData[Checker ID],$Q$4,RawData[[Error Type ]],$Q$5))</f>
        <v/>
      </c>
    </row>
    <row r="921" spans="15:15" x14ac:dyDescent="0.25">
      <c r="O921" s="20" t="str">
        <f>IF(N921="","",COUNTIFS(RawData[[Date ]],N921,RawData[Month List],$Q$6,RawData[Tour/Site],$Q$2,RawData[[Picker ID ]],$Q$3,RawData[Checker ID],$Q$4,RawData[[Error Type ]],$Q$5))</f>
        <v/>
      </c>
    </row>
    <row r="922" spans="15:15" x14ac:dyDescent="0.25">
      <c r="O922" s="20" t="str">
        <f>IF(N922="","",COUNTIFS(RawData[[Date ]],N922,RawData[Month List],$Q$6,RawData[Tour/Site],$Q$2,RawData[[Picker ID ]],$Q$3,RawData[Checker ID],$Q$4,RawData[[Error Type ]],$Q$5))</f>
        <v/>
      </c>
    </row>
    <row r="923" spans="15:15" x14ac:dyDescent="0.25">
      <c r="O923" s="20" t="str">
        <f>IF(N923="","",COUNTIFS(RawData[[Date ]],N923,RawData[Month List],$Q$6,RawData[Tour/Site],$Q$2,RawData[[Picker ID ]],$Q$3,RawData[Checker ID],$Q$4,RawData[[Error Type ]],$Q$5))</f>
        <v/>
      </c>
    </row>
    <row r="924" spans="15:15" x14ac:dyDescent="0.25">
      <c r="O924" s="20" t="str">
        <f>IF(N924="","",COUNTIFS(RawData[[Date ]],N924,RawData[Month List],$Q$6,RawData[Tour/Site],$Q$2,RawData[[Picker ID ]],$Q$3,RawData[Checker ID],$Q$4,RawData[[Error Type ]],$Q$5))</f>
        <v/>
      </c>
    </row>
    <row r="925" spans="15:15" x14ac:dyDescent="0.25">
      <c r="O925" s="20" t="str">
        <f>IF(N925="","",COUNTIFS(RawData[[Date ]],N925,RawData[Month List],$Q$6,RawData[Tour/Site],$Q$2,RawData[[Picker ID ]],$Q$3,RawData[Checker ID],$Q$4,RawData[[Error Type ]],$Q$5))</f>
        <v/>
      </c>
    </row>
    <row r="926" spans="15:15" x14ac:dyDescent="0.25">
      <c r="O926" s="20" t="str">
        <f>IF(N926="","",COUNTIFS(RawData[[Date ]],N926,RawData[Month List],$Q$6,RawData[Tour/Site],$Q$2,RawData[[Picker ID ]],$Q$3,RawData[Checker ID],$Q$4,RawData[[Error Type ]],$Q$5))</f>
        <v/>
      </c>
    </row>
    <row r="927" spans="15:15" x14ac:dyDescent="0.25">
      <c r="O927" s="20" t="str">
        <f>IF(N927="","",COUNTIFS(RawData[[Date ]],N927,RawData[Month List],$Q$6,RawData[Tour/Site],$Q$2,RawData[[Picker ID ]],$Q$3,RawData[Checker ID],$Q$4,RawData[[Error Type ]],$Q$5))</f>
        <v/>
      </c>
    </row>
    <row r="928" spans="15:15" x14ac:dyDescent="0.25">
      <c r="O928" s="20" t="str">
        <f>IF(N928="","",COUNTIFS(RawData[[Date ]],N928,RawData[Month List],$Q$6,RawData[Tour/Site],$Q$2,RawData[[Picker ID ]],$Q$3,RawData[Checker ID],$Q$4,RawData[[Error Type ]],$Q$5))</f>
        <v/>
      </c>
    </row>
    <row r="929" spans="15:15" x14ac:dyDescent="0.25">
      <c r="O929" s="20" t="str">
        <f>IF(N929="","",COUNTIFS(RawData[[Date ]],N929,RawData[Month List],$Q$6,RawData[Tour/Site],$Q$2,RawData[[Picker ID ]],$Q$3,RawData[Checker ID],$Q$4,RawData[[Error Type ]],$Q$5))</f>
        <v/>
      </c>
    </row>
    <row r="930" spans="15:15" x14ac:dyDescent="0.25">
      <c r="O930" s="20" t="str">
        <f>IF(N930="","",COUNTIFS(RawData[[Date ]],N930,RawData[Month List],$Q$6,RawData[Tour/Site],$Q$2,RawData[[Picker ID ]],$Q$3,RawData[Checker ID],$Q$4,RawData[[Error Type ]],$Q$5))</f>
        <v/>
      </c>
    </row>
    <row r="931" spans="15:15" x14ac:dyDescent="0.25">
      <c r="O931" s="20" t="str">
        <f>IF(N931="","",COUNTIFS(RawData[[Date ]],N931,RawData[Month List],$Q$6,RawData[Tour/Site],$Q$2,RawData[[Picker ID ]],$Q$3,RawData[Checker ID],$Q$4,RawData[[Error Type ]],$Q$5))</f>
        <v/>
      </c>
    </row>
    <row r="932" spans="15:15" x14ac:dyDescent="0.25">
      <c r="O932" s="20" t="str">
        <f>IF(N932="","",COUNTIFS(RawData[[Date ]],N932,RawData[Month List],$Q$6,RawData[Tour/Site],$Q$2,RawData[[Picker ID ]],$Q$3,RawData[Checker ID],$Q$4,RawData[[Error Type ]],$Q$5))</f>
        <v/>
      </c>
    </row>
    <row r="933" spans="15:15" x14ac:dyDescent="0.25">
      <c r="O933" s="20" t="str">
        <f>IF(N933="","",COUNTIFS(RawData[[Date ]],N933,RawData[Month List],$Q$6,RawData[Tour/Site],$Q$2,RawData[[Picker ID ]],$Q$3,RawData[Checker ID],$Q$4,RawData[[Error Type ]],$Q$5))</f>
        <v/>
      </c>
    </row>
    <row r="934" spans="15:15" x14ac:dyDescent="0.25">
      <c r="O934" s="20" t="str">
        <f>IF(N934="","",COUNTIFS(RawData[[Date ]],N934,RawData[Month List],$Q$6,RawData[Tour/Site],$Q$2,RawData[[Picker ID ]],$Q$3,RawData[Checker ID],$Q$4,RawData[[Error Type ]],$Q$5))</f>
        <v/>
      </c>
    </row>
    <row r="935" spans="15:15" x14ac:dyDescent="0.25">
      <c r="O935" s="20" t="str">
        <f>IF(N935="","",COUNTIFS(RawData[[Date ]],N935,RawData[Month List],$Q$6,RawData[Tour/Site],$Q$2,RawData[[Picker ID ]],$Q$3,RawData[Checker ID],$Q$4,RawData[[Error Type ]],$Q$5))</f>
        <v/>
      </c>
    </row>
    <row r="936" spans="15:15" x14ac:dyDescent="0.25">
      <c r="O936" s="20" t="str">
        <f>IF(N936="","",COUNTIFS(RawData[[Date ]],N936,RawData[Month List],$Q$6,RawData[Tour/Site],$Q$2,RawData[[Picker ID ]],$Q$3,RawData[Checker ID],$Q$4,RawData[[Error Type ]],$Q$5))</f>
        <v/>
      </c>
    </row>
    <row r="937" spans="15:15" x14ac:dyDescent="0.25">
      <c r="O937" s="20" t="str">
        <f>IF(N937="","",COUNTIFS(RawData[[Date ]],N937,RawData[Month List],$Q$6,RawData[Tour/Site],$Q$2,RawData[[Picker ID ]],$Q$3,RawData[Checker ID],$Q$4,RawData[[Error Type ]],$Q$5))</f>
        <v/>
      </c>
    </row>
    <row r="938" spans="15:15" x14ac:dyDescent="0.25">
      <c r="O938" s="20" t="str">
        <f>IF(N938="","",COUNTIFS(RawData[[Date ]],N938,RawData[Month List],$Q$6,RawData[Tour/Site],$Q$2,RawData[[Picker ID ]],$Q$3,RawData[Checker ID],$Q$4,RawData[[Error Type ]],$Q$5))</f>
        <v/>
      </c>
    </row>
    <row r="939" spans="15:15" x14ac:dyDescent="0.25">
      <c r="O939" s="20" t="str">
        <f>IF(N939="","",COUNTIFS(RawData[[Date ]],N939,RawData[Month List],$Q$6,RawData[Tour/Site],$Q$2,RawData[[Picker ID ]],$Q$3,RawData[Checker ID],$Q$4,RawData[[Error Type ]],$Q$5))</f>
        <v/>
      </c>
    </row>
    <row r="940" spans="15:15" x14ac:dyDescent="0.25">
      <c r="O940" s="20" t="str">
        <f>IF(N940="","",COUNTIFS(RawData[[Date ]],N940,RawData[Month List],$Q$6,RawData[Tour/Site],$Q$2,RawData[[Picker ID ]],$Q$3,RawData[Checker ID],$Q$4,RawData[[Error Type ]],$Q$5))</f>
        <v/>
      </c>
    </row>
    <row r="941" spans="15:15" x14ac:dyDescent="0.25">
      <c r="O941" s="20" t="str">
        <f>IF(N941="","",COUNTIFS(RawData[[Date ]],N941,RawData[Month List],$Q$6,RawData[Tour/Site],$Q$2,RawData[[Picker ID ]],$Q$3,RawData[Checker ID],$Q$4,RawData[[Error Type ]],$Q$5))</f>
        <v/>
      </c>
    </row>
    <row r="942" spans="15:15" x14ac:dyDescent="0.25">
      <c r="O942" s="20" t="str">
        <f>IF(N942="","",COUNTIFS(RawData[[Date ]],N942,RawData[Month List],$Q$6,RawData[Tour/Site],$Q$2,RawData[[Picker ID ]],$Q$3,RawData[Checker ID],$Q$4,RawData[[Error Type ]],$Q$5))</f>
        <v/>
      </c>
    </row>
    <row r="943" spans="15:15" x14ac:dyDescent="0.25">
      <c r="O943" s="20" t="str">
        <f>IF(N943="","",COUNTIFS(RawData[[Date ]],N943,RawData[Month List],$Q$6,RawData[Tour/Site],$Q$2,RawData[[Picker ID ]],$Q$3,RawData[Checker ID],$Q$4,RawData[[Error Type ]],$Q$5))</f>
        <v/>
      </c>
    </row>
    <row r="944" spans="15:15" x14ac:dyDescent="0.25">
      <c r="O944" s="20" t="str">
        <f>IF(N944="","",COUNTIFS(RawData[[Date ]],N944,RawData[Month List],$Q$6,RawData[Tour/Site],$Q$2,RawData[[Picker ID ]],$Q$3,RawData[Checker ID],$Q$4,RawData[[Error Type ]],$Q$5))</f>
        <v/>
      </c>
    </row>
    <row r="945" spans="15:15" x14ac:dyDescent="0.25">
      <c r="O945" s="20" t="str">
        <f>IF(N945="","",COUNTIFS(RawData[[Date ]],N945,RawData[Month List],$Q$6,RawData[Tour/Site],$Q$2,RawData[[Picker ID ]],$Q$3,RawData[Checker ID],$Q$4,RawData[[Error Type ]],$Q$5))</f>
        <v/>
      </c>
    </row>
    <row r="946" spans="15:15" x14ac:dyDescent="0.25">
      <c r="O946" s="20" t="str">
        <f>IF(N946="","",COUNTIFS(RawData[[Date ]],N946,RawData[Month List],$Q$6,RawData[Tour/Site],$Q$2,RawData[[Picker ID ]],$Q$3,RawData[Checker ID],$Q$4,RawData[[Error Type ]],$Q$5))</f>
        <v/>
      </c>
    </row>
    <row r="947" spans="15:15" x14ac:dyDescent="0.25">
      <c r="O947" s="20" t="str">
        <f>IF(N947="","",COUNTIFS(RawData[[Date ]],N947,RawData[Month List],$Q$6,RawData[Tour/Site],$Q$2,RawData[[Picker ID ]],$Q$3,RawData[Checker ID],$Q$4,RawData[[Error Type ]],$Q$5))</f>
        <v/>
      </c>
    </row>
    <row r="948" spans="15:15" x14ac:dyDescent="0.25">
      <c r="O948" s="20" t="str">
        <f>IF(N948="","",COUNTIFS(RawData[[Date ]],N948,RawData[Month List],$Q$6,RawData[Tour/Site],$Q$2,RawData[[Picker ID ]],$Q$3,RawData[Checker ID],$Q$4,RawData[[Error Type ]],$Q$5))</f>
        <v/>
      </c>
    </row>
    <row r="949" spans="15:15" x14ac:dyDescent="0.25">
      <c r="O949" s="20" t="str">
        <f>IF(N949="","",COUNTIFS(RawData[[Date ]],N949,RawData[Month List],$Q$6,RawData[Tour/Site],$Q$2,RawData[[Picker ID ]],$Q$3,RawData[Checker ID],$Q$4,RawData[[Error Type ]],$Q$5))</f>
        <v/>
      </c>
    </row>
    <row r="950" spans="15:15" x14ac:dyDescent="0.25">
      <c r="O950" s="20" t="str">
        <f>IF(N950="","",COUNTIFS(RawData[[Date ]],N950,RawData[Month List],$Q$6,RawData[Tour/Site],$Q$2,RawData[[Picker ID ]],$Q$3,RawData[Checker ID],$Q$4,RawData[[Error Type ]],$Q$5))</f>
        <v/>
      </c>
    </row>
    <row r="951" spans="15:15" x14ac:dyDescent="0.25">
      <c r="O951" s="20" t="str">
        <f>IF(N951="","",COUNTIFS(RawData[[Date ]],N951,RawData[Month List],$Q$6,RawData[Tour/Site],$Q$2,RawData[[Picker ID ]],$Q$3,RawData[Checker ID],$Q$4,RawData[[Error Type ]],$Q$5))</f>
        <v/>
      </c>
    </row>
    <row r="952" spans="15:15" x14ac:dyDescent="0.25">
      <c r="O952" s="20" t="str">
        <f>IF(N952="","",COUNTIFS(RawData[[Date ]],N952,RawData[Month List],$Q$6,RawData[Tour/Site],$Q$2,RawData[[Picker ID ]],$Q$3,RawData[Checker ID],$Q$4,RawData[[Error Type ]],$Q$5))</f>
        <v/>
      </c>
    </row>
    <row r="953" spans="15:15" x14ac:dyDescent="0.25">
      <c r="O953" s="20" t="str">
        <f>IF(N953="","",COUNTIFS(RawData[[Date ]],N953,RawData[Month List],$Q$6,RawData[Tour/Site],$Q$2,RawData[[Picker ID ]],$Q$3,RawData[Checker ID],$Q$4,RawData[[Error Type ]],$Q$5))</f>
        <v/>
      </c>
    </row>
    <row r="954" spans="15:15" x14ac:dyDescent="0.25">
      <c r="O954" s="20" t="str">
        <f>IF(N954="","",COUNTIFS(RawData[[Date ]],N954,RawData[Month List],$Q$6,RawData[Tour/Site],$Q$2,RawData[[Picker ID ]],$Q$3,RawData[Checker ID],$Q$4,RawData[[Error Type ]],$Q$5))</f>
        <v/>
      </c>
    </row>
    <row r="955" spans="15:15" x14ac:dyDescent="0.25">
      <c r="O955" s="20" t="str">
        <f>IF(N955="","",COUNTIFS(RawData[[Date ]],N955,RawData[Month List],$Q$6,RawData[Tour/Site],$Q$2,RawData[[Picker ID ]],$Q$3,RawData[Checker ID],$Q$4,RawData[[Error Type ]],$Q$5))</f>
        <v/>
      </c>
    </row>
    <row r="956" spans="15:15" x14ac:dyDescent="0.25">
      <c r="O956" s="20" t="str">
        <f>IF(N956="","",COUNTIFS(RawData[[Date ]],N956,RawData[Month List],$Q$6,RawData[Tour/Site],$Q$2,RawData[[Picker ID ]],$Q$3,RawData[Checker ID],$Q$4,RawData[[Error Type ]],$Q$5))</f>
        <v/>
      </c>
    </row>
    <row r="957" spans="15:15" x14ac:dyDescent="0.25">
      <c r="O957" s="20" t="str">
        <f>IF(N957="","",COUNTIFS(RawData[[Date ]],N957,RawData[Month List],$Q$6,RawData[Tour/Site],$Q$2,RawData[[Picker ID ]],$Q$3,RawData[Checker ID],$Q$4,RawData[[Error Type ]],$Q$5))</f>
        <v/>
      </c>
    </row>
    <row r="958" spans="15:15" x14ac:dyDescent="0.25">
      <c r="O958" s="20" t="str">
        <f>IF(N958="","",COUNTIFS(RawData[[Date ]],N958,RawData[Month List],$Q$6,RawData[Tour/Site],$Q$2,RawData[[Picker ID ]],$Q$3,RawData[Checker ID],$Q$4,RawData[[Error Type ]],$Q$5))</f>
        <v/>
      </c>
    </row>
    <row r="959" spans="15:15" x14ac:dyDescent="0.25">
      <c r="O959" s="20" t="str">
        <f>IF(N959="","",COUNTIFS(RawData[[Date ]],N959,RawData[Month List],$Q$6,RawData[Tour/Site],$Q$2,RawData[[Picker ID ]],$Q$3,RawData[Checker ID],$Q$4,RawData[[Error Type ]],$Q$5))</f>
        <v/>
      </c>
    </row>
    <row r="960" spans="15:15" x14ac:dyDescent="0.25">
      <c r="O960" s="20" t="str">
        <f>IF(N960="","",COUNTIFS(RawData[[Date ]],N960,RawData[Month List],$Q$6,RawData[Tour/Site],$Q$2,RawData[[Picker ID ]],$Q$3,RawData[Checker ID],$Q$4,RawData[[Error Type ]],$Q$5))</f>
        <v/>
      </c>
    </row>
    <row r="961" spans="15:15" x14ac:dyDescent="0.25">
      <c r="O961" s="20" t="str">
        <f>IF(N961="","",COUNTIFS(RawData[[Date ]],N961,RawData[Month List],$Q$6,RawData[Tour/Site],$Q$2,RawData[[Picker ID ]],$Q$3,RawData[Checker ID],$Q$4,RawData[[Error Type ]],$Q$5))</f>
        <v/>
      </c>
    </row>
    <row r="962" spans="15:15" x14ac:dyDescent="0.25">
      <c r="O962" s="20" t="str">
        <f>IF(N962="","",COUNTIFS(RawData[[Date ]],N962,RawData[Month List],$Q$6,RawData[Tour/Site],$Q$2,RawData[[Picker ID ]],$Q$3,RawData[Checker ID],$Q$4,RawData[[Error Type ]],$Q$5))</f>
        <v/>
      </c>
    </row>
    <row r="963" spans="15:15" x14ac:dyDescent="0.25">
      <c r="O963" s="20" t="str">
        <f>IF(N963="","",COUNTIFS(RawData[[Date ]],N963,RawData[Month List],$Q$6,RawData[Tour/Site],$Q$2,RawData[[Picker ID ]],$Q$3,RawData[Checker ID],$Q$4,RawData[[Error Type ]],$Q$5))</f>
        <v/>
      </c>
    </row>
    <row r="964" spans="15:15" x14ac:dyDescent="0.25">
      <c r="O964" s="20" t="str">
        <f>IF(N964="","",COUNTIFS(RawData[[Date ]],N964,RawData[Month List],$Q$6,RawData[Tour/Site],$Q$2,RawData[[Picker ID ]],$Q$3,RawData[Checker ID],$Q$4,RawData[[Error Type ]],$Q$5))</f>
        <v/>
      </c>
    </row>
    <row r="965" spans="15:15" x14ac:dyDescent="0.25">
      <c r="O965" s="20" t="str">
        <f>IF(N965="","",COUNTIFS(RawData[[Date ]],N965,RawData[Month List],$Q$6,RawData[Tour/Site],$Q$2,RawData[[Picker ID ]],$Q$3,RawData[Checker ID],$Q$4,RawData[[Error Type ]],$Q$5))</f>
        <v/>
      </c>
    </row>
    <row r="966" spans="15:15" x14ac:dyDescent="0.25">
      <c r="O966" s="20" t="str">
        <f>IF(N966="","",COUNTIFS(RawData[[Date ]],N966,RawData[Month List],$Q$6,RawData[Tour/Site],$Q$2,RawData[[Picker ID ]],$Q$3,RawData[Checker ID],$Q$4,RawData[[Error Type ]],$Q$5))</f>
        <v/>
      </c>
    </row>
    <row r="967" spans="15:15" x14ac:dyDescent="0.25">
      <c r="O967" s="20" t="str">
        <f>IF(N967="","",COUNTIFS(RawData[[Date ]],N967,RawData[Month List],$Q$6,RawData[Tour/Site],$Q$2,RawData[[Picker ID ]],$Q$3,RawData[Checker ID],$Q$4,RawData[[Error Type ]],$Q$5))</f>
        <v/>
      </c>
    </row>
    <row r="968" spans="15:15" x14ac:dyDescent="0.25">
      <c r="O968" s="20" t="str">
        <f>IF(N968="","",COUNTIFS(RawData[[Date ]],N968,RawData[Month List],$Q$6,RawData[Tour/Site],$Q$2,RawData[[Picker ID ]],$Q$3,RawData[Checker ID],$Q$4,RawData[[Error Type ]],$Q$5))</f>
        <v/>
      </c>
    </row>
    <row r="969" spans="15:15" x14ac:dyDescent="0.25">
      <c r="O969" s="20" t="str">
        <f>IF(N969="","",COUNTIFS(RawData[[Date ]],N969,RawData[Month List],$Q$6,RawData[Tour/Site],$Q$2,RawData[[Picker ID ]],$Q$3,RawData[Checker ID],$Q$4,RawData[[Error Type ]],$Q$5))</f>
        <v/>
      </c>
    </row>
    <row r="970" spans="15:15" x14ac:dyDescent="0.25">
      <c r="O970" s="20" t="str">
        <f>IF(N970="","",COUNTIFS(RawData[[Date ]],N970,RawData[Month List],$Q$6,RawData[Tour/Site],$Q$2,RawData[[Picker ID ]],$Q$3,RawData[Checker ID],$Q$4,RawData[[Error Type ]],$Q$5))</f>
        <v/>
      </c>
    </row>
    <row r="971" spans="15:15" x14ac:dyDescent="0.25">
      <c r="O971" s="20" t="str">
        <f>IF(N971="","",COUNTIFS(RawData[[Date ]],N971,RawData[Month List],$Q$6,RawData[Tour/Site],$Q$2,RawData[[Picker ID ]],$Q$3,RawData[Checker ID],$Q$4,RawData[[Error Type ]],$Q$5))</f>
        <v/>
      </c>
    </row>
    <row r="972" spans="15:15" x14ac:dyDescent="0.25">
      <c r="O972" s="20" t="str">
        <f>IF(N972="","",COUNTIFS(RawData[[Date ]],N972,RawData[Month List],$Q$6,RawData[Tour/Site],$Q$2,RawData[[Picker ID ]],$Q$3,RawData[Checker ID],$Q$4,RawData[[Error Type ]],$Q$5))</f>
        <v/>
      </c>
    </row>
    <row r="973" spans="15:15" x14ac:dyDescent="0.25">
      <c r="O973" s="20" t="str">
        <f>IF(N973="","",COUNTIFS(RawData[[Date ]],N973,RawData[Month List],$Q$6,RawData[Tour/Site],$Q$2,RawData[[Picker ID ]],$Q$3,RawData[Checker ID],$Q$4,RawData[[Error Type ]],$Q$5))</f>
        <v/>
      </c>
    </row>
    <row r="974" spans="15:15" x14ac:dyDescent="0.25">
      <c r="O974" s="20" t="str">
        <f>IF(N974="","",COUNTIFS(RawData[[Date ]],N974,RawData[Month List],$Q$6,RawData[Tour/Site],$Q$2,RawData[[Picker ID ]],$Q$3,RawData[Checker ID],$Q$4,RawData[[Error Type ]],$Q$5))</f>
        <v/>
      </c>
    </row>
    <row r="975" spans="15:15" x14ac:dyDescent="0.25">
      <c r="O975" s="20" t="str">
        <f>IF(N975="","",COUNTIFS(RawData[[Date ]],N975,RawData[Month List],$Q$6,RawData[Tour/Site],$Q$2,RawData[[Picker ID ]],$Q$3,RawData[Checker ID],$Q$4,RawData[[Error Type ]],$Q$5))</f>
        <v/>
      </c>
    </row>
    <row r="976" spans="15:15" x14ac:dyDescent="0.25">
      <c r="O976" s="20" t="str">
        <f>IF(N976="","",COUNTIFS(RawData[[Date ]],N976,RawData[Month List],$Q$6,RawData[Tour/Site],$Q$2,RawData[[Picker ID ]],$Q$3,RawData[Checker ID],$Q$4,RawData[[Error Type ]],$Q$5))</f>
        <v/>
      </c>
    </row>
    <row r="977" spans="15:15" x14ac:dyDescent="0.25">
      <c r="O977" s="20" t="str">
        <f>IF(N977="","",COUNTIFS(RawData[[Date ]],N977,RawData[Month List],$Q$6,RawData[Tour/Site],$Q$2,RawData[[Picker ID ]],$Q$3,RawData[Checker ID],$Q$4,RawData[[Error Type ]],$Q$5))</f>
        <v/>
      </c>
    </row>
    <row r="978" spans="15:15" x14ac:dyDescent="0.25">
      <c r="O978" s="20" t="str">
        <f>IF(N978="","",COUNTIFS(RawData[[Date ]],N978,RawData[Month List],$Q$6,RawData[Tour/Site],$Q$2,RawData[[Picker ID ]],$Q$3,RawData[Checker ID],$Q$4,RawData[[Error Type ]],$Q$5))</f>
        <v/>
      </c>
    </row>
    <row r="979" spans="15:15" x14ac:dyDescent="0.25">
      <c r="O979" s="20" t="str">
        <f>IF(N979="","",COUNTIFS(RawData[[Date ]],N979,RawData[Month List],$Q$6,RawData[Tour/Site],$Q$2,RawData[[Picker ID ]],$Q$3,RawData[Checker ID],$Q$4,RawData[[Error Type ]],$Q$5))</f>
        <v/>
      </c>
    </row>
    <row r="980" spans="15:15" x14ac:dyDescent="0.25">
      <c r="O980" s="20" t="str">
        <f>IF(N980="","",COUNTIFS(RawData[[Date ]],N980,RawData[Month List],$Q$6,RawData[Tour/Site],$Q$2,RawData[[Picker ID ]],$Q$3,RawData[Checker ID],$Q$4,RawData[[Error Type ]],$Q$5))</f>
        <v/>
      </c>
    </row>
    <row r="981" spans="15:15" x14ac:dyDescent="0.25">
      <c r="O981" s="20" t="str">
        <f>IF(N981="","",COUNTIFS(RawData[[Date ]],N981,RawData[Month List],$Q$6,RawData[Tour/Site],$Q$2,RawData[[Picker ID ]],$Q$3,RawData[Checker ID],$Q$4,RawData[[Error Type ]],$Q$5))</f>
        <v/>
      </c>
    </row>
    <row r="982" spans="15:15" x14ac:dyDescent="0.25">
      <c r="O982" s="20" t="str">
        <f>IF(N982="","",COUNTIFS(RawData[[Date ]],N982,RawData[Month List],$Q$6,RawData[Tour/Site],$Q$2,RawData[[Picker ID ]],$Q$3,RawData[Checker ID],$Q$4,RawData[[Error Type ]],$Q$5))</f>
        <v/>
      </c>
    </row>
    <row r="983" spans="15:15" x14ac:dyDescent="0.25">
      <c r="O983" s="20" t="str">
        <f>IF(N983="","",COUNTIFS(RawData[[Date ]],N983,RawData[Month List],$Q$6,RawData[Tour/Site],$Q$2,RawData[[Picker ID ]],$Q$3,RawData[Checker ID],$Q$4,RawData[[Error Type ]],$Q$5))</f>
        <v/>
      </c>
    </row>
    <row r="984" spans="15:15" x14ac:dyDescent="0.25">
      <c r="O984" s="20" t="str">
        <f>IF(N984="","",COUNTIFS(RawData[[Date ]],N984,RawData[Month List],$Q$6,RawData[Tour/Site],$Q$2,RawData[[Picker ID ]],$Q$3,RawData[Checker ID],$Q$4,RawData[[Error Type ]],$Q$5))</f>
        <v/>
      </c>
    </row>
    <row r="985" spans="15:15" x14ac:dyDescent="0.25">
      <c r="O985" s="20" t="str">
        <f>IF(N985="","",COUNTIFS(RawData[[Date ]],N985,RawData[Month List],$Q$6,RawData[Tour/Site],$Q$2,RawData[[Picker ID ]],$Q$3,RawData[Checker ID],$Q$4,RawData[[Error Type ]],$Q$5))</f>
        <v/>
      </c>
    </row>
    <row r="986" spans="15:15" x14ac:dyDescent="0.25">
      <c r="O986" s="20" t="str">
        <f>IF(N986="","",COUNTIFS(RawData[[Date ]],N986,RawData[Month List],$Q$6,RawData[Tour/Site],$Q$2,RawData[[Picker ID ]],$Q$3,RawData[Checker ID],$Q$4,RawData[[Error Type ]],$Q$5))</f>
        <v/>
      </c>
    </row>
    <row r="987" spans="15:15" x14ac:dyDescent="0.25">
      <c r="O987" s="20" t="str">
        <f>IF(N987="","",COUNTIFS(RawData[[Date ]],N987,RawData[Month List],$Q$6,RawData[Tour/Site],$Q$2,RawData[[Picker ID ]],$Q$3,RawData[Checker ID],$Q$4,RawData[[Error Type ]],$Q$5))</f>
        <v/>
      </c>
    </row>
    <row r="988" spans="15:15" x14ac:dyDescent="0.25">
      <c r="O988" s="20" t="str">
        <f>IF(N988="","",COUNTIFS(RawData[[Date ]],N988,RawData[Month List],$Q$6,RawData[Tour/Site],$Q$2,RawData[[Picker ID ]],$Q$3,RawData[Checker ID],$Q$4,RawData[[Error Type ]],$Q$5))</f>
        <v/>
      </c>
    </row>
    <row r="989" spans="15:15" x14ac:dyDescent="0.25">
      <c r="O989" s="20" t="str">
        <f>IF(N989="","",COUNTIFS(RawData[[Date ]],N989,RawData[Month List],$Q$6,RawData[Tour/Site],$Q$2,RawData[[Picker ID ]],$Q$3,RawData[Checker ID],$Q$4,RawData[[Error Type ]],$Q$5))</f>
        <v/>
      </c>
    </row>
    <row r="990" spans="15:15" x14ac:dyDescent="0.25">
      <c r="O990" s="20" t="str">
        <f>IF(N990="","",COUNTIFS(RawData[[Date ]],N990,RawData[Month List],$Q$6,RawData[Tour/Site],$Q$2,RawData[[Picker ID ]],$Q$3,RawData[Checker ID],$Q$4,RawData[[Error Type ]],$Q$5))</f>
        <v/>
      </c>
    </row>
    <row r="991" spans="15:15" x14ac:dyDescent="0.25">
      <c r="O991" s="20" t="str">
        <f>IF(N991="","",COUNTIFS(RawData[[Date ]],N991,RawData[Month List],$Q$6,RawData[Tour/Site],$Q$2,RawData[[Picker ID ]],$Q$3,RawData[Checker ID],$Q$4,RawData[[Error Type ]],$Q$5))</f>
        <v/>
      </c>
    </row>
    <row r="992" spans="15:15" x14ac:dyDescent="0.25">
      <c r="O992" s="20" t="str">
        <f>IF(N992="","",COUNTIFS(RawData[[Date ]],N992,RawData[Month List],$Q$6,RawData[Tour/Site],$Q$2,RawData[[Picker ID ]],$Q$3,RawData[Checker ID],$Q$4,RawData[[Error Type ]],$Q$5))</f>
        <v/>
      </c>
    </row>
    <row r="993" spans="15:15" x14ac:dyDescent="0.25">
      <c r="O993" s="20" t="str">
        <f>IF(N993="","",COUNTIFS(RawData[[Date ]],N993,RawData[Month List],$Q$6,RawData[Tour/Site],$Q$2,RawData[[Picker ID ]],$Q$3,RawData[Checker ID],$Q$4,RawData[[Error Type ]],$Q$5))</f>
        <v/>
      </c>
    </row>
    <row r="994" spans="15:15" x14ac:dyDescent="0.25">
      <c r="O994" s="20" t="str">
        <f>IF(N994="","",COUNTIFS(RawData[[Date ]],N994,RawData[Month List],$Q$6,RawData[Tour/Site],$Q$2,RawData[[Picker ID ]],$Q$3,RawData[Checker ID],$Q$4,RawData[[Error Type ]],$Q$5))</f>
        <v/>
      </c>
    </row>
    <row r="995" spans="15:15" x14ac:dyDescent="0.25">
      <c r="O995" s="20" t="str">
        <f>IF(N995="","",COUNTIFS(RawData[[Date ]],N995,RawData[Month List],$Q$6,RawData[Tour/Site],$Q$2,RawData[[Picker ID ]],$Q$3,RawData[Checker ID],$Q$4,RawData[[Error Type ]],$Q$5))</f>
        <v/>
      </c>
    </row>
    <row r="996" spans="15:15" x14ac:dyDescent="0.25">
      <c r="O996" s="20" t="str">
        <f>IF(N996="","",COUNTIFS(RawData[[Date ]],N996,RawData[Month List],$Q$6,RawData[Tour/Site],$Q$2,RawData[[Picker ID ]],$Q$3,RawData[Checker ID],$Q$4,RawData[[Error Type ]],$Q$5))</f>
        <v/>
      </c>
    </row>
    <row r="997" spans="15:15" x14ac:dyDescent="0.25">
      <c r="O997" s="20" t="str">
        <f>IF(N997="","",COUNTIFS(RawData[[Date ]],N997,RawData[Month List],$Q$6,RawData[Tour/Site],$Q$2,RawData[[Picker ID ]],$Q$3,RawData[Checker ID],$Q$4,RawData[[Error Type ]],$Q$5))</f>
        <v/>
      </c>
    </row>
    <row r="998" spans="15:15" x14ac:dyDescent="0.25">
      <c r="O998" s="20" t="str">
        <f>IF(N998="","",COUNTIFS(RawData[[Date ]],N998,RawData[Month List],$Q$6,RawData[Tour/Site],$Q$2,RawData[[Picker ID ]],$Q$3,RawData[Checker ID],$Q$4,RawData[[Error Type ]],$Q$5))</f>
        <v/>
      </c>
    </row>
    <row r="999" spans="15:15" x14ac:dyDescent="0.25">
      <c r="O999" s="20" t="str">
        <f>IF(N999="","",COUNTIFS(RawData[[Date ]],N999,RawData[Month List],$Q$6,RawData[Tour/Site],$Q$2,RawData[[Picker ID ]],$Q$3,RawData[Checker ID],$Q$4,RawData[[Error Type ]],$Q$5))</f>
        <v/>
      </c>
    </row>
    <row r="1000" spans="15:15" x14ac:dyDescent="0.25">
      <c r="O1000" s="20" t="str">
        <f>IF(N1000="","",COUNTIFS(RawData[[Date ]],N1000,RawData[Month List],$Q$6,RawData[Tour/Site],$Q$2,RawData[[Picker ID ]],$Q$3,RawData[Checker ID],$Q$4,RawData[[Error Type ]],$Q$5))</f>
        <v/>
      </c>
    </row>
    <row r="1001" spans="15:15" x14ac:dyDescent="0.25">
      <c r="O1001" s="20" t="str">
        <f>IF(N1001="","",COUNTIFS(RawData[[Date ]],N1001,RawData[Month List],$Q$6,RawData[Tour/Site],$Q$2,RawData[[Picker ID ]],$Q$3,RawData[Checker ID],$Q$4,RawData[[Error Type ]],$Q$5))</f>
        <v/>
      </c>
    </row>
    <row r="1002" spans="15:15" x14ac:dyDescent="0.25">
      <c r="O1002" s="20" t="str">
        <f>IF(N1002="","",COUNTIFS(RawData[[Date ]],N1002,RawData[Month List],$Q$6,RawData[Tour/Site],$Q$2,RawData[[Picker ID ]],$Q$3,RawData[Checker ID],$Q$4,RawData[[Error Type ]],$Q$5))</f>
        <v/>
      </c>
    </row>
    <row r="1003" spans="15:15" x14ac:dyDescent="0.25">
      <c r="O1003" s="20" t="str">
        <f>IF(N1003="","",COUNTIFS(RawData[[Date ]],N1003,RawData[Month List],$Q$6,RawData[Tour/Site],$Q$2,RawData[[Picker ID ]],$Q$3,RawData[Checker ID],$Q$4,RawData[[Error Type ]],$Q$5))</f>
        <v/>
      </c>
    </row>
    <row r="1004" spans="15:15" x14ac:dyDescent="0.25">
      <c r="O1004" s="20" t="str">
        <f>IF(N1004="","",COUNTIFS(RawData[[Date ]],N1004,RawData[Month List],$Q$6,RawData[Tour/Site],$Q$2,RawData[[Picker ID ]],$Q$3,RawData[Checker ID],$Q$4,RawData[[Error Type ]],$Q$5))</f>
        <v/>
      </c>
    </row>
    <row r="1005" spans="15:15" x14ac:dyDescent="0.25">
      <c r="O1005" s="20" t="str">
        <f>IF(N1005="","",COUNTIFS(RawData[[Date ]],N1005,RawData[Month List],$Q$6,RawData[Tour/Site],$Q$2,RawData[[Picker ID ]],$Q$3,RawData[Checker ID],$Q$4,RawData[[Error Type ]],$Q$5))</f>
        <v/>
      </c>
    </row>
    <row r="1006" spans="15:15" x14ac:dyDescent="0.25">
      <c r="O1006" s="20" t="str">
        <f>IF(N1006="","",COUNTIFS(RawData[[Date ]],N1006,RawData[Month List],$Q$6,RawData[Tour/Site],$Q$2,RawData[[Picker ID ]],$Q$3,RawData[Checker ID],$Q$4,RawData[[Error Type ]],$Q$5))</f>
        <v/>
      </c>
    </row>
    <row r="1007" spans="15:15" x14ac:dyDescent="0.25">
      <c r="O1007" s="20" t="str">
        <f>IF(N1007="","",COUNTIFS(RawData[[Date ]],N1007,RawData[Month List],$Q$6,RawData[Tour/Site],$Q$2,RawData[[Picker ID ]],$Q$3,RawData[Checker ID],$Q$4,RawData[[Error Type ]],$Q$5))</f>
        <v/>
      </c>
    </row>
    <row r="1008" spans="15:15" x14ac:dyDescent="0.25">
      <c r="O1008" s="20" t="str">
        <f>IF(N1008="","",COUNTIFS(RawData[[Date ]],N1008,RawData[Month List],$Q$6,RawData[Tour/Site],$Q$2,RawData[[Picker ID ]],$Q$3,RawData[Checker ID],$Q$4,RawData[[Error Type ]],$Q$5))</f>
        <v/>
      </c>
    </row>
    <row r="1009" spans="15:15" x14ac:dyDescent="0.25">
      <c r="O1009" s="20" t="str">
        <f>IF(N1009="","",COUNTIFS(RawData[[Date ]],N1009,RawData[Month List],$Q$6,RawData[Tour/Site],$Q$2,RawData[[Picker ID ]],$Q$3,RawData[Checker ID],$Q$4,RawData[[Error Type ]],$Q$5))</f>
        <v/>
      </c>
    </row>
    <row r="1010" spans="15:15" x14ac:dyDescent="0.25">
      <c r="O1010" s="20" t="str">
        <f>IF(N1010="","",COUNTIFS(RawData[[Date ]],N1010,RawData[Month List],$Q$6,RawData[Tour/Site],$Q$2,RawData[[Picker ID ]],$Q$3,RawData[Checker ID],$Q$4,RawData[[Error Type ]],$Q$5))</f>
        <v/>
      </c>
    </row>
    <row r="1011" spans="15:15" x14ac:dyDescent="0.25">
      <c r="O1011" s="20" t="str">
        <f>IF(N1011="","",COUNTIFS(RawData[[Date ]],N1011,RawData[Month List],$Q$6,RawData[Tour/Site],$Q$2,RawData[[Picker ID ]],$Q$3,RawData[Checker ID],$Q$4,RawData[[Error Type ]],$Q$5))</f>
        <v/>
      </c>
    </row>
    <row r="1012" spans="15:15" x14ac:dyDescent="0.25">
      <c r="O1012" s="20" t="str">
        <f>IF(N1012="","",COUNTIFS(RawData[[Date ]],N1012,RawData[Month List],$Q$6,RawData[Tour/Site],$Q$2,RawData[[Picker ID ]],$Q$3,RawData[Checker ID],$Q$4,RawData[[Error Type ]],$Q$5))</f>
        <v/>
      </c>
    </row>
    <row r="1013" spans="15:15" x14ac:dyDescent="0.25">
      <c r="O1013" s="20" t="str">
        <f>IF(N1013="","",COUNTIFS(RawData[[Date ]],N1013,RawData[Month List],$Q$6,RawData[Tour/Site],$Q$2,RawData[[Picker ID ]],$Q$3,RawData[Checker ID],$Q$4,RawData[[Error Type ]],$Q$5))</f>
        <v/>
      </c>
    </row>
    <row r="1014" spans="15:15" x14ac:dyDescent="0.25">
      <c r="O1014" s="20" t="str">
        <f>IF(N1014="","",COUNTIFS(RawData[[Date ]],N1014,RawData[Month List],$Q$6,RawData[Tour/Site],$Q$2,RawData[[Picker ID ]],$Q$3,RawData[Checker ID],$Q$4,RawData[[Error Type ]],$Q$5))</f>
        <v/>
      </c>
    </row>
    <row r="1015" spans="15:15" x14ac:dyDescent="0.25">
      <c r="O1015" s="20" t="str">
        <f>IF(N1015="","",COUNTIFS(RawData[[Date ]],N1015,RawData[Month List],$Q$6,RawData[Tour/Site],$Q$2,RawData[[Picker ID ]],$Q$3,RawData[Checker ID],$Q$4,RawData[[Error Type ]],$Q$5))</f>
        <v/>
      </c>
    </row>
    <row r="1016" spans="15:15" x14ac:dyDescent="0.25">
      <c r="O1016" s="20" t="str">
        <f>IF(N1016="","",COUNTIFS(RawData[[Date ]],N1016,RawData[Month List],$Q$6,RawData[Tour/Site],$Q$2,RawData[[Picker ID ]],$Q$3,RawData[Checker ID],$Q$4,RawData[[Error Type ]],$Q$5))</f>
        <v/>
      </c>
    </row>
    <row r="1017" spans="15:15" x14ac:dyDescent="0.25">
      <c r="O1017" s="20" t="str">
        <f>IF(N1017="","",COUNTIFS(RawData[[Date ]],N1017,RawData[Month List],$Q$6,RawData[Tour/Site],$Q$2,RawData[[Picker ID ]],$Q$3,RawData[Checker ID],$Q$4,RawData[[Error Type ]],$Q$5))</f>
        <v/>
      </c>
    </row>
    <row r="1018" spans="15:15" x14ac:dyDescent="0.25">
      <c r="O1018" s="20" t="str">
        <f>IF(N1018="","",COUNTIFS(RawData[[Date ]],N1018,RawData[Month List],$Q$6,RawData[Tour/Site],$Q$2,RawData[[Picker ID ]],$Q$3,RawData[Checker ID],$Q$4,RawData[[Error Type ]],$Q$5))</f>
        <v/>
      </c>
    </row>
    <row r="1019" spans="15:15" x14ac:dyDescent="0.25">
      <c r="O1019" s="20" t="str">
        <f>IF(N1019="","",COUNTIFS(RawData[[Date ]],N1019,RawData[Month List],$Q$6,RawData[Tour/Site],$Q$2,RawData[[Picker ID ]],$Q$3,RawData[Checker ID],$Q$4,RawData[[Error Type ]],$Q$5))</f>
        <v/>
      </c>
    </row>
    <row r="1020" spans="15:15" x14ac:dyDescent="0.25">
      <c r="O1020" s="20" t="str">
        <f>IF(N1020="","",COUNTIFS(RawData[[Date ]],N1020,RawData[Month List],$Q$6,RawData[Tour/Site],$Q$2,RawData[[Picker ID ]],$Q$3,RawData[Checker ID],$Q$4,RawData[[Error Type ]],$Q$5))</f>
        <v/>
      </c>
    </row>
    <row r="1021" spans="15:15" x14ac:dyDescent="0.25">
      <c r="O1021" s="20" t="str">
        <f>IF(N1021="","",COUNTIFS(RawData[[Date ]],N1021,RawData[Month List],$Q$6,RawData[Tour/Site],$Q$2,RawData[[Picker ID ]],$Q$3,RawData[Checker ID],$Q$4,RawData[[Error Type ]],$Q$5))</f>
        <v/>
      </c>
    </row>
    <row r="1022" spans="15:15" x14ac:dyDescent="0.25">
      <c r="O1022" s="20" t="str">
        <f>IF(N1022="","",COUNTIFS(RawData[[Date ]],N1022,RawData[Month List],$Q$6,RawData[Tour/Site],$Q$2,RawData[[Picker ID ]],$Q$3,RawData[Checker ID],$Q$4,RawData[[Error Type ]],$Q$5))</f>
        <v/>
      </c>
    </row>
    <row r="1023" spans="15:15" x14ac:dyDescent="0.25">
      <c r="O1023" s="20" t="str">
        <f>IF(N1023="","",COUNTIFS(RawData[[Date ]],N1023,RawData[Month List],$Q$6,RawData[Tour/Site],$Q$2,RawData[[Picker ID ]],$Q$3,RawData[Checker ID],$Q$4,RawData[[Error Type ]],$Q$5))</f>
        <v/>
      </c>
    </row>
    <row r="1024" spans="15:15" x14ac:dyDescent="0.25">
      <c r="O1024" s="20" t="str">
        <f>IF(N1024="","",COUNTIFS(RawData[[Date ]],N1024,RawData[Month List],$Q$6,RawData[Tour/Site],$Q$2,RawData[[Picker ID ]],$Q$3,RawData[Checker ID],$Q$4,RawData[[Error Type ]],$Q$5))</f>
        <v/>
      </c>
    </row>
    <row r="1025" spans="15:15" x14ac:dyDescent="0.25">
      <c r="O1025" s="20" t="str">
        <f>IF(N1025="","",COUNTIFS(RawData[[Date ]],N1025,RawData[Month List],$Q$6,RawData[Tour/Site],$Q$2,RawData[[Picker ID ]],$Q$3,RawData[Checker ID],$Q$4,RawData[[Error Type ]],$Q$5))</f>
        <v/>
      </c>
    </row>
    <row r="1026" spans="15:15" x14ac:dyDescent="0.25">
      <c r="O1026" s="20" t="str">
        <f>IF(N1026="","",COUNTIFS(RawData[[Date ]],N1026,RawData[Month List],$Q$6,RawData[Tour/Site],$Q$2,RawData[[Picker ID ]],$Q$3,RawData[Checker ID],$Q$4,RawData[[Error Type ]],$Q$5))</f>
        <v/>
      </c>
    </row>
    <row r="1027" spans="15:15" x14ac:dyDescent="0.25">
      <c r="O1027" s="20" t="str">
        <f>IF(N1027="","",COUNTIFS(RawData[[Date ]],N1027,RawData[Month List],$Q$6,RawData[Tour/Site],$Q$2,RawData[[Picker ID ]],$Q$3,RawData[Checker ID],$Q$4,RawData[[Error Type ]],$Q$5))</f>
        <v/>
      </c>
    </row>
    <row r="1028" spans="15:15" x14ac:dyDescent="0.25">
      <c r="O1028" s="20" t="str">
        <f>IF(N1028="","",COUNTIFS(RawData[[Date ]],N1028,RawData[Month List],$Q$6,RawData[Tour/Site],$Q$2,RawData[[Picker ID ]],$Q$3,RawData[Checker ID],$Q$4,RawData[[Error Type ]],$Q$5))</f>
        <v/>
      </c>
    </row>
    <row r="1029" spans="15:15" x14ac:dyDescent="0.25">
      <c r="O1029" s="20" t="str">
        <f>IF(N1029="","",COUNTIFS(RawData[[Date ]],N1029,RawData[Month List],$Q$6,RawData[Tour/Site],$Q$2,RawData[[Picker ID ]],$Q$3,RawData[Checker ID],$Q$4,RawData[[Error Type ]],$Q$5))</f>
        <v/>
      </c>
    </row>
    <row r="1030" spans="15:15" x14ac:dyDescent="0.25">
      <c r="O1030" s="20" t="str">
        <f>IF(N1030="","",COUNTIFS(RawData[[Date ]],N1030,RawData[Month List],$Q$6,RawData[Tour/Site],$Q$2,RawData[[Picker ID ]],$Q$3,RawData[Checker ID],$Q$4,RawData[[Error Type ]],$Q$5))</f>
        <v/>
      </c>
    </row>
    <row r="1031" spans="15:15" x14ac:dyDescent="0.25">
      <c r="O1031" s="20" t="str">
        <f>IF(N1031="","",COUNTIFS(RawData[[Date ]],N1031,RawData[Month List],$Q$6,RawData[Tour/Site],$Q$2,RawData[[Picker ID ]],$Q$3,RawData[Checker ID],$Q$4,RawData[[Error Type ]],$Q$5))</f>
        <v/>
      </c>
    </row>
    <row r="1032" spans="15:15" x14ac:dyDescent="0.25">
      <c r="O1032" s="20" t="str">
        <f>IF(N1032="","",COUNTIFS(RawData[[Date ]],N1032,RawData[Month List],$Q$6,RawData[Tour/Site],$Q$2,RawData[[Picker ID ]],$Q$3,RawData[Checker ID],$Q$4,RawData[[Error Type ]],$Q$5))</f>
        <v/>
      </c>
    </row>
    <row r="1033" spans="15:15" x14ac:dyDescent="0.25">
      <c r="O1033" s="20" t="str">
        <f>IF(N1033="","",COUNTIFS(RawData[[Date ]],N1033,RawData[Month List],$Q$6,RawData[Tour/Site],$Q$2,RawData[[Picker ID ]],$Q$3,RawData[Checker ID],$Q$4,RawData[[Error Type ]],$Q$5))</f>
        <v/>
      </c>
    </row>
    <row r="1034" spans="15:15" x14ac:dyDescent="0.25">
      <c r="O1034" s="20" t="str">
        <f>IF(N1034="","",COUNTIFS(RawData[[Date ]],N1034,RawData[Month List],$Q$6,RawData[Tour/Site],$Q$2,RawData[[Picker ID ]],$Q$3,RawData[Checker ID],$Q$4,RawData[[Error Type ]],$Q$5))</f>
        <v/>
      </c>
    </row>
    <row r="1035" spans="15:15" x14ac:dyDescent="0.25">
      <c r="O1035" s="20" t="str">
        <f>IF(N1035="","",COUNTIFS(RawData[[Date ]],N1035,RawData[Month List],$Q$6,RawData[Tour/Site],$Q$2,RawData[[Picker ID ]],$Q$3,RawData[Checker ID],$Q$4,RawData[[Error Type ]],$Q$5))</f>
        <v/>
      </c>
    </row>
    <row r="1036" spans="15:15" x14ac:dyDescent="0.25">
      <c r="O1036" s="20" t="str">
        <f>IF(N1036="","",COUNTIFS(RawData[[Date ]],N1036,RawData[Month List],$Q$6,RawData[Tour/Site],$Q$2,RawData[[Picker ID ]],$Q$3,RawData[Checker ID],$Q$4,RawData[[Error Type ]],$Q$5))</f>
        <v/>
      </c>
    </row>
    <row r="1037" spans="15:15" x14ac:dyDescent="0.25">
      <c r="O1037" s="20" t="str">
        <f>IF(N1037="","",COUNTIFS(RawData[[Date ]],N1037,RawData[Month List],$Q$6,RawData[Tour/Site],$Q$2,RawData[[Picker ID ]],$Q$3,RawData[Checker ID],$Q$4,RawData[[Error Type ]],$Q$5))</f>
        <v/>
      </c>
    </row>
    <row r="1038" spans="15:15" x14ac:dyDescent="0.25">
      <c r="O1038" s="20" t="str">
        <f>IF(N1038="","",COUNTIFS(RawData[[Date ]],N1038,RawData[Month List],$Q$6,RawData[Tour/Site],$Q$2,RawData[[Picker ID ]],$Q$3,RawData[Checker ID],$Q$4,RawData[[Error Type ]],$Q$5))</f>
        <v/>
      </c>
    </row>
    <row r="1039" spans="15:15" x14ac:dyDescent="0.25">
      <c r="O1039" s="20" t="str">
        <f>IF(N1039="","",COUNTIFS(RawData[[Date ]],N1039,RawData[Month List],$Q$6,RawData[Tour/Site],$Q$2,RawData[[Picker ID ]],$Q$3,RawData[Checker ID],$Q$4,RawData[[Error Type ]],$Q$5))</f>
        <v/>
      </c>
    </row>
    <row r="1040" spans="15:15" x14ac:dyDescent="0.25">
      <c r="O1040" s="20" t="str">
        <f>IF(N1040="","",COUNTIFS(RawData[[Date ]],N1040,RawData[Month List],$Q$6,RawData[Tour/Site],$Q$2,RawData[[Picker ID ]],$Q$3,RawData[Checker ID],$Q$4,RawData[[Error Type ]],$Q$5))</f>
        <v/>
      </c>
    </row>
    <row r="1041" spans="15:15" x14ac:dyDescent="0.25">
      <c r="O1041" s="20" t="str">
        <f>IF(N1041="","",COUNTIFS(RawData[[Date ]],N1041,RawData[Month List],$Q$6,RawData[Tour/Site],$Q$2,RawData[[Picker ID ]],$Q$3,RawData[Checker ID],$Q$4,RawData[[Error Type ]],$Q$5))</f>
        <v/>
      </c>
    </row>
    <row r="1042" spans="15:15" x14ac:dyDescent="0.25">
      <c r="O1042" s="20" t="str">
        <f>IF(N1042="","",COUNTIFS(RawData[[Date ]],N1042,RawData[Month List],$Q$6,RawData[Tour/Site],$Q$2,RawData[[Picker ID ]],$Q$3,RawData[Checker ID],$Q$4,RawData[[Error Type ]],$Q$5))</f>
        <v/>
      </c>
    </row>
    <row r="1043" spans="15:15" x14ac:dyDescent="0.25">
      <c r="O1043" s="20" t="str">
        <f>IF(N1043="","",COUNTIFS(RawData[[Date ]],N1043,RawData[Month List],$Q$6,RawData[Tour/Site],$Q$2,RawData[[Picker ID ]],$Q$3,RawData[Checker ID],$Q$4,RawData[[Error Type ]],$Q$5))</f>
        <v/>
      </c>
    </row>
    <row r="1044" spans="15:15" x14ac:dyDescent="0.25">
      <c r="O1044" s="20" t="str">
        <f>IF(N1044="","",COUNTIFS(RawData[[Date ]],N1044,RawData[Month List],$Q$6,RawData[Tour/Site],$Q$2,RawData[[Picker ID ]],$Q$3,RawData[Checker ID],$Q$4,RawData[[Error Type ]],$Q$5))</f>
        <v/>
      </c>
    </row>
    <row r="1045" spans="15:15" x14ac:dyDescent="0.25">
      <c r="O1045" s="20" t="str">
        <f>IF(N1045="","",COUNTIFS(RawData[[Date ]],N1045,RawData[Month List],$Q$6,RawData[Tour/Site],$Q$2,RawData[[Picker ID ]],$Q$3,RawData[Checker ID],$Q$4,RawData[[Error Type ]],$Q$5))</f>
        <v/>
      </c>
    </row>
    <row r="1046" spans="15:15" x14ac:dyDescent="0.25">
      <c r="O1046" s="20" t="str">
        <f>IF(N1046="","",COUNTIFS(RawData[[Date ]],N1046,RawData[Month List],$Q$6,RawData[Tour/Site],$Q$2,RawData[[Picker ID ]],$Q$3,RawData[Checker ID],$Q$4,RawData[[Error Type ]],$Q$5))</f>
        <v/>
      </c>
    </row>
    <row r="1047" spans="15:15" x14ac:dyDescent="0.25">
      <c r="O1047" s="20" t="str">
        <f>IF(N1047="","",COUNTIFS(RawData[[Date ]],N1047,RawData[Month List],$Q$6,RawData[Tour/Site],$Q$2,RawData[[Picker ID ]],$Q$3,RawData[Checker ID],$Q$4,RawData[[Error Type ]],$Q$5))</f>
        <v/>
      </c>
    </row>
    <row r="1048" spans="15:15" x14ac:dyDescent="0.25">
      <c r="O1048" s="20" t="str">
        <f>IF(N1048="","",COUNTIFS(RawData[[Date ]],N1048,RawData[Month List],$Q$6,RawData[Tour/Site],$Q$2,RawData[[Picker ID ]],$Q$3,RawData[Checker ID],$Q$4,RawData[[Error Type ]],$Q$5))</f>
        <v/>
      </c>
    </row>
    <row r="1049" spans="15:15" x14ac:dyDescent="0.25">
      <c r="O1049" s="20" t="str">
        <f>IF(N1049="","",COUNTIFS(RawData[[Date ]],N1049,RawData[Month List],$Q$6,RawData[Tour/Site],$Q$2,RawData[[Picker ID ]],$Q$3,RawData[Checker ID],$Q$4,RawData[[Error Type ]],$Q$5))</f>
        <v/>
      </c>
    </row>
    <row r="1050" spans="15:15" x14ac:dyDescent="0.25">
      <c r="O1050" s="20" t="str">
        <f>IF(N1050="","",COUNTIFS(RawData[[Date ]],N1050,RawData[Month List],$Q$6,RawData[Tour/Site],$Q$2,RawData[[Picker ID ]],$Q$3,RawData[Checker ID],$Q$4,RawData[[Error Type ]],$Q$5))</f>
        <v/>
      </c>
    </row>
    <row r="1051" spans="15:15" x14ac:dyDescent="0.25">
      <c r="O1051" s="20" t="str">
        <f>IF(N1051="","",COUNTIFS(RawData[[Date ]],N1051,RawData[Month List],$Q$6,RawData[Tour/Site],$Q$2,RawData[[Picker ID ]],$Q$3,RawData[Checker ID],$Q$4,RawData[[Error Type ]],$Q$5))</f>
        <v/>
      </c>
    </row>
    <row r="1052" spans="15:15" x14ac:dyDescent="0.25">
      <c r="O1052" s="20" t="str">
        <f>IF(N1052="","",COUNTIFS(RawData[[Date ]],N1052,RawData[Month List],$Q$6,RawData[Tour/Site],$Q$2,RawData[[Picker ID ]],$Q$3,RawData[Checker ID],$Q$4,RawData[[Error Type ]],$Q$5))</f>
        <v/>
      </c>
    </row>
    <row r="1053" spans="15:15" x14ac:dyDescent="0.25">
      <c r="O1053" s="20" t="str">
        <f>IF(N1053="","",COUNTIFS(RawData[[Date ]],N1053,RawData[Month List],$Q$6,RawData[Tour/Site],$Q$2,RawData[[Picker ID ]],$Q$3,RawData[Checker ID],$Q$4,RawData[[Error Type ]],$Q$5))</f>
        <v/>
      </c>
    </row>
    <row r="1054" spans="15:15" x14ac:dyDescent="0.25">
      <c r="O1054" s="20" t="str">
        <f>IF(N1054="","",COUNTIFS(RawData[[Date ]],N1054,RawData[Month List],$Q$6,RawData[Tour/Site],$Q$2,RawData[[Picker ID ]],$Q$3,RawData[Checker ID],$Q$4,RawData[[Error Type ]],$Q$5))</f>
        <v/>
      </c>
    </row>
    <row r="1055" spans="15:15" x14ac:dyDescent="0.25">
      <c r="O1055" s="20" t="str">
        <f>IF(N1055="","",COUNTIFS(RawData[[Date ]],N1055,RawData[Month List],$Q$6,RawData[Tour/Site],$Q$2,RawData[[Picker ID ]],$Q$3,RawData[Checker ID],$Q$4,RawData[[Error Type ]],$Q$5))</f>
        <v/>
      </c>
    </row>
    <row r="1056" spans="15:15" x14ac:dyDescent="0.25">
      <c r="O1056" s="20" t="str">
        <f>IF(N1056="","",COUNTIFS(RawData[[Date ]],N1056,RawData[Month List],$Q$6,RawData[Tour/Site],$Q$2,RawData[[Picker ID ]],$Q$3,RawData[Checker ID],$Q$4,RawData[[Error Type ]],$Q$5))</f>
        <v/>
      </c>
    </row>
    <row r="1057" spans="15:15" x14ac:dyDescent="0.25">
      <c r="O1057" s="20" t="str">
        <f>IF(N1057="","",COUNTIFS(RawData[[Date ]],N1057,RawData[Month List],$Q$6,RawData[Tour/Site],$Q$2,RawData[[Picker ID ]],$Q$3,RawData[Checker ID],$Q$4,RawData[[Error Type ]],$Q$5))</f>
        <v/>
      </c>
    </row>
    <row r="1058" spans="15:15" x14ac:dyDescent="0.25">
      <c r="O1058" s="20" t="str">
        <f>IF(N1058="","",COUNTIFS(RawData[[Date ]],N1058,RawData[Month List],$Q$6,RawData[Tour/Site],$Q$2,RawData[[Picker ID ]],$Q$3,RawData[Checker ID],$Q$4,RawData[[Error Type ]],$Q$5))</f>
        <v/>
      </c>
    </row>
    <row r="1059" spans="15:15" x14ac:dyDescent="0.25">
      <c r="O1059" s="20" t="str">
        <f>IF(N1059="","",COUNTIFS(RawData[[Date ]],N1059,RawData[Month List],$Q$6,RawData[Tour/Site],$Q$2,RawData[[Picker ID ]],$Q$3,RawData[Checker ID],$Q$4,RawData[[Error Type ]],$Q$5))</f>
        <v/>
      </c>
    </row>
    <row r="1060" spans="15:15" x14ac:dyDescent="0.25">
      <c r="O1060" s="20" t="str">
        <f>IF(N1060="","",COUNTIFS(RawData[[Date ]],N1060,RawData[Month List],$Q$6,RawData[Tour/Site],$Q$2,RawData[[Picker ID ]],$Q$3,RawData[Checker ID],$Q$4,RawData[[Error Type ]],$Q$5))</f>
        <v/>
      </c>
    </row>
    <row r="1061" spans="15:15" x14ac:dyDescent="0.25">
      <c r="O1061" s="20" t="str">
        <f>IF(N1061="","",COUNTIFS(RawData[[Date ]],N1061,RawData[Month List],$Q$6,RawData[Tour/Site],$Q$2,RawData[[Picker ID ]],$Q$3,RawData[Checker ID],$Q$4,RawData[[Error Type ]],$Q$5))</f>
        <v/>
      </c>
    </row>
    <row r="1062" spans="15:15" x14ac:dyDescent="0.25">
      <c r="O1062" s="20" t="str">
        <f>IF(N1062="","",COUNTIFS(RawData[[Date ]],N1062,RawData[Month List],$Q$6,RawData[Tour/Site],$Q$2,RawData[[Picker ID ]],$Q$3,RawData[Checker ID],$Q$4,RawData[[Error Type ]],$Q$5))</f>
        <v/>
      </c>
    </row>
    <row r="1063" spans="15:15" x14ac:dyDescent="0.25">
      <c r="O1063" s="20" t="str">
        <f>IF(N1063="","",COUNTIFS(RawData[[Date ]],N1063,RawData[Month List],$Q$6,RawData[Tour/Site],$Q$2,RawData[[Picker ID ]],$Q$3,RawData[Checker ID],$Q$4,RawData[[Error Type ]],$Q$5))</f>
        <v/>
      </c>
    </row>
    <row r="1064" spans="15:15" x14ac:dyDescent="0.25">
      <c r="O1064" s="20" t="str">
        <f>IF(N1064="","",COUNTIFS(RawData[[Date ]],N1064,RawData[Month List],$Q$6,RawData[Tour/Site],$Q$2,RawData[[Picker ID ]],$Q$3,RawData[Checker ID],$Q$4,RawData[[Error Type ]],$Q$5))</f>
        <v/>
      </c>
    </row>
    <row r="1065" spans="15:15" x14ac:dyDescent="0.25">
      <c r="O1065" s="20" t="str">
        <f>IF(N1065="","",COUNTIFS(RawData[[Date ]],N1065,RawData[Month List],$Q$6,RawData[Tour/Site],$Q$2,RawData[[Picker ID ]],$Q$3,RawData[Checker ID],$Q$4,RawData[[Error Type ]],$Q$5))</f>
        <v/>
      </c>
    </row>
    <row r="1066" spans="15:15" x14ac:dyDescent="0.25">
      <c r="O1066" s="20" t="str">
        <f>IF(N1066="","",COUNTIFS(RawData[[Date ]],N1066,RawData[Month List],$Q$6,RawData[Tour/Site],$Q$2,RawData[[Picker ID ]],$Q$3,RawData[Checker ID],$Q$4,RawData[[Error Type ]],$Q$5))</f>
        <v/>
      </c>
    </row>
    <row r="1067" spans="15:15" x14ac:dyDescent="0.25">
      <c r="O1067" s="20" t="str">
        <f>IF(N1067="","",COUNTIFS(RawData[[Date ]],N1067,RawData[Month List],$Q$6,RawData[Tour/Site],$Q$2,RawData[[Picker ID ]],$Q$3,RawData[Checker ID],$Q$4,RawData[[Error Type ]],$Q$5))</f>
        <v/>
      </c>
    </row>
    <row r="1068" spans="15:15" x14ac:dyDescent="0.25">
      <c r="O1068" s="20" t="str">
        <f>IF(N1068="","",COUNTIFS(RawData[[Date ]],N1068,RawData[Month List],$Q$6,RawData[Tour/Site],$Q$2,RawData[[Picker ID ]],$Q$3,RawData[Checker ID],$Q$4,RawData[[Error Type ]],$Q$5))</f>
        <v/>
      </c>
    </row>
    <row r="1069" spans="15:15" x14ac:dyDescent="0.25">
      <c r="O1069" s="20" t="str">
        <f>IF(N1069="","",COUNTIFS(RawData[[Date ]],N1069,RawData[Month List],$Q$6,RawData[Tour/Site],$Q$2,RawData[[Picker ID ]],$Q$3,RawData[Checker ID],$Q$4,RawData[[Error Type ]],$Q$5))</f>
        <v/>
      </c>
    </row>
    <row r="1070" spans="15:15" x14ac:dyDescent="0.25">
      <c r="O1070" s="20" t="str">
        <f>IF(N1070="","",COUNTIFS(RawData[[Date ]],N1070,RawData[Month List],$Q$6,RawData[Tour/Site],$Q$2,RawData[[Picker ID ]],$Q$3,RawData[Checker ID],$Q$4,RawData[[Error Type ]],$Q$5))</f>
        <v/>
      </c>
    </row>
    <row r="1071" spans="15:15" x14ac:dyDescent="0.25">
      <c r="O1071" s="20" t="str">
        <f>IF(N1071="","",COUNTIFS(RawData[[Date ]],N1071,RawData[Month List],$Q$6,RawData[Tour/Site],$Q$2,RawData[[Picker ID ]],$Q$3,RawData[Checker ID],$Q$4,RawData[[Error Type ]],$Q$5))</f>
        <v/>
      </c>
    </row>
    <row r="1072" spans="15:15" x14ac:dyDescent="0.25">
      <c r="O1072" s="20" t="str">
        <f>IF(N1072="","",COUNTIFS(RawData[[Date ]],N1072,RawData[Month List],$Q$6,RawData[Tour/Site],$Q$2,RawData[[Picker ID ]],$Q$3,RawData[Checker ID],$Q$4,RawData[[Error Type ]],$Q$5))</f>
        <v/>
      </c>
    </row>
    <row r="1073" spans="15:15" x14ac:dyDescent="0.25">
      <c r="O1073" s="20" t="str">
        <f>IF(N1073="","",COUNTIFS(RawData[[Date ]],N1073,RawData[Month List],$Q$6,RawData[Tour/Site],$Q$2,RawData[[Picker ID ]],$Q$3,RawData[Checker ID],$Q$4,RawData[[Error Type ]],$Q$5))</f>
        <v/>
      </c>
    </row>
    <row r="1074" spans="15:15" x14ac:dyDescent="0.25">
      <c r="O1074" s="20" t="str">
        <f>IF(N1074="","",COUNTIFS(RawData[[Date ]],N1074,RawData[Month List],$Q$6,RawData[Tour/Site],$Q$2,RawData[[Picker ID ]],$Q$3,RawData[Checker ID],$Q$4,RawData[[Error Type ]],$Q$5))</f>
        <v/>
      </c>
    </row>
    <row r="1075" spans="15:15" x14ac:dyDescent="0.25">
      <c r="O1075" s="20" t="str">
        <f>IF(N1075="","",COUNTIFS(RawData[[Date ]],N1075,RawData[Month List],$Q$6,RawData[Tour/Site],$Q$2,RawData[[Picker ID ]],$Q$3,RawData[Checker ID],$Q$4,RawData[[Error Type ]],$Q$5))</f>
        <v/>
      </c>
    </row>
    <row r="1076" spans="15:15" x14ac:dyDescent="0.25">
      <c r="O1076" s="20" t="str">
        <f>IF(N1076="","",COUNTIFS(RawData[[Date ]],N1076,RawData[Month List],$Q$6,RawData[Tour/Site],$Q$2,RawData[[Picker ID ]],$Q$3,RawData[Checker ID],$Q$4,RawData[[Error Type ]],$Q$5))</f>
        <v/>
      </c>
    </row>
    <row r="1077" spans="15:15" x14ac:dyDescent="0.25">
      <c r="O1077" s="20" t="str">
        <f>IF(N1077="","",COUNTIFS(RawData[[Date ]],N1077,RawData[Month List],$Q$6,RawData[Tour/Site],$Q$2,RawData[[Picker ID ]],$Q$3,RawData[Checker ID],$Q$4,RawData[[Error Type ]],$Q$5))</f>
        <v/>
      </c>
    </row>
    <row r="1078" spans="15:15" x14ac:dyDescent="0.25">
      <c r="O1078" s="20" t="str">
        <f>IF(N1078="","",COUNTIFS(RawData[[Date ]],N1078,RawData[Month List],$Q$6,RawData[Tour/Site],$Q$2,RawData[[Picker ID ]],$Q$3,RawData[Checker ID],$Q$4,RawData[[Error Type ]],$Q$5))</f>
        <v/>
      </c>
    </row>
    <row r="1079" spans="15:15" x14ac:dyDescent="0.25">
      <c r="O1079" s="20" t="str">
        <f>IF(N1079="","",COUNTIFS(RawData[[Date ]],N1079,RawData[Month List],$Q$6,RawData[Tour/Site],$Q$2,RawData[[Picker ID ]],$Q$3,RawData[Checker ID],$Q$4,RawData[[Error Type ]],$Q$5))</f>
        <v/>
      </c>
    </row>
    <row r="1080" spans="15:15" x14ac:dyDescent="0.25">
      <c r="O1080" s="20" t="str">
        <f>IF(N1080="","",COUNTIFS(RawData[[Date ]],N1080,RawData[Month List],$Q$6,RawData[Tour/Site],$Q$2,RawData[[Picker ID ]],$Q$3,RawData[Checker ID],$Q$4,RawData[[Error Type ]],$Q$5))</f>
        <v/>
      </c>
    </row>
    <row r="1081" spans="15:15" x14ac:dyDescent="0.25">
      <c r="O1081" s="20" t="str">
        <f>IF(N1081="","",COUNTIFS(RawData[[Date ]],N1081,RawData[Month List],$Q$6,RawData[Tour/Site],$Q$2,RawData[[Picker ID ]],$Q$3,RawData[Checker ID],$Q$4,RawData[[Error Type ]],$Q$5))</f>
        <v/>
      </c>
    </row>
    <row r="1082" spans="15:15" x14ac:dyDescent="0.25">
      <c r="O1082" s="20" t="str">
        <f>IF(N1082="","",COUNTIFS(RawData[[Date ]],N1082,RawData[Month List],$Q$6,RawData[Tour/Site],$Q$2,RawData[[Picker ID ]],$Q$3,RawData[Checker ID],$Q$4,RawData[[Error Type ]],$Q$5))</f>
        <v/>
      </c>
    </row>
    <row r="1083" spans="15:15" x14ac:dyDescent="0.25">
      <c r="O1083" s="20" t="str">
        <f>IF(N1083="","",COUNTIFS(RawData[[Date ]],N1083,RawData[Month List],$Q$6,RawData[Tour/Site],$Q$2,RawData[[Picker ID ]],$Q$3,RawData[Checker ID],$Q$4,RawData[[Error Type ]],$Q$5))</f>
        <v/>
      </c>
    </row>
    <row r="1084" spans="15:15" x14ac:dyDescent="0.25">
      <c r="O1084" s="20" t="str">
        <f>IF(N1084="","",COUNTIFS(RawData[[Date ]],N1084,RawData[Month List],$Q$6,RawData[Tour/Site],$Q$2,RawData[[Picker ID ]],$Q$3,RawData[Checker ID],$Q$4,RawData[[Error Type ]],$Q$5))</f>
        <v/>
      </c>
    </row>
    <row r="1085" spans="15:15" x14ac:dyDescent="0.25">
      <c r="O1085" s="20" t="str">
        <f>IF(N1085="","",COUNTIFS(RawData[[Date ]],N1085,RawData[Month List],$Q$6,RawData[Tour/Site],$Q$2,RawData[[Picker ID ]],$Q$3,RawData[Checker ID],$Q$4,RawData[[Error Type ]],$Q$5))</f>
        <v/>
      </c>
    </row>
    <row r="1086" spans="15:15" x14ac:dyDescent="0.25">
      <c r="O1086" s="20" t="str">
        <f>IF(N1086="","",COUNTIFS(RawData[[Date ]],N1086,RawData[Month List],$Q$6,RawData[Tour/Site],$Q$2,RawData[[Picker ID ]],$Q$3,RawData[Checker ID],$Q$4,RawData[[Error Type ]],$Q$5))</f>
        <v/>
      </c>
    </row>
    <row r="1087" spans="15:15" x14ac:dyDescent="0.25">
      <c r="O1087" s="20" t="str">
        <f>IF(N1087="","",COUNTIFS(RawData[[Date ]],N1087,RawData[Month List],$Q$6,RawData[Tour/Site],$Q$2,RawData[[Picker ID ]],$Q$3,RawData[Checker ID],$Q$4,RawData[[Error Type ]],$Q$5))</f>
        <v/>
      </c>
    </row>
    <row r="1088" spans="15:15" x14ac:dyDescent="0.25">
      <c r="O1088" s="20" t="str">
        <f>IF(N1088="","",COUNTIFS(RawData[[Date ]],N1088,RawData[Month List],$Q$6,RawData[Tour/Site],$Q$2,RawData[[Picker ID ]],$Q$3,RawData[Checker ID],$Q$4,RawData[[Error Type ]],$Q$5))</f>
        <v/>
      </c>
    </row>
    <row r="1089" spans="15:15" x14ac:dyDescent="0.25">
      <c r="O1089" s="20" t="str">
        <f>IF(N1089="","",COUNTIFS(RawData[[Date ]],N1089,RawData[Month List],$Q$6,RawData[Tour/Site],$Q$2,RawData[[Picker ID ]],$Q$3,RawData[Checker ID],$Q$4,RawData[[Error Type ]],$Q$5))</f>
        <v/>
      </c>
    </row>
    <row r="1090" spans="15:15" x14ac:dyDescent="0.25">
      <c r="O1090" s="20" t="str">
        <f>IF(N1090="","",COUNTIFS(RawData[[Date ]],N1090,RawData[Month List],$Q$6,RawData[Tour/Site],$Q$2,RawData[[Picker ID ]],$Q$3,RawData[Checker ID],$Q$4,RawData[[Error Type ]],$Q$5))</f>
        <v/>
      </c>
    </row>
    <row r="1091" spans="15:15" x14ac:dyDescent="0.25">
      <c r="O1091" s="20" t="str">
        <f>IF(N1091="","",COUNTIFS(RawData[[Date ]],N1091,RawData[Month List],$Q$6,RawData[Tour/Site],$Q$2,RawData[[Picker ID ]],$Q$3,RawData[Checker ID],$Q$4,RawData[[Error Type ]],$Q$5))</f>
        <v/>
      </c>
    </row>
    <row r="1092" spans="15:15" x14ac:dyDescent="0.25">
      <c r="O1092" s="20" t="str">
        <f>IF(N1092="","",COUNTIFS(RawData[[Date ]],N1092,RawData[Month List],$Q$6,RawData[Tour/Site],$Q$2,RawData[[Picker ID ]],$Q$3,RawData[Checker ID],$Q$4,RawData[[Error Type ]],$Q$5))</f>
        <v/>
      </c>
    </row>
    <row r="1093" spans="15:15" x14ac:dyDescent="0.25">
      <c r="O1093" s="20" t="str">
        <f>IF(N1093="","",COUNTIFS(RawData[[Date ]],N1093,RawData[Month List],$Q$6,RawData[Tour/Site],$Q$2,RawData[[Picker ID ]],$Q$3,RawData[Checker ID],$Q$4,RawData[[Error Type ]],$Q$5))</f>
        <v/>
      </c>
    </row>
    <row r="1094" spans="15:15" x14ac:dyDescent="0.25">
      <c r="O1094" s="20" t="str">
        <f>IF(N1094="","",COUNTIFS(RawData[[Date ]],N1094,RawData[Month List],$Q$6,RawData[Tour/Site],$Q$2,RawData[[Picker ID ]],$Q$3,RawData[Checker ID],$Q$4,RawData[[Error Type ]],$Q$5))</f>
        <v/>
      </c>
    </row>
    <row r="1095" spans="15:15" x14ac:dyDescent="0.25">
      <c r="O1095" s="20" t="str">
        <f>IF(N1095="","",COUNTIFS(RawData[[Date ]],N1095,RawData[Month List],$Q$6,RawData[Tour/Site],$Q$2,RawData[[Picker ID ]],$Q$3,RawData[Checker ID],$Q$4,RawData[[Error Type ]],$Q$5))</f>
        <v/>
      </c>
    </row>
    <row r="1096" spans="15:15" x14ac:dyDescent="0.25">
      <c r="O1096" s="20" t="str">
        <f>IF(N1096="","",COUNTIFS(RawData[[Date ]],N1096,RawData[Month List],$Q$6,RawData[Tour/Site],$Q$2,RawData[[Picker ID ]],$Q$3,RawData[Checker ID],$Q$4,RawData[[Error Type ]],$Q$5))</f>
        <v/>
      </c>
    </row>
    <row r="1097" spans="15:15" x14ac:dyDescent="0.25">
      <c r="O1097" s="20" t="str">
        <f>IF(N1097="","",COUNTIFS(RawData[[Date ]],N1097,RawData[Month List],$Q$6,RawData[Tour/Site],$Q$2,RawData[[Picker ID ]],$Q$3,RawData[Checker ID],$Q$4,RawData[[Error Type ]],$Q$5))</f>
        <v/>
      </c>
    </row>
    <row r="1098" spans="15:15" x14ac:dyDescent="0.25">
      <c r="O1098" s="20" t="str">
        <f>IF(N1098="","",COUNTIFS(RawData[[Date ]],N1098,RawData[Month List],$Q$6,RawData[Tour/Site],$Q$2,RawData[[Picker ID ]],$Q$3,RawData[Checker ID],$Q$4,RawData[[Error Type ]],$Q$5))</f>
        <v/>
      </c>
    </row>
    <row r="1099" spans="15:15" x14ac:dyDescent="0.25">
      <c r="O1099" s="20" t="str">
        <f>IF(N1099="","",COUNTIFS(RawData[[Date ]],N1099,RawData[Month List],$Q$6,RawData[Tour/Site],$Q$2,RawData[[Picker ID ]],$Q$3,RawData[Checker ID],$Q$4,RawData[[Error Type ]],$Q$5))</f>
        <v/>
      </c>
    </row>
    <row r="1100" spans="15:15" x14ac:dyDescent="0.25">
      <c r="O1100" s="20" t="str">
        <f>IF(N1100="","",COUNTIFS(RawData[[Date ]],N1100,RawData[Month List],$Q$6,RawData[Tour/Site],$Q$2,RawData[[Picker ID ]],$Q$3,RawData[Checker ID],$Q$4,RawData[[Error Type ]],$Q$5))</f>
        <v/>
      </c>
    </row>
    <row r="1101" spans="15:15" x14ac:dyDescent="0.25">
      <c r="O1101" s="20" t="str">
        <f>IF(N1101="","",COUNTIFS(RawData[[Date ]],N1101,RawData[Month List],$Q$6,RawData[Tour/Site],$Q$2,RawData[[Picker ID ]],$Q$3,RawData[Checker ID],$Q$4,RawData[[Error Type ]],$Q$5))</f>
        <v/>
      </c>
    </row>
    <row r="1102" spans="15:15" x14ac:dyDescent="0.25">
      <c r="O1102" s="20" t="str">
        <f>IF(N1102="","",COUNTIFS(RawData[[Date ]],N1102,RawData[Month List],$Q$6,RawData[Tour/Site],$Q$2,RawData[[Picker ID ]],$Q$3,RawData[Checker ID],$Q$4,RawData[[Error Type ]],$Q$5))</f>
        <v/>
      </c>
    </row>
    <row r="1103" spans="15:15" x14ac:dyDescent="0.25">
      <c r="O1103" s="20" t="str">
        <f>IF(N1103="","",COUNTIFS(RawData[[Date ]],N1103,RawData[Month List],$Q$6,RawData[Tour/Site],$Q$2,RawData[[Picker ID ]],$Q$3,RawData[Checker ID],$Q$4,RawData[[Error Type ]],$Q$5))</f>
        <v/>
      </c>
    </row>
    <row r="1104" spans="15:15" x14ac:dyDescent="0.25">
      <c r="O1104" s="20" t="str">
        <f>IF(N1104="","",COUNTIFS(RawData[[Date ]],N1104,RawData[Month List],$Q$6,RawData[Tour/Site],$Q$2,RawData[[Picker ID ]],$Q$3,RawData[Checker ID],$Q$4,RawData[[Error Type ]],$Q$5))</f>
        <v/>
      </c>
    </row>
    <row r="1105" spans="15:15" x14ac:dyDescent="0.25">
      <c r="O1105" s="20" t="str">
        <f>IF(N1105="","",COUNTIFS(RawData[[Date ]],N1105,RawData[Month List],$Q$6,RawData[Tour/Site],$Q$2,RawData[[Picker ID ]],$Q$3,RawData[Checker ID],$Q$4,RawData[[Error Type ]],$Q$5))</f>
        <v/>
      </c>
    </row>
    <row r="1106" spans="15:15" x14ac:dyDescent="0.25">
      <c r="O1106" s="20" t="str">
        <f>IF(N1106="","",COUNTIFS(RawData[[Date ]],N1106,RawData[Month List],$Q$6,RawData[Tour/Site],$Q$2,RawData[[Picker ID ]],$Q$3,RawData[Checker ID],$Q$4,RawData[[Error Type ]],$Q$5))</f>
        <v/>
      </c>
    </row>
    <row r="1107" spans="15:15" x14ac:dyDescent="0.25">
      <c r="O1107" s="20" t="str">
        <f>IF(N1107="","",COUNTIFS(RawData[[Date ]],N1107,RawData[Month List],$Q$6,RawData[Tour/Site],$Q$2,RawData[[Picker ID ]],$Q$3,RawData[Checker ID],$Q$4,RawData[[Error Type ]],$Q$5))</f>
        <v/>
      </c>
    </row>
    <row r="1108" spans="15:15" x14ac:dyDescent="0.25">
      <c r="O1108" s="20" t="str">
        <f>IF(N1108="","",COUNTIFS(RawData[[Date ]],N1108,RawData[Month List],$Q$6,RawData[Tour/Site],$Q$2,RawData[[Picker ID ]],$Q$3,RawData[Checker ID],$Q$4,RawData[[Error Type ]],$Q$5))</f>
        <v/>
      </c>
    </row>
    <row r="1109" spans="15:15" x14ac:dyDescent="0.25">
      <c r="O1109" s="20" t="str">
        <f>IF(N1109="","",COUNTIFS(RawData[[Date ]],N1109,RawData[Month List],$Q$6,RawData[Tour/Site],$Q$2,RawData[[Picker ID ]],$Q$3,RawData[Checker ID],$Q$4,RawData[[Error Type ]],$Q$5))</f>
        <v/>
      </c>
    </row>
    <row r="1110" spans="15:15" x14ac:dyDescent="0.25">
      <c r="O1110" s="20" t="str">
        <f>IF(N1110="","",COUNTIFS(RawData[[Date ]],N1110,RawData[Month List],$Q$6,RawData[Tour/Site],$Q$2,RawData[[Picker ID ]],$Q$3,RawData[Checker ID],$Q$4,RawData[[Error Type ]],$Q$5))</f>
        <v/>
      </c>
    </row>
    <row r="1111" spans="15:15" x14ac:dyDescent="0.25">
      <c r="O1111" s="20" t="str">
        <f>IF(N1111="","",COUNTIFS(RawData[[Date ]],N1111,RawData[Month List],$Q$6,RawData[Tour/Site],$Q$2,RawData[[Picker ID ]],$Q$3,RawData[Checker ID],$Q$4,RawData[[Error Type ]],$Q$5))</f>
        <v/>
      </c>
    </row>
    <row r="1112" spans="15:15" x14ac:dyDescent="0.25">
      <c r="O1112" s="20" t="str">
        <f>IF(N1112="","",COUNTIFS(RawData[[Date ]],N1112,RawData[Month List],$Q$6,RawData[Tour/Site],$Q$2,RawData[[Picker ID ]],$Q$3,RawData[Checker ID],$Q$4,RawData[[Error Type ]],$Q$5))</f>
        <v/>
      </c>
    </row>
    <row r="1113" spans="15:15" x14ac:dyDescent="0.25">
      <c r="O1113" s="20" t="str">
        <f>IF(N1113="","",COUNTIFS(RawData[[Date ]],N1113,RawData[Month List],$Q$6,RawData[Tour/Site],$Q$2,RawData[[Picker ID ]],$Q$3,RawData[Checker ID],$Q$4,RawData[[Error Type ]],$Q$5))</f>
        <v/>
      </c>
    </row>
    <row r="1114" spans="15:15" x14ac:dyDescent="0.25">
      <c r="O1114" s="20" t="str">
        <f>IF(N1114="","",COUNTIFS(RawData[[Date ]],N1114,RawData[Month List],$Q$6,RawData[Tour/Site],$Q$2,RawData[[Picker ID ]],$Q$3,RawData[Checker ID],$Q$4,RawData[[Error Type ]],$Q$5))</f>
        <v/>
      </c>
    </row>
    <row r="1115" spans="15:15" x14ac:dyDescent="0.25">
      <c r="O1115" s="20" t="str">
        <f>IF(N1115="","",COUNTIFS(RawData[[Date ]],N1115,RawData[Month List],$Q$6,RawData[Tour/Site],$Q$2,RawData[[Picker ID ]],$Q$3,RawData[Checker ID],$Q$4,RawData[[Error Type ]],$Q$5))</f>
        <v/>
      </c>
    </row>
    <row r="1116" spans="15:15" x14ac:dyDescent="0.25">
      <c r="O1116" s="20" t="str">
        <f>IF(N1116="","",COUNTIFS(RawData[[Date ]],N1116,RawData[Month List],$Q$6,RawData[Tour/Site],$Q$2,RawData[[Picker ID ]],$Q$3,RawData[Checker ID],$Q$4,RawData[[Error Type ]],$Q$5))</f>
        <v/>
      </c>
    </row>
    <row r="1117" spans="15:15" x14ac:dyDescent="0.25">
      <c r="O1117" s="20" t="str">
        <f>IF(N1117="","",COUNTIFS(RawData[[Date ]],N1117,RawData[Month List],$Q$6,RawData[Tour/Site],$Q$2,RawData[[Picker ID ]],$Q$3,RawData[Checker ID],$Q$4,RawData[[Error Type ]],$Q$5))</f>
        <v/>
      </c>
    </row>
    <row r="1118" spans="15:15" x14ac:dyDescent="0.25">
      <c r="O1118" s="20" t="str">
        <f>IF(N1118="","",COUNTIFS(RawData[[Date ]],N1118,RawData[Month List],$Q$6,RawData[Tour/Site],$Q$2,RawData[[Picker ID ]],$Q$3,RawData[Checker ID],$Q$4,RawData[[Error Type ]],$Q$5))</f>
        <v/>
      </c>
    </row>
    <row r="1119" spans="15:15" x14ac:dyDescent="0.25">
      <c r="O1119" s="20" t="str">
        <f>IF(N1119="","",COUNTIFS(RawData[[Date ]],N1119,RawData[Month List],$Q$6,RawData[Tour/Site],$Q$2,RawData[[Picker ID ]],$Q$3,RawData[Checker ID],$Q$4,RawData[[Error Type ]],$Q$5))</f>
        <v/>
      </c>
    </row>
    <row r="1120" spans="15:15" x14ac:dyDescent="0.25">
      <c r="O1120" s="20" t="str">
        <f>IF(N1120="","",COUNTIFS(RawData[[Date ]],N1120,RawData[Month List],$Q$6,RawData[Tour/Site],$Q$2,RawData[[Picker ID ]],$Q$3,RawData[Checker ID],$Q$4,RawData[[Error Type ]],$Q$5))</f>
        <v/>
      </c>
    </row>
    <row r="1121" spans="15:15" x14ac:dyDescent="0.25">
      <c r="O1121" s="20" t="str">
        <f>IF(N1121="","",COUNTIFS(RawData[[Date ]],N1121,RawData[Month List],$Q$6,RawData[Tour/Site],$Q$2,RawData[[Picker ID ]],$Q$3,RawData[Checker ID],$Q$4,RawData[[Error Type ]],$Q$5))</f>
        <v/>
      </c>
    </row>
    <row r="1122" spans="15:15" x14ac:dyDescent="0.25">
      <c r="O1122" s="20" t="str">
        <f>IF(N1122="","",COUNTIFS(RawData[[Date ]],N1122,RawData[Month List],$Q$6,RawData[Tour/Site],$Q$2,RawData[[Picker ID ]],$Q$3,RawData[Checker ID],$Q$4,RawData[[Error Type ]],$Q$5))</f>
        <v/>
      </c>
    </row>
    <row r="1123" spans="15:15" x14ac:dyDescent="0.25">
      <c r="O1123" s="20" t="str">
        <f>IF(N1123="","",COUNTIFS(RawData[[Date ]],N1123,RawData[Month List],$Q$6,RawData[Tour/Site],$Q$2,RawData[[Picker ID ]],$Q$3,RawData[Checker ID],$Q$4,RawData[[Error Type ]],$Q$5))</f>
        <v/>
      </c>
    </row>
    <row r="1124" spans="15:15" x14ac:dyDescent="0.25">
      <c r="O1124" s="20" t="str">
        <f>IF(N1124="","",COUNTIFS(RawData[[Date ]],N1124,RawData[Month List],$Q$6,RawData[Tour/Site],$Q$2,RawData[[Picker ID ]],$Q$3,RawData[Checker ID],$Q$4,RawData[[Error Type ]],$Q$5))</f>
        <v/>
      </c>
    </row>
    <row r="1125" spans="15:15" x14ac:dyDescent="0.25">
      <c r="O1125" s="20" t="str">
        <f>IF(N1125="","",COUNTIFS(RawData[[Date ]],N1125,RawData[Month List],$Q$6,RawData[Tour/Site],$Q$2,RawData[[Picker ID ]],$Q$3,RawData[Checker ID],$Q$4,RawData[[Error Type ]],$Q$5))</f>
        <v/>
      </c>
    </row>
    <row r="1126" spans="15:15" x14ac:dyDescent="0.25">
      <c r="O1126" s="20" t="str">
        <f>IF(N1126="","",COUNTIFS(RawData[[Date ]],N1126,RawData[Month List],$Q$6,RawData[Tour/Site],$Q$2,RawData[[Picker ID ]],$Q$3,RawData[Checker ID],$Q$4,RawData[[Error Type ]],$Q$5))</f>
        <v/>
      </c>
    </row>
    <row r="1127" spans="15:15" x14ac:dyDescent="0.25">
      <c r="O1127" s="20" t="str">
        <f>IF(N1127="","",COUNTIFS(RawData[[Date ]],N1127,RawData[Month List],$Q$6,RawData[Tour/Site],$Q$2,RawData[[Picker ID ]],$Q$3,RawData[Checker ID],$Q$4,RawData[[Error Type ]],$Q$5))</f>
        <v/>
      </c>
    </row>
    <row r="1128" spans="15:15" x14ac:dyDescent="0.25">
      <c r="O1128" s="20" t="str">
        <f>IF(N1128="","",COUNTIFS(RawData[[Date ]],N1128,RawData[Month List],$Q$6,RawData[Tour/Site],$Q$2,RawData[[Picker ID ]],$Q$3,RawData[Checker ID],$Q$4,RawData[[Error Type ]],$Q$5))</f>
        <v/>
      </c>
    </row>
    <row r="1129" spans="15:15" x14ac:dyDescent="0.25">
      <c r="O1129" s="20" t="str">
        <f>IF(N1129="","",COUNTIFS(RawData[[Date ]],N1129,RawData[Month List],$Q$6,RawData[Tour/Site],$Q$2,RawData[[Picker ID ]],$Q$3,RawData[Checker ID],$Q$4,RawData[[Error Type ]],$Q$5))</f>
        <v/>
      </c>
    </row>
    <row r="1130" spans="15:15" x14ac:dyDescent="0.25">
      <c r="O1130" s="20" t="str">
        <f>IF(N1130="","",COUNTIFS(RawData[[Date ]],N1130,RawData[Month List],$Q$6,RawData[Tour/Site],$Q$2,RawData[[Picker ID ]],$Q$3,RawData[Checker ID],$Q$4,RawData[[Error Type ]],$Q$5))</f>
        <v/>
      </c>
    </row>
    <row r="1131" spans="15:15" x14ac:dyDescent="0.25">
      <c r="O1131" s="20" t="str">
        <f>IF(N1131="","",COUNTIFS(RawData[[Date ]],N1131,RawData[Month List],$Q$6,RawData[Tour/Site],$Q$2,RawData[[Picker ID ]],$Q$3,RawData[Checker ID],$Q$4,RawData[[Error Type ]],$Q$5))</f>
        <v/>
      </c>
    </row>
    <row r="1132" spans="15:15" x14ac:dyDescent="0.25">
      <c r="O1132" s="20" t="str">
        <f>IF(N1132="","",COUNTIFS(RawData[[Date ]],N1132,RawData[Month List],$Q$6,RawData[Tour/Site],$Q$2,RawData[[Picker ID ]],$Q$3,RawData[Checker ID],$Q$4,RawData[[Error Type ]],$Q$5))</f>
        <v/>
      </c>
    </row>
    <row r="1133" spans="15:15" x14ac:dyDescent="0.25">
      <c r="O1133" s="20" t="str">
        <f>IF(N1133="","",COUNTIFS(RawData[[Date ]],N1133,RawData[Month List],$Q$6,RawData[Tour/Site],$Q$2,RawData[[Picker ID ]],$Q$3,RawData[Checker ID],$Q$4,RawData[[Error Type ]],$Q$5))</f>
        <v/>
      </c>
    </row>
    <row r="1134" spans="15:15" x14ac:dyDescent="0.25">
      <c r="O1134" s="20" t="str">
        <f>IF(N1134="","",COUNTIFS(RawData[[Date ]],N1134,RawData[Month List],$Q$6,RawData[Tour/Site],$Q$2,RawData[[Picker ID ]],$Q$3,RawData[Checker ID],$Q$4,RawData[[Error Type ]],$Q$5))</f>
        <v/>
      </c>
    </row>
    <row r="1135" spans="15:15" x14ac:dyDescent="0.25">
      <c r="O1135" s="20" t="str">
        <f>IF(N1135="","",COUNTIFS(RawData[[Date ]],N1135,RawData[Month List],$Q$6,RawData[Tour/Site],$Q$2,RawData[[Picker ID ]],$Q$3,RawData[Checker ID],$Q$4,RawData[[Error Type ]],$Q$5))</f>
        <v/>
      </c>
    </row>
    <row r="1136" spans="15:15" x14ac:dyDescent="0.25">
      <c r="O1136" s="20" t="str">
        <f>IF(N1136="","",COUNTIFS(RawData[[Date ]],N1136,RawData[Month List],$Q$6,RawData[Tour/Site],$Q$2,RawData[[Picker ID ]],$Q$3,RawData[Checker ID],$Q$4,RawData[[Error Type ]],$Q$5))</f>
        <v/>
      </c>
    </row>
    <row r="1137" spans="15:15" x14ac:dyDescent="0.25">
      <c r="O1137" s="20" t="str">
        <f>IF(N1137="","",COUNTIFS(RawData[[Date ]],N1137,RawData[Month List],$Q$6,RawData[Tour/Site],$Q$2,RawData[[Picker ID ]],$Q$3,RawData[Checker ID],$Q$4,RawData[[Error Type ]],$Q$5))</f>
        <v/>
      </c>
    </row>
    <row r="1138" spans="15:15" x14ac:dyDescent="0.25">
      <c r="O1138" s="20" t="str">
        <f>IF(N1138="","",COUNTIFS(RawData[[Date ]],N1138,RawData[Month List],$Q$6,RawData[Tour/Site],$Q$2,RawData[[Picker ID ]],$Q$3,RawData[Checker ID],$Q$4,RawData[[Error Type ]],$Q$5))</f>
        <v/>
      </c>
    </row>
    <row r="1139" spans="15:15" x14ac:dyDescent="0.25">
      <c r="O1139" s="20" t="str">
        <f>IF(N1139="","",COUNTIFS(RawData[[Date ]],N1139,RawData[Month List],$Q$6,RawData[Tour/Site],$Q$2,RawData[[Picker ID ]],$Q$3,RawData[Checker ID],$Q$4,RawData[[Error Type ]],$Q$5))</f>
        <v/>
      </c>
    </row>
    <row r="1140" spans="15:15" x14ac:dyDescent="0.25">
      <c r="O1140" s="20" t="str">
        <f>IF(N1140="","",COUNTIFS(RawData[[Date ]],N1140,RawData[Month List],$Q$6,RawData[Tour/Site],$Q$2,RawData[[Picker ID ]],$Q$3,RawData[Checker ID],$Q$4,RawData[[Error Type ]],$Q$5))</f>
        <v/>
      </c>
    </row>
    <row r="1141" spans="15:15" x14ac:dyDescent="0.25">
      <c r="O1141" s="20" t="str">
        <f>IF(N1141="","",COUNTIFS(RawData[[Date ]],N1141,RawData[Month List],$Q$6,RawData[Tour/Site],$Q$2,RawData[[Picker ID ]],$Q$3,RawData[Checker ID],$Q$4,RawData[[Error Type ]],$Q$5))</f>
        <v/>
      </c>
    </row>
    <row r="1142" spans="15:15" x14ac:dyDescent="0.25">
      <c r="O1142" s="20" t="str">
        <f>IF(N1142="","",COUNTIFS(RawData[[Date ]],N1142,RawData[Month List],$Q$6,RawData[Tour/Site],$Q$2,RawData[[Picker ID ]],$Q$3,RawData[Checker ID],$Q$4,RawData[[Error Type ]],$Q$5))</f>
        <v/>
      </c>
    </row>
    <row r="1143" spans="15:15" x14ac:dyDescent="0.25">
      <c r="O1143" s="20" t="str">
        <f>IF(N1143="","",COUNTIFS(RawData[[Date ]],N1143,RawData[Month List],$Q$6,RawData[Tour/Site],$Q$2,RawData[[Picker ID ]],$Q$3,RawData[Checker ID],$Q$4,RawData[[Error Type ]],$Q$5))</f>
        <v/>
      </c>
    </row>
    <row r="1144" spans="15:15" x14ac:dyDescent="0.25">
      <c r="O1144" s="20" t="str">
        <f>IF(N1144="","",COUNTIFS(RawData[[Date ]],N1144,RawData[Month List],$Q$6,RawData[Tour/Site],$Q$2,RawData[[Picker ID ]],$Q$3,RawData[Checker ID],$Q$4,RawData[[Error Type ]],$Q$5))</f>
        <v/>
      </c>
    </row>
    <row r="1145" spans="15:15" x14ac:dyDescent="0.25">
      <c r="O1145" s="20" t="str">
        <f>IF(N1145="","",COUNTIFS(RawData[[Date ]],N1145,RawData[Month List],$Q$6,RawData[Tour/Site],$Q$2,RawData[[Picker ID ]],$Q$3,RawData[Checker ID],$Q$4,RawData[[Error Type ]],$Q$5))</f>
        <v/>
      </c>
    </row>
    <row r="1146" spans="15:15" x14ac:dyDescent="0.25">
      <c r="O1146" s="20" t="str">
        <f>IF(N1146="","",COUNTIFS(RawData[[Date ]],N1146,RawData[Month List],$Q$6,RawData[Tour/Site],$Q$2,RawData[[Picker ID ]],$Q$3,RawData[Checker ID],$Q$4,RawData[[Error Type ]],$Q$5))</f>
        <v/>
      </c>
    </row>
    <row r="1147" spans="15:15" x14ac:dyDescent="0.25">
      <c r="O1147" s="20" t="str">
        <f>IF(N1147="","",COUNTIFS(RawData[[Date ]],N1147,RawData[Month List],$Q$6,RawData[Tour/Site],$Q$2,RawData[[Picker ID ]],$Q$3,RawData[Checker ID],$Q$4,RawData[[Error Type ]],$Q$5))</f>
        <v/>
      </c>
    </row>
    <row r="1148" spans="15:15" x14ac:dyDescent="0.25">
      <c r="O1148" s="20" t="str">
        <f>IF(N1148="","",COUNTIFS(RawData[[Date ]],N1148,RawData[Month List],$Q$6,RawData[Tour/Site],$Q$2,RawData[[Picker ID ]],$Q$3,RawData[Checker ID],$Q$4,RawData[[Error Type ]],$Q$5))</f>
        <v/>
      </c>
    </row>
    <row r="1149" spans="15:15" x14ac:dyDescent="0.25">
      <c r="O1149" s="20" t="str">
        <f>IF(N1149="","",COUNTIFS(RawData[[Date ]],N1149,RawData[Month List],$Q$6,RawData[Tour/Site],$Q$2,RawData[[Picker ID ]],$Q$3,RawData[Checker ID],$Q$4,RawData[[Error Type ]],$Q$5))</f>
        <v/>
      </c>
    </row>
    <row r="1150" spans="15:15" x14ac:dyDescent="0.25">
      <c r="O1150" s="20" t="str">
        <f>IF(N1150="","",COUNTIFS(RawData[[Date ]],N1150,RawData[Month List],$Q$6,RawData[Tour/Site],$Q$2,RawData[[Picker ID ]],$Q$3,RawData[Checker ID],$Q$4,RawData[[Error Type ]],$Q$5))</f>
        <v/>
      </c>
    </row>
    <row r="1151" spans="15:15" x14ac:dyDescent="0.25">
      <c r="O1151" s="20" t="str">
        <f>IF(N1151="","",COUNTIFS(RawData[[Date ]],N1151,RawData[Month List],$Q$6,RawData[Tour/Site],$Q$2,RawData[[Picker ID ]],$Q$3,RawData[Checker ID],$Q$4,RawData[[Error Type ]],$Q$5))</f>
        <v/>
      </c>
    </row>
    <row r="1152" spans="15:15" x14ac:dyDescent="0.25">
      <c r="O1152" s="20" t="str">
        <f>IF(N1152="","",COUNTIFS(RawData[[Date ]],N1152,RawData[Month List],$Q$6,RawData[Tour/Site],$Q$2,RawData[[Picker ID ]],$Q$3,RawData[Checker ID],$Q$4,RawData[[Error Type ]],$Q$5))</f>
        <v/>
      </c>
    </row>
    <row r="1153" spans="15:15" x14ac:dyDescent="0.25">
      <c r="O1153" s="20" t="str">
        <f>IF(N1153="","",COUNTIFS(RawData[[Date ]],N1153,RawData[Month List],$Q$6,RawData[Tour/Site],$Q$2,RawData[[Picker ID ]],$Q$3,RawData[Checker ID],$Q$4,RawData[[Error Type ]],$Q$5))</f>
        <v/>
      </c>
    </row>
    <row r="1154" spans="15:15" x14ac:dyDescent="0.25">
      <c r="O1154" s="20" t="str">
        <f>IF(N1154="","",COUNTIFS(RawData[[Date ]],N1154,RawData[Month List],$Q$6,RawData[Tour/Site],$Q$2,RawData[[Picker ID ]],$Q$3,RawData[Checker ID],$Q$4,RawData[[Error Type ]],$Q$5))</f>
        <v/>
      </c>
    </row>
    <row r="1155" spans="15:15" x14ac:dyDescent="0.25">
      <c r="O1155" s="20" t="str">
        <f>IF(N1155="","",COUNTIFS(RawData[[Date ]],N1155,RawData[Month List],$Q$6,RawData[Tour/Site],$Q$2,RawData[[Picker ID ]],$Q$3,RawData[Checker ID],$Q$4,RawData[[Error Type ]],$Q$5))</f>
        <v/>
      </c>
    </row>
    <row r="1156" spans="15:15" x14ac:dyDescent="0.25">
      <c r="O1156" s="20" t="str">
        <f>IF(N1156="","",COUNTIFS(RawData[[Date ]],N1156,RawData[Month List],$Q$6,RawData[Tour/Site],$Q$2,RawData[[Picker ID ]],$Q$3,RawData[Checker ID],$Q$4,RawData[[Error Type ]],$Q$5))</f>
        <v/>
      </c>
    </row>
    <row r="1157" spans="15:15" x14ac:dyDescent="0.25">
      <c r="O1157" s="20" t="str">
        <f>IF(N1157="","",COUNTIFS(RawData[[Date ]],N1157,RawData[Month List],$Q$6,RawData[Tour/Site],$Q$2,RawData[[Picker ID ]],$Q$3,RawData[Checker ID],$Q$4,RawData[[Error Type ]],$Q$5))</f>
        <v/>
      </c>
    </row>
    <row r="1158" spans="15:15" x14ac:dyDescent="0.25">
      <c r="O1158" s="20" t="str">
        <f>IF(N1158="","",COUNTIFS(RawData[[Date ]],N1158,RawData[Month List],$Q$6,RawData[Tour/Site],$Q$2,RawData[[Picker ID ]],$Q$3,RawData[Checker ID],$Q$4,RawData[[Error Type ]],$Q$5))</f>
        <v/>
      </c>
    </row>
    <row r="1159" spans="15:15" x14ac:dyDescent="0.25">
      <c r="O1159" s="20" t="str">
        <f>IF(N1159="","",COUNTIFS(RawData[[Date ]],N1159,RawData[Month List],$Q$6,RawData[Tour/Site],$Q$2,RawData[[Picker ID ]],$Q$3,RawData[Checker ID],$Q$4,RawData[[Error Type ]],$Q$5))</f>
        <v/>
      </c>
    </row>
    <row r="1160" spans="15:15" x14ac:dyDescent="0.25">
      <c r="O1160" s="20" t="str">
        <f>IF(N1160="","",COUNTIFS(RawData[[Date ]],N1160,RawData[Month List],$Q$6,RawData[Tour/Site],$Q$2,RawData[[Picker ID ]],$Q$3,RawData[Checker ID],$Q$4,RawData[[Error Type ]],$Q$5))</f>
        <v/>
      </c>
    </row>
    <row r="1161" spans="15:15" x14ac:dyDescent="0.25">
      <c r="O1161" s="20" t="str">
        <f>IF(N1161="","",COUNTIFS(RawData[[Date ]],N1161,RawData[Month List],$Q$6,RawData[Tour/Site],$Q$2,RawData[[Picker ID ]],$Q$3,RawData[Checker ID],$Q$4,RawData[[Error Type ]],$Q$5))</f>
        <v/>
      </c>
    </row>
    <row r="1162" spans="15:15" x14ac:dyDescent="0.25">
      <c r="O1162" s="20" t="str">
        <f>IF(N1162="","",COUNTIFS(RawData[[Date ]],N1162,RawData[Month List],$Q$6,RawData[Tour/Site],$Q$2,RawData[[Picker ID ]],$Q$3,RawData[Checker ID],$Q$4,RawData[[Error Type ]],$Q$5))</f>
        <v/>
      </c>
    </row>
    <row r="1163" spans="15:15" x14ac:dyDescent="0.25">
      <c r="O1163" s="20" t="str">
        <f>IF(N1163="","",COUNTIFS(RawData[[Date ]],N1163,RawData[Month List],$Q$6,RawData[Tour/Site],$Q$2,RawData[[Picker ID ]],$Q$3,RawData[Checker ID],$Q$4,RawData[[Error Type ]],$Q$5))</f>
        <v/>
      </c>
    </row>
    <row r="1164" spans="15:15" x14ac:dyDescent="0.25">
      <c r="O1164" s="20" t="str">
        <f>IF(N1164="","",COUNTIFS(RawData[[Date ]],N1164,RawData[Month List],$Q$6,RawData[Tour/Site],$Q$2,RawData[[Picker ID ]],$Q$3,RawData[Checker ID],$Q$4,RawData[[Error Type ]],$Q$5))</f>
        <v/>
      </c>
    </row>
    <row r="1165" spans="15:15" x14ac:dyDescent="0.25">
      <c r="O1165" s="20" t="str">
        <f>IF(N1165="","",COUNTIFS(RawData[[Date ]],N1165,RawData[Month List],$Q$6,RawData[Tour/Site],$Q$2,RawData[[Picker ID ]],$Q$3,RawData[Checker ID],$Q$4,RawData[[Error Type ]],$Q$5))</f>
        <v/>
      </c>
    </row>
    <row r="1166" spans="15:15" x14ac:dyDescent="0.25">
      <c r="O1166" s="20" t="str">
        <f>IF(N1166="","",COUNTIFS(RawData[[Date ]],N1166,RawData[Month List],$Q$6,RawData[Tour/Site],$Q$2,RawData[[Picker ID ]],$Q$3,RawData[Checker ID],$Q$4,RawData[[Error Type ]],$Q$5))</f>
        <v/>
      </c>
    </row>
    <row r="1167" spans="15:15" x14ac:dyDescent="0.25">
      <c r="O1167" s="20" t="str">
        <f>IF(N1167="","",COUNTIFS(RawData[[Date ]],N1167,RawData[Month List],$Q$6,RawData[Tour/Site],$Q$2,RawData[[Picker ID ]],$Q$3,RawData[Checker ID],$Q$4,RawData[[Error Type ]],$Q$5))</f>
        <v/>
      </c>
    </row>
    <row r="1168" spans="15:15" x14ac:dyDescent="0.25">
      <c r="O1168" s="20" t="str">
        <f>IF(N1168="","",COUNTIFS(RawData[[Date ]],N1168,RawData[Month List],$Q$6,RawData[Tour/Site],$Q$2,RawData[[Picker ID ]],$Q$3,RawData[Checker ID],$Q$4,RawData[[Error Type ]],$Q$5))</f>
        <v/>
      </c>
    </row>
    <row r="1169" spans="15:15" x14ac:dyDescent="0.25">
      <c r="O1169" s="20" t="str">
        <f>IF(N1169="","",COUNTIFS(RawData[[Date ]],N1169,RawData[Month List],$Q$6,RawData[Tour/Site],$Q$2,RawData[[Picker ID ]],$Q$3,RawData[Checker ID],$Q$4,RawData[[Error Type ]],$Q$5))</f>
        <v/>
      </c>
    </row>
    <row r="1170" spans="15:15" x14ac:dyDescent="0.25">
      <c r="O1170" s="20" t="str">
        <f>IF(N1170="","",COUNTIFS(RawData[[Date ]],N1170,RawData[Month List],$Q$6,RawData[Tour/Site],$Q$2,RawData[[Picker ID ]],$Q$3,RawData[Checker ID],$Q$4,RawData[[Error Type ]],$Q$5))</f>
        <v/>
      </c>
    </row>
    <row r="1171" spans="15:15" x14ac:dyDescent="0.25">
      <c r="O1171" s="20" t="str">
        <f>IF(N1171="","",COUNTIFS(RawData[[Date ]],N1171,RawData[Month List],$Q$6,RawData[Tour/Site],$Q$2,RawData[[Picker ID ]],$Q$3,RawData[Checker ID],$Q$4,RawData[[Error Type ]],$Q$5))</f>
        <v/>
      </c>
    </row>
    <row r="1172" spans="15:15" x14ac:dyDescent="0.25">
      <c r="O1172" s="20" t="str">
        <f>IF(N1172="","",COUNTIFS(RawData[[Date ]],N1172,RawData[Month List],$Q$6,RawData[Tour/Site],$Q$2,RawData[[Picker ID ]],$Q$3,RawData[Checker ID],$Q$4,RawData[[Error Type ]],$Q$5))</f>
        <v/>
      </c>
    </row>
    <row r="1173" spans="15:15" x14ac:dyDescent="0.25">
      <c r="O1173" s="20" t="str">
        <f>IF(N1173="","",COUNTIFS(RawData[[Date ]],N1173,RawData[Month List],$Q$6,RawData[Tour/Site],$Q$2,RawData[[Picker ID ]],$Q$3,RawData[Checker ID],$Q$4,RawData[[Error Type ]],$Q$5))</f>
        <v/>
      </c>
    </row>
    <row r="1174" spans="15:15" x14ac:dyDescent="0.25">
      <c r="O1174" s="20" t="str">
        <f>IF(N1174="","",COUNTIFS(RawData[[Date ]],N1174,RawData[Month List],$Q$6,RawData[Tour/Site],$Q$2,RawData[[Picker ID ]],$Q$3,RawData[Checker ID],$Q$4,RawData[[Error Type ]],$Q$5))</f>
        <v/>
      </c>
    </row>
    <row r="1175" spans="15:15" x14ac:dyDescent="0.25">
      <c r="O1175" s="20" t="str">
        <f>IF(N1175="","",COUNTIFS(RawData[[Date ]],N1175,RawData[Month List],$Q$6,RawData[Tour/Site],$Q$2,RawData[[Picker ID ]],$Q$3,RawData[Checker ID],$Q$4,RawData[[Error Type ]],$Q$5))</f>
        <v/>
      </c>
    </row>
    <row r="1176" spans="15:15" x14ac:dyDescent="0.25">
      <c r="O1176" s="20" t="str">
        <f>IF(N1176="","",COUNTIFS(RawData[[Date ]],N1176,RawData[Month List],$Q$6,RawData[Tour/Site],$Q$2,RawData[[Picker ID ]],$Q$3,RawData[Checker ID],$Q$4,RawData[[Error Type ]],$Q$5))</f>
        <v/>
      </c>
    </row>
    <row r="1177" spans="15:15" x14ac:dyDescent="0.25">
      <c r="O1177" s="20" t="str">
        <f>IF(N1177="","",COUNTIFS(RawData[[Date ]],N1177,RawData[Month List],$Q$6,RawData[Tour/Site],$Q$2,RawData[[Picker ID ]],$Q$3,RawData[Checker ID],$Q$4,RawData[[Error Type ]],$Q$5))</f>
        <v/>
      </c>
    </row>
    <row r="1178" spans="15:15" x14ac:dyDescent="0.25">
      <c r="O1178" s="20" t="str">
        <f>IF(N1178="","",COUNTIFS(RawData[[Date ]],N1178,RawData[Month List],$Q$6,RawData[Tour/Site],$Q$2,RawData[[Picker ID ]],$Q$3,RawData[Checker ID],$Q$4,RawData[[Error Type ]],$Q$5))</f>
        <v/>
      </c>
    </row>
    <row r="1179" spans="15:15" x14ac:dyDescent="0.25">
      <c r="O1179" s="20" t="str">
        <f>IF(N1179="","",COUNTIFS(RawData[[Date ]],N1179,RawData[Month List],$Q$6,RawData[Tour/Site],$Q$2,RawData[[Picker ID ]],$Q$3,RawData[Checker ID],$Q$4,RawData[[Error Type ]],$Q$5))</f>
        <v/>
      </c>
    </row>
    <row r="1180" spans="15:15" x14ac:dyDescent="0.25">
      <c r="O1180" s="20" t="str">
        <f>IF(N1180="","",COUNTIFS(RawData[[Date ]],N1180,RawData[Month List],$Q$6,RawData[Tour/Site],$Q$2,RawData[[Picker ID ]],$Q$3,RawData[Checker ID],$Q$4,RawData[[Error Type ]],$Q$5))</f>
        <v/>
      </c>
    </row>
    <row r="1181" spans="15:15" x14ac:dyDescent="0.25">
      <c r="O1181" s="20" t="str">
        <f>IF(N1181="","",COUNTIFS(RawData[[Date ]],N1181,RawData[Month List],$Q$6,RawData[Tour/Site],$Q$2,RawData[[Picker ID ]],$Q$3,RawData[Checker ID],$Q$4,RawData[[Error Type ]],$Q$5))</f>
        <v/>
      </c>
    </row>
    <row r="1182" spans="15:15" x14ac:dyDescent="0.25">
      <c r="O1182" s="20" t="str">
        <f>IF(N1182="","",COUNTIFS(RawData[[Date ]],N1182,RawData[Month List],$Q$6,RawData[Tour/Site],$Q$2,RawData[[Picker ID ]],$Q$3,RawData[Checker ID],$Q$4,RawData[[Error Type ]],$Q$5))</f>
        <v/>
      </c>
    </row>
    <row r="1183" spans="15:15" x14ac:dyDescent="0.25">
      <c r="O1183" s="20" t="str">
        <f>IF(N1183="","",COUNTIFS(RawData[[Date ]],N1183,RawData[Month List],$Q$6,RawData[Tour/Site],$Q$2,RawData[[Picker ID ]],$Q$3,RawData[Checker ID],$Q$4,RawData[[Error Type ]],$Q$5))</f>
        <v/>
      </c>
    </row>
    <row r="1184" spans="15:15" x14ac:dyDescent="0.25">
      <c r="O1184" s="20" t="str">
        <f>IF(N1184="","",COUNTIFS(RawData[[Date ]],N1184,RawData[Month List],$Q$6,RawData[Tour/Site],$Q$2,RawData[[Picker ID ]],$Q$3,RawData[Checker ID],$Q$4,RawData[[Error Type ]],$Q$5))</f>
        <v/>
      </c>
    </row>
    <row r="1185" spans="15:15" x14ac:dyDescent="0.25">
      <c r="O1185" s="20" t="str">
        <f>IF(N1185="","",COUNTIFS(RawData[[Date ]],N1185,RawData[Month List],$Q$6,RawData[Tour/Site],$Q$2,RawData[[Picker ID ]],$Q$3,RawData[Checker ID],$Q$4,RawData[[Error Type ]],$Q$5))</f>
        <v/>
      </c>
    </row>
    <row r="1186" spans="15:15" x14ac:dyDescent="0.25">
      <c r="O1186" s="20" t="str">
        <f>IF(N1186="","",COUNTIFS(RawData[[Date ]],N1186,RawData[Month List],$Q$6,RawData[Tour/Site],$Q$2,RawData[[Picker ID ]],$Q$3,RawData[Checker ID],$Q$4,RawData[[Error Type ]],$Q$5))</f>
        <v/>
      </c>
    </row>
    <row r="1187" spans="15:15" x14ac:dyDescent="0.25">
      <c r="O1187" s="20" t="str">
        <f>IF(N1187="","",COUNTIFS(RawData[[Date ]],N1187,RawData[Month List],$Q$6,RawData[Tour/Site],$Q$2,RawData[[Picker ID ]],$Q$3,RawData[Checker ID],$Q$4,RawData[[Error Type ]],$Q$5))</f>
        <v/>
      </c>
    </row>
    <row r="1188" spans="15:15" x14ac:dyDescent="0.25">
      <c r="O1188" s="20" t="str">
        <f>IF(N1188="","",COUNTIFS(RawData[[Date ]],N1188,RawData[Month List],$Q$6,RawData[Tour/Site],$Q$2,RawData[[Picker ID ]],$Q$3,RawData[Checker ID],$Q$4,RawData[[Error Type ]],$Q$5))</f>
        <v/>
      </c>
    </row>
    <row r="1189" spans="15:15" x14ac:dyDescent="0.25">
      <c r="O1189" s="20" t="str">
        <f>IF(N1189="","",COUNTIFS(RawData[[Date ]],N1189,RawData[Month List],$Q$6,RawData[Tour/Site],$Q$2,RawData[[Picker ID ]],$Q$3,RawData[Checker ID],$Q$4,RawData[[Error Type ]],$Q$5))</f>
        <v/>
      </c>
    </row>
    <row r="1190" spans="15:15" x14ac:dyDescent="0.25">
      <c r="O1190" s="20" t="str">
        <f>IF(N1190="","",COUNTIFS(RawData[[Date ]],N1190,RawData[Month List],$Q$6,RawData[Tour/Site],$Q$2,RawData[[Picker ID ]],$Q$3,RawData[Checker ID],$Q$4,RawData[[Error Type ]],$Q$5))</f>
        <v/>
      </c>
    </row>
    <row r="1191" spans="15:15" x14ac:dyDescent="0.25">
      <c r="O1191" s="20" t="str">
        <f>IF(N1191="","",COUNTIFS(RawData[[Date ]],N1191,RawData[Month List],$Q$6,RawData[Tour/Site],$Q$2,RawData[[Picker ID ]],$Q$3,RawData[Checker ID],$Q$4,RawData[[Error Type ]],$Q$5))</f>
        <v/>
      </c>
    </row>
    <row r="1192" spans="15:15" x14ac:dyDescent="0.25">
      <c r="O1192" s="20" t="str">
        <f>IF(N1192="","",COUNTIFS(RawData[[Date ]],N1192,RawData[Month List],$Q$6,RawData[Tour/Site],$Q$2,RawData[[Picker ID ]],$Q$3,RawData[Checker ID],$Q$4,RawData[[Error Type ]],$Q$5))</f>
        <v/>
      </c>
    </row>
    <row r="1193" spans="15:15" x14ac:dyDescent="0.25">
      <c r="O1193" s="20" t="str">
        <f>IF(N1193="","",COUNTIFS(RawData[[Date ]],N1193,RawData[Month List],$Q$6,RawData[Tour/Site],$Q$2,RawData[[Picker ID ]],$Q$3,RawData[Checker ID],$Q$4,RawData[[Error Type ]],$Q$5))</f>
        <v/>
      </c>
    </row>
    <row r="1194" spans="15:15" x14ac:dyDescent="0.25">
      <c r="O1194" s="20" t="str">
        <f>IF(N1194="","",COUNTIFS(RawData[[Date ]],N1194,RawData[Month List],$Q$6,RawData[Tour/Site],$Q$2,RawData[[Picker ID ]],$Q$3,RawData[Checker ID],$Q$4,RawData[[Error Type ]],$Q$5))</f>
        <v/>
      </c>
    </row>
    <row r="1195" spans="15:15" x14ac:dyDescent="0.25">
      <c r="O1195" s="20" t="str">
        <f>IF(N1195="","",COUNTIFS(RawData[[Date ]],N1195,RawData[Month List],$Q$6,RawData[Tour/Site],$Q$2,RawData[[Picker ID ]],$Q$3,RawData[Checker ID],$Q$4,RawData[[Error Type ]],$Q$5))</f>
        <v/>
      </c>
    </row>
    <row r="1196" spans="15:15" x14ac:dyDescent="0.25">
      <c r="O1196" s="20" t="str">
        <f>IF(N1196="","",COUNTIFS(RawData[[Date ]],N1196,RawData[Month List],$Q$6,RawData[Tour/Site],$Q$2,RawData[[Picker ID ]],$Q$3,RawData[Checker ID],$Q$4,RawData[[Error Type ]],$Q$5))</f>
        <v/>
      </c>
    </row>
    <row r="1197" spans="15:15" x14ac:dyDescent="0.25">
      <c r="O1197" s="20" t="str">
        <f>IF(N1197="","",COUNTIFS(RawData[[Date ]],N1197,RawData[Month List],$Q$6,RawData[Tour/Site],$Q$2,RawData[[Picker ID ]],$Q$3,RawData[Checker ID],$Q$4,RawData[[Error Type ]],$Q$5))</f>
        <v/>
      </c>
    </row>
    <row r="1198" spans="15:15" x14ac:dyDescent="0.25">
      <c r="O1198" s="20" t="str">
        <f>IF(N1198="","",COUNTIFS(RawData[[Date ]],N1198,RawData[Month List],$Q$6,RawData[Tour/Site],$Q$2,RawData[[Picker ID ]],$Q$3,RawData[Checker ID],$Q$4,RawData[[Error Type ]],$Q$5))</f>
        <v/>
      </c>
    </row>
    <row r="1199" spans="15:15" x14ac:dyDescent="0.25">
      <c r="O1199" s="20" t="str">
        <f>IF(N1199="","",COUNTIFS(RawData[[Date ]],N1199,RawData[Month List],$Q$6,RawData[Tour/Site],$Q$2,RawData[[Picker ID ]],$Q$3,RawData[Checker ID],$Q$4,RawData[[Error Type ]],$Q$5))</f>
        <v/>
      </c>
    </row>
    <row r="1200" spans="15:15" x14ac:dyDescent="0.25">
      <c r="O1200" s="20" t="str">
        <f>IF(N1200="","",COUNTIFS(RawData[[Date ]],N1200,RawData[Month List],$Q$6,RawData[Tour/Site],$Q$2,RawData[[Picker ID ]],$Q$3,RawData[Checker ID],$Q$4,RawData[[Error Type ]],$Q$5))</f>
        <v/>
      </c>
    </row>
    <row r="1201" spans="15:15" x14ac:dyDescent="0.25">
      <c r="O1201" s="20" t="str">
        <f>IF(N1201="","",COUNTIFS(RawData[[Date ]],N1201,RawData[Month List],$Q$6,RawData[Tour/Site],$Q$2,RawData[[Picker ID ]],$Q$3,RawData[Checker ID],$Q$4,RawData[[Error Type ]],$Q$5))</f>
        <v/>
      </c>
    </row>
    <row r="1202" spans="15:15" x14ac:dyDescent="0.25">
      <c r="O1202" s="20" t="str">
        <f>IF(N1202="","",COUNTIFS(RawData[[Date ]],N1202,RawData[Month List],$Q$6,RawData[Tour/Site],$Q$2,RawData[[Picker ID ]],$Q$3,RawData[Checker ID],$Q$4,RawData[[Error Type ]],$Q$5))</f>
        <v/>
      </c>
    </row>
    <row r="1203" spans="15:15" x14ac:dyDescent="0.25">
      <c r="O1203" s="20" t="str">
        <f>IF(N1203="","",COUNTIFS(RawData[[Date ]],N1203,RawData[Month List],$Q$6,RawData[Tour/Site],$Q$2,RawData[[Picker ID ]],$Q$3,RawData[Checker ID],$Q$4,RawData[[Error Type ]],$Q$5))</f>
        <v/>
      </c>
    </row>
    <row r="1204" spans="15:15" x14ac:dyDescent="0.25">
      <c r="O1204" s="20" t="str">
        <f>IF(N1204="","",COUNTIFS(RawData[[Date ]],N1204,RawData[Month List],$Q$6,RawData[Tour/Site],$Q$2,RawData[[Picker ID ]],$Q$3,RawData[Checker ID],$Q$4,RawData[[Error Type ]],$Q$5))</f>
        <v/>
      </c>
    </row>
    <row r="1205" spans="15:15" x14ac:dyDescent="0.25">
      <c r="O1205" s="20" t="str">
        <f>IF(N1205="","",COUNTIFS(RawData[[Date ]],N1205,RawData[Month List],$Q$6,RawData[Tour/Site],$Q$2,RawData[[Picker ID ]],$Q$3,RawData[Checker ID],$Q$4,RawData[[Error Type ]],$Q$5))</f>
        <v/>
      </c>
    </row>
    <row r="1206" spans="15:15" x14ac:dyDescent="0.25">
      <c r="O1206" s="20" t="str">
        <f>IF(N1206="","",COUNTIFS(RawData[[Date ]],N1206,RawData[Month List],$Q$6,RawData[Tour/Site],$Q$2,RawData[[Picker ID ]],$Q$3,RawData[Checker ID],$Q$4,RawData[[Error Type ]],$Q$5))</f>
        <v/>
      </c>
    </row>
    <row r="1207" spans="15:15" x14ac:dyDescent="0.25">
      <c r="O1207" s="20" t="str">
        <f>IF(N1207="","",COUNTIFS(RawData[[Date ]],N1207,RawData[Month List],$Q$6,RawData[Tour/Site],$Q$2,RawData[[Picker ID ]],$Q$3,RawData[Checker ID],$Q$4,RawData[[Error Type ]],$Q$5))</f>
        <v/>
      </c>
    </row>
    <row r="1208" spans="15:15" x14ac:dyDescent="0.25">
      <c r="O1208" s="20" t="str">
        <f>IF(N1208="","",COUNTIFS(RawData[[Date ]],N1208,RawData[Month List],$Q$6,RawData[Tour/Site],$Q$2,RawData[[Picker ID ]],$Q$3,RawData[Checker ID],$Q$4,RawData[[Error Type ]],$Q$5))</f>
        <v/>
      </c>
    </row>
    <row r="1209" spans="15:15" x14ac:dyDescent="0.25">
      <c r="O1209" s="20" t="str">
        <f>IF(N1209="","",COUNTIFS(RawData[[Date ]],N1209,RawData[Month List],$Q$6,RawData[Tour/Site],$Q$2,RawData[[Picker ID ]],$Q$3,RawData[Checker ID],$Q$4,RawData[[Error Type ]],$Q$5))</f>
        <v/>
      </c>
    </row>
    <row r="1210" spans="15:15" x14ac:dyDescent="0.25">
      <c r="O1210" s="20" t="str">
        <f>IF(N1210="","",COUNTIFS(RawData[[Date ]],N1210,RawData[Month List],$Q$6,RawData[Tour/Site],$Q$2,RawData[[Picker ID ]],$Q$3,RawData[Checker ID],$Q$4,RawData[[Error Type ]],$Q$5))</f>
        <v/>
      </c>
    </row>
    <row r="1211" spans="15:15" x14ac:dyDescent="0.25">
      <c r="O1211" s="20" t="str">
        <f>IF(N1211="","",COUNTIFS(RawData[[Date ]],N1211,RawData[Month List],$Q$6,RawData[Tour/Site],$Q$2,RawData[[Picker ID ]],$Q$3,RawData[Checker ID],$Q$4,RawData[[Error Type ]],$Q$5))</f>
        <v/>
      </c>
    </row>
    <row r="1212" spans="15:15" x14ac:dyDescent="0.25">
      <c r="O1212" s="20" t="str">
        <f>IF(N1212="","",COUNTIFS(RawData[[Date ]],N1212,RawData[Month List],$Q$6,RawData[Tour/Site],$Q$2,RawData[[Picker ID ]],$Q$3,RawData[Checker ID],$Q$4,RawData[[Error Type ]],$Q$5))</f>
        <v/>
      </c>
    </row>
    <row r="1213" spans="15:15" x14ac:dyDescent="0.25">
      <c r="O1213" s="20" t="str">
        <f>IF(N1213="","",COUNTIFS(RawData[[Date ]],N1213,RawData[Month List],$Q$6,RawData[Tour/Site],$Q$2,RawData[[Picker ID ]],$Q$3,RawData[Checker ID],$Q$4,RawData[[Error Type ]],$Q$5))</f>
        <v/>
      </c>
    </row>
    <row r="1214" spans="15:15" x14ac:dyDescent="0.25">
      <c r="O1214" s="20" t="str">
        <f>IF(N1214="","",COUNTIFS(RawData[[Date ]],N1214,RawData[Month List],$Q$6,RawData[Tour/Site],$Q$2,RawData[[Picker ID ]],$Q$3,RawData[Checker ID],$Q$4,RawData[[Error Type ]],$Q$5))</f>
        <v/>
      </c>
    </row>
    <row r="1215" spans="15:15" x14ac:dyDescent="0.25">
      <c r="O1215" s="20" t="str">
        <f>IF(N1215="","",COUNTIFS(RawData[[Date ]],N1215,RawData[Month List],$Q$6,RawData[Tour/Site],$Q$2,RawData[[Picker ID ]],$Q$3,RawData[Checker ID],$Q$4,RawData[[Error Type ]],$Q$5))</f>
        <v/>
      </c>
    </row>
    <row r="1216" spans="15:15" x14ac:dyDescent="0.25">
      <c r="O1216" s="20" t="str">
        <f>IF(N1216="","",COUNTIFS(RawData[[Date ]],N1216,RawData[Month List],$Q$6,RawData[Tour/Site],$Q$2,RawData[[Picker ID ]],$Q$3,RawData[Checker ID],$Q$4,RawData[[Error Type ]],$Q$5))</f>
        <v/>
      </c>
    </row>
    <row r="1217" spans="15:15" x14ac:dyDescent="0.25">
      <c r="O1217" s="20" t="str">
        <f>IF(N1217="","",COUNTIFS(RawData[[Date ]],N1217,RawData[Month List],$Q$6,RawData[Tour/Site],$Q$2,RawData[[Picker ID ]],$Q$3,RawData[Checker ID],$Q$4,RawData[[Error Type ]],$Q$5))</f>
        <v/>
      </c>
    </row>
    <row r="1218" spans="15:15" x14ac:dyDescent="0.25">
      <c r="O1218" s="20" t="str">
        <f>IF(N1218="","",COUNTIFS(RawData[[Date ]],N1218,RawData[Month List],$Q$6,RawData[Tour/Site],$Q$2,RawData[[Picker ID ]],$Q$3,RawData[Checker ID],$Q$4,RawData[[Error Type ]],$Q$5))</f>
        <v/>
      </c>
    </row>
    <row r="1219" spans="15:15" x14ac:dyDescent="0.25">
      <c r="O1219" s="20" t="str">
        <f>IF(N1219="","",COUNTIFS(RawData[[Date ]],N1219,RawData[Month List],$Q$6,RawData[Tour/Site],$Q$2,RawData[[Picker ID ]],$Q$3,RawData[Checker ID],$Q$4,RawData[[Error Type ]],$Q$5))</f>
        <v/>
      </c>
    </row>
    <row r="1220" spans="15:15" x14ac:dyDescent="0.25">
      <c r="O1220" s="20" t="str">
        <f>IF(N1220="","",COUNTIFS(RawData[[Date ]],N1220,RawData[Month List],$Q$6,RawData[Tour/Site],$Q$2,RawData[[Picker ID ]],$Q$3,RawData[Checker ID],$Q$4,RawData[[Error Type ]],$Q$5))</f>
        <v/>
      </c>
    </row>
    <row r="1221" spans="15:15" x14ac:dyDescent="0.25">
      <c r="O1221" s="20" t="str">
        <f>IF(N1221="","",COUNTIFS(RawData[[Date ]],N1221,RawData[Month List],$Q$6,RawData[Tour/Site],$Q$2,RawData[[Picker ID ]],$Q$3,RawData[Checker ID],$Q$4,RawData[[Error Type ]],$Q$5))</f>
        <v/>
      </c>
    </row>
    <row r="1222" spans="15:15" x14ac:dyDescent="0.25">
      <c r="O1222" s="20" t="str">
        <f>IF(N1222="","",COUNTIFS(RawData[[Date ]],N1222,RawData[Month List],$Q$6,RawData[Tour/Site],$Q$2,RawData[[Picker ID ]],$Q$3,RawData[Checker ID],$Q$4,RawData[[Error Type ]],$Q$5))</f>
        <v/>
      </c>
    </row>
    <row r="1223" spans="15:15" x14ac:dyDescent="0.25">
      <c r="O1223" s="20" t="str">
        <f>IF(N1223="","",COUNTIFS(RawData[[Date ]],N1223,RawData[Month List],$Q$6,RawData[Tour/Site],$Q$2,RawData[[Picker ID ]],$Q$3,RawData[Checker ID],$Q$4,RawData[[Error Type ]],$Q$5))</f>
        <v/>
      </c>
    </row>
    <row r="1224" spans="15:15" x14ac:dyDescent="0.25">
      <c r="O1224" s="20" t="str">
        <f>IF(N1224="","",COUNTIFS(RawData[[Date ]],N1224,RawData[Month List],$Q$6,RawData[Tour/Site],$Q$2,RawData[[Picker ID ]],$Q$3,RawData[Checker ID],$Q$4,RawData[[Error Type ]],$Q$5))</f>
        <v/>
      </c>
    </row>
    <row r="1225" spans="15:15" x14ac:dyDescent="0.25">
      <c r="O1225" s="20" t="str">
        <f>IF(N1225="","",COUNTIFS(RawData[[Date ]],N1225,RawData[Month List],$Q$6,RawData[Tour/Site],$Q$2,RawData[[Picker ID ]],$Q$3,RawData[Checker ID],$Q$4,RawData[[Error Type ]],$Q$5))</f>
        <v/>
      </c>
    </row>
    <row r="1226" spans="15:15" x14ac:dyDescent="0.25">
      <c r="O1226" s="20" t="str">
        <f>IF(N1226="","",COUNTIFS(RawData[[Date ]],N1226,RawData[Month List],$Q$6,RawData[Tour/Site],$Q$2,RawData[[Picker ID ]],$Q$3,RawData[Checker ID],$Q$4,RawData[[Error Type ]],$Q$5))</f>
        <v/>
      </c>
    </row>
    <row r="1227" spans="15:15" x14ac:dyDescent="0.25">
      <c r="O1227" s="20" t="str">
        <f>IF(N1227="","",COUNTIFS(RawData[[Date ]],N1227,RawData[Month List],$Q$6,RawData[Tour/Site],$Q$2,RawData[[Picker ID ]],$Q$3,RawData[Checker ID],$Q$4,RawData[[Error Type ]],$Q$5))</f>
        <v/>
      </c>
    </row>
    <row r="1228" spans="15:15" x14ac:dyDescent="0.25">
      <c r="O1228" s="20" t="str">
        <f>IF(N1228="","",COUNTIFS(RawData[[Date ]],N1228,RawData[Month List],$Q$6,RawData[Tour/Site],$Q$2,RawData[[Picker ID ]],$Q$3,RawData[Checker ID],$Q$4,RawData[[Error Type ]],$Q$5))</f>
        <v/>
      </c>
    </row>
    <row r="1229" spans="15:15" x14ac:dyDescent="0.25">
      <c r="O1229" s="20" t="str">
        <f>IF(N1229="","",COUNTIFS(RawData[[Date ]],N1229,RawData[Month List],$Q$6,RawData[Tour/Site],$Q$2,RawData[[Picker ID ]],$Q$3,RawData[Checker ID],$Q$4,RawData[[Error Type ]],$Q$5))</f>
        <v/>
      </c>
    </row>
    <row r="1230" spans="15:15" x14ac:dyDescent="0.25">
      <c r="O1230" s="20" t="str">
        <f>IF(N1230="","",COUNTIFS(RawData[[Date ]],N1230,RawData[Month List],$Q$6,RawData[Tour/Site],$Q$2,RawData[[Picker ID ]],$Q$3,RawData[Checker ID],$Q$4,RawData[[Error Type ]],$Q$5))</f>
        <v/>
      </c>
    </row>
    <row r="1231" spans="15:15" x14ac:dyDescent="0.25">
      <c r="O1231" s="20" t="str">
        <f>IF(N1231="","",COUNTIFS(RawData[[Date ]],N1231,RawData[Month List],$Q$6,RawData[Tour/Site],$Q$2,RawData[[Picker ID ]],$Q$3,RawData[Checker ID],$Q$4,RawData[[Error Type ]],$Q$5))</f>
        <v/>
      </c>
    </row>
    <row r="1232" spans="15:15" x14ac:dyDescent="0.25">
      <c r="O1232" s="20" t="str">
        <f>IF(N1232="","",COUNTIFS(RawData[[Date ]],N1232,RawData[Month List],$Q$6,RawData[Tour/Site],$Q$2,RawData[[Picker ID ]],$Q$3,RawData[Checker ID],$Q$4,RawData[[Error Type ]],$Q$5))</f>
        <v/>
      </c>
    </row>
    <row r="1233" spans="15:15" x14ac:dyDescent="0.25">
      <c r="O1233" s="20" t="str">
        <f>IF(N1233="","",COUNTIFS(RawData[[Date ]],N1233,RawData[Month List],$Q$6,RawData[Tour/Site],$Q$2,RawData[[Picker ID ]],$Q$3,RawData[Checker ID],$Q$4,RawData[[Error Type ]],$Q$5))</f>
        <v/>
      </c>
    </row>
    <row r="1234" spans="15:15" x14ac:dyDescent="0.25">
      <c r="O1234" s="20" t="str">
        <f>IF(N1234="","",COUNTIFS(RawData[[Date ]],N1234,RawData[Month List],$Q$6,RawData[Tour/Site],$Q$2,RawData[[Picker ID ]],$Q$3,RawData[Checker ID],$Q$4,RawData[[Error Type ]],$Q$5))</f>
        <v/>
      </c>
    </row>
    <row r="1235" spans="15:15" x14ac:dyDescent="0.25">
      <c r="O1235" s="20" t="str">
        <f>IF(N1235="","",COUNTIFS(RawData[[Date ]],N1235,RawData[Month List],$Q$6,RawData[Tour/Site],$Q$2,RawData[[Picker ID ]],$Q$3,RawData[Checker ID],$Q$4,RawData[[Error Type ]],$Q$5))</f>
        <v/>
      </c>
    </row>
    <row r="1236" spans="15:15" x14ac:dyDescent="0.25">
      <c r="O1236" s="20" t="str">
        <f>IF(N1236="","",COUNTIFS(RawData[[Date ]],N1236,RawData[Month List],$Q$6,RawData[Tour/Site],$Q$2,RawData[[Picker ID ]],$Q$3,RawData[Checker ID],$Q$4,RawData[[Error Type ]],$Q$5))</f>
        <v/>
      </c>
    </row>
    <row r="1237" spans="15:15" x14ac:dyDescent="0.25">
      <c r="O1237" s="20" t="str">
        <f>IF(N1237="","",COUNTIFS(RawData[[Date ]],N1237,RawData[Month List],$Q$6,RawData[Tour/Site],$Q$2,RawData[[Picker ID ]],$Q$3,RawData[Checker ID],$Q$4,RawData[[Error Type ]],$Q$5))</f>
        <v/>
      </c>
    </row>
    <row r="1238" spans="15:15" x14ac:dyDescent="0.25">
      <c r="O1238" s="20" t="str">
        <f>IF(N1238="","",COUNTIFS(RawData[[Date ]],N1238,RawData[Month List],$Q$6,RawData[Tour/Site],$Q$2,RawData[[Picker ID ]],$Q$3,RawData[Checker ID],$Q$4,RawData[[Error Type ]],$Q$5))</f>
        <v/>
      </c>
    </row>
    <row r="1239" spans="15:15" x14ac:dyDescent="0.25">
      <c r="O1239" s="20" t="str">
        <f>IF(N1239="","",COUNTIFS(RawData[[Date ]],N1239,RawData[Month List],$Q$6,RawData[Tour/Site],$Q$2,RawData[[Picker ID ]],$Q$3,RawData[Checker ID],$Q$4,RawData[[Error Type ]],$Q$5))</f>
        <v/>
      </c>
    </row>
    <row r="1240" spans="15:15" x14ac:dyDescent="0.25">
      <c r="O1240" s="20" t="str">
        <f>IF(N1240="","",COUNTIFS(RawData[[Date ]],N1240,RawData[Month List],$Q$6,RawData[Tour/Site],$Q$2,RawData[[Picker ID ]],$Q$3,RawData[Checker ID],$Q$4,RawData[[Error Type ]],$Q$5))</f>
        <v/>
      </c>
    </row>
    <row r="1241" spans="15:15" x14ac:dyDescent="0.25">
      <c r="O1241" s="20" t="str">
        <f>IF(N1241="","",COUNTIFS(RawData[[Date ]],N1241,RawData[Month List],$Q$6,RawData[Tour/Site],$Q$2,RawData[[Picker ID ]],$Q$3,RawData[Checker ID],$Q$4,RawData[[Error Type ]],$Q$5))</f>
        <v/>
      </c>
    </row>
    <row r="1242" spans="15:15" x14ac:dyDescent="0.25">
      <c r="O1242" s="20" t="str">
        <f>IF(N1242="","",COUNTIFS(RawData[[Date ]],N1242,RawData[Month List],$Q$6,RawData[Tour/Site],$Q$2,RawData[[Picker ID ]],$Q$3,RawData[Checker ID],$Q$4,RawData[[Error Type ]],$Q$5))</f>
        <v/>
      </c>
    </row>
    <row r="1243" spans="15:15" x14ac:dyDescent="0.25">
      <c r="O1243" s="20" t="str">
        <f>IF(N1243="","",COUNTIFS(RawData[[Date ]],N1243,RawData[Month List],$Q$6,RawData[Tour/Site],$Q$2,RawData[[Picker ID ]],$Q$3,RawData[Checker ID],$Q$4,RawData[[Error Type ]],$Q$5))</f>
        <v/>
      </c>
    </row>
    <row r="1244" spans="15:15" x14ac:dyDescent="0.25">
      <c r="O1244" s="20" t="str">
        <f>IF(N1244="","",COUNTIFS(RawData[[Date ]],N1244,RawData[Month List],$Q$6,RawData[Tour/Site],$Q$2,RawData[[Picker ID ]],$Q$3,RawData[Checker ID],$Q$4,RawData[[Error Type ]],$Q$5))</f>
        <v/>
      </c>
    </row>
    <row r="1245" spans="15:15" x14ac:dyDescent="0.25">
      <c r="O1245" s="20" t="str">
        <f>IF(N1245="","",COUNTIFS(RawData[[Date ]],N1245,RawData[Month List],$Q$6,RawData[Tour/Site],$Q$2,RawData[[Picker ID ]],$Q$3,RawData[Checker ID],$Q$4,RawData[[Error Type ]],$Q$5))</f>
        <v/>
      </c>
    </row>
    <row r="1246" spans="15:15" x14ac:dyDescent="0.25">
      <c r="O1246" s="20" t="str">
        <f>IF(N1246="","",COUNTIFS(RawData[[Date ]],N1246,RawData[Month List],$Q$6,RawData[Tour/Site],$Q$2,RawData[[Picker ID ]],$Q$3,RawData[Checker ID],$Q$4,RawData[[Error Type ]],$Q$5))</f>
        <v/>
      </c>
    </row>
    <row r="1247" spans="15:15" x14ac:dyDescent="0.25">
      <c r="O1247" s="20" t="str">
        <f>IF(N1247="","",COUNTIFS(RawData[[Date ]],N1247,RawData[Month List],$Q$6,RawData[Tour/Site],$Q$2,RawData[[Picker ID ]],$Q$3,RawData[Checker ID],$Q$4,RawData[[Error Type ]],$Q$5))</f>
        <v/>
      </c>
    </row>
    <row r="1248" spans="15:15" x14ac:dyDescent="0.25">
      <c r="O1248" s="20" t="str">
        <f>IF(N1248="","",COUNTIFS(RawData[[Date ]],N1248,RawData[Month List],$Q$6,RawData[Tour/Site],$Q$2,RawData[[Picker ID ]],$Q$3,RawData[Checker ID],$Q$4,RawData[[Error Type ]],$Q$5))</f>
        <v/>
      </c>
    </row>
    <row r="1249" spans="15:15" x14ac:dyDescent="0.25">
      <c r="O1249" s="20" t="str">
        <f>IF(N1249="","",COUNTIFS(RawData[[Date ]],N1249,RawData[Month List],$Q$6,RawData[Tour/Site],$Q$2,RawData[[Picker ID ]],$Q$3,RawData[Checker ID],$Q$4,RawData[[Error Type ]],$Q$5))</f>
        <v/>
      </c>
    </row>
    <row r="1250" spans="15:15" x14ac:dyDescent="0.25">
      <c r="O1250" s="20" t="str">
        <f>IF(N1250="","",COUNTIFS(RawData[[Date ]],N1250,RawData[Month List],$Q$6,RawData[Tour/Site],$Q$2,RawData[[Picker ID ]],$Q$3,RawData[Checker ID],$Q$4,RawData[[Error Type ]],$Q$5))</f>
        <v/>
      </c>
    </row>
    <row r="1251" spans="15:15" x14ac:dyDescent="0.25">
      <c r="O1251" s="20" t="str">
        <f>IF(N1251="","",COUNTIFS(RawData[[Date ]],N1251,RawData[Month List],$Q$6,RawData[Tour/Site],$Q$2,RawData[[Picker ID ]],$Q$3,RawData[Checker ID],$Q$4,RawData[[Error Type ]],$Q$5))</f>
        <v/>
      </c>
    </row>
    <row r="1252" spans="15:15" x14ac:dyDescent="0.25">
      <c r="O1252" s="20" t="str">
        <f>IF(N1252="","",COUNTIFS(RawData[[Date ]],N1252,RawData[Month List],$Q$6,RawData[Tour/Site],$Q$2,RawData[[Picker ID ]],$Q$3,RawData[Checker ID],$Q$4,RawData[[Error Type ]],$Q$5))</f>
        <v/>
      </c>
    </row>
    <row r="1253" spans="15:15" x14ac:dyDescent="0.25">
      <c r="O1253" s="20" t="str">
        <f>IF(N1253="","",COUNTIFS(RawData[[Date ]],N1253,RawData[Month List],$Q$6,RawData[Tour/Site],$Q$2,RawData[[Picker ID ]],$Q$3,RawData[Checker ID],$Q$4,RawData[[Error Type ]],$Q$5))</f>
        <v/>
      </c>
    </row>
    <row r="1254" spans="15:15" x14ac:dyDescent="0.25">
      <c r="O1254" s="20" t="str">
        <f>IF(N1254="","",COUNTIFS(RawData[[Date ]],N1254,RawData[Month List],$Q$6,RawData[Tour/Site],$Q$2,RawData[[Picker ID ]],$Q$3,RawData[Checker ID],$Q$4,RawData[[Error Type ]],$Q$5))</f>
        <v/>
      </c>
    </row>
    <row r="1255" spans="15:15" x14ac:dyDescent="0.25">
      <c r="O1255" s="20" t="str">
        <f>IF(N1255="","",COUNTIFS(RawData[[Date ]],N1255,RawData[Month List],$Q$6,RawData[Tour/Site],$Q$2,RawData[[Picker ID ]],$Q$3,RawData[Checker ID],$Q$4,RawData[[Error Type ]],$Q$5))</f>
        <v/>
      </c>
    </row>
    <row r="1256" spans="15:15" x14ac:dyDescent="0.25">
      <c r="O1256" s="20" t="str">
        <f>IF(N1256="","",COUNTIFS(RawData[[Date ]],N1256,RawData[Month List],$Q$6,RawData[Tour/Site],$Q$2,RawData[[Picker ID ]],$Q$3,RawData[Checker ID],$Q$4,RawData[[Error Type ]],$Q$5))</f>
        <v/>
      </c>
    </row>
    <row r="1257" spans="15:15" x14ac:dyDescent="0.25">
      <c r="O1257" s="20" t="str">
        <f>IF(N1257="","",COUNTIFS(RawData[[Date ]],N1257,RawData[Month List],$Q$6,RawData[Tour/Site],$Q$2,RawData[[Picker ID ]],$Q$3,RawData[Checker ID],$Q$4,RawData[[Error Type ]],$Q$5))</f>
        <v/>
      </c>
    </row>
    <row r="1258" spans="15:15" x14ac:dyDescent="0.25">
      <c r="O1258" s="20" t="str">
        <f>IF(N1258="","",COUNTIFS(RawData[[Date ]],N1258,RawData[Month List],$Q$6,RawData[Tour/Site],$Q$2,RawData[[Picker ID ]],$Q$3,RawData[Checker ID],$Q$4,RawData[[Error Type ]],$Q$5))</f>
        <v/>
      </c>
    </row>
    <row r="1259" spans="15:15" x14ac:dyDescent="0.25">
      <c r="O1259" s="20" t="str">
        <f>IF(N1259="","",COUNTIFS(RawData[[Date ]],N1259,RawData[Month List],$Q$6,RawData[Tour/Site],$Q$2,RawData[[Picker ID ]],$Q$3,RawData[Checker ID],$Q$4,RawData[[Error Type ]],$Q$5))</f>
        <v/>
      </c>
    </row>
    <row r="1260" spans="15:15" x14ac:dyDescent="0.25">
      <c r="O1260" s="20" t="str">
        <f>IF(N1260="","",COUNTIFS(RawData[[Date ]],N1260,RawData[Month List],$Q$6,RawData[Tour/Site],$Q$2,RawData[[Picker ID ]],$Q$3,RawData[Checker ID],$Q$4,RawData[[Error Type ]],$Q$5))</f>
        <v/>
      </c>
    </row>
    <row r="1261" spans="15:15" x14ac:dyDescent="0.25">
      <c r="O1261" s="20" t="str">
        <f>IF(N1261="","",COUNTIFS(RawData[[Date ]],N1261,RawData[Month List],$Q$6,RawData[Tour/Site],$Q$2,RawData[[Picker ID ]],$Q$3,RawData[Checker ID],$Q$4,RawData[[Error Type ]],$Q$5))</f>
        <v/>
      </c>
    </row>
    <row r="1262" spans="15:15" x14ac:dyDescent="0.25">
      <c r="O1262" s="20" t="str">
        <f>IF(N1262="","",COUNTIFS(RawData[[Date ]],N1262,RawData[Month List],$Q$6,RawData[Tour/Site],$Q$2,RawData[[Picker ID ]],$Q$3,RawData[Checker ID],$Q$4,RawData[[Error Type ]],$Q$5))</f>
        <v/>
      </c>
    </row>
    <row r="1263" spans="15:15" x14ac:dyDescent="0.25">
      <c r="O1263" s="20" t="str">
        <f>IF(N1263="","",COUNTIFS(RawData[[Date ]],N1263,RawData[Month List],$Q$6,RawData[Tour/Site],$Q$2,RawData[[Picker ID ]],$Q$3,RawData[Checker ID],$Q$4,RawData[[Error Type ]],$Q$5))</f>
        <v/>
      </c>
    </row>
    <row r="1264" spans="15:15" x14ac:dyDescent="0.25">
      <c r="O1264" s="20" t="str">
        <f>IF(N1264="","",COUNTIFS(RawData[[Date ]],N1264,RawData[Month List],$Q$6,RawData[Tour/Site],$Q$2,RawData[[Picker ID ]],$Q$3,RawData[Checker ID],$Q$4,RawData[[Error Type ]],$Q$5))</f>
        <v/>
      </c>
    </row>
    <row r="1265" spans="15:15" x14ac:dyDescent="0.25">
      <c r="O1265" s="20" t="str">
        <f>IF(N1265="","",COUNTIFS(RawData[[Date ]],N1265,RawData[Month List],$Q$6,RawData[Tour/Site],$Q$2,RawData[[Picker ID ]],$Q$3,RawData[Checker ID],$Q$4,RawData[[Error Type ]],$Q$5))</f>
        <v/>
      </c>
    </row>
    <row r="1266" spans="15:15" x14ac:dyDescent="0.25">
      <c r="O1266" s="20" t="str">
        <f>IF(N1266="","",COUNTIFS(RawData[[Date ]],N1266,RawData[Month List],$Q$6,RawData[Tour/Site],$Q$2,RawData[[Picker ID ]],$Q$3,RawData[Checker ID],$Q$4,RawData[[Error Type ]],$Q$5))</f>
        <v/>
      </c>
    </row>
    <row r="1267" spans="15:15" x14ac:dyDescent="0.25">
      <c r="O1267" s="20" t="str">
        <f>IF(N1267="","",COUNTIFS(RawData[[Date ]],N1267,RawData[Month List],$Q$6,RawData[Tour/Site],$Q$2,RawData[[Picker ID ]],$Q$3,RawData[Checker ID],$Q$4,RawData[[Error Type ]],$Q$5))</f>
        <v/>
      </c>
    </row>
    <row r="1268" spans="15:15" x14ac:dyDescent="0.25">
      <c r="O1268" s="20" t="str">
        <f>IF(N1268="","",COUNTIFS(RawData[[Date ]],N1268,RawData[Month List],$Q$6,RawData[Tour/Site],$Q$2,RawData[[Picker ID ]],$Q$3,RawData[Checker ID],$Q$4,RawData[[Error Type ]],$Q$5))</f>
        <v/>
      </c>
    </row>
    <row r="1269" spans="15:15" x14ac:dyDescent="0.25">
      <c r="O1269" s="20" t="str">
        <f>IF(N1269="","",COUNTIFS(RawData[[Date ]],N1269,RawData[Month List],$Q$6,RawData[Tour/Site],$Q$2,RawData[[Picker ID ]],$Q$3,RawData[Checker ID],$Q$4,RawData[[Error Type ]],$Q$5))</f>
        <v/>
      </c>
    </row>
    <row r="1270" spans="15:15" x14ac:dyDescent="0.25">
      <c r="O1270" s="20" t="str">
        <f>IF(N1270="","",COUNTIFS(RawData[[Date ]],N1270,RawData[Month List],$Q$6,RawData[Tour/Site],$Q$2,RawData[[Picker ID ]],$Q$3,RawData[Checker ID],$Q$4,RawData[[Error Type ]],$Q$5))</f>
        <v/>
      </c>
    </row>
    <row r="1271" spans="15:15" x14ac:dyDescent="0.25">
      <c r="O1271" s="20" t="str">
        <f>IF(N1271="","",COUNTIFS(RawData[[Date ]],N1271,RawData[Month List],$Q$6,RawData[Tour/Site],$Q$2,RawData[[Picker ID ]],$Q$3,RawData[Checker ID],$Q$4,RawData[[Error Type ]],$Q$5))</f>
        <v/>
      </c>
    </row>
    <row r="1272" spans="15:15" x14ac:dyDescent="0.25">
      <c r="O1272" s="20" t="str">
        <f>IF(N1272="","",COUNTIFS(RawData[[Date ]],N1272,RawData[Month List],$Q$6,RawData[Tour/Site],$Q$2,RawData[[Picker ID ]],$Q$3,RawData[Checker ID],$Q$4,RawData[[Error Type ]],$Q$5))</f>
        <v/>
      </c>
    </row>
    <row r="1273" spans="15:15" x14ac:dyDescent="0.25">
      <c r="O1273" s="20" t="str">
        <f>IF(N1273="","",COUNTIFS(RawData[[Date ]],N1273,RawData[Month List],$Q$6,RawData[Tour/Site],$Q$2,RawData[[Picker ID ]],$Q$3,RawData[Checker ID],$Q$4,RawData[[Error Type ]],$Q$5))</f>
        <v/>
      </c>
    </row>
    <row r="1274" spans="15:15" x14ac:dyDescent="0.25">
      <c r="O1274" s="20" t="str">
        <f>IF(N1274="","",COUNTIFS(RawData[[Date ]],N1274,RawData[Month List],$Q$6,RawData[Tour/Site],$Q$2,RawData[[Picker ID ]],$Q$3,RawData[Checker ID],$Q$4,RawData[[Error Type ]],$Q$5))</f>
        <v/>
      </c>
    </row>
    <row r="1275" spans="15:15" x14ac:dyDescent="0.25">
      <c r="O1275" s="20" t="str">
        <f>IF(N1275="","",COUNTIFS(RawData[[Date ]],N1275,RawData[Month List],$Q$6,RawData[Tour/Site],$Q$2,RawData[[Picker ID ]],$Q$3,RawData[Checker ID],$Q$4,RawData[[Error Type ]],$Q$5))</f>
        <v/>
      </c>
    </row>
    <row r="1276" spans="15:15" x14ac:dyDescent="0.25">
      <c r="O1276" s="20" t="str">
        <f>IF(N1276="","",COUNTIFS(RawData[[Date ]],N1276,RawData[Month List],$Q$6,RawData[Tour/Site],$Q$2,RawData[[Picker ID ]],$Q$3,RawData[Checker ID],$Q$4,RawData[[Error Type ]],$Q$5))</f>
        <v/>
      </c>
    </row>
    <row r="1277" spans="15:15" x14ac:dyDescent="0.25">
      <c r="O1277" s="20" t="str">
        <f>IF(N1277="","",COUNTIFS(RawData[[Date ]],N1277,RawData[Month List],$Q$6,RawData[Tour/Site],$Q$2,RawData[[Picker ID ]],$Q$3,RawData[Checker ID],$Q$4,RawData[[Error Type ]],$Q$5))</f>
        <v/>
      </c>
    </row>
    <row r="1278" spans="15:15" x14ac:dyDescent="0.25">
      <c r="O1278" s="20" t="str">
        <f>IF(N1278="","",COUNTIFS(RawData[[Date ]],N1278,RawData[Month List],$Q$6,RawData[Tour/Site],$Q$2,RawData[[Picker ID ]],$Q$3,RawData[Checker ID],$Q$4,RawData[[Error Type ]],$Q$5))</f>
        <v/>
      </c>
    </row>
    <row r="1279" spans="15:15" x14ac:dyDescent="0.25">
      <c r="O1279" s="20" t="str">
        <f>IF(N1279="","",COUNTIFS(RawData[[Date ]],N1279,RawData[Month List],$Q$6,RawData[Tour/Site],$Q$2,RawData[[Picker ID ]],$Q$3,RawData[Checker ID],$Q$4,RawData[[Error Type ]],$Q$5))</f>
        <v/>
      </c>
    </row>
    <row r="1280" spans="15:15" x14ac:dyDescent="0.25">
      <c r="O1280" s="20" t="str">
        <f>IF(N1280="","",COUNTIFS(RawData[[Date ]],N1280,RawData[Month List],$Q$6,RawData[Tour/Site],$Q$2,RawData[[Picker ID ]],$Q$3,RawData[Checker ID],$Q$4,RawData[[Error Type ]],$Q$5))</f>
        <v/>
      </c>
    </row>
    <row r="1281" spans="15:15" x14ac:dyDescent="0.25">
      <c r="O1281" s="20" t="str">
        <f>IF(N1281="","",COUNTIFS(RawData[[Date ]],N1281,RawData[Month List],$Q$6,RawData[Tour/Site],$Q$2,RawData[[Picker ID ]],$Q$3,RawData[Checker ID],$Q$4,RawData[[Error Type ]],$Q$5))</f>
        <v/>
      </c>
    </row>
    <row r="1282" spans="15:15" x14ac:dyDescent="0.25">
      <c r="O1282" s="20" t="str">
        <f>IF(N1282="","",COUNTIFS(RawData[[Date ]],N1282,RawData[Month List],$Q$6,RawData[Tour/Site],$Q$2,RawData[[Picker ID ]],$Q$3,RawData[Checker ID],$Q$4,RawData[[Error Type ]],$Q$5))</f>
        <v/>
      </c>
    </row>
    <row r="1283" spans="15:15" x14ac:dyDescent="0.25">
      <c r="O1283" s="20" t="str">
        <f>IF(N1283="","",COUNTIFS(RawData[[Date ]],N1283,RawData[Month List],$Q$6,RawData[Tour/Site],$Q$2,RawData[[Picker ID ]],$Q$3,RawData[Checker ID],$Q$4,RawData[[Error Type ]],$Q$5))</f>
        <v/>
      </c>
    </row>
    <row r="1284" spans="15:15" x14ac:dyDescent="0.25">
      <c r="O1284" s="20" t="str">
        <f>IF(N1284="","",COUNTIFS(RawData[[Date ]],N1284,RawData[Month List],$Q$6,RawData[Tour/Site],$Q$2,RawData[[Picker ID ]],$Q$3,RawData[Checker ID],$Q$4,RawData[[Error Type ]],$Q$5))</f>
        <v/>
      </c>
    </row>
    <row r="1285" spans="15:15" x14ac:dyDescent="0.25">
      <c r="O1285" s="20" t="str">
        <f>IF(N1285="","",COUNTIFS(RawData[[Date ]],N1285,RawData[Month List],$Q$6,RawData[Tour/Site],$Q$2,RawData[[Picker ID ]],$Q$3,RawData[Checker ID],$Q$4,RawData[[Error Type ]],$Q$5))</f>
        <v/>
      </c>
    </row>
    <row r="1286" spans="15:15" x14ac:dyDescent="0.25">
      <c r="O1286" s="20" t="str">
        <f>IF(N1286="","",COUNTIFS(RawData[[Date ]],N1286,RawData[Month List],$Q$6,RawData[Tour/Site],$Q$2,RawData[[Picker ID ]],$Q$3,RawData[Checker ID],$Q$4,RawData[[Error Type ]],$Q$5))</f>
        <v/>
      </c>
    </row>
    <row r="1287" spans="15:15" x14ac:dyDescent="0.25">
      <c r="O1287" s="20" t="str">
        <f>IF(N1287="","",COUNTIFS(RawData[[Date ]],N1287,RawData[Month List],$Q$6,RawData[Tour/Site],$Q$2,RawData[[Picker ID ]],$Q$3,RawData[Checker ID],$Q$4,RawData[[Error Type ]],$Q$5))</f>
        <v/>
      </c>
    </row>
    <row r="1288" spans="15:15" x14ac:dyDescent="0.25">
      <c r="O1288" s="20" t="str">
        <f>IF(N1288="","",COUNTIFS(RawData[[Date ]],N1288,RawData[Month List],$Q$6,RawData[Tour/Site],$Q$2,RawData[[Picker ID ]],$Q$3,RawData[Checker ID],$Q$4,RawData[[Error Type ]],$Q$5))</f>
        <v/>
      </c>
    </row>
    <row r="1289" spans="15:15" x14ac:dyDescent="0.25">
      <c r="O1289" s="20" t="str">
        <f>IF(N1289="","",COUNTIFS(RawData[[Date ]],N1289,RawData[Month List],$Q$6,RawData[Tour/Site],$Q$2,RawData[[Picker ID ]],$Q$3,RawData[Checker ID],$Q$4,RawData[[Error Type ]],$Q$5))</f>
        <v/>
      </c>
    </row>
    <row r="1290" spans="15:15" x14ac:dyDescent="0.25">
      <c r="O1290" s="20" t="str">
        <f>IF(N1290="","",COUNTIFS(RawData[[Date ]],N1290,RawData[Month List],$Q$6,RawData[Tour/Site],$Q$2,RawData[[Picker ID ]],$Q$3,RawData[Checker ID],$Q$4,RawData[[Error Type ]],$Q$5))</f>
        <v/>
      </c>
    </row>
    <row r="1291" spans="15:15" x14ac:dyDescent="0.25">
      <c r="O1291" s="20" t="str">
        <f>IF(N1291="","",COUNTIFS(RawData[[Date ]],N1291,RawData[Month List],$Q$6,RawData[Tour/Site],$Q$2,RawData[[Picker ID ]],$Q$3,RawData[Checker ID],$Q$4,RawData[[Error Type ]],$Q$5))</f>
        <v/>
      </c>
    </row>
    <row r="1292" spans="15:15" x14ac:dyDescent="0.25">
      <c r="O1292" s="20" t="str">
        <f>IF(N1292="","",COUNTIFS(RawData[[Date ]],N1292,RawData[Month List],$Q$6,RawData[Tour/Site],$Q$2,RawData[[Picker ID ]],$Q$3,RawData[Checker ID],$Q$4,RawData[[Error Type ]],$Q$5))</f>
        <v/>
      </c>
    </row>
    <row r="1293" spans="15:15" x14ac:dyDescent="0.25">
      <c r="O1293" s="20" t="str">
        <f>IF(N1293="","",COUNTIFS(RawData[[Date ]],N1293,RawData[Month List],$Q$6,RawData[Tour/Site],$Q$2,RawData[[Picker ID ]],$Q$3,RawData[Checker ID],$Q$4,RawData[[Error Type ]],$Q$5))</f>
        <v/>
      </c>
    </row>
    <row r="1294" spans="15:15" x14ac:dyDescent="0.25">
      <c r="O1294" s="20" t="str">
        <f>IF(N1294="","",COUNTIFS(RawData[[Date ]],N1294,RawData[Month List],$Q$6,RawData[Tour/Site],$Q$2,RawData[[Picker ID ]],$Q$3,RawData[Checker ID],$Q$4,RawData[[Error Type ]],$Q$5))</f>
        <v/>
      </c>
    </row>
    <row r="1295" spans="15:15" x14ac:dyDescent="0.25">
      <c r="O1295" s="20" t="str">
        <f>IF(N1295="","",COUNTIFS(RawData[[Date ]],N1295,RawData[Month List],$Q$6,RawData[Tour/Site],$Q$2,RawData[[Picker ID ]],$Q$3,RawData[Checker ID],$Q$4,RawData[[Error Type ]],$Q$5))</f>
        <v/>
      </c>
    </row>
    <row r="1296" spans="15:15" x14ac:dyDescent="0.25">
      <c r="O1296" s="20" t="str">
        <f>IF(N1296="","",COUNTIFS(RawData[[Date ]],N1296,RawData[Month List],$Q$6,RawData[Tour/Site],$Q$2,RawData[[Picker ID ]],$Q$3,RawData[Checker ID],$Q$4,RawData[[Error Type ]],$Q$5))</f>
        <v/>
      </c>
    </row>
    <row r="1297" spans="15:15" x14ac:dyDescent="0.25">
      <c r="O1297" s="20" t="str">
        <f>IF(N1297="","",COUNTIFS(RawData[[Date ]],N1297,RawData[Month List],$Q$6,RawData[Tour/Site],$Q$2,RawData[[Picker ID ]],$Q$3,RawData[Checker ID],$Q$4,RawData[[Error Type ]],$Q$5))</f>
        <v/>
      </c>
    </row>
    <row r="1298" spans="15:15" x14ac:dyDescent="0.25">
      <c r="O1298" s="20" t="str">
        <f>IF(N1298="","",COUNTIFS(RawData[[Date ]],N1298,RawData[Month List],$Q$6,RawData[Tour/Site],$Q$2,RawData[[Picker ID ]],$Q$3,RawData[Checker ID],$Q$4,RawData[[Error Type ]],$Q$5))</f>
        <v/>
      </c>
    </row>
    <row r="1299" spans="15:15" x14ac:dyDescent="0.25">
      <c r="O1299" s="20" t="str">
        <f>IF(N1299="","",COUNTIFS(RawData[[Date ]],N1299,RawData[Month List],$Q$6,RawData[Tour/Site],$Q$2,RawData[[Picker ID ]],$Q$3,RawData[Checker ID],$Q$4,RawData[[Error Type ]],$Q$5))</f>
        <v/>
      </c>
    </row>
    <row r="1300" spans="15:15" x14ac:dyDescent="0.25">
      <c r="O1300" s="20" t="str">
        <f>IF(N1300="","",COUNTIFS(RawData[[Date ]],N1300,RawData[Month List],$Q$6,RawData[Tour/Site],$Q$2,RawData[[Picker ID ]],$Q$3,RawData[Checker ID],$Q$4,RawData[[Error Type ]],$Q$5))</f>
        <v/>
      </c>
    </row>
    <row r="1301" spans="15:15" x14ac:dyDescent="0.25">
      <c r="O1301" s="20" t="str">
        <f>IF(N1301="","",COUNTIFS(RawData[[Date ]],N1301,RawData[Month List],$Q$6,RawData[Tour/Site],$Q$2,RawData[[Picker ID ]],$Q$3,RawData[Checker ID],$Q$4,RawData[[Error Type ]],$Q$5))</f>
        <v/>
      </c>
    </row>
    <row r="1302" spans="15:15" x14ac:dyDescent="0.25">
      <c r="O1302" s="20" t="str">
        <f>IF(N1302="","",COUNTIFS(RawData[[Date ]],N1302,RawData[Month List],$Q$6,RawData[Tour/Site],$Q$2,RawData[[Picker ID ]],$Q$3,RawData[Checker ID],$Q$4,RawData[[Error Type ]],$Q$5))</f>
        <v/>
      </c>
    </row>
    <row r="1303" spans="15:15" x14ac:dyDescent="0.25">
      <c r="O1303" s="20" t="str">
        <f>IF(N1303="","",COUNTIFS(RawData[[Date ]],N1303,RawData[Month List],$Q$6,RawData[Tour/Site],$Q$2,RawData[[Picker ID ]],$Q$3,RawData[Checker ID],$Q$4,RawData[[Error Type ]],$Q$5))</f>
        <v/>
      </c>
    </row>
    <row r="1304" spans="15:15" x14ac:dyDescent="0.25">
      <c r="O1304" s="20" t="str">
        <f>IF(N1304="","",COUNTIFS(RawData[[Date ]],N1304,RawData[Month List],$Q$6,RawData[Tour/Site],$Q$2,RawData[[Picker ID ]],$Q$3,RawData[Checker ID],$Q$4,RawData[[Error Type ]],$Q$5))</f>
        <v/>
      </c>
    </row>
    <row r="1305" spans="15:15" x14ac:dyDescent="0.25">
      <c r="O1305" s="20" t="str">
        <f>IF(N1305="","",COUNTIFS(RawData[[Date ]],N1305,RawData[Month List],$Q$6,RawData[Tour/Site],$Q$2,RawData[[Picker ID ]],$Q$3,RawData[Checker ID],$Q$4,RawData[[Error Type ]],$Q$5))</f>
        <v/>
      </c>
    </row>
    <row r="1306" spans="15:15" x14ac:dyDescent="0.25">
      <c r="O1306" s="20" t="str">
        <f>IF(N1306="","",COUNTIFS(RawData[[Date ]],N1306,RawData[Month List],$Q$6,RawData[Tour/Site],$Q$2,RawData[[Picker ID ]],$Q$3,RawData[Checker ID],$Q$4,RawData[[Error Type ]],$Q$5))</f>
        <v/>
      </c>
    </row>
    <row r="1307" spans="15:15" x14ac:dyDescent="0.25">
      <c r="O1307" s="20" t="str">
        <f>IF(N1307="","",COUNTIFS(RawData[[Date ]],N1307,RawData[Month List],$Q$6,RawData[Tour/Site],$Q$2,RawData[[Picker ID ]],$Q$3,RawData[Checker ID],$Q$4,RawData[[Error Type ]],$Q$5))</f>
        <v/>
      </c>
    </row>
    <row r="1308" spans="15:15" x14ac:dyDescent="0.25">
      <c r="O1308" s="20" t="str">
        <f>IF(N1308="","",COUNTIFS(RawData[[Date ]],N1308,RawData[Month List],$Q$6,RawData[Tour/Site],$Q$2,RawData[[Picker ID ]],$Q$3,RawData[Checker ID],$Q$4,RawData[[Error Type ]],$Q$5))</f>
        <v/>
      </c>
    </row>
    <row r="1309" spans="15:15" x14ac:dyDescent="0.25">
      <c r="O1309" s="20" t="str">
        <f>IF(N1309="","",COUNTIFS(RawData[[Date ]],N1309,RawData[Month List],$Q$6,RawData[Tour/Site],$Q$2,RawData[[Picker ID ]],$Q$3,RawData[Checker ID],$Q$4,RawData[[Error Type ]],$Q$5))</f>
        <v/>
      </c>
    </row>
    <row r="1310" spans="15:15" x14ac:dyDescent="0.25">
      <c r="O1310" s="20" t="str">
        <f>IF(N1310="","",COUNTIFS(RawData[[Date ]],N1310,RawData[Month List],$Q$6,RawData[Tour/Site],$Q$2,RawData[[Picker ID ]],$Q$3,RawData[Checker ID],$Q$4,RawData[[Error Type ]],$Q$5))</f>
        <v/>
      </c>
    </row>
    <row r="1311" spans="15:15" x14ac:dyDescent="0.25">
      <c r="O1311" s="20" t="str">
        <f>IF(N1311="","",COUNTIFS(RawData[[Date ]],N1311,RawData[Month List],$Q$6,RawData[Tour/Site],$Q$2,RawData[[Picker ID ]],$Q$3,RawData[Checker ID],$Q$4,RawData[[Error Type ]],$Q$5))</f>
        <v/>
      </c>
    </row>
    <row r="1312" spans="15:15" x14ac:dyDescent="0.25">
      <c r="O1312" s="20" t="str">
        <f>IF(N1312="","",COUNTIFS(RawData[[Date ]],N1312,RawData[Month List],$Q$6,RawData[Tour/Site],$Q$2,RawData[[Picker ID ]],$Q$3,RawData[Checker ID],$Q$4,RawData[[Error Type ]],$Q$5))</f>
        <v/>
      </c>
    </row>
    <row r="1313" spans="15:15" x14ac:dyDescent="0.25">
      <c r="O1313" s="20" t="str">
        <f>IF(N1313="","",COUNTIFS(RawData[[Date ]],N1313,RawData[Month List],$Q$6,RawData[Tour/Site],$Q$2,RawData[[Picker ID ]],$Q$3,RawData[Checker ID],$Q$4,RawData[[Error Type ]],$Q$5))</f>
        <v/>
      </c>
    </row>
    <row r="1314" spans="15:15" x14ac:dyDescent="0.25">
      <c r="O1314" s="20" t="str">
        <f>IF(N1314="","",COUNTIFS(RawData[[Date ]],N1314,RawData[Month List],$Q$6,RawData[Tour/Site],$Q$2,RawData[[Picker ID ]],$Q$3,RawData[Checker ID],$Q$4,RawData[[Error Type ]],$Q$5))</f>
        <v/>
      </c>
    </row>
    <row r="1315" spans="15:15" x14ac:dyDescent="0.25">
      <c r="O1315" s="20" t="str">
        <f>IF(N1315="","",COUNTIFS(RawData[[Date ]],N1315,RawData[Month List],$Q$6,RawData[Tour/Site],$Q$2,RawData[[Picker ID ]],$Q$3,RawData[Checker ID],$Q$4,RawData[[Error Type ]],$Q$5))</f>
        <v/>
      </c>
    </row>
    <row r="1316" spans="15:15" x14ac:dyDescent="0.25">
      <c r="O1316" s="20" t="str">
        <f>IF(N1316="","",COUNTIFS(RawData[[Date ]],N1316,RawData[Month List],$Q$6,RawData[Tour/Site],$Q$2,RawData[[Picker ID ]],$Q$3,RawData[Checker ID],$Q$4,RawData[[Error Type ]],$Q$5))</f>
        <v/>
      </c>
    </row>
    <row r="1317" spans="15:15" x14ac:dyDescent="0.25">
      <c r="O1317" s="20" t="str">
        <f>IF(N1317="","",COUNTIFS(RawData[[Date ]],N1317,RawData[Month List],$Q$6,RawData[Tour/Site],$Q$2,RawData[[Picker ID ]],$Q$3,RawData[Checker ID],$Q$4,RawData[[Error Type ]],$Q$5))</f>
        <v/>
      </c>
    </row>
    <row r="1318" spans="15:15" x14ac:dyDescent="0.25">
      <c r="O1318" s="20" t="str">
        <f>IF(N1318="","",COUNTIFS(RawData[[Date ]],N1318,RawData[Month List],$Q$6,RawData[Tour/Site],$Q$2,RawData[[Picker ID ]],$Q$3,RawData[Checker ID],$Q$4,RawData[[Error Type ]],$Q$5))</f>
        <v/>
      </c>
    </row>
    <row r="1319" spans="15:15" x14ac:dyDescent="0.25">
      <c r="O1319" s="20" t="str">
        <f>IF(N1319="","",COUNTIFS(RawData[[Date ]],N1319,RawData[Month List],$Q$6,RawData[Tour/Site],$Q$2,RawData[[Picker ID ]],$Q$3,RawData[Checker ID],$Q$4,RawData[[Error Type ]],$Q$5))</f>
        <v/>
      </c>
    </row>
    <row r="1320" spans="15:15" x14ac:dyDescent="0.25">
      <c r="O1320" s="20" t="str">
        <f>IF(N1320="","",COUNTIFS(RawData[[Date ]],N1320,RawData[Month List],$Q$6,RawData[Tour/Site],$Q$2,RawData[[Picker ID ]],$Q$3,RawData[Checker ID],$Q$4,RawData[[Error Type ]],$Q$5))</f>
        <v/>
      </c>
    </row>
    <row r="1321" spans="15:15" x14ac:dyDescent="0.25">
      <c r="O1321" s="20" t="str">
        <f>IF(N1321="","",COUNTIFS(RawData[[Date ]],N1321,RawData[Month List],$Q$6,RawData[Tour/Site],$Q$2,RawData[[Picker ID ]],$Q$3,RawData[Checker ID],$Q$4,RawData[[Error Type ]],$Q$5))</f>
        <v/>
      </c>
    </row>
    <row r="1322" spans="15:15" x14ac:dyDescent="0.25">
      <c r="O1322" s="20" t="str">
        <f>IF(N1322="","",COUNTIFS(RawData[[Date ]],N1322,RawData[Month List],$Q$6,RawData[Tour/Site],$Q$2,RawData[[Picker ID ]],$Q$3,RawData[Checker ID],$Q$4,RawData[[Error Type ]],$Q$5))</f>
        <v/>
      </c>
    </row>
    <row r="1323" spans="15:15" x14ac:dyDescent="0.25">
      <c r="O1323" s="20" t="str">
        <f>IF(N1323="","",COUNTIFS(RawData[[Date ]],N1323,RawData[Month List],$Q$6,RawData[Tour/Site],$Q$2,RawData[[Picker ID ]],$Q$3,RawData[Checker ID],$Q$4,RawData[[Error Type ]],$Q$5))</f>
        <v/>
      </c>
    </row>
    <row r="1324" spans="15:15" x14ac:dyDescent="0.25">
      <c r="O1324" s="20" t="str">
        <f>IF(N1324="","",COUNTIFS(RawData[[Date ]],N1324,RawData[Month List],$Q$6,RawData[Tour/Site],$Q$2,RawData[[Picker ID ]],$Q$3,RawData[Checker ID],$Q$4,RawData[[Error Type ]],$Q$5))</f>
        <v/>
      </c>
    </row>
    <row r="1325" spans="15:15" x14ac:dyDescent="0.25">
      <c r="O1325" s="20" t="str">
        <f>IF(N1325="","",COUNTIFS(RawData[[Date ]],N1325,RawData[Month List],$Q$6,RawData[Tour/Site],$Q$2,RawData[[Picker ID ]],$Q$3,RawData[Checker ID],$Q$4,RawData[[Error Type ]],$Q$5))</f>
        <v/>
      </c>
    </row>
    <row r="1326" spans="15:15" x14ac:dyDescent="0.25">
      <c r="O1326" s="20" t="str">
        <f>IF(N1326="","",COUNTIFS(RawData[[Date ]],N1326,RawData[Month List],$Q$6,RawData[Tour/Site],$Q$2,RawData[[Picker ID ]],$Q$3,RawData[Checker ID],$Q$4,RawData[[Error Type ]],$Q$5))</f>
        <v/>
      </c>
    </row>
    <row r="1327" spans="15:15" x14ac:dyDescent="0.25">
      <c r="O1327" s="20" t="str">
        <f>IF(N1327="","",COUNTIFS(RawData[[Date ]],N1327,RawData[Month List],$Q$6,RawData[Tour/Site],$Q$2,RawData[[Picker ID ]],$Q$3,RawData[Checker ID],$Q$4,RawData[[Error Type ]],$Q$5))</f>
        <v/>
      </c>
    </row>
    <row r="1328" spans="15:15" x14ac:dyDescent="0.25">
      <c r="O1328" s="20" t="str">
        <f>IF(N1328="","",COUNTIFS(RawData[[Date ]],N1328,RawData[Month List],$Q$6,RawData[Tour/Site],$Q$2,RawData[[Picker ID ]],$Q$3,RawData[Checker ID],$Q$4,RawData[[Error Type ]],$Q$5))</f>
        <v/>
      </c>
    </row>
    <row r="1329" spans="15:15" x14ac:dyDescent="0.25">
      <c r="O1329" s="20" t="str">
        <f>IF(N1329="","",COUNTIFS(RawData[[Date ]],N1329,RawData[Month List],$Q$6,RawData[Tour/Site],$Q$2,RawData[[Picker ID ]],$Q$3,RawData[Checker ID],$Q$4,RawData[[Error Type ]],$Q$5))</f>
        <v/>
      </c>
    </row>
    <row r="1330" spans="15:15" x14ac:dyDescent="0.25">
      <c r="O1330" s="20" t="str">
        <f>IF(N1330="","",COUNTIFS(RawData[[Date ]],N1330,RawData[Month List],$Q$6,RawData[Tour/Site],$Q$2,RawData[[Picker ID ]],$Q$3,RawData[Checker ID],$Q$4,RawData[[Error Type ]],$Q$5))</f>
        <v/>
      </c>
    </row>
    <row r="1331" spans="15:15" x14ac:dyDescent="0.25">
      <c r="O1331" s="20" t="str">
        <f>IF(N1331="","",COUNTIFS(RawData[[Date ]],N1331,RawData[Month List],$Q$6,RawData[Tour/Site],$Q$2,RawData[[Picker ID ]],$Q$3,RawData[Checker ID],$Q$4,RawData[[Error Type ]],$Q$5))</f>
        <v/>
      </c>
    </row>
    <row r="1332" spans="15:15" x14ac:dyDescent="0.25">
      <c r="O1332" s="20" t="str">
        <f>IF(N1332="","",COUNTIFS(RawData[[Date ]],N1332,RawData[Month List],$Q$6,RawData[Tour/Site],$Q$2,RawData[[Picker ID ]],$Q$3,RawData[Checker ID],$Q$4,RawData[[Error Type ]],$Q$5))</f>
        <v/>
      </c>
    </row>
    <row r="1333" spans="15:15" x14ac:dyDescent="0.25">
      <c r="O1333" s="20" t="str">
        <f>IF(N1333="","",COUNTIFS(RawData[[Date ]],N1333,RawData[Month List],$Q$6,RawData[Tour/Site],$Q$2,RawData[[Picker ID ]],$Q$3,RawData[Checker ID],$Q$4,RawData[[Error Type ]],$Q$5))</f>
        <v/>
      </c>
    </row>
    <row r="1334" spans="15:15" x14ac:dyDescent="0.25">
      <c r="O1334" s="20" t="str">
        <f>IF(N1334="","",COUNTIFS(RawData[[Date ]],N1334,RawData[Month List],$Q$6,RawData[Tour/Site],$Q$2,RawData[[Picker ID ]],$Q$3,RawData[Checker ID],$Q$4,RawData[[Error Type ]],$Q$5))</f>
        <v/>
      </c>
    </row>
    <row r="1335" spans="15:15" x14ac:dyDescent="0.25">
      <c r="O1335" s="20" t="str">
        <f>IF(N1335="","",COUNTIFS(RawData[[Date ]],N1335,RawData[Month List],$Q$6,RawData[Tour/Site],$Q$2,RawData[[Picker ID ]],$Q$3,RawData[Checker ID],$Q$4,RawData[[Error Type ]],$Q$5))</f>
        <v/>
      </c>
    </row>
    <row r="1336" spans="15:15" x14ac:dyDescent="0.25">
      <c r="O1336" s="20" t="str">
        <f>IF(N1336="","",COUNTIFS(RawData[[Date ]],N1336,RawData[Month List],$Q$6,RawData[Tour/Site],$Q$2,RawData[[Picker ID ]],$Q$3,RawData[Checker ID],$Q$4,RawData[[Error Type ]],$Q$5))</f>
        <v/>
      </c>
    </row>
    <row r="1337" spans="15:15" x14ac:dyDescent="0.25">
      <c r="O1337" s="20" t="str">
        <f>IF(N1337="","",COUNTIFS(RawData[[Date ]],N1337,RawData[Month List],$Q$6,RawData[Tour/Site],$Q$2,RawData[[Picker ID ]],$Q$3,RawData[Checker ID],$Q$4,RawData[[Error Type ]],$Q$5))</f>
        <v/>
      </c>
    </row>
    <row r="1338" spans="15:15" x14ac:dyDescent="0.25">
      <c r="O1338" s="20" t="str">
        <f>IF(N1338="","",COUNTIFS(RawData[[Date ]],N1338,RawData[Month List],$Q$6,RawData[Tour/Site],$Q$2,RawData[[Picker ID ]],$Q$3,RawData[Checker ID],$Q$4,RawData[[Error Type ]],$Q$5))</f>
        <v/>
      </c>
    </row>
    <row r="1339" spans="15:15" x14ac:dyDescent="0.25">
      <c r="O1339" s="20" t="str">
        <f>IF(N1339="","",COUNTIFS(RawData[[Date ]],N1339,RawData[Month List],$Q$6,RawData[Tour/Site],$Q$2,RawData[[Picker ID ]],$Q$3,RawData[Checker ID],$Q$4,RawData[[Error Type ]],$Q$5))</f>
        <v/>
      </c>
    </row>
    <row r="1340" spans="15:15" x14ac:dyDescent="0.25">
      <c r="O1340" s="20" t="str">
        <f>IF(N1340="","",COUNTIFS(RawData[[Date ]],N1340,RawData[Month List],$Q$6,RawData[Tour/Site],$Q$2,RawData[[Picker ID ]],$Q$3,RawData[Checker ID],$Q$4,RawData[[Error Type ]],$Q$5))</f>
        <v/>
      </c>
    </row>
    <row r="1341" spans="15:15" x14ac:dyDescent="0.25">
      <c r="O1341" s="20" t="str">
        <f>IF(N1341="","",COUNTIFS(RawData[[Date ]],N1341,RawData[Month List],$Q$6,RawData[Tour/Site],$Q$2,RawData[[Picker ID ]],$Q$3,RawData[Checker ID],$Q$4,RawData[[Error Type ]],$Q$5))</f>
        <v/>
      </c>
    </row>
    <row r="1342" spans="15:15" x14ac:dyDescent="0.25">
      <c r="O1342" s="20" t="str">
        <f>IF(N1342="","",COUNTIFS(RawData[[Date ]],N1342,RawData[Month List],$Q$6,RawData[Tour/Site],$Q$2,RawData[[Picker ID ]],$Q$3,RawData[Checker ID],$Q$4,RawData[[Error Type ]],$Q$5))</f>
        <v/>
      </c>
    </row>
    <row r="1343" spans="15:15" x14ac:dyDescent="0.25">
      <c r="O1343" s="20" t="str">
        <f>IF(N1343="","",COUNTIFS(RawData[[Date ]],N1343,RawData[Month List],$Q$6,RawData[Tour/Site],$Q$2,RawData[[Picker ID ]],$Q$3,RawData[Checker ID],$Q$4,RawData[[Error Type ]],$Q$5))</f>
        <v/>
      </c>
    </row>
    <row r="1344" spans="15:15" x14ac:dyDescent="0.25">
      <c r="O1344" s="20" t="str">
        <f>IF(N1344="","",COUNTIFS(RawData[[Date ]],N1344,RawData[Month List],$Q$6,RawData[Tour/Site],$Q$2,RawData[[Picker ID ]],$Q$3,RawData[Checker ID],$Q$4,RawData[[Error Type ]],$Q$5))</f>
        <v/>
      </c>
    </row>
    <row r="1345" spans="15:15" x14ac:dyDescent="0.25">
      <c r="O1345" s="20" t="str">
        <f>IF(N1345="","",COUNTIFS(RawData[[Date ]],N1345,RawData[Month List],$Q$6,RawData[Tour/Site],$Q$2,RawData[[Picker ID ]],$Q$3,RawData[Checker ID],$Q$4,RawData[[Error Type ]],$Q$5))</f>
        <v/>
      </c>
    </row>
    <row r="1346" spans="15:15" x14ac:dyDescent="0.25">
      <c r="O1346" s="20" t="str">
        <f>IF(N1346="","",COUNTIFS(RawData[[Date ]],N1346,RawData[Month List],$Q$6,RawData[Tour/Site],$Q$2,RawData[[Picker ID ]],$Q$3,RawData[Checker ID],$Q$4,RawData[[Error Type ]],$Q$5))</f>
        <v/>
      </c>
    </row>
    <row r="1347" spans="15:15" x14ac:dyDescent="0.25">
      <c r="O1347" s="20" t="str">
        <f>IF(N1347="","",COUNTIFS(RawData[[Date ]],N1347,RawData[Month List],$Q$6,RawData[Tour/Site],$Q$2,RawData[[Picker ID ]],$Q$3,RawData[Checker ID],$Q$4,RawData[[Error Type ]],$Q$5))</f>
        <v/>
      </c>
    </row>
    <row r="1348" spans="15:15" x14ac:dyDescent="0.25">
      <c r="O1348" s="20" t="str">
        <f>IF(N1348="","",COUNTIFS(RawData[[Date ]],N1348,RawData[Month List],$Q$6,RawData[Tour/Site],$Q$2,RawData[[Picker ID ]],$Q$3,RawData[Checker ID],$Q$4,RawData[[Error Type ]],$Q$5))</f>
        <v/>
      </c>
    </row>
    <row r="1349" spans="15:15" x14ac:dyDescent="0.25">
      <c r="O1349" s="20" t="str">
        <f>IF(N1349="","",COUNTIFS(RawData[[Date ]],N1349,RawData[Month List],$Q$6,RawData[Tour/Site],$Q$2,RawData[[Picker ID ]],$Q$3,RawData[Checker ID],$Q$4,RawData[[Error Type ]],$Q$5))</f>
        <v/>
      </c>
    </row>
    <row r="1350" spans="15:15" x14ac:dyDescent="0.25">
      <c r="O1350" s="20" t="str">
        <f>IF(N1350="","",COUNTIFS(RawData[[Date ]],N1350,RawData[Month List],$Q$6,RawData[Tour/Site],$Q$2,RawData[[Picker ID ]],$Q$3,RawData[Checker ID],$Q$4,RawData[[Error Type ]],$Q$5))</f>
        <v/>
      </c>
    </row>
    <row r="1351" spans="15:15" x14ac:dyDescent="0.25">
      <c r="O1351" s="20" t="str">
        <f>IF(N1351="","",COUNTIFS(RawData[[Date ]],N1351,RawData[Month List],$Q$6,RawData[Tour/Site],$Q$2,RawData[[Picker ID ]],$Q$3,RawData[Checker ID],$Q$4,RawData[[Error Type ]],$Q$5))</f>
        <v/>
      </c>
    </row>
    <row r="1352" spans="15:15" x14ac:dyDescent="0.25">
      <c r="O1352" s="20" t="str">
        <f>IF(N1352="","",COUNTIFS(RawData[[Date ]],N1352,RawData[Month List],$Q$6,RawData[Tour/Site],$Q$2,RawData[[Picker ID ]],$Q$3,RawData[Checker ID],$Q$4,RawData[[Error Type ]],$Q$5))</f>
        <v/>
      </c>
    </row>
    <row r="1353" spans="15:15" x14ac:dyDescent="0.25">
      <c r="O1353" s="20" t="str">
        <f>IF(N1353="","",COUNTIFS(RawData[[Date ]],N1353,RawData[Month List],$Q$6,RawData[Tour/Site],$Q$2,RawData[[Picker ID ]],$Q$3,RawData[Checker ID],$Q$4,RawData[[Error Type ]],$Q$5))</f>
        <v/>
      </c>
    </row>
    <row r="1354" spans="15:15" x14ac:dyDescent="0.25">
      <c r="O1354" s="20" t="str">
        <f>IF(N1354="","",COUNTIFS(RawData[[Date ]],N1354,RawData[Month List],$Q$6,RawData[Tour/Site],$Q$2,RawData[[Picker ID ]],$Q$3,RawData[Checker ID],$Q$4,RawData[[Error Type ]],$Q$5))</f>
        <v/>
      </c>
    </row>
    <row r="1355" spans="15:15" x14ac:dyDescent="0.25">
      <c r="O1355" s="20" t="str">
        <f>IF(N1355="","",COUNTIFS(RawData[[Date ]],N1355,RawData[Month List],$Q$6,RawData[Tour/Site],$Q$2,RawData[[Picker ID ]],$Q$3,RawData[Checker ID],$Q$4,RawData[[Error Type ]],$Q$5))</f>
        <v/>
      </c>
    </row>
    <row r="1356" spans="15:15" x14ac:dyDescent="0.25">
      <c r="O1356" s="20" t="str">
        <f>IF(N1356="","",COUNTIFS(RawData[[Date ]],N1356,RawData[Month List],$Q$6,RawData[Tour/Site],$Q$2,RawData[[Picker ID ]],$Q$3,RawData[Checker ID],$Q$4,RawData[[Error Type ]],$Q$5))</f>
        <v/>
      </c>
    </row>
    <row r="1357" spans="15:15" x14ac:dyDescent="0.25">
      <c r="O1357" s="20" t="str">
        <f>IF(N1357="","",COUNTIFS(RawData[[Date ]],N1357,RawData[Month List],$Q$6,RawData[Tour/Site],$Q$2,RawData[[Picker ID ]],$Q$3,RawData[Checker ID],$Q$4,RawData[[Error Type ]],$Q$5))</f>
        <v/>
      </c>
    </row>
    <row r="1358" spans="15:15" x14ac:dyDescent="0.25">
      <c r="O1358" s="20" t="str">
        <f>IF(N1358="","",COUNTIFS(RawData[[Date ]],N1358,RawData[Month List],$Q$6,RawData[Tour/Site],$Q$2,RawData[[Picker ID ]],$Q$3,RawData[Checker ID],$Q$4,RawData[[Error Type ]],$Q$5))</f>
        <v/>
      </c>
    </row>
    <row r="1359" spans="15:15" x14ac:dyDescent="0.25">
      <c r="O1359" s="20" t="str">
        <f>IF(N1359="","",COUNTIFS(RawData[[Date ]],N1359,RawData[Month List],$Q$6,RawData[Tour/Site],$Q$2,RawData[[Picker ID ]],$Q$3,RawData[Checker ID],$Q$4,RawData[[Error Type ]],$Q$5))</f>
        <v/>
      </c>
    </row>
    <row r="1360" spans="15:15" x14ac:dyDescent="0.25">
      <c r="O1360" s="20" t="str">
        <f>IF(N1360="","",COUNTIFS(RawData[[Date ]],N1360,RawData[Month List],$Q$6,RawData[Tour/Site],$Q$2,RawData[[Picker ID ]],$Q$3,RawData[Checker ID],$Q$4,RawData[[Error Type ]],$Q$5))</f>
        <v/>
      </c>
    </row>
    <row r="1361" spans="15:15" x14ac:dyDescent="0.25">
      <c r="O1361" s="20" t="str">
        <f>IF(N1361="","",COUNTIFS(RawData[[Date ]],N1361,RawData[Month List],$Q$6,RawData[Tour/Site],$Q$2,RawData[[Picker ID ]],$Q$3,RawData[Checker ID],$Q$4,RawData[[Error Type ]],$Q$5))</f>
        <v/>
      </c>
    </row>
    <row r="1362" spans="15:15" x14ac:dyDescent="0.25">
      <c r="O1362" s="20" t="str">
        <f>IF(N1362="","",COUNTIFS(RawData[[Date ]],N1362,RawData[Month List],$Q$6,RawData[Tour/Site],$Q$2,RawData[[Picker ID ]],$Q$3,RawData[Checker ID],$Q$4,RawData[[Error Type ]],$Q$5))</f>
        <v/>
      </c>
    </row>
    <row r="1363" spans="15:15" x14ac:dyDescent="0.25">
      <c r="O1363" s="20" t="str">
        <f>IF(N1363="","",COUNTIFS(RawData[[Date ]],N1363,RawData[Month List],$Q$6,RawData[Tour/Site],$Q$2,RawData[[Picker ID ]],$Q$3,RawData[Checker ID],$Q$4,RawData[[Error Type ]],$Q$5))</f>
        <v/>
      </c>
    </row>
    <row r="1364" spans="15:15" x14ac:dyDescent="0.25">
      <c r="O1364" s="20" t="str">
        <f>IF(N1364="","",COUNTIFS(RawData[[Date ]],N1364,RawData[Month List],$Q$6,RawData[Tour/Site],$Q$2,RawData[[Picker ID ]],$Q$3,RawData[Checker ID],$Q$4,RawData[[Error Type ]],$Q$5))</f>
        <v/>
      </c>
    </row>
    <row r="1365" spans="15:15" x14ac:dyDescent="0.25">
      <c r="O1365" s="20" t="str">
        <f>IF(N1365="","",COUNTIFS(RawData[[Date ]],N1365,RawData[Month List],$Q$6,RawData[Tour/Site],$Q$2,RawData[[Picker ID ]],$Q$3,RawData[Checker ID],$Q$4,RawData[[Error Type ]],$Q$5))</f>
        <v/>
      </c>
    </row>
    <row r="1366" spans="15:15" x14ac:dyDescent="0.25">
      <c r="O1366" s="20" t="str">
        <f>IF(N1366="","",COUNTIFS(RawData[[Date ]],N1366,RawData[Month List],$Q$6,RawData[Tour/Site],$Q$2,RawData[[Picker ID ]],$Q$3,RawData[Checker ID],$Q$4,RawData[[Error Type ]],$Q$5))</f>
        <v/>
      </c>
    </row>
    <row r="1367" spans="15:15" x14ac:dyDescent="0.25">
      <c r="O1367" s="20" t="str">
        <f>IF(N1367="","",COUNTIFS(RawData[[Date ]],N1367,RawData[Month List],$Q$6,RawData[Tour/Site],$Q$2,RawData[[Picker ID ]],$Q$3,RawData[Checker ID],$Q$4,RawData[[Error Type ]],$Q$5))</f>
        <v/>
      </c>
    </row>
    <row r="1368" spans="15:15" x14ac:dyDescent="0.25">
      <c r="O1368" s="20" t="str">
        <f>IF(N1368="","",COUNTIFS(RawData[[Date ]],N1368,RawData[Month List],$Q$6,RawData[Tour/Site],$Q$2,RawData[[Picker ID ]],$Q$3,RawData[Checker ID],$Q$4,RawData[[Error Type ]],$Q$5))</f>
        <v/>
      </c>
    </row>
    <row r="1369" spans="15:15" x14ac:dyDescent="0.25">
      <c r="O1369" s="20" t="str">
        <f>IF(N1369="","",COUNTIFS(RawData[[Date ]],N1369,RawData[Month List],$Q$6,RawData[Tour/Site],$Q$2,RawData[[Picker ID ]],$Q$3,RawData[Checker ID],$Q$4,RawData[[Error Type ]],$Q$5))</f>
        <v/>
      </c>
    </row>
    <row r="1370" spans="15:15" x14ac:dyDescent="0.25">
      <c r="O1370" s="20" t="str">
        <f>IF(N1370="","",COUNTIFS(RawData[[Date ]],N1370,RawData[Month List],$Q$6,RawData[Tour/Site],$Q$2,RawData[[Picker ID ]],$Q$3,RawData[Checker ID],$Q$4,RawData[[Error Type ]],$Q$5))</f>
        <v/>
      </c>
    </row>
    <row r="1371" spans="15:15" x14ac:dyDescent="0.25">
      <c r="O1371" s="20" t="str">
        <f>IF(N1371="","",COUNTIFS(RawData[[Date ]],N1371,RawData[Month List],$Q$6,RawData[Tour/Site],$Q$2,RawData[[Picker ID ]],$Q$3,RawData[Checker ID],$Q$4,RawData[[Error Type ]],$Q$5))</f>
        <v/>
      </c>
    </row>
    <row r="1372" spans="15:15" x14ac:dyDescent="0.25">
      <c r="O1372" s="20" t="str">
        <f>IF(N1372="","",COUNTIFS(RawData[[Date ]],N1372,RawData[Month List],$Q$6,RawData[Tour/Site],$Q$2,RawData[[Picker ID ]],$Q$3,RawData[Checker ID],$Q$4,RawData[[Error Type ]],$Q$5))</f>
        <v/>
      </c>
    </row>
    <row r="1373" spans="15:15" x14ac:dyDescent="0.25">
      <c r="O1373" s="20" t="str">
        <f>IF(N1373="","",COUNTIFS(RawData[[Date ]],N1373,RawData[Month List],$Q$6,RawData[Tour/Site],$Q$2,RawData[[Picker ID ]],$Q$3,RawData[Checker ID],$Q$4,RawData[[Error Type ]],$Q$5))</f>
        <v/>
      </c>
    </row>
    <row r="1374" spans="15:15" x14ac:dyDescent="0.25">
      <c r="O1374" s="20" t="str">
        <f>IF(N1374="","",COUNTIFS(RawData[[Date ]],N1374,RawData[Month List],$Q$6,RawData[Tour/Site],$Q$2,RawData[[Picker ID ]],$Q$3,RawData[Checker ID],$Q$4,RawData[[Error Type ]],$Q$5))</f>
        <v/>
      </c>
    </row>
    <row r="1375" spans="15:15" x14ac:dyDescent="0.25">
      <c r="O1375" s="20" t="str">
        <f>IF(N1375="","",COUNTIFS(RawData[[Date ]],N1375,RawData[Month List],$Q$6,RawData[Tour/Site],$Q$2,RawData[[Picker ID ]],$Q$3,RawData[Checker ID],$Q$4,RawData[[Error Type ]],$Q$5))</f>
        <v/>
      </c>
    </row>
    <row r="1376" spans="15:15" x14ac:dyDescent="0.25">
      <c r="O1376" s="20" t="str">
        <f>IF(N1376="","",COUNTIFS(RawData[[Date ]],N1376,RawData[Month List],$Q$6,RawData[Tour/Site],$Q$2,RawData[[Picker ID ]],$Q$3,RawData[Checker ID],$Q$4,RawData[[Error Type ]],$Q$5))</f>
        <v/>
      </c>
    </row>
    <row r="1377" spans="15:15" x14ac:dyDescent="0.25">
      <c r="O1377" s="20" t="str">
        <f>IF(N1377="","",COUNTIFS(RawData[[Date ]],N1377,RawData[Month List],$Q$6,RawData[Tour/Site],$Q$2,RawData[[Picker ID ]],$Q$3,RawData[Checker ID],$Q$4,RawData[[Error Type ]],$Q$5))</f>
        <v/>
      </c>
    </row>
    <row r="1378" spans="15:15" x14ac:dyDescent="0.25">
      <c r="O1378" s="20" t="str">
        <f>IF(N1378="","",COUNTIFS(RawData[[Date ]],N1378,RawData[Month List],$Q$6,RawData[Tour/Site],$Q$2,RawData[[Picker ID ]],$Q$3,RawData[Checker ID],$Q$4,RawData[[Error Type ]],$Q$5))</f>
        <v/>
      </c>
    </row>
    <row r="1379" spans="15:15" x14ac:dyDescent="0.25">
      <c r="O1379" s="20" t="str">
        <f>IF(N1379="","",COUNTIFS(RawData[[Date ]],N1379,RawData[Month List],$Q$6,RawData[Tour/Site],$Q$2,RawData[[Picker ID ]],$Q$3,RawData[Checker ID],$Q$4,RawData[[Error Type ]],$Q$5))</f>
        <v/>
      </c>
    </row>
    <row r="1380" spans="15:15" x14ac:dyDescent="0.25">
      <c r="O1380" s="20" t="str">
        <f>IF(N1380="","",COUNTIFS(RawData[[Date ]],N1380,RawData[Month List],$Q$6,RawData[Tour/Site],$Q$2,RawData[[Picker ID ]],$Q$3,RawData[Checker ID],$Q$4,RawData[[Error Type ]],$Q$5))</f>
        <v/>
      </c>
    </row>
    <row r="1381" spans="15:15" x14ac:dyDescent="0.25">
      <c r="O1381" s="20" t="str">
        <f>IF(N1381="","",COUNTIFS(RawData[[Date ]],N1381,RawData[Month List],$Q$6,RawData[Tour/Site],$Q$2,RawData[[Picker ID ]],$Q$3,RawData[Checker ID],$Q$4,RawData[[Error Type ]],$Q$5))</f>
        <v/>
      </c>
    </row>
    <row r="1382" spans="15:15" x14ac:dyDescent="0.25">
      <c r="O1382" s="20" t="str">
        <f>IF(N1382="","",COUNTIFS(RawData[[Date ]],N1382,RawData[Month List],$Q$6,RawData[Tour/Site],$Q$2,RawData[[Picker ID ]],$Q$3,RawData[Checker ID],$Q$4,RawData[[Error Type ]],$Q$5))</f>
        <v/>
      </c>
    </row>
    <row r="1383" spans="15:15" x14ac:dyDescent="0.25">
      <c r="O1383" s="20" t="str">
        <f>IF(N1383="","",COUNTIFS(RawData[[Date ]],N1383,RawData[Month List],$Q$6,RawData[Tour/Site],$Q$2,RawData[[Picker ID ]],$Q$3,RawData[Checker ID],$Q$4,RawData[[Error Type ]],$Q$5))</f>
        <v/>
      </c>
    </row>
    <row r="1384" spans="15:15" x14ac:dyDescent="0.25">
      <c r="O1384" s="20" t="str">
        <f>IF(N1384="","",COUNTIFS(RawData[[Date ]],N1384,RawData[Month List],$Q$6,RawData[Tour/Site],$Q$2,RawData[[Picker ID ]],$Q$3,RawData[Checker ID],$Q$4,RawData[[Error Type ]],$Q$5))</f>
        <v/>
      </c>
    </row>
    <row r="1385" spans="15:15" x14ac:dyDescent="0.25">
      <c r="O1385" s="20" t="str">
        <f>IF(N1385="","",COUNTIFS(RawData[[Date ]],N1385,RawData[Month List],$Q$6,RawData[Tour/Site],$Q$2,RawData[[Picker ID ]],$Q$3,RawData[Checker ID],$Q$4,RawData[[Error Type ]],$Q$5))</f>
        <v/>
      </c>
    </row>
    <row r="1386" spans="15:15" x14ac:dyDescent="0.25">
      <c r="O1386" s="20" t="str">
        <f>IF(N1386="","",COUNTIFS(RawData[[Date ]],N1386,RawData[Month List],$Q$6,RawData[Tour/Site],$Q$2,RawData[[Picker ID ]],$Q$3,RawData[Checker ID],$Q$4,RawData[[Error Type ]],$Q$5))</f>
        <v/>
      </c>
    </row>
    <row r="1387" spans="15:15" x14ac:dyDescent="0.25">
      <c r="O1387" s="20" t="str">
        <f>IF(N1387="","",COUNTIFS(RawData[[Date ]],N1387,RawData[Month List],$Q$6,RawData[Tour/Site],$Q$2,RawData[[Picker ID ]],$Q$3,RawData[Checker ID],$Q$4,RawData[[Error Type ]],$Q$5))</f>
        <v/>
      </c>
    </row>
    <row r="1388" spans="15:15" x14ac:dyDescent="0.25">
      <c r="O1388" s="20" t="str">
        <f>IF(N1388="","",COUNTIFS(RawData[[Date ]],N1388,RawData[Month List],$Q$6,RawData[Tour/Site],$Q$2,RawData[[Picker ID ]],$Q$3,RawData[Checker ID],$Q$4,RawData[[Error Type ]],$Q$5))</f>
        <v/>
      </c>
    </row>
    <row r="1389" spans="15:15" x14ac:dyDescent="0.25">
      <c r="O1389" s="20" t="str">
        <f>IF(N1389="","",COUNTIFS(RawData[[Date ]],N1389,RawData[Month List],$Q$6,RawData[Tour/Site],$Q$2,RawData[[Picker ID ]],$Q$3,RawData[Checker ID],$Q$4,RawData[[Error Type ]],$Q$5))</f>
        <v/>
      </c>
    </row>
    <row r="1390" spans="15:15" x14ac:dyDescent="0.25">
      <c r="O1390" s="20" t="str">
        <f>IF(N1390="","",COUNTIFS(RawData[[Date ]],N1390,RawData[Month List],$Q$6,RawData[Tour/Site],$Q$2,RawData[[Picker ID ]],$Q$3,RawData[Checker ID],$Q$4,RawData[[Error Type ]],$Q$5))</f>
        <v/>
      </c>
    </row>
    <row r="1391" spans="15:15" x14ac:dyDescent="0.25">
      <c r="O1391" s="20" t="str">
        <f>IF(N1391="","",COUNTIFS(RawData[[Date ]],N1391,RawData[Month List],$Q$6,RawData[Tour/Site],$Q$2,RawData[[Picker ID ]],$Q$3,RawData[Checker ID],$Q$4,RawData[[Error Type ]],$Q$5))</f>
        <v/>
      </c>
    </row>
    <row r="1392" spans="15:15" x14ac:dyDescent="0.25">
      <c r="O1392" s="20" t="str">
        <f>IF(N1392="","",COUNTIFS(RawData[[Date ]],N1392,RawData[Month List],$Q$6,RawData[Tour/Site],$Q$2,RawData[[Picker ID ]],$Q$3,RawData[Checker ID],$Q$4,RawData[[Error Type ]],$Q$5))</f>
        <v/>
      </c>
    </row>
    <row r="1393" spans="15:15" x14ac:dyDescent="0.25">
      <c r="O1393" s="20" t="str">
        <f>IF(N1393="","",COUNTIFS(RawData[[Date ]],N1393,RawData[Month List],$Q$6,RawData[Tour/Site],$Q$2,RawData[[Picker ID ]],$Q$3,RawData[Checker ID],$Q$4,RawData[[Error Type ]],$Q$5))</f>
        <v/>
      </c>
    </row>
    <row r="1394" spans="15:15" x14ac:dyDescent="0.25">
      <c r="O1394" s="20" t="str">
        <f>IF(N1394="","",COUNTIFS(RawData[[Date ]],N1394,RawData[Month List],$Q$6,RawData[Tour/Site],$Q$2,RawData[[Picker ID ]],$Q$3,RawData[Checker ID],$Q$4,RawData[[Error Type ]],$Q$5))</f>
        <v/>
      </c>
    </row>
    <row r="1395" spans="15:15" x14ac:dyDescent="0.25">
      <c r="O1395" s="20" t="str">
        <f>IF(N1395="","",COUNTIFS(RawData[[Date ]],N1395,RawData[Month List],$Q$6,RawData[Tour/Site],$Q$2,RawData[[Picker ID ]],$Q$3,RawData[Checker ID],$Q$4,RawData[[Error Type ]],$Q$5))</f>
        <v/>
      </c>
    </row>
    <row r="1396" spans="15:15" x14ac:dyDescent="0.25">
      <c r="O1396" s="20" t="str">
        <f>IF(N1396="","",COUNTIFS(RawData[[Date ]],N1396,RawData[Month List],$Q$6,RawData[Tour/Site],$Q$2,RawData[[Picker ID ]],$Q$3,RawData[Checker ID],$Q$4,RawData[[Error Type ]],$Q$5))</f>
        <v/>
      </c>
    </row>
    <row r="1397" spans="15:15" x14ac:dyDescent="0.25">
      <c r="O1397" s="20" t="str">
        <f>IF(N1397="","",COUNTIFS(RawData[[Date ]],N1397,RawData[Month List],$Q$6,RawData[Tour/Site],$Q$2,RawData[[Picker ID ]],$Q$3,RawData[Checker ID],$Q$4,RawData[[Error Type ]],$Q$5))</f>
        <v/>
      </c>
    </row>
    <row r="1398" spans="15:15" x14ac:dyDescent="0.25">
      <c r="O1398" s="20" t="str">
        <f>IF(N1398="","",COUNTIFS(RawData[[Date ]],N1398,RawData[Month List],$Q$6,RawData[Tour/Site],$Q$2,RawData[[Picker ID ]],$Q$3,RawData[Checker ID],$Q$4,RawData[[Error Type ]],$Q$5))</f>
        <v/>
      </c>
    </row>
    <row r="1399" spans="15:15" x14ac:dyDescent="0.25">
      <c r="O1399" s="20" t="str">
        <f>IF(N1399="","",COUNTIFS(RawData[[Date ]],N1399,RawData[Month List],$Q$6,RawData[Tour/Site],$Q$2,RawData[[Picker ID ]],$Q$3,RawData[Checker ID],$Q$4,RawData[[Error Type ]],$Q$5))</f>
        <v/>
      </c>
    </row>
    <row r="1400" spans="15:15" x14ac:dyDescent="0.25">
      <c r="O1400" s="20" t="str">
        <f>IF(N1400="","",COUNTIFS(RawData[[Date ]],N1400,RawData[Month List],$Q$6,RawData[Tour/Site],$Q$2,RawData[[Picker ID ]],$Q$3,RawData[Checker ID],$Q$4,RawData[[Error Type ]],$Q$5))</f>
        <v/>
      </c>
    </row>
    <row r="1401" spans="15:15" x14ac:dyDescent="0.25">
      <c r="O1401" s="20" t="str">
        <f>IF(N1401="","",COUNTIFS(RawData[[Date ]],N1401,RawData[Month List],$Q$6,RawData[Tour/Site],$Q$2,RawData[[Picker ID ]],$Q$3,RawData[Checker ID],$Q$4,RawData[[Error Type ]],$Q$5))</f>
        <v/>
      </c>
    </row>
    <row r="1402" spans="15:15" x14ac:dyDescent="0.25">
      <c r="O1402" s="20" t="str">
        <f>IF(N1402="","",COUNTIFS(RawData[[Date ]],N1402,RawData[Month List],$Q$6,RawData[Tour/Site],$Q$2,RawData[[Picker ID ]],$Q$3,RawData[Checker ID],$Q$4,RawData[[Error Type ]],$Q$5))</f>
        <v/>
      </c>
    </row>
    <row r="1403" spans="15:15" x14ac:dyDescent="0.25">
      <c r="O1403" s="20" t="str">
        <f>IF(N1403="","",COUNTIFS(RawData[[Date ]],N1403,RawData[Month List],$Q$6,RawData[Tour/Site],$Q$2,RawData[[Picker ID ]],$Q$3,RawData[Checker ID],$Q$4,RawData[[Error Type ]],$Q$5))</f>
        <v/>
      </c>
    </row>
    <row r="1404" spans="15:15" x14ac:dyDescent="0.25">
      <c r="O1404" s="20" t="str">
        <f>IF(N1404="","",COUNTIFS(RawData[[Date ]],N1404,RawData[Month List],$Q$6,RawData[Tour/Site],$Q$2,RawData[[Picker ID ]],$Q$3,RawData[Checker ID],$Q$4,RawData[[Error Type ]],$Q$5))</f>
        <v/>
      </c>
    </row>
    <row r="1405" spans="15:15" x14ac:dyDescent="0.25">
      <c r="O1405" s="20" t="str">
        <f>IF(N1405="","",COUNTIFS(RawData[[Date ]],N1405,RawData[Month List],$Q$6,RawData[Tour/Site],$Q$2,RawData[[Picker ID ]],$Q$3,RawData[Checker ID],$Q$4,RawData[[Error Type ]],$Q$5))</f>
        <v/>
      </c>
    </row>
    <row r="1406" spans="15:15" x14ac:dyDescent="0.25">
      <c r="O1406" s="20" t="str">
        <f>IF(N1406="","",COUNTIFS(RawData[[Date ]],N1406,RawData[Month List],$Q$6,RawData[Tour/Site],$Q$2,RawData[[Picker ID ]],$Q$3,RawData[Checker ID],$Q$4,RawData[[Error Type ]],$Q$5))</f>
        <v/>
      </c>
    </row>
    <row r="1407" spans="15:15" x14ac:dyDescent="0.25">
      <c r="O1407" s="20" t="str">
        <f>IF(N1407="","",COUNTIFS(RawData[[Date ]],N1407,RawData[Month List],$Q$6,RawData[Tour/Site],$Q$2,RawData[[Picker ID ]],$Q$3,RawData[Checker ID],$Q$4,RawData[[Error Type ]],$Q$5))</f>
        <v/>
      </c>
    </row>
    <row r="1408" spans="15:15" x14ac:dyDescent="0.25">
      <c r="O1408" s="20" t="str">
        <f>IF(N1408="","",COUNTIFS(RawData[[Date ]],N1408,RawData[Month List],$Q$6,RawData[Tour/Site],$Q$2,RawData[[Picker ID ]],$Q$3,RawData[Checker ID],$Q$4,RawData[[Error Type ]],$Q$5))</f>
        <v/>
      </c>
    </row>
    <row r="1409" spans="15:15" x14ac:dyDescent="0.25">
      <c r="O1409" s="20" t="str">
        <f>IF(N1409="","",COUNTIFS(RawData[[Date ]],N1409,RawData[Month List],$Q$6,RawData[Tour/Site],$Q$2,RawData[[Picker ID ]],$Q$3,RawData[Checker ID],$Q$4,RawData[[Error Type ]],$Q$5))</f>
        <v/>
      </c>
    </row>
    <row r="1410" spans="15:15" x14ac:dyDescent="0.25">
      <c r="O1410" s="20" t="str">
        <f>IF(N1410="","",COUNTIFS(RawData[[Date ]],N1410,RawData[Month List],$Q$6,RawData[Tour/Site],$Q$2,RawData[[Picker ID ]],$Q$3,RawData[Checker ID],$Q$4,RawData[[Error Type ]],$Q$5))</f>
        <v/>
      </c>
    </row>
    <row r="1411" spans="15:15" x14ac:dyDescent="0.25">
      <c r="O1411" s="20" t="str">
        <f>IF(N1411="","",COUNTIFS(RawData[[Date ]],N1411,RawData[Month List],$Q$6,RawData[Tour/Site],$Q$2,RawData[[Picker ID ]],$Q$3,RawData[Checker ID],$Q$4,RawData[[Error Type ]],$Q$5))</f>
        <v/>
      </c>
    </row>
    <row r="1412" spans="15:15" x14ac:dyDescent="0.25">
      <c r="O1412" s="20" t="str">
        <f>IF(N1412="","",COUNTIFS(RawData[[Date ]],N1412,RawData[Month List],$Q$6,RawData[Tour/Site],$Q$2,RawData[[Picker ID ]],$Q$3,RawData[Checker ID],$Q$4,RawData[[Error Type ]],$Q$5))</f>
        <v/>
      </c>
    </row>
    <row r="1413" spans="15:15" x14ac:dyDescent="0.25">
      <c r="O1413" s="20" t="str">
        <f>IF(N1413="","",COUNTIFS(RawData[[Date ]],N1413,RawData[Month List],$Q$6,RawData[Tour/Site],$Q$2,RawData[[Picker ID ]],$Q$3,RawData[Checker ID],$Q$4,RawData[[Error Type ]],$Q$5))</f>
        <v/>
      </c>
    </row>
    <row r="1414" spans="15:15" x14ac:dyDescent="0.25">
      <c r="O1414" s="20" t="str">
        <f>IF(N1414="","",COUNTIFS(RawData[[Date ]],N1414,RawData[Month List],$Q$6,RawData[Tour/Site],$Q$2,RawData[[Picker ID ]],$Q$3,RawData[Checker ID],$Q$4,RawData[[Error Type ]],$Q$5))</f>
        <v/>
      </c>
    </row>
    <row r="1415" spans="15:15" x14ac:dyDescent="0.25">
      <c r="O1415" s="20" t="str">
        <f>IF(N1415="","",COUNTIFS(RawData[[Date ]],N1415,RawData[Month List],$Q$6,RawData[Tour/Site],$Q$2,RawData[[Picker ID ]],$Q$3,RawData[Checker ID],$Q$4,RawData[[Error Type ]],$Q$5))</f>
        <v/>
      </c>
    </row>
    <row r="1416" spans="15:15" x14ac:dyDescent="0.25">
      <c r="O1416" s="20" t="str">
        <f>IF(N1416="","",COUNTIFS(RawData[[Date ]],N1416,RawData[Month List],$Q$6,RawData[Tour/Site],$Q$2,RawData[[Picker ID ]],$Q$3,RawData[Checker ID],$Q$4,RawData[[Error Type ]],$Q$5))</f>
        <v/>
      </c>
    </row>
    <row r="1417" spans="15:15" x14ac:dyDescent="0.25">
      <c r="O1417" s="20" t="str">
        <f>IF(N1417="","",COUNTIFS(RawData[[Date ]],N1417,RawData[Month List],$Q$6,RawData[Tour/Site],$Q$2,RawData[[Picker ID ]],$Q$3,RawData[Checker ID],$Q$4,RawData[[Error Type ]],$Q$5))</f>
        <v/>
      </c>
    </row>
    <row r="1418" spans="15:15" x14ac:dyDescent="0.25">
      <c r="O1418" s="20" t="str">
        <f>IF(N1418="","",COUNTIFS(RawData[[Date ]],N1418,RawData[Month List],$Q$6,RawData[Tour/Site],$Q$2,RawData[[Picker ID ]],$Q$3,RawData[Checker ID],$Q$4,RawData[[Error Type ]],$Q$5))</f>
        <v/>
      </c>
    </row>
    <row r="1419" spans="15:15" x14ac:dyDescent="0.25">
      <c r="O1419" s="20" t="str">
        <f>IF(N1419="","",COUNTIFS(RawData[[Date ]],N1419,RawData[Month List],$Q$6,RawData[Tour/Site],$Q$2,RawData[[Picker ID ]],$Q$3,RawData[Checker ID],$Q$4,RawData[[Error Type ]],$Q$5))</f>
        <v/>
      </c>
    </row>
    <row r="1420" spans="15:15" x14ac:dyDescent="0.25">
      <c r="O1420" s="20" t="str">
        <f>IF(N1420="","",COUNTIFS(RawData[[Date ]],N1420,RawData[Month List],$Q$6,RawData[Tour/Site],$Q$2,RawData[[Picker ID ]],$Q$3,RawData[Checker ID],$Q$4,RawData[[Error Type ]],$Q$5))</f>
        <v/>
      </c>
    </row>
    <row r="1421" spans="15:15" x14ac:dyDescent="0.25">
      <c r="O1421" s="20" t="str">
        <f>IF(N1421="","",COUNTIFS(RawData[[Date ]],N1421,RawData[Month List],$Q$6,RawData[Tour/Site],$Q$2,RawData[[Picker ID ]],$Q$3,RawData[Checker ID],$Q$4,RawData[[Error Type ]],$Q$5))</f>
        <v/>
      </c>
    </row>
    <row r="1422" spans="15:15" x14ac:dyDescent="0.25">
      <c r="O1422" s="20" t="str">
        <f>IF(N1422="","",COUNTIFS(RawData[[Date ]],N1422,RawData[Month List],$Q$6,RawData[Tour/Site],$Q$2,RawData[[Picker ID ]],$Q$3,RawData[Checker ID],$Q$4,RawData[[Error Type ]],$Q$5))</f>
        <v/>
      </c>
    </row>
    <row r="1423" spans="15:15" x14ac:dyDescent="0.25">
      <c r="O1423" s="20" t="str">
        <f>IF(N1423="","",COUNTIFS(RawData[[Date ]],N1423,RawData[Month List],$Q$6,RawData[Tour/Site],$Q$2,RawData[[Picker ID ]],$Q$3,RawData[Checker ID],$Q$4,RawData[[Error Type ]],$Q$5))</f>
        <v/>
      </c>
    </row>
    <row r="1424" spans="15:15" x14ac:dyDescent="0.25">
      <c r="O1424" s="20" t="str">
        <f>IF(N1424="","",COUNTIFS(RawData[[Date ]],N1424,RawData[Month List],$Q$6,RawData[Tour/Site],$Q$2,RawData[[Picker ID ]],$Q$3,RawData[Checker ID],$Q$4,RawData[[Error Type ]],$Q$5))</f>
        <v/>
      </c>
    </row>
    <row r="1425" spans="15:15" x14ac:dyDescent="0.25">
      <c r="O1425" s="20" t="str">
        <f>IF(N1425="","",COUNTIFS(RawData[[Date ]],N1425,RawData[Month List],$Q$6,RawData[Tour/Site],$Q$2,RawData[[Picker ID ]],$Q$3,RawData[Checker ID],$Q$4,RawData[[Error Type ]],$Q$5))</f>
        <v/>
      </c>
    </row>
    <row r="1426" spans="15:15" x14ac:dyDescent="0.25">
      <c r="O1426" s="20" t="str">
        <f>IF(N1426="","",COUNTIFS(RawData[[Date ]],N1426,RawData[Month List],$Q$6,RawData[Tour/Site],$Q$2,RawData[[Picker ID ]],$Q$3,RawData[Checker ID],$Q$4,RawData[[Error Type ]],$Q$5))</f>
        <v/>
      </c>
    </row>
    <row r="1427" spans="15:15" x14ac:dyDescent="0.25">
      <c r="O1427" s="20" t="str">
        <f>IF(N1427="","",COUNTIFS(RawData[[Date ]],N1427,RawData[Month List],$Q$6,RawData[Tour/Site],$Q$2,RawData[[Picker ID ]],$Q$3,RawData[Checker ID],$Q$4,RawData[[Error Type ]],$Q$5))</f>
        <v/>
      </c>
    </row>
    <row r="1428" spans="15:15" x14ac:dyDescent="0.25">
      <c r="O1428" s="20" t="str">
        <f>IF(N1428="","",COUNTIFS(RawData[[Date ]],N1428,RawData[Month List],$Q$6,RawData[Tour/Site],$Q$2,RawData[[Picker ID ]],$Q$3,RawData[Checker ID],$Q$4,RawData[[Error Type ]],$Q$5))</f>
        <v/>
      </c>
    </row>
    <row r="1429" spans="15:15" x14ac:dyDescent="0.25">
      <c r="O1429" s="20" t="str">
        <f>IF(N1429="","",COUNTIFS(RawData[[Date ]],N1429,RawData[Month List],$Q$6,RawData[Tour/Site],$Q$2,RawData[[Picker ID ]],$Q$3,RawData[Checker ID],$Q$4,RawData[[Error Type ]],$Q$5))</f>
        <v/>
      </c>
    </row>
    <row r="1430" spans="15:15" x14ac:dyDescent="0.25">
      <c r="O1430" s="20" t="str">
        <f>IF(N1430="","",COUNTIFS(RawData[[Date ]],N1430,RawData[Month List],$Q$6,RawData[Tour/Site],$Q$2,RawData[[Picker ID ]],$Q$3,RawData[Checker ID],$Q$4,RawData[[Error Type ]],$Q$5))</f>
        <v/>
      </c>
    </row>
    <row r="1431" spans="15:15" x14ac:dyDescent="0.25">
      <c r="O1431" s="20" t="str">
        <f>IF(N1431="","",COUNTIFS(RawData[[Date ]],N1431,RawData[Month List],$Q$6,RawData[Tour/Site],$Q$2,RawData[[Picker ID ]],$Q$3,RawData[Checker ID],$Q$4,RawData[[Error Type ]],$Q$5))</f>
        <v/>
      </c>
    </row>
    <row r="1432" spans="15:15" x14ac:dyDescent="0.25">
      <c r="O1432" s="20" t="str">
        <f>IF(N1432="","",COUNTIFS(RawData[[Date ]],N1432,RawData[Month List],$Q$6,RawData[Tour/Site],$Q$2,RawData[[Picker ID ]],$Q$3,RawData[Checker ID],$Q$4,RawData[[Error Type ]],$Q$5))</f>
        <v/>
      </c>
    </row>
    <row r="1433" spans="15:15" x14ac:dyDescent="0.25">
      <c r="O1433" s="20" t="str">
        <f>IF(N1433="","",COUNTIFS(RawData[[Date ]],N1433,RawData[Month List],$Q$6,RawData[Tour/Site],$Q$2,RawData[[Picker ID ]],$Q$3,RawData[Checker ID],$Q$4,RawData[[Error Type ]],$Q$5))</f>
        <v/>
      </c>
    </row>
    <row r="1434" spans="15:15" x14ac:dyDescent="0.25">
      <c r="O1434" s="20" t="str">
        <f>IF(N1434="","",COUNTIFS(RawData[[Date ]],N1434,RawData[Month List],$Q$6,RawData[Tour/Site],$Q$2,RawData[[Picker ID ]],$Q$3,RawData[Checker ID],$Q$4,RawData[[Error Type ]],$Q$5))</f>
        <v/>
      </c>
    </row>
    <row r="1435" spans="15:15" x14ac:dyDescent="0.25">
      <c r="O1435" s="20" t="str">
        <f>IF(N1435="","",COUNTIFS(RawData[[Date ]],N1435,RawData[Month List],$Q$6,RawData[Tour/Site],$Q$2,RawData[[Picker ID ]],$Q$3,RawData[Checker ID],$Q$4,RawData[[Error Type ]],$Q$5))</f>
        <v/>
      </c>
    </row>
    <row r="1436" spans="15:15" x14ac:dyDescent="0.25">
      <c r="O1436" s="20" t="str">
        <f>IF(N1436="","",COUNTIFS(RawData[[Date ]],N1436,RawData[Month List],$Q$6,RawData[Tour/Site],$Q$2,RawData[[Picker ID ]],$Q$3,RawData[Checker ID],$Q$4,RawData[[Error Type ]],$Q$5))</f>
        <v/>
      </c>
    </row>
    <row r="1437" spans="15:15" x14ac:dyDescent="0.25">
      <c r="O1437" s="20" t="str">
        <f>IF(N1437="","",COUNTIFS(RawData[[Date ]],N1437,RawData[Month List],$Q$6,RawData[Tour/Site],$Q$2,RawData[[Picker ID ]],$Q$3,RawData[Checker ID],$Q$4,RawData[[Error Type ]],$Q$5))</f>
        <v/>
      </c>
    </row>
    <row r="1438" spans="15:15" x14ac:dyDescent="0.25">
      <c r="O1438" s="20" t="str">
        <f>IF(N1438="","",COUNTIFS(RawData[[Date ]],N1438,RawData[Month List],$Q$6,RawData[Tour/Site],$Q$2,RawData[[Picker ID ]],$Q$3,RawData[Checker ID],$Q$4,RawData[[Error Type ]],$Q$5))</f>
        <v/>
      </c>
    </row>
    <row r="1439" spans="15:15" x14ac:dyDescent="0.25">
      <c r="O1439" s="20" t="str">
        <f>IF(N1439="","",COUNTIFS(RawData[[Date ]],N1439,RawData[Month List],$Q$6,RawData[Tour/Site],$Q$2,RawData[[Picker ID ]],$Q$3,RawData[Checker ID],$Q$4,RawData[[Error Type ]],$Q$5))</f>
        <v/>
      </c>
    </row>
    <row r="1440" spans="15:15" x14ac:dyDescent="0.25">
      <c r="O1440" s="20" t="str">
        <f>IF(N1440="","",COUNTIFS(RawData[[Date ]],N1440,RawData[Month List],$Q$6,RawData[Tour/Site],$Q$2,RawData[[Picker ID ]],$Q$3,RawData[Checker ID],$Q$4,RawData[[Error Type ]],$Q$5))</f>
        <v/>
      </c>
    </row>
    <row r="1441" spans="15:15" x14ac:dyDescent="0.25">
      <c r="O1441" s="20" t="str">
        <f>IF(N1441="","",COUNTIFS(RawData[[Date ]],N1441,RawData[Month List],$Q$6,RawData[Tour/Site],$Q$2,RawData[[Picker ID ]],$Q$3,RawData[Checker ID],$Q$4,RawData[[Error Type ]],$Q$5))</f>
        <v/>
      </c>
    </row>
    <row r="1442" spans="15:15" x14ac:dyDescent="0.25">
      <c r="O1442" s="20" t="str">
        <f>IF(N1442="","",COUNTIFS(RawData[[Date ]],N1442,RawData[Month List],$Q$6,RawData[Tour/Site],$Q$2,RawData[[Picker ID ]],$Q$3,RawData[Checker ID],$Q$4,RawData[[Error Type ]],$Q$5))</f>
        <v/>
      </c>
    </row>
    <row r="1443" spans="15:15" x14ac:dyDescent="0.25">
      <c r="O1443" s="20" t="str">
        <f>IF(N1443="","",COUNTIFS(RawData[[Date ]],N1443,RawData[Month List],$Q$6,RawData[Tour/Site],$Q$2,RawData[[Picker ID ]],$Q$3,RawData[Checker ID],$Q$4,RawData[[Error Type ]],$Q$5))</f>
        <v/>
      </c>
    </row>
    <row r="1444" spans="15:15" x14ac:dyDescent="0.25">
      <c r="O1444" s="20" t="str">
        <f>IF(N1444="","",COUNTIFS(RawData[[Date ]],N1444,RawData[Month List],$Q$6,RawData[Tour/Site],$Q$2,RawData[[Picker ID ]],$Q$3,RawData[Checker ID],$Q$4,RawData[[Error Type ]],$Q$5))</f>
        <v/>
      </c>
    </row>
    <row r="1445" spans="15:15" x14ac:dyDescent="0.25">
      <c r="O1445" s="20" t="str">
        <f>IF(N1445="","",COUNTIFS(RawData[[Date ]],N1445,RawData[Month List],$Q$6,RawData[Tour/Site],$Q$2,RawData[[Picker ID ]],$Q$3,RawData[Checker ID],$Q$4,RawData[[Error Type ]],$Q$5))</f>
        <v/>
      </c>
    </row>
    <row r="1446" spans="15:15" x14ac:dyDescent="0.25">
      <c r="O1446" s="20" t="str">
        <f>IF(N1446="","",COUNTIFS(RawData[[Date ]],N1446,RawData[Month List],$Q$6,RawData[Tour/Site],$Q$2,RawData[[Picker ID ]],$Q$3,RawData[Checker ID],$Q$4,RawData[[Error Type ]],$Q$5))</f>
        <v/>
      </c>
    </row>
    <row r="1447" spans="15:15" x14ac:dyDescent="0.25">
      <c r="O1447" s="20" t="str">
        <f>IF(N1447="","",COUNTIFS(RawData[[Date ]],N1447,RawData[Month List],$Q$6,RawData[Tour/Site],$Q$2,RawData[[Picker ID ]],$Q$3,RawData[Checker ID],$Q$4,RawData[[Error Type ]],$Q$5))</f>
        <v/>
      </c>
    </row>
    <row r="1448" spans="15:15" x14ac:dyDescent="0.25">
      <c r="O1448" s="20" t="str">
        <f>IF(N1448="","",COUNTIFS(RawData[[Date ]],N1448,RawData[Month List],$Q$6,RawData[Tour/Site],$Q$2,RawData[[Picker ID ]],$Q$3,RawData[Checker ID],$Q$4,RawData[[Error Type ]],$Q$5))</f>
        <v/>
      </c>
    </row>
    <row r="1449" spans="15:15" x14ac:dyDescent="0.25">
      <c r="O1449" s="20" t="str">
        <f>IF(N1449="","",COUNTIFS(RawData[[Date ]],N1449,RawData[Month List],$Q$6,RawData[Tour/Site],$Q$2,RawData[[Picker ID ]],$Q$3,RawData[Checker ID],$Q$4,RawData[[Error Type ]],$Q$5))</f>
        <v/>
      </c>
    </row>
    <row r="1450" spans="15:15" x14ac:dyDescent="0.25">
      <c r="O1450" s="20" t="str">
        <f>IF(N1450="","",COUNTIFS(RawData[[Date ]],N1450,RawData[Month List],$Q$6,RawData[Tour/Site],$Q$2,RawData[[Picker ID ]],$Q$3,RawData[Checker ID],$Q$4,RawData[[Error Type ]],$Q$5))</f>
        <v/>
      </c>
    </row>
    <row r="1451" spans="15:15" x14ac:dyDescent="0.25">
      <c r="O1451" s="20" t="str">
        <f>IF(N1451="","",COUNTIFS(RawData[[Date ]],N1451,RawData[Month List],$Q$6,RawData[Tour/Site],$Q$2,RawData[[Picker ID ]],$Q$3,RawData[Checker ID],$Q$4,RawData[[Error Type ]],$Q$5))</f>
        <v/>
      </c>
    </row>
    <row r="1452" spans="15:15" x14ac:dyDescent="0.25">
      <c r="O1452" s="20" t="str">
        <f>IF(N1452="","",COUNTIFS(RawData[[Date ]],N1452,RawData[Month List],$Q$6,RawData[Tour/Site],$Q$2,RawData[[Picker ID ]],$Q$3,RawData[Checker ID],$Q$4,RawData[[Error Type ]],$Q$5))</f>
        <v/>
      </c>
    </row>
    <row r="1453" spans="15:15" x14ac:dyDescent="0.25">
      <c r="O1453" s="20" t="str">
        <f>IF(N1453="","",COUNTIFS(RawData[[Date ]],N1453,RawData[Month List],$Q$6,RawData[Tour/Site],$Q$2,RawData[[Picker ID ]],$Q$3,RawData[Checker ID],$Q$4,RawData[[Error Type ]],$Q$5))</f>
        <v/>
      </c>
    </row>
    <row r="1454" spans="15:15" x14ac:dyDescent="0.25">
      <c r="O1454" s="20" t="str">
        <f>IF(N1454="","",COUNTIFS(RawData[[Date ]],N1454,RawData[Month List],$Q$6,RawData[Tour/Site],$Q$2,RawData[[Picker ID ]],$Q$3,RawData[Checker ID],$Q$4,RawData[[Error Type ]],$Q$5))</f>
        <v/>
      </c>
    </row>
    <row r="1455" spans="15:15" x14ac:dyDescent="0.25">
      <c r="O1455" s="20" t="str">
        <f>IF(N1455="","",COUNTIFS(RawData[[Date ]],N1455,RawData[Month List],$Q$6,RawData[Tour/Site],$Q$2,RawData[[Picker ID ]],$Q$3,RawData[Checker ID],$Q$4,RawData[[Error Type ]],$Q$5))</f>
        <v/>
      </c>
    </row>
    <row r="1456" spans="15:15" x14ac:dyDescent="0.25">
      <c r="O1456" s="20" t="str">
        <f>IF(N1456="","",COUNTIFS(RawData[[Date ]],N1456,RawData[Month List],$Q$6,RawData[Tour/Site],$Q$2,RawData[[Picker ID ]],$Q$3,RawData[Checker ID],$Q$4,RawData[[Error Type ]],$Q$5))</f>
        <v/>
      </c>
    </row>
    <row r="1457" spans="15:15" x14ac:dyDescent="0.25">
      <c r="O1457" s="20" t="str">
        <f>IF(N1457="","",COUNTIFS(RawData[[Date ]],N1457,RawData[Month List],$Q$6,RawData[Tour/Site],$Q$2,RawData[[Picker ID ]],$Q$3,RawData[Checker ID],$Q$4,RawData[[Error Type ]],$Q$5))</f>
        <v/>
      </c>
    </row>
    <row r="1458" spans="15:15" x14ac:dyDescent="0.25">
      <c r="O1458" s="20" t="str">
        <f>IF(N1458="","",COUNTIFS(RawData[[Date ]],N1458,RawData[Month List],$Q$6,RawData[Tour/Site],$Q$2,RawData[[Picker ID ]],$Q$3,RawData[Checker ID],$Q$4,RawData[[Error Type ]],$Q$5))</f>
        <v/>
      </c>
    </row>
    <row r="1459" spans="15:15" x14ac:dyDescent="0.25">
      <c r="O1459" s="20" t="str">
        <f>IF(N1459="","",COUNTIFS(RawData[[Date ]],N1459,RawData[Month List],$Q$6,RawData[Tour/Site],$Q$2,RawData[[Picker ID ]],$Q$3,RawData[Checker ID],$Q$4,RawData[[Error Type ]],$Q$5))</f>
        <v/>
      </c>
    </row>
    <row r="1460" spans="15:15" x14ac:dyDescent="0.25">
      <c r="O1460" s="20" t="str">
        <f>IF(N1460="","",COUNTIFS(RawData[[Date ]],N1460,RawData[Month List],$Q$6,RawData[Tour/Site],$Q$2,RawData[[Picker ID ]],$Q$3,RawData[Checker ID],$Q$4,RawData[[Error Type ]],$Q$5))</f>
        <v/>
      </c>
    </row>
    <row r="1461" spans="15:15" x14ac:dyDescent="0.25">
      <c r="O1461" s="20" t="str">
        <f>IF(N1461="","",COUNTIFS(RawData[[Date ]],N1461,RawData[Month List],$Q$6,RawData[Tour/Site],$Q$2,RawData[[Picker ID ]],$Q$3,RawData[Checker ID],$Q$4,RawData[[Error Type ]],$Q$5))</f>
        <v/>
      </c>
    </row>
    <row r="1462" spans="15:15" x14ac:dyDescent="0.25">
      <c r="O1462" s="20" t="str">
        <f>IF(N1462="","",COUNTIFS(RawData[[Date ]],N1462,RawData[Month List],$Q$6,RawData[Tour/Site],$Q$2,RawData[[Picker ID ]],$Q$3,RawData[Checker ID],$Q$4,RawData[[Error Type ]],$Q$5))</f>
        <v/>
      </c>
    </row>
    <row r="1463" spans="15:15" x14ac:dyDescent="0.25">
      <c r="O1463" s="20" t="str">
        <f>IF(N1463="","",COUNTIFS(RawData[[Date ]],N1463,RawData[Month List],$Q$6,RawData[Tour/Site],$Q$2,RawData[[Picker ID ]],$Q$3,RawData[Checker ID],$Q$4,RawData[[Error Type ]],$Q$5))</f>
        <v/>
      </c>
    </row>
    <row r="1464" spans="15:15" x14ac:dyDescent="0.25">
      <c r="O1464" s="20" t="str">
        <f>IF(N1464="","",COUNTIFS(RawData[[Date ]],N1464,RawData[Month List],$Q$6,RawData[Tour/Site],$Q$2,RawData[[Picker ID ]],$Q$3,RawData[Checker ID],$Q$4,RawData[[Error Type ]],$Q$5))</f>
        <v/>
      </c>
    </row>
    <row r="1465" spans="15:15" x14ac:dyDescent="0.25">
      <c r="O1465" s="20" t="str">
        <f>IF(N1465="","",COUNTIFS(RawData[[Date ]],N1465,RawData[Month List],$Q$6,RawData[Tour/Site],$Q$2,RawData[[Picker ID ]],$Q$3,RawData[Checker ID],$Q$4,RawData[[Error Type ]],$Q$5))</f>
        <v/>
      </c>
    </row>
    <row r="1466" spans="15:15" x14ac:dyDescent="0.25">
      <c r="O1466" s="20" t="str">
        <f>IF(N1466="","",COUNTIFS(RawData[[Date ]],N1466,RawData[Month List],$Q$6,RawData[Tour/Site],$Q$2,RawData[[Picker ID ]],$Q$3,RawData[Checker ID],$Q$4,RawData[[Error Type ]],$Q$5))</f>
        <v/>
      </c>
    </row>
    <row r="1467" spans="15:15" x14ac:dyDescent="0.25">
      <c r="O1467" s="20" t="str">
        <f>IF(N1467="","",COUNTIFS(RawData[[Date ]],N1467,RawData[Month List],$Q$6,RawData[Tour/Site],$Q$2,RawData[[Picker ID ]],$Q$3,RawData[Checker ID],$Q$4,RawData[[Error Type ]],$Q$5))</f>
        <v/>
      </c>
    </row>
    <row r="1468" spans="15:15" x14ac:dyDescent="0.25">
      <c r="O1468" s="20" t="str">
        <f>IF(N1468="","",COUNTIFS(RawData[[Date ]],N1468,RawData[Month List],$Q$6,RawData[Tour/Site],$Q$2,RawData[[Picker ID ]],$Q$3,RawData[Checker ID],$Q$4,RawData[[Error Type ]],$Q$5))</f>
        <v/>
      </c>
    </row>
    <row r="1469" spans="15:15" x14ac:dyDescent="0.25">
      <c r="O1469" s="20" t="str">
        <f>IF(N1469="","",COUNTIFS(RawData[[Date ]],N1469,RawData[Month List],$Q$6,RawData[Tour/Site],$Q$2,RawData[[Picker ID ]],$Q$3,RawData[Checker ID],$Q$4,RawData[[Error Type ]],$Q$5))</f>
        <v/>
      </c>
    </row>
    <row r="1470" spans="15:15" x14ac:dyDescent="0.25">
      <c r="O1470" s="20" t="str">
        <f>IF(N1470="","",COUNTIFS(RawData[[Date ]],N1470,RawData[Month List],$Q$6,RawData[Tour/Site],$Q$2,RawData[[Picker ID ]],$Q$3,RawData[Checker ID],$Q$4,RawData[[Error Type ]],$Q$5))</f>
        <v/>
      </c>
    </row>
    <row r="1471" spans="15:15" x14ac:dyDescent="0.25">
      <c r="O1471" s="20" t="str">
        <f>IF(N1471="","",COUNTIFS(RawData[[Date ]],N1471,RawData[Month List],$Q$6,RawData[Tour/Site],$Q$2,RawData[[Picker ID ]],$Q$3,RawData[Checker ID],$Q$4,RawData[[Error Type ]],$Q$5))</f>
        <v/>
      </c>
    </row>
    <row r="1472" spans="15:15" x14ac:dyDescent="0.25">
      <c r="O1472" s="20" t="str">
        <f>IF(N1472="","",COUNTIFS(RawData[[Date ]],N1472,RawData[Month List],$Q$6,RawData[Tour/Site],$Q$2,RawData[[Picker ID ]],$Q$3,RawData[Checker ID],$Q$4,RawData[[Error Type ]],$Q$5))</f>
        <v/>
      </c>
    </row>
    <row r="1473" spans="15:15" x14ac:dyDescent="0.25">
      <c r="O1473" s="20" t="str">
        <f>IF(N1473="","",COUNTIFS(RawData[[Date ]],N1473,RawData[Month List],$Q$6,RawData[Tour/Site],$Q$2,RawData[[Picker ID ]],$Q$3,RawData[Checker ID],$Q$4,RawData[[Error Type ]],$Q$5))</f>
        <v/>
      </c>
    </row>
    <row r="1474" spans="15:15" x14ac:dyDescent="0.25">
      <c r="O1474" s="20" t="str">
        <f>IF(N1474="","",COUNTIFS(RawData[[Date ]],N1474,RawData[Month List],$Q$6,RawData[Tour/Site],$Q$2,RawData[[Picker ID ]],$Q$3,RawData[Checker ID],$Q$4,RawData[[Error Type ]],$Q$5))</f>
        <v/>
      </c>
    </row>
    <row r="1475" spans="15:15" x14ac:dyDescent="0.25">
      <c r="O1475" s="20" t="str">
        <f>IF(N1475="","",COUNTIFS(RawData[[Date ]],N1475,RawData[Month List],$Q$6,RawData[Tour/Site],$Q$2,RawData[[Picker ID ]],$Q$3,RawData[Checker ID],$Q$4,RawData[[Error Type ]],$Q$5))</f>
        <v/>
      </c>
    </row>
    <row r="1476" spans="15:15" x14ac:dyDescent="0.25">
      <c r="O1476" s="20" t="str">
        <f>IF(N1476="","",COUNTIFS(RawData[[Date ]],N1476,RawData[Month List],$Q$6,RawData[Tour/Site],$Q$2,RawData[[Picker ID ]],$Q$3,RawData[Checker ID],$Q$4,RawData[[Error Type ]],$Q$5))</f>
        <v/>
      </c>
    </row>
    <row r="1477" spans="15:15" x14ac:dyDescent="0.25">
      <c r="O1477" s="20" t="str">
        <f>IF(N1477="","",COUNTIFS(RawData[[Date ]],N1477,RawData[Month List],$Q$6,RawData[Tour/Site],$Q$2,RawData[[Picker ID ]],$Q$3,RawData[Checker ID],$Q$4,RawData[[Error Type ]],$Q$5))</f>
        <v/>
      </c>
    </row>
    <row r="1478" spans="15:15" x14ac:dyDescent="0.25">
      <c r="O1478" s="20" t="str">
        <f>IF(N1478="","",COUNTIFS(RawData[[Date ]],N1478,RawData[Month List],$Q$6,RawData[Tour/Site],$Q$2,RawData[[Picker ID ]],$Q$3,RawData[Checker ID],$Q$4,RawData[[Error Type ]],$Q$5))</f>
        <v/>
      </c>
    </row>
    <row r="1479" spans="15:15" x14ac:dyDescent="0.25">
      <c r="O1479" s="20" t="str">
        <f>IF(N1479="","",COUNTIFS(RawData[[Date ]],N1479,RawData[Month List],$Q$6,RawData[Tour/Site],$Q$2,RawData[[Picker ID ]],$Q$3,RawData[Checker ID],$Q$4,RawData[[Error Type ]],$Q$5))</f>
        <v/>
      </c>
    </row>
    <row r="1480" spans="15:15" x14ac:dyDescent="0.25">
      <c r="O1480" s="20" t="str">
        <f>IF(N1480="","",COUNTIFS(RawData[[Date ]],N1480,RawData[Month List],$Q$6,RawData[Tour/Site],$Q$2,RawData[[Picker ID ]],$Q$3,RawData[Checker ID],$Q$4,RawData[[Error Type ]],$Q$5))</f>
        <v/>
      </c>
    </row>
    <row r="1481" spans="15:15" x14ac:dyDescent="0.25">
      <c r="O1481" s="20" t="str">
        <f>IF(N1481="","",COUNTIFS(RawData[[Date ]],N1481,RawData[Month List],$Q$6,RawData[Tour/Site],$Q$2,RawData[[Picker ID ]],$Q$3,RawData[Checker ID],$Q$4,RawData[[Error Type ]],$Q$5))</f>
        <v/>
      </c>
    </row>
    <row r="1482" spans="15:15" x14ac:dyDescent="0.25">
      <c r="O1482" s="20" t="str">
        <f>IF(N1482="","",COUNTIFS(RawData[[Date ]],N1482,RawData[Month List],$Q$6,RawData[Tour/Site],$Q$2,RawData[[Picker ID ]],$Q$3,RawData[Checker ID],$Q$4,RawData[[Error Type ]],$Q$5))</f>
        <v/>
      </c>
    </row>
    <row r="1483" spans="15:15" x14ac:dyDescent="0.25">
      <c r="O1483" s="20" t="str">
        <f>IF(N1483="","",COUNTIFS(RawData[[Date ]],N1483,RawData[Month List],$Q$6,RawData[Tour/Site],$Q$2,RawData[[Picker ID ]],$Q$3,RawData[Checker ID],$Q$4,RawData[[Error Type ]],$Q$5))</f>
        <v/>
      </c>
    </row>
    <row r="1484" spans="15:15" x14ac:dyDescent="0.25">
      <c r="O1484" s="20" t="str">
        <f>IF(N1484="","",COUNTIFS(RawData[[Date ]],N1484,RawData[Month List],$Q$6,RawData[Tour/Site],$Q$2,RawData[[Picker ID ]],$Q$3,RawData[Checker ID],$Q$4,RawData[[Error Type ]],$Q$5))</f>
        <v/>
      </c>
    </row>
    <row r="1485" spans="15:15" x14ac:dyDescent="0.25">
      <c r="O1485" s="20" t="str">
        <f>IF(N1485="","",COUNTIFS(RawData[[Date ]],N1485,RawData[Month List],$Q$6,RawData[Tour/Site],$Q$2,RawData[[Picker ID ]],$Q$3,RawData[Checker ID],$Q$4,RawData[[Error Type ]],$Q$5))</f>
        <v/>
      </c>
    </row>
    <row r="1486" spans="15:15" x14ac:dyDescent="0.25">
      <c r="O1486" s="20" t="str">
        <f>IF(N1486="","",COUNTIFS(RawData[[Date ]],N1486,RawData[Month List],$Q$6,RawData[Tour/Site],$Q$2,RawData[[Picker ID ]],$Q$3,RawData[Checker ID],$Q$4,RawData[[Error Type ]],$Q$5))</f>
        <v/>
      </c>
    </row>
    <row r="1487" spans="15:15" x14ac:dyDescent="0.25">
      <c r="O1487" s="20" t="str">
        <f>IF(N1487="","",COUNTIFS(RawData[[Date ]],N1487,RawData[Month List],$Q$6,RawData[Tour/Site],$Q$2,RawData[[Picker ID ]],$Q$3,RawData[Checker ID],$Q$4,RawData[[Error Type ]],$Q$5))</f>
        <v/>
      </c>
    </row>
    <row r="1488" spans="15:15" x14ac:dyDescent="0.25">
      <c r="O1488" s="20" t="str">
        <f>IF(N1488="","",COUNTIFS(RawData[[Date ]],N1488,RawData[Month List],$Q$6,RawData[Tour/Site],$Q$2,RawData[[Picker ID ]],$Q$3,RawData[Checker ID],$Q$4,RawData[[Error Type ]],$Q$5))</f>
        <v/>
      </c>
    </row>
    <row r="1489" spans="15:15" x14ac:dyDescent="0.25">
      <c r="O1489" s="20" t="str">
        <f>IF(N1489="","",COUNTIFS(RawData[[Date ]],N1489,RawData[Month List],$Q$6,RawData[Tour/Site],$Q$2,RawData[[Picker ID ]],$Q$3,RawData[Checker ID],$Q$4,RawData[[Error Type ]],$Q$5))</f>
        <v/>
      </c>
    </row>
    <row r="1490" spans="15:15" x14ac:dyDescent="0.25">
      <c r="O1490" s="20" t="str">
        <f>IF(N1490="","",COUNTIFS(RawData[[Date ]],N1490,RawData[Month List],$Q$6,RawData[Tour/Site],$Q$2,RawData[[Picker ID ]],$Q$3,RawData[Checker ID],$Q$4,RawData[[Error Type ]],$Q$5))</f>
        <v/>
      </c>
    </row>
    <row r="1491" spans="15:15" x14ac:dyDescent="0.25">
      <c r="O1491" s="20" t="str">
        <f>IF(N1491="","",COUNTIFS(RawData[[Date ]],N1491,RawData[Month List],$Q$6,RawData[Tour/Site],$Q$2,RawData[[Picker ID ]],$Q$3,RawData[Checker ID],$Q$4,RawData[[Error Type ]],$Q$5))</f>
        <v/>
      </c>
    </row>
    <row r="1492" spans="15:15" x14ac:dyDescent="0.25">
      <c r="O1492" s="20" t="str">
        <f>IF(N1492="","",COUNTIFS(RawData[[Date ]],N1492,RawData[Month List],$Q$6,RawData[Tour/Site],$Q$2,RawData[[Picker ID ]],$Q$3,RawData[Checker ID],$Q$4,RawData[[Error Type ]],$Q$5))</f>
        <v/>
      </c>
    </row>
    <row r="1493" spans="15:15" x14ac:dyDescent="0.25">
      <c r="O1493" s="20" t="str">
        <f>IF(N1493="","",COUNTIFS(RawData[[Date ]],N1493,RawData[Month List],$Q$6,RawData[Tour/Site],$Q$2,RawData[[Picker ID ]],$Q$3,RawData[Checker ID],$Q$4,RawData[[Error Type ]],$Q$5))</f>
        <v/>
      </c>
    </row>
    <row r="1494" spans="15:15" x14ac:dyDescent="0.25">
      <c r="O1494" s="20" t="str">
        <f>IF(N1494="","",COUNTIFS(RawData[[Date ]],N1494,RawData[Month List],$Q$6,RawData[Tour/Site],$Q$2,RawData[[Picker ID ]],$Q$3,RawData[Checker ID],$Q$4,RawData[[Error Type ]],$Q$5))</f>
        <v/>
      </c>
    </row>
    <row r="1495" spans="15:15" x14ac:dyDescent="0.25">
      <c r="O1495" s="20" t="str">
        <f>IF(N1495="","",COUNTIFS(RawData[[Date ]],N1495,RawData[Month List],$Q$6,RawData[Tour/Site],$Q$2,RawData[[Picker ID ]],$Q$3,RawData[Checker ID],$Q$4,RawData[[Error Type ]],$Q$5))</f>
        <v/>
      </c>
    </row>
    <row r="1496" spans="15:15" x14ac:dyDescent="0.25">
      <c r="O1496" s="20" t="str">
        <f>IF(N1496="","",COUNTIFS(RawData[[Date ]],N1496,RawData[Month List],$Q$6,RawData[Tour/Site],$Q$2,RawData[[Picker ID ]],$Q$3,RawData[Checker ID],$Q$4,RawData[[Error Type ]],$Q$5))</f>
        <v/>
      </c>
    </row>
    <row r="1497" spans="15:15" x14ac:dyDescent="0.25">
      <c r="O1497" s="20" t="str">
        <f>IF(N1497="","",COUNTIFS(RawData[[Date ]],N1497,RawData[Month List],$Q$6,RawData[Tour/Site],$Q$2,RawData[[Picker ID ]],$Q$3,RawData[Checker ID],$Q$4,RawData[[Error Type ]],$Q$5))</f>
        <v/>
      </c>
    </row>
    <row r="1498" spans="15:15" x14ac:dyDescent="0.25">
      <c r="O1498" s="20" t="str">
        <f>IF(N1498="","",COUNTIFS(RawData[[Date ]],N1498,RawData[Month List],$Q$6,RawData[Tour/Site],$Q$2,RawData[[Picker ID ]],$Q$3,RawData[Checker ID],$Q$4,RawData[[Error Type ]],$Q$5))</f>
        <v/>
      </c>
    </row>
    <row r="1499" spans="15:15" x14ac:dyDescent="0.25">
      <c r="O1499" s="20" t="str">
        <f>IF(N1499="","",COUNTIFS(RawData[[Date ]],N1499,RawData[Month List],$Q$6,RawData[Tour/Site],$Q$2,RawData[[Picker ID ]],$Q$3,RawData[Checker ID],$Q$4,RawData[[Error Type ]],$Q$5))</f>
        <v/>
      </c>
    </row>
    <row r="1500" spans="15:15" x14ac:dyDescent="0.25">
      <c r="O1500" s="20" t="str">
        <f>IF(N1500="","",COUNTIFS(RawData[[Date ]],N1500,RawData[Month List],$Q$6,RawData[Tour/Site],$Q$2,RawData[[Picker ID ]],$Q$3,RawData[Checker ID],$Q$4,RawData[[Error Type ]],$Q$5))</f>
        <v/>
      </c>
    </row>
    <row r="1501" spans="15:15" x14ac:dyDescent="0.25">
      <c r="O1501" s="20" t="str">
        <f>IF(N1501="","",COUNTIFS(RawData[[Date ]],N1501,RawData[Month List],$Q$6,RawData[Tour/Site],$Q$2,RawData[[Picker ID ]],$Q$3,RawData[Checker ID],$Q$4,RawData[[Error Type ]],$Q$5))</f>
        <v/>
      </c>
    </row>
    <row r="1502" spans="15:15" x14ac:dyDescent="0.25">
      <c r="O1502" s="20" t="str">
        <f>IF(N1502="","",COUNTIFS(RawData[[Date ]],N1502,RawData[Month List],$Q$6,RawData[Tour/Site],$Q$2,RawData[[Picker ID ]],$Q$3,RawData[Checker ID],$Q$4,RawData[[Error Type ]],$Q$5))</f>
        <v/>
      </c>
    </row>
    <row r="1503" spans="15:15" x14ac:dyDescent="0.25">
      <c r="O1503" s="20" t="str">
        <f>IF(N1503="","",COUNTIFS(RawData[[Date ]],N1503,RawData[Month List],$Q$6,RawData[Tour/Site],$Q$2,RawData[[Picker ID ]],$Q$3,RawData[Checker ID],$Q$4,RawData[[Error Type ]],$Q$5))</f>
        <v/>
      </c>
    </row>
    <row r="1504" spans="15:15" x14ac:dyDescent="0.25">
      <c r="O1504" s="20" t="str">
        <f>IF(N1504="","",COUNTIFS(RawData[[Date ]],N1504,RawData[Month List],$Q$6,RawData[Tour/Site],$Q$2,RawData[[Picker ID ]],$Q$3,RawData[Checker ID],$Q$4,RawData[[Error Type ]],$Q$5))</f>
        <v/>
      </c>
    </row>
    <row r="1505" spans="15:15" x14ac:dyDescent="0.25">
      <c r="O1505" s="20" t="str">
        <f>IF(N1505="","",COUNTIFS(RawData[[Date ]],N1505,RawData[Month List],$Q$6,RawData[Tour/Site],$Q$2,RawData[[Picker ID ]],$Q$3,RawData[Checker ID],$Q$4,RawData[[Error Type ]],$Q$5))</f>
        <v/>
      </c>
    </row>
    <row r="1506" spans="15:15" x14ac:dyDescent="0.25">
      <c r="O1506" s="20" t="str">
        <f>IF(N1506="","",COUNTIFS(RawData[[Date ]],N1506,RawData[Month List],$Q$6,RawData[Tour/Site],$Q$2,RawData[[Picker ID ]],$Q$3,RawData[Checker ID],$Q$4,RawData[[Error Type ]],$Q$5))</f>
        <v/>
      </c>
    </row>
    <row r="1507" spans="15:15" x14ac:dyDescent="0.25">
      <c r="O1507" s="20" t="str">
        <f>IF(N1507="","",COUNTIFS(RawData[[Date ]],N1507,RawData[Month List],$Q$6,RawData[Tour/Site],$Q$2,RawData[[Picker ID ]],$Q$3,RawData[Checker ID],$Q$4,RawData[[Error Type ]],$Q$5))</f>
        <v/>
      </c>
    </row>
    <row r="1508" spans="15:15" x14ac:dyDescent="0.25">
      <c r="O1508" s="20" t="str">
        <f>IF(N1508="","",COUNTIFS(RawData[[Date ]],N1508,RawData[Month List],$Q$6,RawData[Tour/Site],$Q$2,RawData[[Picker ID ]],$Q$3,RawData[Checker ID],$Q$4,RawData[[Error Type ]],$Q$5))</f>
        <v/>
      </c>
    </row>
    <row r="1509" spans="15:15" x14ac:dyDescent="0.25">
      <c r="O1509" s="20" t="str">
        <f>IF(N1509="","",COUNTIFS(RawData[[Date ]],N1509,RawData[Month List],$Q$6,RawData[Tour/Site],$Q$2,RawData[[Picker ID ]],$Q$3,RawData[Checker ID],$Q$4,RawData[[Error Type ]],$Q$5))</f>
        <v/>
      </c>
    </row>
    <row r="1510" spans="15:15" x14ac:dyDescent="0.25">
      <c r="O1510" s="20" t="str">
        <f>IF(N1510="","",COUNTIFS(RawData[[Date ]],N1510,RawData[Month List],$Q$6,RawData[Tour/Site],$Q$2,RawData[[Picker ID ]],$Q$3,RawData[Checker ID],$Q$4,RawData[[Error Type ]],$Q$5))</f>
        <v/>
      </c>
    </row>
    <row r="1511" spans="15:15" x14ac:dyDescent="0.25">
      <c r="O1511" s="20" t="str">
        <f>IF(N1511="","",COUNTIFS(RawData[[Date ]],N1511,RawData[Month List],$Q$6,RawData[Tour/Site],$Q$2,RawData[[Picker ID ]],$Q$3,RawData[Checker ID],$Q$4,RawData[[Error Type ]],$Q$5))</f>
        <v/>
      </c>
    </row>
    <row r="1512" spans="15:15" x14ac:dyDescent="0.25">
      <c r="O1512" s="20" t="str">
        <f>IF(N1512="","",COUNTIFS(RawData[[Date ]],N1512,RawData[Month List],$Q$6,RawData[Tour/Site],$Q$2,RawData[[Picker ID ]],$Q$3,RawData[Checker ID],$Q$4,RawData[[Error Type ]],$Q$5))</f>
        <v/>
      </c>
    </row>
    <row r="1513" spans="15:15" x14ac:dyDescent="0.25">
      <c r="O1513" s="20" t="str">
        <f>IF(N1513="","",COUNTIFS(RawData[[Date ]],N1513,RawData[Month List],$Q$6,RawData[Tour/Site],$Q$2,RawData[[Picker ID ]],$Q$3,RawData[Checker ID],$Q$4,RawData[[Error Type ]],$Q$5))</f>
        <v/>
      </c>
    </row>
    <row r="1514" spans="15:15" x14ac:dyDescent="0.25">
      <c r="O1514" s="20" t="str">
        <f>IF(N1514="","",COUNTIFS(RawData[[Date ]],N1514,RawData[Month List],$Q$6,RawData[Tour/Site],$Q$2,RawData[[Picker ID ]],$Q$3,RawData[Checker ID],$Q$4,RawData[[Error Type ]],$Q$5))</f>
        <v/>
      </c>
    </row>
    <row r="1515" spans="15:15" x14ac:dyDescent="0.25">
      <c r="O1515" s="20" t="str">
        <f>IF(N1515="","",COUNTIFS(RawData[[Date ]],N1515,RawData[Month List],$Q$6,RawData[Tour/Site],$Q$2,RawData[[Picker ID ]],$Q$3,RawData[Checker ID],$Q$4,RawData[[Error Type ]],$Q$5))</f>
        <v/>
      </c>
    </row>
    <row r="1516" spans="15:15" x14ac:dyDescent="0.25">
      <c r="O1516" s="20" t="str">
        <f>IF(N1516="","",COUNTIFS(RawData[[Date ]],N1516,RawData[Month List],$Q$6,RawData[Tour/Site],$Q$2,RawData[[Picker ID ]],$Q$3,RawData[Checker ID],$Q$4,RawData[[Error Type ]],$Q$5))</f>
        <v/>
      </c>
    </row>
    <row r="1517" spans="15:15" x14ac:dyDescent="0.25">
      <c r="O1517" s="20" t="str">
        <f>IF(N1517="","",COUNTIFS(RawData[[Date ]],N1517,RawData[Month List],$Q$6,RawData[Tour/Site],$Q$2,RawData[[Picker ID ]],$Q$3,RawData[Checker ID],$Q$4,RawData[[Error Type ]],$Q$5))</f>
        <v/>
      </c>
    </row>
    <row r="1518" spans="15:15" x14ac:dyDescent="0.25">
      <c r="O1518" s="20" t="str">
        <f>IF(N1518="","",COUNTIFS(RawData[[Date ]],N1518,RawData[Month List],$Q$6,RawData[Tour/Site],$Q$2,RawData[[Picker ID ]],$Q$3,RawData[Checker ID],$Q$4,RawData[[Error Type ]],$Q$5))</f>
        <v/>
      </c>
    </row>
    <row r="1519" spans="15:15" x14ac:dyDescent="0.25">
      <c r="O1519" s="20" t="str">
        <f>IF(N1519="","",COUNTIFS(RawData[[Date ]],N1519,RawData[Month List],$Q$6,RawData[Tour/Site],$Q$2,RawData[[Picker ID ]],$Q$3,RawData[Checker ID],$Q$4,RawData[[Error Type ]],$Q$5))</f>
        <v/>
      </c>
    </row>
    <row r="1520" spans="15:15" x14ac:dyDescent="0.25">
      <c r="O1520" s="20" t="str">
        <f>IF(N1520="","",COUNTIFS(RawData[[Date ]],N1520,RawData[Month List],$Q$6,RawData[Tour/Site],$Q$2,RawData[[Picker ID ]],$Q$3,RawData[Checker ID],$Q$4,RawData[[Error Type ]],$Q$5))</f>
        <v/>
      </c>
    </row>
    <row r="1521" spans="15:15" x14ac:dyDescent="0.25">
      <c r="O1521" s="20" t="str">
        <f>IF(N1521="","",COUNTIFS(RawData[[Date ]],N1521,RawData[Month List],$Q$6,RawData[Tour/Site],$Q$2,RawData[[Picker ID ]],$Q$3,RawData[Checker ID],$Q$4,RawData[[Error Type ]],$Q$5))</f>
        <v/>
      </c>
    </row>
    <row r="1522" spans="15:15" x14ac:dyDescent="0.25">
      <c r="O1522" s="20" t="str">
        <f>IF(N1522="","",COUNTIFS(RawData[[Date ]],N1522,RawData[Month List],$Q$6,RawData[Tour/Site],$Q$2,RawData[[Picker ID ]],$Q$3,RawData[Checker ID],$Q$4,RawData[[Error Type ]],$Q$5))</f>
        <v/>
      </c>
    </row>
    <row r="1523" spans="15:15" x14ac:dyDescent="0.25">
      <c r="O1523" s="20" t="str">
        <f>IF(N1523="","",COUNTIFS(RawData[[Date ]],N1523,RawData[Month List],$Q$6,RawData[Tour/Site],$Q$2,RawData[[Picker ID ]],$Q$3,RawData[Checker ID],$Q$4,RawData[[Error Type ]],$Q$5))</f>
        <v/>
      </c>
    </row>
    <row r="1524" spans="15:15" x14ac:dyDescent="0.25">
      <c r="O1524" s="20" t="str">
        <f>IF(N1524="","",COUNTIFS(RawData[[Date ]],N1524,RawData[Month List],$Q$6,RawData[Tour/Site],$Q$2,RawData[[Picker ID ]],$Q$3,RawData[Checker ID],$Q$4,RawData[[Error Type ]],$Q$5))</f>
        <v/>
      </c>
    </row>
    <row r="1525" spans="15:15" x14ac:dyDescent="0.25">
      <c r="O1525" s="20" t="str">
        <f>IF(N1525="","",COUNTIFS(RawData[[Date ]],N1525,RawData[Month List],$Q$6,RawData[Tour/Site],$Q$2,RawData[[Picker ID ]],$Q$3,RawData[Checker ID],$Q$4,RawData[[Error Type ]],$Q$5))</f>
        <v/>
      </c>
    </row>
    <row r="1526" spans="15:15" x14ac:dyDescent="0.25">
      <c r="O1526" s="20" t="str">
        <f>IF(N1526="","",COUNTIFS(RawData[[Date ]],N1526,RawData[Month List],$Q$6,RawData[Tour/Site],$Q$2,RawData[[Picker ID ]],$Q$3,RawData[Checker ID],$Q$4,RawData[[Error Type ]],$Q$5))</f>
        <v/>
      </c>
    </row>
    <row r="1527" spans="15:15" x14ac:dyDescent="0.25">
      <c r="O1527" s="20" t="str">
        <f>IF(N1527="","",COUNTIFS(RawData[[Date ]],N1527,RawData[Month List],$Q$6,RawData[Tour/Site],$Q$2,RawData[[Picker ID ]],$Q$3,RawData[Checker ID],$Q$4,RawData[[Error Type ]],$Q$5))</f>
        <v/>
      </c>
    </row>
    <row r="1528" spans="15:15" x14ac:dyDescent="0.25">
      <c r="O1528" s="20" t="str">
        <f>IF(N1528="","",COUNTIFS(RawData[[Date ]],N1528,RawData[Month List],$Q$6,RawData[Tour/Site],$Q$2,RawData[[Picker ID ]],$Q$3,RawData[Checker ID],$Q$4,RawData[[Error Type ]],$Q$5))</f>
        <v/>
      </c>
    </row>
    <row r="1529" spans="15:15" x14ac:dyDescent="0.25">
      <c r="O1529" s="20" t="str">
        <f>IF(N1529="","",COUNTIFS(RawData[[Date ]],N1529,RawData[Month List],$Q$6,RawData[Tour/Site],$Q$2,RawData[[Picker ID ]],$Q$3,RawData[Checker ID],$Q$4,RawData[[Error Type ]],$Q$5))</f>
        <v/>
      </c>
    </row>
    <row r="1530" spans="15:15" x14ac:dyDescent="0.25">
      <c r="O1530" s="20" t="str">
        <f>IF(N1530="","",COUNTIFS(RawData[[Date ]],N1530,RawData[Month List],$Q$6,RawData[Tour/Site],$Q$2,RawData[[Picker ID ]],$Q$3,RawData[Checker ID],$Q$4,RawData[[Error Type ]],$Q$5))</f>
        <v/>
      </c>
    </row>
    <row r="1531" spans="15:15" x14ac:dyDescent="0.25">
      <c r="O1531" s="20" t="str">
        <f>IF(N1531="","",COUNTIFS(RawData[[Date ]],N1531,RawData[Month List],$Q$6,RawData[Tour/Site],$Q$2,RawData[[Picker ID ]],$Q$3,RawData[Checker ID],$Q$4,RawData[[Error Type ]],$Q$5))</f>
        <v/>
      </c>
    </row>
    <row r="1532" spans="15:15" x14ac:dyDescent="0.25">
      <c r="O1532" s="20" t="str">
        <f>IF(N1532="","",COUNTIFS(RawData[[Date ]],N1532,RawData[Month List],$Q$6,RawData[Tour/Site],$Q$2,RawData[[Picker ID ]],$Q$3,RawData[Checker ID],$Q$4,RawData[[Error Type ]],$Q$5))</f>
        <v/>
      </c>
    </row>
    <row r="1533" spans="15:15" x14ac:dyDescent="0.25">
      <c r="O1533" s="20" t="str">
        <f>IF(N1533="","",COUNTIFS(RawData[[Date ]],N1533,RawData[Month List],$Q$6,RawData[Tour/Site],$Q$2,RawData[[Picker ID ]],$Q$3,RawData[Checker ID],$Q$4,RawData[[Error Type ]],$Q$5))</f>
        <v/>
      </c>
    </row>
    <row r="1534" spans="15:15" x14ac:dyDescent="0.25">
      <c r="O1534" s="20" t="str">
        <f>IF(N1534="","",COUNTIFS(RawData[[Date ]],N1534,RawData[Month List],$Q$6,RawData[Tour/Site],$Q$2,RawData[[Picker ID ]],$Q$3,RawData[Checker ID],$Q$4,RawData[[Error Type ]],$Q$5))</f>
        <v/>
      </c>
    </row>
    <row r="1535" spans="15:15" x14ac:dyDescent="0.25">
      <c r="O1535" s="20" t="str">
        <f>IF(N1535="","",COUNTIFS(RawData[[Date ]],N1535,RawData[Month List],$Q$6,RawData[Tour/Site],$Q$2,RawData[[Picker ID ]],$Q$3,RawData[Checker ID],$Q$4,RawData[[Error Type ]],$Q$5))</f>
        <v/>
      </c>
    </row>
    <row r="1536" spans="15:15" x14ac:dyDescent="0.25">
      <c r="O1536" s="20" t="str">
        <f>IF(N1536="","",COUNTIFS(RawData[[Date ]],N1536,RawData[Month List],$Q$6,RawData[Tour/Site],$Q$2,RawData[[Picker ID ]],$Q$3,RawData[Checker ID],$Q$4,RawData[[Error Type ]],$Q$5))</f>
        <v/>
      </c>
    </row>
    <row r="1537" spans="15:15" x14ac:dyDescent="0.25">
      <c r="O1537" s="20" t="str">
        <f>IF(N1537="","",COUNTIFS(RawData[[Date ]],N1537,RawData[Month List],$Q$6,RawData[Tour/Site],$Q$2,RawData[[Picker ID ]],$Q$3,RawData[Checker ID],$Q$4,RawData[[Error Type ]],$Q$5))</f>
        <v/>
      </c>
    </row>
    <row r="1538" spans="15:15" x14ac:dyDescent="0.25">
      <c r="O1538" s="20" t="str">
        <f>IF(N1538="","",COUNTIFS(RawData[[Date ]],N1538,RawData[Month List],$Q$6,RawData[Tour/Site],$Q$2,RawData[[Picker ID ]],$Q$3,RawData[Checker ID],$Q$4,RawData[[Error Type ]],$Q$5))</f>
        <v/>
      </c>
    </row>
    <row r="1539" spans="15:15" x14ac:dyDescent="0.25">
      <c r="O1539" s="20" t="str">
        <f>IF(N1539="","",COUNTIFS(RawData[[Date ]],N1539,RawData[Month List],$Q$6,RawData[Tour/Site],$Q$2,RawData[[Picker ID ]],$Q$3,RawData[Checker ID],$Q$4,RawData[[Error Type ]],$Q$5))</f>
        <v/>
      </c>
    </row>
    <row r="1540" spans="15:15" x14ac:dyDescent="0.25">
      <c r="O1540" s="20" t="str">
        <f>IF(N1540="","",COUNTIFS(RawData[[Date ]],N1540,RawData[Month List],$Q$6,RawData[Tour/Site],$Q$2,RawData[[Picker ID ]],$Q$3,RawData[Checker ID],$Q$4,RawData[[Error Type ]],$Q$5))</f>
        <v/>
      </c>
    </row>
    <row r="1541" spans="15:15" x14ac:dyDescent="0.25">
      <c r="O1541" s="20" t="str">
        <f>IF(N1541="","",COUNTIFS(RawData[[Date ]],N1541,RawData[Month List],$Q$6,RawData[Tour/Site],$Q$2,RawData[[Picker ID ]],$Q$3,RawData[Checker ID],$Q$4,RawData[[Error Type ]],$Q$5))</f>
        <v/>
      </c>
    </row>
    <row r="1542" spans="15:15" x14ac:dyDescent="0.25">
      <c r="O1542" s="20" t="str">
        <f>IF(N1542="","",COUNTIFS(RawData[[Date ]],N1542,RawData[Month List],$Q$6,RawData[Tour/Site],$Q$2,RawData[[Picker ID ]],$Q$3,RawData[Checker ID],$Q$4,RawData[[Error Type ]],$Q$5))</f>
        <v/>
      </c>
    </row>
    <row r="1543" spans="15:15" x14ac:dyDescent="0.25">
      <c r="O1543" s="20" t="str">
        <f>IF(N1543="","",COUNTIFS(RawData[[Date ]],N1543,RawData[Month List],$Q$6,RawData[Tour/Site],$Q$2,RawData[[Picker ID ]],$Q$3,RawData[Checker ID],$Q$4,RawData[[Error Type ]],$Q$5))</f>
        <v/>
      </c>
    </row>
    <row r="1544" spans="15:15" x14ac:dyDescent="0.25">
      <c r="O1544" s="20" t="str">
        <f>IF(N1544="","",COUNTIFS(RawData[[Date ]],N1544,RawData[Month List],$Q$6,RawData[Tour/Site],$Q$2,RawData[[Picker ID ]],$Q$3,RawData[Checker ID],$Q$4,RawData[[Error Type ]],$Q$5))</f>
        <v/>
      </c>
    </row>
    <row r="1545" spans="15:15" x14ac:dyDescent="0.25">
      <c r="O1545" s="20" t="str">
        <f>IF(N1545="","",COUNTIFS(RawData[[Date ]],N1545,RawData[Month List],$Q$6,RawData[Tour/Site],$Q$2,RawData[[Picker ID ]],$Q$3,RawData[Checker ID],$Q$4,RawData[[Error Type ]],$Q$5))</f>
        <v/>
      </c>
    </row>
    <row r="1546" spans="15:15" x14ac:dyDescent="0.25">
      <c r="O1546" s="20" t="str">
        <f>IF(N1546="","",COUNTIFS(RawData[[Date ]],N1546,RawData[Month List],$Q$6,RawData[Tour/Site],$Q$2,RawData[[Picker ID ]],$Q$3,RawData[Checker ID],$Q$4,RawData[[Error Type ]],$Q$5))</f>
        <v/>
      </c>
    </row>
    <row r="1547" spans="15:15" x14ac:dyDescent="0.25">
      <c r="O1547" s="20" t="str">
        <f>IF(N1547="","",COUNTIFS(RawData[[Date ]],N1547,RawData[Month List],$Q$6,RawData[Tour/Site],$Q$2,RawData[[Picker ID ]],$Q$3,RawData[Checker ID],$Q$4,RawData[[Error Type ]],$Q$5))</f>
        <v/>
      </c>
    </row>
    <row r="1548" spans="15:15" x14ac:dyDescent="0.25">
      <c r="O1548" s="20" t="str">
        <f>IF(N1548="","",COUNTIFS(RawData[[Date ]],N1548,RawData[Month List],$Q$6,RawData[Tour/Site],$Q$2,RawData[[Picker ID ]],$Q$3,RawData[Checker ID],$Q$4,RawData[[Error Type ]],$Q$5))</f>
        <v/>
      </c>
    </row>
    <row r="1549" spans="15:15" x14ac:dyDescent="0.25">
      <c r="O1549" s="20" t="str">
        <f>IF(N1549="","",COUNTIFS(RawData[[Date ]],N1549,RawData[Month List],$Q$6,RawData[Tour/Site],$Q$2,RawData[[Picker ID ]],$Q$3,RawData[Checker ID],$Q$4,RawData[[Error Type ]],$Q$5))</f>
        <v/>
      </c>
    </row>
    <row r="1550" spans="15:15" x14ac:dyDescent="0.25">
      <c r="O1550" s="20" t="str">
        <f>IF(N1550="","",COUNTIFS(RawData[[Date ]],N1550,RawData[Month List],$Q$6,RawData[Tour/Site],$Q$2,RawData[[Picker ID ]],$Q$3,RawData[Checker ID],$Q$4,RawData[[Error Type ]],$Q$5))</f>
        <v/>
      </c>
    </row>
    <row r="1551" spans="15:15" x14ac:dyDescent="0.25">
      <c r="O1551" s="20" t="str">
        <f>IF(N1551="","",COUNTIFS(RawData[[Date ]],N1551,RawData[Month List],$Q$6,RawData[Tour/Site],$Q$2,RawData[[Picker ID ]],$Q$3,RawData[Checker ID],$Q$4,RawData[[Error Type ]],$Q$5))</f>
        <v/>
      </c>
    </row>
    <row r="1552" spans="15:15" x14ac:dyDescent="0.25">
      <c r="O1552" s="20" t="str">
        <f>IF(N1552="","",COUNTIFS(RawData[[Date ]],N1552,RawData[Month List],$Q$6,RawData[Tour/Site],$Q$2,RawData[[Picker ID ]],$Q$3,RawData[Checker ID],$Q$4,RawData[[Error Type ]],$Q$5))</f>
        <v/>
      </c>
    </row>
    <row r="1553" spans="15:15" x14ac:dyDescent="0.25">
      <c r="O1553" s="20" t="str">
        <f>IF(N1553="","",COUNTIFS(RawData[[Date ]],N1553,RawData[Month List],$Q$6,RawData[Tour/Site],$Q$2,RawData[[Picker ID ]],$Q$3,RawData[Checker ID],$Q$4,RawData[[Error Type ]],$Q$5))</f>
        <v/>
      </c>
    </row>
    <row r="1554" spans="15:15" x14ac:dyDescent="0.25">
      <c r="O1554" s="20" t="str">
        <f>IF(N1554="","",COUNTIFS(RawData[[Date ]],N1554,RawData[Month List],$Q$6,RawData[Tour/Site],$Q$2,RawData[[Picker ID ]],$Q$3,RawData[Checker ID],$Q$4,RawData[[Error Type ]],$Q$5))</f>
        <v/>
      </c>
    </row>
    <row r="1555" spans="15:15" x14ac:dyDescent="0.25">
      <c r="O1555" s="20" t="str">
        <f>IF(N1555="","",COUNTIFS(RawData[[Date ]],N1555,RawData[Month List],$Q$6,RawData[Tour/Site],$Q$2,RawData[[Picker ID ]],$Q$3,RawData[Checker ID],$Q$4,RawData[[Error Type ]],$Q$5))</f>
        <v/>
      </c>
    </row>
    <row r="1556" spans="15:15" x14ac:dyDescent="0.25">
      <c r="O1556" s="20" t="str">
        <f>IF(N1556="","",COUNTIFS(RawData[[Date ]],N1556,RawData[Month List],$Q$6,RawData[Tour/Site],$Q$2,RawData[[Picker ID ]],$Q$3,RawData[Checker ID],$Q$4,RawData[[Error Type ]],$Q$5))</f>
        <v/>
      </c>
    </row>
    <row r="1557" spans="15:15" x14ac:dyDescent="0.25">
      <c r="O1557" s="20" t="str">
        <f>IF(N1557="","",COUNTIFS(RawData[[Date ]],N1557,RawData[Month List],$Q$6,RawData[Tour/Site],$Q$2,RawData[[Picker ID ]],$Q$3,RawData[Checker ID],$Q$4,RawData[[Error Type ]],$Q$5))</f>
        <v/>
      </c>
    </row>
    <row r="1558" spans="15:15" x14ac:dyDescent="0.25">
      <c r="O1558" s="20" t="str">
        <f>IF(N1558="","",COUNTIFS(RawData[[Date ]],N1558,RawData[Month List],$Q$6,RawData[Tour/Site],$Q$2,RawData[[Picker ID ]],$Q$3,RawData[Checker ID],$Q$4,RawData[[Error Type ]],$Q$5))</f>
        <v/>
      </c>
    </row>
    <row r="1559" spans="15:15" x14ac:dyDescent="0.25">
      <c r="O1559" s="20" t="str">
        <f>IF(N1559="","",COUNTIFS(RawData[[Date ]],N1559,RawData[Month List],$Q$6,RawData[Tour/Site],$Q$2,RawData[[Picker ID ]],$Q$3,RawData[Checker ID],$Q$4,RawData[[Error Type ]],$Q$5))</f>
        <v/>
      </c>
    </row>
    <row r="1560" spans="15:15" x14ac:dyDescent="0.25">
      <c r="O1560" s="20" t="str">
        <f>IF(N1560="","",COUNTIFS(RawData[[Date ]],N1560,RawData[Month List],$Q$6,RawData[Tour/Site],$Q$2,RawData[[Picker ID ]],$Q$3,RawData[Checker ID],$Q$4,RawData[[Error Type ]],$Q$5))</f>
        <v/>
      </c>
    </row>
    <row r="1561" spans="15:15" x14ac:dyDescent="0.25">
      <c r="O1561" s="20" t="str">
        <f>IF(N1561="","",COUNTIFS(RawData[[Date ]],N1561,RawData[Month List],$Q$6,RawData[Tour/Site],$Q$2,RawData[[Picker ID ]],$Q$3,RawData[Checker ID],$Q$4,RawData[[Error Type ]],$Q$5))</f>
        <v/>
      </c>
    </row>
    <row r="1562" spans="15:15" x14ac:dyDescent="0.25">
      <c r="O1562" s="20" t="str">
        <f>IF(N1562="","",COUNTIFS(RawData[[Date ]],N1562,RawData[Month List],$Q$6,RawData[Tour/Site],$Q$2,RawData[[Picker ID ]],$Q$3,RawData[Checker ID],$Q$4,RawData[[Error Type ]],$Q$5))</f>
        <v/>
      </c>
    </row>
    <row r="1563" spans="15:15" x14ac:dyDescent="0.25">
      <c r="O1563" s="20" t="str">
        <f>IF(N1563="","",COUNTIFS(RawData[[Date ]],N1563,RawData[Month List],$Q$6,RawData[Tour/Site],$Q$2,RawData[[Picker ID ]],$Q$3,RawData[Checker ID],$Q$4,RawData[[Error Type ]],$Q$5))</f>
        <v/>
      </c>
    </row>
    <row r="1564" spans="15:15" x14ac:dyDescent="0.25">
      <c r="O1564" s="20" t="str">
        <f>IF(N1564="","",COUNTIFS(RawData[[Date ]],N1564,RawData[Month List],$Q$6,RawData[Tour/Site],$Q$2,RawData[[Picker ID ]],$Q$3,RawData[Checker ID],$Q$4,RawData[[Error Type ]],$Q$5))</f>
        <v/>
      </c>
    </row>
    <row r="1565" spans="15:15" x14ac:dyDescent="0.25">
      <c r="O1565" s="20" t="str">
        <f>IF(N1565="","",COUNTIFS(RawData[[Date ]],N1565,RawData[Month List],$Q$6,RawData[Tour/Site],$Q$2,RawData[[Picker ID ]],$Q$3,RawData[Checker ID],$Q$4,RawData[[Error Type ]],$Q$5))</f>
        <v/>
      </c>
    </row>
    <row r="1566" spans="15:15" x14ac:dyDescent="0.25">
      <c r="O1566" s="20" t="str">
        <f>IF(N1566="","",COUNTIFS(RawData[[Date ]],N1566,RawData[Month List],$Q$6,RawData[Tour/Site],$Q$2,RawData[[Picker ID ]],$Q$3,RawData[Checker ID],$Q$4,RawData[[Error Type ]],$Q$5))</f>
        <v/>
      </c>
    </row>
    <row r="1567" spans="15:15" x14ac:dyDescent="0.25">
      <c r="O1567" s="20" t="str">
        <f>IF(N1567="","",COUNTIFS(RawData[[Date ]],N1567,RawData[Month List],$Q$6,RawData[Tour/Site],$Q$2,RawData[[Picker ID ]],$Q$3,RawData[Checker ID],$Q$4,RawData[[Error Type ]],$Q$5))</f>
        <v/>
      </c>
    </row>
    <row r="1568" spans="15:15" x14ac:dyDescent="0.25">
      <c r="O1568" s="20" t="str">
        <f>IF(N1568="","",COUNTIFS(RawData[[Date ]],N1568,RawData[Month List],$Q$6,RawData[Tour/Site],$Q$2,RawData[[Picker ID ]],$Q$3,RawData[Checker ID],$Q$4,RawData[[Error Type ]],$Q$5))</f>
        <v/>
      </c>
    </row>
    <row r="1569" spans="15:15" x14ac:dyDescent="0.25">
      <c r="O1569" s="20" t="str">
        <f>IF(N1569="","",COUNTIFS(RawData[[Date ]],N1569,RawData[Month List],$Q$6,RawData[Tour/Site],$Q$2,RawData[[Picker ID ]],$Q$3,RawData[Checker ID],$Q$4,RawData[[Error Type ]],$Q$5))</f>
        <v/>
      </c>
    </row>
    <row r="1570" spans="15:15" x14ac:dyDescent="0.25">
      <c r="O1570" s="20" t="str">
        <f>IF(N1570="","",COUNTIFS(RawData[[Date ]],N1570,RawData[Month List],$Q$6,RawData[Tour/Site],$Q$2,RawData[[Picker ID ]],$Q$3,RawData[Checker ID],$Q$4,RawData[[Error Type ]],$Q$5))</f>
        <v/>
      </c>
    </row>
    <row r="1571" spans="15:15" x14ac:dyDescent="0.25">
      <c r="O1571" s="20" t="str">
        <f>IF(N1571="","",COUNTIFS(RawData[[Date ]],N1571,RawData[Month List],$Q$6,RawData[Tour/Site],$Q$2,RawData[[Picker ID ]],$Q$3,RawData[Checker ID],$Q$4,RawData[[Error Type ]],$Q$5))</f>
        <v/>
      </c>
    </row>
    <row r="1572" spans="15:15" x14ac:dyDescent="0.25">
      <c r="O1572" s="20" t="str">
        <f>IF(N1572="","",COUNTIFS(RawData[[Date ]],N1572,RawData[Month List],$Q$6,RawData[Tour/Site],$Q$2,RawData[[Picker ID ]],$Q$3,RawData[Checker ID],$Q$4,RawData[[Error Type ]],$Q$5))</f>
        <v/>
      </c>
    </row>
    <row r="1573" spans="15:15" x14ac:dyDescent="0.25">
      <c r="O1573" s="20" t="str">
        <f>IF(N1573="","",COUNTIFS(RawData[[Date ]],N1573,RawData[Month List],$Q$6,RawData[Tour/Site],$Q$2,RawData[[Picker ID ]],$Q$3,RawData[Checker ID],$Q$4,RawData[[Error Type ]],$Q$5))</f>
        <v/>
      </c>
    </row>
    <row r="1574" spans="15:15" x14ac:dyDescent="0.25">
      <c r="O1574" s="20" t="str">
        <f>IF(N1574="","",COUNTIFS(RawData[[Date ]],N1574,RawData[Month List],$Q$6,RawData[Tour/Site],$Q$2,RawData[[Picker ID ]],$Q$3,RawData[Checker ID],$Q$4,RawData[[Error Type ]],$Q$5))</f>
        <v/>
      </c>
    </row>
    <row r="1575" spans="15:15" x14ac:dyDescent="0.25">
      <c r="O1575" s="20" t="str">
        <f>IF(N1575="","",COUNTIFS(RawData[[Date ]],N1575,RawData[Month List],$Q$6,RawData[Tour/Site],$Q$2,RawData[[Picker ID ]],$Q$3,RawData[Checker ID],$Q$4,RawData[[Error Type ]],$Q$5))</f>
        <v/>
      </c>
    </row>
    <row r="1576" spans="15:15" x14ac:dyDescent="0.25">
      <c r="O1576" s="20" t="str">
        <f>IF(N1576="","",COUNTIFS(RawData[[Date ]],N1576,RawData[Month List],$Q$6,RawData[Tour/Site],$Q$2,RawData[[Picker ID ]],$Q$3,RawData[Checker ID],$Q$4,RawData[[Error Type ]],$Q$5))</f>
        <v/>
      </c>
    </row>
    <row r="1577" spans="15:15" x14ac:dyDescent="0.25">
      <c r="O1577" s="20" t="str">
        <f>IF(N1577="","",COUNTIFS(RawData[[Date ]],N1577,RawData[Month List],$Q$6,RawData[Tour/Site],$Q$2,RawData[[Picker ID ]],$Q$3,RawData[Checker ID],$Q$4,RawData[[Error Type ]],$Q$5))</f>
        <v/>
      </c>
    </row>
    <row r="1578" spans="15:15" x14ac:dyDescent="0.25">
      <c r="O1578" s="20" t="str">
        <f>IF(N1578="","",COUNTIFS(RawData[[Date ]],N1578,RawData[Month List],$Q$6,RawData[Tour/Site],$Q$2,RawData[[Picker ID ]],$Q$3,RawData[Checker ID],$Q$4,RawData[[Error Type ]],$Q$5))</f>
        <v/>
      </c>
    </row>
    <row r="1579" spans="15:15" x14ac:dyDescent="0.25">
      <c r="O1579" s="20" t="str">
        <f>IF(N1579="","",COUNTIFS(RawData[[Date ]],N1579,RawData[Month List],$Q$6,RawData[Tour/Site],$Q$2,RawData[[Picker ID ]],$Q$3,RawData[Checker ID],$Q$4,RawData[[Error Type ]],$Q$5))</f>
        <v/>
      </c>
    </row>
    <row r="1580" spans="15:15" x14ac:dyDescent="0.25">
      <c r="O1580" s="20" t="str">
        <f>IF(N1580="","",COUNTIFS(RawData[[Date ]],N1580,RawData[Month List],$Q$6,RawData[Tour/Site],$Q$2,RawData[[Picker ID ]],$Q$3,RawData[Checker ID],$Q$4,RawData[[Error Type ]],$Q$5))</f>
        <v/>
      </c>
    </row>
    <row r="1581" spans="15:15" x14ac:dyDescent="0.25">
      <c r="O1581" s="20" t="str">
        <f>IF(N1581="","",COUNTIFS(RawData[[Date ]],N1581,RawData[Month List],$Q$6,RawData[Tour/Site],$Q$2,RawData[[Picker ID ]],$Q$3,RawData[Checker ID],$Q$4,RawData[[Error Type ]],$Q$5))</f>
        <v/>
      </c>
    </row>
    <row r="1582" spans="15:15" x14ac:dyDescent="0.25">
      <c r="O1582" s="20" t="str">
        <f>IF(N1582="","",COUNTIFS(RawData[[Date ]],N1582,RawData[Month List],$Q$6,RawData[Tour/Site],$Q$2,RawData[[Picker ID ]],$Q$3,RawData[Checker ID],$Q$4,RawData[[Error Type ]],$Q$5))</f>
        <v/>
      </c>
    </row>
    <row r="1583" spans="15:15" x14ac:dyDescent="0.25">
      <c r="O1583" s="20" t="str">
        <f>IF(N1583="","",COUNTIFS(RawData[[Date ]],N1583,RawData[Month List],$Q$6,RawData[Tour/Site],$Q$2,RawData[[Picker ID ]],$Q$3,RawData[Checker ID],$Q$4,RawData[[Error Type ]],$Q$5))</f>
        <v/>
      </c>
    </row>
    <row r="1584" spans="15:15" x14ac:dyDescent="0.25">
      <c r="O1584" s="20" t="str">
        <f>IF(N1584="","",COUNTIFS(RawData[[Date ]],N1584,RawData[Month List],$Q$6,RawData[Tour/Site],$Q$2,RawData[[Picker ID ]],$Q$3,RawData[Checker ID],$Q$4,RawData[[Error Type ]],$Q$5))</f>
        <v/>
      </c>
    </row>
    <row r="1585" spans="15:15" x14ac:dyDescent="0.25">
      <c r="O1585" s="20" t="str">
        <f>IF(N1585="","",COUNTIFS(RawData[[Date ]],N1585,RawData[Month List],$Q$6,RawData[Tour/Site],$Q$2,RawData[[Picker ID ]],$Q$3,RawData[Checker ID],$Q$4,RawData[[Error Type ]],$Q$5))</f>
        <v/>
      </c>
    </row>
    <row r="1586" spans="15:15" x14ac:dyDescent="0.25">
      <c r="O1586" s="20" t="str">
        <f>IF(N1586="","",COUNTIFS(RawData[[Date ]],N1586,RawData[Month List],$Q$6,RawData[Tour/Site],$Q$2,RawData[[Picker ID ]],$Q$3,RawData[Checker ID],$Q$4,RawData[[Error Type ]],$Q$5))</f>
        <v/>
      </c>
    </row>
    <row r="1587" spans="15:15" x14ac:dyDescent="0.25">
      <c r="O1587" s="20" t="str">
        <f>IF(N1587="","",COUNTIFS(RawData[[Date ]],N1587,RawData[Month List],$Q$6,RawData[Tour/Site],$Q$2,RawData[[Picker ID ]],$Q$3,RawData[Checker ID],$Q$4,RawData[[Error Type ]],$Q$5))</f>
        <v/>
      </c>
    </row>
    <row r="1588" spans="15:15" x14ac:dyDescent="0.25">
      <c r="O1588" s="20" t="str">
        <f>IF(N1588="","",COUNTIFS(RawData[[Date ]],N1588,RawData[Month List],$Q$6,RawData[Tour/Site],$Q$2,RawData[[Picker ID ]],$Q$3,RawData[Checker ID],$Q$4,RawData[[Error Type ]],$Q$5))</f>
        <v/>
      </c>
    </row>
    <row r="1589" spans="15:15" x14ac:dyDescent="0.25">
      <c r="O1589" s="20" t="str">
        <f>IF(N1589="","",COUNTIFS(RawData[[Date ]],N1589,RawData[Month List],$Q$6,RawData[Tour/Site],$Q$2,RawData[[Picker ID ]],$Q$3,RawData[Checker ID],$Q$4,RawData[[Error Type ]],$Q$5))</f>
        <v/>
      </c>
    </row>
    <row r="1590" spans="15:15" x14ac:dyDescent="0.25">
      <c r="O1590" s="20" t="str">
        <f>IF(N1590="","",COUNTIFS(RawData[[Date ]],N1590,RawData[Month List],$Q$6,RawData[Tour/Site],$Q$2,RawData[[Picker ID ]],$Q$3,RawData[Checker ID],$Q$4,RawData[[Error Type ]],$Q$5))</f>
        <v/>
      </c>
    </row>
    <row r="1591" spans="15:15" x14ac:dyDescent="0.25">
      <c r="O1591" s="20" t="str">
        <f>IF(N1591="","",COUNTIFS(RawData[[Date ]],N1591,RawData[Month List],$Q$6,RawData[Tour/Site],$Q$2,RawData[[Picker ID ]],$Q$3,RawData[Checker ID],$Q$4,RawData[[Error Type ]],$Q$5))</f>
        <v/>
      </c>
    </row>
    <row r="1592" spans="15:15" x14ac:dyDescent="0.25">
      <c r="O1592" s="20" t="str">
        <f>IF(N1592="","",COUNTIFS(RawData[[Date ]],N1592,RawData[Month List],$Q$6,RawData[Tour/Site],$Q$2,RawData[[Picker ID ]],$Q$3,RawData[Checker ID],$Q$4,RawData[[Error Type ]],$Q$5))</f>
        <v/>
      </c>
    </row>
    <row r="1593" spans="15:15" x14ac:dyDescent="0.25">
      <c r="O1593" s="20" t="str">
        <f>IF(N1593="","",COUNTIFS(RawData[[Date ]],N1593,RawData[Month List],$Q$6,RawData[Tour/Site],$Q$2,RawData[[Picker ID ]],$Q$3,RawData[Checker ID],$Q$4,RawData[[Error Type ]],$Q$5))</f>
        <v/>
      </c>
    </row>
    <row r="1594" spans="15:15" x14ac:dyDescent="0.25">
      <c r="O1594" s="20" t="str">
        <f>IF(N1594="","",COUNTIFS(RawData[[Date ]],N1594,RawData[Month List],$Q$6,RawData[Tour/Site],$Q$2,RawData[[Picker ID ]],$Q$3,RawData[Checker ID],$Q$4,RawData[[Error Type ]],$Q$5))</f>
        <v/>
      </c>
    </row>
    <row r="1595" spans="15:15" x14ac:dyDescent="0.25">
      <c r="O1595" s="20" t="str">
        <f>IF(N1595="","",COUNTIFS(RawData[[Date ]],N1595,RawData[Month List],$Q$6,RawData[Tour/Site],$Q$2,RawData[[Picker ID ]],$Q$3,RawData[Checker ID],$Q$4,RawData[[Error Type ]],$Q$5))</f>
        <v/>
      </c>
    </row>
    <row r="1596" spans="15:15" x14ac:dyDescent="0.25">
      <c r="O1596" s="20" t="str">
        <f>IF(N1596="","",COUNTIFS(RawData[[Date ]],N1596,RawData[Month List],$Q$6,RawData[Tour/Site],$Q$2,RawData[[Picker ID ]],$Q$3,RawData[Checker ID],$Q$4,RawData[[Error Type ]],$Q$5))</f>
        <v/>
      </c>
    </row>
    <row r="1597" spans="15:15" x14ac:dyDescent="0.25">
      <c r="O1597" s="20" t="str">
        <f>IF(N1597="","",COUNTIFS(RawData[[Date ]],N1597,RawData[Month List],$Q$6,RawData[Tour/Site],$Q$2,RawData[[Picker ID ]],$Q$3,RawData[Checker ID],$Q$4,RawData[[Error Type ]],$Q$5))</f>
        <v/>
      </c>
    </row>
    <row r="1598" spans="15:15" x14ac:dyDescent="0.25">
      <c r="O1598" s="20" t="str">
        <f>IF(N1598="","",COUNTIFS(RawData[[Date ]],N1598,RawData[Month List],$Q$6,RawData[Tour/Site],$Q$2,RawData[[Picker ID ]],$Q$3,RawData[Checker ID],$Q$4,RawData[[Error Type ]],$Q$5))</f>
        <v/>
      </c>
    </row>
    <row r="1599" spans="15:15" x14ac:dyDescent="0.25">
      <c r="O1599" s="20" t="str">
        <f>IF(N1599="","",COUNTIFS(RawData[[Date ]],N1599,RawData[Month List],$Q$6,RawData[Tour/Site],$Q$2,RawData[[Picker ID ]],$Q$3,RawData[Checker ID],$Q$4,RawData[[Error Type ]],$Q$5))</f>
        <v/>
      </c>
    </row>
    <row r="1600" spans="15:15" x14ac:dyDescent="0.25">
      <c r="O1600" s="20" t="str">
        <f>IF(N1600="","",COUNTIFS(RawData[[Date ]],N1600,RawData[Month List],$Q$6,RawData[Tour/Site],$Q$2,RawData[[Picker ID ]],$Q$3,RawData[Checker ID],$Q$4,RawData[[Error Type ]],$Q$5))</f>
        <v/>
      </c>
    </row>
    <row r="1601" spans="15:15" x14ac:dyDescent="0.25">
      <c r="O1601" s="20" t="str">
        <f>IF(N1601="","",COUNTIFS(RawData[[Date ]],N1601,RawData[Month List],$Q$6,RawData[Tour/Site],$Q$2,RawData[[Picker ID ]],$Q$3,RawData[Checker ID],$Q$4,RawData[[Error Type ]],$Q$5))</f>
        <v/>
      </c>
    </row>
    <row r="1602" spans="15:15" x14ac:dyDescent="0.25">
      <c r="O1602" s="20" t="str">
        <f>IF(N1602="","",COUNTIFS(RawData[[Date ]],N1602,RawData[Month List],$Q$6,RawData[Tour/Site],$Q$2,RawData[[Picker ID ]],$Q$3,RawData[Checker ID],$Q$4,RawData[[Error Type ]],$Q$5))</f>
        <v/>
      </c>
    </row>
    <row r="1603" spans="15:15" x14ac:dyDescent="0.25">
      <c r="O1603" s="20" t="str">
        <f>IF(N1603="","",COUNTIFS(RawData[[Date ]],N1603,RawData[Month List],$Q$6,RawData[Tour/Site],$Q$2,RawData[[Picker ID ]],$Q$3,RawData[Checker ID],$Q$4,RawData[[Error Type ]],$Q$5))</f>
        <v/>
      </c>
    </row>
    <row r="1604" spans="15:15" x14ac:dyDescent="0.25">
      <c r="O1604" s="20" t="str">
        <f>IF(N1604="","",COUNTIFS(RawData[[Date ]],N1604,RawData[Month List],$Q$6,RawData[Tour/Site],$Q$2,RawData[[Picker ID ]],$Q$3,RawData[Checker ID],$Q$4,RawData[[Error Type ]],$Q$5))</f>
        <v/>
      </c>
    </row>
    <row r="1605" spans="15:15" x14ac:dyDescent="0.25">
      <c r="O1605" s="20" t="str">
        <f>IF(N1605="","",COUNTIFS(RawData[[Date ]],N1605,RawData[Month List],$Q$6,RawData[Tour/Site],$Q$2,RawData[[Picker ID ]],$Q$3,RawData[Checker ID],$Q$4,RawData[[Error Type ]],$Q$5))</f>
        <v/>
      </c>
    </row>
    <row r="1606" spans="15:15" x14ac:dyDescent="0.25">
      <c r="O1606" s="20" t="str">
        <f>IF(N1606="","",COUNTIFS(RawData[[Date ]],N1606,RawData[Month List],$Q$6,RawData[Tour/Site],$Q$2,RawData[[Picker ID ]],$Q$3,RawData[Checker ID],$Q$4,RawData[[Error Type ]],$Q$5))</f>
        <v/>
      </c>
    </row>
    <row r="1607" spans="15:15" x14ac:dyDescent="0.25">
      <c r="O1607" s="20" t="str">
        <f>IF(N1607="","",COUNTIFS(RawData[[Date ]],N1607,RawData[Month List],$Q$6,RawData[Tour/Site],$Q$2,RawData[[Picker ID ]],$Q$3,RawData[Checker ID],$Q$4,RawData[[Error Type ]],$Q$5))</f>
        <v/>
      </c>
    </row>
    <row r="1608" spans="15:15" x14ac:dyDescent="0.25">
      <c r="O1608" s="20" t="str">
        <f>IF(N1608="","",COUNTIFS(RawData[[Date ]],N1608,RawData[Month List],$Q$6,RawData[Tour/Site],$Q$2,RawData[[Picker ID ]],$Q$3,RawData[Checker ID],$Q$4,RawData[[Error Type ]],$Q$5))</f>
        <v/>
      </c>
    </row>
    <row r="1609" spans="15:15" x14ac:dyDescent="0.25">
      <c r="O1609" s="20" t="str">
        <f>IF(N1609="","",COUNTIFS(RawData[[Date ]],N1609,RawData[Month List],$Q$6,RawData[Tour/Site],$Q$2,RawData[[Picker ID ]],$Q$3,RawData[Checker ID],$Q$4,RawData[[Error Type ]],$Q$5))</f>
        <v/>
      </c>
    </row>
    <row r="1610" spans="15:15" x14ac:dyDescent="0.25">
      <c r="O1610" s="20" t="str">
        <f>IF(N1610="","",COUNTIFS(RawData[[Date ]],N1610,RawData[Month List],$Q$6,RawData[Tour/Site],$Q$2,RawData[[Picker ID ]],$Q$3,RawData[Checker ID],$Q$4,RawData[[Error Type ]],$Q$5))</f>
        <v/>
      </c>
    </row>
    <row r="1611" spans="15:15" x14ac:dyDescent="0.25">
      <c r="O1611" s="20" t="str">
        <f>IF(N1611="","",COUNTIFS(RawData[[Date ]],N1611,RawData[Month List],$Q$6,RawData[Tour/Site],$Q$2,RawData[[Picker ID ]],$Q$3,RawData[Checker ID],$Q$4,RawData[[Error Type ]],$Q$5))</f>
        <v/>
      </c>
    </row>
    <row r="1612" spans="15:15" x14ac:dyDescent="0.25">
      <c r="O1612" s="20" t="str">
        <f>IF(N1612="","",COUNTIFS(RawData[[Date ]],N1612,RawData[Month List],$Q$6,RawData[Tour/Site],$Q$2,RawData[[Picker ID ]],$Q$3,RawData[Checker ID],$Q$4,RawData[[Error Type ]],$Q$5))</f>
        <v/>
      </c>
    </row>
    <row r="1613" spans="15:15" x14ac:dyDescent="0.25">
      <c r="O1613" s="20" t="str">
        <f>IF(N1613="","",COUNTIFS(RawData[[Date ]],N1613,RawData[Month List],$Q$6,RawData[Tour/Site],$Q$2,RawData[[Picker ID ]],$Q$3,RawData[Checker ID],$Q$4,RawData[[Error Type ]],$Q$5))</f>
        <v/>
      </c>
    </row>
    <row r="1614" spans="15:15" x14ac:dyDescent="0.25">
      <c r="O1614" s="20" t="str">
        <f>IF(N1614="","",COUNTIFS(RawData[[Date ]],N1614,RawData[Month List],$Q$6,RawData[Tour/Site],$Q$2,RawData[[Picker ID ]],$Q$3,RawData[Checker ID],$Q$4,RawData[[Error Type ]],$Q$5))</f>
        <v/>
      </c>
    </row>
    <row r="1615" spans="15:15" x14ac:dyDescent="0.25">
      <c r="O1615" s="20" t="str">
        <f>IF(N1615="","",COUNTIFS(RawData[[Date ]],N1615,RawData[Month List],$Q$6,RawData[Tour/Site],$Q$2,RawData[[Picker ID ]],$Q$3,RawData[Checker ID],$Q$4,RawData[[Error Type ]],$Q$5))</f>
        <v/>
      </c>
    </row>
    <row r="1616" spans="15:15" x14ac:dyDescent="0.25">
      <c r="O1616" s="20" t="str">
        <f>IF(N1616="","",COUNTIFS(RawData[[Date ]],N1616,RawData[Month List],$Q$6,RawData[Tour/Site],$Q$2,RawData[[Picker ID ]],$Q$3,RawData[Checker ID],$Q$4,RawData[[Error Type ]],$Q$5))</f>
        <v/>
      </c>
    </row>
    <row r="1617" spans="15:15" x14ac:dyDescent="0.25">
      <c r="O1617" s="20" t="str">
        <f>IF(N1617="","",COUNTIFS(RawData[[Date ]],N1617,RawData[Month List],$Q$6,RawData[Tour/Site],$Q$2,RawData[[Picker ID ]],$Q$3,RawData[Checker ID],$Q$4,RawData[[Error Type ]],$Q$5))</f>
        <v/>
      </c>
    </row>
    <row r="1618" spans="15:15" x14ac:dyDescent="0.25">
      <c r="O1618" s="20" t="str">
        <f>IF(N1618="","",COUNTIFS(RawData[[Date ]],N1618,RawData[Month List],$Q$6,RawData[Tour/Site],$Q$2,RawData[[Picker ID ]],$Q$3,RawData[Checker ID],$Q$4,RawData[[Error Type ]],$Q$5))</f>
        <v/>
      </c>
    </row>
    <row r="1619" spans="15:15" x14ac:dyDescent="0.25">
      <c r="O1619" s="20" t="str">
        <f>IF(N1619="","",COUNTIFS(RawData[[Date ]],N1619,RawData[Month List],$Q$6,RawData[Tour/Site],$Q$2,RawData[[Picker ID ]],$Q$3,RawData[Checker ID],$Q$4,RawData[[Error Type ]],$Q$5))</f>
        <v/>
      </c>
    </row>
    <row r="1620" spans="15:15" x14ac:dyDescent="0.25">
      <c r="O1620" s="20" t="str">
        <f>IF(N1620="","",COUNTIFS(RawData[[Date ]],N1620,RawData[Month List],$Q$6,RawData[Tour/Site],$Q$2,RawData[[Picker ID ]],$Q$3,RawData[Checker ID],$Q$4,RawData[[Error Type ]],$Q$5))</f>
        <v/>
      </c>
    </row>
    <row r="1621" spans="15:15" x14ac:dyDescent="0.25">
      <c r="O1621" s="20" t="str">
        <f>IF(N1621="","",COUNTIFS(RawData[[Date ]],N1621,RawData[Month List],$Q$6,RawData[Tour/Site],$Q$2,RawData[[Picker ID ]],$Q$3,RawData[Checker ID],$Q$4,RawData[[Error Type ]],$Q$5))</f>
        <v/>
      </c>
    </row>
    <row r="1622" spans="15:15" x14ac:dyDescent="0.25">
      <c r="O1622" s="20" t="str">
        <f>IF(N1622="","",COUNTIFS(RawData[[Date ]],N1622,RawData[Month List],$Q$6,RawData[Tour/Site],$Q$2,RawData[[Picker ID ]],$Q$3,RawData[Checker ID],$Q$4,RawData[[Error Type ]],$Q$5))</f>
        <v/>
      </c>
    </row>
    <row r="1623" spans="15:15" x14ac:dyDescent="0.25">
      <c r="O1623" s="20" t="str">
        <f>IF(N1623="","",COUNTIFS(RawData[[Date ]],N1623,RawData[Month List],$Q$6,RawData[Tour/Site],$Q$2,RawData[[Picker ID ]],$Q$3,RawData[Checker ID],$Q$4,RawData[[Error Type ]],$Q$5))</f>
        <v/>
      </c>
    </row>
    <row r="1624" spans="15:15" x14ac:dyDescent="0.25">
      <c r="O1624" s="20" t="str">
        <f>IF(N1624="","",COUNTIFS(RawData[[Date ]],N1624,RawData[Month List],$Q$6,RawData[Tour/Site],$Q$2,RawData[[Picker ID ]],$Q$3,RawData[Checker ID],$Q$4,RawData[[Error Type ]],$Q$5))</f>
        <v/>
      </c>
    </row>
    <row r="1625" spans="15:15" x14ac:dyDescent="0.25">
      <c r="O1625" s="20" t="str">
        <f>IF(N1625="","",COUNTIFS(RawData[[Date ]],N1625,RawData[Month List],$Q$6,RawData[Tour/Site],$Q$2,RawData[[Picker ID ]],$Q$3,RawData[Checker ID],$Q$4,RawData[[Error Type ]],$Q$5))</f>
        <v/>
      </c>
    </row>
    <row r="1626" spans="15:15" x14ac:dyDescent="0.25">
      <c r="O1626" s="20" t="str">
        <f>IF(N1626="","",COUNTIFS(RawData[[Date ]],N1626,RawData[Month List],$Q$6,RawData[Tour/Site],$Q$2,RawData[[Picker ID ]],$Q$3,RawData[Checker ID],$Q$4,RawData[[Error Type ]],$Q$5))</f>
        <v/>
      </c>
    </row>
    <row r="1627" spans="15:15" x14ac:dyDescent="0.25">
      <c r="O1627" s="20" t="str">
        <f>IF(N1627="","",COUNTIFS(RawData[[Date ]],N1627,RawData[Month List],$Q$6,RawData[Tour/Site],$Q$2,RawData[[Picker ID ]],$Q$3,RawData[Checker ID],$Q$4,RawData[[Error Type ]],$Q$5))</f>
        <v/>
      </c>
    </row>
    <row r="1628" spans="15:15" x14ac:dyDescent="0.25">
      <c r="O1628" s="20" t="str">
        <f>IF(N1628="","",COUNTIFS(RawData[[Date ]],N1628,RawData[Month List],$Q$6,RawData[Tour/Site],$Q$2,RawData[[Picker ID ]],$Q$3,RawData[Checker ID],$Q$4,RawData[[Error Type ]],$Q$5))</f>
        <v/>
      </c>
    </row>
    <row r="1629" spans="15:15" x14ac:dyDescent="0.25">
      <c r="O1629" s="20" t="str">
        <f>IF(N1629="","",COUNTIFS(RawData[[Date ]],N1629,RawData[Month List],$Q$6,RawData[Tour/Site],$Q$2,RawData[[Picker ID ]],$Q$3,RawData[Checker ID],$Q$4,RawData[[Error Type ]],$Q$5))</f>
        <v/>
      </c>
    </row>
    <row r="1630" spans="15:15" x14ac:dyDescent="0.25">
      <c r="O1630" s="20" t="str">
        <f>IF(N1630="","",COUNTIFS(RawData[[Date ]],N1630,RawData[Month List],$Q$6,RawData[Tour/Site],$Q$2,RawData[[Picker ID ]],$Q$3,RawData[Checker ID],$Q$4,RawData[[Error Type ]],$Q$5))</f>
        <v/>
      </c>
    </row>
    <row r="1631" spans="15:15" x14ac:dyDescent="0.25">
      <c r="O1631" s="20" t="str">
        <f>IF(N1631="","",COUNTIFS(RawData[[Date ]],N1631,RawData[Month List],$Q$6,RawData[Tour/Site],$Q$2,RawData[[Picker ID ]],$Q$3,RawData[Checker ID],$Q$4,RawData[[Error Type ]],$Q$5))</f>
        <v/>
      </c>
    </row>
    <row r="1632" spans="15:15" x14ac:dyDescent="0.25">
      <c r="O1632" s="20" t="str">
        <f>IF(N1632="","",COUNTIFS(RawData[[Date ]],N1632,RawData[Month List],$Q$6,RawData[Tour/Site],$Q$2,RawData[[Picker ID ]],$Q$3,RawData[Checker ID],$Q$4,RawData[[Error Type ]],$Q$5))</f>
        <v/>
      </c>
    </row>
    <row r="1633" spans="15:15" x14ac:dyDescent="0.25">
      <c r="O1633" s="20" t="str">
        <f>IF(N1633="","",COUNTIFS(RawData[[Date ]],N1633,RawData[Month List],$Q$6,RawData[Tour/Site],$Q$2,RawData[[Picker ID ]],$Q$3,RawData[Checker ID],$Q$4,RawData[[Error Type ]],$Q$5))</f>
        <v/>
      </c>
    </row>
    <row r="1634" spans="15:15" x14ac:dyDescent="0.25">
      <c r="O1634" s="20" t="str">
        <f>IF(N1634="","",COUNTIFS(RawData[[Date ]],N1634,RawData[Month List],$Q$6,RawData[Tour/Site],$Q$2,RawData[[Picker ID ]],$Q$3,RawData[Checker ID],$Q$4,RawData[[Error Type ]],$Q$5))</f>
        <v/>
      </c>
    </row>
    <row r="1635" spans="15:15" x14ac:dyDescent="0.25">
      <c r="O1635" s="20" t="str">
        <f>IF(N1635="","",COUNTIFS(RawData[[Date ]],N1635,RawData[Month List],$Q$6,RawData[Tour/Site],$Q$2,RawData[[Picker ID ]],$Q$3,RawData[Checker ID],$Q$4,RawData[[Error Type ]],$Q$5))</f>
        <v/>
      </c>
    </row>
    <row r="1636" spans="15:15" x14ac:dyDescent="0.25">
      <c r="O1636" s="20" t="str">
        <f>IF(N1636="","",COUNTIFS(RawData[[Date ]],N1636,RawData[Month List],$Q$6,RawData[Tour/Site],$Q$2,RawData[[Picker ID ]],$Q$3,RawData[Checker ID],$Q$4,RawData[[Error Type ]],$Q$5))</f>
        <v/>
      </c>
    </row>
    <row r="1637" spans="15:15" x14ac:dyDescent="0.25">
      <c r="O1637" s="20" t="str">
        <f>IF(N1637="","",COUNTIFS(RawData[[Date ]],N1637,RawData[Month List],$Q$6,RawData[Tour/Site],$Q$2,RawData[[Picker ID ]],$Q$3,RawData[Checker ID],$Q$4,RawData[[Error Type ]],$Q$5))</f>
        <v/>
      </c>
    </row>
    <row r="1638" spans="15:15" x14ac:dyDescent="0.25">
      <c r="O1638" s="20" t="str">
        <f>IF(N1638="","",COUNTIFS(RawData[[Date ]],N1638,RawData[Month List],$Q$6,RawData[Tour/Site],$Q$2,RawData[[Picker ID ]],$Q$3,RawData[Checker ID],$Q$4,RawData[[Error Type ]],$Q$5))</f>
        <v/>
      </c>
    </row>
    <row r="1639" spans="15:15" x14ac:dyDescent="0.25">
      <c r="O1639" s="20" t="str">
        <f>IF(N1639="","",COUNTIFS(RawData[[Date ]],N1639,RawData[Month List],$Q$6,RawData[Tour/Site],$Q$2,RawData[[Picker ID ]],$Q$3,RawData[Checker ID],$Q$4,RawData[[Error Type ]],$Q$5))</f>
        <v/>
      </c>
    </row>
    <row r="1640" spans="15:15" x14ac:dyDescent="0.25">
      <c r="O1640" s="20" t="str">
        <f>IF(N1640="","",COUNTIFS(RawData[[Date ]],N1640,RawData[Month List],$Q$6,RawData[Tour/Site],$Q$2,RawData[[Picker ID ]],$Q$3,RawData[Checker ID],$Q$4,RawData[[Error Type ]],$Q$5))</f>
        <v/>
      </c>
    </row>
    <row r="1641" spans="15:15" x14ac:dyDescent="0.25">
      <c r="O1641" s="20" t="str">
        <f>IF(N1641="","",COUNTIFS(RawData[[Date ]],N1641,RawData[Month List],$Q$6,RawData[Tour/Site],$Q$2,RawData[[Picker ID ]],$Q$3,RawData[Checker ID],$Q$4,RawData[[Error Type ]],$Q$5))</f>
        <v/>
      </c>
    </row>
    <row r="1642" spans="15:15" x14ac:dyDescent="0.25">
      <c r="O1642" s="20" t="str">
        <f>IF(N1642="","",COUNTIFS(RawData[[Date ]],N1642,RawData[Month List],$Q$6,RawData[Tour/Site],$Q$2,RawData[[Picker ID ]],$Q$3,RawData[Checker ID],$Q$4,RawData[[Error Type ]],$Q$5))</f>
        <v/>
      </c>
    </row>
    <row r="1643" spans="15:15" x14ac:dyDescent="0.25">
      <c r="O1643" s="20" t="str">
        <f>IF(N1643="","",COUNTIFS(RawData[[Date ]],N1643,RawData[Month List],$Q$6,RawData[Tour/Site],$Q$2,RawData[[Picker ID ]],$Q$3,RawData[Checker ID],$Q$4,RawData[[Error Type ]],$Q$5))</f>
        <v/>
      </c>
    </row>
    <row r="1644" spans="15:15" x14ac:dyDescent="0.25">
      <c r="O1644" s="20" t="str">
        <f>IF(N1644="","",COUNTIFS(RawData[[Date ]],N1644,RawData[Month List],$Q$6,RawData[Tour/Site],$Q$2,RawData[[Picker ID ]],$Q$3,RawData[Checker ID],$Q$4,RawData[[Error Type ]],$Q$5))</f>
        <v/>
      </c>
    </row>
    <row r="1645" spans="15:15" x14ac:dyDescent="0.25">
      <c r="O1645" s="20" t="str">
        <f>IF(N1645="","",COUNTIFS(RawData[[Date ]],N1645,RawData[Month List],$Q$6,RawData[Tour/Site],$Q$2,RawData[[Picker ID ]],$Q$3,RawData[Checker ID],$Q$4,RawData[[Error Type ]],$Q$5))</f>
        <v/>
      </c>
    </row>
    <row r="1646" spans="15:15" x14ac:dyDescent="0.25">
      <c r="O1646" s="20" t="str">
        <f>IF(N1646="","",COUNTIFS(RawData[[Date ]],N1646,RawData[Month List],$Q$6,RawData[Tour/Site],$Q$2,RawData[[Picker ID ]],$Q$3,RawData[Checker ID],$Q$4,RawData[[Error Type ]],$Q$5))</f>
        <v/>
      </c>
    </row>
    <row r="1647" spans="15:15" x14ac:dyDescent="0.25">
      <c r="O1647" s="20" t="str">
        <f>IF(N1647="","",COUNTIFS(RawData[[Date ]],N1647,RawData[Month List],$Q$6,RawData[Tour/Site],$Q$2,RawData[[Picker ID ]],$Q$3,RawData[Checker ID],$Q$4,RawData[[Error Type ]],$Q$5))</f>
        <v/>
      </c>
    </row>
    <row r="1648" spans="15:15" x14ac:dyDescent="0.25">
      <c r="O1648" s="20" t="str">
        <f>IF(N1648="","",COUNTIFS(RawData[[Date ]],N1648,RawData[Month List],$Q$6,RawData[Tour/Site],$Q$2,RawData[[Picker ID ]],$Q$3,RawData[Checker ID],$Q$4,RawData[[Error Type ]],$Q$5))</f>
        <v/>
      </c>
    </row>
    <row r="1649" spans="15:15" x14ac:dyDescent="0.25">
      <c r="O1649" s="20" t="str">
        <f>IF(N1649="","",COUNTIFS(RawData[[Date ]],N1649,RawData[Month List],$Q$6,RawData[Tour/Site],$Q$2,RawData[[Picker ID ]],$Q$3,RawData[Checker ID],$Q$4,RawData[[Error Type ]],$Q$5))</f>
        <v/>
      </c>
    </row>
    <row r="1650" spans="15:15" x14ac:dyDescent="0.25">
      <c r="O1650" s="20" t="str">
        <f>IF(N1650="","",COUNTIFS(RawData[[Date ]],N1650,RawData[Month List],$Q$6,RawData[Tour/Site],$Q$2,RawData[[Picker ID ]],$Q$3,RawData[Checker ID],$Q$4,RawData[[Error Type ]],$Q$5))</f>
        <v/>
      </c>
    </row>
    <row r="1651" spans="15:15" x14ac:dyDescent="0.25">
      <c r="O1651" s="20" t="str">
        <f>IF(N1651="","",COUNTIFS(RawData[[Date ]],N1651,RawData[Month List],$Q$6,RawData[Tour/Site],$Q$2,RawData[[Picker ID ]],$Q$3,RawData[Checker ID],$Q$4,RawData[[Error Type ]],$Q$5))</f>
        <v/>
      </c>
    </row>
    <row r="1652" spans="15:15" x14ac:dyDescent="0.25">
      <c r="O1652" s="20" t="str">
        <f>IF(N1652="","",COUNTIFS(RawData[[Date ]],N1652,RawData[Month List],$Q$6,RawData[Tour/Site],$Q$2,RawData[[Picker ID ]],$Q$3,RawData[Checker ID],$Q$4,RawData[[Error Type ]],$Q$5))</f>
        <v/>
      </c>
    </row>
    <row r="1653" spans="15:15" x14ac:dyDescent="0.25">
      <c r="O1653" s="20" t="str">
        <f>IF(N1653="","",COUNTIFS(RawData[[Date ]],N1653,RawData[Month List],$Q$6,RawData[Tour/Site],$Q$2,RawData[[Picker ID ]],$Q$3,RawData[Checker ID],$Q$4,RawData[[Error Type ]],$Q$5))</f>
        <v/>
      </c>
    </row>
    <row r="1654" spans="15:15" x14ac:dyDescent="0.25">
      <c r="O1654" s="20" t="str">
        <f>IF(N1654="","",COUNTIFS(RawData[[Date ]],N1654,RawData[Month List],$Q$6,RawData[Tour/Site],$Q$2,RawData[[Picker ID ]],$Q$3,RawData[Checker ID],$Q$4,RawData[[Error Type ]],$Q$5))</f>
        <v/>
      </c>
    </row>
    <row r="1655" spans="15:15" x14ac:dyDescent="0.25">
      <c r="O1655" s="20" t="str">
        <f>IF(N1655="","",COUNTIFS(RawData[[Date ]],N1655,RawData[Month List],$Q$6,RawData[Tour/Site],$Q$2,RawData[[Picker ID ]],$Q$3,RawData[Checker ID],$Q$4,RawData[[Error Type ]],$Q$5))</f>
        <v/>
      </c>
    </row>
    <row r="1656" spans="15:15" x14ac:dyDescent="0.25">
      <c r="O1656" s="20" t="str">
        <f>IF(N1656="","",COUNTIFS(RawData[[Date ]],N1656,RawData[Month List],$Q$6,RawData[Tour/Site],$Q$2,RawData[[Picker ID ]],$Q$3,RawData[Checker ID],$Q$4,RawData[[Error Type ]],$Q$5))</f>
        <v/>
      </c>
    </row>
    <row r="1657" spans="15:15" x14ac:dyDescent="0.25">
      <c r="O1657" s="20" t="str">
        <f>IF(N1657="","",COUNTIFS(RawData[[Date ]],N1657,RawData[Month List],$Q$6,RawData[Tour/Site],$Q$2,RawData[[Picker ID ]],$Q$3,RawData[Checker ID],$Q$4,RawData[[Error Type ]],$Q$5))</f>
        <v/>
      </c>
    </row>
    <row r="1658" spans="15:15" x14ac:dyDescent="0.25">
      <c r="O1658" s="20" t="str">
        <f>IF(N1658="","",COUNTIFS(RawData[[Date ]],N1658,RawData[Month List],$Q$6,RawData[Tour/Site],$Q$2,RawData[[Picker ID ]],$Q$3,RawData[Checker ID],$Q$4,RawData[[Error Type ]],$Q$5))</f>
        <v/>
      </c>
    </row>
    <row r="1659" spans="15:15" x14ac:dyDescent="0.25">
      <c r="O1659" s="20" t="str">
        <f>IF(N1659="","",COUNTIFS(RawData[[Date ]],N1659,RawData[Month List],$Q$6,RawData[Tour/Site],$Q$2,RawData[[Picker ID ]],$Q$3,RawData[Checker ID],$Q$4,RawData[[Error Type ]],$Q$5))</f>
        <v/>
      </c>
    </row>
    <row r="1660" spans="15:15" x14ac:dyDescent="0.25">
      <c r="O1660" s="20" t="str">
        <f>IF(N1660="","",COUNTIFS(RawData[[Date ]],N1660,RawData[Month List],$Q$6,RawData[Tour/Site],$Q$2,RawData[[Picker ID ]],$Q$3,RawData[Checker ID],$Q$4,RawData[[Error Type ]],$Q$5))</f>
        <v/>
      </c>
    </row>
    <row r="1661" spans="15:15" x14ac:dyDescent="0.25">
      <c r="O1661" s="20" t="str">
        <f>IF(N1661="","",COUNTIFS(RawData[[Date ]],N1661,RawData[Month List],$Q$6,RawData[Tour/Site],$Q$2,RawData[[Picker ID ]],$Q$3,RawData[Checker ID],$Q$4,RawData[[Error Type ]],$Q$5))</f>
        <v/>
      </c>
    </row>
    <row r="1662" spans="15:15" x14ac:dyDescent="0.25">
      <c r="O1662" s="20" t="str">
        <f>IF(N1662="","",COUNTIFS(RawData[[Date ]],N1662,RawData[Month List],$Q$6,RawData[Tour/Site],$Q$2,RawData[[Picker ID ]],$Q$3,RawData[Checker ID],$Q$4,RawData[[Error Type ]],$Q$5))</f>
        <v/>
      </c>
    </row>
    <row r="1663" spans="15:15" x14ac:dyDescent="0.25">
      <c r="O1663" s="20" t="str">
        <f>IF(N1663="","",COUNTIFS(RawData[[Date ]],N1663,RawData[Month List],$Q$6,RawData[Tour/Site],$Q$2,RawData[[Picker ID ]],$Q$3,RawData[Checker ID],$Q$4,RawData[[Error Type ]],$Q$5))</f>
        <v/>
      </c>
    </row>
    <row r="1664" spans="15:15" x14ac:dyDescent="0.25">
      <c r="O1664" s="20" t="str">
        <f>IF(N1664="","",COUNTIFS(RawData[[Date ]],N1664,RawData[Month List],$Q$6,RawData[Tour/Site],$Q$2,RawData[[Picker ID ]],$Q$3,RawData[Checker ID],$Q$4,RawData[[Error Type ]],$Q$5))</f>
        <v/>
      </c>
    </row>
    <row r="1665" spans="15:15" x14ac:dyDescent="0.25">
      <c r="O1665" s="20" t="str">
        <f>IF(N1665="","",COUNTIFS(RawData[[Date ]],N1665,RawData[Month List],$Q$6,RawData[Tour/Site],$Q$2,RawData[[Picker ID ]],$Q$3,RawData[Checker ID],$Q$4,RawData[[Error Type ]],$Q$5))</f>
        <v/>
      </c>
    </row>
    <row r="1666" spans="15:15" x14ac:dyDescent="0.25">
      <c r="O1666" s="20" t="str">
        <f>IF(N1666="","",COUNTIFS(RawData[[Date ]],N1666,RawData[Month List],$Q$6,RawData[Tour/Site],$Q$2,RawData[[Picker ID ]],$Q$3,RawData[Checker ID],$Q$4,RawData[[Error Type ]],$Q$5))</f>
        <v/>
      </c>
    </row>
    <row r="1667" spans="15:15" x14ac:dyDescent="0.25">
      <c r="O1667" s="20" t="str">
        <f>IF(N1667="","",COUNTIFS(RawData[[Date ]],N1667,RawData[Month List],$Q$6,RawData[Tour/Site],$Q$2,RawData[[Picker ID ]],$Q$3,RawData[Checker ID],$Q$4,RawData[[Error Type ]],$Q$5))</f>
        <v/>
      </c>
    </row>
    <row r="1668" spans="15:15" x14ac:dyDescent="0.25">
      <c r="O1668" s="20" t="str">
        <f>IF(N1668="","",COUNTIFS(RawData[[Date ]],N1668,RawData[Month List],$Q$6,RawData[Tour/Site],$Q$2,RawData[[Picker ID ]],$Q$3,RawData[Checker ID],$Q$4,RawData[[Error Type ]],$Q$5))</f>
        <v/>
      </c>
    </row>
    <row r="1669" spans="15:15" x14ac:dyDescent="0.25">
      <c r="O1669" s="20" t="str">
        <f>IF(N1669="","",COUNTIFS(RawData[[Date ]],N1669,RawData[Month List],$Q$6,RawData[Tour/Site],$Q$2,RawData[[Picker ID ]],$Q$3,RawData[Checker ID],$Q$4,RawData[[Error Type ]],$Q$5))</f>
        <v/>
      </c>
    </row>
    <row r="1670" spans="15:15" x14ac:dyDescent="0.25">
      <c r="O1670" s="20" t="str">
        <f>IF(N1670="","",COUNTIFS(RawData[[Date ]],N1670,RawData[Month List],$Q$6,RawData[Tour/Site],$Q$2,RawData[[Picker ID ]],$Q$3,RawData[Checker ID],$Q$4,RawData[[Error Type ]],$Q$5))</f>
        <v/>
      </c>
    </row>
    <row r="1671" spans="15:15" x14ac:dyDescent="0.25">
      <c r="O1671" s="20" t="str">
        <f>IF(N1671="","",COUNTIFS(RawData[[Date ]],N1671,RawData[Month List],$Q$6,RawData[Tour/Site],$Q$2,RawData[[Picker ID ]],$Q$3,RawData[Checker ID],$Q$4,RawData[[Error Type ]],$Q$5))</f>
        <v/>
      </c>
    </row>
    <row r="1672" spans="15:15" x14ac:dyDescent="0.25">
      <c r="O1672" s="20" t="str">
        <f>IF(N1672="","",COUNTIFS(RawData[[Date ]],N1672,RawData[Month List],$Q$6,RawData[Tour/Site],$Q$2,RawData[[Picker ID ]],$Q$3,RawData[Checker ID],$Q$4,RawData[[Error Type ]],$Q$5))</f>
        <v/>
      </c>
    </row>
    <row r="1673" spans="15:15" x14ac:dyDescent="0.25">
      <c r="O1673" s="20" t="str">
        <f>IF(N1673="","",COUNTIFS(RawData[[Date ]],N1673,RawData[Month List],$Q$6,RawData[Tour/Site],$Q$2,RawData[[Picker ID ]],$Q$3,RawData[Checker ID],$Q$4,RawData[[Error Type ]],$Q$5))</f>
        <v/>
      </c>
    </row>
    <row r="1674" spans="15:15" x14ac:dyDescent="0.25">
      <c r="O1674" s="20" t="str">
        <f>IF(N1674="","",COUNTIFS(RawData[[Date ]],N1674,RawData[Month List],$Q$6,RawData[Tour/Site],$Q$2,RawData[[Picker ID ]],$Q$3,RawData[Checker ID],$Q$4,RawData[[Error Type ]],$Q$5))</f>
        <v/>
      </c>
    </row>
    <row r="1675" spans="15:15" x14ac:dyDescent="0.25">
      <c r="O1675" s="20" t="str">
        <f>IF(N1675="","",COUNTIFS(RawData[[Date ]],N1675,RawData[Month List],$Q$6,RawData[Tour/Site],$Q$2,RawData[[Picker ID ]],$Q$3,RawData[Checker ID],$Q$4,RawData[[Error Type ]],$Q$5))</f>
        <v/>
      </c>
    </row>
    <row r="1676" spans="15:15" x14ac:dyDescent="0.25">
      <c r="O1676" s="20" t="str">
        <f>IF(N1676="","",COUNTIFS(RawData[[Date ]],N1676,RawData[Month List],$Q$6,RawData[Tour/Site],$Q$2,RawData[[Picker ID ]],$Q$3,RawData[Checker ID],$Q$4,RawData[[Error Type ]],$Q$5))</f>
        <v/>
      </c>
    </row>
    <row r="1677" spans="15:15" x14ac:dyDescent="0.25">
      <c r="O1677" s="20" t="str">
        <f>IF(N1677="","",COUNTIFS(RawData[[Date ]],N1677,RawData[Month List],$Q$6,RawData[Tour/Site],$Q$2,RawData[[Picker ID ]],$Q$3,RawData[Checker ID],$Q$4,RawData[[Error Type ]],$Q$5))</f>
        <v/>
      </c>
    </row>
    <row r="1678" spans="15:15" x14ac:dyDescent="0.25">
      <c r="O1678" s="20" t="str">
        <f>IF(N1678="","",COUNTIFS(RawData[[Date ]],N1678,RawData[Month List],$Q$6,RawData[Tour/Site],$Q$2,RawData[[Picker ID ]],$Q$3,RawData[Checker ID],$Q$4,RawData[[Error Type ]],$Q$5))</f>
        <v/>
      </c>
    </row>
    <row r="1679" spans="15:15" x14ac:dyDescent="0.25">
      <c r="O1679" s="20" t="str">
        <f>IF(N1679="","",COUNTIFS(RawData[[Date ]],N1679,RawData[Month List],$Q$6,RawData[Tour/Site],$Q$2,RawData[[Picker ID ]],$Q$3,RawData[Checker ID],$Q$4,RawData[[Error Type ]],$Q$5))</f>
        <v/>
      </c>
    </row>
    <row r="1680" spans="15:15" x14ac:dyDescent="0.25">
      <c r="O1680" s="20" t="str">
        <f>IF(N1680="","",COUNTIFS(RawData[[Date ]],N1680,RawData[Month List],$Q$6,RawData[Tour/Site],$Q$2,RawData[[Picker ID ]],$Q$3,RawData[Checker ID],$Q$4,RawData[[Error Type ]],$Q$5))</f>
        <v/>
      </c>
    </row>
    <row r="1681" spans="15:15" x14ac:dyDescent="0.25">
      <c r="O1681" s="20" t="str">
        <f>IF(N1681="","",COUNTIFS(RawData[[Date ]],N1681,RawData[Month List],$Q$6,RawData[Tour/Site],$Q$2,RawData[[Picker ID ]],$Q$3,RawData[Checker ID],$Q$4,RawData[[Error Type ]],$Q$5))</f>
        <v/>
      </c>
    </row>
    <row r="1682" spans="15:15" x14ac:dyDescent="0.25">
      <c r="O1682" s="20" t="str">
        <f>IF(N1682="","",COUNTIFS(RawData[[Date ]],N1682,RawData[Month List],$Q$6,RawData[Tour/Site],$Q$2,RawData[[Picker ID ]],$Q$3,RawData[Checker ID],$Q$4,RawData[[Error Type ]],$Q$5))</f>
        <v/>
      </c>
    </row>
    <row r="1683" spans="15:15" x14ac:dyDescent="0.25">
      <c r="O1683" s="20" t="str">
        <f>IF(N1683="","",COUNTIFS(RawData[[Date ]],N1683,RawData[Month List],$Q$6,RawData[Tour/Site],$Q$2,RawData[[Picker ID ]],$Q$3,RawData[Checker ID],$Q$4,RawData[[Error Type ]],$Q$5))</f>
        <v/>
      </c>
    </row>
    <row r="1684" spans="15:15" x14ac:dyDescent="0.25">
      <c r="O1684" s="20" t="str">
        <f>IF(N1684="","",COUNTIFS(RawData[[Date ]],N1684,RawData[Month List],$Q$6,RawData[Tour/Site],$Q$2,RawData[[Picker ID ]],$Q$3,RawData[Checker ID],$Q$4,RawData[[Error Type ]],$Q$5))</f>
        <v/>
      </c>
    </row>
    <row r="1685" spans="15:15" x14ac:dyDescent="0.25">
      <c r="O1685" s="20" t="str">
        <f>IF(N1685="","",COUNTIFS(RawData[[Date ]],N1685,RawData[Month List],$Q$6,RawData[Tour/Site],$Q$2,RawData[[Picker ID ]],$Q$3,RawData[Checker ID],$Q$4,RawData[[Error Type ]],$Q$5))</f>
        <v/>
      </c>
    </row>
    <row r="1686" spans="15:15" x14ac:dyDescent="0.25">
      <c r="O1686" s="20" t="str">
        <f>IF(N1686="","",COUNTIFS(RawData[[Date ]],N1686,RawData[Month List],$Q$6,RawData[Tour/Site],$Q$2,RawData[[Picker ID ]],$Q$3,RawData[Checker ID],$Q$4,RawData[[Error Type ]],$Q$5))</f>
        <v/>
      </c>
    </row>
    <row r="1687" spans="15:15" x14ac:dyDescent="0.25">
      <c r="O1687" s="20" t="str">
        <f>IF(N1687="","",COUNTIFS(RawData[[Date ]],N1687,RawData[Month List],$Q$6,RawData[Tour/Site],$Q$2,RawData[[Picker ID ]],$Q$3,RawData[Checker ID],$Q$4,RawData[[Error Type ]],$Q$5))</f>
        <v/>
      </c>
    </row>
    <row r="1688" spans="15:15" x14ac:dyDescent="0.25">
      <c r="O1688" s="20" t="str">
        <f>IF(N1688="","",COUNTIFS(RawData[[Date ]],N1688,RawData[Month List],$Q$6,RawData[Tour/Site],$Q$2,RawData[[Picker ID ]],$Q$3,RawData[Checker ID],$Q$4,RawData[[Error Type ]],$Q$5))</f>
        <v/>
      </c>
    </row>
    <row r="1689" spans="15:15" x14ac:dyDescent="0.25">
      <c r="O1689" s="20" t="str">
        <f>IF(N1689="","",COUNTIFS(RawData[[Date ]],N1689,RawData[Month List],$Q$6,RawData[Tour/Site],$Q$2,RawData[[Picker ID ]],$Q$3,RawData[Checker ID],$Q$4,RawData[[Error Type ]],$Q$5))</f>
        <v/>
      </c>
    </row>
    <row r="1690" spans="15:15" x14ac:dyDescent="0.25">
      <c r="O1690" s="20" t="str">
        <f>IF(N1690="","",COUNTIFS(RawData[[Date ]],N1690,RawData[Month List],$Q$6,RawData[Tour/Site],$Q$2,RawData[[Picker ID ]],$Q$3,RawData[Checker ID],$Q$4,RawData[[Error Type ]],$Q$5))</f>
        <v/>
      </c>
    </row>
    <row r="1691" spans="15:15" x14ac:dyDescent="0.25">
      <c r="O1691" s="20" t="str">
        <f>IF(N1691="","",COUNTIFS(RawData[[Date ]],N1691,RawData[Month List],$Q$6,RawData[Tour/Site],$Q$2,RawData[[Picker ID ]],$Q$3,RawData[Checker ID],$Q$4,RawData[[Error Type ]],$Q$5))</f>
        <v/>
      </c>
    </row>
    <row r="1692" spans="15:15" x14ac:dyDescent="0.25">
      <c r="O1692" s="20" t="str">
        <f>IF(N1692="","",COUNTIFS(RawData[[Date ]],N1692,RawData[Month List],$Q$6,RawData[Tour/Site],$Q$2,RawData[[Picker ID ]],$Q$3,RawData[Checker ID],$Q$4,RawData[[Error Type ]],$Q$5))</f>
        <v/>
      </c>
    </row>
    <row r="1693" spans="15:15" x14ac:dyDescent="0.25">
      <c r="O1693" s="20" t="str">
        <f>IF(N1693="","",COUNTIFS(RawData[[Date ]],N1693,RawData[Month List],$Q$6,RawData[Tour/Site],$Q$2,RawData[[Picker ID ]],$Q$3,RawData[Checker ID],$Q$4,RawData[[Error Type ]],$Q$5))</f>
        <v/>
      </c>
    </row>
    <row r="1694" spans="15:15" x14ac:dyDescent="0.25">
      <c r="O1694" s="20" t="str">
        <f>IF(N1694="","",COUNTIFS(RawData[[Date ]],N1694,RawData[Month List],$Q$6,RawData[Tour/Site],$Q$2,RawData[[Picker ID ]],$Q$3,RawData[Checker ID],$Q$4,RawData[[Error Type ]],$Q$5))</f>
        <v/>
      </c>
    </row>
    <row r="1695" spans="15:15" x14ac:dyDescent="0.25">
      <c r="O1695" s="20" t="str">
        <f>IF(N1695="","",COUNTIFS(RawData[[Date ]],N1695,RawData[Month List],$Q$6,RawData[Tour/Site],$Q$2,RawData[[Picker ID ]],$Q$3,RawData[Checker ID],$Q$4,RawData[[Error Type ]],$Q$5))</f>
        <v/>
      </c>
    </row>
    <row r="1696" spans="15:15" x14ac:dyDescent="0.25">
      <c r="O1696" s="20" t="str">
        <f>IF(N1696="","",COUNTIFS(RawData[[Date ]],N1696,RawData[Month List],$Q$6,RawData[Tour/Site],$Q$2,RawData[[Picker ID ]],$Q$3,RawData[Checker ID],$Q$4,RawData[[Error Type ]],$Q$5))</f>
        <v/>
      </c>
    </row>
    <row r="1697" spans="15:15" x14ac:dyDescent="0.25">
      <c r="O1697" s="20" t="str">
        <f>IF(N1697="","",COUNTIFS(RawData[[Date ]],N1697,RawData[Month List],$Q$6,RawData[Tour/Site],$Q$2,RawData[[Picker ID ]],$Q$3,RawData[Checker ID],$Q$4,RawData[[Error Type ]],$Q$5))</f>
        <v/>
      </c>
    </row>
    <row r="1698" spans="15:15" x14ac:dyDescent="0.25">
      <c r="O1698" s="20" t="str">
        <f>IF(N1698="","",COUNTIFS(RawData[[Date ]],N1698,RawData[Month List],$Q$6,RawData[Tour/Site],$Q$2,RawData[[Picker ID ]],$Q$3,RawData[Checker ID],$Q$4,RawData[[Error Type ]],$Q$5))</f>
        <v/>
      </c>
    </row>
    <row r="1699" spans="15:15" x14ac:dyDescent="0.25">
      <c r="O1699" s="20" t="str">
        <f>IF(N1699="","",COUNTIFS(RawData[[Date ]],N1699,RawData[Month List],$Q$6,RawData[Tour/Site],$Q$2,RawData[[Picker ID ]],$Q$3,RawData[Checker ID],$Q$4,RawData[[Error Type ]],$Q$5))</f>
        <v/>
      </c>
    </row>
    <row r="1700" spans="15:15" x14ac:dyDescent="0.25">
      <c r="O1700" s="20" t="str">
        <f>IF(N1700="","",COUNTIFS(RawData[[Date ]],N1700,RawData[Month List],$Q$6,RawData[Tour/Site],$Q$2,RawData[[Picker ID ]],$Q$3,RawData[Checker ID],$Q$4,RawData[[Error Type ]],$Q$5))</f>
        <v/>
      </c>
    </row>
    <row r="1701" spans="15:15" x14ac:dyDescent="0.25">
      <c r="O1701" s="20" t="str">
        <f>IF(N1701="","",COUNTIFS(RawData[[Date ]],N1701,RawData[Month List],$Q$6,RawData[Tour/Site],$Q$2,RawData[[Picker ID ]],$Q$3,RawData[Checker ID],$Q$4,RawData[[Error Type ]],$Q$5))</f>
        <v/>
      </c>
    </row>
    <row r="1702" spans="15:15" x14ac:dyDescent="0.25">
      <c r="O1702" s="20" t="str">
        <f>IF(N1702="","",COUNTIFS(RawData[[Date ]],N1702,RawData[Month List],$Q$6,RawData[Tour/Site],$Q$2,RawData[[Picker ID ]],$Q$3,RawData[Checker ID],$Q$4,RawData[[Error Type ]],$Q$5))</f>
        <v/>
      </c>
    </row>
    <row r="1703" spans="15:15" x14ac:dyDescent="0.25">
      <c r="O1703" s="20" t="str">
        <f>IF(N1703="","",COUNTIFS(RawData[[Date ]],N1703,RawData[Month List],$Q$6,RawData[Tour/Site],$Q$2,RawData[[Picker ID ]],$Q$3,RawData[Checker ID],$Q$4,RawData[[Error Type ]],$Q$5))</f>
        <v/>
      </c>
    </row>
    <row r="1704" spans="15:15" x14ac:dyDescent="0.25">
      <c r="O1704" s="20" t="str">
        <f>IF(N1704="","",COUNTIFS(RawData[[Date ]],N1704,RawData[Month List],$Q$6,RawData[Tour/Site],$Q$2,RawData[[Picker ID ]],$Q$3,RawData[Checker ID],$Q$4,RawData[[Error Type ]],$Q$5))</f>
        <v/>
      </c>
    </row>
    <row r="1705" spans="15:15" x14ac:dyDescent="0.25">
      <c r="O1705" s="20" t="str">
        <f>IF(N1705="","",COUNTIFS(RawData[[Date ]],N1705,RawData[Month List],$Q$6,RawData[Tour/Site],$Q$2,RawData[[Picker ID ]],$Q$3,RawData[Checker ID],$Q$4,RawData[[Error Type ]],$Q$5))</f>
        <v/>
      </c>
    </row>
    <row r="1706" spans="15:15" x14ac:dyDescent="0.25">
      <c r="O1706" s="20" t="str">
        <f>IF(N1706="","",COUNTIFS(RawData[[Date ]],N1706,RawData[Month List],$Q$6,RawData[Tour/Site],$Q$2,RawData[[Picker ID ]],$Q$3,RawData[Checker ID],$Q$4,RawData[[Error Type ]],$Q$5))</f>
        <v/>
      </c>
    </row>
    <row r="1707" spans="15:15" x14ac:dyDescent="0.25">
      <c r="O1707" s="20" t="str">
        <f>IF(N1707="","",COUNTIFS(RawData[[Date ]],N1707,RawData[Month List],$Q$6,RawData[Tour/Site],$Q$2,RawData[[Picker ID ]],$Q$3,RawData[Checker ID],$Q$4,RawData[[Error Type ]],$Q$5))</f>
        <v/>
      </c>
    </row>
    <row r="1708" spans="15:15" x14ac:dyDescent="0.25">
      <c r="O1708" s="20" t="str">
        <f>IF(N1708="","",COUNTIFS(RawData[[Date ]],N1708,RawData[Month List],$Q$6,RawData[Tour/Site],$Q$2,RawData[[Picker ID ]],$Q$3,RawData[Checker ID],$Q$4,RawData[[Error Type ]],$Q$5))</f>
        <v/>
      </c>
    </row>
    <row r="1709" spans="15:15" x14ac:dyDescent="0.25">
      <c r="O1709" s="20" t="str">
        <f>IF(N1709="","",COUNTIFS(RawData[[Date ]],N1709,RawData[Month List],$Q$6,RawData[Tour/Site],$Q$2,RawData[[Picker ID ]],$Q$3,RawData[Checker ID],$Q$4,RawData[[Error Type ]],$Q$5))</f>
        <v/>
      </c>
    </row>
    <row r="1710" spans="15:15" x14ac:dyDescent="0.25">
      <c r="O1710" s="20" t="str">
        <f>IF(N1710="","",COUNTIFS(RawData[[Date ]],N1710,RawData[Month List],$Q$6,RawData[Tour/Site],$Q$2,RawData[[Picker ID ]],$Q$3,RawData[Checker ID],$Q$4,RawData[[Error Type ]],$Q$5))</f>
        <v/>
      </c>
    </row>
    <row r="1711" spans="15:15" x14ac:dyDescent="0.25">
      <c r="O1711" s="20" t="str">
        <f>IF(N1711="","",COUNTIFS(RawData[[Date ]],N1711,RawData[Month List],$Q$6,RawData[Tour/Site],$Q$2,RawData[[Picker ID ]],$Q$3,RawData[Checker ID],$Q$4,RawData[[Error Type ]],$Q$5))</f>
        <v/>
      </c>
    </row>
    <row r="1712" spans="15:15" x14ac:dyDescent="0.25">
      <c r="O1712" s="20" t="str">
        <f>IF(N1712="","",COUNTIFS(RawData[[Date ]],N1712,RawData[Month List],$Q$6,RawData[Tour/Site],$Q$2,RawData[[Picker ID ]],$Q$3,RawData[Checker ID],$Q$4,RawData[[Error Type ]],$Q$5))</f>
        <v/>
      </c>
    </row>
    <row r="1713" spans="15:15" x14ac:dyDescent="0.25">
      <c r="O1713" s="20" t="str">
        <f>IF(N1713="","",COUNTIFS(RawData[[Date ]],N1713,RawData[Month List],$Q$6,RawData[Tour/Site],$Q$2,RawData[[Picker ID ]],$Q$3,RawData[Checker ID],$Q$4,RawData[[Error Type ]],$Q$5))</f>
        <v/>
      </c>
    </row>
    <row r="1714" spans="15:15" x14ac:dyDescent="0.25">
      <c r="O1714" s="20" t="str">
        <f>IF(N1714="","",COUNTIFS(RawData[[Date ]],N1714,RawData[Month List],$Q$6,RawData[Tour/Site],$Q$2,RawData[[Picker ID ]],$Q$3,RawData[Checker ID],$Q$4,RawData[[Error Type ]],$Q$5))</f>
        <v/>
      </c>
    </row>
    <row r="1715" spans="15:15" x14ac:dyDescent="0.25">
      <c r="O1715" s="20" t="str">
        <f>IF(N1715="","",COUNTIFS(RawData[[Date ]],N1715,RawData[Month List],$Q$6,RawData[Tour/Site],$Q$2,RawData[[Picker ID ]],$Q$3,RawData[Checker ID],$Q$4,RawData[[Error Type ]],$Q$5))</f>
        <v/>
      </c>
    </row>
    <row r="1716" spans="15:15" x14ac:dyDescent="0.25">
      <c r="O1716" s="20" t="str">
        <f>IF(N1716="","",COUNTIFS(RawData[[Date ]],N1716,RawData[Month List],$Q$6,RawData[Tour/Site],$Q$2,RawData[[Picker ID ]],$Q$3,RawData[Checker ID],$Q$4,RawData[[Error Type ]],$Q$5))</f>
        <v/>
      </c>
    </row>
    <row r="1717" spans="15:15" x14ac:dyDescent="0.25">
      <c r="O1717" s="20" t="str">
        <f>IF(N1717="","",COUNTIFS(RawData[[Date ]],N1717,RawData[Month List],$Q$6,RawData[Tour/Site],$Q$2,RawData[[Picker ID ]],$Q$3,RawData[Checker ID],$Q$4,RawData[[Error Type ]],$Q$5))</f>
        <v/>
      </c>
    </row>
    <row r="1718" spans="15:15" x14ac:dyDescent="0.25">
      <c r="O1718" s="20" t="str">
        <f>IF(N1718="","",COUNTIFS(RawData[[Date ]],N1718,RawData[Month List],$Q$6,RawData[Tour/Site],$Q$2,RawData[[Picker ID ]],$Q$3,RawData[Checker ID],$Q$4,RawData[[Error Type ]],$Q$5))</f>
        <v/>
      </c>
    </row>
    <row r="1719" spans="15:15" x14ac:dyDescent="0.25">
      <c r="O1719" s="20" t="str">
        <f>IF(N1719="","",COUNTIFS(RawData[[Date ]],N1719,RawData[Month List],$Q$6,RawData[Tour/Site],$Q$2,RawData[[Picker ID ]],$Q$3,RawData[Checker ID],$Q$4,RawData[[Error Type ]],$Q$5))</f>
        <v/>
      </c>
    </row>
    <row r="1720" spans="15:15" x14ac:dyDescent="0.25">
      <c r="O1720" s="20" t="str">
        <f>IF(N1720="","",COUNTIFS(RawData[[Date ]],N1720,RawData[Month List],$Q$6,RawData[Tour/Site],$Q$2,RawData[[Picker ID ]],$Q$3,RawData[Checker ID],$Q$4,RawData[[Error Type ]],$Q$5))</f>
        <v/>
      </c>
    </row>
    <row r="1721" spans="15:15" x14ac:dyDescent="0.25">
      <c r="O1721" s="20" t="str">
        <f>IF(N1721="","",COUNTIFS(RawData[[Date ]],N1721,RawData[Month List],$Q$6,RawData[Tour/Site],$Q$2,RawData[[Picker ID ]],$Q$3,RawData[Checker ID],$Q$4,RawData[[Error Type ]],$Q$5))</f>
        <v/>
      </c>
    </row>
    <row r="1722" spans="15:15" x14ac:dyDescent="0.25">
      <c r="O1722" s="20" t="str">
        <f>IF(N1722="","",COUNTIFS(RawData[[Date ]],N1722,RawData[Month List],$Q$6,RawData[Tour/Site],$Q$2,RawData[[Picker ID ]],$Q$3,RawData[Checker ID],$Q$4,RawData[[Error Type ]],$Q$5))</f>
        <v/>
      </c>
    </row>
    <row r="1723" spans="15:15" x14ac:dyDescent="0.25">
      <c r="O1723" s="20" t="str">
        <f>IF(N1723="","",COUNTIFS(RawData[[Date ]],N1723,RawData[Month List],$Q$6,RawData[Tour/Site],$Q$2,RawData[[Picker ID ]],$Q$3,RawData[Checker ID],$Q$4,RawData[[Error Type ]],$Q$5))</f>
        <v/>
      </c>
    </row>
    <row r="1724" spans="15:15" x14ac:dyDescent="0.25">
      <c r="O1724" s="20" t="str">
        <f>IF(N1724="","",COUNTIFS(RawData[[Date ]],N1724,RawData[Month List],$Q$6,RawData[Tour/Site],$Q$2,RawData[[Picker ID ]],$Q$3,RawData[Checker ID],$Q$4,RawData[[Error Type ]],$Q$5))</f>
        <v/>
      </c>
    </row>
    <row r="1725" spans="15:15" x14ac:dyDescent="0.25">
      <c r="O1725" s="20" t="str">
        <f>IF(N1725="","",COUNTIFS(RawData[[Date ]],N1725,RawData[Month List],$Q$6,RawData[Tour/Site],$Q$2,RawData[[Picker ID ]],$Q$3,RawData[Checker ID],$Q$4,RawData[[Error Type ]],$Q$5))</f>
        <v/>
      </c>
    </row>
    <row r="1726" spans="15:15" x14ac:dyDescent="0.25">
      <c r="O1726" s="20" t="str">
        <f>IF(N1726="","",COUNTIFS(RawData[[Date ]],N1726,RawData[Month List],$Q$6,RawData[Tour/Site],$Q$2,RawData[[Picker ID ]],$Q$3,RawData[Checker ID],$Q$4,RawData[[Error Type ]],$Q$5))</f>
        <v/>
      </c>
    </row>
    <row r="1727" spans="15:15" x14ac:dyDescent="0.25">
      <c r="O1727" s="20" t="str">
        <f>IF(N1727="","",COUNTIFS(RawData[[Date ]],N1727,RawData[Month List],$Q$6,RawData[Tour/Site],$Q$2,RawData[[Picker ID ]],$Q$3,RawData[Checker ID],$Q$4,RawData[[Error Type ]],$Q$5))</f>
        <v/>
      </c>
    </row>
    <row r="1728" spans="15:15" x14ac:dyDescent="0.25">
      <c r="O1728" s="20" t="str">
        <f>IF(N1728="","",COUNTIFS(RawData[[Date ]],N1728,RawData[Month List],$Q$6,RawData[Tour/Site],$Q$2,RawData[[Picker ID ]],$Q$3,RawData[Checker ID],$Q$4,RawData[[Error Type ]],$Q$5))</f>
        <v/>
      </c>
    </row>
    <row r="1729" spans="15:15" x14ac:dyDescent="0.25">
      <c r="O1729" s="20" t="str">
        <f>IF(N1729="","",COUNTIFS(RawData[[Date ]],N1729,RawData[Month List],$Q$6,RawData[Tour/Site],$Q$2,RawData[[Picker ID ]],$Q$3,RawData[Checker ID],$Q$4,RawData[[Error Type ]],$Q$5))</f>
        <v/>
      </c>
    </row>
    <row r="1730" spans="15:15" x14ac:dyDescent="0.25">
      <c r="O1730" s="20" t="str">
        <f>IF(N1730="","",COUNTIFS(RawData[[Date ]],N1730,RawData[Month List],$Q$6,RawData[Tour/Site],$Q$2,RawData[[Picker ID ]],$Q$3,RawData[Checker ID],$Q$4,RawData[[Error Type ]],$Q$5))</f>
        <v/>
      </c>
    </row>
    <row r="1731" spans="15:15" x14ac:dyDescent="0.25">
      <c r="O1731" s="20" t="str">
        <f>IF(N1731="","",COUNTIFS(RawData[[Date ]],N1731,RawData[Month List],$Q$6,RawData[Tour/Site],$Q$2,RawData[[Picker ID ]],$Q$3,RawData[Checker ID],$Q$4,RawData[[Error Type ]],$Q$5))</f>
        <v/>
      </c>
    </row>
    <row r="1732" spans="15:15" x14ac:dyDescent="0.25">
      <c r="O1732" s="20" t="str">
        <f>IF(N1732="","",COUNTIFS(RawData[[Date ]],N1732,RawData[Month List],$Q$6,RawData[Tour/Site],$Q$2,RawData[[Picker ID ]],$Q$3,RawData[Checker ID],$Q$4,RawData[[Error Type ]],$Q$5))</f>
        <v/>
      </c>
    </row>
    <row r="1733" spans="15:15" x14ac:dyDescent="0.25">
      <c r="O1733" s="20" t="str">
        <f>IF(N1733="","",COUNTIFS(RawData[[Date ]],N1733,RawData[Month List],$Q$6,RawData[Tour/Site],$Q$2,RawData[[Picker ID ]],$Q$3,RawData[Checker ID],$Q$4,RawData[[Error Type ]],$Q$5))</f>
        <v/>
      </c>
    </row>
    <row r="1734" spans="15:15" x14ac:dyDescent="0.25">
      <c r="O1734" s="20" t="str">
        <f>IF(N1734="","",COUNTIFS(RawData[[Date ]],N1734,RawData[Month List],$Q$6,RawData[Tour/Site],$Q$2,RawData[[Picker ID ]],$Q$3,RawData[Checker ID],$Q$4,RawData[[Error Type ]],$Q$5))</f>
        <v/>
      </c>
    </row>
    <row r="1735" spans="15:15" x14ac:dyDescent="0.25">
      <c r="O1735" s="20" t="str">
        <f>IF(N1735="","",COUNTIFS(RawData[[Date ]],N1735,RawData[Month List],$Q$6,RawData[Tour/Site],$Q$2,RawData[[Picker ID ]],$Q$3,RawData[Checker ID],$Q$4,RawData[[Error Type ]],$Q$5))</f>
        <v/>
      </c>
    </row>
    <row r="1736" spans="15:15" x14ac:dyDescent="0.25">
      <c r="O1736" s="20" t="str">
        <f>IF(N1736="","",COUNTIFS(RawData[[Date ]],N1736,RawData[Month List],$Q$6,RawData[Tour/Site],$Q$2,RawData[[Picker ID ]],$Q$3,RawData[Checker ID],$Q$4,RawData[[Error Type ]],$Q$5))</f>
        <v/>
      </c>
    </row>
    <row r="1737" spans="15:15" x14ac:dyDescent="0.25">
      <c r="O1737" s="20" t="str">
        <f>IF(N1737="","",COUNTIFS(RawData[[Date ]],N1737,RawData[Month List],$Q$6,RawData[Tour/Site],$Q$2,RawData[[Picker ID ]],$Q$3,RawData[Checker ID],$Q$4,RawData[[Error Type ]],$Q$5))</f>
        <v/>
      </c>
    </row>
    <row r="1738" spans="15:15" x14ac:dyDescent="0.25">
      <c r="O1738" s="20" t="str">
        <f>IF(N1738="","",COUNTIFS(RawData[[Date ]],N1738,RawData[Month List],$Q$6,RawData[Tour/Site],$Q$2,RawData[[Picker ID ]],$Q$3,RawData[Checker ID],$Q$4,RawData[[Error Type ]],$Q$5))</f>
        <v/>
      </c>
    </row>
    <row r="1739" spans="15:15" x14ac:dyDescent="0.25">
      <c r="O1739" s="20" t="str">
        <f>IF(N1739="","",COUNTIFS(RawData[[Date ]],N1739,RawData[Month List],$Q$6,RawData[Tour/Site],$Q$2,RawData[[Picker ID ]],$Q$3,RawData[Checker ID],$Q$4,RawData[[Error Type ]],$Q$5))</f>
        <v/>
      </c>
    </row>
    <row r="1740" spans="15:15" x14ac:dyDescent="0.25">
      <c r="O1740" s="20" t="str">
        <f>IF(N1740="","",COUNTIFS(RawData[[Date ]],N1740,RawData[Month List],$Q$6,RawData[Tour/Site],$Q$2,RawData[[Picker ID ]],$Q$3,RawData[Checker ID],$Q$4,RawData[[Error Type ]],$Q$5))</f>
        <v/>
      </c>
    </row>
    <row r="1741" spans="15:15" x14ac:dyDescent="0.25">
      <c r="O1741" s="20" t="str">
        <f>IF(N1741="","",COUNTIFS(RawData[[Date ]],N1741,RawData[Month List],$Q$6,RawData[Tour/Site],$Q$2,RawData[[Picker ID ]],$Q$3,RawData[Checker ID],$Q$4,RawData[[Error Type ]],$Q$5))</f>
        <v/>
      </c>
    </row>
    <row r="1742" spans="15:15" x14ac:dyDescent="0.25">
      <c r="O1742" s="20" t="str">
        <f>IF(N1742="","",COUNTIFS(RawData[[Date ]],N1742,RawData[Month List],$Q$6,RawData[Tour/Site],$Q$2,RawData[[Picker ID ]],$Q$3,RawData[Checker ID],$Q$4,RawData[[Error Type ]],$Q$5))</f>
        <v/>
      </c>
    </row>
    <row r="1743" spans="15:15" x14ac:dyDescent="0.25">
      <c r="O1743" s="20" t="str">
        <f>IF(N1743="","",COUNTIFS(RawData[[Date ]],N1743,RawData[Month List],$Q$6,RawData[Tour/Site],$Q$2,RawData[[Picker ID ]],$Q$3,RawData[Checker ID],$Q$4,RawData[[Error Type ]],$Q$5))</f>
        <v/>
      </c>
    </row>
    <row r="1744" spans="15:15" x14ac:dyDescent="0.25">
      <c r="O1744" s="20" t="str">
        <f>IF(N1744="","",COUNTIFS(RawData[[Date ]],N1744,RawData[Month List],$Q$6,RawData[Tour/Site],$Q$2,RawData[[Picker ID ]],$Q$3,RawData[Checker ID],$Q$4,RawData[[Error Type ]],$Q$5))</f>
        <v/>
      </c>
    </row>
    <row r="1745" spans="15:15" x14ac:dyDescent="0.25">
      <c r="O1745" s="20" t="str">
        <f>IF(N1745="","",COUNTIFS(RawData[[Date ]],N1745,RawData[Month List],$Q$6,RawData[Tour/Site],$Q$2,RawData[[Picker ID ]],$Q$3,RawData[Checker ID],$Q$4,RawData[[Error Type ]],$Q$5))</f>
        <v/>
      </c>
    </row>
    <row r="1746" spans="15:15" x14ac:dyDescent="0.25">
      <c r="O1746" s="20" t="str">
        <f>IF(N1746="","",COUNTIFS(RawData[[Date ]],N1746,RawData[Month List],$Q$6,RawData[Tour/Site],$Q$2,RawData[[Picker ID ]],$Q$3,RawData[Checker ID],$Q$4,RawData[[Error Type ]],$Q$5))</f>
        <v/>
      </c>
    </row>
    <row r="1747" spans="15:15" x14ac:dyDescent="0.25">
      <c r="O1747" s="20" t="str">
        <f>IF(N1747="","",COUNTIFS(RawData[[Date ]],N1747,RawData[Month List],$Q$6,RawData[Tour/Site],$Q$2,RawData[[Picker ID ]],$Q$3,RawData[Checker ID],$Q$4,RawData[[Error Type ]],$Q$5))</f>
        <v/>
      </c>
    </row>
    <row r="1748" spans="15:15" x14ac:dyDescent="0.25">
      <c r="O1748" s="20" t="str">
        <f>IF(N1748="","",COUNTIFS(RawData[[Date ]],N1748,RawData[Month List],$Q$6,RawData[Tour/Site],$Q$2,RawData[[Picker ID ]],$Q$3,RawData[Checker ID],$Q$4,RawData[[Error Type ]],$Q$5))</f>
        <v/>
      </c>
    </row>
    <row r="1749" spans="15:15" x14ac:dyDescent="0.25">
      <c r="O1749" s="20" t="str">
        <f>IF(N1749="","",COUNTIFS(RawData[[Date ]],N1749,RawData[Month List],$Q$6,RawData[Tour/Site],$Q$2,RawData[[Picker ID ]],$Q$3,RawData[Checker ID],$Q$4,RawData[[Error Type ]],$Q$5))</f>
        <v/>
      </c>
    </row>
    <row r="1750" spans="15:15" x14ac:dyDescent="0.25">
      <c r="O1750" s="20" t="str">
        <f>IF(N1750="","",COUNTIFS(RawData[[Date ]],N1750,RawData[Month List],$Q$6,RawData[Tour/Site],$Q$2,RawData[[Picker ID ]],$Q$3,RawData[Checker ID],$Q$4,RawData[[Error Type ]],$Q$5))</f>
        <v/>
      </c>
    </row>
    <row r="1751" spans="15:15" x14ac:dyDescent="0.25">
      <c r="O1751" s="20" t="str">
        <f>IF(N1751="","",COUNTIFS(RawData[[Date ]],N1751,RawData[Month List],$Q$6,RawData[Tour/Site],$Q$2,RawData[[Picker ID ]],$Q$3,RawData[Checker ID],$Q$4,RawData[[Error Type ]],$Q$5))</f>
        <v/>
      </c>
    </row>
    <row r="1752" spans="15:15" x14ac:dyDescent="0.25">
      <c r="O1752" s="20" t="str">
        <f>IF(N1752="","",COUNTIFS(RawData[[Date ]],N1752,RawData[Month List],$Q$6,RawData[Tour/Site],$Q$2,RawData[[Picker ID ]],$Q$3,RawData[Checker ID],$Q$4,RawData[[Error Type ]],$Q$5))</f>
        <v/>
      </c>
    </row>
    <row r="1753" spans="15:15" x14ac:dyDescent="0.25">
      <c r="O1753" s="20" t="str">
        <f>IF(N1753="","",COUNTIFS(RawData[[Date ]],N1753,RawData[Month List],$Q$6,RawData[Tour/Site],$Q$2,RawData[[Picker ID ]],$Q$3,RawData[Checker ID],$Q$4,RawData[[Error Type ]],$Q$5))</f>
        <v/>
      </c>
    </row>
    <row r="1754" spans="15:15" x14ac:dyDescent="0.25">
      <c r="O1754" s="20" t="str">
        <f>IF(N1754="","",COUNTIFS(RawData[[Date ]],N1754,RawData[Month List],$Q$6,RawData[Tour/Site],$Q$2,RawData[[Picker ID ]],$Q$3,RawData[Checker ID],$Q$4,RawData[[Error Type ]],$Q$5))</f>
        <v/>
      </c>
    </row>
    <row r="1755" spans="15:15" x14ac:dyDescent="0.25">
      <c r="O1755" s="20" t="str">
        <f>IF(N1755="","",COUNTIFS(RawData[[Date ]],N1755,RawData[Month List],$Q$6,RawData[Tour/Site],$Q$2,RawData[[Picker ID ]],$Q$3,RawData[Checker ID],$Q$4,RawData[[Error Type ]],$Q$5))</f>
        <v/>
      </c>
    </row>
    <row r="1756" spans="15:15" x14ac:dyDescent="0.25">
      <c r="O1756" s="20" t="str">
        <f>IF(N1756="","",COUNTIFS(RawData[[Date ]],N1756,RawData[Month List],$Q$6,RawData[Tour/Site],$Q$2,RawData[[Picker ID ]],$Q$3,RawData[Checker ID],$Q$4,RawData[[Error Type ]],$Q$5))</f>
        <v/>
      </c>
    </row>
    <row r="1757" spans="15:15" x14ac:dyDescent="0.25">
      <c r="O1757" s="20" t="str">
        <f>IF(N1757="","",COUNTIFS(RawData[[Date ]],N1757,RawData[Month List],$Q$6,RawData[Tour/Site],$Q$2,RawData[[Picker ID ]],$Q$3,RawData[Checker ID],$Q$4,RawData[[Error Type ]],$Q$5))</f>
        <v/>
      </c>
    </row>
    <row r="1758" spans="15:15" x14ac:dyDescent="0.25">
      <c r="O1758" s="20" t="str">
        <f>IF(N1758="","",COUNTIFS(RawData[[Date ]],N1758,RawData[Month List],$Q$6,RawData[Tour/Site],$Q$2,RawData[[Picker ID ]],$Q$3,RawData[Checker ID],$Q$4,RawData[[Error Type ]],$Q$5))</f>
        <v/>
      </c>
    </row>
    <row r="1759" spans="15:15" x14ac:dyDescent="0.25">
      <c r="O1759" s="20" t="str">
        <f>IF(N1759="","",COUNTIFS(RawData[[Date ]],N1759,RawData[Month List],$Q$6,RawData[Tour/Site],$Q$2,RawData[[Picker ID ]],$Q$3,RawData[Checker ID],$Q$4,RawData[[Error Type ]],$Q$5))</f>
        <v/>
      </c>
    </row>
    <row r="1760" spans="15:15" x14ac:dyDescent="0.25">
      <c r="O1760" s="20" t="str">
        <f>IF(N1760="","",COUNTIFS(RawData[[Date ]],N1760,RawData[Month List],$Q$6,RawData[Tour/Site],$Q$2,RawData[[Picker ID ]],$Q$3,RawData[Checker ID],$Q$4,RawData[[Error Type ]],$Q$5))</f>
        <v/>
      </c>
    </row>
    <row r="1761" spans="15:15" x14ac:dyDescent="0.25">
      <c r="O1761" s="20" t="str">
        <f>IF(N1761="","",COUNTIFS(RawData[[Date ]],N1761,RawData[Month List],$Q$6,RawData[Tour/Site],$Q$2,RawData[[Picker ID ]],$Q$3,RawData[Checker ID],$Q$4,RawData[[Error Type ]],$Q$5))</f>
        <v/>
      </c>
    </row>
    <row r="1762" spans="15:15" x14ac:dyDescent="0.25">
      <c r="O1762" s="20" t="str">
        <f>IF(N1762="","",COUNTIFS(RawData[[Date ]],N1762,RawData[Month List],$Q$6,RawData[Tour/Site],$Q$2,RawData[[Picker ID ]],$Q$3,RawData[Checker ID],$Q$4,RawData[[Error Type ]],$Q$5))</f>
        <v/>
      </c>
    </row>
    <row r="1763" spans="15:15" x14ac:dyDescent="0.25">
      <c r="O1763" s="20" t="str">
        <f>IF(N1763="","",COUNTIFS(RawData[[Date ]],N1763,RawData[Month List],$Q$6,RawData[Tour/Site],$Q$2,RawData[[Picker ID ]],$Q$3,RawData[Checker ID],$Q$4,RawData[[Error Type ]],$Q$5))</f>
        <v/>
      </c>
    </row>
    <row r="1764" spans="15:15" x14ac:dyDescent="0.25">
      <c r="O1764" s="20" t="str">
        <f>IF(N1764="","",COUNTIFS(RawData[[Date ]],N1764,RawData[Month List],$Q$6,RawData[Tour/Site],$Q$2,RawData[[Picker ID ]],$Q$3,RawData[Checker ID],$Q$4,RawData[[Error Type ]],$Q$5))</f>
        <v/>
      </c>
    </row>
    <row r="1765" spans="15:15" x14ac:dyDescent="0.25">
      <c r="O1765" s="20" t="str">
        <f>IF(N1765="","",COUNTIFS(RawData[[Date ]],N1765,RawData[Month List],$Q$6,RawData[Tour/Site],$Q$2,RawData[[Picker ID ]],$Q$3,RawData[Checker ID],$Q$4,RawData[[Error Type ]],$Q$5))</f>
        <v/>
      </c>
    </row>
    <row r="1766" spans="15:15" x14ac:dyDescent="0.25">
      <c r="O1766" s="20" t="str">
        <f>IF(N1766="","",COUNTIFS(RawData[[Date ]],N1766,RawData[Month List],$Q$6,RawData[Tour/Site],$Q$2,RawData[[Picker ID ]],$Q$3,RawData[Checker ID],$Q$4,RawData[[Error Type ]],$Q$5))</f>
        <v/>
      </c>
    </row>
    <row r="1767" spans="15:15" x14ac:dyDescent="0.25">
      <c r="O1767" s="20" t="str">
        <f>IF(N1767="","",COUNTIFS(RawData[[Date ]],N1767,RawData[Month List],$Q$6,RawData[Tour/Site],$Q$2,RawData[[Picker ID ]],$Q$3,RawData[Checker ID],$Q$4,RawData[[Error Type ]],$Q$5))</f>
        <v/>
      </c>
    </row>
    <row r="1768" spans="15:15" x14ac:dyDescent="0.25">
      <c r="O1768" s="20" t="str">
        <f>IF(N1768="","",COUNTIFS(RawData[[Date ]],N1768,RawData[Month List],$Q$6,RawData[Tour/Site],$Q$2,RawData[[Picker ID ]],$Q$3,RawData[Checker ID],$Q$4,RawData[[Error Type ]],$Q$5))</f>
        <v/>
      </c>
    </row>
    <row r="1769" spans="15:15" x14ac:dyDescent="0.25">
      <c r="O1769" s="20" t="str">
        <f>IF(N1769="","",COUNTIFS(RawData[[Date ]],N1769,RawData[Month List],$Q$6,RawData[Tour/Site],$Q$2,RawData[[Picker ID ]],$Q$3,RawData[Checker ID],$Q$4,RawData[[Error Type ]],$Q$5))</f>
        <v/>
      </c>
    </row>
    <row r="1770" spans="15:15" x14ac:dyDescent="0.25">
      <c r="O1770" s="20" t="str">
        <f>IF(N1770="","",COUNTIFS(RawData[[Date ]],N1770,RawData[Month List],$Q$6,RawData[Tour/Site],$Q$2,RawData[[Picker ID ]],$Q$3,RawData[Checker ID],$Q$4,RawData[[Error Type ]],$Q$5))</f>
        <v/>
      </c>
    </row>
    <row r="1771" spans="15:15" x14ac:dyDescent="0.25">
      <c r="O1771" s="20" t="str">
        <f>IF(N1771="","",COUNTIFS(RawData[[Date ]],N1771,RawData[Month List],$Q$6,RawData[Tour/Site],$Q$2,RawData[[Picker ID ]],$Q$3,RawData[Checker ID],$Q$4,RawData[[Error Type ]],$Q$5))</f>
        <v/>
      </c>
    </row>
    <row r="1772" spans="15:15" x14ac:dyDescent="0.25">
      <c r="O1772" s="20" t="str">
        <f>IF(N1772="","",COUNTIFS(RawData[[Date ]],N1772,RawData[Month List],$Q$6,RawData[Tour/Site],$Q$2,RawData[[Picker ID ]],$Q$3,RawData[Checker ID],$Q$4,RawData[[Error Type ]],$Q$5))</f>
        <v/>
      </c>
    </row>
    <row r="1773" spans="15:15" x14ac:dyDescent="0.25">
      <c r="O1773" s="20" t="str">
        <f>IF(N1773="","",COUNTIFS(RawData[[Date ]],N1773,RawData[Month List],$Q$6,RawData[Tour/Site],$Q$2,RawData[[Picker ID ]],$Q$3,RawData[Checker ID],$Q$4,RawData[[Error Type ]],$Q$5))</f>
        <v/>
      </c>
    </row>
    <row r="1774" spans="15:15" x14ac:dyDescent="0.25">
      <c r="O1774" s="20" t="str">
        <f>IF(N1774="","",COUNTIFS(RawData[[Date ]],N1774,RawData[Month List],$Q$6,RawData[Tour/Site],$Q$2,RawData[[Picker ID ]],$Q$3,RawData[Checker ID],$Q$4,RawData[[Error Type ]],$Q$5))</f>
        <v/>
      </c>
    </row>
    <row r="1775" spans="15:15" x14ac:dyDescent="0.25">
      <c r="O1775" s="20" t="str">
        <f>IF(N1775="","",COUNTIFS(RawData[[Date ]],N1775,RawData[Month List],$Q$6,RawData[Tour/Site],$Q$2,RawData[[Picker ID ]],$Q$3,RawData[Checker ID],$Q$4,RawData[[Error Type ]],$Q$5))</f>
        <v/>
      </c>
    </row>
    <row r="1776" spans="15:15" x14ac:dyDescent="0.25">
      <c r="O1776" s="20" t="str">
        <f>IF(N1776="","",COUNTIFS(RawData[[Date ]],N1776,RawData[Month List],$Q$6,RawData[Tour/Site],$Q$2,RawData[[Picker ID ]],$Q$3,RawData[Checker ID],$Q$4,RawData[[Error Type ]],$Q$5))</f>
        <v/>
      </c>
    </row>
    <row r="1777" spans="15:15" x14ac:dyDescent="0.25">
      <c r="O1777" s="20" t="str">
        <f>IF(N1777="","",COUNTIFS(RawData[[Date ]],N1777,RawData[Month List],$Q$6,RawData[Tour/Site],$Q$2,RawData[[Picker ID ]],$Q$3,RawData[Checker ID],$Q$4,RawData[[Error Type ]],$Q$5))</f>
        <v/>
      </c>
    </row>
    <row r="1778" spans="15:15" x14ac:dyDescent="0.25">
      <c r="O1778" s="20" t="str">
        <f>IF(N1778="","",COUNTIFS(RawData[[Date ]],N1778,RawData[Month List],$Q$6,RawData[Tour/Site],$Q$2,RawData[[Picker ID ]],$Q$3,RawData[Checker ID],$Q$4,RawData[[Error Type ]],$Q$5))</f>
        <v/>
      </c>
    </row>
    <row r="1779" spans="15:15" x14ac:dyDescent="0.25">
      <c r="O1779" s="20" t="str">
        <f>IF(N1779="","",COUNTIFS(RawData[[Date ]],N1779,RawData[Month List],$Q$6,RawData[Tour/Site],$Q$2,RawData[[Picker ID ]],$Q$3,RawData[Checker ID],$Q$4,RawData[[Error Type ]],$Q$5))</f>
        <v/>
      </c>
    </row>
    <row r="1780" spans="15:15" x14ac:dyDescent="0.25">
      <c r="O1780" s="20" t="str">
        <f>IF(N1780="","",COUNTIFS(RawData[[Date ]],N1780,RawData[Month List],$Q$6,RawData[Tour/Site],$Q$2,RawData[[Picker ID ]],$Q$3,RawData[Checker ID],$Q$4,RawData[[Error Type ]],$Q$5))</f>
        <v/>
      </c>
    </row>
    <row r="1781" spans="15:15" x14ac:dyDescent="0.25">
      <c r="O1781" s="20" t="str">
        <f>IF(N1781="","",COUNTIFS(RawData[[Date ]],N1781,RawData[Month List],$Q$6,RawData[Tour/Site],$Q$2,RawData[[Picker ID ]],$Q$3,RawData[Checker ID],$Q$4,RawData[[Error Type ]],$Q$5))</f>
        <v/>
      </c>
    </row>
    <row r="1782" spans="15:15" x14ac:dyDescent="0.25">
      <c r="O1782" s="20" t="str">
        <f>IF(N1782="","",COUNTIFS(RawData[[Date ]],N1782,RawData[Month List],$Q$6,RawData[Tour/Site],$Q$2,RawData[[Picker ID ]],$Q$3,RawData[Checker ID],$Q$4,RawData[[Error Type ]],$Q$5))</f>
        <v/>
      </c>
    </row>
    <row r="1783" spans="15:15" x14ac:dyDescent="0.25">
      <c r="O1783" s="20" t="str">
        <f>IF(N1783="","",COUNTIFS(RawData[[Date ]],N1783,RawData[Month List],$Q$6,RawData[Tour/Site],$Q$2,RawData[[Picker ID ]],$Q$3,RawData[Checker ID],$Q$4,RawData[[Error Type ]],$Q$5))</f>
        <v/>
      </c>
    </row>
    <row r="1784" spans="15:15" x14ac:dyDescent="0.25">
      <c r="O1784" s="20" t="str">
        <f>IF(N1784="","",COUNTIFS(RawData[[Date ]],N1784,RawData[Month List],$Q$6,RawData[Tour/Site],$Q$2,RawData[[Picker ID ]],$Q$3,RawData[Checker ID],$Q$4,RawData[[Error Type ]],$Q$5))</f>
        <v/>
      </c>
    </row>
    <row r="1785" spans="15:15" x14ac:dyDescent="0.25">
      <c r="O1785" s="20" t="str">
        <f>IF(N1785="","",COUNTIFS(RawData[[Date ]],N1785,RawData[Month List],$Q$6,RawData[Tour/Site],$Q$2,RawData[[Picker ID ]],$Q$3,RawData[Checker ID],$Q$4,RawData[[Error Type ]],$Q$5))</f>
        <v/>
      </c>
    </row>
    <row r="1786" spans="15:15" x14ac:dyDescent="0.25">
      <c r="O1786" s="20" t="str">
        <f>IF(N1786="","",COUNTIFS(RawData[[Date ]],N1786,RawData[Month List],$Q$6,RawData[Tour/Site],$Q$2,RawData[[Picker ID ]],$Q$3,RawData[Checker ID],$Q$4,RawData[[Error Type ]],$Q$5))</f>
        <v/>
      </c>
    </row>
    <row r="1787" spans="15:15" x14ac:dyDescent="0.25">
      <c r="O1787" s="20" t="str">
        <f>IF(N1787="","",COUNTIFS(RawData[[Date ]],N1787,RawData[Month List],$Q$6,RawData[Tour/Site],$Q$2,RawData[[Picker ID ]],$Q$3,RawData[Checker ID],$Q$4,RawData[[Error Type ]],$Q$5))</f>
        <v/>
      </c>
    </row>
    <row r="1788" spans="15:15" x14ac:dyDescent="0.25">
      <c r="O1788" s="20" t="str">
        <f>IF(N1788="","",COUNTIFS(RawData[[Date ]],N1788,RawData[Month List],$Q$6,RawData[Tour/Site],$Q$2,RawData[[Picker ID ]],$Q$3,RawData[Checker ID],$Q$4,RawData[[Error Type ]],$Q$5))</f>
        <v/>
      </c>
    </row>
    <row r="1789" spans="15:15" x14ac:dyDescent="0.25">
      <c r="O1789" s="20" t="str">
        <f>IF(N1789="","",COUNTIFS(RawData[[Date ]],N1789,RawData[Month List],$Q$6,RawData[Tour/Site],$Q$2,RawData[[Picker ID ]],$Q$3,RawData[Checker ID],$Q$4,RawData[[Error Type ]],$Q$5))</f>
        <v/>
      </c>
    </row>
    <row r="1790" spans="15:15" x14ac:dyDescent="0.25">
      <c r="O1790" s="20" t="str">
        <f>IF(N1790="","",COUNTIFS(RawData[[Date ]],N1790,RawData[Month List],$Q$6,RawData[Tour/Site],$Q$2,RawData[[Picker ID ]],$Q$3,RawData[Checker ID],$Q$4,RawData[[Error Type ]],$Q$5))</f>
        <v/>
      </c>
    </row>
    <row r="1791" spans="15:15" x14ac:dyDescent="0.25">
      <c r="O1791" s="20" t="str">
        <f>IF(N1791="","",COUNTIFS(RawData[[Date ]],N1791,RawData[Month List],$Q$6,RawData[Tour/Site],$Q$2,RawData[[Picker ID ]],$Q$3,RawData[Checker ID],$Q$4,RawData[[Error Type ]],$Q$5))</f>
        <v/>
      </c>
    </row>
    <row r="1792" spans="15:15" x14ac:dyDescent="0.25">
      <c r="O1792" s="20" t="str">
        <f>IF(N1792="","",COUNTIFS(RawData[[Date ]],N1792,RawData[Month List],$Q$6,RawData[Tour/Site],$Q$2,RawData[[Picker ID ]],$Q$3,RawData[Checker ID],$Q$4,RawData[[Error Type ]],$Q$5))</f>
        <v/>
      </c>
    </row>
    <row r="1793" spans="15:15" x14ac:dyDescent="0.25">
      <c r="O1793" s="20" t="str">
        <f>IF(N1793="","",COUNTIFS(RawData[[Date ]],N1793,RawData[Month List],$Q$6,RawData[Tour/Site],$Q$2,RawData[[Picker ID ]],$Q$3,RawData[Checker ID],$Q$4,RawData[[Error Type ]],$Q$5))</f>
        <v/>
      </c>
    </row>
    <row r="1794" spans="15:15" x14ac:dyDescent="0.25">
      <c r="O1794" s="20" t="str">
        <f>IF(N1794="","",COUNTIFS(RawData[[Date ]],N1794,RawData[Month List],$Q$6,RawData[Tour/Site],$Q$2,RawData[[Picker ID ]],$Q$3,RawData[Checker ID],$Q$4,RawData[[Error Type ]],$Q$5))</f>
        <v/>
      </c>
    </row>
    <row r="1795" spans="15:15" x14ac:dyDescent="0.25">
      <c r="O1795" s="20" t="str">
        <f>IF(N1795="","",COUNTIFS(RawData[[Date ]],N1795,RawData[Month List],$Q$6,RawData[Tour/Site],$Q$2,RawData[[Picker ID ]],$Q$3,RawData[Checker ID],$Q$4,RawData[[Error Type ]],$Q$5))</f>
        <v/>
      </c>
    </row>
    <row r="1796" spans="15:15" x14ac:dyDescent="0.25">
      <c r="O1796" s="20" t="str">
        <f>IF(N1796="","",COUNTIFS(RawData[[Date ]],N1796,RawData[Month List],$Q$6,RawData[Tour/Site],$Q$2,RawData[[Picker ID ]],$Q$3,RawData[Checker ID],$Q$4,RawData[[Error Type ]],$Q$5))</f>
        <v/>
      </c>
    </row>
    <row r="1797" spans="15:15" x14ac:dyDescent="0.25">
      <c r="O1797" s="20" t="str">
        <f>IF(N1797="","",COUNTIFS(RawData[[Date ]],N1797,RawData[Month List],$Q$6,RawData[Tour/Site],$Q$2,RawData[[Picker ID ]],$Q$3,RawData[Checker ID],$Q$4,RawData[[Error Type ]],$Q$5))</f>
        <v/>
      </c>
    </row>
    <row r="1798" spans="15:15" x14ac:dyDescent="0.25">
      <c r="O1798" s="20" t="str">
        <f>IF(N1798="","",COUNTIFS(RawData[[Date ]],N1798,RawData[Month List],$Q$6,RawData[Tour/Site],$Q$2,RawData[[Picker ID ]],$Q$3,RawData[Checker ID],$Q$4,RawData[[Error Type ]],$Q$5))</f>
        <v/>
      </c>
    </row>
    <row r="1799" spans="15:15" x14ac:dyDescent="0.25">
      <c r="O1799" s="20" t="str">
        <f>IF(N1799="","",COUNTIFS(RawData[[Date ]],N1799,RawData[Month List],$Q$6,RawData[Tour/Site],$Q$2,RawData[[Picker ID ]],$Q$3,RawData[Checker ID],$Q$4,RawData[[Error Type ]],$Q$5))</f>
        <v/>
      </c>
    </row>
    <row r="1800" spans="15:15" x14ac:dyDescent="0.25">
      <c r="O1800" s="20" t="str">
        <f>IF(N1800="","",COUNTIFS(RawData[[Date ]],N1800,RawData[Month List],$Q$6,RawData[Tour/Site],$Q$2,RawData[[Picker ID ]],$Q$3,RawData[Checker ID],$Q$4,RawData[[Error Type ]],$Q$5))</f>
        <v/>
      </c>
    </row>
    <row r="1801" spans="15:15" x14ac:dyDescent="0.25">
      <c r="O1801" s="20" t="str">
        <f>IF(N1801="","",COUNTIFS(RawData[[Date ]],N1801,RawData[Month List],$Q$6,RawData[Tour/Site],$Q$2,RawData[[Picker ID ]],$Q$3,RawData[Checker ID],$Q$4,RawData[[Error Type ]],$Q$5))</f>
        <v/>
      </c>
    </row>
    <row r="1802" spans="15:15" x14ac:dyDescent="0.25">
      <c r="O1802" s="20" t="str">
        <f>IF(N1802="","",COUNTIFS(RawData[[Date ]],N1802,RawData[Month List],$Q$6,RawData[Tour/Site],$Q$2,RawData[[Picker ID ]],$Q$3,RawData[Checker ID],$Q$4,RawData[[Error Type ]],$Q$5))</f>
        <v/>
      </c>
    </row>
    <row r="1803" spans="15:15" x14ac:dyDescent="0.25">
      <c r="O1803" s="20" t="str">
        <f>IF(N1803="","",COUNTIFS(RawData[[Date ]],N1803,RawData[Month List],$Q$6,RawData[Tour/Site],$Q$2,RawData[[Picker ID ]],$Q$3,RawData[Checker ID],$Q$4,RawData[[Error Type ]],$Q$5))</f>
        <v/>
      </c>
    </row>
    <row r="1804" spans="15:15" x14ac:dyDescent="0.25">
      <c r="O1804" s="20" t="str">
        <f>IF(N1804="","",COUNTIFS(RawData[[Date ]],N1804,RawData[Month List],$Q$6,RawData[Tour/Site],$Q$2,RawData[[Picker ID ]],$Q$3,RawData[Checker ID],$Q$4,RawData[[Error Type ]],$Q$5))</f>
        <v/>
      </c>
    </row>
    <row r="1805" spans="15:15" x14ac:dyDescent="0.25">
      <c r="O1805" s="20" t="str">
        <f>IF(N1805="","",COUNTIFS(RawData[[Date ]],N1805,RawData[Month List],$Q$6,RawData[Tour/Site],$Q$2,RawData[[Picker ID ]],$Q$3,RawData[Checker ID],$Q$4,RawData[[Error Type ]],$Q$5))</f>
        <v/>
      </c>
    </row>
    <row r="1806" spans="15:15" x14ac:dyDescent="0.25">
      <c r="O1806" s="20" t="str">
        <f>IF(N1806="","",COUNTIFS(RawData[[Date ]],N1806,RawData[Month List],$Q$6,RawData[Tour/Site],$Q$2,RawData[[Picker ID ]],$Q$3,RawData[Checker ID],$Q$4,RawData[[Error Type ]],$Q$5))</f>
        <v/>
      </c>
    </row>
    <row r="1807" spans="15:15" x14ac:dyDescent="0.25">
      <c r="O1807" s="20" t="str">
        <f>IF(N1807="","",COUNTIFS(RawData[[Date ]],N1807,RawData[Month List],$Q$6,RawData[Tour/Site],$Q$2,RawData[[Picker ID ]],$Q$3,RawData[Checker ID],$Q$4,RawData[[Error Type ]],$Q$5))</f>
        <v/>
      </c>
    </row>
    <row r="1808" spans="15:15" x14ac:dyDescent="0.25">
      <c r="O1808" s="20" t="str">
        <f>IF(N1808="","",COUNTIFS(RawData[[Date ]],N1808,RawData[Month List],$Q$6,RawData[Tour/Site],$Q$2,RawData[[Picker ID ]],$Q$3,RawData[Checker ID],$Q$4,RawData[[Error Type ]],$Q$5))</f>
        <v/>
      </c>
    </row>
    <row r="1809" spans="15:15" x14ac:dyDescent="0.25">
      <c r="O1809" s="20" t="str">
        <f>IF(N1809="","",COUNTIFS(RawData[[Date ]],N1809,RawData[Month List],$Q$6,RawData[Tour/Site],$Q$2,RawData[[Picker ID ]],$Q$3,RawData[Checker ID],$Q$4,RawData[[Error Type ]],$Q$5))</f>
        <v/>
      </c>
    </row>
    <row r="1810" spans="15:15" x14ac:dyDescent="0.25">
      <c r="O1810" s="20" t="str">
        <f>IF(N1810="","",COUNTIFS(RawData[[Date ]],N1810,RawData[Month List],$Q$6,RawData[Tour/Site],$Q$2,RawData[[Picker ID ]],$Q$3,RawData[Checker ID],$Q$4,RawData[[Error Type ]],$Q$5))</f>
        <v/>
      </c>
    </row>
    <row r="1811" spans="15:15" x14ac:dyDescent="0.25">
      <c r="O1811" s="20" t="str">
        <f>IF(N1811="","",COUNTIFS(RawData[[Date ]],N1811,RawData[Month List],$Q$6,RawData[Tour/Site],$Q$2,RawData[[Picker ID ]],$Q$3,RawData[Checker ID],$Q$4,RawData[[Error Type ]],$Q$5))</f>
        <v/>
      </c>
    </row>
    <row r="1812" spans="15:15" x14ac:dyDescent="0.25">
      <c r="O1812" s="20" t="str">
        <f>IF(N1812="","",COUNTIFS(RawData[[Date ]],N1812,RawData[Month List],$Q$6,RawData[Tour/Site],$Q$2,RawData[[Picker ID ]],$Q$3,RawData[Checker ID],$Q$4,RawData[[Error Type ]],$Q$5))</f>
        <v/>
      </c>
    </row>
    <row r="1813" spans="15:15" x14ac:dyDescent="0.25">
      <c r="O1813" s="20" t="str">
        <f>IF(N1813="","",COUNTIFS(RawData[[Date ]],N1813,RawData[Month List],$Q$6,RawData[Tour/Site],$Q$2,RawData[[Picker ID ]],$Q$3,RawData[Checker ID],$Q$4,RawData[[Error Type ]],$Q$5))</f>
        <v/>
      </c>
    </row>
    <row r="1814" spans="15:15" x14ac:dyDescent="0.25">
      <c r="O1814" s="20" t="str">
        <f>IF(N1814="","",COUNTIFS(RawData[[Date ]],N1814,RawData[Month List],$Q$6,RawData[Tour/Site],$Q$2,RawData[[Picker ID ]],$Q$3,RawData[Checker ID],$Q$4,RawData[[Error Type ]],$Q$5))</f>
        <v/>
      </c>
    </row>
    <row r="1815" spans="15:15" x14ac:dyDescent="0.25">
      <c r="O1815" s="20" t="str">
        <f>IF(N1815="","",COUNTIFS(RawData[[Date ]],N1815,RawData[Month List],$Q$6,RawData[Tour/Site],$Q$2,RawData[[Picker ID ]],$Q$3,RawData[Checker ID],$Q$4,RawData[[Error Type ]],$Q$5))</f>
        <v/>
      </c>
    </row>
    <row r="1816" spans="15:15" x14ac:dyDescent="0.25">
      <c r="O1816" s="20" t="str">
        <f>IF(N1816="","",COUNTIFS(RawData[[Date ]],N1816,RawData[Month List],$Q$6,RawData[Tour/Site],$Q$2,RawData[[Picker ID ]],$Q$3,RawData[Checker ID],$Q$4,RawData[[Error Type ]],$Q$5))</f>
        <v/>
      </c>
    </row>
    <row r="1817" spans="15:15" x14ac:dyDescent="0.25">
      <c r="O1817" s="20" t="str">
        <f>IF(N1817="","",COUNTIFS(RawData[[Date ]],N1817,RawData[Month List],$Q$6,RawData[Tour/Site],$Q$2,RawData[[Picker ID ]],$Q$3,RawData[Checker ID],$Q$4,RawData[[Error Type ]],$Q$5))</f>
        <v/>
      </c>
    </row>
    <row r="1818" spans="15:15" x14ac:dyDescent="0.25">
      <c r="O1818" s="20" t="str">
        <f>IF(N1818="","",COUNTIFS(RawData[[Date ]],N1818,RawData[Month List],$Q$6,RawData[Tour/Site],$Q$2,RawData[[Picker ID ]],$Q$3,RawData[Checker ID],$Q$4,RawData[[Error Type ]],$Q$5))</f>
        <v/>
      </c>
    </row>
    <row r="1819" spans="15:15" x14ac:dyDescent="0.25">
      <c r="O1819" s="20" t="str">
        <f>IF(N1819="","",COUNTIFS(RawData[[Date ]],N1819,RawData[Month List],$Q$6,RawData[Tour/Site],$Q$2,RawData[[Picker ID ]],$Q$3,RawData[Checker ID],$Q$4,RawData[[Error Type ]],$Q$5))</f>
        <v/>
      </c>
    </row>
    <row r="1820" spans="15:15" x14ac:dyDescent="0.25">
      <c r="O1820" s="20" t="str">
        <f>IF(N1820="","",COUNTIFS(RawData[[Date ]],N1820,RawData[Month List],$Q$6,RawData[Tour/Site],$Q$2,RawData[[Picker ID ]],$Q$3,RawData[Checker ID],$Q$4,RawData[[Error Type ]],$Q$5))</f>
        <v/>
      </c>
    </row>
    <row r="1821" spans="15:15" x14ac:dyDescent="0.25">
      <c r="O1821" s="20" t="str">
        <f>IF(N1821="","",COUNTIFS(RawData[[Date ]],N1821,RawData[Month List],$Q$6,RawData[Tour/Site],$Q$2,RawData[[Picker ID ]],$Q$3,RawData[Checker ID],$Q$4,RawData[[Error Type ]],$Q$5))</f>
        <v/>
      </c>
    </row>
    <row r="1822" spans="15:15" x14ac:dyDescent="0.25">
      <c r="O1822" s="20" t="str">
        <f>IF(N1822="","",COUNTIFS(RawData[[Date ]],N1822,RawData[Month List],$Q$6,RawData[Tour/Site],$Q$2,RawData[[Picker ID ]],$Q$3,RawData[Checker ID],$Q$4,RawData[[Error Type ]],$Q$5))</f>
        <v/>
      </c>
    </row>
    <row r="1823" spans="15:15" x14ac:dyDescent="0.25">
      <c r="O1823" s="20" t="str">
        <f>IF(N1823="","",COUNTIFS(RawData[[Date ]],N1823,RawData[Month List],$Q$6,RawData[Tour/Site],$Q$2,RawData[[Picker ID ]],$Q$3,RawData[Checker ID],$Q$4,RawData[[Error Type ]],$Q$5))</f>
        <v/>
      </c>
    </row>
    <row r="1824" spans="15:15" x14ac:dyDescent="0.25">
      <c r="O1824" s="20" t="str">
        <f>IF(N1824="","",COUNTIFS(RawData[[Date ]],N1824,RawData[Month List],$Q$6,RawData[Tour/Site],$Q$2,RawData[[Picker ID ]],$Q$3,RawData[Checker ID],$Q$4,RawData[[Error Type ]],$Q$5))</f>
        <v/>
      </c>
    </row>
    <row r="1825" spans="15:15" x14ac:dyDescent="0.25">
      <c r="O1825" s="20" t="str">
        <f>IF(N1825="","",COUNTIFS(RawData[[Date ]],N1825,RawData[Month List],$Q$6,RawData[Tour/Site],$Q$2,RawData[[Picker ID ]],$Q$3,RawData[Checker ID],$Q$4,RawData[[Error Type ]],$Q$5))</f>
        <v/>
      </c>
    </row>
    <row r="1826" spans="15:15" x14ac:dyDescent="0.25">
      <c r="O1826" s="20" t="str">
        <f>IF(N1826="","",COUNTIFS(RawData[[Date ]],N1826,RawData[Month List],$Q$6,RawData[Tour/Site],$Q$2,RawData[[Picker ID ]],$Q$3,RawData[Checker ID],$Q$4,RawData[[Error Type ]],$Q$5))</f>
        <v/>
      </c>
    </row>
    <row r="1827" spans="15:15" x14ac:dyDescent="0.25">
      <c r="O1827" s="20" t="str">
        <f>IF(N1827="","",COUNTIFS(RawData[[Date ]],N1827,RawData[Month List],$Q$6,RawData[Tour/Site],$Q$2,RawData[[Picker ID ]],$Q$3,RawData[Checker ID],$Q$4,RawData[[Error Type ]],$Q$5))</f>
        <v/>
      </c>
    </row>
    <row r="1828" spans="15:15" x14ac:dyDescent="0.25">
      <c r="O1828" s="20" t="str">
        <f>IF(N1828="","",COUNTIFS(RawData[[Date ]],N1828,RawData[Month List],$Q$6,RawData[Tour/Site],$Q$2,RawData[[Picker ID ]],$Q$3,RawData[Checker ID],$Q$4,RawData[[Error Type ]],$Q$5))</f>
        <v/>
      </c>
    </row>
    <row r="1829" spans="15:15" x14ac:dyDescent="0.25">
      <c r="O1829" s="20" t="str">
        <f>IF(N1829="","",COUNTIFS(RawData[[Date ]],N1829,RawData[Month List],$Q$6,RawData[Tour/Site],$Q$2,RawData[[Picker ID ]],$Q$3,RawData[Checker ID],$Q$4,RawData[[Error Type ]],$Q$5))</f>
        <v/>
      </c>
    </row>
    <row r="1830" spans="15:15" x14ac:dyDescent="0.25">
      <c r="O1830" s="20" t="str">
        <f>IF(N1830="","",COUNTIFS(RawData[[Date ]],N1830,RawData[Month List],$Q$6,RawData[Tour/Site],$Q$2,RawData[[Picker ID ]],$Q$3,RawData[Checker ID],$Q$4,RawData[[Error Type ]],$Q$5))</f>
        <v/>
      </c>
    </row>
    <row r="1831" spans="15:15" x14ac:dyDescent="0.25">
      <c r="O1831" s="20" t="str">
        <f>IF(N1831="","",COUNTIFS(RawData[[Date ]],N1831,RawData[Month List],$Q$6,RawData[Tour/Site],$Q$2,RawData[[Picker ID ]],$Q$3,RawData[Checker ID],$Q$4,RawData[[Error Type ]],$Q$5))</f>
        <v/>
      </c>
    </row>
    <row r="1832" spans="15:15" x14ac:dyDescent="0.25">
      <c r="O1832" s="20" t="str">
        <f>IF(N1832="","",COUNTIFS(RawData[[Date ]],N1832,RawData[Month List],$Q$6,RawData[Tour/Site],$Q$2,RawData[[Picker ID ]],$Q$3,RawData[Checker ID],$Q$4,RawData[[Error Type ]],$Q$5))</f>
        <v/>
      </c>
    </row>
    <row r="1833" spans="15:15" x14ac:dyDescent="0.25">
      <c r="O1833" s="20" t="str">
        <f>IF(N1833="","",COUNTIFS(RawData[[Date ]],N1833,RawData[Month List],$Q$6,RawData[Tour/Site],$Q$2,RawData[[Picker ID ]],$Q$3,RawData[Checker ID],$Q$4,RawData[[Error Type ]],$Q$5))</f>
        <v/>
      </c>
    </row>
    <row r="1834" spans="15:15" x14ac:dyDescent="0.25">
      <c r="O1834" s="20" t="str">
        <f>IF(N1834="","",COUNTIFS(RawData[[Date ]],N1834,RawData[Month List],$Q$6,RawData[Tour/Site],$Q$2,RawData[[Picker ID ]],$Q$3,RawData[Checker ID],$Q$4,RawData[[Error Type ]],$Q$5))</f>
        <v/>
      </c>
    </row>
    <row r="1835" spans="15:15" x14ac:dyDescent="0.25">
      <c r="O1835" s="20" t="str">
        <f>IF(N1835="","",COUNTIFS(RawData[[Date ]],N1835,RawData[Month List],$Q$6,RawData[Tour/Site],$Q$2,RawData[[Picker ID ]],$Q$3,RawData[Checker ID],$Q$4,RawData[[Error Type ]],$Q$5))</f>
        <v/>
      </c>
    </row>
    <row r="1836" spans="15:15" x14ac:dyDescent="0.25">
      <c r="O1836" s="20" t="str">
        <f>IF(N1836="","",COUNTIFS(RawData[[Date ]],N1836,RawData[Month List],$Q$6,RawData[Tour/Site],$Q$2,RawData[[Picker ID ]],$Q$3,RawData[Checker ID],$Q$4,RawData[[Error Type ]],$Q$5))</f>
        <v/>
      </c>
    </row>
    <row r="1837" spans="15:15" x14ac:dyDescent="0.25">
      <c r="O1837" s="20" t="str">
        <f>IF(N1837="","",COUNTIFS(RawData[[Date ]],N1837,RawData[Month List],$Q$6,RawData[Tour/Site],$Q$2,RawData[[Picker ID ]],$Q$3,RawData[Checker ID],$Q$4,RawData[[Error Type ]],$Q$5))</f>
        <v/>
      </c>
    </row>
    <row r="1838" spans="15:15" x14ac:dyDescent="0.25">
      <c r="O1838" s="20" t="str">
        <f>IF(N1838="","",COUNTIFS(RawData[[Date ]],N1838,RawData[Month List],$Q$6,RawData[Tour/Site],$Q$2,RawData[[Picker ID ]],$Q$3,RawData[Checker ID],$Q$4,RawData[[Error Type ]],$Q$5))</f>
        <v/>
      </c>
    </row>
    <row r="1839" spans="15:15" x14ac:dyDescent="0.25">
      <c r="O1839" s="20" t="str">
        <f>IF(N1839="","",COUNTIFS(RawData[[Date ]],N1839,RawData[Month List],$Q$6,RawData[Tour/Site],$Q$2,RawData[[Picker ID ]],$Q$3,RawData[Checker ID],$Q$4,RawData[[Error Type ]],$Q$5))</f>
        <v/>
      </c>
    </row>
    <row r="1840" spans="15:15" x14ac:dyDescent="0.25">
      <c r="O1840" s="20" t="str">
        <f>IF(N1840="","",COUNTIFS(RawData[[Date ]],N1840,RawData[Month List],$Q$6,RawData[Tour/Site],$Q$2,RawData[[Picker ID ]],$Q$3,RawData[Checker ID],$Q$4,RawData[[Error Type ]],$Q$5))</f>
        <v/>
      </c>
    </row>
    <row r="1841" spans="15:15" x14ac:dyDescent="0.25">
      <c r="O1841" s="20" t="str">
        <f>IF(N1841="","",COUNTIFS(RawData[[Date ]],N1841,RawData[Month List],$Q$6,RawData[Tour/Site],$Q$2,RawData[[Picker ID ]],$Q$3,RawData[Checker ID],$Q$4,RawData[[Error Type ]],$Q$5))</f>
        <v/>
      </c>
    </row>
    <row r="1842" spans="15:15" x14ac:dyDescent="0.25">
      <c r="O1842" s="20" t="str">
        <f>IF(N1842="","",COUNTIFS(RawData[[Date ]],N1842,RawData[Month List],$Q$6,RawData[Tour/Site],$Q$2,RawData[[Picker ID ]],$Q$3,RawData[Checker ID],$Q$4,RawData[[Error Type ]],$Q$5))</f>
        <v/>
      </c>
    </row>
    <row r="1843" spans="15:15" x14ac:dyDescent="0.25">
      <c r="O1843" s="20" t="str">
        <f>IF(N1843="","",COUNTIFS(RawData[[Date ]],N1843,RawData[Month List],$Q$6,RawData[Tour/Site],$Q$2,RawData[[Picker ID ]],$Q$3,RawData[Checker ID],$Q$4,RawData[[Error Type ]],$Q$5))</f>
        <v/>
      </c>
    </row>
    <row r="1844" spans="15:15" x14ac:dyDescent="0.25">
      <c r="O1844" s="20" t="str">
        <f>IF(N1844="","",COUNTIFS(RawData[[Date ]],N1844,RawData[Month List],$Q$6,RawData[Tour/Site],$Q$2,RawData[[Picker ID ]],$Q$3,RawData[Checker ID],$Q$4,RawData[[Error Type ]],$Q$5))</f>
        <v/>
      </c>
    </row>
    <row r="1845" spans="15:15" x14ac:dyDescent="0.25">
      <c r="O1845" s="20" t="str">
        <f>IF(N1845="","",COUNTIFS(RawData[[Date ]],N1845,RawData[Month List],$Q$6,RawData[Tour/Site],$Q$2,RawData[[Picker ID ]],$Q$3,RawData[Checker ID],$Q$4,RawData[[Error Type ]],$Q$5))</f>
        <v/>
      </c>
    </row>
    <row r="1846" spans="15:15" x14ac:dyDescent="0.25">
      <c r="O1846" s="20" t="str">
        <f>IF(N1846="","",COUNTIFS(RawData[[Date ]],N1846,RawData[Month List],$Q$6,RawData[Tour/Site],$Q$2,RawData[[Picker ID ]],$Q$3,RawData[Checker ID],$Q$4,RawData[[Error Type ]],$Q$5))</f>
        <v/>
      </c>
    </row>
    <row r="1847" spans="15:15" x14ac:dyDescent="0.25">
      <c r="O1847" s="20" t="str">
        <f>IF(N1847="","",COUNTIFS(RawData[[Date ]],N1847,RawData[Month List],$Q$6,RawData[Tour/Site],$Q$2,RawData[[Picker ID ]],$Q$3,RawData[Checker ID],$Q$4,RawData[[Error Type ]],$Q$5))</f>
        <v/>
      </c>
    </row>
    <row r="1848" spans="15:15" x14ac:dyDescent="0.25">
      <c r="O1848" s="20" t="str">
        <f>IF(N1848="","",COUNTIFS(RawData[[Date ]],N1848,RawData[Month List],$Q$6,RawData[Tour/Site],$Q$2,RawData[[Picker ID ]],$Q$3,RawData[Checker ID],$Q$4,RawData[[Error Type ]],$Q$5))</f>
        <v/>
      </c>
    </row>
    <row r="1849" spans="15:15" x14ac:dyDescent="0.25">
      <c r="O1849" s="20" t="str">
        <f>IF(N1849="","",COUNTIFS(RawData[[Date ]],N1849,RawData[Month List],$Q$6,RawData[Tour/Site],$Q$2,RawData[[Picker ID ]],$Q$3,RawData[Checker ID],$Q$4,RawData[[Error Type ]],$Q$5))</f>
        <v/>
      </c>
    </row>
    <row r="1850" spans="15:15" x14ac:dyDescent="0.25">
      <c r="O1850" s="20" t="str">
        <f>IF(N1850="","",COUNTIFS(RawData[[Date ]],N1850,RawData[Month List],$Q$6,RawData[Tour/Site],$Q$2,RawData[[Picker ID ]],$Q$3,RawData[Checker ID],$Q$4,RawData[[Error Type ]],$Q$5))</f>
        <v/>
      </c>
    </row>
    <row r="1851" spans="15:15" x14ac:dyDescent="0.25">
      <c r="O1851" s="20" t="str">
        <f>IF(N1851="","",COUNTIFS(RawData[[Date ]],N1851,RawData[Month List],$Q$6,RawData[Tour/Site],$Q$2,RawData[[Picker ID ]],$Q$3,RawData[Checker ID],$Q$4,RawData[[Error Type ]],$Q$5))</f>
        <v/>
      </c>
    </row>
    <row r="1852" spans="15:15" x14ac:dyDescent="0.25">
      <c r="O1852" s="20" t="str">
        <f>IF(N1852="","",COUNTIFS(RawData[[Date ]],N1852,RawData[Month List],$Q$6,RawData[Tour/Site],$Q$2,RawData[[Picker ID ]],$Q$3,RawData[Checker ID],$Q$4,RawData[[Error Type ]],$Q$5))</f>
        <v/>
      </c>
    </row>
    <row r="1853" spans="15:15" x14ac:dyDescent="0.25">
      <c r="O1853" s="20" t="str">
        <f>IF(N1853="","",COUNTIFS(RawData[[Date ]],N1853,RawData[Month List],$Q$6,RawData[Tour/Site],$Q$2,RawData[[Picker ID ]],$Q$3,RawData[Checker ID],$Q$4,RawData[[Error Type ]],$Q$5))</f>
        <v/>
      </c>
    </row>
    <row r="1854" spans="15:15" x14ac:dyDescent="0.25">
      <c r="O1854" s="20" t="str">
        <f>IF(N1854="","",COUNTIFS(RawData[[Date ]],N1854,RawData[Month List],$Q$6,RawData[Tour/Site],$Q$2,RawData[[Picker ID ]],$Q$3,RawData[Checker ID],$Q$4,RawData[[Error Type ]],$Q$5))</f>
        <v/>
      </c>
    </row>
    <row r="1855" spans="15:15" x14ac:dyDescent="0.25">
      <c r="O1855" s="20" t="str">
        <f>IF(N1855="","",COUNTIFS(RawData[[Date ]],N1855,RawData[Month List],$Q$6,RawData[Tour/Site],$Q$2,RawData[[Picker ID ]],$Q$3,RawData[Checker ID],$Q$4,RawData[[Error Type ]],$Q$5))</f>
        <v/>
      </c>
    </row>
    <row r="1856" spans="15:15" x14ac:dyDescent="0.25">
      <c r="O1856" s="20" t="str">
        <f>IF(N1856="","",COUNTIFS(RawData[[Date ]],N1856,RawData[Month List],$Q$6,RawData[Tour/Site],$Q$2,RawData[[Picker ID ]],$Q$3,RawData[Checker ID],$Q$4,RawData[[Error Type ]],$Q$5))</f>
        <v/>
      </c>
    </row>
    <row r="1857" spans="15:15" x14ac:dyDescent="0.25">
      <c r="O1857" s="20" t="str">
        <f>IF(N1857="","",COUNTIFS(RawData[[Date ]],N1857,RawData[Month List],$Q$6,RawData[Tour/Site],$Q$2,RawData[[Picker ID ]],$Q$3,RawData[Checker ID],$Q$4,RawData[[Error Type ]],$Q$5))</f>
        <v/>
      </c>
    </row>
    <row r="1858" spans="15:15" x14ac:dyDescent="0.25">
      <c r="O1858" s="20" t="str">
        <f>IF(N1858="","",COUNTIFS(RawData[[Date ]],N1858,RawData[Month List],$Q$6,RawData[Tour/Site],$Q$2,RawData[[Picker ID ]],$Q$3,RawData[Checker ID],$Q$4,RawData[[Error Type ]],$Q$5))</f>
        <v/>
      </c>
    </row>
    <row r="1859" spans="15:15" x14ac:dyDescent="0.25">
      <c r="O1859" s="20" t="str">
        <f>IF(N1859="","",COUNTIFS(RawData[[Date ]],N1859,RawData[Month List],$Q$6,RawData[Tour/Site],$Q$2,RawData[[Picker ID ]],$Q$3,RawData[Checker ID],$Q$4,RawData[[Error Type ]],$Q$5))</f>
        <v/>
      </c>
    </row>
    <row r="1860" spans="15:15" x14ac:dyDescent="0.25">
      <c r="O1860" s="20" t="str">
        <f>IF(N1860="","",COUNTIFS(RawData[[Date ]],N1860,RawData[Month List],$Q$6,RawData[Tour/Site],$Q$2,RawData[[Picker ID ]],$Q$3,RawData[Checker ID],$Q$4,RawData[[Error Type ]],$Q$5))</f>
        <v/>
      </c>
    </row>
    <row r="1861" spans="15:15" x14ac:dyDescent="0.25">
      <c r="O1861" s="20" t="str">
        <f>IF(N1861="","",COUNTIFS(RawData[[Date ]],N1861,RawData[Month List],$Q$6,RawData[Tour/Site],$Q$2,RawData[[Picker ID ]],$Q$3,RawData[Checker ID],$Q$4,RawData[[Error Type ]],$Q$5))</f>
        <v/>
      </c>
    </row>
    <row r="1862" spans="15:15" x14ac:dyDescent="0.25">
      <c r="O1862" s="20" t="str">
        <f>IF(N1862="","",COUNTIFS(RawData[[Date ]],N1862,RawData[Month List],$Q$6,RawData[Tour/Site],$Q$2,RawData[[Picker ID ]],$Q$3,RawData[Checker ID],$Q$4,RawData[[Error Type ]],$Q$5))</f>
        <v/>
      </c>
    </row>
    <row r="1863" spans="15:15" x14ac:dyDescent="0.25">
      <c r="O1863" s="20" t="str">
        <f>IF(N1863="","",COUNTIFS(RawData[[Date ]],N1863,RawData[Month List],$Q$6,RawData[Tour/Site],$Q$2,RawData[[Picker ID ]],$Q$3,RawData[Checker ID],$Q$4,RawData[[Error Type ]],$Q$5))</f>
        <v/>
      </c>
    </row>
    <row r="1864" spans="15:15" x14ac:dyDescent="0.25">
      <c r="O1864" s="20" t="str">
        <f>IF(N1864="","",COUNTIFS(RawData[[Date ]],N1864,RawData[Month List],$Q$6,RawData[Tour/Site],$Q$2,RawData[[Picker ID ]],$Q$3,RawData[Checker ID],$Q$4,RawData[[Error Type ]],$Q$5))</f>
        <v/>
      </c>
    </row>
    <row r="1865" spans="15:15" x14ac:dyDescent="0.25">
      <c r="O1865" s="20" t="str">
        <f>IF(N1865="","",COUNTIFS(RawData[[Date ]],N1865,RawData[Month List],$Q$6,RawData[Tour/Site],$Q$2,RawData[[Picker ID ]],$Q$3,RawData[Checker ID],$Q$4,RawData[[Error Type ]],$Q$5))</f>
        <v/>
      </c>
    </row>
    <row r="1866" spans="15:15" x14ac:dyDescent="0.25">
      <c r="O1866" s="20" t="str">
        <f>IF(N1866="","",COUNTIFS(RawData[[Date ]],N1866,RawData[Month List],$Q$6,RawData[Tour/Site],$Q$2,RawData[[Picker ID ]],$Q$3,RawData[Checker ID],$Q$4,RawData[[Error Type ]],$Q$5))</f>
        <v/>
      </c>
    </row>
    <row r="1867" spans="15:15" x14ac:dyDescent="0.25">
      <c r="O1867" s="20" t="str">
        <f>IF(N1867="","",COUNTIFS(RawData[[Date ]],N1867,RawData[Month List],$Q$6,RawData[Tour/Site],$Q$2,RawData[[Picker ID ]],$Q$3,RawData[Checker ID],$Q$4,RawData[[Error Type ]],$Q$5))</f>
        <v/>
      </c>
    </row>
    <row r="1868" spans="15:15" x14ac:dyDescent="0.25">
      <c r="O1868" s="20" t="str">
        <f>IF(N1868="","",COUNTIFS(RawData[[Date ]],N1868,RawData[Month List],$Q$6,RawData[Tour/Site],$Q$2,RawData[[Picker ID ]],$Q$3,RawData[Checker ID],$Q$4,RawData[[Error Type ]],$Q$5))</f>
        <v/>
      </c>
    </row>
    <row r="1869" spans="15:15" x14ac:dyDescent="0.25">
      <c r="O1869" s="20" t="str">
        <f>IF(N1869="","",COUNTIFS(RawData[[Date ]],N1869,RawData[Month List],$Q$6,RawData[Tour/Site],$Q$2,RawData[[Picker ID ]],$Q$3,RawData[Checker ID],$Q$4,RawData[[Error Type ]],$Q$5))</f>
        <v/>
      </c>
    </row>
    <row r="1870" spans="15:15" x14ac:dyDescent="0.25">
      <c r="O1870" s="20" t="str">
        <f>IF(N1870="","",COUNTIFS(RawData[[Date ]],N1870,RawData[Month List],$Q$6,RawData[Tour/Site],$Q$2,RawData[[Picker ID ]],$Q$3,RawData[Checker ID],$Q$4,RawData[[Error Type ]],$Q$5))</f>
        <v/>
      </c>
    </row>
    <row r="1871" spans="15:15" x14ac:dyDescent="0.25">
      <c r="O1871" s="20" t="str">
        <f>IF(N1871="","",COUNTIFS(RawData[[Date ]],N1871,RawData[Month List],$Q$6,RawData[Tour/Site],$Q$2,RawData[[Picker ID ]],$Q$3,RawData[Checker ID],$Q$4,RawData[[Error Type ]],$Q$5))</f>
        <v/>
      </c>
    </row>
    <row r="1872" spans="15:15" x14ac:dyDescent="0.25">
      <c r="O1872" s="20" t="str">
        <f>IF(N1872="","",COUNTIFS(RawData[[Date ]],N1872,RawData[Month List],$Q$6,RawData[Tour/Site],$Q$2,RawData[[Picker ID ]],$Q$3,RawData[Checker ID],$Q$4,RawData[[Error Type ]],$Q$5))</f>
        <v/>
      </c>
    </row>
    <row r="1873" spans="15:15" x14ac:dyDescent="0.25">
      <c r="O1873" s="20" t="str">
        <f>IF(N1873="","",COUNTIFS(RawData[[Date ]],N1873,RawData[Month List],$Q$6,RawData[Tour/Site],$Q$2,RawData[[Picker ID ]],$Q$3,RawData[Checker ID],$Q$4,RawData[[Error Type ]],$Q$5))</f>
        <v/>
      </c>
    </row>
    <row r="1874" spans="15:15" x14ac:dyDescent="0.25">
      <c r="O1874" s="20" t="str">
        <f>IF(N1874="","",COUNTIFS(RawData[[Date ]],N1874,RawData[Month List],$Q$6,RawData[Tour/Site],$Q$2,RawData[[Picker ID ]],$Q$3,RawData[Checker ID],$Q$4,RawData[[Error Type ]],$Q$5))</f>
        <v/>
      </c>
    </row>
    <row r="1875" spans="15:15" x14ac:dyDescent="0.25">
      <c r="O1875" s="20" t="str">
        <f>IF(N1875="","",COUNTIFS(RawData[[Date ]],N1875,RawData[Month List],$Q$6,RawData[Tour/Site],$Q$2,RawData[[Picker ID ]],$Q$3,RawData[Checker ID],$Q$4,RawData[[Error Type ]],$Q$5))</f>
        <v/>
      </c>
    </row>
    <row r="1876" spans="15:15" x14ac:dyDescent="0.25">
      <c r="O1876" s="20" t="str">
        <f>IF(N1876="","",COUNTIFS(RawData[[Date ]],N1876,RawData[Month List],$Q$6,RawData[Tour/Site],$Q$2,RawData[[Picker ID ]],$Q$3,RawData[Checker ID],$Q$4,RawData[[Error Type ]],$Q$5))</f>
        <v/>
      </c>
    </row>
    <row r="1877" spans="15:15" x14ac:dyDescent="0.25">
      <c r="O1877" s="20" t="str">
        <f>IF(N1877="","",COUNTIFS(RawData[[Date ]],N1877,RawData[Month List],$Q$6,RawData[Tour/Site],$Q$2,RawData[[Picker ID ]],$Q$3,RawData[Checker ID],$Q$4,RawData[[Error Type ]],$Q$5))</f>
        <v/>
      </c>
    </row>
    <row r="1878" spans="15:15" x14ac:dyDescent="0.25">
      <c r="O1878" s="20" t="str">
        <f>IF(N1878="","",COUNTIFS(RawData[[Date ]],N1878,RawData[Month List],$Q$6,RawData[Tour/Site],$Q$2,RawData[[Picker ID ]],$Q$3,RawData[Checker ID],$Q$4,RawData[[Error Type ]],$Q$5))</f>
        <v/>
      </c>
    </row>
    <row r="1879" spans="15:15" x14ac:dyDescent="0.25">
      <c r="O1879" s="20" t="str">
        <f>IF(N1879="","",COUNTIFS(RawData[[Date ]],N1879,RawData[Month List],$Q$6,RawData[Tour/Site],$Q$2,RawData[[Picker ID ]],$Q$3,RawData[Checker ID],$Q$4,RawData[[Error Type ]],$Q$5))</f>
        <v/>
      </c>
    </row>
    <row r="1880" spans="15:15" x14ac:dyDescent="0.25">
      <c r="O1880" s="20" t="str">
        <f>IF(N1880="","",COUNTIFS(RawData[[Date ]],N1880,RawData[Month List],$Q$6,RawData[Tour/Site],$Q$2,RawData[[Picker ID ]],$Q$3,RawData[Checker ID],$Q$4,RawData[[Error Type ]],$Q$5))</f>
        <v/>
      </c>
    </row>
    <row r="1881" spans="15:15" x14ac:dyDescent="0.25">
      <c r="O1881" s="20" t="str">
        <f>IF(N1881="","",COUNTIFS(RawData[[Date ]],N1881,RawData[Month List],$Q$6,RawData[Tour/Site],$Q$2,RawData[[Picker ID ]],$Q$3,RawData[Checker ID],$Q$4,RawData[[Error Type ]],$Q$5))</f>
        <v/>
      </c>
    </row>
    <row r="1882" spans="15:15" x14ac:dyDescent="0.25">
      <c r="O1882" s="20" t="str">
        <f>IF(N1882="","",COUNTIFS(RawData[[Date ]],N1882,RawData[Month List],$Q$6,RawData[Tour/Site],$Q$2,RawData[[Picker ID ]],$Q$3,RawData[Checker ID],$Q$4,RawData[[Error Type ]],$Q$5))</f>
        <v/>
      </c>
    </row>
    <row r="1883" spans="15:15" x14ac:dyDescent="0.25">
      <c r="O1883" s="20" t="str">
        <f>IF(N1883="","",COUNTIFS(RawData[[Date ]],N1883,RawData[Month List],$Q$6,RawData[Tour/Site],$Q$2,RawData[[Picker ID ]],$Q$3,RawData[Checker ID],$Q$4,RawData[[Error Type ]],$Q$5))</f>
        <v/>
      </c>
    </row>
    <row r="1884" spans="15:15" x14ac:dyDescent="0.25">
      <c r="O1884" s="20" t="str">
        <f>IF(N1884="","",COUNTIFS(RawData[[Date ]],N1884,RawData[Month List],$Q$6,RawData[Tour/Site],$Q$2,RawData[[Picker ID ]],$Q$3,RawData[Checker ID],$Q$4,RawData[[Error Type ]],$Q$5))</f>
        <v/>
      </c>
    </row>
    <row r="1885" spans="15:15" x14ac:dyDescent="0.25">
      <c r="O1885" s="20" t="str">
        <f>IF(N1885="","",COUNTIFS(RawData[[Date ]],N1885,RawData[Month List],$Q$6,RawData[Tour/Site],$Q$2,RawData[[Picker ID ]],$Q$3,RawData[Checker ID],$Q$4,RawData[[Error Type ]],$Q$5))</f>
        <v/>
      </c>
    </row>
    <row r="1886" spans="15:15" x14ac:dyDescent="0.25">
      <c r="O1886" s="20" t="str">
        <f>IF(N1886="","",COUNTIFS(RawData[[Date ]],N1886,RawData[Month List],$Q$6,RawData[Tour/Site],$Q$2,RawData[[Picker ID ]],$Q$3,RawData[Checker ID],$Q$4,RawData[[Error Type ]],$Q$5))</f>
        <v/>
      </c>
    </row>
    <row r="1887" spans="15:15" x14ac:dyDescent="0.25">
      <c r="O1887" s="20" t="str">
        <f>IF(N1887="","",COUNTIFS(RawData[[Date ]],N1887,RawData[Month List],$Q$6,RawData[Tour/Site],$Q$2,RawData[[Picker ID ]],$Q$3,RawData[Checker ID],$Q$4,RawData[[Error Type ]],$Q$5))</f>
        <v/>
      </c>
    </row>
    <row r="1888" spans="15:15" x14ac:dyDescent="0.25">
      <c r="O1888" s="20" t="str">
        <f>IF(N1888="","",COUNTIFS(RawData[[Date ]],N1888,RawData[Month List],$Q$6,RawData[Tour/Site],$Q$2,RawData[[Picker ID ]],$Q$3,RawData[Checker ID],$Q$4,RawData[[Error Type ]],$Q$5))</f>
        <v/>
      </c>
    </row>
    <row r="1889" spans="15:15" x14ac:dyDescent="0.25">
      <c r="O1889" s="20" t="str">
        <f>IF(N1889="","",COUNTIFS(RawData[[Date ]],N1889,RawData[Month List],$Q$6,RawData[Tour/Site],$Q$2,RawData[[Picker ID ]],$Q$3,RawData[Checker ID],$Q$4,RawData[[Error Type ]],$Q$5))</f>
        <v/>
      </c>
    </row>
    <row r="1890" spans="15:15" x14ac:dyDescent="0.25">
      <c r="O1890" s="20" t="str">
        <f>IF(N1890="","",COUNTIFS(RawData[[Date ]],N1890,RawData[Month List],$Q$6,RawData[Tour/Site],$Q$2,RawData[[Picker ID ]],$Q$3,RawData[Checker ID],$Q$4,RawData[[Error Type ]],$Q$5))</f>
        <v/>
      </c>
    </row>
    <row r="1891" spans="15:15" x14ac:dyDescent="0.25">
      <c r="O1891" s="20" t="str">
        <f>IF(N1891="","",COUNTIFS(RawData[[Date ]],N1891,RawData[Month List],$Q$6,RawData[Tour/Site],$Q$2,RawData[[Picker ID ]],$Q$3,RawData[Checker ID],$Q$4,RawData[[Error Type ]],$Q$5))</f>
        <v/>
      </c>
    </row>
    <row r="1892" spans="15:15" x14ac:dyDescent="0.25">
      <c r="O1892" s="20" t="str">
        <f>IF(N1892="","",COUNTIFS(RawData[[Date ]],N1892,RawData[Month List],$Q$6,RawData[Tour/Site],$Q$2,RawData[[Picker ID ]],$Q$3,RawData[Checker ID],$Q$4,RawData[[Error Type ]],$Q$5))</f>
        <v/>
      </c>
    </row>
    <row r="1893" spans="15:15" x14ac:dyDescent="0.25">
      <c r="O1893" s="20" t="str">
        <f>IF(N1893="","",COUNTIFS(RawData[[Date ]],N1893,RawData[Month List],$Q$6,RawData[Tour/Site],$Q$2,RawData[[Picker ID ]],$Q$3,RawData[Checker ID],$Q$4,RawData[[Error Type ]],$Q$5))</f>
        <v/>
      </c>
    </row>
    <row r="1894" spans="15:15" x14ac:dyDescent="0.25">
      <c r="O1894" s="20" t="str">
        <f>IF(N1894="","",COUNTIFS(RawData[[Date ]],N1894,RawData[Month List],$Q$6,RawData[Tour/Site],$Q$2,RawData[[Picker ID ]],$Q$3,RawData[Checker ID],$Q$4,RawData[[Error Type ]],$Q$5))</f>
        <v/>
      </c>
    </row>
    <row r="1895" spans="15:15" x14ac:dyDescent="0.25">
      <c r="O1895" s="20" t="str">
        <f>IF(N1895="","",COUNTIFS(RawData[[Date ]],N1895,RawData[Month List],$Q$6,RawData[Tour/Site],$Q$2,RawData[[Picker ID ]],$Q$3,RawData[Checker ID],$Q$4,RawData[[Error Type ]],$Q$5))</f>
        <v/>
      </c>
    </row>
    <row r="1896" spans="15:15" x14ac:dyDescent="0.25">
      <c r="O1896" s="20" t="str">
        <f>IF(N1896="","",COUNTIFS(RawData[[Date ]],N1896,RawData[Month List],$Q$6,RawData[Tour/Site],$Q$2,RawData[[Picker ID ]],$Q$3,RawData[Checker ID],$Q$4,RawData[[Error Type ]],$Q$5))</f>
        <v/>
      </c>
    </row>
    <row r="1897" spans="15:15" x14ac:dyDescent="0.25">
      <c r="O1897" s="20" t="str">
        <f>IF(N1897="","",COUNTIFS(RawData[[Date ]],N1897,RawData[Month List],$Q$6,RawData[Tour/Site],$Q$2,RawData[[Picker ID ]],$Q$3,RawData[Checker ID],$Q$4,RawData[[Error Type ]],$Q$5))</f>
        <v/>
      </c>
    </row>
    <row r="1898" spans="15:15" x14ac:dyDescent="0.25">
      <c r="O1898" s="20" t="str">
        <f>IF(N1898="","",COUNTIFS(RawData[[Date ]],N1898,RawData[Month List],$Q$6,RawData[Tour/Site],$Q$2,RawData[[Picker ID ]],$Q$3,RawData[Checker ID],$Q$4,RawData[[Error Type ]],$Q$5))</f>
        <v/>
      </c>
    </row>
    <row r="1899" spans="15:15" x14ac:dyDescent="0.25">
      <c r="O1899" s="20" t="str">
        <f>IF(N1899="","",COUNTIFS(RawData[[Date ]],N1899,RawData[Month List],$Q$6,RawData[Tour/Site],$Q$2,RawData[[Picker ID ]],$Q$3,RawData[Checker ID],$Q$4,RawData[[Error Type ]],$Q$5))</f>
        <v/>
      </c>
    </row>
    <row r="1900" spans="15:15" x14ac:dyDescent="0.25">
      <c r="O1900" s="20" t="str">
        <f>IF(N1900="","",COUNTIFS(RawData[[Date ]],N1900,RawData[Month List],$Q$6,RawData[Tour/Site],$Q$2,RawData[[Picker ID ]],$Q$3,RawData[Checker ID],$Q$4,RawData[[Error Type ]],$Q$5))</f>
        <v/>
      </c>
    </row>
    <row r="1901" spans="15:15" x14ac:dyDescent="0.25">
      <c r="O1901" s="20" t="str">
        <f>IF(N1901="","",COUNTIFS(RawData[[Date ]],N1901,RawData[Month List],$Q$6,RawData[Tour/Site],$Q$2,RawData[[Picker ID ]],$Q$3,RawData[Checker ID],$Q$4,RawData[[Error Type ]],$Q$5))</f>
        <v/>
      </c>
    </row>
    <row r="1902" spans="15:15" x14ac:dyDescent="0.25">
      <c r="O1902" s="20" t="str">
        <f>IF(N1902="","",COUNTIFS(RawData[[Date ]],N1902,RawData[Month List],$Q$6,RawData[Tour/Site],$Q$2,RawData[[Picker ID ]],$Q$3,RawData[Checker ID],$Q$4,RawData[[Error Type ]],$Q$5))</f>
        <v/>
      </c>
    </row>
    <row r="1903" spans="15:15" x14ac:dyDescent="0.25">
      <c r="O1903" s="20" t="str">
        <f>IF(N1903="","",COUNTIFS(RawData[[Date ]],N1903,RawData[Month List],$Q$6,RawData[Tour/Site],$Q$2,RawData[[Picker ID ]],$Q$3,RawData[Checker ID],$Q$4,RawData[[Error Type ]],$Q$5))</f>
        <v/>
      </c>
    </row>
    <row r="1904" spans="15:15" x14ac:dyDescent="0.25">
      <c r="O1904" s="20" t="str">
        <f>IF(N1904="","",COUNTIFS(RawData[[Date ]],N1904,RawData[Month List],$Q$6,RawData[Tour/Site],$Q$2,RawData[[Picker ID ]],$Q$3,RawData[Checker ID],$Q$4,RawData[[Error Type ]],$Q$5))</f>
        <v/>
      </c>
    </row>
    <row r="1905" spans="15:15" x14ac:dyDescent="0.25">
      <c r="O1905" s="20" t="str">
        <f>IF(N1905="","",COUNTIFS(RawData[[Date ]],N1905,RawData[Month List],$Q$6,RawData[Tour/Site],$Q$2,RawData[[Picker ID ]],$Q$3,RawData[Checker ID],$Q$4,RawData[[Error Type ]],$Q$5))</f>
        <v/>
      </c>
    </row>
    <row r="1906" spans="15:15" x14ac:dyDescent="0.25">
      <c r="O1906" s="20" t="str">
        <f>IF(N1906="","",COUNTIFS(RawData[[Date ]],N1906,RawData[Month List],$Q$6,RawData[Tour/Site],$Q$2,RawData[[Picker ID ]],$Q$3,RawData[Checker ID],$Q$4,RawData[[Error Type ]],$Q$5))</f>
        <v/>
      </c>
    </row>
    <row r="1907" spans="15:15" x14ac:dyDescent="0.25">
      <c r="O1907" s="20" t="str">
        <f>IF(N1907="","",COUNTIFS(RawData[[Date ]],N1907,RawData[Month List],$Q$6,RawData[Tour/Site],$Q$2,RawData[[Picker ID ]],$Q$3,RawData[Checker ID],$Q$4,RawData[[Error Type ]],$Q$5))</f>
        <v/>
      </c>
    </row>
    <row r="1908" spans="15:15" x14ac:dyDescent="0.25">
      <c r="O1908" s="20" t="str">
        <f>IF(N1908="","",COUNTIFS(RawData[[Date ]],N1908,RawData[Month List],$Q$6,RawData[Tour/Site],$Q$2,RawData[[Picker ID ]],$Q$3,RawData[Checker ID],$Q$4,RawData[[Error Type ]],$Q$5))</f>
        <v/>
      </c>
    </row>
    <row r="1909" spans="15:15" x14ac:dyDescent="0.25">
      <c r="O1909" s="20" t="str">
        <f>IF(N1909="","",COUNTIFS(RawData[[Date ]],N1909,RawData[Month List],$Q$6,RawData[Tour/Site],$Q$2,RawData[[Picker ID ]],$Q$3,RawData[Checker ID],$Q$4,RawData[[Error Type ]],$Q$5))</f>
        <v/>
      </c>
    </row>
    <row r="1910" spans="15:15" x14ac:dyDescent="0.25">
      <c r="O1910" s="20" t="str">
        <f>IF(N1910="","",COUNTIFS(RawData[[Date ]],N1910,RawData[Month List],$Q$6,RawData[Tour/Site],$Q$2,RawData[[Picker ID ]],$Q$3,RawData[Checker ID],$Q$4,RawData[[Error Type ]],$Q$5))</f>
        <v/>
      </c>
    </row>
    <row r="1911" spans="15:15" x14ac:dyDescent="0.25">
      <c r="O1911" s="20" t="str">
        <f>IF(N1911="","",COUNTIFS(RawData[[Date ]],N1911,RawData[Month List],$Q$6,RawData[Tour/Site],$Q$2,RawData[[Picker ID ]],$Q$3,RawData[Checker ID],$Q$4,RawData[[Error Type ]],$Q$5))</f>
        <v/>
      </c>
    </row>
    <row r="1912" spans="15:15" x14ac:dyDescent="0.25">
      <c r="O1912" s="20" t="str">
        <f>IF(N1912="","",COUNTIFS(RawData[[Date ]],N1912,RawData[Month List],$Q$6,RawData[Tour/Site],$Q$2,RawData[[Picker ID ]],$Q$3,RawData[Checker ID],$Q$4,RawData[[Error Type ]],$Q$5))</f>
        <v/>
      </c>
    </row>
    <row r="1913" spans="15:15" x14ac:dyDescent="0.25">
      <c r="O1913" s="20" t="str">
        <f>IF(N1913="","",COUNTIFS(RawData[[Date ]],N1913,RawData[Month List],$Q$6,RawData[Tour/Site],$Q$2,RawData[[Picker ID ]],$Q$3,RawData[Checker ID],$Q$4,RawData[[Error Type ]],$Q$5))</f>
        <v/>
      </c>
    </row>
    <row r="1914" spans="15:15" x14ac:dyDescent="0.25">
      <c r="O1914" s="20" t="str">
        <f>IF(N1914="","",COUNTIFS(RawData[[Date ]],N1914,RawData[Month List],$Q$6,RawData[Tour/Site],$Q$2,RawData[[Picker ID ]],$Q$3,RawData[Checker ID],$Q$4,RawData[[Error Type ]],$Q$5))</f>
        <v/>
      </c>
    </row>
    <row r="1915" spans="15:15" x14ac:dyDescent="0.25">
      <c r="O1915" s="20" t="str">
        <f>IF(N1915="","",COUNTIFS(RawData[[Date ]],N1915,RawData[Month List],$Q$6,RawData[Tour/Site],$Q$2,RawData[[Picker ID ]],$Q$3,RawData[Checker ID],$Q$4,RawData[[Error Type ]],$Q$5))</f>
        <v/>
      </c>
    </row>
    <row r="1916" spans="15:15" x14ac:dyDescent="0.25">
      <c r="O1916" s="20" t="str">
        <f>IF(N1916="","",COUNTIFS(RawData[[Date ]],N1916,RawData[Month List],$Q$6,RawData[Tour/Site],$Q$2,RawData[[Picker ID ]],$Q$3,RawData[Checker ID],$Q$4,RawData[[Error Type ]],$Q$5))</f>
        <v/>
      </c>
    </row>
    <row r="1917" spans="15:15" x14ac:dyDescent="0.25">
      <c r="O1917" s="20" t="str">
        <f>IF(N1917="","",COUNTIFS(RawData[[Date ]],N1917,RawData[Month List],$Q$6,RawData[Tour/Site],$Q$2,RawData[[Picker ID ]],$Q$3,RawData[Checker ID],$Q$4,RawData[[Error Type ]],$Q$5))</f>
        <v/>
      </c>
    </row>
    <row r="1918" spans="15:15" x14ac:dyDescent="0.25">
      <c r="O1918" s="20" t="str">
        <f>IF(N1918="","",COUNTIFS(RawData[[Date ]],N1918,RawData[Month List],$Q$6,RawData[Tour/Site],$Q$2,RawData[[Picker ID ]],$Q$3,RawData[Checker ID],$Q$4,RawData[[Error Type ]],$Q$5))</f>
        <v/>
      </c>
    </row>
    <row r="1919" spans="15:15" x14ac:dyDescent="0.25">
      <c r="O1919" s="20" t="str">
        <f>IF(N1919="","",COUNTIFS(RawData[[Date ]],N1919,RawData[Month List],$Q$6,RawData[Tour/Site],$Q$2,RawData[[Picker ID ]],$Q$3,RawData[Checker ID],$Q$4,RawData[[Error Type ]],$Q$5))</f>
        <v/>
      </c>
    </row>
    <row r="1920" spans="15:15" x14ac:dyDescent="0.25">
      <c r="O1920" s="20" t="str">
        <f>IF(N1920="","",COUNTIFS(RawData[[Date ]],N1920,RawData[Month List],$Q$6,RawData[Tour/Site],$Q$2,RawData[[Picker ID ]],$Q$3,RawData[Checker ID],$Q$4,RawData[[Error Type ]],$Q$5))</f>
        <v/>
      </c>
    </row>
    <row r="1921" spans="15:15" x14ac:dyDescent="0.25">
      <c r="O1921" s="20" t="str">
        <f>IF(N1921="","",COUNTIFS(RawData[[Date ]],N1921,RawData[Month List],$Q$6,RawData[Tour/Site],$Q$2,RawData[[Picker ID ]],$Q$3,RawData[Checker ID],$Q$4,RawData[[Error Type ]],$Q$5))</f>
        <v/>
      </c>
    </row>
    <row r="1922" spans="15:15" x14ac:dyDescent="0.25">
      <c r="O1922" s="20" t="str">
        <f>IF(N1922="","",COUNTIFS(RawData[[Date ]],N1922,RawData[Month List],$Q$6,RawData[Tour/Site],$Q$2,RawData[[Picker ID ]],$Q$3,RawData[Checker ID],$Q$4,RawData[[Error Type ]],$Q$5))</f>
        <v/>
      </c>
    </row>
    <row r="1923" spans="15:15" x14ac:dyDescent="0.25">
      <c r="O1923" s="20" t="str">
        <f>IF(N1923="","",COUNTIFS(RawData[[Date ]],N1923,RawData[Month List],$Q$6,RawData[Tour/Site],$Q$2,RawData[[Picker ID ]],$Q$3,RawData[Checker ID],$Q$4,RawData[[Error Type ]],$Q$5))</f>
        <v/>
      </c>
    </row>
    <row r="1924" spans="15:15" x14ac:dyDescent="0.25">
      <c r="O1924" s="20" t="str">
        <f>IF(N1924="","",COUNTIFS(RawData[[Date ]],N1924,RawData[Month List],$Q$6,RawData[Tour/Site],$Q$2,RawData[[Picker ID ]],$Q$3,RawData[Checker ID],$Q$4,RawData[[Error Type ]],$Q$5))</f>
        <v/>
      </c>
    </row>
    <row r="1925" spans="15:15" x14ac:dyDescent="0.25">
      <c r="O1925" s="20" t="str">
        <f>IF(N1925="","",COUNTIFS(RawData[[Date ]],N1925,RawData[Month List],$Q$6,RawData[Tour/Site],$Q$2,RawData[[Picker ID ]],$Q$3,RawData[Checker ID],$Q$4,RawData[[Error Type ]],$Q$5))</f>
        <v/>
      </c>
    </row>
    <row r="1926" spans="15:15" x14ac:dyDescent="0.25">
      <c r="O1926" s="20" t="str">
        <f>IF(N1926="","",COUNTIFS(RawData[[Date ]],N1926,RawData[Month List],$Q$6,RawData[Tour/Site],$Q$2,RawData[[Picker ID ]],$Q$3,RawData[Checker ID],$Q$4,RawData[[Error Type ]],$Q$5))</f>
        <v/>
      </c>
    </row>
    <row r="1927" spans="15:15" x14ac:dyDescent="0.25">
      <c r="O1927" s="20" t="str">
        <f>IF(N1927="","",COUNTIFS(RawData[[Date ]],N1927,RawData[Month List],$Q$6,RawData[Tour/Site],$Q$2,RawData[[Picker ID ]],$Q$3,RawData[Checker ID],$Q$4,RawData[[Error Type ]],$Q$5))</f>
        <v/>
      </c>
    </row>
    <row r="1928" spans="15:15" x14ac:dyDescent="0.25">
      <c r="O1928" s="20" t="str">
        <f>IF(N1928="","",COUNTIFS(RawData[[Date ]],N1928,RawData[Month List],$Q$6,RawData[Tour/Site],$Q$2,RawData[[Picker ID ]],$Q$3,RawData[Checker ID],$Q$4,RawData[[Error Type ]],$Q$5))</f>
        <v/>
      </c>
    </row>
    <row r="1929" spans="15:15" x14ac:dyDescent="0.25">
      <c r="O1929" s="20" t="str">
        <f>IF(N1929="","",COUNTIFS(RawData[[Date ]],N1929,RawData[Month List],$Q$6,RawData[Tour/Site],$Q$2,RawData[[Picker ID ]],$Q$3,RawData[Checker ID],$Q$4,RawData[[Error Type ]],$Q$5))</f>
        <v/>
      </c>
    </row>
    <row r="1930" spans="15:15" x14ac:dyDescent="0.25">
      <c r="O1930" s="20" t="str">
        <f>IF(N1930="","",COUNTIFS(RawData[[Date ]],N1930,RawData[Month List],$Q$6,RawData[Tour/Site],$Q$2,RawData[[Picker ID ]],$Q$3,RawData[Checker ID],$Q$4,RawData[[Error Type ]],$Q$5))</f>
        <v/>
      </c>
    </row>
    <row r="1931" spans="15:15" x14ac:dyDescent="0.25">
      <c r="O1931" s="20" t="str">
        <f>IF(N1931="","",COUNTIFS(RawData[[Date ]],N1931,RawData[Month List],$Q$6,RawData[Tour/Site],$Q$2,RawData[[Picker ID ]],$Q$3,RawData[Checker ID],$Q$4,RawData[[Error Type ]],$Q$5))</f>
        <v/>
      </c>
    </row>
    <row r="1932" spans="15:15" x14ac:dyDescent="0.25">
      <c r="O1932" s="20" t="str">
        <f>IF(N1932="","",COUNTIFS(RawData[[Date ]],N1932,RawData[Month List],$Q$6,RawData[Tour/Site],$Q$2,RawData[[Picker ID ]],$Q$3,RawData[Checker ID],$Q$4,RawData[[Error Type ]],$Q$5))</f>
        <v/>
      </c>
    </row>
    <row r="1933" spans="15:15" x14ac:dyDescent="0.25">
      <c r="O1933" s="20" t="str">
        <f>IF(N1933="","",COUNTIFS(RawData[[Date ]],N1933,RawData[Month List],$Q$6,RawData[Tour/Site],$Q$2,RawData[[Picker ID ]],$Q$3,RawData[Checker ID],$Q$4,RawData[[Error Type ]],$Q$5))</f>
        <v/>
      </c>
    </row>
    <row r="1934" spans="15:15" x14ac:dyDescent="0.25">
      <c r="O1934" s="20" t="str">
        <f>IF(N1934="","",COUNTIFS(RawData[[Date ]],N1934,RawData[Month List],$Q$6,RawData[Tour/Site],$Q$2,RawData[[Picker ID ]],$Q$3,RawData[Checker ID],$Q$4,RawData[[Error Type ]],$Q$5))</f>
        <v/>
      </c>
    </row>
    <row r="1935" spans="15:15" x14ac:dyDescent="0.25">
      <c r="O1935" s="20" t="str">
        <f>IF(N1935="","",COUNTIFS(RawData[[Date ]],N1935,RawData[Month List],$Q$6,RawData[Tour/Site],$Q$2,RawData[[Picker ID ]],$Q$3,RawData[Checker ID],$Q$4,RawData[[Error Type ]],$Q$5))</f>
        <v/>
      </c>
    </row>
    <row r="1936" spans="15:15" x14ac:dyDescent="0.25">
      <c r="O1936" s="20" t="str">
        <f>IF(N1936="","",COUNTIFS(RawData[[Date ]],N1936,RawData[Month List],$Q$6,RawData[Tour/Site],$Q$2,RawData[[Picker ID ]],$Q$3,RawData[Checker ID],$Q$4,RawData[[Error Type ]],$Q$5))</f>
        <v/>
      </c>
    </row>
    <row r="1937" spans="15:15" x14ac:dyDescent="0.25">
      <c r="O1937" s="20" t="str">
        <f>IF(N1937="","",COUNTIFS(RawData[[Date ]],N1937,RawData[Month List],$Q$6,RawData[Tour/Site],$Q$2,RawData[[Picker ID ]],$Q$3,RawData[Checker ID],$Q$4,RawData[[Error Type ]],$Q$5))</f>
        <v/>
      </c>
    </row>
    <row r="1938" spans="15:15" x14ac:dyDescent="0.25">
      <c r="O1938" s="20" t="str">
        <f>IF(N1938="","",COUNTIFS(RawData[[Date ]],N1938,RawData[Month List],$Q$6,RawData[Tour/Site],$Q$2,RawData[[Picker ID ]],$Q$3,RawData[Checker ID],$Q$4,RawData[[Error Type ]],$Q$5))</f>
        <v/>
      </c>
    </row>
    <row r="1939" spans="15:15" x14ac:dyDescent="0.25">
      <c r="O1939" s="20" t="str">
        <f>IF(N1939="","",COUNTIFS(RawData[[Date ]],N1939,RawData[Month List],$Q$6,RawData[Tour/Site],$Q$2,RawData[[Picker ID ]],$Q$3,RawData[Checker ID],$Q$4,RawData[[Error Type ]],$Q$5))</f>
        <v/>
      </c>
    </row>
    <row r="1940" spans="15:15" x14ac:dyDescent="0.25">
      <c r="O1940" s="20" t="str">
        <f>IF(N1940="","",COUNTIFS(RawData[[Date ]],N1940,RawData[Month List],$Q$6,RawData[Tour/Site],$Q$2,RawData[[Picker ID ]],$Q$3,RawData[Checker ID],$Q$4,RawData[[Error Type ]],$Q$5))</f>
        <v/>
      </c>
    </row>
    <row r="1941" spans="15:15" x14ac:dyDescent="0.25">
      <c r="O1941" s="20" t="str">
        <f>IF(N1941="","",COUNTIFS(RawData[[Date ]],N1941,RawData[Month List],$Q$6,RawData[Tour/Site],$Q$2,RawData[[Picker ID ]],$Q$3,RawData[Checker ID],$Q$4,RawData[[Error Type ]],$Q$5))</f>
        <v/>
      </c>
    </row>
    <row r="1942" spans="15:15" x14ac:dyDescent="0.25">
      <c r="O1942" s="20" t="str">
        <f>IF(N1942="","",COUNTIFS(RawData[[Date ]],N1942,RawData[Month List],$Q$6,RawData[Tour/Site],$Q$2,RawData[[Picker ID ]],$Q$3,RawData[Checker ID],$Q$4,RawData[[Error Type ]],$Q$5))</f>
        <v/>
      </c>
    </row>
    <row r="1943" spans="15:15" x14ac:dyDescent="0.25">
      <c r="O1943" s="20" t="str">
        <f>IF(N1943="","",COUNTIFS(RawData[[Date ]],N1943,RawData[Month List],$Q$6,RawData[Tour/Site],$Q$2,RawData[[Picker ID ]],$Q$3,RawData[Checker ID],$Q$4,RawData[[Error Type ]],$Q$5))</f>
        <v/>
      </c>
    </row>
    <row r="1944" spans="15:15" x14ac:dyDescent="0.25">
      <c r="O1944" s="20" t="str">
        <f>IF(N1944="","",COUNTIFS(RawData[[Date ]],N1944,RawData[Month List],$Q$6,RawData[Tour/Site],$Q$2,RawData[[Picker ID ]],$Q$3,RawData[Checker ID],$Q$4,RawData[[Error Type ]],$Q$5))</f>
        <v/>
      </c>
    </row>
    <row r="1945" spans="15:15" x14ac:dyDescent="0.25">
      <c r="O1945" s="20" t="str">
        <f>IF(N1945="","",COUNTIFS(RawData[[Date ]],N1945,RawData[Month List],$Q$6,RawData[Tour/Site],$Q$2,RawData[[Picker ID ]],$Q$3,RawData[Checker ID],$Q$4,RawData[[Error Type ]],$Q$5))</f>
        <v/>
      </c>
    </row>
    <row r="1946" spans="15:15" x14ac:dyDescent="0.25">
      <c r="O1946" s="20" t="str">
        <f>IF(N1946="","",COUNTIFS(RawData[[Date ]],N1946,RawData[Month List],$Q$6,RawData[Tour/Site],$Q$2,RawData[[Picker ID ]],$Q$3,RawData[Checker ID],$Q$4,RawData[[Error Type ]],$Q$5))</f>
        <v/>
      </c>
    </row>
    <row r="1947" spans="15:15" x14ac:dyDescent="0.25">
      <c r="O1947" s="20" t="str">
        <f>IF(N1947="","",COUNTIFS(RawData[[Date ]],N1947,RawData[Month List],$Q$6,RawData[Tour/Site],$Q$2,RawData[[Picker ID ]],$Q$3,RawData[Checker ID],$Q$4,RawData[[Error Type ]],$Q$5))</f>
        <v/>
      </c>
    </row>
    <row r="1948" spans="15:15" x14ac:dyDescent="0.25">
      <c r="O1948" s="20" t="str">
        <f>IF(N1948="","",COUNTIFS(RawData[[Date ]],N1948,RawData[Month List],$Q$6,RawData[Tour/Site],$Q$2,RawData[[Picker ID ]],$Q$3,RawData[Checker ID],$Q$4,RawData[[Error Type ]],$Q$5))</f>
        <v/>
      </c>
    </row>
    <row r="1949" spans="15:15" x14ac:dyDescent="0.25">
      <c r="O1949" s="20" t="str">
        <f>IF(N1949="","",COUNTIFS(RawData[[Date ]],N1949,RawData[Month List],$Q$6,RawData[Tour/Site],$Q$2,RawData[[Picker ID ]],$Q$3,RawData[Checker ID],$Q$4,RawData[[Error Type ]],$Q$5))</f>
        <v/>
      </c>
    </row>
    <row r="1950" spans="15:15" x14ac:dyDescent="0.25">
      <c r="O1950" s="20" t="str">
        <f>IF(N1950="","",COUNTIFS(RawData[[Date ]],N1950,RawData[Month List],$Q$6,RawData[Tour/Site],$Q$2,RawData[[Picker ID ]],$Q$3,RawData[Checker ID],$Q$4,RawData[[Error Type ]],$Q$5))</f>
        <v/>
      </c>
    </row>
    <row r="1951" spans="15:15" x14ac:dyDescent="0.25">
      <c r="O1951" s="20" t="str">
        <f>IF(N1951="","",COUNTIFS(RawData[[Date ]],N1951,RawData[Month List],$Q$6,RawData[Tour/Site],$Q$2,RawData[[Picker ID ]],$Q$3,RawData[Checker ID],$Q$4,RawData[[Error Type ]],$Q$5))</f>
        <v/>
      </c>
    </row>
    <row r="1952" spans="15:15" x14ac:dyDescent="0.25">
      <c r="O1952" s="20" t="str">
        <f>IF(N1952="","",COUNTIFS(RawData[[Date ]],N1952,RawData[Month List],$Q$6,RawData[Tour/Site],$Q$2,RawData[[Picker ID ]],$Q$3,RawData[Checker ID],$Q$4,RawData[[Error Type ]],$Q$5))</f>
        <v/>
      </c>
    </row>
    <row r="1953" spans="15:15" x14ac:dyDescent="0.25">
      <c r="O1953" s="20" t="str">
        <f>IF(N1953="","",COUNTIFS(RawData[[Date ]],N1953,RawData[Month List],$Q$6,RawData[Tour/Site],$Q$2,RawData[[Picker ID ]],$Q$3,RawData[Checker ID],$Q$4,RawData[[Error Type ]],$Q$5))</f>
        <v/>
      </c>
    </row>
    <row r="1954" spans="15:15" x14ac:dyDescent="0.25">
      <c r="O1954" s="20" t="str">
        <f>IF(N1954="","",COUNTIFS(RawData[[Date ]],N1954,RawData[Month List],$Q$6,RawData[Tour/Site],$Q$2,RawData[[Picker ID ]],$Q$3,RawData[Checker ID],$Q$4,RawData[[Error Type ]],$Q$5))</f>
        <v/>
      </c>
    </row>
    <row r="1955" spans="15:15" x14ac:dyDescent="0.25">
      <c r="O1955" s="20" t="str">
        <f>IF(N1955="","",COUNTIFS(RawData[[Date ]],N1955,RawData[Month List],$Q$6,RawData[Tour/Site],$Q$2,RawData[[Picker ID ]],$Q$3,RawData[Checker ID],$Q$4,RawData[[Error Type ]],$Q$5))</f>
        <v/>
      </c>
    </row>
    <row r="1956" spans="15:15" x14ac:dyDescent="0.25">
      <c r="O1956" s="20" t="str">
        <f>IF(N1956="","",COUNTIFS(RawData[[Date ]],N1956,RawData[Month List],$Q$6,RawData[Tour/Site],$Q$2,RawData[[Picker ID ]],$Q$3,RawData[Checker ID],$Q$4,RawData[[Error Type ]],$Q$5))</f>
        <v/>
      </c>
    </row>
    <row r="1957" spans="15:15" x14ac:dyDescent="0.25">
      <c r="O1957" s="20" t="str">
        <f>IF(N1957="","",COUNTIFS(RawData[[Date ]],N1957,RawData[Month List],$Q$6,RawData[Tour/Site],$Q$2,RawData[[Picker ID ]],$Q$3,RawData[Checker ID],$Q$4,RawData[[Error Type ]],$Q$5))</f>
        <v/>
      </c>
    </row>
    <row r="1958" spans="15:15" x14ac:dyDescent="0.25">
      <c r="O1958" s="20" t="str">
        <f>IF(N1958="","",COUNTIFS(RawData[[Date ]],N1958,RawData[Month List],$Q$6,RawData[Tour/Site],$Q$2,RawData[[Picker ID ]],$Q$3,RawData[Checker ID],$Q$4,RawData[[Error Type ]],$Q$5))</f>
        <v/>
      </c>
    </row>
    <row r="1959" spans="15:15" x14ac:dyDescent="0.25">
      <c r="O1959" s="20" t="str">
        <f>IF(N1959="","",COUNTIFS(RawData[[Date ]],N1959,RawData[Month List],$Q$6,RawData[Tour/Site],$Q$2,RawData[[Picker ID ]],$Q$3,RawData[Checker ID],$Q$4,RawData[[Error Type ]],$Q$5))</f>
        <v/>
      </c>
    </row>
    <row r="1960" spans="15:15" x14ac:dyDescent="0.25">
      <c r="O1960" s="20" t="str">
        <f>IF(N1960="","",COUNTIFS(RawData[[Date ]],N1960,RawData[Month List],$Q$6,RawData[Tour/Site],$Q$2,RawData[[Picker ID ]],$Q$3,RawData[Checker ID],$Q$4,RawData[[Error Type ]],$Q$5))</f>
        <v/>
      </c>
    </row>
    <row r="1961" spans="15:15" x14ac:dyDescent="0.25">
      <c r="O1961" s="20" t="str">
        <f>IF(N1961="","",COUNTIFS(RawData[[Date ]],N1961,RawData[Month List],$Q$6,RawData[Tour/Site],$Q$2,RawData[[Picker ID ]],$Q$3,RawData[Checker ID],$Q$4,RawData[[Error Type ]],$Q$5))</f>
        <v/>
      </c>
    </row>
    <row r="1962" spans="15:15" x14ac:dyDescent="0.25">
      <c r="O1962" s="20" t="str">
        <f>IF(N1962="","",COUNTIFS(RawData[[Date ]],N1962,RawData[Month List],$Q$6,RawData[Tour/Site],$Q$2,RawData[[Picker ID ]],$Q$3,RawData[Checker ID],$Q$4,RawData[[Error Type ]],$Q$5))</f>
        <v/>
      </c>
    </row>
    <row r="1963" spans="15:15" x14ac:dyDescent="0.25">
      <c r="O1963" s="20" t="str">
        <f>IF(N1963="","",COUNTIFS(RawData[[Date ]],N1963,RawData[Month List],$Q$6,RawData[Tour/Site],$Q$2,RawData[[Picker ID ]],$Q$3,RawData[Checker ID],$Q$4,RawData[[Error Type ]],$Q$5))</f>
        <v/>
      </c>
    </row>
    <row r="1964" spans="15:15" x14ac:dyDescent="0.25">
      <c r="O1964" s="20" t="str">
        <f>IF(N1964="","",COUNTIFS(RawData[[Date ]],N1964,RawData[Month List],$Q$6,RawData[Tour/Site],$Q$2,RawData[[Picker ID ]],$Q$3,RawData[Checker ID],$Q$4,RawData[[Error Type ]],$Q$5))</f>
        <v/>
      </c>
    </row>
    <row r="1965" spans="15:15" x14ac:dyDescent="0.25">
      <c r="O1965" s="20" t="str">
        <f>IF(N1965="","",COUNTIFS(RawData[[Date ]],N1965,RawData[Month List],$Q$6,RawData[Tour/Site],$Q$2,RawData[[Picker ID ]],$Q$3,RawData[Checker ID],$Q$4,RawData[[Error Type ]],$Q$5))</f>
        <v/>
      </c>
    </row>
    <row r="1966" spans="15:15" x14ac:dyDescent="0.25">
      <c r="O1966" s="20" t="str">
        <f>IF(N1966="","",COUNTIFS(RawData[[Date ]],N1966,RawData[Month List],$Q$6,RawData[Tour/Site],$Q$2,RawData[[Picker ID ]],$Q$3,RawData[Checker ID],$Q$4,RawData[[Error Type ]],$Q$5))</f>
        <v/>
      </c>
    </row>
    <row r="1967" spans="15:15" x14ac:dyDescent="0.25">
      <c r="O1967" s="20" t="str">
        <f>IF(N1967="","",COUNTIFS(RawData[[Date ]],N1967,RawData[Month List],$Q$6,RawData[Tour/Site],$Q$2,RawData[[Picker ID ]],$Q$3,RawData[Checker ID],$Q$4,RawData[[Error Type ]],$Q$5))</f>
        <v/>
      </c>
    </row>
    <row r="1968" spans="15:15" x14ac:dyDescent="0.25">
      <c r="O1968" s="20" t="str">
        <f>IF(N1968="","",COUNTIFS(RawData[[Date ]],N1968,RawData[Month List],$Q$6,RawData[Tour/Site],$Q$2,RawData[[Picker ID ]],$Q$3,RawData[Checker ID],$Q$4,RawData[[Error Type ]],$Q$5))</f>
        <v/>
      </c>
    </row>
    <row r="1969" spans="15:15" x14ac:dyDescent="0.25">
      <c r="O1969" s="20" t="str">
        <f>IF(N1969="","",COUNTIFS(RawData[[Date ]],N1969,RawData[Month List],$Q$6,RawData[Tour/Site],$Q$2,RawData[[Picker ID ]],$Q$3,RawData[Checker ID],$Q$4,RawData[[Error Type ]],$Q$5))</f>
        <v/>
      </c>
    </row>
    <row r="1970" spans="15:15" x14ac:dyDescent="0.25">
      <c r="O1970" s="20" t="str">
        <f>IF(N1970="","",COUNTIFS(RawData[[Date ]],N1970,RawData[Month List],$Q$6,RawData[Tour/Site],$Q$2,RawData[[Picker ID ]],$Q$3,RawData[Checker ID],$Q$4,RawData[[Error Type ]],$Q$5))</f>
        <v/>
      </c>
    </row>
    <row r="1971" spans="15:15" x14ac:dyDescent="0.25">
      <c r="O1971" s="20" t="str">
        <f>IF(N1971="","",COUNTIFS(RawData[[Date ]],N1971,RawData[Month List],$Q$6,RawData[Tour/Site],$Q$2,RawData[[Picker ID ]],$Q$3,RawData[Checker ID],$Q$4,RawData[[Error Type ]],$Q$5))</f>
        <v/>
      </c>
    </row>
    <row r="1972" spans="15:15" x14ac:dyDescent="0.25">
      <c r="O1972" s="20" t="str">
        <f>IF(N1972="","",COUNTIFS(RawData[[Date ]],N1972,RawData[Month List],$Q$6,RawData[Tour/Site],$Q$2,RawData[[Picker ID ]],$Q$3,RawData[Checker ID],$Q$4,RawData[[Error Type ]],$Q$5))</f>
        <v/>
      </c>
    </row>
    <row r="1973" spans="15:15" x14ac:dyDescent="0.25">
      <c r="O1973" s="20" t="str">
        <f>IF(N1973="","",COUNTIFS(RawData[[Date ]],N1973,RawData[Month List],$Q$6,RawData[Tour/Site],$Q$2,RawData[[Picker ID ]],$Q$3,RawData[Checker ID],$Q$4,RawData[[Error Type ]],$Q$5))</f>
        <v/>
      </c>
    </row>
    <row r="1974" spans="15:15" x14ac:dyDescent="0.25">
      <c r="O1974" s="20" t="str">
        <f>IF(N1974="","",COUNTIFS(RawData[[Date ]],N1974,RawData[Month List],$Q$6,RawData[Tour/Site],$Q$2,RawData[[Picker ID ]],$Q$3,RawData[Checker ID],$Q$4,RawData[[Error Type ]],$Q$5))</f>
        <v/>
      </c>
    </row>
    <row r="1975" spans="15:15" x14ac:dyDescent="0.25">
      <c r="O1975" s="20" t="str">
        <f>IF(N1975="","",COUNTIFS(RawData[[Date ]],N1975,RawData[Month List],$Q$6,RawData[Tour/Site],$Q$2,RawData[[Picker ID ]],$Q$3,RawData[Checker ID],$Q$4,RawData[[Error Type ]],$Q$5))</f>
        <v/>
      </c>
    </row>
    <row r="1976" spans="15:15" x14ac:dyDescent="0.25">
      <c r="O1976" s="20" t="str">
        <f>IF(N1976="","",COUNTIFS(RawData[[Date ]],N1976,RawData[Month List],$Q$6,RawData[Tour/Site],$Q$2,RawData[[Picker ID ]],$Q$3,RawData[Checker ID],$Q$4,RawData[[Error Type ]],$Q$5))</f>
        <v/>
      </c>
    </row>
    <row r="1977" spans="15:15" x14ac:dyDescent="0.25">
      <c r="O1977" s="20" t="str">
        <f>IF(N1977="","",COUNTIFS(RawData[[Date ]],N1977,RawData[Month List],$Q$6,RawData[Tour/Site],$Q$2,RawData[[Picker ID ]],$Q$3,RawData[Checker ID],$Q$4,RawData[[Error Type ]],$Q$5))</f>
        <v/>
      </c>
    </row>
    <row r="1978" spans="15:15" x14ac:dyDescent="0.25">
      <c r="O1978" s="20" t="str">
        <f>IF(N1978="","",COUNTIFS(RawData[[Date ]],N1978,RawData[Month List],$Q$6,RawData[Tour/Site],$Q$2,RawData[[Picker ID ]],$Q$3,RawData[Checker ID],$Q$4,RawData[[Error Type ]],$Q$5))</f>
        <v/>
      </c>
    </row>
    <row r="1979" spans="15:15" x14ac:dyDescent="0.25">
      <c r="O1979" s="20" t="str">
        <f>IF(N1979="","",COUNTIFS(RawData[[Date ]],N1979,RawData[Month List],$Q$6,RawData[Tour/Site],$Q$2,RawData[[Picker ID ]],$Q$3,RawData[Checker ID],$Q$4,RawData[[Error Type ]],$Q$5))</f>
        <v/>
      </c>
    </row>
    <row r="1980" spans="15:15" x14ac:dyDescent="0.25">
      <c r="O1980" s="20" t="str">
        <f>IF(N1980="","",COUNTIFS(RawData[[Date ]],N1980,RawData[Month List],$Q$6,RawData[Tour/Site],$Q$2,RawData[[Picker ID ]],$Q$3,RawData[Checker ID],$Q$4,RawData[[Error Type ]],$Q$5))</f>
        <v/>
      </c>
    </row>
    <row r="1981" spans="15:15" x14ac:dyDescent="0.25">
      <c r="O1981" s="20" t="str">
        <f>IF(N1981="","",COUNTIFS(RawData[[Date ]],N1981,RawData[Month List],$Q$6,RawData[Tour/Site],$Q$2,RawData[[Picker ID ]],$Q$3,RawData[Checker ID],$Q$4,RawData[[Error Type ]],$Q$5))</f>
        <v/>
      </c>
    </row>
    <row r="1982" spans="15:15" x14ac:dyDescent="0.25">
      <c r="O1982" s="20" t="str">
        <f>IF(N1982="","",COUNTIFS(RawData[[Date ]],N1982,RawData[Month List],$Q$6,RawData[Tour/Site],$Q$2,RawData[[Picker ID ]],$Q$3,RawData[Checker ID],$Q$4,RawData[[Error Type ]],$Q$5))</f>
        <v/>
      </c>
    </row>
    <row r="1983" spans="15:15" x14ac:dyDescent="0.25">
      <c r="O1983" s="20" t="str">
        <f>IF(N1983="","",COUNTIFS(RawData[[Date ]],N1983,RawData[Month List],$Q$6,RawData[Tour/Site],$Q$2,RawData[[Picker ID ]],$Q$3,RawData[Checker ID],$Q$4,RawData[[Error Type ]],$Q$5))</f>
        <v/>
      </c>
    </row>
    <row r="1984" spans="15:15" x14ac:dyDescent="0.25">
      <c r="O1984" s="20" t="str">
        <f>IF(N1984="","",COUNTIFS(RawData[[Date ]],N1984,RawData[Month List],$Q$6,RawData[Tour/Site],$Q$2,RawData[[Picker ID ]],$Q$3,RawData[Checker ID],$Q$4,RawData[[Error Type ]],$Q$5))</f>
        <v/>
      </c>
    </row>
    <row r="1985" spans="15:15" x14ac:dyDescent="0.25">
      <c r="O1985" s="20" t="str">
        <f>IF(N1985="","",COUNTIFS(RawData[[Date ]],N1985,RawData[Month List],$Q$6,RawData[Tour/Site],$Q$2,RawData[[Picker ID ]],$Q$3,RawData[Checker ID],$Q$4,RawData[[Error Type ]],$Q$5))</f>
        <v/>
      </c>
    </row>
    <row r="1986" spans="15:15" x14ac:dyDescent="0.25">
      <c r="O1986" s="20" t="str">
        <f>IF(N1986="","",COUNTIFS(RawData[[Date ]],N1986,RawData[Month List],$Q$6,RawData[Tour/Site],$Q$2,RawData[[Picker ID ]],$Q$3,RawData[Checker ID],$Q$4,RawData[[Error Type ]],$Q$5))</f>
        <v/>
      </c>
    </row>
    <row r="1987" spans="15:15" x14ac:dyDescent="0.25">
      <c r="O1987" s="20" t="str">
        <f>IF(N1987="","",COUNTIFS(RawData[[Date ]],N1987,RawData[Month List],$Q$6,RawData[Tour/Site],$Q$2,RawData[[Picker ID ]],$Q$3,RawData[Checker ID],$Q$4,RawData[[Error Type ]],$Q$5))</f>
        <v/>
      </c>
    </row>
    <row r="1988" spans="15:15" x14ac:dyDescent="0.25">
      <c r="O1988" s="20" t="str">
        <f>IF(N1988="","",COUNTIFS(RawData[[Date ]],N1988,RawData[Month List],$Q$6,RawData[Tour/Site],$Q$2,RawData[[Picker ID ]],$Q$3,RawData[Checker ID],$Q$4,RawData[[Error Type ]],$Q$5))</f>
        <v/>
      </c>
    </row>
    <row r="1989" spans="15:15" x14ac:dyDescent="0.25">
      <c r="O1989" s="20" t="str">
        <f>IF(N1989="","",COUNTIFS(RawData[[Date ]],N1989,RawData[Month List],$Q$6,RawData[Tour/Site],$Q$2,RawData[[Picker ID ]],$Q$3,RawData[Checker ID],$Q$4,RawData[[Error Type ]],$Q$5))</f>
        <v/>
      </c>
    </row>
    <row r="1990" spans="15:15" x14ac:dyDescent="0.25">
      <c r="O1990" s="20" t="str">
        <f>IF(N1990="","",COUNTIFS(RawData[[Date ]],N1990,RawData[Month List],$Q$6,RawData[Tour/Site],$Q$2,RawData[[Picker ID ]],$Q$3,RawData[Checker ID],$Q$4,RawData[[Error Type ]],$Q$5))</f>
        <v/>
      </c>
    </row>
    <row r="1991" spans="15:15" x14ac:dyDescent="0.25">
      <c r="O1991" s="20" t="str">
        <f>IF(N1991="","",COUNTIFS(RawData[[Date ]],N1991,RawData[Month List],$Q$6,RawData[Tour/Site],$Q$2,RawData[[Picker ID ]],$Q$3,RawData[Checker ID],$Q$4,RawData[[Error Type ]],$Q$5))</f>
        <v/>
      </c>
    </row>
    <row r="1992" spans="15:15" x14ac:dyDescent="0.25">
      <c r="O1992" s="20" t="str">
        <f>IF(N1992="","",COUNTIFS(RawData[[Date ]],N1992,RawData[Month List],$Q$6,RawData[Tour/Site],$Q$2,RawData[[Picker ID ]],$Q$3,RawData[Checker ID],$Q$4,RawData[[Error Type ]],$Q$5))</f>
        <v/>
      </c>
    </row>
    <row r="1993" spans="15:15" x14ac:dyDescent="0.25">
      <c r="O1993" s="20" t="str">
        <f>IF(N1993="","",COUNTIFS(RawData[[Date ]],N1993,RawData[Month List],$Q$6,RawData[Tour/Site],$Q$2,RawData[[Picker ID ]],$Q$3,RawData[Checker ID],$Q$4,RawData[[Error Type ]],$Q$5))</f>
        <v/>
      </c>
    </row>
    <row r="1994" spans="15:15" x14ac:dyDescent="0.25">
      <c r="O1994" s="20" t="str">
        <f>IF(N1994="","",COUNTIFS(RawData[[Date ]],N1994,RawData[Month List],$Q$6,RawData[Tour/Site],$Q$2,RawData[[Picker ID ]],$Q$3,RawData[Checker ID],$Q$4,RawData[[Error Type ]],$Q$5))</f>
        <v/>
      </c>
    </row>
    <row r="1995" spans="15:15" x14ac:dyDescent="0.25">
      <c r="O1995" s="20" t="str">
        <f>IF(N1995="","",COUNTIFS(RawData[[Date ]],N1995,RawData[Month List],$Q$6,RawData[Tour/Site],$Q$2,RawData[[Picker ID ]],$Q$3,RawData[Checker ID],$Q$4,RawData[[Error Type ]],$Q$5))</f>
        <v/>
      </c>
    </row>
    <row r="1996" spans="15:15" x14ac:dyDescent="0.25">
      <c r="O1996" s="20" t="str">
        <f>IF(N1996="","",COUNTIFS(RawData[[Date ]],N1996,RawData[Month List],$Q$6,RawData[Tour/Site],$Q$2,RawData[[Picker ID ]],$Q$3,RawData[Checker ID],$Q$4,RawData[[Error Type ]],$Q$5))</f>
        <v/>
      </c>
    </row>
    <row r="1997" spans="15:15" x14ac:dyDescent="0.25">
      <c r="O1997" s="20" t="str">
        <f>IF(N1997="","",COUNTIFS(RawData[[Date ]],N1997,RawData[Month List],$Q$6,RawData[Tour/Site],$Q$2,RawData[[Picker ID ]],$Q$3,RawData[Checker ID],$Q$4,RawData[[Error Type ]],$Q$5))</f>
        <v/>
      </c>
    </row>
    <row r="1998" spans="15:15" x14ac:dyDescent="0.25">
      <c r="O1998" s="20" t="str">
        <f>IF(N1998="","",COUNTIFS(RawData[[Date ]],N1998,RawData[Month List],$Q$6,RawData[Tour/Site],$Q$2,RawData[[Picker ID ]],$Q$3,RawData[Checker ID],$Q$4,RawData[[Error Type ]],$Q$5))</f>
        <v/>
      </c>
    </row>
    <row r="1999" spans="15:15" x14ac:dyDescent="0.25">
      <c r="O1999" s="20" t="str">
        <f>IF(N1999="","",COUNTIFS(RawData[[Date ]],N1999,RawData[Month List],$Q$6,RawData[Tour/Site],$Q$2,RawData[[Picker ID ]],$Q$3,RawData[Checker ID],$Q$4,RawData[[Error Type ]],$Q$5))</f>
        <v/>
      </c>
    </row>
    <row r="2000" spans="15:15" x14ac:dyDescent="0.25">
      <c r="O2000" s="20" t="str">
        <f>IF(N2000="","",COUNTIFS(RawData[[Date ]],N2000,RawData[Month List],$Q$6,RawData[Tour/Site],$Q$2,RawData[[Picker ID ]],$Q$3,RawData[Checker ID],$Q$4,RawData[[Error Type ]],$Q$5))</f>
        <v/>
      </c>
    </row>
    <row r="2001" spans="15:15" x14ac:dyDescent="0.25">
      <c r="O2001" s="20" t="str">
        <f>IF(N2001="","",COUNTIFS(RawData[[Date ]],N2001,RawData[Month List],$Q$6,RawData[Tour/Site],$Q$2,RawData[[Picker ID ]],$Q$3,RawData[Checker ID],$Q$4,RawData[[Error Type ]],$Q$5))</f>
        <v/>
      </c>
    </row>
    <row r="2002" spans="15:15" x14ac:dyDescent="0.25">
      <c r="O2002" s="20" t="str">
        <f>IF(N2002="","",COUNTIFS(RawData[[Date ]],N2002,RawData[Month List],$Q$6,RawData[Tour/Site],$Q$2,RawData[[Picker ID ]],$Q$3,RawData[Checker ID],$Q$4,RawData[[Error Type ]],$Q$5))</f>
        <v/>
      </c>
    </row>
    <row r="2003" spans="15:15" x14ac:dyDescent="0.25">
      <c r="O2003" s="20" t="str">
        <f>IF(N2003="","",COUNTIFS(RawData[[Date ]],N2003,RawData[Month List],$Q$6,RawData[Tour/Site],$Q$2,RawData[[Picker ID ]],$Q$3,RawData[Checker ID],$Q$4,RawData[[Error Type ]],$Q$5))</f>
        <v/>
      </c>
    </row>
    <row r="2004" spans="15:15" x14ac:dyDescent="0.25">
      <c r="O2004" s="20" t="str">
        <f>IF(N2004="","",COUNTIFS(RawData[[Date ]],N2004,RawData[Month List],$Q$6,RawData[Tour/Site],$Q$2,RawData[[Picker ID ]],$Q$3,RawData[Checker ID],$Q$4,RawData[[Error Type ]],$Q$5))</f>
        <v/>
      </c>
    </row>
    <row r="2005" spans="15:15" x14ac:dyDescent="0.25">
      <c r="O2005" s="20" t="str">
        <f>IF(N2005="","",COUNTIFS(RawData[[Date ]],N2005,RawData[Month List],$Q$6,RawData[Tour/Site],$Q$2,RawData[[Picker ID ]],$Q$3,RawData[Checker ID],$Q$4,RawData[[Error Type ]],$Q$5))</f>
        <v/>
      </c>
    </row>
    <row r="2006" spans="15:15" x14ac:dyDescent="0.25">
      <c r="O2006" s="20" t="str">
        <f>IF(N2006="","",COUNTIFS(RawData[[Date ]],N2006,RawData[Month List],$Q$6,RawData[Tour/Site],$Q$2,RawData[[Picker ID ]],$Q$3,RawData[Checker ID],$Q$4,RawData[[Error Type ]],$Q$5))</f>
        <v/>
      </c>
    </row>
    <row r="2007" spans="15:15" x14ac:dyDescent="0.25">
      <c r="O2007" s="20" t="str">
        <f>IF(N2007="","",COUNTIFS(RawData[[Date ]],N2007,RawData[Month List],$Q$6,RawData[Tour/Site],$Q$2,RawData[[Picker ID ]],$Q$3,RawData[Checker ID],$Q$4,RawData[[Error Type ]],$Q$5))</f>
        <v/>
      </c>
    </row>
    <row r="2008" spans="15:15" x14ac:dyDescent="0.25">
      <c r="O2008" s="20" t="str">
        <f>IF(N2008="","",COUNTIFS(RawData[[Date ]],N2008,RawData[Month List],$Q$6,RawData[Tour/Site],$Q$2,RawData[[Picker ID ]],$Q$3,RawData[Checker ID],$Q$4,RawData[[Error Type ]],$Q$5))</f>
        <v/>
      </c>
    </row>
    <row r="2009" spans="15:15" x14ac:dyDescent="0.25">
      <c r="O2009" s="20" t="str">
        <f>IF(N2009="","",COUNTIFS(RawData[[Date ]],N2009,RawData[Month List],$Q$6,RawData[Tour/Site],$Q$2,RawData[[Picker ID ]],$Q$3,RawData[Checker ID],$Q$4,RawData[[Error Type ]],$Q$5))</f>
        <v/>
      </c>
    </row>
    <row r="2010" spans="15:15" x14ac:dyDescent="0.25">
      <c r="O2010" s="20" t="str">
        <f>IF(N2010="","",COUNTIFS(RawData[[Date ]],N2010,RawData[Month List],$Q$6,RawData[Tour/Site],$Q$2,RawData[[Picker ID ]],$Q$3,RawData[Checker ID],$Q$4,RawData[[Error Type ]],$Q$5))</f>
        <v/>
      </c>
    </row>
    <row r="2011" spans="15:15" x14ac:dyDescent="0.25">
      <c r="O2011" s="20" t="str">
        <f>IF(N2011="","",COUNTIFS(RawData[[Date ]],N2011,RawData[Month List],$Q$6,RawData[Tour/Site],$Q$2,RawData[[Picker ID ]],$Q$3,RawData[Checker ID],$Q$4,RawData[[Error Type ]],$Q$5))</f>
        <v/>
      </c>
    </row>
    <row r="2012" spans="15:15" x14ac:dyDescent="0.25">
      <c r="O2012" s="20" t="str">
        <f>IF(N2012="","",COUNTIFS(RawData[[Date ]],N2012,RawData[Month List],$Q$6,RawData[Tour/Site],$Q$2,RawData[[Picker ID ]],$Q$3,RawData[Checker ID],$Q$4,RawData[[Error Type ]],$Q$5))</f>
        <v/>
      </c>
    </row>
    <row r="2013" spans="15:15" x14ac:dyDescent="0.25">
      <c r="O2013" s="20" t="str">
        <f>IF(N2013="","",COUNTIFS(RawData[[Date ]],N2013,RawData[Month List],$Q$6,RawData[Tour/Site],$Q$2,RawData[[Picker ID ]],$Q$3,RawData[Checker ID],$Q$4,RawData[[Error Type ]],$Q$5))</f>
        <v/>
      </c>
    </row>
    <row r="2014" spans="15:15" x14ac:dyDescent="0.25">
      <c r="O2014" s="20" t="str">
        <f>IF(N2014="","",COUNTIFS(RawData[[Date ]],N2014,RawData[Month List],$Q$6,RawData[Tour/Site],$Q$2,RawData[[Picker ID ]],$Q$3,RawData[Checker ID],$Q$4,RawData[[Error Type ]],$Q$5))</f>
        <v/>
      </c>
    </row>
    <row r="2015" spans="15:15" x14ac:dyDescent="0.25">
      <c r="O2015" s="20" t="str">
        <f>IF(N2015="","",COUNTIFS(RawData[[Date ]],N2015,RawData[Month List],$Q$6,RawData[Tour/Site],$Q$2,RawData[[Picker ID ]],$Q$3,RawData[Checker ID],$Q$4,RawData[[Error Type ]],$Q$5))</f>
        <v/>
      </c>
    </row>
    <row r="2016" spans="15:15" x14ac:dyDescent="0.25">
      <c r="O2016" s="20" t="str">
        <f>IF(N2016="","",COUNTIFS(RawData[[Date ]],N2016,RawData[Month List],$Q$6,RawData[Tour/Site],$Q$2,RawData[[Picker ID ]],$Q$3,RawData[Checker ID],$Q$4,RawData[[Error Type ]],$Q$5))</f>
        <v/>
      </c>
    </row>
    <row r="2017" spans="15:15" x14ac:dyDescent="0.25">
      <c r="O2017" s="20" t="str">
        <f>IF(N2017="","",COUNTIFS(RawData[[Date ]],N2017,RawData[Month List],$Q$6,RawData[Tour/Site],$Q$2,RawData[[Picker ID ]],$Q$3,RawData[Checker ID],$Q$4,RawData[[Error Type ]],$Q$5))</f>
        <v/>
      </c>
    </row>
    <row r="2018" spans="15:15" x14ac:dyDescent="0.25">
      <c r="O2018" s="20" t="str">
        <f>IF(N2018="","",COUNTIFS(RawData[[Date ]],N2018,RawData[Month List],$Q$6,RawData[Tour/Site],$Q$2,RawData[[Picker ID ]],$Q$3,RawData[Checker ID],$Q$4,RawData[[Error Type ]],$Q$5))</f>
        <v/>
      </c>
    </row>
    <row r="2019" spans="15:15" x14ac:dyDescent="0.25">
      <c r="O2019" s="20" t="str">
        <f>IF(N2019="","",COUNTIFS(RawData[[Date ]],N2019,RawData[Month List],$Q$6,RawData[Tour/Site],$Q$2,RawData[[Picker ID ]],$Q$3,RawData[Checker ID],$Q$4,RawData[[Error Type ]],$Q$5))</f>
        <v/>
      </c>
    </row>
    <row r="2020" spans="15:15" x14ac:dyDescent="0.25">
      <c r="O2020" s="20" t="str">
        <f>IF(N2020="","",COUNTIFS(RawData[[Date ]],N2020,RawData[Month List],$Q$6,RawData[Tour/Site],$Q$2,RawData[[Picker ID ]],$Q$3,RawData[Checker ID],$Q$4,RawData[[Error Type ]],$Q$5))</f>
        <v/>
      </c>
    </row>
    <row r="2021" spans="15:15" x14ac:dyDescent="0.25">
      <c r="O2021" s="20" t="str">
        <f>IF(N2021="","",COUNTIFS(RawData[[Date ]],N2021,RawData[Month List],$Q$6,RawData[Tour/Site],$Q$2,RawData[[Picker ID ]],$Q$3,RawData[Checker ID],$Q$4,RawData[[Error Type ]],$Q$5))</f>
        <v/>
      </c>
    </row>
    <row r="2022" spans="15:15" x14ac:dyDescent="0.25">
      <c r="O2022" s="20" t="str">
        <f>IF(N2022="","",COUNTIFS(RawData[[Date ]],N2022,RawData[Month List],$Q$6,RawData[Tour/Site],$Q$2,RawData[[Picker ID ]],$Q$3,RawData[Checker ID],$Q$4,RawData[[Error Type ]],$Q$5))</f>
        <v/>
      </c>
    </row>
    <row r="2023" spans="15:15" x14ac:dyDescent="0.25">
      <c r="O2023" s="20" t="str">
        <f>IF(N2023="","",COUNTIFS(RawData[[Date ]],N2023,RawData[Month List],$Q$6,RawData[Tour/Site],$Q$2,RawData[[Picker ID ]],$Q$3,RawData[Checker ID],$Q$4,RawData[[Error Type ]],$Q$5))</f>
        <v/>
      </c>
    </row>
    <row r="2024" spans="15:15" x14ac:dyDescent="0.25">
      <c r="O2024" s="20" t="str">
        <f>IF(N2024="","",COUNTIFS(RawData[[Date ]],N2024,RawData[Month List],$Q$6,RawData[Tour/Site],$Q$2,RawData[[Picker ID ]],$Q$3,RawData[Checker ID],$Q$4,RawData[[Error Type ]],$Q$5))</f>
        <v/>
      </c>
    </row>
    <row r="2025" spans="15:15" x14ac:dyDescent="0.25">
      <c r="O2025" s="20" t="str">
        <f>IF(N2025="","",COUNTIFS(RawData[[Date ]],N2025,RawData[Month List],$Q$6,RawData[Tour/Site],$Q$2,RawData[[Picker ID ]],$Q$3,RawData[Checker ID],$Q$4,RawData[[Error Type ]],$Q$5))</f>
        <v/>
      </c>
    </row>
    <row r="2026" spans="15:15" x14ac:dyDescent="0.25">
      <c r="O2026" s="20" t="str">
        <f>IF(N2026="","",COUNTIFS(RawData[[Date ]],N2026,RawData[Month List],$Q$6,RawData[Tour/Site],$Q$2,RawData[[Picker ID ]],$Q$3,RawData[Checker ID],$Q$4,RawData[[Error Type ]],$Q$5))</f>
        <v/>
      </c>
    </row>
    <row r="2027" spans="15:15" x14ac:dyDescent="0.25">
      <c r="O2027" s="20" t="str">
        <f>IF(N2027="","",COUNTIFS(RawData[[Date ]],N2027,RawData[Month List],$Q$6,RawData[Tour/Site],$Q$2,RawData[[Picker ID ]],$Q$3,RawData[Checker ID],$Q$4,RawData[[Error Type ]],$Q$5))</f>
        <v/>
      </c>
    </row>
    <row r="2028" spans="15:15" x14ac:dyDescent="0.25">
      <c r="O2028" s="20" t="str">
        <f>IF(N2028="","",COUNTIFS(RawData[[Date ]],N2028,RawData[Month List],$Q$6,RawData[Tour/Site],$Q$2,RawData[[Picker ID ]],$Q$3,RawData[Checker ID],$Q$4,RawData[[Error Type ]],$Q$5))</f>
        <v/>
      </c>
    </row>
    <row r="2029" spans="15:15" x14ac:dyDescent="0.25">
      <c r="O2029" s="20" t="str">
        <f>IF(N2029="","",COUNTIFS(RawData[[Date ]],N2029,RawData[Month List],$Q$6,RawData[Tour/Site],$Q$2,RawData[[Picker ID ]],$Q$3,RawData[Checker ID],$Q$4,RawData[[Error Type ]],$Q$5))</f>
        <v/>
      </c>
    </row>
    <row r="2030" spans="15:15" x14ac:dyDescent="0.25">
      <c r="O2030" s="20" t="str">
        <f>IF(N2030="","",COUNTIFS(RawData[[Date ]],N2030,RawData[Month List],$Q$6,RawData[Tour/Site],$Q$2,RawData[[Picker ID ]],$Q$3,RawData[Checker ID],$Q$4,RawData[[Error Type ]],$Q$5))</f>
        <v/>
      </c>
    </row>
    <row r="2031" spans="15:15" x14ac:dyDescent="0.25">
      <c r="O2031" s="20" t="str">
        <f>IF(N2031="","",COUNTIFS(RawData[[Date ]],N2031,RawData[Month List],$Q$6,RawData[Tour/Site],$Q$2,RawData[[Picker ID ]],$Q$3,RawData[Checker ID],$Q$4,RawData[[Error Type ]],$Q$5))</f>
        <v/>
      </c>
    </row>
    <row r="2032" spans="15:15" x14ac:dyDescent="0.25">
      <c r="O2032" s="20" t="str">
        <f>IF(N2032="","",COUNTIFS(RawData[[Date ]],N2032,RawData[Month List],$Q$6,RawData[Tour/Site],$Q$2,RawData[[Picker ID ]],$Q$3,RawData[Checker ID],$Q$4,RawData[[Error Type ]],$Q$5))</f>
        <v/>
      </c>
    </row>
    <row r="2033" spans="15:15" x14ac:dyDescent="0.25">
      <c r="O2033" s="20" t="str">
        <f>IF(N2033="","",COUNTIFS(RawData[[Date ]],N2033,RawData[Month List],$Q$6,RawData[Tour/Site],$Q$2,RawData[[Picker ID ]],$Q$3,RawData[Checker ID],$Q$4,RawData[[Error Type ]],$Q$5))</f>
        <v/>
      </c>
    </row>
    <row r="2034" spans="15:15" x14ac:dyDescent="0.25">
      <c r="O2034" s="20" t="str">
        <f>IF(N2034="","",COUNTIFS(RawData[[Date ]],N2034,RawData[Month List],$Q$6,RawData[Tour/Site],$Q$2,RawData[[Picker ID ]],$Q$3,RawData[Checker ID],$Q$4,RawData[[Error Type ]],$Q$5))</f>
        <v/>
      </c>
    </row>
    <row r="2035" spans="15:15" x14ac:dyDescent="0.25">
      <c r="O2035" s="20" t="str">
        <f>IF(N2035="","",COUNTIFS(RawData[[Date ]],N2035,RawData[Month List],$Q$6,RawData[Tour/Site],$Q$2,RawData[[Picker ID ]],$Q$3,RawData[Checker ID],$Q$4,RawData[[Error Type ]],$Q$5))</f>
        <v/>
      </c>
    </row>
    <row r="2036" spans="15:15" x14ac:dyDescent="0.25">
      <c r="O2036" s="20" t="str">
        <f>IF(N2036="","",COUNTIFS(RawData[[Date ]],N2036,RawData[Month List],$Q$6,RawData[Tour/Site],$Q$2,RawData[[Picker ID ]],$Q$3,RawData[Checker ID],$Q$4,RawData[[Error Type ]],$Q$5))</f>
        <v/>
      </c>
    </row>
    <row r="2037" spans="15:15" x14ac:dyDescent="0.25">
      <c r="O2037" s="20" t="str">
        <f>IF(N2037="","",COUNTIFS(RawData[[Date ]],N2037,RawData[Month List],$Q$6,RawData[Tour/Site],$Q$2,RawData[[Picker ID ]],$Q$3,RawData[Checker ID],$Q$4,RawData[[Error Type ]],$Q$5))</f>
        <v/>
      </c>
    </row>
    <row r="2038" spans="15:15" x14ac:dyDescent="0.25">
      <c r="O2038" s="20" t="str">
        <f>IF(N2038="","",COUNTIFS(RawData[[Date ]],N2038,RawData[Month List],$Q$6,RawData[Tour/Site],$Q$2,RawData[[Picker ID ]],$Q$3,RawData[Checker ID],$Q$4,RawData[[Error Type ]],$Q$5))</f>
        <v/>
      </c>
    </row>
    <row r="2039" spans="15:15" x14ac:dyDescent="0.25">
      <c r="O2039" s="20" t="str">
        <f>IF(N2039="","",COUNTIFS(RawData[[Date ]],N2039,RawData[Month List],$Q$6,RawData[Tour/Site],$Q$2,RawData[[Picker ID ]],$Q$3,RawData[Checker ID],$Q$4,RawData[[Error Type ]],$Q$5))</f>
        <v/>
      </c>
    </row>
    <row r="2040" spans="15:15" x14ac:dyDescent="0.25">
      <c r="O2040" s="20" t="str">
        <f>IF(N2040="","",COUNTIFS(RawData[[Date ]],N2040,RawData[Month List],$Q$6,RawData[Tour/Site],$Q$2,RawData[[Picker ID ]],$Q$3,RawData[Checker ID],$Q$4,RawData[[Error Type ]],$Q$5))</f>
        <v/>
      </c>
    </row>
    <row r="2041" spans="15:15" x14ac:dyDescent="0.25">
      <c r="O2041" s="20" t="str">
        <f>IF(N2041="","",COUNTIFS(RawData[[Date ]],N2041,RawData[Month List],$Q$6,RawData[Tour/Site],$Q$2,RawData[[Picker ID ]],$Q$3,RawData[Checker ID],$Q$4,RawData[[Error Type ]],$Q$5))</f>
        <v/>
      </c>
    </row>
    <row r="2042" spans="15:15" x14ac:dyDescent="0.25">
      <c r="O2042" s="20" t="str">
        <f>IF(N2042="","",COUNTIFS(RawData[[Date ]],N2042,RawData[Month List],$Q$6,RawData[Tour/Site],$Q$2,RawData[[Picker ID ]],$Q$3,RawData[Checker ID],$Q$4,RawData[[Error Type ]],$Q$5))</f>
        <v/>
      </c>
    </row>
    <row r="2043" spans="15:15" x14ac:dyDescent="0.25">
      <c r="O2043" s="20" t="str">
        <f>IF(N2043="","",COUNTIFS(RawData[[Date ]],N2043,RawData[Month List],$Q$6,RawData[Tour/Site],$Q$2,RawData[[Picker ID ]],$Q$3,RawData[Checker ID],$Q$4,RawData[[Error Type ]],$Q$5))</f>
        <v/>
      </c>
    </row>
    <row r="2044" spans="15:15" x14ac:dyDescent="0.25">
      <c r="O2044" s="20" t="str">
        <f>IF(N2044="","",COUNTIFS(RawData[[Date ]],N2044,RawData[Month List],$Q$6,RawData[Tour/Site],$Q$2,RawData[[Picker ID ]],$Q$3,RawData[Checker ID],$Q$4,RawData[[Error Type ]],$Q$5))</f>
        <v/>
      </c>
    </row>
    <row r="2045" spans="15:15" x14ac:dyDescent="0.25">
      <c r="O2045" s="20" t="str">
        <f>IF(N2045="","",COUNTIFS(RawData[[Date ]],N2045,RawData[Month List],$Q$6,RawData[Tour/Site],$Q$2,RawData[[Picker ID ]],$Q$3,RawData[Checker ID],$Q$4,RawData[[Error Type ]],$Q$5))</f>
        <v/>
      </c>
    </row>
    <row r="2046" spans="15:15" x14ac:dyDescent="0.25">
      <c r="O2046" s="20" t="str">
        <f>IF(N2046="","",COUNTIFS(RawData[[Date ]],N2046,RawData[Month List],$Q$6,RawData[Tour/Site],$Q$2,RawData[[Picker ID ]],$Q$3,RawData[Checker ID],$Q$4,RawData[[Error Type ]],$Q$5))</f>
        <v/>
      </c>
    </row>
    <row r="2047" spans="15:15" x14ac:dyDescent="0.25">
      <c r="O2047" s="20" t="str">
        <f>IF(N2047="","",COUNTIFS(RawData[[Date ]],N2047,RawData[Month List],$Q$6,RawData[Tour/Site],$Q$2,RawData[[Picker ID ]],$Q$3,RawData[Checker ID],$Q$4,RawData[[Error Type ]],$Q$5))</f>
        <v/>
      </c>
    </row>
    <row r="2048" spans="15:15" x14ac:dyDescent="0.25">
      <c r="O2048" s="20" t="str">
        <f>IF(N2048="","",COUNTIFS(RawData[[Date ]],N2048,RawData[Month List],$Q$6,RawData[Tour/Site],$Q$2,RawData[[Picker ID ]],$Q$3,RawData[Checker ID],$Q$4,RawData[[Error Type ]],$Q$5))</f>
        <v/>
      </c>
    </row>
    <row r="2049" spans="15:15" x14ac:dyDescent="0.25">
      <c r="O2049" s="20" t="str">
        <f>IF(N2049="","",COUNTIFS(RawData[[Date ]],N2049,RawData[Month List],$Q$6,RawData[Tour/Site],$Q$2,RawData[[Picker ID ]],$Q$3,RawData[Checker ID],$Q$4,RawData[[Error Type ]],$Q$5))</f>
        <v/>
      </c>
    </row>
    <row r="2050" spans="15:15" x14ac:dyDescent="0.25">
      <c r="O2050" s="20" t="str">
        <f>IF(N2050="","",COUNTIFS(RawData[[Date ]],N2050,RawData[Month List],$Q$6,RawData[Tour/Site],$Q$2,RawData[[Picker ID ]],$Q$3,RawData[Checker ID],$Q$4,RawData[[Error Type ]],$Q$5))</f>
        <v/>
      </c>
    </row>
    <row r="2051" spans="15:15" x14ac:dyDescent="0.25">
      <c r="O2051" s="20" t="str">
        <f>IF(N2051="","",COUNTIFS(RawData[[Date ]],N2051,RawData[Month List],$Q$6,RawData[Tour/Site],$Q$2,RawData[[Picker ID ]],$Q$3,RawData[Checker ID],$Q$4,RawData[[Error Type ]],$Q$5))</f>
        <v/>
      </c>
    </row>
    <row r="2052" spans="15:15" x14ac:dyDescent="0.25">
      <c r="O2052" s="20" t="str">
        <f>IF(N2052="","",COUNTIFS(RawData[[Date ]],N2052,RawData[Month List],$Q$6,RawData[Tour/Site],$Q$2,RawData[[Picker ID ]],$Q$3,RawData[Checker ID],$Q$4,RawData[[Error Type ]],$Q$5))</f>
        <v/>
      </c>
    </row>
    <row r="2053" spans="15:15" x14ac:dyDescent="0.25">
      <c r="O2053" s="20" t="str">
        <f>IF(N2053="","",COUNTIFS(RawData[[Date ]],N2053,RawData[Month List],$Q$6,RawData[Tour/Site],$Q$2,RawData[[Picker ID ]],$Q$3,RawData[Checker ID],$Q$4,RawData[[Error Type ]],$Q$5))</f>
        <v/>
      </c>
    </row>
    <row r="2054" spans="15:15" x14ac:dyDescent="0.25">
      <c r="O2054" s="20" t="str">
        <f>IF(N2054="","",COUNTIFS(RawData[[Date ]],N2054,RawData[Month List],$Q$6,RawData[Tour/Site],$Q$2,RawData[[Picker ID ]],$Q$3,RawData[Checker ID],$Q$4,RawData[[Error Type ]],$Q$5))</f>
        <v/>
      </c>
    </row>
    <row r="2055" spans="15:15" x14ac:dyDescent="0.25">
      <c r="O2055" s="20" t="str">
        <f>IF(N2055="","",COUNTIFS(RawData[[Date ]],N2055,RawData[Month List],$Q$6,RawData[Tour/Site],$Q$2,RawData[[Picker ID ]],$Q$3,RawData[Checker ID],$Q$4,RawData[[Error Type ]],$Q$5))</f>
        <v/>
      </c>
    </row>
    <row r="2056" spans="15:15" x14ac:dyDescent="0.25">
      <c r="O2056" s="20" t="str">
        <f>IF(N2056="","",COUNTIFS(RawData[[Date ]],N2056,RawData[Month List],$Q$6,RawData[Tour/Site],$Q$2,RawData[[Picker ID ]],$Q$3,RawData[Checker ID],$Q$4,RawData[[Error Type ]],$Q$5))</f>
        <v/>
      </c>
    </row>
    <row r="2057" spans="15:15" x14ac:dyDescent="0.25">
      <c r="O2057" s="20" t="str">
        <f>IF(N2057="","",COUNTIFS(RawData[[Date ]],N2057,RawData[Month List],$Q$6,RawData[Tour/Site],$Q$2,RawData[[Picker ID ]],$Q$3,RawData[Checker ID],$Q$4,RawData[[Error Type ]],$Q$5))</f>
        <v/>
      </c>
    </row>
    <row r="2058" spans="15:15" x14ac:dyDescent="0.25">
      <c r="O2058" s="20" t="str">
        <f>IF(N2058="","",COUNTIFS(RawData[[Date ]],N2058,RawData[Month List],$Q$6,RawData[Tour/Site],$Q$2,RawData[[Picker ID ]],$Q$3,RawData[Checker ID],$Q$4,RawData[[Error Type ]],$Q$5))</f>
        <v/>
      </c>
    </row>
    <row r="2059" spans="15:15" x14ac:dyDescent="0.25">
      <c r="O2059" s="20" t="str">
        <f>IF(N2059="","",COUNTIFS(RawData[[Date ]],N2059,RawData[Month List],$Q$6,RawData[Tour/Site],$Q$2,RawData[[Picker ID ]],$Q$3,RawData[Checker ID],$Q$4,RawData[[Error Type ]],$Q$5))</f>
        <v/>
      </c>
    </row>
    <row r="2060" spans="15:15" x14ac:dyDescent="0.25">
      <c r="O2060" s="20" t="str">
        <f>IF(N2060="","",COUNTIFS(RawData[[Date ]],N2060,RawData[Month List],$Q$6,RawData[Tour/Site],$Q$2,RawData[[Picker ID ]],$Q$3,RawData[Checker ID],$Q$4,RawData[[Error Type ]],$Q$5))</f>
        <v/>
      </c>
    </row>
    <row r="2061" spans="15:15" x14ac:dyDescent="0.25">
      <c r="O2061" s="20" t="str">
        <f>IF(N2061="","",COUNTIFS(RawData[[Date ]],N2061,RawData[Month List],$Q$6,RawData[Tour/Site],$Q$2,RawData[[Picker ID ]],$Q$3,RawData[Checker ID],$Q$4,RawData[[Error Type ]],$Q$5))</f>
        <v/>
      </c>
    </row>
    <row r="2062" spans="15:15" x14ac:dyDescent="0.25">
      <c r="O2062" s="20" t="str">
        <f>IF(N2062="","",COUNTIFS(RawData[[Date ]],N2062,RawData[Month List],$Q$6,RawData[Tour/Site],$Q$2,RawData[[Picker ID ]],$Q$3,RawData[Checker ID],$Q$4,RawData[[Error Type ]],$Q$5))</f>
        <v/>
      </c>
    </row>
    <row r="2063" spans="15:15" x14ac:dyDescent="0.25">
      <c r="O2063" s="20" t="str">
        <f>IF(N2063="","",COUNTIFS(RawData[[Date ]],N2063,RawData[Month List],$Q$6,RawData[Tour/Site],$Q$2,RawData[[Picker ID ]],$Q$3,RawData[Checker ID],$Q$4,RawData[[Error Type ]],$Q$5))</f>
        <v/>
      </c>
    </row>
    <row r="2064" spans="15:15" x14ac:dyDescent="0.25">
      <c r="O2064" s="20" t="str">
        <f>IF(N2064="","",COUNTIFS(RawData[[Date ]],N2064,RawData[Month List],$Q$6,RawData[Tour/Site],$Q$2,RawData[[Picker ID ]],$Q$3,RawData[Checker ID],$Q$4,RawData[[Error Type ]],$Q$5))</f>
        <v/>
      </c>
    </row>
    <row r="2065" spans="15:15" x14ac:dyDescent="0.25">
      <c r="O2065" s="20" t="str">
        <f>IF(N2065="","",COUNTIFS(RawData[[Date ]],N2065,RawData[Month List],$Q$6,RawData[Tour/Site],$Q$2,RawData[[Picker ID ]],$Q$3,RawData[Checker ID],$Q$4,RawData[[Error Type ]],$Q$5))</f>
        <v/>
      </c>
    </row>
    <row r="2066" spans="15:15" x14ac:dyDescent="0.25">
      <c r="O2066" s="20" t="str">
        <f>IF(N2066="","",COUNTIFS(RawData[[Date ]],N2066,RawData[Month List],$Q$6,RawData[Tour/Site],$Q$2,RawData[[Picker ID ]],$Q$3,RawData[Checker ID],$Q$4,RawData[[Error Type ]],$Q$5))</f>
        <v/>
      </c>
    </row>
    <row r="2067" spans="15:15" x14ac:dyDescent="0.25">
      <c r="O2067" s="20" t="str">
        <f>IF(N2067="","",COUNTIFS(RawData[[Date ]],N2067,RawData[Month List],$Q$6,RawData[Tour/Site],$Q$2,RawData[[Picker ID ]],$Q$3,RawData[Checker ID],$Q$4,RawData[[Error Type ]],$Q$5))</f>
        <v/>
      </c>
    </row>
    <row r="2068" spans="15:15" x14ac:dyDescent="0.25">
      <c r="O2068" s="20" t="str">
        <f>IF(N2068="","",COUNTIFS(RawData[[Date ]],N2068,RawData[Month List],$Q$6,RawData[Tour/Site],$Q$2,RawData[[Picker ID ]],$Q$3,RawData[Checker ID],$Q$4,RawData[[Error Type ]],$Q$5))</f>
        <v/>
      </c>
    </row>
    <row r="2069" spans="15:15" x14ac:dyDescent="0.25">
      <c r="O2069" s="20" t="str">
        <f>IF(N2069="","",COUNTIFS(RawData[[Date ]],N2069,RawData[Month List],$Q$6,RawData[Tour/Site],$Q$2,RawData[[Picker ID ]],$Q$3,RawData[Checker ID],$Q$4,RawData[[Error Type ]],$Q$5))</f>
        <v/>
      </c>
    </row>
    <row r="2070" spans="15:15" x14ac:dyDescent="0.25">
      <c r="O2070" s="20" t="str">
        <f>IF(N2070="","",COUNTIFS(RawData[[Date ]],N2070,RawData[Month List],$Q$6,RawData[Tour/Site],$Q$2,RawData[[Picker ID ]],$Q$3,RawData[Checker ID],$Q$4,RawData[[Error Type ]],$Q$5))</f>
        <v/>
      </c>
    </row>
    <row r="2071" spans="15:15" x14ac:dyDescent="0.25">
      <c r="O2071" s="20" t="str">
        <f>IF(N2071="","",COUNTIFS(RawData[[Date ]],N2071,RawData[Month List],$Q$6,RawData[Tour/Site],$Q$2,RawData[[Picker ID ]],$Q$3,RawData[Checker ID],$Q$4,RawData[[Error Type ]],$Q$5))</f>
        <v/>
      </c>
    </row>
    <row r="2072" spans="15:15" x14ac:dyDescent="0.25">
      <c r="O2072" s="20" t="str">
        <f>IF(N2072="","",COUNTIFS(RawData[[Date ]],N2072,RawData[Month List],$Q$6,RawData[Tour/Site],$Q$2,RawData[[Picker ID ]],$Q$3,RawData[Checker ID],$Q$4,RawData[[Error Type ]],$Q$5))</f>
        <v/>
      </c>
    </row>
    <row r="2073" spans="15:15" x14ac:dyDescent="0.25">
      <c r="O2073" s="20" t="str">
        <f>IF(N2073="","",COUNTIFS(RawData[[Date ]],N2073,RawData[Month List],$Q$6,RawData[Tour/Site],$Q$2,RawData[[Picker ID ]],$Q$3,RawData[Checker ID],$Q$4,RawData[[Error Type ]],$Q$5))</f>
        <v/>
      </c>
    </row>
    <row r="2074" spans="15:15" x14ac:dyDescent="0.25">
      <c r="O2074" s="20" t="str">
        <f>IF(N2074="","",COUNTIFS(RawData[[Date ]],N2074,RawData[Month List],$Q$6,RawData[Tour/Site],$Q$2,RawData[[Picker ID ]],$Q$3,RawData[Checker ID],$Q$4,RawData[[Error Type ]],$Q$5))</f>
        <v/>
      </c>
    </row>
    <row r="2075" spans="15:15" x14ac:dyDescent="0.25">
      <c r="O2075" s="20" t="str">
        <f>IF(N2075="","",COUNTIFS(RawData[[Date ]],N2075,RawData[Month List],$Q$6,RawData[Tour/Site],$Q$2,RawData[[Picker ID ]],$Q$3,RawData[Checker ID],$Q$4,RawData[[Error Type ]],$Q$5))</f>
        <v/>
      </c>
    </row>
    <row r="2076" spans="15:15" x14ac:dyDescent="0.25">
      <c r="O2076" s="20" t="str">
        <f>IF(N2076="","",COUNTIFS(RawData[[Date ]],N2076,RawData[Month List],$Q$6,RawData[Tour/Site],$Q$2,RawData[[Picker ID ]],$Q$3,RawData[Checker ID],$Q$4,RawData[[Error Type ]],$Q$5))</f>
        <v/>
      </c>
    </row>
    <row r="2077" spans="15:15" x14ac:dyDescent="0.25">
      <c r="O2077" s="20" t="str">
        <f>IF(N2077="","",COUNTIFS(RawData[[Date ]],N2077,RawData[Month List],$Q$6,RawData[Tour/Site],$Q$2,RawData[[Picker ID ]],$Q$3,RawData[Checker ID],$Q$4,RawData[[Error Type ]],$Q$5))</f>
        <v/>
      </c>
    </row>
    <row r="2078" spans="15:15" x14ac:dyDescent="0.25">
      <c r="O2078" s="20" t="str">
        <f>IF(N2078="","",COUNTIFS(RawData[[Date ]],N2078,RawData[Month List],$Q$6,RawData[Tour/Site],$Q$2,RawData[[Picker ID ]],$Q$3,RawData[Checker ID],$Q$4,RawData[[Error Type ]],$Q$5))</f>
        <v/>
      </c>
    </row>
    <row r="2079" spans="15:15" x14ac:dyDescent="0.25">
      <c r="O2079" s="20" t="str">
        <f>IF(N2079="","",COUNTIFS(RawData[[Date ]],N2079,RawData[Month List],$Q$6,RawData[Tour/Site],$Q$2,RawData[[Picker ID ]],$Q$3,RawData[Checker ID],$Q$4,RawData[[Error Type ]],$Q$5))</f>
        <v/>
      </c>
    </row>
    <row r="2080" spans="15:15" x14ac:dyDescent="0.25">
      <c r="O2080" s="20" t="str">
        <f>IF(N2080="","",COUNTIFS(RawData[[Date ]],N2080,RawData[Month List],$Q$6,RawData[Tour/Site],$Q$2,RawData[[Picker ID ]],$Q$3,RawData[Checker ID],$Q$4,RawData[[Error Type ]],$Q$5))</f>
        <v/>
      </c>
    </row>
    <row r="2081" spans="15:15" x14ac:dyDescent="0.25">
      <c r="O2081" s="20" t="str">
        <f>IF(N2081="","",COUNTIFS(RawData[[Date ]],N2081,RawData[Month List],$Q$6,RawData[Tour/Site],$Q$2,RawData[[Picker ID ]],$Q$3,RawData[Checker ID],$Q$4,RawData[[Error Type ]],$Q$5))</f>
        <v/>
      </c>
    </row>
    <row r="2082" spans="15:15" x14ac:dyDescent="0.25">
      <c r="O2082" s="20" t="str">
        <f>IF(N2082="","",COUNTIFS(RawData[[Date ]],N2082,RawData[Month List],$Q$6,RawData[Tour/Site],$Q$2,RawData[[Picker ID ]],$Q$3,RawData[Checker ID],$Q$4,RawData[[Error Type ]],$Q$5))</f>
        <v/>
      </c>
    </row>
    <row r="2083" spans="15:15" x14ac:dyDescent="0.25">
      <c r="O2083" s="20" t="str">
        <f>IF(N2083="","",COUNTIFS(RawData[[Date ]],N2083,RawData[Month List],$Q$6,RawData[Tour/Site],$Q$2,RawData[[Picker ID ]],$Q$3,RawData[Checker ID],$Q$4,RawData[[Error Type ]],$Q$5))</f>
        <v/>
      </c>
    </row>
    <row r="2084" spans="15:15" x14ac:dyDescent="0.25">
      <c r="O2084" s="20" t="str">
        <f>IF(N2084="","",COUNTIFS(RawData[[Date ]],N2084,RawData[Month List],$Q$6,RawData[Tour/Site],$Q$2,RawData[[Picker ID ]],$Q$3,RawData[Checker ID],$Q$4,RawData[[Error Type ]],$Q$5))</f>
        <v/>
      </c>
    </row>
    <row r="2085" spans="15:15" x14ac:dyDescent="0.25">
      <c r="O2085" s="20" t="str">
        <f>IF(N2085="","",COUNTIFS(RawData[[Date ]],N2085,RawData[Month List],$Q$6,RawData[Tour/Site],$Q$2,RawData[[Picker ID ]],$Q$3,RawData[Checker ID],$Q$4,RawData[[Error Type ]],$Q$5))</f>
        <v/>
      </c>
    </row>
    <row r="2086" spans="15:15" x14ac:dyDescent="0.25">
      <c r="O2086" s="20" t="str">
        <f>IF(N2086="","",COUNTIFS(RawData[[Date ]],N2086,RawData[Month List],$Q$6,RawData[Tour/Site],$Q$2,RawData[[Picker ID ]],$Q$3,RawData[Checker ID],$Q$4,RawData[[Error Type ]],$Q$5))</f>
        <v/>
      </c>
    </row>
    <row r="2087" spans="15:15" x14ac:dyDescent="0.25">
      <c r="O2087" s="20" t="str">
        <f>IF(N2087="","",COUNTIFS(RawData[[Date ]],N2087,RawData[Month List],$Q$6,RawData[Tour/Site],$Q$2,RawData[[Picker ID ]],$Q$3,RawData[Checker ID],$Q$4,RawData[[Error Type ]],$Q$5))</f>
        <v/>
      </c>
    </row>
    <row r="2088" spans="15:15" x14ac:dyDescent="0.25">
      <c r="O2088" s="20" t="str">
        <f>IF(N2088="","",COUNTIFS(RawData[[Date ]],N2088,RawData[Month List],$Q$6,RawData[Tour/Site],$Q$2,RawData[[Picker ID ]],$Q$3,RawData[Checker ID],$Q$4,RawData[[Error Type ]],$Q$5))</f>
        <v/>
      </c>
    </row>
    <row r="2089" spans="15:15" x14ac:dyDescent="0.25">
      <c r="O2089" s="20" t="str">
        <f>IF(N2089="","",COUNTIFS(RawData[[Date ]],N2089,RawData[Month List],$Q$6,RawData[Tour/Site],$Q$2,RawData[[Picker ID ]],$Q$3,RawData[Checker ID],$Q$4,RawData[[Error Type ]],$Q$5))</f>
        <v/>
      </c>
    </row>
    <row r="2090" spans="15:15" x14ac:dyDescent="0.25">
      <c r="O2090" s="20" t="str">
        <f>IF(N2090="","",COUNTIFS(RawData[[Date ]],N2090,RawData[Month List],$Q$6,RawData[Tour/Site],$Q$2,RawData[[Picker ID ]],$Q$3,RawData[Checker ID],$Q$4,RawData[[Error Type ]],$Q$5))</f>
        <v/>
      </c>
    </row>
    <row r="2091" spans="15:15" x14ac:dyDescent="0.25">
      <c r="O2091" s="20" t="str">
        <f>IF(N2091="","",COUNTIFS(RawData[[Date ]],N2091,RawData[Month List],$Q$6,RawData[Tour/Site],$Q$2,RawData[[Picker ID ]],$Q$3,RawData[Checker ID],$Q$4,RawData[[Error Type ]],$Q$5))</f>
        <v/>
      </c>
    </row>
    <row r="2092" spans="15:15" x14ac:dyDescent="0.25">
      <c r="O2092" s="20" t="str">
        <f>IF(N2092="","",COUNTIFS(RawData[[Date ]],N2092,RawData[Month List],$Q$6,RawData[Tour/Site],$Q$2,RawData[[Picker ID ]],$Q$3,RawData[Checker ID],$Q$4,RawData[[Error Type ]],$Q$5))</f>
        <v/>
      </c>
    </row>
    <row r="2093" spans="15:15" x14ac:dyDescent="0.25">
      <c r="O2093" s="20" t="str">
        <f>IF(N2093="","",COUNTIFS(RawData[[Date ]],N2093,RawData[Month List],$Q$6,RawData[Tour/Site],$Q$2,RawData[[Picker ID ]],$Q$3,RawData[Checker ID],$Q$4,RawData[[Error Type ]],$Q$5))</f>
        <v/>
      </c>
    </row>
    <row r="2094" spans="15:15" x14ac:dyDescent="0.25">
      <c r="O2094" s="20" t="str">
        <f>IF(N2094="","",COUNTIFS(RawData[[Date ]],N2094,RawData[Month List],$Q$6,RawData[Tour/Site],$Q$2,RawData[[Picker ID ]],$Q$3,RawData[Checker ID],$Q$4,RawData[[Error Type ]],$Q$5))</f>
        <v/>
      </c>
    </row>
    <row r="2095" spans="15:15" x14ac:dyDescent="0.25">
      <c r="O2095" s="20" t="str">
        <f>IF(N2095="","",COUNTIFS(RawData[[Date ]],N2095,RawData[Month List],$Q$6,RawData[Tour/Site],$Q$2,RawData[[Picker ID ]],$Q$3,RawData[Checker ID],$Q$4,RawData[[Error Type ]],$Q$5))</f>
        <v/>
      </c>
    </row>
    <row r="2096" spans="15:15" x14ac:dyDescent="0.25">
      <c r="O2096" s="20" t="str">
        <f>IF(N2096="","",COUNTIFS(RawData[[Date ]],N2096,RawData[Month List],$Q$6,RawData[Tour/Site],$Q$2,RawData[[Picker ID ]],$Q$3,RawData[Checker ID],$Q$4,RawData[[Error Type ]],$Q$5))</f>
        <v/>
      </c>
    </row>
    <row r="2097" spans="15:15" x14ac:dyDescent="0.25">
      <c r="O2097" s="20" t="str">
        <f>IF(N2097="","",COUNTIFS(RawData[[Date ]],N2097,RawData[Month List],$Q$6,RawData[Tour/Site],$Q$2,RawData[[Picker ID ]],$Q$3,RawData[Checker ID],$Q$4,RawData[[Error Type ]],$Q$5))</f>
        <v/>
      </c>
    </row>
    <row r="2098" spans="15:15" x14ac:dyDescent="0.25">
      <c r="O2098" s="20" t="str">
        <f>IF(N2098="","",COUNTIFS(RawData[[Date ]],N2098,RawData[Month List],$Q$6,RawData[Tour/Site],$Q$2,RawData[[Picker ID ]],$Q$3,RawData[Checker ID],$Q$4,RawData[[Error Type ]],$Q$5))</f>
        <v/>
      </c>
    </row>
    <row r="2099" spans="15:15" x14ac:dyDescent="0.25">
      <c r="O2099" s="20" t="str">
        <f>IF(N2099="","",COUNTIFS(RawData[[Date ]],N2099,RawData[Month List],$Q$6,RawData[Tour/Site],$Q$2,RawData[[Picker ID ]],$Q$3,RawData[Checker ID],$Q$4,RawData[[Error Type ]],$Q$5))</f>
        <v/>
      </c>
    </row>
    <row r="2100" spans="15:15" x14ac:dyDescent="0.25">
      <c r="O2100" s="20" t="str">
        <f>IF(N2100="","",COUNTIFS(RawData[[Date ]],N2100,RawData[Month List],$Q$6,RawData[Tour/Site],$Q$2,RawData[[Picker ID ]],$Q$3,RawData[Checker ID],$Q$4,RawData[[Error Type ]],$Q$5))</f>
        <v/>
      </c>
    </row>
    <row r="2101" spans="15:15" x14ac:dyDescent="0.25">
      <c r="O2101" s="20" t="str">
        <f>IF(N2101="","",COUNTIFS(RawData[[Date ]],N2101,RawData[Month List],$Q$6,RawData[Tour/Site],$Q$2,RawData[[Picker ID ]],$Q$3,RawData[Checker ID],$Q$4,RawData[[Error Type ]],$Q$5))</f>
        <v/>
      </c>
    </row>
    <row r="2102" spans="15:15" x14ac:dyDescent="0.25">
      <c r="O2102" s="20" t="str">
        <f>IF(N2102="","",COUNTIFS(RawData[[Date ]],N2102,RawData[Month List],$Q$6,RawData[Tour/Site],$Q$2,RawData[[Picker ID ]],$Q$3,RawData[Checker ID],$Q$4,RawData[[Error Type ]],$Q$5))</f>
        <v/>
      </c>
    </row>
    <row r="2103" spans="15:15" x14ac:dyDescent="0.25">
      <c r="O2103" s="20" t="str">
        <f>IF(N2103="","",COUNTIFS(RawData[[Date ]],N2103,RawData[Month List],$Q$6,RawData[Tour/Site],$Q$2,RawData[[Picker ID ]],$Q$3,RawData[Checker ID],$Q$4,RawData[[Error Type ]],$Q$5))</f>
        <v/>
      </c>
    </row>
    <row r="2104" spans="15:15" x14ac:dyDescent="0.25">
      <c r="O2104" s="20" t="str">
        <f>IF(N2104="","",COUNTIFS(RawData[[Date ]],N2104,RawData[Month List],$Q$6,RawData[Tour/Site],$Q$2,RawData[[Picker ID ]],$Q$3,RawData[Checker ID],$Q$4,RawData[[Error Type ]],$Q$5))</f>
        <v/>
      </c>
    </row>
    <row r="2105" spans="15:15" x14ac:dyDescent="0.25">
      <c r="O2105" s="20" t="str">
        <f>IF(N2105="","",COUNTIFS(RawData[[Date ]],N2105,RawData[Month List],$Q$6,RawData[Tour/Site],$Q$2,RawData[[Picker ID ]],$Q$3,RawData[Checker ID],$Q$4,RawData[[Error Type ]],$Q$5))</f>
        <v/>
      </c>
    </row>
    <row r="2106" spans="15:15" x14ac:dyDescent="0.25">
      <c r="O2106" s="20" t="str">
        <f>IF(N2106="","",COUNTIFS(RawData[[Date ]],N2106,RawData[Month List],$Q$6,RawData[Tour/Site],$Q$2,RawData[[Picker ID ]],$Q$3,RawData[Checker ID],$Q$4,RawData[[Error Type ]],$Q$5))</f>
        <v/>
      </c>
    </row>
    <row r="2107" spans="15:15" x14ac:dyDescent="0.25">
      <c r="O2107" s="20" t="str">
        <f>IF(N2107="","",COUNTIFS(RawData[[Date ]],N2107,RawData[Month List],$Q$6,RawData[Tour/Site],$Q$2,RawData[[Picker ID ]],$Q$3,RawData[Checker ID],$Q$4,RawData[[Error Type ]],$Q$5))</f>
        <v/>
      </c>
    </row>
    <row r="2108" spans="15:15" x14ac:dyDescent="0.25">
      <c r="O2108" s="20" t="str">
        <f>IF(N2108="","",COUNTIFS(RawData[[Date ]],N2108,RawData[Month List],$Q$6,RawData[Tour/Site],$Q$2,RawData[[Picker ID ]],$Q$3,RawData[Checker ID],$Q$4,RawData[[Error Type ]],$Q$5))</f>
        <v/>
      </c>
    </row>
    <row r="2109" spans="15:15" x14ac:dyDescent="0.25">
      <c r="O2109" s="20" t="str">
        <f>IF(N2109="","",COUNTIFS(RawData[[Date ]],N2109,RawData[Month List],$Q$6,RawData[Tour/Site],$Q$2,RawData[[Picker ID ]],$Q$3,RawData[Checker ID],$Q$4,RawData[[Error Type ]],$Q$5))</f>
        <v/>
      </c>
    </row>
    <row r="2110" spans="15:15" x14ac:dyDescent="0.25">
      <c r="O2110" s="20" t="str">
        <f>IF(N2110="","",COUNTIFS(RawData[[Date ]],N2110,RawData[Month List],$Q$6,RawData[Tour/Site],$Q$2,RawData[[Picker ID ]],$Q$3,RawData[Checker ID],$Q$4,RawData[[Error Type ]],$Q$5))</f>
        <v/>
      </c>
    </row>
    <row r="2111" spans="15:15" x14ac:dyDescent="0.25">
      <c r="O2111" s="20" t="str">
        <f>IF(N2111="","",COUNTIFS(RawData[[Date ]],N2111,RawData[Month List],$Q$6,RawData[Tour/Site],$Q$2,RawData[[Picker ID ]],$Q$3,RawData[Checker ID],$Q$4,RawData[[Error Type ]],$Q$5))</f>
        <v/>
      </c>
    </row>
    <row r="2112" spans="15:15" x14ac:dyDescent="0.25">
      <c r="O2112" s="20" t="str">
        <f>IF(N2112="","",COUNTIFS(RawData[[Date ]],N2112,RawData[Month List],$Q$6,RawData[Tour/Site],$Q$2,RawData[[Picker ID ]],$Q$3,RawData[Checker ID],$Q$4,RawData[[Error Type ]],$Q$5))</f>
        <v/>
      </c>
    </row>
    <row r="2113" spans="15:15" x14ac:dyDescent="0.25">
      <c r="O2113" s="20" t="str">
        <f>IF(N2113="","",COUNTIFS(RawData[[Date ]],N2113,RawData[Month List],$Q$6,RawData[Tour/Site],$Q$2,RawData[[Picker ID ]],$Q$3,RawData[Checker ID],$Q$4,RawData[[Error Type ]],$Q$5))</f>
        <v/>
      </c>
    </row>
    <row r="2114" spans="15:15" x14ac:dyDescent="0.25">
      <c r="O2114" s="20" t="str">
        <f>IF(N2114="","",COUNTIFS(RawData[[Date ]],N2114,RawData[Month List],$Q$6,RawData[Tour/Site],$Q$2,RawData[[Picker ID ]],$Q$3,RawData[Checker ID],$Q$4,RawData[[Error Type ]],$Q$5))</f>
        <v/>
      </c>
    </row>
    <row r="2115" spans="15:15" x14ac:dyDescent="0.25">
      <c r="O2115" s="20" t="str">
        <f>IF(N2115="","",COUNTIFS(RawData[[Date ]],N2115,RawData[Month List],$Q$6,RawData[Tour/Site],$Q$2,RawData[[Picker ID ]],$Q$3,RawData[Checker ID],$Q$4,RawData[[Error Type ]],$Q$5))</f>
        <v/>
      </c>
    </row>
    <row r="2116" spans="15:15" x14ac:dyDescent="0.25">
      <c r="O2116" s="20" t="str">
        <f>IF(N2116="","",COUNTIFS(RawData[[Date ]],N2116,RawData[Month List],$Q$6,RawData[Tour/Site],$Q$2,RawData[[Picker ID ]],$Q$3,RawData[Checker ID],$Q$4,RawData[[Error Type ]],$Q$5))</f>
        <v/>
      </c>
    </row>
    <row r="2117" spans="15:15" x14ac:dyDescent="0.25">
      <c r="O2117" s="20" t="str">
        <f>IF(N2117="","",COUNTIFS(RawData[[Date ]],N2117,RawData[Month List],$Q$6,RawData[Tour/Site],$Q$2,RawData[[Picker ID ]],$Q$3,RawData[Checker ID],$Q$4,RawData[[Error Type ]],$Q$5))</f>
        <v/>
      </c>
    </row>
    <row r="2118" spans="15:15" x14ac:dyDescent="0.25">
      <c r="O2118" s="20" t="str">
        <f>IF(N2118="","",COUNTIFS(RawData[[Date ]],N2118,RawData[Month List],$Q$6,RawData[Tour/Site],$Q$2,RawData[[Picker ID ]],$Q$3,RawData[Checker ID],$Q$4,RawData[[Error Type ]],$Q$5))</f>
        <v/>
      </c>
    </row>
    <row r="2119" spans="15:15" x14ac:dyDescent="0.25">
      <c r="O2119" s="20" t="str">
        <f>IF(N2119="","",COUNTIFS(RawData[[Date ]],N2119,RawData[Month List],$Q$6,RawData[Tour/Site],$Q$2,RawData[[Picker ID ]],$Q$3,RawData[Checker ID],$Q$4,RawData[[Error Type ]],$Q$5))</f>
        <v/>
      </c>
    </row>
    <row r="2120" spans="15:15" x14ac:dyDescent="0.25">
      <c r="O2120" s="20" t="str">
        <f>IF(N2120="","",COUNTIFS(RawData[[Date ]],N2120,RawData[Month List],$Q$6,RawData[Tour/Site],$Q$2,RawData[[Picker ID ]],$Q$3,RawData[Checker ID],$Q$4,RawData[[Error Type ]],$Q$5))</f>
        <v/>
      </c>
    </row>
    <row r="2121" spans="15:15" x14ac:dyDescent="0.25">
      <c r="O2121" s="20" t="str">
        <f>IF(N2121="","",COUNTIFS(RawData[[Date ]],N2121,RawData[Month List],$Q$6,RawData[Tour/Site],$Q$2,RawData[[Picker ID ]],$Q$3,RawData[Checker ID],$Q$4,RawData[[Error Type ]],$Q$5))</f>
        <v/>
      </c>
    </row>
    <row r="2122" spans="15:15" x14ac:dyDescent="0.25">
      <c r="O2122" s="20" t="str">
        <f>IF(N2122="","",COUNTIFS(RawData[[Date ]],N2122,RawData[Month List],$Q$6,RawData[Tour/Site],$Q$2,RawData[[Picker ID ]],$Q$3,RawData[Checker ID],$Q$4,RawData[[Error Type ]],$Q$5))</f>
        <v/>
      </c>
    </row>
    <row r="2123" spans="15:15" x14ac:dyDescent="0.25">
      <c r="O2123" s="20" t="str">
        <f>IF(N2123="","",COUNTIFS(RawData[[Date ]],N2123,RawData[Month List],$Q$6,RawData[Tour/Site],$Q$2,RawData[[Picker ID ]],$Q$3,RawData[Checker ID],$Q$4,RawData[[Error Type ]],$Q$5))</f>
        <v/>
      </c>
    </row>
    <row r="2124" spans="15:15" x14ac:dyDescent="0.25">
      <c r="O2124" s="20" t="str">
        <f>IF(N2124="","",COUNTIFS(RawData[[Date ]],N2124,RawData[Month List],$Q$6,RawData[Tour/Site],$Q$2,RawData[[Picker ID ]],$Q$3,RawData[Checker ID],$Q$4,RawData[[Error Type ]],$Q$5))</f>
        <v/>
      </c>
    </row>
    <row r="2125" spans="15:15" x14ac:dyDescent="0.25">
      <c r="O2125" s="20" t="str">
        <f>IF(N2125="","",COUNTIFS(RawData[[Date ]],N2125,RawData[Month List],$Q$6,RawData[Tour/Site],$Q$2,RawData[[Picker ID ]],$Q$3,RawData[Checker ID],$Q$4,RawData[[Error Type ]],$Q$5))</f>
        <v/>
      </c>
    </row>
    <row r="2126" spans="15:15" x14ac:dyDescent="0.25">
      <c r="O2126" s="20" t="str">
        <f>IF(N2126="","",COUNTIFS(RawData[[Date ]],N2126,RawData[Month List],$Q$6,RawData[Tour/Site],$Q$2,RawData[[Picker ID ]],$Q$3,RawData[Checker ID],$Q$4,RawData[[Error Type ]],$Q$5))</f>
        <v/>
      </c>
    </row>
    <row r="2127" spans="15:15" x14ac:dyDescent="0.25">
      <c r="O2127" s="20" t="str">
        <f>IF(N2127="","",COUNTIFS(RawData[[Date ]],N2127,RawData[Month List],$Q$6,RawData[Tour/Site],$Q$2,RawData[[Picker ID ]],$Q$3,RawData[Checker ID],$Q$4,RawData[[Error Type ]],$Q$5))</f>
        <v/>
      </c>
    </row>
    <row r="2128" spans="15:15" x14ac:dyDescent="0.25">
      <c r="O2128" s="20" t="str">
        <f>IF(N2128="","",COUNTIFS(RawData[[Date ]],N2128,RawData[Month List],$Q$6,RawData[Tour/Site],$Q$2,RawData[[Picker ID ]],$Q$3,RawData[Checker ID],$Q$4,RawData[[Error Type ]],$Q$5))</f>
        <v/>
      </c>
    </row>
    <row r="2129" spans="15:15" x14ac:dyDescent="0.25">
      <c r="O2129" s="20" t="str">
        <f>IF(N2129="","",COUNTIFS(RawData[[Date ]],N2129,RawData[Month List],$Q$6,RawData[Tour/Site],$Q$2,RawData[[Picker ID ]],$Q$3,RawData[Checker ID],$Q$4,RawData[[Error Type ]],$Q$5))</f>
        <v/>
      </c>
    </row>
    <row r="2130" spans="15:15" x14ac:dyDescent="0.25">
      <c r="O2130" s="20" t="str">
        <f>IF(N2130="","",COUNTIFS(RawData[[Date ]],N2130,RawData[Month List],$Q$6,RawData[Tour/Site],$Q$2,RawData[[Picker ID ]],$Q$3,RawData[Checker ID],$Q$4,RawData[[Error Type ]],$Q$5))</f>
        <v/>
      </c>
    </row>
    <row r="2131" spans="15:15" x14ac:dyDescent="0.25">
      <c r="O2131" s="20" t="str">
        <f>IF(N2131="","",COUNTIFS(RawData[[Date ]],N2131,RawData[Month List],$Q$6,RawData[Tour/Site],$Q$2,RawData[[Picker ID ]],$Q$3,RawData[Checker ID],$Q$4,RawData[[Error Type ]],$Q$5))</f>
        <v/>
      </c>
    </row>
    <row r="2132" spans="15:15" x14ac:dyDescent="0.25">
      <c r="O2132" s="20" t="str">
        <f>IF(N2132="","",COUNTIFS(RawData[[Date ]],N2132,RawData[Month List],$Q$6,RawData[Tour/Site],$Q$2,RawData[[Picker ID ]],$Q$3,RawData[Checker ID],$Q$4,RawData[[Error Type ]],$Q$5))</f>
        <v/>
      </c>
    </row>
    <row r="2133" spans="15:15" x14ac:dyDescent="0.25">
      <c r="O2133" s="20" t="str">
        <f>IF(N2133="","",COUNTIFS(RawData[[Date ]],N2133,RawData[Month List],$Q$6,RawData[Tour/Site],$Q$2,RawData[[Picker ID ]],$Q$3,RawData[Checker ID],$Q$4,RawData[[Error Type ]],$Q$5))</f>
        <v/>
      </c>
    </row>
    <row r="2134" spans="15:15" x14ac:dyDescent="0.25">
      <c r="O2134" s="20" t="str">
        <f>IF(N2134="","",COUNTIFS(RawData[[Date ]],N2134,RawData[Month List],$Q$6,RawData[Tour/Site],$Q$2,RawData[[Picker ID ]],$Q$3,RawData[Checker ID],$Q$4,RawData[[Error Type ]],$Q$5))</f>
        <v/>
      </c>
    </row>
    <row r="2135" spans="15:15" x14ac:dyDescent="0.25">
      <c r="O2135" s="20" t="str">
        <f>IF(N2135="","",COUNTIFS(RawData[[Date ]],N2135,RawData[Month List],$Q$6,RawData[Tour/Site],$Q$2,RawData[[Picker ID ]],$Q$3,RawData[Checker ID],$Q$4,RawData[[Error Type ]],$Q$5))</f>
        <v/>
      </c>
    </row>
    <row r="2136" spans="15:15" x14ac:dyDescent="0.25">
      <c r="O2136" s="20" t="str">
        <f>IF(N2136="","",COUNTIFS(RawData[[Date ]],N2136,RawData[Month List],$Q$6,RawData[Tour/Site],$Q$2,RawData[[Picker ID ]],$Q$3,RawData[Checker ID],$Q$4,RawData[[Error Type ]],$Q$5))</f>
        <v/>
      </c>
    </row>
    <row r="2137" spans="15:15" x14ac:dyDescent="0.25">
      <c r="O2137" s="20" t="str">
        <f>IF(N2137="","",COUNTIFS(RawData[[Date ]],N2137,RawData[Month List],$Q$6,RawData[Tour/Site],$Q$2,RawData[[Picker ID ]],$Q$3,RawData[Checker ID],$Q$4,RawData[[Error Type ]],$Q$5))</f>
        <v/>
      </c>
    </row>
    <row r="2138" spans="15:15" x14ac:dyDescent="0.25">
      <c r="O2138" s="20" t="str">
        <f>IF(N2138="","",COUNTIFS(RawData[[Date ]],N2138,RawData[Month List],$Q$6,RawData[Tour/Site],$Q$2,RawData[[Picker ID ]],$Q$3,RawData[Checker ID],$Q$4,RawData[[Error Type ]],$Q$5))</f>
        <v/>
      </c>
    </row>
    <row r="2139" spans="15:15" x14ac:dyDescent="0.25">
      <c r="O2139" s="20" t="str">
        <f>IF(N2139="","",COUNTIFS(RawData[[Date ]],N2139,RawData[Month List],$Q$6,RawData[Tour/Site],$Q$2,RawData[[Picker ID ]],$Q$3,RawData[Checker ID],$Q$4,RawData[[Error Type ]],$Q$5))</f>
        <v/>
      </c>
    </row>
    <row r="2140" spans="15:15" x14ac:dyDescent="0.25">
      <c r="O2140" s="20" t="str">
        <f>IF(N2140="","",COUNTIFS(RawData[[Date ]],N2140,RawData[Month List],$Q$6,RawData[Tour/Site],$Q$2,RawData[[Picker ID ]],$Q$3,RawData[Checker ID],$Q$4,RawData[[Error Type ]],$Q$5))</f>
        <v/>
      </c>
    </row>
    <row r="2141" spans="15:15" x14ac:dyDescent="0.25">
      <c r="O2141" s="20" t="str">
        <f>IF(N2141="","",COUNTIFS(RawData[[Date ]],N2141,RawData[Month List],$Q$6,RawData[Tour/Site],$Q$2,RawData[[Picker ID ]],$Q$3,RawData[Checker ID],$Q$4,RawData[[Error Type ]],$Q$5))</f>
        <v/>
      </c>
    </row>
    <row r="2142" spans="15:15" x14ac:dyDescent="0.25">
      <c r="O2142" s="20" t="str">
        <f>IF(N2142="","",COUNTIFS(RawData[[Date ]],N2142,RawData[Month List],$Q$6,RawData[Tour/Site],$Q$2,RawData[[Picker ID ]],$Q$3,RawData[Checker ID],$Q$4,RawData[[Error Type ]],$Q$5))</f>
        <v/>
      </c>
    </row>
    <row r="2143" spans="15:15" x14ac:dyDescent="0.25">
      <c r="O2143" s="20" t="str">
        <f>IF(N2143="","",COUNTIFS(RawData[[Date ]],N2143,RawData[Month List],$Q$6,RawData[Tour/Site],$Q$2,RawData[[Picker ID ]],$Q$3,RawData[Checker ID],$Q$4,RawData[[Error Type ]],$Q$5))</f>
        <v/>
      </c>
    </row>
    <row r="2144" spans="15:15" x14ac:dyDescent="0.25">
      <c r="O2144" s="20" t="str">
        <f>IF(N2144="","",COUNTIFS(RawData[[Date ]],N2144,RawData[Month List],$Q$6,RawData[Tour/Site],$Q$2,RawData[[Picker ID ]],$Q$3,RawData[Checker ID],$Q$4,RawData[[Error Type ]],$Q$5))</f>
        <v/>
      </c>
    </row>
    <row r="2145" spans="15:15" x14ac:dyDescent="0.25">
      <c r="O2145" s="20" t="str">
        <f>IF(N2145="","",COUNTIFS(RawData[[Date ]],N2145,RawData[Month List],$Q$6,RawData[Tour/Site],$Q$2,RawData[[Picker ID ]],$Q$3,RawData[Checker ID],$Q$4,RawData[[Error Type ]],$Q$5))</f>
        <v/>
      </c>
    </row>
    <row r="2146" spans="15:15" x14ac:dyDescent="0.25">
      <c r="O2146" s="20" t="str">
        <f>IF(N2146="","",COUNTIFS(RawData[[Date ]],N2146,RawData[Month List],$Q$6,RawData[Tour/Site],$Q$2,RawData[[Picker ID ]],$Q$3,RawData[Checker ID],$Q$4,RawData[[Error Type ]],$Q$5))</f>
        <v/>
      </c>
    </row>
    <row r="2147" spans="15:15" x14ac:dyDescent="0.25">
      <c r="O2147" s="20" t="str">
        <f>IF(N2147="","",COUNTIFS(RawData[[Date ]],N2147,RawData[Month List],$Q$6,RawData[Tour/Site],$Q$2,RawData[[Picker ID ]],$Q$3,RawData[Checker ID],$Q$4,RawData[[Error Type ]],$Q$5))</f>
        <v/>
      </c>
    </row>
    <row r="2148" spans="15:15" x14ac:dyDescent="0.25">
      <c r="O2148" s="20" t="str">
        <f>IF(N2148="","",COUNTIFS(RawData[[Date ]],N2148,RawData[Month List],$Q$6,RawData[Tour/Site],$Q$2,RawData[[Picker ID ]],$Q$3,RawData[Checker ID],$Q$4,RawData[[Error Type ]],$Q$5))</f>
        <v/>
      </c>
    </row>
    <row r="2149" spans="15:15" x14ac:dyDescent="0.25">
      <c r="O2149" s="20" t="str">
        <f>IF(N2149="","",COUNTIFS(RawData[[Date ]],N2149,RawData[Month List],$Q$6,RawData[Tour/Site],$Q$2,RawData[[Picker ID ]],$Q$3,RawData[Checker ID],$Q$4,RawData[[Error Type ]],$Q$5))</f>
        <v/>
      </c>
    </row>
    <row r="2150" spans="15:15" x14ac:dyDescent="0.25">
      <c r="O2150" s="20" t="str">
        <f>IF(N2150="","",COUNTIFS(RawData[[Date ]],N2150,RawData[Month List],$Q$6,RawData[Tour/Site],$Q$2,RawData[[Picker ID ]],$Q$3,RawData[Checker ID],$Q$4,RawData[[Error Type ]],$Q$5))</f>
        <v/>
      </c>
    </row>
    <row r="2151" spans="15:15" x14ac:dyDescent="0.25">
      <c r="O2151" s="20" t="str">
        <f>IF(N2151="","",COUNTIFS(RawData[[Date ]],N2151,RawData[Month List],$Q$6,RawData[Tour/Site],$Q$2,RawData[[Picker ID ]],$Q$3,RawData[Checker ID],$Q$4,RawData[[Error Type ]],$Q$5))</f>
        <v/>
      </c>
    </row>
    <row r="2152" spans="15:15" x14ac:dyDescent="0.25">
      <c r="O2152" s="20" t="str">
        <f>IF(N2152="","",COUNTIFS(RawData[[Date ]],N2152,RawData[Month List],$Q$6,RawData[Tour/Site],$Q$2,RawData[[Picker ID ]],$Q$3,RawData[Checker ID],$Q$4,RawData[[Error Type ]],$Q$5))</f>
        <v/>
      </c>
    </row>
    <row r="2153" spans="15:15" x14ac:dyDescent="0.25">
      <c r="O2153" s="20" t="str">
        <f>IF(N2153="","",COUNTIFS(RawData[[Date ]],N2153,RawData[Month List],$Q$6,RawData[Tour/Site],$Q$2,RawData[[Picker ID ]],$Q$3,RawData[Checker ID],$Q$4,RawData[[Error Type ]],$Q$5))</f>
        <v/>
      </c>
    </row>
    <row r="2154" spans="15:15" x14ac:dyDescent="0.25">
      <c r="O2154" s="20" t="str">
        <f>IF(N2154="","",COUNTIFS(RawData[[Date ]],N2154,RawData[Month List],$Q$6,RawData[Tour/Site],$Q$2,RawData[[Picker ID ]],$Q$3,RawData[Checker ID],$Q$4,RawData[[Error Type ]],$Q$5))</f>
        <v/>
      </c>
    </row>
    <row r="2155" spans="15:15" x14ac:dyDescent="0.25">
      <c r="O2155" s="20" t="str">
        <f>IF(N2155="","",COUNTIFS(RawData[[Date ]],N2155,RawData[Month List],$Q$6,RawData[Tour/Site],$Q$2,RawData[[Picker ID ]],$Q$3,RawData[Checker ID],$Q$4,RawData[[Error Type ]],$Q$5))</f>
        <v/>
      </c>
    </row>
    <row r="2156" spans="15:15" x14ac:dyDescent="0.25">
      <c r="O2156" s="20" t="str">
        <f>IF(N2156="","",COUNTIFS(RawData[[Date ]],N2156,RawData[Month List],$Q$6,RawData[Tour/Site],$Q$2,RawData[[Picker ID ]],$Q$3,RawData[Checker ID],$Q$4,RawData[[Error Type ]],$Q$5))</f>
        <v/>
      </c>
    </row>
    <row r="2157" spans="15:15" x14ac:dyDescent="0.25">
      <c r="O2157" s="20" t="str">
        <f>IF(N2157="","",COUNTIFS(RawData[[Date ]],N2157,RawData[Month List],$Q$6,RawData[Tour/Site],$Q$2,RawData[[Picker ID ]],$Q$3,RawData[Checker ID],$Q$4,RawData[[Error Type ]],$Q$5))</f>
        <v/>
      </c>
    </row>
    <row r="2158" spans="15:15" x14ac:dyDescent="0.25">
      <c r="O2158" s="20" t="str">
        <f>IF(N2158="","",COUNTIFS(RawData[[Date ]],N2158,RawData[Month List],$Q$6,RawData[Tour/Site],$Q$2,RawData[[Picker ID ]],$Q$3,RawData[Checker ID],$Q$4,RawData[[Error Type ]],$Q$5))</f>
        <v/>
      </c>
    </row>
    <row r="2159" spans="15:15" x14ac:dyDescent="0.25">
      <c r="O2159" s="20" t="str">
        <f>IF(N2159="","",COUNTIFS(RawData[[Date ]],N2159,RawData[Month List],$Q$6,RawData[Tour/Site],$Q$2,RawData[[Picker ID ]],$Q$3,RawData[Checker ID],$Q$4,RawData[[Error Type ]],$Q$5))</f>
        <v/>
      </c>
    </row>
    <row r="2160" spans="15:15" x14ac:dyDescent="0.25">
      <c r="O2160" s="20" t="str">
        <f>IF(N2160="","",COUNTIFS(RawData[[Date ]],N2160,RawData[Month List],$Q$6,RawData[Tour/Site],$Q$2,RawData[[Picker ID ]],$Q$3,RawData[Checker ID],$Q$4,RawData[[Error Type ]],$Q$5))</f>
        <v/>
      </c>
    </row>
    <row r="2161" spans="15:15" x14ac:dyDescent="0.25">
      <c r="O2161" s="20" t="str">
        <f>IF(N2161="","",COUNTIFS(RawData[[Date ]],N2161,RawData[Month List],$Q$6,RawData[Tour/Site],$Q$2,RawData[[Picker ID ]],$Q$3,RawData[Checker ID],$Q$4,RawData[[Error Type ]],$Q$5))</f>
        <v/>
      </c>
    </row>
    <row r="2162" spans="15:15" x14ac:dyDescent="0.25">
      <c r="O2162" s="20" t="str">
        <f>IF(N2162="","",COUNTIFS(RawData[[Date ]],N2162,RawData[Month List],$Q$6,RawData[Tour/Site],$Q$2,RawData[[Picker ID ]],$Q$3,RawData[Checker ID],$Q$4,RawData[[Error Type ]],$Q$5))</f>
        <v/>
      </c>
    </row>
    <row r="2163" spans="15:15" x14ac:dyDescent="0.25">
      <c r="O2163" s="20" t="str">
        <f>IF(N2163="","",COUNTIFS(RawData[[Date ]],N2163,RawData[Month List],$Q$6,RawData[Tour/Site],$Q$2,RawData[[Picker ID ]],$Q$3,RawData[Checker ID],$Q$4,RawData[[Error Type ]],$Q$5))</f>
        <v/>
      </c>
    </row>
    <row r="2164" spans="15:15" x14ac:dyDescent="0.25">
      <c r="O2164" s="20" t="str">
        <f>IF(N2164="","",COUNTIFS(RawData[[Date ]],N2164,RawData[Month List],$Q$6,RawData[Tour/Site],$Q$2,RawData[[Picker ID ]],$Q$3,RawData[Checker ID],$Q$4,RawData[[Error Type ]],$Q$5))</f>
        <v/>
      </c>
    </row>
    <row r="2165" spans="15:15" x14ac:dyDescent="0.25">
      <c r="O2165" s="20" t="str">
        <f>IF(N2165="","",COUNTIFS(RawData[[Date ]],N2165,RawData[Month List],$Q$6,RawData[Tour/Site],$Q$2,RawData[[Picker ID ]],$Q$3,RawData[Checker ID],$Q$4,RawData[[Error Type ]],$Q$5))</f>
        <v/>
      </c>
    </row>
    <row r="2166" spans="15:15" x14ac:dyDescent="0.25">
      <c r="O2166" s="20" t="str">
        <f>IF(N2166="","",COUNTIFS(RawData[[Date ]],N2166,RawData[Month List],$Q$6,RawData[Tour/Site],$Q$2,RawData[[Picker ID ]],$Q$3,RawData[Checker ID],$Q$4,RawData[[Error Type ]],$Q$5))</f>
        <v/>
      </c>
    </row>
    <row r="2167" spans="15:15" x14ac:dyDescent="0.25">
      <c r="O2167" s="20" t="str">
        <f>IF(N2167="","",COUNTIFS(RawData[[Date ]],N2167,RawData[Month List],$Q$6,RawData[Tour/Site],$Q$2,RawData[[Picker ID ]],$Q$3,RawData[Checker ID],$Q$4,RawData[[Error Type ]],$Q$5))</f>
        <v/>
      </c>
    </row>
    <row r="2168" spans="15:15" x14ac:dyDescent="0.25">
      <c r="O2168" s="20" t="str">
        <f>IF(N2168="","",COUNTIFS(RawData[[Date ]],N2168,RawData[Month List],$Q$6,RawData[Tour/Site],$Q$2,RawData[[Picker ID ]],$Q$3,RawData[Checker ID],$Q$4,RawData[[Error Type ]],$Q$5))</f>
        <v/>
      </c>
    </row>
    <row r="2169" spans="15:15" x14ac:dyDescent="0.25">
      <c r="O2169" s="20" t="str">
        <f>IF(N2169="","",COUNTIFS(RawData[[Date ]],N2169,RawData[Month List],$Q$6,RawData[Tour/Site],$Q$2,RawData[[Picker ID ]],$Q$3,RawData[Checker ID],$Q$4,RawData[[Error Type ]],$Q$5))</f>
        <v/>
      </c>
    </row>
    <row r="2170" spans="15:15" x14ac:dyDescent="0.25">
      <c r="O2170" s="20" t="str">
        <f>IF(N2170="","",COUNTIFS(RawData[[Date ]],N2170,RawData[Month List],$Q$6,RawData[Tour/Site],$Q$2,RawData[[Picker ID ]],$Q$3,RawData[Checker ID],$Q$4,RawData[[Error Type ]],$Q$5))</f>
        <v/>
      </c>
    </row>
    <row r="2171" spans="15:15" x14ac:dyDescent="0.25">
      <c r="O2171" s="20" t="str">
        <f>IF(N2171="","",COUNTIFS(RawData[[Date ]],N2171,RawData[Month List],$Q$6,RawData[Tour/Site],$Q$2,RawData[[Picker ID ]],$Q$3,RawData[Checker ID],$Q$4,RawData[[Error Type ]],$Q$5))</f>
        <v/>
      </c>
    </row>
    <row r="2172" spans="15:15" x14ac:dyDescent="0.25">
      <c r="O2172" s="20" t="str">
        <f>IF(N2172="","",COUNTIFS(RawData[[Date ]],N2172,RawData[Month List],$Q$6,RawData[Tour/Site],$Q$2,RawData[[Picker ID ]],$Q$3,RawData[Checker ID],$Q$4,RawData[[Error Type ]],$Q$5))</f>
        <v/>
      </c>
    </row>
    <row r="2173" spans="15:15" x14ac:dyDescent="0.25">
      <c r="O2173" s="20" t="str">
        <f>IF(N2173="","",COUNTIFS(RawData[[Date ]],N2173,RawData[Month List],$Q$6,RawData[Tour/Site],$Q$2,RawData[[Picker ID ]],$Q$3,RawData[Checker ID],$Q$4,RawData[[Error Type ]],$Q$5))</f>
        <v/>
      </c>
    </row>
    <row r="2174" spans="15:15" x14ac:dyDescent="0.25">
      <c r="O2174" s="20" t="str">
        <f>IF(N2174="","",COUNTIFS(RawData[[Date ]],N2174,RawData[Month List],$Q$6,RawData[Tour/Site],$Q$2,RawData[[Picker ID ]],$Q$3,RawData[Checker ID],$Q$4,RawData[[Error Type ]],$Q$5))</f>
        <v/>
      </c>
    </row>
    <row r="2175" spans="15:15" x14ac:dyDescent="0.25">
      <c r="O2175" s="20" t="str">
        <f>IF(N2175="","",COUNTIFS(RawData[[Date ]],N2175,RawData[Month List],$Q$6,RawData[Tour/Site],$Q$2,RawData[[Picker ID ]],$Q$3,RawData[Checker ID],$Q$4,RawData[[Error Type ]],$Q$5))</f>
        <v/>
      </c>
    </row>
    <row r="2176" spans="15:15" x14ac:dyDescent="0.25">
      <c r="O2176" s="20" t="str">
        <f>IF(N2176="","",COUNTIFS(RawData[[Date ]],N2176,RawData[Month List],$Q$6,RawData[Tour/Site],$Q$2,RawData[[Picker ID ]],$Q$3,RawData[Checker ID],$Q$4,RawData[[Error Type ]],$Q$5))</f>
        <v/>
      </c>
    </row>
    <row r="2177" spans="15:15" x14ac:dyDescent="0.25">
      <c r="O2177" s="20" t="str">
        <f>IF(N2177="","",COUNTIFS(RawData[[Date ]],N2177,RawData[Month List],$Q$6,RawData[Tour/Site],$Q$2,RawData[[Picker ID ]],$Q$3,RawData[Checker ID],$Q$4,RawData[[Error Type ]],$Q$5))</f>
        <v/>
      </c>
    </row>
    <row r="2178" spans="15:15" x14ac:dyDescent="0.25">
      <c r="O2178" s="20" t="str">
        <f>IF(N2178="","",COUNTIFS(RawData[[Date ]],N2178,RawData[Month List],$Q$6,RawData[Tour/Site],$Q$2,RawData[[Picker ID ]],$Q$3,RawData[Checker ID],$Q$4,RawData[[Error Type ]],$Q$5))</f>
        <v/>
      </c>
    </row>
    <row r="2179" spans="15:15" x14ac:dyDescent="0.25">
      <c r="O2179" s="20" t="str">
        <f>IF(N2179="","",COUNTIFS(RawData[[Date ]],N2179,RawData[Month List],$Q$6,RawData[Tour/Site],$Q$2,RawData[[Picker ID ]],$Q$3,RawData[Checker ID],$Q$4,RawData[[Error Type ]],$Q$5))</f>
        <v/>
      </c>
    </row>
    <row r="2180" spans="15:15" x14ac:dyDescent="0.25">
      <c r="O2180" s="20" t="str">
        <f>IF(N2180="","",COUNTIFS(RawData[[Date ]],N2180,RawData[Month List],$Q$6,RawData[Tour/Site],$Q$2,RawData[[Picker ID ]],$Q$3,RawData[Checker ID],$Q$4,RawData[[Error Type ]],$Q$5))</f>
        <v/>
      </c>
    </row>
    <row r="2181" spans="15:15" x14ac:dyDescent="0.25">
      <c r="O2181" s="20" t="str">
        <f>IF(N2181="","",COUNTIFS(RawData[[Date ]],N2181,RawData[Month List],$Q$6,RawData[Tour/Site],$Q$2,RawData[[Picker ID ]],$Q$3,RawData[Checker ID],$Q$4,RawData[[Error Type ]],$Q$5))</f>
        <v/>
      </c>
    </row>
    <row r="2182" spans="15:15" x14ac:dyDescent="0.25">
      <c r="O2182" s="20" t="str">
        <f>IF(N2182="","",COUNTIFS(RawData[[Date ]],N2182,RawData[Month List],$Q$6,RawData[Tour/Site],$Q$2,RawData[[Picker ID ]],$Q$3,RawData[Checker ID],$Q$4,RawData[[Error Type ]],$Q$5))</f>
        <v/>
      </c>
    </row>
    <row r="2183" spans="15:15" x14ac:dyDescent="0.25">
      <c r="O2183" s="20" t="str">
        <f>IF(N2183="","",COUNTIFS(RawData[[Date ]],N2183,RawData[Month List],$Q$6,RawData[Tour/Site],$Q$2,RawData[[Picker ID ]],$Q$3,RawData[Checker ID],$Q$4,RawData[[Error Type ]],$Q$5))</f>
        <v/>
      </c>
    </row>
    <row r="2184" spans="15:15" x14ac:dyDescent="0.25">
      <c r="O2184" s="20" t="str">
        <f>IF(N2184="","",COUNTIFS(RawData[[Date ]],N2184,RawData[Month List],$Q$6,RawData[Tour/Site],$Q$2,RawData[[Picker ID ]],$Q$3,RawData[Checker ID],$Q$4,RawData[[Error Type ]],$Q$5))</f>
        <v/>
      </c>
    </row>
    <row r="2185" spans="15:15" x14ac:dyDescent="0.25">
      <c r="O2185" s="20" t="str">
        <f>IF(N2185="","",COUNTIFS(RawData[[Date ]],N2185,RawData[Month List],$Q$6,RawData[Tour/Site],$Q$2,RawData[[Picker ID ]],$Q$3,RawData[Checker ID],$Q$4,RawData[[Error Type ]],$Q$5))</f>
        <v/>
      </c>
    </row>
    <row r="2186" spans="15:15" x14ac:dyDescent="0.25">
      <c r="O2186" s="20" t="str">
        <f>IF(N2186="","",COUNTIFS(RawData[[Date ]],N2186,RawData[Month List],$Q$6,RawData[Tour/Site],$Q$2,RawData[[Picker ID ]],$Q$3,RawData[Checker ID],$Q$4,RawData[[Error Type ]],$Q$5))</f>
        <v/>
      </c>
    </row>
    <row r="2187" spans="15:15" x14ac:dyDescent="0.25">
      <c r="O2187" s="20" t="str">
        <f>IF(N2187="","",COUNTIFS(RawData[[Date ]],N2187,RawData[Month List],$Q$6,RawData[Tour/Site],$Q$2,RawData[[Picker ID ]],$Q$3,RawData[Checker ID],$Q$4,RawData[[Error Type ]],$Q$5))</f>
        <v/>
      </c>
    </row>
    <row r="2188" spans="15:15" x14ac:dyDescent="0.25">
      <c r="O2188" s="20" t="str">
        <f>IF(N2188="","",COUNTIFS(RawData[[Date ]],N2188,RawData[Month List],$Q$6,RawData[Tour/Site],$Q$2,RawData[[Picker ID ]],$Q$3,RawData[Checker ID],$Q$4,RawData[[Error Type ]],$Q$5))</f>
        <v/>
      </c>
    </row>
    <row r="2189" spans="15:15" x14ac:dyDescent="0.25">
      <c r="O2189" s="20" t="str">
        <f>IF(N2189="","",COUNTIFS(RawData[[Date ]],N2189,RawData[Month List],$Q$6,RawData[Tour/Site],$Q$2,RawData[[Picker ID ]],$Q$3,RawData[Checker ID],$Q$4,RawData[[Error Type ]],$Q$5))</f>
        <v/>
      </c>
    </row>
    <row r="2190" spans="15:15" x14ac:dyDescent="0.25">
      <c r="O2190" s="20" t="str">
        <f>IF(N2190="","",COUNTIFS(RawData[[Date ]],N2190,RawData[Month List],$Q$6,RawData[Tour/Site],$Q$2,RawData[[Picker ID ]],$Q$3,RawData[Checker ID],$Q$4,RawData[[Error Type ]],$Q$5))</f>
        <v/>
      </c>
    </row>
    <row r="2191" spans="15:15" x14ac:dyDescent="0.25">
      <c r="O2191" s="20" t="str">
        <f>IF(N2191="","",COUNTIFS(RawData[[Date ]],N2191,RawData[Month List],$Q$6,RawData[Tour/Site],$Q$2,RawData[[Picker ID ]],$Q$3,RawData[Checker ID],$Q$4,RawData[[Error Type ]],$Q$5))</f>
        <v/>
      </c>
    </row>
    <row r="2192" spans="15:15" x14ac:dyDescent="0.25">
      <c r="O2192" s="20" t="str">
        <f>IF(N2192="","",COUNTIFS(RawData[[Date ]],N2192,RawData[Month List],$Q$6,RawData[Tour/Site],$Q$2,RawData[[Picker ID ]],$Q$3,RawData[Checker ID],$Q$4,RawData[[Error Type ]],$Q$5))</f>
        <v/>
      </c>
    </row>
    <row r="2193" spans="15:15" x14ac:dyDescent="0.25">
      <c r="O2193" s="20" t="str">
        <f>IF(N2193="","",COUNTIFS(RawData[[Date ]],N2193,RawData[Month List],$Q$6,RawData[Tour/Site],$Q$2,RawData[[Picker ID ]],$Q$3,RawData[Checker ID],$Q$4,RawData[[Error Type ]],$Q$5))</f>
        <v/>
      </c>
    </row>
    <row r="2194" spans="15:15" x14ac:dyDescent="0.25">
      <c r="O2194" s="20" t="str">
        <f>IF(N2194="","",COUNTIFS(RawData[[Date ]],N2194,RawData[Month List],$Q$6,RawData[Tour/Site],$Q$2,RawData[[Picker ID ]],$Q$3,RawData[Checker ID],$Q$4,RawData[[Error Type ]],$Q$5))</f>
        <v/>
      </c>
    </row>
    <row r="2195" spans="15:15" x14ac:dyDescent="0.25">
      <c r="O2195" s="20" t="str">
        <f>IF(N2195="","",COUNTIFS(RawData[[Date ]],N2195,RawData[Month List],$Q$6,RawData[Tour/Site],$Q$2,RawData[[Picker ID ]],$Q$3,RawData[Checker ID],$Q$4,RawData[[Error Type ]],$Q$5))</f>
        <v/>
      </c>
    </row>
    <row r="2196" spans="15:15" x14ac:dyDescent="0.25">
      <c r="O2196" s="20" t="str">
        <f>IF(N2196="","",COUNTIFS(RawData[[Date ]],N2196,RawData[Month List],$Q$6,RawData[Tour/Site],$Q$2,RawData[[Picker ID ]],$Q$3,RawData[Checker ID],$Q$4,RawData[[Error Type ]],$Q$5))</f>
        <v/>
      </c>
    </row>
    <row r="2197" spans="15:15" x14ac:dyDescent="0.25">
      <c r="O2197" s="20" t="str">
        <f>IF(N2197="","",COUNTIFS(RawData[[Date ]],N2197,RawData[Month List],$Q$6,RawData[Tour/Site],$Q$2,RawData[[Picker ID ]],$Q$3,RawData[Checker ID],$Q$4,RawData[[Error Type ]],$Q$5))</f>
        <v/>
      </c>
    </row>
    <row r="2198" spans="15:15" x14ac:dyDescent="0.25">
      <c r="O2198" s="20" t="str">
        <f>IF(N2198="","",COUNTIFS(RawData[[Date ]],N2198,RawData[Month List],$Q$6,RawData[Tour/Site],$Q$2,RawData[[Picker ID ]],$Q$3,RawData[Checker ID],$Q$4,RawData[[Error Type ]],$Q$5))</f>
        <v/>
      </c>
    </row>
    <row r="2199" spans="15:15" x14ac:dyDescent="0.25">
      <c r="O2199" s="20" t="str">
        <f>IF(N2199="","",COUNTIFS(RawData[[Date ]],N2199,RawData[Month List],$Q$6,RawData[Tour/Site],$Q$2,RawData[[Picker ID ]],$Q$3,RawData[Checker ID],$Q$4,RawData[[Error Type ]],$Q$5))</f>
        <v/>
      </c>
    </row>
    <row r="2200" spans="15:15" x14ac:dyDescent="0.25">
      <c r="O2200" s="20" t="str">
        <f>IF(N2200="","",COUNTIFS(RawData[[Date ]],N2200,RawData[Month List],$Q$6,RawData[Tour/Site],$Q$2,RawData[[Picker ID ]],$Q$3,RawData[Checker ID],$Q$4,RawData[[Error Type ]],$Q$5))</f>
        <v/>
      </c>
    </row>
    <row r="2201" spans="15:15" x14ac:dyDescent="0.25">
      <c r="O2201" s="20" t="str">
        <f>IF(N2201="","",COUNTIFS(RawData[[Date ]],N2201,RawData[Month List],$Q$6,RawData[Tour/Site],$Q$2,RawData[[Picker ID ]],$Q$3,RawData[Checker ID],$Q$4,RawData[[Error Type ]],$Q$5))</f>
        <v/>
      </c>
    </row>
    <row r="2202" spans="15:15" x14ac:dyDescent="0.25">
      <c r="O2202" s="20" t="str">
        <f>IF(N2202="","",COUNTIFS(RawData[[Date ]],N2202,RawData[Month List],$Q$6,RawData[Tour/Site],$Q$2,RawData[[Picker ID ]],$Q$3,RawData[Checker ID],$Q$4,RawData[[Error Type ]],$Q$5))</f>
        <v/>
      </c>
    </row>
    <row r="2203" spans="15:15" x14ac:dyDescent="0.25">
      <c r="O2203" s="20" t="str">
        <f>IF(N2203="","",COUNTIFS(RawData[[Date ]],N2203,RawData[Month List],$Q$6,RawData[Tour/Site],$Q$2,RawData[[Picker ID ]],$Q$3,RawData[Checker ID],$Q$4,RawData[[Error Type ]],$Q$5))</f>
        <v/>
      </c>
    </row>
    <row r="2204" spans="15:15" x14ac:dyDescent="0.25">
      <c r="O2204" s="20" t="str">
        <f>IF(N2204="","",COUNTIFS(RawData[[Date ]],N2204,RawData[Month List],$Q$6,RawData[Tour/Site],$Q$2,RawData[[Picker ID ]],$Q$3,RawData[Checker ID],$Q$4,RawData[[Error Type ]],$Q$5))</f>
        <v/>
      </c>
    </row>
    <row r="2205" spans="15:15" x14ac:dyDescent="0.25">
      <c r="O2205" s="20" t="str">
        <f>IF(N2205="","",COUNTIFS(RawData[[Date ]],N2205,RawData[Month List],$Q$6,RawData[Tour/Site],$Q$2,RawData[[Picker ID ]],$Q$3,RawData[Checker ID],$Q$4,RawData[[Error Type ]],$Q$5))</f>
        <v/>
      </c>
    </row>
    <row r="2206" spans="15:15" x14ac:dyDescent="0.25">
      <c r="O2206" s="20" t="str">
        <f>IF(N2206="","",COUNTIFS(RawData[[Date ]],N2206,RawData[Month List],$Q$6,RawData[Tour/Site],$Q$2,RawData[[Picker ID ]],$Q$3,RawData[Checker ID],$Q$4,RawData[[Error Type ]],$Q$5))</f>
        <v/>
      </c>
    </row>
    <row r="2207" spans="15:15" x14ac:dyDescent="0.25">
      <c r="O2207" s="20" t="str">
        <f>IF(N2207="","",COUNTIFS(RawData[[Date ]],N2207,RawData[Month List],$Q$6,RawData[Tour/Site],$Q$2,RawData[[Picker ID ]],$Q$3,RawData[Checker ID],$Q$4,RawData[[Error Type ]],$Q$5))</f>
        <v/>
      </c>
    </row>
    <row r="2208" spans="15:15" x14ac:dyDescent="0.25">
      <c r="O2208" s="20" t="str">
        <f>IF(N2208="","",COUNTIFS(RawData[[Date ]],N2208,RawData[Month List],$Q$6,RawData[Tour/Site],$Q$2,RawData[[Picker ID ]],$Q$3,RawData[Checker ID],$Q$4,RawData[[Error Type ]],$Q$5))</f>
        <v/>
      </c>
    </row>
    <row r="2209" spans="15:15" x14ac:dyDescent="0.25">
      <c r="O2209" s="20" t="str">
        <f>IF(N2209="","",COUNTIFS(RawData[[Date ]],N2209,RawData[Month List],$Q$6,RawData[Tour/Site],$Q$2,RawData[[Picker ID ]],$Q$3,RawData[Checker ID],$Q$4,RawData[[Error Type ]],$Q$5))</f>
        <v/>
      </c>
    </row>
    <row r="2210" spans="15:15" x14ac:dyDescent="0.25">
      <c r="O2210" s="20" t="str">
        <f>IF(N2210="","",COUNTIFS(RawData[[Date ]],N2210,RawData[Month List],$Q$6,RawData[Tour/Site],$Q$2,RawData[[Picker ID ]],$Q$3,RawData[Checker ID],$Q$4,RawData[[Error Type ]],$Q$5))</f>
        <v/>
      </c>
    </row>
    <row r="2211" spans="15:15" x14ac:dyDescent="0.25">
      <c r="O2211" s="20" t="str">
        <f>IF(N2211="","",COUNTIFS(RawData[[Date ]],N2211,RawData[Month List],$Q$6,RawData[Tour/Site],$Q$2,RawData[[Picker ID ]],$Q$3,RawData[Checker ID],$Q$4,RawData[[Error Type ]],$Q$5))</f>
        <v/>
      </c>
    </row>
    <row r="2212" spans="15:15" x14ac:dyDescent="0.25">
      <c r="O2212" s="20" t="str">
        <f>IF(N2212="","",COUNTIFS(RawData[[Date ]],N2212,RawData[Month List],$Q$6,RawData[Tour/Site],$Q$2,RawData[[Picker ID ]],$Q$3,RawData[Checker ID],$Q$4,RawData[[Error Type ]],$Q$5))</f>
        <v/>
      </c>
    </row>
    <row r="2213" spans="15:15" x14ac:dyDescent="0.25">
      <c r="O2213" s="20" t="str">
        <f>IF(N2213="","",COUNTIFS(RawData[[Date ]],N2213,RawData[Month List],$Q$6,RawData[Tour/Site],$Q$2,RawData[[Picker ID ]],$Q$3,RawData[Checker ID],$Q$4,RawData[[Error Type ]],$Q$5))</f>
        <v/>
      </c>
    </row>
    <row r="2214" spans="15:15" x14ac:dyDescent="0.25">
      <c r="O2214" s="20" t="str">
        <f>IF(N2214="","",COUNTIFS(RawData[[Date ]],N2214,RawData[Month List],$Q$6,RawData[Tour/Site],$Q$2,RawData[[Picker ID ]],$Q$3,RawData[Checker ID],$Q$4,RawData[[Error Type ]],$Q$5))</f>
        <v/>
      </c>
    </row>
    <row r="2215" spans="15:15" x14ac:dyDescent="0.25">
      <c r="O2215" s="20" t="str">
        <f>IF(N2215="","",COUNTIFS(RawData[[Date ]],N2215,RawData[Month List],$Q$6,RawData[Tour/Site],$Q$2,RawData[[Picker ID ]],$Q$3,RawData[Checker ID],$Q$4,RawData[[Error Type ]],$Q$5))</f>
        <v/>
      </c>
    </row>
    <row r="2216" spans="15:15" x14ac:dyDescent="0.25">
      <c r="O2216" s="20" t="str">
        <f>IF(N2216="","",COUNTIFS(RawData[[Date ]],N2216,RawData[Month List],$Q$6,RawData[Tour/Site],$Q$2,RawData[[Picker ID ]],$Q$3,RawData[Checker ID],$Q$4,RawData[[Error Type ]],$Q$5))</f>
        <v/>
      </c>
    </row>
    <row r="2217" spans="15:15" x14ac:dyDescent="0.25">
      <c r="O2217" s="20" t="str">
        <f>IF(N2217="","",COUNTIFS(RawData[[Date ]],N2217,RawData[Month List],$Q$6,RawData[Tour/Site],$Q$2,RawData[[Picker ID ]],$Q$3,RawData[Checker ID],$Q$4,RawData[[Error Type ]],$Q$5))</f>
        <v/>
      </c>
    </row>
    <row r="2218" spans="15:15" x14ac:dyDescent="0.25">
      <c r="O2218" s="20" t="str">
        <f>IF(N2218="","",COUNTIFS(RawData[[Date ]],N2218,RawData[Month List],$Q$6,RawData[Tour/Site],$Q$2,RawData[[Picker ID ]],$Q$3,RawData[Checker ID],$Q$4,RawData[[Error Type ]],$Q$5))</f>
        <v/>
      </c>
    </row>
    <row r="2219" spans="15:15" x14ac:dyDescent="0.25">
      <c r="O2219" s="20" t="str">
        <f>IF(N2219="","",COUNTIFS(RawData[[Date ]],N2219,RawData[Month List],$Q$6,RawData[Tour/Site],$Q$2,RawData[[Picker ID ]],$Q$3,RawData[Checker ID],$Q$4,RawData[[Error Type ]],$Q$5))</f>
        <v/>
      </c>
    </row>
    <row r="2220" spans="15:15" x14ac:dyDescent="0.25">
      <c r="O2220" s="20" t="str">
        <f>IF(N2220="","",COUNTIFS(RawData[[Date ]],N2220,RawData[Month List],$Q$6,RawData[Tour/Site],$Q$2,RawData[[Picker ID ]],$Q$3,RawData[Checker ID],$Q$4,RawData[[Error Type ]],$Q$5))</f>
        <v/>
      </c>
    </row>
    <row r="2221" spans="15:15" x14ac:dyDescent="0.25">
      <c r="O2221" s="20" t="str">
        <f>IF(N2221="","",COUNTIFS(RawData[[Date ]],N2221,RawData[Month List],$Q$6,RawData[Tour/Site],$Q$2,RawData[[Picker ID ]],$Q$3,RawData[Checker ID],$Q$4,RawData[[Error Type ]],$Q$5))</f>
        <v/>
      </c>
    </row>
    <row r="2222" spans="15:15" x14ac:dyDescent="0.25">
      <c r="O2222" s="20" t="str">
        <f>IF(N2222="","",COUNTIFS(RawData[[Date ]],N2222,RawData[Month List],$Q$6,RawData[Tour/Site],$Q$2,RawData[[Picker ID ]],$Q$3,RawData[Checker ID],$Q$4,RawData[[Error Type ]],$Q$5))</f>
        <v/>
      </c>
    </row>
    <row r="2223" spans="15:15" x14ac:dyDescent="0.25">
      <c r="O2223" s="20" t="str">
        <f>IF(N2223="","",COUNTIFS(RawData[[Date ]],N2223,RawData[Month List],$Q$6,RawData[Tour/Site],$Q$2,RawData[[Picker ID ]],$Q$3,RawData[Checker ID],$Q$4,RawData[[Error Type ]],$Q$5))</f>
        <v/>
      </c>
    </row>
    <row r="2224" spans="15:15" x14ac:dyDescent="0.25">
      <c r="O2224" s="20" t="str">
        <f>IF(N2224="","",COUNTIFS(RawData[[Date ]],N2224,RawData[Month List],$Q$6,RawData[Tour/Site],$Q$2,RawData[[Picker ID ]],$Q$3,RawData[Checker ID],$Q$4,RawData[[Error Type ]],$Q$5))</f>
        <v/>
      </c>
    </row>
    <row r="2225" spans="15:15" x14ac:dyDescent="0.25">
      <c r="O2225" s="20" t="str">
        <f>IF(N2225="","",COUNTIFS(RawData[[Date ]],N2225,RawData[Month List],$Q$6,RawData[Tour/Site],$Q$2,RawData[[Picker ID ]],$Q$3,RawData[Checker ID],$Q$4,RawData[[Error Type ]],$Q$5))</f>
        <v/>
      </c>
    </row>
    <row r="2226" spans="15:15" x14ac:dyDescent="0.25">
      <c r="O2226" s="20" t="str">
        <f>IF(N2226="","",COUNTIFS(RawData[[Date ]],N2226,RawData[Month List],$Q$6,RawData[Tour/Site],$Q$2,RawData[[Picker ID ]],$Q$3,RawData[Checker ID],$Q$4,RawData[[Error Type ]],$Q$5))</f>
        <v/>
      </c>
    </row>
    <row r="2227" spans="15:15" x14ac:dyDescent="0.25">
      <c r="O2227" s="20" t="str">
        <f>IF(N2227="","",COUNTIFS(RawData[[Date ]],N2227,RawData[Month List],$Q$6,RawData[Tour/Site],$Q$2,RawData[[Picker ID ]],$Q$3,RawData[Checker ID],$Q$4,RawData[[Error Type ]],$Q$5))</f>
        <v/>
      </c>
    </row>
    <row r="2228" spans="15:15" x14ac:dyDescent="0.25">
      <c r="O2228" s="20" t="str">
        <f>IF(N2228="","",COUNTIFS(RawData[[Date ]],N2228,RawData[Month List],$Q$6,RawData[Tour/Site],$Q$2,RawData[[Picker ID ]],$Q$3,RawData[Checker ID],$Q$4,RawData[[Error Type ]],$Q$5))</f>
        <v/>
      </c>
    </row>
    <row r="2229" spans="15:15" x14ac:dyDescent="0.25">
      <c r="O2229" s="20" t="str">
        <f>IF(N2229="","",COUNTIFS(RawData[[Date ]],N2229,RawData[Month List],$Q$6,RawData[Tour/Site],$Q$2,RawData[[Picker ID ]],$Q$3,RawData[Checker ID],$Q$4,RawData[[Error Type ]],$Q$5))</f>
        <v/>
      </c>
    </row>
    <row r="2230" spans="15:15" x14ac:dyDescent="0.25">
      <c r="O2230" s="20" t="str">
        <f>IF(N2230="","",COUNTIFS(RawData[[Date ]],N2230,RawData[Month List],$Q$6,RawData[Tour/Site],$Q$2,RawData[[Picker ID ]],$Q$3,RawData[Checker ID],$Q$4,RawData[[Error Type ]],$Q$5))</f>
        <v/>
      </c>
    </row>
    <row r="2231" spans="15:15" x14ac:dyDescent="0.25">
      <c r="O2231" s="20" t="str">
        <f>IF(N2231="","",COUNTIFS(RawData[[Date ]],N2231,RawData[Month List],$Q$6,RawData[Tour/Site],$Q$2,RawData[[Picker ID ]],$Q$3,RawData[Checker ID],$Q$4,RawData[[Error Type ]],$Q$5))</f>
        <v/>
      </c>
    </row>
    <row r="2232" spans="15:15" x14ac:dyDescent="0.25">
      <c r="O2232" s="20" t="str">
        <f>IF(N2232="","",COUNTIFS(RawData[[Date ]],N2232,RawData[Month List],$Q$6,RawData[Tour/Site],$Q$2,RawData[[Picker ID ]],$Q$3,RawData[Checker ID],$Q$4,RawData[[Error Type ]],$Q$5))</f>
        <v/>
      </c>
    </row>
    <row r="2233" spans="15:15" x14ac:dyDescent="0.25">
      <c r="O2233" s="20" t="str">
        <f>IF(N2233="","",COUNTIFS(RawData[[Date ]],N2233,RawData[Month List],$Q$6,RawData[Tour/Site],$Q$2,RawData[[Picker ID ]],$Q$3,RawData[Checker ID],$Q$4,RawData[[Error Type ]],$Q$5))</f>
        <v/>
      </c>
    </row>
    <row r="2234" spans="15:15" x14ac:dyDescent="0.25">
      <c r="O2234" s="20" t="str">
        <f>IF(N2234="","",COUNTIFS(RawData[[Date ]],N2234,RawData[Month List],$Q$6,RawData[Tour/Site],$Q$2,RawData[[Picker ID ]],$Q$3,RawData[Checker ID],$Q$4,RawData[[Error Type ]],$Q$5))</f>
        <v/>
      </c>
    </row>
    <row r="2235" spans="15:15" x14ac:dyDescent="0.25">
      <c r="O2235" s="20" t="str">
        <f>IF(N2235="","",COUNTIFS(RawData[[Date ]],N2235,RawData[Month List],$Q$6,RawData[Tour/Site],$Q$2,RawData[[Picker ID ]],$Q$3,RawData[Checker ID],$Q$4,RawData[[Error Type ]],$Q$5))</f>
        <v/>
      </c>
    </row>
    <row r="2236" spans="15:15" x14ac:dyDescent="0.25">
      <c r="O2236" s="20" t="str">
        <f>IF(N2236="","",COUNTIFS(RawData[[Date ]],N2236,RawData[Month List],$Q$6,RawData[Tour/Site],$Q$2,RawData[[Picker ID ]],$Q$3,RawData[Checker ID],$Q$4,RawData[[Error Type ]],$Q$5))</f>
        <v/>
      </c>
    </row>
    <row r="2237" spans="15:15" x14ac:dyDescent="0.25">
      <c r="O2237" s="20" t="str">
        <f>IF(N2237="","",COUNTIFS(RawData[[Date ]],N2237,RawData[Month List],$Q$6,RawData[Tour/Site],$Q$2,RawData[[Picker ID ]],$Q$3,RawData[Checker ID],$Q$4,RawData[[Error Type ]],$Q$5))</f>
        <v/>
      </c>
    </row>
    <row r="2238" spans="15:15" x14ac:dyDescent="0.25">
      <c r="O2238" s="20" t="str">
        <f>IF(N2238="","",COUNTIFS(RawData[[Date ]],N2238,RawData[Month List],$Q$6,RawData[Tour/Site],$Q$2,RawData[[Picker ID ]],$Q$3,RawData[Checker ID],$Q$4,RawData[[Error Type ]],$Q$5))</f>
        <v/>
      </c>
    </row>
    <row r="2239" spans="15:15" x14ac:dyDescent="0.25">
      <c r="O2239" s="20" t="str">
        <f>IF(N2239="","",COUNTIFS(RawData[[Date ]],N2239,RawData[Month List],$Q$6,RawData[Tour/Site],$Q$2,RawData[[Picker ID ]],$Q$3,RawData[Checker ID],$Q$4,RawData[[Error Type ]],$Q$5))</f>
        <v/>
      </c>
    </row>
    <row r="2240" spans="15:15" x14ac:dyDescent="0.25">
      <c r="O2240" s="20" t="str">
        <f>IF(N2240="","",COUNTIFS(RawData[[Date ]],N2240,RawData[Month List],$Q$6,RawData[Tour/Site],$Q$2,RawData[[Picker ID ]],$Q$3,RawData[Checker ID],$Q$4,RawData[[Error Type ]],$Q$5))</f>
        <v/>
      </c>
    </row>
    <row r="2241" spans="15:15" x14ac:dyDescent="0.25">
      <c r="O2241" s="20" t="str">
        <f>IF(N2241="","",COUNTIFS(RawData[[Date ]],N2241,RawData[Month List],$Q$6,RawData[Tour/Site],$Q$2,RawData[[Picker ID ]],$Q$3,RawData[Checker ID],$Q$4,RawData[[Error Type ]],$Q$5))</f>
        <v/>
      </c>
    </row>
    <row r="2242" spans="15:15" x14ac:dyDescent="0.25">
      <c r="O2242" s="20" t="str">
        <f>IF(N2242="","",COUNTIFS(RawData[[Date ]],N2242,RawData[Month List],$Q$6,RawData[Tour/Site],$Q$2,RawData[[Picker ID ]],$Q$3,RawData[Checker ID],$Q$4,RawData[[Error Type ]],$Q$5))</f>
        <v/>
      </c>
    </row>
    <row r="2243" spans="15:15" x14ac:dyDescent="0.25">
      <c r="O2243" s="20" t="str">
        <f>IF(N2243="","",COUNTIFS(RawData[[Date ]],N2243,RawData[Month List],$Q$6,RawData[Tour/Site],$Q$2,RawData[[Picker ID ]],$Q$3,RawData[Checker ID],$Q$4,RawData[[Error Type ]],$Q$5))</f>
        <v/>
      </c>
    </row>
    <row r="2244" spans="15:15" x14ac:dyDescent="0.25">
      <c r="O2244" s="20" t="str">
        <f>IF(N2244="","",COUNTIFS(RawData[[Date ]],N2244,RawData[Month List],$Q$6,RawData[Tour/Site],$Q$2,RawData[[Picker ID ]],$Q$3,RawData[Checker ID],$Q$4,RawData[[Error Type ]],$Q$5))</f>
        <v/>
      </c>
    </row>
    <row r="2245" spans="15:15" x14ac:dyDescent="0.25">
      <c r="O2245" s="20" t="str">
        <f>IF(N2245="","",COUNTIFS(RawData[[Date ]],N2245,RawData[Month List],$Q$6,RawData[Tour/Site],$Q$2,RawData[[Picker ID ]],$Q$3,RawData[Checker ID],$Q$4,RawData[[Error Type ]],$Q$5))</f>
        <v/>
      </c>
    </row>
    <row r="2246" spans="15:15" x14ac:dyDescent="0.25">
      <c r="O2246" s="20" t="str">
        <f>IF(N2246="","",COUNTIFS(RawData[[Date ]],N2246,RawData[Month List],$Q$6,RawData[Tour/Site],$Q$2,RawData[[Picker ID ]],$Q$3,RawData[Checker ID],$Q$4,RawData[[Error Type ]],$Q$5))</f>
        <v/>
      </c>
    </row>
    <row r="2247" spans="15:15" x14ac:dyDescent="0.25">
      <c r="O2247" s="20" t="str">
        <f>IF(N2247="","",COUNTIFS(RawData[[Date ]],N2247,RawData[Month List],$Q$6,RawData[Tour/Site],$Q$2,RawData[[Picker ID ]],$Q$3,RawData[Checker ID],$Q$4,RawData[[Error Type ]],$Q$5))</f>
        <v/>
      </c>
    </row>
    <row r="2248" spans="15:15" x14ac:dyDescent="0.25">
      <c r="O2248" s="20" t="str">
        <f>IF(N2248="","",COUNTIFS(RawData[[Date ]],N2248,RawData[Month List],$Q$6,RawData[Tour/Site],$Q$2,RawData[[Picker ID ]],$Q$3,RawData[Checker ID],$Q$4,RawData[[Error Type ]],$Q$5))</f>
        <v/>
      </c>
    </row>
    <row r="2249" spans="15:15" x14ac:dyDescent="0.25">
      <c r="O2249" s="20" t="str">
        <f>IF(N2249="","",COUNTIFS(RawData[[Date ]],N2249,RawData[Month List],$Q$6,RawData[Tour/Site],$Q$2,RawData[[Picker ID ]],$Q$3,RawData[Checker ID],$Q$4,RawData[[Error Type ]],$Q$5))</f>
        <v/>
      </c>
    </row>
    <row r="2250" spans="15:15" x14ac:dyDescent="0.25">
      <c r="O2250" s="20" t="str">
        <f>IF(N2250="","",COUNTIFS(RawData[[Date ]],N2250,RawData[Month List],$Q$6,RawData[Tour/Site],$Q$2,RawData[[Picker ID ]],$Q$3,RawData[Checker ID],$Q$4,RawData[[Error Type ]],$Q$5))</f>
        <v/>
      </c>
    </row>
    <row r="2251" spans="15:15" x14ac:dyDescent="0.25">
      <c r="O2251" s="20" t="str">
        <f>IF(N2251="","",COUNTIFS(RawData[[Date ]],N2251,RawData[Month List],$Q$6,RawData[Tour/Site],$Q$2,RawData[[Picker ID ]],$Q$3,RawData[Checker ID],$Q$4,RawData[[Error Type ]],$Q$5))</f>
        <v/>
      </c>
    </row>
    <row r="2252" spans="15:15" x14ac:dyDescent="0.25">
      <c r="O2252" s="20" t="str">
        <f>IF(N2252="","",COUNTIFS(RawData[[Date ]],N2252,RawData[Month List],$Q$6,RawData[Tour/Site],$Q$2,RawData[[Picker ID ]],$Q$3,RawData[Checker ID],$Q$4,RawData[[Error Type ]],$Q$5))</f>
        <v/>
      </c>
    </row>
    <row r="2253" spans="15:15" x14ac:dyDescent="0.25">
      <c r="O2253" s="20" t="str">
        <f>IF(N2253="","",COUNTIFS(RawData[[Date ]],N2253,RawData[Month List],$Q$6,RawData[Tour/Site],$Q$2,RawData[[Picker ID ]],$Q$3,RawData[Checker ID],$Q$4,RawData[[Error Type ]],$Q$5))</f>
        <v/>
      </c>
    </row>
    <row r="2254" spans="15:15" x14ac:dyDescent="0.25">
      <c r="O2254" s="20" t="str">
        <f>IF(N2254="","",COUNTIFS(RawData[[Date ]],N2254,RawData[Month List],$Q$6,RawData[Tour/Site],$Q$2,RawData[[Picker ID ]],$Q$3,RawData[Checker ID],$Q$4,RawData[[Error Type ]],$Q$5))</f>
        <v/>
      </c>
    </row>
    <row r="2255" spans="15:15" x14ac:dyDescent="0.25">
      <c r="O2255" s="20" t="str">
        <f>IF(N2255="","",COUNTIFS(RawData[[Date ]],N2255,RawData[Month List],$Q$6,RawData[Tour/Site],$Q$2,RawData[[Picker ID ]],$Q$3,RawData[Checker ID],$Q$4,RawData[[Error Type ]],$Q$5))</f>
        <v/>
      </c>
    </row>
    <row r="2256" spans="15:15" x14ac:dyDescent="0.25">
      <c r="O2256" s="20" t="str">
        <f>IF(N2256="","",COUNTIFS(RawData[[Date ]],N2256,RawData[Month List],$Q$6,RawData[Tour/Site],$Q$2,RawData[[Picker ID ]],$Q$3,RawData[Checker ID],$Q$4,RawData[[Error Type ]],$Q$5))</f>
        <v/>
      </c>
    </row>
    <row r="2257" spans="15:15" x14ac:dyDescent="0.25">
      <c r="O2257" s="20" t="str">
        <f>IF(N2257="","",COUNTIFS(RawData[[Date ]],N2257,RawData[Month List],$Q$6,RawData[Tour/Site],$Q$2,RawData[[Picker ID ]],$Q$3,RawData[Checker ID],$Q$4,RawData[[Error Type ]],$Q$5))</f>
        <v/>
      </c>
    </row>
    <row r="2258" spans="15:15" x14ac:dyDescent="0.25">
      <c r="O2258" s="20" t="str">
        <f>IF(N2258="","",COUNTIFS(RawData[[Date ]],N2258,RawData[Month List],$Q$6,RawData[Tour/Site],$Q$2,RawData[[Picker ID ]],$Q$3,RawData[Checker ID],$Q$4,RawData[[Error Type ]],$Q$5))</f>
        <v/>
      </c>
    </row>
    <row r="2259" spans="15:15" x14ac:dyDescent="0.25">
      <c r="O2259" s="20" t="str">
        <f>IF(N2259="","",COUNTIFS(RawData[[Date ]],N2259,RawData[Month List],$Q$6,RawData[Tour/Site],$Q$2,RawData[[Picker ID ]],$Q$3,RawData[Checker ID],$Q$4,RawData[[Error Type ]],$Q$5))</f>
        <v/>
      </c>
    </row>
    <row r="2260" spans="15:15" x14ac:dyDescent="0.25">
      <c r="O2260" s="20" t="str">
        <f>IF(N2260="","",COUNTIFS(RawData[[Date ]],N2260,RawData[Month List],$Q$6,RawData[Tour/Site],$Q$2,RawData[[Picker ID ]],$Q$3,RawData[Checker ID],$Q$4,RawData[[Error Type ]],$Q$5))</f>
        <v/>
      </c>
    </row>
    <row r="2261" spans="15:15" x14ac:dyDescent="0.25">
      <c r="O2261" s="20" t="str">
        <f>IF(N2261="","",COUNTIFS(RawData[[Date ]],N2261,RawData[Month List],$Q$6,RawData[Tour/Site],$Q$2,RawData[[Picker ID ]],$Q$3,RawData[Checker ID],$Q$4,RawData[[Error Type ]],$Q$5))</f>
        <v/>
      </c>
    </row>
    <row r="2262" spans="15:15" x14ac:dyDescent="0.25">
      <c r="O2262" s="20" t="str">
        <f>IF(N2262="","",COUNTIFS(RawData[[Date ]],N2262,RawData[Month List],$Q$6,RawData[Tour/Site],$Q$2,RawData[[Picker ID ]],$Q$3,RawData[Checker ID],$Q$4,RawData[[Error Type ]],$Q$5))</f>
        <v/>
      </c>
    </row>
    <row r="2263" spans="15:15" x14ac:dyDescent="0.25">
      <c r="O2263" s="20" t="str">
        <f>IF(N2263="","",COUNTIFS(RawData[[Date ]],N2263,RawData[Month List],$Q$6,RawData[Tour/Site],$Q$2,RawData[[Picker ID ]],$Q$3,RawData[Checker ID],$Q$4,RawData[[Error Type ]],$Q$5))</f>
        <v/>
      </c>
    </row>
    <row r="2264" spans="15:15" x14ac:dyDescent="0.25">
      <c r="O2264" s="20" t="str">
        <f>IF(N2264="","",COUNTIFS(RawData[[Date ]],N2264,RawData[Month List],$Q$6,RawData[Tour/Site],$Q$2,RawData[[Picker ID ]],$Q$3,RawData[Checker ID],$Q$4,RawData[[Error Type ]],$Q$5))</f>
        <v/>
      </c>
    </row>
    <row r="2265" spans="15:15" x14ac:dyDescent="0.25">
      <c r="O2265" s="20" t="str">
        <f>IF(N2265="","",COUNTIFS(RawData[[Date ]],N2265,RawData[Month List],$Q$6,RawData[Tour/Site],$Q$2,RawData[[Picker ID ]],$Q$3,RawData[Checker ID],$Q$4,RawData[[Error Type ]],$Q$5))</f>
        <v/>
      </c>
    </row>
    <row r="2266" spans="15:15" x14ac:dyDescent="0.25">
      <c r="O2266" s="20" t="str">
        <f>IF(N2266="","",COUNTIFS(RawData[[Date ]],N2266,RawData[Month List],$Q$6,RawData[Tour/Site],$Q$2,RawData[[Picker ID ]],$Q$3,RawData[Checker ID],$Q$4,RawData[[Error Type ]],$Q$5))</f>
        <v/>
      </c>
    </row>
    <row r="2267" spans="15:15" x14ac:dyDescent="0.25">
      <c r="O2267" s="20" t="str">
        <f>IF(N2267="","",COUNTIFS(RawData[[Date ]],N2267,RawData[Month List],$Q$6,RawData[Tour/Site],$Q$2,RawData[[Picker ID ]],$Q$3,RawData[Checker ID],$Q$4,RawData[[Error Type ]],$Q$5))</f>
        <v/>
      </c>
    </row>
    <row r="2268" spans="15:15" x14ac:dyDescent="0.25">
      <c r="O2268" s="20" t="str">
        <f>IF(N2268="","",COUNTIFS(RawData[[Date ]],N2268,RawData[Month List],$Q$6,RawData[Tour/Site],$Q$2,RawData[[Picker ID ]],$Q$3,RawData[Checker ID],$Q$4,RawData[[Error Type ]],$Q$5))</f>
        <v/>
      </c>
    </row>
    <row r="2269" spans="15:15" x14ac:dyDescent="0.25">
      <c r="O2269" s="20" t="str">
        <f>IF(N2269="","",COUNTIFS(RawData[[Date ]],N2269,RawData[Month List],$Q$6,RawData[Tour/Site],$Q$2,RawData[[Picker ID ]],$Q$3,RawData[Checker ID],$Q$4,RawData[[Error Type ]],$Q$5))</f>
        <v/>
      </c>
    </row>
    <row r="2270" spans="15:15" x14ac:dyDescent="0.25">
      <c r="O2270" s="20" t="str">
        <f>IF(N2270="","",COUNTIFS(RawData[[Date ]],N2270,RawData[Month List],$Q$6,RawData[Tour/Site],$Q$2,RawData[[Picker ID ]],$Q$3,RawData[Checker ID],$Q$4,RawData[[Error Type ]],$Q$5))</f>
        <v/>
      </c>
    </row>
    <row r="2271" spans="15:15" x14ac:dyDescent="0.25">
      <c r="O2271" s="20" t="str">
        <f>IF(N2271="","",COUNTIFS(RawData[[Date ]],N2271,RawData[Month List],$Q$6,RawData[Tour/Site],$Q$2,RawData[[Picker ID ]],$Q$3,RawData[Checker ID],$Q$4,RawData[[Error Type ]],$Q$5))</f>
        <v/>
      </c>
    </row>
    <row r="2272" spans="15:15" x14ac:dyDescent="0.25">
      <c r="O2272" s="20" t="str">
        <f>IF(N2272="","",COUNTIFS(RawData[[Date ]],N2272,RawData[Month List],$Q$6,RawData[Tour/Site],$Q$2,RawData[[Picker ID ]],$Q$3,RawData[Checker ID],$Q$4,RawData[[Error Type ]],$Q$5))</f>
        <v/>
      </c>
    </row>
    <row r="2273" spans="15:15" x14ac:dyDescent="0.25">
      <c r="O2273" s="20" t="str">
        <f>IF(N2273="","",COUNTIFS(RawData[[Date ]],N2273,RawData[Month List],$Q$6,RawData[Tour/Site],$Q$2,RawData[[Picker ID ]],$Q$3,RawData[Checker ID],$Q$4,RawData[[Error Type ]],$Q$5))</f>
        <v/>
      </c>
    </row>
    <row r="2274" spans="15:15" x14ac:dyDescent="0.25">
      <c r="O2274" s="20" t="str">
        <f>IF(N2274="","",COUNTIFS(RawData[[Date ]],N2274,RawData[Month List],$Q$6,RawData[Tour/Site],$Q$2,RawData[[Picker ID ]],$Q$3,RawData[Checker ID],$Q$4,RawData[[Error Type ]],$Q$5))</f>
        <v/>
      </c>
    </row>
    <row r="2275" spans="15:15" x14ac:dyDescent="0.25">
      <c r="O2275" s="20" t="str">
        <f>IF(N2275="","",COUNTIFS(RawData[[Date ]],N2275,RawData[Month List],$Q$6,RawData[Tour/Site],$Q$2,RawData[[Picker ID ]],$Q$3,RawData[Checker ID],$Q$4,RawData[[Error Type ]],$Q$5))</f>
        <v/>
      </c>
    </row>
    <row r="2276" spans="15:15" x14ac:dyDescent="0.25">
      <c r="O2276" s="20" t="str">
        <f>IF(N2276="","",COUNTIFS(RawData[[Date ]],N2276,RawData[Month List],$Q$6,RawData[Tour/Site],$Q$2,RawData[[Picker ID ]],$Q$3,RawData[Checker ID],$Q$4,RawData[[Error Type ]],$Q$5))</f>
        <v/>
      </c>
    </row>
    <row r="2277" spans="15:15" x14ac:dyDescent="0.25">
      <c r="O2277" s="20" t="str">
        <f>IF(N2277="","",COUNTIFS(RawData[[Date ]],N2277,RawData[Month List],$Q$6,RawData[Tour/Site],$Q$2,RawData[[Picker ID ]],$Q$3,RawData[Checker ID],$Q$4,RawData[[Error Type ]],$Q$5))</f>
        <v/>
      </c>
    </row>
    <row r="2278" spans="15:15" x14ac:dyDescent="0.25">
      <c r="O2278" s="20" t="str">
        <f>IF(N2278="","",COUNTIFS(RawData[[Date ]],N2278,RawData[Month List],$Q$6,RawData[Tour/Site],$Q$2,RawData[[Picker ID ]],$Q$3,RawData[Checker ID],$Q$4,RawData[[Error Type ]],$Q$5))</f>
        <v/>
      </c>
    </row>
    <row r="2279" spans="15:15" x14ac:dyDescent="0.25">
      <c r="O2279" s="20" t="str">
        <f>IF(N2279="","",COUNTIFS(RawData[[Date ]],N2279,RawData[Month List],$Q$6,RawData[Tour/Site],$Q$2,RawData[[Picker ID ]],$Q$3,RawData[Checker ID],$Q$4,RawData[[Error Type ]],$Q$5))</f>
        <v/>
      </c>
    </row>
    <row r="2280" spans="15:15" x14ac:dyDescent="0.25">
      <c r="O2280" s="20" t="str">
        <f>IF(N2280="","",COUNTIFS(RawData[[Date ]],N2280,RawData[Month List],$Q$6,RawData[Tour/Site],$Q$2,RawData[[Picker ID ]],$Q$3,RawData[Checker ID],$Q$4,RawData[[Error Type ]],$Q$5))</f>
        <v/>
      </c>
    </row>
    <row r="2281" spans="15:15" x14ac:dyDescent="0.25">
      <c r="O2281" s="20" t="str">
        <f>IF(N2281="","",COUNTIFS(RawData[[Date ]],N2281,RawData[Month List],$Q$6,RawData[Tour/Site],$Q$2,RawData[[Picker ID ]],$Q$3,RawData[Checker ID],$Q$4,RawData[[Error Type ]],$Q$5))</f>
        <v/>
      </c>
    </row>
    <row r="2282" spans="15:15" x14ac:dyDescent="0.25">
      <c r="O2282" s="20" t="str">
        <f>IF(N2282="","",COUNTIFS(RawData[[Date ]],N2282,RawData[Month List],$Q$6,RawData[Tour/Site],$Q$2,RawData[[Picker ID ]],$Q$3,RawData[Checker ID],$Q$4,RawData[[Error Type ]],$Q$5))</f>
        <v/>
      </c>
    </row>
    <row r="2283" spans="15:15" x14ac:dyDescent="0.25">
      <c r="O2283" s="20" t="str">
        <f>IF(N2283="","",COUNTIFS(RawData[[Date ]],N2283,RawData[Month List],$Q$6,RawData[Tour/Site],$Q$2,RawData[[Picker ID ]],$Q$3,RawData[Checker ID],$Q$4,RawData[[Error Type ]],$Q$5))</f>
        <v/>
      </c>
    </row>
    <row r="2284" spans="15:15" x14ac:dyDescent="0.25">
      <c r="O2284" s="20" t="str">
        <f>IF(N2284="","",COUNTIFS(RawData[[Date ]],N2284,RawData[Month List],$Q$6,RawData[Tour/Site],$Q$2,RawData[[Picker ID ]],$Q$3,RawData[Checker ID],$Q$4,RawData[[Error Type ]],$Q$5))</f>
        <v/>
      </c>
    </row>
    <row r="2285" spans="15:15" x14ac:dyDescent="0.25">
      <c r="O2285" s="20" t="str">
        <f>IF(N2285="","",COUNTIFS(RawData[[Date ]],N2285,RawData[Month List],$Q$6,RawData[Tour/Site],$Q$2,RawData[[Picker ID ]],$Q$3,RawData[Checker ID],$Q$4,RawData[[Error Type ]],$Q$5))</f>
        <v/>
      </c>
    </row>
    <row r="2286" spans="15:15" x14ac:dyDescent="0.25">
      <c r="O2286" s="20" t="str">
        <f>IF(N2286="","",COUNTIFS(RawData[[Date ]],N2286,RawData[Month List],$Q$6,RawData[Tour/Site],$Q$2,RawData[[Picker ID ]],$Q$3,RawData[Checker ID],$Q$4,RawData[[Error Type ]],$Q$5))</f>
        <v/>
      </c>
    </row>
    <row r="2287" spans="15:15" x14ac:dyDescent="0.25">
      <c r="O2287" s="20" t="str">
        <f>IF(N2287="","",COUNTIFS(RawData[[Date ]],N2287,RawData[Month List],$Q$6,RawData[Tour/Site],$Q$2,RawData[[Picker ID ]],$Q$3,RawData[Checker ID],$Q$4,RawData[[Error Type ]],$Q$5))</f>
        <v/>
      </c>
    </row>
    <row r="2288" spans="15:15" x14ac:dyDescent="0.25">
      <c r="O2288" s="20" t="str">
        <f>IF(N2288="","",COUNTIFS(RawData[[Date ]],N2288,RawData[Month List],$Q$6,RawData[Tour/Site],$Q$2,RawData[[Picker ID ]],$Q$3,RawData[Checker ID],$Q$4,RawData[[Error Type ]],$Q$5))</f>
        <v/>
      </c>
    </row>
    <row r="2289" spans="15:15" x14ac:dyDescent="0.25">
      <c r="O2289" s="20" t="str">
        <f>IF(N2289="","",COUNTIFS(RawData[[Date ]],N2289,RawData[Month List],$Q$6,RawData[Tour/Site],$Q$2,RawData[[Picker ID ]],$Q$3,RawData[Checker ID],$Q$4,RawData[[Error Type ]],$Q$5))</f>
        <v/>
      </c>
    </row>
    <row r="2290" spans="15:15" x14ac:dyDescent="0.25">
      <c r="O2290" s="20" t="str">
        <f>IF(N2290="","",COUNTIFS(RawData[[Date ]],N2290,RawData[Month List],$Q$6,RawData[Tour/Site],$Q$2,RawData[[Picker ID ]],$Q$3,RawData[Checker ID],$Q$4,RawData[[Error Type ]],$Q$5))</f>
        <v/>
      </c>
    </row>
    <row r="2291" spans="15:15" x14ac:dyDescent="0.25">
      <c r="O2291" s="20" t="str">
        <f>IF(N2291="","",COUNTIFS(RawData[[Date ]],N2291,RawData[Month List],$Q$6,RawData[Tour/Site],$Q$2,RawData[[Picker ID ]],$Q$3,RawData[Checker ID],$Q$4,RawData[[Error Type ]],$Q$5))</f>
        <v/>
      </c>
    </row>
    <row r="2292" spans="15:15" x14ac:dyDescent="0.25">
      <c r="O2292" s="20" t="str">
        <f>IF(N2292="","",COUNTIFS(RawData[[Date ]],N2292,RawData[Month List],$Q$6,RawData[Tour/Site],$Q$2,RawData[[Picker ID ]],$Q$3,RawData[Checker ID],$Q$4,RawData[[Error Type ]],$Q$5))</f>
        <v/>
      </c>
    </row>
    <row r="2293" spans="15:15" x14ac:dyDescent="0.25">
      <c r="O2293" s="20" t="str">
        <f>IF(N2293="","",COUNTIFS(RawData[[Date ]],N2293,RawData[Month List],$Q$6,RawData[Tour/Site],$Q$2,RawData[[Picker ID ]],$Q$3,RawData[Checker ID],$Q$4,RawData[[Error Type ]],$Q$5))</f>
        <v/>
      </c>
    </row>
    <row r="2294" spans="15:15" x14ac:dyDescent="0.25">
      <c r="O2294" s="20" t="str">
        <f>IF(N2294="","",COUNTIFS(RawData[[Date ]],N2294,RawData[Month List],$Q$6,RawData[Tour/Site],$Q$2,RawData[[Picker ID ]],$Q$3,RawData[Checker ID],$Q$4,RawData[[Error Type ]],$Q$5))</f>
        <v/>
      </c>
    </row>
    <row r="2295" spans="15:15" x14ac:dyDescent="0.25">
      <c r="O2295" s="20" t="str">
        <f>IF(N2295="","",COUNTIFS(RawData[[Date ]],N2295,RawData[Month List],$Q$6,RawData[Tour/Site],$Q$2,RawData[[Picker ID ]],$Q$3,RawData[Checker ID],$Q$4,RawData[[Error Type ]],$Q$5))</f>
        <v/>
      </c>
    </row>
    <row r="2296" spans="15:15" x14ac:dyDescent="0.25">
      <c r="O2296" s="20" t="str">
        <f>IF(N2296="","",COUNTIFS(RawData[[Date ]],N2296,RawData[Month List],$Q$6,RawData[Tour/Site],$Q$2,RawData[[Picker ID ]],$Q$3,RawData[Checker ID],$Q$4,RawData[[Error Type ]],$Q$5))</f>
        <v/>
      </c>
    </row>
    <row r="2297" spans="15:15" x14ac:dyDescent="0.25">
      <c r="O2297" s="20" t="str">
        <f>IF(N2297="","",COUNTIFS(RawData[[Date ]],N2297,RawData[Month List],$Q$6,RawData[Tour/Site],$Q$2,RawData[[Picker ID ]],$Q$3,RawData[Checker ID],$Q$4,RawData[[Error Type ]],$Q$5))</f>
        <v/>
      </c>
    </row>
    <row r="2298" spans="15:15" x14ac:dyDescent="0.25">
      <c r="O2298" s="20" t="str">
        <f>IF(N2298="","",COUNTIFS(RawData[[Date ]],N2298,RawData[Month List],$Q$6,RawData[Tour/Site],$Q$2,RawData[[Picker ID ]],$Q$3,RawData[Checker ID],$Q$4,RawData[[Error Type ]],$Q$5))</f>
        <v/>
      </c>
    </row>
    <row r="2299" spans="15:15" x14ac:dyDescent="0.25">
      <c r="O2299" s="20" t="str">
        <f>IF(N2299="","",COUNTIFS(RawData[[Date ]],N2299,RawData[Month List],$Q$6,RawData[Tour/Site],$Q$2,RawData[[Picker ID ]],$Q$3,RawData[Checker ID],$Q$4,RawData[[Error Type ]],$Q$5))</f>
        <v/>
      </c>
    </row>
    <row r="2300" spans="15:15" x14ac:dyDescent="0.25">
      <c r="O2300" s="20" t="str">
        <f>IF(N2300="","",COUNTIFS(RawData[[Date ]],N2300,RawData[Month List],$Q$6,RawData[Tour/Site],$Q$2,RawData[[Picker ID ]],$Q$3,RawData[Checker ID],$Q$4,RawData[[Error Type ]],$Q$5))</f>
        <v/>
      </c>
    </row>
    <row r="2301" spans="15:15" x14ac:dyDescent="0.25">
      <c r="O2301" s="20" t="str">
        <f>IF(N2301="","",COUNTIFS(RawData[[Date ]],N2301,RawData[Month List],$Q$6,RawData[Tour/Site],$Q$2,RawData[[Picker ID ]],$Q$3,RawData[Checker ID],$Q$4,RawData[[Error Type ]],$Q$5))</f>
        <v/>
      </c>
    </row>
    <row r="2302" spans="15:15" x14ac:dyDescent="0.25">
      <c r="O2302" s="20" t="str">
        <f>IF(N2302="","",COUNTIFS(RawData[[Date ]],N2302,RawData[Month List],$Q$6,RawData[Tour/Site],$Q$2,RawData[[Picker ID ]],$Q$3,RawData[Checker ID],$Q$4,RawData[[Error Type ]],$Q$5))</f>
        <v/>
      </c>
    </row>
    <row r="2303" spans="15:15" x14ac:dyDescent="0.25">
      <c r="O2303" s="20" t="str">
        <f>IF(N2303="","",COUNTIFS(RawData[[Date ]],N2303,RawData[Month List],$Q$6,RawData[Tour/Site],$Q$2,RawData[[Picker ID ]],$Q$3,RawData[Checker ID],$Q$4,RawData[[Error Type ]],$Q$5))</f>
        <v/>
      </c>
    </row>
    <row r="2304" spans="15:15" x14ac:dyDescent="0.25">
      <c r="O2304" s="20" t="str">
        <f>IF(N2304="","",COUNTIFS(RawData[[Date ]],N2304,RawData[Month List],$Q$6,RawData[Tour/Site],$Q$2,RawData[[Picker ID ]],$Q$3,RawData[Checker ID],$Q$4,RawData[[Error Type ]],$Q$5))</f>
        <v/>
      </c>
    </row>
    <row r="2305" spans="15:15" x14ac:dyDescent="0.25">
      <c r="O2305" s="20" t="str">
        <f>IF(N2305="","",COUNTIFS(RawData[[Date ]],N2305,RawData[Month List],$Q$6,RawData[Tour/Site],$Q$2,RawData[[Picker ID ]],$Q$3,RawData[Checker ID],$Q$4,RawData[[Error Type ]],$Q$5))</f>
        <v/>
      </c>
    </row>
    <row r="2306" spans="15:15" x14ac:dyDescent="0.25">
      <c r="O2306" s="20" t="str">
        <f>IF(N2306="","",COUNTIFS(RawData[[Date ]],N2306,RawData[Month List],$Q$6,RawData[Tour/Site],$Q$2,RawData[[Picker ID ]],$Q$3,RawData[Checker ID],$Q$4,RawData[[Error Type ]],$Q$5))</f>
        <v/>
      </c>
    </row>
    <row r="2307" spans="15:15" x14ac:dyDescent="0.25">
      <c r="O2307" s="20" t="str">
        <f>IF(N2307="","",COUNTIFS(RawData[[Date ]],N2307,RawData[Month List],$Q$6,RawData[Tour/Site],$Q$2,RawData[[Picker ID ]],$Q$3,RawData[Checker ID],$Q$4,RawData[[Error Type ]],$Q$5))</f>
        <v/>
      </c>
    </row>
    <row r="2308" spans="15:15" x14ac:dyDescent="0.25">
      <c r="O2308" s="20" t="str">
        <f>IF(N2308="","",COUNTIFS(RawData[[Date ]],N2308,RawData[Month List],$Q$6,RawData[Tour/Site],$Q$2,RawData[[Picker ID ]],$Q$3,RawData[Checker ID],$Q$4,RawData[[Error Type ]],$Q$5))</f>
        <v/>
      </c>
    </row>
    <row r="2309" spans="15:15" x14ac:dyDescent="0.25">
      <c r="O2309" s="20" t="str">
        <f>IF(N2309="","",COUNTIFS(RawData[[Date ]],N2309,RawData[Month List],$Q$6,RawData[Tour/Site],$Q$2,RawData[[Picker ID ]],$Q$3,RawData[Checker ID],$Q$4,RawData[[Error Type ]],$Q$5))</f>
        <v/>
      </c>
    </row>
    <row r="2310" spans="15:15" x14ac:dyDescent="0.25">
      <c r="O2310" s="20" t="str">
        <f>IF(N2310="","",COUNTIFS(RawData[[Date ]],N2310,RawData[Month List],$Q$6,RawData[Tour/Site],$Q$2,RawData[[Picker ID ]],$Q$3,RawData[Checker ID],$Q$4,RawData[[Error Type ]],$Q$5))</f>
        <v/>
      </c>
    </row>
    <row r="2311" spans="15:15" x14ac:dyDescent="0.25">
      <c r="O2311" s="20" t="str">
        <f>IF(N2311="","",COUNTIFS(RawData[[Date ]],N2311,RawData[Month List],$Q$6,RawData[Tour/Site],$Q$2,RawData[[Picker ID ]],$Q$3,RawData[Checker ID],$Q$4,RawData[[Error Type ]],$Q$5))</f>
        <v/>
      </c>
    </row>
    <row r="2312" spans="15:15" x14ac:dyDescent="0.25">
      <c r="O2312" s="20" t="str">
        <f>IF(N2312="","",COUNTIFS(RawData[[Date ]],N2312,RawData[Month List],$Q$6,RawData[Tour/Site],$Q$2,RawData[[Picker ID ]],$Q$3,RawData[Checker ID],$Q$4,RawData[[Error Type ]],$Q$5))</f>
        <v/>
      </c>
    </row>
    <row r="2313" spans="15:15" x14ac:dyDescent="0.25">
      <c r="O2313" s="20" t="str">
        <f>IF(N2313="","",COUNTIFS(RawData[[Date ]],N2313,RawData[Month List],$Q$6,RawData[Tour/Site],$Q$2,RawData[[Picker ID ]],$Q$3,RawData[Checker ID],$Q$4,RawData[[Error Type ]],$Q$5))</f>
        <v/>
      </c>
    </row>
    <row r="2314" spans="15:15" x14ac:dyDescent="0.25">
      <c r="O2314" s="20" t="str">
        <f>IF(N2314="","",COUNTIFS(RawData[[Date ]],N2314,RawData[Month List],$Q$6,RawData[Tour/Site],$Q$2,RawData[[Picker ID ]],$Q$3,RawData[Checker ID],$Q$4,RawData[[Error Type ]],$Q$5))</f>
        <v/>
      </c>
    </row>
    <row r="2315" spans="15:15" x14ac:dyDescent="0.25">
      <c r="O2315" s="20" t="str">
        <f>IF(N2315="","",COUNTIFS(RawData[[Date ]],N2315,RawData[Month List],$Q$6,RawData[Tour/Site],$Q$2,RawData[[Picker ID ]],$Q$3,RawData[Checker ID],$Q$4,RawData[[Error Type ]],$Q$5))</f>
        <v/>
      </c>
    </row>
    <row r="2316" spans="15:15" x14ac:dyDescent="0.25">
      <c r="O2316" s="20" t="str">
        <f>IF(N2316="","",COUNTIFS(RawData[[Date ]],N2316,RawData[Month List],$Q$6,RawData[Tour/Site],$Q$2,RawData[[Picker ID ]],$Q$3,RawData[Checker ID],$Q$4,RawData[[Error Type ]],$Q$5))</f>
        <v/>
      </c>
    </row>
    <row r="2317" spans="15:15" x14ac:dyDescent="0.25">
      <c r="O2317" s="20" t="str">
        <f>IF(N2317="","",COUNTIFS(RawData[[Date ]],N2317,RawData[Month List],$Q$6,RawData[Tour/Site],$Q$2,RawData[[Picker ID ]],$Q$3,RawData[Checker ID],$Q$4,RawData[[Error Type ]],$Q$5))</f>
        <v/>
      </c>
    </row>
    <row r="2318" spans="15:15" x14ac:dyDescent="0.25">
      <c r="O2318" s="20" t="str">
        <f>IF(N2318="","",COUNTIFS(RawData[[Date ]],N2318,RawData[Month List],$Q$6,RawData[Tour/Site],$Q$2,RawData[[Picker ID ]],$Q$3,RawData[Checker ID],$Q$4,RawData[[Error Type ]],$Q$5))</f>
        <v/>
      </c>
    </row>
    <row r="2319" spans="15:15" x14ac:dyDescent="0.25">
      <c r="O2319" s="20" t="str">
        <f>IF(N2319="","",COUNTIFS(RawData[[Date ]],N2319,RawData[Month List],$Q$6,RawData[Tour/Site],$Q$2,RawData[[Picker ID ]],$Q$3,RawData[Checker ID],$Q$4,RawData[[Error Type ]],$Q$5))</f>
        <v/>
      </c>
    </row>
    <row r="2320" spans="15:15" x14ac:dyDescent="0.25">
      <c r="O2320" s="20" t="str">
        <f>IF(N2320="","",COUNTIFS(RawData[[Date ]],N2320,RawData[Month List],$Q$6,RawData[Tour/Site],$Q$2,RawData[[Picker ID ]],$Q$3,RawData[Checker ID],$Q$4,RawData[[Error Type ]],$Q$5))</f>
        <v/>
      </c>
    </row>
    <row r="2321" spans="15:15" x14ac:dyDescent="0.25">
      <c r="O2321" s="20" t="str">
        <f>IF(N2321="","",COUNTIFS(RawData[[Date ]],N2321,RawData[Month List],$Q$6,RawData[Tour/Site],$Q$2,RawData[[Picker ID ]],$Q$3,RawData[Checker ID],$Q$4,RawData[[Error Type ]],$Q$5))</f>
        <v/>
      </c>
    </row>
    <row r="2322" spans="15:15" x14ac:dyDescent="0.25">
      <c r="O2322" s="20" t="str">
        <f>IF(N2322="","",COUNTIFS(RawData[[Date ]],N2322,RawData[Month List],$Q$6,RawData[Tour/Site],$Q$2,RawData[[Picker ID ]],$Q$3,RawData[Checker ID],$Q$4,RawData[[Error Type ]],$Q$5))</f>
        <v/>
      </c>
    </row>
    <row r="2323" spans="15:15" x14ac:dyDescent="0.25">
      <c r="O2323" s="20" t="str">
        <f>IF(N2323="","",COUNTIFS(RawData[[Date ]],N2323,RawData[Month List],$Q$6,RawData[Tour/Site],$Q$2,RawData[[Picker ID ]],$Q$3,RawData[Checker ID],$Q$4,RawData[[Error Type ]],$Q$5))</f>
        <v/>
      </c>
    </row>
    <row r="2324" spans="15:15" x14ac:dyDescent="0.25">
      <c r="O2324" s="20" t="str">
        <f>IF(N2324="","",COUNTIFS(RawData[[Date ]],N2324,RawData[Month List],$Q$6,RawData[Tour/Site],$Q$2,RawData[[Picker ID ]],$Q$3,RawData[Checker ID],$Q$4,RawData[[Error Type ]],$Q$5))</f>
        <v/>
      </c>
    </row>
    <row r="2325" spans="15:15" x14ac:dyDescent="0.25">
      <c r="O2325" s="20" t="str">
        <f>IF(N2325="","",COUNTIFS(RawData[[Date ]],N2325,RawData[Month List],$Q$6,RawData[Tour/Site],$Q$2,RawData[[Picker ID ]],$Q$3,RawData[Checker ID],$Q$4,RawData[[Error Type ]],$Q$5))</f>
        <v/>
      </c>
    </row>
    <row r="2326" spans="15:15" x14ac:dyDescent="0.25">
      <c r="O2326" s="20" t="str">
        <f>IF(N2326="","",COUNTIFS(RawData[[Date ]],N2326,RawData[Month List],$Q$6,RawData[Tour/Site],$Q$2,RawData[[Picker ID ]],$Q$3,RawData[Checker ID],$Q$4,RawData[[Error Type ]],$Q$5))</f>
        <v/>
      </c>
    </row>
    <row r="2327" spans="15:15" x14ac:dyDescent="0.25">
      <c r="O2327" s="20" t="str">
        <f>IF(N2327="","",COUNTIFS(RawData[[Date ]],N2327,RawData[Month List],$Q$6,RawData[Tour/Site],$Q$2,RawData[[Picker ID ]],$Q$3,RawData[Checker ID],$Q$4,RawData[[Error Type ]],$Q$5))</f>
        <v/>
      </c>
    </row>
    <row r="2328" spans="15:15" x14ac:dyDescent="0.25">
      <c r="O2328" s="20" t="str">
        <f>IF(N2328="","",COUNTIFS(RawData[[Date ]],N2328,RawData[Month List],$Q$6,RawData[Tour/Site],$Q$2,RawData[[Picker ID ]],$Q$3,RawData[Checker ID],$Q$4,RawData[[Error Type ]],$Q$5))</f>
        <v/>
      </c>
    </row>
    <row r="2329" spans="15:15" x14ac:dyDescent="0.25">
      <c r="O2329" s="20" t="str">
        <f>IF(N2329="","",COUNTIFS(RawData[[Date ]],N2329,RawData[Month List],$Q$6,RawData[Tour/Site],$Q$2,RawData[[Picker ID ]],$Q$3,RawData[Checker ID],$Q$4,RawData[[Error Type ]],$Q$5))</f>
        <v/>
      </c>
    </row>
    <row r="2330" spans="15:15" x14ac:dyDescent="0.25">
      <c r="O2330" s="20" t="str">
        <f>IF(N2330="","",COUNTIFS(RawData[[Date ]],N2330,RawData[Month List],$Q$6,RawData[Tour/Site],$Q$2,RawData[[Picker ID ]],$Q$3,RawData[Checker ID],$Q$4,RawData[[Error Type ]],$Q$5))</f>
        <v/>
      </c>
    </row>
    <row r="2331" spans="15:15" x14ac:dyDescent="0.25">
      <c r="O2331" s="20" t="str">
        <f>IF(N2331="","",COUNTIFS(RawData[[Date ]],N2331,RawData[Month List],$Q$6,RawData[Tour/Site],$Q$2,RawData[[Picker ID ]],$Q$3,RawData[Checker ID],$Q$4,RawData[[Error Type ]],$Q$5))</f>
        <v/>
      </c>
    </row>
    <row r="2332" spans="15:15" x14ac:dyDescent="0.25">
      <c r="O2332" s="20" t="str">
        <f>IF(N2332="","",COUNTIFS(RawData[[Date ]],N2332,RawData[Month List],$Q$6,RawData[Tour/Site],$Q$2,RawData[[Picker ID ]],$Q$3,RawData[Checker ID],$Q$4,RawData[[Error Type ]],$Q$5))</f>
        <v/>
      </c>
    </row>
    <row r="2333" spans="15:15" x14ac:dyDescent="0.25">
      <c r="O2333" s="20" t="str">
        <f>IF(N2333="","",COUNTIFS(RawData[[Date ]],N2333,RawData[Month List],$Q$6,RawData[Tour/Site],$Q$2,RawData[[Picker ID ]],$Q$3,RawData[Checker ID],$Q$4,RawData[[Error Type ]],$Q$5))</f>
        <v/>
      </c>
    </row>
    <row r="2334" spans="15:15" x14ac:dyDescent="0.25">
      <c r="O2334" s="20" t="str">
        <f>IF(N2334="","",COUNTIFS(RawData[[Date ]],N2334,RawData[Month List],$Q$6,RawData[Tour/Site],$Q$2,RawData[[Picker ID ]],$Q$3,RawData[Checker ID],$Q$4,RawData[[Error Type ]],$Q$5))</f>
        <v/>
      </c>
    </row>
    <row r="2335" spans="15:15" x14ac:dyDescent="0.25">
      <c r="O2335" s="20" t="str">
        <f>IF(N2335="","",COUNTIFS(RawData[[Date ]],N2335,RawData[Month List],$Q$6,RawData[Tour/Site],$Q$2,RawData[[Picker ID ]],$Q$3,RawData[Checker ID],$Q$4,RawData[[Error Type ]],$Q$5))</f>
        <v/>
      </c>
    </row>
    <row r="2336" spans="15:15" x14ac:dyDescent="0.25">
      <c r="O2336" s="20" t="str">
        <f>IF(N2336="","",COUNTIFS(RawData[[Date ]],N2336,RawData[Month List],$Q$6,RawData[Tour/Site],$Q$2,RawData[[Picker ID ]],$Q$3,RawData[Checker ID],$Q$4,RawData[[Error Type ]],$Q$5))</f>
        <v/>
      </c>
    </row>
    <row r="2337" spans="15:15" x14ac:dyDescent="0.25">
      <c r="O2337" s="20" t="str">
        <f>IF(N2337="","",COUNTIFS(RawData[[Date ]],N2337,RawData[Month List],$Q$6,RawData[Tour/Site],$Q$2,RawData[[Picker ID ]],$Q$3,RawData[Checker ID],$Q$4,RawData[[Error Type ]],$Q$5))</f>
        <v/>
      </c>
    </row>
    <row r="2338" spans="15:15" x14ac:dyDescent="0.25">
      <c r="O2338" s="20" t="str">
        <f>IF(N2338="","",COUNTIFS(RawData[[Date ]],N2338,RawData[Month List],$Q$6,RawData[Tour/Site],$Q$2,RawData[[Picker ID ]],$Q$3,RawData[Checker ID],$Q$4,RawData[[Error Type ]],$Q$5))</f>
        <v/>
      </c>
    </row>
    <row r="2339" spans="15:15" x14ac:dyDescent="0.25">
      <c r="O2339" s="20" t="str">
        <f>IF(N2339="","",COUNTIFS(RawData[[Date ]],N2339,RawData[Month List],$Q$6,RawData[Tour/Site],$Q$2,RawData[[Picker ID ]],$Q$3,RawData[Checker ID],$Q$4,RawData[[Error Type ]],$Q$5))</f>
        <v/>
      </c>
    </row>
    <row r="2340" spans="15:15" x14ac:dyDescent="0.25">
      <c r="O2340" s="20" t="str">
        <f>IF(N2340="","",COUNTIFS(RawData[[Date ]],N2340,RawData[Month List],$Q$6,RawData[Tour/Site],$Q$2,RawData[[Picker ID ]],$Q$3,RawData[Checker ID],$Q$4,RawData[[Error Type ]],$Q$5))</f>
        <v/>
      </c>
    </row>
    <row r="2341" spans="15:15" x14ac:dyDescent="0.25">
      <c r="O2341" s="20" t="str">
        <f>IF(N2341="","",COUNTIFS(RawData[[Date ]],N2341,RawData[Month List],$Q$6,RawData[Tour/Site],$Q$2,RawData[[Picker ID ]],$Q$3,RawData[Checker ID],$Q$4,RawData[[Error Type ]],$Q$5))</f>
        <v/>
      </c>
    </row>
    <row r="2342" spans="15:15" x14ac:dyDescent="0.25">
      <c r="O2342" s="20" t="str">
        <f>IF(N2342="","",COUNTIFS(RawData[[Date ]],N2342,RawData[Month List],$Q$6,RawData[Tour/Site],$Q$2,RawData[[Picker ID ]],$Q$3,RawData[Checker ID],$Q$4,RawData[[Error Type ]],$Q$5))</f>
        <v/>
      </c>
    </row>
    <row r="2343" spans="15:15" x14ac:dyDescent="0.25">
      <c r="O2343" s="20" t="str">
        <f>IF(N2343="","",COUNTIFS(RawData[[Date ]],N2343,RawData[Month List],$Q$6,RawData[Tour/Site],$Q$2,RawData[[Picker ID ]],$Q$3,RawData[Checker ID],$Q$4,RawData[[Error Type ]],$Q$5))</f>
        <v/>
      </c>
    </row>
    <row r="2344" spans="15:15" x14ac:dyDescent="0.25">
      <c r="O2344" s="20" t="str">
        <f>IF(N2344="","",COUNTIFS(RawData[[Date ]],N2344,RawData[Month List],$Q$6,RawData[Tour/Site],$Q$2,RawData[[Picker ID ]],$Q$3,RawData[Checker ID],$Q$4,RawData[[Error Type ]],$Q$5))</f>
        <v/>
      </c>
    </row>
    <row r="2345" spans="15:15" x14ac:dyDescent="0.25">
      <c r="O2345" s="20" t="str">
        <f>IF(N2345="","",COUNTIFS(RawData[[Date ]],N2345,RawData[Month List],$Q$6,RawData[Tour/Site],$Q$2,RawData[[Picker ID ]],$Q$3,RawData[Checker ID],$Q$4,RawData[[Error Type ]],$Q$5))</f>
        <v/>
      </c>
    </row>
    <row r="2346" spans="15:15" x14ac:dyDescent="0.25">
      <c r="O2346" s="20" t="str">
        <f>IF(N2346="","",COUNTIFS(RawData[[Date ]],N2346,RawData[Month List],$Q$6,RawData[Tour/Site],$Q$2,RawData[[Picker ID ]],$Q$3,RawData[Checker ID],$Q$4,RawData[[Error Type ]],$Q$5))</f>
        <v/>
      </c>
    </row>
    <row r="2347" spans="15:15" x14ac:dyDescent="0.25">
      <c r="O2347" s="20" t="str">
        <f>IF(N2347="","",COUNTIFS(RawData[[Date ]],N2347,RawData[Month List],$Q$6,RawData[Tour/Site],$Q$2,RawData[[Picker ID ]],$Q$3,RawData[Checker ID],$Q$4,RawData[[Error Type ]],$Q$5))</f>
        <v/>
      </c>
    </row>
    <row r="2348" spans="15:15" x14ac:dyDescent="0.25">
      <c r="O2348" s="20" t="str">
        <f>IF(N2348="","",COUNTIFS(RawData[[Date ]],N2348,RawData[Month List],$Q$6,RawData[Tour/Site],$Q$2,RawData[[Picker ID ]],$Q$3,RawData[Checker ID],$Q$4,RawData[[Error Type ]],$Q$5))</f>
        <v/>
      </c>
    </row>
    <row r="2349" spans="15:15" x14ac:dyDescent="0.25">
      <c r="O2349" s="20" t="str">
        <f>IF(N2349="","",COUNTIFS(RawData[[Date ]],N2349,RawData[Month List],$Q$6,RawData[Tour/Site],$Q$2,RawData[[Picker ID ]],$Q$3,RawData[Checker ID],$Q$4,RawData[[Error Type ]],$Q$5))</f>
        <v/>
      </c>
    </row>
    <row r="2350" spans="15:15" x14ac:dyDescent="0.25">
      <c r="O2350" s="20" t="str">
        <f>IF(N2350="","",COUNTIFS(RawData[[Date ]],N2350,RawData[Month List],$Q$6,RawData[Tour/Site],$Q$2,RawData[[Picker ID ]],$Q$3,RawData[Checker ID],$Q$4,RawData[[Error Type ]],$Q$5))</f>
        <v/>
      </c>
    </row>
    <row r="2351" spans="15:15" x14ac:dyDescent="0.25">
      <c r="O2351" s="20" t="str">
        <f>IF(N2351="","",COUNTIFS(RawData[[Date ]],N2351,RawData[Month List],$Q$6,RawData[Tour/Site],$Q$2,RawData[[Picker ID ]],$Q$3,RawData[Checker ID],$Q$4,RawData[[Error Type ]],$Q$5))</f>
        <v/>
      </c>
    </row>
    <row r="2352" spans="15:15" x14ac:dyDescent="0.25">
      <c r="O2352" s="20" t="str">
        <f>IF(N2352="","",COUNTIFS(RawData[[Date ]],N2352,RawData[Month List],$Q$6,RawData[Tour/Site],$Q$2,RawData[[Picker ID ]],$Q$3,RawData[Checker ID],$Q$4,RawData[[Error Type ]],$Q$5))</f>
        <v/>
      </c>
    </row>
    <row r="2353" spans="15:15" x14ac:dyDescent="0.25">
      <c r="O2353" s="20" t="str">
        <f>IF(N2353="","",COUNTIFS(RawData[[Date ]],N2353,RawData[Month List],$Q$6,RawData[Tour/Site],$Q$2,RawData[[Picker ID ]],$Q$3,RawData[Checker ID],$Q$4,RawData[[Error Type ]],$Q$5))</f>
        <v/>
      </c>
    </row>
    <row r="2354" spans="15:15" x14ac:dyDescent="0.25">
      <c r="O2354" s="20" t="str">
        <f>IF(N2354="","",COUNTIFS(RawData[[Date ]],N2354,RawData[Month List],$Q$6,RawData[Tour/Site],$Q$2,RawData[[Picker ID ]],$Q$3,RawData[Checker ID],$Q$4,RawData[[Error Type ]],$Q$5))</f>
        <v/>
      </c>
    </row>
    <row r="2355" spans="15:15" x14ac:dyDescent="0.25">
      <c r="O2355" s="20" t="str">
        <f>IF(N2355="","",COUNTIFS(RawData[[Date ]],N2355,RawData[Month List],$Q$6,RawData[Tour/Site],$Q$2,RawData[[Picker ID ]],$Q$3,RawData[Checker ID],$Q$4,RawData[[Error Type ]],$Q$5))</f>
        <v/>
      </c>
    </row>
    <row r="2356" spans="15:15" x14ac:dyDescent="0.25">
      <c r="O2356" s="20" t="str">
        <f>IF(N2356="","",COUNTIFS(RawData[[Date ]],N2356,RawData[Month List],$Q$6,RawData[Tour/Site],$Q$2,RawData[[Picker ID ]],$Q$3,RawData[Checker ID],$Q$4,RawData[[Error Type ]],$Q$5))</f>
        <v/>
      </c>
    </row>
    <row r="2357" spans="15:15" x14ac:dyDescent="0.25">
      <c r="O2357" s="20" t="str">
        <f>IF(N2357="","",COUNTIFS(RawData[[Date ]],N2357,RawData[Month List],$Q$6,RawData[Tour/Site],$Q$2,RawData[[Picker ID ]],$Q$3,RawData[Checker ID],$Q$4,RawData[[Error Type ]],$Q$5))</f>
        <v/>
      </c>
    </row>
    <row r="2358" spans="15:15" x14ac:dyDescent="0.25">
      <c r="O2358" s="20" t="str">
        <f>IF(N2358="","",COUNTIFS(RawData[[Date ]],N2358,RawData[Month List],$Q$6,RawData[Tour/Site],$Q$2,RawData[[Picker ID ]],$Q$3,RawData[Checker ID],$Q$4,RawData[[Error Type ]],$Q$5))</f>
        <v/>
      </c>
    </row>
    <row r="2359" spans="15:15" x14ac:dyDescent="0.25">
      <c r="O2359" s="20" t="str">
        <f>IF(N2359="","",COUNTIFS(RawData[[Date ]],N2359,RawData[Month List],$Q$6,RawData[Tour/Site],$Q$2,RawData[[Picker ID ]],$Q$3,RawData[Checker ID],$Q$4,RawData[[Error Type ]],$Q$5))</f>
        <v/>
      </c>
    </row>
    <row r="2360" spans="15:15" x14ac:dyDescent="0.25">
      <c r="O2360" s="20" t="str">
        <f>IF(N2360="","",COUNTIFS(RawData[[Date ]],N2360,RawData[Month List],$Q$6,RawData[Tour/Site],$Q$2,RawData[[Picker ID ]],$Q$3,RawData[Checker ID],$Q$4,RawData[[Error Type ]],$Q$5))</f>
        <v/>
      </c>
    </row>
    <row r="2361" spans="15:15" x14ac:dyDescent="0.25">
      <c r="O2361" s="20" t="str">
        <f>IF(N2361="","",COUNTIFS(RawData[[Date ]],N2361,RawData[Month List],$Q$6,RawData[Tour/Site],$Q$2,RawData[[Picker ID ]],$Q$3,RawData[Checker ID],$Q$4,RawData[[Error Type ]],$Q$5))</f>
        <v/>
      </c>
    </row>
    <row r="2362" spans="15:15" x14ac:dyDescent="0.25">
      <c r="O2362" s="20" t="str">
        <f>IF(N2362="","",COUNTIFS(RawData[[Date ]],N2362,RawData[Month List],$Q$6,RawData[Tour/Site],$Q$2,RawData[[Picker ID ]],$Q$3,RawData[Checker ID],$Q$4,RawData[[Error Type ]],$Q$5))</f>
        <v/>
      </c>
    </row>
    <row r="2363" spans="15:15" x14ac:dyDescent="0.25">
      <c r="O2363" s="20" t="str">
        <f>IF(N2363="","",COUNTIFS(RawData[[Date ]],N2363,RawData[Month List],$Q$6,RawData[Tour/Site],$Q$2,RawData[[Picker ID ]],$Q$3,RawData[Checker ID],$Q$4,RawData[[Error Type ]],$Q$5))</f>
        <v/>
      </c>
    </row>
    <row r="2364" spans="15:15" x14ac:dyDescent="0.25">
      <c r="O2364" s="20" t="str">
        <f>IF(N2364="","",COUNTIFS(RawData[[Date ]],N2364,RawData[Month List],$Q$6,RawData[Tour/Site],$Q$2,RawData[[Picker ID ]],$Q$3,RawData[Checker ID],$Q$4,RawData[[Error Type ]],$Q$5))</f>
        <v/>
      </c>
    </row>
    <row r="2365" spans="15:15" x14ac:dyDescent="0.25">
      <c r="O2365" s="20" t="str">
        <f>IF(N2365="","",COUNTIFS(RawData[[Date ]],N2365,RawData[Month List],$Q$6,RawData[Tour/Site],$Q$2,RawData[[Picker ID ]],$Q$3,RawData[Checker ID],$Q$4,RawData[[Error Type ]],$Q$5))</f>
        <v/>
      </c>
    </row>
    <row r="2366" spans="15:15" x14ac:dyDescent="0.25">
      <c r="O2366" s="20" t="str">
        <f>IF(N2366="","",COUNTIFS(RawData[[Date ]],N2366,RawData[Month List],$Q$6,RawData[Tour/Site],$Q$2,RawData[[Picker ID ]],$Q$3,RawData[Checker ID],$Q$4,RawData[[Error Type ]],$Q$5))</f>
        <v/>
      </c>
    </row>
    <row r="2367" spans="15:15" x14ac:dyDescent="0.25">
      <c r="O2367" s="20" t="str">
        <f>IF(N2367="","",COUNTIFS(RawData[[Date ]],N2367,RawData[Month List],$Q$6,RawData[Tour/Site],$Q$2,RawData[[Picker ID ]],$Q$3,RawData[Checker ID],$Q$4,RawData[[Error Type ]],$Q$5))</f>
        <v/>
      </c>
    </row>
    <row r="2368" spans="15:15" x14ac:dyDescent="0.25">
      <c r="O2368" s="20" t="str">
        <f>IF(N2368="","",COUNTIFS(RawData[[Date ]],N2368,RawData[Month List],$Q$6,RawData[Tour/Site],$Q$2,RawData[[Picker ID ]],$Q$3,RawData[Checker ID],$Q$4,RawData[[Error Type ]],$Q$5))</f>
        <v/>
      </c>
    </row>
    <row r="2369" spans="15:15" x14ac:dyDescent="0.25">
      <c r="O2369" s="20" t="str">
        <f>IF(N2369="","",COUNTIFS(RawData[[Date ]],N2369,RawData[Month List],$Q$6,RawData[Tour/Site],$Q$2,RawData[[Picker ID ]],$Q$3,RawData[Checker ID],$Q$4,RawData[[Error Type ]],$Q$5))</f>
        <v/>
      </c>
    </row>
    <row r="2370" spans="15:15" x14ac:dyDescent="0.25">
      <c r="O2370" s="20" t="str">
        <f>IF(N2370="","",COUNTIFS(RawData[[Date ]],N2370,RawData[Month List],$Q$6,RawData[Tour/Site],$Q$2,RawData[[Picker ID ]],$Q$3,RawData[Checker ID],$Q$4,RawData[[Error Type ]],$Q$5))</f>
        <v/>
      </c>
    </row>
    <row r="2371" spans="15:15" x14ac:dyDescent="0.25">
      <c r="O2371" s="20" t="str">
        <f>IF(N2371="","",COUNTIFS(RawData[[Date ]],N2371,RawData[Month List],$Q$6,RawData[Tour/Site],$Q$2,RawData[[Picker ID ]],$Q$3,RawData[Checker ID],$Q$4,RawData[[Error Type ]],$Q$5))</f>
        <v/>
      </c>
    </row>
    <row r="2372" spans="15:15" x14ac:dyDescent="0.25">
      <c r="O2372" s="20" t="str">
        <f>IF(N2372="","",COUNTIFS(RawData[[Date ]],N2372,RawData[Month List],$Q$6,RawData[Tour/Site],$Q$2,RawData[[Picker ID ]],$Q$3,RawData[Checker ID],$Q$4,RawData[[Error Type ]],$Q$5))</f>
        <v/>
      </c>
    </row>
    <row r="2373" spans="15:15" x14ac:dyDescent="0.25">
      <c r="O2373" s="20" t="str">
        <f>IF(N2373="","",COUNTIFS(RawData[[Date ]],N2373,RawData[Month List],$Q$6,RawData[Tour/Site],$Q$2,RawData[[Picker ID ]],$Q$3,RawData[Checker ID],$Q$4,RawData[[Error Type ]],$Q$5))</f>
        <v/>
      </c>
    </row>
    <row r="2374" spans="15:15" x14ac:dyDescent="0.25">
      <c r="O2374" s="20" t="str">
        <f>IF(N2374="","",COUNTIFS(RawData[[Date ]],N2374,RawData[Month List],$Q$6,RawData[Tour/Site],$Q$2,RawData[[Picker ID ]],$Q$3,RawData[Checker ID],$Q$4,RawData[[Error Type ]],$Q$5))</f>
        <v/>
      </c>
    </row>
    <row r="2375" spans="15:15" x14ac:dyDescent="0.25">
      <c r="O2375" s="20" t="str">
        <f>IF(N2375="","",COUNTIFS(RawData[[Date ]],N2375,RawData[Month List],$Q$6,RawData[Tour/Site],$Q$2,RawData[[Picker ID ]],$Q$3,RawData[Checker ID],$Q$4,RawData[[Error Type ]],$Q$5))</f>
        <v/>
      </c>
    </row>
    <row r="2376" spans="15:15" x14ac:dyDescent="0.25">
      <c r="O2376" s="20" t="str">
        <f>IF(N2376="","",COUNTIFS(RawData[[Date ]],N2376,RawData[Month List],$Q$6,RawData[Tour/Site],$Q$2,RawData[[Picker ID ]],$Q$3,RawData[Checker ID],$Q$4,RawData[[Error Type ]],$Q$5))</f>
        <v/>
      </c>
    </row>
    <row r="2377" spans="15:15" x14ac:dyDescent="0.25">
      <c r="O2377" s="20" t="str">
        <f>IF(N2377="","",COUNTIFS(RawData[[Date ]],N2377,RawData[Month List],$Q$6,RawData[Tour/Site],$Q$2,RawData[[Picker ID ]],$Q$3,RawData[Checker ID],$Q$4,RawData[[Error Type ]],$Q$5))</f>
        <v/>
      </c>
    </row>
    <row r="2378" spans="15:15" x14ac:dyDescent="0.25">
      <c r="O2378" s="20" t="str">
        <f>IF(N2378="","",COUNTIFS(RawData[[Date ]],N2378,RawData[Month List],$Q$6,RawData[Tour/Site],$Q$2,RawData[[Picker ID ]],$Q$3,RawData[Checker ID],$Q$4,RawData[[Error Type ]],$Q$5))</f>
        <v/>
      </c>
    </row>
    <row r="2379" spans="15:15" x14ac:dyDescent="0.25">
      <c r="O2379" s="20" t="str">
        <f>IF(N2379="","",COUNTIFS(RawData[[Date ]],N2379,RawData[Month List],$Q$6,RawData[Tour/Site],$Q$2,RawData[[Picker ID ]],$Q$3,RawData[Checker ID],$Q$4,RawData[[Error Type ]],$Q$5))</f>
        <v/>
      </c>
    </row>
    <row r="2380" spans="15:15" x14ac:dyDescent="0.25">
      <c r="O2380" s="20" t="str">
        <f>IF(N2380="","",COUNTIFS(RawData[[Date ]],N2380,RawData[Month List],$Q$6,RawData[Tour/Site],$Q$2,RawData[[Picker ID ]],$Q$3,RawData[Checker ID],$Q$4,RawData[[Error Type ]],$Q$5))</f>
        <v/>
      </c>
    </row>
    <row r="2381" spans="15:15" x14ac:dyDescent="0.25">
      <c r="O2381" s="20" t="str">
        <f>IF(N2381="","",COUNTIFS(RawData[[Date ]],N2381,RawData[Month List],$Q$6,RawData[Tour/Site],$Q$2,RawData[[Picker ID ]],$Q$3,RawData[Checker ID],$Q$4,RawData[[Error Type ]],$Q$5))</f>
        <v/>
      </c>
    </row>
    <row r="2382" spans="15:15" x14ac:dyDescent="0.25">
      <c r="O2382" s="20" t="str">
        <f>IF(N2382="","",COUNTIFS(RawData[[Date ]],N2382,RawData[Month List],$Q$6,RawData[Tour/Site],$Q$2,RawData[[Picker ID ]],$Q$3,RawData[Checker ID],$Q$4,RawData[[Error Type ]],$Q$5))</f>
        <v/>
      </c>
    </row>
    <row r="2383" spans="15:15" x14ac:dyDescent="0.25">
      <c r="O2383" s="20" t="str">
        <f>IF(N2383="","",COUNTIFS(RawData[[Date ]],N2383,RawData[Month List],$Q$6,RawData[Tour/Site],$Q$2,RawData[[Picker ID ]],$Q$3,RawData[Checker ID],$Q$4,RawData[[Error Type ]],$Q$5))</f>
        <v/>
      </c>
    </row>
    <row r="2384" spans="15:15" x14ac:dyDescent="0.25">
      <c r="O2384" s="20" t="str">
        <f>IF(N2384="","",COUNTIFS(RawData[[Date ]],N2384,RawData[Month List],$Q$6,RawData[Tour/Site],$Q$2,RawData[[Picker ID ]],$Q$3,RawData[Checker ID],$Q$4,RawData[[Error Type ]],$Q$5))</f>
        <v/>
      </c>
    </row>
    <row r="2385" spans="15:15" x14ac:dyDescent="0.25">
      <c r="O2385" s="20" t="str">
        <f>IF(N2385="","",COUNTIFS(RawData[[Date ]],N2385,RawData[Month List],$Q$6,RawData[Tour/Site],$Q$2,RawData[[Picker ID ]],$Q$3,RawData[Checker ID],$Q$4,RawData[[Error Type ]],$Q$5))</f>
        <v/>
      </c>
    </row>
    <row r="2386" spans="15:15" x14ac:dyDescent="0.25">
      <c r="O2386" s="20" t="str">
        <f>IF(N2386="","",COUNTIFS(RawData[[Date ]],N2386,RawData[Month List],$Q$6,RawData[Tour/Site],$Q$2,RawData[[Picker ID ]],$Q$3,RawData[Checker ID],$Q$4,RawData[[Error Type ]],$Q$5))</f>
        <v/>
      </c>
    </row>
    <row r="2387" spans="15:15" x14ac:dyDescent="0.25">
      <c r="O2387" s="20" t="str">
        <f>IF(N2387="","",COUNTIFS(RawData[[Date ]],N2387,RawData[Month List],$Q$6,RawData[Tour/Site],$Q$2,RawData[[Picker ID ]],$Q$3,RawData[Checker ID],$Q$4,RawData[[Error Type ]],$Q$5))</f>
        <v/>
      </c>
    </row>
    <row r="2388" spans="15:15" x14ac:dyDescent="0.25">
      <c r="O2388" s="20" t="str">
        <f>IF(N2388="","",COUNTIFS(RawData[[Date ]],N2388,RawData[Month List],$Q$6,RawData[Tour/Site],$Q$2,RawData[[Picker ID ]],$Q$3,RawData[Checker ID],$Q$4,RawData[[Error Type ]],$Q$5))</f>
        <v/>
      </c>
    </row>
    <row r="2389" spans="15:15" x14ac:dyDescent="0.25">
      <c r="O2389" s="20" t="str">
        <f>IF(N2389="","",COUNTIFS(RawData[[Date ]],N2389,RawData[Month List],$Q$6,RawData[Tour/Site],$Q$2,RawData[[Picker ID ]],$Q$3,RawData[Checker ID],$Q$4,RawData[[Error Type ]],$Q$5))</f>
        <v/>
      </c>
    </row>
    <row r="2390" spans="15:15" x14ac:dyDescent="0.25">
      <c r="O2390" s="20" t="str">
        <f>IF(N2390="","",COUNTIFS(RawData[[Date ]],N2390,RawData[Month List],$Q$6,RawData[Tour/Site],$Q$2,RawData[[Picker ID ]],$Q$3,RawData[Checker ID],$Q$4,RawData[[Error Type ]],$Q$5))</f>
        <v/>
      </c>
    </row>
    <row r="2391" spans="15:15" x14ac:dyDescent="0.25">
      <c r="O2391" s="20" t="str">
        <f>IF(N2391="","",COUNTIFS(RawData[[Date ]],N2391,RawData[Month List],$Q$6,RawData[Tour/Site],$Q$2,RawData[[Picker ID ]],$Q$3,RawData[Checker ID],$Q$4,RawData[[Error Type ]],$Q$5))</f>
        <v/>
      </c>
    </row>
    <row r="2392" spans="15:15" x14ac:dyDescent="0.25">
      <c r="O2392" s="20" t="str">
        <f>IF(N2392="","",COUNTIFS(RawData[[Date ]],N2392,RawData[Month List],$Q$6,RawData[Tour/Site],$Q$2,RawData[[Picker ID ]],$Q$3,RawData[Checker ID],$Q$4,RawData[[Error Type ]],$Q$5))</f>
        <v/>
      </c>
    </row>
    <row r="2393" spans="15:15" x14ac:dyDescent="0.25">
      <c r="O2393" s="20" t="str">
        <f>IF(N2393="","",COUNTIFS(RawData[[Date ]],N2393,RawData[Month List],$Q$6,RawData[Tour/Site],$Q$2,RawData[[Picker ID ]],$Q$3,RawData[Checker ID],$Q$4,RawData[[Error Type ]],$Q$5))</f>
        <v/>
      </c>
    </row>
    <row r="2394" spans="15:15" x14ac:dyDescent="0.25">
      <c r="O2394" s="20" t="str">
        <f>IF(N2394="","",COUNTIFS(RawData[[Date ]],N2394,RawData[Month List],$Q$6,RawData[Tour/Site],$Q$2,RawData[[Picker ID ]],$Q$3,RawData[Checker ID],$Q$4,RawData[[Error Type ]],$Q$5))</f>
        <v/>
      </c>
    </row>
    <row r="2395" spans="15:15" x14ac:dyDescent="0.25">
      <c r="O2395" s="20" t="str">
        <f>IF(N2395="","",COUNTIFS(RawData[[Date ]],N2395,RawData[Month List],$Q$6,RawData[Tour/Site],$Q$2,RawData[[Picker ID ]],$Q$3,RawData[Checker ID],$Q$4,RawData[[Error Type ]],$Q$5))</f>
        <v/>
      </c>
    </row>
    <row r="2396" spans="15:15" x14ac:dyDescent="0.25">
      <c r="O2396" s="20" t="str">
        <f>IF(N2396="","",COUNTIFS(RawData[[Date ]],N2396,RawData[Month List],$Q$6,RawData[Tour/Site],$Q$2,RawData[[Picker ID ]],$Q$3,RawData[Checker ID],$Q$4,RawData[[Error Type ]],$Q$5))</f>
        <v/>
      </c>
    </row>
    <row r="2397" spans="15:15" x14ac:dyDescent="0.25">
      <c r="O2397" s="20" t="str">
        <f>IF(N2397="","",COUNTIFS(RawData[[Date ]],N2397,RawData[Month List],$Q$6,RawData[Tour/Site],$Q$2,RawData[[Picker ID ]],$Q$3,RawData[Checker ID],$Q$4,RawData[[Error Type ]],$Q$5))</f>
        <v/>
      </c>
    </row>
    <row r="2398" spans="15:15" x14ac:dyDescent="0.25">
      <c r="O2398" s="20" t="str">
        <f>IF(N2398="","",COUNTIFS(RawData[[Date ]],N2398,RawData[Month List],$Q$6,RawData[Tour/Site],$Q$2,RawData[[Picker ID ]],$Q$3,RawData[Checker ID],$Q$4,RawData[[Error Type ]],$Q$5))</f>
        <v/>
      </c>
    </row>
    <row r="2399" spans="15:15" x14ac:dyDescent="0.25">
      <c r="O2399" s="20" t="str">
        <f>IF(N2399="","",COUNTIFS(RawData[[Date ]],N2399,RawData[Month List],$Q$6,RawData[Tour/Site],$Q$2,RawData[[Picker ID ]],$Q$3,RawData[Checker ID],$Q$4,RawData[[Error Type ]],$Q$5))</f>
        <v/>
      </c>
    </row>
    <row r="2400" spans="15:15" x14ac:dyDescent="0.25">
      <c r="O2400" s="20" t="str">
        <f>IF(N2400="","",COUNTIFS(RawData[[Date ]],N2400,RawData[Month List],$Q$6,RawData[Tour/Site],$Q$2,RawData[[Picker ID ]],$Q$3,RawData[Checker ID],$Q$4,RawData[[Error Type ]],$Q$5))</f>
        <v/>
      </c>
    </row>
    <row r="2401" spans="15:15" x14ac:dyDescent="0.25">
      <c r="O2401" s="20" t="str">
        <f>IF(N2401="","",COUNTIFS(RawData[[Date ]],N2401,RawData[Month List],$Q$6,RawData[Tour/Site],$Q$2,RawData[[Picker ID ]],$Q$3,RawData[Checker ID],$Q$4,RawData[[Error Type ]],$Q$5))</f>
        <v/>
      </c>
    </row>
    <row r="2402" spans="15:15" x14ac:dyDescent="0.25">
      <c r="O2402" s="20" t="str">
        <f>IF(N2402="","",COUNTIFS(RawData[[Date ]],N2402,RawData[Month List],$Q$6,RawData[Tour/Site],$Q$2,RawData[[Picker ID ]],$Q$3,RawData[Checker ID],$Q$4,RawData[[Error Type ]],$Q$5))</f>
        <v/>
      </c>
    </row>
    <row r="2403" spans="15:15" x14ac:dyDescent="0.25">
      <c r="O2403" s="20" t="str">
        <f>IF(N2403="","",COUNTIFS(RawData[[Date ]],N2403,RawData[Month List],$Q$6,RawData[Tour/Site],$Q$2,RawData[[Picker ID ]],$Q$3,RawData[Checker ID],$Q$4,RawData[[Error Type ]],$Q$5))</f>
        <v/>
      </c>
    </row>
    <row r="2404" spans="15:15" x14ac:dyDescent="0.25">
      <c r="O2404" s="20" t="str">
        <f>IF(N2404="","",COUNTIFS(RawData[[Date ]],N2404,RawData[Month List],$Q$6,RawData[Tour/Site],$Q$2,RawData[[Picker ID ]],$Q$3,RawData[Checker ID],$Q$4,RawData[[Error Type ]],$Q$5))</f>
        <v/>
      </c>
    </row>
    <row r="2405" spans="15:15" x14ac:dyDescent="0.25">
      <c r="O2405" s="20" t="str">
        <f>IF(N2405="","",COUNTIFS(RawData[[Date ]],N2405,RawData[Month List],$Q$6,RawData[Tour/Site],$Q$2,RawData[[Picker ID ]],$Q$3,RawData[Checker ID],$Q$4,RawData[[Error Type ]],$Q$5))</f>
        <v/>
      </c>
    </row>
    <row r="2406" spans="15:15" x14ac:dyDescent="0.25">
      <c r="O2406" s="20" t="str">
        <f>IF(N2406="","",COUNTIFS(RawData[[Date ]],N2406,RawData[Month List],$Q$6,RawData[Tour/Site],$Q$2,RawData[[Picker ID ]],$Q$3,RawData[Checker ID],$Q$4,RawData[[Error Type ]],$Q$5))</f>
        <v/>
      </c>
    </row>
    <row r="2407" spans="15:15" x14ac:dyDescent="0.25">
      <c r="O2407" s="20" t="str">
        <f>IF(N2407="","",COUNTIFS(RawData[[Date ]],N2407,RawData[Month List],$Q$6,RawData[Tour/Site],$Q$2,RawData[[Picker ID ]],$Q$3,RawData[Checker ID],$Q$4,RawData[[Error Type ]],$Q$5))</f>
        <v/>
      </c>
    </row>
    <row r="2408" spans="15:15" x14ac:dyDescent="0.25">
      <c r="O2408" s="20" t="str">
        <f>IF(N2408="","",COUNTIFS(RawData[[Date ]],N2408,RawData[Month List],$Q$6,RawData[Tour/Site],$Q$2,RawData[[Picker ID ]],$Q$3,RawData[Checker ID],$Q$4,RawData[[Error Type ]],$Q$5))</f>
        <v/>
      </c>
    </row>
    <row r="2409" spans="15:15" x14ac:dyDescent="0.25">
      <c r="O2409" s="20" t="str">
        <f>IF(N2409="","",COUNTIFS(RawData[[Date ]],N2409,RawData[Month List],$Q$6,RawData[Tour/Site],$Q$2,RawData[[Picker ID ]],$Q$3,RawData[Checker ID],$Q$4,RawData[[Error Type ]],$Q$5))</f>
        <v/>
      </c>
    </row>
    <row r="2410" spans="15:15" x14ac:dyDescent="0.25">
      <c r="O2410" s="20" t="str">
        <f>IF(N2410="","",COUNTIFS(RawData[[Date ]],N2410,RawData[Month List],$Q$6,RawData[Tour/Site],$Q$2,RawData[[Picker ID ]],$Q$3,RawData[Checker ID],$Q$4,RawData[[Error Type ]],$Q$5))</f>
        <v/>
      </c>
    </row>
    <row r="2411" spans="15:15" x14ac:dyDescent="0.25">
      <c r="O2411" s="20" t="str">
        <f>IF(N2411="","",COUNTIFS(RawData[[Date ]],N2411,RawData[Month List],$Q$6,RawData[Tour/Site],$Q$2,RawData[[Picker ID ]],$Q$3,RawData[Checker ID],$Q$4,RawData[[Error Type ]],$Q$5))</f>
        <v/>
      </c>
    </row>
    <row r="2412" spans="15:15" x14ac:dyDescent="0.25">
      <c r="O2412" s="20" t="str">
        <f>IF(N2412="","",COUNTIFS(RawData[[Date ]],N2412,RawData[Month List],$Q$6,RawData[Tour/Site],$Q$2,RawData[[Picker ID ]],$Q$3,RawData[Checker ID],$Q$4,RawData[[Error Type ]],$Q$5))</f>
        <v/>
      </c>
    </row>
    <row r="2413" spans="15:15" x14ac:dyDescent="0.25">
      <c r="O2413" s="20" t="str">
        <f>IF(N2413="","",COUNTIFS(RawData[[Date ]],N2413,RawData[Month List],$Q$6,RawData[Tour/Site],$Q$2,RawData[[Picker ID ]],$Q$3,RawData[Checker ID],$Q$4,RawData[[Error Type ]],$Q$5))</f>
        <v/>
      </c>
    </row>
    <row r="2414" spans="15:15" x14ac:dyDescent="0.25">
      <c r="O2414" s="20" t="str">
        <f>IF(N2414="","",COUNTIFS(RawData[[Date ]],N2414,RawData[Month List],$Q$6,RawData[Tour/Site],$Q$2,RawData[[Picker ID ]],$Q$3,RawData[Checker ID],$Q$4,RawData[[Error Type ]],$Q$5))</f>
        <v/>
      </c>
    </row>
    <row r="2415" spans="15:15" x14ac:dyDescent="0.25">
      <c r="O2415" s="20" t="str">
        <f>IF(N2415="","",COUNTIFS(RawData[[Date ]],N2415,RawData[Month List],$Q$6,RawData[Tour/Site],$Q$2,RawData[[Picker ID ]],$Q$3,RawData[Checker ID],$Q$4,RawData[[Error Type ]],$Q$5))</f>
        <v/>
      </c>
    </row>
    <row r="2416" spans="15:15" x14ac:dyDescent="0.25">
      <c r="O2416" s="20" t="str">
        <f>IF(N2416="","",COUNTIFS(RawData[[Date ]],N2416,RawData[Month List],$Q$6,RawData[Tour/Site],$Q$2,RawData[[Picker ID ]],$Q$3,RawData[Checker ID],$Q$4,RawData[[Error Type ]],$Q$5))</f>
        <v/>
      </c>
    </row>
    <row r="2417" spans="15:15" x14ac:dyDescent="0.25">
      <c r="O2417" s="20" t="str">
        <f>IF(N2417="","",COUNTIFS(RawData[[Date ]],N2417,RawData[Month List],$Q$6,RawData[Tour/Site],$Q$2,RawData[[Picker ID ]],$Q$3,RawData[Checker ID],$Q$4,RawData[[Error Type ]],$Q$5))</f>
        <v/>
      </c>
    </row>
    <row r="2418" spans="15:15" x14ac:dyDescent="0.25">
      <c r="O2418" s="20" t="str">
        <f>IF(N2418="","",COUNTIFS(RawData[[Date ]],N2418,RawData[Month List],$Q$6,RawData[Tour/Site],$Q$2,RawData[[Picker ID ]],$Q$3,RawData[Checker ID],$Q$4,RawData[[Error Type ]],$Q$5))</f>
        <v/>
      </c>
    </row>
    <row r="2419" spans="15:15" x14ac:dyDescent="0.25">
      <c r="O2419" s="20" t="str">
        <f>IF(N2419="","",COUNTIFS(RawData[[Date ]],N2419,RawData[Month List],$Q$6,RawData[Tour/Site],$Q$2,RawData[[Picker ID ]],$Q$3,RawData[Checker ID],$Q$4,RawData[[Error Type ]],$Q$5))</f>
        <v/>
      </c>
    </row>
    <row r="2420" spans="15:15" x14ac:dyDescent="0.25">
      <c r="O2420" s="20" t="str">
        <f>IF(N2420="","",COUNTIFS(RawData[[Date ]],N2420,RawData[Month List],$Q$6,RawData[Tour/Site],$Q$2,RawData[[Picker ID ]],$Q$3,RawData[Checker ID],$Q$4,RawData[[Error Type ]],$Q$5))</f>
        <v/>
      </c>
    </row>
    <row r="2421" spans="15:15" x14ac:dyDescent="0.25">
      <c r="O2421" s="20" t="str">
        <f>IF(N2421="","",COUNTIFS(RawData[[Date ]],N2421,RawData[Month List],$Q$6,RawData[Tour/Site],$Q$2,RawData[[Picker ID ]],$Q$3,RawData[Checker ID],$Q$4,RawData[[Error Type ]],$Q$5))</f>
        <v/>
      </c>
    </row>
    <row r="2422" spans="15:15" x14ac:dyDescent="0.25">
      <c r="O2422" s="20" t="str">
        <f>IF(N2422="","",COUNTIFS(RawData[[Date ]],N2422,RawData[Month List],$Q$6,RawData[Tour/Site],$Q$2,RawData[[Picker ID ]],$Q$3,RawData[Checker ID],$Q$4,RawData[[Error Type ]],$Q$5))</f>
        <v/>
      </c>
    </row>
    <row r="2423" spans="15:15" x14ac:dyDescent="0.25">
      <c r="O2423" s="20" t="str">
        <f>IF(N2423="","",COUNTIFS(RawData[[Date ]],N2423,RawData[Month List],$Q$6,RawData[Tour/Site],$Q$2,RawData[[Picker ID ]],$Q$3,RawData[Checker ID],$Q$4,RawData[[Error Type ]],$Q$5))</f>
        <v/>
      </c>
    </row>
    <row r="2424" spans="15:15" x14ac:dyDescent="0.25">
      <c r="O2424" s="20" t="str">
        <f>IF(N2424="","",COUNTIFS(RawData[[Date ]],N2424,RawData[Month List],$Q$6,RawData[Tour/Site],$Q$2,RawData[[Picker ID ]],$Q$3,RawData[Checker ID],$Q$4,RawData[[Error Type ]],$Q$5))</f>
        <v/>
      </c>
    </row>
    <row r="2425" spans="15:15" x14ac:dyDescent="0.25">
      <c r="O2425" s="20" t="str">
        <f>IF(N2425="","",COUNTIFS(RawData[[Date ]],N2425,RawData[Month List],$Q$6,RawData[Tour/Site],$Q$2,RawData[[Picker ID ]],$Q$3,RawData[Checker ID],$Q$4,RawData[[Error Type ]],$Q$5))</f>
        <v/>
      </c>
    </row>
    <row r="2426" spans="15:15" x14ac:dyDescent="0.25">
      <c r="O2426" s="20" t="str">
        <f>IF(N2426="","",COUNTIFS(RawData[[Date ]],N2426,RawData[Month List],$Q$6,RawData[Tour/Site],$Q$2,RawData[[Picker ID ]],$Q$3,RawData[Checker ID],$Q$4,RawData[[Error Type ]],$Q$5))</f>
        <v/>
      </c>
    </row>
    <row r="2427" spans="15:15" x14ac:dyDescent="0.25">
      <c r="O2427" s="20" t="str">
        <f>IF(N2427="","",COUNTIFS(RawData[[Date ]],N2427,RawData[Month List],$Q$6,RawData[Tour/Site],$Q$2,RawData[[Picker ID ]],$Q$3,RawData[Checker ID],$Q$4,RawData[[Error Type ]],$Q$5))</f>
        <v/>
      </c>
    </row>
    <row r="2428" spans="15:15" x14ac:dyDescent="0.25">
      <c r="O2428" s="20" t="str">
        <f>IF(N2428="","",COUNTIFS(RawData[[Date ]],N2428,RawData[Month List],$Q$6,RawData[Tour/Site],$Q$2,RawData[[Picker ID ]],$Q$3,RawData[Checker ID],$Q$4,RawData[[Error Type ]],$Q$5))</f>
        <v/>
      </c>
    </row>
    <row r="2429" spans="15:15" x14ac:dyDescent="0.25">
      <c r="O2429" s="20" t="str">
        <f>IF(N2429="","",COUNTIFS(RawData[[Date ]],N2429,RawData[Month List],$Q$6,RawData[Tour/Site],$Q$2,RawData[[Picker ID ]],$Q$3,RawData[Checker ID],$Q$4,RawData[[Error Type ]],$Q$5))</f>
        <v/>
      </c>
    </row>
    <row r="2430" spans="15:15" x14ac:dyDescent="0.25">
      <c r="O2430" s="20" t="str">
        <f>IF(N2430="","",COUNTIFS(RawData[[Date ]],N2430,RawData[Month List],$Q$6,RawData[Tour/Site],$Q$2,RawData[[Picker ID ]],$Q$3,RawData[Checker ID],$Q$4,RawData[[Error Type ]],$Q$5))</f>
        <v/>
      </c>
    </row>
    <row r="2431" spans="15:15" x14ac:dyDescent="0.25">
      <c r="O2431" s="20" t="str">
        <f>IF(N2431="","",COUNTIFS(RawData[[Date ]],N2431,RawData[Month List],$Q$6,RawData[Tour/Site],$Q$2,RawData[[Picker ID ]],$Q$3,RawData[Checker ID],$Q$4,RawData[[Error Type ]],$Q$5))</f>
        <v/>
      </c>
    </row>
    <row r="2432" spans="15:15" x14ac:dyDescent="0.25">
      <c r="O2432" s="20" t="str">
        <f>IF(N2432="","",COUNTIFS(RawData[[Date ]],N2432,RawData[Month List],$Q$6,RawData[Tour/Site],$Q$2,RawData[[Picker ID ]],$Q$3,RawData[Checker ID],$Q$4,RawData[[Error Type ]],$Q$5))</f>
        <v/>
      </c>
    </row>
    <row r="2433" spans="15:15" x14ac:dyDescent="0.25">
      <c r="O2433" s="20" t="str">
        <f>IF(N2433="","",COUNTIFS(RawData[[Date ]],N2433,RawData[Month List],$Q$6,RawData[Tour/Site],$Q$2,RawData[[Picker ID ]],$Q$3,RawData[Checker ID],$Q$4,RawData[[Error Type ]],$Q$5))</f>
        <v/>
      </c>
    </row>
    <row r="2434" spans="15:15" x14ac:dyDescent="0.25">
      <c r="O2434" s="20" t="str">
        <f>IF(N2434="","",COUNTIFS(RawData[[Date ]],N2434,RawData[Month List],$Q$6,RawData[Tour/Site],$Q$2,RawData[[Picker ID ]],$Q$3,RawData[Checker ID],$Q$4,RawData[[Error Type ]],$Q$5))</f>
        <v/>
      </c>
    </row>
    <row r="2435" spans="15:15" x14ac:dyDescent="0.25">
      <c r="O2435" s="20" t="str">
        <f>IF(N2435="","",COUNTIFS(RawData[[Date ]],N2435,RawData[Month List],$Q$6,RawData[Tour/Site],$Q$2,RawData[[Picker ID ]],$Q$3,RawData[Checker ID],$Q$4,RawData[[Error Type ]],$Q$5))</f>
        <v/>
      </c>
    </row>
    <row r="2436" spans="15:15" x14ac:dyDescent="0.25">
      <c r="O2436" s="20" t="str">
        <f>IF(N2436="","",COUNTIFS(RawData[[Date ]],N2436,RawData[Month List],$Q$6,RawData[Tour/Site],$Q$2,RawData[[Picker ID ]],$Q$3,RawData[Checker ID],$Q$4,RawData[[Error Type ]],$Q$5))</f>
        <v/>
      </c>
    </row>
    <row r="2437" spans="15:15" x14ac:dyDescent="0.25">
      <c r="O2437" s="20" t="str">
        <f>IF(N2437="","",COUNTIFS(RawData[[Date ]],N2437,RawData[Month List],$Q$6,RawData[Tour/Site],$Q$2,RawData[[Picker ID ]],$Q$3,RawData[Checker ID],$Q$4,RawData[[Error Type ]],$Q$5))</f>
        <v/>
      </c>
    </row>
    <row r="2438" spans="15:15" x14ac:dyDescent="0.25">
      <c r="O2438" s="20" t="str">
        <f>IF(N2438="","",COUNTIFS(RawData[[Date ]],N2438,RawData[Month List],$Q$6,RawData[Tour/Site],$Q$2,RawData[[Picker ID ]],$Q$3,RawData[Checker ID],$Q$4,RawData[[Error Type ]],$Q$5))</f>
        <v/>
      </c>
    </row>
    <row r="2439" spans="15:15" x14ac:dyDescent="0.25">
      <c r="O2439" s="20" t="str">
        <f>IF(N2439="","",COUNTIFS(RawData[[Date ]],N2439,RawData[Month List],$Q$6,RawData[Tour/Site],$Q$2,RawData[[Picker ID ]],$Q$3,RawData[Checker ID],$Q$4,RawData[[Error Type ]],$Q$5))</f>
        <v/>
      </c>
    </row>
    <row r="2440" spans="15:15" x14ac:dyDescent="0.25">
      <c r="O2440" s="20" t="str">
        <f>IF(N2440="","",COUNTIFS(RawData[[Date ]],N2440,RawData[Month List],$Q$6,RawData[Tour/Site],$Q$2,RawData[[Picker ID ]],$Q$3,RawData[Checker ID],$Q$4,RawData[[Error Type ]],$Q$5))</f>
        <v/>
      </c>
    </row>
    <row r="2441" spans="15:15" x14ac:dyDescent="0.25">
      <c r="O2441" s="20" t="str">
        <f>IF(N2441="","",COUNTIFS(RawData[[Date ]],N2441,RawData[Month List],$Q$6,RawData[Tour/Site],$Q$2,RawData[[Picker ID ]],$Q$3,RawData[Checker ID],$Q$4,RawData[[Error Type ]],$Q$5))</f>
        <v/>
      </c>
    </row>
    <row r="2442" spans="15:15" x14ac:dyDescent="0.25">
      <c r="O2442" s="20" t="str">
        <f>IF(N2442="","",COUNTIFS(RawData[[Date ]],N2442,RawData[Month List],$Q$6,RawData[Tour/Site],$Q$2,RawData[[Picker ID ]],$Q$3,RawData[Checker ID],$Q$4,RawData[[Error Type ]],$Q$5))</f>
        <v/>
      </c>
    </row>
    <row r="2443" spans="15:15" x14ac:dyDescent="0.25">
      <c r="O2443" s="20" t="str">
        <f>IF(N2443="","",COUNTIFS(RawData[[Date ]],N2443,RawData[Month List],$Q$6,RawData[Tour/Site],$Q$2,RawData[[Picker ID ]],$Q$3,RawData[Checker ID],$Q$4,RawData[[Error Type ]],$Q$5))</f>
        <v/>
      </c>
    </row>
    <row r="2444" spans="15:15" x14ac:dyDescent="0.25">
      <c r="O2444" s="20" t="str">
        <f>IF(N2444="","",COUNTIFS(RawData[[Date ]],N2444,RawData[Month List],$Q$6,RawData[Tour/Site],$Q$2,RawData[[Picker ID ]],$Q$3,RawData[Checker ID],$Q$4,RawData[[Error Type ]],$Q$5))</f>
        <v/>
      </c>
    </row>
    <row r="2445" spans="15:15" x14ac:dyDescent="0.25">
      <c r="O2445" s="20" t="str">
        <f>IF(N2445="","",COUNTIFS(RawData[[Date ]],N2445,RawData[Month List],$Q$6,RawData[Tour/Site],$Q$2,RawData[[Picker ID ]],$Q$3,RawData[Checker ID],$Q$4,RawData[[Error Type ]],$Q$5))</f>
        <v/>
      </c>
    </row>
    <row r="2446" spans="15:15" x14ac:dyDescent="0.25">
      <c r="O2446" s="20" t="str">
        <f>IF(N2446="","",COUNTIFS(RawData[[Date ]],N2446,RawData[Month List],$Q$6,RawData[Tour/Site],$Q$2,RawData[[Picker ID ]],$Q$3,RawData[Checker ID],$Q$4,RawData[[Error Type ]],$Q$5))</f>
        <v/>
      </c>
    </row>
    <row r="2447" spans="15:15" x14ac:dyDescent="0.25">
      <c r="O2447" s="20" t="str">
        <f>IF(N2447="","",COUNTIFS(RawData[[Date ]],N2447,RawData[Month List],$Q$6,RawData[Tour/Site],$Q$2,RawData[[Picker ID ]],$Q$3,RawData[Checker ID],$Q$4,RawData[[Error Type ]],$Q$5))</f>
        <v/>
      </c>
    </row>
    <row r="2448" spans="15:15" x14ac:dyDescent="0.25">
      <c r="O2448" s="20" t="str">
        <f>IF(N2448="","",COUNTIFS(RawData[[Date ]],N2448,RawData[Month List],$Q$6,RawData[Tour/Site],$Q$2,RawData[[Picker ID ]],$Q$3,RawData[Checker ID],$Q$4,RawData[[Error Type ]],$Q$5))</f>
        <v/>
      </c>
    </row>
    <row r="2449" spans="15:15" x14ac:dyDescent="0.25">
      <c r="O2449" s="20" t="str">
        <f>IF(N2449="","",COUNTIFS(RawData[[Date ]],N2449,RawData[Month List],$Q$6,RawData[Tour/Site],$Q$2,RawData[[Picker ID ]],$Q$3,RawData[Checker ID],$Q$4,RawData[[Error Type ]],$Q$5))</f>
        <v/>
      </c>
    </row>
    <row r="2450" spans="15:15" x14ac:dyDescent="0.25">
      <c r="O2450" s="20" t="str">
        <f>IF(N2450="","",COUNTIFS(RawData[[Date ]],N2450,RawData[Month List],$Q$6,RawData[Tour/Site],$Q$2,RawData[[Picker ID ]],$Q$3,RawData[Checker ID],$Q$4,RawData[[Error Type ]],$Q$5))</f>
        <v/>
      </c>
    </row>
    <row r="2451" spans="15:15" x14ac:dyDescent="0.25">
      <c r="O2451" s="20" t="str">
        <f>IF(N2451="","",COUNTIFS(RawData[[Date ]],N2451,RawData[Month List],$Q$6,RawData[Tour/Site],$Q$2,RawData[[Picker ID ]],$Q$3,RawData[Checker ID],$Q$4,RawData[[Error Type ]],$Q$5))</f>
        <v/>
      </c>
    </row>
    <row r="2452" spans="15:15" x14ac:dyDescent="0.25">
      <c r="O2452" s="20" t="str">
        <f>IF(N2452="","",COUNTIFS(RawData[[Date ]],N2452,RawData[Month List],$Q$6,RawData[Tour/Site],$Q$2,RawData[[Picker ID ]],$Q$3,RawData[Checker ID],$Q$4,RawData[[Error Type ]],$Q$5))</f>
        <v/>
      </c>
    </row>
    <row r="2453" spans="15:15" x14ac:dyDescent="0.25">
      <c r="O2453" s="20" t="str">
        <f>IF(N2453="","",COUNTIFS(RawData[[Date ]],N2453,RawData[Month List],$Q$6,RawData[Tour/Site],$Q$2,RawData[[Picker ID ]],$Q$3,RawData[Checker ID],$Q$4,RawData[[Error Type ]],$Q$5))</f>
        <v/>
      </c>
    </row>
    <row r="2454" spans="15:15" x14ac:dyDescent="0.25">
      <c r="O2454" s="20" t="str">
        <f>IF(N2454="","",COUNTIFS(RawData[[Date ]],N2454,RawData[Month List],$Q$6,RawData[Tour/Site],$Q$2,RawData[[Picker ID ]],$Q$3,RawData[Checker ID],$Q$4,RawData[[Error Type ]],$Q$5))</f>
        <v/>
      </c>
    </row>
    <row r="2455" spans="15:15" x14ac:dyDescent="0.25">
      <c r="O2455" s="20" t="str">
        <f>IF(N2455="","",COUNTIFS(RawData[[Date ]],N2455,RawData[Month List],$Q$6,RawData[Tour/Site],$Q$2,RawData[[Picker ID ]],$Q$3,RawData[Checker ID],$Q$4,RawData[[Error Type ]],$Q$5))</f>
        <v/>
      </c>
    </row>
    <row r="2456" spans="15:15" x14ac:dyDescent="0.25">
      <c r="O2456" s="20" t="str">
        <f>IF(N2456="","",COUNTIFS(RawData[[Date ]],N2456,RawData[Month List],$Q$6,RawData[Tour/Site],$Q$2,RawData[[Picker ID ]],$Q$3,RawData[Checker ID],$Q$4,RawData[[Error Type ]],$Q$5))</f>
        <v/>
      </c>
    </row>
    <row r="2457" spans="15:15" x14ac:dyDescent="0.25">
      <c r="O2457" s="20" t="str">
        <f>IF(N2457="","",COUNTIFS(RawData[[Date ]],N2457,RawData[Month List],$Q$6,RawData[Tour/Site],$Q$2,RawData[[Picker ID ]],$Q$3,RawData[Checker ID],$Q$4,RawData[[Error Type ]],$Q$5))</f>
        <v/>
      </c>
    </row>
    <row r="2458" spans="15:15" x14ac:dyDescent="0.25">
      <c r="O2458" s="20" t="str">
        <f>IF(N2458="","",COUNTIFS(RawData[[Date ]],N2458,RawData[Month List],$Q$6,RawData[Tour/Site],$Q$2,RawData[[Picker ID ]],$Q$3,RawData[Checker ID],$Q$4,RawData[[Error Type ]],$Q$5))</f>
        <v/>
      </c>
    </row>
    <row r="2459" spans="15:15" x14ac:dyDescent="0.25">
      <c r="O2459" s="20" t="str">
        <f>IF(N2459="","",COUNTIFS(RawData[[Date ]],N2459,RawData[Month List],$Q$6,RawData[Tour/Site],$Q$2,RawData[[Picker ID ]],$Q$3,RawData[Checker ID],$Q$4,RawData[[Error Type ]],$Q$5))</f>
        <v/>
      </c>
    </row>
    <row r="2460" spans="15:15" x14ac:dyDescent="0.25">
      <c r="O2460" s="20" t="str">
        <f>IF(N2460="","",COUNTIFS(RawData[[Date ]],N2460,RawData[Month List],$Q$6,RawData[Tour/Site],$Q$2,RawData[[Picker ID ]],$Q$3,RawData[Checker ID],$Q$4,RawData[[Error Type ]],$Q$5))</f>
        <v/>
      </c>
    </row>
    <row r="2461" spans="15:15" x14ac:dyDescent="0.25">
      <c r="O2461" s="20" t="str">
        <f>IF(N2461="","",COUNTIFS(RawData[[Date ]],N2461,RawData[Month List],$Q$6,RawData[Tour/Site],$Q$2,RawData[[Picker ID ]],$Q$3,RawData[Checker ID],$Q$4,RawData[[Error Type ]],$Q$5))</f>
        <v/>
      </c>
    </row>
    <row r="2462" spans="15:15" x14ac:dyDescent="0.25">
      <c r="O2462" s="20" t="str">
        <f>IF(N2462="","",COUNTIFS(RawData[[Date ]],N2462,RawData[Month List],$Q$6,RawData[Tour/Site],$Q$2,RawData[[Picker ID ]],$Q$3,RawData[Checker ID],$Q$4,RawData[[Error Type ]],$Q$5))</f>
        <v/>
      </c>
    </row>
    <row r="2463" spans="15:15" x14ac:dyDescent="0.25">
      <c r="O2463" s="20" t="str">
        <f>IF(N2463="","",COUNTIFS(RawData[[Date ]],N2463,RawData[Month List],$Q$6,RawData[Tour/Site],$Q$2,RawData[[Picker ID ]],$Q$3,RawData[Checker ID],$Q$4,RawData[[Error Type ]],$Q$5))</f>
        <v/>
      </c>
    </row>
    <row r="2464" spans="15:15" x14ac:dyDescent="0.25">
      <c r="O2464" s="20" t="str">
        <f>IF(N2464="","",COUNTIFS(RawData[[Date ]],N2464,RawData[Month List],$Q$6,RawData[Tour/Site],$Q$2,RawData[[Picker ID ]],$Q$3,RawData[Checker ID],$Q$4,RawData[[Error Type ]],$Q$5))</f>
        <v/>
      </c>
    </row>
    <row r="2465" spans="15:15" x14ac:dyDescent="0.25">
      <c r="O2465" s="20" t="str">
        <f>IF(N2465="","",COUNTIFS(RawData[[Date ]],N2465,RawData[Month List],$Q$6,RawData[Tour/Site],$Q$2,RawData[[Picker ID ]],$Q$3,RawData[Checker ID],$Q$4,RawData[[Error Type ]],$Q$5))</f>
        <v/>
      </c>
    </row>
    <row r="2466" spans="15:15" x14ac:dyDescent="0.25">
      <c r="O2466" s="20" t="str">
        <f>IF(N2466="","",COUNTIFS(RawData[[Date ]],N2466,RawData[Month List],$Q$6,RawData[Tour/Site],$Q$2,RawData[[Picker ID ]],$Q$3,RawData[Checker ID],$Q$4,RawData[[Error Type ]],$Q$5))</f>
        <v/>
      </c>
    </row>
    <row r="2467" spans="15:15" x14ac:dyDescent="0.25">
      <c r="O2467" s="20" t="str">
        <f>IF(N2467="","",COUNTIFS(RawData[[Date ]],N2467,RawData[Month List],$Q$6,RawData[Tour/Site],$Q$2,RawData[[Picker ID ]],$Q$3,RawData[Checker ID],$Q$4,RawData[[Error Type ]],$Q$5))</f>
        <v/>
      </c>
    </row>
    <row r="2468" spans="15:15" x14ac:dyDescent="0.25">
      <c r="O2468" s="20" t="str">
        <f>IF(N2468="","",COUNTIFS(RawData[[Date ]],N2468,RawData[Month List],$Q$6,RawData[Tour/Site],$Q$2,RawData[[Picker ID ]],$Q$3,RawData[Checker ID],$Q$4,RawData[[Error Type ]],$Q$5))</f>
        <v/>
      </c>
    </row>
    <row r="2469" spans="15:15" x14ac:dyDescent="0.25">
      <c r="O2469" s="20" t="str">
        <f>IF(N2469="","",COUNTIFS(RawData[[Date ]],N2469,RawData[Month List],$Q$6,RawData[Tour/Site],$Q$2,RawData[[Picker ID ]],$Q$3,RawData[Checker ID],$Q$4,RawData[[Error Type ]],$Q$5))</f>
        <v/>
      </c>
    </row>
    <row r="2470" spans="15:15" x14ac:dyDescent="0.25">
      <c r="O2470" s="20" t="str">
        <f>IF(N2470="","",COUNTIFS(RawData[[Date ]],N2470,RawData[Month List],$Q$6,RawData[Tour/Site],$Q$2,RawData[[Picker ID ]],$Q$3,RawData[Checker ID],$Q$4,RawData[[Error Type ]],$Q$5))</f>
        <v/>
      </c>
    </row>
    <row r="2471" spans="15:15" x14ac:dyDescent="0.25">
      <c r="O2471" s="20" t="str">
        <f>IF(N2471="","",COUNTIFS(RawData[[Date ]],N2471,RawData[Month List],$Q$6,RawData[Tour/Site],$Q$2,RawData[[Picker ID ]],$Q$3,RawData[Checker ID],$Q$4,RawData[[Error Type ]],$Q$5))</f>
        <v/>
      </c>
    </row>
    <row r="2472" spans="15:15" x14ac:dyDescent="0.25">
      <c r="O2472" s="20" t="str">
        <f>IF(N2472="","",COUNTIFS(RawData[[Date ]],N2472,RawData[Month List],$Q$6,RawData[Tour/Site],$Q$2,RawData[[Picker ID ]],$Q$3,RawData[Checker ID],$Q$4,RawData[[Error Type ]],$Q$5))</f>
        <v/>
      </c>
    </row>
    <row r="2473" spans="15:15" x14ac:dyDescent="0.25">
      <c r="O2473" s="20" t="str">
        <f>IF(N2473="","",COUNTIFS(RawData[[Date ]],N2473,RawData[Month List],$Q$6,RawData[Tour/Site],$Q$2,RawData[[Picker ID ]],$Q$3,RawData[Checker ID],$Q$4,RawData[[Error Type ]],$Q$5))</f>
        <v/>
      </c>
    </row>
    <row r="2474" spans="15:15" x14ac:dyDescent="0.25">
      <c r="O2474" s="20" t="str">
        <f>IF(N2474="","",COUNTIFS(RawData[[Date ]],N2474,RawData[Month List],$Q$6,RawData[Tour/Site],$Q$2,RawData[[Picker ID ]],$Q$3,RawData[Checker ID],$Q$4,RawData[[Error Type ]],$Q$5))</f>
        <v/>
      </c>
    </row>
    <row r="2475" spans="15:15" x14ac:dyDescent="0.25">
      <c r="O2475" s="20" t="str">
        <f>IF(N2475="","",COUNTIFS(RawData[[Date ]],N2475,RawData[Month List],$Q$6,RawData[Tour/Site],$Q$2,RawData[[Picker ID ]],$Q$3,RawData[Checker ID],$Q$4,RawData[[Error Type ]],$Q$5))</f>
        <v/>
      </c>
    </row>
    <row r="2476" spans="15:15" x14ac:dyDescent="0.25">
      <c r="O2476" s="20" t="str">
        <f>IF(N2476="","",COUNTIFS(RawData[[Date ]],N2476,RawData[Month List],$Q$6,RawData[Tour/Site],$Q$2,RawData[[Picker ID ]],$Q$3,RawData[Checker ID],$Q$4,RawData[[Error Type ]],$Q$5))</f>
        <v/>
      </c>
    </row>
    <row r="2477" spans="15:15" x14ac:dyDescent="0.25">
      <c r="O2477" s="20" t="str">
        <f>IF(N2477="","",COUNTIFS(RawData[[Date ]],N2477,RawData[Month List],$Q$6,RawData[Tour/Site],$Q$2,RawData[[Picker ID ]],$Q$3,RawData[Checker ID],$Q$4,RawData[[Error Type ]],$Q$5))</f>
        <v/>
      </c>
    </row>
    <row r="2478" spans="15:15" x14ac:dyDescent="0.25">
      <c r="O2478" s="20" t="str">
        <f>IF(N2478="","",COUNTIFS(RawData[[Date ]],N2478,RawData[Month List],$Q$6,RawData[Tour/Site],$Q$2,RawData[[Picker ID ]],$Q$3,RawData[Checker ID],$Q$4,RawData[[Error Type ]],$Q$5))</f>
        <v/>
      </c>
    </row>
    <row r="2479" spans="15:15" x14ac:dyDescent="0.25">
      <c r="O2479" s="20" t="str">
        <f>IF(N2479="","",COUNTIFS(RawData[[Date ]],N2479,RawData[Month List],$Q$6,RawData[Tour/Site],$Q$2,RawData[[Picker ID ]],$Q$3,RawData[Checker ID],$Q$4,RawData[[Error Type ]],$Q$5))</f>
        <v/>
      </c>
    </row>
    <row r="2480" spans="15:15" x14ac:dyDescent="0.25">
      <c r="O2480" s="20" t="str">
        <f>IF(N2480="","",COUNTIFS(RawData[[Date ]],N2480,RawData[Month List],$Q$6,RawData[Tour/Site],$Q$2,RawData[[Picker ID ]],$Q$3,RawData[Checker ID],$Q$4,RawData[[Error Type ]],$Q$5))</f>
        <v/>
      </c>
    </row>
    <row r="2481" spans="15:15" x14ac:dyDescent="0.25">
      <c r="O2481" s="20" t="str">
        <f>IF(N2481="","",COUNTIFS(RawData[[Date ]],N2481,RawData[Month List],$Q$6,RawData[Tour/Site],$Q$2,RawData[[Picker ID ]],$Q$3,RawData[Checker ID],$Q$4,RawData[[Error Type ]],$Q$5))</f>
        <v/>
      </c>
    </row>
    <row r="2482" spans="15:15" x14ac:dyDescent="0.25">
      <c r="O2482" s="20" t="str">
        <f>IF(N2482="","",COUNTIFS(RawData[[Date ]],N2482,RawData[Month List],$Q$6,RawData[Tour/Site],$Q$2,RawData[[Picker ID ]],$Q$3,RawData[Checker ID],$Q$4,RawData[[Error Type ]],$Q$5))</f>
        <v/>
      </c>
    </row>
    <row r="2483" spans="15:15" x14ac:dyDescent="0.25">
      <c r="O2483" s="20" t="str">
        <f>IF(N2483="","",COUNTIFS(RawData[[Date ]],N2483,RawData[Month List],$Q$6,RawData[Tour/Site],$Q$2,RawData[[Picker ID ]],$Q$3,RawData[Checker ID],$Q$4,RawData[[Error Type ]],$Q$5))</f>
        <v/>
      </c>
    </row>
    <row r="2484" spans="15:15" x14ac:dyDescent="0.25">
      <c r="O2484" s="20" t="str">
        <f>IF(N2484="","",COUNTIFS(RawData[[Date ]],N2484,RawData[Month List],$Q$6,RawData[Tour/Site],$Q$2,RawData[[Picker ID ]],$Q$3,RawData[Checker ID],$Q$4,RawData[[Error Type ]],$Q$5))</f>
        <v/>
      </c>
    </row>
    <row r="2485" spans="15:15" x14ac:dyDescent="0.25">
      <c r="O2485" s="20" t="str">
        <f>IF(N2485="","",COUNTIFS(RawData[[Date ]],N2485,RawData[Month List],$Q$6,RawData[Tour/Site],$Q$2,RawData[[Picker ID ]],$Q$3,RawData[Checker ID],$Q$4,RawData[[Error Type ]],$Q$5))</f>
        <v/>
      </c>
    </row>
    <row r="2486" spans="15:15" x14ac:dyDescent="0.25">
      <c r="O2486" s="20" t="str">
        <f>IF(N2486="","",COUNTIFS(RawData[[Date ]],N2486,RawData[Month List],$Q$6,RawData[Tour/Site],$Q$2,RawData[[Picker ID ]],$Q$3,RawData[Checker ID],$Q$4,RawData[[Error Type ]],$Q$5))</f>
        <v/>
      </c>
    </row>
    <row r="2487" spans="15:15" x14ac:dyDescent="0.25">
      <c r="O2487" s="20" t="str">
        <f>IF(N2487="","",COUNTIFS(RawData[[Date ]],N2487,RawData[Month List],$Q$6,RawData[Tour/Site],$Q$2,RawData[[Picker ID ]],$Q$3,RawData[Checker ID],$Q$4,RawData[[Error Type ]],$Q$5))</f>
        <v/>
      </c>
    </row>
    <row r="2488" spans="15:15" x14ac:dyDescent="0.25">
      <c r="O2488" s="20" t="str">
        <f>IF(N2488="","",COUNTIFS(RawData[[Date ]],N2488,RawData[Month List],$Q$6,RawData[Tour/Site],$Q$2,RawData[[Picker ID ]],$Q$3,RawData[Checker ID],$Q$4,RawData[[Error Type ]],$Q$5))</f>
        <v/>
      </c>
    </row>
    <row r="2489" spans="15:15" x14ac:dyDescent="0.25">
      <c r="O2489" s="20" t="str">
        <f>IF(N2489="","",COUNTIFS(RawData[[Date ]],N2489,RawData[Month List],$Q$6,RawData[Tour/Site],$Q$2,RawData[[Picker ID ]],$Q$3,RawData[Checker ID],$Q$4,RawData[[Error Type ]],$Q$5))</f>
        <v/>
      </c>
    </row>
    <row r="2490" spans="15:15" x14ac:dyDescent="0.25">
      <c r="O2490" s="20" t="str">
        <f>IF(N2490="","",COUNTIFS(RawData[[Date ]],N2490,RawData[Month List],$Q$6,RawData[Tour/Site],$Q$2,RawData[[Picker ID ]],$Q$3,RawData[Checker ID],$Q$4,RawData[[Error Type ]],$Q$5))</f>
        <v/>
      </c>
    </row>
    <row r="2491" spans="15:15" x14ac:dyDescent="0.25">
      <c r="O2491" s="20" t="str">
        <f>IF(N2491="","",COUNTIFS(RawData[[Date ]],N2491,RawData[Month List],$Q$6,RawData[Tour/Site],$Q$2,RawData[[Picker ID ]],$Q$3,RawData[Checker ID],$Q$4,RawData[[Error Type ]],$Q$5))</f>
        <v/>
      </c>
    </row>
    <row r="2492" spans="15:15" x14ac:dyDescent="0.25">
      <c r="O2492" s="20" t="str">
        <f>IF(N2492="","",COUNTIFS(RawData[[Date ]],N2492,RawData[Month List],$Q$6,RawData[Tour/Site],$Q$2,RawData[[Picker ID ]],$Q$3,RawData[Checker ID],$Q$4,RawData[[Error Type ]],$Q$5))</f>
        <v/>
      </c>
    </row>
    <row r="2493" spans="15:15" x14ac:dyDescent="0.25">
      <c r="O2493" s="20" t="str">
        <f>IF(N2493="","",COUNTIFS(RawData[[Date ]],N2493,RawData[Month List],$Q$6,RawData[Tour/Site],$Q$2,RawData[[Picker ID ]],$Q$3,RawData[Checker ID],$Q$4,RawData[[Error Type ]],$Q$5))</f>
        <v/>
      </c>
    </row>
    <row r="2494" spans="15:15" x14ac:dyDescent="0.25">
      <c r="O2494" s="20" t="str">
        <f>IF(N2494="","",COUNTIFS(RawData[[Date ]],N2494,RawData[Month List],$Q$6,RawData[Tour/Site],$Q$2,RawData[[Picker ID ]],$Q$3,RawData[Checker ID],$Q$4,RawData[[Error Type ]],$Q$5))</f>
        <v/>
      </c>
    </row>
    <row r="2495" spans="15:15" x14ac:dyDescent="0.25">
      <c r="O2495" s="20" t="str">
        <f>IF(N2495="","",COUNTIFS(RawData[[Date ]],N2495,RawData[Month List],$Q$6,RawData[Tour/Site],$Q$2,RawData[[Picker ID ]],$Q$3,RawData[Checker ID],$Q$4,RawData[[Error Type ]],$Q$5))</f>
        <v/>
      </c>
    </row>
    <row r="2496" spans="15:15" x14ac:dyDescent="0.25">
      <c r="O2496" s="20" t="str">
        <f>IF(N2496="","",COUNTIFS(RawData[[Date ]],N2496,RawData[Month List],$Q$6,RawData[Tour/Site],$Q$2,RawData[[Picker ID ]],$Q$3,RawData[Checker ID],$Q$4,RawData[[Error Type ]],$Q$5))</f>
        <v/>
      </c>
    </row>
    <row r="2497" spans="15:15" x14ac:dyDescent="0.25">
      <c r="O2497" s="20" t="str">
        <f>IF(N2497="","",COUNTIFS(RawData[[Date ]],N2497,RawData[Month List],$Q$6,RawData[Tour/Site],$Q$2,RawData[[Picker ID ]],$Q$3,RawData[Checker ID],$Q$4,RawData[[Error Type ]],$Q$5))</f>
        <v/>
      </c>
    </row>
    <row r="2498" spans="15:15" x14ac:dyDescent="0.25">
      <c r="O2498" s="20" t="str">
        <f>IF(N2498="","",COUNTIFS(RawData[[Date ]],N2498,RawData[Month List],$Q$6,RawData[Tour/Site],$Q$2,RawData[[Picker ID ]],$Q$3,RawData[Checker ID],$Q$4,RawData[[Error Type ]],$Q$5))</f>
        <v/>
      </c>
    </row>
    <row r="2499" spans="15:15" x14ac:dyDescent="0.25">
      <c r="O2499" s="20" t="str">
        <f>IF(N2499="","",COUNTIFS(RawData[[Date ]],N2499,RawData[Month List],$Q$6,RawData[Tour/Site],$Q$2,RawData[[Picker ID ]],$Q$3,RawData[Checker ID],$Q$4,RawData[[Error Type ]],$Q$5))</f>
        <v/>
      </c>
    </row>
    <row r="2500" spans="15:15" x14ac:dyDescent="0.25">
      <c r="O2500" s="20" t="str">
        <f>IF(N2500="","",COUNTIFS(RawData[[Date ]],N2500,RawData[Month List],$Q$6,RawData[Tour/Site],$Q$2,RawData[[Picker ID ]],$Q$3,RawData[Checker ID],$Q$4,RawData[[Error Type ]],$Q$5))</f>
        <v/>
      </c>
    </row>
    <row r="2501" spans="15:15" x14ac:dyDescent="0.25">
      <c r="O2501" s="20" t="str">
        <f>IF(N2501="","",COUNTIFS(RawData[[Date ]],N2501,RawData[Month List],$Q$6,RawData[Tour/Site],$Q$2,RawData[[Picker ID ]],$Q$3,RawData[Checker ID],$Q$4,RawData[[Error Type ]],$Q$5))</f>
        <v/>
      </c>
    </row>
    <row r="2502" spans="15:15" x14ac:dyDescent="0.25">
      <c r="O2502" s="20" t="str">
        <f>IF(N2502="","",COUNTIFS(RawData[[Date ]],N2502,RawData[Month List],$Q$6,RawData[Tour/Site],$Q$2,RawData[[Picker ID ]],$Q$3,RawData[Checker ID],$Q$4,RawData[[Error Type ]],$Q$5))</f>
        <v/>
      </c>
    </row>
    <row r="2503" spans="15:15" x14ac:dyDescent="0.25">
      <c r="O2503" s="20" t="str">
        <f>IF(N2503="","",COUNTIFS(RawData[[Date ]],N2503,RawData[Month List],$Q$6,RawData[Tour/Site],$Q$2,RawData[[Picker ID ]],$Q$3,RawData[Checker ID],$Q$4,RawData[[Error Type ]],$Q$5))</f>
        <v/>
      </c>
    </row>
    <row r="2504" spans="15:15" x14ac:dyDescent="0.25">
      <c r="O2504" s="20" t="str">
        <f>IF(N2504="","",COUNTIFS(RawData[[Date ]],N2504,RawData[Month List],$Q$6,RawData[Tour/Site],$Q$2,RawData[[Picker ID ]],$Q$3,RawData[Checker ID],$Q$4,RawData[[Error Type ]],$Q$5))</f>
        <v/>
      </c>
    </row>
    <row r="2505" spans="15:15" x14ac:dyDescent="0.25">
      <c r="O2505" s="20" t="str">
        <f>IF(N2505="","",COUNTIFS(RawData[[Date ]],N2505,RawData[Month List],$Q$6,RawData[Tour/Site],$Q$2,RawData[[Picker ID ]],$Q$3,RawData[Checker ID],$Q$4,RawData[[Error Type ]],$Q$5))</f>
        <v/>
      </c>
    </row>
    <row r="2506" spans="15:15" x14ac:dyDescent="0.25">
      <c r="O2506" s="20" t="str">
        <f>IF(N2506="","",COUNTIFS(RawData[[Date ]],N2506,RawData[Month List],$Q$6,RawData[Tour/Site],$Q$2,RawData[[Picker ID ]],$Q$3,RawData[Checker ID],$Q$4,RawData[[Error Type ]],$Q$5))</f>
        <v/>
      </c>
    </row>
    <row r="2507" spans="15:15" x14ac:dyDescent="0.25">
      <c r="O2507" s="20" t="str">
        <f>IF(N2507="","",COUNTIFS(RawData[[Date ]],N2507,RawData[Month List],$Q$6,RawData[Tour/Site],$Q$2,RawData[[Picker ID ]],$Q$3,RawData[Checker ID],$Q$4,RawData[[Error Type ]],$Q$5))</f>
        <v/>
      </c>
    </row>
    <row r="2508" spans="15:15" x14ac:dyDescent="0.25">
      <c r="O2508" s="20" t="str">
        <f>IF(N2508="","",COUNTIFS(RawData[[Date ]],N2508,RawData[Month List],$Q$6,RawData[Tour/Site],$Q$2,RawData[[Picker ID ]],$Q$3,RawData[Checker ID],$Q$4,RawData[[Error Type ]],$Q$5))</f>
        <v/>
      </c>
    </row>
    <row r="2509" spans="15:15" x14ac:dyDescent="0.25">
      <c r="O2509" s="20" t="str">
        <f>IF(N2509="","",COUNTIFS(RawData[[Date ]],N2509,RawData[Month List],$Q$6,RawData[Tour/Site],$Q$2,RawData[[Picker ID ]],$Q$3,RawData[Checker ID],$Q$4,RawData[[Error Type ]],$Q$5))</f>
        <v/>
      </c>
    </row>
    <row r="2510" spans="15:15" x14ac:dyDescent="0.25">
      <c r="O2510" s="20" t="str">
        <f>IF(N2510="","",COUNTIFS(RawData[[Date ]],N2510,RawData[Month List],$Q$6,RawData[Tour/Site],$Q$2,RawData[[Picker ID ]],$Q$3,RawData[Checker ID],$Q$4,RawData[[Error Type ]],$Q$5))</f>
        <v/>
      </c>
    </row>
    <row r="2511" spans="15:15" x14ac:dyDescent="0.25">
      <c r="O2511" s="20" t="str">
        <f>IF(N2511="","",COUNTIFS(RawData[[Date ]],N2511,RawData[Month List],$Q$6,RawData[Tour/Site],$Q$2,RawData[[Picker ID ]],$Q$3,RawData[Checker ID],$Q$4,RawData[[Error Type ]],$Q$5))</f>
        <v/>
      </c>
    </row>
    <row r="2512" spans="15:15" x14ac:dyDescent="0.25">
      <c r="O2512" s="20" t="str">
        <f>IF(N2512="","",COUNTIFS(RawData[[Date ]],N2512,RawData[Month List],$Q$6,RawData[Tour/Site],$Q$2,RawData[[Picker ID ]],$Q$3,RawData[Checker ID],$Q$4,RawData[[Error Type ]],$Q$5))</f>
        <v/>
      </c>
    </row>
    <row r="2513" spans="15:15" x14ac:dyDescent="0.25">
      <c r="O2513" s="20" t="str">
        <f>IF(N2513="","",COUNTIFS(RawData[[Date ]],N2513,RawData[Month List],$Q$6,RawData[Tour/Site],$Q$2,RawData[[Picker ID ]],$Q$3,RawData[Checker ID],$Q$4,RawData[[Error Type ]],$Q$5))</f>
        <v/>
      </c>
    </row>
    <row r="2514" spans="15:15" x14ac:dyDescent="0.25">
      <c r="O2514" s="20" t="str">
        <f>IF(N2514="","",COUNTIFS(RawData[[Date ]],N2514,RawData[Month List],$Q$6,RawData[Tour/Site],$Q$2,RawData[[Picker ID ]],$Q$3,RawData[Checker ID],$Q$4,RawData[[Error Type ]],$Q$5))</f>
        <v/>
      </c>
    </row>
    <row r="2515" spans="15:15" x14ac:dyDescent="0.25">
      <c r="O2515" s="20" t="str">
        <f>IF(N2515="","",COUNTIFS(RawData[[Date ]],N2515,RawData[Month List],$Q$6,RawData[Tour/Site],$Q$2,RawData[[Picker ID ]],$Q$3,RawData[Checker ID],$Q$4,RawData[[Error Type ]],$Q$5))</f>
        <v/>
      </c>
    </row>
    <row r="2516" spans="15:15" x14ac:dyDescent="0.25">
      <c r="O2516" s="20" t="str">
        <f>IF(N2516="","",COUNTIFS(RawData[[Date ]],N2516,RawData[Month List],$Q$6,RawData[Tour/Site],$Q$2,RawData[[Picker ID ]],$Q$3,RawData[Checker ID],$Q$4,RawData[[Error Type ]],$Q$5))</f>
        <v/>
      </c>
    </row>
    <row r="2517" spans="15:15" x14ac:dyDescent="0.25">
      <c r="O2517" s="20" t="str">
        <f>IF(N2517="","",COUNTIFS(RawData[[Date ]],N2517,RawData[Month List],$Q$6,RawData[Tour/Site],$Q$2,RawData[[Picker ID ]],$Q$3,RawData[Checker ID],$Q$4,RawData[[Error Type ]],$Q$5))</f>
        <v/>
      </c>
    </row>
    <row r="2518" spans="15:15" x14ac:dyDescent="0.25">
      <c r="O2518" s="20" t="str">
        <f>IF(N2518="","",COUNTIFS(RawData[[Date ]],N2518,RawData[Month List],$Q$6,RawData[Tour/Site],$Q$2,RawData[[Picker ID ]],$Q$3,RawData[Checker ID],$Q$4,RawData[[Error Type ]],$Q$5))</f>
        <v/>
      </c>
    </row>
    <row r="2519" spans="15:15" x14ac:dyDescent="0.25">
      <c r="O2519" s="20" t="str">
        <f>IF(N2519="","",COUNTIFS(RawData[[Date ]],N2519,RawData[Month List],$Q$6,RawData[Tour/Site],$Q$2,RawData[[Picker ID ]],$Q$3,RawData[Checker ID],$Q$4,RawData[[Error Type ]],$Q$5))</f>
        <v/>
      </c>
    </row>
    <row r="2520" spans="15:15" x14ac:dyDescent="0.25">
      <c r="O2520" s="20" t="str">
        <f>IF(N2520="","",COUNTIFS(RawData[[Date ]],N2520,RawData[Month List],$Q$6,RawData[Tour/Site],$Q$2,RawData[[Picker ID ]],$Q$3,RawData[Checker ID],$Q$4,RawData[[Error Type ]],$Q$5))</f>
        <v/>
      </c>
    </row>
    <row r="2521" spans="15:15" x14ac:dyDescent="0.25">
      <c r="O2521" s="20" t="str">
        <f>IF(N2521="","",COUNTIFS(RawData[[Date ]],N2521,RawData[Month List],$Q$6,RawData[Tour/Site],$Q$2,RawData[[Picker ID ]],$Q$3,RawData[Checker ID],$Q$4,RawData[[Error Type ]],$Q$5))</f>
        <v/>
      </c>
    </row>
    <row r="2522" spans="15:15" x14ac:dyDescent="0.25">
      <c r="O2522" s="20" t="str">
        <f>IF(N2522="","",COUNTIFS(RawData[[Date ]],N2522,RawData[Month List],$Q$6,RawData[Tour/Site],$Q$2,RawData[[Picker ID ]],$Q$3,RawData[Checker ID],$Q$4,RawData[[Error Type ]],$Q$5))</f>
        <v/>
      </c>
    </row>
    <row r="2523" spans="15:15" x14ac:dyDescent="0.25">
      <c r="O2523" s="20" t="str">
        <f>IF(N2523="","",COUNTIFS(RawData[[Date ]],N2523,RawData[Month List],$Q$6,RawData[Tour/Site],$Q$2,RawData[[Picker ID ]],$Q$3,RawData[Checker ID],$Q$4,RawData[[Error Type ]],$Q$5))</f>
        <v/>
      </c>
    </row>
    <row r="2524" spans="15:15" x14ac:dyDescent="0.25">
      <c r="O2524" s="20" t="str">
        <f>IF(N2524="","",COUNTIFS(RawData[[Date ]],N2524,RawData[Month List],$Q$6,RawData[Tour/Site],$Q$2,RawData[[Picker ID ]],$Q$3,RawData[Checker ID],$Q$4,RawData[[Error Type ]],$Q$5))</f>
        <v/>
      </c>
    </row>
    <row r="2525" spans="15:15" x14ac:dyDescent="0.25">
      <c r="O2525" s="20" t="str">
        <f>IF(N2525="","",COUNTIFS(RawData[[Date ]],N2525,RawData[Month List],$Q$6,RawData[Tour/Site],$Q$2,RawData[[Picker ID ]],$Q$3,RawData[Checker ID],$Q$4,RawData[[Error Type ]],$Q$5))</f>
        <v/>
      </c>
    </row>
    <row r="2526" spans="15:15" x14ac:dyDescent="0.25">
      <c r="O2526" s="20" t="str">
        <f>IF(N2526="","",COUNTIFS(RawData[[Date ]],N2526,RawData[Month List],$Q$6,RawData[Tour/Site],$Q$2,RawData[[Picker ID ]],$Q$3,RawData[Checker ID],$Q$4,RawData[[Error Type ]],$Q$5))</f>
        <v/>
      </c>
    </row>
    <row r="2527" spans="15:15" x14ac:dyDescent="0.25">
      <c r="O2527" s="20" t="str">
        <f>IF(N2527="","",COUNTIFS(RawData[[Date ]],N2527,RawData[Month List],$Q$6,RawData[Tour/Site],$Q$2,RawData[[Picker ID ]],$Q$3,RawData[Checker ID],$Q$4,RawData[[Error Type ]],$Q$5))</f>
        <v/>
      </c>
    </row>
    <row r="2528" spans="15:15" x14ac:dyDescent="0.25">
      <c r="O2528" s="20" t="str">
        <f>IF(N2528="","",COUNTIFS(RawData[[Date ]],N2528,RawData[Month List],$Q$6,RawData[Tour/Site],$Q$2,RawData[[Picker ID ]],$Q$3,RawData[Checker ID],$Q$4,RawData[[Error Type ]],$Q$5))</f>
        <v/>
      </c>
    </row>
    <row r="2529" spans="15:15" x14ac:dyDescent="0.25">
      <c r="O2529" s="20" t="str">
        <f>IF(N2529="","",COUNTIFS(RawData[[Date ]],N2529,RawData[Month List],$Q$6,RawData[Tour/Site],$Q$2,RawData[[Picker ID ]],$Q$3,RawData[Checker ID],$Q$4,RawData[[Error Type ]],$Q$5))</f>
        <v/>
      </c>
    </row>
    <row r="2530" spans="15:15" x14ac:dyDescent="0.25">
      <c r="O2530" s="20" t="str">
        <f>IF(N2530="","",COUNTIFS(RawData[[Date ]],N2530,RawData[Month List],$Q$6,RawData[Tour/Site],$Q$2,RawData[[Picker ID ]],$Q$3,RawData[Checker ID],$Q$4,RawData[[Error Type ]],$Q$5))</f>
        <v/>
      </c>
    </row>
    <row r="2531" spans="15:15" x14ac:dyDescent="0.25">
      <c r="O2531" s="20" t="str">
        <f>IF(N2531="","",COUNTIFS(RawData[[Date ]],N2531,RawData[Month List],$Q$6,RawData[Tour/Site],$Q$2,RawData[[Picker ID ]],$Q$3,RawData[Checker ID],$Q$4,RawData[[Error Type ]],$Q$5))</f>
        <v/>
      </c>
    </row>
    <row r="2532" spans="15:15" x14ac:dyDescent="0.25">
      <c r="O2532" s="20" t="str">
        <f>IF(N2532="","",COUNTIFS(RawData[[Date ]],N2532,RawData[Month List],$Q$6,RawData[Tour/Site],$Q$2,RawData[[Picker ID ]],$Q$3,RawData[Checker ID],$Q$4,RawData[[Error Type ]],$Q$5))</f>
        <v/>
      </c>
    </row>
    <row r="2533" spans="15:15" x14ac:dyDescent="0.25">
      <c r="O2533" s="20" t="str">
        <f>IF(N2533="","",COUNTIFS(RawData[[Date ]],N2533,RawData[Month List],$Q$6,RawData[Tour/Site],$Q$2,RawData[[Picker ID ]],$Q$3,RawData[Checker ID],$Q$4,RawData[[Error Type ]],$Q$5))</f>
        <v/>
      </c>
    </row>
    <row r="2534" spans="15:15" x14ac:dyDescent="0.25">
      <c r="O2534" s="20" t="str">
        <f>IF(N2534="","",COUNTIFS(RawData[[Date ]],N2534,RawData[Month List],$Q$6,RawData[Tour/Site],$Q$2,RawData[[Picker ID ]],$Q$3,RawData[Checker ID],$Q$4,RawData[[Error Type ]],$Q$5))</f>
        <v/>
      </c>
    </row>
    <row r="2535" spans="15:15" x14ac:dyDescent="0.25">
      <c r="O2535" s="20" t="str">
        <f>IF(N2535="","",COUNTIFS(RawData[[Date ]],N2535,RawData[Month List],$Q$6,RawData[Tour/Site],$Q$2,RawData[[Picker ID ]],$Q$3,RawData[Checker ID],$Q$4,RawData[[Error Type ]],$Q$5))</f>
        <v/>
      </c>
    </row>
    <row r="2536" spans="15:15" x14ac:dyDescent="0.25">
      <c r="O2536" s="20" t="str">
        <f>IF(N2536="","",COUNTIFS(RawData[[Date ]],N2536,RawData[Month List],$Q$6,RawData[Tour/Site],$Q$2,RawData[[Picker ID ]],$Q$3,RawData[Checker ID],$Q$4,RawData[[Error Type ]],$Q$5))</f>
        <v/>
      </c>
    </row>
    <row r="2537" spans="15:15" x14ac:dyDescent="0.25">
      <c r="O2537" s="20" t="str">
        <f>IF(N2537="","",COUNTIFS(RawData[[Date ]],N2537,RawData[Month List],$Q$6,RawData[Tour/Site],$Q$2,RawData[[Picker ID ]],$Q$3,RawData[Checker ID],$Q$4,RawData[[Error Type ]],$Q$5))</f>
        <v/>
      </c>
    </row>
    <row r="2538" spans="15:15" x14ac:dyDescent="0.25">
      <c r="O2538" s="20" t="str">
        <f>IF(N2538="","",COUNTIFS(RawData[[Date ]],N2538,RawData[Month List],$Q$6,RawData[Tour/Site],$Q$2,RawData[[Picker ID ]],$Q$3,RawData[Checker ID],$Q$4,RawData[[Error Type ]],$Q$5))</f>
        <v/>
      </c>
    </row>
    <row r="2539" spans="15:15" x14ac:dyDescent="0.25">
      <c r="O2539" s="20" t="str">
        <f>IF(N2539="","",COUNTIFS(RawData[[Date ]],N2539,RawData[Month List],$Q$6,RawData[Tour/Site],$Q$2,RawData[[Picker ID ]],$Q$3,RawData[Checker ID],$Q$4,RawData[[Error Type ]],$Q$5))</f>
        <v/>
      </c>
    </row>
    <row r="2540" spans="15:15" x14ac:dyDescent="0.25">
      <c r="O2540" s="20" t="str">
        <f>IF(N2540="","",COUNTIFS(RawData[[Date ]],N2540,RawData[Month List],$Q$6,RawData[Tour/Site],$Q$2,RawData[[Picker ID ]],$Q$3,RawData[Checker ID],$Q$4,RawData[[Error Type ]],$Q$5))</f>
        <v/>
      </c>
    </row>
    <row r="2541" spans="15:15" x14ac:dyDescent="0.25">
      <c r="O2541" s="20" t="str">
        <f>IF(N2541="","",COUNTIFS(RawData[[Date ]],N2541,RawData[Month List],$Q$6,RawData[Tour/Site],$Q$2,RawData[[Picker ID ]],$Q$3,RawData[Checker ID],$Q$4,RawData[[Error Type ]],$Q$5))</f>
        <v/>
      </c>
    </row>
    <row r="2542" spans="15:15" x14ac:dyDescent="0.25">
      <c r="O2542" s="20" t="str">
        <f>IF(N2542="","",COUNTIFS(RawData[[Date ]],N2542,RawData[Month List],$Q$6,RawData[Tour/Site],$Q$2,RawData[[Picker ID ]],$Q$3,RawData[Checker ID],$Q$4,RawData[[Error Type ]],$Q$5))</f>
        <v/>
      </c>
    </row>
    <row r="2543" spans="15:15" x14ac:dyDescent="0.25">
      <c r="O2543" s="20" t="str">
        <f>IF(N2543="","",COUNTIFS(RawData[[Date ]],N2543,RawData[Month List],$Q$6,RawData[Tour/Site],$Q$2,RawData[[Picker ID ]],$Q$3,RawData[Checker ID],$Q$4,RawData[[Error Type ]],$Q$5))</f>
        <v/>
      </c>
    </row>
    <row r="2544" spans="15:15" x14ac:dyDescent="0.25">
      <c r="O2544" s="20" t="str">
        <f>IF(N2544="","",COUNTIFS(RawData[[Date ]],N2544,RawData[Month List],$Q$6,RawData[Tour/Site],$Q$2,RawData[[Picker ID ]],$Q$3,RawData[Checker ID],$Q$4,RawData[[Error Type ]],$Q$5))</f>
        <v/>
      </c>
    </row>
    <row r="2545" spans="15:15" x14ac:dyDescent="0.25">
      <c r="O2545" s="20" t="str">
        <f>IF(N2545="","",COUNTIFS(RawData[[Date ]],N2545,RawData[Month List],$Q$6,RawData[Tour/Site],$Q$2,RawData[[Picker ID ]],$Q$3,RawData[Checker ID],$Q$4,RawData[[Error Type ]],$Q$5))</f>
        <v/>
      </c>
    </row>
    <row r="2546" spans="15:15" x14ac:dyDescent="0.25">
      <c r="O2546" s="20" t="str">
        <f>IF(N2546="","",COUNTIFS(RawData[[Date ]],N2546,RawData[Month List],$Q$6,RawData[Tour/Site],$Q$2,RawData[[Picker ID ]],$Q$3,RawData[Checker ID],$Q$4,RawData[[Error Type ]],$Q$5))</f>
        <v/>
      </c>
    </row>
    <row r="2547" spans="15:15" x14ac:dyDescent="0.25">
      <c r="O2547" s="20" t="str">
        <f>IF(N2547="","",COUNTIFS(RawData[[Date ]],N2547,RawData[Month List],$Q$6,RawData[Tour/Site],$Q$2,RawData[[Picker ID ]],$Q$3,RawData[Checker ID],$Q$4,RawData[[Error Type ]],$Q$5))</f>
        <v/>
      </c>
    </row>
    <row r="2548" spans="15:15" x14ac:dyDescent="0.25">
      <c r="O2548" s="20" t="str">
        <f>IF(N2548="","",COUNTIFS(RawData[[Date ]],N2548,RawData[Month List],$Q$6,RawData[Tour/Site],$Q$2,RawData[[Picker ID ]],$Q$3,RawData[Checker ID],$Q$4,RawData[[Error Type ]],$Q$5))</f>
        <v/>
      </c>
    </row>
    <row r="2549" spans="15:15" x14ac:dyDescent="0.25">
      <c r="O2549" s="20" t="str">
        <f>IF(N2549="","",COUNTIFS(RawData[[Date ]],N2549,RawData[Month List],$Q$6,RawData[Tour/Site],$Q$2,RawData[[Picker ID ]],$Q$3,RawData[Checker ID],$Q$4,RawData[[Error Type ]],$Q$5))</f>
        <v/>
      </c>
    </row>
    <row r="2550" spans="15:15" x14ac:dyDescent="0.25">
      <c r="O2550" s="20" t="str">
        <f>IF(N2550="","",COUNTIFS(RawData[[Date ]],N2550,RawData[Month List],$Q$6,RawData[Tour/Site],$Q$2,RawData[[Picker ID ]],$Q$3,RawData[Checker ID],$Q$4,RawData[[Error Type ]],$Q$5))</f>
        <v/>
      </c>
    </row>
    <row r="2551" spans="15:15" x14ac:dyDescent="0.25">
      <c r="O2551" s="20" t="str">
        <f>IF(N2551="","",COUNTIFS(RawData[[Date ]],N2551,RawData[Month List],$Q$6,RawData[Tour/Site],$Q$2,RawData[[Picker ID ]],$Q$3,RawData[Checker ID],$Q$4,RawData[[Error Type ]],$Q$5))</f>
        <v/>
      </c>
    </row>
    <row r="2552" spans="15:15" x14ac:dyDescent="0.25">
      <c r="O2552" s="20" t="str">
        <f>IF(N2552="","",COUNTIFS(RawData[[Date ]],N2552,RawData[Month List],$Q$6,RawData[Tour/Site],$Q$2,RawData[[Picker ID ]],$Q$3,RawData[Checker ID],$Q$4,RawData[[Error Type ]],$Q$5))</f>
        <v/>
      </c>
    </row>
    <row r="2553" spans="15:15" x14ac:dyDescent="0.25">
      <c r="O2553" s="20" t="str">
        <f>IF(N2553="","",COUNTIFS(RawData[[Date ]],N2553,RawData[Month List],$Q$6,RawData[Tour/Site],$Q$2,RawData[[Picker ID ]],$Q$3,RawData[Checker ID],$Q$4,RawData[[Error Type ]],$Q$5))</f>
        <v/>
      </c>
    </row>
    <row r="2554" spans="15:15" x14ac:dyDescent="0.25">
      <c r="O2554" s="20" t="str">
        <f>IF(N2554="","",COUNTIFS(RawData[[Date ]],N2554,RawData[Month List],$Q$6,RawData[Tour/Site],$Q$2,RawData[[Picker ID ]],$Q$3,RawData[Checker ID],$Q$4,RawData[[Error Type ]],$Q$5))</f>
        <v/>
      </c>
    </row>
    <row r="2555" spans="15:15" x14ac:dyDescent="0.25">
      <c r="O2555" s="20" t="str">
        <f>IF(N2555="","",COUNTIFS(RawData[[Date ]],N2555,RawData[Month List],$Q$6,RawData[Tour/Site],$Q$2,RawData[[Picker ID ]],$Q$3,RawData[Checker ID],$Q$4,RawData[[Error Type ]],$Q$5))</f>
        <v/>
      </c>
    </row>
    <row r="2556" spans="15:15" x14ac:dyDescent="0.25">
      <c r="O2556" s="20" t="str">
        <f>IF(N2556="","",COUNTIFS(RawData[[Date ]],N2556,RawData[Month List],$Q$6,RawData[Tour/Site],$Q$2,RawData[[Picker ID ]],$Q$3,RawData[Checker ID],$Q$4,RawData[[Error Type ]],$Q$5))</f>
        <v/>
      </c>
    </row>
    <row r="2557" spans="15:15" x14ac:dyDescent="0.25">
      <c r="O2557" s="20" t="str">
        <f>IF(N2557="","",COUNTIFS(RawData[[Date ]],N2557,RawData[Month List],$Q$6,RawData[Tour/Site],$Q$2,RawData[[Picker ID ]],$Q$3,RawData[Checker ID],$Q$4,RawData[[Error Type ]],$Q$5))</f>
        <v/>
      </c>
    </row>
    <row r="2558" spans="15:15" x14ac:dyDescent="0.25">
      <c r="O2558" s="20" t="str">
        <f>IF(N2558="","",COUNTIFS(RawData[[Date ]],N2558,RawData[Month List],$Q$6,RawData[Tour/Site],$Q$2,RawData[[Picker ID ]],$Q$3,RawData[Checker ID],$Q$4,RawData[[Error Type ]],$Q$5))</f>
        <v/>
      </c>
    </row>
    <row r="2559" spans="15:15" x14ac:dyDescent="0.25">
      <c r="O2559" s="20" t="str">
        <f>IF(N2559="","",COUNTIFS(RawData[[Date ]],N2559,RawData[Month List],$Q$6,RawData[Tour/Site],$Q$2,RawData[[Picker ID ]],$Q$3,RawData[Checker ID],$Q$4,RawData[[Error Type ]],$Q$5))</f>
        <v/>
      </c>
    </row>
    <row r="2560" spans="15:15" x14ac:dyDescent="0.25">
      <c r="O2560" s="20" t="str">
        <f>IF(N2560="","",COUNTIFS(RawData[[Date ]],N2560,RawData[Month List],$Q$6,RawData[Tour/Site],$Q$2,RawData[[Picker ID ]],$Q$3,RawData[Checker ID],$Q$4,RawData[[Error Type ]],$Q$5))</f>
        <v/>
      </c>
    </row>
    <row r="2561" spans="15:15" x14ac:dyDescent="0.25">
      <c r="O2561" s="20" t="str">
        <f>IF(N2561="","",COUNTIFS(RawData[[Date ]],N2561,RawData[Month List],$Q$6,RawData[Tour/Site],$Q$2,RawData[[Picker ID ]],$Q$3,RawData[Checker ID],$Q$4,RawData[[Error Type ]],$Q$5))</f>
        <v/>
      </c>
    </row>
    <row r="2562" spans="15:15" x14ac:dyDescent="0.25">
      <c r="O2562" s="20" t="str">
        <f>IF(N2562="","",COUNTIFS(RawData[[Date ]],N2562,RawData[Month List],$Q$6,RawData[Tour/Site],$Q$2,RawData[[Picker ID ]],$Q$3,RawData[Checker ID],$Q$4,RawData[[Error Type ]],$Q$5))</f>
        <v/>
      </c>
    </row>
    <row r="2563" spans="15:15" x14ac:dyDescent="0.25">
      <c r="O2563" s="20" t="str">
        <f>IF(N2563="","",COUNTIFS(RawData[[Date ]],N2563,RawData[Month List],$Q$6,RawData[Tour/Site],$Q$2,RawData[[Picker ID ]],$Q$3,RawData[Checker ID],$Q$4,RawData[[Error Type ]],$Q$5))</f>
        <v/>
      </c>
    </row>
    <row r="2564" spans="15:15" x14ac:dyDescent="0.25">
      <c r="O2564" s="20" t="str">
        <f>IF(N2564="","",COUNTIFS(RawData[[Date ]],N2564,RawData[Month List],$Q$6,RawData[Tour/Site],$Q$2,RawData[[Picker ID ]],$Q$3,RawData[Checker ID],$Q$4,RawData[[Error Type ]],$Q$5))</f>
        <v/>
      </c>
    </row>
    <row r="2565" spans="15:15" x14ac:dyDescent="0.25">
      <c r="O2565" s="20" t="str">
        <f>IF(N2565="","",COUNTIFS(RawData[[Date ]],N2565,RawData[Month List],$Q$6,RawData[Tour/Site],$Q$2,RawData[[Picker ID ]],$Q$3,RawData[Checker ID],$Q$4,RawData[[Error Type ]],$Q$5))</f>
        <v/>
      </c>
    </row>
    <row r="2566" spans="15:15" x14ac:dyDescent="0.25">
      <c r="O2566" s="20" t="str">
        <f>IF(N2566="","",COUNTIFS(RawData[[Date ]],N2566,RawData[Month List],$Q$6,RawData[Tour/Site],$Q$2,RawData[[Picker ID ]],$Q$3,RawData[Checker ID],$Q$4,RawData[[Error Type ]],$Q$5))</f>
        <v/>
      </c>
    </row>
    <row r="2567" spans="15:15" x14ac:dyDescent="0.25">
      <c r="O2567" s="20" t="str">
        <f>IF(N2567="","",COUNTIFS(RawData[[Date ]],N2567,RawData[Month List],$Q$6,RawData[Tour/Site],$Q$2,RawData[[Picker ID ]],$Q$3,RawData[Checker ID],$Q$4,RawData[[Error Type ]],$Q$5))</f>
        <v/>
      </c>
    </row>
    <row r="2568" spans="15:15" x14ac:dyDescent="0.25">
      <c r="O2568" s="20" t="str">
        <f>IF(N2568="","",COUNTIFS(RawData[[Date ]],N2568,RawData[Month List],$Q$6,RawData[Tour/Site],$Q$2,RawData[[Picker ID ]],$Q$3,RawData[Checker ID],$Q$4,RawData[[Error Type ]],$Q$5))</f>
        <v/>
      </c>
    </row>
    <row r="2569" spans="15:15" x14ac:dyDescent="0.25">
      <c r="O2569" s="20" t="str">
        <f>IF(N2569="","",COUNTIFS(RawData[[Date ]],N2569,RawData[Month List],$Q$6,RawData[Tour/Site],$Q$2,RawData[[Picker ID ]],$Q$3,RawData[Checker ID],$Q$4,RawData[[Error Type ]],$Q$5))</f>
        <v/>
      </c>
    </row>
    <row r="2570" spans="15:15" x14ac:dyDescent="0.25">
      <c r="O2570" s="20" t="str">
        <f>IF(N2570="","",COUNTIFS(RawData[[Date ]],N2570,RawData[Month List],$Q$6,RawData[Tour/Site],$Q$2,RawData[[Picker ID ]],$Q$3,RawData[Checker ID],$Q$4,RawData[[Error Type ]],$Q$5))</f>
        <v/>
      </c>
    </row>
    <row r="2571" spans="15:15" x14ac:dyDescent="0.25">
      <c r="O2571" s="20" t="str">
        <f>IF(N2571="","",COUNTIFS(RawData[[Date ]],N2571,RawData[Month List],$Q$6,RawData[Tour/Site],$Q$2,RawData[[Picker ID ]],$Q$3,RawData[Checker ID],$Q$4,RawData[[Error Type ]],$Q$5))</f>
        <v/>
      </c>
    </row>
    <row r="2572" spans="15:15" x14ac:dyDescent="0.25">
      <c r="O2572" s="20" t="str">
        <f>IF(N2572="","",COUNTIFS(RawData[[Date ]],N2572,RawData[Month List],$Q$6,RawData[Tour/Site],$Q$2,RawData[[Picker ID ]],$Q$3,RawData[Checker ID],$Q$4,RawData[[Error Type ]],$Q$5))</f>
        <v/>
      </c>
    </row>
    <row r="2573" spans="15:15" x14ac:dyDescent="0.25">
      <c r="O2573" s="20" t="str">
        <f>IF(N2573="","",COUNTIFS(RawData[[Date ]],N2573,RawData[Month List],$Q$6,RawData[Tour/Site],$Q$2,RawData[[Picker ID ]],$Q$3,RawData[Checker ID],$Q$4,RawData[[Error Type ]],$Q$5))</f>
        <v/>
      </c>
    </row>
    <row r="2574" spans="15:15" x14ac:dyDescent="0.25">
      <c r="O2574" s="20" t="str">
        <f>IF(N2574="","",COUNTIFS(RawData[[Date ]],N2574,RawData[Month List],$Q$6,RawData[Tour/Site],$Q$2,RawData[[Picker ID ]],$Q$3,RawData[Checker ID],$Q$4,RawData[[Error Type ]],$Q$5))</f>
        <v/>
      </c>
    </row>
    <row r="2575" spans="15:15" x14ac:dyDescent="0.25">
      <c r="O2575" s="20" t="str">
        <f>IF(N2575="","",COUNTIFS(RawData[[Date ]],N2575,RawData[Month List],$Q$6,RawData[Tour/Site],$Q$2,RawData[[Picker ID ]],$Q$3,RawData[Checker ID],$Q$4,RawData[[Error Type ]],$Q$5))</f>
        <v/>
      </c>
    </row>
    <row r="2576" spans="15:15" x14ac:dyDescent="0.25">
      <c r="O2576" s="20" t="str">
        <f>IF(N2576="","",COUNTIFS(RawData[[Date ]],N2576,RawData[Month List],$Q$6,RawData[Tour/Site],$Q$2,RawData[[Picker ID ]],$Q$3,RawData[Checker ID],$Q$4,RawData[[Error Type ]],$Q$5))</f>
        <v/>
      </c>
    </row>
    <row r="2577" spans="15:15" x14ac:dyDescent="0.25">
      <c r="O2577" s="20" t="str">
        <f>IF(N2577="","",COUNTIFS(RawData[[Date ]],N2577,RawData[Month List],$Q$6,RawData[Tour/Site],$Q$2,RawData[[Picker ID ]],$Q$3,RawData[Checker ID],$Q$4,RawData[[Error Type ]],$Q$5))</f>
        <v/>
      </c>
    </row>
    <row r="2578" spans="15:15" x14ac:dyDescent="0.25">
      <c r="O2578" s="20" t="str">
        <f>IF(N2578="","",COUNTIFS(RawData[[Date ]],N2578,RawData[Month List],$Q$6,RawData[Tour/Site],$Q$2,RawData[[Picker ID ]],$Q$3,RawData[Checker ID],$Q$4,RawData[[Error Type ]],$Q$5))</f>
        <v/>
      </c>
    </row>
    <row r="2579" spans="15:15" x14ac:dyDescent="0.25">
      <c r="O2579" s="20" t="str">
        <f>IF(N2579="","",COUNTIFS(RawData[[Date ]],N2579,RawData[Month List],$Q$6,RawData[Tour/Site],$Q$2,RawData[[Picker ID ]],$Q$3,RawData[Checker ID],$Q$4,RawData[[Error Type ]],$Q$5))</f>
        <v/>
      </c>
    </row>
    <row r="2580" spans="15:15" x14ac:dyDescent="0.25">
      <c r="O2580" s="20" t="str">
        <f>IF(N2580="","",COUNTIFS(RawData[[Date ]],N2580,RawData[Month List],$Q$6,RawData[Tour/Site],$Q$2,RawData[[Picker ID ]],$Q$3,RawData[Checker ID],$Q$4,RawData[[Error Type ]],$Q$5))</f>
        <v/>
      </c>
    </row>
    <row r="2581" spans="15:15" x14ac:dyDescent="0.25">
      <c r="O2581" s="20" t="str">
        <f>IF(N2581="","",COUNTIFS(RawData[[Date ]],N2581,RawData[Month List],$Q$6,RawData[Tour/Site],$Q$2,RawData[[Picker ID ]],$Q$3,RawData[Checker ID],$Q$4,RawData[[Error Type ]],$Q$5))</f>
        <v/>
      </c>
    </row>
    <row r="2582" spans="15:15" x14ac:dyDescent="0.25">
      <c r="O2582" s="20" t="str">
        <f>IF(N2582="","",COUNTIFS(RawData[[Date ]],N2582,RawData[Month List],$Q$6,RawData[Tour/Site],$Q$2,RawData[[Picker ID ]],$Q$3,RawData[Checker ID],$Q$4,RawData[[Error Type ]],$Q$5))</f>
        <v/>
      </c>
    </row>
    <row r="2583" spans="15:15" x14ac:dyDescent="0.25">
      <c r="O2583" s="20" t="str">
        <f>IF(N2583="","",COUNTIFS(RawData[[Date ]],N2583,RawData[Month List],$Q$6,RawData[Tour/Site],$Q$2,RawData[[Picker ID ]],$Q$3,RawData[Checker ID],$Q$4,RawData[[Error Type ]],$Q$5))</f>
        <v/>
      </c>
    </row>
    <row r="2584" spans="15:15" x14ac:dyDescent="0.25">
      <c r="O2584" s="20" t="str">
        <f>IF(N2584="","",COUNTIFS(RawData[[Date ]],N2584,RawData[Month List],$Q$6,RawData[Tour/Site],$Q$2,RawData[[Picker ID ]],$Q$3,RawData[Checker ID],$Q$4,RawData[[Error Type ]],$Q$5))</f>
        <v/>
      </c>
    </row>
    <row r="2585" spans="15:15" x14ac:dyDescent="0.25">
      <c r="O2585" s="20" t="str">
        <f>IF(N2585="","",COUNTIFS(RawData[[Date ]],N2585,RawData[Month List],$Q$6,RawData[Tour/Site],$Q$2,RawData[[Picker ID ]],$Q$3,RawData[Checker ID],$Q$4,RawData[[Error Type ]],$Q$5))</f>
        <v/>
      </c>
    </row>
    <row r="2586" spans="15:15" x14ac:dyDescent="0.25">
      <c r="O2586" s="20" t="str">
        <f>IF(N2586="","",COUNTIFS(RawData[[Date ]],N2586,RawData[Month List],$Q$6,RawData[Tour/Site],$Q$2,RawData[[Picker ID ]],$Q$3,RawData[Checker ID],$Q$4,RawData[[Error Type ]],$Q$5))</f>
        <v/>
      </c>
    </row>
    <row r="2587" spans="15:15" x14ac:dyDescent="0.25">
      <c r="O2587" s="20" t="str">
        <f>IF(N2587="","",COUNTIFS(RawData[[Date ]],N2587,RawData[Month List],$Q$6,RawData[Tour/Site],$Q$2,RawData[[Picker ID ]],$Q$3,RawData[Checker ID],$Q$4,RawData[[Error Type ]],$Q$5))</f>
        <v/>
      </c>
    </row>
    <row r="2588" spans="15:15" x14ac:dyDescent="0.25">
      <c r="O2588" s="20" t="str">
        <f>IF(N2588="","",COUNTIFS(RawData[[Date ]],N2588,RawData[Month List],$Q$6,RawData[Tour/Site],$Q$2,RawData[[Picker ID ]],$Q$3,RawData[Checker ID],$Q$4,RawData[[Error Type ]],$Q$5))</f>
        <v/>
      </c>
    </row>
    <row r="2589" spans="15:15" x14ac:dyDescent="0.25">
      <c r="O2589" s="20" t="str">
        <f>IF(N2589="","",COUNTIFS(RawData[[Date ]],N2589,RawData[Month List],$Q$6,RawData[Tour/Site],$Q$2,RawData[[Picker ID ]],$Q$3,RawData[Checker ID],$Q$4,RawData[[Error Type ]],$Q$5))</f>
        <v/>
      </c>
    </row>
    <row r="2590" spans="15:15" x14ac:dyDescent="0.25">
      <c r="O2590" s="20" t="str">
        <f>IF(N2590="","",COUNTIFS(RawData[[Date ]],N2590,RawData[Month List],$Q$6,RawData[Tour/Site],$Q$2,RawData[[Picker ID ]],$Q$3,RawData[Checker ID],$Q$4,RawData[[Error Type ]],$Q$5))</f>
        <v/>
      </c>
    </row>
    <row r="2591" spans="15:15" x14ac:dyDescent="0.25">
      <c r="O2591" s="20" t="str">
        <f>IF(N2591="","",COUNTIFS(RawData[[Date ]],N2591,RawData[Month List],$Q$6,RawData[Tour/Site],$Q$2,RawData[[Picker ID ]],$Q$3,RawData[Checker ID],$Q$4,RawData[[Error Type ]],$Q$5))</f>
        <v/>
      </c>
    </row>
    <row r="2592" spans="15:15" x14ac:dyDescent="0.25">
      <c r="O2592" s="20" t="str">
        <f>IF(N2592="","",COUNTIFS(RawData[[Date ]],N2592,RawData[Month List],$Q$6,RawData[Tour/Site],$Q$2,RawData[[Picker ID ]],$Q$3,RawData[Checker ID],$Q$4,RawData[[Error Type ]],$Q$5))</f>
        <v/>
      </c>
    </row>
    <row r="2593" spans="15:15" x14ac:dyDescent="0.25">
      <c r="O2593" s="20" t="str">
        <f>IF(N2593="","",COUNTIFS(RawData[[Date ]],N2593,RawData[Month List],$Q$6,RawData[Tour/Site],$Q$2,RawData[[Picker ID ]],$Q$3,RawData[Checker ID],$Q$4,RawData[[Error Type ]],$Q$5))</f>
        <v/>
      </c>
    </row>
    <row r="2594" spans="15:15" x14ac:dyDescent="0.25">
      <c r="O2594" s="20" t="str">
        <f>IF(N2594="","",COUNTIFS(RawData[[Date ]],N2594,RawData[Month List],$Q$6,RawData[Tour/Site],$Q$2,RawData[[Picker ID ]],$Q$3,RawData[Checker ID],$Q$4,RawData[[Error Type ]],$Q$5))</f>
        <v/>
      </c>
    </row>
    <row r="2595" spans="15:15" x14ac:dyDescent="0.25">
      <c r="O2595" s="20" t="str">
        <f>IF(N2595="","",COUNTIFS(RawData[[Date ]],N2595,RawData[Month List],$Q$6,RawData[Tour/Site],$Q$2,RawData[[Picker ID ]],$Q$3,RawData[Checker ID],$Q$4,RawData[[Error Type ]],$Q$5))</f>
        <v/>
      </c>
    </row>
    <row r="2596" spans="15:15" x14ac:dyDescent="0.25">
      <c r="O2596" s="20" t="str">
        <f>IF(N2596="","",COUNTIFS(RawData[[Date ]],N2596,RawData[Month List],$Q$6,RawData[Tour/Site],$Q$2,RawData[[Picker ID ]],$Q$3,RawData[Checker ID],$Q$4,RawData[[Error Type ]],$Q$5))</f>
        <v/>
      </c>
    </row>
    <row r="2597" spans="15:15" x14ac:dyDescent="0.25">
      <c r="O2597" s="20" t="str">
        <f>IF(N2597="","",COUNTIFS(RawData[[Date ]],N2597,RawData[Month List],$Q$6,RawData[Tour/Site],$Q$2,RawData[[Picker ID ]],$Q$3,RawData[Checker ID],$Q$4,RawData[[Error Type ]],$Q$5))</f>
        <v/>
      </c>
    </row>
    <row r="2598" spans="15:15" x14ac:dyDescent="0.25">
      <c r="O2598" s="20" t="str">
        <f>IF(N2598="","",COUNTIFS(RawData[[Date ]],N2598,RawData[Month List],$Q$6,RawData[Tour/Site],$Q$2,RawData[[Picker ID ]],$Q$3,RawData[Checker ID],$Q$4,RawData[[Error Type ]],$Q$5))</f>
        <v/>
      </c>
    </row>
    <row r="2599" spans="15:15" x14ac:dyDescent="0.25">
      <c r="O2599" s="20" t="str">
        <f>IF(N2599="","",COUNTIFS(RawData[[Date ]],N2599,RawData[Month List],$Q$6,RawData[Tour/Site],$Q$2,RawData[[Picker ID ]],$Q$3,RawData[Checker ID],$Q$4,RawData[[Error Type ]],$Q$5))</f>
        <v/>
      </c>
    </row>
    <row r="2600" spans="15:15" x14ac:dyDescent="0.25">
      <c r="O2600" s="20" t="str">
        <f>IF(N2600="","",COUNTIFS(RawData[[Date ]],N2600,RawData[Month List],$Q$6,RawData[Tour/Site],$Q$2,RawData[[Picker ID ]],$Q$3,RawData[Checker ID],$Q$4,RawData[[Error Type ]],$Q$5))</f>
        <v/>
      </c>
    </row>
    <row r="2601" spans="15:15" x14ac:dyDescent="0.25">
      <c r="O2601" s="20" t="str">
        <f>IF(N2601="","",COUNTIFS(RawData[[Date ]],N2601,RawData[Month List],$Q$6,RawData[Tour/Site],$Q$2,RawData[[Picker ID ]],$Q$3,RawData[Checker ID],$Q$4,RawData[[Error Type ]],$Q$5))</f>
        <v/>
      </c>
    </row>
    <row r="2602" spans="15:15" x14ac:dyDescent="0.25">
      <c r="O2602" s="20" t="str">
        <f>IF(N2602="","",COUNTIFS(RawData[[Date ]],N2602,RawData[Month List],$Q$6,RawData[Tour/Site],$Q$2,RawData[[Picker ID ]],$Q$3,RawData[Checker ID],$Q$4,RawData[[Error Type ]],$Q$5))</f>
        <v/>
      </c>
    </row>
    <row r="2603" spans="15:15" x14ac:dyDescent="0.25">
      <c r="O2603" s="20" t="str">
        <f>IF(N2603="","",COUNTIFS(RawData[[Date ]],N2603,RawData[Month List],$Q$6,RawData[Tour/Site],$Q$2,RawData[[Picker ID ]],$Q$3,RawData[Checker ID],$Q$4,RawData[[Error Type ]],$Q$5))</f>
        <v/>
      </c>
    </row>
    <row r="2604" spans="15:15" x14ac:dyDescent="0.25">
      <c r="O2604" s="20" t="str">
        <f>IF(N2604="","",COUNTIFS(RawData[[Date ]],N2604,RawData[Month List],$Q$6,RawData[Tour/Site],$Q$2,RawData[[Picker ID ]],$Q$3,RawData[Checker ID],$Q$4,RawData[[Error Type ]],$Q$5))</f>
        <v/>
      </c>
    </row>
    <row r="2605" spans="15:15" x14ac:dyDescent="0.25">
      <c r="O2605" s="20" t="str">
        <f>IF(N2605="","",COUNTIFS(RawData[[Date ]],N2605,RawData[Month List],$Q$6,RawData[Tour/Site],$Q$2,RawData[[Picker ID ]],$Q$3,RawData[Checker ID],$Q$4,RawData[[Error Type ]],$Q$5))</f>
        <v/>
      </c>
    </row>
    <row r="2606" spans="15:15" x14ac:dyDescent="0.25">
      <c r="O2606" s="20" t="str">
        <f>IF(N2606="","",COUNTIFS(RawData[[Date ]],N2606,RawData[Month List],$Q$6,RawData[Tour/Site],$Q$2,RawData[[Picker ID ]],$Q$3,RawData[Checker ID],$Q$4,RawData[[Error Type ]],$Q$5))</f>
        <v/>
      </c>
    </row>
    <row r="2607" spans="15:15" x14ac:dyDescent="0.25">
      <c r="O2607" s="20" t="str">
        <f>IF(N2607="","",COUNTIFS(RawData[[Date ]],N2607,RawData[Month List],$Q$6,RawData[Tour/Site],$Q$2,RawData[[Picker ID ]],$Q$3,RawData[Checker ID],$Q$4,RawData[[Error Type ]],$Q$5))</f>
        <v/>
      </c>
    </row>
    <row r="2608" spans="15:15" x14ac:dyDescent="0.25">
      <c r="O2608" s="20" t="str">
        <f>IF(N2608="","",COUNTIFS(RawData[[Date ]],N2608,RawData[Month List],$Q$6,RawData[Tour/Site],$Q$2,RawData[[Picker ID ]],$Q$3,RawData[Checker ID],$Q$4,RawData[[Error Type ]],$Q$5))</f>
        <v/>
      </c>
    </row>
    <row r="2609" spans="15:15" x14ac:dyDescent="0.25">
      <c r="O2609" s="20" t="str">
        <f>IF(N2609="","",COUNTIFS(RawData[[Date ]],N2609,RawData[Month List],$Q$6,RawData[Tour/Site],$Q$2,RawData[[Picker ID ]],$Q$3,RawData[Checker ID],$Q$4,RawData[[Error Type ]],$Q$5))</f>
        <v/>
      </c>
    </row>
    <row r="2610" spans="15:15" x14ac:dyDescent="0.25">
      <c r="O2610" s="20" t="str">
        <f>IF(N2610="","",COUNTIFS(RawData[[Date ]],N2610,RawData[Month List],$Q$6,RawData[Tour/Site],$Q$2,RawData[[Picker ID ]],$Q$3,RawData[Checker ID],$Q$4,RawData[[Error Type ]],$Q$5))</f>
        <v/>
      </c>
    </row>
    <row r="2611" spans="15:15" x14ac:dyDescent="0.25">
      <c r="O2611" s="20" t="str">
        <f>IF(N2611="","",COUNTIFS(RawData[[Date ]],N2611,RawData[Month List],$Q$6,RawData[Tour/Site],$Q$2,RawData[[Picker ID ]],$Q$3,RawData[Checker ID],$Q$4,RawData[[Error Type ]],$Q$5))</f>
        <v/>
      </c>
    </row>
    <row r="2612" spans="15:15" x14ac:dyDescent="0.25">
      <c r="O2612" s="20" t="str">
        <f>IF(N2612="","",COUNTIFS(RawData[[Date ]],N2612,RawData[Month List],$Q$6,RawData[Tour/Site],$Q$2,RawData[[Picker ID ]],$Q$3,RawData[Checker ID],$Q$4,RawData[[Error Type ]],$Q$5))</f>
        <v/>
      </c>
    </row>
    <row r="2613" spans="15:15" x14ac:dyDescent="0.25">
      <c r="O2613" s="20" t="str">
        <f>IF(N2613="","",COUNTIFS(RawData[[Date ]],N2613,RawData[Month List],$Q$6,RawData[Tour/Site],$Q$2,RawData[[Picker ID ]],$Q$3,RawData[Checker ID],$Q$4,RawData[[Error Type ]],$Q$5))</f>
        <v/>
      </c>
    </row>
    <row r="2614" spans="15:15" x14ac:dyDescent="0.25">
      <c r="O2614" s="20" t="str">
        <f>IF(N2614="","",COUNTIFS(RawData[[Date ]],N2614,RawData[Month List],$Q$6,RawData[Tour/Site],$Q$2,RawData[[Picker ID ]],$Q$3,RawData[Checker ID],$Q$4,RawData[[Error Type ]],$Q$5))</f>
        <v/>
      </c>
    </row>
    <row r="2615" spans="15:15" x14ac:dyDescent="0.25">
      <c r="O2615" s="20" t="str">
        <f>IF(N2615="","",COUNTIFS(RawData[[Date ]],N2615,RawData[Month List],$Q$6,RawData[Tour/Site],$Q$2,RawData[[Picker ID ]],$Q$3,RawData[Checker ID],$Q$4,RawData[[Error Type ]],$Q$5))</f>
        <v/>
      </c>
    </row>
    <row r="2616" spans="15:15" x14ac:dyDescent="0.25">
      <c r="O2616" s="20" t="str">
        <f>IF(N2616="","",COUNTIFS(RawData[[Date ]],N2616,RawData[Month List],$Q$6,RawData[Tour/Site],$Q$2,RawData[[Picker ID ]],$Q$3,RawData[Checker ID],$Q$4,RawData[[Error Type ]],$Q$5))</f>
        <v/>
      </c>
    </row>
    <row r="2617" spans="15:15" x14ac:dyDescent="0.25">
      <c r="O2617" s="20" t="str">
        <f>IF(N2617="","",COUNTIFS(RawData[[Date ]],N2617,RawData[Month List],$Q$6,RawData[Tour/Site],$Q$2,RawData[[Picker ID ]],$Q$3,RawData[Checker ID],$Q$4,RawData[[Error Type ]],$Q$5))</f>
        <v/>
      </c>
    </row>
    <row r="2618" spans="15:15" x14ac:dyDescent="0.25">
      <c r="O2618" s="20" t="str">
        <f>IF(N2618="","",COUNTIFS(RawData[[Date ]],N2618,RawData[Month List],$Q$6,RawData[Tour/Site],$Q$2,RawData[[Picker ID ]],$Q$3,RawData[Checker ID],$Q$4,RawData[[Error Type ]],$Q$5))</f>
        <v/>
      </c>
    </row>
    <row r="2619" spans="15:15" x14ac:dyDescent="0.25">
      <c r="O2619" s="20" t="str">
        <f>IF(N2619="","",COUNTIFS(RawData[[Date ]],N2619,RawData[Month List],$Q$6,RawData[Tour/Site],$Q$2,RawData[[Picker ID ]],$Q$3,RawData[Checker ID],$Q$4,RawData[[Error Type ]],$Q$5))</f>
        <v/>
      </c>
    </row>
    <row r="2620" spans="15:15" x14ac:dyDescent="0.25">
      <c r="O2620" s="20" t="str">
        <f>IF(N2620="","",COUNTIFS(RawData[[Date ]],N2620,RawData[Month List],$Q$6,RawData[Tour/Site],$Q$2,RawData[[Picker ID ]],$Q$3,RawData[Checker ID],$Q$4,RawData[[Error Type ]],$Q$5))</f>
        <v/>
      </c>
    </row>
    <row r="2621" spans="15:15" x14ac:dyDescent="0.25">
      <c r="O2621" s="20" t="str">
        <f>IF(N2621="","",COUNTIFS(RawData[[Date ]],N2621,RawData[Month List],$Q$6,RawData[Tour/Site],$Q$2,RawData[[Picker ID ]],$Q$3,RawData[Checker ID],$Q$4,RawData[[Error Type ]],$Q$5))</f>
        <v/>
      </c>
    </row>
    <row r="2622" spans="15:15" x14ac:dyDescent="0.25">
      <c r="O2622" s="20" t="str">
        <f>IF(N2622="","",COUNTIFS(RawData[[Date ]],N2622,RawData[Month List],$Q$6,RawData[Tour/Site],$Q$2,RawData[[Picker ID ]],$Q$3,RawData[Checker ID],$Q$4,RawData[[Error Type ]],$Q$5))</f>
        <v/>
      </c>
    </row>
    <row r="2623" spans="15:15" x14ac:dyDescent="0.25">
      <c r="O2623" s="20" t="str">
        <f>IF(N2623="","",COUNTIFS(RawData[[Date ]],N2623,RawData[Month List],$Q$6,RawData[Tour/Site],$Q$2,RawData[[Picker ID ]],$Q$3,RawData[Checker ID],$Q$4,RawData[[Error Type ]],$Q$5))</f>
        <v/>
      </c>
    </row>
    <row r="2624" spans="15:15" x14ac:dyDescent="0.25">
      <c r="O2624" s="20" t="str">
        <f>IF(N2624="","",COUNTIFS(RawData[[Date ]],N2624,RawData[Month List],$Q$6,RawData[Tour/Site],$Q$2,RawData[[Picker ID ]],$Q$3,RawData[Checker ID],$Q$4,RawData[[Error Type ]],$Q$5))</f>
        <v/>
      </c>
    </row>
    <row r="2625" spans="15:15" x14ac:dyDescent="0.25">
      <c r="O2625" s="20" t="str">
        <f>IF(N2625="","",COUNTIFS(RawData[[Date ]],N2625,RawData[Month List],$Q$6,RawData[Tour/Site],$Q$2,RawData[[Picker ID ]],$Q$3,RawData[Checker ID],$Q$4,RawData[[Error Type ]],$Q$5))</f>
        <v/>
      </c>
    </row>
    <row r="2626" spans="15:15" x14ac:dyDescent="0.25">
      <c r="O2626" s="20" t="str">
        <f>IF(N2626="","",COUNTIFS(RawData[[Date ]],N2626,RawData[Month List],$Q$6,RawData[Tour/Site],$Q$2,RawData[[Picker ID ]],$Q$3,RawData[Checker ID],$Q$4,RawData[[Error Type ]],$Q$5))</f>
        <v/>
      </c>
    </row>
    <row r="2627" spans="15:15" x14ac:dyDescent="0.25">
      <c r="O2627" s="20" t="str">
        <f>IF(N2627="","",COUNTIFS(RawData[[Date ]],N2627,RawData[Month List],$Q$6,RawData[Tour/Site],$Q$2,RawData[[Picker ID ]],$Q$3,RawData[Checker ID],$Q$4,RawData[[Error Type ]],$Q$5))</f>
        <v/>
      </c>
    </row>
    <row r="2628" spans="15:15" x14ac:dyDescent="0.25">
      <c r="O2628" s="20" t="str">
        <f>IF(N2628="","",COUNTIFS(RawData[[Date ]],N2628,RawData[Month List],$Q$6,RawData[Tour/Site],$Q$2,RawData[[Picker ID ]],$Q$3,RawData[Checker ID],$Q$4,RawData[[Error Type ]],$Q$5))</f>
        <v/>
      </c>
    </row>
    <row r="2629" spans="15:15" x14ac:dyDescent="0.25">
      <c r="O2629" s="20" t="str">
        <f>IF(N2629="","",COUNTIFS(RawData[[Date ]],N2629,RawData[Month List],$Q$6,RawData[Tour/Site],$Q$2,RawData[[Picker ID ]],$Q$3,RawData[Checker ID],$Q$4,RawData[[Error Type ]],$Q$5))</f>
        <v/>
      </c>
    </row>
    <row r="2630" spans="15:15" x14ac:dyDescent="0.25">
      <c r="O2630" s="20" t="str">
        <f>IF(N2630="","",COUNTIFS(RawData[[Date ]],N2630,RawData[Month List],$Q$6,RawData[Tour/Site],$Q$2,RawData[[Picker ID ]],$Q$3,RawData[Checker ID],$Q$4,RawData[[Error Type ]],$Q$5))</f>
        <v/>
      </c>
    </row>
    <row r="2631" spans="15:15" x14ac:dyDescent="0.25">
      <c r="O2631" s="20" t="str">
        <f>IF(N2631="","",COUNTIFS(RawData[[Date ]],N2631,RawData[Month List],$Q$6,RawData[Tour/Site],$Q$2,RawData[[Picker ID ]],$Q$3,RawData[Checker ID],$Q$4,RawData[[Error Type ]],$Q$5))</f>
        <v/>
      </c>
    </row>
    <row r="2632" spans="15:15" x14ac:dyDescent="0.25">
      <c r="O2632" s="20" t="str">
        <f>IF(N2632="","",COUNTIFS(RawData[[Date ]],N2632,RawData[Month List],$Q$6,RawData[Tour/Site],$Q$2,RawData[[Picker ID ]],$Q$3,RawData[Checker ID],$Q$4,RawData[[Error Type ]],$Q$5))</f>
        <v/>
      </c>
    </row>
    <row r="2633" spans="15:15" x14ac:dyDescent="0.25">
      <c r="O2633" s="20" t="str">
        <f>IF(N2633="","",COUNTIFS(RawData[[Date ]],N2633,RawData[Month List],$Q$6,RawData[Tour/Site],$Q$2,RawData[[Picker ID ]],$Q$3,RawData[Checker ID],$Q$4,RawData[[Error Type ]],$Q$5))</f>
        <v/>
      </c>
    </row>
    <row r="2634" spans="15:15" x14ac:dyDescent="0.25">
      <c r="O2634" s="20" t="str">
        <f>IF(N2634="","",COUNTIFS(RawData[[Date ]],N2634,RawData[Month List],$Q$6,RawData[Tour/Site],$Q$2,RawData[[Picker ID ]],$Q$3,RawData[Checker ID],$Q$4,RawData[[Error Type ]],$Q$5))</f>
        <v/>
      </c>
    </row>
    <row r="2635" spans="15:15" x14ac:dyDescent="0.25">
      <c r="O2635" s="20" t="str">
        <f>IF(N2635="","",COUNTIFS(RawData[[Date ]],N2635,RawData[Month List],$Q$6,RawData[Tour/Site],$Q$2,RawData[[Picker ID ]],$Q$3,RawData[Checker ID],$Q$4,RawData[[Error Type ]],$Q$5))</f>
        <v/>
      </c>
    </row>
    <row r="2636" spans="15:15" x14ac:dyDescent="0.25">
      <c r="O2636" s="20" t="str">
        <f>IF(N2636="","",COUNTIFS(RawData[[Date ]],N2636,RawData[Month List],$Q$6,RawData[Tour/Site],$Q$2,RawData[[Picker ID ]],$Q$3,RawData[Checker ID],$Q$4,RawData[[Error Type ]],$Q$5))</f>
        <v/>
      </c>
    </row>
    <row r="2637" spans="15:15" x14ac:dyDescent="0.25">
      <c r="O2637" s="20" t="str">
        <f>IF(N2637="","",COUNTIFS(RawData[[Date ]],N2637,RawData[Month List],$Q$6,RawData[Tour/Site],$Q$2,RawData[[Picker ID ]],$Q$3,RawData[Checker ID],$Q$4,RawData[[Error Type ]],$Q$5))</f>
        <v/>
      </c>
    </row>
    <row r="2638" spans="15:15" x14ac:dyDescent="0.25">
      <c r="O2638" s="20" t="str">
        <f>IF(N2638="","",COUNTIFS(RawData[[Date ]],N2638,RawData[Month List],$Q$6,RawData[Tour/Site],$Q$2,RawData[[Picker ID ]],$Q$3,RawData[Checker ID],$Q$4,RawData[[Error Type ]],$Q$5))</f>
        <v/>
      </c>
    </row>
    <row r="2639" spans="15:15" x14ac:dyDescent="0.25">
      <c r="O2639" s="20" t="str">
        <f>IF(N2639="","",COUNTIFS(RawData[[Date ]],N2639,RawData[Month List],$Q$6,RawData[Tour/Site],$Q$2,RawData[[Picker ID ]],$Q$3,RawData[Checker ID],$Q$4,RawData[[Error Type ]],$Q$5))</f>
        <v/>
      </c>
    </row>
    <row r="2640" spans="15:15" x14ac:dyDescent="0.25">
      <c r="O2640" s="20" t="str">
        <f>IF(N2640="","",COUNTIFS(RawData[[Date ]],N2640,RawData[Month List],$Q$6,RawData[Tour/Site],$Q$2,RawData[[Picker ID ]],$Q$3,RawData[Checker ID],$Q$4,RawData[[Error Type ]],$Q$5))</f>
        <v/>
      </c>
    </row>
    <row r="2641" spans="15:15" x14ac:dyDescent="0.25">
      <c r="O2641" s="20" t="str">
        <f>IF(N2641="","",COUNTIFS(RawData[[Date ]],N2641,RawData[Month List],$Q$6,RawData[Tour/Site],$Q$2,RawData[[Picker ID ]],$Q$3,RawData[Checker ID],$Q$4,RawData[[Error Type ]],$Q$5))</f>
        <v/>
      </c>
    </row>
    <row r="2642" spans="15:15" x14ac:dyDescent="0.25">
      <c r="O2642" s="20" t="str">
        <f>IF(N2642="","",COUNTIFS(RawData[[Date ]],N2642,RawData[Month List],$Q$6,RawData[Tour/Site],$Q$2,RawData[[Picker ID ]],$Q$3,RawData[Checker ID],$Q$4,RawData[[Error Type ]],$Q$5))</f>
        <v/>
      </c>
    </row>
    <row r="2643" spans="15:15" x14ac:dyDescent="0.25">
      <c r="O2643" s="20" t="str">
        <f>IF(N2643="","",COUNTIFS(RawData[[Date ]],N2643,RawData[Month List],$Q$6,RawData[Tour/Site],$Q$2,RawData[[Picker ID ]],$Q$3,RawData[Checker ID],$Q$4,RawData[[Error Type ]],$Q$5))</f>
        <v/>
      </c>
    </row>
    <row r="2644" spans="15:15" x14ac:dyDescent="0.25">
      <c r="O2644" s="20" t="str">
        <f>IF(N2644="","",COUNTIFS(RawData[[Date ]],N2644,RawData[Month List],$Q$6,RawData[Tour/Site],$Q$2,RawData[[Picker ID ]],$Q$3,RawData[Checker ID],$Q$4,RawData[[Error Type ]],$Q$5))</f>
        <v/>
      </c>
    </row>
    <row r="2645" spans="15:15" x14ac:dyDescent="0.25">
      <c r="O2645" s="20" t="str">
        <f>IF(N2645="","",COUNTIFS(RawData[[Date ]],N2645,RawData[Month List],$Q$6,RawData[Tour/Site],$Q$2,RawData[[Picker ID ]],$Q$3,RawData[Checker ID],$Q$4,RawData[[Error Type ]],$Q$5))</f>
        <v/>
      </c>
    </row>
    <row r="2646" spans="15:15" x14ac:dyDescent="0.25">
      <c r="O2646" s="20" t="str">
        <f>IF(N2646="","",COUNTIFS(RawData[[Date ]],N2646,RawData[Month List],$Q$6,RawData[Tour/Site],$Q$2,RawData[[Picker ID ]],$Q$3,RawData[Checker ID],$Q$4,RawData[[Error Type ]],$Q$5))</f>
        <v/>
      </c>
    </row>
    <row r="2647" spans="15:15" x14ac:dyDescent="0.25">
      <c r="O2647" s="20" t="str">
        <f>IF(N2647="","",COUNTIFS(RawData[[Date ]],N2647,RawData[Month List],$Q$6,RawData[Tour/Site],$Q$2,RawData[[Picker ID ]],$Q$3,RawData[Checker ID],$Q$4,RawData[[Error Type ]],$Q$5))</f>
        <v/>
      </c>
    </row>
    <row r="2648" spans="15:15" x14ac:dyDescent="0.25">
      <c r="O2648" s="20" t="str">
        <f>IF(N2648="","",COUNTIFS(RawData[[Date ]],N2648,RawData[Month List],$Q$6,RawData[Tour/Site],$Q$2,RawData[[Picker ID ]],$Q$3,RawData[Checker ID],$Q$4,RawData[[Error Type ]],$Q$5))</f>
        <v/>
      </c>
    </row>
    <row r="2649" spans="15:15" x14ac:dyDescent="0.25">
      <c r="O2649" s="20" t="str">
        <f>IF(N2649="","",COUNTIFS(RawData[[Date ]],N2649,RawData[Month List],$Q$6,RawData[Tour/Site],$Q$2,RawData[[Picker ID ]],$Q$3,RawData[Checker ID],$Q$4,RawData[[Error Type ]],$Q$5))</f>
        <v/>
      </c>
    </row>
    <row r="2650" spans="15:15" x14ac:dyDescent="0.25">
      <c r="O2650" s="20" t="str">
        <f>IF(N2650="","",COUNTIFS(RawData[[Date ]],N2650,RawData[Month List],$Q$6,RawData[Tour/Site],$Q$2,RawData[[Picker ID ]],$Q$3,RawData[Checker ID],$Q$4,RawData[[Error Type ]],$Q$5))</f>
        <v/>
      </c>
    </row>
    <row r="2651" spans="15:15" x14ac:dyDescent="0.25">
      <c r="O2651" s="20" t="str">
        <f>IF(N2651="","",COUNTIFS(RawData[[Date ]],N2651,RawData[Month List],$Q$6,RawData[Tour/Site],$Q$2,RawData[[Picker ID ]],$Q$3,RawData[Checker ID],$Q$4,RawData[[Error Type ]],$Q$5))</f>
        <v/>
      </c>
    </row>
    <row r="2652" spans="15:15" x14ac:dyDescent="0.25">
      <c r="O2652" s="20" t="str">
        <f>IF(N2652="","",COUNTIFS(RawData[[Date ]],N2652,RawData[Month List],$Q$6,RawData[Tour/Site],$Q$2,RawData[[Picker ID ]],$Q$3,RawData[Checker ID],$Q$4,RawData[[Error Type ]],$Q$5))</f>
        <v/>
      </c>
    </row>
    <row r="2653" spans="15:15" x14ac:dyDescent="0.25">
      <c r="O2653" s="20" t="str">
        <f>IF(N2653="","",COUNTIFS(RawData[[Date ]],N2653,RawData[Month List],$Q$6,RawData[Tour/Site],$Q$2,RawData[[Picker ID ]],$Q$3,RawData[Checker ID],$Q$4,RawData[[Error Type ]],$Q$5))</f>
        <v/>
      </c>
    </row>
    <row r="2654" spans="15:15" x14ac:dyDescent="0.25">
      <c r="O2654" s="20" t="str">
        <f>IF(N2654="","",COUNTIFS(RawData[[Date ]],N2654,RawData[Month List],$Q$6,RawData[Tour/Site],$Q$2,RawData[[Picker ID ]],$Q$3,RawData[Checker ID],$Q$4,RawData[[Error Type ]],$Q$5))</f>
        <v/>
      </c>
    </row>
    <row r="2655" spans="15:15" x14ac:dyDescent="0.25">
      <c r="O2655" s="20" t="str">
        <f>IF(N2655="","",COUNTIFS(RawData[[Date ]],N2655,RawData[Month List],$Q$6,RawData[Tour/Site],$Q$2,RawData[[Picker ID ]],$Q$3,RawData[Checker ID],$Q$4,RawData[[Error Type ]],$Q$5))</f>
        <v/>
      </c>
    </row>
    <row r="2656" spans="15:15" x14ac:dyDescent="0.25">
      <c r="O2656" s="20" t="str">
        <f>IF(N2656="","",COUNTIFS(RawData[[Date ]],N2656,RawData[Month List],$Q$6,RawData[Tour/Site],$Q$2,RawData[[Picker ID ]],$Q$3,RawData[Checker ID],$Q$4,RawData[[Error Type ]],$Q$5))</f>
        <v/>
      </c>
    </row>
    <row r="2657" spans="15:15" x14ac:dyDescent="0.25">
      <c r="O2657" s="20" t="str">
        <f>IF(N2657="","",COUNTIFS(RawData[[Date ]],N2657,RawData[Month List],$Q$6,RawData[Tour/Site],$Q$2,RawData[[Picker ID ]],$Q$3,RawData[Checker ID],$Q$4,RawData[[Error Type ]],$Q$5))</f>
        <v/>
      </c>
    </row>
    <row r="2658" spans="15:15" x14ac:dyDescent="0.25">
      <c r="O2658" s="20" t="str">
        <f>IF(N2658="","",COUNTIFS(RawData[[Date ]],N2658,RawData[Month List],$Q$6,RawData[Tour/Site],$Q$2,RawData[[Picker ID ]],$Q$3,RawData[Checker ID],$Q$4,RawData[[Error Type ]],$Q$5))</f>
        <v/>
      </c>
    </row>
    <row r="2659" spans="15:15" x14ac:dyDescent="0.25">
      <c r="O2659" s="20" t="str">
        <f>IF(N2659="","",COUNTIFS(RawData[[Date ]],N2659,RawData[Month List],$Q$6,RawData[Tour/Site],$Q$2,RawData[[Picker ID ]],$Q$3,RawData[Checker ID],$Q$4,RawData[[Error Type ]],$Q$5))</f>
        <v/>
      </c>
    </row>
    <row r="2660" spans="15:15" x14ac:dyDescent="0.25">
      <c r="O2660" s="20" t="str">
        <f>IF(N2660="","",COUNTIFS(RawData[[Date ]],N2660,RawData[Month List],$Q$6,RawData[Tour/Site],$Q$2,RawData[[Picker ID ]],$Q$3,RawData[Checker ID],$Q$4,RawData[[Error Type ]],$Q$5))</f>
        <v/>
      </c>
    </row>
    <row r="2661" spans="15:15" x14ac:dyDescent="0.25">
      <c r="O2661" s="20" t="str">
        <f>IF(N2661="","",COUNTIFS(RawData[[Date ]],N2661,RawData[Month List],$Q$6,RawData[Tour/Site],$Q$2,RawData[[Picker ID ]],$Q$3,RawData[Checker ID],$Q$4,RawData[[Error Type ]],$Q$5))</f>
        <v/>
      </c>
    </row>
    <row r="2662" spans="15:15" x14ac:dyDescent="0.25">
      <c r="O2662" s="20" t="str">
        <f>IF(N2662="","",COUNTIFS(RawData[[Date ]],N2662,RawData[Month List],$Q$6,RawData[Tour/Site],$Q$2,RawData[[Picker ID ]],$Q$3,RawData[Checker ID],$Q$4,RawData[[Error Type ]],$Q$5))</f>
        <v/>
      </c>
    </row>
    <row r="2663" spans="15:15" x14ac:dyDescent="0.25">
      <c r="O2663" s="20" t="str">
        <f>IF(N2663="","",COUNTIFS(RawData[[Date ]],N2663,RawData[Month List],$Q$6,RawData[Tour/Site],$Q$2,RawData[[Picker ID ]],$Q$3,RawData[Checker ID],$Q$4,RawData[[Error Type ]],$Q$5))</f>
        <v/>
      </c>
    </row>
    <row r="2664" spans="15:15" x14ac:dyDescent="0.25">
      <c r="O2664" s="20" t="str">
        <f>IF(N2664="","",COUNTIFS(RawData[[Date ]],N2664,RawData[Month List],$Q$6,RawData[Tour/Site],$Q$2,RawData[[Picker ID ]],$Q$3,RawData[Checker ID],$Q$4,RawData[[Error Type ]],$Q$5))</f>
        <v/>
      </c>
    </row>
    <row r="2665" spans="15:15" x14ac:dyDescent="0.25">
      <c r="O2665" s="20" t="str">
        <f>IF(N2665="","",COUNTIFS(RawData[[Date ]],N2665,RawData[Month List],$Q$6,RawData[Tour/Site],$Q$2,RawData[[Picker ID ]],$Q$3,RawData[Checker ID],$Q$4,RawData[[Error Type ]],$Q$5))</f>
        <v/>
      </c>
    </row>
    <row r="2666" spans="15:15" x14ac:dyDescent="0.25">
      <c r="O2666" s="20" t="str">
        <f>IF(N2666="","",COUNTIFS(RawData[[Date ]],N2666,RawData[Month List],$Q$6,RawData[Tour/Site],$Q$2,RawData[[Picker ID ]],$Q$3,RawData[Checker ID],$Q$4,RawData[[Error Type ]],$Q$5))</f>
        <v/>
      </c>
    </row>
    <row r="2667" spans="15:15" x14ac:dyDescent="0.25">
      <c r="O2667" s="20" t="str">
        <f>IF(N2667="","",COUNTIFS(RawData[[Date ]],N2667,RawData[Month List],$Q$6,RawData[Tour/Site],$Q$2,RawData[[Picker ID ]],$Q$3,RawData[Checker ID],$Q$4,RawData[[Error Type ]],$Q$5))</f>
        <v/>
      </c>
    </row>
    <row r="2668" spans="15:15" x14ac:dyDescent="0.25">
      <c r="O2668" s="20" t="str">
        <f>IF(N2668="","",COUNTIFS(RawData[[Date ]],N2668,RawData[Month List],$Q$6,RawData[Tour/Site],$Q$2,RawData[[Picker ID ]],$Q$3,RawData[Checker ID],$Q$4,RawData[[Error Type ]],$Q$5))</f>
        <v/>
      </c>
    </row>
    <row r="2669" spans="15:15" x14ac:dyDescent="0.25">
      <c r="O2669" s="20" t="str">
        <f>IF(N2669="","",COUNTIFS(RawData[[Date ]],N2669,RawData[Month List],$Q$6,RawData[Tour/Site],$Q$2,RawData[[Picker ID ]],$Q$3,RawData[Checker ID],$Q$4,RawData[[Error Type ]],$Q$5))</f>
        <v/>
      </c>
    </row>
    <row r="2670" spans="15:15" x14ac:dyDescent="0.25">
      <c r="O2670" s="20" t="str">
        <f>IF(N2670="","",COUNTIFS(RawData[[Date ]],N2670,RawData[Month List],$Q$6,RawData[Tour/Site],$Q$2,RawData[[Picker ID ]],$Q$3,RawData[Checker ID],$Q$4,RawData[[Error Type ]],$Q$5))</f>
        <v/>
      </c>
    </row>
    <row r="2671" spans="15:15" x14ac:dyDescent="0.25">
      <c r="O2671" s="20" t="str">
        <f>IF(N2671="","",COUNTIFS(RawData[[Date ]],N2671,RawData[Month List],$Q$6,RawData[Tour/Site],$Q$2,RawData[[Picker ID ]],$Q$3,RawData[Checker ID],$Q$4,RawData[[Error Type ]],$Q$5))</f>
        <v/>
      </c>
    </row>
    <row r="2672" spans="15:15" x14ac:dyDescent="0.25">
      <c r="O2672" s="20" t="str">
        <f>IF(N2672="","",COUNTIFS(RawData[[Date ]],N2672,RawData[Month List],$Q$6,RawData[Tour/Site],$Q$2,RawData[[Picker ID ]],$Q$3,RawData[Checker ID],$Q$4,RawData[[Error Type ]],$Q$5))</f>
        <v/>
      </c>
    </row>
    <row r="2673" spans="15:15" x14ac:dyDescent="0.25">
      <c r="O2673" s="20" t="str">
        <f>IF(N2673="","",COUNTIFS(RawData[[Date ]],N2673,RawData[Month List],$Q$6,RawData[Tour/Site],$Q$2,RawData[[Picker ID ]],$Q$3,RawData[Checker ID],$Q$4,RawData[[Error Type ]],$Q$5))</f>
        <v/>
      </c>
    </row>
    <row r="2674" spans="15:15" x14ac:dyDescent="0.25">
      <c r="O2674" s="20" t="str">
        <f>IF(N2674="","",COUNTIFS(RawData[[Date ]],N2674,RawData[Month List],$Q$6,RawData[Tour/Site],$Q$2,RawData[[Picker ID ]],$Q$3,RawData[Checker ID],$Q$4,RawData[[Error Type ]],$Q$5))</f>
        <v/>
      </c>
    </row>
    <row r="2675" spans="15:15" x14ac:dyDescent="0.25">
      <c r="O2675" s="20" t="str">
        <f>IF(N2675="","",COUNTIFS(RawData[[Date ]],N2675,RawData[Month List],$Q$6,RawData[Tour/Site],$Q$2,RawData[[Picker ID ]],$Q$3,RawData[Checker ID],$Q$4,RawData[[Error Type ]],$Q$5))</f>
        <v/>
      </c>
    </row>
    <row r="2676" spans="15:15" x14ac:dyDescent="0.25">
      <c r="O2676" s="20" t="str">
        <f>IF(N2676="","",COUNTIFS(RawData[[Date ]],N2676,RawData[Month List],$Q$6,RawData[Tour/Site],$Q$2,RawData[[Picker ID ]],$Q$3,RawData[Checker ID],$Q$4,RawData[[Error Type ]],$Q$5))</f>
        <v/>
      </c>
    </row>
    <row r="2677" spans="15:15" x14ac:dyDescent="0.25">
      <c r="O2677" s="20" t="str">
        <f>IF(N2677="","",COUNTIFS(RawData[[Date ]],N2677,RawData[Month List],$Q$6,RawData[Tour/Site],$Q$2,RawData[[Picker ID ]],$Q$3,RawData[Checker ID],$Q$4,RawData[[Error Type ]],$Q$5))</f>
        <v/>
      </c>
    </row>
    <row r="2678" spans="15:15" x14ac:dyDescent="0.25">
      <c r="O2678" s="20" t="str">
        <f>IF(N2678="","",COUNTIFS(RawData[[Date ]],N2678,RawData[Month List],$Q$6,RawData[Tour/Site],$Q$2,RawData[[Picker ID ]],$Q$3,RawData[Checker ID],$Q$4,RawData[[Error Type ]],$Q$5))</f>
        <v/>
      </c>
    </row>
    <row r="2679" spans="15:15" x14ac:dyDescent="0.25">
      <c r="O2679" s="20" t="str">
        <f>IF(N2679="","",COUNTIFS(RawData[[Date ]],N2679,RawData[Month List],$Q$6,RawData[Tour/Site],$Q$2,RawData[[Picker ID ]],$Q$3,RawData[Checker ID],$Q$4,RawData[[Error Type ]],$Q$5))</f>
        <v/>
      </c>
    </row>
    <row r="2680" spans="15:15" x14ac:dyDescent="0.25">
      <c r="O2680" s="20" t="str">
        <f>IF(N2680="","",COUNTIFS(RawData[[Date ]],N2680,RawData[Month List],$Q$6,RawData[Tour/Site],$Q$2,RawData[[Picker ID ]],$Q$3,RawData[Checker ID],$Q$4,RawData[[Error Type ]],$Q$5))</f>
        <v/>
      </c>
    </row>
    <row r="2681" spans="15:15" x14ac:dyDescent="0.25">
      <c r="O2681" s="20" t="str">
        <f>IF(N2681="","",COUNTIFS(RawData[[Date ]],N2681,RawData[Month List],$Q$6,RawData[Tour/Site],$Q$2,RawData[[Picker ID ]],$Q$3,RawData[Checker ID],$Q$4,RawData[[Error Type ]],$Q$5))</f>
        <v/>
      </c>
    </row>
    <row r="2682" spans="15:15" x14ac:dyDescent="0.25">
      <c r="O2682" s="20" t="str">
        <f>IF(N2682="","",COUNTIFS(RawData[[Date ]],N2682,RawData[Month List],$Q$6,RawData[Tour/Site],$Q$2,RawData[[Picker ID ]],$Q$3,RawData[Checker ID],$Q$4,RawData[[Error Type ]],$Q$5))</f>
        <v/>
      </c>
    </row>
    <row r="2683" spans="15:15" x14ac:dyDescent="0.25">
      <c r="O2683" s="20" t="str">
        <f>IF(N2683="","",COUNTIFS(RawData[[Date ]],N2683,RawData[Month List],$Q$6,RawData[Tour/Site],$Q$2,RawData[[Picker ID ]],$Q$3,RawData[Checker ID],$Q$4,RawData[[Error Type ]],$Q$5))</f>
        <v/>
      </c>
    </row>
    <row r="2684" spans="15:15" x14ac:dyDescent="0.25">
      <c r="O2684" s="20" t="str">
        <f>IF(N2684="","",COUNTIFS(RawData[[Date ]],N2684,RawData[Month List],$Q$6,RawData[Tour/Site],$Q$2,RawData[[Picker ID ]],$Q$3,RawData[Checker ID],$Q$4,RawData[[Error Type ]],$Q$5))</f>
        <v/>
      </c>
    </row>
    <row r="2685" spans="15:15" x14ac:dyDescent="0.25">
      <c r="O2685" s="20" t="str">
        <f>IF(N2685="","",COUNTIFS(RawData[[Date ]],N2685,RawData[Month List],$Q$6,RawData[Tour/Site],$Q$2,RawData[[Picker ID ]],$Q$3,RawData[Checker ID],$Q$4,RawData[[Error Type ]],$Q$5))</f>
        <v/>
      </c>
    </row>
    <row r="2686" spans="15:15" x14ac:dyDescent="0.25">
      <c r="O2686" s="20" t="str">
        <f>IF(N2686="","",COUNTIFS(RawData[[Date ]],N2686,RawData[Month List],$Q$6,RawData[Tour/Site],$Q$2,RawData[[Picker ID ]],$Q$3,RawData[Checker ID],$Q$4,RawData[[Error Type ]],$Q$5))</f>
        <v/>
      </c>
    </row>
    <row r="2687" spans="15:15" x14ac:dyDescent="0.25">
      <c r="O2687" s="20" t="str">
        <f>IF(N2687="","",COUNTIFS(RawData[[Date ]],N2687,RawData[Month List],$Q$6,RawData[Tour/Site],$Q$2,RawData[[Picker ID ]],$Q$3,RawData[Checker ID],$Q$4,RawData[[Error Type ]],$Q$5))</f>
        <v/>
      </c>
    </row>
    <row r="2688" spans="15:15" x14ac:dyDescent="0.25">
      <c r="O2688" s="20" t="str">
        <f>IF(N2688="","",COUNTIFS(RawData[[Date ]],N2688,RawData[Month List],$Q$6,RawData[Tour/Site],$Q$2,RawData[[Picker ID ]],$Q$3,RawData[Checker ID],$Q$4,RawData[[Error Type ]],$Q$5))</f>
        <v/>
      </c>
    </row>
    <row r="2689" spans="15:15" x14ac:dyDescent="0.25">
      <c r="O2689" s="20" t="str">
        <f>IF(N2689="","",COUNTIFS(RawData[[Date ]],N2689,RawData[Month List],$Q$6,RawData[Tour/Site],$Q$2,RawData[[Picker ID ]],$Q$3,RawData[Checker ID],$Q$4,RawData[[Error Type ]],$Q$5))</f>
        <v/>
      </c>
    </row>
    <row r="2690" spans="15:15" x14ac:dyDescent="0.25">
      <c r="O2690" s="20" t="str">
        <f>IF(N2690="","",COUNTIFS(RawData[[Date ]],N2690,RawData[Month List],$Q$6,RawData[Tour/Site],$Q$2,RawData[[Picker ID ]],$Q$3,RawData[Checker ID],$Q$4,RawData[[Error Type ]],$Q$5))</f>
        <v/>
      </c>
    </row>
    <row r="2691" spans="15:15" x14ac:dyDescent="0.25">
      <c r="O2691" s="20" t="str">
        <f>IF(N2691="","",COUNTIFS(RawData[[Date ]],N2691,RawData[Month List],$Q$6,RawData[Tour/Site],$Q$2,RawData[[Picker ID ]],$Q$3,RawData[Checker ID],$Q$4,RawData[[Error Type ]],$Q$5))</f>
        <v/>
      </c>
    </row>
    <row r="2692" spans="15:15" x14ac:dyDescent="0.25">
      <c r="O2692" s="20" t="str">
        <f>IF(N2692="","",COUNTIFS(RawData[[Date ]],N2692,RawData[Month List],$Q$6,RawData[Tour/Site],$Q$2,RawData[[Picker ID ]],$Q$3,RawData[Checker ID],$Q$4,RawData[[Error Type ]],$Q$5))</f>
        <v/>
      </c>
    </row>
    <row r="2693" spans="15:15" x14ac:dyDescent="0.25">
      <c r="O2693" s="20" t="str">
        <f>IF(N2693="","",COUNTIFS(RawData[[Date ]],N2693,RawData[Month List],$Q$6,RawData[Tour/Site],$Q$2,RawData[[Picker ID ]],$Q$3,RawData[Checker ID],$Q$4,RawData[[Error Type ]],$Q$5))</f>
        <v/>
      </c>
    </row>
    <row r="2694" spans="15:15" x14ac:dyDescent="0.25">
      <c r="O2694" s="20" t="str">
        <f>IF(N2694="","",COUNTIFS(RawData[[Date ]],N2694,RawData[Month List],$Q$6,RawData[Tour/Site],$Q$2,RawData[[Picker ID ]],$Q$3,RawData[Checker ID],$Q$4,RawData[[Error Type ]],$Q$5))</f>
        <v/>
      </c>
    </row>
    <row r="2695" spans="15:15" x14ac:dyDescent="0.25">
      <c r="O2695" s="20" t="str">
        <f>IF(N2695="","",COUNTIFS(RawData[[Date ]],N2695,RawData[Month List],$Q$6,RawData[Tour/Site],$Q$2,RawData[[Picker ID ]],$Q$3,RawData[Checker ID],$Q$4,RawData[[Error Type ]],$Q$5))</f>
        <v/>
      </c>
    </row>
    <row r="2696" spans="15:15" x14ac:dyDescent="0.25">
      <c r="O2696" s="20" t="str">
        <f>IF(N2696="","",COUNTIFS(RawData[[Date ]],N2696,RawData[Month List],$Q$6,RawData[Tour/Site],$Q$2,RawData[[Picker ID ]],$Q$3,RawData[Checker ID],$Q$4,RawData[[Error Type ]],$Q$5))</f>
        <v/>
      </c>
    </row>
    <row r="2697" spans="15:15" x14ac:dyDescent="0.25">
      <c r="O2697" s="20" t="str">
        <f>IF(N2697="","",COUNTIFS(RawData[[Date ]],N2697,RawData[Month List],$Q$6,RawData[Tour/Site],$Q$2,RawData[[Picker ID ]],$Q$3,RawData[Checker ID],$Q$4,RawData[[Error Type ]],$Q$5))</f>
        <v/>
      </c>
    </row>
    <row r="2698" spans="15:15" x14ac:dyDescent="0.25">
      <c r="O2698" s="20" t="str">
        <f>IF(N2698="","",COUNTIFS(RawData[[Date ]],N2698,RawData[Month List],$Q$6,RawData[Tour/Site],$Q$2,RawData[[Picker ID ]],$Q$3,RawData[Checker ID],$Q$4,RawData[[Error Type ]],$Q$5))</f>
        <v/>
      </c>
    </row>
    <row r="2699" spans="15:15" x14ac:dyDescent="0.25">
      <c r="O2699" s="20" t="str">
        <f>IF(N2699="","",COUNTIFS(RawData[[Date ]],N2699,RawData[Month List],$Q$6,RawData[Tour/Site],$Q$2,RawData[[Picker ID ]],$Q$3,RawData[Checker ID],$Q$4,RawData[[Error Type ]],$Q$5))</f>
        <v/>
      </c>
    </row>
    <row r="2700" spans="15:15" x14ac:dyDescent="0.25">
      <c r="O2700" s="20" t="str">
        <f>IF(N2700="","",COUNTIFS(RawData[[Date ]],N2700,RawData[Month List],$Q$6,RawData[Tour/Site],$Q$2,RawData[[Picker ID ]],$Q$3,RawData[Checker ID],$Q$4,RawData[[Error Type ]],$Q$5))</f>
        <v/>
      </c>
    </row>
    <row r="2701" spans="15:15" x14ac:dyDescent="0.25">
      <c r="O2701" s="20" t="str">
        <f>IF(N2701="","",COUNTIFS(RawData[[Date ]],N2701,RawData[Month List],$Q$6,RawData[Tour/Site],$Q$2,RawData[[Picker ID ]],$Q$3,RawData[Checker ID],$Q$4,RawData[[Error Type ]],$Q$5))</f>
        <v/>
      </c>
    </row>
    <row r="2702" spans="15:15" x14ac:dyDescent="0.25">
      <c r="O2702" s="20" t="str">
        <f>IF(N2702="","",COUNTIFS(RawData[[Date ]],N2702,RawData[Month List],$Q$6,RawData[Tour/Site],$Q$2,RawData[[Picker ID ]],$Q$3,RawData[Checker ID],$Q$4,RawData[[Error Type ]],$Q$5))</f>
        <v/>
      </c>
    </row>
    <row r="2703" spans="15:15" x14ac:dyDescent="0.25">
      <c r="O2703" s="20" t="str">
        <f>IF(N2703="","",COUNTIFS(RawData[[Date ]],N2703,RawData[Month List],$Q$6,RawData[Tour/Site],$Q$2,RawData[[Picker ID ]],$Q$3,RawData[Checker ID],$Q$4,RawData[[Error Type ]],$Q$5))</f>
        <v/>
      </c>
    </row>
    <row r="2704" spans="15:15" x14ac:dyDescent="0.25">
      <c r="O2704" s="20" t="str">
        <f>IF(N2704="","",COUNTIFS(RawData[[Date ]],N2704,RawData[Month List],$Q$6,RawData[Tour/Site],$Q$2,RawData[[Picker ID ]],$Q$3,RawData[Checker ID],$Q$4,RawData[[Error Type ]],$Q$5))</f>
        <v/>
      </c>
    </row>
    <row r="2705" spans="15:15" x14ac:dyDescent="0.25">
      <c r="O2705" s="20" t="str">
        <f>IF(N2705="","",COUNTIFS(RawData[[Date ]],N2705,RawData[Month List],$Q$6,RawData[Tour/Site],$Q$2,RawData[[Picker ID ]],$Q$3,RawData[Checker ID],$Q$4,RawData[[Error Type ]],$Q$5))</f>
        <v/>
      </c>
    </row>
    <row r="2706" spans="15:15" x14ac:dyDescent="0.25">
      <c r="O2706" s="20" t="str">
        <f>IF(N2706="","",COUNTIFS(RawData[[Date ]],N2706,RawData[Month List],$Q$6,RawData[Tour/Site],$Q$2,RawData[[Picker ID ]],$Q$3,RawData[Checker ID],$Q$4,RawData[[Error Type ]],$Q$5))</f>
        <v/>
      </c>
    </row>
    <row r="2707" spans="15:15" x14ac:dyDescent="0.25">
      <c r="O2707" s="20" t="str">
        <f>IF(N2707="","",COUNTIFS(RawData[[Date ]],N2707,RawData[Month List],$Q$6,RawData[Tour/Site],$Q$2,RawData[[Picker ID ]],$Q$3,RawData[Checker ID],$Q$4,RawData[[Error Type ]],$Q$5))</f>
        <v/>
      </c>
    </row>
    <row r="2708" spans="15:15" x14ac:dyDescent="0.25">
      <c r="O2708" s="20" t="str">
        <f>IF(N2708="","",COUNTIFS(RawData[[Date ]],N2708,RawData[Month List],$Q$6,RawData[Tour/Site],$Q$2,RawData[[Picker ID ]],$Q$3,RawData[Checker ID],$Q$4,RawData[[Error Type ]],$Q$5))</f>
        <v/>
      </c>
    </row>
    <row r="2709" spans="15:15" x14ac:dyDescent="0.25">
      <c r="O2709" s="20" t="str">
        <f>IF(N2709="","",COUNTIFS(RawData[[Date ]],N2709,RawData[Month List],$Q$6,RawData[Tour/Site],$Q$2,RawData[[Picker ID ]],$Q$3,RawData[Checker ID],$Q$4,RawData[[Error Type ]],$Q$5))</f>
        <v/>
      </c>
    </row>
    <row r="2710" spans="15:15" x14ac:dyDescent="0.25">
      <c r="O2710" s="20" t="str">
        <f>IF(N2710="","",COUNTIFS(RawData[[Date ]],N2710,RawData[Month List],$Q$6,RawData[Tour/Site],$Q$2,RawData[[Picker ID ]],$Q$3,RawData[Checker ID],$Q$4,RawData[[Error Type ]],$Q$5))</f>
        <v/>
      </c>
    </row>
    <row r="2711" spans="15:15" x14ac:dyDescent="0.25">
      <c r="O2711" s="20" t="str">
        <f>IF(N2711="","",COUNTIFS(RawData[[Date ]],N2711,RawData[Month List],$Q$6,RawData[Tour/Site],$Q$2,RawData[[Picker ID ]],$Q$3,RawData[Checker ID],$Q$4,RawData[[Error Type ]],$Q$5))</f>
        <v/>
      </c>
    </row>
    <row r="2712" spans="15:15" x14ac:dyDescent="0.25">
      <c r="O2712" s="20" t="str">
        <f>IF(N2712="","",COUNTIFS(RawData[[Date ]],N2712,RawData[Month List],$Q$6,RawData[Tour/Site],$Q$2,RawData[[Picker ID ]],$Q$3,RawData[Checker ID],$Q$4,RawData[[Error Type ]],$Q$5))</f>
        <v/>
      </c>
    </row>
    <row r="2713" spans="15:15" x14ac:dyDescent="0.25">
      <c r="O2713" s="20" t="str">
        <f>IF(N2713="","",COUNTIFS(RawData[[Date ]],N2713,RawData[Month List],$Q$6,RawData[Tour/Site],$Q$2,RawData[[Picker ID ]],$Q$3,RawData[Checker ID],$Q$4,RawData[[Error Type ]],$Q$5))</f>
        <v/>
      </c>
    </row>
    <row r="2714" spans="15:15" x14ac:dyDescent="0.25">
      <c r="O2714" s="20" t="str">
        <f>IF(N2714="","",COUNTIFS(RawData[[Date ]],N2714,RawData[Month List],$Q$6,RawData[Tour/Site],$Q$2,RawData[[Picker ID ]],$Q$3,RawData[Checker ID],$Q$4,RawData[[Error Type ]],$Q$5))</f>
        <v/>
      </c>
    </row>
    <row r="2715" spans="15:15" x14ac:dyDescent="0.25">
      <c r="O2715" s="20" t="str">
        <f>IF(N2715="","",COUNTIFS(RawData[[Date ]],N2715,RawData[Month List],$Q$6,RawData[Tour/Site],$Q$2,RawData[[Picker ID ]],$Q$3,RawData[Checker ID],$Q$4,RawData[[Error Type ]],$Q$5))</f>
        <v/>
      </c>
    </row>
    <row r="2716" spans="15:15" x14ac:dyDescent="0.25">
      <c r="O2716" s="20" t="str">
        <f>IF(N2716="","",COUNTIFS(RawData[[Date ]],N2716,RawData[Month List],$Q$6,RawData[Tour/Site],$Q$2,RawData[[Picker ID ]],$Q$3,RawData[Checker ID],$Q$4,RawData[[Error Type ]],$Q$5))</f>
        <v/>
      </c>
    </row>
    <row r="2717" spans="15:15" x14ac:dyDescent="0.25">
      <c r="O2717" s="20" t="str">
        <f>IF(N2717="","",COUNTIFS(RawData[[Date ]],N2717,RawData[Month List],$Q$6,RawData[Tour/Site],$Q$2,RawData[[Picker ID ]],$Q$3,RawData[Checker ID],$Q$4,RawData[[Error Type ]],$Q$5))</f>
        <v/>
      </c>
    </row>
    <row r="2718" spans="15:15" x14ac:dyDescent="0.25">
      <c r="O2718" s="20" t="str">
        <f>IF(N2718="","",COUNTIFS(RawData[[Date ]],N2718,RawData[Month List],$Q$6,RawData[Tour/Site],$Q$2,RawData[[Picker ID ]],$Q$3,RawData[Checker ID],$Q$4,RawData[[Error Type ]],$Q$5))</f>
        <v/>
      </c>
    </row>
    <row r="2719" spans="15:15" x14ac:dyDescent="0.25">
      <c r="O2719" s="20" t="str">
        <f>IF(N2719="","",COUNTIFS(RawData[[Date ]],N2719,RawData[Month List],$Q$6,RawData[Tour/Site],$Q$2,RawData[[Picker ID ]],$Q$3,RawData[Checker ID],$Q$4,RawData[[Error Type ]],$Q$5))</f>
        <v/>
      </c>
    </row>
    <row r="2720" spans="15:15" x14ac:dyDescent="0.25">
      <c r="O2720" s="20" t="str">
        <f>IF(N2720="","",COUNTIFS(RawData[[Date ]],N2720,RawData[Month List],$Q$6,RawData[Tour/Site],$Q$2,RawData[[Picker ID ]],$Q$3,RawData[Checker ID],$Q$4,RawData[[Error Type ]],$Q$5))</f>
        <v/>
      </c>
    </row>
    <row r="2721" spans="15:15" x14ac:dyDescent="0.25">
      <c r="O2721" s="20" t="str">
        <f>IF(N2721="","",COUNTIFS(RawData[[Date ]],N2721,RawData[Month List],$Q$6,RawData[Tour/Site],$Q$2,RawData[[Picker ID ]],$Q$3,RawData[Checker ID],$Q$4,RawData[[Error Type ]],$Q$5))</f>
        <v/>
      </c>
    </row>
    <row r="2722" spans="15:15" x14ac:dyDescent="0.25">
      <c r="O2722" s="20" t="str">
        <f>IF(N2722="","",COUNTIFS(RawData[[Date ]],N2722,RawData[Month List],$Q$6,RawData[Tour/Site],$Q$2,RawData[[Picker ID ]],$Q$3,RawData[Checker ID],$Q$4,RawData[[Error Type ]],$Q$5))</f>
        <v/>
      </c>
    </row>
    <row r="2723" spans="15:15" x14ac:dyDescent="0.25">
      <c r="O2723" s="20" t="str">
        <f>IF(N2723="","",COUNTIFS(RawData[[Date ]],N2723,RawData[Month List],$Q$6,RawData[Tour/Site],$Q$2,RawData[[Picker ID ]],$Q$3,RawData[Checker ID],$Q$4,RawData[[Error Type ]],$Q$5))</f>
        <v/>
      </c>
    </row>
    <row r="2724" spans="15:15" x14ac:dyDescent="0.25">
      <c r="O2724" s="20" t="str">
        <f>IF(N2724="","",COUNTIFS(RawData[[Date ]],N2724,RawData[Month List],$Q$6,RawData[Tour/Site],$Q$2,RawData[[Picker ID ]],$Q$3,RawData[Checker ID],$Q$4,RawData[[Error Type ]],$Q$5))</f>
        <v/>
      </c>
    </row>
    <row r="2725" spans="15:15" x14ac:dyDescent="0.25">
      <c r="O2725" s="20" t="str">
        <f>IF(N2725="","",COUNTIFS(RawData[[Date ]],N2725,RawData[Month List],$Q$6,RawData[Tour/Site],$Q$2,RawData[[Picker ID ]],$Q$3,RawData[Checker ID],$Q$4,RawData[[Error Type ]],$Q$5))</f>
        <v/>
      </c>
    </row>
    <row r="2726" spans="15:15" x14ac:dyDescent="0.25">
      <c r="O2726" s="20" t="str">
        <f>IF(N2726="","",COUNTIFS(RawData[[Date ]],N2726,RawData[Month List],$Q$6,RawData[Tour/Site],$Q$2,RawData[[Picker ID ]],$Q$3,RawData[Checker ID],$Q$4,RawData[[Error Type ]],$Q$5))</f>
        <v/>
      </c>
    </row>
    <row r="2727" spans="15:15" x14ac:dyDescent="0.25">
      <c r="O2727" s="20" t="str">
        <f>IF(N2727="","",COUNTIFS(RawData[[Date ]],N2727,RawData[Month List],$Q$6,RawData[Tour/Site],$Q$2,RawData[[Picker ID ]],$Q$3,RawData[Checker ID],$Q$4,RawData[[Error Type ]],$Q$5))</f>
        <v/>
      </c>
    </row>
    <row r="2728" spans="15:15" x14ac:dyDescent="0.25">
      <c r="O2728" s="20" t="str">
        <f>IF(N2728="","",COUNTIFS(RawData[[Date ]],N2728,RawData[Month List],$Q$6,RawData[Tour/Site],$Q$2,RawData[[Picker ID ]],$Q$3,RawData[Checker ID],$Q$4,RawData[[Error Type ]],$Q$5))</f>
        <v/>
      </c>
    </row>
    <row r="2729" spans="15:15" x14ac:dyDescent="0.25">
      <c r="O2729" s="20" t="str">
        <f>IF(N2729="","",COUNTIFS(RawData[[Date ]],N2729,RawData[Month List],$Q$6,RawData[Tour/Site],$Q$2,RawData[[Picker ID ]],$Q$3,RawData[Checker ID],$Q$4,RawData[[Error Type ]],$Q$5))</f>
        <v/>
      </c>
    </row>
    <row r="2730" spans="15:15" x14ac:dyDescent="0.25">
      <c r="O2730" s="20" t="str">
        <f>IF(N2730="","",COUNTIFS(RawData[[Date ]],N2730,RawData[Month List],$Q$6,RawData[Tour/Site],$Q$2,RawData[[Picker ID ]],$Q$3,RawData[Checker ID],$Q$4,RawData[[Error Type ]],$Q$5))</f>
        <v/>
      </c>
    </row>
    <row r="2731" spans="15:15" x14ac:dyDescent="0.25">
      <c r="O2731" s="20" t="str">
        <f>IF(N2731="","",COUNTIFS(RawData[[Date ]],N2731,RawData[Month List],$Q$6,RawData[Tour/Site],$Q$2,RawData[[Picker ID ]],$Q$3,RawData[Checker ID],$Q$4,RawData[[Error Type ]],$Q$5))</f>
        <v/>
      </c>
    </row>
    <row r="2732" spans="15:15" x14ac:dyDescent="0.25">
      <c r="O2732" s="20" t="str">
        <f>IF(N2732="","",COUNTIFS(RawData[[Date ]],N2732,RawData[Month List],$Q$6,RawData[Tour/Site],$Q$2,RawData[[Picker ID ]],$Q$3,RawData[Checker ID],$Q$4,RawData[[Error Type ]],$Q$5))</f>
        <v/>
      </c>
    </row>
    <row r="2733" spans="15:15" x14ac:dyDescent="0.25">
      <c r="O2733" s="20" t="str">
        <f>IF(N2733="","",COUNTIFS(RawData[[Date ]],N2733,RawData[Month List],$Q$6,RawData[Tour/Site],$Q$2,RawData[[Picker ID ]],$Q$3,RawData[Checker ID],$Q$4,RawData[[Error Type ]],$Q$5))</f>
        <v/>
      </c>
    </row>
    <row r="2734" spans="15:15" x14ac:dyDescent="0.25">
      <c r="O2734" s="20" t="str">
        <f>IF(N2734="","",COUNTIFS(RawData[[Date ]],N2734,RawData[Month List],$Q$6,RawData[Tour/Site],$Q$2,RawData[[Picker ID ]],$Q$3,RawData[Checker ID],$Q$4,RawData[[Error Type ]],$Q$5))</f>
        <v/>
      </c>
    </row>
    <row r="2735" spans="15:15" x14ac:dyDescent="0.25">
      <c r="O2735" s="20" t="str">
        <f>IF(N2735="","",COUNTIFS(RawData[[Date ]],N2735,RawData[Month List],$Q$6,RawData[Tour/Site],$Q$2,RawData[[Picker ID ]],$Q$3,RawData[Checker ID],$Q$4,RawData[[Error Type ]],$Q$5))</f>
        <v/>
      </c>
    </row>
    <row r="2736" spans="15:15" x14ac:dyDescent="0.25">
      <c r="O2736" s="20" t="str">
        <f>IF(N2736="","",COUNTIFS(RawData[[Date ]],N2736,RawData[Month List],$Q$6,RawData[Tour/Site],$Q$2,RawData[[Picker ID ]],$Q$3,RawData[Checker ID],$Q$4,RawData[[Error Type ]],$Q$5))</f>
        <v/>
      </c>
    </row>
    <row r="2737" spans="15:15" x14ac:dyDescent="0.25">
      <c r="O2737" s="20" t="str">
        <f>IF(N2737="","",COUNTIFS(RawData[[Date ]],N2737,RawData[Month List],$Q$6,RawData[Tour/Site],$Q$2,RawData[[Picker ID ]],$Q$3,RawData[Checker ID],$Q$4,RawData[[Error Type ]],$Q$5))</f>
        <v/>
      </c>
    </row>
    <row r="2738" spans="15:15" x14ac:dyDescent="0.25">
      <c r="O2738" s="20" t="str">
        <f>IF(N2738="","",COUNTIFS(RawData[[Date ]],N2738,RawData[Month List],$Q$6,RawData[Tour/Site],$Q$2,RawData[[Picker ID ]],$Q$3,RawData[Checker ID],$Q$4,RawData[[Error Type ]],$Q$5))</f>
        <v/>
      </c>
    </row>
    <row r="2739" spans="15:15" x14ac:dyDescent="0.25">
      <c r="O2739" s="20" t="str">
        <f>IF(N2739="","",COUNTIFS(RawData[[Date ]],N2739,RawData[Month List],$Q$6,RawData[Tour/Site],$Q$2,RawData[[Picker ID ]],$Q$3,RawData[Checker ID],$Q$4,RawData[[Error Type ]],$Q$5))</f>
        <v/>
      </c>
    </row>
    <row r="2740" spans="15:15" x14ac:dyDescent="0.25">
      <c r="O2740" s="20" t="str">
        <f>IF(N2740="","",COUNTIFS(RawData[[Date ]],N2740,RawData[Month List],$Q$6,RawData[Tour/Site],$Q$2,RawData[[Picker ID ]],$Q$3,RawData[Checker ID],$Q$4,RawData[[Error Type ]],$Q$5))</f>
        <v/>
      </c>
    </row>
    <row r="2741" spans="15:15" x14ac:dyDescent="0.25">
      <c r="O2741" s="20" t="str">
        <f>IF(N2741="","",COUNTIFS(RawData[[Date ]],N2741,RawData[Month List],$Q$6,RawData[Tour/Site],$Q$2,RawData[[Picker ID ]],$Q$3,RawData[Checker ID],$Q$4,RawData[[Error Type ]],$Q$5))</f>
        <v/>
      </c>
    </row>
    <row r="2742" spans="15:15" x14ac:dyDescent="0.25">
      <c r="O2742" s="20" t="str">
        <f>IF(N2742="","",COUNTIFS(RawData[[Date ]],N2742,RawData[Month List],$Q$6,RawData[Tour/Site],$Q$2,RawData[[Picker ID ]],$Q$3,RawData[Checker ID],$Q$4,RawData[[Error Type ]],$Q$5))</f>
        <v/>
      </c>
    </row>
    <row r="2743" spans="15:15" x14ac:dyDescent="0.25">
      <c r="O2743" s="20" t="str">
        <f>IF(N2743="","",COUNTIFS(RawData[[Date ]],N2743,RawData[Month List],$Q$6,RawData[Tour/Site],$Q$2,RawData[[Picker ID ]],$Q$3,RawData[Checker ID],$Q$4,RawData[[Error Type ]],$Q$5))</f>
        <v/>
      </c>
    </row>
    <row r="2744" spans="15:15" x14ac:dyDescent="0.25">
      <c r="O2744" s="20" t="str">
        <f>IF(N2744="","",COUNTIFS(RawData[[Date ]],N2744,RawData[Month List],$Q$6,RawData[Tour/Site],$Q$2,RawData[[Picker ID ]],$Q$3,RawData[Checker ID],$Q$4,RawData[[Error Type ]],$Q$5))</f>
        <v/>
      </c>
    </row>
    <row r="2745" spans="15:15" x14ac:dyDescent="0.25">
      <c r="O2745" s="20" t="str">
        <f>IF(N2745="","",COUNTIFS(RawData[[Date ]],N2745,RawData[Month List],$Q$6,RawData[Tour/Site],$Q$2,RawData[[Picker ID ]],$Q$3,RawData[Checker ID],$Q$4,RawData[[Error Type ]],$Q$5))</f>
        <v/>
      </c>
    </row>
    <row r="2746" spans="15:15" x14ac:dyDescent="0.25">
      <c r="O2746" s="20" t="str">
        <f>IF(N2746="","",COUNTIFS(RawData[[Date ]],N2746,RawData[Month List],$Q$6,RawData[Tour/Site],$Q$2,RawData[[Picker ID ]],$Q$3,RawData[Checker ID],$Q$4,RawData[[Error Type ]],$Q$5))</f>
        <v/>
      </c>
    </row>
    <row r="2747" spans="15:15" x14ac:dyDescent="0.25">
      <c r="O2747" s="20" t="str">
        <f>IF(N2747="","",COUNTIFS(RawData[[Date ]],N2747,RawData[Month List],$Q$6,RawData[Tour/Site],$Q$2,RawData[[Picker ID ]],$Q$3,RawData[Checker ID],$Q$4,RawData[[Error Type ]],$Q$5))</f>
        <v/>
      </c>
    </row>
    <row r="2748" spans="15:15" x14ac:dyDescent="0.25">
      <c r="O2748" s="20" t="str">
        <f>IF(N2748="","",COUNTIFS(RawData[[Date ]],N2748,RawData[Month List],$Q$6,RawData[Tour/Site],$Q$2,RawData[[Picker ID ]],$Q$3,RawData[Checker ID],$Q$4,RawData[[Error Type ]],$Q$5))</f>
        <v/>
      </c>
    </row>
    <row r="2749" spans="15:15" x14ac:dyDescent="0.25">
      <c r="O2749" s="20" t="str">
        <f>IF(N2749="","",COUNTIFS(RawData[[Date ]],N2749,RawData[Month List],$Q$6,RawData[Tour/Site],$Q$2,RawData[[Picker ID ]],$Q$3,RawData[Checker ID],$Q$4,RawData[[Error Type ]],$Q$5))</f>
        <v/>
      </c>
    </row>
    <row r="2750" spans="15:15" x14ac:dyDescent="0.25">
      <c r="O2750" s="20" t="str">
        <f>IF(N2750="","",COUNTIFS(RawData[[Date ]],N2750,RawData[Month List],$Q$6,RawData[Tour/Site],$Q$2,RawData[[Picker ID ]],$Q$3,RawData[Checker ID],$Q$4,RawData[[Error Type ]],$Q$5))</f>
        <v/>
      </c>
    </row>
    <row r="2751" spans="15:15" x14ac:dyDescent="0.25">
      <c r="O2751" s="20" t="str">
        <f>IF(N2751="","",COUNTIFS(RawData[[Date ]],N2751,RawData[Month List],$Q$6,RawData[Tour/Site],$Q$2,RawData[[Picker ID ]],$Q$3,RawData[Checker ID],$Q$4,RawData[[Error Type ]],$Q$5))</f>
        <v/>
      </c>
    </row>
    <row r="2752" spans="15:15" x14ac:dyDescent="0.25">
      <c r="O2752" s="20" t="str">
        <f>IF(N2752="","",COUNTIFS(RawData[[Date ]],N2752,RawData[Month List],$Q$6,RawData[Tour/Site],$Q$2,RawData[[Picker ID ]],$Q$3,RawData[Checker ID],$Q$4,RawData[[Error Type ]],$Q$5))</f>
        <v/>
      </c>
    </row>
    <row r="2753" spans="15:15" x14ac:dyDescent="0.25">
      <c r="O2753" s="20" t="str">
        <f>IF(N2753="","",COUNTIFS(RawData[[Date ]],N2753,RawData[Month List],$Q$6,RawData[Tour/Site],$Q$2,RawData[[Picker ID ]],$Q$3,RawData[Checker ID],$Q$4,RawData[[Error Type ]],$Q$5))</f>
        <v/>
      </c>
    </row>
    <row r="2754" spans="15:15" x14ac:dyDescent="0.25">
      <c r="O2754" s="20" t="str">
        <f>IF(N2754="","",COUNTIFS(RawData[[Date ]],N2754,RawData[Month List],$Q$6,RawData[Tour/Site],$Q$2,RawData[[Picker ID ]],$Q$3,RawData[Checker ID],$Q$4,RawData[[Error Type ]],$Q$5))</f>
        <v/>
      </c>
    </row>
    <row r="2755" spans="15:15" x14ac:dyDescent="0.25">
      <c r="O2755" s="20" t="str">
        <f>IF(N2755="","",COUNTIFS(RawData[[Date ]],N2755,RawData[Month List],$Q$6,RawData[Tour/Site],$Q$2,RawData[[Picker ID ]],$Q$3,RawData[Checker ID],$Q$4,RawData[[Error Type ]],$Q$5))</f>
        <v/>
      </c>
    </row>
    <row r="2756" spans="15:15" x14ac:dyDescent="0.25">
      <c r="O2756" s="20" t="str">
        <f>IF(N2756="","",COUNTIFS(RawData[[Date ]],N2756,RawData[Month List],$Q$6,RawData[Tour/Site],$Q$2,RawData[[Picker ID ]],$Q$3,RawData[Checker ID],$Q$4,RawData[[Error Type ]],$Q$5))</f>
        <v/>
      </c>
    </row>
    <row r="2757" spans="15:15" x14ac:dyDescent="0.25">
      <c r="O2757" s="20" t="str">
        <f>IF(N2757="","",COUNTIFS(RawData[[Date ]],N2757,RawData[Month List],$Q$6,RawData[Tour/Site],$Q$2,RawData[[Picker ID ]],$Q$3,RawData[Checker ID],$Q$4,RawData[[Error Type ]],$Q$5))</f>
        <v/>
      </c>
    </row>
    <row r="2758" spans="15:15" x14ac:dyDescent="0.25">
      <c r="O2758" s="20" t="str">
        <f>IF(N2758="","",COUNTIFS(RawData[[Date ]],N2758,RawData[Month List],$Q$6,RawData[Tour/Site],$Q$2,RawData[[Picker ID ]],$Q$3,RawData[Checker ID],$Q$4,RawData[[Error Type ]],$Q$5))</f>
        <v/>
      </c>
    </row>
    <row r="2759" spans="15:15" x14ac:dyDescent="0.25">
      <c r="O2759" s="20" t="str">
        <f>IF(N2759="","",COUNTIFS(RawData[[Date ]],N2759,RawData[Month List],$Q$6,RawData[Tour/Site],$Q$2,RawData[[Picker ID ]],$Q$3,RawData[Checker ID],$Q$4,RawData[[Error Type ]],$Q$5))</f>
        <v/>
      </c>
    </row>
    <row r="2760" spans="15:15" x14ac:dyDescent="0.25">
      <c r="O2760" s="20" t="str">
        <f>IF(N2760="","",COUNTIFS(RawData[[Date ]],N2760,RawData[Month List],$Q$6,RawData[Tour/Site],$Q$2,RawData[[Picker ID ]],$Q$3,RawData[Checker ID],$Q$4,RawData[[Error Type ]],$Q$5))</f>
        <v/>
      </c>
    </row>
    <row r="2761" spans="15:15" x14ac:dyDescent="0.25">
      <c r="O2761" s="20" t="str">
        <f>IF(N2761="","",COUNTIFS(RawData[[Date ]],N2761,RawData[Month List],$Q$6,RawData[Tour/Site],$Q$2,RawData[[Picker ID ]],$Q$3,RawData[Checker ID],$Q$4,RawData[[Error Type ]],$Q$5))</f>
        <v/>
      </c>
    </row>
    <row r="2762" spans="15:15" x14ac:dyDescent="0.25">
      <c r="O2762" s="20" t="str">
        <f>IF(N2762="","",COUNTIFS(RawData[[Date ]],N2762,RawData[Month List],$Q$6,RawData[Tour/Site],$Q$2,RawData[[Picker ID ]],$Q$3,RawData[Checker ID],$Q$4,RawData[[Error Type ]],$Q$5))</f>
        <v/>
      </c>
    </row>
    <row r="2763" spans="15:15" x14ac:dyDescent="0.25">
      <c r="O2763" s="20" t="str">
        <f>IF(N2763="","",COUNTIFS(RawData[[Date ]],N2763,RawData[Month List],$Q$6,RawData[Tour/Site],$Q$2,RawData[[Picker ID ]],$Q$3,RawData[Checker ID],$Q$4,RawData[[Error Type ]],$Q$5))</f>
        <v/>
      </c>
    </row>
    <row r="2764" spans="15:15" x14ac:dyDescent="0.25">
      <c r="O2764" s="20" t="str">
        <f>IF(N2764="","",COUNTIFS(RawData[[Date ]],N2764,RawData[Month List],$Q$6,RawData[Tour/Site],$Q$2,RawData[[Picker ID ]],$Q$3,RawData[Checker ID],$Q$4,RawData[[Error Type ]],$Q$5))</f>
        <v/>
      </c>
    </row>
    <row r="2765" spans="15:15" x14ac:dyDescent="0.25">
      <c r="O2765" s="20" t="str">
        <f>IF(N2765="","",COUNTIFS(RawData[[Date ]],N2765,RawData[Month List],$Q$6,RawData[Tour/Site],$Q$2,RawData[[Picker ID ]],$Q$3,RawData[Checker ID],$Q$4,RawData[[Error Type ]],$Q$5))</f>
        <v/>
      </c>
    </row>
    <row r="2766" spans="15:15" x14ac:dyDescent="0.25">
      <c r="O2766" s="20" t="str">
        <f>IF(N2766="","",COUNTIFS(RawData[[Date ]],N2766,RawData[Month List],$Q$6,RawData[Tour/Site],$Q$2,RawData[[Picker ID ]],$Q$3,RawData[Checker ID],$Q$4,RawData[[Error Type ]],$Q$5))</f>
        <v/>
      </c>
    </row>
    <row r="2767" spans="15:15" x14ac:dyDescent="0.25">
      <c r="O2767" s="20" t="str">
        <f>IF(N2767="","",COUNTIFS(RawData[[Date ]],N2767,RawData[Month List],$Q$6,RawData[Tour/Site],$Q$2,RawData[[Picker ID ]],$Q$3,RawData[Checker ID],$Q$4,RawData[[Error Type ]],$Q$5))</f>
        <v/>
      </c>
    </row>
    <row r="2768" spans="15:15" x14ac:dyDescent="0.25">
      <c r="O2768" s="20" t="str">
        <f>IF(N2768="","",COUNTIFS(RawData[[Date ]],N2768,RawData[Month List],$Q$6,RawData[Tour/Site],$Q$2,RawData[[Picker ID ]],$Q$3,RawData[Checker ID],$Q$4,RawData[[Error Type ]],$Q$5))</f>
        <v/>
      </c>
    </row>
    <row r="2769" spans="15:15" x14ac:dyDescent="0.25">
      <c r="O2769" s="20" t="str">
        <f>IF(N2769="","",COUNTIFS(RawData[[Date ]],N2769,RawData[Month List],$Q$6,RawData[Tour/Site],$Q$2,RawData[[Picker ID ]],$Q$3,RawData[Checker ID],$Q$4,RawData[[Error Type ]],$Q$5))</f>
        <v/>
      </c>
    </row>
    <row r="2770" spans="15:15" x14ac:dyDescent="0.25">
      <c r="O2770" s="20" t="str">
        <f>IF(N2770="","",COUNTIFS(RawData[[Date ]],N2770,RawData[Month List],$Q$6,RawData[Tour/Site],$Q$2,RawData[[Picker ID ]],$Q$3,RawData[Checker ID],$Q$4,RawData[[Error Type ]],$Q$5))</f>
        <v/>
      </c>
    </row>
    <row r="2771" spans="15:15" x14ac:dyDescent="0.25">
      <c r="O2771" s="20" t="str">
        <f>IF(N2771="","",COUNTIFS(RawData[[Date ]],N2771,RawData[Month List],$Q$6,RawData[Tour/Site],$Q$2,RawData[[Picker ID ]],$Q$3,RawData[Checker ID],$Q$4,RawData[[Error Type ]],$Q$5))</f>
        <v/>
      </c>
    </row>
    <row r="2772" spans="15:15" x14ac:dyDescent="0.25">
      <c r="O2772" s="20" t="str">
        <f>IF(N2772="","",COUNTIFS(RawData[[Date ]],N2772,RawData[Month List],$Q$6,RawData[Tour/Site],$Q$2,RawData[[Picker ID ]],$Q$3,RawData[Checker ID],$Q$4,RawData[[Error Type ]],$Q$5))</f>
        <v/>
      </c>
    </row>
    <row r="2773" spans="15:15" x14ac:dyDescent="0.25">
      <c r="O2773" s="20" t="str">
        <f>IF(N2773="","",COUNTIFS(RawData[[Date ]],N2773,RawData[Month List],$Q$6,RawData[Tour/Site],$Q$2,RawData[[Picker ID ]],$Q$3,RawData[Checker ID],$Q$4,RawData[[Error Type ]],$Q$5))</f>
        <v/>
      </c>
    </row>
    <row r="2774" spans="15:15" x14ac:dyDescent="0.25">
      <c r="O2774" s="20" t="str">
        <f>IF(N2774="","",COUNTIFS(RawData[[Date ]],N2774,RawData[Month List],$Q$6,RawData[Tour/Site],$Q$2,RawData[[Picker ID ]],$Q$3,RawData[Checker ID],$Q$4,RawData[[Error Type ]],$Q$5))</f>
        <v/>
      </c>
    </row>
    <row r="2775" spans="15:15" x14ac:dyDescent="0.25">
      <c r="O2775" s="20" t="str">
        <f>IF(N2775="","",COUNTIFS(RawData[[Date ]],N2775,RawData[Month List],$Q$6,RawData[Tour/Site],$Q$2,RawData[[Picker ID ]],$Q$3,RawData[Checker ID],$Q$4,RawData[[Error Type ]],$Q$5))</f>
        <v/>
      </c>
    </row>
    <row r="2776" spans="15:15" x14ac:dyDescent="0.25">
      <c r="O2776" s="20" t="str">
        <f>IF(N2776="","",COUNTIFS(RawData[[Date ]],N2776,RawData[Month List],$Q$6,RawData[Tour/Site],$Q$2,RawData[[Picker ID ]],$Q$3,RawData[Checker ID],$Q$4,RawData[[Error Type ]],$Q$5))</f>
        <v/>
      </c>
    </row>
    <row r="2777" spans="15:15" x14ac:dyDescent="0.25">
      <c r="O2777" s="20" t="str">
        <f>IF(N2777="","",COUNTIFS(RawData[[Date ]],N2777,RawData[Month List],$Q$6,RawData[Tour/Site],$Q$2,RawData[[Picker ID ]],$Q$3,RawData[Checker ID],$Q$4,RawData[[Error Type ]],$Q$5))</f>
        <v/>
      </c>
    </row>
    <row r="2778" spans="15:15" x14ac:dyDescent="0.25">
      <c r="O2778" s="20" t="str">
        <f>IF(N2778="","",COUNTIFS(RawData[[Date ]],N2778,RawData[Month List],$Q$6,RawData[Tour/Site],$Q$2,RawData[[Picker ID ]],$Q$3,RawData[Checker ID],$Q$4,RawData[[Error Type ]],$Q$5))</f>
        <v/>
      </c>
    </row>
    <row r="2779" spans="15:15" x14ac:dyDescent="0.25">
      <c r="O2779" s="20" t="str">
        <f>IF(N2779="","",COUNTIFS(RawData[[Date ]],N2779,RawData[Month List],$Q$6,RawData[Tour/Site],$Q$2,RawData[[Picker ID ]],$Q$3,RawData[Checker ID],$Q$4,RawData[[Error Type ]],$Q$5))</f>
        <v/>
      </c>
    </row>
    <row r="2780" spans="15:15" x14ac:dyDescent="0.25">
      <c r="O2780" s="20" t="str">
        <f>IF(N2780="","",COUNTIFS(RawData[[Date ]],N2780,RawData[Month List],$Q$6,RawData[Tour/Site],$Q$2,RawData[[Picker ID ]],$Q$3,RawData[Checker ID],$Q$4,RawData[[Error Type ]],$Q$5))</f>
        <v/>
      </c>
    </row>
    <row r="2781" spans="15:15" x14ac:dyDescent="0.25">
      <c r="O2781" s="20" t="str">
        <f>IF(N2781="","",COUNTIFS(RawData[[Date ]],N2781,RawData[Month List],$Q$6,RawData[Tour/Site],$Q$2,RawData[[Picker ID ]],$Q$3,RawData[Checker ID],$Q$4,RawData[[Error Type ]],$Q$5))</f>
        <v/>
      </c>
    </row>
    <row r="2782" spans="15:15" x14ac:dyDescent="0.25">
      <c r="O2782" s="20" t="str">
        <f>IF(N2782="","",COUNTIFS(RawData[[Date ]],N2782,RawData[Month List],$Q$6,RawData[Tour/Site],$Q$2,RawData[[Picker ID ]],$Q$3,RawData[Checker ID],$Q$4,RawData[[Error Type ]],$Q$5))</f>
        <v/>
      </c>
    </row>
    <row r="2783" spans="15:15" x14ac:dyDescent="0.25">
      <c r="O2783" s="20" t="str">
        <f>IF(N2783="","",COUNTIFS(RawData[[Date ]],N2783,RawData[Month List],$Q$6,RawData[Tour/Site],$Q$2,RawData[[Picker ID ]],$Q$3,RawData[Checker ID],$Q$4,RawData[[Error Type ]],$Q$5))</f>
        <v/>
      </c>
    </row>
    <row r="2784" spans="15:15" x14ac:dyDescent="0.25">
      <c r="O2784" s="20" t="str">
        <f>IF(N2784="","",COUNTIFS(RawData[[Date ]],N2784,RawData[Month List],$Q$6,RawData[Tour/Site],$Q$2,RawData[[Picker ID ]],$Q$3,RawData[Checker ID],$Q$4,RawData[[Error Type ]],$Q$5))</f>
        <v/>
      </c>
    </row>
    <row r="2785" spans="15:15" x14ac:dyDescent="0.25">
      <c r="O2785" s="20" t="str">
        <f>IF(N2785="","",COUNTIFS(RawData[[Date ]],N2785,RawData[Month List],$Q$6,RawData[Tour/Site],$Q$2,RawData[[Picker ID ]],$Q$3,RawData[Checker ID],$Q$4,RawData[[Error Type ]],$Q$5))</f>
        <v/>
      </c>
    </row>
    <row r="2786" spans="15:15" x14ac:dyDescent="0.25">
      <c r="O2786" s="20" t="str">
        <f>IF(N2786="","",COUNTIFS(RawData[[Date ]],N2786,RawData[Month List],$Q$6,RawData[Tour/Site],$Q$2,RawData[[Picker ID ]],$Q$3,RawData[Checker ID],$Q$4,RawData[[Error Type ]],$Q$5))</f>
        <v/>
      </c>
    </row>
    <row r="2787" spans="15:15" x14ac:dyDescent="0.25">
      <c r="O2787" s="20" t="str">
        <f>IF(N2787="","",COUNTIFS(RawData[[Date ]],N2787,RawData[Month List],$Q$6,RawData[Tour/Site],$Q$2,RawData[[Picker ID ]],$Q$3,RawData[Checker ID],$Q$4,RawData[[Error Type ]],$Q$5))</f>
        <v/>
      </c>
    </row>
    <row r="2788" spans="15:15" x14ac:dyDescent="0.25">
      <c r="O2788" s="20" t="str">
        <f>IF(N2788="","",COUNTIFS(RawData[[Date ]],N2788,RawData[Month List],$Q$6,RawData[Tour/Site],$Q$2,RawData[[Picker ID ]],$Q$3,RawData[Checker ID],$Q$4,RawData[[Error Type ]],$Q$5))</f>
        <v/>
      </c>
    </row>
    <row r="2789" spans="15:15" x14ac:dyDescent="0.25">
      <c r="O2789" s="20" t="str">
        <f>IF(N2789="","",COUNTIFS(RawData[[Date ]],N2789,RawData[Month List],$Q$6,RawData[Tour/Site],$Q$2,RawData[[Picker ID ]],$Q$3,RawData[Checker ID],$Q$4,RawData[[Error Type ]],$Q$5))</f>
        <v/>
      </c>
    </row>
    <row r="2790" spans="15:15" x14ac:dyDescent="0.25">
      <c r="O2790" s="20" t="str">
        <f>IF(N2790="","",COUNTIFS(RawData[[Date ]],N2790,RawData[Month List],$Q$6,RawData[Tour/Site],$Q$2,RawData[[Picker ID ]],$Q$3,RawData[Checker ID],$Q$4,RawData[[Error Type ]],$Q$5))</f>
        <v/>
      </c>
    </row>
    <row r="2791" spans="15:15" x14ac:dyDescent="0.25">
      <c r="O2791" s="20" t="str">
        <f>IF(N2791="","",COUNTIFS(RawData[[Date ]],N2791,RawData[Month List],$Q$6,RawData[Tour/Site],$Q$2,RawData[[Picker ID ]],$Q$3,RawData[Checker ID],$Q$4,RawData[[Error Type ]],$Q$5))</f>
        <v/>
      </c>
    </row>
    <row r="2792" spans="15:15" x14ac:dyDescent="0.25">
      <c r="O2792" s="20" t="str">
        <f>IF(N2792="","",COUNTIFS(RawData[[Date ]],N2792,RawData[Month List],$Q$6,RawData[Tour/Site],$Q$2,RawData[[Picker ID ]],$Q$3,RawData[Checker ID],$Q$4,RawData[[Error Type ]],$Q$5))</f>
        <v/>
      </c>
    </row>
    <row r="2793" spans="15:15" x14ac:dyDescent="0.25">
      <c r="O2793" s="20" t="str">
        <f>IF(N2793="","",COUNTIFS(RawData[[Date ]],N2793,RawData[Month List],$Q$6,RawData[Tour/Site],$Q$2,RawData[[Picker ID ]],$Q$3,RawData[Checker ID],$Q$4,RawData[[Error Type ]],$Q$5))</f>
        <v/>
      </c>
    </row>
    <row r="2794" spans="15:15" x14ac:dyDescent="0.25">
      <c r="O2794" s="20" t="str">
        <f>IF(N2794="","",COUNTIFS(RawData[[Date ]],N2794,RawData[Month List],$Q$6,RawData[Tour/Site],$Q$2,RawData[[Picker ID ]],$Q$3,RawData[Checker ID],$Q$4,RawData[[Error Type ]],$Q$5))</f>
        <v/>
      </c>
    </row>
    <row r="2795" spans="15:15" x14ac:dyDescent="0.25">
      <c r="O2795" s="20" t="str">
        <f>IF(N2795="","",COUNTIFS(RawData[[Date ]],N2795,RawData[Month List],$Q$6,RawData[Tour/Site],$Q$2,RawData[[Picker ID ]],$Q$3,RawData[Checker ID],$Q$4,RawData[[Error Type ]],$Q$5))</f>
        <v/>
      </c>
    </row>
    <row r="2796" spans="15:15" x14ac:dyDescent="0.25">
      <c r="O2796" s="20" t="str">
        <f>IF(N2796="","",COUNTIFS(RawData[[Date ]],N2796,RawData[Month List],$Q$6,RawData[Tour/Site],$Q$2,RawData[[Picker ID ]],$Q$3,RawData[Checker ID],$Q$4,RawData[[Error Type ]],$Q$5))</f>
        <v/>
      </c>
    </row>
    <row r="2797" spans="15:15" x14ac:dyDescent="0.25">
      <c r="O2797" s="20" t="str">
        <f>IF(N2797="","",COUNTIFS(RawData[[Date ]],N2797,RawData[Month List],$Q$6,RawData[Tour/Site],$Q$2,RawData[[Picker ID ]],$Q$3,RawData[Checker ID],$Q$4,RawData[[Error Type ]],$Q$5))</f>
        <v/>
      </c>
    </row>
    <row r="2798" spans="15:15" x14ac:dyDescent="0.25">
      <c r="O2798" s="20" t="str">
        <f>IF(N2798="","",COUNTIFS(RawData[[Date ]],N2798,RawData[Month List],$Q$6,RawData[Tour/Site],$Q$2,RawData[[Picker ID ]],$Q$3,RawData[Checker ID],$Q$4,RawData[[Error Type ]],$Q$5))</f>
        <v/>
      </c>
    </row>
    <row r="2799" spans="15:15" x14ac:dyDescent="0.25">
      <c r="O2799" s="20" t="str">
        <f>IF(N2799="","",COUNTIFS(RawData[[Date ]],N2799,RawData[Month List],$Q$6,RawData[Tour/Site],$Q$2,RawData[[Picker ID ]],$Q$3,RawData[Checker ID],$Q$4,RawData[[Error Type ]],$Q$5))</f>
        <v/>
      </c>
    </row>
    <row r="2800" spans="15:15" x14ac:dyDescent="0.25">
      <c r="O2800" s="20" t="str">
        <f>IF(N2800="","",COUNTIFS(RawData[[Date ]],N2800,RawData[Month List],$Q$6,RawData[Tour/Site],$Q$2,RawData[[Picker ID ]],$Q$3,RawData[Checker ID],$Q$4,RawData[[Error Type ]],$Q$5))</f>
        <v/>
      </c>
    </row>
    <row r="2801" spans="15:15" x14ac:dyDescent="0.25">
      <c r="O2801" s="20" t="str">
        <f>IF(N2801="","",COUNTIFS(RawData[[Date ]],N2801,RawData[Month List],$Q$6,RawData[Tour/Site],$Q$2,RawData[[Picker ID ]],$Q$3,RawData[Checker ID],$Q$4,RawData[[Error Type ]],$Q$5))</f>
        <v/>
      </c>
    </row>
    <row r="2802" spans="15:15" x14ac:dyDescent="0.25">
      <c r="O2802" s="20" t="str">
        <f>IF(N2802="","",COUNTIFS(RawData[[Date ]],N2802,RawData[Month List],$Q$6,RawData[Tour/Site],$Q$2,RawData[[Picker ID ]],$Q$3,RawData[Checker ID],$Q$4,RawData[[Error Type ]],$Q$5))</f>
        <v/>
      </c>
    </row>
    <row r="2803" spans="15:15" x14ac:dyDescent="0.25">
      <c r="O2803" s="20" t="str">
        <f>IF(N2803="","",COUNTIFS(RawData[[Date ]],N2803,RawData[Month List],$Q$6,RawData[Tour/Site],$Q$2,RawData[[Picker ID ]],$Q$3,RawData[Checker ID],$Q$4,RawData[[Error Type ]],$Q$5))</f>
        <v/>
      </c>
    </row>
    <row r="2804" spans="15:15" x14ac:dyDescent="0.25">
      <c r="O2804" s="20" t="str">
        <f>IF(N2804="","",COUNTIFS(RawData[[Date ]],N2804,RawData[Month List],$Q$6,RawData[Tour/Site],$Q$2,RawData[[Picker ID ]],$Q$3,RawData[Checker ID],$Q$4,RawData[[Error Type ]],$Q$5))</f>
        <v/>
      </c>
    </row>
    <row r="2805" spans="15:15" x14ac:dyDescent="0.25">
      <c r="O2805" s="20" t="str">
        <f>IF(N2805="","",COUNTIFS(RawData[[Date ]],N2805,RawData[Month List],$Q$6,RawData[Tour/Site],$Q$2,RawData[[Picker ID ]],$Q$3,RawData[Checker ID],$Q$4,RawData[[Error Type ]],$Q$5))</f>
        <v/>
      </c>
    </row>
    <row r="2806" spans="15:15" x14ac:dyDescent="0.25">
      <c r="O2806" s="20" t="str">
        <f>IF(N2806="","",COUNTIFS(RawData[[Date ]],N2806,RawData[Month List],$Q$6,RawData[Tour/Site],$Q$2,RawData[[Picker ID ]],$Q$3,RawData[Checker ID],$Q$4,RawData[[Error Type ]],$Q$5))</f>
        <v/>
      </c>
    </row>
    <row r="2807" spans="15:15" x14ac:dyDescent="0.25">
      <c r="O2807" s="20" t="str">
        <f>IF(N2807="","",COUNTIFS(RawData[[Date ]],N2807,RawData[Month List],$Q$6,RawData[Tour/Site],$Q$2,RawData[[Picker ID ]],$Q$3,RawData[Checker ID],$Q$4,RawData[[Error Type ]],$Q$5))</f>
        <v/>
      </c>
    </row>
    <row r="2808" spans="15:15" x14ac:dyDescent="0.25">
      <c r="O2808" s="20" t="str">
        <f>IF(N2808="","",COUNTIFS(RawData[[Date ]],N2808,RawData[Month List],$Q$6,RawData[Tour/Site],$Q$2,RawData[[Picker ID ]],$Q$3,RawData[Checker ID],$Q$4,RawData[[Error Type ]],$Q$5))</f>
        <v/>
      </c>
    </row>
    <row r="2809" spans="15:15" x14ac:dyDescent="0.25">
      <c r="O2809" s="20" t="str">
        <f>IF(N2809="","",COUNTIFS(RawData[[Date ]],N2809,RawData[Month List],$Q$6,RawData[Tour/Site],$Q$2,RawData[[Picker ID ]],$Q$3,RawData[Checker ID],$Q$4,RawData[[Error Type ]],$Q$5))</f>
        <v/>
      </c>
    </row>
    <row r="2810" spans="15:15" x14ac:dyDescent="0.25">
      <c r="O2810" s="20" t="str">
        <f>IF(N2810="","",COUNTIFS(RawData[[Date ]],N2810,RawData[Month List],$Q$6,RawData[Tour/Site],$Q$2,RawData[[Picker ID ]],$Q$3,RawData[Checker ID],$Q$4,RawData[[Error Type ]],$Q$5))</f>
        <v/>
      </c>
    </row>
    <row r="2811" spans="15:15" x14ac:dyDescent="0.25">
      <c r="O2811" s="20" t="str">
        <f>IF(N2811="","",COUNTIFS(RawData[[Date ]],N2811,RawData[Month List],$Q$6,RawData[Tour/Site],$Q$2,RawData[[Picker ID ]],$Q$3,RawData[Checker ID],$Q$4,RawData[[Error Type ]],$Q$5))</f>
        <v/>
      </c>
    </row>
    <row r="2812" spans="15:15" x14ac:dyDescent="0.25">
      <c r="O2812" s="20" t="str">
        <f>IF(N2812="","",COUNTIFS(RawData[[Date ]],N2812,RawData[Month List],$Q$6,RawData[Tour/Site],$Q$2,RawData[[Picker ID ]],$Q$3,RawData[Checker ID],$Q$4,RawData[[Error Type ]],$Q$5))</f>
        <v/>
      </c>
    </row>
    <row r="2813" spans="15:15" x14ac:dyDescent="0.25">
      <c r="O2813" s="20" t="str">
        <f>IF(N2813="","",COUNTIFS(RawData[[Date ]],N2813,RawData[Month List],$Q$6,RawData[Tour/Site],$Q$2,RawData[[Picker ID ]],$Q$3,RawData[Checker ID],$Q$4,RawData[[Error Type ]],$Q$5))</f>
        <v/>
      </c>
    </row>
    <row r="2814" spans="15:15" x14ac:dyDescent="0.25">
      <c r="O2814" s="20" t="str">
        <f>IF(N2814="","",COUNTIFS(RawData[[Date ]],N2814,RawData[Month List],$Q$6,RawData[Tour/Site],$Q$2,RawData[[Picker ID ]],$Q$3,RawData[Checker ID],$Q$4,RawData[[Error Type ]],$Q$5))</f>
        <v/>
      </c>
    </row>
    <row r="2815" spans="15:15" x14ac:dyDescent="0.25">
      <c r="O2815" s="20" t="str">
        <f>IF(N2815="","",COUNTIFS(RawData[[Date ]],N2815,RawData[Month List],$Q$6,RawData[Tour/Site],$Q$2,RawData[[Picker ID ]],$Q$3,RawData[Checker ID],$Q$4,RawData[[Error Type ]],$Q$5))</f>
        <v/>
      </c>
    </row>
    <row r="2816" spans="15:15" x14ac:dyDescent="0.25">
      <c r="O2816" s="20" t="str">
        <f>IF(N2816="","",COUNTIFS(RawData[[Date ]],N2816,RawData[Month List],$Q$6,RawData[Tour/Site],$Q$2,RawData[[Picker ID ]],$Q$3,RawData[Checker ID],$Q$4,RawData[[Error Type ]],$Q$5))</f>
        <v/>
      </c>
    </row>
    <row r="2817" spans="15:15" x14ac:dyDescent="0.25">
      <c r="O2817" s="20" t="str">
        <f>IF(N2817="","",COUNTIFS(RawData[[Date ]],N2817,RawData[Month List],$Q$6,RawData[Tour/Site],$Q$2,RawData[[Picker ID ]],$Q$3,RawData[Checker ID],$Q$4,RawData[[Error Type ]],$Q$5))</f>
        <v/>
      </c>
    </row>
    <row r="2818" spans="15:15" x14ac:dyDescent="0.25">
      <c r="O2818" s="20" t="str">
        <f>IF(N2818="","",COUNTIFS(RawData[[Date ]],N2818,RawData[Month List],$Q$6,RawData[Tour/Site],$Q$2,RawData[[Picker ID ]],$Q$3,RawData[Checker ID],$Q$4,RawData[[Error Type ]],$Q$5))</f>
        <v/>
      </c>
    </row>
    <row r="2819" spans="15:15" x14ac:dyDescent="0.25">
      <c r="O2819" s="20" t="str">
        <f>IF(N2819="","",COUNTIFS(RawData[[Date ]],N2819,RawData[Month List],$Q$6,RawData[Tour/Site],$Q$2,RawData[[Picker ID ]],$Q$3,RawData[Checker ID],$Q$4,RawData[[Error Type ]],$Q$5))</f>
        <v/>
      </c>
    </row>
    <row r="2820" spans="15:15" x14ac:dyDescent="0.25">
      <c r="O2820" s="20" t="str">
        <f>IF(N2820="","",COUNTIFS(RawData[[Date ]],N2820,RawData[Month List],$Q$6,RawData[Tour/Site],$Q$2,RawData[[Picker ID ]],$Q$3,RawData[Checker ID],$Q$4,RawData[[Error Type ]],$Q$5))</f>
        <v/>
      </c>
    </row>
    <row r="2821" spans="15:15" x14ac:dyDescent="0.25">
      <c r="O2821" s="20" t="str">
        <f>IF(N2821="","",COUNTIFS(RawData[[Date ]],N2821,RawData[Month List],$Q$6,RawData[Tour/Site],$Q$2,RawData[[Picker ID ]],$Q$3,RawData[Checker ID],$Q$4,RawData[[Error Type ]],$Q$5))</f>
        <v/>
      </c>
    </row>
    <row r="2822" spans="15:15" x14ac:dyDescent="0.25">
      <c r="O2822" s="20" t="str">
        <f>IF(N2822="","",COUNTIFS(RawData[[Date ]],N2822,RawData[Month List],$Q$6,RawData[Tour/Site],$Q$2,RawData[[Picker ID ]],$Q$3,RawData[Checker ID],$Q$4,RawData[[Error Type ]],$Q$5))</f>
        <v/>
      </c>
    </row>
    <row r="2823" spans="15:15" x14ac:dyDescent="0.25">
      <c r="O2823" s="20" t="str">
        <f>IF(N2823="","",COUNTIFS(RawData[[Date ]],N2823,RawData[Month List],$Q$6,RawData[Tour/Site],$Q$2,RawData[[Picker ID ]],$Q$3,RawData[Checker ID],$Q$4,RawData[[Error Type ]],$Q$5))</f>
        <v/>
      </c>
    </row>
    <row r="2824" spans="15:15" x14ac:dyDescent="0.25">
      <c r="O2824" s="20" t="str">
        <f>IF(N2824="","",COUNTIFS(RawData[[Date ]],N2824,RawData[Month List],$Q$6,RawData[Tour/Site],$Q$2,RawData[[Picker ID ]],$Q$3,RawData[Checker ID],$Q$4,RawData[[Error Type ]],$Q$5))</f>
        <v/>
      </c>
    </row>
    <row r="2825" spans="15:15" x14ac:dyDescent="0.25">
      <c r="O2825" s="20" t="str">
        <f>IF(N2825="","",COUNTIFS(RawData[[Date ]],N2825,RawData[Month List],$Q$6,RawData[Tour/Site],$Q$2,RawData[[Picker ID ]],$Q$3,RawData[Checker ID],$Q$4,RawData[[Error Type ]],$Q$5))</f>
        <v/>
      </c>
    </row>
    <row r="2826" spans="15:15" x14ac:dyDescent="0.25">
      <c r="O2826" s="20" t="str">
        <f>IF(N2826="","",COUNTIFS(RawData[[Date ]],N2826,RawData[Month List],$Q$6,RawData[Tour/Site],$Q$2,RawData[[Picker ID ]],$Q$3,RawData[Checker ID],$Q$4,RawData[[Error Type ]],$Q$5))</f>
        <v/>
      </c>
    </row>
    <row r="2827" spans="15:15" x14ac:dyDescent="0.25">
      <c r="O2827" s="20" t="str">
        <f>IF(N2827="","",COUNTIFS(RawData[[Date ]],N2827,RawData[Month List],$Q$6,RawData[Tour/Site],$Q$2,RawData[[Picker ID ]],$Q$3,RawData[Checker ID],$Q$4,RawData[[Error Type ]],$Q$5))</f>
        <v/>
      </c>
    </row>
    <row r="2828" spans="15:15" x14ac:dyDescent="0.25">
      <c r="O2828" s="20" t="str">
        <f>IF(N2828="","",COUNTIFS(RawData[[Date ]],N2828,RawData[Month List],$Q$6,RawData[Tour/Site],$Q$2,RawData[[Picker ID ]],$Q$3,RawData[Checker ID],$Q$4,RawData[[Error Type ]],$Q$5))</f>
        <v/>
      </c>
    </row>
    <row r="2829" spans="15:15" x14ac:dyDescent="0.25">
      <c r="O2829" s="20" t="str">
        <f>IF(N2829="","",COUNTIFS(RawData[[Date ]],N2829,RawData[Month List],$Q$6,RawData[Tour/Site],$Q$2,RawData[[Picker ID ]],$Q$3,RawData[Checker ID],$Q$4,RawData[[Error Type ]],$Q$5))</f>
        <v/>
      </c>
    </row>
    <row r="2830" spans="15:15" x14ac:dyDescent="0.25">
      <c r="O2830" s="20" t="str">
        <f>IF(N2830="","",COUNTIFS(RawData[[Date ]],N2830,RawData[Month List],$Q$6,RawData[Tour/Site],$Q$2,RawData[[Picker ID ]],$Q$3,RawData[Checker ID],$Q$4,RawData[[Error Type ]],$Q$5))</f>
        <v/>
      </c>
    </row>
    <row r="2831" spans="15:15" x14ac:dyDescent="0.25">
      <c r="O2831" s="20" t="str">
        <f>IF(N2831="","",COUNTIFS(RawData[[Date ]],N2831,RawData[Month List],$Q$6,RawData[Tour/Site],$Q$2,RawData[[Picker ID ]],$Q$3,RawData[Checker ID],$Q$4,RawData[[Error Type ]],$Q$5))</f>
        <v/>
      </c>
    </row>
    <row r="2832" spans="15:15" x14ac:dyDescent="0.25">
      <c r="O2832" s="20" t="str">
        <f>IF(N2832="","",COUNTIFS(RawData[[Date ]],N2832,RawData[Month List],$Q$6,RawData[Tour/Site],$Q$2,RawData[[Picker ID ]],$Q$3,RawData[Checker ID],$Q$4,RawData[[Error Type ]],$Q$5))</f>
        <v/>
      </c>
    </row>
    <row r="2833" spans="15:15" x14ac:dyDescent="0.25">
      <c r="O2833" s="20" t="str">
        <f>IF(N2833="","",COUNTIFS(RawData[[Date ]],N2833,RawData[Month List],$Q$6,RawData[Tour/Site],$Q$2,RawData[[Picker ID ]],$Q$3,RawData[Checker ID],$Q$4,RawData[[Error Type ]],$Q$5))</f>
        <v/>
      </c>
    </row>
    <row r="2834" spans="15:15" x14ac:dyDescent="0.25">
      <c r="O2834" s="20" t="str">
        <f>IF(N2834="","",COUNTIFS(RawData[[Date ]],N2834,RawData[Month List],$Q$6,RawData[Tour/Site],$Q$2,RawData[[Picker ID ]],$Q$3,RawData[Checker ID],$Q$4,RawData[[Error Type ]],$Q$5))</f>
        <v/>
      </c>
    </row>
    <row r="2835" spans="15:15" x14ac:dyDescent="0.25">
      <c r="O2835" s="20" t="str">
        <f>IF(N2835="","",COUNTIFS(RawData[[Date ]],N2835,RawData[Month List],$Q$6,RawData[Tour/Site],$Q$2,RawData[[Picker ID ]],$Q$3,RawData[Checker ID],$Q$4,RawData[[Error Type ]],$Q$5))</f>
        <v/>
      </c>
    </row>
    <row r="2836" spans="15:15" x14ac:dyDescent="0.25">
      <c r="O2836" s="20" t="str">
        <f>IF(N2836="","",COUNTIFS(RawData[[Date ]],N2836,RawData[Month List],$Q$6,RawData[Tour/Site],$Q$2,RawData[[Picker ID ]],$Q$3,RawData[Checker ID],$Q$4,RawData[[Error Type ]],$Q$5))</f>
        <v/>
      </c>
    </row>
    <row r="2837" spans="15:15" x14ac:dyDescent="0.25">
      <c r="O2837" s="20" t="str">
        <f>IF(N2837="","",COUNTIFS(RawData[[Date ]],N2837,RawData[Month List],$Q$6,RawData[Tour/Site],$Q$2,RawData[[Picker ID ]],$Q$3,RawData[Checker ID],$Q$4,RawData[[Error Type ]],$Q$5))</f>
        <v/>
      </c>
    </row>
    <row r="2838" spans="15:15" x14ac:dyDescent="0.25">
      <c r="O2838" s="20" t="str">
        <f>IF(N2838="","",COUNTIFS(RawData[[Date ]],N2838,RawData[Month List],$Q$6,RawData[Tour/Site],$Q$2,RawData[[Picker ID ]],$Q$3,RawData[Checker ID],$Q$4,RawData[[Error Type ]],$Q$5))</f>
        <v/>
      </c>
    </row>
    <row r="2839" spans="15:15" x14ac:dyDescent="0.25">
      <c r="O2839" s="20" t="str">
        <f>IF(N2839="","",COUNTIFS(RawData[[Date ]],N2839,RawData[Month List],$Q$6,RawData[Tour/Site],$Q$2,RawData[[Picker ID ]],$Q$3,RawData[Checker ID],$Q$4,RawData[[Error Type ]],$Q$5))</f>
        <v/>
      </c>
    </row>
    <row r="2840" spans="15:15" x14ac:dyDescent="0.25">
      <c r="O2840" s="20" t="str">
        <f>IF(N2840="","",COUNTIFS(RawData[[Date ]],N2840,RawData[Month List],$Q$6,RawData[Tour/Site],$Q$2,RawData[[Picker ID ]],$Q$3,RawData[Checker ID],$Q$4,RawData[[Error Type ]],$Q$5))</f>
        <v/>
      </c>
    </row>
    <row r="2841" spans="15:15" x14ac:dyDescent="0.25">
      <c r="O2841" s="20" t="str">
        <f>IF(N2841="","",COUNTIFS(RawData[[Date ]],N2841,RawData[Month List],$Q$6,RawData[Tour/Site],$Q$2,RawData[[Picker ID ]],$Q$3,RawData[Checker ID],$Q$4,RawData[[Error Type ]],$Q$5))</f>
        <v/>
      </c>
    </row>
    <row r="2842" spans="15:15" x14ac:dyDescent="0.25">
      <c r="O2842" s="20" t="str">
        <f>IF(N2842="","",COUNTIFS(RawData[[Date ]],N2842,RawData[Month List],$Q$6,RawData[Tour/Site],$Q$2,RawData[[Picker ID ]],$Q$3,RawData[Checker ID],$Q$4,RawData[[Error Type ]],$Q$5))</f>
        <v/>
      </c>
    </row>
    <row r="2843" spans="15:15" x14ac:dyDescent="0.25">
      <c r="O2843" s="20" t="str">
        <f>IF(N2843="","",COUNTIFS(RawData[[Date ]],N2843,RawData[Month List],$Q$6,RawData[Tour/Site],$Q$2,RawData[[Picker ID ]],$Q$3,RawData[Checker ID],$Q$4,RawData[[Error Type ]],$Q$5))</f>
        <v/>
      </c>
    </row>
    <row r="2844" spans="15:15" x14ac:dyDescent="0.25">
      <c r="O2844" s="20" t="str">
        <f>IF(N2844="","",COUNTIFS(RawData[[Date ]],N2844,RawData[Month List],$Q$6,RawData[Tour/Site],$Q$2,RawData[[Picker ID ]],$Q$3,RawData[Checker ID],$Q$4,RawData[[Error Type ]],$Q$5))</f>
        <v/>
      </c>
    </row>
    <row r="2845" spans="15:15" x14ac:dyDescent="0.25">
      <c r="O2845" s="20" t="str">
        <f>IF(N2845="","",COUNTIFS(RawData[[Date ]],N2845,RawData[Month List],$Q$6,RawData[Tour/Site],$Q$2,RawData[[Picker ID ]],$Q$3,RawData[Checker ID],$Q$4,RawData[[Error Type ]],$Q$5))</f>
        <v/>
      </c>
    </row>
    <row r="2846" spans="15:15" x14ac:dyDescent="0.25">
      <c r="O2846" s="20" t="str">
        <f>IF(N2846="","",COUNTIFS(RawData[[Date ]],N2846,RawData[Month List],$Q$6,RawData[Tour/Site],$Q$2,RawData[[Picker ID ]],$Q$3,RawData[Checker ID],$Q$4,RawData[[Error Type ]],$Q$5))</f>
        <v/>
      </c>
    </row>
    <row r="2847" spans="15:15" x14ac:dyDescent="0.25">
      <c r="O2847" s="20" t="str">
        <f>IF(N2847="","",COUNTIFS(RawData[[Date ]],N2847,RawData[Month List],$Q$6,RawData[Tour/Site],$Q$2,RawData[[Picker ID ]],$Q$3,RawData[Checker ID],$Q$4,RawData[[Error Type ]],$Q$5))</f>
        <v/>
      </c>
    </row>
    <row r="2848" spans="15:15" x14ac:dyDescent="0.25">
      <c r="O2848" s="20" t="str">
        <f>IF(N2848="","",COUNTIFS(RawData[[Date ]],N2848,RawData[Month List],$Q$6,RawData[Tour/Site],$Q$2,RawData[[Picker ID ]],$Q$3,RawData[Checker ID],$Q$4,RawData[[Error Type ]],$Q$5))</f>
        <v/>
      </c>
    </row>
    <row r="2849" spans="15:15" x14ac:dyDescent="0.25">
      <c r="O2849" s="20" t="str">
        <f>IF(N2849="","",COUNTIFS(RawData[[Date ]],N2849,RawData[Month List],$Q$6,RawData[Tour/Site],$Q$2,RawData[[Picker ID ]],$Q$3,RawData[Checker ID],$Q$4,RawData[[Error Type ]],$Q$5))</f>
        <v/>
      </c>
    </row>
    <row r="2850" spans="15:15" x14ac:dyDescent="0.25">
      <c r="O2850" s="20" t="str">
        <f>IF(N2850="","",COUNTIFS(RawData[[Date ]],N2850,RawData[Month List],$Q$6,RawData[Tour/Site],$Q$2,RawData[[Picker ID ]],$Q$3,RawData[Checker ID],$Q$4,RawData[[Error Type ]],$Q$5))</f>
        <v/>
      </c>
    </row>
    <row r="2851" spans="15:15" x14ac:dyDescent="0.25">
      <c r="O2851" s="20" t="str">
        <f>IF(N2851="","",COUNTIFS(RawData[[Date ]],N2851,RawData[Month List],$Q$6,RawData[Tour/Site],$Q$2,RawData[[Picker ID ]],$Q$3,RawData[Checker ID],$Q$4,RawData[[Error Type ]],$Q$5))</f>
        <v/>
      </c>
    </row>
    <row r="2852" spans="15:15" x14ac:dyDescent="0.25">
      <c r="O2852" s="20" t="str">
        <f>IF(N2852="","",COUNTIFS(RawData[[Date ]],N2852,RawData[Month List],$Q$6,RawData[Tour/Site],$Q$2,RawData[[Picker ID ]],$Q$3,RawData[Checker ID],$Q$4,RawData[[Error Type ]],$Q$5))</f>
        <v/>
      </c>
    </row>
    <row r="2853" spans="15:15" x14ac:dyDescent="0.25">
      <c r="O2853" s="20" t="str">
        <f>IF(N2853="","",COUNTIFS(RawData[[Date ]],N2853,RawData[Month List],$Q$6,RawData[Tour/Site],$Q$2,RawData[[Picker ID ]],$Q$3,RawData[Checker ID],$Q$4,RawData[[Error Type ]],$Q$5))</f>
        <v/>
      </c>
    </row>
    <row r="2854" spans="15:15" x14ac:dyDescent="0.25">
      <c r="O2854" s="20" t="str">
        <f>IF(N2854="","",COUNTIFS(RawData[[Date ]],N2854,RawData[Month List],$Q$6,RawData[Tour/Site],$Q$2,RawData[[Picker ID ]],$Q$3,RawData[Checker ID],$Q$4,RawData[[Error Type ]],$Q$5))</f>
        <v/>
      </c>
    </row>
    <row r="2855" spans="15:15" x14ac:dyDescent="0.25">
      <c r="O2855" s="20" t="str">
        <f>IF(N2855="","",COUNTIFS(RawData[[Date ]],N2855,RawData[Month List],$Q$6,RawData[Tour/Site],$Q$2,RawData[[Picker ID ]],$Q$3,RawData[Checker ID],$Q$4,RawData[[Error Type ]],$Q$5))</f>
        <v/>
      </c>
    </row>
    <row r="2856" spans="15:15" x14ac:dyDescent="0.25">
      <c r="O2856" s="20" t="str">
        <f>IF(N2856="","",COUNTIFS(RawData[[Date ]],N2856,RawData[Month List],$Q$6,RawData[Tour/Site],$Q$2,RawData[[Picker ID ]],$Q$3,RawData[Checker ID],$Q$4,RawData[[Error Type ]],$Q$5))</f>
        <v/>
      </c>
    </row>
    <row r="2857" spans="15:15" x14ac:dyDescent="0.25">
      <c r="O2857" s="20" t="str">
        <f>IF(N2857="","",COUNTIFS(RawData[[Date ]],N2857,RawData[Month List],$Q$6,RawData[Tour/Site],$Q$2,RawData[[Picker ID ]],$Q$3,RawData[Checker ID],$Q$4,RawData[[Error Type ]],$Q$5))</f>
        <v/>
      </c>
    </row>
    <row r="2858" spans="15:15" x14ac:dyDescent="0.25">
      <c r="O2858" s="20" t="str">
        <f>IF(N2858="","",COUNTIFS(RawData[[Date ]],N2858,RawData[Month List],$Q$6,RawData[Tour/Site],$Q$2,RawData[[Picker ID ]],$Q$3,RawData[Checker ID],$Q$4,RawData[[Error Type ]],$Q$5))</f>
        <v/>
      </c>
    </row>
    <row r="2859" spans="15:15" x14ac:dyDescent="0.25">
      <c r="O2859" s="20" t="str">
        <f>IF(N2859="","",COUNTIFS(RawData[[Date ]],N2859,RawData[Month List],$Q$6,RawData[Tour/Site],$Q$2,RawData[[Picker ID ]],$Q$3,RawData[Checker ID],$Q$4,RawData[[Error Type ]],$Q$5))</f>
        <v/>
      </c>
    </row>
    <row r="2860" spans="15:15" x14ac:dyDescent="0.25">
      <c r="O2860" s="20" t="str">
        <f>IF(N2860="","",COUNTIFS(RawData[[Date ]],N2860,RawData[Month List],$Q$6,RawData[Tour/Site],$Q$2,RawData[[Picker ID ]],$Q$3,RawData[Checker ID],$Q$4,RawData[[Error Type ]],$Q$5))</f>
        <v/>
      </c>
    </row>
    <row r="2861" spans="15:15" x14ac:dyDescent="0.25">
      <c r="O2861" s="20" t="str">
        <f>IF(N2861="","",COUNTIFS(RawData[[Date ]],N2861,RawData[Month List],$Q$6,RawData[Tour/Site],$Q$2,RawData[[Picker ID ]],$Q$3,RawData[Checker ID],$Q$4,RawData[[Error Type ]],$Q$5))</f>
        <v/>
      </c>
    </row>
    <row r="2862" spans="15:15" x14ac:dyDescent="0.25">
      <c r="O2862" s="20" t="str">
        <f>IF(N2862="","",COUNTIFS(RawData[[Date ]],N2862,RawData[Month List],$Q$6,RawData[Tour/Site],$Q$2,RawData[[Picker ID ]],$Q$3,RawData[Checker ID],$Q$4,RawData[[Error Type ]],$Q$5))</f>
        <v/>
      </c>
    </row>
    <row r="2863" spans="15:15" x14ac:dyDescent="0.25">
      <c r="O2863" s="20" t="str">
        <f>IF(N2863="","",COUNTIFS(RawData[[Date ]],N2863,RawData[Month List],$Q$6,RawData[Tour/Site],$Q$2,RawData[[Picker ID ]],$Q$3,RawData[Checker ID],$Q$4,RawData[[Error Type ]],$Q$5))</f>
        <v/>
      </c>
    </row>
    <row r="2864" spans="15:15" x14ac:dyDescent="0.25">
      <c r="O2864" s="20" t="str">
        <f>IF(N2864="","",COUNTIFS(RawData[[Date ]],N2864,RawData[Month List],$Q$6,RawData[Tour/Site],$Q$2,RawData[[Picker ID ]],$Q$3,RawData[Checker ID],$Q$4,RawData[[Error Type ]],$Q$5))</f>
        <v/>
      </c>
    </row>
    <row r="2865" spans="15:15" x14ac:dyDescent="0.25">
      <c r="O2865" s="20" t="str">
        <f>IF(N2865="","",COUNTIFS(RawData[[Date ]],N2865,RawData[Month List],$Q$6,RawData[Tour/Site],$Q$2,RawData[[Picker ID ]],$Q$3,RawData[Checker ID],$Q$4,RawData[[Error Type ]],$Q$5))</f>
        <v/>
      </c>
    </row>
    <row r="2866" spans="15:15" x14ac:dyDescent="0.25">
      <c r="O2866" s="20" t="str">
        <f>IF(N2866="","",COUNTIFS(RawData[[Date ]],N2866,RawData[Month List],$Q$6,RawData[Tour/Site],$Q$2,RawData[[Picker ID ]],$Q$3,RawData[Checker ID],$Q$4,RawData[[Error Type ]],$Q$5))</f>
        <v/>
      </c>
    </row>
    <row r="2867" spans="15:15" x14ac:dyDescent="0.25">
      <c r="O2867" s="20" t="str">
        <f>IF(N2867="","",COUNTIFS(RawData[[Date ]],N2867,RawData[Month List],$Q$6,RawData[Tour/Site],$Q$2,RawData[[Picker ID ]],$Q$3,RawData[Checker ID],$Q$4,RawData[[Error Type ]],$Q$5))</f>
        <v/>
      </c>
    </row>
    <row r="2868" spans="15:15" x14ac:dyDescent="0.25">
      <c r="O2868" s="20" t="str">
        <f>IF(N2868="","",COUNTIFS(RawData[[Date ]],N2868,RawData[Month List],$Q$6,RawData[Tour/Site],$Q$2,RawData[[Picker ID ]],$Q$3,RawData[Checker ID],$Q$4,RawData[[Error Type ]],$Q$5))</f>
        <v/>
      </c>
    </row>
    <row r="2869" spans="15:15" x14ac:dyDescent="0.25">
      <c r="O2869" s="20" t="str">
        <f>IF(N2869="","",COUNTIFS(RawData[[Date ]],N2869,RawData[Month List],$Q$6,RawData[Tour/Site],$Q$2,RawData[[Picker ID ]],$Q$3,RawData[Checker ID],$Q$4,RawData[[Error Type ]],$Q$5))</f>
        <v/>
      </c>
    </row>
    <row r="2870" spans="15:15" x14ac:dyDescent="0.25">
      <c r="O2870" s="20" t="str">
        <f>IF(N2870="","",COUNTIFS(RawData[[Date ]],N2870,RawData[Month List],$Q$6,RawData[Tour/Site],$Q$2,RawData[[Picker ID ]],$Q$3,RawData[Checker ID],$Q$4,RawData[[Error Type ]],$Q$5))</f>
        <v/>
      </c>
    </row>
    <row r="2871" spans="15:15" x14ac:dyDescent="0.25">
      <c r="O2871" s="20" t="str">
        <f>IF(N2871="","",COUNTIFS(RawData[[Date ]],N2871,RawData[Month List],$Q$6,RawData[Tour/Site],$Q$2,RawData[[Picker ID ]],$Q$3,RawData[Checker ID],$Q$4,RawData[[Error Type ]],$Q$5))</f>
        <v/>
      </c>
    </row>
    <row r="2872" spans="15:15" x14ac:dyDescent="0.25">
      <c r="O2872" s="20" t="str">
        <f>IF(N2872="","",COUNTIFS(RawData[[Date ]],N2872,RawData[Month List],$Q$6,RawData[Tour/Site],$Q$2,RawData[[Picker ID ]],$Q$3,RawData[Checker ID],$Q$4,RawData[[Error Type ]],$Q$5))</f>
        <v/>
      </c>
    </row>
    <row r="2873" spans="15:15" x14ac:dyDescent="0.25">
      <c r="O2873" s="20" t="str">
        <f>IF(N2873="","",COUNTIFS(RawData[[Date ]],N2873,RawData[Month List],$Q$6,RawData[Tour/Site],$Q$2,RawData[[Picker ID ]],$Q$3,RawData[Checker ID],$Q$4,RawData[[Error Type ]],$Q$5))</f>
        <v/>
      </c>
    </row>
    <row r="2874" spans="15:15" x14ac:dyDescent="0.25">
      <c r="O2874" s="20" t="str">
        <f>IF(N2874="","",COUNTIFS(RawData[[Date ]],N2874,RawData[Month List],$Q$6,RawData[Tour/Site],$Q$2,RawData[[Picker ID ]],$Q$3,RawData[Checker ID],$Q$4,RawData[[Error Type ]],$Q$5))</f>
        <v/>
      </c>
    </row>
    <row r="2875" spans="15:15" x14ac:dyDescent="0.25">
      <c r="O2875" s="20" t="str">
        <f>IF(N2875="","",COUNTIFS(RawData[[Date ]],N2875,RawData[Month List],$Q$6,RawData[Tour/Site],$Q$2,RawData[[Picker ID ]],$Q$3,RawData[Checker ID],$Q$4,RawData[[Error Type ]],$Q$5))</f>
        <v/>
      </c>
    </row>
    <row r="2876" spans="15:15" x14ac:dyDescent="0.25">
      <c r="O2876" s="20" t="str">
        <f>IF(N2876="","",COUNTIFS(RawData[[Date ]],N2876,RawData[Month List],$Q$6,RawData[Tour/Site],$Q$2,RawData[[Picker ID ]],$Q$3,RawData[Checker ID],$Q$4,RawData[[Error Type ]],$Q$5))</f>
        <v/>
      </c>
    </row>
    <row r="2877" spans="15:15" x14ac:dyDescent="0.25">
      <c r="O2877" s="20" t="str">
        <f>IF(N2877="","",COUNTIFS(RawData[[Date ]],N2877,RawData[Month List],$Q$6,RawData[Tour/Site],$Q$2,RawData[[Picker ID ]],$Q$3,RawData[Checker ID],$Q$4,RawData[[Error Type ]],$Q$5))</f>
        <v/>
      </c>
    </row>
    <row r="2878" spans="15:15" x14ac:dyDescent="0.25">
      <c r="O2878" s="20" t="str">
        <f>IF(N2878="","",COUNTIFS(RawData[[Date ]],N2878,RawData[Month List],$Q$6,RawData[Tour/Site],$Q$2,RawData[[Picker ID ]],$Q$3,RawData[Checker ID],$Q$4,RawData[[Error Type ]],$Q$5))</f>
        <v/>
      </c>
    </row>
    <row r="2879" spans="15:15" x14ac:dyDescent="0.25">
      <c r="O2879" s="20" t="str">
        <f>IF(N2879="","",COUNTIFS(RawData[[Date ]],N2879,RawData[Month List],$Q$6,RawData[Tour/Site],$Q$2,RawData[[Picker ID ]],$Q$3,RawData[Checker ID],$Q$4,RawData[[Error Type ]],$Q$5))</f>
        <v/>
      </c>
    </row>
    <row r="2880" spans="15:15" x14ac:dyDescent="0.25">
      <c r="O2880" s="20" t="str">
        <f>IF(N2880="","",COUNTIFS(RawData[[Date ]],N2880,RawData[Month List],$Q$6,RawData[Tour/Site],$Q$2,RawData[[Picker ID ]],$Q$3,RawData[Checker ID],$Q$4,RawData[[Error Type ]],$Q$5))</f>
        <v/>
      </c>
    </row>
    <row r="2881" spans="15:15" x14ac:dyDescent="0.25">
      <c r="O2881" s="20" t="str">
        <f>IF(N2881="","",COUNTIFS(RawData[[Date ]],N2881,RawData[Month List],$Q$6,RawData[Tour/Site],$Q$2,RawData[[Picker ID ]],$Q$3,RawData[Checker ID],$Q$4,RawData[[Error Type ]],$Q$5))</f>
        <v/>
      </c>
    </row>
    <row r="2882" spans="15:15" x14ac:dyDescent="0.25">
      <c r="O2882" s="20" t="str">
        <f>IF(N2882="","",COUNTIFS(RawData[[Date ]],N2882,RawData[Month List],$Q$6,RawData[Tour/Site],$Q$2,RawData[[Picker ID ]],$Q$3,RawData[Checker ID],$Q$4,RawData[[Error Type ]],$Q$5))</f>
        <v/>
      </c>
    </row>
    <row r="2883" spans="15:15" x14ac:dyDescent="0.25">
      <c r="O2883" s="20" t="str">
        <f>IF(N2883="","",COUNTIFS(RawData[[Date ]],N2883,RawData[Month List],$Q$6,RawData[Tour/Site],$Q$2,RawData[[Picker ID ]],$Q$3,RawData[Checker ID],$Q$4,RawData[[Error Type ]],$Q$5))</f>
        <v/>
      </c>
    </row>
    <row r="2884" spans="15:15" x14ac:dyDescent="0.25">
      <c r="O2884" s="20" t="str">
        <f>IF(N2884="","",COUNTIFS(RawData[[Date ]],N2884,RawData[Month List],$Q$6,RawData[Tour/Site],$Q$2,RawData[[Picker ID ]],$Q$3,RawData[Checker ID],$Q$4,RawData[[Error Type ]],$Q$5))</f>
        <v/>
      </c>
    </row>
    <row r="2885" spans="15:15" x14ac:dyDescent="0.25">
      <c r="O2885" s="20" t="str">
        <f>IF(N2885="","",COUNTIFS(RawData[[Date ]],N2885,RawData[Month List],$Q$6,RawData[Tour/Site],$Q$2,RawData[[Picker ID ]],$Q$3,RawData[Checker ID],$Q$4,RawData[[Error Type ]],$Q$5))</f>
        <v/>
      </c>
    </row>
    <row r="2886" spans="15:15" x14ac:dyDescent="0.25">
      <c r="O2886" s="20" t="str">
        <f>IF(N2886="","",COUNTIFS(RawData[[Date ]],N2886,RawData[Month List],$Q$6,RawData[Tour/Site],$Q$2,RawData[[Picker ID ]],$Q$3,RawData[Checker ID],$Q$4,RawData[[Error Type ]],$Q$5))</f>
        <v/>
      </c>
    </row>
    <row r="2887" spans="15:15" x14ac:dyDescent="0.25">
      <c r="O2887" s="20" t="str">
        <f>IF(N2887="","",COUNTIFS(RawData[[Date ]],N2887,RawData[Month List],$Q$6,RawData[Tour/Site],$Q$2,RawData[[Picker ID ]],$Q$3,RawData[Checker ID],$Q$4,RawData[[Error Type ]],$Q$5))</f>
        <v/>
      </c>
    </row>
    <row r="2888" spans="15:15" x14ac:dyDescent="0.25">
      <c r="O2888" s="20" t="str">
        <f>IF(N2888="","",COUNTIFS(RawData[[Date ]],N2888,RawData[Month List],$Q$6,RawData[Tour/Site],$Q$2,RawData[[Picker ID ]],$Q$3,RawData[Checker ID],$Q$4,RawData[[Error Type ]],$Q$5))</f>
        <v/>
      </c>
    </row>
    <row r="2889" spans="15:15" x14ac:dyDescent="0.25">
      <c r="O2889" s="20" t="str">
        <f>IF(N2889="","",COUNTIFS(RawData[[Date ]],N2889,RawData[Month List],$Q$6,RawData[Tour/Site],$Q$2,RawData[[Picker ID ]],$Q$3,RawData[Checker ID],$Q$4,RawData[[Error Type ]],$Q$5))</f>
        <v/>
      </c>
    </row>
    <row r="2890" spans="15:15" x14ac:dyDescent="0.25">
      <c r="O2890" s="20" t="str">
        <f>IF(N2890="","",COUNTIFS(RawData[[Date ]],N2890,RawData[Month List],$Q$6,RawData[Tour/Site],$Q$2,RawData[[Picker ID ]],$Q$3,RawData[Checker ID],$Q$4,RawData[[Error Type ]],$Q$5))</f>
        <v/>
      </c>
    </row>
    <row r="2891" spans="15:15" x14ac:dyDescent="0.25">
      <c r="O2891" s="20" t="str">
        <f>IF(N2891="","",COUNTIFS(RawData[[Date ]],N2891,RawData[Month List],$Q$6,RawData[Tour/Site],$Q$2,RawData[[Picker ID ]],$Q$3,RawData[Checker ID],$Q$4,RawData[[Error Type ]],$Q$5))</f>
        <v/>
      </c>
    </row>
    <row r="2892" spans="15:15" x14ac:dyDescent="0.25">
      <c r="O2892" s="20" t="str">
        <f>IF(N2892="","",COUNTIFS(RawData[[Date ]],N2892,RawData[Month List],$Q$6,RawData[Tour/Site],$Q$2,RawData[[Picker ID ]],$Q$3,RawData[Checker ID],$Q$4,RawData[[Error Type ]],$Q$5))</f>
        <v/>
      </c>
    </row>
    <row r="2893" spans="15:15" x14ac:dyDescent="0.25">
      <c r="O2893" s="20" t="str">
        <f>IF(N2893="","",COUNTIFS(RawData[[Date ]],N2893,RawData[Month List],$Q$6,RawData[Tour/Site],$Q$2,RawData[[Picker ID ]],$Q$3,RawData[Checker ID],$Q$4,RawData[[Error Type ]],$Q$5))</f>
        <v/>
      </c>
    </row>
    <row r="2894" spans="15:15" x14ac:dyDescent="0.25">
      <c r="O2894" s="20" t="str">
        <f>IF(N2894="","",COUNTIFS(RawData[[Date ]],N2894,RawData[Month List],$Q$6,RawData[Tour/Site],$Q$2,RawData[[Picker ID ]],$Q$3,RawData[Checker ID],$Q$4,RawData[[Error Type ]],$Q$5))</f>
        <v/>
      </c>
    </row>
    <row r="2895" spans="15:15" x14ac:dyDescent="0.25">
      <c r="O2895" s="20" t="str">
        <f>IF(N2895="","",COUNTIFS(RawData[[Date ]],N2895,RawData[Month List],$Q$6,RawData[Tour/Site],$Q$2,RawData[[Picker ID ]],$Q$3,RawData[Checker ID],$Q$4,RawData[[Error Type ]],$Q$5))</f>
        <v/>
      </c>
    </row>
    <row r="2896" spans="15:15" x14ac:dyDescent="0.25">
      <c r="O2896" s="20" t="str">
        <f>IF(N2896="","",COUNTIFS(RawData[[Date ]],N2896,RawData[Month List],$Q$6,RawData[Tour/Site],$Q$2,RawData[[Picker ID ]],$Q$3,RawData[Checker ID],$Q$4,RawData[[Error Type ]],$Q$5))</f>
        <v/>
      </c>
    </row>
    <row r="2897" spans="15:15" x14ac:dyDescent="0.25">
      <c r="O2897" s="20" t="str">
        <f>IF(N2897="","",COUNTIFS(RawData[[Date ]],N2897,RawData[Month List],$Q$6,RawData[Tour/Site],$Q$2,RawData[[Picker ID ]],$Q$3,RawData[Checker ID],$Q$4,RawData[[Error Type ]],$Q$5))</f>
        <v/>
      </c>
    </row>
    <row r="2898" spans="15:15" x14ac:dyDescent="0.25">
      <c r="O2898" s="20" t="str">
        <f>IF(N2898="","",COUNTIFS(RawData[[Date ]],N2898,RawData[Month List],$Q$6,RawData[Tour/Site],$Q$2,RawData[[Picker ID ]],$Q$3,RawData[Checker ID],$Q$4,RawData[[Error Type ]],$Q$5))</f>
        <v/>
      </c>
    </row>
    <row r="2899" spans="15:15" x14ac:dyDescent="0.25">
      <c r="O2899" s="20" t="str">
        <f>IF(N2899="","",COUNTIFS(RawData[[Date ]],N2899,RawData[Month List],$Q$6,RawData[Tour/Site],$Q$2,RawData[[Picker ID ]],$Q$3,RawData[Checker ID],$Q$4,RawData[[Error Type ]],$Q$5))</f>
        <v/>
      </c>
    </row>
    <row r="2900" spans="15:15" x14ac:dyDescent="0.25">
      <c r="O2900" s="20" t="str">
        <f>IF(N2900="","",COUNTIFS(RawData[[Date ]],N2900,RawData[Month List],$Q$6,RawData[Tour/Site],$Q$2,RawData[[Picker ID ]],$Q$3,RawData[Checker ID],$Q$4,RawData[[Error Type ]],$Q$5))</f>
        <v/>
      </c>
    </row>
    <row r="2901" spans="15:15" x14ac:dyDescent="0.25">
      <c r="O2901" s="20" t="str">
        <f>IF(N2901="","",COUNTIFS(RawData[[Date ]],N2901,RawData[Month List],$Q$6,RawData[Tour/Site],$Q$2,RawData[[Picker ID ]],$Q$3,RawData[Checker ID],$Q$4,RawData[[Error Type ]],$Q$5))</f>
        <v/>
      </c>
    </row>
    <row r="2902" spans="15:15" x14ac:dyDescent="0.25">
      <c r="O2902" s="20" t="str">
        <f>IF(N2902="","",COUNTIFS(RawData[[Date ]],N2902,RawData[Month List],$Q$6,RawData[Tour/Site],$Q$2,RawData[[Picker ID ]],$Q$3,RawData[Checker ID],$Q$4,RawData[[Error Type ]],$Q$5))</f>
        <v/>
      </c>
    </row>
    <row r="2903" spans="15:15" x14ac:dyDescent="0.25">
      <c r="O2903" s="20" t="str">
        <f>IF(N2903="","",COUNTIFS(RawData[[Date ]],N2903,RawData[Month List],$Q$6,RawData[Tour/Site],$Q$2,RawData[[Picker ID ]],$Q$3,RawData[Checker ID],$Q$4,RawData[[Error Type ]],$Q$5))</f>
        <v/>
      </c>
    </row>
    <row r="2904" spans="15:15" x14ac:dyDescent="0.25">
      <c r="O2904" s="20" t="str">
        <f>IF(N2904="","",COUNTIFS(RawData[[Date ]],N2904,RawData[Month List],$Q$6,RawData[Tour/Site],$Q$2,RawData[[Picker ID ]],$Q$3,RawData[Checker ID],$Q$4,RawData[[Error Type ]],$Q$5))</f>
        <v/>
      </c>
    </row>
    <row r="2905" spans="15:15" x14ac:dyDescent="0.25">
      <c r="O2905" s="20" t="str">
        <f>IF(N2905="","",COUNTIFS(RawData[[Date ]],N2905,RawData[Month List],$Q$6,RawData[Tour/Site],$Q$2,RawData[[Picker ID ]],$Q$3,RawData[Checker ID],$Q$4,RawData[[Error Type ]],$Q$5))</f>
        <v/>
      </c>
    </row>
    <row r="2906" spans="15:15" x14ac:dyDescent="0.25">
      <c r="O2906" s="20" t="str">
        <f>IF(N2906="","",COUNTIFS(RawData[[Date ]],N2906,RawData[Month List],$Q$6,RawData[Tour/Site],$Q$2,RawData[[Picker ID ]],$Q$3,RawData[Checker ID],$Q$4,RawData[[Error Type ]],$Q$5))</f>
        <v/>
      </c>
    </row>
    <row r="2907" spans="15:15" x14ac:dyDescent="0.25">
      <c r="O2907" s="20" t="str">
        <f>IF(N2907="","",COUNTIFS(RawData[[Date ]],N2907,RawData[Month List],$Q$6,RawData[Tour/Site],$Q$2,RawData[[Picker ID ]],$Q$3,RawData[Checker ID],$Q$4,RawData[[Error Type ]],$Q$5))</f>
        <v/>
      </c>
    </row>
    <row r="2908" spans="15:15" x14ac:dyDescent="0.25">
      <c r="O2908" s="20" t="str">
        <f>IF(N2908="","",COUNTIFS(RawData[[Date ]],N2908,RawData[Month List],$Q$6,RawData[Tour/Site],$Q$2,RawData[[Picker ID ]],$Q$3,RawData[Checker ID],$Q$4,RawData[[Error Type ]],$Q$5))</f>
        <v/>
      </c>
    </row>
    <row r="2909" spans="15:15" x14ac:dyDescent="0.25">
      <c r="O2909" s="20" t="str">
        <f>IF(N2909="","",COUNTIFS(RawData[[Date ]],N2909,RawData[Month List],$Q$6,RawData[Tour/Site],$Q$2,RawData[[Picker ID ]],$Q$3,RawData[Checker ID],$Q$4,RawData[[Error Type ]],$Q$5))</f>
        <v/>
      </c>
    </row>
    <row r="2910" spans="15:15" x14ac:dyDescent="0.25">
      <c r="O2910" s="20" t="str">
        <f>IF(N2910="","",COUNTIFS(RawData[[Date ]],N2910,RawData[Month List],$Q$6,RawData[Tour/Site],$Q$2,RawData[[Picker ID ]],$Q$3,RawData[Checker ID],$Q$4,RawData[[Error Type ]],$Q$5))</f>
        <v/>
      </c>
    </row>
    <row r="2911" spans="15:15" x14ac:dyDescent="0.25">
      <c r="O2911" s="20" t="str">
        <f>IF(N2911="","",COUNTIFS(RawData[[Date ]],N2911,RawData[Month List],$Q$6,RawData[Tour/Site],$Q$2,RawData[[Picker ID ]],$Q$3,RawData[Checker ID],$Q$4,RawData[[Error Type ]],$Q$5))</f>
        <v/>
      </c>
    </row>
    <row r="2912" spans="15:15" x14ac:dyDescent="0.25">
      <c r="O2912" s="20" t="str">
        <f>IF(N2912="","",COUNTIFS(RawData[[Date ]],N2912,RawData[Month List],$Q$6,RawData[Tour/Site],$Q$2,RawData[[Picker ID ]],$Q$3,RawData[Checker ID],$Q$4,RawData[[Error Type ]],$Q$5))</f>
        <v/>
      </c>
    </row>
    <row r="2913" spans="15:15" x14ac:dyDescent="0.25">
      <c r="O2913" s="20" t="str">
        <f>IF(N2913="","",COUNTIFS(RawData[[Date ]],N2913,RawData[Month List],$Q$6,RawData[Tour/Site],$Q$2,RawData[[Picker ID ]],$Q$3,RawData[Checker ID],$Q$4,RawData[[Error Type ]],$Q$5))</f>
        <v/>
      </c>
    </row>
    <row r="2914" spans="15:15" x14ac:dyDescent="0.25">
      <c r="O2914" s="20" t="str">
        <f>IF(N2914="","",COUNTIFS(RawData[[Date ]],N2914,RawData[Month List],$Q$6,RawData[Tour/Site],$Q$2,RawData[[Picker ID ]],$Q$3,RawData[Checker ID],$Q$4,RawData[[Error Type ]],$Q$5))</f>
        <v/>
      </c>
    </row>
    <row r="2915" spans="15:15" x14ac:dyDescent="0.25">
      <c r="O2915" s="20" t="str">
        <f>IF(N2915="","",COUNTIFS(RawData[[Date ]],N2915,RawData[Month List],$Q$6,RawData[Tour/Site],$Q$2,RawData[[Picker ID ]],$Q$3,RawData[Checker ID],$Q$4,RawData[[Error Type ]],$Q$5))</f>
        <v/>
      </c>
    </row>
    <row r="2916" spans="15:15" x14ac:dyDescent="0.25">
      <c r="O2916" s="20" t="str">
        <f>IF(N2916="","",COUNTIFS(RawData[[Date ]],N2916,RawData[Month List],$Q$6,RawData[Tour/Site],$Q$2,RawData[[Picker ID ]],$Q$3,RawData[Checker ID],$Q$4,RawData[[Error Type ]],$Q$5))</f>
        <v/>
      </c>
    </row>
    <row r="2917" spans="15:15" x14ac:dyDescent="0.25">
      <c r="O2917" s="20" t="str">
        <f>IF(N2917="","",COUNTIFS(RawData[[Date ]],N2917,RawData[Month List],$Q$6,RawData[Tour/Site],$Q$2,RawData[[Picker ID ]],$Q$3,RawData[Checker ID],$Q$4,RawData[[Error Type ]],$Q$5))</f>
        <v/>
      </c>
    </row>
    <row r="2918" spans="15:15" x14ac:dyDescent="0.25">
      <c r="O2918" s="20" t="str">
        <f>IF(N2918="","",COUNTIFS(RawData[[Date ]],N2918,RawData[Month List],$Q$6,RawData[Tour/Site],$Q$2,RawData[[Picker ID ]],$Q$3,RawData[Checker ID],$Q$4,RawData[[Error Type ]],$Q$5))</f>
        <v/>
      </c>
    </row>
    <row r="2919" spans="15:15" x14ac:dyDescent="0.25">
      <c r="O2919" s="20" t="str">
        <f>IF(N2919="","",COUNTIFS(RawData[[Date ]],N2919,RawData[Month List],$Q$6,RawData[Tour/Site],$Q$2,RawData[[Picker ID ]],$Q$3,RawData[Checker ID],$Q$4,RawData[[Error Type ]],$Q$5))</f>
        <v/>
      </c>
    </row>
    <row r="2920" spans="15:15" x14ac:dyDescent="0.25">
      <c r="O2920" s="20" t="str">
        <f>IF(N2920="","",COUNTIFS(RawData[[Date ]],N2920,RawData[Month List],$Q$6,RawData[Tour/Site],$Q$2,RawData[[Picker ID ]],$Q$3,RawData[Checker ID],$Q$4,RawData[[Error Type ]],$Q$5))</f>
        <v/>
      </c>
    </row>
    <row r="2921" spans="15:15" x14ac:dyDescent="0.25">
      <c r="O2921" s="20" t="str">
        <f>IF(N2921="","",COUNTIFS(RawData[[Date ]],N2921,RawData[Month List],$Q$6,RawData[Tour/Site],$Q$2,RawData[[Picker ID ]],$Q$3,RawData[Checker ID],$Q$4,RawData[[Error Type ]],$Q$5))</f>
        <v/>
      </c>
    </row>
    <row r="2922" spans="15:15" x14ac:dyDescent="0.25">
      <c r="O2922" s="20" t="str">
        <f>IF(N2922="","",COUNTIFS(RawData[[Date ]],N2922,RawData[Month List],$Q$6,RawData[Tour/Site],$Q$2,RawData[[Picker ID ]],$Q$3,RawData[Checker ID],$Q$4,RawData[[Error Type ]],$Q$5))</f>
        <v/>
      </c>
    </row>
    <row r="2923" spans="15:15" x14ac:dyDescent="0.25">
      <c r="O2923" s="20" t="str">
        <f>IF(N2923="","",COUNTIFS(RawData[[Date ]],N2923,RawData[Month List],$Q$6,RawData[Tour/Site],$Q$2,RawData[[Picker ID ]],$Q$3,RawData[Checker ID],$Q$4,RawData[[Error Type ]],$Q$5))</f>
        <v/>
      </c>
    </row>
    <row r="2924" spans="15:15" x14ac:dyDescent="0.25">
      <c r="O2924" s="20" t="str">
        <f>IF(N2924="","",COUNTIFS(RawData[[Date ]],N2924,RawData[Month List],$Q$6,RawData[Tour/Site],$Q$2,RawData[[Picker ID ]],$Q$3,RawData[Checker ID],$Q$4,RawData[[Error Type ]],$Q$5))</f>
        <v/>
      </c>
    </row>
    <row r="2925" spans="15:15" x14ac:dyDescent="0.25">
      <c r="O2925" s="20" t="str">
        <f>IF(N2925="","",COUNTIFS(RawData[[Date ]],N2925,RawData[Month List],$Q$6,RawData[Tour/Site],$Q$2,RawData[[Picker ID ]],$Q$3,RawData[Checker ID],$Q$4,RawData[[Error Type ]],$Q$5))</f>
        <v/>
      </c>
    </row>
    <row r="2926" spans="15:15" x14ac:dyDescent="0.25">
      <c r="O2926" s="20" t="str">
        <f>IF(N2926="","",COUNTIFS(RawData[[Date ]],N2926,RawData[Month List],$Q$6,RawData[Tour/Site],$Q$2,RawData[[Picker ID ]],$Q$3,RawData[Checker ID],$Q$4,RawData[[Error Type ]],$Q$5))</f>
        <v/>
      </c>
    </row>
    <row r="2927" spans="15:15" x14ac:dyDescent="0.25">
      <c r="O2927" s="20" t="str">
        <f>IF(N2927="","",COUNTIFS(RawData[[Date ]],N2927,RawData[Month List],$Q$6,RawData[Tour/Site],$Q$2,RawData[[Picker ID ]],$Q$3,RawData[Checker ID],$Q$4,RawData[[Error Type ]],$Q$5))</f>
        <v/>
      </c>
    </row>
    <row r="2928" spans="15:15" x14ac:dyDescent="0.25">
      <c r="O2928" s="20" t="str">
        <f>IF(N2928="","",COUNTIFS(RawData[[Date ]],N2928,RawData[Month List],$Q$6,RawData[Tour/Site],$Q$2,RawData[[Picker ID ]],$Q$3,RawData[Checker ID],$Q$4,RawData[[Error Type ]],$Q$5))</f>
        <v/>
      </c>
    </row>
    <row r="2929" spans="15:15" x14ac:dyDescent="0.25">
      <c r="O2929" s="20" t="str">
        <f>IF(N2929="","",COUNTIFS(RawData[[Date ]],N2929,RawData[Month List],$Q$6,RawData[Tour/Site],$Q$2,RawData[[Picker ID ]],$Q$3,RawData[Checker ID],$Q$4,RawData[[Error Type ]],$Q$5))</f>
        <v/>
      </c>
    </row>
    <row r="2930" spans="15:15" x14ac:dyDescent="0.25">
      <c r="O2930" s="20" t="str">
        <f>IF(N2930="","",COUNTIFS(RawData[[Date ]],N2930,RawData[Month List],$Q$6,RawData[Tour/Site],$Q$2,RawData[[Picker ID ]],$Q$3,RawData[Checker ID],$Q$4,RawData[[Error Type ]],$Q$5))</f>
        <v/>
      </c>
    </row>
    <row r="2931" spans="15:15" x14ac:dyDescent="0.25">
      <c r="O2931" s="20" t="str">
        <f>IF(N2931="","",COUNTIFS(RawData[[Date ]],N2931,RawData[Month List],$Q$6,RawData[Tour/Site],$Q$2,RawData[[Picker ID ]],$Q$3,RawData[Checker ID],$Q$4,RawData[[Error Type ]],$Q$5))</f>
        <v/>
      </c>
    </row>
    <row r="2932" spans="15:15" x14ac:dyDescent="0.25">
      <c r="O2932" s="20" t="str">
        <f>IF(N2932="","",COUNTIFS(RawData[[Date ]],N2932,RawData[Month List],$Q$6,RawData[Tour/Site],$Q$2,RawData[[Picker ID ]],$Q$3,RawData[Checker ID],$Q$4,RawData[[Error Type ]],$Q$5))</f>
        <v/>
      </c>
    </row>
    <row r="2933" spans="15:15" x14ac:dyDescent="0.25">
      <c r="O2933" s="20" t="str">
        <f>IF(N2933="","",COUNTIFS(RawData[[Date ]],N2933,RawData[Month List],$Q$6,RawData[Tour/Site],$Q$2,RawData[[Picker ID ]],$Q$3,RawData[Checker ID],$Q$4,RawData[[Error Type ]],$Q$5))</f>
        <v/>
      </c>
    </row>
    <row r="2934" spans="15:15" x14ac:dyDescent="0.25">
      <c r="O2934" s="20" t="str">
        <f>IF(N2934="","",COUNTIFS(RawData[[Date ]],N2934,RawData[Month List],$Q$6,RawData[Tour/Site],$Q$2,RawData[[Picker ID ]],$Q$3,RawData[Checker ID],$Q$4,RawData[[Error Type ]],$Q$5))</f>
        <v/>
      </c>
    </row>
    <row r="2935" spans="15:15" x14ac:dyDescent="0.25">
      <c r="O2935" s="20" t="str">
        <f>IF(N2935="","",COUNTIFS(RawData[[Date ]],N2935,RawData[Month List],$Q$6,RawData[Tour/Site],$Q$2,RawData[[Picker ID ]],$Q$3,RawData[Checker ID],$Q$4,RawData[[Error Type ]],$Q$5))</f>
        <v/>
      </c>
    </row>
    <row r="2936" spans="15:15" x14ac:dyDescent="0.25">
      <c r="O2936" s="20" t="str">
        <f>IF(N2936="","",COUNTIFS(RawData[[Date ]],N2936,RawData[Month List],$Q$6,RawData[Tour/Site],$Q$2,RawData[[Picker ID ]],$Q$3,RawData[Checker ID],$Q$4,RawData[[Error Type ]],$Q$5))</f>
        <v/>
      </c>
    </row>
    <row r="2937" spans="15:15" x14ac:dyDescent="0.25">
      <c r="O2937" s="20" t="str">
        <f>IF(N2937="","",COUNTIFS(RawData[[Date ]],N2937,RawData[Month List],$Q$6,RawData[Tour/Site],$Q$2,RawData[[Picker ID ]],$Q$3,RawData[Checker ID],$Q$4,RawData[[Error Type ]],$Q$5))</f>
        <v/>
      </c>
    </row>
    <row r="2938" spans="15:15" x14ac:dyDescent="0.25">
      <c r="O2938" s="20" t="str">
        <f>IF(N2938="","",COUNTIFS(RawData[[Date ]],N2938,RawData[Month List],$Q$6,RawData[Tour/Site],$Q$2,RawData[[Picker ID ]],$Q$3,RawData[Checker ID],$Q$4,RawData[[Error Type ]],$Q$5))</f>
        <v/>
      </c>
    </row>
    <row r="2939" spans="15:15" x14ac:dyDescent="0.25">
      <c r="O2939" s="20" t="str">
        <f>IF(N2939="","",COUNTIFS(RawData[[Date ]],N2939,RawData[Month List],$Q$6,RawData[Tour/Site],$Q$2,RawData[[Picker ID ]],$Q$3,RawData[Checker ID],$Q$4,RawData[[Error Type ]],$Q$5))</f>
        <v/>
      </c>
    </row>
    <row r="2940" spans="15:15" x14ac:dyDescent="0.25">
      <c r="O2940" s="20" t="str">
        <f>IF(N2940="","",COUNTIFS(RawData[[Date ]],N2940,RawData[Month List],$Q$6,RawData[Tour/Site],$Q$2,RawData[[Picker ID ]],$Q$3,RawData[Checker ID],$Q$4,RawData[[Error Type ]],$Q$5))</f>
        <v/>
      </c>
    </row>
    <row r="2941" spans="15:15" x14ac:dyDescent="0.25">
      <c r="O2941" s="20" t="str">
        <f>IF(N2941="","",COUNTIFS(RawData[[Date ]],N2941,RawData[Month List],$Q$6,RawData[Tour/Site],$Q$2,RawData[[Picker ID ]],$Q$3,RawData[Checker ID],$Q$4,RawData[[Error Type ]],$Q$5))</f>
        <v/>
      </c>
    </row>
    <row r="2942" spans="15:15" x14ac:dyDescent="0.25">
      <c r="O2942" s="20" t="str">
        <f>IF(N2942="","",COUNTIFS(RawData[[Date ]],N2942,RawData[Month List],$Q$6,RawData[Tour/Site],$Q$2,RawData[[Picker ID ]],$Q$3,RawData[Checker ID],$Q$4,RawData[[Error Type ]],$Q$5))</f>
        <v/>
      </c>
    </row>
    <row r="2943" spans="15:15" x14ac:dyDescent="0.25">
      <c r="O2943" s="20" t="str">
        <f>IF(N2943="","",COUNTIFS(RawData[[Date ]],N2943,RawData[Month List],$Q$6,RawData[Tour/Site],$Q$2,RawData[[Picker ID ]],$Q$3,RawData[Checker ID],$Q$4,RawData[[Error Type ]],$Q$5))</f>
        <v/>
      </c>
    </row>
    <row r="2944" spans="15:15" x14ac:dyDescent="0.25">
      <c r="O2944" s="20" t="str">
        <f>IF(N2944="","",COUNTIFS(RawData[[Date ]],N2944,RawData[Month List],$Q$6,RawData[Tour/Site],$Q$2,RawData[[Picker ID ]],$Q$3,RawData[Checker ID],$Q$4,RawData[[Error Type ]],$Q$5))</f>
        <v/>
      </c>
    </row>
    <row r="2945" spans="15:15" x14ac:dyDescent="0.25">
      <c r="O2945" s="20" t="str">
        <f>IF(N2945="","",COUNTIFS(RawData[[Date ]],N2945,RawData[Month List],$Q$6,RawData[Tour/Site],$Q$2,RawData[[Picker ID ]],$Q$3,RawData[Checker ID],$Q$4,RawData[[Error Type ]],$Q$5))</f>
        <v/>
      </c>
    </row>
    <row r="2946" spans="15:15" x14ac:dyDescent="0.25">
      <c r="O2946" s="20" t="str">
        <f>IF(N2946="","",COUNTIFS(RawData[[Date ]],N2946,RawData[Month List],$Q$6,RawData[Tour/Site],$Q$2,RawData[[Picker ID ]],$Q$3,RawData[Checker ID],$Q$4,RawData[[Error Type ]],$Q$5))</f>
        <v/>
      </c>
    </row>
    <row r="2947" spans="15:15" x14ac:dyDescent="0.25">
      <c r="O2947" s="20" t="str">
        <f>IF(N2947="","",COUNTIFS(RawData[[Date ]],N2947,RawData[Month List],$Q$6,RawData[Tour/Site],$Q$2,RawData[[Picker ID ]],$Q$3,RawData[Checker ID],$Q$4,RawData[[Error Type ]],$Q$5))</f>
        <v/>
      </c>
    </row>
    <row r="2948" spans="15:15" x14ac:dyDescent="0.25">
      <c r="O2948" s="20" t="str">
        <f>IF(N2948="","",COUNTIFS(RawData[[Date ]],N2948,RawData[Month List],$Q$6,RawData[Tour/Site],$Q$2,RawData[[Picker ID ]],$Q$3,RawData[Checker ID],$Q$4,RawData[[Error Type ]],$Q$5))</f>
        <v/>
      </c>
    </row>
    <row r="2949" spans="15:15" x14ac:dyDescent="0.25">
      <c r="O2949" s="20" t="str">
        <f>IF(N2949="","",COUNTIFS(RawData[[Date ]],N2949,RawData[Month List],$Q$6,RawData[Tour/Site],$Q$2,RawData[[Picker ID ]],$Q$3,RawData[Checker ID],$Q$4,RawData[[Error Type ]],$Q$5))</f>
        <v/>
      </c>
    </row>
    <row r="2950" spans="15:15" x14ac:dyDescent="0.25">
      <c r="O2950" s="20" t="str">
        <f>IF(N2950="","",COUNTIFS(RawData[[Date ]],N2950,RawData[Month List],$Q$6,RawData[Tour/Site],$Q$2,RawData[[Picker ID ]],$Q$3,RawData[Checker ID],$Q$4,RawData[[Error Type ]],$Q$5))</f>
        <v/>
      </c>
    </row>
    <row r="2951" spans="15:15" x14ac:dyDescent="0.25">
      <c r="O2951" s="20" t="str">
        <f>IF(N2951="","",COUNTIFS(RawData[[Date ]],N2951,RawData[Month List],$Q$6,RawData[Tour/Site],$Q$2,RawData[[Picker ID ]],$Q$3,RawData[Checker ID],$Q$4,RawData[[Error Type ]],$Q$5))</f>
        <v/>
      </c>
    </row>
    <row r="2952" spans="15:15" x14ac:dyDescent="0.25">
      <c r="O2952" s="20" t="str">
        <f>IF(N2952="","",COUNTIFS(RawData[[Date ]],N2952,RawData[Month List],$Q$6,RawData[Tour/Site],$Q$2,RawData[[Picker ID ]],$Q$3,RawData[Checker ID],$Q$4,RawData[[Error Type ]],$Q$5))</f>
        <v/>
      </c>
    </row>
    <row r="2953" spans="15:15" x14ac:dyDescent="0.25">
      <c r="O2953" s="20" t="str">
        <f>IF(N2953="","",COUNTIFS(RawData[[Date ]],N2953,RawData[Month List],$Q$6,RawData[Tour/Site],$Q$2,RawData[[Picker ID ]],$Q$3,RawData[Checker ID],$Q$4,RawData[[Error Type ]],$Q$5))</f>
        <v/>
      </c>
    </row>
    <row r="2954" spans="15:15" x14ac:dyDescent="0.25">
      <c r="O2954" s="20" t="str">
        <f>IF(N2954="","",COUNTIFS(RawData[[Date ]],N2954,RawData[Month List],$Q$6,RawData[Tour/Site],$Q$2,RawData[[Picker ID ]],$Q$3,RawData[Checker ID],$Q$4,RawData[[Error Type ]],$Q$5))</f>
        <v/>
      </c>
    </row>
    <row r="2955" spans="15:15" x14ac:dyDescent="0.25">
      <c r="O2955" s="20" t="str">
        <f>IF(N2955="","",COUNTIFS(RawData[[Date ]],N2955,RawData[Month List],$Q$6,RawData[Tour/Site],$Q$2,RawData[[Picker ID ]],$Q$3,RawData[Checker ID],$Q$4,RawData[[Error Type ]],$Q$5))</f>
        <v/>
      </c>
    </row>
    <row r="2956" spans="15:15" x14ac:dyDescent="0.25">
      <c r="O2956" s="20" t="str">
        <f>IF(N2956="","",COUNTIFS(RawData[[Date ]],N2956,RawData[Month List],$Q$6,RawData[Tour/Site],$Q$2,RawData[[Picker ID ]],$Q$3,RawData[Checker ID],$Q$4,RawData[[Error Type ]],$Q$5))</f>
        <v/>
      </c>
    </row>
    <row r="2957" spans="15:15" x14ac:dyDescent="0.25">
      <c r="O2957" s="20" t="str">
        <f>IF(N2957="","",COUNTIFS(RawData[[Date ]],N2957,RawData[Month List],$Q$6,RawData[Tour/Site],$Q$2,RawData[[Picker ID ]],$Q$3,RawData[Checker ID],$Q$4,RawData[[Error Type ]],$Q$5))</f>
        <v/>
      </c>
    </row>
    <row r="2958" spans="15:15" x14ac:dyDescent="0.25">
      <c r="O2958" s="20" t="str">
        <f>IF(N2958="","",COUNTIFS(RawData[[Date ]],N2958,RawData[Month List],$Q$6,RawData[Tour/Site],$Q$2,RawData[[Picker ID ]],$Q$3,RawData[Checker ID],$Q$4,RawData[[Error Type ]],$Q$5))</f>
        <v/>
      </c>
    </row>
    <row r="2959" spans="15:15" x14ac:dyDescent="0.25">
      <c r="O2959" s="20" t="str">
        <f>IF(N2959="","",COUNTIFS(RawData[[Date ]],N2959,RawData[Month List],$Q$6,RawData[Tour/Site],$Q$2,RawData[[Picker ID ]],$Q$3,RawData[Checker ID],$Q$4,RawData[[Error Type ]],$Q$5))</f>
        <v/>
      </c>
    </row>
    <row r="2960" spans="15:15" x14ac:dyDescent="0.25">
      <c r="O2960" s="20" t="str">
        <f>IF(N2960="","",COUNTIFS(RawData[[Date ]],N2960,RawData[Month List],$Q$6,RawData[Tour/Site],$Q$2,RawData[[Picker ID ]],$Q$3,RawData[Checker ID],$Q$4,RawData[[Error Type ]],$Q$5))</f>
        <v/>
      </c>
    </row>
    <row r="2961" spans="15:15" x14ac:dyDescent="0.25">
      <c r="O2961" s="20" t="str">
        <f>IF(N2961="","",COUNTIFS(RawData[[Date ]],N2961,RawData[Month List],$Q$6,RawData[Tour/Site],$Q$2,RawData[[Picker ID ]],$Q$3,RawData[Checker ID],$Q$4,RawData[[Error Type ]],$Q$5))</f>
        <v/>
      </c>
    </row>
    <row r="2962" spans="15:15" x14ac:dyDescent="0.25">
      <c r="O2962" s="20" t="str">
        <f>IF(N2962="","",COUNTIFS(RawData[[Date ]],N2962,RawData[Month List],$Q$6,RawData[Tour/Site],$Q$2,RawData[[Picker ID ]],$Q$3,RawData[Checker ID],$Q$4,RawData[[Error Type ]],$Q$5))</f>
        <v/>
      </c>
    </row>
    <row r="2963" spans="15:15" x14ac:dyDescent="0.25">
      <c r="O2963" s="20" t="str">
        <f>IF(N2963="","",COUNTIFS(RawData[[Date ]],N2963,RawData[Month List],$Q$6,RawData[Tour/Site],$Q$2,RawData[[Picker ID ]],$Q$3,RawData[Checker ID],$Q$4,RawData[[Error Type ]],$Q$5))</f>
        <v/>
      </c>
    </row>
    <row r="2964" spans="15:15" x14ac:dyDescent="0.25">
      <c r="O2964" s="20" t="str">
        <f>IF(N2964="","",COUNTIFS(RawData[[Date ]],N2964,RawData[Month List],$Q$6,RawData[Tour/Site],$Q$2,RawData[[Picker ID ]],$Q$3,RawData[Checker ID],$Q$4,RawData[[Error Type ]],$Q$5))</f>
        <v/>
      </c>
    </row>
    <row r="2965" spans="15:15" x14ac:dyDescent="0.25">
      <c r="O2965" s="20" t="str">
        <f>IF(N2965="","",COUNTIFS(RawData[[Date ]],N2965,RawData[Month List],$Q$6,RawData[Tour/Site],$Q$2,RawData[[Picker ID ]],$Q$3,RawData[Checker ID],$Q$4,RawData[[Error Type ]],$Q$5))</f>
        <v/>
      </c>
    </row>
    <row r="2966" spans="15:15" x14ac:dyDescent="0.25">
      <c r="O2966" s="20" t="str">
        <f>IF(N2966="","",COUNTIFS(RawData[[Date ]],N2966,RawData[Month List],$Q$6,RawData[Tour/Site],$Q$2,RawData[[Picker ID ]],$Q$3,RawData[Checker ID],$Q$4,RawData[[Error Type ]],$Q$5))</f>
        <v/>
      </c>
    </row>
    <row r="2967" spans="15:15" x14ac:dyDescent="0.25">
      <c r="O2967" s="20" t="str">
        <f>IF(N2967="","",COUNTIFS(RawData[[Date ]],N2967,RawData[Month List],$Q$6,RawData[Tour/Site],$Q$2,RawData[[Picker ID ]],$Q$3,RawData[Checker ID],$Q$4,RawData[[Error Type ]],$Q$5))</f>
        <v/>
      </c>
    </row>
    <row r="2968" spans="15:15" x14ac:dyDescent="0.25">
      <c r="O2968" s="20" t="str">
        <f>IF(N2968="","",COUNTIFS(RawData[[Date ]],N2968,RawData[Month List],$Q$6,RawData[Tour/Site],$Q$2,RawData[[Picker ID ]],$Q$3,RawData[Checker ID],$Q$4,RawData[[Error Type ]],$Q$5))</f>
        <v/>
      </c>
    </row>
    <row r="2969" spans="15:15" x14ac:dyDescent="0.25">
      <c r="O2969" s="20" t="str">
        <f>IF(N2969="","",COUNTIFS(RawData[[Date ]],N2969,RawData[Month List],$Q$6,RawData[Tour/Site],$Q$2,RawData[[Picker ID ]],$Q$3,RawData[Checker ID],$Q$4,RawData[[Error Type ]],$Q$5))</f>
        <v/>
      </c>
    </row>
    <row r="2970" spans="15:15" x14ac:dyDescent="0.25">
      <c r="O2970" s="20" t="str">
        <f>IF(N2970="","",COUNTIFS(RawData[[Date ]],N2970,RawData[Month List],$Q$6,RawData[Tour/Site],$Q$2,RawData[[Picker ID ]],$Q$3,RawData[Checker ID],$Q$4,RawData[[Error Type ]],$Q$5))</f>
        <v/>
      </c>
    </row>
    <row r="2971" spans="15:15" x14ac:dyDescent="0.25">
      <c r="O2971" s="20" t="str">
        <f>IF(N2971="","",COUNTIFS(RawData[[Date ]],N2971,RawData[Month List],$Q$6,RawData[Tour/Site],$Q$2,RawData[[Picker ID ]],$Q$3,RawData[Checker ID],$Q$4,RawData[[Error Type ]],$Q$5))</f>
        <v/>
      </c>
    </row>
    <row r="2972" spans="15:15" x14ac:dyDescent="0.25">
      <c r="O2972" s="20" t="str">
        <f>IF(N2972="","",COUNTIFS(RawData[[Date ]],N2972,RawData[Month List],$Q$6,RawData[Tour/Site],$Q$2,RawData[[Picker ID ]],$Q$3,RawData[Checker ID],$Q$4,RawData[[Error Type ]],$Q$5))</f>
        <v/>
      </c>
    </row>
    <row r="2973" spans="15:15" x14ac:dyDescent="0.25">
      <c r="O2973" s="20" t="str">
        <f>IF(N2973="","",COUNTIFS(RawData[[Date ]],N2973,RawData[Month List],$Q$6,RawData[Tour/Site],$Q$2,RawData[[Picker ID ]],$Q$3,RawData[Checker ID],$Q$4,RawData[[Error Type ]],$Q$5))</f>
        <v/>
      </c>
    </row>
    <row r="2974" spans="15:15" x14ac:dyDescent="0.25">
      <c r="O2974" s="20" t="str">
        <f>IF(N2974="","",COUNTIFS(RawData[[Date ]],N2974,RawData[Month List],$Q$6,RawData[Tour/Site],$Q$2,RawData[[Picker ID ]],$Q$3,RawData[Checker ID],$Q$4,RawData[[Error Type ]],$Q$5))</f>
        <v/>
      </c>
    </row>
    <row r="2975" spans="15:15" x14ac:dyDescent="0.25">
      <c r="O2975" s="20" t="str">
        <f>IF(N2975="","",COUNTIFS(RawData[[Date ]],N2975,RawData[Month List],$Q$6,RawData[Tour/Site],$Q$2,RawData[[Picker ID ]],$Q$3,RawData[Checker ID],$Q$4,RawData[[Error Type ]],$Q$5))</f>
        <v/>
      </c>
    </row>
    <row r="2976" spans="15:15" x14ac:dyDescent="0.25">
      <c r="O2976" s="20" t="str">
        <f>IF(N2976="","",COUNTIFS(RawData[[Date ]],N2976,RawData[Month List],$Q$6,RawData[Tour/Site],$Q$2,RawData[[Picker ID ]],$Q$3,RawData[Checker ID],$Q$4,RawData[[Error Type ]],$Q$5))</f>
        <v/>
      </c>
    </row>
    <row r="2977" spans="15:15" x14ac:dyDescent="0.25">
      <c r="O2977" s="20" t="str">
        <f>IF(N2977="","",COUNTIFS(RawData[[Date ]],N2977,RawData[Month List],$Q$6,RawData[Tour/Site],$Q$2,RawData[[Picker ID ]],$Q$3,RawData[Checker ID],$Q$4,RawData[[Error Type ]],$Q$5))</f>
        <v/>
      </c>
    </row>
    <row r="2978" spans="15:15" x14ac:dyDescent="0.25">
      <c r="O2978" s="20" t="str">
        <f>IF(N2978="","",COUNTIFS(RawData[[Date ]],N2978,RawData[Month List],$Q$6,RawData[Tour/Site],$Q$2,RawData[[Picker ID ]],$Q$3,RawData[Checker ID],$Q$4,RawData[[Error Type ]],$Q$5))</f>
        <v/>
      </c>
    </row>
    <row r="2979" spans="15:15" x14ac:dyDescent="0.25">
      <c r="O2979" s="20" t="str">
        <f>IF(N2979="","",COUNTIFS(RawData[[Date ]],N2979,RawData[Month List],$Q$6,RawData[Tour/Site],$Q$2,RawData[[Picker ID ]],$Q$3,RawData[Checker ID],$Q$4,RawData[[Error Type ]],$Q$5))</f>
        <v/>
      </c>
    </row>
    <row r="2980" spans="15:15" x14ac:dyDescent="0.25">
      <c r="O2980" s="20" t="str">
        <f>IF(N2980="","",COUNTIFS(RawData[[Date ]],N2980,RawData[Month List],$Q$6,RawData[Tour/Site],$Q$2,RawData[[Picker ID ]],$Q$3,RawData[Checker ID],$Q$4,RawData[[Error Type ]],$Q$5))</f>
        <v/>
      </c>
    </row>
    <row r="2981" spans="15:15" x14ac:dyDescent="0.25">
      <c r="O2981" s="20" t="str">
        <f>IF(N2981="","",COUNTIFS(RawData[[Date ]],N2981,RawData[Month List],$Q$6,RawData[Tour/Site],$Q$2,RawData[[Picker ID ]],$Q$3,RawData[Checker ID],$Q$4,RawData[[Error Type ]],$Q$5))</f>
        <v/>
      </c>
    </row>
    <row r="2982" spans="15:15" x14ac:dyDescent="0.25">
      <c r="O2982" s="20" t="str">
        <f>IF(N2982="","",COUNTIFS(RawData[[Date ]],N2982,RawData[Month List],$Q$6,RawData[Tour/Site],$Q$2,RawData[[Picker ID ]],$Q$3,RawData[Checker ID],$Q$4,RawData[[Error Type ]],$Q$5))</f>
        <v/>
      </c>
    </row>
    <row r="2983" spans="15:15" x14ac:dyDescent="0.25">
      <c r="O2983" s="20" t="str">
        <f>IF(N2983="","",COUNTIFS(RawData[[Date ]],N2983,RawData[Month List],$Q$6,RawData[Tour/Site],$Q$2,RawData[[Picker ID ]],$Q$3,RawData[Checker ID],$Q$4,RawData[[Error Type ]],$Q$5))</f>
        <v/>
      </c>
    </row>
    <row r="2984" spans="15:15" x14ac:dyDescent="0.25">
      <c r="O2984" s="20" t="str">
        <f>IF(N2984="","",COUNTIFS(RawData[[Date ]],N2984,RawData[Month List],$Q$6,RawData[Tour/Site],$Q$2,RawData[[Picker ID ]],$Q$3,RawData[Checker ID],$Q$4,RawData[[Error Type ]],$Q$5))</f>
        <v/>
      </c>
    </row>
    <row r="2985" spans="15:15" x14ac:dyDescent="0.25">
      <c r="O2985" s="20" t="str">
        <f>IF(N2985="","",COUNTIFS(RawData[[Date ]],N2985,RawData[Month List],$Q$6,RawData[Tour/Site],$Q$2,RawData[[Picker ID ]],$Q$3,RawData[Checker ID],$Q$4,RawData[[Error Type ]],$Q$5))</f>
        <v/>
      </c>
    </row>
    <row r="2986" spans="15:15" x14ac:dyDescent="0.25">
      <c r="O2986" s="20" t="str">
        <f>IF(N2986="","",COUNTIFS(RawData[[Date ]],N2986,RawData[Month List],$Q$6,RawData[Tour/Site],$Q$2,RawData[[Picker ID ]],$Q$3,RawData[Checker ID],$Q$4,RawData[[Error Type ]],$Q$5))</f>
        <v/>
      </c>
    </row>
    <row r="2987" spans="15:15" x14ac:dyDescent="0.25">
      <c r="O2987" s="20" t="str">
        <f>IF(N2987="","",COUNTIFS(RawData[[Date ]],N2987,RawData[Month List],$Q$6,RawData[Tour/Site],$Q$2,RawData[[Picker ID ]],$Q$3,RawData[Checker ID],$Q$4,RawData[[Error Type ]],$Q$5))</f>
        <v/>
      </c>
    </row>
    <row r="2988" spans="15:15" x14ac:dyDescent="0.25">
      <c r="O2988" s="20" t="str">
        <f>IF(N2988="","",COUNTIFS(RawData[[Date ]],N2988,RawData[Month List],$Q$6,RawData[Tour/Site],$Q$2,RawData[[Picker ID ]],$Q$3,RawData[Checker ID],$Q$4,RawData[[Error Type ]],$Q$5))</f>
        <v/>
      </c>
    </row>
    <row r="2989" spans="15:15" x14ac:dyDescent="0.25">
      <c r="O2989" s="20" t="str">
        <f>IF(N2989="","",COUNTIFS(RawData[[Date ]],N2989,RawData[Month List],$Q$6,RawData[Tour/Site],$Q$2,RawData[[Picker ID ]],$Q$3,RawData[Checker ID],$Q$4,RawData[[Error Type ]],$Q$5))</f>
        <v/>
      </c>
    </row>
    <row r="2990" spans="15:15" x14ac:dyDescent="0.25">
      <c r="O2990" s="20" t="str">
        <f>IF(N2990="","",COUNTIFS(RawData[[Date ]],N2990,RawData[Month List],$Q$6,RawData[Tour/Site],$Q$2,RawData[[Picker ID ]],$Q$3,RawData[Checker ID],$Q$4,RawData[[Error Type ]],$Q$5))</f>
        <v/>
      </c>
    </row>
    <row r="2991" spans="15:15" x14ac:dyDescent="0.25">
      <c r="O2991" s="20" t="str">
        <f>IF(N2991="","",COUNTIFS(RawData[[Date ]],N2991,RawData[Month List],$Q$6,RawData[Tour/Site],$Q$2,RawData[[Picker ID ]],$Q$3,RawData[Checker ID],$Q$4,RawData[[Error Type ]],$Q$5))</f>
        <v/>
      </c>
    </row>
    <row r="2992" spans="15:15" x14ac:dyDescent="0.25">
      <c r="O2992" s="20" t="str">
        <f>IF(N2992="","",COUNTIFS(RawData[[Date ]],N2992,RawData[Month List],$Q$6,RawData[Tour/Site],$Q$2,RawData[[Picker ID ]],$Q$3,RawData[Checker ID],$Q$4,RawData[[Error Type ]],$Q$5))</f>
        <v/>
      </c>
    </row>
    <row r="2993" spans="15:15" x14ac:dyDescent="0.25">
      <c r="O2993" s="20" t="str">
        <f>IF(N2993="","",COUNTIFS(RawData[[Date ]],N2993,RawData[Month List],$Q$6,RawData[Tour/Site],$Q$2,RawData[[Picker ID ]],$Q$3,RawData[Checker ID],$Q$4,RawData[[Error Type ]],$Q$5))</f>
        <v/>
      </c>
    </row>
    <row r="2994" spans="15:15" x14ac:dyDescent="0.25">
      <c r="O2994" s="20" t="str">
        <f>IF(N2994="","",COUNTIFS(RawData[[Date ]],N2994,RawData[Month List],$Q$6,RawData[Tour/Site],$Q$2,RawData[[Picker ID ]],$Q$3,RawData[Checker ID],$Q$4,RawData[[Error Type ]],$Q$5))</f>
        <v/>
      </c>
    </row>
    <row r="2995" spans="15:15" x14ac:dyDescent="0.25">
      <c r="O2995" s="20" t="str">
        <f>IF(N2995="","",COUNTIFS(RawData[[Date ]],N2995,RawData[Month List],$Q$6,RawData[Tour/Site],$Q$2,RawData[[Picker ID ]],$Q$3,RawData[Checker ID],$Q$4,RawData[[Error Type ]],$Q$5))</f>
        <v/>
      </c>
    </row>
    <row r="2996" spans="15:15" x14ac:dyDescent="0.25">
      <c r="O2996" s="20" t="str">
        <f>IF(N2996="","",COUNTIFS(RawData[[Date ]],N2996,RawData[Month List],$Q$6,RawData[Tour/Site],$Q$2,RawData[[Picker ID ]],$Q$3,RawData[Checker ID],$Q$4,RawData[[Error Type ]],$Q$5))</f>
        <v/>
      </c>
    </row>
    <row r="2997" spans="15:15" x14ac:dyDescent="0.25">
      <c r="O2997" s="20" t="str">
        <f>IF(N2997="","",COUNTIFS(RawData[[Date ]],N2997,RawData[Month List],$Q$6,RawData[Tour/Site],$Q$2,RawData[[Picker ID ]],$Q$3,RawData[Checker ID],$Q$4,RawData[[Error Type ]],$Q$5))</f>
        <v/>
      </c>
    </row>
    <row r="2998" spans="15:15" x14ac:dyDescent="0.25">
      <c r="O2998" s="20" t="str">
        <f>IF(N2998="","",COUNTIFS(RawData[[Date ]],N2998,RawData[Month List],$Q$6,RawData[Tour/Site],$Q$2,RawData[[Picker ID ]],$Q$3,RawData[Checker ID],$Q$4,RawData[[Error Type ]],$Q$5))</f>
        <v/>
      </c>
    </row>
    <row r="2999" spans="15:15" x14ac:dyDescent="0.25">
      <c r="O2999" s="20" t="str">
        <f>IF(N2999="","",COUNTIFS(RawData[[Date ]],N2999,RawData[Month List],$Q$6,RawData[Tour/Site],$Q$2,RawData[[Picker ID ]],$Q$3,RawData[Checker ID],$Q$4,RawData[[Error Type ]],$Q$5))</f>
        <v/>
      </c>
    </row>
    <row r="3000" spans="15:15" x14ac:dyDescent="0.25">
      <c r="O3000" s="20" t="str">
        <f>IF(N3000="","",COUNTIFS(RawData[[Date ]],N3000,RawData[Month List],$Q$6,RawData[Tour/Site],$Q$2,RawData[[Picker ID ]],$Q$3,RawData[Checker ID],$Q$4,RawData[[Error Type ]],$Q$5))</f>
        <v/>
      </c>
    </row>
    <row r="3001" spans="15:15" x14ac:dyDescent="0.25">
      <c r="O3001" s="20" t="str">
        <f>IF(N3001="","",COUNTIFS(RawData[[Date ]],N3001,RawData[Month List],$Q$6,RawData[Tour/Site],$Q$2,RawData[[Picker ID ]],$Q$3,RawData[Checker ID],$Q$4,RawData[[Error Type ]],$Q$5))</f>
        <v/>
      </c>
    </row>
    <row r="3002" spans="15:15" x14ac:dyDescent="0.25">
      <c r="O3002" s="20" t="str">
        <f>IF(N3002="","",COUNTIFS(RawData[[Date ]],N3002,RawData[Month List],$Q$6,RawData[Tour/Site],$Q$2,RawData[[Picker ID ]],$Q$3,RawData[Checker ID],$Q$4,RawData[[Error Type ]],$Q$5))</f>
        <v/>
      </c>
    </row>
    <row r="3003" spans="15:15" x14ac:dyDescent="0.25">
      <c r="O3003" s="20" t="str">
        <f>IF(N3003="","",COUNTIFS(RawData[[Date ]],N3003,RawData[Month List],$Q$6,RawData[Tour/Site],$Q$2,RawData[[Picker ID ]],$Q$3,RawData[Checker ID],$Q$4,RawData[[Error Type ]],$Q$5))</f>
        <v/>
      </c>
    </row>
    <row r="3004" spans="15:15" x14ac:dyDescent="0.25">
      <c r="O3004" s="20" t="str">
        <f>IF(N3004="","",COUNTIFS(RawData[[Date ]],N3004,RawData[Month List],$Q$6,RawData[Tour/Site],$Q$2,RawData[[Picker ID ]],$Q$3,RawData[Checker ID],$Q$4,RawData[[Error Type ]],$Q$5))</f>
        <v/>
      </c>
    </row>
    <row r="3005" spans="15:15" x14ac:dyDescent="0.25">
      <c r="O3005" s="20" t="str">
        <f>IF(N3005="","",COUNTIFS(RawData[[Date ]],N3005,RawData[Month List],$Q$6,RawData[Tour/Site],$Q$2,RawData[[Picker ID ]],$Q$3,RawData[Checker ID],$Q$4,RawData[[Error Type ]],$Q$5))</f>
        <v/>
      </c>
    </row>
    <row r="3006" spans="15:15" x14ac:dyDescent="0.25">
      <c r="O3006" s="20" t="str">
        <f>IF(N3006="","",COUNTIFS(RawData[[Date ]],N3006,RawData[Month List],$Q$6,RawData[Tour/Site],$Q$2,RawData[[Picker ID ]],$Q$3,RawData[Checker ID],$Q$4,RawData[[Error Type ]],$Q$5))</f>
        <v/>
      </c>
    </row>
    <row r="3007" spans="15:15" x14ac:dyDescent="0.25">
      <c r="O3007" s="20" t="str">
        <f>IF(N3007="","",COUNTIFS(RawData[[Date ]],N3007,RawData[Month List],$Q$6,RawData[Tour/Site],$Q$2,RawData[[Picker ID ]],$Q$3,RawData[Checker ID],$Q$4,RawData[[Error Type ]],$Q$5))</f>
        <v/>
      </c>
    </row>
    <row r="3008" spans="15:15" x14ac:dyDescent="0.25">
      <c r="O3008" s="20" t="str">
        <f>IF(N3008="","",COUNTIFS(RawData[[Date ]],N3008,RawData[Month List],$Q$6,RawData[Tour/Site],$Q$2,RawData[[Picker ID ]],$Q$3,RawData[Checker ID],$Q$4,RawData[[Error Type ]],$Q$5))</f>
        <v/>
      </c>
    </row>
    <row r="3009" spans="15:15" x14ac:dyDescent="0.25">
      <c r="O3009" s="20" t="str">
        <f>IF(N3009="","",COUNTIFS(RawData[[Date ]],N3009,RawData[Month List],$Q$6,RawData[Tour/Site],$Q$2,RawData[[Picker ID ]],$Q$3,RawData[Checker ID],$Q$4,RawData[[Error Type ]],$Q$5))</f>
        <v/>
      </c>
    </row>
    <row r="3010" spans="15:15" x14ac:dyDescent="0.25">
      <c r="O3010" s="20" t="str">
        <f>IF(N3010="","",COUNTIFS(RawData[[Date ]],N3010,RawData[Month List],$Q$6,RawData[Tour/Site],$Q$2,RawData[[Picker ID ]],$Q$3,RawData[Checker ID],$Q$4,RawData[[Error Type ]],$Q$5))</f>
        <v/>
      </c>
    </row>
    <row r="3011" spans="15:15" x14ac:dyDescent="0.25">
      <c r="O3011" s="20" t="str">
        <f>IF(N3011="","",COUNTIFS(RawData[[Date ]],N3011,RawData[Month List],$Q$6,RawData[Tour/Site],$Q$2,RawData[[Picker ID ]],$Q$3,RawData[Checker ID],$Q$4,RawData[[Error Type ]],$Q$5))</f>
        <v/>
      </c>
    </row>
    <row r="3012" spans="15:15" x14ac:dyDescent="0.25">
      <c r="O3012" s="20" t="str">
        <f>IF(N3012="","",COUNTIFS(RawData[[Date ]],N3012,RawData[Month List],$Q$6,RawData[Tour/Site],$Q$2,RawData[[Picker ID ]],$Q$3,RawData[Checker ID],$Q$4,RawData[[Error Type ]],$Q$5))</f>
        <v/>
      </c>
    </row>
    <row r="3013" spans="15:15" x14ac:dyDescent="0.25">
      <c r="O3013" s="20" t="str">
        <f>IF(N3013="","",COUNTIFS(RawData[[Date ]],N3013,RawData[Month List],$Q$6,RawData[Tour/Site],$Q$2,RawData[[Picker ID ]],$Q$3,RawData[Checker ID],$Q$4,RawData[[Error Type ]],$Q$5))</f>
        <v/>
      </c>
    </row>
    <row r="3014" spans="15:15" x14ac:dyDescent="0.25">
      <c r="O3014" s="20" t="str">
        <f>IF(N3014="","",COUNTIFS(RawData[[Date ]],N3014,RawData[Month List],$Q$6,RawData[Tour/Site],$Q$2,RawData[[Picker ID ]],$Q$3,RawData[Checker ID],$Q$4,RawData[[Error Type ]],$Q$5))</f>
        <v/>
      </c>
    </row>
    <row r="3015" spans="15:15" x14ac:dyDescent="0.25">
      <c r="O3015" s="20" t="str">
        <f>IF(N3015="","",COUNTIFS(RawData[[Date ]],N3015,RawData[Month List],$Q$6,RawData[Tour/Site],$Q$2,RawData[[Picker ID ]],$Q$3,RawData[Checker ID],$Q$4,RawData[[Error Type ]],$Q$5))</f>
        <v/>
      </c>
    </row>
    <row r="3016" spans="15:15" x14ac:dyDescent="0.25">
      <c r="O3016" s="20" t="str">
        <f>IF(N3016="","",COUNTIFS(RawData[[Date ]],N3016,RawData[Month List],$Q$6,RawData[Tour/Site],$Q$2,RawData[[Picker ID ]],$Q$3,RawData[Checker ID],$Q$4,RawData[[Error Type ]],$Q$5))</f>
        <v/>
      </c>
    </row>
    <row r="3017" spans="15:15" x14ac:dyDescent="0.25">
      <c r="O3017" s="20" t="str">
        <f>IF(N3017="","",COUNTIFS(RawData[[Date ]],N3017,RawData[Month List],$Q$6,RawData[Tour/Site],$Q$2,RawData[[Picker ID ]],$Q$3,RawData[Checker ID],$Q$4,RawData[[Error Type ]],$Q$5))</f>
        <v/>
      </c>
    </row>
    <row r="3018" spans="15:15" x14ac:dyDescent="0.25">
      <c r="O3018" s="20" t="str">
        <f>IF(N3018="","",COUNTIFS(RawData[[Date ]],N3018,RawData[Month List],$Q$6,RawData[Tour/Site],$Q$2,RawData[[Picker ID ]],$Q$3,RawData[Checker ID],$Q$4,RawData[[Error Type ]],$Q$5))</f>
        <v/>
      </c>
    </row>
    <row r="3019" spans="15:15" x14ac:dyDescent="0.25">
      <c r="O3019" s="20" t="str">
        <f>IF(N3019="","",COUNTIFS(RawData[[Date ]],N3019,RawData[Month List],$Q$6,RawData[Tour/Site],$Q$2,RawData[[Picker ID ]],$Q$3,RawData[Checker ID],$Q$4,RawData[[Error Type ]],$Q$5))</f>
        <v/>
      </c>
    </row>
    <row r="3020" spans="15:15" x14ac:dyDescent="0.25">
      <c r="O3020" s="20" t="str">
        <f>IF(N3020="","",COUNTIFS(RawData[[Date ]],N3020,RawData[Month List],$Q$6,RawData[Tour/Site],$Q$2,RawData[[Picker ID ]],$Q$3,RawData[Checker ID],$Q$4,RawData[[Error Type ]],$Q$5))</f>
        <v/>
      </c>
    </row>
    <row r="3021" spans="15:15" x14ac:dyDescent="0.25">
      <c r="O3021" s="20" t="str">
        <f>IF(N3021="","",COUNTIFS(RawData[[Date ]],N3021,RawData[Month List],$Q$6,RawData[Tour/Site],$Q$2,RawData[[Picker ID ]],$Q$3,RawData[Checker ID],$Q$4,RawData[[Error Type ]],$Q$5))</f>
        <v/>
      </c>
    </row>
    <row r="3022" spans="15:15" x14ac:dyDescent="0.25">
      <c r="O3022" s="20" t="str">
        <f>IF(N3022="","",COUNTIFS(RawData[[Date ]],N3022,RawData[Month List],$Q$6,RawData[Tour/Site],$Q$2,RawData[[Picker ID ]],$Q$3,RawData[Checker ID],$Q$4,RawData[[Error Type ]],$Q$5))</f>
        <v/>
      </c>
    </row>
    <row r="3023" spans="15:15" x14ac:dyDescent="0.25">
      <c r="O3023" s="20" t="str">
        <f>IF(N3023="","",COUNTIFS(RawData[[Date ]],N3023,RawData[Month List],$Q$6,RawData[Tour/Site],$Q$2,RawData[[Picker ID ]],$Q$3,RawData[Checker ID],$Q$4,RawData[[Error Type ]],$Q$5))</f>
        <v/>
      </c>
    </row>
    <row r="3024" spans="15:15" x14ac:dyDescent="0.25">
      <c r="O3024" s="20" t="str">
        <f>IF(N3024="","",COUNTIFS(RawData[[Date ]],N3024,RawData[Month List],$Q$6,RawData[Tour/Site],$Q$2,RawData[[Picker ID ]],$Q$3,RawData[Checker ID],$Q$4,RawData[[Error Type ]],$Q$5))</f>
        <v/>
      </c>
    </row>
    <row r="3025" spans="15:15" x14ac:dyDescent="0.25">
      <c r="O3025" s="20" t="str">
        <f>IF(N3025="","",COUNTIFS(RawData[[Date ]],N3025,RawData[Month List],$Q$6,RawData[Tour/Site],$Q$2,RawData[[Picker ID ]],$Q$3,RawData[Checker ID],$Q$4,RawData[[Error Type ]],$Q$5))</f>
        <v/>
      </c>
    </row>
    <row r="3026" spans="15:15" x14ac:dyDescent="0.25">
      <c r="O3026" s="20" t="str">
        <f>IF(N3026="","",COUNTIFS(RawData[[Date ]],N3026,RawData[Month List],$Q$6,RawData[Tour/Site],$Q$2,RawData[[Picker ID ]],$Q$3,RawData[Checker ID],$Q$4,RawData[[Error Type ]],$Q$5))</f>
        <v/>
      </c>
    </row>
    <row r="3027" spans="15:15" x14ac:dyDescent="0.25">
      <c r="O3027" s="20" t="str">
        <f>IF(N3027="","",COUNTIFS(RawData[[Date ]],N3027,RawData[Month List],$Q$6,RawData[Tour/Site],$Q$2,RawData[[Picker ID ]],$Q$3,RawData[Checker ID],$Q$4,RawData[[Error Type ]],$Q$5))</f>
        <v/>
      </c>
    </row>
    <row r="3028" spans="15:15" x14ac:dyDescent="0.25">
      <c r="O3028" s="20" t="str">
        <f>IF(N3028="","",COUNTIFS(RawData[[Date ]],N3028,RawData[Month List],$Q$6,RawData[Tour/Site],$Q$2,RawData[[Picker ID ]],$Q$3,RawData[Checker ID],$Q$4,RawData[[Error Type ]],$Q$5))</f>
        <v/>
      </c>
    </row>
    <row r="3029" spans="15:15" x14ac:dyDescent="0.25">
      <c r="O3029" s="20" t="str">
        <f>IF(N3029="","",COUNTIFS(RawData[[Date ]],N3029,RawData[Month List],$Q$6,RawData[Tour/Site],$Q$2,RawData[[Picker ID ]],$Q$3,RawData[Checker ID],$Q$4,RawData[[Error Type ]],$Q$5))</f>
        <v/>
      </c>
    </row>
    <row r="3030" spans="15:15" x14ac:dyDescent="0.25">
      <c r="O3030" s="20" t="str">
        <f>IF(N3030="","",COUNTIFS(RawData[[Date ]],N3030,RawData[Month List],$Q$6,RawData[Tour/Site],$Q$2,RawData[[Picker ID ]],$Q$3,RawData[Checker ID],$Q$4,RawData[[Error Type ]],$Q$5))</f>
        <v/>
      </c>
    </row>
    <row r="3031" spans="15:15" x14ac:dyDescent="0.25">
      <c r="O3031" s="20" t="str">
        <f>IF(N3031="","",COUNTIFS(RawData[[Date ]],N3031,RawData[Month List],$Q$6,RawData[Tour/Site],$Q$2,RawData[[Picker ID ]],$Q$3,RawData[Checker ID],$Q$4,RawData[[Error Type ]],$Q$5))</f>
        <v/>
      </c>
    </row>
    <row r="3032" spans="15:15" x14ac:dyDescent="0.25">
      <c r="O3032" s="20" t="str">
        <f>IF(N3032="","",COUNTIFS(RawData[[Date ]],N3032,RawData[Month List],$Q$6,RawData[Tour/Site],$Q$2,RawData[[Picker ID ]],$Q$3,RawData[Checker ID],$Q$4,RawData[[Error Type ]],$Q$5))</f>
        <v/>
      </c>
    </row>
    <row r="3033" spans="15:15" x14ac:dyDescent="0.25">
      <c r="O3033" s="20" t="str">
        <f>IF(N3033="","",COUNTIFS(RawData[[Date ]],N3033,RawData[Month List],$Q$6,RawData[Tour/Site],$Q$2,RawData[[Picker ID ]],$Q$3,RawData[Checker ID],$Q$4,RawData[[Error Type ]],$Q$5))</f>
        <v/>
      </c>
    </row>
    <row r="3034" spans="15:15" x14ac:dyDescent="0.25">
      <c r="O3034" s="20" t="str">
        <f>IF(N3034="","",COUNTIFS(RawData[[Date ]],N3034,RawData[Month List],$Q$6,RawData[Tour/Site],$Q$2,RawData[[Picker ID ]],$Q$3,RawData[Checker ID],$Q$4,RawData[[Error Type ]],$Q$5))</f>
        <v/>
      </c>
    </row>
    <row r="3035" spans="15:15" x14ac:dyDescent="0.25">
      <c r="O3035" s="20" t="str">
        <f>IF(N3035="","",COUNTIFS(RawData[[Date ]],N3035,RawData[Month List],$Q$6,RawData[Tour/Site],$Q$2,RawData[[Picker ID ]],$Q$3,RawData[Checker ID],$Q$4,RawData[[Error Type ]],$Q$5))</f>
        <v/>
      </c>
    </row>
    <row r="3036" spans="15:15" x14ac:dyDescent="0.25">
      <c r="O3036" s="20" t="str">
        <f>IF(N3036="","",COUNTIFS(RawData[[Date ]],N3036,RawData[Month List],$Q$6,RawData[Tour/Site],$Q$2,RawData[[Picker ID ]],$Q$3,RawData[Checker ID],$Q$4,RawData[[Error Type ]],$Q$5))</f>
        <v/>
      </c>
    </row>
    <row r="3037" spans="15:15" x14ac:dyDescent="0.25">
      <c r="O3037" s="20" t="str">
        <f>IF(N3037="","",COUNTIFS(RawData[[Date ]],N3037,RawData[Month List],$Q$6,RawData[Tour/Site],$Q$2,RawData[[Picker ID ]],$Q$3,RawData[Checker ID],$Q$4,RawData[[Error Type ]],$Q$5))</f>
        <v/>
      </c>
    </row>
    <row r="3038" spans="15:15" x14ac:dyDescent="0.25">
      <c r="O3038" s="20" t="str">
        <f>IF(N3038="","",COUNTIFS(RawData[[Date ]],N3038,RawData[Month List],$Q$6,RawData[Tour/Site],$Q$2,RawData[[Picker ID ]],$Q$3,RawData[Checker ID],$Q$4,RawData[[Error Type ]],$Q$5))</f>
        <v/>
      </c>
    </row>
    <row r="3039" spans="15:15" x14ac:dyDescent="0.25">
      <c r="O3039" s="20" t="str">
        <f>IF(N3039="","",COUNTIFS(RawData[[Date ]],N3039,RawData[Month List],$Q$6,RawData[Tour/Site],$Q$2,RawData[[Picker ID ]],$Q$3,RawData[Checker ID],$Q$4,RawData[[Error Type ]],$Q$5))</f>
        <v/>
      </c>
    </row>
    <row r="3040" spans="15:15" x14ac:dyDescent="0.25">
      <c r="O3040" s="20" t="str">
        <f>IF(N3040="","",COUNTIFS(RawData[[Date ]],N3040,RawData[Month List],$Q$6,RawData[Tour/Site],$Q$2,RawData[[Picker ID ]],$Q$3,RawData[Checker ID],$Q$4,RawData[[Error Type ]],$Q$5))</f>
        <v/>
      </c>
    </row>
    <row r="3041" spans="15:15" x14ac:dyDescent="0.25">
      <c r="O3041" s="20" t="str">
        <f>IF(N3041="","",COUNTIFS(RawData[[Date ]],N3041,RawData[Month List],$Q$6,RawData[Tour/Site],$Q$2,RawData[[Picker ID ]],$Q$3,RawData[Checker ID],$Q$4,RawData[[Error Type ]],$Q$5))</f>
        <v/>
      </c>
    </row>
    <row r="3042" spans="15:15" x14ac:dyDescent="0.25">
      <c r="O3042" s="20" t="str">
        <f>IF(N3042="","",COUNTIFS(RawData[[Date ]],N3042,RawData[Month List],$Q$6,RawData[Tour/Site],$Q$2,RawData[[Picker ID ]],$Q$3,RawData[Checker ID],$Q$4,RawData[[Error Type ]],$Q$5))</f>
        <v/>
      </c>
    </row>
    <row r="3043" spans="15:15" x14ac:dyDescent="0.25">
      <c r="O3043" s="20" t="str">
        <f>IF(N3043="","",COUNTIFS(RawData[[Date ]],N3043,RawData[Month List],$Q$6,RawData[Tour/Site],$Q$2,RawData[[Picker ID ]],$Q$3,RawData[Checker ID],$Q$4,RawData[[Error Type ]],$Q$5))</f>
        <v/>
      </c>
    </row>
    <row r="3044" spans="15:15" x14ac:dyDescent="0.25">
      <c r="O3044" s="20" t="str">
        <f>IF(N3044="","",COUNTIFS(RawData[[Date ]],N3044,RawData[Month List],$Q$6,RawData[Tour/Site],$Q$2,RawData[[Picker ID ]],$Q$3,RawData[Checker ID],$Q$4,RawData[[Error Type ]],$Q$5))</f>
        <v/>
      </c>
    </row>
    <row r="3045" spans="15:15" x14ac:dyDescent="0.25">
      <c r="O3045" s="20" t="str">
        <f>IF(N3045="","",COUNTIFS(RawData[[Date ]],N3045,RawData[Month List],$Q$6,RawData[Tour/Site],$Q$2,RawData[[Picker ID ]],$Q$3,RawData[Checker ID],$Q$4,RawData[[Error Type ]],$Q$5))</f>
        <v/>
      </c>
    </row>
    <row r="3046" spans="15:15" x14ac:dyDescent="0.25">
      <c r="O3046" s="20" t="str">
        <f>IF(N3046="","",COUNTIFS(RawData[[Date ]],N3046,RawData[Month List],$Q$6,RawData[Tour/Site],$Q$2,RawData[[Picker ID ]],$Q$3,RawData[Checker ID],$Q$4,RawData[[Error Type ]],$Q$5))</f>
        <v/>
      </c>
    </row>
    <row r="3047" spans="15:15" x14ac:dyDescent="0.25">
      <c r="O3047" s="20" t="str">
        <f>IF(N3047="","",COUNTIFS(RawData[[Date ]],N3047,RawData[Month List],$Q$6,RawData[Tour/Site],$Q$2,RawData[[Picker ID ]],$Q$3,RawData[Checker ID],$Q$4,RawData[[Error Type ]],$Q$5))</f>
        <v/>
      </c>
    </row>
    <row r="3048" spans="15:15" x14ac:dyDescent="0.25">
      <c r="O3048" s="20" t="str">
        <f>IF(N3048="","",COUNTIFS(RawData[[Date ]],N3048,RawData[Month List],$Q$6,RawData[Tour/Site],$Q$2,RawData[[Picker ID ]],$Q$3,RawData[Checker ID],$Q$4,RawData[[Error Type ]],$Q$5))</f>
        <v/>
      </c>
    </row>
    <row r="3049" spans="15:15" x14ac:dyDescent="0.25">
      <c r="O3049" s="20" t="str">
        <f>IF(N3049="","",COUNTIFS(RawData[[Date ]],N3049,RawData[Month List],$Q$6,RawData[Tour/Site],$Q$2,RawData[[Picker ID ]],$Q$3,RawData[Checker ID],$Q$4,RawData[[Error Type ]],$Q$5))</f>
        <v/>
      </c>
    </row>
    <row r="3050" spans="15:15" x14ac:dyDescent="0.25">
      <c r="O3050" s="20" t="str">
        <f>IF(N3050="","",COUNTIFS(RawData[[Date ]],N3050,RawData[Month List],$Q$6,RawData[Tour/Site],$Q$2,RawData[[Picker ID ]],$Q$3,RawData[Checker ID],$Q$4,RawData[[Error Type ]],$Q$5))</f>
        <v/>
      </c>
    </row>
    <row r="3051" spans="15:15" x14ac:dyDescent="0.25">
      <c r="O3051" s="20" t="str">
        <f>IF(N3051="","",COUNTIFS(RawData[[Date ]],N3051,RawData[Month List],$Q$6,RawData[Tour/Site],$Q$2,RawData[[Picker ID ]],$Q$3,RawData[Checker ID],$Q$4,RawData[[Error Type ]],$Q$5))</f>
        <v/>
      </c>
    </row>
    <row r="3052" spans="15:15" x14ac:dyDescent="0.25">
      <c r="O3052" s="20" t="str">
        <f>IF(N3052="","",COUNTIFS(RawData[[Date ]],N3052,RawData[Month List],$Q$6,RawData[Tour/Site],$Q$2,RawData[[Picker ID ]],$Q$3,RawData[Checker ID],$Q$4,RawData[[Error Type ]],$Q$5))</f>
        <v/>
      </c>
    </row>
    <row r="3053" spans="15:15" x14ac:dyDescent="0.25">
      <c r="O3053" s="20" t="str">
        <f>IF(N3053="","",COUNTIFS(RawData[[Date ]],N3053,RawData[Month List],$Q$6,RawData[Tour/Site],$Q$2,RawData[[Picker ID ]],$Q$3,RawData[Checker ID],$Q$4,RawData[[Error Type ]],$Q$5))</f>
        <v/>
      </c>
    </row>
    <row r="3054" spans="15:15" x14ac:dyDescent="0.25">
      <c r="O3054" s="20" t="str">
        <f>IF(N3054="","",COUNTIFS(RawData[[Date ]],N3054,RawData[Month List],$Q$6,RawData[Tour/Site],$Q$2,RawData[[Picker ID ]],$Q$3,RawData[Checker ID],$Q$4,RawData[[Error Type ]],$Q$5))</f>
        <v/>
      </c>
    </row>
    <row r="3055" spans="15:15" x14ac:dyDescent="0.25">
      <c r="O3055" s="20" t="str">
        <f>IF(N3055="","",COUNTIFS(RawData[[Date ]],N3055,RawData[Month List],$Q$6,RawData[Tour/Site],$Q$2,RawData[[Picker ID ]],$Q$3,RawData[Checker ID],$Q$4,RawData[[Error Type ]],$Q$5))</f>
        <v/>
      </c>
    </row>
    <row r="3056" spans="15:15" x14ac:dyDescent="0.25">
      <c r="O3056" s="20" t="str">
        <f>IF(N3056="","",COUNTIFS(RawData[[Date ]],N3056,RawData[Month List],$Q$6,RawData[Tour/Site],$Q$2,RawData[[Picker ID ]],$Q$3,RawData[Checker ID],$Q$4,RawData[[Error Type ]],$Q$5))</f>
        <v/>
      </c>
    </row>
    <row r="3057" spans="15:15" x14ac:dyDescent="0.25">
      <c r="O3057" s="20" t="str">
        <f>IF(N3057="","",COUNTIFS(RawData[[Date ]],N3057,RawData[Month List],$Q$6,RawData[Tour/Site],$Q$2,RawData[[Picker ID ]],$Q$3,RawData[Checker ID],$Q$4,RawData[[Error Type ]],$Q$5))</f>
        <v/>
      </c>
    </row>
    <row r="3058" spans="15:15" x14ac:dyDescent="0.25">
      <c r="O3058" s="20" t="str">
        <f>IF(N3058="","",COUNTIFS(RawData[[Date ]],N3058,RawData[Month List],$Q$6,RawData[Tour/Site],$Q$2,RawData[[Picker ID ]],$Q$3,RawData[Checker ID],$Q$4,RawData[[Error Type ]],$Q$5))</f>
        <v/>
      </c>
    </row>
    <row r="3059" spans="15:15" x14ac:dyDescent="0.25">
      <c r="O3059" s="20" t="str">
        <f>IF(N3059="","",COUNTIFS(RawData[[Date ]],N3059,RawData[Month List],$Q$6,RawData[Tour/Site],$Q$2,RawData[[Picker ID ]],$Q$3,RawData[Checker ID],$Q$4,RawData[[Error Type ]],$Q$5))</f>
        <v/>
      </c>
    </row>
    <row r="3060" spans="15:15" x14ac:dyDescent="0.25">
      <c r="O3060" s="20" t="str">
        <f>IF(N3060="","",COUNTIFS(RawData[[Date ]],N3060,RawData[Month List],$Q$6,RawData[Tour/Site],$Q$2,RawData[[Picker ID ]],$Q$3,RawData[Checker ID],$Q$4,RawData[[Error Type ]],$Q$5))</f>
        <v/>
      </c>
    </row>
    <row r="3061" spans="15:15" x14ac:dyDescent="0.25">
      <c r="O3061" s="20" t="str">
        <f>IF(N3061="","",COUNTIFS(RawData[[Date ]],N3061,RawData[Month List],$Q$6,RawData[Tour/Site],$Q$2,RawData[[Picker ID ]],$Q$3,RawData[Checker ID],$Q$4,RawData[[Error Type ]],$Q$5))</f>
        <v/>
      </c>
    </row>
    <row r="3062" spans="15:15" x14ac:dyDescent="0.25">
      <c r="O3062" s="20" t="str">
        <f>IF(N3062="","",COUNTIFS(RawData[[Date ]],N3062,RawData[Month List],$Q$6,RawData[Tour/Site],$Q$2,RawData[[Picker ID ]],$Q$3,RawData[Checker ID],$Q$4,RawData[[Error Type ]],$Q$5))</f>
        <v/>
      </c>
    </row>
    <row r="3063" spans="15:15" x14ac:dyDescent="0.25">
      <c r="O3063" s="20" t="str">
        <f>IF(N3063="","",COUNTIFS(RawData[[Date ]],N3063,RawData[Month List],$Q$6,RawData[Tour/Site],$Q$2,RawData[[Picker ID ]],$Q$3,RawData[Checker ID],$Q$4,RawData[[Error Type ]],$Q$5))</f>
        <v/>
      </c>
    </row>
    <row r="3064" spans="15:15" x14ac:dyDescent="0.25">
      <c r="O3064" s="20" t="str">
        <f>IF(N3064="","",COUNTIFS(RawData[[Date ]],N3064,RawData[Month List],$Q$6,RawData[Tour/Site],$Q$2,RawData[[Picker ID ]],$Q$3,RawData[Checker ID],$Q$4,RawData[[Error Type ]],$Q$5))</f>
        <v/>
      </c>
    </row>
    <row r="3065" spans="15:15" x14ac:dyDescent="0.25">
      <c r="O3065" s="20" t="str">
        <f>IF(N3065="","",COUNTIFS(RawData[[Date ]],N3065,RawData[Month List],$Q$6,RawData[Tour/Site],$Q$2,RawData[[Picker ID ]],$Q$3,RawData[Checker ID],$Q$4,RawData[[Error Type ]],$Q$5))</f>
        <v/>
      </c>
    </row>
    <row r="3066" spans="15:15" x14ac:dyDescent="0.25">
      <c r="O3066" s="20" t="str">
        <f>IF(N3066="","",COUNTIFS(RawData[[Date ]],N3066,RawData[Month List],$Q$6,RawData[Tour/Site],$Q$2,RawData[[Picker ID ]],$Q$3,RawData[Checker ID],$Q$4,RawData[[Error Type ]],$Q$5))</f>
        <v/>
      </c>
    </row>
    <row r="3067" spans="15:15" x14ac:dyDescent="0.25">
      <c r="O3067" s="20" t="str">
        <f>IF(N3067="","",COUNTIFS(RawData[[Date ]],N3067,RawData[Month List],$Q$6,RawData[Tour/Site],$Q$2,RawData[[Picker ID ]],$Q$3,RawData[Checker ID],$Q$4,RawData[[Error Type ]],$Q$5))</f>
        <v/>
      </c>
    </row>
    <row r="3068" spans="15:15" x14ac:dyDescent="0.25">
      <c r="O3068" s="20" t="str">
        <f>IF(N3068="","",COUNTIFS(RawData[[Date ]],N3068,RawData[Month List],$Q$6,RawData[Tour/Site],$Q$2,RawData[[Picker ID ]],$Q$3,RawData[Checker ID],$Q$4,RawData[[Error Type ]],$Q$5))</f>
        <v/>
      </c>
    </row>
    <row r="3069" spans="15:15" x14ac:dyDescent="0.25">
      <c r="O3069" s="20" t="str">
        <f>IF(N3069="","",COUNTIFS(RawData[[Date ]],N3069,RawData[Month List],$Q$6,RawData[Tour/Site],$Q$2,RawData[[Picker ID ]],$Q$3,RawData[Checker ID],$Q$4,RawData[[Error Type ]],$Q$5))</f>
        <v/>
      </c>
    </row>
    <row r="3070" spans="15:15" x14ac:dyDescent="0.25">
      <c r="O3070" s="20" t="str">
        <f>IF(N3070="","",COUNTIFS(RawData[[Date ]],N3070,RawData[Month List],$Q$6,RawData[Tour/Site],$Q$2,RawData[[Picker ID ]],$Q$3,RawData[Checker ID],$Q$4,RawData[[Error Type ]],$Q$5))</f>
        <v/>
      </c>
    </row>
    <row r="3071" spans="15:15" x14ac:dyDescent="0.25">
      <c r="O3071" s="20" t="str">
        <f>IF(N3071="","",COUNTIFS(RawData[[Date ]],N3071,RawData[Month List],$Q$6,RawData[Tour/Site],$Q$2,RawData[[Picker ID ]],$Q$3,RawData[Checker ID],$Q$4,RawData[[Error Type ]],$Q$5))</f>
        <v/>
      </c>
    </row>
    <row r="3072" spans="15:15" x14ac:dyDescent="0.25">
      <c r="O3072" s="20" t="str">
        <f>IF(N3072="","",COUNTIFS(RawData[[Date ]],N3072,RawData[Month List],$Q$6,RawData[Tour/Site],$Q$2,RawData[[Picker ID ]],$Q$3,RawData[Checker ID],$Q$4,RawData[[Error Type ]],$Q$5))</f>
        <v/>
      </c>
    </row>
    <row r="3073" spans="15:15" x14ac:dyDescent="0.25">
      <c r="O3073" s="20" t="str">
        <f>IF(N3073="","",COUNTIFS(RawData[[Date ]],N3073,RawData[Month List],$Q$6,RawData[Tour/Site],$Q$2,RawData[[Picker ID ]],$Q$3,RawData[Checker ID],$Q$4,RawData[[Error Type ]],$Q$5))</f>
        <v/>
      </c>
    </row>
    <row r="3074" spans="15:15" x14ac:dyDescent="0.25">
      <c r="O3074" s="20" t="str">
        <f>IF(N3074="","",COUNTIFS(RawData[[Date ]],N3074,RawData[Month List],$Q$6,RawData[Tour/Site],$Q$2,RawData[[Picker ID ]],$Q$3,RawData[Checker ID],$Q$4,RawData[[Error Type ]],$Q$5))</f>
        <v/>
      </c>
    </row>
    <row r="3075" spans="15:15" x14ac:dyDescent="0.25">
      <c r="O3075" s="20" t="str">
        <f>IF(N3075="","",COUNTIFS(RawData[[Date ]],N3075,RawData[Month List],$Q$6,RawData[Tour/Site],$Q$2,RawData[[Picker ID ]],$Q$3,RawData[Checker ID],$Q$4,RawData[[Error Type ]],$Q$5))</f>
        <v/>
      </c>
    </row>
    <row r="3076" spans="15:15" x14ac:dyDescent="0.25">
      <c r="O3076" s="20" t="str">
        <f>IF(N3076="","",COUNTIFS(RawData[[Date ]],N3076,RawData[Month List],$Q$6,RawData[Tour/Site],$Q$2,RawData[[Picker ID ]],$Q$3,RawData[Checker ID],$Q$4,RawData[[Error Type ]],$Q$5))</f>
        <v/>
      </c>
    </row>
    <row r="3077" spans="15:15" x14ac:dyDescent="0.25">
      <c r="O3077" s="20" t="str">
        <f>IF(N3077="","",COUNTIFS(RawData[[Date ]],N3077,RawData[Month List],$Q$6,RawData[Tour/Site],$Q$2,RawData[[Picker ID ]],$Q$3,RawData[Checker ID],$Q$4,RawData[[Error Type ]],$Q$5))</f>
        <v/>
      </c>
    </row>
    <row r="3078" spans="15:15" x14ac:dyDescent="0.25">
      <c r="O3078" s="20" t="str">
        <f>IF(N3078="","",COUNTIFS(RawData[[Date ]],N3078,RawData[Month List],$Q$6,RawData[Tour/Site],$Q$2,RawData[[Picker ID ]],$Q$3,RawData[Checker ID],$Q$4,RawData[[Error Type ]],$Q$5))</f>
        <v/>
      </c>
    </row>
    <row r="3079" spans="15:15" x14ac:dyDescent="0.25">
      <c r="O3079" s="20" t="str">
        <f>IF(N3079="","",COUNTIFS(RawData[[Date ]],N3079,RawData[Month List],$Q$6,RawData[Tour/Site],$Q$2,RawData[[Picker ID ]],$Q$3,RawData[Checker ID],$Q$4,RawData[[Error Type ]],$Q$5))</f>
        <v/>
      </c>
    </row>
    <row r="3080" spans="15:15" x14ac:dyDescent="0.25">
      <c r="O3080" s="20" t="str">
        <f>IF(N3080="","",COUNTIFS(RawData[[Date ]],N3080,RawData[Month List],$Q$6,RawData[Tour/Site],$Q$2,RawData[[Picker ID ]],$Q$3,RawData[Checker ID],$Q$4,RawData[[Error Type ]],$Q$5))</f>
        <v/>
      </c>
    </row>
    <row r="3081" spans="15:15" x14ac:dyDescent="0.25">
      <c r="O3081" s="20" t="str">
        <f>IF(N3081="","",COUNTIFS(RawData[[Date ]],N3081,RawData[Month List],$Q$6,RawData[Tour/Site],$Q$2,RawData[[Picker ID ]],$Q$3,RawData[Checker ID],$Q$4,RawData[[Error Type ]],$Q$5))</f>
        <v/>
      </c>
    </row>
    <row r="3082" spans="15:15" x14ac:dyDescent="0.25">
      <c r="O3082" s="20" t="str">
        <f>IF(N3082="","",COUNTIFS(RawData[[Date ]],N3082,RawData[Month List],$Q$6,RawData[Tour/Site],$Q$2,RawData[[Picker ID ]],$Q$3,RawData[Checker ID],$Q$4,RawData[[Error Type ]],$Q$5))</f>
        <v/>
      </c>
    </row>
    <row r="3083" spans="15:15" x14ac:dyDescent="0.25">
      <c r="O3083" s="20" t="str">
        <f>IF(N3083="","",COUNTIFS(RawData[[Date ]],N3083,RawData[Month List],$Q$6,RawData[Tour/Site],$Q$2,RawData[[Picker ID ]],$Q$3,RawData[Checker ID],$Q$4,RawData[[Error Type ]],$Q$5))</f>
        <v/>
      </c>
    </row>
    <row r="3084" spans="15:15" x14ac:dyDescent="0.25">
      <c r="O3084" s="20" t="str">
        <f>IF(N3084="","",COUNTIFS(RawData[[Date ]],N3084,RawData[Month List],$Q$6,RawData[Tour/Site],$Q$2,RawData[[Picker ID ]],$Q$3,RawData[Checker ID],$Q$4,RawData[[Error Type ]],$Q$5))</f>
        <v/>
      </c>
    </row>
    <row r="3085" spans="15:15" x14ac:dyDescent="0.25">
      <c r="O3085" s="20" t="str">
        <f>IF(N3085="","",COUNTIFS(RawData[[Date ]],N3085,RawData[Month List],$Q$6,RawData[Tour/Site],$Q$2,RawData[[Picker ID ]],$Q$3,RawData[Checker ID],$Q$4,RawData[[Error Type ]],$Q$5))</f>
        <v/>
      </c>
    </row>
    <row r="3086" spans="15:15" x14ac:dyDescent="0.25">
      <c r="O3086" s="20" t="str">
        <f>IF(N3086="","",COUNTIFS(RawData[[Date ]],N3086,RawData[Month List],$Q$6,RawData[Tour/Site],$Q$2,RawData[[Picker ID ]],$Q$3,RawData[Checker ID],$Q$4,RawData[[Error Type ]],$Q$5))</f>
        <v/>
      </c>
    </row>
    <row r="3087" spans="15:15" x14ac:dyDescent="0.25">
      <c r="O3087" s="20" t="str">
        <f>IF(N3087="","",COUNTIFS(RawData[[Date ]],N3087,RawData[Month List],$Q$6,RawData[Tour/Site],$Q$2,RawData[[Picker ID ]],$Q$3,RawData[Checker ID],$Q$4,RawData[[Error Type ]],$Q$5))</f>
        <v/>
      </c>
    </row>
    <row r="3088" spans="15:15" x14ac:dyDescent="0.25">
      <c r="O3088" s="20" t="str">
        <f>IF(N3088="","",COUNTIFS(RawData[[Date ]],N3088,RawData[Month List],$Q$6,RawData[Tour/Site],$Q$2,RawData[[Picker ID ]],$Q$3,RawData[Checker ID],$Q$4,RawData[[Error Type ]],$Q$5))</f>
        <v/>
      </c>
    </row>
    <row r="3089" spans="15:15" x14ac:dyDescent="0.25">
      <c r="O3089" s="20" t="str">
        <f>IF(N3089="","",COUNTIFS(RawData[[Date ]],N3089,RawData[Month List],$Q$6,RawData[Tour/Site],$Q$2,RawData[[Picker ID ]],$Q$3,RawData[Checker ID],$Q$4,RawData[[Error Type ]],$Q$5))</f>
        <v/>
      </c>
    </row>
    <row r="3090" spans="15:15" x14ac:dyDescent="0.25">
      <c r="O3090" s="20" t="str">
        <f>IF(N3090="","",COUNTIFS(RawData[[Date ]],N3090,RawData[Month List],$Q$6,RawData[Tour/Site],$Q$2,RawData[[Picker ID ]],$Q$3,RawData[Checker ID],$Q$4,RawData[[Error Type ]],$Q$5))</f>
        <v/>
      </c>
    </row>
    <row r="3091" spans="15:15" x14ac:dyDescent="0.25">
      <c r="O3091" s="20" t="str">
        <f>IF(N3091="","",COUNTIFS(RawData[[Date ]],N3091,RawData[Month List],$Q$6,RawData[Tour/Site],$Q$2,RawData[[Picker ID ]],$Q$3,RawData[Checker ID],$Q$4,RawData[[Error Type ]],$Q$5))</f>
        <v/>
      </c>
    </row>
    <row r="3092" spans="15:15" x14ac:dyDescent="0.25">
      <c r="O3092" s="20" t="str">
        <f>IF(N3092="","",COUNTIFS(RawData[[Date ]],N3092,RawData[Month List],$Q$6,RawData[Tour/Site],$Q$2,RawData[[Picker ID ]],$Q$3,RawData[Checker ID],$Q$4,RawData[[Error Type ]],$Q$5))</f>
        <v/>
      </c>
    </row>
    <row r="3093" spans="15:15" x14ac:dyDescent="0.25">
      <c r="O3093" s="20" t="str">
        <f>IF(N3093="","",COUNTIFS(RawData[[Date ]],N3093,RawData[Month List],$Q$6,RawData[Tour/Site],$Q$2,RawData[[Picker ID ]],$Q$3,RawData[Checker ID],$Q$4,RawData[[Error Type ]],$Q$5))</f>
        <v/>
      </c>
    </row>
    <row r="3094" spans="15:15" x14ac:dyDescent="0.25">
      <c r="O3094" s="20" t="str">
        <f>IF(N3094="","",COUNTIFS(RawData[[Date ]],N3094,RawData[Month List],$Q$6,RawData[Tour/Site],$Q$2,RawData[[Picker ID ]],$Q$3,RawData[Checker ID],$Q$4,RawData[[Error Type ]],$Q$5))</f>
        <v/>
      </c>
    </row>
    <row r="3095" spans="15:15" x14ac:dyDescent="0.25">
      <c r="O3095" s="20" t="str">
        <f>IF(N3095="","",COUNTIFS(RawData[[Date ]],N3095,RawData[Month List],$Q$6,RawData[Tour/Site],$Q$2,RawData[[Picker ID ]],$Q$3,RawData[Checker ID],$Q$4,RawData[[Error Type ]],$Q$5))</f>
        <v/>
      </c>
    </row>
    <row r="3096" spans="15:15" x14ac:dyDescent="0.25">
      <c r="O3096" s="20" t="str">
        <f>IF(N3096="","",COUNTIFS(RawData[[Date ]],N3096,RawData[Month List],$Q$6,RawData[Tour/Site],$Q$2,RawData[[Picker ID ]],$Q$3,RawData[Checker ID],$Q$4,RawData[[Error Type ]],$Q$5))</f>
        <v/>
      </c>
    </row>
    <row r="3097" spans="15:15" x14ac:dyDescent="0.25">
      <c r="O3097" s="20" t="str">
        <f>IF(N3097="","",COUNTIFS(RawData[[Date ]],N3097,RawData[Month List],$Q$6,RawData[Tour/Site],$Q$2,RawData[[Picker ID ]],$Q$3,RawData[Checker ID],$Q$4,RawData[[Error Type ]],$Q$5))</f>
        <v/>
      </c>
    </row>
    <row r="3098" spans="15:15" x14ac:dyDescent="0.25">
      <c r="O3098" s="20" t="str">
        <f>IF(N3098="","",COUNTIFS(RawData[[Date ]],N3098,RawData[Month List],$Q$6,RawData[Tour/Site],$Q$2,RawData[[Picker ID ]],$Q$3,RawData[Checker ID],$Q$4,RawData[[Error Type ]],$Q$5))</f>
        <v/>
      </c>
    </row>
    <row r="3099" spans="15:15" x14ac:dyDescent="0.25">
      <c r="O3099" s="20" t="str">
        <f>IF(N3099="","",COUNTIFS(RawData[[Date ]],N3099,RawData[Month List],$Q$6,RawData[Tour/Site],$Q$2,RawData[[Picker ID ]],$Q$3,RawData[Checker ID],$Q$4,RawData[[Error Type ]],$Q$5))</f>
        <v/>
      </c>
    </row>
    <row r="3100" spans="15:15" x14ac:dyDescent="0.25">
      <c r="O3100" s="20" t="str">
        <f>IF(N3100="","",COUNTIFS(RawData[[Date ]],N3100,RawData[Month List],$Q$6,RawData[Tour/Site],$Q$2,RawData[[Picker ID ]],$Q$3,RawData[Checker ID],$Q$4,RawData[[Error Type ]],$Q$5))</f>
        <v/>
      </c>
    </row>
    <row r="3101" spans="15:15" x14ac:dyDescent="0.25">
      <c r="O3101" s="20" t="str">
        <f>IF(N3101="","",COUNTIFS(RawData[[Date ]],N3101,RawData[Month List],$Q$6,RawData[Tour/Site],$Q$2,RawData[[Picker ID ]],$Q$3,RawData[Checker ID],$Q$4,RawData[[Error Type ]],$Q$5))</f>
        <v/>
      </c>
    </row>
    <row r="3102" spans="15:15" x14ac:dyDescent="0.25">
      <c r="O3102" s="20" t="str">
        <f>IF(N3102="","",COUNTIFS(RawData[[Date ]],N3102,RawData[Month List],$Q$6,RawData[Tour/Site],$Q$2,RawData[[Picker ID ]],$Q$3,RawData[Checker ID],$Q$4,RawData[[Error Type ]],$Q$5))</f>
        <v/>
      </c>
    </row>
    <row r="3103" spans="15:15" x14ac:dyDescent="0.25">
      <c r="O3103" s="20" t="str">
        <f>IF(N3103="","",COUNTIFS(RawData[[Date ]],N3103,RawData[Month List],$Q$6,RawData[Tour/Site],$Q$2,RawData[[Picker ID ]],$Q$3,RawData[Checker ID],$Q$4,RawData[[Error Type ]],$Q$5))</f>
        <v/>
      </c>
    </row>
    <row r="3104" spans="15:15" x14ac:dyDescent="0.25">
      <c r="O3104" s="20" t="str">
        <f>IF(N3104="","",COUNTIFS(RawData[[Date ]],N3104,RawData[Month List],$Q$6,RawData[Tour/Site],$Q$2,RawData[[Picker ID ]],$Q$3,RawData[Checker ID],$Q$4,RawData[[Error Type ]],$Q$5))</f>
        <v/>
      </c>
    </row>
    <row r="3105" spans="15:15" x14ac:dyDescent="0.25">
      <c r="O3105" s="20" t="str">
        <f>IF(N3105="","",COUNTIFS(RawData[[Date ]],N3105,RawData[Month List],$Q$6,RawData[Tour/Site],$Q$2,RawData[[Picker ID ]],$Q$3,RawData[Checker ID],$Q$4,RawData[[Error Type ]],$Q$5))</f>
        <v/>
      </c>
    </row>
    <row r="3106" spans="15:15" x14ac:dyDescent="0.25">
      <c r="O3106" s="20" t="str">
        <f>IF(N3106="","",COUNTIFS(RawData[[Date ]],N3106,RawData[Month List],$Q$6,RawData[Tour/Site],$Q$2,RawData[[Picker ID ]],$Q$3,RawData[Checker ID],$Q$4,RawData[[Error Type ]],$Q$5))</f>
        <v/>
      </c>
    </row>
    <row r="3107" spans="15:15" x14ac:dyDescent="0.25">
      <c r="O3107" s="20" t="str">
        <f>IF(N3107="","",COUNTIFS(RawData[[Date ]],N3107,RawData[Month List],$Q$6,RawData[Tour/Site],$Q$2,RawData[[Picker ID ]],$Q$3,RawData[Checker ID],$Q$4,RawData[[Error Type ]],$Q$5))</f>
        <v/>
      </c>
    </row>
    <row r="3108" spans="15:15" x14ac:dyDescent="0.25">
      <c r="O3108" s="20" t="str">
        <f>IF(N3108="","",COUNTIFS(RawData[[Date ]],N3108,RawData[Month List],$Q$6,RawData[Tour/Site],$Q$2,RawData[[Picker ID ]],$Q$3,RawData[Checker ID],$Q$4,RawData[[Error Type ]],$Q$5))</f>
        <v/>
      </c>
    </row>
    <row r="3109" spans="15:15" x14ac:dyDescent="0.25">
      <c r="O3109" s="20" t="str">
        <f>IF(N3109="","",COUNTIFS(RawData[[Date ]],N3109,RawData[Month List],$Q$6,RawData[Tour/Site],$Q$2,RawData[[Picker ID ]],$Q$3,RawData[Checker ID],$Q$4,RawData[[Error Type ]],$Q$5))</f>
        <v/>
      </c>
    </row>
    <row r="3110" spans="15:15" x14ac:dyDescent="0.25">
      <c r="O3110" s="20" t="str">
        <f>IF(N3110="","",COUNTIFS(RawData[[Date ]],N3110,RawData[Month List],$Q$6,RawData[Tour/Site],$Q$2,RawData[[Picker ID ]],$Q$3,RawData[Checker ID],$Q$4,RawData[[Error Type ]],$Q$5))</f>
        <v/>
      </c>
    </row>
    <row r="3111" spans="15:15" x14ac:dyDescent="0.25">
      <c r="O3111" s="20" t="str">
        <f>IF(N3111="","",COUNTIFS(RawData[[Date ]],N3111,RawData[Month List],$Q$6,RawData[Tour/Site],$Q$2,RawData[[Picker ID ]],$Q$3,RawData[Checker ID],$Q$4,RawData[[Error Type ]],$Q$5))</f>
        <v/>
      </c>
    </row>
    <row r="3112" spans="15:15" x14ac:dyDescent="0.25">
      <c r="O3112" s="20" t="str">
        <f>IF(N3112="","",COUNTIFS(RawData[[Date ]],N3112,RawData[Month List],$Q$6,RawData[Tour/Site],$Q$2,RawData[[Picker ID ]],$Q$3,RawData[Checker ID],$Q$4,RawData[[Error Type ]],$Q$5))</f>
        <v/>
      </c>
    </row>
    <row r="3113" spans="15:15" x14ac:dyDescent="0.25">
      <c r="O3113" s="20" t="str">
        <f>IF(N3113="","",COUNTIFS(RawData[[Date ]],N3113,RawData[Month List],$Q$6,RawData[Tour/Site],$Q$2,RawData[[Picker ID ]],$Q$3,RawData[Checker ID],$Q$4,RawData[[Error Type ]],$Q$5))</f>
        <v/>
      </c>
    </row>
    <row r="3114" spans="15:15" x14ac:dyDescent="0.25">
      <c r="O3114" s="20" t="str">
        <f>IF(N3114="","",COUNTIFS(RawData[[Date ]],N3114,RawData[Month List],$Q$6,RawData[Tour/Site],$Q$2,RawData[[Picker ID ]],$Q$3,RawData[Checker ID],$Q$4,RawData[[Error Type ]],$Q$5))</f>
        <v/>
      </c>
    </row>
    <row r="3115" spans="15:15" x14ac:dyDescent="0.25">
      <c r="O3115" s="20" t="str">
        <f>IF(N3115="","",COUNTIFS(RawData[[Date ]],N3115,RawData[Month List],$Q$6,RawData[Tour/Site],$Q$2,RawData[[Picker ID ]],$Q$3,RawData[Checker ID],$Q$4,RawData[[Error Type ]],$Q$5))</f>
        <v/>
      </c>
    </row>
    <row r="3116" spans="15:15" x14ac:dyDescent="0.25">
      <c r="O3116" s="20" t="str">
        <f>IF(N3116="","",COUNTIFS(RawData[[Date ]],N3116,RawData[Month List],$Q$6,RawData[Tour/Site],$Q$2,RawData[[Picker ID ]],$Q$3,RawData[Checker ID],$Q$4,RawData[[Error Type ]],$Q$5))</f>
        <v/>
      </c>
    </row>
    <row r="3117" spans="15:15" x14ac:dyDescent="0.25">
      <c r="O3117" s="20" t="str">
        <f>IF(N3117="","",COUNTIFS(RawData[[Date ]],N3117,RawData[Month List],$Q$6,RawData[Tour/Site],$Q$2,RawData[[Picker ID ]],$Q$3,RawData[Checker ID],$Q$4,RawData[[Error Type ]],$Q$5))</f>
        <v/>
      </c>
    </row>
    <row r="3118" spans="15:15" x14ac:dyDescent="0.25">
      <c r="O3118" s="20" t="str">
        <f>IF(N3118="","",COUNTIFS(RawData[[Date ]],N3118,RawData[Month List],$Q$6,RawData[Tour/Site],$Q$2,RawData[[Picker ID ]],$Q$3,RawData[Checker ID],$Q$4,RawData[[Error Type ]],$Q$5))</f>
        <v/>
      </c>
    </row>
    <row r="3119" spans="15:15" x14ac:dyDescent="0.25">
      <c r="O3119" s="20" t="str">
        <f>IF(N3119="","",COUNTIFS(RawData[[Date ]],N3119,RawData[Month List],$Q$6,RawData[Tour/Site],$Q$2,RawData[[Picker ID ]],$Q$3,RawData[Checker ID],$Q$4,RawData[[Error Type ]],$Q$5))</f>
        <v/>
      </c>
    </row>
    <row r="3120" spans="15:15" x14ac:dyDescent="0.25">
      <c r="O3120" s="20" t="str">
        <f>IF(N3120="","",COUNTIFS(RawData[[Date ]],N3120,RawData[Month List],$Q$6,RawData[Tour/Site],$Q$2,RawData[[Picker ID ]],$Q$3,RawData[Checker ID],$Q$4,RawData[[Error Type ]],$Q$5))</f>
        <v/>
      </c>
    </row>
    <row r="3121" spans="15:15" x14ac:dyDescent="0.25">
      <c r="O3121" s="20" t="str">
        <f>IF(N3121="","",COUNTIFS(RawData[[Date ]],N3121,RawData[Month List],$Q$6,RawData[Tour/Site],$Q$2,RawData[[Picker ID ]],$Q$3,RawData[Checker ID],$Q$4,RawData[[Error Type ]],$Q$5))</f>
        <v/>
      </c>
    </row>
    <row r="3122" spans="15:15" x14ac:dyDescent="0.25">
      <c r="O3122" s="20" t="str">
        <f>IF(N3122="","",COUNTIFS(RawData[[Date ]],N3122,RawData[Month List],$Q$6,RawData[Tour/Site],$Q$2,RawData[[Picker ID ]],$Q$3,RawData[Checker ID],$Q$4,RawData[[Error Type ]],$Q$5))</f>
        <v/>
      </c>
    </row>
    <row r="3123" spans="15:15" x14ac:dyDescent="0.25">
      <c r="O3123" s="20" t="str">
        <f>IF(N3123="","",COUNTIFS(RawData[[Date ]],N3123,RawData[Month List],$Q$6,RawData[Tour/Site],$Q$2,RawData[[Picker ID ]],$Q$3,RawData[Checker ID],$Q$4,RawData[[Error Type ]],$Q$5))</f>
        <v/>
      </c>
    </row>
    <row r="3124" spans="15:15" x14ac:dyDescent="0.25">
      <c r="O3124" s="20" t="str">
        <f>IF(N3124="","",COUNTIFS(RawData[[Date ]],N3124,RawData[Month List],$Q$6,RawData[Tour/Site],$Q$2,RawData[[Picker ID ]],$Q$3,RawData[Checker ID],$Q$4,RawData[[Error Type ]],$Q$5))</f>
        <v/>
      </c>
    </row>
    <row r="3125" spans="15:15" x14ac:dyDescent="0.25">
      <c r="O3125" s="20" t="str">
        <f>IF(N3125="","",COUNTIFS(RawData[[Date ]],N3125,RawData[Month List],$Q$6,RawData[Tour/Site],$Q$2,RawData[[Picker ID ]],$Q$3,RawData[Checker ID],$Q$4,RawData[[Error Type ]],$Q$5))</f>
        <v/>
      </c>
    </row>
    <row r="3126" spans="15:15" x14ac:dyDescent="0.25">
      <c r="O3126" s="20" t="str">
        <f>IF(N3126="","",COUNTIFS(RawData[[Date ]],N3126,RawData[Month List],$Q$6,RawData[Tour/Site],$Q$2,RawData[[Picker ID ]],$Q$3,RawData[Checker ID],$Q$4,RawData[[Error Type ]],$Q$5))</f>
        <v/>
      </c>
    </row>
    <row r="3127" spans="15:15" x14ac:dyDescent="0.25">
      <c r="O3127" s="20" t="str">
        <f>IF(N3127="","",COUNTIFS(RawData[[Date ]],N3127,RawData[Month List],$Q$6,RawData[Tour/Site],$Q$2,RawData[[Picker ID ]],$Q$3,RawData[Checker ID],$Q$4,RawData[[Error Type ]],$Q$5))</f>
        <v/>
      </c>
    </row>
    <row r="3128" spans="15:15" x14ac:dyDescent="0.25">
      <c r="O3128" s="20" t="str">
        <f>IF(N3128="","",COUNTIFS(RawData[[Date ]],N3128,RawData[Month List],$Q$6,RawData[Tour/Site],$Q$2,RawData[[Picker ID ]],$Q$3,RawData[Checker ID],$Q$4,RawData[[Error Type ]],$Q$5))</f>
        <v/>
      </c>
    </row>
    <row r="3129" spans="15:15" x14ac:dyDescent="0.25">
      <c r="O3129" s="20" t="str">
        <f>IF(N3129="","",COUNTIFS(RawData[[Date ]],N3129,RawData[Month List],$Q$6,RawData[Tour/Site],$Q$2,RawData[[Picker ID ]],$Q$3,RawData[Checker ID],$Q$4,RawData[[Error Type ]],$Q$5))</f>
        <v/>
      </c>
    </row>
    <row r="3130" spans="15:15" x14ac:dyDescent="0.25">
      <c r="O3130" s="20" t="str">
        <f>IF(N3130="","",COUNTIFS(RawData[[Date ]],N3130,RawData[Month List],$Q$6,RawData[Tour/Site],$Q$2,RawData[[Picker ID ]],$Q$3,RawData[Checker ID],$Q$4,RawData[[Error Type ]],$Q$5))</f>
        <v/>
      </c>
    </row>
    <row r="3131" spans="15:15" x14ac:dyDescent="0.25">
      <c r="O3131" s="20" t="str">
        <f>IF(N3131="","",COUNTIFS(RawData[[Date ]],N3131,RawData[Month List],$Q$6,RawData[Tour/Site],$Q$2,RawData[[Picker ID ]],$Q$3,RawData[Checker ID],$Q$4,RawData[[Error Type ]],$Q$5))</f>
        <v/>
      </c>
    </row>
    <row r="3132" spans="15:15" x14ac:dyDescent="0.25">
      <c r="O3132" s="20" t="str">
        <f>IF(N3132="","",COUNTIFS(RawData[[Date ]],N3132,RawData[Month List],$Q$6,RawData[Tour/Site],$Q$2,RawData[[Picker ID ]],$Q$3,RawData[Checker ID],$Q$4,RawData[[Error Type ]],$Q$5))</f>
        <v/>
      </c>
    </row>
    <row r="3133" spans="15:15" x14ac:dyDescent="0.25">
      <c r="O3133" s="20" t="str">
        <f>IF(N3133="","",COUNTIFS(RawData[[Date ]],N3133,RawData[Month List],$Q$6,RawData[Tour/Site],$Q$2,RawData[[Picker ID ]],$Q$3,RawData[Checker ID],$Q$4,RawData[[Error Type ]],$Q$5))</f>
        <v/>
      </c>
    </row>
    <row r="3134" spans="15:15" x14ac:dyDescent="0.25">
      <c r="O3134" s="20" t="str">
        <f>IF(N3134="","",COUNTIFS(RawData[[Date ]],N3134,RawData[Month List],$Q$6,RawData[Tour/Site],$Q$2,RawData[[Picker ID ]],$Q$3,RawData[Checker ID],$Q$4,RawData[[Error Type ]],$Q$5))</f>
        <v/>
      </c>
    </row>
    <row r="3135" spans="15:15" x14ac:dyDescent="0.25">
      <c r="O3135" s="20" t="str">
        <f>IF(N3135="","",COUNTIFS(RawData[[Date ]],N3135,RawData[Month List],$Q$6,RawData[Tour/Site],$Q$2,RawData[[Picker ID ]],$Q$3,RawData[Checker ID],$Q$4,RawData[[Error Type ]],$Q$5))</f>
        <v/>
      </c>
    </row>
    <row r="3136" spans="15:15" x14ac:dyDescent="0.25">
      <c r="O3136" s="20" t="str">
        <f>IF(N3136="","",COUNTIFS(RawData[[Date ]],N3136,RawData[Month List],$Q$6,RawData[Tour/Site],$Q$2,RawData[[Picker ID ]],$Q$3,RawData[Checker ID],$Q$4,RawData[[Error Type ]],$Q$5))</f>
        <v/>
      </c>
    </row>
    <row r="3137" spans="15:15" x14ac:dyDescent="0.25">
      <c r="O3137" s="20" t="str">
        <f>IF(N3137="","",COUNTIFS(RawData[[Date ]],N3137,RawData[Month List],$Q$6,RawData[Tour/Site],$Q$2,RawData[[Picker ID ]],$Q$3,RawData[Checker ID],$Q$4,RawData[[Error Type ]],$Q$5))</f>
        <v/>
      </c>
    </row>
    <row r="3138" spans="15:15" x14ac:dyDescent="0.25">
      <c r="O3138" s="20" t="str">
        <f>IF(N3138="","",COUNTIFS(RawData[[Date ]],N3138,RawData[Month List],$Q$6,RawData[Tour/Site],$Q$2,RawData[[Picker ID ]],$Q$3,RawData[Checker ID],$Q$4,RawData[[Error Type ]],$Q$5))</f>
        <v/>
      </c>
    </row>
    <row r="3139" spans="15:15" x14ac:dyDescent="0.25">
      <c r="O3139" s="20" t="str">
        <f>IF(N3139="","",COUNTIFS(RawData[[Date ]],N3139,RawData[Month List],$Q$6,RawData[Tour/Site],$Q$2,RawData[[Picker ID ]],$Q$3,RawData[Checker ID],$Q$4,RawData[[Error Type ]],$Q$5))</f>
        <v/>
      </c>
    </row>
    <row r="3140" spans="15:15" x14ac:dyDescent="0.25">
      <c r="O3140" s="20" t="str">
        <f>IF(N3140="","",COUNTIFS(RawData[[Date ]],N3140,RawData[Month List],$Q$6,RawData[Tour/Site],$Q$2,RawData[[Picker ID ]],$Q$3,RawData[Checker ID],$Q$4,RawData[[Error Type ]],$Q$5))</f>
        <v/>
      </c>
    </row>
    <row r="3141" spans="15:15" x14ac:dyDescent="0.25">
      <c r="O3141" s="20" t="str">
        <f>IF(N3141="","",COUNTIFS(RawData[[Date ]],N3141,RawData[Month List],$Q$6,RawData[Tour/Site],$Q$2,RawData[[Picker ID ]],$Q$3,RawData[Checker ID],$Q$4,RawData[[Error Type ]],$Q$5))</f>
        <v/>
      </c>
    </row>
    <row r="3142" spans="15:15" x14ac:dyDescent="0.25">
      <c r="O3142" s="20" t="str">
        <f>IF(N3142="","",COUNTIFS(RawData[[Date ]],N3142,RawData[Month List],$Q$6,RawData[Tour/Site],$Q$2,RawData[[Picker ID ]],$Q$3,RawData[Checker ID],$Q$4,RawData[[Error Type ]],$Q$5))</f>
        <v/>
      </c>
    </row>
    <row r="3143" spans="15:15" x14ac:dyDescent="0.25">
      <c r="O3143" s="20" t="str">
        <f>IF(N3143="","",COUNTIFS(RawData[[Date ]],N3143,RawData[Month List],$Q$6,RawData[Tour/Site],$Q$2,RawData[[Picker ID ]],$Q$3,RawData[Checker ID],$Q$4,RawData[[Error Type ]],$Q$5))</f>
        <v/>
      </c>
    </row>
    <row r="3144" spans="15:15" x14ac:dyDescent="0.25">
      <c r="O3144" s="20" t="str">
        <f>IF(N3144="","",COUNTIFS(RawData[[Date ]],N3144,RawData[Month List],$Q$6,RawData[Tour/Site],$Q$2,RawData[[Picker ID ]],$Q$3,RawData[Checker ID],$Q$4,RawData[[Error Type ]],$Q$5))</f>
        <v/>
      </c>
    </row>
    <row r="3145" spans="15:15" x14ac:dyDescent="0.25">
      <c r="O3145" s="20" t="str">
        <f>IF(N3145="","",COUNTIFS(RawData[[Date ]],N3145,RawData[Month List],$Q$6,RawData[Tour/Site],$Q$2,RawData[[Picker ID ]],$Q$3,RawData[Checker ID],$Q$4,RawData[[Error Type ]],$Q$5))</f>
        <v/>
      </c>
    </row>
    <row r="3146" spans="15:15" x14ac:dyDescent="0.25">
      <c r="O3146" s="20" t="str">
        <f>IF(N3146="","",COUNTIFS(RawData[[Date ]],N3146,RawData[Month List],$Q$6,RawData[Tour/Site],$Q$2,RawData[[Picker ID ]],$Q$3,RawData[Checker ID],$Q$4,RawData[[Error Type ]],$Q$5))</f>
        <v/>
      </c>
    </row>
    <row r="3147" spans="15:15" x14ac:dyDescent="0.25">
      <c r="O3147" s="20" t="str">
        <f>IF(N3147="","",COUNTIFS(RawData[[Date ]],N3147,RawData[Month List],$Q$6,RawData[Tour/Site],$Q$2,RawData[[Picker ID ]],$Q$3,RawData[Checker ID],$Q$4,RawData[[Error Type ]],$Q$5))</f>
        <v/>
      </c>
    </row>
    <row r="3148" spans="15:15" x14ac:dyDescent="0.25">
      <c r="O3148" s="20" t="str">
        <f>IF(N3148="","",COUNTIFS(RawData[[Date ]],N3148,RawData[Month List],$Q$6,RawData[Tour/Site],$Q$2,RawData[[Picker ID ]],$Q$3,RawData[Checker ID],$Q$4,RawData[[Error Type ]],$Q$5))</f>
        <v/>
      </c>
    </row>
    <row r="3149" spans="15:15" x14ac:dyDescent="0.25">
      <c r="O3149" s="20" t="str">
        <f>IF(N3149="","",COUNTIFS(RawData[[Date ]],N3149,RawData[Month List],$Q$6,RawData[Tour/Site],$Q$2,RawData[[Picker ID ]],$Q$3,RawData[Checker ID],$Q$4,RawData[[Error Type ]],$Q$5))</f>
        <v/>
      </c>
    </row>
    <row r="3150" spans="15:15" x14ac:dyDescent="0.25">
      <c r="O3150" s="20" t="str">
        <f>IF(N3150="","",COUNTIFS(RawData[[Date ]],N3150,RawData[Month List],$Q$6,RawData[Tour/Site],$Q$2,RawData[[Picker ID ]],$Q$3,RawData[Checker ID],$Q$4,RawData[[Error Type ]],$Q$5))</f>
        <v/>
      </c>
    </row>
    <row r="3151" spans="15:15" x14ac:dyDescent="0.25">
      <c r="O3151" s="20" t="str">
        <f>IF(N3151="","",COUNTIFS(RawData[[Date ]],N3151,RawData[Month List],$Q$6,RawData[Tour/Site],$Q$2,RawData[[Picker ID ]],$Q$3,RawData[Checker ID],$Q$4,RawData[[Error Type ]],$Q$5))</f>
        <v/>
      </c>
    </row>
    <row r="3152" spans="15:15" x14ac:dyDescent="0.25">
      <c r="O3152" s="20" t="str">
        <f>IF(N3152="","",COUNTIFS(RawData[[Date ]],N3152,RawData[Month List],$Q$6,RawData[Tour/Site],$Q$2,RawData[[Picker ID ]],$Q$3,RawData[Checker ID],$Q$4,RawData[[Error Type ]],$Q$5))</f>
        <v/>
      </c>
    </row>
    <row r="3153" spans="15:15" x14ac:dyDescent="0.25">
      <c r="O3153" s="20" t="str">
        <f>IF(N3153="","",COUNTIFS(RawData[[Date ]],N3153,RawData[Month List],$Q$6,RawData[Tour/Site],$Q$2,RawData[[Picker ID ]],$Q$3,RawData[Checker ID],$Q$4,RawData[[Error Type ]],$Q$5))</f>
        <v/>
      </c>
    </row>
    <row r="3154" spans="15:15" x14ac:dyDescent="0.25">
      <c r="O3154" s="20" t="str">
        <f>IF(N3154="","",COUNTIFS(RawData[[Date ]],N3154,RawData[Month List],$Q$6,RawData[Tour/Site],$Q$2,RawData[[Picker ID ]],$Q$3,RawData[Checker ID],$Q$4,RawData[[Error Type ]],$Q$5))</f>
        <v/>
      </c>
    </row>
    <row r="3155" spans="15:15" x14ac:dyDescent="0.25">
      <c r="O3155" s="20" t="str">
        <f>IF(N3155="","",COUNTIFS(RawData[[Date ]],N3155,RawData[Month List],$Q$6,RawData[Tour/Site],$Q$2,RawData[[Picker ID ]],$Q$3,RawData[Checker ID],$Q$4,RawData[[Error Type ]],$Q$5))</f>
        <v/>
      </c>
    </row>
    <row r="3156" spans="15:15" x14ac:dyDescent="0.25">
      <c r="O3156" s="20" t="str">
        <f>IF(N3156="","",COUNTIFS(RawData[[Date ]],N3156,RawData[Month List],$Q$6,RawData[Tour/Site],$Q$2,RawData[[Picker ID ]],$Q$3,RawData[Checker ID],$Q$4,RawData[[Error Type ]],$Q$5))</f>
        <v/>
      </c>
    </row>
    <row r="3157" spans="15:15" x14ac:dyDescent="0.25">
      <c r="O3157" s="20" t="str">
        <f>IF(N3157="","",COUNTIFS(RawData[[Date ]],N3157,RawData[Month List],$Q$6,RawData[Tour/Site],$Q$2,RawData[[Picker ID ]],$Q$3,RawData[Checker ID],$Q$4,RawData[[Error Type ]],$Q$5))</f>
        <v/>
      </c>
    </row>
    <row r="3158" spans="15:15" x14ac:dyDescent="0.25">
      <c r="O3158" s="20" t="str">
        <f>IF(N3158="","",COUNTIFS(RawData[[Date ]],N3158,RawData[Month List],$Q$6,RawData[Tour/Site],$Q$2,RawData[[Picker ID ]],$Q$3,RawData[Checker ID],$Q$4,RawData[[Error Type ]],$Q$5))</f>
        <v/>
      </c>
    </row>
    <row r="3159" spans="15:15" x14ac:dyDescent="0.25">
      <c r="O3159" s="20" t="str">
        <f>IF(N3159="","",COUNTIFS(RawData[[Date ]],N3159,RawData[Month List],$Q$6,RawData[Tour/Site],$Q$2,RawData[[Picker ID ]],$Q$3,RawData[Checker ID],$Q$4,RawData[[Error Type ]],$Q$5))</f>
        <v/>
      </c>
    </row>
    <row r="3160" spans="15:15" x14ac:dyDescent="0.25">
      <c r="O3160" s="20" t="str">
        <f>IF(N3160="","",COUNTIFS(RawData[[Date ]],N3160,RawData[Month List],$Q$6,RawData[Tour/Site],$Q$2,RawData[[Picker ID ]],$Q$3,RawData[Checker ID],$Q$4,RawData[[Error Type ]],$Q$5))</f>
        <v/>
      </c>
    </row>
    <row r="3161" spans="15:15" x14ac:dyDescent="0.25">
      <c r="O3161" s="20" t="str">
        <f>IF(N3161="","",COUNTIFS(RawData[[Date ]],N3161,RawData[Month List],$Q$6,RawData[Tour/Site],$Q$2,RawData[[Picker ID ]],$Q$3,RawData[Checker ID],$Q$4,RawData[[Error Type ]],$Q$5))</f>
        <v/>
      </c>
    </row>
    <row r="3162" spans="15:15" x14ac:dyDescent="0.25">
      <c r="O3162" s="20" t="str">
        <f>IF(N3162="","",COUNTIFS(RawData[[Date ]],N3162,RawData[Month List],$Q$6,RawData[Tour/Site],$Q$2,RawData[[Picker ID ]],$Q$3,RawData[Checker ID],$Q$4,RawData[[Error Type ]],$Q$5))</f>
        <v/>
      </c>
    </row>
    <row r="3163" spans="15:15" x14ac:dyDescent="0.25">
      <c r="O3163" s="20" t="str">
        <f>IF(N3163="","",COUNTIFS(RawData[[Date ]],N3163,RawData[Month List],$Q$6,RawData[Tour/Site],$Q$2,RawData[[Picker ID ]],$Q$3,RawData[Checker ID],$Q$4,RawData[[Error Type ]],$Q$5))</f>
        <v/>
      </c>
    </row>
    <row r="3164" spans="15:15" x14ac:dyDescent="0.25">
      <c r="O3164" s="20" t="str">
        <f>IF(N3164="","",COUNTIFS(RawData[[Date ]],N3164,RawData[Month List],$Q$6,RawData[Tour/Site],$Q$2,RawData[[Picker ID ]],$Q$3,RawData[Checker ID],$Q$4,RawData[[Error Type ]],$Q$5))</f>
        <v/>
      </c>
    </row>
    <row r="3165" spans="15:15" x14ac:dyDescent="0.25">
      <c r="O3165" s="20" t="str">
        <f>IF(N3165="","",COUNTIFS(RawData[[Date ]],N3165,RawData[Month List],$Q$6,RawData[Tour/Site],$Q$2,RawData[[Picker ID ]],$Q$3,RawData[Checker ID],$Q$4,RawData[[Error Type ]],$Q$5))</f>
        <v/>
      </c>
    </row>
    <row r="3166" spans="15:15" x14ac:dyDescent="0.25">
      <c r="O3166" s="20" t="str">
        <f>IF(N3166="","",COUNTIFS(RawData[[Date ]],N3166,RawData[Month List],$Q$6,RawData[Tour/Site],$Q$2,RawData[[Picker ID ]],$Q$3,RawData[Checker ID],$Q$4,RawData[[Error Type ]],$Q$5))</f>
        <v/>
      </c>
    </row>
    <row r="3167" spans="15:15" x14ac:dyDescent="0.25">
      <c r="O3167" s="20" t="str">
        <f>IF(N3167="","",COUNTIFS(RawData[[Date ]],N3167,RawData[Month List],$Q$6,RawData[Tour/Site],$Q$2,RawData[[Picker ID ]],$Q$3,RawData[Checker ID],$Q$4,RawData[[Error Type ]],$Q$5))</f>
        <v/>
      </c>
    </row>
    <row r="3168" spans="15:15" x14ac:dyDescent="0.25">
      <c r="O3168" s="20" t="str">
        <f>IF(N3168="","",COUNTIFS(RawData[[Date ]],N3168,RawData[Month List],$Q$6,RawData[Tour/Site],$Q$2,RawData[[Picker ID ]],$Q$3,RawData[Checker ID],$Q$4,RawData[[Error Type ]],$Q$5))</f>
        <v/>
      </c>
    </row>
    <row r="3169" spans="15:15" x14ac:dyDescent="0.25">
      <c r="O3169" s="20" t="str">
        <f>IF(N3169="","",COUNTIFS(RawData[[Date ]],N3169,RawData[Month List],$Q$6,RawData[Tour/Site],$Q$2,RawData[[Picker ID ]],$Q$3,RawData[Checker ID],$Q$4,RawData[[Error Type ]],$Q$5))</f>
        <v/>
      </c>
    </row>
    <row r="3170" spans="15:15" x14ac:dyDescent="0.25">
      <c r="O3170" s="20" t="str">
        <f>IF(N3170="","",COUNTIFS(RawData[[Date ]],N3170,RawData[Month List],$Q$6,RawData[Tour/Site],$Q$2,RawData[[Picker ID ]],$Q$3,RawData[Checker ID],$Q$4,RawData[[Error Type ]],$Q$5))</f>
        <v/>
      </c>
    </row>
    <row r="3171" spans="15:15" x14ac:dyDescent="0.25">
      <c r="O3171" s="20" t="str">
        <f>IF(N3171="","",COUNTIFS(RawData[[Date ]],N3171,RawData[Month List],$Q$6,RawData[Tour/Site],$Q$2,RawData[[Picker ID ]],$Q$3,RawData[Checker ID],$Q$4,RawData[[Error Type ]],$Q$5))</f>
        <v/>
      </c>
    </row>
    <row r="3172" spans="15:15" x14ac:dyDescent="0.25">
      <c r="O3172" s="20" t="str">
        <f>IF(N3172="","",COUNTIFS(RawData[[Date ]],N3172,RawData[Month List],$Q$6,RawData[Tour/Site],$Q$2,RawData[[Picker ID ]],$Q$3,RawData[Checker ID],$Q$4,RawData[[Error Type ]],$Q$5))</f>
        <v/>
      </c>
    </row>
    <row r="3173" spans="15:15" x14ac:dyDescent="0.25">
      <c r="O3173" s="20" t="str">
        <f>IF(N3173="","",COUNTIFS(RawData[[Date ]],N3173,RawData[Month List],$Q$6,RawData[Tour/Site],$Q$2,RawData[[Picker ID ]],$Q$3,RawData[Checker ID],$Q$4,RawData[[Error Type ]],$Q$5))</f>
        <v/>
      </c>
    </row>
    <row r="3174" spans="15:15" x14ac:dyDescent="0.25">
      <c r="O3174" s="20" t="str">
        <f>IF(N3174="","",COUNTIFS(RawData[[Date ]],N3174,RawData[Month List],$Q$6,RawData[Tour/Site],$Q$2,RawData[[Picker ID ]],$Q$3,RawData[Checker ID],$Q$4,RawData[[Error Type ]],$Q$5))</f>
        <v/>
      </c>
    </row>
    <row r="3175" spans="15:15" x14ac:dyDescent="0.25">
      <c r="O3175" s="20" t="str">
        <f>IF(N3175="","",COUNTIFS(RawData[[Date ]],N3175,RawData[Month List],$Q$6,RawData[Tour/Site],$Q$2,RawData[[Picker ID ]],$Q$3,RawData[Checker ID],$Q$4,RawData[[Error Type ]],$Q$5))</f>
        <v/>
      </c>
    </row>
    <row r="3176" spans="15:15" x14ac:dyDescent="0.25">
      <c r="O3176" s="20" t="str">
        <f>IF(N3176="","",COUNTIFS(RawData[[Date ]],N3176,RawData[Month List],$Q$6,RawData[Tour/Site],$Q$2,RawData[[Picker ID ]],$Q$3,RawData[Checker ID],$Q$4,RawData[[Error Type ]],$Q$5))</f>
        <v/>
      </c>
    </row>
    <row r="3177" spans="15:15" x14ac:dyDescent="0.25">
      <c r="O3177" s="20" t="str">
        <f>IF(N3177="","",COUNTIFS(RawData[[Date ]],N3177,RawData[Month List],$Q$6,RawData[Tour/Site],$Q$2,RawData[[Picker ID ]],$Q$3,RawData[Checker ID],$Q$4,RawData[[Error Type ]],$Q$5))</f>
        <v/>
      </c>
    </row>
    <row r="3178" spans="15:15" x14ac:dyDescent="0.25">
      <c r="O3178" s="20" t="str">
        <f>IF(N3178="","",COUNTIFS(RawData[[Date ]],N3178,RawData[Month List],$Q$6,RawData[Tour/Site],$Q$2,RawData[[Picker ID ]],$Q$3,RawData[Checker ID],$Q$4,RawData[[Error Type ]],$Q$5))</f>
        <v/>
      </c>
    </row>
    <row r="3179" spans="15:15" x14ac:dyDescent="0.25">
      <c r="O3179" s="20" t="str">
        <f>IF(N3179="","",COUNTIFS(RawData[[Date ]],N3179,RawData[Month List],$Q$6,RawData[Tour/Site],$Q$2,RawData[[Picker ID ]],$Q$3,RawData[Checker ID],$Q$4,RawData[[Error Type ]],$Q$5))</f>
        <v/>
      </c>
    </row>
    <row r="3180" spans="15:15" x14ac:dyDescent="0.25">
      <c r="O3180" s="20" t="str">
        <f>IF(N3180="","",COUNTIFS(RawData[[Date ]],N3180,RawData[Month List],$Q$6,RawData[Tour/Site],$Q$2,RawData[[Picker ID ]],$Q$3,RawData[Checker ID],$Q$4,RawData[[Error Type ]],$Q$5))</f>
        <v/>
      </c>
    </row>
    <row r="3181" spans="15:15" x14ac:dyDescent="0.25">
      <c r="O3181" s="20" t="str">
        <f>IF(N3181="","",COUNTIFS(RawData[[Date ]],N3181,RawData[Month List],$Q$6,RawData[Tour/Site],$Q$2,RawData[[Picker ID ]],$Q$3,RawData[Checker ID],$Q$4,RawData[[Error Type ]],$Q$5))</f>
        <v/>
      </c>
    </row>
    <row r="3182" spans="15:15" x14ac:dyDescent="0.25">
      <c r="O3182" s="20" t="str">
        <f>IF(N3182="","",COUNTIFS(RawData[[Date ]],N3182,RawData[Month List],$Q$6,RawData[Tour/Site],$Q$2,RawData[[Picker ID ]],$Q$3,RawData[Checker ID],$Q$4,RawData[[Error Type ]],$Q$5))</f>
        <v/>
      </c>
    </row>
    <row r="3183" spans="15:15" x14ac:dyDescent="0.25">
      <c r="O3183" s="20" t="str">
        <f>IF(N3183="","",COUNTIFS(RawData[[Date ]],N3183,RawData[Month List],$Q$6,RawData[Tour/Site],$Q$2,RawData[[Picker ID ]],$Q$3,RawData[Checker ID],$Q$4,RawData[[Error Type ]],$Q$5))</f>
        <v/>
      </c>
    </row>
    <row r="3184" spans="15:15" x14ac:dyDescent="0.25">
      <c r="O3184" s="20" t="str">
        <f>IF(N3184="","",COUNTIFS(RawData[[Date ]],N3184,RawData[Month List],$Q$6,RawData[Tour/Site],$Q$2,RawData[[Picker ID ]],$Q$3,RawData[Checker ID],$Q$4,RawData[[Error Type ]],$Q$5))</f>
        <v/>
      </c>
    </row>
    <row r="3185" spans="15:15" x14ac:dyDescent="0.25">
      <c r="O3185" s="20" t="str">
        <f>IF(N3185="","",COUNTIFS(RawData[[Date ]],N3185,RawData[Month List],$Q$6,RawData[Tour/Site],$Q$2,RawData[[Picker ID ]],$Q$3,RawData[Checker ID],$Q$4,RawData[[Error Type ]],$Q$5))</f>
        <v/>
      </c>
    </row>
    <row r="3186" spans="15:15" x14ac:dyDescent="0.25">
      <c r="O3186" s="20" t="str">
        <f>IF(N3186="","",COUNTIFS(RawData[[Date ]],N3186,RawData[Month List],$Q$6,RawData[Tour/Site],$Q$2,RawData[[Picker ID ]],$Q$3,RawData[Checker ID],$Q$4,RawData[[Error Type ]],$Q$5))</f>
        <v/>
      </c>
    </row>
    <row r="3187" spans="15:15" x14ac:dyDescent="0.25">
      <c r="O3187" s="20" t="str">
        <f>IF(N3187="","",COUNTIFS(RawData[[Date ]],N3187,RawData[Month List],$Q$6,RawData[Tour/Site],$Q$2,RawData[[Picker ID ]],$Q$3,RawData[Checker ID],$Q$4,RawData[[Error Type ]],$Q$5))</f>
        <v/>
      </c>
    </row>
    <row r="3188" spans="15:15" x14ac:dyDescent="0.25">
      <c r="O3188" s="20" t="str">
        <f>IF(N3188="","",COUNTIFS(RawData[[Date ]],N3188,RawData[Month List],$Q$6,RawData[Tour/Site],$Q$2,RawData[[Picker ID ]],$Q$3,RawData[Checker ID],$Q$4,RawData[[Error Type ]],$Q$5))</f>
        <v/>
      </c>
    </row>
    <row r="3189" spans="15:15" x14ac:dyDescent="0.25">
      <c r="O3189" s="20" t="str">
        <f>IF(N3189="","",COUNTIFS(RawData[[Date ]],N3189,RawData[Month List],$Q$6,RawData[Tour/Site],$Q$2,RawData[[Picker ID ]],$Q$3,RawData[Checker ID],$Q$4,RawData[[Error Type ]],$Q$5))</f>
        <v/>
      </c>
    </row>
    <row r="3190" spans="15:15" x14ac:dyDescent="0.25">
      <c r="O3190" s="20" t="str">
        <f>IF(N3190="","",COUNTIFS(RawData[[Date ]],N3190,RawData[Month List],$Q$6,RawData[Tour/Site],$Q$2,RawData[[Picker ID ]],$Q$3,RawData[Checker ID],$Q$4,RawData[[Error Type ]],$Q$5))</f>
        <v/>
      </c>
    </row>
    <row r="3191" spans="15:15" x14ac:dyDescent="0.25">
      <c r="O3191" s="20" t="str">
        <f>IF(N3191="","",COUNTIFS(RawData[[Date ]],N3191,RawData[Month List],$Q$6,RawData[Tour/Site],$Q$2,RawData[[Picker ID ]],$Q$3,RawData[Checker ID],$Q$4,RawData[[Error Type ]],$Q$5))</f>
        <v/>
      </c>
    </row>
    <row r="3192" spans="15:15" x14ac:dyDescent="0.25">
      <c r="O3192" s="20" t="str">
        <f>IF(N3192="","",COUNTIFS(RawData[[Date ]],N3192,RawData[Month List],$Q$6,RawData[Tour/Site],$Q$2,RawData[[Picker ID ]],$Q$3,RawData[Checker ID],$Q$4,RawData[[Error Type ]],$Q$5))</f>
        <v/>
      </c>
    </row>
    <row r="3193" spans="15:15" x14ac:dyDescent="0.25">
      <c r="O3193" s="20" t="str">
        <f>IF(N3193="","",COUNTIFS(RawData[[Date ]],N3193,RawData[Month List],$Q$6,RawData[Tour/Site],$Q$2,RawData[[Picker ID ]],$Q$3,RawData[Checker ID],$Q$4,RawData[[Error Type ]],$Q$5))</f>
        <v/>
      </c>
    </row>
    <row r="3194" spans="15:15" x14ac:dyDescent="0.25">
      <c r="O3194" s="20" t="str">
        <f>IF(N3194="","",COUNTIFS(RawData[[Date ]],N3194,RawData[Month List],$Q$6,RawData[Tour/Site],$Q$2,RawData[[Picker ID ]],$Q$3,RawData[Checker ID],$Q$4,RawData[[Error Type ]],$Q$5))</f>
        <v/>
      </c>
    </row>
    <row r="3195" spans="15:15" x14ac:dyDescent="0.25">
      <c r="O3195" s="20" t="str">
        <f>IF(N3195="","",COUNTIFS(RawData[[Date ]],N3195,RawData[Month List],$Q$6,RawData[Tour/Site],$Q$2,RawData[[Picker ID ]],$Q$3,RawData[Checker ID],$Q$4,RawData[[Error Type ]],$Q$5))</f>
        <v/>
      </c>
    </row>
    <row r="3196" spans="15:15" x14ac:dyDescent="0.25">
      <c r="O3196" s="20" t="str">
        <f>IF(N3196="","",COUNTIFS(RawData[[Date ]],N3196,RawData[Month List],$Q$6,RawData[Tour/Site],$Q$2,RawData[[Picker ID ]],$Q$3,RawData[Checker ID],$Q$4,RawData[[Error Type ]],$Q$5))</f>
        <v/>
      </c>
    </row>
    <row r="3197" spans="15:15" x14ac:dyDescent="0.25">
      <c r="O3197" s="20" t="str">
        <f>IF(N3197="","",COUNTIFS(RawData[[Date ]],N3197,RawData[Month List],$Q$6,RawData[Tour/Site],$Q$2,RawData[[Picker ID ]],$Q$3,RawData[Checker ID],$Q$4,RawData[[Error Type ]],$Q$5))</f>
        <v/>
      </c>
    </row>
    <row r="3198" spans="15:15" x14ac:dyDescent="0.25">
      <c r="O3198" s="20" t="str">
        <f>IF(N3198="","",COUNTIFS(RawData[[Date ]],N3198,RawData[Month List],$Q$6,RawData[Tour/Site],$Q$2,RawData[[Picker ID ]],$Q$3,RawData[Checker ID],$Q$4,RawData[[Error Type ]],$Q$5))</f>
        <v/>
      </c>
    </row>
    <row r="3199" spans="15:15" x14ac:dyDescent="0.25">
      <c r="O3199" s="20" t="str">
        <f>IF(N3199="","",COUNTIFS(RawData[[Date ]],N3199,RawData[Month List],$Q$6,RawData[Tour/Site],$Q$2,RawData[[Picker ID ]],$Q$3,RawData[Checker ID],$Q$4,RawData[[Error Type ]],$Q$5))</f>
        <v/>
      </c>
    </row>
    <row r="3200" spans="15:15" x14ac:dyDescent="0.25">
      <c r="O3200" s="20" t="str">
        <f>IF(N3200="","",COUNTIFS(RawData[[Date ]],N3200,RawData[Month List],$Q$6,RawData[Tour/Site],$Q$2,RawData[[Picker ID ]],$Q$3,RawData[Checker ID],$Q$4,RawData[[Error Type ]],$Q$5))</f>
        <v/>
      </c>
    </row>
    <row r="3201" spans="15:15" x14ac:dyDescent="0.25">
      <c r="O3201" s="20" t="str">
        <f>IF(N3201="","",COUNTIFS(RawData[[Date ]],N3201,RawData[Month List],$Q$6,RawData[Tour/Site],$Q$2,RawData[[Picker ID ]],$Q$3,RawData[Checker ID],$Q$4,RawData[[Error Type ]],$Q$5))</f>
        <v/>
      </c>
    </row>
    <row r="3202" spans="15:15" x14ac:dyDescent="0.25">
      <c r="O3202" s="20" t="str">
        <f>IF(N3202="","",COUNTIFS(RawData[[Date ]],N3202,RawData[Month List],$Q$6,RawData[Tour/Site],$Q$2,RawData[[Picker ID ]],$Q$3,RawData[Checker ID],$Q$4,RawData[[Error Type ]],$Q$5))</f>
        <v/>
      </c>
    </row>
    <row r="3203" spans="15:15" x14ac:dyDescent="0.25">
      <c r="O3203" s="20" t="str">
        <f>IF(N3203="","",COUNTIFS(RawData[[Date ]],N3203,RawData[Month List],$Q$6,RawData[Tour/Site],$Q$2,RawData[[Picker ID ]],$Q$3,RawData[Checker ID],$Q$4,RawData[[Error Type ]],$Q$5))</f>
        <v/>
      </c>
    </row>
    <row r="3204" spans="15:15" x14ac:dyDescent="0.25">
      <c r="O3204" s="20" t="str">
        <f>IF(N3204="","",COUNTIFS(RawData[[Date ]],N3204,RawData[Month List],$Q$6,RawData[Tour/Site],$Q$2,RawData[[Picker ID ]],$Q$3,RawData[Checker ID],$Q$4,RawData[[Error Type ]],$Q$5))</f>
        <v/>
      </c>
    </row>
    <row r="3205" spans="15:15" x14ac:dyDescent="0.25">
      <c r="O3205" s="20" t="str">
        <f>IF(N3205="","",COUNTIFS(RawData[[Date ]],N3205,RawData[Month List],$Q$6,RawData[Tour/Site],$Q$2,RawData[[Picker ID ]],$Q$3,RawData[Checker ID],$Q$4,RawData[[Error Type ]],$Q$5))</f>
        <v/>
      </c>
    </row>
    <row r="3206" spans="15:15" x14ac:dyDescent="0.25">
      <c r="O3206" s="20" t="str">
        <f>IF(N3206="","",COUNTIFS(RawData[[Date ]],N3206,RawData[Month List],$Q$6,RawData[Tour/Site],$Q$2,RawData[[Picker ID ]],$Q$3,RawData[Checker ID],$Q$4,RawData[[Error Type ]],$Q$5))</f>
        <v/>
      </c>
    </row>
    <row r="3207" spans="15:15" x14ac:dyDescent="0.25">
      <c r="O3207" s="20" t="str">
        <f>IF(N3207="","",COUNTIFS(RawData[[Date ]],N3207,RawData[Month List],$Q$6,RawData[Tour/Site],$Q$2,RawData[[Picker ID ]],$Q$3,RawData[Checker ID],$Q$4,RawData[[Error Type ]],$Q$5))</f>
        <v/>
      </c>
    </row>
    <row r="3208" spans="15:15" x14ac:dyDescent="0.25">
      <c r="O3208" s="20" t="str">
        <f>IF(N3208="","",COUNTIFS(RawData[[Date ]],N3208,RawData[Month List],$Q$6,RawData[Tour/Site],$Q$2,RawData[[Picker ID ]],$Q$3,RawData[Checker ID],$Q$4,RawData[[Error Type ]],$Q$5))</f>
        <v/>
      </c>
    </row>
    <row r="3209" spans="15:15" x14ac:dyDescent="0.25">
      <c r="O3209" s="20" t="str">
        <f>IF(N3209="","",COUNTIFS(RawData[[Date ]],N3209,RawData[Month List],$Q$6,RawData[Tour/Site],$Q$2,RawData[[Picker ID ]],$Q$3,RawData[Checker ID],$Q$4,RawData[[Error Type ]],$Q$5))</f>
        <v/>
      </c>
    </row>
    <row r="3210" spans="15:15" x14ac:dyDescent="0.25">
      <c r="O3210" s="20" t="str">
        <f>IF(N3210="","",COUNTIFS(RawData[[Date ]],N3210,RawData[Month List],$Q$6,RawData[Tour/Site],$Q$2,RawData[[Picker ID ]],$Q$3,RawData[Checker ID],$Q$4,RawData[[Error Type ]],$Q$5))</f>
        <v/>
      </c>
    </row>
    <row r="3211" spans="15:15" x14ac:dyDescent="0.25">
      <c r="O3211" s="20" t="str">
        <f>IF(N3211="","",COUNTIFS(RawData[[Date ]],N3211,RawData[Month List],$Q$6,RawData[Tour/Site],$Q$2,RawData[[Picker ID ]],$Q$3,RawData[Checker ID],$Q$4,RawData[[Error Type ]],$Q$5))</f>
        <v/>
      </c>
    </row>
    <row r="3212" spans="15:15" x14ac:dyDescent="0.25">
      <c r="O3212" s="20" t="str">
        <f>IF(N3212="","",COUNTIFS(RawData[[Date ]],N3212,RawData[Month List],$Q$6,RawData[Tour/Site],$Q$2,RawData[[Picker ID ]],$Q$3,RawData[Checker ID],$Q$4,RawData[[Error Type ]],$Q$5))</f>
        <v/>
      </c>
    </row>
    <row r="3213" spans="15:15" x14ac:dyDescent="0.25">
      <c r="O3213" s="20" t="str">
        <f>IF(N3213="","",COUNTIFS(RawData[[Date ]],N3213,RawData[Month List],$Q$6,RawData[Tour/Site],$Q$2,RawData[[Picker ID ]],$Q$3,RawData[Checker ID],$Q$4,RawData[[Error Type ]],$Q$5))</f>
        <v/>
      </c>
    </row>
    <row r="3214" spans="15:15" x14ac:dyDescent="0.25">
      <c r="O3214" s="20" t="str">
        <f>IF(N3214="","",COUNTIFS(RawData[[Date ]],N3214,RawData[Month List],$Q$6,RawData[Tour/Site],$Q$2,RawData[[Picker ID ]],$Q$3,RawData[Checker ID],$Q$4,RawData[[Error Type ]],$Q$5))</f>
        <v/>
      </c>
    </row>
    <row r="3215" spans="15:15" x14ac:dyDescent="0.25">
      <c r="O3215" s="20" t="str">
        <f>IF(N3215="","",COUNTIFS(RawData[[Date ]],N3215,RawData[Month List],$Q$6,RawData[Tour/Site],$Q$2,RawData[[Picker ID ]],$Q$3,RawData[Checker ID],$Q$4,RawData[[Error Type ]],$Q$5))</f>
        <v/>
      </c>
    </row>
    <row r="3216" spans="15:15" x14ac:dyDescent="0.25">
      <c r="O3216" s="20" t="str">
        <f>IF(N3216="","",COUNTIFS(RawData[[Date ]],N3216,RawData[Month List],$Q$6,RawData[Tour/Site],$Q$2,RawData[[Picker ID ]],$Q$3,RawData[Checker ID],$Q$4,RawData[[Error Type ]],$Q$5))</f>
        <v/>
      </c>
    </row>
    <row r="3217" spans="15:15" x14ac:dyDescent="0.25">
      <c r="O3217" s="20" t="str">
        <f>IF(N3217="","",COUNTIFS(RawData[[Date ]],N3217,RawData[Month List],$Q$6,RawData[Tour/Site],$Q$2,RawData[[Picker ID ]],$Q$3,RawData[Checker ID],$Q$4,RawData[[Error Type ]],$Q$5))</f>
        <v/>
      </c>
    </row>
    <row r="3218" spans="15:15" x14ac:dyDescent="0.25">
      <c r="O3218" s="20" t="str">
        <f>IF(N3218="","",COUNTIFS(RawData[[Date ]],N3218,RawData[Month List],$Q$6,RawData[Tour/Site],$Q$2,RawData[[Picker ID ]],$Q$3,RawData[Checker ID],$Q$4,RawData[[Error Type ]],$Q$5))</f>
        <v/>
      </c>
    </row>
    <row r="3219" spans="15:15" x14ac:dyDescent="0.25">
      <c r="O3219" s="20" t="str">
        <f>IF(N3219="","",COUNTIFS(RawData[[Date ]],N3219,RawData[Month List],$Q$6,RawData[Tour/Site],$Q$2,RawData[[Picker ID ]],$Q$3,RawData[Checker ID],$Q$4,RawData[[Error Type ]],$Q$5))</f>
        <v/>
      </c>
    </row>
    <row r="3220" spans="15:15" x14ac:dyDescent="0.25">
      <c r="O3220" s="20" t="str">
        <f>IF(N3220="","",COUNTIFS(RawData[[Date ]],N3220,RawData[Month List],$Q$6,RawData[Tour/Site],$Q$2,RawData[[Picker ID ]],$Q$3,RawData[Checker ID],$Q$4,RawData[[Error Type ]],$Q$5))</f>
        <v/>
      </c>
    </row>
    <row r="3221" spans="15:15" x14ac:dyDescent="0.25">
      <c r="O3221" s="20" t="str">
        <f>IF(N3221="","",COUNTIFS(RawData[[Date ]],N3221,RawData[Month List],$Q$6,RawData[Tour/Site],$Q$2,RawData[[Picker ID ]],$Q$3,RawData[Checker ID],$Q$4,RawData[[Error Type ]],$Q$5))</f>
        <v/>
      </c>
    </row>
    <row r="3222" spans="15:15" x14ac:dyDescent="0.25">
      <c r="O3222" s="20" t="str">
        <f>IF(N3222="","",COUNTIFS(RawData[[Date ]],N3222,RawData[Month List],$Q$6,RawData[Tour/Site],$Q$2,RawData[[Picker ID ]],$Q$3,RawData[Checker ID],$Q$4,RawData[[Error Type ]],$Q$5))</f>
        <v/>
      </c>
    </row>
    <row r="3223" spans="15:15" x14ac:dyDescent="0.25">
      <c r="O3223" s="20" t="str">
        <f>IF(N3223="","",COUNTIFS(RawData[[Date ]],N3223,RawData[Month List],$Q$6,RawData[Tour/Site],$Q$2,RawData[[Picker ID ]],$Q$3,RawData[Checker ID],$Q$4,RawData[[Error Type ]],$Q$5))</f>
        <v/>
      </c>
    </row>
    <row r="3224" spans="15:15" x14ac:dyDescent="0.25">
      <c r="O3224" s="20" t="str">
        <f>IF(N3224="","",COUNTIFS(RawData[[Date ]],N3224,RawData[Month List],$Q$6,RawData[Tour/Site],$Q$2,RawData[[Picker ID ]],$Q$3,RawData[Checker ID],$Q$4,RawData[[Error Type ]],$Q$5))</f>
        <v/>
      </c>
    </row>
    <row r="3225" spans="15:15" x14ac:dyDescent="0.25">
      <c r="O3225" s="20" t="str">
        <f>IF(N3225="","",COUNTIFS(RawData[[Date ]],N3225,RawData[Month List],$Q$6,RawData[Tour/Site],$Q$2,RawData[[Picker ID ]],$Q$3,RawData[Checker ID],$Q$4,RawData[[Error Type ]],$Q$5))</f>
        <v/>
      </c>
    </row>
    <row r="3226" spans="15:15" x14ac:dyDescent="0.25">
      <c r="O3226" s="20" t="str">
        <f>IF(N3226="","",COUNTIFS(RawData[[Date ]],N3226,RawData[Month List],$Q$6,RawData[Tour/Site],$Q$2,RawData[[Picker ID ]],$Q$3,RawData[Checker ID],$Q$4,RawData[[Error Type ]],$Q$5))</f>
        <v/>
      </c>
    </row>
    <row r="3227" spans="15:15" x14ac:dyDescent="0.25">
      <c r="O3227" s="20" t="str">
        <f>IF(N3227="","",COUNTIFS(RawData[[Date ]],N3227,RawData[Month List],$Q$6,RawData[Tour/Site],$Q$2,RawData[[Picker ID ]],$Q$3,RawData[Checker ID],$Q$4,RawData[[Error Type ]],$Q$5))</f>
        <v/>
      </c>
    </row>
    <row r="3228" spans="15:15" x14ac:dyDescent="0.25">
      <c r="O3228" s="20" t="str">
        <f>IF(N3228="","",COUNTIFS(RawData[[Date ]],N3228,RawData[Month List],$Q$6,RawData[Tour/Site],$Q$2,RawData[[Picker ID ]],$Q$3,RawData[Checker ID],$Q$4,RawData[[Error Type ]],$Q$5))</f>
        <v/>
      </c>
    </row>
    <row r="3229" spans="15:15" x14ac:dyDescent="0.25">
      <c r="O3229" s="20" t="str">
        <f>IF(N3229="","",COUNTIFS(RawData[[Date ]],N3229,RawData[Month List],$Q$6,RawData[Tour/Site],$Q$2,RawData[[Picker ID ]],$Q$3,RawData[Checker ID],$Q$4,RawData[[Error Type ]],$Q$5))</f>
        <v/>
      </c>
    </row>
    <row r="3230" spans="15:15" x14ac:dyDescent="0.25">
      <c r="O3230" s="20" t="str">
        <f>IF(N3230="","",COUNTIFS(RawData[[Date ]],N3230,RawData[Month List],$Q$6,RawData[Tour/Site],$Q$2,RawData[[Picker ID ]],$Q$3,RawData[Checker ID],$Q$4,RawData[[Error Type ]],$Q$5))</f>
        <v/>
      </c>
    </row>
    <row r="3231" spans="15:15" x14ac:dyDescent="0.25">
      <c r="O3231" s="20" t="str">
        <f>IF(N3231="","",COUNTIFS(RawData[[Date ]],N3231,RawData[Month List],$Q$6,RawData[Tour/Site],$Q$2,RawData[[Picker ID ]],$Q$3,RawData[Checker ID],$Q$4,RawData[[Error Type ]],$Q$5))</f>
        <v/>
      </c>
    </row>
    <row r="3232" spans="15:15" x14ac:dyDescent="0.25">
      <c r="O3232" s="20" t="str">
        <f>IF(N3232="","",COUNTIFS(RawData[[Date ]],N3232,RawData[Month List],$Q$6,RawData[Tour/Site],$Q$2,RawData[[Picker ID ]],$Q$3,RawData[Checker ID],$Q$4,RawData[[Error Type ]],$Q$5))</f>
        <v/>
      </c>
    </row>
    <row r="3233" spans="15:15" x14ac:dyDescent="0.25">
      <c r="O3233" s="20" t="str">
        <f>IF(N3233="","",COUNTIFS(RawData[[Date ]],N3233,RawData[Month List],$Q$6,RawData[Tour/Site],$Q$2,RawData[[Picker ID ]],$Q$3,RawData[Checker ID],$Q$4,RawData[[Error Type ]],$Q$5))</f>
        <v/>
      </c>
    </row>
    <row r="3234" spans="15:15" x14ac:dyDescent="0.25">
      <c r="O3234" s="20" t="str">
        <f>IF(N3234="","",COUNTIFS(RawData[[Date ]],N3234,RawData[Month List],$Q$6,RawData[Tour/Site],$Q$2,RawData[[Picker ID ]],$Q$3,RawData[Checker ID],$Q$4,RawData[[Error Type ]],$Q$5))</f>
        <v/>
      </c>
    </row>
    <row r="3235" spans="15:15" x14ac:dyDescent="0.25">
      <c r="O3235" s="20" t="str">
        <f>IF(N3235="","",COUNTIFS(RawData[[Date ]],N3235,RawData[Month List],$Q$6,RawData[Tour/Site],$Q$2,RawData[[Picker ID ]],$Q$3,RawData[Checker ID],$Q$4,RawData[[Error Type ]],$Q$5))</f>
        <v/>
      </c>
    </row>
    <row r="3236" spans="15:15" x14ac:dyDescent="0.25">
      <c r="O3236" s="20" t="str">
        <f>IF(N3236="","",COUNTIFS(RawData[[Date ]],N3236,RawData[Month List],$Q$6,RawData[Tour/Site],$Q$2,RawData[[Picker ID ]],$Q$3,RawData[Checker ID],$Q$4,RawData[[Error Type ]],$Q$5))</f>
        <v/>
      </c>
    </row>
    <row r="3237" spans="15:15" x14ac:dyDescent="0.25">
      <c r="O3237" s="20" t="str">
        <f>IF(N3237="","",COUNTIFS(RawData[[Date ]],N3237,RawData[Month List],$Q$6,RawData[Tour/Site],$Q$2,RawData[[Picker ID ]],$Q$3,RawData[Checker ID],$Q$4,RawData[[Error Type ]],$Q$5))</f>
        <v/>
      </c>
    </row>
    <row r="3238" spans="15:15" x14ac:dyDescent="0.25">
      <c r="O3238" s="20" t="str">
        <f>IF(N3238="","",COUNTIFS(RawData[[Date ]],N3238,RawData[Month List],$Q$6,RawData[Tour/Site],$Q$2,RawData[[Picker ID ]],$Q$3,RawData[Checker ID],$Q$4,RawData[[Error Type ]],$Q$5))</f>
        <v/>
      </c>
    </row>
    <row r="3239" spans="15:15" x14ac:dyDescent="0.25">
      <c r="O3239" s="20" t="str">
        <f>IF(N3239="","",COUNTIFS(RawData[[Date ]],N3239,RawData[Month List],$Q$6,RawData[Tour/Site],$Q$2,RawData[[Picker ID ]],$Q$3,RawData[Checker ID],$Q$4,RawData[[Error Type ]],$Q$5))</f>
        <v/>
      </c>
    </row>
    <row r="3240" spans="15:15" x14ac:dyDescent="0.25">
      <c r="O3240" s="20" t="str">
        <f>IF(N3240="","",COUNTIFS(RawData[[Date ]],N3240,RawData[Month List],$Q$6,RawData[Tour/Site],$Q$2,RawData[[Picker ID ]],$Q$3,RawData[Checker ID],$Q$4,RawData[[Error Type ]],$Q$5))</f>
        <v/>
      </c>
    </row>
    <row r="3241" spans="15:15" x14ac:dyDescent="0.25">
      <c r="O3241" s="20" t="str">
        <f>IF(N3241="","",COUNTIFS(RawData[[Date ]],N3241,RawData[Month List],$Q$6,RawData[Tour/Site],$Q$2,RawData[[Picker ID ]],$Q$3,RawData[Checker ID],$Q$4,RawData[[Error Type ]],$Q$5))</f>
        <v/>
      </c>
    </row>
    <row r="3242" spans="15:15" x14ac:dyDescent="0.25">
      <c r="O3242" s="20" t="str">
        <f>IF(N3242="","",COUNTIFS(RawData[[Date ]],N3242,RawData[Month List],$Q$6,RawData[Tour/Site],$Q$2,RawData[[Picker ID ]],$Q$3,RawData[Checker ID],$Q$4,RawData[[Error Type ]],$Q$5))</f>
        <v/>
      </c>
    </row>
    <row r="3243" spans="15:15" x14ac:dyDescent="0.25">
      <c r="O3243" s="20" t="str">
        <f>IF(N3243="","",COUNTIFS(RawData[[Date ]],N3243,RawData[Month List],$Q$6,RawData[Tour/Site],$Q$2,RawData[[Picker ID ]],$Q$3,RawData[Checker ID],$Q$4,RawData[[Error Type ]],$Q$5))</f>
        <v/>
      </c>
    </row>
    <row r="3244" spans="15:15" x14ac:dyDescent="0.25">
      <c r="O3244" s="20" t="str">
        <f>IF(N3244="","",COUNTIFS(RawData[[Date ]],N3244,RawData[Month List],$Q$6,RawData[Tour/Site],$Q$2,RawData[[Picker ID ]],$Q$3,RawData[Checker ID],$Q$4,RawData[[Error Type ]],$Q$5))</f>
        <v/>
      </c>
    </row>
    <row r="3245" spans="15:15" x14ac:dyDescent="0.25">
      <c r="O3245" s="20" t="str">
        <f>IF(N3245="","",COUNTIFS(RawData[[Date ]],N3245,RawData[Month List],$Q$6,RawData[Tour/Site],$Q$2,RawData[[Picker ID ]],$Q$3,RawData[Checker ID],$Q$4,RawData[[Error Type ]],$Q$5))</f>
        <v/>
      </c>
    </row>
    <row r="3246" spans="15:15" x14ac:dyDescent="0.25">
      <c r="O3246" s="20" t="str">
        <f>IF(N3246="","",COUNTIFS(RawData[[Date ]],N3246,RawData[Month List],$Q$6,RawData[Tour/Site],$Q$2,RawData[[Picker ID ]],$Q$3,RawData[Checker ID],$Q$4,RawData[[Error Type ]],$Q$5))</f>
        <v/>
      </c>
    </row>
    <row r="3247" spans="15:15" x14ac:dyDescent="0.25">
      <c r="O3247" s="20" t="str">
        <f>IF(N3247="","",COUNTIFS(RawData[[Date ]],N3247,RawData[Month List],$Q$6,RawData[Tour/Site],$Q$2,RawData[[Picker ID ]],$Q$3,RawData[Checker ID],$Q$4,RawData[[Error Type ]],$Q$5))</f>
        <v/>
      </c>
    </row>
    <row r="3248" spans="15:15" x14ac:dyDescent="0.25">
      <c r="O3248" s="20" t="str">
        <f>IF(N3248="","",COUNTIFS(RawData[[Date ]],N3248,RawData[Month List],$Q$6,RawData[Tour/Site],$Q$2,RawData[[Picker ID ]],$Q$3,RawData[Checker ID],$Q$4,RawData[[Error Type ]],$Q$5))</f>
        <v/>
      </c>
    </row>
    <row r="3249" spans="15:15" x14ac:dyDescent="0.25">
      <c r="O3249" s="20" t="str">
        <f>IF(N3249="","",COUNTIFS(RawData[[Date ]],N3249,RawData[Month List],$Q$6,RawData[Tour/Site],$Q$2,RawData[[Picker ID ]],$Q$3,RawData[Checker ID],$Q$4,RawData[[Error Type ]],$Q$5))</f>
        <v/>
      </c>
    </row>
    <row r="3250" spans="15:15" x14ac:dyDescent="0.25">
      <c r="O3250" s="20" t="str">
        <f>IF(N3250="","",COUNTIFS(RawData[[Date ]],N3250,RawData[Month List],$Q$6,RawData[Tour/Site],$Q$2,RawData[[Picker ID ]],$Q$3,RawData[Checker ID],$Q$4,RawData[[Error Type ]],$Q$5))</f>
        <v/>
      </c>
    </row>
    <row r="3251" spans="15:15" x14ac:dyDescent="0.25">
      <c r="O3251" s="20" t="str">
        <f>IF(N3251="","",COUNTIFS(RawData[[Date ]],N3251,RawData[Month List],$Q$6,RawData[Tour/Site],$Q$2,RawData[[Picker ID ]],$Q$3,RawData[Checker ID],$Q$4,RawData[[Error Type ]],$Q$5))</f>
        <v/>
      </c>
    </row>
    <row r="3252" spans="15:15" x14ac:dyDescent="0.25">
      <c r="O3252" s="20" t="str">
        <f>IF(N3252="","",COUNTIFS(RawData[[Date ]],N3252,RawData[Month List],$Q$6,RawData[Tour/Site],$Q$2,RawData[[Picker ID ]],$Q$3,RawData[Checker ID],$Q$4,RawData[[Error Type ]],$Q$5))</f>
        <v/>
      </c>
    </row>
    <row r="3253" spans="15:15" x14ac:dyDescent="0.25">
      <c r="O3253" s="20" t="str">
        <f>IF(N3253="","",COUNTIFS(RawData[[Date ]],N3253,RawData[Month List],$Q$6,RawData[Tour/Site],$Q$2,RawData[[Picker ID ]],$Q$3,RawData[Checker ID],$Q$4,RawData[[Error Type ]],$Q$5))</f>
        <v/>
      </c>
    </row>
    <row r="3254" spans="15:15" x14ac:dyDescent="0.25">
      <c r="O3254" s="20" t="str">
        <f>IF(N3254="","",COUNTIFS(RawData[[Date ]],N3254,RawData[Month List],$Q$6,RawData[Tour/Site],$Q$2,RawData[[Picker ID ]],$Q$3,RawData[Checker ID],$Q$4,RawData[[Error Type ]],$Q$5))</f>
        <v/>
      </c>
    </row>
    <row r="3255" spans="15:15" x14ac:dyDescent="0.25">
      <c r="O3255" s="20" t="str">
        <f>IF(N3255="","",COUNTIFS(RawData[[Date ]],N3255,RawData[Month List],$Q$6,RawData[Tour/Site],$Q$2,RawData[[Picker ID ]],$Q$3,RawData[Checker ID],$Q$4,RawData[[Error Type ]],$Q$5))</f>
        <v/>
      </c>
    </row>
    <row r="3256" spans="15:15" x14ac:dyDescent="0.25">
      <c r="O3256" s="20" t="str">
        <f>IF(N3256="","",COUNTIFS(RawData[[Date ]],N3256,RawData[Month List],$Q$6,RawData[Tour/Site],$Q$2,RawData[[Picker ID ]],$Q$3,RawData[Checker ID],$Q$4,RawData[[Error Type ]],$Q$5))</f>
        <v/>
      </c>
    </row>
    <row r="3257" spans="15:15" x14ac:dyDescent="0.25">
      <c r="O3257" s="20" t="str">
        <f>IF(N3257="","",COUNTIFS(RawData[[Date ]],N3257,RawData[Month List],$Q$6,RawData[Tour/Site],$Q$2,RawData[[Picker ID ]],$Q$3,RawData[Checker ID],$Q$4,RawData[[Error Type ]],$Q$5))</f>
        <v/>
      </c>
    </row>
    <row r="3258" spans="15:15" x14ac:dyDescent="0.25">
      <c r="O3258" s="20" t="str">
        <f>IF(N3258="","",COUNTIFS(RawData[[Date ]],N3258,RawData[Month List],$Q$6,RawData[Tour/Site],$Q$2,RawData[[Picker ID ]],$Q$3,RawData[Checker ID],$Q$4,RawData[[Error Type ]],$Q$5))</f>
        <v/>
      </c>
    </row>
    <row r="3259" spans="15:15" x14ac:dyDescent="0.25">
      <c r="O3259" s="20" t="str">
        <f>IF(N3259="","",COUNTIFS(RawData[[Date ]],N3259,RawData[Month List],$Q$6,RawData[Tour/Site],$Q$2,RawData[[Picker ID ]],$Q$3,RawData[Checker ID],$Q$4,RawData[[Error Type ]],$Q$5))</f>
        <v/>
      </c>
    </row>
    <row r="3260" spans="15:15" x14ac:dyDescent="0.25">
      <c r="O3260" s="20" t="str">
        <f>IF(N3260="","",COUNTIFS(RawData[[Date ]],N3260,RawData[Month List],$Q$6,RawData[Tour/Site],$Q$2,RawData[[Picker ID ]],$Q$3,RawData[Checker ID],$Q$4,RawData[[Error Type ]],$Q$5))</f>
        <v/>
      </c>
    </row>
    <row r="3261" spans="15:15" x14ac:dyDescent="0.25">
      <c r="O3261" s="20" t="str">
        <f>IF(N3261="","",COUNTIFS(RawData[[Date ]],N3261,RawData[Month List],$Q$6,RawData[Tour/Site],$Q$2,RawData[[Picker ID ]],$Q$3,RawData[Checker ID],$Q$4,RawData[[Error Type ]],$Q$5))</f>
        <v/>
      </c>
    </row>
    <row r="3262" spans="15:15" x14ac:dyDescent="0.25">
      <c r="O3262" s="20" t="str">
        <f>IF(N3262="","",COUNTIFS(RawData[[Date ]],N3262,RawData[Month List],$Q$6,RawData[Tour/Site],$Q$2,RawData[[Picker ID ]],$Q$3,RawData[Checker ID],$Q$4,RawData[[Error Type ]],$Q$5))</f>
        <v/>
      </c>
    </row>
    <row r="3263" spans="15:15" x14ac:dyDescent="0.25">
      <c r="O3263" s="20" t="str">
        <f>IF(N3263="","",COUNTIFS(RawData[[Date ]],N3263,RawData[Month List],$Q$6,RawData[Tour/Site],$Q$2,RawData[[Picker ID ]],$Q$3,RawData[Checker ID],$Q$4,RawData[[Error Type ]],$Q$5))</f>
        <v/>
      </c>
    </row>
    <row r="3264" spans="15:15" x14ac:dyDescent="0.25">
      <c r="O3264" s="20" t="str">
        <f>IF(N3264="","",COUNTIFS(RawData[[Date ]],N3264,RawData[Month List],$Q$6,RawData[Tour/Site],$Q$2,RawData[[Picker ID ]],$Q$3,RawData[Checker ID],$Q$4,RawData[[Error Type ]],$Q$5))</f>
        <v/>
      </c>
    </row>
    <row r="3265" spans="15:15" x14ac:dyDescent="0.25">
      <c r="O3265" s="20" t="str">
        <f>IF(N3265="","",COUNTIFS(RawData[[Date ]],N3265,RawData[Month List],$Q$6,RawData[Tour/Site],$Q$2,RawData[[Picker ID ]],$Q$3,RawData[Checker ID],$Q$4,RawData[[Error Type ]],$Q$5))</f>
        <v/>
      </c>
    </row>
    <row r="3266" spans="15:15" x14ac:dyDescent="0.25">
      <c r="O3266" s="20" t="str">
        <f>IF(N3266="","",COUNTIFS(RawData[[Date ]],N3266,RawData[Month List],$Q$6,RawData[Tour/Site],$Q$2,RawData[[Picker ID ]],$Q$3,RawData[Checker ID],$Q$4,RawData[[Error Type ]],$Q$5))</f>
        <v/>
      </c>
    </row>
    <row r="3267" spans="15:15" x14ac:dyDescent="0.25">
      <c r="O3267" s="20" t="str">
        <f>IF(N3267="","",COUNTIFS(RawData[[Date ]],N3267,RawData[Month List],$Q$6,RawData[Tour/Site],$Q$2,RawData[[Picker ID ]],$Q$3,RawData[Checker ID],$Q$4,RawData[[Error Type ]],$Q$5))</f>
        <v/>
      </c>
    </row>
    <row r="3268" spans="15:15" x14ac:dyDescent="0.25">
      <c r="O3268" s="20" t="str">
        <f>IF(N3268="","",COUNTIFS(RawData[[Date ]],N3268,RawData[Month List],$Q$6,RawData[Tour/Site],$Q$2,RawData[[Picker ID ]],$Q$3,RawData[Checker ID],$Q$4,RawData[[Error Type ]],$Q$5))</f>
        <v/>
      </c>
    </row>
    <row r="3269" spans="15:15" x14ac:dyDescent="0.25">
      <c r="O3269" s="20" t="str">
        <f>IF(N3269="","",COUNTIFS(RawData[[Date ]],N3269,RawData[Month List],$Q$6,RawData[Tour/Site],$Q$2,RawData[[Picker ID ]],$Q$3,RawData[Checker ID],$Q$4,RawData[[Error Type ]],$Q$5))</f>
        <v/>
      </c>
    </row>
    <row r="3270" spans="15:15" x14ac:dyDescent="0.25">
      <c r="O3270" s="20" t="str">
        <f>IF(N3270="","",COUNTIFS(RawData[[Date ]],N3270,RawData[Month List],$Q$6,RawData[Tour/Site],$Q$2,RawData[[Picker ID ]],$Q$3,RawData[Checker ID],$Q$4,RawData[[Error Type ]],$Q$5))</f>
        <v/>
      </c>
    </row>
    <row r="3271" spans="15:15" x14ac:dyDescent="0.25">
      <c r="O3271" s="20" t="str">
        <f>IF(N3271="","",COUNTIFS(RawData[[Date ]],N3271,RawData[Month List],$Q$6,RawData[Tour/Site],$Q$2,RawData[[Picker ID ]],$Q$3,RawData[Checker ID],$Q$4,RawData[[Error Type ]],$Q$5))</f>
        <v/>
      </c>
    </row>
    <row r="3272" spans="15:15" x14ac:dyDescent="0.25">
      <c r="O3272" s="20" t="str">
        <f>IF(N3272="","",COUNTIFS(RawData[[Date ]],N3272,RawData[Month List],$Q$6,RawData[Tour/Site],$Q$2,RawData[[Picker ID ]],$Q$3,RawData[Checker ID],$Q$4,RawData[[Error Type ]],$Q$5))</f>
        <v/>
      </c>
    </row>
    <row r="3273" spans="15:15" x14ac:dyDescent="0.25">
      <c r="O3273" s="20" t="str">
        <f>IF(N3273="","",COUNTIFS(RawData[[Date ]],N3273,RawData[Month List],$Q$6,RawData[Tour/Site],$Q$2,RawData[[Picker ID ]],$Q$3,RawData[Checker ID],$Q$4,RawData[[Error Type ]],$Q$5))</f>
        <v/>
      </c>
    </row>
    <row r="3274" spans="15:15" x14ac:dyDescent="0.25">
      <c r="O3274" s="20" t="str">
        <f>IF(N3274="","",COUNTIFS(RawData[[Date ]],N3274,RawData[Month List],$Q$6,RawData[Tour/Site],$Q$2,RawData[[Picker ID ]],$Q$3,RawData[Checker ID],$Q$4,RawData[[Error Type ]],$Q$5))</f>
        <v/>
      </c>
    </row>
    <row r="3275" spans="15:15" x14ac:dyDescent="0.25">
      <c r="O3275" s="20" t="str">
        <f>IF(N3275="","",COUNTIFS(RawData[[Date ]],N3275,RawData[Month List],$Q$6,RawData[Tour/Site],$Q$2,RawData[[Picker ID ]],$Q$3,RawData[Checker ID],$Q$4,RawData[[Error Type ]],$Q$5))</f>
        <v/>
      </c>
    </row>
    <row r="3276" spans="15:15" x14ac:dyDescent="0.25">
      <c r="O3276" s="20" t="str">
        <f>IF(N3276="","",COUNTIFS(RawData[[Date ]],N3276,RawData[Month List],$Q$6,RawData[Tour/Site],$Q$2,RawData[[Picker ID ]],$Q$3,RawData[Checker ID],$Q$4,RawData[[Error Type ]],$Q$5))</f>
        <v/>
      </c>
    </row>
    <row r="3277" spans="15:15" x14ac:dyDescent="0.25">
      <c r="O3277" s="20" t="str">
        <f>IF(N3277="","",COUNTIFS(RawData[[Date ]],N3277,RawData[Month List],$Q$6,RawData[Tour/Site],$Q$2,RawData[[Picker ID ]],$Q$3,RawData[Checker ID],$Q$4,RawData[[Error Type ]],$Q$5))</f>
        <v/>
      </c>
    </row>
    <row r="3278" spans="15:15" x14ac:dyDescent="0.25">
      <c r="O3278" s="20" t="str">
        <f>IF(N3278="","",COUNTIFS(RawData[[Date ]],N3278,RawData[Month List],$Q$6,RawData[Tour/Site],$Q$2,RawData[[Picker ID ]],$Q$3,RawData[Checker ID],$Q$4,RawData[[Error Type ]],$Q$5))</f>
        <v/>
      </c>
    </row>
    <row r="3279" spans="15:15" x14ac:dyDescent="0.25">
      <c r="O3279" s="20" t="str">
        <f>IF(N3279="","",COUNTIFS(RawData[[Date ]],N3279,RawData[Month List],$Q$6,RawData[Tour/Site],$Q$2,RawData[[Picker ID ]],$Q$3,RawData[Checker ID],$Q$4,RawData[[Error Type ]],$Q$5))</f>
        <v/>
      </c>
    </row>
    <row r="3280" spans="15:15" x14ac:dyDescent="0.25">
      <c r="O3280" s="20" t="str">
        <f>IF(N3280="","",COUNTIFS(RawData[[Date ]],N3280,RawData[Month List],$Q$6,RawData[Tour/Site],$Q$2,RawData[[Picker ID ]],$Q$3,RawData[Checker ID],$Q$4,RawData[[Error Type ]],$Q$5))</f>
        <v/>
      </c>
    </row>
    <row r="3281" spans="15:15" x14ac:dyDescent="0.25">
      <c r="O3281" s="20" t="str">
        <f>IF(N3281="","",COUNTIFS(RawData[[Date ]],N3281,RawData[Month List],$Q$6,RawData[Tour/Site],$Q$2,RawData[[Picker ID ]],$Q$3,RawData[Checker ID],$Q$4,RawData[[Error Type ]],$Q$5))</f>
        <v/>
      </c>
    </row>
    <row r="3282" spans="15:15" x14ac:dyDescent="0.25">
      <c r="O3282" s="20" t="str">
        <f>IF(N3282="","",COUNTIFS(RawData[[Date ]],N3282,RawData[Month List],$Q$6,RawData[Tour/Site],$Q$2,RawData[[Picker ID ]],$Q$3,RawData[Checker ID],$Q$4,RawData[[Error Type ]],$Q$5))</f>
        <v/>
      </c>
    </row>
    <row r="3283" spans="15:15" x14ac:dyDescent="0.25">
      <c r="O3283" s="20" t="str">
        <f>IF(N3283="","",COUNTIFS(RawData[[Date ]],N3283,RawData[Month List],$Q$6,RawData[Tour/Site],$Q$2,RawData[[Picker ID ]],$Q$3,RawData[Checker ID],$Q$4,RawData[[Error Type ]],$Q$5))</f>
        <v/>
      </c>
    </row>
    <row r="3284" spans="15:15" x14ac:dyDescent="0.25">
      <c r="O3284" s="20" t="str">
        <f>IF(N3284="","",COUNTIFS(RawData[[Date ]],N3284,RawData[Month List],$Q$6,RawData[Tour/Site],$Q$2,RawData[[Picker ID ]],$Q$3,RawData[Checker ID],$Q$4,RawData[[Error Type ]],$Q$5))</f>
        <v/>
      </c>
    </row>
    <row r="3285" spans="15:15" x14ac:dyDescent="0.25">
      <c r="O3285" s="20" t="str">
        <f>IF(N3285="","",COUNTIFS(RawData[[Date ]],N3285,RawData[Month List],$Q$6,RawData[Tour/Site],$Q$2,RawData[[Picker ID ]],$Q$3,RawData[Checker ID],$Q$4,RawData[[Error Type ]],$Q$5))</f>
        <v/>
      </c>
    </row>
    <row r="3286" spans="15:15" x14ac:dyDescent="0.25">
      <c r="O3286" s="20" t="str">
        <f>IF(N3286="","",COUNTIFS(RawData[[Date ]],N3286,RawData[Month List],$Q$6,RawData[Tour/Site],$Q$2,RawData[[Picker ID ]],$Q$3,RawData[Checker ID],$Q$4,RawData[[Error Type ]],$Q$5))</f>
        <v/>
      </c>
    </row>
    <row r="3287" spans="15:15" x14ac:dyDescent="0.25">
      <c r="O3287" s="20" t="str">
        <f>IF(N3287="","",COUNTIFS(RawData[[Date ]],N3287,RawData[Month List],$Q$6,RawData[Tour/Site],$Q$2,RawData[[Picker ID ]],$Q$3,RawData[Checker ID],$Q$4,RawData[[Error Type ]],$Q$5))</f>
        <v/>
      </c>
    </row>
    <row r="3288" spans="15:15" x14ac:dyDescent="0.25">
      <c r="O3288" s="20" t="str">
        <f>IF(N3288="","",COUNTIFS(RawData[[Date ]],N3288,RawData[Month List],$Q$6,RawData[Tour/Site],$Q$2,RawData[[Picker ID ]],$Q$3,RawData[Checker ID],$Q$4,RawData[[Error Type ]],$Q$5))</f>
        <v/>
      </c>
    </row>
    <row r="3289" spans="15:15" x14ac:dyDescent="0.25">
      <c r="O3289" s="20" t="str">
        <f>IF(N3289="","",COUNTIFS(RawData[[Date ]],N3289,RawData[Month List],$Q$6,RawData[Tour/Site],$Q$2,RawData[[Picker ID ]],$Q$3,RawData[Checker ID],$Q$4,RawData[[Error Type ]],$Q$5))</f>
        <v/>
      </c>
    </row>
    <row r="3290" spans="15:15" x14ac:dyDescent="0.25">
      <c r="O3290" s="20" t="str">
        <f>IF(N3290="","",COUNTIFS(RawData[[Date ]],N3290,RawData[Month List],$Q$6,RawData[Tour/Site],$Q$2,RawData[[Picker ID ]],$Q$3,RawData[Checker ID],$Q$4,RawData[[Error Type ]],$Q$5))</f>
        <v/>
      </c>
    </row>
    <row r="3291" spans="15:15" x14ac:dyDescent="0.25">
      <c r="O3291" s="20" t="str">
        <f>IF(N3291="","",COUNTIFS(RawData[[Date ]],N3291,RawData[Month List],$Q$6,RawData[Tour/Site],$Q$2,RawData[[Picker ID ]],$Q$3,RawData[Checker ID],$Q$4,RawData[[Error Type ]],$Q$5))</f>
        <v/>
      </c>
    </row>
    <row r="3292" spans="15:15" x14ac:dyDescent="0.25">
      <c r="O3292" s="20" t="str">
        <f>IF(N3292="","",COUNTIFS(RawData[[Date ]],N3292,RawData[Month List],$Q$6,RawData[Tour/Site],$Q$2,RawData[[Picker ID ]],$Q$3,RawData[Checker ID],$Q$4,RawData[[Error Type ]],$Q$5))</f>
        <v/>
      </c>
    </row>
    <row r="3293" spans="15:15" x14ac:dyDescent="0.25">
      <c r="O3293" s="20" t="str">
        <f>IF(N3293="","",COUNTIFS(RawData[[Date ]],N3293,RawData[Month List],$Q$6,RawData[Tour/Site],$Q$2,RawData[[Picker ID ]],$Q$3,RawData[Checker ID],$Q$4,RawData[[Error Type ]],$Q$5))</f>
        <v/>
      </c>
    </row>
    <row r="3294" spans="15:15" x14ac:dyDescent="0.25">
      <c r="O3294" s="20" t="str">
        <f>IF(N3294="","",COUNTIFS(RawData[[Date ]],N3294,RawData[Month List],$Q$6,RawData[Tour/Site],$Q$2,RawData[[Picker ID ]],$Q$3,RawData[Checker ID],$Q$4,RawData[[Error Type ]],$Q$5))</f>
        <v/>
      </c>
    </row>
    <row r="3295" spans="15:15" x14ac:dyDescent="0.25">
      <c r="O3295" s="20" t="str">
        <f>IF(N3295="","",COUNTIFS(RawData[[Date ]],N3295,RawData[Month List],$Q$6,RawData[Tour/Site],$Q$2,RawData[[Picker ID ]],$Q$3,RawData[Checker ID],$Q$4,RawData[[Error Type ]],$Q$5))</f>
        <v/>
      </c>
    </row>
    <row r="3296" spans="15:15" x14ac:dyDescent="0.25">
      <c r="O3296" s="20" t="str">
        <f>IF(N3296="","",COUNTIFS(RawData[[Date ]],N3296,RawData[Month List],$Q$6,RawData[Tour/Site],$Q$2,RawData[[Picker ID ]],$Q$3,RawData[Checker ID],$Q$4,RawData[[Error Type ]],$Q$5))</f>
        <v/>
      </c>
    </row>
    <row r="3297" spans="15:15" x14ac:dyDescent="0.25">
      <c r="O3297" s="20" t="str">
        <f>IF(N3297="","",COUNTIFS(RawData[[Date ]],N3297,RawData[Month List],$Q$6,RawData[Tour/Site],$Q$2,RawData[[Picker ID ]],$Q$3,RawData[Checker ID],$Q$4,RawData[[Error Type ]],$Q$5))</f>
        <v/>
      </c>
    </row>
    <row r="3298" spans="15:15" x14ac:dyDescent="0.25">
      <c r="O3298" s="20" t="str">
        <f>IF(N3298="","",COUNTIFS(RawData[[Date ]],N3298,RawData[Month List],$Q$6,RawData[Tour/Site],$Q$2,RawData[[Picker ID ]],$Q$3,RawData[Checker ID],$Q$4,RawData[[Error Type ]],$Q$5))</f>
        <v/>
      </c>
    </row>
    <row r="3299" spans="15:15" x14ac:dyDescent="0.25">
      <c r="O3299" s="20" t="str">
        <f>IF(N3299="","",COUNTIFS(RawData[[Date ]],N3299,RawData[Month List],$Q$6,RawData[Tour/Site],$Q$2,RawData[[Picker ID ]],$Q$3,RawData[Checker ID],$Q$4,RawData[[Error Type ]],$Q$5))</f>
        <v/>
      </c>
    </row>
    <row r="3300" spans="15:15" x14ac:dyDescent="0.25">
      <c r="O3300" s="20" t="str">
        <f>IF(N3300="","",COUNTIFS(RawData[[Date ]],N3300,RawData[Month List],$Q$6,RawData[Tour/Site],$Q$2,RawData[[Picker ID ]],$Q$3,RawData[Checker ID],$Q$4,RawData[[Error Type ]],$Q$5))</f>
        <v/>
      </c>
    </row>
    <row r="3301" spans="15:15" x14ac:dyDescent="0.25">
      <c r="O3301" s="20" t="str">
        <f>IF(N3301="","",COUNTIFS(RawData[[Date ]],N3301,RawData[Month List],$Q$6,RawData[Tour/Site],$Q$2,RawData[[Picker ID ]],$Q$3,RawData[Checker ID],$Q$4,RawData[[Error Type ]],$Q$5))</f>
        <v/>
      </c>
    </row>
    <row r="3302" spans="15:15" x14ac:dyDescent="0.25">
      <c r="O3302" s="20" t="str">
        <f>IF(N3302="","",COUNTIFS(RawData[[Date ]],N3302,RawData[Month List],$Q$6,RawData[Tour/Site],$Q$2,RawData[[Picker ID ]],$Q$3,RawData[Checker ID],$Q$4,RawData[[Error Type ]],$Q$5))</f>
        <v/>
      </c>
    </row>
    <row r="3303" spans="15:15" x14ac:dyDescent="0.25">
      <c r="O3303" s="20" t="str">
        <f>IF(N3303="","",COUNTIFS(RawData[[Date ]],N3303,RawData[Month List],$Q$6,RawData[Tour/Site],$Q$2,RawData[[Picker ID ]],$Q$3,RawData[Checker ID],$Q$4,RawData[[Error Type ]],$Q$5))</f>
        <v/>
      </c>
    </row>
    <row r="3304" spans="15:15" x14ac:dyDescent="0.25">
      <c r="O3304" s="20" t="str">
        <f>IF(N3304="","",COUNTIFS(RawData[[Date ]],N3304,RawData[Month List],$Q$6,RawData[Tour/Site],$Q$2,RawData[[Picker ID ]],$Q$3,RawData[Checker ID],$Q$4,RawData[[Error Type ]],$Q$5))</f>
        <v/>
      </c>
    </row>
    <row r="3305" spans="15:15" x14ac:dyDescent="0.25">
      <c r="O3305" s="20" t="str">
        <f>IF(N3305="","",COUNTIFS(RawData[[Date ]],N3305,RawData[Month List],$Q$6,RawData[Tour/Site],$Q$2,RawData[[Picker ID ]],$Q$3,RawData[Checker ID],$Q$4,RawData[[Error Type ]],$Q$5))</f>
        <v/>
      </c>
    </row>
    <row r="3306" spans="15:15" x14ac:dyDescent="0.25">
      <c r="O3306" s="20" t="str">
        <f>IF(N3306="","",COUNTIFS(RawData[[Date ]],N3306,RawData[Month List],$Q$6,RawData[Tour/Site],$Q$2,RawData[[Picker ID ]],$Q$3,RawData[Checker ID],$Q$4,RawData[[Error Type ]],$Q$5))</f>
        <v/>
      </c>
    </row>
    <row r="3307" spans="15:15" x14ac:dyDescent="0.25">
      <c r="O3307" s="20" t="str">
        <f>IF(N3307="","",COUNTIFS(RawData[[Date ]],N3307,RawData[Month List],$Q$6,RawData[Tour/Site],$Q$2,RawData[[Picker ID ]],$Q$3,RawData[Checker ID],$Q$4,RawData[[Error Type ]],$Q$5))</f>
        <v/>
      </c>
    </row>
    <row r="3308" spans="15:15" x14ac:dyDescent="0.25">
      <c r="O3308" s="20" t="str">
        <f>IF(N3308="","",COUNTIFS(RawData[[Date ]],N3308,RawData[Month List],$Q$6,RawData[Tour/Site],$Q$2,RawData[[Picker ID ]],$Q$3,RawData[Checker ID],$Q$4,RawData[[Error Type ]],$Q$5))</f>
        <v/>
      </c>
    </row>
    <row r="3309" spans="15:15" x14ac:dyDescent="0.25">
      <c r="O3309" s="20" t="str">
        <f>IF(N3309="","",COUNTIFS(RawData[[Date ]],N3309,RawData[Month List],$Q$6,RawData[Tour/Site],$Q$2,RawData[[Picker ID ]],$Q$3,RawData[Checker ID],$Q$4,RawData[[Error Type ]],$Q$5))</f>
        <v/>
      </c>
    </row>
    <row r="3310" spans="15:15" x14ac:dyDescent="0.25">
      <c r="O3310" s="20" t="str">
        <f>IF(N3310="","",COUNTIFS(RawData[[Date ]],N3310,RawData[Month List],$Q$6,RawData[Tour/Site],$Q$2,RawData[[Picker ID ]],$Q$3,RawData[Checker ID],$Q$4,RawData[[Error Type ]],$Q$5))</f>
        <v/>
      </c>
    </row>
    <row r="3311" spans="15:15" x14ac:dyDescent="0.25">
      <c r="O3311" s="20" t="str">
        <f>IF(N3311="","",COUNTIFS(RawData[[Date ]],N3311,RawData[Month List],$Q$6,RawData[Tour/Site],$Q$2,RawData[[Picker ID ]],$Q$3,RawData[Checker ID],$Q$4,RawData[[Error Type ]],$Q$5))</f>
        <v/>
      </c>
    </row>
    <row r="3312" spans="15:15" x14ac:dyDescent="0.25">
      <c r="O3312" s="20" t="str">
        <f>IF(N3312="","",COUNTIFS(RawData[[Date ]],N3312,RawData[Month List],$Q$6,RawData[Tour/Site],$Q$2,RawData[[Picker ID ]],$Q$3,RawData[Checker ID],$Q$4,RawData[[Error Type ]],$Q$5))</f>
        <v/>
      </c>
    </row>
    <row r="3313" spans="15:15" x14ac:dyDescent="0.25">
      <c r="O3313" s="20" t="str">
        <f>IF(N3313="","",COUNTIFS(RawData[[Date ]],N3313,RawData[Month List],$Q$6,RawData[Tour/Site],$Q$2,RawData[[Picker ID ]],$Q$3,RawData[Checker ID],$Q$4,RawData[[Error Type ]],$Q$5))</f>
        <v/>
      </c>
    </row>
    <row r="3314" spans="15:15" x14ac:dyDescent="0.25">
      <c r="O3314" s="20" t="str">
        <f>IF(N3314="","",COUNTIFS(RawData[[Date ]],N3314,RawData[Month List],$Q$6,RawData[Tour/Site],$Q$2,RawData[[Picker ID ]],$Q$3,RawData[Checker ID],$Q$4,RawData[[Error Type ]],$Q$5))</f>
        <v/>
      </c>
    </row>
    <row r="3315" spans="15:15" x14ac:dyDescent="0.25">
      <c r="O3315" s="20" t="str">
        <f>IF(N3315="","",COUNTIFS(RawData[[Date ]],N3315,RawData[Month List],$Q$6,RawData[Tour/Site],$Q$2,RawData[[Picker ID ]],$Q$3,RawData[Checker ID],$Q$4,RawData[[Error Type ]],$Q$5))</f>
        <v/>
      </c>
    </row>
    <row r="3316" spans="15:15" x14ac:dyDescent="0.25">
      <c r="O3316" s="20" t="str">
        <f>IF(N3316="","",COUNTIFS(RawData[[Date ]],N3316,RawData[Month List],$Q$6,RawData[Tour/Site],$Q$2,RawData[[Picker ID ]],$Q$3,RawData[Checker ID],$Q$4,RawData[[Error Type ]],$Q$5))</f>
        <v/>
      </c>
    </row>
    <row r="3317" spans="15:15" x14ac:dyDescent="0.25">
      <c r="O3317" s="20" t="str">
        <f>IF(N3317="","",COUNTIFS(RawData[[Date ]],N3317,RawData[Month List],$Q$6,RawData[Tour/Site],$Q$2,RawData[[Picker ID ]],$Q$3,RawData[Checker ID],$Q$4,RawData[[Error Type ]],$Q$5))</f>
        <v/>
      </c>
    </row>
    <row r="3318" spans="15:15" x14ac:dyDescent="0.25">
      <c r="O3318" s="20" t="str">
        <f>IF(N3318="","",COUNTIFS(RawData[[Date ]],N3318,RawData[Month List],$Q$6,RawData[Tour/Site],$Q$2,RawData[[Picker ID ]],$Q$3,RawData[Checker ID],$Q$4,RawData[[Error Type ]],$Q$5))</f>
        <v/>
      </c>
    </row>
    <row r="3319" spans="15:15" x14ac:dyDescent="0.25">
      <c r="O3319" s="20" t="str">
        <f>IF(N3319="","",COUNTIFS(RawData[[Date ]],N3319,RawData[Month List],$Q$6,RawData[Tour/Site],$Q$2,RawData[[Picker ID ]],$Q$3,RawData[Checker ID],$Q$4,RawData[[Error Type ]],$Q$5))</f>
        <v/>
      </c>
    </row>
    <row r="3320" spans="15:15" x14ac:dyDescent="0.25">
      <c r="O3320" s="20" t="str">
        <f>IF(N3320="","",COUNTIFS(RawData[[Date ]],N3320,RawData[Month List],$Q$6,RawData[Tour/Site],$Q$2,RawData[[Picker ID ]],$Q$3,RawData[Checker ID],$Q$4,RawData[[Error Type ]],$Q$5))</f>
        <v/>
      </c>
    </row>
    <row r="3321" spans="15:15" x14ac:dyDescent="0.25">
      <c r="O3321" s="20" t="str">
        <f>IF(N3321="","",COUNTIFS(RawData[[Date ]],N3321,RawData[Month List],$Q$6,RawData[Tour/Site],$Q$2,RawData[[Picker ID ]],$Q$3,RawData[Checker ID],$Q$4,RawData[[Error Type ]],$Q$5))</f>
        <v/>
      </c>
    </row>
    <row r="3322" spans="15:15" x14ac:dyDescent="0.25">
      <c r="O3322" s="20" t="str">
        <f>IF(N3322="","",COUNTIFS(RawData[[Date ]],N3322,RawData[Month List],$Q$6,RawData[Tour/Site],$Q$2,RawData[[Picker ID ]],$Q$3,RawData[Checker ID],$Q$4,RawData[[Error Type ]],$Q$5))</f>
        <v/>
      </c>
    </row>
    <row r="3323" spans="15:15" x14ac:dyDescent="0.25">
      <c r="O3323" s="20" t="str">
        <f>IF(N3323="","",COUNTIFS(RawData[[Date ]],N3323,RawData[Month List],$Q$6,RawData[Tour/Site],$Q$2,RawData[[Picker ID ]],$Q$3,RawData[Checker ID],$Q$4,RawData[[Error Type ]],$Q$5))</f>
        <v/>
      </c>
    </row>
    <row r="3324" spans="15:15" x14ac:dyDescent="0.25">
      <c r="O3324" s="20" t="str">
        <f>IF(N3324="","",COUNTIFS(RawData[[Date ]],N3324,RawData[Month List],$Q$6,RawData[Tour/Site],$Q$2,RawData[[Picker ID ]],$Q$3,RawData[Checker ID],$Q$4,RawData[[Error Type ]],$Q$5))</f>
        <v/>
      </c>
    </row>
    <row r="3325" spans="15:15" x14ac:dyDescent="0.25">
      <c r="O3325" s="20" t="str">
        <f>IF(N3325="","",COUNTIFS(RawData[[Date ]],N3325,RawData[Month List],$Q$6,RawData[Tour/Site],$Q$2,RawData[[Picker ID ]],$Q$3,RawData[Checker ID],$Q$4,RawData[[Error Type ]],$Q$5))</f>
        <v/>
      </c>
    </row>
    <row r="3326" spans="15:15" x14ac:dyDescent="0.25">
      <c r="O3326" s="20" t="str">
        <f>IF(N3326="","",COUNTIFS(RawData[[Date ]],N3326,RawData[Month List],$Q$6,RawData[Tour/Site],$Q$2,RawData[[Picker ID ]],$Q$3,RawData[Checker ID],$Q$4,RawData[[Error Type ]],$Q$5))</f>
        <v/>
      </c>
    </row>
    <row r="3327" spans="15:15" x14ac:dyDescent="0.25">
      <c r="O3327" s="20" t="str">
        <f>IF(N3327="","",COUNTIFS(RawData[[Date ]],N3327,RawData[Month List],$Q$6,RawData[Tour/Site],$Q$2,RawData[[Picker ID ]],$Q$3,RawData[Checker ID],$Q$4,RawData[[Error Type ]],$Q$5))</f>
        <v/>
      </c>
    </row>
    <row r="3328" spans="15:15" x14ac:dyDescent="0.25">
      <c r="O3328" s="20" t="str">
        <f>IF(N3328="","",COUNTIFS(RawData[[Date ]],N3328,RawData[Month List],$Q$6,RawData[Tour/Site],$Q$2,RawData[[Picker ID ]],$Q$3,RawData[Checker ID],$Q$4,RawData[[Error Type ]],$Q$5))</f>
        <v/>
      </c>
    </row>
    <row r="3329" spans="15:15" x14ac:dyDescent="0.25">
      <c r="O3329" s="20" t="str">
        <f>IF(N3329="","",COUNTIFS(RawData[[Date ]],N3329,RawData[Month List],$Q$6,RawData[Tour/Site],$Q$2,RawData[[Picker ID ]],$Q$3,RawData[Checker ID],$Q$4,RawData[[Error Type ]],$Q$5))</f>
        <v/>
      </c>
    </row>
    <row r="3330" spans="15:15" x14ac:dyDescent="0.25">
      <c r="O3330" s="20" t="str">
        <f>IF(N3330="","",COUNTIFS(RawData[[Date ]],N3330,RawData[Month List],$Q$6,RawData[Tour/Site],$Q$2,RawData[[Picker ID ]],$Q$3,RawData[Checker ID],$Q$4,RawData[[Error Type ]],$Q$5))</f>
        <v/>
      </c>
    </row>
    <row r="3331" spans="15:15" x14ac:dyDescent="0.25">
      <c r="O3331" s="20" t="str">
        <f>IF(N3331="","",COUNTIFS(RawData[[Date ]],N3331,RawData[Month List],$Q$6,RawData[Tour/Site],$Q$2,RawData[[Picker ID ]],$Q$3,RawData[Checker ID],$Q$4,RawData[[Error Type ]],$Q$5))</f>
        <v/>
      </c>
    </row>
    <row r="3332" spans="15:15" x14ac:dyDescent="0.25">
      <c r="O3332" s="20" t="str">
        <f>IF(N3332="","",COUNTIFS(RawData[[Date ]],N3332,RawData[Month List],$Q$6,RawData[Tour/Site],$Q$2,RawData[[Picker ID ]],$Q$3,RawData[Checker ID],$Q$4,RawData[[Error Type ]],$Q$5))</f>
        <v/>
      </c>
    </row>
    <row r="3333" spans="15:15" x14ac:dyDescent="0.25">
      <c r="O3333" s="20" t="str">
        <f>IF(N3333="","",COUNTIFS(RawData[[Date ]],N3333,RawData[Month List],$Q$6,RawData[Tour/Site],$Q$2,RawData[[Picker ID ]],$Q$3,RawData[Checker ID],$Q$4,RawData[[Error Type ]],$Q$5))</f>
        <v/>
      </c>
    </row>
    <row r="3334" spans="15:15" x14ac:dyDescent="0.25">
      <c r="O3334" s="20" t="str">
        <f>IF(N3334="","",COUNTIFS(RawData[[Date ]],N3334,RawData[Month List],$Q$6,RawData[Tour/Site],$Q$2,RawData[[Picker ID ]],$Q$3,RawData[Checker ID],$Q$4,RawData[[Error Type ]],$Q$5))</f>
        <v/>
      </c>
    </row>
    <row r="3335" spans="15:15" x14ac:dyDescent="0.25">
      <c r="O3335" s="20" t="str">
        <f>IF(N3335="","",COUNTIFS(RawData[[Date ]],N3335,RawData[Month List],$Q$6,RawData[Tour/Site],$Q$2,RawData[[Picker ID ]],$Q$3,RawData[Checker ID],$Q$4,RawData[[Error Type ]],$Q$5))</f>
        <v/>
      </c>
    </row>
    <row r="3336" spans="15:15" x14ac:dyDescent="0.25">
      <c r="O3336" s="20" t="str">
        <f>IF(N3336="","",COUNTIFS(RawData[[Date ]],N3336,RawData[Month List],$Q$6,RawData[Tour/Site],$Q$2,RawData[[Picker ID ]],$Q$3,RawData[Checker ID],$Q$4,RawData[[Error Type ]],$Q$5))</f>
        <v/>
      </c>
    </row>
    <row r="3337" spans="15:15" x14ac:dyDescent="0.25">
      <c r="O3337" s="20" t="str">
        <f>IF(N3337="","",COUNTIFS(RawData[[Date ]],N3337,RawData[Month List],$Q$6,RawData[Tour/Site],$Q$2,RawData[[Picker ID ]],$Q$3,RawData[Checker ID],$Q$4,RawData[[Error Type ]],$Q$5))</f>
        <v/>
      </c>
    </row>
    <row r="3338" spans="15:15" x14ac:dyDescent="0.25">
      <c r="O3338" s="20" t="str">
        <f>IF(N3338="","",COUNTIFS(RawData[[Date ]],N3338,RawData[Month List],$Q$6,RawData[Tour/Site],$Q$2,RawData[[Picker ID ]],$Q$3,RawData[Checker ID],$Q$4,RawData[[Error Type ]],$Q$5))</f>
        <v/>
      </c>
    </row>
    <row r="3339" spans="15:15" x14ac:dyDescent="0.25">
      <c r="O3339" s="20" t="str">
        <f>IF(N3339="","",COUNTIFS(RawData[[Date ]],N3339,RawData[Month List],$Q$6,RawData[Tour/Site],$Q$2,RawData[[Picker ID ]],$Q$3,RawData[Checker ID],$Q$4,RawData[[Error Type ]],$Q$5))</f>
        <v/>
      </c>
    </row>
    <row r="3340" spans="15:15" x14ac:dyDescent="0.25">
      <c r="O3340" s="20" t="str">
        <f>IF(N3340="","",COUNTIFS(RawData[[Date ]],N3340,RawData[Month List],$Q$6,RawData[Tour/Site],$Q$2,RawData[[Picker ID ]],$Q$3,RawData[Checker ID],$Q$4,RawData[[Error Type ]],$Q$5))</f>
        <v/>
      </c>
    </row>
    <row r="3341" spans="15:15" x14ac:dyDescent="0.25">
      <c r="O3341" s="20" t="str">
        <f>IF(N3341="","",COUNTIFS(RawData[[Date ]],N3341,RawData[Month List],$Q$6,RawData[Tour/Site],$Q$2,RawData[[Picker ID ]],$Q$3,RawData[Checker ID],$Q$4,RawData[[Error Type ]],$Q$5))</f>
        <v/>
      </c>
    </row>
    <row r="3342" spans="15:15" x14ac:dyDescent="0.25">
      <c r="O3342" s="20" t="str">
        <f>IF(N3342="","",COUNTIFS(RawData[[Date ]],N3342,RawData[Month List],$Q$6,RawData[Tour/Site],$Q$2,RawData[[Picker ID ]],$Q$3,RawData[Checker ID],$Q$4,RawData[[Error Type ]],$Q$5))</f>
        <v/>
      </c>
    </row>
    <row r="3343" spans="15:15" x14ac:dyDescent="0.25">
      <c r="O3343" s="20" t="str">
        <f>IF(N3343="","",COUNTIFS(RawData[[Date ]],N3343,RawData[Month List],$Q$6,RawData[Tour/Site],$Q$2,RawData[[Picker ID ]],$Q$3,RawData[Checker ID],$Q$4,RawData[[Error Type ]],$Q$5))</f>
        <v/>
      </c>
    </row>
    <row r="3344" spans="15:15" x14ac:dyDescent="0.25">
      <c r="O3344" s="20" t="str">
        <f>IF(N3344="","",COUNTIFS(RawData[[Date ]],N3344,RawData[Month List],$Q$6,RawData[Tour/Site],$Q$2,RawData[[Picker ID ]],$Q$3,RawData[Checker ID],$Q$4,RawData[[Error Type ]],$Q$5))</f>
        <v/>
      </c>
    </row>
    <row r="3345" spans="15:15" x14ac:dyDescent="0.25">
      <c r="O3345" s="20" t="str">
        <f>IF(N3345="","",COUNTIFS(RawData[[Date ]],N3345,RawData[Month List],$Q$6,RawData[Tour/Site],$Q$2,RawData[[Picker ID ]],$Q$3,RawData[Checker ID],$Q$4,RawData[[Error Type ]],$Q$5))</f>
        <v/>
      </c>
    </row>
    <row r="3346" spans="15:15" x14ac:dyDescent="0.25">
      <c r="O3346" s="20" t="str">
        <f>IF(N3346="","",COUNTIFS(RawData[[Date ]],N3346,RawData[Month List],$Q$6,RawData[Tour/Site],$Q$2,RawData[[Picker ID ]],$Q$3,RawData[Checker ID],$Q$4,RawData[[Error Type ]],$Q$5))</f>
        <v/>
      </c>
    </row>
    <row r="3347" spans="15:15" x14ac:dyDescent="0.25">
      <c r="O3347" s="20" t="str">
        <f>IF(N3347="","",COUNTIFS(RawData[[Date ]],N3347,RawData[Month List],$Q$6,RawData[Tour/Site],$Q$2,RawData[[Picker ID ]],$Q$3,RawData[Checker ID],$Q$4,RawData[[Error Type ]],$Q$5))</f>
        <v/>
      </c>
    </row>
    <row r="3348" spans="15:15" x14ac:dyDescent="0.25">
      <c r="O3348" s="20" t="str">
        <f>IF(N3348="","",COUNTIFS(RawData[[Date ]],N3348,RawData[Month List],$Q$6,RawData[Tour/Site],$Q$2,RawData[[Picker ID ]],$Q$3,RawData[Checker ID],$Q$4,RawData[[Error Type ]],$Q$5))</f>
        <v/>
      </c>
    </row>
    <row r="3349" spans="15:15" x14ac:dyDescent="0.25">
      <c r="O3349" s="20" t="str">
        <f>IF(N3349="","",COUNTIFS(RawData[[Date ]],N3349,RawData[Month List],$Q$6,RawData[Tour/Site],$Q$2,RawData[[Picker ID ]],$Q$3,RawData[Checker ID],$Q$4,RawData[[Error Type ]],$Q$5))</f>
        <v/>
      </c>
    </row>
    <row r="3350" spans="15:15" x14ac:dyDescent="0.25">
      <c r="O3350" s="20" t="str">
        <f>IF(N3350="","",COUNTIFS(RawData[[Date ]],N3350,RawData[Month List],$Q$6,RawData[Tour/Site],$Q$2,RawData[[Picker ID ]],$Q$3,RawData[Checker ID],$Q$4,RawData[[Error Type ]],$Q$5))</f>
        <v/>
      </c>
    </row>
    <row r="3351" spans="15:15" x14ac:dyDescent="0.25">
      <c r="O3351" s="20" t="str">
        <f>IF(N3351="","",COUNTIFS(RawData[[Date ]],N3351,RawData[Month List],$Q$6,RawData[Tour/Site],$Q$2,RawData[[Picker ID ]],$Q$3,RawData[Checker ID],$Q$4,RawData[[Error Type ]],$Q$5))</f>
        <v/>
      </c>
    </row>
    <row r="3352" spans="15:15" x14ac:dyDescent="0.25">
      <c r="O3352" s="20" t="str">
        <f>IF(N3352="","",COUNTIFS(RawData[[Date ]],N3352,RawData[Month List],$Q$6,RawData[Tour/Site],$Q$2,RawData[[Picker ID ]],$Q$3,RawData[Checker ID],$Q$4,RawData[[Error Type ]],$Q$5))</f>
        <v/>
      </c>
    </row>
    <row r="3353" spans="15:15" x14ac:dyDescent="0.25">
      <c r="O3353" s="20" t="str">
        <f>IF(N3353="","",COUNTIFS(RawData[[Date ]],N3353,RawData[Month List],$Q$6,RawData[Tour/Site],$Q$2,RawData[[Picker ID ]],$Q$3,RawData[Checker ID],$Q$4,RawData[[Error Type ]],$Q$5))</f>
        <v/>
      </c>
    </row>
    <row r="3354" spans="15:15" x14ac:dyDescent="0.25">
      <c r="O3354" s="20" t="str">
        <f>IF(N3354="","",COUNTIFS(RawData[[Date ]],N3354,RawData[Month List],$Q$6,RawData[Tour/Site],$Q$2,RawData[[Picker ID ]],$Q$3,RawData[Checker ID],$Q$4,RawData[[Error Type ]],$Q$5))</f>
        <v/>
      </c>
    </row>
    <row r="3355" spans="15:15" x14ac:dyDescent="0.25">
      <c r="O3355" s="20" t="str">
        <f>IF(N3355="","",COUNTIFS(RawData[[Date ]],N3355,RawData[Month List],$Q$6,RawData[Tour/Site],$Q$2,RawData[[Picker ID ]],$Q$3,RawData[Checker ID],$Q$4,RawData[[Error Type ]],$Q$5))</f>
        <v/>
      </c>
    </row>
    <row r="3356" spans="15:15" x14ac:dyDescent="0.25">
      <c r="O3356" s="20" t="str">
        <f>IF(N3356="","",COUNTIFS(RawData[[Date ]],N3356,RawData[Month List],$Q$6,RawData[Tour/Site],$Q$2,RawData[[Picker ID ]],$Q$3,RawData[Checker ID],$Q$4,RawData[[Error Type ]],$Q$5))</f>
        <v/>
      </c>
    </row>
    <row r="3357" spans="15:15" x14ac:dyDescent="0.25">
      <c r="O3357" s="20" t="str">
        <f>IF(N3357="","",COUNTIFS(RawData[[Date ]],N3357,RawData[Month List],$Q$6,RawData[Tour/Site],$Q$2,RawData[[Picker ID ]],$Q$3,RawData[Checker ID],$Q$4,RawData[[Error Type ]],$Q$5))</f>
        <v/>
      </c>
    </row>
    <row r="3358" spans="15:15" x14ac:dyDescent="0.25">
      <c r="O3358" s="20" t="str">
        <f>IF(N3358="","",COUNTIFS(RawData[[Date ]],N3358,RawData[Month List],$Q$6,RawData[Tour/Site],$Q$2,RawData[[Picker ID ]],$Q$3,RawData[Checker ID],$Q$4,RawData[[Error Type ]],$Q$5))</f>
        <v/>
      </c>
    </row>
    <row r="3359" spans="15:15" x14ac:dyDescent="0.25">
      <c r="O3359" s="20" t="str">
        <f>IF(N3359="","",COUNTIFS(RawData[[Date ]],N3359,RawData[Month List],$Q$6,RawData[Tour/Site],$Q$2,RawData[[Picker ID ]],$Q$3,RawData[Checker ID],$Q$4,RawData[[Error Type ]],$Q$5))</f>
        <v/>
      </c>
    </row>
    <row r="3360" spans="15:15" x14ac:dyDescent="0.25">
      <c r="O3360" s="20" t="str">
        <f>IF(N3360="","",COUNTIFS(RawData[[Date ]],N3360,RawData[Month List],$Q$6,RawData[Tour/Site],$Q$2,RawData[[Picker ID ]],$Q$3,RawData[Checker ID],$Q$4,RawData[[Error Type ]],$Q$5))</f>
        <v/>
      </c>
    </row>
    <row r="3361" spans="15:15" x14ac:dyDescent="0.25">
      <c r="O3361" s="20" t="str">
        <f>IF(N3361="","",COUNTIFS(RawData[[Date ]],N3361,RawData[Month List],$Q$6,RawData[Tour/Site],$Q$2,RawData[[Picker ID ]],$Q$3,RawData[Checker ID],$Q$4,RawData[[Error Type ]],$Q$5))</f>
        <v/>
      </c>
    </row>
    <row r="3362" spans="15:15" x14ac:dyDescent="0.25">
      <c r="O3362" s="20" t="str">
        <f>IF(N3362="","",COUNTIFS(RawData[[Date ]],N3362,RawData[Month List],$Q$6,RawData[Tour/Site],$Q$2,RawData[[Picker ID ]],$Q$3,RawData[Checker ID],$Q$4,RawData[[Error Type ]],$Q$5))</f>
        <v/>
      </c>
    </row>
    <row r="3363" spans="15:15" x14ac:dyDescent="0.25">
      <c r="O3363" s="20" t="str">
        <f>IF(N3363="","",COUNTIFS(RawData[[Date ]],N3363,RawData[Month List],$Q$6,RawData[Tour/Site],$Q$2,RawData[[Picker ID ]],$Q$3,RawData[Checker ID],$Q$4,RawData[[Error Type ]],$Q$5))</f>
        <v/>
      </c>
    </row>
    <row r="3364" spans="15:15" x14ac:dyDescent="0.25">
      <c r="O3364" s="20" t="str">
        <f>IF(N3364="","",COUNTIFS(RawData[[Date ]],N3364,RawData[Month List],$Q$6,RawData[Tour/Site],$Q$2,RawData[[Picker ID ]],$Q$3,RawData[Checker ID],$Q$4,RawData[[Error Type ]],$Q$5))</f>
        <v/>
      </c>
    </row>
    <row r="3365" spans="15:15" x14ac:dyDescent="0.25">
      <c r="O3365" s="20" t="str">
        <f>IF(N3365="","",COUNTIFS(RawData[[Date ]],N3365,RawData[Month List],$Q$6,RawData[Tour/Site],$Q$2,RawData[[Picker ID ]],$Q$3,RawData[Checker ID],$Q$4,RawData[[Error Type ]],$Q$5))</f>
        <v/>
      </c>
    </row>
    <row r="3366" spans="15:15" x14ac:dyDescent="0.25">
      <c r="O3366" s="20" t="str">
        <f>IF(N3366="","",COUNTIFS(RawData[[Date ]],N3366,RawData[Month List],$Q$6,RawData[Tour/Site],$Q$2,RawData[[Picker ID ]],$Q$3,RawData[Checker ID],$Q$4,RawData[[Error Type ]],$Q$5))</f>
        <v/>
      </c>
    </row>
    <row r="3367" spans="15:15" x14ac:dyDescent="0.25">
      <c r="O3367" s="20" t="str">
        <f>IF(N3367="","",COUNTIFS(RawData[[Date ]],N3367,RawData[Month List],$Q$6,RawData[Tour/Site],$Q$2,RawData[[Picker ID ]],$Q$3,RawData[Checker ID],$Q$4,RawData[[Error Type ]],$Q$5))</f>
        <v/>
      </c>
    </row>
    <row r="3368" spans="15:15" x14ac:dyDescent="0.25">
      <c r="O3368" s="20" t="str">
        <f>IF(N3368="","",COUNTIFS(RawData[[Date ]],N3368,RawData[Month List],$Q$6,RawData[Tour/Site],$Q$2,RawData[[Picker ID ]],$Q$3,RawData[Checker ID],$Q$4,RawData[[Error Type ]],$Q$5))</f>
        <v/>
      </c>
    </row>
    <row r="3369" spans="15:15" x14ac:dyDescent="0.25">
      <c r="O3369" s="20" t="str">
        <f>IF(N3369="","",COUNTIFS(RawData[[Date ]],N3369,RawData[Month List],$Q$6,RawData[Tour/Site],$Q$2,RawData[[Picker ID ]],$Q$3,RawData[Checker ID],$Q$4,RawData[[Error Type ]],$Q$5))</f>
        <v/>
      </c>
    </row>
    <row r="3370" spans="15:15" x14ac:dyDescent="0.25">
      <c r="O3370" s="20" t="str">
        <f>IF(N3370="","",COUNTIFS(RawData[[Date ]],N3370,RawData[Month List],$Q$6,RawData[Tour/Site],$Q$2,RawData[[Picker ID ]],$Q$3,RawData[Checker ID],$Q$4,RawData[[Error Type ]],$Q$5))</f>
        <v/>
      </c>
    </row>
    <row r="3371" spans="15:15" x14ac:dyDescent="0.25">
      <c r="O3371" s="20" t="str">
        <f>IF(N3371="","",COUNTIFS(RawData[[Date ]],N3371,RawData[Month List],$Q$6,RawData[Tour/Site],$Q$2,RawData[[Picker ID ]],$Q$3,RawData[Checker ID],$Q$4,RawData[[Error Type ]],$Q$5))</f>
        <v/>
      </c>
    </row>
    <row r="3372" spans="15:15" x14ac:dyDescent="0.25">
      <c r="O3372" s="20" t="str">
        <f>IF(N3372="","",COUNTIFS(RawData[[Date ]],N3372,RawData[Month List],$Q$6,RawData[Tour/Site],$Q$2,RawData[[Picker ID ]],$Q$3,RawData[Checker ID],$Q$4,RawData[[Error Type ]],$Q$5))</f>
        <v/>
      </c>
    </row>
    <row r="3373" spans="15:15" x14ac:dyDescent="0.25">
      <c r="O3373" s="20" t="str">
        <f>IF(N3373="","",COUNTIFS(RawData[[Date ]],N3373,RawData[Month List],$Q$6,RawData[Tour/Site],$Q$2,RawData[[Picker ID ]],$Q$3,RawData[Checker ID],$Q$4,RawData[[Error Type ]],$Q$5))</f>
        <v/>
      </c>
    </row>
    <row r="3374" spans="15:15" x14ac:dyDescent="0.25">
      <c r="O3374" s="20" t="str">
        <f>IF(N3374="","",COUNTIFS(RawData[[Date ]],N3374,RawData[Month List],$Q$6,RawData[Tour/Site],$Q$2,RawData[[Picker ID ]],$Q$3,RawData[Checker ID],$Q$4,RawData[[Error Type ]],$Q$5))</f>
        <v/>
      </c>
    </row>
    <row r="3375" spans="15:15" x14ac:dyDescent="0.25">
      <c r="O3375" s="20" t="str">
        <f>IF(N3375="","",COUNTIFS(RawData[[Date ]],N3375,RawData[Month List],$Q$6,RawData[Tour/Site],$Q$2,RawData[[Picker ID ]],$Q$3,RawData[Checker ID],$Q$4,RawData[[Error Type ]],$Q$5))</f>
        <v/>
      </c>
    </row>
    <row r="3376" spans="15:15" x14ac:dyDescent="0.25">
      <c r="O3376" s="20" t="str">
        <f>IF(N3376="","",COUNTIFS(RawData[[Date ]],N3376,RawData[Month List],$Q$6,RawData[Tour/Site],$Q$2,RawData[[Picker ID ]],$Q$3,RawData[Checker ID],$Q$4,RawData[[Error Type ]],$Q$5))</f>
        <v/>
      </c>
    </row>
    <row r="3377" spans="15:15" x14ac:dyDescent="0.25">
      <c r="O3377" s="20" t="str">
        <f>IF(N3377="","",COUNTIFS(RawData[[Date ]],N3377,RawData[Month List],$Q$6,RawData[Tour/Site],$Q$2,RawData[[Picker ID ]],$Q$3,RawData[Checker ID],$Q$4,RawData[[Error Type ]],$Q$5))</f>
        <v/>
      </c>
    </row>
    <row r="3378" spans="15:15" x14ac:dyDescent="0.25">
      <c r="O3378" s="20" t="str">
        <f>IF(N3378="","",COUNTIFS(RawData[[Date ]],N3378,RawData[Month List],$Q$6,RawData[Tour/Site],$Q$2,RawData[[Picker ID ]],$Q$3,RawData[Checker ID],$Q$4,RawData[[Error Type ]],$Q$5))</f>
        <v/>
      </c>
    </row>
    <row r="3379" spans="15:15" x14ac:dyDescent="0.25">
      <c r="O3379" s="20" t="str">
        <f>IF(N3379="","",COUNTIFS(RawData[[Date ]],N3379,RawData[Month List],$Q$6,RawData[Tour/Site],$Q$2,RawData[[Picker ID ]],$Q$3,RawData[Checker ID],$Q$4,RawData[[Error Type ]],$Q$5))</f>
        <v/>
      </c>
    </row>
    <row r="3380" spans="15:15" x14ac:dyDescent="0.25">
      <c r="O3380" s="20" t="str">
        <f>IF(N3380="","",COUNTIFS(RawData[[Date ]],N3380,RawData[Month List],$Q$6,RawData[Tour/Site],$Q$2,RawData[[Picker ID ]],$Q$3,RawData[Checker ID],$Q$4,RawData[[Error Type ]],$Q$5))</f>
        <v/>
      </c>
    </row>
    <row r="3381" spans="15:15" x14ac:dyDescent="0.25">
      <c r="O3381" s="20" t="str">
        <f>IF(N3381="","",COUNTIFS(RawData[[Date ]],N3381,RawData[Month List],$Q$6,RawData[Tour/Site],$Q$2,RawData[[Picker ID ]],$Q$3,RawData[Checker ID],$Q$4,RawData[[Error Type ]],$Q$5))</f>
        <v/>
      </c>
    </row>
    <row r="3382" spans="15:15" x14ac:dyDescent="0.25">
      <c r="O3382" s="20" t="str">
        <f>IF(N3382="","",COUNTIFS(RawData[[Date ]],N3382,RawData[Month List],$Q$6,RawData[Tour/Site],$Q$2,RawData[[Picker ID ]],$Q$3,RawData[Checker ID],$Q$4,RawData[[Error Type ]],$Q$5))</f>
        <v/>
      </c>
    </row>
    <row r="3383" spans="15:15" x14ac:dyDescent="0.25">
      <c r="O3383" s="20" t="str">
        <f>IF(N3383="","",COUNTIFS(RawData[[Date ]],N3383,RawData[Month List],$Q$6,RawData[Tour/Site],$Q$2,RawData[[Picker ID ]],$Q$3,RawData[Checker ID],$Q$4,RawData[[Error Type ]],$Q$5))</f>
        <v/>
      </c>
    </row>
    <row r="3384" spans="15:15" x14ac:dyDescent="0.25">
      <c r="O3384" s="20" t="str">
        <f>IF(N3384="","",COUNTIFS(RawData[[Date ]],N3384,RawData[Month List],$Q$6,RawData[Tour/Site],$Q$2,RawData[[Picker ID ]],$Q$3,RawData[Checker ID],$Q$4,RawData[[Error Type ]],$Q$5))</f>
        <v/>
      </c>
    </row>
    <row r="3385" spans="15:15" x14ac:dyDescent="0.25">
      <c r="O3385" s="20" t="str">
        <f>IF(N3385="","",COUNTIFS(RawData[[Date ]],N3385,RawData[Month List],$Q$6,RawData[Tour/Site],$Q$2,RawData[[Picker ID ]],$Q$3,RawData[Checker ID],$Q$4,RawData[[Error Type ]],$Q$5))</f>
        <v/>
      </c>
    </row>
    <row r="3386" spans="15:15" x14ac:dyDescent="0.25">
      <c r="O3386" s="20" t="str">
        <f>IF(N3386="","",COUNTIFS(RawData[[Date ]],N3386,RawData[Month List],$Q$6,RawData[Tour/Site],$Q$2,RawData[[Picker ID ]],$Q$3,RawData[Checker ID],$Q$4,RawData[[Error Type ]],$Q$5))</f>
        <v/>
      </c>
    </row>
    <row r="3387" spans="15:15" x14ac:dyDescent="0.25">
      <c r="O3387" s="20" t="str">
        <f>IF(N3387="","",COUNTIFS(RawData[[Date ]],N3387,RawData[Month List],$Q$6,RawData[Tour/Site],$Q$2,RawData[[Picker ID ]],$Q$3,RawData[Checker ID],$Q$4,RawData[[Error Type ]],$Q$5))</f>
        <v/>
      </c>
    </row>
    <row r="3388" spans="15:15" x14ac:dyDescent="0.25">
      <c r="O3388" s="20" t="str">
        <f>IF(N3388="","",COUNTIFS(RawData[[Date ]],N3388,RawData[Month List],$Q$6,RawData[Tour/Site],$Q$2,RawData[[Picker ID ]],$Q$3,RawData[Checker ID],$Q$4,RawData[[Error Type ]],$Q$5))</f>
        <v/>
      </c>
    </row>
    <row r="3389" spans="15:15" x14ac:dyDescent="0.25">
      <c r="O3389" s="20" t="str">
        <f>IF(N3389="","",COUNTIFS(RawData[[Date ]],N3389,RawData[Month List],$Q$6,RawData[Tour/Site],$Q$2,RawData[[Picker ID ]],$Q$3,RawData[Checker ID],$Q$4,RawData[[Error Type ]],$Q$5))</f>
        <v/>
      </c>
    </row>
    <row r="3390" spans="15:15" x14ac:dyDescent="0.25">
      <c r="O3390" s="20" t="str">
        <f>IF(N3390="","",COUNTIFS(RawData[[Date ]],N3390,RawData[Month List],$Q$6,RawData[Tour/Site],$Q$2,RawData[[Picker ID ]],$Q$3,RawData[Checker ID],$Q$4,RawData[[Error Type ]],$Q$5))</f>
        <v/>
      </c>
    </row>
    <row r="3391" spans="15:15" x14ac:dyDescent="0.25">
      <c r="O3391" s="20" t="str">
        <f>IF(N3391="","",COUNTIFS(RawData[[Date ]],N3391,RawData[Month List],$Q$6,RawData[Tour/Site],$Q$2,RawData[[Picker ID ]],$Q$3,RawData[Checker ID],$Q$4,RawData[[Error Type ]],$Q$5))</f>
        <v/>
      </c>
    </row>
    <row r="3392" spans="15:15" x14ac:dyDescent="0.25">
      <c r="O3392" s="20" t="str">
        <f>IF(N3392="","",COUNTIFS(RawData[[Date ]],N3392,RawData[Month List],$Q$6,RawData[Tour/Site],$Q$2,RawData[[Picker ID ]],$Q$3,RawData[Checker ID],$Q$4,RawData[[Error Type ]],$Q$5))</f>
        <v/>
      </c>
    </row>
    <row r="3393" spans="15:15" x14ac:dyDescent="0.25">
      <c r="O3393" s="20" t="str">
        <f>IF(N3393="","",COUNTIFS(RawData[[Date ]],N3393,RawData[Month List],$Q$6,RawData[Tour/Site],$Q$2,RawData[[Picker ID ]],$Q$3,RawData[Checker ID],$Q$4,RawData[[Error Type ]],$Q$5))</f>
        <v/>
      </c>
    </row>
    <row r="3394" spans="15:15" x14ac:dyDescent="0.25">
      <c r="O3394" s="20" t="str">
        <f>IF(N3394="","",COUNTIFS(RawData[[Date ]],N3394,RawData[Month List],$Q$6,RawData[Tour/Site],$Q$2,RawData[[Picker ID ]],$Q$3,RawData[Checker ID],$Q$4,RawData[[Error Type ]],$Q$5))</f>
        <v/>
      </c>
    </row>
    <row r="3395" spans="15:15" x14ac:dyDescent="0.25">
      <c r="O3395" s="20" t="str">
        <f>IF(N3395="","",COUNTIFS(RawData[[Date ]],N3395,RawData[Month List],$Q$6,RawData[Tour/Site],$Q$2,RawData[[Picker ID ]],$Q$3,RawData[Checker ID],$Q$4,RawData[[Error Type ]],$Q$5))</f>
        <v/>
      </c>
    </row>
    <row r="3396" spans="15:15" x14ac:dyDescent="0.25">
      <c r="O3396" s="20" t="str">
        <f>IF(N3396="","",COUNTIFS(RawData[[Date ]],N3396,RawData[Month List],$Q$6,RawData[Tour/Site],$Q$2,RawData[[Picker ID ]],$Q$3,RawData[Checker ID],$Q$4,RawData[[Error Type ]],$Q$5))</f>
        <v/>
      </c>
    </row>
    <row r="3397" spans="15:15" x14ac:dyDescent="0.25">
      <c r="O3397" s="20" t="str">
        <f>IF(N3397="","",COUNTIFS(RawData[[Date ]],N3397,RawData[Month List],$Q$6,RawData[Tour/Site],$Q$2,RawData[[Picker ID ]],$Q$3,RawData[Checker ID],$Q$4,RawData[[Error Type ]],$Q$5))</f>
        <v/>
      </c>
    </row>
    <row r="3398" spans="15:15" x14ac:dyDescent="0.25">
      <c r="O3398" s="20" t="str">
        <f>IF(N3398="","",COUNTIFS(RawData[[Date ]],N3398,RawData[Month List],$Q$6,RawData[Tour/Site],$Q$2,RawData[[Picker ID ]],$Q$3,RawData[Checker ID],$Q$4,RawData[[Error Type ]],$Q$5))</f>
        <v/>
      </c>
    </row>
    <row r="3399" spans="15:15" x14ac:dyDescent="0.25">
      <c r="O3399" s="20" t="str">
        <f>IF(N3399="","",COUNTIFS(RawData[[Date ]],N3399,RawData[Month List],$Q$6,RawData[Tour/Site],$Q$2,RawData[[Picker ID ]],$Q$3,RawData[Checker ID],$Q$4,RawData[[Error Type ]],$Q$5))</f>
        <v/>
      </c>
    </row>
    <row r="3400" spans="15:15" x14ac:dyDescent="0.25">
      <c r="O3400" s="20" t="str">
        <f>IF(N3400="","",COUNTIFS(RawData[[Date ]],N3400,RawData[Month List],$Q$6,RawData[Tour/Site],$Q$2,RawData[[Picker ID ]],$Q$3,RawData[Checker ID],$Q$4,RawData[[Error Type ]],$Q$5))</f>
        <v/>
      </c>
    </row>
    <row r="3401" spans="15:15" x14ac:dyDescent="0.25">
      <c r="O3401" s="20" t="str">
        <f>IF(N3401="","",COUNTIFS(RawData[[Date ]],N3401,RawData[Month List],$Q$6,RawData[Tour/Site],$Q$2,RawData[[Picker ID ]],$Q$3,RawData[Checker ID],$Q$4,RawData[[Error Type ]],$Q$5))</f>
        <v/>
      </c>
    </row>
    <row r="3402" spans="15:15" x14ac:dyDescent="0.25">
      <c r="O3402" s="20" t="str">
        <f>IF(N3402="","",COUNTIFS(RawData[[Date ]],N3402,RawData[Month List],$Q$6,RawData[Tour/Site],$Q$2,RawData[[Picker ID ]],$Q$3,RawData[Checker ID],$Q$4,RawData[[Error Type ]],$Q$5))</f>
        <v/>
      </c>
    </row>
    <row r="3403" spans="15:15" x14ac:dyDescent="0.25">
      <c r="O3403" s="20" t="str">
        <f>IF(N3403="","",COUNTIFS(RawData[[Date ]],N3403,RawData[Month List],$Q$6,RawData[Tour/Site],$Q$2,RawData[[Picker ID ]],$Q$3,RawData[Checker ID],$Q$4,RawData[[Error Type ]],$Q$5))</f>
        <v/>
      </c>
    </row>
    <row r="3404" spans="15:15" x14ac:dyDescent="0.25">
      <c r="O3404" s="20" t="str">
        <f>IF(N3404="","",COUNTIFS(RawData[[Date ]],N3404,RawData[Month List],$Q$6,RawData[Tour/Site],$Q$2,RawData[[Picker ID ]],$Q$3,RawData[Checker ID],$Q$4,RawData[[Error Type ]],$Q$5))</f>
        <v/>
      </c>
    </row>
    <row r="3405" spans="15:15" x14ac:dyDescent="0.25">
      <c r="O3405" s="20" t="str">
        <f>IF(N3405="","",COUNTIFS(RawData[[Date ]],N3405,RawData[Month List],$Q$6,RawData[Tour/Site],$Q$2,RawData[[Picker ID ]],$Q$3,RawData[Checker ID],$Q$4,RawData[[Error Type ]],$Q$5))</f>
        <v/>
      </c>
    </row>
    <row r="3406" spans="15:15" x14ac:dyDescent="0.25">
      <c r="O3406" s="20" t="str">
        <f>IF(N3406="","",COUNTIFS(RawData[[Date ]],N3406,RawData[Month List],$Q$6,RawData[Tour/Site],$Q$2,RawData[[Picker ID ]],$Q$3,RawData[Checker ID],$Q$4,RawData[[Error Type ]],$Q$5))</f>
        <v/>
      </c>
    </row>
    <row r="3407" spans="15:15" x14ac:dyDescent="0.25">
      <c r="O3407" s="20" t="str">
        <f>IF(N3407="","",COUNTIFS(RawData[[Date ]],N3407,RawData[Month List],$Q$6,RawData[Tour/Site],$Q$2,RawData[[Picker ID ]],$Q$3,RawData[Checker ID],$Q$4,RawData[[Error Type ]],$Q$5))</f>
        <v/>
      </c>
    </row>
    <row r="3408" spans="15:15" x14ac:dyDescent="0.25">
      <c r="O3408" s="20" t="str">
        <f>IF(N3408="","",COUNTIFS(RawData[[Date ]],N3408,RawData[Month List],$Q$6,RawData[Tour/Site],$Q$2,RawData[[Picker ID ]],$Q$3,RawData[Checker ID],$Q$4,RawData[[Error Type ]],$Q$5))</f>
        <v/>
      </c>
    </row>
    <row r="3409" spans="15:15" x14ac:dyDescent="0.25">
      <c r="O3409" s="20" t="str">
        <f>IF(N3409="","",COUNTIFS(RawData[[Date ]],N3409,RawData[Month List],$Q$6,RawData[Tour/Site],$Q$2,RawData[[Picker ID ]],$Q$3,RawData[Checker ID],$Q$4,RawData[[Error Type ]],$Q$5))</f>
        <v/>
      </c>
    </row>
    <row r="3410" spans="15:15" x14ac:dyDescent="0.25">
      <c r="O3410" s="20" t="str">
        <f>IF(N3410="","",COUNTIFS(RawData[[Date ]],N3410,RawData[Month List],$Q$6,RawData[Tour/Site],$Q$2,RawData[[Picker ID ]],$Q$3,RawData[Checker ID],$Q$4,RawData[[Error Type ]],$Q$5))</f>
        <v/>
      </c>
    </row>
    <row r="3411" spans="15:15" x14ac:dyDescent="0.25">
      <c r="O3411" s="20" t="str">
        <f>IF(N3411="","",COUNTIFS(RawData[[Date ]],N3411,RawData[Month List],$Q$6,RawData[Tour/Site],$Q$2,RawData[[Picker ID ]],$Q$3,RawData[Checker ID],$Q$4,RawData[[Error Type ]],$Q$5))</f>
        <v/>
      </c>
    </row>
    <row r="3412" spans="15:15" x14ac:dyDescent="0.25">
      <c r="O3412" s="20" t="str">
        <f>IF(N3412="","",COUNTIFS(RawData[[Date ]],N3412,RawData[Month List],$Q$6,RawData[Tour/Site],$Q$2,RawData[[Picker ID ]],$Q$3,RawData[Checker ID],$Q$4,RawData[[Error Type ]],$Q$5))</f>
        <v/>
      </c>
    </row>
    <row r="3413" spans="15:15" x14ac:dyDescent="0.25">
      <c r="O3413" s="20" t="str">
        <f>IF(N3413="","",COUNTIFS(RawData[[Date ]],N3413,RawData[Month List],$Q$6,RawData[Tour/Site],$Q$2,RawData[[Picker ID ]],$Q$3,RawData[Checker ID],$Q$4,RawData[[Error Type ]],$Q$5))</f>
        <v/>
      </c>
    </row>
    <row r="3414" spans="15:15" x14ac:dyDescent="0.25">
      <c r="O3414" s="20" t="str">
        <f>IF(N3414="","",COUNTIFS(RawData[[Date ]],N3414,RawData[Month List],$Q$6,RawData[Tour/Site],$Q$2,RawData[[Picker ID ]],$Q$3,RawData[Checker ID],$Q$4,RawData[[Error Type ]],$Q$5))</f>
        <v/>
      </c>
    </row>
    <row r="3415" spans="15:15" x14ac:dyDescent="0.25">
      <c r="O3415" s="20" t="str">
        <f>IF(N3415="","",COUNTIFS(RawData[[Date ]],N3415,RawData[Month List],$Q$6,RawData[Tour/Site],$Q$2,RawData[[Picker ID ]],$Q$3,RawData[Checker ID],$Q$4,RawData[[Error Type ]],$Q$5))</f>
        <v/>
      </c>
    </row>
    <row r="3416" spans="15:15" x14ac:dyDescent="0.25">
      <c r="O3416" s="20" t="str">
        <f>IF(N3416="","",COUNTIFS(RawData[[Date ]],N3416,RawData[Month List],$Q$6,RawData[Tour/Site],$Q$2,RawData[[Picker ID ]],$Q$3,RawData[Checker ID],$Q$4,RawData[[Error Type ]],$Q$5))</f>
        <v/>
      </c>
    </row>
    <row r="3417" spans="15:15" x14ac:dyDescent="0.25">
      <c r="O3417" s="20" t="str">
        <f>IF(N3417="","",COUNTIFS(RawData[[Date ]],N3417,RawData[Month List],$Q$6,RawData[Tour/Site],$Q$2,RawData[[Picker ID ]],$Q$3,RawData[Checker ID],$Q$4,RawData[[Error Type ]],$Q$5))</f>
        <v/>
      </c>
    </row>
    <row r="3418" spans="15:15" x14ac:dyDescent="0.25">
      <c r="O3418" s="20" t="str">
        <f>IF(N3418="","",COUNTIFS(RawData[[Date ]],N3418,RawData[Month List],$Q$6,RawData[Tour/Site],$Q$2,RawData[[Picker ID ]],$Q$3,RawData[Checker ID],$Q$4,RawData[[Error Type ]],$Q$5))</f>
        <v/>
      </c>
    </row>
    <row r="3419" spans="15:15" x14ac:dyDescent="0.25">
      <c r="O3419" s="20" t="str">
        <f>IF(N3419="","",COUNTIFS(RawData[[Date ]],N3419,RawData[Month List],$Q$6,RawData[Tour/Site],$Q$2,RawData[[Picker ID ]],$Q$3,RawData[Checker ID],$Q$4,RawData[[Error Type ]],$Q$5))</f>
        <v/>
      </c>
    </row>
    <row r="3420" spans="15:15" x14ac:dyDescent="0.25">
      <c r="O3420" s="20" t="str">
        <f>IF(N3420="","",COUNTIFS(RawData[[Date ]],N3420,RawData[Month List],$Q$6,RawData[Tour/Site],$Q$2,RawData[[Picker ID ]],$Q$3,RawData[Checker ID],$Q$4,RawData[[Error Type ]],$Q$5))</f>
        <v/>
      </c>
    </row>
    <row r="3421" spans="15:15" x14ac:dyDescent="0.25">
      <c r="O3421" s="20" t="str">
        <f>IF(N3421="","",COUNTIFS(RawData[[Date ]],N3421,RawData[Month List],$Q$6,RawData[Tour/Site],$Q$2,RawData[[Picker ID ]],$Q$3,RawData[Checker ID],$Q$4,RawData[[Error Type ]],$Q$5))</f>
        <v/>
      </c>
    </row>
    <row r="3422" spans="15:15" x14ac:dyDescent="0.25">
      <c r="O3422" s="20" t="str">
        <f>IF(N3422="","",COUNTIFS(RawData[[Date ]],N3422,RawData[Month List],$Q$6,RawData[Tour/Site],$Q$2,RawData[[Picker ID ]],$Q$3,RawData[Checker ID],$Q$4,RawData[[Error Type ]],$Q$5))</f>
        <v/>
      </c>
    </row>
    <row r="3423" spans="15:15" x14ac:dyDescent="0.25">
      <c r="O3423" s="20" t="str">
        <f>IF(N3423="","",COUNTIFS(RawData[[Date ]],N3423,RawData[Month List],$Q$6,RawData[Tour/Site],$Q$2,RawData[[Picker ID ]],$Q$3,RawData[Checker ID],$Q$4,RawData[[Error Type ]],$Q$5))</f>
        <v/>
      </c>
    </row>
    <row r="3424" spans="15:15" x14ac:dyDescent="0.25">
      <c r="O3424" s="20" t="str">
        <f>IF(N3424="","",COUNTIFS(RawData[[Date ]],N3424,RawData[Month List],$Q$6,RawData[Tour/Site],$Q$2,RawData[[Picker ID ]],$Q$3,RawData[Checker ID],$Q$4,RawData[[Error Type ]],$Q$5))</f>
        <v/>
      </c>
    </row>
    <row r="3425" spans="15:15" x14ac:dyDescent="0.25">
      <c r="O3425" s="20" t="str">
        <f>IF(N3425="","",COUNTIFS(RawData[[Date ]],N3425,RawData[Month List],$Q$6,RawData[Tour/Site],$Q$2,RawData[[Picker ID ]],$Q$3,RawData[Checker ID],$Q$4,RawData[[Error Type ]],$Q$5))</f>
        <v/>
      </c>
    </row>
    <row r="3426" spans="15:15" x14ac:dyDescent="0.25">
      <c r="O3426" s="20" t="str">
        <f>IF(N3426="","",COUNTIFS(RawData[[Date ]],N3426,RawData[Month List],$Q$6,RawData[Tour/Site],$Q$2,RawData[[Picker ID ]],$Q$3,RawData[Checker ID],$Q$4,RawData[[Error Type ]],$Q$5))</f>
        <v/>
      </c>
    </row>
    <row r="3427" spans="15:15" x14ac:dyDescent="0.25">
      <c r="O3427" s="20" t="str">
        <f>IF(N3427="","",COUNTIFS(RawData[[Date ]],N3427,RawData[Month List],$Q$6,RawData[Tour/Site],$Q$2,RawData[[Picker ID ]],$Q$3,RawData[Checker ID],$Q$4,RawData[[Error Type ]],$Q$5))</f>
        <v/>
      </c>
    </row>
    <row r="3428" spans="15:15" x14ac:dyDescent="0.25">
      <c r="O3428" s="20" t="str">
        <f>IF(N3428="","",COUNTIFS(RawData[[Date ]],N3428,RawData[Month List],$Q$6,RawData[Tour/Site],$Q$2,RawData[[Picker ID ]],$Q$3,RawData[Checker ID],$Q$4,RawData[[Error Type ]],$Q$5))</f>
        <v/>
      </c>
    </row>
    <row r="3429" spans="15:15" x14ac:dyDescent="0.25">
      <c r="O3429" s="20" t="str">
        <f>IF(N3429="","",COUNTIFS(RawData[[Date ]],N3429,RawData[Month List],$Q$6,RawData[Tour/Site],$Q$2,RawData[[Picker ID ]],$Q$3,RawData[Checker ID],$Q$4,RawData[[Error Type ]],$Q$5))</f>
        <v/>
      </c>
    </row>
    <row r="3430" spans="15:15" x14ac:dyDescent="0.25">
      <c r="O3430" s="20" t="str">
        <f>IF(N3430="","",COUNTIFS(RawData[[Date ]],N3430,RawData[Month List],$Q$6,RawData[Tour/Site],$Q$2,RawData[[Picker ID ]],$Q$3,RawData[Checker ID],$Q$4,RawData[[Error Type ]],$Q$5))</f>
        <v/>
      </c>
    </row>
    <row r="3431" spans="15:15" x14ac:dyDescent="0.25">
      <c r="O3431" s="20" t="str">
        <f>IF(N3431="","",COUNTIFS(RawData[[Date ]],N3431,RawData[Month List],$Q$6,RawData[Tour/Site],$Q$2,RawData[[Picker ID ]],$Q$3,RawData[Checker ID],$Q$4,RawData[[Error Type ]],$Q$5))</f>
        <v/>
      </c>
    </row>
    <row r="3432" spans="15:15" x14ac:dyDescent="0.25">
      <c r="O3432" s="20" t="str">
        <f>IF(N3432="","",COUNTIFS(RawData[[Date ]],N3432,RawData[Month List],$Q$6,RawData[Tour/Site],$Q$2,RawData[[Picker ID ]],$Q$3,RawData[Checker ID],$Q$4,RawData[[Error Type ]],$Q$5))</f>
        <v/>
      </c>
    </row>
    <row r="3433" spans="15:15" x14ac:dyDescent="0.25">
      <c r="O3433" s="20" t="str">
        <f>IF(N3433="","",COUNTIFS(RawData[[Date ]],N3433,RawData[Month List],$Q$6,RawData[Tour/Site],$Q$2,RawData[[Picker ID ]],$Q$3,RawData[Checker ID],$Q$4,RawData[[Error Type ]],$Q$5))</f>
        <v/>
      </c>
    </row>
    <row r="3434" spans="15:15" x14ac:dyDescent="0.25">
      <c r="O3434" s="20" t="str">
        <f>IF(N3434="","",COUNTIFS(RawData[[Date ]],N3434,RawData[Month List],$Q$6,RawData[Tour/Site],$Q$2,RawData[[Picker ID ]],$Q$3,RawData[Checker ID],$Q$4,RawData[[Error Type ]],$Q$5))</f>
        <v/>
      </c>
    </row>
    <row r="3435" spans="15:15" x14ac:dyDescent="0.25">
      <c r="O3435" s="20" t="str">
        <f>IF(N3435="","",COUNTIFS(RawData[[Date ]],N3435,RawData[Month List],$Q$6,RawData[Tour/Site],$Q$2,RawData[[Picker ID ]],$Q$3,RawData[Checker ID],$Q$4,RawData[[Error Type ]],$Q$5))</f>
        <v/>
      </c>
    </row>
    <row r="3436" spans="15:15" x14ac:dyDescent="0.25">
      <c r="O3436" s="20" t="str">
        <f>IF(N3436="","",COUNTIFS(RawData[[Date ]],N3436,RawData[Month List],$Q$6,RawData[Tour/Site],$Q$2,RawData[[Picker ID ]],$Q$3,RawData[Checker ID],$Q$4,RawData[[Error Type ]],$Q$5))</f>
        <v/>
      </c>
    </row>
    <row r="3437" spans="15:15" x14ac:dyDescent="0.25">
      <c r="O3437" s="20" t="str">
        <f>IF(N3437="","",COUNTIFS(RawData[[Date ]],N3437,RawData[Month List],$Q$6,RawData[Tour/Site],$Q$2,RawData[[Picker ID ]],$Q$3,RawData[Checker ID],$Q$4,RawData[[Error Type ]],$Q$5))</f>
        <v/>
      </c>
    </row>
    <row r="3438" spans="15:15" x14ac:dyDescent="0.25">
      <c r="O3438" s="20" t="str">
        <f>IF(N3438="","",COUNTIFS(RawData[[Date ]],N3438,RawData[Month List],$Q$6,RawData[Tour/Site],$Q$2,RawData[[Picker ID ]],$Q$3,RawData[Checker ID],$Q$4,RawData[[Error Type ]],$Q$5))</f>
        <v/>
      </c>
    </row>
    <row r="3439" spans="15:15" x14ac:dyDescent="0.25">
      <c r="O3439" s="20" t="str">
        <f>IF(N3439="","",COUNTIFS(RawData[[Date ]],N3439,RawData[Month List],$Q$6,RawData[Tour/Site],$Q$2,RawData[[Picker ID ]],$Q$3,RawData[Checker ID],$Q$4,RawData[[Error Type ]],$Q$5))</f>
        <v/>
      </c>
    </row>
    <row r="3440" spans="15:15" x14ac:dyDescent="0.25">
      <c r="O3440" s="20" t="str">
        <f>IF(N3440="","",COUNTIFS(RawData[[Date ]],N3440,RawData[Month List],$Q$6,RawData[Tour/Site],$Q$2,RawData[[Picker ID ]],$Q$3,RawData[Checker ID],$Q$4,RawData[[Error Type ]],$Q$5))</f>
        <v/>
      </c>
    </row>
    <row r="3441" spans="15:15" x14ac:dyDescent="0.25">
      <c r="O3441" s="20" t="str">
        <f>IF(N3441="","",COUNTIFS(RawData[[Date ]],N3441,RawData[Month List],$Q$6,RawData[Tour/Site],$Q$2,RawData[[Picker ID ]],$Q$3,RawData[Checker ID],$Q$4,RawData[[Error Type ]],$Q$5))</f>
        <v/>
      </c>
    </row>
    <row r="3442" spans="15:15" x14ac:dyDescent="0.25">
      <c r="O3442" s="20" t="str">
        <f>IF(N3442="","",COUNTIFS(RawData[[Date ]],N3442,RawData[Month List],$Q$6,RawData[Tour/Site],$Q$2,RawData[[Picker ID ]],$Q$3,RawData[Checker ID],$Q$4,RawData[[Error Type ]],$Q$5))</f>
        <v/>
      </c>
    </row>
    <row r="3443" spans="15:15" x14ac:dyDescent="0.25">
      <c r="O3443" s="20" t="str">
        <f>IF(N3443="","",COUNTIFS(RawData[[Date ]],N3443,RawData[Month List],$Q$6,RawData[Tour/Site],$Q$2,RawData[[Picker ID ]],$Q$3,RawData[Checker ID],$Q$4,RawData[[Error Type ]],$Q$5))</f>
        <v/>
      </c>
    </row>
    <row r="3444" spans="15:15" x14ac:dyDescent="0.25">
      <c r="O3444" s="20" t="str">
        <f>IF(N3444="","",COUNTIFS(RawData[[Date ]],N3444,RawData[Month List],$Q$6,RawData[Tour/Site],$Q$2,RawData[[Picker ID ]],$Q$3,RawData[Checker ID],$Q$4,RawData[[Error Type ]],$Q$5))</f>
        <v/>
      </c>
    </row>
    <row r="3445" spans="15:15" x14ac:dyDescent="0.25">
      <c r="O3445" s="20" t="str">
        <f>IF(N3445="","",COUNTIFS(RawData[[Date ]],N3445,RawData[Month List],$Q$6,RawData[Tour/Site],$Q$2,RawData[[Picker ID ]],$Q$3,RawData[Checker ID],$Q$4,RawData[[Error Type ]],$Q$5))</f>
        <v/>
      </c>
    </row>
    <row r="3446" spans="15:15" x14ac:dyDescent="0.25">
      <c r="O3446" s="20" t="str">
        <f>IF(N3446="","",COUNTIFS(RawData[[Date ]],N3446,RawData[Month List],$Q$6,RawData[Tour/Site],$Q$2,RawData[[Picker ID ]],$Q$3,RawData[Checker ID],$Q$4,RawData[[Error Type ]],$Q$5))</f>
        <v/>
      </c>
    </row>
    <row r="3447" spans="15:15" x14ac:dyDescent="0.25">
      <c r="O3447" s="20" t="str">
        <f>IF(N3447="","",COUNTIFS(RawData[[Date ]],N3447,RawData[Month List],$Q$6,RawData[Tour/Site],$Q$2,RawData[[Picker ID ]],$Q$3,RawData[Checker ID],$Q$4,RawData[[Error Type ]],$Q$5))</f>
        <v/>
      </c>
    </row>
    <row r="3448" spans="15:15" x14ac:dyDescent="0.25">
      <c r="O3448" s="20" t="str">
        <f>IF(N3448="","",COUNTIFS(RawData[[Date ]],N3448,RawData[Month List],$Q$6,RawData[Tour/Site],$Q$2,RawData[[Picker ID ]],$Q$3,RawData[Checker ID],$Q$4,RawData[[Error Type ]],$Q$5))</f>
        <v/>
      </c>
    </row>
    <row r="3449" spans="15:15" x14ac:dyDescent="0.25">
      <c r="O3449" s="20" t="str">
        <f>IF(N3449="","",COUNTIFS(RawData[[Date ]],N3449,RawData[Month List],$Q$6,RawData[Tour/Site],$Q$2,RawData[[Picker ID ]],$Q$3,RawData[Checker ID],$Q$4,RawData[[Error Type ]],$Q$5))</f>
        <v/>
      </c>
    </row>
    <row r="3450" spans="15:15" x14ac:dyDescent="0.25">
      <c r="O3450" s="20" t="str">
        <f>IF(N3450="","",COUNTIFS(RawData[[Date ]],N3450,RawData[Month List],$Q$6,RawData[Tour/Site],$Q$2,RawData[[Picker ID ]],$Q$3,RawData[Checker ID],$Q$4,RawData[[Error Type ]],$Q$5))</f>
        <v/>
      </c>
    </row>
    <row r="3451" spans="15:15" x14ac:dyDescent="0.25">
      <c r="O3451" s="20" t="str">
        <f>IF(N3451="","",COUNTIFS(RawData[[Date ]],N3451,RawData[Month List],$Q$6,RawData[Tour/Site],$Q$2,RawData[[Picker ID ]],$Q$3,RawData[Checker ID],$Q$4,RawData[[Error Type ]],$Q$5))</f>
        <v/>
      </c>
    </row>
    <row r="3452" spans="15:15" x14ac:dyDescent="0.25">
      <c r="O3452" s="20" t="str">
        <f>IF(N3452="","",COUNTIFS(RawData[[Date ]],N3452,RawData[Month List],$Q$6,RawData[Tour/Site],$Q$2,RawData[[Picker ID ]],$Q$3,RawData[Checker ID],$Q$4,RawData[[Error Type ]],$Q$5))</f>
        <v/>
      </c>
    </row>
    <row r="3453" spans="15:15" x14ac:dyDescent="0.25">
      <c r="O3453" s="20" t="str">
        <f>IF(N3453="","",COUNTIFS(RawData[[Date ]],N3453,RawData[Month List],$Q$6,RawData[Tour/Site],$Q$2,RawData[[Picker ID ]],$Q$3,RawData[Checker ID],$Q$4,RawData[[Error Type ]],$Q$5))</f>
        <v/>
      </c>
    </row>
    <row r="3454" spans="15:15" x14ac:dyDescent="0.25">
      <c r="O3454" s="20" t="str">
        <f>IF(N3454="","",COUNTIFS(RawData[[Date ]],N3454,RawData[Month List],$Q$6,RawData[Tour/Site],$Q$2,RawData[[Picker ID ]],$Q$3,RawData[Checker ID],$Q$4,RawData[[Error Type ]],$Q$5))</f>
        <v/>
      </c>
    </row>
    <row r="3455" spans="15:15" x14ac:dyDescent="0.25">
      <c r="O3455" s="20" t="str">
        <f>IF(N3455="","",COUNTIFS(RawData[[Date ]],N3455,RawData[Month List],$Q$6,RawData[Tour/Site],$Q$2,RawData[[Picker ID ]],$Q$3,RawData[Checker ID],$Q$4,RawData[[Error Type ]],$Q$5))</f>
        <v/>
      </c>
    </row>
    <row r="3456" spans="15:15" x14ac:dyDescent="0.25">
      <c r="O3456" s="20" t="str">
        <f>IF(N3456="","",COUNTIFS(RawData[[Date ]],N3456,RawData[Month List],$Q$6,RawData[Tour/Site],$Q$2,RawData[[Picker ID ]],$Q$3,RawData[Checker ID],$Q$4,RawData[[Error Type ]],$Q$5))</f>
        <v/>
      </c>
    </row>
    <row r="3457" spans="15:15" x14ac:dyDescent="0.25">
      <c r="O3457" s="20" t="str">
        <f>IF(N3457="","",COUNTIFS(RawData[[Date ]],N3457,RawData[Month List],$Q$6,RawData[Tour/Site],$Q$2,RawData[[Picker ID ]],$Q$3,RawData[Checker ID],$Q$4,RawData[[Error Type ]],$Q$5))</f>
        <v/>
      </c>
    </row>
    <row r="3458" spans="15:15" x14ac:dyDescent="0.25">
      <c r="O3458" s="20" t="str">
        <f>IF(N3458="","",COUNTIFS(RawData[[Date ]],N3458,RawData[Month List],$Q$6,RawData[Tour/Site],$Q$2,RawData[[Picker ID ]],$Q$3,RawData[Checker ID],$Q$4,RawData[[Error Type ]],$Q$5))</f>
        <v/>
      </c>
    </row>
    <row r="3459" spans="15:15" x14ac:dyDescent="0.25">
      <c r="O3459" s="20" t="str">
        <f>IF(N3459="","",COUNTIFS(RawData[[Date ]],N3459,RawData[Month List],$Q$6,RawData[Tour/Site],$Q$2,RawData[[Picker ID ]],$Q$3,RawData[Checker ID],$Q$4,RawData[[Error Type ]],$Q$5))</f>
        <v/>
      </c>
    </row>
    <row r="3460" spans="15:15" x14ac:dyDescent="0.25">
      <c r="O3460" s="20" t="str">
        <f>IF(N3460="","",COUNTIFS(RawData[[Date ]],N3460,RawData[Month List],$Q$6,RawData[Tour/Site],$Q$2,RawData[[Picker ID ]],$Q$3,RawData[Checker ID],$Q$4,RawData[[Error Type ]],$Q$5))</f>
        <v/>
      </c>
    </row>
    <row r="3461" spans="15:15" x14ac:dyDescent="0.25">
      <c r="O3461" s="20" t="str">
        <f>IF(N3461="","",COUNTIFS(RawData[[Date ]],N3461,RawData[Month List],$Q$6,RawData[Tour/Site],$Q$2,RawData[[Picker ID ]],$Q$3,RawData[Checker ID],$Q$4,RawData[[Error Type ]],$Q$5))</f>
        <v/>
      </c>
    </row>
    <row r="3462" spans="15:15" x14ac:dyDescent="0.25">
      <c r="O3462" s="20" t="str">
        <f>IF(N3462="","",COUNTIFS(RawData[[Date ]],N3462,RawData[Month List],$Q$6,RawData[Tour/Site],$Q$2,RawData[[Picker ID ]],$Q$3,RawData[Checker ID],$Q$4,RawData[[Error Type ]],$Q$5))</f>
        <v/>
      </c>
    </row>
    <row r="3463" spans="15:15" x14ac:dyDescent="0.25">
      <c r="O3463" s="20" t="str">
        <f>IF(N3463="","",COUNTIFS(RawData[[Date ]],N3463,RawData[Month List],$Q$6,RawData[Tour/Site],$Q$2,RawData[[Picker ID ]],$Q$3,RawData[Checker ID],$Q$4,RawData[[Error Type ]],$Q$5))</f>
        <v/>
      </c>
    </row>
    <row r="3464" spans="15:15" x14ac:dyDescent="0.25">
      <c r="O3464" s="20" t="str">
        <f>IF(N3464="","",COUNTIFS(RawData[[Date ]],N3464,RawData[Month List],$Q$6,RawData[Tour/Site],$Q$2,RawData[[Picker ID ]],$Q$3,RawData[Checker ID],$Q$4,RawData[[Error Type ]],$Q$5))</f>
        <v/>
      </c>
    </row>
    <row r="3465" spans="15:15" x14ac:dyDescent="0.25">
      <c r="O3465" s="20" t="str">
        <f>IF(N3465="","",COUNTIFS(RawData[[Date ]],N3465,RawData[Month List],$Q$6,RawData[Tour/Site],$Q$2,RawData[[Picker ID ]],$Q$3,RawData[Checker ID],$Q$4,RawData[[Error Type ]],$Q$5))</f>
        <v/>
      </c>
    </row>
    <row r="3466" spans="15:15" x14ac:dyDescent="0.25">
      <c r="O3466" s="20" t="str">
        <f>IF(N3466="","",COUNTIFS(RawData[[Date ]],N3466,RawData[Month List],$Q$6,RawData[Tour/Site],$Q$2,RawData[[Picker ID ]],$Q$3,RawData[Checker ID],$Q$4,RawData[[Error Type ]],$Q$5))</f>
        <v/>
      </c>
    </row>
    <row r="3467" spans="15:15" x14ac:dyDescent="0.25">
      <c r="O3467" s="20" t="str">
        <f>IF(N3467="","",COUNTIFS(RawData[[Date ]],N3467,RawData[Month List],$Q$6,RawData[Tour/Site],$Q$2,RawData[[Picker ID ]],$Q$3,RawData[Checker ID],$Q$4,RawData[[Error Type ]],$Q$5))</f>
        <v/>
      </c>
    </row>
    <row r="3468" spans="15:15" x14ac:dyDescent="0.25">
      <c r="O3468" s="20" t="str">
        <f>IF(N3468="","",COUNTIFS(RawData[[Date ]],N3468,RawData[Month List],$Q$6,RawData[Tour/Site],$Q$2,RawData[[Picker ID ]],$Q$3,RawData[Checker ID],$Q$4,RawData[[Error Type ]],$Q$5))</f>
        <v/>
      </c>
    </row>
    <row r="3469" spans="15:15" x14ac:dyDescent="0.25">
      <c r="O3469" s="20" t="str">
        <f>IF(N3469="","",COUNTIFS(RawData[[Date ]],N3469,RawData[Month List],$Q$6,RawData[Tour/Site],$Q$2,RawData[[Picker ID ]],$Q$3,RawData[Checker ID],$Q$4,RawData[[Error Type ]],$Q$5))</f>
        <v/>
      </c>
    </row>
    <row r="3470" spans="15:15" x14ac:dyDescent="0.25">
      <c r="O3470" s="20" t="str">
        <f>IF(N3470="","",COUNTIFS(RawData[[Date ]],N3470,RawData[Month List],$Q$6,RawData[Tour/Site],$Q$2,RawData[[Picker ID ]],$Q$3,RawData[Checker ID],$Q$4,RawData[[Error Type ]],$Q$5))</f>
        <v/>
      </c>
    </row>
    <row r="3471" spans="15:15" x14ac:dyDescent="0.25">
      <c r="O3471" s="20" t="str">
        <f>IF(N3471="","",COUNTIFS(RawData[[Date ]],N3471,RawData[Month List],$Q$6,RawData[Tour/Site],$Q$2,RawData[[Picker ID ]],$Q$3,RawData[Checker ID],$Q$4,RawData[[Error Type ]],$Q$5))</f>
        <v/>
      </c>
    </row>
    <row r="3472" spans="15:15" x14ac:dyDescent="0.25">
      <c r="O3472" s="20" t="str">
        <f>IF(N3472="","",COUNTIFS(RawData[[Date ]],N3472,RawData[Month List],$Q$6,RawData[Tour/Site],$Q$2,RawData[[Picker ID ]],$Q$3,RawData[Checker ID],$Q$4,RawData[[Error Type ]],$Q$5))</f>
        <v/>
      </c>
    </row>
    <row r="3473" spans="15:15" x14ac:dyDescent="0.25">
      <c r="O3473" s="20" t="str">
        <f>IF(N3473="","",COUNTIFS(RawData[[Date ]],N3473,RawData[Month List],$Q$6,RawData[Tour/Site],$Q$2,RawData[[Picker ID ]],$Q$3,RawData[Checker ID],$Q$4,RawData[[Error Type ]],$Q$5))</f>
        <v/>
      </c>
    </row>
    <row r="3474" spans="15:15" x14ac:dyDescent="0.25">
      <c r="O3474" s="20" t="str">
        <f>IF(N3474="","",COUNTIFS(RawData[[Date ]],N3474,RawData[Month List],$Q$6,RawData[Tour/Site],$Q$2,RawData[[Picker ID ]],$Q$3,RawData[Checker ID],$Q$4,RawData[[Error Type ]],$Q$5))</f>
        <v/>
      </c>
    </row>
    <row r="3475" spans="15:15" x14ac:dyDescent="0.25">
      <c r="O3475" s="20" t="str">
        <f>IF(N3475="","",COUNTIFS(RawData[[Date ]],N3475,RawData[Month List],$Q$6,RawData[Tour/Site],$Q$2,RawData[[Picker ID ]],$Q$3,RawData[Checker ID],$Q$4,RawData[[Error Type ]],$Q$5))</f>
        <v/>
      </c>
    </row>
    <row r="3476" spans="15:15" x14ac:dyDescent="0.25">
      <c r="O3476" s="20" t="str">
        <f>IF(N3476="","",COUNTIFS(RawData[[Date ]],N3476,RawData[Month List],$Q$6,RawData[Tour/Site],$Q$2,RawData[[Picker ID ]],$Q$3,RawData[Checker ID],$Q$4,RawData[[Error Type ]],$Q$5))</f>
        <v/>
      </c>
    </row>
    <row r="3477" spans="15:15" x14ac:dyDescent="0.25">
      <c r="O3477" s="20" t="str">
        <f>IF(N3477="","",COUNTIFS(RawData[[Date ]],N3477,RawData[Month List],$Q$6,RawData[Tour/Site],$Q$2,RawData[[Picker ID ]],$Q$3,RawData[Checker ID],$Q$4,RawData[[Error Type ]],$Q$5))</f>
        <v/>
      </c>
    </row>
    <row r="3478" spans="15:15" x14ac:dyDescent="0.25">
      <c r="O3478" s="20" t="str">
        <f>IF(N3478="","",COUNTIFS(RawData[[Date ]],N3478,RawData[Month List],$Q$6,RawData[Tour/Site],$Q$2,RawData[[Picker ID ]],$Q$3,RawData[Checker ID],$Q$4,RawData[[Error Type ]],$Q$5))</f>
        <v/>
      </c>
    </row>
    <row r="3479" spans="15:15" x14ac:dyDescent="0.25">
      <c r="O3479" s="20" t="str">
        <f>IF(N3479="","",COUNTIFS(RawData[[Date ]],N3479,RawData[Month List],$Q$6,RawData[Tour/Site],$Q$2,RawData[[Picker ID ]],$Q$3,RawData[Checker ID],$Q$4,RawData[[Error Type ]],$Q$5))</f>
        <v/>
      </c>
    </row>
    <row r="3480" spans="15:15" x14ac:dyDescent="0.25">
      <c r="O3480" s="20" t="str">
        <f>IF(N3480="","",COUNTIFS(RawData[[Date ]],N3480,RawData[Month List],$Q$6,RawData[Tour/Site],$Q$2,RawData[[Picker ID ]],$Q$3,RawData[Checker ID],$Q$4,RawData[[Error Type ]],$Q$5))</f>
        <v/>
      </c>
    </row>
    <row r="3481" spans="15:15" x14ac:dyDescent="0.25">
      <c r="O3481" s="20" t="str">
        <f>IF(N3481="","",COUNTIFS(RawData[[Date ]],N3481,RawData[Month List],$Q$6,RawData[Tour/Site],$Q$2,RawData[[Picker ID ]],$Q$3,RawData[Checker ID],$Q$4,RawData[[Error Type ]],$Q$5))</f>
        <v/>
      </c>
    </row>
    <row r="3482" spans="15:15" x14ac:dyDescent="0.25">
      <c r="O3482" s="20" t="str">
        <f>IF(N3482="","",COUNTIFS(RawData[[Date ]],N3482,RawData[Month List],$Q$6,RawData[Tour/Site],$Q$2,RawData[[Picker ID ]],$Q$3,RawData[Checker ID],$Q$4,RawData[[Error Type ]],$Q$5))</f>
        <v/>
      </c>
    </row>
    <row r="3483" spans="15:15" x14ac:dyDescent="0.25">
      <c r="O3483" s="20" t="str">
        <f>IF(N3483="","",COUNTIFS(RawData[[Date ]],N3483,RawData[Month List],$Q$6,RawData[Tour/Site],$Q$2,RawData[[Picker ID ]],$Q$3,RawData[Checker ID],$Q$4,RawData[[Error Type ]],$Q$5))</f>
        <v/>
      </c>
    </row>
    <row r="3484" spans="15:15" x14ac:dyDescent="0.25">
      <c r="O3484" s="20" t="str">
        <f>IF(N3484="","",COUNTIFS(RawData[[Date ]],N3484,RawData[Month List],$Q$6,RawData[Tour/Site],$Q$2,RawData[[Picker ID ]],$Q$3,RawData[Checker ID],$Q$4,RawData[[Error Type ]],$Q$5))</f>
        <v/>
      </c>
    </row>
    <row r="3485" spans="15:15" x14ac:dyDescent="0.25">
      <c r="O3485" s="20" t="str">
        <f>IF(N3485="","",COUNTIFS(RawData[[Date ]],N3485,RawData[Month List],$Q$6,RawData[Tour/Site],$Q$2,RawData[[Picker ID ]],$Q$3,RawData[Checker ID],$Q$4,RawData[[Error Type ]],$Q$5))</f>
        <v/>
      </c>
    </row>
    <row r="3486" spans="15:15" x14ac:dyDescent="0.25">
      <c r="O3486" s="20" t="str">
        <f>IF(N3486="","",COUNTIFS(RawData[[Date ]],N3486,RawData[Month List],$Q$6,RawData[Tour/Site],$Q$2,RawData[[Picker ID ]],$Q$3,RawData[Checker ID],$Q$4,RawData[[Error Type ]],$Q$5))</f>
        <v/>
      </c>
    </row>
    <row r="3487" spans="15:15" x14ac:dyDescent="0.25">
      <c r="O3487" s="20" t="str">
        <f>IF(N3487="","",COUNTIFS(RawData[[Date ]],N3487,RawData[Month List],$Q$6,RawData[Tour/Site],$Q$2,RawData[[Picker ID ]],$Q$3,RawData[Checker ID],$Q$4,RawData[[Error Type ]],$Q$5))</f>
        <v/>
      </c>
    </row>
    <row r="3488" spans="15:15" x14ac:dyDescent="0.25">
      <c r="O3488" s="20" t="str">
        <f>IF(N3488="","",COUNTIFS(RawData[[Date ]],N3488,RawData[Month List],$Q$6,RawData[Tour/Site],$Q$2,RawData[[Picker ID ]],$Q$3,RawData[Checker ID],$Q$4,RawData[[Error Type ]],$Q$5))</f>
        <v/>
      </c>
    </row>
    <row r="3489" spans="15:15" x14ac:dyDescent="0.25">
      <c r="O3489" s="20" t="str">
        <f>IF(N3489="","",COUNTIFS(RawData[[Date ]],N3489,RawData[Month List],$Q$6,RawData[Tour/Site],$Q$2,RawData[[Picker ID ]],$Q$3,RawData[Checker ID],$Q$4,RawData[[Error Type ]],$Q$5))</f>
        <v/>
      </c>
    </row>
    <row r="3490" spans="15:15" x14ac:dyDescent="0.25">
      <c r="O3490" s="20" t="str">
        <f>IF(N3490="","",COUNTIFS(RawData[[Date ]],N3490,RawData[Month List],$Q$6,RawData[Tour/Site],$Q$2,RawData[[Picker ID ]],$Q$3,RawData[Checker ID],$Q$4,RawData[[Error Type ]],$Q$5))</f>
        <v/>
      </c>
    </row>
    <row r="3491" spans="15:15" x14ac:dyDescent="0.25">
      <c r="O3491" s="20" t="str">
        <f>IF(N3491="","",COUNTIFS(RawData[[Date ]],N3491,RawData[Month List],$Q$6,RawData[Tour/Site],$Q$2,RawData[[Picker ID ]],$Q$3,RawData[Checker ID],$Q$4,RawData[[Error Type ]],$Q$5))</f>
        <v/>
      </c>
    </row>
    <row r="3492" spans="15:15" x14ac:dyDescent="0.25">
      <c r="O3492" s="20" t="str">
        <f>IF(N3492="","",COUNTIFS(RawData[[Date ]],N3492,RawData[Month List],$Q$6,RawData[Tour/Site],$Q$2,RawData[[Picker ID ]],$Q$3,RawData[Checker ID],$Q$4,RawData[[Error Type ]],$Q$5))</f>
        <v/>
      </c>
    </row>
    <row r="3493" spans="15:15" x14ac:dyDescent="0.25">
      <c r="O3493" s="20" t="str">
        <f>IF(N3493="","",COUNTIFS(RawData[[Date ]],N3493,RawData[Month List],$Q$6,RawData[Tour/Site],$Q$2,RawData[[Picker ID ]],$Q$3,RawData[Checker ID],$Q$4,RawData[[Error Type ]],$Q$5))</f>
        <v/>
      </c>
    </row>
    <row r="3494" spans="15:15" x14ac:dyDescent="0.25">
      <c r="O3494" s="20" t="str">
        <f>IF(N3494="","",COUNTIFS(RawData[[Date ]],N3494,RawData[Month List],$Q$6,RawData[Tour/Site],$Q$2,RawData[[Picker ID ]],$Q$3,RawData[Checker ID],$Q$4,RawData[[Error Type ]],$Q$5))</f>
        <v/>
      </c>
    </row>
    <row r="3495" spans="15:15" x14ac:dyDescent="0.25">
      <c r="O3495" s="20" t="str">
        <f>IF(N3495="","",COUNTIFS(RawData[[Date ]],N3495,RawData[Month List],$Q$6,RawData[Tour/Site],$Q$2,RawData[[Picker ID ]],$Q$3,RawData[Checker ID],$Q$4,RawData[[Error Type ]],$Q$5))</f>
        <v/>
      </c>
    </row>
    <row r="3496" spans="15:15" x14ac:dyDescent="0.25">
      <c r="O3496" s="20" t="str">
        <f>IF(N3496="","",COUNTIFS(RawData[[Date ]],N3496,RawData[Month List],$Q$6,RawData[Tour/Site],$Q$2,RawData[[Picker ID ]],$Q$3,RawData[Checker ID],$Q$4,RawData[[Error Type ]],$Q$5))</f>
        <v/>
      </c>
    </row>
    <row r="3497" spans="15:15" x14ac:dyDescent="0.25">
      <c r="O3497" s="20" t="str">
        <f>IF(N3497="","",COUNTIFS(RawData[[Date ]],N3497,RawData[Month List],$Q$6,RawData[Tour/Site],$Q$2,RawData[[Picker ID ]],$Q$3,RawData[Checker ID],$Q$4,RawData[[Error Type ]],$Q$5))</f>
        <v/>
      </c>
    </row>
    <row r="3498" spans="15:15" x14ac:dyDescent="0.25">
      <c r="O3498" s="20" t="str">
        <f>IF(N3498="","",COUNTIFS(RawData[[Date ]],N3498,RawData[Month List],$Q$6,RawData[Tour/Site],$Q$2,RawData[[Picker ID ]],$Q$3,RawData[Checker ID],$Q$4,RawData[[Error Type ]],$Q$5))</f>
        <v/>
      </c>
    </row>
    <row r="3499" spans="15:15" x14ac:dyDescent="0.25">
      <c r="O3499" s="20" t="str">
        <f>IF(N3499="","",COUNTIFS(RawData[[Date ]],N3499,RawData[Month List],$Q$6,RawData[Tour/Site],$Q$2,RawData[[Picker ID ]],$Q$3,RawData[Checker ID],$Q$4,RawData[[Error Type ]],$Q$5))</f>
        <v/>
      </c>
    </row>
    <row r="3500" spans="15:15" x14ac:dyDescent="0.25">
      <c r="O3500" s="20" t="str">
        <f>IF(N3500="","",COUNTIFS(RawData[[Date ]],N3500,RawData[Month List],$Q$6,RawData[Tour/Site],$Q$2,RawData[[Picker ID ]],$Q$3,RawData[Checker ID],$Q$4,RawData[[Error Type ]],$Q$5))</f>
        <v/>
      </c>
    </row>
    <row r="3501" spans="15:15" x14ac:dyDescent="0.25">
      <c r="O3501" s="20" t="str">
        <f>IF(N3501="","",COUNTIFS(RawData[[Date ]],N3501,RawData[Month List],$Q$6,RawData[Tour/Site],$Q$2,RawData[[Picker ID ]],$Q$3,RawData[Checker ID],$Q$4,RawData[[Error Type ]],$Q$5))</f>
        <v/>
      </c>
    </row>
    <row r="3502" spans="15:15" x14ac:dyDescent="0.25">
      <c r="O3502" s="20" t="str">
        <f>IF(N3502="","",COUNTIFS(RawData[[Date ]],N3502,RawData[Month List],$Q$6,RawData[Tour/Site],$Q$2,RawData[[Picker ID ]],$Q$3,RawData[Checker ID],$Q$4,RawData[[Error Type ]],$Q$5))</f>
        <v/>
      </c>
    </row>
    <row r="3503" spans="15:15" x14ac:dyDescent="0.25">
      <c r="O3503" s="20" t="str">
        <f>IF(N3503="","",COUNTIFS(RawData[[Date ]],N3503,RawData[Month List],$Q$6,RawData[Tour/Site],$Q$2,RawData[[Picker ID ]],$Q$3,RawData[Checker ID],$Q$4,RawData[[Error Type ]],$Q$5))</f>
        <v/>
      </c>
    </row>
    <row r="3504" spans="15:15" x14ac:dyDescent="0.25">
      <c r="O3504" s="20" t="str">
        <f>IF(N3504="","",COUNTIFS(RawData[[Date ]],N3504,RawData[Month List],$Q$6,RawData[Tour/Site],$Q$2,RawData[[Picker ID ]],$Q$3,RawData[Checker ID],$Q$4,RawData[[Error Type ]],$Q$5))</f>
        <v/>
      </c>
    </row>
    <row r="3505" spans="15:15" x14ac:dyDescent="0.25">
      <c r="O3505" s="20" t="str">
        <f>IF(N3505="","",COUNTIFS(RawData[[Date ]],N3505,RawData[Month List],$Q$6,RawData[Tour/Site],$Q$2,RawData[[Picker ID ]],$Q$3,RawData[Checker ID],$Q$4,RawData[[Error Type ]],$Q$5))</f>
        <v/>
      </c>
    </row>
    <row r="3506" spans="15:15" x14ac:dyDescent="0.25">
      <c r="O3506" s="20" t="str">
        <f>IF(N3506="","",COUNTIFS(RawData[[Date ]],N3506,RawData[Month List],$Q$6,RawData[Tour/Site],$Q$2,RawData[[Picker ID ]],$Q$3,RawData[Checker ID],$Q$4,RawData[[Error Type ]],$Q$5))</f>
        <v/>
      </c>
    </row>
    <row r="3507" spans="15:15" x14ac:dyDescent="0.25">
      <c r="O3507" s="20" t="str">
        <f>IF(N3507="","",COUNTIFS(RawData[[Date ]],N3507,RawData[Month List],$Q$6,RawData[Tour/Site],$Q$2,RawData[[Picker ID ]],$Q$3,RawData[Checker ID],$Q$4,RawData[[Error Type ]],$Q$5))</f>
        <v/>
      </c>
    </row>
    <row r="3508" spans="15:15" x14ac:dyDescent="0.25">
      <c r="O3508" s="20" t="str">
        <f>IF(N3508="","",COUNTIFS(RawData[[Date ]],N3508,RawData[Month List],$Q$6,RawData[Tour/Site],$Q$2,RawData[[Picker ID ]],$Q$3,RawData[Checker ID],$Q$4,RawData[[Error Type ]],$Q$5))</f>
        <v/>
      </c>
    </row>
    <row r="3509" spans="15:15" x14ac:dyDescent="0.25">
      <c r="O3509" s="20" t="str">
        <f>IF(N3509="","",COUNTIFS(RawData[[Date ]],N3509,RawData[Month List],$Q$6,RawData[Tour/Site],$Q$2,RawData[[Picker ID ]],$Q$3,RawData[Checker ID],$Q$4,RawData[[Error Type ]],$Q$5))</f>
        <v/>
      </c>
    </row>
    <row r="3510" spans="15:15" x14ac:dyDescent="0.25">
      <c r="O3510" s="20" t="str">
        <f>IF(N3510="","",COUNTIFS(RawData[[Date ]],N3510,RawData[Month List],$Q$6,RawData[Tour/Site],$Q$2,RawData[[Picker ID ]],$Q$3,RawData[Checker ID],$Q$4,RawData[[Error Type ]],$Q$5))</f>
        <v/>
      </c>
    </row>
    <row r="3511" spans="15:15" x14ac:dyDescent="0.25">
      <c r="O3511" s="20" t="str">
        <f>IF(N3511="","",COUNTIFS(RawData[[Date ]],N3511,RawData[Month List],$Q$6,RawData[Tour/Site],$Q$2,RawData[[Picker ID ]],$Q$3,RawData[Checker ID],$Q$4,RawData[[Error Type ]],$Q$5))</f>
        <v/>
      </c>
    </row>
    <row r="3512" spans="15:15" x14ac:dyDescent="0.25">
      <c r="O3512" s="20" t="str">
        <f>IF(N3512="","",COUNTIFS(RawData[[Date ]],N3512,RawData[Month List],$Q$6,RawData[Tour/Site],$Q$2,RawData[[Picker ID ]],$Q$3,RawData[Checker ID],$Q$4,RawData[[Error Type ]],$Q$5))</f>
        <v/>
      </c>
    </row>
    <row r="3513" spans="15:15" x14ac:dyDescent="0.25">
      <c r="O3513" s="20" t="str">
        <f>IF(N3513="","",COUNTIFS(RawData[[Date ]],N3513,RawData[Month List],$Q$6,RawData[Tour/Site],$Q$2,RawData[[Picker ID ]],$Q$3,RawData[Checker ID],$Q$4,RawData[[Error Type ]],$Q$5))</f>
        <v/>
      </c>
    </row>
    <row r="3514" spans="15:15" x14ac:dyDescent="0.25">
      <c r="O3514" s="20" t="str">
        <f>IF(N3514="","",COUNTIFS(RawData[[Date ]],N3514,RawData[Month List],$Q$6,RawData[Tour/Site],$Q$2,RawData[[Picker ID ]],$Q$3,RawData[Checker ID],$Q$4,RawData[[Error Type ]],$Q$5))</f>
        <v/>
      </c>
    </row>
    <row r="3515" spans="15:15" x14ac:dyDescent="0.25">
      <c r="O3515" s="20" t="str">
        <f>IF(N3515="","",COUNTIFS(RawData[[Date ]],N3515,RawData[Month List],$Q$6,RawData[Tour/Site],$Q$2,RawData[[Picker ID ]],$Q$3,RawData[Checker ID],$Q$4,RawData[[Error Type ]],$Q$5))</f>
        <v/>
      </c>
    </row>
    <row r="3516" spans="15:15" x14ac:dyDescent="0.25">
      <c r="O3516" s="20" t="str">
        <f>IF(N3516="","",COUNTIFS(RawData[[Date ]],N3516,RawData[Month List],$Q$6,RawData[Tour/Site],$Q$2,RawData[[Picker ID ]],$Q$3,RawData[Checker ID],$Q$4,RawData[[Error Type ]],$Q$5))</f>
        <v/>
      </c>
    </row>
    <row r="3517" spans="15:15" x14ac:dyDescent="0.25">
      <c r="O3517" s="20" t="str">
        <f>IF(N3517="","",COUNTIFS(RawData[[Date ]],N3517,RawData[Month List],$Q$6,RawData[Tour/Site],$Q$2,RawData[[Picker ID ]],$Q$3,RawData[Checker ID],$Q$4,RawData[[Error Type ]],$Q$5))</f>
        <v/>
      </c>
    </row>
    <row r="3518" spans="15:15" x14ac:dyDescent="0.25">
      <c r="O3518" s="20" t="str">
        <f>IF(N3518="","",COUNTIFS(RawData[[Date ]],N3518,RawData[Month List],$Q$6,RawData[Tour/Site],$Q$2,RawData[[Picker ID ]],$Q$3,RawData[Checker ID],$Q$4,RawData[[Error Type ]],$Q$5))</f>
        <v/>
      </c>
    </row>
    <row r="3519" spans="15:15" x14ac:dyDescent="0.25">
      <c r="O3519" s="20" t="str">
        <f>IF(N3519="","",COUNTIFS(RawData[[Date ]],N3519,RawData[Month List],$Q$6,RawData[Tour/Site],$Q$2,RawData[[Picker ID ]],$Q$3,RawData[Checker ID],$Q$4,RawData[[Error Type ]],$Q$5))</f>
        <v/>
      </c>
    </row>
    <row r="3520" spans="15:15" x14ac:dyDescent="0.25">
      <c r="O3520" s="20" t="str">
        <f>IF(N3520="","",COUNTIFS(RawData[[Date ]],N3520,RawData[Month List],$Q$6,RawData[Tour/Site],$Q$2,RawData[[Picker ID ]],$Q$3,RawData[Checker ID],$Q$4,RawData[[Error Type ]],$Q$5))</f>
        <v/>
      </c>
    </row>
    <row r="3521" spans="15:15" x14ac:dyDescent="0.25">
      <c r="O3521" s="20" t="str">
        <f>IF(N3521="","",COUNTIFS(RawData[[Date ]],N3521,RawData[Month List],$Q$6,RawData[Tour/Site],$Q$2,RawData[[Picker ID ]],$Q$3,RawData[Checker ID],$Q$4,RawData[[Error Type ]],$Q$5))</f>
        <v/>
      </c>
    </row>
    <row r="3522" spans="15:15" x14ac:dyDescent="0.25">
      <c r="O3522" s="20" t="str">
        <f>IF(N3522="","",COUNTIFS(RawData[[Date ]],N3522,RawData[Month List],$Q$6,RawData[Tour/Site],$Q$2,RawData[[Picker ID ]],$Q$3,RawData[Checker ID],$Q$4,RawData[[Error Type ]],$Q$5))</f>
        <v/>
      </c>
    </row>
    <row r="3523" spans="15:15" x14ac:dyDescent="0.25">
      <c r="O3523" s="20" t="str">
        <f>IF(N3523="","",COUNTIFS(RawData[[Date ]],N3523,RawData[Month List],$Q$6,RawData[Tour/Site],$Q$2,RawData[[Picker ID ]],$Q$3,RawData[Checker ID],$Q$4,RawData[[Error Type ]],$Q$5))</f>
        <v/>
      </c>
    </row>
    <row r="3524" spans="15:15" x14ac:dyDescent="0.25">
      <c r="O3524" s="20" t="str">
        <f>IF(N3524="","",COUNTIFS(RawData[[Date ]],N3524,RawData[Month List],$Q$6,RawData[Tour/Site],$Q$2,RawData[[Picker ID ]],$Q$3,RawData[Checker ID],$Q$4,RawData[[Error Type ]],$Q$5))</f>
        <v/>
      </c>
    </row>
    <row r="3525" spans="15:15" x14ac:dyDescent="0.25">
      <c r="O3525" s="20" t="str">
        <f>IF(N3525="","",COUNTIFS(RawData[[Date ]],N3525,RawData[Month List],$Q$6,RawData[Tour/Site],$Q$2,RawData[[Picker ID ]],$Q$3,RawData[Checker ID],$Q$4,RawData[[Error Type ]],$Q$5))</f>
        <v/>
      </c>
    </row>
    <row r="3526" spans="15:15" x14ac:dyDescent="0.25">
      <c r="O3526" s="20" t="str">
        <f>IF(N3526="","",COUNTIFS(RawData[[Date ]],N3526,RawData[Month List],$Q$6,RawData[Tour/Site],$Q$2,RawData[[Picker ID ]],$Q$3,RawData[Checker ID],$Q$4,RawData[[Error Type ]],$Q$5))</f>
        <v/>
      </c>
    </row>
    <row r="3527" spans="15:15" x14ac:dyDescent="0.25">
      <c r="O3527" s="20" t="str">
        <f>IF(N3527="","",COUNTIFS(RawData[[Date ]],N3527,RawData[Month List],$Q$6,RawData[Tour/Site],$Q$2,RawData[[Picker ID ]],$Q$3,RawData[Checker ID],$Q$4,RawData[[Error Type ]],$Q$5))</f>
        <v/>
      </c>
    </row>
    <row r="3528" spans="15:15" x14ac:dyDescent="0.25">
      <c r="O3528" s="20" t="str">
        <f>IF(N3528="","",COUNTIFS(RawData[[Date ]],N3528,RawData[Month List],$Q$6,RawData[Tour/Site],$Q$2,RawData[[Picker ID ]],$Q$3,RawData[Checker ID],$Q$4,RawData[[Error Type ]],$Q$5))</f>
        <v/>
      </c>
    </row>
    <row r="3529" spans="15:15" x14ac:dyDescent="0.25">
      <c r="O3529" s="20" t="str">
        <f>IF(N3529="","",COUNTIFS(RawData[[Date ]],N3529,RawData[Month List],$Q$6,RawData[Tour/Site],$Q$2,RawData[[Picker ID ]],$Q$3,RawData[Checker ID],$Q$4,RawData[[Error Type ]],$Q$5))</f>
        <v/>
      </c>
    </row>
    <row r="3530" spans="15:15" x14ac:dyDescent="0.25">
      <c r="O3530" s="20" t="str">
        <f>IF(N3530="","",COUNTIFS(RawData[[Date ]],N3530,RawData[Month List],$Q$6,RawData[Tour/Site],$Q$2,RawData[[Picker ID ]],$Q$3,RawData[Checker ID],$Q$4,RawData[[Error Type ]],$Q$5))</f>
        <v/>
      </c>
    </row>
    <row r="3531" spans="15:15" x14ac:dyDescent="0.25">
      <c r="O3531" s="20" t="str">
        <f>IF(N3531="","",COUNTIFS(RawData[[Date ]],N3531,RawData[Month List],$Q$6,RawData[Tour/Site],$Q$2,RawData[[Picker ID ]],$Q$3,RawData[Checker ID],$Q$4,RawData[[Error Type ]],$Q$5))</f>
        <v/>
      </c>
    </row>
    <row r="3532" spans="15:15" x14ac:dyDescent="0.25">
      <c r="O3532" s="20" t="str">
        <f>IF(N3532="","",COUNTIFS(RawData[[Date ]],N3532,RawData[Month List],$Q$6,RawData[Tour/Site],$Q$2,RawData[[Picker ID ]],$Q$3,RawData[Checker ID],$Q$4,RawData[[Error Type ]],$Q$5))</f>
        <v/>
      </c>
    </row>
    <row r="3533" spans="15:15" x14ac:dyDescent="0.25">
      <c r="O3533" s="20" t="str">
        <f>IF(N3533="","",COUNTIFS(RawData[[Date ]],N3533,RawData[Month List],$Q$6,RawData[Tour/Site],$Q$2,RawData[[Picker ID ]],$Q$3,RawData[Checker ID],$Q$4,RawData[[Error Type ]],$Q$5))</f>
        <v/>
      </c>
    </row>
    <row r="3534" spans="15:15" x14ac:dyDescent="0.25">
      <c r="O3534" s="20" t="str">
        <f>IF(N3534="","",COUNTIFS(RawData[[Date ]],N3534,RawData[Month List],$Q$6,RawData[Tour/Site],$Q$2,RawData[[Picker ID ]],$Q$3,RawData[Checker ID],$Q$4,RawData[[Error Type ]],$Q$5))</f>
        <v/>
      </c>
    </row>
    <row r="3535" spans="15:15" x14ac:dyDescent="0.25">
      <c r="O3535" s="20" t="str">
        <f>IF(N3535="","",COUNTIFS(RawData[[Date ]],N3535,RawData[Month List],$Q$6,RawData[Tour/Site],$Q$2,RawData[[Picker ID ]],$Q$3,RawData[Checker ID],$Q$4,RawData[[Error Type ]],$Q$5))</f>
        <v/>
      </c>
    </row>
    <row r="3536" spans="15:15" x14ac:dyDescent="0.25">
      <c r="O3536" s="20" t="str">
        <f>IF(N3536="","",COUNTIFS(RawData[[Date ]],N3536,RawData[Month List],$Q$6,RawData[Tour/Site],$Q$2,RawData[[Picker ID ]],$Q$3,RawData[Checker ID],$Q$4,RawData[[Error Type ]],$Q$5))</f>
        <v/>
      </c>
    </row>
    <row r="3537" spans="15:15" x14ac:dyDescent="0.25">
      <c r="O3537" s="20" t="str">
        <f>IF(N3537="","",COUNTIFS(RawData[[Date ]],N3537,RawData[Month List],$Q$6,RawData[Tour/Site],$Q$2,RawData[[Picker ID ]],$Q$3,RawData[Checker ID],$Q$4,RawData[[Error Type ]],$Q$5))</f>
        <v/>
      </c>
    </row>
    <row r="3538" spans="15:15" x14ac:dyDescent="0.25">
      <c r="O3538" s="20" t="str">
        <f>IF(N3538="","",COUNTIFS(RawData[[Date ]],N3538,RawData[Month List],$Q$6,RawData[Tour/Site],$Q$2,RawData[[Picker ID ]],$Q$3,RawData[Checker ID],$Q$4,RawData[[Error Type ]],$Q$5))</f>
        <v/>
      </c>
    </row>
    <row r="3539" spans="15:15" x14ac:dyDescent="0.25">
      <c r="O3539" s="20" t="str">
        <f>IF(N3539="","",COUNTIFS(RawData[[Date ]],N3539,RawData[Month List],$Q$6,RawData[Tour/Site],$Q$2,RawData[[Picker ID ]],$Q$3,RawData[Checker ID],$Q$4,RawData[[Error Type ]],$Q$5))</f>
        <v/>
      </c>
    </row>
    <row r="3540" spans="15:15" x14ac:dyDescent="0.25">
      <c r="O3540" s="20" t="str">
        <f>IF(N3540="","",COUNTIFS(RawData[[Date ]],N3540,RawData[Month List],$Q$6,RawData[Tour/Site],$Q$2,RawData[[Picker ID ]],$Q$3,RawData[Checker ID],$Q$4,RawData[[Error Type ]],$Q$5))</f>
        <v/>
      </c>
    </row>
    <row r="3541" spans="15:15" x14ac:dyDescent="0.25">
      <c r="O3541" s="20" t="str">
        <f>IF(N3541="","",COUNTIFS(RawData[[Date ]],N3541,RawData[Month List],$Q$6,RawData[Tour/Site],$Q$2,RawData[[Picker ID ]],$Q$3,RawData[Checker ID],$Q$4,RawData[[Error Type ]],$Q$5))</f>
        <v/>
      </c>
    </row>
    <row r="3542" spans="15:15" x14ac:dyDescent="0.25">
      <c r="O3542" s="20" t="str">
        <f>IF(N3542="","",COUNTIFS(RawData[[Date ]],N3542,RawData[Month List],$Q$6,RawData[Tour/Site],$Q$2,RawData[[Picker ID ]],$Q$3,RawData[Checker ID],$Q$4,RawData[[Error Type ]],$Q$5))</f>
        <v/>
      </c>
    </row>
    <row r="3543" spans="15:15" x14ac:dyDescent="0.25">
      <c r="O3543" s="20" t="str">
        <f>IF(N3543="","",COUNTIFS(RawData[[Date ]],N3543,RawData[Month List],$Q$6,RawData[Tour/Site],$Q$2,RawData[[Picker ID ]],$Q$3,RawData[Checker ID],$Q$4,RawData[[Error Type ]],$Q$5))</f>
        <v/>
      </c>
    </row>
    <row r="3544" spans="15:15" x14ac:dyDescent="0.25">
      <c r="O3544" s="20" t="str">
        <f>IF(N3544="","",COUNTIFS(RawData[[Date ]],N3544,RawData[Month List],$Q$6,RawData[Tour/Site],$Q$2,RawData[[Picker ID ]],$Q$3,RawData[Checker ID],$Q$4,RawData[[Error Type ]],$Q$5))</f>
        <v/>
      </c>
    </row>
    <row r="3545" spans="15:15" x14ac:dyDescent="0.25">
      <c r="O3545" s="20" t="str">
        <f>IF(N3545="","",COUNTIFS(RawData[[Date ]],N3545,RawData[Month List],$Q$6,RawData[Tour/Site],$Q$2,RawData[[Picker ID ]],$Q$3,RawData[Checker ID],$Q$4,RawData[[Error Type ]],$Q$5))</f>
        <v/>
      </c>
    </row>
    <row r="3546" spans="15:15" x14ac:dyDescent="0.25">
      <c r="O3546" s="20" t="str">
        <f>IF(N3546="","",COUNTIFS(RawData[[Date ]],N3546,RawData[Month List],$Q$6,RawData[Tour/Site],$Q$2,RawData[[Picker ID ]],$Q$3,RawData[Checker ID],$Q$4,RawData[[Error Type ]],$Q$5))</f>
        <v/>
      </c>
    </row>
    <row r="3547" spans="15:15" x14ac:dyDescent="0.25">
      <c r="O3547" s="20" t="str">
        <f>IF(N3547="","",COUNTIFS(RawData[[Date ]],N3547,RawData[Month List],$Q$6,RawData[Tour/Site],$Q$2,RawData[[Picker ID ]],$Q$3,RawData[Checker ID],$Q$4,RawData[[Error Type ]],$Q$5))</f>
        <v/>
      </c>
    </row>
    <row r="3548" spans="15:15" x14ac:dyDescent="0.25">
      <c r="O3548" s="20" t="str">
        <f>IF(N3548="","",COUNTIFS(RawData[[Date ]],N3548,RawData[Month List],$Q$6,RawData[Tour/Site],$Q$2,RawData[[Picker ID ]],$Q$3,RawData[Checker ID],$Q$4,RawData[[Error Type ]],$Q$5))</f>
        <v/>
      </c>
    </row>
    <row r="3549" spans="15:15" x14ac:dyDescent="0.25">
      <c r="O3549" s="20" t="str">
        <f>IF(N3549="","",COUNTIFS(RawData[[Date ]],N3549,RawData[Month List],$Q$6,RawData[Tour/Site],$Q$2,RawData[[Picker ID ]],$Q$3,RawData[Checker ID],$Q$4,RawData[[Error Type ]],$Q$5))</f>
        <v/>
      </c>
    </row>
    <row r="3550" spans="15:15" x14ac:dyDescent="0.25">
      <c r="O3550" s="20" t="str">
        <f>IF(N3550="","",COUNTIFS(RawData[[Date ]],N3550,RawData[Month List],$Q$6,RawData[Tour/Site],$Q$2,RawData[[Picker ID ]],$Q$3,RawData[Checker ID],$Q$4,RawData[[Error Type ]],$Q$5))</f>
        <v/>
      </c>
    </row>
    <row r="3551" spans="15:15" x14ac:dyDescent="0.25">
      <c r="O3551" s="20" t="str">
        <f>IF(N3551="","",COUNTIFS(RawData[[Date ]],N3551,RawData[Month List],$Q$6,RawData[Tour/Site],$Q$2,RawData[[Picker ID ]],$Q$3,RawData[Checker ID],$Q$4,RawData[[Error Type ]],$Q$5))</f>
        <v/>
      </c>
    </row>
    <row r="3552" spans="15:15" x14ac:dyDescent="0.25">
      <c r="O3552" s="20" t="str">
        <f>IF(N3552="","",COUNTIFS(RawData[[Date ]],N3552,RawData[Month List],$Q$6,RawData[Tour/Site],$Q$2,RawData[[Picker ID ]],$Q$3,RawData[Checker ID],$Q$4,RawData[[Error Type ]],$Q$5))</f>
        <v/>
      </c>
    </row>
    <row r="3553" spans="15:15" x14ac:dyDescent="0.25">
      <c r="O3553" s="20" t="str">
        <f>IF(N3553="","",COUNTIFS(RawData[[Date ]],N3553,RawData[Month List],$Q$6,RawData[Tour/Site],$Q$2,RawData[[Picker ID ]],$Q$3,RawData[Checker ID],$Q$4,RawData[[Error Type ]],$Q$5))</f>
        <v/>
      </c>
    </row>
    <row r="3554" spans="15:15" x14ac:dyDescent="0.25">
      <c r="O3554" s="20" t="str">
        <f>IF(N3554="","",COUNTIFS(RawData[[Date ]],N3554,RawData[Month List],$Q$6,RawData[Tour/Site],$Q$2,RawData[[Picker ID ]],$Q$3,RawData[Checker ID],$Q$4,RawData[[Error Type ]],$Q$5))</f>
        <v/>
      </c>
    </row>
    <row r="3555" spans="15:15" x14ac:dyDescent="0.25">
      <c r="O3555" s="20" t="str">
        <f>IF(N3555="","",COUNTIFS(RawData[[Date ]],N3555,RawData[Month List],$Q$6,RawData[Tour/Site],$Q$2,RawData[[Picker ID ]],$Q$3,RawData[Checker ID],$Q$4,RawData[[Error Type ]],$Q$5))</f>
        <v/>
      </c>
    </row>
    <row r="3556" spans="15:15" x14ac:dyDescent="0.25">
      <c r="O3556" s="20" t="str">
        <f>IF(N3556="","",COUNTIFS(RawData[[Date ]],N3556,RawData[Month List],$Q$6,RawData[Tour/Site],$Q$2,RawData[[Picker ID ]],$Q$3,RawData[Checker ID],$Q$4,RawData[[Error Type ]],$Q$5))</f>
        <v/>
      </c>
    </row>
    <row r="3557" spans="15:15" x14ac:dyDescent="0.25">
      <c r="O3557" s="20" t="str">
        <f>IF(N3557="","",COUNTIFS(RawData[[Date ]],N3557,RawData[Month List],$Q$6,RawData[Tour/Site],$Q$2,RawData[[Picker ID ]],$Q$3,RawData[Checker ID],$Q$4,RawData[[Error Type ]],$Q$5))</f>
        <v/>
      </c>
    </row>
    <row r="3558" spans="15:15" x14ac:dyDescent="0.25">
      <c r="O3558" s="20" t="str">
        <f>IF(N3558="","",COUNTIFS(RawData[[Date ]],N3558,RawData[Month List],$Q$6,RawData[Tour/Site],$Q$2,RawData[[Picker ID ]],$Q$3,RawData[Checker ID],$Q$4,RawData[[Error Type ]],$Q$5))</f>
        <v/>
      </c>
    </row>
    <row r="3559" spans="15:15" x14ac:dyDescent="0.25">
      <c r="O3559" s="20" t="str">
        <f>IF(N3559="","",COUNTIFS(RawData[[Date ]],N3559,RawData[Month List],$Q$6,RawData[Tour/Site],$Q$2,RawData[[Picker ID ]],$Q$3,RawData[Checker ID],$Q$4,RawData[[Error Type ]],$Q$5))</f>
        <v/>
      </c>
    </row>
    <row r="3560" spans="15:15" x14ac:dyDescent="0.25">
      <c r="O3560" s="20" t="str">
        <f>IF(N3560="","",COUNTIFS(RawData[[Date ]],N3560,RawData[Month List],$Q$6,RawData[Tour/Site],$Q$2,RawData[[Picker ID ]],$Q$3,RawData[Checker ID],$Q$4,RawData[[Error Type ]],$Q$5))</f>
        <v/>
      </c>
    </row>
    <row r="3561" spans="15:15" x14ac:dyDescent="0.25">
      <c r="O3561" s="20" t="str">
        <f>IF(N3561="","",COUNTIFS(RawData[[Date ]],N3561,RawData[Month List],$Q$6,RawData[Tour/Site],$Q$2,RawData[[Picker ID ]],$Q$3,RawData[Checker ID],$Q$4,RawData[[Error Type ]],$Q$5))</f>
        <v/>
      </c>
    </row>
    <row r="3562" spans="15:15" x14ac:dyDescent="0.25">
      <c r="O3562" s="20" t="str">
        <f>IF(N3562="","",COUNTIFS(RawData[[Date ]],N3562,RawData[Month List],$Q$6,RawData[Tour/Site],$Q$2,RawData[[Picker ID ]],$Q$3,RawData[Checker ID],$Q$4,RawData[[Error Type ]],$Q$5))</f>
        <v/>
      </c>
    </row>
    <row r="3563" spans="15:15" x14ac:dyDescent="0.25">
      <c r="O3563" s="20" t="str">
        <f>IF(N3563="","",COUNTIFS(RawData[[Date ]],N3563,RawData[Month List],$Q$6,RawData[Tour/Site],$Q$2,RawData[[Picker ID ]],$Q$3,RawData[Checker ID],$Q$4,RawData[[Error Type ]],$Q$5))</f>
        <v/>
      </c>
    </row>
    <row r="3564" spans="15:15" x14ac:dyDescent="0.25">
      <c r="O3564" s="20" t="str">
        <f>IF(N3564="","",COUNTIFS(RawData[[Date ]],N3564,RawData[Month List],$Q$6,RawData[Tour/Site],$Q$2,RawData[[Picker ID ]],$Q$3,RawData[Checker ID],$Q$4,RawData[[Error Type ]],$Q$5))</f>
        <v/>
      </c>
    </row>
    <row r="3565" spans="15:15" x14ac:dyDescent="0.25">
      <c r="O3565" s="20" t="str">
        <f>IF(N3565="","",COUNTIFS(RawData[[Date ]],N3565,RawData[Month List],$Q$6,RawData[Tour/Site],$Q$2,RawData[[Picker ID ]],$Q$3,RawData[Checker ID],$Q$4,RawData[[Error Type ]],$Q$5))</f>
        <v/>
      </c>
    </row>
    <row r="3566" spans="15:15" x14ac:dyDescent="0.25">
      <c r="O3566" s="20" t="str">
        <f>IF(N3566="","",COUNTIFS(RawData[[Date ]],N3566,RawData[Month List],$Q$6,RawData[Tour/Site],$Q$2,RawData[[Picker ID ]],$Q$3,RawData[Checker ID],$Q$4,RawData[[Error Type ]],$Q$5))</f>
        <v/>
      </c>
    </row>
    <row r="3567" spans="15:15" x14ac:dyDescent="0.25">
      <c r="O3567" s="20" t="str">
        <f>IF(N3567="","",COUNTIFS(RawData[[Date ]],N3567,RawData[Month List],$Q$6,RawData[Tour/Site],$Q$2,RawData[[Picker ID ]],$Q$3,RawData[Checker ID],$Q$4,RawData[[Error Type ]],$Q$5))</f>
        <v/>
      </c>
    </row>
    <row r="3568" spans="15:15" x14ac:dyDescent="0.25">
      <c r="O3568" s="20" t="str">
        <f>IF(N3568="","",COUNTIFS(RawData[[Date ]],N3568,RawData[Month List],$Q$6,RawData[Tour/Site],$Q$2,RawData[[Picker ID ]],$Q$3,RawData[Checker ID],$Q$4,RawData[[Error Type ]],$Q$5))</f>
        <v/>
      </c>
    </row>
    <row r="3569" spans="15:15" x14ac:dyDescent="0.25">
      <c r="O3569" s="20" t="str">
        <f>IF(N3569="","",COUNTIFS(RawData[[Date ]],N3569,RawData[Month List],$Q$6,RawData[Tour/Site],$Q$2,RawData[[Picker ID ]],$Q$3,RawData[Checker ID],$Q$4,RawData[[Error Type ]],$Q$5))</f>
        <v/>
      </c>
    </row>
    <row r="3570" spans="15:15" x14ac:dyDescent="0.25">
      <c r="O3570" s="20" t="str">
        <f>IF(N3570="","",COUNTIFS(RawData[[Date ]],N3570,RawData[Month List],$Q$6,RawData[Tour/Site],$Q$2,RawData[[Picker ID ]],$Q$3,RawData[Checker ID],$Q$4,RawData[[Error Type ]],$Q$5))</f>
        <v/>
      </c>
    </row>
    <row r="3571" spans="15:15" x14ac:dyDescent="0.25">
      <c r="O3571" s="20" t="str">
        <f>IF(N3571="","",COUNTIFS(RawData[[Date ]],N3571,RawData[Month List],$Q$6,RawData[Tour/Site],$Q$2,RawData[[Picker ID ]],$Q$3,RawData[Checker ID],$Q$4,RawData[[Error Type ]],$Q$5))</f>
        <v/>
      </c>
    </row>
    <row r="3572" spans="15:15" x14ac:dyDescent="0.25">
      <c r="O3572" s="20" t="str">
        <f>IF(N3572="","",COUNTIFS(RawData[[Date ]],N3572,RawData[Month List],$Q$6,RawData[Tour/Site],$Q$2,RawData[[Picker ID ]],$Q$3,RawData[Checker ID],$Q$4,RawData[[Error Type ]],$Q$5))</f>
        <v/>
      </c>
    </row>
    <row r="3573" spans="15:15" x14ac:dyDescent="0.25">
      <c r="O3573" s="20" t="str">
        <f>IF(N3573="","",COUNTIFS(RawData[[Date ]],N3573,RawData[Month List],$Q$6,RawData[Tour/Site],$Q$2,RawData[[Picker ID ]],$Q$3,RawData[Checker ID],$Q$4,RawData[[Error Type ]],$Q$5))</f>
        <v/>
      </c>
    </row>
    <row r="3574" spans="15:15" x14ac:dyDescent="0.25">
      <c r="O3574" s="20" t="str">
        <f>IF(N3574="","",COUNTIFS(RawData[[Date ]],N3574,RawData[Month List],$Q$6,RawData[Tour/Site],$Q$2,RawData[[Picker ID ]],$Q$3,RawData[Checker ID],$Q$4,RawData[[Error Type ]],$Q$5))</f>
        <v/>
      </c>
    </row>
    <row r="3575" spans="15:15" x14ac:dyDescent="0.25">
      <c r="O3575" s="20" t="str">
        <f>IF(N3575="","",COUNTIFS(RawData[[Date ]],N3575,RawData[Month List],$Q$6,RawData[Tour/Site],$Q$2,RawData[[Picker ID ]],$Q$3,RawData[Checker ID],$Q$4,RawData[[Error Type ]],$Q$5))</f>
        <v/>
      </c>
    </row>
    <row r="3576" spans="15:15" x14ac:dyDescent="0.25">
      <c r="O3576" s="20" t="str">
        <f>IF(N3576="","",COUNTIFS(RawData[[Date ]],N3576,RawData[Month List],$Q$6,RawData[Tour/Site],$Q$2,RawData[[Picker ID ]],$Q$3,RawData[Checker ID],$Q$4,RawData[[Error Type ]],$Q$5))</f>
        <v/>
      </c>
    </row>
    <row r="3577" spans="15:15" x14ac:dyDescent="0.25">
      <c r="O3577" s="20" t="str">
        <f>IF(N3577="","",COUNTIFS(RawData[[Date ]],N3577,RawData[Month List],$Q$6,RawData[Tour/Site],$Q$2,RawData[[Picker ID ]],$Q$3,RawData[Checker ID],$Q$4,RawData[[Error Type ]],$Q$5))</f>
        <v/>
      </c>
    </row>
    <row r="3578" spans="15:15" x14ac:dyDescent="0.25">
      <c r="O3578" s="20" t="str">
        <f>IF(N3578="","",COUNTIFS(RawData[[Date ]],N3578,RawData[Month List],$Q$6,RawData[Tour/Site],$Q$2,RawData[[Picker ID ]],$Q$3,RawData[Checker ID],$Q$4,RawData[[Error Type ]],$Q$5))</f>
        <v/>
      </c>
    </row>
    <row r="3579" spans="15:15" x14ac:dyDescent="0.25">
      <c r="O3579" s="20" t="str">
        <f>IF(N3579="","",COUNTIFS(RawData[[Date ]],N3579,RawData[Month List],$Q$6,RawData[Tour/Site],$Q$2,RawData[[Picker ID ]],$Q$3,RawData[Checker ID],$Q$4,RawData[[Error Type ]],$Q$5))</f>
        <v/>
      </c>
    </row>
    <row r="3580" spans="15:15" x14ac:dyDescent="0.25">
      <c r="O3580" s="20" t="str">
        <f>IF(N3580="","",COUNTIFS(RawData[[Date ]],N3580,RawData[Month List],$Q$6,RawData[Tour/Site],$Q$2,RawData[[Picker ID ]],$Q$3,RawData[Checker ID],$Q$4,RawData[[Error Type ]],$Q$5))</f>
        <v/>
      </c>
    </row>
    <row r="3581" spans="15:15" x14ac:dyDescent="0.25">
      <c r="O3581" s="20" t="str">
        <f>IF(N3581="","",COUNTIFS(RawData[[Date ]],N3581,RawData[Month List],$Q$6,RawData[Tour/Site],$Q$2,RawData[[Picker ID ]],$Q$3,RawData[Checker ID],$Q$4,RawData[[Error Type ]],$Q$5))</f>
        <v/>
      </c>
    </row>
    <row r="3582" spans="15:15" x14ac:dyDescent="0.25">
      <c r="O3582" s="20" t="str">
        <f>IF(N3582="","",COUNTIFS(RawData[[Date ]],N3582,RawData[Month List],$Q$6,RawData[Tour/Site],$Q$2,RawData[[Picker ID ]],$Q$3,RawData[Checker ID],$Q$4,RawData[[Error Type ]],$Q$5))</f>
        <v/>
      </c>
    </row>
    <row r="3583" spans="15:15" x14ac:dyDescent="0.25">
      <c r="O3583" s="20" t="str">
        <f>IF(N3583="","",COUNTIFS(RawData[[Date ]],N3583,RawData[Month List],$Q$6,RawData[Tour/Site],$Q$2,RawData[[Picker ID ]],$Q$3,RawData[Checker ID],$Q$4,RawData[[Error Type ]],$Q$5))</f>
        <v/>
      </c>
    </row>
    <row r="3584" spans="15:15" x14ac:dyDescent="0.25">
      <c r="O3584" s="20" t="str">
        <f>IF(N3584="","",COUNTIFS(RawData[[Date ]],N3584,RawData[Month List],$Q$6,RawData[Tour/Site],$Q$2,RawData[[Picker ID ]],$Q$3,RawData[Checker ID],$Q$4,RawData[[Error Type ]],$Q$5))</f>
        <v/>
      </c>
    </row>
    <row r="3585" spans="15:15" x14ac:dyDescent="0.25">
      <c r="O3585" s="20" t="str">
        <f>IF(N3585="","",COUNTIFS(RawData[[Date ]],N3585,RawData[Month List],$Q$6,RawData[Tour/Site],$Q$2,RawData[[Picker ID ]],$Q$3,RawData[Checker ID],$Q$4,RawData[[Error Type ]],$Q$5))</f>
        <v/>
      </c>
    </row>
    <row r="3586" spans="15:15" x14ac:dyDescent="0.25">
      <c r="O3586" s="20" t="str">
        <f>IF(N3586="","",COUNTIFS(RawData[[Date ]],N3586,RawData[Month List],$Q$6,RawData[Tour/Site],$Q$2,RawData[[Picker ID ]],$Q$3,RawData[Checker ID],$Q$4,RawData[[Error Type ]],$Q$5))</f>
        <v/>
      </c>
    </row>
    <row r="3587" spans="15:15" x14ac:dyDescent="0.25">
      <c r="O3587" s="20" t="str">
        <f>IF(N3587="","",COUNTIFS(RawData[[Date ]],N3587,RawData[Month List],$Q$6,RawData[Tour/Site],$Q$2,RawData[[Picker ID ]],$Q$3,RawData[Checker ID],$Q$4,RawData[[Error Type ]],$Q$5))</f>
        <v/>
      </c>
    </row>
    <row r="3588" spans="15:15" x14ac:dyDescent="0.25">
      <c r="O3588" s="20" t="str">
        <f>IF(N3588="","",COUNTIFS(RawData[[Date ]],N3588,RawData[Month List],$Q$6,RawData[Tour/Site],$Q$2,RawData[[Picker ID ]],$Q$3,RawData[Checker ID],$Q$4,RawData[[Error Type ]],$Q$5))</f>
        <v/>
      </c>
    </row>
    <row r="3589" spans="15:15" x14ac:dyDescent="0.25">
      <c r="O3589" s="20" t="str">
        <f>IF(N3589="","",COUNTIFS(RawData[[Date ]],N3589,RawData[Month List],$Q$6,RawData[Tour/Site],$Q$2,RawData[[Picker ID ]],$Q$3,RawData[Checker ID],$Q$4,RawData[[Error Type ]],$Q$5))</f>
        <v/>
      </c>
    </row>
    <row r="3590" spans="15:15" x14ac:dyDescent="0.25">
      <c r="O3590" s="20" t="str">
        <f>IF(N3590="","",COUNTIFS(RawData[[Date ]],N3590,RawData[Month List],$Q$6,RawData[Tour/Site],$Q$2,RawData[[Picker ID ]],$Q$3,RawData[Checker ID],$Q$4,RawData[[Error Type ]],$Q$5))</f>
        <v/>
      </c>
    </row>
    <row r="3591" spans="15:15" x14ac:dyDescent="0.25">
      <c r="O3591" s="20" t="str">
        <f>IF(N3591="","",COUNTIFS(RawData[[Date ]],N3591,RawData[Month List],$Q$6,RawData[Tour/Site],$Q$2,RawData[[Picker ID ]],$Q$3,RawData[Checker ID],$Q$4,RawData[[Error Type ]],$Q$5))</f>
        <v/>
      </c>
    </row>
    <row r="3592" spans="15:15" x14ac:dyDescent="0.25">
      <c r="O3592" s="20" t="str">
        <f>IF(N3592="","",COUNTIFS(RawData[[Date ]],N3592,RawData[Month List],$Q$6,RawData[Tour/Site],$Q$2,RawData[[Picker ID ]],$Q$3,RawData[Checker ID],$Q$4,RawData[[Error Type ]],$Q$5))</f>
        <v/>
      </c>
    </row>
    <row r="3593" spans="15:15" x14ac:dyDescent="0.25">
      <c r="O3593" s="20" t="str">
        <f>IF(N3593="","",COUNTIFS(RawData[[Date ]],N3593,RawData[Month List],$Q$6,RawData[Tour/Site],$Q$2,RawData[[Picker ID ]],$Q$3,RawData[Checker ID],$Q$4,RawData[[Error Type ]],$Q$5))</f>
        <v/>
      </c>
    </row>
    <row r="3594" spans="15:15" x14ac:dyDescent="0.25">
      <c r="O3594" s="20" t="str">
        <f>IF(N3594="","",COUNTIFS(RawData[[Date ]],N3594,RawData[Month List],$Q$6,RawData[Tour/Site],$Q$2,RawData[[Picker ID ]],$Q$3,RawData[Checker ID],$Q$4,RawData[[Error Type ]],$Q$5))</f>
        <v/>
      </c>
    </row>
    <row r="3595" spans="15:15" x14ac:dyDescent="0.25">
      <c r="O3595" s="20" t="str">
        <f>IF(N3595="","",COUNTIFS(RawData[[Date ]],N3595,RawData[Month List],$Q$6,RawData[Tour/Site],$Q$2,RawData[[Picker ID ]],$Q$3,RawData[Checker ID],$Q$4,RawData[[Error Type ]],$Q$5))</f>
        <v/>
      </c>
    </row>
    <row r="3596" spans="15:15" x14ac:dyDescent="0.25">
      <c r="O3596" s="20" t="str">
        <f>IF(N3596="","",COUNTIFS(RawData[[Date ]],N3596,RawData[Month List],$Q$6,RawData[Tour/Site],$Q$2,RawData[[Picker ID ]],$Q$3,RawData[Checker ID],$Q$4,RawData[[Error Type ]],$Q$5))</f>
        <v/>
      </c>
    </row>
    <row r="3597" spans="15:15" x14ac:dyDescent="0.25">
      <c r="O3597" s="20" t="str">
        <f>IF(N3597="","",COUNTIFS(RawData[[Date ]],N3597,RawData[Month List],$Q$6,RawData[Tour/Site],$Q$2,RawData[[Picker ID ]],$Q$3,RawData[Checker ID],$Q$4,RawData[[Error Type ]],$Q$5))</f>
        <v/>
      </c>
    </row>
    <row r="3598" spans="15:15" x14ac:dyDescent="0.25">
      <c r="O3598" s="20" t="str">
        <f>IF(N3598="","",COUNTIFS(RawData[[Date ]],N3598,RawData[Month List],$Q$6,RawData[Tour/Site],$Q$2,RawData[[Picker ID ]],$Q$3,RawData[Checker ID],$Q$4,RawData[[Error Type ]],$Q$5))</f>
        <v/>
      </c>
    </row>
    <row r="3599" spans="15:15" x14ac:dyDescent="0.25">
      <c r="O3599" s="20" t="str">
        <f>IF(N3599="","",COUNTIFS(RawData[[Date ]],N3599,RawData[Month List],$Q$6,RawData[Tour/Site],$Q$2,RawData[[Picker ID ]],$Q$3,RawData[Checker ID],$Q$4,RawData[[Error Type ]],$Q$5))</f>
        <v/>
      </c>
    </row>
    <row r="3600" spans="15:15" x14ac:dyDescent="0.25">
      <c r="O3600" s="20" t="str">
        <f>IF(N3600="","",COUNTIFS(RawData[[Date ]],N3600,RawData[Month List],$Q$6,RawData[Tour/Site],$Q$2,RawData[[Picker ID ]],$Q$3,RawData[Checker ID],$Q$4,RawData[[Error Type ]],$Q$5))</f>
        <v/>
      </c>
    </row>
    <row r="3601" spans="15:15" x14ac:dyDescent="0.25">
      <c r="O3601" s="20" t="str">
        <f>IF(N3601="","",COUNTIFS(RawData[[Date ]],N3601,RawData[Month List],$Q$6,RawData[Tour/Site],$Q$2,RawData[[Picker ID ]],$Q$3,RawData[Checker ID],$Q$4,RawData[[Error Type ]],$Q$5))</f>
        <v/>
      </c>
    </row>
    <row r="3602" spans="15:15" x14ac:dyDescent="0.25">
      <c r="O3602" s="20" t="str">
        <f>IF(N3602="","",COUNTIFS(RawData[[Date ]],N3602,RawData[Month List],$Q$6,RawData[Tour/Site],$Q$2,RawData[[Picker ID ]],$Q$3,RawData[Checker ID],$Q$4,RawData[[Error Type ]],$Q$5))</f>
        <v/>
      </c>
    </row>
    <row r="3603" spans="15:15" x14ac:dyDescent="0.25">
      <c r="O3603" s="20" t="str">
        <f>IF(N3603="","",COUNTIFS(RawData[[Date ]],N3603,RawData[Month List],$Q$6,RawData[Tour/Site],$Q$2,RawData[[Picker ID ]],$Q$3,RawData[Checker ID],$Q$4,RawData[[Error Type ]],$Q$5))</f>
        <v/>
      </c>
    </row>
    <row r="3604" spans="15:15" x14ac:dyDescent="0.25">
      <c r="O3604" s="20" t="str">
        <f>IF(N3604="","",COUNTIFS(RawData[[Date ]],N3604,RawData[Month List],$Q$6,RawData[Tour/Site],$Q$2,RawData[[Picker ID ]],$Q$3,RawData[Checker ID],$Q$4,RawData[[Error Type ]],$Q$5))</f>
        <v/>
      </c>
    </row>
    <row r="3605" spans="15:15" x14ac:dyDescent="0.25">
      <c r="O3605" s="20" t="str">
        <f>IF(N3605="","",COUNTIFS(RawData[[Date ]],N3605,RawData[Month List],$Q$6,RawData[Tour/Site],$Q$2,RawData[[Picker ID ]],$Q$3,RawData[Checker ID],$Q$4,RawData[[Error Type ]],$Q$5))</f>
        <v/>
      </c>
    </row>
    <row r="3606" spans="15:15" x14ac:dyDescent="0.25">
      <c r="O3606" s="20" t="str">
        <f>IF(N3606="","",COUNTIFS(RawData[[Date ]],N3606,RawData[Month List],$Q$6,RawData[Tour/Site],$Q$2,RawData[[Picker ID ]],$Q$3,RawData[Checker ID],$Q$4,RawData[[Error Type ]],$Q$5))</f>
        <v/>
      </c>
    </row>
    <row r="3607" spans="15:15" x14ac:dyDescent="0.25">
      <c r="O3607" s="20" t="str">
        <f>IF(N3607="","",COUNTIFS(RawData[[Date ]],N3607,RawData[Month List],$Q$6,RawData[Tour/Site],$Q$2,RawData[[Picker ID ]],$Q$3,RawData[Checker ID],$Q$4,RawData[[Error Type ]],$Q$5))</f>
        <v/>
      </c>
    </row>
    <row r="3608" spans="15:15" x14ac:dyDescent="0.25">
      <c r="O3608" s="20" t="str">
        <f>IF(N3608="","",COUNTIFS(RawData[[Date ]],N3608,RawData[Month List],$Q$6,RawData[Tour/Site],$Q$2,RawData[[Picker ID ]],$Q$3,RawData[Checker ID],$Q$4,RawData[[Error Type ]],$Q$5))</f>
        <v/>
      </c>
    </row>
    <row r="3609" spans="15:15" x14ac:dyDescent="0.25">
      <c r="O3609" s="20" t="str">
        <f>IF(N3609="","",COUNTIFS(RawData[[Date ]],N3609,RawData[Month List],$Q$6,RawData[Tour/Site],$Q$2,RawData[[Picker ID ]],$Q$3,RawData[Checker ID],$Q$4,RawData[[Error Type ]],$Q$5))</f>
        <v/>
      </c>
    </row>
    <row r="3610" spans="15:15" x14ac:dyDescent="0.25">
      <c r="O3610" s="20" t="str">
        <f>IF(N3610="","",COUNTIFS(RawData[[Date ]],N3610,RawData[Month List],$Q$6,RawData[Tour/Site],$Q$2,RawData[[Picker ID ]],$Q$3,RawData[Checker ID],$Q$4,RawData[[Error Type ]],$Q$5))</f>
        <v/>
      </c>
    </row>
    <row r="3611" spans="15:15" x14ac:dyDescent="0.25">
      <c r="O3611" s="20" t="str">
        <f>IF(N3611="","",COUNTIFS(RawData[[Date ]],N3611,RawData[Month List],$Q$6,RawData[Tour/Site],$Q$2,RawData[[Picker ID ]],$Q$3,RawData[Checker ID],$Q$4,RawData[[Error Type ]],$Q$5))</f>
        <v/>
      </c>
    </row>
    <row r="3612" spans="15:15" x14ac:dyDescent="0.25">
      <c r="O3612" s="20" t="str">
        <f>IF(N3612="","",COUNTIFS(RawData[[Date ]],N3612,RawData[Month List],$Q$6,RawData[Tour/Site],$Q$2,RawData[[Picker ID ]],$Q$3,RawData[Checker ID],$Q$4,RawData[[Error Type ]],$Q$5))</f>
        <v/>
      </c>
    </row>
    <row r="3613" spans="15:15" x14ac:dyDescent="0.25">
      <c r="O3613" s="20" t="str">
        <f>IF(N3613="","",COUNTIFS(RawData[[Date ]],N3613,RawData[Month List],$Q$6,RawData[Tour/Site],$Q$2,RawData[[Picker ID ]],$Q$3,RawData[Checker ID],$Q$4,RawData[[Error Type ]],$Q$5))</f>
        <v/>
      </c>
    </row>
    <row r="3614" spans="15:15" x14ac:dyDescent="0.25">
      <c r="O3614" s="20" t="str">
        <f>IF(N3614="","",COUNTIFS(RawData[[Date ]],N3614,RawData[Month List],$Q$6,RawData[Tour/Site],$Q$2,RawData[[Picker ID ]],$Q$3,RawData[Checker ID],$Q$4,RawData[[Error Type ]],$Q$5))</f>
        <v/>
      </c>
    </row>
    <row r="3615" spans="15:15" x14ac:dyDescent="0.25">
      <c r="O3615" s="20" t="str">
        <f>IF(N3615="","",COUNTIFS(RawData[[Date ]],N3615,RawData[Month List],$Q$6,RawData[Tour/Site],$Q$2,RawData[[Picker ID ]],$Q$3,RawData[Checker ID],$Q$4,RawData[[Error Type ]],$Q$5))</f>
        <v/>
      </c>
    </row>
    <row r="3616" spans="15:15" x14ac:dyDescent="0.25">
      <c r="O3616" s="20" t="str">
        <f>IF(N3616="","",COUNTIFS(RawData[[Date ]],N3616,RawData[Month List],$Q$6,RawData[Tour/Site],$Q$2,RawData[[Picker ID ]],$Q$3,RawData[Checker ID],$Q$4,RawData[[Error Type ]],$Q$5))</f>
        <v/>
      </c>
    </row>
    <row r="3617" spans="15:15" x14ac:dyDescent="0.25">
      <c r="O3617" s="20" t="str">
        <f>IF(N3617="","",COUNTIFS(RawData[[Date ]],N3617,RawData[Month List],$Q$6,RawData[Tour/Site],$Q$2,RawData[[Picker ID ]],$Q$3,RawData[Checker ID],$Q$4,RawData[[Error Type ]],$Q$5))</f>
        <v/>
      </c>
    </row>
    <row r="3618" spans="15:15" x14ac:dyDescent="0.25">
      <c r="O3618" s="20" t="str">
        <f>IF(N3618="","",COUNTIFS(RawData[[Date ]],N3618,RawData[Month List],$Q$6,RawData[Tour/Site],$Q$2,RawData[[Picker ID ]],$Q$3,RawData[Checker ID],$Q$4,RawData[[Error Type ]],$Q$5))</f>
        <v/>
      </c>
    </row>
    <row r="3619" spans="15:15" x14ac:dyDescent="0.25">
      <c r="O3619" s="20" t="str">
        <f>IF(N3619="","",COUNTIFS(RawData[[Date ]],N3619,RawData[Month List],$Q$6,RawData[Tour/Site],$Q$2,RawData[[Picker ID ]],$Q$3,RawData[Checker ID],$Q$4,RawData[[Error Type ]],$Q$5))</f>
        <v/>
      </c>
    </row>
    <row r="3620" spans="15:15" x14ac:dyDescent="0.25">
      <c r="O3620" s="20" t="str">
        <f>IF(N3620="","",COUNTIFS(RawData[[Date ]],N3620,RawData[Month List],$Q$6,RawData[Tour/Site],$Q$2,RawData[[Picker ID ]],$Q$3,RawData[Checker ID],$Q$4,RawData[[Error Type ]],$Q$5))</f>
        <v/>
      </c>
    </row>
    <row r="3621" spans="15:15" x14ac:dyDescent="0.25">
      <c r="O3621" s="20" t="str">
        <f>IF(N3621="","",COUNTIFS(RawData[[Date ]],N3621,RawData[Month List],$Q$6,RawData[Tour/Site],$Q$2,RawData[[Picker ID ]],$Q$3,RawData[Checker ID],$Q$4,RawData[[Error Type ]],$Q$5))</f>
        <v/>
      </c>
    </row>
    <row r="3622" spans="15:15" x14ac:dyDescent="0.25">
      <c r="O3622" s="20" t="str">
        <f>IF(N3622="","",COUNTIFS(RawData[[Date ]],N3622,RawData[Month List],$Q$6,RawData[Tour/Site],$Q$2,RawData[[Picker ID ]],$Q$3,RawData[Checker ID],$Q$4,RawData[[Error Type ]],$Q$5))</f>
        <v/>
      </c>
    </row>
    <row r="3623" spans="15:15" x14ac:dyDescent="0.25">
      <c r="O3623" s="20" t="str">
        <f>IF(N3623="","",COUNTIFS(RawData[[Date ]],N3623,RawData[Month List],$Q$6,RawData[Tour/Site],$Q$2,RawData[[Picker ID ]],$Q$3,RawData[Checker ID],$Q$4,RawData[[Error Type ]],$Q$5))</f>
        <v/>
      </c>
    </row>
    <row r="3624" spans="15:15" x14ac:dyDescent="0.25">
      <c r="O3624" s="20" t="str">
        <f>IF(N3624="","",COUNTIFS(RawData[[Date ]],N3624,RawData[Month List],$Q$6,RawData[Tour/Site],$Q$2,RawData[[Picker ID ]],$Q$3,RawData[Checker ID],$Q$4,RawData[[Error Type ]],$Q$5))</f>
        <v/>
      </c>
    </row>
    <row r="3625" spans="15:15" x14ac:dyDescent="0.25">
      <c r="O3625" s="20" t="str">
        <f>IF(N3625="","",COUNTIFS(RawData[[Date ]],N3625,RawData[Month List],$Q$6,RawData[Tour/Site],$Q$2,RawData[[Picker ID ]],$Q$3,RawData[Checker ID],$Q$4,RawData[[Error Type ]],$Q$5))</f>
        <v/>
      </c>
    </row>
    <row r="3626" spans="15:15" x14ac:dyDescent="0.25">
      <c r="O3626" s="20" t="str">
        <f>IF(N3626="","",COUNTIFS(RawData[[Date ]],N3626,RawData[Month List],$Q$6,RawData[Tour/Site],$Q$2,RawData[[Picker ID ]],$Q$3,RawData[Checker ID],$Q$4,RawData[[Error Type ]],$Q$5))</f>
        <v/>
      </c>
    </row>
    <row r="3627" spans="15:15" x14ac:dyDescent="0.25">
      <c r="O3627" s="20" t="str">
        <f>IF(N3627="","",COUNTIFS(RawData[[Date ]],N3627,RawData[Month List],$Q$6,RawData[Tour/Site],$Q$2,RawData[[Picker ID ]],$Q$3,RawData[Checker ID],$Q$4,RawData[[Error Type ]],$Q$5))</f>
        <v/>
      </c>
    </row>
    <row r="3628" spans="15:15" x14ac:dyDescent="0.25">
      <c r="O3628" s="20" t="str">
        <f>IF(N3628="","",COUNTIFS(RawData[[Date ]],N3628,RawData[Month List],$Q$6,RawData[Tour/Site],$Q$2,RawData[[Picker ID ]],$Q$3,RawData[Checker ID],$Q$4,RawData[[Error Type ]],$Q$5))</f>
        <v/>
      </c>
    </row>
    <row r="3629" spans="15:15" x14ac:dyDescent="0.25">
      <c r="O3629" s="20" t="str">
        <f>IF(N3629="","",COUNTIFS(RawData[[Date ]],N3629,RawData[Month List],$Q$6,RawData[Tour/Site],$Q$2,RawData[[Picker ID ]],$Q$3,RawData[Checker ID],$Q$4,RawData[[Error Type ]],$Q$5))</f>
        <v/>
      </c>
    </row>
    <row r="3630" spans="15:15" x14ac:dyDescent="0.25">
      <c r="O3630" s="20" t="str">
        <f>IF(N3630="","",COUNTIFS(RawData[[Date ]],N3630,RawData[Month List],$Q$6,RawData[Tour/Site],$Q$2,RawData[[Picker ID ]],$Q$3,RawData[Checker ID],$Q$4,RawData[[Error Type ]],$Q$5))</f>
        <v/>
      </c>
    </row>
    <row r="3631" spans="15:15" x14ac:dyDescent="0.25">
      <c r="O3631" s="20" t="str">
        <f>IF(N3631="","",COUNTIFS(RawData[[Date ]],N3631,RawData[Month List],$Q$6,RawData[Tour/Site],$Q$2,RawData[[Picker ID ]],$Q$3,RawData[Checker ID],$Q$4,RawData[[Error Type ]],$Q$5))</f>
        <v/>
      </c>
    </row>
    <row r="3632" spans="15:15" x14ac:dyDescent="0.25">
      <c r="O3632" s="20" t="str">
        <f>IF(N3632="","",COUNTIFS(RawData[[Date ]],N3632,RawData[Month List],$Q$6,RawData[Tour/Site],$Q$2,RawData[[Picker ID ]],$Q$3,RawData[Checker ID],$Q$4,RawData[[Error Type ]],$Q$5))</f>
        <v/>
      </c>
    </row>
    <row r="3633" spans="15:15" x14ac:dyDescent="0.25">
      <c r="O3633" s="20" t="str">
        <f>IF(N3633="","",COUNTIFS(RawData[[Date ]],N3633,RawData[Month List],$Q$6,RawData[Tour/Site],$Q$2,RawData[[Picker ID ]],$Q$3,RawData[Checker ID],$Q$4,RawData[[Error Type ]],$Q$5))</f>
        <v/>
      </c>
    </row>
    <row r="3634" spans="15:15" x14ac:dyDescent="0.25">
      <c r="O3634" s="20" t="str">
        <f>IF(N3634="","",COUNTIFS(RawData[[Date ]],N3634,RawData[Month List],$Q$6,RawData[Tour/Site],$Q$2,RawData[[Picker ID ]],$Q$3,RawData[Checker ID],$Q$4,RawData[[Error Type ]],$Q$5))</f>
        <v/>
      </c>
    </row>
    <row r="3635" spans="15:15" x14ac:dyDescent="0.25">
      <c r="O3635" s="20" t="str">
        <f>IF(N3635="","",COUNTIFS(RawData[[Date ]],N3635,RawData[Month List],$Q$6,RawData[Tour/Site],$Q$2,RawData[[Picker ID ]],$Q$3,RawData[Checker ID],$Q$4,RawData[[Error Type ]],$Q$5))</f>
        <v/>
      </c>
    </row>
    <row r="3636" spans="15:15" x14ac:dyDescent="0.25">
      <c r="O3636" s="20" t="str">
        <f>IF(N3636="","",COUNTIFS(RawData[[Date ]],N3636,RawData[Month List],$Q$6,RawData[Tour/Site],$Q$2,RawData[[Picker ID ]],$Q$3,RawData[Checker ID],$Q$4,RawData[[Error Type ]],$Q$5))</f>
        <v/>
      </c>
    </row>
    <row r="3637" spans="15:15" x14ac:dyDescent="0.25">
      <c r="O3637" s="20" t="str">
        <f>IF(N3637="","",COUNTIFS(RawData[[Date ]],N3637,RawData[Month List],$Q$6,RawData[Tour/Site],$Q$2,RawData[[Picker ID ]],$Q$3,RawData[Checker ID],$Q$4,RawData[[Error Type ]],$Q$5))</f>
        <v/>
      </c>
    </row>
    <row r="3638" spans="15:15" x14ac:dyDescent="0.25">
      <c r="O3638" s="20" t="str">
        <f>IF(N3638="","",COUNTIFS(RawData[[Date ]],N3638,RawData[Month List],$Q$6,RawData[Tour/Site],$Q$2,RawData[[Picker ID ]],$Q$3,RawData[Checker ID],$Q$4,RawData[[Error Type ]],$Q$5))</f>
        <v/>
      </c>
    </row>
    <row r="3639" spans="15:15" x14ac:dyDescent="0.25">
      <c r="O3639" s="20" t="str">
        <f>IF(N3639="","",COUNTIFS(RawData[[Date ]],N3639,RawData[Month List],$Q$6,RawData[Tour/Site],$Q$2,RawData[[Picker ID ]],$Q$3,RawData[Checker ID],$Q$4,RawData[[Error Type ]],$Q$5))</f>
        <v/>
      </c>
    </row>
    <row r="3640" spans="15:15" x14ac:dyDescent="0.25">
      <c r="O3640" s="20" t="str">
        <f>IF(N3640="","",COUNTIFS(RawData[[Date ]],N3640,RawData[Month List],$Q$6,RawData[Tour/Site],$Q$2,RawData[[Picker ID ]],$Q$3,RawData[Checker ID],$Q$4,RawData[[Error Type ]],$Q$5))</f>
        <v/>
      </c>
    </row>
    <row r="3641" spans="15:15" x14ac:dyDescent="0.25">
      <c r="O3641" s="20" t="str">
        <f>IF(N3641="","",COUNTIFS(RawData[[Date ]],N3641,RawData[Month List],$Q$6,RawData[Tour/Site],$Q$2,RawData[[Picker ID ]],$Q$3,RawData[Checker ID],$Q$4,RawData[[Error Type ]],$Q$5))</f>
        <v/>
      </c>
    </row>
    <row r="3642" spans="15:15" x14ac:dyDescent="0.25">
      <c r="O3642" s="20" t="str">
        <f>IF(N3642="","",COUNTIFS(RawData[[Date ]],N3642,RawData[Month List],$Q$6,RawData[Tour/Site],$Q$2,RawData[[Picker ID ]],$Q$3,RawData[Checker ID],$Q$4,RawData[[Error Type ]],$Q$5))</f>
        <v/>
      </c>
    </row>
    <row r="3643" spans="15:15" x14ac:dyDescent="0.25">
      <c r="O3643" s="20" t="str">
        <f>IF(N3643="","",COUNTIFS(RawData[[Date ]],N3643,RawData[Month List],$Q$6,RawData[Tour/Site],$Q$2,RawData[[Picker ID ]],$Q$3,RawData[Checker ID],$Q$4,RawData[[Error Type ]],$Q$5))</f>
        <v/>
      </c>
    </row>
    <row r="3644" spans="15:15" x14ac:dyDescent="0.25">
      <c r="O3644" s="20" t="str">
        <f>IF(N3644="","",COUNTIFS(RawData[[Date ]],N3644,RawData[Month List],$Q$6,RawData[Tour/Site],$Q$2,RawData[[Picker ID ]],$Q$3,RawData[Checker ID],$Q$4,RawData[[Error Type ]],$Q$5))</f>
        <v/>
      </c>
    </row>
    <row r="3645" spans="15:15" x14ac:dyDescent="0.25">
      <c r="O3645" s="20" t="str">
        <f>IF(N3645="","",COUNTIFS(RawData[[Date ]],N3645,RawData[Month List],$Q$6,RawData[Tour/Site],$Q$2,RawData[[Picker ID ]],$Q$3,RawData[Checker ID],$Q$4,RawData[[Error Type ]],$Q$5))</f>
        <v/>
      </c>
    </row>
    <row r="3646" spans="15:15" x14ac:dyDescent="0.25">
      <c r="O3646" s="20" t="str">
        <f>IF(N3646="","",COUNTIFS(RawData[[Date ]],N3646,RawData[Month List],$Q$6,RawData[Tour/Site],$Q$2,RawData[[Picker ID ]],$Q$3,RawData[Checker ID],$Q$4,RawData[[Error Type ]],$Q$5))</f>
        <v/>
      </c>
    </row>
    <row r="3647" spans="15:15" x14ac:dyDescent="0.25">
      <c r="O3647" s="20" t="str">
        <f>IF(N3647="","",COUNTIFS(RawData[[Date ]],N3647,RawData[Month List],$Q$6,RawData[Tour/Site],$Q$2,RawData[[Picker ID ]],$Q$3,RawData[Checker ID],$Q$4,RawData[[Error Type ]],$Q$5))</f>
        <v/>
      </c>
    </row>
    <row r="3648" spans="15:15" x14ac:dyDescent="0.25">
      <c r="O3648" s="20" t="str">
        <f>IF(N3648="","",COUNTIFS(RawData[[Date ]],N3648,RawData[Month List],$Q$6,RawData[Tour/Site],$Q$2,RawData[[Picker ID ]],$Q$3,RawData[Checker ID],$Q$4,RawData[[Error Type ]],$Q$5))</f>
        <v/>
      </c>
    </row>
    <row r="3649" spans="15:15" x14ac:dyDescent="0.25">
      <c r="O3649" s="20" t="str">
        <f>IF(N3649="","",COUNTIFS(RawData[[Date ]],N3649,RawData[Month List],$Q$6,RawData[Tour/Site],$Q$2,RawData[[Picker ID ]],$Q$3,RawData[Checker ID],$Q$4,RawData[[Error Type ]],$Q$5))</f>
        <v/>
      </c>
    </row>
    <row r="3650" spans="15:15" x14ac:dyDescent="0.25">
      <c r="O3650" s="20" t="str">
        <f>IF(N3650="","",COUNTIFS(RawData[[Date ]],N3650,RawData[Month List],$Q$6,RawData[Tour/Site],$Q$2,RawData[[Picker ID ]],$Q$3,RawData[Checker ID],$Q$4,RawData[[Error Type ]],$Q$5))</f>
        <v/>
      </c>
    </row>
    <row r="3651" spans="15:15" x14ac:dyDescent="0.25">
      <c r="O3651" s="20" t="str">
        <f>IF(N3651="","",COUNTIFS(RawData[[Date ]],N3651,RawData[Month List],$Q$6,RawData[Tour/Site],$Q$2,RawData[[Picker ID ]],$Q$3,RawData[Checker ID],$Q$4,RawData[[Error Type ]],$Q$5))</f>
        <v/>
      </c>
    </row>
    <row r="3652" spans="15:15" x14ac:dyDescent="0.25">
      <c r="O3652" s="20" t="str">
        <f>IF(N3652="","",COUNTIFS(RawData[[Date ]],N3652,RawData[Month List],$Q$6,RawData[Tour/Site],$Q$2,RawData[[Picker ID ]],$Q$3,RawData[Checker ID],$Q$4,RawData[[Error Type ]],$Q$5))</f>
        <v/>
      </c>
    </row>
    <row r="3653" spans="15:15" x14ac:dyDescent="0.25">
      <c r="O3653" s="20" t="str">
        <f>IF(N3653="","",COUNTIFS(RawData[[Date ]],N3653,RawData[Month List],$Q$6,RawData[Tour/Site],$Q$2,RawData[[Picker ID ]],$Q$3,RawData[Checker ID],$Q$4,RawData[[Error Type ]],$Q$5))</f>
        <v/>
      </c>
    </row>
    <row r="3654" spans="15:15" x14ac:dyDescent="0.25">
      <c r="O3654" s="20" t="str">
        <f>IF(N3654="","",COUNTIFS(RawData[[Date ]],N3654,RawData[Month List],$Q$6,RawData[Tour/Site],$Q$2,RawData[[Picker ID ]],$Q$3,RawData[Checker ID],$Q$4,RawData[[Error Type ]],$Q$5))</f>
        <v/>
      </c>
    </row>
    <row r="3655" spans="15:15" x14ac:dyDescent="0.25">
      <c r="O3655" s="20" t="str">
        <f>IF(N3655="","",COUNTIFS(RawData[[Date ]],N3655,RawData[Month List],$Q$6,RawData[Tour/Site],$Q$2,RawData[[Picker ID ]],$Q$3,RawData[Checker ID],$Q$4,RawData[[Error Type ]],$Q$5))</f>
        <v/>
      </c>
    </row>
    <row r="3656" spans="15:15" x14ac:dyDescent="0.25">
      <c r="O3656" s="20" t="str">
        <f>IF(N3656="","",COUNTIFS(RawData[[Date ]],N3656,RawData[Month List],$Q$6,RawData[Tour/Site],$Q$2,RawData[[Picker ID ]],$Q$3,RawData[Checker ID],$Q$4,RawData[[Error Type ]],$Q$5))</f>
        <v/>
      </c>
    </row>
    <row r="3657" spans="15:15" x14ac:dyDescent="0.25">
      <c r="O3657" s="20" t="str">
        <f>IF(N3657="","",COUNTIFS(RawData[[Date ]],N3657,RawData[Month List],$Q$6,RawData[Tour/Site],$Q$2,RawData[[Picker ID ]],$Q$3,RawData[Checker ID],$Q$4,RawData[[Error Type ]],$Q$5))</f>
        <v/>
      </c>
    </row>
    <row r="3658" spans="15:15" x14ac:dyDescent="0.25">
      <c r="O3658" s="20" t="str">
        <f>IF(N3658="","",COUNTIFS(RawData[[Date ]],N3658,RawData[Month List],$Q$6,RawData[Tour/Site],$Q$2,RawData[[Picker ID ]],$Q$3,RawData[Checker ID],$Q$4,RawData[[Error Type ]],$Q$5))</f>
        <v/>
      </c>
    </row>
    <row r="3659" spans="15:15" x14ac:dyDescent="0.25">
      <c r="O3659" s="20" t="str">
        <f>IF(N3659="","",COUNTIFS(RawData[[Date ]],N3659,RawData[Month List],$Q$6,RawData[Tour/Site],$Q$2,RawData[[Picker ID ]],$Q$3,RawData[Checker ID],$Q$4,RawData[[Error Type ]],$Q$5))</f>
        <v/>
      </c>
    </row>
    <row r="3660" spans="15:15" x14ac:dyDescent="0.25">
      <c r="O3660" s="20" t="str">
        <f>IF(N3660="","",COUNTIFS(RawData[[Date ]],N3660,RawData[Month List],$Q$6,RawData[Tour/Site],$Q$2,RawData[[Picker ID ]],$Q$3,RawData[Checker ID],$Q$4,RawData[[Error Type ]],$Q$5))</f>
        <v/>
      </c>
    </row>
    <row r="3661" spans="15:15" x14ac:dyDescent="0.25">
      <c r="O3661" s="20" t="str">
        <f>IF(N3661="","",COUNTIFS(RawData[[Date ]],N3661,RawData[Month List],$Q$6,RawData[Tour/Site],$Q$2,RawData[[Picker ID ]],$Q$3,RawData[Checker ID],$Q$4,RawData[[Error Type ]],$Q$5))</f>
        <v/>
      </c>
    </row>
    <row r="3662" spans="15:15" x14ac:dyDescent="0.25">
      <c r="O3662" s="20" t="str">
        <f>IF(N3662="","",COUNTIFS(RawData[[Date ]],N3662,RawData[Month List],$Q$6,RawData[Tour/Site],$Q$2,RawData[[Picker ID ]],$Q$3,RawData[Checker ID],$Q$4,RawData[[Error Type ]],$Q$5))</f>
        <v/>
      </c>
    </row>
    <row r="3663" spans="15:15" x14ac:dyDescent="0.25">
      <c r="O3663" s="20" t="str">
        <f>IF(N3663="","",COUNTIFS(RawData[[Date ]],N3663,RawData[Month List],$Q$6,RawData[Tour/Site],$Q$2,RawData[[Picker ID ]],$Q$3,RawData[Checker ID],$Q$4,RawData[[Error Type ]],$Q$5))</f>
        <v/>
      </c>
    </row>
    <row r="3664" spans="15:15" x14ac:dyDescent="0.25">
      <c r="O3664" s="20" t="str">
        <f>IF(N3664="","",COUNTIFS(RawData[[Date ]],N3664,RawData[Month List],$Q$6,RawData[Tour/Site],$Q$2,RawData[[Picker ID ]],$Q$3,RawData[Checker ID],$Q$4,RawData[[Error Type ]],$Q$5))</f>
        <v/>
      </c>
    </row>
    <row r="3665" spans="15:15" x14ac:dyDescent="0.25">
      <c r="O3665" s="20" t="str">
        <f>IF(N3665="","",COUNTIFS(RawData[[Date ]],N3665,RawData[Month List],$Q$6,RawData[Tour/Site],$Q$2,RawData[[Picker ID ]],$Q$3,RawData[Checker ID],$Q$4,RawData[[Error Type ]],$Q$5))</f>
        <v/>
      </c>
    </row>
    <row r="3666" spans="15:15" x14ac:dyDescent="0.25">
      <c r="O3666" s="20" t="str">
        <f>IF(N3666="","",COUNTIFS(RawData[[Date ]],N3666,RawData[Month List],$Q$6,RawData[Tour/Site],$Q$2,RawData[[Picker ID ]],$Q$3,RawData[Checker ID],$Q$4,RawData[[Error Type ]],$Q$5))</f>
        <v/>
      </c>
    </row>
    <row r="3667" spans="15:15" x14ac:dyDescent="0.25">
      <c r="O3667" s="20" t="str">
        <f>IF(N3667="","",COUNTIFS(RawData[[Date ]],N3667,RawData[Month List],$Q$6,RawData[Tour/Site],$Q$2,RawData[[Picker ID ]],$Q$3,RawData[Checker ID],$Q$4,RawData[[Error Type ]],$Q$5))</f>
        <v/>
      </c>
    </row>
    <row r="3668" spans="15:15" x14ac:dyDescent="0.25">
      <c r="O3668" s="20" t="str">
        <f>IF(N3668="","",COUNTIFS(RawData[[Date ]],N3668,RawData[Month List],$Q$6,RawData[Tour/Site],$Q$2,RawData[[Picker ID ]],$Q$3,RawData[Checker ID],$Q$4,RawData[[Error Type ]],$Q$5))</f>
        <v/>
      </c>
    </row>
    <row r="3669" spans="15:15" x14ac:dyDescent="0.25">
      <c r="O3669" s="20" t="str">
        <f>IF(N3669="","",COUNTIFS(RawData[[Date ]],N3669,RawData[Month List],$Q$6,RawData[Tour/Site],$Q$2,RawData[[Picker ID ]],$Q$3,RawData[Checker ID],$Q$4,RawData[[Error Type ]],$Q$5))</f>
        <v/>
      </c>
    </row>
    <row r="3670" spans="15:15" x14ac:dyDescent="0.25">
      <c r="O3670" s="20" t="str">
        <f>IF(N3670="","",COUNTIFS(RawData[[Date ]],N3670,RawData[Month List],$Q$6,RawData[Tour/Site],$Q$2,RawData[[Picker ID ]],$Q$3,RawData[Checker ID],$Q$4,RawData[[Error Type ]],$Q$5))</f>
        <v/>
      </c>
    </row>
    <row r="3671" spans="15:15" x14ac:dyDescent="0.25">
      <c r="O3671" s="20" t="str">
        <f>IF(N3671="","",COUNTIFS(RawData[[Date ]],N3671,RawData[Month List],$Q$6,RawData[Tour/Site],$Q$2,RawData[[Picker ID ]],$Q$3,RawData[Checker ID],$Q$4,RawData[[Error Type ]],$Q$5))</f>
        <v/>
      </c>
    </row>
    <row r="3672" spans="15:15" x14ac:dyDescent="0.25">
      <c r="O3672" s="20" t="str">
        <f>IF(N3672="","",COUNTIFS(RawData[[Date ]],N3672,RawData[Month List],$Q$6,RawData[Tour/Site],$Q$2,RawData[[Picker ID ]],$Q$3,RawData[Checker ID],$Q$4,RawData[[Error Type ]],$Q$5))</f>
        <v/>
      </c>
    </row>
    <row r="3673" spans="15:15" x14ac:dyDescent="0.25">
      <c r="O3673" s="20" t="str">
        <f>IF(N3673="","",COUNTIFS(RawData[[Date ]],N3673,RawData[Month List],$Q$6,RawData[Tour/Site],$Q$2,RawData[[Picker ID ]],$Q$3,RawData[Checker ID],$Q$4,RawData[[Error Type ]],$Q$5))</f>
        <v/>
      </c>
    </row>
    <row r="3674" spans="15:15" x14ac:dyDescent="0.25">
      <c r="O3674" s="20" t="str">
        <f>IF(N3674="","",COUNTIFS(RawData[[Date ]],N3674,RawData[Month List],$Q$6,RawData[Tour/Site],$Q$2,RawData[[Picker ID ]],$Q$3,RawData[Checker ID],$Q$4,RawData[[Error Type ]],$Q$5))</f>
        <v/>
      </c>
    </row>
    <row r="3675" spans="15:15" x14ac:dyDescent="0.25">
      <c r="O3675" s="20" t="str">
        <f>IF(N3675="","",COUNTIFS(RawData[[Date ]],N3675,RawData[Month List],$Q$6,RawData[Tour/Site],$Q$2,RawData[[Picker ID ]],$Q$3,RawData[Checker ID],$Q$4,RawData[[Error Type ]],$Q$5))</f>
        <v/>
      </c>
    </row>
    <row r="3676" spans="15:15" x14ac:dyDescent="0.25">
      <c r="O3676" s="20" t="str">
        <f>IF(N3676="","",COUNTIFS(RawData[[Date ]],N3676,RawData[Month List],$Q$6,RawData[Tour/Site],$Q$2,RawData[[Picker ID ]],$Q$3,RawData[Checker ID],$Q$4,RawData[[Error Type ]],$Q$5))</f>
        <v/>
      </c>
    </row>
    <row r="3677" spans="15:15" x14ac:dyDescent="0.25">
      <c r="O3677" s="20" t="str">
        <f>IF(N3677="","",COUNTIFS(RawData[[Date ]],N3677,RawData[Month List],$Q$6,RawData[Tour/Site],$Q$2,RawData[[Picker ID ]],$Q$3,RawData[Checker ID],$Q$4,RawData[[Error Type ]],$Q$5))</f>
        <v/>
      </c>
    </row>
    <row r="3678" spans="15:15" x14ac:dyDescent="0.25">
      <c r="O3678" s="20" t="str">
        <f>IF(N3678="","",COUNTIFS(RawData[[Date ]],N3678,RawData[Month List],$Q$6,RawData[Tour/Site],$Q$2,RawData[[Picker ID ]],$Q$3,RawData[Checker ID],$Q$4,RawData[[Error Type ]],$Q$5))</f>
        <v/>
      </c>
    </row>
    <row r="3679" spans="15:15" x14ac:dyDescent="0.25">
      <c r="O3679" s="20" t="str">
        <f>IF(N3679="","",COUNTIFS(RawData[[Date ]],N3679,RawData[Month List],$Q$6,RawData[Tour/Site],$Q$2,RawData[[Picker ID ]],$Q$3,RawData[Checker ID],$Q$4,RawData[[Error Type ]],$Q$5))</f>
        <v/>
      </c>
    </row>
    <row r="3680" spans="15:15" x14ac:dyDescent="0.25">
      <c r="O3680" s="20" t="str">
        <f>IF(N3680="","",COUNTIFS(RawData[[Date ]],N3680,RawData[Month List],$Q$6,RawData[Tour/Site],$Q$2,RawData[[Picker ID ]],$Q$3,RawData[Checker ID],$Q$4,RawData[[Error Type ]],$Q$5))</f>
        <v/>
      </c>
    </row>
    <row r="3681" spans="15:15" x14ac:dyDescent="0.25">
      <c r="O3681" s="20" t="str">
        <f>IF(N3681="","",COUNTIFS(RawData[[Date ]],N3681,RawData[Month List],$Q$6,RawData[Tour/Site],$Q$2,RawData[[Picker ID ]],$Q$3,RawData[Checker ID],$Q$4,RawData[[Error Type ]],$Q$5))</f>
        <v/>
      </c>
    </row>
    <row r="3682" spans="15:15" x14ac:dyDescent="0.25">
      <c r="O3682" s="20" t="str">
        <f>IF(N3682="","",COUNTIFS(RawData[[Date ]],N3682,RawData[Month List],$Q$6,RawData[Tour/Site],$Q$2,RawData[[Picker ID ]],$Q$3,RawData[Checker ID],$Q$4,RawData[[Error Type ]],$Q$5))</f>
        <v/>
      </c>
    </row>
    <row r="3683" spans="15:15" x14ac:dyDescent="0.25">
      <c r="O3683" s="20" t="str">
        <f>IF(N3683="","",COUNTIFS(RawData[[Date ]],N3683,RawData[Month List],$Q$6,RawData[Tour/Site],$Q$2,RawData[[Picker ID ]],$Q$3,RawData[Checker ID],$Q$4,RawData[[Error Type ]],$Q$5))</f>
        <v/>
      </c>
    </row>
    <row r="3684" spans="15:15" x14ac:dyDescent="0.25">
      <c r="O3684" s="20" t="str">
        <f>IF(N3684="","",COUNTIFS(RawData[[Date ]],N3684,RawData[Month List],$Q$6,RawData[Tour/Site],$Q$2,RawData[[Picker ID ]],$Q$3,RawData[Checker ID],$Q$4,RawData[[Error Type ]],$Q$5))</f>
        <v/>
      </c>
    </row>
    <row r="3685" spans="15:15" x14ac:dyDescent="0.25">
      <c r="O3685" s="20" t="str">
        <f>IF(N3685="","",COUNTIFS(RawData[[Date ]],N3685,RawData[Month List],$Q$6,RawData[Tour/Site],$Q$2,RawData[[Picker ID ]],$Q$3,RawData[Checker ID],$Q$4,RawData[[Error Type ]],$Q$5))</f>
        <v/>
      </c>
    </row>
    <row r="3686" spans="15:15" x14ac:dyDescent="0.25">
      <c r="O3686" s="20" t="str">
        <f>IF(N3686="","",COUNTIFS(RawData[[Date ]],N3686,RawData[Month List],$Q$6,RawData[Tour/Site],$Q$2,RawData[[Picker ID ]],$Q$3,RawData[Checker ID],$Q$4,RawData[[Error Type ]],$Q$5))</f>
        <v/>
      </c>
    </row>
    <row r="3687" spans="15:15" x14ac:dyDescent="0.25">
      <c r="O3687" s="20" t="str">
        <f>IF(N3687="","",COUNTIFS(RawData[[Date ]],N3687,RawData[Month List],$Q$6,RawData[Tour/Site],$Q$2,RawData[[Picker ID ]],$Q$3,RawData[Checker ID],$Q$4,RawData[[Error Type ]],$Q$5))</f>
        <v/>
      </c>
    </row>
    <row r="3688" spans="15:15" x14ac:dyDescent="0.25">
      <c r="O3688" s="20" t="str">
        <f>IF(N3688="","",COUNTIFS(RawData[[Date ]],N3688,RawData[Month List],$Q$6,RawData[Tour/Site],$Q$2,RawData[[Picker ID ]],$Q$3,RawData[Checker ID],$Q$4,RawData[[Error Type ]],$Q$5))</f>
        <v/>
      </c>
    </row>
    <row r="3689" spans="15:15" x14ac:dyDescent="0.25">
      <c r="O3689" s="20" t="str">
        <f>IF(N3689="","",COUNTIFS(RawData[[Date ]],N3689,RawData[Month List],$Q$6,RawData[Tour/Site],$Q$2,RawData[[Picker ID ]],$Q$3,RawData[Checker ID],$Q$4,RawData[[Error Type ]],$Q$5))</f>
        <v/>
      </c>
    </row>
    <row r="3690" spans="15:15" x14ac:dyDescent="0.25">
      <c r="O3690" s="20" t="str">
        <f>IF(N3690="","",COUNTIFS(RawData[[Date ]],N3690,RawData[Month List],$Q$6,RawData[Tour/Site],$Q$2,RawData[[Picker ID ]],$Q$3,RawData[Checker ID],$Q$4,RawData[[Error Type ]],$Q$5))</f>
        <v/>
      </c>
    </row>
    <row r="3691" spans="15:15" x14ac:dyDescent="0.25">
      <c r="O3691" s="20" t="str">
        <f>IF(N3691="","",COUNTIFS(RawData[[Date ]],N3691,RawData[Month List],$Q$6,RawData[Tour/Site],$Q$2,RawData[[Picker ID ]],$Q$3,RawData[Checker ID],$Q$4,RawData[[Error Type ]],$Q$5))</f>
        <v/>
      </c>
    </row>
    <row r="3692" spans="15:15" x14ac:dyDescent="0.25">
      <c r="O3692" s="20" t="str">
        <f>IF(N3692="","",COUNTIFS(RawData[[Date ]],N3692,RawData[Month List],$Q$6,RawData[Tour/Site],$Q$2,RawData[[Picker ID ]],$Q$3,RawData[Checker ID],$Q$4,RawData[[Error Type ]],$Q$5))</f>
        <v/>
      </c>
    </row>
    <row r="3693" spans="15:15" x14ac:dyDescent="0.25">
      <c r="O3693" s="20" t="str">
        <f>IF(N3693="","",COUNTIFS(RawData[[Date ]],N3693,RawData[Month List],$Q$6,RawData[Tour/Site],$Q$2,RawData[[Picker ID ]],$Q$3,RawData[Checker ID],$Q$4,RawData[[Error Type ]],$Q$5))</f>
        <v/>
      </c>
    </row>
    <row r="3694" spans="15:15" x14ac:dyDescent="0.25">
      <c r="O3694" s="20" t="str">
        <f>IF(N3694="","",COUNTIFS(RawData[[Date ]],N3694,RawData[Month List],$Q$6,RawData[Tour/Site],$Q$2,RawData[[Picker ID ]],$Q$3,RawData[Checker ID],$Q$4,RawData[[Error Type ]],$Q$5))</f>
        <v/>
      </c>
    </row>
    <row r="3695" spans="15:15" x14ac:dyDescent="0.25">
      <c r="O3695" s="20" t="str">
        <f>IF(N3695="","",COUNTIFS(RawData[[Date ]],N3695,RawData[Month List],$Q$6,RawData[Tour/Site],$Q$2,RawData[[Picker ID ]],$Q$3,RawData[Checker ID],$Q$4,RawData[[Error Type ]],$Q$5))</f>
        <v/>
      </c>
    </row>
    <row r="3696" spans="15:15" x14ac:dyDescent="0.25">
      <c r="O3696" s="20" t="str">
        <f>IF(N3696="","",COUNTIFS(RawData[[Date ]],N3696,RawData[Month List],$Q$6,RawData[Tour/Site],$Q$2,RawData[[Picker ID ]],$Q$3,RawData[Checker ID],$Q$4,RawData[[Error Type ]],$Q$5))</f>
        <v/>
      </c>
    </row>
    <row r="3697" spans="15:15" x14ac:dyDescent="0.25">
      <c r="O3697" s="20" t="str">
        <f>IF(N3697="","",COUNTIFS(RawData[[Date ]],N3697,RawData[Month List],$Q$6,RawData[Tour/Site],$Q$2,RawData[[Picker ID ]],$Q$3,RawData[Checker ID],$Q$4,RawData[[Error Type ]],$Q$5))</f>
        <v/>
      </c>
    </row>
    <row r="3698" spans="15:15" x14ac:dyDescent="0.25">
      <c r="O3698" s="20" t="str">
        <f>IF(N3698="","",COUNTIFS(RawData[[Date ]],N3698,RawData[Month List],$Q$6,RawData[Tour/Site],$Q$2,RawData[[Picker ID ]],$Q$3,RawData[Checker ID],$Q$4,RawData[[Error Type ]],$Q$5))</f>
        <v/>
      </c>
    </row>
    <row r="3699" spans="15:15" x14ac:dyDescent="0.25">
      <c r="O3699" s="20" t="str">
        <f>IF(N3699="","",COUNTIFS(RawData[[Date ]],N3699,RawData[Month List],$Q$6,RawData[Tour/Site],$Q$2,RawData[[Picker ID ]],$Q$3,RawData[Checker ID],$Q$4,RawData[[Error Type ]],$Q$5))</f>
        <v/>
      </c>
    </row>
    <row r="3700" spans="15:15" x14ac:dyDescent="0.25">
      <c r="O3700" s="20" t="str">
        <f>IF(N3700="","",COUNTIFS(RawData[[Date ]],N3700,RawData[Month List],$Q$6,RawData[Tour/Site],$Q$2,RawData[[Picker ID ]],$Q$3,RawData[Checker ID],$Q$4,RawData[[Error Type ]],$Q$5))</f>
        <v/>
      </c>
    </row>
    <row r="3701" spans="15:15" x14ac:dyDescent="0.25">
      <c r="O3701" s="20" t="str">
        <f>IF(N3701="","",COUNTIFS(RawData[[Date ]],N3701,RawData[Month List],$Q$6,RawData[Tour/Site],$Q$2,RawData[[Picker ID ]],$Q$3,RawData[Checker ID],$Q$4,RawData[[Error Type ]],$Q$5))</f>
        <v/>
      </c>
    </row>
    <row r="3702" spans="15:15" x14ac:dyDescent="0.25">
      <c r="O3702" s="20" t="str">
        <f>IF(N3702="","",COUNTIFS(RawData[[Date ]],N3702,RawData[Month List],$Q$6,RawData[Tour/Site],$Q$2,RawData[[Picker ID ]],$Q$3,RawData[Checker ID],$Q$4,RawData[[Error Type ]],$Q$5))</f>
        <v/>
      </c>
    </row>
    <row r="3703" spans="15:15" x14ac:dyDescent="0.25">
      <c r="O3703" s="20" t="str">
        <f>IF(N3703="","",COUNTIFS(RawData[[Date ]],N3703,RawData[Month List],$Q$6,RawData[Tour/Site],$Q$2,RawData[[Picker ID ]],$Q$3,RawData[Checker ID],$Q$4,RawData[[Error Type ]],$Q$5))</f>
        <v/>
      </c>
    </row>
    <row r="3704" spans="15:15" x14ac:dyDescent="0.25">
      <c r="O3704" s="20" t="str">
        <f>IF(N3704="","",COUNTIFS(RawData[[Date ]],N3704,RawData[Month List],$Q$6,RawData[Tour/Site],$Q$2,RawData[[Picker ID ]],$Q$3,RawData[Checker ID],$Q$4,RawData[[Error Type ]],$Q$5))</f>
        <v/>
      </c>
    </row>
    <row r="3705" spans="15:15" x14ac:dyDescent="0.25">
      <c r="O3705" s="20" t="str">
        <f>IF(N3705="","",COUNTIFS(RawData[[Date ]],N3705,RawData[Month List],$Q$6,RawData[Tour/Site],$Q$2,RawData[[Picker ID ]],$Q$3,RawData[Checker ID],$Q$4,RawData[[Error Type ]],$Q$5))</f>
        <v/>
      </c>
    </row>
    <row r="3706" spans="15:15" x14ac:dyDescent="0.25">
      <c r="O3706" s="20" t="str">
        <f>IF(N3706="","",COUNTIFS(RawData[[Date ]],N3706,RawData[Month List],$Q$6,RawData[Tour/Site],$Q$2,RawData[[Picker ID ]],$Q$3,RawData[Checker ID],$Q$4,RawData[[Error Type ]],$Q$5))</f>
        <v/>
      </c>
    </row>
    <row r="3707" spans="15:15" x14ac:dyDescent="0.25">
      <c r="O3707" s="20" t="str">
        <f>IF(N3707="","",COUNTIFS(RawData[[Date ]],N3707,RawData[Month List],$Q$6,RawData[Tour/Site],$Q$2,RawData[[Picker ID ]],$Q$3,RawData[Checker ID],$Q$4,RawData[[Error Type ]],$Q$5))</f>
        <v/>
      </c>
    </row>
    <row r="3708" spans="15:15" x14ac:dyDescent="0.25">
      <c r="O3708" s="20" t="str">
        <f>IF(N3708="","",COUNTIFS(RawData[[Date ]],N3708,RawData[Month List],$Q$6,RawData[Tour/Site],$Q$2,RawData[[Picker ID ]],$Q$3,RawData[Checker ID],$Q$4,RawData[[Error Type ]],$Q$5))</f>
        <v/>
      </c>
    </row>
    <row r="3709" spans="15:15" x14ac:dyDescent="0.25">
      <c r="O3709" s="20" t="str">
        <f>IF(N3709="","",COUNTIFS(RawData[[Date ]],N3709,RawData[Month List],$Q$6,RawData[Tour/Site],$Q$2,RawData[[Picker ID ]],$Q$3,RawData[Checker ID],$Q$4,RawData[[Error Type ]],$Q$5))</f>
        <v/>
      </c>
    </row>
    <row r="3710" spans="15:15" x14ac:dyDescent="0.25">
      <c r="O3710" s="20" t="str">
        <f>IF(N3710="","",COUNTIFS(RawData[[Date ]],N3710,RawData[Month List],$Q$6,RawData[Tour/Site],$Q$2,RawData[[Picker ID ]],$Q$3,RawData[Checker ID],$Q$4,RawData[[Error Type ]],$Q$5))</f>
        <v/>
      </c>
    </row>
    <row r="3711" spans="15:15" x14ac:dyDescent="0.25">
      <c r="O3711" s="20" t="str">
        <f>IF(N3711="","",COUNTIFS(RawData[[Date ]],N3711,RawData[Month List],$Q$6,RawData[Tour/Site],$Q$2,RawData[[Picker ID ]],$Q$3,RawData[Checker ID],$Q$4,RawData[[Error Type ]],$Q$5))</f>
        <v/>
      </c>
    </row>
    <row r="3712" spans="15:15" x14ac:dyDescent="0.25">
      <c r="O3712" s="20" t="str">
        <f>IF(N3712="","",COUNTIFS(RawData[[Date ]],N3712,RawData[Month List],$Q$6,RawData[Tour/Site],$Q$2,RawData[[Picker ID ]],$Q$3,RawData[Checker ID],$Q$4,RawData[[Error Type ]],$Q$5))</f>
        <v/>
      </c>
    </row>
    <row r="3713" spans="15:15" x14ac:dyDescent="0.25">
      <c r="O3713" s="20" t="str">
        <f>IF(N3713="","",COUNTIFS(RawData[[Date ]],N3713,RawData[Month List],$Q$6,RawData[Tour/Site],$Q$2,RawData[[Picker ID ]],$Q$3,RawData[Checker ID],$Q$4,RawData[[Error Type ]],$Q$5))</f>
        <v/>
      </c>
    </row>
    <row r="3714" spans="15:15" x14ac:dyDescent="0.25">
      <c r="O3714" s="20" t="str">
        <f>IF(N3714="","",COUNTIFS(RawData[[Date ]],N3714,RawData[Month List],$Q$6,RawData[Tour/Site],$Q$2,RawData[[Picker ID ]],$Q$3,RawData[Checker ID],$Q$4,RawData[[Error Type ]],$Q$5))</f>
        <v/>
      </c>
    </row>
    <row r="3715" spans="15:15" x14ac:dyDescent="0.25">
      <c r="O3715" s="20" t="str">
        <f>IF(N3715="","",COUNTIFS(RawData[[Date ]],N3715,RawData[Month List],$Q$6,RawData[Tour/Site],$Q$2,RawData[[Picker ID ]],$Q$3,RawData[Checker ID],$Q$4,RawData[[Error Type ]],$Q$5))</f>
        <v/>
      </c>
    </row>
    <row r="3716" spans="15:15" x14ac:dyDescent="0.25">
      <c r="O3716" s="20" t="str">
        <f>IF(N3716="","",COUNTIFS(RawData[[Date ]],N3716,RawData[Month List],$Q$6,RawData[Tour/Site],$Q$2,RawData[[Picker ID ]],$Q$3,RawData[Checker ID],$Q$4,RawData[[Error Type ]],$Q$5))</f>
        <v/>
      </c>
    </row>
    <row r="3717" spans="15:15" x14ac:dyDescent="0.25">
      <c r="O3717" s="20" t="str">
        <f>IF(N3717="","",COUNTIFS(RawData[[Date ]],N3717,RawData[Month List],$Q$6,RawData[Tour/Site],$Q$2,RawData[[Picker ID ]],$Q$3,RawData[Checker ID],$Q$4,RawData[[Error Type ]],$Q$5))</f>
        <v/>
      </c>
    </row>
    <row r="3718" spans="15:15" x14ac:dyDescent="0.25">
      <c r="O3718" s="20" t="str">
        <f>IF(N3718="","",COUNTIFS(RawData[[Date ]],N3718,RawData[Month List],$Q$6,RawData[Tour/Site],$Q$2,RawData[[Picker ID ]],$Q$3,RawData[Checker ID],$Q$4,RawData[[Error Type ]],$Q$5))</f>
        <v/>
      </c>
    </row>
    <row r="3719" spans="15:15" x14ac:dyDescent="0.25">
      <c r="O3719" s="20" t="str">
        <f>IF(N3719="","",COUNTIFS(RawData[[Date ]],N3719,RawData[Month List],$Q$6,RawData[Tour/Site],$Q$2,RawData[[Picker ID ]],$Q$3,RawData[Checker ID],$Q$4,RawData[[Error Type ]],$Q$5))</f>
        <v/>
      </c>
    </row>
    <row r="3720" spans="15:15" x14ac:dyDescent="0.25">
      <c r="O3720" s="20" t="str">
        <f>IF(N3720="","",COUNTIFS(RawData[[Date ]],N3720,RawData[Month List],$Q$6,RawData[Tour/Site],$Q$2,RawData[[Picker ID ]],$Q$3,RawData[Checker ID],$Q$4,RawData[[Error Type ]],$Q$5))</f>
        <v/>
      </c>
    </row>
    <row r="3721" spans="15:15" x14ac:dyDescent="0.25">
      <c r="O3721" s="20" t="str">
        <f>IF(N3721="","",COUNTIFS(RawData[[Date ]],N3721,RawData[Month List],$Q$6,RawData[Tour/Site],$Q$2,RawData[[Picker ID ]],$Q$3,RawData[Checker ID],$Q$4,RawData[[Error Type ]],$Q$5))</f>
        <v/>
      </c>
    </row>
    <row r="3722" spans="15:15" x14ac:dyDescent="0.25">
      <c r="O3722" s="20" t="str">
        <f>IF(N3722="","",COUNTIFS(RawData[[Date ]],N3722,RawData[Month List],$Q$6,RawData[Tour/Site],$Q$2,RawData[[Picker ID ]],$Q$3,RawData[Checker ID],$Q$4,RawData[[Error Type ]],$Q$5))</f>
        <v/>
      </c>
    </row>
    <row r="3723" spans="15:15" x14ac:dyDescent="0.25">
      <c r="O3723" s="20" t="str">
        <f>IF(N3723="","",COUNTIFS(RawData[[Date ]],N3723,RawData[Month List],$Q$6,RawData[Tour/Site],$Q$2,RawData[[Picker ID ]],$Q$3,RawData[Checker ID],$Q$4,RawData[[Error Type ]],$Q$5))</f>
        <v/>
      </c>
    </row>
    <row r="3724" spans="15:15" x14ac:dyDescent="0.25">
      <c r="O3724" s="20" t="str">
        <f>IF(N3724="","",COUNTIFS(RawData[[Date ]],N3724,RawData[Month List],$Q$6,RawData[Tour/Site],$Q$2,RawData[[Picker ID ]],$Q$3,RawData[Checker ID],$Q$4,RawData[[Error Type ]],$Q$5))</f>
        <v/>
      </c>
    </row>
    <row r="3725" spans="15:15" x14ac:dyDescent="0.25">
      <c r="O3725" s="20" t="str">
        <f>IF(N3725="","",COUNTIFS(RawData[[Date ]],N3725,RawData[Month List],$Q$6,RawData[Tour/Site],$Q$2,RawData[[Picker ID ]],$Q$3,RawData[Checker ID],$Q$4,RawData[[Error Type ]],$Q$5))</f>
        <v/>
      </c>
    </row>
    <row r="3726" spans="15:15" x14ac:dyDescent="0.25">
      <c r="O3726" s="20" t="str">
        <f>IF(N3726="","",COUNTIFS(RawData[[Date ]],N3726,RawData[Month List],$Q$6,RawData[Tour/Site],$Q$2,RawData[[Picker ID ]],$Q$3,RawData[Checker ID],$Q$4,RawData[[Error Type ]],$Q$5))</f>
        <v/>
      </c>
    </row>
    <row r="3727" spans="15:15" x14ac:dyDescent="0.25">
      <c r="O3727" s="20" t="str">
        <f>IF(N3727="","",COUNTIFS(RawData[[Date ]],N3727,RawData[Month List],$Q$6,RawData[Tour/Site],$Q$2,RawData[[Picker ID ]],$Q$3,RawData[Checker ID],$Q$4,RawData[[Error Type ]],$Q$5))</f>
        <v/>
      </c>
    </row>
    <row r="3728" spans="15:15" x14ac:dyDescent="0.25">
      <c r="O3728" s="20" t="str">
        <f>IF(N3728="","",COUNTIFS(RawData[[Date ]],N3728,RawData[Month List],$Q$6,RawData[Tour/Site],$Q$2,RawData[[Picker ID ]],$Q$3,RawData[Checker ID],$Q$4,RawData[[Error Type ]],$Q$5))</f>
        <v/>
      </c>
    </row>
    <row r="3729" spans="15:15" x14ac:dyDescent="0.25">
      <c r="O3729" s="20" t="str">
        <f>IF(N3729="","",COUNTIFS(RawData[[Date ]],N3729,RawData[Month List],$Q$6,RawData[Tour/Site],$Q$2,RawData[[Picker ID ]],$Q$3,RawData[Checker ID],$Q$4,RawData[[Error Type ]],$Q$5))</f>
        <v/>
      </c>
    </row>
    <row r="3730" spans="15:15" x14ac:dyDescent="0.25">
      <c r="O3730" s="20" t="str">
        <f>IF(N3730="","",COUNTIFS(RawData[[Date ]],N3730,RawData[Month List],$Q$6,RawData[Tour/Site],$Q$2,RawData[[Picker ID ]],$Q$3,RawData[Checker ID],$Q$4,RawData[[Error Type ]],$Q$5))</f>
        <v/>
      </c>
    </row>
    <row r="3731" spans="15:15" x14ac:dyDescent="0.25">
      <c r="O3731" s="20" t="str">
        <f>IF(N3731="","",COUNTIFS(RawData[[Date ]],N3731,RawData[Month List],$Q$6,RawData[Tour/Site],$Q$2,RawData[[Picker ID ]],$Q$3,RawData[Checker ID],$Q$4,RawData[[Error Type ]],$Q$5))</f>
        <v/>
      </c>
    </row>
    <row r="3732" spans="15:15" x14ac:dyDescent="0.25">
      <c r="O3732" s="20" t="str">
        <f>IF(N3732="","",COUNTIFS(RawData[[Date ]],N3732,RawData[Month List],$Q$6,RawData[Tour/Site],$Q$2,RawData[[Picker ID ]],$Q$3,RawData[Checker ID],$Q$4,RawData[[Error Type ]],$Q$5))</f>
        <v/>
      </c>
    </row>
    <row r="3733" spans="15:15" x14ac:dyDescent="0.25">
      <c r="O3733" s="20" t="str">
        <f>IF(N3733="","",COUNTIFS(RawData[[Date ]],N3733,RawData[Month List],$Q$6,RawData[Tour/Site],$Q$2,RawData[[Picker ID ]],$Q$3,RawData[Checker ID],$Q$4,RawData[[Error Type ]],$Q$5))</f>
        <v/>
      </c>
    </row>
    <row r="3734" spans="15:15" x14ac:dyDescent="0.25">
      <c r="O3734" s="20" t="str">
        <f>IF(N3734="","",COUNTIFS(RawData[[Date ]],N3734,RawData[Month List],$Q$6,RawData[Tour/Site],$Q$2,RawData[[Picker ID ]],$Q$3,RawData[Checker ID],$Q$4,RawData[[Error Type ]],$Q$5))</f>
        <v/>
      </c>
    </row>
    <row r="3735" spans="15:15" x14ac:dyDescent="0.25">
      <c r="O3735" s="20" t="str">
        <f>IF(N3735="","",COUNTIFS(RawData[[Date ]],N3735,RawData[Month List],$Q$6,RawData[Tour/Site],$Q$2,RawData[[Picker ID ]],$Q$3,RawData[Checker ID],$Q$4,RawData[[Error Type ]],$Q$5))</f>
        <v/>
      </c>
    </row>
    <row r="3736" spans="15:15" x14ac:dyDescent="0.25">
      <c r="O3736" s="20" t="str">
        <f>IF(N3736="","",COUNTIFS(RawData[[Date ]],N3736,RawData[Month List],$Q$6,RawData[Tour/Site],$Q$2,RawData[[Picker ID ]],$Q$3,RawData[Checker ID],$Q$4,RawData[[Error Type ]],$Q$5))</f>
        <v/>
      </c>
    </row>
    <row r="3737" spans="15:15" x14ac:dyDescent="0.25">
      <c r="O3737" s="20" t="str">
        <f>IF(N3737="","",COUNTIFS(RawData[[Date ]],N3737,RawData[Month List],$Q$6,RawData[Tour/Site],$Q$2,RawData[[Picker ID ]],$Q$3,RawData[Checker ID],$Q$4,RawData[[Error Type ]],$Q$5))</f>
        <v/>
      </c>
    </row>
    <row r="3738" spans="15:15" x14ac:dyDescent="0.25">
      <c r="O3738" s="20" t="str">
        <f>IF(N3738="","",COUNTIFS(RawData[[Date ]],N3738,RawData[Month List],$Q$6,RawData[Tour/Site],$Q$2,RawData[[Picker ID ]],$Q$3,RawData[Checker ID],$Q$4,RawData[[Error Type ]],$Q$5))</f>
        <v/>
      </c>
    </row>
    <row r="3739" spans="15:15" x14ac:dyDescent="0.25">
      <c r="O3739" s="20" t="str">
        <f>IF(N3739="","",COUNTIFS(RawData[[Date ]],N3739,RawData[Month List],$Q$6,RawData[Tour/Site],$Q$2,RawData[[Picker ID ]],$Q$3,RawData[Checker ID],$Q$4,RawData[[Error Type ]],$Q$5))</f>
        <v/>
      </c>
    </row>
    <row r="3740" spans="15:15" x14ac:dyDescent="0.25">
      <c r="O3740" s="20" t="str">
        <f>IF(N3740="","",COUNTIFS(RawData[[Date ]],N3740,RawData[Month List],$Q$6,RawData[Tour/Site],$Q$2,RawData[[Picker ID ]],$Q$3,RawData[Checker ID],$Q$4,RawData[[Error Type ]],$Q$5))</f>
        <v/>
      </c>
    </row>
    <row r="3741" spans="15:15" x14ac:dyDescent="0.25">
      <c r="O3741" s="20" t="str">
        <f>IF(N3741="","",COUNTIFS(RawData[[Date ]],N3741,RawData[Month List],$Q$6,RawData[Tour/Site],$Q$2,RawData[[Picker ID ]],$Q$3,RawData[Checker ID],$Q$4,RawData[[Error Type ]],$Q$5))</f>
        <v/>
      </c>
    </row>
    <row r="3742" spans="15:15" x14ac:dyDescent="0.25">
      <c r="O3742" s="20" t="str">
        <f>IF(N3742="","",COUNTIFS(RawData[[Date ]],N3742,RawData[Month List],$Q$6,RawData[Tour/Site],$Q$2,RawData[[Picker ID ]],$Q$3,RawData[Checker ID],$Q$4,RawData[[Error Type ]],$Q$5))</f>
        <v/>
      </c>
    </row>
    <row r="3743" spans="15:15" x14ac:dyDescent="0.25">
      <c r="O3743" s="20" t="str">
        <f>IF(N3743="","",COUNTIFS(RawData[[Date ]],N3743,RawData[Month List],$Q$6,RawData[Tour/Site],$Q$2,RawData[[Picker ID ]],$Q$3,RawData[Checker ID],$Q$4,RawData[[Error Type ]],$Q$5))</f>
        <v/>
      </c>
    </row>
    <row r="3744" spans="15:15" x14ac:dyDescent="0.25">
      <c r="O3744" s="20" t="str">
        <f>IF(N3744="","",COUNTIFS(RawData[[Date ]],N3744,RawData[Month List],$Q$6,RawData[Tour/Site],$Q$2,RawData[[Picker ID ]],$Q$3,RawData[Checker ID],$Q$4,RawData[[Error Type ]],$Q$5))</f>
        <v/>
      </c>
    </row>
    <row r="3745" spans="15:15" x14ac:dyDescent="0.25">
      <c r="O3745" s="20" t="str">
        <f>IF(N3745="","",COUNTIFS(RawData[[Date ]],N3745,RawData[Month List],$Q$6,RawData[Tour/Site],$Q$2,RawData[[Picker ID ]],$Q$3,RawData[Checker ID],$Q$4,RawData[[Error Type ]],$Q$5))</f>
        <v/>
      </c>
    </row>
    <row r="3746" spans="15:15" x14ac:dyDescent="0.25">
      <c r="O3746" s="20" t="str">
        <f>IF(N3746="","",COUNTIFS(RawData[[Date ]],N3746,RawData[Month List],$Q$6,RawData[Tour/Site],$Q$2,RawData[[Picker ID ]],$Q$3,RawData[Checker ID],$Q$4,RawData[[Error Type ]],$Q$5))</f>
        <v/>
      </c>
    </row>
    <row r="3747" spans="15:15" x14ac:dyDescent="0.25">
      <c r="O3747" s="20" t="str">
        <f>IF(N3747="","",COUNTIFS(RawData[[Date ]],N3747,RawData[Month List],$Q$6,RawData[Tour/Site],$Q$2,RawData[[Picker ID ]],$Q$3,RawData[Checker ID],$Q$4,RawData[[Error Type ]],$Q$5))</f>
        <v/>
      </c>
    </row>
    <row r="3748" spans="15:15" x14ac:dyDescent="0.25">
      <c r="O3748" s="20" t="str">
        <f>IF(N3748="","",COUNTIFS(RawData[[Date ]],N3748,RawData[Month List],$Q$6,RawData[Tour/Site],$Q$2,RawData[[Picker ID ]],$Q$3,RawData[Checker ID],$Q$4,RawData[[Error Type ]],$Q$5))</f>
        <v/>
      </c>
    </row>
    <row r="3749" spans="15:15" x14ac:dyDescent="0.25">
      <c r="O3749" s="20" t="str">
        <f>IF(N3749="","",COUNTIFS(RawData[[Date ]],N3749,RawData[Month List],$Q$6,RawData[Tour/Site],$Q$2,RawData[[Picker ID ]],$Q$3,RawData[Checker ID],$Q$4,RawData[[Error Type ]],$Q$5))</f>
        <v/>
      </c>
    </row>
    <row r="3750" spans="15:15" x14ac:dyDescent="0.25">
      <c r="O3750" s="20" t="str">
        <f>IF(N3750="","",COUNTIFS(RawData[[Date ]],N3750,RawData[Month List],$Q$6,RawData[Tour/Site],$Q$2,RawData[[Picker ID ]],$Q$3,RawData[Checker ID],$Q$4,RawData[[Error Type ]],$Q$5))</f>
        <v/>
      </c>
    </row>
    <row r="3751" spans="15:15" x14ac:dyDescent="0.25">
      <c r="O3751" s="20" t="str">
        <f>IF(N3751="","",COUNTIFS(RawData[[Date ]],N3751,RawData[Month List],$Q$6,RawData[Tour/Site],$Q$2,RawData[[Picker ID ]],$Q$3,RawData[Checker ID],$Q$4,RawData[[Error Type ]],$Q$5))</f>
        <v/>
      </c>
    </row>
    <row r="3752" spans="15:15" x14ac:dyDescent="0.25">
      <c r="O3752" s="20" t="str">
        <f>IF(N3752="","",COUNTIFS(RawData[[Date ]],N3752,RawData[Month List],$Q$6,RawData[Tour/Site],$Q$2,RawData[[Picker ID ]],$Q$3,RawData[Checker ID],$Q$4,RawData[[Error Type ]],$Q$5))</f>
        <v/>
      </c>
    </row>
    <row r="3753" spans="15:15" x14ac:dyDescent="0.25">
      <c r="O3753" s="20" t="str">
        <f>IF(N3753="","",COUNTIFS(RawData[[Date ]],N3753,RawData[Month List],$Q$6,RawData[Tour/Site],$Q$2,RawData[[Picker ID ]],$Q$3,RawData[Checker ID],$Q$4,RawData[[Error Type ]],$Q$5))</f>
        <v/>
      </c>
    </row>
    <row r="3754" spans="15:15" x14ac:dyDescent="0.25">
      <c r="O3754" s="20" t="str">
        <f>IF(N3754="","",COUNTIFS(RawData[[Date ]],N3754,RawData[Month List],$Q$6,RawData[Tour/Site],$Q$2,RawData[[Picker ID ]],$Q$3,RawData[Checker ID],$Q$4,RawData[[Error Type ]],$Q$5))</f>
        <v/>
      </c>
    </row>
    <row r="3755" spans="15:15" x14ac:dyDescent="0.25">
      <c r="O3755" s="20" t="str">
        <f>IF(N3755="","",COUNTIFS(RawData[[Date ]],N3755,RawData[Month List],$Q$6,RawData[Tour/Site],$Q$2,RawData[[Picker ID ]],$Q$3,RawData[Checker ID],$Q$4,RawData[[Error Type ]],$Q$5))</f>
        <v/>
      </c>
    </row>
    <row r="3756" spans="15:15" x14ac:dyDescent="0.25">
      <c r="O3756" s="20" t="str">
        <f>IF(N3756="","",COUNTIFS(RawData[[Date ]],N3756,RawData[Month List],$Q$6,RawData[Tour/Site],$Q$2,RawData[[Picker ID ]],$Q$3,RawData[Checker ID],$Q$4,RawData[[Error Type ]],$Q$5))</f>
        <v/>
      </c>
    </row>
    <row r="3757" spans="15:15" x14ac:dyDescent="0.25">
      <c r="O3757" s="20" t="str">
        <f>IF(N3757="","",COUNTIFS(RawData[[Date ]],N3757,RawData[Month List],$Q$6,RawData[Tour/Site],$Q$2,RawData[[Picker ID ]],$Q$3,RawData[Checker ID],$Q$4,RawData[[Error Type ]],$Q$5))</f>
        <v/>
      </c>
    </row>
    <row r="3758" spans="15:15" x14ac:dyDescent="0.25">
      <c r="O3758" s="20" t="str">
        <f>IF(N3758="","",COUNTIFS(RawData[[Date ]],N3758,RawData[Month List],$Q$6,RawData[Tour/Site],$Q$2,RawData[[Picker ID ]],$Q$3,RawData[Checker ID],$Q$4,RawData[[Error Type ]],$Q$5))</f>
        <v/>
      </c>
    </row>
    <row r="3759" spans="15:15" x14ac:dyDescent="0.25">
      <c r="O3759" s="20" t="str">
        <f>IF(N3759="","",COUNTIFS(RawData[[Date ]],N3759,RawData[Month List],$Q$6,RawData[Tour/Site],$Q$2,RawData[[Picker ID ]],$Q$3,RawData[Checker ID],$Q$4,RawData[[Error Type ]],$Q$5))</f>
        <v/>
      </c>
    </row>
    <row r="3760" spans="15:15" x14ac:dyDescent="0.25">
      <c r="O3760" s="20" t="str">
        <f>IF(N3760="","",COUNTIFS(RawData[[Date ]],N3760,RawData[Month List],$Q$6,RawData[Tour/Site],$Q$2,RawData[[Picker ID ]],$Q$3,RawData[Checker ID],$Q$4,RawData[[Error Type ]],$Q$5))</f>
        <v/>
      </c>
    </row>
    <row r="3761" spans="15:15" x14ac:dyDescent="0.25">
      <c r="O3761" s="20" t="str">
        <f>IF(N3761="","",COUNTIFS(RawData[[Date ]],N3761,RawData[Month List],$Q$6,RawData[Tour/Site],$Q$2,RawData[[Picker ID ]],$Q$3,RawData[Checker ID],$Q$4,RawData[[Error Type ]],$Q$5))</f>
        <v/>
      </c>
    </row>
    <row r="3762" spans="15:15" x14ac:dyDescent="0.25">
      <c r="O3762" s="20" t="str">
        <f>IF(N3762="","",COUNTIFS(RawData[[Date ]],N3762,RawData[Month List],$Q$6,RawData[Tour/Site],$Q$2,RawData[[Picker ID ]],$Q$3,RawData[Checker ID],$Q$4,RawData[[Error Type ]],$Q$5))</f>
        <v/>
      </c>
    </row>
    <row r="3763" spans="15:15" x14ac:dyDescent="0.25">
      <c r="O3763" s="20" t="str">
        <f>IF(N3763="","",COUNTIFS(RawData[[Date ]],N3763,RawData[Month List],$Q$6,RawData[Tour/Site],$Q$2,RawData[[Picker ID ]],$Q$3,RawData[Checker ID],$Q$4,RawData[[Error Type ]],$Q$5))</f>
        <v/>
      </c>
    </row>
    <row r="3764" spans="15:15" x14ac:dyDescent="0.25">
      <c r="O3764" s="20" t="str">
        <f>IF(N3764="","",COUNTIFS(RawData[[Date ]],N3764,RawData[Month List],$Q$6,RawData[Tour/Site],$Q$2,RawData[[Picker ID ]],$Q$3,RawData[Checker ID],$Q$4,RawData[[Error Type ]],$Q$5))</f>
        <v/>
      </c>
    </row>
    <row r="3765" spans="15:15" x14ac:dyDescent="0.25">
      <c r="O3765" s="20" t="str">
        <f>IF(N3765="","",COUNTIFS(RawData[[Date ]],N3765,RawData[Month List],$Q$6,RawData[Tour/Site],$Q$2,RawData[[Picker ID ]],$Q$3,RawData[Checker ID],$Q$4,RawData[[Error Type ]],$Q$5))</f>
        <v/>
      </c>
    </row>
    <row r="3766" spans="15:15" x14ac:dyDescent="0.25">
      <c r="O3766" s="20" t="str">
        <f>IF(N3766="","",COUNTIFS(RawData[[Date ]],N3766,RawData[Month List],$Q$6,RawData[Tour/Site],$Q$2,RawData[[Picker ID ]],$Q$3,RawData[Checker ID],$Q$4,RawData[[Error Type ]],$Q$5))</f>
        <v/>
      </c>
    </row>
    <row r="3767" spans="15:15" x14ac:dyDescent="0.25">
      <c r="O3767" s="20" t="str">
        <f>IF(N3767="","",COUNTIFS(RawData[[Date ]],N3767,RawData[Month List],$Q$6,RawData[Tour/Site],$Q$2,RawData[[Picker ID ]],$Q$3,RawData[Checker ID],$Q$4,RawData[[Error Type ]],$Q$5))</f>
        <v/>
      </c>
    </row>
    <row r="3768" spans="15:15" x14ac:dyDescent="0.25">
      <c r="O3768" s="20" t="str">
        <f>IF(N3768="","",COUNTIFS(RawData[[Date ]],N3768,RawData[Month List],$Q$6,RawData[Tour/Site],$Q$2,RawData[[Picker ID ]],$Q$3,RawData[Checker ID],$Q$4,RawData[[Error Type ]],$Q$5))</f>
        <v/>
      </c>
    </row>
    <row r="3769" spans="15:15" x14ac:dyDescent="0.25">
      <c r="O3769" s="20" t="str">
        <f>IF(N3769="","",COUNTIFS(RawData[[Date ]],N3769,RawData[Month List],$Q$6,RawData[Tour/Site],$Q$2,RawData[[Picker ID ]],$Q$3,RawData[Checker ID],$Q$4,RawData[[Error Type ]],$Q$5))</f>
        <v/>
      </c>
    </row>
    <row r="3770" spans="15:15" x14ac:dyDescent="0.25">
      <c r="O3770" s="20" t="str">
        <f>IF(N3770="","",COUNTIFS(RawData[[Date ]],N3770,RawData[Month List],$Q$6,RawData[Tour/Site],$Q$2,RawData[[Picker ID ]],$Q$3,RawData[Checker ID],$Q$4,RawData[[Error Type ]],$Q$5))</f>
        <v/>
      </c>
    </row>
    <row r="3771" spans="15:15" x14ac:dyDescent="0.25">
      <c r="O3771" s="20" t="str">
        <f>IF(N3771="","",COUNTIFS(RawData[[Date ]],N3771,RawData[Month List],$Q$6,RawData[Tour/Site],$Q$2,RawData[[Picker ID ]],$Q$3,RawData[Checker ID],$Q$4,RawData[[Error Type ]],$Q$5))</f>
        <v/>
      </c>
    </row>
    <row r="3772" spans="15:15" x14ac:dyDescent="0.25">
      <c r="O3772" s="20" t="str">
        <f>IF(N3772="","",COUNTIFS(RawData[[Date ]],N3772,RawData[Month List],$Q$6,RawData[Tour/Site],$Q$2,RawData[[Picker ID ]],$Q$3,RawData[Checker ID],$Q$4,RawData[[Error Type ]],$Q$5))</f>
        <v/>
      </c>
    </row>
    <row r="3773" spans="15:15" x14ac:dyDescent="0.25">
      <c r="O3773" s="20" t="str">
        <f>IF(N3773="","",COUNTIFS(RawData[[Date ]],N3773,RawData[Month List],$Q$6,RawData[Tour/Site],$Q$2,RawData[[Picker ID ]],$Q$3,RawData[Checker ID],$Q$4,RawData[[Error Type ]],$Q$5))</f>
        <v/>
      </c>
    </row>
    <row r="3774" spans="15:15" x14ac:dyDescent="0.25">
      <c r="O3774" s="20" t="str">
        <f>IF(N3774="","",COUNTIFS(RawData[[Date ]],N3774,RawData[Month List],$Q$6,RawData[Tour/Site],$Q$2,RawData[[Picker ID ]],$Q$3,RawData[Checker ID],$Q$4,RawData[[Error Type ]],$Q$5))</f>
        <v/>
      </c>
    </row>
    <row r="3775" spans="15:15" x14ac:dyDescent="0.25">
      <c r="O3775" s="20" t="str">
        <f>IF(N3775="","",COUNTIFS(RawData[[Date ]],N3775,RawData[Month List],$Q$6,RawData[Tour/Site],$Q$2,RawData[[Picker ID ]],$Q$3,RawData[Checker ID],$Q$4,RawData[[Error Type ]],$Q$5))</f>
        <v/>
      </c>
    </row>
    <row r="3776" spans="15:15" x14ac:dyDescent="0.25">
      <c r="O3776" s="20" t="str">
        <f>IF(N3776="","",COUNTIFS(RawData[[Date ]],N3776,RawData[Month List],$Q$6,RawData[Tour/Site],$Q$2,RawData[[Picker ID ]],$Q$3,RawData[Checker ID],$Q$4,RawData[[Error Type ]],$Q$5))</f>
        <v/>
      </c>
    </row>
    <row r="3777" spans="15:15" x14ac:dyDescent="0.25">
      <c r="O3777" s="20" t="str">
        <f>IF(N3777="","",COUNTIFS(RawData[[Date ]],N3777,RawData[Month List],$Q$6,RawData[Tour/Site],$Q$2,RawData[[Picker ID ]],$Q$3,RawData[Checker ID],$Q$4,RawData[[Error Type ]],$Q$5))</f>
        <v/>
      </c>
    </row>
    <row r="3778" spans="15:15" x14ac:dyDescent="0.25">
      <c r="O3778" s="20" t="str">
        <f>IF(N3778="","",COUNTIFS(RawData[[Date ]],N3778,RawData[Month List],$Q$6,RawData[Tour/Site],$Q$2,RawData[[Picker ID ]],$Q$3,RawData[Checker ID],$Q$4,RawData[[Error Type ]],$Q$5))</f>
        <v/>
      </c>
    </row>
    <row r="3779" spans="15:15" x14ac:dyDescent="0.25">
      <c r="O3779" s="20" t="str">
        <f>IF(N3779="","",COUNTIFS(RawData[[Date ]],N3779,RawData[Month List],$Q$6,RawData[Tour/Site],$Q$2,RawData[[Picker ID ]],$Q$3,RawData[Checker ID],$Q$4,RawData[[Error Type ]],$Q$5))</f>
        <v/>
      </c>
    </row>
    <row r="3780" spans="15:15" x14ac:dyDescent="0.25">
      <c r="O3780" s="20" t="str">
        <f>IF(N3780="","",COUNTIFS(RawData[[Date ]],N3780,RawData[Month List],$Q$6,RawData[Tour/Site],$Q$2,RawData[[Picker ID ]],$Q$3,RawData[Checker ID],$Q$4,RawData[[Error Type ]],$Q$5))</f>
        <v/>
      </c>
    </row>
    <row r="3781" spans="15:15" x14ac:dyDescent="0.25">
      <c r="O3781" s="20" t="str">
        <f>IF(N3781="","",COUNTIFS(RawData[[Date ]],N3781,RawData[Month List],$Q$6,RawData[Tour/Site],$Q$2,RawData[[Picker ID ]],$Q$3,RawData[Checker ID],$Q$4,RawData[[Error Type ]],$Q$5))</f>
        <v/>
      </c>
    </row>
    <row r="3782" spans="15:15" x14ac:dyDescent="0.25">
      <c r="O3782" s="20" t="str">
        <f>IF(N3782="","",COUNTIFS(RawData[[Date ]],N3782,RawData[Month List],$Q$6,RawData[Tour/Site],$Q$2,RawData[[Picker ID ]],$Q$3,RawData[Checker ID],$Q$4,RawData[[Error Type ]],$Q$5))</f>
        <v/>
      </c>
    </row>
    <row r="3783" spans="15:15" x14ac:dyDescent="0.25">
      <c r="O3783" s="20" t="str">
        <f>IF(N3783="","",COUNTIFS(RawData[[Date ]],N3783,RawData[Month List],$Q$6,RawData[Tour/Site],$Q$2,RawData[[Picker ID ]],$Q$3,RawData[Checker ID],$Q$4,RawData[[Error Type ]],$Q$5))</f>
        <v/>
      </c>
    </row>
    <row r="3784" spans="15:15" x14ac:dyDescent="0.25">
      <c r="O3784" s="20" t="str">
        <f>IF(N3784="","",COUNTIFS(RawData[[Date ]],N3784,RawData[Month List],$Q$6,RawData[Tour/Site],$Q$2,RawData[[Picker ID ]],$Q$3,RawData[Checker ID],$Q$4,RawData[[Error Type ]],$Q$5))</f>
        <v/>
      </c>
    </row>
    <row r="3785" spans="15:15" x14ac:dyDescent="0.25">
      <c r="O3785" s="20" t="str">
        <f>IF(N3785="","",COUNTIFS(RawData[[Date ]],N3785,RawData[Month List],$Q$6,RawData[Tour/Site],$Q$2,RawData[[Picker ID ]],$Q$3,RawData[Checker ID],$Q$4,RawData[[Error Type ]],$Q$5))</f>
        <v/>
      </c>
    </row>
    <row r="3786" spans="15:15" x14ac:dyDescent="0.25">
      <c r="O3786" s="20" t="str">
        <f>IF(N3786="","",COUNTIFS(RawData[[Date ]],N3786,RawData[Month List],$Q$6,RawData[Tour/Site],$Q$2,RawData[[Picker ID ]],$Q$3,RawData[Checker ID],$Q$4,RawData[[Error Type ]],$Q$5))</f>
        <v/>
      </c>
    </row>
    <row r="3787" spans="15:15" x14ac:dyDescent="0.25">
      <c r="O3787" s="20" t="str">
        <f>IF(N3787="","",COUNTIFS(RawData[[Date ]],N3787,RawData[Month List],$Q$6,RawData[Tour/Site],$Q$2,RawData[[Picker ID ]],$Q$3,RawData[Checker ID],$Q$4,RawData[[Error Type ]],$Q$5))</f>
        <v/>
      </c>
    </row>
    <row r="3788" spans="15:15" x14ac:dyDescent="0.25">
      <c r="O3788" s="20" t="str">
        <f>IF(N3788="","",COUNTIFS(RawData[[Date ]],N3788,RawData[Month List],$Q$6,RawData[Tour/Site],$Q$2,RawData[[Picker ID ]],$Q$3,RawData[Checker ID],$Q$4,RawData[[Error Type ]],$Q$5))</f>
        <v/>
      </c>
    </row>
    <row r="3789" spans="15:15" x14ac:dyDescent="0.25">
      <c r="O3789" s="20" t="str">
        <f>IF(N3789="","",COUNTIFS(RawData[[Date ]],N3789,RawData[Month List],$Q$6,RawData[Tour/Site],$Q$2,RawData[[Picker ID ]],$Q$3,RawData[Checker ID],$Q$4,RawData[[Error Type ]],$Q$5))</f>
        <v/>
      </c>
    </row>
    <row r="3790" spans="15:15" x14ac:dyDescent="0.25">
      <c r="O3790" s="20" t="str">
        <f>IF(N3790="","",COUNTIFS(RawData[[Date ]],N3790,RawData[Month List],$Q$6,RawData[Tour/Site],$Q$2,RawData[[Picker ID ]],$Q$3,RawData[Checker ID],$Q$4,RawData[[Error Type ]],$Q$5))</f>
        <v/>
      </c>
    </row>
    <row r="3791" spans="15:15" x14ac:dyDescent="0.25">
      <c r="O3791" s="20" t="str">
        <f>IF(N3791="","",COUNTIFS(RawData[[Date ]],N3791,RawData[Month List],$Q$6,RawData[Tour/Site],$Q$2,RawData[[Picker ID ]],$Q$3,RawData[Checker ID],$Q$4,RawData[[Error Type ]],$Q$5))</f>
        <v/>
      </c>
    </row>
    <row r="3792" spans="15:15" x14ac:dyDescent="0.25">
      <c r="O3792" s="20" t="str">
        <f>IF(N3792="","",COUNTIFS(RawData[[Date ]],N3792,RawData[Month List],$Q$6,RawData[Tour/Site],$Q$2,RawData[[Picker ID ]],$Q$3,RawData[Checker ID],$Q$4,RawData[[Error Type ]],$Q$5))</f>
        <v/>
      </c>
    </row>
    <row r="3793" spans="15:15" x14ac:dyDescent="0.25">
      <c r="O3793" s="20" t="str">
        <f>IF(N3793="","",COUNTIFS(RawData[[Date ]],N3793,RawData[Month List],$Q$6,RawData[Tour/Site],$Q$2,RawData[[Picker ID ]],$Q$3,RawData[Checker ID],$Q$4,RawData[[Error Type ]],$Q$5))</f>
        <v/>
      </c>
    </row>
    <row r="3794" spans="15:15" x14ac:dyDescent="0.25">
      <c r="O3794" s="20" t="str">
        <f>IF(N3794="","",COUNTIFS(RawData[[Date ]],N3794,RawData[Month List],$Q$6,RawData[Tour/Site],$Q$2,RawData[[Picker ID ]],$Q$3,RawData[Checker ID],$Q$4,RawData[[Error Type ]],$Q$5))</f>
        <v/>
      </c>
    </row>
    <row r="3795" spans="15:15" x14ac:dyDescent="0.25">
      <c r="O3795" s="20" t="str">
        <f>IF(N3795="","",COUNTIFS(RawData[[Date ]],N3795,RawData[Month List],$Q$6,RawData[Tour/Site],$Q$2,RawData[[Picker ID ]],$Q$3,RawData[Checker ID],$Q$4,RawData[[Error Type ]],$Q$5))</f>
        <v/>
      </c>
    </row>
    <row r="3796" spans="15:15" x14ac:dyDescent="0.25">
      <c r="O3796" s="20" t="str">
        <f>IF(N3796="","",COUNTIFS(RawData[[Date ]],N3796,RawData[Month List],$Q$6,RawData[Tour/Site],$Q$2,RawData[[Picker ID ]],$Q$3,RawData[Checker ID],$Q$4,RawData[[Error Type ]],$Q$5))</f>
        <v/>
      </c>
    </row>
    <row r="3797" spans="15:15" x14ac:dyDescent="0.25">
      <c r="O3797" s="20" t="str">
        <f>IF(N3797="","",COUNTIFS(RawData[[Date ]],N3797,RawData[Month List],$Q$6,RawData[Tour/Site],$Q$2,RawData[[Picker ID ]],$Q$3,RawData[Checker ID],$Q$4,RawData[[Error Type ]],$Q$5))</f>
        <v/>
      </c>
    </row>
    <row r="3798" spans="15:15" x14ac:dyDescent="0.25">
      <c r="O3798" s="20" t="str">
        <f>IF(N3798="","",COUNTIFS(RawData[[Date ]],N3798,RawData[Month List],$Q$6,RawData[Tour/Site],$Q$2,RawData[[Picker ID ]],$Q$3,RawData[Checker ID],$Q$4,RawData[[Error Type ]],$Q$5))</f>
        <v/>
      </c>
    </row>
    <row r="3799" spans="15:15" x14ac:dyDescent="0.25">
      <c r="O3799" s="20" t="str">
        <f>IF(N3799="","",COUNTIFS(RawData[[Date ]],N3799,RawData[Month List],$Q$6,RawData[Tour/Site],$Q$2,RawData[[Picker ID ]],$Q$3,RawData[Checker ID],$Q$4,RawData[[Error Type ]],$Q$5))</f>
        <v/>
      </c>
    </row>
    <row r="3800" spans="15:15" x14ac:dyDescent="0.25">
      <c r="O3800" s="20" t="str">
        <f>IF(N3800="","",COUNTIFS(RawData[[Date ]],N3800,RawData[Month List],$Q$6,RawData[Tour/Site],$Q$2,RawData[[Picker ID ]],$Q$3,RawData[Checker ID],$Q$4,RawData[[Error Type ]],$Q$5))</f>
        <v/>
      </c>
    </row>
    <row r="3801" spans="15:15" x14ac:dyDescent="0.25">
      <c r="O3801" s="20" t="str">
        <f>IF(N3801="","",COUNTIFS(RawData[[Date ]],N3801,RawData[Month List],$Q$6,RawData[Tour/Site],$Q$2,RawData[[Picker ID ]],$Q$3,RawData[Checker ID],$Q$4,RawData[[Error Type ]],$Q$5))</f>
        <v/>
      </c>
    </row>
    <row r="3802" spans="15:15" x14ac:dyDescent="0.25">
      <c r="O3802" s="20" t="str">
        <f>IF(N3802="","",COUNTIFS(RawData[[Date ]],N3802,RawData[Month List],$Q$6,RawData[Tour/Site],$Q$2,RawData[[Picker ID ]],$Q$3,RawData[Checker ID],$Q$4,RawData[[Error Type ]],$Q$5))</f>
        <v/>
      </c>
    </row>
    <row r="3803" spans="15:15" x14ac:dyDescent="0.25">
      <c r="O3803" s="20" t="str">
        <f>IF(N3803="","",COUNTIFS(RawData[[Date ]],N3803,RawData[Month List],$Q$6,RawData[Tour/Site],$Q$2,RawData[[Picker ID ]],$Q$3,RawData[Checker ID],$Q$4,RawData[[Error Type ]],$Q$5))</f>
        <v/>
      </c>
    </row>
    <row r="3804" spans="15:15" x14ac:dyDescent="0.25">
      <c r="O3804" s="20" t="str">
        <f>IF(N3804="","",COUNTIFS(RawData[[Date ]],N3804,RawData[Month List],$Q$6,RawData[Tour/Site],$Q$2,RawData[[Picker ID ]],$Q$3,RawData[Checker ID],$Q$4,RawData[[Error Type ]],$Q$5))</f>
        <v/>
      </c>
    </row>
    <row r="3805" spans="15:15" x14ac:dyDescent="0.25">
      <c r="O3805" s="20" t="str">
        <f>IF(N3805="","",COUNTIFS(RawData[[Date ]],N3805,RawData[Month List],$Q$6,RawData[Tour/Site],$Q$2,RawData[[Picker ID ]],$Q$3,RawData[Checker ID],$Q$4,RawData[[Error Type ]],$Q$5))</f>
        <v/>
      </c>
    </row>
    <row r="3806" spans="15:15" x14ac:dyDescent="0.25">
      <c r="O3806" s="20" t="str">
        <f>IF(N3806="","",COUNTIFS(RawData[[Date ]],N3806,RawData[Month List],$Q$6,RawData[Tour/Site],$Q$2,RawData[[Picker ID ]],$Q$3,RawData[Checker ID],$Q$4,RawData[[Error Type ]],$Q$5))</f>
        <v/>
      </c>
    </row>
    <row r="3807" spans="15:15" x14ac:dyDescent="0.25">
      <c r="O3807" s="20" t="str">
        <f>IF(N3807="","",COUNTIFS(RawData[[Date ]],N3807,RawData[Month List],$Q$6,RawData[Tour/Site],$Q$2,RawData[[Picker ID ]],$Q$3,RawData[Checker ID],$Q$4,RawData[[Error Type ]],$Q$5))</f>
        <v/>
      </c>
    </row>
    <row r="3808" spans="15:15" x14ac:dyDescent="0.25">
      <c r="O3808" s="20" t="str">
        <f>IF(N3808="","",COUNTIFS(RawData[[Date ]],N3808,RawData[Month List],$Q$6,RawData[Tour/Site],$Q$2,RawData[[Picker ID ]],$Q$3,RawData[Checker ID],$Q$4,RawData[[Error Type ]],$Q$5))</f>
        <v/>
      </c>
    </row>
    <row r="3809" spans="15:15" x14ac:dyDescent="0.25">
      <c r="O3809" s="20" t="str">
        <f>IF(N3809="","",COUNTIFS(RawData[[Date ]],N3809,RawData[Month List],$Q$6,RawData[Tour/Site],$Q$2,RawData[[Picker ID ]],$Q$3,RawData[Checker ID],$Q$4,RawData[[Error Type ]],$Q$5))</f>
        <v/>
      </c>
    </row>
    <row r="3810" spans="15:15" x14ac:dyDescent="0.25">
      <c r="O3810" s="20" t="str">
        <f>IF(N3810="","",COUNTIFS(RawData[[Date ]],N3810,RawData[Month List],$Q$6,RawData[Tour/Site],$Q$2,RawData[[Picker ID ]],$Q$3,RawData[Checker ID],$Q$4,RawData[[Error Type ]],$Q$5))</f>
        <v/>
      </c>
    </row>
    <row r="3811" spans="15:15" x14ac:dyDescent="0.25">
      <c r="O3811" s="20" t="str">
        <f>IF(N3811="","",COUNTIFS(RawData[[Date ]],N3811,RawData[Month List],$Q$6,RawData[Tour/Site],$Q$2,RawData[[Picker ID ]],$Q$3,RawData[Checker ID],$Q$4,RawData[[Error Type ]],$Q$5))</f>
        <v/>
      </c>
    </row>
    <row r="3812" spans="15:15" x14ac:dyDescent="0.25">
      <c r="O3812" s="20" t="str">
        <f>IF(N3812="","",COUNTIFS(RawData[[Date ]],N3812,RawData[Month List],$Q$6,RawData[Tour/Site],$Q$2,RawData[[Picker ID ]],$Q$3,RawData[Checker ID],$Q$4,RawData[[Error Type ]],$Q$5))</f>
        <v/>
      </c>
    </row>
    <row r="3813" spans="15:15" x14ac:dyDescent="0.25">
      <c r="O3813" s="20" t="str">
        <f>IF(N3813="","",COUNTIFS(RawData[[Date ]],N3813,RawData[Month List],$Q$6,RawData[Tour/Site],$Q$2,RawData[[Picker ID ]],$Q$3,RawData[Checker ID],$Q$4,RawData[[Error Type ]],$Q$5))</f>
        <v/>
      </c>
    </row>
    <row r="3814" spans="15:15" x14ac:dyDescent="0.25">
      <c r="O3814" s="20" t="str">
        <f>IF(N3814="","",COUNTIFS(RawData[[Date ]],N3814,RawData[Month List],$Q$6,RawData[Tour/Site],$Q$2,RawData[[Picker ID ]],$Q$3,RawData[Checker ID],$Q$4,RawData[[Error Type ]],$Q$5))</f>
        <v/>
      </c>
    </row>
    <row r="3815" spans="15:15" x14ac:dyDescent="0.25">
      <c r="O3815" s="20" t="str">
        <f>IF(N3815="","",COUNTIFS(RawData[[Date ]],N3815,RawData[Month List],$Q$6,RawData[Tour/Site],$Q$2,RawData[[Picker ID ]],$Q$3,RawData[Checker ID],$Q$4,RawData[[Error Type ]],$Q$5))</f>
        <v/>
      </c>
    </row>
    <row r="3816" spans="15:15" x14ac:dyDescent="0.25">
      <c r="O3816" s="20" t="str">
        <f>IF(N3816="","",COUNTIFS(RawData[[Date ]],N3816,RawData[Month List],$Q$6,RawData[Tour/Site],$Q$2,RawData[[Picker ID ]],$Q$3,RawData[Checker ID],$Q$4,RawData[[Error Type ]],$Q$5))</f>
        <v/>
      </c>
    </row>
    <row r="3817" spans="15:15" x14ac:dyDescent="0.25">
      <c r="O3817" s="20" t="str">
        <f>IF(N3817="","",COUNTIFS(RawData[[Date ]],N3817,RawData[Month List],$Q$6,RawData[Tour/Site],$Q$2,RawData[[Picker ID ]],$Q$3,RawData[Checker ID],$Q$4,RawData[[Error Type ]],$Q$5))</f>
        <v/>
      </c>
    </row>
    <row r="3818" spans="15:15" x14ac:dyDescent="0.25">
      <c r="O3818" s="20" t="str">
        <f>IF(N3818="","",COUNTIFS(RawData[[Date ]],N3818,RawData[Month List],$Q$6,RawData[Tour/Site],$Q$2,RawData[[Picker ID ]],$Q$3,RawData[Checker ID],$Q$4,RawData[[Error Type ]],$Q$5))</f>
        <v/>
      </c>
    </row>
    <row r="3819" spans="15:15" x14ac:dyDescent="0.25">
      <c r="O3819" s="20" t="str">
        <f>IF(N3819="","",COUNTIFS(RawData[[Date ]],N3819,RawData[Month List],$Q$6,RawData[Tour/Site],$Q$2,RawData[[Picker ID ]],$Q$3,RawData[Checker ID],$Q$4,RawData[[Error Type ]],$Q$5))</f>
        <v/>
      </c>
    </row>
    <row r="3820" spans="15:15" x14ac:dyDescent="0.25">
      <c r="O3820" s="20" t="str">
        <f>IF(N3820="","",COUNTIFS(RawData[[Date ]],N3820,RawData[Month List],$Q$6,RawData[Tour/Site],$Q$2,RawData[[Picker ID ]],$Q$3,RawData[Checker ID],$Q$4,RawData[[Error Type ]],$Q$5))</f>
        <v/>
      </c>
    </row>
    <row r="3821" spans="15:15" x14ac:dyDescent="0.25">
      <c r="O3821" s="20" t="str">
        <f>IF(N3821="","",COUNTIFS(RawData[[Date ]],N3821,RawData[Month List],$Q$6,RawData[Tour/Site],$Q$2,RawData[[Picker ID ]],$Q$3,RawData[Checker ID],$Q$4,RawData[[Error Type ]],$Q$5))</f>
        <v/>
      </c>
    </row>
    <row r="3822" spans="15:15" x14ac:dyDescent="0.25">
      <c r="O3822" s="20" t="str">
        <f>IF(N3822="","",COUNTIFS(RawData[[Date ]],N3822,RawData[Month List],$Q$6,RawData[Tour/Site],$Q$2,RawData[[Picker ID ]],$Q$3,RawData[Checker ID],$Q$4,RawData[[Error Type ]],$Q$5))</f>
        <v/>
      </c>
    </row>
    <row r="3823" spans="15:15" x14ac:dyDescent="0.25">
      <c r="O3823" s="20" t="str">
        <f>IF(N3823="","",COUNTIFS(RawData[[Date ]],N3823,RawData[Month List],$Q$6,RawData[Tour/Site],$Q$2,RawData[[Picker ID ]],$Q$3,RawData[Checker ID],$Q$4,RawData[[Error Type ]],$Q$5))</f>
        <v/>
      </c>
    </row>
    <row r="3824" spans="15:15" x14ac:dyDescent="0.25">
      <c r="O3824" s="20" t="str">
        <f>IF(N3824="","",COUNTIFS(RawData[[Date ]],N3824,RawData[Month List],$Q$6,RawData[Tour/Site],$Q$2,RawData[[Picker ID ]],$Q$3,RawData[Checker ID],$Q$4,RawData[[Error Type ]],$Q$5))</f>
        <v/>
      </c>
    </row>
    <row r="3825" spans="15:15" x14ac:dyDescent="0.25">
      <c r="O3825" s="20" t="str">
        <f>IF(N3825="","",COUNTIFS(RawData[[Date ]],N3825,RawData[Month List],$Q$6,RawData[Tour/Site],$Q$2,RawData[[Picker ID ]],$Q$3,RawData[Checker ID],$Q$4,RawData[[Error Type ]],$Q$5))</f>
        <v/>
      </c>
    </row>
    <row r="3826" spans="15:15" x14ac:dyDescent="0.25">
      <c r="O3826" s="20" t="str">
        <f>IF(N3826="","",COUNTIFS(RawData[[Date ]],N3826,RawData[Month List],$Q$6,RawData[Tour/Site],$Q$2,RawData[[Picker ID ]],$Q$3,RawData[Checker ID],$Q$4,RawData[[Error Type ]],$Q$5))</f>
        <v/>
      </c>
    </row>
    <row r="3827" spans="15:15" x14ac:dyDescent="0.25">
      <c r="O3827" s="20" t="str">
        <f>IF(N3827="","",COUNTIFS(RawData[[Date ]],N3827,RawData[Month List],$Q$6,RawData[Tour/Site],$Q$2,RawData[[Picker ID ]],$Q$3,RawData[Checker ID],$Q$4,RawData[[Error Type ]],$Q$5))</f>
        <v/>
      </c>
    </row>
    <row r="3828" spans="15:15" x14ac:dyDescent="0.25">
      <c r="O3828" s="20" t="str">
        <f>IF(N3828="","",COUNTIFS(RawData[[Date ]],N3828,RawData[Month List],$Q$6,RawData[Tour/Site],$Q$2,RawData[[Picker ID ]],$Q$3,RawData[Checker ID],$Q$4,RawData[[Error Type ]],$Q$5))</f>
        <v/>
      </c>
    </row>
    <row r="3829" spans="15:15" x14ac:dyDescent="0.25">
      <c r="O3829" s="20" t="str">
        <f>IF(N3829="","",COUNTIFS(RawData[[Date ]],N3829,RawData[Month List],$Q$6,RawData[Tour/Site],$Q$2,RawData[[Picker ID ]],$Q$3,RawData[Checker ID],$Q$4,RawData[[Error Type ]],$Q$5))</f>
        <v/>
      </c>
    </row>
    <row r="3830" spans="15:15" x14ac:dyDescent="0.25">
      <c r="O3830" s="20" t="str">
        <f>IF(N3830="","",COUNTIFS(RawData[[Date ]],N3830,RawData[Month List],$Q$6,RawData[Tour/Site],$Q$2,RawData[[Picker ID ]],$Q$3,RawData[Checker ID],$Q$4,RawData[[Error Type ]],$Q$5))</f>
        <v/>
      </c>
    </row>
    <row r="3831" spans="15:15" x14ac:dyDescent="0.25">
      <c r="O3831" s="20" t="str">
        <f>IF(N3831="","",COUNTIFS(RawData[[Date ]],N3831,RawData[Month List],$Q$6,RawData[Tour/Site],$Q$2,RawData[[Picker ID ]],$Q$3,RawData[Checker ID],$Q$4,RawData[[Error Type ]],$Q$5))</f>
        <v/>
      </c>
    </row>
    <row r="3832" spans="15:15" x14ac:dyDescent="0.25">
      <c r="O3832" s="20" t="str">
        <f>IF(N3832="","",COUNTIFS(RawData[[Date ]],N3832,RawData[Month List],$Q$6,RawData[Tour/Site],$Q$2,RawData[[Picker ID ]],$Q$3,RawData[Checker ID],$Q$4,RawData[[Error Type ]],$Q$5))</f>
        <v/>
      </c>
    </row>
    <row r="3833" spans="15:15" x14ac:dyDescent="0.25">
      <c r="O3833" s="20" t="str">
        <f>IF(N3833="","",COUNTIFS(RawData[[Date ]],N3833,RawData[Month List],$Q$6,RawData[Tour/Site],$Q$2,RawData[[Picker ID ]],$Q$3,RawData[Checker ID],$Q$4,RawData[[Error Type ]],$Q$5))</f>
        <v/>
      </c>
    </row>
    <row r="3834" spans="15:15" x14ac:dyDescent="0.25">
      <c r="O3834" s="20" t="str">
        <f>IF(N3834="","",COUNTIFS(RawData[[Date ]],N3834,RawData[Month List],$Q$6,RawData[Tour/Site],$Q$2,RawData[[Picker ID ]],$Q$3,RawData[Checker ID],$Q$4,RawData[[Error Type ]],$Q$5))</f>
        <v/>
      </c>
    </row>
    <row r="3835" spans="15:15" x14ac:dyDescent="0.25">
      <c r="O3835" s="20" t="str">
        <f>IF(N3835="","",COUNTIFS(RawData[[Date ]],N3835,RawData[Month List],$Q$6,RawData[Tour/Site],$Q$2,RawData[[Picker ID ]],$Q$3,RawData[Checker ID],$Q$4,RawData[[Error Type ]],$Q$5))</f>
        <v/>
      </c>
    </row>
    <row r="3836" spans="15:15" x14ac:dyDescent="0.25">
      <c r="O3836" s="20" t="str">
        <f>IF(N3836="","",COUNTIFS(RawData[[Date ]],N3836,RawData[Month List],$Q$6,RawData[Tour/Site],$Q$2,RawData[[Picker ID ]],$Q$3,RawData[Checker ID],$Q$4,RawData[[Error Type ]],$Q$5))</f>
        <v/>
      </c>
    </row>
    <row r="3837" spans="15:15" x14ac:dyDescent="0.25">
      <c r="O3837" s="20" t="str">
        <f>IF(N3837="","",COUNTIFS(RawData[[Date ]],N3837,RawData[Month List],$Q$6,RawData[Tour/Site],$Q$2,RawData[[Picker ID ]],$Q$3,RawData[Checker ID],$Q$4,RawData[[Error Type ]],$Q$5))</f>
        <v/>
      </c>
    </row>
    <row r="3838" spans="15:15" x14ac:dyDescent="0.25">
      <c r="O3838" s="20" t="str">
        <f>IF(N3838="","",COUNTIFS(RawData[[Date ]],N3838,RawData[Month List],$Q$6,RawData[Tour/Site],$Q$2,RawData[[Picker ID ]],$Q$3,RawData[Checker ID],$Q$4,RawData[[Error Type ]],$Q$5))</f>
        <v/>
      </c>
    </row>
    <row r="3839" spans="15:15" x14ac:dyDescent="0.25">
      <c r="O3839" s="20" t="str">
        <f>IF(N3839="","",COUNTIFS(RawData[[Date ]],N3839,RawData[Month List],$Q$6,RawData[Tour/Site],$Q$2,RawData[[Picker ID ]],$Q$3,RawData[Checker ID],$Q$4,RawData[[Error Type ]],$Q$5))</f>
        <v/>
      </c>
    </row>
    <row r="3840" spans="15:15" x14ac:dyDescent="0.25">
      <c r="O3840" s="20" t="str">
        <f>IF(N3840="","",COUNTIFS(RawData[[Date ]],N3840,RawData[Month List],$Q$6,RawData[Tour/Site],$Q$2,RawData[[Picker ID ]],$Q$3,RawData[Checker ID],$Q$4,RawData[[Error Type ]],$Q$5))</f>
        <v/>
      </c>
    </row>
    <row r="3841" spans="15:15" x14ac:dyDescent="0.25">
      <c r="O3841" s="20" t="str">
        <f>IF(N3841="","",COUNTIFS(RawData[[Date ]],N3841,RawData[Month List],$Q$6,RawData[Tour/Site],$Q$2,RawData[[Picker ID ]],$Q$3,RawData[Checker ID],$Q$4,RawData[[Error Type ]],$Q$5))</f>
        <v/>
      </c>
    </row>
    <row r="3842" spans="15:15" x14ac:dyDescent="0.25">
      <c r="O3842" s="20" t="str">
        <f>IF(N3842="","",COUNTIFS(RawData[[Date ]],N3842,RawData[Month List],$Q$6,RawData[Tour/Site],$Q$2,RawData[[Picker ID ]],$Q$3,RawData[Checker ID],$Q$4,RawData[[Error Type ]],$Q$5))</f>
        <v/>
      </c>
    </row>
    <row r="3843" spans="15:15" x14ac:dyDescent="0.25">
      <c r="O3843" s="20" t="str">
        <f>IF(N3843="","",COUNTIFS(RawData[[Date ]],N3843,RawData[Month List],$Q$6,RawData[Tour/Site],$Q$2,RawData[[Picker ID ]],$Q$3,RawData[Checker ID],$Q$4,RawData[[Error Type ]],$Q$5))</f>
        <v/>
      </c>
    </row>
    <row r="3844" spans="15:15" x14ac:dyDescent="0.25">
      <c r="O3844" s="20" t="str">
        <f>IF(N3844="","",COUNTIFS(RawData[[Date ]],N3844,RawData[Month List],$Q$6,RawData[Tour/Site],$Q$2,RawData[[Picker ID ]],$Q$3,RawData[Checker ID],$Q$4,RawData[[Error Type ]],$Q$5))</f>
        <v/>
      </c>
    </row>
    <row r="3845" spans="15:15" x14ac:dyDescent="0.25">
      <c r="O3845" s="20" t="str">
        <f>IF(N3845="","",COUNTIFS(RawData[[Date ]],N3845,RawData[Month List],$Q$6,RawData[Tour/Site],$Q$2,RawData[[Picker ID ]],$Q$3,RawData[Checker ID],$Q$4,RawData[[Error Type ]],$Q$5))</f>
        <v/>
      </c>
    </row>
    <row r="3846" spans="15:15" x14ac:dyDescent="0.25">
      <c r="O3846" s="20" t="str">
        <f>IF(N3846="","",COUNTIFS(RawData[[Date ]],N3846,RawData[Month List],$Q$6,RawData[Tour/Site],$Q$2,RawData[[Picker ID ]],$Q$3,RawData[Checker ID],$Q$4,RawData[[Error Type ]],$Q$5))</f>
        <v/>
      </c>
    </row>
    <row r="3847" spans="15:15" x14ac:dyDescent="0.25">
      <c r="O3847" s="20" t="str">
        <f>IF(N3847="","",COUNTIFS(RawData[[Date ]],N3847,RawData[Month List],$Q$6,RawData[Tour/Site],$Q$2,RawData[[Picker ID ]],$Q$3,RawData[Checker ID],$Q$4,RawData[[Error Type ]],$Q$5))</f>
        <v/>
      </c>
    </row>
    <row r="3848" spans="15:15" x14ac:dyDescent="0.25">
      <c r="O3848" s="20" t="str">
        <f>IF(N3848="","",COUNTIFS(RawData[[Date ]],N3848,RawData[Month List],$Q$6,RawData[Tour/Site],$Q$2,RawData[[Picker ID ]],$Q$3,RawData[Checker ID],$Q$4,RawData[[Error Type ]],$Q$5))</f>
        <v/>
      </c>
    </row>
    <row r="3849" spans="15:15" x14ac:dyDescent="0.25">
      <c r="O3849" s="20" t="str">
        <f>IF(N3849="","",COUNTIFS(RawData[[Date ]],N3849,RawData[Month List],$Q$6,RawData[Tour/Site],$Q$2,RawData[[Picker ID ]],$Q$3,RawData[Checker ID],$Q$4,RawData[[Error Type ]],$Q$5))</f>
        <v/>
      </c>
    </row>
    <row r="3850" spans="15:15" x14ac:dyDescent="0.25">
      <c r="O3850" s="20" t="str">
        <f>IF(N3850="","",COUNTIFS(RawData[[Date ]],N3850,RawData[Month List],$Q$6,RawData[Tour/Site],$Q$2,RawData[[Picker ID ]],$Q$3,RawData[Checker ID],$Q$4,RawData[[Error Type ]],$Q$5))</f>
        <v/>
      </c>
    </row>
    <row r="3851" spans="15:15" x14ac:dyDescent="0.25">
      <c r="O3851" s="20" t="str">
        <f>IF(N3851="","",COUNTIFS(RawData[[Date ]],N3851,RawData[Month List],$Q$6,RawData[Tour/Site],$Q$2,RawData[[Picker ID ]],$Q$3,RawData[Checker ID],$Q$4,RawData[[Error Type ]],$Q$5))</f>
        <v/>
      </c>
    </row>
    <row r="3852" spans="15:15" x14ac:dyDescent="0.25">
      <c r="O3852" s="20" t="str">
        <f>IF(N3852="","",COUNTIFS(RawData[[Date ]],N3852,RawData[Month List],$Q$6,RawData[Tour/Site],$Q$2,RawData[[Picker ID ]],$Q$3,RawData[Checker ID],$Q$4,RawData[[Error Type ]],$Q$5))</f>
        <v/>
      </c>
    </row>
    <row r="3853" spans="15:15" x14ac:dyDescent="0.25">
      <c r="O3853" s="20" t="str">
        <f>IF(N3853="","",COUNTIFS(RawData[[Date ]],N3853,RawData[Month List],$Q$6,RawData[Tour/Site],$Q$2,RawData[[Picker ID ]],$Q$3,RawData[Checker ID],$Q$4,RawData[[Error Type ]],$Q$5))</f>
        <v/>
      </c>
    </row>
    <row r="3854" spans="15:15" x14ac:dyDescent="0.25">
      <c r="O3854" s="20" t="str">
        <f>IF(N3854="","",COUNTIFS(RawData[[Date ]],N3854,RawData[Month List],$Q$6,RawData[Tour/Site],$Q$2,RawData[[Picker ID ]],$Q$3,RawData[Checker ID],$Q$4,RawData[[Error Type ]],$Q$5))</f>
        <v/>
      </c>
    </row>
    <row r="3855" spans="15:15" x14ac:dyDescent="0.25">
      <c r="O3855" s="20" t="str">
        <f>IF(N3855="","",COUNTIFS(RawData[[Date ]],N3855,RawData[Month List],$Q$6,RawData[Tour/Site],$Q$2,RawData[[Picker ID ]],$Q$3,RawData[Checker ID],$Q$4,RawData[[Error Type ]],$Q$5))</f>
        <v/>
      </c>
    </row>
    <row r="3856" spans="15:15" x14ac:dyDescent="0.25">
      <c r="O3856" s="20" t="str">
        <f>IF(N3856="","",COUNTIFS(RawData[[Date ]],N3856,RawData[Month List],$Q$6,RawData[Tour/Site],$Q$2,RawData[[Picker ID ]],$Q$3,RawData[Checker ID],$Q$4,RawData[[Error Type ]],$Q$5))</f>
        <v/>
      </c>
    </row>
    <row r="3857" spans="15:15" x14ac:dyDescent="0.25">
      <c r="O3857" s="20" t="str">
        <f>IF(N3857="","",COUNTIFS(RawData[[Date ]],N3857,RawData[Month List],$Q$6,RawData[Tour/Site],$Q$2,RawData[[Picker ID ]],$Q$3,RawData[Checker ID],$Q$4,RawData[[Error Type ]],$Q$5))</f>
        <v/>
      </c>
    </row>
    <row r="3858" spans="15:15" x14ac:dyDescent="0.25">
      <c r="O3858" s="20" t="str">
        <f>IF(N3858="","",COUNTIFS(RawData[[Date ]],N3858,RawData[Month List],$Q$6,RawData[Tour/Site],$Q$2,RawData[[Picker ID ]],$Q$3,RawData[Checker ID],$Q$4,RawData[[Error Type ]],$Q$5))</f>
        <v/>
      </c>
    </row>
    <row r="3859" spans="15:15" x14ac:dyDescent="0.25">
      <c r="O3859" s="20" t="str">
        <f>IF(N3859="","",COUNTIFS(RawData[[Date ]],N3859,RawData[Month List],$Q$6,RawData[Tour/Site],$Q$2,RawData[[Picker ID ]],$Q$3,RawData[Checker ID],$Q$4,RawData[[Error Type ]],$Q$5))</f>
        <v/>
      </c>
    </row>
    <row r="3860" spans="15:15" x14ac:dyDescent="0.25">
      <c r="O3860" s="20" t="str">
        <f>IF(N3860="","",COUNTIFS(RawData[[Date ]],N3860,RawData[Month List],$Q$6,RawData[Tour/Site],$Q$2,RawData[[Picker ID ]],$Q$3,RawData[Checker ID],$Q$4,RawData[[Error Type ]],$Q$5))</f>
        <v/>
      </c>
    </row>
    <row r="3861" spans="15:15" x14ac:dyDescent="0.25">
      <c r="O3861" s="20" t="str">
        <f>IF(N3861="","",COUNTIFS(RawData[[Date ]],N3861,RawData[Month List],$Q$6,RawData[Tour/Site],$Q$2,RawData[[Picker ID ]],$Q$3,RawData[Checker ID],$Q$4,RawData[[Error Type ]],$Q$5))</f>
        <v/>
      </c>
    </row>
    <row r="3862" spans="15:15" x14ac:dyDescent="0.25">
      <c r="O3862" s="20" t="str">
        <f>IF(N3862="","",COUNTIFS(RawData[[Date ]],N3862,RawData[Month List],$Q$6,RawData[Tour/Site],$Q$2,RawData[[Picker ID ]],$Q$3,RawData[Checker ID],$Q$4,RawData[[Error Type ]],$Q$5))</f>
        <v/>
      </c>
    </row>
    <row r="3863" spans="15:15" x14ac:dyDescent="0.25">
      <c r="O3863" s="20" t="str">
        <f>IF(N3863="","",COUNTIFS(RawData[[Date ]],N3863,RawData[Month List],$Q$6,RawData[Tour/Site],$Q$2,RawData[[Picker ID ]],$Q$3,RawData[Checker ID],$Q$4,RawData[[Error Type ]],$Q$5))</f>
        <v/>
      </c>
    </row>
    <row r="3864" spans="15:15" x14ac:dyDescent="0.25">
      <c r="O3864" s="20" t="str">
        <f>IF(N3864="","",COUNTIFS(RawData[[Date ]],N3864,RawData[Month List],$Q$6,RawData[Tour/Site],$Q$2,RawData[[Picker ID ]],$Q$3,RawData[Checker ID],$Q$4,RawData[[Error Type ]],$Q$5))</f>
        <v/>
      </c>
    </row>
    <row r="3865" spans="15:15" x14ac:dyDescent="0.25">
      <c r="O3865" s="20" t="str">
        <f>IF(N3865="","",COUNTIFS(RawData[[Date ]],N3865,RawData[Month List],$Q$6,RawData[Tour/Site],$Q$2,RawData[[Picker ID ]],$Q$3,RawData[Checker ID],$Q$4,RawData[[Error Type ]],$Q$5))</f>
        <v/>
      </c>
    </row>
    <row r="3866" spans="15:15" x14ac:dyDescent="0.25">
      <c r="O3866" s="20" t="str">
        <f>IF(N3866="","",COUNTIFS(RawData[[Date ]],N3866,RawData[Month List],$Q$6,RawData[Tour/Site],$Q$2,RawData[[Picker ID ]],$Q$3,RawData[Checker ID],$Q$4,RawData[[Error Type ]],$Q$5))</f>
        <v/>
      </c>
    </row>
    <row r="3867" spans="15:15" x14ac:dyDescent="0.25">
      <c r="O3867" s="20" t="str">
        <f>IF(N3867="","",COUNTIFS(RawData[[Date ]],N3867,RawData[Month List],$Q$6,RawData[Tour/Site],$Q$2,RawData[[Picker ID ]],$Q$3,RawData[Checker ID],$Q$4,RawData[[Error Type ]],$Q$5))</f>
        <v/>
      </c>
    </row>
    <row r="3868" spans="15:15" x14ac:dyDescent="0.25">
      <c r="O3868" s="20" t="str">
        <f>IF(N3868="","",COUNTIFS(RawData[[Date ]],N3868,RawData[Month List],$Q$6,RawData[Tour/Site],$Q$2,RawData[[Picker ID ]],$Q$3,RawData[Checker ID],$Q$4,RawData[[Error Type ]],$Q$5))</f>
        <v/>
      </c>
    </row>
    <row r="3869" spans="15:15" x14ac:dyDescent="0.25">
      <c r="O3869" s="20" t="str">
        <f>IF(N3869="","",COUNTIFS(RawData[[Date ]],N3869,RawData[Month List],$Q$6,RawData[Tour/Site],$Q$2,RawData[[Picker ID ]],$Q$3,RawData[Checker ID],$Q$4,RawData[[Error Type ]],$Q$5))</f>
        <v/>
      </c>
    </row>
    <row r="3870" spans="15:15" x14ac:dyDescent="0.25">
      <c r="O3870" s="20" t="str">
        <f>IF(N3870="","",COUNTIFS(RawData[[Date ]],N3870,RawData[Month List],$Q$6,RawData[Tour/Site],$Q$2,RawData[[Picker ID ]],$Q$3,RawData[Checker ID],$Q$4,RawData[[Error Type ]],$Q$5))</f>
        <v/>
      </c>
    </row>
    <row r="3871" spans="15:15" x14ac:dyDescent="0.25">
      <c r="O3871" s="20" t="str">
        <f>IF(N3871="","",COUNTIFS(RawData[[Date ]],N3871,RawData[Month List],$Q$6,RawData[Tour/Site],$Q$2,RawData[[Picker ID ]],$Q$3,RawData[Checker ID],$Q$4,RawData[[Error Type ]],$Q$5))</f>
        <v/>
      </c>
    </row>
    <row r="3872" spans="15:15" x14ac:dyDescent="0.25">
      <c r="O3872" s="20" t="str">
        <f>IF(N3872="","",COUNTIFS(RawData[[Date ]],N3872,RawData[Month List],$Q$6,RawData[Tour/Site],$Q$2,RawData[[Picker ID ]],$Q$3,RawData[Checker ID],$Q$4,RawData[[Error Type ]],$Q$5))</f>
        <v/>
      </c>
    </row>
    <row r="3873" spans="15:15" x14ac:dyDescent="0.25">
      <c r="O3873" s="20" t="str">
        <f>IF(N3873="","",COUNTIFS(RawData[[Date ]],N3873,RawData[Month List],$Q$6,RawData[Tour/Site],$Q$2,RawData[[Picker ID ]],$Q$3,RawData[Checker ID],$Q$4,RawData[[Error Type ]],$Q$5))</f>
        <v/>
      </c>
    </row>
    <row r="3874" spans="15:15" x14ac:dyDescent="0.25">
      <c r="O3874" s="20" t="str">
        <f>IF(N3874="","",COUNTIFS(RawData[[Date ]],N3874,RawData[Month List],$Q$6,RawData[Tour/Site],$Q$2,RawData[[Picker ID ]],$Q$3,RawData[Checker ID],$Q$4,RawData[[Error Type ]],$Q$5))</f>
        <v/>
      </c>
    </row>
    <row r="3875" spans="15:15" x14ac:dyDescent="0.25">
      <c r="O3875" s="20" t="str">
        <f>IF(N3875="","",COUNTIFS(RawData[[Date ]],N3875,RawData[Month List],$Q$6,RawData[Tour/Site],$Q$2,RawData[[Picker ID ]],$Q$3,RawData[Checker ID],$Q$4,RawData[[Error Type ]],$Q$5))</f>
        <v/>
      </c>
    </row>
    <row r="3876" spans="15:15" x14ac:dyDescent="0.25">
      <c r="O3876" s="20" t="str">
        <f>IF(N3876="","",COUNTIFS(RawData[[Date ]],N3876,RawData[Month List],$Q$6,RawData[Tour/Site],$Q$2,RawData[[Picker ID ]],$Q$3,RawData[Checker ID],$Q$4,RawData[[Error Type ]],$Q$5))</f>
        <v/>
      </c>
    </row>
    <row r="3877" spans="15:15" x14ac:dyDescent="0.25">
      <c r="O3877" s="20" t="str">
        <f>IF(N3877="","",COUNTIFS(RawData[[Date ]],N3877,RawData[Month List],$Q$6,RawData[Tour/Site],$Q$2,RawData[[Picker ID ]],$Q$3,RawData[Checker ID],$Q$4,RawData[[Error Type ]],$Q$5))</f>
        <v/>
      </c>
    </row>
    <row r="3878" spans="15:15" x14ac:dyDescent="0.25">
      <c r="O3878" s="20" t="str">
        <f>IF(N3878="","",COUNTIFS(RawData[[Date ]],N3878,RawData[Month List],$Q$6,RawData[Tour/Site],$Q$2,RawData[[Picker ID ]],$Q$3,RawData[Checker ID],$Q$4,RawData[[Error Type ]],$Q$5))</f>
        <v/>
      </c>
    </row>
    <row r="3879" spans="15:15" x14ac:dyDescent="0.25">
      <c r="O3879" s="20" t="str">
        <f>IF(N3879="","",COUNTIFS(RawData[[Date ]],N3879,RawData[Month List],$Q$6,RawData[Tour/Site],$Q$2,RawData[[Picker ID ]],$Q$3,RawData[Checker ID],$Q$4,RawData[[Error Type ]],$Q$5))</f>
        <v/>
      </c>
    </row>
    <row r="3880" spans="15:15" x14ac:dyDescent="0.25">
      <c r="O3880" s="20" t="str">
        <f>IF(N3880="","",COUNTIFS(RawData[[Date ]],N3880,RawData[Month List],$Q$6,RawData[Tour/Site],$Q$2,RawData[[Picker ID ]],$Q$3,RawData[Checker ID],$Q$4,RawData[[Error Type ]],$Q$5))</f>
        <v/>
      </c>
    </row>
    <row r="3881" spans="15:15" x14ac:dyDescent="0.25">
      <c r="O3881" s="20" t="str">
        <f>IF(N3881="","",COUNTIFS(RawData[[Date ]],N3881,RawData[Month List],$Q$6,RawData[Tour/Site],$Q$2,RawData[[Picker ID ]],$Q$3,RawData[Checker ID],$Q$4,RawData[[Error Type ]],$Q$5))</f>
        <v/>
      </c>
    </row>
    <row r="3882" spans="15:15" x14ac:dyDescent="0.25">
      <c r="O3882" s="20" t="str">
        <f>IF(N3882="","",COUNTIFS(RawData[[Date ]],N3882,RawData[Month List],$Q$6,RawData[Tour/Site],$Q$2,RawData[[Picker ID ]],$Q$3,RawData[Checker ID],$Q$4,RawData[[Error Type ]],$Q$5))</f>
        <v/>
      </c>
    </row>
    <row r="3883" spans="15:15" x14ac:dyDescent="0.25">
      <c r="O3883" s="20" t="str">
        <f>IF(N3883="","",COUNTIFS(RawData[[Date ]],N3883,RawData[Month List],$Q$6,RawData[Tour/Site],$Q$2,RawData[[Picker ID ]],$Q$3,RawData[Checker ID],$Q$4,RawData[[Error Type ]],$Q$5))</f>
        <v/>
      </c>
    </row>
    <row r="3884" spans="15:15" x14ac:dyDescent="0.25">
      <c r="O3884" s="20" t="str">
        <f>IF(N3884="","",COUNTIFS(RawData[[Date ]],N3884,RawData[Month List],$Q$6,RawData[Tour/Site],$Q$2,RawData[[Picker ID ]],$Q$3,RawData[Checker ID],$Q$4,RawData[[Error Type ]],$Q$5))</f>
        <v/>
      </c>
    </row>
    <row r="3885" spans="15:15" x14ac:dyDescent="0.25">
      <c r="O3885" s="20" t="str">
        <f>IF(N3885="","",COUNTIFS(RawData[[Date ]],N3885,RawData[Month List],$Q$6,RawData[Tour/Site],$Q$2,RawData[[Picker ID ]],$Q$3,RawData[Checker ID],$Q$4,RawData[[Error Type ]],$Q$5))</f>
        <v/>
      </c>
    </row>
    <row r="3886" spans="15:15" x14ac:dyDescent="0.25">
      <c r="O3886" s="20" t="str">
        <f>IF(N3886="","",COUNTIFS(RawData[[Date ]],N3886,RawData[Month List],$Q$6,RawData[Tour/Site],$Q$2,RawData[[Picker ID ]],$Q$3,RawData[Checker ID],$Q$4,RawData[[Error Type ]],$Q$5))</f>
        <v/>
      </c>
    </row>
    <row r="3887" spans="15:15" x14ac:dyDescent="0.25">
      <c r="O3887" s="20" t="str">
        <f>IF(N3887="","",COUNTIFS(RawData[[Date ]],N3887,RawData[Month List],$Q$6,RawData[Tour/Site],$Q$2,RawData[[Picker ID ]],$Q$3,RawData[Checker ID],$Q$4,RawData[[Error Type ]],$Q$5))</f>
        <v/>
      </c>
    </row>
    <row r="3888" spans="15:15" x14ac:dyDescent="0.25">
      <c r="O3888" s="20" t="str">
        <f>IF(N3888="","",COUNTIFS(RawData[[Date ]],N3888,RawData[Month List],$Q$6,RawData[Tour/Site],$Q$2,RawData[[Picker ID ]],$Q$3,RawData[Checker ID],$Q$4,RawData[[Error Type ]],$Q$5))</f>
        <v/>
      </c>
    </row>
    <row r="3889" spans="15:15" x14ac:dyDescent="0.25">
      <c r="O3889" s="20" t="str">
        <f>IF(N3889="","",COUNTIFS(RawData[[Date ]],N3889,RawData[Month List],$Q$6,RawData[Tour/Site],$Q$2,RawData[[Picker ID ]],$Q$3,RawData[Checker ID],$Q$4,RawData[[Error Type ]],$Q$5))</f>
        <v/>
      </c>
    </row>
    <row r="3890" spans="15:15" x14ac:dyDescent="0.25">
      <c r="O3890" s="20" t="str">
        <f>IF(N3890="","",COUNTIFS(RawData[[Date ]],N3890,RawData[Month List],$Q$6,RawData[Tour/Site],$Q$2,RawData[[Picker ID ]],$Q$3,RawData[Checker ID],$Q$4,RawData[[Error Type ]],$Q$5))</f>
        <v/>
      </c>
    </row>
    <row r="3891" spans="15:15" x14ac:dyDescent="0.25">
      <c r="O3891" s="20" t="str">
        <f>IF(N3891="","",COUNTIFS(RawData[[Date ]],N3891,RawData[Month List],$Q$6,RawData[Tour/Site],$Q$2,RawData[[Picker ID ]],$Q$3,RawData[Checker ID],$Q$4,RawData[[Error Type ]],$Q$5))</f>
        <v/>
      </c>
    </row>
    <row r="3892" spans="15:15" x14ac:dyDescent="0.25">
      <c r="O3892" s="20" t="str">
        <f>IF(N3892="","",COUNTIFS(RawData[[Date ]],N3892,RawData[Month List],$Q$6,RawData[Tour/Site],$Q$2,RawData[[Picker ID ]],$Q$3,RawData[Checker ID],$Q$4,RawData[[Error Type ]],$Q$5))</f>
        <v/>
      </c>
    </row>
    <row r="3893" spans="15:15" x14ac:dyDescent="0.25">
      <c r="O3893" s="20" t="str">
        <f>IF(N3893="","",COUNTIFS(RawData[[Date ]],N3893,RawData[Month List],$Q$6,RawData[Tour/Site],$Q$2,RawData[[Picker ID ]],$Q$3,RawData[Checker ID],$Q$4,RawData[[Error Type ]],$Q$5))</f>
        <v/>
      </c>
    </row>
    <row r="3894" spans="15:15" x14ac:dyDescent="0.25">
      <c r="O3894" s="20" t="str">
        <f>IF(N3894="","",COUNTIFS(RawData[[Date ]],N3894,RawData[Month List],$Q$6,RawData[Tour/Site],$Q$2,RawData[[Picker ID ]],$Q$3,RawData[Checker ID],$Q$4,RawData[[Error Type ]],$Q$5))</f>
        <v/>
      </c>
    </row>
    <row r="3895" spans="15:15" x14ac:dyDescent="0.25">
      <c r="O3895" s="20" t="str">
        <f>IF(N3895="","",COUNTIFS(RawData[[Date ]],N3895,RawData[Month List],$Q$6,RawData[Tour/Site],$Q$2,RawData[[Picker ID ]],$Q$3,RawData[Checker ID],$Q$4,RawData[[Error Type ]],$Q$5))</f>
        <v/>
      </c>
    </row>
    <row r="3896" spans="15:15" x14ac:dyDescent="0.25">
      <c r="O3896" s="20" t="str">
        <f>IF(N3896="","",COUNTIFS(RawData[[Date ]],N3896,RawData[Month List],$Q$6,RawData[Tour/Site],$Q$2,RawData[[Picker ID ]],$Q$3,RawData[Checker ID],$Q$4,RawData[[Error Type ]],$Q$5))</f>
        <v/>
      </c>
    </row>
    <row r="3897" spans="15:15" x14ac:dyDescent="0.25">
      <c r="O3897" s="20" t="str">
        <f>IF(N3897="","",COUNTIFS(RawData[[Date ]],N3897,RawData[Month List],$Q$6,RawData[Tour/Site],$Q$2,RawData[[Picker ID ]],$Q$3,RawData[Checker ID],$Q$4,RawData[[Error Type ]],$Q$5))</f>
        <v/>
      </c>
    </row>
    <row r="3898" spans="15:15" x14ac:dyDescent="0.25">
      <c r="O3898" s="20" t="str">
        <f>IF(N3898="","",COUNTIFS(RawData[[Date ]],N3898,RawData[Month List],$Q$6,RawData[Tour/Site],$Q$2,RawData[[Picker ID ]],$Q$3,RawData[Checker ID],$Q$4,RawData[[Error Type ]],$Q$5))</f>
        <v/>
      </c>
    </row>
    <row r="3899" spans="15:15" x14ac:dyDescent="0.25">
      <c r="O3899" s="20" t="str">
        <f>IF(N3899="","",COUNTIFS(RawData[[Date ]],N3899,RawData[Month List],$Q$6,RawData[Tour/Site],$Q$2,RawData[[Picker ID ]],$Q$3,RawData[Checker ID],$Q$4,RawData[[Error Type ]],$Q$5))</f>
        <v/>
      </c>
    </row>
    <row r="3900" spans="15:15" x14ac:dyDescent="0.25">
      <c r="O3900" s="20" t="str">
        <f>IF(N3900="","",COUNTIFS(RawData[[Date ]],N3900,RawData[Month List],$Q$6,RawData[Tour/Site],$Q$2,RawData[[Picker ID ]],$Q$3,RawData[Checker ID],$Q$4,RawData[[Error Type ]],$Q$5))</f>
        <v/>
      </c>
    </row>
    <row r="3901" spans="15:15" x14ac:dyDescent="0.25">
      <c r="O3901" s="20" t="str">
        <f>IF(N3901="","",COUNTIFS(RawData[[Date ]],N3901,RawData[Month List],$Q$6,RawData[Tour/Site],$Q$2,RawData[[Picker ID ]],$Q$3,RawData[Checker ID],$Q$4,RawData[[Error Type ]],$Q$5))</f>
        <v/>
      </c>
    </row>
    <row r="3902" spans="15:15" x14ac:dyDescent="0.25">
      <c r="O3902" s="20" t="str">
        <f>IF(N3902="","",COUNTIFS(RawData[[Date ]],N3902,RawData[Month List],$Q$6,RawData[Tour/Site],$Q$2,RawData[[Picker ID ]],$Q$3,RawData[Checker ID],$Q$4,RawData[[Error Type ]],$Q$5))</f>
        <v/>
      </c>
    </row>
    <row r="3903" spans="15:15" x14ac:dyDescent="0.25">
      <c r="O3903" s="20" t="str">
        <f>IF(N3903="","",COUNTIFS(RawData[[Date ]],N3903,RawData[Month List],$Q$6,RawData[Tour/Site],$Q$2,RawData[[Picker ID ]],$Q$3,RawData[Checker ID],$Q$4,RawData[[Error Type ]],$Q$5))</f>
        <v/>
      </c>
    </row>
    <row r="3904" spans="15:15" x14ac:dyDescent="0.25">
      <c r="O3904" s="20" t="str">
        <f>IF(N3904="","",COUNTIFS(RawData[[Date ]],N3904,RawData[Month List],$Q$6,RawData[Tour/Site],$Q$2,RawData[[Picker ID ]],$Q$3,RawData[Checker ID],$Q$4,RawData[[Error Type ]],$Q$5))</f>
        <v/>
      </c>
    </row>
    <row r="3905" spans="15:15" x14ac:dyDescent="0.25">
      <c r="O3905" s="20" t="str">
        <f>IF(N3905="","",COUNTIFS(RawData[[Date ]],N3905,RawData[Month List],$Q$6,RawData[Tour/Site],$Q$2,RawData[[Picker ID ]],$Q$3,RawData[Checker ID],$Q$4,RawData[[Error Type ]],$Q$5))</f>
        <v/>
      </c>
    </row>
    <row r="3906" spans="15:15" x14ac:dyDescent="0.25">
      <c r="O3906" s="20" t="str">
        <f>IF(N3906="","",COUNTIFS(RawData[[Date ]],N3906,RawData[Month List],$Q$6,RawData[Tour/Site],$Q$2,RawData[[Picker ID ]],$Q$3,RawData[Checker ID],$Q$4,RawData[[Error Type ]],$Q$5))</f>
        <v/>
      </c>
    </row>
    <row r="3907" spans="15:15" x14ac:dyDescent="0.25">
      <c r="O3907" s="20" t="str">
        <f>IF(N3907="","",COUNTIFS(RawData[[Date ]],N3907,RawData[Month List],$Q$6,RawData[Tour/Site],$Q$2,RawData[[Picker ID ]],$Q$3,RawData[Checker ID],$Q$4,RawData[[Error Type ]],$Q$5))</f>
        <v/>
      </c>
    </row>
    <row r="3908" spans="15:15" x14ac:dyDescent="0.25">
      <c r="O3908" s="20" t="str">
        <f>IF(N3908="","",COUNTIFS(RawData[[Date ]],N3908,RawData[Month List],$Q$6,RawData[Tour/Site],$Q$2,RawData[[Picker ID ]],$Q$3,RawData[Checker ID],$Q$4,RawData[[Error Type ]],$Q$5))</f>
        <v/>
      </c>
    </row>
    <row r="3909" spans="15:15" x14ac:dyDescent="0.25">
      <c r="O3909" s="20" t="str">
        <f>IF(N3909="","",COUNTIFS(RawData[[Date ]],N3909,RawData[Month List],$Q$6,RawData[Tour/Site],$Q$2,RawData[[Picker ID ]],$Q$3,RawData[Checker ID],$Q$4,RawData[[Error Type ]],$Q$5))</f>
        <v/>
      </c>
    </row>
    <row r="3910" spans="15:15" x14ac:dyDescent="0.25">
      <c r="O3910" s="20" t="str">
        <f>IF(N3910="","",COUNTIFS(RawData[[Date ]],N3910,RawData[Month List],$Q$6,RawData[Tour/Site],$Q$2,RawData[[Picker ID ]],$Q$3,RawData[Checker ID],$Q$4,RawData[[Error Type ]],$Q$5))</f>
        <v/>
      </c>
    </row>
    <row r="3911" spans="15:15" x14ac:dyDescent="0.25">
      <c r="O3911" s="20" t="str">
        <f>IF(N3911="","",COUNTIFS(RawData[[Date ]],N3911,RawData[Month List],$Q$6,RawData[Tour/Site],$Q$2,RawData[[Picker ID ]],$Q$3,RawData[Checker ID],$Q$4,RawData[[Error Type ]],$Q$5))</f>
        <v/>
      </c>
    </row>
    <row r="3912" spans="15:15" x14ac:dyDescent="0.25">
      <c r="O3912" s="20" t="str">
        <f>IF(N3912="","",COUNTIFS(RawData[[Date ]],N3912,RawData[Month List],$Q$6,RawData[Tour/Site],$Q$2,RawData[[Picker ID ]],$Q$3,RawData[Checker ID],$Q$4,RawData[[Error Type ]],$Q$5))</f>
        <v/>
      </c>
    </row>
    <row r="3913" spans="15:15" x14ac:dyDescent="0.25">
      <c r="O3913" s="20" t="str">
        <f>IF(N3913="","",COUNTIFS(RawData[[Date ]],N3913,RawData[Month List],$Q$6,RawData[Tour/Site],$Q$2,RawData[[Picker ID ]],$Q$3,RawData[Checker ID],$Q$4,RawData[[Error Type ]],$Q$5))</f>
        <v/>
      </c>
    </row>
    <row r="3914" spans="15:15" x14ac:dyDescent="0.25">
      <c r="O3914" s="20" t="str">
        <f>IF(N3914="","",COUNTIFS(RawData[[Date ]],N3914,RawData[Month List],$Q$6,RawData[Tour/Site],$Q$2,RawData[[Picker ID ]],$Q$3,RawData[Checker ID],$Q$4,RawData[[Error Type ]],$Q$5))</f>
        <v/>
      </c>
    </row>
    <row r="3915" spans="15:15" x14ac:dyDescent="0.25">
      <c r="O3915" s="20" t="str">
        <f>IF(N3915="","",COUNTIFS(RawData[[Date ]],N3915,RawData[Month List],$Q$6,RawData[Tour/Site],$Q$2,RawData[[Picker ID ]],$Q$3,RawData[Checker ID],$Q$4,RawData[[Error Type ]],$Q$5))</f>
        <v/>
      </c>
    </row>
    <row r="3916" spans="15:15" x14ac:dyDescent="0.25">
      <c r="O3916" s="20" t="str">
        <f>IF(N3916="","",COUNTIFS(RawData[[Date ]],N3916,RawData[Month List],$Q$6,RawData[Tour/Site],$Q$2,RawData[[Picker ID ]],$Q$3,RawData[Checker ID],$Q$4,RawData[[Error Type ]],$Q$5))</f>
        <v/>
      </c>
    </row>
    <row r="3917" spans="15:15" x14ac:dyDescent="0.25">
      <c r="O3917" s="20" t="str">
        <f>IF(N3917="","",COUNTIFS(RawData[[Date ]],N3917,RawData[Month List],$Q$6,RawData[Tour/Site],$Q$2,RawData[[Picker ID ]],$Q$3,RawData[Checker ID],$Q$4,RawData[[Error Type ]],$Q$5))</f>
        <v/>
      </c>
    </row>
    <row r="3918" spans="15:15" x14ac:dyDescent="0.25">
      <c r="O3918" s="20" t="str">
        <f>IF(N3918="","",COUNTIFS(RawData[[Date ]],N3918,RawData[Month List],$Q$6,RawData[Tour/Site],$Q$2,RawData[[Picker ID ]],$Q$3,RawData[Checker ID],$Q$4,RawData[[Error Type ]],$Q$5))</f>
        <v/>
      </c>
    </row>
    <row r="3919" spans="15:15" x14ac:dyDescent="0.25">
      <c r="O3919" s="20" t="str">
        <f>IF(N3919="","",COUNTIFS(RawData[[Date ]],N3919,RawData[Month List],$Q$6,RawData[Tour/Site],$Q$2,RawData[[Picker ID ]],$Q$3,RawData[Checker ID],$Q$4,RawData[[Error Type ]],$Q$5))</f>
        <v/>
      </c>
    </row>
    <row r="3920" spans="15:15" x14ac:dyDescent="0.25">
      <c r="O3920" s="20" t="str">
        <f>IF(N3920="","",COUNTIFS(RawData[[Date ]],N3920,RawData[Month List],$Q$6,RawData[Tour/Site],$Q$2,RawData[[Picker ID ]],$Q$3,RawData[Checker ID],$Q$4,RawData[[Error Type ]],$Q$5))</f>
        <v/>
      </c>
    </row>
    <row r="3921" spans="15:15" x14ac:dyDescent="0.25">
      <c r="O3921" s="20" t="str">
        <f>IF(N3921="","",COUNTIFS(RawData[[Date ]],N3921,RawData[Month List],$Q$6,RawData[Tour/Site],$Q$2,RawData[[Picker ID ]],$Q$3,RawData[Checker ID],$Q$4,RawData[[Error Type ]],$Q$5))</f>
        <v/>
      </c>
    </row>
    <row r="3922" spans="15:15" x14ac:dyDescent="0.25">
      <c r="O3922" s="20" t="str">
        <f>IF(N3922="","",COUNTIFS(RawData[[Date ]],N3922,RawData[Month List],$Q$6,RawData[Tour/Site],$Q$2,RawData[[Picker ID ]],$Q$3,RawData[Checker ID],$Q$4,RawData[[Error Type ]],$Q$5))</f>
        <v/>
      </c>
    </row>
    <row r="3923" spans="15:15" x14ac:dyDescent="0.25">
      <c r="O3923" s="20" t="str">
        <f>IF(N3923="","",COUNTIFS(RawData[[Date ]],N3923,RawData[Month List],$Q$6,RawData[Tour/Site],$Q$2,RawData[[Picker ID ]],$Q$3,RawData[Checker ID],$Q$4,RawData[[Error Type ]],$Q$5))</f>
        <v/>
      </c>
    </row>
    <row r="3924" spans="15:15" x14ac:dyDescent="0.25">
      <c r="O3924" s="20" t="str">
        <f>IF(N3924="","",COUNTIFS(RawData[[Date ]],N3924,RawData[Month List],$Q$6,RawData[Tour/Site],$Q$2,RawData[[Picker ID ]],$Q$3,RawData[Checker ID],$Q$4,RawData[[Error Type ]],$Q$5))</f>
        <v/>
      </c>
    </row>
    <row r="3925" spans="15:15" x14ac:dyDescent="0.25">
      <c r="O3925" s="20" t="str">
        <f>IF(N3925="","",COUNTIFS(RawData[[Date ]],N3925,RawData[Month List],$Q$6,RawData[Tour/Site],$Q$2,RawData[[Picker ID ]],$Q$3,RawData[Checker ID],$Q$4,RawData[[Error Type ]],$Q$5))</f>
        <v/>
      </c>
    </row>
    <row r="3926" spans="15:15" x14ac:dyDescent="0.25">
      <c r="O3926" s="20" t="str">
        <f>IF(N3926="","",COUNTIFS(RawData[[Date ]],N3926,RawData[Month List],$Q$6,RawData[Tour/Site],$Q$2,RawData[[Picker ID ]],$Q$3,RawData[Checker ID],$Q$4,RawData[[Error Type ]],$Q$5))</f>
        <v/>
      </c>
    </row>
    <row r="3927" spans="15:15" x14ac:dyDescent="0.25">
      <c r="O3927" s="20" t="str">
        <f>IF(N3927="","",COUNTIFS(RawData[[Date ]],N3927,RawData[Month List],$Q$6,RawData[Tour/Site],$Q$2,RawData[[Picker ID ]],$Q$3,RawData[Checker ID],$Q$4,RawData[[Error Type ]],$Q$5))</f>
        <v/>
      </c>
    </row>
    <row r="3928" spans="15:15" x14ac:dyDescent="0.25">
      <c r="O3928" s="20" t="str">
        <f>IF(N3928="","",COUNTIFS(RawData[[Date ]],N3928,RawData[Month List],$Q$6,RawData[Tour/Site],$Q$2,RawData[[Picker ID ]],$Q$3,RawData[Checker ID],$Q$4,RawData[[Error Type ]],$Q$5))</f>
        <v/>
      </c>
    </row>
    <row r="3929" spans="15:15" x14ac:dyDescent="0.25">
      <c r="O3929" s="20" t="str">
        <f>IF(N3929="","",COUNTIFS(RawData[[Date ]],N3929,RawData[Month List],$Q$6,RawData[Tour/Site],$Q$2,RawData[[Picker ID ]],$Q$3,RawData[Checker ID],$Q$4,RawData[[Error Type ]],$Q$5))</f>
        <v/>
      </c>
    </row>
    <row r="3930" spans="15:15" x14ac:dyDescent="0.25">
      <c r="O3930" s="20" t="str">
        <f>IF(N3930="","",COUNTIFS(RawData[[Date ]],N3930,RawData[Month List],$Q$6,RawData[Tour/Site],$Q$2,RawData[[Picker ID ]],$Q$3,RawData[Checker ID],$Q$4,RawData[[Error Type ]],$Q$5))</f>
        <v/>
      </c>
    </row>
    <row r="3931" spans="15:15" x14ac:dyDescent="0.25">
      <c r="O3931" s="20" t="str">
        <f>IF(N3931="","",COUNTIFS(RawData[[Date ]],N3931,RawData[Month List],$Q$6,RawData[Tour/Site],$Q$2,RawData[[Picker ID ]],$Q$3,RawData[Checker ID],$Q$4,RawData[[Error Type ]],$Q$5))</f>
        <v/>
      </c>
    </row>
    <row r="3932" spans="15:15" x14ac:dyDescent="0.25">
      <c r="O3932" s="20" t="str">
        <f>IF(N3932="","",COUNTIFS(RawData[[Date ]],N3932,RawData[Month List],$Q$6,RawData[Tour/Site],$Q$2,RawData[[Picker ID ]],$Q$3,RawData[Checker ID],$Q$4,RawData[[Error Type ]],$Q$5))</f>
        <v/>
      </c>
    </row>
    <row r="3933" spans="15:15" x14ac:dyDescent="0.25">
      <c r="O3933" s="20" t="str">
        <f>IF(N3933="","",COUNTIFS(RawData[[Date ]],N3933,RawData[Month List],$Q$6,RawData[Tour/Site],$Q$2,RawData[[Picker ID ]],$Q$3,RawData[Checker ID],$Q$4,RawData[[Error Type ]],$Q$5))</f>
        <v/>
      </c>
    </row>
    <row r="3934" spans="15:15" x14ac:dyDescent="0.25">
      <c r="O3934" s="20" t="str">
        <f>IF(N3934="","",COUNTIFS(RawData[[Date ]],N3934,RawData[Month List],$Q$6,RawData[Tour/Site],$Q$2,RawData[[Picker ID ]],$Q$3,RawData[Checker ID],$Q$4,RawData[[Error Type ]],$Q$5))</f>
        <v/>
      </c>
    </row>
    <row r="3935" spans="15:15" x14ac:dyDescent="0.25">
      <c r="O3935" s="20" t="str">
        <f>IF(N3935="","",COUNTIFS(RawData[[Date ]],N3935,RawData[Month List],$Q$6,RawData[Tour/Site],$Q$2,RawData[[Picker ID ]],$Q$3,RawData[Checker ID],$Q$4,RawData[[Error Type ]],$Q$5))</f>
        <v/>
      </c>
    </row>
    <row r="3936" spans="15:15" x14ac:dyDescent="0.25">
      <c r="O3936" s="20" t="str">
        <f>IF(N3936="","",COUNTIFS(RawData[[Date ]],N3936,RawData[Month List],$Q$6,RawData[Tour/Site],$Q$2,RawData[[Picker ID ]],$Q$3,RawData[Checker ID],$Q$4,RawData[[Error Type ]],$Q$5))</f>
        <v/>
      </c>
    </row>
    <row r="3937" spans="15:15" x14ac:dyDescent="0.25">
      <c r="O3937" s="20" t="str">
        <f>IF(N3937="","",COUNTIFS(RawData[[Date ]],N3937,RawData[Month List],$Q$6,RawData[Tour/Site],$Q$2,RawData[[Picker ID ]],$Q$3,RawData[Checker ID],$Q$4,RawData[[Error Type ]],$Q$5))</f>
        <v/>
      </c>
    </row>
    <row r="3938" spans="15:15" x14ac:dyDescent="0.25">
      <c r="O3938" s="20" t="str">
        <f>IF(N3938="","",COUNTIFS(RawData[[Date ]],N3938,RawData[Month List],$Q$6,RawData[Tour/Site],$Q$2,RawData[[Picker ID ]],$Q$3,RawData[Checker ID],$Q$4,RawData[[Error Type ]],$Q$5))</f>
        <v/>
      </c>
    </row>
    <row r="3939" spans="15:15" x14ac:dyDescent="0.25">
      <c r="O3939" s="20" t="str">
        <f>IF(N3939="","",COUNTIFS(RawData[[Date ]],N3939,RawData[Month List],$Q$6,RawData[Tour/Site],$Q$2,RawData[[Picker ID ]],$Q$3,RawData[Checker ID],$Q$4,RawData[[Error Type ]],$Q$5))</f>
        <v/>
      </c>
    </row>
    <row r="3940" spans="15:15" x14ac:dyDescent="0.25">
      <c r="O3940" s="20" t="str">
        <f>IF(N3940="","",COUNTIFS(RawData[[Date ]],N3940,RawData[Month List],$Q$6,RawData[Tour/Site],$Q$2,RawData[[Picker ID ]],$Q$3,RawData[Checker ID],$Q$4,RawData[[Error Type ]],$Q$5))</f>
        <v/>
      </c>
    </row>
    <row r="3941" spans="15:15" x14ac:dyDescent="0.25">
      <c r="O3941" s="20" t="str">
        <f>IF(N3941="","",COUNTIFS(RawData[[Date ]],N3941,RawData[Month List],$Q$6,RawData[Tour/Site],$Q$2,RawData[[Picker ID ]],$Q$3,RawData[Checker ID],$Q$4,RawData[[Error Type ]],$Q$5))</f>
        <v/>
      </c>
    </row>
    <row r="3942" spans="15:15" x14ac:dyDescent="0.25">
      <c r="O3942" s="20" t="str">
        <f>IF(N3942="","",COUNTIFS(RawData[[Date ]],N3942,RawData[Month List],$Q$6,RawData[Tour/Site],$Q$2,RawData[[Picker ID ]],$Q$3,RawData[Checker ID],$Q$4,RawData[[Error Type ]],$Q$5))</f>
        <v/>
      </c>
    </row>
    <row r="3943" spans="15:15" x14ac:dyDescent="0.25">
      <c r="O3943" s="20" t="str">
        <f>IF(N3943="","",COUNTIFS(RawData[[Date ]],N3943,RawData[Month List],$Q$6,RawData[Tour/Site],$Q$2,RawData[[Picker ID ]],$Q$3,RawData[Checker ID],$Q$4,RawData[[Error Type ]],$Q$5))</f>
        <v/>
      </c>
    </row>
    <row r="3944" spans="15:15" x14ac:dyDescent="0.25">
      <c r="O3944" s="20" t="str">
        <f>IF(N3944="","",COUNTIFS(RawData[[Date ]],N3944,RawData[Month List],$Q$6,RawData[Tour/Site],$Q$2,RawData[[Picker ID ]],$Q$3,RawData[Checker ID],$Q$4,RawData[[Error Type ]],$Q$5))</f>
        <v/>
      </c>
    </row>
    <row r="3945" spans="15:15" x14ac:dyDescent="0.25">
      <c r="O3945" s="20" t="str">
        <f>IF(N3945="","",COUNTIFS(RawData[[Date ]],N3945,RawData[Month List],$Q$6,RawData[Tour/Site],$Q$2,RawData[[Picker ID ]],$Q$3,RawData[Checker ID],$Q$4,RawData[[Error Type ]],$Q$5))</f>
        <v/>
      </c>
    </row>
    <row r="3946" spans="15:15" x14ac:dyDescent="0.25">
      <c r="O3946" s="20" t="str">
        <f>IF(N3946="","",COUNTIFS(RawData[[Date ]],N3946,RawData[Month List],$Q$6,RawData[Tour/Site],$Q$2,RawData[[Picker ID ]],$Q$3,RawData[Checker ID],$Q$4,RawData[[Error Type ]],$Q$5))</f>
        <v/>
      </c>
    </row>
    <row r="3947" spans="15:15" x14ac:dyDescent="0.25">
      <c r="O3947" s="20" t="str">
        <f>IF(N3947="","",COUNTIFS(RawData[[Date ]],N3947,RawData[Month List],$Q$6,RawData[Tour/Site],$Q$2,RawData[[Picker ID ]],$Q$3,RawData[Checker ID],$Q$4,RawData[[Error Type ]],$Q$5))</f>
        <v/>
      </c>
    </row>
    <row r="3948" spans="15:15" x14ac:dyDescent="0.25">
      <c r="O3948" s="20" t="str">
        <f>IF(N3948="","",COUNTIFS(RawData[[Date ]],N3948,RawData[Month List],$Q$6,RawData[Tour/Site],$Q$2,RawData[[Picker ID ]],$Q$3,RawData[Checker ID],$Q$4,RawData[[Error Type ]],$Q$5))</f>
        <v/>
      </c>
    </row>
    <row r="3949" spans="15:15" x14ac:dyDescent="0.25">
      <c r="O3949" s="20" t="str">
        <f>IF(N3949="","",COUNTIFS(RawData[[Date ]],N3949,RawData[Month List],$Q$6,RawData[Tour/Site],$Q$2,RawData[[Picker ID ]],$Q$3,RawData[Checker ID],$Q$4,RawData[[Error Type ]],$Q$5))</f>
        <v/>
      </c>
    </row>
    <row r="3950" spans="15:15" x14ac:dyDescent="0.25">
      <c r="O3950" s="20" t="str">
        <f>IF(N3950="","",COUNTIFS(RawData[[Date ]],N3950,RawData[Month List],$Q$6,RawData[Tour/Site],$Q$2,RawData[[Picker ID ]],$Q$3,RawData[Checker ID],$Q$4,RawData[[Error Type ]],$Q$5))</f>
        <v/>
      </c>
    </row>
    <row r="3951" spans="15:15" x14ac:dyDescent="0.25">
      <c r="O3951" s="20" t="str">
        <f>IF(N3951="","",COUNTIFS(RawData[[Date ]],N3951,RawData[Month List],$Q$6,RawData[Tour/Site],$Q$2,RawData[[Picker ID ]],$Q$3,RawData[Checker ID],$Q$4,RawData[[Error Type ]],$Q$5))</f>
        <v/>
      </c>
    </row>
    <row r="3952" spans="15:15" x14ac:dyDescent="0.25">
      <c r="O3952" s="20" t="str">
        <f>IF(N3952="","",COUNTIFS(RawData[[Date ]],N3952,RawData[Month List],$Q$6,RawData[Tour/Site],$Q$2,RawData[[Picker ID ]],$Q$3,RawData[Checker ID],$Q$4,RawData[[Error Type ]],$Q$5))</f>
        <v/>
      </c>
    </row>
    <row r="3953" spans="15:15" x14ac:dyDescent="0.25">
      <c r="O3953" s="20" t="str">
        <f>IF(N3953="","",COUNTIFS(RawData[[Date ]],N3953,RawData[Month List],$Q$6,RawData[Tour/Site],$Q$2,RawData[[Picker ID ]],$Q$3,RawData[Checker ID],$Q$4,RawData[[Error Type ]],$Q$5))</f>
        <v/>
      </c>
    </row>
    <row r="3954" spans="15:15" x14ac:dyDescent="0.25">
      <c r="O3954" s="20" t="str">
        <f>IF(N3954="","",COUNTIFS(RawData[[Date ]],N3954,RawData[Month List],$Q$6,RawData[Tour/Site],$Q$2,RawData[[Picker ID ]],$Q$3,RawData[Checker ID],$Q$4,RawData[[Error Type ]],$Q$5))</f>
        <v/>
      </c>
    </row>
    <row r="3955" spans="15:15" x14ac:dyDescent="0.25">
      <c r="O3955" s="20" t="str">
        <f>IF(N3955="","",COUNTIFS(RawData[[Date ]],N3955,RawData[Month List],$Q$6,RawData[Tour/Site],$Q$2,RawData[[Picker ID ]],$Q$3,RawData[Checker ID],$Q$4,RawData[[Error Type ]],$Q$5))</f>
        <v/>
      </c>
    </row>
    <row r="3956" spans="15:15" x14ac:dyDescent="0.25">
      <c r="O3956" s="20" t="str">
        <f>IF(N3956="","",COUNTIFS(RawData[[Date ]],N3956,RawData[Month List],$Q$6,RawData[Tour/Site],$Q$2,RawData[[Picker ID ]],$Q$3,RawData[Checker ID],$Q$4,RawData[[Error Type ]],$Q$5))</f>
        <v/>
      </c>
    </row>
    <row r="3957" spans="15:15" x14ac:dyDescent="0.25">
      <c r="O3957" s="20" t="str">
        <f>IF(N3957="","",COUNTIFS(RawData[[Date ]],N3957,RawData[Month List],$Q$6,RawData[Tour/Site],$Q$2,RawData[[Picker ID ]],$Q$3,RawData[Checker ID],$Q$4,RawData[[Error Type ]],$Q$5))</f>
        <v/>
      </c>
    </row>
    <row r="3958" spans="15:15" x14ac:dyDescent="0.25">
      <c r="O3958" s="20" t="str">
        <f>IF(N3958="","",COUNTIFS(RawData[[Date ]],N3958,RawData[Month List],$Q$6,RawData[Tour/Site],$Q$2,RawData[[Picker ID ]],$Q$3,RawData[Checker ID],$Q$4,RawData[[Error Type ]],$Q$5))</f>
        <v/>
      </c>
    </row>
    <row r="3959" spans="15:15" x14ac:dyDescent="0.25">
      <c r="O3959" s="20" t="str">
        <f>IF(N3959="","",COUNTIFS(RawData[[Date ]],N3959,RawData[Month List],$Q$6,RawData[Tour/Site],$Q$2,RawData[[Picker ID ]],$Q$3,RawData[Checker ID],$Q$4,RawData[[Error Type ]],$Q$5))</f>
        <v/>
      </c>
    </row>
    <row r="3960" spans="15:15" x14ac:dyDescent="0.25">
      <c r="O3960" s="20" t="str">
        <f>IF(N3960="","",COUNTIFS(RawData[[Date ]],N3960,RawData[Month List],$Q$6,RawData[Tour/Site],$Q$2,RawData[[Picker ID ]],$Q$3,RawData[Checker ID],$Q$4,RawData[[Error Type ]],$Q$5))</f>
        <v/>
      </c>
    </row>
    <row r="3961" spans="15:15" x14ac:dyDescent="0.25">
      <c r="O3961" s="20" t="str">
        <f>IF(N3961="","",COUNTIFS(RawData[[Date ]],N3961,RawData[Month List],$Q$6,RawData[Tour/Site],$Q$2,RawData[[Picker ID ]],$Q$3,RawData[Checker ID],$Q$4,RawData[[Error Type ]],$Q$5))</f>
        <v/>
      </c>
    </row>
    <row r="3962" spans="15:15" x14ac:dyDescent="0.25">
      <c r="O3962" s="20" t="str">
        <f>IF(N3962="","",COUNTIFS(RawData[[Date ]],N3962,RawData[Month List],$Q$6,RawData[Tour/Site],$Q$2,RawData[[Picker ID ]],$Q$3,RawData[Checker ID],$Q$4,RawData[[Error Type ]],$Q$5))</f>
        <v/>
      </c>
    </row>
    <row r="3963" spans="15:15" x14ac:dyDescent="0.25">
      <c r="O3963" s="20" t="str">
        <f>IF(N3963="","",COUNTIFS(RawData[[Date ]],N3963,RawData[Month List],$Q$6,RawData[Tour/Site],$Q$2,RawData[[Picker ID ]],$Q$3,RawData[Checker ID],$Q$4,RawData[[Error Type ]],$Q$5))</f>
        <v/>
      </c>
    </row>
    <row r="3964" spans="15:15" x14ac:dyDescent="0.25">
      <c r="O3964" s="20" t="str">
        <f>IF(N3964="","",COUNTIFS(RawData[[Date ]],N3964,RawData[Month List],$Q$6,RawData[Tour/Site],$Q$2,RawData[[Picker ID ]],$Q$3,RawData[Checker ID],$Q$4,RawData[[Error Type ]],$Q$5))</f>
        <v/>
      </c>
    </row>
    <row r="3965" spans="15:15" x14ac:dyDescent="0.25">
      <c r="O3965" s="20" t="str">
        <f>IF(N3965="","",COUNTIFS(RawData[[Date ]],N3965,RawData[Month List],$Q$6,RawData[Tour/Site],$Q$2,RawData[[Picker ID ]],$Q$3,RawData[Checker ID],$Q$4,RawData[[Error Type ]],$Q$5))</f>
        <v/>
      </c>
    </row>
    <row r="3966" spans="15:15" x14ac:dyDescent="0.25">
      <c r="O3966" s="20" t="str">
        <f>IF(N3966="","",COUNTIFS(RawData[[Date ]],N3966,RawData[Month List],$Q$6,RawData[Tour/Site],$Q$2,RawData[[Picker ID ]],$Q$3,RawData[Checker ID],$Q$4,RawData[[Error Type ]],$Q$5))</f>
        <v/>
      </c>
    </row>
    <row r="3967" spans="15:15" x14ac:dyDescent="0.25">
      <c r="O3967" s="20" t="str">
        <f>IF(N3967="","",COUNTIFS(RawData[[Date ]],N3967,RawData[Month List],$Q$6,RawData[Tour/Site],$Q$2,RawData[[Picker ID ]],$Q$3,RawData[Checker ID],$Q$4,RawData[[Error Type ]],$Q$5))</f>
        <v/>
      </c>
    </row>
    <row r="3968" spans="15:15" x14ac:dyDescent="0.25">
      <c r="O3968" s="20" t="str">
        <f>IF(N3968="","",COUNTIFS(RawData[[Date ]],N3968,RawData[Month List],$Q$6,RawData[Tour/Site],$Q$2,RawData[[Picker ID ]],$Q$3,RawData[Checker ID],$Q$4,RawData[[Error Type ]],$Q$5))</f>
        <v/>
      </c>
    </row>
    <row r="3969" spans="15:15" x14ac:dyDescent="0.25">
      <c r="O3969" s="20" t="str">
        <f>IF(N3969="","",COUNTIFS(RawData[[Date ]],N3969,RawData[Month List],$Q$6,RawData[Tour/Site],$Q$2,RawData[[Picker ID ]],$Q$3,RawData[Checker ID],$Q$4,RawData[[Error Type ]],$Q$5))</f>
        <v/>
      </c>
    </row>
    <row r="3970" spans="15:15" x14ac:dyDescent="0.25">
      <c r="O3970" s="20" t="str">
        <f>IF(N3970="","",COUNTIFS(RawData[[Date ]],N3970,RawData[Month List],$Q$6,RawData[Tour/Site],$Q$2,RawData[[Picker ID ]],$Q$3,RawData[Checker ID],$Q$4,RawData[[Error Type ]],$Q$5))</f>
        <v/>
      </c>
    </row>
    <row r="3971" spans="15:15" x14ac:dyDescent="0.25">
      <c r="O3971" s="20" t="str">
        <f>IF(N3971="","",COUNTIFS(RawData[[Date ]],N3971,RawData[Month List],$Q$6,RawData[Tour/Site],$Q$2,RawData[[Picker ID ]],$Q$3,RawData[Checker ID],$Q$4,RawData[[Error Type ]],$Q$5))</f>
        <v/>
      </c>
    </row>
    <row r="3972" spans="15:15" x14ac:dyDescent="0.25">
      <c r="O3972" s="20" t="str">
        <f>IF(N3972="","",COUNTIFS(RawData[[Date ]],N3972,RawData[Month List],$Q$6,RawData[Tour/Site],$Q$2,RawData[[Picker ID ]],$Q$3,RawData[Checker ID],$Q$4,RawData[[Error Type ]],$Q$5))</f>
        <v/>
      </c>
    </row>
    <row r="3973" spans="15:15" x14ac:dyDescent="0.25">
      <c r="O3973" s="20" t="str">
        <f>IF(N3973="","",COUNTIFS(RawData[[Date ]],N3973,RawData[Month List],$Q$6,RawData[Tour/Site],$Q$2,RawData[[Picker ID ]],$Q$3,RawData[Checker ID],$Q$4,RawData[[Error Type ]],$Q$5))</f>
        <v/>
      </c>
    </row>
    <row r="3974" spans="15:15" x14ac:dyDescent="0.25">
      <c r="O3974" s="20" t="str">
        <f>IF(N3974="","",COUNTIFS(RawData[[Date ]],N3974,RawData[Month List],$Q$6,RawData[Tour/Site],$Q$2,RawData[[Picker ID ]],$Q$3,RawData[Checker ID],$Q$4,RawData[[Error Type ]],$Q$5))</f>
        <v/>
      </c>
    </row>
    <row r="3975" spans="15:15" x14ac:dyDescent="0.25">
      <c r="O3975" s="20" t="str">
        <f>IF(N3975="","",COUNTIFS(RawData[[Date ]],N3975,RawData[Month List],$Q$6,RawData[Tour/Site],$Q$2,RawData[[Picker ID ]],$Q$3,RawData[Checker ID],$Q$4,RawData[[Error Type ]],$Q$5))</f>
        <v/>
      </c>
    </row>
    <row r="3976" spans="15:15" x14ac:dyDescent="0.25">
      <c r="O3976" s="20" t="str">
        <f>IF(N3976="","",COUNTIFS(RawData[[Date ]],N3976,RawData[Month List],$Q$6,RawData[Tour/Site],$Q$2,RawData[[Picker ID ]],$Q$3,RawData[Checker ID],$Q$4,RawData[[Error Type ]],$Q$5))</f>
        <v/>
      </c>
    </row>
    <row r="3977" spans="15:15" x14ac:dyDescent="0.25">
      <c r="O3977" s="20" t="str">
        <f>IF(N3977="","",COUNTIFS(RawData[[Date ]],N3977,RawData[Month List],$Q$6,RawData[Tour/Site],$Q$2,RawData[[Picker ID ]],$Q$3,RawData[Checker ID],$Q$4,RawData[[Error Type ]],$Q$5))</f>
        <v/>
      </c>
    </row>
    <row r="3978" spans="15:15" x14ac:dyDescent="0.25">
      <c r="O3978" s="20" t="str">
        <f>IF(N3978="","",COUNTIFS(RawData[[Date ]],N3978,RawData[Month List],$Q$6,RawData[Tour/Site],$Q$2,RawData[[Picker ID ]],$Q$3,RawData[Checker ID],$Q$4,RawData[[Error Type ]],$Q$5))</f>
        <v/>
      </c>
    </row>
    <row r="3979" spans="15:15" x14ac:dyDescent="0.25">
      <c r="O3979" s="20" t="str">
        <f>IF(N3979="","",COUNTIFS(RawData[[Date ]],N3979,RawData[Month List],$Q$6,RawData[Tour/Site],$Q$2,RawData[[Picker ID ]],$Q$3,RawData[Checker ID],$Q$4,RawData[[Error Type ]],$Q$5))</f>
        <v/>
      </c>
    </row>
    <row r="3980" spans="15:15" x14ac:dyDescent="0.25">
      <c r="O3980" s="20" t="str">
        <f>IF(N3980="","",COUNTIFS(RawData[[Date ]],N3980,RawData[Month List],$Q$6,RawData[Tour/Site],$Q$2,RawData[[Picker ID ]],$Q$3,RawData[Checker ID],$Q$4,RawData[[Error Type ]],$Q$5))</f>
        <v/>
      </c>
    </row>
    <row r="3981" spans="15:15" x14ac:dyDescent="0.25">
      <c r="O3981" s="20" t="str">
        <f>IF(N3981="","",COUNTIFS(RawData[[Date ]],N3981,RawData[Month List],$Q$6,RawData[Tour/Site],$Q$2,RawData[[Picker ID ]],$Q$3,RawData[Checker ID],$Q$4,RawData[[Error Type ]],$Q$5))</f>
        <v/>
      </c>
    </row>
    <row r="3982" spans="15:15" x14ac:dyDescent="0.25">
      <c r="O3982" s="20" t="str">
        <f>IF(N3982="","",COUNTIFS(RawData[[Date ]],N3982,RawData[Month List],$Q$6,RawData[Tour/Site],$Q$2,RawData[[Picker ID ]],$Q$3,RawData[Checker ID],$Q$4,RawData[[Error Type ]],$Q$5))</f>
        <v/>
      </c>
    </row>
    <row r="3983" spans="15:15" x14ac:dyDescent="0.25">
      <c r="O3983" s="20" t="str">
        <f>IF(N3983="","",COUNTIFS(RawData[[Date ]],N3983,RawData[Month List],$Q$6,RawData[Tour/Site],$Q$2,RawData[[Picker ID ]],$Q$3,RawData[Checker ID],$Q$4,RawData[[Error Type ]],$Q$5))</f>
        <v/>
      </c>
    </row>
    <row r="3984" spans="15:15" x14ac:dyDescent="0.25">
      <c r="O3984" s="20" t="str">
        <f>IF(N3984="","",COUNTIFS(RawData[[Date ]],N3984,RawData[Month List],$Q$6,RawData[Tour/Site],$Q$2,RawData[[Picker ID ]],$Q$3,RawData[Checker ID],$Q$4,RawData[[Error Type ]],$Q$5))</f>
        <v/>
      </c>
    </row>
    <row r="3985" spans="15:15" x14ac:dyDescent="0.25">
      <c r="O3985" s="20" t="str">
        <f>IF(N3985="","",COUNTIFS(RawData[[Date ]],N3985,RawData[Month List],$Q$6,RawData[Tour/Site],$Q$2,RawData[[Picker ID ]],$Q$3,RawData[Checker ID],$Q$4,RawData[[Error Type ]],$Q$5))</f>
        <v/>
      </c>
    </row>
    <row r="3986" spans="15:15" x14ac:dyDescent="0.25">
      <c r="O3986" s="20" t="str">
        <f>IF(N3986="","",COUNTIFS(RawData[[Date ]],N3986,RawData[Month List],$Q$6,RawData[Tour/Site],$Q$2,RawData[[Picker ID ]],$Q$3,RawData[Checker ID],$Q$4,RawData[[Error Type ]],$Q$5))</f>
        <v/>
      </c>
    </row>
    <row r="3987" spans="15:15" x14ac:dyDescent="0.25">
      <c r="O3987" s="20" t="str">
        <f>IF(N3987="","",COUNTIFS(RawData[[Date ]],N3987,RawData[Month List],$Q$6,RawData[Tour/Site],$Q$2,RawData[[Picker ID ]],$Q$3,RawData[Checker ID],$Q$4,RawData[[Error Type ]],$Q$5))</f>
        <v/>
      </c>
    </row>
    <row r="3988" spans="15:15" x14ac:dyDescent="0.25">
      <c r="O3988" s="20" t="str">
        <f>IF(N3988="","",COUNTIFS(RawData[[Date ]],N3988,RawData[Month List],$Q$6,RawData[Tour/Site],$Q$2,RawData[[Picker ID ]],$Q$3,RawData[Checker ID],$Q$4,RawData[[Error Type ]],$Q$5))</f>
        <v/>
      </c>
    </row>
    <row r="3989" spans="15:15" x14ac:dyDescent="0.25">
      <c r="O3989" s="20" t="str">
        <f>IF(N3989="","",COUNTIFS(RawData[[Date ]],N3989,RawData[Month List],$Q$6,RawData[Tour/Site],$Q$2,RawData[[Picker ID ]],$Q$3,RawData[Checker ID],$Q$4,RawData[[Error Type ]],$Q$5))</f>
        <v/>
      </c>
    </row>
    <row r="3990" spans="15:15" x14ac:dyDescent="0.25">
      <c r="O3990" s="20" t="str">
        <f>IF(N3990="","",COUNTIFS(RawData[[Date ]],N3990,RawData[Month List],$Q$6,RawData[Tour/Site],$Q$2,RawData[[Picker ID ]],$Q$3,RawData[Checker ID],$Q$4,RawData[[Error Type ]],$Q$5))</f>
        <v/>
      </c>
    </row>
    <row r="3991" spans="15:15" x14ac:dyDescent="0.25">
      <c r="O3991" s="20" t="str">
        <f>IF(N3991="","",COUNTIFS(RawData[[Date ]],N3991,RawData[Month List],$Q$6,RawData[Tour/Site],$Q$2,RawData[[Picker ID ]],$Q$3,RawData[Checker ID],$Q$4,RawData[[Error Type ]],$Q$5))</f>
        <v/>
      </c>
    </row>
    <row r="3992" spans="15:15" x14ac:dyDescent="0.25">
      <c r="O3992" s="20" t="str">
        <f>IF(N3992="","",COUNTIFS(RawData[[Date ]],N3992,RawData[Month List],$Q$6,RawData[Tour/Site],$Q$2,RawData[[Picker ID ]],$Q$3,RawData[Checker ID],$Q$4,RawData[[Error Type ]],$Q$5))</f>
        <v/>
      </c>
    </row>
    <row r="3993" spans="15:15" x14ac:dyDescent="0.25">
      <c r="O3993" s="20" t="str">
        <f>IF(N3993="","",COUNTIFS(RawData[[Date ]],N3993,RawData[Month List],$Q$6,RawData[Tour/Site],$Q$2,RawData[[Picker ID ]],$Q$3,RawData[Checker ID],$Q$4,RawData[[Error Type ]],$Q$5))</f>
        <v/>
      </c>
    </row>
    <row r="3994" spans="15:15" x14ac:dyDescent="0.25">
      <c r="O3994" s="20" t="str">
        <f>IF(N3994="","",COUNTIFS(RawData[[Date ]],N3994,RawData[Month List],$Q$6,RawData[Tour/Site],$Q$2,RawData[[Picker ID ]],$Q$3,RawData[Checker ID],$Q$4,RawData[[Error Type ]],$Q$5))</f>
        <v/>
      </c>
    </row>
    <row r="3995" spans="15:15" x14ac:dyDescent="0.25">
      <c r="O3995" s="20" t="str">
        <f>IF(N3995="","",COUNTIFS(RawData[[Date ]],N3995,RawData[Month List],$Q$6,RawData[Tour/Site],$Q$2,RawData[[Picker ID ]],$Q$3,RawData[Checker ID],$Q$4,RawData[[Error Type ]],$Q$5))</f>
        <v/>
      </c>
    </row>
    <row r="3996" spans="15:15" x14ac:dyDescent="0.25">
      <c r="O3996" s="20" t="str">
        <f>IF(N3996="","",COUNTIFS(RawData[[Date ]],N3996,RawData[Month List],$Q$6,RawData[Tour/Site],$Q$2,RawData[[Picker ID ]],$Q$3,RawData[Checker ID],$Q$4,RawData[[Error Type ]],$Q$5))</f>
        <v/>
      </c>
    </row>
    <row r="3997" spans="15:15" x14ac:dyDescent="0.25">
      <c r="O3997" s="20" t="str">
        <f>IF(N3997="","",COUNTIFS(RawData[[Date ]],N3997,RawData[Month List],$Q$6,RawData[Tour/Site],$Q$2,RawData[[Picker ID ]],$Q$3,RawData[Checker ID],$Q$4,RawData[[Error Type ]],$Q$5))</f>
        <v/>
      </c>
    </row>
    <row r="3998" spans="15:15" x14ac:dyDescent="0.25">
      <c r="O3998" s="20" t="str">
        <f>IF(N3998="","",COUNTIFS(RawData[[Date ]],N3998,RawData[Month List],$Q$6,RawData[Tour/Site],$Q$2,RawData[[Picker ID ]],$Q$3,RawData[Checker ID],$Q$4,RawData[[Error Type ]],$Q$5))</f>
        <v/>
      </c>
    </row>
    <row r="3999" spans="15:15" x14ac:dyDescent="0.25">
      <c r="O3999" s="20" t="str">
        <f>IF(N3999="","",COUNTIFS(RawData[[Date ]],N3999,RawData[Month List],$Q$6,RawData[Tour/Site],$Q$2,RawData[[Picker ID ]],$Q$3,RawData[Checker ID],$Q$4,RawData[[Error Type ]],$Q$5))</f>
        <v/>
      </c>
    </row>
    <row r="4000" spans="15:15" x14ac:dyDescent="0.25">
      <c r="O4000" s="20" t="str">
        <f>IF(N4000="","",COUNTIFS(RawData[[Date ]],N4000,RawData[Month List],$Q$6,RawData[Tour/Site],$Q$2,RawData[[Picker ID ]],$Q$3,RawData[Checker ID],$Q$4,RawData[[Error Type ]],$Q$5))</f>
        <v/>
      </c>
    </row>
    <row r="4001" spans="15:15" x14ac:dyDescent="0.25">
      <c r="O4001" s="20" t="str">
        <f>IF(N4001="","",COUNTIFS(RawData[[Date ]],N4001,RawData[Month List],$Q$6,RawData[Tour/Site],$Q$2,RawData[[Picker ID ]],$Q$3,RawData[Checker ID],$Q$4,RawData[[Error Type ]],$Q$5))</f>
        <v/>
      </c>
    </row>
    <row r="4002" spans="15:15" x14ac:dyDescent="0.25">
      <c r="O4002" s="20" t="str">
        <f>IF(N4002="","",COUNTIFS(RawData[[Date ]],N4002,RawData[Month List],$Q$6,RawData[Tour/Site],$Q$2,RawData[[Picker ID ]],$Q$3,RawData[Checker ID],$Q$4,RawData[[Error Type ]],$Q$5))</f>
        <v/>
      </c>
    </row>
    <row r="4003" spans="15:15" x14ac:dyDescent="0.25">
      <c r="O4003" s="20" t="str">
        <f>IF(N4003="","",COUNTIFS(RawData[[Date ]],N4003,RawData[Month List],$Q$6,RawData[Tour/Site],$Q$2,RawData[[Picker ID ]],$Q$3,RawData[Checker ID],$Q$4,RawData[[Error Type ]],$Q$5))</f>
        <v/>
      </c>
    </row>
    <row r="4004" spans="15:15" x14ac:dyDescent="0.25">
      <c r="O4004" s="20" t="str">
        <f>IF(N4004="","",COUNTIFS(RawData[[Date ]],N4004,RawData[Month List],$Q$6,RawData[Tour/Site],$Q$2,RawData[[Picker ID ]],$Q$3,RawData[Checker ID],$Q$4,RawData[[Error Type ]],$Q$5))</f>
        <v/>
      </c>
    </row>
    <row r="4005" spans="15:15" x14ac:dyDescent="0.25">
      <c r="O4005" s="20" t="str">
        <f>IF(N4005="","",COUNTIFS(RawData[[Date ]],N4005,RawData[Month List],$Q$6,RawData[Tour/Site],$Q$2,RawData[[Picker ID ]],$Q$3,RawData[Checker ID],$Q$4,RawData[[Error Type ]],$Q$5))</f>
        <v/>
      </c>
    </row>
    <row r="4006" spans="15:15" x14ac:dyDescent="0.25">
      <c r="O4006" s="20" t="str">
        <f>IF(N4006="","",COUNTIFS(RawData[[Date ]],N4006,RawData[Month List],$Q$6,RawData[Tour/Site],$Q$2,RawData[[Picker ID ]],$Q$3,RawData[Checker ID],$Q$4,RawData[[Error Type ]],$Q$5))</f>
        <v/>
      </c>
    </row>
    <row r="4007" spans="15:15" x14ac:dyDescent="0.25">
      <c r="O4007" s="20" t="str">
        <f>IF(N4007="","",COUNTIFS(RawData[[Date ]],N4007,RawData[Month List],$Q$6,RawData[Tour/Site],$Q$2,RawData[[Picker ID ]],$Q$3,RawData[Checker ID],$Q$4,RawData[[Error Type ]],$Q$5))</f>
        <v/>
      </c>
    </row>
    <row r="4008" spans="15:15" x14ac:dyDescent="0.25">
      <c r="O4008" s="20" t="str">
        <f>IF(N4008="","",COUNTIFS(RawData[[Date ]],N4008,RawData[Month List],$Q$6,RawData[Tour/Site],$Q$2,RawData[[Picker ID ]],$Q$3,RawData[Checker ID],$Q$4,RawData[[Error Type ]],$Q$5))</f>
        <v/>
      </c>
    </row>
    <row r="4009" spans="15:15" x14ac:dyDescent="0.25">
      <c r="O4009" s="20" t="str">
        <f>IF(N4009="","",COUNTIFS(RawData[[Date ]],N4009,RawData[Month List],$Q$6,RawData[Tour/Site],$Q$2,RawData[[Picker ID ]],$Q$3,RawData[Checker ID],$Q$4,RawData[[Error Type ]],$Q$5))</f>
        <v/>
      </c>
    </row>
    <row r="4010" spans="15:15" x14ac:dyDescent="0.25">
      <c r="O4010" s="20" t="str">
        <f>IF(N4010="","",COUNTIFS(RawData[[Date ]],N4010,RawData[Month List],$Q$6,RawData[Tour/Site],$Q$2,RawData[[Picker ID ]],$Q$3,RawData[Checker ID],$Q$4,RawData[[Error Type ]],$Q$5))</f>
        <v/>
      </c>
    </row>
    <row r="4011" spans="15:15" x14ac:dyDescent="0.25">
      <c r="O4011" s="20" t="str">
        <f>IF(N4011="","",COUNTIFS(RawData[[Date ]],N4011,RawData[Month List],$Q$6,RawData[Tour/Site],$Q$2,RawData[[Picker ID ]],$Q$3,RawData[Checker ID],$Q$4,RawData[[Error Type ]],$Q$5))</f>
        <v/>
      </c>
    </row>
    <row r="4012" spans="15:15" x14ac:dyDescent="0.25">
      <c r="O4012" s="20" t="str">
        <f>IF(N4012="","",COUNTIFS(RawData[[Date ]],N4012,RawData[Month List],$Q$6,RawData[Tour/Site],$Q$2,RawData[[Picker ID ]],$Q$3,RawData[Checker ID],$Q$4,RawData[[Error Type ]],$Q$5))</f>
        <v/>
      </c>
    </row>
    <row r="4013" spans="15:15" x14ac:dyDescent="0.25">
      <c r="O4013" s="20" t="str">
        <f>IF(N4013="","",COUNTIFS(RawData[[Date ]],N4013,RawData[Month List],$Q$6,RawData[Tour/Site],$Q$2,RawData[[Picker ID ]],$Q$3,RawData[Checker ID],$Q$4,RawData[[Error Type ]],$Q$5))</f>
        <v/>
      </c>
    </row>
    <row r="4014" spans="15:15" x14ac:dyDescent="0.25">
      <c r="O4014" s="20" t="str">
        <f>IF(N4014="","",COUNTIFS(RawData[[Date ]],N4014,RawData[Month List],$Q$6,RawData[Tour/Site],$Q$2,RawData[[Picker ID ]],$Q$3,RawData[Checker ID],$Q$4,RawData[[Error Type ]],$Q$5))</f>
        <v/>
      </c>
    </row>
    <row r="4015" spans="15:15" x14ac:dyDescent="0.25">
      <c r="O4015" s="20" t="str">
        <f>IF(N4015="","",COUNTIFS(RawData[[Date ]],N4015,RawData[Month List],$Q$6,RawData[Tour/Site],$Q$2,RawData[[Picker ID ]],$Q$3,RawData[Checker ID],$Q$4,RawData[[Error Type ]],$Q$5))</f>
        <v/>
      </c>
    </row>
    <row r="4016" spans="15:15" x14ac:dyDescent="0.25">
      <c r="O4016" s="20" t="str">
        <f>IF(N4016="","",COUNTIFS(RawData[[Date ]],N4016,RawData[Month List],$Q$6,RawData[Tour/Site],$Q$2,RawData[[Picker ID ]],$Q$3,RawData[Checker ID],$Q$4,RawData[[Error Type ]],$Q$5))</f>
        <v/>
      </c>
    </row>
    <row r="4017" spans="15:15" x14ac:dyDescent="0.25">
      <c r="O4017" s="20" t="str">
        <f>IF(N4017="","",COUNTIFS(RawData[[Date ]],N4017,RawData[Month List],$Q$6,RawData[Tour/Site],$Q$2,RawData[[Picker ID ]],$Q$3,RawData[Checker ID],$Q$4,RawData[[Error Type ]],$Q$5))</f>
        <v/>
      </c>
    </row>
    <row r="4018" spans="15:15" x14ac:dyDescent="0.25">
      <c r="O4018" s="20" t="str">
        <f>IF(N4018="","",COUNTIFS(RawData[[Date ]],N4018,RawData[Month List],$Q$6,RawData[Tour/Site],$Q$2,RawData[[Picker ID ]],$Q$3,RawData[Checker ID],$Q$4,RawData[[Error Type ]],$Q$5))</f>
        <v/>
      </c>
    </row>
    <row r="4019" spans="15:15" x14ac:dyDescent="0.25">
      <c r="O4019" s="20" t="str">
        <f>IF(N4019="","",COUNTIFS(RawData[[Date ]],N4019,RawData[Month List],$Q$6,RawData[Tour/Site],$Q$2,RawData[[Picker ID ]],$Q$3,RawData[Checker ID],$Q$4,RawData[[Error Type ]],$Q$5))</f>
        <v/>
      </c>
    </row>
    <row r="4020" spans="15:15" x14ac:dyDescent="0.25">
      <c r="O4020" s="20" t="str">
        <f>IF(N4020="","",COUNTIFS(RawData[[Date ]],N4020,RawData[Month List],$Q$6,RawData[Tour/Site],$Q$2,RawData[[Picker ID ]],$Q$3,RawData[Checker ID],$Q$4,RawData[[Error Type ]],$Q$5))</f>
        <v/>
      </c>
    </row>
    <row r="4021" spans="15:15" x14ac:dyDescent="0.25">
      <c r="O4021" s="20" t="str">
        <f>IF(N4021="","",COUNTIFS(RawData[[Date ]],N4021,RawData[Month List],$Q$6,RawData[Tour/Site],$Q$2,RawData[[Picker ID ]],$Q$3,RawData[Checker ID],$Q$4,RawData[[Error Type ]],$Q$5))</f>
        <v/>
      </c>
    </row>
    <row r="4022" spans="15:15" x14ac:dyDescent="0.25">
      <c r="O4022" s="20" t="str">
        <f>IF(N4022="","",COUNTIFS(RawData[[Date ]],N4022,RawData[Month List],$Q$6,RawData[Tour/Site],$Q$2,RawData[[Picker ID ]],$Q$3,RawData[Checker ID],$Q$4,RawData[[Error Type ]],$Q$5))</f>
        <v/>
      </c>
    </row>
    <row r="4023" spans="15:15" x14ac:dyDescent="0.25">
      <c r="O4023" s="20" t="str">
        <f>IF(N4023="","",COUNTIFS(RawData[[Date ]],N4023,RawData[Month List],$Q$6,RawData[Tour/Site],$Q$2,RawData[[Picker ID ]],$Q$3,RawData[Checker ID],$Q$4,RawData[[Error Type ]],$Q$5))</f>
        <v/>
      </c>
    </row>
    <row r="4024" spans="15:15" x14ac:dyDescent="0.25">
      <c r="O4024" s="20" t="str">
        <f>IF(N4024="","",COUNTIFS(RawData[[Date ]],N4024,RawData[Month List],$Q$6,RawData[Tour/Site],$Q$2,RawData[[Picker ID ]],$Q$3,RawData[Checker ID],$Q$4,RawData[[Error Type ]],$Q$5))</f>
        <v/>
      </c>
    </row>
    <row r="4025" spans="15:15" x14ac:dyDescent="0.25">
      <c r="O4025" s="20" t="str">
        <f>IF(N4025="","",COUNTIFS(RawData[[Date ]],N4025,RawData[Month List],$Q$6,RawData[Tour/Site],$Q$2,RawData[[Picker ID ]],$Q$3,RawData[Checker ID],$Q$4,RawData[[Error Type ]],$Q$5))</f>
        <v/>
      </c>
    </row>
    <row r="4026" spans="15:15" x14ac:dyDescent="0.25">
      <c r="O4026" s="20" t="str">
        <f>IF(N4026="","",COUNTIFS(RawData[[Date ]],N4026,RawData[Month List],$Q$6,RawData[Tour/Site],$Q$2,RawData[[Picker ID ]],$Q$3,RawData[Checker ID],$Q$4,RawData[[Error Type ]],$Q$5))</f>
        <v/>
      </c>
    </row>
    <row r="4027" spans="15:15" x14ac:dyDescent="0.25">
      <c r="O4027" s="20" t="str">
        <f>IF(N4027="","",COUNTIFS(RawData[[Date ]],N4027,RawData[Month List],$Q$6,RawData[Tour/Site],$Q$2,RawData[[Picker ID ]],$Q$3,RawData[Checker ID],$Q$4,RawData[[Error Type ]],$Q$5))</f>
        <v/>
      </c>
    </row>
    <row r="4028" spans="15:15" x14ac:dyDescent="0.25">
      <c r="O4028" s="20" t="str">
        <f>IF(N4028="","",COUNTIFS(RawData[[Date ]],N4028,RawData[Month List],$Q$6,RawData[Tour/Site],$Q$2,RawData[[Picker ID ]],$Q$3,RawData[Checker ID],$Q$4,RawData[[Error Type ]],$Q$5))</f>
        <v/>
      </c>
    </row>
    <row r="4029" spans="15:15" x14ac:dyDescent="0.25">
      <c r="O4029" s="20" t="str">
        <f>IF(N4029="","",COUNTIFS(RawData[[Date ]],N4029,RawData[Month List],$Q$6,RawData[Tour/Site],$Q$2,RawData[[Picker ID ]],$Q$3,RawData[Checker ID],$Q$4,RawData[[Error Type ]],$Q$5))</f>
        <v/>
      </c>
    </row>
    <row r="4030" spans="15:15" x14ac:dyDescent="0.25">
      <c r="O4030" s="20" t="str">
        <f>IF(N4030="","",COUNTIFS(RawData[[Date ]],N4030,RawData[Month List],$Q$6,RawData[Tour/Site],$Q$2,RawData[[Picker ID ]],$Q$3,RawData[Checker ID],$Q$4,RawData[[Error Type ]],$Q$5))</f>
        <v/>
      </c>
    </row>
    <row r="4031" spans="15:15" x14ac:dyDescent="0.25">
      <c r="O4031" s="20" t="str">
        <f>IF(N4031="","",COUNTIFS(RawData[[Date ]],N4031,RawData[Month List],$Q$6,RawData[Tour/Site],$Q$2,RawData[[Picker ID ]],$Q$3,RawData[Checker ID],$Q$4,RawData[[Error Type ]],$Q$5))</f>
        <v/>
      </c>
    </row>
    <row r="4032" spans="15:15" x14ac:dyDescent="0.25">
      <c r="O4032" s="20" t="str">
        <f>IF(N4032="","",COUNTIFS(RawData[[Date ]],N4032,RawData[Month List],$Q$6,RawData[Tour/Site],$Q$2,RawData[[Picker ID ]],$Q$3,RawData[Checker ID],$Q$4,RawData[[Error Type ]],$Q$5))</f>
        <v/>
      </c>
    </row>
    <row r="4033" spans="15:15" x14ac:dyDescent="0.25">
      <c r="O4033" s="20" t="str">
        <f>IF(N4033="","",COUNTIFS(RawData[[Date ]],N4033,RawData[Month List],$Q$6,RawData[Tour/Site],$Q$2,RawData[[Picker ID ]],$Q$3,RawData[Checker ID],$Q$4,RawData[[Error Type ]],$Q$5))</f>
        <v/>
      </c>
    </row>
    <row r="4034" spans="15:15" x14ac:dyDescent="0.25">
      <c r="O4034" s="20" t="str">
        <f>IF(N4034="","",COUNTIFS(RawData[[Date ]],N4034,RawData[Month List],$Q$6,RawData[Tour/Site],$Q$2,RawData[[Picker ID ]],$Q$3,RawData[Checker ID],$Q$4,RawData[[Error Type ]],$Q$5))</f>
        <v/>
      </c>
    </row>
    <row r="4035" spans="15:15" x14ac:dyDescent="0.25">
      <c r="O4035" s="20" t="str">
        <f>IF(N4035="","",COUNTIFS(RawData[[Date ]],N4035,RawData[Month List],$Q$6,RawData[Tour/Site],$Q$2,RawData[[Picker ID ]],$Q$3,RawData[Checker ID],$Q$4,RawData[[Error Type ]],$Q$5))</f>
        <v/>
      </c>
    </row>
    <row r="4036" spans="15:15" x14ac:dyDescent="0.25">
      <c r="O4036" s="20" t="str">
        <f>IF(N4036="","",COUNTIFS(RawData[[Date ]],N4036,RawData[Month List],$Q$6,RawData[Tour/Site],$Q$2,RawData[[Picker ID ]],$Q$3,RawData[Checker ID],$Q$4,RawData[[Error Type ]],$Q$5))</f>
        <v/>
      </c>
    </row>
    <row r="4037" spans="15:15" x14ac:dyDescent="0.25">
      <c r="O4037" s="20" t="str">
        <f>IF(N4037="","",COUNTIFS(RawData[[Date ]],N4037,RawData[Month List],$Q$6,RawData[Tour/Site],$Q$2,RawData[[Picker ID ]],$Q$3,RawData[Checker ID],$Q$4,RawData[[Error Type ]],$Q$5))</f>
        <v/>
      </c>
    </row>
    <row r="4038" spans="15:15" x14ac:dyDescent="0.25">
      <c r="O4038" s="20" t="str">
        <f>IF(N4038="","",COUNTIFS(RawData[[Date ]],N4038,RawData[Month List],$Q$6,RawData[Tour/Site],$Q$2,RawData[[Picker ID ]],$Q$3,RawData[Checker ID],$Q$4,RawData[[Error Type ]],$Q$5))</f>
        <v/>
      </c>
    </row>
    <row r="4039" spans="15:15" x14ac:dyDescent="0.25">
      <c r="O4039" s="20" t="str">
        <f>IF(N4039="","",COUNTIFS(RawData[[Date ]],N4039,RawData[Month List],$Q$6,RawData[Tour/Site],$Q$2,RawData[[Picker ID ]],$Q$3,RawData[Checker ID],$Q$4,RawData[[Error Type ]],$Q$5))</f>
        <v/>
      </c>
    </row>
    <row r="4040" spans="15:15" x14ac:dyDescent="0.25">
      <c r="O4040" s="20" t="str">
        <f>IF(N4040="","",COUNTIFS(RawData[[Date ]],N4040,RawData[Month List],$Q$6,RawData[Tour/Site],$Q$2,RawData[[Picker ID ]],$Q$3,RawData[Checker ID],$Q$4,RawData[[Error Type ]],$Q$5))</f>
        <v/>
      </c>
    </row>
    <row r="4041" spans="15:15" x14ac:dyDescent="0.25">
      <c r="O4041" s="20" t="str">
        <f>IF(N4041="","",COUNTIFS(RawData[[Date ]],N4041,RawData[Month List],$Q$6,RawData[Tour/Site],$Q$2,RawData[[Picker ID ]],$Q$3,RawData[Checker ID],$Q$4,RawData[[Error Type ]],$Q$5))</f>
        <v/>
      </c>
    </row>
    <row r="4042" spans="15:15" x14ac:dyDescent="0.25">
      <c r="O4042" s="20" t="str">
        <f>IF(N4042="","",COUNTIFS(RawData[[Date ]],N4042,RawData[Month List],$Q$6,RawData[Tour/Site],$Q$2,RawData[[Picker ID ]],$Q$3,RawData[Checker ID],$Q$4,RawData[[Error Type ]],$Q$5))</f>
        <v/>
      </c>
    </row>
    <row r="4043" spans="15:15" x14ac:dyDescent="0.25">
      <c r="O4043" s="20" t="str">
        <f>IF(N4043="","",COUNTIFS(RawData[[Date ]],N4043,RawData[Month List],$Q$6,RawData[Tour/Site],$Q$2,RawData[[Picker ID ]],$Q$3,RawData[Checker ID],$Q$4,RawData[[Error Type ]],$Q$5))</f>
        <v/>
      </c>
    </row>
    <row r="4044" spans="15:15" x14ac:dyDescent="0.25">
      <c r="O4044" s="20" t="str">
        <f>IF(N4044="","",COUNTIFS(RawData[[Date ]],N4044,RawData[Month List],$Q$6,RawData[Tour/Site],$Q$2,RawData[[Picker ID ]],$Q$3,RawData[Checker ID],$Q$4,RawData[[Error Type ]],$Q$5))</f>
        <v/>
      </c>
    </row>
    <row r="4045" spans="15:15" x14ac:dyDescent="0.25">
      <c r="O4045" s="20" t="str">
        <f>IF(N4045="","",COUNTIFS(RawData[[Date ]],N4045,RawData[Month List],$Q$6,RawData[Tour/Site],$Q$2,RawData[[Picker ID ]],$Q$3,RawData[Checker ID],$Q$4,RawData[[Error Type ]],$Q$5))</f>
        <v/>
      </c>
    </row>
    <row r="4046" spans="15:15" x14ac:dyDescent="0.25">
      <c r="O4046" s="20" t="str">
        <f>IF(N4046="","",COUNTIFS(RawData[[Date ]],N4046,RawData[Month List],$Q$6,RawData[Tour/Site],$Q$2,RawData[[Picker ID ]],$Q$3,RawData[Checker ID],$Q$4,RawData[[Error Type ]],$Q$5))</f>
        <v/>
      </c>
    </row>
    <row r="4047" spans="15:15" x14ac:dyDescent="0.25">
      <c r="O4047" s="20" t="str">
        <f>IF(N4047="","",COUNTIFS(RawData[[Date ]],N4047,RawData[Month List],$Q$6,RawData[Tour/Site],$Q$2,RawData[[Picker ID ]],$Q$3,RawData[Checker ID],$Q$4,RawData[[Error Type ]],$Q$5))</f>
        <v/>
      </c>
    </row>
    <row r="4048" spans="15:15" x14ac:dyDescent="0.25">
      <c r="O4048" s="20" t="str">
        <f>IF(N4048="","",COUNTIFS(RawData[[Date ]],N4048,RawData[Month List],$Q$6,RawData[Tour/Site],$Q$2,RawData[[Picker ID ]],$Q$3,RawData[Checker ID],$Q$4,RawData[[Error Type ]],$Q$5))</f>
        <v/>
      </c>
    </row>
    <row r="4049" spans="15:15" x14ac:dyDescent="0.25">
      <c r="O4049" s="20" t="str">
        <f>IF(N4049="","",COUNTIFS(RawData[[Date ]],N4049,RawData[Month List],$Q$6,RawData[Tour/Site],$Q$2,RawData[[Picker ID ]],$Q$3,RawData[Checker ID],$Q$4,RawData[[Error Type ]],$Q$5))</f>
        <v/>
      </c>
    </row>
    <row r="4050" spans="15:15" x14ac:dyDescent="0.25">
      <c r="O4050" s="20" t="str">
        <f>IF(N4050="","",COUNTIFS(RawData[[Date ]],N4050,RawData[Month List],$Q$6,RawData[Tour/Site],$Q$2,RawData[[Picker ID ]],$Q$3,RawData[Checker ID],$Q$4,RawData[[Error Type ]],$Q$5))</f>
        <v/>
      </c>
    </row>
    <row r="4051" spans="15:15" x14ac:dyDescent="0.25">
      <c r="O4051" s="20" t="str">
        <f>IF(N4051="","",COUNTIFS(RawData[[Date ]],N4051,RawData[Month List],$Q$6,RawData[Tour/Site],$Q$2,RawData[[Picker ID ]],$Q$3,RawData[Checker ID],$Q$4,RawData[[Error Type ]],$Q$5))</f>
        <v/>
      </c>
    </row>
    <row r="4052" spans="15:15" x14ac:dyDescent="0.25">
      <c r="O4052" s="20" t="str">
        <f>IF(N4052="","",COUNTIFS(RawData[[Date ]],N4052,RawData[Month List],$Q$6,RawData[Tour/Site],$Q$2,RawData[[Picker ID ]],$Q$3,RawData[Checker ID],$Q$4,RawData[[Error Type ]],$Q$5))</f>
        <v/>
      </c>
    </row>
    <row r="4053" spans="15:15" x14ac:dyDescent="0.25">
      <c r="O4053" s="20" t="str">
        <f>IF(N4053="","",COUNTIFS(RawData[[Date ]],N4053,RawData[Month List],$Q$6,RawData[Tour/Site],$Q$2,RawData[[Picker ID ]],$Q$3,RawData[Checker ID],$Q$4,RawData[[Error Type ]],$Q$5))</f>
        <v/>
      </c>
    </row>
    <row r="4054" spans="15:15" x14ac:dyDescent="0.25">
      <c r="O4054" s="20" t="str">
        <f>IF(N4054="","",COUNTIFS(RawData[[Date ]],N4054,RawData[Month List],$Q$6,RawData[Tour/Site],$Q$2,RawData[[Picker ID ]],$Q$3,RawData[Checker ID],$Q$4,RawData[[Error Type ]],$Q$5))</f>
        <v/>
      </c>
    </row>
    <row r="4055" spans="15:15" x14ac:dyDescent="0.25">
      <c r="O4055" s="20" t="str">
        <f>IF(N4055="","",COUNTIFS(RawData[[Date ]],N4055,RawData[Month List],$Q$6,RawData[Tour/Site],$Q$2,RawData[[Picker ID ]],$Q$3,RawData[Checker ID],$Q$4,RawData[[Error Type ]],$Q$5))</f>
        <v/>
      </c>
    </row>
    <row r="4056" spans="15:15" x14ac:dyDescent="0.25">
      <c r="O4056" s="20" t="str">
        <f>IF(N4056="","",COUNTIFS(RawData[[Date ]],N4056,RawData[Month List],$Q$6,RawData[Tour/Site],$Q$2,RawData[[Picker ID ]],$Q$3,RawData[Checker ID],$Q$4,RawData[[Error Type ]],$Q$5))</f>
        <v/>
      </c>
    </row>
    <row r="4057" spans="15:15" x14ac:dyDescent="0.25">
      <c r="O4057" s="20" t="str">
        <f>IF(N4057="","",COUNTIFS(RawData[[Date ]],N4057,RawData[Month List],$Q$6,RawData[Tour/Site],$Q$2,RawData[[Picker ID ]],$Q$3,RawData[Checker ID],$Q$4,RawData[[Error Type ]],$Q$5))</f>
        <v/>
      </c>
    </row>
    <row r="4058" spans="15:15" x14ac:dyDescent="0.25">
      <c r="O4058" s="20" t="str">
        <f>IF(N4058="","",COUNTIFS(RawData[[Date ]],N4058,RawData[Month List],$Q$6,RawData[Tour/Site],$Q$2,RawData[[Picker ID ]],$Q$3,RawData[Checker ID],$Q$4,RawData[[Error Type ]],$Q$5))</f>
        <v/>
      </c>
    </row>
    <row r="4059" spans="15:15" x14ac:dyDescent="0.25">
      <c r="O4059" s="20" t="str">
        <f>IF(N4059="","",COUNTIFS(RawData[[Date ]],N4059,RawData[Month List],$Q$6,RawData[Tour/Site],$Q$2,RawData[[Picker ID ]],$Q$3,RawData[Checker ID],$Q$4,RawData[[Error Type ]],$Q$5))</f>
        <v/>
      </c>
    </row>
    <row r="4060" spans="15:15" x14ac:dyDescent="0.25">
      <c r="O4060" s="20" t="str">
        <f>IF(N4060="","",COUNTIFS(RawData[[Date ]],N4060,RawData[Month List],$Q$6,RawData[Tour/Site],$Q$2,RawData[[Picker ID ]],$Q$3,RawData[Checker ID],$Q$4,RawData[[Error Type ]],$Q$5))</f>
        <v/>
      </c>
    </row>
    <row r="4061" spans="15:15" x14ac:dyDescent="0.25">
      <c r="O4061" s="20" t="str">
        <f>IF(N4061="","",COUNTIFS(RawData[[Date ]],N4061,RawData[Month List],$Q$6,RawData[Tour/Site],$Q$2,RawData[[Picker ID ]],$Q$3,RawData[Checker ID],$Q$4,RawData[[Error Type ]],$Q$5))</f>
        <v/>
      </c>
    </row>
    <row r="4062" spans="15:15" x14ac:dyDescent="0.25">
      <c r="O4062" s="20" t="str">
        <f>IF(N4062="","",COUNTIFS(RawData[[Date ]],N4062,RawData[Month List],$Q$6,RawData[Tour/Site],$Q$2,RawData[[Picker ID ]],$Q$3,RawData[Checker ID],$Q$4,RawData[[Error Type ]],$Q$5))</f>
        <v/>
      </c>
    </row>
    <row r="4063" spans="15:15" x14ac:dyDescent="0.25">
      <c r="O4063" s="20" t="str">
        <f>IF(N4063="","",COUNTIFS(RawData[[Date ]],N4063,RawData[Month List],$Q$6,RawData[Tour/Site],$Q$2,RawData[[Picker ID ]],$Q$3,RawData[Checker ID],$Q$4,RawData[[Error Type ]],$Q$5))</f>
        <v/>
      </c>
    </row>
    <row r="4064" spans="15:15" x14ac:dyDescent="0.25">
      <c r="O4064" s="20" t="str">
        <f>IF(N4064="","",COUNTIFS(RawData[[Date ]],N4064,RawData[Month List],$Q$6,RawData[Tour/Site],$Q$2,RawData[[Picker ID ]],$Q$3,RawData[Checker ID],$Q$4,RawData[[Error Type ]],$Q$5))</f>
        <v/>
      </c>
    </row>
    <row r="4065" spans="15:15" x14ac:dyDescent="0.25">
      <c r="O4065" s="20" t="str">
        <f>IF(N4065="","",COUNTIFS(RawData[[Date ]],N4065,RawData[Month List],$Q$6,RawData[Tour/Site],$Q$2,RawData[[Picker ID ]],$Q$3,RawData[Checker ID],$Q$4,RawData[[Error Type ]],$Q$5))</f>
        <v/>
      </c>
    </row>
    <row r="4066" spans="15:15" x14ac:dyDescent="0.25">
      <c r="O4066" s="20" t="str">
        <f>IF(N4066="","",COUNTIFS(RawData[[Date ]],N4066,RawData[Month List],$Q$6,RawData[Tour/Site],$Q$2,RawData[[Picker ID ]],$Q$3,RawData[Checker ID],$Q$4,RawData[[Error Type ]],$Q$5))</f>
        <v/>
      </c>
    </row>
    <row r="4067" spans="15:15" x14ac:dyDescent="0.25">
      <c r="O4067" s="20" t="str">
        <f>IF(N4067="","",COUNTIFS(RawData[[Date ]],N4067,RawData[Month List],$Q$6,RawData[Tour/Site],$Q$2,RawData[[Picker ID ]],$Q$3,RawData[Checker ID],$Q$4,RawData[[Error Type ]],$Q$5))</f>
        <v/>
      </c>
    </row>
    <row r="4068" spans="15:15" x14ac:dyDescent="0.25">
      <c r="O4068" s="20" t="str">
        <f>IF(N4068="","",COUNTIFS(RawData[[Date ]],N4068,RawData[Month List],$Q$6,RawData[Tour/Site],$Q$2,RawData[[Picker ID ]],$Q$3,RawData[Checker ID],$Q$4,RawData[[Error Type ]],$Q$5))</f>
        <v/>
      </c>
    </row>
    <row r="4069" spans="15:15" x14ac:dyDescent="0.25">
      <c r="O4069" s="20" t="str">
        <f>IF(N4069="","",COUNTIFS(RawData[[Date ]],N4069,RawData[Month List],$Q$6,RawData[Tour/Site],$Q$2,RawData[[Picker ID ]],$Q$3,RawData[Checker ID],$Q$4,RawData[[Error Type ]],$Q$5))</f>
        <v/>
      </c>
    </row>
    <row r="4070" spans="15:15" x14ac:dyDescent="0.25">
      <c r="O4070" s="20" t="str">
        <f>IF(N4070="","",COUNTIFS(RawData[[Date ]],N4070,RawData[Month List],$Q$6,RawData[Tour/Site],$Q$2,RawData[[Picker ID ]],$Q$3,RawData[Checker ID],$Q$4,RawData[[Error Type ]],$Q$5))</f>
        <v/>
      </c>
    </row>
    <row r="4071" spans="15:15" x14ac:dyDescent="0.25">
      <c r="O4071" s="20" t="str">
        <f>IF(N4071="","",COUNTIFS(RawData[[Date ]],N4071,RawData[Month List],$Q$6,RawData[Tour/Site],$Q$2,RawData[[Picker ID ]],$Q$3,RawData[Checker ID],$Q$4,RawData[[Error Type ]],$Q$5))</f>
        <v/>
      </c>
    </row>
    <row r="4072" spans="15:15" x14ac:dyDescent="0.25">
      <c r="O4072" s="20" t="str">
        <f>IF(N4072="","",COUNTIFS(RawData[[Date ]],N4072,RawData[Month List],$Q$6,RawData[Tour/Site],$Q$2,RawData[[Picker ID ]],$Q$3,RawData[Checker ID],$Q$4,RawData[[Error Type ]],$Q$5))</f>
        <v/>
      </c>
    </row>
    <row r="4073" spans="15:15" x14ac:dyDescent="0.25">
      <c r="O4073" s="20" t="str">
        <f>IF(N4073="","",COUNTIFS(RawData[[Date ]],N4073,RawData[Month List],$Q$6,RawData[Tour/Site],$Q$2,RawData[[Picker ID ]],$Q$3,RawData[Checker ID],$Q$4,RawData[[Error Type ]],$Q$5))</f>
        <v/>
      </c>
    </row>
    <row r="4074" spans="15:15" x14ac:dyDescent="0.25">
      <c r="O4074" s="20" t="str">
        <f>IF(N4074="","",COUNTIFS(RawData[[Date ]],N4074,RawData[Month List],$Q$6,RawData[Tour/Site],$Q$2,RawData[[Picker ID ]],$Q$3,RawData[Checker ID],$Q$4,RawData[[Error Type ]],$Q$5))</f>
        <v/>
      </c>
    </row>
    <row r="4075" spans="15:15" x14ac:dyDescent="0.25">
      <c r="O4075" s="20" t="str">
        <f>IF(N4075="","",COUNTIFS(RawData[[Date ]],N4075,RawData[Month List],$Q$6,RawData[Tour/Site],$Q$2,RawData[[Picker ID ]],$Q$3,RawData[Checker ID],$Q$4,RawData[[Error Type ]],$Q$5))</f>
        <v/>
      </c>
    </row>
    <row r="4076" spans="15:15" x14ac:dyDescent="0.25">
      <c r="O4076" s="20" t="str">
        <f>IF(N4076="","",COUNTIFS(RawData[[Date ]],N4076,RawData[Month List],$Q$6,RawData[Tour/Site],$Q$2,RawData[[Picker ID ]],$Q$3,RawData[Checker ID],$Q$4,RawData[[Error Type ]],$Q$5))</f>
        <v/>
      </c>
    </row>
    <row r="4077" spans="15:15" x14ac:dyDescent="0.25">
      <c r="O4077" s="20" t="str">
        <f>IF(N4077="","",COUNTIFS(RawData[[Date ]],N4077,RawData[Month List],$Q$6,RawData[Tour/Site],$Q$2,RawData[[Picker ID ]],$Q$3,RawData[Checker ID],$Q$4,RawData[[Error Type ]],$Q$5))</f>
        <v/>
      </c>
    </row>
    <row r="4078" spans="15:15" x14ac:dyDescent="0.25">
      <c r="O4078" s="20" t="str">
        <f>IF(N4078="","",COUNTIFS(RawData[[Date ]],N4078,RawData[Month List],$Q$6,RawData[Tour/Site],$Q$2,RawData[[Picker ID ]],$Q$3,RawData[Checker ID],$Q$4,RawData[[Error Type ]],$Q$5))</f>
        <v/>
      </c>
    </row>
    <row r="4079" spans="15:15" x14ac:dyDescent="0.25">
      <c r="O4079" s="20" t="str">
        <f>IF(N4079="","",COUNTIFS(RawData[[Date ]],N4079,RawData[Month List],$Q$6,RawData[Tour/Site],$Q$2,RawData[[Picker ID ]],$Q$3,RawData[Checker ID],$Q$4,RawData[[Error Type ]],$Q$5))</f>
        <v/>
      </c>
    </row>
    <row r="4080" spans="15:15" x14ac:dyDescent="0.25">
      <c r="O4080" s="20" t="str">
        <f>IF(N4080="","",COUNTIFS(RawData[[Date ]],N4080,RawData[Month List],$Q$6,RawData[Tour/Site],$Q$2,RawData[[Picker ID ]],$Q$3,RawData[Checker ID],$Q$4,RawData[[Error Type ]],$Q$5))</f>
        <v/>
      </c>
    </row>
    <row r="4081" spans="15:15" x14ac:dyDescent="0.25">
      <c r="O4081" s="20" t="str">
        <f>IF(N4081="","",COUNTIFS(RawData[[Date ]],N4081,RawData[Month List],$Q$6,RawData[Tour/Site],$Q$2,RawData[[Picker ID ]],$Q$3,RawData[Checker ID],$Q$4,RawData[[Error Type ]],$Q$5))</f>
        <v/>
      </c>
    </row>
    <row r="4082" spans="15:15" x14ac:dyDescent="0.25">
      <c r="O4082" s="20" t="str">
        <f>IF(N4082="","",COUNTIFS(RawData[[Date ]],N4082,RawData[Month List],$Q$6,RawData[Tour/Site],$Q$2,RawData[[Picker ID ]],$Q$3,RawData[Checker ID],$Q$4,RawData[[Error Type ]],$Q$5))</f>
        <v/>
      </c>
    </row>
    <row r="4083" spans="15:15" x14ac:dyDescent="0.25">
      <c r="O4083" s="20" t="str">
        <f>IF(N4083="","",COUNTIFS(RawData[[Date ]],N4083,RawData[Month List],$Q$6,RawData[Tour/Site],$Q$2,RawData[[Picker ID ]],$Q$3,RawData[Checker ID],$Q$4,RawData[[Error Type ]],$Q$5))</f>
        <v/>
      </c>
    </row>
    <row r="4084" spans="15:15" x14ac:dyDescent="0.25">
      <c r="O4084" s="20" t="str">
        <f>IF(N4084="","",COUNTIFS(RawData[[Date ]],N4084,RawData[Month List],$Q$6,RawData[Tour/Site],$Q$2,RawData[[Picker ID ]],$Q$3,RawData[Checker ID],$Q$4,RawData[[Error Type ]],$Q$5))</f>
        <v/>
      </c>
    </row>
    <row r="4085" spans="15:15" x14ac:dyDescent="0.25">
      <c r="O4085" s="20" t="str">
        <f>IF(N4085="","",COUNTIFS(RawData[[Date ]],N4085,RawData[Month List],$Q$6,RawData[Tour/Site],$Q$2,RawData[[Picker ID ]],$Q$3,RawData[Checker ID],$Q$4,RawData[[Error Type ]],$Q$5))</f>
        <v/>
      </c>
    </row>
    <row r="4086" spans="15:15" x14ac:dyDescent="0.25">
      <c r="O4086" s="20" t="str">
        <f>IF(N4086="","",COUNTIFS(RawData[[Date ]],N4086,RawData[Month List],$Q$6,RawData[Tour/Site],$Q$2,RawData[[Picker ID ]],$Q$3,RawData[Checker ID],$Q$4,RawData[[Error Type ]],$Q$5))</f>
        <v/>
      </c>
    </row>
    <row r="4087" spans="15:15" x14ac:dyDescent="0.25">
      <c r="O4087" s="20" t="str">
        <f>IF(N4087="","",COUNTIFS(RawData[[Date ]],N4087,RawData[Month List],$Q$6,RawData[Tour/Site],$Q$2,RawData[[Picker ID ]],$Q$3,RawData[Checker ID],$Q$4,RawData[[Error Type ]],$Q$5))</f>
        <v/>
      </c>
    </row>
    <row r="4088" spans="15:15" x14ac:dyDescent="0.25">
      <c r="O4088" s="20" t="str">
        <f>IF(N4088="","",COUNTIFS(RawData[[Date ]],N4088,RawData[Month List],$Q$6,RawData[Tour/Site],$Q$2,RawData[[Picker ID ]],$Q$3,RawData[Checker ID],$Q$4,RawData[[Error Type ]],$Q$5))</f>
        <v/>
      </c>
    </row>
    <row r="4089" spans="15:15" x14ac:dyDescent="0.25">
      <c r="O4089" s="20" t="str">
        <f>IF(N4089="","",COUNTIFS(RawData[[Date ]],N4089,RawData[Month List],$Q$6,RawData[Tour/Site],$Q$2,RawData[[Picker ID ]],$Q$3,RawData[Checker ID],$Q$4,RawData[[Error Type ]],$Q$5))</f>
        <v/>
      </c>
    </row>
    <row r="4090" spans="15:15" x14ac:dyDescent="0.25">
      <c r="O4090" s="20" t="str">
        <f>IF(N4090="","",COUNTIFS(RawData[[Date ]],N4090,RawData[Month List],$Q$6,RawData[Tour/Site],$Q$2,RawData[[Picker ID ]],$Q$3,RawData[Checker ID],$Q$4,RawData[[Error Type ]],$Q$5))</f>
        <v/>
      </c>
    </row>
    <row r="4091" spans="15:15" x14ac:dyDescent="0.25">
      <c r="O4091" s="20" t="str">
        <f>IF(N4091="","",COUNTIFS(RawData[[Date ]],N4091,RawData[Month List],$Q$6,RawData[Tour/Site],$Q$2,RawData[[Picker ID ]],$Q$3,RawData[Checker ID],$Q$4,RawData[[Error Type ]],$Q$5))</f>
        <v/>
      </c>
    </row>
    <row r="4092" spans="15:15" x14ac:dyDescent="0.25">
      <c r="O4092" s="20" t="str">
        <f>IF(N4092="","",COUNTIFS(RawData[[Date ]],N4092,RawData[Month List],$Q$6,RawData[Tour/Site],$Q$2,RawData[[Picker ID ]],$Q$3,RawData[Checker ID],$Q$4,RawData[[Error Type ]],$Q$5))</f>
        <v/>
      </c>
    </row>
    <row r="4093" spans="15:15" x14ac:dyDescent="0.25">
      <c r="O4093" s="20" t="str">
        <f>IF(N4093="","",COUNTIFS(RawData[[Date ]],N4093,RawData[Month List],$Q$6,RawData[Tour/Site],$Q$2,RawData[[Picker ID ]],$Q$3,RawData[Checker ID],$Q$4,RawData[[Error Type ]],$Q$5))</f>
        <v/>
      </c>
    </row>
    <row r="4094" spans="15:15" x14ac:dyDescent="0.25">
      <c r="O4094" s="20" t="str">
        <f>IF(N4094="","",COUNTIFS(RawData[[Date ]],N4094,RawData[Month List],$Q$6,RawData[Tour/Site],$Q$2,RawData[[Picker ID ]],$Q$3,RawData[Checker ID],$Q$4,RawData[[Error Type ]],$Q$5))</f>
        <v/>
      </c>
    </row>
    <row r="4095" spans="15:15" x14ac:dyDescent="0.25">
      <c r="O4095" s="20" t="str">
        <f>IF(N4095="","",COUNTIFS(RawData[[Date ]],N4095,RawData[Month List],$Q$6,RawData[Tour/Site],$Q$2,RawData[[Picker ID ]],$Q$3,RawData[Checker ID],$Q$4,RawData[[Error Type ]],$Q$5))</f>
        <v/>
      </c>
    </row>
    <row r="4096" spans="15:15" x14ac:dyDescent="0.25">
      <c r="O4096" s="20" t="str">
        <f>IF(N4096="","",COUNTIFS(RawData[[Date ]],N4096,RawData[Month List],$Q$6,RawData[Tour/Site],$Q$2,RawData[[Picker ID ]],$Q$3,RawData[Checker ID],$Q$4,RawData[[Error Type ]],$Q$5))</f>
        <v/>
      </c>
    </row>
    <row r="4097" spans="15:15" x14ac:dyDescent="0.25">
      <c r="O4097" s="20" t="str">
        <f>IF(N4097="","",COUNTIFS(RawData[[Date ]],N4097,RawData[Month List],$Q$6,RawData[Tour/Site],$Q$2,RawData[[Picker ID ]],$Q$3,RawData[Checker ID],$Q$4,RawData[[Error Type ]],$Q$5))</f>
        <v/>
      </c>
    </row>
    <row r="4098" spans="15:15" x14ac:dyDescent="0.25">
      <c r="O4098" s="20" t="str">
        <f>IF(N4098="","",COUNTIFS(RawData[[Date ]],N4098,RawData[Month List],$Q$6,RawData[Tour/Site],$Q$2,RawData[[Picker ID ]],$Q$3,RawData[Checker ID],$Q$4,RawData[[Error Type ]],$Q$5))</f>
        <v/>
      </c>
    </row>
    <row r="4099" spans="15:15" x14ac:dyDescent="0.25">
      <c r="O4099" s="20" t="str">
        <f>IF(N4099="","",COUNTIFS(RawData[[Date ]],N4099,RawData[Month List],$Q$6,RawData[Tour/Site],$Q$2,RawData[[Picker ID ]],$Q$3,RawData[Checker ID],$Q$4,RawData[[Error Type ]],$Q$5))</f>
        <v/>
      </c>
    </row>
    <row r="4100" spans="15:15" x14ac:dyDescent="0.25">
      <c r="O4100" s="20" t="str">
        <f>IF(N4100="","",COUNTIFS(RawData[[Date ]],N4100,RawData[Month List],$Q$6,RawData[Tour/Site],$Q$2,RawData[[Picker ID ]],$Q$3,RawData[Checker ID],$Q$4,RawData[[Error Type ]],$Q$5))</f>
        <v/>
      </c>
    </row>
    <row r="4101" spans="15:15" x14ac:dyDescent="0.25">
      <c r="O4101" s="20" t="str">
        <f>IF(N4101="","",COUNTIFS(RawData[[Date ]],N4101,RawData[Month List],$Q$6,RawData[Tour/Site],$Q$2,RawData[[Picker ID ]],$Q$3,RawData[Checker ID],$Q$4,RawData[[Error Type ]],$Q$5))</f>
        <v/>
      </c>
    </row>
    <row r="4102" spans="15:15" x14ac:dyDescent="0.25">
      <c r="O4102" s="20" t="str">
        <f>IF(N4102="","",COUNTIFS(RawData[[Date ]],N4102,RawData[Month List],$Q$6,RawData[Tour/Site],$Q$2,RawData[[Picker ID ]],$Q$3,RawData[Checker ID],$Q$4,RawData[[Error Type ]],$Q$5))</f>
        <v/>
      </c>
    </row>
    <row r="4103" spans="15:15" x14ac:dyDescent="0.25">
      <c r="O4103" s="20" t="str">
        <f>IF(N4103="","",COUNTIFS(RawData[[Date ]],N4103,RawData[Month List],$Q$6,RawData[Tour/Site],$Q$2,RawData[[Picker ID ]],$Q$3,RawData[Checker ID],$Q$4,RawData[[Error Type ]],$Q$5))</f>
        <v/>
      </c>
    </row>
    <row r="4104" spans="15:15" x14ac:dyDescent="0.25">
      <c r="O4104" s="20" t="str">
        <f>IF(N4104="","",COUNTIFS(RawData[[Date ]],N4104,RawData[Month List],$Q$6,RawData[Tour/Site],$Q$2,RawData[[Picker ID ]],$Q$3,RawData[Checker ID],$Q$4,RawData[[Error Type ]],$Q$5))</f>
        <v/>
      </c>
    </row>
    <row r="4105" spans="15:15" x14ac:dyDescent="0.25">
      <c r="O4105" s="20" t="str">
        <f>IF(N4105="","",COUNTIFS(RawData[[Date ]],N4105,RawData[Month List],$Q$6,RawData[Tour/Site],$Q$2,RawData[[Picker ID ]],$Q$3,RawData[Checker ID],$Q$4,RawData[[Error Type ]],$Q$5))</f>
        <v/>
      </c>
    </row>
    <row r="4106" spans="15:15" x14ac:dyDescent="0.25">
      <c r="O4106" s="20" t="str">
        <f>IF(N4106="","",COUNTIFS(RawData[[Date ]],N4106,RawData[Month List],$Q$6,RawData[Tour/Site],$Q$2,RawData[[Picker ID ]],$Q$3,RawData[Checker ID],$Q$4,RawData[[Error Type ]],$Q$5))</f>
        <v/>
      </c>
    </row>
    <row r="4107" spans="15:15" x14ac:dyDescent="0.25">
      <c r="O4107" s="20" t="str">
        <f>IF(N4107="","",COUNTIFS(RawData[[Date ]],N4107,RawData[Month List],$Q$6,RawData[Tour/Site],$Q$2,RawData[[Picker ID ]],$Q$3,RawData[Checker ID],$Q$4,RawData[[Error Type ]],$Q$5))</f>
        <v/>
      </c>
    </row>
    <row r="4108" spans="15:15" x14ac:dyDescent="0.25">
      <c r="O4108" s="20" t="str">
        <f>IF(N4108="","",COUNTIFS(RawData[[Date ]],N4108,RawData[Month List],$Q$6,RawData[Tour/Site],$Q$2,RawData[[Picker ID ]],$Q$3,RawData[Checker ID],$Q$4,RawData[[Error Type ]],$Q$5))</f>
        <v/>
      </c>
    </row>
    <row r="4109" spans="15:15" x14ac:dyDescent="0.25">
      <c r="O4109" s="20" t="str">
        <f>IF(N4109="","",COUNTIFS(RawData[[Date ]],N4109,RawData[Month List],$Q$6,RawData[Tour/Site],$Q$2,RawData[[Picker ID ]],$Q$3,RawData[Checker ID],$Q$4,RawData[[Error Type ]],$Q$5))</f>
        <v/>
      </c>
    </row>
    <row r="4110" spans="15:15" x14ac:dyDescent="0.25">
      <c r="O4110" s="20" t="str">
        <f>IF(N4110="","",COUNTIFS(RawData[[Date ]],N4110,RawData[Month List],$Q$6,RawData[Tour/Site],$Q$2,RawData[[Picker ID ]],$Q$3,RawData[Checker ID],$Q$4,RawData[[Error Type ]],$Q$5))</f>
        <v/>
      </c>
    </row>
    <row r="4111" spans="15:15" x14ac:dyDescent="0.25">
      <c r="O4111" s="20" t="str">
        <f>IF(N4111="","",COUNTIFS(RawData[[Date ]],N4111,RawData[Month List],$Q$6,RawData[Tour/Site],$Q$2,RawData[[Picker ID ]],$Q$3,RawData[Checker ID],$Q$4,RawData[[Error Type ]],$Q$5))</f>
        <v/>
      </c>
    </row>
    <row r="4112" spans="15:15" x14ac:dyDescent="0.25">
      <c r="O4112" s="20" t="str">
        <f>IF(N4112="","",COUNTIFS(RawData[[Date ]],N4112,RawData[Month List],$Q$6,RawData[Tour/Site],$Q$2,RawData[[Picker ID ]],$Q$3,RawData[Checker ID],$Q$4,RawData[[Error Type ]],$Q$5))</f>
        <v/>
      </c>
    </row>
    <row r="4113" spans="15:15" x14ac:dyDescent="0.25">
      <c r="O4113" s="20" t="str">
        <f>IF(N4113="","",COUNTIFS(RawData[[Date ]],N4113,RawData[Month List],$Q$6,RawData[Tour/Site],$Q$2,RawData[[Picker ID ]],$Q$3,RawData[Checker ID],$Q$4,RawData[[Error Type ]],$Q$5))</f>
        <v/>
      </c>
    </row>
    <row r="4114" spans="15:15" x14ac:dyDescent="0.25">
      <c r="O4114" s="20" t="str">
        <f>IF(N4114="","",COUNTIFS(RawData[[Date ]],N4114,RawData[Month List],$Q$6,RawData[Tour/Site],$Q$2,RawData[[Picker ID ]],$Q$3,RawData[Checker ID],$Q$4,RawData[[Error Type ]],$Q$5))</f>
        <v/>
      </c>
    </row>
    <row r="4115" spans="15:15" x14ac:dyDescent="0.25">
      <c r="O4115" s="20" t="str">
        <f>IF(N4115="","",COUNTIFS(RawData[[Date ]],N4115,RawData[Month List],$Q$6,RawData[Tour/Site],$Q$2,RawData[[Picker ID ]],$Q$3,RawData[Checker ID],$Q$4,RawData[[Error Type ]],$Q$5))</f>
        <v/>
      </c>
    </row>
    <row r="4116" spans="15:15" x14ac:dyDescent="0.25">
      <c r="O4116" s="20" t="str">
        <f>IF(N4116="","",COUNTIFS(RawData[[Date ]],N4116,RawData[Month List],$Q$6,RawData[Tour/Site],$Q$2,RawData[[Picker ID ]],$Q$3,RawData[Checker ID],$Q$4,RawData[[Error Type ]],$Q$5))</f>
        <v/>
      </c>
    </row>
    <row r="4117" spans="15:15" x14ac:dyDescent="0.25">
      <c r="O4117" s="20" t="str">
        <f>IF(N4117="","",COUNTIFS(RawData[[Date ]],N4117,RawData[Month List],$Q$6,RawData[Tour/Site],$Q$2,RawData[[Picker ID ]],$Q$3,RawData[Checker ID],$Q$4,RawData[[Error Type ]],$Q$5))</f>
        <v/>
      </c>
    </row>
    <row r="4118" spans="15:15" x14ac:dyDescent="0.25">
      <c r="O4118" s="20" t="str">
        <f>IF(N4118="","",COUNTIFS(RawData[[Date ]],N4118,RawData[Month List],$Q$6,RawData[Tour/Site],$Q$2,RawData[[Picker ID ]],$Q$3,RawData[Checker ID],$Q$4,RawData[[Error Type ]],$Q$5))</f>
        <v/>
      </c>
    </row>
    <row r="4119" spans="15:15" x14ac:dyDescent="0.25">
      <c r="O4119" s="20" t="str">
        <f>IF(N4119="","",COUNTIFS(RawData[[Date ]],N4119,RawData[Month List],$Q$6,RawData[Tour/Site],$Q$2,RawData[[Picker ID ]],$Q$3,RawData[Checker ID],$Q$4,RawData[[Error Type ]],$Q$5))</f>
        <v/>
      </c>
    </row>
    <row r="4120" spans="15:15" x14ac:dyDescent="0.25">
      <c r="O4120" s="20" t="str">
        <f>IF(N4120="","",COUNTIFS(RawData[[Date ]],N4120,RawData[Month List],$Q$6,RawData[Tour/Site],$Q$2,RawData[[Picker ID ]],$Q$3,RawData[Checker ID],$Q$4,RawData[[Error Type ]],$Q$5))</f>
        <v/>
      </c>
    </row>
    <row r="4121" spans="15:15" x14ac:dyDescent="0.25">
      <c r="O4121" s="20" t="str">
        <f>IF(N4121="","",COUNTIFS(RawData[[Date ]],N4121,RawData[Month List],$Q$6,RawData[Tour/Site],$Q$2,RawData[[Picker ID ]],$Q$3,RawData[Checker ID],$Q$4,RawData[[Error Type ]],$Q$5))</f>
        <v/>
      </c>
    </row>
    <row r="4122" spans="15:15" x14ac:dyDescent="0.25">
      <c r="O4122" s="20" t="str">
        <f>IF(N4122="","",COUNTIFS(RawData[[Date ]],N4122,RawData[Month List],$Q$6,RawData[Tour/Site],$Q$2,RawData[[Picker ID ]],$Q$3,RawData[Checker ID],$Q$4,RawData[[Error Type ]],$Q$5))</f>
        <v/>
      </c>
    </row>
    <row r="4123" spans="15:15" x14ac:dyDescent="0.25">
      <c r="O4123" s="20" t="str">
        <f>IF(N4123="","",COUNTIFS(RawData[[Date ]],N4123,RawData[Month List],$Q$6,RawData[Tour/Site],$Q$2,RawData[[Picker ID ]],$Q$3,RawData[Checker ID],$Q$4,RawData[[Error Type ]],$Q$5))</f>
        <v/>
      </c>
    </row>
    <row r="4124" spans="15:15" x14ac:dyDescent="0.25">
      <c r="O4124" s="20" t="str">
        <f>IF(N4124="","",COUNTIFS(RawData[[Date ]],N4124,RawData[Month List],$Q$6,RawData[Tour/Site],$Q$2,RawData[[Picker ID ]],$Q$3,RawData[Checker ID],$Q$4,RawData[[Error Type ]],$Q$5))</f>
        <v/>
      </c>
    </row>
    <row r="4125" spans="15:15" x14ac:dyDescent="0.25">
      <c r="O4125" s="20" t="str">
        <f>IF(N4125="","",COUNTIFS(RawData[[Date ]],N4125,RawData[Month List],$Q$6,RawData[Tour/Site],$Q$2,RawData[[Picker ID ]],$Q$3,RawData[Checker ID],$Q$4,RawData[[Error Type ]],$Q$5))</f>
        <v/>
      </c>
    </row>
    <row r="4126" spans="15:15" x14ac:dyDescent="0.25">
      <c r="O4126" s="20" t="str">
        <f>IF(N4126="","",COUNTIFS(RawData[[Date ]],N4126,RawData[Month List],$Q$6,RawData[Tour/Site],$Q$2,RawData[[Picker ID ]],$Q$3,RawData[Checker ID],$Q$4,RawData[[Error Type ]],$Q$5))</f>
        <v/>
      </c>
    </row>
    <row r="4127" spans="15:15" x14ac:dyDescent="0.25">
      <c r="O4127" s="20" t="str">
        <f>IF(N4127="","",COUNTIFS(RawData[[Date ]],N4127,RawData[Month List],$Q$6,RawData[Tour/Site],$Q$2,RawData[[Picker ID ]],$Q$3,RawData[Checker ID],$Q$4,RawData[[Error Type ]],$Q$5))</f>
        <v/>
      </c>
    </row>
    <row r="4128" spans="15:15" x14ac:dyDescent="0.25">
      <c r="O4128" s="20" t="str">
        <f>IF(N4128="","",COUNTIFS(RawData[[Date ]],N4128,RawData[Month List],$Q$6,RawData[Tour/Site],$Q$2,RawData[[Picker ID ]],$Q$3,RawData[Checker ID],$Q$4,RawData[[Error Type ]],$Q$5))</f>
        <v/>
      </c>
    </row>
    <row r="4129" spans="15:15" x14ac:dyDescent="0.25">
      <c r="O4129" s="20" t="str">
        <f>IF(N4129="","",COUNTIFS(RawData[[Date ]],N4129,RawData[Month List],$Q$6,RawData[Tour/Site],$Q$2,RawData[[Picker ID ]],$Q$3,RawData[Checker ID],$Q$4,RawData[[Error Type ]],$Q$5))</f>
        <v/>
      </c>
    </row>
    <row r="4130" spans="15:15" x14ac:dyDescent="0.25">
      <c r="O4130" s="20" t="str">
        <f>IF(N4130="","",COUNTIFS(RawData[[Date ]],N4130,RawData[Month List],$Q$6,RawData[Tour/Site],$Q$2,RawData[[Picker ID ]],$Q$3,RawData[Checker ID],$Q$4,RawData[[Error Type ]],$Q$5))</f>
        <v/>
      </c>
    </row>
    <row r="4131" spans="15:15" x14ac:dyDescent="0.25">
      <c r="O4131" s="20" t="str">
        <f>IF(N4131="","",COUNTIFS(RawData[[Date ]],N4131,RawData[Month List],$Q$6,RawData[Tour/Site],$Q$2,RawData[[Picker ID ]],$Q$3,RawData[Checker ID],$Q$4,RawData[[Error Type ]],$Q$5))</f>
        <v/>
      </c>
    </row>
    <row r="4132" spans="15:15" x14ac:dyDescent="0.25">
      <c r="O4132" s="20" t="str">
        <f>IF(N4132="","",COUNTIFS(RawData[[Date ]],N4132,RawData[Month List],$Q$6,RawData[Tour/Site],$Q$2,RawData[[Picker ID ]],$Q$3,RawData[Checker ID],$Q$4,RawData[[Error Type ]],$Q$5))</f>
        <v/>
      </c>
    </row>
    <row r="4133" spans="15:15" x14ac:dyDescent="0.25">
      <c r="O4133" s="20" t="str">
        <f>IF(N4133="","",COUNTIFS(RawData[[Date ]],N4133,RawData[Month List],$Q$6,RawData[Tour/Site],$Q$2,RawData[[Picker ID ]],$Q$3,RawData[Checker ID],$Q$4,RawData[[Error Type ]],$Q$5))</f>
        <v/>
      </c>
    </row>
    <row r="4134" spans="15:15" x14ac:dyDescent="0.25">
      <c r="O4134" s="20" t="str">
        <f>IF(N4134="","",COUNTIFS(RawData[[Date ]],N4134,RawData[Month List],$Q$6,RawData[Tour/Site],$Q$2,RawData[[Picker ID ]],$Q$3,RawData[Checker ID],$Q$4,RawData[[Error Type ]],$Q$5))</f>
        <v/>
      </c>
    </row>
    <row r="4135" spans="15:15" x14ac:dyDescent="0.25">
      <c r="O4135" s="20" t="str">
        <f>IF(N4135="","",COUNTIFS(RawData[[Date ]],N4135,RawData[Month List],$Q$6,RawData[Tour/Site],$Q$2,RawData[[Picker ID ]],$Q$3,RawData[Checker ID],$Q$4,RawData[[Error Type ]],$Q$5))</f>
        <v/>
      </c>
    </row>
    <row r="4136" spans="15:15" x14ac:dyDescent="0.25">
      <c r="O4136" s="20" t="str">
        <f>IF(N4136="","",COUNTIFS(RawData[[Date ]],N4136,RawData[Month List],$Q$6,RawData[Tour/Site],$Q$2,RawData[[Picker ID ]],$Q$3,RawData[Checker ID],$Q$4,RawData[[Error Type ]],$Q$5))</f>
        <v/>
      </c>
    </row>
    <row r="4137" spans="15:15" x14ac:dyDescent="0.25">
      <c r="O4137" s="20" t="str">
        <f>IF(N4137="","",COUNTIFS(RawData[[Date ]],N4137,RawData[Month List],$Q$6,RawData[Tour/Site],$Q$2,RawData[[Picker ID ]],$Q$3,RawData[Checker ID],$Q$4,RawData[[Error Type ]],$Q$5))</f>
        <v/>
      </c>
    </row>
    <row r="4138" spans="15:15" x14ac:dyDescent="0.25">
      <c r="O4138" s="20" t="str">
        <f>IF(N4138="","",COUNTIFS(RawData[[Date ]],N4138,RawData[Month List],$Q$6,RawData[Tour/Site],$Q$2,RawData[[Picker ID ]],$Q$3,RawData[Checker ID],$Q$4,RawData[[Error Type ]],$Q$5))</f>
        <v/>
      </c>
    </row>
    <row r="4139" spans="15:15" x14ac:dyDescent="0.25">
      <c r="O4139" s="20" t="str">
        <f>IF(N4139="","",COUNTIFS(RawData[[Date ]],N4139,RawData[Month List],$Q$6,RawData[Tour/Site],$Q$2,RawData[[Picker ID ]],$Q$3,RawData[Checker ID],$Q$4,RawData[[Error Type ]],$Q$5))</f>
        <v/>
      </c>
    </row>
    <row r="4140" spans="15:15" x14ac:dyDescent="0.25">
      <c r="O4140" s="20" t="str">
        <f>IF(N4140="","",COUNTIFS(RawData[[Date ]],N4140,RawData[Month List],$Q$6,RawData[Tour/Site],$Q$2,RawData[[Picker ID ]],$Q$3,RawData[Checker ID],$Q$4,RawData[[Error Type ]],$Q$5))</f>
        <v/>
      </c>
    </row>
    <row r="4141" spans="15:15" x14ac:dyDescent="0.25">
      <c r="O4141" s="20" t="str">
        <f>IF(N4141="","",COUNTIFS(RawData[[Date ]],N4141,RawData[Month List],$Q$6,RawData[Tour/Site],$Q$2,RawData[[Picker ID ]],$Q$3,RawData[Checker ID],$Q$4,RawData[[Error Type ]],$Q$5))</f>
        <v/>
      </c>
    </row>
    <row r="4142" spans="15:15" x14ac:dyDescent="0.25">
      <c r="O4142" s="20" t="str">
        <f>IF(N4142="","",COUNTIFS(RawData[[Date ]],N4142,RawData[Month List],$Q$6,RawData[Tour/Site],$Q$2,RawData[[Picker ID ]],$Q$3,RawData[Checker ID],$Q$4,RawData[[Error Type ]],$Q$5))</f>
        <v/>
      </c>
    </row>
    <row r="4143" spans="15:15" x14ac:dyDescent="0.25">
      <c r="O4143" s="20" t="str">
        <f>IF(N4143="","",COUNTIFS(RawData[[Date ]],N4143,RawData[Month List],$Q$6,RawData[Tour/Site],$Q$2,RawData[[Picker ID ]],$Q$3,RawData[Checker ID],$Q$4,RawData[[Error Type ]],$Q$5))</f>
        <v/>
      </c>
    </row>
    <row r="4144" spans="15:15" x14ac:dyDescent="0.25">
      <c r="O4144" s="20" t="str">
        <f>IF(N4144="","",COUNTIFS(RawData[[Date ]],N4144,RawData[Month List],$Q$6,RawData[Tour/Site],$Q$2,RawData[[Picker ID ]],$Q$3,RawData[Checker ID],$Q$4,RawData[[Error Type ]],$Q$5))</f>
        <v/>
      </c>
    </row>
    <row r="4145" spans="15:15" x14ac:dyDescent="0.25">
      <c r="O4145" s="20" t="str">
        <f>IF(N4145="","",COUNTIFS(RawData[[Date ]],N4145,RawData[Month List],$Q$6,RawData[Tour/Site],$Q$2,RawData[[Picker ID ]],$Q$3,RawData[Checker ID],$Q$4,RawData[[Error Type ]],$Q$5))</f>
        <v/>
      </c>
    </row>
    <row r="4146" spans="15:15" x14ac:dyDescent="0.25">
      <c r="O4146" s="20" t="str">
        <f>IF(N4146="","",COUNTIFS(RawData[[Date ]],N4146,RawData[Month List],$Q$6,RawData[Tour/Site],$Q$2,RawData[[Picker ID ]],$Q$3,RawData[Checker ID],$Q$4,RawData[[Error Type ]],$Q$5))</f>
        <v/>
      </c>
    </row>
    <row r="4147" spans="15:15" x14ac:dyDescent="0.25">
      <c r="O4147" s="20" t="str">
        <f>IF(N4147="","",COUNTIFS(RawData[[Date ]],N4147,RawData[Month List],$Q$6,RawData[Tour/Site],$Q$2,RawData[[Picker ID ]],$Q$3,RawData[Checker ID],$Q$4,RawData[[Error Type ]],$Q$5))</f>
        <v/>
      </c>
    </row>
    <row r="4148" spans="15:15" x14ac:dyDescent="0.25">
      <c r="O4148" s="20" t="str">
        <f>IF(N4148="","",COUNTIFS(RawData[[Date ]],N4148,RawData[Month List],$Q$6,RawData[Tour/Site],$Q$2,RawData[[Picker ID ]],$Q$3,RawData[Checker ID],$Q$4,RawData[[Error Type ]],$Q$5))</f>
        <v/>
      </c>
    </row>
    <row r="4149" spans="15:15" x14ac:dyDescent="0.25">
      <c r="O4149" s="20" t="str">
        <f>IF(N4149="","",COUNTIFS(RawData[[Date ]],N4149,RawData[Month List],$Q$6,RawData[Tour/Site],$Q$2,RawData[[Picker ID ]],$Q$3,RawData[Checker ID],$Q$4,RawData[[Error Type ]],$Q$5))</f>
        <v/>
      </c>
    </row>
    <row r="4150" spans="15:15" x14ac:dyDescent="0.25">
      <c r="O4150" s="20" t="str">
        <f>IF(N4150="","",COUNTIFS(RawData[[Date ]],N4150,RawData[Month List],$Q$6,RawData[Tour/Site],$Q$2,RawData[[Picker ID ]],$Q$3,RawData[Checker ID],$Q$4,RawData[[Error Type ]],$Q$5))</f>
        <v/>
      </c>
    </row>
    <row r="4151" spans="15:15" x14ac:dyDescent="0.25">
      <c r="O4151" s="20" t="str">
        <f>IF(N4151="","",COUNTIFS(RawData[[Date ]],N4151,RawData[Month List],$Q$6,RawData[Tour/Site],$Q$2,RawData[[Picker ID ]],$Q$3,RawData[Checker ID],$Q$4,RawData[[Error Type ]],$Q$5))</f>
        <v/>
      </c>
    </row>
    <row r="4152" spans="15:15" x14ac:dyDescent="0.25">
      <c r="O4152" s="20" t="str">
        <f>IF(N4152="","",COUNTIFS(RawData[[Date ]],N4152,RawData[Month List],$Q$6,RawData[Tour/Site],$Q$2,RawData[[Picker ID ]],$Q$3,RawData[Checker ID],$Q$4,RawData[[Error Type ]],$Q$5))</f>
        <v/>
      </c>
    </row>
    <row r="4153" spans="15:15" x14ac:dyDescent="0.25">
      <c r="O4153" s="20" t="str">
        <f>IF(N4153="","",COUNTIFS(RawData[[Date ]],N4153,RawData[Month List],$Q$6,RawData[Tour/Site],$Q$2,RawData[[Picker ID ]],$Q$3,RawData[Checker ID],$Q$4,RawData[[Error Type ]],$Q$5))</f>
        <v/>
      </c>
    </row>
    <row r="4154" spans="15:15" x14ac:dyDescent="0.25">
      <c r="O4154" s="20" t="str">
        <f>IF(N4154="","",COUNTIFS(RawData[[Date ]],N4154,RawData[Month List],$Q$6,RawData[Tour/Site],$Q$2,RawData[[Picker ID ]],$Q$3,RawData[Checker ID],$Q$4,RawData[[Error Type ]],$Q$5))</f>
        <v/>
      </c>
    </row>
    <row r="4155" spans="15:15" x14ac:dyDescent="0.25">
      <c r="O4155" s="20" t="str">
        <f>IF(N4155="","",COUNTIFS(RawData[[Date ]],N4155,RawData[Month List],$Q$6,RawData[Tour/Site],$Q$2,RawData[[Picker ID ]],$Q$3,RawData[Checker ID],$Q$4,RawData[[Error Type ]],$Q$5))</f>
        <v/>
      </c>
    </row>
    <row r="4156" spans="15:15" x14ac:dyDescent="0.25">
      <c r="O4156" s="20" t="str">
        <f>IF(N4156="","",COUNTIFS(RawData[[Date ]],N4156,RawData[Month List],$Q$6,RawData[Tour/Site],$Q$2,RawData[[Picker ID ]],$Q$3,RawData[Checker ID],$Q$4,RawData[[Error Type ]],$Q$5))</f>
        <v/>
      </c>
    </row>
    <row r="4157" spans="15:15" x14ac:dyDescent="0.25">
      <c r="O4157" s="20" t="str">
        <f>IF(N4157="","",COUNTIFS(RawData[[Date ]],N4157,RawData[Month List],$Q$6,RawData[Tour/Site],$Q$2,RawData[[Picker ID ]],$Q$3,RawData[Checker ID],$Q$4,RawData[[Error Type ]],$Q$5))</f>
        <v/>
      </c>
    </row>
    <row r="4158" spans="15:15" x14ac:dyDescent="0.25">
      <c r="O4158" s="20" t="str">
        <f>IF(N4158="","",COUNTIFS(RawData[[Date ]],N4158,RawData[Month List],$Q$6,RawData[Tour/Site],$Q$2,RawData[[Picker ID ]],$Q$3,RawData[Checker ID],$Q$4,RawData[[Error Type ]],$Q$5))</f>
        <v/>
      </c>
    </row>
    <row r="4159" spans="15:15" x14ac:dyDescent="0.25">
      <c r="O4159" s="20" t="str">
        <f>IF(N4159="","",COUNTIFS(RawData[[Date ]],N4159,RawData[Month List],$Q$6,RawData[Tour/Site],$Q$2,RawData[[Picker ID ]],$Q$3,RawData[Checker ID],$Q$4,RawData[[Error Type ]],$Q$5))</f>
        <v/>
      </c>
    </row>
    <row r="4160" spans="15:15" x14ac:dyDescent="0.25">
      <c r="O4160" s="20" t="str">
        <f>IF(N4160="","",COUNTIFS(RawData[[Date ]],N4160,RawData[Month List],$Q$6,RawData[Tour/Site],$Q$2,RawData[[Picker ID ]],$Q$3,RawData[Checker ID],$Q$4,RawData[[Error Type ]],$Q$5))</f>
        <v/>
      </c>
    </row>
    <row r="4161" spans="15:15" x14ac:dyDescent="0.25">
      <c r="O4161" s="20" t="str">
        <f>IF(N4161="","",COUNTIFS(RawData[[Date ]],N4161,RawData[Month List],$Q$6,RawData[Tour/Site],$Q$2,RawData[[Picker ID ]],$Q$3,RawData[Checker ID],$Q$4,RawData[[Error Type ]],$Q$5))</f>
        <v/>
      </c>
    </row>
    <row r="4162" spans="15:15" x14ac:dyDescent="0.25">
      <c r="O4162" s="20" t="str">
        <f>IF(N4162="","",COUNTIFS(RawData[[Date ]],N4162,RawData[Month List],$Q$6,RawData[Tour/Site],$Q$2,RawData[[Picker ID ]],$Q$3,RawData[Checker ID],$Q$4,RawData[[Error Type ]],$Q$5))</f>
        <v/>
      </c>
    </row>
    <row r="4163" spans="15:15" x14ac:dyDescent="0.25">
      <c r="O4163" s="20" t="str">
        <f>IF(N4163="","",COUNTIFS(RawData[[Date ]],N4163,RawData[Month List],$Q$6,RawData[Tour/Site],$Q$2,RawData[[Picker ID ]],$Q$3,RawData[Checker ID],$Q$4,RawData[[Error Type ]],$Q$5))</f>
        <v/>
      </c>
    </row>
    <row r="4164" spans="15:15" x14ac:dyDescent="0.25">
      <c r="O4164" s="20" t="str">
        <f>IF(N4164="","",COUNTIFS(RawData[[Date ]],N4164,RawData[Month List],$Q$6,RawData[Tour/Site],$Q$2,RawData[[Picker ID ]],$Q$3,RawData[Checker ID],$Q$4,RawData[[Error Type ]],$Q$5))</f>
        <v/>
      </c>
    </row>
    <row r="4165" spans="15:15" x14ac:dyDescent="0.25">
      <c r="O4165" s="20" t="str">
        <f>IF(N4165="","",COUNTIFS(RawData[[Date ]],N4165,RawData[Month List],$Q$6,RawData[Tour/Site],$Q$2,RawData[[Picker ID ]],$Q$3,RawData[Checker ID],$Q$4,RawData[[Error Type ]],$Q$5))</f>
        <v/>
      </c>
    </row>
    <row r="4166" spans="15:15" x14ac:dyDescent="0.25">
      <c r="O4166" s="20" t="str">
        <f>IF(N4166="","",COUNTIFS(RawData[[Date ]],N4166,RawData[Month List],$Q$6,RawData[Tour/Site],$Q$2,RawData[[Picker ID ]],$Q$3,RawData[Checker ID],$Q$4,RawData[[Error Type ]],$Q$5))</f>
        <v/>
      </c>
    </row>
    <row r="4167" spans="15:15" x14ac:dyDescent="0.25">
      <c r="O4167" s="20" t="str">
        <f>IF(N4167="","",COUNTIFS(RawData[[Date ]],N4167,RawData[Month List],$Q$6,RawData[Tour/Site],$Q$2,RawData[[Picker ID ]],$Q$3,RawData[Checker ID],$Q$4,RawData[[Error Type ]],$Q$5))</f>
        <v/>
      </c>
    </row>
    <row r="4168" spans="15:15" x14ac:dyDescent="0.25">
      <c r="O4168" s="20" t="str">
        <f>IF(N4168="","",COUNTIFS(RawData[[Date ]],N4168,RawData[Month List],$Q$6,RawData[Tour/Site],$Q$2,RawData[[Picker ID ]],$Q$3,RawData[Checker ID],$Q$4,RawData[[Error Type ]],$Q$5))</f>
        <v/>
      </c>
    </row>
    <row r="4169" spans="15:15" x14ac:dyDescent="0.25">
      <c r="O4169" s="20" t="str">
        <f>IF(N4169="","",COUNTIFS(RawData[[Date ]],N4169,RawData[Month List],$Q$6,RawData[Tour/Site],$Q$2,RawData[[Picker ID ]],$Q$3,RawData[Checker ID],$Q$4,RawData[[Error Type ]],$Q$5))</f>
        <v/>
      </c>
    </row>
    <row r="4170" spans="15:15" x14ac:dyDescent="0.25">
      <c r="O4170" s="20" t="str">
        <f>IF(N4170="","",COUNTIFS(RawData[[Date ]],N4170,RawData[Month List],$Q$6,RawData[Tour/Site],$Q$2,RawData[[Picker ID ]],$Q$3,RawData[Checker ID],$Q$4,RawData[[Error Type ]],$Q$5))</f>
        <v/>
      </c>
    </row>
    <row r="4171" spans="15:15" x14ac:dyDescent="0.25">
      <c r="O4171" s="20" t="str">
        <f>IF(N4171="","",COUNTIFS(RawData[[Date ]],N4171,RawData[Month List],$Q$6,RawData[Tour/Site],$Q$2,RawData[[Picker ID ]],$Q$3,RawData[Checker ID],$Q$4,RawData[[Error Type ]],$Q$5))</f>
        <v/>
      </c>
    </row>
    <row r="4172" spans="15:15" x14ac:dyDescent="0.25">
      <c r="O4172" s="20" t="str">
        <f>IF(N4172="","",COUNTIFS(RawData[[Date ]],N4172,RawData[Month List],$Q$6,RawData[Tour/Site],$Q$2,RawData[[Picker ID ]],$Q$3,RawData[Checker ID],$Q$4,RawData[[Error Type ]],$Q$5))</f>
        <v/>
      </c>
    </row>
    <row r="4173" spans="15:15" x14ac:dyDescent="0.25">
      <c r="O4173" s="20" t="str">
        <f>IF(N4173="","",COUNTIFS(RawData[[Date ]],N4173,RawData[Month List],$Q$6,RawData[Tour/Site],$Q$2,RawData[[Picker ID ]],$Q$3,RawData[Checker ID],$Q$4,RawData[[Error Type ]],$Q$5))</f>
        <v/>
      </c>
    </row>
    <row r="4174" spans="15:15" x14ac:dyDescent="0.25">
      <c r="O4174" s="20" t="str">
        <f>IF(N4174="","",COUNTIFS(RawData[[Date ]],N4174,RawData[Month List],$Q$6,RawData[Tour/Site],$Q$2,RawData[[Picker ID ]],$Q$3,RawData[Checker ID],$Q$4,RawData[[Error Type ]],$Q$5))</f>
        <v/>
      </c>
    </row>
    <row r="4175" spans="15:15" x14ac:dyDescent="0.25">
      <c r="O4175" s="20" t="str">
        <f>IF(N4175="","",COUNTIFS(RawData[[Date ]],N4175,RawData[Month List],$Q$6,RawData[Tour/Site],$Q$2,RawData[[Picker ID ]],$Q$3,RawData[Checker ID],$Q$4,RawData[[Error Type ]],$Q$5))</f>
        <v/>
      </c>
    </row>
    <row r="4176" spans="15:15" x14ac:dyDescent="0.25">
      <c r="O4176" s="20" t="str">
        <f>IF(N4176="","",COUNTIFS(RawData[[Date ]],N4176,RawData[Month List],$Q$6,RawData[Tour/Site],$Q$2,RawData[[Picker ID ]],$Q$3,RawData[Checker ID],$Q$4,RawData[[Error Type ]],$Q$5))</f>
        <v/>
      </c>
    </row>
    <row r="4177" spans="15:15" x14ac:dyDescent="0.25">
      <c r="O4177" s="20" t="str">
        <f>IF(N4177="","",COUNTIFS(RawData[[Date ]],N4177,RawData[Month List],$Q$6,RawData[Tour/Site],$Q$2,RawData[[Picker ID ]],$Q$3,RawData[Checker ID],$Q$4,RawData[[Error Type ]],$Q$5))</f>
        <v/>
      </c>
    </row>
    <row r="4178" spans="15:15" x14ac:dyDescent="0.25">
      <c r="O4178" s="20" t="str">
        <f>IF(N4178="","",COUNTIFS(RawData[[Date ]],N4178,RawData[Month List],$Q$6,RawData[Tour/Site],$Q$2,RawData[[Picker ID ]],$Q$3,RawData[Checker ID],$Q$4,RawData[[Error Type ]],$Q$5))</f>
        <v/>
      </c>
    </row>
    <row r="4179" spans="15:15" x14ac:dyDescent="0.25">
      <c r="O4179" s="20" t="str">
        <f>IF(N4179="","",COUNTIFS(RawData[[Date ]],N4179,RawData[Month List],$Q$6,RawData[Tour/Site],$Q$2,RawData[[Picker ID ]],$Q$3,RawData[Checker ID],$Q$4,RawData[[Error Type ]],$Q$5))</f>
        <v/>
      </c>
    </row>
    <row r="4180" spans="15:15" x14ac:dyDescent="0.25">
      <c r="O4180" s="20" t="str">
        <f>IF(N4180="","",COUNTIFS(RawData[[Date ]],N4180,RawData[Month List],$Q$6,RawData[Tour/Site],$Q$2,RawData[[Picker ID ]],$Q$3,RawData[Checker ID],$Q$4,RawData[[Error Type ]],$Q$5))</f>
        <v/>
      </c>
    </row>
    <row r="4181" spans="15:15" x14ac:dyDescent="0.25">
      <c r="O4181" s="20" t="str">
        <f>IF(N4181="","",COUNTIFS(RawData[[Date ]],N4181,RawData[Month List],$Q$6,RawData[Tour/Site],$Q$2,RawData[[Picker ID ]],$Q$3,RawData[Checker ID],$Q$4,RawData[[Error Type ]],$Q$5))</f>
        <v/>
      </c>
    </row>
    <row r="4182" spans="15:15" x14ac:dyDescent="0.25">
      <c r="O4182" s="20" t="str">
        <f>IF(N4182="","",COUNTIFS(RawData[[Date ]],N4182,RawData[Month List],$Q$6,RawData[Tour/Site],$Q$2,RawData[[Picker ID ]],$Q$3,RawData[Checker ID],$Q$4,RawData[[Error Type ]],$Q$5))</f>
        <v/>
      </c>
    </row>
    <row r="4183" spans="15:15" x14ac:dyDescent="0.25">
      <c r="O4183" s="20" t="str">
        <f>IF(N4183="","",COUNTIFS(RawData[[Date ]],N4183,RawData[Month List],$Q$6,RawData[Tour/Site],$Q$2,RawData[[Picker ID ]],$Q$3,RawData[Checker ID],$Q$4,RawData[[Error Type ]],$Q$5))</f>
        <v/>
      </c>
    </row>
    <row r="4184" spans="15:15" x14ac:dyDescent="0.25">
      <c r="O4184" s="20" t="str">
        <f>IF(N4184="","",COUNTIFS(RawData[[Date ]],N4184,RawData[Month List],$Q$6,RawData[Tour/Site],$Q$2,RawData[[Picker ID ]],$Q$3,RawData[Checker ID],$Q$4,RawData[[Error Type ]],$Q$5))</f>
        <v/>
      </c>
    </row>
    <row r="4185" spans="15:15" x14ac:dyDescent="0.25">
      <c r="O4185" s="20" t="str">
        <f>IF(N4185="","",COUNTIFS(RawData[[Date ]],N4185,RawData[Month List],$Q$6,RawData[Tour/Site],$Q$2,RawData[[Picker ID ]],$Q$3,RawData[Checker ID],$Q$4,RawData[[Error Type ]],$Q$5))</f>
        <v/>
      </c>
    </row>
    <row r="4186" spans="15:15" x14ac:dyDescent="0.25">
      <c r="O4186" s="20" t="str">
        <f>IF(N4186="","",COUNTIFS(RawData[[Date ]],N4186,RawData[Month List],$Q$6,RawData[Tour/Site],$Q$2,RawData[[Picker ID ]],$Q$3,RawData[Checker ID],$Q$4,RawData[[Error Type ]],$Q$5))</f>
        <v/>
      </c>
    </row>
    <row r="4187" spans="15:15" x14ac:dyDescent="0.25">
      <c r="O4187" s="20" t="str">
        <f>IF(N4187="","",COUNTIFS(RawData[[Date ]],N4187,RawData[Month List],$Q$6,RawData[Tour/Site],$Q$2,RawData[[Picker ID ]],$Q$3,RawData[Checker ID],$Q$4,RawData[[Error Type ]],$Q$5))</f>
        <v/>
      </c>
    </row>
    <row r="4188" spans="15:15" x14ac:dyDescent="0.25">
      <c r="O4188" s="20" t="str">
        <f>IF(N4188="","",COUNTIFS(RawData[[Date ]],N4188,RawData[Month List],$Q$6,RawData[Tour/Site],$Q$2,RawData[[Picker ID ]],$Q$3,RawData[Checker ID],$Q$4,RawData[[Error Type ]],$Q$5))</f>
        <v/>
      </c>
    </row>
    <row r="4189" spans="15:15" x14ac:dyDescent="0.25">
      <c r="O4189" s="20" t="str">
        <f>IF(N4189="","",COUNTIFS(RawData[[Date ]],N4189,RawData[Month List],$Q$6,RawData[Tour/Site],$Q$2,RawData[[Picker ID ]],$Q$3,RawData[Checker ID],$Q$4,RawData[[Error Type ]],$Q$5))</f>
        <v/>
      </c>
    </row>
    <row r="4190" spans="15:15" x14ac:dyDescent="0.25">
      <c r="O4190" s="20" t="str">
        <f>IF(N4190="","",COUNTIFS(RawData[[Date ]],N4190,RawData[Month List],$Q$6,RawData[Tour/Site],$Q$2,RawData[[Picker ID ]],$Q$3,RawData[Checker ID],$Q$4,RawData[[Error Type ]],$Q$5))</f>
        <v/>
      </c>
    </row>
    <row r="4191" spans="15:15" x14ac:dyDescent="0.25">
      <c r="O4191" s="20" t="str">
        <f>IF(N4191="","",COUNTIFS(RawData[[Date ]],N4191,RawData[Month List],$Q$6,RawData[Tour/Site],$Q$2,RawData[[Picker ID ]],$Q$3,RawData[Checker ID],$Q$4,RawData[[Error Type ]],$Q$5))</f>
        <v/>
      </c>
    </row>
    <row r="4192" spans="15:15" x14ac:dyDescent="0.25">
      <c r="O4192" s="20" t="str">
        <f>IF(N4192="","",COUNTIFS(RawData[[Date ]],N4192,RawData[Month List],$Q$6,RawData[Tour/Site],$Q$2,RawData[[Picker ID ]],$Q$3,RawData[Checker ID],$Q$4,RawData[[Error Type ]],$Q$5))</f>
        <v/>
      </c>
    </row>
    <row r="4193" spans="15:15" x14ac:dyDescent="0.25">
      <c r="O4193" s="20" t="str">
        <f>IF(N4193="","",COUNTIFS(RawData[[Date ]],N4193,RawData[Month List],$Q$6,RawData[Tour/Site],$Q$2,RawData[[Picker ID ]],$Q$3,RawData[Checker ID],$Q$4,RawData[[Error Type ]],$Q$5))</f>
        <v/>
      </c>
    </row>
    <row r="4194" spans="15:15" x14ac:dyDescent="0.25">
      <c r="O4194" s="20" t="str">
        <f>IF(N4194="","",COUNTIFS(RawData[[Date ]],N4194,RawData[Month List],$Q$6,RawData[Tour/Site],$Q$2,RawData[[Picker ID ]],$Q$3,RawData[Checker ID],$Q$4,RawData[[Error Type ]],$Q$5))</f>
        <v/>
      </c>
    </row>
    <row r="4195" spans="15:15" x14ac:dyDescent="0.25">
      <c r="O4195" s="20" t="str">
        <f>IF(N4195="","",COUNTIFS(RawData[[Date ]],N4195,RawData[Month List],$Q$6,RawData[Tour/Site],$Q$2,RawData[[Picker ID ]],$Q$3,RawData[Checker ID],$Q$4,RawData[[Error Type ]],$Q$5))</f>
        <v/>
      </c>
    </row>
    <row r="4196" spans="15:15" x14ac:dyDescent="0.25">
      <c r="O4196" s="20" t="str">
        <f>IF(N4196="","",COUNTIFS(RawData[[Date ]],N4196,RawData[Month List],$Q$6,RawData[Tour/Site],$Q$2,RawData[[Picker ID ]],$Q$3,RawData[Checker ID],$Q$4,RawData[[Error Type ]],$Q$5))</f>
        <v/>
      </c>
    </row>
    <row r="4197" spans="15:15" x14ac:dyDescent="0.25">
      <c r="O4197" s="20" t="str">
        <f>IF(N4197="","",COUNTIFS(RawData[[Date ]],N4197,RawData[Month List],$Q$6,RawData[Tour/Site],$Q$2,RawData[[Picker ID ]],$Q$3,RawData[Checker ID],$Q$4,RawData[[Error Type ]],$Q$5))</f>
        <v/>
      </c>
    </row>
    <row r="4198" spans="15:15" x14ac:dyDescent="0.25">
      <c r="O4198" s="20" t="str">
        <f>IF(N4198="","",COUNTIFS(RawData[[Date ]],N4198,RawData[Month List],$Q$6,RawData[Tour/Site],$Q$2,RawData[[Picker ID ]],$Q$3,RawData[Checker ID],$Q$4,RawData[[Error Type ]],$Q$5))</f>
        <v/>
      </c>
    </row>
    <row r="4199" spans="15:15" x14ac:dyDescent="0.25">
      <c r="O4199" s="20" t="str">
        <f>IF(N4199="","",COUNTIFS(RawData[[Date ]],N4199,RawData[Month List],$Q$6,RawData[Tour/Site],$Q$2,RawData[[Picker ID ]],$Q$3,RawData[Checker ID],$Q$4,RawData[[Error Type ]],$Q$5))</f>
        <v/>
      </c>
    </row>
    <row r="4200" spans="15:15" x14ac:dyDescent="0.25">
      <c r="O4200" s="20" t="str">
        <f>IF(N4200="","",COUNTIFS(RawData[[Date ]],N4200,RawData[Month List],$Q$6,RawData[Tour/Site],$Q$2,RawData[[Picker ID ]],$Q$3,RawData[Checker ID],$Q$4,RawData[[Error Type ]],$Q$5))</f>
        <v/>
      </c>
    </row>
    <row r="4201" spans="15:15" x14ac:dyDescent="0.25">
      <c r="O4201" s="20" t="str">
        <f>IF(N4201="","",COUNTIFS(RawData[[Date ]],N4201,RawData[Month List],$Q$6,RawData[Tour/Site],$Q$2,RawData[[Picker ID ]],$Q$3,RawData[Checker ID],$Q$4,RawData[[Error Type ]],$Q$5))</f>
        <v/>
      </c>
    </row>
    <row r="4202" spans="15:15" x14ac:dyDescent="0.25">
      <c r="O4202" s="20" t="str">
        <f>IF(N4202="","",COUNTIFS(RawData[[Date ]],N4202,RawData[Month List],$Q$6,RawData[Tour/Site],$Q$2,RawData[[Picker ID ]],$Q$3,RawData[Checker ID],$Q$4,RawData[[Error Type ]],$Q$5))</f>
        <v/>
      </c>
    </row>
    <row r="4203" spans="15:15" x14ac:dyDescent="0.25">
      <c r="O4203" s="20" t="str">
        <f>IF(N4203="","",COUNTIFS(RawData[[Date ]],N4203,RawData[Month List],$Q$6,RawData[Tour/Site],$Q$2,RawData[[Picker ID ]],$Q$3,RawData[Checker ID],$Q$4,RawData[[Error Type ]],$Q$5))</f>
        <v/>
      </c>
    </row>
    <row r="4204" spans="15:15" x14ac:dyDescent="0.25">
      <c r="O4204" s="20" t="str">
        <f>IF(N4204="","",COUNTIFS(RawData[[Date ]],N4204,RawData[Month List],$Q$6,RawData[Tour/Site],$Q$2,RawData[[Picker ID ]],$Q$3,RawData[Checker ID],$Q$4,RawData[[Error Type ]],$Q$5))</f>
        <v/>
      </c>
    </row>
    <row r="4205" spans="15:15" x14ac:dyDescent="0.25">
      <c r="O4205" s="20" t="str">
        <f>IF(N4205="","",COUNTIFS(RawData[[Date ]],N4205,RawData[Month List],$Q$6,RawData[Tour/Site],$Q$2,RawData[[Picker ID ]],$Q$3,RawData[Checker ID],$Q$4,RawData[[Error Type ]],$Q$5))</f>
        <v/>
      </c>
    </row>
    <row r="4206" spans="15:15" x14ac:dyDescent="0.25">
      <c r="O4206" s="20" t="str">
        <f>IF(N4206="","",COUNTIFS(RawData[[Date ]],N4206,RawData[Month List],$Q$6,RawData[Tour/Site],$Q$2,RawData[[Picker ID ]],$Q$3,RawData[Checker ID],$Q$4,RawData[[Error Type ]],$Q$5))</f>
        <v/>
      </c>
    </row>
    <row r="4207" spans="15:15" x14ac:dyDescent="0.25">
      <c r="O4207" s="20" t="str">
        <f>IF(N4207="","",COUNTIFS(RawData[[Date ]],N4207,RawData[Month List],$Q$6,RawData[Tour/Site],$Q$2,RawData[[Picker ID ]],$Q$3,RawData[Checker ID],$Q$4,RawData[[Error Type ]],$Q$5))</f>
        <v/>
      </c>
    </row>
    <row r="4208" spans="15:15" x14ac:dyDescent="0.25">
      <c r="O4208" s="20" t="str">
        <f>IF(N4208="","",COUNTIFS(RawData[[Date ]],N4208,RawData[Month List],$Q$6,RawData[Tour/Site],$Q$2,RawData[[Picker ID ]],$Q$3,RawData[Checker ID],$Q$4,RawData[[Error Type ]],$Q$5))</f>
        <v/>
      </c>
    </row>
    <row r="4209" spans="15:15" x14ac:dyDescent="0.25">
      <c r="O4209" s="20" t="str">
        <f>IF(N4209="","",COUNTIFS(RawData[[Date ]],N4209,RawData[Month List],$Q$6,RawData[Tour/Site],$Q$2,RawData[[Picker ID ]],$Q$3,RawData[Checker ID],$Q$4,RawData[[Error Type ]],$Q$5))</f>
        <v/>
      </c>
    </row>
    <row r="4210" spans="15:15" x14ac:dyDescent="0.25">
      <c r="O4210" s="20" t="str">
        <f>IF(N4210="","",COUNTIFS(RawData[[Date ]],N4210,RawData[Month List],$Q$6,RawData[Tour/Site],$Q$2,RawData[[Picker ID ]],$Q$3,RawData[Checker ID],$Q$4,RawData[[Error Type ]],$Q$5))</f>
        <v/>
      </c>
    </row>
    <row r="4211" spans="15:15" x14ac:dyDescent="0.25">
      <c r="O4211" s="20" t="str">
        <f>IF(N4211="","",COUNTIFS(RawData[[Date ]],N4211,RawData[Month List],$Q$6,RawData[Tour/Site],$Q$2,RawData[[Picker ID ]],$Q$3,RawData[Checker ID],$Q$4,RawData[[Error Type ]],$Q$5))</f>
        <v/>
      </c>
    </row>
    <row r="4212" spans="15:15" x14ac:dyDescent="0.25">
      <c r="O4212" s="20" t="str">
        <f>IF(N4212="","",COUNTIFS(RawData[[Date ]],N4212,RawData[Month List],$Q$6,RawData[Tour/Site],$Q$2,RawData[[Picker ID ]],$Q$3,RawData[Checker ID],$Q$4,RawData[[Error Type ]],$Q$5))</f>
        <v/>
      </c>
    </row>
    <row r="4213" spans="15:15" x14ac:dyDescent="0.25">
      <c r="O4213" s="20" t="str">
        <f>IF(N4213="","",COUNTIFS(RawData[[Date ]],N4213,RawData[Month List],$Q$6,RawData[Tour/Site],$Q$2,RawData[[Picker ID ]],$Q$3,RawData[Checker ID],$Q$4,RawData[[Error Type ]],$Q$5))</f>
        <v/>
      </c>
    </row>
    <row r="4214" spans="15:15" x14ac:dyDescent="0.25">
      <c r="O4214" s="20" t="str">
        <f>IF(N4214="","",COUNTIFS(RawData[[Date ]],N4214,RawData[Month List],$Q$6,RawData[Tour/Site],$Q$2,RawData[[Picker ID ]],$Q$3,RawData[Checker ID],$Q$4,RawData[[Error Type ]],$Q$5))</f>
        <v/>
      </c>
    </row>
    <row r="4215" spans="15:15" x14ac:dyDescent="0.25">
      <c r="O4215" s="20" t="str">
        <f>IF(N4215="","",COUNTIFS(RawData[[Date ]],N4215,RawData[Month List],$Q$6,RawData[Tour/Site],$Q$2,RawData[[Picker ID ]],$Q$3,RawData[Checker ID],$Q$4,RawData[[Error Type ]],$Q$5))</f>
        <v/>
      </c>
    </row>
    <row r="4216" spans="15:15" x14ac:dyDescent="0.25">
      <c r="O4216" s="20" t="str">
        <f>IF(N4216="","",COUNTIFS(RawData[[Date ]],N4216,RawData[Month List],$Q$6,RawData[Tour/Site],$Q$2,RawData[[Picker ID ]],$Q$3,RawData[Checker ID],$Q$4,RawData[[Error Type ]],$Q$5))</f>
        <v/>
      </c>
    </row>
    <row r="4217" spans="15:15" x14ac:dyDescent="0.25">
      <c r="O4217" s="20" t="str">
        <f>IF(N4217="","",COUNTIFS(RawData[[Date ]],N4217,RawData[Month List],$Q$6,RawData[Tour/Site],$Q$2,RawData[[Picker ID ]],$Q$3,RawData[Checker ID],$Q$4,RawData[[Error Type ]],$Q$5))</f>
        <v/>
      </c>
    </row>
    <row r="4218" spans="15:15" x14ac:dyDescent="0.25">
      <c r="O4218" s="20" t="str">
        <f>IF(N4218="","",COUNTIFS(RawData[[Date ]],N4218,RawData[Month List],$Q$6,RawData[Tour/Site],$Q$2,RawData[[Picker ID ]],$Q$3,RawData[Checker ID],$Q$4,RawData[[Error Type ]],$Q$5))</f>
        <v/>
      </c>
    </row>
    <row r="4219" spans="15:15" x14ac:dyDescent="0.25">
      <c r="O4219" s="20" t="str">
        <f>IF(N4219="","",COUNTIFS(RawData[[Date ]],N4219,RawData[Month List],$Q$6,RawData[Tour/Site],$Q$2,RawData[[Picker ID ]],$Q$3,RawData[Checker ID],$Q$4,RawData[[Error Type ]],$Q$5))</f>
        <v/>
      </c>
    </row>
    <row r="4220" spans="15:15" x14ac:dyDescent="0.25">
      <c r="O4220" s="20" t="str">
        <f>IF(N4220="","",COUNTIFS(RawData[[Date ]],N4220,RawData[Month List],$Q$6,RawData[Tour/Site],$Q$2,RawData[[Picker ID ]],$Q$3,RawData[Checker ID],$Q$4,RawData[[Error Type ]],$Q$5))</f>
        <v/>
      </c>
    </row>
    <row r="4221" spans="15:15" x14ac:dyDescent="0.25">
      <c r="O4221" s="20" t="str">
        <f>IF(N4221="","",COUNTIFS(RawData[[Date ]],N4221,RawData[Month List],$Q$6,RawData[Tour/Site],$Q$2,RawData[[Picker ID ]],$Q$3,RawData[Checker ID],$Q$4,RawData[[Error Type ]],$Q$5))</f>
        <v/>
      </c>
    </row>
    <row r="4222" spans="15:15" x14ac:dyDescent="0.25">
      <c r="O4222" s="20" t="str">
        <f>IF(N4222="","",COUNTIFS(RawData[[Date ]],N4222,RawData[Month List],$Q$6,RawData[Tour/Site],$Q$2,RawData[[Picker ID ]],$Q$3,RawData[Checker ID],$Q$4,RawData[[Error Type ]],$Q$5))</f>
        <v/>
      </c>
    </row>
    <row r="4223" spans="15:15" x14ac:dyDescent="0.25">
      <c r="O4223" s="20" t="str">
        <f>IF(N4223="","",COUNTIFS(RawData[[Date ]],N4223,RawData[Month List],$Q$6,RawData[Tour/Site],$Q$2,RawData[[Picker ID ]],$Q$3,RawData[Checker ID],$Q$4,RawData[[Error Type ]],$Q$5))</f>
        <v/>
      </c>
    </row>
    <row r="4224" spans="15:15" x14ac:dyDescent="0.25">
      <c r="O4224" s="20" t="str">
        <f>IF(N4224="","",COUNTIFS(RawData[[Date ]],N4224,RawData[Month List],$Q$6,RawData[Tour/Site],$Q$2,RawData[[Picker ID ]],$Q$3,RawData[Checker ID],$Q$4,RawData[[Error Type ]],$Q$5))</f>
        <v/>
      </c>
    </row>
    <row r="4225" spans="15:15" x14ac:dyDescent="0.25">
      <c r="O4225" s="20" t="str">
        <f>IF(N4225="","",COUNTIFS(RawData[[Date ]],N4225,RawData[Month List],$Q$6,RawData[Tour/Site],$Q$2,RawData[[Picker ID ]],$Q$3,RawData[Checker ID],$Q$4,RawData[[Error Type ]],$Q$5))</f>
        <v/>
      </c>
    </row>
    <row r="4226" spans="15:15" x14ac:dyDescent="0.25">
      <c r="O4226" s="20" t="str">
        <f>IF(N4226="","",COUNTIFS(RawData[[Date ]],N4226,RawData[Month List],$Q$6,RawData[Tour/Site],$Q$2,RawData[[Picker ID ]],$Q$3,RawData[Checker ID],$Q$4,RawData[[Error Type ]],$Q$5))</f>
        <v/>
      </c>
    </row>
    <row r="4227" spans="15:15" x14ac:dyDescent="0.25">
      <c r="O4227" s="20" t="str">
        <f>IF(N4227="","",COUNTIFS(RawData[[Date ]],N4227,RawData[Month List],$Q$6,RawData[Tour/Site],$Q$2,RawData[[Picker ID ]],$Q$3,RawData[Checker ID],$Q$4,RawData[[Error Type ]],$Q$5))</f>
        <v/>
      </c>
    </row>
    <row r="4228" spans="15:15" x14ac:dyDescent="0.25">
      <c r="O4228" s="20" t="str">
        <f>IF(N4228="","",COUNTIFS(RawData[[Date ]],N4228,RawData[Month List],$Q$6,RawData[Tour/Site],$Q$2,RawData[[Picker ID ]],$Q$3,RawData[Checker ID],$Q$4,RawData[[Error Type ]],$Q$5))</f>
        <v/>
      </c>
    </row>
    <row r="4229" spans="15:15" x14ac:dyDescent="0.25">
      <c r="O4229" s="20" t="str">
        <f>IF(N4229="","",COUNTIFS(RawData[[Date ]],N4229,RawData[Month List],$Q$6,RawData[Tour/Site],$Q$2,RawData[[Picker ID ]],$Q$3,RawData[Checker ID],$Q$4,RawData[[Error Type ]],$Q$5))</f>
        <v/>
      </c>
    </row>
    <row r="4230" spans="15:15" x14ac:dyDescent="0.25">
      <c r="O4230" s="20" t="str">
        <f>IF(N4230="","",COUNTIFS(RawData[[Date ]],N4230,RawData[Month List],$Q$6,RawData[Tour/Site],$Q$2,RawData[[Picker ID ]],$Q$3,RawData[Checker ID],$Q$4,RawData[[Error Type ]],$Q$5))</f>
        <v/>
      </c>
    </row>
    <row r="4231" spans="15:15" x14ac:dyDescent="0.25">
      <c r="O4231" s="20" t="str">
        <f>IF(N4231="","",COUNTIFS(RawData[[Date ]],N4231,RawData[Month List],$Q$6,RawData[Tour/Site],$Q$2,RawData[[Picker ID ]],$Q$3,RawData[Checker ID],$Q$4,RawData[[Error Type ]],$Q$5))</f>
        <v/>
      </c>
    </row>
    <row r="4232" spans="15:15" x14ac:dyDescent="0.25">
      <c r="O4232" s="20" t="str">
        <f>IF(N4232="","",COUNTIFS(RawData[[Date ]],N4232,RawData[Month List],$Q$6,RawData[Tour/Site],$Q$2,RawData[[Picker ID ]],$Q$3,RawData[Checker ID],$Q$4,RawData[[Error Type ]],$Q$5))</f>
        <v/>
      </c>
    </row>
    <row r="4233" spans="15:15" x14ac:dyDescent="0.25">
      <c r="O4233" s="20" t="str">
        <f>IF(N4233="","",COUNTIFS(RawData[[Date ]],N4233,RawData[Month List],$Q$6,RawData[Tour/Site],$Q$2,RawData[[Picker ID ]],$Q$3,RawData[Checker ID],$Q$4,RawData[[Error Type ]],$Q$5))</f>
        <v/>
      </c>
    </row>
    <row r="4234" spans="15:15" x14ac:dyDescent="0.25">
      <c r="O4234" s="20" t="str">
        <f>IF(N4234="","",COUNTIFS(RawData[[Date ]],N4234,RawData[Month List],$Q$6,RawData[Tour/Site],$Q$2,RawData[[Picker ID ]],$Q$3,RawData[Checker ID],$Q$4,RawData[[Error Type ]],$Q$5))</f>
        <v/>
      </c>
    </row>
    <row r="4235" spans="15:15" x14ac:dyDescent="0.25">
      <c r="O4235" s="20" t="str">
        <f>IF(N4235="","",COUNTIFS(RawData[[Date ]],N4235,RawData[Month List],$Q$6,RawData[Tour/Site],$Q$2,RawData[[Picker ID ]],$Q$3,RawData[Checker ID],$Q$4,RawData[[Error Type ]],$Q$5))</f>
        <v/>
      </c>
    </row>
    <row r="4236" spans="15:15" x14ac:dyDescent="0.25">
      <c r="O4236" s="20" t="str">
        <f>IF(N4236="","",COUNTIFS(RawData[[Date ]],N4236,RawData[Month List],$Q$6,RawData[Tour/Site],$Q$2,RawData[[Picker ID ]],$Q$3,RawData[Checker ID],$Q$4,RawData[[Error Type ]],$Q$5))</f>
        <v/>
      </c>
    </row>
    <row r="4237" spans="15:15" x14ac:dyDescent="0.25">
      <c r="O4237" s="20" t="str">
        <f>IF(N4237="","",COUNTIFS(RawData[[Date ]],N4237,RawData[Month List],$Q$6,RawData[Tour/Site],$Q$2,RawData[[Picker ID ]],$Q$3,RawData[Checker ID],$Q$4,RawData[[Error Type ]],$Q$5))</f>
        <v/>
      </c>
    </row>
    <row r="4238" spans="15:15" x14ac:dyDescent="0.25">
      <c r="O4238" s="20" t="str">
        <f>IF(N4238="","",COUNTIFS(RawData[[Date ]],N4238,RawData[Month List],$Q$6,RawData[Tour/Site],$Q$2,RawData[[Picker ID ]],$Q$3,RawData[Checker ID],$Q$4,RawData[[Error Type ]],$Q$5))</f>
        <v/>
      </c>
    </row>
    <row r="4239" spans="15:15" x14ac:dyDescent="0.25">
      <c r="O4239" s="20" t="str">
        <f>IF(N4239="","",COUNTIFS(RawData[[Date ]],N4239,RawData[Month List],$Q$6,RawData[Tour/Site],$Q$2,RawData[[Picker ID ]],$Q$3,RawData[Checker ID],$Q$4,RawData[[Error Type ]],$Q$5))</f>
        <v/>
      </c>
    </row>
    <row r="4240" spans="15:15" x14ac:dyDescent="0.25">
      <c r="O4240" s="20" t="str">
        <f>IF(N4240="","",COUNTIFS(RawData[[Date ]],N4240,RawData[Month List],$Q$6,RawData[Tour/Site],$Q$2,RawData[[Picker ID ]],$Q$3,RawData[Checker ID],$Q$4,RawData[[Error Type ]],$Q$5))</f>
        <v/>
      </c>
    </row>
    <row r="4241" spans="15:15" x14ac:dyDescent="0.25">
      <c r="O4241" s="20" t="str">
        <f>IF(N4241="","",COUNTIFS(RawData[[Date ]],N4241,RawData[Month List],$Q$6,RawData[Tour/Site],$Q$2,RawData[[Picker ID ]],$Q$3,RawData[Checker ID],$Q$4,RawData[[Error Type ]],$Q$5))</f>
        <v/>
      </c>
    </row>
    <row r="4242" spans="15:15" x14ac:dyDescent="0.25">
      <c r="O4242" s="20" t="str">
        <f>IF(N4242="","",COUNTIFS(RawData[[Date ]],N4242,RawData[Month List],$Q$6,RawData[Tour/Site],$Q$2,RawData[[Picker ID ]],$Q$3,RawData[Checker ID],$Q$4,RawData[[Error Type ]],$Q$5))</f>
        <v/>
      </c>
    </row>
    <row r="4243" spans="15:15" x14ac:dyDescent="0.25">
      <c r="O4243" s="20" t="str">
        <f>IF(N4243="","",COUNTIFS(RawData[[Date ]],N4243,RawData[Month List],$Q$6,RawData[Tour/Site],$Q$2,RawData[[Picker ID ]],$Q$3,RawData[Checker ID],$Q$4,RawData[[Error Type ]],$Q$5))</f>
        <v/>
      </c>
    </row>
    <row r="4244" spans="15:15" x14ac:dyDescent="0.25">
      <c r="O4244" s="20" t="str">
        <f>IF(N4244="","",COUNTIFS(RawData[[Date ]],N4244,RawData[Month List],$Q$6,RawData[Tour/Site],$Q$2,RawData[[Picker ID ]],$Q$3,RawData[Checker ID],$Q$4,RawData[[Error Type ]],$Q$5))</f>
        <v/>
      </c>
    </row>
    <row r="4245" spans="15:15" x14ac:dyDescent="0.25">
      <c r="O4245" s="20" t="str">
        <f>IF(N4245="","",COUNTIFS(RawData[[Date ]],N4245,RawData[Month List],$Q$6,RawData[Tour/Site],$Q$2,RawData[[Picker ID ]],$Q$3,RawData[Checker ID],$Q$4,RawData[[Error Type ]],$Q$5))</f>
        <v/>
      </c>
    </row>
    <row r="4246" spans="15:15" x14ac:dyDescent="0.25">
      <c r="O4246" s="20" t="str">
        <f>IF(N4246="","",COUNTIFS(RawData[[Date ]],N4246,RawData[Month List],$Q$6,RawData[Tour/Site],$Q$2,RawData[[Picker ID ]],$Q$3,RawData[Checker ID],$Q$4,RawData[[Error Type ]],$Q$5))</f>
        <v/>
      </c>
    </row>
    <row r="4247" spans="15:15" x14ac:dyDescent="0.25">
      <c r="O4247" s="20" t="str">
        <f>IF(N4247="","",COUNTIFS(RawData[[Date ]],N4247,RawData[Month List],$Q$6,RawData[Tour/Site],$Q$2,RawData[[Picker ID ]],$Q$3,RawData[Checker ID],$Q$4,RawData[[Error Type ]],$Q$5))</f>
        <v/>
      </c>
    </row>
    <row r="4248" spans="15:15" x14ac:dyDescent="0.25">
      <c r="O4248" s="20" t="str">
        <f>IF(N4248="","",COUNTIFS(RawData[[Date ]],N4248,RawData[Month List],$Q$6,RawData[Tour/Site],$Q$2,RawData[[Picker ID ]],$Q$3,RawData[Checker ID],$Q$4,RawData[[Error Type ]],$Q$5))</f>
        <v/>
      </c>
    </row>
    <row r="4249" spans="15:15" x14ac:dyDescent="0.25">
      <c r="O4249" s="20" t="str">
        <f>IF(N4249="","",COUNTIFS(RawData[[Date ]],N4249,RawData[Month List],$Q$6,RawData[Tour/Site],$Q$2,RawData[[Picker ID ]],$Q$3,RawData[Checker ID],$Q$4,RawData[[Error Type ]],$Q$5))</f>
        <v/>
      </c>
    </row>
    <row r="4250" spans="15:15" x14ac:dyDescent="0.25">
      <c r="O4250" s="20" t="str">
        <f>IF(N4250="","",COUNTIFS(RawData[[Date ]],N4250,RawData[Month List],$Q$6,RawData[Tour/Site],$Q$2,RawData[[Picker ID ]],$Q$3,RawData[Checker ID],$Q$4,RawData[[Error Type ]],$Q$5))</f>
        <v/>
      </c>
    </row>
    <row r="4251" spans="15:15" x14ac:dyDescent="0.25">
      <c r="O4251" s="20" t="str">
        <f>IF(N4251="","",COUNTIFS(RawData[[Date ]],N4251,RawData[Month List],$Q$6,RawData[Tour/Site],$Q$2,RawData[[Picker ID ]],$Q$3,RawData[Checker ID],$Q$4,RawData[[Error Type ]],$Q$5))</f>
        <v/>
      </c>
    </row>
    <row r="4252" spans="15:15" x14ac:dyDescent="0.25">
      <c r="O4252" s="20" t="str">
        <f>IF(N4252="","",COUNTIFS(RawData[[Date ]],N4252,RawData[Month List],$Q$6,RawData[Tour/Site],$Q$2,RawData[[Picker ID ]],$Q$3,RawData[Checker ID],$Q$4,RawData[[Error Type ]],$Q$5))</f>
        <v/>
      </c>
    </row>
    <row r="4253" spans="15:15" x14ac:dyDescent="0.25">
      <c r="O4253" s="20" t="str">
        <f>IF(N4253="","",COUNTIFS(RawData[[Date ]],N4253,RawData[Month List],$Q$6,RawData[Tour/Site],$Q$2,RawData[[Picker ID ]],$Q$3,RawData[Checker ID],$Q$4,RawData[[Error Type ]],$Q$5))</f>
        <v/>
      </c>
    </row>
    <row r="4254" spans="15:15" x14ac:dyDescent="0.25">
      <c r="O4254" s="20" t="str">
        <f>IF(N4254="","",COUNTIFS(RawData[[Date ]],N4254,RawData[Month List],$Q$6,RawData[Tour/Site],$Q$2,RawData[[Picker ID ]],$Q$3,RawData[Checker ID],$Q$4,RawData[[Error Type ]],$Q$5))</f>
        <v/>
      </c>
    </row>
    <row r="4255" spans="15:15" x14ac:dyDescent="0.25">
      <c r="O4255" s="20" t="str">
        <f>IF(N4255="","",COUNTIFS(RawData[[Date ]],N4255,RawData[Month List],$Q$6,RawData[Tour/Site],$Q$2,RawData[[Picker ID ]],$Q$3,RawData[Checker ID],$Q$4,RawData[[Error Type ]],$Q$5))</f>
        <v/>
      </c>
    </row>
    <row r="4256" spans="15:15" x14ac:dyDescent="0.25">
      <c r="O4256" s="20" t="str">
        <f>IF(N4256="","",COUNTIFS(RawData[[Date ]],N4256,RawData[Month List],$Q$6,RawData[Tour/Site],$Q$2,RawData[[Picker ID ]],$Q$3,RawData[Checker ID],$Q$4,RawData[[Error Type ]],$Q$5))</f>
        <v/>
      </c>
    </row>
    <row r="4257" spans="15:15" x14ac:dyDescent="0.25">
      <c r="O4257" s="20" t="str">
        <f>IF(N4257="","",COUNTIFS(RawData[[Date ]],N4257,RawData[Month List],$Q$6,RawData[Tour/Site],$Q$2,RawData[[Picker ID ]],$Q$3,RawData[Checker ID],$Q$4,RawData[[Error Type ]],$Q$5))</f>
        <v/>
      </c>
    </row>
    <row r="4258" spans="15:15" x14ac:dyDescent="0.25">
      <c r="O4258" s="20" t="str">
        <f>IF(N4258="","",COUNTIFS(RawData[[Date ]],N4258,RawData[Month List],$Q$6,RawData[Tour/Site],$Q$2,RawData[[Picker ID ]],$Q$3,RawData[Checker ID],$Q$4,RawData[[Error Type ]],$Q$5))</f>
        <v/>
      </c>
    </row>
    <row r="4259" spans="15:15" x14ac:dyDescent="0.25">
      <c r="O4259" s="20" t="str">
        <f>IF(N4259="","",COUNTIFS(RawData[[Date ]],N4259,RawData[Month List],$Q$6,RawData[Tour/Site],$Q$2,RawData[[Picker ID ]],$Q$3,RawData[Checker ID],$Q$4,RawData[[Error Type ]],$Q$5))</f>
        <v/>
      </c>
    </row>
    <row r="4260" spans="15:15" x14ac:dyDescent="0.25">
      <c r="O4260" s="20" t="str">
        <f>IF(N4260="","",COUNTIFS(RawData[[Date ]],N4260,RawData[Month List],$Q$6,RawData[Tour/Site],$Q$2,RawData[[Picker ID ]],$Q$3,RawData[Checker ID],$Q$4,RawData[[Error Type ]],$Q$5))</f>
        <v/>
      </c>
    </row>
    <row r="4261" spans="15:15" x14ac:dyDescent="0.25">
      <c r="O4261" s="20" t="str">
        <f>IF(N4261="","",COUNTIFS(RawData[[Date ]],N4261,RawData[Month List],$Q$6,RawData[Tour/Site],$Q$2,RawData[[Picker ID ]],$Q$3,RawData[Checker ID],$Q$4,RawData[[Error Type ]],$Q$5))</f>
        <v/>
      </c>
    </row>
    <row r="4262" spans="15:15" x14ac:dyDescent="0.25">
      <c r="O4262" s="20" t="str">
        <f>IF(N4262="","",COUNTIFS(RawData[[Date ]],N4262,RawData[Month List],$Q$6,RawData[Tour/Site],$Q$2,RawData[[Picker ID ]],$Q$3,RawData[Checker ID],$Q$4,RawData[[Error Type ]],$Q$5))</f>
        <v/>
      </c>
    </row>
    <row r="4263" spans="15:15" x14ac:dyDescent="0.25">
      <c r="O4263" s="20" t="str">
        <f>IF(N4263="","",COUNTIFS(RawData[[Date ]],N4263,RawData[Month List],$Q$6,RawData[Tour/Site],$Q$2,RawData[[Picker ID ]],$Q$3,RawData[Checker ID],$Q$4,RawData[[Error Type ]],$Q$5))</f>
        <v/>
      </c>
    </row>
    <row r="4264" spans="15:15" x14ac:dyDescent="0.25">
      <c r="O4264" s="20" t="str">
        <f>IF(N4264="","",COUNTIFS(RawData[[Date ]],N4264,RawData[Month List],$Q$6,RawData[Tour/Site],$Q$2,RawData[[Picker ID ]],$Q$3,RawData[Checker ID],$Q$4,RawData[[Error Type ]],$Q$5))</f>
        <v/>
      </c>
    </row>
    <row r="4265" spans="15:15" x14ac:dyDescent="0.25">
      <c r="O4265" s="20" t="str">
        <f>IF(N4265="","",COUNTIFS(RawData[[Date ]],N4265,RawData[Month List],$Q$6,RawData[Tour/Site],$Q$2,RawData[[Picker ID ]],$Q$3,RawData[Checker ID],$Q$4,RawData[[Error Type ]],$Q$5))</f>
        <v/>
      </c>
    </row>
    <row r="4266" spans="15:15" x14ac:dyDescent="0.25">
      <c r="O4266" s="20" t="str">
        <f>IF(N4266="","",COUNTIFS(RawData[[Date ]],N4266,RawData[Month List],$Q$6,RawData[Tour/Site],$Q$2,RawData[[Picker ID ]],$Q$3,RawData[Checker ID],$Q$4,RawData[[Error Type ]],$Q$5))</f>
        <v/>
      </c>
    </row>
    <row r="4267" spans="15:15" x14ac:dyDescent="0.25">
      <c r="O4267" s="20" t="str">
        <f>IF(N4267="","",COUNTIFS(RawData[[Date ]],N4267,RawData[Month List],$Q$6,RawData[Tour/Site],$Q$2,RawData[[Picker ID ]],$Q$3,RawData[Checker ID],$Q$4,RawData[[Error Type ]],$Q$5))</f>
        <v/>
      </c>
    </row>
    <row r="4268" spans="15:15" x14ac:dyDescent="0.25">
      <c r="O4268" s="20" t="str">
        <f>IF(N4268="","",COUNTIFS(RawData[[Date ]],N4268,RawData[Month List],$Q$6,RawData[Tour/Site],$Q$2,RawData[[Picker ID ]],$Q$3,RawData[Checker ID],$Q$4,RawData[[Error Type ]],$Q$5))</f>
        <v/>
      </c>
    </row>
    <row r="4269" spans="15:15" x14ac:dyDescent="0.25">
      <c r="O4269" s="20" t="str">
        <f>IF(N4269="","",COUNTIFS(RawData[[Date ]],N4269,RawData[Month List],$Q$6,RawData[Tour/Site],$Q$2,RawData[[Picker ID ]],$Q$3,RawData[Checker ID],$Q$4,RawData[[Error Type ]],$Q$5))</f>
        <v/>
      </c>
    </row>
    <row r="4270" spans="15:15" x14ac:dyDescent="0.25">
      <c r="O4270" s="20" t="str">
        <f>IF(N4270="","",COUNTIFS(RawData[[Date ]],N4270,RawData[Month List],$Q$6,RawData[Tour/Site],$Q$2,RawData[[Picker ID ]],$Q$3,RawData[Checker ID],$Q$4,RawData[[Error Type ]],$Q$5))</f>
        <v/>
      </c>
    </row>
    <row r="4271" spans="15:15" x14ac:dyDescent="0.25">
      <c r="O4271" s="20" t="str">
        <f>IF(N4271="","",COUNTIFS(RawData[[Date ]],N4271,RawData[Month List],$Q$6,RawData[Tour/Site],$Q$2,RawData[[Picker ID ]],$Q$3,RawData[Checker ID],$Q$4,RawData[[Error Type ]],$Q$5))</f>
        <v/>
      </c>
    </row>
    <row r="4272" spans="15:15" x14ac:dyDescent="0.25">
      <c r="O4272" s="20" t="str">
        <f>IF(N4272="","",COUNTIFS(RawData[[Date ]],N4272,RawData[Month List],$Q$6,RawData[Tour/Site],$Q$2,RawData[[Picker ID ]],$Q$3,RawData[Checker ID],$Q$4,RawData[[Error Type ]],$Q$5))</f>
        <v/>
      </c>
    </row>
    <row r="4273" spans="15:15" x14ac:dyDescent="0.25">
      <c r="O4273" s="20" t="str">
        <f>IF(N4273="","",COUNTIFS(RawData[[Date ]],N4273,RawData[Month List],$Q$6,RawData[Tour/Site],$Q$2,RawData[[Picker ID ]],$Q$3,RawData[Checker ID],$Q$4,RawData[[Error Type ]],$Q$5))</f>
        <v/>
      </c>
    </row>
    <row r="4274" spans="15:15" x14ac:dyDescent="0.25">
      <c r="O4274" s="20" t="str">
        <f>IF(N4274="","",COUNTIFS(RawData[[Date ]],N4274,RawData[Month List],$Q$6,RawData[Tour/Site],$Q$2,RawData[[Picker ID ]],$Q$3,RawData[Checker ID],$Q$4,RawData[[Error Type ]],$Q$5))</f>
        <v/>
      </c>
    </row>
    <row r="4275" spans="15:15" x14ac:dyDescent="0.25">
      <c r="O4275" s="20" t="str">
        <f>IF(N4275="","",COUNTIFS(RawData[[Date ]],N4275,RawData[Month List],$Q$6,RawData[Tour/Site],$Q$2,RawData[[Picker ID ]],$Q$3,RawData[Checker ID],$Q$4,RawData[[Error Type ]],$Q$5))</f>
        <v/>
      </c>
    </row>
    <row r="4276" spans="15:15" x14ac:dyDescent="0.25">
      <c r="O4276" s="20" t="str">
        <f>IF(N4276="","",COUNTIFS(RawData[[Date ]],N4276,RawData[Month List],$Q$6,RawData[Tour/Site],$Q$2,RawData[[Picker ID ]],$Q$3,RawData[Checker ID],$Q$4,RawData[[Error Type ]],$Q$5))</f>
        <v/>
      </c>
    </row>
    <row r="4277" spans="15:15" x14ac:dyDescent="0.25">
      <c r="O4277" s="20" t="str">
        <f>IF(N4277="","",COUNTIFS(RawData[[Date ]],N4277,RawData[Month List],$Q$6,RawData[Tour/Site],$Q$2,RawData[[Picker ID ]],$Q$3,RawData[Checker ID],$Q$4,RawData[[Error Type ]],$Q$5))</f>
        <v/>
      </c>
    </row>
    <row r="4278" spans="15:15" x14ac:dyDescent="0.25">
      <c r="O4278" s="20" t="str">
        <f>IF(N4278="","",COUNTIFS(RawData[[Date ]],N4278,RawData[Month List],$Q$6,RawData[Tour/Site],$Q$2,RawData[[Picker ID ]],$Q$3,RawData[Checker ID],$Q$4,RawData[[Error Type ]],$Q$5))</f>
        <v/>
      </c>
    </row>
    <row r="4279" spans="15:15" x14ac:dyDescent="0.25">
      <c r="O4279" s="20" t="str">
        <f>IF(N4279="","",COUNTIFS(RawData[[Date ]],N4279,RawData[Month List],$Q$6,RawData[Tour/Site],$Q$2,RawData[[Picker ID ]],$Q$3,RawData[Checker ID],$Q$4,RawData[[Error Type ]],$Q$5))</f>
        <v/>
      </c>
    </row>
    <row r="4280" spans="15:15" x14ac:dyDescent="0.25">
      <c r="O4280" s="20" t="str">
        <f>IF(N4280="","",COUNTIFS(RawData[[Date ]],N4280,RawData[Month List],$Q$6,RawData[Tour/Site],$Q$2,RawData[[Picker ID ]],$Q$3,RawData[Checker ID],$Q$4,RawData[[Error Type ]],$Q$5))</f>
        <v/>
      </c>
    </row>
    <row r="4281" spans="15:15" x14ac:dyDescent="0.25">
      <c r="O4281" s="20" t="str">
        <f>IF(N4281="","",COUNTIFS(RawData[[Date ]],N4281,RawData[Month List],$Q$6,RawData[Tour/Site],$Q$2,RawData[[Picker ID ]],$Q$3,RawData[Checker ID],$Q$4,RawData[[Error Type ]],$Q$5))</f>
        <v/>
      </c>
    </row>
    <row r="4282" spans="15:15" x14ac:dyDescent="0.25">
      <c r="O4282" s="20" t="str">
        <f>IF(N4282="","",COUNTIFS(RawData[[Date ]],N4282,RawData[Month List],$Q$6,RawData[Tour/Site],$Q$2,RawData[[Picker ID ]],$Q$3,RawData[Checker ID],$Q$4,RawData[[Error Type ]],$Q$5))</f>
        <v/>
      </c>
    </row>
    <row r="4283" spans="15:15" x14ac:dyDescent="0.25">
      <c r="O4283" s="20" t="str">
        <f>IF(N4283="","",COUNTIFS(RawData[[Date ]],N4283,RawData[Month List],$Q$6,RawData[Tour/Site],$Q$2,RawData[[Picker ID ]],$Q$3,RawData[Checker ID],$Q$4,RawData[[Error Type ]],$Q$5))</f>
        <v/>
      </c>
    </row>
    <row r="4284" spans="15:15" x14ac:dyDescent="0.25">
      <c r="O4284" s="20" t="str">
        <f>IF(N4284="","",COUNTIFS(RawData[[Date ]],N4284,RawData[Month List],$Q$6,RawData[Tour/Site],$Q$2,RawData[[Picker ID ]],$Q$3,RawData[Checker ID],$Q$4,RawData[[Error Type ]],$Q$5))</f>
        <v/>
      </c>
    </row>
    <row r="4285" spans="15:15" x14ac:dyDescent="0.25">
      <c r="O4285" s="20" t="str">
        <f>IF(N4285="","",COUNTIFS(RawData[[Date ]],N4285,RawData[Month List],$Q$6,RawData[Tour/Site],$Q$2,RawData[[Picker ID ]],$Q$3,RawData[Checker ID],$Q$4,RawData[[Error Type ]],$Q$5))</f>
        <v/>
      </c>
    </row>
    <row r="4286" spans="15:15" x14ac:dyDescent="0.25">
      <c r="O4286" s="20" t="str">
        <f>IF(N4286="","",COUNTIFS(RawData[[Date ]],N4286,RawData[Month List],$Q$6,RawData[Tour/Site],$Q$2,RawData[[Picker ID ]],$Q$3,RawData[Checker ID],$Q$4,RawData[[Error Type ]],$Q$5))</f>
        <v/>
      </c>
    </row>
    <row r="4287" spans="15:15" x14ac:dyDescent="0.25">
      <c r="O4287" s="20" t="str">
        <f>IF(N4287="","",COUNTIFS(RawData[[Date ]],N4287,RawData[Month List],$Q$6,RawData[Tour/Site],$Q$2,RawData[[Picker ID ]],$Q$3,RawData[Checker ID],$Q$4,RawData[[Error Type ]],$Q$5))</f>
        <v/>
      </c>
    </row>
    <row r="4288" spans="15:15" x14ac:dyDescent="0.25">
      <c r="O4288" s="20" t="str">
        <f>IF(N4288="","",COUNTIFS(RawData[[Date ]],N4288,RawData[Month List],$Q$6,RawData[Tour/Site],$Q$2,RawData[[Picker ID ]],$Q$3,RawData[Checker ID],$Q$4,RawData[[Error Type ]],$Q$5))</f>
        <v/>
      </c>
    </row>
    <row r="4289" spans="15:15" x14ac:dyDescent="0.25">
      <c r="O4289" s="20" t="str">
        <f>IF(N4289="","",COUNTIFS(RawData[[Date ]],N4289,RawData[Month List],$Q$6,RawData[Tour/Site],$Q$2,RawData[[Picker ID ]],$Q$3,RawData[Checker ID],$Q$4,RawData[[Error Type ]],$Q$5))</f>
        <v/>
      </c>
    </row>
    <row r="4290" spans="15:15" x14ac:dyDescent="0.25">
      <c r="O4290" s="20" t="str">
        <f>IF(N4290="","",COUNTIFS(RawData[[Date ]],N4290,RawData[Month List],$Q$6,RawData[Tour/Site],$Q$2,RawData[[Picker ID ]],$Q$3,RawData[Checker ID],$Q$4,RawData[[Error Type ]],$Q$5))</f>
        <v/>
      </c>
    </row>
    <row r="4291" spans="15:15" x14ac:dyDescent="0.25">
      <c r="O4291" s="20" t="str">
        <f>IF(N4291="","",COUNTIFS(RawData[[Date ]],N4291,RawData[Month List],$Q$6,RawData[Tour/Site],$Q$2,RawData[[Picker ID ]],$Q$3,RawData[Checker ID],$Q$4,RawData[[Error Type ]],$Q$5))</f>
        <v/>
      </c>
    </row>
    <row r="4292" spans="15:15" x14ac:dyDescent="0.25">
      <c r="O4292" s="20" t="str">
        <f>IF(N4292="","",COUNTIFS(RawData[[Date ]],N4292,RawData[Month List],$Q$6,RawData[Tour/Site],$Q$2,RawData[[Picker ID ]],$Q$3,RawData[Checker ID],$Q$4,RawData[[Error Type ]],$Q$5))</f>
        <v/>
      </c>
    </row>
    <row r="4293" spans="15:15" x14ac:dyDescent="0.25">
      <c r="O4293" s="20" t="str">
        <f>IF(N4293="","",COUNTIFS(RawData[[Date ]],N4293,RawData[Month List],$Q$6,RawData[Tour/Site],$Q$2,RawData[[Picker ID ]],$Q$3,RawData[Checker ID],$Q$4,RawData[[Error Type ]],$Q$5))</f>
        <v/>
      </c>
    </row>
    <row r="4294" spans="15:15" x14ac:dyDescent="0.25">
      <c r="O4294" s="20" t="str">
        <f>IF(N4294="","",COUNTIFS(RawData[[Date ]],N4294,RawData[Month List],$Q$6,RawData[Tour/Site],$Q$2,RawData[[Picker ID ]],$Q$3,RawData[Checker ID],$Q$4,RawData[[Error Type ]],$Q$5))</f>
        <v/>
      </c>
    </row>
    <row r="4295" spans="15:15" x14ac:dyDescent="0.25">
      <c r="O4295" s="20" t="str">
        <f>IF(N4295="","",COUNTIFS(RawData[[Date ]],N4295,RawData[Month List],$Q$6,RawData[Tour/Site],$Q$2,RawData[[Picker ID ]],$Q$3,RawData[Checker ID],$Q$4,RawData[[Error Type ]],$Q$5))</f>
        <v/>
      </c>
    </row>
    <row r="4296" spans="15:15" x14ac:dyDescent="0.25">
      <c r="O4296" s="20" t="str">
        <f>IF(N4296="","",COUNTIFS(RawData[[Date ]],N4296,RawData[Month List],$Q$6,RawData[Tour/Site],$Q$2,RawData[[Picker ID ]],$Q$3,RawData[Checker ID],$Q$4,RawData[[Error Type ]],$Q$5))</f>
        <v/>
      </c>
    </row>
    <row r="4297" spans="15:15" x14ac:dyDescent="0.25">
      <c r="O4297" s="20" t="str">
        <f>IF(N4297="","",COUNTIFS(RawData[[Date ]],N4297,RawData[Month List],$Q$6,RawData[Tour/Site],$Q$2,RawData[[Picker ID ]],$Q$3,RawData[Checker ID],$Q$4,RawData[[Error Type ]],$Q$5))</f>
        <v/>
      </c>
    </row>
    <row r="4298" spans="15:15" x14ac:dyDescent="0.25">
      <c r="O4298" s="20" t="str">
        <f>IF(N4298="","",COUNTIFS(RawData[[Date ]],N4298,RawData[Month List],$Q$6,RawData[Tour/Site],$Q$2,RawData[[Picker ID ]],$Q$3,RawData[Checker ID],$Q$4,RawData[[Error Type ]],$Q$5))</f>
        <v/>
      </c>
    </row>
    <row r="4299" spans="15:15" x14ac:dyDescent="0.25">
      <c r="O4299" s="20" t="str">
        <f>IF(N4299="","",COUNTIFS(RawData[[Date ]],N4299,RawData[Month List],$Q$6,RawData[Tour/Site],$Q$2,RawData[[Picker ID ]],$Q$3,RawData[Checker ID],$Q$4,RawData[[Error Type ]],$Q$5))</f>
        <v/>
      </c>
    </row>
    <row r="4300" spans="15:15" x14ac:dyDescent="0.25">
      <c r="O4300" s="20" t="str">
        <f>IF(N4300="","",COUNTIFS(RawData[[Date ]],N4300,RawData[Month List],$Q$6,RawData[Tour/Site],$Q$2,RawData[[Picker ID ]],$Q$3,RawData[Checker ID],$Q$4,RawData[[Error Type ]],$Q$5))</f>
        <v/>
      </c>
    </row>
    <row r="4301" spans="15:15" x14ac:dyDescent="0.25">
      <c r="O4301" s="20" t="str">
        <f>IF(N4301="","",COUNTIFS(RawData[[Date ]],N4301,RawData[Month List],$Q$6,RawData[Tour/Site],$Q$2,RawData[[Picker ID ]],$Q$3,RawData[Checker ID],$Q$4,RawData[[Error Type ]],$Q$5))</f>
        <v/>
      </c>
    </row>
    <row r="4302" spans="15:15" x14ac:dyDescent="0.25">
      <c r="O4302" s="20" t="str">
        <f>IF(N4302="","",COUNTIFS(RawData[[Date ]],N4302,RawData[Month List],$Q$6,RawData[Tour/Site],$Q$2,RawData[[Picker ID ]],$Q$3,RawData[Checker ID],$Q$4,RawData[[Error Type ]],$Q$5))</f>
        <v/>
      </c>
    </row>
    <row r="4303" spans="15:15" x14ac:dyDescent="0.25">
      <c r="O4303" s="20" t="str">
        <f>IF(N4303="","",COUNTIFS(RawData[[Date ]],N4303,RawData[Month List],$Q$6,RawData[Tour/Site],$Q$2,RawData[[Picker ID ]],$Q$3,RawData[Checker ID],$Q$4,RawData[[Error Type ]],$Q$5))</f>
        <v/>
      </c>
    </row>
    <row r="4304" spans="15:15" x14ac:dyDescent="0.25">
      <c r="O4304" s="20" t="str">
        <f>IF(N4304="","",COUNTIFS(RawData[[Date ]],N4304,RawData[Month List],$Q$6,RawData[Tour/Site],$Q$2,RawData[[Picker ID ]],$Q$3,RawData[Checker ID],$Q$4,RawData[[Error Type ]],$Q$5))</f>
        <v/>
      </c>
    </row>
    <row r="4305" spans="15:15" x14ac:dyDescent="0.25">
      <c r="O4305" s="20" t="str">
        <f>IF(N4305="","",COUNTIFS(RawData[[Date ]],N4305,RawData[Month List],$Q$6,RawData[Tour/Site],$Q$2,RawData[[Picker ID ]],$Q$3,RawData[Checker ID],$Q$4,RawData[[Error Type ]],$Q$5))</f>
        <v/>
      </c>
    </row>
    <row r="4306" spans="15:15" x14ac:dyDescent="0.25">
      <c r="O4306" s="20" t="str">
        <f>IF(N4306="","",COUNTIFS(RawData[[Date ]],N4306,RawData[Month List],$Q$6,RawData[Tour/Site],$Q$2,RawData[[Picker ID ]],$Q$3,RawData[Checker ID],$Q$4,RawData[[Error Type ]],$Q$5))</f>
        <v/>
      </c>
    </row>
    <row r="4307" spans="15:15" x14ac:dyDescent="0.25">
      <c r="O4307" s="20" t="str">
        <f>IF(N4307="","",COUNTIFS(RawData[[Date ]],N4307,RawData[Month List],$Q$6,RawData[Tour/Site],$Q$2,RawData[[Picker ID ]],$Q$3,RawData[Checker ID],$Q$4,RawData[[Error Type ]],$Q$5))</f>
        <v/>
      </c>
    </row>
    <row r="4308" spans="15:15" x14ac:dyDescent="0.25">
      <c r="O4308" s="20" t="str">
        <f>IF(N4308="","",COUNTIFS(RawData[[Date ]],N4308,RawData[Month List],$Q$6,RawData[Tour/Site],$Q$2,RawData[[Picker ID ]],$Q$3,RawData[Checker ID],$Q$4,RawData[[Error Type ]],$Q$5))</f>
        <v/>
      </c>
    </row>
    <row r="4309" spans="15:15" x14ac:dyDescent="0.25">
      <c r="O4309" s="20" t="str">
        <f>IF(N4309="","",COUNTIFS(RawData[[Date ]],N4309,RawData[Month List],$Q$6,RawData[Tour/Site],$Q$2,RawData[[Picker ID ]],$Q$3,RawData[Checker ID],$Q$4,RawData[[Error Type ]],$Q$5))</f>
        <v/>
      </c>
    </row>
    <row r="4310" spans="15:15" x14ac:dyDescent="0.25">
      <c r="O4310" s="20" t="str">
        <f>IF(N4310="","",COUNTIFS(RawData[[Date ]],N4310,RawData[Month List],$Q$6,RawData[Tour/Site],$Q$2,RawData[[Picker ID ]],$Q$3,RawData[Checker ID],$Q$4,RawData[[Error Type ]],$Q$5))</f>
        <v/>
      </c>
    </row>
    <row r="4311" spans="15:15" x14ac:dyDescent="0.25">
      <c r="O4311" s="20" t="str">
        <f>IF(N4311="","",COUNTIFS(RawData[[Date ]],N4311,RawData[Month List],$Q$6,RawData[Tour/Site],$Q$2,RawData[[Picker ID ]],$Q$3,RawData[Checker ID],$Q$4,RawData[[Error Type ]],$Q$5))</f>
        <v/>
      </c>
    </row>
    <row r="4312" spans="15:15" x14ac:dyDescent="0.25">
      <c r="O4312" s="20" t="str">
        <f>IF(N4312="","",COUNTIFS(RawData[[Date ]],N4312,RawData[Month List],$Q$6,RawData[Tour/Site],$Q$2,RawData[[Picker ID ]],$Q$3,RawData[Checker ID],$Q$4,RawData[[Error Type ]],$Q$5))</f>
        <v/>
      </c>
    </row>
    <row r="4313" spans="15:15" x14ac:dyDescent="0.25">
      <c r="O4313" s="20" t="str">
        <f>IF(N4313="","",COUNTIFS(RawData[[Date ]],N4313,RawData[Month List],$Q$6,RawData[Tour/Site],$Q$2,RawData[[Picker ID ]],$Q$3,RawData[Checker ID],$Q$4,RawData[[Error Type ]],$Q$5))</f>
        <v/>
      </c>
    </row>
    <row r="4314" spans="15:15" x14ac:dyDescent="0.25">
      <c r="O4314" s="20" t="str">
        <f>IF(N4314="","",COUNTIFS(RawData[[Date ]],N4314,RawData[Month List],$Q$6,RawData[Tour/Site],$Q$2,RawData[[Picker ID ]],$Q$3,RawData[Checker ID],$Q$4,RawData[[Error Type ]],$Q$5))</f>
        <v/>
      </c>
    </row>
    <row r="4315" spans="15:15" x14ac:dyDescent="0.25">
      <c r="O4315" s="20" t="str">
        <f>IF(N4315="","",COUNTIFS(RawData[[Date ]],N4315,RawData[Month List],$Q$6,RawData[Tour/Site],$Q$2,RawData[[Picker ID ]],$Q$3,RawData[Checker ID],$Q$4,RawData[[Error Type ]],$Q$5))</f>
        <v/>
      </c>
    </row>
    <row r="4316" spans="15:15" x14ac:dyDescent="0.25">
      <c r="O4316" s="20" t="str">
        <f>IF(N4316="","",COUNTIFS(RawData[[Date ]],N4316,RawData[Month List],$Q$6,RawData[Tour/Site],$Q$2,RawData[[Picker ID ]],$Q$3,RawData[Checker ID],$Q$4,RawData[[Error Type ]],$Q$5))</f>
        <v/>
      </c>
    </row>
    <row r="4317" spans="15:15" x14ac:dyDescent="0.25">
      <c r="O4317" s="20" t="str">
        <f>IF(N4317="","",COUNTIFS(RawData[[Date ]],N4317,RawData[Month List],$Q$6,RawData[Tour/Site],$Q$2,RawData[[Picker ID ]],$Q$3,RawData[Checker ID],$Q$4,RawData[[Error Type ]],$Q$5))</f>
        <v/>
      </c>
    </row>
    <row r="4318" spans="15:15" x14ac:dyDescent="0.25">
      <c r="O4318" s="20" t="str">
        <f>IF(N4318="","",COUNTIFS(RawData[[Date ]],N4318,RawData[Month List],$Q$6,RawData[Tour/Site],$Q$2,RawData[[Picker ID ]],$Q$3,RawData[Checker ID],$Q$4,RawData[[Error Type ]],$Q$5))</f>
        <v/>
      </c>
    </row>
    <row r="4319" spans="15:15" x14ac:dyDescent="0.25">
      <c r="O4319" s="20" t="str">
        <f>IF(N4319="","",COUNTIFS(RawData[[Date ]],N4319,RawData[Month List],$Q$6,RawData[Tour/Site],$Q$2,RawData[[Picker ID ]],$Q$3,RawData[Checker ID],$Q$4,RawData[[Error Type ]],$Q$5))</f>
        <v/>
      </c>
    </row>
    <row r="4320" spans="15:15" x14ac:dyDescent="0.25">
      <c r="O4320" s="20" t="str">
        <f>IF(N4320="","",COUNTIFS(RawData[[Date ]],N4320,RawData[Month List],$Q$6,RawData[Tour/Site],$Q$2,RawData[[Picker ID ]],$Q$3,RawData[Checker ID],$Q$4,RawData[[Error Type ]],$Q$5))</f>
        <v/>
      </c>
    </row>
    <row r="4321" spans="15:15" x14ac:dyDescent="0.25">
      <c r="O4321" s="20" t="str">
        <f>IF(N4321="","",COUNTIFS(RawData[[Date ]],N4321,RawData[Month List],$Q$6,RawData[Tour/Site],$Q$2,RawData[[Picker ID ]],$Q$3,RawData[Checker ID],$Q$4,RawData[[Error Type ]],$Q$5))</f>
        <v/>
      </c>
    </row>
    <row r="4322" spans="15:15" x14ac:dyDescent="0.25">
      <c r="O4322" s="20" t="str">
        <f>IF(N4322="","",COUNTIFS(RawData[[Date ]],N4322,RawData[Month List],$Q$6,RawData[Tour/Site],$Q$2,RawData[[Picker ID ]],$Q$3,RawData[Checker ID],$Q$4,RawData[[Error Type ]],$Q$5))</f>
        <v/>
      </c>
    </row>
    <row r="4323" spans="15:15" x14ac:dyDescent="0.25">
      <c r="O4323" s="20" t="str">
        <f>IF(N4323="","",COUNTIFS(RawData[[Date ]],N4323,RawData[Month List],$Q$6,RawData[Tour/Site],$Q$2,RawData[[Picker ID ]],$Q$3,RawData[Checker ID],$Q$4,RawData[[Error Type ]],$Q$5))</f>
        <v/>
      </c>
    </row>
    <row r="4324" spans="15:15" x14ac:dyDescent="0.25">
      <c r="O4324" s="20" t="str">
        <f>IF(N4324="","",COUNTIFS(RawData[[Date ]],N4324,RawData[Month List],$Q$6,RawData[Tour/Site],$Q$2,RawData[[Picker ID ]],$Q$3,RawData[Checker ID],$Q$4,RawData[[Error Type ]],$Q$5))</f>
        <v/>
      </c>
    </row>
    <row r="4325" spans="15:15" x14ac:dyDescent="0.25">
      <c r="O4325" s="20" t="str">
        <f>IF(N4325="","",COUNTIFS(RawData[[Date ]],N4325,RawData[Month List],$Q$6,RawData[Tour/Site],$Q$2,RawData[[Picker ID ]],$Q$3,RawData[Checker ID],$Q$4,RawData[[Error Type ]],$Q$5))</f>
        <v/>
      </c>
    </row>
    <row r="4326" spans="15:15" x14ac:dyDescent="0.25">
      <c r="O4326" s="20" t="str">
        <f>IF(N4326="","",COUNTIFS(RawData[[Date ]],N4326,RawData[Month List],$Q$6,RawData[Tour/Site],$Q$2,RawData[[Picker ID ]],$Q$3,RawData[Checker ID],$Q$4,RawData[[Error Type ]],$Q$5))</f>
        <v/>
      </c>
    </row>
    <row r="4327" spans="15:15" x14ac:dyDescent="0.25">
      <c r="O4327" s="20" t="str">
        <f>IF(N4327="","",COUNTIFS(RawData[[Date ]],N4327,RawData[Month List],$Q$6,RawData[Tour/Site],$Q$2,RawData[[Picker ID ]],$Q$3,RawData[Checker ID],$Q$4,RawData[[Error Type ]],$Q$5))</f>
        <v/>
      </c>
    </row>
    <row r="4328" spans="15:15" x14ac:dyDescent="0.25">
      <c r="O4328" s="20" t="str">
        <f>IF(N4328="","",COUNTIFS(RawData[[Date ]],N4328,RawData[Month List],$Q$6,RawData[Tour/Site],$Q$2,RawData[[Picker ID ]],$Q$3,RawData[Checker ID],$Q$4,RawData[[Error Type ]],$Q$5))</f>
        <v/>
      </c>
    </row>
    <row r="4329" spans="15:15" x14ac:dyDescent="0.25">
      <c r="O4329" s="20" t="str">
        <f>IF(N4329="","",COUNTIFS(RawData[[Date ]],N4329,RawData[Month List],$Q$6,RawData[Tour/Site],$Q$2,RawData[[Picker ID ]],$Q$3,RawData[Checker ID],$Q$4,RawData[[Error Type ]],$Q$5))</f>
        <v/>
      </c>
    </row>
    <row r="4330" spans="15:15" x14ac:dyDescent="0.25">
      <c r="O4330" s="20" t="str">
        <f>IF(N4330="","",COUNTIFS(RawData[[Date ]],N4330,RawData[Month List],$Q$6,RawData[Tour/Site],$Q$2,RawData[[Picker ID ]],$Q$3,RawData[Checker ID],$Q$4,RawData[[Error Type ]],$Q$5))</f>
        <v/>
      </c>
    </row>
    <row r="4331" spans="15:15" x14ac:dyDescent="0.25">
      <c r="O4331" s="20" t="str">
        <f>IF(N4331="","",COUNTIFS(RawData[[Date ]],N4331,RawData[Month List],$Q$6,RawData[Tour/Site],$Q$2,RawData[[Picker ID ]],$Q$3,RawData[Checker ID],$Q$4,RawData[[Error Type ]],$Q$5))</f>
        <v/>
      </c>
    </row>
    <row r="4332" spans="15:15" x14ac:dyDescent="0.25">
      <c r="O4332" s="20" t="str">
        <f>IF(N4332="","",COUNTIFS(RawData[[Date ]],N4332,RawData[Month List],$Q$6,RawData[Tour/Site],$Q$2,RawData[[Picker ID ]],$Q$3,RawData[Checker ID],$Q$4,RawData[[Error Type ]],$Q$5))</f>
        <v/>
      </c>
    </row>
    <row r="4333" spans="15:15" x14ac:dyDescent="0.25">
      <c r="O4333" s="20" t="str">
        <f>IF(N4333="","",COUNTIFS(RawData[[Date ]],N4333,RawData[Month List],$Q$6,RawData[Tour/Site],$Q$2,RawData[[Picker ID ]],$Q$3,RawData[Checker ID],$Q$4,RawData[[Error Type ]],$Q$5))</f>
        <v/>
      </c>
    </row>
    <row r="4334" spans="15:15" x14ac:dyDescent="0.25">
      <c r="O4334" s="20" t="str">
        <f>IF(N4334="","",COUNTIFS(RawData[[Date ]],N4334,RawData[Month List],$Q$6,RawData[Tour/Site],$Q$2,RawData[[Picker ID ]],$Q$3,RawData[Checker ID],$Q$4,RawData[[Error Type ]],$Q$5))</f>
        <v/>
      </c>
    </row>
    <row r="4335" spans="15:15" x14ac:dyDescent="0.25">
      <c r="O4335" s="20" t="str">
        <f>IF(N4335="","",COUNTIFS(RawData[[Date ]],N4335,RawData[Month List],$Q$6,RawData[Tour/Site],$Q$2,RawData[[Picker ID ]],$Q$3,RawData[Checker ID],$Q$4,RawData[[Error Type ]],$Q$5))</f>
        <v/>
      </c>
    </row>
    <row r="4336" spans="15:15" x14ac:dyDescent="0.25">
      <c r="O4336" s="20" t="str">
        <f>IF(N4336="","",COUNTIFS(RawData[[Date ]],N4336,RawData[Month List],$Q$6,RawData[Tour/Site],$Q$2,RawData[[Picker ID ]],$Q$3,RawData[Checker ID],$Q$4,RawData[[Error Type ]],$Q$5))</f>
        <v/>
      </c>
    </row>
    <row r="4337" spans="15:15" x14ac:dyDescent="0.25">
      <c r="O4337" s="20" t="str">
        <f>IF(N4337="","",COUNTIFS(RawData[[Date ]],N4337,RawData[Month List],$Q$6,RawData[Tour/Site],$Q$2,RawData[[Picker ID ]],$Q$3,RawData[Checker ID],$Q$4,RawData[[Error Type ]],$Q$5))</f>
        <v/>
      </c>
    </row>
    <row r="4338" spans="15:15" x14ac:dyDescent="0.25">
      <c r="O4338" s="20" t="str">
        <f>IF(N4338="","",COUNTIFS(RawData[[Date ]],N4338,RawData[Month List],$Q$6,RawData[Tour/Site],$Q$2,RawData[[Picker ID ]],$Q$3,RawData[Checker ID],$Q$4,RawData[[Error Type ]],$Q$5))</f>
        <v/>
      </c>
    </row>
    <row r="4339" spans="15:15" x14ac:dyDescent="0.25">
      <c r="O4339" s="20" t="str">
        <f>IF(N4339="","",COUNTIFS(RawData[[Date ]],N4339,RawData[Month List],$Q$6,RawData[Tour/Site],$Q$2,RawData[[Picker ID ]],$Q$3,RawData[Checker ID],$Q$4,RawData[[Error Type ]],$Q$5))</f>
        <v/>
      </c>
    </row>
    <row r="4340" spans="15:15" x14ac:dyDescent="0.25">
      <c r="O4340" s="20" t="str">
        <f>IF(N4340="","",COUNTIFS(RawData[[Date ]],N4340,RawData[Month List],$Q$6,RawData[Tour/Site],$Q$2,RawData[[Picker ID ]],$Q$3,RawData[Checker ID],$Q$4,RawData[[Error Type ]],$Q$5))</f>
        <v/>
      </c>
    </row>
    <row r="4341" spans="15:15" x14ac:dyDescent="0.25">
      <c r="O4341" s="20" t="str">
        <f>IF(N4341="","",COUNTIFS(RawData[[Date ]],N4341,RawData[Month List],$Q$6,RawData[Tour/Site],$Q$2,RawData[[Picker ID ]],$Q$3,RawData[Checker ID],$Q$4,RawData[[Error Type ]],$Q$5))</f>
        <v/>
      </c>
    </row>
    <row r="4342" spans="15:15" x14ac:dyDescent="0.25">
      <c r="O4342" s="20" t="str">
        <f>IF(N4342="","",COUNTIFS(RawData[[Date ]],N4342,RawData[Month List],$Q$6,RawData[Tour/Site],$Q$2,RawData[[Picker ID ]],$Q$3,RawData[Checker ID],$Q$4,RawData[[Error Type ]],$Q$5))</f>
        <v/>
      </c>
    </row>
    <row r="4343" spans="15:15" x14ac:dyDescent="0.25">
      <c r="O4343" s="20" t="str">
        <f>IF(N4343="","",COUNTIFS(RawData[[Date ]],N4343,RawData[Month List],$Q$6,RawData[Tour/Site],$Q$2,RawData[[Picker ID ]],$Q$3,RawData[Checker ID],$Q$4,RawData[[Error Type ]],$Q$5))</f>
        <v/>
      </c>
    </row>
    <row r="4344" spans="15:15" x14ac:dyDescent="0.25">
      <c r="O4344" s="20" t="str">
        <f>IF(N4344="","",COUNTIFS(RawData[[Date ]],N4344,RawData[Month List],$Q$6,RawData[Tour/Site],$Q$2,RawData[[Picker ID ]],$Q$3,RawData[Checker ID],$Q$4,RawData[[Error Type ]],$Q$5))</f>
        <v/>
      </c>
    </row>
    <row r="4345" spans="15:15" x14ac:dyDescent="0.25">
      <c r="O4345" s="20" t="str">
        <f>IF(N4345="","",COUNTIFS(RawData[[Date ]],N4345,RawData[Month List],$Q$6,RawData[Tour/Site],$Q$2,RawData[[Picker ID ]],$Q$3,RawData[Checker ID],$Q$4,RawData[[Error Type ]],$Q$5))</f>
        <v/>
      </c>
    </row>
    <row r="4346" spans="15:15" x14ac:dyDescent="0.25">
      <c r="O4346" s="20" t="str">
        <f>IF(N4346="","",COUNTIFS(RawData[[Date ]],N4346,RawData[Month List],$Q$6,RawData[Tour/Site],$Q$2,RawData[[Picker ID ]],$Q$3,RawData[Checker ID],$Q$4,RawData[[Error Type ]],$Q$5))</f>
        <v/>
      </c>
    </row>
    <row r="4347" spans="15:15" x14ac:dyDescent="0.25">
      <c r="O4347" s="20" t="str">
        <f>IF(N4347="","",COUNTIFS(RawData[[Date ]],N4347,RawData[Month List],$Q$6,RawData[Tour/Site],$Q$2,RawData[[Picker ID ]],$Q$3,RawData[Checker ID],$Q$4,RawData[[Error Type ]],$Q$5))</f>
        <v/>
      </c>
    </row>
    <row r="4348" spans="15:15" x14ac:dyDescent="0.25">
      <c r="O4348" s="20" t="str">
        <f>IF(N4348="","",COUNTIFS(RawData[[Date ]],N4348,RawData[Month List],$Q$6,RawData[Tour/Site],$Q$2,RawData[[Picker ID ]],$Q$3,RawData[Checker ID],$Q$4,RawData[[Error Type ]],$Q$5))</f>
        <v/>
      </c>
    </row>
    <row r="4349" spans="15:15" x14ac:dyDescent="0.25">
      <c r="O4349" s="20" t="str">
        <f>IF(N4349="","",COUNTIFS(RawData[[Date ]],N4349,RawData[Month List],$Q$6,RawData[Tour/Site],$Q$2,RawData[[Picker ID ]],$Q$3,RawData[Checker ID],$Q$4,RawData[[Error Type ]],$Q$5))</f>
        <v/>
      </c>
    </row>
    <row r="4350" spans="15:15" x14ac:dyDescent="0.25">
      <c r="O4350" s="20" t="str">
        <f>IF(N4350="","",COUNTIFS(RawData[[Date ]],N4350,RawData[Month List],$Q$6,RawData[Tour/Site],$Q$2,RawData[[Picker ID ]],$Q$3,RawData[Checker ID],$Q$4,RawData[[Error Type ]],$Q$5))</f>
        <v/>
      </c>
    </row>
    <row r="4351" spans="15:15" x14ac:dyDescent="0.25">
      <c r="O4351" s="20" t="str">
        <f>IF(N4351="","",COUNTIFS(RawData[[Date ]],N4351,RawData[Month List],$Q$6,RawData[Tour/Site],$Q$2,RawData[[Picker ID ]],$Q$3,RawData[Checker ID],$Q$4,RawData[[Error Type ]],$Q$5))</f>
        <v/>
      </c>
    </row>
    <row r="4352" spans="15:15" x14ac:dyDescent="0.25">
      <c r="O4352" s="20" t="str">
        <f>IF(N4352="","",COUNTIFS(RawData[[Date ]],N4352,RawData[Month List],$Q$6,RawData[Tour/Site],$Q$2,RawData[[Picker ID ]],$Q$3,RawData[Checker ID],$Q$4,RawData[[Error Type ]],$Q$5))</f>
        <v/>
      </c>
    </row>
    <row r="4353" spans="15:15" x14ac:dyDescent="0.25">
      <c r="O4353" s="20" t="str">
        <f>IF(N4353="","",COUNTIFS(RawData[[Date ]],N4353,RawData[Month List],$Q$6,RawData[Tour/Site],$Q$2,RawData[[Picker ID ]],$Q$3,RawData[Checker ID],$Q$4,RawData[[Error Type ]],$Q$5))</f>
        <v/>
      </c>
    </row>
    <row r="4354" spans="15:15" x14ac:dyDescent="0.25">
      <c r="O4354" s="20" t="str">
        <f>IF(N4354="","",COUNTIFS(RawData[[Date ]],N4354,RawData[Month List],$Q$6,RawData[Tour/Site],$Q$2,RawData[[Picker ID ]],$Q$3,RawData[Checker ID],$Q$4,RawData[[Error Type ]],$Q$5))</f>
        <v/>
      </c>
    </row>
    <row r="4355" spans="15:15" x14ac:dyDescent="0.25">
      <c r="O4355" s="20" t="str">
        <f>IF(N4355="","",COUNTIFS(RawData[[Date ]],N4355,RawData[Month List],$Q$6,RawData[Tour/Site],$Q$2,RawData[[Picker ID ]],$Q$3,RawData[Checker ID],$Q$4,RawData[[Error Type ]],$Q$5))</f>
        <v/>
      </c>
    </row>
    <row r="4356" spans="15:15" x14ac:dyDescent="0.25">
      <c r="O4356" s="20" t="str">
        <f>IF(N4356="","",COUNTIFS(RawData[[Date ]],N4356,RawData[Month List],$Q$6,RawData[Tour/Site],$Q$2,RawData[[Picker ID ]],$Q$3,RawData[Checker ID],$Q$4,RawData[[Error Type ]],$Q$5))</f>
        <v/>
      </c>
    </row>
    <row r="4357" spans="15:15" x14ac:dyDescent="0.25">
      <c r="O4357" s="20" t="str">
        <f>IF(N4357="","",COUNTIFS(RawData[[Date ]],N4357,RawData[Month List],$Q$6,RawData[Tour/Site],$Q$2,RawData[[Picker ID ]],$Q$3,RawData[Checker ID],$Q$4,RawData[[Error Type ]],$Q$5))</f>
        <v/>
      </c>
    </row>
    <row r="4358" spans="15:15" x14ac:dyDescent="0.25">
      <c r="O4358" s="20" t="str">
        <f>IF(N4358="","",COUNTIFS(RawData[[Date ]],N4358,RawData[Month List],$Q$6,RawData[Tour/Site],$Q$2,RawData[[Picker ID ]],$Q$3,RawData[Checker ID],$Q$4,RawData[[Error Type ]],$Q$5))</f>
        <v/>
      </c>
    </row>
    <row r="4359" spans="15:15" x14ac:dyDescent="0.25">
      <c r="O4359" s="20" t="str">
        <f>IF(N4359="","",COUNTIFS(RawData[[Date ]],N4359,RawData[Month List],$Q$6,RawData[Tour/Site],$Q$2,RawData[[Picker ID ]],$Q$3,RawData[Checker ID],$Q$4,RawData[[Error Type ]],$Q$5))</f>
        <v/>
      </c>
    </row>
    <row r="4360" spans="15:15" x14ac:dyDescent="0.25">
      <c r="O4360" s="20" t="str">
        <f>IF(N4360="","",COUNTIFS(RawData[[Date ]],N4360,RawData[Month List],$Q$6,RawData[Tour/Site],$Q$2,RawData[[Picker ID ]],$Q$3,RawData[Checker ID],$Q$4,RawData[[Error Type ]],$Q$5))</f>
        <v/>
      </c>
    </row>
    <row r="4361" spans="15:15" x14ac:dyDescent="0.25">
      <c r="O4361" s="20" t="str">
        <f>IF(N4361="","",COUNTIFS(RawData[[Date ]],N4361,RawData[Month List],$Q$6,RawData[Tour/Site],$Q$2,RawData[[Picker ID ]],$Q$3,RawData[Checker ID],$Q$4,RawData[[Error Type ]],$Q$5))</f>
        <v/>
      </c>
    </row>
    <row r="4362" spans="15:15" x14ac:dyDescent="0.25">
      <c r="O4362" s="20" t="str">
        <f>IF(N4362="","",COUNTIFS(RawData[[Date ]],N4362,RawData[Month List],$Q$6,RawData[Tour/Site],$Q$2,RawData[[Picker ID ]],$Q$3,RawData[Checker ID],$Q$4,RawData[[Error Type ]],$Q$5))</f>
        <v/>
      </c>
    </row>
    <row r="4363" spans="15:15" x14ac:dyDescent="0.25">
      <c r="O4363" s="20" t="str">
        <f>IF(N4363="","",COUNTIFS(RawData[[Date ]],N4363,RawData[Month List],$Q$6,RawData[Tour/Site],$Q$2,RawData[[Picker ID ]],$Q$3,RawData[Checker ID],$Q$4,RawData[[Error Type ]],$Q$5))</f>
        <v/>
      </c>
    </row>
    <row r="4364" spans="15:15" x14ac:dyDescent="0.25">
      <c r="O4364" s="20" t="str">
        <f>IF(N4364="","",COUNTIFS(RawData[[Date ]],N4364,RawData[Month List],$Q$6,RawData[Tour/Site],$Q$2,RawData[[Picker ID ]],$Q$3,RawData[Checker ID],$Q$4,RawData[[Error Type ]],$Q$5))</f>
        <v/>
      </c>
    </row>
    <row r="4365" spans="15:15" x14ac:dyDescent="0.25">
      <c r="O4365" s="20" t="str">
        <f>IF(N4365="","",COUNTIFS(RawData[[Date ]],N4365,RawData[Month List],$Q$6,RawData[Tour/Site],$Q$2,RawData[[Picker ID ]],$Q$3,RawData[Checker ID],$Q$4,RawData[[Error Type ]],$Q$5))</f>
        <v/>
      </c>
    </row>
    <row r="4366" spans="15:15" x14ac:dyDescent="0.25">
      <c r="O4366" s="20" t="str">
        <f>IF(N4366="","",COUNTIFS(RawData[[Date ]],N4366,RawData[Month List],$Q$6,RawData[Tour/Site],$Q$2,RawData[[Picker ID ]],$Q$3,RawData[Checker ID],$Q$4,RawData[[Error Type ]],$Q$5))</f>
        <v/>
      </c>
    </row>
    <row r="4367" spans="15:15" x14ac:dyDescent="0.25">
      <c r="O4367" s="20" t="str">
        <f>IF(N4367="","",COUNTIFS(RawData[[Date ]],N4367,RawData[Month List],$Q$6,RawData[Tour/Site],$Q$2,RawData[[Picker ID ]],$Q$3,RawData[Checker ID],$Q$4,RawData[[Error Type ]],$Q$5))</f>
        <v/>
      </c>
    </row>
    <row r="4368" spans="15:15" x14ac:dyDescent="0.25">
      <c r="O4368" s="20" t="str">
        <f>IF(N4368="","",COUNTIFS(RawData[[Date ]],N4368,RawData[Month List],$Q$6,RawData[Tour/Site],$Q$2,RawData[[Picker ID ]],$Q$3,RawData[Checker ID],$Q$4,RawData[[Error Type ]],$Q$5))</f>
        <v/>
      </c>
    </row>
    <row r="4369" spans="15:15" x14ac:dyDescent="0.25">
      <c r="O4369" s="20" t="str">
        <f>IF(N4369="","",COUNTIFS(RawData[[Date ]],N4369,RawData[Month List],$Q$6,RawData[Tour/Site],$Q$2,RawData[[Picker ID ]],$Q$3,RawData[Checker ID],$Q$4,RawData[[Error Type ]],$Q$5))</f>
        <v/>
      </c>
    </row>
    <row r="4370" spans="15:15" x14ac:dyDescent="0.25">
      <c r="O4370" s="20" t="str">
        <f>IF(N4370="","",COUNTIFS(RawData[[Date ]],N4370,RawData[Month List],$Q$6,RawData[Tour/Site],$Q$2,RawData[[Picker ID ]],$Q$3,RawData[Checker ID],$Q$4,RawData[[Error Type ]],$Q$5))</f>
        <v/>
      </c>
    </row>
    <row r="4371" spans="15:15" x14ac:dyDescent="0.25">
      <c r="O4371" s="20" t="str">
        <f>IF(N4371="","",COUNTIFS(RawData[[Date ]],N4371,RawData[Month List],$Q$6,RawData[Tour/Site],$Q$2,RawData[[Picker ID ]],$Q$3,RawData[Checker ID],$Q$4,RawData[[Error Type ]],$Q$5))</f>
        <v/>
      </c>
    </row>
    <row r="4372" spans="15:15" x14ac:dyDescent="0.25">
      <c r="O4372" s="20" t="str">
        <f>IF(N4372="","",COUNTIFS(RawData[[Date ]],N4372,RawData[Month List],$Q$6,RawData[Tour/Site],$Q$2,RawData[[Picker ID ]],$Q$3,RawData[Checker ID],$Q$4,RawData[[Error Type ]],$Q$5))</f>
        <v/>
      </c>
    </row>
    <row r="4373" spans="15:15" x14ac:dyDescent="0.25">
      <c r="O4373" s="20" t="str">
        <f>IF(N4373="","",COUNTIFS(RawData[[Date ]],N4373,RawData[Month List],$Q$6,RawData[Tour/Site],$Q$2,RawData[[Picker ID ]],$Q$3,RawData[Checker ID],$Q$4,RawData[[Error Type ]],$Q$5))</f>
        <v/>
      </c>
    </row>
    <row r="4374" spans="15:15" x14ac:dyDescent="0.25">
      <c r="O4374" s="20" t="str">
        <f>IF(N4374="","",COUNTIFS(RawData[[Date ]],N4374,RawData[Month List],$Q$6,RawData[Tour/Site],$Q$2,RawData[[Picker ID ]],$Q$3,RawData[Checker ID],$Q$4,RawData[[Error Type ]],$Q$5))</f>
        <v/>
      </c>
    </row>
    <row r="4375" spans="15:15" x14ac:dyDescent="0.25">
      <c r="O4375" s="20" t="str">
        <f>IF(N4375="","",COUNTIFS(RawData[[Date ]],N4375,RawData[Month List],$Q$6,RawData[Tour/Site],$Q$2,RawData[[Picker ID ]],$Q$3,RawData[Checker ID],$Q$4,RawData[[Error Type ]],$Q$5))</f>
        <v/>
      </c>
    </row>
    <row r="4376" spans="15:15" x14ac:dyDescent="0.25">
      <c r="O4376" s="20" t="str">
        <f>IF(N4376="","",COUNTIFS(RawData[[Date ]],N4376,RawData[Month List],$Q$6,RawData[Tour/Site],$Q$2,RawData[[Picker ID ]],$Q$3,RawData[Checker ID],$Q$4,RawData[[Error Type ]],$Q$5))</f>
        <v/>
      </c>
    </row>
    <row r="4377" spans="15:15" x14ac:dyDescent="0.25">
      <c r="O4377" s="20" t="str">
        <f>IF(N4377="","",COUNTIFS(RawData[[Date ]],N4377,RawData[Month List],$Q$6,RawData[Tour/Site],$Q$2,RawData[[Picker ID ]],$Q$3,RawData[Checker ID],$Q$4,RawData[[Error Type ]],$Q$5))</f>
        <v/>
      </c>
    </row>
    <row r="4378" spans="15:15" x14ac:dyDescent="0.25">
      <c r="O4378" s="20" t="str">
        <f>IF(N4378="","",COUNTIFS(RawData[[Date ]],N4378,RawData[Month List],$Q$6,RawData[Tour/Site],$Q$2,RawData[[Picker ID ]],$Q$3,RawData[Checker ID],$Q$4,RawData[[Error Type ]],$Q$5))</f>
        <v/>
      </c>
    </row>
    <row r="4379" spans="15:15" x14ac:dyDescent="0.25">
      <c r="O4379" s="20" t="str">
        <f>IF(N4379="","",COUNTIFS(RawData[[Date ]],N4379,RawData[Month List],$Q$6,RawData[Tour/Site],$Q$2,RawData[[Picker ID ]],$Q$3,RawData[Checker ID],$Q$4,RawData[[Error Type ]],$Q$5))</f>
        <v/>
      </c>
    </row>
    <row r="4380" spans="15:15" x14ac:dyDescent="0.25">
      <c r="O4380" s="20" t="str">
        <f>IF(N4380="","",COUNTIFS(RawData[[Date ]],N4380,RawData[Month List],$Q$6,RawData[Tour/Site],$Q$2,RawData[[Picker ID ]],$Q$3,RawData[Checker ID],$Q$4,RawData[[Error Type ]],$Q$5))</f>
        <v/>
      </c>
    </row>
    <row r="4381" spans="15:15" x14ac:dyDescent="0.25">
      <c r="O4381" s="20" t="str">
        <f>IF(N4381="","",COUNTIFS(RawData[[Date ]],N4381,RawData[Month List],$Q$6,RawData[Tour/Site],$Q$2,RawData[[Picker ID ]],$Q$3,RawData[Checker ID],$Q$4,RawData[[Error Type ]],$Q$5))</f>
        <v/>
      </c>
    </row>
    <row r="4382" spans="15:15" x14ac:dyDescent="0.25">
      <c r="O4382" s="20" t="str">
        <f>IF(N4382="","",COUNTIFS(RawData[[Date ]],N4382,RawData[Month List],$Q$6,RawData[Tour/Site],$Q$2,RawData[[Picker ID ]],$Q$3,RawData[Checker ID],$Q$4,RawData[[Error Type ]],$Q$5))</f>
        <v/>
      </c>
    </row>
    <row r="4383" spans="15:15" x14ac:dyDescent="0.25">
      <c r="O4383" s="20" t="str">
        <f>IF(N4383="","",COUNTIFS(RawData[[Date ]],N4383,RawData[Month List],$Q$6,RawData[Tour/Site],$Q$2,RawData[[Picker ID ]],$Q$3,RawData[Checker ID],$Q$4,RawData[[Error Type ]],$Q$5))</f>
        <v/>
      </c>
    </row>
    <row r="4384" spans="15:15" x14ac:dyDescent="0.25">
      <c r="O4384" s="20" t="str">
        <f>IF(N4384="","",COUNTIFS(RawData[[Date ]],N4384,RawData[Month List],$Q$6,RawData[Tour/Site],$Q$2,RawData[[Picker ID ]],$Q$3,RawData[Checker ID],$Q$4,RawData[[Error Type ]],$Q$5))</f>
        <v/>
      </c>
    </row>
    <row r="4385" spans="15:15" x14ac:dyDescent="0.25">
      <c r="O4385" s="20" t="str">
        <f>IF(N4385="","",COUNTIFS(RawData[[Date ]],N4385,RawData[Month List],$Q$6,RawData[Tour/Site],$Q$2,RawData[[Picker ID ]],$Q$3,RawData[Checker ID],$Q$4,RawData[[Error Type ]],$Q$5))</f>
        <v/>
      </c>
    </row>
    <row r="4386" spans="15:15" x14ac:dyDescent="0.25">
      <c r="O4386" s="20" t="str">
        <f>IF(N4386="","",COUNTIFS(RawData[[Date ]],N4386,RawData[Month List],$Q$6,RawData[Tour/Site],$Q$2,RawData[[Picker ID ]],$Q$3,RawData[Checker ID],$Q$4,RawData[[Error Type ]],$Q$5))</f>
        <v/>
      </c>
    </row>
    <row r="4387" spans="15:15" x14ac:dyDescent="0.25">
      <c r="O4387" s="20" t="str">
        <f>IF(N4387="","",COUNTIFS(RawData[[Date ]],N4387,RawData[Month List],$Q$6,RawData[Tour/Site],$Q$2,RawData[[Picker ID ]],$Q$3,RawData[Checker ID],$Q$4,RawData[[Error Type ]],$Q$5))</f>
        <v/>
      </c>
    </row>
    <row r="4388" spans="15:15" x14ac:dyDescent="0.25">
      <c r="O4388" s="20" t="str">
        <f>IF(N4388="","",COUNTIFS(RawData[[Date ]],N4388,RawData[Month List],$Q$6,RawData[Tour/Site],$Q$2,RawData[[Picker ID ]],$Q$3,RawData[Checker ID],$Q$4,RawData[[Error Type ]],$Q$5))</f>
        <v/>
      </c>
    </row>
    <row r="4389" spans="15:15" x14ac:dyDescent="0.25">
      <c r="O4389" s="20" t="str">
        <f>IF(N4389="","",COUNTIFS(RawData[[Date ]],N4389,RawData[Month List],$Q$6,RawData[Tour/Site],$Q$2,RawData[[Picker ID ]],$Q$3,RawData[Checker ID],$Q$4,RawData[[Error Type ]],$Q$5))</f>
        <v/>
      </c>
    </row>
    <row r="4390" spans="15:15" x14ac:dyDescent="0.25">
      <c r="O4390" s="20" t="str">
        <f>IF(N4390="","",COUNTIFS(RawData[[Date ]],N4390,RawData[Month List],$Q$6,RawData[Tour/Site],$Q$2,RawData[[Picker ID ]],$Q$3,RawData[Checker ID],$Q$4,RawData[[Error Type ]],$Q$5))</f>
        <v/>
      </c>
    </row>
    <row r="4391" spans="15:15" x14ac:dyDescent="0.25">
      <c r="O4391" s="20" t="str">
        <f>IF(N4391="","",COUNTIFS(RawData[[Date ]],N4391,RawData[Month List],$Q$6,RawData[Tour/Site],$Q$2,RawData[[Picker ID ]],$Q$3,RawData[Checker ID],$Q$4,RawData[[Error Type ]],$Q$5))</f>
        <v/>
      </c>
    </row>
    <row r="4392" spans="15:15" x14ac:dyDescent="0.25">
      <c r="O4392" s="20" t="str">
        <f>IF(N4392="","",COUNTIFS(RawData[[Date ]],N4392,RawData[Month List],$Q$6,RawData[Tour/Site],$Q$2,RawData[[Picker ID ]],$Q$3,RawData[Checker ID],$Q$4,RawData[[Error Type ]],$Q$5))</f>
        <v/>
      </c>
    </row>
    <row r="4393" spans="15:15" x14ac:dyDescent="0.25">
      <c r="O4393" s="20" t="str">
        <f>IF(N4393="","",COUNTIFS(RawData[[Date ]],N4393,RawData[Month List],$Q$6,RawData[Tour/Site],$Q$2,RawData[[Picker ID ]],$Q$3,RawData[Checker ID],$Q$4,RawData[[Error Type ]],$Q$5))</f>
        <v/>
      </c>
    </row>
    <row r="4394" spans="15:15" x14ac:dyDescent="0.25">
      <c r="O4394" s="20" t="str">
        <f>IF(N4394="","",COUNTIFS(RawData[[Date ]],N4394,RawData[Month List],$Q$6,RawData[Tour/Site],$Q$2,RawData[[Picker ID ]],$Q$3,RawData[Checker ID],$Q$4,RawData[[Error Type ]],$Q$5))</f>
        <v/>
      </c>
    </row>
    <row r="4395" spans="15:15" x14ac:dyDescent="0.25">
      <c r="O4395" s="20" t="str">
        <f>IF(N4395="","",COUNTIFS(RawData[[Date ]],N4395,RawData[Month List],$Q$6,RawData[Tour/Site],$Q$2,RawData[[Picker ID ]],$Q$3,RawData[Checker ID],$Q$4,RawData[[Error Type ]],$Q$5))</f>
        <v/>
      </c>
    </row>
    <row r="4396" spans="15:15" x14ac:dyDescent="0.25">
      <c r="O4396" s="20" t="str">
        <f>IF(N4396="","",COUNTIFS(RawData[[Date ]],N4396,RawData[Month List],$Q$6,RawData[Tour/Site],$Q$2,RawData[[Picker ID ]],$Q$3,RawData[Checker ID],$Q$4,RawData[[Error Type ]],$Q$5))</f>
        <v/>
      </c>
    </row>
    <row r="4397" spans="15:15" x14ac:dyDescent="0.25">
      <c r="O4397" s="20" t="str">
        <f>IF(N4397="","",COUNTIFS(RawData[[Date ]],N4397,RawData[Month List],$Q$6,RawData[Tour/Site],$Q$2,RawData[[Picker ID ]],$Q$3,RawData[Checker ID],$Q$4,RawData[[Error Type ]],$Q$5))</f>
        <v/>
      </c>
    </row>
    <row r="4398" spans="15:15" x14ac:dyDescent="0.25">
      <c r="O4398" s="20" t="str">
        <f>IF(N4398="","",COUNTIFS(RawData[[Date ]],N4398,RawData[Month List],$Q$6,RawData[Tour/Site],$Q$2,RawData[[Picker ID ]],$Q$3,RawData[Checker ID],$Q$4,RawData[[Error Type ]],$Q$5))</f>
        <v/>
      </c>
    </row>
    <row r="4399" spans="15:15" x14ac:dyDescent="0.25">
      <c r="O4399" s="20" t="str">
        <f>IF(N4399="","",COUNTIFS(RawData[[Date ]],N4399,RawData[Month List],$Q$6,RawData[Tour/Site],$Q$2,RawData[[Picker ID ]],$Q$3,RawData[Checker ID],$Q$4,RawData[[Error Type ]],$Q$5))</f>
        <v/>
      </c>
    </row>
    <row r="4400" spans="15:15" x14ac:dyDescent="0.25">
      <c r="O4400" s="20" t="str">
        <f>IF(N4400="","",COUNTIFS(RawData[[Date ]],N4400,RawData[Month List],$Q$6,RawData[Tour/Site],$Q$2,RawData[[Picker ID ]],$Q$3,RawData[Checker ID],$Q$4,RawData[[Error Type ]],$Q$5))</f>
        <v/>
      </c>
    </row>
    <row r="4401" spans="15:15" x14ac:dyDescent="0.25">
      <c r="O4401" s="20" t="str">
        <f>IF(N4401="","",COUNTIFS(RawData[[Date ]],N4401,RawData[Month List],$Q$6,RawData[Tour/Site],$Q$2,RawData[[Picker ID ]],$Q$3,RawData[Checker ID],$Q$4,RawData[[Error Type ]],$Q$5))</f>
        <v/>
      </c>
    </row>
    <row r="4402" spans="15:15" x14ac:dyDescent="0.25">
      <c r="O4402" s="20" t="str">
        <f>IF(N4402="","",COUNTIFS(RawData[[Date ]],N4402,RawData[Month List],$Q$6,RawData[Tour/Site],$Q$2,RawData[[Picker ID ]],$Q$3,RawData[Checker ID],$Q$4,RawData[[Error Type ]],$Q$5))</f>
        <v/>
      </c>
    </row>
    <row r="4403" spans="15:15" x14ac:dyDescent="0.25">
      <c r="O4403" s="20" t="str">
        <f>IF(N4403="","",COUNTIFS(RawData[[Date ]],N4403,RawData[Month List],$Q$6,RawData[Tour/Site],$Q$2,RawData[[Picker ID ]],$Q$3,RawData[Checker ID],$Q$4,RawData[[Error Type ]],$Q$5))</f>
        <v/>
      </c>
    </row>
    <row r="4404" spans="15:15" x14ac:dyDescent="0.25">
      <c r="O4404" s="20" t="str">
        <f>IF(N4404="","",COUNTIFS(RawData[[Date ]],N4404,RawData[Month List],$Q$6,RawData[Tour/Site],$Q$2,RawData[[Picker ID ]],$Q$3,RawData[Checker ID],$Q$4,RawData[[Error Type ]],$Q$5))</f>
        <v/>
      </c>
    </row>
    <row r="4405" spans="15:15" x14ac:dyDescent="0.25">
      <c r="O4405" s="20" t="str">
        <f>IF(N4405="","",COUNTIFS(RawData[[Date ]],N4405,RawData[Month List],$Q$6,RawData[Tour/Site],$Q$2,RawData[[Picker ID ]],$Q$3,RawData[Checker ID],$Q$4,RawData[[Error Type ]],$Q$5))</f>
        <v/>
      </c>
    </row>
    <row r="4406" spans="15:15" x14ac:dyDescent="0.25">
      <c r="O4406" s="20" t="str">
        <f>IF(N4406="","",COUNTIFS(RawData[[Date ]],N4406,RawData[Month List],$Q$6,RawData[Tour/Site],$Q$2,RawData[[Picker ID ]],$Q$3,RawData[Checker ID],$Q$4,RawData[[Error Type ]],$Q$5))</f>
        <v/>
      </c>
    </row>
    <row r="4407" spans="15:15" x14ac:dyDescent="0.25">
      <c r="O4407" s="20" t="str">
        <f>IF(N4407="","",COUNTIFS(RawData[[Date ]],N4407,RawData[Month List],$Q$6,RawData[Tour/Site],$Q$2,RawData[[Picker ID ]],$Q$3,RawData[Checker ID],$Q$4,RawData[[Error Type ]],$Q$5))</f>
        <v/>
      </c>
    </row>
    <row r="4408" spans="15:15" x14ac:dyDescent="0.25">
      <c r="O4408" s="20" t="str">
        <f>IF(N4408="","",COUNTIFS(RawData[[Date ]],N4408,RawData[Month List],$Q$6,RawData[Tour/Site],$Q$2,RawData[[Picker ID ]],$Q$3,RawData[Checker ID],$Q$4,RawData[[Error Type ]],$Q$5))</f>
        <v/>
      </c>
    </row>
    <row r="4409" spans="15:15" x14ac:dyDescent="0.25">
      <c r="O4409" s="20" t="str">
        <f>IF(N4409="","",COUNTIFS(RawData[[Date ]],N4409,RawData[Month List],$Q$6,RawData[Tour/Site],$Q$2,RawData[[Picker ID ]],$Q$3,RawData[Checker ID],$Q$4,RawData[[Error Type ]],$Q$5))</f>
        <v/>
      </c>
    </row>
    <row r="4410" spans="15:15" x14ac:dyDescent="0.25">
      <c r="O4410" s="20" t="str">
        <f>IF(N4410="","",COUNTIFS(RawData[[Date ]],N4410,RawData[Month List],$Q$6,RawData[Tour/Site],$Q$2,RawData[[Picker ID ]],$Q$3,RawData[Checker ID],$Q$4,RawData[[Error Type ]],$Q$5))</f>
        <v/>
      </c>
    </row>
    <row r="4411" spans="15:15" x14ac:dyDescent="0.25">
      <c r="O4411" s="20" t="str">
        <f>IF(N4411="","",COUNTIFS(RawData[[Date ]],N4411,RawData[Month List],$Q$6,RawData[Tour/Site],$Q$2,RawData[[Picker ID ]],$Q$3,RawData[Checker ID],$Q$4,RawData[[Error Type ]],$Q$5))</f>
        <v/>
      </c>
    </row>
    <row r="4412" spans="15:15" x14ac:dyDescent="0.25">
      <c r="O4412" s="20" t="str">
        <f>IF(N4412="","",COUNTIFS(RawData[[Date ]],N4412,RawData[Month List],$Q$6,RawData[Tour/Site],$Q$2,RawData[[Picker ID ]],$Q$3,RawData[Checker ID],$Q$4,RawData[[Error Type ]],$Q$5))</f>
        <v/>
      </c>
    </row>
    <row r="4413" spans="15:15" x14ac:dyDescent="0.25">
      <c r="O4413" s="20" t="str">
        <f>IF(N4413="","",COUNTIFS(RawData[[Date ]],N4413,RawData[Month List],$Q$6,RawData[Tour/Site],$Q$2,RawData[[Picker ID ]],$Q$3,RawData[Checker ID],$Q$4,RawData[[Error Type ]],$Q$5))</f>
        <v/>
      </c>
    </row>
    <row r="4414" spans="15:15" x14ac:dyDescent="0.25">
      <c r="O4414" s="20" t="str">
        <f>IF(N4414="","",COUNTIFS(RawData[[Date ]],N4414,RawData[Month List],$Q$6,RawData[Tour/Site],$Q$2,RawData[[Picker ID ]],$Q$3,RawData[Checker ID],$Q$4,RawData[[Error Type ]],$Q$5))</f>
        <v/>
      </c>
    </row>
    <row r="4415" spans="15:15" x14ac:dyDescent="0.25">
      <c r="O4415" s="20" t="str">
        <f>IF(N4415="","",COUNTIFS(RawData[[Date ]],N4415,RawData[Month List],$Q$6,RawData[Tour/Site],$Q$2,RawData[[Picker ID ]],$Q$3,RawData[Checker ID],$Q$4,RawData[[Error Type ]],$Q$5))</f>
        <v/>
      </c>
    </row>
    <row r="4416" spans="15:15" x14ac:dyDescent="0.25">
      <c r="O4416" s="20" t="str">
        <f>IF(N4416="","",COUNTIFS(RawData[[Date ]],N4416,RawData[Month List],$Q$6,RawData[Tour/Site],$Q$2,RawData[[Picker ID ]],$Q$3,RawData[Checker ID],$Q$4,RawData[[Error Type ]],$Q$5))</f>
        <v/>
      </c>
    </row>
    <row r="4417" spans="15:15" x14ac:dyDescent="0.25">
      <c r="O4417" s="20" t="str">
        <f>IF(N4417="","",COUNTIFS(RawData[[Date ]],N4417,RawData[Month List],$Q$6,RawData[Tour/Site],$Q$2,RawData[[Picker ID ]],$Q$3,RawData[Checker ID],$Q$4,RawData[[Error Type ]],$Q$5))</f>
        <v/>
      </c>
    </row>
    <row r="4418" spans="15:15" x14ac:dyDescent="0.25">
      <c r="O4418" s="20" t="str">
        <f>IF(N4418="","",COUNTIFS(RawData[[Date ]],N4418,RawData[Month List],$Q$6,RawData[Tour/Site],$Q$2,RawData[[Picker ID ]],$Q$3,RawData[Checker ID],$Q$4,RawData[[Error Type ]],$Q$5))</f>
        <v/>
      </c>
    </row>
    <row r="4419" spans="15:15" x14ac:dyDescent="0.25">
      <c r="O4419" s="20" t="str">
        <f>IF(N4419="","",COUNTIFS(RawData[[Date ]],N4419,RawData[Month List],$Q$6,RawData[Tour/Site],$Q$2,RawData[[Picker ID ]],$Q$3,RawData[Checker ID],$Q$4,RawData[[Error Type ]],$Q$5))</f>
        <v/>
      </c>
    </row>
    <row r="4420" spans="15:15" x14ac:dyDescent="0.25">
      <c r="O4420" s="20" t="str">
        <f>IF(N4420="","",COUNTIFS(RawData[[Date ]],N4420,RawData[Month List],$Q$6,RawData[Tour/Site],$Q$2,RawData[[Picker ID ]],$Q$3,RawData[Checker ID],$Q$4,RawData[[Error Type ]],$Q$5))</f>
        <v/>
      </c>
    </row>
    <row r="4421" spans="15:15" x14ac:dyDescent="0.25">
      <c r="O4421" s="20" t="str">
        <f>IF(N4421="","",COUNTIFS(RawData[[Date ]],N4421,RawData[Month List],$Q$6,RawData[Tour/Site],$Q$2,RawData[[Picker ID ]],$Q$3,RawData[Checker ID],$Q$4,RawData[[Error Type ]],$Q$5))</f>
        <v/>
      </c>
    </row>
    <row r="4422" spans="15:15" x14ac:dyDescent="0.25">
      <c r="O4422" s="20" t="str">
        <f>IF(N4422="","",COUNTIFS(RawData[[Date ]],N4422,RawData[Month List],$Q$6,RawData[Tour/Site],$Q$2,RawData[[Picker ID ]],$Q$3,RawData[Checker ID],$Q$4,RawData[[Error Type ]],$Q$5))</f>
        <v/>
      </c>
    </row>
    <row r="4423" spans="15:15" x14ac:dyDescent="0.25">
      <c r="O4423" s="20" t="str">
        <f>IF(N4423="","",COUNTIFS(RawData[[Date ]],N4423,RawData[Month List],$Q$6,RawData[Tour/Site],$Q$2,RawData[[Picker ID ]],$Q$3,RawData[Checker ID],$Q$4,RawData[[Error Type ]],$Q$5))</f>
        <v/>
      </c>
    </row>
    <row r="4424" spans="15:15" x14ac:dyDescent="0.25">
      <c r="O4424" s="20" t="str">
        <f>IF(N4424="","",COUNTIFS(RawData[[Date ]],N4424,RawData[Month List],$Q$6,RawData[Tour/Site],$Q$2,RawData[[Picker ID ]],$Q$3,RawData[Checker ID],$Q$4,RawData[[Error Type ]],$Q$5))</f>
        <v/>
      </c>
    </row>
    <row r="4425" spans="15:15" x14ac:dyDescent="0.25">
      <c r="O4425" s="20" t="str">
        <f>IF(N4425="","",COUNTIFS(RawData[[Date ]],N4425,RawData[Month List],$Q$6,RawData[Tour/Site],$Q$2,RawData[[Picker ID ]],$Q$3,RawData[Checker ID],$Q$4,RawData[[Error Type ]],$Q$5))</f>
        <v/>
      </c>
    </row>
    <row r="4426" spans="15:15" x14ac:dyDescent="0.25">
      <c r="O4426" s="20" t="str">
        <f>IF(N4426="","",COUNTIFS(RawData[[Date ]],N4426,RawData[Month List],$Q$6,RawData[Tour/Site],$Q$2,RawData[[Picker ID ]],$Q$3,RawData[Checker ID],$Q$4,RawData[[Error Type ]],$Q$5))</f>
        <v/>
      </c>
    </row>
    <row r="4427" spans="15:15" x14ac:dyDescent="0.25">
      <c r="O4427" s="20" t="str">
        <f>IF(N4427="","",COUNTIFS(RawData[[Date ]],N4427,RawData[Month List],$Q$6,RawData[Tour/Site],$Q$2,RawData[[Picker ID ]],$Q$3,RawData[Checker ID],$Q$4,RawData[[Error Type ]],$Q$5))</f>
        <v/>
      </c>
    </row>
    <row r="4428" spans="15:15" x14ac:dyDescent="0.25">
      <c r="O4428" s="20" t="str">
        <f>IF(N4428="","",COUNTIFS(RawData[[Date ]],N4428,RawData[Month List],$Q$6,RawData[Tour/Site],$Q$2,RawData[[Picker ID ]],$Q$3,RawData[Checker ID],$Q$4,RawData[[Error Type ]],$Q$5))</f>
        <v/>
      </c>
    </row>
    <row r="4429" spans="15:15" x14ac:dyDescent="0.25">
      <c r="O4429" s="20" t="str">
        <f>IF(N4429="","",COUNTIFS(RawData[[Date ]],N4429,RawData[Month List],$Q$6,RawData[Tour/Site],$Q$2,RawData[[Picker ID ]],$Q$3,RawData[Checker ID],$Q$4,RawData[[Error Type ]],$Q$5))</f>
        <v/>
      </c>
    </row>
    <row r="4430" spans="15:15" x14ac:dyDescent="0.25">
      <c r="O4430" s="20" t="str">
        <f>IF(N4430="","",COUNTIFS(RawData[[Date ]],N4430,RawData[Month List],$Q$6,RawData[Tour/Site],$Q$2,RawData[[Picker ID ]],$Q$3,RawData[Checker ID],$Q$4,RawData[[Error Type ]],$Q$5))</f>
        <v/>
      </c>
    </row>
    <row r="4431" spans="15:15" x14ac:dyDescent="0.25">
      <c r="O4431" s="20" t="str">
        <f>IF(N4431="","",COUNTIFS(RawData[[Date ]],N4431,RawData[Month List],$Q$6,RawData[Tour/Site],$Q$2,RawData[[Picker ID ]],$Q$3,RawData[Checker ID],$Q$4,RawData[[Error Type ]],$Q$5))</f>
        <v/>
      </c>
    </row>
    <row r="4432" spans="15:15" x14ac:dyDescent="0.25">
      <c r="O4432" s="20" t="str">
        <f>IF(N4432="","",COUNTIFS(RawData[[Date ]],N4432,RawData[Month List],$Q$6,RawData[Tour/Site],$Q$2,RawData[[Picker ID ]],$Q$3,RawData[Checker ID],$Q$4,RawData[[Error Type ]],$Q$5))</f>
        <v/>
      </c>
    </row>
    <row r="4433" spans="15:15" x14ac:dyDescent="0.25">
      <c r="O4433" s="20" t="str">
        <f>IF(N4433="","",COUNTIFS(RawData[[Date ]],N4433,RawData[Month List],$Q$6,RawData[Tour/Site],$Q$2,RawData[[Picker ID ]],$Q$3,RawData[Checker ID],$Q$4,RawData[[Error Type ]],$Q$5))</f>
        <v/>
      </c>
    </row>
    <row r="4434" spans="15:15" x14ac:dyDescent="0.25">
      <c r="O4434" s="20" t="str">
        <f>IF(N4434="","",COUNTIFS(RawData[[Date ]],N4434,RawData[Month List],$Q$6,RawData[Tour/Site],$Q$2,RawData[[Picker ID ]],$Q$3,RawData[Checker ID],$Q$4,RawData[[Error Type ]],$Q$5))</f>
        <v/>
      </c>
    </row>
    <row r="4435" spans="15:15" x14ac:dyDescent="0.25">
      <c r="O4435" s="20" t="str">
        <f>IF(N4435="","",COUNTIFS(RawData[[Date ]],N4435,RawData[Month List],$Q$6,RawData[Tour/Site],$Q$2,RawData[[Picker ID ]],$Q$3,RawData[Checker ID],$Q$4,RawData[[Error Type ]],$Q$5))</f>
        <v/>
      </c>
    </row>
    <row r="4436" spans="15:15" x14ac:dyDescent="0.25">
      <c r="O4436" s="20" t="str">
        <f>IF(N4436="","",COUNTIFS(RawData[[Date ]],N4436,RawData[Month List],$Q$6,RawData[Tour/Site],$Q$2,RawData[[Picker ID ]],$Q$3,RawData[Checker ID],$Q$4,RawData[[Error Type ]],$Q$5))</f>
        <v/>
      </c>
    </row>
    <row r="4437" spans="15:15" x14ac:dyDescent="0.25">
      <c r="O4437" s="20" t="str">
        <f>IF(N4437="","",COUNTIFS(RawData[[Date ]],N4437,RawData[Month List],$Q$6,RawData[Tour/Site],$Q$2,RawData[[Picker ID ]],$Q$3,RawData[Checker ID],$Q$4,RawData[[Error Type ]],$Q$5))</f>
        <v/>
      </c>
    </row>
    <row r="4438" spans="15:15" x14ac:dyDescent="0.25">
      <c r="O4438" s="20" t="str">
        <f>IF(N4438="","",COUNTIFS(RawData[[Date ]],N4438,RawData[Month List],$Q$6,RawData[Tour/Site],$Q$2,RawData[[Picker ID ]],$Q$3,RawData[Checker ID],$Q$4,RawData[[Error Type ]],$Q$5))</f>
        <v/>
      </c>
    </row>
    <row r="4439" spans="15:15" x14ac:dyDescent="0.25">
      <c r="O4439" s="20" t="str">
        <f>IF(N4439="","",COUNTIFS(RawData[[Date ]],N4439,RawData[Month List],$Q$6,RawData[Tour/Site],$Q$2,RawData[[Picker ID ]],$Q$3,RawData[Checker ID],$Q$4,RawData[[Error Type ]],$Q$5))</f>
        <v/>
      </c>
    </row>
    <row r="4440" spans="15:15" x14ac:dyDescent="0.25">
      <c r="O4440" s="20" t="str">
        <f>IF(N4440="","",COUNTIFS(RawData[[Date ]],N4440,RawData[Month List],$Q$6,RawData[Tour/Site],$Q$2,RawData[[Picker ID ]],$Q$3,RawData[Checker ID],$Q$4,RawData[[Error Type ]],$Q$5))</f>
        <v/>
      </c>
    </row>
    <row r="4441" spans="15:15" x14ac:dyDescent="0.25">
      <c r="O4441" s="20" t="str">
        <f>IF(N4441="","",COUNTIFS(RawData[[Date ]],N4441,RawData[Month List],$Q$6,RawData[Tour/Site],$Q$2,RawData[[Picker ID ]],$Q$3,RawData[Checker ID],$Q$4,RawData[[Error Type ]],$Q$5))</f>
        <v/>
      </c>
    </row>
    <row r="4442" spans="15:15" x14ac:dyDescent="0.25">
      <c r="O4442" s="20" t="str">
        <f>IF(N4442="","",COUNTIFS(RawData[[Date ]],N4442,RawData[Month List],$Q$6,RawData[Tour/Site],$Q$2,RawData[[Picker ID ]],$Q$3,RawData[Checker ID],$Q$4,RawData[[Error Type ]],$Q$5))</f>
        <v/>
      </c>
    </row>
    <row r="4443" spans="15:15" x14ac:dyDescent="0.25">
      <c r="O4443" s="20" t="str">
        <f>IF(N4443="","",COUNTIFS(RawData[[Date ]],N4443,RawData[Month List],$Q$6,RawData[Tour/Site],$Q$2,RawData[[Picker ID ]],$Q$3,RawData[Checker ID],$Q$4,RawData[[Error Type ]],$Q$5))</f>
        <v/>
      </c>
    </row>
    <row r="4444" spans="15:15" x14ac:dyDescent="0.25">
      <c r="O4444" s="20" t="str">
        <f>IF(N4444="","",COUNTIFS(RawData[[Date ]],N4444,RawData[Month List],$Q$6,RawData[Tour/Site],$Q$2,RawData[[Picker ID ]],$Q$3,RawData[Checker ID],$Q$4,RawData[[Error Type ]],$Q$5))</f>
        <v/>
      </c>
    </row>
    <row r="4445" spans="15:15" x14ac:dyDescent="0.25">
      <c r="O4445" s="20" t="str">
        <f>IF(N4445="","",COUNTIFS(RawData[[Date ]],N4445,RawData[Month List],$Q$6,RawData[Tour/Site],$Q$2,RawData[[Picker ID ]],$Q$3,RawData[Checker ID],$Q$4,RawData[[Error Type ]],$Q$5))</f>
        <v/>
      </c>
    </row>
    <row r="4446" spans="15:15" x14ac:dyDescent="0.25">
      <c r="O4446" s="20" t="str">
        <f>IF(N4446="","",COUNTIFS(RawData[[Date ]],N4446,RawData[Month List],$Q$6,RawData[Tour/Site],$Q$2,RawData[[Picker ID ]],$Q$3,RawData[Checker ID],$Q$4,RawData[[Error Type ]],$Q$5))</f>
        <v/>
      </c>
    </row>
    <row r="4447" spans="15:15" x14ac:dyDescent="0.25">
      <c r="O4447" s="20" t="str">
        <f>IF(N4447="","",COUNTIFS(RawData[[Date ]],N4447,RawData[Month List],$Q$6,RawData[Tour/Site],$Q$2,RawData[[Picker ID ]],$Q$3,RawData[Checker ID],$Q$4,RawData[[Error Type ]],$Q$5))</f>
        <v/>
      </c>
    </row>
    <row r="4448" spans="15:15" x14ac:dyDescent="0.25">
      <c r="O4448" s="20" t="str">
        <f>IF(N4448="","",COUNTIFS(RawData[[Date ]],N4448,RawData[Month List],$Q$6,RawData[Tour/Site],$Q$2,RawData[[Picker ID ]],$Q$3,RawData[Checker ID],$Q$4,RawData[[Error Type ]],$Q$5))</f>
        <v/>
      </c>
    </row>
    <row r="4449" spans="15:15" x14ac:dyDescent="0.25">
      <c r="O4449" s="20" t="str">
        <f>IF(N4449="","",COUNTIFS(RawData[[Date ]],N4449,RawData[Month List],$Q$6,RawData[Tour/Site],$Q$2,RawData[[Picker ID ]],$Q$3,RawData[Checker ID],$Q$4,RawData[[Error Type ]],$Q$5))</f>
        <v/>
      </c>
    </row>
    <row r="4450" spans="15:15" x14ac:dyDescent="0.25">
      <c r="O4450" s="20" t="str">
        <f>IF(N4450="","",COUNTIFS(RawData[[Date ]],N4450,RawData[Month List],$Q$6,RawData[Tour/Site],$Q$2,RawData[[Picker ID ]],$Q$3,RawData[Checker ID],$Q$4,RawData[[Error Type ]],$Q$5))</f>
        <v/>
      </c>
    </row>
    <row r="4451" spans="15:15" x14ac:dyDescent="0.25">
      <c r="O4451" s="20" t="str">
        <f>IF(N4451="","",COUNTIFS(RawData[[Date ]],N4451,RawData[Month List],$Q$6,RawData[Tour/Site],$Q$2,RawData[[Picker ID ]],$Q$3,RawData[Checker ID],$Q$4,RawData[[Error Type ]],$Q$5))</f>
        <v/>
      </c>
    </row>
    <row r="4452" spans="15:15" x14ac:dyDescent="0.25">
      <c r="O4452" s="20" t="str">
        <f>IF(N4452="","",COUNTIFS(RawData[[Date ]],N4452,RawData[Month List],$Q$6,RawData[Tour/Site],$Q$2,RawData[[Picker ID ]],$Q$3,RawData[Checker ID],$Q$4,RawData[[Error Type ]],$Q$5))</f>
        <v/>
      </c>
    </row>
    <row r="4453" spans="15:15" x14ac:dyDescent="0.25">
      <c r="O4453" s="20" t="str">
        <f>IF(N4453="","",COUNTIFS(RawData[[Date ]],N4453,RawData[Month List],$Q$6,RawData[Tour/Site],$Q$2,RawData[[Picker ID ]],$Q$3,RawData[Checker ID],$Q$4,RawData[[Error Type ]],$Q$5))</f>
        <v/>
      </c>
    </row>
    <row r="4454" spans="15:15" x14ac:dyDescent="0.25">
      <c r="O4454" s="20" t="str">
        <f>IF(N4454="","",COUNTIFS(RawData[[Date ]],N4454,RawData[Month List],$Q$6,RawData[Tour/Site],$Q$2,RawData[[Picker ID ]],$Q$3,RawData[Checker ID],$Q$4,RawData[[Error Type ]],$Q$5))</f>
        <v/>
      </c>
    </row>
    <row r="4455" spans="15:15" x14ac:dyDescent="0.25">
      <c r="O4455" s="20" t="str">
        <f>IF(N4455="","",COUNTIFS(RawData[[Date ]],N4455,RawData[Month List],$Q$6,RawData[Tour/Site],$Q$2,RawData[[Picker ID ]],$Q$3,RawData[Checker ID],$Q$4,RawData[[Error Type ]],$Q$5))</f>
        <v/>
      </c>
    </row>
    <row r="4456" spans="15:15" x14ac:dyDescent="0.25">
      <c r="O4456" s="20" t="str">
        <f>IF(N4456="","",COUNTIFS(RawData[[Date ]],N4456,RawData[Month List],$Q$6,RawData[Tour/Site],$Q$2,RawData[[Picker ID ]],$Q$3,RawData[Checker ID],$Q$4,RawData[[Error Type ]],$Q$5))</f>
        <v/>
      </c>
    </row>
    <row r="4457" spans="15:15" x14ac:dyDescent="0.25">
      <c r="O4457" s="20" t="str">
        <f>IF(N4457="","",COUNTIFS(RawData[[Date ]],N4457,RawData[Month List],$Q$6,RawData[Tour/Site],$Q$2,RawData[[Picker ID ]],$Q$3,RawData[Checker ID],$Q$4,RawData[[Error Type ]],$Q$5))</f>
        <v/>
      </c>
    </row>
    <row r="4458" spans="15:15" x14ac:dyDescent="0.25">
      <c r="O4458" s="20" t="str">
        <f>IF(N4458="","",COUNTIFS(RawData[[Date ]],N4458,RawData[Month List],$Q$6,RawData[Tour/Site],$Q$2,RawData[[Picker ID ]],$Q$3,RawData[Checker ID],$Q$4,RawData[[Error Type ]],$Q$5))</f>
        <v/>
      </c>
    </row>
    <row r="4459" spans="15:15" x14ac:dyDescent="0.25">
      <c r="O4459" s="20" t="str">
        <f>IF(N4459="","",COUNTIFS(RawData[[Date ]],N4459,RawData[Month List],$Q$6,RawData[Tour/Site],$Q$2,RawData[[Picker ID ]],$Q$3,RawData[Checker ID],$Q$4,RawData[[Error Type ]],$Q$5))</f>
        <v/>
      </c>
    </row>
    <row r="4460" spans="15:15" x14ac:dyDescent="0.25">
      <c r="O4460" s="20" t="str">
        <f>IF(N4460="","",COUNTIFS(RawData[[Date ]],N4460,RawData[Month List],$Q$6,RawData[Tour/Site],$Q$2,RawData[[Picker ID ]],$Q$3,RawData[Checker ID],$Q$4,RawData[[Error Type ]],$Q$5))</f>
        <v/>
      </c>
    </row>
    <row r="4461" spans="15:15" x14ac:dyDescent="0.25">
      <c r="O4461" s="20" t="str">
        <f>IF(N4461="","",COUNTIFS(RawData[[Date ]],N4461,RawData[Month List],$Q$6,RawData[Tour/Site],$Q$2,RawData[[Picker ID ]],$Q$3,RawData[Checker ID],$Q$4,RawData[[Error Type ]],$Q$5))</f>
        <v/>
      </c>
    </row>
    <row r="4462" spans="15:15" x14ac:dyDescent="0.25">
      <c r="O4462" s="20" t="str">
        <f>IF(N4462="","",COUNTIFS(RawData[[Date ]],N4462,RawData[Month List],$Q$6,RawData[Tour/Site],$Q$2,RawData[[Picker ID ]],$Q$3,RawData[Checker ID],$Q$4,RawData[[Error Type ]],$Q$5))</f>
        <v/>
      </c>
    </row>
    <row r="4463" spans="15:15" x14ac:dyDescent="0.25">
      <c r="O4463" s="20" t="str">
        <f>IF(N4463="","",COUNTIFS(RawData[[Date ]],N4463,RawData[Month List],$Q$6,RawData[Tour/Site],$Q$2,RawData[[Picker ID ]],$Q$3,RawData[Checker ID],$Q$4,RawData[[Error Type ]],$Q$5))</f>
        <v/>
      </c>
    </row>
    <row r="4464" spans="15:15" x14ac:dyDescent="0.25">
      <c r="O4464" s="20" t="str">
        <f>IF(N4464="","",COUNTIFS(RawData[[Date ]],N4464,RawData[Month List],$Q$6,RawData[Tour/Site],$Q$2,RawData[[Picker ID ]],$Q$3,RawData[Checker ID],$Q$4,RawData[[Error Type ]],$Q$5))</f>
        <v/>
      </c>
    </row>
    <row r="4465" spans="15:15" x14ac:dyDescent="0.25">
      <c r="O4465" s="20" t="str">
        <f>IF(N4465="","",COUNTIFS(RawData[[Date ]],N4465,RawData[Month List],$Q$6,RawData[Tour/Site],$Q$2,RawData[[Picker ID ]],$Q$3,RawData[Checker ID],$Q$4,RawData[[Error Type ]],$Q$5))</f>
        <v/>
      </c>
    </row>
    <row r="4466" spans="15:15" x14ac:dyDescent="0.25">
      <c r="O4466" s="20" t="str">
        <f>IF(N4466="","",COUNTIFS(RawData[[Date ]],N4466,RawData[Month List],$Q$6,RawData[Tour/Site],$Q$2,RawData[[Picker ID ]],$Q$3,RawData[Checker ID],$Q$4,RawData[[Error Type ]],$Q$5))</f>
        <v/>
      </c>
    </row>
    <row r="4467" spans="15:15" x14ac:dyDescent="0.25">
      <c r="O4467" s="20" t="str">
        <f>IF(N4467="","",COUNTIFS(RawData[[Date ]],N4467,RawData[Month List],$Q$6,RawData[Tour/Site],$Q$2,RawData[[Picker ID ]],$Q$3,RawData[Checker ID],$Q$4,RawData[[Error Type ]],$Q$5))</f>
        <v/>
      </c>
    </row>
    <row r="4468" spans="15:15" x14ac:dyDescent="0.25">
      <c r="O4468" s="20" t="str">
        <f>IF(N4468="","",COUNTIFS(RawData[[Date ]],N4468,RawData[Month List],$Q$6,RawData[Tour/Site],$Q$2,RawData[[Picker ID ]],$Q$3,RawData[Checker ID],$Q$4,RawData[[Error Type ]],$Q$5))</f>
        <v/>
      </c>
    </row>
    <row r="4469" spans="15:15" x14ac:dyDescent="0.25">
      <c r="O4469" s="20" t="str">
        <f>IF(N4469="","",COUNTIFS(RawData[[Date ]],N4469,RawData[Month List],$Q$6,RawData[Tour/Site],$Q$2,RawData[[Picker ID ]],$Q$3,RawData[Checker ID],$Q$4,RawData[[Error Type ]],$Q$5))</f>
        <v/>
      </c>
    </row>
    <row r="4470" spans="15:15" x14ac:dyDescent="0.25">
      <c r="O4470" s="20" t="str">
        <f>IF(N4470="","",COUNTIFS(RawData[[Date ]],N4470,RawData[Month List],$Q$6,RawData[Tour/Site],$Q$2,RawData[[Picker ID ]],$Q$3,RawData[Checker ID],$Q$4,RawData[[Error Type ]],$Q$5))</f>
        <v/>
      </c>
    </row>
    <row r="4471" spans="15:15" x14ac:dyDescent="0.25">
      <c r="O4471" s="20" t="str">
        <f>IF(N4471="","",COUNTIFS(RawData[[Date ]],N4471,RawData[Month List],$Q$6,RawData[Tour/Site],$Q$2,RawData[[Picker ID ]],$Q$3,RawData[Checker ID],$Q$4,RawData[[Error Type ]],$Q$5))</f>
        <v/>
      </c>
    </row>
    <row r="4472" spans="15:15" x14ac:dyDescent="0.25">
      <c r="O4472" s="20" t="str">
        <f>IF(N4472="","",COUNTIFS(RawData[[Date ]],N4472,RawData[Month List],$Q$6,RawData[Tour/Site],$Q$2,RawData[[Picker ID ]],$Q$3,RawData[Checker ID],$Q$4,RawData[[Error Type ]],$Q$5))</f>
        <v/>
      </c>
    </row>
    <row r="4473" spans="15:15" x14ac:dyDescent="0.25">
      <c r="O4473" s="20" t="str">
        <f>IF(N4473="","",COUNTIFS(RawData[[Date ]],N4473,RawData[Month List],$Q$6,RawData[Tour/Site],$Q$2,RawData[[Picker ID ]],$Q$3,RawData[Checker ID],$Q$4,RawData[[Error Type ]],$Q$5))</f>
        <v/>
      </c>
    </row>
    <row r="4474" spans="15:15" x14ac:dyDescent="0.25">
      <c r="O4474" s="20" t="str">
        <f>IF(N4474="","",COUNTIFS(RawData[[Date ]],N4474,RawData[Month List],$Q$6,RawData[Tour/Site],$Q$2,RawData[[Picker ID ]],$Q$3,RawData[Checker ID],$Q$4,RawData[[Error Type ]],$Q$5))</f>
        <v/>
      </c>
    </row>
    <row r="4475" spans="15:15" x14ac:dyDescent="0.25">
      <c r="O4475" s="20" t="str">
        <f>IF(N4475="","",COUNTIFS(RawData[[Date ]],N4475,RawData[Month List],$Q$6,RawData[Tour/Site],$Q$2,RawData[[Picker ID ]],$Q$3,RawData[Checker ID],$Q$4,RawData[[Error Type ]],$Q$5))</f>
        <v/>
      </c>
    </row>
    <row r="4476" spans="15:15" x14ac:dyDescent="0.25">
      <c r="O4476" s="20" t="str">
        <f>IF(N4476="","",COUNTIFS(RawData[[Date ]],N4476,RawData[Month List],$Q$6,RawData[Tour/Site],$Q$2,RawData[[Picker ID ]],$Q$3,RawData[Checker ID],$Q$4,RawData[[Error Type ]],$Q$5))</f>
        <v/>
      </c>
    </row>
    <row r="4477" spans="15:15" x14ac:dyDescent="0.25">
      <c r="O4477" s="20" t="str">
        <f>IF(N4477="","",COUNTIFS(RawData[[Date ]],N4477,RawData[Month List],$Q$6,RawData[Tour/Site],$Q$2,RawData[[Picker ID ]],$Q$3,RawData[Checker ID],$Q$4,RawData[[Error Type ]],$Q$5))</f>
        <v/>
      </c>
    </row>
    <row r="4478" spans="15:15" x14ac:dyDescent="0.25">
      <c r="O4478" s="20" t="str">
        <f>IF(N4478="","",COUNTIFS(RawData[[Date ]],N4478,RawData[Month List],$Q$6,RawData[Tour/Site],$Q$2,RawData[[Picker ID ]],$Q$3,RawData[Checker ID],$Q$4,RawData[[Error Type ]],$Q$5))</f>
        <v/>
      </c>
    </row>
    <row r="4479" spans="15:15" x14ac:dyDescent="0.25">
      <c r="O4479" s="20" t="str">
        <f>IF(N4479="","",COUNTIFS(RawData[[Date ]],N4479,RawData[Month List],$Q$6,RawData[Tour/Site],$Q$2,RawData[[Picker ID ]],$Q$3,RawData[Checker ID],$Q$4,RawData[[Error Type ]],$Q$5))</f>
        <v/>
      </c>
    </row>
    <row r="4480" spans="15:15" x14ac:dyDescent="0.25">
      <c r="O4480" s="20" t="str">
        <f>IF(N4480="","",COUNTIFS(RawData[[Date ]],N4480,RawData[Month List],$Q$6,RawData[Tour/Site],$Q$2,RawData[[Picker ID ]],$Q$3,RawData[Checker ID],$Q$4,RawData[[Error Type ]],$Q$5))</f>
        <v/>
      </c>
    </row>
    <row r="4481" spans="15:15" x14ac:dyDescent="0.25">
      <c r="O4481" s="20" t="str">
        <f>IF(N4481="","",COUNTIFS(RawData[[Date ]],N4481,RawData[Month List],$Q$6,RawData[Tour/Site],$Q$2,RawData[[Picker ID ]],$Q$3,RawData[Checker ID],$Q$4,RawData[[Error Type ]],$Q$5))</f>
        <v/>
      </c>
    </row>
    <row r="4482" spans="15:15" x14ac:dyDescent="0.25">
      <c r="O4482" s="20" t="str">
        <f>IF(N4482="","",COUNTIFS(RawData[[Date ]],N4482,RawData[Month List],$Q$6,RawData[Tour/Site],$Q$2,RawData[[Picker ID ]],$Q$3,RawData[Checker ID],$Q$4,RawData[[Error Type ]],$Q$5))</f>
        <v/>
      </c>
    </row>
    <row r="4483" spans="15:15" x14ac:dyDescent="0.25">
      <c r="O4483" s="20" t="str">
        <f>IF(N4483="","",COUNTIFS(RawData[[Date ]],N4483,RawData[Month List],$Q$6,RawData[Tour/Site],$Q$2,RawData[[Picker ID ]],$Q$3,RawData[Checker ID],$Q$4,RawData[[Error Type ]],$Q$5))</f>
        <v/>
      </c>
    </row>
    <row r="4484" spans="15:15" x14ac:dyDescent="0.25">
      <c r="O4484" s="20" t="str">
        <f>IF(N4484="","",COUNTIFS(RawData[[Date ]],N4484,RawData[Month List],$Q$6,RawData[Tour/Site],$Q$2,RawData[[Picker ID ]],$Q$3,RawData[Checker ID],$Q$4,RawData[[Error Type ]],$Q$5))</f>
        <v/>
      </c>
    </row>
    <row r="4485" spans="15:15" x14ac:dyDescent="0.25">
      <c r="O4485" s="20" t="str">
        <f>IF(N4485="","",COUNTIFS(RawData[[Date ]],N4485,RawData[Month List],$Q$6,RawData[Tour/Site],$Q$2,RawData[[Picker ID ]],$Q$3,RawData[Checker ID],$Q$4,RawData[[Error Type ]],$Q$5))</f>
        <v/>
      </c>
    </row>
    <row r="4486" spans="15:15" x14ac:dyDescent="0.25">
      <c r="O4486" s="20" t="str">
        <f>IF(N4486="","",COUNTIFS(RawData[[Date ]],N4486,RawData[Month List],$Q$6,RawData[Tour/Site],$Q$2,RawData[[Picker ID ]],$Q$3,RawData[Checker ID],$Q$4,RawData[[Error Type ]],$Q$5))</f>
        <v/>
      </c>
    </row>
    <row r="4487" spans="15:15" x14ac:dyDescent="0.25">
      <c r="O4487" s="20" t="str">
        <f>IF(N4487="","",COUNTIFS(RawData[[Date ]],N4487,RawData[Month List],$Q$6,RawData[Tour/Site],$Q$2,RawData[[Picker ID ]],$Q$3,RawData[Checker ID],$Q$4,RawData[[Error Type ]],$Q$5))</f>
        <v/>
      </c>
    </row>
    <row r="4488" spans="15:15" x14ac:dyDescent="0.25">
      <c r="O4488" s="20" t="str">
        <f>IF(N4488="","",COUNTIFS(RawData[[Date ]],N4488,RawData[Month List],$Q$6,RawData[Tour/Site],$Q$2,RawData[[Picker ID ]],$Q$3,RawData[Checker ID],$Q$4,RawData[[Error Type ]],$Q$5))</f>
        <v/>
      </c>
    </row>
    <row r="4489" spans="15:15" x14ac:dyDescent="0.25">
      <c r="O4489" s="20" t="str">
        <f>IF(N4489="","",COUNTIFS(RawData[[Date ]],N4489,RawData[Month List],$Q$6,RawData[Tour/Site],$Q$2,RawData[[Picker ID ]],$Q$3,RawData[Checker ID],$Q$4,RawData[[Error Type ]],$Q$5))</f>
        <v/>
      </c>
    </row>
    <row r="4490" spans="15:15" x14ac:dyDescent="0.25">
      <c r="O4490" s="20" t="str">
        <f>IF(N4490="","",COUNTIFS(RawData[[Date ]],N4490,RawData[Month List],$Q$6,RawData[Tour/Site],$Q$2,RawData[[Picker ID ]],$Q$3,RawData[Checker ID],$Q$4,RawData[[Error Type ]],$Q$5))</f>
        <v/>
      </c>
    </row>
    <row r="4491" spans="15:15" x14ac:dyDescent="0.25">
      <c r="O4491" s="20" t="str">
        <f>IF(N4491="","",COUNTIFS(RawData[[Date ]],N4491,RawData[Month List],$Q$6,RawData[Tour/Site],$Q$2,RawData[[Picker ID ]],$Q$3,RawData[Checker ID],$Q$4,RawData[[Error Type ]],$Q$5))</f>
        <v/>
      </c>
    </row>
    <row r="4492" spans="15:15" x14ac:dyDescent="0.25">
      <c r="O4492" s="20" t="str">
        <f>IF(N4492="","",COUNTIFS(RawData[[Date ]],N4492,RawData[Month List],$Q$6,RawData[Tour/Site],$Q$2,RawData[[Picker ID ]],$Q$3,RawData[Checker ID],$Q$4,RawData[[Error Type ]],$Q$5))</f>
        <v/>
      </c>
    </row>
    <row r="4493" spans="15:15" x14ac:dyDescent="0.25">
      <c r="O4493" s="20" t="str">
        <f>IF(N4493="","",COUNTIFS(RawData[[Date ]],N4493,RawData[Month List],$Q$6,RawData[Tour/Site],$Q$2,RawData[[Picker ID ]],$Q$3,RawData[Checker ID],$Q$4,RawData[[Error Type ]],$Q$5))</f>
        <v/>
      </c>
    </row>
    <row r="4494" spans="15:15" x14ac:dyDescent="0.25">
      <c r="O4494" s="20" t="str">
        <f>IF(N4494="","",COUNTIFS(RawData[[Date ]],N4494,RawData[Month List],$Q$6,RawData[Tour/Site],$Q$2,RawData[[Picker ID ]],$Q$3,RawData[Checker ID],$Q$4,RawData[[Error Type ]],$Q$5))</f>
        <v/>
      </c>
    </row>
    <row r="4495" spans="15:15" x14ac:dyDescent="0.25">
      <c r="O4495" s="20" t="str">
        <f>IF(N4495="","",COUNTIFS(RawData[[Date ]],N4495,RawData[Month List],$Q$6,RawData[Tour/Site],$Q$2,RawData[[Picker ID ]],$Q$3,RawData[Checker ID],$Q$4,RawData[[Error Type ]],$Q$5))</f>
        <v/>
      </c>
    </row>
    <row r="4496" spans="15:15" x14ac:dyDescent="0.25">
      <c r="O4496" s="20" t="str">
        <f>IF(N4496="","",COUNTIFS(RawData[[Date ]],N4496,RawData[Month List],$Q$6,RawData[Tour/Site],$Q$2,RawData[[Picker ID ]],$Q$3,RawData[Checker ID],$Q$4,RawData[[Error Type ]],$Q$5))</f>
        <v/>
      </c>
    </row>
    <row r="4497" spans="15:15" x14ac:dyDescent="0.25">
      <c r="O4497" s="20" t="str">
        <f>IF(N4497="","",COUNTIFS(RawData[[Date ]],N4497,RawData[Month List],$Q$6,RawData[Tour/Site],$Q$2,RawData[[Picker ID ]],$Q$3,RawData[Checker ID],$Q$4,RawData[[Error Type ]],$Q$5))</f>
        <v/>
      </c>
    </row>
    <row r="4498" spans="15:15" x14ac:dyDescent="0.25">
      <c r="O4498" s="20" t="str">
        <f>IF(N4498="","",COUNTIFS(RawData[[Date ]],N4498,RawData[Month List],$Q$6,RawData[Tour/Site],$Q$2,RawData[[Picker ID ]],$Q$3,RawData[Checker ID],$Q$4,RawData[[Error Type ]],$Q$5))</f>
        <v/>
      </c>
    </row>
    <row r="4499" spans="15:15" x14ac:dyDescent="0.25">
      <c r="O4499" s="20" t="str">
        <f>IF(N4499="","",COUNTIFS(RawData[[Date ]],N4499,RawData[Month List],$Q$6,RawData[Tour/Site],$Q$2,RawData[[Picker ID ]],$Q$3,RawData[Checker ID],$Q$4,RawData[[Error Type ]],$Q$5))</f>
        <v/>
      </c>
    </row>
    <row r="4500" spans="15:15" x14ac:dyDescent="0.25">
      <c r="O4500" s="20" t="str">
        <f>IF(N4500="","",COUNTIFS(RawData[[Date ]],N4500,RawData[Month List],$Q$6,RawData[Tour/Site],$Q$2,RawData[[Picker ID ]],$Q$3,RawData[Checker ID],$Q$4,RawData[[Error Type ]],$Q$5))</f>
        <v/>
      </c>
    </row>
    <row r="4501" spans="15:15" x14ac:dyDescent="0.25">
      <c r="O4501" s="20" t="str">
        <f>IF(N4501="","",COUNTIFS(RawData[[Date ]],N4501,RawData[Month List],$Q$6,RawData[Tour/Site],$Q$2,RawData[[Picker ID ]],$Q$3,RawData[Checker ID],$Q$4,RawData[[Error Type ]],$Q$5))</f>
        <v/>
      </c>
    </row>
    <row r="4502" spans="15:15" x14ac:dyDescent="0.25">
      <c r="O4502" s="20" t="str">
        <f>IF(N4502="","",COUNTIFS(RawData[[Date ]],N4502,RawData[Month List],$Q$6,RawData[Tour/Site],$Q$2,RawData[[Picker ID ]],$Q$3,RawData[Checker ID],$Q$4,RawData[[Error Type ]],$Q$5))</f>
        <v/>
      </c>
    </row>
    <row r="4503" spans="15:15" x14ac:dyDescent="0.25">
      <c r="O4503" s="20" t="str">
        <f>IF(N4503="","",COUNTIFS(RawData[[Date ]],N4503,RawData[Month List],$Q$6,RawData[Tour/Site],$Q$2,RawData[[Picker ID ]],$Q$3,RawData[Checker ID],$Q$4,RawData[[Error Type ]],$Q$5))</f>
        <v/>
      </c>
    </row>
    <row r="4504" spans="15:15" x14ac:dyDescent="0.25">
      <c r="O4504" s="20" t="str">
        <f>IF(N4504="","",COUNTIFS(RawData[[Date ]],N4504,RawData[Month List],$Q$6,RawData[Tour/Site],$Q$2,RawData[[Picker ID ]],$Q$3,RawData[Checker ID],$Q$4,RawData[[Error Type ]],$Q$5))</f>
        <v/>
      </c>
    </row>
    <row r="4505" spans="15:15" x14ac:dyDescent="0.25">
      <c r="O4505" s="20" t="str">
        <f>IF(N4505="","",COUNTIFS(RawData[[Date ]],N4505,RawData[Month List],$Q$6,RawData[Tour/Site],$Q$2,RawData[[Picker ID ]],$Q$3,RawData[Checker ID],$Q$4,RawData[[Error Type ]],$Q$5))</f>
        <v/>
      </c>
    </row>
    <row r="4506" spans="15:15" x14ac:dyDescent="0.25">
      <c r="O4506" s="20" t="str">
        <f>IF(N4506="","",COUNTIFS(RawData[[Date ]],N4506,RawData[Month List],$Q$6,RawData[Tour/Site],$Q$2,RawData[[Picker ID ]],$Q$3,RawData[Checker ID],$Q$4,RawData[[Error Type ]],$Q$5))</f>
        <v/>
      </c>
    </row>
    <row r="4507" spans="15:15" x14ac:dyDescent="0.25">
      <c r="O4507" s="20" t="str">
        <f>IF(N4507="","",COUNTIFS(RawData[[Date ]],N4507,RawData[Month List],$Q$6,RawData[Tour/Site],$Q$2,RawData[[Picker ID ]],$Q$3,RawData[Checker ID],$Q$4,RawData[[Error Type ]],$Q$5))</f>
        <v/>
      </c>
    </row>
    <row r="4508" spans="15:15" x14ac:dyDescent="0.25">
      <c r="O4508" s="20" t="str">
        <f>IF(N4508="","",COUNTIFS(RawData[[Date ]],N4508,RawData[Month List],$Q$6,RawData[Tour/Site],$Q$2,RawData[[Picker ID ]],$Q$3,RawData[Checker ID],$Q$4,RawData[[Error Type ]],$Q$5))</f>
        <v/>
      </c>
    </row>
    <row r="4509" spans="15:15" x14ac:dyDescent="0.25">
      <c r="O4509" s="20" t="str">
        <f>IF(N4509="","",COUNTIFS(RawData[[Date ]],N4509,RawData[Month List],$Q$6,RawData[Tour/Site],$Q$2,RawData[[Picker ID ]],$Q$3,RawData[Checker ID],$Q$4,RawData[[Error Type ]],$Q$5))</f>
        <v/>
      </c>
    </row>
    <row r="4510" spans="15:15" x14ac:dyDescent="0.25">
      <c r="O4510" s="20" t="str">
        <f>IF(N4510="","",COUNTIFS(RawData[[Date ]],N4510,RawData[Month List],$Q$6,RawData[Tour/Site],$Q$2,RawData[[Picker ID ]],$Q$3,RawData[Checker ID],$Q$4,RawData[[Error Type ]],$Q$5))</f>
        <v/>
      </c>
    </row>
    <row r="4511" spans="15:15" x14ac:dyDescent="0.25">
      <c r="O4511" s="20" t="str">
        <f>IF(N4511="","",COUNTIFS(RawData[[Date ]],N4511,RawData[Month List],$Q$6,RawData[Tour/Site],$Q$2,RawData[[Picker ID ]],$Q$3,RawData[Checker ID],$Q$4,RawData[[Error Type ]],$Q$5))</f>
        <v/>
      </c>
    </row>
    <row r="4512" spans="15:15" x14ac:dyDescent="0.25">
      <c r="O4512" s="20" t="str">
        <f>IF(N4512="","",COUNTIFS(RawData[[Date ]],N4512,RawData[Month List],$Q$6,RawData[Tour/Site],$Q$2,RawData[[Picker ID ]],$Q$3,RawData[Checker ID],$Q$4,RawData[[Error Type ]],$Q$5))</f>
        <v/>
      </c>
    </row>
    <row r="4513" spans="15:15" x14ac:dyDescent="0.25">
      <c r="O4513" s="20" t="str">
        <f>IF(N4513="","",COUNTIFS(RawData[[Date ]],N4513,RawData[Month List],$Q$6,RawData[Tour/Site],$Q$2,RawData[[Picker ID ]],$Q$3,RawData[Checker ID],$Q$4,RawData[[Error Type ]],$Q$5))</f>
        <v/>
      </c>
    </row>
    <row r="4514" spans="15:15" x14ac:dyDescent="0.25">
      <c r="O4514" s="20" t="str">
        <f>IF(N4514="","",COUNTIFS(RawData[[Date ]],N4514,RawData[Month List],$Q$6,RawData[Tour/Site],$Q$2,RawData[[Picker ID ]],$Q$3,RawData[Checker ID],$Q$4,RawData[[Error Type ]],$Q$5))</f>
        <v/>
      </c>
    </row>
    <row r="4515" spans="15:15" x14ac:dyDescent="0.25">
      <c r="O4515" s="20" t="str">
        <f>IF(N4515="","",COUNTIFS(RawData[[Date ]],N4515,RawData[Month List],$Q$6,RawData[Tour/Site],$Q$2,RawData[[Picker ID ]],$Q$3,RawData[Checker ID],$Q$4,RawData[[Error Type ]],$Q$5))</f>
        <v/>
      </c>
    </row>
    <row r="4516" spans="15:15" x14ac:dyDescent="0.25">
      <c r="O4516" s="20" t="str">
        <f>IF(N4516="","",COUNTIFS(RawData[[Date ]],N4516,RawData[Month List],$Q$6,RawData[Tour/Site],$Q$2,RawData[[Picker ID ]],$Q$3,RawData[Checker ID],$Q$4,RawData[[Error Type ]],$Q$5))</f>
        <v/>
      </c>
    </row>
    <row r="4517" spans="15:15" x14ac:dyDescent="0.25">
      <c r="O4517" s="20" t="str">
        <f>IF(N4517="","",COUNTIFS(RawData[[Date ]],N4517,RawData[Month List],$Q$6,RawData[Tour/Site],$Q$2,RawData[[Picker ID ]],$Q$3,RawData[Checker ID],$Q$4,RawData[[Error Type ]],$Q$5))</f>
        <v/>
      </c>
    </row>
    <row r="4518" spans="15:15" x14ac:dyDescent="0.25">
      <c r="O4518" s="20" t="str">
        <f>IF(N4518="","",COUNTIFS(RawData[[Date ]],N4518,RawData[Month List],$Q$6,RawData[Tour/Site],$Q$2,RawData[[Picker ID ]],$Q$3,RawData[Checker ID],$Q$4,RawData[[Error Type ]],$Q$5))</f>
        <v/>
      </c>
    </row>
    <row r="4519" spans="15:15" x14ac:dyDescent="0.25">
      <c r="O4519" s="20" t="str">
        <f>IF(N4519="","",COUNTIFS(RawData[[Date ]],N4519,RawData[Month List],$Q$6,RawData[Tour/Site],$Q$2,RawData[[Picker ID ]],$Q$3,RawData[Checker ID],$Q$4,RawData[[Error Type ]],$Q$5))</f>
        <v/>
      </c>
    </row>
    <row r="4520" spans="15:15" x14ac:dyDescent="0.25">
      <c r="O4520" s="20" t="str">
        <f>IF(N4520="","",COUNTIFS(RawData[[Date ]],N4520,RawData[Month List],$Q$6,RawData[Tour/Site],$Q$2,RawData[[Picker ID ]],$Q$3,RawData[Checker ID],$Q$4,RawData[[Error Type ]],$Q$5))</f>
        <v/>
      </c>
    </row>
    <row r="4521" spans="15:15" x14ac:dyDescent="0.25">
      <c r="O4521" s="20" t="str">
        <f>IF(N4521="","",COUNTIFS(RawData[[Date ]],N4521,RawData[Month List],$Q$6,RawData[Tour/Site],$Q$2,RawData[[Picker ID ]],$Q$3,RawData[Checker ID],$Q$4,RawData[[Error Type ]],$Q$5))</f>
        <v/>
      </c>
    </row>
    <row r="4522" spans="15:15" x14ac:dyDescent="0.25">
      <c r="O4522" s="20" t="str">
        <f>IF(N4522="","",COUNTIFS(RawData[[Date ]],N4522,RawData[Month List],$Q$6,RawData[Tour/Site],$Q$2,RawData[[Picker ID ]],$Q$3,RawData[Checker ID],$Q$4,RawData[[Error Type ]],$Q$5))</f>
        <v/>
      </c>
    </row>
    <row r="4523" spans="15:15" x14ac:dyDescent="0.25">
      <c r="O4523" s="20" t="str">
        <f>IF(N4523="","",COUNTIFS(RawData[[Date ]],N4523,RawData[Month List],$Q$6,RawData[Tour/Site],$Q$2,RawData[[Picker ID ]],$Q$3,RawData[Checker ID],$Q$4,RawData[[Error Type ]],$Q$5))</f>
        <v/>
      </c>
    </row>
    <row r="4524" spans="15:15" x14ac:dyDescent="0.25">
      <c r="O4524" s="20" t="str">
        <f>IF(N4524="","",COUNTIFS(RawData[[Date ]],N4524,RawData[Month List],$Q$6,RawData[Tour/Site],$Q$2,RawData[[Picker ID ]],$Q$3,RawData[Checker ID],$Q$4,RawData[[Error Type ]],$Q$5))</f>
        <v/>
      </c>
    </row>
    <row r="4525" spans="15:15" x14ac:dyDescent="0.25">
      <c r="O4525" s="20" t="str">
        <f>IF(N4525="","",COUNTIFS(RawData[[Date ]],N4525,RawData[Month List],$Q$6,RawData[Tour/Site],$Q$2,RawData[[Picker ID ]],$Q$3,RawData[Checker ID],$Q$4,RawData[[Error Type ]],$Q$5))</f>
        <v/>
      </c>
    </row>
    <row r="4526" spans="15:15" x14ac:dyDescent="0.25">
      <c r="O4526" s="20" t="str">
        <f>IF(N4526="","",COUNTIFS(RawData[[Date ]],N4526,RawData[Month List],$Q$6,RawData[Tour/Site],$Q$2,RawData[[Picker ID ]],$Q$3,RawData[Checker ID],$Q$4,RawData[[Error Type ]],$Q$5))</f>
        <v/>
      </c>
    </row>
    <row r="4527" spans="15:15" x14ac:dyDescent="0.25">
      <c r="O4527" s="20" t="str">
        <f>IF(N4527="","",COUNTIFS(RawData[[Date ]],N4527,RawData[Month List],$Q$6,RawData[Tour/Site],$Q$2,RawData[[Picker ID ]],$Q$3,RawData[Checker ID],$Q$4,RawData[[Error Type ]],$Q$5))</f>
        <v/>
      </c>
    </row>
    <row r="4528" spans="15:15" x14ac:dyDescent="0.25">
      <c r="O4528" s="20" t="str">
        <f>IF(N4528="","",COUNTIFS(RawData[[Date ]],N4528,RawData[Month List],$Q$6,RawData[Tour/Site],$Q$2,RawData[[Picker ID ]],$Q$3,RawData[Checker ID],$Q$4,RawData[[Error Type ]],$Q$5))</f>
        <v/>
      </c>
    </row>
    <row r="4529" spans="15:15" x14ac:dyDescent="0.25">
      <c r="O4529" s="20" t="str">
        <f>IF(N4529="","",COUNTIFS(RawData[[Date ]],N4529,RawData[Month List],$Q$6,RawData[Tour/Site],$Q$2,RawData[[Picker ID ]],$Q$3,RawData[Checker ID],$Q$4,RawData[[Error Type ]],$Q$5))</f>
        <v/>
      </c>
    </row>
    <row r="4530" spans="15:15" x14ac:dyDescent="0.25">
      <c r="O4530" s="20" t="str">
        <f>IF(N4530="","",COUNTIFS(RawData[[Date ]],N4530,RawData[Month List],$Q$6,RawData[Tour/Site],$Q$2,RawData[[Picker ID ]],$Q$3,RawData[Checker ID],$Q$4,RawData[[Error Type ]],$Q$5))</f>
        <v/>
      </c>
    </row>
    <row r="4531" spans="15:15" x14ac:dyDescent="0.25">
      <c r="O4531" s="20" t="str">
        <f>IF(N4531="","",COUNTIFS(RawData[[Date ]],N4531,RawData[Month List],$Q$6,RawData[Tour/Site],$Q$2,RawData[[Picker ID ]],$Q$3,RawData[Checker ID],$Q$4,RawData[[Error Type ]],$Q$5))</f>
        <v/>
      </c>
    </row>
    <row r="4532" spans="15:15" x14ac:dyDescent="0.25">
      <c r="O4532" s="20" t="str">
        <f>IF(N4532="","",COUNTIFS(RawData[[Date ]],N4532,RawData[Month List],$Q$6,RawData[Tour/Site],$Q$2,RawData[[Picker ID ]],$Q$3,RawData[Checker ID],$Q$4,RawData[[Error Type ]],$Q$5))</f>
        <v/>
      </c>
    </row>
    <row r="4533" spans="15:15" x14ac:dyDescent="0.25">
      <c r="O4533" s="20" t="str">
        <f>IF(N4533="","",COUNTIFS(RawData[[Date ]],N4533,RawData[Month List],$Q$6,RawData[Tour/Site],$Q$2,RawData[[Picker ID ]],$Q$3,RawData[Checker ID],$Q$4,RawData[[Error Type ]],$Q$5))</f>
        <v/>
      </c>
    </row>
    <row r="4534" spans="15:15" x14ac:dyDescent="0.25">
      <c r="O4534" s="20" t="str">
        <f>IF(N4534="","",COUNTIFS(RawData[[Date ]],N4534,RawData[Month List],$Q$6,RawData[Tour/Site],$Q$2,RawData[[Picker ID ]],$Q$3,RawData[Checker ID],$Q$4,RawData[[Error Type ]],$Q$5))</f>
        <v/>
      </c>
    </row>
    <row r="4535" spans="15:15" x14ac:dyDescent="0.25">
      <c r="O4535" s="20" t="str">
        <f>IF(N4535="","",COUNTIFS(RawData[[Date ]],N4535,RawData[Month List],$Q$6,RawData[Tour/Site],$Q$2,RawData[[Picker ID ]],$Q$3,RawData[Checker ID],$Q$4,RawData[[Error Type ]],$Q$5))</f>
        <v/>
      </c>
    </row>
    <row r="4536" spans="15:15" x14ac:dyDescent="0.25">
      <c r="O4536" s="20" t="str">
        <f>IF(N4536="","",COUNTIFS(RawData[[Date ]],N4536,RawData[Month List],$Q$6,RawData[Tour/Site],$Q$2,RawData[[Picker ID ]],$Q$3,RawData[Checker ID],$Q$4,RawData[[Error Type ]],$Q$5))</f>
        <v/>
      </c>
    </row>
    <row r="4537" spans="15:15" x14ac:dyDescent="0.25">
      <c r="O4537" s="20" t="str">
        <f>IF(N4537="","",COUNTIFS(RawData[[Date ]],N4537,RawData[Month List],$Q$6,RawData[Tour/Site],$Q$2,RawData[[Picker ID ]],$Q$3,RawData[Checker ID],$Q$4,RawData[[Error Type ]],$Q$5))</f>
        <v/>
      </c>
    </row>
    <row r="4538" spans="15:15" x14ac:dyDescent="0.25">
      <c r="O4538" s="20" t="str">
        <f>IF(N4538="","",COUNTIFS(RawData[[Date ]],N4538,RawData[Month List],$Q$6,RawData[Tour/Site],$Q$2,RawData[[Picker ID ]],$Q$3,RawData[Checker ID],$Q$4,RawData[[Error Type ]],$Q$5))</f>
        <v/>
      </c>
    </row>
    <row r="4539" spans="15:15" x14ac:dyDescent="0.25">
      <c r="O4539" s="20" t="str">
        <f>IF(N4539="","",COUNTIFS(RawData[[Date ]],N4539,RawData[Month List],$Q$6,RawData[Tour/Site],$Q$2,RawData[[Picker ID ]],$Q$3,RawData[Checker ID],$Q$4,RawData[[Error Type ]],$Q$5))</f>
        <v/>
      </c>
    </row>
    <row r="4540" spans="15:15" x14ac:dyDescent="0.25">
      <c r="O4540" s="20" t="str">
        <f>IF(N4540="","",COUNTIFS(RawData[[Date ]],N4540,RawData[Month List],$Q$6,RawData[Tour/Site],$Q$2,RawData[[Picker ID ]],$Q$3,RawData[Checker ID],$Q$4,RawData[[Error Type ]],$Q$5))</f>
        <v/>
      </c>
    </row>
    <row r="4541" spans="15:15" x14ac:dyDescent="0.25">
      <c r="O4541" s="20" t="str">
        <f>IF(N4541="","",COUNTIFS(RawData[[Date ]],N4541,RawData[Month List],$Q$6,RawData[Tour/Site],$Q$2,RawData[[Picker ID ]],$Q$3,RawData[Checker ID],$Q$4,RawData[[Error Type ]],$Q$5))</f>
        <v/>
      </c>
    </row>
    <row r="4542" spans="15:15" x14ac:dyDescent="0.25">
      <c r="O4542" s="20" t="str">
        <f>IF(N4542="","",COUNTIFS(RawData[[Date ]],N4542,RawData[Month List],$Q$6,RawData[Tour/Site],$Q$2,RawData[[Picker ID ]],$Q$3,RawData[Checker ID],$Q$4,RawData[[Error Type ]],$Q$5))</f>
        <v/>
      </c>
    </row>
    <row r="4543" spans="15:15" x14ac:dyDescent="0.25">
      <c r="O4543" s="20" t="str">
        <f>IF(N4543="","",COUNTIFS(RawData[[Date ]],N4543,RawData[Month List],$Q$6,RawData[Tour/Site],$Q$2,RawData[[Picker ID ]],$Q$3,RawData[Checker ID],$Q$4,RawData[[Error Type ]],$Q$5))</f>
        <v/>
      </c>
    </row>
    <row r="4544" spans="15:15" x14ac:dyDescent="0.25">
      <c r="O4544" s="20" t="str">
        <f>IF(N4544="","",COUNTIFS(RawData[[Date ]],N4544,RawData[Month List],$Q$6,RawData[Tour/Site],$Q$2,RawData[[Picker ID ]],$Q$3,RawData[Checker ID],$Q$4,RawData[[Error Type ]],$Q$5))</f>
        <v/>
      </c>
    </row>
    <row r="4545" spans="15:15" x14ac:dyDescent="0.25">
      <c r="O4545" s="20" t="str">
        <f>IF(N4545="","",COUNTIFS(RawData[[Date ]],N4545,RawData[Month List],$Q$6,RawData[Tour/Site],$Q$2,RawData[[Picker ID ]],$Q$3,RawData[Checker ID],$Q$4,RawData[[Error Type ]],$Q$5))</f>
        <v/>
      </c>
    </row>
    <row r="4546" spans="15:15" x14ac:dyDescent="0.25">
      <c r="O4546" s="20" t="str">
        <f>IF(N4546="","",COUNTIFS(RawData[[Date ]],N4546,RawData[Month List],$Q$6,RawData[Tour/Site],$Q$2,RawData[[Picker ID ]],$Q$3,RawData[Checker ID],$Q$4,RawData[[Error Type ]],$Q$5))</f>
        <v/>
      </c>
    </row>
    <row r="4547" spans="15:15" x14ac:dyDescent="0.25">
      <c r="O4547" s="20" t="str">
        <f>IF(N4547="","",COUNTIFS(RawData[[Date ]],N4547,RawData[Month List],$Q$6,RawData[Tour/Site],$Q$2,RawData[[Picker ID ]],$Q$3,RawData[Checker ID],$Q$4,RawData[[Error Type ]],$Q$5))</f>
        <v/>
      </c>
    </row>
    <row r="4548" spans="15:15" x14ac:dyDescent="0.25">
      <c r="O4548" s="20" t="str">
        <f>IF(N4548="","",COUNTIFS(RawData[[Date ]],N4548,RawData[Month List],$Q$6,RawData[Tour/Site],$Q$2,RawData[[Picker ID ]],$Q$3,RawData[Checker ID],$Q$4,RawData[[Error Type ]],$Q$5))</f>
        <v/>
      </c>
    </row>
    <row r="4549" spans="15:15" x14ac:dyDescent="0.25">
      <c r="O4549" s="20" t="str">
        <f>IF(N4549="","",COUNTIFS(RawData[[Date ]],N4549,RawData[Month List],$Q$6,RawData[Tour/Site],$Q$2,RawData[[Picker ID ]],$Q$3,RawData[Checker ID],$Q$4,RawData[[Error Type ]],$Q$5))</f>
        <v/>
      </c>
    </row>
    <row r="4550" spans="15:15" x14ac:dyDescent="0.25">
      <c r="O4550" s="20" t="str">
        <f>IF(N4550="","",COUNTIFS(RawData[[Date ]],N4550,RawData[Month List],$Q$6,RawData[Tour/Site],$Q$2,RawData[[Picker ID ]],$Q$3,RawData[Checker ID],$Q$4,RawData[[Error Type ]],$Q$5))</f>
        <v/>
      </c>
    </row>
    <row r="4551" spans="15:15" x14ac:dyDescent="0.25">
      <c r="O4551" s="20" t="str">
        <f>IF(N4551="","",COUNTIFS(RawData[[Date ]],N4551,RawData[Month List],$Q$6,RawData[Tour/Site],$Q$2,RawData[[Picker ID ]],$Q$3,RawData[Checker ID],$Q$4,RawData[[Error Type ]],$Q$5))</f>
        <v/>
      </c>
    </row>
    <row r="4552" spans="15:15" x14ac:dyDescent="0.25">
      <c r="O4552" s="20" t="str">
        <f>IF(N4552="","",COUNTIFS(RawData[[Date ]],N4552,RawData[Month List],$Q$6,RawData[Tour/Site],$Q$2,RawData[[Picker ID ]],$Q$3,RawData[Checker ID],$Q$4,RawData[[Error Type ]],$Q$5))</f>
        <v/>
      </c>
    </row>
    <row r="4553" spans="15:15" x14ac:dyDescent="0.25">
      <c r="O4553" s="20" t="str">
        <f>IF(N4553="","",COUNTIFS(RawData[[Date ]],N4553,RawData[Month List],$Q$6,RawData[Tour/Site],$Q$2,RawData[[Picker ID ]],$Q$3,RawData[Checker ID],$Q$4,RawData[[Error Type ]],$Q$5))</f>
        <v/>
      </c>
    </row>
    <row r="4554" spans="15:15" x14ac:dyDescent="0.25">
      <c r="O4554" s="20" t="str">
        <f>IF(N4554="","",COUNTIFS(RawData[[Date ]],N4554,RawData[Month List],$Q$6,RawData[Tour/Site],$Q$2,RawData[[Picker ID ]],$Q$3,RawData[Checker ID],$Q$4,RawData[[Error Type ]],$Q$5))</f>
        <v/>
      </c>
    </row>
    <row r="4555" spans="15:15" x14ac:dyDescent="0.25">
      <c r="O4555" s="20" t="str">
        <f>IF(N4555="","",COUNTIFS(RawData[[Date ]],N4555,RawData[Month List],$Q$6,RawData[Tour/Site],$Q$2,RawData[[Picker ID ]],$Q$3,RawData[Checker ID],$Q$4,RawData[[Error Type ]],$Q$5))</f>
        <v/>
      </c>
    </row>
    <row r="4556" spans="15:15" x14ac:dyDescent="0.25">
      <c r="O4556" s="20" t="str">
        <f>IF(N4556="","",COUNTIFS(RawData[[Date ]],N4556,RawData[Month List],$Q$6,RawData[Tour/Site],$Q$2,RawData[[Picker ID ]],$Q$3,RawData[Checker ID],$Q$4,RawData[[Error Type ]],$Q$5))</f>
        <v/>
      </c>
    </row>
    <row r="4557" spans="15:15" x14ac:dyDescent="0.25">
      <c r="O4557" s="20" t="str">
        <f>IF(N4557="","",COUNTIFS(RawData[[Date ]],N4557,RawData[Month List],$Q$6,RawData[Tour/Site],$Q$2,RawData[[Picker ID ]],$Q$3,RawData[Checker ID],$Q$4,RawData[[Error Type ]],$Q$5))</f>
        <v/>
      </c>
    </row>
    <row r="4558" spans="15:15" x14ac:dyDescent="0.25">
      <c r="O4558" s="20" t="str">
        <f>IF(N4558="","",COUNTIFS(RawData[[Date ]],N4558,RawData[Month List],$Q$6,RawData[Tour/Site],$Q$2,RawData[[Picker ID ]],$Q$3,RawData[Checker ID],$Q$4,RawData[[Error Type ]],$Q$5))</f>
        <v/>
      </c>
    </row>
    <row r="4559" spans="15:15" x14ac:dyDescent="0.25">
      <c r="O4559" s="20" t="str">
        <f>IF(N4559="","",COUNTIFS(RawData[[Date ]],N4559,RawData[Month List],$Q$6,RawData[Tour/Site],$Q$2,RawData[[Picker ID ]],$Q$3,RawData[Checker ID],$Q$4,RawData[[Error Type ]],$Q$5))</f>
        <v/>
      </c>
    </row>
    <row r="4560" spans="15:15" x14ac:dyDescent="0.25">
      <c r="O4560" s="20" t="str">
        <f>IF(N4560="","",COUNTIFS(RawData[[Date ]],N4560,RawData[Month List],$Q$6,RawData[Tour/Site],$Q$2,RawData[[Picker ID ]],$Q$3,RawData[Checker ID],$Q$4,RawData[[Error Type ]],$Q$5))</f>
        <v/>
      </c>
    </row>
    <row r="4561" spans="15:15" x14ac:dyDescent="0.25">
      <c r="O4561" s="20" t="str">
        <f>IF(N4561="","",COUNTIFS(RawData[[Date ]],N4561,RawData[Month List],$Q$6,RawData[Tour/Site],$Q$2,RawData[[Picker ID ]],$Q$3,RawData[Checker ID],$Q$4,RawData[[Error Type ]],$Q$5))</f>
        <v/>
      </c>
    </row>
    <row r="4562" spans="15:15" x14ac:dyDescent="0.25">
      <c r="O4562" s="20" t="str">
        <f>IF(N4562="","",COUNTIFS(RawData[[Date ]],N4562,RawData[Month List],$Q$6,RawData[Tour/Site],$Q$2,RawData[[Picker ID ]],$Q$3,RawData[Checker ID],$Q$4,RawData[[Error Type ]],$Q$5))</f>
        <v/>
      </c>
    </row>
    <row r="4563" spans="15:15" x14ac:dyDescent="0.25">
      <c r="O4563" s="20" t="str">
        <f>IF(N4563="","",COUNTIFS(RawData[[Date ]],N4563,RawData[Month List],$Q$6,RawData[Tour/Site],$Q$2,RawData[[Picker ID ]],$Q$3,RawData[Checker ID],$Q$4,RawData[[Error Type ]],$Q$5))</f>
        <v/>
      </c>
    </row>
    <row r="4564" spans="15:15" x14ac:dyDescent="0.25">
      <c r="O4564" s="20" t="str">
        <f>IF(N4564="","",COUNTIFS(RawData[[Date ]],N4564,RawData[Month List],$Q$6,RawData[Tour/Site],$Q$2,RawData[[Picker ID ]],$Q$3,RawData[Checker ID],$Q$4,RawData[[Error Type ]],$Q$5))</f>
        <v/>
      </c>
    </row>
    <row r="4565" spans="15:15" x14ac:dyDescent="0.25">
      <c r="O4565" s="20" t="str">
        <f>IF(N4565="","",COUNTIFS(RawData[[Date ]],N4565,RawData[Month List],$Q$6,RawData[Tour/Site],$Q$2,RawData[[Picker ID ]],$Q$3,RawData[Checker ID],$Q$4,RawData[[Error Type ]],$Q$5))</f>
        <v/>
      </c>
    </row>
    <row r="4566" spans="15:15" x14ac:dyDescent="0.25">
      <c r="O4566" s="20" t="str">
        <f>IF(N4566="","",COUNTIFS(RawData[[Date ]],N4566,RawData[Month List],$Q$6,RawData[Tour/Site],$Q$2,RawData[[Picker ID ]],$Q$3,RawData[Checker ID],$Q$4,RawData[[Error Type ]],$Q$5))</f>
        <v/>
      </c>
    </row>
    <row r="4567" spans="15:15" x14ac:dyDescent="0.25">
      <c r="O4567" s="20" t="str">
        <f>IF(N4567="","",COUNTIFS(RawData[[Date ]],N4567,RawData[Month List],$Q$6,RawData[Tour/Site],$Q$2,RawData[[Picker ID ]],$Q$3,RawData[Checker ID],$Q$4,RawData[[Error Type ]],$Q$5))</f>
        <v/>
      </c>
    </row>
    <row r="4568" spans="15:15" x14ac:dyDescent="0.25">
      <c r="O4568" s="20" t="str">
        <f>IF(N4568="","",COUNTIFS(RawData[[Date ]],N4568,RawData[Month List],$Q$6,RawData[Tour/Site],$Q$2,RawData[[Picker ID ]],$Q$3,RawData[Checker ID],$Q$4,RawData[[Error Type ]],$Q$5))</f>
        <v/>
      </c>
    </row>
    <row r="4569" spans="15:15" x14ac:dyDescent="0.25">
      <c r="O4569" s="20" t="str">
        <f>IF(N4569="","",COUNTIFS(RawData[[Date ]],N4569,RawData[Month List],$Q$6,RawData[Tour/Site],$Q$2,RawData[[Picker ID ]],$Q$3,RawData[Checker ID],$Q$4,RawData[[Error Type ]],$Q$5))</f>
        <v/>
      </c>
    </row>
    <row r="4570" spans="15:15" x14ac:dyDescent="0.25">
      <c r="O4570" s="20" t="str">
        <f>IF(N4570="","",COUNTIFS(RawData[[Date ]],N4570,RawData[Month List],$Q$6,RawData[Tour/Site],$Q$2,RawData[[Picker ID ]],$Q$3,RawData[Checker ID],$Q$4,RawData[[Error Type ]],$Q$5))</f>
        <v/>
      </c>
    </row>
    <row r="4571" spans="15:15" x14ac:dyDescent="0.25">
      <c r="O4571" s="20" t="str">
        <f>IF(N4571="","",COUNTIFS(RawData[[Date ]],N4571,RawData[Month List],$Q$6,RawData[Tour/Site],$Q$2,RawData[[Picker ID ]],$Q$3,RawData[Checker ID],$Q$4,RawData[[Error Type ]],$Q$5))</f>
        <v/>
      </c>
    </row>
    <row r="4572" spans="15:15" x14ac:dyDescent="0.25">
      <c r="O4572" s="20" t="str">
        <f>IF(N4572="","",COUNTIFS(RawData[[Date ]],N4572,RawData[Month List],$Q$6,RawData[Tour/Site],$Q$2,RawData[[Picker ID ]],$Q$3,RawData[Checker ID],$Q$4,RawData[[Error Type ]],$Q$5))</f>
        <v/>
      </c>
    </row>
    <row r="4573" spans="15:15" x14ac:dyDescent="0.25">
      <c r="O4573" s="20" t="str">
        <f>IF(N4573="","",COUNTIFS(RawData[[Date ]],N4573,RawData[Month List],$Q$6,RawData[Tour/Site],$Q$2,RawData[[Picker ID ]],$Q$3,RawData[Checker ID],$Q$4,RawData[[Error Type ]],$Q$5))</f>
        <v/>
      </c>
    </row>
    <row r="4574" spans="15:15" x14ac:dyDescent="0.25">
      <c r="O4574" s="20" t="str">
        <f>IF(N4574="","",COUNTIFS(RawData[[Date ]],N4574,RawData[Month List],$Q$6,RawData[Tour/Site],$Q$2,RawData[[Picker ID ]],$Q$3,RawData[Checker ID],$Q$4,RawData[[Error Type ]],$Q$5))</f>
        <v/>
      </c>
    </row>
    <row r="4575" spans="15:15" x14ac:dyDescent="0.25">
      <c r="O4575" s="20" t="str">
        <f>IF(N4575="","",COUNTIFS(RawData[[Date ]],N4575,RawData[Month List],$Q$6,RawData[Tour/Site],$Q$2,RawData[[Picker ID ]],$Q$3,RawData[Checker ID],$Q$4,RawData[[Error Type ]],$Q$5))</f>
        <v/>
      </c>
    </row>
    <row r="4576" spans="15:15" x14ac:dyDescent="0.25">
      <c r="O4576" s="20" t="str">
        <f>IF(N4576="","",COUNTIFS(RawData[[Date ]],N4576,RawData[Month List],$Q$6,RawData[Tour/Site],$Q$2,RawData[[Picker ID ]],$Q$3,RawData[Checker ID],$Q$4,RawData[[Error Type ]],$Q$5))</f>
        <v/>
      </c>
    </row>
    <row r="4577" spans="15:15" x14ac:dyDescent="0.25">
      <c r="O4577" s="20" t="str">
        <f>IF(N4577="","",COUNTIFS(RawData[[Date ]],N4577,RawData[Month List],$Q$6,RawData[Tour/Site],$Q$2,RawData[[Picker ID ]],$Q$3,RawData[Checker ID],$Q$4,RawData[[Error Type ]],$Q$5))</f>
        <v/>
      </c>
    </row>
    <row r="4578" spans="15:15" x14ac:dyDescent="0.25">
      <c r="O4578" s="20" t="str">
        <f>IF(N4578="","",COUNTIFS(RawData[[Date ]],N4578,RawData[Month List],$Q$6,RawData[Tour/Site],$Q$2,RawData[[Picker ID ]],$Q$3,RawData[Checker ID],$Q$4,RawData[[Error Type ]],$Q$5))</f>
        <v/>
      </c>
    </row>
    <row r="4579" spans="15:15" x14ac:dyDescent="0.25">
      <c r="O4579" s="20" t="str">
        <f>IF(N4579="","",COUNTIFS(RawData[[Date ]],N4579,RawData[Month List],$Q$6,RawData[Tour/Site],$Q$2,RawData[[Picker ID ]],$Q$3,RawData[Checker ID],$Q$4,RawData[[Error Type ]],$Q$5))</f>
        <v/>
      </c>
    </row>
    <row r="4580" spans="15:15" x14ac:dyDescent="0.25">
      <c r="O4580" s="20" t="str">
        <f>IF(N4580="","",COUNTIFS(RawData[[Date ]],N4580,RawData[Month List],$Q$6,RawData[Tour/Site],$Q$2,RawData[[Picker ID ]],$Q$3,RawData[Checker ID],$Q$4,RawData[[Error Type ]],$Q$5))</f>
        <v/>
      </c>
    </row>
    <row r="4581" spans="15:15" x14ac:dyDescent="0.25">
      <c r="O4581" s="20" t="str">
        <f>IF(N4581="","",COUNTIFS(RawData[[Date ]],N4581,RawData[Month List],$Q$6,RawData[Tour/Site],$Q$2,RawData[[Picker ID ]],$Q$3,RawData[Checker ID],$Q$4,RawData[[Error Type ]],$Q$5))</f>
        <v/>
      </c>
    </row>
    <row r="4582" spans="15:15" x14ac:dyDescent="0.25">
      <c r="O4582" s="20" t="str">
        <f>IF(N4582="","",COUNTIFS(RawData[[Date ]],N4582,RawData[Month List],$Q$6,RawData[Tour/Site],$Q$2,RawData[[Picker ID ]],$Q$3,RawData[Checker ID],$Q$4,RawData[[Error Type ]],$Q$5))</f>
        <v/>
      </c>
    </row>
    <row r="4583" spans="15:15" x14ac:dyDescent="0.25">
      <c r="O4583" s="20" t="str">
        <f>IF(N4583="","",COUNTIFS(RawData[[Date ]],N4583,RawData[Month List],$Q$6,RawData[Tour/Site],$Q$2,RawData[[Picker ID ]],$Q$3,RawData[Checker ID],$Q$4,RawData[[Error Type ]],$Q$5))</f>
        <v/>
      </c>
    </row>
    <row r="4584" spans="15:15" x14ac:dyDescent="0.25">
      <c r="O4584" s="20" t="str">
        <f>IF(N4584="","",COUNTIFS(RawData[[Date ]],N4584,RawData[Month List],$Q$6,RawData[Tour/Site],$Q$2,RawData[[Picker ID ]],$Q$3,RawData[Checker ID],$Q$4,RawData[[Error Type ]],$Q$5))</f>
        <v/>
      </c>
    </row>
    <row r="4585" spans="15:15" x14ac:dyDescent="0.25">
      <c r="O4585" s="20" t="str">
        <f>IF(N4585="","",COUNTIFS(RawData[[Date ]],N4585,RawData[Month List],$Q$6,RawData[Tour/Site],$Q$2,RawData[[Picker ID ]],$Q$3,RawData[Checker ID],$Q$4,RawData[[Error Type ]],$Q$5))</f>
        <v/>
      </c>
    </row>
    <row r="4586" spans="15:15" x14ac:dyDescent="0.25">
      <c r="O4586" s="20" t="str">
        <f>IF(N4586="","",COUNTIFS(RawData[[Date ]],N4586,RawData[Month List],$Q$6,RawData[Tour/Site],$Q$2,RawData[[Picker ID ]],$Q$3,RawData[Checker ID],$Q$4,RawData[[Error Type ]],$Q$5))</f>
        <v/>
      </c>
    </row>
    <row r="4587" spans="15:15" x14ac:dyDescent="0.25">
      <c r="O4587" s="20" t="str">
        <f>IF(N4587="","",COUNTIFS(RawData[[Date ]],N4587,RawData[Month List],$Q$6,RawData[Tour/Site],$Q$2,RawData[[Picker ID ]],$Q$3,RawData[Checker ID],$Q$4,RawData[[Error Type ]],$Q$5))</f>
        <v/>
      </c>
    </row>
    <row r="4588" spans="15:15" x14ac:dyDescent="0.25">
      <c r="O4588" s="20" t="str">
        <f>IF(N4588="","",COUNTIFS(RawData[[Date ]],N4588,RawData[Month List],$Q$6,RawData[Tour/Site],$Q$2,RawData[[Picker ID ]],$Q$3,RawData[Checker ID],$Q$4,RawData[[Error Type ]],$Q$5))</f>
        <v/>
      </c>
    </row>
    <row r="4589" spans="15:15" x14ac:dyDescent="0.25">
      <c r="O4589" s="20" t="str">
        <f>IF(N4589="","",COUNTIFS(RawData[[Date ]],N4589,RawData[Month List],$Q$6,RawData[Tour/Site],$Q$2,RawData[[Picker ID ]],$Q$3,RawData[Checker ID],$Q$4,RawData[[Error Type ]],$Q$5))</f>
        <v/>
      </c>
    </row>
    <row r="4590" spans="15:15" x14ac:dyDescent="0.25">
      <c r="O4590" s="20" t="str">
        <f>IF(N4590="","",COUNTIFS(RawData[[Date ]],N4590,RawData[Month List],$Q$6,RawData[Tour/Site],$Q$2,RawData[[Picker ID ]],$Q$3,RawData[Checker ID],$Q$4,RawData[[Error Type ]],$Q$5))</f>
        <v/>
      </c>
    </row>
    <row r="4591" spans="15:15" x14ac:dyDescent="0.25">
      <c r="O4591" s="20" t="str">
        <f>IF(N4591="","",COUNTIFS(RawData[[Date ]],N4591,RawData[Month List],$Q$6,RawData[Tour/Site],$Q$2,RawData[[Picker ID ]],$Q$3,RawData[Checker ID],$Q$4,RawData[[Error Type ]],$Q$5))</f>
        <v/>
      </c>
    </row>
    <row r="4592" spans="15:15" x14ac:dyDescent="0.25">
      <c r="O4592" s="20" t="str">
        <f>IF(N4592="","",COUNTIFS(RawData[[Date ]],N4592,RawData[Month List],$Q$6,RawData[Tour/Site],$Q$2,RawData[[Picker ID ]],$Q$3,RawData[Checker ID],$Q$4,RawData[[Error Type ]],$Q$5))</f>
        <v/>
      </c>
    </row>
    <row r="4593" spans="15:15" x14ac:dyDescent="0.25">
      <c r="O4593" s="20" t="str">
        <f>IF(N4593="","",COUNTIFS(RawData[[Date ]],N4593,RawData[Month List],$Q$6,RawData[Tour/Site],$Q$2,RawData[[Picker ID ]],$Q$3,RawData[Checker ID],$Q$4,RawData[[Error Type ]],$Q$5))</f>
        <v/>
      </c>
    </row>
    <row r="4594" spans="15:15" x14ac:dyDescent="0.25">
      <c r="O4594" s="20" t="str">
        <f>IF(N4594="","",COUNTIFS(RawData[[Date ]],N4594,RawData[Month List],$Q$6,RawData[Tour/Site],$Q$2,RawData[[Picker ID ]],$Q$3,RawData[Checker ID],$Q$4,RawData[[Error Type ]],$Q$5))</f>
        <v/>
      </c>
    </row>
    <row r="4595" spans="15:15" x14ac:dyDescent="0.25">
      <c r="O4595" s="20" t="str">
        <f>IF(N4595="","",COUNTIFS(RawData[[Date ]],N4595,RawData[Month List],$Q$6,RawData[Tour/Site],$Q$2,RawData[[Picker ID ]],$Q$3,RawData[Checker ID],$Q$4,RawData[[Error Type ]],$Q$5))</f>
        <v/>
      </c>
    </row>
    <row r="4596" spans="15:15" x14ac:dyDescent="0.25">
      <c r="O4596" s="20" t="str">
        <f>IF(N4596="","",COUNTIFS(RawData[[Date ]],N4596,RawData[Month List],$Q$6,RawData[Tour/Site],$Q$2,RawData[[Picker ID ]],$Q$3,RawData[Checker ID],$Q$4,RawData[[Error Type ]],$Q$5))</f>
        <v/>
      </c>
    </row>
    <row r="4597" spans="15:15" x14ac:dyDescent="0.25">
      <c r="O4597" s="20" t="str">
        <f>IF(N4597="","",COUNTIFS(RawData[[Date ]],N4597,RawData[Month List],$Q$6,RawData[Tour/Site],$Q$2,RawData[[Picker ID ]],$Q$3,RawData[Checker ID],$Q$4,RawData[[Error Type ]],$Q$5))</f>
        <v/>
      </c>
    </row>
    <row r="4598" spans="15:15" x14ac:dyDescent="0.25">
      <c r="O4598" s="20" t="str">
        <f>IF(N4598="","",COUNTIFS(RawData[[Date ]],N4598,RawData[Month List],$Q$6,RawData[Tour/Site],$Q$2,RawData[[Picker ID ]],$Q$3,RawData[Checker ID],$Q$4,RawData[[Error Type ]],$Q$5))</f>
        <v/>
      </c>
    </row>
    <row r="4599" spans="15:15" x14ac:dyDescent="0.25">
      <c r="O4599" s="20" t="str">
        <f>IF(N4599="","",COUNTIFS(RawData[[Date ]],N4599,RawData[Month List],$Q$6,RawData[Tour/Site],$Q$2,RawData[[Picker ID ]],$Q$3,RawData[Checker ID],$Q$4,RawData[[Error Type ]],$Q$5))</f>
        <v/>
      </c>
    </row>
    <row r="4600" spans="15:15" x14ac:dyDescent="0.25">
      <c r="O4600" s="20" t="str">
        <f>IF(N4600="","",COUNTIFS(RawData[[Date ]],N4600,RawData[Month List],$Q$6,RawData[Tour/Site],$Q$2,RawData[[Picker ID ]],$Q$3,RawData[Checker ID],$Q$4,RawData[[Error Type ]],$Q$5))</f>
        <v/>
      </c>
    </row>
    <row r="4601" spans="15:15" x14ac:dyDescent="0.25">
      <c r="O4601" s="20" t="str">
        <f>IF(N4601="","",COUNTIFS(RawData[[Date ]],N4601,RawData[Month List],$Q$6,RawData[Tour/Site],$Q$2,RawData[[Picker ID ]],$Q$3,RawData[Checker ID],$Q$4,RawData[[Error Type ]],$Q$5))</f>
        <v/>
      </c>
    </row>
    <row r="4602" spans="15:15" x14ac:dyDescent="0.25">
      <c r="O4602" s="20" t="str">
        <f>IF(N4602="","",COUNTIFS(RawData[[Date ]],N4602,RawData[Month List],$Q$6,RawData[Tour/Site],$Q$2,RawData[[Picker ID ]],$Q$3,RawData[Checker ID],$Q$4,RawData[[Error Type ]],$Q$5))</f>
        <v/>
      </c>
    </row>
    <row r="4603" spans="15:15" x14ac:dyDescent="0.25">
      <c r="O4603" s="20" t="str">
        <f>IF(N4603="","",COUNTIFS(RawData[[Date ]],N4603,RawData[Month List],$Q$6,RawData[Tour/Site],$Q$2,RawData[[Picker ID ]],$Q$3,RawData[Checker ID],$Q$4,RawData[[Error Type ]],$Q$5))</f>
        <v/>
      </c>
    </row>
    <row r="4604" spans="15:15" x14ac:dyDescent="0.25">
      <c r="O4604" s="20" t="str">
        <f>IF(N4604="","",COUNTIFS(RawData[[Date ]],N4604,RawData[Month List],$Q$6,RawData[Tour/Site],$Q$2,RawData[[Picker ID ]],$Q$3,RawData[Checker ID],$Q$4,RawData[[Error Type ]],$Q$5))</f>
        <v/>
      </c>
    </row>
    <row r="4605" spans="15:15" x14ac:dyDescent="0.25">
      <c r="O4605" s="20" t="str">
        <f>IF(N4605="","",COUNTIFS(RawData[[Date ]],N4605,RawData[Month List],$Q$6,RawData[Tour/Site],$Q$2,RawData[[Picker ID ]],$Q$3,RawData[Checker ID],$Q$4,RawData[[Error Type ]],$Q$5))</f>
        <v/>
      </c>
    </row>
    <row r="4606" spans="15:15" x14ac:dyDescent="0.25">
      <c r="O4606" s="20" t="str">
        <f>IF(N4606="","",COUNTIFS(RawData[[Date ]],N4606,RawData[Month List],$Q$6,RawData[Tour/Site],$Q$2,RawData[[Picker ID ]],$Q$3,RawData[Checker ID],$Q$4,RawData[[Error Type ]],$Q$5))</f>
        <v/>
      </c>
    </row>
    <row r="4607" spans="15:15" x14ac:dyDescent="0.25">
      <c r="O4607" s="20" t="str">
        <f>IF(N4607="","",COUNTIFS(RawData[[Date ]],N4607,RawData[Month List],$Q$6,RawData[Tour/Site],$Q$2,RawData[[Picker ID ]],$Q$3,RawData[Checker ID],$Q$4,RawData[[Error Type ]],$Q$5))</f>
        <v/>
      </c>
    </row>
    <row r="4608" spans="15:15" x14ac:dyDescent="0.25">
      <c r="O4608" s="20" t="str">
        <f>IF(N4608="","",COUNTIFS(RawData[[Date ]],N4608,RawData[Month List],$Q$6,RawData[Tour/Site],$Q$2,RawData[[Picker ID ]],$Q$3,RawData[Checker ID],$Q$4,RawData[[Error Type ]],$Q$5))</f>
        <v/>
      </c>
    </row>
    <row r="4609" spans="15:15" x14ac:dyDescent="0.25">
      <c r="O4609" s="20" t="str">
        <f>IF(N4609="","",COUNTIFS(RawData[[Date ]],N4609,RawData[Month List],$Q$6,RawData[Tour/Site],$Q$2,RawData[[Picker ID ]],$Q$3,RawData[Checker ID],$Q$4,RawData[[Error Type ]],$Q$5))</f>
        <v/>
      </c>
    </row>
    <row r="4610" spans="15:15" x14ac:dyDescent="0.25">
      <c r="O4610" s="20" t="str">
        <f>IF(N4610="","",COUNTIFS(RawData[[Date ]],N4610,RawData[Month List],$Q$6,RawData[Tour/Site],$Q$2,RawData[[Picker ID ]],$Q$3,RawData[Checker ID],$Q$4,RawData[[Error Type ]],$Q$5))</f>
        <v/>
      </c>
    </row>
    <row r="4611" spans="15:15" x14ac:dyDescent="0.25">
      <c r="O4611" s="20" t="str">
        <f>IF(N4611="","",COUNTIFS(RawData[[Date ]],N4611,RawData[Month List],$Q$6,RawData[Tour/Site],$Q$2,RawData[[Picker ID ]],$Q$3,RawData[Checker ID],$Q$4,RawData[[Error Type ]],$Q$5))</f>
        <v/>
      </c>
    </row>
    <row r="4612" spans="15:15" x14ac:dyDescent="0.25">
      <c r="O4612" s="20" t="str">
        <f>IF(N4612="","",COUNTIFS(RawData[[Date ]],N4612,RawData[Month List],$Q$6,RawData[Tour/Site],$Q$2,RawData[[Picker ID ]],$Q$3,RawData[Checker ID],$Q$4,RawData[[Error Type ]],$Q$5))</f>
        <v/>
      </c>
    </row>
    <row r="4613" spans="15:15" x14ac:dyDescent="0.25">
      <c r="O4613" s="20" t="str">
        <f>IF(N4613="","",COUNTIFS(RawData[[Date ]],N4613,RawData[Month List],$Q$6,RawData[Tour/Site],$Q$2,RawData[[Picker ID ]],$Q$3,RawData[Checker ID],$Q$4,RawData[[Error Type ]],$Q$5))</f>
        <v/>
      </c>
    </row>
    <row r="4614" spans="15:15" x14ac:dyDescent="0.25">
      <c r="O4614" s="20" t="str">
        <f>IF(N4614="","",COUNTIFS(RawData[[Date ]],N4614,RawData[Month List],$Q$6,RawData[Tour/Site],$Q$2,RawData[[Picker ID ]],$Q$3,RawData[Checker ID],$Q$4,RawData[[Error Type ]],$Q$5))</f>
        <v/>
      </c>
    </row>
    <row r="4615" spans="15:15" x14ac:dyDescent="0.25">
      <c r="O4615" s="20" t="str">
        <f>IF(N4615="","",COUNTIFS(RawData[[Date ]],N4615,RawData[Month List],$Q$6,RawData[Tour/Site],$Q$2,RawData[[Picker ID ]],$Q$3,RawData[Checker ID],$Q$4,RawData[[Error Type ]],$Q$5))</f>
        <v/>
      </c>
    </row>
    <row r="4616" spans="15:15" x14ac:dyDescent="0.25">
      <c r="O4616" s="20" t="str">
        <f>IF(N4616="","",COUNTIFS(RawData[[Date ]],N4616,RawData[Month List],$Q$6,RawData[Tour/Site],$Q$2,RawData[[Picker ID ]],$Q$3,RawData[Checker ID],$Q$4,RawData[[Error Type ]],$Q$5))</f>
        <v/>
      </c>
    </row>
    <row r="4617" spans="15:15" x14ac:dyDescent="0.25">
      <c r="O4617" s="20" t="str">
        <f>IF(N4617="","",COUNTIFS(RawData[[Date ]],N4617,RawData[Month List],$Q$6,RawData[Tour/Site],$Q$2,RawData[[Picker ID ]],$Q$3,RawData[Checker ID],$Q$4,RawData[[Error Type ]],$Q$5))</f>
        <v/>
      </c>
    </row>
    <row r="4618" spans="15:15" x14ac:dyDescent="0.25">
      <c r="O4618" s="20" t="str">
        <f>IF(N4618="","",COUNTIFS(RawData[[Date ]],N4618,RawData[Month List],$Q$6,RawData[Tour/Site],$Q$2,RawData[[Picker ID ]],$Q$3,RawData[Checker ID],$Q$4,RawData[[Error Type ]],$Q$5))</f>
        <v/>
      </c>
    </row>
    <row r="4619" spans="15:15" x14ac:dyDescent="0.25">
      <c r="O4619" s="20" t="str">
        <f>IF(N4619="","",COUNTIFS(RawData[[Date ]],N4619,RawData[Month List],$Q$6,RawData[Tour/Site],$Q$2,RawData[[Picker ID ]],$Q$3,RawData[Checker ID],$Q$4,RawData[[Error Type ]],$Q$5))</f>
        <v/>
      </c>
    </row>
    <row r="4620" spans="15:15" x14ac:dyDescent="0.25">
      <c r="O4620" s="20" t="str">
        <f>IF(N4620="","",COUNTIFS(RawData[[Date ]],N4620,RawData[Month List],$Q$6,RawData[Tour/Site],$Q$2,RawData[[Picker ID ]],$Q$3,RawData[Checker ID],$Q$4,RawData[[Error Type ]],$Q$5))</f>
        <v/>
      </c>
    </row>
    <row r="4621" spans="15:15" x14ac:dyDescent="0.25">
      <c r="O4621" s="20" t="str">
        <f>IF(N4621="","",COUNTIFS(RawData[[Date ]],N4621,RawData[Month List],$Q$6,RawData[Tour/Site],$Q$2,RawData[[Picker ID ]],$Q$3,RawData[Checker ID],$Q$4,RawData[[Error Type ]],$Q$5))</f>
        <v/>
      </c>
    </row>
    <row r="4622" spans="15:15" x14ac:dyDescent="0.25">
      <c r="O4622" s="20" t="str">
        <f>IF(N4622="","",COUNTIFS(RawData[[Date ]],N4622,RawData[Month List],$Q$6,RawData[Tour/Site],$Q$2,RawData[[Picker ID ]],$Q$3,RawData[Checker ID],$Q$4,RawData[[Error Type ]],$Q$5))</f>
        <v/>
      </c>
    </row>
    <row r="4623" spans="15:15" x14ac:dyDescent="0.25">
      <c r="O4623" s="20" t="str">
        <f>IF(N4623="","",COUNTIFS(RawData[[Date ]],N4623,RawData[Month List],$Q$6,RawData[Tour/Site],$Q$2,RawData[[Picker ID ]],$Q$3,RawData[Checker ID],$Q$4,RawData[[Error Type ]],$Q$5))</f>
        <v/>
      </c>
    </row>
    <row r="4624" spans="15:15" x14ac:dyDescent="0.25">
      <c r="O4624" s="20" t="str">
        <f>IF(N4624="","",COUNTIFS(RawData[[Date ]],N4624,RawData[Month List],$Q$6,RawData[Tour/Site],$Q$2,RawData[[Picker ID ]],$Q$3,RawData[Checker ID],$Q$4,RawData[[Error Type ]],$Q$5))</f>
        <v/>
      </c>
    </row>
    <row r="4625" spans="15:15" x14ac:dyDescent="0.25">
      <c r="O4625" s="20" t="str">
        <f>IF(N4625="","",COUNTIFS(RawData[[Date ]],N4625,RawData[Month List],$Q$6,RawData[Tour/Site],$Q$2,RawData[[Picker ID ]],$Q$3,RawData[Checker ID],$Q$4,RawData[[Error Type ]],$Q$5))</f>
        <v/>
      </c>
    </row>
    <row r="4626" spans="15:15" x14ac:dyDescent="0.25">
      <c r="O4626" s="20" t="str">
        <f>IF(N4626="","",COUNTIFS(RawData[[Date ]],N4626,RawData[Month List],$Q$6,RawData[Tour/Site],$Q$2,RawData[[Picker ID ]],$Q$3,RawData[Checker ID],$Q$4,RawData[[Error Type ]],$Q$5))</f>
        <v/>
      </c>
    </row>
    <row r="4627" spans="15:15" x14ac:dyDescent="0.25">
      <c r="O4627" s="20" t="str">
        <f>IF(N4627="","",COUNTIFS(RawData[[Date ]],N4627,RawData[Month List],$Q$6,RawData[Tour/Site],$Q$2,RawData[[Picker ID ]],$Q$3,RawData[Checker ID],$Q$4,RawData[[Error Type ]],$Q$5))</f>
        <v/>
      </c>
    </row>
    <row r="4628" spans="15:15" x14ac:dyDescent="0.25">
      <c r="O4628" s="20" t="str">
        <f>IF(N4628="","",COUNTIFS(RawData[[Date ]],N4628,RawData[Month List],$Q$6,RawData[Tour/Site],$Q$2,RawData[[Picker ID ]],$Q$3,RawData[Checker ID],$Q$4,RawData[[Error Type ]],$Q$5))</f>
        <v/>
      </c>
    </row>
    <row r="4629" spans="15:15" x14ac:dyDescent="0.25">
      <c r="O4629" s="20" t="str">
        <f>IF(N4629="","",COUNTIFS(RawData[[Date ]],N4629,RawData[Month List],$Q$6,RawData[Tour/Site],$Q$2,RawData[[Picker ID ]],$Q$3,RawData[Checker ID],$Q$4,RawData[[Error Type ]],$Q$5))</f>
        <v/>
      </c>
    </row>
    <row r="4630" spans="15:15" x14ac:dyDescent="0.25">
      <c r="O4630" s="20" t="str">
        <f>IF(N4630="","",COUNTIFS(RawData[[Date ]],N4630,RawData[Month List],$Q$6,RawData[Tour/Site],$Q$2,RawData[[Picker ID ]],$Q$3,RawData[Checker ID],$Q$4,RawData[[Error Type ]],$Q$5))</f>
        <v/>
      </c>
    </row>
    <row r="4631" spans="15:15" x14ac:dyDescent="0.25">
      <c r="O4631" s="20" t="str">
        <f>IF(N4631="","",COUNTIFS(RawData[[Date ]],N4631,RawData[Month List],$Q$6,RawData[Tour/Site],$Q$2,RawData[[Picker ID ]],$Q$3,RawData[Checker ID],$Q$4,RawData[[Error Type ]],$Q$5))</f>
        <v/>
      </c>
    </row>
    <row r="4632" spans="15:15" x14ac:dyDescent="0.25">
      <c r="O4632" s="20" t="str">
        <f>IF(N4632="","",COUNTIFS(RawData[[Date ]],N4632,RawData[Month List],$Q$6,RawData[Tour/Site],$Q$2,RawData[[Picker ID ]],$Q$3,RawData[Checker ID],$Q$4,RawData[[Error Type ]],$Q$5))</f>
        <v/>
      </c>
    </row>
    <row r="4633" spans="15:15" x14ac:dyDescent="0.25">
      <c r="O4633" s="20" t="str">
        <f>IF(N4633="","",COUNTIFS(RawData[[Date ]],N4633,RawData[Month List],$Q$6,RawData[Tour/Site],$Q$2,RawData[[Picker ID ]],$Q$3,RawData[Checker ID],$Q$4,RawData[[Error Type ]],$Q$5))</f>
        <v/>
      </c>
    </row>
    <row r="4634" spans="15:15" x14ac:dyDescent="0.25">
      <c r="O4634" s="20" t="str">
        <f>IF(N4634="","",COUNTIFS(RawData[[Date ]],N4634,RawData[Month List],$Q$6,RawData[Tour/Site],$Q$2,RawData[[Picker ID ]],$Q$3,RawData[Checker ID],$Q$4,RawData[[Error Type ]],$Q$5))</f>
        <v/>
      </c>
    </row>
    <row r="4635" spans="15:15" x14ac:dyDescent="0.25">
      <c r="O4635" s="20" t="str">
        <f>IF(N4635="","",COUNTIFS(RawData[[Date ]],N4635,RawData[Month List],$Q$6,RawData[Tour/Site],$Q$2,RawData[[Picker ID ]],$Q$3,RawData[Checker ID],$Q$4,RawData[[Error Type ]],$Q$5))</f>
        <v/>
      </c>
    </row>
    <row r="4636" spans="15:15" x14ac:dyDescent="0.25">
      <c r="O4636" s="20" t="str">
        <f>IF(N4636="","",COUNTIFS(RawData[[Date ]],N4636,RawData[Month List],$Q$6,RawData[Tour/Site],$Q$2,RawData[[Picker ID ]],$Q$3,RawData[Checker ID],$Q$4,RawData[[Error Type ]],$Q$5))</f>
        <v/>
      </c>
    </row>
    <row r="4637" spans="15:15" x14ac:dyDescent="0.25">
      <c r="O4637" s="20" t="str">
        <f>IF(N4637="","",COUNTIFS(RawData[[Date ]],N4637,RawData[Month List],$Q$6,RawData[Tour/Site],$Q$2,RawData[[Picker ID ]],$Q$3,RawData[Checker ID],$Q$4,RawData[[Error Type ]],$Q$5))</f>
        <v/>
      </c>
    </row>
    <row r="4638" spans="15:15" x14ac:dyDescent="0.25">
      <c r="O4638" s="20" t="str">
        <f>IF(N4638="","",COUNTIFS(RawData[[Date ]],N4638,RawData[Month List],$Q$6,RawData[Tour/Site],$Q$2,RawData[[Picker ID ]],$Q$3,RawData[Checker ID],$Q$4,RawData[[Error Type ]],$Q$5))</f>
        <v/>
      </c>
    </row>
    <row r="4639" spans="15:15" x14ac:dyDescent="0.25">
      <c r="O4639" s="20" t="str">
        <f>IF(N4639="","",COUNTIFS(RawData[[Date ]],N4639,RawData[Month List],$Q$6,RawData[Tour/Site],$Q$2,RawData[[Picker ID ]],$Q$3,RawData[Checker ID],$Q$4,RawData[[Error Type ]],$Q$5))</f>
        <v/>
      </c>
    </row>
    <row r="4640" spans="15:15" x14ac:dyDescent="0.25">
      <c r="O4640" s="20" t="str">
        <f>IF(N4640="","",COUNTIFS(RawData[[Date ]],N4640,RawData[Month List],$Q$6,RawData[Tour/Site],$Q$2,RawData[[Picker ID ]],$Q$3,RawData[Checker ID],$Q$4,RawData[[Error Type ]],$Q$5))</f>
        <v/>
      </c>
    </row>
    <row r="4641" spans="15:15" x14ac:dyDescent="0.25">
      <c r="O4641" s="20" t="str">
        <f>IF(N4641="","",COUNTIFS(RawData[[Date ]],N4641,RawData[Month List],$Q$6,RawData[Tour/Site],$Q$2,RawData[[Picker ID ]],$Q$3,RawData[Checker ID],$Q$4,RawData[[Error Type ]],$Q$5))</f>
        <v/>
      </c>
    </row>
    <row r="4642" spans="15:15" x14ac:dyDescent="0.25">
      <c r="O4642" s="20" t="str">
        <f>IF(N4642="","",COUNTIFS(RawData[[Date ]],N4642,RawData[Month List],$Q$6,RawData[Tour/Site],$Q$2,RawData[[Picker ID ]],$Q$3,RawData[Checker ID],$Q$4,RawData[[Error Type ]],$Q$5))</f>
        <v/>
      </c>
    </row>
    <row r="4643" spans="15:15" x14ac:dyDescent="0.25">
      <c r="O4643" s="20" t="str">
        <f>IF(N4643="","",COUNTIFS(RawData[[Date ]],N4643,RawData[Month List],$Q$6,RawData[Tour/Site],$Q$2,RawData[[Picker ID ]],$Q$3,RawData[Checker ID],$Q$4,RawData[[Error Type ]],$Q$5))</f>
        <v/>
      </c>
    </row>
    <row r="4644" spans="15:15" x14ac:dyDescent="0.25">
      <c r="O4644" s="20" t="str">
        <f>IF(N4644="","",COUNTIFS(RawData[[Date ]],N4644,RawData[Month List],$Q$6,RawData[Tour/Site],$Q$2,RawData[[Picker ID ]],$Q$3,RawData[Checker ID],$Q$4,RawData[[Error Type ]],$Q$5))</f>
        <v/>
      </c>
    </row>
    <row r="4645" spans="15:15" x14ac:dyDescent="0.25">
      <c r="O4645" s="20" t="str">
        <f>IF(N4645="","",COUNTIFS(RawData[[Date ]],N4645,RawData[Month List],$Q$6,RawData[Tour/Site],$Q$2,RawData[[Picker ID ]],$Q$3,RawData[Checker ID],$Q$4,RawData[[Error Type ]],$Q$5))</f>
        <v/>
      </c>
    </row>
    <row r="4646" spans="15:15" x14ac:dyDescent="0.25">
      <c r="O4646" s="20" t="str">
        <f>IF(N4646="","",COUNTIFS(RawData[[Date ]],N4646,RawData[Month List],$Q$6,RawData[Tour/Site],$Q$2,RawData[[Picker ID ]],$Q$3,RawData[Checker ID],$Q$4,RawData[[Error Type ]],$Q$5))</f>
        <v/>
      </c>
    </row>
    <row r="4647" spans="15:15" x14ac:dyDescent="0.25">
      <c r="O4647" s="20" t="str">
        <f>IF(N4647="","",COUNTIFS(RawData[[Date ]],N4647,RawData[Month List],$Q$6,RawData[Tour/Site],$Q$2,RawData[[Picker ID ]],$Q$3,RawData[Checker ID],$Q$4,RawData[[Error Type ]],$Q$5))</f>
        <v/>
      </c>
    </row>
    <row r="4648" spans="15:15" x14ac:dyDescent="0.25">
      <c r="O4648" s="20" t="str">
        <f>IF(N4648="","",COUNTIFS(RawData[[Date ]],N4648,RawData[Month List],$Q$6,RawData[Tour/Site],$Q$2,RawData[[Picker ID ]],$Q$3,RawData[Checker ID],$Q$4,RawData[[Error Type ]],$Q$5))</f>
        <v/>
      </c>
    </row>
    <row r="4649" spans="15:15" x14ac:dyDescent="0.25">
      <c r="O4649" s="20" t="str">
        <f>IF(N4649="","",COUNTIFS(RawData[[Date ]],N4649,RawData[Month List],$Q$6,RawData[Tour/Site],$Q$2,RawData[[Picker ID ]],$Q$3,RawData[Checker ID],$Q$4,RawData[[Error Type ]],$Q$5))</f>
        <v/>
      </c>
    </row>
    <row r="4650" spans="15:15" x14ac:dyDescent="0.25">
      <c r="O4650" s="20" t="str">
        <f>IF(N4650="","",COUNTIFS(RawData[[Date ]],N4650,RawData[Month List],$Q$6,RawData[Tour/Site],$Q$2,RawData[[Picker ID ]],$Q$3,RawData[Checker ID],$Q$4,RawData[[Error Type ]],$Q$5))</f>
        <v/>
      </c>
    </row>
    <row r="4651" spans="15:15" x14ac:dyDescent="0.25">
      <c r="O4651" s="20" t="str">
        <f>IF(N4651="","",COUNTIFS(RawData[[Date ]],N4651,RawData[Month List],$Q$6,RawData[Tour/Site],$Q$2,RawData[[Picker ID ]],$Q$3,RawData[Checker ID],$Q$4,RawData[[Error Type ]],$Q$5))</f>
        <v/>
      </c>
    </row>
    <row r="4652" spans="15:15" x14ac:dyDescent="0.25">
      <c r="O4652" s="20" t="str">
        <f>IF(N4652="","",COUNTIFS(RawData[[Date ]],N4652,RawData[Month List],$Q$6,RawData[Tour/Site],$Q$2,RawData[[Picker ID ]],$Q$3,RawData[Checker ID],$Q$4,RawData[[Error Type ]],$Q$5))</f>
        <v/>
      </c>
    </row>
    <row r="4653" spans="15:15" x14ac:dyDescent="0.25">
      <c r="O4653" s="20" t="str">
        <f>IF(N4653="","",COUNTIFS(RawData[[Date ]],N4653,RawData[Month List],$Q$6,RawData[Tour/Site],$Q$2,RawData[[Picker ID ]],$Q$3,RawData[Checker ID],$Q$4,RawData[[Error Type ]],$Q$5))</f>
        <v/>
      </c>
    </row>
    <row r="4654" spans="15:15" x14ac:dyDescent="0.25">
      <c r="O4654" s="20" t="str">
        <f>IF(N4654="","",COUNTIFS(RawData[[Date ]],N4654,RawData[Month List],$Q$6,RawData[Tour/Site],$Q$2,RawData[[Picker ID ]],$Q$3,RawData[Checker ID],$Q$4,RawData[[Error Type ]],$Q$5))</f>
        <v/>
      </c>
    </row>
    <row r="4655" spans="15:15" x14ac:dyDescent="0.25">
      <c r="O4655" s="20" t="str">
        <f>IF(N4655="","",COUNTIFS(RawData[[Date ]],N4655,RawData[Month List],$Q$6,RawData[Tour/Site],$Q$2,RawData[[Picker ID ]],$Q$3,RawData[Checker ID],$Q$4,RawData[[Error Type ]],$Q$5))</f>
        <v/>
      </c>
    </row>
    <row r="4656" spans="15:15" x14ac:dyDescent="0.25">
      <c r="O4656" s="20" t="str">
        <f>IF(N4656="","",COUNTIFS(RawData[[Date ]],N4656,RawData[Month List],$Q$6,RawData[Tour/Site],$Q$2,RawData[[Picker ID ]],$Q$3,RawData[Checker ID],$Q$4,RawData[[Error Type ]],$Q$5))</f>
        <v/>
      </c>
    </row>
    <row r="4657" spans="15:15" x14ac:dyDescent="0.25">
      <c r="O4657" s="20" t="str">
        <f>IF(N4657="","",COUNTIFS(RawData[[Date ]],N4657,RawData[Month List],$Q$6,RawData[Tour/Site],$Q$2,RawData[[Picker ID ]],$Q$3,RawData[Checker ID],$Q$4,RawData[[Error Type ]],$Q$5))</f>
        <v/>
      </c>
    </row>
    <row r="4658" spans="15:15" x14ac:dyDescent="0.25">
      <c r="O4658" s="20" t="str">
        <f>IF(N4658="","",COUNTIFS(RawData[[Date ]],N4658,RawData[Month List],$Q$6,RawData[Tour/Site],$Q$2,RawData[[Picker ID ]],$Q$3,RawData[Checker ID],$Q$4,RawData[[Error Type ]],$Q$5))</f>
        <v/>
      </c>
    </row>
    <row r="4659" spans="15:15" x14ac:dyDescent="0.25">
      <c r="O4659" s="20" t="str">
        <f>IF(N4659="","",COUNTIFS(RawData[[Date ]],N4659,RawData[Month List],$Q$6,RawData[Tour/Site],$Q$2,RawData[[Picker ID ]],$Q$3,RawData[Checker ID],$Q$4,RawData[[Error Type ]],$Q$5))</f>
        <v/>
      </c>
    </row>
    <row r="4660" spans="15:15" x14ac:dyDescent="0.25">
      <c r="O4660" s="20" t="str">
        <f>IF(N4660="","",COUNTIFS(RawData[[Date ]],N4660,RawData[Month List],$Q$6,RawData[Tour/Site],$Q$2,RawData[[Picker ID ]],$Q$3,RawData[Checker ID],$Q$4,RawData[[Error Type ]],$Q$5))</f>
        <v/>
      </c>
    </row>
    <row r="4661" spans="15:15" x14ac:dyDescent="0.25">
      <c r="O4661" s="20" t="str">
        <f>IF(N4661="","",COUNTIFS(RawData[[Date ]],N4661,RawData[Month List],$Q$6,RawData[Tour/Site],$Q$2,RawData[[Picker ID ]],$Q$3,RawData[Checker ID],$Q$4,RawData[[Error Type ]],$Q$5))</f>
        <v/>
      </c>
    </row>
    <row r="4662" spans="15:15" x14ac:dyDescent="0.25">
      <c r="O4662" s="20" t="str">
        <f>IF(N4662="","",COUNTIFS(RawData[[Date ]],N4662,RawData[Month List],$Q$6,RawData[Tour/Site],$Q$2,RawData[[Picker ID ]],$Q$3,RawData[Checker ID],$Q$4,RawData[[Error Type ]],$Q$5))</f>
        <v/>
      </c>
    </row>
    <row r="4663" spans="15:15" x14ac:dyDescent="0.25">
      <c r="O4663" s="20" t="str">
        <f>IF(N4663="","",COUNTIFS(RawData[[Date ]],N4663,RawData[Month List],$Q$6,RawData[Tour/Site],$Q$2,RawData[[Picker ID ]],$Q$3,RawData[Checker ID],$Q$4,RawData[[Error Type ]],$Q$5))</f>
        <v/>
      </c>
    </row>
    <row r="4664" spans="15:15" x14ac:dyDescent="0.25">
      <c r="O4664" s="20" t="str">
        <f>IF(N4664="","",COUNTIFS(RawData[[Date ]],N4664,RawData[Month List],$Q$6,RawData[Tour/Site],$Q$2,RawData[[Picker ID ]],$Q$3,RawData[Checker ID],$Q$4,RawData[[Error Type ]],$Q$5))</f>
        <v/>
      </c>
    </row>
    <row r="4665" spans="15:15" x14ac:dyDescent="0.25">
      <c r="O4665" s="20" t="str">
        <f>IF(N4665="","",COUNTIFS(RawData[[Date ]],N4665,RawData[Month List],$Q$6,RawData[Tour/Site],$Q$2,RawData[[Picker ID ]],$Q$3,RawData[Checker ID],$Q$4,RawData[[Error Type ]],$Q$5))</f>
        <v/>
      </c>
    </row>
    <row r="4666" spans="15:15" x14ac:dyDescent="0.25">
      <c r="O4666" s="20" t="str">
        <f>IF(N4666="","",COUNTIFS(RawData[[Date ]],N4666,RawData[Month List],$Q$6,RawData[Tour/Site],$Q$2,RawData[[Picker ID ]],$Q$3,RawData[Checker ID],$Q$4,RawData[[Error Type ]],$Q$5))</f>
        <v/>
      </c>
    </row>
    <row r="4667" spans="15:15" x14ac:dyDescent="0.25">
      <c r="O4667" s="20" t="str">
        <f>IF(N4667="","",COUNTIFS(RawData[[Date ]],N4667,RawData[Month List],$Q$6,RawData[Tour/Site],$Q$2,RawData[[Picker ID ]],$Q$3,RawData[Checker ID],$Q$4,RawData[[Error Type ]],$Q$5))</f>
        <v/>
      </c>
    </row>
    <row r="4668" spans="15:15" x14ac:dyDescent="0.25">
      <c r="O4668" s="20" t="str">
        <f>IF(N4668="","",COUNTIFS(RawData[[Date ]],N4668,RawData[Month List],$Q$6,RawData[Tour/Site],$Q$2,RawData[[Picker ID ]],$Q$3,RawData[Checker ID],$Q$4,RawData[[Error Type ]],$Q$5))</f>
        <v/>
      </c>
    </row>
    <row r="4669" spans="15:15" x14ac:dyDescent="0.25">
      <c r="O4669" s="20" t="str">
        <f>IF(N4669="","",COUNTIFS(RawData[[Date ]],N4669,RawData[Month List],$Q$6,RawData[Tour/Site],$Q$2,RawData[[Picker ID ]],$Q$3,RawData[Checker ID],$Q$4,RawData[[Error Type ]],$Q$5))</f>
        <v/>
      </c>
    </row>
    <row r="4670" spans="15:15" x14ac:dyDescent="0.25">
      <c r="O4670" s="20" t="str">
        <f>IF(N4670="","",COUNTIFS(RawData[[Date ]],N4670,RawData[Month List],$Q$6,RawData[Tour/Site],$Q$2,RawData[[Picker ID ]],$Q$3,RawData[Checker ID],$Q$4,RawData[[Error Type ]],$Q$5))</f>
        <v/>
      </c>
    </row>
    <row r="4671" spans="15:15" x14ac:dyDescent="0.25">
      <c r="O4671" s="20" t="str">
        <f>IF(N4671="","",COUNTIFS(RawData[[Date ]],N4671,RawData[Month List],$Q$6,RawData[Tour/Site],$Q$2,RawData[[Picker ID ]],$Q$3,RawData[Checker ID],$Q$4,RawData[[Error Type ]],$Q$5))</f>
        <v/>
      </c>
    </row>
    <row r="4672" spans="15:15" x14ac:dyDescent="0.25">
      <c r="O4672" s="20" t="str">
        <f>IF(N4672="","",COUNTIFS(RawData[[Date ]],N4672,RawData[Month List],$Q$6,RawData[Tour/Site],$Q$2,RawData[[Picker ID ]],$Q$3,RawData[Checker ID],$Q$4,RawData[[Error Type ]],$Q$5))</f>
        <v/>
      </c>
    </row>
    <row r="4673" spans="15:15" x14ac:dyDescent="0.25">
      <c r="O4673" s="20" t="str">
        <f>IF(N4673="","",COUNTIFS(RawData[[Date ]],N4673,RawData[Month List],$Q$6,RawData[Tour/Site],$Q$2,RawData[[Picker ID ]],$Q$3,RawData[Checker ID],$Q$4,RawData[[Error Type ]],$Q$5))</f>
        <v/>
      </c>
    </row>
    <row r="4674" spans="15:15" x14ac:dyDescent="0.25">
      <c r="O4674" s="20" t="str">
        <f>IF(N4674="","",COUNTIFS(RawData[[Date ]],N4674,RawData[Month List],$Q$6,RawData[Tour/Site],$Q$2,RawData[[Picker ID ]],$Q$3,RawData[Checker ID],$Q$4,RawData[[Error Type ]],$Q$5))</f>
        <v/>
      </c>
    </row>
    <row r="4675" spans="15:15" x14ac:dyDescent="0.25">
      <c r="O4675" s="20" t="str">
        <f>IF(N4675="","",COUNTIFS(RawData[[Date ]],N4675,RawData[Month List],$Q$6,RawData[Tour/Site],$Q$2,RawData[[Picker ID ]],$Q$3,RawData[Checker ID],$Q$4,RawData[[Error Type ]],$Q$5))</f>
        <v/>
      </c>
    </row>
    <row r="4676" spans="15:15" x14ac:dyDescent="0.25">
      <c r="O4676" s="20" t="str">
        <f>IF(N4676="","",COUNTIFS(RawData[[Date ]],N4676,RawData[Month List],$Q$6,RawData[Tour/Site],$Q$2,RawData[[Picker ID ]],$Q$3,RawData[Checker ID],$Q$4,RawData[[Error Type ]],$Q$5))</f>
        <v/>
      </c>
    </row>
    <row r="4677" spans="15:15" x14ac:dyDescent="0.25">
      <c r="O4677" s="20" t="str">
        <f>IF(N4677="","",COUNTIFS(RawData[[Date ]],N4677,RawData[Month List],$Q$6,RawData[Tour/Site],$Q$2,RawData[[Picker ID ]],$Q$3,RawData[Checker ID],$Q$4,RawData[[Error Type ]],$Q$5))</f>
        <v/>
      </c>
    </row>
    <row r="4678" spans="15:15" x14ac:dyDescent="0.25">
      <c r="O4678" s="20" t="str">
        <f>IF(N4678="","",COUNTIFS(RawData[[Date ]],N4678,RawData[Month List],$Q$6,RawData[Tour/Site],$Q$2,RawData[[Picker ID ]],$Q$3,RawData[Checker ID],$Q$4,RawData[[Error Type ]],$Q$5))</f>
        <v/>
      </c>
    </row>
    <row r="4679" spans="15:15" x14ac:dyDescent="0.25">
      <c r="O4679" s="20" t="str">
        <f>IF(N4679="","",COUNTIFS(RawData[[Date ]],N4679,RawData[Month List],$Q$6,RawData[Tour/Site],$Q$2,RawData[[Picker ID ]],$Q$3,RawData[Checker ID],$Q$4,RawData[[Error Type ]],$Q$5))</f>
        <v/>
      </c>
    </row>
    <row r="4680" spans="15:15" x14ac:dyDescent="0.25">
      <c r="O4680" s="20" t="str">
        <f>IF(N4680="","",COUNTIFS(RawData[[Date ]],N4680,RawData[Month List],$Q$6,RawData[Tour/Site],$Q$2,RawData[[Picker ID ]],$Q$3,RawData[Checker ID],$Q$4,RawData[[Error Type ]],$Q$5))</f>
        <v/>
      </c>
    </row>
    <row r="4681" spans="15:15" x14ac:dyDescent="0.25">
      <c r="O4681" s="20" t="str">
        <f>IF(N4681="","",COUNTIFS(RawData[[Date ]],N4681,RawData[Month List],$Q$6,RawData[Tour/Site],$Q$2,RawData[[Picker ID ]],$Q$3,RawData[Checker ID],$Q$4,RawData[[Error Type ]],$Q$5))</f>
        <v/>
      </c>
    </row>
    <row r="4682" spans="15:15" x14ac:dyDescent="0.25">
      <c r="O4682" s="20" t="str">
        <f>IF(N4682="","",COUNTIFS(RawData[[Date ]],N4682,RawData[Month List],$Q$6,RawData[Tour/Site],$Q$2,RawData[[Picker ID ]],$Q$3,RawData[Checker ID],$Q$4,RawData[[Error Type ]],$Q$5))</f>
        <v/>
      </c>
    </row>
    <row r="4683" spans="15:15" x14ac:dyDescent="0.25">
      <c r="O4683" s="20" t="str">
        <f>IF(N4683="","",COUNTIFS(RawData[[Date ]],N4683,RawData[Month List],$Q$6,RawData[Tour/Site],$Q$2,RawData[[Picker ID ]],$Q$3,RawData[Checker ID],$Q$4,RawData[[Error Type ]],$Q$5))</f>
        <v/>
      </c>
    </row>
    <row r="4684" spans="15:15" x14ac:dyDescent="0.25">
      <c r="O4684" s="20" t="str">
        <f>IF(N4684="","",COUNTIFS(RawData[[Date ]],N4684,RawData[Month List],$Q$6,RawData[Tour/Site],$Q$2,RawData[[Picker ID ]],$Q$3,RawData[Checker ID],$Q$4,RawData[[Error Type ]],$Q$5))</f>
        <v/>
      </c>
    </row>
    <row r="4685" spans="15:15" x14ac:dyDescent="0.25">
      <c r="O4685" s="20" t="str">
        <f>IF(N4685="","",COUNTIFS(RawData[[Date ]],N4685,RawData[Month List],$Q$6,RawData[Tour/Site],$Q$2,RawData[[Picker ID ]],$Q$3,RawData[Checker ID],$Q$4,RawData[[Error Type ]],$Q$5))</f>
        <v/>
      </c>
    </row>
    <row r="4686" spans="15:15" x14ac:dyDescent="0.25">
      <c r="O4686" s="20" t="str">
        <f>IF(N4686="","",COUNTIFS(RawData[[Date ]],N4686,RawData[Month List],$Q$6,RawData[Tour/Site],$Q$2,RawData[[Picker ID ]],$Q$3,RawData[Checker ID],$Q$4,RawData[[Error Type ]],$Q$5))</f>
        <v/>
      </c>
    </row>
    <row r="4687" spans="15:15" x14ac:dyDescent="0.25">
      <c r="O4687" s="20" t="str">
        <f>IF(N4687="","",COUNTIFS(RawData[[Date ]],N4687,RawData[Month List],$Q$6,RawData[Tour/Site],$Q$2,RawData[[Picker ID ]],$Q$3,RawData[Checker ID],$Q$4,RawData[[Error Type ]],$Q$5))</f>
        <v/>
      </c>
    </row>
    <row r="4688" spans="15:15" x14ac:dyDescent="0.25">
      <c r="O4688" s="20" t="str">
        <f>IF(N4688="","",COUNTIFS(RawData[[Date ]],N4688,RawData[Month List],$Q$6,RawData[Tour/Site],$Q$2,RawData[[Picker ID ]],$Q$3,RawData[Checker ID],$Q$4,RawData[[Error Type ]],$Q$5))</f>
        <v/>
      </c>
    </row>
    <row r="4689" spans="15:15" x14ac:dyDescent="0.25">
      <c r="O4689" s="20" t="str">
        <f>IF(N4689="","",COUNTIFS(RawData[[Date ]],N4689,RawData[Month List],$Q$6,RawData[Tour/Site],$Q$2,RawData[[Picker ID ]],$Q$3,RawData[Checker ID],$Q$4,RawData[[Error Type ]],$Q$5))</f>
        <v/>
      </c>
    </row>
    <row r="4690" spans="15:15" x14ac:dyDescent="0.25">
      <c r="O4690" s="20" t="str">
        <f>IF(N4690="","",COUNTIFS(RawData[[Date ]],N4690,RawData[Month List],$Q$6,RawData[Tour/Site],$Q$2,RawData[[Picker ID ]],$Q$3,RawData[Checker ID],$Q$4,RawData[[Error Type ]],$Q$5))</f>
        <v/>
      </c>
    </row>
    <row r="4691" spans="15:15" x14ac:dyDescent="0.25">
      <c r="O4691" s="20" t="str">
        <f>IF(N4691="","",COUNTIFS(RawData[[Date ]],N4691,RawData[Month List],$Q$6,RawData[Tour/Site],$Q$2,RawData[[Picker ID ]],$Q$3,RawData[Checker ID],$Q$4,RawData[[Error Type ]],$Q$5))</f>
        <v/>
      </c>
    </row>
    <row r="4692" spans="15:15" x14ac:dyDescent="0.25">
      <c r="O4692" s="20" t="str">
        <f>IF(N4692="","",COUNTIFS(RawData[[Date ]],N4692,RawData[Month List],$Q$6,RawData[Tour/Site],$Q$2,RawData[[Picker ID ]],$Q$3,RawData[Checker ID],$Q$4,RawData[[Error Type ]],$Q$5))</f>
        <v/>
      </c>
    </row>
    <row r="4693" spans="15:15" x14ac:dyDescent="0.25">
      <c r="O4693" s="20" t="str">
        <f>IF(N4693="","",COUNTIFS(RawData[[Date ]],N4693,RawData[Month List],$Q$6,RawData[Tour/Site],$Q$2,RawData[[Picker ID ]],$Q$3,RawData[Checker ID],$Q$4,RawData[[Error Type ]],$Q$5))</f>
        <v/>
      </c>
    </row>
    <row r="4694" spans="15:15" x14ac:dyDescent="0.25">
      <c r="O4694" s="20" t="str">
        <f>IF(N4694="","",COUNTIFS(RawData[[Date ]],N4694,RawData[Month List],$Q$6,RawData[Tour/Site],$Q$2,RawData[[Picker ID ]],$Q$3,RawData[Checker ID],$Q$4,RawData[[Error Type ]],$Q$5))</f>
        <v/>
      </c>
    </row>
    <row r="4695" spans="15:15" x14ac:dyDescent="0.25">
      <c r="O4695" s="20" t="str">
        <f>IF(N4695="","",COUNTIFS(RawData[[Date ]],N4695,RawData[Month List],$Q$6,RawData[Tour/Site],$Q$2,RawData[[Picker ID ]],$Q$3,RawData[Checker ID],$Q$4,RawData[[Error Type ]],$Q$5))</f>
        <v/>
      </c>
    </row>
    <row r="4696" spans="15:15" x14ac:dyDescent="0.25">
      <c r="O4696" s="20" t="str">
        <f>IF(N4696="","",COUNTIFS(RawData[[Date ]],N4696,RawData[Month List],$Q$6,RawData[Tour/Site],$Q$2,RawData[[Picker ID ]],$Q$3,RawData[Checker ID],$Q$4,RawData[[Error Type ]],$Q$5))</f>
        <v/>
      </c>
    </row>
    <row r="4697" spans="15:15" x14ac:dyDescent="0.25">
      <c r="O4697" s="20" t="str">
        <f>IF(N4697="","",COUNTIFS(RawData[[Date ]],N4697,RawData[Month List],$Q$6,RawData[Tour/Site],$Q$2,RawData[[Picker ID ]],$Q$3,RawData[Checker ID],$Q$4,RawData[[Error Type ]],$Q$5))</f>
        <v/>
      </c>
    </row>
    <row r="4698" spans="15:15" x14ac:dyDescent="0.25">
      <c r="O4698" s="20" t="str">
        <f>IF(N4698="","",COUNTIFS(RawData[[Date ]],N4698,RawData[Month List],$Q$6,RawData[Tour/Site],$Q$2,RawData[[Picker ID ]],$Q$3,RawData[Checker ID],$Q$4,RawData[[Error Type ]],$Q$5))</f>
        <v/>
      </c>
    </row>
    <row r="4699" spans="15:15" x14ac:dyDescent="0.25">
      <c r="O4699" s="20" t="str">
        <f>IF(N4699="","",COUNTIFS(RawData[[Date ]],N4699,RawData[Month List],$Q$6,RawData[Tour/Site],$Q$2,RawData[[Picker ID ]],$Q$3,RawData[Checker ID],$Q$4,RawData[[Error Type ]],$Q$5))</f>
        <v/>
      </c>
    </row>
    <row r="4700" spans="15:15" x14ac:dyDescent="0.25">
      <c r="O4700" s="20" t="str">
        <f>IF(N4700="","",COUNTIFS(RawData[[Date ]],N4700,RawData[Month List],$Q$6,RawData[Tour/Site],$Q$2,RawData[[Picker ID ]],$Q$3,RawData[Checker ID],$Q$4,RawData[[Error Type ]],$Q$5))</f>
        <v/>
      </c>
    </row>
    <row r="4701" spans="15:15" x14ac:dyDescent="0.25">
      <c r="O4701" s="20" t="str">
        <f>IF(N4701="","",COUNTIFS(RawData[[Date ]],N4701,RawData[Month List],$Q$6,RawData[Tour/Site],$Q$2,RawData[[Picker ID ]],$Q$3,RawData[Checker ID],$Q$4,RawData[[Error Type ]],$Q$5))</f>
        <v/>
      </c>
    </row>
    <row r="4702" spans="15:15" x14ac:dyDescent="0.25">
      <c r="O4702" s="20" t="str">
        <f>IF(N4702="","",COUNTIFS(RawData[[Date ]],N4702,RawData[Month List],$Q$6,RawData[Tour/Site],$Q$2,RawData[[Picker ID ]],$Q$3,RawData[Checker ID],$Q$4,RawData[[Error Type ]],$Q$5))</f>
        <v/>
      </c>
    </row>
    <row r="4703" spans="15:15" x14ac:dyDescent="0.25">
      <c r="O4703" s="20" t="str">
        <f>IF(N4703="","",COUNTIFS(RawData[[Date ]],N4703,RawData[Month List],$Q$6,RawData[Tour/Site],$Q$2,RawData[[Picker ID ]],$Q$3,RawData[Checker ID],$Q$4,RawData[[Error Type ]],$Q$5))</f>
        <v/>
      </c>
    </row>
    <row r="4704" spans="15:15" x14ac:dyDescent="0.25">
      <c r="O4704" s="20" t="str">
        <f>IF(N4704="","",COUNTIFS(RawData[[Date ]],N4704,RawData[Month List],$Q$6,RawData[Tour/Site],$Q$2,RawData[[Picker ID ]],$Q$3,RawData[Checker ID],$Q$4,RawData[[Error Type ]],$Q$5))</f>
        <v/>
      </c>
    </row>
    <row r="4705" spans="15:15" x14ac:dyDescent="0.25">
      <c r="O4705" s="20" t="str">
        <f>IF(N4705="","",COUNTIFS(RawData[[Date ]],N4705,RawData[Month List],$Q$6,RawData[Tour/Site],$Q$2,RawData[[Picker ID ]],$Q$3,RawData[Checker ID],$Q$4,RawData[[Error Type ]],$Q$5))</f>
        <v/>
      </c>
    </row>
    <row r="4706" spans="15:15" x14ac:dyDescent="0.25">
      <c r="O4706" s="20" t="str">
        <f>IF(N4706="","",COUNTIFS(RawData[[Date ]],N4706,RawData[Month List],$Q$6,RawData[Tour/Site],$Q$2,RawData[[Picker ID ]],$Q$3,RawData[Checker ID],$Q$4,RawData[[Error Type ]],$Q$5))</f>
        <v/>
      </c>
    </row>
    <row r="4707" spans="15:15" x14ac:dyDescent="0.25">
      <c r="O4707" s="20" t="str">
        <f>IF(N4707="","",COUNTIFS(RawData[[Date ]],N4707,RawData[Month List],$Q$6,RawData[Tour/Site],$Q$2,RawData[[Picker ID ]],$Q$3,RawData[Checker ID],$Q$4,RawData[[Error Type ]],$Q$5))</f>
        <v/>
      </c>
    </row>
    <row r="4708" spans="15:15" x14ac:dyDescent="0.25">
      <c r="O4708" s="20" t="str">
        <f>IF(N4708="","",COUNTIFS(RawData[[Date ]],N4708,RawData[Month List],$Q$6,RawData[Tour/Site],$Q$2,RawData[[Picker ID ]],$Q$3,RawData[Checker ID],$Q$4,RawData[[Error Type ]],$Q$5))</f>
        <v/>
      </c>
    </row>
    <row r="4709" spans="15:15" x14ac:dyDescent="0.25">
      <c r="O4709" s="20" t="str">
        <f>IF(N4709="","",COUNTIFS(RawData[[Date ]],N4709,RawData[Month List],$Q$6,RawData[Tour/Site],$Q$2,RawData[[Picker ID ]],$Q$3,RawData[Checker ID],$Q$4,RawData[[Error Type ]],$Q$5))</f>
        <v/>
      </c>
    </row>
    <row r="4710" spans="15:15" x14ac:dyDescent="0.25">
      <c r="O4710" s="20" t="str">
        <f>IF(N4710="","",COUNTIFS(RawData[[Date ]],N4710,RawData[Month List],$Q$6,RawData[Tour/Site],$Q$2,RawData[[Picker ID ]],$Q$3,RawData[Checker ID],$Q$4,RawData[[Error Type ]],$Q$5))</f>
        <v/>
      </c>
    </row>
    <row r="4711" spans="15:15" x14ac:dyDescent="0.25">
      <c r="O4711" s="20" t="str">
        <f>IF(N4711="","",COUNTIFS(RawData[[Date ]],N4711,RawData[Month List],$Q$6,RawData[Tour/Site],$Q$2,RawData[[Picker ID ]],$Q$3,RawData[Checker ID],$Q$4,RawData[[Error Type ]],$Q$5))</f>
        <v/>
      </c>
    </row>
    <row r="4712" spans="15:15" x14ac:dyDescent="0.25">
      <c r="O4712" s="20" t="str">
        <f>IF(N4712="","",COUNTIFS(RawData[[Date ]],N4712,RawData[Month List],$Q$6,RawData[Tour/Site],$Q$2,RawData[[Picker ID ]],$Q$3,RawData[Checker ID],$Q$4,RawData[[Error Type ]],$Q$5))</f>
        <v/>
      </c>
    </row>
    <row r="4713" spans="15:15" x14ac:dyDescent="0.25">
      <c r="O4713" s="20" t="str">
        <f>IF(N4713="","",COUNTIFS(RawData[[Date ]],N4713,RawData[Month List],$Q$6,RawData[Tour/Site],$Q$2,RawData[[Picker ID ]],$Q$3,RawData[Checker ID],$Q$4,RawData[[Error Type ]],$Q$5))</f>
        <v/>
      </c>
    </row>
    <row r="4714" spans="15:15" x14ac:dyDescent="0.25">
      <c r="O4714" s="20" t="str">
        <f>IF(N4714="","",COUNTIFS(RawData[[Date ]],N4714,RawData[Month List],$Q$6,RawData[Tour/Site],$Q$2,RawData[[Picker ID ]],$Q$3,RawData[Checker ID],$Q$4,RawData[[Error Type ]],$Q$5))</f>
        <v/>
      </c>
    </row>
    <row r="4715" spans="15:15" x14ac:dyDescent="0.25">
      <c r="O4715" s="20" t="str">
        <f>IF(N4715="","",COUNTIFS(RawData[[Date ]],N4715,RawData[Month List],$Q$6,RawData[Tour/Site],$Q$2,RawData[[Picker ID ]],$Q$3,RawData[Checker ID],$Q$4,RawData[[Error Type ]],$Q$5))</f>
        <v/>
      </c>
    </row>
    <row r="4716" spans="15:15" x14ac:dyDescent="0.25">
      <c r="O4716" s="20" t="str">
        <f>IF(N4716="","",COUNTIFS(RawData[[Date ]],N4716,RawData[Month List],$Q$6,RawData[Tour/Site],$Q$2,RawData[[Picker ID ]],$Q$3,RawData[Checker ID],$Q$4,RawData[[Error Type ]],$Q$5))</f>
        <v/>
      </c>
    </row>
    <row r="4717" spans="15:15" x14ac:dyDescent="0.25">
      <c r="O4717" s="20" t="str">
        <f>IF(N4717="","",COUNTIFS(RawData[[Date ]],N4717,RawData[Month List],$Q$6,RawData[Tour/Site],$Q$2,RawData[[Picker ID ]],$Q$3,RawData[Checker ID],$Q$4,RawData[[Error Type ]],$Q$5))</f>
        <v/>
      </c>
    </row>
    <row r="4718" spans="15:15" x14ac:dyDescent="0.25">
      <c r="O4718" s="20" t="str">
        <f>IF(N4718="","",COUNTIFS(RawData[[Date ]],N4718,RawData[Month List],$Q$6,RawData[Tour/Site],$Q$2,RawData[[Picker ID ]],$Q$3,RawData[Checker ID],$Q$4,RawData[[Error Type ]],$Q$5))</f>
        <v/>
      </c>
    </row>
    <row r="4719" spans="15:15" x14ac:dyDescent="0.25">
      <c r="O4719" s="20" t="str">
        <f>IF(N4719="","",COUNTIFS(RawData[[Date ]],N4719,RawData[Month List],$Q$6,RawData[Tour/Site],$Q$2,RawData[[Picker ID ]],$Q$3,RawData[Checker ID],$Q$4,RawData[[Error Type ]],$Q$5))</f>
        <v/>
      </c>
    </row>
    <row r="4720" spans="15:15" x14ac:dyDescent="0.25">
      <c r="O4720" s="20" t="str">
        <f>IF(N4720="","",COUNTIFS(RawData[[Date ]],N4720,RawData[Month List],$Q$6,RawData[Tour/Site],$Q$2,RawData[[Picker ID ]],$Q$3,RawData[Checker ID],$Q$4,RawData[[Error Type ]],$Q$5))</f>
        <v/>
      </c>
    </row>
    <row r="4721" spans="15:15" x14ac:dyDescent="0.25">
      <c r="O4721" s="20" t="str">
        <f>IF(N4721="","",COUNTIFS(RawData[[Date ]],N4721,RawData[Month List],$Q$6,RawData[Tour/Site],$Q$2,RawData[[Picker ID ]],$Q$3,RawData[Checker ID],$Q$4,RawData[[Error Type ]],$Q$5))</f>
        <v/>
      </c>
    </row>
    <row r="4722" spans="15:15" x14ac:dyDescent="0.25">
      <c r="O4722" s="20" t="str">
        <f>IF(N4722="","",COUNTIFS(RawData[[Date ]],N4722,RawData[Month List],$Q$6,RawData[Tour/Site],$Q$2,RawData[[Picker ID ]],$Q$3,RawData[Checker ID],$Q$4,RawData[[Error Type ]],$Q$5))</f>
        <v/>
      </c>
    </row>
    <row r="4723" spans="15:15" x14ac:dyDescent="0.25">
      <c r="O4723" s="20" t="str">
        <f>IF(N4723="","",COUNTIFS(RawData[[Date ]],N4723,RawData[Month List],$Q$6,RawData[Tour/Site],$Q$2,RawData[[Picker ID ]],$Q$3,RawData[Checker ID],$Q$4,RawData[[Error Type ]],$Q$5))</f>
        <v/>
      </c>
    </row>
    <row r="4724" spans="15:15" x14ac:dyDescent="0.25">
      <c r="O4724" s="20" t="str">
        <f>IF(N4724="","",COUNTIFS(RawData[[Date ]],N4724,RawData[Month List],$Q$6,RawData[Tour/Site],$Q$2,RawData[[Picker ID ]],$Q$3,RawData[Checker ID],$Q$4,RawData[[Error Type ]],$Q$5))</f>
        <v/>
      </c>
    </row>
    <row r="4725" spans="15:15" x14ac:dyDescent="0.25">
      <c r="O4725" s="20" t="str">
        <f>IF(N4725="","",COUNTIFS(RawData[[Date ]],N4725,RawData[Month List],$Q$6,RawData[Tour/Site],$Q$2,RawData[[Picker ID ]],$Q$3,RawData[Checker ID],$Q$4,RawData[[Error Type ]],$Q$5))</f>
        <v/>
      </c>
    </row>
    <row r="4726" spans="15:15" x14ac:dyDescent="0.25">
      <c r="O4726" s="20" t="str">
        <f>IF(N4726="","",COUNTIFS(RawData[[Date ]],N4726,RawData[Month List],$Q$6,RawData[Tour/Site],$Q$2,RawData[[Picker ID ]],$Q$3,RawData[Checker ID],$Q$4,RawData[[Error Type ]],$Q$5))</f>
        <v/>
      </c>
    </row>
    <row r="4727" spans="15:15" x14ac:dyDescent="0.25">
      <c r="O4727" s="20" t="str">
        <f>IF(N4727="","",COUNTIFS(RawData[[Date ]],N4727,RawData[Month List],$Q$6,RawData[Tour/Site],$Q$2,RawData[[Picker ID ]],$Q$3,RawData[Checker ID],$Q$4,RawData[[Error Type ]],$Q$5))</f>
        <v/>
      </c>
    </row>
    <row r="4728" spans="15:15" x14ac:dyDescent="0.25">
      <c r="O4728" s="20" t="str">
        <f>IF(N4728="","",COUNTIFS(RawData[[Date ]],N4728,RawData[Month List],$Q$6,RawData[Tour/Site],$Q$2,RawData[[Picker ID ]],$Q$3,RawData[Checker ID],$Q$4,RawData[[Error Type ]],$Q$5))</f>
        <v/>
      </c>
    </row>
    <row r="4729" spans="15:15" x14ac:dyDescent="0.25">
      <c r="O4729" s="20" t="str">
        <f>IF(N4729="","",COUNTIFS(RawData[[Date ]],N4729,RawData[Month List],$Q$6,RawData[Tour/Site],$Q$2,RawData[[Picker ID ]],$Q$3,RawData[Checker ID],$Q$4,RawData[[Error Type ]],$Q$5))</f>
        <v/>
      </c>
    </row>
    <row r="4730" spans="15:15" x14ac:dyDescent="0.25">
      <c r="O4730" s="20" t="str">
        <f>IF(N4730="","",COUNTIFS(RawData[[Date ]],N4730,RawData[Month List],$Q$6,RawData[Tour/Site],$Q$2,RawData[[Picker ID ]],$Q$3,RawData[Checker ID],$Q$4,RawData[[Error Type ]],$Q$5))</f>
        <v/>
      </c>
    </row>
    <row r="4731" spans="15:15" x14ac:dyDescent="0.25">
      <c r="O4731" s="20" t="str">
        <f>IF(N4731="","",COUNTIFS(RawData[[Date ]],N4731,RawData[Month List],$Q$6,RawData[Tour/Site],$Q$2,RawData[[Picker ID ]],$Q$3,RawData[Checker ID],$Q$4,RawData[[Error Type ]],$Q$5))</f>
        <v/>
      </c>
    </row>
    <row r="4732" spans="15:15" x14ac:dyDescent="0.25">
      <c r="O4732" s="20" t="str">
        <f>IF(N4732="","",COUNTIFS(RawData[[Date ]],N4732,RawData[Month List],$Q$6,RawData[Tour/Site],$Q$2,RawData[[Picker ID ]],$Q$3,RawData[Checker ID],$Q$4,RawData[[Error Type ]],$Q$5))</f>
        <v/>
      </c>
    </row>
    <row r="4733" spans="15:15" x14ac:dyDescent="0.25">
      <c r="O4733" s="20" t="str">
        <f>IF(N4733="","",COUNTIFS(RawData[[Date ]],N4733,RawData[Month List],$Q$6,RawData[Tour/Site],$Q$2,RawData[[Picker ID ]],$Q$3,RawData[Checker ID],$Q$4,RawData[[Error Type ]],$Q$5))</f>
        <v/>
      </c>
    </row>
    <row r="4734" spans="15:15" x14ac:dyDescent="0.25">
      <c r="O4734" s="20" t="str">
        <f>IF(N4734="","",COUNTIFS(RawData[[Date ]],N4734,RawData[Month List],$Q$6,RawData[Tour/Site],$Q$2,RawData[[Picker ID ]],$Q$3,RawData[Checker ID],$Q$4,RawData[[Error Type ]],$Q$5))</f>
        <v/>
      </c>
    </row>
    <row r="4735" spans="15:15" x14ac:dyDescent="0.25">
      <c r="O4735" s="20" t="str">
        <f>IF(N4735="","",COUNTIFS(RawData[[Date ]],N4735,RawData[Month List],$Q$6,RawData[Tour/Site],$Q$2,RawData[[Picker ID ]],$Q$3,RawData[Checker ID],$Q$4,RawData[[Error Type ]],$Q$5))</f>
        <v/>
      </c>
    </row>
    <row r="4736" spans="15:15" x14ac:dyDescent="0.25">
      <c r="O4736" s="20" t="str">
        <f>IF(N4736="","",COUNTIFS(RawData[[Date ]],N4736,RawData[Month List],$Q$6,RawData[Tour/Site],$Q$2,RawData[[Picker ID ]],$Q$3,RawData[Checker ID],$Q$4,RawData[[Error Type ]],$Q$5))</f>
        <v/>
      </c>
    </row>
    <row r="4737" spans="15:15" x14ac:dyDescent="0.25">
      <c r="O4737" s="20" t="str">
        <f>IF(N4737="","",COUNTIFS(RawData[[Date ]],N4737,RawData[Month List],$Q$6,RawData[Tour/Site],$Q$2,RawData[[Picker ID ]],$Q$3,RawData[Checker ID],$Q$4,RawData[[Error Type ]],$Q$5))</f>
        <v/>
      </c>
    </row>
    <row r="4738" spans="15:15" x14ac:dyDescent="0.25">
      <c r="O4738" s="20" t="str">
        <f>IF(N4738="","",COUNTIFS(RawData[[Date ]],N4738,RawData[Month List],$Q$6,RawData[Tour/Site],$Q$2,RawData[[Picker ID ]],$Q$3,RawData[Checker ID],$Q$4,RawData[[Error Type ]],$Q$5))</f>
        <v/>
      </c>
    </row>
    <row r="4739" spans="15:15" x14ac:dyDescent="0.25">
      <c r="O4739" s="20" t="str">
        <f>IF(N4739="","",COUNTIFS(RawData[[Date ]],N4739,RawData[Month List],$Q$6,RawData[Tour/Site],$Q$2,RawData[[Picker ID ]],$Q$3,RawData[Checker ID],$Q$4,RawData[[Error Type ]],$Q$5))</f>
        <v/>
      </c>
    </row>
    <row r="4740" spans="15:15" x14ac:dyDescent="0.25">
      <c r="O4740" s="20" t="str">
        <f>IF(N4740="","",COUNTIFS(RawData[[Date ]],N4740,RawData[Month List],$Q$6,RawData[Tour/Site],$Q$2,RawData[[Picker ID ]],$Q$3,RawData[Checker ID],$Q$4,RawData[[Error Type ]],$Q$5))</f>
        <v/>
      </c>
    </row>
    <row r="4741" spans="15:15" x14ac:dyDescent="0.25">
      <c r="O4741" s="20" t="str">
        <f>IF(N4741="","",COUNTIFS(RawData[[Date ]],N4741,RawData[Month List],$Q$6,RawData[Tour/Site],$Q$2,RawData[[Picker ID ]],$Q$3,RawData[Checker ID],$Q$4,RawData[[Error Type ]],$Q$5))</f>
        <v/>
      </c>
    </row>
    <row r="4742" spans="15:15" x14ac:dyDescent="0.25">
      <c r="O4742" s="20" t="str">
        <f>IF(N4742="","",COUNTIFS(RawData[[Date ]],N4742,RawData[Month List],$Q$6,RawData[Tour/Site],$Q$2,RawData[[Picker ID ]],$Q$3,RawData[Checker ID],$Q$4,RawData[[Error Type ]],$Q$5))</f>
        <v/>
      </c>
    </row>
    <row r="4743" spans="15:15" x14ac:dyDescent="0.25">
      <c r="O4743" s="20" t="str">
        <f>IF(N4743="","",COUNTIFS(RawData[[Date ]],N4743,RawData[Month List],$Q$6,RawData[Tour/Site],$Q$2,RawData[[Picker ID ]],$Q$3,RawData[Checker ID],$Q$4,RawData[[Error Type ]],$Q$5))</f>
        <v/>
      </c>
    </row>
    <row r="4744" spans="15:15" x14ac:dyDescent="0.25">
      <c r="O4744" s="20" t="str">
        <f>IF(N4744="","",COUNTIFS(RawData[[Date ]],N4744,RawData[Month List],$Q$6,RawData[Tour/Site],$Q$2,RawData[[Picker ID ]],$Q$3,RawData[Checker ID],$Q$4,RawData[[Error Type ]],$Q$5))</f>
        <v/>
      </c>
    </row>
    <row r="4745" spans="15:15" x14ac:dyDescent="0.25">
      <c r="O4745" s="20" t="str">
        <f>IF(N4745="","",COUNTIFS(RawData[[Date ]],N4745,RawData[Month List],$Q$6,RawData[Tour/Site],$Q$2,RawData[[Picker ID ]],$Q$3,RawData[Checker ID],$Q$4,RawData[[Error Type ]],$Q$5))</f>
        <v/>
      </c>
    </row>
    <row r="4746" spans="15:15" x14ac:dyDescent="0.25">
      <c r="O4746" s="20" t="str">
        <f>IF(N4746="","",COUNTIFS(RawData[[Date ]],N4746,RawData[Month List],$Q$6,RawData[Tour/Site],$Q$2,RawData[[Picker ID ]],$Q$3,RawData[Checker ID],$Q$4,RawData[[Error Type ]],$Q$5))</f>
        <v/>
      </c>
    </row>
    <row r="4747" spans="15:15" x14ac:dyDescent="0.25">
      <c r="O4747" s="20" t="str">
        <f>IF(N4747="","",COUNTIFS(RawData[[Date ]],N4747,RawData[Month List],$Q$6,RawData[Tour/Site],$Q$2,RawData[[Picker ID ]],$Q$3,RawData[Checker ID],$Q$4,RawData[[Error Type ]],$Q$5))</f>
        <v/>
      </c>
    </row>
    <row r="4748" spans="15:15" x14ac:dyDescent="0.25">
      <c r="O4748" s="20" t="str">
        <f>IF(N4748="","",COUNTIFS(RawData[[Date ]],N4748,RawData[Month List],$Q$6,RawData[Tour/Site],$Q$2,RawData[[Picker ID ]],$Q$3,RawData[Checker ID],$Q$4,RawData[[Error Type ]],$Q$5))</f>
        <v/>
      </c>
    </row>
    <row r="4749" spans="15:15" x14ac:dyDescent="0.25">
      <c r="O4749" s="20" t="str">
        <f>IF(N4749="","",COUNTIFS(RawData[[Date ]],N4749,RawData[Month List],$Q$6,RawData[Tour/Site],$Q$2,RawData[[Picker ID ]],$Q$3,RawData[Checker ID],$Q$4,RawData[[Error Type ]],$Q$5))</f>
        <v/>
      </c>
    </row>
    <row r="4750" spans="15:15" x14ac:dyDescent="0.25">
      <c r="O4750" s="20" t="str">
        <f>IF(N4750="","",COUNTIFS(RawData[[Date ]],N4750,RawData[Month List],$Q$6,RawData[Tour/Site],$Q$2,RawData[[Picker ID ]],$Q$3,RawData[Checker ID],$Q$4,RawData[[Error Type ]],$Q$5))</f>
        <v/>
      </c>
    </row>
    <row r="4751" spans="15:15" x14ac:dyDescent="0.25">
      <c r="O4751" s="20" t="str">
        <f>IF(N4751="","",COUNTIFS(RawData[[Date ]],N4751,RawData[Month List],$Q$6,RawData[Tour/Site],$Q$2,RawData[[Picker ID ]],$Q$3,RawData[Checker ID],$Q$4,RawData[[Error Type ]],$Q$5))</f>
        <v/>
      </c>
    </row>
    <row r="4752" spans="15:15" x14ac:dyDescent="0.25">
      <c r="O4752" s="20" t="str">
        <f>IF(N4752="","",COUNTIFS(RawData[[Date ]],N4752,RawData[Month List],$Q$6,RawData[Tour/Site],$Q$2,RawData[[Picker ID ]],$Q$3,RawData[Checker ID],$Q$4,RawData[[Error Type ]],$Q$5))</f>
        <v/>
      </c>
    </row>
    <row r="4753" spans="15:15" x14ac:dyDescent="0.25">
      <c r="O4753" s="20" t="str">
        <f>IF(N4753="","",COUNTIFS(RawData[[Date ]],N4753,RawData[Month List],$Q$6,RawData[Tour/Site],$Q$2,RawData[[Picker ID ]],$Q$3,RawData[Checker ID],$Q$4,RawData[[Error Type ]],$Q$5))</f>
        <v/>
      </c>
    </row>
    <row r="4754" spans="15:15" x14ac:dyDescent="0.25">
      <c r="O4754" s="20" t="str">
        <f>IF(N4754="","",COUNTIFS(RawData[[Date ]],N4754,RawData[Month List],$Q$6,RawData[Tour/Site],$Q$2,RawData[[Picker ID ]],$Q$3,RawData[Checker ID],$Q$4,RawData[[Error Type ]],$Q$5))</f>
        <v/>
      </c>
    </row>
    <row r="4755" spans="15:15" x14ac:dyDescent="0.25">
      <c r="O4755" s="20" t="str">
        <f>IF(N4755="","",COUNTIFS(RawData[[Date ]],N4755,RawData[Month List],$Q$6,RawData[Tour/Site],$Q$2,RawData[[Picker ID ]],$Q$3,RawData[Checker ID],$Q$4,RawData[[Error Type ]],$Q$5))</f>
        <v/>
      </c>
    </row>
    <row r="4756" spans="15:15" x14ac:dyDescent="0.25">
      <c r="O4756" s="20" t="str">
        <f>IF(N4756="","",COUNTIFS(RawData[[Date ]],N4756,RawData[Month List],$Q$6,RawData[Tour/Site],$Q$2,RawData[[Picker ID ]],$Q$3,RawData[Checker ID],$Q$4,RawData[[Error Type ]],$Q$5))</f>
        <v/>
      </c>
    </row>
    <row r="4757" spans="15:15" x14ac:dyDescent="0.25">
      <c r="O4757" s="20" t="str">
        <f>IF(N4757="","",COUNTIFS(RawData[[Date ]],N4757,RawData[Month List],$Q$6,RawData[Tour/Site],$Q$2,RawData[[Picker ID ]],$Q$3,RawData[Checker ID],$Q$4,RawData[[Error Type ]],$Q$5))</f>
        <v/>
      </c>
    </row>
    <row r="4758" spans="15:15" x14ac:dyDescent="0.25">
      <c r="O4758" s="20" t="str">
        <f>IF(N4758="","",COUNTIFS(RawData[[Date ]],N4758,RawData[Month List],$Q$6,RawData[Tour/Site],$Q$2,RawData[[Picker ID ]],$Q$3,RawData[Checker ID],$Q$4,RawData[[Error Type ]],$Q$5))</f>
        <v/>
      </c>
    </row>
    <row r="4759" spans="15:15" x14ac:dyDescent="0.25">
      <c r="O4759" s="20" t="str">
        <f>IF(N4759="","",COUNTIFS(RawData[[Date ]],N4759,RawData[Month List],$Q$6,RawData[Tour/Site],$Q$2,RawData[[Picker ID ]],$Q$3,RawData[Checker ID],$Q$4,RawData[[Error Type ]],$Q$5))</f>
        <v/>
      </c>
    </row>
    <row r="4760" spans="15:15" x14ac:dyDescent="0.25">
      <c r="O4760" s="20" t="str">
        <f>IF(N4760="","",COUNTIFS(RawData[[Date ]],N4760,RawData[Month List],$Q$6,RawData[Tour/Site],$Q$2,RawData[[Picker ID ]],$Q$3,RawData[Checker ID],$Q$4,RawData[[Error Type ]],$Q$5))</f>
        <v/>
      </c>
    </row>
    <row r="4761" spans="15:15" x14ac:dyDescent="0.25">
      <c r="O4761" s="20" t="str">
        <f>IF(N4761="","",COUNTIFS(RawData[[Date ]],N4761,RawData[Month List],$Q$6,RawData[Tour/Site],$Q$2,RawData[[Picker ID ]],$Q$3,RawData[Checker ID],$Q$4,RawData[[Error Type ]],$Q$5))</f>
        <v/>
      </c>
    </row>
    <row r="4762" spans="15:15" x14ac:dyDescent="0.25">
      <c r="O4762" s="20" t="str">
        <f>IF(N4762="","",COUNTIFS(RawData[[Date ]],N4762,RawData[Month List],$Q$6,RawData[Tour/Site],$Q$2,RawData[[Picker ID ]],$Q$3,RawData[Checker ID],$Q$4,RawData[[Error Type ]],$Q$5))</f>
        <v/>
      </c>
    </row>
    <row r="4763" spans="15:15" x14ac:dyDescent="0.25">
      <c r="O4763" s="20" t="str">
        <f>IF(N4763="","",COUNTIFS(RawData[[Date ]],N4763,RawData[Month List],$Q$6,RawData[Tour/Site],$Q$2,RawData[[Picker ID ]],$Q$3,RawData[Checker ID],$Q$4,RawData[[Error Type ]],$Q$5))</f>
        <v/>
      </c>
    </row>
    <row r="4764" spans="15:15" x14ac:dyDescent="0.25">
      <c r="O4764" s="20" t="str">
        <f>IF(N4764="","",COUNTIFS(RawData[[Date ]],N4764,RawData[Month List],$Q$6,RawData[Tour/Site],$Q$2,RawData[[Picker ID ]],$Q$3,RawData[Checker ID],$Q$4,RawData[[Error Type ]],$Q$5))</f>
        <v/>
      </c>
    </row>
    <row r="4765" spans="15:15" x14ac:dyDescent="0.25">
      <c r="O4765" s="20" t="str">
        <f>IF(N4765="","",COUNTIFS(RawData[[Date ]],N4765,RawData[Month List],$Q$6,RawData[Tour/Site],$Q$2,RawData[[Picker ID ]],$Q$3,RawData[Checker ID],$Q$4,RawData[[Error Type ]],$Q$5))</f>
        <v/>
      </c>
    </row>
    <row r="4766" spans="15:15" x14ac:dyDescent="0.25">
      <c r="O4766" s="20" t="str">
        <f>IF(N4766="","",COUNTIFS(RawData[[Date ]],N4766,RawData[Month List],$Q$6,RawData[Tour/Site],$Q$2,RawData[[Picker ID ]],$Q$3,RawData[Checker ID],$Q$4,RawData[[Error Type ]],$Q$5))</f>
        <v/>
      </c>
    </row>
    <row r="4767" spans="15:15" x14ac:dyDescent="0.25">
      <c r="O4767" s="20" t="str">
        <f>IF(N4767="","",COUNTIFS(RawData[[Date ]],N4767,RawData[Month List],$Q$6,RawData[Tour/Site],$Q$2,RawData[[Picker ID ]],$Q$3,RawData[Checker ID],$Q$4,RawData[[Error Type ]],$Q$5))</f>
        <v/>
      </c>
    </row>
    <row r="4768" spans="15:15" x14ac:dyDescent="0.25">
      <c r="O4768" s="20" t="str">
        <f>IF(N4768="","",COUNTIFS(RawData[[Date ]],N4768,RawData[Month List],$Q$6,RawData[Tour/Site],$Q$2,RawData[[Picker ID ]],$Q$3,RawData[Checker ID],$Q$4,RawData[[Error Type ]],$Q$5))</f>
        <v/>
      </c>
    </row>
    <row r="4769" spans="15:15" x14ac:dyDescent="0.25">
      <c r="O4769" s="20" t="str">
        <f>IF(N4769="","",COUNTIFS(RawData[[Date ]],N4769,RawData[Month List],$Q$6,RawData[Tour/Site],$Q$2,RawData[[Picker ID ]],$Q$3,RawData[Checker ID],$Q$4,RawData[[Error Type ]],$Q$5))</f>
        <v/>
      </c>
    </row>
    <row r="4770" spans="15:15" x14ac:dyDescent="0.25">
      <c r="O4770" s="20" t="str">
        <f>IF(N4770="","",COUNTIFS(RawData[[Date ]],N4770,RawData[Month List],$Q$6,RawData[Tour/Site],$Q$2,RawData[[Picker ID ]],$Q$3,RawData[Checker ID],$Q$4,RawData[[Error Type ]],$Q$5))</f>
        <v/>
      </c>
    </row>
    <row r="4771" spans="15:15" x14ac:dyDescent="0.25">
      <c r="O4771" s="20" t="str">
        <f>IF(N4771="","",COUNTIFS(RawData[[Date ]],N4771,RawData[Month List],$Q$6,RawData[Tour/Site],$Q$2,RawData[[Picker ID ]],$Q$3,RawData[Checker ID],$Q$4,RawData[[Error Type ]],$Q$5))</f>
        <v/>
      </c>
    </row>
    <row r="4772" spans="15:15" x14ac:dyDescent="0.25">
      <c r="O4772" s="20" t="str">
        <f>IF(N4772="","",COUNTIFS(RawData[[Date ]],N4772,RawData[Month List],$Q$6,RawData[Tour/Site],$Q$2,RawData[[Picker ID ]],$Q$3,RawData[Checker ID],$Q$4,RawData[[Error Type ]],$Q$5))</f>
        <v/>
      </c>
    </row>
    <row r="4773" spans="15:15" x14ac:dyDescent="0.25">
      <c r="O4773" s="20" t="str">
        <f>IF(N4773="","",COUNTIFS(RawData[[Date ]],N4773,RawData[Month List],$Q$6,RawData[Tour/Site],$Q$2,RawData[[Picker ID ]],$Q$3,RawData[Checker ID],$Q$4,RawData[[Error Type ]],$Q$5))</f>
        <v/>
      </c>
    </row>
    <row r="4774" spans="15:15" x14ac:dyDescent="0.25">
      <c r="O4774" s="20" t="str">
        <f>IF(N4774="","",COUNTIFS(RawData[[Date ]],N4774,RawData[Month List],$Q$6,RawData[Tour/Site],$Q$2,RawData[[Picker ID ]],$Q$3,RawData[Checker ID],$Q$4,RawData[[Error Type ]],$Q$5))</f>
        <v/>
      </c>
    </row>
    <row r="4775" spans="15:15" x14ac:dyDescent="0.25">
      <c r="O4775" s="20" t="str">
        <f>IF(N4775="","",COUNTIFS(RawData[[Date ]],N4775,RawData[Month List],$Q$6,RawData[Tour/Site],$Q$2,RawData[[Picker ID ]],$Q$3,RawData[Checker ID],$Q$4,RawData[[Error Type ]],$Q$5))</f>
        <v/>
      </c>
    </row>
    <row r="4776" spans="15:15" x14ac:dyDescent="0.25">
      <c r="O4776" s="20" t="str">
        <f>IF(N4776="","",COUNTIFS(RawData[[Date ]],N4776,RawData[Month List],$Q$6,RawData[Tour/Site],$Q$2,RawData[[Picker ID ]],$Q$3,RawData[Checker ID],$Q$4,RawData[[Error Type ]],$Q$5))</f>
        <v/>
      </c>
    </row>
    <row r="4777" spans="15:15" x14ac:dyDescent="0.25">
      <c r="O4777" s="20" t="str">
        <f>IF(N4777="","",COUNTIFS(RawData[[Date ]],N4777,RawData[Month List],$Q$6,RawData[Tour/Site],$Q$2,RawData[[Picker ID ]],$Q$3,RawData[Checker ID],$Q$4,RawData[[Error Type ]],$Q$5))</f>
        <v/>
      </c>
    </row>
    <row r="4778" spans="15:15" x14ac:dyDescent="0.25">
      <c r="O4778" s="20" t="str">
        <f>IF(N4778="","",COUNTIFS(RawData[[Date ]],N4778,RawData[Month List],$Q$6,RawData[Tour/Site],$Q$2,RawData[[Picker ID ]],$Q$3,RawData[Checker ID],$Q$4,RawData[[Error Type ]],$Q$5))</f>
        <v/>
      </c>
    </row>
    <row r="4779" spans="15:15" x14ac:dyDescent="0.25">
      <c r="O4779" s="20" t="str">
        <f>IF(N4779="","",COUNTIFS(RawData[[Date ]],N4779,RawData[Month List],$Q$6,RawData[Tour/Site],$Q$2,RawData[[Picker ID ]],$Q$3,RawData[Checker ID],$Q$4,RawData[[Error Type ]],$Q$5))</f>
        <v/>
      </c>
    </row>
    <row r="4780" spans="15:15" x14ac:dyDescent="0.25">
      <c r="O4780" s="20" t="str">
        <f>IF(N4780="","",COUNTIFS(RawData[[Date ]],N4780,RawData[Month List],$Q$6,RawData[Tour/Site],$Q$2,RawData[[Picker ID ]],$Q$3,RawData[Checker ID],$Q$4,RawData[[Error Type ]],$Q$5))</f>
        <v/>
      </c>
    </row>
    <row r="4781" spans="15:15" x14ac:dyDescent="0.25">
      <c r="O4781" s="20" t="str">
        <f>IF(N4781="","",COUNTIFS(RawData[[Date ]],N4781,RawData[Month List],$Q$6,RawData[Tour/Site],$Q$2,RawData[[Picker ID ]],$Q$3,RawData[Checker ID],$Q$4,RawData[[Error Type ]],$Q$5))</f>
        <v/>
      </c>
    </row>
    <row r="4782" spans="15:15" x14ac:dyDescent="0.25">
      <c r="O4782" s="20" t="str">
        <f>IF(N4782="","",COUNTIFS(RawData[[Date ]],N4782,RawData[Month List],$Q$6,RawData[Tour/Site],$Q$2,RawData[[Picker ID ]],$Q$3,RawData[Checker ID],$Q$4,RawData[[Error Type ]],$Q$5))</f>
        <v/>
      </c>
    </row>
    <row r="4783" spans="15:15" x14ac:dyDescent="0.25">
      <c r="O4783" s="20" t="str">
        <f>IF(N4783="","",COUNTIFS(RawData[[Date ]],N4783,RawData[Month List],$Q$6,RawData[Tour/Site],$Q$2,RawData[[Picker ID ]],$Q$3,RawData[Checker ID],$Q$4,RawData[[Error Type ]],$Q$5))</f>
        <v/>
      </c>
    </row>
    <row r="4784" spans="15:15" x14ac:dyDescent="0.25">
      <c r="O4784" s="20" t="str">
        <f>IF(N4784="","",COUNTIFS(RawData[[Date ]],N4784,RawData[Month List],$Q$6,RawData[Tour/Site],$Q$2,RawData[[Picker ID ]],$Q$3,RawData[Checker ID],$Q$4,RawData[[Error Type ]],$Q$5))</f>
        <v/>
      </c>
    </row>
    <row r="4785" spans="15:15" x14ac:dyDescent="0.25">
      <c r="O4785" s="20" t="str">
        <f>IF(N4785="","",COUNTIFS(RawData[[Date ]],N4785,RawData[Month List],$Q$6,RawData[Tour/Site],$Q$2,RawData[[Picker ID ]],$Q$3,RawData[Checker ID],$Q$4,RawData[[Error Type ]],$Q$5))</f>
        <v/>
      </c>
    </row>
    <row r="4786" spans="15:15" x14ac:dyDescent="0.25">
      <c r="O4786" s="20" t="str">
        <f>IF(N4786="","",COUNTIFS(RawData[[Date ]],N4786,RawData[Month List],$Q$6,RawData[Tour/Site],$Q$2,RawData[[Picker ID ]],$Q$3,RawData[Checker ID],$Q$4,RawData[[Error Type ]],$Q$5))</f>
        <v/>
      </c>
    </row>
    <row r="4787" spans="15:15" x14ac:dyDescent="0.25">
      <c r="O4787" s="20" t="str">
        <f>IF(N4787="","",COUNTIFS(RawData[[Date ]],N4787,RawData[Month List],$Q$6,RawData[Tour/Site],$Q$2,RawData[[Picker ID ]],$Q$3,RawData[Checker ID],$Q$4,RawData[[Error Type ]],$Q$5))</f>
        <v/>
      </c>
    </row>
    <row r="4788" spans="15:15" x14ac:dyDescent="0.25">
      <c r="O4788" s="20" t="str">
        <f>IF(N4788="","",COUNTIFS(RawData[[Date ]],N4788,RawData[Month List],$Q$6,RawData[Tour/Site],$Q$2,RawData[[Picker ID ]],$Q$3,RawData[Checker ID],$Q$4,RawData[[Error Type ]],$Q$5))</f>
        <v/>
      </c>
    </row>
    <row r="4789" spans="15:15" x14ac:dyDescent="0.25">
      <c r="O4789" s="20" t="str">
        <f>IF(N4789="","",COUNTIFS(RawData[[Date ]],N4789,RawData[Month List],$Q$6,RawData[Tour/Site],$Q$2,RawData[[Picker ID ]],$Q$3,RawData[Checker ID],$Q$4,RawData[[Error Type ]],$Q$5))</f>
        <v/>
      </c>
    </row>
    <row r="4790" spans="15:15" x14ac:dyDescent="0.25">
      <c r="O4790" s="20" t="str">
        <f>IF(N4790="","",COUNTIFS(RawData[[Date ]],N4790,RawData[Month List],$Q$6,RawData[Tour/Site],$Q$2,RawData[[Picker ID ]],$Q$3,RawData[Checker ID],$Q$4,RawData[[Error Type ]],$Q$5))</f>
        <v/>
      </c>
    </row>
    <row r="4791" spans="15:15" x14ac:dyDescent="0.25">
      <c r="O4791" s="20" t="str">
        <f>IF(N4791="","",COUNTIFS(RawData[[Date ]],N4791,RawData[Month List],$Q$6,RawData[Tour/Site],$Q$2,RawData[[Picker ID ]],$Q$3,RawData[Checker ID],$Q$4,RawData[[Error Type ]],$Q$5))</f>
        <v/>
      </c>
    </row>
    <row r="4792" spans="15:15" x14ac:dyDescent="0.25">
      <c r="O4792" s="20" t="str">
        <f>IF(N4792="","",COUNTIFS(RawData[[Date ]],N4792,RawData[Month List],$Q$6,RawData[Tour/Site],$Q$2,RawData[[Picker ID ]],$Q$3,RawData[Checker ID],$Q$4,RawData[[Error Type ]],$Q$5))</f>
        <v/>
      </c>
    </row>
    <row r="4793" spans="15:15" x14ac:dyDescent="0.25">
      <c r="O4793" s="20" t="str">
        <f>IF(N4793="","",COUNTIFS(RawData[[Date ]],N4793,RawData[Month List],$Q$6,RawData[Tour/Site],$Q$2,RawData[[Picker ID ]],$Q$3,RawData[Checker ID],$Q$4,RawData[[Error Type ]],$Q$5))</f>
        <v/>
      </c>
    </row>
    <row r="4794" spans="15:15" x14ac:dyDescent="0.25">
      <c r="O4794" s="20" t="str">
        <f>IF(N4794="","",COUNTIFS(RawData[[Date ]],N4794,RawData[Month List],$Q$6,RawData[Tour/Site],$Q$2,RawData[[Picker ID ]],$Q$3,RawData[Checker ID],$Q$4,RawData[[Error Type ]],$Q$5))</f>
        <v/>
      </c>
    </row>
    <row r="4795" spans="15:15" x14ac:dyDescent="0.25">
      <c r="O4795" s="20" t="str">
        <f>IF(N4795="","",COUNTIFS(RawData[[Date ]],N4795,RawData[Month List],$Q$6,RawData[Tour/Site],$Q$2,RawData[[Picker ID ]],$Q$3,RawData[Checker ID],$Q$4,RawData[[Error Type ]],$Q$5))</f>
        <v/>
      </c>
    </row>
    <row r="4796" spans="15:15" x14ac:dyDescent="0.25">
      <c r="O4796" s="20" t="str">
        <f>IF(N4796="","",COUNTIFS(RawData[[Date ]],N4796,RawData[Month List],$Q$6,RawData[Tour/Site],$Q$2,RawData[[Picker ID ]],$Q$3,RawData[Checker ID],$Q$4,RawData[[Error Type ]],$Q$5))</f>
        <v/>
      </c>
    </row>
    <row r="4797" spans="15:15" x14ac:dyDescent="0.25">
      <c r="O4797" s="20" t="str">
        <f>IF(N4797="","",COUNTIFS(RawData[[Date ]],N4797,RawData[Month List],$Q$6,RawData[Tour/Site],$Q$2,RawData[[Picker ID ]],$Q$3,RawData[Checker ID],$Q$4,RawData[[Error Type ]],$Q$5))</f>
        <v/>
      </c>
    </row>
    <row r="4798" spans="15:15" x14ac:dyDescent="0.25">
      <c r="O4798" s="20" t="str">
        <f>IF(N4798="","",COUNTIFS(RawData[[Date ]],N4798,RawData[Month List],$Q$6,RawData[Tour/Site],$Q$2,RawData[[Picker ID ]],$Q$3,RawData[Checker ID],$Q$4,RawData[[Error Type ]],$Q$5))</f>
        <v/>
      </c>
    </row>
    <row r="4799" spans="15:15" x14ac:dyDescent="0.25">
      <c r="O4799" s="20" t="str">
        <f>IF(N4799="","",COUNTIFS(RawData[[Date ]],N4799,RawData[Month List],$Q$6,RawData[Tour/Site],$Q$2,RawData[[Picker ID ]],$Q$3,RawData[Checker ID],$Q$4,RawData[[Error Type ]],$Q$5))</f>
        <v/>
      </c>
    </row>
    <row r="4800" spans="15:15" x14ac:dyDescent="0.25">
      <c r="O4800" s="20" t="str">
        <f>IF(N4800="","",COUNTIFS(RawData[[Date ]],N4800,RawData[Month List],$Q$6,RawData[Tour/Site],$Q$2,RawData[[Picker ID ]],$Q$3,RawData[Checker ID],$Q$4,RawData[[Error Type ]],$Q$5))</f>
        <v/>
      </c>
    </row>
    <row r="4801" spans="15:15" x14ac:dyDescent="0.25">
      <c r="O4801" s="20" t="str">
        <f>IF(N4801="","",COUNTIFS(RawData[[Date ]],N4801,RawData[Month List],$Q$6,RawData[Tour/Site],$Q$2,RawData[[Picker ID ]],$Q$3,RawData[Checker ID],$Q$4,RawData[[Error Type ]],$Q$5))</f>
        <v/>
      </c>
    </row>
    <row r="4802" spans="15:15" x14ac:dyDescent="0.25">
      <c r="O4802" s="20" t="str">
        <f>IF(N4802="","",COUNTIFS(RawData[[Date ]],N4802,RawData[Month List],$Q$6,RawData[Tour/Site],$Q$2,RawData[[Picker ID ]],$Q$3,RawData[Checker ID],$Q$4,RawData[[Error Type ]],$Q$5))</f>
        <v/>
      </c>
    </row>
    <row r="4803" spans="15:15" x14ac:dyDescent="0.25">
      <c r="O4803" s="20" t="str">
        <f>IF(N4803="","",COUNTIFS(RawData[[Date ]],N4803,RawData[Month List],$Q$6,RawData[Tour/Site],$Q$2,RawData[[Picker ID ]],$Q$3,RawData[Checker ID],$Q$4,RawData[[Error Type ]],$Q$5))</f>
        <v/>
      </c>
    </row>
    <row r="4804" spans="15:15" x14ac:dyDescent="0.25">
      <c r="O4804" s="20" t="str">
        <f>IF(N4804="","",COUNTIFS(RawData[[Date ]],N4804,RawData[Month List],$Q$6,RawData[Tour/Site],$Q$2,RawData[[Picker ID ]],$Q$3,RawData[Checker ID],$Q$4,RawData[[Error Type ]],$Q$5))</f>
        <v/>
      </c>
    </row>
    <row r="4805" spans="15:15" x14ac:dyDescent="0.25">
      <c r="O4805" s="20" t="str">
        <f>IF(N4805="","",COUNTIFS(RawData[[Date ]],N4805,RawData[Month List],$Q$6,RawData[Tour/Site],$Q$2,RawData[[Picker ID ]],$Q$3,RawData[Checker ID],$Q$4,RawData[[Error Type ]],$Q$5))</f>
        <v/>
      </c>
    </row>
    <row r="4806" spans="15:15" x14ac:dyDescent="0.25">
      <c r="O4806" s="20" t="str">
        <f>IF(N4806="","",COUNTIFS(RawData[[Date ]],N4806,RawData[Month List],$Q$6,RawData[Tour/Site],$Q$2,RawData[[Picker ID ]],$Q$3,RawData[Checker ID],$Q$4,RawData[[Error Type ]],$Q$5))</f>
        <v/>
      </c>
    </row>
    <row r="4807" spans="15:15" x14ac:dyDescent="0.25">
      <c r="O4807" s="20" t="str">
        <f>IF(N4807="","",COUNTIFS(RawData[[Date ]],N4807,RawData[Month List],$Q$6,RawData[Tour/Site],$Q$2,RawData[[Picker ID ]],$Q$3,RawData[Checker ID],$Q$4,RawData[[Error Type ]],$Q$5))</f>
        <v/>
      </c>
    </row>
    <row r="4808" spans="15:15" x14ac:dyDescent="0.25">
      <c r="O4808" s="20" t="str">
        <f>IF(N4808="","",COUNTIFS(RawData[[Date ]],N4808,RawData[Month List],$Q$6,RawData[Tour/Site],$Q$2,RawData[[Picker ID ]],$Q$3,RawData[Checker ID],$Q$4,RawData[[Error Type ]],$Q$5))</f>
        <v/>
      </c>
    </row>
    <row r="4809" spans="15:15" x14ac:dyDescent="0.25">
      <c r="O4809" s="20" t="str">
        <f>IF(N4809="","",COUNTIFS(RawData[[Date ]],N4809,RawData[Month List],$Q$6,RawData[Tour/Site],$Q$2,RawData[[Picker ID ]],$Q$3,RawData[Checker ID],$Q$4,RawData[[Error Type ]],$Q$5))</f>
        <v/>
      </c>
    </row>
    <row r="4810" spans="15:15" x14ac:dyDescent="0.25">
      <c r="O4810" s="20" t="str">
        <f>IF(N4810="","",COUNTIFS(RawData[[Date ]],N4810,RawData[Month List],$Q$6,RawData[Tour/Site],$Q$2,RawData[[Picker ID ]],$Q$3,RawData[Checker ID],$Q$4,RawData[[Error Type ]],$Q$5))</f>
        <v/>
      </c>
    </row>
    <row r="4811" spans="15:15" x14ac:dyDescent="0.25">
      <c r="O4811" s="20" t="str">
        <f>IF(N4811="","",COUNTIFS(RawData[[Date ]],N4811,RawData[Month List],$Q$6,RawData[Tour/Site],$Q$2,RawData[[Picker ID ]],$Q$3,RawData[Checker ID],$Q$4,RawData[[Error Type ]],$Q$5))</f>
        <v/>
      </c>
    </row>
    <row r="4812" spans="15:15" x14ac:dyDescent="0.25">
      <c r="O4812" s="20" t="str">
        <f>IF(N4812="","",COUNTIFS(RawData[[Date ]],N4812,RawData[Month List],$Q$6,RawData[Tour/Site],$Q$2,RawData[[Picker ID ]],$Q$3,RawData[Checker ID],$Q$4,RawData[[Error Type ]],$Q$5))</f>
        <v/>
      </c>
    </row>
    <row r="4813" spans="15:15" x14ac:dyDescent="0.25">
      <c r="O4813" s="20" t="str">
        <f>IF(N4813="","",COUNTIFS(RawData[[Date ]],N4813,RawData[Month List],$Q$6,RawData[Tour/Site],$Q$2,RawData[[Picker ID ]],$Q$3,RawData[Checker ID],$Q$4,RawData[[Error Type ]],$Q$5))</f>
        <v/>
      </c>
    </row>
    <row r="4814" spans="15:15" x14ac:dyDescent="0.25">
      <c r="O4814" s="20" t="str">
        <f>IF(N4814="","",COUNTIFS(RawData[[Date ]],N4814,RawData[Month List],$Q$6,RawData[Tour/Site],$Q$2,RawData[[Picker ID ]],$Q$3,RawData[Checker ID],$Q$4,RawData[[Error Type ]],$Q$5))</f>
        <v/>
      </c>
    </row>
    <row r="4815" spans="15:15" x14ac:dyDescent="0.25">
      <c r="O4815" s="20" t="str">
        <f>IF(N4815="","",COUNTIFS(RawData[[Date ]],N4815,RawData[Month List],$Q$6,RawData[Tour/Site],$Q$2,RawData[[Picker ID ]],$Q$3,RawData[Checker ID],$Q$4,RawData[[Error Type ]],$Q$5))</f>
        <v/>
      </c>
    </row>
    <row r="4816" spans="15:15" x14ac:dyDescent="0.25">
      <c r="O4816" s="20" t="str">
        <f>IF(N4816="","",COUNTIFS(RawData[[Date ]],N4816,RawData[Month List],$Q$6,RawData[Tour/Site],$Q$2,RawData[[Picker ID ]],$Q$3,RawData[Checker ID],$Q$4,RawData[[Error Type ]],$Q$5))</f>
        <v/>
      </c>
    </row>
    <row r="4817" spans="15:15" x14ac:dyDescent="0.25">
      <c r="O4817" s="20" t="str">
        <f>IF(N4817="","",COUNTIFS(RawData[[Date ]],N4817,RawData[Month List],$Q$6,RawData[Tour/Site],$Q$2,RawData[[Picker ID ]],$Q$3,RawData[Checker ID],$Q$4,RawData[[Error Type ]],$Q$5))</f>
        <v/>
      </c>
    </row>
    <row r="4818" spans="15:15" x14ac:dyDescent="0.25">
      <c r="O4818" s="20" t="str">
        <f>IF(N4818="","",COUNTIFS(RawData[[Date ]],N4818,RawData[Month List],$Q$6,RawData[Tour/Site],$Q$2,RawData[[Picker ID ]],$Q$3,RawData[Checker ID],$Q$4,RawData[[Error Type ]],$Q$5))</f>
        <v/>
      </c>
    </row>
    <row r="4819" spans="15:15" x14ac:dyDescent="0.25">
      <c r="O4819" s="20" t="str">
        <f>IF(N4819="","",COUNTIFS(RawData[[Date ]],N4819,RawData[Month List],$Q$6,RawData[Tour/Site],$Q$2,RawData[[Picker ID ]],$Q$3,RawData[Checker ID],$Q$4,RawData[[Error Type ]],$Q$5))</f>
        <v/>
      </c>
    </row>
    <row r="4820" spans="15:15" x14ac:dyDescent="0.25">
      <c r="O4820" s="20" t="str">
        <f>IF(N4820="","",COUNTIFS(RawData[[Date ]],N4820,RawData[Month List],$Q$6,RawData[Tour/Site],$Q$2,RawData[[Picker ID ]],$Q$3,RawData[Checker ID],$Q$4,RawData[[Error Type ]],$Q$5))</f>
        <v/>
      </c>
    </row>
    <row r="4821" spans="15:15" x14ac:dyDescent="0.25">
      <c r="O4821" s="20" t="str">
        <f>IF(N4821="","",COUNTIFS(RawData[[Date ]],N4821,RawData[Month List],$Q$6,RawData[Tour/Site],$Q$2,RawData[[Picker ID ]],$Q$3,RawData[Checker ID],$Q$4,RawData[[Error Type ]],$Q$5))</f>
        <v/>
      </c>
    </row>
    <row r="4822" spans="15:15" x14ac:dyDescent="0.25">
      <c r="O4822" s="20" t="str">
        <f>IF(N4822="","",COUNTIFS(RawData[[Date ]],N4822,RawData[Month List],$Q$6,RawData[Tour/Site],$Q$2,RawData[[Picker ID ]],$Q$3,RawData[Checker ID],$Q$4,RawData[[Error Type ]],$Q$5))</f>
        <v/>
      </c>
    </row>
    <row r="4823" spans="15:15" x14ac:dyDescent="0.25">
      <c r="O4823" s="20" t="str">
        <f>IF(N4823="","",COUNTIFS(RawData[[Date ]],N4823,RawData[Month List],$Q$6,RawData[Tour/Site],$Q$2,RawData[[Picker ID ]],$Q$3,RawData[Checker ID],$Q$4,RawData[[Error Type ]],$Q$5))</f>
        <v/>
      </c>
    </row>
    <row r="4824" spans="15:15" x14ac:dyDescent="0.25">
      <c r="O4824" s="20" t="str">
        <f>IF(N4824="","",COUNTIFS(RawData[[Date ]],N4824,RawData[Month List],$Q$6,RawData[Tour/Site],$Q$2,RawData[[Picker ID ]],$Q$3,RawData[Checker ID],$Q$4,RawData[[Error Type ]],$Q$5))</f>
        <v/>
      </c>
    </row>
    <row r="4825" spans="15:15" x14ac:dyDescent="0.25">
      <c r="O4825" s="20" t="str">
        <f>IF(N4825="","",COUNTIFS(RawData[[Date ]],N4825,RawData[Month List],$Q$6,RawData[Tour/Site],$Q$2,RawData[[Picker ID ]],$Q$3,RawData[Checker ID],$Q$4,RawData[[Error Type ]],$Q$5))</f>
        <v/>
      </c>
    </row>
    <row r="4826" spans="15:15" x14ac:dyDescent="0.25">
      <c r="O4826" s="20" t="str">
        <f>IF(N4826="","",COUNTIFS(RawData[[Date ]],N4826,RawData[Month List],$Q$6,RawData[Tour/Site],$Q$2,RawData[[Picker ID ]],$Q$3,RawData[Checker ID],$Q$4,RawData[[Error Type ]],$Q$5))</f>
        <v/>
      </c>
    </row>
    <row r="4827" spans="15:15" x14ac:dyDescent="0.25">
      <c r="O4827" s="20" t="str">
        <f>IF(N4827="","",COUNTIFS(RawData[[Date ]],N4827,RawData[Month List],$Q$6,RawData[Tour/Site],$Q$2,RawData[[Picker ID ]],$Q$3,RawData[Checker ID],$Q$4,RawData[[Error Type ]],$Q$5))</f>
        <v/>
      </c>
    </row>
    <row r="4828" spans="15:15" x14ac:dyDescent="0.25">
      <c r="O4828" s="20" t="str">
        <f>IF(N4828="","",COUNTIFS(RawData[[Date ]],N4828,RawData[Month List],$Q$6,RawData[Tour/Site],$Q$2,RawData[[Picker ID ]],$Q$3,RawData[Checker ID],$Q$4,RawData[[Error Type ]],$Q$5))</f>
        <v/>
      </c>
    </row>
    <row r="4829" spans="15:15" x14ac:dyDescent="0.25">
      <c r="O4829" s="20" t="str">
        <f>IF(N4829="","",COUNTIFS(RawData[[Date ]],N4829,RawData[Month List],$Q$6,RawData[Tour/Site],$Q$2,RawData[[Picker ID ]],$Q$3,RawData[Checker ID],$Q$4,RawData[[Error Type ]],$Q$5))</f>
        <v/>
      </c>
    </row>
    <row r="4830" spans="15:15" x14ac:dyDescent="0.25">
      <c r="O4830" s="20" t="str">
        <f>IF(N4830="","",COUNTIFS(RawData[[Date ]],N4830,RawData[Month List],$Q$6,RawData[Tour/Site],$Q$2,RawData[[Picker ID ]],$Q$3,RawData[Checker ID],$Q$4,RawData[[Error Type ]],$Q$5))</f>
        <v/>
      </c>
    </row>
    <row r="4831" spans="15:15" x14ac:dyDescent="0.25">
      <c r="O4831" s="20" t="str">
        <f>IF(N4831="","",COUNTIFS(RawData[[Date ]],N4831,RawData[Month List],$Q$6,RawData[Tour/Site],$Q$2,RawData[[Picker ID ]],$Q$3,RawData[Checker ID],$Q$4,RawData[[Error Type ]],$Q$5))</f>
        <v/>
      </c>
    </row>
    <row r="4832" spans="15:15" x14ac:dyDescent="0.25">
      <c r="O4832" s="20" t="str">
        <f>IF(N4832="","",COUNTIFS(RawData[[Date ]],N4832,RawData[Month List],$Q$6,RawData[Tour/Site],$Q$2,RawData[[Picker ID ]],$Q$3,RawData[Checker ID],$Q$4,RawData[[Error Type ]],$Q$5))</f>
        <v/>
      </c>
    </row>
    <row r="4833" spans="15:15" x14ac:dyDescent="0.25">
      <c r="O4833" s="20" t="str">
        <f>IF(N4833="","",COUNTIFS(RawData[[Date ]],N4833,RawData[Month List],$Q$6,RawData[Tour/Site],$Q$2,RawData[[Picker ID ]],$Q$3,RawData[Checker ID],$Q$4,RawData[[Error Type ]],$Q$5))</f>
        <v/>
      </c>
    </row>
    <row r="4834" spans="15:15" x14ac:dyDescent="0.25">
      <c r="O4834" s="20" t="str">
        <f>IF(N4834="","",COUNTIFS(RawData[[Date ]],N4834,RawData[Month List],$Q$6,RawData[Tour/Site],$Q$2,RawData[[Picker ID ]],$Q$3,RawData[Checker ID],$Q$4,RawData[[Error Type ]],$Q$5))</f>
        <v/>
      </c>
    </row>
    <row r="4835" spans="15:15" x14ac:dyDescent="0.25">
      <c r="O4835" s="20" t="str">
        <f>IF(N4835="","",COUNTIFS(RawData[[Date ]],N4835,RawData[Month List],$Q$6,RawData[Tour/Site],$Q$2,RawData[[Picker ID ]],$Q$3,RawData[Checker ID],$Q$4,RawData[[Error Type ]],$Q$5))</f>
        <v/>
      </c>
    </row>
    <row r="4836" spans="15:15" x14ac:dyDescent="0.25">
      <c r="O4836" s="20" t="str">
        <f>IF(N4836="","",COUNTIFS(RawData[[Date ]],N4836,RawData[Month List],$Q$6,RawData[Tour/Site],$Q$2,RawData[[Picker ID ]],$Q$3,RawData[Checker ID],$Q$4,RawData[[Error Type ]],$Q$5))</f>
        <v/>
      </c>
    </row>
    <row r="4837" spans="15:15" x14ac:dyDescent="0.25">
      <c r="O4837" s="20" t="str">
        <f>IF(N4837="","",COUNTIFS(RawData[[Date ]],N4837,RawData[Month List],$Q$6,RawData[Tour/Site],$Q$2,RawData[[Picker ID ]],$Q$3,RawData[Checker ID],$Q$4,RawData[[Error Type ]],$Q$5))</f>
        <v/>
      </c>
    </row>
    <row r="4838" spans="15:15" x14ac:dyDescent="0.25">
      <c r="O4838" s="20" t="str">
        <f>IF(N4838="","",COUNTIFS(RawData[[Date ]],N4838,RawData[Month List],$Q$6,RawData[Tour/Site],$Q$2,RawData[[Picker ID ]],$Q$3,RawData[Checker ID],$Q$4,RawData[[Error Type ]],$Q$5))</f>
        <v/>
      </c>
    </row>
    <row r="4839" spans="15:15" x14ac:dyDescent="0.25">
      <c r="O4839" s="20" t="str">
        <f>IF(N4839="","",COUNTIFS(RawData[[Date ]],N4839,RawData[Month List],$Q$6,RawData[Tour/Site],$Q$2,RawData[[Picker ID ]],$Q$3,RawData[Checker ID],$Q$4,RawData[[Error Type ]],$Q$5))</f>
        <v/>
      </c>
    </row>
    <row r="4840" spans="15:15" x14ac:dyDescent="0.25">
      <c r="O4840" s="20" t="str">
        <f>IF(N4840="","",COUNTIFS(RawData[[Date ]],N4840,RawData[Month List],$Q$6,RawData[Tour/Site],$Q$2,RawData[[Picker ID ]],$Q$3,RawData[Checker ID],$Q$4,RawData[[Error Type ]],$Q$5))</f>
        <v/>
      </c>
    </row>
    <row r="4841" spans="15:15" x14ac:dyDescent="0.25">
      <c r="O4841" s="20" t="str">
        <f>IF(N4841="","",COUNTIFS(RawData[[Date ]],N4841,RawData[Month List],$Q$6,RawData[Tour/Site],$Q$2,RawData[[Picker ID ]],$Q$3,RawData[Checker ID],$Q$4,RawData[[Error Type ]],$Q$5))</f>
        <v/>
      </c>
    </row>
    <row r="4842" spans="15:15" x14ac:dyDescent="0.25">
      <c r="O4842" s="20" t="str">
        <f>IF(N4842="","",COUNTIFS(RawData[[Date ]],N4842,RawData[Month List],$Q$6,RawData[Tour/Site],$Q$2,RawData[[Picker ID ]],$Q$3,RawData[Checker ID],$Q$4,RawData[[Error Type ]],$Q$5))</f>
        <v/>
      </c>
    </row>
    <row r="4843" spans="15:15" x14ac:dyDescent="0.25">
      <c r="O4843" s="20" t="str">
        <f>IF(N4843="","",COUNTIFS(RawData[[Date ]],N4843,RawData[Month List],$Q$6,RawData[Tour/Site],$Q$2,RawData[[Picker ID ]],$Q$3,RawData[Checker ID],$Q$4,RawData[[Error Type ]],$Q$5))</f>
        <v/>
      </c>
    </row>
    <row r="4844" spans="15:15" x14ac:dyDescent="0.25">
      <c r="O4844" s="20" t="str">
        <f>IF(N4844="","",COUNTIFS(RawData[[Date ]],N4844,RawData[Month List],$Q$6,RawData[Tour/Site],$Q$2,RawData[[Picker ID ]],$Q$3,RawData[Checker ID],$Q$4,RawData[[Error Type ]],$Q$5))</f>
        <v/>
      </c>
    </row>
    <row r="4845" spans="15:15" x14ac:dyDescent="0.25">
      <c r="O4845" s="20" t="str">
        <f>IF(N4845="","",COUNTIFS(RawData[[Date ]],N4845,RawData[Month List],$Q$6,RawData[Tour/Site],$Q$2,RawData[[Picker ID ]],$Q$3,RawData[Checker ID],$Q$4,RawData[[Error Type ]],$Q$5))</f>
        <v/>
      </c>
    </row>
    <row r="4846" spans="15:15" x14ac:dyDescent="0.25">
      <c r="O4846" s="20" t="str">
        <f>IF(N4846="","",COUNTIFS(RawData[[Date ]],N4846,RawData[Month List],$Q$6,RawData[Tour/Site],$Q$2,RawData[[Picker ID ]],$Q$3,RawData[Checker ID],$Q$4,RawData[[Error Type ]],$Q$5))</f>
        <v/>
      </c>
    </row>
    <row r="4847" spans="15:15" x14ac:dyDescent="0.25">
      <c r="O4847" s="20" t="str">
        <f>IF(N4847="","",COUNTIFS(RawData[[Date ]],N4847,RawData[Month List],$Q$6,RawData[Tour/Site],$Q$2,RawData[[Picker ID ]],$Q$3,RawData[Checker ID],$Q$4,RawData[[Error Type ]],$Q$5))</f>
        <v/>
      </c>
    </row>
    <row r="4848" spans="15:15" x14ac:dyDescent="0.25">
      <c r="O4848" s="20" t="str">
        <f>IF(N4848="","",COUNTIFS(RawData[[Date ]],N4848,RawData[Month List],$Q$6,RawData[Tour/Site],$Q$2,RawData[[Picker ID ]],$Q$3,RawData[Checker ID],$Q$4,RawData[[Error Type ]],$Q$5))</f>
        <v/>
      </c>
    </row>
    <row r="4849" spans="15:15" x14ac:dyDescent="0.25">
      <c r="O4849" s="20" t="str">
        <f>IF(N4849="","",COUNTIFS(RawData[[Date ]],N4849,RawData[Month List],$Q$6,RawData[Tour/Site],$Q$2,RawData[[Picker ID ]],$Q$3,RawData[Checker ID],$Q$4,RawData[[Error Type ]],$Q$5))</f>
        <v/>
      </c>
    </row>
    <row r="4850" spans="15:15" x14ac:dyDescent="0.25">
      <c r="O4850" s="20" t="str">
        <f>IF(N4850="","",COUNTIFS(RawData[[Date ]],N4850,RawData[Month List],$Q$6,RawData[Tour/Site],$Q$2,RawData[[Picker ID ]],$Q$3,RawData[Checker ID],$Q$4,RawData[[Error Type ]],$Q$5))</f>
        <v/>
      </c>
    </row>
    <row r="4851" spans="15:15" x14ac:dyDescent="0.25">
      <c r="O4851" s="20" t="str">
        <f>IF(N4851="","",COUNTIFS(RawData[[Date ]],N4851,RawData[Month List],$Q$6,RawData[Tour/Site],$Q$2,RawData[[Picker ID ]],$Q$3,RawData[Checker ID],$Q$4,RawData[[Error Type ]],$Q$5))</f>
        <v/>
      </c>
    </row>
    <row r="4852" spans="15:15" x14ac:dyDescent="0.25">
      <c r="O4852" s="20" t="str">
        <f>IF(N4852="","",COUNTIFS(RawData[[Date ]],N4852,RawData[Month List],$Q$6,RawData[Tour/Site],$Q$2,RawData[[Picker ID ]],$Q$3,RawData[Checker ID],$Q$4,RawData[[Error Type ]],$Q$5))</f>
        <v/>
      </c>
    </row>
    <row r="4853" spans="15:15" x14ac:dyDescent="0.25">
      <c r="O4853" s="20" t="str">
        <f>IF(N4853="","",COUNTIFS(RawData[[Date ]],N4853,RawData[Month List],$Q$6,RawData[Tour/Site],$Q$2,RawData[[Picker ID ]],$Q$3,RawData[Checker ID],$Q$4,RawData[[Error Type ]],$Q$5))</f>
        <v/>
      </c>
    </row>
    <row r="4854" spans="15:15" x14ac:dyDescent="0.25">
      <c r="O4854" s="20" t="str">
        <f>IF(N4854="","",COUNTIFS(RawData[[Date ]],N4854,RawData[Month List],$Q$6,RawData[Tour/Site],$Q$2,RawData[[Picker ID ]],$Q$3,RawData[Checker ID],$Q$4,RawData[[Error Type ]],$Q$5))</f>
        <v/>
      </c>
    </row>
    <row r="4855" spans="15:15" x14ac:dyDescent="0.25">
      <c r="O4855" s="20" t="str">
        <f>IF(N4855="","",COUNTIFS(RawData[[Date ]],N4855,RawData[Month List],$Q$6,RawData[Tour/Site],$Q$2,RawData[[Picker ID ]],$Q$3,RawData[Checker ID],$Q$4,RawData[[Error Type ]],$Q$5))</f>
        <v/>
      </c>
    </row>
    <row r="4856" spans="15:15" x14ac:dyDescent="0.25">
      <c r="O4856" s="20" t="str">
        <f>IF(N4856="","",COUNTIFS(RawData[[Date ]],N4856,RawData[Month List],$Q$6,RawData[Tour/Site],$Q$2,RawData[[Picker ID ]],$Q$3,RawData[Checker ID],$Q$4,RawData[[Error Type ]],$Q$5))</f>
        <v/>
      </c>
    </row>
    <row r="4857" spans="15:15" x14ac:dyDescent="0.25">
      <c r="O4857" s="20" t="str">
        <f>IF(N4857="","",COUNTIFS(RawData[[Date ]],N4857,RawData[Month List],$Q$6,RawData[Tour/Site],$Q$2,RawData[[Picker ID ]],$Q$3,RawData[Checker ID],$Q$4,RawData[[Error Type ]],$Q$5))</f>
        <v/>
      </c>
    </row>
    <row r="4858" spans="15:15" x14ac:dyDescent="0.25">
      <c r="O4858" s="20" t="str">
        <f>IF(N4858="","",COUNTIFS(RawData[[Date ]],N4858,RawData[Month List],$Q$6,RawData[Tour/Site],$Q$2,RawData[[Picker ID ]],$Q$3,RawData[Checker ID],$Q$4,RawData[[Error Type ]],$Q$5))</f>
        <v/>
      </c>
    </row>
    <row r="4859" spans="15:15" x14ac:dyDescent="0.25">
      <c r="O4859" s="20" t="str">
        <f>IF(N4859="","",COUNTIFS(RawData[[Date ]],N4859,RawData[Month List],$Q$6,RawData[Tour/Site],$Q$2,RawData[[Picker ID ]],$Q$3,RawData[Checker ID],$Q$4,RawData[[Error Type ]],$Q$5))</f>
        <v/>
      </c>
    </row>
    <row r="4860" spans="15:15" x14ac:dyDescent="0.25">
      <c r="O4860" s="20" t="str">
        <f>IF(N4860="","",COUNTIFS(RawData[[Date ]],N4860,RawData[Month List],$Q$6,RawData[Tour/Site],$Q$2,RawData[[Picker ID ]],$Q$3,RawData[Checker ID],$Q$4,RawData[[Error Type ]],$Q$5))</f>
        <v/>
      </c>
    </row>
    <row r="4861" spans="15:15" x14ac:dyDescent="0.25">
      <c r="O4861" s="20" t="str">
        <f>IF(N4861="","",COUNTIFS(RawData[[Date ]],N4861,RawData[Month List],$Q$6,RawData[Tour/Site],$Q$2,RawData[[Picker ID ]],$Q$3,RawData[Checker ID],$Q$4,RawData[[Error Type ]],$Q$5))</f>
        <v/>
      </c>
    </row>
    <row r="4862" spans="15:15" x14ac:dyDescent="0.25">
      <c r="O4862" s="20" t="str">
        <f>IF(N4862="","",COUNTIFS(RawData[[Date ]],N4862,RawData[Month List],$Q$6,RawData[Tour/Site],$Q$2,RawData[[Picker ID ]],$Q$3,RawData[Checker ID],$Q$4,RawData[[Error Type ]],$Q$5))</f>
        <v/>
      </c>
    </row>
    <row r="4863" spans="15:15" x14ac:dyDescent="0.25">
      <c r="O4863" s="20" t="str">
        <f>IF(N4863="","",COUNTIFS(RawData[[Date ]],N4863,RawData[Month List],$Q$6,RawData[Tour/Site],$Q$2,RawData[[Picker ID ]],$Q$3,RawData[Checker ID],$Q$4,RawData[[Error Type ]],$Q$5))</f>
        <v/>
      </c>
    </row>
    <row r="4864" spans="15:15" x14ac:dyDescent="0.25">
      <c r="O4864" s="20" t="str">
        <f>IF(N4864="","",COUNTIFS(RawData[[Date ]],N4864,RawData[Month List],$Q$6,RawData[Tour/Site],$Q$2,RawData[[Picker ID ]],$Q$3,RawData[Checker ID],$Q$4,RawData[[Error Type ]],$Q$5))</f>
        <v/>
      </c>
    </row>
    <row r="4865" spans="15:15" x14ac:dyDescent="0.25">
      <c r="O4865" s="20" t="str">
        <f>IF(N4865="","",COUNTIFS(RawData[[Date ]],N4865,RawData[Month List],$Q$6,RawData[Tour/Site],$Q$2,RawData[[Picker ID ]],$Q$3,RawData[Checker ID],$Q$4,RawData[[Error Type ]],$Q$5))</f>
        <v/>
      </c>
    </row>
    <row r="4866" spans="15:15" x14ac:dyDescent="0.25">
      <c r="O4866" s="20" t="str">
        <f>IF(N4866="","",COUNTIFS(RawData[[Date ]],N4866,RawData[Month List],$Q$6,RawData[Tour/Site],$Q$2,RawData[[Picker ID ]],$Q$3,RawData[Checker ID],$Q$4,RawData[[Error Type ]],$Q$5))</f>
        <v/>
      </c>
    </row>
    <row r="4867" spans="15:15" x14ac:dyDescent="0.25">
      <c r="O4867" s="20" t="str">
        <f>IF(N4867="","",COUNTIFS(RawData[[Date ]],N4867,RawData[Month List],$Q$6,RawData[Tour/Site],$Q$2,RawData[[Picker ID ]],$Q$3,RawData[Checker ID],$Q$4,RawData[[Error Type ]],$Q$5))</f>
        <v/>
      </c>
    </row>
    <row r="4868" spans="15:15" x14ac:dyDescent="0.25">
      <c r="O4868" s="20" t="str">
        <f>IF(N4868="","",COUNTIFS(RawData[[Date ]],N4868,RawData[Month List],$Q$6,RawData[Tour/Site],$Q$2,RawData[[Picker ID ]],$Q$3,RawData[Checker ID],$Q$4,RawData[[Error Type ]],$Q$5))</f>
        <v/>
      </c>
    </row>
    <row r="4869" spans="15:15" x14ac:dyDescent="0.25">
      <c r="O4869" s="20" t="str">
        <f>IF(N4869="","",COUNTIFS(RawData[[Date ]],N4869,RawData[Month List],$Q$6,RawData[Tour/Site],$Q$2,RawData[[Picker ID ]],$Q$3,RawData[Checker ID],$Q$4,RawData[[Error Type ]],$Q$5))</f>
        <v/>
      </c>
    </row>
    <row r="4870" spans="15:15" x14ac:dyDescent="0.25">
      <c r="O4870" s="20" t="str">
        <f>IF(N4870="","",COUNTIFS(RawData[[Date ]],N4870,RawData[Month List],$Q$6,RawData[Tour/Site],$Q$2,RawData[[Picker ID ]],$Q$3,RawData[Checker ID],$Q$4,RawData[[Error Type ]],$Q$5))</f>
        <v/>
      </c>
    </row>
    <row r="4871" spans="15:15" x14ac:dyDescent="0.25">
      <c r="O4871" s="20" t="str">
        <f>IF(N4871="","",COUNTIFS(RawData[[Date ]],N4871,RawData[Month List],$Q$6,RawData[Tour/Site],$Q$2,RawData[[Picker ID ]],$Q$3,RawData[Checker ID],$Q$4,RawData[[Error Type ]],$Q$5))</f>
        <v/>
      </c>
    </row>
    <row r="4872" spans="15:15" x14ac:dyDescent="0.25">
      <c r="O4872" s="20" t="str">
        <f>IF(N4872="","",COUNTIFS(RawData[[Date ]],N4872,RawData[Month List],$Q$6,RawData[Tour/Site],$Q$2,RawData[[Picker ID ]],$Q$3,RawData[Checker ID],$Q$4,RawData[[Error Type ]],$Q$5))</f>
        <v/>
      </c>
    </row>
    <row r="4873" spans="15:15" x14ac:dyDescent="0.25">
      <c r="O4873" s="20" t="str">
        <f>IF(N4873="","",COUNTIFS(RawData[[Date ]],N4873,RawData[Month List],$Q$6,RawData[Tour/Site],$Q$2,RawData[[Picker ID ]],$Q$3,RawData[Checker ID],$Q$4,RawData[[Error Type ]],$Q$5))</f>
        <v/>
      </c>
    </row>
    <row r="4874" spans="15:15" x14ac:dyDescent="0.25">
      <c r="O4874" s="20" t="str">
        <f>IF(N4874="","",COUNTIFS(RawData[[Date ]],N4874,RawData[Month List],$Q$6,RawData[Tour/Site],$Q$2,RawData[[Picker ID ]],$Q$3,RawData[Checker ID],$Q$4,RawData[[Error Type ]],$Q$5))</f>
        <v/>
      </c>
    </row>
    <row r="4875" spans="15:15" x14ac:dyDescent="0.25">
      <c r="O4875" s="20" t="str">
        <f>IF(N4875="","",COUNTIFS(RawData[[Date ]],N4875,RawData[Month List],$Q$6,RawData[Tour/Site],$Q$2,RawData[[Picker ID ]],$Q$3,RawData[Checker ID],$Q$4,RawData[[Error Type ]],$Q$5))</f>
        <v/>
      </c>
    </row>
    <row r="4876" spans="15:15" x14ac:dyDescent="0.25">
      <c r="O4876" s="20" t="str">
        <f>IF(N4876="","",COUNTIFS(RawData[[Date ]],N4876,RawData[Month List],$Q$6,RawData[Tour/Site],$Q$2,RawData[[Picker ID ]],$Q$3,RawData[Checker ID],$Q$4,RawData[[Error Type ]],$Q$5))</f>
        <v/>
      </c>
    </row>
    <row r="4877" spans="15:15" x14ac:dyDescent="0.25">
      <c r="O4877" s="20" t="str">
        <f>IF(N4877="","",COUNTIFS(RawData[[Date ]],N4877,RawData[Month List],$Q$6,RawData[Tour/Site],$Q$2,RawData[[Picker ID ]],$Q$3,RawData[Checker ID],$Q$4,RawData[[Error Type ]],$Q$5))</f>
        <v/>
      </c>
    </row>
    <row r="4878" spans="15:15" x14ac:dyDescent="0.25">
      <c r="O4878" s="20" t="str">
        <f>IF(N4878="","",COUNTIFS(RawData[[Date ]],N4878,RawData[Month List],$Q$6,RawData[Tour/Site],$Q$2,RawData[[Picker ID ]],$Q$3,RawData[Checker ID],$Q$4,RawData[[Error Type ]],$Q$5))</f>
        <v/>
      </c>
    </row>
    <row r="4879" spans="15:15" x14ac:dyDescent="0.25">
      <c r="O4879" s="20" t="str">
        <f>IF(N4879="","",COUNTIFS(RawData[[Date ]],N4879,RawData[Month List],$Q$6,RawData[Tour/Site],$Q$2,RawData[[Picker ID ]],$Q$3,RawData[Checker ID],$Q$4,RawData[[Error Type ]],$Q$5))</f>
        <v/>
      </c>
    </row>
    <row r="4880" spans="15:15" x14ac:dyDescent="0.25">
      <c r="O4880" s="20" t="str">
        <f>IF(N4880="","",COUNTIFS(RawData[[Date ]],N4880,RawData[Month List],$Q$6,RawData[Tour/Site],$Q$2,RawData[[Picker ID ]],$Q$3,RawData[Checker ID],$Q$4,RawData[[Error Type ]],$Q$5))</f>
        <v/>
      </c>
    </row>
    <row r="4881" spans="15:15" x14ac:dyDescent="0.25">
      <c r="O4881" s="20" t="str">
        <f>IF(N4881="","",COUNTIFS(RawData[[Date ]],N4881,RawData[Month List],$Q$6,RawData[Tour/Site],$Q$2,RawData[[Picker ID ]],$Q$3,RawData[Checker ID],$Q$4,RawData[[Error Type ]],$Q$5))</f>
        <v/>
      </c>
    </row>
    <row r="4882" spans="15:15" x14ac:dyDescent="0.25">
      <c r="O4882" s="20" t="str">
        <f>IF(N4882="","",COUNTIFS(RawData[[Date ]],N4882,RawData[Month List],$Q$6,RawData[Tour/Site],$Q$2,RawData[[Picker ID ]],$Q$3,RawData[Checker ID],$Q$4,RawData[[Error Type ]],$Q$5))</f>
        <v/>
      </c>
    </row>
    <row r="4883" spans="15:15" x14ac:dyDescent="0.25">
      <c r="O4883" s="20" t="str">
        <f>IF(N4883="","",COUNTIFS(RawData[[Date ]],N4883,RawData[Month List],$Q$6,RawData[Tour/Site],$Q$2,RawData[[Picker ID ]],$Q$3,RawData[Checker ID],$Q$4,RawData[[Error Type ]],$Q$5))</f>
        <v/>
      </c>
    </row>
    <row r="4884" spans="15:15" x14ac:dyDescent="0.25">
      <c r="O4884" s="20" t="str">
        <f>IF(N4884="","",COUNTIFS(RawData[[Date ]],N4884,RawData[Month List],$Q$6,RawData[Tour/Site],$Q$2,RawData[[Picker ID ]],$Q$3,RawData[Checker ID],$Q$4,RawData[[Error Type ]],$Q$5))</f>
        <v/>
      </c>
    </row>
    <row r="4885" spans="15:15" x14ac:dyDescent="0.25">
      <c r="O4885" s="20" t="str">
        <f>IF(N4885="","",COUNTIFS(RawData[[Date ]],N4885,RawData[Month List],$Q$6,RawData[Tour/Site],$Q$2,RawData[[Picker ID ]],$Q$3,RawData[Checker ID],$Q$4,RawData[[Error Type ]],$Q$5))</f>
        <v/>
      </c>
    </row>
    <row r="4886" spans="15:15" x14ac:dyDescent="0.25">
      <c r="O4886" s="20" t="str">
        <f>IF(N4886="","",COUNTIFS(RawData[[Date ]],N4886,RawData[Month List],$Q$6,RawData[Tour/Site],$Q$2,RawData[[Picker ID ]],$Q$3,RawData[Checker ID],$Q$4,RawData[[Error Type ]],$Q$5))</f>
        <v/>
      </c>
    </row>
    <row r="4887" spans="15:15" x14ac:dyDescent="0.25">
      <c r="O4887" s="20" t="str">
        <f>IF(N4887="","",COUNTIFS(RawData[[Date ]],N4887,RawData[Month List],$Q$6,RawData[Tour/Site],$Q$2,RawData[[Picker ID ]],$Q$3,RawData[Checker ID],$Q$4,RawData[[Error Type ]],$Q$5))</f>
        <v/>
      </c>
    </row>
    <row r="4888" spans="15:15" x14ac:dyDescent="0.25">
      <c r="O4888" s="20" t="str">
        <f>IF(N4888="","",COUNTIFS(RawData[[Date ]],N4888,RawData[Month List],$Q$6,RawData[Tour/Site],$Q$2,RawData[[Picker ID ]],$Q$3,RawData[Checker ID],$Q$4,RawData[[Error Type ]],$Q$5))</f>
        <v/>
      </c>
    </row>
    <row r="4889" spans="15:15" x14ac:dyDescent="0.25">
      <c r="O4889" s="20" t="str">
        <f>IF(N4889="","",COUNTIFS(RawData[[Date ]],N4889,RawData[Month List],$Q$6,RawData[Tour/Site],$Q$2,RawData[[Picker ID ]],$Q$3,RawData[Checker ID],$Q$4,RawData[[Error Type ]],$Q$5))</f>
        <v/>
      </c>
    </row>
    <row r="4890" spans="15:15" x14ac:dyDescent="0.25">
      <c r="O4890" s="20" t="str">
        <f>IF(N4890="","",COUNTIFS(RawData[[Date ]],N4890,RawData[Month List],$Q$6,RawData[Tour/Site],$Q$2,RawData[[Picker ID ]],$Q$3,RawData[Checker ID],$Q$4,RawData[[Error Type ]],$Q$5))</f>
        <v/>
      </c>
    </row>
    <row r="4891" spans="15:15" x14ac:dyDescent="0.25">
      <c r="O4891" s="20" t="str">
        <f>IF(N4891="","",COUNTIFS(RawData[[Date ]],N4891,RawData[Month List],$Q$6,RawData[Tour/Site],$Q$2,RawData[[Picker ID ]],$Q$3,RawData[Checker ID],$Q$4,RawData[[Error Type ]],$Q$5))</f>
        <v/>
      </c>
    </row>
    <row r="4892" spans="15:15" x14ac:dyDescent="0.25">
      <c r="O4892" s="20" t="str">
        <f>IF(N4892="","",COUNTIFS(RawData[[Date ]],N4892,RawData[Month List],$Q$6,RawData[Tour/Site],$Q$2,RawData[[Picker ID ]],$Q$3,RawData[Checker ID],$Q$4,RawData[[Error Type ]],$Q$5))</f>
        <v/>
      </c>
    </row>
    <row r="4893" spans="15:15" x14ac:dyDescent="0.25">
      <c r="O4893" s="20" t="str">
        <f>IF(N4893="","",COUNTIFS(RawData[[Date ]],N4893,RawData[Month List],$Q$6,RawData[Tour/Site],$Q$2,RawData[[Picker ID ]],$Q$3,RawData[Checker ID],$Q$4,RawData[[Error Type ]],$Q$5))</f>
        <v/>
      </c>
    </row>
    <row r="4894" spans="15:15" x14ac:dyDescent="0.25">
      <c r="O4894" s="20" t="str">
        <f>IF(N4894="","",COUNTIFS(RawData[[Date ]],N4894,RawData[Month List],$Q$6,RawData[Tour/Site],$Q$2,RawData[[Picker ID ]],$Q$3,RawData[Checker ID],$Q$4,RawData[[Error Type ]],$Q$5))</f>
        <v/>
      </c>
    </row>
    <row r="4895" spans="15:15" x14ac:dyDescent="0.25">
      <c r="O4895" s="20" t="str">
        <f>IF(N4895="","",COUNTIFS(RawData[[Date ]],N4895,RawData[Month List],$Q$6,RawData[Tour/Site],$Q$2,RawData[[Picker ID ]],$Q$3,RawData[Checker ID],$Q$4,RawData[[Error Type ]],$Q$5))</f>
        <v/>
      </c>
    </row>
    <row r="4896" spans="15:15" x14ac:dyDescent="0.25">
      <c r="O4896" s="20" t="str">
        <f>IF(N4896="","",COUNTIFS(RawData[[Date ]],N4896,RawData[Month List],$Q$6,RawData[Tour/Site],$Q$2,RawData[[Picker ID ]],$Q$3,RawData[Checker ID],$Q$4,RawData[[Error Type ]],$Q$5))</f>
        <v/>
      </c>
    </row>
    <row r="4897" spans="15:15" x14ac:dyDescent="0.25">
      <c r="O4897" s="20" t="str">
        <f>IF(N4897="","",COUNTIFS(RawData[[Date ]],N4897,RawData[Month List],$Q$6,RawData[Tour/Site],$Q$2,RawData[[Picker ID ]],$Q$3,RawData[Checker ID],$Q$4,RawData[[Error Type ]],$Q$5))</f>
        <v/>
      </c>
    </row>
    <row r="4898" spans="15:15" x14ac:dyDescent="0.25">
      <c r="O4898" s="20" t="str">
        <f>IF(N4898="","",COUNTIFS(RawData[[Date ]],N4898,RawData[Month List],$Q$6,RawData[Tour/Site],$Q$2,RawData[[Picker ID ]],$Q$3,RawData[Checker ID],$Q$4,RawData[[Error Type ]],$Q$5))</f>
        <v/>
      </c>
    </row>
    <row r="4899" spans="15:15" x14ac:dyDescent="0.25">
      <c r="O4899" s="20" t="str">
        <f>IF(N4899="","",COUNTIFS(RawData[[Date ]],N4899,RawData[Month List],$Q$6,RawData[Tour/Site],$Q$2,RawData[[Picker ID ]],$Q$3,RawData[Checker ID],$Q$4,RawData[[Error Type ]],$Q$5))</f>
        <v/>
      </c>
    </row>
    <row r="4900" spans="15:15" x14ac:dyDescent="0.25">
      <c r="O4900" s="20" t="str">
        <f>IF(N4900="","",COUNTIFS(RawData[[Date ]],N4900,RawData[Month List],$Q$6,RawData[Tour/Site],$Q$2,RawData[[Picker ID ]],$Q$3,RawData[Checker ID],$Q$4,RawData[[Error Type ]],$Q$5))</f>
        <v/>
      </c>
    </row>
    <row r="4901" spans="15:15" x14ac:dyDescent="0.25">
      <c r="O4901" s="20" t="str">
        <f>IF(N4901="","",COUNTIFS(RawData[[Date ]],N4901,RawData[Month List],$Q$6,RawData[Tour/Site],$Q$2,RawData[[Picker ID ]],$Q$3,RawData[Checker ID],$Q$4,RawData[[Error Type ]],$Q$5))</f>
        <v/>
      </c>
    </row>
    <row r="4902" spans="15:15" x14ac:dyDescent="0.25">
      <c r="O4902" s="20" t="str">
        <f>IF(N4902="","",COUNTIFS(RawData[[Date ]],N4902,RawData[Month List],$Q$6,RawData[Tour/Site],$Q$2,RawData[[Picker ID ]],$Q$3,RawData[Checker ID],$Q$4,RawData[[Error Type ]],$Q$5))</f>
        <v/>
      </c>
    </row>
    <row r="4903" spans="15:15" x14ac:dyDescent="0.25">
      <c r="O4903" s="20" t="str">
        <f>IF(N4903="","",COUNTIFS(RawData[[Date ]],N4903,RawData[Month List],$Q$6,RawData[Tour/Site],$Q$2,RawData[[Picker ID ]],$Q$3,RawData[Checker ID],$Q$4,RawData[[Error Type ]],$Q$5))</f>
        <v/>
      </c>
    </row>
    <row r="4904" spans="15:15" x14ac:dyDescent="0.25">
      <c r="O4904" s="20" t="str">
        <f>IF(N4904="","",COUNTIFS(RawData[[Date ]],N4904,RawData[Month List],$Q$6,RawData[Tour/Site],$Q$2,RawData[[Picker ID ]],$Q$3,RawData[Checker ID],$Q$4,RawData[[Error Type ]],$Q$5))</f>
        <v/>
      </c>
    </row>
    <row r="4905" spans="15:15" x14ac:dyDescent="0.25">
      <c r="O4905" s="20" t="str">
        <f>IF(N4905="","",COUNTIFS(RawData[[Date ]],N4905,RawData[Month List],$Q$6,RawData[Tour/Site],$Q$2,RawData[[Picker ID ]],$Q$3,RawData[Checker ID],$Q$4,RawData[[Error Type ]],$Q$5))</f>
        <v/>
      </c>
    </row>
    <row r="4906" spans="15:15" x14ac:dyDescent="0.25">
      <c r="O4906" s="20" t="str">
        <f>IF(N4906="","",COUNTIFS(RawData[[Date ]],N4906,RawData[Month List],$Q$6,RawData[Tour/Site],$Q$2,RawData[[Picker ID ]],$Q$3,RawData[Checker ID],$Q$4,RawData[[Error Type ]],$Q$5))</f>
        <v/>
      </c>
    </row>
    <row r="4907" spans="15:15" x14ac:dyDescent="0.25">
      <c r="O4907" s="20" t="str">
        <f>IF(N4907="","",COUNTIFS(RawData[[Date ]],N4907,RawData[Month List],$Q$6,RawData[Tour/Site],$Q$2,RawData[[Picker ID ]],$Q$3,RawData[Checker ID],$Q$4,RawData[[Error Type ]],$Q$5))</f>
        <v/>
      </c>
    </row>
    <row r="4908" spans="15:15" x14ac:dyDescent="0.25">
      <c r="O4908" s="20" t="str">
        <f>IF(N4908="","",COUNTIFS(RawData[[Date ]],N4908,RawData[Month List],$Q$6,RawData[Tour/Site],$Q$2,RawData[[Picker ID ]],$Q$3,RawData[Checker ID],$Q$4,RawData[[Error Type ]],$Q$5))</f>
        <v/>
      </c>
    </row>
    <row r="4909" spans="15:15" x14ac:dyDescent="0.25">
      <c r="O4909" s="20" t="str">
        <f>IF(N4909="","",COUNTIFS(RawData[[Date ]],N4909,RawData[Month List],$Q$6,RawData[Tour/Site],$Q$2,RawData[[Picker ID ]],$Q$3,RawData[Checker ID],$Q$4,RawData[[Error Type ]],$Q$5))</f>
        <v/>
      </c>
    </row>
    <row r="4910" spans="15:15" x14ac:dyDescent="0.25">
      <c r="O4910" s="20" t="str">
        <f>IF(N4910="","",COUNTIFS(RawData[[Date ]],N4910,RawData[Month List],$Q$6,RawData[Tour/Site],$Q$2,RawData[[Picker ID ]],$Q$3,RawData[Checker ID],$Q$4,RawData[[Error Type ]],$Q$5))</f>
        <v/>
      </c>
    </row>
    <row r="4911" spans="15:15" x14ac:dyDescent="0.25">
      <c r="O4911" s="20" t="str">
        <f>IF(N4911="","",COUNTIFS(RawData[[Date ]],N4911,RawData[Month List],$Q$6,RawData[Tour/Site],$Q$2,RawData[[Picker ID ]],$Q$3,RawData[Checker ID],$Q$4,RawData[[Error Type ]],$Q$5))</f>
        <v/>
      </c>
    </row>
    <row r="4912" spans="15:15" x14ac:dyDescent="0.25">
      <c r="O4912" s="20" t="str">
        <f>IF(N4912="","",COUNTIFS(RawData[[Date ]],N4912,RawData[Month List],$Q$6,RawData[Tour/Site],$Q$2,RawData[[Picker ID ]],$Q$3,RawData[Checker ID],$Q$4,RawData[[Error Type ]],$Q$5))</f>
        <v/>
      </c>
    </row>
    <row r="4913" spans="15:15" x14ac:dyDescent="0.25">
      <c r="O4913" s="20" t="str">
        <f>IF(N4913="","",COUNTIFS(RawData[[Date ]],N4913,RawData[Month List],$Q$6,RawData[Tour/Site],$Q$2,RawData[[Picker ID ]],$Q$3,RawData[Checker ID],$Q$4,RawData[[Error Type ]],$Q$5))</f>
        <v/>
      </c>
    </row>
    <row r="4914" spans="15:15" x14ac:dyDescent="0.25">
      <c r="O4914" s="20" t="str">
        <f>IF(N4914="","",COUNTIFS(RawData[[Date ]],N4914,RawData[Month List],$Q$6,RawData[Tour/Site],$Q$2,RawData[[Picker ID ]],$Q$3,RawData[Checker ID],$Q$4,RawData[[Error Type ]],$Q$5))</f>
        <v/>
      </c>
    </row>
    <row r="4915" spans="15:15" x14ac:dyDescent="0.25">
      <c r="O4915" s="20" t="str">
        <f>IF(N4915="","",COUNTIFS(RawData[[Date ]],N4915,RawData[Month List],$Q$6,RawData[Tour/Site],$Q$2,RawData[[Picker ID ]],$Q$3,RawData[Checker ID],$Q$4,RawData[[Error Type ]],$Q$5))</f>
        <v/>
      </c>
    </row>
    <row r="4916" spans="15:15" x14ac:dyDescent="0.25">
      <c r="O4916" s="20" t="str">
        <f>IF(N4916="","",COUNTIFS(RawData[[Date ]],N4916,RawData[Month List],$Q$6,RawData[Tour/Site],$Q$2,RawData[[Picker ID ]],$Q$3,RawData[Checker ID],$Q$4,RawData[[Error Type ]],$Q$5))</f>
        <v/>
      </c>
    </row>
    <row r="4917" spans="15:15" x14ac:dyDescent="0.25">
      <c r="O4917" s="20" t="str">
        <f>IF(N4917="","",COUNTIFS(RawData[[Date ]],N4917,RawData[Month List],$Q$6,RawData[Tour/Site],$Q$2,RawData[[Picker ID ]],$Q$3,RawData[Checker ID],$Q$4,RawData[[Error Type ]],$Q$5))</f>
        <v/>
      </c>
    </row>
    <row r="4918" spans="15:15" x14ac:dyDescent="0.25">
      <c r="O4918" s="20" t="str">
        <f>IF(N4918="","",COUNTIFS(RawData[[Date ]],N4918,RawData[Month List],$Q$6,RawData[Tour/Site],$Q$2,RawData[[Picker ID ]],$Q$3,RawData[Checker ID],$Q$4,RawData[[Error Type ]],$Q$5))</f>
        <v/>
      </c>
    </row>
    <row r="4919" spans="15:15" x14ac:dyDescent="0.25">
      <c r="O4919" s="20" t="str">
        <f>IF(N4919="","",COUNTIFS(RawData[[Date ]],N4919,RawData[Month List],$Q$6,RawData[Tour/Site],$Q$2,RawData[[Picker ID ]],$Q$3,RawData[Checker ID],$Q$4,RawData[[Error Type ]],$Q$5))</f>
        <v/>
      </c>
    </row>
    <row r="4920" spans="15:15" x14ac:dyDescent="0.25">
      <c r="O4920" s="20" t="str">
        <f>IF(N4920="","",COUNTIFS(RawData[[Date ]],N4920,RawData[Month List],$Q$6,RawData[Tour/Site],$Q$2,RawData[[Picker ID ]],$Q$3,RawData[Checker ID],$Q$4,RawData[[Error Type ]],$Q$5))</f>
        <v/>
      </c>
    </row>
    <row r="4921" spans="15:15" x14ac:dyDescent="0.25">
      <c r="O4921" s="20" t="str">
        <f>IF(N4921="","",COUNTIFS(RawData[[Date ]],N4921,RawData[Month List],$Q$6,RawData[Tour/Site],$Q$2,RawData[[Picker ID ]],$Q$3,RawData[Checker ID],$Q$4,RawData[[Error Type ]],$Q$5))</f>
        <v/>
      </c>
    </row>
    <row r="4922" spans="15:15" x14ac:dyDescent="0.25">
      <c r="O4922" s="20" t="str">
        <f>IF(N4922="","",COUNTIFS(RawData[[Date ]],N4922,RawData[Month List],$Q$6,RawData[Tour/Site],$Q$2,RawData[[Picker ID ]],$Q$3,RawData[Checker ID],$Q$4,RawData[[Error Type ]],$Q$5))</f>
        <v/>
      </c>
    </row>
    <row r="4923" spans="15:15" x14ac:dyDescent="0.25">
      <c r="O4923" s="20" t="str">
        <f>IF(N4923="","",COUNTIFS(RawData[[Date ]],N4923,RawData[Month List],$Q$6,RawData[Tour/Site],$Q$2,RawData[[Picker ID ]],$Q$3,RawData[Checker ID],$Q$4,RawData[[Error Type ]],$Q$5))</f>
        <v/>
      </c>
    </row>
    <row r="4924" spans="15:15" x14ac:dyDescent="0.25">
      <c r="O4924" s="20" t="str">
        <f>IF(N4924="","",COUNTIFS(RawData[[Date ]],N4924,RawData[Month List],$Q$6,RawData[Tour/Site],$Q$2,RawData[[Picker ID ]],$Q$3,RawData[Checker ID],$Q$4,RawData[[Error Type ]],$Q$5))</f>
        <v/>
      </c>
    </row>
    <row r="4925" spans="15:15" x14ac:dyDescent="0.25">
      <c r="O4925" s="20" t="str">
        <f>IF(N4925="","",COUNTIFS(RawData[[Date ]],N4925,RawData[Month List],$Q$6,RawData[Tour/Site],$Q$2,RawData[[Picker ID ]],$Q$3,RawData[Checker ID],$Q$4,RawData[[Error Type ]],$Q$5))</f>
        <v/>
      </c>
    </row>
    <row r="4926" spans="15:15" x14ac:dyDescent="0.25">
      <c r="O4926" s="20" t="str">
        <f>IF(N4926="","",COUNTIFS(RawData[[Date ]],N4926,RawData[Month List],$Q$6,RawData[Tour/Site],$Q$2,RawData[[Picker ID ]],$Q$3,RawData[Checker ID],$Q$4,RawData[[Error Type ]],$Q$5))</f>
        <v/>
      </c>
    </row>
    <row r="4927" spans="15:15" x14ac:dyDescent="0.25">
      <c r="O4927" s="20" t="str">
        <f>IF(N4927="","",COUNTIFS(RawData[[Date ]],N4927,RawData[Month List],$Q$6,RawData[Tour/Site],$Q$2,RawData[[Picker ID ]],$Q$3,RawData[Checker ID],$Q$4,RawData[[Error Type ]],$Q$5))</f>
        <v/>
      </c>
    </row>
    <row r="4928" spans="15:15" x14ac:dyDescent="0.25">
      <c r="O4928" s="20" t="str">
        <f>IF(N4928="","",COUNTIFS(RawData[[Date ]],N4928,RawData[Month List],$Q$6,RawData[Tour/Site],$Q$2,RawData[[Picker ID ]],$Q$3,RawData[Checker ID],$Q$4,RawData[[Error Type ]],$Q$5))</f>
        <v/>
      </c>
    </row>
    <row r="4929" spans="15:15" x14ac:dyDescent="0.25">
      <c r="O4929" s="20" t="str">
        <f>IF(N4929="","",COUNTIFS(RawData[[Date ]],N4929,RawData[Month List],$Q$6,RawData[Tour/Site],$Q$2,RawData[[Picker ID ]],$Q$3,RawData[Checker ID],$Q$4,RawData[[Error Type ]],$Q$5))</f>
        <v/>
      </c>
    </row>
    <row r="4930" spans="15:15" x14ac:dyDescent="0.25">
      <c r="O4930" s="20" t="str">
        <f>IF(N4930="","",COUNTIFS(RawData[[Date ]],N4930,RawData[Month List],$Q$6,RawData[Tour/Site],$Q$2,RawData[[Picker ID ]],$Q$3,RawData[Checker ID],$Q$4,RawData[[Error Type ]],$Q$5))</f>
        <v/>
      </c>
    </row>
    <row r="4931" spans="15:15" x14ac:dyDescent="0.25">
      <c r="O4931" s="20" t="str">
        <f>IF(N4931="","",COUNTIFS(RawData[[Date ]],N4931,RawData[Month List],$Q$6,RawData[Tour/Site],$Q$2,RawData[[Picker ID ]],$Q$3,RawData[Checker ID],$Q$4,RawData[[Error Type ]],$Q$5))</f>
        <v/>
      </c>
    </row>
    <row r="4932" spans="15:15" x14ac:dyDescent="0.25">
      <c r="O4932" s="20" t="str">
        <f>IF(N4932="","",COUNTIFS(RawData[[Date ]],N4932,RawData[Month List],$Q$6,RawData[Tour/Site],$Q$2,RawData[[Picker ID ]],$Q$3,RawData[Checker ID],$Q$4,RawData[[Error Type ]],$Q$5))</f>
        <v/>
      </c>
    </row>
    <row r="4933" spans="15:15" x14ac:dyDescent="0.25">
      <c r="O4933" s="20" t="str">
        <f>IF(N4933="","",COUNTIFS(RawData[[Date ]],N4933,RawData[Month List],$Q$6,RawData[Tour/Site],$Q$2,RawData[[Picker ID ]],$Q$3,RawData[Checker ID],$Q$4,RawData[[Error Type ]],$Q$5))</f>
        <v/>
      </c>
    </row>
    <row r="4934" spans="15:15" x14ac:dyDescent="0.25">
      <c r="O4934" s="20" t="str">
        <f>IF(N4934="","",COUNTIFS(RawData[[Date ]],N4934,RawData[Month List],$Q$6,RawData[Tour/Site],$Q$2,RawData[[Picker ID ]],$Q$3,RawData[Checker ID],$Q$4,RawData[[Error Type ]],$Q$5))</f>
        <v/>
      </c>
    </row>
    <row r="4935" spans="15:15" x14ac:dyDescent="0.25">
      <c r="O4935" s="20" t="str">
        <f>IF(N4935="","",COUNTIFS(RawData[[Date ]],N4935,RawData[Month List],$Q$6,RawData[Tour/Site],$Q$2,RawData[[Picker ID ]],$Q$3,RawData[Checker ID],$Q$4,RawData[[Error Type ]],$Q$5))</f>
        <v/>
      </c>
    </row>
    <row r="4936" spans="15:15" x14ac:dyDescent="0.25">
      <c r="O4936" s="20" t="str">
        <f>IF(N4936="","",COUNTIFS(RawData[[Date ]],N4936,RawData[Month List],$Q$6,RawData[Tour/Site],$Q$2,RawData[[Picker ID ]],$Q$3,RawData[Checker ID],$Q$4,RawData[[Error Type ]],$Q$5))</f>
        <v/>
      </c>
    </row>
    <row r="4937" spans="15:15" x14ac:dyDescent="0.25">
      <c r="O4937" s="20" t="str">
        <f>IF(N4937="","",COUNTIFS(RawData[[Date ]],N4937,RawData[Month List],$Q$6,RawData[Tour/Site],$Q$2,RawData[[Picker ID ]],$Q$3,RawData[Checker ID],$Q$4,RawData[[Error Type ]],$Q$5))</f>
        <v/>
      </c>
    </row>
    <row r="4938" spans="15:15" x14ac:dyDescent="0.25">
      <c r="O4938" s="20" t="str">
        <f>IF(N4938="","",COUNTIFS(RawData[[Date ]],N4938,RawData[Month List],$Q$6,RawData[Tour/Site],$Q$2,RawData[[Picker ID ]],$Q$3,RawData[Checker ID],$Q$4,RawData[[Error Type ]],$Q$5))</f>
        <v/>
      </c>
    </row>
    <row r="4939" spans="15:15" x14ac:dyDescent="0.25">
      <c r="O4939" s="20" t="str">
        <f>IF(N4939="","",COUNTIFS(RawData[[Date ]],N4939,RawData[Month List],$Q$6,RawData[Tour/Site],$Q$2,RawData[[Picker ID ]],$Q$3,RawData[Checker ID],$Q$4,RawData[[Error Type ]],$Q$5))</f>
        <v/>
      </c>
    </row>
    <row r="4940" spans="15:15" x14ac:dyDescent="0.25">
      <c r="O4940" s="20" t="str">
        <f>IF(N4940="","",COUNTIFS(RawData[[Date ]],N4940,RawData[Month List],$Q$6,RawData[Tour/Site],$Q$2,RawData[[Picker ID ]],$Q$3,RawData[Checker ID],$Q$4,RawData[[Error Type ]],$Q$5))</f>
        <v/>
      </c>
    </row>
    <row r="4941" spans="15:15" x14ac:dyDescent="0.25">
      <c r="O4941" s="20" t="str">
        <f>IF(N4941="","",COUNTIFS(RawData[[Date ]],N4941,RawData[Month List],$Q$6,RawData[Tour/Site],$Q$2,RawData[[Picker ID ]],$Q$3,RawData[Checker ID],$Q$4,RawData[[Error Type ]],$Q$5))</f>
        <v/>
      </c>
    </row>
    <row r="4942" spans="15:15" x14ac:dyDescent="0.25">
      <c r="O4942" s="20" t="str">
        <f>IF(N4942="","",COUNTIFS(RawData[[Date ]],N4942,RawData[Month List],$Q$6,RawData[Tour/Site],$Q$2,RawData[[Picker ID ]],$Q$3,RawData[Checker ID],$Q$4,RawData[[Error Type ]],$Q$5))</f>
        <v/>
      </c>
    </row>
    <row r="4943" spans="15:15" x14ac:dyDescent="0.25">
      <c r="O4943" s="20" t="str">
        <f>IF(N4943="","",COUNTIFS(RawData[[Date ]],N4943,RawData[Month List],$Q$6,RawData[Tour/Site],$Q$2,RawData[[Picker ID ]],$Q$3,RawData[Checker ID],$Q$4,RawData[[Error Type ]],$Q$5))</f>
        <v/>
      </c>
    </row>
    <row r="4944" spans="15:15" x14ac:dyDescent="0.25">
      <c r="O4944" s="20" t="str">
        <f>IF(N4944="","",COUNTIFS(RawData[[Date ]],N4944,RawData[Month List],$Q$6,RawData[Tour/Site],$Q$2,RawData[[Picker ID ]],$Q$3,RawData[Checker ID],$Q$4,RawData[[Error Type ]],$Q$5))</f>
        <v/>
      </c>
    </row>
    <row r="4945" spans="15:15" x14ac:dyDescent="0.25">
      <c r="O4945" s="20" t="str">
        <f>IF(N4945="","",COUNTIFS(RawData[[Date ]],N4945,RawData[Month List],$Q$6,RawData[Tour/Site],$Q$2,RawData[[Picker ID ]],$Q$3,RawData[Checker ID],$Q$4,RawData[[Error Type ]],$Q$5))</f>
        <v/>
      </c>
    </row>
    <row r="4946" spans="15:15" x14ac:dyDescent="0.25">
      <c r="O4946" s="20" t="str">
        <f>IF(N4946="","",COUNTIFS(RawData[[Date ]],N4946,RawData[Month List],$Q$6,RawData[Tour/Site],$Q$2,RawData[[Picker ID ]],$Q$3,RawData[Checker ID],$Q$4,RawData[[Error Type ]],$Q$5))</f>
        <v/>
      </c>
    </row>
    <row r="4947" spans="15:15" x14ac:dyDescent="0.25">
      <c r="O4947" s="20" t="str">
        <f>IF(N4947="","",COUNTIFS(RawData[[Date ]],N4947,RawData[Month List],$Q$6,RawData[Tour/Site],$Q$2,RawData[[Picker ID ]],$Q$3,RawData[Checker ID],$Q$4,RawData[[Error Type ]],$Q$5))</f>
        <v/>
      </c>
    </row>
    <row r="4948" spans="15:15" x14ac:dyDescent="0.25">
      <c r="O4948" s="20" t="str">
        <f>IF(N4948="","",COUNTIFS(RawData[[Date ]],N4948,RawData[Month List],$Q$6,RawData[Tour/Site],$Q$2,RawData[[Picker ID ]],$Q$3,RawData[Checker ID],$Q$4,RawData[[Error Type ]],$Q$5))</f>
        <v/>
      </c>
    </row>
    <row r="4949" spans="15:15" x14ac:dyDescent="0.25">
      <c r="O4949" s="20" t="str">
        <f>IF(N4949="","",COUNTIFS(RawData[[Date ]],N4949,RawData[Month List],$Q$6,RawData[Tour/Site],$Q$2,RawData[[Picker ID ]],$Q$3,RawData[Checker ID],$Q$4,RawData[[Error Type ]],$Q$5))</f>
        <v/>
      </c>
    </row>
    <row r="4950" spans="15:15" x14ac:dyDescent="0.25">
      <c r="O4950" s="20" t="str">
        <f>IF(N4950="","",COUNTIFS(RawData[[Date ]],N4950,RawData[Month List],$Q$6,RawData[Tour/Site],$Q$2,RawData[[Picker ID ]],$Q$3,RawData[Checker ID],$Q$4,RawData[[Error Type ]],$Q$5))</f>
        <v/>
      </c>
    </row>
    <row r="4951" spans="15:15" x14ac:dyDescent="0.25">
      <c r="O4951" s="20" t="str">
        <f>IF(N4951="","",COUNTIFS(RawData[[Date ]],N4951,RawData[Month List],$Q$6,RawData[Tour/Site],$Q$2,RawData[[Picker ID ]],$Q$3,RawData[Checker ID],$Q$4,RawData[[Error Type ]],$Q$5))</f>
        <v/>
      </c>
    </row>
    <row r="4952" spans="15:15" x14ac:dyDescent="0.25">
      <c r="O4952" s="20" t="str">
        <f>IF(N4952="","",COUNTIFS(RawData[[Date ]],N4952,RawData[Month List],$Q$6,RawData[Tour/Site],$Q$2,RawData[[Picker ID ]],$Q$3,RawData[Checker ID],$Q$4,RawData[[Error Type ]],$Q$5))</f>
        <v/>
      </c>
    </row>
    <row r="4953" spans="15:15" x14ac:dyDescent="0.25">
      <c r="O4953" s="20" t="str">
        <f>IF(N4953="","",COUNTIFS(RawData[[Date ]],N4953,RawData[Month List],$Q$6,RawData[Tour/Site],$Q$2,RawData[[Picker ID ]],$Q$3,RawData[Checker ID],$Q$4,RawData[[Error Type ]],$Q$5))</f>
        <v/>
      </c>
    </row>
    <row r="4954" spans="15:15" x14ac:dyDescent="0.25">
      <c r="O4954" s="20" t="str">
        <f>IF(N4954="","",COUNTIFS(RawData[[Date ]],N4954,RawData[Month List],$Q$6,RawData[Tour/Site],$Q$2,RawData[[Picker ID ]],$Q$3,RawData[Checker ID],$Q$4,RawData[[Error Type ]],$Q$5))</f>
        <v/>
      </c>
    </row>
    <row r="4955" spans="15:15" x14ac:dyDescent="0.25">
      <c r="O4955" s="20" t="str">
        <f>IF(N4955="","",COUNTIFS(RawData[[Date ]],N4955,RawData[Month List],$Q$6,RawData[Tour/Site],$Q$2,RawData[[Picker ID ]],$Q$3,RawData[Checker ID],$Q$4,RawData[[Error Type ]],$Q$5))</f>
        <v/>
      </c>
    </row>
    <row r="4956" spans="15:15" x14ac:dyDescent="0.25">
      <c r="O4956" s="20" t="str">
        <f>IF(N4956="","",COUNTIFS(RawData[[Date ]],N4956,RawData[Month List],$Q$6,RawData[Tour/Site],$Q$2,RawData[[Picker ID ]],$Q$3,RawData[Checker ID],$Q$4,RawData[[Error Type ]],$Q$5))</f>
        <v/>
      </c>
    </row>
    <row r="4957" spans="15:15" x14ac:dyDescent="0.25">
      <c r="O4957" s="20" t="str">
        <f>IF(N4957="","",COUNTIFS(RawData[[Date ]],N4957,RawData[Month List],$Q$6,RawData[Tour/Site],$Q$2,RawData[[Picker ID ]],$Q$3,RawData[Checker ID],$Q$4,RawData[[Error Type ]],$Q$5))</f>
        <v/>
      </c>
    </row>
    <row r="4958" spans="15:15" x14ac:dyDescent="0.25">
      <c r="O4958" s="20" t="str">
        <f>IF(N4958="","",COUNTIFS(RawData[[Date ]],N4958,RawData[Month List],$Q$6,RawData[Tour/Site],$Q$2,RawData[[Picker ID ]],$Q$3,RawData[Checker ID],$Q$4,RawData[[Error Type ]],$Q$5))</f>
        <v/>
      </c>
    </row>
    <row r="4959" spans="15:15" x14ac:dyDescent="0.25">
      <c r="O4959" s="20" t="str">
        <f>IF(N4959="","",COUNTIFS(RawData[[Date ]],N4959,RawData[Month List],$Q$6,RawData[Tour/Site],$Q$2,RawData[[Picker ID ]],$Q$3,RawData[Checker ID],$Q$4,RawData[[Error Type ]],$Q$5))</f>
        <v/>
      </c>
    </row>
    <row r="4960" spans="15:15" x14ac:dyDescent="0.25">
      <c r="O4960" s="20" t="str">
        <f>IF(N4960="","",COUNTIFS(RawData[[Date ]],N4960,RawData[Month List],$Q$6,RawData[Tour/Site],$Q$2,RawData[[Picker ID ]],$Q$3,RawData[Checker ID],$Q$4,RawData[[Error Type ]],$Q$5))</f>
        <v/>
      </c>
    </row>
    <row r="4961" spans="15:15" x14ac:dyDescent="0.25">
      <c r="O4961" s="20" t="str">
        <f>IF(N4961="","",COUNTIFS(RawData[[Date ]],N4961,RawData[Month List],$Q$6,RawData[Tour/Site],$Q$2,RawData[[Picker ID ]],$Q$3,RawData[Checker ID],$Q$4,RawData[[Error Type ]],$Q$5))</f>
        <v/>
      </c>
    </row>
    <row r="4962" spans="15:15" x14ac:dyDescent="0.25">
      <c r="O4962" s="20" t="str">
        <f>IF(N4962="","",COUNTIFS(RawData[[Date ]],N4962,RawData[Month List],$Q$6,RawData[Tour/Site],$Q$2,RawData[[Picker ID ]],$Q$3,RawData[Checker ID],$Q$4,RawData[[Error Type ]],$Q$5))</f>
        <v/>
      </c>
    </row>
    <row r="4963" spans="15:15" x14ac:dyDescent="0.25">
      <c r="O4963" s="20" t="str">
        <f>IF(N4963="","",COUNTIFS(RawData[[Date ]],N4963,RawData[Month List],$Q$6,RawData[Tour/Site],$Q$2,RawData[[Picker ID ]],$Q$3,RawData[Checker ID],$Q$4,RawData[[Error Type ]],$Q$5))</f>
        <v/>
      </c>
    </row>
    <row r="4964" spans="15:15" x14ac:dyDescent="0.25">
      <c r="O4964" s="20" t="str">
        <f>IF(N4964="","",COUNTIFS(RawData[[Date ]],N4964,RawData[Month List],$Q$6,RawData[Tour/Site],$Q$2,RawData[[Picker ID ]],$Q$3,RawData[Checker ID],$Q$4,RawData[[Error Type ]],$Q$5))</f>
        <v/>
      </c>
    </row>
    <row r="4965" spans="15:15" x14ac:dyDescent="0.25">
      <c r="O4965" s="20" t="str">
        <f>IF(N4965="","",COUNTIFS(RawData[[Date ]],N4965,RawData[Month List],$Q$6,RawData[Tour/Site],$Q$2,RawData[[Picker ID ]],$Q$3,RawData[Checker ID],$Q$4,RawData[[Error Type ]],$Q$5))</f>
        <v/>
      </c>
    </row>
    <row r="4966" spans="15:15" x14ac:dyDescent="0.25">
      <c r="O4966" s="20" t="str">
        <f>IF(N4966="","",COUNTIFS(RawData[[Date ]],N4966,RawData[Month List],$Q$6,RawData[Tour/Site],$Q$2,RawData[[Picker ID ]],$Q$3,RawData[Checker ID],$Q$4,RawData[[Error Type ]],$Q$5))</f>
        <v/>
      </c>
    </row>
    <row r="4967" spans="15:15" x14ac:dyDescent="0.25">
      <c r="O4967" s="20" t="str">
        <f>IF(N4967="","",COUNTIFS(RawData[[Date ]],N4967,RawData[Month List],$Q$6,RawData[Tour/Site],$Q$2,RawData[[Picker ID ]],$Q$3,RawData[Checker ID],$Q$4,RawData[[Error Type ]],$Q$5))</f>
        <v/>
      </c>
    </row>
    <row r="4968" spans="15:15" x14ac:dyDescent="0.25">
      <c r="O4968" s="20" t="str">
        <f>IF(N4968="","",COUNTIFS(RawData[[Date ]],N4968,RawData[Month List],$Q$6,RawData[Tour/Site],$Q$2,RawData[[Picker ID ]],$Q$3,RawData[Checker ID],$Q$4,RawData[[Error Type ]],$Q$5))</f>
        <v/>
      </c>
    </row>
    <row r="4969" spans="15:15" x14ac:dyDescent="0.25">
      <c r="O4969" s="20" t="str">
        <f>IF(N4969="","",COUNTIFS(RawData[[Date ]],N4969,RawData[Month List],$Q$6,RawData[Tour/Site],$Q$2,RawData[[Picker ID ]],$Q$3,RawData[Checker ID],$Q$4,RawData[[Error Type ]],$Q$5))</f>
        <v/>
      </c>
    </row>
    <row r="4970" spans="15:15" x14ac:dyDescent="0.25">
      <c r="O4970" s="20" t="str">
        <f>IF(N4970="","",COUNTIFS(RawData[[Date ]],N4970,RawData[Month List],$Q$6,RawData[Tour/Site],$Q$2,RawData[[Picker ID ]],$Q$3,RawData[Checker ID],$Q$4,RawData[[Error Type ]],$Q$5))</f>
        <v/>
      </c>
    </row>
    <row r="4971" spans="15:15" x14ac:dyDescent="0.25">
      <c r="O4971" s="20" t="str">
        <f>IF(N4971="","",COUNTIFS(RawData[[Date ]],N4971,RawData[Month List],$Q$6,RawData[Tour/Site],$Q$2,RawData[[Picker ID ]],$Q$3,RawData[Checker ID],$Q$4,RawData[[Error Type ]],$Q$5))</f>
        <v/>
      </c>
    </row>
    <row r="4972" spans="15:15" x14ac:dyDescent="0.25">
      <c r="O4972" s="20" t="str">
        <f>IF(N4972="","",COUNTIFS(RawData[[Date ]],N4972,RawData[Month List],$Q$6,RawData[Tour/Site],$Q$2,RawData[[Picker ID ]],$Q$3,RawData[Checker ID],$Q$4,RawData[[Error Type ]],$Q$5))</f>
        <v/>
      </c>
    </row>
    <row r="4973" spans="15:15" x14ac:dyDescent="0.25">
      <c r="O4973" s="20" t="str">
        <f>IF(N4973="","",COUNTIFS(RawData[[Date ]],N4973,RawData[Month List],$Q$6,RawData[Tour/Site],$Q$2,RawData[[Picker ID ]],$Q$3,RawData[Checker ID],$Q$4,RawData[[Error Type ]],$Q$5))</f>
        <v/>
      </c>
    </row>
    <row r="4974" spans="15:15" x14ac:dyDescent="0.25">
      <c r="O4974" s="20" t="str">
        <f>IF(N4974="","",COUNTIFS(RawData[[Date ]],N4974,RawData[Month List],$Q$6,RawData[Tour/Site],$Q$2,RawData[[Picker ID ]],$Q$3,RawData[Checker ID],$Q$4,RawData[[Error Type ]],$Q$5))</f>
        <v/>
      </c>
    </row>
    <row r="4975" spans="15:15" x14ac:dyDescent="0.25">
      <c r="O4975" s="20" t="str">
        <f>IF(N4975="","",COUNTIFS(RawData[[Date ]],N4975,RawData[Month List],$Q$6,RawData[Tour/Site],$Q$2,RawData[[Picker ID ]],$Q$3,RawData[Checker ID],$Q$4,RawData[[Error Type ]],$Q$5))</f>
        <v/>
      </c>
    </row>
    <row r="4976" spans="15:15" x14ac:dyDescent="0.25">
      <c r="O4976" s="20" t="str">
        <f>IF(N4976="","",COUNTIFS(RawData[[Date ]],N4976,RawData[Month List],$Q$6,RawData[Tour/Site],$Q$2,RawData[[Picker ID ]],$Q$3,RawData[Checker ID],$Q$4,RawData[[Error Type ]],$Q$5))</f>
        <v/>
      </c>
    </row>
    <row r="4977" spans="15:15" x14ac:dyDescent="0.25">
      <c r="O4977" s="20" t="str">
        <f>IF(N4977="","",COUNTIFS(RawData[[Date ]],N4977,RawData[Month List],$Q$6,RawData[Tour/Site],$Q$2,RawData[[Picker ID ]],$Q$3,RawData[Checker ID],$Q$4,RawData[[Error Type ]],$Q$5))</f>
        <v/>
      </c>
    </row>
    <row r="4978" spans="15:15" x14ac:dyDescent="0.25">
      <c r="O4978" s="20" t="str">
        <f>IF(N4978="","",COUNTIFS(RawData[[Date ]],N4978,RawData[Month List],$Q$6,RawData[Tour/Site],$Q$2,RawData[[Picker ID ]],$Q$3,RawData[Checker ID],$Q$4,RawData[[Error Type ]],$Q$5))</f>
        <v/>
      </c>
    </row>
    <row r="4979" spans="15:15" x14ac:dyDescent="0.25">
      <c r="O4979" s="20" t="str">
        <f>IF(N4979="","",COUNTIFS(RawData[[Date ]],N4979,RawData[Month List],$Q$6,RawData[Tour/Site],$Q$2,RawData[[Picker ID ]],$Q$3,RawData[Checker ID],$Q$4,RawData[[Error Type ]],$Q$5))</f>
        <v/>
      </c>
    </row>
    <row r="4980" spans="15:15" x14ac:dyDescent="0.25">
      <c r="O4980" s="20" t="str">
        <f>IF(N4980="","",COUNTIFS(RawData[[Date ]],N4980,RawData[Month List],$Q$6,RawData[Tour/Site],$Q$2,RawData[[Picker ID ]],$Q$3,RawData[Checker ID],$Q$4,RawData[[Error Type ]],$Q$5))</f>
        <v/>
      </c>
    </row>
    <row r="4981" spans="15:15" x14ac:dyDescent="0.25">
      <c r="O4981" s="20" t="str">
        <f>IF(N4981="","",COUNTIFS(RawData[[Date ]],N4981,RawData[Month List],$Q$6,RawData[Tour/Site],$Q$2,RawData[[Picker ID ]],$Q$3,RawData[Checker ID],$Q$4,RawData[[Error Type ]],$Q$5))</f>
        <v/>
      </c>
    </row>
    <row r="4982" spans="15:15" x14ac:dyDescent="0.25">
      <c r="O4982" s="20" t="str">
        <f>IF(N4982="","",COUNTIFS(RawData[[Date ]],N4982,RawData[Month List],$Q$6,RawData[Tour/Site],$Q$2,RawData[[Picker ID ]],$Q$3,RawData[Checker ID],$Q$4,RawData[[Error Type ]],$Q$5))</f>
        <v/>
      </c>
    </row>
    <row r="4983" spans="15:15" x14ac:dyDescent="0.25">
      <c r="O4983" s="20" t="str">
        <f>IF(N4983="","",COUNTIFS(RawData[[Date ]],N4983,RawData[Month List],$Q$6,RawData[Tour/Site],$Q$2,RawData[[Picker ID ]],$Q$3,RawData[Checker ID],$Q$4,RawData[[Error Type ]],$Q$5))</f>
        <v/>
      </c>
    </row>
    <row r="4984" spans="15:15" x14ac:dyDescent="0.25">
      <c r="O4984" s="20" t="str">
        <f>IF(N4984="","",COUNTIFS(RawData[[Date ]],N4984,RawData[Month List],$Q$6,RawData[Tour/Site],$Q$2,RawData[[Picker ID ]],$Q$3,RawData[Checker ID],$Q$4,RawData[[Error Type ]],$Q$5))</f>
        <v/>
      </c>
    </row>
    <row r="4985" spans="15:15" x14ac:dyDescent="0.25">
      <c r="O4985" s="20" t="str">
        <f>IF(N4985="","",COUNTIFS(RawData[[Date ]],N4985,RawData[Month List],$Q$6,RawData[Tour/Site],$Q$2,RawData[[Picker ID ]],$Q$3,RawData[Checker ID],$Q$4,RawData[[Error Type ]],$Q$5))</f>
        <v/>
      </c>
    </row>
    <row r="4986" spans="15:15" x14ac:dyDescent="0.25">
      <c r="O4986" s="20" t="str">
        <f>IF(N4986="","",COUNTIFS(RawData[[Date ]],N4986,RawData[Month List],$Q$6,RawData[Tour/Site],$Q$2,RawData[[Picker ID ]],$Q$3,RawData[Checker ID],$Q$4,RawData[[Error Type ]],$Q$5))</f>
        <v/>
      </c>
    </row>
    <row r="4987" spans="15:15" x14ac:dyDescent="0.25">
      <c r="O4987" s="20" t="str">
        <f>IF(N4987="","",COUNTIFS(RawData[[Date ]],N4987,RawData[Month List],$Q$6,RawData[Tour/Site],$Q$2,RawData[[Picker ID ]],$Q$3,RawData[Checker ID],$Q$4,RawData[[Error Type ]],$Q$5))</f>
        <v/>
      </c>
    </row>
    <row r="4988" spans="15:15" x14ac:dyDescent="0.25">
      <c r="O4988" s="20" t="str">
        <f>IF(N4988="","",COUNTIFS(RawData[[Date ]],N4988,RawData[Month List],$Q$6,RawData[Tour/Site],$Q$2,RawData[[Picker ID ]],$Q$3,RawData[Checker ID],$Q$4,RawData[[Error Type ]],$Q$5))</f>
        <v/>
      </c>
    </row>
    <row r="4989" spans="15:15" x14ac:dyDescent="0.25">
      <c r="O4989" s="20" t="str">
        <f>IF(N4989="","",COUNTIFS(RawData[[Date ]],N4989,RawData[Month List],$Q$6,RawData[Tour/Site],$Q$2,RawData[[Picker ID ]],$Q$3,RawData[Checker ID],$Q$4,RawData[[Error Type ]],$Q$5))</f>
        <v/>
      </c>
    </row>
    <row r="4990" spans="15:15" x14ac:dyDescent="0.25">
      <c r="O4990" s="20" t="str">
        <f>IF(N4990="","",COUNTIFS(RawData[[Date ]],N4990,RawData[Month List],$Q$6,RawData[Tour/Site],$Q$2,RawData[[Picker ID ]],$Q$3,RawData[Checker ID],$Q$4,RawData[[Error Type ]],$Q$5))</f>
        <v/>
      </c>
    </row>
    <row r="4991" spans="15:15" x14ac:dyDescent="0.25">
      <c r="O4991" s="20" t="str">
        <f>IF(N4991="","",COUNTIFS(RawData[[Date ]],N4991,RawData[Month List],$Q$6,RawData[Tour/Site],$Q$2,RawData[[Picker ID ]],$Q$3,RawData[Checker ID],$Q$4,RawData[[Error Type ]],$Q$5))</f>
        <v/>
      </c>
    </row>
    <row r="4992" spans="15:15" x14ac:dyDescent="0.25">
      <c r="O4992" s="20" t="str">
        <f>IF(N4992="","",COUNTIFS(RawData[[Date ]],N4992,RawData[Month List],$Q$6,RawData[Tour/Site],$Q$2,RawData[[Picker ID ]],$Q$3,RawData[Checker ID],$Q$4,RawData[[Error Type ]],$Q$5))</f>
        <v/>
      </c>
    </row>
    <row r="4993" spans="15:15" x14ac:dyDescent="0.25">
      <c r="O4993" s="20" t="str">
        <f>IF(N4993="","",COUNTIFS(RawData[[Date ]],N4993,RawData[Month List],$Q$6,RawData[Tour/Site],$Q$2,RawData[[Picker ID ]],$Q$3,RawData[Checker ID],$Q$4,RawData[[Error Type ]],$Q$5))</f>
        <v/>
      </c>
    </row>
    <row r="4994" spans="15:15" x14ac:dyDescent="0.25">
      <c r="O4994" s="20" t="str">
        <f>IF(N4994="","",COUNTIFS(RawData[[Date ]],N4994,RawData[Month List],$Q$6,RawData[Tour/Site],$Q$2,RawData[[Picker ID ]],$Q$3,RawData[Checker ID],$Q$4,RawData[[Error Type ]],$Q$5))</f>
        <v/>
      </c>
    </row>
    <row r="4995" spans="15:15" x14ac:dyDescent="0.25">
      <c r="O4995" s="20" t="str">
        <f>IF(N4995="","",COUNTIFS(RawData[[Date ]],N4995,RawData[Month List],$Q$6,RawData[Tour/Site],$Q$2,RawData[[Picker ID ]],$Q$3,RawData[Checker ID],$Q$4,RawData[[Error Type ]],$Q$5))</f>
        <v/>
      </c>
    </row>
    <row r="4996" spans="15:15" x14ac:dyDescent="0.25">
      <c r="O4996" s="20" t="str">
        <f>IF(N4996="","",COUNTIFS(RawData[[Date ]],N4996,RawData[Month List],$Q$6,RawData[Tour/Site],$Q$2,RawData[[Picker ID ]],$Q$3,RawData[Checker ID],$Q$4,RawData[[Error Type ]],$Q$5))</f>
        <v/>
      </c>
    </row>
    <row r="4997" spans="15:15" x14ac:dyDescent="0.25">
      <c r="O4997" s="20" t="str">
        <f>IF(N4997="","",COUNTIFS(RawData[[Date ]],N4997,RawData[Month List],$Q$6,RawData[Tour/Site],$Q$2,RawData[[Picker ID ]],$Q$3,RawData[Checker ID],$Q$4,RawData[[Error Type ]],$Q$5))</f>
        <v/>
      </c>
    </row>
    <row r="4998" spans="15:15" x14ac:dyDescent="0.25">
      <c r="O4998" s="20" t="str">
        <f>IF(N4998="","",COUNTIFS(RawData[[Date ]],N4998,RawData[Month List],$Q$6,RawData[Tour/Site],$Q$2,RawData[[Picker ID ]],$Q$3,RawData[Checker ID],$Q$4,RawData[[Error Type ]],$Q$5))</f>
        <v/>
      </c>
    </row>
    <row r="4999" spans="15:15" x14ac:dyDescent="0.25">
      <c r="O4999" s="20" t="str">
        <f>IF(N4999="","",COUNTIFS(RawData[[Date ]],N4999,RawData[Month List],$Q$6,RawData[Tour/Site],$Q$2,RawData[[Picker ID ]],$Q$3,RawData[Checker ID],$Q$4,RawData[[Error Type ]],$Q$5))</f>
        <v/>
      </c>
    </row>
    <row r="5000" spans="15:15" x14ac:dyDescent="0.25">
      <c r="O5000" s="20" t="str">
        <f>IF(N5000="","",COUNTIFS(RawData[[Date ]],N5000,RawData[Month List],$Q$6,RawData[Tour/Site],$Q$2,RawData[[Picker ID ]],$Q$3,RawData[Checker ID],$Q$4,RawData[[Error Type ]],$Q$5))</f>
        <v/>
      </c>
    </row>
    <row r="5001" spans="15:15" x14ac:dyDescent="0.25">
      <c r="O5001" s="20" t="str">
        <f>IF(N5001="","",COUNTIFS(RawData[[Date ]],N5001,RawData[Month List],$Q$6,RawData[Tour/Site],$Q$2,RawData[[Picker ID ]],$Q$3,RawData[Checker ID],$Q$4,RawData[[Error Type ]],$Q$5))</f>
        <v/>
      </c>
    </row>
    <row r="5002" spans="15:15" x14ac:dyDescent="0.25">
      <c r="O5002" s="20" t="str">
        <f>IF(N5002="","",COUNTIFS(RawData[[Date ]],N5002,RawData[Month List],$Q$6,RawData[Tour/Site],$Q$2,RawData[[Picker ID ]],$Q$3,RawData[Checker ID],$Q$4,RawData[[Error Type ]],$Q$5))</f>
        <v/>
      </c>
    </row>
    <row r="5003" spans="15:15" x14ac:dyDescent="0.25">
      <c r="O5003" s="20" t="str">
        <f>IF(N5003="","",COUNTIFS(RawData[[Date ]],N5003,RawData[Month List],$Q$6,RawData[Tour/Site],$Q$2,RawData[[Picker ID ]],$Q$3,RawData[Checker ID],$Q$4,RawData[[Error Type ]],$Q$5))</f>
        <v/>
      </c>
    </row>
    <row r="5004" spans="15:15" x14ac:dyDescent="0.25">
      <c r="O5004" s="20" t="str">
        <f>IF(N5004="","",COUNTIFS(RawData[[Date ]],N5004,RawData[Month List],$Q$6,RawData[Tour/Site],$Q$2,RawData[[Picker ID ]],$Q$3,RawData[Checker ID],$Q$4,RawData[[Error Type ]],$Q$5))</f>
        <v/>
      </c>
    </row>
    <row r="5005" spans="15:15" x14ac:dyDescent="0.25">
      <c r="O5005" s="20" t="str">
        <f>IF(N5005="","",COUNTIFS(RawData[[Date ]],N5005,RawData[Month List],$Q$6,RawData[Tour/Site],$Q$2,RawData[[Picker ID ]],$Q$3,RawData[Checker ID],$Q$4,RawData[[Error Type ]],$Q$5))</f>
        <v/>
      </c>
    </row>
    <row r="5006" spans="15:15" x14ac:dyDescent="0.25">
      <c r="O5006" s="20" t="str">
        <f>IF(N5006="","",COUNTIFS(RawData[[Date ]],N5006,RawData[Month List],$Q$6,RawData[Tour/Site],$Q$2,RawData[[Picker ID ]],$Q$3,RawData[Checker ID],$Q$4,RawData[[Error Type ]],$Q$5))</f>
        <v/>
      </c>
    </row>
    <row r="5007" spans="15:15" x14ac:dyDescent="0.25">
      <c r="O5007" s="20" t="str">
        <f>IF(N5007="","",COUNTIFS(RawData[[Date ]],N5007,RawData[Month List],$Q$6,RawData[Tour/Site],$Q$2,RawData[[Picker ID ]],$Q$3,RawData[Checker ID],$Q$4,RawData[[Error Type ]],$Q$5))</f>
        <v/>
      </c>
    </row>
    <row r="5008" spans="15:15" x14ac:dyDescent="0.25">
      <c r="O5008" s="20" t="str">
        <f>IF(N5008="","",COUNTIFS(RawData[[Date ]],N5008,RawData[Month List],$Q$6,RawData[Tour/Site],$Q$2,RawData[[Picker ID ]],$Q$3,RawData[Checker ID],$Q$4,RawData[[Error Type ]],$Q$5))</f>
        <v/>
      </c>
    </row>
    <row r="5009" spans="15:15" x14ac:dyDescent="0.25">
      <c r="O5009" s="20" t="str">
        <f>IF(N5009="","",COUNTIFS(RawData[[Date ]],N5009,RawData[Month List],$Q$6,RawData[Tour/Site],$Q$2,RawData[[Picker ID ]],$Q$3,RawData[Checker ID],$Q$4,RawData[[Error Type ]],$Q$5))</f>
        <v/>
      </c>
    </row>
    <row r="5010" spans="15:15" x14ac:dyDescent="0.25">
      <c r="O5010" s="20" t="str">
        <f>IF(N5010="","",COUNTIFS(RawData[[Date ]],N5010,RawData[Month List],$Q$6,RawData[Tour/Site],$Q$2,RawData[[Picker ID ]],$Q$3,RawData[Checker ID],$Q$4,RawData[[Error Type ]],$Q$5))</f>
        <v/>
      </c>
    </row>
    <row r="5011" spans="15:15" x14ac:dyDescent="0.25">
      <c r="O5011" s="20" t="str">
        <f>IF(N5011="","",COUNTIFS(RawData[[Date ]],N5011,RawData[Month List],$Q$6,RawData[Tour/Site],$Q$2,RawData[[Picker ID ]],$Q$3,RawData[Checker ID],$Q$4,RawData[[Error Type ]],$Q$5))</f>
        <v/>
      </c>
    </row>
    <row r="5012" spans="15:15" x14ac:dyDescent="0.25">
      <c r="O5012" s="20" t="str">
        <f>IF(N5012="","",COUNTIFS(RawData[[Date ]],N5012,RawData[Month List],$Q$6,RawData[Tour/Site],$Q$2,RawData[[Picker ID ]],$Q$3,RawData[Checker ID],$Q$4,RawData[[Error Type ]],$Q$5))</f>
        <v/>
      </c>
    </row>
    <row r="5013" spans="15:15" x14ac:dyDescent="0.25">
      <c r="O5013" s="20" t="str">
        <f>IF(N5013="","",COUNTIFS(RawData[[Date ]],N5013,RawData[Month List],$Q$6,RawData[Tour/Site],$Q$2,RawData[[Picker ID ]],$Q$3,RawData[Checker ID],$Q$4,RawData[[Error Type ]],$Q$5))</f>
        <v/>
      </c>
    </row>
    <row r="5014" spans="15:15" x14ac:dyDescent="0.25">
      <c r="O5014" s="20" t="str">
        <f>IF(N5014="","",COUNTIFS(RawData[[Date ]],N5014,RawData[Month List],$Q$6,RawData[Tour/Site],$Q$2,RawData[[Picker ID ]],$Q$3,RawData[Checker ID],$Q$4,RawData[[Error Type ]],$Q$5))</f>
        <v/>
      </c>
    </row>
    <row r="5015" spans="15:15" x14ac:dyDescent="0.25">
      <c r="O5015" s="20" t="str">
        <f>IF(N5015="","",COUNTIFS(RawData[[Date ]],N5015,RawData[Month List],$Q$6,RawData[Tour/Site],$Q$2,RawData[[Picker ID ]],$Q$3,RawData[Checker ID],$Q$4,RawData[[Error Type ]],$Q$5))</f>
        <v/>
      </c>
    </row>
    <row r="5016" spans="15:15" x14ac:dyDescent="0.25">
      <c r="O5016" s="20" t="str">
        <f>IF(N5016="","",COUNTIFS(RawData[[Date ]],N5016,RawData[Month List],$Q$6,RawData[Tour/Site],$Q$2,RawData[[Picker ID ]],$Q$3,RawData[Checker ID],$Q$4,RawData[[Error Type ]],$Q$5))</f>
        <v/>
      </c>
    </row>
    <row r="5017" spans="15:15" x14ac:dyDescent="0.25">
      <c r="O5017" s="20" t="str">
        <f>IF(N5017="","",COUNTIFS(RawData[[Date ]],N5017,RawData[Month List],$Q$6,RawData[Tour/Site],$Q$2,RawData[[Picker ID ]],$Q$3,RawData[Checker ID],$Q$4,RawData[[Error Type ]],$Q$5))</f>
        <v/>
      </c>
    </row>
    <row r="5018" spans="15:15" x14ac:dyDescent="0.25">
      <c r="O5018" s="20" t="str">
        <f>IF(N5018="","",COUNTIFS(RawData[[Date ]],N5018,RawData[Month List],$Q$6,RawData[Tour/Site],$Q$2,RawData[[Picker ID ]],$Q$3,RawData[Checker ID],$Q$4,RawData[[Error Type ]],$Q$5))</f>
        <v/>
      </c>
    </row>
    <row r="5019" spans="15:15" x14ac:dyDescent="0.25">
      <c r="O5019" s="20" t="str">
        <f>IF(N5019="","",COUNTIFS(RawData[[Date ]],N5019,RawData[Month List],$Q$6,RawData[Tour/Site],$Q$2,RawData[[Picker ID ]],$Q$3,RawData[Checker ID],$Q$4,RawData[[Error Type ]],$Q$5))</f>
        <v/>
      </c>
    </row>
    <row r="5020" spans="15:15" x14ac:dyDescent="0.25">
      <c r="O5020" s="20" t="str">
        <f>IF(N5020="","",COUNTIFS(RawData[[Date ]],N5020,RawData[Month List],$Q$6,RawData[Tour/Site],$Q$2,RawData[[Picker ID ]],$Q$3,RawData[Checker ID],$Q$4,RawData[[Error Type ]],$Q$5))</f>
        <v/>
      </c>
    </row>
    <row r="5021" spans="15:15" x14ac:dyDescent="0.25">
      <c r="O5021" s="20" t="str">
        <f>IF(N5021="","",COUNTIFS(RawData[[Date ]],N5021,RawData[Month List],$Q$6,RawData[Tour/Site],$Q$2,RawData[[Picker ID ]],$Q$3,RawData[Checker ID],$Q$4,RawData[[Error Type ]],$Q$5))</f>
        <v/>
      </c>
    </row>
    <row r="5022" spans="15:15" x14ac:dyDescent="0.25">
      <c r="O5022" s="20" t="str">
        <f>IF(N5022="","",COUNTIFS(RawData[[Date ]],N5022,RawData[Month List],$Q$6,RawData[Tour/Site],$Q$2,RawData[[Picker ID ]],$Q$3,RawData[Checker ID],$Q$4,RawData[[Error Type ]],$Q$5))</f>
        <v/>
      </c>
    </row>
    <row r="5023" spans="15:15" x14ac:dyDescent="0.25">
      <c r="O5023" s="20" t="str">
        <f>IF(N5023="","",COUNTIFS(RawData[[Date ]],N5023,RawData[Month List],$Q$6,RawData[Tour/Site],$Q$2,RawData[[Picker ID ]],$Q$3,RawData[Checker ID],$Q$4,RawData[[Error Type ]],$Q$5))</f>
        <v/>
      </c>
    </row>
    <row r="5024" spans="15:15" x14ac:dyDescent="0.25">
      <c r="O5024" s="20" t="str">
        <f>IF(N5024="","",COUNTIFS(RawData[[Date ]],N5024,RawData[Month List],$Q$6,RawData[Tour/Site],$Q$2,RawData[[Picker ID ]],$Q$3,RawData[Checker ID],$Q$4,RawData[[Error Type ]],$Q$5))</f>
        <v/>
      </c>
    </row>
    <row r="5025" spans="15:15" x14ac:dyDescent="0.25">
      <c r="O5025" s="20" t="str">
        <f>IF(N5025="","",COUNTIFS(RawData[[Date ]],N5025,RawData[Month List],$Q$6,RawData[Tour/Site],$Q$2,RawData[[Picker ID ]],$Q$3,RawData[Checker ID],$Q$4,RawData[[Error Type ]],$Q$5))</f>
        <v/>
      </c>
    </row>
    <row r="5026" spans="15:15" x14ac:dyDescent="0.25">
      <c r="O5026" s="20" t="str">
        <f>IF(N5026="","",COUNTIFS(RawData[[Date ]],N5026,RawData[Month List],$Q$6,RawData[Tour/Site],$Q$2,RawData[[Picker ID ]],$Q$3,RawData[Checker ID],$Q$4,RawData[[Error Type ]],$Q$5))</f>
        <v/>
      </c>
    </row>
    <row r="5027" spans="15:15" x14ac:dyDescent="0.25">
      <c r="O5027" s="20" t="str">
        <f>IF(N5027="","",COUNTIFS(RawData[[Date ]],N5027,RawData[Month List],$Q$6,RawData[Tour/Site],$Q$2,RawData[[Picker ID ]],$Q$3,RawData[Checker ID],$Q$4,RawData[[Error Type ]],$Q$5))</f>
        <v/>
      </c>
    </row>
    <row r="5028" spans="15:15" x14ac:dyDescent="0.25">
      <c r="O5028" s="20" t="str">
        <f>IF(N5028="","",COUNTIFS(RawData[[Date ]],N5028,RawData[Month List],$Q$6,RawData[Tour/Site],$Q$2,RawData[[Picker ID ]],$Q$3,RawData[Checker ID],$Q$4,RawData[[Error Type ]],$Q$5))</f>
        <v/>
      </c>
    </row>
    <row r="5029" spans="15:15" x14ac:dyDescent="0.25">
      <c r="O5029" s="20" t="str">
        <f>IF(N5029="","",COUNTIFS(RawData[[Date ]],N5029,RawData[Month List],$Q$6,RawData[Tour/Site],$Q$2,RawData[[Picker ID ]],$Q$3,RawData[Checker ID],$Q$4,RawData[[Error Type ]],$Q$5))</f>
        <v/>
      </c>
    </row>
    <row r="5030" spans="15:15" x14ac:dyDescent="0.25">
      <c r="O5030" s="20" t="str">
        <f>IF(N5030="","",COUNTIFS(RawData[[Date ]],N5030,RawData[Month List],$Q$6,RawData[Tour/Site],$Q$2,RawData[[Picker ID ]],$Q$3,RawData[Checker ID],$Q$4,RawData[[Error Type ]],$Q$5))</f>
        <v/>
      </c>
    </row>
    <row r="5031" spans="15:15" x14ac:dyDescent="0.25">
      <c r="O5031" s="20" t="str">
        <f>IF(N5031="","",COUNTIFS(RawData[[Date ]],N5031,RawData[Month List],$Q$6,RawData[Tour/Site],$Q$2,RawData[[Picker ID ]],$Q$3,RawData[Checker ID],$Q$4,RawData[[Error Type ]],$Q$5))</f>
        <v/>
      </c>
    </row>
    <row r="5032" spans="15:15" x14ac:dyDescent="0.25">
      <c r="O5032" s="20" t="str">
        <f>IF(N5032="","",COUNTIFS(RawData[[Date ]],N5032,RawData[Month List],$Q$6,RawData[Tour/Site],$Q$2,RawData[[Picker ID ]],$Q$3,RawData[Checker ID],$Q$4,RawData[[Error Type ]],$Q$5))</f>
        <v/>
      </c>
    </row>
    <row r="5033" spans="15:15" x14ac:dyDescent="0.25">
      <c r="O5033" s="20" t="str">
        <f>IF(N5033="","",COUNTIFS(RawData[[Date ]],N5033,RawData[Month List],$Q$6,RawData[Tour/Site],$Q$2,RawData[[Picker ID ]],$Q$3,RawData[Checker ID],$Q$4,RawData[[Error Type ]],$Q$5))</f>
        <v/>
      </c>
    </row>
    <row r="5034" spans="15:15" x14ac:dyDescent="0.25">
      <c r="O5034" s="20" t="str">
        <f>IF(N5034="","",COUNTIFS(RawData[[Date ]],N5034,RawData[Month List],$Q$6,RawData[Tour/Site],$Q$2,RawData[[Picker ID ]],$Q$3,RawData[Checker ID],$Q$4,RawData[[Error Type ]],$Q$5))</f>
        <v/>
      </c>
    </row>
    <row r="5035" spans="15:15" x14ac:dyDescent="0.25">
      <c r="O5035" s="20" t="str">
        <f>IF(N5035="","",COUNTIFS(RawData[[Date ]],N5035,RawData[Month List],$Q$6,RawData[Tour/Site],$Q$2,RawData[[Picker ID ]],$Q$3,RawData[Checker ID],$Q$4,RawData[[Error Type ]],$Q$5))</f>
        <v/>
      </c>
    </row>
    <row r="5036" spans="15:15" x14ac:dyDescent="0.25">
      <c r="O5036" s="20" t="str">
        <f>IF(N5036="","",COUNTIFS(RawData[[Date ]],N5036,RawData[Month List],$Q$6,RawData[Tour/Site],$Q$2,RawData[[Picker ID ]],$Q$3,RawData[Checker ID],$Q$4,RawData[[Error Type ]],$Q$5))</f>
        <v/>
      </c>
    </row>
    <row r="5037" spans="15:15" x14ac:dyDescent="0.25">
      <c r="O5037" s="20" t="str">
        <f>IF(N5037="","",COUNTIFS(RawData[[Date ]],N5037,RawData[Month List],$Q$6,RawData[Tour/Site],$Q$2,RawData[[Picker ID ]],$Q$3,RawData[Checker ID],$Q$4,RawData[[Error Type ]],$Q$5))</f>
        <v/>
      </c>
    </row>
    <row r="5038" spans="15:15" x14ac:dyDescent="0.25">
      <c r="O5038" s="20" t="str">
        <f>IF(N5038="","",COUNTIFS(RawData[[Date ]],N5038,RawData[Month List],$Q$6,RawData[Tour/Site],$Q$2,RawData[[Picker ID ]],$Q$3,RawData[Checker ID],$Q$4,RawData[[Error Type ]],$Q$5))</f>
        <v/>
      </c>
    </row>
    <row r="5039" spans="15:15" x14ac:dyDescent="0.25">
      <c r="O5039" s="20" t="str">
        <f>IF(N5039="","",COUNTIFS(RawData[[Date ]],N5039,RawData[Month List],$Q$6,RawData[Tour/Site],$Q$2,RawData[[Picker ID ]],$Q$3,RawData[Checker ID],$Q$4,RawData[[Error Type ]],$Q$5))</f>
        <v/>
      </c>
    </row>
    <row r="5040" spans="15:15" x14ac:dyDescent="0.25">
      <c r="O5040" s="20" t="str">
        <f>IF(N5040="","",COUNTIFS(RawData[[Date ]],N5040,RawData[Month List],$Q$6,RawData[Tour/Site],$Q$2,RawData[[Picker ID ]],$Q$3,RawData[Checker ID],$Q$4,RawData[[Error Type ]],$Q$5))</f>
        <v/>
      </c>
    </row>
    <row r="5041" spans="15:15" x14ac:dyDescent="0.25">
      <c r="O5041" s="20" t="str">
        <f>IF(N5041="","",COUNTIFS(RawData[[Date ]],N5041,RawData[Month List],$Q$6,RawData[Tour/Site],$Q$2,RawData[[Picker ID ]],$Q$3,RawData[Checker ID],$Q$4,RawData[[Error Type ]],$Q$5))</f>
        <v/>
      </c>
    </row>
    <row r="5042" spans="15:15" x14ac:dyDescent="0.25">
      <c r="O5042" s="20" t="str">
        <f>IF(N5042="","",COUNTIFS(RawData[[Date ]],N5042,RawData[Month List],$Q$6,RawData[Tour/Site],$Q$2,RawData[[Picker ID ]],$Q$3,RawData[Checker ID],$Q$4,RawData[[Error Type ]],$Q$5))</f>
        <v/>
      </c>
    </row>
    <row r="5043" spans="15:15" x14ac:dyDescent="0.25">
      <c r="O5043" s="20" t="str">
        <f>IF(N5043="","",COUNTIFS(RawData[[Date ]],N5043,RawData[Month List],$Q$6,RawData[Tour/Site],$Q$2,RawData[[Picker ID ]],$Q$3,RawData[Checker ID],$Q$4,RawData[[Error Type ]],$Q$5))</f>
        <v/>
      </c>
    </row>
    <row r="5044" spans="15:15" x14ac:dyDescent="0.25">
      <c r="O5044" s="20" t="str">
        <f>IF(N5044="","",COUNTIFS(RawData[[Date ]],N5044,RawData[Month List],$Q$6,RawData[Tour/Site],$Q$2,RawData[[Picker ID ]],$Q$3,RawData[Checker ID],$Q$4,RawData[[Error Type ]],$Q$5))</f>
        <v/>
      </c>
    </row>
    <row r="5045" spans="15:15" x14ac:dyDescent="0.25">
      <c r="O5045" s="20" t="str">
        <f>IF(N5045="","",COUNTIFS(RawData[[Date ]],N5045,RawData[Month List],$Q$6,RawData[Tour/Site],$Q$2,RawData[[Picker ID ]],$Q$3,RawData[Checker ID],$Q$4,RawData[[Error Type ]],$Q$5))</f>
        <v/>
      </c>
    </row>
    <row r="5046" spans="15:15" x14ac:dyDescent="0.25">
      <c r="O5046" s="20" t="str">
        <f>IF(N5046="","",COUNTIFS(RawData[[Date ]],N5046,RawData[Month List],$Q$6,RawData[Tour/Site],$Q$2,RawData[[Picker ID ]],$Q$3,RawData[Checker ID],$Q$4,RawData[[Error Type ]],$Q$5))</f>
        <v/>
      </c>
    </row>
    <row r="5047" spans="15:15" x14ac:dyDescent="0.25">
      <c r="O5047" s="20" t="str">
        <f>IF(N5047="","",COUNTIFS(RawData[[Date ]],N5047,RawData[Month List],$Q$6,RawData[Tour/Site],$Q$2,RawData[[Picker ID ]],$Q$3,RawData[Checker ID],$Q$4,RawData[[Error Type ]],$Q$5))</f>
        <v/>
      </c>
    </row>
    <row r="5048" spans="15:15" x14ac:dyDescent="0.25">
      <c r="O5048" s="20" t="str">
        <f>IF(N5048="","",COUNTIFS(RawData[[Date ]],N5048,RawData[Month List],$Q$6,RawData[Tour/Site],$Q$2,RawData[[Picker ID ]],$Q$3,RawData[Checker ID],$Q$4,RawData[[Error Type ]],$Q$5))</f>
        <v/>
      </c>
    </row>
    <row r="5049" spans="15:15" x14ac:dyDescent="0.25">
      <c r="O5049" s="20" t="str">
        <f>IF(N5049="","",COUNTIFS(RawData[[Date ]],N5049,RawData[Month List],$Q$6,RawData[Tour/Site],$Q$2,RawData[[Picker ID ]],$Q$3,RawData[Checker ID],$Q$4,RawData[[Error Type ]],$Q$5))</f>
        <v/>
      </c>
    </row>
    <row r="5050" spans="15:15" x14ac:dyDescent="0.25">
      <c r="O5050" s="20" t="str">
        <f>IF(N5050="","",COUNTIFS(RawData[[Date ]],N5050,RawData[Month List],$Q$6,RawData[Tour/Site],$Q$2,RawData[[Picker ID ]],$Q$3,RawData[Checker ID],$Q$4,RawData[[Error Type ]],$Q$5))</f>
        <v/>
      </c>
    </row>
    <row r="5051" spans="15:15" x14ac:dyDescent="0.25">
      <c r="O5051" s="20" t="str">
        <f>IF(N5051="","",COUNTIFS(RawData[[Date ]],N5051,RawData[Month List],$Q$6,RawData[Tour/Site],$Q$2,RawData[[Picker ID ]],$Q$3,RawData[Checker ID],$Q$4,RawData[[Error Type ]],$Q$5))</f>
        <v/>
      </c>
    </row>
    <row r="5052" spans="15:15" x14ac:dyDescent="0.25">
      <c r="O5052" s="20" t="str">
        <f>IF(N5052="","",COUNTIFS(RawData[[Date ]],N5052,RawData[Month List],$Q$6,RawData[Tour/Site],$Q$2,RawData[[Picker ID ]],$Q$3,RawData[Checker ID],$Q$4,RawData[[Error Type ]],$Q$5))</f>
        <v/>
      </c>
    </row>
    <row r="5053" spans="15:15" x14ac:dyDescent="0.25">
      <c r="O5053" s="20" t="str">
        <f>IF(N5053="","",COUNTIFS(RawData[[Date ]],N5053,RawData[Month List],$Q$6,RawData[Tour/Site],$Q$2,RawData[[Picker ID ]],$Q$3,RawData[Checker ID],$Q$4,RawData[[Error Type ]],$Q$5))</f>
        <v/>
      </c>
    </row>
    <row r="5054" spans="15:15" x14ac:dyDescent="0.25">
      <c r="O5054" s="20" t="str">
        <f>IF(N5054="","",COUNTIFS(RawData[[Date ]],N5054,RawData[Month List],$Q$6,RawData[Tour/Site],$Q$2,RawData[[Picker ID ]],$Q$3,RawData[Checker ID],$Q$4,RawData[[Error Type ]],$Q$5))</f>
        <v/>
      </c>
    </row>
    <row r="5055" spans="15:15" x14ac:dyDescent="0.25">
      <c r="O5055" s="20" t="str">
        <f>IF(N5055="","",COUNTIFS(RawData[[Date ]],N5055,RawData[Month List],$Q$6,RawData[Tour/Site],$Q$2,RawData[[Picker ID ]],$Q$3,RawData[Checker ID],$Q$4,RawData[[Error Type ]],$Q$5))</f>
        <v/>
      </c>
    </row>
    <row r="5056" spans="15:15" x14ac:dyDescent="0.25">
      <c r="O5056" s="20" t="str">
        <f>IF(N5056="","",COUNTIFS(RawData[[Date ]],N5056,RawData[Month List],$Q$6,RawData[Tour/Site],$Q$2,RawData[[Picker ID ]],$Q$3,RawData[Checker ID],$Q$4,RawData[[Error Type ]],$Q$5))</f>
        <v/>
      </c>
    </row>
    <row r="5057" spans="15:15" x14ac:dyDescent="0.25">
      <c r="O5057" s="20" t="str">
        <f>IF(N5057="","",COUNTIFS(RawData[[Date ]],N5057,RawData[Month List],$Q$6,RawData[Tour/Site],$Q$2,RawData[[Picker ID ]],$Q$3,RawData[Checker ID],$Q$4,RawData[[Error Type ]],$Q$5))</f>
        <v/>
      </c>
    </row>
    <row r="5058" spans="15:15" x14ac:dyDescent="0.25">
      <c r="O5058" s="20" t="str">
        <f>IF(N5058="","",COUNTIFS(RawData[[Date ]],N5058,RawData[Month List],$Q$6,RawData[Tour/Site],$Q$2,RawData[[Picker ID ]],$Q$3,RawData[Checker ID],$Q$4,RawData[[Error Type ]],$Q$5))</f>
        <v/>
      </c>
    </row>
    <row r="5059" spans="15:15" x14ac:dyDescent="0.25">
      <c r="O5059" s="20" t="str">
        <f>IF(N5059="","",COUNTIFS(RawData[[Date ]],N5059,RawData[Month List],$Q$6,RawData[Tour/Site],$Q$2,RawData[[Picker ID ]],$Q$3,RawData[Checker ID],$Q$4,RawData[[Error Type ]],$Q$5))</f>
        <v/>
      </c>
    </row>
    <row r="5060" spans="15:15" x14ac:dyDescent="0.25">
      <c r="O5060" s="20" t="str">
        <f>IF(N5060="","",COUNTIFS(RawData[[Date ]],N5060,RawData[Month List],$Q$6,RawData[Tour/Site],$Q$2,RawData[[Picker ID ]],$Q$3,RawData[Checker ID],$Q$4,RawData[[Error Type ]],$Q$5))</f>
        <v/>
      </c>
    </row>
    <row r="5061" spans="15:15" x14ac:dyDescent="0.25">
      <c r="O5061" s="20" t="str">
        <f>IF(N5061="","",COUNTIFS(RawData[[Date ]],N5061,RawData[Month List],$Q$6,RawData[Tour/Site],$Q$2,RawData[[Picker ID ]],$Q$3,RawData[Checker ID],$Q$4,RawData[[Error Type ]],$Q$5))</f>
        <v/>
      </c>
    </row>
    <row r="5062" spans="15:15" x14ac:dyDescent="0.25">
      <c r="O5062" s="20" t="str">
        <f>IF(N5062="","",COUNTIFS(RawData[[Date ]],N5062,RawData[Month List],$Q$6,RawData[Tour/Site],$Q$2,RawData[[Picker ID ]],$Q$3,RawData[Checker ID],$Q$4,RawData[[Error Type ]],$Q$5))</f>
        <v/>
      </c>
    </row>
    <row r="5063" spans="15:15" x14ac:dyDescent="0.25">
      <c r="O5063" s="20" t="str">
        <f>IF(N5063="","",COUNTIFS(RawData[[Date ]],N5063,RawData[Month List],$Q$6,RawData[Tour/Site],$Q$2,RawData[[Picker ID ]],$Q$3,RawData[Checker ID],$Q$4,RawData[[Error Type ]],$Q$5))</f>
        <v/>
      </c>
    </row>
    <row r="5064" spans="15:15" x14ac:dyDescent="0.25">
      <c r="O5064" s="20" t="str">
        <f>IF(N5064="","",COUNTIFS(RawData[[Date ]],N5064,RawData[Month List],$Q$6,RawData[Tour/Site],$Q$2,RawData[[Picker ID ]],$Q$3,RawData[Checker ID],$Q$4,RawData[[Error Type ]],$Q$5))</f>
        <v/>
      </c>
    </row>
    <row r="5065" spans="15:15" x14ac:dyDescent="0.25">
      <c r="O5065" s="20" t="str">
        <f>IF(N5065="","",COUNTIFS(RawData[[Date ]],N5065,RawData[Month List],$Q$6,RawData[Tour/Site],$Q$2,RawData[[Picker ID ]],$Q$3,RawData[Checker ID],$Q$4,RawData[[Error Type ]],$Q$5))</f>
        <v/>
      </c>
    </row>
    <row r="5066" spans="15:15" x14ac:dyDescent="0.25">
      <c r="O5066" s="20" t="str">
        <f>IF(N5066="","",COUNTIFS(RawData[[Date ]],N5066,RawData[Month List],$Q$6,RawData[Tour/Site],$Q$2,RawData[[Picker ID ]],$Q$3,RawData[Checker ID],$Q$4,RawData[[Error Type ]],$Q$5))</f>
        <v/>
      </c>
    </row>
    <row r="5067" spans="15:15" x14ac:dyDescent="0.25">
      <c r="O5067" s="20" t="str">
        <f>IF(N5067="","",COUNTIFS(RawData[[Date ]],N5067,RawData[Month List],$Q$6,RawData[Tour/Site],$Q$2,RawData[[Picker ID ]],$Q$3,RawData[Checker ID],$Q$4,RawData[[Error Type ]],$Q$5))</f>
        <v/>
      </c>
    </row>
    <row r="5068" spans="15:15" x14ac:dyDescent="0.25">
      <c r="O5068" s="20" t="str">
        <f>IF(N5068="","",COUNTIFS(RawData[[Date ]],N5068,RawData[Month List],$Q$6,RawData[Tour/Site],$Q$2,RawData[[Picker ID ]],$Q$3,RawData[Checker ID],$Q$4,RawData[[Error Type ]],$Q$5))</f>
        <v/>
      </c>
    </row>
    <row r="5069" spans="15:15" x14ac:dyDescent="0.25">
      <c r="O5069" s="20" t="str">
        <f>IF(N5069="","",COUNTIFS(RawData[[Date ]],N5069,RawData[Month List],$Q$6,RawData[Tour/Site],$Q$2,RawData[[Picker ID ]],$Q$3,RawData[Checker ID],$Q$4,RawData[[Error Type ]],$Q$5))</f>
        <v/>
      </c>
    </row>
    <row r="5070" spans="15:15" x14ac:dyDescent="0.25">
      <c r="O5070" s="20" t="str">
        <f>IF(N5070="","",COUNTIFS(RawData[[Date ]],N5070,RawData[Month List],$Q$6,RawData[Tour/Site],$Q$2,RawData[[Picker ID ]],$Q$3,RawData[Checker ID],$Q$4,RawData[[Error Type ]],$Q$5))</f>
        <v/>
      </c>
    </row>
    <row r="5071" spans="15:15" x14ac:dyDescent="0.25">
      <c r="O5071" s="20" t="str">
        <f>IF(N5071="","",COUNTIFS(RawData[[Date ]],N5071,RawData[Month List],$Q$6,RawData[Tour/Site],$Q$2,RawData[[Picker ID ]],$Q$3,RawData[Checker ID],$Q$4,RawData[[Error Type ]],$Q$5))</f>
        <v/>
      </c>
    </row>
    <row r="5072" spans="15:15" x14ac:dyDescent="0.25">
      <c r="O5072" s="20" t="str">
        <f>IF(N5072="","",COUNTIFS(RawData[[Date ]],N5072,RawData[Month List],$Q$6,RawData[Tour/Site],$Q$2,RawData[[Picker ID ]],$Q$3,RawData[Checker ID],$Q$4,RawData[[Error Type ]],$Q$5))</f>
        <v/>
      </c>
    </row>
    <row r="5073" spans="15:15" x14ac:dyDescent="0.25">
      <c r="O5073" s="20" t="str">
        <f>IF(N5073="","",COUNTIFS(RawData[[Date ]],N5073,RawData[Month List],$Q$6,RawData[Tour/Site],$Q$2,RawData[[Picker ID ]],$Q$3,RawData[Checker ID],$Q$4,RawData[[Error Type ]],$Q$5))</f>
        <v/>
      </c>
    </row>
    <row r="5074" spans="15:15" x14ac:dyDescent="0.25">
      <c r="O5074" s="20" t="str">
        <f>IF(N5074="","",COUNTIFS(RawData[[Date ]],N5074,RawData[Month List],$Q$6,RawData[Tour/Site],$Q$2,RawData[[Picker ID ]],$Q$3,RawData[Checker ID],$Q$4,RawData[[Error Type ]],$Q$5))</f>
        <v/>
      </c>
    </row>
    <row r="5075" spans="15:15" x14ac:dyDescent="0.25">
      <c r="O5075" s="20" t="str">
        <f>IF(N5075="","",COUNTIFS(RawData[[Date ]],N5075,RawData[Month List],$Q$6,RawData[Tour/Site],$Q$2,RawData[[Picker ID ]],$Q$3,RawData[Checker ID],$Q$4,RawData[[Error Type ]],$Q$5))</f>
        <v/>
      </c>
    </row>
    <row r="5076" spans="15:15" x14ac:dyDescent="0.25">
      <c r="O5076" s="20" t="str">
        <f>IF(N5076="","",COUNTIFS(RawData[[Date ]],N5076,RawData[Month List],$Q$6,RawData[Tour/Site],$Q$2,RawData[[Picker ID ]],$Q$3,RawData[Checker ID],$Q$4,RawData[[Error Type ]],$Q$5))</f>
        <v/>
      </c>
    </row>
    <row r="5077" spans="15:15" x14ac:dyDescent="0.25">
      <c r="O5077" s="20" t="str">
        <f>IF(N5077="","",COUNTIFS(RawData[[Date ]],N5077,RawData[Month List],$Q$6,RawData[Tour/Site],$Q$2,RawData[[Picker ID ]],$Q$3,RawData[Checker ID],$Q$4,RawData[[Error Type ]],$Q$5))</f>
        <v/>
      </c>
    </row>
    <row r="5078" spans="15:15" x14ac:dyDescent="0.25">
      <c r="O5078" s="20" t="str">
        <f>IF(N5078="","",COUNTIFS(RawData[[Date ]],N5078,RawData[Month List],$Q$6,RawData[Tour/Site],$Q$2,RawData[[Picker ID ]],$Q$3,RawData[Checker ID],$Q$4,RawData[[Error Type ]],$Q$5))</f>
        <v/>
      </c>
    </row>
    <row r="5079" spans="15:15" x14ac:dyDescent="0.25">
      <c r="O5079" s="20" t="str">
        <f>IF(N5079="","",COUNTIFS(RawData[[Date ]],N5079,RawData[Month List],$Q$6,RawData[Tour/Site],$Q$2,RawData[[Picker ID ]],$Q$3,RawData[Checker ID],$Q$4,RawData[[Error Type ]],$Q$5))</f>
        <v/>
      </c>
    </row>
    <row r="5080" spans="15:15" x14ac:dyDescent="0.25">
      <c r="O5080" s="20" t="str">
        <f>IF(N5080="","",COUNTIFS(RawData[[Date ]],N5080,RawData[Month List],$Q$6,RawData[Tour/Site],$Q$2,RawData[[Picker ID ]],$Q$3,RawData[Checker ID],$Q$4,RawData[[Error Type ]],$Q$5))</f>
        <v/>
      </c>
    </row>
    <row r="5081" spans="15:15" x14ac:dyDescent="0.25">
      <c r="O5081" s="20" t="str">
        <f>IF(N5081="","",COUNTIFS(RawData[[Date ]],N5081,RawData[Month List],$Q$6,RawData[Tour/Site],$Q$2,RawData[[Picker ID ]],$Q$3,RawData[Checker ID],$Q$4,RawData[[Error Type ]],$Q$5))</f>
        <v/>
      </c>
    </row>
    <row r="5082" spans="15:15" x14ac:dyDescent="0.25">
      <c r="O5082" s="20" t="str">
        <f>IF(N5082="","",COUNTIFS(RawData[[Date ]],N5082,RawData[Month List],$Q$6,RawData[Tour/Site],$Q$2,RawData[[Picker ID ]],$Q$3,RawData[Checker ID],$Q$4,RawData[[Error Type ]],$Q$5))</f>
        <v/>
      </c>
    </row>
    <row r="5083" spans="15:15" x14ac:dyDescent="0.25">
      <c r="O5083" s="20" t="str">
        <f>IF(N5083="","",COUNTIFS(RawData[[Date ]],N5083,RawData[Month List],$Q$6,RawData[Tour/Site],$Q$2,RawData[[Picker ID ]],$Q$3,RawData[Checker ID],$Q$4,RawData[[Error Type ]],$Q$5))</f>
        <v/>
      </c>
    </row>
    <row r="5084" spans="15:15" x14ac:dyDescent="0.25">
      <c r="O5084" s="20" t="str">
        <f>IF(N5084="","",COUNTIFS(RawData[[Date ]],N5084,RawData[Month List],$Q$6,RawData[Tour/Site],$Q$2,RawData[[Picker ID ]],$Q$3,RawData[Checker ID],$Q$4,RawData[[Error Type ]],$Q$5))</f>
        <v/>
      </c>
    </row>
    <row r="5085" spans="15:15" x14ac:dyDescent="0.25">
      <c r="O5085" s="20" t="str">
        <f>IF(N5085="","",COUNTIFS(RawData[[Date ]],N5085,RawData[Month List],$Q$6,RawData[Tour/Site],$Q$2,RawData[[Picker ID ]],$Q$3,RawData[Checker ID],$Q$4,RawData[[Error Type ]],$Q$5))</f>
        <v/>
      </c>
    </row>
    <row r="5086" spans="15:15" x14ac:dyDescent="0.25">
      <c r="O5086" s="20" t="str">
        <f>IF(N5086="","",COUNTIFS(RawData[[Date ]],N5086,RawData[Month List],$Q$6,RawData[Tour/Site],$Q$2,RawData[[Picker ID ]],$Q$3,RawData[Checker ID],$Q$4,RawData[[Error Type ]],$Q$5))</f>
        <v/>
      </c>
    </row>
    <row r="5087" spans="15:15" x14ac:dyDescent="0.25">
      <c r="O5087" s="20" t="str">
        <f>IF(N5087="","",COUNTIFS(RawData[[Date ]],N5087,RawData[Month List],$Q$6,RawData[Tour/Site],$Q$2,RawData[[Picker ID ]],$Q$3,RawData[Checker ID],$Q$4,RawData[[Error Type ]],$Q$5))</f>
        <v/>
      </c>
    </row>
    <row r="5088" spans="15:15" x14ac:dyDescent="0.25">
      <c r="O5088" s="20" t="str">
        <f>IF(N5088="","",COUNTIFS(RawData[[Date ]],N5088,RawData[Month List],$Q$6,RawData[Tour/Site],$Q$2,RawData[[Picker ID ]],$Q$3,RawData[Checker ID],$Q$4,RawData[[Error Type ]],$Q$5))</f>
        <v/>
      </c>
    </row>
    <row r="5089" spans="15:15" x14ac:dyDescent="0.25">
      <c r="O5089" s="20" t="str">
        <f>IF(N5089="","",COUNTIFS(RawData[[Date ]],N5089,RawData[Month List],$Q$6,RawData[Tour/Site],$Q$2,RawData[[Picker ID ]],$Q$3,RawData[Checker ID],$Q$4,RawData[[Error Type ]],$Q$5))</f>
        <v/>
      </c>
    </row>
    <row r="5090" spans="15:15" x14ac:dyDescent="0.25">
      <c r="O5090" s="20" t="str">
        <f>IF(N5090="","",COUNTIFS(RawData[[Date ]],N5090,RawData[Month List],$Q$6,RawData[Tour/Site],$Q$2,RawData[[Picker ID ]],$Q$3,RawData[Checker ID],$Q$4,RawData[[Error Type ]],$Q$5))</f>
        <v/>
      </c>
    </row>
    <row r="5091" spans="15:15" x14ac:dyDescent="0.25">
      <c r="O5091" s="20" t="str">
        <f>IF(N5091="","",COUNTIFS(RawData[[Date ]],N5091,RawData[Month List],$Q$6,RawData[Tour/Site],$Q$2,RawData[[Picker ID ]],$Q$3,RawData[Checker ID],$Q$4,RawData[[Error Type ]],$Q$5))</f>
        <v/>
      </c>
    </row>
    <row r="5092" spans="15:15" x14ac:dyDescent="0.25">
      <c r="O5092" s="20" t="str">
        <f>IF(N5092="","",COUNTIFS(RawData[[Date ]],N5092,RawData[Month List],$Q$6,RawData[Tour/Site],$Q$2,RawData[[Picker ID ]],$Q$3,RawData[Checker ID],$Q$4,RawData[[Error Type ]],$Q$5))</f>
        <v/>
      </c>
    </row>
    <row r="5093" spans="15:15" x14ac:dyDescent="0.25">
      <c r="O5093" s="20" t="str">
        <f>IF(N5093="","",COUNTIFS(RawData[[Date ]],N5093,RawData[Month List],$Q$6,RawData[Tour/Site],$Q$2,RawData[[Picker ID ]],$Q$3,RawData[Checker ID],$Q$4,RawData[[Error Type ]],$Q$5))</f>
        <v/>
      </c>
    </row>
    <row r="5094" spans="15:15" x14ac:dyDescent="0.25">
      <c r="O5094" s="20" t="str">
        <f>IF(N5094="","",COUNTIFS(RawData[[Date ]],N5094,RawData[Month List],$Q$6,RawData[Tour/Site],$Q$2,RawData[[Picker ID ]],$Q$3,RawData[Checker ID],$Q$4,RawData[[Error Type ]],$Q$5))</f>
        <v/>
      </c>
    </row>
    <row r="5095" spans="15:15" x14ac:dyDescent="0.25">
      <c r="O5095" s="20" t="str">
        <f>IF(N5095="","",COUNTIFS(RawData[[Date ]],N5095,RawData[Month List],$Q$6,RawData[Tour/Site],$Q$2,RawData[[Picker ID ]],$Q$3,RawData[Checker ID],$Q$4,RawData[[Error Type ]],$Q$5))</f>
        <v/>
      </c>
    </row>
    <row r="5096" spans="15:15" x14ac:dyDescent="0.25">
      <c r="O5096" s="20" t="str">
        <f>IF(N5096="","",COUNTIFS(RawData[[Date ]],N5096,RawData[Month List],$Q$6,RawData[Tour/Site],$Q$2,RawData[[Picker ID ]],$Q$3,RawData[Checker ID],$Q$4,RawData[[Error Type ]],$Q$5))</f>
        <v/>
      </c>
    </row>
    <row r="5097" spans="15:15" x14ac:dyDescent="0.25">
      <c r="O5097" s="20" t="str">
        <f>IF(N5097="","",COUNTIFS(RawData[[Date ]],N5097,RawData[Month List],$Q$6,RawData[Tour/Site],$Q$2,RawData[[Picker ID ]],$Q$3,RawData[Checker ID],$Q$4,RawData[[Error Type ]],$Q$5))</f>
        <v/>
      </c>
    </row>
    <row r="5098" spans="15:15" x14ac:dyDescent="0.25">
      <c r="O5098" s="20" t="str">
        <f>IF(N5098="","",COUNTIFS(RawData[[Date ]],N5098,RawData[Month List],$Q$6,RawData[Tour/Site],$Q$2,RawData[[Picker ID ]],$Q$3,RawData[Checker ID],$Q$4,RawData[[Error Type ]],$Q$5))</f>
        <v/>
      </c>
    </row>
    <row r="5099" spans="15:15" x14ac:dyDescent="0.25">
      <c r="O5099" s="20" t="str">
        <f>IF(N5099="","",COUNTIFS(RawData[[Date ]],N5099,RawData[Month List],$Q$6,RawData[Tour/Site],$Q$2,RawData[[Picker ID ]],$Q$3,RawData[Checker ID],$Q$4,RawData[[Error Type ]],$Q$5))</f>
        <v/>
      </c>
    </row>
    <row r="5100" spans="15:15" x14ac:dyDescent="0.25">
      <c r="O5100" s="20" t="str">
        <f>IF(N5100="","",COUNTIFS(RawData[[Date ]],N5100,RawData[Month List],$Q$6,RawData[Tour/Site],$Q$2,RawData[[Picker ID ]],$Q$3,RawData[Checker ID],$Q$4,RawData[[Error Type ]],$Q$5))</f>
        <v/>
      </c>
    </row>
    <row r="5101" spans="15:15" x14ac:dyDescent="0.25">
      <c r="O5101" s="20" t="str">
        <f>IF(N5101="","",COUNTIFS(RawData[[Date ]],N5101,RawData[Month List],$Q$6,RawData[Tour/Site],$Q$2,RawData[[Picker ID ]],$Q$3,RawData[Checker ID],$Q$4,RawData[[Error Type ]],$Q$5))</f>
        <v/>
      </c>
    </row>
    <row r="5102" spans="15:15" x14ac:dyDescent="0.25">
      <c r="O5102" s="20" t="str">
        <f>IF(N5102="","",COUNTIFS(RawData[[Date ]],N5102,RawData[Month List],$Q$6,RawData[Tour/Site],$Q$2,RawData[[Picker ID ]],$Q$3,RawData[Checker ID],$Q$4,RawData[[Error Type ]],$Q$5))</f>
        <v/>
      </c>
    </row>
    <row r="5103" spans="15:15" x14ac:dyDescent="0.25">
      <c r="O5103" s="20" t="str">
        <f>IF(N5103="","",COUNTIFS(RawData[[Date ]],N5103,RawData[Month List],$Q$6,RawData[Tour/Site],$Q$2,RawData[[Picker ID ]],$Q$3,RawData[Checker ID],$Q$4,RawData[[Error Type ]],$Q$5))</f>
        <v/>
      </c>
    </row>
    <row r="5104" spans="15:15" x14ac:dyDescent="0.25">
      <c r="O5104" s="20" t="str">
        <f>IF(N5104="","",COUNTIFS(RawData[[Date ]],N5104,RawData[Month List],$Q$6,RawData[Tour/Site],$Q$2,RawData[[Picker ID ]],$Q$3,RawData[Checker ID],$Q$4,RawData[[Error Type ]],$Q$5))</f>
        <v/>
      </c>
    </row>
    <row r="5105" spans="15:15" x14ac:dyDescent="0.25">
      <c r="O5105" s="20" t="str">
        <f>IF(N5105="","",COUNTIFS(RawData[[Date ]],N5105,RawData[Month List],$Q$6,RawData[Tour/Site],$Q$2,RawData[[Picker ID ]],$Q$3,RawData[Checker ID],$Q$4,RawData[[Error Type ]],$Q$5))</f>
        <v/>
      </c>
    </row>
    <row r="5106" spans="15:15" x14ac:dyDescent="0.25">
      <c r="O5106" s="20" t="str">
        <f>IF(N5106="","",COUNTIFS(RawData[[Date ]],N5106,RawData[Month List],$Q$6,RawData[Tour/Site],$Q$2,RawData[[Picker ID ]],$Q$3,RawData[Checker ID],$Q$4,RawData[[Error Type ]],$Q$5))</f>
        <v/>
      </c>
    </row>
    <row r="5107" spans="15:15" x14ac:dyDescent="0.25">
      <c r="O5107" s="20" t="str">
        <f>IF(N5107="","",COUNTIFS(RawData[[Date ]],N5107,RawData[Month List],$Q$6,RawData[Tour/Site],$Q$2,RawData[[Picker ID ]],$Q$3,RawData[Checker ID],$Q$4,RawData[[Error Type ]],$Q$5))</f>
        <v/>
      </c>
    </row>
    <row r="5108" spans="15:15" x14ac:dyDescent="0.25">
      <c r="O5108" s="20" t="str">
        <f>IF(N5108="","",COUNTIFS(RawData[[Date ]],N5108,RawData[Month List],$Q$6,RawData[Tour/Site],$Q$2,RawData[[Picker ID ]],$Q$3,RawData[Checker ID],$Q$4,RawData[[Error Type ]],$Q$5))</f>
        <v/>
      </c>
    </row>
    <row r="5109" spans="15:15" x14ac:dyDescent="0.25">
      <c r="O5109" s="20" t="str">
        <f>IF(N5109="","",COUNTIFS(RawData[[Date ]],N5109,RawData[Month List],$Q$6,RawData[Tour/Site],$Q$2,RawData[[Picker ID ]],$Q$3,RawData[Checker ID],$Q$4,RawData[[Error Type ]],$Q$5))</f>
        <v/>
      </c>
    </row>
    <row r="5110" spans="15:15" x14ac:dyDescent="0.25">
      <c r="O5110" s="20" t="str">
        <f>IF(N5110="","",COUNTIFS(RawData[[Date ]],N5110,RawData[Month List],$Q$6,RawData[Tour/Site],$Q$2,RawData[[Picker ID ]],$Q$3,RawData[Checker ID],$Q$4,RawData[[Error Type ]],$Q$5))</f>
        <v/>
      </c>
    </row>
    <row r="5111" spans="15:15" x14ac:dyDescent="0.25">
      <c r="O5111" s="20" t="str">
        <f>IF(N5111="","",COUNTIFS(RawData[[Date ]],N5111,RawData[Month List],$Q$6,RawData[Tour/Site],$Q$2,RawData[[Picker ID ]],$Q$3,RawData[Checker ID],$Q$4,RawData[[Error Type ]],$Q$5))</f>
        <v/>
      </c>
    </row>
    <row r="5112" spans="15:15" x14ac:dyDescent="0.25">
      <c r="O5112" s="20" t="str">
        <f>IF(N5112="","",COUNTIFS(RawData[[Date ]],N5112,RawData[Month List],$Q$6,RawData[Tour/Site],$Q$2,RawData[[Picker ID ]],$Q$3,RawData[Checker ID],$Q$4,RawData[[Error Type ]],$Q$5))</f>
        <v/>
      </c>
    </row>
    <row r="5113" spans="15:15" x14ac:dyDescent="0.25">
      <c r="O5113" s="20" t="str">
        <f>IF(N5113="","",COUNTIFS(RawData[[Date ]],N5113,RawData[Month List],$Q$6,RawData[Tour/Site],$Q$2,RawData[[Picker ID ]],$Q$3,RawData[Checker ID],$Q$4,RawData[[Error Type ]],$Q$5))</f>
        <v/>
      </c>
    </row>
    <row r="5114" spans="15:15" x14ac:dyDescent="0.25">
      <c r="O5114" s="20" t="str">
        <f>IF(N5114="","",COUNTIFS(RawData[[Date ]],N5114,RawData[Month List],$Q$6,RawData[Tour/Site],$Q$2,RawData[[Picker ID ]],$Q$3,RawData[Checker ID],$Q$4,RawData[[Error Type ]],$Q$5))</f>
        <v/>
      </c>
    </row>
    <row r="5115" spans="15:15" x14ac:dyDescent="0.25">
      <c r="O5115" s="20" t="str">
        <f>IF(N5115="","",COUNTIFS(RawData[[Date ]],N5115,RawData[Month List],$Q$6,RawData[Tour/Site],$Q$2,RawData[[Picker ID ]],$Q$3,RawData[Checker ID],$Q$4,RawData[[Error Type ]],$Q$5))</f>
        <v/>
      </c>
    </row>
    <row r="5116" spans="15:15" x14ac:dyDescent="0.25">
      <c r="O5116" s="20" t="str">
        <f>IF(N5116="","",COUNTIFS(RawData[[Date ]],N5116,RawData[Month List],$Q$6,RawData[Tour/Site],$Q$2,RawData[[Picker ID ]],$Q$3,RawData[Checker ID],$Q$4,RawData[[Error Type ]],$Q$5))</f>
        <v/>
      </c>
    </row>
    <row r="5117" spans="15:15" x14ac:dyDescent="0.25">
      <c r="O5117" s="20" t="str">
        <f>IF(N5117="","",COUNTIFS(RawData[[Date ]],N5117,RawData[Month List],$Q$6,RawData[Tour/Site],$Q$2,RawData[[Picker ID ]],$Q$3,RawData[Checker ID],$Q$4,RawData[[Error Type ]],$Q$5))</f>
        <v/>
      </c>
    </row>
    <row r="5118" spans="15:15" x14ac:dyDescent="0.25">
      <c r="O5118" s="20" t="str">
        <f>IF(N5118="","",COUNTIFS(RawData[[Date ]],N5118,RawData[Month List],$Q$6,RawData[Tour/Site],$Q$2,RawData[[Picker ID ]],$Q$3,RawData[Checker ID],$Q$4,RawData[[Error Type ]],$Q$5))</f>
        <v/>
      </c>
    </row>
    <row r="5119" spans="15:15" x14ac:dyDescent="0.25">
      <c r="O5119" s="20" t="str">
        <f>IF(N5119="","",COUNTIFS(RawData[[Date ]],N5119,RawData[Month List],$Q$6,RawData[Tour/Site],$Q$2,RawData[[Picker ID ]],$Q$3,RawData[Checker ID],$Q$4,RawData[[Error Type ]],$Q$5))</f>
        <v/>
      </c>
    </row>
    <row r="5120" spans="15:15" x14ac:dyDescent="0.25">
      <c r="O5120" s="20" t="str">
        <f>IF(N5120="","",COUNTIFS(RawData[[Date ]],N5120,RawData[Month List],$Q$6,RawData[Tour/Site],$Q$2,RawData[[Picker ID ]],$Q$3,RawData[Checker ID],$Q$4,RawData[[Error Type ]],$Q$5))</f>
        <v/>
      </c>
    </row>
    <row r="5121" spans="15:15" x14ac:dyDescent="0.25">
      <c r="O5121" s="20" t="str">
        <f>IF(N5121="","",COUNTIFS(RawData[[Date ]],N5121,RawData[Month List],$Q$6,RawData[Tour/Site],$Q$2,RawData[[Picker ID ]],$Q$3,RawData[Checker ID],$Q$4,RawData[[Error Type ]],$Q$5))</f>
        <v/>
      </c>
    </row>
    <row r="5122" spans="15:15" x14ac:dyDescent="0.25">
      <c r="O5122" s="20" t="str">
        <f>IF(N5122="","",COUNTIFS(RawData[[Date ]],N5122,RawData[Month List],$Q$6,RawData[Tour/Site],$Q$2,RawData[[Picker ID ]],$Q$3,RawData[Checker ID],$Q$4,RawData[[Error Type ]],$Q$5))</f>
        <v/>
      </c>
    </row>
    <row r="5123" spans="15:15" x14ac:dyDescent="0.25">
      <c r="O5123" s="20" t="str">
        <f>IF(N5123="","",COUNTIFS(RawData[[Date ]],N5123,RawData[Month List],$Q$6,RawData[Tour/Site],$Q$2,RawData[[Picker ID ]],$Q$3,RawData[Checker ID],$Q$4,RawData[[Error Type ]],$Q$5))</f>
        <v/>
      </c>
    </row>
    <row r="5124" spans="15:15" x14ac:dyDescent="0.25">
      <c r="O5124" s="20" t="str">
        <f>IF(N5124="","",COUNTIFS(RawData[[Date ]],N5124,RawData[Month List],$Q$6,RawData[Tour/Site],$Q$2,RawData[[Picker ID ]],$Q$3,RawData[Checker ID],$Q$4,RawData[[Error Type ]],$Q$5))</f>
        <v/>
      </c>
    </row>
    <row r="5125" spans="15:15" x14ac:dyDescent="0.25">
      <c r="O5125" s="20" t="str">
        <f>IF(N5125="","",COUNTIFS(RawData[[Date ]],N5125,RawData[Month List],$Q$6,RawData[Tour/Site],$Q$2,RawData[[Picker ID ]],$Q$3,RawData[Checker ID],$Q$4,RawData[[Error Type ]],$Q$5))</f>
        <v/>
      </c>
    </row>
    <row r="5126" spans="15:15" x14ac:dyDescent="0.25">
      <c r="O5126" s="20" t="str">
        <f>IF(N5126="","",COUNTIFS(RawData[[Date ]],N5126,RawData[Month List],$Q$6,RawData[Tour/Site],$Q$2,RawData[[Picker ID ]],$Q$3,RawData[Checker ID],$Q$4,RawData[[Error Type ]],$Q$5))</f>
        <v/>
      </c>
    </row>
    <row r="5127" spans="15:15" x14ac:dyDescent="0.25">
      <c r="O5127" s="20" t="str">
        <f>IF(N5127="","",COUNTIFS(RawData[[Date ]],N5127,RawData[Month List],$Q$6,RawData[Tour/Site],$Q$2,RawData[[Picker ID ]],$Q$3,RawData[Checker ID],$Q$4,RawData[[Error Type ]],$Q$5))</f>
        <v/>
      </c>
    </row>
    <row r="5128" spans="15:15" x14ac:dyDescent="0.25">
      <c r="O5128" s="20" t="str">
        <f>IF(N5128="","",COUNTIFS(RawData[[Date ]],N5128,RawData[Month List],$Q$6,RawData[Tour/Site],$Q$2,RawData[[Picker ID ]],$Q$3,RawData[Checker ID],$Q$4,RawData[[Error Type ]],$Q$5))</f>
        <v/>
      </c>
    </row>
    <row r="5129" spans="15:15" x14ac:dyDescent="0.25">
      <c r="O5129" s="20" t="str">
        <f>IF(N5129="","",COUNTIFS(RawData[[Date ]],N5129,RawData[Month List],$Q$6,RawData[Tour/Site],$Q$2,RawData[[Picker ID ]],$Q$3,RawData[Checker ID],$Q$4,RawData[[Error Type ]],$Q$5))</f>
        <v/>
      </c>
    </row>
    <row r="5130" spans="15:15" x14ac:dyDescent="0.25">
      <c r="O5130" s="20" t="str">
        <f>IF(N5130="","",COUNTIFS(RawData[[Date ]],N5130,RawData[Month List],$Q$6,RawData[Tour/Site],$Q$2,RawData[[Picker ID ]],$Q$3,RawData[Checker ID],$Q$4,RawData[[Error Type ]],$Q$5))</f>
        <v/>
      </c>
    </row>
    <row r="5131" spans="15:15" x14ac:dyDescent="0.25">
      <c r="O5131" s="20" t="str">
        <f>IF(N5131="","",COUNTIFS(RawData[[Date ]],N5131,RawData[Month List],$Q$6,RawData[Tour/Site],$Q$2,RawData[[Picker ID ]],$Q$3,RawData[Checker ID],$Q$4,RawData[[Error Type ]],$Q$5))</f>
        <v/>
      </c>
    </row>
    <row r="5132" spans="15:15" x14ac:dyDescent="0.25">
      <c r="O5132" s="20" t="str">
        <f>IF(N5132="","",COUNTIFS(RawData[[Date ]],N5132,RawData[Month List],$Q$6,RawData[Tour/Site],$Q$2,RawData[[Picker ID ]],$Q$3,RawData[Checker ID],$Q$4,RawData[[Error Type ]],$Q$5))</f>
        <v/>
      </c>
    </row>
    <row r="5133" spans="15:15" x14ac:dyDescent="0.25">
      <c r="O5133" s="20" t="str">
        <f>IF(N5133="","",COUNTIFS(RawData[[Date ]],N5133,RawData[Month List],$Q$6,RawData[Tour/Site],$Q$2,RawData[[Picker ID ]],$Q$3,RawData[Checker ID],$Q$4,RawData[[Error Type ]],$Q$5))</f>
        <v/>
      </c>
    </row>
    <row r="5134" spans="15:15" x14ac:dyDescent="0.25">
      <c r="O5134" s="20" t="str">
        <f>IF(N5134="","",COUNTIFS(RawData[[Date ]],N5134,RawData[Month List],$Q$6,RawData[Tour/Site],$Q$2,RawData[[Picker ID ]],$Q$3,RawData[Checker ID],$Q$4,RawData[[Error Type ]],$Q$5))</f>
        <v/>
      </c>
    </row>
    <row r="5135" spans="15:15" x14ac:dyDescent="0.25">
      <c r="O5135" s="20" t="str">
        <f>IF(N5135="","",COUNTIFS(RawData[[Date ]],N5135,RawData[Month List],$Q$6,RawData[Tour/Site],$Q$2,RawData[[Picker ID ]],$Q$3,RawData[Checker ID],$Q$4,RawData[[Error Type ]],$Q$5))</f>
        <v/>
      </c>
    </row>
    <row r="5136" spans="15:15" x14ac:dyDescent="0.25">
      <c r="O5136" s="20" t="str">
        <f>IF(N5136="","",COUNTIFS(RawData[[Date ]],N5136,RawData[Month List],$Q$6,RawData[Tour/Site],$Q$2,RawData[[Picker ID ]],$Q$3,RawData[Checker ID],$Q$4,RawData[[Error Type ]],$Q$5))</f>
        <v/>
      </c>
    </row>
    <row r="5137" spans="15:15" x14ac:dyDescent="0.25">
      <c r="O5137" s="20" t="str">
        <f>IF(N5137="","",COUNTIFS(RawData[[Date ]],N5137,RawData[Month List],$Q$6,RawData[Tour/Site],$Q$2,RawData[[Picker ID ]],$Q$3,RawData[Checker ID],$Q$4,RawData[[Error Type ]],$Q$5))</f>
        <v/>
      </c>
    </row>
    <row r="5138" spans="15:15" x14ac:dyDescent="0.25">
      <c r="O5138" s="20" t="str">
        <f>IF(N5138="","",COUNTIFS(RawData[[Date ]],N5138,RawData[Month List],$Q$6,RawData[Tour/Site],$Q$2,RawData[[Picker ID ]],$Q$3,RawData[Checker ID],$Q$4,RawData[[Error Type ]],$Q$5))</f>
        <v/>
      </c>
    </row>
    <row r="5139" spans="15:15" x14ac:dyDescent="0.25">
      <c r="O5139" s="20" t="str">
        <f>IF(N5139="","",COUNTIFS(RawData[[Date ]],N5139,RawData[Month List],$Q$6,RawData[Tour/Site],$Q$2,RawData[[Picker ID ]],$Q$3,RawData[Checker ID],$Q$4,RawData[[Error Type ]],$Q$5))</f>
        <v/>
      </c>
    </row>
    <row r="5140" spans="15:15" x14ac:dyDescent="0.25">
      <c r="O5140" s="20" t="str">
        <f>IF(N5140="","",COUNTIFS(RawData[[Date ]],N5140,RawData[Month List],$Q$6,RawData[Tour/Site],$Q$2,RawData[[Picker ID ]],$Q$3,RawData[Checker ID],$Q$4,RawData[[Error Type ]],$Q$5))</f>
        <v/>
      </c>
    </row>
    <row r="5141" spans="15:15" x14ac:dyDescent="0.25">
      <c r="O5141" s="20" t="str">
        <f>IF(N5141="","",COUNTIFS(RawData[[Date ]],N5141,RawData[Month List],$Q$6,RawData[Tour/Site],$Q$2,RawData[[Picker ID ]],$Q$3,RawData[Checker ID],$Q$4,RawData[[Error Type ]],$Q$5))</f>
        <v/>
      </c>
    </row>
    <row r="5142" spans="15:15" x14ac:dyDescent="0.25">
      <c r="O5142" s="20" t="str">
        <f>IF(N5142="","",COUNTIFS(RawData[[Date ]],N5142,RawData[Month List],$Q$6,RawData[Tour/Site],$Q$2,RawData[[Picker ID ]],$Q$3,RawData[Checker ID],$Q$4,RawData[[Error Type ]],$Q$5))</f>
        <v/>
      </c>
    </row>
    <row r="5143" spans="15:15" x14ac:dyDescent="0.25">
      <c r="O5143" s="20" t="str">
        <f>IF(N5143="","",COUNTIFS(RawData[[Date ]],N5143,RawData[Month List],$Q$6,RawData[Tour/Site],$Q$2,RawData[[Picker ID ]],$Q$3,RawData[Checker ID],$Q$4,RawData[[Error Type ]],$Q$5))</f>
        <v/>
      </c>
    </row>
    <row r="5144" spans="15:15" x14ac:dyDescent="0.25">
      <c r="O5144" s="20" t="str">
        <f>IF(N5144="","",COUNTIFS(RawData[[Date ]],N5144,RawData[Month List],$Q$6,RawData[Tour/Site],$Q$2,RawData[[Picker ID ]],$Q$3,RawData[Checker ID],$Q$4,RawData[[Error Type ]],$Q$5))</f>
        <v/>
      </c>
    </row>
    <row r="5145" spans="15:15" x14ac:dyDescent="0.25">
      <c r="O5145" s="20" t="str">
        <f>IF(N5145="","",COUNTIFS(RawData[[Date ]],N5145,RawData[Month List],$Q$6,RawData[Tour/Site],$Q$2,RawData[[Picker ID ]],$Q$3,RawData[Checker ID],$Q$4,RawData[[Error Type ]],$Q$5))</f>
        <v/>
      </c>
    </row>
    <row r="5146" spans="15:15" x14ac:dyDescent="0.25">
      <c r="O5146" s="20" t="str">
        <f>IF(N5146="","",COUNTIFS(RawData[[Date ]],N5146,RawData[Month List],$Q$6,RawData[Tour/Site],$Q$2,RawData[[Picker ID ]],$Q$3,RawData[Checker ID],$Q$4,RawData[[Error Type ]],$Q$5))</f>
        <v/>
      </c>
    </row>
    <row r="5147" spans="15:15" x14ac:dyDescent="0.25">
      <c r="O5147" s="20" t="str">
        <f>IF(N5147="","",COUNTIFS(RawData[[Date ]],N5147,RawData[Month List],$Q$6,RawData[Tour/Site],$Q$2,RawData[[Picker ID ]],$Q$3,RawData[Checker ID],$Q$4,RawData[[Error Type ]],$Q$5))</f>
        <v/>
      </c>
    </row>
    <row r="5148" spans="15:15" x14ac:dyDescent="0.25">
      <c r="O5148" s="20" t="str">
        <f>IF(N5148="","",COUNTIFS(RawData[[Date ]],N5148,RawData[Month List],$Q$6,RawData[Tour/Site],$Q$2,RawData[[Picker ID ]],$Q$3,RawData[Checker ID],$Q$4,RawData[[Error Type ]],$Q$5))</f>
        <v/>
      </c>
    </row>
    <row r="5149" spans="15:15" x14ac:dyDescent="0.25">
      <c r="O5149" s="20" t="str">
        <f>IF(N5149="","",COUNTIFS(RawData[[Date ]],N5149,RawData[Month List],$Q$6,RawData[Tour/Site],$Q$2,RawData[[Picker ID ]],$Q$3,RawData[Checker ID],$Q$4,RawData[[Error Type ]],$Q$5))</f>
        <v/>
      </c>
    </row>
    <row r="5150" spans="15:15" x14ac:dyDescent="0.25">
      <c r="O5150" s="20" t="str">
        <f>IF(N5150="","",COUNTIFS(RawData[[Date ]],N5150,RawData[Month List],$Q$6,RawData[Tour/Site],$Q$2,RawData[[Picker ID ]],$Q$3,RawData[Checker ID],$Q$4,RawData[[Error Type ]],$Q$5))</f>
        <v/>
      </c>
    </row>
    <row r="5151" spans="15:15" x14ac:dyDescent="0.25">
      <c r="O5151" s="20" t="str">
        <f>IF(N5151="","",COUNTIFS(RawData[[Date ]],N5151,RawData[Month List],$Q$6,RawData[Tour/Site],$Q$2,RawData[[Picker ID ]],$Q$3,RawData[Checker ID],$Q$4,RawData[[Error Type ]],$Q$5))</f>
        <v/>
      </c>
    </row>
    <row r="5152" spans="15:15" x14ac:dyDescent="0.25">
      <c r="O5152" s="20" t="str">
        <f>IF(N5152="","",COUNTIFS(RawData[[Date ]],N5152,RawData[Month List],$Q$6,RawData[Tour/Site],$Q$2,RawData[[Picker ID ]],$Q$3,RawData[Checker ID],$Q$4,RawData[[Error Type ]],$Q$5))</f>
        <v/>
      </c>
    </row>
    <row r="5153" spans="15:15" x14ac:dyDescent="0.25">
      <c r="O5153" s="20" t="str">
        <f>IF(N5153="","",COUNTIFS(RawData[[Date ]],N5153,RawData[Month List],$Q$6,RawData[Tour/Site],$Q$2,RawData[[Picker ID ]],$Q$3,RawData[Checker ID],$Q$4,RawData[[Error Type ]],$Q$5))</f>
        <v/>
      </c>
    </row>
    <row r="5154" spans="15:15" x14ac:dyDescent="0.25">
      <c r="O5154" s="20" t="str">
        <f>IF(N5154="","",COUNTIFS(RawData[[Date ]],N5154,RawData[Month List],$Q$6,RawData[Tour/Site],$Q$2,RawData[[Picker ID ]],$Q$3,RawData[Checker ID],$Q$4,RawData[[Error Type ]],$Q$5))</f>
        <v/>
      </c>
    </row>
    <row r="5155" spans="15:15" x14ac:dyDescent="0.25">
      <c r="O5155" s="20" t="str">
        <f>IF(N5155="","",COUNTIFS(RawData[[Date ]],N5155,RawData[Month List],$Q$6,RawData[Tour/Site],$Q$2,RawData[[Picker ID ]],$Q$3,RawData[Checker ID],$Q$4,RawData[[Error Type ]],$Q$5))</f>
        <v/>
      </c>
    </row>
    <row r="5156" spans="15:15" x14ac:dyDescent="0.25">
      <c r="O5156" s="20" t="str">
        <f>IF(N5156="","",COUNTIFS(RawData[[Date ]],N5156,RawData[Month List],$Q$6,RawData[Tour/Site],$Q$2,RawData[[Picker ID ]],$Q$3,RawData[Checker ID],$Q$4,RawData[[Error Type ]],$Q$5))</f>
        <v/>
      </c>
    </row>
    <row r="5157" spans="15:15" x14ac:dyDescent="0.25">
      <c r="O5157" s="20" t="str">
        <f>IF(N5157="","",COUNTIFS(RawData[[Date ]],N5157,RawData[Month List],$Q$6,RawData[Tour/Site],$Q$2,RawData[[Picker ID ]],$Q$3,RawData[Checker ID],$Q$4,RawData[[Error Type ]],$Q$5))</f>
        <v/>
      </c>
    </row>
    <row r="5158" spans="15:15" x14ac:dyDescent="0.25">
      <c r="O5158" s="20" t="str">
        <f>IF(N5158="","",COUNTIFS(RawData[[Date ]],N5158,RawData[Month List],$Q$6,RawData[Tour/Site],$Q$2,RawData[[Picker ID ]],$Q$3,RawData[Checker ID],$Q$4,RawData[[Error Type ]],$Q$5))</f>
        <v/>
      </c>
    </row>
    <row r="5159" spans="15:15" x14ac:dyDescent="0.25">
      <c r="O5159" s="20" t="str">
        <f>IF(N5159="","",COUNTIFS(RawData[[Date ]],N5159,RawData[Month List],$Q$6,RawData[Tour/Site],$Q$2,RawData[[Picker ID ]],$Q$3,RawData[Checker ID],$Q$4,RawData[[Error Type ]],$Q$5))</f>
        <v/>
      </c>
    </row>
    <row r="5160" spans="15:15" x14ac:dyDescent="0.25">
      <c r="O5160" s="20" t="str">
        <f>IF(N5160="","",COUNTIFS(RawData[[Date ]],N5160,RawData[Month List],$Q$6,RawData[Tour/Site],$Q$2,RawData[[Picker ID ]],$Q$3,RawData[Checker ID],$Q$4,RawData[[Error Type ]],$Q$5))</f>
        <v/>
      </c>
    </row>
    <row r="5161" spans="15:15" x14ac:dyDescent="0.25">
      <c r="O5161" s="20" t="str">
        <f>IF(N5161="","",COUNTIFS(RawData[[Date ]],N5161,RawData[Month List],$Q$6,RawData[Tour/Site],$Q$2,RawData[[Picker ID ]],$Q$3,RawData[Checker ID],$Q$4,RawData[[Error Type ]],$Q$5))</f>
        <v/>
      </c>
    </row>
    <row r="5162" spans="15:15" x14ac:dyDescent="0.25">
      <c r="O5162" s="20" t="str">
        <f>IF(N5162="","",COUNTIFS(RawData[[Date ]],N5162,RawData[Month List],$Q$6,RawData[Tour/Site],$Q$2,RawData[[Picker ID ]],$Q$3,RawData[Checker ID],$Q$4,RawData[[Error Type ]],$Q$5))</f>
        <v/>
      </c>
    </row>
    <row r="5163" spans="15:15" x14ac:dyDescent="0.25">
      <c r="O5163" s="20" t="str">
        <f>IF(N5163="","",COUNTIFS(RawData[[Date ]],N5163,RawData[Month List],$Q$6,RawData[Tour/Site],$Q$2,RawData[[Picker ID ]],$Q$3,RawData[Checker ID],$Q$4,RawData[[Error Type ]],$Q$5))</f>
        <v/>
      </c>
    </row>
    <row r="5164" spans="15:15" x14ac:dyDescent="0.25">
      <c r="O5164" s="20" t="str">
        <f>IF(N5164="","",COUNTIFS(RawData[[Date ]],N5164,RawData[Month List],$Q$6,RawData[Tour/Site],$Q$2,RawData[[Picker ID ]],$Q$3,RawData[Checker ID],$Q$4,RawData[[Error Type ]],$Q$5))</f>
        <v/>
      </c>
    </row>
    <row r="5165" spans="15:15" x14ac:dyDescent="0.25">
      <c r="O5165" s="20" t="str">
        <f>IF(N5165="","",COUNTIFS(RawData[[Date ]],N5165,RawData[Month List],$Q$6,RawData[Tour/Site],$Q$2,RawData[[Picker ID ]],$Q$3,RawData[Checker ID],$Q$4,RawData[[Error Type ]],$Q$5))</f>
        <v/>
      </c>
    </row>
    <row r="5166" spans="15:15" x14ac:dyDescent="0.25">
      <c r="O5166" s="20" t="str">
        <f>IF(N5166="","",COUNTIFS(RawData[[Date ]],N5166,RawData[Month List],$Q$6,RawData[Tour/Site],$Q$2,RawData[[Picker ID ]],$Q$3,RawData[Checker ID],$Q$4,RawData[[Error Type ]],$Q$5))</f>
        <v/>
      </c>
    </row>
    <row r="5167" spans="15:15" x14ac:dyDescent="0.25">
      <c r="O5167" s="20" t="str">
        <f>IF(N5167="","",COUNTIFS(RawData[[Date ]],N5167,RawData[Month List],$Q$6,RawData[Tour/Site],$Q$2,RawData[[Picker ID ]],$Q$3,RawData[Checker ID],$Q$4,RawData[[Error Type ]],$Q$5))</f>
        <v/>
      </c>
    </row>
    <row r="5168" spans="15:15" x14ac:dyDescent="0.25">
      <c r="O5168" s="20" t="str">
        <f>IF(N5168="","",COUNTIFS(RawData[[Date ]],N5168,RawData[Month List],$Q$6,RawData[Tour/Site],$Q$2,RawData[[Picker ID ]],$Q$3,RawData[Checker ID],$Q$4,RawData[[Error Type ]],$Q$5))</f>
        <v/>
      </c>
    </row>
    <row r="5169" spans="15:15" x14ac:dyDescent="0.25">
      <c r="O5169" s="20" t="str">
        <f>IF(N5169="","",COUNTIFS(RawData[[Date ]],N5169,RawData[Month List],$Q$6,RawData[Tour/Site],$Q$2,RawData[[Picker ID ]],$Q$3,RawData[Checker ID],$Q$4,RawData[[Error Type ]],$Q$5))</f>
        <v/>
      </c>
    </row>
    <row r="5170" spans="15:15" x14ac:dyDescent="0.25">
      <c r="O5170" s="20" t="str">
        <f>IF(N5170="","",COUNTIFS(RawData[[Date ]],N5170,RawData[Month List],$Q$6,RawData[Tour/Site],$Q$2,RawData[[Picker ID ]],$Q$3,RawData[Checker ID],$Q$4,RawData[[Error Type ]],$Q$5))</f>
        <v/>
      </c>
    </row>
    <row r="5171" spans="15:15" x14ac:dyDescent="0.25">
      <c r="O5171" s="20" t="str">
        <f>IF(N5171="","",COUNTIFS(RawData[[Date ]],N5171,RawData[Month List],$Q$6,RawData[Tour/Site],$Q$2,RawData[[Picker ID ]],$Q$3,RawData[Checker ID],$Q$4,RawData[[Error Type ]],$Q$5))</f>
        <v/>
      </c>
    </row>
    <row r="5172" spans="15:15" x14ac:dyDescent="0.25">
      <c r="O5172" s="20" t="str">
        <f>IF(N5172="","",COUNTIFS(RawData[[Date ]],N5172,RawData[Month List],$Q$6,RawData[Tour/Site],$Q$2,RawData[[Picker ID ]],$Q$3,RawData[Checker ID],$Q$4,RawData[[Error Type ]],$Q$5))</f>
        <v/>
      </c>
    </row>
    <row r="5173" spans="15:15" x14ac:dyDescent="0.25">
      <c r="O5173" s="20" t="str">
        <f>IF(N5173="","",COUNTIFS(RawData[[Date ]],N5173,RawData[Month List],$Q$6,RawData[Tour/Site],$Q$2,RawData[[Picker ID ]],$Q$3,RawData[Checker ID],$Q$4,RawData[[Error Type ]],$Q$5))</f>
        <v/>
      </c>
    </row>
    <row r="5174" spans="15:15" x14ac:dyDescent="0.25">
      <c r="O5174" s="20" t="str">
        <f>IF(N5174="","",COUNTIFS(RawData[[Date ]],N5174,RawData[Month List],$Q$6,RawData[Tour/Site],$Q$2,RawData[[Picker ID ]],$Q$3,RawData[Checker ID],$Q$4,RawData[[Error Type ]],$Q$5))</f>
        <v/>
      </c>
    </row>
    <row r="5175" spans="15:15" x14ac:dyDescent="0.25">
      <c r="O5175" s="20" t="str">
        <f>IF(N5175="","",COUNTIFS(RawData[[Date ]],N5175,RawData[Month List],$Q$6,RawData[Tour/Site],$Q$2,RawData[[Picker ID ]],$Q$3,RawData[Checker ID],$Q$4,RawData[[Error Type ]],$Q$5))</f>
        <v/>
      </c>
    </row>
    <row r="5176" spans="15:15" x14ac:dyDescent="0.25">
      <c r="O5176" s="20" t="str">
        <f>IF(N5176="","",COUNTIFS(RawData[[Date ]],N5176,RawData[Month List],$Q$6,RawData[Tour/Site],$Q$2,RawData[[Picker ID ]],$Q$3,RawData[Checker ID],$Q$4,RawData[[Error Type ]],$Q$5))</f>
        <v/>
      </c>
    </row>
    <row r="5177" spans="15:15" x14ac:dyDescent="0.25">
      <c r="O5177" s="20" t="str">
        <f>IF(N5177="","",COUNTIFS(RawData[[Date ]],N5177,RawData[Month List],$Q$6,RawData[Tour/Site],$Q$2,RawData[[Picker ID ]],$Q$3,RawData[Checker ID],$Q$4,RawData[[Error Type ]],$Q$5))</f>
        <v/>
      </c>
    </row>
    <row r="5178" spans="15:15" x14ac:dyDescent="0.25">
      <c r="O5178" s="20" t="str">
        <f>IF(N5178="","",COUNTIFS(RawData[[Date ]],N5178,RawData[Month List],$Q$6,RawData[Tour/Site],$Q$2,RawData[[Picker ID ]],$Q$3,RawData[Checker ID],$Q$4,RawData[[Error Type ]],$Q$5))</f>
        <v/>
      </c>
    </row>
    <row r="5179" spans="15:15" x14ac:dyDescent="0.25">
      <c r="O5179" s="20" t="str">
        <f>IF(N5179="","",COUNTIFS(RawData[[Date ]],N5179,RawData[Month List],$Q$6,RawData[Tour/Site],$Q$2,RawData[[Picker ID ]],$Q$3,RawData[Checker ID],$Q$4,RawData[[Error Type ]],$Q$5))</f>
        <v/>
      </c>
    </row>
    <row r="5180" spans="15:15" x14ac:dyDescent="0.25">
      <c r="O5180" s="20" t="str">
        <f>IF(N5180="","",COUNTIFS(RawData[[Date ]],N5180,RawData[Month List],$Q$6,RawData[Tour/Site],$Q$2,RawData[[Picker ID ]],$Q$3,RawData[Checker ID],$Q$4,RawData[[Error Type ]],$Q$5))</f>
        <v/>
      </c>
    </row>
    <row r="5181" spans="15:15" x14ac:dyDescent="0.25">
      <c r="O5181" s="20" t="str">
        <f>IF(N5181="","",COUNTIFS(RawData[[Date ]],N5181,RawData[Month List],$Q$6,RawData[Tour/Site],$Q$2,RawData[[Picker ID ]],$Q$3,RawData[Checker ID],$Q$4,RawData[[Error Type ]],$Q$5))</f>
        <v/>
      </c>
    </row>
    <row r="5182" spans="15:15" x14ac:dyDescent="0.25">
      <c r="O5182" s="20" t="str">
        <f>IF(N5182="","",COUNTIFS(RawData[[Date ]],N5182,RawData[Month List],$Q$6,RawData[Tour/Site],$Q$2,RawData[[Picker ID ]],$Q$3,RawData[Checker ID],$Q$4,RawData[[Error Type ]],$Q$5))</f>
        <v/>
      </c>
    </row>
    <row r="5183" spans="15:15" x14ac:dyDescent="0.25">
      <c r="O5183" s="20" t="str">
        <f>IF(N5183="","",COUNTIFS(RawData[[Date ]],N5183,RawData[Month List],$Q$6,RawData[Tour/Site],$Q$2,RawData[[Picker ID ]],$Q$3,RawData[Checker ID],$Q$4,RawData[[Error Type ]],$Q$5))</f>
        <v/>
      </c>
    </row>
    <row r="5184" spans="15:15" x14ac:dyDescent="0.25">
      <c r="O5184" s="20" t="str">
        <f>IF(N5184="","",COUNTIFS(RawData[[Date ]],N5184,RawData[Month List],$Q$6,RawData[Tour/Site],$Q$2,RawData[[Picker ID ]],$Q$3,RawData[Checker ID],$Q$4,RawData[[Error Type ]],$Q$5))</f>
        <v/>
      </c>
    </row>
    <row r="5185" spans="15:15" x14ac:dyDescent="0.25">
      <c r="O5185" s="20" t="str">
        <f>IF(N5185="","",COUNTIFS(RawData[[Date ]],N5185,RawData[Month List],$Q$6,RawData[Tour/Site],$Q$2,RawData[[Picker ID ]],$Q$3,RawData[Checker ID],$Q$4,RawData[[Error Type ]],$Q$5))</f>
        <v/>
      </c>
    </row>
    <row r="5186" spans="15:15" x14ac:dyDescent="0.25">
      <c r="O5186" s="20" t="str">
        <f>IF(N5186="","",COUNTIFS(RawData[[Date ]],N5186,RawData[Month List],$Q$6,RawData[Tour/Site],$Q$2,RawData[[Picker ID ]],$Q$3,RawData[Checker ID],$Q$4,RawData[[Error Type ]],$Q$5))</f>
        <v/>
      </c>
    </row>
    <row r="5187" spans="15:15" x14ac:dyDescent="0.25">
      <c r="O5187" s="20" t="str">
        <f>IF(N5187="","",COUNTIFS(RawData[[Date ]],N5187,RawData[Month List],$Q$6,RawData[Tour/Site],$Q$2,RawData[[Picker ID ]],$Q$3,RawData[Checker ID],$Q$4,RawData[[Error Type ]],$Q$5))</f>
        <v/>
      </c>
    </row>
    <row r="5188" spans="15:15" x14ac:dyDescent="0.25">
      <c r="O5188" s="20" t="str">
        <f>IF(N5188="","",COUNTIFS(RawData[[Date ]],N5188,RawData[Month List],$Q$6,RawData[Tour/Site],$Q$2,RawData[[Picker ID ]],$Q$3,RawData[Checker ID],$Q$4,RawData[[Error Type ]],$Q$5))</f>
        <v/>
      </c>
    </row>
    <row r="5189" spans="15:15" x14ac:dyDescent="0.25">
      <c r="O5189" s="20" t="str">
        <f>IF(N5189="","",COUNTIFS(RawData[[Date ]],N5189,RawData[Month List],$Q$6,RawData[Tour/Site],$Q$2,RawData[[Picker ID ]],$Q$3,RawData[Checker ID],$Q$4,RawData[[Error Type ]],$Q$5))</f>
        <v/>
      </c>
    </row>
    <row r="5190" spans="15:15" x14ac:dyDescent="0.25">
      <c r="O5190" s="20" t="str">
        <f>IF(N5190="","",COUNTIFS(RawData[[Date ]],N5190,RawData[Month List],$Q$6,RawData[Tour/Site],$Q$2,RawData[[Picker ID ]],$Q$3,RawData[Checker ID],$Q$4,RawData[[Error Type ]],$Q$5))</f>
        <v/>
      </c>
    </row>
    <row r="5191" spans="15:15" x14ac:dyDescent="0.25">
      <c r="O5191" s="20" t="str">
        <f>IF(N5191="","",COUNTIFS(RawData[[Date ]],N5191,RawData[Month List],$Q$6,RawData[Tour/Site],$Q$2,RawData[[Picker ID ]],$Q$3,RawData[Checker ID],$Q$4,RawData[[Error Type ]],$Q$5))</f>
        <v/>
      </c>
    </row>
    <row r="5192" spans="15:15" x14ac:dyDescent="0.25">
      <c r="O5192" s="20" t="str">
        <f>IF(N5192="","",COUNTIFS(RawData[[Date ]],N5192,RawData[Month List],$Q$6,RawData[Tour/Site],$Q$2,RawData[[Picker ID ]],$Q$3,RawData[Checker ID],$Q$4,RawData[[Error Type ]],$Q$5))</f>
        <v/>
      </c>
    </row>
    <row r="5193" spans="15:15" x14ac:dyDescent="0.25">
      <c r="O5193" s="20" t="str">
        <f>IF(N5193="","",COUNTIFS(RawData[[Date ]],N5193,RawData[Month List],$Q$6,RawData[Tour/Site],$Q$2,RawData[[Picker ID ]],$Q$3,RawData[Checker ID],$Q$4,RawData[[Error Type ]],$Q$5))</f>
        <v/>
      </c>
    </row>
    <row r="5194" spans="15:15" x14ac:dyDescent="0.25">
      <c r="O5194" s="20" t="str">
        <f>IF(N5194="","",COUNTIFS(RawData[[Date ]],N5194,RawData[Month List],$Q$6,RawData[Tour/Site],$Q$2,RawData[[Picker ID ]],$Q$3,RawData[Checker ID],$Q$4,RawData[[Error Type ]],$Q$5))</f>
        <v/>
      </c>
    </row>
    <row r="5195" spans="15:15" x14ac:dyDescent="0.25">
      <c r="O5195" s="20" t="str">
        <f>IF(N5195="","",COUNTIFS(RawData[[Date ]],N5195,RawData[Month List],$Q$6,RawData[Tour/Site],$Q$2,RawData[[Picker ID ]],$Q$3,RawData[Checker ID],$Q$4,RawData[[Error Type ]],$Q$5))</f>
        <v/>
      </c>
    </row>
    <row r="5196" spans="15:15" x14ac:dyDescent="0.25">
      <c r="O5196" s="20" t="str">
        <f>IF(N5196="","",COUNTIFS(RawData[[Date ]],N5196,RawData[Month List],$Q$6,RawData[Tour/Site],$Q$2,RawData[[Picker ID ]],$Q$3,RawData[Checker ID],$Q$4,RawData[[Error Type ]],$Q$5))</f>
        <v/>
      </c>
    </row>
    <row r="5197" spans="15:15" x14ac:dyDescent="0.25">
      <c r="O5197" s="20" t="str">
        <f>IF(N5197="","",COUNTIFS(RawData[[Date ]],N5197,RawData[Month List],$Q$6,RawData[Tour/Site],$Q$2,RawData[[Picker ID ]],$Q$3,RawData[Checker ID],$Q$4,RawData[[Error Type ]],$Q$5))</f>
        <v/>
      </c>
    </row>
    <row r="5198" spans="15:15" x14ac:dyDescent="0.25">
      <c r="O5198" s="20" t="str">
        <f>IF(N5198="","",COUNTIFS(RawData[[Date ]],N5198,RawData[Month List],$Q$6,RawData[Tour/Site],$Q$2,RawData[[Picker ID ]],$Q$3,RawData[Checker ID],$Q$4,RawData[[Error Type ]],$Q$5))</f>
        <v/>
      </c>
    </row>
    <row r="5199" spans="15:15" x14ac:dyDescent="0.25">
      <c r="O5199" s="20" t="str">
        <f>IF(N5199="","",COUNTIFS(RawData[[Date ]],N5199,RawData[Month List],$Q$6,RawData[Tour/Site],$Q$2,RawData[[Picker ID ]],$Q$3,RawData[Checker ID],$Q$4,RawData[[Error Type ]],$Q$5))</f>
        <v/>
      </c>
    </row>
    <row r="5200" spans="15:15" x14ac:dyDescent="0.25">
      <c r="O5200" s="20" t="str">
        <f>IF(N5200="","",COUNTIFS(RawData[[Date ]],N5200,RawData[Month List],$Q$6,RawData[Tour/Site],$Q$2,RawData[[Picker ID ]],$Q$3,RawData[Checker ID],$Q$4,RawData[[Error Type ]],$Q$5))</f>
        <v/>
      </c>
    </row>
    <row r="5201" spans="15:15" x14ac:dyDescent="0.25">
      <c r="O5201" s="20" t="str">
        <f>IF(N5201="","",COUNTIFS(RawData[[Date ]],N5201,RawData[Month List],$Q$6,RawData[Tour/Site],$Q$2,RawData[[Picker ID ]],$Q$3,RawData[Checker ID],$Q$4,RawData[[Error Type ]],$Q$5))</f>
        <v/>
      </c>
    </row>
    <row r="5202" spans="15:15" x14ac:dyDescent="0.25">
      <c r="O5202" s="20" t="str">
        <f>IF(N5202="","",COUNTIFS(RawData[[Date ]],N5202,RawData[Month List],$Q$6,RawData[Tour/Site],$Q$2,RawData[[Picker ID ]],$Q$3,RawData[Checker ID],$Q$4,RawData[[Error Type ]],$Q$5))</f>
        <v/>
      </c>
    </row>
    <row r="5203" spans="15:15" x14ac:dyDescent="0.25">
      <c r="O5203" s="20" t="str">
        <f>IF(N5203="","",COUNTIFS(RawData[[Date ]],N5203,RawData[Month List],$Q$6,RawData[Tour/Site],$Q$2,RawData[[Picker ID ]],$Q$3,RawData[Checker ID],$Q$4,RawData[[Error Type ]],$Q$5))</f>
        <v/>
      </c>
    </row>
    <row r="5204" spans="15:15" x14ac:dyDescent="0.25">
      <c r="O5204" s="20" t="str">
        <f>IF(N5204="","",COUNTIFS(RawData[[Date ]],N5204,RawData[Month List],$Q$6,RawData[Tour/Site],$Q$2,RawData[[Picker ID ]],$Q$3,RawData[Checker ID],$Q$4,RawData[[Error Type ]],$Q$5))</f>
        <v/>
      </c>
    </row>
    <row r="5205" spans="15:15" x14ac:dyDescent="0.25">
      <c r="O5205" s="20" t="str">
        <f>IF(N5205="","",COUNTIFS(RawData[[Date ]],N5205,RawData[Month List],$Q$6,RawData[Tour/Site],$Q$2,RawData[[Picker ID ]],$Q$3,RawData[Checker ID],$Q$4,RawData[[Error Type ]],$Q$5))</f>
        <v/>
      </c>
    </row>
    <row r="5206" spans="15:15" x14ac:dyDescent="0.25">
      <c r="O5206" s="20" t="str">
        <f>IF(N5206="","",COUNTIFS(RawData[[Date ]],N5206,RawData[Month List],$Q$6,RawData[Tour/Site],$Q$2,RawData[[Picker ID ]],$Q$3,RawData[Checker ID],$Q$4,RawData[[Error Type ]],$Q$5))</f>
        <v/>
      </c>
    </row>
    <row r="5207" spans="15:15" x14ac:dyDescent="0.25">
      <c r="O5207" s="20" t="str">
        <f>IF(N5207="","",COUNTIFS(RawData[[Date ]],N5207,RawData[Month List],$Q$6,RawData[Tour/Site],$Q$2,RawData[[Picker ID ]],$Q$3,RawData[Checker ID],$Q$4,RawData[[Error Type ]],$Q$5))</f>
        <v/>
      </c>
    </row>
    <row r="5208" spans="15:15" x14ac:dyDescent="0.25">
      <c r="O5208" s="20" t="str">
        <f>IF(N5208="","",COUNTIFS(RawData[[Date ]],N5208,RawData[Month List],$Q$6,RawData[Tour/Site],$Q$2,RawData[[Picker ID ]],$Q$3,RawData[Checker ID],$Q$4,RawData[[Error Type ]],$Q$5))</f>
        <v/>
      </c>
    </row>
    <row r="5209" spans="15:15" x14ac:dyDescent="0.25">
      <c r="O5209" s="20" t="str">
        <f>IF(N5209="","",COUNTIFS(RawData[[Date ]],N5209,RawData[Month List],$Q$6,RawData[Tour/Site],$Q$2,RawData[[Picker ID ]],$Q$3,RawData[Checker ID],$Q$4,RawData[[Error Type ]],$Q$5))</f>
        <v/>
      </c>
    </row>
    <row r="5210" spans="15:15" x14ac:dyDescent="0.25">
      <c r="O5210" s="20" t="str">
        <f>IF(N5210="","",COUNTIFS(RawData[[Date ]],N5210,RawData[Month List],$Q$6,RawData[Tour/Site],$Q$2,RawData[[Picker ID ]],$Q$3,RawData[Checker ID],$Q$4,RawData[[Error Type ]],$Q$5))</f>
        <v/>
      </c>
    </row>
    <row r="5211" spans="15:15" x14ac:dyDescent="0.25">
      <c r="O5211" s="20" t="str">
        <f>IF(N5211="","",COUNTIFS(RawData[[Date ]],N5211,RawData[Month List],$Q$6,RawData[Tour/Site],$Q$2,RawData[[Picker ID ]],$Q$3,RawData[Checker ID],$Q$4,RawData[[Error Type ]],$Q$5))</f>
        <v/>
      </c>
    </row>
    <row r="5212" spans="15:15" x14ac:dyDescent="0.25">
      <c r="O5212" s="20" t="str">
        <f>IF(N5212="","",COUNTIFS(RawData[[Date ]],N5212,RawData[Month List],$Q$6,RawData[Tour/Site],$Q$2,RawData[[Picker ID ]],$Q$3,RawData[Checker ID],$Q$4,RawData[[Error Type ]],$Q$5))</f>
        <v/>
      </c>
    </row>
    <row r="5213" spans="15:15" x14ac:dyDescent="0.25">
      <c r="O5213" s="20" t="str">
        <f>IF(N5213="","",COUNTIFS(RawData[[Date ]],N5213,RawData[Month List],$Q$6,RawData[Tour/Site],$Q$2,RawData[[Picker ID ]],$Q$3,RawData[Checker ID],$Q$4,RawData[[Error Type ]],$Q$5))</f>
        <v/>
      </c>
    </row>
    <row r="5214" spans="15:15" x14ac:dyDescent="0.25">
      <c r="O5214" s="20" t="str">
        <f>IF(N5214="","",COUNTIFS(RawData[[Date ]],N5214,RawData[Month List],$Q$6,RawData[Tour/Site],$Q$2,RawData[[Picker ID ]],$Q$3,RawData[Checker ID],$Q$4,RawData[[Error Type ]],$Q$5))</f>
        <v/>
      </c>
    </row>
    <row r="5215" spans="15:15" x14ac:dyDescent="0.25">
      <c r="O5215" s="20" t="str">
        <f>IF(N5215="","",COUNTIFS(RawData[[Date ]],N5215,RawData[Month List],$Q$6,RawData[Tour/Site],$Q$2,RawData[[Picker ID ]],$Q$3,RawData[Checker ID],$Q$4,RawData[[Error Type ]],$Q$5))</f>
        <v/>
      </c>
    </row>
    <row r="5216" spans="15:15" x14ac:dyDescent="0.25">
      <c r="O5216" s="20" t="str">
        <f>IF(N5216="","",COUNTIFS(RawData[[Date ]],N5216,RawData[Month List],$Q$6,RawData[Tour/Site],$Q$2,RawData[[Picker ID ]],$Q$3,RawData[Checker ID],$Q$4,RawData[[Error Type ]],$Q$5))</f>
        <v/>
      </c>
    </row>
    <row r="5217" spans="15:15" x14ac:dyDescent="0.25">
      <c r="O5217" s="20" t="str">
        <f>IF(N5217="","",COUNTIFS(RawData[[Date ]],N5217,RawData[Month List],$Q$6,RawData[Tour/Site],$Q$2,RawData[[Picker ID ]],$Q$3,RawData[Checker ID],$Q$4,RawData[[Error Type ]],$Q$5))</f>
        <v/>
      </c>
    </row>
    <row r="5218" spans="15:15" x14ac:dyDescent="0.25">
      <c r="O5218" s="20" t="str">
        <f>IF(N5218="","",COUNTIFS(RawData[[Date ]],N5218,RawData[Month List],$Q$6,RawData[Tour/Site],$Q$2,RawData[[Picker ID ]],$Q$3,RawData[Checker ID],$Q$4,RawData[[Error Type ]],$Q$5))</f>
        <v/>
      </c>
    </row>
    <row r="5219" spans="15:15" x14ac:dyDescent="0.25">
      <c r="O5219" s="20" t="str">
        <f>IF(N5219="","",COUNTIFS(RawData[[Date ]],N5219,RawData[Month List],$Q$6,RawData[Tour/Site],$Q$2,RawData[[Picker ID ]],$Q$3,RawData[Checker ID],$Q$4,RawData[[Error Type ]],$Q$5))</f>
        <v/>
      </c>
    </row>
    <row r="5220" spans="15:15" x14ac:dyDescent="0.25">
      <c r="O5220" s="20" t="str">
        <f>IF(N5220="","",COUNTIFS(RawData[[Date ]],N5220,RawData[Month List],$Q$6,RawData[Tour/Site],$Q$2,RawData[[Picker ID ]],$Q$3,RawData[Checker ID],$Q$4,RawData[[Error Type ]],$Q$5))</f>
        <v/>
      </c>
    </row>
    <row r="5221" spans="15:15" x14ac:dyDescent="0.25">
      <c r="O5221" s="20" t="str">
        <f>IF(N5221="","",COUNTIFS(RawData[[Date ]],N5221,RawData[Month List],$Q$6,RawData[Tour/Site],$Q$2,RawData[[Picker ID ]],$Q$3,RawData[Checker ID],$Q$4,RawData[[Error Type ]],$Q$5))</f>
        <v/>
      </c>
    </row>
    <row r="5222" spans="15:15" x14ac:dyDescent="0.25">
      <c r="O5222" s="20" t="str">
        <f>IF(N5222="","",COUNTIFS(RawData[[Date ]],N5222,RawData[Month List],$Q$6,RawData[Tour/Site],$Q$2,RawData[[Picker ID ]],$Q$3,RawData[Checker ID],$Q$4,RawData[[Error Type ]],$Q$5))</f>
        <v/>
      </c>
    </row>
    <row r="5223" spans="15:15" x14ac:dyDescent="0.25">
      <c r="O5223" s="20" t="str">
        <f>IF(N5223="","",COUNTIFS(RawData[[Date ]],N5223,RawData[Month List],$Q$6,RawData[Tour/Site],$Q$2,RawData[[Picker ID ]],$Q$3,RawData[Checker ID],$Q$4,RawData[[Error Type ]],$Q$5))</f>
        <v/>
      </c>
    </row>
    <row r="5224" spans="15:15" x14ac:dyDescent="0.25">
      <c r="O5224" s="20" t="str">
        <f>IF(N5224="","",COUNTIFS(RawData[[Date ]],N5224,RawData[Month List],$Q$6,RawData[Tour/Site],$Q$2,RawData[[Picker ID ]],$Q$3,RawData[Checker ID],$Q$4,RawData[[Error Type ]],$Q$5))</f>
        <v/>
      </c>
    </row>
    <row r="5225" spans="15:15" x14ac:dyDescent="0.25">
      <c r="O5225" s="20" t="str">
        <f>IF(N5225="","",COUNTIFS(RawData[[Date ]],N5225,RawData[Month List],$Q$6,RawData[Tour/Site],$Q$2,RawData[[Picker ID ]],$Q$3,RawData[Checker ID],$Q$4,RawData[[Error Type ]],$Q$5))</f>
        <v/>
      </c>
    </row>
    <row r="5226" spans="15:15" x14ac:dyDescent="0.25">
      <c r="O5226" s="20" t="str">
        <f>IF(N5226="","",COUNTIFS(RawData[[Date ]],N5226,RawData[Month List],$Q$6,RawData[Tour/Site],$Q$2,RawData[[Picker ID ]],$Q$3,RawData[Checker ID],$Q$4,RawData[[Error Type ]],$Q$5))</f>
        <v/>
      </c>
    </row>
    <row r="5227" spans="15:15" x14ac:dyDescent="0.25">
      <c r="O5227" s="20" t="str">
        <f>IF(N5227="","",COUNTIFS(RawData[[Date ]],N5227,RawData[Month List],$Q$6,RawData[Tour/Site],$Q$2,RawData[[Picker ID ]],$Q$3,RawData[Checker ID],$Q$4,RawData[[Error Type ]],$Q$5))</f>
        <v/>
      </c>
    </row>
    <row r="5228" spans="15:15" x14ac:dyDescent="0.25">
      <c r="O5228" s="20" t="str">
        <f>IF(N5228="","",COUNTIFS(RawData[[Date ]],N5228,RawData[Month List],$Q$6,RawData[Tour/Site],$Q$2,RawData[[Picker ID ]],$Q$3,RawData[Checker ID],$Q$4,RawData[[Error Type ]],$Q$5))</f>
        <v/>
      </c>
    </row>
    <row r="5229" spans="15:15" x14ac:dyDescent="0.25">
      <c r="O5229" s="20" t="str">
        <f>IF(N5229="","",COUNTIFS(RawData[[Date ]],N5229,RawData[Month List],$Q$6,RawData[Tour/Site],$Q$2,RawData[[Picker ID ]],$Q$3,RawData[Checker ID],$Q$4,RawData[[Error Type ]],$Q$5))</f>
        <v/>
      </c>
    </row>
    <row r="5230" spans="15:15" x14ac:dyDescent="0.25">
      <c r="O5230" s="20" t="str">
        <f>IF(N5230="","",COUNTIFS(RawData[[Date ]],N5230,RawData[Month List],$Q$6,RawData[Tour/Site],$Q$2,RawData[[Picker ID ]],$Q$3,RawData[Checker ID],$Q$4,RawData[[Error Type ]],$Q$5))</f>
        <v/>
      </c>
    </row>
    <row r="5231" spans="15:15" x14ac:dyDescent="0.25">
      <c r="O5231" s="20" t="str">
        <f>IF(N5231="","",COUNTIFS(RawData[[Date ]],N5231,RawData[Month List],$Q$6,RawData[Tour/Site],$Q$2,RawData[[Picker ID ]],$Q$3,RawData[Checker ID],$Q$4,RawData[[Error Type ]],$Q$5))</f>
        <v/>
      </c>
    </row>
    <row r="5232" spans="15:15" x14ac:dyDescent="0.25">
      <c r="O5232" s="20" t="str">
        <f>IF(N5232="","",COUNTIFS(RawData[[Date ]],N5232,RawData[Month List],$Q$6,RawData[Tour/Site],$Q$2,RawData[[Picker ID ]],$Q$3,RawData[Checker ID],$Q$4,RawData[[Error Type ]],$Q$5))</f>
        <v/>
      </c>
    </row>
    <row r="5233" spans="15:15" x14ac:dyDescent="0.25">
      <c r="O5233" s="20" t="str">
        <f>IF(N5233="","",COUNTIFS(RawData[[Date ]],N5233,RawData[Month List],$Q$6,RawData[Tour/Site],$Q$2,RawData[[Picker ID ]],$Q$3,RawData[Checker ID],$Q$4,RawData[[Error Type ]],$Q$5))</f>
        <v/>
      </c>
    </row>
    <row r="5234" spans="15:15" x14ac:dyDescent="0.25">
      <c r="O5234" s="20" t="str">
        <f>IF(N5234="","",COUNTIFS(RawData[[Date ]],N5234,RawData[Month List],$Q$6,RawData[Tour/Site],$Q$2,RawData[[Picker ID ]],$Q$3,RawData[Checker ID],$Q$4,RawData[[Error Type ]],$Q$5))</f>
        <v/>
      </c>
    </row>
    <row r="5235" spans="15:15" x14ac:dyDescent="0.25">
      <c r="O5235" s="20" t="str">
        <f>IF(N5235="","",COUNTIFS(RawData[[Date ]],N5235,RawData[Month List],$Q$6,RawData[Tour/Site],$Q$2,RawData[[Picker ID ]],$Q$3,RawData[Checker ID],$Q$4,RawData[[Error Type ]],$Q$5))</f>
        <v/>
      </c>
    </row>
    <row r="5236" spans="15:15" x14ac:dyDescent="0.25">
      <c r="O5236" s="20" t="str">
        <f>IF(N5236="","",COUNTIFS(RawData[[Date ]],N5236,RawData[Month List],$Q$6,RawData[Tour/Site],$Q$2,RawData[[Picker ID ]],$Q$3,RawData[Checker ID],$Q$4,RawData[[Error Type ]],$Q$5))</f>
        <v/>
      </c>
    </row>
    <row r="5237" spans="15:15" x14ac:dyDescent="0.25">
      <c r="O5237" s="20" t="str">
        <f>IF(N5237="","",COUNTIFS(RawData[[Date ]],N5237,RawData[Month List],$Q$6,RawData[Tour/Site],$Q$2,RawData[[Picker ID ]],$Q$3,RawData[Checker ID],$Q$4,RawData[[Error Type ]],$Q$5))</f>
        <v/>
      </c>
    </row>
    <row r="5238" spans="15:15" x14ac:dyDescent="0.25">
      <c r="O5238" s="20" t="str">
        <f>IF(N5238="","",COUNTIFS(RawData[[Date ]],N5238,RawData[Month List],$Q$6,RawData[Tour/Site],$Q$2,RawData[[Picker ID ]],$Q$3,RawData[Checker ID],$Q$4,RawData[[Error Type ]],$Q$5))</f>
        <v/>
      </c>
    </row>
    <row r="5239" spans="15:15" x14ac:dyDescent="0.25">
      <c r="O5239" s="20" t="str">
        <f>IF(N5239="","",COUNTIFS(RawData[[Date ]],N5239,RawData[Month List],$Q$6,RawData[Tour/Site],$Q$2,RawData[[Picker ID ]],$Q$3,RawData[Checker ID],$Q$4,RawData[[Error Type ]],$Q$5))</f>
        <v/>
      </c>
    </row>
    <row r="5240" spans="15:15" x14ac:dyDescent="0.25">
      <c r="O5240" s="20" t="str">
        <f>IF(N5240="","",COUNTIFS(RawData[[Date ]],N5240,RawData[Month List],$Q$6,RawData[Tour/Site],$Q$2,RawData[[Picker ID ]],$Q$3,RawData[Checker ID],$Q$4,RawData[[Error Type ]],$Q$5))</f>
        <v/>
      </c>
    </row>
    <row r="5241" spans="15:15" x14ac:dyDescent="0.25">
      <c r="O5241" s="20" t="str">
        <f>IF(N5241="","",COUNTIFS(RawData[[Date ]],N5241,RawData[Month List],$Q$6,RawData[Tour/Site],$Q$2,RawData[[Picker ID ]],$Q$3,RawData[Checker ID],$Q$4,RawData[[Error Type ]],$Q$5))</f>
        <v/>
      </c>
    </row>
    <row r="5242" spans="15:15" x14ac:dyDescent="0.25">
      <c r="O5242" s="20" t="str">
        <f>IF(N5242="","",COUNTIFS(RawData[[Date ]],N5242,RawData[Month List],$Q$6,RawData[Tour/Site],$Q$2,RawData[[Picker ID ]],$Q$3,RawData[Checker ID],$Q$4,RawData[[Error Type ]],$Q$5))</f>
        <v/>
      </c>
    </row>
    <row r="5243" spans="15:15" x14ac:dyDescent="0.25">
      <c r="O5243" s="20" t="str">
        <f>IF(N5243="","",COUNTIFS(RawData[[Date ]],N5243,RawData[Month List],$Q$6,RawData[Tour/Site],$Q$2,RawData[[Picker ID ]],$Q$3,RawData[Checker ID],$Q$4,RawData[[Error Type ]],$Q$5))</f>
        <v/>
      </c>
    </row>
    <row r="5244" spans="15:15" x14ac:dyDescent="0.25">
      <c r="O5244" s="20" t="str">
        <f>IF(N5244="","",COUNTIFS(RawData[[Date ]],N5244,RawData[Month List],$Q$6,RawData[Tour/Site],$Q$2,RawData[[Picker ID ]],$Q$3,RawData[Checker ID],$Q$4,RawData[[Error Type ]],$Q$5))</f>
        <v/>
      </c>
    </row>
    <row r="5245" spans="15:15" x14ac:dyDescent="0.25">
      <c r="O5245" s="20" t="str">
        <f>IF(N5245="","",COUNTIFS(RawData[[Date ]],N5245,RawData[Month List],$Q$6,RawData[Tour/Site],$Q$2,RawData[[Picker ID ]],$Q$3,RawData[Checker ID],$Q$4,RawData[[Error Type ]],$Q$5))</f>
        <v/>
      </c>
    </row>
    <row r="5246" spans="15:15" x14ac:dyDescent="0.25">
      <c r="O5246" s="20" t="str">
        <f>IF(N5246="","",COUNTIFS(RawData[[Date ]],N5246,RawData[Month List],$Q$6,RawData[Tour/Site],$Q$2,RawData[[Picker ID ]],$Q$3,RawData[Checker ID],$Q$4,RawData[[Error Type ]],$Q$5))</f>
        <v/>
      </c>
    </row>
    <row r="5247" spans="15:15" x14ac:dyDescent="0.25">
      <c r="O5247" s="20" t="str">
        <f>IF(N5247="","",COUNTIFS(RawData[[Date ]],N5247,RawData[Month List],$Q$6,RawData[Tour/Site],$Q$2,RawData[[Picker ID ]],$Q$3,RawData[Checker ID],$Q$4,RawData[[Error Type ]],$Q$5))</f>
        <v/>
      </c>
    </row>
    <row r="5248" spans="15:15" x14ac:dyDescent="0.25">
      <c r="O5248" s="20" t="str">
        <f>IF(N5248="","",COUNTIFS(RawData[[Date ]],N5248,RawData[Month List],$Q$6,RawData[Tour/Site],$Q$2,RawData[[Picker ID ]],$Q$3,RawData[Checker ID],$Q$4,RawData[[Error Type ]],$Q$5))</f>
        <v/>
      </c>
    </row>
    <row r="5249" spans="15:15" x14ac:dyDescent="0.25">
      <c r="O5249" s="20" t="str">
        <f>IF(N5249="","",COUNTIFS(RawData[[Date ]],N5249,RawData[Month List],$Q$6,RawData[Tour/Site],$Q$2,RawData[[Picker ID ]],$Q$3,RawData[Checker ID],$Q$4,RawData[[Error Type ]],$Q$5))</f>
        <v/>
      </c>
    </row>
    <row r="5250" spans="15:15" x14ac:dyDescent="0.25">
      <c r="O5250" s="20" t="str">
        <f>IF(N5250="","",COUNTIFS(RawData[[Date ]],N5250,RawData[Month List],$Q$6,RawData[Tour/Site],$Q$2,RawData[[Picker ID ]],$Q$3,RawData[Checker ID],$Q$4,RawData[[Error Type ]],$Q$5))</f>
        <v/>
      </c>
    </row>
    <row r="5251" spans="15:15" x14ac:dyDescent="0.25">
      <c r="O5251" s="20" t="str">
        <f>IF(N5251="","",COUNTIFS(RawData[[Date ]],N5251,RawData[Month List],$Q$6,RawData[Tour/Site],$Q$2,RawData[[Picker ID ]],$Q$3,RawData[Checker ID],$Q$4,RawData[[Error Type ]],$Q$5))</f>
        <v/>
      </c>
    </row>
    <row r="5252" spans="15:15" x14ac:dyDescent="0.25">
      <c r="O5252" s="20" t="str">
        <f>IF(N5252="","",COUNTIFS(RawData[[Date ]],N5252,RawData[Month List],$Q$6,RawData[Tour/Site],$Q$2,RawData[[Picker ID ]],$Q$3,RawData[Checker ID],$Q$4,RawData[[Error Type ]],$Q$5))</f>
        <v/>
      </c>
    </row>
    <row r="5253" spans="15:15" x14ac:dyDescent="0.25">
      <c r="O5253" s="20" t="str">
        <f>IF(N5253="","",COUNTIFS(RawData[[Date ]],N5253,RawData[Month List],$Q$6,RawData[Tour/Site],$Q$2,RawData[[Picker ID ]],$Q$3,RawData[Checker ID],$Q$4,RawData[[Error Type ]],$Q$5))</f>
        <v/>
      </c>
    </row>
    <row r="5254" spans="15:15" x14ac:dyDescent="0.25">
      <c r="O5254" s="20" t="str">
        <f>IF(N5254="","",COUNTIFS(RawData[[Date ]],N5254,RawData[Month List],$Q$6,RawData[Tour/Site],$Q$2,RawData[[Picker ID ]],$Q$3,RawData[Checker ID],$Q$4,RawData[[Error Type ]],$Q$5))</f>
        <v/>
      </c>
    </row>
    <row r="5255" spans="15:15" x14ac:dyDescent="0.25">
      <c r="O5255" s="20" t="str">
        <f>IF(N5255="","",COUNTIFS(RawData[[Date ]],N5255,RawData[Month List],$Q$6,RawData[Tour/Site],$Q$2,RawData[[Picker ID ]],$Q$3,RawData[Checker ID],$Q$4,RawData[[Error Type ]],$Q$5))</f>
        <v/>
      </c>
    </row>
    <row r="5256" spans="15:15" x14ac:dyDescent="0.25">
      <c r="O5256" s="20" t="str">
        <f>IF(N5256="","",COUNTIFS(RawData[[Date ]],N5256,RawData[Month List],$Q$6,RawData[Tour/Site],$Q$2,RawData[[Picker ID ]],$Q$3,RawData[Checker ID],$Q$4,RawData[[Error Type ]],$Q$5))</f>
        <v/>
      </c>
    </row>
    <row r="5257" spans="15:15" x14ac:dyDescent="0.25">
      <c r="O5257" s="20" t="str">
        <f>IF(N5257="","",COUNTIFS(RawData[[Date ]],N5257,RawData[Month List],$Q$6,RawData[Tour/Site],$Q$2,RawData[[Picker ID ]],$Q$3,RawData[Checker ID],$Q$4,RawData[[Error Type ]],$Q$5))</f>
        <v/>
      </c>
    </row>
    <row r="5258" spans="15:15" x14ac:dyDescent="0.25">
      <c r="O5258" s="20" t="str">
        <f>IF(N5258="","",COUNTIFS(RawData[[Date ]],N5258,RawData[Month List],$Q$6,RawData[Tour/Site],$Q$2,RawData[[Picker ID ]],$Q$3,RawData[Checker ID],$Q$4,RawData[[Error Type ]],$Q$5))</f>
        <v/>
      </c>
    </row>
    <row r="5259" spans="15:15" x14ac:dyDescent="0.25">
      <c r="O5259" s="20" t="str">
        <f>IF(N5259="","",COUNTIFS(RawData[[Date ]],N5259,RawData[Month List],$Q$6,RawData[Tour/Site],$Q$2,RawData[[Picker ID ]],$Q$3,RawData[Checker ID],$Q$4,RawData[[Error Type ]],$Q$5))</f>
        <v/>
      </c>
    </row>
    <row r="5260" spans="15:15" x14ac:dyDescent="0.25">
      <c r="O5260" s="20" t="str">
        <f>IF(N5260="","",COUNTIFS(RawData[[Date ]],N5260,RawData[Month List],$Q$6,RawData[Tour/Site],$Q$2,RawData[[Picker ID ]],$Q$3,RawData[Checker ID],$Q$4,RawData[[Error Type ]],$Q$5))</f>
        <v/>
      </c>
    </row>
    <row r="5261" spans="15:15" x14ac:dyDescent="0.25">
      <c r="O5261" s="20" t="str">
        <f>IF(N5261="","",COUNTIFS(RawData[[Date ]],N5261,RawData[Month List],$Q$6,RawData[Tour/Site],$Q$2,RawData[[Picker ID ]],$Q$3,RawData[Checker ID],$Q$4,RawData[[Error Type ]],$Q$5))</f>
        <v/>
      </c>
    </row>
    <row r="5262" spans="15:15" x14ac:dyDescent="0.25">
      <c r="O5262" s="20" t="str">
        <f>IF(N5262="","",COUNTIFS(RawData[[Date ]],N5262,RawData[Month List],$Q$6,RawData[Tour/Site],$Q$2,RawData[[Picker ID ]],$Q$3,RawData[Checker ID],$Q$4,RawData[[Error Type ]],$Q$5))</f>
        <v/>
      </c>
    </row>
    <row r="5263" spans="15:15" x14ac:dyDescent="0.25">
      <c r="O5263" s="20" t="str">
        <f>IF(N5263="","",COUNTIFS(RawData[[Date ]],N5263,RawData[Month List],$Q$6,RawData[Tour/Site],$Q$2,RawData[[Picker ID ]],$Q$3,RawData[Checker ID],$Q$4,RawData[[Error Type ]],$Q$5))</f>
        <v/>
      </c>
    </row>
    <row r="5264" spans="15:15" x14ac:dyDescent="0.25">
      <c r="O5264" s="20" t="str">
        <f>IF(N5264="","",COUNTIFS(RawData[[Date ]],N5264,RawData[Month List],$Q$6,RawData[Tour/Site],$Q$2,RawData[[Picker ID ]],$Q$3,RawData[Checker ID],$Q$4,RawData[[Error Type ]],$Q$5))</f>
        <v/>
      </c>
    </row>
    <row r="5265" spans="15:15" x14ac:dyDescent="0.25">
      <c r="O5265" s="20" t="str">
        <f>IF(N5265="","",COUNTIFS(RawData[[Date ]],N5265,RawData[Month List],$Q$6,RawData[Tour/Site],$Q$2,RawData[[Picker ID ]],$Q$3,RawData[Checker ID],$Q$4,RawData[[Error Type ]],$Q$5))</f>
        <v/>
      </c>
    </row>
    <row r="5266" spans="15:15" x14ac:dyDescent="0.25">
      <c r="O5266" s="20" t="str">
        <f>IF(N5266="","",COUNTIFS(RawData[[Date ]],N5266,RawData[Month List],$Q$6,RawData[Tour/Site],$Q$2,RawData[[Picker ID ]],$Q$3,RawData[Checker ID],$Q$4,RawData[[Error Type ]],$Q$5))</f>
        <v/>
      </c>
    </row>
    <row r="5267" spans="15:15" x14ac:dyDescent="0.25">
      <c r="O5267" s="20" t="str">
        <f>IF(N5267="","",COUNTIFS(RawData[[Date ]],N5267,RawData[Month List],$Q$6,RawData[Tour/Site],$Q$2,RawData[[Picker ID ]],$Q$3,RawData[Checker ID],$Q$4,RawData[[Error Type ]],$Q$5))</f>
        <v/>
      </c>
    </row>
    <row r="5268" spans="15:15" x14ac:dyDescent="0.25">
      <c r="O5268" s="20" t="str">
        <f>IF(N5268="","",COUNTIFS(RawData[[Date ]],N5268,RawData[Month List],$Q$6,RawData[Tour/Site],$Q$2,RawData[[Picker ID ]],$Q$3,RawData[Checker ID],$Q$4,RawData[[Error Type ]],$Q$5))</f>
        <v/>
      </c>
    </row>
    <row r="5269" spans="15:15" x14ac:dyDescent="0.25">
      <c r="O5269" s="20" t="str">
        <f>IF(N5269="","",COUNTIFS(RawData[[Date ]],N5269,RawData[Month List],$Q$6,RawData[Tour/Site],$Q$2,RawData[[Picker ID ]],$Q$3,RawData[Checker ID],$Q$4,RawData[[Error Type ]],$Q$5))</f>
        <v/>
      </c>
    </row>
    <row r="5270" spans="15:15" x14ac:dyDescent="0.25">
      <c r="O5270" s="20" t="str">
        <f>IF(N5270="","",COUNTIFS(RawData[[Date ]],N5270,RawData[Month List],$Q$6,RawData[Tour/Site],$Q$2,RawData[[Picker ID ]],$Q$3,RawData[Checker ID],$Q$4,RawData[[Error Type ]],$Q$5))</f>
        <v/>
      </c>
    </row>
    <row r="5271" spans="15:15" x14ac:dyDescent="0.25">
      <c r="O5271" s="20" t="str">
        <f>IF(N5271="","",COUNTIFS(RawData[[Date ]],N5271,RawData[Month List],$Q$6,RawData[Tour/Site],$Q$2,RawData[[Picker ID ]],$Q$3,RawData[Checker ID],$Q$4,RawData[[Error Type ]],$Q$5))</f>
        <v/>
      </c>
    </row>
    <row r="5272" spans="15:15" x14ac:dyDescent="0.25">
      <c r="O5272" s="20" t="str">
        <f>IF(N5272="","",COUNTIFS(RawData[[Date ]],N5272,RawData[Month List],$Q$6,RawData[Tour/Site],$Q$2,RawData[[Picker ID ]],$Q$3,RawData[Checker ID],$Q$4,RawData[[Error Type ]],$Q$5))</f>
        <v/>
      </c>
    </row>
    <row r="5273" spans="15:15" x14ac:dyDescent="0.25">
      <c r="O5273" s="20" t="str">
        <f>IF(N5273="","",COUNTIFS(RawData[[Date ]],N5273,RawData[Month List],$Q$6,RawData[Tour/Site],$Q$2,RawData[[Picker ID ]],$Q$3,RawData[Checker ID],$Q$4,RawData[[Error Type ]],$Q$5))</f>
        <v/>
      </c>
    </row>
    <row r="5274" spans="15:15" x14ac:dyDescent="0.25">
      <c r="O5274" s="20" t="str">
        <f>IF(N5274="","",COUNTIFS(RawData[[Date ]],N5274,RawData[Month List],$Q$6,RawData[Tour/Site],$Q$2,RawData[[Picker ID ]],$Q$3,RawData[Checker ID],$Q$4,RawData[[Error Type ]],$Q$5))</f>
        <v/>
      </c>
    </row>
    <row r="5275" spans="15:15" x14ac:dyDescent="0.25">
      <c r="O5275" s="20" t="str">
        <f>IF(N5275="","",COUNTIFS(RawData[[Date ]],N5275,RawData[Month List],$Q$6,RawData[Tour/Site],$Q$2,RawData[[Picker ID ]],$Q$3,RawData[Checker ID],$Q$4,RawData[[Error Type ]],$Q$5))</f>
        <v/>
      </c>
    </row>
    <row r="5276" spans="15:15" x14ac:dyDescent="0.25">
      <c r="O5276" s="20" t="str">
        <f>IF(N5276="","",COUNTIFS(RawData[[Date ]],N5276,RawData[Month List],$Q$6,RawData[Tour/Site],$Q$2,RawData[[Picker ID ]],$Q$3,RawData[Checker ID],$Q$4,RawData[[Error Type ]],$Q$5))</f>
        <v/>
      </c>
    </row>
    <row r="5277" spans="15:15" x14ac:dyDescent="0.25">
      <c r="O5277" s="20" t="str">
        <f>IF(N5277="","",COUNTIFS(RawData[[Date ]],N5277,RawData[Month List],$Q$6,RawData[Tour/Site],$Q$2,RawData[[Picker ID ]],$Q$3,RawData[Checker ID],$Q$4,RawData[[Error Type ]],$Q$5))</f>
        <v/>
      </c>
    </row>
    <row r="5278" spans="15:15" x14ac:dyDescent="0.25">
      <c r="O5278" s="20" t="str">
        <f>IF(N5278="","",COUNTIFS(RawData[[Date ]],N5278,RawData[Month List],$Q$6,RawData[Tour/Site],$Q$2,RawData[[Picker ID ]],$Q$3,RawData[Checker ID],$Q$4,RawData[[Error Type ]],$Q$5))</f>
        <v/>
      </c>
    </row>
    <row r="5279" spans="15:15" x14ac:dyDescent="0.25">
      <c r="O5279" s="20" t="str">
        <f>IF(N5279="","",COUNTIFS(RawData[[Date ]],N5279,RawData[Month List],$Q$6,RawData[Tour/Site],$Q$2,RawData[[Picker ID ]],$Q$3,RawData[Checker ID],$Q$4,RawData[[Error Type ]],$Q$5))</f>
        <v/>
      </c>
    </row>
    <row r="5280" spans="15:15" x14ac:dyDescent="0.25">
      <c r="O5280" s="20" t="str">
        <f>IF(N5280="","",COUNTIFS(RawData[[Date ]],N5280,RawData[Month List],$Q$6,RawData[Tour/Site],$Q$2,RawData[[Picker ID ]],$Q$3,RawData[Checker ID],$Q$4,RawData[[Error Type ]],$Q$5))</f>
        <v/>
      </c>
    </row>
    <row r="5281" spans="15:15" x14ac:dyDescent="0.25">
      <c r="O5281" s="20" t="str">
        <f>IF(N5281="","",COUNTIFS(RawData[[Date ]],N5281,RawData[Month List],$Q$6,RawData[Tour/Site],$Q$2,RawData[[Picker ID ]],$Q$3,RawData[Checker ID],$Q$4,RawData[[Error Type ]],$Q$5))</f>
        <v/>
      </c>
    </row>
    <row r="5282" spans="15:15" x14ac:dyDescent="0.25">
      <c r="O5282" s="20" t="str">
        <f>IF(N5282="","",COUNTIFS(RawData[[Date ]],N5282,RawData[Month List],$Q$6,RawData[Tour/Site],$Q$2,RawData[[Picker ID ]],$Q$3,RawData[Checker ID],$Q$4,RawData[[Error Type ]],$Q$5))</f>
        <v/>
      </c>
    </row>
    <row r="5283" spans="15:15" x14ac:dyDescent="0.25">
      <c r="O5283" s="20" t="str">
        <f>IF(N5283="","",COUNTIFS(RawData[[Date ]],N5283,RawData[Month List],$Q$6,RawData[Tour/Site],$Q$2,RawData[[Picker ID ]],$Q$3,RawData[Checker ID],$Q$4,RawData[[Error Type ]],$Q$5))</f>
        <v/>
      </c>
    </row>
    <row r="5284" spans="15:15" x14ac:dyDescent="0.25">
      <c r="O5284" s="20" t="str">
        <f>IF(N5284="","",COUNTIFS(RawData[[Date ]],N5284,RawData[Month List],$Q$6,RawData[Tour/Site],$Q$2,RawData[[Picker ID ]],$Q$3,RawData[Checker ID],$Q$4,RawData[[Error Type ]],$Q$5))</f>
        <v/>
      </c>
    </row>
    <row r="5285" spans="15:15" x14ac:dyDescent="0.25">
      <c r="O5285" s="20" t="str">
        <f>IF(N5285="","",COUNTIFS(RawData[[Date ]],N5285,RawData[Month List],$Q$6,RawData[Tour/Site],$Q$2,RawData[[Picker ID ]],$Q$3,RawData[Checker ID],$Q$4,RawData[[Error Type ]],$Q$5))</f>
        <v/>
      </c>
    </row>
    <row r="5286" spans="15:15" x14ac:dyDescent="0.25">
      <c r="O5286" s="20" t="str">
        <f>IF(N5286="","",COUNTIFS(RawData[[Date ]],N5286,RawData[Month List],$Q$6,RawData[Tour/Site],$Q$2,RawData[[Picker ID ]],$Q$3,RawData[Checker ID],$Q$4,RawData[[Error Type ]],$Q$5))</f>
        <v/>
      </c>
    </row>
    <row r="5287" spans="15:15" x14ac:dyDescent="0.25">
      <c r="O5287" s="20" t="str">
        <f>IF(N5287="","",COUNTIFS(RawData[[Date ]],N5287,RawData[Month List],$Q$6,RawData[Tour/Site],$Q$2,RawData[[Picker ID ]],$Q$3,RawData[Checker ID],$Q$4,RawData[[Error Type ]],$Q$5))</f>
        <v/>
      </c>
    </row>
    <row r="5288" spans="15:15" x14ac:dyDescent="0.25">
      <c r="O5288" s="20" t="str">
        <f>IF(N5288="","",COUNTIFS(RawData[[Date ]],N5288,RawData[Month List],$Q$6,RawData[Tour/Site],$Q$2,RawData[[Picker ID ]],$Q$3,RawData[Checker ID],$Q$4,RawData[[Error Type ]],$Q$5))</f>
        <v/>
      </c>
    </row>
    <row r="5289" spans="15:15" x14ac:dyDescent="0.25">
      <c r="O5289" s="20" t="str">
        <f>IF(N5289="","",COUNTIFS(RawData[[Date ]],N5289,RawData[Month List],$Q$6,RawData[Tour/Site],$Q$2,RawData[[Picker ID ]],$Q$3,RawData[Checker ID],$Q$4,RawData[[Error Type ]],$Q$5))</f>
        <v/>
      </c>
    </row>
    <row r="5290" spans="15:15" x14ac:dyDescent="0.25">
      <c r="O5290" s="20" t="str">
        <f>IF(N5290="","",COUNTIFS(RawData[[Date ]],N5290,RawData[Month List],$Q$6,RawData[Tour/Site],$Q$2,RawData[[Picker ID ]],$Q$3,RawData[Checker ID],$Q$4,RawData[[Error Type ]],$Q$5))</f>
        <v/>
      </c>
    </row>
    <row r="5291" spans="15:15" x14ac:dyDescent="0.25">
      <c r="O5291" s="20" t="str">
        <f>IF(N5291="","",COUNTIFS(RawData[[Date ]],N5291,RawData[Month List],$Q$6,RawData[Tour/Site],$Q$2,RawData[[Picker ID ]],$Q$3,RawData[Checker ID],$Q$4,RawData[[Error Type ]],$Q$5))</f>
        <v/>
      </c>
    </row>
    <row r="5292" spans="15:15" x14ac:dyDescent="0.25">
      <c r="O5292" s="20" t="str">
        <f>IF(N5292="","",COUNTIFS(RawData[[Date ]],N5292,RawData[Month List],$Q$6,RawData[Tour/Site],$Q$2,RawData[[Picker ID ]],$Q$3,RawData[Checker ID],$Q$4,RawData[[Error Type ]],$Q$5))</f>
        <v/>
      </c>
    </row>
    <row r="5293" spans="15:15" x14ac:dyDescent="0.25">
      <c r="O5293" s="20" t="str">
        <f>IF(N5293="","",COUNTIFS(RawData[[Date ]],N5293,RawData[Month List],$Q$6,RawData[Tour/Site],$Q$2,RawData[[Picker ID ]],$Q$3,RawData[Checker ID],$Q$4,RawData[[Error Type ]],$Q$5))</f>
        <v/>
      </c>
    </row>
    <row r="5294" spans="15:15" x14ac:dyDescent="0.25">
      <c r="O5294" s="20" t="str">
        <f>IF(N5294="","",COUNTIFS(RawData[[Date ]],N5294,RawData[Month List],$Q$6,RawData[Tour/Site],$Q$2,RawData[[Picker ID ]],$Q$3,RawData[Checker ID],$Q$4,RawData[[Error Type ]],$Q$5))</f>
        <v/>
      </c>
    </row>
    <row r="5295" spans="15:15" x14ac:dyDescent="0.25">
      <c r="O5295" s="20" t="str">
        <f>IF(N5295="","",COUNTIFS(RawData[[Date ]],N5295,RawData[Month List],$Q$6,RawData[Tour/Site],$Q$2,RawData[[Picker ID ]],$Q$3,RawData[Checker ID],$Q$4,RawData[[Error Type ]],$Q$5))</f>
        <v/>
      </c>
    </row>
    <row r="5296" spans="15:15" x14ac:dyDescent="0.25">
      <c r="O5296" s="20" t="str">
        <f>IF(N5296="","",COUNTIFS(RawData[[Date ]],N5296,RawData[Month List],$Q$6,RawData[Tour/Site],$Q$2,RawData[[Picker ID ]],$Q$3,RawData[Checker ID],$Q$4,RawData[[Error Type ]],$Q$5))</f>
        <v/>
      </c>
    </row>
    <row r="5297" spans="15:15" x14ac:dyDescent="0.25">
      <c r="O5297" s="20" t="str">
        <f>IF(N5297="","",COUNTIFS(RawData[[Date ]],N5297,RawData[Month List],$Q$6,RawData[Tour/Site],$Q$2,RawData[[Picker ID ]],$Q$3,RawData[Checker ID],$Q$4,RawData[[Error Type ]],$Q$5))</f>
        <v/>
      </c>
    </row>
    <row r="5298" spans="15:15" x14ac:dyDescent="0.25">
      <c r="O5298" s="20" t="str">
        <f>IF(N5298="","",COUNTIFS(RawData[[Date ]],N5298,RawData[Month List],$Q$6,RawData[Tour/Site],$Q$2,RawData[[Picker ID ]],$Q$3,RawData[Checker ID],$Q$4,RawData[[Error Type ]],$Q$5))</f>
        <v/>
      </c>
    </row>
    <row r="5299" spans="15:15" x14ac:dyDescent="0.25">
      <c r="O5299" s="20" t="str">
        <f>IF(N5299="","",COUNTIFS(RawData[[Date ]],N5299,RawData[Month List],$Q$6,RawData[Tour/Site],$Q$2,RawData[[Picker ID ]],$Q$3,RawData[Checker ID],$Q$4,RawData[[Error Type ]],$Q$5))</f>
        <v/>
      </c>
    </row>
    <row r="5300" spans="15:15" x14ac:dyDescent="0.25">
      <c r="O5300" s="20" t="str">
        <f>IF(N5300="","",COUNTIFS(RawData[[Date ]],N5300,RawData[Month List],$Q$6,RawData[Tour/Site],$Q$2,RawData[[Picker ID ]],$Q$3,RawData[Checker ID],$Q$4,RawData[[Error Type ]],$Q$5))</f>
        <v/>
      </c>
    </row>
    <row r="5301" spans="15:15" x14ac:dyDescent="0.25">
      <c r="O5301" s="20" t="str">
        <f>IF(N5301="","",COUNTIFS(RawData[[Date ]],N5301,RawData[Month List],$Q$6,RawData[Tour/Site],$Q$2,RawData[[Picker ID ]],$Q$3,RawData[Checker ID],$Q$4,RawData[[Error Type ]],$Q$5))</f>
        <v/>
      </c>
    </row>
    <row r="5302" spans="15:15" x14ac:dyDescent="0.25">
      <c r="O5302" s="20" t="str">
        <f>IF(N5302="","",COUNTIFS(RawData[[Date ]],N5302,RawData[Month List],$Q$6,RawData[Tour/Site],$Q$2,RawData[[Picker ID ]],$Q$3,RawData[Checker ID],$Q$4,RawData[[Error Type ]],$Q$5))</f>
        <v/>
      </c>
    </row>
    <row r="5303" spans="15:15" x14ac:dyDescent="0.25">
      <c r="O5303" s="20" t="str">
        <f>IF(N5303="","",COUNTIFS(RawData[[Date ]],N5303,RawData[Month List],$Q$6,RawData[Tour/Site],$Q$2,RawData[[Picker ID ]],$Q$3,RawData[Checker ID],$Q$4,RawData[[Error Type ]],$Q$5))</f>
        <v/>
      </c>
    </row>
    <row r="5304" spans="15:15" x14ac:dyDescent="0.25">
      <c r="O5304" s="20" t="str">
        <f>IF(N5304="","",COUNTIFS(RawData[[Date ]],N5304,RawData[Month List],$Q$6,RawData[Tour/Site],$Q$2,RawData[[Picker ID ]],$Q$3,RawData[Checker ID],$Q$4,RawData[[Error Type ]],$Q$5))</f>
        <v/>
      </c>
    </row>
    <row r="5305" spans="15:15" x14ac:dyDescent="0.25">
      <c r="O5305" s="20" t="str">
        <f>IF(N5305="","",COUNTIFS(RawData[[Date ]],N5305,RawData[Month List],$Q$6,RawData[Tour/Site],$Q$2,RawData[[Picker ID ]],$Q$3,RawData[Checker ID],$Q$4,RawData[[Error Type ]],$Q$5))</f>
        <v/>
      </c>
    </row>
    <row r="5306" spans="15:15" x14ac:dyDescent="0.25">
      <c r="O5306" s="20" t="str">
        <f>IF(N5306="","",COUNTIFS(RawData[[Date ]],N5306,RawData[Month List],$Q$6,RawData[Tour/Site],$Q$2,RawData[[Picker ID ]],$Q$3,RawData[Checker ID],$Q$4,RawData[[Error Type ]],$Q$5))</f>
        <v/>
      </c>
    </row>
    <row r="5307" spans="15:15" x14ac:dyDescent="0.25">
      <c r="O5307" s="20" t="str">
        <f>IF(N5307="","",COUNTIFS(RawData[[Date ]],N5307,RawData[Month List],$Q$6,RawData[Tour/Site],$Q$2,RawData[[Picker ID ]],$Q$3,RawData[Checker ID],$Q$4,RawData[[Error Type ]],$Q$5))</f>
        <v/>
      </c>
    </row>
    <row r="5308" spans="15:15" x14ac:dyDescent="0.25">
      <c r="O5308" s="20" t="str">
        <f>IF(N5308="","",COUNTIFS(RawData[[Date ]],N5308,RawData[Month List],$Q$6,RawData[Tour/Site],$Q$2,RawData[[Picker ID ]],$Q$3,RawData[Checker ID],$Q$4,RawData[[Error Type ]],$Q$5))</f>
        <v/>
      </c>
    </row>
    <row r="5309" spans="15:15" x14ac:dyDescent="0.25">
      <c r="O5309" s="20" t="str">
        <f>IF(N5309="","",COUNTIFS(RawData[[Date ]],N5309,RawData[Month List],$Q$6,RawData[Tour/Site],$Q$2,RawData[[Picker ID ]],$Q$3,RawData[Checker ID],$Q$4,RawData[[Error Type ]],$Q$5))</f>
        <v/>
      </c>
    </row>
    <row r="5310" spans="15:15" x14ac:dyDescent="0.25">
      <c r="O5310" s="20" t="str">
        <f>IF(N5310="","",COUNTIFS(RawData[[Date ]],N5310,RawData[Month List],$Q$6,RawData[Tour/Site],$Q$2,RawData[[Picker ID ]],$Q$3,RawData[Checker ID],$Q$4,RawData[[Error Type ]],$Q$5))</f>
        <v/>
      </c>
    </row>
    <row r="5311" spans="15:15" x14ac:dyDescent="0.25">
      <c r="O5311" s="20" t="str">
        <f>IF(N5311="","",COUNTIFS(RawData[[Date ]],N5311,RawData[Month List],$Q$6,RawData[Tour/Site],$Q$2,RawData[[Picker ID ]],$Q$3,RawData[Checker ID],$Q$4,RawData[[Error Type ]],$Q$5))</f>
        <v/>
      </c>
    </row>
    <row r="5312" spans="15:15" x14ac:dyDescent="0.25">
      <c r="O5312" s="20" t="str">
        <f>IF(N5312="","",COUNTIFS(RawData[[Date ]],N5312,RawData[Month List],$Q$6,RawData[Tour/Site],$Q$2,RawData[[Picker ID ]],$Q$3,RawData[Checker ID],$Q$4,RawData[[Error Type ]],$Q$5))</f>
        <v/>
      </c>
    </row>
    <row r="5313" spans="15:15" x14ac:dyDescent="0.25">
      <c r="O5313" s="20" t="str">
        <f>IF(N5313="","",COUNTIFS(RawData[[Date ]],N5313,RawData[Month List],$Q$6,RawData[Tour/Site],$Q$2,RawData[[Picker ID ]],$Q$3,RawData[Checker ID],$Q$4,RawData[[Error Type ]],$Q$5))</f>
        <v/>
      </c>
    </row>
    <row r="5314" spans="15:15" x14ac:dyDescent="0.25">
      <c r="O5314" s="20" t="str">
        <f>IF(N5314="","",COUNTIFS(RawData[[Date ]],N5314,RawData[Month List],$Q$6,RawData[Tour/Site],$Q$2,RawData[[Picker ID ]],$Q$3,RawData[Checker ID],$Q$4,RawData[[Error Type ]],$Q$5))</f>
        <v/>
      </c>
    </row>
    <row r="5315" spans="15:15" x14ac:dyDescent="0.25">
      <c r="O5315" s="20" t="str">
        <f>IF(N5315="","",COUNTIFS(RawData[[Date ]],N5315,RawData[Month List],$Q$6,RawData[Tour/Site],$Q$2,RawData[[Picker ID ]],$Q$3,RawData[Checker ID],$Q$4,RawData[[Error Type ]],$Q$5))</f>
        <v/>
      </c>
    </row>
    <row r="5316" spans="15:15" x14ac:dyDescent="0.25">
      <c r="O5316" s="20" t="str">
        <f>IF(N5316="","",COUNTIFS(RawData[[Date ]],N5316,RawData[Month List],$Q$6,RawData[Tour/Site],$Q$2,RawData[[Picker ID ]],$Q$3,RawData[Checker ID],$Q$4,RawData[[Error Type ]],$Q$5))</f>
        <v/>
      </c>
    </row>
    <row r="5317" spans="15:15" x14ac:dyDescent="0.25">
      <c r="O5317" s="20" t="str">
        <f>IF(N5317="","",COUNTIFS(RawData[[Date ]],N5317,RawData[Month List],$Q$6,RawData[Tour/Site],$Q$2,RawData[[Picker ID ]],$Q$3,RawData[Checker ID],$Q$4,RawData[[Error Type ]],$Q$5))</f>
        <v/>
      </c>
    </row>
    <row r="5318" spans="15:15" x14ac:dyDescent="0.25">
      <c r="O5318" s="20" t="str">
        <f>IF(N5318="","",COUNTIFS(RawData[[Date ]],N5318,RawData[Month List],$Q$6,RawData[Tour/Site],$Q$2,RawData[[Picker ID ]],$Q$3,RawData[Checker ID],$Q$4,RawData[[Error Type ]],$Q$5))</f>
        <v/>
      </c>
    </row>
    <row r="5319" spans="15:15" x14ac:dyDescent="0.25">
      <c r="O5319" s="20" t="str">
        <f>IF(N5319="","",COUNTIFS(RawData[[Date ]],N5319,RawData[Month List],$Q$6,RawData[Tour/Site],$Q$2,RawData[[Picker ID ]],$Q$3,RawData[Checker ID],$Q$4,RawData[[Error Type ]],$Q$5))</f>
        <v/>
      </c>
    </row>
    <row r="5320" spans="15:15" x14ac:dyDescent="0.25">
      <c r="O5320" s="20" t="str">
        <f>IF(N5320="","",COUNTIFS(RawData[[Date ]],N5320,RawData[Month List],$Q$6,RawData[Tour/Site],$Q$2,RawData[[Picker ID ]],$Q$3,RawData[Checker ID],$Q$4,RawData[[Error Type ]],$Q$5))</f>
        <v/>
      </c>
    </row>
    <row r="5321" spans="15:15" x14ac:dyDescent="0.25">
      <c r="O5321" s="20" t="str">
        <f>IF(N5321="","",COUNTIFS(RawData[[Date ]],N5321,RawData[Month List],$Q$6,RawData[Tour/Site],$Q$2,RawData[[Picker ID ]],$Q$3,RawData[Checker ID],$Q$4,RawData[[Error Type ]],$Q$5))</f>
        <v/>
      </c>
    </row>
    <row r="5322" spans="15:15" x14ac:dyDescent="0.25">
      <c r="O5322" s="20" t="str">
        <f>IF(N5322="","",COUNTIFS(RawData[[Date ]],N5322,RawData[Month List],$Q$6,RawData[Tour/Site],$Q$2,RawData[[Picker ID ]],$Q$3,RawData[Checker ID],$Q$4,RawData[[Error Type ]],$Q$5))</f>
        <v/>
      </c>
    </row>
    <row r="5323" spans="15:15" x14ac:dyDescent="0.25">
      <c r="O5323" s="20" t="str">
        <f>IF(N5323="","",COUNTIFS(RawData[[Date ]],N5323,RawData[Month List],$Q$6,RawData[Tour/Site],$Q$2,RawData[[Picker ID ]],$Q$3,RawData[Checker ID],$Q$4,RawData[[Error Type ]],$Q$5))</f>
        <v/>
      </c>
    </row>
    <row r="5324" spans="15:15" x14ac:dyDescent="0.25">
      <c r="O5324" s="20" t="str">
        <f>IF(N5324="","",COUNTIFS(RawData[[Date ]],N5324,RawData[Month List],$Q$6,RawData[Tour/Site],$Q$2,RawData[[Picker ID ]],$Q$3,RawData[Checker ID],$Q$4,RawData[[Error Type ]],$Q$5))</f>
        <v/>
      </c>
    </row>
    <row r="5325" spans="15:15" x14ac:dyDescent="0.25">
      <c r="O5325" s="20" t="str">
        <f>IF(N5325="","",COUNTIFS(RawData[[Date ]],N5325,RawData[Month List],$Q$6,RawData[Tour/Site],$Q$2,RawData[[Picker ID ]],$Q$3,RawData[Checker ID],$Q$4,RawData[[Error Type ]],$Q$5))</f>
        <v/>
      </c>
    </row>
    <row r="5326" spans="15:15" x14ac:dyDescent="0.25">
      <c r="O5326" s="20" t="str">
        <f>IF(N5326="","",COUNTIFS(RawData[[Date ]],N5326,RawData[Month List],$Q$6,RawData[Tour/Site],$Q$2,RawData[[Picker ID ]],$Q$3,RawData[Checker ID],$Q$4,RawData[[Error Type ]],$Q$5))</f>
        <v/>
      </c>
    </row>
    <row r="5327" spans="15:15" x14ac:dyDescent="0.25">
      <c r="O5327" s="20" t="str">
        <f>IF(N5327="","",COUNTIFS(RawData[[Date ]],N5327,RawData[Month List],$Q$6,RawData[Tour/Site],$Q$2,RawData[[Picker ID ]],$Q$3,RawData[Checker ID],$Q$4,RawData[[Error Type ]],$Q$5))</f>
        <v/>
      </c>
    </row>
    <row r="5328" spans="15:15" x14ac:dyDescent="0.25">
      <c r="O5328" s="20" t="str">
        <f>IF(N5328="","",COUNTIFS(RawData[[Date ]],N5328,RawData[Month List],$Q$6,RawData[Tour/Site],$Q$2,RawData[[Picker ID ]],$Q$3,RawData[Checker ID],$Q$4,RawData[[Error Type ]],$Q$5))</f>
        <v/>
      </c>
    </row>
    <row r="5329" spans="15:15" x14ac:dyDescent="0.25">
      <c r="O5329" s="20" t="str">
        <f>IF(N5329="","",COUNTIFS(RawData[[Date ]],N5329,RawData[Month List],$Q$6,RawData[Tour/Site],$Q$2,RawData[[Picker ID ]],$Q$3,RawData[Checker ID],$Q$4,RawData[[Error Type ]],$Q$5))</f>
        <v/>
      </c>
    </row>
    <row r="5330" spans="15:15" x14ac:dyDescent="0.25">
      <c r="O5330" s="20" t="str">
        <f>IF(N5330="","",COUNTIFS(RawData[[Date ]],N5330,RawData[Month List],$Q$6,RawData[Tour/Site],$Q$2,RawData[[Picker ID ]],$Q$3,RawData[Checker ID],$Q$4,RawData[[Error Type ]],$Q$5))</f>
        <v/>
      </c>
    </row>
    <row r="5331" spans="15:15" x14ac:dyDescent="0.25">
      <c r="O5331" s="20" t="str">
        <f>IF(N5331="","",COUNTIFS(RawData[[Date ]],N5331,RawData[Month List],$Q$6,RawData[Tour/Site],$Q$2,RawData[[Picker ID ]],$Q$3,RawData[Checker ID],$Q$4,RawData[[Error Type ]],$Q$5))</f>
        <v/>
      </c>
    </row>
    <row r="5332" spans="15:15" x14ac:dyDescent="0.25">
      <c r="O5332" s="20" t="str">
        <f>IF(N5332="","",COUNTIFS(RawData[[Date ]],N5332,RawData[Month List],$Q$6,RawData[Tour/Site],$Q$2,RawData[[Picker ID ]],$Q$3,RawData[Checker ID],$Q$4,RawData[[Error Type ]],$Q$5))</f>
        <v/>
      </c>
    </row>
    <row r="5333" spans="15:15" x14ac:dyDescent="0.25">
      <c r="O5333" s="20" t="str">
        <f>IF(N5333="","",COUNTIFS(RawData[[Date ]],N5333,RawData[Month List],$Q$6,RawData[Tour/Site],$Q$2,RawData[[Picker ID ]],$Q$3,RawData[Checker ID],$Q$4,RawData[[Error Type ]],$Q$5))</f>
        <v/>
      </c>
    </row>
    <row r="5334" spans="15:15" x14ac:dyDescent="0.25">
      <c r="O5334" s="20" t="str">
        <f>IF(N5334="","",COUNTIFS(RawData[[Date ]],N5334,RawData[Month List],$Q$6,RawData[Tour/Site],$Q$2,RawData[[Picker ID ]],$Q$3,RawData[Checker ID],$Q$4,RawData[[Error Type ]],$Q$5))</f>
        <v/>
      </c>
    </row>
    <row r="5335" spans="15:15" x14ac:dyDescent="0.25">
      <c r="O5335" s="20" t="str">
        <f>IF(N5335="","",COUNTIFS(RawData[[Date ]],N5335,RawData[Month List],$Q$6,RawData[Tour/Site],$Q$2,RawData[[Picker ID ]],$Q$3,RawData[Checker ID],$Q$4,RawData[[Error Type ]],$Q$5))</f>
        <v/>
      </c>
    </row>
    <row r="5336" spans="15:15" x14ac:dyDescent="0.25">
      <c r="O5336" s="20" t="str">
        <f>IF(N5336="","",COUNTIFS(RawData[[Date ]],N5336,RawData[Month List],$Q$6,RawData[Tour/Site],$Q$2,RawData[[Picker ID ]],$Q$3,RawData[Checker ID],$Q$4,RawData[[Error Type ]],$Q$5))</f>
        <v/>
      </c>
    </row>
    <row r="5337" spans="15:15" x14ac:dyDescent="0.25">
      <c r="O5337" s="20" t="str">
        <f>IF(N5337="","",COUNTIFS(RawData[[Date ]],N5337,RawData[Month List],$Q$6,RawData[Tour/Site],$Q$2,RawData[[Picker ID ]],$Q$3,RawData[Checker ID],$Q$4,RawData[[Error Type ]],$Q$5))</f>
        <v/>
      </c>
    </row>
    <row r="5338" spans="15:15" x14ac:dyDescent="0.25">
      <c r="O5338" s="20" t="str">
        <f>IF(N5338="","",COUNTIFS(RawData[[Date ]],N5338,RawData[Month List],$Q$6,RawData[Tour/Site],$Q$2,RawData[[Picker ID ]],$Q$3,RawData[Checker ID],$Q$4,RawData[[Error Type ]],$Q$5))</f>
        <v/>
      </c>
    </row>
    <row r="5339" spans="15:15" x14ac:dyDescent="0.25">
      <c r="O5339" s="20" t="str">
        <f>IF(N5339="","",COUNTIFS(RawData[[Date ]],N5339,RawData[Month List],$Q$6,RawData[Tour/Site],$Q$2,RawData[[Picker ID ]],$Q$3,RawData[Checker ID],$Q$4,RawData[[Error Type ]],$Q$5))</f>
        <v/>
      </c>
    </row>
    <row r="5340" spans="15:15" x14ac:dyDescent="0.25">
      <c r="O5340" s="20" t="str">
        <f>IF(N5340="","",COUNTIFS(RawData[[Date ]],N5340,RawData[Month List],$Q$6,RawData[Tour/Site],$Q$2,RawData[[Picker ID ]],$Q$3,RawData[Checker ID],$Q$4,RawData[[Error Type ]],$Q$5))</f>
        <v/>
      </c>
    </row>
    <row r="5341" spans="15:15" x14ac:dyDescent="0.25">
      <c r="O5341" s="20" t="str">
        <f>IF(N5341="","",COUNTIFS(RawData[[Date ]],N5341,RawData[Month List],$Q$6,RawData[Tour/Site],$Q$2,RawData[[Picker ID ]],$Q$3,RawData[Checker ID],$Q$4,RawData[[Error Type ]],$Q$5))</f>
        <v/>
      </c>
    </row>
    <row r="5342" spans="15:15" x14ac:dyDescent="0.25">
      <c r="O5342" s="20" t="str">
        <f>IF(N5342="","",COUNTIFS(RawData[[Date ]],N5342,RawData[Month List],$Q$6,RawData[Tour/Site],$Q$2,RawData[[Picker ID ]],$Q$3,RawData[Checker ID],$Q$4,RawData[[Error Type ]],$Q$5))</f>
        <v/>
      </c>
    </row>
    <row r="5343" spans="15:15" x14ac:dyDescent="0.25">
      <c r="O5343" s="20" t="str">
        <f>IF(N5343="","",COUNTIFS(RawData[[Date ]],N5343,RawData[Month List],$Q$6,RawData[Tour/Site],$Q$2,RawData[[Picker ID ]],$Q$3,RawData[Checker ID],$Q$4,RawData[[Error Type ]],$Q$5))</f>
        <v/>
      </c>
    </row>
    <row r="5344" spans="15:15" x14ac:dyDescent="0.25">
      <c r="O5344" s="20" t="str">
        <f>IF(N5344="","",COUNTIFS(RawData[[Date ]],N5344,RawData[Month List],$Q$6,RawData[Tour/Site],$Q$2,RawData[[Picker ID ]],$Q$3,RawData[Checker ID],$Q$4,RawData[[Error Type ]],$Q$5))</f>
        <v/>
      </c>
    </row>
    <row r="5345" spans="15:15" x14ac:dyDescent="0.25">
      <c r="O5345" s="20" t="str">
        <f>IF(N5345="","",COUNTIFS(RawData[[Date ]],N5345,RawData[Month List],$Q$6,RawData[Tour/Site],$Q$2,RawData[[Picker ID ]],$Q$3,RawData[Checker ID],$Q$4,RawData[[Error Type ]],$Q$5))</f>
        <v/>
      </c>
    </row>
    <row r="5346" spans="15:15" x14ac:dyDescent="0.25">
      <c r="O5346" s="20" t="str">
        <f>IF(N5346="","",COUNTIFS(RawData[[Date ]],N5346,RawData[Month List],$Q$6,RawData[Tour/Site],$Q$2,RawData[[Picker ID ]],$Q$3,RawData[Checker ID],$Q$4,RawData[[Error Type ]],$Q$5))</f>
        <v/>
      </c>
    </row>
    <row r="5347" spans="15:15" x14ac:dyDescent="0.25">
      <c r="O5347" s="20" t="str">
        <f>IF(N5347="","",COUNTIFS(RawData[[Date ]],N5347,RawData[Month List],$Q$6,RawData[Tour/Site],$Q$2,RawData[[Picker ID ]],$Q$3,RawData[Checker ID],$Q$4,RawData[[Error Type ]],$Q$5))</f>
        <v/>
      </c>
    </row>
    <row r="5348" spans="15:15" x14ac:dyDescent="0.25">
      <c r="O5348" s="20" t="str">
        <f>IF(N5348="","",COUNTIFS(RawData[[Date ]],N5348,RawData[Month List],$Q$6,RawData[Tour/Site],$Q$2,RawData[[Picker ID ]],$Q$3,RawData[Checker ID],$Q$4,RawData[[Error Type ]],$Q$5))</f>
        <v/>
      </c>
    </row>
    <row r="5349" spans="15:15" x14ac:dyDescent="0.25">
      <c r="O5349" s="20" t="str">
        <f>IF(N5349="","",COUNTIFS(RawData[[Date ]],N5349,RawData[Month List],$Q$6,RawData[Tour/Site],$Q$2,RawData[[Picker ID ]],$Q$3,RawData[Checker ID],$Q$4,RawData[[Error Type ]],$Q$5))</f>
        <v/>
      </c>
    </row>
    <row r="5350" spans="15:15" x14ac:dyDescent="0.25">
      <c r="O5350" s="20" t="str">
        <f>IF(N5350="","",COUNTIFS(RawData[[Date ]],N5350,RawData[Month List],$Q$6,RawData[Tour/Site],$Q$2,RawData[[Picker ID ]],$Q$3,RawData[Checker ID],$Q$4,RawData[[Error Type ]],$Q$5))</f>
        <v/>
      </c>
    </row>
    <row r="5351" spans="15:15" x14ac:dyDescent="0.25">
      <c r="O5351" s="20" t="str">
        <f>IF(N5351="","",COUNTIFS(RawData[[Date ]],N5351,RawData[Month List],$Q$6,RawData[Tour/Site],$Q$2,RawData[[Picker ID ]],$Q$3,RawData[Checker ID],$Q$4,RawData[[Error Type ]],$Q$5))</f>
        <v/>
      </c>
    </row>
    <row r="5352" spans="15:15" x14ac:dyDescent="0.25">
      <c r="O5352" s="20" t="str">
        <f>IF(N5352="","",COUNTIFS(RawData[[Date ]],N5352,RawData[Month List],$Q$6,RawData[Tour/Site],$Q$2,RawData[[Picker ID ]],$Q$3,RawData[Checker ID],$Q$4,RawData[[Error Type ]],$Q$5))</f>
        <v/>
      </c>
    </row>
    <row r="5353" spans="15:15" x14ac:dyDescent="0.25">
      <c r="O5353" s="20" t="str">
        <f>IF(N5353="","",COUNTIFS(RawData[[Date ]],N5353,RawData[Month List],$Q$6,RawData[Tour/Site],$Q$2,RawData[[Picker ID ]],$Q$3,RawData[Checker ID],$Q$4,RawData[[Error Type ]],$Q$5))</f>
        <v/>
      </c>
    </row>
    <row r="5354" spans="15:15" x14ac:dyDescent="0.25">
      <c r="O5354" s="20" t="str">
        <f>IF(N5354="","",COUNTIFS(RawData[[Date ]],N5354,RawData[Month List],$Q$6,RawData[Tour/Site],$Q$2,RawData[[Picker ID ]],$Q$3,RawData[Checker ID],$Q$4,RawData[[Error Type ]],$Q$5))</f>
        <v/>
      </c>
    </row>
    <row r="5355" spans="15:15" x14ac:dyDescent="0.25">
      <c r="O5355" s="20" t="str">
        <f>IF(N5355="","",COUNTIFS(RawData[[Date ]],N5355,RawData[Month List],$Q$6,RawData[Tour/Site],$Q$2,RawData[[Picker ID ]],$Q$3,RawData[Checker ID],$Q$4,RawData[[Error Type ]],$Q$5))</f>
        <v/>
      </c>
    </row>
    <row r="5356" spans="15:15" x14ac:dyDescent="0.25">
      <c r="O5356" s="20" t="str">
        <f>IF(N5356="","",COUNTIFS(RawData[[Date ]],N5356,RawData[Month List],$Q$6,RawData[Tour/Site],$Q$2,RawData[[Picker ID ]],$Q$3,RawData[Checker ID],$Q$4,RawData[[Error Type ]],$Q$5))</f>
        <v/>
      </c>
    </row>
    <row r="5357" spans="15:15" x14ac:dyDescent="0.25">
      <c r="O5357" s="20" t="str">
        <f>IF(N5357="","",COUNTIFS(RawData[[Date ]],N5357,RawData[Month List],$Q$6,RawData[Tour/Site],$Q$2,RawData[[Picker ID ]],$Q$3,RawData[Checker ID],$Q$4,RawData[[Error Type ]],$Q$5))</f>
        <v/>
      </c>
    </row>
    <row r="5358" spans="15:15" x14ac:dyDescent="0.25">
      <c r="O5358" s="20" t="str">
        <f>IF(N5358="","",COUNTIFS(RawData[[Date ]],N5358,RawData[Month List],$Q$6,RawData[Tour/Site],$Q$2,RawData[[Picker ID ]],$Q$3,RawData[Checker ID],$Q$4,RawData[[Error Type ]],$Q$5))</f>
        <v/>
      </c>
    </row>
    <row r="5359" spans="15:15" x14ac:dyDescent="0.25">
      <c r="O5359" s="20" t="str">
        <f>IF(N5359="","",COUNTIFS(RawData[[Date ]],N5359,RawData[Month List],$Q$6,RawData[Tour/Site],$Q$2,RawData[[Picker ID ]],$Q$3,RawData[Checker ID],$Q$4,RawData[[Error Type ]],$Q$5))</f>
        <v/>
      </c>
    </row>
    <row r="5360" spans="15:15" x14ac:dyDescent="0.25">
      <c r="O5360" s="20" t="str">
        <f>IF(N5360="","",COUNTIFS(RawData[[Date ]],N5360,RawData[Month List],$Q$6,RawData[Tour/Site],$Q$2,RawData[[Picker ID ]],$Q$3,RawData[Checker ID],$Q$4,RawData[[Error Type ]],$Q$5))</f>
        <v/>
      </c>
    </row>
    <row r="5361" spans="15:15" x14ac:dyDescent="0.25">
      <c r="O5361" s="20" t="str">
        <f>IF(N5361="","",COUNTIFS(RawData[[Date ]],N5361,RawData[Month List],$Q$6,RawData[Tour/Site],$Q$2,RawData[[Picker ID ]],$Q$3,RawData[Checker ID],$Q$4,RawData[[Error Type ]],$Q$5))</f>
        <v/>
      </c>
    </row>
    <row r="5362" spans="15:15" x14ac:dyDescent="0.25">
      <c r="O5362" s="20" t="str">
        <f>IF(N5362="","",COUNTIFS(RawData[[Date ]],N5362,RawData[Month List],$Q$6,RawData[Tour/Site],$Q$2,RawData[[Picker ID ]],$Q$3,RawData[Checker ID],$Q$4,RawData[[Error Type ]],$Q$5))</f>
        <v/>
      </c>
    </row>
    <row r="5363" spans="15:15" x14ac:dyDescent="0.25">
      <c r="O5363" s="20" t="str">
        <f>IF(N5363="","",COUNTIFS(RawData[[Date ]],N5363,RawData[Month List],$Q$6,RawData[Tour/Site],$Q$2,RawData[[Picker ID ]],$Q$3,RawData[Checker ID],$Q$4,RawData[[Error Type ]],$Q$5))</f>
        <v/>
      </c>
    </row>
    <row r="5364" spans="15:15" x14ac:dyDescent="0.25">
      <c r="O5364" s="20" t="str">
        <f>IF(N5364="","",COUNTIFS(RawData[[Date ]],N5364,RawData[Month List],$Q$6,RawData[Tour/Site],$Q$2,RawData[[Picker ID ]],$Q$3,RawData[Checker ID],$Q$4,RawData[[Error Type ]],$Q$5))</f>
        <v/>
      </c>
    </row>
    <row r="5365" spans="15:15" x14ac:dyDescent="0.25">
      <c r="O5365" s="20" t="str">
        <f>IF(N5365="","",COUNTIFS(RawData[[Date ]],N5365,RawData[Month List],$Q$6,RawData[Tour/Site],$Q$2,RawData[[Picker ID ]],$Q$3,RawData[Checker ID],$Q$4,RawData[[Error Type ]],$Q$5))</f>
        <v/>
      </c>
    </row>
    <row r="5366" spans="15:15" x14ac:dyDescent="0.25">
      <c r="O5366" s="20" t="str">
        <f>IF(N5366="","",COUNTIFS(RawData[[Date ]],N5366,RawData[Month List],$Q$6,RawData[Tour/Site],$Q$2,RawData[[Picker ID ]],$Q$3,RawData[Checker ID],$Q$4,RawData[[Error Type ]],$Q$5))</f>
        <v/>
      </c>
    </row>
    <row r="5367" spans="15:15" x14ac:dyDescent="0.25">
      <c r="O5367" s="20" t="str">
        <f>IF(N5367="","",COUNTIFS(RawData[[Date ]],N5367,RawData[Month List],$Q$6,RawData[Tour/Site],$Q$2,RawData[[Picker ID ]],$Q$3,RawData[Checker ID],$Q$4,RawData[[Error Type ]],$Q$5))</f>
        <v/>
      </c>
    </row>
    <row r="5368" spans="15:15" x14ac:dyDescent="0.25">
      <c r="O5368" s="20" t="str">
        <f>IF(N5368="","",COUNTIFS(RawData[[Date ]],N5368,RawData[Month List],$Q$6,RawData[Tour/Site],$Q$2,RawData[[Picker ID ]],$Q$3,RawData[Checker ID],$Q$4,RawData[[Error Type ]],$Q$5))</f>
        <v/>
      </c>
    </row>
    <row r="5369" spans="15:15" x14ac:dyDescent="0.25">
      <c r="O5369" s="20" t="str">
        <f>IF(N5369="","",COUNTIFS(RawData[[Date ]],N5369,RawData[Month List],$Q$6,RawData[Tour/Site],$Q$2,RawData[[Picker ID ]],$Q$3,RawData[Checker ID],$Q$4,RawData[[Error Type ]],$Q$5))</f>
        <v/>
      </c>
    </row>
    <row r="5370" spans="15:15" x14ac:dyDescent="0.25">
      <c r="O5370" s="20" t="str">
        <f>IF(N5370="","",COUNTIFS(RawData[[Date ]],N5370,RawData[Month List],$Q$6,RawData[Tour/Site],$Q$2,RawData[[Picker ID ]],$Q$3,RawData[Checker ID],$Q$4,RawData[[Error Type ]],$Q$5))</f>
        <v/>
      </c>
    </row>
    <row r="5371" spans="15:15" x14ac:dyDescent="0.25">
      <c r="O5371" s="20" t="str">
        <f>IF(N5371="","",COUNTIFS(RawData[[Date ]],N5371,RawData[Month List],$Q$6,RawData[Tour/Site],$Q$2,RawData[[Picker ID ]],$Q$3,RawData[Checker ID],$Q$4,RawData[[Error Type ]],$Q$5))</f>
        <v/>
      </c>
    </row>
    <row r="5372" spans="15:15" x14ac:dyDescent="0.25">
      <c r="O5372" s="20" t="str">
        <f>IF(N5372="","",COUNTIFS(RawData[[Date ]],N5372,RawData[Month List],$Q$6,RawData[Tour/Site],$Q$2,RawData[[Picker ID ]],$Q$3,RawData[Checker ID],$Q$4,RawData[[Error Type ]],$Q$5))</f>
        <v/>
      </c>
    </row>
    <row r="5373" spans="15:15" x14ac:dyDescent="0.25">
      <c r="O5373" s="20" t="str">
        <f>IF(N5373="","",COUNTIFS(RawData[[Date ]],N5373,RawData[Month List],$Q$6,RawData[Tour/Site],$Q$2,RawData[[Picker ID ]],$Q$3,RawData[Checker ID],$Q$4,RawData[[Error Type ]],$Q$5))</f>
        <v/>
      </c>
    </row>
    <row r="5374" spans="15:15" x14ac:dyDescent="0.25">
      <c r="O5374" s="20" t="str">
        <f>IF(N5374="","",COUNTIFS(RawData[[Date ]],N5374,RawData[Month List],$Q$6,RawData[Tour/Site],$Q$2,RawData[[Picker ID ]],$Q$3,RawData[Checker ID],$Q$4,RawData[[Error Type ]],$Q$5))</f>
        <v/>
      </c>
    </row>
    <row r="5375" spans="15:15" x14ac:dyDescent="0.25">
      <c r="O5375" s="20" t="str">
        <f>IF(N5375="","",COUNTIFS(RawData[[Date ]],N5375,RawData[Month List],$Q$6,RawData[Tour/Site],$Q$2,RawData[[Picker ID ]],$Q$3,RawData[Checker ID],$Q$4,RawData[[Error Type ]],$Q$5))</f>
        <v/>
      </c>
    </row>
    <row r="5376" spans="15:15" x14ac:dyDescent="0.25">
      <c r="O5376" s="20" t="str">
        <f>IF(N5376="","",COUNTIFS(RawData[[Date ]],N5376,RawData[Month List],$Q$6,RawData[Tour/Site],$Q$2,RawData[[Picker ID ]],$Q$3,RawData[Checker ID],$Q$4,RawData[[Error Type ]],$Q$5))</f>
        <v/>
      </c>
    </row>
    <row r="5377" spans="15:15" x14ac:dyDescent="0.25">
      <c r="O5377" s="20" t="str">
        <f>IF(N5377="","",COUNTIFS(RawData[[Date ]],N5377,RawData[Month List],$Q$6,RawData[Tour/Site],$Q$2,RawData[[Picker ID ]],$Q$3,RawData[Checker ID],$Q$4,RawData[[Error Type ]],$Q$5))</f>
        <v/>
      </c>
    </row>
    <row r="5378" spans="15:15" x14ac:dyDescent="0.25">
      <c r="O5378" s="20" t="str">
        <f>IF(N5378="","",COUNTIFS(RawData[[Date ]],N5378,RawData[Month List],$Q$6,RawData[Tour/Site],$Q$2,RawData[[Picker ID ]],$Q$3,RawData[Checker ID],$Q$4,RawData[[Error Type ]],$Q$5))</f>
        <v/>
      </c>
    </row>
    <row r="5379" spans="15:15" x14ac:dyDescent="0.25">
      <c r="O5379" s="20" t="str">
        <f>IF(N5379="","",COUNTIFS(RawData[[Date ]],N5379,RawData[Month List],$Q$6,RawData[Tour/Site],$Q$2,RawData[[Picker ID ]],$Q$3,RawData[Checker ID],$Q$4,RawData[[Error Type ]],$Q$5))</f>
        <v/>
      </c>
    </row>
    <row r="5380" spans="15:15" x14ac:dyDescent="0.25">
      <c r="O5380" s="20" t="str">
        <f>IF(N5380="","",COUNTIFS(RawData[[Date ]],N5380,RawData[Month List],$Q$6,RawData[Tour/Site],$Q$2,RawData[[Picker ID ]],$Q$3,RawData[Checker ID],$Q$4,RawData[[Error Type ]],$Q$5))</f>
        <v/>
      </c>
    </row>
    <row r="5381" spans="15:15" x14ac:dyDescent="0.25">
      <c r="O5381" s="20" t="str">
        <f>IF(N5381="","",COUNTIFS(RawData[[Date ]],N5381,RawData[Month List],$Q$6,RawData[Tour/Site],$Q$2,RawData[[Picker ID ]],$Q$3,RawData[Checker ID],$Q$4,RawData[[Error Type ]],$Q$5))</f>
        <v/>
      </c>
    </row>
    <row r="5382" spans="15:15" x14ac:dyDescent="0.25">
      <c r="O5382" s="20" t="str">
        <f>IF(N5382="","",COUNTIFS(RawData[[Date ]],N5382,RawData[Month List],$Q$6,RawData[Tour/Site],$Q$2,RawData[[Picker ID ]],$Q$3,RawData[Checker ID],$Q$4,RawData[[Error Type ]],$Q$5))</f>
        <v/>
      </c>
    </row>
    <row r="5383" spans="15:15" x14ac:dyDescent="0.25">
      <c r="O5383" s="20" t="str">
        <f>IF(N5383="","",COUNTIFS(RawData[[Date ]],N5383,RawData[Month List],$Q$6,RawData[Tour/Site],$Q$2,RawData[[Picker ID ]],$Q$3,RawData[Checker ID],$Q$4,RawData[[Error Type ]],$Q$5))</f>
        <v/>
      </c>
    </row>
    <row r="5384" spans="15:15" x14ac:dyDescent="0.25">
      <c r="O5384" s="20" t="str">
        <f>IF(N5384="","",COUNTIFS(RawData[[Date ]],N5384,RawData[Month List],$Q$6,RawData[Tour/Site],$Q$2,RawData[[Picker ID ]],$Q$3,RawData[Checker ID],$Q$4,RawData[[Error Type ]],$Q$5))</f>
        <v/>
      </c>
    </row>
    <row r="5385" spans="15:15" x14ac:dyDescent="0.25">
      <c r="O5385" s="20" t="str">
        <f>IF(N5385="","",COUNTIFS(RawData[[Date ]],N5385,RawData[Month List],$Q$6,RawData[Tour/Site],$Q$2,RawData[[Picker ID ]],$Q$3,RawData[Checker ID],$Q$4,RawData[[Error Type ]],$Q$5))</f>
        <v/>
      </c>
    </row>
    <row r="5386" spans="15:15" x14ac:dyDescent="0.25">
      <c r="O5386" s="20" t="str">
        <f>IF(N5386="","",COUNTIFS(RawData[[Date ]],N5386,RawData[Month List],$Q$6,RawData[Tour/Site],$Q$2,RawData[[Picker ID ]],$Q$3,RawData[Checker ID],$Q$4,RawData[[Error Type ]],$Q$5))</f>
        <v/>
      </c>
    </row>
    <row r="5387" spans="15:15" x14ac:dyDescent="0.25">
      <c r="O5387" s="20" t="str">
        <f>IF(N5387="","",COUNTIFS(RawData[[Date ]],N5387,RawData[Month List],$Q$6,RawData[Tour/Site],$Q$2,RawData[[Picker ID ]],$Q$3,RawData[Checker ID],$Q$4,RawData[[Error Type ]],$Q$5))</f>
        <v/>
      </c>
    </row>
    <row r="5388" spans="15:15" x14ac:dyDescent="0.25">
      <c r="O5388" s="20" t="str">
        <f>IF(N5388="","",COUNTIFS(RawData[[Date ]],N5388,RawData[Month List],$Q$6,RawData[Tour/Site],$Q$2,RawData[[Picker ID ]],$Q$3,RawData[Checker ID],$Q$4,RawData[[Error Type ]],$Q$5))</f>
        <v/>
      </c>
    </row>
    <row r="5389" spans="15:15" x14ac:dyDescent="0.25">
      <c r="O5389" s="20" t="str">
        <f>IF(N5389="","",COUNTIFS(RawData[[Date ]],N5389,RawData[Month List],$Q$6,RawData[Tour/Site],$Q$2,RawData[[Picker ID ]],$Q$3,RawData[Checker ID],$Q$4,RawData[[Error Type ]],$Q$5))</f>
        <v/>
      </c>
    </row>
    <row r="5390" spans="15:15" x14ac:dyDescent="0.25">
      <c r="O5390" s="20" t="str">
        <f>IF(N5390="","",COUNTIFS(RawData[[Date ]],N5390,RawData[Month List],$Q$6,RawData[Tour/Site],$Q$2,RawData[[Picker ID ]],$Q$3,RawData[Checker ID],$Q$4,RawData[[Error Type ]],$Q$5))</f>
        <v/>
      </c>
    </row>
    <row r="5391" spans="15:15" x14ac:dyDescent="0.25">
      <c r="O5391" s="20" t="str">
        <f>IF(N5391="","",COUNTIFS(RawData[[Date ]],N5391,RawData[Month List],$Q$6,RawData[Tour/Site],$Q$2,RawData[[Picker ID ]],$Q$3,RawData[Checker ID],$Q$4,RawData[[Error Type ]],$Q$5))</f>
        <v/>
      </c>
    </row>
    <row r="5392" spans="15:15" x14ac:dyDescent="0.25">
      <c r="O5392" s="20" t="str">
        <f>IF(N5392="","",COUNTIFS(RawData[[Date ]],N5392,RawData[Month List],$Q$6,RawData[Tour/Site],$Q$2,RawData[[Picker ID ]],$Q$3,RawData[Checker ID],$Q$4,RawData[[Error Type ]],$Q$5))</f>
        <v/>
      </c>
    </row>
    <row r="5393" spans="15:15" x14ac:dyDescent="0.25">
      <c r="O5393" s="20" t="str">
        <f>IF(N5393="","",COUNTIFS(RawData[[Date ]],N5393,RawData[Month List],$Q$6,RawData[Tour/Site],$Q$2,RawData[[Picker ID ]],$Q$3,RawData[Checker ID],$Q$4,RawData[[Error Type ]],$Q$5))</f>
        <v/>
      </c>
    </row>
    <row r="5394" spans="15:15" x14ac:dyDescent="0.25">
      <c r="O5394" s="20" t="str">
        <f>IF(N5394="","",COUNTIFS(RawData[[Date ]],N5394,RawData[Month List],$Q$6,RawData[Tour/Site],$Q$2,RawData[[Picker ID ]],$Q$3,RawData[Checker ID],$Q$4,RawData[[Error Type ]],$Q$5))</f>
        <v/>
      </c>
    </row>
    <row r="5395" spans="15:15" x14ac:dyDescent="0.25">
      <c r="O5395" s="20" t="str">
        <f>IF(N5395="","",COUNTIFS(RawData[[Date ]],N5395,RawData[Month List],$Q$6,RawData[Tour/Site],$Q$2,RawData[[Picker ID ]],$Q$3,RawData[Checker ID],$Q$4,RawData[[Error Type ]],$Q$5))</f>
        <v/>
      </c>
    </row>
    <row r="5396" spans="15:15" x14ac:dyDescent="0.25">
      <c r="O5396" s="20" t="str">
        <f>IF(N5396="","",COUNTIFS(RawData[[Date ]],N5396,RawData[Month List],$Q$6,RawData[Tour/Site],$Q$2,RawData[[Picker ID ]],$Q$3,RawData[Checker ID],$Q$4,RawData[[Error Type ]],$Q$5))</f>
        <v/>
      </c>
    </row>
    <row r="5397" spans="15:15" x14ac:dyDescent="0.25">
      <c r="O5397" s="20" t="str">
        <f>IF(N5397="","",COUNTIFS(RawData[[Date ]],N5397,RawData[Month List],$Q$6,RawData[Tour/Site],$Q$2,RawData[[Picker ID ]],$Q$3,RawData[Checker ID],$Q$4,RawData[[Error Type ]],$Q$5))</f>
        <v/>
      </c>
    </row>
    <row r="5398" spans="15:15" x14ac:dyDescent="0.25">
      <c r="O5398" s="20" t="str">
        <f>IF(N5398="","",COUNTIFS(RawData[[Date ]],N5398,RawData[Month List],$Q$6,RawData[Tour/Site],$Q$2,RawData[[Picker ID ]],$Q$3,RawData[Checker ID],$Q$4,RawData[[Error Type ]],$Q$5))</f>
        <v/>
      </c>
    </row>
    <row r="5399" spans="15:15" x14ac:dyDescent="0.25">
      <c r="O5399" s="20" t="str">
        <f>IF(N5399="","",COUNTIFS(RawData[[Date ]],N5399,RawData[Month List],$Q$6,RawData[Tour/Site],$Q$2,RawData[[Picker ID ]],$Q$3,RawData[Checker ID],$Q$4,RawData[[Error Type ]],$Q$5))</f>
        <v/>
      </c>
    </row>
    <row r="5400" spans="15:15" x14ac:dyDescent="0.25">
      <c r="O5400" s="20" t="str">
        <f>IF(N5400="","",COUNTIFS(RawData[[Date ]],N5400,RawData[Month List],$Q$6,RawData[Tour/Site],$Q$2,RawData[[Picker ID ]],$Q$3,RawData[Checker ID],$Q$4,RawData[[Error Type ]],$Q$5))</f>
        <v/>
      </c>
    </row>
    <row r="5401" spans="15:15" x14ac:dyDescent="0.25">
      <c r="O5401" s="20" t="str">
        <f>IF(N5401="","",COUNTIFS(RawData[[Date ]],N5401,RawData[Month List],$Q$6,RawData[Tour/Site],$Q$2,RawData[[Picker ID ]],$Q$3,RawData[Checker ID],$Q$4,RawData[[Error Type ]],$Q$5))</f>
        <v/>
      </c>
    </row>
    <row r="5402" spans="15:15" x14ac:dyDescent="0.25">
      <c r="O5402" s="20" t="str">
        <f>IF(N5402="","",COUNTIFS(RawData[[Date ]],N5402,RawData[Month List],$Q$6,RawData[Tour/Site],$Q$2,RawData[[Picker ID ]],$Q$3,RawData[Checker ID],$Q$4,RawData[[Error Type ]],$Q$5))</f>
        <v/>
      </c>
    </row>
    <row r="5403" spans="15:15" x14ac:dyDescent="0.25">
      <c r="O5403" s="20" t="str">
        <f>IF(N5403="","",COUNTIFS(RawData[[Date ]],N5403,RawData[Month List],$Q$6,RawData[Tour/Site],$Q$2,RawData[[Picker ID ]],$Q$3,RawData[Checker ID],$Q$4,RawData[[Error Type ]],$Q$5))</f>
        <v/>
      </c>
    </row>
    <row r="5404" spans="15:15" x14ac:dyDescent="0.25">
      <c r="O5404" s="20" t="str">
        <f>IF(N5404="","",COUNTIFS(RawData[[Date ]],N5404,RawData[Month List],$Q$6,RawData[Tour/Site],$Q$2,RawData[[Picker ID ]],$Q$3,RawData[Checker ID],$Q$4,RawData[[Error Type ]],$Q$5))</f>
        <v/>
      </c>
    </row>
    <row r="5405" spans="15:15" x14ac:dyDescent="0.25">
      <c r="O5405" s="20" t="str">
        <f>IF(N5405="","",COUNTIFS(RawData[[Date ]],N5405,RawData[Month List],$Q$6,RawData[Tour/Site],$Q$2,RawData[[Picker ID ]],$Q$3,RawData[Checker ID],$Q$4,RawData[[Error Type ]],$Q$5))</f>
        <v/>
      </c>
    </row>
    <row r="5406" spans="15:15" x14ac:dyDescent="0.25">
      <c r="O5406" s="20" t="str">
        <f>IF(N5406="","",COUNTIFS(RawData[[Date ]],N5406,RawData[Month List],$Q$6,RawData[Tour/Site],$Q$2,RawData[[Picker ID ]],$Q$3,RawData[Checker ID],$Q$4,RawData[[Error Type ]],$Q$5))</f>
        <v/>
      </c>
    </row>
    <row r="5407" spans="15:15" x14ac:dyDescent="0.25">
      <c r="O5407" s="20" t="str">
        <f>IF(N5407="","",COUNTIFS(RawData[[Date ]],N5407,RawData[Month List],$Q$6,RawData[Tour/Site],$Q$2,RawData[[Picker ID ]],$Q$3,RawData[Checker ID],$Q$4,RawData[[Error Type ]],$Q$5))</f>
        <v/>
      </c>
    </row>
    <row r="5408" spans="15:15" x14ac:dyDescent="0.25">
      <c r="O5408" s="20" t="str">
        <f>IF(N5408="","",COUNTIFS(RawData[[Date ]],N5408,RawData[Month List],$Q$6,RawData[Tour/Site],$Q$2,RawData[[Picker ID ]],$Q$3,RawData[Checker ID],$Q$4,RawData[[Error Type ]],$Q$5))</f>
        <v/>
      </c>
    </row>
    <row r="5409" spans="15:15" x14ac:dyDescent="0.25">
      <c r="O5409" s="20" t="str">
        <f>IF(N5409="","",COUNTIFS(RawData[[Date ]],N5409,RawData[Month List],$Q$6,RawData[Tour/Site],$Q$2,RawData[[Picker ID ]],$Q$3,RawData[Checker ID],$Q$4,RawData[[Error Type ]],$Q$5))</f>
        <v/>
      </c>
    </row>
    <row r="5410" spans="15:15" x14ac:dyDescent="0.25">
      <c r="O5410" s="20" t="str">
        <f>IF(N5410="","",COUNTIFS(RawData[[Date ]],N5410,RawData[Month List],$Q$6,RawData[Tour/Site],$Q$2,RawData[[Picker ID ]],$Q$3,RawData[Checker ID],$Q$4,RawData[[Error Type ]],$Q$5))</f>
        <v/>
      </c>
    </row>
    <row r="5411" spans="15:15" x14ac:dyDescent="0.25">
      <c r="O5411" s="20" t="str">
        <f>IF(N5411="","",COUNTIFS(RawData[[Date ]],N5411,RawData[Month List],$Q$6,RawData[Tour/Site],$Q$2,RawData[[Picker ID ]],$Q$3,RawData[Checker ID],$Q$4,RawData[[Error Type ]],$Q$5))</f>
        <v/>
      </c>
    </row>
    <row r="5412" spans="15:15" x14ac:dyDescent="0.25">
      <c r="O5412" s="20" t="str">
        <f>IF(N5412="","",COUNTIFS(RawData[[Date ]],N5412,RawData[Month List],$Q$6,RawData[Tour/Site],$Q$2,RawData[[Picker ID ]],$Q$3,RawData[Checker ID],$Q$4,RawData[[Error Type ]],$Q$5))</f>
        <v/>
      </c>
    </row>
    <row r="5413" spans="15:15" x14ac:dyDescent="0.25">
      <c r="O5413" s="20" t="str">
        <f>IF(N5413="","",COUNTIFS(RawData[[Date ]],N5413,RawData[Month List],$Q$6,RawData[Tour/Site],$Q$2,RawData[[Picker ID ]],$Q$3,RawData[Checker ID],$Q$4,RawData[[Error Type ]],$Q$5))</f>
        <v/>
      </c>
    </row>
    <row r="5414" spans="15:15" x14ac:dyDescent="0.25">
      <c r="O5414" s="20" t="str">
        <f>IF(N5414="","",COUNTIFS(RawData[[Date ]],N5414,RawData[Month List],$Q$6,RawData[Tour/Site],$Q$2,RawData[[Picker ID ]],$Q$3,RawData[Checker ID],$Q$4,RawData[[Error Type ]],$Q$5))</f>
        <v/>
      </c>
    </row>
    <row r="5415" spans="15:15" x14ac:dyDescent="0.25">
      <c r="O5415" s="20" t="str">
        <f>IF(N5415="","",COUNTIFS(RawData[[Date ]],N5415,RawData[Month List],$Q$6,RawData[Tour/Site],$Q$2,RawData[[Picker ID ]],$Q$3,RawData[Checker ID],$Q$4,RawData[[Error Type ]],$Q$5))</f>
        <v/>
      </c>
    </row>
    <row r="5416" spans="15:15" x14ac:dyDescent="0.25">
      <c r="O5416" s="20" t="str">
        <f>IF(N5416="","",COUNTIFS(RawData[[Date ]],N5416,RawData[Month List],$Q$6,RawData[Tour/Site],$Q$2,RawData[[Picker ID ]],$Q$3,RawData[Checker ID],$Q$4,RawData[[Error Type ]],$Q$5))</f>
        <v/>
      </c>
    </row>
    <row r="5417" spans="15:15" x14ac:dyDescent="0.25">
      <c r="O5417" s="20" t="str">
        <f>IF(N5417="","",COUNTIFS(RawData[[Date ]],N5417,RawData[Month List],$Q$6,RawData[Tour/Site],$Q$2,RawData[[Picker ID ]],$Q$3,RawData[Checker ID],$Q$4,RawData[[Error Type ]],$Q$5))</f>
        <v/>
      </c>
    </row>
    <row r="5418" spans="15:15" x14ac:dyDescent="0.25">
      <c r="O5418" s="20" t="str">
        <f>IF(N5418="","",COUNTIFS(RawData[[Date ]],N5418,RawData[Month List],$Q$6,RawData[Tour/Site],$Q$2,RawData[[Picker ID ]],$Q$3,RawData[Checker ID],$Q$4,RawData[[Error Type ]],$Q$5))</f>
        <v/>
      </c>
    </row>
    <row r="5419" spans="15:15" x14ac:dyDescent="0.25">
      <c r="O5419" s="20" t="str">
        <f>IF(N5419="","",COUNTIFS(RawData[[Date ]],N5419,RawData[Month List],$Q$6,RawData[Tour/Site],$Q$2,RawData[[Picker ID ]],$Q$3,RawData[Checker ID],$Q$4,RawData[[Error Type ]],$Q$5))</f>
        <v/>
      </c>
    </row>
    <row r="5420" spans="15:15" x14ac:dyDescent="0.25">
      <c r="O5420" s="20" t="str">
        <f>IF(N5420="","",COUNTIFS(RawData[[Date ]],N5420,RawData[Month List],$Q$6,RawData[Tour/Site],$Q$2,RawData[[Picker ID ]],$Q$3,RawData[Checker ID],$Q$4,RawData[[Error Type ]],$Q$5))</f>
        <v/>
      </c>
    </row>
    <row r="5421" spans="15:15" x14ac:dyDescent="0.25">
      <c r="O5421" s="20" t="str">
        <f>IF(N5421="","",COUNTIFS(RawData[[Date ]],N5421,RawData[Month List],$Q$6,RawData[Tour/Site],$Q$2,RawData[[Picker ID ]],$Q$3,RawData[Checker ID],$Q$4,RawData[[Error Type ]],$Q$5))</f>
        <v/>
      </c>
    </row>
    <row r="5422" spans="15:15" x14ac:dyDescent="0.25">
      <c r="O5422" s="20" t="str">
        <f>IF(N5422="","",COUNTIFS(RawData[[Date ]],N5422,RawData[Month List],$Q$6,RawData[Tour/Site],$Q$2,RawData[[Picker ID ]],$Q$3,RawData[Checker ID],$Q$4,RawData[[Error Type ]],$Q$5))</f>
        <v/>
      </c>
    </row>
    <row r="5423" spans="15:15" x14ac:dyDescent="0.25">
      <c r="O5423" s="20" t="str">
        <f>IF(N5423="","",COUNTIFS(RawData[[Date ]],N5423,RawData[Month List],$Q$6,RawData[Tour/Site],$Q$2,RawData[[Picker ID ]],$Q$3,RawData[Checker ID],$Q$4,RawData[[Error Type ]],$Q$5))</f>
        <v/>
      </c>
    </row>
    <row r="5424" spans="15:15" x14ac:dyDescent="0.25">
      <c r="O5424" s="20" t="str">
        <f>IF(N5424="","",COUNTIFS(RawData[[Date ]],N5424,RawData[Month List],$Q$6,RawData[Tour/Site],$Q$2,RawData[[Picker ID ]],$Q$3,RawData[Checker ID],$Q$4,RawData[[Error Type ]],$Q$5))</f>
        <v/>
      </c>
    </row>
    <row r="5425" spans="15:15" x14ac:dyDescent="0.25">
      <c r="O5425" s="20" t="str">
        <f>IF(N5425="","",COUNTIFS(RawData[[Date ]],N5425,RawData[Month List],$Q$6,RawData[Tour/Site],$Q$2,RawData[[Picker ID ]],$Q$3,RawData[Checker ID],$Q$4,RawData[[Error Type ]],$Q$5))</f>
        <v/>
      </c>
    </row>
    <row r="5426" spans="15:15" x14ac:dyDescent="0.25">
      <c r="O5426" s="20" t="str">
        <f>IF(N5426="","",COUNTIFS(RawData[[Date ]],N5426,RawData[Month List],$Q$6,RawData[Tour/Site],$Q$2,RawData[[Picker ID ]],$Q$3,RawData[Checker ID],$Q$4,RawData[[Error Type ]],$Q$5))</f>
        <v/>
      </c>
    </row>
    <row r="5427" spans="15:15" x14ac:dyDescent="0.25">
      <c r="O5427" s="20" t="str">
        <f>IF(N5427="","",COUNTIFS(RawData[[Date ]],N5427,RawData[Month List],$Q$6,RawData[Tour/Site],$Q$2,RawData[[Picker ID ]],$Q$3,RawData[Checker ID],$Q$4,RawData[[Error Type ]],$Q$5))</f>
        <v/>
      </c>
    </row>
    <row r="5428" spans="15:15" x14ac:dyDescent="0.25">
      <c r="O5428" s="20" t="str">
        <f>IF(N5428="","",COUNTIFS(RawData[[Date ]],N5428,RawData[Month List],$Q$6,RawData[Tour/Site],$Q$2,RawData[[Picker ID ]],$Q$3,RawData[Checker ID],$Q$4,RawData[[Error Type ]],$Q$5))</f>
        <v/>
      </c>
    </row>
    <row r="5429" spans="15:15" x14ac:dyDescent="0.25">
      <c r="O5429" s="20" t="str">
        <f>IF(N5429="","",COUNTIFS(RawData[[Date ]],N5429,RawData[Month List],$Q$6,RawData[Tour/Site],$Q$2,RawData[[Picker ID ]],$Q$3,RawData[Checker ID],$Q$4,RawData[[Error Type ]],$Q$5))</f>
        <v/>
      </c>
    </row>
    <row r="5430" spans="15:15" x14ac:dyDescent="0.25">
      <c r="O5430" s="20" t="str">
        <f>IF(N5430="","",COUNTIFS(RawData[[Date ]],N5430,RawData[Month List],$Q$6,RawData[Tour/Site],$Q$2,RawData[[Picker ID ]],$Q$3,RawData[Checker ID],$Q$4,RawData[[Error Type ]],$Q$5))</f>
        <v/>
      </c>
    </row>
    <row r="5431" spans="15:15" x14ac:dyDescent="0.25">
      <c r="O5431" s="20" t="str">
        <f>IF(N5431="","",COUNTIFS(RawData[[Date ]],N5431,RawData[Month List],$Q$6,RawData[Tour/Site],$Q$2,RawData[[Picker ID ]],$Q$3,RawData[Checker ID],$Q$4,RawData[[Error Type ]],$Q$5))</f>
        <v/>
      </c>
    </row>
    <row r="5432" spans="15:15" x14ac:dyDescent="0.25">
      <c r="O5432" s="20" t="str">
        <f>IF(N5432="","",COUNTIFS(RawData[[Date ]],N5432,RawData[Month List],$Q$6,RawData[Tour/Site],$Q$2,RawData[[Picker ID ]],$Q$3,RawData[Checker ID],$Q$4,RawData[[Error Type ]],$Q$5))</f>
        <v/>
      </c>
    </row>
    <row r="5433" spans="15:15" x14ac:dyDescent="0.25">
      <c r="O5433" s="20" t="str">
        <f>IF(N5433="","",COUNTIFS(RawData[[Date ]],N5433,RawData[Month List],$Q$6,RawData[Tour/Site],$Q$2,RawData[[Picker ID ]],$Q$3,RawData[Checker ID],$Q$4,RawData[[Error Type ]],$Q$5))</f>
        <v/>
      </c>
    </row>
    <row r="5434" spans="15:15" x14ac:dyDescent="0.25">
      <c r="O5434" s="20" t="str">
        <f>IF(N5434="","",COUNTIFS(RawData[[Date ]],N5434,RawData[Month List],$Q$6,RawData[Tour/Site],$Q$2,RawData[[Picker ID ]],$Q$3,RawData[Checker ID],$Q$4,RawData[[Error Type ]],$Q$5))</f>
        <v/>
      </c>
    </row>
    <row r="5435" spans="15:15" x14ac:dyDescent="0.25">
      <c r="O5435" s="20" t="str">
        <f>IF(N5435="","",COUNTIFS(RawData[[Date ]],N5435,RawData[Month List],$Q$6,RawData[Tour/Site],$Q$2,RawData[[Picker ID ]],$Q$3,RawData[Checker ID],$Q$4,RawData[[Error Type ]],$Q$5))</f>
        <v/>
      </c>
    </row>
    <row r="5436" spans="15:15" x14ac:dyDescent="0.25">
      <c r="O5436" s="20" t="str">
        <f>IF(N5436="","",COUNTIFS(RawData[[Date ]],N5436,RawData[Month List],$Q$6,RawData[Tour/Site],$Q$2,RawData[[Picker ID ]],$Q$3,RawData[Checker ID],$Q$4,RawData[[Error Type ]],$Q$5))</f>
        <v/>
      </c>
    </row>
    <row r="5437" spans="15:15" x14ac:dyDescent="0.25">
      <c r="O5437" s="20" t="str">
        <f>IF(N5437="","",COUNTIFS(RawData[[Date ]],N5437,RawData[Month List],$Q$6,RawData[Tour/Site],$Q$2,RawData[[Picker ID ]],$Q$3,RawData[Checker ID],$Q$4,RawData[[Error Type ]],$Q$5))</f>
        <v/>
      </c>
    </row>
    <row r="5438" spans="15:15" x14ac:dyDescent="0.25">
      <c r="O5438" s="20" t="str">
        <f>IF(N5438="","",COUNTIFS(RawData[[Date ]],N5438,RawData[Month List],$Q$6,RawData[Tour/Site],$Q$2,RawData[[Picker ID ]],$Q$3,RawData[Checker ID],$Q$4,RawData[[Error Type ]],$Q$5))</f>
        <v/>
      </c>
    </row>
    <row r="5439" spans="15:15" x14ac:dyDescent="0.25">
      <c r="O5439" s="20" t="str">
        <f>IF(N5439="","",COUNTIFS(RawData[[Date ]],N5439,RawData[Month List],$Q$6,RawData[Tour/Site],$Q$2,RawData[[Picker ID ]],$Q$3,RawData[Checker ID],$Q$4,RawData[[Error Type ]],$Q$5))</f>
        <v/>
      </c>
    </row>
    <row r="5440" spans="15:15" x14ac:dyDescent="0.25">
      <c r="O5440" s="20" t="str">
        <f>IF(N5440="","",COUNTIFS(RawData[[Date ]],N5440,RawData[Month List],$Q$6,RawData[Tour/Site],$Q$2,RawData[[Picker ID ]],$Q$3,RawData[Checker ID],$Q$4,RawData[[Error Type ]],$Q$5))</f>
        <v/>
      </c>
    </row>
    <row r="5441" spans="15:15" x14ac:dyDescent="0.25">
      <c r="O5441" s="20" t="str">
        <f>IF(N5441="","",COUNTIFS(RawData[[Date ]],N5441,RawData[Month List],$Q$6,RawData[Tour/Site],$Q$2,RawData[[Picker ID ]],$Q$3,RawData[Checker ID],$Q$4,RawData[[Error Type ]],$Q$5))</f>
        <v/>
      </c>
    </row>
    <row r="5442" spans="15:15" x14ac:dyDescent="0.25">
      <c r="O5442" s="20" t="str">
        <f>IF(N5442="","",COUNTIFS(RawData[[Date ]],N5442,RawData[Month List],$Q$6,RawData[Tour/Site],$Q$2,RawData[[Picker ID ]],$Q$3,RawData[Checker ID],$Q$4,RawData[[Error Type ]],$Q$5))</f>
        <v/>
      </c>
    </row>
    <row r="5443" spans="15:15" x14ac:dyDescent="0.25">
      <c r="O5443" s="20" t="str">
        <f>IF(N5443="","",COUNTIFS(RawData[[Date ]],N5443,RawData[Month List],$Q$6,RawData[Tour/Site],$Q$2,RawData[[Picker ID ]],$Q$3,RawData[Checker ID],$Q$4,RawData[[Error Type ]],$Q$5))</f>
        <v/>
      </c>
    </row>
    <row r="5444" spans="15:15" x14ac:dyDescent="0.25">
      <c r="O5444" s="20" t="str">
        <f>IF(N5444="","",COUNTIFS(RawData[[Date ]],N5444,RawData[Month List],$Q$6,RawData[Tour/Site],$Q$2,RawData[[Picker ID ]],$Q$3,RawData[Checker ID],$Q$4,RawData[[Error Type ]],$Q$5))</f>
        <v/>
      </c>
    </row>
    <row r="5445" spans="15:15" x14ac:dyDescent="0.25">
      <c r="O5445" s="20" t="str">
        <f>IF(N5445="","",COUNTIFS(RawData[[Date ]],N5445,RawData[Month List],$Q$6,RawData[Tour/Site],$Q$2,RawData[[Picker ID ]],$Q$3,RawData[Checker ID],$Q$4,RawData[[Error Type ]],$Q$5))</f>
        <v/>
      </c>
    </row>
    <row r="5446" spans="15:15" x14ac:dyDescent="0.25">
      <c r="O5446" s="20" t="str">
        <f>IF(N5446="","",COUNTIFS(RawData[[Date ]],N5446,RawData[Month List],$Q$6,RawData[Tour/Site],$Q$2,RawData[[Picker ID ]],$Q$3,RawData[Checker ID],$Q$4,RawData[[Error Type ]],$Q$5))</f>
        <v/>
      </c>
    </row>
    <row r="5447" spans="15:15" x14ac:dyDescent="0.25">
      <c r="O5447" s="20" t="str">
        <f>IF(N5447="","",COUNTIFS(RawData[[Date ]],N5447,RawData[Month List],$Q$6,RawData[Tour/Site],$Q$2,RawData[[Picker ID ]],$Q$3,RawData[Checker ID],$Q$4,RawData[[Error Type ]],$Q$5))</f>
        <v/>
      </c>
    </row>
    <row r="5448" spans="15:15" x14ac:dyDescent="0.25">
      <c r="O5448" s="20" t="str">
        <f>IF(N5448="","",COUNTIFS(RawData[[Date ]],N5448,RawData[Month List],$Q$6,RawData[Tour/Site],$Q$2,RawData[[Picker ID ]],$Q$3,RawData[Checker ID],$Q$4,RawData[[Error Type ]],$Q$5))</f>
        <v/>
      </c>
    </row>
    <row r="5449" spans="15:15" x14ac:dyDescent="0.25">
      <c r="O5449" s="20" t="str">
        <f>IF(N5449="","",COUNTIFS(RawData[[Date ]],N5449,RawData[Month List],$Q$6,RawData[Tour/Site],$Q$2,RawData[[Picker ID ]],$Q$3,RawData[Checker ID],$Q$4,RawData[[Error Type ]],$Q$5))</f>
        <v/>
      </c>
    </row>
    <row r="5450" spans="15:15" x14ac:dyDescent="0.25">
      <c r="O5450" s="20" t="str">
        <f>IF(N5450="","",COUNTIFS(RawData[[Date ]],N5450,RawData[Month List],$Q$6,RawData[Tour/Site],$Q$2,RawData[[Picker ID ]],$Q$3,RawData[Checker ID],$Q$4,RawData[[Error Type ]],$Q$5))</f>
        <v/>
      </c>
    </row>
    <row r="5451" spans="15:15" x14ac:dyDescent="0.25">
      <c r="O5451" s="20" t="str">
        <f>IF(N5451="","",COUNTIFS(RawData[[Date ]],N5451,RawData[Month List],$Q$6,RawData[Tour/Site],$Q$2,RawData[[Picker ID ]],$Q$3,RawData[Checker ID],$Q$4,RawData[[Error Type ]],$Q$5))</f>
        <v/>
      </c>
    </row>
    <row r="5452" spans="15:15" x14ac:dyDescent="0.25">
      <c r="O5452" s="20" t="str">
        <f>IF(N5452="","",COUNTIFS(RawData[[Date ]],N5452,RawData[Month List],$Q$6,RawData[Tour/Site],$Q$2,RawData[[Picker ID ]],$Q$3,RawData[Checker ID],$Q$4,RawData[[Error Type ]],$Q$5))</f>
        <v/>
      </c>
    </row>
    <row r="5453" spans="15:15" x14ac:dyDescent="0.25">
      <c r="O5453" s="20" t="str">
        <f>IF(N5453="","",COUNTIFS(RawData[[Date ]],N5453,RawData[Month List],$Q$6,RawData[Tour/Site],$Q$2,RawData[[Picker ID ]],$Q$3,RawData[Checker ID],$Q$4,RawData[[Error Type ]],$Q$5))</f>
        <v/>
      </c>
    </row>
    <row r="5454" spans="15:15" x14ac:dyDescent="0.25">
      <c r="O5454" s="20" t="str">
        <f>IF(N5454="","",COUNTIFS(RawData[[Date ]],N5454,RawData[Month List],$Q$6,RawData[Tour/Site],$Q$2,RawData[[Picker ID ]],$Q$3,RawData[Checker ID],$Q$4,RawData[[Error Type ]],$Q$5))</f>
        <v/>
      </c>
    </row>
    <row r="5455" spans="15:15" x14ac:dyDescent="0.25">
      <c r="O5455" s="20" t="str">
        <f>IF(N5455="","",COUNTIFS(RawData[[Date ]],N5455,RawData[Month List],$Q$6,RawData[Tour/Site],$Q$2,RawData[[Picker ID ]],$Q$3,RawData[Checker ID],$Q$4,RawData[[Error Type ]],$Q$5))</f>
        <v/>
      </c>
    </row>
    <row r="5456" spans="15:15" x14ac:dyDescent="0.25">
      <c r="O5456" s="20" t="str">
        <f>IF(N5456="","",COUNTIFS(RawData[[Date ]],N5456,RawData[Month List],$Q$6,RawData[Tour/Site],$Q$2,RawData[[Picker ID ]],$Q$3,RawData[Checker ID],$Q$4,RawData[[Error Type ]],$Q$5))</f>
        <v/>
      </c>
    </row>
    <row r="5457" spans="15:15" x14ac:dyDescent="0.25">
      <c r="O5457" s="20" t="str">
        <f>IF(N5457="","",COUNTIFS(RawData[[Date ]],N5457,RawData[Month List],$Q$6,RawData[Tour/Site],$Q$2,RawData[[Picker ID ]],$Q$3,RawData[Checker ID],$Q$4,RawData[[Error Type ]],$Q$5))</f>
        <v/>
      </c>
    </row>
    <row r="5458" spans="15:15" x14ac:dyDescent="0.25">
      <c r="O5458" s="20" t="str">
        <f>IF(N5458="","",COUNTIFS(RawData[[Date ]],N5458,RawData[Month List],$Q$6,RawData[Tour/Site],$Q$2,RawData[[Picker ID ]],$Q$3,RawData[Checker ID],$Q$4,RawData[[Error Type ]],$Q$5))</f>
        <v/>
      </c>
    </row>
    <row r="5459" spans="15:15" x14ac:dyDescent="0.25">
      <c r="O5459" s="20" t="str">
        <f>IF(N5459="","",COUNTIFS(RawData[[Date ]],N5459,RawData[Month List],$Q$6,RawData[Tour/Site],$Q$2,RawData[[Picker ID ]],$Q$3,RawData[Checker ID],$Q$4,RawData[[Error Type ]],$Q$5))</f>
        <v/>
      </c>
    </row>
    <row r="5460" spans="15:15" x14ac:dyDescent="0.25">
      <c r="O5460" s="20" t="str">
        <f>IF(N5460="","",COUNTIFS(RawData[[Date ]],N5460,RawData[Month List],$Q$6,RawData[Tour/Site],$Q$2,RawData[[Picker ID ]],$Q$3,RawData[Checker ID],$Q$4,RawData[[Error Type ]],$Q$5))</f>
        <v/>
      </c>
    </row>
    <row r="5461" spans="15:15" x14ac:dyDescent="0.25">
      <c r="O5461" s="20" t="str">
        <f>IF(N5461="","",COUNTIFS(RawData[[Date ]],N5461,RawData[Month List],$Q$6,RawData[Tour/Site],$Q$2,RawData[[Picker ID ]],$Q$3,RawData[Checker ID],$Q$4,RawData[[Error Type ]],$Q$5))</f>
        <v/>
      </c>
    </row>
    <row r="5462" spans="15:15" x14ac:dyDescent="0.25">
      <c r="O5462" s="20" t="str">
        <f>IF(N5462="","",COUNTIFS(RawData[[Date ]],N5462,RawData[Month List],$Q$6,RawData[Tour/Site],$Q$2,RawData[[Picker ID ]],$Q$3,RawData[Checker ID],$Q$4,RawData[[Error Type ]],$Q$5))</f>
        <v/>
      </c>
    </row>
    <row r="5463" spans="15:15" x14ac:dyDescent="0.25">
      <c r="O5463" s="20" t="str">
        <f>IF(N5463="","",COUNTIFS(RawData[[Date ]],N5463,RawData[Month List],$Q$6,RawData[Tour/Site],$Q$2,RawData[[Picker ID ]],$Q$3,RawData[Checker ID],$Q$4,RawData[[Error Type ]],$Q$5))</f>
        <v/>
      </c>
    </row>
    <row r="5464" spans="15:15" x14ac:dyDescent="0.25">
      <c r="O5464" s="20" t="str">
        <f>IF(N5464="","",COUNTIFS(RawData[[Date ]],N5464,RawData[Month List],$Q$6,RawData[Tour/Site],$Q$2,RawData[[Picker ID ]],$Q$3,RawData[Checker ID],$Q$4,RawData[[Error Type ]],$Q$5))</f>
        <v/>
      </c>
    </row>
    <row r="5465" spans="15:15" x14ac:dyDescent="0.25">
      <c r="O5465" s="20" t="str">
        <f>IF(N5465="","",COUNTIFS(RawData[[Date ]],N5465,RawData[Month List],$Q$6,RawData[Tour/Site],$Q$2,RawData[[Picker ID ]],$Q$3,RawData[Checker ID],$Q$4,RawData[[Error Type ]],$Q$5))</f>
        <v/>
      </c>
    </row>
    <row r="5466" spans="15:15" x14ac:dyDescent="0.25">
      <c r="O5466" s="20" t="str">
        <f>IF(N5466="","",COUNTIFS(RawData[[Date ]],N5466,RawData[Month List],$Q$6,RawData[Tour/Site],$Q$2,RawData[[Picker ID ]],$Q$3,RawData[Checker ID],$Q$4,RawData[[Error Type ]],$Q$5))</f>
        <v/>
      </c>
    </row>
    <row r="5467" spans="15:15" x14ac:dyDescent="0.25">
      <c r="O5467" s="20" t="str">
        <f>IF(N5467="","",COUNTIFS(RawData[[Date ]],N5467,RawData[Month List],$Q$6,RawData[Tour/Site],$Q$2,RawData[[Picker ID ]],$Q$3,RawData[Checker ID],$Q$4,RawData[[Error Type ]],$Q$5))</f>
        <v/>
      </c>
    </row>
    <row r="5468" spans="15:15" x14ac:dyDescent="0.25">
      <c r="O5468" s="20" t="str">
        <f>IF(N5468="","",COUNTIFS(RawData[[Date ]],N5468,RawData[Month List],$Q$6,RawData[Tour/Site],$Q$2,RawData[[Picker ID ]],$Q$3,RawData[Checker ID],$Q$4,RawData[[Error Type ]],$Q$5))</f>
        <v/>
      </c>
    </row>
    <row r="5469" spans="15:15" x14ac:dyDescent="0.25">
      <c r="O5469" s="20" t="str">
        <f>IF(N5469="","",COUNTIFS(RawData[[Date ]],N5469,RawData[Month List],$Q$6,RawData[Tour/Site],$Q$2,RawData[[Picker ID ]],$Q$3,RawData[Checker ID],$Q$4,RawData[[Error Type ]],$Q$5))</f>
        <v/>
      </c>
    </row>
    <row r="5470" spans="15:15" x14ac:dyDescent="0.25">
      <c r="O5470" s="20" t="str">
        <f>IF(N5470="","",COUNTIFS(RawData[[Date ]],N5470,RawData[Month List],$Q$6,RawData[Tour/Site],$Q$2,RawData[[Picker ID ]],$Q$3,RawData[Checker ID],$Q$4,RawData[[Error Type ]],$Q$5))</f>
        <v/>
      </c>
    </row>
    <row r="5471" spans="15:15" x14ac:dyDescent="0.25">
      <c r="O5471" s="20" t="str">
        <f>IF(N5471="","",COUNTIFS(RawData[[Date ]],N5471,RawData[Month List],$Q$6,RawData[Tour/Site],$Q$2,RawData[[Picker ID ]],$Q$3,RawData[Checker ID],$Q$4,RawData[[Error Type ]],$Q$5))</f>
        <v/>
      </c>
    </row>
    <row r="5472" spans="15:15" x14ac:dyDescent="0.25">
      <c r="O5472" s="20" t="str">
        <f>IF(N5472="","",COUNTIFS(RawData[[Date ]],N5472,RawData[Month List],$Q$6,RawData[Tour/Site],$Q$2,RawData[[Picker ID ]],$Q$3,RawData[Checker ID],$Q$4,RawData[[Error Type ]],$Q$5))</f>
        <v/>
      </c>
    </row>
    <row r="5473" spans="15:15" x14ac:dyDescent="0.25">
      <c r="O5473" s="20" t="str">
        <f>IF(N5473="","",COUNTIFS(RawData[[Date ]],N5473,RawData[Month List],$Q$6,RawData[Tour/Site],$Q$2,RawData[[Picker ID ]],$Q$3,RawData[Checker ID],$Q$4,RawData[[Error Type ]],$Q$5))</f>
        <v/>
      </c>
    </row>
    <row r="5474" spans="15:15" x14ac:dyDescent="0.25">
      <c r="O5474" s="20" t="str">
        <f>IF(N5474="","",COUNTIFS(RawData[[Date ]],N5474,RawData[Month List],$Q$6,RawData[Tour/Site],$Q$2,RawData[[Picker ID ]],$Q$3,RawData[Checker ID],$Q$4,RawData[[Error Type ]],$Q$5))</f>
        <v/>
      </c>
    </row>
    <row r="5475" spans="15:15" x14ac:dyDescent="0.25">
      <c r="O5475" s="20" t="str">
        <f>IF(N5475="","",COUNTIFS(RawData[[Date ]],N5475,RawData[Month List],$Q$6,RawData[Tour/Site],$Q$2,RawData[[Picker ID ]],$Q$3,RawData[Checker ID],$Q$4,RawData[[Error Type ]],$Q$5))</f>
        <v/>
      </c>
    </row>
    <row r="5476" spans="15:15" x14ac:dyDescent="0.25">
      <c r="O5476" s="20" t="str">
        <f>IF(N5476="","",COUNTIFS(RawData[[Date ]],N5476,RawData[Month List],$Q$6,RawData[Tour/Site],$Q$2,RawData[[Picker ID ]],$Q$3,RawData[Checker ID],$Q$4,RawData[[Error Type ]],$Q$5))</f>
        <v/>
      </c>
    </row>
    <row r="5477" spans="15:15" x14ac:dyDescent="0.25">
      <c r="O5477" s="20" t="str">
        <f>IF(N5477="","",COUNTIFS(RawData[[Date ]],N5477,RawData[Month List],$Q$6,RawData[Tour/Site],$Q$2,RawData[[Picker ID ]],$Q$3,RawData[Checker ID],$Q$4,RawData[[Error Type ]],$Q$5))</f>
        <v/>
      </c>
    </row>
    <row r="5478" spans="15:15" x14ac:dyDescent="0.25">
      <c r="O5478" s="20" t="str">
        <f>IF(N5478="","",COUNTIFS(RawData[[Date ]],N5478,RawData[Month List],$Q$6,RawData[Tour/Site],$Q$2,RawData[[Picker ID ]],$Q$3,RawData[Checker ID],$Q$4,RawData[[Error Type ]],$Q$5))</f>
        <v/>
      </c>
    </row>
    <row r="5479" spans="15:15" x14ac:dyDescent="0.25">
      <c r="O5479" s="20" t="str">
        <f>IF(N5479="","",COUNTIFS(RawData[[Date ]],N5479,RawData[Month List],$Q$6,RawData[Tour/Site],$Q$2,RawData[[Picker ID ]],$Q$3,RawData[Checker ID],$Q$4,RawData[[Error Type ]],$Q$5))</f>
        <v/>
      </c>
    </row>
    <row r="5480" spans="15:15" x14ac:dyDescent="0.25">
      <c r="O5480" s="20" t="str">
        <f>IF(N5480="","",COUNTIFS(RawData[[Date ]],N5480,RawData[Month List],$Q$6,RawData[Tour/Site],$Q$2,RawData[[Picker ID ]],$Q$3,RawData[Checker ID],$Q$4,RawData[[Error Type ]],$Q$5))</f>
        <v/>
      </c>
    </row>
    <row r="5481" spans="15:15" x14ac:dyDescent="0.25">
      <c r="O5481" s="20" t="str">
        <f>IF(N5481="","",COUNTIFS(RawData[[Date ]],N5481,RawData[Month List],$Q$6,RawData[Tour/Site],$Q$2,RawData[[Picker ID ]],$Q$3,RawData[Checker ID],$Q$4,RawData[[Error Type ]],$Q$5))</f>
        <v/>
      </c>
    </row>
    <row r="5482" spans="15:15" x14ac:dyDescent="0.25">
      <c r="O5482" s="20" t="str">
        <f>IF(N5482="","",COUNTIFS(RawData[[Date ]],N5482,RawData[Month List],$Q$6,RawData[Tour/Site],$Q$2,RawData[[Picker ID ]],$Q$3,RawData[Checker ID],$Q$4,RawData[[Error Type ]],$Q$5))</f>
        <v/>
      </c>
    </row>
    <row r="5483" spans="15:15" x14ac:dyDescent="0.25">
      <c r="O5483" s="20" t="str">
        <f>IF(N5483="","",COUNTIFS(RawData[[Date ]],N5483,RawData[Month List],$Q$6,RawData[Tour/Site],$Q$2,RawData[[Picker ID ]],$Q$3,RawData[Checker ID],$Q$4,RawData[[Error Type ]],$Q$5))</f>
        <v/>
      </c>
    </row>
    <row r="5484" spans="15:15" x14ac:dyDescent="0.25">
      <c r="O5484" s="20" t="str">
        <f>IF(N5484="","",COUNTIFS(RawData[[Date ]],N5484,RawData[Month List],$Q$6,RawData[Tour/Site],$Q$2,RawData[[Picker ID ]],$Q$3,RawData[Checker ID],$Q$4,RawData[[Error Type ]],$Q$5))</f>
        <v/>
      </c>
    </row>
    <row r="5485" spans="15:15" x14ac:dyDescent="0.25">
      <c r="O5485" s="20" t="str">
        <f>IF(N5485="","",COUNTIFS(RawData[[Date ]],N5485,RawData[Month List],$Q$6,RawData[Tour/Site],$Q$2,RawData[[Picker ID ]],$Q$3,RawData[Checker ID],$Q$4,RawData[[Error Type ]],$Q$5))</f>
        <v/>
      </c>
    </row>
    <row r="5486" spans="15:15" x14ac:dyDescent="0.25">
      <c r="O5486" s="20" t="str">
        <f>IF(N5486="","",COUNTIFS(RawData[[Date ]],N5486,RawData[Month List],$Q$6,RawData[Tour/Site],$Q$2,RawData[[Picker ID ]],$Q$3,RawData[Checker ID],$Q$4,RawData[[Error Type ]],$Q$5))</f>
        <v/>
      </c>
    </row>
    <row r="5487" spans="15:15" x14ac:dyDescent="0.25">
      <c r="O5487" s="20" t="str">
        <f>IF(N5487="","",COUNTIFS(RawData[[Date ]],N5487,RawData[Month List],$Q$6,RawData[Tour/Site],$Q$2,RawData[[Picker ID ]],$Q$3,RawData[Checker ID],$Q$4,RawData[[Error Type ]],$Q$5))</f>
        <v/>
      </c>
    </row>
    <row r="5488" spans="15:15" x14ac:dyDescent="0.25">
      <c r="O5488" s="20" t="str">
        <f>IF(N5488="","",COUNTIFS(RawData[[Date ]],N5488,RawData[Month List],$Q$6,RawData[Tour/Site],$Q$2,RawData[[Picker ID ]],$Q$3,RawData[Checker ID],$Q$4,RawData[[Error Type ]],$Q$5))</f>
        <v/>
      </c>
    </row>
    <row r="5489" spans="15:15" x14ac:dyDescent="0.25">
      <c r="O5489" s="20" t="str">
        <f>IF(N5489="","",COUNTIFS(RawData[[Date ]],N5489,RawData[Month List],$Q$6,RawData[Tour/Site],$Q$2,RawData[[Picker ID ]],$Q$3,RawData[Checker ID],$Q$4,RawData[[Error Type ]],$Q$5))</f>
        <v/>
      </c>
    </row>
    <row r="5490" spans="15:15" x14ac:dyDescent="0.25">
      <c r="O5490" s="20" t="str">
        <f>IF(N5490="","",COUNTIFS(RawData[[Date ]],N5490,RawData[Month List],$Q$6,RawData[Tour/Site],$Q$2,RawData[[Picker ID ]],$Q$3,RawData[Checker ID],$Q$4,RawData[[Error Type ]],$Q$5))</f>
        <v/>
      </c>
    </row>
    <row r="5491" spans="15:15" x14ac:dyDescent="0.25">
      <c r="O5491" s="20" t="str">
        <f>IF(N5491="","",COUNTIFS(RawData[[Date ]],N5491,RawData[Month List],$Q$6,RawData[Tour/Site],$Q$2,RawData[[Picker ID ]],$Q$3,RawData[Checker ID],$Q$4,RawData[[Error Type ]],$Q$5))</f>
        <v/>
      </c>
    </row>
    <row r="5492" spans="15:15" x14ac:dyDescent="0.25">
      <c r="O5492" s="20" t="str">
        <f>IF(N5492="","",COUNTIFS(RawData[[Date ]],N5492,RawData[Month List],$Q$6,RawData[Tour/Site],$Q$2,RawData[[Picker ID ]],$Q$3,RawData[Checker ID],$Q$4,RawData[[Error Type ]],$Q$5))</f>
        <v/>
      </c>
    </row>
    <row r="5493" spans="15:15" x14ac:dyDescent="0.25">
      <c r="O5493" s="20" t="str">
        <f>IF(N5493="","",COUNTIFS(RawData[[Date ]],N5493,RawData[Month List],$Q$6,RawData[Tour/Site],$Q$2,RawData[[Picker ID ]],$Q$3,RawData[Checker ID],$Q$4,RawData[[Error Type ]],$Q$5))</f>
        <v/>
      </c>
    </row>
    <row r="5494" spans="15:15" x14ac:dyDescent="0.25">
      <c r="O5494" s="20" t="str">
        <f>IF(N5494="","",COUNTIFS(RawData[[Date ]],N5494,RawData[Month List],$Q$6,RawData[Tour/Site],$Q$2,RawData[[Picker ID ]],$Q$3,RawData[Checker ID],$Q$4,RawData[[Error Type ]],$Q$5))</f>
        <v/>
      </c>
    </row>
    <row r="5495" spans="15:15" x14ac:dyDescent="0.25">
      <c r="O5495" s="20" t="str">
        <f>IF(N5495="","",COUNTIFS(RawData[[Date ]],N5495,RawData[Month List],$Q$6,RawData[Tour/Site],$Q$2,RawData[[Picker ID ]],$Q$3,RawData[Checker ID],$Q$4,RawData[[Error Type ]],$Q$5))</f>
        <v/>
      </c>
    </row>
    <row r="5496" spans="15:15" x14ac:dyDescent="0.25">
      <c r="O5496" s="20" t="str">
        <f>IF(N5496="","",COUNTIFS(RawData[[Date ]],N5496,RawData[Month List],$Q$6,RawData[Tour/Site],$Q$2,RawData[[Picker ID ]],$Q$3,RawData[Checker ID],$Q$4,RawData[[Error Type ]],$Q$5))</f>
        <v/>
      </c>
    </row>
    <row r="5497" spans="15:15" x14ac:dyDescent="0.25">
      <c r="O5497" s="20" t="str">
        <f>IF(N5497="","",COUNTIFS(RawData[[Date ]],N5497,RawData[Month List],$Q$6,RawData[Tour/Site],$Q$2,RawData[[Picker ID ]],$Q$3,RawData[Checker ID],$Q$4,RawData[[Error Type ]],$Q$5))</f>
        <v/>
      </c>
    </row>
    <row r="5498" spans="15:15" x14ac:dyDescent="0.25">
      <c r="O5498" s="20" t="str">
        <f>IF(N5498="","",COUNTIFS(RawData[[Date ]],N5498,RawData[Month List],$Q$6,RawData[Tour/Site],$Q$2,RawData[[Picker ID ]],$Q$3,RawData[Checker ID],$Q$4,RawData[[Error Type ]],$Q$5))</f>
        <v/>
      </c>
    </row>
    <row r="5499" spans="15:15" x14ac:dyDescent="0.25">
      <c r="O5499" s="20" t="str">
        <f>IF(N5499="","",COUNTIFS(RawData[[Date ]],N5499,RawData[Month List],$Q$6,RawData[Tour/Site],$Q$2,RawData[[Picker ID ]],$Q$3,RawData[Checker ID],$Q$4,RawData[[Error Type ]],$Q$5))</f>
        <v/>
      </c>
    </row>
    <row r="5500" spans="15:15" x14ac:dyDescent="0.25">
      <c r="O5500" s="20" t="str">
        <f>IF(N5500="","",COUNTIFS(RawData[[Date ]],N5500,RawData[Month List],$Q$6,RawData[Tour/Site],$Q$2,RawData[[Picker ID ]],$Q$3,RawData[Checker ID],$Q$4,RawData[[Error Type ]],$Q$5))</f>
        <v/>
      </c>
    </row>
    <row r="5501" spans="15:15" x14ac:dyDescent="0.25">
      <c r="O5501" s="20" t="str">
        <f>IF(N5501="","",COUNTIFS(RawData[[Date ]],N5501,RawData[Month List],$Q$6,RawData[Tour/Site],$Q$2,RawData[[Picker ID ]],$Q$3,RawData[Checker ID],$Q$4,RawData[[Error Type ]],$Q$5))</f>
        <v/>
      </c>
    </row>
    <row r="5502" spans="15:15" x14ac:dyDescent="0.25">
      <c r="O5502" s="20" t="str">
        <f>IF(N5502="","",COUNTIFS(RawData[[Date ]],N5502,RawData[Month List],$Q$6,RawData[Tour/Site],$Q$2,RawData[[Picker ID ]],$Q$3,RawData[Checker ID],$Q$4,RawData[[Error Type ]],$Q$5))</f>
        <v/>
      </c>
    </row>
    <row r="5503" spans="15:15" x14ac:dyDescent="0.25">
      <c r="O5503" s="20" t="str">
        <f>IF(N5503="","",COUNTIFS(RawData[[Date ]],N5503,RawData[Month List],$Q$6,RawData[Tour/Site],$Q$2,RawData[[Picker ID ]],$Q$3,RawData[Checker ID],$Q$4,RawData[[Error Type ]],$Q$5))</f>
        <v/>
      </c>
    </row>
    <row r="5504" spans="15:15" x14ac:dyDescent="0.25">
      <c r="O5504" s="20" t="str">
        <f>IF(N5504="","",COUNTIFS(RawData[[Date ]],N5504,RawData[Month List],$Q$6,RawData[Tour/Site],$Q$2,RawData[[Picker ID ]],$Q$3,RawData[Checker ID],$Q$4,RawData[[Error Type ]],$Q$5))</f>
        <v/>
      </c>
    </row>
    <row r="5505" spans="15:15" x14ac:dyDescent="0.25">
      <c r="O5505" s="20" t="str">
        <f>IF(N5505="","",COUNTIFS(RawData[[Date ]],N5505,RawData[Month List],$Q$6,RawData[Tour/Site],$Q$2,RawData[[Picker ID ]],$Q$3,RawData[Checker ID],$Q$4,RawData[[Error Type ]],$Q$5))</f>
        <v/>
      </c>
    </row>
    <row r="5506" spans="15:15" x14ac:dyDescent="0.25">
      <c r="O5506" s="20" t="str">
        <f>IF(N5506="","",COUNTIFS(RawData[[Date ]],N5506,RawData[Month List],$Q$6,RawData[Tour/Site],$Q$2,RawData[[Picker ID ]],$Q$3,RawData[Checker ID],$Q$4,RawData[[Error Type ]],$Q$5))</f>
        <v/>
      </c>
    </row>
    <row r="5507" spans="15:15" x14ac:dyDescent="0.25">
      <c r="O5507" s="20" t="str">
        <f>IF(N5507="","",COUNTIFS(RawData[[Date ]],N5507,RawData[Month List],$Q$6,RawData[Tour/Site],$Q$2,RawData[[Picker ID ]],$Q$3,RawData[Checker ID],$Q$4,RawData[[Error Type ]],$Q$5))</f>
        <v/>
      </c>
    </row>
    <row r="5508" spans="15:15" x14ac:dyDescent="0.25">
      <c r="O5508" s="20" t="str">
        <f>IF(N5508="","",COUNTIFS(RawData[[Date ]],N5508,RawData[Month List],$Q$6,RawData[Tour/Site],$Q$2,RawData[[Picker ID ]],$Q$3,RawData[Checker ID],$Q$4,RawData[[Error Type ]],$Q$5))</f>
        <v/>
      </c>
    </row>
    <row r="5509" spans="15:15" x14ac:dyDescent="0.25">
      <c r="O5509" s="20" t="str">
        <f>IF(N5509="","",COUNTIFS(RawData[[Date ]],N5509,RawData[Month List],$Q$6,RawData[Tour/Site],$Q$2,RawData[[Picker ID ]],$Q$3,RawData[Checker ID],$Q$4,RawData[[Error Type ]],$Q$5))</f>
        <v/>
      </c>
    </row>
    <row r="5510" spans="15:15" x14ac:dyDescent="0.25">
      <c r="O5510" s="20" t="str">
        <f>IF(N5510="","",COUNTIFS(RawData[[Date ]],N5510,RawData[Month List],$Q$6,RawData[Tour/Site],$Q$2,RawData[[Picker ID ]],$Q$3,RawData[Checker ID],$Q$4,RawData[[Error Type ]],$Q$5))</f>
        <v/>
      </c>
    </row>
    <row r="5511" spans="15:15" x14ac:dyDescent="0.25">
      <c r="O5511" s="20" t="str">
        <f>IF(N5511="","",COUNTIFS(RawData[[Date ]],N5511,RawData[Month List],$Q$6,RawData[Tour/Site],$Q$2,RawData[[Picker ID ]],$Q$3,RawData[Checker ID],$Q$4,RawData[[Error Type ]],$Q$5))</f>
        <v/>
      </c>
    </row>
    <row r="5512" spans="15:15" x14ac:dyDescent="0.25">
      <c r="O5512" s="20" t="str">
        <f>IF(N5512="","",COUNTIFS(RawData[[Date ]],N5512,RawData[Month List],$Q$6,RawData[Tour/Site],$Q$2,RawData[[Picker ID ]],$Q$3,RawData[Checker ID],$Q$4,RawData[[Error Type ]],$Q$5))</f>
        <v/>
      </c>
    </row>
    <row r="5513" spans="15:15" x14ac:dyDescent="0.25">
      <c r="O5513" s="20" t="str">
        <f>IF(N5513="","",COUNTIFS(RawData[[Date ]],N5513,RawData[Month List],$Q$6,RawData[Tour/Site],$Q$2,RawData[[Picker ID ]],$Q$3,RawData[Checker ID],$Q$4,RawData[[Error Type ]],$Q$5))</f>
        <v/>
      </c>
    </row>
    <row r="5514" spans="15:15" x14ac:dyDescent="0.25">
      <c r="O5514" s="20" t="str">
        <f>IF(N5514="","",COUNTIFS(RawData[[Date ]],N5514,RawData[Month List],$Q$6,RawData[Tour/Site],$Q$2,RawData[[Picker ID ]],$Q$3,RawData[Checker ID],$Q$4,RawData[[Error Type ]],$Q$5))</f>
        <v/>
      </c>
    </row>
    <row r="5515" spans="15:15" x14ac:dyDescent="0.25">
      <c r="O5515" s="20" t="str">
        <f>IF(N5515="","",COUNTIFS(RawData[[Date ]],N5515,RawData[Month List],$Q$6,RawData[Tour/Site],$Q$2,RawData[[Picker ID ]],$Q$3,RawData[Checker ID],$Q$4,RawData[[Error Type ]],$Q$5))</f>
        <v/>
      </c>
    </row>
    <row r="5516" spans="15:15" x14ac:dyDescent="0.25">
      <c r="O5516" s="20" t="str">
        <f>IF(N5516="","",COUNTIFS(RawData[[Date ]],N5516,RawData[Month List],$Q$6,RawData[Tour/Site],$Q$2,RawData[[Picker ID ]],$Q$3,RawData[Checker ID],$Q$4,RawData[[Error Type ]],$Q$5))</f>
        <v/>
      </c>
    </row>
    <row r="5517" spans="15:15" x14ac:dyDescent="0.25">
      <c r="O5517" s="20" t="str">
        <f>IF(N5517="","",COUNTIFS(RawData[[Date ]],N5517,RawData[Month List],$Q$6,RawData[Tour/Site],$Q$2,RawData[[Picker ID ]],$Q$3,RawData[Checker ID],$Q$4,RawData[[Error Type ]],$Q$5))</f>
        <v/>
      </c>
    </row>
    <row r="5518" spans="15:15" x14ac:dyDescent="0.25">
      <c r="O5518" s="20" t="str">
        <f>IF(N5518="","",COUNTIFS(RawData[[Date ]],N5518,RawData[Month List],$Q$6,RawData[Tour/Site],$Q$2,RawData[[Picker ID ]],$Q$3,RawData[Checker ID],$Q$4,RawData[[Error Type ]],$Q$5))</f>
        <v/>
      </c>
    </row>
    <row r="5519" spans="15:15" x14ac:dyDescent="0.25">
      <c r="O5519" s="20" t="str">
        <f>IF(N5519="","",COUNTIFS(RawData[[Date ]],N5519,RawData[Month List],$Q$6,RawData[Tour/Site],$Q$2,RawData[[Picker ID ]],$Q$3,RawData[Checker ID],$Q$4,RawData[[Error Type ]],$Q$5))</f>
        <v/>
      </c>
    </row>
    <row r="5520" spans="15:15" x14ac:dyDescent="0.25">
      <c r="O5520" s="20" t="str">
        <f>IF(N5520="","",COUNTIFS(RawData[[Date ]],N5520,RawData[Month List],$Q$6,RawData[Tour/Site],$Q$2,RawData[[Picker ID ]],$Q$3,RawData[Checker ID],$Q$4,RawData[[Error Type ]],$Q$5))</f>
        <v/>
      </c>
    </row>
    <row r="5521" spans="15:15" x14ac:dyDescent="0.25">
      <c r="O5521" s="20" t="str">
        <f>IF(N5521="","",COUNTIFS(RawData[[Date ]],N5521,RawData[Month List],$Q$6,RawData[Tour/Site],$Q$2,RawData[[Picker ID ]],$Q$3,RawData[Checker ID],$Q$4,RawData[[Error Type ]],$Q$5))</f>
        <v/>
      </c>
    </row>
    <row r="5522" spans="15:15" x14ac:dyDescent="0.25">
      <c r="O5522" s="20" t="str">
        <f>IF(N5522="","",COUNTIFS(RawData[[Date ]],N5522,RawData[Month List],$Q$6,RawData[Tour/Site],$Q$2,RawData[[Picker ID ]],$Q$3,RawData[Checker ID],$Q$4,RawData[[Error Type ]],$Q$5))</f>
        <v/>
      </c>
    </row>
    <row r="5523" spans="15:15" x14ac:dyDescent="0.25">
      <c r="O5523" s="20" t="str">
        <f>IF(N5523="","",COUNTIFS(RawData[[Date ]],N5523,RawData[Month List],$Q$6,RawData[Tour/Site],$Q$2,RawData[[Picker ID ]],$Q$3,RawData[Checker ID],$Q$4,RawData[[Error Type ]],$Q$5))</f>
        <v/>
      </c>
    </row>
    <row r="5524" spans="15:15" x14ac:dyDescent="0.25">
      <c r="O5524" s="20" t="str">
        <f>IF(N5524="","",COUNTIFS(RawData[[Date ]],N5524,RawData[Month List],$Q$6,RawData[Tour/Site],$Q$2,RawData[[Picker ID ]],$Q$3,RawData[Checker ID],$Q$4,RawData[[Error Type ]],$Q$5))</f>
        <v/>
      </c>
    </row>
    <row r="5525" spans="15:15" x14ac:dyDescent="0.25">
      <c r="O5525" s="20" t="str">
        <f>IF(N5525="","",COUNTIFS(RawData[[Date ]],N5525,RawData[Month List],$Q$6,RawData[Tour/Site],$Q$2,RawData[[Picker ID ]],$Q$3,RawData[Checker ID],$Q$4,RawData[[Error Type ]],$Q$5))</f>
        <v/>
      </c>
    </row>
    <row r="5526" spans="15:15" x14ac:dyDescent="0.25">
      <c r="O5526" s="20" t="str">
        <f>IF(N5526="","",COUNTIFS(RawData[[Date ]],N5526,RawData[Month List],$Q$6,RawData[Tour/Site],$Q$2,RawData[[Picker ID ]],$Q$3,RawData[Checker ID],$Q$4,RawData[[Error Type ]],$Q$5))</f>
        <v/>
      </c>
    </row>
    <row r="5527" spans="15:15" x14ac:dyDescent="0.25">
      <c r="O5527" s="20" t="str">
        <f>IF(N5527="","",COUNTIFS(RawData[[Date ]],N5527,RawData[Month List],$Q$6,RawData[Tour/Site],$Q$2,RawData[[Picker ID ]],$Q$3,RawData[Checker ID],$Q$4,RawData[[Error Type ]],$Q$5))</f>
        <v/>
      </c>
    </row>
    <row r="5528" spans="15:15" x14ac:dyDescent="0.25">
      <c r="O5528" s="20" t="str">
        <f>IF(N5528="","",COUNTIFS(RawData[[Date ]],N5528,RawData[Month List],$Q$6,RawData[Tour/Site],$Q$2,RawData[[Picker ID ]],$Q$3,RawData[Checker ID],$Q$4,RawData[[Error Type ]],$Q$5))</f>
        <v/>
      </c>
    </row>
    <row r="5529" spans="15:15" x14ac:dyDescent="0.25">
      <c r="O5529" s="20" t="str">
        <f>IF(N5529="","",COUNTIFS(RawData[[Date ]],N5529,RawData[Month List],$Q$6,RawData[Tour/Site],$Q$2,RawData[[Picker ID ]],$Q$3,RawData[Checker ID],$Q$4,RawData[[Error Type ]],$Q$5))</f>
        <v/>
      </c>
    </row>
    <row r="5530" spans="15:15" x14ac:dyDescent="0.25">
      <c r="O5530" s="20" t="str">
        <f>IF(N5530="","",COUNTIFS(RawData[[Date ]],N5530,RawData[Month List],$Q$6,RawData[Tour/Site],$Q$2,RawData[[Picker ID ]],$Q$3,RawData[Checker ID],$Q$4,RawData[[Error Type ]],$Q$5))</f>
        <v/>
      </c>
    </row>
    <row r="5531" spans="15:15" x14ac:dyDescent="0.25">
      <c r="O5531" s="20" t="str">
        <f>IF(N5531="","",COUNTIFS(RawData[[Date ]],N5531,RawData[Month List],$Q$6,RawData[Tour/Site],$Q$2,RawData[[Picker ID ]],$Q$3,RawData[Checker ID],$Q$4,RawData[[Error Type ]],$Q$5))</f>
        <v/>
      </c>
    </row>
    <row r="5532" spans="15:15" x14ac:dyDescent="0.25">
      <c r="O5532" s="20" t="str">
        <f>IF(N5532="","",COUNTIFS(RawData[[Date ]],N5532,RawData[Month List],$Q$6,RawData[Tour/Site],$Q$2,RawData[[Picker ID ]],$Q$3,RawData[Checker ID],$Q$4,RawData[[Error Type ]],$Q$5))</f>
        <v/>
      </c>
    </row>
    <row r="5533" spans="15:15" x14ac:dyDescent="0.25">
      <c r="O5533" s="20" t="str">
        <f>IF(N5533="","",COUNTIFS(RawData[[Date ]],N5533,RawData[Month List],$Q$6,RawData[Tour/Site],$Q$2,RawData[[Picker ID ]],$Q$3,RawData[Checker ID],$Q$4,RawData[[Error Type ]],$Q$5))</f>
        <v/>
      </c>
    </row>
    <row r="5534" spans="15:15" x14ac:dyDescent="0.25">
      <c r="O5534" s="20" t="str">
        <f>IF(N5534="","",COUNTIFS(RawData[[Date ]],N5534,RawData[Month List],$Q$6,RawData[Tour/Site],$Q$2,RawData[[Picker ID ]],$Q$3,RawData[Checker ID],$Q$4,RawData[[Error Type ]],$Q$5))</f>
        <v/>
      </c>
    </row>
    <row r="5535" spans="15:15" x14ac:dyDescent="0.25">
      <c r="O5535" s="20" t="str">
        <f>IF(N5535="","",COUNTIFS(RawData[[Date ]],N5535,RawData[Month List],$Q$6,RawData[Tour/Site],$Q$2,RawData[[Picker ID ]],$Q$3,RawData[Checker ID],$Q$4,RawData[[Error Type ]],$Q$5))</f>
        <v/>
      </c>
    </row>
    <row r="5536" spans="15:15" x14ac:dyDescent="0.25">
      <c r="O5536" s="20" t="str">
        <f>IF(N5536="","",COUNTIFS(RawData[[Date ]],N5536,RawData[Month List],$Q$6,RawData[Tour/Site],$Q$2,RawData[[Picker ID ]],$Q$3,RawData[Checker ID],$Q$4,RawData[[Error Type ]],$Q$5))</f>
        <v/>
      </c>
    </row>
    <row r="5537" spans="15:15" x14ac:dyDescent="0.25">
      <c r="O5537" s="20" t="str">
        <f>IF(N5537="","",COUNTIFS(RawData[[Date ]],N5537,RawData[Month List],$Q$6,RawData[Tour/Site],$Q$2,RawData[[Picker ID ]],$Q$3,RawData[Checker ID],$Q$4,RawData[[Error Type ]],$Q$5))</f>
        <v/>
      </c>
    </row>
    <row r="5538" spans="15:15" x14ac:dyDescent="0.25">
      <c r="O5538" s="20" t="str">
        <f>IF(N5538="","",COUNTIFS(RawData[[Date ]],N5538,RawData[Month List],$Q$6,RawData[Tour/Site],$Q$2,RawData[[Picker ID ]],$Q$3,RawData[Checker ID],$Q$4,RawData[[Error Type ]],$Q$5))</f>
        <v/>
      </c>
    </row>
    <row r="5539" spans="15:15" x14ac:dyDescent="0.25">
      <c r="O5539" s="20" t="str">
        <f>IF(N5539="","",COUNTIFS(RawData[[Date ]],N5539,RawData[Month List],$Q$6,RawData[Tour/Site],$Q$2,RawData[[Picker ID ]],$Q$3,RawData[Checker ID],$Q$4,RawData[[Error Type ]],$Q$5))</f>
        <v/>
      </c>
    </row>
    <row r="5540" spans="15:15" x14ac:dyDescent="0.25">
      <c r="O5540" s="20" t="str">
        <f>IF(N5540="","",COUNTIFS(RawData[[Date ]],N5540,RawData[Month List],$Q$6,RawData[Tour/Site],$Q$2,RawData[[Picker ID ]],$Q$3,RawData[Checker ID],$Q$4,RawData[[Error Type ]],$Q$5))</f>
        <v/>
      </c>
    </row>
    <row r="5541" spans="15:15" x14ac:dyDescent="0.25">
      <c r="O5541" s="20" t="str">
        <f>IF(N5541="","",COUNTIFS(RawData[[Date ]],N5541,RawData[Month List],$Q$6,RawData[Tour/Site],$Q$2,RawData[[Picker ID ]],$Q$3,RawData[Checker ID],$Q$4,RawData[[Error Type ]],$Q$5))</f>
        <v/>
      </c>
    </row>
    <row r="5542" spans="15:15" x14ac:dyDescent="0.25">
      <c r="O5542" s="20" t="str">
        <f>IF(N5542="","",COUNTIFS(RawData[[Date ]],N5542,RawData[Month List],$Q$6,RawData[Tour/Site],$Q$2,RawData[[Picker ID ]],$Q$3,RawData[Checker ID],$Q$4,RawData[[Error Type ]],$Q$5))</f>
        <v/>
      </c>
    </row>
    <row r="5543" spans="15:15" x14ac:dyDescent="0.25">
      <c r="O5543" s="20" t="str">
        <f>IF(N5543="","",COUNTIFS(RawData[[Date ]],N5543,RawData[Month List],$Q$6,RawData[Tour/Site],$Q$2,RawData[[Picker ID ]],$Q$3,RawData[Checker ID],$Q$4,RawData[[Error Type ]],$Q$5))</f>
        <v/>
      </c>
    </row>
    <row r="5544" spans="15:15" x14ac:dyDescent="0.25">
      <c r="O5544" s="20" t="str">
        <f>IF(N5544="","",COUNTIFS(RawData[[Date ]],N5544,RawData[Month List],$Q$6,RawData[Tour/Site],$Q$2,RawData[[Picker ID ]],$Q$3,RawData[Checker ID],$Q$4,RawData[[Error Type ]],$Q$5))</f>
        <v/>
      </c>
    </row>
    <row r="5545" spans="15:15" x14ac:dyDescent="0.25">
      <c r="O5545" s="20" t="str">
        <f>IF(N5545="","",COUNTIFS(RawData[[Date ]],N5545,RawData[Month List],$Q$6,RawData[Tour/Site],$Q$2,RawData[[Picker ID ]],$Q$3,RawData[Checker ID],$Q$4,RawData[[Error Type ]],$Q$5))</f>
        <v/>
      </c>
    </row>
    <row r="5546" spans="15:15" x14ac:dyDescent="0.25">
      <c r="O5546" s="20" t="str">
        <f>IF(N5546="","",COUNTIFS(RawData[[Date ]],N5546,RawData[Month List],$Q$6,RawData[Tour/Site],$Q$2,RawData[[Picker ID ]],$Q$3,RawData[Checker ID],$Q$4,RawData[[Error Type ]],$Q$5))</f>
        <v/>
      </c>
    </row>
    <row r="5547" spans="15:15" x14ac:dyDescent="0.25">
      <c r="O5547" s="20" t="str">
        <f>IF(N5547="","",COUNTIFS(RawData[[Date ]],N5547,RawData[Month List],$Q$6,RawData[Tour/Site],$Q$2,RawData[[Picker ID ]],$Q$3,RawData[Checker ID],$Q$4,RawData[[Error Type ]],$Q$5))</f>
        <v/>
      </c>
    </row>
    <row r="5548" spans="15:15" x14ac:dyDescent="0.25">
      <c r="O5548" s="20" t="str">
        <f>IF(N5548="","",COUNTIFS(RawData[[Date ]],N5548,RawData[Month List],$Q$6,RawData[Tour/Site],$Q$2,RawData[[Picker ID ]],$Q$3,RawData[Checker ID],$Q$4,RawData[[Error Type ]],$Q$5))</f>
        <v/>
      </c>
    </row>
    <row r="5549" spans="15:15" x14ac:dyDescent="0.25">
      <c r="O5549" s="20" t="str">
        <f>IF(N5549="","",COUNTIFS(RawData[[Date ]],N5549,RawData[Month List],$Q$6,RawData[Tour/Site],$Q$2,RawData[[Picker ID ]],$Q$3,RawData[Checker ID],$Q$4,RawData[[Error Type ]],$Q$5))</f>
        <v/>
      </c>
    </row>
    <row r="5550" spans="15:15" x14ac:dyDescent="0.25">
      <c r="O5550" s="20" t="str">
        <f>IF(N5550="","",COUNTIFS(RawData[[Date ]],N5550,RawData[Month List],$Q$6,RawData[Tour/Site],$Q$2,RawData[[Picker ID ]],$Q$3,RawData[Checker ID],$Q$4,RawData[[Error Type ]],$Q$5))</f>
        <v/>
      </c>
    </row>
    <row r="5551" spans="15:15" x14ac:dyDescent="0.25">
      <c r="O5551" s="20" t="str">
        <f>IF(N5551="","",COUNTIFS(RawData[[Date ]],N5551,RawData[Month List],$Q$6,RawData[Tour/Site],$Q$2,RawData[[Picker ID ]],$Q$3,RawData[Checker ID],$Q$4,RawData[[Error Type ]],$Q$5))</f>
        <v/>
      </c>
    </row>
    <row r="5552" spans="15:15" x14ac:dyDescent="0.25">
      <c r="O5552" s="20" t="str">
        <f>IF(N5552="","",COUNTIFS(RawData[[Date ]],N5552,RawData[Month List],$Q$6,RawData[Tour/Site],$Q$2,RawData[[Picker ID ]],$Q$3,RawData[Checker ID],$Q$4,RawData[[Error Type ]],$Q$5))</f>
        <v/>
      </c>
    </row>
    <row r="5553" spans="15:15" x14ac:dyDescent="0.25">
      <c r="O5553" s="20" t="str">
        <f>IF(N5553="","",COUNTIFS(RawData[[Date ]],N5553,RawData[Month List],$Q$6,RawData[Tour/Site],$Q$2,RawData[[Picker ID ]],$Q$3,RawData[Checker ID],$Q$4,RawData[[Error Type ]],$Q$5))</f>
        <v/>
      </c>
    </row>
    <row r="5554" spans="15:15" x14ac:dyDescent="0.25">
      <c r="O5554" s="20" t="str">
        <f>IF(N5554="","",COUNTIFS(RawData[[Date ]],N5554,RawData[Month List],$Q$6,RawData[Tour/Site],$Q$2,RawData[[Picker ID ]],$Q$3,RawData[Checker ID],$Q$4,RawData[[Error Type ]],$Q$5))</f>
        <v/>
      </c>
    </row>
    <row r="5555" spans="15:15" x14ac:dyDescent="0.25">
      <c r="O5555" s="20" t="str">
        <f>IF(N5555="","",COUNTIFS(RawData[[Date ]],N5555,RawData[Month List],$Q$6,RawData[Tour/Site],$Q$2,RawData[[Picker ID ]],$Q$3,RawData[Checker ID],$Q$4,RawData[[Error Type ]],$Q$5))</f>
        <v/>
      </c>
    </row>
    <row r="5556" spans="15:15" x14ac:dyDescent="0.25">
      <c r="O5556" s="20" t="str">
        <f>IF(N5556="","",COUNTIFS(RawData[[Date ]],N5556,RawData[Month List],$Q$6,RawData[Tour/Site],$Q$2,RawData[[Picker ID ]],$Q$3,RawData[Checker ID],$Q$4,RawData[[Error Type ]],$Q$5))</f>
        <v/>
      </c>
    </row>
    <row r="5557" spans="15:15" x14ac:dyDescent="0.25">
      <c r="O5557" s="20" t="str">
        <f>IF(N5557="","",COUNTIFS(RawData[[Date ]],N5557,RawData[Month List],$Q$6,RawData[Tour/Site],$Q$2,RawData[[Picker ID ]],$Q$3,RawData[Checker ID],$Q$4,RawData[[Error Type ]],$Q$5))</f>
        <v/>
      </c>
    </row>
    <row r="5558" spans="15:15" x14ac:dyDescent="0.25">
      <c r="O5558" s="20" t="str">
        <f>IF(N5558="","",COUNTIFS(RawData[[Date ]],N5558,RawData[Month List],$Q$6,RawData[Tour/Site],$Q$2,RawData[[Picker ID ]],$Q$3,RawData[Checker ID],$Q$4,RawData[[Error Type ]],$Q$5))</f>
        <v/>
      </c>
    </row>
    <row r="5559" spans="15:15" x14ac:dyDescent="0.25">
      <c r="O5559" s="20" t="str">
        <f>IF(N5559="","",COUNTIFS(RawData[[Date ]],N5559,RawData[Month List],$Q$6,RawData[Tour/Site],$Q$2,RawData[[Picker ID ]],$Q$3,RawData[Checker ID],$Q$4,RawData[[Error Type ]],$Q$5))</f>
        <v/>
      </c>
    </row>
    <row r="5560" spans="15:15" x14ac:dyDescent="0.25">
      <c r="O5560" s="20" t="str">
        <f>IF(N5560="","",COUNTIFS(RawData[[Date ]],N5560,RawData[Month List],$Q$6,RawData[Tour/Site],$Q$2,RawData[[Picker ID ]],$Q$3,RawData[Checker ID],$Q$4,RawData[[Error Type ]],$Q$5))</f>
        <v/>
      </c>
    </row>
    <row r="5561" spans="15:15" x14ac:dyDescent="0.25">
      <c r="O5561" s="20" t="str">
        <f>IF(N5561="","",COUNTIFS(RawData[[Date ]],N5561,RawData[Month List],$Q$6,RawData[Tour/Site],$Q$2,RawData[[Picker ID ]],$Q$3,RawData[Checker ID],$Q$4,RawData[[Error Type ]],$Q$5))</f>
        <v/>
      </c>
    </row>
    <row r="5562" spans="15:15" x14ac:dyDescent="0.25">
      <c r="O5562" s="20" t="str">
        <f>IF(N5562="","",COUNTIFS(RawData[[Date ]],N5562,RawData[Month List],$Q$6,RawData[Tour/Site],$Q$2,RawData[[Picker ID ]],$Q$3,RawData[Checker ID],$Q$4,RawData[[Error Type ]],$Q$5))</f>
        <v/>
      </c>
    </row>
    <row r="5563" spans="15:15" x14ac:dyDescent="0.25">
      <c r="O5563" s="20" t="str">
        <f>IF(N5563="","",COUNTIFS(RawData[[Date ]],N5563,RawData[Month List],$Q$6,RawData[Tour/Site],$Q$2,RawData[[Picker ID ]],$Q$3,RawData[Checker ID],$Q$4,RawData[[Error Type ]],$Q$5))</f>
        <v/>
      </c>
    </row>
    <row r="5564" spans="15:15" x14ac:dyDescent="0.25">
      <c r="O5564" s="20" t="str">
        <f>IF(N5564="","",COUNTIFS(RawData[[Date ]],N5564,RawData[Month List],$Q$6,RawData[Tour/Site],$Q$2,RawData[[Picker ID ]],$Q$3,RawData[Checker ID],$Q$4,RawData[[Error Type ]],$Q$5))</f>
        <v/>
      </c>
    </row>
    <row r="5565" spans="15:15" x14ac:dyDescent="0.25">
      <c r="O5565" s="20" t="str">
        <f>IF(N5565="","",COUNTIFS(RawData[[Date ]],N5565,RawData[Month List],$Q$6,RawData[Tour/Site],$Q$2,RawData[[Picker ID ]],$Q$3,RawData[Checker ID],$Q$4,RawData[[Error Type ]],$Q$5))</f>
        <v/>
      </c>
    </row>
    <row r="5566" spans="15:15" x14ac:dyDescent="0.25">
      <c r="O5566" s="20" t="str">
        <f>IF(N5566="","",COUNTIFS(RawData[[Date ]],N5566,RawData[Month List],$Q$6,RawData[Tour/Site],$Q$2,RawData[[Picker ID ]],$Q$3,RawData[Checker ID],$Q$4,RawData[[Error Type ]],$Q$5))</f>
        <v/>
      </c>
    </row>
    <row r="5567" spans="15:15" x14ac:dyDescent="0.25">
      <c r="O5567" s="20" t="str">
        <f>IF(N5567="","",COUNTIFS(RawData[[Date ]],N5567,RawData[Month List],$Q$6,RawData[Tour/Site],$Q$2,RawData[[Picker ID ]],$Q$3,RawData[Checker ID],$Q$4,RawData[[Error Type ]],$Q$5))</f>
        <v/>
      </c>
    </row>
    <row r="5568" spans="15:15" x14ac:dyDescent="0.25">
      <c r="O5568" s="20" t="str">
        <f>IF(N5568="","",COUNTIFS(RawData[[Date ]],N5568,RawData[Month List],$Q$6,RawData[Tour/Site],$Q$2,RawData[[Picker ID ]],$Q$3,RawData[Checker ID],$Q$4,RawData[[Error Type ]],$Q$5))</f>
        <v/>
      </c>
    </row>
    <row r="5569" spans="15:15" x14ac:dyDescent="0.25">
      <c r="O5569" s="20" t="str">
        <f>IF(N5569="","",COUNTIFS(RawData[[Date ]],N5569,RawData[Month List],$Q$6,RawData[Tour/Site],$Q$2,RawData[[Picker ID ]],$Q$3,RawData[Checker ID],$Q$4,RawData[[Error Type ]],$Q$5))</f>
        <v/>
      </c>
    </row>
    <row r="5570" spans="15:15" x14ac:dyDescent="0.25">
      <c r="O5570" s="20" t="str">
        <f>IF(N5570="","",COUNTIFS(RawData[[Date ]],N5570,RawData[Month List],$Q$6,RawData[Tour/Site],$Q$2,RawData[[Picker ID ]],$Q$3,RawData[Checker ID],$Q$4,RawData[[Error Type ]],$Q$5))</f>
        <v/>
      </c>
    </row>
    <row r="5571" spans="15:15" x14ac:dyDescent="0.25">
      <c r="O5571" s="20" t="str">
        <f>IF(N5571="","",COUNTIFS(RawData[[Date ]],N5571,RawData[Month List],$Q$6,RawData[Tour/Site],$Q$2,RawData[[Picker ID ]],$Q$3,RawData[Checker ID],$Q$4,RawData[[Error Type ]],$Q$5))</f>
        <v/>
      </c>
    </row>
    <row r="5572" spans="15:15" x14ac:dyDescent="0.25">
      <c r="O5572" s="20" t="str">
        <f>IF(N5572="","",COUNTIFS(RawData[[Date ]],N5572,RawData[Month List],$Q$6,RawData[Tour/Site],$Q$2,RawData[[Picker ID ]],$Q$3,RawData[Checker ID],$Q$4,RawData[[Error Type ]],$Q$5))</f>
        <v/>
      </c>
    </row>
    <row r="5573" spans="15:15" x14ac:dyDescent="0.25">
      <c r="O5573" s="20" t="str">
        <f>IF(N5573="","",COUNTIFS(RawData[[Date ]],N5573,RawData[Month List],$Q$6,RawData[Tour/Site],$Q$2,RawData[[Picker ID ]],$Q$3,RawData[Checker ID],$Q$4,RawData[[Error Type ]],$Q$5))</f>
        <v/>
      </c>
    </row>
    <row r="5574" spans="15:15" x14ac:dyDescent="0.25">
      <c r="O5574" s="20" t="str">
        <f>IF(N5574="","",COUNTIFS(RawData[[Date ]],N5574,RawData[Month List],$Q$6,RawData[Tour/Site],$Q$2,RawData[[Picker ID ]],$Q$3,RawData[Checker ID],$Q$4,RawData[[Error Type ]],$Q$5))</f>
        <v/>
      </c>
    </row>
    <row r="5575" spans="15:15" x14ac:dyDescent="0.25">
      <c r="O5575" s="20" t="str">
        <f>IF(N5575="","",COUNTIFS(RawData[[Date ]],N5575,RawData[Month List],$Q$6,RawData[Tour/Site],$Q$2,RawData[[Picker ID ]],$Q$3,RawData[Checker ID],$Q$4,RawData[[Error Type ]],$Q$5))</f>
        <v/>
      </c>
    </row>
    <row r="5576" spans="15:15" x14ac:dyDescent="0.25">
      <c r="O5576" s="20" t="str">
        <f>IF(N5576="","",COUNTIFS(RawData[[Date ]],N5576,RawData[Month List],$Q$6,RawData[Tour/Site],$Q$2,RawData[[Picker ID ]],$Q$3,RawData[Checker ID],$Q$4,RawData[[Error Type ]],$Q$5))</f>
        <v/>
      </c>
    </row>
    <row r="5577" spans="15:15" x14ac:dyDescent="0.25">
      <c r="O5577" s="20" t="str">
        <f>IF(N5577="","",COUNTIFS(RawData[[Date ]],N5577,RawData[Month List],$Q$6,RawData[Tour/Site],$Q$2,RawData[[Picker ID ]],$Q$3,RawData[Checker ID],$Q$4,RawData[[Error Type ]],$Q$5))</f>
        <v/>
      </c>
    </row>
    <row r="5578" spans="15:15" x14ac:dyDescent="0.25">
      <c r="O5578" s="20" t="str">
        <f>IF(N5578="","",COUNTIFS(RawData[[Date ]],N5578,RawData[Month List],$Q$6,RawData[Tour/Site],$Q$2,RawData[[Picker ID ]],$Q$3,RawData[Checker ID],$Q$4,RawData[[Error Type ]],$Q$5))</f>
        <v/>
      </c>
    </row>
    <row r="5579" spans="15:15" x14ac:dyDescent="0.25">
      <c r="O5579" s="20" t="str">
        <f>IF(N5579="","",COUNTIFS(RawData[[Date ]],N5579,RawData[Month List],$Q$6,RawData[Tour/Site],$Q$2,RawData[[Picker ID ]],$Q$3,RawData[Checker ID],$Q$4,RawData[[Error Type ]],$Q$5))</f>
        <v/>
      </c>
    </row>
    <row r="5580" spans="15:15" x14ac:dyDescent="0.25">
      <c r="O5580" s="20" t="str">
        <f>IF(N5580="","",COUNTIFS(RawData[[Date ]],N5580,RawData[Month List],$Q$6,RawData[Tour/Site],$Q$2,RawData[[Picker ID ]],$Q$3,RawData[Checker ID],$Q$4,RawData[[Error Type ]],$Q$5))</f>
        <v/>
      </c>
    </row>
    <row r="5581" spans="15:15" x14ac:dyDescent="0.25">
      <c r="O5581" s="20" t="str">
        <f>IF(N5581="","",COUNTIFS(RawData[[Date ]],N5581,RawData[Month List],$Q$6,RawData[Tour/Site],$Q$2,RawData[[Picker ID ]],$Q$3,RawData[Checker ID],$Q$4,RawData[[Error Type ]],$Q$5))</f>
        <v/>
      </c>
    </row>
    <row r="5582" spans="15:15" x14ac:dyDescent="0.25">
      <c r="O5582" s="20" t="str">
        <f>IF(N5582="","",COUNTIFS(RawData[[Date ]],N5582,RawData[Month List],$Q$6,RawData[Tour/Site],$Q$2,RawData[[Picker ID ]],$Q$3,RawData[Checker ID],$Q$4,RawData[[Error Type ]],$Q$5))</f>
        <v/>
      </c>
    </row>
    <row r="5583" spans="15:15" x14ac:dyDescent="0.25">
      <c r="O5583" s="20" t="str">
        <f>IF(N5583="","",COUNTIFS(RawData[[Date ]],N5583,RawData[Month List],$Q$6,RawData[Tour/Site],$Q$2,RawData[[Picker ID ]],$Q$3,RawData[Checker ID],$Q$4,RawData[[Error Type ]],$Q$5))</f>
        <v/>
      </c>
    </row>
    <row r="5584" spans="15:15" x14ac:dyDescent="0.25">
      <c r="O5584" s="20" t="str">
        <f>IF(N5584="","",COUNTIFS(RawData[[Date ]],N5584,RawData[Month List],$Q$6,RawData[Tour/Site],$Q$2,RawData[[Picker ID ]],$Q$3,RawData[Checker ID],$Q$4,RawData[[Error Type ]],$Q$5))</f>
        <v/>
      </c>
    </row>
    <row r="5585" spans="15:15" x14ac:dyDescent="0.25">
      <c r="O5585" s="20" t="str">
        <f>IF(N5585="","",COUNTIFS(RawData[[Date ]],N5585,RawData[Month List],$Q$6,RawData[Tour/Site],$Q$2,RawData[[Picker ID ]],$Q$3,RawData[Checker ID],$Q$4,RawData[[Error Type ]],$Q$5))</f>
        <v/>
      </c>
    </row>
    <row r="5586" spans="15:15" x14ac:dyDescent="0.25">
      <c r="O5586" s="20" t="str">
        <f>IF(N5586="","",COUNTIFS(RawData[[Date ]],N5586,RawData[Month List],$Q$6,RawData[Tour/Site],$Q$2,RawData[[Picker ID ]],$Q$3,RawData[Checker ID],$Q$4,RawData[[Error Type ]],$Q$5))</f>
        <v/>
      </c>
    </row>
    <row r="5587" spans="15:15" x14ac:dyDescent="0.25">
      <c r="O5587" s="20" t="str">
        <f>IF(N5587="","",COUNTIFS(RawData[[Date ]],N5587,RawData[Month List],$Q$6,RawData[Tour/Site],$Q$2,RawData[[Picker ID ]],$Q$3,RawData[Checker ID],$Q$4,RawData[[Error Type ]],$Q$5))</f>
        <v/>
      </c>
    </row>
    <row r="5588" spans="15:15" x14ac:dyDescent="0.25">
      <c r="O5588" s="20" t="str">
        <f>IF(N5588="","",COUNTIFS(RawData[[Date ]],N5588,RawData[Month List],$Q$6,RawData[Tour/Site],$Q$2,RawData[[Picker ID ]],$Q$3,RawData[Checker ID],$Q$4,RawData[[Error Type ]],$Q$5))</f>
        <v/>
      </c>
    </row>
    <row r="5589" spans="15:15" x14ac:dyDescent="0.25">
      <c r="O5589" s="20" t="str">
        <f>IF(N5589="","",COUNTIFS(RawData[[Date ]],N5589,RawData[Month List],$Q$6,RawData[Tour/Site],$Q$2,RawData[[Picker ID ]],$Q$3,RawData[Checker ID],$Q$4,RawData[[Error Type ]],$Q$5))</f>
        <v/>
      </c>
    </row>
    <row r="5590" spans="15:15" x14ac:dyDescent="0.25">
      <c r="O5590" s="20" t="str">
        <f>IF(N5590="","",COUNTIFS(RawData[[Date ]],N5590,RawData[Month List],$Q$6,RawData[Tour/Site],$Q$2,RawData[[Picker ID ]],$Q$3,RawData[Checker ID],$Q$4,RawData[[Error Type ]],$Q$5))</f>
        <v/>
      </c>
    </row>
    <row r="5591" spans="15:15" x14ac:dyDescent="0.25">
      <c r="O5591" s="20" t="str">
        <f>IF(N5591="","",COUNTIFS(RawData[[Date ]],N5591,RawData[Month List],$Q$6,RawData[Tour/Site],$Q$2,RawData[[Picker ID ]],$Q$3,RawData[Checker ID],$Q$4,RawData[[Error Type ]],$Q$5))</f>
        <v/>
      </c>
    </row>
    <row r="5592" spans="15:15" x14ac:dyDescent="0.25">
      <c r="O5592" s="20" t="str">
        <f>IF(N5592="","",COUNTIFS(RawData[[Date ]],N5592,RawData[Month List],$Q$6,RawData[Tour/Site],$Q$2,RawData[[Picker ID ]],$Q$3,RawData[Checker ID],$Q$4,RawData[[Error Type ]],$Q$5))</f>
        <v/>
      </c>
    </row>
    <row r="5593" spans="15:15" x14ac:dyDescent="0.25">
      <c r="O5593" s="20" t="str">
        <f>IF(N5593="","",COUNTIFS(RawData[[Date ]],N5593,RawData[Month List],$Q$6,RawData[Tour/Site],$Q$2,RawData[[Picker ID ]],$Q$3,RawData[Checker ID],$Q$4,RawData[[Error Type ]],$Q$5))</f>
        <v/>
      </c>
    </row>
    <row r="5594" spans="15:15" x14ac:dyDescent="0.25">
      <c r="O5594" s="20" t="str">
        <f>IF(N5594="","",COUNTIFS(RawData[[Date ]],N5594,RawData[Month List],$Q$6,RawData[Tour/Site],$Q$2,RawData[[Picker ID ]],$Q$3,RawData[Checker ID],$Q$4,RawData[[Error Type ]],$Q$5))</f>
        <v/>
      </c>
    </row>
    <row r="5595" spans="15:15" x14ac:dyDescent="0.25">
      <c r="O5595" s="20" t="str">
        <f>IF(N5595="","",COUNTIFS(RawData[[Date ]],N5595,RawData[Month List],$Q$6,RawData[Tour/Site],$Q$2,RawData[[Picker ID ]],$Q$3,RawData[Checker ID],$Q$4,RawData[[Error Type ]],$Q$5))</f>
        <v/>
      </c>
    </row>
    <row r="5596" spans="15:15" x14ac:dyDescent="0.25">
      <c r="O5596" s="20" t="str">
        <f>IF(N5596="","",COUNTIFS(RawData[[Date ]],N5596,RawData[Month List],$Q$6,RawData[Tour/Site],$Q$2,RawData[[Picker ID ]],$Q$3,RawData[Checker ID],$Q$4,RawData[[Error Type ]],$Q$5))</f>
        <v/>
      </c>
    </row>
    <row r="5597" spans="15:15" x14ac:dyDescent="0.25">
      <c r="O5597" s="20" t="str">
        <f>IF(N5597="","",COUNTIFS(RawData[[Date ]],N5597,RawData[Month List],$Q$6,RawData[Tour/Site],$Q$2,RawData[[Picker ID ]],$Q$3,RawData[Checker ID],$Q$4,RawData[[Error Type ]],$Q$5))</f>
        <v/>
      </c>
    </row>
    <row r="5598" spans="15:15" x14ac:dyDescent="0.25">
      <c r="O5598" s="20" t="str">
        <f>IF(N5598="","",COUNTIFS(RawData[[Date ]],N5598,RawData[Month List],$Q$6,RawData[Tour/Site],$Q$2,RawData[[Picker ID ]],$Q$3,RawData[Checker ID],$Q$4,RawData[[Error Type ]],$Q$5))</f>
        <v/>
      </c>
    </row>
    <row r="5599" spans="15:15" x14ac:dyDescent="0.25">
      <c r="O5599" s="20" t="str">
        <f>IF(N5599="","",COUNTIFS(RawData[[Date ]],N5599,RawData[Month List],$Q$6,RawData[Tour/Site],$Q$2,RawData[[Picker ID ]],$Q$3,RawData[Checker ID],$Q$4,RawData[[Error Type ]],$Q$5))</f>
        <v/>
      </c>
    </row>
    <row r="5600" spans="15:15" x14ac:dyDescent="0.25">
      <c r="O5600" s="20" t="str">
        <f>IF(N5600="","",COUNTIFS(RawData[[Date ]],N5600,RawData[Month List],$Q$6,RawData[Tour/Site],$Q$2,RawData[[Picker ID ]],$Q$3,RawData[Checker ID],$Q$4,RawData[[Error Type ]],$Q$5))</f>
        <v/>
      </c>
    </row>
    <row r="5601" spans="15:15" x14ac:dyDescent="0.25">
      <c r="O5601" s="20" t="str">
        <f>IF(N5601="","",COUNTIFS(RawData[[Date ]],N5601,RawData[Month List],$Q$6,RawData[Tour/Site],$Q$2,RawData[[Picker ID ]],$Q$3,RawData[Checker ID],$Q$4,RawData[[Error Type ]],$Q$5))</f>
        <v/>
      </c>
    </row>
    <row r="5602" spans="15:15" x14ac:dyDescent="0.25">
      <c r="O5602" s="20" t="str">
        <f>IF(N5602="","",COUNTIFS(RawData[[Date ]],N5602,RawData[Month List],$Q$6,RawData[Tour/Site],$Q$2,RawData[[Picker ID ]],$Q$3,RawData[Checker ID],$Q$4,RawData[[Error Type ]],$Q$5))</f>
        <v/>
      </c>
    </row>
    <row r="5603" spans="15:15" x14ac:dyDescent="0.25">
      <c r="O5603" s="20" t="str">
        <f>IF(N5603="","",COUNTIFS(RawData[[Date ]],N5603,RawData[Month List],$Q$6,RawData[Tour/Site],$Q$2,RawData[[Picker ID ]],$Q$3,RawData[Checker ID],$Q$4,RawData[[Error Type ]],$Q$5))</f>
        <v/>
      </c>
    </row>
    <row r="5604" spans="15:15" x14ac:dyDescent="0.25">
      <c r="O5604" s="20" t="str">
        <f>IF(N5604="","",COUNTIFS(RawData[[Date ]],N5604,RawData[Month List],$Q$6,RawData[Tour/Site],$Q$2,RawData[[Picker ID ]],$Q$3,RawData[Checker ID],$Q$4,RawData[[Error Type ]],$Q$5))</f>
        <v/>
      </c>
    </row>
    <row r="5605" spans="15:15" x14ac:dyDescent="0.25">
      <c r="O5605" s="20" t="str">
        <f>IF(N5605="","",COUNTIFS(RawData[[Date ]],N5605,RawData[Month List],$Q$6,RawData[Tour/Site],$Q$2,RawData[[Picker ID ]],$Q$3,RawData[Checker ID],$Q$4,RawData[[Error Type ]],$Q$5))</f>
        <v/>
      </c>
    </row>
    <row r="5606" spans="15:15" x14ac:dyDescent="0.25">
      <c r="O5606" s="20" t="str">
        <f>IF(N5606="","",COUNTIFS(RawData[[Date ]],N5606,RawData[Month List],$Q$6,RawData[Tour/Site],$Q$2,RawData[[Picker ID ]],$Q$3,RawData[Checker ID],$Q$4,RawData[[Error Type ]],$Q$5))</f>
        <v/>
      </c>
    </row>
    <row r="5607" spans="15:15" x14ac:dyDescent="0.25">
      <c r="O5607" s="20" t="str">
        <f>IF(N5607="","",COUNTIFS(RawData[[Date ]],N5607,RawData[Month List],$Q$6,RawData[Tour/Site],$Q$2,RawData[[Picker ID ]],$Q$3,RawData[Checker ID],$Q$4,RawData[[Error Type ]],$Q$5))</f>
        <v/>
      </c>
    </row>
    <row r="5608" spans="15:15" x14ac:dyDescent="0.25">
      <c r="O5608" s="20" t="str">
        <f>IF(N5608="","",COUNTIFS(RawData[[Date ]],N5608,RawData[Month List],$Q$6,RawData[Tour/Site],$Q$2,RawData[[Picker ID ]],$Q$3,RawData[Checker ID],$Q$4,RawData[[Error Type ]],$Q$5))</f>
        <v/>
      </c>
    </row>
    <row r="5609" spans="15:15" x14ac:dyDescent="0.25">
      <c r="O5609" s="20" t="str">
        <f>IF(N5609="","",COUNTIFS(RawData[[Date ]],N5609,RawData[Month List],$Q$6,RawData[Tour/Site],$Q$2,RawData[[Picker ID ]],$Q$3,RawData[Checker ID],$Q$4,RawData[[Error Type ]],$Q$5))</f>
        <v/>
      </c>
    </row>
    <row r="5610" spans="15:15" x14ac:dyDescent="0.25">
      <c r="O5610" s="20" t="str">
        <f>IF(N5610="","",COUNTIFS(RawData[[Date ]],N5610,RawData[Month List],$Q$6,RawData[Tour/Site],$Q$2,RawData[[Picker ID ]],$Q$3,RawData[Checker ID],$Q$4,RawData[[Error Type ]],$Q$5))</f>
        <v/>
      </c>
    </row>
    <row r="5611" spans="15:15" x14ac:dyDescent="0.25">
      <c r="O5611" s="20" t="str">
        <f>IF(N5611="","",COUNTIFS(RawData[[Date ]],N5611,RawData[Month List],$Q$6,RawData[Tour/Site],$Q$2,RawData[[Picker ID ]],$Q$3,RawData[Checker ID],$Q$4,RawData[[Error Type ]],$Q$5))</f>
        <v/>
      </c>
    </row>
    <row r="5612" spans="15:15" x14ac:dyDescent="0.25">
      <c r="O5612" s="20" t="str">
        <f>IF(N5612="","",COUNTIFS(RawData[[Date ]],N5612,RawData[Month List],$Q$6,RawData[Tour/Site],$Q$2,RawData[[Picker ID ]],$Q$3,RawData[Checker ID],$Q$4,RawData[[Error Type ]],$Q$5))</f>
        <v/>
      </c>
    </row>
    <row r="5613" spans="15:15" x14ac:dyDescent="0.25">
      <c r="O5613" s="20" t="str">
        <f>IF(N5613="","",COUNTIFS(RawData[[Date ]],N5613,RawData[Month List],$Q$6,RawData[Tour/Site],$Q$2,RawData[[Picker ID ]],$Q$3,RawData[Checker ID],$Q$4,RawData[[Error Type ]],$Q$5))</f>
        <v/>
      </c>
    </row>
    <row r="5614" spans="15:15" x14ac:dyDescent="0.25">
      <c r="O5614" s="20" t="str">
        <f>IF(N5614="","",COUNTIFS(RawData[[Date ]],N5614,RawData[Month List],$Q$6,RawData[Tour/Site],$Q$2,RawData[[Picker ID ]],$Q$3,RawData[Checker ID],$Q$4,RawData[[Error Type ]],$Q$5))</f>
        <v/>
      </c>
    </row>
    <row r="5615" spans="15:15" x14ac:dyDescent="0.25">
      <c r="O5615" s="20" t="str">
        <f>IF(N5615="","",COUNTIFS(RawData[[Date ]],N5615,RawData[Month List],$Q$6,RawData[Tour/Site],$Q$2,RawData[[Picker ID ]],$Q$3,RawData[Checker ID],$Q$4,RawData[[Error Type ]],$Q$5))</f>
        <v/>
      </c>
    </row>
    <row r="5616" spans="15:15" x14ac:dyDescent="0.25">
      <c r="O5616" s="20" t="str">
        <f>IF(N5616="","",COUNTIFS(RawData[[Date ]],N5616,RawData[Month List],$Q$6,RawData[Tour/Site],$Q$2,RawData[[Picker ID ]],$Q$3,RawData[Checker ID],$Q$4,RawData[[Error Type ]],$Q$5))</f>
        <v/>
      </c>
    </row>
    <row r="5617" spans="15:15" x14ac:dyDescent="0.25">
      <c r="O5617" s="20" t="str">
        <f>IF(N5617="","",COUNTIFS(RawData[[Date ]],N5617,RawData[Month List],$Q$6,RawData[Tour/Site],$Q$2,RawData[[Picker ID ]],$Q$3,RawData[Checker ID],$Q$4,RawData[[Error Type ]],$Q$5))</f>
        <v/>
      </c>
    </row>
    <row r="5618" spans="15:15" x14ac:dyDescent="0.25">
      <c r="O5618" s="20" t="str">
        <f>IF(N5618="","",COUNTIFS(RawData[[Date ]],N5618,RawData[Month List],$Q$6,RawData[Tour/Site],$Q$2,RawData[[Picker ID ]],$Q$3,RawData[Checker ID],$Q$4,RawData[[Error Type ]],$Q$5))</f>
        <v/>
      </c>
    </row>
    <row r="5619" spans="15:15" x14ac:dyDescent="0.25">
      <c r="O5619" s="20" t="str">
        <f>IF(N5619="","",COUNTIFS(RawData[[Date ]],N5619,RawData[Month List],$Q$6,RawData[Tour/Site],$Q$2,RawData[[Picker ID ]],$Q$3,RawData[Checker ID],$Q$4,RawData[[Error Type ]],$Q$5))</f>
        <v/>
      </c>
    </row>
    <row r="5620" spans="15:15" x14ac:dyDescent="0.25">
      <c r="O5620" s="20" t="str">
        <f>IF(N5620="","",COUNTIFS(RawData[[Date ]],N5620,RawData[Month List],$Q$6,RawData[Tour/Site],$Q$2,RawData[[Picker ID ]],$Q$3,RawData[Checker ID],$Q$4,RawData[[Error Type ]],$Q$5))</f>
        <v/>
      </c>
    </row>
    <row r="5621" spans="15:15" x14ac:dyDescent="0.25">
      <c r="O5621" s="20" t="str">
        <f>IF(N5621="","",COUNTIFS(RawData[[Date ]],N5621,RawData[Month List],$Q$6,RawData[Tour/Site],$Q$2,RawData[[Picker ID ]],$Q$3,RawData[Checker ID],$Q$4,RawData[[Error Type ]],$Q$5))</f>
        <v/>
      </c>
    </row>
    <row r="5622" spans="15:15" x14ac:dyDescent="0.25">
      <c r="O5622" s="20" t="str">
        <f>IF(N5622="","",COUNTIFS(RawData[[Date ]],N5622,RawData[Month List],$Q$6,RawData[Tour/Site],$Q$2,RawData[[Picker ID ]],$Q$3,RawData[Checker ID],$Q$4,RawData[[Error Type ]],$Q$5))</f>
        <v/>
      </c>
    </row>
    <row r="5623" spans="15:15" x14ac:dyDescent="0.25">
      <c r="O5623" s="20" t="str">
        <f>IF(N5623="","",COUNTIFS(RawData[[Date ]],N5623,RawData[Month List],$Q$6,RawData[Tour/Site],$Q$2,RawData[[Picker ID ]],$Q$3,RawData[Checker ID],$Q$4,RawData[[Error Type ]],$Q$5))</f>
        <v/>
      </c>
    </row>
    <row r="5624" spans="15:15" x14ac:dyDescent="0.25">
      <c r="O5624" s="20" t="str">
        <f>IF(N5624="","",COUNTIFS(RawData[[Date ]],N5624,RawData[Month List],$Q$6,RawData[Tour/Site],$Q$2,RawData[[Picker ID ]],$Q$3,RawData[Checker ID],$Q$4,RawData[[Error Type ]],$Q$5))</f>
        <v/>
      </c>
    </row>
    <row r="5625" spans="15:15" x14ac:dyDescent="0.25">
      <c r="O5625" s="20" t="str">
        <f>IF(N5625="","",COUNTIFS(RawData[[Date ]],N5625,RawData[Month List],$Q$6,RawData[Tour/Site],$Q$2,RawData[[Picker ID ]],$Q$3,RawData[Checker ID],$Q$4,RawData[[Error Type ]],$Q$5))</f>
        <v/>
      </c>
    </row>
    <row r="5626" spans="15:15" x14ac:dyDescent="0.25">
      <c r="O5626" s="20" t="str">
        <f>IF(N5626="","",COUNTIFS(RawData[[Date ]],N5626,RawData[Month List],$Q$6,RawData[Tour/Site],$Q$2,RawData[[Picker ID ]],$Q$3,RawData[Checker ID],$Q$4,RawData[[Error Type ]],$Q$5))</f>
        <v/>
      </c>
    </row>
    <row r="5627" spans="15:15" x14ac:dyDescent="0.25">
      <c r="O5627" s="20" t="str">
        <f>IF(N5627="","",COUNTIFS(RawData[[Date ]],N5627,RawData[Month List],$Q$6,RawData[Tour/Site],$Q$2,RawData[[Picker ID ]],$Q$3,RawData[Checker ID],$Q$4,RawData[[Error Type ]],$Q$5))</f>
        <v/>
      </c>
    </row>
    <row r="5628" spans="15:15" x14ac:dyDescent="0.25">
      <c r="O5628" s="20" t="str">
        <f>IF(N5628="","",COUNTIFS(RawData[[Date ]],N5628,RawData[Month List],$Q$6,RawData[Tour/Site],$Q$2,RawData[[Picker ID ]],$Q$3,RawData[Checker ID],$Q$4,RawData[[Error Type ]],$Q$5))</f>
        <v/>
      </c>
    </row>
    <row r="5629" spans="15:15" x14ac:dyDescent="0.25">
      <c r="O5629" s="20" t="str">
        <f>IF(N5629="","",COUNTIFS(RawData[[Date ]],N5629,RawData[Month List],$Q$6,RawData[Tour/Site],$Q$2,RawData[[Picker ID ]],$Q$3,RawData[Checker ID],$Q$4,RawData[[Error Type ]],$Q$5))</f>
        <v/>
      </c>
    </row>
    <row r="5630" spans="15:15" x14ac:dyDescent="0.25">
      <c r="O5630" s="20" t="str">
        <f>IF(N5630="","",COUNTIFS(RawData[[Date ]],N5630,RawData[Month List],$Q$6,RawData[Tour/Site],$Q$2,RawData[[Picker ID ]],$Q$3,RawData[Checker ID],$Q$4,RawData[[Error Type ]],$Q$5))</f>
        <v/>
      </c>
    </row>
    <row r="5631" spans="15:15" x14ac:dyDescent="0.25">
      <c r="O5631" s="20" t="str">
        <f>IF(N5631="","",COUNTIFS(RawData[[Date ]],N5631,RawData[Month List],$Q$6,RawData[Tour/Site],$Q$2,RawData[[Picker ID ]],$Q$3,RawData[Checker ID],$Q$4,RawData[[Error Type ]],$Q$5))</f>
        <v/>
      </c>
    </row>
    <row r="5632" spans="15:15" x14ac:dyDescent="0.25">
      <c r="O5632" s="20" t="str">
        <f>IF(N5632="","",COUNTIFS(RawData[[Date ]],N5632,RawData[Month List],$Q$6,RawData[Tour/Site],$Q$2,RawData[[Picker ID ]],$Q$3,RawData[Checker ID],$Q$4,RawData[[Error Type ]],$Q$5))</f>
        <v/>
      </c>
    </row>
    <row r="5633" spans="15:15" x14ac:dyDescent="0.25">
      <c r="O5633" s="20" t="str">
        <f>IF(N5633="","",COUNTIFS(RawData[[Date ]],N5633,RawData[Month List],$Q$6,RawData[Tour/Site],$Q$2,RawData[[Picker ID ]],$Q$3,RawData[Checker ID],$Q$4,RawData[[Error Type ]],$Q$5))</f>
        <v/>
      </c>
    </row>
    <row r="5634" spans="15:15" x14ac:dyDescent="0.25">
      <c r="O5634" s="20" t="str">
        <f>IF(N5634="","",COUNTIFS(RawData[[Date ]],N5634,RawData[Month List],$Q$6,RawData[Tour/Site],$Q$2,RawData[[Picker ID ]],$Q$3,RawData[Checker ID],$Q$4,RawData[[Error Type ]],$Q$5))</f>
        <v/>
      </c>
    </row>
    <row r="5635" spans="15:15" x14ac:dyDescent="0.25">
      <c r="O5635" s="20" t="str">
        <f>IF(N5635="","",COUNTIFS(RawData[[Date ]],N5635,RawData[Month List],$Q$6,RawData[Tour/Site],$Q$2,RawData[[Picker ID ]],$Q$3,RawData[Checker ID],$Q$4,RawData[[Error Type ]],$Q$5))</f>
        <v/>
      </c>
    </row>
    <row r="5636" spans="15:15" x14ac:dyDescent="0.25">
      <c r="O5636" s="20" t="str">
        <f>IF(N5636="","",COUNTIFS(RawData[[Date ]],N5636,RawData[Month List],$Q$6,RawData[Tour/Site],$Q$2,RawData[[Picker ID ]],$Q$3,RawData[Checker ID],$Q$4,RawData[[Error Type ]],$Q$5))</f>
        <v/>
      </c>
    </row>
    <row r="5637" spans="15:15" x14ac:dyDescent="0.25">
      <c r="O5637" s="20" t="str">
        <f>IF(N5637="","",COUNTIFS(RawData[[Date ]],N5637,RawData[Month List],$Q$6,RawData[Tour/Site],$Q$2,RawData[[Picker ID ]],$Q$3,RawData[Checker ID],$Q$4,RawData[[Error Type ]],$Q$5))</f>
        <v/>
      </c>
    </row>
    <row r="5638" spans="15:15" x14ac:dyDescent="0.25">
      <c r="O5638" s="20" t="str">
        <f>IF(N5638="","",COUNTIFS(RawData[[Date ]],N5638,RawData[Month List],$Q$6,RawData[Tour/Site],$Q$2,RawData[[Picker ID ]],$Q$3,RawData[Checker ID],$Q$4,RawData[[Error Type ]],$Q$5))</f>
        <v/>
      </c>
    </row>
    <row r="5639" spans="15:15" x14ac:dyDescent="0.25">
      <c r="O5639" s="20" t="str">
        <f>IF(N5639="","",COUNTIFS(RawData[[Date ]],N5639,RawData[Month List],$Q$6,RawData[Tour/Site],$Q$2,RawData[[Picker ID ]],$Q$3,RawData[Checker ID],$Q$4,RawData[[Error Type ]],$Q$5))</f>
        <v/>
      </c>
    </row>
    <row r="5640" spans="15:15" x14ac:dyDescent="0.25">
      <c r="O5640" s="20" t="str">
        <f>IF(N5640="","",COUNTIFS(RawData[[Date ]],N5640,RawData[Month List],$Q$6,RawData[Tour/Site],$Q$2,RawData[[Picker ID ]],$Q$3,RawData[Checker ID],$Q$4,RawData[[Error Type ]],$Q$5))</f>
        <v/>
      </c>
    </row>
    <row r="5641" spans="15:15" x14ac:dyDescent="0.25">
      <c r="O5641" s="20" t="str">
        <f>IF(N5641="","",COUNTIFS(RawData[[Date ]],N5641,RawData[Month List],$Q$6,RawData[Tour/Site],$Q$2,RawData[[Picker ID ]],$Q$3,RawData[Checker ID],$Q$4,RawData[[Error Type ]],$Q$5))</f>
        <v/>
      </c>
    </row>
    <row r="5642" spans="15:15" x14ac:dyDescent="0.25">
      <c r="O5642" s="20" t="str">
        <f>IF(N5642="","",COUNTIFS(RawData[[Date ]],N5642,RawData[Month List],$Q$6,RawData[Tour/Site],$Q$2,RawData[[Picker ID ]],$Q$3,RawData[Checker ID],$Q$4,RawData[[Error Type ]],$Q$5))</f>
        <v/>
      </c>
    </row>
    <row r="5643" spans="15:15" x14ac:dyDescent="0.25">
      <c r="O5643" s="20" t="str">
        <f>IF(N5643="","",COUNTIFS(RawData[[Date ]],N5643,RawData[Month List],$Q$6,RawData[Tour/Site],$Q$2,RawData[[Picker ID ]],$Q$3,RawData[Checker ID],$Q$4,RawData[[Error Type ]],$Q$5))</f>
        <v/>
      </c>
    </row>
    <row r="5644" spans="15:15" x14ac:dyDescent="0.25">
      <c r="O5644" s="20" t="str">
        <f>IF(N5644="","",COUNTIFS(RawData[[Date ]],N5644,RawData[Month List],$Q$6,RawData[Tour/Site],$Q$2,RawData[[Picker ID ]],$Q$3,RawData[Checker ID],$Q$4,RawData[[Error Type ]],$Q$5))</f>
        <v/>
      </c>
    </row>
    <row r="5645" spans="15:15" x14ac:dyDescent="0.25">
      <c r="O5645" s="20" t="str">
        <f>IF(N5645="","",COUNTIFS(RawData[[Date ]],N5645,RawData[Month List],$Q$6,RawData[Tour/Site],$Q$2,RawData[[Picker ID ]],$Q$3,RawData[Checker ID],$Q$4,RawData[[Error Type ]],$Q$5))</f>
        <v/>
      </c>
    </row>
    <row r="5646" spans="15:15" x14ac:dyDescent="0.25">
      <c r="O5646" s="20" t="str">
        <f>IF(N5646="","",COUNTIFS(RawData[[Date ]],N5646,RawData[Month List],$Q$6,RawData[Tour/Site],$Q$2,RawData[[Picker ID ]],$Q$3,RawData[Checker ID],$Q$4,RawData[[Error Type ]],$Q$5))</f>
        <v/>
      </c>
    </row>
    <row r="5647" spans="15:15" x14ac:dyDescent="0.25">
      <c r="O5647" s="20" t="str">
        <f>IF(N5647="","",COUNTIFS(RawData[[Date ]],N5647,RawData[Month List],$Q$6,RawData[Tour/Site],$Q$2,RawData[[Picker ID ]],$Q$3,RawData[Checker ID],$Q$4,RawData[[Error Type ]],$Q$5))</f>
        <v/>
      </c>
    </row>
    <row r="5648" spans="15:15" x14ac:dyDescent="0.25">
      <c r="O5648" s="20" t="str">
        <f>IF(N5648="","",COUNTIFS(RawData[[Date ]],N5648,RawData[Month List],$Q$6,RawData[Tour/Site],$Q$2,RawData[[Picker ID ]],$Q$3,RawData[Checker ID],$Q$4,RawData[[Error Type ]],$Q$5))</f>
        <v/>
      </c>
    </row>
    <row r="5649" spans="15:15" x14ac:dyDescent="0.25">
      <c r="O5649" s="20" t="str">
        <f>IF(N5649="","",COUNTIFS(RawData[[Date ]],N5649,RawData[Month List],$Q$6,RawData[Tour/Site],$Q$2,RawData[[Picker ID ]],$Q$3,RawData[Checker ID],$Q$4,RawData[[Error Type ]],$Q$5))</f>
        <v/>
      </c>
    </row>
    <row r="5650" spans="15:15" x14ac:dyDescent="0.25">
      <c r="O5650" s="20" t="str">
        <f>IF(N5650="","",COUNTIFS(RawData[[Date ]],N5650,RawData[Month List],$Q$6,RawData[Tour/Site],$Q$2,RawData[[Picker ID ]],$Q$3,RawData[Checker ID],$Q$4,RawData[[Error Type ]],$Q$5))</f>
        <v/>
      </c>
    </row>
    <row r="5651" spans="15:15" x14ac:dyDescent="0.25">
      <c r="O5651" s="20" t="str">
        <f>IF(N5651="","",COUNTIFS(RawData[[Date ]],N5651,RawData[Month List],$Q$6,RawData[Tour/Site],$Q$2,RawData[[Picker ID ]],$Q$3,RawData[Checker ID],$Q$4,RawData[[Error Type ]],$Q$5))</f>
        <v/>
      </c>
    </row>
    <row r="5652" spans="15:15" x14ac:dyDescent="0.25">
      <c r="O5652" s="20" t="str">
        <f>IF(N5652="","",COUNTIFS(RawData[[Date ]],N5652,RawData[Month List],$Q$6,RawData[Tour/Site],$Q$2,RawData[[Picker ID ]],$Q$3,RawData[Checker ID],$Q$4,RawData[[Error Type ]],$Q$5))</f>
        <v/>
      </c>
    </row>
    <row r="5653" spans="15:15" x14ac:dyDescent="0.25">
      <c r="O5653" s="20" t="str">
        <f>IF(N5653="","",COUNTIFS(RawData[[Date ]],N5653,RawData[Month List],$Q$6,RawData[Tour/Site],$Q$2,RawData[[Picker ID ]],$Q$3,RawData[Checker ID],$Q$4,RawData[[Error Type ]],$Q$5))</f>
        <v/>
      </c>
    </row>
    <row r="5654" spans="15:15" x14ac:dyDescent="0.25">
      <c r="O5654" s="20" t="str">
        <f>IF(N5654="","",COUNTIFS(RawData[[Date ]],N5654,RawData[Month List],$Q$6,RawData[Tour/Site],$Q$2,RawData[[Picker ID ]],$Q$3,RawData[Checker ID],$Q$4,RawData[[Error Type ]],$Q$5))</f>
        <v/>
      </c>
    </row>
    <row r="5655" spans="15:15" x14ac:dyDescent="0.25">
      <c r="O5655" s="20" t="str">
        <f>IF(N5655="","",COUNTIFS(RawData[[Date ]],N5655,RawData[Month List],$Q$6,RawData[Tour/Site],$Q$2,RawData[[Picker ID ]],$Q$3,RawData[Checker ID],$Q$4,RawData[[Error Type ]],$Q$5))</f>
        <v/>
      </c>
    </row>
    <row r="5656" spans="15:15" x14ac:dyDescent="0.25">
      <c r="O5656" s="20" t="str">
        <f>IF(N5656="","",COUNTIFS(RawData[[Date ]],N5656,RawData[Month List],$Q$6,RawData[Tour/Site],$Q$2,RawData[[Picker ID ]],$Q$3,RawData[Checker ID],$Q$4,RawData[[Error Type ]],$Q$5))</f>
        <v/>
      </c>
    </row>
    <row r="5657" spans="15:15" x14ac:dyDescent="0.25">
      <c r="O5657" s="20" t="str">
        <f>IF(N5657="","",COUNTIFS(RawData[[Date ]],N5657,RawData[Month List],$Q$6,RawData[Tour/Site],$Q$2,RawData[[Picker ID ]],$Q$3,RawData[Checker ID],$Q$4,RawData[[Error Type ]],$Q$5))</f>
        <v/>
      </c>
    </row>
    <row r="5658" spans="15:15" x14ac:dyDescent="0.25">
      <c r="O5658" s="20" t="str">
        <f>IF(N5658="","",COUNTIFS(RawData[[Date ]],N5658,RawData[Month List],$Q$6,RawData[Tour/Site],$Q$2,RawData[[Picker ID ]],$Q$3,RawData[Checker ID],$Q$4,RawData[[Error Type ]],$Q$5))</f>
        <v/>
      </c>
    </row>
    <row r="5659" spans="15:15" x14ac:dyDescent="0.25">
      <c r="O5659" s="20" t="str">
        <f>IF(N5659="","",COUNTIFS(RawData[[Date ]],N5659,RawData[Month List],$Q$6,RawData[Tour/Site],$Q$2,RawData[[Picker ID ]],$Q$3,RawData[Checker ID],$Q$4,RawData[[Error Type ]],$Q$5))</f>
        <v/>
      </c>
    </row>
    <row r="5660" spans="15:15" x14ac:dyDescent="0.25">
      <c r="O5660" s="20" t="str">
        <f>IF(N5660="","",COUNTIFS(RawData[[Date ]],N5660,RawData[Month List],$Q$6,RawData[Tour/Site],$Q$2,RawData[[Picker ID ]],$Q$3,RawData[Checker ID],$Q$4,RawData[[Error Type ]],$Q$5))</f>
        <v/>
      </c>
    </row>
    <row r="5661" spans="15:15" x14ac:dyDescent="0.25">
      <c r="O5661" s="20" t="str">
        <f>IF(N5661="","",COUNTIFS(RawData[[Date ]],N5661,RawData[Month List],$Q$6,RawData[Tour/Site],$Q$2,RawData[[Picker ID ]],$Q$3,RawData[Checker ID],$Q$4,RawData[[Error Type ]],$Q$5))</f>
        <v/>
      </c>
    </row>
    <row r="5662" spans="15:15" x14ac:dyDescent="0.25">
      <c r="O5662" s="20" t="str">
        <f>IF(N5662="","",COUNTIFS(RawData[[Date ]],N5662,RawData[Month List],$Q$6,RawData[Tour/Site],$Q$2,RawData[[Picker ID ]],$Q$3,RawData[Checker ID],$Q$4,RawData[[Error Type ]],$Q$5))</f>
        <v/>
      </c>
    </row>
    <row r="5663" spans="15:15" x14ac:dyDescent="0.25">
      <c r="O5663" s="20" t="str">
        <f>IF(N5663="","",COUNTIFS(RawData[[Date ]],N5663,RawData[Month List],$Q$6,RawData[Tour/Site],$Q$2,RawData[[Picker ID ]],$Q$3,RawData[Checker ID],$Q$4,RawData[[Error Type ]],$Q$5))</f>
        <v/>
      </c>
    </row>
    <row r="5664" spans="15:15" x14ac:dyDescent="0.25">
      <c r="O5664" s="20" t="str">
        <f>IF(N5664="","",COUNTIFS(RawData[[Date ]],N5664,RawData[Month List],$Q$6,RawData[Tour/Site],$Q$2,RawData[[Picker ID ]],$Q$3,RawData[Checker ID],$Q$4,RawData[[Error Type ]],$Q$5))</f>
        <v/>
      </c>
    </row>
    <row r="5665" spans="15:15" x14ac:dyDescent="0.25">
      <c r="O5665" s="20" t="str">
        <f>IF(N5665="","",COUNTIFS(RawData[[Date ]],N5665,RawData[Month List],$Q$6,RawData[Tour/Site],$Q$2,RawData[[Picker ID ]],$Q$3,RawData[Checker ID],$Q$4,RawData[[Error Type ]],$Q$5))</f>
        <v/>
      </c>
    </row>
    <row r="5666" spans="15:15" x14ac:dyDescent="0.25">
      <c r="O5666" s="20" t="str">
        <f>IF(N5666="","",COUNTIFS(RawData[[Date ]],N5666,RawData[Month List],$Q$6,RawData[Tour/Site],$Q$2,RawData[[Picker ID ]],$Q$3,RawData[Checker ID],$Q$4,RawData[[Error Type ]],$Q$5))</f>
        <v/>
      </c>
    </row>
    <row r="5667" spans="15:15" x14ac:dyDescent="0.25">
      <c r="O5667" s="20" t="str">
        <f>IF(N5667="","",COUNTIFS(RawData[[Date ]],N5667,RawData[Month List],$Q$6,RawData[Tour/Site],$Q$2,RawData[[Picker ID ]],$Q$3,RawData[Checker ID],$Q$4,RawData[[Error Type ]],$Q$5))</f>
        <v/>
      </c>
    </row>
    <row r="5668" spans="15:15" x14ac:dyDescent="0.25">
      <c r="O5668" s="20" t="str">
        <f>IF(N5668="","",COUNTIFS(RawData[[Date ]],N5668,RawData[Month List],$Q$6,RawData[Tour/Site],$Q$2,RawData[[Picker ID ]],$Q$3,RawData[Checker ID],$Q$4,RawData[[Error Type ]],$Q$5))</f>
        <v/>
      </c>
    </row>
    <row r="5669" spans="15:15" x14ac:dyDescent="0.25">
      <c r="O5669" s="20" t="str">
        <f>IF(N5669="","",COUNTIFS(RawData[[Date ]],N5669,RawData[Month List],$Q$6,RawData[Tour/Site],$Q$2,RawData[[Picker ID ]],$Q$3,RawData[Checker ID],$Q$4,RawData[[Error Type ]],$Q$5))</f>
        <v/>
      </c>
    </row>
    <row r="5670" spans="15:15" x14ac:dyDescent="0.25">
      <c r="O5670" s="20" t="str">
        <f>IF(N5670="","",COUNTIFS(RawData[[Date ]],N5670,RawData[Month List],$Q$6,RawData[Tour/Site],$Q$2,RawData[[Picker ID ]],$Q$3,RawData[Checker ID],$Q$4,RawData[[Error Type ]],$Q$5))</f>
        <v/>
      </c>
    </row>
    <row r="5671" spans="15:15" x14ac:dyDescent="0.25">
      <c r="O5671" s="20" t="str">
        <f>IF(N5671="","",COUNTIFS(RawData[[Date ]],N5671,RawData[Month List],$Q$6,RawData[Tour/Site],$Q$2,RawData[[Picker ID ]],$Q$3,RawData[Checker ID],$Q$4,RawData[[Error Type ]],$Q$5))</f>
        <v/>
      </c>
    </row>
    <row r="5672" spans="15:15" x14ac:dyDescent="0.25">
      <c r="O5672" s="20" t="str">
        <f>IF(N5672="","",COUNTIFS(RawData[[Date ]],N5672,RawData[Month List],$Q$6,RawData[Tour/Site],$Q$2,RawData[[Picker ID ]],$Q$3,RawData[Checker ID],$Q$4,RawData[[Error Type ]],$Q$5))</f>
        <v/>
      </c>
    </row>
    <row r="5673" spans="15:15" x14ac:dyDescent="0.25">
      <c r="O5673" s="20" t="str">
        <f>IF(N5673="","",COUNTIFS(RawData[[Date ]],N5673,RawData[Month List],$Q$6,RawData[Tour/Site],$Q$2,RawData[[Picker ID ]],$Q$3,RawData[Checker ID],$Q$4,RawData[[Error Type ]],$Q$5))</f>
        <v/>
      </c>
    </row>
    <row r="5674" spans="15:15" x14ac:dyDescent="0.25">
      <c r="O5674" s="20" t="str">
        <f>IF(N5674="","",COUNTIFS(RawData[[Date ]],N5674,RawData[Month List],$Q$6,RawData[Tour/Site],$Q$2,RawData[[Picker ID ]],$Q$3,RawData[Checker ID],$Q$4,RawData[[Error Type ]],$Q$5))</f>
        <v/>
      </c>
    </row>
    <row r="5675" spans="15:15" x14ac:dyDescent="0.25">
      <c r="O5675" s="20" t="str">
        <f>IF(N5675="","",COUNTIFS(RawData[[Date ]],N5675,RawData[Month List],$Q$6,RawData[Tour/Site],$Q$2,RawData[[Picker ID ]],$Q$3,RawData[Checker ID],$Q$4,RawData[[Error Type ]],$Q$5))</f>
        <v/>
      </c>
    </row>
    <row r="5676" spans="15:15" x14ac:dyDescent="0.25">
      <c r="O5676" s="20" t="str">
        <f>IF(N5676="","",COUNTIFS(RawData[[Date ]],N5676,RawData[Month List],$Q$6,RawData[Tour/Site],$Q$2,RawData[[Picker ID ]],$Q$3,RawData[Checker ID],$Q$4,RawData[[Error Type ]],$Q$5))</f>
        <v/>
      </c>
    </row>
    <row r="5677" spans="15:15" x14ac:dyDescent="0.25">
      <c r="O5677" s="20" t="str">
        <f>IF(N5677="","",COUNTIFS(RawData[[Date ]],N5677,RawData[Month List],$Q$6,RawData[Tour/Site],$Q$2,RawData[[Picker ID ]],$Q$3,RawData[Checker ID],$Q$4,RawData[[Error Type ]],$Q$5))</f>
        <v/>
      </c>
    </row>
    <row r="5678" spans="15:15" x14ac:dyDescent="0.25">
      <c r="O5678" s="20" t="str">
        <f>IF(N5678="","",COUNTIFS(RawData[[Date ]],N5678,RawData[Month List],$Q$6,RawData[Tour/Site],$Q$2,RawData[[Picker ID ]],$Q$3,RawData[Checker ID],$Q$4,RawData[[Error Type ]],$Q$5))</f>
        <v/>
      </c>
    </row>
    <row r="5679" spans="15:15" x14ac:dyDescent="0.25">
      <c r="O5679" s="20" t="str">
        <f>IF(N5679="","",COUNTIFS(RawData[[Date ]],N5679,RawData[Month List],$Q$6,RawData[Tour/Site],$Q$2,RawData[[Picker ID ]],$Q$3,RawData[Checker ID],$Q$4,RawData[[Error Type ]],$Q$5))</f>
        <v/>
      </c>
    </row>
    <row r="5680" spans="15:15" x14ac:dyDescent="0.25">
      <c r="O5680" s="20" t="str">
        <f>IF(N5680="","",COUNTIFS(RawData[[Date ]],N5680,RawData[Month List],$Q$6,RawData[Tour/Site],$Q$2,RawData[[Picker ID ]],$Q$3,RawData[Checker ID],$Q$4,RawData[[Error Type ]],$Q$5))</f>
        <v/>
      </c>
    </row>
    <row r="5681" spans="15:15" x14ac:dyDescent="0.25">
      <c r="O5681" s="20" t="str">
        <f>IF(N5681="","",COUNTIFS(RawData[[Date ]],N5681,RawData[Month List],$Q$6,RawData[Tour/Site],$Q$2,RawData[[Picker ID ]],$Q$3,RawData[Checker ID],$Q$4,RawData[[Error Type ]],$Q$5))</f>
        <v/>
      </c>
    </row>
    <row r="5682" spans="15:15" x14ac:dyDescent="0.25">
      <c r="O5682" s="20" t="str">
        <f>IF(N5682="","",COUNTIFS(RawData[[Date ]],N5682,RawData[Month List],$Q$6,RawData[Tour/Site],$Q$2,RawData[[Picker ID ]],$Q$3,RawData[Checker ID],$Q$4,RawData[[Error Type ]],$Q$5))</f>
        <v/>
      </c>
    </row>
    <row r="5683" spans="15:15" x14ac:dyDescent="0.25">
      <c r="O5683" s="20" t="str">
        <f>IF(N5683="","",COUNTIFS(RawData[[Date ]],N5683,RawData[Month List],$Q$6,RawData[Tour/Site],$Q$2,RawData[[Picker ID ]],$Q$3,RawData[Checker ID],$Q$4,RawData[[Error Type ]],$Q$5))</f>
        <v/>
      </c>
    </row>
    <row r="5684" spans="15:15" x14ac:dyDescent="0.25">
      <c r="O5684" s="20" t="str">
        <f>IF(N5684="","",COUNTIFS(RawData[[Date ]],N5684,RawData[Month List],$Q$6,RawData[Tour/Site],$Q$2,RawData[[Picker ID ]],$Q$3,RawData[Checker ID],$Q$4,RawData[[Error Type ]],$Q$5))</f>
        <v/>
      </c>
    </row>
    <row r="5685" spans="15:15" x14ac:dyDescent="0.25">
      <c r="O5685" s="20" t="str">
        <f>IF(N5685="","",COUNTIFS(RawData[[Date ]],N5685,RawData[Month List],$Q$6,RawData[Tour/Site],$Q$2,RawData[[Picker ID ]],$Q$3,RawData[Checker ID],$Q$4,RawData[[Error Type ]],$Q$5))</f>
        <v/>
      </c>
    </row>
    <row r="5686" spans="15:15" x14ac:dyDescent="0.25">
      <c r="O5686" s="20" t="str">
        <f>IF(N5686="","",COUNTIFS(RawData[[Date ]],N5686,RawData[Month List],$Q$6,RawData[Tour/Site],$Q$2,RawData[[Picker ID ]],$Q$3,RawData[Checker ID],$Q$4,RawData[[Error Type ]],$Q$5))</f>
        <v/>
      </c>
    </row>
    <row r="5687" spans="15:15" x14ac:dyDescent="0.25">
      <c r="O5687" s="20" t="str">
        <f>IF(N5687="","",COUNTIFS(RawData[[Date ]],N5687,RawData[Month List],$Q$6,RawData[Tour/Site],$Q$2,RawData[[Picker ID ]],$Q$3,RawData[Checker ID],$Q$4,RawData[[Error Type ]],$Q$5))</f>
        <v/>
      </c>
    </row>
    <row r="5688" spans="15:15" x14ac:dyDescent="0.25">
      <c r="O5688" s="20" t="str">
        <f>IF(N5688="","",COUNTIFS(RawData[[Date ]],N5688,RawData[Month List],$Q$6,RawData[Tour/Site],$Q$2,RawData[[Picker ID ]],$Q$3,RawData[Checker ID],$Q$4,RawData[[Error Type ]],$Q$5))</f>
        <v/>
      </c>
    </row>
    <row r="5689" spans="15:15" x14ac:dyDescent="0.25">
      <c r="O5689" s="20" t="str">
        <f>IF(N5689="","",COUNTIFS(RawData[[Date ]],N5689,RawData[Month List],$Q$6,RawData[Tour/Site],$Q$2,RawData[[Picker ID ]],$Q$3,RawData[Checker ID],$Q$4,RawData[[Error Type ]],$Q$5))</f>
        <v/>
      </c>
    </row>
    <row r="5690" spans="15:15" x14ac:dyDescent="0.25">
      <c r="O5690" s="20" t="str">
        <f>IF(N5690="","",COUNTIFS(RawData[[Date ]],N5690,RawData[Month List],$Q$6,RawData[Tour/Site],$Q$2,RawData[[Picker ID ]],$Q$3,RawData[Checker ID],$Q$4,RawData[[Error Type ]],$Q$5))</f>
        <v/>
      </c>
    </row>
    <row r="5691" spans="15:15" x14ac:dyDescent="0.25">
      <c r="O5691" s="20" t="str">
        <f>IF(N5691="","",COUNTIFS(RawData[[Date ]],N5691,RawData[Month List],$Q$6,RawData[Tour/Site],$Q$2,RawData[[Picker ID ]],$Q$3,RawData[Checker ID],$Q$4,RawData[[Error Type ]],$Q$5))</f>
        <v/>
      </c>
    </row>
    <row r="5692" spans="15:15" x14ac:dyDescent="0.25">
      <c r="O5692" s="20" t="str">
        <f>IF(N5692="","",COUNTIFS(RawData[[Date ]],N5692,RawData[Month List],$Q$6,RawData[Tour/Site],$Q$2,RawData[[Picker ID ]],$Q$3,RawData[Checker ID],$Q$4,RawData[[Error Type ]],$Q$5))</f>
        <v/>
      </c>
    </row>
    <row r="5693" spans="15:15" x14ac:dyDescent="0.25">
      <c r="O5693" s="20" t="str">
        <f>IF(N5693="","",COUNTIFS(RawData[[Date ]],N5693,RawData[Month List],$Q$6,RawData[Tour/Site],$Q$2,RawData[[Picker ID ]],$Q$3,RawData[Checker ID],$Q$4,RawData[[Error Type ]],$Q$5))</f>
        <v/>
      </c>
    </row>
    <row r="5694" spans="15:15" x14ac:dyDescent="0.25">
      <c r="O5694" s="20" t="str">
        <f>IF(N5694="","",COUNTIFS(RawData[[Date ]],N5694,RawData[Month List],$Q$6,RawData[Tour/Site],$Q$2,RawData[[Picker ID ]],$Q$3,RawData[Checker ID],$Q$4,RawData[[Error Type ]],$Q$5))</f>
        <v/>
      </c>
    </row>
    <row r="5695" spans="15:15" x14ac:dyDescent="0.25">
      <c r="O5695" s="20" t="str">
        <f>IF(N5695="","",COUNTIFS(RawData[[Date ]],N5695,RawData[Month List],$Q$6,RawData[Tour/Site],$Q$2,RawData[[Picker ID ]],$Q$3,RawData[Checker ID],$Q$4,RawData[[Error Type ]],$Q$5))</f>
        <v/>
      </c>
    </row>
    <row r="5696" spans="15:15" x14ac:dyDescent="0.25">
      <c r="O5696" s="20" t="str">
        <f>IF(N5696="","",COUNTIFS(RawData[[Date ]],N5696,RawData[Month List],$Q$6,RawData[Tour/Site],$Q$2,RawData[[Picker ID ]],$Q$3,RawData[Checker ID],$Q$4,RawData[[Error Type ]],$Q$5))</f>
        <v/>
      </c>
    </row>
    <row r="5697" spans="15:15" x14ac:dyDescent="0.25">
      <c r="O5697" s="20" t="str">
        <f>IF(N5697="","",COUNTIFS(RawData[[Date ]],N5697,RawData[Month List],$Q$6,RawData[Tour/Site],$Q$2,RawData[[Picker ID ]],$Q$3,RawData[Checker ID],$Q$4,RawData[[Error Type ]],$Q$5))</f>
        <v/>
      </c>
    </row>
    <row r="5698" spans="15:15" x14ac:dyDescent="0.25">
      <c r="O5698" s="20" t="str">
        <f>IF(N5698="","",COUNTIFS(RawData[[Date ]],N5698,RawData[Month List],$Q$6,RawData[Tour/Site],$Q$2,RawData[[Picker ID ]],$Q$3,RawData[Checker ID],$Q$4,RawData[[Error Type ]],$Q$5))</f>
        <v/>
      </c>
    </row>
    <row r="5699" spans="15:15" x14ac:dyDescent="0.25">
      <c r="O5699" s="20" t="str">
        <f>IF(N5699="","",COUNTIFS(RawData[[Date ]],N5699,RawData[Month List],$Q$6,RawData[Tour/Site],$Q$2,RawData[[Picker ID ]],$Q$3,RawData[Checker ID],$Q$4,RawData[[Error Type ]],$Q$5))</f>
        <v/>
      </c>
    </row>
    <row r="5700" spans="15:15" x14ac:dyDescent="0.25">
      <c r="O5700" s="20" t="str">
        <f>IF(N5700="","",COUNTIFS(RawData[[Date ]],N5700,RawData[Month List],$Q$6,RawData[Tour/Site],$Q$2,RawData[[Picker ID ]],$Q$3,RawData[Checker ID],$Q$4,RawData[[Error Type ]],$Q$5))</f>
        <v/>
      </c>
    </row>
    <row r="5701" spans="15:15" x14ac:dyDescent="0.25">
      <c r="O5701" s="20" t="str">
        <f>IF(N5701="","",COUNTIFS(RawData[[Date ]],N5701,RawData[Month List],$Q$6,RawData[Tour/Site],$Q$2,RawData[[Picker ID ]],$Q$3,RawData[Checker ID],$Q$4,RawData[[Error Type ]],$Q$5))</f>
        <v/>
      </c>
    </row>
    <row r="5702" spans="15:15" x14ac:dyDescent="0.25">
      <c r="O5702" s="20" t="str">
        <f>IF(N5702="","",COUNTIFS(RawData[[Date ]],N5702,RawData[Month List],$Q$6,RawData[Tour/Site],$Q$2,RawData[[Picker ID ]],$Q$3,RawData[Checker ID],$Q$4,RawData[[Error Type ]],$Q$5))</f>
        <v/>
      </c>
    </row>
    <row r="5703" spans="15:15" x14ac:dyDescent="0.25">
      <c r="O5703" s="20" t="str">
        <f>IF(N5703="","",COUNTIFS(RawData[[Date ]],N5703,RawData[Month List],$Q$6,RawData[Tour/Site],$Q$2,RawData[[Picker ID ]],$Q$3,RawData[Checker ID],$Q$4,RawData[[Error Type ]],$Q$5))</f>
        <v/>
      </c>
    </row>
    <row r="5704" spans="15:15" x14ac:dyDescent="0.25">
      <c r="O5704" s="20" t="str">
        <f>IF(N5704="","",COUNTIFS(RawData[[Date ]],N5704,RawData[Month List],$Q$6,RawData[Tour/Site],$Q$2,RawData[[Picker ID ]],$Q$3,RawData[Checker ID],$Q$4,RawData[[Error Type ]],$Q$5))</f>
        <v/>
      </c>
    </row>
    <row r="5705" spans="15:15" x14ac:dyDescent="0.25">
      <c r="O5705" s="20" t="str">
        <f>IF(N5705="","",COUNTIFS(RawData[[Date ]],N5705,RawData[Month List],$Q$6,RawData[Tour/Site],$Q$2,RawData[[Picker ID ]],$Q$3,RawData[Checker ID],$Q$4,RawData[[Error Type ]],$Q$5))</f>
        <v/>
      </c>
    </row>
    <row r="5706" spans="15:15" x14ac:dyDescent="0.25">
      <c r="O5706" s="20" t="str">
        <f>IF(N5706="","",COUNTIFS(RawData[[Date ]],N5706,RawData[Month List],$Q$6,RawData[Tour/Site],$Q$2,RawData[[Picker ID ]],$Q$3,RawData[Checker ID],$Q$4,RawData[[Error Type ]],$Q$5))</f>
        <v/>
      </c>
    </row>
    <row r="5707" spans="15:15" x14ac:dyDescent="0.25">
      <c r="O5707" s="20" t="str">
        <f>IF(N5707="","",COUNTIFS(RawData[[Date ]],N5707,RawData[Month List],$Q$6,RawData[Tour/Site],$Q$2,RawData[[Picker ID ]],$Q$3,RawData[Checker ID],$Q$4,RawData[[Error Type ]],$Q$5))</f>
        <v/>
      </c>
    </row>
    <row r="5708" spans="15:15" x14ac:dyDescent="0.25">
      <c r="O5708" s="20" t="str">
        <f>IF(N5708="","",COUNTIFS(RawData[[Date ]],N5708,RawData[Month List],$Q$6,RawData[Tour/Site],$Q$2,RawData[[Picker ID ]],$Q$3,RawData[Checker ID],$Q$4,RawData[[Error Type ]],$Q$5))</f>
        <v/>
      </c>
    </row>
    <row r="5709" spans="15:15" x14ac:dyDescent="0.25">
      <c r="O5709" s="20" t="str">
        <f>IF(N5709="","",COUNTIFS(RawData[[Date ]],N5709,RawData[Month List],$Q$6,RawData[Tour/Site],$Q$2,RawData[[Picker ID ]],$Q$3,RawData[Checker ID],$Q$4,RawData[[Error Type ]],$Q$5))</f>
        <v/>
      </c>
    </row>
    <row r="5710" spans="15:15" x14ac:dyDescent="0.25">
      <c r="O5710" s="20" t="str">
        <f>IF(N5710="","",COUNTIFS(RawData[[Date ]],N5710,RawData[Month List],$Q$6,RawData[Tour/Site],$Q$2,RawData[[Picker ID ]],$Q$3,RawData[Checker ID],$Q$4,RawData[[Error Type ]],$Q$5))</f>
        <v/>
      </c>
    </row>
    <row r="5711" spans="15:15" x14ac:dyDescent="0.25">
      <c r="O5711" s="20" t="str">
        <f>IF(N5711="","",COUNTIFS(RawData[[Date ]],N5711,RawData[Month List],$Q$6,RawData[Tour/Site],$Q$2,RawData[[Picker ID ]],$Q$3,RawData[Checker ID],$Q$4,RawData[[Error Type ]],$Q$5))</f>
        <v/>
      </c>
    </row>
    <row r="5712" spans="15:15" x14ac:dyDescent="0.25">
      <c r="O5712" s="20" t="str">
        <f>IF(N5712="","",COUNTIFS(RawData[[Date ]],N5712,RawData[Month List],$Q$6,RawData[Tour/Site],$Q$2,RawData[[Picker ID ]],$Q$3,RawData[Checker ID],$Q$4,RawData[[Error Type ]],$Q$5))</f>
        <v/>
      </c>
    </row>
    <row r="5713" spans="15:15" x14ac:dyDescent="0.25">
      <c r="O5713" s="20" t="str">
        <f>IF(N5713="","",COUNTIFS(RawData[[Date ]],N5713,RawData[Month List],$Q$6,RawData[Tour/Site],$Q$2,RawData[[Picker ID ]],$Q$3,RawData[Checker ID],$Q$4,RawData[[Error Type ]],$Q$5))</f>
        <v/>
      </c>
    </row>
    <row r="5714" spans="15:15" x14ac:dyDescent="0.25">
      <c r="O5714" s="20" t="str">
        <f>IF(N5714="","",COUNTIFS(RawData[[Date ]],N5714,RawData[Month List],$Q$6,RawData[Tour/Site],$Q$2,RawData[[Picker ID ]],$Q$3,RawData[Checker ID],$Q$4,RawData[[Error Type ]],$Q$5))</f>
        <v/>
      </c>
    </row>
    <row r="5715" spans="15:15" x14ac:dyDescent="0.25">
      <c r="O5715" s="20" t="str">
        <f>IF(N5715="","",COUNTIFS(RawData[[Date ]],N5715,RawData[Month List],$Q$6,RawData[Tour/Site],$Q$2,RawData[[Picker ID ]],$Q$3,RawData[Checker ID],$Q$4,RawData[[Error Type ]],$Q$5))</f>
        <v/>
      </c>
    </row>
    <row r="5716" spans="15:15" x14ac:dyDescent="0.25">
      <c r="O5716" s="20" t="str">
        <f>IF(N5716="","",COUNTIFS(RawData[[Date ]],N5716,RawData[Month List],$Q$6,RawData[Tour/Site],$Q$2,RawData[[Picker ID ]],$Q$3,RawData[Checker ID],$Q$4,RawData[[Error Type ]],$Q$5))</f>
        <v/>
      </c>
    </row>
    <row r="5717" spans="15:15" x14ac:dyDescent="0.25">
      <c r="O5717" s="20" t="str">
        <f>IF(N5717="","",COUNTIFS(RawData[[Date ]],N5717,RawData[Month List],$Q$6,RawData[Tour/Site],$Q$2,RawData[[Picker ID ]],$Q$3,RawData[Checker ID],$Q$4,RawData[[Error Type ]],$Q$5))</f>
        <v/>
      </c>
    </row>
    <row r="5718" spans="15:15" x14ac:dyDescent="0.25">
      <c r="O5718" s="20" t="str">
        <f>IF(N5718="","",COUNTIFS(RawData[[Date ]],N5718,RawData[Month List],$Q$6,RawData[Tour/Site],$Q$2,RawData[[Picker ID ]],$Q$3,RawData[Checker ID],$Q$4,RawData[[Error Type ]],$Q$5))</f>
        <v/>
      </c>
    </row>
    <row r="5719" spans="15:15" x14ac:dyDescent="0.25">
      <c r="O5719" s="20" t="str">
        <f>IF(N5719="","",COUNTIFS(RawData[[Date ]],N5719,RawData[Month List],$Q$6,RawData[Tour/Site],$Q$2,RawData[[Picker ID ]],$Q$3,RawData[Checker ID],$Q$4,RawData[[Error Type ]],$Q$5))</f>
        <v/>
      </c>
    </row>
    <row r="5720" spans="15:15" x14ac:dyDescent="0.25">
      <c r="O5720" s="20" t="str">
        <f>IF(N5720="","",COUNTIFS(RawData[[Date ]],N5720,RawData[Month List],$Q$6,RawData[Tour/Site],$Q$2,RawData[[Picker ID ]],$Q$3,RawData[Checker ID],$Q$4,RawData[[Error Type ]],$Q$5))</f>
        <v/>
      </c>
    </row>
    <row r="5721" spans="15:15" x14ac:dyDescent="0.25">
      <c r="O5721" s="20" t="str">
        <f>IF(N5721="","",COUNTIFS(RawData[[Date ]],N5721,RawData[Month List],$Q$6,RawData[Tour/Site],$Q$2,RawData[[Picker ID ]],$Q$3,RawData[Checker ID],$Q$4,RawData[[Error Type ]],$Q$5))</f>
        <v/>
      </c>
    </row>
    <row r="5722" spans="15:15" x14ac:dyDescent="0.25">
      <c r="O5722" s="20" t="str">
        <f>IF(N5722="","",COUNTIFS(RawData[[Date ]],N5722,RawData[Month List],$Q$6,RawData[Tour/Site],$Q$2,RawData[[Picker ID ]],$Q$3,RawData[Checker ID],$Q$4,RawData[[Error Type ]],$Q$5))</f>
        <v/>
      </c>
    </row>
    <row r="5723" spans="15:15" x14ac:dyDescent="0.25">
      <c r="O5723" s="20" t="str">
        <f>IF(N5723="","",COUNTIFS(RawData[[Date ]],N5723,RawData[Month List],$Q$6,RawData[Tour/Site],$Q$2,RawData[[Picker ID ]],$Q$3,RawData[Checker ID],$Q$4,RawData[[Error Type ]],$Q$5))</f>
        <v/>
      </c>
    </row>
    <row r="5724" spans="15:15" x14ac:dyDescent="0.25">
      <c r="O5724" s="20" t="str">
        <f>IF(N5724="","",COUNTIFS(RawData[[Date ]],N5724,RawData[Month List],$Q$6,RawData[Tour/Site],$Q$2,RawData[[Picker ID ]],$Q$3,RawData[Checker ID],$Q$4,RawData[[Error Type ]],$Q$5))</f>
        <v/>
      </c>
    </row>
    <row r="5725" spans="15:15" x14ac:dyDescent="0.25">
      <c r="O5725" s="20" t="str">
        <f>IF(N5725="","",COUNTIFS(RawData[[Date ]],N5725,RawData[Month List],$Q$6,RawData[Tour/Site],$Q$2,RawData[[Picker ID ]],$Q$3,RawData[Checker ID],$Q$4,RawData[[Error Type ]],$Q$5))</f>
        <v/>
      </c>
    </row>
    <row r="5726" spans="15:15" x14ac:dyDescent="0.25">
      <c r="O5726" s="20" t="str">
        <f>IF(N5726="","",COUNTIFS(RawData[[Date ]],N5726,RawData[Month List],$Q$6,RawData[Tour/Site],$Q$2,RawData[[Picker ID ]],$Q$3,RawData[Checker ID],$Q$4,RawData[[Error Type ]],$Q$5))</f>
        <v/>
      </c>
    </row>
    <row r="5727" spans="15:15" x14ac:dyDescent="0.25">
      <c r="O5727" s="20" t="str">
        <f>IF(N5727="","",COUNTIFS(RawData[[Date ]],N5727,RawData[Month List],$Q$6,RawData[Tour/Site],$Q$2,RawData[[Picker ID ]],$Q$3,RawData[Checker ID],$Q$4,RawData[[Error Type ]],$Q$5))</f>
        <v/>
      </c>
    </row>
    <row r="5728" spans="15:15" x14ac:dyDescent="0.25">
      <c r="O5728" s="20" t="str">
        <f>IF(N5728="","",COUNTIFS(RawData[[Date ]],N5728,RawData[Month List],$Q$6,RawData[Tour/Site],$Q$2,RawData[[Picker ID ]],$Q$3,RawData[Checker ID],$Q$4,RawData[[Error Type ]],$Q$5))</f>
        <v/>
      </c>
    </row>
    <row r="5729" spans="15:15" x14ac:dyDescent="0.25">
      <c r="O5729" s="20" t="str">
        <f>IF(N5729="","",COUNTIFS(RawData[[Date ]],N5729,RawData[Month List],$Q$6,RawData[Tour/Site],$Q$2,RawData[[Picker ID ]],$Q$3,RawData[Checker ID],$Q$4,RawData[[Error Type ]],$Q$5))</f>
        <v/>
      </c>
    </row>
    <row r="5730" spans="15:15" x14ac:dyDescent="0.25">
      <c r="O5730" s="20" t="str">
        <f>IF(N5730="","",COUNTIFS(RawData[[Date ]],N5730,RawData[Month List],$Q$6,RawData[Tour/Site],$Q$2,RawData[[Picker ID ]],$Q$3,RawData[Checker ID],$Q$4,RawData[[Error Type ]],$Q$5))</f>
        <v/>
      </c>
    </row>
    <row r="5731" spans="15:15" x14ac:dyDescent="0.25">
      <c r="O5731" s="20" t="str">
        <f>IF(N5731="","",COUNTIFS(RawData[[Date ]],N5731,RawData[Month List],$Q$6,RawData[Tour/Site],$Q$2,RawData[[Picker ID ]],$Q$3,RawData[Checker ID],$Q$4,RawData[[Error Type ]],$Q$5))</f>
        <v/>
      </c>
    </row>
    <row r="5732" spans="15:15" x14ac:dyDescent="0.25">
      <c r="O5732" s="20" t="str">
        <f>IF(N5732="","",COUNTIFS(RawData[[Date ]],N5732,RawData[Month List],$Q$6,RawData[Tour/Site],$Q$2,RawData[[Picker ID ]],$Q$3,RawData[Checker ID],$Q$4,RawData[[Error Type ]],$Q$5))</f>
        <v/>
      </c>
    </row>
    <row r="5733" spans="15:15" x14ac:dyDescent="0.25">
      <c r="O5733" s="20" t="str">
        <f>IF(N5733="","",COUNTIFS(RawData[[Date ]],N5733,RawData[Month List],$Q$6,RawData[Tour/Site],$Q$2,RawData[[Picker ID ]],$Q$3,RawData[Checker ID],$Q$4,RawData[[Error Type ]],$Q$5))</f>
        <v/>
      </c>
    </row>
    <row r="5734" spans="15:15" x14ac:dyDescent="0.25">
      <c r="O5734" s="20" t="str">
        <f>IF(N5734="","",COUNTIFS(RawData[[Date ]],N5734,RawData[Month List],$Q$6,RawData[Tour/Site],$Q$2,RawData[[Picker ID ]],$Q$3,RawData[Checker ID],$Q$4,RawData[[Error Type ]],$Q$5))</f>
        <v/>
      </c>
    </row>
    <row r="5735" spans="15:15" x14ac:dyDescent="0.25">
      <c r="O5735" s="20" t="str">
        <f>IF(N5735="","",COUNTIFS(RawData[[Date ]],N5735,RawData[Month List],$Q$6,RawData[Tour/Site],$Q$2,RawData[[Picker ID ]],$Q$3,RawData[Checker ID],$Q$4,RawData[[Error Type ]],$Q$5))</f>
        <v/>
      </c>
    </row>
    <row r="5736" spans="15:15" x14ac:dyDescent="0.25">
      <c r="O5736" s="20" t="str">
        <f>IF(N5736="","",COUNTIFS(RawData[[Date ]],N5736,RawData[Month List],$Q$6,RawData[Tour/Site],$Q$2,RawData[[Picker ID ]],$Q$3,RawData[Checker ID],$Q$4,RawData[[Error Type ]],$Q$5))</f>
        <v/>
      </c>
    </row>
    <row r="5737" spans="15:15" x14ac:dyDescent="0.25">
      <c r="O5737" s="20" t="str">
        <f>IF(N5737="","",COUNTIFS(RawData[[Date ]],N5737,RawData[Month List],$Q$6,RawData[Tour/Site],$Q$2,RawData[[Picker ID ]],$Q$3,RawData[Checker ID],$Q$4,RawData[[Error Type ]],$Q$5))</f>
        <v/>
      </c>
    </row>
    <row r="5738" spans="15:15" x14ac:dyDescent="0.25">
      <c r="O5738" s="20" t="str">
        <f>IF(N5738="","",COUNTIFS(RawData[[Date ]],N5738,RawData[Month List],$Q$6,RawData[Tour/Site],$Q$2,RawData[[Picker ID ]],$Q$3,RawData[Checker ID],$Q$4,RawData[[Error Type ]],$Q$5))</f>
        <v/>
      </c>
    </row>
    <row r="5739" spans="15:15" x14ac:dyDescent="0.25">
      <c r="O5739" s="20" t="str">
        <f>IF(N5739="","",COUNTIFS(RawData[[Date ]],N5739,RawData[Month List],$Q$6,RawData[Tour/Site],$Q$2,RawData[[Picker ID ]],$Q$3,RawData[Checker ID],$Q$4,RawData[[Error Type ]],$Q$5))</f>
        <v/>
      </c>
    </row>
    <row r="5740" spans="15:15" x14ac:dyDescent="0.25">
      <c r="O5740" s="20" t="str">
        <f>IF(N5740="","",COUNTIFS(RawData[[Date ]],N5740,RawData[Month List],$Q$6,RawData[Tour/Site],$Q$2,RawData[[Picker ID ]],$Q$3,RawData[Checker ID],$Q$4,RawData[[Error Type ]],$Q$5))</f>
        <v/>
      </c>
    </row>
    <row r="5741" spans="15:15" x14ac:dyDescent="0.25">
      <c r="O5741" s="20" t="str">
        <f>IF(N5741="","",COUNTIFS(RawData[[Date ]],N5741,RawData[Month List],$Q$6,RawData[Tour/Site],$Q$2,RawData[[Picker ID ]],$Q$3,RawData[Checker ID],$Q$4,RawData[[Error Type ]],$Q$5))</f>
        <v/>
      </c>
    </row>
    <row r="5742" spans="15:15" x14ac:dyDescent="0.25">
      <c r="O5742" s="20" t="str">
        <f>IF(N5742="","",COUNTIFS(RawData[[Date ]],N5742,RawData[Month List],$Q$6,RawData[Tour/Site],$Q$2,RawData[[Picker ID ]],$Q$3,RawData[Checker ID],$Q$4,RawData[[Error Type ]],$Q$5))</f>
        <v/>
      </c>
    </row>
    <row r="5743" spans="15:15" x14ac:dyDescent="0.25">
      <c r="O5743" s="20" t="str">
        <f>IF(N5743="","",COUNTIFS(RawData[[Date ]],N5743,RawData[Month List],$Q$6,RawData[Tour/Site],$Q$2,RawData[[Picker ID ]],$Q$3,RawData[Checker ID],$Q$4,RawData[[Error Type ]],$Q$5))</f>
        <v/>
      </c>
    </row>
    <row r="5744" spans="15:15" x14ac:dyDescent="0.25">
      <c r="O5744" s="20" t="str">
        <f>IF(N5744="","",COUNTIFS(RawData[[Date ]],N5744,RawData[Month List],$Q$6,RawData[Tour/Site],$Q$2,RawData[[Picker ID ]],$Q$3,RawData[Checker ID],$Q$4,RawData[[Error Type ]],$Q$5))</f>
        <v/>
      </c>
    </row>
    <row r="5745" spans="15:15" x14ac:dyDescent="0.25">
      <c r="O5745" s="20" t="str">
        <f>IF(N5745="","",COUNTIFS(RawData[[Date ]],N5745,RawData[Month List],$Q$6,RawData[Tour/Site],$Q$2,RawData[[Picker ID ]],$Q$3,RawData[Checker ID],$Q$4,RawData[[Error Type ]],$Q$5))</f>
        <v/>
      </c>
    </row>
    <row r="5746" spans="15:15" x14ac:dyDescent="0.25">
      <c r="O5746" s="20" t="str">
        <f>IF(N5746="","",COUNTIFS(RawData[[Date ]],N5746,RawData[Month List],$Q$6,RawData[Tour/Site],$Q$2,RawData[[Picker ID ]],$Q$3,RawData[Checker ID],$Q$4,RawData[[Error Type ]],$Q$5))</f>
        <v/>
      </c>
    </row>
    <row r="5747" spans="15:15" x14ac:dyDescent="0.25">
      <c r="O5747" s="20" t="str">
        <f>IF(N5747="","",COUNTIFS(RawData[[Date ]],N5747,RawData[Month List],$Q$6,RawData[Tour/Site],$Q$2,RawData[[Picker ID ]],$Q$3,RawData[Checker ID],$Q$4,RawData[[Error Type ]],$Q$5))</f>
        <v/>
      </c>
    </row>
    <row r="5748" spans="15:15" x14ac:dyDescent="0.25">
      <c r="O5748" s="20" t="str">
        <f>IF(N5748="","",COUNTIFS(RawData[[Date ]],N5748,RawData[Month List],$Q$6,RawData[Tour/Site],$Q$2,RawData[[Picker ID ]],$Q$3,RawData[Checker ID],$Q$4,RawData[[Error Type ]],$Q$5))</f>
        <v/>
      </c>
    </row>
    <row r="5749" spans="15:15" x14ac:dyDescent="0.25">
      <c r="O5749" s="20" t="str">
        <f>IF(N5749="","",COUNTIFS(RawData[[Date ]],N5749,RawData[Month List],$Q$6,RawData[Tour/Site],$Q$2,RawData[[Picker ID ]],$Q$3,RawData[Checker ID],$Q$4,RawData[[Error Type ]],$Q$5))</f>
        <v/>
      </c>
    </row>
    <row r="5750" spans="15:15" x14ac:dyDescent="0.25">
      <c r="O5750" s="20" t="str">
        <f>IF(N5750="","",COUNTIFS(RawData[[Date ]],N5750,RawData[Month List],$Q$6,RawData[Tour/Site],$Q$2,RawData[[Picker ID ]],$Q$3,RawData[Checker ID],$Q$4,RawData[[Error Type ]],$Q$5))</f>
        <v/>
      </c>
    </row>
    <row r="5751" spans="15:15" x14ac:dyDescent="0.25">
      <c r="O5751" s="20" t="str">
        <f>IF(N5751="","",COUNTIFS(RawData[[Date ]],N5751,RawData[Month List],$Q$6,RawData[Tour/Site],$Q$2,RawData[[Picker ID ]],$Q$3,RawData[Checker ID],$Q$4,RawData[[Error Type ]],$Q$5))</f>
        <v/>
      </c>
    </row>
    <row r="5752" spans="15:15" x14ac:dyDescent="0.25">
      <c r="O5752" s="20" t="str">
        <f>IF(N5752="","",COUNTIFS(RawData[[Date ]],N5752,RawData[Month List],$Q$6,RawData[Tour/Site],$Q$2,RawData[[Picker ID ]],$Q$3,RawData[Checker ID],$Q$4,RawData[[Error Type ]],$Q$5))</f>
        <v/>
      </c>
    </row>
    <row r="5753" spans="15:15" x14ac:dyDescent="0.25">
      <c r="O5753" s="20" t="str">
        <f>IF(N5753="","",COUNTIFS(RawData[[Date ]],N5753,RawData[Month List],$Q$6,RawData[Tour/Site],$Q$2,RawData[[Picker ID ]],$Q$3,RawData[Checker ID],$Q$4,RawData[[Error Type ]],$Q$5))</f>
        <v/>
      </c>
    </row>
    <row r="5754" spans="15:15" x14ac:dyDescent="0.25">
      <c r="O5754" s="20" t="str">
        <f>IF(N5754="","",COUNTIFS(RawData[[Date ]],N5754,RawData[Month List],$Q$6,RawData[Tour/Site],$Q$2,RawData[[Picker ID ]],$Q$3,RawData[Checker ID],$Q$4,RawData[[Error Type ]],$Q$5))</f>
        <v/>
      </c>
    </row>
    <row r="5755" spans="15:15" x14ac:dyDescent="0.25">
      <c r="O5755" s="20" t="str">
        <f>IF(N5755="","",COUNTIFS(RawData[[Date ]],N5755,RawData[Month List],$Q$6,RawData[Tour/Site],$Q$2,RawData[[Picker ID ]],$Q$3,RawData[Checker ID],$Q$4,RawData[[Error Type ]],$Q$5))</f>
        <v/>
      </c>
    </row>
    <row r="5756" spans="15:15" x14ac:dyDescent="0.25">
      <c r="O5756" s="20" t="str">
        <f>IF(N5756="","",COUNTIFS(RawData[[Date ]],N5756,RawData[Month List],$Q$6,RawData[Tour/Site],$Q$2,RawData[[Picker ID ]],$Q$3,RawData[Checker ID],$Q$4,RawData[[Error Type ]],$Q$5))</f>
        <v/>
      </c>
    </row>
    <row r="5757" spans="15:15" x14ac:dyDescent="0.25">
      <c r="O5757" s="20" t="str">
        <f>IF(N5757="","",COUNTIFS(RawData[[Date ]],N5757,RawData[Month List],$Q$6,RawData[Tour/Site],$Q$2,RawData[[Picker ID ]],$Q$3,RawData[Checker ID],$Q$4,RawData[[Error Type ]],$Q$5))</f>
        <v/>
      </c>
    </row>
    <row r="5758" spans="15:15" x14ac:dyDescent="0.25">
      <c r="O5758" s="20" t="str">
        <f>IF(N5758="","",COUNTIFS(RawData[[Date ]],N5758,RawData[Month List],$Q$6,RawData[Tour/Site],$Q$2,RawData[[Picker ID ]],$Q$3,RawData[Checker ID],$Q$4,RawData[[Error Type ]],$Q$5))</f>
        <v/>
      </c>
    </row>
    <row r="5759" spans="15:15" x14ac:dyDescent="0.25">
      <c r="O5759" s="20" t="str">
        <f>IF(N5759="","",COUNTIFS(RawData[[Date ]],N5759,RawData[Month List],$Q$6,RawData[Tour/Site],$Q$2,RawData[[Picker ID ]],$Q$3,RawData[Checker ID],$Q$4,RawData[[Error Type ]],$Q$5))</f>
        <v/>
      </c>
    </row>
    <row r="5760" spans="15:15" x14ac:dyDescent="0.25">
      <c r="O5760" s="20" t="str">
        <f>IF(N5760="","",COUNTIFS(RawData[[Date ]],N5760,RawData[Month List],$Q$6,RawData[Tour/Site],$Q$2,RawData[[Picker ID ]],$Q$3,RawData[Checker ID],$Q$4,RawData[[Error Type ]],$Q$5))</f>
        <v/>
      </c>
    </row>
    <row r="5761" spans="15:15" x14ac:dyDescent="0.25">
      <c r="O5761" s="20" t="str">
        <f>IF(N5761="","",COUNTIFS(RawData[[Date ]],N5761,RawData[Month List],$Q$6,RawData[Tour/Site],$Q$2,RawData[[Picker ID ]],$Q$3,RawData[Checker ID],$Q$4,RawData[[Error Type ]],$Q$5))</f>
        <v/>
      </c>
    </row>
    <row r="5762" spans="15:15" x14ac:dyDescent="0.25">
      <c r="O5762" s="20" t="str">
        <f>IF(N5762="","",COUNTIFS(RawData[[Date ]],N5762,RawData[Month List],$Q$6,RawData[Tour/Site],$Q$2,RawData[[Picker ID ]],$Q$3,RawData[Checker ID],$Q$4,RawData[[Error Type ]],$Q$5))</f>
        <v/>
      </c>
    </row>
    <row r="5763" spans="15:15" x14ac:dyDescent="0.25">
      <c r="O5763" s="20" t="str">
        <f>IF(N5763="","",COUNTIFS(RawData[[Date ]],N5763,RawData[Month List],$Q$6,RawData[Tour/Site],$Q$2,RawData[[Picker ID ]],$Q$3,RawData[Checker ID],$Q$4,RawData[[Error Type ]],$Q$5))</f>
        <v/>
      </c>
    </row>
    <row r="5764" spans="15:15" x14ac:dyDescent="0.25">
      <c r="O5764" s="20" t="str">
        <f>IF(N5764="","",COUNTIFS(RawData[[Date ]],N5764,RawData[Month List],$Q$6,RawData[Tour/Site],$Q$2,RawData[[Picker ID ]],$Q$3,RawData[Checker ID],$Q$4,RawData[[Error Type ]],$Q$5))</f>
        <v/>
      </c>
    </row>
    <row r="5765" spans="15:15" x14ac:dyDescent="0.25">
      <c r="O5765" s="20" t="str">
        <f>IF(N5765="","",COUNTIFS(RawData[[Date ]],N5765,RawData[Month List],$Q$6,RawData[Tour/Site],$Q$2,RawData[[Picker ID ]],$Q$3,RawData[Checker ID],$Q$4,RawData[[Error Type ]],$Q$5))</f>
        <v/>
      </c>
    </row>
    <row r="5766" spans="15:15" x14ac:dyDescent="0.25">
      <c r="O5766" s="20" t="str">
        <f>IF(N5766="","",COUNTIFS(RawData[[Date ]],N5766,RawData[Month List],$Q$6,RawData[Tour/Site],$Q$2,RawData[[Picker ID ]],$Q$3,RawData[Checker ID],$Q$4,RawData[[Error Type ]],$Q$5))</f>
        <v/>
      </c>
    </row>
    <row r="5767" spans="15:15" x14ac:dyDescent="0.25">
      <c r="O5767" s="20" t="str">
        <f>IF(N5767="","",COUNTIFS(RawData[[Date ]],N5767,RawData[Month List],$Q$6,RawData[Tour/Site],$Q$2,RawData[[Picker ID ]],$Q$3,RawData[Checker ID],$Q$4,RawData[[Error Type ]],$Q$5))</f>
        <v/>
      </c>
    </row>
    <row r="5768" spans="15:15" x14ac:dyDescent="0.25">
      <c r="O5768" s="20" t="str">
        <f>IF(N5768="","",COUNTIFS(RawData[[Date ]],N5768,RawData[Month List],$Q$6,RawData[Tour/Site],$Q$2,RawData[[Picker ID ]],$Q$3,RawData[Checker ID],$Q$4,RawData[[Error Type ]],$Q$5))</f>
        <v/>
      </c>
    </row>
    <row r="5769" spans="15:15" x14ac:dyDescent="0.25">
      <c r="O5769" s="20" t="str">
        <f>IF(N5769="","",COUNTIFS(RawData[[Date ]],N5769,RawData[Month List],$Q$6,RawData[Tour/Site],$Q$2,RawData[[Picker ID ]],$Q$3,RawData[Checker ID],$Q$4,RawData[[Error Type ]],$Q$5))</f>
        <v/>
      </c>
    </row>
    <row r="5770" spans="15:15" x14ac:dyDescent="0.25">
      <c r="O5770" s="20" t="str">
        <f>IF(N5770="","",COUNTIFS(RawData[[Date ]],N5770,RawData[Month List],$Q$6,RawData[Tour/Site],$Q$2,RawData[[Picker ID ]],$Q$3,RawData[Checker ID],$Q$4,RawData[[Error Type ]],$Q$5))</f>
        <v/>
      </c>
    </row>
    <row r="5771" spans="15:15" x14ac:dyDescent="0.25">
      <c r="O5771" s="20" t="str">
        <f>IF(N5771="","",COUNTIFS(RawData[[Date ]],N5771,RawData[Month List],$Q$6,RawData[Tour/Site],$Q$2,RawData[[Picker ID ]],$Q$3,RawData[Checker ID],$Q$4,RawData[[Error Type ]],$Q$5))</f>
        <v/>
      </c>
    </row>
    <row r="5772" spans="15:15" x14ac:dyDescent="0.25">
      <c r="O5772" s="20" t="str">
        <f>IF(N5772="","",COUNTIFS(RawData[[Date ]],N5772,RawData[Month List],$Q$6,RawData[Tour/Site],$Q$2,RawData[[Picker ID ]],$Q$3,RawData[Checker ID],$Q$4,RawData[[Error Type ]],$Q$5))</f>
        <v/>
      </c>
    </row>
    <row r="5773" spans="15:15" x14ac:dyDescent="0.25">
      <c r="O5773" s="20" t="str">
        <f>IF(N5773="","",COUNTIFS(RawData[[Date ]],N5773,RawData[Month List],$Q$6,RawData[Tour/Site],$Q$2,RawData[[Picker ID ]],$Q$3,RawData[Checker ID],$Q$4,RawData[[Error Type ]],$Q$5))</f>
        <v/>
      </c>
    </row>
    <row r="5774" spans="15:15" x14ac:dyDescent="0.25">
      <c r="O5774" s="20" t="str">
        <f>IF(N5774="","",COUNTIFS(RawData[[Date ]],N5774,RawData[Month List],$Q$6,RawData[Tour/Site],$Q$2,RawData[[Picker ID ]],$Q$3,RawData[Checker ID],$Q$4,RawData[[Error Type ]],$Q$5))</f>
        <v/>
      </c>
    </row>
    <row r="5775" spans="15:15" x14ac:dyDescent="0.25">
      <c r="O5775" s="20" t="str">
        <f>IF(N5775="","",COUNTIFS(RawData[[Date ]],N5775,RawData[Month List],$Q$6,RawData[Tour/Site],$Q$2,RawData[[Picker ID ]],$Q$3,RawData[Checker ID],$Q$4,RawData[[Error Type ]],$Q$5))</f>
        <v/>
      </c>
    </row>
    <row r="5776" spans="15:15" x14ac:dyDescent="0.25">
      <c r="O5776" s="20" t="str">
        <f>IF(N5776="","",COUNTIFS(RawData[[Date ]],N5776,RawData[Month List],$Q$6,RawData[Tour/Site],$Q$2,RawData[[Picker ID ]],$Q$3,RawData[Checker ID],$Q$4,RawData[[Error Type ]],$Q$5))</f>
        <v/>
      </c>
    </row>
    <row r="5777" spans="15:15" x14ac:dyDescent="0.25">
      <c r="O5777" s="20" t="str">
        <f>IF(N5777="","",COUNTIFS(RawData[[Date ]],N5777,RawData[Month List],$Q$6,RawData[Tour/Site],$Q$2,RawData[[Picker ID ]],$Q$3,RawData[Checker ID],$Q$4,RawData[[Error Type ]],$Q$5))</f>
        <v/>
      </c>
    </row>
    <row r="5778" spans="15:15" x14ac:dyDescent="0.25">
      <c r="O5778" s="20" t="str">
        <f>IF(N5778="","",COUNTIFS(RawData[[Date ]],N5778,RawData[Month List],$Q$6,RawData[Tour/Site],$Q$2,RawData[[Picker ID ]],$Q$3,RawData[Checker ID],$Q$4,RawData[[Error Type ]],$Q$5))</f>
        <v/>
      </c>
    </row>
    <row r="5779" spans="15:15" x14ac:dyDescent="0.25">
      <c r="O5779" s="20" t="str">
        <f>IF(N5779="","",COUNTIFS(RawData[[Date ]],N5779,RawData[Month List],$Q$6,RawData[Tour/Site],$Q$2,RawData[[Picker ID ]],$Q$3,RawData[Checker ID],$Q$4,RawData[[Error Type ]],$Q$5))</f>
        <v/>
      </c>
    </row>
    <row r="5780" spans="15:15" x14ac:dyDescent="0.25">
      <c r="O5780" s="20" t="str">
        <f>IF(N5780="","",COUNTIFS(RawData[[Date ]],N5780,RawData[Month List],$Q$6,RawData[Tour/Site],$Q$2,RawData[[Picker ID ]],$Q$3,RawData[Checker ID],$Q$4,RawData[[Error Type ]],$Q$5))</f>
        <v/>
      </c>
    </row>
    <row r="5781" spans="15:15" x14ac:dyDescent="0.25">
      <c r="O5781" s="20" t="str">
        <f>IF(N5781="","",COUNTIFS(RawData[[Date ]],N5781,RawData[Month List],$Q$6,RawData[Tour/Site],$Q$2,RawData[[Picker ID ]],$Q$3,RawData[Checker ID],$Q$4,RawData[[Error Type ]],$Q$5))</f>
        <v/>
      </c>
    </row>
    <row r="5782" spans="15:15" x14ac:dyDescent="0.25">
      <c r="O5782" s="20" t="str">
        <f>IF(N5782="","",COUNTIFS(RawData[[Date ]],N5782,RawData[Month List],$Q$6,RawData[Tour/Site],$Q$2,RawData[[Picker ID ]],$Q$3,RawData[Checker ID],$Q$4,RawData[[Error Type ]],$Q$5))</f>
        <v/>
      </c>
    </row>
    <row r="5783" spans="15:15" x14ac:dyDescent="0.25">
      <c r="O5783" s="20" t="str">
        <f>IF(N5783="","",COUNTIFS(RawData[[Date ]],N5783,RawData[Month List],$Q$6,RawData[Tour/Site],$Q$2,RawData[[Picker ID ]],$Q$3,RawData[Checker ID],$Q$4,RawData[[Error Type ]],$Q$5))</f>
        <v/>
      </c>
    </row>
    <row r="5784" spans="15:15" x14ac:dyDescent="0.25">
      <c r="O5784" s="20" t="str">
        <f>IF(N5784="","",COUNTIFS(RawData[[Date ]],N5784,RawData[Month List],$Q$6,RawData[Tour/Site],$Q$2,RawData[[Picker ID ]],$Q$3,RawData[Checker ID],$Q$4,RawData[[Error Type ]],$Q$5))</f>
        <v/>
      </c>
    </row>
    <row r="5785" spans="15:15" x14ac:dyDescent="0.25">
      <c r="O5785" s="20" t="str">
        <f>IF(N5785="","",COUNTIFS(RawData[[Date ]],N5785,RawData[Month List],$Q$6,RawData[Tour/Site],$Q$2,RawData[[Picker ID ]],$Q$3,RawData[Checker ID],$Q$4,RawData[[Error Type ]],$Q$5))</f>
        <v/>
      </c>
    </row>
    <row r="5786" spans="15:15" x14ac:dyDescent="0.25">
      <c r="O5786" s="20" t="str">
        <f>IF(N5786="","",COUNTIFS(RawData[[Date ]],N5786,RawData[Month List],$Q$6,RawData[Tour/Site],$Q$2,RawData[[Picker ID ]],$Q$3,RawData[Checker ID],$Q$4,RawData[[Error Type ]],$Q$5))</f>
        <v/>
      </c>
    </row>
    <row r="5787" spans="15:15" x14ac:dyDescent="0.25">
      <c r="O5787" s="20" t="str">
        <f>IF(N5787="","",COUNTIFS(RawData[[Date ]],N5787,RawData[Month List],$Q$6,RawData[Tour/Site],$Q$2,RawData[[Picker ID ]],$Q$3,RawData[Checker ID],$Q$4,RawData[[Error Type ]],$Q$5))</f>
        <v/>
      </c>
    </row>
    <row r="5788" spans="15:15" x14ac:dyDescent="0.25">
      <c r="O5788" s="20" t="str">
        <f>IF(N5788="","",COUNTIFS(RawData[[Date ]],N5788,RawData[Month List],$Q$6,RawData[Tour/Site],$Q$2,RawData[[Picker ID ]],$Q$3,RawData[Checker ID],$Q$4,RawData[[Error Type ]],$Q$5))</f>
        <v/>
      </c>
    </row>
    <row r="5789" spans="15:15" x14ac:dyDescent="0.25">
      <c r="O5789" s="20" t="str">
        <f>IF(N5789="","",COUNTIFS(RawData[[Date ]],N5789,RawData[Month List],$Q$6,RawData[Tour/Site],$Q$2,RawData[[Picker ID ]],$Q$3,RawData[Checker ID],$Q$4,RawData[[Error Type ]],$Q$5))</f>
        <v/>
      </c>
    </row>
    <row r="5790" spans="15:15" x14ac:dyDescent="0.25">
      <c r="O5790" s="20" t="str">
        <f>IF(N5790="","",COUNTIFS(RawData[[Date ]],N5790,RawData[Month List],$Q$6,RawData[Tour/Site],$Q$2,RawData[[Picker ID ]],$Q$3,RawData[Checker ID],$Q$4,RawData[[Error Type ]],$Q$5))</f>
        <v/>
      </c>
    </row>
    <row r="5791" spans="15:15" x14ac:dyDescent="0.25">
      <c r="O5791" s="20" t="str">
        <f>IF(N5791="","",COUNTIFS(RawData[[Date ]],N5791,RawData[Month List],$Q$6,RawData[Tour/Site],$Q$2,RawData[[Picker ID ]],$Q$3,RawData[Checker ID],$Q$4,RawData[[Error Type ]],$Q$5))</f>
        <v/>
      </c>
    </row>
    <row r="5792" spans="15:15" x14ac:dyDescent="0.25">
      <c r="O5792" s="20" t="str">
        <f>IF(N5792="","",COUNTIFS(RawData[[Date ]],N5792,RawData[Month List],$Q$6,RawData[Tour/Site],$Q$2,RawData[[Picker ID ]],$Q$3,RawData[Checker ID],$Q$4,RawData[[Error Type ]],$Q$5))</f>
        <v/>
      </c>
    </row>
    <row r="5793" spans="15:15" x14ac:dyDescent="0.25">
      <c r="O5793" s="20" t="str">
        <f>IF(N5793="","",COUNTIFS(RawData[[Date ]],N5793,RawData[Month List],$Q$6,RawData[Tour/Site],$Q$2,RawData[[Picker ID ]],$Q$3,RawData[Checker ID],$Q$4,RawData[[Error Type ]],$Q$5))</f>
        <v/>
      </c>
    </row>
    <row r="5794" spans="15:15" x14ac:dyDescent="0.25">
      <c r="O5794" s="20" t="str">
        <f>IF(N5794="","",COUNTIFS(RawData[[Date ]],N5794,RawData[Month List],$Q$6,RawData[Tour/Site],$Q$2,RawData[[Picker ID ]],$Q$3,RawData[Checker ID],$Q$4,RawData[[Error Type ]],$Q$5))</f>
        <v/>
      </c>
    </row>
    <row r="5795" spans="15:15" x14ac:dyDescent="0.25">
      <c r="O5795" s="20" t="str">
        <f>IF(N5795="","",COUNTIFS(RawData[[Date ]],N5795,RawData[Month List],$Q$6,RawData[Tour/Site],$Q$2,RawData[[Picker ID ]],$Q$3,RawData[Checker ID],$Q$4,RawData[[Error Type ]],$Q$5))</f>
        <v/>
      </c>
    </row>
    <row r="5796" spans="15:15" x14ac:dyDescent="0.25">
      <c r="O5796" s="20" t="str">
        <f>IF(N5796="","",COUNTIFS(RawData[[Date ]],N5796,RawData[Month List],$Q$6,RawData[Tour/Site],$Q$2,RawData[[Picker ID ]],$Q$3,RawData[Checker ID],$Q$4,RawData[[Error Type ]],$Q$5))</f>
        <v/>
      </c>
    </row>
    <row r="5797" spans="15:15" x14ac:dyDescent="0.25">
      <c r="O5797" s="20" t="str">
        <f>IF(N5797="","",COUNTIFS(RawData[[Date ]],N5797,RawData[Month List],$Q$6,RawData[Tour/Site],$Q$2,RawData[[Picker ID ]],$Q$3,RawData[Checker ID],$Q$4,RawData[[Error Type ]],$Q$5))</f>
        <v/>
      </c>
    </row>
    <row r="5798" spans="15:15" x14ac:dyDescent="0.25">
      <c r="O5798" s="20" t="str">
        <f>IF(N5798="","",COUNTIFS(RawData[[Date ]],N5798,RawData[Month List],$Q$6,RawData[Tour/Site],$Q$2,RawData[[Picker ID ]],$Q$3,RawData[Checker ID],$Q$4,RawData[[Error Type ]],$Q$5))</f>
        <v/>
      </c>
    </row>
    <row r="5799" spans="15:15" x14ac:dyDescent="0.25">
      <c r="O5799" s="20" t="str">
        <f>IF(N5799="","",COUNTIFS(RawData[[Date ]],N5799,RawData[Month List],$Q$6,RawData[Tour/Site],$Q$2,RawData[[Picker ID ]],$Q$3,RawData[Checker ID],$Q$4,RawData[[Error Type ]],$Q$5))</f>
        <v/>
      </c>
    </row>
    <row r="5800" spans="15:15" x14ac:dyDescent="0.25">
      <c r="O5800" s="20" t="str">
        <f>IF(N5800="","",COUNTIFS(RawData[[Date ]],N5800,RawData[Month List],$Q$6,RawData[Tour/Site],$Q$2,RawData[[Picker ID ]],$Q$3,RawData[Checker ID],$Q$4,RawData[[Error Type ]],$Q$5))</f>
        <v/>
      </c>
    </row>
    <row r="5801" spans="15:15" x14ac:dyDescent="0.25">
      <c r="O5801" s="20" t="str">
        <f>IF(N5801="","",COUNTIFS(RawData[[Date ]],N5801,RawData[Month List],$Q$6,RawData[Tour/Site],$Q$2,RawData[[Picker ID ]],$Q$3,RawData[Checker ID],$Q$4,RawData[[Error Type ]],$Q$5))</f>
        <v/>
      </c>
    </row>
    <row r="5802" spans="15:15" x14ac:dyDescent="0.25">
      <c r="O5802" s="20" t="str">
        <f>IF(N5802="","",COUNTIFS(RawData[[Date ]],N5802,RawData[Month List],$Q$6,RawData[Tour/Site],$Q$2,RawData[[Picker ID ]],$Q$3,RawData[Checker ID],$Q$4,RawData[[Error Type ]],$Q$5))</f>
        <v/>
      </c>
    </row>
    <row r="5803" spans="15:15" x14ac:dyDescent="0.25">
      <c r="O5803" s="20" t="str">
        <f>IF(N5803="","",COUNTIFS(RawData[[Date ]],N5803,RawData[Month List],$Q$6,RawData[Tour/Site],$Q$2,RawData[[Picker ID ]],$Q$3,RawData[Checker ID],$Q$4,RawData[[Error Type ]],$Q$5))</f>
        <v/>
      </c>
    </row>
    <row r="5804" spans="15:15" x14ac:dyDescent="0.25">
      <c r="O5804" s="20" t="str">
        <f>IF(N5804="","",COUNTIFS(RawData[[Date ]],N5804,RawData[Month List],$Q$6,RawData[Tour/Site],$Q$2,RawData[[Picker ID ]],$Q$3,RawData[Checker ID],$Q$4,RawData[[Error Type ]],$Q$5))</f>
        <v/>
      </c>
    </row>
    <row r="5805" spans="15:15" x14ac:dyDescent="0.25">
      <c r="O5805" s="20" t="str">
        <f>IF(N5805="","",COUNTIFS(RawData[[Date ]],N5805,RawData[Month List],$Q$6,RawData[Tour/Site],$Q$2,RawData[[Picker ID ]],$Q$3,RawData[Checker ID],$Q$4,RawData[[Error Type ]],$Q$5))</f>
        <v/>
      </c>
    </row>
    <row r="5806" spans="15:15" x14ac:dyDescent="0.25">
      <c r="O5806" s="20" t="str">
        <f>IF(N5806="","",COUNTIFS(RawData[[Date ]],N5806,RawData[Month List],$Q$6,RawData[Tour/Site],$Q$2,RawData[[Picker ID ]],$Q$3,RawData[Checker ID],$Q$4,RawData[[Error Type ]],$Q$5))</f>
        <v/>
      </c>
    </row>
    <row r="5807" spans="15:15" x14ac:dyDescent="0.25">
      <c r="O5807" s="20" t="str">
        <f>IF(N5807="","",COUNTIFS(RawData[[Date ]],N5807,RawData[Month List],$Q$6,RawData[Tour/Site],$Q$2,RawData[[Picker ID ]],$Q$3,RawData[Checker ID],$Q$4,RawData[[Error Type ]],$Q$5))</f>
        <v/>
      </c>
    </row>
    <row r="5808" spans="15:15" x14ac:dyDescent="0.25">
      <c r="O5808" s="20" t="str">
        <f>IF(N5808="","",COUNTIFS(RawData[[Date ]],N5808,RawData[Month List],$Q$6,RawData[Tour/Site],$Q$2,RawData[[Picker ID ]],$Q$3,RawData[Checker ID],$Q$4,RawData[[Error Type ]],$Q$5))</f>
        <v/>
      </c>
    </row>
    <row r="5809" spans="15:15" x14ac:dyDescent="0.25">
      <c r="O5809" s="20" t="str">
        <f>IF(N5809="","",COUNTIFS(RawData[[Date ]],N5809,RawData[Month List],$Q$6,RawData[Tour/Site],$Q$2,RawData[[Picker ID ]],$Q$3,RawData[Checker ID],$Q$4,RawData[[Error Type ]],$Q$5))</f>
        <v/>
      </c>
    </row>
    <row r="5810" spans="15:15" x14ac:dyDescent="0.25">
      <c r="O5810" s="20" t="str">
        <f>IF(N5810="","",COUNTIFS(RawData[[Date ]],N5810,RawData[Month List],$Q$6,RawData[Tour/Site],$Q$2,RawData[[Picker ID ]],$Q$3,RawData[Checker ID],$Q$4,RawData[[Error Type ]],$Q$5))</f>
        <v/>
      </c>
    </row>
    <row r="5811" spans="15:15" x14ac:dyDescent="0.25">
      <c r="O5811" s="20" t="str">
        <f>IF(N5811="","",COUNTIFS(RawData[[Date ]],N5811,RawData[Month List],$Q$6,RawData[Tour/Site],$Q$2,RawData[[Picker ID ]],$Q$3,RawData[Checker ID],$Q$4,RawData[[Error Type ]],$Q$5))</f>
        <v/>
      </c>
    </row>
    <row r="5812" spans="15:15" x14ac:dyDescent="0.25">
      <c r="O5812" s="20" t="str">
        <f>IF(N5812="","",COUNTIFS(RawData[[Date ]],N5812,RawData[Month List],$Q$6,RawData[Tour/Site],$Q$2,RawData[[Picker ID ]],$Q$3,RawData[Checker ID],$Q$4,RawData[[Error Type ]],$Q$5))</f>
        <v/>
      </c>
    </row>
    <row r="5813" spans="15:15" x14ac:dyDescent="0.25">
      <c r="O5813" s="20" t="str">
        <f>IF(N5813="","",COUNTIFS(RawData[[Date ]],N5813,RawData[Month List],$Q$6,RawData[Tour/Site],$Q$2,RawData[[Picker ID ]],$Q$3,RawData[Checker ID],$Q$4,RawData[[Error Type ]],$Q$5))</f>
        <v/>
      </c>
    </row>
    <row r="5814" spans="15:15" x14ac:dyDescent="0.25">
      <c r="O5814" s="20" t="str">
        <f>IF(N5814="","",COUNTIFS(RawData[[Date ]],N5814,RawData[Month List],$Q$6,RawData[Tour/Site],$Q$2,RawData[[Picker ID ]],$Q$3,RawData[Checker ID],$Q$4,RawData[[Error Type ]],$Q$5))</f>
        <v/>
      </c>
    </row>
    <row r="5815" spans="15:15" x14ac:dyDescent="0.25">
      <c r="O5815" s="20" t="str">
        <f>IF(N5815="","",COUNTIFS(RawData[[Date ]],N5815,RawData[Month List],$Q$6,RawData[Tour/Site],$Q$2,RawData[[Picker ID ]],$Q$3,RawData[Checker ID],$Q$4,RawData[[Error Type ]],$Q$5))</f>
        <v/>
      </c>
    </row>
    <row r="5816" spans="15:15" x14ac:dyDescent="0.25">
      <c r="O5816" s="20" t="str">
        <f>IF(N5816="","",COUNTIFS(RawData[[Date ]],N5816,RawData[Month List],$Q$6,RawData[Tour/Site],$Q$2,RawData[[Picker ID ]],$Q$3,RawData[Checker ID],$Q$4,RawData[[Error Type ]],$Q$5))</f>
        <v/>
      </c>
    </row>
    <row r="5817" spans="15:15" x14ac:dyDescent="0.25">
      <c r="O5817" s="20" t="str">
        <f>IF(N5817="","",COUNTIFS(RawData[[Date ]],N5817,RawData[Month List],$Q$6,RawData[Tour/Site],$Q$2,RawData[[Picker ID ]],$Q$3,RawData[Checker ID],$Q$4,RawData[[Error Type ]],$Q$5))</f>
        <v/>
      </c>
    </row>
    <row r="5818" spans="15:15" x14ac:dyDescent="0.25">
      <c r="O5818" s="20" t="str">
        <f>IF(N5818="","",COUNTIFS(RawData[[Date ]],N5818,RawData[Month List],$Q$6,RawData[Tour/Site],$Q$2,RawData[[Picker ID ]],$Q$3,RawData[Checker ID],$Q$4,RawData[[Error Type ]],$Q$5))</f>
        <v/>
      </c>
    </row>
    <row r="5819" spans="15:15" x14ac:dyDescent="0.25">
      <c r="O5819" s="20" t="str">
        <f>IF(N5819="","",COUNTIFS(RawData[[Date ]],N5819,RawData[Month List],$Q$6,RawData[Tour/Site],$Q$2,RawData[[Picker ID ]],$Q$3,RawData[Checker ID],$Q$4,RawData[[Error Type ]],$Q$5))</f>
        <v/>
      </c>
    </row>
    <row r="5820" spans="15:15" x14ac:dyDescent="0.25">
      <c r="O5820" s="20" t="str">
        <f>IF(N5820="","",COUNTIFS(RawData[[Date ]],N5820,RawData[Month List],$Q$6,RawData[Tour/Site],$Q$2,RawData[[Picker ID ]],$Q$3,RawData[Checker ID],$Q$4,RawData[[Error Type ]],$Q$5))</f>
        <v/>
      </c>
    </row>
    <row r="5821" spans="15:15" x14ac:dyDescent="0.25">
      <c r="O5821" s="20" t="str">
        <f>IF(N5821="","",COUNTIFS(RawData[[Date ]],N5821,RawData[Month List],$Q$6,RawData[Tour/Site],$Q$2,RawData[[Picker ID ]],$Q$3,RawData[Checker ID],$Q$4,RawData[[Error Type ]],$Q$5))</f>
        <v/>
      </c>
    </row>
    <row r="5822" spans="15:15" x14ac:dyDescent="0.25">
      <c r="O5822" s="20" t="str">
        <f>IF(N5822="","",COUNTIFS(RawData[[Date ]],N5822,RawData[Month List],$Q$6,RawData[Tour/Site],$Q$2,RawData[[Picker ID ]],$Q$3,RawData[Checker ID],$Q$4,RawData[[Error Type ]],$Q$5))</f>
        <v/>
      </c>
    </row>
    <row r="5823" spans="15:15" x14ac:dyDescent="0.25">
      <c r="O5823" s="20" t="str">
        <f>IF(N5823="","",COUNTIFS(RawData[[Date ]],N5823,RawData[Month List],$Q$6,RawData[Tour/Site],$Q$2,RawData[[Picker ID ]],$Q$3,RawData[Checker ID],$Q$4,RawData[[Error Type ]],$Q$5))</f>
        <v/>
      </c>
    </row>
    <row r="5824" spans="15:15" x14ac:dyDescent="0.25">
      <c r="O5824" s="20" t="str">
        <f>IF(N5824="","",COUNTIFS(RawData[[Date ]],N5824,RawData[Month List],$Q$6,RawData[Tour/Site],$Q$2,RawData[[Picker ID ]],$Q$3,RawData[Checker ID],$Q$4,RawData[[Error Type ]],$Q$5))</f>
        <v/>
      </c>
    </row>
    <row r="5825" spans="15:15" x14ac:dyDescent="0.25">
      <c r="O5825" s="20" t="str">
        <f>IF(N5825="","",COUNTIFS(RawData[[Date ]],N5825,RawData[Month List],$Q$6,RawData[Tour/Site],$Q$2,RawData[[Picker ID ]],$Q$3,RawData[Checker ID],$Q$4,RawData[[Error Type ]],$Q$5))</f>
        <v/>
      </c>
    </row>
    <row r="5826" spans="15:15" x14ac:dyDescent="0.25">
      <c r="O5826" s="20" t="str">
        <f>IF(N5826="","",COUNTIFS(RawData[[Date ]],N5826,RawData[Month List],$Q$6,RawData[Tour/Site],$Q$2,RawData[[Picker ID ]],$Q$3,RawData[Checker ID],$Q$4,RawData[[Error Type ]],$Q$5))</f>
        <v/>
      </c>
    </row>
    <row r="5827" spans="15:15" x14ac:dyDescent="0.25">
      <c r="O5827" s="20" t="str">
        <f>IF(N5827="","",COUNTIFS(RawData[[Date ]],N5827,RawData[Month List],$Q$6,RawData[Tour/Site],$Q$2,RawData[[Picker ID ]],$Q$3,RawData[Checker ID],$Q$4,RawData[[Error Type ]],$Q$5))</f>
        <v/>
      </c>
    </row>
    <row r="5828" spans="15:15" x14ac:dyDescent="0.25">
      <c r="O5828" s="20" t="str">
        <f>IF(N5828="","",COUNTIFS(RawData[[Date ]],N5828,RawData[Month List],$Q$6,RawData[Tour/Site],$Q$2,RawData[[Picker ID ]],$Q$3,RawData[Checker ID],$Q$4,RawData[[Error Type ]],$Q$5))</f>
        <v/>
      </c>
    </row>
    <row r="5829" spans="15:15" x14ac:dyDescent="0.25">
      <c r="O5829" s="20" t="str">
        <f>IF(N5829="","",COUNTIFS(RawData[[Date ]],N5829,RawData[Month List],$Q$6,RawData[Tour/Site],$Q$2,RawData[[Picker ID ]],$Q$3,RawData[Checker ID],$Q$4,RawData[[Error Type ]],$Q$5))</f>
        <v/>
      </c>
    </row>
    <row r="5830" spans="15:15" x14ac:dyDescent="0.25">
      <c r="O5830" s="20" t="str">
        <f>IF(N5830="","",COUNTIFS(RawData[[Date ]],N5830,RawData[Month List],$Q$6,RawData[Tour/Site],$Q$2,RawData[[Picker ID ]],$Q$3,RawData[Checker ID],$Q$4,RawData[[Error Type ]],$Q$5))</f>
        <v/>
      </c>
    </row>
    <row r="5831" spans="15:15" x14ac:dyDescent="0.25">
      <c r="O5831" s="20" t="str">
        <f>IF(N5831="","",COUNTIFS(RawData[[Date ]],N5831,RawData[Month List],$Q$6,RawData[Tour/Site],$Q$2,RawData[[Picker ID ]],$Q$3,RawData[Checker ID],$Q$4,RawData[[Error Type ]],$Q$5))</f>
        <v/>
      </c>
    </row>
    <row r="5832" spans="15:15" x14ac:dyDescent="0.25">
      <c r="O5832" s="20" t="str">
        <f>IF(N5832="","",COUNTIFS(RawData[[Date ]],N5832,RawData[Month List],$Q$6,RawData[Tour/Site],$Q$2,RawData[[Picker ID ]],$Q$3,RawData[Checker ID],$Q$4,RawData[[Error Type ]],$Q$5))</f>
        <v/>
      </c>
    </row>
    <row r="5833" spans="15:15" x14ac:dyDescent="0.25">
      <c r="O5833" s="20" t="str">
        <f>IF(N5833="","",COUNTIFS(RawData[[Date ]],N5833,RawData[Month List],$Q$6,RawData[Tour/Site],$Q$2,RawData[[Picker ID ]],$Q$3,RawData[Checker ID],$Q$4,RawData[[Error Type ]],$Q$5))</f>
        <v/>
      </c>
    </row>
    <row r="5834" spans="15:15" x14ac:dyDescent="0.25">
      <c r="O5834" s="20" t="str">
        <f>IF(N5834="","",COUNTIFS(RawData[[Date ]],N5834,RawData[Month List],$Q$6,RawData[Tour/Site],$Q$2,RawData[[Picker ID ]],$Q$3,RawData[Checker ID],$Q$4,RawData[[Error Type ]],$Q$5))</f>
        <v/>
      </c>
    </row>
    <row r="5835" spans="15:15" x14ac:dyDescent="0.25">
      <c r="O5835" s="20" t="str">
        <f>IF(N5835="","",COUNTIFS(RawData[[Date ]],N5835,RawData[Month List],$Q$6,RawData[Tour/Site],$Q$2,RawData[[Picker ID ]],$Q$3,RawData[Checker ID],$Q$4,RawData[[Error Type ]],$Q$5))</f>
        <v/>
      </c>
    </row>
    <row r="5836" spans="15:15" x14ac:dyDescent="0.25">
      <c r="O5836" s="20" t="str">
        <f>IF(N5836="","",COUNTIFS(RawData[[Date ]],N5836,RawData[Month List],$Q$6,RawData[Tour/Site],$Q$2,RawData[[Picker ID ]],$Q$3,RawData[Checker ID],$Q$4,RawData[[Error Type ]],$Q$5))</f>
        <v/>
      </c>
    </row>
    <row r="5837" spans="15:15" x14ac:dyDescent="0.25">
      <c r="O5837" s="20" t="str">
        <f>IF(N5837="","",COUNTIFS(RawData[[Date ]],N5837,RawData[Month List],$Q$6,RawData[Tour/Site],$Q$2,RawData[[Picker ID ]],$Q$3,RawData[Checker ID],$Q$4,RawData[[Error Type ]],$Q$5))</f>
        <v/>
      </c>
    </row>
    <row r="5838" spans="15:15" x14ac:dyDescent="0.25">
      <c r="O5838" s="20" t="str">
        <f>IF(N5838="","",COUNTIFS(RawData[[Date ]],N5838,RawData[Month List],$Q$6,RawData[Tour/Site],$Q$2,RawData[[Picker ID ]],$Q$3,RawData[Checker ID],$Q$4,RawData[[Error Type ]],$Q$5))</f>
        <v/>
      </c>
    </row>
    <row r="5839" spans="15:15" x14ac:dyDescent="0.25">
      <c r="O5839" s="20" t="str">
        <f>IF(N5839="","",COUNTIFS(RawData[[Date ]],N5839,RawData[Month List],$Q$6,RawData[Tour/Site],$Q$2,RawData[[Picker ID ]],$Q$3,RawData[Checker ID],$Q$4,RawData[[Error Type ]],$Q$5))</f>
        <v/>
      </c>
    </row>
    <row r="5840" spans="15:15" x14ac:dyDescent="0.25">
      <c r="O5840" s="20" t="str">
        <f>IF(N5840="","",COUNTIFS(RawData[[Date ]],N5840,RawData[Month List],$Q$6,RawData[Tour/Site],$Q$2,RawData[[Picker ID ]],$Q$3,RawData[Checker ID],$Q$4,RawData[[Error Type ]],$Q$5))</f>
        <v/>
      </c>
    </row>
    <row r="5841" spans="15:15" x14ac:dyDescent="0.25">
      <c r="O5841" s="20" t="str">
        <f>IF(N5841="","",COUNTIFS(RawData[[Date ]],N5841,RawData[Month List],$Q$6,RawData[Tour/Site],$Q$2,RawData[[Picker ID ]],$Q$3,RawData[Checker ID],$Q$4,RawData[[Error Type ]],$Q$5))</f>
        <v/>
      </c>
    </row>
    <row r="5842" spans="15:15" x14ac:dyDescent="0.25">
      <c r="O5842" s="20" t="str">
        <f>IF(N5842="","",COUNTIFS(RawData[[Date ]],N5842,RawData[Month List],$Q$6,RawData[Tour/Site],$Q$2,RawData[[Picker ID ]],$Q$3,RawData[Checker ID],$Q$4,RawData[[Error Type ]],$Q$5))</f>
        <v/>
      </c>
    </row>
    <row r="5843" spans="15:15" x14ac:dyDescent="0.25">
      <c r="O5843" s="20" t="str">
        <f>IF(N5843="","",COUNTIFS(RawData[[Date ]],N5843,RawData[Month List],$Q$6,RawData[Tour/Site],$Q$2,RawData[[Picker ID ]],$Q$3,RawData[Checker ID],$Q$4,RawData[[Error Type ]],$Q$5))</f>
        <v/>
      </c>
    </row>
    <row r="5844" spans="15:15" x14ac:dyDescent="0.25">
      <c r="O5844" s="20" t="str">
        <f>IF(N5844="","",COUNTIFS(RawData[[Date ]],N5844,RawData[Month List],$Q$6,RawData[Tour/Site],$Q$2,RawData[[Picker ID ]],$Q$3,RawData[Checker ID],$Q$4,RawData[[Error Type ]],$Q$5))</f>
        <v/>
      </c>
    </row>
    <row r="5845" spans="15:15" x14ac:dyDescent="0.25">
      <c r="O5845" s="20" t="str">
        <f>IF(N5845="","",COUNTIFS(RawData[[Date ]],N5845,RawData[Month List],$Q$6,RawData[Tour/Site],$Q$2,RawData[[Picker ID ]],$Q$3,RawData[Checker ID],$Q$4,RawData[[Error Type ]],$Q$5))</f>
        <v/>
      </c>
    </row>
    <row r="5846" spans="15:15" x14ac:dyDescent="0.25">
      <c r="O5846" s="20" t="str">
        <f>IF(N5846="","",COUNTIFS(RawData[[Date ]],N5846,RawData[Month List],$Q$6,RawData[Tour/Site],$Q$2,RawData[[Picker ID ]],$Q$3,RawData[Checker ID],$Q$4,RawData[[Error Type ]],$Q$5))</f>
        <v/>
      </c>
    </row>
    <row r="5847" spans="15:15" x14ac:dyDescent="0.25">
      <c r="O5847" s="20" t="str">
        <f>IF(N5847="","",COUNTIFS(RawData[[Date ]],N5847,RawData[Month List],$Q$6,RawData[Tour/Site],$Q$2,RawData[[Picker ID ]],$Q$3,RawData[Checker ID],$Q$4,RawData[[Error Type ]],$Q$5))</f>
        <v/>
      </c>
    </row>
    <row r="5848" spans="15:15" x14ac:dyDescent="0.25">
      <c r="O5848" s="20" t="str">
        <f>IF(N5848="","",COUNTIFS(RawData[[Date ]],N5848,RawData[Month List],$Q$6,RawData[Tour/Site],$Q$2,RawData[[Picker ID ]],$Q$3,RawData[Checker ID],$Q$4,RawData[[Error Type ]],$Q$5))</f>
        <v/>
      </c>
    </row>
    <row r="5849" spans="15:15" x14ac:dyDescent="0.25">
      <c r="O5849" s="20" t="str">
        <f>IF(N5849="","",COUNTIFS(RawData[[Date ]],N5849,RawData[Month List],$Q$6,RawData[Tour/Site],$Q$2,RawData[[Picker ID ]],$Q$3,RawData[Checker ID],$Q$4,RawData[[Error Type ]],$Q$5))</f>
        <v/>
      </c>
    </row>
    <row r="5850" spans="15:15" x14ac:dyDescent="0.25">
      <c r="O5850" s="20" t="str">
        <f>IF(N5850="","",COUNTIFS(RawData[[Date ]],N5850,RawData[Month List],$Q$6,RawData[Tour/Site],$Q$2,RawData[[Picker ID ]],$Q$3,RawData[Checker ID],$Q$4,RawData[[Error Type ]],$Q$5))</f>
        <v/>
      </c>
    </row>
    <row r="5851" spans="15:15" x14ac:dyDescent="0.25">
      <c r="O5851" s="20" t="str">
        <f>IF(N5851="","",COUNTIFS(RawData[[Date ]],N5851,RawData[Month List],$Q$6,RawData[Tour/Site],$Q$2,RawData[[Picker ID ]],$Q$3,RawData[Checker ID],$Q$4,RawData[[Error Type ]],$Q$5))</f>
        <v/>
      </c>
    </row>
    <row r="5852" spans="15:15" x14ac:dyDescent="0.25">
      <c r="O5852" s="20" t="str">
        <f>IF(N5852="","",COUNTIFS(RawData[[Date ]],N5852,RawData[Month List],$Q$6,RawData[Tour/Site],$Q$2,RawData[[Picker ID ]],$Q$3,RawData[Checker ID],$Q$4,RawData[[Error Type ]],$Q$5))</f>
        <v/>
      </c>
    </row>
    <row r="5853" spans="15:15" x14ac:dyDescent="0.25">
      <c r="O5853" s="20" t="str">
        <f>IF(N5853="","",COUNTIFS(RawData[[Date ]],N5853,RawData[Month List],$Q$6,RawData[Tour/Site],$Q$2,RawData[[Picker ID ]],$Q$3,RawData[Checker ID],$Q$4,RawData[[Error Type ]],$Q$5))</f>
        <v/>
      </c>
    </row>
    <row r="5854" spans="15:15" x14ac:dyDescent="0.25">
      <c r="O5854" s="20" t="str">
        <f>IF(N5854="","",COUNTIFS(RawData[[Date ]],N5854,RawData[Month List],$Q$6,RawData[Tour/Site],$Q$2,RawData[[Picker ID ]],$Q$3,RawData[Checker ID],$Q$4,RawData[[Error Type ]],$Q$5))</f>
        <v/>
      </c>
    </row>
    <row r="5855" spans="15:15" x14ac:dyDescent="0.25">
      <c r="O5855" s="20" t="str">
        <f>IF(N5855="","",COUNTIFS(RawData[[Date ]],N5855,RawData[Month List],$Q$6,RawData[Tour/Site],$Q$2,RawData[[Picker ID ]],$Q$3,RawData[Checker ID],$Q$4,RawData[[Error Type ]],$Q$5))</f>
        <v/>
      </c>
    </row>
    <row r="5856" spans="15:15" x14ac:dyDescent="0.25">
      <c r="O5856" s="20" t="str">
        <f>IF(N5856="","",COUNTIFS(RawData[[Date ]],N5856,RawData[Month List],$Q$6,RawData[Tour/Site],$Q$2,RawData[[Picker ID ]],$Q$3,RawData[Checker ID],$Q$4,RawData[[Error Type ]],$Q$5))</f>
        <v/>
      </c>
    </row>
    <row r="5857" spans="15:15" x14ac:dyDescent="0.25">
      <c r="O5857" s="20" t="str">
        <f>IF(N5857="","",COUNTIFS(RawData[[Date ]],N5857,RawData[Month List],$Q$6,RawData[Tour/Site],$Q$2,RawData[[Picker ID ]],$Q$3,RawData[Checker ID],$Q$4,RawData[[Error Type ]],$Q$5))</f>
        <v/>
      </c>
    </row>
    <row r="5858" spans="15:15" x14ac:dyDescent="0.25">
      <c r="O5858" s="20" t="str">
        <f>IF(N5858="","",COUNTIFS(RawData[[Date ]],N5858,RawData[Month List],$Q$6,RawData[Tour/Site],$Q$2,RawData[[Picker ID ]],$Q$3,RawData[Checker ID],$Q$4,RawData[[Error Type ]],$Q$5))</f>
        <v/>
      </c>
    </row>
    <row r="5859" spans="15:15" x14ac:dyDescent="0.25">
      <c r="O5859" s="20" t="str">
        <f>IF(N5859="","",COUNTIFS(RawData[[Date ]],N5859,RawData[Month List],$Q$6,RawData[Tour/Site],$Q$2,RawData[[Picker ID ]],$Q$3,RawData[Checker ID],$Q$4,RawData[[Error Type ]],$Q$5))</f>
        <v/>
      </c>
    </row>
    <row r="5860" spans="15:15" x14ac:dyDescent="0.25">
      <c r="O5860" s="20" t="str">
        <f>IF(N5860="","",COUNTIFS(RawData[[Date ]],N5860,RawData[Month List],$Q$6,RawData[Tour/Site],$Q$2,RawData[[Picker ID ]],$Q$3,RawData[Checker ID],$Q$4,RawData[[Error Type ]],$Q$5))</f>
        <v/>
      </c>
    </row>
    <row r="5861" spans="15:15" x14ac:dyDescent="0.25">
      <c r="O5861" s="20" t="str">
        <f>IF(N5861="","",COUNTIFS(RawData[[Date ]],N5861,RawData[Month List],$Q$6,RawData[Tour/Site],$Q$2,RawData[[Picker ID ]],$Q$3,RawData[Checker ID],$Q$4,RawData[[Error Type ]],$Q$5))</f>
        <v/>
      </c>
    </row>
    <row r="5862" spans="15:15" x14ac:dyDescent="0.25">
      <c r="O5862" s="20" t="str">
        <f>IF(N5862="","",COUNTIFS(RawData[[Date ]],N5862,RawData[Month List],$Q$6,RawData[Tour/Site],$Q$2,RawData[[Picker ID ]],$Q$3,RawData[Checker ID],$Q$4,RawData[[Error Type ]],$Q$5))</f>
        <v/>
      </c>
    </row>
    <row r="5863" spans="15:15" x14ac:dyDescent="0.25">
      <c r="O5863" s="20" t="str">
        <f>IF(N5863="","",COUNTIFS(RawData[[Date ]],N5863,RawData[Month List],$Q$6,RawData[Tour/Site],$Q$2,RawData[[Picker ID ]],$Q$3,RawData[Checker ID],$Q$4,RawData[[Error Type ]],$Q$5))</f>
        <v/>
      </c>
    </row>
    <row r="5864" spans="15:15" x14ac:dyDescent="0.25">
      <c r="O5864" s="20" t="str">
        <f>IF(N5864="","",COUNTIFS(RawData[[Date ]],N5864,RawData[Month List],$Q$6,RawData[Tour/Site],$Q$2,RawData[[Picker ID ]],$Q$3,RawData[Checker ID],$Q$4,RawData[[Error Type ]],$Q$5))</f>
        <v/>
      </c>
    </row>
    <row r="5865" spans="15:15" x14ac:dyDescent="0.25">
      <c r="O5865" s="20" t="str">
        <f>IF(N5865="","",COUNTIFS(RawData[[Date ]],N5865,RawData[Month List],$Q$6,RawData[Tour/Site],$Q$2,RawData[[Picker ID ]],$Q$3,RawData[Checker ID],$Q$4,RawData[[Error Type ]],$Q$5))</f>
        <v/>
      </c>
    </row>
    <row r="5866" spans="15:15" x14ac:dyDescent="0.25">
      <c r="O5866" s="20" t="str">
        <f>IF(N5866="","",COUNTIFS(RawData[[Date ]],N5866,RawData[Month List],$Q$6,RawData[Tour/Site],$Q$2,RawData[[Picker ID ]],$Q$3,RawData[Checker ID],$Q$4,RawData[[Error Type ]],$Q$5))</f>
        <v/>
      </c>
    </row>
    <row r="5867" spans="15:15" x14ac:dyDescent="0.25">
      <c r="O5867" s="20" t="str">
        <f>IF(N5867="","",COUNTIFS(RawData[[Date ]],N5867,RawData[Month List],$Q$6,RawData[Tour/Site],$Q$2,RawData[[Picker ID ]],$Q$3,RawData[Checker ID],$Q$4,RawData[[Error Type ]],$Q$5))</f>
        <v/>
      </c>
    </row>
    <row r="5868" spans="15:15" x14ac:dyDescent="0.25">
      <c r="O5868" s="20" t="str">
        <f>IF(N5868="","",COUNTIFS(RawData[[Date ]],N5868,RawData[Month List],$Q$6,RawData[Tour/Site],$Q$2,RawData[[Picker ID ]],$Q$3,RawData[Checker ID],$Q$4,RawData[[Error Type ]],$Q$5))</f>
        <v/>
      </c>
    </row>
    <row r="5869" spans="15:15" x14ac:dyDescent="0.25">
      <c r="O5869" s="20" t="str">
        <f>IF(N5869="","",COUNTIFS(RawData[[Date ]],N5869,RawData[Month List],$Q$6,RawData[Tour/Site],$Q$2,RawData[[Picker ID ]],$Q$3,RawData[Checker ID],$Q$4,RawData[[Error Type ]],$Q$5))</f>
        <v/>
      </c>
    </row>
    <row r="5870" spans="15:15" x14ac:dyDescent="0.25">
      <c r="O5870" s="20" t="str">
        <f>IF(N5870="","",COUNTIFS(RawData[[Date ]],N5870,RawData[Month List],$Q$6,RawData[Tour/Site],$Q$2,RawData[[Picker ID ]],$Q$3,RawData[Checker ID],$Q$4,RawData[[Error Type ]],$Q$5))</f>
        <v/>
      </c>
    </row>
    <row r="5871" spans="15:15" x14ac:dyDescent="0.25">
      <c r="O5871" s="20" t="str">
        <f>IF(N5871="","",COUNTIFS(RawData[[Date ]],N5871,RawData[Month List],$Q$6,RawData[Tour/Site],$Q$2,RawData[[Picker ID ]],$Q$3,RawData[Checker ID],$Q$4,RawData[[Error Type ]],$Q$5))</f>
        <v/>
      </c>
    </row>
    <row r="5872" spans="15:15" x14ac:dyDescent="0.25">
      <c r="O5872" s="20" t="str">
        <f>IF(N5872="","",COUNTIFS(RawData[[Date ]],N5872,RawData[Month List],$Q$6,RawData[Tour/Site],$Q$2,RawData[[Picker ID ]],$Q$3,RawData[Checker ID],$Q$4,RawData[[Error Type ]],$Q$5))</f>
        <v/>
      </c>
    </row>
    <row r="5873" spans="15:15" x14ac:dyDescent="0.25">
      <c r="O5873" s="20" t="str">
        <f>IF(N5873="","",COUNTIFS(RawData[[Date ]],N5873,RawData[Month List],$Q$6,RawData[Tour/Site],$Q$2,RawData[[Picker ID ]],$Q$3,RawData[Checker ID],$Q$4,RawData[[Error Type ]],$Q$5))</f>
        <v/>
      </c>
    </row>
    <row r="5874" spans="15:15" x14ac:dyDescent="0.25">
      <c r="O5874" s="20" t="str">
        <f>IF(N5874="","",COUNTIFS(RawData[[Date ]],N5874,RawData[Month List],$Q$6,RawData[Tour/Site],$Q$2,RawData[[Picker ID ]],$Q$3,RawData[Checker ID],$Q$4,RawData[[Error Type ]],$Q$5))</f>
        <v/>
      </c>
    </row>
    <row r="5875" spans="15:15" x14ac:dyDescent="0.25">
      <c r="O5875" s="20" t="str">
        <f>IF(N5875="","",COUNTIFS(RawData[[Date ]],N5875,RawData[Month List],$Q$6,RawData[Tour/Site],$Q$2,RawData[[Picker ID ]],$Q$3,RawData[Checker ID],$Q$4,RawData[[Error Type ]],$Q$5))</f>
        <v/>
      </c>
    </row>
    <row r="5876" spans="15:15" x14ac:dyDescent="0.25">
      <c r="O5876" s="20" t="str">
        <f>IF(N5876="","",COUNTIFS(RawData[[Date ]],N5876,RawData[Month List],$Q$6,RawData[Tour/Site],$Q$2,RawData[[Picker ID ]],$Q$3,RawData[Checker ID],$Q$4,RawData[[Error Type ]],$Q$5))</f>
        <v/>
      </c>
    </row>
    <row r="5877" spans="15:15" x14ac:dyDescent="0.25">
      <c r="O5877" s="20" t="str">
        <f>IF(N5877="","",COUNTIFS(RawData[[Date ]],N5877,RawData[Month List],$Q$6,RawData[Tour/Site],$Q$2,RawData[[Picker ID ]],$Q$3,RawData[Checker ID],$Q$4,RawData[[Error Type ]],$Q$5))</f>
        <v/>
      </c>
    </row>
    <row r="5878" spans="15:15" x14ac:dyDescent="0.25">
      <c r="O5878" s="20" t="str">
        <f>IF(N5878="","",COUNTIFS(RawData[[Date ]],N5878,RawData[Month List],$Q$6,RawData[Tour/Site],$Q$2,RawData[[Picker ID ]],$Q$3,RawData[Checker ID],$Q$4,RawData[[Error Type ]],$Q$5))</f>
        <v/>
      </c>
    </row>
    <row r="5879" spans="15:15" x14ac:dyDescent="0.25">
      <c r="O5879" s="20" t="str">
        <f>IF(N5879="","",COUNTIFS(RawData[[Date ]],N5879,RawData[Month List],$Q$6,RawData[Tour/Site],$Q$2,RawData[[Picker ID ]],$Q$3,RawData[Checker ID],$Q$4,RawData[[Error Type ]],$Q$5))</f>
        <v/>
      </c>
    </row>
    <row r="5880" spans="15:15" x14ac:dyDescent="0.25">
      <c r="O5880" s="20" t="str">
        <f>IF(N5880="","",COUNTIFS(RawData[[Date ]],N5880,RawData[Month List],$Q$6,RawData[Tour/Site],$Q$2,RawData[[Picker ID ]],$Q$3,RawData[Checker ID],$Q$4,RawData[[Error Type ]],$Q$5))</f>
        <v/>
      </c>
    </row>
    <row r="5881" spans="15:15" x14ac:dyDescent="0.25">
      <c r="O5881" s="20" t="str">
        <f>IF(N5881="","",COUNTIFS(RawData[[Date ]],N5881,RawData[Month List],$Q$6,RawData[Tour/Site],$Q$2,RawData[[Picker ID ]],$Q$3,RawData[Checker ID],$Q$4,RawData[[Error Type ]],$Q$5))</f>
        <v/>
      </c>
    </row>
    <row r="5882" spans="15:15" x14ac:dyDescent="0.25">
      <c r="O5882" s="20" t="str">
        <f>IF(N5882="","",COUNTIFS(RawData[[Date ]],N5882,RawData[Month List],$Q$6,RawData[Tour/Site],$Q$2,RawData[[Picker ID ]],$Q$3,RawData[Checker ID],$Q$4,RawData[[Error Type ]],$Q$5))</f>
        <v/>
      </c>
    </row>
    <row r="5883" spans="15:15" x14ac:dyDescent="0.25">
      <c r="O5883" s="20" t="str">
        <f>IF(N5883="","",COUNTIFS(RawData[[Date ]],N5883,RawData[Month List],$Q$6,RawData[Tour/Site],$Q$2,RawData[[Picker ID ]],$Q$3,RawData[Checker ID],$Q$4,RawData[[Error Type ]],$Q$5))</f>
        <v/>
      </c>
    </row>
    <row r="5884" spans="15:15" x14ac:dyDescent="0.25">
      <c r="O5884" s="20" t="str">
        <f>IF(N5884="","",COUNTIFS(RawData[[Date ]],N5884,RawData[Month List],$Q$6,RawData[Tour/Site],$Q$2,RawData[[Picker ID ]],$Q$3,RawData[Checker ID],$Q$4,RawData[[Error Type ]],$Q$5))</f>
        <v/>
      </c>
    </row>
    <row r="5885" spans="15:15" x14ac:dyDescent="0.25">
      <c r="O5885" s="20" t="str">
        <f>IF(N5885="","",COUNTIFS(RawData[[Date ]],N5885,RawData[Month List],$Q$6,RawData[Tour/Site],$Q$2,RawData[[Picker ID ]],$Q$3,RawData[Checker ID],$Q$4,RawData[[Error Type ]],$Q$5))</f>
        <v/>
      </c>
    </row>
    <row r="5886" spans="15:15" x14ac:dyDescent="0.25">
      <c r="O5886" s="20" t="str">
        <f>IF(N5886="","",COUNTIFS(RawData[[Date ]],N5886,RawData[Month List],$Q$6,RawData[Tour/Site],$Q$2,RawData[[Picker ID ]],$Q$3,RawData[Checker ID],$Q$4,RawData[[Error Type ]],$Q$5))</f>
        <v/>
      </c>
    </row>
    <row r="5887" spans="15:15" x14ac:dyDescent="0.25">
      <c r="O5887" s="20" t="str">
        <f>IF(N5887="","",COUNTIFS(RawData[[Date ]],N5887,RawData[Month List],$Q$6,RawData[Tour/Site],$Q$2,RawData[[Picker ID ]],$Q$3,RawData[Checker ID],$Q$4,RawData[[Error Type ]],$Q$5))</f>
        <v/>
      </c>
    </row>
    <row r="5888" spans="15:15" x14ac:dyDescent="0.25">
      <c r="O5888" s="20" t="str">
        <f>IF(N5888="","",COUNTIFS(RawData[[Date ]],N5888,RawData[Month List],$Q$6,RawData[Tour/Site],$Q$2,RawData[[Picker ID ]],$Q$3,RawData[Checker ID],$Q$4,RawData[[Error Type ]],$Q$5))</f>
        <v/>
      </c>
    </row>
    <row r="5889" spans="15:15" x14ac:dyDescent="0.25">
      <c r="O5889" s="20" t="str">
        <f>IF(N5889="","",COUNTIFS(RawData[[Date ]],N5889,RawData[Month List],$Q$6,RawData[Tour/Site],$Q$2,RawData[[Picker ID ]],$Q$3,RawData[Checker ID],$Q$4,RawData[[Error Type ]],$Q$5))</f>
        <v/>
      </c>
    </row>
    <row r="5890" spans="15:15" x14ac:dyDescent="0.25">
      <c r="O5890" s="20" t="str">
        <f>IF(N5890="","",COUNTIFS(RawData[[Date ]],N5890,RawData[Month List],$Q$6,RawData[Tour/Site],$Q$2,RawData[[Picker ID ]],$Q$3,RawData[Checker ID],$Q$4,RawData[[Error Type ]],$Q$5))</f>
        <v/>
      </c>
    </row>
    <row r="5891" spans="15:15" x14ac:dyDescent="0.25">
      <c r="O5891" s="20" t="str">
        <f>IF(N5891="","",COUNTIFS(RawData[[Date ]],N5891,RawData[Month List],$Q$6,RawData[Tour/Site],$Q$2,RawData[[Picker ID ]],$Q$3,RawData[Checker ID],$Q$4,RawData[[Error Type ]],$Q$5))</f>
        <v/>
      </c>
    </row>
    <row r="5892" spans="15:15" x14ac:dyDescent="0.25">
      <c r="O5892" s="20" t="str">
        <f>IF(N5892="","",COUNTIFS(RawData[[Date ]],N5892,RawData[Month List],$Q$6,RawData[Tour/Site],$Q$2,RawData[[Picker ID ]],$Q$3,RawData[Checker ID],$Q$4,RawData[[Error Type ]],$Q$5))</f>
        <v/>
      </c>
    </row>
    <row r="5893" spans="15:15" x14ac:dyDescent="0.25">
      <c r="O5893" s="20" t="str">
        <f>IF(N5893="","",COUNTIFS(RawData[[Date ]],N5893,RawData[Month List],$Q$6,RawData[Tour/Site],$Q$2,RawData[[Picker ID ]],$Q$3,RawData[Checker ID],$Q$4,RawData[[Error Type ]],$Q$5))</f>
        <v/>
      </c>
    </row>
    <row r="5894" spans="15:15" x14ac:dyDescent="0.25">
      <c r="O5894" s="20" t="str">
        <f>IF(N5894="","",COUNTIFS(RawData[[Date ]],N5894,RawData[Month List],$Q$6,RawData[Tour/Site],$Q$2,RawData[[Picker ID ]],$Q$3,RawData[Checker ID],$Q$4,RawData[[Error Type ]],$Q$5))</f>
        <v/>
      </c>
    </row>
    <row r="5895" spans="15:15" x14ac:dyDescent="0.25">
      <c r="O5895" s="20" t="str">
        <f>IF(N5895="","",COUNTIFS(RawData[[Date ]],N5895,RawData[Month List],$Q$6,RawData[Tour/Site],$Q$2,RawData[[Picker ID ]],$Q$3,RawData[Checker ID],$Q$4,RawData[[Error Type ]],$Q$5))</f>
        <v/>
      </c>
    </row>
    <row r="5896" spans="15:15" x14ac:dyDescent="0.25">
      <c r="O5896" s="20" t="str">
        <f>IF(N5896="","",COUNTIFS(RawData[[Date ]],N5896,RawData[Month List],$Q$6,RawData[Tour/Site],$Q$2,RawData[[Picker ID ]],$Q$3,RawData[Checker ID],$Q$4,RawData[[Error Type ]],$Q$5))</f>
        <v/>
      </c>
    </row>
    <row r="5897" spans="15:15" x14ac:dyDescent="0.25">
      <c r="O5897" s="20" t="str">
        <f>IF(N5897="","",COUNTIFS(RawData[[Date ]],N5897,RawData[Month List],$Q$6,RawData[Tour/Site],$Q$2,RawData[[Picker ID ]],$Q$3,RawData[Checker ID],$Q$4,RawData[[Error Type ]],$Q$5))</f>
        <v/>
      </c>
    </row>
    <row r="5898" spans="15:15" x14ac:dyDescent="0.25">
      <c r="O5898" s="20" t="str">
        <f>IF(N5898="","",COUNTIFS(RawData[[Date ]],N5898,RawData[Month List],$Q$6,RawData[Tour/Site],$Q$2,RawData[[Picker ID ]],$Q$3,RawData[Checker ID],$Q$4,RawData[[Error Type ]],$Q$5))</f>
        <v/>
      </c>
    </row>
    <row r="5899" spans="15:15" x14ac:dyDescent="0.25">
      <c r="O5899" s="20" t="str">
        <f>IF(N5899="","",COUNTIFS(RawData[[Date ]],N5899,RawData[Month List],$Q$6,RawData[Tour/Site],$Q$2,RawData[[Picker ID ]],$Q$3,RawData[Checker ID],$Q$4,RawData[[Error Type ]],$Q$5))</f>
        <v/>
      </c>
    </row>
    <row r="5900" spans="15:15" x14ac:dyDescent="0.25">
      <c r="O5900" s="20" t="str">
        <f>IF(N5900="","",COUNTIFS(RawData[[Date ]],N5900,RawData[Month List],$Q$6,RawData[Tour/Site],$Q$2,RawData[[Picker ID ]],$Q$3,RawData[Checker ID],$Q$4,RawData[[Error Type ]],$Q$5))</f>
        <v/>
      </c>
    </row>
    <row r="5901" spans="15:15" x14ac:dyDescent="0.25">
      <c r="O5901" s="20" t="str">
        <f>IF(N5901="","",COUNTIFS(RawData[[Date ]],N5901,RawData[Month List],$Q$6,RawData[Tour/Site],$Q$2,RawData[[Picker ID ]],$Q$3,RawData[Checker ID],$Q$4,RawData[[Error Type ]],$Q$5))</f>
        <v/>
      </c>
    </row>
    <row r="5902" spans="15:15" x14ac:dyDescent="0.25">
      <c r="O5902" s="20" t="str">
        <f>IF(N5902="","",COUNTIFS(RawData[[Date ]],N5902,RawData[Month List],$Q$6,RawData[Tour/Site],$Q$2,RawData[[Picker ID ]],$Q$3,RawData[Checker ID],$Q$4,RawData[[Error Type ]],$Q$5))</f>
        <v/>
      </c>
    </row>
    <row r="5903" spans="15:15" x14ac:dyDescent="0.25">
      <c r="O5903" s="20" t="str">
        <f>IF(N5903="","",COUNTIFS(RawData[[Date ]],N5903,RawData[Month List],$Q$6,RawData[Tour/Site],$Q$2,RawData[[Picker ID ]],$Q$3,RawData[Checker ID],$Q$4,RawData[[Error Type ]],$Q$5))</f>
        <v/>
      </c>
    </row>
    <row r="5904" spans="15:15" x14ac:dyDescent="0.25">
      <c r="O5904" s="20" t="str">
        <f>IF(N5904="","",COUNTIFS(RawData[[Date ]],N5904,RawData[Month List],$Q$6,RawData[Tour/Site],$Q$2,RawData[[Picker ID ]],$Q$3,RawData[Checker ID],$Q$4,RawData[[Error Type ]],$Q$5))</f>
        <v/>
      </c>
    </row>
    <row r="5905" spans="15:15" x14ac:dyDescent="0.25">
      <c r="O5905" s="20" t="str">
        <f>IF(N5905="","",COUNTIFS(RawData[[Date ]],N5905,RawData[Month List],$Q$6,RawData[Tour/Site],$Q$2,RawData[[Picker ID ]],$Q$3,RawData[Checker ID],$Q$4,RawData[[Error Type ]],$Q$5))</f>
        <v/>
      </c>
    </row>
    <row r="5906" spans="15:15" x14ac:dyDescent="0.25">
      <c r="O5906" s="20" t="str">
        <f>IF(N5906="","",COUNTIFS(RawData[[Date ]],N5906,RawData[Month List],$Q$6,RawData[Tour/Site],$Q$2,RawData[[Picker ID ]],$Q$3,RawData[Checker ID],$Q$4,RawData[[Error Type ]],$Q$5))</f>
        <v/>
      </c>
    </row>
    <row r="5907" spans="15:15" x14ac:dyDescent="0.25">
      <c r="O5907" s="20" t="str">
        <f>IF(N5907="","",COUNTIFS(RawData[[Date ]],N5907,RawData[Month List],$Q$6,RawData[Tour/Site],$Q$2,RawData[[Picker ID ]],$Q$3,RawData[Checker ID],$Q$4,RawData[[Error Type ]],$Q$5))</f>
        <v/>
      </c>
    </row>
    <row r="5908" spans="15:15" x14ac:dyDescent="0.25">
      <c r="O5908" s="20" t="str">
        <f>IF(N5908="","",COUNTIFS(RawData[[Date ]],N5908,RawData[Month List],$Q$6,RawData[Tour/Site],$Q$2,RawData[[Picker ID ]],$Q$3,RawData[Checker ID],$Q$4,RawData[[Error Type ]],$Q$5))</f>
        <v/>
      </c>
    </row>
    <row r="5909" spans="15:15" x14ac:dyDescent="0.25">
      <c r="O5909" s="20" t="str">
        <f>IF(N5909="","",COUNTIFS(RawData[[Date ]],N5909,RawData[Month List],$Q$6,RawData[Tour/Site],$Q$2,RawData[[Picker ID ]],$Q$3,RawData[Checker ID],$Q$4,RawData[[Error Type ]],$Q$5))</f>
        <v/>
      </c>
    </row>
    <row r="5910" spans="15:15" x14ac:dyDescent="0.25">
      <c r="O5910" s="20" t="str">
        <f>IF(N5910="","",COUNTIFS(RawData[[Date ]],N5910,RawData[Month List],$Q$6,RawData[Tour/Site],$Q$2,RawData[[Picker ID ]],$Q$3,RawData[Checker ID],$Q$4,RawData[[Error Type ]],$Q$5))</f>
        <v/>
      </c>
    </row>
    <row r="5911" spans="15:15" x14ac:dyDescent="0.25">
      <c r="O5911" s="20" t="str">
        <f>IF(N5911="","",COUNTIFS(RawData[[Date ]],N5911,RawData[Month List],$Q$6,RawData[Tour/Site],$Q$2,RawData[[Picker ID ]],$Q$3,RawData[Checker ID],$Q$4,RawData[[Error Type ]],$Q$5))</f>
        <v/>
      </c>
    </row>
    <row r="5912" spans="15:15" x14ac:dyDescent="0.25">
      <c r="O5912" s="20" t="str">
        <f>IF(N5912="","",COUNTIFS(RawData[[Date ]],N5912,RawData[Month List],$Q$6,RawData[Tour/Site],$Q$2,RawData[[Picker ID ]],$Q$3,RawData[Checker ID],$Q$4,RawData[[Error Type ]],$Q$5))</f>
        <v/>
      </c>
    </row>
    <row r="5913" spans="15:15" x14ac:dyDescent="0.25">
      <c r="O5913" s="20" t="str">
        <f>IF(N5913="","",COUNTIFS(RawData[[Date ]],N5913,RawData[Month List],$Q$6,RawData[Tour/Site],$Q$2,RawData[[Picker ID ]],$Q$3,RawData[Checker ID],$Q$4,RawData[[Error Type ]],$Q$5))</f>
        <v/>
      </c>
    </row>
    <row r="5914" spans="15:15" x14ac:dyDescent="0.25">
      <c r="O5914" s="20" t="str">
        <f>IF(N5914="","",COUNTIFS(RawData[[Date ]],N5914,RawData[Month List],$Q$6,RawData[Tour/Site],$Q$2,RawData[[Picker ID ]],$Q$3,RawData[Checker ID],$Q$4,RawData[[Error Type ]],$Q$5))</f>
        <v/>
      </c>
    </row>
    <row r="5915" spans="15:15" x14ac:dyDescent="0.25">
      <c r="O5915" s="20" t="str">
        <f>IF(N5915="","",COUNTIFS(RawData[[Date ]],N5915,RawData[Month List],$Q$6,RawData[Tour/Site],$Q$2,RawData[[Picker ID ]],$Q$3,RawData[Checker ID],$Q$4,RawData[[Error Type ]],$Q$5))</f>
        <v/>
      </c>
    </row>
    <row r="5916" spans="15:15" x14ac:dyDescent="0.25">
      <c r="O5916" s="20" t="str">
        <f>IF(N5916="","",COUNTIFS(RawData[[Date ]],N5916,RawData[Month List],$Q$6,RawData[Tour/Site],$Q$2,RawData[[Picker ID ]],$Q$3,RawData[Checker ID],$Q$4,RawData[[Error Type ]],$Q$5))</f>
        <v/>
      </c>
    </row>
    <row r="5917" spans="15:15" x14ac:dyDescent="0.25">
      <c r="O5917" s="20" t="str">
        <f>IF(N5917="","",COUNTIFS(RawData[[Date ]],N5917,RawData[Month List],$Q$6,RawData[Tour/Site],$Q$2,RawData[[Picker ID ]],$Q$3,RawData[Checker ID],$Q$4,RawData[[Error Type ]],$Q$5))</f>
        <v/>
      </c>
    </row>
    <row r="5918" spans="15:15" x14ac:dyDescent="0.25">
      <c r="O5918" s="20" t="str">
        <f>IF(N5918="","",COUNTIFS(RawData[[Date ]],N5918,RawData[Month List],$Q$6,RawData[Tour/Site],$Q$2,RawData[[Picker ID ]],$Q$3,RawData[Checker ID],$Q$4,RawData[[Error Type ]],$Q$5))</f>
        <v/>
      </c>
    </row>
    <row r="5919" spans="15:15" x14ac:dyDescent="0.25">
      <c r="O5919" s="20" t="str">
        <f>IF(N5919="","",COUNTIFS(RawData[[Date ]],N5919,RawData[Month List],$Q$6,RawData[Tour/Site],$Q$2,RawData[[Picker ID ]],$Q$3,RawData[Checker ID],$Q$4,RawData[[Error Type ]],$Q$5))</f>
        <v/>
      </c>
    </row>
    <row r="5920" spans="15:15" x14ac:dyDescent="0.25">
      <c r="O5920" s="20" t="str">
        <f>IF(N5920="","",COUNTIFS(RawData[[Date ]],N5920,RawData[Month List],$Q$6,RawData[Tour/Site],$Q$2,RawData[[Picker ID ]],$Q$3,RawData[Checker ID],$Q$4,RawData[[Error Type ]],$Q$5))</f>
        <v/>
      </c>
    </row>
    <row r="5921" spans="15:15" x14ac:dyDescent="0.25">
      <c r="O5921" s="20" t="str">
        <f>IF(N5921="","",COUNTIFS(RawData[[Date ]],N5921,RawData[Month List],$Q$6,RawData[Tour/Site],$Q$2,RawData[[Picker ID ]],$Q$3,RawData[Checker ID],$Q$4,RawData[[Error Type ]],$Q$5))</f>
        <v/>
      </c>
    </row>
    <row r="5922" spans="15:15" x14ac:dyDescent="0.25">
      <c r="O5922" s="20" t="str">
        <f>IF(N5922="","",COUNTIFS(RawData[[Date ]],N5922,RawData[Month List],$Q$6,RawData[Tour/Site],$Q$2,RawData[[Picker ID ]],$Q$3,RawData[Checker ID],$Q$4,RawData[[Error Type ]],$Q$5))</f>
        <v/>
      </c>
    </row>
    <row r="5923" spans="15:15" x14ac:dyDescent="0.25">
      <c r="O5923" s="20" t="str">
        <f>IF(N5923="","",COUNTIFS(RawData[[Date ]],N5923,RawData[Month List],$Q$6,RawData[Tour/Site],$Q$2,RawData[[Picker ID ]],$Q$3,RawData[Checker ID],$Q$4,RawData[[Error Type ]],$Q$5))</f>
        <v/>
      </c>
    </row>
    <row r="5924" spans="15:15" x14ac:dyDescent="0.25">
      <c r="O5924" s="20" t="str">
        <f>IF(N5924="","",COUNTIFS(RawData[[Date ]],N5924,RawData[Month List],$Q$6,RawData[Tour/Site],$Q$2,RawData[[Picker ID ]],$Q$3,RawData[Checker ID],$Q$4,RawData[[Error Type ]],$Q$5))</f>
        <v/>
      </c>
    </row>
    <row r="5925" spans="15:15" x14ac:dyDescent="0.25">
      <c r="O5925" s="20" t="str">
        <f>IF(N5925="","",COUNTIFS(RawData[[Date ]],N5925,RawData[Month List],$Q$6,RawData[Tour/Site],$Q$2,RawData[[Picker ID ]],$Q$3,RawData[Checker ID],$Q$4,RawData[[Error Type ]],$Q$5))</f>
        <v/>
      </c>
    </row>
    <row r="5926" spans="15:15" x14ac:dyDescent="0.25">
      <c r="O5926" s="20" t="str">
        <f>IF(N5926="","",COUNTIFS(RawData[[Date ]],N5926,RawData[Month List],$Q$6,RawData[Tour/Site],$Q$2,RawData[[Picker ID ]],$Q$3,RawData[Checker ID],$Q$4,RawData[[Error Type ]],$Q$5))</f>
        <v/>
      </c>
    </row>
    <row r="5927" spans="15:15" x14ac:dyDescent="0.25">
      <c r="O5927" s="20" t="str">
        <f>IF(N5927="","",COUNTIFS(RawData[[Date ]],N5927,RawData[Month List],$Q$6,RawData[Tour/Site],$Q$2,RawData[[Picker ID ]],$Q$3,RawData[Checker ID],$Q$4,RawData[[Error Type ]],$Q$5))</f>
        <v/>
      </c>
    </row>
    <row r="5928" spans="15:15" x14ac:dyDescent="0.25">
      <c r="O5928" s="20" t="str">
        <f>IF(N5928="","",COUNTIFS(RawData[[Date ]],N5928,RawData[Month List],$Q$6,RawData[Tour/Site],$Q$2,RawData[[Picker ID ]],$Q$3,RawData[Checker ID],$Q$4,RawData[[Error Type ]],$Q$5))</f>
        <v/>
      </c>
    </row>
    <row r="5929" spans="15:15" x14ac:dyDescent="0.25">
      <c r="O5929" s="20" t="str">
        <f>IF(N5929="","",COUNTIFS(RawData[[Date ]],N5929,RawData[Month List],$Q$6,RawData[Tour/Site],$Q$2,RawData[[Picker ID ]],$Q$3,RawData[Checker ID],$Q$4,RawData[[Error Type ]],$Q$5))</f>
        <v/>
      </c>
    </row>
    <row r="5930" spans="15:15" x14ac:dyDescent="0.25">
      <c r="O5930" s="20" t="str">
        <f>IF(N5930="","",COUNTIFS(RawData[[Date ]],N5930,RawData[Month List],$Q$6,RawData[Tour/Site],$Q$2,RawData[[Picker ID ]],$Q$3,RawData[Checker ID],$Q$4,RawData[[Error Type ]],$Q$5))</f>
        <v/>
      </c>
    </row>
    <row r="5931" spans="15:15" x14ac:dyDescent="0.25">
      <c r="O5931" s="20" t="str">
        <f>IF(N5931="","",COUNTIFS(RawData[[Date ]],N5931,RawData[Month List],$Q$6,RawData[Tour/Site],$Q$2,RawData[[Picker ID ]],$Q$3,RawData[Checker ID],$Q$4,RawData[[Error Type ]],$Q$5))</f>
        <v/>
      </c>
    </row>
    <row r="5932" spans="15:15" x14ac:dyDescent="0.25">
      <c r="O5932" s="20" t="str">
        <f>IF(N5932="","",COUNTIFS(RawData[[Date ]],N5932,RawData[Month List],$Q$6,RawData[Tour/Site],$Q$2,RawData[[Picker ID ]],$Q$3,RawData[Checker ID],$Q$4,RawData[[Error Type ]],$Q$5))</f>
        <v/>
      </c>
    </row>
    <row r="5933" spans="15:15" x14ac:dyDescent="0.25">
      <c r="O5933" s="20" t="str">
        <f>IF(N5933="","",COUNTIFS(RawData[[Date ]],N5933,RawData[Month List],$Q$6,RawData[Tour/Site],$Q$2,RawData[[Picker ID ]],$Q$3,RawData[Checker ID],$Q$4,RawData[[Error Type ]],$Q$5))</f>
        <v/>
      </c>
    </row>
    <row r="5934" spans="15:15" x14ac:dyDescent="0.25">
      <c r="O5934" s="20" t="str">
        <f>IF(N5934="","",COUNTIFS(RawData[[Date ]],N5934,RawData[Month List],$Q$6,RawData[Tour/Site],$Q$2,RawData[[Picker ID ]],$Q$3,RawData[Checker ID],$Q$4,RawData[[Error Type ]],$Q$5))</f>
        <v/>
      </c>
    </row>
    <row r="5935" spans="15:15" x14ac:dyDescent="0.25">
      <c r="O5935" s="20" t="str">
        <f>IF(N5935="","",COUNTIFS(RawData[[Date ]],N5935,RawData[Month List],$Q$6,RawData[Tour/Site],$Q$2,RawData[[Picker ID ]],$Q$3,RawData[Checker ID],$Q$4,RawData[[Error Type ]],$Q$5))</f>
        <v/>
      </c>
    </row>
    <row r="5936" spans="15:15" x14ac:dyDescent="0.25">
      <c r="O5936" s="20" t="str">
        <f>IF(N5936="","",COUNTIFS(RawData[[Date ]],N5936,RawData[Month List],$Q$6,RawData[Tour/Site],$Q$2,RawData[[Picker ID ]],$Q$3,RawData[Checker ID],$Q$4,RawData[[Error Type ]],$Q$5))</f>
        <v/>
      </c>
    </row>
    <row r="5937" spans="15:15" x14ac:dyDescent="0.25">
      <c r="O5937" s="20" t="str">
        <f>IF(N5937="","",COUNTIFS(RawData[[Date ]],N5937,RawData[Month List],$Q$6,RawData[Tour/Site],$Q$2,RawData[[Picker ID ]],$Q$3,RawData[Checker ID],$Q$4,RawData[[Error Type ]],$Q$5))</f>
        <v/>
      </c>
    </row>
    <row r="5938" spans="15:15" x14ac:dyDescent="0.25">
      <c r="O5938" s="20" t="str">
        <f>IF(N5938="","",COUNTIFS(RawData[[Date ]],N5938,RawData[Month List],$Q$6,RawData[Tour/Site],$Q$2,RawData[[Picker ID ]],$Q$3,RawData[Checker ID],$Q$4,RawData[[Error Type ]],$Q$5))</f>
        <v/>
      </c>
    </row>
    <row r="5939" spans="15:15" x14ac:dyDescent="0.25">
      <c r="O5939" s="20" t="str">
        <f>IF(N5939="","",COUNTIFS(RawData[[Date ]],N5939,RawData[Month List],$Q$6,RawData[Tour/Site],$Q$2,RawData[[Picker ID ]],$Q$3,RawData[Checker ID],$Q$4,RawData[[Error Type ]],$Q$5))</f>
        <v/>
      </c>
    </row>
    <row r="5940" spans="15:15" x14ac:dyDescent="0.25">
      <c r="O5940" s="20" t="str">
        <f>IF(N5940="","",COUNTIFS(RawData[[Date ]],N5940,RawData[Month List],$Q$6,RawData[Tour/Site],$Q$2,RawData[[Picker ID ]],$Q$3,RawData[Checker ID],$Q$4,RawData[[Error Type ]],$Q$5))</f>
        <v/>
      </c>
    </row>
    <row r="5941" spans="15:15" x14ac:dyDescent="0.25">
      <c r="O5941" s="20" t="str">
        <f>IF(N5941="","",COUNTIFS(RawData[[Date ]],N5941,RawData[Month List],$Q$6,RawData[Tour/Site],$Q$2,RawData[[Picker ID ]],$Q$3,RawData[Checker ID],$Q$4,RawData[[Error Type ]],$Q$5))</f>
        <v/>
      </c>
    </row>
    <row r="5942" spans="15:15" x14ac:dyDescent="0.25">
      <c r="O5942" s="20" t="str">
        <f>IF(N5942="","",COUNTIFS(RawData[[Date ]],N5942,RawData[Month List],$Q$6,RawData[Tour/Site],$Q$2,RawData[[Picker ID ]],$Q$3,RawData[Checker ID],$Q$4,RawData[[Error Type ]],$Q$5))</f>
        <v/>
      </c>
    </row>
    <row r="5943" spans="15:15" x14ac:dyDescent="0.25">
      <c r="O5943" s="20" t="str">
        <f>IF(N5943="","",COUNTIFS(RawData[[Date ]],N5943,RawData[Month List],$Q$6,RawData[Tour/Site],$Q$2,RawData[[Picker ID ]],$Q$3,RawData[Checker ID],$Q$4,RawData[[Error Type ]],$Q$5))</f>
        <v/>
      </c>
    </row>
    <row r="5944" spans="15:15" x14ac:dyDescent="0.25">
      <c r="O5944" s="20" t="str">
        <f>IF(N5944="","",COUNTIFS(RawData[[Date ]],N5944,RawData[Month List],$Q$6,RawData[Tour/Site],$Q$2,RawData[[Picker ID ]],$Q$3,RawData[Checker ID],$Q$4,RawData[[Error Type ]],$Q$5))</f>
        <v/>
      </c>
    </row>
    <row r="5945" spans="15:15" x14ac:dyDescent="0.25">
      <c r="O5945" s="20" t="str">
        <f>IF(N5945="","",COUNTIFS(RawData[[Date ]],N5945,RawData[Month List],$Q$6,RawData[Tour/Site],$Q$2,RawData[[Picker ID ]],$Q$3,RawData[Checker ID],$Q$4,RawData[[Error Type ]],$Q$5))</f>
        <v/>
      </c>
    </row>
    <row r="5946" spans="15:15" x14ac:dyDescent="0.25">
      <c r="O5946" s="20" t="str">
        <f>IF(N5946="","",COUNTIFS(RawData[[Date ]],N5946,RawData[Month List],$Q$6,RawData[Tour/Site],$Q$2,RawData[[Picker ID ]],$Q$3,RawData[Checker ID],$Q$4,RawData[[Error Type ]],$Q$5))</f>
        <v/>
      </c>
    </row>
    <row r="5947" spans="15:15" x14ac:dyDescent="0.25">
      <c r="O5947" s="20" t="str">
        <f>IF(N5947="","",COUNTIFS(RawData[[Date ]],N5947,RawData[Month List],$Q$6,RawData[Tour/Site],$Q$2,RawData[[Picker ID ]],$Q$3,RawData[Checker ID],$Q$4,RawData[[Error Type ]],$Q$5))</f>
        <v/>
      </c>
    </row>
    <row r="5948" spans="15:15" x14ac:dyDescent="0.25">
      <c r="O5948" s="20" t="str">
        <f>IF(N5948="","",COUNTIFS(RawData[[Date ]],N5948,RawData[Month List],$Q$6,RawData[Tour/Site],$Q$2,RawData[[Picker ID ]],$Q$3,RawData[Checker ID],$Q$4,RawData[[Error Type ]],$Q$5))</f>
        <v/>
      </c>
    </row>
    <row r="5949" spans="15:15" x14ac:dyDescent="0.25">
      <c r="O5949" s="20" t="str">
        <f>IF(N5949="","",COUNTIFS(RawData[[Date ]],N5949,RawData[Month List],$Q$6,RawData[Tour/Site],$Q$2,RawData[[Picker ID ]],$Q$3,RawData[Checker ID],$Q$4,RawData[[Error Type ]],$Q$5))</f>
        <v/>
      </c>
    </row>
    <row r="5950" spans="15:15" x14ac:dyDescent="0.25">
      <c r="O5950" s="20" t="str">
        <f>IF(N5950="","",COUNTIFS(RawData[[Date ]],N5950,RawData[Month List],$Q$6,RawData[Tour/Site],$Q$2,RawData[[Picker ID ]],$Q$3,RawData[Checker ID],$Q$4,RawData[[Error Type ]],$Q$5))</f>
        <v/>
      </c>
    </row>
    <row r="5951" spans="15:15" x14ac:dyDescent="0.25">
      <c r="O5951" s="20" t="str">
        <f>IF(N5951="","",COUNTIFS(RawData[[Date ]],N5951,RawData[Month List],$Q$6,RawData[Tour/Site],$Q$2,RawData[[Picker ID ]],$Q$3,RawData[Checker ID],$Q$4,RawData[[Error Type ]],$Q$5))</f>
        <v/>
      </c>
    </row>
    <row r="5952" spans="15:15" x14ac:dyDescent="0.25">
      <c r="O5952" s="20" t="str">
        <f>IF(N5952="","",COUNTIFS(RawData[[Date ]],N5952,RawData[Month List],$Q$6,RawData[Tour/Site],$Q$2,RawData[[Picker ID ]],$Q$3,RawData[Checker ID],$Q$4,RawData[[Error Type ]],$Q$5))</f>
        <v/>
      </c>
    </row>
    <row r="5953" spans="15:15" x14ac:dyDescent="0.25">
      <c r="O5953" s="20" t="str">
        <f>IF(N5953="","",COUNTIFS(RawData[[Date ]],N5953,RawData[Month List],$Q$6,RawData[Tour/Site],$Q$2,RawData[[Picker ID ]],$Q$3,RawData[Checker ID],$Q$4,RawData[[Error Type ]],$Q$5))</f>
        <v/>
      </c>
    </row>
    <row r="5954" spans="15:15" x14ac:dyDescent="0.25">
      <c r="O5954" s="20" t="str">
        <f>IF(N5954="","",COUNTIFS(RawData[[Date ]],N5954,RawData[Month List],$Q$6,RawData[Tour/Site],$Q$2,RawData[[Picker ID ]],$Q$3,RawData[Checker ID],$Q$4,RawData[[Error Type ]],$Q$5))</f>
        <v/>
      </c>
    </row>
    <row r="5955" spans="15:15" x14ac:dyDescent="0.25">
      <c r="O5955" s="20" t="str">
        <f>IF(N5955="","",COUNTIFS(RawData[[Date ]],N5955,RawData[Month List],$Q$6,RawData[Tour/Site],$Q$2,RawData[[Picker ID ]],$Q$3,RawData[Checker ID],$Q$4,RawData[[Error Type ]],$Q$5))</f>
        <v/>
      </c>
    </row>
    <row r="5956" spans="15:15" x14ac:dyDescent="0.25">
      <c r="O5956" s="20" t="str">
        <f>IF(N5956="","",COUNTIFS(RawData[[Date ]],N5956,RawData[Month List],$Q$6,RawData[Tour/Site],$Q$2,RawData[[Picker ID ]],$Q$3,RawData[Checker ID],$Q$4,RawData[[Error Type ]],$Q$5))</f>
        <v/>
      </c>
    </row>
    <row r="5957" spans="15:15" x14ac:dyDescent="0.25">
      <c r="O5957" s="20" t="str">
        <f>IF(N5957="","",COUNTIFS(RawData[[Date ]],N5957,RawData[Month List],$Q$6,RawData[Tour/Site],$Q$2,RawData[[Picker ID ]],$Q$3,RawData[Checker ID],$Q$4,RawData[[Error Type ]],$Q$5))</f>
        <v/>
      </c>
    </row>
    <row r="5958" spans="15:15" x14ac:dyDescent="0.25">
      <c r="O5958" s="20" t="str">
        <f>IF(N5958="","",COUNTIFS(RawData[[Date ]],N5958,RawData[Month List],$Q$6,RawData[Tour/Site],$Q$2,RawData[[Picker ID ]],$Q$3,RawData[Checker ID],$Q$4,RawData[[Error Type ]],$Q$5))</f>
        <v/>
      </c>
    </row>
    <row r="5959" spans="15:15" x14ac:dyDescent="0.25">
      <c r="O5959" s="20" t="str">
        <f>IF(N5959="","",COUNTIFS(RawData[[Date ]],N5959,RawData[Month List],$Q$6,RawData[Tour/Site],$Q$2,RawData[[Picker ID ]],$Q$3,RawData[Checker ID],$Q$4,RawData[[Error Type ]],$Q$5))</f>
        <v/>
      </c>
    </row>
    <row r="5960" spans="15:15" x14ac:dyDescent="0.25">
      <c r="O5960" s="20" t="str">
        <f>IF(N5960="","",COUNTIFS(RawData[[Date ]],N5960,RawData[Month List],$Q$6,RawData[Tour/Site],$Q$2,RawData[[Picker ID ]],$Q$3,RawData[Checker ID],$Q$4,RawData[[Error Type ]],$Q$5))</f>
        <v/>
      </c>
    </row>
    <row r="5961" spans="15:15" x14ac:dyDescent="0.25">
      <c r="O5961" s="20" t="str">
        <f>IF(N5961="","",COUNTIFS(RawData[[Date ]],N5961,RawData[Month List],$Q$6,RawData[Tour/Site],$Q$2,RawData[[Picker ID ]],$Q$3,RawData[Checker ID],$Q$4,RawData[[Error Type ]],$Q$5))</f>
        <v/>
      </c>
    </row>
    <row r="5962" spans="15:15" x14ac:dyDescent="0.25">
      <c r="O5962" s="20" t="str">
        <f>IF(N5962="","",COUNTIFS(RawData[[Date ]],N5962,RawData[Month List],$Q$6,RawData[Tour/Site],$Q$2,RawData[[Picker ID ]],$Q$3,RawData[Checker ID],$Q$4,RawData[[Error Type ]],$Q$5))</f>
        <v/>
      </c>
    </row>
    <row r="5963" spans="15:15" x14ac:dyDescent="0.25">
      <c r="O5963" s="20" t="str">
        <f>IF(N5963="","",COUNTIFS(RawData[[Date ]],N5963,RawData[Month List],$Q$6,RawData[Tour/Site],$Q$2,RawData[[Picker ID ]],$Q$3,RawData[Checker ID],$Q$4,RawData[[Error Type ]],$Q$5))</f>
        <v/>
      </c>
    </row>
    <row r="5964" spans="15:15" x14ac:dyDescent="0.25">
      <c r="O5964" s="20" t="str">
        <f>IF(N5964="","",COUNTIFS(RawData[[Date ]],N5964,RawData[Month List],$Q$6,RawData[Tour/Site],$Q$2,RawData[[Picker ID ]],$Q$3,RawData[Checker ID],$Q$4,RawData[[Error Type ]],$Q$5))</f>
        <v/>
      </c>
    </row>
    <row r="5965" spans="15:15" x14ac:dyDescent="0.25">
      <c r="O5965" s="20" t="str">
        <f>IF(N5965="","",COUNTIFS(RawData[[Date ]],N5965,RawData[Month List],$Q$6,RawData[Tour/Site],$Q$2,RawData[[Picker ID ]],$Q$3,RawData[Checker ID],$Q$4,RawData[[Error Type ]],$Q$5))</f>
        <v/>
      </c>
    </row>
    <row r="5966" spans="15:15" x14ac:dyDescent="0.25">
      <c r="O5966" s="20" t="str">
        <f>IF(N5966="","",COUNTIFS(RawData[[Date ]],N5966,RawData[Month List],$Q$6,RawData[Tour/Site],$Q$2,RawData[[Picker ID ]],$Q$3,RawData[Checker ID],$Q$4,RawData[[Error Type ]],$Q$5))</f>
        <v/>
      </c>
    </row>
    <row r="5967" spans="15:15" x14ac:dyDescent="0.25">
      <c r="O5967" s="20" t="str">
        <f>IF(N5967="","",COUNTIFS(RawData[[Date ]],N5967,RawData[Month List],$Q$6,RawData[Tour/Site],$Q$2,RawData[[Picker ID ]],$Q$3,RawData[Checker ID],$Q$4,RawData[[Error Type ]],$Q$5))</f>
        <v/>
      </c>
    </row>
    <row r="5968" spans="15:15" x14ac:dyDescent="0.25">
      <c r="O5968" s="20" t="str">
        <f>IF(N5968="","",COUNTIFS(RawData[[Date ]],N5968,RawData[Month List],$Q$6,RawData[Tour/Site],$Q$2,RawData[[Picker ID ]],$Q$3,RawData[Checker ID],$Q$4,RawData[[Error Type ]],$Q$5))</f>
        <v/>
      </c>
    </row>
    <row r="5969" spans="15:15" x14ac:dyDescent="0.25">
      <c r="O5969" s="20" t="str">
        <f>IF(N5969="","",COUNTIFS(RawData[[Date ]],N5969,RawData[Month List],$Q$6,RawData[Tour/Site],$Q$2,RawData[[Picker ID ]],$Q$3,RawData[Checker ID],$Q$4,RawData[[Error Type ]],$Q$5))</f>
        <v/>
      </c>
    </row>
    <row r="5970" spans="15:15" x14ac:dyDescent="0.25">
      <c r="O5970" s="20" t="str">
        <f>IF(N5970="","",COUNTIFS(RawData[[Date ]],N5970,RawData[Month List],$Q$6,RawData[Tour/Site],$Q$2,RawData[[Picker ID ]],$Q$3,RawData[Checker ID],$Q$4,RawData[[Error Type ]],$Q$5))</f>
        <v/>
      </c>
    </row>
    <row r="5971" spans="15:15" x14ac:dyDescent="0.25">
      <c r="O5971" s="20" t="str">
        <f>IF(N5971="","",COUNTIFS(RawData[[Date ]],N5971,RawData[Month List],$Q$6,RawData[Tour/Site],$Q$2,RawData[[Picker ID ]],$Q$3,RawData[Checker ID],$Q$4,RawData[[Error Type ]],$Q$5))</f>
        <v/>
      </c>
    </row>
    <row r="5972" spans="15:15" x14ac:dyDescent="0.25">
      <c r="O5972" s="20" t="str">
        <f>IF(N5972="","",COUNTIFS(RawData[[Date ]],N5972,RawData[Month List],$Q$6,RawData[Tour/Site],$Q$2,RawData[[Picker ID ]],$Q$3,RawData[Checker ID],$Q$4,RawData[[Error Type ]],$Q$5))</f>
        <v/>
      </c>
    </row>
    <row r="5973" spans="15:15" x14ac:dyDescent="0.25">
      <c r="O5973" s="20" t="str">
        <f>IF(N5973="","",COUNTIFS(RawData[[Date ]],N5973,RawData[Month List],$Q$6,RawData[Tour/Site],$Q$2,RawData[[Picker ID ]],$Q$3,RawData[Checker ID],$Q$4,RawData[[Error Type ]],$Q$5))</f>
        <v/>
      </c>
    </row>
    <row r="5974" spans="15:15" x14ac:dyDescent="0.25">
      <c r="O5974" s="20" t="str">
        <f>IF(N5974="","",COUNTIFS(RawData[[Date ]],N5974,RawData[Month List],$Q$6,RawData[Tour/Site],$Q$2,RawData[[Picker ID ]],$Q$3,RawData[Checker ID],$Q$4,RawData[[Error Type ]],$Q$5))</f>
        <v/>
      </c>
    </row>
    <row r="5975" spans="15:15" x14ac:dyDescent="0.25">
      <c r="O5975" s="20" t="str">
        <f>IF(N5975="","",COUNTIFS(RawData[[Date ]],N5975,RawData[Month List],$Q$6,RawData[Tour/Site],$Q$2,RawData[[Picker ID ]],$Q$3,RawData[Checker ID],$Q$4,RawData[[Error Type ]],$Q$5))</f>
        <v/>
      </c>
    </row>
    <row r="5976" spans="15:15" x14ac:dyDescent="0.25">
      <c r="O5976" s="20" t="str">
        <f>IF(N5976="","",COUNTIFS(RawData[[Date ]],N5976,RawData[Month List],$Q$6,RawData[Tour/Site],$Q$2,RawData[[Picker ID ]],$Q$3,RawData[Checker ID],$Q$4,RawData[[Error Type ]],$Q$5))</f>
        <v/>
      </c>
    </row>
    <row r="5977" spans="15:15" x14ac:dyDescent="0.25">
      <c r="O5977" s="20" t="str">
        <f>IF(N5977="","",COUNTIFS(RawData[[Date ]],N5977,RawData[Month List],$Q$6,RawData[Tour/Site],$Q$2,RawData[[Picker ID ]],$Q$3,RawData[Checker ID],$Q$4,RawData[[Error Type ]],$Q$5))</f>
        <v/>
      </c>
    </row>
    <row r="5978" spans="15:15" x14ac:dyDescent="0.25">
      <c r="O5978" s="20" t="str">
        <f>IF(N5978="","",COUNTIFS(RawData[[Date ]],N5978,RawData[Month List],$Q$6,RawData[Tour/Site],$Q$2,RawData[[Picker ID ]],$Q$3,RawData[Checker ID],$Q$4,RawData[[Error Type ]],$Q$5))</f>
        <v/>
      </c>
    </row>
    <row r="5979" spans="15:15" x14ac:dyDescent="0.25">
      <c r="O5979" s="20" t="str">
        <f>IF(N5979="","",COUNTIFS(RawData[[Date ]],N5979,RawData[Month List],$Q$6,RawData[Tour/Site],$Q$2,RawData[[Picker ID ]],$Q$3,RawData[Checker ID],$Q$4,RawData[[Error Type ]],$Q$5))</f>
        <v/>
      </c>
    </row>
    <row r="5980" spans="15:15" x14ac:dyDescent="0.25">
      <c r="O5980" s="20" t="str">
        <f>IF(N5980="","",COUNTIFS(RawData[[Date ]],N5980,RawData[Month List],$Q$6,RawData[Tour/Site],$Q$2,RawData[[Picker ID ]],$Q$3,RawData[Checker ID],$Q$4,RawData[[Error Type ]],$Q$5))</f>
        <v/>
      </c>
    </row>
    <row r="5981" spans="15:15" x14ac:dyDescent="0.25">
      <c r="O5981" s="20" t="str">
        <f>IF(N5981="","",COUNTIFS(RawData[[Date ]],N5981,RawData[Month List],$Q$6,RawData[Tour/Site],$Q$2,RawData[[Picker ID ]],$Q$3,RawData[Checker ID],$Q$4,RawData[[Error Type ]],$Q$5))</f>
        <v/>
      </c>
    </row>
    <row r="5982" spans="15:15" x14ac:dyDescent="0.25">
      <c r="O5982" s="20" t="str">
        <f>IF(N5982="","",COUNTIFS(RawData[[Date ]],N5982,RawData[Month List],$Q$6,RawData[Tour/Site],$Q$2,RawData[[Picker ID ]],$Q$3,RawData[Checker ID],$Q$4,RawData[[Error Type ]],$Q$5))</f>
        <v/>
      </c>
    </row>
    <row r="5983" spans="15:15" x14ac:dyDescent="0.25">
      <c r="O5983" s="20" t="str">
        <f>IF(N5983="","",COUNTIFS(RawData[[Date ]],N5983,RawData[Month List],$Q$6,RawData[Tour/Site],$Q$2,RawData[[Picker ID ]],$Q$3,RawData[Checker ID],$Q$4,RawData[[Error Type ]],$Q$5))</f>
        <v/>
      </c>
    </row>
    <row r="5984" spans="15:15" x14ac:dyDescent="0.25">
      <c r="O5984" s="20" t="str">
        <f>IF(N5984="","",COUNTIFS(RawData[[Date ]],N5984,RawData[Month List],$Q$6,RawData[Tour/Site],$Q$2,RawData[[Picker ID ]],$Q$3,RawData[Checker ID],$Q$4,RawData[[Error Type ]],$Q$5))</f>
        <v/>
      </c>
    </row>
    <row r="5985" spans="15:15" x14ac:dyDescent="0.25">
      <c r="O5985" s="20" t="str">
        <f>IF(N5985="","",COUNTIFS(RawData[[Date ]],N5985,RawData[Month List],$Q$6,RawData[Tour/Site],$Q$2,RawData[[Picker ID ]],$Q$3,RawData[Checker ID],$Q$4,RawData[[Error Type ]],$Q$5))</f>
        <v/>
      </c>
    </row>
    <row r="5986" spans="15:15" x14ac:dyDescent="0.25">
      <c r="O5986" s="20" t="str">
        <f>IF(N5986="","",COUNTIFS(RawData[[Date ]],N5986,RawData[Month List],$Q$6,RawData[Tour/Site],$Q$2,RawData[[Picker ID ]],$Q$3,RawData[Checker ID],$Q$4,RawData[[Error Type ]],$Q$5))</f>
        <v/>
      </c>
    </row>
    <row r="5987" spans="15:15" x14ac:dyDescent="0.25">
      <c r="O5987" s="20" t="str">
        <f>IF(N5987="","",COUNTIFS(RawData[[Date ]],N5987,RawData[Month List],$Q$6,RawData[Tour/Site],$Q$2,RawData[[Picker ID ]],$Q$3,RawData[Checker ID],$Q$4,RawData[[Error Type ]],$Q$5))</f>
        <v/>
      </c>
    </row>
    <row r="5988" spans="15:15" x14ac:dyDescent="0.25">
      <c r="O5988" s="20" t="str">
        <f>IF(N5988="","",COUNTIFS(RawData[[Date ]],N5988,RawData[Month List],$Q$6,RawData[Tour/Site],$Q$2,RawData[[Picker ID ]],$Q$3,RawData[Checker ID],$Q$4,RawData[[Error Type ]],$Q$5))</f>
        <v/>
      </c>
    </row>
    <row r="5989" spans="15:15" x14ac:dyDescent="0.25">
      <c r="O5989" s="20" t="str">
        <f>IF(N5989="","",COUNTIFS(RawData[[Date ]],N5989,RawData[Month List],$Q$6,RawData[Tour/Site],$Q$2,RawData[[Picker ID ]],$Q$3,RawData[Checker ID],$Q$4,RawData[[Error Type ]],$Q$5))</f>
        <v/>
      </c>
    </row>
    <row r="5990" spans="15:15" x14ac:dyDescent="0.25">
      <c r="O5990" s="20" t="str">
        <f>IF(N5990="","",COUNTIFS(RawData[[Date ]],N5990,RawData[Month List],$Q$6,RawData[Tour/Site],$Q$2,RawData[[Picker ID ]],$Q$3,RawData[Checker ID],$Q$4,RawData[[Error Type ]],$Q$5))</f>
        <v/>
      </c>
    </row>
    <row r="5991" spans="15:15" x14ac:dyDescent="0.25">
      <c r="O5991" s="20" t="str">
        <f>IF(N5991="","",COUNTIFS(RawData[[Date ]],N5991,RawData[Month List],$Q$6,RawData[Tour/Site],$Q$2,RawData[[Picker ID ]],$Q$3,RawData[Checker ID],$Q$4,RawData[[Error Type ]],$Q$5))</f>
        <v/>
      </c>
    </row>
    <row r="5992" spans="15:15" x14ac:dyDescent="0.25">
      <c r="O5992" s="20" t="str">
        <f>IF(N5992="","",COUNTIFS(RawData[[Date ]],N5992,RawData[Month List],$Q$6,RawData[Tour/Site],$Q$2,RawData[[Picker ID ]],$Q$3,RawData[Checker ID],$Q$4,RawData[[Error Type ]],$Q$5))</f>
        <v/>
      </c>
    </row>
    <row r="5993" spans="15:15" x14ac:dyDescent="0.25">
      <c r="O5993" s="20" t="str">
        <f>IF(N5993="","",COUNTIFS(RawData[[Date ]],N5993,RawData[Month List],$Q$6,RawData[Tour/Site],$Q$2,RawData[[Picker ID ]],$Q$3,RawData[Checker ID],$Q$4,RawData[[Error Type ]],$Q$5))</f>
        <v/>
      </c>
    </row>
    <row r="5994" spans="15:15" x14ac:dyDescent="0.25">
      <c r="O5994" s="20" t="str">
        <f>IF(N5994="","",COUNTIFS(RawData[[Date ]],N5994,RawData[Month List],$Q$6,RawData[Tour/Site],$Q$2,RawData[[Picker ID ]],$Q$3,RawData[Checker ID],$Q$4,RawData[[Error Type ]],$Q$5))</f>
        <v/>
      </c>
    </row>
    <row r="5995" spans="15:15" x14ac:dyDescent="0.25">
      <c r="O5995" s="20" t="str">
        <f>IF(N5995="","",COUNTIFS(RawData[[Date ]],N5995,RawData[Month List],$Q$6,RawData[Tour/Site],$Q$2,RawData[[Picker ID ]],$Q$3,RawData[Checker ID],$Q$4,RawData[[Error Type ]],$Q$5))</f>
        <v/>
      </c>
    </row>
    <row r="5996" spans="15:15" x14ac:dyDescent="0.25">
      <c r="O5996" s="20" t="str">
        <f>IF(N5996="","",COUNTIFS(RawData[[Date ]],N5996,RawData[Month List],$Q$6,RawData[Tour/Site],$Q$2,RawData[[Picker ID ]],$Q$3,RawData[Checker ID],$Q$4,RawData[[Error Type ]],$Q$5))</f>
        <v/>
      </c>
    </row>
    <row r="5997" spans="15:15" x14ac:dyDescent="0.25">
      <c r="O5997" s="20" t="str">
        <f>IF(N5997="","",COUNTIFS(RawData[[Date ]],N5997,RawData[Month List],$Q$6,RawData[Tour/Site],$Q$2,RawData[[Picker ID ]],$Q$3,RawData[Checker ID],$Q$4,RawData[[Error Type ]],$Q$5))</f>
        <v/>
      </c>
    </row>
    <row r="5998" spans="15:15" x14ac:dyDescent="0.25">
      <c r="O5998" s="20" t="str">
        <f>IF(N5998="","",COUNTIFS(RawData[[Date ]],N5998,RawData[Month List],$Q$6,RawData[Tour/Site],$Q$2,RawData[[Picker ID ]],$Q$3,RawData[Checker ID],$Q$4,RawData[[Error Type ]],$Q$5))</f>
        <v/>
      </c>
    </row>
    <row r="5999" spans="15:15" x14ac:dyDescent="0.25">
      <c r="O5999" s="20" t="str">
        <f>IF(N5999="","",COUNTIFS(RawData[[Date ]],N5999,RawData[Month List],$Q$6,RawData[Tour/Site],$Q$2,RawData[[Picker ID ]],$Q$3,RawData[Checker ID],$Q$4,RawData[[Error Type ]],$Q$5))</f>
        <v/>
      </c>
    </row>
    <row r="6000" spans="15:15" x14ac:dyDescent="0.25">
      <c r="O6000" s="20" t="str">
        <f>IF(N6000="","",COUNTIFS(RawData[[Date ]],N6000,RawData[Month List],$Q$6,RawData[Tour/Site],$Q$2,RawData[[Picker ID ]],$Q$3,RawData[Checker ID],$Q$4,RawData[[Error Type ]],$Q$5))</f>
        <v/>
      </c>
    </row>
    <row r="6001" spans="15:15" x14ac:dyDescent="0.25">
      <c r="O6001" s="20" t="str">
        <f>IF(N6001="","",COUNTIFS(RawData[[Date ]],N6001,RawData[Month List],$Q$6,RawData[Tour/Site],$Q$2,RawData[[Picker ID ]],$Q$3,RawData[Checker ID],$Q$4,RawData[[Error Type ]],$Q$5))</f>
        <v/>
      </c>
    </row>
    <row r="6002" spans="15:15" x14ac:dyDescent="0.25">
      <c r="O6002" s="20" t="str">
        <f>IF(N6002="","",COUNTIFS(RawData[[Date ]],N6002,RawData[Month List],$Q$6,RawData[Tour/Site],$Q$2,RawData[[Picker ID ]],$Q$3,RawData[Checker ID],$Q$4,RawData[[Error Type ]],$Q$5))</f>
        <v/>
      </c>
    </row>
    <row r="6003" spans="15:15" x14ac:dyDescent="0.25">
      <c r="O6003" s="20" t="str">
        <f>IF(N6003="","",COUNTIFS(RawData[[Date ]],N6003,RawData[Month List],$Q$6,RawData[Tour/Site],$Q$2,RawData[[Picker ID ]],$Q$3,RawData[Checker ID],$Q$4,RawData[[Error Type ]],$Q$5))</f>
        <v/>
      </c>
    </row>
    <row r="6004" spans="15:15" x14ac:dyDescent="0.25">
      <c r="O6004" s="20" t="str">
        <f>IF(N6004="","",COUNTIFS(RawData[[Date ]],N6004,RawData[Month List],$Q$6,RawData[Tour/Site],$Q$2,RawData[[Picker ID ]],$Q$3,RawData[Checker ID],$Q$4,RawData[[Error Type ]],$Q$5))</f>
        <v/>
      </c>
    </row>
    <row r="6005" spans="15:15" x14ac:dyDescent="0.25">
      <c r="O6005" s="20" t="str">
        <f>IF(N6005="","",COUNTIFS(RawData[[Date ]],N6005,RawData[Month List],$Q$6,RawData[Tour/Site],$Q$2,RawData[[Picker ID ]],$Q$3,RawData[Checker ID],$Q$4,RawData[[Error Type ]],$Q$5))</f>
        <v/>
      </c>
    </row>
    <row r="6006" spans="15:15" x14ac:dyDescent="0.25">
      <c r="O6006" s="20" t="str">
        <f>IF(N6006="","",COUNTIFS(RawData[[Date ]],N6006,RawData[Month List],$Q$6,RawData[Tour/Site],$Q$2,RawData[[Picker ID ]],$Q$3,RawData[Checker ID],$Q$4,RawData[[Error Type ]],$Q$5))</f>
        <v/>
      </c>
    </row>
    <row r="6007" spans="15:15" x14ac:dyDescent="0.25">
      <c r="O6007" s="20" t="str">
        <f>IF(N6007="","",COUNTIFS(RawData[[Date ]],N6007,RawData[Month List],$Q$6,RawData[Tour/Site],$Q$2,RawData[[Picker ID ]],$Q$3,RawData[Checker ID],$Q$4,RawData[[Error Type ]],$Q$5))</f>
        <v/>
      </c>
    </row>
    <row r="6008" spans="15:15" x14ac:dyDescent="0.25">
      <c r="O6008" s="20" t="str">
        <f>IF(N6008="","",COUNTIFS(RawData[[Date ]],N6008,RawData[Month List],$Q$6,RawData[Tour/Site],$Q$2,RawData[[Picker ID ]],$Q$3,RawData[Checker ID],$Q$4,RawData[[Error Type ]],$Q$5))</f>
        <v/>
      </c>
    </row>
    <row r="6009" spans="15:15" x14ac:dyDescent="0.25">
      <c r="O6009" s="20" t="str">
        <f>IF(N6009="","",COUNTIFS(RawData[[Date ]],N6009,RawData[Month List],$Q$6,RawData[Tour/Site],$Q$2,RawData[[Picker ID ]],$Q$3,RawData[Checker ID],$Q$4,RawData[[Error Type ]],$Q$5))</f>
        <v/>
      </c>
    </row>
    <row r="6010" spans="15:15" x14ac:dyDescent="0.25">
      <c r="O6010" s="20" t="str">
        <f>IF(N6010="","",COUNTIFS(RawData[[Date ]],N6010,RawData[Month List],$Q$6,RawData[Tour/Site],$Q$2,RawData[[Picker ID ]],$Q$3,RawData[Checker ID],$Q$4,RawData[[Error Type ]],$Q$5))</f>
        <v/>
      </c>
    </row>
    <row r="6011" spans="15:15" x14ac:dyDescent="0.25">
      <c r="O6011" s="20" t="str">
        <f>IF(N6011="","",COUNTIFS(RawData[[Date ]],N6011,RawData[Month List],$Q$6,RawData[Tour/Site],$Q$2,RawData[[Picker ID ]],$Q$3,RawData[Checker ID],$Q$4,RawData[[Error Type ]],$Q$5))</f>
        <v/>
      </c>
    </row>
    <row r="6012" spans="15:15" x14ac:dyDescent="0.25">
      <c r="O6012" s="20" t="str">
        <f>IF(N6012="","",COUNTIFS(RawData[[Date ]],N6012,RawData[Month List],$Q$6,RawData[Tour/Site],$Q$2,RawData[[Picker ID ]],$Q$3,RawData[Checker ID],$Q$4,RawData[[Error Type ]],$Q$5))</f>
        <v/>
      </c>
    </row>
    <row r="6013" spans="15:15" x14ac:dyDescent="0.25">
      <c r="O6013" s="20" t="str">
        <f>IF(N6013="","",COUNTIFS(RawData[[Date ]],N6013,RawData[Month List],$Q$6,RawData[Tour/Site],$Q$2,RawData[[Picker ID ]],$Q$3,RawData[Checker ID],$Q$4,RawData[[Error Type ]],$Q$5))</f>
        <v/>
      </c>
    </row>
    <row r="6014" spans="15:15" x14ac:dyDescent="0.25">
      <c r="O6014" s="20" t="str">
        <f>IF(N6014="","",COUNTIFS(RawData[[Date ]],N6014,RawData[Month List],$Q$6,RawData[Tour/Site],$Q$2,RawData[[Picker ID ]],$Q$3,RawData[Checker ID],$Q$4,RawData[[Error Type ]],$Q$5))</f>
        <v/>
      </c>
    </row>
    <row r="6015" spans="15:15" x14ac:dyDescent="0.25">
      <c r="O6015" s="20" t="str">
        <f>IF(N6015="","",COUNTIFS(RawData[[Date ]],N6015,RawData[Month List],$Q$6,RawData[Tour/Site],$Q$2,RawData[[Picker ID ]],$Q$3,RawData[Checker ID],$Q$4,RawData[[Error Type ]],$Q$5))</f>
        <v/>
      </c>
    </row>
    <row r="6016" spans="15:15" x14ac:dyDescent="0.25">
      <c r="O6016" s="20" t="str">
        <f>IF(N6016="","",COUNTIFS(RawData[[Date ]],N6016,RawData[Month List],$Q$6,RawData[Tour/Site],$Q$2,RawData[[Picker ID ]],$Q$3,RawData[Checker ID],$Q$4,RawData[[Error Type ]],$Q$5))</f>
        <v/>
      </c>
    </row>
    <row r="6017" spans="15:15" x14ac:dyDescent="0.25">
      <c r="O6017" s="20" t="str">
        <f>IF(N6017="","",COUNTIFS(RawData[[Date ]],N6017,RawData[Month List],$Q$6,RawData[Tour/Site],$Q$2,RawData[[Picker ID ]],$Q$3,RawData[Checker ID],$Q$4,RawData[[Error Type ]],$Q$5))</f>
        <v/>
      </c>
    </row>
    <row r="6018" spans="15:15" x14ac:dyDescent="0.25">
      <c r="O6018" s="20" t="str">
        <f>IF(N6018="","",COUNTIFS(RawData[[Date ]],N6018,RawData[Month List],$Q$6,RawData[Tour/Site],$Q$2,RawData[[Picker ID ]],$Q$3,RawData[Checker ID],$Q$4,RawData[[Error Type ]],$Q$5))</f>
        <v/>
      </c>
    </row>
    <row r="6019" spans="15:15" x14ac:dyDescent="0.25">
      <c r="O6019" s="20" t="str">
        <f>IF(N6019="","",COUNTIFS(RawData[[Date ]],N6019,RawData[Month List],$Q$6,RawData[Tour/Site],$Q$2,RawData[[Picker ID ]],$Q$3,RawData[Checker ID],$Q$4,RawData[[Error Type ]],$Q$5))</f>
        <v/>
      </c>
    </row>
    <row r="6020" spans="15:15" x14ac:dyDescent="0.25">
      <c r="O6020" s="20" t="str">
        <f>IF(N6020="","",COUNTIFS(RawData[[Date ]],N6020,RawData[Month List],$Q$6,RawData[Tour/Site],$Q$2,RawData[[Picker ID ]],$Q$3,RawData[Checker ID],$Q$4,RawData[[Error Type ]],$Q$5))</f>
        <v/>
      </c>
    </row>
    <row r="6021" spans="15:15" x14ac:dyDescent="0.25">
      <c r="O6021" s="20" t="str">
        <f>IF(N6021="","",COUNTIFS(RawData[[Date ]],N6021,RawData[Month List],$Q$6,RawData[Tour/Site],$Q$2,RawData[[Picker ID ]],$Q$3,RawData[Checker ID],$Q$4,RawData[[Error Type ]],$Q$5))</f>
        <v/>
      </c>
    </row>
    <row r="6022" spans="15:15" x14ac:dyDescent="0.25">
      <c r="O6022" s="20" t="str">
        <f>IF(N6022="","",COUNTIFS(RawData[[Date ]],N6022,RawData[Month List],$Q$6,RawData[Tour/Site],$Q$2,RawData[[Picker ID ]],$Q$3,RawData[Checker ID],$Q$4,RawData[[Error Type ]],$Q$5))</f>
        <v/>
      </c>
    </row>
    <row r="6023" spans="15:15" x14ac:dyDescent="0.25">
      <c r="O6023" s="20" t="str">
        <f>IF(N6023="","",COUNTIFS(RawData[[Date ]],N6023,RawData[Month List],$Q$6,RawData[Tour/Site],$Q$2,RawData[[Picker ID ]],$Q$3,RawData[Checker ID],$Q$4,RawData[[Error Type ]],$Q$5))</f>
        <v/>
      </c>
    </row>
    <row r="6024" spans="15:15" x14ac:dyDescent="0.25">
      <c r="O6024" s="20" t="str">
        <f>IF(N6024="","",COUNTIFS(RawData[[Date ]],N6024,RawData[Month List],$Q$6,RawData[Tour/Site],$Q$2,RawData[[Picker ID ]],$Q$3,RawData[Checker ID],$Q$4,RawData[[Error Type ]],$Q$5))</f>
        <v/>
      </c>
    </row>
    <row r="6025" spans="15:15" x14ac:dyDescent="0.25">
      <c r="O6025" s="20" t="str">
        <f>IF(N6025="","",COUNTIFS(RawData[[Date ]],N6025,RawData[Month List],$Q$6,RawData[Tour/Site],$Q$2,RawData[[Picker ID ]],$Q$3,RawData[Checker ID],$Q$4,RawData[[Error Type ]],$Q$5))</f>
        <v/>
      </c>
    </row>
    <row r="6026" spans="15:15" x14ac:dyDescent="0.25">
      <c r="O6026" s="20" t="str">
        <f>IF(N6026="","",COUNTIFS(RawData[[Date ]],N6026,RawData[Month List],$Q$6,RawData[Tour/Site],$Q$2,RawData[[Picker ID ]],$Q$3,RawData[Checker ID],$Q$4,RawData[[Error Type ]],$Q$5))</f>
        <v/>
      </c>
    </row>
    <row r="6027" spans="15:15" x14ac:dyDescent="0.25">
      <c r="O6027" s="20" t="str">
        <f>IF(N6027="","",COUNTIFS(RawData[[Date ]],N6027,RawData[Month List],$Q$6,RawData[Tour/Site],$Q$2,RawData[[Picker ID ]],$Q$3,RawData[Checker ID],$Q$4,RawData[[Error Type ]],$Q$5))</f>
        <v/>
      </c>
    </row>
    <row r="6028" spans="15:15" x14ac:dyDescent="0.25">
      <c r="O6028" s="20" t="str">
        <f>IF(N6028="","",COUNTIFS(RawData[[Date ]],N6028,RawData[Month List],$Q$6,RawData[Tour/Site],$Q$2,RawData[[Picker ID ]],$Q$3,RawData[Checker ID],$Q$4,RawData[[Error Type ]],$Q$5))</f>
        <v/>
      </c>
    </row>
    <row r="6029" spans="15:15" x14ac:dyDescent="0.25">
      <c r="O6029" s="20" t="str">
        <f>IF(N6029="","",COUNTIFS(RawData[[Date ]],N6029,RawData[Month List],$Q$6,RawData[Tour/Site],$Q$2,RawData[[Picker ID ]],$Q$3,RawData[Checker ID],$Q$4,RawData[[Error Type ]],$Q$5))</f>
        <v/>
      </c>
    </row>
    <row r="6030" spans="15:15" x14ac:dyDescent="0.25">
      <c r="O6030" s="20" t="str">
        <f>IF(N6030="","",COUNTIFS(RawData[[Date ]],N6030,RawData[Month List],$Q$6,RawData[Tour/Site],$Q$2,RawData[[Picker ID ]],$Q$3,RawData[Checker ID],$Q$4,RawData[[Error Type ]],$Q$5))</f>
        <v/>
      </c>
    </row>
    <row r="6031" spans="15:15" x14ac:dyDescent="0.25">
      <c r="O6031" s="20" t="str">
        <f>IF(N6031="","",COUNTIFS(RawData[[Date ]],N6031,RawData[Month List],$Q$6,RawData[Tour/Site],$Q$2,RawData[[Picker ID ]],$Q$3,RawData[Checker ID],$Q$4,RawData[[Error Type ]],$Q$5))</f>
        <v/>
      </c>
    </row>
    <row r="6032" spans="15:15" x14ac:dyDescent="0.25">
      <c r="O6032" s="20" t="str">
        <f>IF(N6032="","",COUNTIFS(RawData[[Date ]],N6032,RawData[Month List],$Q$6,RawData[Tour/Site],$Q$2,RawData[[Picker ID ]],$Q$3,RawData[Checker ID],$Q$4,RawData[[Error Type ]],$Q$5))</f>
        <v/>
      </c>
    </row>
    <row r="6033" spans="15:15" x14ac:dyDescent="0.25">
      <c r="O6033" s="20" t="str">
        <f>IF(N6033="","",COUNTIFS(RawData[[Date ]],N6033,RawData[Month List],$Q$6,RawData[Tour/Site],$Q$2,RawData[[Picker ID ]],$Q$3,RawData[Checker ID],$Q$4,RawData[[Error Type ]],$Q$5))</f>
        <v/>
      </c>
    </row>
    <row r="6034" spans="15:15" x14ac:dyDescent="0.25">
      <c r="O6034" s="20" t="str">
        <f>IF(N6034="","",COUNTIFS(RawData[[Date ]],N6034,RawData[Month List],$Q$6,RawData[Tour/Site],$Q$2,RawData[[Picker ID ]],$Q$3,RawData[Checker ID],$Q$4,RawData[[Error Type ]],$Q$5))</f>
        <v/>
      </c>
    </row>
    <row r="6035" spans="15:15" x14ac:dyDescent="0.25">
      <c r="O6035" s="20" t="str">
        <f>IF(N6035="","",COUNTIFS(RawData[[Date ]],N6035,RawData[Month List],$Q$6,RawData[Tour/Site],$Q$2,RawData[[Picker ID ]],$Q$3,RawData[Checker ID],$Q$4,RawData[[Error Type ]],$Q$5))</f>
        <v/>
      </c>
    </row>
    <row r="6036" spans="15:15" x14ac:dyDescent="0.25">
      <c r="O6036" s="20" t="str">
        <f>IF(N6036="","",COUNTIFS(RawData[[Date ]],N6036,RawData[Month List],$Q$6,RawData[Tour/Site],$Q$2,RawData[[Picker ID ]],$Q$3,RawData[Checker ID],$Q$4,RawData[[Error Type ]],$Q$5))</f>
        <v/>
      </c>
    </row>
    <row r="6037" spans="15:15" x14ac:dyDescent="0.25">
      <c r="O6037" s="20" t="str">
        <f>IF(N6037="","",COUNTIFS(RawData[[Date ]],N6037,RawData[Month List],$Q$6,RawData[Tour/Site],$Q$2,RawData[[Picker ID ]],$Q$3,RawData[Checker ID],$Q$4,RawData[[Error Type ]],$Q$5))</f>
        <v/>
      </c>
    </row>
    <row r="6038" spans="15:15" x14ac:dyDescent="0.25">
      <c r="O6038" s="20" t="str">
        <f>IF(N6038="","",COUNTIFS(RawData[[Date ]],N6038,RawData[Month List],$Q$6,RawData[Tour/Site],$Q$2,RawData[[Picker ID ]],$Q$3,RawData[Checker ID],$Q$4,RawData[[Error Type ]],$Q$5))</f>
        <v/>
      </c>
    </row>
    <row r="6039" spans="15:15" x14ac:dyDescent="0.25">
      <c r="O6039" s="20" t="str">
        <f>IF(N6039="","",COUNTIFS(RawData[[Date ]],N6039,RawData[Month List],$Q$6,RawData[Tour/Site],$Q$2,RawData[[Picker ID ]],$Q$3,RawData[Checker ID],$Q$4,RawData[[Error Type ]],$Q$5))</f>
        <v/>
      </c>
    </row>
    <row r="6040" spans="15:15" x14ac:dyDescent="0.25">
      <c r="O6040" s="20" t="str">
        <f>IF(N6040="","",COUNTIFS(RawData[[Date ]],N6040,RawData[Month List],$Q$6,RawData[Tour/Site],$Q$2,RawData[[Picker ID ]],$Q$3,RawData[Checker ID],$Q$4,RawData[[Error Type ]],$Q$5))</f>
        <v/>
      </c>
    </row>
    <row r="6041" spans="15:15" x14ac:dyDescent="0.25">
      <c r="O6041" s="20" t="str">
        <f>IF(N6041="","",COUNTIFS(RawData[[Date ]],N6041,RawData[Month List],$Q$6,RawData[Tour/Site],$Q$2,RawData[[Picker ID ]],$Q$3,RawData[Checker ID],$Q$4,RawData[[Error Type ]],$Q$5))</f>
        <v/>
      </c>
    </row>
    <row r="6042" spans="15:15" x14ac:dyDescent="0.25">
      <c r="O6042" s="20" t="str">
        <f>IF(N6042="","",COUNTIFS(RawData[[Date ]],N6042,RawData[Month List],$Q$6,RawData[Tour/Site],$Q$2,RawData[[Picker ID ]],$Q$3,RawData[Checker ID],$Q$4,RawData[[Error Type ]],$Q$5))</f>
        <v/>
      </c>
    </row>
    <row r="6043" spans="15:15" x14ac:dyDescent="0.25">
      <c r="O6043" s="20" t="str">
        <f>IF(N6043="","",COUNTIFS(RawData[[Date ]],N6043,RawData[Month List],$Q$6,RawData[Tour/Site],$Q$2,RawData[[Picker ID ]],$Q$3,RawData[Checker ID],$Q$4,RawData[[Error Type ]],$Q$5))</f>
        <v/>
      </c>
    </row>
    <row r="6044" spans="15:15" x14ac:dyDescent="0.25">
      <c r="O6044" s="20" t="str">
        <f>IF(N6044="","",COUNTIFS(RawData[[Date ]],N6044,RawData[Month List],$Q$6,RawData[Tour/Site],$Q$2,RawData[[Picker ID ]],$Q$3,RawData[Checker ID],$Q$4,RawData[[Error Type ]],$Q$5))</f>
        <v/>
      </c>
    </row>
    <row r="6045" spans="15:15" x14ac:dyDescent="0.25">
      <c r="O6045" s="20" t="str">
        <f>IF(N6045="","",COUNTIFS(RawData[[Date ]],N6045,RawData[Month List],$Q$6,RawData[Tour/Site],$Q$2,RawData[[Picker ID ]],$Q$3,RawData[Checker ID],$Q$4,RawData[[Error Type ]],$Q$5))</f>
        <v/>
      </c>
    </row>
    <row r="6046" spans="15:15" x14ac:dyDescent="0.25">
      <c r="O6046" s="20" t="str">
        <f>IF(N6046="","",COUNTIFS(RawData[[Date ]],N6046,RawData[Month List],$Q$6,RawData[Tour/Site],$Q$2,RawData[[Picker ID ]],$Q$3,RawData[Checker ID],$Q$4,RawData[[Error Type ]],$Q$5))</f>
        <v/>
      </c>
    </row>
    <row r="6047" spans="15:15" x14ac:dyDescent="0.25">
      <c r="O6047" s="20" t="str">
        <f>IF(N6047="","",COUNTIFS(RawData[[Date ]],N6047,RawData[Month List],$Q$6,RawData[Tour/Site],$Q$2,RawData[[Picker ID ]],$Q$3,RawData[Checker ID],$Q$4,RawData[[Error Type ]],$Q$5))</f>
        <v/>
      </c>
    </row>
    <row r="6048" spans="15:15" x14ac:dyDescent="0.25">
      <c r="O6048" s="20" t="str">
        <f>IF(N6048="","",COUNTIFS(RawData[[Date ]],N6048,RawData[Month List],$Q$6,RawData[Tour/Site],$Q$2,RawData[[Picker ID ]],$Q$3,RawData[Checker ID],$Q$4,RawData[[Error Type ]],$Q$5))</f>
        <v/>
      </c>
    </row>
    <row r="6049" spans="15:15" x14ac:dyDescent="0.25">
      <c r="O6049" s="20" t="str">
        <f>IF(N6049="","",COUNTIFS(RawData[[Date ]],N6049,RawData[Month List],$Q$6,RawData[Tour/Site],$Q$2,RawData[[Picker ID ]],$Q$3,RawData[Checker ID],$Q$4,RawData[[Error Type ]],$Q$5))</f>
        <v/>
      </c>
    </row>
    <row r="6050" spans="15:15" x14ac:dyDescent="0.25">
      <c r="O6050" s="20" t="str">
        <f>IF(N6050="","",COUNTIFS(RawData[[Date ]],N6050,RawData[Month List],$Q$6,RawData[Tour/Site],$Q$2,RawData[[Picker ID ]],$Q$3,RawData[Checker ID],$Q$4,RawData[[Error Type ]],$Q$5))</f>
        <v/>
      </c>
    </row>
    <row r="6051" spans="15:15" x14ac:dyDescent="0.25">
      <c r="O6051" s="20" t="str">
        <f>IF(N6051="","",COUNTIFS(RawData[[Date ]],N6051,RawData[Month List],$Q$6,RawData[Tour/Site],$Q$2,RawData[[Picker ID ]],$Q$3,RawData[Checker ID],$Q$4,RawData[[Error Type ]],$Q$5))</f>
        <v/>
      </c>
    </row>
    <row r="6052" spans="15:15" x14ac:dyDescent="0.25">
      <c r="O6052" s="20" t="str">
        <f>IF(N6052="","",COUNTIFS(RawData[[Date ]],N6052,RawData[Month List],$Q$6,RawData[Tour/Site],$Q$2,RawData[[Picker ID ]],$Q$3,RawData[Checker ID],$Q$4,RawData[[Error Type ]],$Q$5))</f>
        <v/>
      </c>
    </row>
    <row r="6053" spans="15:15" x14ac:dyDescent="0.25">
      <c r="O6053" s="20" t="str">
        <f>IF(N6053="","",COUNTIFS(RawData[[Date ]],N6053,RawData[Month List],$Q$6,RawData[Tour/Site],$Q$2,RawData[[Picker ID ]],$Q$3,RawData[Checker ID],$Q$4,RawData[[Error Type ]],$Q$5))</f>
        <v/>
      </c>
    </row>
    <row r="6054" spans="15:15" x14ac:dyDescent="0.25">
      <c r="O6054" s="20" t="str">
        <f>IF(N6054="","",COUNTIFS(RawData[[Date ]],N6054,RawData[Month List],$Q$6,RawData[Tour/Site],$Q$2,RawData[[Picker ID ]],$Q$3,RawData[Checker ID],$Q$4,RawData[[Error Type ]],$Q$5))</f>
        <v/>
      </c>
    </row>
    <row r="6055" spans="15:15" x14ac:dyDescent="0.25">
      <c r="O6055" s="20" t="str">
        <f>IF(N6055="","",COUNTIFS(RawData[[Date ]],N6055,RawData[Month List],$Q$6,RawData[Tour/Site],$Q$2,RawData[[Picker ID ]],$Q$3,RawData[Checker ID],$Q$4,RawData[[Error Type ]],$Q$5))</f>
        <v/>
      </c>
    </row>
    <row r="6056" spans="15:15" x14ac:dyDescent="0.25">
      <c r="O6056" s="20" t="str">
        <f>IF(N6056="","",COUNTIFS(RawData[[Date ]],N6056,RawData[Month List],$Q$6,RawData[Tour/Site],$Q$2,RawData[[Picker ID ]],$Q$3,RawData[Checker ID],$Q$4,RawData[[Error Type ]],$Q$5))</f>
        <v/>
      </c>
    </row>
    <row r="6057" spans="15:15" x14ac:dyDescent="0.25">
      <c r="O6057" s="20" t="str">
        <f>IF(N6057="","",COUNTIFS(RawData[[Date ]],N6057,RawData[Month List],$Q$6,RawData[Tour/Site],$Q$2,RawData[[Picker ID ]],$Q$3,RawData[Checker ID],$Q$4,RawData[[Error Type ]],$Q$5))</f>
        <v/>
      </c>
    </row>
    <row r="6058" spans="15:15" x14ac:dyDescent="0.25">
      <c r="O6058" s="20" t="str">
        <f>IF(N6058="","",COUNTIFS(RawData[[Date ]],N6058,RawData[Month List],$Q$6,RawData[Tour/Site],$Q$2,RawData[[Picker ID ]],$Q$3,RawData[Checker ID],$Q$4,RawData[[Error Type ]],$Q$5))</f>
        <v/>
      </c>
    </row>
    <row r="6059" spans="15:15" x14ac:dyDescent="0.25">
      <c r="O6059" s="20" t="str">
        <f>IF(N6059="","",COUNTIFS(RawData[[Date ]],N6059,RawData[Month List],$Q$6,RawData[Tour/Site],$Q$2,RawData[[Picker ID ]],$Q$3,RawData[Checker ID],$Q$4,RawData[[Error Type ]],$Q$5))</f>
        <v/>
      </c>
    </row>
    <row r="6060" spans="15:15" x14ac:dyDescent="0.25">
      <c r="O6060" s="20" t="str">
        <f>IF(N6060="","",COUNTIFS(RawData[[Date ]],N6060,RawData[Month List],$Q$6,RawData[Tour/Site],$Q$2,RawData[[Picker ID ]],$Q$3,RawData[Checker ID],$Q$4,RawData[[Error Type ]],$Q$5))</f>
        <v/>
      </c>
    </row>
    <row r="6061" spans="15:15" x14ac:dyDescent="0.25">
      <c r="O6061" s="20" t="str">
        <f>IF(N6061="","",COUNTIFS(RawData[[Date ]],N6061,RawData[Month List],$Q$6,RawData[Tour/Site],$Q$2,RawData[[Picker ID ]],$Q$3,RawData[Checker ID],$Q$4,RawData[[Error Type ]],$Q$5))</f>
        <v/>
      </c>
    </row>
    <row r="6062" spans="15:15" x14ac:dyDescent="0.25">
      <c r="O6062" s="20" t="str">
        <f>IF(N6062="","",COUNTIFS(RawData[[Date ]],N6062,RawData[Month List],$Q$6,RawData[Tour/Site],$Q$2,RawData[[Picker ID ]],$Q$3,RawData[Checker ID],$Q$4,RawData[[Error Type ]],$Q$5))</f>
        <v/>
      </c>
    </row>
    <row r="6063" spans="15:15" x14ac:dyDescent="0.25">
      <c r="O6063" s="20" t="str">
        <f>IF(N6063="","",COUNTIFS(RawData[[Date ]],N6063,RawData[Month List],$Q$6,RawData[Tour/Site],$Q$2,RawData[[Picker ID ]],$Q$3,RawData[Checker ID],$Q$4,RawData[[Error Type ]],$Q$5))</f>
        <v/>
      </c>
    </row>
    <row r="6064" spans="15:15" x14ac:dyDescent="0.25">
      <c r="O6064" s="20" t="str">
        <f>IF(N6064="","",COUNTIFS(RawData[[Date ]],N6064,RawData[Month List],$Q$6,RawData[Tour/Site],$Q$2,RawData[[Picker ID ]],$Q$3,RawData[Checker ID],$Q$4,RawData[[Error Type ]],$Q$5))</f>
        <v/>
      </c>
    </row>
    <row r="6065" spans="15:15" x14ac:dyDescent="0.25">
      <c r="O6065" s="20" t="str">
        <f>IF(N6065="","",COUNTIFS(RawData[[Date ]],N6065,RawData[Month List],$Q$6,RawData[Tour/Site],$Q$2,RawData[[Picker ID ]],$Q$3,RawData[Checker ID],$Q$4,RawData[[Error Type ]],$Q$5))</f>
        <v/>
      </c>
    </row>
    <row r="6066" spans="15:15" x14ac:dyDescent="0.25">
      <c r="O6066" s="20" t="str">
        <f>IF(N6066="","",COUNTIFS(RawData[[Date ]],N6066,RawData[Month List],$Q$6,RawData[Tour/Site],$Q$2,RawData[[Picker ID ]],$Q$3,RawData[Checker ID],$Q$4,RawData[[Error Type ]],$Q$5))</f>
        <v/>
      </c>
    </row>
    <row r="6067" spans="15:15" x14ac:dyDescent="0.25">
      <c r="O6067" s="20" t="str">
        <f>IF(N6067="","",COUNTIFS(RawData[[Date ]],N6067,RawData[Month List],$Q$6,RawData[Tour/Site],$Q$2,RawData[[Picker ID ]],$Q$3,RawData[Checker ID],$Q$4,RawData[[Error Type ]],$Q$5))</f>
        <v/>
      </c>
    </row>
    <row r="6068" spans="15:15" x14ac:dyDescent="0.25">
      <c r="O6068" s="20" t="str">
        <f>IF(N6068="","",COUNTIFS(RawData[[Date ]],N6068,RawData[Month List],$Q$6,RawData[Tour/Site],$Q$2,RawData[[Picker ID ]],$Q$3,RawData[Checker ID],$Q$4,RawData[[Error Type ]],$Q$5))</f>
        <v/>
      </c>
    </row>
    <row r="6069" spans="15:15" x14ac:dyDescent="0.25">
      <c r="O6069" s="20" t="str">
        <f>IF(N6069="","",COUNTIFS(RawData[[Date ]],N6069,RawData[Month List],$Q$6,RawData[Tour/Site],$Q$2,RawData[[Picker ID ]],$Q$3,RawData[Checker ID],$Q$4,RawData[[Error Type ]],$Q$5))</f>
        <v/>
      </c>
    </row>
    <row r="6070" spans="15:15" x14ac:dyDescent="0.25">
      <c r="O6070" s="20" t="str">
        <f>IF(N6070="","",COUNTIFS(RawData[[Date ]],N6070,RawData[Month List],$Q$6,RawData[Tour/Site],$Q$2,RawData[[Picker ID ]],$Q$3,RawData[Checker ID],$Q$4,RawData[[Error Type ]],$Q$5))</f>
        <v/>
      </c>
    </row>
    <row r="6071" spans="15:15" x14ac:dyDescent="0.25">
      <c r="O6071" s="20" t="str">
        <f>IF(N6071="","",COUNTIFS(RawData[[Date ]],N6071,RawData[Month List],$Q$6,RawData[Tour/Site],$Q$2,RawData[[Picker ID ]],$Q$3,RawData[Checker ID],$Q$4,RawData[[Error Type ]],$Q$5))</f>
        <v/>
      </c>
    </row>
    <row r="6072" spans="15:15" x14ac:dyDescent="0.25">
      <c r="O6072" s="20" t="str">
        <f>IF(N6072="","",COUNTIFS(RawData[[Date ]],N6072,RawData[Month List],$Q$6,RawData[Tour/Site],$Q$2,RawData[[Picker ID ]],$Q$3,RawData[Checker ID],$Q$4,RawData[[Error Type ]],$Q$5))</f>
        <v/>
      </c>
    </row>
    <row r="6073" spans="15:15" x14ac:dyDescent="0.25">
      <c r="O6073" s="20" t="str">
        <f>IF(N6073="","",COUNTIFS(RawData[[Date ]],N6073,RawData[Month List],$Q$6,RawData[Tour/Site],$Q$2,RawData[[Picker ID ]],$Q$3,RawData[Checker ID],$Q$4,RawData[[Error Type ]],$Q$5))</f>
        <v/>
      </c>
    </row>
    <row r="6074" spans="15:15" x14ac:dyDescent="0.25">
      <c r="O6074" s="20" t="str">
        <f>IF(N6074="","",COUNTIFS(RawData[[Date ]],N6074,RawData[Month List],$Q$6,RawData[Tour/Site],$Q$2,RawData[[Picker ID ]],$Q$3,RawData[Checker ID],$Q$4,RawData[[Error Type ]],$Q$5))</f>
        <v/>
      </c>
    </row>
    <row r="6075" spans="15:15" x14ac:dyDescent="0.25">
      <c r="O6075" s="20" t="str">
        <f>IF(N6075="","",COUNTIFS(RawData[[Date ]],N6075,RawData[Month List],$Q$6,RawData[Tour/Site],$Q$2,RawData[[Picker ID ]],$Q$3,RawData[Checker ID],$Q$4,RawData[[Error Type ]],$Q$5))</f>
        <v/>
      </c>
    </row>
    <row r="6076" spans="15:15" x14ac:dyDescent="0.25">
      <c r="O6076" s="20" t="str">
        <f>IF(N6076="","",COUNTIFS(RawData[[Date ]],N6076,RawData[Month List],$Q$6,RawData[Tour/Site],$Q$2,RawData[[Picker ID ]],$Q$3,RawData[Checker ID],$Q$4,RawData[[Error Type ]],$Q$5))</f>
        <v/>
      </c>
    </row>
    <row r="6077" spans="15:15" x14ac:dyDescent="0.25">
      <c r="O6077" s="20" t="str">
        <f>IF(N6077="","",COUNTIFS(RawData[[Date ]],N6077,RawData[Month List],$Q$6,RawData[Tour/Site],$Q$2,RawData[[Picker ID ]],$Q$3,RawData[Checker ID],$Q$4,RawData[[Error Type ]],$Q$5))</f>
        <v/>
      </c>
    </row>
    <row r="6078" spans="15:15" x14ac:dyDescent="0.25">
      <c r="O6078" s="20" t="str">
        <f>IF(N6078="","",COUNTIFS(RawData[[Date ]],N6078,RawData[Month List],$Q$6,RawData[Tour/Site],$Q$2,RawData[[Picker ID ]],$Q$3,RawData[Checker ID],$Q$4,RawData[[Error Type ]],$Q$5))</f>
        <v/>
      </c>
    </row>
    <row r="6079" spans="15:15" x14ac:dyDescent="0.25">
      <c r="O6079" s="20" t="str">
        <f>IF(N6079="","",COUNTIFS(RawData[[Date ]],N6079,RawData[Month List],$Q$6,RawData[Tour/Site],$Q$2,RawData[[Picker ID ]],$Q$3,RawData[Checker ID],$Q$4,RawData[[Error Type ]],$Q$5))</f>
        <v/>
      </c>
    </row>
    <row r="6080" spans="15:15" x14ac:dyDescent="0.25">
      <c r="O6080" s="20" t="str">
        <f>IF(N6080="","",COUNTIFS(RawData[[Date ]],N6080,RawData[Month List],$Q$6,RawData[Tour/Site],$Q$2,RawData[[Picker ID ]],$Q$3,RawData[Checker ID],$Q$4,RawData[[Error Type ]],$Q$5))</f>
        <v/>
      </c>
    </row>
    <row r="6081" spans="15:15" x14ac:dyDescent="0.25">
      <c r="O6081" s="20" t="str">
        <f>IF(N6081="","",COUNTIFS(RawData[[Date ]],N6081,RawData[Month List],$Q$6,RawData[Tour/Site],$Q$2,RawData[[Picker ID ]],$Q$3,RawData[Checker ID],$Q$4,RawData[[Error Type ]],$Q$5))</f>
        <v/>
      </c>
    </row>
    <row r="6082" spans="15:15" x14ac:dyDescent="0.25">
      <c r="O6082" s="20" t="str">
        <f>IF(N6082="","",COUNTIFS(RawData[[Date ]],N6082,RawData[Month List],$Q$6,RawData[Tour/Site],$Q$2,RawData[[Picker ID ]],$Q$3,RawData[Checker ID],$Q$4,RawData[[Error Type ]],$Q$5))</f>
        <v/>
      </c>
    </row>
    <row r="6083" spans="15:15" x14ac:dyDescent="0.25">
      <c r="O6083" s="20" t="str">
        <f>IF(N6083="","",COUNTIFS(RawData[[Date ]],N6083,RawData[Month List],$Q$6,RawData[Tour/Site],$Q$2,RawData[[Picker ID ]],$Q$3,RawData[Checker ID],$Q$4,RawData[[Error Type ]],$Q$5))</f>
        <v/>
      </c>
    </row>
    <row r="6084" spans="15:15" x14ac:dyDescent="0.25">
      <c r="O6084" s="20" t="str">
        <f>IF(N6084="","",COUNTIFS(RawData[[Date ]],N6084,RawData[Month List],$Q$6,RawData[Tour/Site],$Q$2,RawData[[Picker ID ]],$Q$3,RawData[Checker ID],$Q$4,RawData[[Error Type ]],$Q$5))</f>
        <v/>
      </c>
    </row>
    <row r="6085" spans="15:15" x14ac:dyDescent="0.25">
      <c r="O6085" s="20" t="str">
        <f>IF(N6085="","",COUNTIFS(RawData[[Date ]],N6085,RawData[Month List],$Q$6,RawData[Tour/Site],$Q$2,RawData[[Picker ID ]],$Q$3,RawData[Checker ID],$Q$4,RawData[[Error Type ]],$Q$5))</f>
        <v/>
      </c>
    </row>
    <row r="6086" spans="15:15" x14ac:dyDescent="0.25">
      <c r="O6086" s="20" t="str">
        <f>IF(N6086="","",COUNTIFS(RawData[[Date ]],N6086,RawData[Month List],$Q$6,RawData[Tour/Site],$Q$2,RawData[[Picker ID ]],$Q$3,RawData[Checker ID],$Q$4,RawData[[Error Type ]],$Q$5))</f>
        <v/>
      </c>
    </row>
    <row r="6087" spans="15:15" x14ac:dyDescent="0.25">
      <c r="O6087" s="20" t="str">
        <f>IF(N6087="","",COUNTIFS(RawData[[Date ]],N6087,RawData[Month List],$Q$6,RawData[Tour/Site],$Q$2,RawData[[Picker ID ]],$Q$3,RawData[Checker ID],$Q$4,RawData[[Error Type ]],$Q$5))</f>
        <v/>
      </c>
    </row>
    <row r="6088" spans="15:15" x14ac:dyDescent="0.25">
      <c r="O6088" s="20" t="str">
        <f>IF(N6088="","",COUNTIFS(RawData[[Date ]],N6088,RawData[Month List],$Q$6,RawData[Tour/Site],$Q$2,RawData[[Picker ID ]],$Q$3,RawData[Checker ID],$Q$4,RawData[[Error Type ]],$Q$5))</f>
        <v/>
      </c>
    </row>
    <row r="6089" spans="15:15" x14ac:dyDescent="0.25">
      <c r="O6089" s="20" t="str">
        <f>IF(N6089="","",COUNTIFS(RawData[[Date ]],N6089,RawData[Month List],$Q$6,RawData[Tour/Site],$Q$2,RawData[[Picker ID ]],$Q$3,RawData[Checker ID],$Q$4,RawData[[Error Type ]],$Q$5))</f>
        <v/>
      </c>
    </row>
    <row r="6090" spans="15:15" x14ac:dyDescent="0.25">
      <c r="O6090" s="20" t="str">
        <f>IF(N6090="","",COUNTIFS(RawData[[Date ]],N6090,RawData[Month List],$Q$6,RawData[Tour/Site],$Q$2,RawData[[Picker ID ]],$Q$3,RawData[Checker ID],$Q$4,RawData[[Error Type ]],$Q$5))</f>
        <v/>
      </c>
    </row>
    <row r="6091" spans="15:15" x14ac:dyDescent="0.25">
      <c r="O6091" s="20" t="str">
        <f>IF(N6091="","",COUNTIFS(RawData[[Date ]],N6091,RawData[Month List],$Q$6,RawData[Tour/Site],$Q$2,RawData[[Picker ID ]],$Q$3,RawData[Checker ID],$Q$4,RawData[[Error Type ]],$Q$5))</f>
        <v/>
      </c>
    </row>
    <row r="6092" spans="15:15" x14ac:dyDescent="0.25">
      <c r="O6092" s="20" t="str">
        <f>IF(N6092="","",COUNTIFS(RawData[[Date ]],N6092,RawData[Month List],$Q$6,RawData[Tour/Site],$Q$2,RawData[[Picker ID ]],$Q$3,RawData[Checker ID],$Q$4,RawData[[Error Type ]],$Q$5))</f>
        <v/>
      </c>
    </row>
    <row r="6093" spans="15:15" x14ac:dyDescent="0.25">
      <c r="O6093" s="20" t="str">
        <f>IF(N6093="","",COUNTIFS(RawData[[Date ]],N6093,RawData[Month List],$Q$6,RawData[Tour/Site],$Q$2,RawData[[Picker ID ]],$Q$3,RawData[Checker ID],$Q$4,RawData[[Error Type ]],$Q$5))</f>
        <v/>
      </c>
    </row>
    <row r="6094" spans="15:15" x14ac:dyDescent="0.25">
      <c r="O6094" s="20" t="str">
        <f>IF(N6094="","",COUNTIFS(RawData[[Date ]],N6094,RawData[Month List],$Q$6,RawData[Tour/Site],$Q$2,RawData[[Picker ID ]],$Q$3,RawData[Checker ID],$Q$4,RawData[[Error Type ]],$Q$5))</f>
        <v/>
      </c>
    </row>
    <row r="6095" spans="15:15" x14ac:dyDescent="0.25">
      <c r="O6095" s="20" t="str">
        <f>IF(N6095="","",COUNTIFS(RawData[[Date ]],N6095,RawData[Month List],$Q$6,RawData[Tour/Site],$Q$2,RawData[[Picker ID ]],$Q$3,RawData[Checker ID],$Q$4,RawData[[Error Type ]],$Q$5))</f>
        <v/>
      </c>
    </row>
    <row r="6096" spans="15:15" x14ac:dyDescent="0.25">
      <c r="O6096" s="20" t="str">
        <f>IF(N6096="","",COUNTIFS(RawData[[Date ]],N6096,RawData[Month List],$Q$6,RawData[Tour/Site],$Q$2,RawData[[Picker ID ]],$Q$3,RawData[Checker ID],$Q$4,RawData[[Error Type ]],$Q$5))</f>
        <v/>
      </c>
    </row>
    <row r="6097" spans="15:15" x14ac:dyDescent="0.25">
      <c r="O6097" s="20" t="str">
        <f>IF(N6097="","",COUNTIFS(RawData[[Date ]],N6097,RawData[Month List],$Q$6,RawData[Tour/Site],$Q$2,RawData[[Picker ID ]],$Q$3,RawData[Checker ID],$Q$4,RawData[[Error Type ]],$Q$5))</f>
        <v/>
      </c>
    </row>
    <row r="6098" spans="15:15" x14ac:dyDescent="0.25">
      <c r="O6098" s="20" t="str">
        <f>IF(N6098="","",COUNTIFS(RawData[[Date ]],N6098,RawData[Month List],$Q$6,RawData[Tour/Site],$Q$2,RawData[[Picker ID ]],$Q$3,RawData[Checker ID],$Q$4,RawData[[Error Type ]],$Q$5))</f>
        <v/>
      </c>
    </row>
    <row r="6099" spans="15:15" x14ac:dyDescent="0.25">
      <c r="O6099" s="20" t="str">
        <f>IF(N6099="","",COUNTIFS(RawData[[Date ]],N6099,RawData[Month List],$Q$6,RawData[Tour/Site],$Q$2,RawData[[Picker ID ]],$Q$3,RawData[Checker ID],$Q$4,RawData[[Error Type ]],$Q$5))</f>
        <v/>
      </c>
    </row>
    <row r="6100" spans="15:15" x14ac:dyDescent="0.25">
      <c r="O6100" s="20" t="str">
        <f>IF(N6100="","",COUNTIFS(RawData[[Date ]],N6100,RawData[Month List],$Q$6,RawData[Tour/Site],$Q$2,RawData[[Picker ID ]],$Q$3,RawData[Checker ID],$Q$4,RawData[[Error Type ]],$Q$5))</f>
        <v/>
      </c>
    </row>
    <row r="6101" spans="15:15" x14ac:dyDescent="0.25">
      <c r="O6101" s="20" t="str">
        <f>IF(N6101="","",COUNTIFS(RawData[[Date ]],N6101,RawData[Month List],$Q$6,RawData[Tour/Site],$Q$2,RawData[[Picker ID ]],$Q$3,RawData[Checker ID],$Q$4,RawData[[Error Type ]],$Q$5))</f>
        <v/>
      </c>
    </row>
    <row r="6102" spans="15:15" x14ac:dyDescent="0.25">
      <c r="O6102" s="20" t="str">
        <f>IF(N6102="","",COUNTIFS(RawData[[Date ]],N6102,RawData[Month List],$Q$6,RawData[Tour/Site],$Q$2,RawData[[Picker ID ]],$Q$3,RawData[Checker ID],$Q$4,RawData[[Error Type ]],$Q$5))</f>
        <v/>
      </c>
    </row>
    <row r="6103" spans="15:15" x14ac:dyDescent="0.25">
      <c r="O6103" s="20" t="str">
        <f>IF(N6103="","",COUNTIFS(RawData[[Date ]],N6103,RawData[Month List],$Q$6,RawData[Tour/Site],$Q$2,RawData[[Picker ID ]],$Q$3,RawData[Checker ID],$Q$4,RawData[[Error Type ]],$Q$5))</f>
        <v/>
      </c>
    </row>
    <row r="6104" spans="15:15" x14ac:dyDescent="0.25">
      <c r="O6104" s="20" t="str">
        <f>IF(N6104="","",COUNTIFS(RawData[[Date ]],N6104,RawData[Month List],$Q$6,RawData[Tour/Site],$Q$2,RawData[[Picker ID ]],$Q$3,RawData[Checker ID],$Q$4,RawData[[Error Type ]],$Q$5))</f>
        <v/>
      </c>
    </row>
    <row r="6105" spans="15:15" x14ac:dyDescent="0.25">
      <c r="O6105" s="20" t="str">
        <f>IF(N6105="","",COUNTIFS(RawData[[Date ]],N6105,RawData[Month List],$Q$6,RawData[Tour/Site],$Q$2,RawData[[Picker ID ]],$Q$3,RawData[Checker ID],$Q$4,RawData[[Error Type ]],$Q$5))</f>
        <v/>
      </c>
    </row>
    <row r="6106" spans="15:15" x14ac:dyDescent="0.25">
      <c r="O6106" s="20" t="str">
        <f>IF(N6106="","",COUNTIFS(RawData[[Date ]],N6106,RawData[Month List],$Q$6,RawData[Tour/Site],$Q$2,RawData[[Picker ID ]],$Q$3,RawData[Checker ID],$Q$4,RawData[[Error Type ]],$Q$5))</f>
        <v/>
      </c>
    </row>
    <row r="6107" spans="15:15" x14ac:dyDescent="0.25">
      <c r="O6107" s="20" t="str">
        <f>IF(N6107="","",COUNTIFS(RawData[[Date ]],N6107,RawData[Month List],$Q$6,RawData[Tour/Site],$Q$2,RawData[[Picker ID ]],$Q$3,RawData[Checker ID],$Q$4,RawData[[Error Type ]],$Q$5))</f>
        <v/>
      </c>
    </row>
    <row r="6108" spans="15:15" x14ac:dyDescent="0.25">
      <c r="O6108" s="20" t="str">
        <f>IF(N6108="","",COUNTIFS(RawData[[Date ]],N6108,RawData[Month List],$Q$6,RawData[Tour/Site],$Q$2,RawData[[Picker ID ]],$Q$3,RawData[Checker ID],$Q$4,RawData[[Error Type ]],$Q$5))</f>
        <v/>
      </c>
    </row>
    <row r="6109" spans="15:15" x14ac:dyDescent="0.25">
      <c r="O6109" s="20" t="str">
        <f>IF(N6109="","",COUNTIFS(RawData[[Date ]],N6109,RawData[Month List],$Q$6,RawData[Tour/Site],$Q$2,RawData[[Picker ID ]],$Q$3,RawData[Checker ID],$Q$4,RawData[[Error Type ]],$Q$5))</f>
        <v/>
      </c>
    </row>
    <row r="6110" spans="15:15" x14ac:dyDescent="0.25">
      <c r="O6110" s="20" t="str">
        <f>IF(N6110="","",COUNTIFS(RawData[[Date ]],N6110,RawData[Month List],$Q$6,RawData[Tour/Site],$Q$2,RawData[[Picker ID ]],$Q$3,RawData[Checker ID],$Q$4,RawData[[Error Type ]],$Q$5))</f>
        <v/>
      </c>
    </row>
    <row r="6111" spans="15:15" x14ac:dyDescent="0.25">
      <c r="O6111" s="20" t="str">
        <f>IF(N6111="","",COUNTIFS(RawData[[Date ]],N6111,RawData[Month List],$Q$6,RawData[Tour/Site],$Q$2,RawData[[Picker ID ]],$Q$3,RawData[Checker ID],$Q$4,RawData[[Error Type ]],$Q$5))</f>
        <v/>
      </c>
    </row>
    <row r="6112" spans="15:15" x14ac:dyDescent="0.25">
      <c r="O6112" s="20" t="str">
        <f>IF(N6112="","",COUNTIFS(RawData[[Date ]],N6112,RawData[Month List],$Q$6,RawData[Tour/Site],$Q$2,RawData[[Picker ID ]],$Q$3,RawData[Checker ID],$Q$4,RawData[[Error Type ]],$Q$5))</f>
        <v/>
      </c>
    </row>
    <row r="6113" spans="15:15" x14ac:dyDescent="0.25">
      <c r="O6113" s="20" t="str">
        <f>IF(N6113="","",COUNTIFS(RawData[[Date ]],N6113,RawData[Month List],$Q$6,RawData[Tour/Site],$Q$2,RawData[[Picker ID ]],$Q$3,RawData[Checker ID],$Q$4,RawData[[Error Type ]],$Q$5))</f>
        <v/>
      </c>
    </row>
    <row r="6114" spans="15:15" x14ac:dyDescent="0.25">
      <c r="O6114" s="20" t="str">
        <f>IF(N6114="","",COUNTIFS(RawData[[Date ]],N6114,RawData[Month List],$Q$6,RawData[Tour/Site],$Q$2,RawData[[Picker ID ]],$Q$3,RawData[Checker ID],$Q$4,RawData[[Error Type ]],$Q$5))</f>
        <v/>
      </c>
    </row>
    <row r="6115" spans="15:15" x14ac:dyDescent="0.25">
      <c r="O6115" s="20" t="str">
        <f>IF(N6115="","",COUNTIFS(RawData[[Date ]],N6115,RawData[Month List],$Q$6,RawData[Tour/Site],$Q$2,RawData[[Picker ID ]],$Q$3,RawData[Checker ID],$Q$4,RawData[[Error Type ]],$Q$5))</f>
        <v/>
      </c>
    </row>
    <row r="6116" spans="15:15" x14ac:dyDescent="0.25">
      <c r="O6116" s="20" t="str">
        <f>IF(N6116="","",COUNTIFS(RawData[[Date ]],N6116,RawData[Month List],$Q$6,RawData[Tour/Site],$Q$2,RawData[[Picker ID ]],$Q$3,RawData[Checker ID],$Q$4,RawData[[Error Type ]],$Q$5))</f>
        <v/>
      </c>
    </row>
    <row r="6117" spans="15:15" x14ac:dyDescent="0.25">
      <c r="O6117" s="20" t="str">
        <f>IF(N6117="","",COUNTIFS(RawData[[Date ]],N6117,RawData[Month List],$Q$6,RawData[Tour/Site],$Q$2,RawData[[Picker ID ]],$Q$3,RawData[Checker ID],$Q$4,RawData[[Error Type ]],$Q$5))</f>
        <v/>
      </c>
    </row>
    <row r="6118" spans="15:15" x14ac:dyDescent="0.25">
      <c r="O6118" s="20" t="str">
        <f>IF(N6118="","",COUNTIFS(RawData[[Date ]],N6118,RawData[Month List],$Q$6,RawData[Tour/Site],$Q$2,RawData[[Picker ID ]],$Q$3,RawData[Checker ID],$Q$4,RawData[[Error Type ]],$Q$5))</f>
        <v/>
      </c>
    </row>
    <row r="6119" spans="15:15" x14ac:dyDescent="0.25">
      <c r="O6119" s="20" t="str">
        <f>IF(N6119="","",COUNTIFS(RawData[[Date ]],N6119,RawData[Month List],$Q$6,RawData[Tour/Site],$Q$2,RawData[[Picker ID ]],$Q$3,RawData[Checker ID],$Q$4,RawData[[Error Type ]],$Q$5))</f>
        <v/>
      </c>
    </row>
    <row r="6120" spans="15:15" x14ac:dyDescent="0.25">
      <c r="O6120" s="20" t="str">
        <f>IF(N6120="","",COUNTIFS(RawData[[Date ]],N6120,RawData[Month List],$Q$6,RawData[Tour/Site],$Q$2,RawData[[Picker ID ]],$Q$3,RawData[Checker ID],$Q$4,RawData[[Error Type ]],$Q$5))</f>
        <v/>
      </c>
    </row>
    <row r="6121" spans="15:15" x14ac:dyDescent="0.25">
      <c r="O6121" s="20" t="str">
        <f>IF(N6121="","",COUNTIFS(RawData[[Date ]],N6121,RawData[Month List],$Q$6,RawData[Tour/Site],$Q$2,RawData[[Picker ID ]],$Q$3,RawData[Checker ID],$Q$4,RawData[[Error Type ]],$Q$5))</f>
        <v/>
      </c>
    </row>
    <row r="6122" spans="15:15" x14ac:dyDescent="0.25">
      <c r="O6122" s="20" t="str">
        <f>IF(N6122="","",COUNTIFS(RawData[[Date ]],N6122,RawData[Month List],$Q$6,RawData[Tour/Site],$Q$2,RawData[[Picker ID ]],$Q$3,RawData[Checker ID],$Q$4,RawData[[Error Type ]],$Q$5))</f>
        <v/>
      </c>
    </row>
    <row r="6123" spans="15:15" x14ac:dyDescent="0.25">
      <c r="O6123" s="20" t="str">
        <f>IF(N6123="","",COUNTIFS(RawData[[Date ]],N6123,RawData[Month List],$Q$6,RawData[Tour/Site],$Q$2,RawData[[Picker ID ]],$Q$3,RawData[Checker ID],$Q$4,RawData[[Error Type ]],$Q$5))</f>
        <v/>
      </c>
    </row>
    <row r="6124" spans="15:15" x14ac:dyDescent="0.25">
      <c r="O6124" s="20" t="str">
        <f>IF(N6124="","",COUNTIFS(RawData[[Date ]],N6124,RawData[Month List],$Q$6,RawData[Tour/Site],$Q$2,RawData[[Picker ID ]],$Q$3,RawData[Checker ID],$Q$4,RawData[[Error Type ]],$Q$5))</f>
        <v/>
      </c>
    </row>
    <row r="6125" spans="15:15" x14ac:dyDescent="0.25">
      <c r="O6125" s="20" t="str">
        <f>IF(N6125="","",COUNTIFS(RawData[[Date ]],N6125,RawData[Month List],$Q$6,RawData[Tour/Site],$Q$2,RawData[[Picker ID ]],$Q$3,RawData[Checker ID],$Q$4,RawData[[Error Type ]],$Q$5))</f>
        <v/>
      </c>
    </row>
    <row r="6126" spans="15:15" x14ac:dyDescent="0.25">
      <c r="O6126" s="20" t="str">
        <f>IF(N6126="","",COUNTIFS(RawData[[Date ]],N6126,RawData[Month List],$Q$6,RawData[Tour/Site],$Q$2,RawData[[Picker ID ]],$Q$3,RawData[Checker ID],$Q$4,RawData[[Error Type ]],$Q$5))</f>
        <v/>
      </c>
    </row>
    <row r="6127" spans="15:15" x14ac:dyDescent="0.25">
      <c r="O6127" s="20" t="str">
        <f>IF(N6127="","",COUNTIFS(RawData[[Date ]],N6127,RawData[Month List],$Q$6,RawData[Tour/Site],$Q$2,RawData[[Picker ID ]],$Q$3,RawData[Checker ID],$Q$4,RawData[[Error Type ]],$Q$5))</f>
        <v/>
      </c>
    </row>
    <row r="6128" spans="15:15" x14ac:dyDescent="0.25">
      <c r="O6128" s="20" t="str">
        <f>IF(N6128="","",COUNTIFS(RawData[[Date ]],N6128,RawData[Month List],$Q$6,RawData[Tour/Site],$Q$2,RawData[[Picker ID ]],$Q$3,RawData[Checker ID],$Q$4,RawData[[Error Type ]],$Q$5))</f>
        <v/>
      </c>
    </row>
    <row r="6129" spans="15:15" x14ac:dyDescent="0.25">
      <c r="O6129" s="20" t="str">
        <f>IF(N6129="","",COUNTIFS(RawData[[Date ]],N6129,RawData[Month List],$Q$6,RawData[Tour/Site],$Q$2,RawData[[Picker ID ]],$Q$3,RawData[Checker ID],$Q$4,RawData[[Error Type ]],$Q$5))</f>
        <v/>
      </c>
    </row>
    <row r="6130" spans="15:15" x14ac:dyDescent="0.25">
      <c r="O6130" s="20" t="str">
        <f>IF(N6130="","",COUNTIFS(RawData[[Date ]],N6130,RawData[Month List],$Q$6,RawData[Tour/Site],$Q$2,RawData[[Picker ID ]],$Q$3,RawData[Checker ID],$Q$4,RawData[[Error Type ]],$Q$5))</f>
        <v/>
      </c>
    </row>
    <row r="6131" spans="15:15" x14ac:dyDescent="0.25">
      <c r="O6131" s="20" t="str">
        <f>IF(N6131="","",COUNTIFS(RawData[[Date ]],N6131,RawData[Month List],$Q$6,RawData[Tour/Site],$Q$2,RawData[[Picker ID ]],$Q$3,RawData[Checker ID],$Q$4,RawData[[Error Type ]],$Q$5))</f>
        <v/>
      </c>
    </row>
    <row r="6132" spans="15:15" x14ac:dyDescent="0.25">
      <c r="O6132" s="20" t="str">
        <f>IF(N6132="","",COUNTIFS(RawData[[Date ]],N6132,RawData[Month List],$Q$6,RawData[Tour/Site],$Q$2,RawData[[Picker ID ]],$Q$3,RawData[Checker ID],$Q$4,RawData[[Error Type ]],$Q$5))</f>
        <v/>
      </c>
    </row>
    <row r="6133" spans="15:15" x14ac:dyDescent="0.25">
      <c r="O6133" s="20" t="str">
        <f>IF(N6133="","",COUNTIFS(RawData[[Date ]],N6133,RawData[Month List],$Q$6,RawData[Tour/Site],$Q$2,RawData[[Picker ID ]],$Q$3,RawData[Checker ID],$Q$4,RawData[[Error Type ]],$Q$5))</f>
        <v/>
      </c>
    </row>
    <row r="6134" spans="15:15" x14ac:dyDescent="0.25">
      <c r="O6134" s="20" t="str">
        <f>IF(N6134="","",COUNTIFS(RawData[[Date ]],N6134,RawData[Month List],$Q$6,RawData[Tour/Site],$Q$2,RawData[[Picker ID ]],$Q$3,RawData[Checker ID],$Q$4,RawData[[Error Type ]],$Q$5))</f>
        <v/>
      </c>
    </row>
    <row r="6135" spans="15:15" x14ac:dyDescent="0.25">
      <c r="O6135" s="20" t="str">
        <f>IF(N6135="","",COUNTIFS(RawData[[Date ]],N6135,RawData[Month List],$Q$6,RawData[Tour/Site],$Q$2,RawData[[Picker ID ]],$Q$3,RawData[Checker ID],$Q$4,RawData[[Error Type ]],$Q$5))</f>
        <v/>
      </c>
    </row>
    <row r="6136" spans="15:15" x14ac:dyDescent="0.25">
      <c r="O6136" s="20" t="str">
        <f>IF(N6136="","",COUNTIFS(RawData[[Date ]],N6136,RawData[Month List],$Q$6,RawData[Tour/Site],$Q$2,RawData[[Picker ID ]],$Q$3,RawData[Checker ID],$Q$4,RawData[[Error Type ]],$Q$5))</f>
        <v/>
      </c>
    </row>
    <row r="6137" spans="15:15" x14ac:dyDescent="0.25">
      <c r="O6137" s="20" t="str">
        <f>IF(N6137="","",COUNTIFS(RawData[[Date ]],N6137,RawData[Month List],$Q$6,RawData[Tour/Site],$Q$2,RawData[[Picker ID ]],$Q$3,RawData[Checker ID],$Q$4,RawData[[Error Type ]],$Q$5))</f>
        <v/>
      </c>
    </row>
    <row r="6138" spans="15:15" x14ac:dyDescent="0.25">
      <c r="O6138" s="20" t="str">
        <f>IF(N6138="","",COUNTIFS(RawData[[Date ]],N6138,RawData[Month List],$Q$6,RawData[Tour/Site],$Q$2,RawData[[Picker ID ]],$Q$3,RawData[Checker ID],$Q$4,RawData[[Error Type ]],$Q$5))</f>
        <v/>
      </c>
    </row>
    <row r="6139" spans="15:15" x14ac:dyDescent="0.25">
      <c r="O6139" s="20" t="str">
        <f>IF(N6139="","",COUNTIFS(RawData[[Date ]],N6139,RawData[Month List],$Q$6,RawData[Tour/Site],$Q$2,RawData[[Picker ID ]],$Q$3,RawData[Checker ID],$Q$4,RawData[[Error Type ]],$Q$5))</f>
        <v/>
      </c>
    </row>
    <row r="6140" spans="15:15" x14ac:dyDescent="0.25">
      <c r="O6140" s="20" t="str">
        <f>IF(N6140="","",COUNTIFS(RawData[[Date ]],N6140,RawData[Month List],$Q$6,RawData[Tour/Site],$Q$2,RawData[[Picker ID ]],$Q$3,RawData[Checker ID],$Q$4,RawData[[Error Type ]],$Q$5))</f>
        <v/>
      </c>
    </row>
    <row r="6141" spans="15:15" x14ac:dyDescent="0.25">
      <c r="O6141" s="20" t="str">
        <f>IF(N6141="","",COUNTIFS(RawData[[Date ]],N6141,RawData[Month List],$Q$6,RawData[Tour/Site],$Q$2,RawData[[Picker ID ]],$Q$3,RawData[Checker ID],$Q$4,RawData[[Error Type ]],$Q$5))</f>
        <v/>
      </c>
    </row>
    <row r="6142" spans="15:15" x14ac:dyDescent="0.25">
      <c r="O6142" s="20" t="str">
        <f>IF(N6142="","",COUNTIFS(RawData[[Date ]],N6142,RawData[Month List],$Q$6,RawData[Tour/Site],$Q$2,RawData[[Picker ID ]],$Q$3,RawData[Checker ID],$Q$4,RawData[[Error Type ]],$Q$5))</f>
        <v/>
      </c>
    </row>
    <row r="6143" spans="15:15" x14ac:dyDescent="0.25">
      <c r="O6143" s="20" t="str">
        <f>IF(N6143="","",COUNTIFS(RawData[[Date ]],N6143,RawData[Month List],$Q$6,RawData[Tour/Site],$Q$2,RawData[[Picker ID ]],$Q$3,RawData[Checker ID],$Q$4,RawData[[Error Type ]],$Q$5))</f>
        <v/>
      </c>
    </row>
    <row r="6144" spans="15:15" x14ac:dyDescent="0.25">
      <c r="O6144" s="20" t="str">
        <f>IF(N6144="","",COUNTIFS(RawData[[Date ]],N6144,RawData[Month List],$Q$6,RawData[Tour/Site],$Q$2,RawData[[Picker ID ]],$Q$3,RawData[Checker ID],$Q$4,RawData[[Error Type ]],$Q$5))</f>
        <v/>
      </c>
    </row>
    <row r="6145" spans="15:15" x14ac:dyDescent="0.25">
      <c r="O6145" s="20" t="str">
        <f>IF(N6145="","",COUNTIFS(RawData[[Date ]],N6145,RawData[Month List],$Q$6,RawData[Tour/Site],$Q$2,RawData[[Picker ID ]],$Q$3,RawData[Checker ID],$Q$4,RawData[[Error Type ]],$Q$5))</f>
        <v/>
      </c>
    </row>
    <row r="6146" spans="15:15" x14ac:dyDescent="0.25">
      <c r="O6146" s="20" t="str">
        <f>IF(N6146="","",COUNTIFS(RawData[[Date ]],N6146,RawData[Month List],$Q$6,RawData[Tour/Site],$Q$2,RawData[[Picker ID ]],$Q$3,RawData[Checker ID],$Q$4,RawData[[Error Type ]],$Q$5))</f>
        <v/>
      </c>
    </row>
    <row r="6147" spans="15:15" x14ac:dyDescent="0.25">
      <c r="O6147" s="20" t="str">
        <f>IF(N6147="","",COUNTIFS(RawData[[Date ]],N6147,RawData[Month List],$Q$6,RawData[Tour/Site],$Q$2,RawData[[Picker ID ]],$Q$3,RawData[Checker ID],$Q$4,RawData[[Error Type ]],$Q$5))</f>
        <v/>
      </c>
    </row>
    <row r="6148" spans="15:15" x14ac:dyDescent="0.25">
      <c r="O6148" s="20" t="str">
        <f>IF(N6148="","",COUNTIFS(RawData[[Date ]],N6148,RawData[Month List],$Q$6,RawData[Tour/Site],$Q$2,RawData[[Picker ID ]],$Q$3,RawData[Checker ID],$Q$4,RawData[[Error Type ]],$Q$5))</f>
        <v/>
      </c>
    </row>
    <row r="6149" spans="15:15" x14ac:dyDescent="0.25">
      <c r="O6149" s="20" t="str">
        <f>IF(N6149="","",COUNTIFS(RawData[[Date ]],N6149,RawData[Month List],$Q$6,RawData[Tour/Site],$Q$2,RawData[[Picker ID ]],$Q$3,RawData[Checker ID],$Q$4,RawData[[Error Type ]],$Q$5))</f>
        <v/>
      </c>
    </row>
    <row r="6150" spans="15:15" x14ac:dyDescent="0.25">
      <c r="O6150" s="20" t="str">
        <f>IF(N6150="","",COUNTIFS(RawData[[Date ]],N6150,RawData[Month List],$Q$6,RawData[Tour/Site],$Q$2,RawData[[Picker ID ]],$Q$3,RawData[Checker ID],$Q$4,RawData[[Error Type ]],$Q$5))</f>
        <v/>
      </c>
    </row>
    <row r="6151" spans="15:15" x14ac:dyDescent="0.25">
      <c r="O6151" s="20" t="str">
        <f>IF(N6151="","",COUNTIFS(RawData[[Date ]],N6151,RawData[Month List],$Q$6,RawData[Tour/Site],$Q$2,RawData[[Picker ID ]],$Q$3,RawData[Checker ID],$Q$4,RawData[[Error Type ]],$Q$5))</f>
        <v/>
      </c>
    </row>
    <row r="6152" spans="15:15" x14ac:dyDescent="0.25">
      <c r="O6152" s="20" t="str">
        <f>IF(N6152="","",COUNTIFS(RawData[[Date ]],N6152,RawData[Month List],$Q$6,RawData[Tour/Site],$Q$2,RawData[[Picker ID ]],$Q$3,RawData[Checker ID],$Q$4,RawData[[Error Type ]],$Q$5))</f>
        <v/>
      </c>
    </row>
    <row r="6153" spans="15:15" x14ac:dyDescent="0.25">
      <c r="O6153" s="20" t="str">
        <f>IF(N6153="","",COUNTIFS(RawData[[Date ]],N6153,RawData[Month List],$Q$6,RawData[Tour/Site],$Q$2,RawData[[Picker ID ]],$Q$3,RawData[Checker ID],$Q$4,RawData[[Error Type ]],$Q$5))</f>
        <v/>
      </c>
    </row>
    <row r="6154" spans="15:15" x14ac:dyDescent="0.25">
      <c r="O6154" s="20" t="str">
        <f>IF(N6154="","",COUNTIFS(RawData[[Date ]],N6154,RawData[Month List],$Q$6,RawData[Tour/Site],$Q$2,RawData[[Picker ID ]],$Q$3,RawData[Checker ID],$Q$4,RawData[[Error Type ]],$Q$5))</f>
        <v/>
      </c>
    </row>
    <row r="6155" spans="15:15" x14ac:dyDescent="0.25">
      <c r="O6155" s="20" t="str">
        <f>IF(N6155="","",COUNTIFS(RawData[[Date ]],N6155,RawData[Month List],$Q$6,RawData[Tour/Site],$Q$2,RawData[[Picker ID ]],$Q$3,RawData[Checker ID],$Q$4,RawData[[Error Type ]],$Q$5))</f>
        <v/>
      </c>
    </row>
    <row r="6156" spans="15:15" x14ac:dyDescent="0.25">
      <c r="O6156" s="20" t="str">
        <f>IF(N6156="","",COUNTIFS(RawData[[Date ]],N6156,RawData[Month List],$Q$6,RawData[Tour/Site],$Q$2,RawData[[Picker ID ]],$Q$3,RawData[Checker ID],$Q$4,RawData[[Error Type ]],$Q$5))</f>
        <v/>
      </c>
    </row>
    <row r="6157" spans="15:15" x14ac:dyDescent="0.25">
      <c r="O6157" s="20" t="str">
        <f>IF(N6157="","",COUNTIFS(RawData[[Date ]],N6157,RawData[Month List],$Q$6,RawData[Tour/Site],$Q$2,RawData[[Picker ID ]],$Q$3,RawData[Checker ID],$Q$4,RawData[[Error Type ]],$Q$5))</f>
        <v/>
      </c>
    </row>
    <row r="6158" spans="15:15" x14ac:dyDescent="0.25">
      <c r="O6158" s="20" t="str">
        <f>IF(N6158="","",COUNTIFS(RawData[[Date ]],N6158,RawData[Month List],$Q$6,RawData[Tour/Site],$Q$2,RawData[[Picker ID ]],$Q$3,RawData[Checker ID],$Q$4,RawData[[Error Type ]],$Q$5))</f>
        <v/>
      </c>
    </row>
    <row r="6159" spans="15:15" x14ac:dyDescent="0.25">
      <c r="O6159" s="20" t="str">
        <f>IF(N6159="","",COUNTIFS(RawData[[Date ]],N6159,RawData[Month List],$Q$6,RawData[Tour/Site],$Q$2,RawData[[Picker ID ]],$Q$3,RawData[Checker ID],$Q$4,RawData[[Error Type ]],$Q$5))</f>
        <v/>
      </c>
    </row>
    <row r="6160" spans="15:15" x14ac:dyDescent="0.25">
      <c r="O6160" s="20" t="str">
        <f>IF(N6160="","",COUNTIFS(RawData[[Date ]],N6160,RawData[Month List],$Q$6,RawData[Tour/Site],$Q$2,RawData[[Picker ID ]],$Q$3,RawData[Checker ID],$Q$4,RawData[[Error Type ]],$Q$5))</f>
        <v/>
      </c>
    </row>
    <row r="6161" spans="15:15" x14ac:dyDescent="0.25">
      <c r="O6161" s="20" t="str">
        <f>IF(N6161="","",COUNTIFS(RawData[[Date ]],N6161,RawData[Month List],$Q$6,RawData[Tour/Site],$Q$2,RawData[[Picker ID ]],$Q$3,RawData[Checker ID],$Q$4,RawData[[Error Type ]],$Q$5))</f>
        <v/>
      </c>
    </row>
    <row r="6162" spans="15:15" x14ac:dyDescent="0.25">
      <c r="O6162" s="20" t="str">
        <f>IF(N6162="","",COUNTIFS(RawData[[Date ]],N6162,RawData[Month List],$Q$6,RawData[Tour/Site],$Q$2,RawData[[Picker ID ]],$Q$3,RawData[Checker ID],$Q$4,RawData[[Error Type ]],$Q$5))</f>
        <v/>
      </c>
    </row>
    <row r="6163" spans="15:15" x14ac:dyDescent="0.25">
      <c r="O6163" s="20" t="str">
        <f>IF(N6163="","",COUNTIFS(RawData[[Date ]],N6163,RawData[Month List],$Q$6,RawData[Tour/Site],$Q$2,RawData[[Picker ID ]],$Q$3,RawData[Checker ID],$Q$4,RawData[[Error Type ]],$Q$5))</f>
        <v/>
      </c>
    </row>
    <row r="6164" spans="15:15" x14ac:dyDescent="0.25">
      <c r="O6164" s="20" t="str">
        <f>IF(N6164="","",COUNTIFS(RawData[[Date ]],N6164,RawData[Month List],$Q$6,RawData[Tour/Site],$Q$2,RawData[[Picker ID ]],$Q$3,RawData[Checker ID],$Q$4,RawData[[Error Type ]],$Q$5))</f>
        <v/>
      </c>
    </row>
    <row r="6165" spans="15:15" x14ac:dyDescent="0.25">
      <c r="O6165" s="20" t="str">
        <f>IF(N6165="","",COUNTIFS(RawData[[Date ]],N6165,RawData[Month List],$Q$6,RawData[Tour/Site],$Q$2,RawData[[Picker ID ]],$Q$3,RawData[Checker ID],$Q$4,RawData[[Error Type ]],$Q$5))</f>
        <v/>
      </c>
    </row>
    <row r="6166" spans="15:15" x14ac:dyDescent="0.25">
      <c r="O6166" s="20" t="str">
        <f>IF(N6166="","",COUNTIFS(RawData[[Date ]],N6166,RawData[Month List],$Q$6,RawData[Tour/Site],$Q$2,RawData[[Picker ID ]],$Q$3,RawData[Checker ID],$Q$4,RawData[[Error Type ]],$Q$5))</f>
        <v/>
      </c>
    </row>
    <row r="6167" spans="15:15" x14ac:dyDescent="0.25">
      <c r="O6167" s="20" t="str">
        <f>IF(N6167="","",COUNTIFS(RawData[[Date ]],N6167,RawData[Month List],$Q$6,RawData[Tour/Site],$Q$2,RawData[[Picker ID ]],$Q$3,RawData[Checker ID],$Q$4,RawData[[Error Type ]],$Q$5))</f>
        <v/>
      </c>
    </row>
    <row r="6168" spans="15:15" x14ac:dyDescent="0.25">
      <c r="O6168" s="20" t="str">
        <f>IF(N6168="","",COUNTIFS(RawData[[Date ]],N6168,RawData[Month List],$Q$6,RawData[Tour/Site],$Q$2,RawData[[Picker ID ]],$Q$3,RawData[Checker ID],$Q$4,RawData[[Error Type ]],$Q$5))</f>
        <v/>
      </c>
    </row>
    <row r="6169" spans="15:15" x14ac:dyDescent="0.25">
      <c r="O6169" s="20" t="str">
        <f>IF(N6169="","",COUNTIFS(RawData[[Date ]],N6169,RawData[Month List],$Q$6,RawData[Tour/Site],$Q$2,RawData[[Picker ID ]],$Q$3,RawData[Checker ID],$Q$4,RawData[[Error Type ]],$Q$5))</f>
        <v/>
      </c>
    </row>
    <row r="6170" spans="15:15" x14ac:dyDescent="0.25">
      <c r="O6170" s="20" t="str">
        <f>IF(N6170="","",COUNTIFS(RawData[[Date ]],N6170,RawData[Month List],$Q$6,RawData[Tour/Site],$Q$2,RawData[[Picker ID ]],$Q$3,RawData[Checker ID],$Q$4,RawData[[Error Type ]],$Q$5))</f>
        <v/>
      </c>
    </row>
    <row r="6171" spans="15:15" x14ac:dyDescent="0.25">
      <c r="O6171" s="20" t="str">
        <f>IF(N6171="","",COUNTIFS(RawData[[Date ]],N6171,RawData[Month List],$Q$6,RawData[Tour/Site],$Q$2,RawData[[Picker ID ]],$Q$3,RawData[Checker ID],$Q$4,RawData[[Error Type ]],$Q$5))</f>
        <v/>
      </c>
    </row>
    <row r="6172" spans="15:15" x14ac:dyDescent="0.25">
      <c r="O6172" s="20" t="str">
        <f>IF(N6172="","",COUNTIFS(RawData[[Date ]],N6172,RawData[Month List],$Q$6,RawData[Tour/Site],$Q$2,RawData[[Picker ID ]],$Q$3,RawData[Checker ID],$Q$4,RawData[[Error Type ]],$Q$5))</f>
        <v/>
      </c>
    </row>
    <row r="6173" spans="15:15" x14ac:dyDescent="0.25">
      <c r="O6173" s="20" t="str">
        <f>IF(N6173="","",COUNTIFS(RawData[[Date ]],N6173,RawData[Month List],$Q$6,RawData[Tour/Site],$Q$2,RawData[[Picker ID ]],$Q$3,RawData[Checker ID],$Q$4,RawData[[Error Type ]],$Q$5))</f>
        <v/>
      </c>
    </row>
    <row r="6174" spans="15:15" x14ac:dyDescent="0.25">
      <c r="O6174" s="20" t="str">
        <f>IF(N6174="","",COUNTIFS(RawData[[Date ]],N6174,RawData[Month List],$Q$6,RawData[Tour/Site],$Q$2,RawData[[Picker ID ]],$Q$3,RawData[Checker ID],$Q$4,RawData[[Error Type ]],$Q$5))</f>
        <v/>
      </c>
    </row>
    <row r="6175" spans="15:15" x14ac:dyDescent="0.25">
      <c r="O6175" s="20" t="str">
        <f>IF(N6175="","",COUNTIFS(RawData[[Date ]],N6175,RawData[Month List],$Q$6,RawData[Tour/Site],$Q$2,RawData[[Picker ID ]],$Q$3,RawData[Checker ID],$Q$4,RawData[[Error Type ]],$Q$5))</f>
        <v/>
      </c>
    </row>
    <row r="6176" spans="15:15" x14ac:dyDescent="0.25">
      <c r="O6176" s="20" t="str">
        <f>IF(N6176="","",COUNTIFS(RawData[[Date ]],N6176,RawData[Month List],$Q$6,RawData[Tour/Site],$Q$2,RawData[[Picker ID ]],$Q$3,RawData[Checker ID],$Q$4,RawData[[Error Type ]],$Q$5))</f>
        <v/>
      </c>
    </row>
    <row r="6177" spans="15:15" x14ac:dyDescent="0.25">
      <c r="O6177" s="20" t="str">
        <f>IF(N6177="","",COUNTIFS(RawData[[Date ]],N6177,RawData[Month List],$Q$6,RawData[Tour/Site],$Q$2,RawData[[Picker ID ]],$Q$3,RawData[Checker ID],$Q$4,RawData[[Error Type ]],$Q$5))</f>
        <v/>
      </c>
    </row>
    <row r="6178" spans="15:15" x14ac:dyDescent="0.25">
      <c r="O6178" s="20" t="str">
        <f>IF(N6178="","",COUNTIFS(RawData[[Date ]],N6178,RawData[Month List],$Q$6,RawData[Tour/Site],$Q$2,RawData[[Picker ID ]],$Q$3,RawData[Checker ID],$Q$4,RawData[[Error Type ]],$Q$5))</f>
        <v/>
      </c>
    </row>
    <row r="6179" spans="15:15" x14ac:dyDescent="0.25">
      <c r="O6179" s="20" t="str">
        <f>IF(N6179="","",COUNTIFS(RawData[[Date ]],N6179,RawData[Month List],$Q$6,RawData[Tour/Site],$Q$2,RawData[[Picker ID ]],$Q$3,RawData[Checker ID],$Q$4,RawData[[Error Type ]],$Q$5))</f>
        <v/>
      </c>
    </row>
    <row r="6180" spans="15:15" x14ac:dyDescent="0.25">
      <c r="O6180" s="20" t="str">
        <f>IF(N6180="","",COUNTIFS(RawData[[Date ]],N6180,RawData[Month List],$Q$6,RawData[Tour/Site],$Q$2,RawData[[Picker ID ]],$Q$3,RawData[Checker ID],$Q$4,RawData[[Error Type ]],$Q$5))</f>
        <v/>
      </c>
    </row>
    <row r="6181" spans="15:15" x14ac:dyDescent="0.25">
      <c r="O6181" s="20" t="str">
        <f>IF(N6181="","",COUNTIFS(RawData[[Date ]],N6181,RawData[Month List],$Q$6,RawData[Tour/Site],$Q$2,RawData[[Picker ID ]],$Q$3,RawData[Checker ID],$Q$4,RawData[[Error Type ]],$Q$5))</f>
        <v/>
      </c>
    </row>
    <row r="6182" spans="15:15" x14ac:dyDescent="0.25">
      <c r="O6182" s="20" t="str">
        <f>IF(N6182="","",COUNTIFS(RawData[[Date ]],N6182,RawData[Month List],$Q$6,RawData[Tour/Site],$Q$2,RawData[[Picker ID ]],$Q$3,RawData[Checker ID],$Q$4,RawData[[Error Type ]],$Q$5))</f>
        <v/>
      </c>
    </row>
    <row r="6183" spans="15:15" x14ac:dyDescent="0.25">
      <c r="O6183" s="20" t="str">
        <f>IF(N6183="","",COUNTIFS(RawData[[Date ]],N6183,RawData[Month List],$Q$6,RawData[Tour/Site],$Q$2,RawData[[Picker ID ]],$Q$3,RawData[Checker ID],$Q$4,RawData[[Error Type ]],$Q$5))</f>
        <v/>
      </c>
    </row>
    <row r="6184" spans="15:15" x14ac:dyDescent="0.25">
      <c r="O6184" s="20" t="str">
        <f>IF(N6184="","",COUNTIFS(RawData[[Date ]],N6184,RawData[Month List],$Q$6,RawData[Tour/Site],$Q$2,RawData[[Picker ID ]],$Q$3,RawData[Checker ID],$Q$4,RawData[[Error Type ]],$Q$5))</f>
        <v/>
      </c>
    </row>
    <row r="6185" spans="15:15" x14ac:dyDescent="0.25">
      <c r="O6185" s="20" t="str">
        <f>IF(N6185="","",COUNTIFS(RawData[[Date ]],N6185,RawData[Month List],$Q$6,RawData[Tour/Site],$Q$2,RawData[[Picker ID ]],$Q$3,RawData[Checker ID],$Q$4,RawData[[Error Type ]],$Q$5))</f>
        <v/>
      </c>
    </row>
    <row r="6186" spans="15:15" x14ac:dyDescent="0.25">
      <c r="O6186" s="20" t="str">
        <f>IF(N6186="","",COUNTIFS(RawData[[Date ]],N6186,RawData[Month List],$Q$6,RawData[Tour/Site],$Q$2,RawData[[Picker ID ]],$Q$3,RawData[Checker ID],$Q$4,RawData[[Error Type ]],$Q$5))</f>
        <v/>
      </c>
    </row>
    <row r="6187" spans="15:15" x14ac:dyDescent="0.25">
      <c r="O6187" s="20" t="str">
        <f>IF(N6187="","",COUNTIFS(RawData[[Date ]],N6187,RawData[Month List],$Q$6,RawData[Tour/Site],$Q$2,RawData[[Picker ID ]],$Q$3,RawData[Checker ID],$Q$4,RawData[[Error Type ]],$Q$5))</f>
        <v/>
      </c>
    </row>
    <row r="6188" spans="15:15" x14ac:dyDescent="0.25">
      <c r="O6188" s="20" t="str">
        <f>IF(N6188="","",COUNTIFS(RawData[[Date ]],N6188,RawData[Month List],$Q$6,RawData[Tour/Site],$Q$2,RawData[[Picker ID ]],$Q$3,RawData[Checker ID],$Q$4,RawData[[Error Type ]],$Q$5))</f>
        <v/>
      </c>
    </row>
    <row r="6189" spans="15:15" x14ac:dyDescent="0.25">
      <c r="O6189" s="20" t="str">
        <f>IF(N6189="","",COUNTIFS(RawData[[Date ]],N6189,RawData[Month List],$Q$6,RawData[Tour/Site],$Q$2,RawData[[Picker ID ]],$Q$3,RawData[Checker ID],$Q$4,RawData[[Error Type ]],$Q$5))</f>
        <v/>
      </c>
    </row>
    <row r="6190" spans="15:15" x14ac:dyDescent="0.25">
      <c r="O6190" s="20" t="str">
        <f>IF(N6190="","",COUNTIFS(RawData[[Date ]],N6190,RawData[Month List],$Q$6,RawData[Tour/Site],$Q$2,RawData[[Picker ID ]],$Q$3,RawData[Checker ID],$Q$4,RawData[[Error Type ]],$Q$5))</f>
        <v/>
      </c>
    </row>
    <row r="6191" spans="15:15" x14ac:dyDescent="0.25">
      <c r="O6191" s="20" t="str">
        <f>IF(N6191="","",COUNTIFS(RawData[[Date ]],N6191,RawData[Month List],$Q$6,RawData[Tour/Site],$Q$2,RawData[[Picker ID ]],$Q$3,RawData[Checker ID],$Q$4,RawData[[Error Type ]],$Q$5))</f>
        <v/>
      </c>
    </row>
    <row r="6192" spans="15:15" x14ac:dyDescent="0.25">
      <c r="O6192" s="20" t="str">
        <f>IF(N6192="","",COUNTIFS(RawData[[Date ]],N6192,RawData[Month List],$Q$6,RawData[Tour/Site],$Q$2,RawData[[Picker ID ]],$Q$3,RawData[Checker ID],$Q$4,RawData[[Error Type ]],$Q$5))</f>
        <v/>
      </c>
    </row>
    <row r="6193" spans="15:15" x14ac:dyDescent="0.25">
      <c r="O6193" s="20" t="str">
        <f>IF(N6193="","",COUNTIFS(RawData[[Date ]],N6193,RawData[Month List],$Q$6,RawData[Tour/Site],$Q$2,RawData[[Picker ID ]],$Q$3,RawData[Checker ID],$Q$4,RawData[[Error Type ]],$Q$5))</f>
        <v/>
      </c>
    </row>
    <row r="6194" spans="15:15" x14ac:dyDescent="0.25">
      <c r="O6194" s="20" t="str">
        <f>IF(N6194="","",COUNTIFS(RawData[[Date ]],N6194,RawData[Month List],$Q$6,RawData[Tour/Site],$Q$2,RawData[[Picker ID ]],$Q$3,RawData[Checker ID],$Q$4,RawData[[Error Type ]],$Q$5))</f>
        <v/>
      </c>
    </row>
    <row r="6195" spans="15:15" x14ac:dyDescent="0.25">
      <c r="O6195" s="20" t="str">
        <f>IF(N6195="","",COUNTIFS(RawData[[Date ]],N6195,RawData[Month List],$Q$6,RawData[Tour/Site],$Q$2,RawData[[Picker ID ]],$Q$3,RawData[Checker ID],$Q$4,RawData[[Error Type ]],$Q$5))</f>
        <v/>
      </c>
    </row>
    <row r="6196" spans="15:15" x14ac:dyDescent="0.25">
      <c r="O6196" s="20" t="str">
        <f>IF(N6196="","",COUNTIFS(RawData[[Date ]],N6196,RawData[Month List],$Q$6,RawData[Tour/Site],$Q$2,RawData[[Picker ID ]],$Q$3,RawData[Checker ID],$Q$4,RawData[[Error Type ]],$Q$5))</f>
        <v/>
      </c>
    </row>
    <row r="6197" spans="15:15" x14ac:dyDescent="0.25">
      <c r="O6197" s="20" t="str">
        <f>IF(N6197="","",COUNTIFS(RawData[[Date ]],N6197,RawData[Month List],$Q$6,RawData[Tour/Site],$Q$2,RawData[[Picker ID ]],$Q$3,RawData[Checker ID],$Q$4,RawData[[Error Type ]],$Q$5))</f>
        <v/>
      </c>
    </row>
    <row r="6198" spans="15:15" x14ac:dyDescent="0.25">
      <c r="O6198" s="20" t="str">
        <f>IF(N6198="","",COUNTIFS(RawData[[Date ]],N6198,RawData[Month List],$Q$6,RawData[Tour/Site],$Q$2,RawData[[Picker ID ]],$Q$3,RawData[Checker ID],$Q$4,RawData[[Error Type ]],$Q$5))</f>
        <v/>
      </c>
    </row>
    <row r="6199" spans="15:15" x14ac:dyDescent="0.25">
      <c r="O6199" s="20" t="str">
        <f>IF(N6199="","",COUNTIFS(RawData[[Date ]],N6199,RawData[Month List],$Q$6,RawData[Tour/Site],$Q$2,RawData[[Picker ID ]],$Q$3,RawData[Checker ID],$Q$4,RawData[[Error Type ]],$Q$5))</f>
        <v/>
      </c>
    </row>
    <row r="6200" spans="15:15" x14ac:dyDescent="0.25">
      <c r="O6200" s="20" t="str">
        <f>IF(N6200="","",COUNTIFS(RawData[[Date ]],N6200,RawData[Month List],$Q$6,RawData[Tour/Site],$Q$2,RawData[[Picker ID ]],$Q$3,RawData[Checker ID],$Q$4,RawData[[Error Type ]],$Q$5))</f>
        <v/>
      </c>
    </row>
    <row r="6201" spans="15:15" x14ac:dyDescent="0.25">
      <c r="O6201" s="20" t="str">
        <f>IF(N6201="","",COUNTIFS(RawData[[Date ]],N6201,RawData[Month List],$Q$6,RawData[Tour/Site],$Q$2,RawData[[Picker ID ]],$Q$3,RawData[Checker ID],$Q$4,RawData[[Error Type ]],$Q$5))</f>
        <v/>
      </c>
    </row>
    <row r="6202" spans="15:15" x14ac:dyDescent="0.25">
      <c r="O6202" s="20" t="str">
        <f>IF(N6202="","",COUNTIFS(RawData[[Date ]],N6202,RawData[Month List],$Q$6,RawData[Tour/Site],$Q$2,RawData[[Picker ID ]],$Q$3,RawData[Checker ID],$Q$4,RawData[[Error Type ]],$Q$5))</f>
        <v/>
      </c>
    </row>
    <row r="6203" spans="15:15" x14ac:dyDescent="0.25">
      <c r="O6203" s="20" t="str">
        <f>IF(N6203="","",COUNTIFS(RawData[[Date ]],N6203,RawData[Month List],$Q$6,RawData[Tour/Site],$Q$2,RawData[[Picker ID ]],$Q$3,RawData[Checker ID],$Q$4,RawData[[Error Type ]],$Q$5))</f>
        <v/>
      </c>
    </row>
    <row r="6204" spans="15:15" x14ac:dyDescent="0.25">
      <c r="O6204" s="20" t="str">
        <f>IF(N6204="","",COUNTIFS(RawData[[Date ]],N6204,RawData[Month List],$Q$6,RawData[Tour/Site],$Q$2,RawData[[Picker ID ]],$Q$3,RawData[Checker ID],$Q$4,RawData[[Error Type ]],$Q$5))</f>
        <v/>
      </c>
    </row>
    <row r="6205" spans="15:15" x14ac:dyDescent="0.25">
      <c r="O6205" s="20" t="str">
        <f>IF(N6205="","",COUNTIFS(RawData[[Date ]],N6205,RawData[Month List],$Q$6,RawData[Tour/Site],$Q$2,RawData[[Picker ID ]],$Q$3,RawData[Checker ID],$Q$4,RawData[[Error Type ]],$Q$5))</f>
        <v/>
      </c>
    </row>
    <row r="6206" spans="15:15" x14ac:dyDescent="0.25">
      <c r="O6206" s="20" t="str">
        <f>IF(N6206="","",COUNTIFS(RawData[[Date ]],N6206,RawData[Month List],$Q$6,RawData[Tour/Site],$Q$2,RawData[[Picker ID ]],$Q$3,RawData[Checker ID],$Q$4,RawData[[Error Type ]],$Q$5))</f>
        <v/>
      </c>
    </row>
    <row r="6207" spans="15:15" x14ac:dyDescent="0.25">
      <c r="O6207" s="20" t="str">
        <f>IF(N6207="","",COUNTIFS(RawData[[Date ]],N6207,RawData[Month List],$Q$6,RawData[Tour/Site],$Q$2,RawData[[Picker ID ]],$Q$3,RawData[Checker ID],$Q$4,RawData[[Error Type ]],$Q$5))</f>
        <v/>
      </c>
    </row>
    <row r="6208" spans="15:15" x14ac:dyDescent="0.25">
      <c r="O6208" s="20" t="str">
        <f>IF(N6208="","",COUNTIFS(RawData[[Date ]],N6208,RawData[Month List],$Q$6,RawData[Tour/Site],$Q$2,RawData[[Picker ID ]],$Q$3,RawData[Checker ID],$Q$4,RawData[[Error Type ]],$Q$5))</f>
        <v/>
      </c>
    </row>
    <row r="6209" spans="15:15" x14ac:dyDescent="0.25">
      <c r="O6209" s="20" t="str">
        <f>IF(N6209="","",COUNTIFS(RawData[[Date ]],N6209,RawData[Month List],$Q$6,RawData[Tour/Site],$Q$2,RawData[[Picker ID ]],$Q$3,RawData[Checker ID],$Q$4,RawData[[Error Type ]],$Q$5))</f>
        <v/>
      </c>
    </row>
    <row r="6210" spans="15:15" x14ac:dyDescent="0.25">
      <c r="O6210" s="20" t="str">
        <f>IF(N6210="","",COUNTIFS(RawData[[Date ]],N6210,RawData[Month List],$Q$6,RawData[Tour/Site],$Q$2,RawData[[Picker ID ]],$Q$3,RawData[Checker ID],$Q$4,RawData[[Error Type ]],$Q$5))</f>
        <v/>
      </c>
    </row>
    <row r="6211" spans="15:15" x14ac:dyDescent="0.25">
      <c r="O6211" s="20" t="str">
        <f>IF(N6211="","",COUNTIFS(RawData[[Date ]],N6211,RawData[Month List],$Q$6,RawData[Tour/Site],$Q$2,RawData[[Picker ID ]],$Q$3,RawData[Checker ID],$Q$4,RawData[[Error Type ]],$Q$5))</f>
        <v/>
      </c>
    </row>
    <row r="6212" spans="15:15" x14ac:dyDescent="0.25">
      <c r="O6212" s="20" t="str">
        <f>IF(N6212="","",COUNTIFS(RawData[[Date ]],N6212,RawData[Month List],$Q$6,RawData[Tour/Site],$Q$2,RawData[[Picker ID ]],$Q$3,RawData[Checker ID],$Q$4,RawData[[Error Type ]],$Q$5))</f>
        <v/>
      </c>
    </row>
    <row r="6213" spans="15:15" x14ac:dyDescent="0.25">
      <c r="O6213" s="20" t="str">
        <f>IF(N6213="","",COUNTIFS(RawData[[Date ]],N6213,RawData[Month List],$Q$6,RawData[Tour/Site],$Q$2,RawData[[Picker ID ]],$Q$3,RawData[Checker ID],$Q$4,RawData[[Error Type ]],$Q$5))</f>
        <v/>
      </c>
    </row>
    <row r="6214" spans="15:15" x14ac:dyDescent="0.25">
      <c r="O6214" s="20" t="str">
        <f>IF(N6214="","",COUNTIFS(RawData[[Date ]],N6214,RawData[Month List],$Q$6,RawData[Tour/Site],$Q$2,RawData[[Picker ID ]],$Q$3,RawData[Checker ID],$Q$4,RawData[[Error Type ]],$Q$5))</f>
        <v/>
      </c>
    </row>
    <row r="6215" spans="15:15" x14ac:dyDescent="0.25">
      <c r="O6215" s="20" t="str">
        <f>IF(N6215="","",COUNTIFS(RawData[[Date ]],N6215,RawData[Month List],$Q$6,RawData[Tour/Site],$Q$2,RawData[[Picker ID ]],$Q$3,RawData[Checker ID],$Q$4,RawData[[Error Type ]],$Q$5))</f>
        <v/>
      </c>
    </row>
    <row r="6216" spans="15:15" x14ac:dyDescent="0.25">
      <c r="O6216" s="20" t="str">
        <f>IF(N6216="","",COUNTIFS(RawData[[Date ]],N6216,RawData[Month List],$Q$6,RawData[Tour/Site],$Q$2,RawData[[Picker ID ]],$Q$3,RawData[Checker ID],$Q$4,RawData[[Error Type ]],$Q$5))</f>
        <v/>
      </c>
    </row>
    <row r="6217" spans="15:15" x14ac:dyDescent="0.25">
      <c r="O6217" s="20" t="str">
        <f>IF(N6217="","",COUNTIFS(RawData[[Date ]],N6217,RawData[Month List],$Q$6,RawData[Tour/Site],$Q$2,RawData[[Picker ID ]],$Q$3,RawData[Checker ID],$Q$4,RawData[[Error Type ]],$Q$5))</f>
        <v/>
      </c>
    </row>
    <row r="6218" spans="15:15" x14ac:dyDescent="0.25">
      <c r="O6218" s="20" t="str">
        <f>IF(N6218="","",COUNTIFS(RawData[[Date ]],N6218,RawData[Month List],$Q$6,RawData[Tour/Site],$Q$2,RawData[[Picker ID ]],$Q$3,RawData[Checker ID],$Q$4,RawData[[Error Type ]],$Q$5))</f>
        <v/>
      </c>
    </row>
    <row r="6219" spans="15:15" x14ac:dyDescent="0.25">
      <c r="O6219" s="20" t="str">
        <f>IF(N6219="","",COUNTIFS(RawData[[Date ]],N6219,RawData[Month List],$Q$6,RawData[Tour/Site],$Q$2,RawData[[Picker ID ]],$Q$3,RawData[Checker ID],$Q$4,RawData[[Error Type ]],$Q$5))</f>
        <v/>
      </c>
    </row>
    <row r="6220" spans="15:15" x14ac:dyDescent="0.25">
      <c r="O6220" s="20" t="str">
        <f>IF(N6220="","",COUNTIFS(RawData[[Date ]],N6220,RawData[Month List],$Q$6,RawData[Tour/Site],$Q$2,RawData[[Picker ID ]],$Q$3,RawData[Checker ID],$Q$4,RawData[[Error Type ]],$Q$5))</f>
        <v/>
      </c>
    </row>
    <row r="6221" spans="15:15" x14ac:dyDescent="0.25">
      <c r="O6221" s="20" t="str">
        <f>IF(N6221="","",COUNTIFS(RawData[[Date ]],N6221,RawData[Month List],$Q$6,RawData[Tour/Site],$Q$2,RawData[[Picker ID ]],$Q$3,RawData[Checker ID],$Q$4,RawData[[Error Type ]],$Q$5))</f>
        <v/>
      </c>
    </row>
    <row r="6222" spans="15:15" x14ac:dyDescent="0.25">
      <c r="O6222" s="20" t="str">
        <f>IF(N6222="","",COUNTIFS(RawData[[Date ]],N6222,RawData[Month List],$Q$6,RawData[Tour/Site],$Q$2,RawData[[Picker ID ]],$Q$3,RawData[Checker ID],$Q$4,RawData[[Error Type ]],$Q$5))</f>
        <v/>
      </c>
    </row>
    <row r="6223" spans="15:15" x14ac:dyDescent="0.25">
      <c r="O6223" s="20" t="str">
        <f>IF(N6223="","",COUNTIFS(RawData[[Date ]],N6223,RawData[Month List],$Q$6,RawData[Tour/Site],$Q$2,RawData[[Picker ID ]],$Q$3,RawData[Checker ID],$Q$4,RawData[[Error Type ]],$Q$5))</f>
        <v/>
      </c>
    </row>
    <row r="6224" spans="15:15" x14ac:dyDescent="0.25">
      <c r="O6224" s="20" t="str">
        <f>IF(N6224="","",COUNTIFS(RawData[[Date ]],N6224,RawData[Month List],$Q$6,RawData[Tour/Site],$Q$2,RawData[[Picker ID ]],$Q$3,RawData[Checker ID],$Q$4,RawData[[Error Type ]],$Q$5))</f>
        <v/>
      </c>
    </row>
    <row r="6225" spans="15:15" x14ac:dyDescent="0.25">
      <c r="O6225" s="20" t="str">
        <f>IF(N6225="","",COUNTIFS(RawData[[Date ]],N6225,RawData[Month List],$Q$6,RawData[Tour/Site],$Q$2,RawData[[Picker ID ]],$Q$3,RawData[Checker ID],$Q$4,RawData[[Error Type ]],$Q$5))</f>
        <v/>
      </c>
    </row>
    <row r="6226" spans="15:15" x14ac:dyDescent="0.25">
      <c r="O6226" s="20" t="str">
        <f>IF(N6226="","",COUNTIFS(RawData[[Date ]],N6226,RawData[Month List],$Q$6,RawData[Tour/Site],$Q$2,RawData[[Picker ID ]],$Q$3,RawData[Checker ID],$Q$4,RawData[[Error Type ]],$Q$5))</f>
        <v/>
      </c>
    </row>
    <row r="6227" spans="15:15" x14ac:dyDescent="0.25">
      <c r="O6227" s="20" t="str">
        <f>IF(N6227="","",COUNTIFS(RawData[[Date ]],N6227,RawData[Month List],$Q$6,RawData[Tour/Site],$Q$2,RawData[[Picker ID ]],$Q$3,RawData[Checker ID],$Q$4,RawData[[Error Type ]],$Q$5))</f>
        <v/>
      </c>
    </row>
    <row r="6228" spans="15:15" x14ac:dyDescent="0.25">
      <c r="O6228" s="20" t="str">
        <f>IF(N6228="","",COUNTIFS(RawData[[Date ]],N6228,RawData[Month List],$Q$6,RawData[Tour/Site],$Q$2,RawData[[Picker ID ]],$Q$3,RawData[Checker ID],$Q$4,RawData[[Error Type ]],$Q$5))</f>
        <v/>
      </c>
    </row>
    <row r="6229" spans="15:15" x14ac:dyDescent="0.25">
      <c r="O6229" s="20" t="str">
        <f>IF(N6229="","",COUNTIFS(RawData[[Date ]],N6229,RawData[Month List],$Q$6,RawData[Tour/Site],$Q$2,RawData[[Picker ID ]],$Q$3,RawData[Checker ID],$Q$4,RawData[[Error Type ]],$Q$5))</f>
        <v/>
      </c>
    </row>
    <row r="6230" spans="15:15" x14ac:dyDescent="0.25">
      <c r="O6230" s="20" t="str">
        <f>IF(N6230="","",COUNTIFS(RawData[[Date ]],N6230,RawData[Month List],$Q$6,RawData[Tour/Site],$Q$2,RawData[[Picker ID ]],$Q$3,RawData[Checker ID],$Q$4,RawData[[Error Type ]],$Q$5))</f>
        <v/>
      </c>
    </row>
    <row r="6231" spans="15:15" x14ac:dyDescent="0.25">
      <c r="O6231" s="20" t="str">
        <f>IF(N6231="","",COUNTIFS(RawData[[Date ]],N6231,RawData[Month List],$Q$6,RawData[Tour/Site],$Q$2,RawData[[Picker ID ]],$Q$3,RawData[Checker ID],$Q$4,RawData[[Error Type ]],$Q$5))</f>
        <v/>
      </c>
    </row>
    <row r="6232" spans="15:15" x14ac:dyDescent="0.25">
      <c r="O6232" s="20" t="str">
        <f>IF(N6232="","",COUNTIFS(RawData[[Date ]],N6232,RawData[Month List],$Q$6,RawData[Tour/Site],$Q$2,RawData[[Picker ID ]],$Q$3,RawData[Checker ID],$Q$4,RawData[[Error Type ]],$Q$5))</f>
        <v/>
      </c>
    </row>
    <row r="6233" spans="15:15" x14ac:dyDescent="0.25">
      <c r="O6233" s="20" t="str">
        <f>IF(N6233="","",COUNTIFS(RawData[[Date ]],N6233,RawData[Month List],$Q$6,RawData[Tour/Site],$Q$2,RawData[[Picker ID ]],$Q$3,RawData[Checker ID],$Q$4,RawData[[Error Type ]],$Q$5))</f>
        <v/>
      </c>
    </row>
    <row r="6234" spans="15:15" x14ac:dyDescent="0.25">
      <c r="O6234" s="20" t="str">
        <f>IF(N6234="","",COUNTIFS(RawData[[Date ]],N6234,RawData[Month List],$Q$6,RawData[Tour/Site],$Q$2,RawData[[Picker ID ]],$Q$3,RawData[Checker ID],$Q$4,RawData[[Error Type ]],$Q$5))</f>
        <v/>
      </c>
    </row>
    <row r="6235" spans="15:15" x14ac:dyDescent="0.25">
      <c r="O6235" s="20" t="str">
        <f>IF(N6235="","",COUNTIFS(RawData[[Date ]],N6235,RawData[Month List],$Q$6,RawData[Tour/Site],$Q$2,RawData[[Picker ID ]],$Q$3,RawData[Checker ID],$Q$4,RawData[[Error Type ]],$Q$5))</f>
        <v/>
      </c>
    </row>
    <row r="6236" spans="15:15" x14ac:dyDescent="0.25">
      <c r="O6236" s="20" t="str">
        <f>IF(N6236="","",COUNTIFS(RawData[[Date ]],N6236,RawData[Month List],$Q$6,RawData[Tour/Site],$Q$2,RawData[[Picker ID ]],$Q$3,RawData[Checker ID],$Q$4,RawData[[Error Type ]],$Q$5))</f>
        <v/>
      </c>
    </row>
    <row r="6237" spans="15:15" x14ac:dyDescent="0.25">
      <c r="O6237" s="20" t="str">
        <f>IF(N6237="","",COUNTIFS(RawData[[Date ]],N6237,RawData[Month List],$Q$6,RawData[Tour/Site],$Q$2,RawData[[Picker ID ]],$Q$3,RawData[Checker ID],$Q$4,RawData[[Error Type ]],$Q$5))</f>
        <v/>
      </c>
    </row>
    <row r="6238" spans="15:15" x14ac:dyDescent="0.25">
      <c r="O6238" s="20" t="str">
        <f>IF(N6238="","",COUNTIFS(RawData[[Date ]],N6238,RawData[Month List],$Q$6,RawData[Tour/Site],$Q$2,RawData[[Picker ID ]],$Q$3,RawData[Checker ID],$Q$4,RawData[[Error Type ]],$Q$5))</f>
        <v/>
      </c>
    </row>
    <row r="6239" spans="15:15" x14ac:dyDescent="0.25">
      <c r="O6239" s="20" t="str">
        <f>IF(N6239="","",COUNTIFS(RawData[[Date ]],N6239,RawData[Month List],$Q$6,RawData[Tour/Site],$Q$2,RawData[[Picker ID ]],$Q$3,RawData[Checker ID],$Q$4,RawData[[Error Type ]],$Q$5))</f>
        <v/>
      </c>
    </row>
    <row r="6240" spans="15:15" x14ac:dyDescent="0.25">
      <c r="O6240" s="20" t="str">
        <f>IF(N6240="","",COUNTIFS(RawData[[Date ]],N6240,RawData[Month List],$Q$6,RawData[Tour/Site],$Q$2,RawData[[Picker ID ]],$Q$3,RawData[Checker ID],$Q$4,RawData[[Error Type ]],$Q$5))</f>
        <v/>
      </c>
    </row>
    <row r="6241" spans="15:15" x14ac:dyDescent="0.25">
      <c r="O6241" s="20" t="str">
        <f>IF(N6241="","",COUNTIFS(RawData[[Date ]],N6241,RawData[Month List],$Q$6,RawData[Tour/Site],$Q$2,RawData[[Picker ID ]],$Q$3,RawData[Checker ID],$Q$4,RawData[[Error Type ]],$Q$5))</f>
        <v/>
      </c>
    </row>
    <row r="6242" spans="15:15" x14ac:dyDescent="0.25">
      <c r="O6242" s="20" t="str">
        <f>IF(N6242="","",COUNTIFS(RawData[[Date ]],N6242,RawData[Month List],$Q$6,RawData[Tour/Site],$Q$2,RawData[[Picker ID ]],$Q$3,RawData[Checker ID],$Q$4,RawData[[Error Type ]],$Q$5))</f>
        <v/>
      </c>
    </row>
    <row r="6243" spans="15:15" x14ac:dyDescent="0.25">
      <c r="O6243" s="20" t="str">
        <f>IF(N6243="","",COUNTIFS(RawData[[Date ]],N6243,RawData[Month List],$Q$6,RawData[Tour/Site],$Q$2,RawData[[Picker ID ]],$Q$3,RawData[Checker ID],$Q$4,RawData[[Error Type ]],$Q$5))</f>
        <v/>
      </c>
    </row>
    <row r="6244" spans="15:15" x14ac:dyDescent="0.25">
      <c r="O6244" s="20" t="str">
        <f>IF(N6244="","",COUNTIFS(RawData[[Date ]],N6244,RawData[Month List],$Q$6,RawData[Tour/Site],$Q$2,RawData[[Picker ID ]],$Q$3,RawData[Checker ID],$Q$4,RawData[[Error Type ]],$Q$5))</f>
        <v/>
      </c>
    </row>
    <row r="6245" spans="15:15" x14ac:dyDescent="0.25">
      <c r="O6245" s="20" t="str">
        <f>IF(N6245="","",COUNTIFS(RawData[[Date ]],N6245,RawData[Month List],$Q$6,RawData[Tour/Site],$Q$2,RawData[[Picker ID ]],$Q$3,RawData[Checker ID],$Q$4,RawData[[Error Type ]],$Q$5))</f>
        <v/>
      </c>
    </row>
    <row r="6246" spans="15:15" x14ac:dyDescent="0.25">
      <c r="O6246" s="20" t="str">
        <f>IF(N6246="","",COUNTIFS(RawData[[Date ]],N6246,RawData[Month List],$Q$6,RawData[Tour/Site],$Q$2,RawData[[Picker ID ]],$Q$3,RawData[Checker ID],$Q$4,RawData[[Error Type ]],$Q$5))</f>
        <v/>
      </c>
    </row>
    <row r="6247" spans="15:15" x14ac:dyDescent="0.25">
      <c r="O6247" s="20" t="str">
        <f>IF(N6247="","",COUNTIFS(RawData[[Date ]],N6247,RawData[Month List],$Q$6,RawData[Tour/Site],$Q$2,RawData[[Picker ID ]],$Q$3,RawData[Checker ID],$Q$4,RawData[[Error Type ]],$Q$5))</f>
        <v/>
      </c>
    </row>
    <row r="6248" spans="15:15" x14ac:dyDescent="0.25">
      <c r="O6248" s="20" t="str">
        <f>IF(N6248="","",COUNTIFS(RawData[[Date ]],N6248,RawData[Month List],$Q$6,RawData[Tour/Site],$Q$2,RawData[[Picker ID ]],$Q$3,RawData[Checker ID],$Q$4,RawData[[Error Type ]],$Q$5))</f>
        <v/>
      </c>
    </row>
    <row r="6249" spans="15:15" x14ac:dyDescent="0.25">
      <c r="O6249" s="20" t="str">
        <f>IF(N6249="","",COUNTIFS(RawData[[Date ]],N6249,RawData[Month List],$Q$6,RawData[Tour/Site],$Q$2,RawData[[Picker ID ]],$Q$3,RawData[Checker ID],$Q$4,RawData[[Error Type ]],$Q$5))</f>
        <v/>
      </c>
    </row>
    <row r="6250" spans="15:15" x14ac:dyDescent="0.25">
      <c r="O6250" s="20" t="str">
        <f>IF(N6250="","",COUNTIFS(RawData[[Date ]],N6250,RawData[Month List],$Q$6,RawData[Tour/Site],$Q$2,RawData[[Picker ID ]],$Q$3,RawData[Checker ID],$Q$4,RawData[[Error Type ]],$Q$5))</f>
        <v/>
      </c>
    </row>
    <row r="6251" spans="15:15" x14ac:dyDescent="0.25">
      <c r="O6251" s="20" t="str">
        <f>IF(N6251="","",COUNTIFS(RawData[[Date ]],N6251,RawData[Month List],$Q$6,RawData[Tour/Site],$Q$2,RawData[[Picker ID ]],$Q$3,RawData[Checker ID],$Q$4,RawData[[Error Type ]],$Q$5))</f>
        <v/>
      </c>
    </row>
    <row r="6252" spans="15:15" x14ac:dyDescent="0.25">
      <c r="O6252" s="20" t="str">
        <f>IF(N6252="","",COUNTIFS(RawData[[Date ]],N6252,RawData[Month List],$Q$6,RawData[Tour/Site],$Q$2,RawData[[Picker ID ]],$Q$3,RawData[Checker ID],$Q$4,RawData[[Error Type ]],$Q$5))</f>
        <v/>
      </c>
    </row>
    <row r="6253" spans="15:15" x14ac:dyDescent="0.25">
      <c r="O6253" s="20" t="str">
        <f>IF(N6253="","",COUNTIFS(RawData[[Date ]],N6253,RawData[Month List],$Q$6,RawData[Tour/Site],$Q$2,RawData[[Picker ID ]],$Q$3,RawData[Checker ID],$Q$4,RawData[[Error Type ]],$Q$5))</f>
        <v/>
      </c>
    </row>
    <row r="6254" spans="15:15" x14ac:dyDescent="0.25">
      <c r="O6254" s="20" t="str">
        <f>IF(N6254="","",COUNTIFS(RawData[[Date ]],N6254,RawData[Month List],$Q$6,RawData[Tour/Site],$Q$2,RawData[[Picker ID ]],$Q$3,RawData[Checker ID],$Q$4,RawData[[Error Type ]],$Q$5))</f>
        <v/>
      </c>
    </row>
    <row r="6255" spans="15:15" x14ac:dyDescent="0.25">
      <c r="O6255" s="20" t="str">
        <f>IF(N6255="","",COUNTIFS(RawData[[Date ]],N6255,RawData[Month List],$Q$6,RawData[Tour/Site],$Q$2,RawData[[Picker ID ]],$Q$3,RawData[Checker ID],$Q$4,RawData[[Error Type ]],$Q$5))</f>
        <v/>
      </c>
    </row>
    <row r="6256" spans="15:15" x14ac:dyDescent="0.25">
      <c r="O6256" s="20" t="str">
        <f>IF(N6256="","",COUNTIFS(RawData[[Date ]],N6256,RawData[Month List],$Q$6,RawData[Tour/Site],$Q$2,RawData[[Picker ID ]],$Q$3,RawData[Checker ID],$Q$4,RawData[[Error Type ]],$Q$5))</f>
        <v/>
      </c>
    </row>
    <row r="6257" spans="15:15" x14ac:dyDescent="0.25">
      <c r="O6257" s="20" t="str">
        <f>IF(N6257="","",COUNTIFS(RawData[[Date ]],N6257,RawData[Month List],$Q$6,RawData[Tour/Site],$Q$2,RawData[[Picker ID ]],$Q$3,RawData[Checker ID],$Q$4,RawData[[Error Type ]],$Q$5))</f>
        <v/>
      </c>
    </row>
    <row r="6258" spans="15:15" x14ac:dyDescent="0.25">
      <c r="O6258" s="20" t="str">
        <f>IF(N6258="","",COUNTIFS(RawData[[Date ]],N6258,RawData[Month List],$Q$6,RawData[Tour/Site],$Q$2,RawData[[Picker ID ]],$Q$3,RawData[Checker ID],$Q$4,RawData[[Error Type ]],$Q$5))</f>
        <v/>
      </c>
    </row>
    <row r="6259" spans="15:15" x14ac:dyDescent="0.25">
      <c r="O6259" s="20" t="str">
        <f>IF(N6259="","",COUNTIFS(RawData[[Date ]],N6259,RawData[Month List],$Q$6,RawData[Tour/Site],$Q$2,RawData[[Picker ID ]],$Q$3,RawData[Checker ID],$Q$4,RawData[[Error Type ]],$Q$5))</f>
        <v/>
      </c>
    </row>
    <row r="6260" spans="15:15" x14ac:dyDescent="0.25">
      <c r="O6260" s="20" t="str">
        <f>IF(N6260="","",COUNTIFS(RawData[[Date ]],N6260,RawData[Month List],$Q$6,RawData[Tour/Site],$Q$2,RawData[[Picker ID ]],$Q$3,RawData[Checker ID],$Q$4,RawData[[Error Type ]],$Q$5))</f>
        <v/>
      </c>
    </row>
    <row r="6261" spans="15:15" x14ac:dyDescent="0.25">
      <c r="O6261" s="20" t="str">
        <f>IF(N6261="","",COUNTIFS(RawData[[Date ]],N6261,RawData[Month List],$Q$6,RawData[Tour/Site],$Q$2,RawData[[Picker ID ]],$Q$3,RawData[Checker ID],$Q$4,RawData[[Error Type ]],$Q$5))</f>
        <v/>
      </c>
    </row>
    <row r="6262" spans="15:15" x14ac:dyDescent="0.25">
      <c r="O6262" s="20" t="str">
        <f>IF(N6262="","",COUNTIFS(RawData[[Date ]],N6262,RawData[Month List],$Q$6,RawData[Tour/Site],$Q$2,RawData[[Picker ID ]],$Q$3,RawData[Checker ID],$Q$4,RawData[[Error Type ]],$Q$5))</f>
        <v/>
      </c>
    </row>
    <row r="6263" spans="15:15" x14ac:dyDescent="0.25">
      <c r="O6263" s="20" t="str">
        <f>IF(N6263="","",COUNTIFS(RawData[[Date ]],N6263,RawData[Month List],$Q$6,RawData[Tour/Site],$Q$2,RawData[[Picker ID ]],$Q$3,RawData[Checker ID],$Q$4,RawData[[Error Type ]],$Q$5))</f>
        <v/>
      </c>
    </row>
    <row r="6264" spans="15:15" x14ac:dyDescent="0.25">
      <c r="O6264" s="20" t="str">
        <f>IF(N6264="","",COUNTIFS(RawData[[Date ]],N6264,RawData[Month List],$Q$6,RawData[Tour/Site],$Q$2,RawData[[Picker ID ]],$Q$3,RawData[Checker ID],$Q$4,RawData[[Error Type ]],$Q$5))</f>
        <v/>
      </c>
    </row>
    <row r="6265" spans="15:15" x14ac:dyDescent="0.25">
      <c r="O6265" s="20" t="str">
        <f>IF(N6265="","",COUNTIFS(RawData[[Date ]],N6265,RawData[Month List],$Q$6,RawData[Tour/Site],$Q$2,RawData[[Picker ID ]],$Q$3,RawData[Checker ID],$Q$4,RawData[[Error Type ]],$Q$5))</f>
        <v/>
      </c>
    </row>
    <row r="6266" spans="15:15" x14ac:dyDescent="0.25">
      <c r="O6266" s="20" t="str">
        <f>IF(N6266="","",COUNTIFS(RawData[[Date ]],N6266,RawData[Month List],$Q$6,RawData[Tour/Site],$Q$2,RawData[[Picker ID ]],$Q$3,RawData[Checker ID],$Q$4,RawData[[Error Type ]],$Q$5))</f>
        <v/>
      </c>
    </row>
    <row r="6267" spans="15:15" x14ac:dyDescent="0.25">
      <c r="O6267" s="20" t="str">
        <f>IF(N6267="","",COUNTIFS(RawData[[Date ]],N6267,RawData[Month List],$Q$6,RawData[Tour/Site],$Q$2,RawData[[Picker ID ]],$Q$3,RawData[Checker ID],$Q$4,RawData[[Error Type ]],$Q$5))</f>
        <v/>
      </c>
    </row>
    <row r="6268" spans="15:15" x14ac:dyDescent="0.25">
      <c r="O6268" s="20" t="str">
        <f>IF(N6268="","",COUNTIFS(RawData[[Date ]],N6268,RawData[Month List],$Q$6,RawData[Tour/Site],$Q$2,RawData[[Picker ID ]],$Q$3,RawData[Checker ID],$Q$4,RawData[[Error Type ]],$Q$5))</f>
        <v/>
      </c>
    </row>
    <row r="6269" spans="15:15" x14ac:dyDescent="0.25">
      <c r="O6269" s="20" t="str">
        <f>IF(N6269="","",COUNTIFS(RawData[[Date ]],N6269,RawData[Month List],$Q$6,RawData[Tour/Site],$Q$2,RawData[[Picker ID ]],$Q$3,RawData[Checker ID],$Q$4,RawData[[Error Type ]],$Q$5))</f>
        <v/>
      </c>
    </row>
    <row r="6270" spans="15:15" x14ac:dyDescent="0.25">
      <c r="O6270" s="20" t="str">
        <f>IF(N6270="","",COUNTIFS(RawData[[Date ]],N6270,RawData[Month List],$Q$6,RawData[Tour/Site],$Q$2,RawData[[Picker ID ]],$Q$3,RawData[Checker ID],$Q$4,RawData[[Error Type ]],$Q$5))</f>
        <v/>
      </c>
    </row>
    <row r="6271" spans="15:15" x14ac:dyDescent="0.25">
      <c r="O6271" s="20" t="str">
        <f>IF(N6271="","",COUNTIFS(RawData[[Date ]],N6271,RawData[Month List],$Q$6,RawData[Tour/Site],$Q$2,RawData[[Picker ID ]],$Q$3,RawData[Checker ID],$Q$4,RawData[[Error Type ]],$Q$5))</f>
        <v/>
      </c>
    </row>
    <row r="6272" spans="15:15" x14ac:dyDescent="0.25">
      <c r="O6272" s="20" t="str">
        <f>IF(N6272="","",COUNTIFS(RawData[[Date ]],N6272,RawData[Month List],$Q$6,RawData[Tour/Site],$Q$2,RawData[[Picker ID ]],$Q$3,RawData[Checker ID],$Q$4,RawData[[Error Type ]],$Q$5))</f>
        <v/>
      </c>
    </row>
    <row r="6273" spans="15:15" x14ac:dyDescent="0.25">
      <c r="O6273" s="20" t="str">
        <f>IF(N6273="","",COUNTIFS(RawData[[Date ]],N6273,RawData[Month List],$Q$6,RawData[Tour/Site],$Q$2,RawData[[Picker ID ]],$Q$3,RawData[Checker ID],$Q$4,RawData[[Error Type ]],$Q$5))</f>
        <v/>
      </c>
    </row>
    <row r="6274" spans="15:15" x14ac:dyDescent="0.25">
      <c r="O6274" s="20" t="str">
        <f>IF(N6274="","",COUNTIFS(RawData[[Date ]],N6274,RawData[Month List],$Q$6,RawData[Tour/Site],$Q$2,RawData[[Picker ID ]],$Q$3,RawData[Checker ID],$Q$4,RawData[[Error Type ]],$Q$5))</f>
        <v/>
      </c>
    </row>
    <row r="6275" spans="15:15" x14ac:dyDescent="0.25">
      <c r="O6275" s="20" t="str">
        <f>IF(N6275="","",COUNTIFS(RawData[[Date ]],N6275,RawData[Month List],$Q$6,RawData[Tour/Site],$Q$2,RawData[[Picker ID ]],$Q$3,RawData[Checker ID],$Q$4,RawData[[Error Type ]],$Q$5))</f>
        <v/>
      </c>
    </row>
    <row r="6276" spans="15:15" x14ac:dyDescent="0.25">
      <c r="O6276" s="20" t="str">
        <f>IF(N6276="","",COUNTIFS(RawData[[Date ]],N6276,RawData[Month List],$Q$6,RawData[Tour/Site],$Q$2,RawData[[Picker ID ]],$Q$3,RawData[Checker ID],$Q$4,RawData[[Error Type ]],$Q$5))</f>
        <v/>
      </c>
    </row>
    <row r="6277" spans="15:15" x14ac:dyDescent="0.25">
      <c r="O6277" s="20" t="str">
        <f>IF(N6277="","",COUNTIFS(RawData[[Date ]],N6277,RawData[Month List],$Q$6,RawData[Tour/Site],$Q$2,RawData[[Picker ID ]],$Q$3,RawData[Checker ID],$Q$4,RawData[[Error Type ]],$Q$5))</f>
        <v/>
      </c>
    </row>
    <row r="6278" spans="15:15" x14ac:dyDescent="0.25">
      <c r="O6278" s="20" t="str">
        <f>IF(N6278="","",COUNTIFS(RawData[[Date ]],N6278,RawData[Month List],$Q$6,RawData[Tour/Site],$Q$2,RawData[[Picker ID ]],$Q$3,RawData[Checker ID],$Q$4,RawData[[Error Type ]],$Q$5))</f>
        <v/>
      </c>
    </row>
    <row r="6279" spans="15:15" x14ac:dyDescent="0.25">
      <c r="O6279" s="20" t="str">
        <f>IF(N6279="","",COUNTIFS(RawData[[Date ]],N6279,RawData[Month List],$Q$6,RawData[Tour/Site],$Q$2,RawData[[Picker ID ]],$Q$3,RawData[Checker ID],$Q$4,RawData[[Error Type ]],$Q$5))</f>
        <v/>
      </c>
    </row>
    <row r="6280" spans="15:15" x14ac:dyDescent="0.25">
      <c r="O6280" s="20" t="str">
        <f>IF(N6280="","",COUNTIFS(RawData[[Date ]],N6280,RawData[Month List],$Q$6,RawData[Tour/Site],$Q$2,RawData[[Picker ID ]],$Q$3,RawData[Checker ID],$Q$4,RawData[[Error Type ]],$Q$5))</f>
        <v/>
      </c>
    </row>
    <row r="6281" spans="15:15" x14ac:dyDescent="0.25">
      <c r="O6281" s="20" t="str">
        <f>IF(N6281="","",COUNTIFS(RawData[[Date ]],N6281,RawData[Month List],$Q$6,RawData[Tour/Site],$Q$2,RawData[[Picker ID ]],$Q$3,RawData[Checker ID],$Q$4,RawData[[Error Type ]],$Q$5))</f>
        <v/>
      </c>
    </row>
    <row r="6282" spans="15:15" x14ac:dyDescent="0.25">
      <c r="O6282" s="20" t="str">
        <f>IF(N6282="","",COUNTIFS(RawData[[Date ]],N6282,RawData[Month List],$Q$6,RawData[Tour/Site],$Q$2,RawData[[Picker ID ]],$Q$3,RawData[Checker ID],$Q$4,RawData[[Error Type ]],$Q$5))</f>
        <v/>
      </c>
    </row>
    <row r="6283" spans="15:15" x14ac:dyDescent="0.25">
      <c r="O6283" s="20" t="str">
        <f>IF(N6283="","",COUNTIFS(RawData[[Date ]],N6283,RawData[Month List],$Q$6,RawData[Tour/Site],$Q$2,RawData[[Picker ID ]],$Q$3,RawData[Checker ID],$Q$4,RawData[[Error Type ]],$Q$5))</f>
        <v/>
      </c>
    </row>
    <row r="6284" spans="15:15" x14ac:dyDescent="0.25">
      <c r="O6284" s="20" t="str">
        <f>IF(N6284="","",COUNTIFS(RawData[[Date ]],N6284,RawData[Month List],$Q$6,RawData[Tour/Site],$Q$2,RawData[[Picker ID ]],$Q$3,RawData[Checker ID],$Q$4,RawData[[Error Type ]],$Q$5))</f>
        <v/>
      </c>
    </row>
    <row r="6285" spans="15:15" x14ac:dyDescent="0.25">
      <c r="O6285" s="20" t="str">
        <f>IF(N6285="","",COUNTIFS(RawData[[Date ]],N6285,RawData[Month List],$Q$6,RawData[Tour/Site],$Q$2,RawData[[Picker ID ]],$Q$3,RawData[Checker ID],$Q$4,RawData[[Error Type ]],$Q$5))</f>
        <v/>
      </c>
    </row>
    <row r="6286" spans="15:15" x14ac:dyDescent="0.25">
      <c r="O6286" s="20" t="str">
        <f>IF(N6286="","",COUNTIFS(RawData[[Date ]],N6286,RawData[Month List],$Q$6,RawData[Tour/Site],$Q$2,RawData[[Picker ID ]],$Q$3,RawData[Checker ID],$Q$4,RawData[[Error Type ]],$Q$5))</f>
        <v/>
      </c>
    </row>
    <row r="6287" spans="15:15" x14ac:dyDescent="0.25">
      <c r="O6287" s="20" t="str">
        <f>IF(N6287="","",COUNTIFS(RawData[[Date ]],N6287,RawData[Month List],$Q$6,RawData[Tour/Site],$Q$2,RawData[[Picker ID ]],$Q$3,RawData[Checker ID],$Q$4,RawData[[Error Type ]],$Q$5))</f>
        <v/>
      </c>
    </row>
    <row r="6288" spans="15:15" x14ac:dyDescent="0.25">
      <c r="O6288" s="20" t="str">
        <f>IF(N6288="","",COUNTIFS(RawData[[Date ]],N6288,RawData[Month List],$Q$6,RawData[Tour/Site],$Q$2,RawData[[Picker ID ]],$Q$3,RawData[Checker ID],$Q$4,RawData[[Error Type ]],$Q$5))</f>
        <v/>
      </c>
    </row>
    <row r="6289" spans="15:15" x14ac:dyDescent="0.25">
      <c r="O6289" s="20" t="str">
        <f>IF(N6289="","",COUNTIFS(RawData[[Date ]],N6289,RawData[Month List],$Q$6,RawData[Tour/Site],$Q$2,RawData[[Picker ID ]],$Q$3,RawData[Checker ID],$Q$4,RawData[[Error Type ]],$Q$5))</f>
        <v/>
      </c>
    </row>
    <row r="6290" spans="15:15" x14ac:dyDescent="0.25">
      <c r="O6290" s="20" t="str">
        <f>IF(N6290="","",COUNTIFS(RawData[[Date ]],N6290,RawData[Month List],$Q$6,RawData[Tour/Site],$Q$2,RawData[[Picker ID ]],$Q$3,RawData[Checker ID],$Q$4,RawData[[Error Type ]],$Q$5))</f>
        <v/>
      </c>
    </row>
    <row r="6291" spans="15:15" x14ac:dyDescent="0.25">
      <c r="O6291" s="20" t="str">
        <f>IF(N6291="","",COUNTIFS(RawData[[Date ]],N6291,RawData[Month List],$Q$6,RawData[Tour/Site],$Q$2,RawData[[Picker ID ]],$Q$3,RawData[Checker ID],$Q$4,RawData[[Error Type ]],$Q$5))</f>
        <v/>
      </c>
    </row>
    <row r="6292" spans="15:15" x14ac:dyDescent="0.25">
      <c r="O6292" s="20" t="str">
        <f>IF(N6292="","",COUNTIFS(RawData[[Date ]],N6292,RawData[Month List],$Q$6,RawData[Tour/Site],$Q$2,RawData[[Picker ID ]],$Q$3,RawData[Checker ID],$Q$4,RawData[[Error Type ]],$Q$5))</f>
        <v/>
      </c>
    </row>
    <row r="6293" spans="15:15" x14ac:dyDescent="0.25">
      <c r="O6293" s="20" t="str">
        <f>IF(N6293="","",COUNTIFS(RawData[[Date ]],N6293,RawData[Month List],$Q$6,RawData[Tour/Site],$Q$2,RawData[[Picker ID ]],$Q$3,RawData[Checker ID],$Q$4,RawData[[Error Type ]],$Q$5))</f>
        <v/>
      </c>
    </row>
    <row r="6294" spans="15:15" x14ac:dyDescent="0.25">
      <c r="O6294" s="20" t="str">
        <f>IF(N6294="","",COUNTIFS(RawData[[Date ]],N6294,RawData[Month List],$Q$6,RawData[Tour/Site],$Q$2,RawData[[Picker ID ]],$Q$3,RawData[Checker ID],$Q$4,RawData[[Error Type ]],$Q$5))</f>
        <v/>
      </c>
    </row>
    <row r="6295" spans="15:15" x14ac:dyDescent="0.25">
      <c r="O6295" s="20" t="str">
        <f>IF(N6295="","",COUNTIFS(RawData[[Date ]],N6295,RawData[Month List],$Q$6,RawData[Tour/Site],$Q$2,RawData[[Picker ID ]],$Q$3,RawData[Checker ID],$Q$4,RawData[[Error Type ]],$Q$5))</f>
        <v/>
      </c>
    </row>
    <row r="6296" spans="15:15" x14ac:dyDescent="0.25">
      <c r="O6296" s="20" t="str">
        <f>IF(N6296="","",COUNTIFS(RawData[[Date ]],N6296,RawData[Month List],$Q$6,RawData[Tour/Site],$Q$2,RawData[[Picker ID ]],$Q$3,RawData[Checker ID],$Q$4,RawData[[Error Type ]],$Q$5))</f>
        <v/>
      </c>
    </row>
    <row r="6297" spans="15:15" x14ac:dyDescent="0.25">
      <c r="O6297" s="20" t="str">
        <f>IF(N6297="","",COUNTIFS(RawData[[Date ]],N6297,RawData[Month List],$Q$6,RawData[Tour/Site],$Q$2,RawData[[Picker ID ]],$Q$3,RawData[Checker ID],$Q$4,RawData[[Error Type ]],$Q$5))</f>
        <v/>
      </c>
    </row>
    <row r="6298" spans="15:15" x14ac:dyDescent="0.25">
      <c r="O6298" s="20" t="str">
        <f>IF(N6298="","",COUNTIFS(RawData[[Date ]],N6298,RawData[Month List],$Q$6,RawData[Tour/Site],$Q$2,RawData[[Picker ID ]],$Q$3,RawData[Checker ID],$Q$4,RawData[[Error Type ]],$Q$5))</f>
        <v/>
      </c>
    </row>
    <row r="6299" spans="15:15" x14ac:dyDescent="0.25">
      <c r="O6299" s="20" t="str">
        <f>IF(N6299="","",COUNTIFS(RawData[[Date ]],N6299,RawData[Month List],$Q$6,RawData[Tour/Site],$Q$2,RawData[[Picker ID ]],$Q$3,RawData[Checker ID],$Q$4,RawData[[Error Type ]],$Q$5))</f>
        <v/>
      </c>
    </row>
    <row r="6300" spans="15:15" x14ac:dyDescent="0.25">
      <c r="O6300" s="20" t="str">
        <f>IF(N6300="","",COUNTIFS(RawData[[Date ]],N6300,RawData[Month List],$Q$6,RawData[Tour/Site],$Q$2,RawData[[Picker ID ]],$Q$3,RawData[Checker ID],$Q$4,RawData[[Error Type ]],$Q$5))</f>
        <v/>
      </c>
    </row>
    <row r="6301" spans="15:15" x14ac:dyDescent="0.25">
      <c r="O6301" s="20" t="str">
        <f>IF(N6301="","",COUNTIFS(RawData[[Date ]],N6301,RawData[Month List],$Q$6,RawData[Tour/Site],$Q$2,RawData[[Picker ID ]],$Q$3,RawData[Checker ID],$Q$4,RawData[[Error Type ]],$Q$5))</f>
        <v/>
      </c>
    </row>
    <row r="6302" spans="15:15" x14ac:dyDescent="0.25">
      <c r="O6302" s="20" t="str">
        <f>IF(N6302="","",COUNTIFS(RawData[[Date ]],N6302,RawData[Month List],$Q$6,RawData[Tour/Site],$Q$2,RawData[[Picker ID ]],$Q$3,RawData[Checker ID],$Q$4,RawData[[Error Type ]],$Q$5))</f>
        <v/>
      </c>
    </row>
    <row r="6303" spans="15:15" x14ac:dyDescent="0.25">
      <c r="O6303" s="20" t="str">
        <f>IF(N6303="","",COUNTIFS(RawData[[Date ]],N6303,RawData[Month List],$Q$6,RawData[Tour/Site],$Q$2,RawData[[Picker ID ]],$Q$3,RawData[Checker ID],$Q$4,RawData[[Error Type ]],$Q$5))</f>
        <v/>
      </c>
    </row>
    <row r="6304" spans="15:15" x14ac:dyDescent="0.25">
      <c r="O6304" s="20" t="str">
        <f>IF(N6304="","",COUNTIFS(RawData[[Date ]],N6304,RawData[Month List],$Q$6,RawData[Tour/Site],$Q$2,RawData[[Picker ID ]],$Q$3,RawData[Checker ID],$Q$4,RawData[[Error Type ]],$Q$5))</f>
        <v/>
      </c>
    </row>
    <row r="6305" spans="15:15" x14ac:dyDescent="0.25">
      <c r="O6305" s="20" t="str">
        <f>IF(N6305="","",COUNTIFS(RawData[[Date ]],N6305,RawData[Month List],$Q$6,RawData[Tour/Site],$Q$2,RawData[[Picker ID ]],$Q$3,RawData[Checker ID],$Q$4,RawData[[Error Type ]],$Q$5))</f>
        <v/>
      </c>
    </row>
    <row r="6306" spans="15:15" x14ac:dyDescent="0.25">
      <c r="O6306" s="20" t="str">
        <f>IF(N6306="","",COUNTIFS(RawData[[Date ]],N6306,RawData[Month List],$Q$6,RawData[Tour/Site],$Q$2,RawData[[Picker ID ]],$Q$3,RawData[Checker ID],$Q$4,RawData[[Error Type ]],$Q$5))</f>
        <v/>
      </c>
    </row>
    <row r="6307" spans="15:15" x14ac:dyDescent="0.25">
      <c r="O6307" s="20" t="str">
        <f>IF(N6307="","",COUNTIFS(RawData[[Date ]],N6307,RawData[Month List],$Q$6,RawData[Tour/Site],$Q$2,RawData[[Picker ID ]],$Q$3,RawData[Checker ID],$Q$4,RawData[[Error Type ]],$Q$5))</f>
        <v/>
      </c>
    </row>
    <row r="6308" spans="15:15" x14ac:dyDescent="0.25">
      <c r="O6308" s="20" t="str">
        <f>IF(N6308="","",COUNTIFS(RawData[[Date ]],N6308,RawData[Month List],$Q$6,RawData[Tour/Site],$Q$2,RawData[[Picker ID ]],$Q$3,RawData[Checker ID],$Q$4,RawData[[Error Type ]],$Q$5))</f>
        <v/>
      </c>
    </row>
    <row r="6309" spans="15:15" x14ac:dyDescent="0.25">
      <c r="O6309" s="20" t="str">
        <f>IF(N6309="","",COUNTIFS(RawData[[Date ]],N6309,RawData[Month List],$Q$6,RawData[Tour/Site],$Q$2,RawData[[Picker ID ]],$Q$3,RawData[Checker ID],$Q$4,RawData[[Error Type ]],$Q$5))</f>
        <v/>
      </c>
    </row>
    <row r="6310" spans="15:15" x14ac:dyDescent="0.25">
      <c r="O6310" s="20" t="str">
        <f>IF(N6310="","",COUNTIFS(RawData[[Date ]],N6310,RawData[Month List],$Q$6,RawData[Tour/Site],$Q$2,RawData[[Picker ID ]],$Q$3,RawData[Checker ID],$Q$4,RawData[[Error Type ]],$Q$5))</f>
        <v/>
      </c>
    </row>
    <row r="6311" spans="15:15" x14ac:dyDescent="0.25">
      <c r="O6311" s="20" t="str">
        <f>IF(N6311="","",COUNTIFS(RawData[[Date ]],N6311,RawData[Month List],$Q$6,RawData[Tour/Site],$Q$2,RawData[[Picker ID ]],$Q$3,RawData[Checker ID],$Q$4,RawData[[Error Type ]],$Q$5))</f>
        <v/>
      </c>
    </row>
    <row r="6312" spans="15:15" x14ac:dyDescent="0.25">
      <c r="O6312" s="20" t="str">
        <f>IF(N6312="","",COUNTIFS(RawData[[Date ]],N6312,RawData[Month List],$Q$6,RawData[Tour/Site],$Q$2,RawData[[Picker ID ]],$Q$3,RawData[Checker ID],$Q$4,RawData[[Error Type ]],$Q$5))</f>
        <v/>
      </c>
    </row>
    <row r="6313" spans="15:15" x14ac:dyDescent="0.25">
      <c r="O6313" s="20" t="str">
        <f>IF(N6313="","",COUNTIFS(RawData[[Date ]],N6313,RawData[Month List],$Q$6,RawData[Tour/Site],$Q$2,RawData[[Picker ID ]],$Q$3,RawData[Checker ID],$Q$4,RawData[[Error Type ]],$Q$5))</f>
        <v/>
      </c>
    </row>
    <row r="6314" spans="15:15" x14ac:dyDescent="0.25">
      <c r="O6314" s="20" t="str">
        <f>IF(N6314="","",COUNTIFS(RawData[[Date ]],N6314,RawData[Month List],$Q$6,RawData[Tour/Site],$Q$2,RawData[[Picker ID ]],$Q$3,RawData[Checker ID],$Q$4,RawData[[Error Type ]],$Q$5))</f>
        <v/>
      </c>
    </row>
    <row r="6315" spans="15:15" x14ac:dyDescent="0.25">
      <c r="O6315" s="20" t="str">
        <f>IF(N6315="","",COUNTIFS(RawData[[Date ]],N6315,RawData[Month List],$Q$6,RawData[Tour/Site],$Q$2,RawData[[Picker ID ]],$Q$3,RawData[Checker ID],$Q$4,RawData[[Error Type ]],$Q$5))</f>
        <v/>
      </c>
    </row>
    <row r="6316" spans="15:15" x14ac:dyDescent="0.25">
      <c r="O6316" s="20" t="str">
        <f>IF(N6316="","",COUNTIFS(RawData[[Date ]],N6316,RawData[Month List],$Q$6,RawData[Tour/Site],$Q$2,RawData[[Picker ID ]],$Q$3,RawData[Checker ID],$Q$4,RawData[[Error Type ]],$Q$5))</f>
        <v/>
      </c>
    </row>
    <row r="6317" spans="15:15" x14ac:dyDescent="0.25">
      <c r="O6317" s="20" t="str">
        <f>IF(N6317="","",COUNTIFS(RawData[[Date ]],N6317,RawData[Month List],$Q$6,RawData[Tour/Site],$Q$2,RawData[[Picker ID ]],$Q$3,RawData[Checker ID],$Q$4,RawData[[Error Type ]],$Q$5))</f>
        <v/>
      </c>
    </row>
    <row r="6318" spans="15:15" x14ac:dyDescent="0.25">
      <c r="O6318" s="20" t="str">
        <f>IF(N6318="","",COUNTIFS(RawData[[Date ]],N6318,RawData[Month List],$Q$6,RawData[Tour/Site],$Q$2,RawData[[Picker ID ]],$Q$3,RawData[Checker ID],$Q$4,RawData[[Error Type ]],$Q$5))</f>
        <v/>
      </c>
    </row>
    <row r="6319" spans="15:15" x14ac:dyDescent="0.25">
      <c r="O6319" s="20" t="str">
        <f>IF(N6319="","",COUNTIFS(RawData[[Date ]],N6319,RawData[Month List],$Q$6,RawData[Tour/Site],$Q$2,RawData[[Picker ID ]],$Q$3,RawData[Checker ID],$Q$4,RawData[[Error Type ]],$Q$5))</f>
        <v/>
      </c>
    </row>
    <row r="6320" spans="15:15" x14ac:dyDescent="0.25">
      <c r="O6320" s="20" t="str">
        <f>IF(N6320="","",COUNTIFS(RawData[[Date ]],N6320,RawData[Month List],$Q$6,RawData[Tour/Site],$Q$2,RawData[[Picker ID ]],$Q$3,RawData[Checker ID],$Q$4,RawData[[Error Type ]],$Q$5))</f>
        <v/>
      </c>
    </row>
    <row r="6321" spans="15:15" x14ac:dyDescent="0.25">
      <c r="O6321" s="20" t="str">
        <f>IF(N6321="","",COUNTIFS(RawData[[Date ]],N6321,RawData[Month List],$Q$6,RawData[Tour/Site],$Q$2,RawData[[Picker ID ]],$Q$3,RawData[Checker ID],$Q$4,RawData[[Error Type ]],$Q$5))</f>
        <v/>
      </c>
    </row>
    <row r="6322" spans="15:15" x14ac:dyDescent="0.25">
      <c r="O6322" s="20" t="str">
        <f>IF(N6322="","",COUNTIFS(RawData[[Date ]],N6322,RawData[Month List],$Q$6,RawData[Tour/Site],$Q$2,RawData[[Picker ID ]],$Q$3,RawData[Checker ID],$Q$4,RawData[[Error Type ]],$Q$5))</f>
        <v/>
      </c>
    </row>
    <row r="6323" spans="15:15" x14ac:dyDescent="0.25">
      <c r="O6323" s="20" t="str">
        <f>IF(N6323="","",COUNTIFS(RawData[[Date ]],N6323,RawData[Month List],$Q$6,RawData[Tour/Site],$Q$2,RawData[[Picker ID ]],$Q$3,RawData[Checker ID],$Q$4,RawData[[Error Type ]],$Q$5))</f>
        <v/>
      </c>
    </row>
    <row r="6324" spans="15:15" x14ac:dyDescent="0.25">
      <c r="O6324" s="20" t="str">
        <f>IF(N6324="","",COUNTIFS(RawData[[Date ]],N6324,RawData[Month List],$Q$6,RawData[Tour/Site],$Q$2,RawData[[Picker ID ]],$Q$3,RawData[Checker ID],$Q$4,RawData[[Error Type ]],$Q$5))</f>
        <v/>
      </c>
    </row>
    <row r="6325" spans="15:15" x14ac:dyDescent="0.25">
      <c r="O6325" s="20" t="str">
        <f>IF(N6325="","",COUNTIFS(RawData[[Date ]],N6325,RawData[Month List],$Q$6,RawData[Tour/Site],$Q$2,RawData[[Picker ID ]],$Q$3,RawData[Checker ID],$Q$4,RawData[[Error Type ]],$Q$5))</f>
        <v/>
      </c>
    </row>
    <row r="6326" spans="15:15" x14ac:dyDescent="0.25">
      <c r="O6326" s="20" t="str">
        <f>IF(N6326="","",COUNTIFS(RawData[[Date ]],N6326,RawData[Month List],$Q$6,RawData[Tour/Site],$Q$2,RawData[[Picker ID ]],$Q$3,RawData[Checker ID],$Q$4,RawData[[Error Type ]],$Q$5))</f>
        <v/>
      </c>
    </row>
    <row r="6327" spans="15:15" x14ac:dyDescent="0.25">
      <c r="O6327" s="20" t="str">
        <f>IF(N6327="","",COUNTIFS(RawData[[Date ]],N6327,RawData[Month List],$Q$6,RawData[Tour/Site],$Q$2,RawData[[Picker ID ]],$Q$3,RawData[Checker ID],$Q$4,RawData[[Error Type ]],$Q$5))</f>
        <v/>
      </c>
    </row>
    <row r="6328" spans="15:15" x14ac:dyDescent="0.25">
      <c r="O6328" s="20" t="str">
        <f>IF(N6328="","",COUNTIFS(RawData[[Date ]],N6328,RawData[Month List],$Q$6,RawData[Tour/Site],$Q$2,RawData[[Picker ID ]],$Q$3,RawData[Checker ID],$Q$4,RawData[[Error Type ]],$Q$5))</f>
        <v/>
      </c>
    </row>
    <row r="6329" spans="15:15" x14ac:dyDescent="0.25">
      <c r="O6329" s="20" t="str">
        <f>IF(N6329="","",COUNTIFS(RawData[[Date ]],N6329,RawData[Month List],$Q$6,RawData[Tour/Site],$Q$2,RawData[[Picker ID ]],$Q$3,RawData[Checker ID],$Q$4,RawData[[Error Type ]],$Q$5))</f>
        <v/>
      </c>
    </row>
    <row r="6330" spans="15:15" x14ac:dyDescent="0.25">
      <c r="O6330" s="20" t="str">
        <f>IF(N6330="","",COUNTIFS(RawData[[Date ]],N6330,RawData[Month List],$Q$6,RawData[Tour/Site],$Q$2,RawData[[Picker ID ]],$Q$3,RawData[Checker ID],$Q$4,RawData[[Error Type ]],$Q$5))</f>
        <v/>
      </c>
    </row>
    <row r="6331" spans="15:15" x14ac:dyDescent="0.25">
      <c r="O6331" s="20" t="str">
        <f>IF(N6331="","",COUNTIFS(RawData[[Date ]],N6331,RawData[Month List],$Q$6,RawData[Tour/Site],$Q$2,RawData[[Picker ID ]],$Q$3,RawData[Checker ID],$Q$4,RawData[[Error Type ]],$Q$5))</f>
        <v/>
      </c>
    </row>
    <row r="6332" spans="15:15" x14ac:dyDescent="0.25">
      <c r="O6332" s="20" t="str">
        <f>IF(N6332="","",COUNTIFS(RawData[[Date ]],N6332,RawData[Month List],$Q$6,RawData[Tour/Site],$Q$2,RawData[[Picker ID ]],$Q$3,RawData[Checker ID],$Q$4,RawData[[Error Type ]],$Q$5))</f>
        <v/>
      </c>
    </row>
    <row r="6333" spans="15:15" x14ac:dyDescent="0.25">
      <c r="O6333" s="20" t="str">
        <f>IF(N6333="","",COUNTIFS(RawData[[Date ]],N6333,RawData[Month List],$Q$6,RawData[Tour/Site],$Q$2,RawData[[Picker ID ]],$Q$3,RawData[Checker ID],$Q$4,RawData[[Error Type ]],$Q$5))</f>
        <v/>
      </c>
    </row>
    <row r="6334" spans="15:15" x14ac:dyDescent="0.25">
      <c r="O6334" s="20" t="str">
        <f>IF(N6334="","",COUNTIFS(RawData[[Date ]],N6334,RawData[Month List],$Q$6,RawData[Tour/Site],$Q$2,RawData[[Picker ID ]],$Q$3,RawData[Checker ID],$Q$4,RawData[[Error Type ]],$Q$5))</f>
        <v/>
      </c>
    </row>
    <row r="6335" spans="15:15" x14ac:dyDescent="0.25">
      <c r="O6335" s="20" t="str">
        <f>IF(N6335="","",COUNTIFS(RawData[[Date ]],N6335,RawData[Month List],$Q$6,RawData[Tour/Site],$Q$2,RawData[[Picker ID ]],$Q$3,RawData[Checker ID],$Q$4,RawData[[Error Type ]],$Q$5))</f>
        <v/>
      </c>
    </row>
    <row r="6336" spans="15:15" x14ac:dyDescent="0.25">
      <c r="O6336" s="20" t="str">
        <f>IF(N6336="","",COUNTIFS(RawData[[Date ]],N6336,RawData[Month List],$Q$6,RawData[Tour/Site],$Q$2,RawData[[Picker ID ]],$Q$3,RawData[Checker ID],$Q$4,RawData[[Error Type ]],$Q$5))</f>
        <v/>
      </c>
    </row>
    <row r="6337" spans="15:15" x14ac:dyDescent="0.25">
      <c r="O6337" s="20" t="str">
        <f>IF(N6337="","",COUNTIFS(RawData[[Date ]],N6337,RawData[Month List],$Q$6,RawData[Tour/Site],$Q$2,RawData[[Picker ID ]],$Q$3,RawData[Checker ID],$Q$4,RawData[[Error Type ]],$Q$5))</f>
        <v/>
      </c>
    </row>
    <row r="6338" spans="15:15" x14ac:dyDescent="0.25">
      <c r="O6338" s="20" t="str">
        <f>IF(N6338="","",COUNTIFS(RawData[[Date ]],N6338,RawData[Month List],$Q$6,RawData[Tour/Site],$Q$2,RawData[[Picker ID ]],$Q$3,RawData[Checker ID],$Q$4,RawData[[Error Type ]],$Q$5))</f>
        <v/>
      </c>
    </row>
    <row r="6339" spans="15:15" x14ac:dyDescent="0.25">
      <c r="O6339" s="20" t="str">
        <f>IF(N6339="","",COUNTIFS(RawData[[Date ]],N6339,RawData[Month List],$Q$6,RawData[Tour/Site],$Q$2,RawData[[Picker ID ]],$Q$3,RawData[Checker ID],$Q$4,RawData[[Error Type ]],$Q$5))</f>
        <v/>
      </c>
    </row>
    <row r="6340" spans="15:15" x14ac:dyDescent="0.25">
      <c r="O6340" s="20" t="str">
        <f>IF(N6340="","",COUNTIFS(RawData[[Date ]],N6340,RawData[Month List],$Q$6,RawData[Tour/Site],$Q$2,RawData[[Picker ID ]],$Q$3,RawData[Checker ID],$Q$4,RawData[[Error Type ]],$Q$5))</f>
        <v/>
      </c>
    </row>
    <row r="6341" spans="15:15" x14ac:dyDescent="0.25">
      <c r="O6341" s="20" t="str">
        <f>IF(N6341="","",COUNTIFS(RawData[[Date ]],N6341,RawData[Month List],$Q$6,RawData[Tour/Site],$Q$2,RawData[[Picker ID ]],$Q$3,RawData[Checker ID],$Q$4,RawData[[Error Type ]],$Q$5))</f>
        <v/>
      </c>
    </row>
    <row r="6342" spans="15:15" x14ac:dyDescent="0.25">
      <c r="O6342" s="20" t="str">
        <f>IF(N6342="","",COUNTIFS(RawData[[Date ]],N6342,RawData[Month List],$Q$6,RawData[Tour/Site],$Q$2,RawData[[Picker ID ]],$Q$3,RawData[Checker ID],$Q$4,RawData[[Error Type ]],$Q$5))</f>
        <v/>
      </c>
    </row>
    <row r="6343" spans="15:15" x14ac:dyDescent="0.25">
      <c r="O6343" s="20" t="str">
        <f>IF(N6343="","",COUNTIFS(RawData[[Date ]],N6343,RawData[Month List],$Q$6,RawData[Tour/Site],$Q$2,RawData[[Picker ID ]],$Q$3,RawData[Checker ID],$Q$4,RawData[[Error Type ]],$Q$5))</f>
        <v/>
      </c>
    </row>
    <row r="6344" spans="15:15" x14ac:dyDescent="0.25">
      <c r="O6344" s="20" t="str">
        <f>IF(N6344="","",COUNTIFS(RawData[[Date ]],N6344,RawData[Month List],$Q$6,RawData[Tour/Site],$Q$2,RawData[[Picker ID ]],$Q$3,RawData[Checker ID],$Q$4,RawData[[Error Type ]],$Q$5))</f>
        <v/>
      </c>
    </row>
    <row r="6345" spans="15:15" x14ac:dyDescent="0.25">
      <c r="O6345" s="20" t="str">
        <f>IF(N6345="","",COUNTIFS(RawData[[Date ]],N6345,RawData[Month List],$Q$6,RawData[Tour/Site],$Q$2,RawData[[Picker ID ]],$Q$3,RawData[Checker ID],$Q$4,RawData[[Error Type ]],$Q$5))</f>
        <v/>
      </c>
    </row>
    <row r="6346" spans="15:15" x14ac:dyDescent="0.25">
      <c r="O6346" s="20" t="str">
        <f>IF(N6346="","",COUNTIFS(RawData[[Date ]],N6346,RawData[Month List],$Q$6,RawData[Tour/Site],$Q$2,RawData[[Picker ID ]],$Q$3,RawData[Checker ID],$Q$4,RawData[[Error Type ]],$Q$5))</f>
        <v/>
      </c>
    </row>
    <row r="6347" spans="15:15" x14ac:dyDescent="0.25">
      <c r="O6347" s="20" t="str">
        <f>IF(N6347="","",COUNTIFS(RawData[[Date ]],N6347,RawData[Month List],$Q$6,RawData[Tour/Site],$Q$2,RawData[[Picker ID ]],$Q$3,RawData[Checker ID],$Q$4,RawData[[Error Type ]],$Q$5))</f>
        <v/>
      </c>
    </row>
    <row r="6348" spans="15:15" x14ac:dyDescent="0.25">
      <c r="O6348" s="20" t="str">
        <f>IF(N6348="","",COUNTIFS(RawData[[Date ]],N6348,RawData[Month List],$Q$6,RawData[Tour/Site],$Q$2,RawData[[Picker ID ]],$Q$3,RawData[Checker ID],$Q$4,RawData[[Error Type ]],$Q$5))</f>
        <v/>
      </c>
    </row>
    <row r="6349" spans="15:15" x14ac:dyDescent="0.25">
      <c r="O6349" s="20" t="str">
        <f>IF(N6349="","",COUNTIFS(RawData[[Date ]],N6349,RawData[Month List],$Q$6,RawData[Tour/Site],$Q$2,RawData[[Picker ID ]],$Q$3,RawData[Checker ID],$Q$4,RawData[[Error Type ]],$Q$5))</f>
        <v/>
      </c>
    </row>
    <row r="6350" spans="15:15" x14ac:dyDescent="0.25">
      <c r="O6350" s="20" t="str">
        <f>IF(N6350="","",COUNTIFS(RawData[[Date ]],N6350,RawData[Month List],$Q$6,RawData[Tour/Site],$Q$2,RawData[[Picker ID ]],$Q$3,RawData[Checker ID],$Q$4,RawData[[Error Type ]],$Q$5))</f>
        <v/>
      </c>
    </row>
    <row r="6351" spans="15:15" x14ac:dyDescent="0.25">
      <c r="O6351" s="20" t="str">
        <f>IF(N6351="","",COUNTIFS(RawData[[Date ]],N6351,RawData[Month List],$Q$6,RawData[Tour/Site],$Q$2,RawData[[Picker ID ]],$Q$3,RawData[Checker ID],$Q$4,RawData[[Error Type ]],$Q$5))</f>
        <v/>
      </c>
    </row>
    <row r="6352" spans="15:15" x14ac:dyDescent="0.25">
      <c r="O6352" s="20" t="str">
        <f>IF(N6352="","",COUNTIFS(RawData[[Date ]],N6352,RawData[Month List],$Q$6,RawData[Tour/Site],$Q$2,RawData[[Picker ID ]],$Q$3,RawData[Checker ID],$Q$4,RawData[[Error Type ]],$Q$5))</f>
        <v/>
      </c>
    </row>
    <row r="6353" spans="15:15" x14ac:dyDescent="0.25">
      <c r="O6353" s="20" t="str">
        <f>IF(N6353="","",COUNTIFS(RawData[[Date ]],N6353,RawData[Month List],$Q$6,RawData[Tour/Site],$Q$2,RawData[[Picker ID ]],$Q$3,RawData[Checker ID],$Q$4,RawData[[Error Type ]],$Q$5))</f>
        <v/>
      </c>
    </row>
    <row r="6354" spans="15:15" x14ac:dyDescent="0.25">
      <c r="O6354" s="20" t="str">
        <f>IF(N6354="","",COUNTIFS(RawData[[Date ]],N6354,RawData[Month List],$Q$6,RawData[Tour/Site],$Q$2,RawData[[Picker ID ]],$Q$3,RawData[Checker ID],$Q$4,RawData[[Error Type ]],$Q$5))</f>
        <v/>
      </c>
    </row>
    <row r="6355" spans="15:15" x14ac:dyDescent="0.25">
      <c r="O6355" s="20" t="str">
        <f>IF(N6355="","",COUNTIFS(RawData[[Date ]],N6355,RawData[Month List],$Q$6,RawData[Tour/Site],$Q$2,RawData[[Picker ID ]],$Q$3,RawData[Checker ID],$Q$4,RawData[[Error Type ]],$Q$5))</f>
        <v/>
      </c>
    </row>
    <row r="6356" spans="15:15" x14ac:dyDescent="0.25">
      <c r="O6356" s="20" t="str">
        <f>IF(N6356="","",COUNTIFS(RawData[[Date ]],N6356,RawData[Month List],$Q$6,RawData[Tour/Site],$Q$2,RawData[[Picker ID ]],$Q$3,RawData[Checker ID],$Q$4,RawData[[Error Type ]],$Q$5))</f>
        <v/>
      </c>
    </row>
    <row r="6357" spans="15:15" x14ac:dyDescent="0.25">
      <c r="O6357" s="20" t="str">
        <f>IF(N6357="","",COUNTIFS(RawData[[Date ]],N6357,RawData[Month List],$Q$6,RawData[Tour/Site],$Q$2,RawData[[Picker ID ]],$Q$3,RawData[Checker ID],$Q$4,RawData[[Error Type ]],$Q$5))</f>
        <v/>
      </c>
    </row>
    <row r="6358" spans="15:15" x14ac:dyDescent="0.25">
      <c r="O6358" s="20" t="str">
        <f>IF(N6358="","",COUNTIFS(RawData[[Date ]],N6358,RawData[Month List],$Q$6,RawData[Tour/Site],$Q$2,RawData[[Picker ID ]],$Q$3,RawData[Checker ID],$Q$4,RawData[[Error Type ]],$Q$5))</f>
        <v/>
      </c>
    </row>
    <row r="6359" spans="15:15" x14ac:dyDescent="0.25">
      <c r="O6359" s="20" t="str">
        <f>IF(N6359="","",COUNTIFS(RawData[[Date ]],N6359,RawData[Month List],$Q$6,RawData[Tour/Site],$Q$2,RawData[[Picker ID ]],$Q$3,RawData[Checker ID],$Q$4,RawData[[Error Type ]],$Q$5))</f>
        <v/>
      </c>
    </row>
    <row r="6360" spans="15:15" x14ac:dyDescent="0.25">
      <c r="O6360" s="20" t="str">
        <f>IF(N6360="","",COUNTIFS(RawData[[Date ]],N6360,RawData[Month List],$Q$6,RawData[Tour/Site],$Q$2,RawData[[Picker ID ]],$Q$3,RawData[Checker ID],$Q$4,RawData[[Error Type ]],$Q$5))</f>
        <v/>
      </c>
    </row>
    <row r="6361" spans="15:15" x14ac:dyDescent="0.25">
      <c r="O6361" s="20" t="str">
        <f>IF(N6361="","",COUNTIFS(RawData[[Date ]],N6361,RawData[Month List],$Q$6,RawData[Tour/Site],$Q$2,RawData[[Picker ID ]],$Q$3,RawData[Checker ID],$Q$4,RawData[[Error Type ]],$Q$5))</f>
        <v/>
      </c>
    </row>
    <row r="6362" spans="15:15" x14ac:dyDescent="0.25">
      <c r="O6362" s="20" t="str">
        <f>IF(N6362="","",COUNTIFS(RawData[[Date ]],N6362,RawData[Month List],$Q$6,RawData[Tour/Site],$Q$2,RawData[[Picker ID ]],$Q$3,RawData[Checker ID],$Q$4,RawData[[Error Type ]],$Q$5))</f>
        <v/>
      </c>
    </row>
    <row r="6363" spans="15:15" x14ac:dyDescent="0.25">
      <c r="O6363" s="20" t="str">
        <f>IF(N6363="","",COUNTIFS(RawData[[Date ]],N6363,RawData[Month List],$Q$6,RawData[Tour/Site],$Q$2,RawData[[Picker ID ]],$Q$3,RawData[Checker ID],$Q$4,RawData[[Error Type ]],$Q$5))</f>
        <v/>
      </c>
    </row>
    <row r="6364" spans="15:15" x14ac:dyDescent="0.25">
      <c r="O6364" s="20" t="str">
        <f>IF(N6364="","",COUNTIFS(RawData[[Date ]],N6364,RawData[Month List],$Q$6,RawData[Tour/Site],$Q$2,RawData[[Picker ID ]],$Q$3,RawData[Checker ID],$Q$4,RawData[[Error Type ]],$Q$5))</f>
        <v/>
      </c>
    </row>
    <row r="6365" spans="15:15" x14ac:dyDescent="0.25">
      <c r="O6365" s="20" t="str">
        <f>IF(N6365="","",COUNTIFS(RawData[[Date ]],N6365,RawData[Month List],$Q$6,RawData[Tour/Site],$Q$2,RawData[[Picker ID ]],$Q$3,RawData[Checker ID],$Q$4,RawData[[Error Type ]],$Q$5))</f>
        <v/>
      </c>
    </row>
    <row r="6366" spans="15:15" x14ac:dyDescent="0.25">
      <c r="O6366" s="20" t="str">
        <f>IF(N6366="","",COUNTIFS(RawData[[Date ]],N6366,RawData[Month List],$Q$6,RawData[Tour/Site],$Q$2,RawData[[Picker ID ]],$Q$3,RawData[Checker ID],$Q$4,RawData[[Error Type ]],$Q$5))</f>
        <v/>
      </c>
    </row>
    <row r="6367" spans="15:15" x14ac:dyDescent="0.25">
      <c r="O6367" s="20" t="str">
        <f>IF(N6367="","",COUNTIFS(RawData[[Date ]],N6367,RawData[Month List],$Q$6,RawData[Tour/Site],$Q$2,RawData[[Picker ID ]],$Q$3,RawData[Checker ID],$Q$4,RawData[[Error Type ]],$Q$5))</f>
        <v/>
      </c>
    </row>
    <row r="6368" spans="15:15" x14ac:dyDescent="0.25">
      <c r="O6368" s="20" t="str">
        <f>IF(N6368="","",COUNTIFS(RawData[[Date ]],N6368,RawData[Month List],$Q$6,RawData[Tour/Site],$Q$2,RawData[[Picker ID ]],$Q$3,RawData[Checker ID],$Q$4,RawData[[Error Type ]],$Q$5))</f>
        <v/>
      </c>
    </row>
    <row r="6369" spans="15:15" x14ac:dyDescent="0.25">
      <c r="O6369" s="20" t="str">
        <f>IF(N6369="","",COUNTIFS(RawData[[Date ]],N6369,RawData[Month List],$Q$6,RawData[Tour/Site],$Q$2,RawData[[Picker ID ]],$Q$3,RawData[Checker ID],$Q$4,RawData[[Error Type ]],$Q$5))</f>
        <v/>
      </c>
    </row>
    <row r="6370" spans="15:15" x14ac:dyDescent="0.25">
      <c r="O6370" s="20" t="str">
        <f>IF(N6370="","",COUNTIFS(RawData[[Date ]],N6370,RawData[Month List],$Q$6,RawData[Tour/Site],$Q$2,RawData[[Picker ID ]],$Q$3,RawData[Checker ID],$Q$4,RawData[[Error Type ]],$Q$5))</f>
        <v/>
      </c>
    </row>
    <row r="6371" spans="15:15" x14ac:dyDescent="0.25">
      <c r="O6371" s="20" t="str">
        <f>IF(N6371="","",COUNTIFS(RawData[[Date ]],N6371,RawData[Month List],$Q$6,RawData[Tour/Site],$Q$2,RawData[[Picker ID ]],$Q$3,RawData[Checker ID],$Q$4,RawData[[Error Type ]],$Q$5))</f>
        <v/>
      </c>
    </row>
    <row r="6372" spans="15:15" x14ac:dyDescent="0.25">
      <c r="O6372" s="20" t="str">
        <f>IF(N6372="","",COUNTIFS(RawData[[Date ]],N6372,RawData[Month List],$Q$6,RawData[Tour/Site],$Q$2,RawData[[Picker ID ]],$Q$3,RawData[Checker ID],$Q$4,RawData[[Error Type ]],$Q$5))</f>
        <v/>
      </c>
    </row>
    <row r="6373" spans="15:15" x14ac:dyDescent="0.25">
      <c r="O6373" s="20" t="str">
        <f>IF(N6373="","",COUNTIFS(RawData[[Date ]],N6373,RawData[Month List],$Q$6,RawData[Tour/Site],$Q$2,RawData[[Picker ID ]],$Q$3,RawData[Checker ID],$Q$4,RawData[[Error Type ]],$Q$5))</f>
        <v/>
      </c>
    </row>
    <row r="6374" spans="15:15" x14ac:dyDescent="0.25">
      <c r="O6374" s="20" t="str">
        <f>IF(N6374="","",COUNTIFS(RawData[[Date ]],N6374,RawData[Month List],$Q$6,RawData[Tour/Site],$Q$2,RawData[[Picker ID ]],$Q$3,RawData[Checker ID],$Q$4,RawData[[Error Type ]],$Q$5))</f>
        <v/>
      </c>
    </row>
    <row r="6375" spans="15:15" x14ac:dyDescent="0.25">
      <c r="O6375" s="20" t="str">
        <f>IF(N6375="","",COUNTIFS(RawData[[Date ]],N6375,RawData[Month List],$Q$6,RawData[Tour/Site],$Q$2,RawData[[Picker ID ]],$Q$3,RawData[Checker ID],$Q$4,RawData[[Error Type ]],$Q$5))</f>
        <v/>
      </c>
    </row>
    <row r="6376" spans="15:15" x14ac:dyDescent="0.25">
      <c r="O6376" s="20" t="str">
        <f>IF(N6376="","",COUNTIFS(RawData[[Date ]],N6376,RawData[Month List],$Q$6,RawData[Tour/Site],$Q$2,RawData[[Picker ID ]],$Q$3,RawData[Checker ID],$Q$4,RawData[[Error Type ]],$Q$5))</f>
        <v/>
      </c>
    </row>
    <row r="6377" spans="15:15" x14ac:dyDescent="0.25">
      <c r="O6377" s="20" t="str">
        <f>IF(N6377="","",COUNTIFS(RawData[[Date ]],N6377,RawData[Month List],$Q$6,RawData[Tour/Site],$Q$2,RawData[[Picker ID ]],$Q$3,RawData[Checker ID],$Q$4,RawData[[Error Type ]],$Q$5))</f>
        <v/>
      </c>
    </row>
    <row r="6378" spans="15:15" x14ac:dyDescent="0.25">
      <c r="O6378" s="20" t="str">
        <f>IF(N6378="","",COUNTIFS(RawData[[Date ]],N6378,RawData[Month List],$Q$6,RawData[Tour/Site],$Q$2,RawData[[Picker ID ]],$Q$3,RawData[Checker ID],$Q$4,RawData[[Error Type ]],$Q$5))</f>
        <v/>
      </c>
    </row>
    <row r="6379" spans="15:15" x14ac:dyDescent="0.25">
      <c r="O6379" s="20" t="str">
        <f>IF(N6379="","",COUNTIFS(RawData[[Date ]],N6379,RawData[Month List],$Q$6,RawData[Tour/Site],$Q$2,RawData[[Picker ID ]],$Q$3,RawData[Checker ID],$Q$4,RawData[[Error Type ]],$Q$5))</f>
        <v/>
      </c>
    </row>
    <row r="6380" spans="15:15" x14ac:dyDescent="0.25">
      <c r="O6380" s="20" t="str">
        <f>IF(N6380="","",COUNTIFS(RawData[[Date ]],N6380,RawData[Month List],$Q$6,RawData[Tour/Site],$Q$2,RawData[[Picker ID ]],$Q$3,RawData[Checker ID],$Q$4,RawData[[Error Type ]],$Q$5))</f>
        <v/>
      </c>
    </row>
    <row r="6381" spans="15:15" x14ac:dyDescent="0.25">
      <c r="O6381" s="20" t="str">
        <f>IF(N6381="","",COUNTIFS(RawData[[Date ]],N6381,RawData[Month List],$Q$6,RawData[Tour/Site],$Q$2,RawData[[Picker ID ]],$Q$3,RawData[Checker ID],$Q$4,RawData[[Error Type ]],$Q$5))</f>
        <v/>
      </c>
    </row>
    <row r="6382" spans="15:15" x14ac:dyDescent="0.25">
      <c r="O6382" s="20" t="str">
        <f>IF(N6382="","",COUNTIFS(RawData[[Date ]],N6382,RawData[Month List],$Q$6,RawData[Tour/Site],$Q$2,RawData[[Picker ID ]],$Q$3,RawData[Checker ID],$Q$4,RawData[[Error Type ]],$Q$5))</f>
        <v/>
      </c>
    </row>
    <row r="6383" spans="15:15" x14ac:dyDescent="0.25">
      <c r="O6383" s="20" t="str">
        <f>IF(N6383="","",COUNTIFS(RawData[[Date ]],N6383,RawData[Month List],$Q$6,RawData[Tour/Site],$Q$2,RawData[[Picker ID ]],$Q$3,RawData[Checker ID],$Q$4,RawData[[Error Type ]],$Q$5))</f>
        <v/>
      </c>
    </row>
    <row r="6384" spans="15:15" x14ac:dyDescent="0.25">
      <c r="O6384" s="20" t="str">
        <f>IF(N6384="","",COUNTIFS(RawData[[Date ]],N6384,RawData[Month List],$Q$6,RawData[Tour/Site],$Q$2,RawData[[Picker ID ]],$Q$3,RawData[Checker ID],$Q$4,RawData[[Error Type ]],$Q$5))</f>
        <v/>
      </c>
    </row>
    <row r="6385" spans="15:15" x14ac:dyDescent="0.25">
      <c r="O6385" s="20" t="str">
        <f>IF(N6385="","",COUNTIFS(RawData[[Date ]],N6385,RawData[Month List],$Q$6,RawData[Tour/Site],$Q$2,RawData[[Picker ID ]],$Q$3,RawData[Checker ID],$Q$4,RawData[[Error Type ]],$Q$5))</f>
        <v/>
      </c>
    </row>
    <row r="6386" spans="15:15" x14ac:dyDescent="0.25">
      <c r="O6386" s="20" t="str">
        <f>IF(N6386="","",COUNTIFS(RawData[[Date ]],N6386,RawData[Month List],$Q$6,RawData[Tour/Site],$Q$2,RawData[[Picker ID ]],$Q$3,RawData[Checker ID],$Q$4,RawData[[Error Type ]],$Q$5))</f>
        <v/>
      </c>
    </row>
    <row r="6387" spans="15:15" x14ac:dyDescent="0.25">
      <c r="O6387" s="20" t="str">
        <f>IF(N6387="","",COUNTIFS(RawData[[Date ]],N6387,RawData[Month List],$Q$6,RawData[Tour/Site],$Q$2,RawData[[Picker ID ]],$Q$3,RawData[Checker ID],$Q$4,RawData[[Error Type ]],$Q$5))</f>
        <v/>
      </c>
    </row>
    <row r="6388" spans="15:15" x14ac:dyDescent="0.25">
      <c r="O6388" s="20" t="str">
        <f>IF(N6388="","",COUNTIFS(RawData[[Date ]],N6388,RawData[Month List],$Q$6,RawData[Tour/Site],$Q$2,RawData[[Picker ID ]],$Q$3,RawData[Checker ID],$Q$4,RawData[[Error Type ]],$Q$5))</f>
        <v/>
      </c>
    </row>
    <row r="6389" spans="15:15" x14ac:dyDescent="0.25">
      <c r="O6389" s="20" t="str">
        <f>IF(N6389="","",COUNTIFS(RawData[[Date ]],N6389,RawData[Month List],$Q$6,RawData[Tour/Site],$Q$2,RawData[[Picker ID ]],$Q$3,RawData[Checker ID],$Q$4,RawData[[Error Type ]],$Q$5))</f>
        <v/>
      </c>
    </row>
    <row r="6390" spans="15:15" x14ac:dyDescent="0.25">
      <c r="O6390" s="20" t="str">
        <f>IF(N6390="","",COUNTIFS(RawData[[Date ]],N6390,RawData[Month List],$Q$6,RawData[Tour/Site],$Q$2,RawData[[Picker ID ]],$Q$3,RawData[Checker ID],$Q$4,RawData[[Error Type ]],$Q$5))</f>
        <v/>
      </c>
    </row>
    <row r="6391" spans="15:15" x14ac:dyDescent="0.25">
      <c r="O6391" s="20" t="str">
        <f>IF(N6391="","",COUNTIFS(RawData[[Date ]],N6391,RawData[Month List],$Q$6,RawData[Tour/Site],$Q$2,RawData[[Picker ID ]],$Q$3,RawData[Checker ID],$Q$4,RawData[[Error Type ]],$Q$5))</f>
        <v/>
      </c>
    </row>
    <row r="6392" spans="15:15" x14ac:dyDescent="0.25">
      <c r="O6392" s="20" t="str">
        <f>IF(N6392="","",COUNTIFS(RawData[[Date ]],N6392,RawData[Month List],$Q$6,RawData[Tour/Site],$Q$2,RawData[[Picker ID ]],$Q$3,RawData[Checker ID],$Q$4,RawData[[Error Type ]],$Q$5))</f>
        <v/>
      </c>
    </row>
    <row r="6393" spans="15:15" x14ac:dyDescent="0.25">
      <c r="O6393" s="20" t="str">
        <f>IF(N6393="","",COUNTIFS(RawData[[Date ]],N6393,RawData[Month List],$Q$6,RawData[Tour/Site],$Q$2,RawData[[Picker ID ]],$Q$3,RawData[Checker ID],$Q$4,RawData[[Error Type ]],$Q$5))</f>
        <v/>
      </c>
    </row>
    <row r="6394" spans="15:15" x14ac:dyDescent="0.25">
      <c r="O6394" s="20" t="str">
        <f>IF(N6394="","",COUNTIFS(RawData[[Date ]],N6394,RawData[Month List],$Q$6,RawData[Tour/Site],$Q$2,RawData[[Picker ID ]],$Q$3,RawData[Checker ID],$Q$4,RawData[[Error Type ]],$Q$5))</f>
        <v/>
      </c>
    </row>
    <row r="6395" spans="15:15" x14ac:dyDescent="0.25">
      <c r="O6395" s="20" t="str">
        <f>IF(N6395="","",COUNTIFS(RawData[[Date ]],N6395,RawData[Month List],$Q$6,RawData[Tour/Site],$Q$2,RawData[[Picker ID ]],$Q$3,RawData[Checker ID],$Q$4,RawData[[Error Type ]],$Q$5))</f>
        <v/>
      </c>
    </row>
    <row r="6396" spans="15:15" x14ac:dyDescent="0.25">
      <c r="O6396" s="20" t="str">
        <f>IF(N6396="","",COUNTIFS(RawData[[Date ]],N6396,RawData[Month List],$Q$6,RawData[Tour/Site],$Q$2,RawData[[Picker ID ]],$Q$3,RawData[Checker ID],$Q$4,RawData[[Error Type ]],$Q$5))</f>
        <v/>
      </c>
    </row>
    <row r="6397" spans="15:15" x14ac:dyDescent="0.25">
      <c r="O6397" s="20" t="str">
        <f>IF(N6397="","",COUNTIFS(RawData[[Date ]],N6397,RawData[Month List],$Q$6,RawData[Tour/Site],$Q$2,RawData[[Picker ID ]],$Q$3,RawData[Checker ID],$Q$4,RawData[[Error Type ]],$Q$5))</f>
        <v/>
      </c>
    </row>
    <row r="6398" spans="15:15" x14ac:dyDescent="0.25">
      <c r="O6398" s="20" t="str">
        <f>IF(N6398="","",COUNTIFS(RawData[[Date ]],N6398,RawData[Month List],$Q$6,RawData[Tour/Site],$Q$2,RawData[[Picker ID ]],$Q$3,RawData[Checker ID],$Q$4,RawData[[Error Type ]],$Q$5))</f>
        <v/>
      </c>
    </row>
    <row r="6399" spans="15:15" x14ac:dyDescent="0.25">
      <c r="O6399" s="20" t="str">
        <f>IF(N6399="","",COUNTIFS(RawData[[Date ]],N6399,RawData[Month List],$Q$6,RawData[Tour/Site],$Q$2,RawData[[Picker ID ]],$Q$3,RawData[Checker ID],$Q$4,RawData[[Error Type ]],$Q$5))</f>
        <v/>
      </c>
    </row>
    <row r="6400" spans="15:15" x14ac:dyDescent="0.25">
      <c r="O6400" s="20" t="str">
        <f>IF(N6400="","",COUNTIFS(RawData[[Date ]],N6400,RawData[Month List],$Q$6,RawData[Tour/Site],$Q$2,RawData[[Picker ID ]],$Q$3,RawData[Checker ID],$Q$4,RawData[[Error Type ]],$Q$5))</f>
        <v/>
      </c>
    </row>
    <row r="6401" spans="15:15" x14ac:dyDescent="0.25">
      <c r="O6401" s="20" t="str">
        <f>IF(N6401="","",COUNTIFS(RawData[[Date ]],N6401,RawData[Month List],$Q$6,RawData[Tour/Site],$Q$2,RawData[[Picker ID ]],$Q$3,RawData[Checker ID],$Q$4,RawData[[Error Type ]],$Q$5))</f>
        <v/>
      </c>
    </row>
    <row r="6402" spans="15:15" x14ac:dyDescent="0.25">
      <c r="O6402" s="20" t="str">
        <f>IF(N6402="","",COUNTIFS(RawData[[Date ]],N6402,RawData[Month List],$Q$6,RawData[Tour/Site],$Q$2,RawData[[Picker ID ]],$Q$3,RawData[Checker ID],$Q$4,RawData[[Error Type ]],$Q$5))</f>
        <v/>
      </c>
    </row>
    <row r="6403" spans="15:15" x14ac:dyDescent="0.25">
      <c r="O6403" s="20" t="str">
        <f>IF(N6403="","",COUNTIFS(RawData[[Date ]],N6403,RawData[Month List],$Q$6,RawData[Tour/Site],$Q$2,RawData[[Picker ID ]],$Q$3,RawData[Checker ID],$Q$4,RawData[[Error Type ]],$Q$5))</f>
        <v/>
      </c>
    </row>
    <row r="6404" spans="15:15" x14ac:dyDescent="0.25">
      <c r="O6404" s="20" t="str">
        <f>IF(N6404="","",COUNTIFS(RawData[[Date ]],N6404,RawData[Month List],$Q$6,RawData[Tour/Site],$Q$2,RawData[[Picker ID ]],$Q$3,RawData[Checker ID],$Q$4,RawData[[Error Type ]],$Q$5))</f>
        <v/>
      </c>
    </row>
    <row r="6405" spans="15:15" x14ac:dyDescent="0.25">
      <c r="O6405" s="20" t="str">
        <f>IF(N6405="","",COUNTIFS(RawData[[Date ]],N6405,RawData[Month List],$Q$6,RawData[Tour/Site],$Q$2,RawData[[Picker ID ]],$Q$3,RawData[Checker ID],$Q$4,RawData[[Error Type ]],$Q$5))</f>
        <v/>
      </c>
    </row>
    <row r="6406" spans="15:15" x14ac:dyDescent="0.25">
      <c r="O6406" s="20" t="str">
        <f>IF(N6406="","",COUNTIFS(RawData[[Date ]],N6406,RawData[Month List],$Q$6,RawData[Tour/Site],$Q$2,RawData[[Picker ID ]],$Q$3,RawData[Checker ID],$Q$4,RawData[[Error Type ]],$Q$5))</f>
        <v/>
      </c>
    </row>
    <row r="6407" spans="15:15" x14ac:dyDescent="0.25">
      <c r="O6407" s="20" t="str">
        <f>IF(N6407="","",COUNTIFS(RawData[[Date ]],N6407,RawData[Month List],$Q$6,RawData[Tour/Site],$Q$2,RawData[[Picker ID ]],$Q$3,RawData[Checker ID],$Q$4,RawData[[Error Type ]],$Q$5))</f>
        <v/>
      </c>
    </row>
    <row r="6408" spans="15:15" x14ac:dyDescent="0.25">
      <c r="O6408" s="20" t="str">
        <f>IF(N6408="","",COUNTIFS(RawData[[Date ]],N6408,RawData[Month List],$Q$6,RawData[Tour/Site],$Q$2,RawData[[Picker ID ]],$Q$3,RawData[Checker ID],$Q$4,RawData[[Error Type ]],$Q$5))</f>
        <v/>
      </c>
    </row>
    <row r="6409" spans="15:15" x14ac:dyDescent="0.25">
      <c r="O6409" s="20" t="str">
        <f>IF(N6409="","",COUNTIFS(RawData[[Date ]],N6409,RawData[Month List],$Q$6,RawData[Tour/Site],$Q$2,RawData[[Picker ID ]],$Q$3,RawData[Checker ID],$Q$4,RawData[[Error Type ]],$Q$5))</f>
        <v/>
      </c>
    </row>
    <row r="6410" spans="15:15" x14ac:dyDescent="0.25">
      <c r="O6410" s="20" t="str">
        <f>IF(N6410="","",COUNTIFS(RawData[[Date ]],N6410,RawData[Month List],$Q$6,RawData[Tour/Site],$Q$2,RawData[[Picker ID ]],$Q$3,RawData[Checker ID],$Q$4,RawData[[Error Type ]],$Q$5))</f>
        <v/>
      </c>
    </row>
    <row r="6411" spans="15:15" x14ac:dyDescent="0.25">
      <c r="O6411" s="20" t="str">
        <f>IF(N6411="","",COUNTIFS(RawData[[Date ]],N6411,RawData[Month List],$Q$6,RawData[Tour/Site],$Q$2,RawData[[Picker ID ]],$Q$3,RawData[Checker ID],$Q$4,RawData[[Error Type ]],$Q$5))</f>
        <v/>
      </c>
    </row>
    <row r="6412" spans="15:15" x14ac:dyDescent="0.25">
      <c r="O6412" s="20" t="str">
        <f>IF(N6412="","",COUNTIFS(RawData[[Date ]],N6412,RawData[Month List],$Q$6,RawData[Tour/Site],$Q$2,RawData[[Picker ID ]],$Q$3,RawData[Checker ID],$Q$4,RawData[[Error Type ]],$Q$5))</f>
        <v/>
      </c>
    </row>
    <row r="6413" spans="15:15" x14ac:dyDescent="0.25">
      <c r="O6413" s="20" t="str">
        <f>IF(N6413="","",COUNTIFS(RawData[[Date ]],N6413,RawData[Month List],$Q$6,RawData[Tour/Site],$Q$2,RawData[[Picker ID ]],$Q$3,RawData[Checker ID],$Q$4,RawData[[Error Type ]],$Q$5))</f>
        <v/>
      </c>
    </row>
    <row r="6414" spans="15:15" x14ac:dyDescent="0.25">
      <c r="O6414" s="20" t="str">
        <f>IF(N6414="","",COUNTIFS(RawData[[Date ]],N6414,RawData[Month List],$Q$6,RawData[Tour/Site],$Q$2,RawData[[Picker ID ]],$Q$3,RawData[Checker ID],$Q$4,RawData[[Error Type ]],$Q$5))</f>
        <v/>
      </c>
    </row>
    <row r="6415" spans="15:15" x14ac:dyDescent="0.25">
      <c r="O6415" s="20" t="str">
        <f>IF(N6415="","",COUNTIFS(RawData[[Date ]],N6415,RawData[Month List],$Q$6,RawData[Tour/Site],$Q$2,RawData[[Picker ID ]],$Q$3,RawData[Checker ID],$Q$4,RawData[[Error Type ]],$Q$5))</f>
        <v/>
      </c>
    </row>
    <row r="6416" spans="15:15" x14ac:dyDescent="0.25">
      <c r="O6416" s="20" t="str">
        <f>IF(N6416="","",COUNTIFS(RawData[[Date ]],N6416,RawData[Month List],$Q$6,RawData[Tour/Site],$Q$2,RawData[[Picker ID ]],$Q$3,RawData[Checker ID],$Q$4,RawData[[Error Type ]],$Q$5))</f>
        <v/>
      </c>
    </row>
    <row r="6417" spans="15:15" x14ac:dyDescent="0.25">
      <c r="O6417" s="20" t="str">
        <f>IF(N6417="","",COUNTIFS(RawData[[Date ]],N6417,RawData[Month List],$Q$6,RawData[Tour/Site],$Q$2,RawData[[Picker ID ]],$Q$3,RawData[Checker ID],$Q$4,RawData[[Error Type ]],$Q$5))</f>
        <v/>
      </c>
    </row>
    <row r="6418" spans="15:15" x14ac:dyDescent="0.25">
      <c r="O6418" s="20" t="str">
        <f>IF(N6418="","",COUNTIFS(RawData[[Date ]],N6418,RawData[Month List],$Q$6,RawData[Tour/Site],$Q$2,RawData[[Picker ID ]],$Q$3,RawData[Checker ID],$Q$4,RawData[[Error Type ]],$Q$5))</f>
        <v/>
      </c>
    </row>
    <row r="6419" spans="15:15" x14ac:dyDescent="0.25">
      <c r="O6419" s="20" t="str">
        <f>IF(N6419="","",COUNTIFS(RawData[[Date ]],N6419,RawData[Month List],$Q$6,RawData[Tour/Site],$Q$2,RawData[[Picker ID ]],$Q$3,RawData[Checker ID],$Q$4,RawData[[Error Type ]],$Q$5))</f>
        <v/>
      </c>
    </row>
    <row r="6420" spans="15:15" x14ac:dyDescent="0.25">
      <c r="O6420" s="20" t="str">
        <f>IF(N6420="","",COUNTIFS(RawData[[Date ]],N6420,RawData[Month List],$Q$6,RawData[Tour/Site],$Q$2,RawData[[Picker ID ]],$Q$3,RawData[Checker ID],$Q$4,RawData[[Error Type ]],$Q$5))</f>
        <v/>
      </c>
    </row>
    <row r="6421" spans="15:15" x14ac:dyDescent="0.25">
      <c r="O6421" s="20" t="str">
        <f>IF(N6421="","",COUNTIFS(RawData[[Date ]],N6421,RawData[Month List],$Q$6,RawData[Tour/Site],$Q$2,RawData[[Picker ID ]],$Q$3,RawData[Checker ID],$Q$4,RawData[[Error Type ]],$Q$5))</f>
        <v/>
      </c>
    </row>
    <row r="6422" spans="15:15" x14ac:dyDescent="0.25">
      <c r="O6422" s="20" t="str">
        <f>IF(N6422="","",COUNTIFS(RawData[[Date ]],N6422,RawData[Month List],$Q$6,RawData[Tour/Site],$Q$2,RawData[[Picker ID ]],$Q$3,RawData[Checker ID],$Q$4,RawData[[Error Type ]],$Q$5))</f>
        <v/>
      </c>
    </row>
    <row r="6423" spans="15:15" x14ac:dyDescent="0.25">
      <c r="O6423" s="20" t="str">
        <f>IF(N6423="","",COUNTIFS(RawData[[Date ]],N6423,RawData[Month List],$Q$6,RawData[Tour/Site],$Q$2,RawData[[Picker ID ]],$Q$3,RawData[Checker ID],$Q$4,RawData[[Error Type ]],$Q$5))</f>
        <v/>
      </c>
    </row>
    <row r="6424" spans="15:15" x14ac:dyDescent="0.25">
      <c r="O6424" s="20" t="str">
        <f>IF(N6424="","",COUNTIFS(RawData[[Date ]],N6424,RawData[Month List],$Q$6,RawData[Tour/Site],$Q$2,RawData[[Picker ID ]],$Q$3,RawData[Checker ID],$Q$4,RawData[[Error Type ]],$Q$5))</f>
        <v/>
      </c>
    </row>
    <row r="6425" spans="15:15" x14ac:dyDescent="0.25">
      <c r="O6425" s="20" t="str">
        <f>IF(N6425="","",COUNTIFS(RawData[[Date ]],N6425,RawData[Month List],$Q$6,RawData[Tour/Site],$Q$2,RawData[[Picker ID ]],$Q$3,RawData[Checker ID],$Q$4,RawData[[Error Type ]],$Q$5))</f>
        <v/>
      </c>
    </row>
    <row r="6426" spans="15:15" x14ac:dyDescent="0.25">
      <c r="O6426" s="20" t="str">
        <f>IF(N6426="","",COUNTIFS(RawData[[Date ]],N6426,RawData[Month List],$Q$6,RawData[Tour/Site],$Q$2,RawData[[Picker ID ]],$Q$3,RawData[Checker ID],$Q$4,RawData[[Error Type ]],$Q$5))</f>
        <v/>
      </c>
    </row>
    <row r="6427" spans="15:15" x14ac:dyDescent="0.25">
      <c r="O6427" s="20" t="str">
        <f>IF(N6427="","",COUNTIFS(RawData[[Date ]],N6427,RawData[Month List],$Q$6,RawData[Tour/Site],$Q$2,RawData[[Picker ID ]],$Q$3,RawData[Checker ID],$Q$4,RawData[[Error Type ]],$Q$5))</f>
        <v/>
      </c>
    </row>
    <row r="6428" spans="15:15" x14ac:dyDescent="0.25">
      <c r="O6428" s="20" t="str">
        <f>IF(N6428="","",COUNTIFS(RawData[[Date ]],N6428,RawData[Month List],$Q$6,RawData[Tour/Site],$Q$2,RawData[[Picker ID ]],$Q$3,RawData[Checker ID],$Q$4,RawData[[Error Type ]],$Q$5))</f>
        <v/>
      </c>
    </row>
    <row r="6429" spans="15:15" x14ac:dyDescent="0.25">
      <c r="O6429" s="20" t="str">
        <f>IF(N6429="","",COUNTIFS(RawData[[Date ]],N6429,RawData[Month List],$Q$6,RawData[Tour/Site],$Q$2,RawData[[Picker ID ]],$Q$3,RawData[Checker ID],$Q$4,RawData[[Error Type ]],$Q$5))</f>
        <v/>
      </c>
    </row>
    <row r="6430" spans="15:15" x14ac:dyDescent="0.25">
      <c r="O6430" s="20" t="str">
        <f>IF(N6430="","",COUNTIFS(RawData[[Date ]],N6430,RawData[Month List],$Q$6,RawData[Tour/Site],$Q$2,RawData[[Picker ID ]],$Q$3,RawData[Checker ID],$Q$4,RawData[[Error Type ]],$Q$5))</f>
        <v/>
      </c>
    </row>
    <row r="6431" spans="15:15" x14ac:dyDescent="0.25">
      <c r="O6431" s="20" t="str">
        <f>IF(N6431="","",COUNTIFS(RawData[[Date ]],N6431,RawData[Month List],$Q$6,RawData[Tour/Site],$Q$2,RawData[[Picker ID ]],$Q$3,RawData[Checker ID],$Q$4,RawData[[Error Type ]],$Q$5))</f>
        <v/>
      </c>
    </row>
    <row r="6432" spans="15:15" x14ac:dyDescent="0.25">
      <c r="O6432" s="20" t="str">
        <f>IF(N6432="","",COUNTIFS(RawData[[Date ]],N6432,RawData[Month List],$Q$6,RawData[Tour/Site],$Q$2,RawData[[Picker ID ]],$Q$3,RawData[Checker ID],$Q$4,RawData[[Error Type ]],$Q$5))</f>
        <v/>
      </c>
    </row>
    <row r="6433" spans="15:15" x14ac:dyDescent="0.25">
      <c r="O6433" s="20" t="str">
        <f>IF(N6433="","",COUNTIFS(RawData[[Date ]],N6433,RawData[Month List],$Q$6,RawData[Tour/Site],$Q$2,RawData[[Picker ID ]],$Q$3,RawData[Checker ID],$Q$4,RawData[[Error Type ]],$Q$5))</f>
        <v/>
      </c>
    </row>
    <row r="6434" spans="15:15" x14ac:dyDescent="0.25">
      <c r="O6434" s="20" t="str">
        <f>IF(N6434="","",COUNTIFS(RawData[[Date ]],N6434,RawData[Month List],$Q$6,RawData[Tour/Site],$Q$2,RawData[[Picker ID ]],$Q$3,RawData[Checker ID],$Q$4,RawData[[Error Type ]],$Q$5))</f>
        <v/>
      </c>
    </row>
    <row r="6435" spans="15:15" x14ac:dyDescent="0.25">
      <c r="O6435" s="20" t="str">
        <f>IF(N6435="","",COUNTIFS(RawData[[Date ]],N6435,RawData[Month List],$Q$6,RawData[Tour/Site],$Q$2,RawData[[Picker ID ]],$Q$3,RawData[Checker ID],$Q$4,RawData[[Error Type ]],$Q$5))</f>
        <v/>
      </c>
    </row>
    <row r="6436" spans="15:15" x14ac:dyDescent="0.25">
      <c r="O6436" s="20" t="str">
        <f>IF(N6436="","",COUNTIFS(RawData[[Date ]],N6436,RawData[Month List],$Q$6,RawData[Tour/Site],$Q$2,RawData[[Picker ID ]],$Q$3,RawData[Checker ID],$Q$4,RawData[[Error Type ]],$Q$5))</f>
        <v/>
      </c>
    </row>
    <row r="6437" spans="15:15" x14ac:dyDescent="0.25">
      <c r="O6437" s="20" t="str">
        <f>IF(N6437="","",COUNTIFS(RawData[[Date ]],N6437,RawData[Month List],$Q$6,RawData[Tour/Site],$Q$2,RawData[[Picker ID ]],$Q$3,RawData[Checker ID],$Q$4,RawData[[Error Type ]],$Q$5))</f>
        <v/>
      </c>
    </row>
    <row r="6438" spans="15:15" x14ac:dyDescent="0.25">
      <c r="O6438" s="20" t="str">
        <f>IF(N6438="","",COUNTIFS(RawData[[Date ]],N6438,RawData[Month List],$Q$6,RawData[Tour/Site],$Q$2,RawData[[Picker ID ]],$Q$3,RawData[Checker ID],$Q$4,RawData[[Error Type ]],$Q$5))</f>
        <v/>
      </c>
    </row>
    <row r="6439" spans="15:15" x14ac:dyDescent="0.25">
      <c r="O6439" s="20" t="str">
        <f>IF(N6439="","",COUNTIFS(RawData[[Date ]],N6439,RawData[Month List],$Q$6,RawData[Tour/Site],$Q$2,RawData[[Picker ID ]],$Q$3,RawData[Checker ID],$Q$4,RawData[[Error Type ]],$Q$5))</f>
        <v/>
      </c>
    </row>
    <row r="6440" spans="15:15" x14ac:dyDescent="0.25">
      <c r="O6440" s="20" t="str">
        <f>IF(N6440="","",COUNTIFS(RawData[[Date ]],N6440,RawData[Month List],$Q$6,RawData[Tour/Site],$Q$2,RawData[[Picker ID ]],$Q$3,RawData[Checker ID],$Q$4,RawData[[Error Type ]],$Q$5))</f>
        <v/>
      </c>
    </row>
    <row r="6441" spans="15:15" x14ac:dyDescent="0.25">
      <c r="O6441" s="20" t="str">
        <f>IF(N6441="","",COUNTIFS(RawData[[Date ]],N6441,RawData[Month List],$Q$6,RawData[Tour/Site],$Q$2,RawData[[Picker ID ]],$Q$3,RawData[Checker ID],$Q$4,RawData[[Error Type ]],$Q$5))</f>
        <v/>
      </c>
    </row>
    <row r="6442" spans="15:15" x14ac:dyDescent="0.25">
      <c r="O6442" s="20" t="str">
        <f>IF(N6442="","",COUNTIFS(RawData[[Date ]],N6442,RawData[Month List],$Q$6,RawData[Tour/Site],$Q$2,RawData[[Picker ID ]],$Q$3,RawData[Checker ID],$Q$4,RawData[[Error Type ]],$Q$5))</f>
        <v/>
      </c>
    </row>
    <row r="6443" spans="15:15" x14ac:dyDescent="0.25">
      <c r="O6443" s="20" t="str">
        <f>IF(N6443="","",COUNTIFS(RawData[[Date ]],N6443,RawData[Month List],$Q$6,RawData[Tour/Site],$Q$2,RawData[[Picker ID ]],$Q$3,RawData[Checker ID],$Q$4,RawData[[Error Type ]],$Q$5))</f>
        <v/>
      </c>
    </row>
    <row r="6444" spans="15:15" x14ac:dyDescent="0.25">
      <c r="O6444" s="20" t="str">
        <f>IF(N6444="","",COUNTIFS(RawData[[Date ]],N6444,RawData[Month List],$Q$6,RawData[Tour/Site],$Q$2,RawData[[Picker ID ]],$Q$3,RawData[Checker ID],$Q$4,RawData[[Error Type ]],$Q$5))</f>
        <v/>
      </c>
    </row>
    <row r="6445" spans="15:15" x14ac:dyDescent="0.25">
      <c r="O6445" s="20" t="str">
        <f>IF(N6445="","",COUNTIFS(RawData[[Date ]],N6445,RawData[Month List],$Q$6,RawData[Tour/Site],$Q$2,RawData[[Picker ID ]],$Q$3,RawData[Checker ID],$Q$4,RawData[[Error Type ]],$Q$5))</f>
        <v/>
      </c>
    </row>
    <row r="6446" spans="15:15" x14ac:dyDescent="0.25">
      <c r="O6446" s="20" t="str">
        <f>IF(N6446="","",COUNTIFS(RawData[[Date ]],N6446,RawData[Month List],$Q$6,RawData[Tour/Site],$Q$2,RawData[[Picker ID ]],$Q$3,RawData[Checker ID],$Q$4,RawData[[Error Type ]],$Q$5))</f>
        <v/>
      </c>
    </row>
    <row r="6447" spans="15:15" x14ac:dyDescent="0.25">
      <c r="O6447" s="20" t="str">
        <f>IF(N6447="","",COUNTIFS(RawData[[Date ]],N6447,RawData[Month List],$Q$6,RawData[Tour/Site],$Q$2,RawData[[Picker ID ]],$Q$3,RawData[Checker ID],$Q$4,RawData[[Error Type ]],$Q$5))</f>
        <v/>
      </c>
    </row>
    <row r="6448" spans="15:15" x14ac:dyDescent="0.25">
      <c r="O6448" s="20" t="str">
        <f>IF(N6448="","",COUNTIFS(RawData[[Date ]],N6448,RawData[Month List],$Q$6,RawData[Tour/Site],$Q$2,RawData[[Picker ID ]],$Q$3,RawData[Checker ID],$Q$4,RawData[[Error Type ]],$Q$5))</f>
        <v/>
      </c>
    </row>
    <row r="6449" spans="15:15" x14ac:dyDescent="0.25">
      <c r="O6449" s="20" t="str">
        <f>IF(N6449="","",COUNTIFS(RawData[[Date ]],N6449,RawData[Month List],$Q$6,RawData[Tour/Site],$Q$2,RawData[[Picker ID ]],$Q$3,RawData[Checker ID],$Q$4,RawData[[Error Type ]],$Q$5))</f>
        <v/>
      </c>
    </row>
    <row r="6450" spans="15:15" x14ac:dyDescent="0.25">
      <c r="O6450" s="20" t="str">
        <f>IF(N6450="","",COUNTIFS(RawData[[Date ]],N6450,RawData[Month List],$Q$6,RawData[Tour/Site],$Q$2,RawData[[Picker ID ]],$Q$3,RawData[Checker ID],$Q$4,RawData[[Error Type ]],$Q$5))</f>
        <v/>
      </c>
    </row>
    <row r="6451" spans="15:15" x14ac:dyDescent="0.25">
      <c r="O6451" s="20" t="str">
        <f>IF(N6451="","",COUNTIFS(RawData[[Date ]],N6451,RawData[Month List],$Q$6,RawData[Tour/Site],$Q$2,RawData[[Picker ID ]],$Q$3,RawData[Checker ID],$Q$4,RawData[[Error Type ]],$Q$5))</f>
        <v/>
      </c>
    </row>
    <row r="6452" spans="15:15" x14ac:dyDescent="0.25">
      <c r="O6452" s="20" t="str">
        <f>IF(N6452="","",COUNTIFS(RawData[[Date ]],N6452,RawData[Month List],$Q$6,RawData[Tour/Site],$Q$2,RawData[[Picker ID ]],$Q$3,RawData[Checker ID],$Q$4,RawData[[Error Type ]],$Q$5))</f>
        <v/>
      </c>
    </row>
    <row r="6453" spans="15:15" x14ac:dyDescent="0.25">
      <c r="O6453" s="20" t="str">
        <f>IF(N6453="","",COUNTIFS(RawData[[Date ]],N6453,RawData[Month List],$Q$6,RawData[Tour/Site],$Q$2,RawData[[Picker ID ]],$Q$3,RawData[Checker ID],$Q$4,RawData[[Error Type ]],$Q$5))</f>
        <v/>
      </c>
    </row>
    <row r="6454" spans="15:15" x14ac:dyDescent="0.25">
      <c r="O6454" s="20" t="str">
        <f>IF(N6454="","",COUNTIFS(RawData[[Date ]],N6454,RawData[Month List],$Q$6,RawData[Tour/Site],$Q$2,RawData[[Picker ID ]],$Q$3,RawData[Checker ID],$Q$4,RawData[[Error Type ]],$Q$5))</f>
        <v/>
      </c>
    </row>
    <row r="6455" spans="15:15" x14ac:dyDescent="0.25">
      <c r="O6455" s="20" t="str">
        <f>IF(N6455="","",COUNTIFS(RawData[[Date ]],N6455,RawData[Month List],$Q$6,RawData[Tour/Site],$Q$2,RawData[[Picker ID ]],$Q$3,RawData[Checker ID],$Q$4,RawData[[Error Type ]],$Q$5))</f>
        <v/>
      </c>
    </row>
    <row r="6456" spans="15:15" x14ac:dyDescent="0.25">
      <c r="O6456" s="20" t="str">
        <f>IF(N6456="","",COUNTIFS(RawData[[Date ]],N6456,RawData[Month List],$Q$6,RawData[Tour/Site],$Q$2,RawData[[Picker ID ]],$Q$3,RawData[Checker ID],$Q$4,RawData[[Error Type ]],$Q$5))</f>
        <v/>
      </c>
    </row>
    <row r="6457" spans="15:15" x14ac:dyDescent="0.25">
      <c r="O6457" s="20" t="str">
        <f>IF(N6457="","",COUNTIFS(RawData[[Date ]],N6457,RawData[Month List],$Q$6,RawData[Tour/Site],$Q$2,RawData[[Picker ID ]],$Q$3,RawData[Checker ID],$Q$4,RawData[[Error Type ]],$Q$5))</f>
        <v/>
      </c>
    </row>
    <row r="6458" spans="15:15" x14ac:dyDescent="0.25">
      <c r="O6458" s="20" t="str">
        <f>IF(N6458="","",COUNTIFS(RawData[[Date ]],N6458,RawData[Month List],$Q$6,RawData[Tour/Site],$Q$2,RawData[[Picker ID ]],$Q$3,RawData[Checker ID],$Q$4,RawData[[Error Type ]],$Q$5))</f>
        <v/>
      </c>
    </row>
    <row r="6459" spans="15:15" x14ac:dyDescent="0.25">
      <c r="O6459" s="20" t="str">
        <f>IF(N6459="","",COUNTIFS(RawData[[Date ]],N6459,RawData[Month List],$Q$6,RawData[Tour/Site],$Q$2,RawData[[Picker ID ]],$Q$3,RawData[Checker ID],$Q$4,RawData[[Error Type ]],$Q$5))</f>
        <v/>
      </c>
    </row>
    <row r="6460" spans="15:15" x14ac:dyDescent="0.25">
      <c r="O6460" s="20" t="str">
        <f>IF(N6460="","",COUNTIFS(RawData[[Date ]],N6460,RawData[Month List],$Q$6,RawData[Tour/Site],$Q$2,RawData[[Picker ID ]],$Q$3,RawData[Checker ID],$Q$4,RawData[[Error Type ]],$Q$5))</f>
        <v/>
      </c>
    </row>
    <row r="6461" spans="15:15" x14ac:dyDescent="0.25">
      <c r="O6461" s="20" t="str">
        <f>IF(N6461="","",COUNTIFS(RawData[[Date ]],N6461,RawData[Month List],$Q$6,RawData[Tour/Site],$Q$2,RawData[[Picker ID ]],$Q$3,RawData[Checker ID],$Q$4,RawData[[Error Type ]],$Q$5))</f>
        <v/>
      </c>
    </row>
    <row r="6462" spans="15:15" x14ac:dyDescent="0.25">
      <c r="O6462" s="20" t="str">
        <f>IF(N6462="","",COUNTIFS(RawData[[Date ]],N6462,RawData[Month List],$Q$6,RawData[Tour/Site],$Q$2,RawData[[Picker ID ]],$Q$3,RawData[Checker ID],$Q$4,RawData[[Error Type ]],$Q$5))</f>
        <v/>
      </c>
    </row>
    <row r="6463" spans="15:15" x14ac:dyDescent="0.25">
      <c r="O6463" s="20" t="str">
        <f>IF(N6463="","",COUNTIFS(RawData[[Date ]],N6463,RawData[Month List],$Q$6,RawData[Tour/Site],$Q$2,RawData[[Picker ID ]],$Q$3,RawData[Checker ID],$Q$4,RawData[[Error Type ]],$Q$5))</f>
        <v/>
      </c>
    </row>
    <row r="6464" spans="15:15" x14ac:dyDescent="0.25">
      <c r="O6464" s="20" t="str">
        <f>IF(N6464="","",COUNTIFS(RawData[[Date ]],N6464,RawData[Month List],$Q$6,RawData[Tour/Site],$Q$2,RawData[[Picker ID ]],$Q$3,RawData[Checker ID],$Q$4,RawData[[Error Type ]],$Q$5))</f>
        <v/>
      </c>
    </row>
    <row r="6465" spans="15:15" x14ac:dyDescent="0.25">
      <c r="O6465" s="20" t="str">
        <f>IF(N6465="","",COUNTIFS(RawData[[Date ]],N6465,RawData[Month List],$Q$6,RawData[Tour/Site],$Q$2,RawData[[Picker ID ]],$Q$3,RawData[Checker ID],$Q$4,RawData[[Error Type ]],$Q$5))</f>
        <v/>
      </c>
    </row>
    <row r="6466" spans="15:15" x14ac:dyDescent="0.25">
      <c r="O6466" s="20" t="str">
        <f>IF(N6466="","",COUNTIFS(RawData[[Date ]],N6466,RawData[Month List],$Q$6,RawData[Tour/Site],$Q$2,RawData[[Picker ID ]],$Q$3,RawData[Checker ID],$Q$4,RawData[[Error Type ]],$Q$5))</f>
        <v/>
      </c>
    </row>
    <row r="6467" spans="15:15" x14ac:dyDescent="0.25">
      <c r="O6467" s="20" t="str">
        <f>IF(N6467="","",COUNTIFS(RawData[[Date ]],N6467,RawData[Month List],$Q$6,RawData[Tour/Site],$Q$2,RawData[[Picker ID ]],$Q$3,RawData[Checker ID],$Q$4,RawData[[Error Type ]],$Q$5))</f>
        <v/>
      </c>
    </row>
    <row r="6468" spans="15:15" x14ac:dyDescent="0.25">
      <c r="O6468" s="20" t="str">
        <f>IF(N6468="","",COUNTIFS(RawData[[Date ]],N6468,RawData[Month List],$Q$6,RawData[Tour/Site],$Q$2,RawData[[Picker ID ]],$Q$3,RawData[Checker ID],$Q$4,RawData[[Error Type ]],$Q$5))</f>
        <v/>
      </c>
    </row>
    <row r="6469" spans="15:15" x14ac:dyDescent="0.25">
      <c r="O6469" s="20" t="str">
        <f>IF(N6469="","",COUNTIFS(RawData[[Date ]],N6469,RawData[Month List],$Q$6,RawData[Tour/Site],$Q$2,RawData[[Picker ID ]],$Q$3,RawData[Checker ID],$Q$4,RawData[[Error Type ]],$Q$5))</f>
        <v/>
      </c>
    </row>
    <row r="6470" spans="15:15" x14ac:dyDescent="0.25">
      <c r="O6470" s="20" t="str">
        <f>IF(N6470="","",COUNTIFS(RawData[[Date ]],N6470,RawData[Month List],$Q$6,RawData[Tour/Site],$Q$2,RawData[[Picker ID ]],$Q$3,RawData[Checker ID],$Q$4,RawData[[Error Type ]],$Q$5))</f>
        <v/>
      </c>
    </row>
    <row r="6471" spans="15:15" x14ac:dyDescent="0.25">
      <c r="O6471" s="20" t="str">
        <f>IF(N6471="","",COUNTIFS(RawData[[Date ]],N6471,RawData[Month List],$Q$6,RawData[Tour/Site],$Q$2,RawData[[Picker ID ]],$Q$3,RawData[Checker ID],$Q$4,RawData[[Error Type ]],$Q$5))</f>
        <v/>
      </c>
    </row>
    <row r="6472" spans="15:15" x14ac:dyDescent="0.25">
      <c r="O6472" s="20" t="str">
        <f>IF(N6472="","",COUNTIFS(RawData[[Date ]],N6472,RawData[Month List],$Q$6,RawData[Tour/Site],$Q$2,RawData[[Picker ID ]],$Q$3,RawData[Checker ID],$Q$4,RawData[[Error Type ]],$Q$5))</f>
        <v/>
      </c>
    </row>
    <row r="6473" spans="15:15" x14ac:dyDescent="0.25">
      <c r="O6473" s="20" t="str">
        <f>IF(N6473="","",COUNTIFS(RawData[[Date ]],N6473,RawData[Month List],$Q$6,RawData[Tour/Site],$Q$2,RawData[[Picker ID ]],$Q$3,RawData[Checker ID],$Q$4,RawData[[Error Type ]],$Q$5))</f>
        <v/>
      </c>
    </row>
    <row r="6474" spans="15:15" x14ac:dyDescent="0.25">
      <c r="O6474" s="20" t="str">
        <f>IF(N6474="","",COUNTIFS(RawData[[Date ]],N6474,RawData[Month List],$Q$6,RawData[Tour/Site],$Q$2,RawData[[Picker ID ]],$Q$3,RawData[Checker ID],$Q$4,RawData[[Error Type ]],$Q$5))</f>
        <v/>
      </c>
    </row>
    <row r="6475" spans="15:15" x14ac:dyDescent="0.25">
      <c r="O6475" s="20" t="str">
        <f>IF(N6475="","",COUNTIFS(RawData[[Date ]],N6475,RawData[Month List],$Q$6,RawData[Tour/Site],$Q$2,RawData[[Picker ID ]],$Q$3,RawData[Checker ID],$Q$4,RawData[[Error Type ]],$Q$5))</f>
        <v/>
      </c>
    </row>
    <row r="6476" spans="15:15" x14ac:dyDescent="0.25">
      <c r="O6476" s="20" t="str">
        <f>IF(N6476="","",COUNTIFS(RawData[[Date ]],N6476,RawData[Month List],$Q$6,RawData[Tour/Site],$Q$2,RawData[[Picker ID ]],$Q$3,RawData[Checker ID],$Q$4,RawData[[Error Type ]],$Q$5))</f>
        <v/>
      </c>
    </row>
    <row r="6477" spans="15:15" x14ac:dyDescent="0.25">
      <c r="O6477" s="20" t="str">
        <f>IF(N6477="","",COUNTIFS(RawData[[Date ]],N6477,RawData[Month List],$Q$6,RawData[Tour/Site],$Q$2,RawData[[Picker ID ]],$Q$3,RawData[Checker ID],$Q$4,RawData[[Error Type ]],$Q$5))</f>
        <v/>
      </c>
    </row>
    <row r="6478" spans="15:15" x14ac:dyDescent="0.25">
      <c r="O6478" s="20" t="str">
        <f>IF(N6478="","",COUNTIFS(RawData[[Date ]],N6478,RawData[Month List],$Q$6,RawData[Tour/Site],$Q$2,RawData[[Picker ID ]],$Q$3,RawData[Checker ID],$Q$4,RawData[[Error Type ]],$Q$5))</f>
        <v/>
      </c>
    </row>
    <row r="6479" spans="15:15" x14ac:dyDescent="0.25">
      <c r="O6479" s="20" t="str">
        <f>IF(N6479="","",COUNTIFS(RawData[[Date ]],N6479,RawData[Month List],$Q$6,RawData[Tour/Site],$Q$2,RawData[[Picker ID ]],$Q$3,RawData[Checker ID],$Q$4,RawData[[Error Type ]],$Q$5))</f>
        <v/>
      </c>
    </row>
    <row r="6480" spans="15:15" x14ac:dyDescent="0.25">
      <c r="O6480" s="20" t="str">
        <f>IF(N6480="","",COUNTIFS(RawData[[Date ]],N6480,RawData[Month List],$Q$6,RawData[Tour/Site],$Q$2,RawData[[Picker ID ]],$Q$3,RawData[Checker ID],$Q$4,RawData[[Error Type ]],$Q$5))</f>
        <v/>
      </c>
    </row>
    <row r="6481" spans="15:15" x14ac:dyDescent="0.25">
      <c r="O6481" s="20" t="str">
        <f>IF(N6481="","",COUNTIFS(RawData[[Date ]],N6481,RawData[Month List],$Q$6,RawData[Tour/Site],$Q$2,RawData[[Picker ID ]],$Q$3,RawData[Checker ID],$Q$4,RawData[[Error Type ]],$Q$5))</f>
        <v/>
      </c>
    </row>
    <row r="6482" spans="15:15" x14ac:dyDescent="0.25">
      <c r="O6482" s="20" t="str">
        <f>IF(N6482="","",COUNTIFS(RawData[[Date ]],N6482,RawData[Month List],$Q$6,RawData[Tour/Site],$Q$2,RawData[[Picker ID ]],$Q$3,RawData[Checker ID],$Q$4,RawData[[Error Type ]],$Q$5))</f>
        <v/>
      </c>
    </row>
    <row r="6483" spans="15:15" x14ac:dyDescent="0.25">
      <c r="O6483" s="20" t="str">
        <f>IF(N6483="","",COUNTIFS(RawData[[Date ]],N6483,RawData[Month List],$Q$6,RawData[Tour/Site],$Q$2,RawData[[Picker ID ]],$Q$3,RawData[Checker ID],$Q$4,RawData[[Error Type ]],$Q$5))</f>
        <v/>
      </c>
    </row>
    <row r="6484" spans="15:15" x14ac:dyDescent="0.25">
      <c r="O6484" s="20" t="str">
        <f>IF(N6484="","",COUNTIFS(RawData[[Date ]],N6484,RawData[Month List],$Q$6,RawData[Tour/Site],$Q$2,RawData[[Picker ID ]],$Q$3,RawData[Checker ID],$Q$4,RawData[[Error Type ]],$Q$5))</f>
        <v/>
      </c>
    </row>
    <row r="6485" spans="15:15" x14ac:dyDescent="0.25">
      <c r="O6485" s="20" t="str">
        <f>IF(N6485="","",COUNTIFS(RawData[[Date ]],N6485,RawData[Month List],$Q$6,RawData[Tour/Site],$Q$2,RawData[[Picker ID ]],$Q$3,RawData[Checker ID],$Q$4,RawData[[Error Type ]],$Q$5))</f>
        <v/>
      </c>
    </row>
    <row r="6486" spans="15:15" x14ac:dyDescent="0.25">
      <c r="O6486" s="20" t="str">
        <f>IF(N6486="","",COUNTIFS(RawData[[Date ]],N6486,RawData[Month List],$Q$6,RawData[Tour/Site],$Q$2,RawData[[Picker ID ]],$Q$3,RawData[Checker ID],$Q$4,RawData[[Error Type ]],$Q$5))</f>
        <v/>
      </c>
    </row>
    <row r="6487" spans="15:15" x14ac:dyDescent="0.25">
      <c r="O6487" s="20" t="str">
        <f>IF(N6487="","",COUNTIFS(RawData[[Date ]],N6487,RawData[Month List],$Q$6,RawData[Tour/Site],$Q$2,RawData[[Picker ID ]],$Q$3,RawData[Checker ID],$Q$4,RawData[[Error Type ]],$Q$5))</f>
        <v/>
      </c>
    </row>
    <row r="6488" spans="15:15" x14ac:dyDescent="0.25">
      <c r="O6488" s="20" t="str">
        <f>IF(N6488="","",COUNTIFS(RawData[[Date ]],N6488,RawData[Month List],$Q$6,RawData[Tour/Site],$Q$2,RawData[[Picker ID ]],$Q$3,RawData[Checker ID],$Q$4,RawData[[Error Type ]],$Q$5))</f>
        <v/>
      </c>
    </row>
    <row r="6489" spans="15:15" x14ac:dyDescent="0.25">
      <c r="O6489" s="20" t="str">
        <f>IF(N6489="","",COUNTIFS(RawData[[Date ]],N6489,RawData[Month List],$Q$6,RawData[Tour/Site],$Q$2,RawData[[Picker ID ]],$Q$3,RawData[Checker ID],$Q$4,RawData[[Error Type ]],$Q$5))</f>
        <v/>
      </c>
    </row>
    <row r="6490" spans="15:15" x14ac:dyDescent="0.25">
      <c r="O6490" s="20" t="str">
        <f>IF(N6490="","",COUNTIFS(RawData[[Date ]],N6490,RawData[Month List],$Q$6,RawData[Tour/Site],$Q$2,RawData[[Picker ID ]],$Q$3,RawData[Checker ID],$Q$4,RawData[[Error Type ]],$Q$5))</f>
        <v/>
      </c>
    </row>
    <row r="6491" spans="15:15" x14ac:dyDescent="0.25">
      <c r="O6491" s="20" t="str">
        <f>IF(N6491="","",COUNTIFS(RawData[[Date ]],N6491,RawData[Month List],$Q$6,RawData[Tour/Site],$Q$2,RawData[[Picker ID ]],$Q$3,RawData[Checker ID],$Q$4,RawData[[Error Type ]],$Q$5))</f>
        <v/>
      </c>
    </row>
    <row r="6492" spans="15:15" x14ac:dyDescent="0.25">
      <c r="O6492" s="20" t="str">
        <f>IF(N6492="","",COUNTIFS(RawData[[Date ]],N6492,RawData[Month List],$Q$6,RawData[Tour/Site],$Q$2,RawData[[Picker ID ]],$Q$3,RawData[Checker ID],$Q$4,RawData[[Error Type ]],$Q$5))</f>
        <v/>
      </c>
    </row>
    <row r="6493" spans="15:15" x14ac:dyDescent="0.25">
      <c r="O6493" s="20" t="str">
        <f>IF(N6493="","",COUNTIFS(RawData[[Date ]],N6493,RawData[Month List],$Q$6,RawData[Tour/Site],$Q$2,RawData[[Picker ID ]],$Q$3,RawData[Checker ID],$Q$4,RawData[[Error Type ]],$Q$5))</f>
        <v/>
      </c>
    </row>
    <row r="6494" spans="15:15" x14ac:dyDescent="0.25">
      <c r="O6494" s="20" t="str">
        <f>IF(N6494="","",COUNTIFS(RawData[[Date ]],N6494,RawData[Month List],$Q$6,RawData[Tour/Site],$Q$2,RawData[[Picker ID ]],$Q$3,RawData[Checker ID],$Q$4,RawData[[Error Type ]],$Q$5))</f>
        <v/>
      </c>
    </row>
    <row r="6495" spans="15:15" x14ac:dyDescent="0.25">
      <c r="O6495" s="20" t="str">
        <f>IF(N6495="","",COUNTIFS(RawData[[Date ]],N6495,RawData[Month List],$Q$6,RawData[Tour/Site],$Q$2,RawData[[Picker ID ]],$Q$3,RawData[Checker ID],$Q$4,RawData[[Error Type ]],$Q$5))</f>
        <v/>
      </c>
    </row>
    <row r="6496" spans="15:15" x14ac:dyDescent="0.25">
      <c r="O6496" s="20" t="str">
        <f>IF(N6496="","",COUNTIFS(RawData[[Date ]],N6496,RawData[Month List],$Q$6,RawData[Tour/Site],$Q$2,RawData[[Picker ID ]],$Q$3,RawData[Checker ID],$Q$4,RawData[[Error Type ]],$Q$5))</f>
        <v/>
      </c>
    </row>
    <row r="6497" spans="15:15" x14ac:dyDescent="0.25">
      <c r="O6497" s="20" t="str">
        <f>IF(N6497="","",COUNTIFS(RawData[[Date ]],N6497,RawData[Month List],$Q$6,RawData[Tour/Site],$Q$2,RawData[[Picker ID ]],$Q$3,RawData[Checker ID],$Q$4,RawData[[Error Type ]],$Q$5))</f>
        <v/>
      </c>
    </row>
    <row r="6498" spans="15:15" x14ac:dyDescent="0.25">
      <c r="O6498" s="20" t="str">
        <f>IF(N6498="","",COUNTIFS(RawData[[Date ]],N6498,RawData[Month List],$Q$6,RawData[Tour/Site],$Q$2,RawData[[Picker ID ]],$Q$3,RawData[Checker ID],$Q$4,RawData[[Error Type ]],$Q$5))</f>
        <v/>
      </c>
    </row>
    <row r="6499" spans="15:15" x14ac:dyDescent="0.25">
      <c r="O6499" s="20" t="str">
        <f>IF(N6499="","",COUNTIFS(RawData[[Date ]],N6499,RawData[Month List],$Q$6,RawData[Tour/Site],$Q$2,RawData[[Picker ID ]],$Q$3,RawData[Checker ID],$Q$4,RawData[[Error Type ]],$Q$5))</f>
        <v/>
      </c>
    </row>
    <row r="6500" spans="15:15" x14ac:dyDescent="0.25">
      <c r="O6500" s="20" t="str">
        <f>IF(N6500="","",COUNTIFS(RawData[[Date ]],N6500,RawData[Month List],$Q$6,RawData[Tour/Site],$Q$2,RawData[[Picker ID ]],$Q$3,RawData[Checker ID],$Q$4,RawData[[Error Type ]],$Q$5))</f>
        <v/>
      </c>
    </row>
    <row r="6501" spans="15:15" x14ac:dyDescent="0.25">
      <c r="O6501" s="20" t="str">
        <f>IF(N6501="","",COUNTIFS(RawData[[Date ]],N6501,RawData[Month List],$Q$6,RawData[Tour/Site],$Q$2,RawData[[Picker ID ]],$Q$3,RawData[Checker ID],$Q$4,RawData[[Error Type ]],$Q$5))</f>
        <v/>
      </c>
    </row>
    <row r="6502" spans="15:15" x14ac:dyDescent="0.25">
      <c r="O6502" s="20" t="str">
        <f>IF(N6502="","",COUNTIFS(RawData[[Date ]],N6502,RawData[Month List],$Q$6,RawData[Tour/Site],$Q$2,RawData[[Picker ID ]],$Q$3,RawData[Checker ID],$Q$4,RawData[[Error Type ]],$Q$5))</f>
        <v/>
      </c>
    </row>
    <row r="6503" spans="15:15" x14ac:dyDescent="0.25">
      <c r="O6503" s="20" t="str">
        <f>IF(N6503="","",COUNTIFS(RawData[[Date ]],N6503,RawData[Month List],$Q$6,RawData[Tour/Site],$Q$2,RawData[[Picker ID ]],$Q$3,RawData[Checker ID],$Q$4,RawData[[Error Type ]],$Q$5))</f>
        <v/>
      </c>
    </row>
    <row r="6504" spans="15:15" x14ac:dyDescent="0.25">
      <c r="O6504" s="20" t="str">
        <f>IF(N6504="","",COUNTIFS(RawData[[Date ]],N6504,RawData[Month List],$Q$6,RawData[Tour/Site],$Q$2,RawData[[Picker ID ]],$Q$3,RawData[Checker ID],$Q$4,RawData[[Error Type ]],$Q$5))</f>
        <v/>
      </c>
    </row>
    <row r="6505" spans="15:15" x14ac:dyDescent="0.25">
      <c r="O6505" s="20" t="str">
        <f>IF(N6505="","",COUNTIFS(RawData[[Date ]],N6505,RawData[Month List],$Q$6,RawData[Tour/Site],$Q$2,RawData[[Picker ID ]],$Q$3,RawData[Checker ID],$Q$4,RawData[[Error Type ]],$Q$5))</f>
        <v/>
      </c>
    </row>
    <row r="6506" spans="15:15" x14ac:dyDescent="0.25">
      <c r="O6506" s="20" t="str">
        <f>IF(N6506="","",COUNTIFS(RawData[[Date ]],N6506,RawData[Month List],$Q$6,RawData[Tour/Site],$Q$2,RawData[[Picker ID ]],$Q$3,RawData[Checker ID],$Q$4,RawData[[Error Type ]],$Q$5))</f>
        <v/>
      </c>
    </row>
    <row r="6507" spans="15:15" x14ac:dyDescent="0.25">
      <c r="O6507" s="20" t="str">
        <f>IF(N6507="","",COUNTIFS(RawData[[Date ]],N6507,RawData[Month List],$Q$6,RawData[Tour/Site],$Q$2,RawData[[Picker ID ]],$Q$3,RawData[Checker ID],$Q$4,RawData[[Error Type ]],$Q$5))</f>
        <v/>
      </c>
    </row>
    <row r="6508" spans="15:15" x14ac:dyDescent="0.25">
      <c r="O6508" s="20" t="str">
        <f>IF(N6508="","",COUNTIFS(RawData[[Date ]],N6508,RawData[Month List],$Q$6,RawData[Tour/Site],$Q$2,RawData[[Picker ID ]],$Q$3,RawData[Checker ID],$Q$4,RawData[[Error Type ]],$Q$5))</f>
        <v/>
      </c>
    </row>
    <row r="6509" spans="15:15" x14ac:dyDescent="0.25">
      <c r="O6509" s="20" t="str">
        <f>IF(N6509="","",COUNTIFS(RawData[[Date ]],N6509,RawData[Month List],$Q$6,RawData[Tour/Site],$Q$2,RawData[[Picker ID ]],$Q$3,RawData[Checker ID],$Q$4,RawData[[Error Type ]],$Q$5))</f>
        <v/>
      </c>
    </row>
    <row r="6510" spans="15:15" x14ac:dyDescent="0.25">
      <c r="O6510" s="20" t="str">
        <f>IF(N6510="","",COUNTIFS(RawData[[Date ]],N6510,RawData[Month List],$Q$6,RawData[Tour/Site],$Q$2,RawData[[Picker ID ]],$Q$3,RawData[Checker ID],$Q$4,RawData[[Error Type ]],$Q$5))</f>
        <v/>
      </c>
    </row>
    <row r="6511" spans="15:15" x14ac:dyDescent="0.25">
      <c r="O6511" s="20" t="str">
        <f>IF(N6511="","",COUNTIFS(RawData[[Date ]],N6511,RawData[Month List],$Q$6,RawData[Tour/Site],$Q$2,RawData[[Picker ID ]],$Q$3,RawData[Checker ID],$Q$4,RawData[[Error Type ]],$Q$5))</f>
        <v/>
      </c>
    </row>
    <row r="6512" spans="15:15" x14ac:dyDescent="0.25">
      <c r="O6512" s="20" t="str">
        <f>IF(N6512="","",COUNTIFS(RawData[[Date ]],N6512,RawData[Month List],$Q$6,RawData[Tour/Site],$Q$2,RawData[[Picker ID ]],$Q$3,RawData[Checker ID],$Q$4,RawData[[Error Type ]],$Q$5))</f>
        <v/>
      </c>
    </row>
    <row r="6513" spans="15:15" x14ac:dyDescent="0.25">
      <c r="O6513" s="20" t="str">
        <f>IF(N6513="","",COUNTIFS(RawData[[Date ]],N6513,RawData[Month List],$Q$6,RawData[Tour/Site],$Q$2,RawData[[Picker ID ]],$Q$3,RawData[Checker ID],$Q$4,RawData[[Error Type ]],$Q$5))</f>
        <v/>
      </c>
    </row>
    <row r="6514" spans="15:15" x14ac:dyDescent="0.25">
      <c r="O6514" s="20" t="str">
        <f>IF(N6514="","",COUNTIFS(RawData[[Date ]],N6514,RawData[Month List],$Q$6,RawData[Tour/Site],$Q$2,RawData[[Picker ID ]],$Q$3,RawData[Checker ID],$Q$4,RawData[[Error Type ]],$Q$5))</f>
        <v/>
      </c>
    </row>
    <row r="6515" spans="15:15" x14ac:dyDescent="0.25">
      <c r="O6515" s="20" t="str">
        <f>IF(N6515="","",COUNTIFS(RawData[[Date ]],N6515,RawData[Month List],$Q$6,RawData[Tour/Site],$Q$2,RawData[[Picker ID ]],$Q$3,RawData[Checker ID],$Q$4,RawData[[Error Type ]],$Q$5))</f>
        <v/>
      </c>
    </row>
    <row r="6516" spans="15:15" x14ac:dyDescent="0.25">
      <c r="O6516" s="20" t="str">
        <f>IF(N6516="","",COUNTIFS(RawData[[Date ]],N6516,RawData[Month List],$Q$6,RawData[Tour/Site],$Q$2,RawData[[Picker ID ]],$Q$3,RawData[Checker ID],$Q$4,RawData[[Error Type ]],$Q$5))</f>
        <v/>
      </c>
    </row>
    <row r="6517" spans="15:15" x14ac:dyDescent="0.25">
      <c r="O6517" s="20" t="str">
        <f>IF(N6517="","",COUNTIFS(RawData[[Date ]],N6517,RawData[Month List],$Q$6,RawData[Tour/Site],$Q$2,RawData[[Picker ID ]],$Q$3,RawData[Checker ID],$Q$4,RawData[[Error Type ]],$Q$5))</f>
        <v/>
      </c>
    </row>
    <row r="6518" spans="15:15" x14ac:dyDescent="0.25">
      <c r="O6518" s="20" t="str">
        <f>IF(N6518="","",COUNTIFS(RawData[[Date ]],N6518,RawData[Month List],$Q$6,RawData[Tour/Site],$Q$2,RawData[[Picker ID ]],$Q$3,RawData[Checker ID],$Q$4,RawData[[Error Type ]],$Q$5))</f>
        <v/>
      </c>
    </row>
    <row r="6519" spans="15:15" x14ac:dyDescent="0.25">
      <c r="O6519" s="20" t="str">
        <f>IF(N6519="","",COUNTIFS(RawData[[Date ]],N6519,RawData[Month List],$Q$6,RawData[Tour/Site],$Q$2,RawData[[Picker ID ]],$Q$3,RawData[Checker ID],$Q$4,RawData[[Error Type ]],$Q$5))</f>
        <v/>
      </c>
    </row>
    <row r="6520" spans="15:15" x14ac:dyDescent="0.25">
      <c r="O6520" s="20" t="str">
        <f>IF(N6520="","",COUNTIFS(RawData[[Date ]],N6520,RawData[Month List],$Q$6,RawData[Tour/Site],$Q$2,RawData[[Picker ID ]],$Q$3,RawData[Checker ID],$Q$4,RawData[[Error Type ]],$Q$5))</f>
        <v/>
      </c>
    </row>
    <row r="6521" spans="15:15" x14ac:dyDescent="0.25">
      <c r="O6521" s="20" t="str">
        <f>IF(N6521="","",COUNTIFS(RawData[[Date ]],N6521,RawData[Month List],$Q$6,RawData[Tour/Site],$Q$2,RawData[[Picker ID ]],$Q$3,RawData[Checker ID],$Q$4,RawData[[Error Type ]],$Q$5))</f>
        <v/>
      </c>
    </row>
    <row r="6522" spans="15:15" x14ac:dyDescent="0.25">
      <c r="O6522" s="20" t="str">
        <f>IF(N6522="","",COUNTIFS(RawData[[Date ]],N6522,RawData[Month List],$Q$6,RawData[Tour/Site],$Q$2,RawData[[Picker ID ]],$Q$3,RawData[Checker ID],$Q$4,RawData[[Error Type ]],$Q$5))</f>
        <v/>
      </c>
    </row>
    <row r="6523" spans="15:15" x14ac:dyDescent="0.25">
      <c r="O6523" s="20" t="str">
        <f>IF(N6523="","",COUNTIFS(RawData[[Date ]],N6523,RawData[Month List],$Q$6,RawData[Tour/Site],$Q$2,RawData[[Picker ID ]],$Q$3,RawData[Checker ID],$Q$4,RawData[[Error Type ]],$Q$5))</f>
        <v/>
      </c>
    </row>
    <row r="6524" spans="15:15" x14ac:dyDescent="0.25">
      <c r="O6524" s="20" t="str">
        <f>IF(N6524="","",COUNTIFS(RawData[[Date ]],N6524,RawData[Month List],$Q$6,RawData[Tour/Site],$Q$2,RawData[[Picker ID ]],$Q$3,RawData[Checker ID],$Q$4,RawData[[Error Type ]],$Q$5))</f>
        <v/>
      </c>
    </row>
    <row r="6525" spans="15:15" x14ac:dyDescent="0.25">
      <c r="O6525" s="20" t="str">
        <f>IF(N6525="","",COUNTIFS(RawData[[Date ]],N6525,RawData[Month List],$Q$6,RawData[Tour/Site],$Q$2,RawData[[Picker ID ]],$Q$3,RawData[Checker ID],$Q$4,RawData[[Error Type ]],$Q$5))</f>
        <v/>
      </c>
    </row>
    <row r="6526" spans="15:15" x14ac:dyDescent="0.25">
      <c r="O6526" s="20" t="str">
        <f>IF(N6526="","",COUNTIFS(RawData[[Date ]],N6526,RawData[Month List],$Q$6,RawData[Tour/Site],$Q$2,RawData[[Picker ID ]],$Q$3,RawData[Checker ID],$Q$4,RawData[[Error Type ]],$Q$5))</f>
        <v/>
      </c>
    </row>
    <row r="6527" spans="15:15" x14ac:dyDescent="0.25">
      <c r="O6527" s="20" t="str">
        <f>IF(N6527="","",COUNTIFS(RawData[[Date ]],N6527,RawData[Month List],$Q$6,RawData[Tour/Site],$Q$2,RawData[[Picker ID ]],$Q$3,RawData[Checker ID],$Q$4,RawData[[Error Type ]],$Q$5))</f>
        <v/>
      </c>
    </row>
    <row r="6528" spans="15:15" x14ac:dyDescent="0.25">
      <c r="O6528" s="20" t="str">
        <f>IF(N6528="","",COUNTIFS(RawData[[Date ]],N6528,RawData[Month List],$Q$6,RawData[Tour/Site],$Q$2,RawData[[Picker ID ]],$Q$3,RawData[Checker ID],$Q$4,RawData[[Error Type ]],$Q$5))</f>
        <v/>
      </c>
    </row>
    <row r="6529" spans="15:15" x14ac:dyDescent="0.25">
      <c r="O6529" s="20" t="str">
        <f>IF(N6529="","",COUNTIFS(RawData[[Date ]],N6529,RawData[Month List],$Q$6,RawData[Tour/Site],$Q$2,RawData[[Picker ID ]],$Q$3,RawData[Checker ID],$Q$4,RawData[[Error Type ]],$Q$5))</f>
        <v/>
      </c>
    </row>
    <row r="6530" spans="15:15" x14ac:dyDescent="0.25">
      <c r="O6530" s="20" t="str">
        <f>IF(N6530="","",COUNTIFS(RawData[[Date ]],N6530,RawData[Month List],$Q$6,RawData[Tour/Site],$Q$2,RawData[[Picker ID ]],$Q$3,RawData[Checker ID],$Q$4,RawData[[Error Type ]],$Q$5))</f>
        <v/>
      </c>
    </row>
    <row r="6531" spans="15:15" x14ac:dyDescent="0.25">
      <c r="O6531" s="20" t="str">
        <f>IF(N6531="","",COUNTIFS(RawData[[Date ]],N6531,RawData[Month List],$Q$6,RawData[Tour/Site],$Q$2,RawData[[Picker ID ]],$Q$3,RawData[Checker ID],$Q$4,RawData[[Error Type ]],$Q$5))</f>
        <v/>
      </c>
    </row>
    <row r="6532" spans="15:15" x14ac:dyDescent="0.25">
      <c r="O6532" s="20" t="str">
        <f>IF(N6532="","",COUNTIFS(RawData[[Date ]],N6532,RawData[Month List],$Q$6,RawData[Tour/Site],$Q$2,RawData[[Picker ID ]],$Q$3,RawData[Checker ID],$Q$4,RawData[[Error Type ]],$Q$5))</f>
        <v/>
      </c>
    </row>
    <row r="6533" spans="15:15" x14ac:dyDescent="0.25">
      <c r="O6533" s="20" t="str">
        <f>IF(N6533="","",COUNTIFS(RawData[[Date ]],N6533,RawData[Month List],$Q$6,RawData[Tour/Site],$Q$2,RawData[[Picker ID ]],$Q$3,RawData[Checker ID],$Q$4,RawData[[Error Type ]],$Q$5))</f>
        <v/>
      </c>
    </row>
    <row r="6534" spans="15:15" x14ac:dyDescent="0.25">
      <c r="O6534" s="20" t="str">
        <f>IF(N6534="","",COUNTIFS(RawData[[Date ]],N6534,RawData[Month List],$Q$6,RawData[Tour/Site],$Q$2,RawData[[Picker ID ]],$Q$3,RawData[Checker ID],$Q$4,RawData[[Error Type ]],$Q$5))</f>
        <v/>
      </c>
    </row>
    <row r="6535" spans="15:15" x14ac:dyDescent="0.25">
      <c r="O6535" s="20" t="str">
        <f>IF(N6535="","",COUNTIFS(RawData[[Date ]],N6535,RawData[Month List],$Q$6,RawData[Tour/Site],$Q$2,RawData[[Picker ID ]],$Q$3,RawData[Checker ID],$Q$4,RawData[[Error Type ]],$Q$5))</f>
        <v/>
      </c>
    </row>
    <row r="6536" spans="15:15" x14ac:dyDescent="0.25">
      <c r="O6536" s="20" t="str">
        <f>IF(N6536="","",COUNTIFS(RawData[[Date ]],N6536,RawData[Month List],$Q$6,RawData[Tour/Site],$Q$2,RawData[[Picker ID ]],$Q$3,RawData[Checker ID],$Q$4,RawData[[Error Type ]],$Q$5))</f>
        <v/>
      </c>
    </row>
    <row r="6537" spans="15:15" x14ac:dyDescent="0.25">
      <c r="O6537" s="20" t="str">
        <f>IF(N6537="","",COUNTIFS(RawData[[Date ]],N6537,RawData[Month List],$Q$6,RawData[Tour/Site],$Q$2,RawData[[Picker ID ]],$Q$3,RawData[Checker ID],$Q$4,RawData[[Error Type ]],$Q$5))</f>
        <v/>
      </c>
    </row>
    <row r="6538" spans="15:15" x14ac:dyDescent="0.25">
      <c r="O6538" s="20" t="str">
        <f>IF(N6538="","",COUNTIFS(RawData[[Date ]],N6538,RawData[Month List],$Q$6,RawData[Tour/Site],$Q$2,RawData[[Picker ID ]],$Q$3,RawData[Checker ID],$Q$4,RawData[[Error Type ]],$Q$5))</f>
        <v/>
      </c>
    </row>
    <row r="6539" spans="15:15" x14ac:dyDescent="0.25">
      <c r="O6539" s="20" t="str">
        <f>IF(N6539="","",COUNTIFS(RawData[[Date ]],N6539,RawData[Month List],$Q$6,RawData[Tour/Site],$Q$2,RawData[[Picker ID ]],$Q$3,RawData[Checker ID],$Q$4,RawData[[Error Type ]],$Q$5))</f>
        <v/>
      </c>
    </row>
    <row r="6540" spans="15:15" x14ac:dyDescent="0.25">
      <c r="O6540" s="20" t="str">
        <f>IF(N6540="","",COUNTIFS(RawData[[Date ]],N6540,RawData[Month List],$Q$6,RawData[Tour/Site],$Q$2,RawData[[Picker ID ]],$Q$3,RawData[Checker ID],$Q$4,RawData[[Error Type ]],$Q$5))</f>
        <v/>
      </c>
    </row>
    <row r="6541" spans="15:15" x14ac:dyDescent="0.25">
      <c r="O6541" s="20" t="str">
        <f>IF(N6541="","",COUNTIFS(RawData[[Date ]],N6541,RawData[Month List],$Q$6,RawData[Tour/Site],$Q$2,RawData[[Picker ID ]],$Q$3,RawData[Checker ID],$Q$4,RawData[[Error Type ]],$Q$5))</f>
        <v/>
      </c>
    </row>
    <row r="6542" spans="15:15" x14ac:dyDescent="0.25">
      <c r="O6542" s="20" t="str">
        <f>IF(N6542="","",COUNTIFS(RawData[[Date ]],N6542,RawData[Month List],$Q$6,RawData[Tour/Site],$Q$2,RawData[[Picker ID ]],$Q$3,RawData[Checker ID],$Q$4,RawData[[Error Type ]],$Q$5))</f>
        <v/>
      </c>
    </row>
    <row r="6543" spans="15:15" x14ac:dyDescent="0.25">
      <c r="O6543" s="20" t="str">
        <f>IF(N6543="","",COUNTIFS(RawData[[Date ]],N6543,RawData[Month List],$Q$6,RawData[Tour/Site],$Q$2,RawData[[Picker ID ]],$Q$3,RawData[Checker ID],$Q$4,RawData[[Error Type ]],$Q$5))</f>
        <v/>
      </c>
    </row>
    <row r="6544" spans="15:15" x14ac:dyDescent="0.25">
      <c r="O6544" s="20" t="str">
        <f>IF(N6544="","",COUNTIFS(RawData[[Date ]],N6544,RawData[Month List],$Q$6,RawData[Tour/Site],$Q$2,RawData[[Picker ID ]],$Q$3,RawData[Checker ID],$Q$4,RawData[[Error Type ]],$Q$5))</f>
        <v/>
      </c>
    </row>
    <row r="6545" spans="15:15" x14ac:dyDescent="0.25">
      <c r="O6545" s="20" t="str">
        <f>IF(N6545="","",COUNTIFS(RawData[[Date ]],N6545,RawData[Month List],$Q$6,RawData[Tour/Site],$Q$2,RawData[[Picker ID ]],$Q$3,RawData[Checker ID],$Q$4,RawData[[Error Type ]],$Q$5))</f>
        <v/>
      </c>
    </row>
    <row r="6546" spans="15:15" x14ac:dyDescent="0.25">
      <c r="O6546" s="20" t="str">
        <f>IF(N6546="","",COUNTIFS(RawData[[Date ]],N6546,RawData[Month List],$Q$6,RawData[Tour/Site],$Q$2,RawData[[Picker ID ]],$Q$3,RawData[Checker ID],$Q$4,RawData[[Error Type ]],$Q$5))</f>
        <v/>
      </c>
    </row>
    <row r="6547" spans="15:15" x14ac:dyDescent="0.25">
      <c r="O6547" s="20" t="str">
        <f>IF(N6547="","",COUNTIFS(RawData[[Date ]],N6547,RawData[Month List],$Q$6,RawData[Tour/Site],$Q$2,RawData[[Picker ID ]],$Q$3,RawData[Checker ID],$Q$4,RawData[[Error Type ]],$Q$5))</f>
        <v/>
      </c>
    </row>
    <row r="6548" spans="15:15" x14ac:dyDescent="0.25">
      <c r="O6548" s="20" t="str">
        <f>IF(N6548="","",COUNTIFS(RawData[[Date ]],N6548,RawData[Month List],$Q$6,RawData[Tour/Site],$Q$2,RawData[[Picker ID ]],$Q$3,RawData[Checker ID],$Q$4,RawData[[Error Type ]],$Q$5))</f>
        <v/>
      </c>
    </row>
    <row r="6549" spans="15:15" x14ac:dyDescent="0.25">
      <c r="O6549" s="20" t="str">
        <f>IF(N6549="","",COUNTIFS(RawData[[Date ]],N6549,RawData[Month List],$Q$6,RawData[Tour/Site],$Q$2,RawData[[Picker ID ]],$Q$3,RawData[Checker ID],$Q$4,RawData[[Error Type ]],$Q$5))</f>
        <v/>
      </c>
    </row>
    <row r="6550" spans="15:15" x14ac:dyDescent="0.25">
      <c r="O6550" s="20" t="str">
        <f>IF(N6550="","",COUNTIFS(RawData[[Date ]],N6550,RawData[Month List],$Q$6,RawData[Tour/Site],$Q$2,RawData[[Picker ID ]],$Q$3,RawData[Checker ID],$Q$4,RawData[[Error Type ]],$Q$5))</f>
        <v/>
      </c>
    </row>
    <row r="6551" spans="15:15" x14ac:dyDescent="0.25">
      <c r="O6551" s="20" t="str">
        <f>IF(N6551="","",COUNTIFS(RawData[[Date ]],N6551,RawData[Month List],$Q$6,RawData[Tour/Site],$Q$2,RawData[[Picker ID ]],$Q$3,RawData[Checker ID],$Q$4,RawData[[Error Type ]],$Q$5))</f>
        <v/>
      </c>
    </row>
    <row r="6552" spans="15:15" x14ac:dyDescent="0.25">
      <c r="O6552" s="20" t="str">
        <f>IF(N6552="","",COUNTIFS(RawData[[Date ]],N6552,RawData[Month List],$Q$6,RawData[Tour/Site],$Q$2,RawData[[Picker ID ]],$Q$3,RawData[Checker ID],$Q$4,RawData[[Error Type ]],$Q$5))</f>
        <v/>
      </c>
    </row>
    <row r="6553" spans="15:15" x14ac:dyDescent="0.25">
      <c r="O6553" s="20" t="str">
        <f>IF(N6553="","",COUNTIFS(RawData[[Date ]],N6553,RawData[Month List],$Q$6,RawData[Tour/Site],$Q$2,RawData[[Picker ID ]],$Q$3,RawData[Checker ID],$Q$4,RawData[[Error Type ]],$Q$5))</f>
        <v/>
      </c>
    </row>
    <row r="6554" spans="15:15" x14ac:dyDescent="0.25">
      <c r="O6554" s="20" t="str">
        <f>IF(N6554="","",COUNTIFS(RawData[[Date ]],N6554,RawData[Month List],$Q$6,RawData[Tour/Site],$Q$2,RawData[[Picker ID ]],$Q$3,RawData[Checker ID],$Q$4,RawData[[Error Type ]],$Q$5))</f>
        <v/>
      </c>
    </row>
    <row r="6555" spans="15:15" x14ac:dyDescent="0.25">
      <c r="O6555" s="20" t="str">
        <f>IF(N6555="","",COUNTIFS(RawData[[Date ]],N6555,RawData[Month List],$Q$6,RawData[Tour/Site],$Q$2,RawData[[Picker ID ]],$Q$3,RawData[Checker ID],$Q$4,RawData[[Error Type ]],$Q$5))</f>
        <v/>
      </c>
    </row>
    <row r="6556" spans="15:15" x14ac:dyDescent="0.25">
      <c r="O6556" s="20" t="str">
        <f>IF(N6556="","",COUNTIFS(RawData[[Date ]],N6556,RawData[Month List],$Q$6,RawData[Tour/Site],$Q$2,RawData[[Picker ID ]],$Q$3,RawData[Checker ID],$Q$4,RawData[[Error Type ]],$Q$5))</f>
        <v/>
      </c>
    </row>
    <row r="6557" spans="15:15" x14ac:dyDescent="0.25">
      <c r="O6557" s="20" t="str">
        <f>IF(N6557="","",COUNTIFS(RawData[[Date ]],N6557,RawData[Month List],$Q$6,RawData[Tour/Site],$Q$2,RawData[[Picker ID ]],$Q$3,RawData[Checker ID],$Q$4,RawData[[Error Type ]],$Q$5))</f>
        <v/>
      </c>
    </row>
    <row r="6558" spans="15:15" x14ac:dyDescent="0.25">
      <c r="O6558" s="20" t="str">
        <f>IF(N6558="","",COUNTIFS(RawData[[Date ]],N6558,RawData[Month List],$Q$6,RawData[Tour/Site],$Q$2,RawData[[Picker ID ]],$Q$3,RawData[Checker ID],$Q$4,RawData[[Error Type ]],$Q$5))</f>
        <v/>
      </c>
    </row>
    <row r="6559" spans="15:15" x14ac:dyDescent="0.25">
      <c r="O6559" s="20" t="str">
        <f>IF(N6559="","",COUNTIFS(RawData[[Date ]],N6559,RawData[Month List],$Q$6,RawData[Tour/Site],$Q$2,RawData[[Picker ID ]],$Q$3,RawData[Checker ID],$Q$4,RawData[[Error Type ]],$Q$5))</f>
        <v/>
      </c>
    </row>
    <row r="6560" spans="15:15" x14ac:dyDescent="0.25">
      <c r="O6560" s="20" t="str">
        <f>IF(N6560="","",COUNTIFS(RawData[[Date ]],N6560,RawData[Month List],$Q$6,RawData[Tour/Site],$Q$2,RawData[[Picker ID ]],$Q$3,RawData[Checker ID],$Q$4,RawData[[Error Type ]],$Q$5))</f>
        <v/>
      </c>
    </row>
    <row r="6561" spans="15:15" x14ac:dyDescent="0.25">
      <c r="O6561" s="20" t="str">
        <f>IF(N6561="","",COUNTIFS(RawData[[Date ]],N6561,RawData[Month List],$Q$6,RawData[Tour/Site],$Q$2,RawData[[Picker ID ]],$Q$3,RawData[Checker ID],$Q$4,RawData[[Error Type ]],$Q$5))</f>
        <v/>
      </c>
    </row>
    <row r="6562" spans="15:15" x14ac:dyDescent="0.25">
      <c r="O6562" s="20" t="str">
        <f>IF(N6562="","",COUNTIFS(RawData[[Date ]],N6562,RawData[Month List],$Q$6,RawData[Tour/Site],$Q$2,RawData[[Picker ID ]],$Q$3,RawData[Checker ID],$Q$4,RawData[[Error Type ]],$Q$5))</f>
        <v/>
      </c>
    </row>
    <row r="6563" spans="15:15" x14ac:dyDescent="0.25">
      <c r="O6563" s="20" t="str">
        <f>IF(N6563="","",COUNTIFS(RawData[[Date ]],N6563,RawData[Month List],$Q$6,RawData[Tour/Site],$Q$2,RawData[[Picker ID ]],$Q$3,RawData[Checker ID],$Q$4,RawData[[Error Type ]],$Q$5))</f>
        <v/>
      </c>
    </row>
    <row r="6564" spans="15:15" x14ac:dyDescent="0.25">
      <c r="O6564" s="20" t="str">
        <f>IF(N6564="","",COUNTIFS(RawData[[Date ]],N6564,RawData[Month List],$Q$6,RawData[Tour/Site],$Q$2,RawData[[Picker ID ]],$Q$3,RawData[Checker ID],$Q$4,RawData[[Error Type ]],$Q$5))</f>
        <v/>
      </c>
    </row>
    <row r="6565" spans="15:15" x14ac:dyDescent="0.25">
      <c r="O6565" s="20" t="str">
        <f>IF(N6565="","",COUNTIFS(RawData[[Date ]],N6565,RawData[Month List],$Q$6,RawData[Tour/Site],$Q$2,RawData[[Picker ID ]],$Q$3,RawData[Checker ID],$Q$4,RawData[[Error Type ]],$Q$5))</f>
        <v/>
      </c>
    </row>
    <row r="6566" spans="15:15" x14ac:dyDescent="0.25">
      <c r="O6566" s="20" t="str">
        <f>IF(N6566="","",COUNTIFS(RawData[[Date ]],N6566,RawData[Month List],$Q$6,RawData[Tour/Site],$Q$2,RawData[[Picker ID ]],$Q$3,RawData[Checker ID],$Q$4,RawData[[Error Type ]],$Q$5))</f>
        <v/>
      </c>
    </row>
    <row r="6567" spans="15:15" x14ac:dyDescent="0.25">
      <c r="O6567" s="20" t="str">
        <f>IF(N6567="","",COUNTIFS(RawData[[Date ]],N6567,RawData[Month List],$Q$6,RawData[Tour/Site],$Q$2,RawData[[Picker ID ]],$Q$3,RawData[Checker ID],$Q$4,RawData[[Error Type ]],$Q$5))</f>
        <v/>
      </c>
    </row>
    <row r="6568" spans="15:15" x14ac:dyDescent="0.25">
      <c r="O6568" s="20" t="str">
        <f>IF(N6568="","",COUNTIFS(RawData[[Date ]],N6568,RawData[Month List],$Q$6,RawData[Tour/Site],$Q$2,RawData[[Picker ID ]],$Q$3,RawData[Checker ID],$Q$4,RawData[[Error Type ]],$Q$5))</f>
        <v/>
      </c>
    </row>
    <row r="6569" spans="15:15" x14ac:dyDescent="0.25">
      <c r="O6569" s="20" t="str">
        <f>IF(N6569="","",COUNTIFS(RawData[[Date ]],N6569,RawData[Month List],$Q$6,RawData[Tour/Site],$Q$2,RawData[[Picker ID ]],$Q$3,RawData[Checker ID],$Q$4,RawData[[Error Type ]],$Q$5))</f>
        <v/>
      </c>
    </row>
    <row r="6570" spans="15:15" x14ac:dyDescent="0.25">
      <c r="O6570" s="20" t="str">
        <f>IF(N6570="","",COUNTIFS(RawData[[Date ]],N6570,RawData[Month List],$Q$6,RawData[Tour/Site],$Q$2,RawData[[Picker ID ]],$Q$3,RawData[Checker ID],$Q$4,RawData[[Error Type ]],$Q$5))</f>
        <v/>
      </c>
    </row>
    <row r="6571" spans="15:15" x14ac:dyDescent="0.25">
      <c r="O6571" s="20" t="str">
        <f>IF(N6571="","",COUNTIFS(RawData[[Date ]],N6571,RawData[Month List],$Q$6,RawData[Tour/Site],$Q$2,RawData[[Picker ID ]],$Q$3,RawData[Checker ID],$Q$4,RawData[[Error Type ]],$Q$5))</f>
        <v/>
      </c>
    </row>
    <row r="6572" spans="15:15" x14ac:dyDescent="0.25">
      <c r="O6572" s="20" t="str">
        <f>IF(N6572="","",COUNTIFS(RawData[[Date ]],N6572,RawData[Month List],$Q$6,RawData[Tour/Site],$Q$2,RawData[[Picker ID ]],$Q$3,RawData[Checker ID],$Q$4,RawData[[Error Type ]],$Q$5))</f>
        <v/>
      </c>
    </row>
    <row r="6573" spans="15:15" x14ac:dyDescent="0.25">
      <c r="O6573" s="20" t="str">
        <f>IF(N6573="","",COUNTIFS(RawData[[Date ]],N6573,RawData[Month List],$Q$6,RawData[Tour/Site],$Q$2,RawData[[Picker ID ]],$Q$3,RawData[Checker ID],$Q$4,RawData[[Error Type ]],$Q$5))</f>
        <v/>
      </c>
    </row>
    <row r="6574" spans="15:15" x14ac:dyDescent="0.25">
      <c r="O6574" s="20" t="str">
        <f>IF(N6574="","",COUNTIFS(RawData[[Date ]],N6574,RawData[Month List],$Q$6,RawData[Tour/Site],$Q$2,RawData[[Picker ID ]],$Q$3,RawData[Checker ID],$Q$4,RawData[[Error Type ]],$Q$5))</f>
        <v/>
      </c>
    </row>
    <row r="6575" spans="15:15" x14ac:dyDescent="0.25">
      <c r="O6575" s="20" t="str">
        <f>IF(N6575="","",COUNTIFS(RawData[[Date ]],N6575,RawData[Month List],$Q$6,RawData[Tour/Site],$Q$2,RawData[[Picker ID ]],$Q$3,RawData[Checker ID],$Q$4,RawData[[Error Type ]],$Q$5))</f>
        <v/>
      </c>
    </row>
    <row r="6576" spans="15:15" x14ac:dyDescent="0.25">
      <c r="O6576" s="20" t="str">
        <f>IF(N6576="","",COUNTIFS(RawData[[Date ]],N6576,RawData[Month List],$Q$6,RawData[Tour/Site],$Q$2,RawData[[Picker ID ]],$Q$3,RawData[Checker ID],$Q$4,RawData[[Error Type ]],$Q$5))</f>
        <v/>
      </c>
    </row>
    <row r="6577" spans="15:15" x14ac:dyDescent="0.25">
      <c r="O6577" s="20" t="str">
        <f>IF(N6577="","",COUNTIFS(RawData[[Date ]],N6577,RawData[Month List],$Q$6,RawData[Tour/Site],$Q$2,RawData[[Picker ID ]],$Q$3,RawData[Checker ID],$Q$4,RawData[[Error Type ]],$Q$5))</f>
        <v/>
      </c>
    </row>
    <row r="6578" spans="15:15" x14ac:dyDescent="0.25">
      <c r="O6578" s="20" t="str">
        <f>IF(N6578="","",COUNTIFS(RawData[[Date ]],N6578,RawData[Month List],$Q$6,RawData[Tour/Site],$Q$2,RawData[[Picker ID ]],$Q$3,RawData[Checker ID],$Q$4,RawData[[Error Type ]],$Q$5))</f>
        <v/>
      </c>
    </row>
    <row r="6579" spans="15:15" x14ac:dyDescent="0.25">
      <c r="O6579" s="20" t="str">
        <f>IF(N6579="","",COUNTIFS(RawData[[Date ]],N6579,RawData[Month List],$Q$6,RawData[Tour/Site],$Q$2,RawData[[Picker ID ]],$Q$3,RawData[Checker ID],$Q$4,RawData[[Error Type ]],$Q$5))</f>
        <v/>
      </c>
    </row>
    <row r="6580" spans="15:15" x14ac:dyDescent="0.25">
      <c r="O6580" s="20" t="str">
        <f>IF(N6580="","",COUNTIFS(RawData[[Date ]],N6580,RawData[Month List],$Q$6,RawData[Tour/Site],$Q$2,RawData[[Picker ID ]],$Q$3,RawData[Checker ID],$Q$4,RawData[[Error Type ]],$Q$5))</f>
        <v/>
      </c>
    </row>
    <row r="6581" spans="15:15" x14ac:dyDescent="0.25">
      <c r="O6581" s="20" t="str">
        <f>IF(N6581="","",COUNTIFS(RawData[[Date ]],N6581,RawData[Month List],$Q$6,RawData[Tour/Site],$Q$2,RawData[[Picker ID ]],$Q$3,RawData[Checker ID],$Q$4,RawData[[Error Type ]],$Q$5))</f>
        <v/>
      </c>
    </row>
    <row r="6582" spans="15:15" x14ac:dyDescent="0.25">
      <c r="O6582" s="20" t="str">
        <f>IF(N6582="","",COUNTIFS(RawData[[Date ]],N6582,RawData[Month List],$Q$6,RawData[Tour/Site],$Q$2,RawData[[Picker ID ]],$Q$3,RawData[Checker ID],$Q$4,RawData[[Error Type ]],$Q$5))</f>
        <v/>
      </c>
    </row>
    <row r="6583" spans="15:15" x14ac:dyDescent="0.25">
      <c r="O6583" s="20" t="str">
        <f>IF(N6583="","",COUNTIFS(RawData[[Date ]],N6583,RawData[Month List],$Q$6,RawData[Tour/Site],$Q$2,RawData[[Picker ID ]],$Q$3,RawData[Checker ID],$Q$4,RawData[[Error Type ]],$Q$5))</f>
        <v/>
      </c>
    </row>
    <row r="6584" spans="15:15" x14ac:dyDescent="0.25">
      <c r="O6584" s="20" t="str">
        <f>IF(N6584="","",COUNTIFS(RawData[[Date ]],N6584,RawData[Month List],$Q$6,RawData[Tour/Site],$Q$2,RawData[[Picker ID ]],$Q$3,RawData[Checker ID],$Q$4,RawData[[Error Type ]],$Q$5))</f>
        <v/>
      </c>
    </row>
    <row r="6585" spans="15:15" x14ac:dyDescent="0.25">
      <c r="O6585" s="20" t="str">
        <f>IF(N6585="","",COUNTIFS(RawData[[Date ]],N6585,RawData[Month List],$Q$6,RawData[Tour/Site],$Q$2,RawData[[Picker ID ]],$Q$3,RawData[Checker ID],$Q$4,RawData[[Error Type ]],$Q$5))</f>
        <v/>
      </c>
    </row>
    <row r="6586" spans="15:15" x14ac:dyDescent="0.25">
      <c r="O6586" s="20" t="str">
        <f>IF(N6586="","",COUNTIFS(RawData[[Date ]],N6586,RawData[Month List],$Q$6,RawData[Tour/Site],$Q$2,RawData[[Picker ID ]],$Q$3,RawData[Checker ID],$Q$4,RawData[[Error Type ]],$Q$5))</f>
        <v/>
      </c>
    </row>
    <row r="6587" spans="15:15" x14ac:dyDescent="0.25">
      <c r="O6587" s="20" t="str">
        <f>IF(N6587="","",COUNTIFS(RawData[[Date ]],N6587,RawData[Month List],$Q$6,RawData[Tour/Site],$Q$2,RawData[[Picker ID ]],$Q$3,RawData[Checker ID],$Q$4,RawData[[Error Type ]],$Q$5))</f>
        <v/>
      </c>
    </row>
    <row r="6588" spans="15:15" x14ac:dyDescent="0.25">
      <c r="O6588" s="20" t="str">
        <f>IF(N6588="","",COUNTIFS(RawData[[Date ]],N6588,RawData[Month List],$Q$6,RawData[Tour/Site],$Q$2,RawData[[Picker ID ]],$Q$3,RawData[Checker ID],$Q$4,RawData[[Error Type ]],$Q$5))</f>
        <v/>
      </c>
    </row>
    <row r="6589" spans="15:15" x14ac:dyDescent="0.25">
      <c r="O6589" s="20" t="str">
        <f>IF(N6589="","",COUNTIFS(RawData[[Date ]],N6589,RawData[Month List],$Q$6,RawData[Tour/Site],$Q$2,RawData[[Picker ID ]],$Q$3,RawData[Checker ID],$Q$4,RawData[[Error Type ]],$Q$5))</f>
        <v/>
      </c>
    </row>
    <row r="6590" spans="15:15" x14ac:dyDescent="0.25">
      <c r="O6590" s="20" t="str">
        <f>IF(N6590="","",COUNTIFS(RawData[[Date ]],N6590,RawData[Month List],$Q$6,RawData[Tour/Site],$Q$2,RawData[[Picker ID ]],$Q$3,RawData[Checker ID],$Q$4,RawData[[Error Type ]],$Q$5))</f>
        <v/>
      </c>
    </row>
    <row r="6591" spans="15:15" x14ac:dyDescent="0.25">
      <c r="O6591" s="20" t="str">
        <f>IF(N6591="","",COUNTIFS(RawData[[Date ]],N6591,RawData[Month List],$Q$6,RawData[Tour/Site],$Q$2,RawData[[Picker ID ]],$Q$3,RawData[Checker ID],$Q$4,RawData[[Error Type ]],$Q$5))</f>
        <v/>
      </c>
    </row>
    <row r="6592" spans="15:15" x14ac:dyDescent="0.25">
      <c r="O6592" s="20" t="str">
        <f>IF(N6592="","",COUNTIFS(RawData[[Date ]],N6592,RawData[Month List],$Q$6,RawData[Tour/Site],$Q$2,RawData[[Picker ID ]],$Q$3,RawData[Checker ID],$Q$4,RawData[[Error Type ]],$Q$5))</f>
        <v/>
      </c>
    </row>
    <row r="6593" spans="15:15" x14ac:dyDescent="0.25">
      <c r="O6593" s="20" t="str">
        <f>IF(N6593="","",COUNTIFS(RawData[[Date ]],N6593,RawData[Month List],$Q$6,RawData[Tour/Site],$Q$2,RawData[[Picker ID ]],$Q$3,RawData[Checker ID],$Q$4,RawData[[Error Type ]],$Q$5))</f>
        <v/>
      </c>
    </row>
    <row r="6594" spans="15:15" x14ac:dyDescent="0.25">
      <c r="O6594" s="20" t="str">
        <f>IF(N6594="","",COUNTIFS(RawData[[Date ]],N6594,RawData[Month List],$Q$6,RawData[Tour/Site],$Q$2,RawData[[Picker ID ]],$Q$3,RawData[Checker ID],$Q$4,RawData[[Error Type ]],$Q$5))</f>
        <v/>
      </c>
    </row>
    <row r="6595" spans="15:15" x14ac:dyDescent="0.25">
      <c r="O6595" s="20" t="str">
        <f>IF(N6595="","",COUNTIFS(RawData[[Date ]],N6595,RawData[Month List],$Q$6,RawData[Tour/Site],$Q$2,RawData[[Picker ID ]],$Q$3,RawData[Checker ID],$Q$4,RawData[[Error Type ]],$Q$5))</f>
        <v/>
      </c>
    </row>
    <row r="6596" spans="15:15" x14ac:dyDescent="0.25">
      <c r="O6596" s="20" t="str">
        <f>IF(N6596="","",COUNTIFS(RawData[[Date ]],N6596,RawData[Month List],$Q$6,RawData[Tour/Site],$Q$2,RawData[[Picker ID ]],$Q$3,RawData[Checker ID],$Q$4,RawData[[Error Type ]],$Q$5))</f>
        <v/>
      </c>
    </row>
    <row r="6597" spans="15:15" x14ac:dyDescent="0.25">
      <c r="O6597" s="20" t="str">
        <f>IF(N6597="","",COUNTIFS(RawData[[Date ]],N6597,RawData[Month List],$Q$6,RawData[Tour/Site],$Q$2,RawData[[Picker ID ]],$Q$3,RawData[Checker ID],$Q$4,RawData[[Error Type ]],$Q$5))</f>
        <v/>
      </c>
    </row>
    <row r="6598" spans="15:15" x14ac:dyDescent="0.25">
      <c r="O6598" s="20" t="str">
        <f>IF(N6598="","",COUNTIFS(RawData[[Date ]],N6598,RawData[Month List],$Q$6,RawData[Tour/Site],$Q$2,RawData[[Picker ID ]],$Q$3,RawData[Checker ID],$Q$4,RawData[[Error Type ]],$Q$5))</f>
        <v/>
      </c>
    </row>
    <row r="6599" spans="15:15" x14ac:dyDescent="0.25">
      <c r="O6599" s="20" t="str">
        <f>IF(N6599="","",COUNTIFS(RawData[[Date ]],N6599,RawData[Month List],$Q$6,RawData[Tour/Site],$Q$2,RawData[[Picker ID ]],$Q$3,RawData[Checker ID],$Q$4,RawData[[Error Type ]],$Q$5))</f>
        <v/>
      </c>
    </row>
    <row r="6600" spans="15:15" x14ac:dyDescent="0.25">
      <c r="O6600" s="20" t="str">
        <f>IF(N6600="","",COUNTIFS(RawData[[Date ]],N6600,RawData[Month List],$Q$6,RawData[Tour/Site],$Q$2,RawData[[Picker ID ]],$Q$3,RawData[Checker ID],$Q$4,RawData[[Error Type ]],$Q$5))</f>
        <v/>
      </c>
    </row>
    <row r="6601" spans="15:15" x14ac:dyDescent="0.25">
      <c r="O6601" s="20" t="str">
        <f>IF(N6601="","",COUNTIFS(RawData[[Date ]],N6601,RawData[Month List],$Q$6,RawData[Tour/Site],$Q$2,RawData[[Picker ID ]],$Q$3,RawData[Checker ID],$Q$4,RawData[[Error Type ]],$Q$5))</f>
        <v/>
      </c>
    </row>
    <row r="6602" spans="15:15" x14ac:dyDescent="0.25">
      <c r="O6602" s="20" t="str">
        <f>IF(N6602="","",COUNTIFS(RawData[[Date ]],N6602,RawData[Month List],$Q$6,RawData[Tour/Site],$Q$2,RawData[[Picker ID ]],$Q$3,RawData[Checker ID],$Q$4,RawData[[Error Type ]],$Q$5))</f>
        <v/>
      </c>
    </row>
    <row r="6603" spans="15:15" x14ac:dyDescent="0.25">
      <c r="O6603" s="20" t="str">
        <f>IF(N6603="","",COUNTIFS(RawData[[Date ]],N6603,RawData[Month List],$Q$6,RawData[Tour/Site],$Q$2,RawData[[Picker ID ]],$Q$3,RawData[Checker ID],$Q$4,RawData[[Error Type ]],$Q$5))</f>
        <v/>
      </c>
    </row>
    <row r="6604" spans="15:15" x14ac:dyDescent="0.25">
      <c r="O6604" s="20" t="str">
        <f>IF(N6604="","",COUNTIFS(RawData[[Date ]],N6604,RawData[Month List],$Q$6,RawData[Tour/Site],$Q$2,RawData[[Picker ID ]],$Q$3,RawData[Checker ID],$Q$4,RawData[[Error Type ]],$Q$5))</f>
        <v/>
      </c>
    </row>
    <row r="6605" spans="15:15" x14ac:dyDescent="0.25">
      <c r="O6605" s="20" t="str">
        <f>IF(N6605="","",COUNTIFS(RawData[[Date ]],N6605,RawData[Month List],$Q$6,RawData[Tour/Site],$Q$2,RawData[[Picker ID ]],$Q$3,RawData[Checker ID],$Q$4,RawData[[Error Type ]],$Q$5))</f>
        <v/>
      </c>
    </row>
    <row r="6606" spans="15:15" x14ac:dyDescent="0.25">
      <c r="O6606" s="20" t="str">
        <f>IF(N6606="","",COUNTIFS(RawData[[Date ]],N6606,RawData[Month List],$Q$6,RawData[Tour/Site],$Q$2,RawData[[Picker ID ]],$Q$3,RawData[Checker ID],$Q$4,RawData[[Error Type ]],$Q$5))</f>
        <v/>
      </c>
    </row>
    <row r="6607" spans="15:15" x14ac:dyDescent="0.25">
      <c r="O6607" s="20" t="str">
        <f>IF(N6607="","",COUNTIFS(RawData[[Date ]],N6607,RawData[Month List],$Q$6,RawData[Tour/Site],$Q$2,RawData[[Picker ID ]],$Q$3,RawData[Checker ID],$Q$4,RawData[[Error Type ]],$Q$5))</f>
        <v/>
      </c>
    </row>
    <row r="6608" spans="15:15" x14ac:dyDescent="0.25">
      <c r="O6608" s="20" t="str">
        <f>IF(N6608="","",COUNTIFS(RawData[[Date ]],N6608,RawData[Month List],$Q$6,RawData[Tour/Site],$Q$2,RawData[[Picker ID ]],$Q$3,RawData[Checker ID],$Q$4,RawData[[Error Type ]],$Q$5))</f>
        <v/>
      </c>
    </row>
    <row r="6609" spans="15:15" x14ac:dyDescent="0.25">
      <c r="O6609" s="20" t="str">
        <f>IF(N6609="","",COUNTIFS(RawData[[Date ]],N6609,RawData[Month List],$Q$6,RawData[Tour/Site],$Q$2,RawData[[Picker ID ]],$Q$3,RawData[Checker ID],$Q$4,RawData[[Error Type ]],$Q$5))</f>
        <v/>
      </c>
    </row>
    <row r="6610" spans="15:15" x14ac:dyDescent="0.25">
      <c r="O6610" s="20" t="str">
        <f>IF(N6610="","",COUNTIFS(RawData[[Date ]],N6610,RawData[Month List],$Q$6,RawData[Tour/Site],$Q$2,RawData[[Picker ID ]],$Q$3,RawData[Checker ID],$Q$4,RawData[[Error Type ]],$Q$5))</f>
        <v/>
      </c>
    </row>
    <row r="6611" spans="15:15" x14ac:dyDescent="0.25">
      <c r="O6611" s="20" t="str">
        <f>IF(N6611="","",COUNTIFS(RawData[[Date ]],N6611,RawData[Month List],$Q$6,RawData[Tour/Site],$Q$2,RawData[[Picker ID ]],$Q$3,RawData[Checker ID],$Q$4,RawData[[Error Type ]],$Q$5))</f>
        <v/>
      </c>
    </row>
    <row r="6612" spans="15:15" x14ac:dyDescent="0.25">
      <c r="O6612" s="20" t="str">
        <f>IF(N6612="","",COUNTIFS(RawData[[Date ]],N6612,RawData[Month List],$Q$6,RawData[Tour/Site],$Q$2,RawData[[Picker ID ]],$Q$3,RawData[Checker ID],$Q$4,RawData[[Error Type ]],$Q$5))</f>
        <v/>
      </c>
    </row>
    <row r="6613" spans="15:15" x14ac:dyDescent="0.25">
      <c r="O6613" s="20" t="str">
        <f>IF(N6613="","",COUNTIFS(RawData[[Date ]],N6613,RawData[Month List],$Q$6,RawData[Tour/Site],$Q$2,RawData[[Picker ID ]],$Q$3,RawData[Checker ID],$Q$4,RawData[[Error Type ]],$Q$5))</f>
        <v/>
      </c>
    </row>
    <row r="6614" spans="15:15" x14ac:dyDescent="0.25">
      <c r="O6614" s="20" t="str">
        <f>IF(N6614="","",COUNTIFS(RawData[[Date ]],N6614,RawData[Month List],$Q$6,RawData[Tour/Site],$Q$2,RawData[[Picker ID ]],$Q$3,RawData[Checker ID],$Q$4,RawData[[Error Type ]],$Q$5))</f>
        <v/>
      </c>
    </row>
    <row r="6615" spans="15:15" x14ac:dyDescent="0.25">
      <c r="O6615" s="20" t="str">
        <f>IF(N6615="","",COUNTIFS(RawData[[Date ]],N6615,RawData[Month List],$Q$6,RawData[Tour/Site],$Q$2,RawData[[Picker ID ]],$Q$3,RawData[Checker ID],$Q$4,RawData[[Error Type ]],$Q$5))</f>
        <v/>
      </c>
    </row>
    <row r="6616" spans="15:15" x14ac:dyDescent="0.25">
      <c r="O6616" s="20" t="str">
        <f>IF(N6616="","",COUNTIFS(RawData[[Date ]],N6616,RawData[Month List],$Q$6,RawData[Tour/Site],$Q$2,RawData[[Picker ID ]],$Q$3,RawData[Checker ID],$Q$4,RawData[[Error Type ]],$Q$5))</f>
        <v/>
      </c>
    </row>
    <row r="6617" spans="15:15" x14ac:dyDescent="0.25">
      <c r="O6617" s="20" t="str">
        <f>IF(N6617="","",COUNTIFS(RawData[[Date ]],N6617,RawData[Month List],$Q$6,RawData[Tour/Site],$Q$2,RawData[[Picker ID ]],$Q$3,RawData[Checker ID],$Q$4,RawData[[Error Type ]],$Q$5))</f>
        <v/>
      </c>
    </row>
    <row r="6618" spans="15:15" x14ac:dyDescent="0.25">
      <c r="O6618" s="20" t="str">
        <f>IF(N6618="","",COUNTIFS(RawData[[Date ]],N6618,RawData[Month List],$Q$6,RawData[Tour/Site],$Q$2,RawData[[Picker ID ]],$Q$3,RawData[Checker ID],$Q$4,RawData[[Error Type ]],$Q$5))</f>
        <v/>
      </c>
    </row>
    <row r="6619" spans="15:15" x14ac:dyDescent="0.25">
      <c r="O6619" s="20" t="str">
        <f>IF(N6619="","",COUNTIFS(RawData[[Date ]],N6619,RawData[Month List],$Q$6,RawData[Tour/Site],$Q$2,RawData[[Picker ID ]],$Q$3,RawData[Checker ID],$Q$4,RawData[[Error Type ]],$Q$5))</f>
        <v/>
      </c>
    </row>
    <row r="6620" spans="15:15" x14ac:dyDescent="0.25">
      <c r="O6620" s="20" t="str">
        <f>IF(N6620="","",COUNTIFS(RawData[[Date ]],N6620,RawData[Month List],$Q$6,RawData[Tour/Site],$Q$2,RawData[[Picker ID ]],$Q$3,RawData[Checker ID],$Q$4,RawData[[Error Type ]],$Q$5))</f>
        <v/>
      </c>
    </row>
    <row r="6621" spans="15:15" x14ac:dyDescent="0.25">
      <c r="O6621" s="20" t="str">
        <f>IF(N6621="","",COUNTIFS(RawData[[Date ]],N6621,RawData[Month List],$Q$6,RawData[Tour/Site],$Q$2,RawData[[Picker ID ]],$Q$3,RawData[Checker ID],$Q$4,RawData[[Error Type ]],$Q$5))</f>
        <v/>
      </c>
    </row>
    <row r="6622" spans="15:15" x14ac:dyDescent="0.25">
      <c r="O6622" s="20" t="str">
        <f>IF(N6622="","",COUNTIFS(RawData[[Date ]],N6622,RawData[Month List],$Q$6,RawData[Tour/Site],$Q$2,RawData[[Picker ID ]],$Q$3,RawData[Checker ID],$Q$4,RawData[[Error Type ]],$Q$5))</f>
        <v/>
      </c>
    </row>
    <row r="6623" spans="15:15" x14ac:dyDescent="0.25">
      <c r="O6623" s="20" t="str">
        <f>IF(N6623="","",COUNTIFS(RawData[[Date ]],N6623,RawData[Month List],$Q$6,RawData[Tour/Site],$Q$2,RawData[[Picker ID ]],$Q$3,RawData[Checker ID],$Q$4,RawData[[Error Type ]],$Q$5))</f>
        <v/>
      </c>
    </row>
    <row r="6624" spans="15:15" x14ac:dyDescent="0.25">
      <c r="O6624" s="20" t="str">
        <f>IF(N6624="","",COUNTIFS(RawData[[Date ]],N6624,RawData[Month List],$Q$6,RawData[Tour/Site],$Q$2,RawData[[Picker ID ]],$Q$3,RawData[Checker ID],$Q$4,RawData[[Error Type ]],$Q$5))</f>
        <v/>
      </c>
    </row>
    <row r="6625" spans="15:15" x14ac:dyDescent="0.25">
      <c r="O6625" s="20" t="str">
        <f>IF(N6625="","",COUNTIFS(RawData[[Date ]],N6625,RawData[Month List],$Q$6,RawData[Tour/Site],$Q$2,RawData[[Picker ID ]],$Q$3,RawData[Checker ID],$Q$4,RawData[[Error Type ]],$Q$5))</f>
        <v/>
      </c>
    </row>
    <row r="6626" spans="15:15" x14ac:dyDescent="0.25">
      <c r="O6626" s="20" t="str">
        <f>IF(N6626="","",COUNTIFS(RawData[[Date ]],N6626,RawData[Month List],$Q$6,RawData[Tour/Site],$Q$2,RawData[[Picker ID ]],$Q$3,RawData[Checker ID],$Q$4,RawData[[Error Type ]],$Q$5))</f>
        <v/>
      </c>
    </row>
    <row r="6627" spans="15:15" x14ac:dyDescent="0.25">
      <c r="O6627" s="20" t="str">
        <f>IF(N6627="","",COUNTIFS(RawData[[Date ]],N6627,RawData[Month List],$Q$6,RawData[Tour/Site],$Q$2,RawData[[Picker ID ]],$Q$3,RawData[Checker ID],$Q$4,RawData[[Error Type ]],$Q$5))</f>
        <v/>
      </c>
    </row>
    <row r="6628" spans="15:15" x14ac:dyDescent="0.25">
      <c r="O6628" s="20" t="str">
        <f>IF(N6628="","",COUNTIFS(RawData[[Date ]],N6628,RawData[Month List],$Q$6,RawData[Tour/Site],$Q$2,RawData[[Picker ID ]],$Q$3,RawData[Checker ID],$Q$4,RawData[[Error Type ]],$Q$5))</f>
        <v/>
      </c>
    </row>
    <row r="6629" spans="15:15" x14ac:dyDescent="0.25">
      <c r="O6629" s="20" t="str">
        <f>IF(N6629="","",COUNTIFS(RawData[[Date ]],N6629,RawData[Month List],$Q$6,RawData[Tour/Site],$Q$2,RawData[[Picker ID ]],$Q$3,RawData[Checker ID],$Q$4,RawData[[Error Type ]],$Q$5))</f>
        <v/>
      </c>
    </row>
    <row r="6630" spans="15:15" x14ac:dyDescent="0.25">
      <c r="O6630" s="20" t="str">
        <f>IF(N6630="","",COUNTIFS(RawData[[Date ]],N6630,RawData[Month List],$Q$6,RawData[Tour/Site],$Q$2,RawData[[Picker ID ]],$Q$3,RawData[Checker ID],$Q$4,RawData[[Error Type ]],$Q$5))</f>
        <v/>
      </c>
    </row>
    <row r="6631" spans="15:15" x14ac:dyDescent="0.25">
      <c r="O6631" s="20" t="str">
        <f>IF(N6631="","",COUNTIFS(RawData[[Date ]],N6631,RawData[Month List],$Q$6,RawData[Tour/Site],$Q$2,RawData[[Picker ID ]],$Q$3,RawData[Checker ID],$Q$4,RawData[[Error Type ]],$Q$5))</f>
        <v/>
      </c>
    </row>
    <row r="6632" spans="15:15" x14ac:dyDescent="0.25">
      <c r="O6632" s="20" t="str">
        <f>IF(N6632="","",COUNTIFS(RawData[[Date ]],N6632,RawData[Month List],$Q$6,RawData[Tour/Site],$Q$2,RawData[[Picker ID ]],$Q$3,RawData[Checker ID],$Q$4,RawData[[Error Type ]],$Q$5))</f>
        <v/>
      </c>
    </row>
    <row r="6633" spans="15:15" x14ac:dyDescent="0.25">
      <c r="O6633" s="20" t="str">
        <f>IF(N6633="","",COUNTIFS(RawData[[Date ]],N6633,RawData[Month List],$Q$6,RawData[Tour/Site],$Q$2,RawData[[Picker ID ]],$Q$3,RawData[Checker ID],$Q$4,RawData[[Error Type ]],$Q$5))</f>
        <v/>
      </c>
    </row>
    <row r="6634" spans="15:15" x14ac:dyDescent="0.25">
      <c r="O6634" s="20" t="str">
        <f>IF(N6634="","",COUNTIFS(RawData[[Date ]],N6634,RawData[Month List],$Q$6,RawData[Tour/Site],$Q$2,RawData[[Picker ID ]],$Q$3,RawData[Checker ID],$Q$4,RawData[[Error Type ]],$Q$5))</f>
        <v/>
      </c>
    </row>
    <row r="6635" spans="15:15" x14ac:dyDescent="0.25">
      <c r="O6635" s="20" t="str">
        <f>IF(N6635="","",COUNTIFS(RawData[[Date ]],N6635,RawData[Month List],$Q$6,RawData[Tour/Site],$Q$2,RawData[[Picker ID ]],$Q$3,RawData[Checker ID],$Q$4,RawData[[Error Type ]],$Q$5))</f>
        <v/>
      </c>
    </row>
    <row r="6636" spans="15:15" x14ac:dyDescent="0.25">
      <c r="O6636" s="20" t="str">
        <f>IF(N6636="","",COUNTIFS(RawData[[Date ]],N6636,RawData[Month List],$Q$6,RawData[Tour/Site],$Q$2,RawData[[Picker ID ]],$Q$3,RawData[Checker ID],$Q$4,RawData[[Error Type ]],$Q$5))</f>
        <v/>
      </c>
    </row>
    <row r="6637" spans="15:15" x14ac:dyDescent="0.25">
      <c r="O6637" s="20" t="str">
        <f>IF(N6637="","",COUNTIFS(RawData[[Date ]],N6637,RawData[Month List],$Q$6,RawData[Tour/Site],$Q$2,RawData[[Picker ID ]],$Q$3,RawData[Checker ID],$Q$4,RawData[[Error Type ]],$Q$5))</f>
        <v/>
      </c>
    </row>
    <row r="6638" spans="15:15" x14ac:dyDescent="0.25">
      <c r="O6638" s="20" t="str">
        <f>IF(N6638="","",COUNTIFS(RawData[[Date ]],N6638,RawData[Month List],$Q$6,RawData[Tour/Site],$Q$2,RawData[[Picker ID ]],$Q$3,RawData[Checker ID],$Q$4,RawData[[Error Type ]],$Q$5))</f>
        <v/>
      </c>
    </row>
    <row r="6639" spans="15:15" x14ac:dyDescent="0.25">
      <c r="O6639" s="20" t="str">
        <f>IF(N6639="","",COUNTIFS(RawData[[Date ]],N6639,RawData[Month List],$Q$6,RawData[Tour/Site],$Q$2,RawData[[Picker ID ]],$Q$3,RawData[Checker ID],$Q$4,RawData[[Error Type ]],$Q$5))</f>
        <v/>
      </c>
    </row>
    <row r="6640" spans="15:15" x14ac:dyDescent="0.25">
      <c r="O6640" s="20" t="str">
        <f>IF(N6640="","",COUNTIFS(RawData[[Date ]],N6640,RawData[Month List],$Q$6,RawData[Tour/Site],$Q$2,RawData[[Picker ID ]],$Q$3,RawData[Checker ID],$Q$4,RawData[[Error Type ]],$Q$5))</f>
        <v/>
      </c>
    </row>
    <row r="6641" spans="15:15" x14ac:dyDescent="0.25">
      <c r="O6641" s="20" t="str">
        <f>IF(N6641="","",COUNTIFS(RawData[[Date ]],N6641,RawData[Month List],$Q$6,RawData[Tour/Site],$Q$2,RawData[[Picker ID ]],$Q$3,RawData[Checker ID],$Q$4,RawData[[Error Type ]],$Q$5))</f>
        <v/>
      </c>
    </row>
    <row r="6642" spans="15:15" x14ac:dyDescent="0.25">
      <c r="O6642" s="20" t="str">
        <f>IF(N6642="","",COUNTIFS(RawData[[Date ]],N6642,RawData[Month List],$Q$6,RawData[Tour/Site],$Q$2,RawData[[Picker ID ]],$Q$3,RawData[Checker ID],$Q$4,RawData[[Error Type ]],$Q$5))</f>
        <v/>
      </c>
    </row>
    <row r="6643" spans="15:15" x14ac:dyDescent="0.25">
      <c r="O6643" s="20" t="str">
        <f>IF(N6643="","",COUNTIFS(RawData[[Date ]],N6643,RawData[Month List],$Q$6,RawData[Tour/Site],$Q$2,RawData[[Picker ID ]],$Q$3,RawData[Checker ID],$Q$4,RawData[[Error Type ]],$Q$5))</f>
        <v/>
      </c>
    </row>
    <row r="6644" spans="15:15" x14ac:dyDescent="0.25">
      <c r="O6644" s="20" t="str">
        <f>IF(N6644="","",COUNTIFS(RawData[[Date ]],N6644,RawData[Month List],$Q$6,RawData[Tour/Site],$Q$2,RawData[[Picker ID ]],$Q$3,RawData[Checker ID],$Q$4,RawData[[Error Type ]],$Q$5))</f>
        <v/>
      </c>
    </row>
    <row r="6645" spans="15:15" x14ac:dyDescent="0.25">
      <c r="O6645" s="20" t="str">
        <f>IF(N6645="","",COUNTIFS(RawData[[Date ]],N6645,RawData[Month List],$Q$6,RawData[Tour/Site],$Q$2,RawData[[Picker ID ]],$Q$3,RawData[Checker ID],$Q$4,RawData[[Error Type ]],$Q$5))</f>
        <v/>
      </c>
    </row>
    <row r="6646" spans="15:15" x14ac:dyDescent="0.25">
      <c r="O6646" s="20" t="str">
        <f>IF(N6646="","",COUNTIFS(RawData[[Date ]],N6646,RawData[Month List],$Q$6,RawData[Tour/Site],$Q$2,RawData[[Picker ID ]],$Q$3,RawData[Checker ID],$Q$4,RawData[[Error Type ]],$Q$5))</f>
        <v/>
      </c>
    </row>
    <row r="6647" spans="15:15" x14ac:dyDescent="0.25">
      <c r="O6647" s="20" t="str">
        <f>IF(N6647="","",COUNTIFS(RawData[[Date ]],N6647,RawData[Month List],$Q$6,RawData[Tour/Site],$Q$2,RawData[[Picker ID ]],$Q$3,RawData[Checker ID],$Q$4,RawData[[Error Type ]],$Q$5))</f>
        <v/>
      </c>
    </row>
    <row r="6648" spans="15:15" x14ac:dyDescent="0.25">
      <c r="O6648" s="20" t="str">
        <f>IF(N6648="","",COUNTIFS(RawData[[Date ]],N6648,RawData[Month List],$Q$6,RawData[Tour/Site],$Q$2,RawData[[Picker ID ]],$Q$3,RawData[Checker ID],$Q$4,RawData[[Error Type ]],$Q$5))</f>
        <v/>
      </c>
    </row>
    <row r="6649" spans="15:15" x14ac:dyDescent="0.25">
      <c r="O6649" s="20" t="str">
        <f>IF(N6649="","",COUNTIFS(RawData[[Date ]],N6649,RawData[Month List],$Q$6,RawData[Tour/Site],$Q$2,RawData[[Picker ID ]],$Q$3,RawData[Checker ID],$Q$4,RawData[[Error Type ]],$Q$5))</f>
        <v/>
      </c>
    </row>
    <row r="6650" spans="15:15" x14ac:dyDescent="0.25">
      <c r="O6650" s="20" t="str">
        <f>IF(N6650="","",COUNTIFS(RawData[[Date ]],N6650,RawData[Month List],$Q$6,RawData[Tour/Site],$Q$2,RawData[[Picker ID ]],$Q$3,RawData[Checker ID],$Q$4,RawData[[Error Type ]],$Q$5))</f>
        <v/>
      </c>
    </row>
    <row r="6651" spans="15:15" x14ac:dyDescent="0.25">
      <c r="O6651" s="20" t="str">
        <f>IF(N6651="","",COUNTIFS(RawData[[Date ]],N6651,RawData[Month List],$Q$6,RawData[Tour/Site],$Q$2,RawData[[Picker ID ]],$Q$3,RawData[Checker ID],$Q$4,RawData[[Error Type ]],$Q$5))</f>
        <v/>
      </c>
    </row>
    <row r="6652" spans="15:15" x14ac:dyDescent="0.25">
      <c r="O6652" s="20" t="str">
        <f>IF(N6652="","",COUNTIFS(RawData[[Date ]],N6652,RawData[Month List],$Q$6,RawData[Tour/Site],$Q$2,RawData[[Picker ID ]],$Q$3,RawData[Checker ID],$Q$4,RawData[[Error Type ]],$Q$5))</f>
        <v/>
      </c>
    </row>
    <row r="6653" spans="15:15" x14ac:dyDescent="0.25">
      <c r="O6653" s="20" t="str">
        <f>IF(N6653="","",COUNTIFS(RawData[[Date ]],N6653,RawData[Month List],$Q$6,RawData[Tour/Site],$Q$2,RawData[[Picker ID ]],$Q$3,RawData[Checker ID],$Q$4,RawData[[Error Type ]],$Q$5))</f>
        <v/>
      </c>
    </row>
    <row r="6654" spans="15:15" x14ac:dyDescent="0.25">
      <c r="O6654" s="20" t="str">
        <f>IF(N6654="","",COUNTIFS(RawData[[Date ]],N6654,RawData[Month List],$Q$6,RawData[Tour/Site],$Q$2,RawData[[Picker ID ]],$Q$3,RawData[Checker ID],$Q$4,RawData[[Error Type ]],$Q$5))</f>
        <v/>
      </c>
    </row>
    <row r="6655" spans="15:15" x14ac:dyDescent="0.25">
      <c r="O6655" s="20" t="str">
        <f>IF(N6655="","",COUNTIFS(RawData[[Date ]],N6655,RawData[Month List],$Q$6,RawData[Tour/Site],$Q$2,RawData[[Picker ID ]],$Q$3,RawData[Checker ID],$Q$4,RawData[[Error Type ]],$Q$5))</f>
        <v/>
      </c>
    </row>
    <row r="6656" spans="15:15" x14ac:dyDescent="0.25">
      <c r="O6656" s="20" t="str">
        <f>IF(N6656="","",COUNTIFS(RawData[[Date ]],N6656,RawData[Month List],$Q$6,RawData[Tour/Site],$Q$2,RawData[[Picker ID ]],$Q$3,RawData[Checker ID],$Q$4,RawData[[Error Type ]],$Q$5))</f>
        <v/>
      </c>
    </row>
    <row r="6657" spans="15:15" x14ac:dyDescent="0.25">
      <c r="O6657" s="20" t="str">
        <f>IF(N6657="","",COUNTIFS(RawData[[Date ]],N6657,RawData[Month List],$Q$6,RawData[Tour/Site],$Q$2,RawData[[Picker ID ]],$Q$3,RawData[Checker ID],$Q$4,RawData[[Error Type ]],$Q$5))</f>
        <v/>
      </c>
    </row>
    <row r="6658" spans="15:15" x14ac:dyDescent="0.25">
      <c r="O6658" s="20" t="str">
        <f>IF(N6658="","",COUNTIFS(RawData[[Date ]],N6658,RawData[Month List],$Q$6,RawData[Tour/Site],$Q$2,RawData[[Picker ID ]],$Q$3,RawData[Checker ID],$Q$4,RawData[[Error Type ]],$Q$5))</f>
        <v/>
      </c>
    </row>
    <row r="6659" spans="15:15" x14ac:dyDescent="0.25">
      <c r="O6659" s="20" t="str">
        <f>IF(N6659="","",COUNTIFS(RawData[[Date ]],N6659,RawData[Month List],$Q$6,RawData[Tour/Site],$Q$2,RawData[[Picker ID ]],$Q$3,RawData[Checker ID],$Q$4,RawData[[Error Type ]],$Q$5))</f>
        <v/>
      </c>
    </row>
    <row r="6660" spans="15:15" x14ac:dyDescent="0.25">
      <c r="O6660" s="20" t="str">
        <f>IF(N6660="","",COUNTIFS(RawData[[Date ]],N6660,RawData[Month List],$Q$6,RawData[Tour/Site],$Q$2,RawData[[Picker ID ]],$Q$3,RawData[Checker ID],$Q$4,RawData[[Error Type ]],$Q$5))</f>
        <v/>
      </c>
    </row>
    <row r="6661" spans="15:15" x14ac:dyDescent="0.25">
      <c r="O6661" s="20" t="str">
        <f>IF(N6661="","",COUNTIFS(RawData[[Date ]],N6661,RawData[Month List],$Q$6,RawData[Tour/Site],$Q$2,RawData[[Picker ID ]],$Q$3,RawData[Checker ID],$Q$4,RawData[[Error Type ]],$Q$5))</f>
        <v/>
      </c>
    </row>
    <row r="6662" spans="15:15" x14ac:dyDescent="0.25">
      <c r="O6662" s="20" t="str">
        <f>IF(N6662="","",COUNTIFS(RawData[[Date ]],N6662,RawData[Month List],$Q$6,RawData[Tour/Site],$Q$2,RawData[[Picker ID ]],$Q$3,RawData[Checker ID],$Q$4,RawData[[Error Type ]],$Q$5))</f>
        <v/>
      </c>
    </row>
    <row r="6663" spans="15:15" x14ac:dyDescent="0.25">
      <c r="O6663" s="20" t="str">
        <f>IF(N6663="","",COUNTIFS(RawData[[Date ]],N6663,RawData[Month List],$Q$6,RawData[Tour/Site],$Q$2,RawData[[Picker ID ]],$Q$3,RawData[Checker ID],$Q$4,RawData[[Error Type ]],$Q$5))</f>
        <v/>
      </c>
    </row>
    <row r="6664" spans="15:15" x14ac:dyDescent="0.25">
      <c r="O6664" s="20" t="str">
        <f>IF(N6664="","",COUNTIFS(RawData[[Date ]],N6664,RawData[Month List],$Q$6,RawData[Tour/Site],$Q$2,RawData[[Picker ID ]],$Q$3,RawData[Checker ID],$Q$4,RawData[[Error Type ]],$Q$5))</f>
        <v/>
      </c>
    </row>
    <row r="6665" spans="15:15" x14ac:dyDescent="0.25">
      <c r="O6665" s="20" t="str">
        <f>IF(N6665="","",COUNTIFS(RawData[[Date ]],N6665,RawData[Month List],$Q$6,RawData[Tour/Site],$Q$2,RawData[[Picker ID ]],$Q$3,RawData[Checker ID],$Q$4,RawData[[Error Type ]],$Q$5))</f>
        <v/>
      </c>
    </row>
    <row r="6666" spans="15:15" x14ac:dyDescent="0.25">
      <c r="O6666" s="20" t="str">
        <f>IF(N6666="","",COUNTIFS(RawData[[Date ]],N6666,RawData[Month List],$Q$6,RawData[Tour/Site],$Q$2,RawData[[Picker ID ]],$Q$3,RawData[Checker ID],$Q$4,RawData[[Error Type ]],$Q$5))</f>
        <v/>
      </c>
    </row>
    <row r="6667" spans="15:15" x14ac:dyDescent="0.25">
      <c r="O6667" s="20" t="str">
        <f>IF(N6667="","",COUNTIFS(RawData[[Date ]],N6667,RawData[Month List],$Q$6,RawData[Tour/Site],$Q$2,RawData[[Picker ID ]],$Q$3,RawData[Checker ID],$Q$4,RawData[[Error Type ]],$Q$5))</f>
        <v/>
      </c>
    </row>
    <row r="6668" spans="15:15" x14ac:dyDescent="0.25">
      <c r="O6668" s="20" t="str">
        <f>IF(N6668="","",COUNTIFS(RawData[[Date ]],N6668,RawData[Month List],$Q$6,RawData[Tour/Site],$Q$2,RawData[[Picker ID ]],$Q$3,RawData[Checker ID],$Q$4,RawData[[Error Type ]],$Q$5))</f>
        <v/>
      </c>
    </row>
    <row r="6669" spans="15:15" x14ac:dyDescent="0.25">
      <c r="O6669" s="20" t="str">
        <f>IF(N6669="","",COUNTIFS(RawData[[Date ]],N6669,RawData[Month List],$Q$6,RawData[Tour/Site],$Q$2,RawData[[Picker ID ]],$Q$3,RawData[Checker ID],$Q$4,RawData[[Error Type ]],$Q$5))</f>
        <v/>
      </c>
    </row>
    <row r="6670" spans="15:15" x14ac:dyDescent="0.25">
      <c r="O6670" s="20" t="str">
        <f>IF(N6670="","",COUNTIFS(RawData[[Date ]],N6670,RawData[Month List],$Q$6,RawData[Tour/Site],$Q$2,RawData[[Picker ID ]],$Q$3,RawData[Checker ID],$Q$4,RawData[[Error Type ]],$Q$5))</f>
        <v/>
      </c>
    </row>
    <row r="6671" spans="15:15" x14ac:dyDescent="0.25">
      <c r="O6671" s="20" t="str">
        <f>IF(N6671="","",COUNTIFS(RawData[[Date ]],N6671,RawData[Month List],$Q$6,RawData[Tour/Site],$Q$2,RawData[[Picker ID ]],$Q$3,RawData[Checker ID],$Q$4,RawData[[Error Type ]],$Q$5))</f>
        <v/>
      </c>
    </row>
    <row r="6672" spans="15:15" x14ac:dyDescent="0.25">
      <c r="O6672" s="20" t="str">
        <f>IF(N6672="","",COUNTIFS(RawData[[Date ]],N6672,RawData[Month List],$Q$6,RawData[Tour/Site],$Q$2,RawData[[Picker ID ]],$Q$3,RawData[Checker ID],$Q$4,RawData[[Error Type ]],$Q$5))</f>
        <v/>
      </c>
    </row>
    <row r="6673" spans="15:15" x14ac:dyDescent="0.25">
      <c r="O6673" s="20" t="str">
        <f>IF(N6673="","",COUNTIFS(RawData[[Date ]],N6673,RawData[Month List],$Q$6,RawData[Tour/Site],$Q$2,RawData[[Picker ID ]],$Q$3,RawData[Checker ID],$Q$4,RawData[[Error Type ]],$Q$5))</f>
        <v/>
      </c>
    </row>
    <row r="6674" spans="15:15" x14ac:dyDescent="0.25">
      <c r="O6674" s="20" t="str">
        <f>IF(N6674="","",COUNTIFS(RawData[[Date ]],N6674,RawData[Month List],$Q$6,RawData[Tour/Site],$Q$2,RawData[[Picker ID ]],$Q$3,RawData[Checker ID],$Q$4,RawData[[Error Type ]],$Q$5))</f>
        <v/>
      </c>
    </row>
    <row r="6675" spans="15:15" x14ac:dyDescent="0.25">
      <c r="O6675" s="20" t="str">
        <f>IF(N6675="","",COUNTIFS(RawData[[Date ]],N6675,RawData[Month List],$Q$6,RawData[Tour/Site],$Q$2,RawData[[Picker ID ]],$Q$3,RawData[Checker ID],$Q$4,RawData[[Error Type ]],$Q$5))</f>
        <v/>
      </c>
    </row>
    <row r="6676" spans="15:15" x14ac:dyDescent="0.25">
      <c r="O6676" s="20" t="str">
        <f>IF(N6676="","",COUNTIFS(RawData[[Date ]],N6676,RawData[Month List],$Q$6,RawData[Tour/Site],$Q$2,RawData[[Picker ID ]],$Q$3,RawData[Checker ID],$Q$4,RawData[[Error Type ]],$Q$5))</f>
        <v/>
      </c>
    </row>
    <row r="6677" spans="15:15" x14ac:dyDescent="0.25">
      <c r="O6677" s="20" t="str">
        <f>IF(N6677="","",COUNTIFS(RawData[[Date ]],N6677,RawData[Month List],$Q$6,RawData[Tour/Site],$Q$2,RawData[[Picker ID ]],$Q$3,RawData[Checker ID],$Q$4,RawData[[Error Type ]],$Q$5))</f>
        <v/>
      </c>
    </row>
    <row r="6678" spans="15:15" x14ac:dyDescent="0.25">
      <c r="O6678" s="20" t="str">
        <f>IF(N6678="","",COUNTIFS(RawData[[Date ]],N6678,RawData[Month List],$Q$6,RawData[Tour/Site],$Q$2,RawData[[Picker ID ]],$Q$3,RawData[Checker ID],$Q$4,RawData[[Error Type ]],$Q$5))</f>
        <v/>
      </c>
    </row>
    <row r="6679" spans="15:15" x14ac:dyDescent="0.25">
      <c r="O6679" s="20" t="str">
        <f>IF(N6679="","",COUNTIFS(RawData[[Date ]],N6679,RawData[Month List],$Q$6,RawData[Tour/Site],$Q$2,RawData[[Picker ID ]],$Q$3,RawData[Checker ID],$Q$4,RawData[[Error Type ]],$Q$5))</f>
        <v/>
      </c>
    </row>
    <row r="6680" spans="15:15" x14ac:dyDescent="0.25">
      <c r="O6680" s="20" t="str">
        <f>IF(N6680="","",COUNTIFS(RawData[[Date ]],N6680,RawData[Month List],$Q$6,RawData[Tour/Site],$Q$2,RawData[[Picker ID ]],$Q$3,RawData[Checker ID],$Q$4,RawData[[Error Type ]],$Q$5))</f>
        <v/>
      </c>
    </row>
    <row r="6681" spans="15:15" x14ac:dyDescent="0.25">
      <c r="O6681" s="20" t="str">
        <f>IF(N6681="","",COUNTIFS(RawData[[Date ]],N6681,RawData[Month List],$Q$6,RawData[Tour/Site],$Q$2,RawData[[Picker ID ]],$Q$3,RawData[Checker ID],$Q$4,RawData[[Error Type ]],$Q$5))</f>
        <v/>
      </c>
    </row>
    <row r="6682" spans="15:15" x14ac:dyDescent="0.25">
      <c r="O6682" s="20" t="str">
        <f>IF(N6682="","",COUNTIFS(RawData[[Date ]],N6682,RawData[Month List],$Q$6,RawData[Tour/Site],$Q$2,RawData[[Picker ID ]],$Q$3,RawData[Checker ID],$Q$4,RawData[[Error Type ]],$Q$5))</f>
        <v/>
      </c>
    </row>
    <row r="6683" spans="15:15" x14ac:dyDescent="0.25">
      <c r="O6683" s="20" t="str">
        <f>IF(N6683="","",COUNTIFS(RawData[[Date ]],N6683,RawData[Month List],$Q$6,RawData[Tour/Site],$Q$2,RawData[[Picker ID ]],$Q$3,RawData[Checker ID],$Q$4,RawData[[Error Type ]],$Q$5))</f>
        <v/>
      </c>
    </row>
    <row r="6684" spans="15:15" x14ac:dyDescent="0.25">
      <c r="O6684" s="20" t="str">
        <f>IF(N6684="","",COUNTIFS(RawData[[Date ]],N6684,RawData[Month List],$Q$6,RawData[Tour/Site],$Q$2,RawData[[Picker ID ]],$Q$3,RawData[Checker ID],$Q$4,RawData[[Error Type ]],$Q$5))</f>
        <v/>
      </c>
    </row>
    <row r="6685" spans="15:15" x14ac:dyDescent="0.25">
      <c r="O6685" s="20" t="str">
        <f>IF(N6685="","",COUNTIFS(RawData[[Date ]],N6685,RawData[Month List],$Q$6,RawData[Tour/Site],$Q$2,RawData[[Picker ID ]],$Q$3,RawData[Checker ID],$Q$4,RawData[[Error Type ]],$Q$5))</f>
        <v/>
      </c>
    </row>
    <row r="6686" spans="15:15" x14ac:dyDescent="0.25">
      <c r="O6686" s="20" t="str">
        <f>IF(N6686="","",COUNTIFS(RawData[[Date ]],N6686,RawData[Month List],$Q$6,RawData[Tour/Site],$Q$2,RawData[[Picker ID ]],$Q$3,RawData[Checker ID],$Q$4,RawData[[Error Type ]],$Q$5))</f>
        <v/>
      </c>
    </row>
    <row r="6687" spans="15:15" x14ac:dyDescent="0.25">
      <c r="O6687" s="20" t="str">
        <f>IF(N6687="","",COUNTIFS(RawData[[Date ]],N6687,RawData[Month List],$Q$6,RawData[Tour/Site],$Q$2,RawData[[Picker ID ]],$Q$3,RawData[Checker ID],$Q$4,RawData[[Error Type ]],$Q$5))</f>
        <v/>
      </c>
    </row>
    <row r="6688" spans="15:15" x14ac:dyDescent="0.25">
      <c r="O6688" s="20" t="str">
        <f>IF(N6688="","",COUNTIFS(RawData[[Date ]],N6688,RawData[Month List],$Q$6,RawData[Tour/Site],$Q$2,RawData[[Picker ID ]],$Q$3,RawData[Checker ID],$Q$4,RawData[[Error Type ]],$Q$5))</f>
        <v/>
      </c>
    </row>
    <row r="6689" spans="15:15" x14ac:dyDescent="0.25">
      <c r="O6689" s="20" t="str">
        <f>IF(N6689="","",COUNTIFS(RawData[[Date ]],N6689,RawData[Month List],$Q$6,RawData[Tour/Site],$Q$2,RawData[[Picker ID ]],$Q$3,RawData[Checker ID],$Q$4,RawData[[Error Type ]],$Q$5))</f>
        <v/>
      </c>
    </row>
    <row r="6690" spans="15:15" x14ac:dyDescent="0.25">
      <c r="O6690" s="20" t="str">
        <f>IF(N6690="","",COUNTIFS(RawData[[Date ]],N6690,RawData[Month List],$Q$6,RawData[Tour/Site],$Q$2,RawData[[Picker ID ]],$Q$3,RawData[Checker ID],$Q$4,RawData[[Error Type ]],$Q$5))</f>
        <v/>
      </c>
    </row>
    <row r="6691" spans="15:15" x14ac:dyDescent="0.25">
      <c r="O6691" s="20" t="str">
        <f>IF(N6691="","",COUNTIFS(RawData[[Date ]],N6691,RawData[Month List],$Q$6,RawData[Tour/Site],$Q$2,RawData[[Picker ID ]],$Q$3,RawData[Checker ID],$Q$4,RawData[[Error Type ]],$Q$5))</f>
        <v/>
      </c>
    </row>
    <row r="6692" spans="15:15" x14ac:dyDescent="0.25">
      <c r="O6692" s="20" t="str">
        <f>IF(N6692="","",COUNTIFS(RawData[[Date ]],N6692,RawData[Month List],$Q$6,RawData[Tour/Site],$Q$2,RawData[[Picker ID ]],$Q$3,RawData[Checker ID],$Q$4,RawData[[Error Type ]],$Q$5))</f>
        <v/>
      </c>
    </row>
    <row r="6693" spans="15:15" x14ac:dyDescent="0.25">
      <c r="O6693" s="20" t="str">
        <f>IF(N6693="","",COUNTIFS(RawData[[Date ]],N6693,RawData[Month List],$Q$6,RawData[Tour/Site],$Q$2,RawData[[Picker ID ]],$Q$3,RawData[Checker ID],$Q$4,RawData[[Error Type ]],$Q$5))</f>
        <v/>
      </c>
    </row>
    <row r="6694" spans="15:15" x14ac:dyDescent="0.25">
      <c r="O6694" s="20" t="str">
        <f>IF(N6694="","",COUNTIFS(RawData[[Date ]],N6694,RawData[Month List],$Q$6,RawData[Tour/Site],$Q$2,RawData[[Picker ID ]],$Q$3,RawData[Checker ID],$Q$4,RawData[[Error Type ]],$Q$5))</f>
        <v/>
      </c>
    </row>
    <row r="6695" spans="15:15" x14ac:dyDescent="0.25">
      <c r="O6695" s="20" t="str">
        <f>IF(N6695="","",COUNTIFS(RawData[[Date ]],N6695,RawData[Month List],$Q$6,RawData[Tour/Site],$Q$2,RawData[[Picker ID ]],$Q$3,RawData[Checker ID],$Q$4,RawData[[Error Type ]],$Q$5))</f>
        <v/>
      </c>
    </row>
    <row r="6696" spans="15:15" x14ac:dyDescent="0.25">
      <c r="O6696" s="20" t="str">
        <f>IF(N6696="","",COUNTIFS(RawData[[Date ]],N6696,RawData[Month List],$Q$6,RawData[Tour/Site],$Q$2,RawData[[Picker ID ]],$Q$3,RawData[Checker ID],$Q$4,RawData[[Error Type ]],$Q$5))</f>
        <v/>
      </c>
    </row>
    <row r="6697" spans="15:15" x14ac:dyDescent="0.25">
      <c r="O6697" s="20" t="str">
        <f>IF(N6697="","",COUNTIFS(RawData[[Date ]],N6697,RawData[Month List],$Q$6,RawData[Tour/Site],$Q$2,RawData[[Picker ID ]],$Q$3,RawData[Checker ID],$Q$4,RawData[[Error Type ]],$Q$5))</f>
        <v/>
      </c>
    </row>
    <row r="6698" spans="15:15" x14ac:dyDescent="0.25">
      <c r="O6698" s="20" t="str">
        <f>IF(N6698="","",COUNTIFS(RawData[[Date ]],N6698,RawData[Month List],$Q$6,RawData[Tour/Site],$Q$2,RawData[[Picker ID ]],$Q$3,RawData[Checker ID],$Q$4,RawData[[Error Type ]],$Q$5))</f>
        <v/>
      </c>
    </row>
    <row r="6699" spans="15:15" x14ac:dyDescent="0.25">
      <c r="O6699" s="20" t="str">
        <f>IF(N6699="","",COUNTIFS(RawData[[Date ]],N6699,RawData[Month List],$Q$6,RawData[Tour/Site],$Q$2,RawData[[Picker ID ]],$Q$3,RawData[Checker ID],$Q$4,RawData[[Error Type ]],$Q$5))</f>
        <v/>
      </c>
    </row>
    <row r="6700" spans="15:15" x14ac:dyDescent="0.25">
      <c r="O6700" s="20" t="str">
        <f>IF(N6700="","",COUNTIFS(RawData[[Date ]],N6700,RawData[Month List],$Q$6,RawData[Tour/Site],$Q$2,RawData[[Picker ID ]],$Q$3,RawData[Checker ID],$Q$4,RawData[[Error Type ]],$Q$5))</f>
        <v/>
      </c>
    </row>
    <row r="6701" spans="15:15" x14ac:dyDescent="0.25">
      <c r="O6701" s="20" t="str">
        <f>IF(N6701="","",COUNTIFS(RawData[[Date ]],N6701,RawData[Month List],$Q$6,RawData[Tour/Site],$Q$2,RawData[[Picker ID ]],$Q$3,RawData[Checker ID],$Q$4,RawData[[Error Type ]],$Q$5))</f>
        <v/>
      </c>
    </row>
    <row r="6702" spans="15:15" x14ac:dyDescent="0.25">
      <c r="O6702" s="20" t="str">
        <f>IF(N6702="","",COUNTIFS(RawData[[Date ]],N6702,RawData[Month List],$Q$6,RawData[Tour/Site],$Q$2,RawData[[Picker ID ]],$Q$3,RawData[Checker ID],$Q$4,RawData[[Error Type ]],$Q$5))</f>
        <v/>
      </c>
    </row>
    <row r="6703" spans="15:15" x14ac:dyDescent="0.25">
      <c r="O6703" s="20" t="str">
        <f>IF(N6703="","",COUNTIFS(RawData[[Date ]],N6703,RawData[Month List],$Q$6,RawData[Tour/Site],$Q$2,RawData[[Picker ID ]],$Q$3,RawData[Checker ID],$Q$4,RawData[[Error Type ]],$Q$5))</f>
        <v/>
      </c>
    </row>
    <row r="6704" spans="15:15" x14ac:dyDescent="0.25">
      <c r="O6704" s="20" t="str">
        <f>IF(N6704="","",COUNTIFS(RawData[[Date ]],N6704,RawData[Month List],$Q$6,RawData[Tour/Site],$Q$2,RawData[[Picker ID ]],$Q$3,RawData[Checker ID],$Q$4,RawData[[Error Type ]],$Q$5))</f>
        <v/>
      </c>
    </row>
    <row r="6705" spans="15:15" x14ac:dyDescent="0.25">
      <c r="O6705" s="20" t="str">
        <f>IF(N6705="","",COUNTIFS(RawData[[Date ]],N6705,RawData[Month List],$Q$6,RawData[Tour/Site],$Q$2,RawData[[Picker ID ]],$Q$3,RawData[Checker ID],$Q$4,RawData[[Error Type ]],$Q$5))</f>
        <v/>
      </c>
    </row>
    <row r="6706" spans="15:15" x14ac:dyDescent="0.25">
      <c r="O6706" s="20" t="str">
        <f>IF(N6706="","",COUNTIFS(RawData[[Date ]],N6706,RawData[Month List],$Q$6,RawData[Tour/Site],$Q$2,RawData[[Picker ID ]],$Q$3,RawData[Checker ID],$Q$4,RawData[[Error Type ]],$Q$5))</f>
        <v/>
      </c>
    </row>
    <row r="6707" spans="15:15" x14ac:dyDescent="0.25">
      <c r="O6707" s="20" t="str">
        <f>IF(N6707="","",COUNTIFS(RawData[[Date ]],N6707,RawData[Month List],$Q$6,RawData[Tour/Site],$Q$2,RawData[[Picker ID ]],$Q$3,RawData[Checker ID],$Q$4,RawData[[Error Type ]],$Q$5))</f>
        <v/>
      </c>
    </row>
    <row r="6708" spans="15:15" x14ac:dyDescent="0.25">
      <c r="O6708" s="20" t="str">
        <f>IF(N6708="","",COUNTIFS(RawData[[Date ]],N6708,RawData[Month List],$Q$6,RawData[Tour/Site],$Q$2,RawData[[Picker ID ]],$Q$3,RawData[Checker ID],$Q$4,RawData[[Error Type ]],$Q$5))</f>
        <v/>
      </c>
    </row>
    <row r="6709" spans="15:15" x14ac:dyDescent="0.25">
      <c r="O6709" s="20" t="str">
        <f>IF(N6709="","",COUNTIFS(RawData[[Date ]],N6709,RawData[Month List],$Q$6,RawData[Tour/Site],$Q$2,RawData[[Picker ID ]],$Q$3,RawData[Checker ID],$Q$4,RawData[[Error Type ]],$Q$5))</f>
        <v/>
      </c>
    </row>
    <row r="6710" spans="15:15" x14ac:dyDescent="0.25">
      <c r="O6710" s="20" t="str">
        <f>IF(N6710="","",COUNTIFS(RawData[[Date ]],N6710,RawData[Month List],$Q$6,RawData[Tour/Site],$Q$2,RawData[[Picker ID ]],$Q$3,RawData[Checker ID],$Q$4,RawData[[Error Type ]],$Q$5))</f>
        <v/>
      </c>
    </row>
    <row r="6711" spans="15:15" x14ac:dyDescent="0.25">
      <c r="O6711" s="20" t="str">
        <f>IF(N6711="","",COUNTIFS(RawData[[Date ]],N6711,RawData[Month List],$Q$6,RawData[Tour/Site],$Q$2,RawData[[Picker ID ]],$Q$3,RawData[Checker ID],$Q$4,RawData[[Error Type ]],$Q$5))</f>
        <v/>
      </c>
    </row>
    <row r="6712" spans="15:15" x14ac:dyDescent="0.25">
      <c r="O6712" s="20" t="str">
        <f>IF(N6712="","",COUNTIFS(RawData[[Date ]],N6712,RawData[Month List],$Q$6,RawData[Tour/Site],$Q$2,RawData[[Picker ID ]],$Q$3,RawData[Checker ID],$Q$4,RawData[[Error Type ]],$Q$5))</f>
        <v/>
      </c>
    </row>
    <row r="6713" spans="15:15" x14ac:dyDescent="0.25">
      <c r="O6713" s="20" t="str">
        <f>IF(N6713="","",COUNTIFS(RawData[[Date ]],N6713,RawData[Month List],$Q$6,RawData[Tour/Site],$Q$2,RawData[[Picker ID ]],$Q$3,RawData[Checker ID],$Q$4,RawData[[Error Type ]],$Q$5))</f>
        <v/>
      </c>
    </row>
    <row r="6714" spans="15:15" x14ac:dyDescent="0.25">
      <c r="O6714" s="20" t="str">
        <f>IF(N6714="","",COUNTIFS(RawData[[Date ]],N6714,RawData[Month List],$Q$6,RawData[Tour/Site],$Q$2,RawData[[Picker ID ]],$Q$3,RawData[Checker ID],$Q$4,RawData[[Error Type ]],$Q$5))</f>
        <v/>
      </c>
    </row>
    <row r="6715" spans="15:15" x14ac:dyDescent="0.25">
      <c r="O6715" s="20" t="str">
        <f>IF(N6715="","",COUNTIFS(RawData[[Date ]],N6715,RawData[Month List],$Q$6,RawData[Tour/Site],$Q$2,RawData[[Picker ID ]],$Q$3,RawData[Checker ID],$Q$4,RawData[[Error Type ]],$Q$5))</f>
        <v/>
      </c>
    </row>
    <row r="6716" spans="15:15" x14ac:dyDescent="0.25">
      <c r="O6716" s="20" t="str">
        <f>IF(N6716="","",COUNTIFS(RawData[[Date ]],N6716,RawData[Month List],$Q$6,RawData[Tour/Site],$Q$2,RawData[[Picker ID ]],$Q$3,RawData[Checker ID],$Q$4,RawData[[Error Type ]],$Q$5))</f>
        <v/>
      </c>
    </row>
    <row r="6717" spans="15:15" x14ac:dyDescent="0.25">
      <c r="O6717" s="20" t="str">
        <f>IF(N6717="","",COUNTIFS(RawData[[Date ]],N6717,RawData[Month List],$Q$6,RawData[Tour/Site],$Q$2,RawData[[Picker ID ]],$Q$3,RawData[Checker ID],$Q$4,RawData[[Error Type ]],$Q$5))</f>
        <v/>
      </c>
    </row>
    <row r="6718" spans="15:15" x14ac:dyDescent="0.25">
      <c r="O6718" s="20" t="str">
        <f>IF(N6718="","",COUNTIFS(RawData[[Date ]],N6718,RawData[Month List],$Q$6,RawData[Tour/Site],$Q$2,RawData[[Picker ID ]],$Q$3,RawData[Checker ID],$Q$4,RawData[[Error Type ]],$Q$5))</f>
        <v/>
      </c>
    </row>
    <row r="6719" spans="15:15" x14ac:dyDescent="0.25">
      <c r="O6719" s="20" t="str">
        <f>IF(N6719="","",COUNTIFS(RawData[[Date ]],N6719,RawData[Month List],$Q$6,RawData[Tour/Site],$Q$2,RawData[[Picker ID ]],$Q$3,RawData[Checker ID],$Q$4,RawData[[Error Type ]],$Q$5))</f>
        <v/>
      </c>
    </row>
    <row r="6720" spans="15:15" x14ac:dyDescent="0.25">
      <c r="O6720" s="20" t="str">
        <f>IF(N6720="","",COUNTIFS(RawData[[Date ]],N6720,RawData[Month List],$Q$6,RawData[Tour/Site],$Q$2,RawData[[Picker ID ]],$Q$3,RawData[Checker ID],$Q$4,RawData[[Error Type ]],$Q$5))</f>
        <v/>
      </c>
    </row>
    <row r="6721" spans="15:15" x14ac:dyDescent="0.25">
      <c r="O6721" s="20" t="str">
        <f>IF(N6721="","",COUNTIFS(RawData[[Date ]],N6721,RawData[Month List],$Q$6,RawData[Tour/Site],$Q$2,RawData[[Picker ID ]],$Q$3,RawData[Checker ID],$Q$4,RawData[[Error Type ]],$Q$5))</f>
        <v/>
      </c>
    </row>
    <row r="6722" spans="15:15" x14ac:dyDescent="0.25">
      <c r="O6722" s="20" t="str">
        <f>IF(N6722="","",COUNTIFS(RawData[[Date ]],N6722,RawData[Month List],$Q$6,RawData[Tour/Site],$Q$2,RawData[[Picker ID ]],$Q$3,RawData[Checker ID],$Q$4,RawData[[Error Type ]],$Q$5))</f>
        <v/>
      </c>
    </row>
    <row r="6723" spans="15:15" x14ac:dyDescent="0.25">
      <c r="O6723" s="20" t="str">
        <f>IF(N6723="","",COUNTIFS(RawData[[Date ]],N6723,RawData[Month List],$Q$6,RawData[Tour/Site],$Q$2,RawData[[Picker ID ]],$Q$3,RawData[Checker ID],$Q$4,RawData[[Error Type ]],$Q$5))</f>
        <v/>
      </c>
    </row>
    <row r="6724" spans="15:15" x14ac:dyDescent="0.25">
      <c r="O6724" s="20" t="str">
        <f>IF(N6724="","",COUNTIFS(RawData[[Date ]],N6724,RawData[Month List],$Q$6,RawData[Tour/Site],$Q$2,RawData[[Picker ID ]],$Q$3,RawData[Checker ID],$Q$4,RawData[[Error Type ]],$Q$5))</f>
        <v/>
      </c>
    </row>
    <row r="6725" spans="15:15" x14ac:dyDescent="0.25">
      <c r="O6725" s="20" t="str">
        <f>IF(N6725="","",COUNTIFS(RawData[[Date ]],N6725,RawData[Month List],$Q$6,RawData[Tour/Site],$Q$2,RawData[[Picker ID ]],$Q$3,RawData[Checker ID],$Q$4,RawData[[Error Type ]],$Q$5))</f>
        <v/>
      </c>
    </row>
    <row r="6726" spans="15:15" x14ac:dyDescent="0.25">
      <c r="O6726" s="20" t="str">
        <f>IF(N6726="","",COUNTIFS(RawData[[Date ]],N6726,RawData[Month List],$Q$6,RawData[Tour/Site],$Q$2,RawData[[Picker ID ]],$Q$3,RawData[Checker ID],$Q$4,RawData[[Error Type ]],$Q$5))</f>
        <v/>
      </c>
    </row>
    <row r="6727" spans="15:15" x14ac:dyDescent="0.25">
      <c r="O6727" s="20" t="str">
        <f>IF(N6727="","",COUNTIFS(RawData[[Date ]],N6727,RawData[Month List],$Q$6,RawData[Tour/Site],$Q$2,RawData[[Picker ID ]],$Q$3,RawData[Checker ID],$Q$4,RawData[[Error Type ]],$Q$5))</f>
        <v/>
      </c>
    </row>
    <row r="6728" spans="15:15" x14ac:dyDescent="0.25">
      <c r="O6728" s="20" t="str">
        <f>IF(N6728="","",COUNTIFS(RawData[[Date ]],N6728,RawData[Month List],$Q$6,RawData[Tour/Site],$Q$2,RawData[[Picker ID ]],$Q$3,RawData[Checker ID],$Q$4,RawData[[Error Type ]],$Q$5))</f>
        <v/>
      </c>
    </row>
    <row r="6729" spans="15:15" x14ac:dyDescent="0.25">
      <c r="O6729" s="20" t="str">
        <f>IF(N6729="","",COUNTIFS(RawData[[Date ]],N6729,RawData[Month List],$Q$6,RawData[Tour/Site],$Q$2,RawData[[Picker ID ]],$Q$3,RawData[Checker ID],$Q$4,RawData[[Error Type ]],$Q$5))</f>
        <v/>
      </c>
    </row>
    <row r="6730" spans="15:15" x14ac:dyDescent="0.25">
      <c r="O6730" s="20" t="str">
        <f>IF(N6730="","",COUNTIFS(RawData[[Date ]],N6730,RawData[Month List],$Q$6,RawData[Tour/Site],$Q$2,RawData[[Picker ID ]],$Q$3,RawData[Checker ID],$Q$4,RawData[[Error Type ]],$Q$5))</f>
        <v/>
      </c>
    </row>
    <row r="6731" spans="15:15" x14ac:dyDescent="0.25">
      <c r="O6731" s="20" t="str">
        <f>IF(N6731="","",COUNTIFS(RawData[[Date ]],N6731,RawData[Month List],$Q$6,RawData[Tour/Site],$Q$2,RawData[[Picker ID ]],$Q$3,RawData[Checker ID],$Q$4,RawData[[Error Type ]],$Q$5))</f>
        <v/>
      </c>
    </row>
    <row r="6732" spans="15:15" x14ac:dyDescent="0.25">
      <c r="O6732" s="20" t="str">
        <f>IF(N6732="","",COUNTIFS(RawData[[Date ]],N6732,RawData[Month List],$Q$6,RawData[Tour/Site],$Q$2,RawData[[Picker ID ]],$Q$3,RawData[Checker ID],$Q$4,RawData[[Error Type ]],$Q$5))</f>
        <v/>
      </c>
    </row>
    <row r="6733" spans="15:15" x14ac:dyDescent="0.25">
      <c r="O6733" s="20" t="str">
        <f>IF(N6733="","",COUNTIFS(RawData[[Date ]],N6733,RawData[Month List],$Q$6,RawData[Tour/Site],$Q$2,RawData[[Picker ID ]],$Q$3,RawData[Checker ID],$Q$4,RawData[[Error Type ]],$Q$5))</f>
        <v/>
      </c>
    </row>
    <row r="6734" spans="15:15" x14ac:dyDescent="0.25">
      <c r="O6734" s="20" t="str">
        <f>IF(N6734="","",COUNTIFS(RawData[[Date ]],N6734,RawData[Month List],$Q$6,RawData[Tour/Site],$Q$2,RawData[[Picker ID ]],$Q$3,RawData[Checker ID],$Q$4,RawData[[Error Type ]],$Q$5))</f>
        <v/>
      </c>
    </row>
    <row r="6735" spans="15:15" x14ac:dyDescent="0.25">
      <c r="O6735" s="20" t="str">
        <f>IF(N6735="","",COUNTIFS(RawData[[Date ]],N6735,RawData[Month List],$Q$6,RawData[Tour/Site],$Q$2,RawData[[Picker ID ]],$Q$3,RawData[Checker ID],$Q$4,RawData[[Error Type ]],$Q$5))</f>
        <v/>
      </c>
    </row>
    <row r="6736" spans="15:15" x14ac:dyDescent="0.25">
      <c r="O6736" s="20" t="str">
        <f>IF(N6736="","",COUNTIFS(RawData[[Date ]],N6736,RawData[Month List],$Q$6,RawData[Tour/Site],$Q$2,RawData[[Picker ID ]],$Q$3,RawData[Checker ID],$Q$4,RawData[[Error Type ]],$Q$5))</f>
        <v/>
      </c>
    </row>
    <row r="6737" spans="15:15" x14ac:dyDescent="0.25">
      <c r="O6737" s="20" t="str">
        <f>IF(N6737="","",COUNTIFS(RawData[[Date ]],N6737,RawData[Month List],$Q$6,RawData[Tour/Site],$Q$2,RawData[[Picker ID ]],$Q$3,RawData[Checker ID],$Q$4,RawData[[Error Type ]],$Q$5))</f>
        <v/>
      </c>
    </row>
    <row r="6738" spans="15:15" x14ac:dyDescent="0.25">
      <c r="O6738" s="20" t="str">
        <f>IF(N6738="","",COUNTIFS(RawData[[Date ]],N6738,RawData[Month List],$Q$6,RawData[Tour/Site],$Q$2,RawData[[Picker ID ]],$Q$3,RawData[Checker ID],$Q$4,RawData[[Error Type ]],$Q$5))</f>
        <v/>
      </c>
    </row>
    <row r="6739" spans="15:15" x14ac:dyDescent="0.25">
      <c r="O6739" s="20" t="str">
        <f>IF(N6739="","",COUNTIFS(RawData[[Date ]],N6739,RawData[Month List],$Q$6,RawData[Tour/Site],$Q$2,RawData[[Picker ID ]],$Q$3,RawData[Checker ID],$Q$4,RawData[[Error Type ]],$Q$5))</f>
        <v/>
      </c>
    </row>
    <row r="6740" spans="15:15" x14ac:dyDescent="0.25">
      <c r="O6740" s="20" t="str">
        <f>IF(N6740="","",COUNTIFS(RawData[[Date ]],N6740,RawData[Month List],$Q$6,RawData[Tour/Site],$Q$2,RawData[[Picker ID ]],$Q$3,RawData[Checker ID],$Q$4,RawData[[Error Type ]],$Q$5))</f>
        <v/>
      </c>
    </row>
    <row r="6741" spans="15:15" x14ac:dyDescent="0.25">
      <c r="O6741" s="20" t="str">
        <f>IF(N6741="","",COUNTIFS(RawData[[Date ]],N6741,RawData[Month List],$Q$6,RawData[Tour/Site],$Q$2,RawData[[Picker ID ]],$Q$3,RawData[Checker ID],$Q$4,RawData[[Error Type ]],$Q$5))</f>
        <v/>
      </c>
    </row>
    <row r="6742" spans="15:15" x14ac:dyDescent="0.25">
      <c r="O6742" s="20" t="str">
        <f>IF(N6742="","",COUNTIFS(RawData[[Date ]],N6742,RawData[Month List],$Q$6,RawData[Tour/Site],$Q$2,RawData[[Picker ID ]],$Q$3,RawData[Checker ID],$Q$4,RawData[[Error Type ]],$Q$5))</f>
        <v/>
      </c>
    </row>
    <row r="6743" spans="15:15" x14ac:dyDescent="0.25">
      <c r="O6743" s="20" t="str">
        <f>IF(N6743="","",COUNTIFS(RawData[[Date ]],N6743,RawData[Month List],$Q$6,RawData[Tour/Site],$Q$2,RawData[[Picker ID ]],$Q$3,RawData[Checker ID],$Q$4,RawData[[Error Type ]],$Q$5))</f>
        <v/>
      </c>
    </row>
    <row r="6744" spans="15:15" x14ac:dyDescent="0.25">
      <c r="O6744" s="20" t="str">
        <f>IF(N6744="","",COUNTIFS(RawData[[Date ]],N6744,RawData[Month List],$Q$6,RawData[Tour/Site],$Q$2,RawData[[Picker ID ]],$Q$3,RawData[Checker ID],$Q$4,RawData[[Error Type ]],$Q$5))</f>
        <v/>
      </c>
    </row>
    <row r="6745" spans="15:15" x14ac:dyDescent="0.25">
      <c r="O6745" s="20" t="str">
        <f>IF(N6745="","",COUNTIFS(RawData[[Date ]],N6745,RawData[Month List],$Q$6,RawData[Tour/Site],$Q$2,RawData[[Picker ID ]],$Q$3,RawData[Checker ID],$Q$4,RawData[[Error Type ]],$Q$5))</f>
        <v/>
      </c>
    </row>
    <row r="6746" spans="15:15" x14ac:dyDescent="0.25">
      <c r="O6746" s="20" t="str">
        <f>IF(N6746="","",COUNTIFS(RawData[[Date ]],N6746,RawData[Month List],$Q$6,RawData[Tour/Site],$Q$2,RawData[[Picker ID ]],$Q$3,RawData[Checker ID],$Q$4,RawData[[Error Type ]],$Q$5))</f>
        <v/>
      </c>
    </row>
    <row r="6747" spans="15:15" x14ac:dyDescent="0.25">
      <c r="O6747" s="20" t="str">
        <f>IF(N6747="","",COUNTIFS(RawData[[Date ]],N6747,RawData[Month List],$Q$6,RawData[Tour/Site],$Q$2,RawData[[Picker ID ]],$Q$3,RawData[Checker ID],$Q$4,RawData[[Error Type ]],$Q$5))</f>
        <v/>
      </c>
    </row>
    <row r="6748" spans="15:15" x14ac:dyDescent="0.25">
      <c r="O6748" s="20" t="str">
        <f>IF(N6748="","",COUNTIFS(RawData[[Date ]],N6748,RawData[Month List],$Q$6,RawData[Tour/Site],$Q$2,RawData[[Picker ID ]],$Q$3,RawData[Checker ID],$Q$4,RawData[[Error Type ]],$Q$5))</f>
        <v/>
      </c>
    </row>
    <row r="6749" spans="15:15" x14ac:dyDescent="0.25">
      <c r="O6749" s="20" t="str">
        <f>IF(N6749="","",COUNTIFS(RawData[[Date ]],N6749,RawData[Month List],$Q$6,RawData[Tour/Site],$Q$2,RawData[[Picker ID ]],$Q$3,RawData[Checker ID],$Q$4,RawData[[Error Type ]],$Q$5))</f>
        <v/>
      </c>
    </row>
    <row r="6750" spans="15:15" x14ac:dyDescent="0.25">
      <c r="O6750" s="20" t="str">
        <f>IF(N6750="","",COUNTIFS(RawData[[Date ]],N6750,RawData[Month List],$Q$6,RawData[Tour/Site],$Q$2,RawData[[Picker ID ]],$Q$3,RawData[Checker ID],$Q$4,RawData[[Error Type ]],$Q$5))</f>
        <v/>
      </c>
    </row>
    <row r="6751" spans="15:15" x14ac:dyDescent="0.25">
      <c r="O6751" s="20" t="str">
        <f>IF(N6751="","",COUNTIFS(RawData[[Date ]],N6751,RawData[Month List],$Q$6,RawData[Tour/Site],$Q$2,RawData[[Picker ID ]],$Q$3,RawData[Checker ID],$Q$4,RawData[[Error Type ]],$Q$5))</f>
        <v/>
      </c>
    </row>
    <row r="6752" spans="15:15" x14ac:dyDescent="0.25">
      <c r="O6752" s="20" t="str">
        <f>IF(N6752="","",COUNTIFS(RawData[[Date ]],N6752,RawData[Month List],$Q$6,RawData[Tour/Site],$Q$2,RawData[[Picker ID ]],$Q$3,RawData[Checker ID],$Q$4,RawData[[Error Type ]],$Q$5))</f>
        <v/>
      </c>
    </row>
    <row r="6753" spans="15:15" x14ac:dyDescent="0.25">
      <c r="O6753" s="20" t="str">
        <f>IF(N6753="","",COUNTIFS(RawData[[Date ]],N6753,RawData[Month List],$Q$6,RawData[Tour/Site],$Q$2,RawData[[Picker ID ]],$Q$3,RawData[Checker ID],$Q$4,RawData[[Error Type ]],$Q$5))</f>
        <v/>
      </c>
    </row>
    <row r="6754" spans="15:15" x14ac:dyDescent="0.25">
      <c r="O6754" s="20" t="str">
        <f>IF(N6754="","",COUNTIFS(RawData[[Date ]],N6754,RawData[Month List],$Q$6,RawData[Tour/Site],$Q$2,RawData[[Picker ID ]],$Q$3,RawData[Checker ID],$Q$4,RawData[[Error Type ]],$Q$5))</f>
        <v/>
      </c>
    </row>
    <row r="6755" spans="15:15" x14ac:dyDescent="0.25">
      <c r="O6755" s="20" t="str">
        <f>IF(N6755="","",COUNTIFS(RawData[[Date ]],N6755,RawData[Month List],$Q$6,RawData[Tour/Site],$Q$2,RawData[[Picker ID ]],$Q$3,RawData[Checker ID],$Q$4,RawData[[Error Type ]],$Q$5))</f>
        <v/>
      </c>
    </row>
    <row r="6756" spans="15:15" x14ac:dyDescent="0.25">
      <c r="O6756" s="20" t="str">
        <f>IF(N6756="","",COUNTIFS(RawData[[Date ]],N6756,RawData[Month List],$Q$6,RawData[Tour/Site],$Q$2,RawData[[Picker ID ]],$Q$3,RawData[Checker ID],$Q$4,RawData[[Error Type ]],$Q$5))</f>
        <v/>
      </c>
    </row>
    <row r="6757" spans="15:15" x14ac:dyDescent="0.25">
      <c r="O6757" s="20" t="str">
        <f>IF(N6757="","",COUNTIFS(RawData[[Date ]],N6757,RawData[Month List],$Q$6,RawData[Tour/Site],$Q$2,RawData[[Picker ID ]],$Q$3,RawData[Checker ID],$Q$4,RawData[[Error Type ]],$Q$5))</f>
        <v/>
      </c>
    </row>
    <row r="6758" spans="15:15" x14ac:dyDescent="0.25">
      <c r="O6758" s="20" t="str">
        <f>IF(N6758="","",COUNTIFS(RawData[[Date ]],N6758,RawData[Month List],$Q$6,RawData[Tour/Site],$Q$2,RawData[[Picker ID ]],$Q$3,RawData[Checker ID],$Q$4,RawData[[Error Type ]],$Q$5))</f>
        <v/>
      </c>
    </row>
    <row r="6759" spans="15:15" x14ac:dyDescent="0.25">
      <c r="O6759" s="20" t="str">
        <f>IF(N6759="","",COUNTIFS(RawData[[Date ]],N6759,RawData[Month List],$Q$6,RawData[Tour/Site],$Q$2,RawData[[Picker ID ]],$Q$3,RawData[Checker ID],$Q$4,RawData[[Error Type ]],$Q$5))</f>
        <v/>
      </c>
    </row>
    <row r="6760" spans="15:15" x14ac:dyDescent="0.25">
      <c r="O6760" s="20" t="str">
        <f>IF(N6760="","",COUNTIFS(RawData[[Date ]],N6760,RawData[Month List],$Q$6,RawData[Tour/Site],$Q$2,RawData[[Picker ID ]],$Q$3,RawData[Checker ID],$Q$4,RawData[[Error Type ]],$Q$5))</f>
        <v/>
      </c>
    </row>
    <row r="6761" spans="15:15" x14ac:dyDescent="0.25">
      <c r="O6761" s="20" t="str">
        <f>IF(N6761="","",COUNTIFS(RawData[[Date ]],N6761,RawData[Month List],$Q$6,RawData[Tour/Site],$Q$2,RawData[[Picker ID ]],$Q$3,RawData[Checker ID],$Q$4,RawData[[Error Type ]],$Q$5))</f>
        <v/>
      </c>
    </row>
    <row r="6762" spans="15:15" x14ac:dyDescent="0.25">
      <c r="O6762" s="20" t="str">
        <f>IF(N6762="","",COUNTIFS(RawData[[Date ]],N6762,RawData[Month List],$Q$6,RawData[Tour/Site],$Q$2,RawData[[Picker ID ]],$Q$3,RawData[Checker ID],$Q$4,RawData[[Error Type ]],$Q$5))</f>
        <v/>
      </c>
    </row>
    <row r="6763" spans="15:15" x14ac:dyDescent="0.25">
      <c r="O6763" s="20" t="str">
        <f>IF(N6763="","",COUNTIFS(RawData[[Date ]],N6763,RawData[Month List],$Q$6,RawData[Tour/Site],$Q$2,RawData[[Picker ID ]],$Q$3,RawData[Checker ID],$Q$4,RawData[[Error Type ]],$Q$5))</f>
        <v/>
      </c>
    </row>
    <row r="6764" spans="15:15" x14ac:dyDescent="0.25">
      <c r="O6764" s="20" t="str">
        <f>IF(N6764="","",COUNTIFS(RawData[[Date ]],N6764,RawData[Month List],$Q$6,RawData[Tour/Site],$Q$2,RawData[[Picker ID ]],$Q$3,RawData[Checker ID],$Q$4,RawData[[Error Type ]],$Q$5))</f>
        <v/>
      </c>
    </row>
    <row r="6765" spans="15:15" x14ac:dyDescent="0.25">
      <c r="O6765" s="20" t="str">
        <f>IF(N6765="","",COUNTIFS(RawData[[Date ]],N6765,RawData[Month List],$Q$6,RawData[Tour/Site],$Q$2,RawData[[Picker ID ]],$Q$3,RawData[Checker ID],$Q$4,RawData[[Error Type ]],$Q$5))</f>
        <v/>
      </c>
    </row>
    <row r="6766" spans="15:15" x14ac:dyDescent="0.25">
      <c r="O6766" s="20" t="str">
        <f>IF(N6766="","",COUNTIFS(RawData[[Date ]],N6766,RawData[Month List],$Q$6,RawData[Tour/Site],$Q$2,RawData[[Picker ID ]],$Q$3,RawData[Checker ID],$Q$4,RawData[[Error Type ]],$Q$5))</f>
        <v/>
      </c>
    </row>
    <row r="6767" spans="15:15" x14ac:dyDescent="0.25">
      <c r="O6767" s="20" t="str">
        <f>IF(N6767="","",COUNTIFS(RawData[[Date ]],N6767,RawData[Month List],$Q$6,RawData[Tour/Site],$Q$2,RawData[[Picker ID ]],$Q$3,RawData[Checker ID],$Q$4,RawData[[Error Type ]],$Q$5))</f>
        <v/>
      </c>
    </row>
    <row r="6768" spans="15:15" x14ac:dyDescent="0.25">
      <c r="O6768" s="20" t="str">
        <f>IF(N6768="","",COUNTIFS(RawData[[Date ]],N6768,RawData[Month List],$Q$6,RawData[Tour/Site],$Q$2,RawData[[Picker ID ]],$Q$3,RawData[Checker ID],$Q$4,RawData[[Error Type ]],$Q$5))</f>
        <v/>
      </c>
    </row>
    <row r="6769" spans="15:15" x14ac:dyDescent="0.25">
      <c r="O6769" s="20" t="str">
        <f>IF(N6769="","",COUNTIFS(RawData[[Date ]],N6769,RawData[Month List],$Q$6,RawData[Tour/Site],$Q$2,RawData[[Picker ID ]],$Q$3,RawData[Checker ID],$Q$4,RawData[[Error Type ]],$Q$5))</f>
        <v/>
      </c>
    </row>
    <row r="6770" spans="15:15" x14ac:dyDescent="0.25">
      <c r="O6770" s="20" t="str">
        <f>IF(N6770="","",COUNTIFS(RawData[[Date ]],N6770,RawData[Month List],$Q$6,RawData[Tour/Site],$Q$2,RawData[[Picker ID ]],$Q$3,RawData[Checker ID],$Q$4,RawData[[Error Type ]],$Q$5))</f>
        <v/>
      </c>
    </row>
    <row r="6771" spans="15:15" x14ac:dyDescent="0.25">
      <c r="O6771" s="20" t="str">
        <f>IF(N6771="","",COUNTIFS(RawData[[Date ]],N6771,RawData[Month List],$Q$6,RawData[Tour/Site],$Q$2,RawData[[Picker ID ]],$Q$3,RawData[Checker ID],$Q$4,RawData[[Error Type ]],$Q$5))</f>
        <v/>
      </c>
    </row>
    <row r="6772" spans="15:15" x14ac:dyDescent="0.25">
      <c r="O6772" s="20" t="str">
        <f>IF(N6772="","",COUNTIFS(RawData[[Date ]],N6772,RawData[Month List],$Q$6,RawData[Tour/Site],$Q$2,RawData[[Picker ID ]],$Q$3,RawData[Checker ID],$Q$4,RawData[[Error Type ]],$Q$5))</f>
        <v/>
      </c>
    </row>
    <row r="6773" spans="15:15" x14ac:dyDescent="0.25">
      <c r="O6773" s="20" t="str">
        <f>IF(N6773="","",COUNTIFS(RawData[[Date ]],N6773,RawData[Month List],$Q$6,RawData[Tour/Site],$Q$2,RawData[[Picker ID ]],$Q$3,RawData[Checker ID],$Q$4,RawData[[Error Type ]],$Q$5))</f>
        <v/>
      </c>
    </row>
    <row r="6774" spans="15:15" x14ac:dyDescent="0.25">
      <c r="O6774" s="20" t="str">
        <f>IF(N6774="","",COUNTIFS(RawData[[Date ]],N6774,RawData[Month List],$Q$6,RawData[Tour/Site],$Q$2,RawData[[Picker ID ]],$Q$3,RawData[Checker ID],$Q$4,RawData[[Error Type ]],$Q$5))</f>
        <v/>
      </c>
    </row>
    <row r="6775" spans="15:15" x14ac:dyDescent="0.25">
      <c r="O6775" s="20" t="str">
        <f>IF(N6775="","",COUNTIFS(RawData[[Date ]],N6775,RawData[Month List],$Q$6,RawData[Tour/Site],$Q$2,RawData[[Picker ID ]],$Q$3,RawData[Checker ID],$Q$4,RawData[[Error Type ]],$Q$5))</f>
        <v/>
      </c>
    </row>
    <row r="6776" spans="15:15" x14ac:dyDescent="0.25">
      <c r="O6776" s="20" t="str">
        <f>IF(N6776="","",COUNTIFS(RawData[[Date ]],N6776,RawData[Month List],$Q$6,RawData[Tour/Site],$Q$2,RawData[[Picker ID ]],$Q$3,RawData[Checker ID],$Q$4,RawData[[Error Type ]],$Q$5))</f>
        <v/>
      </c>
    </row>
    <row r="6777" spans="15:15" x14ac:dyDescent="0.25">
      <c r="O6777" s="20" t="str">
        <f>IF(N6777="","",COUNTIFS(RawData[[Date ]],N6777,RawData[Month List],$Q$6,RawData[Tour/Site],$Q$2,RawData[[Picker ID ]],$Q$3,RawData[Checker ID],$Q$4,RawData[[Error Type ]],$Q$5))</f>
        <v/>
      </c>
    </row>
    <row r="6778" spans="15:15" x14ac:dyDescent="0.25">
      <c r="O6778" s="20" t="str">
        <f>IF(N6778="","",COUNTIFS(RawData[[Date ]],N6778,RawData[Month List],$Q$6,RawData[Tour/Site],$Q$2,RawData[[Picker ID ]],$Q$3,RawData[Checker ID],$Q$4,RawData[[Error Type ]],$Q$5))</f>
        <v/>
      </c>
    </row>
    <row r="6779" spans="15:15" x14ac:dyDescent="0.25">
      <c r="O6779" s="20" t="str">
        <f>IF(N6779="","",COUNTIFS(RawData[[Date ]],N6779,RawData[Month List],$Q$6,RawData[Tour/Site],$Q$2,RawData[[Picker ID ]],$Q$3,RawData[Checker ID],$Q$4,RawData[[Error Type ]],$Q$5))</f>
        <v/>
      </c>
    </row>
    <row r="6780" spans="15:15" x14ac:dyDescent="0.25">
      <c r="O6780" s="20" t="str">
        <f>IF(N6780="","",COUNTIFS(RawData[[Date ]],N6780,RawData[Month List],$Q$6,RawData[Tour/Site],$Q$2,RawData[[Picker ID ]],$Q$3,RawData[Checker ID],$Q$4,RawData[[Error Type ]],$Q$5))</f>
        <v/>
      </c>
    </row>
    <row r="6781" spans="15:15" x14ac:dyDescent="0.25">
      <c r="O6781" s="20" t="str">
        <f>IF(N6781="","",COUNTIFS(RawData[[Date ]],N6781,RawData[Month List],$Q$6,RawData[Tour/Site],$Q$2,RawData[[Picker ID ]],$Q$3,RawData[Checker ID],$Q$4,RawData[[Error Type ]],$Q$5))</f>
        <v/>
      </c>
    </row>
    <row r="6782" spans="15:15" x14ac:dyDescent="0.25">
      <c r="O6782" s="20" t="str">
        <f>IF(N6782="","",COUNTIFS(RawData[[Date ]],N6782,RawData[Month List],$Q$6,RawData[Tour/Site],$Q$2,RawData[[Picker ID ]],$Q$3,RawData[Checker ID],$Q$4,RawData[[Error Type ]],$Q$5))</f>
        <v/>
      </c>
    </row>
    <row r="6783" spans="15:15" x14ac:dyDescent="0.25">
      <c r="O6783" s="20" t="str">
        <f>IF(N6783="","",COUNTIFS(RawData[[Date ]],N6783,RawData[Month List],$Q$6,RawData[Tour/Site],$Q$2,RawData[[Picker ID ]],$Q$3,RawData[Checker ID],$Q$4,RawData[[Error Type ]],$Q$5))</f>
        <v/>
      </c>
    </row>
    <row r="6784" spans="15:15" x14ac:dyDescent="0.25">
      <c r="O6784" s="20" t="str">
        <f>IF(N6784="","",COUNTIFS(RawData[[Date ]],N6784,RawData[Month List],$Q$6,RawData[Tour/Site],$Q$2,RawData[[Picker ID ]],$Q$3,RawData[Checker ID],$Q$4,RawData[[Error Type ]],$Q$5))</f>
        <v/>
      </c>
    </row>
    <row r="6785" spans="15:15" x14ac:dyDescent="0.25">
      <c r="O6785" s="20" t="str">
        <f>IF(N6785="","",COUNTIFS(RawData[[Date ]],N6785,RawData[Month List],$Q$6,RawData[Tour/Site],$Q$2,RawData[[Picker ID ]],$Q$3,RawData[Checker ID],$Q$4,RawData[[Error Type ]],$Q$5))</f>
        <v/>
      </c>
    </row>
    <row r="6786" spans="15:15" x14ac:dyDescent="0.25">
      <c r="O6786" s="20" t="str">
        <f>IF(N6786="","",COUNTIFS(RawData[[Date ]],N6786,RawData[Month List],$Q$6,RawData[Tour/Site],$Q$2,RawData[[Picker ID ]],$Q$3,RawData[Checker ID],$Q$4,RawData[[Error Type ]],$Q$5))</f>
        <v/>
      </c>
    </row>
    <row r="6787" spans="15:15" x14ac:dyDescent="0.25">
      <c r="O6787" s="20" t="str">
        <f>IF(N6787="","",COUNTIFS(RawData[[Date ]],N6787,RawData[Month List],$Q$6,RawData[Tour/Site],$Q$2,RawData[[Picker ID ]],$Q$3,RawData[Checker ID],$Q$4,RawData[[Error Type ]],$Q$5))</f>
        <v/>
      </c>
    </row>
    <row r="6788" spans="15:15" x14ac:dyDescent="0.25">
      <c r="O6788" s="20" t="str">
        <f>IF(N6788="","",COUNTIFS(RawData[[Date ]],N6788,RawData[Month List],$Q$6,RawData[Tour/Site],$Q$2,RawData[[Picker ID ]],$Q$3,RawData[Checker ID],$Q$4,RawData[[Error Type ]],$Q$5))</f>
        <v/>
      </c>
    </row>
    <row r="6789" spans="15:15" x14ac:dyDescent="0.25">
      <c r="O6789" s="20" t="str">
        <f>IF(N6789="","",COUNTIFS(RawData[[Date ]],N6789,RawData[Month List],$Q$6,RawData[Tour/Site],$Q$2,RawData[[Picker ID ]],$Q$3,RawData[Checker ID],$Q$4,RawData[[Error Type ]],$Q$5))</f>
        <v/>
      </c>
    </row>
    <row r="6790" spans="15:15" x14ac:dyDescent="0.25">
      <c r="O6790" s="20" t="str">
        <f>IF(N6790="","",COUNTIFS(RawData[[Date ]],N6790,RawData[Month List],$Q$6,RawData[Tour/Site],$Q$2,RawData[[Picker ID ]],$Q$3,RawData[Checker ID],$Q$4,RawData[[Error Type ]],$Q$5))</f>
        <v/>
      </c>
    </row>
    <row r="6791" spans="15:15" x14ac:dyDescent="0.25">
      <c r="O6791" s="20" t="str">
        <f>IF(N6791="","",COUNTIFS(RawData[[Date ]],N6791,RawData[Month List],$Q$6,RawData[Tour/Site],$Q$2,RawData[[Picker ID ]],$Q$3,RawData[Checker ID],$Q$4,RawData[[Error Type ]],$Q$5))</f>
        <v/>
      </c>
    </row>
    <row r="6792" spans="15:15" x14ac:dyDescent="0.25">
      <c r="O6792" s="20" t="str">
        <f>IF(N6792="","",COUNTIFS(RawData[[Date ]],N6792,RawData[Month List],$Q$6,RawData[Tour/Site],$Q$2,RawData[[Picker ID ]],$Q$3,RawData[Checker ID],$Q$4,RawData[[Error Type ]],$Q$5))</f>
        <v/>
      </c>
    </row>
    <row r="6793" spans="15:15" x14ac:dyDescent="0.25">
      <c r="O6793" s="20" t="str">
        <f>IF(N6793="","",COUNTIFS(RawData[[Date ]],N6793,RawData[Month List],$Q$6,RawData[Tour/Site],$Q$2,RawData[[Picker ID ]],$Q$3,RawData[Checker ID],$Q$4,RawData[[Error Type ]],$Q$5))</f>
        <v/>
      </c>
    </row>
    <row r="6794" spans="15:15" x14ac:dyDescent="0.25">
      <c r="O6794" s="20" t="str">
        <f>IF(N6794="","",COUNTIFS(RawData[[Date ]],N6794,RawData[Month List],$Q$6,RawData[Tour/Site],$Q$2,RawData[[Picker ID ]],$Q$3,RawData[Checker ID],$Q$4,RawData[[Error Type ]],$Q$5))</f>
        <v/>
      </c>
    </row>
    <row r="6795" spans="15:15" x14ac:dyDescent="0.25">
      <c r="O6795" s="20" t="str">
        <f>IF(N6795="","",COUNTIFS(RawData[[Date ]],N6795,RawData[Month List],$Q$6,RawData[Tour/Site],$Q$2,RawData[[Picker ID ]],$Q$3,RawData[Checker ID],$Q$4,RawData[[Error Type ]],$Q$5))</f>
        <v/>
      </c>
    </row>
    <row r="6796" spans="15:15" x14ac:dyDescent="0.25">
      <c r="O6796" s="20" t="str">
        <f>IF(N6796="","",COUNTIFS(RawData[[Date ]],N6796,RawData[Month List],$Q$6,RawData[Tour/Site],$Q$2,RawData[[Picker ID ]],$Q$3,RawData[Checker ID],$Q$4,RawData[[Error Type ]],$Q$5))</f>
        <v/>
      </c>
    </row>
    <row r="6797" spans="15:15" x14ac:dyDescent="0.25">
      <c r="O6797" s="20" t="str">
        <f>IF(N6797="","",COUNTIFS(RawData[[Date ]],N6797,RawData[Month List],$Q$6,RawData[Tour/Site],$Q$2,RawData[[Picker ID ]],$Q$3,RawData[Checker ID],$Q$4,RawData[[Error Type ]],$Q$5))</f>
        <v/>
      </c>
    </row>
    <row r="6798" spans="15:15" x14ac:dyDescent="0.25">
      <c r="O6798" s="20" t="str">
        <f>IF(N6798="","",COUNTIFS(RawData[[Date ]],N6798,RawData[Month List],$Q$6,RawData[Tour/Site],$Q$2,RawData[[Picker ID ]],$Q$3,RawData[Checker ID],$Q$4,RawData[[Error Type ]],$Q$5))</f>
        <v/>
      </c>
    </row>
    <row r="6799" spans="15:15" x14ac:dyDescent="0.25">
      <c r="O6799" s="20" t="str">
        <f>IF(N6799="","",COUNTIFS(RawData[[Date ]],N6799,RawData[Month List],$Q$6,RawData[Tour/Site],$Q$2,RawData[[Picker ID ]],$Q$3,RawData[Checker ID],$Q$4,RawData[[Error Type ]],$Q$5))</f>
        <v/>
      </c>
    </row>
    <row r="6800" spans="15:15" x14ac:dyDescent="0.25">
      <c r="O6800" s="20" t="str">
        <f>IF(N6800="","",COUNTIFS(RawData[[Date ]],N6800,RawData[Month List],$Q$6,RawData[Tour/Site],$Q$2,RawData[[Picker ID ]],$Q$3,RawData[Checker ID],$Q$4,RawData[[Error Type ]],$Q$5))</f>
        <v/>
      </c>
    </row>
    <row r="6801" spans="15:15" x14ac:dyDescent="0.25">
      <c r="O6801" s="20" t="str">
        <f>IF(N6801="","",COUNTIFS(RawData[[Date ]],N6801,RawData[Month List],$Q$6,RawData[Tour/Site],$Q$2,RawData[[Picker ID ]],$Q$3,RawData[Checker ID],$Q$4,RawData[[Error Type ]],$Q$5))</f>
        <v/>
      </c>
    </row>
    <row r="6802" spans="15:15" x14ac:dyDescent="0.25">
      <c r="O6802" s="20" t="str">
        <f>IF(N6802="","",COUNTIFS(RawData[[Date ]],N6802,RawData[Month List],$Q$6,RawData[Tour/Site],$Q$2,RawData[[Picker ID ]],$Q$3,RawData[Checker ID],$Q$4,RawData[[Error Type ]],$Q$5))</f>
        <v/>
      </c>
    </row>
    <row r="6803" spans="15:15" x14ac:dyDescent="0.25">
      <c r="O6803" s="20" t="str">
        <f>IF(N6803="","",COUNTIFS(RawData[[Date ]],N6803,RawData[Month List],$Q$6,RawData[Tour/Site],$Q$2,RawData[[Picker ID ]],$Q$3,RawData[Checker ID],$Q$4,RawData[[Error Type ]],$Q$5))</f>
        <v/>
      </c>
    </row>
    <row r="6804" spans="15:15" x14ac:dyDescent="0.25">
      <c r="O6804" s="20" t="str">
        <f>IF(N6804="","",COUNTIFS(RawData[[Date ]],N6804,RawData[Month List],$Q$6,RawData[Tour/Site],$Q$2,RawData[[Picker ID ]],$Q$3,RawData[Checker ID],$Q$4,RawData[[Error Type ]],$Q$5))</f>
        <v/>
      </c>
    </row>
    <row r="6805" spans="15:15" x14ac:dyDescent="0.25">
      <c r="O6805" s="20" t="str">
        <f>IF(N6805="","",COUNTIFS(RawData[[Date ]],N6805,RawData[Month List],$Q$6,RawData[Tour/Site],$Q$2,RawData[[Picker ID ]],$Q$3,RawData[Checker ID],$Q$4,RawData[[Error Type ]],$Q$5))</f>
        <v/>
      </c>
    </row>
    <row r="6806" spans="15:15" x14ac:dyDescent="0.25">
      <c r="O6806" s="20" t="str">
        <f>IF(N6806="","",COUNTIFS(RawData[[Date ]],N6806,RawData[Month List],$Q$6,RawData[Tour/Site],$Q$2,RawData[[Picker ID ]],$Q$3,RawData[Checker ID],$Q$4,RawData[[Error Type ]],$Q$5))</f>
        <v/>
      </c>
    </row>
    <row r="6807" spans="15:15" x14ac:dyDescent="0.25">
      <c r="O6807" s="20" t="str">
        <f>IF(N6807="","",COUNTIFS(RawData[[Date ]],N6807,RawData[Month List],$Q$6,RawData[Tour/Site],$Q$2,RawData[[Picker ID ]],$Q$3,RawData[Checker ID],$Q$4,RawData[[Error Type ]],$Q$5))</f>
        <v/>
      </c>
    </row>
    <row r="6808" spans="15:15" x14ac:dyDescent="0.25">
      <c r="O6808" s="20" t="str">
        <f>IF(N6808="","",COUNTIFS(RawData[[Date ]],N6808,RawData[Month List],$Q$6,RawData[Tour/Site],$Q$2,RawData[[Picker ID ]],$Q$3,RawData[Checker ID],$Q$4,RawData[[Error Type ]],$Q$5))</f>
        <v/>
      </c>
    </row>
    <row r="6809" spans="15:15" x14ac:dyDescent="0.25">
      <c r="O6809" s="20" t="str">
        <f>IF(N6809="","",COUNTIFS(RawData[[Date ]],N6809,RawData[Month List],$Q$6,RawData[Tour/Site],$Q$2,RawData[[Picker ID ]],$Q$3,RawData[Checker ID],$Q$4,RawData[[Error Type ]],$Q$5))</f>
        <v/>
      </c>
    </row>
    <row r="6810" spans="15:15" x14ac:dyDescent="0.25">
      <c r="O6810" s="20" t="str">
        <f>IF(N6810="","",COUNTIFS(RawData[[Date ]],N6810,RawData[Month List],$Q$6,RawData[Tour/Site],$Q$2,RawData[[Picker ID ]],$Q$3,RawData[Checker ID],$Q$4,RawData[[Error Type ]],$Q$5))</f>
        <v/>
      </c>
    </row>
    <row r="6811" spans="15:15" x14ac:dyDescent="0.25">
      <c r="O6811" s="20" t="str">
        <f>IF(N6811="","",COUNTIFS(RawData[[Date ]],N6811,RawData[Month List],$Q$6,RawData[Tour/Site],$Q$2,RawData[[Picker ID ]],$Q$3,RawData[Checker ID],$Q$4,RawData[[Error Type ]],$Q$5))</f>
        <v/>
      </c>
    </row>
    <row r="6812" spans="15:15" x14ac:dyDescent="0.25">
      <c r="O6812" s="20" t="str">
        <f>IF(N6812="","",COUNTIFS(RawData[[Date ]],N6812,RawData[Month List],$Q$6,RawData[Tour/Site],$Q$2,RawData[[Picker ID ]],$Q$3,RawData[Checker ID],$Q$4,RawData[[Error Type ]],$Q$5))</f>
        <v/>
      </c>
    </row>
    <row r="6813" spans="15:15" x14ac:dyDescent="0.25">
      <c r="O6813" s="20" t="str">
        <f>IF(N6813="","",COUNTIFS(RawData[[Date ]],N6813,RawData[Month List],$Q$6,RawData[Tour/Site],$Q$2,RawData[[Picker ID ]],$Q$3,RawData[Checker ID],$Q$4,RawData[[Error Type ]],$Q$5))</f>
        <v/>
      </c>
    </row>
    <row r="6814" spans="15:15" x14ac:dyDescent="0.25">
      <c r="O6814" s="20" t="str">
        <f>IF(N6814="","",COUNTIFS(RawData[[Date ]],N6814,RawData[Month List],$Q$6,RawData[Tour/Site],$Q$2,RawData[[Picker ID ]],$Q$3,RawData[Checker ID],$Q$4,RawData[[Error Type ]],$Q$5))</f>
        <v/>
      </c>
    </row>
    <row r="6815" spans="15:15" x14ac:dyDescent="0.25">
      <c r="O6815" s="20" t="str">
        <f>IF(N6815="","",COUNTIFS(RawData[[Date ]],N6815,RawData[Month List],$Q$6,RawData[Tour/Site],$Q$2,RawData[[Picker ID ]],$Q$3,RawData[Checker ID],$Q$4,RawData[[Error Type ]],$Q$5))</f>
        <v/>
      </c>
    </row>
    <row r="6816" spans="15:15" x14ac:dyDescent="0.25">
      <c r="O6816" s="20" t="str">
        <f>IF(N6816="","",COUNTIFS(RawData[[Date ]],N6816,RawData[Month List],$Q$6,RawData[Tour/Site],$Q$2,RawData[[Picker ID ]],$Q$3,RawData[Checker ID],$Q$4,RawData[[Error Type ]],$Q$5))</f>
        <v/>
      </c>
    </row>
    <row r="6817" spans="15:15" x14ac:dyDescent="0.25">
      <c r="O6817" s="20" t="str">
        <f>IF(N6817="","",COUNTIFS(RawData[[Date ]],N6817,RawData[Month List],$Q$6,RawData[Tour/Site],$Q$2,RawData[[Picker ID ]],$Q$3,RawData[Checker ID],$Q$4,RawData[[Error Type ]],$Q$5))</f>
        <v/>
      </c>
    </row>
    <row r="6818" spans="15:15" x14ac:dyDescent="0.25">
      <c r="O6818" s="20" t="str">
        <f>IF(N6818="","",COUNTIFS(RawData[[Date ]],N6818,RawData[Month List],$Q$6,RawData[Tour/Site],$Q$2,RawData[[Picker ID ]],$Q$3,RawData[Checker ID],$Q$4,RawData[[Error Type ]],$Q$5))</f>
        <v/>
      </c>
    </row>
    <row r="6819" spans="15:15" x14ac:dyDescent="0.25">
      <c r="O6819" s="20" t="str">
        <f>IF(N6819="","",COUNTIFS(RawData[[Date ]],N6819,RawData[Month List],$Q$6,RawData[Tour/Site],$Q$2,RawData[[Picker ID ]],$Q$3,RawData[Checker ID],$Q$4,RawData[[Error Type ]],$Q$5))</f>
        <v/>
      </c>
    </row>
    <row r="6820" spans="15:15" x14ac:dyDescent="0.25">
      <c r="O6820" s="20" t="str">
        <f>IF(N6820="","",COUNTIFS(RawData[[Date ]],N6820,RawData[Month List],$Q$6,RawData[Tour/Site],$Q$2,RawData[[Picker ID ]],$Q$3,RawData[Checker ID],$Q$4,RawData[[Error Type ]],$Q$5))</f>
        <v/>
      </c>
    </row>
    <row r="6821" spans="15:15" x14ac:dyDescent="0.25">
      <c r="O6821" s="20" t="str">
        <f>IF(N6821="","",COUNTIFS(RawData[[Date ]],N6821,RawData[Month List],$Q$6,RawData[Tour/Site],$Q$2,RawData[[Picker ID ]],$Q$3,RawData[Checker ID],$Q$4,RawData[[Error Type ]],$Q$5))</f>
        <v/>
      </c>
    </row>
    <row r="6822" spans="15:15" x14ac:dyDescent="0.25">
      <c r="O6822" s="20" t="str">
        <f>IF(N6822="","",COUNTIFS(RawData[[Date ]],N6822,RawData[Month List],$Q$6,RawData[Tour/Site],$Q$2,RawData[[Picker ID ]],$Q$3,RawData[Checker ID],$Q$4,RawData[[Error Type ]],$Q$5))</f>
        <v/>
      </c>
    </row>
    <row r="6823" spans="15:15" x14ac:dyDescent="0.25">
      <c r="O6823" s="20" t="str">
        <f>IF(N6823="","",COUNTIFS(RawData[[Date ]],N6823,RawData[Month List],$Q$6,RawData[Tour/Site],$Q$2,RawData[[Picker ID ]],$Q$3,RawData[Checker ID],$Q$4,RawData[[Error Type ]],$Q$5))</f>
        <v/>
      </c>
    </row>
    <row r="6824" spans="15:15" x14ac:dyDescent="0.25">
      <c r="O6824" s="20" t="str">
        <f>IF(N6824="","",COUNTIFS(RawData[[Date ]],N6824,RawData[Month List],$Q$6,RawData[Tour/Site],$Q$2,RawData[[Picker ID ]],$Q$3,RawData[Checker ID],$Q$4,RawData[[Error Type ]],$Q$5))</f>
        <v/>
      </c>
    </row>
    <row r="6825" spans="15:15" x14ac:dyDescent="0.25">
      <c r="O6825" s="20" t="str">
        <f>IF(N6825="","",COUNTIFS(RawData[[Date ]],N6825,RawData[Month List],$Q$6,RawData[Tour/Site],$Q$2,RawData[[Picker ID ]],$Q$3,RawData[Checker ID],$Q$4,RawData[[Error Type ]],$Q$5))</f>
        <v/>
      </c>
    </row>
    <row r="6826" spans="15:15" x14ac:dyDescent="0.25">
      <c r="O6826" s="20" t="str">
        <f>IF(N6826="","",COUNTIFS(RawData[[Date ]],N6826,RawData[Month List],$Q$6,RawData[Tour/Site],$Q$2,RawData[[Picker ID ]],$Q$3,RawData[Checker ID],$Q$4,RawData[[Error Type ]],$Q$5))</f>
        <v/>
      </c>
    </row>
    <row r="6827" spans="15:15" x14ac:dyDescent="0.25">
      <c r="O6827" s="20" t="str">
        <f>IF(N6827="","",COUNTIFS(RawData[[Date ]],N6827,RawData[Month List],$Q$6,RawData[Tour/Site],$Q$2,RawData[[Picker ID ]],$Q$3,RawData[Checker ID],$Q$4,RawData[[Error Type ]],$Q$5))</f>
        <v/>
      </c>
    </row>
    <row r="6828" spans="15:15" x14ac:dyDescent="0.25">
      <c r="O6828" s="20" t="str">
        <f>IF(N6828="","",COUNTIFS(RawData[[Date ]],N6828,RawData[Month List],$Q$6,RawData[Tour/Site],$Q$2,RawData[[Picker ID ]],$Q$3,RawData[Checker ID],$Q$4,RawData[[Error Type ]],$Q$5))</f>
        <v/>
      </c>
    </row>
    <row r="6829" spans="15:15" x14ac:dyDescent="0.25">
      <c r="O6829" s="20" t="str">
        <f>IF(N6829="","",COUNTIFS(RawData[[Date ]],N6829,RawData[Month List],$Q$6,RawData[Tour/Site],$Q$2,RawData[[Picker ID ]],$Q$3,RawData[Checker ID],$Q$4,RawData[[Error Type ]],$Q$5))</f>
        <v/>
      </c>
    </row>
    <row r="6830" spans="15:15" x14ac:dyDescent="0.25">
      <c r="O6830" s="20" t="str">
        <f>IF(N6830="","",COUNTIFS(RawData[[Date ]],N6830,RawData[Month List],$Q$6,RawData[Tour/Site],$Q$2,RawData[[Picker ID ]],$Q$3,RawData[Checker ID],$Q$4,RawData[[Error Type ]],$Q$5))</f>
        <v/>
      </c>
    </row>
    <row r="6831" spans="15:15" x14ac:dyDescent="0.25">
      <c r="O6831" s="20" t="str">
        <f>IF(N6831="","",COUNTIFS(RawData[[Date ]],N6831,RawData[Month List],$Q$6,RawData[Tour/Site],$Q$2,RawData[[Picker ID ]],$Q$3,RawData[Checker ID],$Q$4,RawData[[Error Type ]],$Q$5))</f>
        <v/>
      </c>
    </row>
    <row r="6832" spans="15:15" x14ac:dyDescent="0.25">
      <c r="O6832" s="20" t="str">
        <f>IF(N6832="","",COUNTIFS(RawData[[Date ]],N6832,RawData[Month List],$Q$6,RawData[Tour/Site],$Q$2,RawData[[Picker ID ]],$Q$3,RawData[Checker ID],$Q$4,RawData[[Error Type ]],$Q$5))</f>
        <v/>
      </c>
    </row>
    <row r="6833" spans="15:15" x14ac:dyDescent="0.25">
      <c r="O6833" s="20" t="str">
        <f>IF(N6833="","",COUNTIFS(RawData[[Date ]],N6833,RawData[Month List],$Q$6,RawData[Tour/Site],$Q$2,RawData[[Picker ID ]],$Q$3,RawData[Checker ID],$Q$4,RawData[[Error Type ]],$Q$5))</f>
        <v/>
      </c>
    </row>
    <row r="6834" spans="15:15" x14ac:dyDescent="0.25">
      <c r="O6834" s="20" t="str">
        <f>IF(N6834="","",COUNTIFS(RawData[[Date ]],N6834,RawData[Month List],$Q$6,RawData[Tour/Site],$Q$2,RawData[[Picker ID ]],$Q$3,RawData[Checker ID],$Q$4,RawData[[Error Type ]],$Q$5))</f>
        <v/>
      </c>
    </row>
    <row r="6835" spans="15:15" x14ac:dyDescent="0.25">
      <c r="O6835" s="20" t="str">
        <f>IF(N6835="","",COUNTIFS(RawData[[Date ]],N6835,RawData[Month List],$Q$6,RawData[Tour/Site],$Q$2,RawData[[Picker ID ]],$Q$3,RawData[Checker ID],$Q$4,RawData[[Error Type ]],$Q$5))</f>
        <v/>
      </c>
    </row>
    <row r="6836" spans="15:15" x14ac:dyDescent="0.25">
      <c r="O6836" s="20" t="str">
        <f>IF(N6836="","",COUNTIFS(RawData[[Date ]],N6836,RawData[Month List],$Q$6,RawData[Tour/Site],$Q$2,RawData[[Picker ID ]],$Q$3,RawData[Checker ID],$Q$4,RawData[[Error Type ]],$Q$5))</f>
        <v/>
      </c>
    </row>
    <row r="6837" spans="15:15" x14ac:dyDescent="0.25">
      <c r="O6837" s="20" t="str">
        <f>IF(N6837="","",COUNTIFS(RawData[[Date ]],N6837,RawData[Month List],$Q$6,RawData[Tour/Site],$Q$2,RawData[[Picker ID ]],$Q$3,RawData[Checker ID],$Q$4,RawData[[Error Type ]],$Q$5))</f>
        <v/>
      </c>
    </row>
    <row r="6838" spans="15:15" x14ac:dyDescent="0.25">
      <c r="O6838" s="20" t="str">
        <f>IF(N6838="","",COUNTIFS(RawData[[Date ]],N6838,RawData[Month List],$Q$6,RawData[Tour/Site],$Q$2,RawData[[Picker ID ]],$Q$3,RawData[Checker ID],$Q$4,RawData[[Error Type ]],$Q$5))</f>
        <v/>
      </c>
    </row>
    <row r="6839" spans="15:15" x14ac:dyDescent="0.25">
      <c r="O6839" s="20" t="str">
        <f>IF(N6839="","",COUNTIFS(RawData[[Date ]],N6839,RawData[Month List],$Q$6,RawData[Tour/Site],$Q$2,RawData[[Picker ID ]],$Q$3,RawData[Checker ID],$Q$4,RawData[[Error Type ]],$Q$5))</f>
        <v/>
      </c>
    </row>
    <row r="6840" spans="15:15" x14ac:dyDescent="0.25">
      <c r="O6840" s="20" t="str">
        <f>IF(N6840="","",COUNTIFS(RawData[[Date ]],N6840,RawData[Month List],$Q$6,RawData[Tour/Site],$Q$2,RawData[[Picker ID ]],$Q$3,RawData[Checker ID],$Q$4,RawData[[Error Type ]],$Q$5))</f>
        <v/>
      </c>
    </row>
    <row r="6841" spans="15:15" x14ac:dyDescent="0.25">
      <c r="O6841" s="20" t="str">
        <f>IF(N6841="","",COUNTIFS(RawData[[Date ]],N6841,RawData[Month List],$Q$6,RawData[Tour/Site],$Q$2,RawData[[Picker ID ]],$Q$3,RawData[Checker ID],$Q$4,RawData[[Error Type ]],$Q$5))</f>
        <v/>
      </c>
    </row>
    <row r="6842" spans="15:15" x14ac:dyDescent="0.25">
      <c r="O6842" s="20" t="str">
        <f>IF(N6842="","",COUNTIFS(RawData[[Date ]],N6842,RawData[Month List],$Q$6,RawData[Tour/Site],$Q$2,RawData[[Picker ID ]],$Q$3,RawData[Checker ID],$Q$4,RawData[[Error Type ]],$Q$5))</f>
        <v/>
      </c>
    </row>
    <row r="6843" spans="15:15" x14ac:dyDescent="0.25">
      <c r="O6843" s="20" t="str">
        <f>IF(N6843="","",COUNTIFS(RawData[[Date ]],N6843,RawData[Month List],$Q$6,RawData[Tour/Site],$Q$2,RawData[[Picker ID ]],$Q$3,RawData[Checker ID],$Q$4,RawData[[Error Type ]],$Q$5))</f>
        <v/>
      </c>
    </row>
    <row r="6844" spans="15:15" x14ac:dyDescent="0.25">
      <c r="O6844" s="20" t="str">
        <f>IF(N6844="","",COUNTIFS(RawData[[Date ]],N6844,RawData[Month List],$Q$6,RawData[Tour/Site],$Q$2,RawData[[Picker ID ]],$Q$3,RawData[Checker ID],$Q$4,RawData[[Error Type ]],$Q$5))</f>
        <v/>
      </c>
    </row>
    <row r="6845" spans="15:15" x14ac:dyDescent="0.25">
      <c r="O6845" s="20" t="str">
        <f>IF(N6845="","",COUNTIFS(RawData[[Date ]],N6845,RawData[Month List],$Q$6,RawData[Tour/Site],$Q$2,RawData[[Picker ID ]],$Q$3,RawData[Checker ID],$Q$4,RawData[[Error Type ]],$Q$5))</f>
        <v/>
      </c>
    </row>
    <row r="6846" spans="15:15" x14ac:dyDescent="0.25">
      <c r="O6846" s="20" t="str">
        <f>IF(N6846="","",COUNTIFS(RawData[[Date ]],N6846,RawData[Month List],$Q$6,RawData[Tour/Site],$Q$2,RawData[[Picker ID ]],$Q$3,RawData[Checker ID],$Q$4,RawData[[Error Type ]],$Q$5))</f>
        <v/>
      </c>
    </row>
    <row r="6847" spans="15:15" x14ac:dyDescent="0.25">
      <c r="O6847" s="20" t="str">
        <f>IF(N6847="","",COUNTIFS(RawData[[Date ]],N6847,RawData[Month List],$Q$6,RawData[Tour/Site],$Q$2,RawData[[Picker ID ]],$Q$3,RawData[Checker ID],$Q$4,RawData[[Error Type ]],$Q$5))</f>
        <v/>
      </c>
    </row>
    <row r="6848" spans="15:15" x14ac:dyDescent="0.25">
      <c r="O6848" s="20" t="str">
        <f>IF(N6848="","",COUNTIFS(RawData[[Date ]],N6848,RawData[Month List],$Q$6,RawData[Tour/Site],$Q$2,RawData[[Picker ID ]],$Q$3,RawData[Checker ID],$Q$4,RawData[[Error Type ]],$Q$5))</f>
        <v/>
      </c>
    </row>
    <row r="6849" spans="15:15" x14ac:dyDescent="0.25">
      <c r="O6849" s="20" t="str">
        <f>IF(N6849="","",COUNTIFS(RawData[[Date ]],N6849,RawData[Month List],$Q$6,RawData[Tour/Site],$Q$2,RawData[[Picker ID ]],$Q$3,RawData[Checker ID],$Q$4,RawData[[Error Type ]],$Q$5))</f>
        <v/>
      </c>
    </row>
    <row r="6850" spans="15:15" x14ac:dyDescent="0.25">
      <c r="O6850" s="20" t="str">
        <f>IF(N6850="","",COUNTIFS(RawData[[Date ]],N6850,RawData[Month List],$Q$6,RawData[Tour/Site],$Q$2,RawData[[Picker ID ]],$Q$3,RawData[Checker ID],$Q$4,RawData[[Error Type ]],$Q$5))</f>
        <v/>
      </c>
    </row>
    <row r="6851" spans="15:15" x14ac:dyDescent="0.25">
      <c r="O6851" s="20" t="str">
        <f>IF(N6851="","",COUNTIFS(RawData[[Date ]],N6851,RawData[Month List],$Q$6,RawData[Tour/Site],$Q$2,RawData[[Picker ID ]],$Q$3,RawData[Checker ID],$Q$4,RawData[[Error Type ]],$Q$5))</f>
        <v/>
      </c>
    </row>
    <row r="6852" spans="15:15" x14ac:dyDescent="0.25">
      <c r="O6852" s="20" t="str">
        <f>IF(N6852="","",COUNTIFS(RawData[[Date ]],N6852,RawData[Month List],$Q$6,RawData[Tour/Site],$Q$2,RawData[[Picker ID ]],$Q$3,RawData[Checker ID],$Q$4,RawData[[Error Type ]],$Q$5))</f>
        <v/>
      </c>
    </row>
    <row r="6853" spans="15:15" x14ac:dyDescent="0.25">
      <c r="O6853" s="20" t="str">
        <f>IF(N6853="","",COUNTIFS(RawData[[Date ]],N6853,RawData[Month List],$Q$6,RawData[Tour/Site],$Q$2,RawData[[Picker ID ]],$Q$3,RawData[Checker ID],$Q$4,RawData[[Error Type ]],$Q$5))</f>
        <v/>
      </c>
    </row>
    <row r="6854" spans="15:15" x14ac:dyDescent="0.25">
      <c r="O6854" s="20" t="str">
        <f>IF(N6854="","",COUNTIFS(RawData[[Date ]],N6854,RawData[Month List],$Q$6,RawData[Tour/Site],$Q$2,RawData[[Picker ID ]],$Q$3,RawData[Checker ID],$Q$4,RawData[[Error Type ]],$Q$5))</f>
        <v/>
      </c>
    </row>
    <row r="6855" spans="15:15" x14ac:dyDescent="0.25">
      <c r="O6855" s="20" t="str">
        <f>IF(N6855="","",COUNTIFS(RawData[[Date ]],N6855,RawData[Month List],$Q$6,RawData[Tour/Site],$Q$2,RawData[[Picker ID ]],$Q$3,RawData[Checker ID],$Q$4,RawData[[Error Type ]],$Q$5))</f>
        <v/>
      </c>
    </row>
    <row r="6856" spans="15:15" x14ac:dyDescent="0.25">
      <c r="O6856" s="20" t="str">
        <f>IF(N6856="","",COUNTIFS(RawData[[Date ]],N6856,RawData[Month List],$Q$6,RawData[Tour/Site],$Q$2,RawData[[Picker ID ]],$Q$3,RawData[Checker ID],$Q$4,RawData[[Error Type ]],$Q$5))</f>
        <v/>
      </c>
    </row>
    <row r="6857" spans="15:15" x14ac:dyDescent="0.25">
      <c r="O6857" s="20" t="str">
        <f>IF(N6857="","",COUNTIFS(RawData[[Date ]],N6857,RawData[Month List],$Q$6,RawData[Tour/Site],$Q$2,RawData[[Picker ID ]],$Q$3,RawData[Checker ID],$Q$4,RawData[[Error Type ]],$Q$5))</f>
        <v/>
      </c>
    </row>
    <row r="6858" spans="15:15" x14ac:dyDescent="0.25">
      <c r="O6858" s="20" t="str">
        <f>IF(N6858="","",COUNTIFS(RawData[[Date ]],N6858,RawData[Month List],$Q$6,RawData[Tour/Site],$Q$2,RawData[[Picker ID ]],$Q$3,RawData[Checker ID],$Q$4,RawData[[Error Type ]],$Q$5))</f>
        <v/>
      </c>
    </row>
    <row r="6859" spans="15:15" x14ac:dyDescent="0.25">
      <c r="O6859" s="20" t="str">
        <f>IF(N6859="","",COUNTIFS(RawData[[Date ]],N6859,RawData[Month List],$Q$6,RawData[Tour/Site],$Q$2,RawData[[Picker ID ]],$Q$3,RawData[Checker ID],$Q$4,RawData[[Error Type ]],$Q$5))</f>
        <v/>
      </c>
    </row>
    <row r="6860" spans="15:15" x14ac:dyDescent="0.25">
      <c r="O6860" s="20" t="str">
        <f>IF(N6860="","",COUNTIFS(RawData[[Date ]],N6860,RawData[Month List],$Q$6,RawData[Tour/Site],$Q$2,RawData[[Picker ID ]],$Q$3,RawData[Checker ID],$Q$4,RawData[[Error Type ]],$Q$5))</f>
        <v/>
      </c>
    </row>
    <row r="6861" spans="15:15" x14ac:dyDescent="0.25">
      <c r="O6861" s="20" t="str">
        <f>IF(N6861="","",COUNTIFS(RawData[[Date ]],N6861,RawData[Month List],$Q$6,RawData[Tour/Site],$Q$2,RawData[[Picker ID ]],$Q$3,RawData[Checker ID],$Q$4,RawData[[Error Type ]],$Q$5))</f>
        <v/>
      </c>
    </row>
    <row r="6862" spans="15:15" x14ac:dyDescent="0.25">
      <c r="O6862" s="20" t="str">
        <f>IF(N6862="","",COUNTIFS(RawData[[Date ]],N6862,RawData[Month List],$Q$6,RawData[Tour/Site],$Q$2,RawData[[Picker ID ]],$Q$3,RawData[Checker ID],$Q$4,RawData[[Error Type ]],$Q$5))</f>
        <v/>
      </c>
    </row>
    <row r="6863" spans="15:15" x14ac:dyDescent="0.25">
      <c r="O6863" s="20" t="str">
        <f>IF(N6863="","",COUNTIFS(RawData[[Date ]],N6863,RawData[Month List],$Q$6,RawData[Tour/Site],$Q$2,RawData[[Picker ID ]],$Q$3,RawData[Checker ID],$Q$4,RawData[[Error Type ]],$Q$5))</f>
        <v/>
      </c>
    </row>
    <row r="6864" spans="15:15" x14ac:dyDescent="0.25">
      <c r="O6864" s="20" t="str">
        <f>IF(N6864="","",COUNTIFS(RawData[[Date ]],N6864,RawData[Month List],$Q$6,RawData[Tour/Site],$Q$2,RawData[[Picker ID ]],$Q$3,RawData[Checker ID],$Q$4,RawData[[Error Type ]],$Q$5))</f>
        <v/>
      </c>
    </row>
    <row r="6865" spans="15:15" x14ac:dyDescent="0.25">
      <c r="O6865" s="20" t="str">
        <f>IF(N6865="","",COUNTIFS(RawData[[Date ]],N6865,RawData[Month List],$Q$6,RawData[Tour/Site],$Q$2,RawData[[Picker ID ]],$Q$3,RawData[Checker ID],$Q$4,RawData[[Error Type ]],$Q$5))</f>
        <v/>
      </c>
    </row>
    <row r="6866" spans="15:15" x14ac:dyDescent="0.25">
      <c r="O6866" s="20" t="str">
        <f>IF(N6866="","",COUNTIFS(RawData[[Date ]],N6866,RawData[Month List],$Q$6,RawData[Tour/Site],$Q$2,RawData[[Picker ID ]],$Q$3,RawData[Checker ID],$Q$4,RawData[[Error Type ]],$Q$5))</f>
        <v/>
      </c>
    </row>
    <row r="6867" spans="15:15" x14ac:dyDescent="0.25">
      <c r="O6867" s="20" t="str">
        <f>IF(N6867="","",COUNTIFS(RawData[[Date ]],N6867,RawData[Month List],$Q$6,RawData[Tour/Site],$Q$2,RawData[[Picker ID ]],$Q$3,RawData[Checker ID],$Q$4,RawData[[Error Type ]],$Q$5))</f>
        <v/>
      </c>
    </row>
    <row r="6868" spans="15:15" x14ac:dyDescent="0.25">
      <c r="O6868" s="20" t="str">
        <f>IF(N6868="","",COUNTIFS(RawData[[Date ]],N6868,RawData[Month List],$Q$6,RawData[Tour/Site],$Q$2,RawData[[Picker ID ]],$Q$3,RawData[Checker ID],$Q$4,RawData[[Error Type ]],$Q$5))</f>
        <v/>
      </c>
    </row>
    <row r="6869" spans="15:15" x14ac:dyDescent="0.25">
      <c r="O6869" s="20" t="str">
        <f>IF(N6869="","",COUNTIFS(RawData[[Date ]],N6869,RawData[Month List],$Q$6,RawData[Tour/Site],$Q$2,RawData[[Picker ID ]],$Q$3,RawData[Checker ID],$Q$4,RawData[[Error Type ]],$Q$5))</f>
        <v/>
      </c>
    </row>
    <row r="6870" spans="15:15" x14ac:dyDescent="0.25">
      <c r="O6870" s="20" t="str">
        <f>IF(N6870="","",COUNTIFS(RawData[[Date ]],N6870,RawData[Month List],$Q$6,RawData[Tour/Site],$Q$2,RawData[[Picker ID ]],$Q$3,RawData[Checker ID],$Q$4,RawData[[Error Type ]],$Q$5))</f>
        <v/>
      </c>
    </row>
    <row r="6871" spans="15:15" x14ac:dyDescent="0.25">
      <c r="O6871" s="20" t="str">
        <f>IF(N6871="","",COUNTIFS(RawData[[Date ]],N6871,RawData[Month List],$Q$6,RawData[Tour/Site],$Q$2,RawData[[Picker ID ]],$Q$3,RawData[Checker ID],$Q$4,RawData[[Error Type ]],$Q$5))</f>
        <v/>
      </c>
    </row>
    <row r="6872" spans="15:15" x14ac:dyDescent="0.25">
      <c r="O6872" s="20" t="str">
        <f>IF(N6872="","",COUNTIFS(RawData[[Date ]],N6872,RawData[Month List],$Q$6,RawData[Tour/Site],$Q$2,RawData[[Picker ID ]],$Q$3,RawData[Checker ID],$Q$4,RawData[[Error Type ]],$Q$5))</f>
        <v/>
      </c>
    </row>
    <row r="6873" spans="15:15" x14ac:dyDescent="0.25">
      <c r="O6873" s="20" t="str">
        <f>IF(N6873="","",COUNTIFS(RawData[[Date ]],N6873,RawData[Month List],$Q$6,RawData[Tour/Site],$Q$2,RawData[[Picker ID ]],$Q$3,RawData[Checker ID],$Q$4,RawData[[Error Type ]],$Q$5))</f>
        <v/>
      </c>
    </row>
    <row r="6874" spans="15:15" x14ac:dyDescent="0.25">
      <c r="O6874" s="20" t="str">
        <f>IF(N6874="","",COUNTIFS(RawData[[Date ]],N6874,RawData[Month List],$Q$6,RawData[Tour/Site],$Q$2,RawData[[Picker ID ]],$Q$3,RawData[Checker ID],$Q$4,RawData[[Error Type ]],$Q$5))</f>
        <v/>
      </c>
    </row>
    <row r="6875" spans="15:15" x14ac:dyDescent="0.25">
      <c r="O6875" s="20" t="str">
        <f>IF(N6875="","",COUNTIFS(RawData[[Date ]],N6875,RawData[Month List],$Q$6,RawData[Tour/Site],$Q$2,RawData[[Picker ID ]],$Q$3,RawData[Checker ID],$Q$4,RawData[[Error Type ]],$Q$5))</f>
        <v/>
      </c>
    </row>
    <row r="6876" spans="15:15" x14ac:dyDescent="0.25">
      <c r="O6876" s="20" t="str">
        <f>IF(N6876="","",COUNTIFS(RawData[[Date ]],N6876,RawData[Month List],$Q$6,RawData[Tour/Site],$Q$2,RawData[[Picker ID ]],$Q$3,RawData[Checker ID],$Q$4,RawData[[Error Type ]],$Q$5))</f>
        <v/>
      </c>
    </row>
    <row r="6877" spans="15:15" x14ac:dyDescent="0.25">
      <c r="O6877" s="20" t="str">
        <f>IF(N6877="","",COUNTIFS(RawData[[Date ]],N6877,RawData[Month List],$Q$6,RawData[Tour/Site],$Q$2,RawData[[Picker ID ]],$Q$3,RawData[Checker ID],$Q$4,RawData[[Error Type ]],$Q$5))</f>
        <v/>
      </c>
    </row>
    <row r="6878" spans="15:15" x14ac:dyDescent="0.25">
      <c r="O6878" s="20" t="str">
        <f>IF(N6878="","",COUNTIFS(RawData[[Date ]],N6878,RawData[Month List],$Q$6,RawData[Tour/Site],$Q$2,RawData[[Picker ID ]],$Q$3,RawData[Checker ID],$Q$4,RawData[[Error Type ]],$Q$5))</f>
        <v/>
      </c>
    </row>
    <row r="6879" spans="15:15" x14ac:dyDescent="0.25">
      <c r="O6879" s="20" t="str">
        <f>IF(N6879="","",COUNTIFS(RawData[[Date ]],N6879,RawData[Month List],$Q$6,RawData[Tour/Site],$Q$2,RawData[[Picker ID ]],$Q$3,RawData[Checker ID],$Q$4,RawData[[Error Type ]],$Q$5))</f>
        <v/>
      </c>
    </row>
    <row r="6880" spans="15:15" x14ac:dyDescent="0.25">
      <c r="O6880" s="20" t="str">
        <f>IF(N6880="","",COUNTIFS(RawData[[Date ]],N6880,RawData[Month List],$Q$6,RawData[Tour/Site],$Q$2,RawData[[Picker ID ]],$Q$3,RawData[Checker ID],$Q$4,RawData[[Error Type ]],$Q$5))</f>
        <v/>
      </c>
    </row>
    <row r="6881" spans="15:15" x14ac:dyDescent="0.25">
      <c r="O6881" s="20" t="str">
        <f>IF(N6881="","",COUNTIFS(RawData[[Date ]],N6881,RawData[Month List],$Q$6,RawData[Tour/Site],$Q$2,RawData[[Picker ID ]],$Q$3,RawData[Checker ID],$Q$4,RawData[[Error Type ]],$Q$5))</f>
        <v/>
      </c>
    </row>
    <row r="6882" spans="15:15" x14ac:dyDescent="0.25">
      <c r="O6882" s="20" t="str">
        <f>IF(N6882="","",COUNTIFS(RawData[[Date ]],N6882,RawData[Month List],$Q$6,RawData[Tour/Site],$Q$2,RawData[[Picker ID ]],$Q$3,RawData[Checker ID],$Q$4,RawData[[Error Type ]],$Q$5))</f>
        <v/>
      </c>
    </row>
    <row r="6883" spans="15:15" x14ac:dyDescent="0.25">
      <c r="O6883" s="20" t="str">
        <f>IF(N6883="","",COUNTIFS(RawData[[Date ]],N6883,RawData[Month List],$Q$6,RawData[Tour/Site],$Q$2,RawData[[Picker ID ]],$Q$3,RawData[Checker ID],$Q$4,RawData[[Error Type ]],$Q$5))</f>
        <v/>
      </c>
    </row>
    <row r="6884" spans="15:15" x14ac:dyDescent="0.25">
      <c r="O6884" s="20" t="str">
        <f>IF(N6884="","",COUNTIFS(RawData[[Date ]],N6884,RawData[Month List],$Q$6,RawData[Tour/Site],$Q$2,RawData[[Picker ID ]],$Q$3,RawData[Checker ID],$Q$4,RawData[[Error Type ]],$Q$5))</f>
        <v/>
      </c>
    </row>
    <row r="6885" spans="15:15" x14ac:dyDescent="0.25">
      <c r="O6885" s="20" t="str">
        <f>IF(N6885="","",COUNTIFS(RawData[[Date ]],N6885,RawData[Month List],$Q$6,RawData[Tour/Site],$Q$2,RawData[[Picker ID ]],$Q$3,RawData[Checker ID],$Q$4,RawData[[Error Type ]],$Q$5))</f>
        <v/>
      </c>
    </row>
    <row r="6886" spans="15:15" x14ac:dyDescent="0.25">
      <c r="O6886" s="20" t="str">
        <f>IF(N6886="","",COUNTIFS(RawData[[Date ]],N6886,RawData[Month List],$Q$6,RawData[Tour/Site],$Q$2,RawData[[Picker ID ]],$Q$3,RawData[Checker ID],$Q$4,RawData[[Error Type ]],$Q$5))</f>
        <v/>
      </c>
    </row>
    <row r="6887" spans="15:15" x14ac:dyDescent="0.25">
      <c r="O6887" s="20" t="str">
        <f>IF(N6887="","",COUNTIFS(RawData[[Date ]],N6887,RawData[Month List],$Q$6,RawData[Tour/Site],$Q$2,RawData[[Picker ID ]],$Q$3,RawData[Checker ID],$Q$4,RawData[[Error Type ]],$Q$5))</f>
        <v/>
      </c>
    </row>
    <row r="6888" spans="15:15" x14ac:dyDescent="0.25">
      <c r="O6888" s="20" t="str">
        <f>IF(N6888="","",COUNTIFS(RawData[[Date ]],N6888,RawData[Month List],$Q$6,RawData[Tour/Site],$Q$2,RawData[[Picker ID ]],$Q$3,RawData[Checker ID],$Q$4,RawData[[Error Type ]],$Q$5))</f>
        <v/>
      </c>
    </row>
    <row r="6889" spans="15:15" x14ac:dyDescent="0.25">
      <c r="O6889" s="20" t="str">
        <f>IF(N6889="","",COUNTIFS(RawData[[Date ]],N6889,RawData[Month List],$Q$6,RawData[Tour/Site],$Q$2,RawData[[Picker ID ]],$Q$3,RawData[Checker ID],$Q$4,RawData[[Error Type ]],$Q$5))</f>
        <v/>
      </c>
    </row>
    <row r="6890" spans="15:15" x14ac:dyDescent="0.25">
      <c r="O6890" s="20" t="str">
        <f>IF(N6890="","",COUNTIFS(RawData[[Date ]],N6890,RawData[Month List],$Q$6,RawData[Tour/Site],$Q$2,RawData[[Picker ID ]],$Q$3,RawData[Checker ID],$Q$4,RawData[[Error Type ]],$Q$5))</f>
        <v/>
      </c>
    </row>
    <row r="6891" spans="15:15" x14ac:dyDescent="0.25">
      <c r="O6891" s="20" t="str">
        <f>IF(N6891="","",COUNTIFS(RawData[[Date ]],N6891,RawData[Month List],$Q$6,RawData[Tour/Site],$Q$2,RawData[[Picker ID ]],$Q$3,RawData[Checker ID],$Q$4,RawData[[Error Type ]],$Q$5))</f>
        <v/>
      </c>
    </row>
    <row r="6892" spans="15:15" x14ac:dyDescent="0.25">
      <c r="O6892" s="20" t="str">
        <f>IF(N6892="","",COUNTIFS(RawData[[Date ]],N6892,RawData[Month List],$Q$6,RawData[Tour/Site],$Q$2,RawData[[Picker ID ]],$Q$3,RawData[Checker ID],$Q$4,RawData[[Error Type ]],$Q$5))</f>
        <v/>
      </c>
    </row>
    <row r="6893" spans="15:15" x14ac:dyDescent="0.25">
      <c r="O6893" s="20" t="str">
        <f>IF(N6893="","",COUNTIFS(RawData[[Date ]],N6893,RawData[Month List],$Q$6,RawData[Tour/Site],$Q$2,RawData[[Picker ID ]],$Q$3,RawData[Checker ID],$Q$4,RawData[[Error Type ]],$Q$5))</f>
        <v/>
      </c>
    </row>
    <row r="6894" spans="15:15" x14ac:dyDescent="0.25">
      <c r="O6894" s="20" t="str">
        <f>IF(N6894="","",COUNTIFS(RawData[[Date ]],N6894,RawData[Month List],$Q$6,RawData[Tour/Site],$Q$2,RawData[[Picker ID ]],$Q$3,RawData[Checker ID],$Q$4,RawData[[Error Type ]],$Q$5))</f>
        <v/>
      </c>
    </row>
    <row r="6895" spans="15:15" x14ac:dyDescent="0.25">
      <c r="O6895" s="20" t="str">
        <f>IF(N6895="","",COUNTIFS(RawData[[Date ]],N6895,RawData[Month List],$Q$6,RawData[Tour/Site],$Q$2,RawData[[Picker ID ]],$Q$3,RawData[Checker ID],$Q$4,RawData[[Error Type ]],$Q$5))</f>
        <v/>
      </c>
    </row>
    <row r="6896" spans="15:15" x14ac:dyDescent="0.25">
      <c r="O6896" s="20" t="str">
        <f>IF(N6896="","",COUNTIFS(RawData[[Date ]],N6896,RawData[Month List],$Q$6,RawData[Tour/Site],$Q$2,RawData[[Picker ID ]],$Q$3,RawData[Checker ID],$Q$4,RawData[[Error Type ]],$Q$5))</f>
        <v/>
      </c>
    </row>
    <row r="6897" spans="15:15" x14ac:dyDescent="0.25">
      <c r="O6897" s="20" t="str">
        <f>IF(N6897="","",COUNTIFS(RawData[[Date ]],N6897,RawData[Month List],$Q$6,RawData[Tour/Site],$Q$2,RawData[[Picker ID ]],$Q$3,RawData[Checker ID],$Q$4,RawData[[Error Type ]],$Q$5))</f>
        <v/>
      </c>
    </row>
    <row r="6898" spans="15:15" x14ac:dyDescent="0.25">
      <c r="O6898" s="20" t="str">
        <f>IF(N6898="","",COUNTIFS(RawData[[Date ]],N6898,RawData[Month List],$Q$6,RawData[Tour/Site],$Q$2,RawData[[Picker ID ]],$Q$3,RawData[Checker ID],$Q$4,RawData[[Error Type ]],$Q$5))</f>
        <v/>
      </c>
    </row>
    <row r="6899" spans="15:15" x14ac:dyDescent="0.25">
      <c r="O6899" s="20" t="str">
        <f>IF(N6899="","",COUNTIFS(RawData[[Date ]],N6899,RawData[Month List],$Q$6,RawData[Tour/Site],$Q$2,RawData[[Picker ID ]],$Q$3,RawData[Checker ID],$Q$4,RawData[[Error Type ]],$Q$5))</f>
        <v/>
      </c>
    </row>
    <row r="6900" spans="15:15" x14ac:dyDescent="0.25">
      <c r="O6900" s="20" t="str">
        <f>IF(N6900="","",COUNTIFS(RawData[[Date ]],N6900,RawData[Month List],$Q$6,RawData[Tour/Site],$Q$2,RawData[[Picker ID ]],$Q$3,RawData[Checker ID],$Q$4,RawData[[Error Type ]],$Q$5))</f>
        <v/>
      </c>
    </row>
    <row r="6901" spans="15:15" x14ac:dyDescent="0.25">
      <c r="O6901" s="20" t="str">
        <f>IF(N6901="","",COUNTIFS(RawData[[Date ]],N6901,RawData[Month List],$Q$6,RawData[Tour/Site],$Q$2,RawData[[Picker ID ]],$Q$3,RawData[Checker ID],$Q$4,RawData[[Error Type ]],$Q$5))</f>
        <v/>
      </c>
    </row>
    <row r="6902" spans="15:15" x14ac:dyDescent="0.25">
      <c r="O6902" s="20" t="str">
        <f>IF(N6902="","",COUNTIFS(RawData[[Date ]],N6902,RawData[Month List],$Q$6,RawData[Tour/Site],$Q$2,RawData[[Picker ID ]],$Q$3,RawData[Checker ID],$Q$4,RawData[[Error Type ]],$Q$5))</f>
        <v/>
      </c>
    </row>
    <row r="6903" spans="15:15" x14ac:dyDescent="0.25">
      <c r="O6903" s="20" t="str">
        <f>IF(N6903="","",COUNTIFS(RawData[[Date ]],N6903,RawData[Month List],$Q$6,RawData[Tour/Site],$Q$2,RawData[[Picker ID ]],$Q$3,RawData[Checker ID],$Q$4,RawData[[Error Type ]],$Q$5))</f>
        <v/>
      </c>
    </row>
    <row r="6904" spans="15:15" x14ac:dyDescent="0.25">
      <c r="O6904" s="20" t="str">
        <f>IF(N6904="","",COUNTIFS(RawData[[Date ]],N6904,RawData[Month List],$Q$6,RawData[Tour/Site],$Q$2,RawData[[Picker ID ]],$Q$3,RawData[Checker ID],$Q$4,RawData[[Error Type ]],$Q$5))</f>
        <v/>
      </c>
    </row>
    <row r="6905" spans="15:15" x14ac:dyDescent="0.25">
      <c r="O6905" s="20" t="str">
        <f>IF(N6905="","",COUNTIFS(RawData[[Date ]],N6905,RawData[Month List],$Q$6,RawData[Tour/Site],$Q$2,RawData[[Picker ID ]],$Q$3,RawData[Checker ID],$Q$4,RawData[[Error Type ]],$Q$5))</f>
        <v/>
      </c>
    </row>
    <row r="6906" spans="15:15" x14ac:dyDescent="0.25">
      <c r="O6906" s="20" t="str">
        <f>IF(N6906="","",COUNTIFS(RawData[[Date ]],N6906,RawData[Month List],$Q$6,RawData[Tour/Site],$Q$2,RawData[[Picker ID ]],$Q$3,RawData[Checker ID],$Q$4,RawData[[Error Type ]],$Q$5))</f>
        <v/>
      </c>
    </row>
    <row r="6907" spans="15:15" x14ac:dyDescent="0.25">
      <c r="O6907" s="20" t="str">
        <f>IF(N6907="","",COUNTIFS(RawData[[Date ]],N6907,RawData[Month List],$Q$6,RawData[Tour/Site],$Q$2,RawData[[Picker ID ]],$Q$3,RawData[Checker ID],$Q$4,RawData[[Error Type ]],$Q$5))</f>
        <v/>
      </c>
    </row>
    <row r="6908" spans="15:15" x14ac:dyDescent="0.25">
      <c r="O6908" s="20" t="str">
        <f>IF(N6908="","",COUNTIFS(RawData[[Date ]],N6908,RawData[Month List],$Q$6,RawData[Tour/Site],$Q$2,RawData[[Picker ID ]],$Q$3,RawData[Checker ID],$Q$4,RawData[[Error Type ]],$Q$5))</f>
        <v/>
      </c>
    </row>
    <row r="6909" spans="15:15" x14ac:dyDescent="0.25">
      <c r="O6909" s="20" t="str">
        <f>IF(N6909="","",COUNTIFS(RawData[[Date ]],N6909,RawData[Month List],$Q$6,RawData[Tour/Site],$Q$2,RawData[[Picker ID ]],$Q$3,RawData[Checker ID],$Q$4,RawData[[Error Type ]],$Q$5))</f>
        <v/>
      </c>
    </row>
    <row r="6910" spans="15:15" x14ac:dyDescent="0.25">
      <c r="O6910" s="20" t="str">
        <f>IF(N6910="","",COUNTIFS(RawData[[Date ]],N6910,RawData[Month List],$Q$6,RawData[Tour/Site],$Q$2,RawData[[Picker ID ]],$Q$3,RawData[Checker ID],$Q$4,RawData[[Error Type ]],$Q$5))</f>
        <v/>
      </c>
    </row>
    <row r="6911" spans="15:15" x14ac:dyDescent="0.25">
      <c r="O6911" s="20" t="str">
        <f>IF(N6911="","",COUNTIFS(RawData[[Date ]],N6911,RawData[Month List],$Q$6,RawData[Tour/Site],$Q$2,RawData[[Picker ID ]],$Q$3,RawData[Checker ID],$Q$4,RawData[[Error Type ]],$Q$5))</f>
        <v/>
      </c>
    </row>
    <row r="6912" spans="15:15" x14ac:dyDescent="0.25">
      <c r="O6912" s="20" t="str">
        <f>IF(N6912="","",COUNTIFS(RawData[[Date ]],N6912,RawData[Month List],$Q$6,RawData[Tour/Site],$Q$2,RawData[[Picker ID ]],$Q$3,RawData[Checker ID],$Q$4,RawData[[Error Type ]],$Q$5))</f>
        <v/>
      </c>
    </row>
    <row r="6913" spans="15:15" x14ac:dyDescent="0.25">
      <c r="O6913" s="20" t="str">
        <f>IF(N6913="","",COUNTIFS(RawData[[Date ]],N6913,RawData[Month List],$Q$6,RawData[Tour/Site],$Q$2,RawData[[Picker ID ]],$Q$3,RawData[Checker ID],$Q$4,RawData[[Error Type ]],$Q$5))</f>
        <v/>
      </c>
    </row>
    <row r="6914" spans="15:15" x14ac:dyDescent="0.25">
      <c r="O6914" s="20" t="str">
        <f>IF(N6914="","",COUNTIFS(RawData[[Date ]],N6914,RawData[Month List],$Q$6,RawData[Tour/Site],$Q$2,RawData[[Picker ID ]],$Q$3,RawData[Checker ID],$Q$4,RawData[[Error Type ]],$Q$5))</f>
        <v/>
      </c>
    </row>
    <row r="6915" spans="15:15" x14ac:dyDescent="0.25">
      <c r="O6915" s="20" t="str">
        <f>IF(N6915="","",COUNTIFS(RawData[[Date ]],N6915,RawData[Month List],$Q$6,RawData[Tour/Site],$Q$2,RawData[[Picker ID ]],$Q$3,RawData[Checker ID],$Q$4,RawData[[Error Type ]],$Q$5))</f>
        <v/>
      </c>
    </row>
    <row r="6916" spans="15:15" x14ac:dyDescent="0.25">
      <c r="O6916" s="20" t="str">
        <f>IF(N6916="","",COUNTIFS(RawData[[Date ]],N6916,RawData[Month List],$Q$6,RawData[Tour/Site],$Q$2,RawData[[Picker ID ]],$Q$3,RawData[Checker ID],$Q$4,RawData[[Error Type ]],$Q$5))</f>
        <v/>
      </c>
    </row>
    <row r="6917" spans="15:15" x14ac:dyDescent="0.25">
      <c r="O6917" s="20" t="str">
        <f>IF(N6917="","",COUNTIFS(RawData[[Date ]],N6917,RawData[Month List],$Q$6,RawData[Tour/Site],$Q$2,RawData[[Picker ID ]],$Q$3,RawData[Checker ID],$Q$4,RawData[[Error Type ]],$Q$5))</f>
        <v/>
      </c>
    </row>
    <row r="6918" spans="15:15" x14ac:dyDescent="0.25">
      <c r="O6918" s="20" t="str">
        <f>IF(N6918="","",COUNTIFS(RawData[[Date ]],N6918,RawData[Month List],$Q$6,RawData[Tour/Site],$Q$2,RawData[[Picker ID ]],$Q$3,RawData[Checker ID],$Q$4,RawData[[Error Type ]],$Q$5))</f>
        <v/>
      </c>
    </row>
    <row r="6919" spans="15:15" x14ac:dyDescent="0.25">
      <c r="O6919" s="20" t="str">
        <f>IF(N6919="","",COUNTIFS(RawData[[Date ]],N6919,RawData[Month List],$Q$6,RawData[Tour/Site],$Q$2,RawData[[Picker ID ]],$Q$3,RawData[Checker ID],$Q$4,RawData[[Error Type ]],$Q$5))</f>
        <v/>
      </c>
    </row>
    <row r="6920" spans="15:15" x14ac:dyDescent="0.25">
      <c r="O6920" s="20" t="str">
        <f>IF(N6920="","",COUNTIFS(RawData[[Date ]],N6920,RawData[Month List],$Q$6,RawData[Tour/Site],$Q$2,RawData[[Picker ID ]],$Q$3,RawData[Checker ID],$Q$4,RawData[[Error Type ]],$Q$5))</f>
        <v/>
      </c>
    </row>
    <row r="6921" spans="15:15" x14ac:dyDescent="0.25">
      <c r="O6921" s="20" t="str">
        <f>IF(N6921="","",COUNTIFS(RawData[[Date ]],N6921,RawData[Month List],$Q$6,RawData[Tour/Site],$Q$2,RawData[[Picker ID ]],$Q$3,RawData[Checker ID],$Q$4,RawData[[Error Type ]],$Q$5))</f>
        <v/>
      </c>
    </row>
    <row r="6922" spans="15:15" x14ac:dyDescent="0.25">
      <c r="O6922" s="20" t="str">
        <f>IF(N6922="","",COUNTIFS(RawData[[Date ]],N6922,RawData[Month List],$Q$6,RawData[Tour/Site],$Q$2,RawData[[Picker ID ]],$Q$3,RawData[Checker ID],$Q$4,RawData[[Error Type ]],$Q$5))</f>
        <v/>
      </c>
    </row>
    <row r="6923" spans="15:15" x14ac:dyDescent="0.25">
      <c r="O6923" s="20" t="str">
        <f>IF(N6923="","",COUNTIFS(RawData[[Date ]],N6923,RawData[Month List],$Q$6,RawData[Tour/Site],$Q$2,RawData[[Picker ID ]],$Q$3,RawData[Checker ID],$Q$4,RawData[[Error Type ]],$Q$5))</f>
        <v/>
      </c>
    </row>
    <row r="6924" spans="15:15" x14ac:dyDescent="0.25">
      <c r="O6924" s="20" t="str">
        <f>IF(N6924="","",COUNTIFS(RawData[[Date ]],N6924,RawData[Month List],$Q$6,RawData[Tour/Site],$Q$2,RawData[[Picker ID ]],$Q$3,RawData[Checker ID],$Q$4,RawData[[Error Type ]],$Q$5))</f>
        <v/>
      </c>
    </row>
    <row r="6925" spans="15:15" x14ac:dyDescent="0.25">
      <c r="O6925" s="20" t="str">
        <f>IF(N6925="","",COUNTIFS(RawData[[Date ]],N6925,RawData[Month List],$Q$6,RawData[Tour/Site],$Q$2,RawData[[Picker ID ]],$Q$3,RawData[Checker ID],$Q$4,RawData[[Error Type ]],$Q$5))</f>
        <v/>
      </c>
    </row>
    <row r="6926" spans="15:15" x14ac:dyDescent="0.25">
      <c r="O6926" s="20" t="str">
        <f>IF(N6926="","",COUNTIFS(RawData[[Date ]],N6926,RawData[Month List],$Q$6,RawData[Tour/Site],$Q$2,RawData[[Picker ID ]],$Q$3,RawData[Checker ID],$Q$4,RawData[[Error Type ]],$Q$5))</f>
        <v/>
      </c>
    </row>
    <row r="6927" spans="15:15" x14ac:dyDescent="0.25">
      <c r="O6927" s="20" t="str">
        <f>IF(N6927="","",COUNTIFS(RawData[[Date ]],N6927,RawData[Month List],$Q$6,RawData[Tour/Site],$Q$2,RawData[[Picker ID ]],$Q$3,RawData[Checker ID],$Q$4,RawData[[Error Type ]],$Q$5))</f>
        <v/>
      </c>
    </row>
    <row r="6928" spans="15:15" x14ac:dyDescent="0.25">
      <c r="O6928" s="20" t="str">
        <f>IF(N6928="","",COUNTIFS(RawData[[Date ]],N6928,RawData[Month List],$Q$6,RawData[Tour/Site],$Q$2,RawData[[Picker ID ]],$Q$3,RawData[Checker ID],$Q$4,RawData[[Error Type ]],$Q$5))</f>
        <v/>
      </c>
    </row>
    <row r="6929" spans="15:15" x14ac:dyDescent="0.25">
      <c r="O6929" s="20" t="str">
        <f>IF(N6929="","",COUNTIFS(RawData[[Date ]],N6929,RawData[Month List],$Q$6,RawData[Tour/Site],$Q$2,RawData[[Picker ID ]],$Q$3,RawData[Checker ID],$Q$4,RawData[[Error Type ]],$Q$5))</f>
        <v/>
      </c>
    </row>
    <row r="6930" spans="15:15" x14ac:dyDescent="0.25">
      <c r="O6930" s="20" t="str">
        <f>IF(N6930="","",COUNTIFS(RawData[[Date ]],N6930,RawData[Month List],$Q$6,RawData[Tour/Site],$Q$2,RawData[[Picker ID ]],$Q$3,RawData[Checker ID],$Q$4,RawData[[Error Type ]],$Q$5))</f>
        <v/>
      </c>
    </row>
    <row r="6931" spans="15:15" x14ac:dyDescent="0.25">
      <c r="O6931" s="20" t="str">
        <f>IF(N6931="","",COUNTIFS(RawData[[Date ]],N6931,RawData[Month List],$Q$6,RawData[Tour/Site],$Q$2,RawData[[Picker ID ]],$Q$3,RawData[Checker ID],$Q$4,RawData[[Error Type ]],$Q$5))</f>
        <v/>
      </c>
    </row>
    <row r="6932" spans="15:15" x14ac:dyDescent="0.25">
      <c r="O6932" s="20" t="str">
        <f>IF(N6932="","",COUNTIFS(RawData[[Date ]],N6932,RawData[Month List],$Q$6,RawData[Tour/Site],$Q$2,RawData[[Picker ID ]],$Q$3,RawData[Checker ID],$Q$4,RawData[[Error Type ]],$Q$5))</f>
        <v/>
      </c>
    </row>
    <row r="6933" spans="15:15" x14ac:dyDescent="0.25">
      <c r="O6933" s="20" t="str">
        <f>IF(N6933="","",COUNTIFS(RawData[[Date ]],N6933,RawData[Month List],$Q$6,RawData[Tour/Site],$Q$2,RawData[[Picker ID ]],$Q$3,RawData[Checker ID],$Q$4,RawData[[Error Type ]],$Q$5))</f>
        <v/>
      </c>
    </row>
    <row r="6934" spans="15:15" x14ac:dyDescent="0.25">
      <c r="O6934" s="20" t="str">
        <f>IF(N6934="","",COUNTIFS(RawData[[Date ]],N6934,RawData[Month List],$Q$6,RawData[Tour/Site],$Q$2,RawData[[Picker ID ]],$Q$3,RawData[Checker ID],$Q$4,RawData[[Error Type ]],$Q$5))</f>
        <v/>
      </c>
    </row>
    <row r="6935" spans="15:15" x14ac:dyDescent="0.25">
      <c r="O6935" s="20" t="str">
        <f>IF(N6935="","",COUNTIFS(RawData[[Date ]],N6935,RawData[Month List],$Q$6,RawData[Tour/Site],$Q$2,RawData[[Picker ID ]],$Q$3,RawData[Checker ID],$Q$4,RawData[[Error Type ]],$Q$5))</f>
        <v/>
      </c>
    </row>
    <row r="6936" spans="15:15" x14ac:dyDescent="0.25">
      <c r="O6936" s="20" t="str">
        <f>IF(N6936="","",COUNTIFS(RawData[[Date ]],N6936,RawData[Month List],$Q$6,RawData[Tour/Site],$Q$2,RawData[[Picker ID ]],$Q$3,RawData[Checker ID],$Q$4,RawData[[Error Type ]],$Q$5))</f>
        <v/>
      </c>
    </row>
    <row r="6937" spans="15:15" x14ac:dyDescent="0.25">
      <c r="O6937" s="20" t="str">
        <f>IF(N6937="","",COUNTIFS(RawData[[Date ]],N6937,RawData[Month List],$Q$6,RawData[Tour/Site],$Q$2,RawData[[Picker ID ]],$Q$3,RawData[Checker ID],$Q$4,RawData[[Error Type ]],$Q$5))</f>
        <v/>
      </c>
    </row>
    <row r="6938" spans="15:15" x14ac:dyDescent="0.25">
      <c r="O6938" s="20" t="str">
        <f>IF(N6938="","",COUNTIFS(RawData[[Date ]],N6938,RawData[Month List],$Q$6,RawData[Tour/Site],$Q$2,RawData[[Picker ID ]],$Q$3,RawData[Checker ID],$Q$4,RawData[[Error Type ]],$Q$5))</f>
        <v/>
      </c>
    </row>
    <row r="6939" spans="15:15" x14ac:dyDescent="0.25">
      <c r="O6939" s="20" t="str">
        <f>IF(N6939="","",COUNTIFS(RawData[[Date ]],N6939,RawData[Month List],$Q$6,RawData[Tour/Site],$Q$2,RawData[[Picker ID ]],$Q$3,RawData[Checker ID],$Q$4,RawData[[Error Type ]],$Q$5))</f>
        <v/>
      </c>
    </row>
    <row r="6940" spans="15:15" x14ac:dyDescent="0.25">
      <c r="O6940" s="20" t="str">
        <f>IF(N6940="","",COUNTIFS(RawData[[Date ]],N6940,RawData[Month List],$Q$6,RawData[Tour/Site],$Q$2,RawData[[Picker ID ]],$Q$3,RawData[Checker ID],$Q$4,RawData[[Error Type ]],$Q$5))</f>
        <v/>
      </c>
    </row>
    <row r="6941" spans="15:15" x14ac:dyDescent="0.25">
      <c r="O6941" s="20" t="str">
        <f>IF(N6941="","",COUNTIFS(RawData[[Date ]],N6941,RawData[Month List],$Q$6,RawData[Tour/Site],$Q$2,RawData[[Picker ID ]],$Q$3,RawData[Checker ID],$Q$4,RawData[[Error Type ]],$Q$5))</f>
        <v/>
      </c>
    </row>
    <row r="6942" spans="15:15" x14ac:dyDescent="0.25">
      <c r="O6942" s="20" t="str">
        <f>IF(N6942="","",COUNTIFS(RawData[[Date ]],N6942,RawData[Month List],$Q$6,RawData[Tour/Site],$Q$2,RawData[[Picker ID ]],$Q$3,RawData[Checker ID],$Q$4,RawData[[Error Type ]],$Q$5))</f>
        <v/>
      </c>
    </row>
    <row r="6943" spans="15:15" x14ac:dyDescent="0.25">
      <c r="O6943" s="20" t="str">
        <f>IF(N6943="","",COUNTIFS(RawData[[Date ]],N6943,RawData[Month List],$Q$6,RawData[Tour/Site],$Q$2,RawData[[Picker ID ]],$Q$3,RawData[Checker ID],$Q$4,RawData[[Error Type ]],$Q$5))</f>
        <v/>
      </c>
    </row>
    <row r="6944" spans="15:15" x14ac:dyDescent="0.25">
      <c r="O6944" s="20" t="str">
        <f>IF(N6944="","",COUNTIFS(RawData[[Date ]],N6944,RawData[Month List],$Q$6,RawData[Tour/Site],$Q$2,RawData[[Picker ID ]],$Q$3,RawData[Checker ID],$Q$4,RawData[[Error Type ]],$Q$5))</f>
        <v/>
      </c>
    </row>
    <row r="6945" spans="15:15" x14ac:dyDescent="0.25">
      <c r="O6945" s="20" t="str">
        <f>IF(N6945="","",COUNTIFS(RawData[[Date ]],N6945,RawData[Month List],$Q$6,RawData[Tour/Site],$Q$2,RawData[[Picker ID ]],$Q$3,RawData[Checker ID],$Q$4,RawData[[Error Type ]],$Q$5))</f>
        <v/>
      </c>
    </row>
    <row r="6946" spans="15:15" x14ac:dyDescent="0.25">
      <c r="O6946" s="20" t="str">
        <f>IF(N6946="","",COUNTIFS(RawData[[Date ]],N6946,RawData[Month List],$Q$6,RawData[Tour/Site],$Q$2,RawData[[Picker ID ]],$Q$3,RawData[Checker ID],$Q$4,RawData[[Error Type ]],$Q$5))</f>
        <v/>
      </c>
    </row>
    <row r="6947" spans="15:15" x14ac:dyDescent="0.25">
      <c r="O6947" s="20" t="str">
        <f>IF(N6947="","",COUNTIFS(RawData[[Date ]],N6947,RawData[Month List],$Q$6,RawData[Tour/Site],$Q$2,RawData[[Picker ID ]],$Q$3,RawData[Checker ID],$Q$4,RawData[[Error Type ]],$Q$5))</f>
        <v/>
      </c>
    </row>
    <row r="6948" spans="15:15" x14ac:dyDescent="0.25">
      <c r="O6948" s="20" t="str">
        <f>IF(N6948="","",COUNTIFS(RawData[[Date ]],N6948,RawData[Month List],$Q$6,RawData[Tour/Site],$Q$2,RawData[[Picker ID ]],$Q$3,RawData[Checker ID],$Q$4,RawData[[Error Type ]],$Q$5))</f>
        <v/>
      </c>
    </row>
    <row r="6949" spans="15:15" x14ac:dyDescent="0.25">
      <c r="O6949" s="20" t="str">
        <f>IF(N6949="","",COUNTIFS(RawData[[Date ]],N6949,RawData[Month List],$Q$6,RawData[Tour/Site],$Q$2,RawData[[Picker ID ]],$Q$3,RawData[Checker ID],$Q$4,RawData[[Error Type ]],$Q$5))</f>
        <v/>
      </c>
    </row>
    <row r="6950" spans="15:15" x14ac:dyDescent="0.25">
      <c r="O6950" s="20" t="str">
        <f>IF(N6950="","",COUNTIFS(RawData[[Date ]],N6950,RawData[Month List],$Q$6,RawData[Tour/Site],$Q$2,RawData[[Picker ID ]],$Q$3,RawData[Checker ID],$Q$4,RawData[[Error Type ]],$Q$5))</f>
        <v/>
      </c>
    </row>
    <row r="6951" spans="15:15" x14ac:dyDescent="0.25">
      <c r="O6951" s="20" t="str">
        <f>IF(N6951="","",COUNTIFS(RawData[[Date ]],N6951,RawData[Month List],$Q$6,RawData[Tour/Site],$Q$2,RawData[[Picker ID ]],$Q$3,RawData[Checker ID],$Q$4,RawData[[Error Type ]],$Q$5))</f>
        <v/>
      </c>
    </row>
    <row r="6952" spans="15:15" x14ac:dyDescent="0.25">
      <c r="O6952" s="20" t="str">
        <f>IF(N6952="","",COUNTIFS(RawData[[Date ]],N6952,RawData[Month List],$Q$6,RawData[Tour/Site],$Q$2,RawData[[Picker ID ]],$Q$3,RawData[Checker ID],$Q$4,RawData[[Error Type ]],$Q$5))</f>
        <v/>
      </c>
    </row>
    <row r="6953" spans="15:15" x14ac:dyDescent="0.25">
      <c r="O6953" s="20" t="str">
        <f>IF(N6953="","",COUNTIFS(RawData[[Date ]],N6953,RawData[Month List],$Q$6,RawData[Tour/Site],$Q$2,RawData[[Picker ID ]],$Q$3,RawData[Checker ID],$Q$4,RawData[[Error Type ]],$Q$5))</f>
        <v/>
      </c>
    </row>
    <row r="6954" spans="15:15" x14ac:dyDescent="0.25">
      <c r="O6954" s="20" t="str">
        <f>IF(N6954="","",COUNTIFS(RawData[[Date ]],N6954,RawData[Month List],$Q$6,RawData[Tour/Site],$Q$2,RawData[[Picker ID ]],$Q$3,RawData[Checker ID],$Q$4,RawData[[Error Type ]],$Q$5))</f>
        <v/>
      </c>
    </row>
    <row r="6955" spans="15:15" x14ac:dyDescent="0.25">
      <c r="O6955" s="20" t="str">
        <f>IF(N6955="","",COUNTIFS(RawData[[Date ]],N6955,RawData[Month List],$Q$6,RawData[Tour/Site],$Q$2,RawData[[Picker ID ]],$Q$3,RawData[Checker ID],$Q$4,RawData[[Error Type ]],$Q$5))</f>
        <v/>
      </c>
    </row>
    <row r="6956" spans="15:15" x14ac:dyDescent="0.25">
      <c r="O6956" s="20" t="str">
        <f>IF(N6956="","",COUNTIFS(RawData[[Date ]],N6956,RawData[Month List],$Q$6,RawData[Tour/Site],$Q$2,RawData[[Picker ID ]],$Q$3,RawData[Checker ID],$Q$4,RawData[[Error Type ]],$Q$5))</f>
        <v/>
      </c>
    </row>
    <row r="6957" spans="15:15" x14ac:dyDescent="0.25">
      <c r="O6957" s="20" t="str">
        <f>IF(N6957="","",COUNTIFS(RawData[[Date ]],N6957,RawData[Month List],$Q$6,RawData[Tour/Site],$Q$2,RawData[[Picker ID ]],$Q$3,RawData[Checker ID],$Q$4,RawData[[Error Type ]],$Q$5))</f>
        <v/>
      </c>
    </row>
    <row r="6958" spans="15:15" x14ac:dyDescent="0.25">
      <c r="O6958" s="20" t="str">
        <f>IF(N6958="","",COUNTIFS(RawData[[Date ]],N6958,RawData[Month List],$Q$6,RawData[Tour/Site],$Q$2,RawData[[Picker ID ]],$Q$3,RawData[Checker ID],$Q$4,RawData[[Error Type ]],$Q$5))</f>
        <v/>
      </c>
    </row>
    <row r="6959" spans="15:15" x14ac:dyDescent="0.25">
      <c r="O6959" s="20" t="str">
        <f>IF(N6959="","",COUNTIFS(RawData[[Date ]],N6959,RawData[Month List],$Q$6,RawData[Tour/Site],$Q$2,RawData[[Picker ID ]],$Q$3,RawData[Checker ID],$Q$4,RawData[[Error Type ]],$Q$5))</f>
        <v/>
      </c>
    </row>
    <row r="6960" spans="15:15" x14ac:dyDescent="0.25">
      <c r="O6960" s="20" t="str">
        <f>IF(N6960="","",COUNTIFS(RawData[[Date ]],N6960,RawData[Month List],$Q$6,RawData[Tour/Site],$Q$2,RawData[[Picker ID ]],$Q$3,RawData[Checker ID],$Q$4,RawData[[Error Type ]],$Q$5))</f>
        <v/>
      </c>
    </row>
    <row r="6961" spans="15:15" x14ac:dyDescent="0.25">
      <c r="O6961" s="20" t="str">
        <f>IF(N6961="","",COUNTIFS(RawData[[Date ]],N6961,RawData[Month List],$Q$6,RawData[Tour/Site],$Q$2,RawData[[Picker ID ]],$Q$3,RawData[Checker ID],$Q$4,RawData[[Error Type ]],$Q$5))</f>
        <v/>
      </c>
    </row>
    <row r="6962" spans="15:15" x14ac:dyDescent="0.25">
      <c r="O6962" s="20" t="str">
        <f>IF(N6962="","",COUNTIFS(RawData[[Date ]],N6962,RawData[Month List],$Q$6,RawData[Tour/Site],$Q$2,RawData[[Picker ID ]],$Q$3,RawData[Checker ID],$Q$4,RawData[[Error Type ]],$Q$5))</f>
        <v/>
      </c>
    </row>
    <row r="6963" spans="15:15" x14ac:dyDescent="0.25">
      <c r="O6963" s="20" t="str">
        <f>IF(N6963="","",COUNTIFS(RawData[[Date ]],N6963,RawData[Month List],$Q$6,RawData[Tour/Site],$Q$2,RawData[[Picker ID ]],$Q$3,RawData[Checker ID],$Q$4,RawData[[Error Type ]],$Q$5))</f>
        <v/>
      </c>
    </row>
    <row r="6964" spans="15:15" x14ac:dyDescent="0.25">
      <c r="O6964" s="20" t="str">
        <f>IF(N6964="","",COUNTIFS(RawData[[Date ]],N6964,RawData[Month List],$Q$6,RawData[Tour/Site],$Q$2,RawData[[Picker ID ]],$Q$3,RawData[Checker ID],$Q$4,RawData[[Error Type ]],$Q$5))</f>
        <v/>
      </c>
    </row>
    <row r="6965" spans="15:15" x14ac:dyDescent="0.25">
      <c r="O6965" s="20" t="str">
        <f>IF(N6965="","",COUNTIFS(RawData[[Date ]],N6965,RawData[Month List],$Q$6,RawData[Tour/Site],$Q$2,RawData[[Picker ID ]],$Q$3,RawData[Checker ID],$Q$4,RawData[[Error Type ]],$Q$5))</f>
        <v/>
      </c>
    </row>
    <row r="6966" spans="15:15" x14ac:dyDescent="0.25">
      <c r="O6966" s="20" t="str">
        <f>IF(N6966="","",COUNTIFS(RawData[[Date ]],N6966,RawData[Month List],$Q$6,RawData[Tour/Site],$Q$2,RawData[[Picker ID ]],$Q$3,RawData[Checker ID],$Q$4,RawData[[Error Type ]],$Q$5))</f>
        <v/>
      </c>
    </row>
    <row r="6967" spans="15:15" x14ac:dyDescent="0.25">
      <c r="O6967" s="20" t="str">
        <f>IF(N6967="","",COUNTIFS(RawData[[Date ]],N6967,RawData[Month List],$Q$6,RawData[Tour/Site],$Q$2,RawData[[Picker ID ]],$Q$3,RawData[Checker ID],$Q$4,RawData[[Error Type ]],$Q$5))</f>
        <v/>
      </c>
    </row>
    <row r="6968" spans="15:15" x14ac:dyDescent="0.25">
      <c r="O6968" s="20" t="str">
        <f>IF(N6968="","",COUNTIFS(RawData[[Date ]],N6968,RawData[Month List],$Q$6,RawData[Tour/Site],$Q$2,RawData[[Picker ID ]],$Q$3,RawData[Checker ID],$Q$4,RawData[[Error Type ]],$Q$5))</f>
        <v/>
      </c>
    </row>
    <row r="6969" spans="15:15" x14ac:dyDescent="0.25">
      <c r="O6969" s="20" t="str">
        <f>IF(N6969="","",COUNTIFS(RawData[[Date ]],N6969,RawData[Month List],$Q$6,RawData[Tour/Site],$Q$2,RawData[[Picker ID ]],$Q$3,RawData[Checker ID],$Q$4,RawData[[Error Type ]],$Q$5))</f>
        <v/>
      </c>
    </row>
    <row r="6970" spans="15:15" x14ac:dyDescent="0.25">
      <c r="O6970" s="20" t="str">
        <f>IF(N6970="","",COUNTIFS(RawData[[Date ]],N6970,RawData[Month List],$Q$6,RawData[Tour/Site],$Q$2,RawData[[Picker ID ]],$Q$3,RawData[Checker ID],$Q$4,RawData[[Error Type ]],$Q$5))</f>
        <v/>
      </c>
    </row>
    <row r="6971" spans="15:15" x14ac:dyDescent="0.25">
      <c r="O6971" s="20" t="str">
        <f>IF(N6971="","",COUNTIFS(RawData[[Date ]],N6971,RawData[Month List],$Q$6,RawData[Tour/Site],$Q$2,RawData[[Picker ID ]],$Q$3,RawData[Checker ID],$Q$4,RawData[[Error Type ]],$Q$5))</f>
        <v/>
      </c>
    </row>
    <row r="6972" spans="15:15" x14ac:dyDescent="0.25">
      <c r="O6972" s="20" t="str">
        <f>IF(N6972="","",COUNTIFS(RawData[[Date ]],N6972,RawData[Month List],$Q$6,RawData[Tour/Site],$Q$2,RawData[[Picker ID ]],$Q$3,RawData[Checker ID],$Q$4,RawData[[Error Type ]],$Q$5))</f>
        <v/>
      </c>
    </row>
    <row r="6973" spans="15:15" x14ac:dyDescent="0.25">
      <c r="O6973" s="20" t="str">
        <f>IF(N6973="","",COUNTIFS(RawData[[Date ]],N6973,RawData[Month List],$Q$6,RawData[Tour/Site],$Q$2,RawData[[Picker ID ]],$Q$3,RawData[Checker ID],$Q$4,RawData[[Error Type ]],$Q$5))</f>
        <v/>
      </c>
    </row>
    <row r="6974" spans="15:15" x14ac:dyDescent="0.25">
      <c r="O6974" s="20" t="str">
        <f>IF(N6974="","",COUNTIFS(RawData[[Date ]],N6974,RawData[Month List],$Q$6,RawData[Tour/Site],$Q$2,RawData[[Picker ID ]],$Q$3,RawData[Checker ID],$Q$4,RawData[[Error Type ]],$Q$5))</f>
        <v/>
      </c>
    </row>
    <row r="6975" spans="15:15" x14ac:dyDescent="0.25">
      <c r="O6975" s="20" t="str">
        <f>IF(N6975="","",COUNTIFS(RawData[[Date ]],N6975,RawData[Month List],$Q$6,RawData[Tour/Site],$Q$2,RawData[[Picker ID ]],$Q$3,RawData[Checker ID],$Q$4,RawData[[Error Type ]],$Q$5))</f>
        <v/>
      </c>
    </row>
    <row r="6976" spans="15:15" x14ac:dyDescent="0.25">
      <c r="O6976" s="20" t="str">
        <f>IF(N6976="","",COUNTIFS(RawData[[Date ]],N6976,RawData[Month List],$Q$6,RawData[Tour/Site],$Q$2,RawData[[Picker ID ]],$Q$3,RawData[Checker ID],$Q$4,RawData[[Error Type ]],$Q$5))</f>
        <v/>
      </c>
    </row>
    <row r="6977" spans="15:15" x14ac:dyDescent="0.25">
      <c r="O6977" s="20" t="str">
        <f>IF(N6977="","",COUNTIFS(RawData[[Date ]],N6977,RawData[Month List],$Q$6,RawData[Tour/Site],$Q$2,RawData[[Picker ID ]],$Q$3,RawData[Checker ID],$Q$4,RawData[[Error Type ]],$Q$5))</f>
        <v/>
      </c>
    </row>
    <row r="6978" spans="15:15" x14ac:dyDescent="0.25">
      <c r="O6978" s="20" t="str">
        <f>IF(N6978="","",COUNTIFS(RawData[[Date ]],N6978,RawData[Month List],$Q$6,RawData[Tour/Site],$Q$2,RawData[[Picker ID ]],$Q$3,RawData[Checker ID],$Q$4,RawData[[Error Type ]],$Q$5))</f>
        <v/>
      </c>
    </row>
    <row r="6979" spans="15:15" x14ac:dyDescent="0.25">
      <c r="O6979" s="20" t="str">
        <f>IF(N6979="","",COUNTIFS(RawData[[Date ]],N6979,RawData[Month List],$Q$6,RawData[Tour/Site],$Q$2,RawData[[Picker ID ]],$Q$3,RawData[Checker ID],$Q$4,RawData[[Error Type ]],$Q$5))</f>
        <v/>
      </c>
    </row>
    <row r="6980" spans="15:15" x14ac:dyDescent="0.25">
      <c r="O6980" s="20" t="str">
        <f>IF(N6980="","",COUNTIFS(RawData[[Date ]],N6980,RawData[Month List],$Q$6,RawData[Tour/Site],$Q$2,RawData[[Picker ID ]],$Q$3,RawData[Checker ID],$Q$4,RawData[[Error Type ]],$Q$5))</f>
        <v/>
      </c>
    </row>
    <row r="6981" spans="15:15" x14ac:dyDescent="0.25">
      <c r="O6981" s="20" t="str">
        <f>IF(N6981="","",COUNTIFS(RawData[[Date ]],N6981,RawData[Month List],$Q$6,RawData[Tour/Site],$Q$2,RawData[[Picker ID ]],$Q$3,RawData[Checker ID],$Q$4,RawData[[Error Type ]],$Q$5))</f>
        <v/>
      </c>
    </row>
    <row r="6982" spans="15:15" x14ac:dyDescent="0.25">
      <c r="O6982" s="20" t="str">
        <f>IF(N6982="","",COUNTIFS(RawData[[Date ]],N6982,RawData[Month List],$Q$6,RawData[Tour/Site],$Q$2,RawData[[Picker ID ]],$Q$3,RawData[Checker ID],$Q$4,RawData[[Error Type ]],$Q$5))</f>
        <v/>
      </c>
    </row>
    <row r="6983" spans="15:15" x14ac:dyDescent="0.25">
      <c r="O6983" s="20" t="str">
        <f>IF(N6983="","",COUNTIFS(RawData[[Date ]],N6983,RawData[Month List],$Q$6,RawData[Tour/Site],$Q$2,RawData[[Picker ID ]],$Q$3,RawData[Checker ID],$Q$4,RawData[[Error Type ]],$Q$5))</f>
        <v/>
      </c>
    </row>
    <row r="6984" spans="15:15" x14ac:dyDescent="0.25">
      <c r="O6984" s="20" t="str">
        <f>IF(N6984="","",COUNTIFS(RawData[[Date ]],N6984,RawData[Month List],$Q$6,RawData[Tour/Site],$Q$2,RawData[[Picker ID ]],$Q$3,RawData[Checker ID],$Q$4,RawData[[Error Type ]],$Q$5))</f>
        <v/>
      </c>
    </row>
    <row r="6985" spans="15:15" x14ac:dyDescent="0.25">
      <c r="O6985" s="20" t="str">
        <f>IF(N6985="","",COUNTIFS(RawData[[Date ]],N6985,RawData[Month List],$Q$6,RawData[Tour/Site],$Q$2,RawData[[Picker ID ]],$Q$3,RawData[Checker ID],$Q$4,RawData[[Error Type ]],$Q$5))</f>
        <v/>
      </c>
    </row>
    <row r="6986" spans="15:15" x14ac:dyDescent="0.25">
      <c r="O6986" s="20" t="str">
        <f>IF(N6986="","",COUNTIFS(RawData[[Date ]],N6986,RawData[Month List],$Q$6,RawData[Tour/Site],$Q$2,RawData[[Picker ID ]],$Q$3,RawData[Checker ID],$Q$4,RawData[[Error Type ]],$Q$5))</f>
        <v/>
      </c>
    </row>
    <row r="6987" spans="15:15" x14ac:dyDescent="0.25">
      <c r="O6987" s="20" t="str">
        <f>IF(N6987="","",COUNTIFS(RawData[[Date ]],N6987,RawData[Month List],$Q$6,RawData[Tour/Site],$Q$2,RawData[[Picker ID ]],$Q$3,RawData[Checker ID],$Q$4,RawData[[Error Type ]],$Q$5))</f>
        <v/>
      </c>
    </row>
    <row r="6988" spans="15:15" x14ac:dyDescent="0.25">
      <c r="O6988" s="20" t="str">
        <f>IF(N6988="","",COUNTIFS(RawData[[Date ]],N6988,RawData[Month List],$Q$6,RawData[Tour/Site],$Q$2,RawData[[Picker ID ]],$Q$3,RawData[Checker ID],$Q$4,RawData[[Error Type ]],$Q$5))</f>
        <v/>
      </c>
    </row>
    <row r="6989" spans="15:15" x14ac:dyDescent="0.25">
      <c r="O6989" s="20" t="str">
        <f>IF(N6989="","",COUNTIFS(RawData[[Date ]],N6989,RawData[Month List],$Q$6,RawData[Tour/Site],$Q$2,RawData[[Picker ID ]],$Q$3,RawData[Checker ID],$Q$4,RawData[[Error Type ]],$Q$5))</f>
        <v/>
      </c>
    </row>
    <row r="6990" spans="15:15" x14ac:dyDescent="0.25">
      <c r="O6990" s="20" t="str">
        <f>IF(N6990="","",COUNTIFS(RawData[[Date ]],N6990,RawData[Month List],$Q$6,RawData[Tour/Site],$Q$2,RawData[[Picker ID ]],$Q$3,RawData[Checker ID],$Q$4,RawData[[Error Type ]],$Q$5))</f>
        <v/>
      </c>
    </row>
    <row r="6991" spans="15:15" x14ac:dyDescent="0.25">
      <c r="O6991" s="20" t="str">
        <f>IF(N6991="","",COUNTIFS(RawData[[Date ]],N6991,RawData[Month List],$Q$6,RawData[Tour/Site],$Q$2,RawData[[Picker ID ]],$Q$3,RawData[Checker ID],$Q$4,RawData[[Error Type ]],$Q$5))</f>
        <v/>
      </c>
    </row>
    <row r="6992" spans="15:15" x14ac:dyDescent="0.25">
      <c r="O6992" s="20" t="str">
        <f>IF(N6992="","",COUNTIFS(RawData[[Date ]],N6992,RawData[Month List],$Q$6,RawData[Tour/Site],$Q$2,RawData[[Picker ID ]],$Q$3,RawData[Checker ID],$Q$4,RawData[[Error Type ]],$Q$5))</f>
        <v/>
      </c>
    </row>
    <row r="6993" spans="15:15" x14ac:dyDescent="0.25">
      <c r="O6993" s="20" t="str">
        <f>IF(N6993="","",COUNTIFS(RawData[[Date ]],N6993,RawData[Month List],$Q$6,RawData[Tour/Site],$Q$2,RawData[[Picker ID ]],$Q$3,RawData[Checker ID],$Q$4,RawData[[Error Type ]],$Q$5))</f>
        <v/>
      </c>
    </row>
    <row r="6994" spans="15:15" x14ac:dyDescent="0.25">
      <c r="O6994" s="20" t="str">
        <f>IF(N6994="","",COUNTIFS(RawData[[Date ]],N6994,RawData[Month List],$Q$6,RawData[Tour/Site],$Q$2,RawData[[Picker ID ]],$Q$3,RawData[Checker ID],$Q$4,RawData[[Error Type ]],$Q$5))</f>
        <v/>
      </c>
    </row>
    <row r="6995" spans="15:15" x14ac:dyDescent="0.25">
      <c r="O6995" s="20" t="str">
        <f>IF(N6995="","",COUNTIFS(RawData[[Date ]],N6995,RawData[Month List],$Q$6,RawData[Tour/Site],$Q$2,RawData[[Picker ID ]],$Q$3,RawData[Checker ID],$Q$4,RawData[[Error Type ]],$Q$5))</f>
        <v/>
      </c>
    </row>
    <row r="6996" spans="15:15" x14ac:dyDescent="0.25">
      <c r="O6996" s="20" t="str">
        <f>IF(N6996="","",COUNTIFS(RawData[[Date ]],N6996,RawData[Month List],$Q$6,RawData[Tour/Site],$Q$2,RawData[[Picker ID ]],$Q$3,RawData[Checker ID],$Q$4,RawData[[Error Type ]],$Q$5))</f>
        <v/>
      </c>
    </row>
    <row r="6997" spans="15:15" x14ac:dyDescent="0.25">
      <c r="O6997" s="20" t="str">
        <f>IF(N6997="","",COUNTIFS(RawData[[Date ]],N6997,RawData[Month List],$Q$6,RawData[Tour/Site],$Q$2,RawData[[Picker ID ]],$Q$3,RawData[Checker ID],$Q$4,RawData[[Error Type ]],$Q$5))</f>
        <v/>
      </c>
    </row>
    <row r="6998" spans="15:15" x14ac:dyDescent="0.25">
      <c r="O6998" s="20" t="str">
        <f>IF(N6998="","",COUNTIFS(RawData[[Date ]],N6998,RawData[Month List],$Q$6,RawData[Tour/Site],$Q$2,RawData[[Picker ID ]],$Q$3,RawData[Checker ID],$Q$4,RawData[[Error Type ]],$Q$5))</f>
        <v/>
      </c>
    </row>
    <row r="6999" spans="15:15" x14ac:dyDescent="0.25">
      <c r="O6999" s="20" t="str">
        <f>IF(N6999="","",COUNTIFS(RawData[[Date ]],N6999,RawData[Month List],$Q$6,RawData[Tour/Site],$Q$2,RawData[[Picker ID ]],$Q$3,RawData[Checker ID],$Q$4,RawData[[Error Type ]],$Q$5))</f>
        <v/>
      </c>
    </row>
    <row r="7000" spans="15:15" x14ac:dyDescent="0.25">
      <c r="O7000" s="20" t="str">
        <f>IF(N7000="","",COUNTIFS(RawData[[Date ]],N7000,RawData[Month List],$Q$6,RawData[Tour/Site],$Q$2,RawData[[Picker ID ]],$Q$3,RawData[Checker ID],$Q$4,RawData[[Error Type ]],$Q$5))</f>
        <v/>
      </c>
    </row>
    <row r="7001" spans="15:15" x14ac:dyDescent="0.25">
      <c r="O7001" s="20" t="str">
        <f>IF(N7001="","",COUNTIFS(RawData[[Date ]],N7001,RawData[Month List],$Q$6,RawData[Tour/Site],$Q$2,RawData[[Picker ID ]],$Q$3,RawData[Checker ID],$Q$4,RawData[[Error Type ]],$Q$5))</f>
        <v/>
      </c>
    </row>
    <row r="7002" spans="15:15" x14ac:dyDescent="0.25">
      <c r="O7002" s="20" t="str">
        <f>IF(N7002="","",COUNTIFS(RawData[[Date ]],N7002,RawData[Month List],$Q$6,RawData[Tour/Site],$Q$2,RawData[[Picker ID ]],$Q$3,RawData[Checker ID],$Q$4,RawData[[Error Type ]],$Q$5))</f>
        <v/>
      </c>
    </row>
    <row r="7003" spans="15:15" x14ac:dyDescent="0.25">
      <c r="O7003" s="20" t="str">
        <f>IF(N7003="","",COUNTIFS(RawData[[Date ]],N7003,RawData[Month List],$Q$6,RawData[Tour/Site],$Q$2,RawData[[Picker ID ]],$Q$3,RawData[Checker ID],$Q$4,RawData[[Error Type ]],$Q$5))</f>
        <v/>
      </c>
    </row>
    <row r="7004" spans="15:15" x14ac:dyDescent="0.25">
      <c r="O7004" s="20" t="str">
        <f>IF(N7004="","",COUNTIFS(RawData[[Date ]],N7004,RawData[Month List],$Q$6,RawData[Tour/Site],$Q$2,RawData[[Picker ID ]],$Q$3,RawData[Checker ID],$Q$4,RawData[[Error Type ]],$Q$5))</f>
        <v/>
      </c>
    </row>
    <row r="7005" spans="15:15" x14ac:dyDescent="0.25">
      <c r="O7005" s="20" t="str">
        <f>IF(N7005="","",COUNTIFS(RawData[[Date ]],N7005,RawData[Month List],$Q$6,RawData[Tour/Site],$Q$2,RawData[[Picker ID ]],$Q$3,RawData[Checker ID],$Q$4,RawData[[Error Type ]],$Q$5))</f>
        <v/>
      </c>
    </row>
    <row r="7006" spans="15:15" x14ac:dyDescent="0.25">
      <c r="O7006" s="20" t="str">
        <f>IF(N7006="","",COUNTIFS(RawData[[Date ]],N7006,RawData[Month List],$Q$6,RawData[Tour/Site],$Q$2,RawData[[Picker ID ]],$Q$3,RawData[Checker ID],$Q$4,RawData[[Error Type ]],$Q$5))</f>
        <v/>
      </c>
    </row>
    <row r="7007" spans="15:15" x14ac:dyDescent="0.25">
      <c r="O7007" s="20" t="str">
        <f>IF(N7007="","",COUNTIFS(RawData[[Date ]],N7007,RawData[Month List],$Q$6,RawData[Tour/Site],$Q$2,RawData[[Picker ID ]],$Q$3,RawData[Checker ID],$Q$4,RawData[[Error Type ]],$Q$5))</f>
        <v/>
      </c>
    </row>
    <row r="7008" spans="15:15" x14ac:dyDescent="0.25">
      <c r="O7008" s="20" t="str">
        <f>IF(N7008="","",COUNTIFS(RawData[[Date ]],N7008,RawData[Month List],$Q$6,RawData[Tour/Site],$Q$2,RawData[[Picker ID ]],$Q$3,RawData[Checker ID],$Q$4,RawData[[Error Type ]],$Q$5))</f>
        <v/>
      </c>
    </row>
    <row r="7009" spans="15:15" x14ac:dyDescent="0.25">
      <c r="O7009" s="20" t="str">
        <f>IF(N7009="","",COUNTIFS(RawData[[Date ]],N7009,RawData[Month List],$Q$6,RawData[Tour/Site],$Q$2,RawData[[Picker ID ]],$Q$3,RawData[Checker ID],$Q$4,RawData[[Error Type ]],$Q$5))</f>
        <v/>
      </c>
    </row>
    <row r="7010" spans="15:15" x14ac:dyDescent="0.25">
      <c r="O7010" s="20" t="str">
        <f>IF(N7010="","",COUNTIFS(RawData[[Date ]],N7010,RawData[Month List],$Q$6,RawData[Tour/Site],$Q$2,RawData[[Picker ID ]],$Q$3,RawData[Checker ID],$Q$4,RawData[[Error Type ]],$Q$5))</f>
        <v/>
      </c>
    </row>
    <row r="7011" spans="15:15" x14ac:dyDescent="0.25">
      <c r="O7011" s="20" t="str">
        <f>IF(N7011="","",COUNTIFS(RawData[[Date ]],N7011,RawData[Month List],$Q$6,RawData[Tour/Site],$Q$2,RawData[[Picker ID ]],$Q$3,RawData[Checker ID],$Q$4,RawData[[Error Type ]],$Q$5))</f>
        <v/>
      </c>
    </row>
    <row r="7012" spans="15:15" x14ac:dyDescent="0.25">
      <c r="O7012" s="20" t="str">
        <f>IF(N7012="","",COUNTIFS(RawData[[Date ]],N7012,RawData[Month List],$Q$6,RawData[Tour/Site],$Q$2,RawData[[Picker ID ]],$Q$3,RawData[Checker ID],$Q$4,RawData[[Error Type ]],$Q$5))</f>
        <v/>
      </c>
    </row>
    <row r="7013" spans="15:15" x14ac:dyDescent="0.25">
      <c r="O7013" s="20" t="str">
        <f>IF(N7013="","",COUNTIFS(RawData[[Date ]],N7013,RawData[Month List],$Q$6,RawData[Tour/Site],$Q$2,RawData[[Picker ID ]],$Q$3,RawData[Checker ID],$Q$4,RawData[[Error Type ]],$Q$5))</f>
        <v/>
      </c>
    </row>
    <row r="7014" spans="15:15" x14ac:dyDescent="0.25">
      <c r="O7014" s="20" t="str">
        <f>IF(N7014="","",COUNTIFS(RawData[[Date ]],N7014,RawData[Month List],$Q$6,RawData[Tour/Site],$Q$2,RawData[[Picker ID ]],$Q$3,RawData[Checker ID],$Q$4,RawData[[Error Type ]],$Q$5))</f>
        <v/>
      </c>
    </row>
    <row r="7015" spans="15:15" x14ac:dyDescent="0.25">
      <c r="O7015" s="20" t="str">
        <f>IF(N7015="","",COUNTIFS(RawData[[Date ]],N7015,RawData[Month List],$Q$6,RawData[Tour/Site],$Q$2,RawData[[Picker ID ]],$Q$3,RawData[Checker ID],$Q$4,RawData[[Error Type ]],$Q$5))</f>
        <v/>
      </c>
    </row>
    <row r="7016" spans="15:15" x14ac:dyDescent="0.25">
      <c r="O7016" s="20" t="str">
        <f>IF(N7016="","",COUNTIFS(RawData[[Date ]],N7016,RawData[Month List],$Q$6,RawData[Tour/Site],$Q$2,RawData[[Picker ID ]],$Q$3,RawData[Checker ID],$Q$4,RawData[[Error Type ]],$Q$5))</f>
        <v/>
      </c>
    </row>
    <row r="7017" spans="15:15" x14ac:dyDescent="0.25">
      <c r="O7017" s="20" t="str">
        <f>IF(N7017="","",COUNTIFS(RawData[[Date ]],N7017,RawData[Month List],$Q$6,RawData[Tour/Site],$Q$2,RawData[[Picker ID ]],$Q$3,RawData[Checker ID],$Q$4,RawData[[Error Type ]],$Q$5))</f>
        <v/>
      </c>
    </row>
    <row r="7018" spans="15:15" x14ac:dyDescent="0.25">
      <c r="O7018" s="20" t="str">
        <f>IF(N7018="","",COUNTIFS(RawData[[Date ]],N7018,RawData[Month List],$Q$6,RawData[Tour/Site],$Q$2,RawData[[Picker ID ]],$Q$3,RawData[Checker ID],$Q$4,RawData[[Error Type ]],$Q$5))</f>
        <v/>
      </c>
    </row>
    <row r="7019" spans="15:15" x14ac:dyDescent="0.25">
      <c r="O7019" s="20" t="str">
        <f>IF(N7019="","",COUNTIFS(RawData[[Date ]],N7019,RawData[Month List],$Q$6,RawData[Tour/Site],$Q$2,RawData[[Picker ID ]],$Q$3,RawData[Checker ID],$Q$4,RawData[[Error Type ]],$Q$5))</f>
        <v/>
      </c>
    </row>
    <row r="7020" spans="15:15" x14ac:dyDescent="0.25">
      <c r="O7020" s="20" t="str">
        <f>IF(N7020="","",COUNTIFS(RawData[[Date ]],N7020,RawData[Month List],$Q$6,RawData[Tour/Site],$Q$2,RawData[[Picker ID ]],$Q$3,RawData[Checker ID],$Q$4,RawData[[Error Type ]],$Q$5))</f>
        <v/>
      </c>
    </row>
    <row r="7021" spans="15:15" x14ac:dyDescent="0.25">
      <c r="O7021" s="20" t="str">
        <f>IF(N7021="","",COUNTIFS(RawData[[Date ]],N7021,RawData[Month List],$Q$6,RawData[Tour/Site],$Q$2,RawData[[Picker ID ]],$Q$3,RawData[Checker ID],$Q$4,RawData[[Error Type ]],$Q$5))</f>
        <v/>
      </c>
    </row>
    <row r="7022" spans="15:15" x14ac:dyDescent="0.25">
      <c r="O7022" s="20" t="str">
        <f>IF(N7022="","",COUNTIFS(RawData[[Date ]],N7022,RawData[Month List],$Q$6,RawData[Tour/Site],$Q$2,RawData[[Picker ID ]],$Q$3,RawData[Checker ID],$Q$4,RawData[[Error Type ]],$Q$5))</f>
        <v/>
      </c>
    </row>
    <row r="7023" spans="15:15" x14ac:dyDescent="0.25">
      <c r="O7023" s="20" t="str">
        <f>IF(N7023="","",COUNTIFS(RawData[[Date ]],N7023,RawData[Month List],$Q$6,RawData[Tour/Site],$Q$2,RawData[[Picker ID ]],$Q$3,RawData[Checker ID],$Q$4,RawData[[Error Type ]],$Q$5))</f>
        <v/>
      </c>
    </row>
    <row r="7024" spans="15:15" x14ac:dyDescent="0.25">
      <c r="O7024" s="20" t="str">
        <f>IF(N7024="","",COUNTIFS(RawData[[Date ]],N7024,RawData[Month List],$Q$6,RawData[Tour/Site],$Q$2,RawData[[Picker ID ]],$Q$3,RawData[Checker ID],$Q$4,RawData[[Error Type ]],$Q$5))</f>
        <v/>
      </c>
    </row>
    <row r="7025" spans="15:15" x14ac:dyDescent="0.25">
      <c r="O7025" s="20" t="str">
        <f>IF(N7025="","",COUNTIFS(RawData[[Date ]],N7025,RawData[Month List],$Q$6,RawData[Tour/Site],$Q$2,RawData[[Picker ID ]],$Q$3,RawData[Checker ID],$Q$4,RawData[[Error Type ]],$Q$5))</f>
        <v/>
      </c>
    </row>
    <row r="7026" spans="15:15" x14ac:dyDescent="0.25">
      <c r="O7026" s="20" t="str">
        <f>IF(N7026="","",COUNTIFS(RawData[[Date ]],N7026,RawData[Month List],$Q$6,RawData[Tour/Site],$Q$2,RawData[[Picker ID ]],$Q$3,RawData[Checker ID],$Q$4,RawData[[Error Type ]],$Q$5))</f>
        <v/>
      </c>
    </row>
    <row r="7027" spans="15:15" x14ac:dyDescent="0.25">
      <c r="O7027" s="20" t="str">
        <f>IF(N7027="","",COUNTIFS(RawData[[Date ]],N7027,RawData[Month List],$Q$6,RawData[Tour/Site],$Q$2,RawData[[Picker ID ]],$Q$3,RawData[Checker ID],$Q$4,RawData[[Error Type ]],$Q$5))</f>
        <v/>
      </c>
    </row>
    <row r="7028" spans="15:15" x14ac:dyDescent="0.25">
      <c r="O7028" s="20" t="str">
        <f>IF(N7028="","",COUNTIFS(RawData[[Date ]],N7028,RawData[Month List],$Q$6,RawData[Tour/Site],$Q$2,RawData[[Picker ID ]],$Q$3,RawData[Checker ID],$Q$4,RawData[[Error Type ]],$Q$5))</f>
        <v/>
      </c>
    </row>
    <row r="7029" spans="15:15" x14ac:dyDescent="0.25">
      <c r="O7029" s="20" t="str">
        <f>IF(N7029="","",COUNTIFS(RawData[[Date ]],N7029,RawData[Month List],$Q$6,RawData[Tour/Site],$Q$2,RawData[[Picker ID ]],$Q$3,RawData[Checker ID],$Q$4,RawData[[Error Type ]],$Q$5))</f>
        <v/>
      </c>
    </row>
    <row r="7030" spans="15:15" x14ac:dyDescent="0.25">
      <c r="O7030" s="20" t="str">
        <f>IF(N7030="","",COUNTIFS(RawData[[Date ]],N7030,RawData[Month List],$Q$6,RawData[Tour/Site],$Q$2,RawData[[Picker ID ]],$Q$3,RawData[Checker ID],$Q$4,RawData[[Error Type ]],$Q$5))</f>
        <v/>
      </c>
    </row>
    <row r="7031" spans="15:15" x14ac:dyDescent="0.25">
      <c r="O7031" s="20" t="str">
        <f>IF(N7031="","",COUNTIFS(RawData[[Date ]],N7031,RawData[Month List],$Q$6,RawData[Tour/Site],$Q$2,RawData[[Picker ID ]],$Q$3,RawData[Checker ID],$Q$4,RawData[[Error Type ]],$Q$5))</f>
        <v/>
      </c>
    </row>
    <row r="7032" spans="15:15" x14ac:dyDescent="0.25">
      <c r="O7032" s="20" t="str">
        <f>IF(N7032="","",COUNTIFS(RawData[[Date ]],N7032,RawData[Month List],$Q$6,RawData[Tour/Site],$Q$2,RawData[[Picker ID ]],$Q$3,RawData[Checker ID],$Q$4,RawData[[Error Type ]],$Q$5))</f>
        <v/>
      </c>
    </row>
    <row r="7033" spans="15:15" x14ac:dyDescent="0.25">
      <c r="O7033" s="20" t="str">
        <f>IF(N7033="","",COUNTIFS(RawData[[Date ]],N7033,RawData[Month List],$Q$6,RawData[Tour/Site],$Q$2,RawData[[Picker ID ]],$Q$3,RawData[Checker ID],$Q$4,RawData[[Error Type ]],$Q$5))</f>
        <v/>
      </c>
    </row>
    <row r="7034" spans="15:15" x14ac:dyDescent="0.25">
      <c r="O7034" s="20" t="str">
        <f>IF(N7034="","",COUNTIFS(RawData[[Date ]],N7034,RawData[Month List],$Q$6,RawData[Tour/Site],$Q$2,RawData[[Picker ID ]],$Q$3,RawData[Checker ID],$Q$4,RawData[[Error Type ]],$Q$5))</f>
        <v/>
      </c>
    </row>
    <row r="7035" spans="15:15" x14ac:dyDescent="0.25">
      <c r="O7035" s="20" t="str">
        <f>IF(N7035="","",COUNTIFS(RawData[[Date ]],N7035,RawData[Month List],$Q$6,RawData[Tour/Site],$Q$2,RawData[[Picker ID ]],$Q$3,RawData[Checker ID],$Q$4,RawData[[Error Type ]],$Q$5))</f>
        <v/>
      </c>
    </row>
    <row r="7036" spans="15:15" x14ac:dyDescent="0.25">
      <c r="O7036" s="20" t="str">
        <f>IF(N7036="","",COUNTIFS(RawData[[Date ]],N7036,RawData[Month List],$Q$6,RawData[Tour/Site],$Q$2,RawData[[Picker ID ]],$Q$3,RawData[Checker ID],$Q$4,RawData[[Error Type ]],$Q$5))</f>
        <v/>
      </c>
    </row>
    <row r="7037" spans="15:15" x14ac:dyDescent="0.25">
      <c r="O7037" s="20" t="str">
        <f>IF(N7037="","",COUNTIFS(RawData[[Date ]],N7037,RawData[Month List],$Q$6,RawData[Tour/Site],$Q$2,RawData[[Picker ID ]],$Q$3,RawData[Checker ID],$Q$4,RawData[[Error Type ]],$Q$5))</f>
        <v/>
      </c>
    </row>
    <row r="7038" spans="15:15" x14ac:dyDescent="0.25">
      <c r="O7038" s="20" t="str">
        <f>IF(N7038="","",COUNTIFS(RawData[[Date ]],N7038,RawData[Month List],$Q$6,RawData[Tour/Site],$Q$2,RawData[[Picker ID ]],$Q$3,RawData[Checker ID],$Q$4,RawData[[Error Type ]],$Q$5))</f>
        <v/>
      </c>
    </row>
    <row r="7039" spans="15:15" x14ac:dyDescent="0.25">
      <c r="O7039" s="20" t="str">
        <f>IF(N7039="","",COUNTIFS(RawData[[Date ]],N7039,RawData[Month List],$Q$6,RawData[Tour/Site],$Q$2,RawData[[Picker ID ]],$Q$3,RawData[Checker ID],$Q$4,RawData[[Error Type ]],$Q$5))</f>
        <v/>
      </c>
    </row>
    <row r="7040" spans="15:15" x14ac:dyDescent="0.25">
      <c r="O7040" s="20" t="str">
        <f>IF(N7040="","",COUNTIFS(RawData[[Date ]],N7040,RawData[Month List],$Q$6,RawData[Tour/Site],$Q$2,RawData[[Picker ID ]],$Q$3,RawData[Checker ID],$Q$4,RawData[[Error Type ]],$Q$5))</f>
        <v/>
      </c>
    </row>
    <row r="7041" spans="15:15" x14ac:dyDescent="0.25">
      <c r="O7041" s="20" t="str">
        <f>IF(N7041="","",COUNTIFS(RawData[[Date ]],N7041,RawData[Month List],$Q$6,RawData[Tour/Site],$Q$2,RawData[[Picker ID ]],$Q$3,RawData[Checker ID],$Q$4,RawData[[Error Type ]],$Q$5))</f>
        <v/>
      </c>
    </row>
    <row r="7042" spans="15:15" x14ac:dyDescent="0.25">
      <c r="O7042" s="20" t="str">
        <f>IF(N7042="","",COUNTIFS(RawData[[Date ]],N7042,RawData[Month List],$Q$6,RawData[Tour/Site],$Q$2,RawData[[Picker ID ]],$Q$3,RawData[Checker ID],$Q$4,RawData[[Error Type ]],$Q$5))</f>
        <v/>
      </c>
    </row>
    <row r="7043" spans="15:15" x14ac:dyDescent="0.25">
      <c r="O7043" s="20" t="str">
        <f>IF(N7043="","",COUNTIFS(RawData[[Date ]],N7043,RawData[Month List],$Q$6,RawData[Tour/Site],$Q$2,RawData[[Picker ID ]],$Q$3,RawData[Checker ID],$Q$4,RawData[[Error Type ]],$Q$5))</f>
        <v/>
      </c>
    </row>
    <row r="7044" spans="15:15" x14ac:dyDescent="0.25">
      <c r="O7044" s="20" t="str">
        <f>IF(N7044="","",COUNTIFS(RawData[[Date ]],N7044,RawData[Month List],$Q$6,RawData[Tour/Site],$Q$2,RawData[[Picker ID ]],$Q$3,RawData[Checker ID],$Q$4,RawData[[Error Type ]],$Q$5))</f>
        <v/>
      </c>
    </row>
    <row r="7045" spans="15:15" x14ac:dyDescent="0.25">
      <c r="O7045" s="20" t="str">
        <f>IF(N7045="","",COUNTIFS(RawData[[Date ]],N7045,RawData[Month List],$Q$6,RawData[Tour/Site],$Q$2,RawData[[Picker ID ]],$Q$3,RawData[Checker ID],$Q$4,RawData[[Error Type ]],$Q$5))</f>
        <v/>
      </c>
    </row>
    <row r="7046" spans="15:15" x14ac:dyDescent="0.25">
      <c r="O7046" s="20" t="str">
        <f>IF(N7046="","",COUNTIFS(RawData[[Date ]],N7046,RawData[Month List],$Q$6,RawData[Tour/Site],$Q$2,RawData[[Picker ID ]],$Q$3,RawData[Checker ID],$Q$4,RawData[[Error Type ]],$Q$5))</f>
        <v/>
      </c>
    </row>
    <row r="7047" spans="15:15" x14ac:dyDescent="0.25">
      <c r="O7047" s="20" t="str">
        <f>IF(N7047="","",COUNTIFS(RawData[[Date ]],N7047,RawData[Month List],$Q$6,RawData[Tour/Site],$Q$2,RawData[[Picker ID ]],$Q$3,RawData[Checker ID],$Q$4,RawData[[Error Type ]],$Q$5))</f>
        <v/>
      </c>
    </row>
    <row r="7048" spans="15:15" x14ac:dyDescent="0.25">
      <c r="O7048" s="20" t="str">
        <f>IF(N7048="","",COUNTIFS(RawData[[Date ]],N7048,RawData[Month List],$Q$6,RawData[Tour/Site],$Q$2,RawData[[Picker ID ]],$Q$3,RawData[Checker ID],$Q$4,RawData[[Error Type ]],$Q$5))</f>
        <v/>
      </c>
    </row>
    <row r="7049" spans="15:15" x14ac:dyDescent="0.25">
      <c r="O7049" s="20" t="str">
        <f>IF(N7049="","",COUNTIFS(RawData[[Date ]],N7049,RawData[Month List],$Q$6,RawData[Tour/Site],$Q$2,RawData[[Picker ID ]],$Q$3,RawData[Checker ID],$Q$4,RawData[[Error Type ]],$Q$5))</f>
        <v/>
      </c>
    </row>
    <row r="7050" spans="15:15" x14ac:dyDescent="0.25">
      <c r="O7050" s="20" t="str">
        <f>IF(N7050="","",COUNTIFS(RawData[[Date ]],N7050,RawData[Month List],$Q$6,RawData[Tour/Site],$Q$2,RawData[[Picker ID ]],$Q$3,RawData[Checker ID],$Q$4,RawData[[Error Type ]],$Q$5))</f>
        <v/>
      </c>
    </row>
    <row r="7051" spans="15:15" x14ac:dyDescent="0.25">
      <c r="O7051" s="20" t="str">
        <f>IF(N7051="","",COUNTIFS(RawData[[Date ]],N7051,RawData[Month List],$Q$6,RawData[Tour/Site],$Q$2,RawData[[Picker ID ]],$Q$3,RawData[Checker ID],$Q$4,RawData[[Error Type ]],$Q$5))</f>
        <v/>
      </c>
    </row>
    <row r="7052" spans="15:15" x14ac:dyDescent="0.25">
      <c r="O7052" s="20" t="str">
        <f>IF(N7052="","",COUNTIFS(RawData[[Date ]],N7052,RawData[Month List],$Q$6,RawData[Tour/Site],$Q$2,RawData[[Picker ID ]],$Q$3,RawData[Checker ID],$Q$4,RawData[[Error Type ]],$Q$5))</f>
        <v/>
      </c>
    </row>
    <row r="7053" spans="15:15" x14ac:dyDescent="0.25">
      <c r="O7053" s="20" t="str">
        <f>IF(N7053="","",COUNTIFS(RawData[[Date ]],N7053,RawData[Month List],$Q$6,RawData[Tour/Site],$Q$2,RawData[[Picker ID ]],$Q$3,RawData[Checker ID],$Q$4,RawData[[Error Type ]],$Q$5))</f>
        <v/>
      </c>
    </row>
    <row r="7054" spans="15:15" x14ac:dyDescent="0.25">
      <c r="O7054" s="20" t="str">
        <f>IF(N7054="","",COUNTIFS(RawData[[Date ]],N7054,RawData[Month List],$Q$6,RawData[Tour/Site],$Q$2,RawData[[Picker ID ]],$Q$3,RawData[Checker ID],$Q$4,RawData[[Error Type ]],$Q$5))</f>
        <v/>
      </c>
    </row>
    <row r="7055" spans="15:15" x14ac:dyDescent="0.25">
      <c r="O7055" s="20" t="str">
        <f>IF(N7055="","",COUNTIFS(RawData[[Date ]],N7055,RawData[Month List],$Q$6,RawData[Tour/Site],$Q$2,RawData[[Picker ID ]],$Q$3,RawData[Checker ID],$Q$4,RawData[[Error Type ]],$Q$5))</f>
        <v/>
      </c>
    </row>
    <row r="7056" spans="15:15" x14ac:dyDescent="0.25">
      <c r="O7056" s="20" t="str">
        <f>IF(N7056="","",COUNTIFS(RawData[[Date ]],N7056,RawData[Month List],$Q$6,RawData[Tour/Site],$Q$2,RawData[[Picker ID ]],$Q$3,RawData[Checker ID],$Q$4,RawData[[Error Type ]],$Q$5))</f>
        <v/>
      </c>
    </row>
    <row r="7057" spans="15:15" x14ac:dyDescent="0.25">
      <c r="O7057" s="20" t="str">
        <f>IF(N7057="","",COUNTIFS(RawData[[Date ]],N7057,RawData[Month List],$Q$6,RawData[Tour/Site],$Q$2,RawData[[Picker ID ]],$Q$3,RawData[Checker ID],$Q$4,RawData[[Error Type ]],$Q$5))</f>
        <v/>
      </c>
    </row>
    <row r="7058" spans="15:15" x14ac:dyDescent="0.25">
      <c r="O7058" s="20" t="str">
        <f>IF(N7058="","",COUNTIFS(RawData[[Date ]],N7058,RawData[Month List],$Q$6,RawData[Tour/Site],$Q$2,RawData[[Picker ID ]],$Q$3,RawData[Checker ID],$Q$4,RawData[[Error Type ]],$Q$5))</f>
        <v/>
      </c>
    </row>
    <row r="7059" spans="15:15" x14ac:dyDescent="0.25">
      <c r="O7059" s="20" t="str">
        <f>IF(N7059="","",COUNTIFS(RawData[[Date ]],N7059,RawData[Month List],$Q$6,RawData[Tour/Site],$Q$2,RawData[[Picker ID ]],$Q$3,RawData[Checker ID],$Q$4,RawData[[Error Type ]],$Q$5))</f>
        <v/>
      </c>
    </row>
    <row r="7060" spans="15:15" x14ac:dyDescent="0.25">
      <c r="O7060" s="20" t="str">
        <f>IF(N7060="","",COUNTIFS(RawData[[Date ]],N7060,RawData[Month List],$Q$6,RawData[Tour/Site],$Q$2,RawData[[Picker ID ]],$Q$3,RawData[Checker ID],$Q$4,RawData[[Error Type ]],$Q$5))</f>
        <v/>
      </c>
    </row>
    <row r="7061" spans="15:15" x14ac:dyDescent="0.25">
      <c r="O7061" s="20" t="str">
        <f>IF(N7061="","",COUNTIFS(RawData[[Date ]],N7061,RawData[Month List],$Q$6,RawData[Tour/Site],$Q$2,RawData[[Picker ID ]],$Q$3,RawData[Checker ID],$Q$4,RawData[[Error Type ]],$Q$5))</f>
        <v/>
      </c>
    </row>
    <row r="7062" spans="15:15" x14ac:dyDescent="0.25">
      <c r="O7062" s="20" t="str">
        <f>IF(N7062="","",COUNTIFS(RawData[[Date ]],N7062,RawData[Month List],$Q$6,RawData[Tour/Site],$Q$2,RawData[[Picker ID ]],$Q$3,RawData[Checker ID],$Q$4,RawData[[Error Type ]],$Q$5))</f>
        <v/>
      </c>
    </row>
    <row r="7063" spans="15:15" x14ac:dyDescent="0.25">
      <c r="O7063" s="20" t="str">
        <f>IF(N7063="","",COUNTIFS(RawData[[Date ]],N7063,RawData[Month List],$Q$6,RawData[Tour/Site],$Q$2,RawData[[Picker ID ]],$Q$3,RawData[Checker ID],$Q$4,RawData[[Error Type ]],$Q$5))</f>
        <v/>
      </c>
    </row>
    <row r="7064" spans="15:15" x14ac:dyDescent="0.25">
      <c r="O7064" s="20" t="str">
        <f>IF(N7064="","",COUNTIFS(RawData[[Date ]],N7064,RawData[Month List],$Q$6,RawData[Tour/Site],$Q$2,RawData[[Picker ID ]],$Q$3,RawData[Checker ID],$Q$4,RawData[[Error Type ]],$Q$5))</f>
        <v/>
      </c>
    </row>
    <row r="7065" spans="15:15" x14ac:dyDescent="0.25">
      <c r="O7065" s="20" t="str">
        <f>IF(N7065="","",COUNTIFS(RawData[[Date ]],N7065,RawData[Month List],$Q$6,RawData[Tour/Site],$Q$2,RawData[[Picker ID ]],$Q$3,RawData[Checker ID],$Q$4,RawData[[Error Type ]],$Q$5))</f>
        <v/>
      </c>
    </row>
    <row r="7066" spans="15:15" x14ac:dyDescent="0.25">
      <c r="O7066" s="20" t="str">
        <f>IF(N7066="","",COUNTIFS(RawData[[Date ]],N7066,RawData[Month List],$Q$6,RawData[Tour/Site],$Q$2,RawData[[Picker ID ]],$Q$3,RawData[Checker ID],$Q$4,RawData[[Error Type ]],$Q$5))</f>
        <v/>
      </c>
    </row>
    <row r="7067" spans="15:15" x14ac:dyDescent="0.25">
      <c r="O7067" s="20" t="str">
        <f>IF(N7067="","",COUNTIFS(RawData[[Date ]],N7067,RawData[Month List],$Q$6,RawData[Tour/Site],$Q$2,RawData[[Picker ID ]],$Q$3,RawData[Checker ID],$Q$4,RawData[[Error Type ]],$Q$5))</f>
        <v/>
      </c>
    </row>
    <row r="7068" spans="15:15" x14ac:dyDescent="0.25">
      <c r="O7068" s="20" t="str">
        <f>IF(N7068="","",COUNTIFS(RawData[[Date ]],N7068,RawData[Month List],$Q$6,RawData[Tour/Site],$Q$2,RawData[[Picker ID ]],$Q$3,RawData[Checker ID],$Q$4,RawData[[Error Type ]],$Q$5))</f>
        <v/>
      </c>
    </row>
    <row r="7069" spans="15:15" x14ac:dyDescent="0.25">
      <c r="O7069" s="20" t="str">
        <f>IF(N7069="","",COUNTIFS(RawData[[Date ]],N7069,RawData[Month List],$Q$6,RawData[Tour/Site],$Q$2,RawData[[Picker ID ]],$Q$3,RawData[Checker ID],$Q$4,RawData[[Error Type ]],$Q$5))</f>
        <v/>
      </c>
    </row>
    <row r="7070" spans="15:15" x14ac:dyDescent="0.25">
      <c r="O7070" s="20" t="str">
        <f>IF(N7070="","",COUNTIFS(RawData[[Date ]],N7070,RawData[Month List],$Q$6,RawData[Tour/Site],$Q$2,RawData[[Picker ID ]],$Q$3,RawData[Checker ID],$Q$4,RawData[[Error Type ]],$Q$5))</f>
        <v/>
      </c>
    </row>
    <row r="7071" spans="15:15" x14ac:dyDescent="0.25">
      <c r="O7071" s="20" t="str">
        <f>IF(N7071="","",COUNTIFS(RawData[[Date ]],N7071,RawData[Month List],$Q$6,RawData[Tour/Site],$Q$2,RawData[[Picker ID ]],$Q$3,RawData[Checker ID],$Q$4,RawData[[Error Type ]],$Q$5))</f>
        <v/>
      </c>
    </row>
    <row r="7072" spans="15:15" x14ac:dyDescent="0.25">
      <c r="O7072" s="20" t="str">
        <f>IF(N7072="","",COUNTIFS(RawData[[Date ]],N7072,RawData[Month List],$Q$6,RawData[Tour/Site],$Q$2,RawData[[Picker ID ]],$Q$3,RawData[Checker ID],$Q$4,RawData[[Error Type ]],$Q$5))</f>
        <v/>
      </c>
    </row>
    <row r="7073" spans="15:15" x14ac:dyDescent="0.25">
      <c r="O7073" s="20" t="str">
        <f>IF(N7073="","",COUNTIFS(RawData[[Date ]],N7073,RawData[Month List],$Q$6,RawData[Tour/Site],$Q$2,RawData[[Picker ID ]],$Q$3,RawData[Checker ID],$Q$4,RawData[[Error Type ]],$Q$5))</f>
        <v/>
      </c>
    </row>
    <row r="7074" spans="15:15" x14ac:dyDescent="0.25">
      <c r="O7074" s="20" t="str">
        <f>IF(N7074="","",COUNTIFS(RawData[[Date ]],N7074,RawData[Month List],$Q$6,RawData[Tour/Site],$Q$2,RawData[[Picker ID ]],$Q$3,RawData[Checker ID],$Q$4,RawData[[Error Type ]],$Q$5))</f>
        <v/>
      </c>
    </row>
    <row r="7075" spans="15:15" x14ac:dyDescent="0.25">
      <c r="O7075" s="20" t="str">
        <f>IF(N7075="","",COUNTIFS(RawData[[Date ]],N7075,RawData[Month List],$Q$6,RawData[Tour/Site],$Q$2,RawData[[Picker ID ]],$Q$3,RawData[Checker ID],$Q$4,RawData[[Error Type ]],$Q$5))</f>
        <v/>
      </c>
    </row>
    <row r="7076" spans="15:15" x14ac:dyDescent="0.25">
      <c r="O7076" s="20" t="str">
        <f>IF(N7076="","",COUNTIFS(RawData[[Date ]],N7076,RawData[Month List],$Q$6,RawData[Tour/Site],$Q$2,RawData[[Picker ID ]],$Q$3,RawData[Checker ID],$Q$4,RawData[[Error Type ]],$Q$5))</f>
        <v/>
      </c>
    </row>
    <row r="7077" spans="15:15" x14ac:dyDescent="0.25">
      <c r="O7077" s="20" t="str">
        <f>IF(N7077="","",COUNTIFS(RawData[[Date ]],N7077,RawData[Month List],$Q$6,RawData[Tour/Site],$Q$2,RawData[[Picker ID ]],$Q$3,RawData[Checker ID],$Q$4,RawData[[Error Type ]],$Q$5))</f>
        <v/>
      </c>
    </row>
    <row r="7078" spans="15:15" x14ac:dyDescent="0.25">
      <c r="O7078" s="20" t="str">
        <f>IF(N7078="","",COUNTIFS(RawData[[Date ]],N7078,RawData[Month List],$Q$6,RawData[Tour/Site],$Q$2,RawData[[Picker ID ]],$Q$3,RawData[Checker ID],$Q$4,RawData[[Error Type ]],$Q$5))</f>
        <v/>
      </c>
    </row>
    <row r="7079" spans="15:15" x14ac:dyDescent="0.25">
      <c r="O7079" s="20" t="str">
        <f>IF(N7079="","",COUNTIFS(RawData[[Date ]],N7079,RawData[Month List],$Q$6,RawData[Tour/Site],$Q$2,RawData[[Picker ID ]],$Q$3,RawData[Checker ID],$Q$4,RawData[[Error Type ]],$Q$5))</f>
        <v/>
      </c>
    </row>
    <row r="7080" spans="15:15" x14ac:dyDescent="0.25">
      <c r="O7080" s="20" t="str">
        <f>IF(N7080="","",COUNTIFS(RawData[[Date ]],N7080,RawData[Month List],$Q$6,RawData[Tour/Site],$Q$2,RawData[[Picker ID ]],$Q$3,RawData[Checker ID],$Q$4,RawData[[Error Type ]],$Q$5))</f>
        <v/>
      </c>
    </row>
    <row r="7081" spans="15:15" x14ac:dyDescent="0.25">
      <c r="O7081" s="20" t="str">
        <f>IF(N7081="","",COUNTIFS(RawData[[Date ]],N7081,RawData[Month List],$Q$6,RawData[Tour/Site],$Q$2,RawData[[Picker ID ]],$Q$3,RawData[Checker ID],$Q$4,RawData[[Error Type ]],$Q$5))</f>
        <v/>
      </c>
    </row>
    <row r="7082" spans="15:15" x14ac:dyDescent="0.25">
      <c r="O7082" s="20" t="str">
        <f>IF(N7082="","",COUNTIFS(RawData[[Date ]],N7082,RawData[Month List],$Q$6,RawData[Tour/Site],$Q$2,RawData[[Picker ID ]],$Q$3,RawData[Checker ID],$Q$4,RawData[[Error Type ]],$Q$5))</f>
        <v/>
      </c>
    </row>
    <row r="7083" spans="15:15" x14ac:dyDescent="0.25">
      <c r="O7083" s="20" t="str">
        <f>IF(N7083="","",COUNTIFS(RawData[[Date ]],N7083,RawData[Month List],$Q$6,RawData[Tour/Site],$Q$2,RawData[[Picker ID ]],$Q$3,RawData[Checker ID],$Q$4,RawData[[Error Type ]],$Q$5))</f>
        <v/>
      </c>
    </row>
    <row r="7084" spans="15:15" x14ac:dyDescent="0.25">
      <c r="O7084" s="20" t="str">
        <f>IF(N7084="","",COUNTIFS(RawData[[Date ]],N7084,RawData[Month List],$Q$6,RawData[Tour/Site],$Q$2,RawData[[Picker ID ]],$Q$3,RawData[Checker ID],$Q$4,RawData[[Error Type ]],$Q$5))</f>
        <v/>
      </c>
    </row>
    <row r="7085" spans="15:15" x14ac:dyDescent="0.25">
      <c r="O7085" s="20" t="str">
        <f>IF(N7085="","",COUNTIFS(RawData[[Date ]],N7085,RawData[Month List],$Q$6,RawData[Tour/Site],$Q$2,RawData[[Picker ID ]],$Q$3,RawData[Checker ID],$Q$4,RawData[[Error Type ]],$Q$5))</f>
        <v/>
      </c>
    </row>
    <row r="7086" spans="15:15" x14ac:dyDescent="0.25">
      <c r="O7086" s="20" t="str">
        <f>IF(N7086="","",COUNTIFS(RawData[[Date ]],N7086,RawData[Month List],$Q$6,RawData[Tour/Site],$Q$2,RawData[[Picker ID ]],$Q$3,RawData[Checker ID],$Q$4,RawData[[Error Type ]],$Q$5))</f>
        <v/>
      </c>
    </row>
    <row r="7087" spans="15:15" x14ac:dyDescent="0.25">
      <c r="O7087" s="20" t="str">
        <f>IF(N7087="","",COUNTIFS(RawData[[Date ]],N7087,RawData[Month List],$Q$6,RawData[Tour/Site],$Q$2,RawData[[Picker ID ]],$Q$3,RawData[Checker ID],$Q$4,RawData[[Error Type ]],$Q$5))</f>
        <v/>
      </c>
    </row>
    <row r="7088" spans="15:15" x14ac:dyDescent="0.25">
      <c r="O7088" s="20" t="str">
        <f>IF(N7088="","",COUNTIFS(RawData[[Date ]],N7088,RawData[Month List],$Q$6,RawData[Tour/Site],$Q$2,RawData[[Picker ID ]],$Q$3,RawData[Checker ID],$Q$4,RawData[[Error Type ]],$Q$5))</f>
        <v/>
      </c>
    </row>
    <row r="7089" spans="15:15" x14ac:dyDescent="0.25">
      <c r="O7089" s="20" t="str">
        <f>IF(N7089="","",COUNTIFS(RawData[[Date ]],N7089,RawData[Month List],$Q$6,RawData[Tour/Site],$Q$2,RawData[[Picker ID ]],$Q$3,RawData[Checker ID],$Q$4,RawData[[Error Type ]],$Q$5))</f>
        <v/>
      </c>
    </row>
    <row r="7090" spans="15:15" x14ac:dyDescent="0.25">
      <c r="O7090" s="20" t="str">
        <f>IF(N7090="","",COUNTIFS(RawData[[Date ]],N7090,RawData[Month List],$Q$6,RawData[Tour/Site],$Q$2,RawData[[Picker ID ]],$Q$3,RawData[Checker ID],$Q$4,RawData[[Error Type ]],$Q$5))</f>
        <v/>
      </c>
    </row>
    <row r="7091" spans="15:15" x14ac:dyDescent="0.25">
      <c r="O7091" s="20" t="str">
        <f>IF(N7091="","",COUNTIFS(RawData[[Date ]],N7091,RawData[Month List],$Q$6,RawData[Tour/Site],$Q$2,RawData[[Picker ID ]],$Q$3,RawData[Checker ID],$Q$4,RawData[[Error Type ]],$Q$5))</f>
        <v/>
      </c>
    </row>
    <row r="7092" spans="15:15" x14ac:dyDescent="0.25">
      <c r="O7092" s="20" t="str">
        <f>IF(N7092="","",COUNTIFS(RawData[[Date ]],N7092,RawData[Month List],$Q$6,RawData[Tour/Site],$Q$2,RawData[[Picker ID ]],$Q$3,RawData[Checker ID],$Q$4,RawData[[Error Type ]],$Q$5))</f>
        <v/>
      </c>
    </row>
    <row r="7093" spans="15:15" x14ac:dyDescent="0.25">
      <c r="O7093" s="20" t="str">
        <f>IF(N7093="","",COUNTIFS(RawData[[Date ]],N7093,RawData[Month List],$Q$6,RawData[Tour/Site],$Q$2,RawData[[Picker ID ]],$Q$3,RawData[Checker ID],$Q$4,RawData[[Error Type ]],$Q$5))</f>
        <v/>
      </c>
    </row>
    <row r="7094" spans="15:15" x14ac:dyDescent="0.25">
      <c r="O7094" s="20" t="str">
        <f>IF(N7094="","",COUNTIFS(RawData[[Date ]],N7094,RawData[Month List],$Q$6,RawData[Tour/Site],$Q$2,RawData[[Picker ID ]],$Q$3,RawData[Checker ID],$Q$4,RawData[[Error Type ]],$Q$5))</f>
        <v/>
      </c>
    </row>
    <row r="7095" spans="15:15" x14ac:dyDescent="0.25">
      <c r="O7095" s="20" t="str">
        <f>IF(N7095="","",COUNTIFS(RawData[[Date ]],N7095,RawData[Month List],$Q$6,RawData[Tour/Site],$Q$2,RawData[[Picker ID ]],$Q$3,RawData[Checker ID],$Q$4,RawData[[Error Type ]],$Q$5))</f>
        <v/>
      </c>
    </row>
    <row r="7096" spans="15:15" x14ac:dyDescent="0.25">
      <c r="O7096" s="20" t="str">
        <f>IF(N7096="","",COUNTIFS(RawData[[Date ]],N7096,RawData[Month List],$Q$6,RawData[Tour/Site],$Q$2,RawData[[Picker ID ]],$Q$3,RawData[Checker ID],$Q$4,RawData[[Error Type ]],$Q$5))</f>
        <v/>
      </c>
    </row>
    <row r="7097" spans="15:15" x14ac:dyDescent="0.25">
      <c r="O7097" s="20" t="str">
        <f>IF(N7097="","",COUNTIFS(RawData[[Date ]],N7097,RawData[Month List],$Q$6,RawData[Tour/Site],$Q$2,RawData[[Picker ID ]],$Q$3,RawData[Checker ID],$Q$4,RawData[[Error Type ]],$Q$5))</f>
        <v/>
      </c>
    </row>
    <row r="7098" spans="15:15" x14ac:dyDescent="0.25">
      <c r="O7098" s="20" t="str">
        <f>IF(N7098="","",COUNTIFS(RawData[[Date ]],N7098,RawData[Month List],$Q$6,RawData[Tour/Site],$Q$2,RawData[[Picker ID ]],$Q$3,RawData[Checker ID],$Q$4,RawData[[Error Type ]],$Q$5))</f>
        <v/>
      </c>
    </row>
    <row r="7099" spans="15:15" x14ac:dyDescent="0.25">
      <c r="O7099" s="20" t="str">
        <f>IF(N7099="","",COUNTIFS(RawData[[Date ]],N7099,RawData[Month List],$Q$6,RawData[Tour/Site],$Q$2,RawData[[Picker ID ]],$Q$3,RawData[Checker ID],$Q$4,RawData[[Error Type ]],$Q$5))</f>
        <v/>
      </c>
    </row>
    <row r="7100" spans="15:15" x14ac:dyDescent="0.25">
      <c r="O7100" s="20" t="str">
        <f>IF(N7100="","",COUNTIFS(RawData[[Date ]],N7100,RawData[Month List],$Q$6,RawData[Tour/Site],$Q$2,RawData[[Picker ID ]],$Q$3,RawData[Checker ID],$Q$4,RawData[[Error Type ]],$Q$5))</f>
        <v/>
      </c>
    </row>
    <row r="7101" spans="15:15" x14ac:dyDescent="0.25">
      <c r="O7101" s="20" t="str">
        <f>IF(N7101="","",COUNTIFS(RawData[[Date ]],N7101,RawData[Month List],$Q$6,RawData[Tour/Site],$Q$2,RawData[[Picker ID ]],$Q$3,RawData[Checker ID],$Q$4,RawData[[Error Type ]],$Q$5))</f>
        <v/>
      </c>
    </row>
    <row r="7102" spans="15:15" x14ac:dyDescent="0.25">
      <c r="O7102" s="20" t="str">
        <f>IF(N7102="","",COUNTIFS(RawData[[Date ]],N7102,RawData[Month List],$Q$6,RawData[Tour/Site],$Q$2,RawData[[Picker ID ]],$Q$3,RawData[Checker ID],$Q$4,RawData[[Error Type ]],$Q$5))</f>
        <v/>
      </c>
    </row>
    <row r="7103" spans="15:15" x14ac:dyDescent="0.25">
      <c r="O7103" s="20" t="str">
        <f>IF(N7103="","",COUNTIFS(RawData[[Date ]],N7103,RawData[Month List],$Q$6,RawData[Tour/Site],$Q$2,RawData[[Picker ID ]],$Q$3,RawData[Checker ID],$Q$4,RawData[[Error Type ]],$Q$5))</f>
        <v/>
      </c>
    </row>
    <row r="7104" spans="15:15" x14ac:dyDescent="0.25">
      <c r="O7104" s="20" t="str">
        <f>IF(N7104="","",COUNTIFS(RawData[[Date ]],N7104,RawData[Month List],$Q$6,RawData[Tour/Site],$Q$2,RawData[[Picker ID ]],$Q$3,RawData[Checker ID],$Q$4,RawData[[Error Type ]],$Q$5))</f>
        <v/>
      </c>
    </row>
    <row r="7105" spans="15:15" x14ac:dyDescent="0.25">
      <c r="O7105" s="20" t="str">
        <f>IF(N7105="","",COUNTIFS(RawData[[Date ]],N7105,RawData[Month List],$Q$6,RawData[Tour/Site],$Q$2,RawData[[Picker ID ]],$Q$3,RawData[Checker ID],$Q$4,RawData[[Error Type ]],$Q$5))</f>
        <v/>
      </c>
    </row>
    <row r="7106" spans="15:15" x14ac:dyDescent="0.25">
      <c r="O7106" s="20" t="str">
        <f>IF(N7106="","",COUNTIFS(RawData[[Date ]],N7106,RawData[Month List],$Q$6,RawData[Tour/Site],$Q$2,RawData[[Picker ID ]],$Q$3,RawData[Checker ID],$Q$4,RawData[[Error Type ]],$Q$5))</f>
        <v/>
      </c>
    </row>
    <row r="7107" spans="15:15" x14ac:dyDescent="0.25">
      <c r="O7107" s="20" t="str">
        <f>IF(N7107="","",COUNTIFS(RawData[[Date ]],N7107,RawData[Month List],$Q$6,RawData[Tour/Site],$Q$2,RawData[[Picker ID ]],$Q$3,RawData[Checker ID],$Q$4,RawData[[Error Type ]],$Q$5))</f>
        <v/>
      </c>
    </row>
    <row r="7108" spans="15:15" x14ac:dyDescent="0.25">
      <c r="O7108" s="20" t="str">
        <f>IF(N7108="","",COUNTIFS(RawData[[Date ]],N7108,RawData[Month List],$Q$6,RawData[Tour/Site],$Q$2,RawData[[Picker ID ]],$Q$3,RawData[Checker ID],$Q$4,RawData[[Error Type ]],$Q$5))</f>
        <v/>
      </c>
    </row>
    <row r="7109" spans="15:15" x14ac:dyDescent="0.25">
      <c r="O7109" s="20" t="str">
        <f>IF(N7109="","",COUNTIFS(RawData[[Date ]],N7109,RawData[Month List],$Q$6,RawData[Tour/Site],$Q$2,RawData[[Picker ID ]],$Q$3,RawData[Checker ID],$Q$4,RawData[[Error Type ]],$Q$5))</f>
        <v/>
      </c>
    </row>
    <row r="7110" spans="15:15" x14ac:dyDescent="0.25">
      <c r="O7110" s="20" t="str">
        <f>IF(N7110="","",COUNTIFS(RawData[[Date ]],N7110,RawData[Month List],$Q$6,RawData[Tour/Site],$Q$2,RawData[[Picker ID ]],$Q$3,RawData[Checker ID],$Q$4,RawData[[Error Type ]],$Q$5))</f>
        <v/>
      </c>
    </row>
    <row r="7111" spans="15:15" x14ac:dyDescent="0.25">
      <c r="O7111" s="20" t="str">
        <f>IF(N7111="","",COUNTIFS(RawData[[Date ]],N7111,RawData[Month List],$Q$6,RawData[Tour/Site],$Q$2,RawData[[Picker ID ]],$Q$3,RawData[Checker ID],$Q$4,RawData[[Error Type ]],$Q$5))</f>
        <v/>
      </c>
    </row>
    <row r="7112" spans="15:15" x14ac:dyDescent="0.25">
      <c r="O7112" s="20" t="str">
        <f>IF(N7112="","",COUNTIFS(RawData[[Date ]],N7112,RawData[Month List],$Q$6,RawData[Tour/Site],$Q$2,RawData[[Picker ID ]],$Q$3,RawData[Checker ID],$Q$4,RawData[[Error Type ]],$Q$5))</f>
        <v/>
      </c>
    </row>
    <row r="7113" spans="15:15" x14ac:dyDescent="0.25">
      <c r="O7113" s="20" t="str">
        <f>IF(N7113="","",COUNTIFS(RawData[[Date ]],N7113,RawData[Month List],$Q$6,RawData[Tour/Site],$Q$2,RawData[[Picker ID ]],$Q$3,RawData[Checker ID],$Q$4,RawData[[Error Type ]],$Q$5))</f>
        <v/>
      </c>
    </row>
    <row r="7114" spans="15:15" x14ac:dyDescent="0.25">
      <c r="O7114" s="20" t="str">
        <f>IF(N7114="","",COUNTIFS(RawData[[Date ]],N7114,RawData[Month List],$Q$6,RawData[Tour/Site],$Q$2,RawData[[Picker ID ]],$Q$3,RawData[Checker ID],$Q$4,RawData[[Error Type ]],$Q$5))</f>
        <v/>
      </c>
    </row>
    <row r="7115" spans="15:15" x14ac:dyDescent="0.25">
      <c r="O7115" s="20" t="str">
        <f>IF(N7115="","",COUNTIFS(RawData[[Date ]],N7115,RawData[Month List],$Q$6,RawData[Tour/Site],$Q$2,RawData[[Picker ID ]],$Q$3,RawData[Checker ID],$Q$4,RawData[[Error Type ]],$Q$5))</f>
        <v/>
      </c>
    </row>
    <row r="7116" spans="15:15" x14ac:dyDescent="0.25">
      <c r="O7116" s="20" t="str">
        <f>IF(N7116="","",COUNTIFS(RawData[[Date ]],N7116,RawData[Month List],$Q$6,RawData[Tour/Site],$Q$2,RawData[[Picker ID ]],$Q$3,RawData[Checker ID],$Q$4,RawData[[Error Type ]],$Q$5))</f>
        <v/>
      </c>
    </row>
    <row r="7117" spans="15:15" x14ac:dyDescent="0.25">
      <c r="O7117" s="20" t="str">
        <f>IF(N7117="","",COUNTIFS(RawData[[Date ]],N7117,RawData[Month List],$Q$6,RawData[Tour/Site],$Q$2,RawData[[Picker ID ]],$Q$3,RawData[Checker ID],$Q$4,RawData[[Error Type ]],$Q$5))</f>
        <v/>
      </c>
    </row>
    <row r="7118" spans="15:15" x14ac:dyDescent="0.25">
      <c r="O7118" s="20" t="str">
        <f>IF(N7118="","",COUNTIFS(RawData[[Date ]],N7118,RawData[Month List],$Q$6,RawData[Tour/Site],$Q$2,RawData[[Picker ID ]],$Q$3,RawData[Checker ID],$Q$4,RawData[[Error Type ]],$Q$5))</f>
        <v/>
      </c>
    </row>
    <row r="7119" spans="15:15" x14ac:dyDescent="0.25">
      <c r="O7119" s="20" t="str">
        <f>IF(N7119="","",COUNTIFS(RawData[[Date ]],N7119,RawData[Month List],$Q$6,RawData[Tour/Site],$Q$2,RawData[[Picker ID ]],$Q$3,RawData[Checker ID],$Q$4,RawData[[Error Type ]],$Q$5))</f>
        <v/>
      </c>
    </row>
    <row r="7120" spans="15:15" x14ac:dyDescent="0.25">
      <c r="O7120" s="20" t="str">
        <f>IF(N7120="","",COUNTIFS(RawData[[Date ]],N7120,RawData[Month List],$Q$6,RawData[Tour/Site],$Q$2,RawData[[Picker ID ]],$Q$3,RawData[Checker ID],$Q$4,RawData[[Error Type ]],$Q$5))</f>
        <v/>
      </c>
    </row>
    <row r="7121" spans="15:15" x14ac:dyDescent="0.25">
      <c r="O7121" s="20" t="str">
        <f>IF(N7121="","",COUNTIFS(RawData[[Date ]],N7121,RawData[Month List],$Q$6,RawData[Tour/Site],$Q$2,RawData[[Picker ID ]],$Q$3,RawData[Checker ID],$Q$4,RawData[[Error Type ]],$Q$5))</f>
        <v/>
      </c>
    </row>
    <row r="7122" spans="15:15" x14ac:dyDescent="0.25">
      <c r="O7122" s="20" t="str">
        <f>IF(N7122="","",COUNTIFS(RawData[[Date ]],N7122,RawData[Month List],$Q$6,RawData[Tour/Site],$Q$2,RawData[[Picker ID ]],$Q$3,RawData[Checker ID],$Q$4,RawData[[Error Type ]],$Q$5))</f>
        <v/>
      </c>
    </row>
    <row r="7123" spans="15:15" x14ac:dyDescent="0.25">
      <c r="O7123" s="20" t="str">
        <f>IF(N7123="","",COUNTIFS(RawData[[Date ]],N7123,RawData[Month List],$Q$6,RawData[Tour/Site],$Q$2,RawData[[Picker ID ]],$Q$3,RawData[Checker ID],$Q$4,RawData[[Error Type ]],$Q$5))</f>
        <v/>
      </c>
    </row>
    <row r="7124" spans="15:15" x14ac:dyDescent="0.25">
      <c r="O7124" s="20" t="str">
        <f>IF(N7124="","",COUNTIFS(RawData[[Date ]],N7124,RawData[Month List],$Q$6,RawData[Tour/Site],$Q$2,RawData[[Picker ID ]],$Q$3,RawData[Checker ID],$Q$4,RawData[[Error Type ]],$Q$5))</f>
        <v/>
      </c>
    </row>
    <row r="7125" spans="15:15" x14ac:dyDescent="0.25">
      <c r="O7125" s="20" t="str">
        <f>IF(N7125="","",COUNTIFS(RawData[[Date ]],N7125,RawData[Month List],$Q$6,RawData[Tour/Site],$Q$2,RawData[[Picker ID ]],$Q$3,RawData[Checker ID],$Q$4,RawData[[Error Type ]],$Q$5))</f>
        <v/>
      </c>
    </row>
    <row r="7126" spans="15:15" x14ac:dyDescent="0.25">
      <c r="O7126" s="20" t="str">
        <f>IF(N7126="","",COUNTIFS(RawData[[Date ]],N7126,RawData[Month List],$Q$6,RawData[Tour/Site],$Q$2,RawData[[Picker ID ]],$Q$3,RawData[Checker ID],$Q$4,RawData[[Error Type ]],$Q$5))</f>
        <v/>
      </c>
    </row>
    <row r="7127" spans="15:15" x14ac:dyDescent="0.25">
      <c r="O7127" s="20" t="str">
        <f>IF(N7127="","",COUNTIFS(RawData[[Date ]],N7127,RawData[Month List],$Q$6,RawData[Tour/Site],$Q$2,RawData[[Picker ID ]],$Q$3,RawData[Checker ID],$Q$4,RawData[[Error Type ]],$Q$5))</f>
        <v/>
      </c>
    </row>
    <row r="7128" spans="15:15" x14ac:dyDescent="0.25">
      <c r="O7128" s="20" t="str">
        <f>IF(N7128="","",COUNTIFS(RawData[[Date ]],N7128,RawData[Month List],$Q$6,RawData[Tour/Site],$Q$2,RawData[[Picker ID ]],$Q$3,RawData[Checker ID],$Q$4,RawData[[Error Type ]],$Q$5))</f>
        <v/>
      </c>
    </row>
    <row r="7129" spans="15:15" x14ac:dyDescent="0.25">
      <c r="O7129" s="20" t="str">
        <f>IF(N7129="","",COUNTIFS(RawData[[Date ]],N7129,RawData[Month List],$Q$6,RawData[Tour/Site],$Q$2,RawData[[Picker ID ]],$Q$3,RawData[Checker ID],$Q$4,RawData[[Error Type ]],$Q$5))</f>
        <v/>
      </c>
    </row>
    <row r="7130" spans="15:15" x14ac:dyDescent="0.25">
      <c r="O7130" s="20" t="str">
        <f>IF(N7130="","",COUNTIFS(RawData[[Date ]],N7130,RawData[Month List],$Q$6,RawData[Tour/Site],$Q$2,RawData[[Picker ID ]],$Q$3,RawData[Checker ID],$Q$4,RawData[[Error Type ]],$Q$5))</f>
        <v/>
      </c>
    </row>
    <row r="7131" spans="15:15" x14ac:dyDescent="0.25">
      <c r="O7131" s="20" t="str">
        <f>IF(N7131="","",COUNTIFS(RawData[[Date ]],N7131,RawData[Month List],$Q$6,RawData[Tour/Site],$Q$2,RawData[[Picker ID ]],$Q$3,RawData[Checker ID],$Q$4,RawData[[Error Type ]],$Q$5))</f>
        <v/>
      </c>
    </row>
    <row r="7132" spans="15:15" x14ac:dyDescent="0.25">
      <c r="O7132" s="20" t="str">
        <f>IF(N7132="","",COUNTIFS(RawData[[Date ]],N7132,RawData[Month List],$Q$6,RawData[Tour/Site],$Q$2,RawData[[Picker ID ]],$Q$3,RawData[Checker ID],$Q$4,RawData[[Error Type ]],$Q$5))</f>
        <v/>
      </c>
    </row>
    <row r="7133" spans="15:15" x14ac:dyDescent="0.25">
      <c r="O7133" s="20" t="str">
        <f>IF(N7133="","",COUNTIFS(RawData[[Date ]],N7133,RawData[Month List],$Q$6,RawData[Tour/Site],$Q$2,RawData[[Picker ID ]],$Q$3,RawData[Checker ID],$Q$4,RawData[[Error Type ]],$Q$5))</f>
        <v/>
      </c>
    </row>
    <row r="7134" spans="15:15" x14ac:dyDescent="0.25">
      <c r="O7134" s="20" t="str">
        <f>IF(N7134="","",COUNTIFS(RawData[[Date ]],N7134,RawData[Month List],$Q$6,RawData[Tour/Site],$Q$2,RawData[[Picker ID ]],$Q$3,RawData[Checker ID],$Q$4,RawData[[Error Type ]],$Q$5))</f>
        <v/>
      </c>
    </row>
    <row r="7135" spans="15:15" x14ac:dyDescent="0.25">
      <c r="O7135" s="20" t="str">
        <f>IF(N7135="","",COUNTIFS(RawData[[Date ]],N7135,RawData[Month List],$Q$6,RawData[Tour/Site],$Q$2,RawData[[Picker ID ]],$Q$3,RawData[Checker ID],$Q$4,RawData[[Error Type ]],$Q$5))</f>
        <v/>
      </c>
    </row>
    <row r="7136" spans="15:15" x14ac:dyDescent="0.25">
      <c r="O7136" s="20" t="str">
        <f>IF(N7136="","",COUNTIFS(RawData[[Date ]],N7136,RawData[Month List],$Q$6,RawData[Tour/Site],$Q$2,RawData[[Picker ID ]],$Q$3,RawData[Checker ID],$Q$4,RawData[[Error Type ]],$Q$5))</f>
        <v/>
      </c>
    </row>
    <row r="7137" spans="15:15" x14ac:dyDescent="0.25">
      <c r="O7137" s="20" t="str">
        <f>IF(N7137="","",COUNTIFS(RawData[[Date ]],N7137,RawData[Month List],$Q$6,RawData[Tour/Site],$Q$2,RawData[[Picker ID ]],$Q$3,RawData[Checker ID],$Q$4,RawData[[Error Type ]],$Q$5))</f>
        <v/>
      </c>
    </row>
    <row r="7138" spans="15:15" x14ac:dyDescent="0.25">
      <c r="O7138" s="20" t="str">
        <f>IF(N7138="","",COUNTIFS(RawData[[Date ]],N7138,RawData[Month List],$Q$6,RawData[Tour/Site],$Q$2,RawData[[Picker ID ]],$Q$3,RawData[Checker ID],$Q$4,RawData[[Error Type ]],$Q$5))</f>
        <v/>
      </c>
    </row>
    <row r="7139" spans="15:15" x14ac:dyDescent="0.25">
      <c r="O7139" s="20" t="str">
        <f>IF(N7139="","",COUNTIFS(RawData[[Date ]],N7139,RawData[Month List],$Q$6,RawData[Tour/Site],$Q$2,RawData[[Picker ID ]],$Q$3,RawData[Checker ID],$Q$4,RawData[[Error Type ]],$Q$5))</f>
        <v/>
      </c>
    </row>
    <row r="7140" spans="15:15" x14ac:dyDescent="0.25">
      <c r="O7140" s="20" t="str">
        <f>IF(N7140="","",COUNTIFS(RawData[[Date ]],N7140,RawData[Month List],$Q$6,RawData[Tour/Site],$Q$2,RawData[[Picker ID ]],$Q$3,RawData[Checker ID],$Q$4,RawData[[Error Type ]],$Q$5))</f>
        <v/>
      </c>
    </row>
    <row r="7141" spans="15:15" x14ac:dyDescent="0.25">
      <c r="O7141" s="20" t="str">
        <f>IF(N7141="","",COUNTIFS(RawData[[Date ]],N7141,RawData[Month List],$Q$6,RawData[Tour/Site],$Q$2,RawData[[Picker ID ]],$Q$3,RawData[Checker ID],$Q$4,RawData[[Error Type ]],$Q$5))</f>
        <v/>
      </c>
    </row>
    <row r="7142" spans="15:15" x14ac:dyDescent="0.25">
      <c r="O7142" s="20" t="str">
        <f>IF(N7142="","",COUNTIFS(RawData[[Date ]],N7142,RawData[Month List],$Q$6,RawData[Tour/Site],$Q$2,RawData[[Picker ID ]],$Q$3,RawData[Checker ID],$Q$4,RawData[[Error Type ]],$Q$5))</f>
        <v/>
      </c>
    </row>
    <row r="7143" spans="15:15" x14ac:dyDescent="0.25">
      <c r="O7143" s="20" t="str">
        <f>IF(N7143="","",COUNTIFS(RawData[[Date ]],N7143,RawData[Month List],$Q$6,RawData[Tour/Site],$Q$2,RawData[[Picker ID ]],$Q$3,RawData[Checker ID],$Q$4,RawData[[Error Type ]],$Q$5))</f>
        <v/>
      </c>
    </row>
    <row r="7144" spans="15:15" x14ac:dyDescent="0.25">
      <c r="O7144" s="20" t="str">
        <f>IF(N7144="","",COUNTIFS(RawData[[Date ]],N7144,RawData[Month List],$Q$6,RawData[Tour/Site],$Q$2,RawData[[Picker ID ]],$Q$3,RawData[Checker ID],$Q$4,RawData[[Error Type ]],$Q$5))</f>
        <v/>
      </c>
    </row>
    <row r="7145" spans="15:15" x14ac:dyDescent="0.25">
      <c r="O7145" s="20" t="str">
        <f>IF(N7145="","",COUNTIFS(RawData[[Date ]],N7145,RawData[Month List],$Q$6,RawData[Tour/Site],$Q$2,RawData[[Picker ID ]],$Q$3,RawData[Checker ID],$Q$4,RawData[[Error Type ]],$Q$5))</f>
        <v/>
      </c>
    </row>
    <row r="7146" spans="15:15" x14ac:dyDescent="0.25">
      <c r="O7146" s="20" t="str">
        <f>IF(N7146="","",COUNTIFS(RawData[[Date ]],N7146,RawData[Month List],$Q$6,RawData[Tour/Site],$Q$2,RawData[[Picker ID ]],$Q$3,RawData[Checker ID],$Q$4,RawData[[Error Type ]],$Q$5))</f>
        <v/>
      </c>
    </row>
    <row r="7147" spans="15:15" x14ac:dyDescent="0.25">
      <c r="O7147" s="20" t="str">
        <f>IF(N7147="","",COUNTIFS(RawData[[Date ]],N7147,RawData[Month List],$Q$6,RawData[Tour/Site],$Q$2,RawData[[Picker ID ]],$Q$3,RawData[Checker ID],$Q$4,RawData[[Error Type ]],$Q$5))</f>
        <v/>
      </c>
    </row>
    <row r="7148" spans="15:15" x14ac:dyDescent="0.25">
      <c r="O7148" s="20" t="str">
        <f>IF(N7148="","",COUNTIFS(RawData[[Date ]],N7148,RawData[Month List],$Q$6,RawData[Tour/Site],$Q$2,RawData[[Picker ID ]],$Q$3,RawData[Checker ID],$Q$4,RawData[[Error Type ]],$Q$5))</f>
        <v/>
      </c>
    </row>
    <row r="7149" spans="15:15" x14ac:dyDescent="0.25">
      <c r="O7149" s="20" t="str">
        <f>IF(N7149="","",COUNTIFS(RawData[[Date ]],N7149,RawData[Month List],$Q$6,RawData[Tour/Site],$Q$2,RawData[[Picker ID ]],$Q$3,RawData[Checker ID],$Q$4,RawData[[Error Type ]],$Q$5))</f>
        <v/>
      </c>
    </row>
    <row r="7150" spans="15:15" x14ac:dyDescent="0.25">
      <c r="O7150" s="20" t="str">
        <f>IF(N7150="","",COUNTIFS(RawData[[Date ]],N7150,RawData[Month List],$Q$6,RawData[Tour/Site],$Q$2,RawData[[Picker ID ]],$Q$3,RawData[Checker ID],$Q$4,RawData[[Error Type ]],$Q$5))</f>
        <v/>
      </c>
    </row>
    <row r="7151" spans="15:15" x14ac:dyDescent="0.25">
      <c r="O7151" s="20" t="str">
        <f>IF(N7151="","",COUNTIFS(RawData[[Date ]],N7151,RawData[Month List],$Q$6,RawData[Tour/Site],$Q$2,RawData[[Picker ID ]],$Q$3,RawData[Checker ID],$Q$4,RawData[[Error Type ]],$Q$5))</f>
        <v/>
      </c>
    </row>
    <row r="7152" spans="15:15" x14ac:dyDescent="0.25">
      <c r="O7152" s="20" t="str">
        <f>IF(N7152="","",COUNTIFS(RawData[[Date ]],N7152,RawData[Month List],$Q$6,RawData[Tour/Site],$Q$2,RawData[[Picker ID ]],$Q$3,RawData[Checker ID],$Q$4,RawData[[Error Type ]],$Q$5))</f>
        <v/>
      </c>
    </row>
    <row r="7153" spans="15:15" x14ac:dyDescent="0.25">
      <c r="O7153" s="20" t="str">
        <f>IF(N7153="","",COUNTIFS(RawData[[Date ]],N7153,RawData[Month List],$Q$6,RawData[Tour/Site],$Q$2,RawData[[Picker ID ]],$Q$3,RawData[Checker ID],$Q$4,RawData[[Error Type ]],$Q$5))</f>
        <v/>
      </c>
    </row>
    <row r="7154" spans="15:15" x14ac:dyDescent="0.25">
      <c r="O7154" s="20" t="str">
        <f>IF(N7154="","",COUNTIFS(RawData[[Date ]],N7154,RawData[Month List],$Q$6,RawData[Tour/Site],$Q$2,RawData[[Picker ID ]],$Q$3,RawData[Checker ID],$Q$4,RawData[[Error Type ]],$Q$5))</f>
        <v/>
      </c>
    </row>
    <row r="7155" spans="15:15" x14ac:dyDescent="0.25">
      <c r="O7155" s="20" t="str">
        <f>IF(N7155="","",COUNTIFS(RawData[[Date ]],N7155,RawData[Month List],$Q$6,RawData[Tour/Site],$Q$2,RawData[[Picker ID ]],$Q$3,RawData[Checker ID],$Q$4,RawData[[Error Type ]],$Q$5))</f>
        <v/>
      </c>
    </row>
    <row r="7156" spans="15:15" x14ac:dyDescent="0.25">
      <c r="O7156" s="20" t="str">
        <f>IF(N7156="","",COUNTIFS(RawData[[Date ]],N7156,RawData[Month List],$Q$6,RawData[Tour/Site],$Q$2,RawData[[Picker ID ]],$Q$3,RawData[Checker ID],$Q$4,RawData[[Error Type ]],$Q$5))</f>
        <v/>
      </c>
    </row>
    <row r="7157" spans="15:15" x14ac:dyDescent="0.25">
      <c r="O7157" s="20" t="str">
        <f>IF(N7157="","",COUNTIFS(RawData[[Date ]],N7157,RawData[Month List],$Q$6,RawData[Tour/Site],$Q$2,RawData[[Picker ID ]],$Q$3,RawData[Checker ID],$Q$4,RawData[[Error Type ]],$Q$5))</f>
        <v/>
      </c>
    </row>
    <row r="7158" spans="15:15" x14ac:dyDescent="0.25">
      <c r="O7158" s="20" t="str">
        <f>IF(N7158="","",COUNTIFS(RawData[[Date ]],N7158,RawData[Month List],$Q$6,RawData[Tour/Site],$Q$2,RawData[[Picker ID ]],$Q$3,RawData[Checker ID],$Q$4,RawData[[Error Type ]],$Q$5))</f>
        <v/>
      </c>
    </row>
    <row r="7159" spans="15:15" x14ac:dyDescent="0.25">
      <c r="O7159" s="20" t="str">
        <f>IF(N7159="","",COUNTIFS(RawData[[Date ]],N7159,RawData[Month List],$Q$6,RawData[Tour/Site],$Q$2,RawData[[Picker ID ]],$Q$3,RawData[Checker ID],$Q$4,RawData[[Error Type ]],$Q$5))</f>
        <v/>
      </c>
    </row>
    <row r="7160" spans="15:15" x14ac:dyDescent="0.25">
      <c r="O7160" s="20" t="str">
        <f>IF(N7160="","",COUNTIFS(RawData[[Date ]],N7160,RawData[Month List],$Q$6,RawData[Tour/Site],$Q$2,RawData[[Picker ID ]],$Q$3,RawData[Checker ID],$Q$4,RawData[[Error Type ]],$Q$5))</f>
        <v/>
      </c>
    </row>
    <row r="7161" spans="15:15" x14ac:dyDescent="0.25">
      <c r="O7161" s="20" t="str">
        <f>IF(N7161="","",COUNTIFS(RawData[[Date ]],N7161,RawData[Month List],$Q$6,RawData[Tour/Site],$Q$2,RawData[[Picker ID ]],$Q$3,RawData[Checker ID],$Q$4,RawData[[Error Type ]],$Q$5))</f>
        <v/>
      </c>
    </row>
    <row r="7162" spans="15:15" x14ac:dyDescent="0.25">
      <c r="O7162" s="20" t="str">
        <f>IF(N7162="","",COUNTIFS(RawData[[Date ]],N7162,RawData[Month List],$Q$6,RawData[Tour/Site],$Q$2,RawData[[Picker ID ]],$Q$3,RawData[Checker ID],$Q$4,RawData[[Error Type ]],$Q$5))</f>
        <v/>
      </c>
    </row>
    <row r="7163" spans="15:15" x14ac:dyDescent="0.25">
      <c r="O7163" s="20" t="str">
        <f>IF(N7163="","",COUNTIFS(RawData[[Date ]],N7163,RawData[Month List],$Q$6,RawData[Tour/Site],$Q$2,RawData[[Picker ID ]],$Q$3,RawData[Checker ID],$Q$4,RawData[[Error Type ]],$Q$5))</f>
        <v/>
      </c>
    </row>
    <row r="7164" spans="15:15" x14ac:dyDescent="0.25">
      <c r="O7164" s="20" t="str">
        <f>IF(N7164="","",COUNTIFS(RawData[[Date ]],N7164,RawData[Month List],$Q$6,RawData[Tour/Site],$Q$2,RawData[[Picker ID ]],$Q$3,RawData[Checker ID],$Q$4,RawData[[Error Type ]],$Q$5))</f>
        <v/>
      </c>
    </row>
    <row r="7165" spans="15:15" x14ac:dyDescent="0.25">
      <c r="O7165" s="20" t="str">
        <f>IF(N7165="","",COUNTIFS(RawData[[Date ]],N7165,RawData[Month List],$Q$6,RawData[Tour/Site],$Q$2,RawData[[Picker ID ]],$Q$3,RawData[Checker ID],$Q$4,RawData[[Error Type ]],$Q$5))</f>
        <v/>
      </c>
    </row>
    <row r="7166" spans="15:15" x14ac:dyDescent="0.25">
      <c r="O7166" s="20" t="str">
        <f>IF(N7166="","",COUNTIFS(RawData[[Date ]],N7166,RawData[Month List],$Q$6,RawData[Tour/Site],$Q$2,RawData[[Picker ID ]],$Q$3,RawData[Checker ID],$Q$4,RawData[[Error Type ]],$Q$5))</f>
        <v/>
      </c>
    </row>
    <row r="7167" spans="15:15" x14ac:dyDescent="0.25">
      <c r="O7167" s="20" t="str">
        <f>IF(N7167="","",COUNTIFS(RawData[[Date ]],N7167,RawData[Month List],$Q$6,RawData[Tour/Site],$Q$2,RawData[[Picker ID ]],$Q$3,RawData[Checker ID],$Q$4,RawData[[Error Type ]],$Q$5))</f>
        <v/>
      </c>
    </row>
    <row r="7168" spans="15:15" x14ac:dyDescent="0.25">
      <c r="O7168" s="20" t="str">
        <f>IF(N7168="","",COUNTIFS(RawData[[Date ]],N7168,RawData[Month List],$Q$6,RawData[Tour/Site],$Q$2,RawData[[Picker ID ]],$Q$3,RawData[Checker ID],$Q$4,RawData[[Error Type ]],$Q$5))</f>
        <v/>
      </c>
    </row>
    <row r="7169" spans="15:15" x14ac:dyDescent="0.25">
      <c r="O7169" s="20" t="str">
        <f>IF(N7169="","",COUNTIFS(RawData[[Date ]],N7169,RawData[Month List],$Q$6,RawData[Tour/Site],$Q$2,RawData[[Picker ID ]],$Q$3,RawData[Checker ID],$Q$4,RawData[[Error Type ]],$Q$5))</f>
        <v/>
      </c>
    </row>
    <row r="7170" spans="15:15" x14ac:dyDescent="0.25">
      <c r="O7170" s="20" t="str">
        <f>IF(N7170="","",COUNTIFS(RawData[[Date ]],N7170,RawData[Month List],$Q$6,RawData[Tour/Site],$Q$2,RawData[[Picker ID ]],$Q$3,RawData[Checker ID],$Q$4,RawData[[Error Type ]],$Q$5))</f>
        <v/>
      </c>
    </row>
    <row r="7171" spans="15:15" x14ac:dyDescent="0.25">
      <c r="O7171" s="20" t="str">
        <f>IF(N7171="","",COUNTIFS(RawData[[Date ]],N7171,RawData[Month List],$Q$6,RawData[Tour/Site],$Q$2,RawData[[Picker ID ]],$Q$3,RawData[Checker ID],$Q$4,RawData[[Error Type ]],$Q$5))</f>
        <v/>
      </c>
    </row>
    <row r="7172" spans="15:15" x14ac:dyDescent="0.25">
      <c r="O7172" s="20" t="str">
        <f>IF(N7172="","",COUNTIFS(RawData[[Date ]],N7172,RawData[Month List],$Q$6,RawData[Tour/Site],$Q$2,RawData[[Picker ID ]],$Q$3,RawData[Checker ID],$Q$4,RawData[[Error Type ]],$Q$5))</f>
        <v/>
      </c>
    </row>
    <row r="7173" spans="15:15" x14ac:dyDescent="0.25">
      <c r="O7173" s="20" t="str">
        <f>IF(N7173="","",COUNTIFS(RawData[[Date ]],N7173,RawData[Month List],$Q$6,RawData[Tour/Site],$Q$2,RawData[[Picker ID ]],$Q$3,RawData[Checker ID],$Q$4,RawData[[Error Type ]],$Q$5))</f>
        <v/>
      </c>
    </row>
    <row r="7174" spans="15:15" x14ac:dyDescent="0.25">
      <c r="O7174" s="20" t="str">
        <f>IF(N7174="","",COUNTIFS(RawData[[Date ]],N7174,RawData[Month List],$Q$6,RawData[Tour/Site],$Q$2,RawData[[Picker ID ]],$Q$3,RawData[Checker ID],$Q$4,RawData[[Error Type ]],$Q$5))</f>
        <v/>
      </c>
    </row>
    <row r="7175" spans="15:15" x14ac:dyDescent="0.25">
      <c r="O7175" s="20" t="str">
        <f>IF(N7175="","",COUNTIFS(RawData[[Date ]],N7175,RawData[Month List],$Q$6,RawData[Tour/Site],$Q$2,RawData[[Picker ID ]],$Q$3,RawData[Checker ID],$Q$4,RawData[[Error Type ]],$Q$5))</f>
        <v/>
      </c>
    </row>
    <row r="7176" spans="15:15" x14ac:dyDescent="0.25">
      <c r="O7176" s="20" t="str">
        <f>IF(N7176="","",COUNTIFS(RawData[[Date ]],N7176,RawData[Month List],$Q$6,RawData[Tour/Site],$Q$2,RawData[[Picker ID ]],$Q$3,RawData[Checker ID],$Q$4,RawData[[Error Type ]],$Q$5))</f>
        <v/>
      </c>
    </row>
    <row r="7177" spans="15:15" x14ac:dyDescent="0.25">
      <c r="O7177" s="20" t="str">
        <f>IF(N7177="","",COUNTIFS(RawData[[Date ]],N7177,RawData[Month List],$Q$6,RawData[Tour/Site],$Q$2,RawData[[Picker ID ]],$Q$3,RawData[Checker ID],$Q$4,RawData[[Error Type ]],$Q$5))</f>
        <v/>
      </c>
    </row>
    <row r="7178" spans="15:15" x14ac:dyDescent="0.25">
      <c r="O7178" s="20" t="str">
        <f>IF(N7178="","",COUNTIFS(RawData[[Date ]],N7178,RawData[Month List],$Q$6,RawData[Tour/Site],$Q$2,RawData[[Picker ID ]],$Q$3,RawData[Checker ID],$Q$4,RawData[[Error Type ]],$Q$5))</f>
        <v/>
      </c>
    </row>
    <row r="7179" spans="15:15" x14ac:dyDescent="0.25">
      <c r="O7179" s="20" t="str">
        <f>IF(N7179="","",COUNTIFS(RawData[[Date ]],N7179,RawData[Month List],$Q$6,RawData[Tour/Site],$Q$2,RawData[[Picker ID ]],$Q$3,RawData[Checker ID],$Q$4,RawData[[Error Type ]],$Q$5))</f>
        <v/>
      </c>
    </row>
    <row r="7180" spans="15:15" x14ac:dyDescent="0.25">
      <c r="O7180" s="20" t="str">
        <f>IF(N7180="","",COUNTIFS(RawData[[Date ]],N7180,RawData[Month List],$Q$6,RawData[Tour/Site],$Q$2,RawData[[Picker ID ]],$Q$3,RawData[Checker ID],$Q$4,RawData[[Error Type ]],$Q$5))</f>
        <v/>
      </c>
    </row>
    <row r="7181" spans="15:15" x14ac:dyDescent="0.25">
      <c r="O7181" s="20" t="str">
        <f>IF(N7181="","",COUNTIFS(RawData[[Date ]],N7181,RawData[Month List],$Q$6,RawData[Tour/Site],$Q$2,RawData[[Picker ID ]],$Q$3,RawData[Checker ID],$Q$4,RawData[[Error Type ]],$Q$5))</f>
        <v/>
      </c>
    </row>
    <row r="7182" spans="15:15" x14ac:dyDescent="0.25">
      <c r="O7182" s="20" t="str">
        <f>IF(N7182="","",COUNTIFS(RawData[[Date ]],N7182,RawData[Month List],$Q$6,RawData[Tour/Site],$Q$2,RawData[[Picker ID ]],$Q$3,RawData[Checker ID],$Q$4,RawData[[Error Type ]],$Q$5))</f>
        <v/>
      </c>
    </row>
    <row r="7183" spans="15:15" x14ac:dyDescent="0.25">
      <c r="O7183" s="20" t="str">
        <f>IF(N7183="","",COUNTIFS(RawData[[Date ]],N7183,RawData[Month List],$Q$6,RawData[Tour/Site],$Q$2,RawData[[Picker ID ]],$Q$3,RawData[Checker ID],$Q$4,RawData[[Error Type ]],$Q$5))</f>
        <v/>
      </c>
    </row>
    <row r="7184" spans="15:15" x14ac:dyDescent="0.25">
      <c r="O7184" s="20" t="str">
        <f>IF(N7184="","",COUNTIFS(RawData[[Date ]],N7184,RawData[Month List],$Q$6,RawData[Tour/Site],$Q$2,RawData[[Picker ID ]],$Q$3,RawData[Checker ID],$Q$4,RawData[[Error Type ]],$Q$5))</f>
        <v/>
      </c>
    </row>
    <row r="7185" spans="15:15" x14ac:dyDescent="0.25">
      <c r="O7185" s="20" t="str">
        <f>IF(N7185="","",COUNTIFS(RawData[[Date ]],N7185,RawData[Month List],$Q$6,RawData[Tour/Site],$Q$2,RawData[[Picker ID ]],$Q$3,RawData[Checker ID],$Q$4,RawData[[Error Type ]],$Q$5))</f>
        <v/>
      </c>
    </row>
    <row r="7186" spans="15:15" x14ac:dyDescent="0.25">
      <c r="O7186" s="20" t="str">
        <f>IF(N7186="","",COUNTIFS(RawData[[Date ]],N7186,RawData[Month List],$Q$6,RawData[Tour/Site],$Q$2,RawData[[Picker ID ]],$Q$3,RawData[Checker ID],$Q$4,RawData[[Error Type ]],$Q$5))</f>
        <v/>
      </c>
    </row>
    <row r="7187" spans="15:15" x14ac:dyDescent="0.25">
      <c r="O7187" s="20" t="str">
        <f>IF(N7187="","",COUNTIFS(RawData[[Date ]],N7187,RawData[Month List],$Q$6,RawData[Tour/Site],$Q$2,RawData[[Picker ID ]],$Q$3,RawData[Checker ID],$Q$4,RawData[[Error Type ]],$Q$5))</f>
        <v/>
      </c>
    </row>
    <row r="7188" spans="15:15" x14ac:dyDescent="0.25">
      <c r="O7188" s="20" t="str">
        <f>IF(N7188="","",COUNTIFS(RawData[[Date ]],N7188,RawData[Month List],$Q$6,RawData[Tour/Site],$Q$2,RawData[[Picker ID ]],$Q$3,RawData[Checker ID],$Q$4,RawData[[Error Type ]],$Q$5))</f>
        <v/>
      </c>
    </row>
    <row r="7189" spans="15:15" x14ac:dyDescent="0.25">
      <c r="O7189" s="20" t="str">
        <f>IF(N7189="","",COUNTIFS(RawData[[Date ]],N7189,RawData[Month List],$Q$6,RawData[Tour/Site],$Q$2,RawData[[Picker ID ]],$Q$3,RawData[Checker ID],$Q$4,RawData[[Error Type ]],$Q$5))</f>
        <v/>
      </c>
    </row>
    <row r="7190" spans="15:15" x14ac:dyDescent="0.25">
      <c r="O7190" s="20" t="str">
        <f>IF(N7190="","",COUNTIFS(RawData[[Date ]],N7190,RawData[Month List],$Q$6,RawData[Tour/Site],$Q$2,RawData[[Picker ID ]],$Q$3,RawData[Checker ID],$Q$4,RawData[[Error Type ]],$Q$5))</f>
        <v/>
      </c>
    </row>
    <row r="7191" spans="15:15" x14ac:dyDescent="0.25">
      <c r="O7191" s="20" t="str">
        <f>IF(N7191="","",COUNTIFS(RawData[[Date ]],N7191,RawData[Month List],$Q$6,RawData[Tour/Site],$Q$2,RawData[[Picker ID ]],$Q$3,RawData[Checker ID],$Q$4,RawData[[Error Type ]],$Q$5))</f>
        <v/>
      </c>
    </row>
    <row r="7192" spans="15:15" x14ac:dyDescent="0.25">
      <c r="O7192" s="20" t="str">
        <f>IF(N7192="","",COUNTIFS(RawData[[Date ]],N7192,RawData[Month List],$Q$6,RawData[Tour/Site],$Q$2,RawData[[Picker ID ]],$Q$3,RawData[Checker ID],$Q$4,RawData[[Error Type ]],$Q$5))</f>
        <v/>
      </c>
    </row>
    <row r="7193" spans="15:15" x14ac:dyDescent="0.25">
      <c r="O7193" s="20" t="str">
        <f>IF(N7193="","",COUNTIFS(RawData[[Date ]],N7193,RawData[Month List],$Q$6,RawData[Tour/Site],$Q$2,RawData[[Picker ID ]],$Q$3,RawData[Checker ID],$Q$4,RawData[[Error Type ]],$Q$5))</f>
        <v/>
      </c>
    </row>
    <row r="7194" spans="15:15" x14ac:dyDescent="0.25">
      <c r="O7194" s="20" t="str">
        <f>IF(N7194="","",COUNTIFS(RawData[[Date ]],N7194,RawData[Month List],$Q$6,RawData[Tour/Site],$Q$2,RawData[[Picker ID ]],$Q$3,RawData[Checker ID],$Q$4,RawData[[Error Type ]],$Q$5))</f>
        <v/>
      </c>
    </row>
    <row r="7195" spans="15:15" x14ac:dyDescent="0.25">
      <c r="O7195" s="20" t="str">
        <f>IF(N7195="","",COUNTIFS(RawData[[Date ]],N7195,RawData[Month List],$Q$6,RawData[Tour/Site],$Q$2,RawData[[Picker ID ]],$Q$3,RawData[Checker ID],$Q$4,RawData[[Error Type ]],$Q$5))</f>
        <v/>
      </c>
    </row>
    <row r="7196" spans="15:15" x14ac:dyDescent="0.25">
      <c r="O7196" s="20" t="str">
        <f>IF(N7196="","",COUNTIFS(RawData[[Date ]],N7196,RawData[Month List],$Q$6,RawData[Tour/Site],$Q$2,RawData[[Picker ID ]],$Q$3,RawData[Checker ID],$Q$4,RawData[[Error Type ]],$Q$5))</f>
        <v/>
      </c>
    </row>
    <row r="7197" spans="15:15" x14ac:dyDescent="0.25">
      <c r="O7197" s="20" t="str">
        <f>IF(N7197="","",COUNTIFS(RawData[[Date ]],N7197,RawData[Month List],$Q$6,RawData[Tour/Site],$Q$2,RawData[[Picker ID ]],$Q$3,RawData[Checker ID],$Q$4,RawData[[Error Type ]],$Q$5))</f>
        <v/>
      </c>
    </row>
    <row r="7198" spans="15:15" x14ac:dyDescent="0.25">
      <c r="O7198" s="20" t="str">
        <f>IF(N7198="","",COUNTIFS(RawData[[Date ]],N7198,RawData[Month List],$Q$6,RawData[Tour/Site],$Q$2,RawData[[Picker ID ]],$Q$3,RawData[Checker ID],$Q$4,RawData[[Error Type ]],$Q$5))</f>
        <v/>
      </c>
    </row>
    <row r="7199" spans="15:15" x14ac:dyDescent="0.25">
      <c r="O7199" s="20" t="str">
        <f>IF(N7199="","",COUNTIFS(RawData[[Date ]],N7199,RawData[Month List],$Q$6,RawData[Tour/Site],$Q$2,RawData[[Picker ID ]],$Q$3,RawData[Checker ID],$Q$4,RawData[[Error Type ]],$Q$5))</f>
        <v/>
      </c>
    </row>
    <row r="7200" spans="15:15" x14ac:dyDescent="0.25">
      <c r="O7200" s="20" t="str">
        <f>IF(N7200="","",COUNTIFS(RawData[[Date ]],N7200,RawData[Month List],$Q$6,RawData[Tour/Site],$Q$2,RawData[[Picker ID ]],$Q$3,RawData[Checker ID],$Q$4,RawData[[Error Type ]],$Q$5))</f>
        <v/>
      </c>
    </row>
    <row r="7201" spans="15:15" x14ac:dyDescent="0.25">
      <c r="O7201" s="20" t="str">
        <f>IF(N7201="","",COUNTIFS(RawData[[Date ]],N7201,RawData[Month List],$Q$6,RawData[Tour/Site],$Q$2,RawData[[Picker ID ]],$Q$3,RawData[Checker ID],$Q$4,RawData[[Error Type ]],$Q$5))</f>
        <v/>
      </c>
    </row>
    <row r="7202" spans="15:15" x14ac:dyDescent="0.25">
      <c r="O7202" s="20" t="str">
        <f>IF(N7202="","",COUNTIFS(RawData[[Date ]],N7202,RawData[Month List],$Q$6,RawData[Tour/Site],$Q$2,RawData[[Picker ID ]],$Q$3,RawData[Checker ID],$Q$4,RawData[[Error Type ]],$Q$5))</f>
        <v/>
      </c>
    </row>
    <row r="7203" spans="15:15" x14ac:dyDescent="0.25">
      <c r="O7203" s="20" t="str">
        <f>IF(N7203="","",COUNTIFS(RawData[[Date ]],N7203,RawData[Month List],$Q$6,RawData[Tour/Site],$Q$2,RawData[[Picker ID ]],$Q$3,RawData[Checker ID],$Q$4,RawData[[Error Type ]],$Q$5))</f>
        <v/>
      </c>
    </row>
    <row r="7204" spans="15:15" x14ac:dyDescent="0.25">
      <c r="O7204" s="20" t="str">
        <f>IF(N7204="","",COUNTIFS(RawData[[Date ]],N7204,RawData[Month List],$Q$6,RawData[Tour/Site],$Q$2,RawData[[Picker ID ]],$Q$3,RawData[Checker ID],$Q$4,RawData[[Error Type ]],$Q$5))</f>
        <v/>
      </c>
    </row>
    <row r="7205" spans="15:15" x14ac:dyDescent="0.25">
      <c r="O7205" s="20" t="str">
        <f>IF(N7205="","",COUNTIFS(RawData[[Date ]],N7205,RawData[Month List],$Q$6,RawData[Tour/Site],$Q$2,RawData[[Picker ID ]],$Q$3,RawData[Checker ID],$Q$4,RawData[[Error Type ]],$Q$5))</f>
        <v/>
      </c>
    </row>
    <row r="7206" spans="15:15" x14ac:dyDescent="0.25">
      <c r="O7206" s="20" t="str">
        <f>IF(N7206="","",COUNTIFS(RawData[[Date ]],N7206,RawData[Month List],$Q$6,RawData[Tour/Site],$Q$2,RawData[[Picker ID ]],$Q$3,RawData[Checker ID],$Q$4,RawData[[Error Type ]],$Q$5))</f>
        <v/>
      </c>
    </row>
    <row r="7207" spans="15:15" x14ac:dyDescent="0.25">
      <c r="O7207" s="20" t="str">
        <f>IF(N7207="","",COUNTIFS(RawData[[Date ]],N7207,RawData[Month List],$Q$6,RawData[Tour/Site],$Q$2,RawData[[Picker ID ]],$Q$3,RawData[Checker ID],$Q$4,RawData[[Error Type ]],$Q$5))</f>
        <v/>
      </c>
    </row>
    <row r="7208" spans="15:15" x14ac:dyDescent="0.25">
      <c r="O7208" s="20" t="str">
        <f>IF(N7208="","",COUNTIFS(RawData[[Date ]],N7208,RawData[Month List],$Q$6,RawData[Tour/Site],$Q$2,RawData[[Picker ID ]],$Q$3,RawData[Checker ID],$Q$4,RawData[[Error Type ]],$Q$5))</f>
        <v/>
      </c>
    </row>
    <row r="7209" spans="15:15" x14ac:dyDescent="0.25">
      <c r="O7209" s="20" t="str">
        <f>IF(N7209="","",COUNTIFS(RawData[[Date ]],N7209,RawData[Month List],$Q$6,RawData[Tour/Site],$Q$2,RawData[[Picker ID ]],$Q$3,RawData[Checker ID],$Q$4,RawData[[Error Type ]],$Q$5))</f>
        <v/>
      </c>
    </row>
    <row r="7210" spans="15:15" x14ac:dyDescent="0.25">
      <c r="O7210" s="20" t="str">
        <f>IF(N7210="","",COUNTIFS(RawData[[Date ]],N7210,RawData[Month List],$Q$6,RawData[Tour/Site],$Q$2,RawData[[Picker ID ]],$Q$3,RawData[Checker ID],$Q$4,RawData[[Error Type ]],$Q$5))</f>
        <v/>
      </c>
    </row>
    <row r="7211" spans="15:15" x14ac:dyDescent="0.25">
      <c r="O7211" s="20" t="str">
        <f>IF(N7211="","",COUNTIFS(RawData[[Date ]],N7211,RawData[Month List],$Q$6,RawData[Tour/Site],$Q$2,RawData[[Picker ID ]],$Q$3,RawData[Checker ID],$Q$4,RawData[[Error Type ]],$Q$5))</f>
        <v/>
      </c>
    </row>
    <row r="7212" spans="15:15" x14ac:dyDescent="0.25">
      <c r="O7212" s="20" t="str">
        <f>IF(N7212="","",COUNTIFS(RawData[[Date ]],N7212,RawData[Month List],$Q$6,RawData[Tour/Site],$Q$2,RawData[[Picker ID ]],$Q$3,RawData[Checker ID],$Q$4,RawData[[Error Type ]],$Q$5))</f>
        <v/>
      </c>
    </row>
    <row r="7213" spans="15:15" x14ac:dyDescent="0.25">
      <c r="O7213" s="20" t="str">
        <f>IF(N7213="","",COUNTIFS(RawData[[Date ]],N7213,RawData[Month List],$Q$6,RawData[Tour/Site],$Q$2,RawData[[Picker ID ]],$Q$3,RawData[Checker ID],$Q$4,RawData[[Error Type ]],$Q$5))</f>
        <v/>
      </c>
    </row>
    <row r="7214" spans="15:15" x14ac:dyDescent="0.25">
      <c r="O7214" s="20" t="str">
        <f>IF(N7214="","",COUNTIFS(RawData[[Date ]],N7214,RawData[Month List],$Q$6,RawData[Tour/Site],$Q$2,RawData[[Picker ID ]],$Q$3,RawData[Checker ID],$Q$4,RawData[[Error Type ]],$Q$5))</f>
        <v/>
      </c>
    </row>
    <row r="7215" spans="15:15" x14ac:dyDescent="0.25">
      <c r="O7215" s="20" t="str">
        <f>IF(N7215="","",COUNTIFS(RawData[[Date ]],N7215,RawData[Month List],$Q$6,RawData[Tour/Site],$Q$2,RawData[[Picker ID ]],$Q$3,RawData[Checker ID],$Q$4,RawData[[Error Type ]],$Q$5))</f>
        <v/>
      </c>
    </row>
    <row r="7216" spans="15:15" x14ac:dyDescent="0.25">
      <c r="O7216" s="20" t="str">
        <f>IF(N7216="","",COUNTIFS(RawData[[Date ]],N7216,RawData[Month List],$Q$6,RawData[Tour/Site],$Q$2,RawData[[Picker ID ]],$Q$3,RawData[Checker ID],$Q$4,RawData[[Error Type ]],$Q$5))</f>
        <v/>
      </c>
    </row>
    <row r="7217" spans="15:15" x14ac:dyDescent="0.25">
      <c r="O7217" s="20" t="str">
        <f>IF(N7217="","",COUNTIFS(RawData[[Date ]],N7217,RawData[Month List],$Q$6,RawData[Tour/Site],$Q$2,RawData[[Picker ID ]],$Q$3,RawData[Checker ID],$Q$4,RawData[[Error Type ]],$Q$5))</f>
        <v/>
      </c>
    </row>
    <row r="7218" spans="15:15" x14ac:dyDescent="0.25">
      <c r="O7218" s="20" t="str">
        <f>IF(N7218="","",COUNTIFS(RawData[[Date ]],N7218,RawData[Month List],$Q$6,RawData[Tour/Site],$Q$2,RawData[[Picker ID ]],$Q$3,RawData[Checker ID],$Q$4,RawData[[Error Type ]],$Q$5))</f>
        <v/>
      </c>
    </row>
    <row r="7219" spans="15:15" x14ac:dyDescent="0.25">
      <c r="O7219" s="20" t="str">
        <f>IF(N7219="","",COUNTIFS(RawData[[Date ]],N7219,RawData[Month List],$Q$6,RawData[Tour/Site],$Q$2,RawData[[Picker ID ]],$Q$3,RawData[Checker ID],$Q$4,RawData[[Error Type ]],$Q$5))</f>
        <v/>
      </c>
    </row>
    <row r="7220" spans="15:15" x14ac:dyDescent="0.25">
      <c r="O7220" s="20" t="str">
        <f>IF(N7220="","",COUNTIFS(RawData[[Date ]],N7220,RawData[Month List],$Q$6,RawData[Tour/Site],$Q$2,RawData[[Picker ID ]],$Q$3,RawData[Checker ID],$Q$4,RawData[[Error Type ]],$Q$5))</f>
        <v/>
      </c>
    </row>
    <row r="7221" spans="15:15" x14ac:dyDescent="0.25">
      <c r="O7221" s="20" t="str">
        <f>IF(N7221="","",COUNTIFS(RawData[[Date ]],N7221,RawData[Month List],$Q$6,RawData[Tour/Site],$Q$2,RawData[[Picker ID ]],$Q$3,RawData[Checker ID],$Q$4,RawData[[Error Type ]],$Q$5))</f>
        <v/>
      </c>
    </row>
    <row r="7222" spans="15:15" x14ac:dyDescent="0.25">
      <c r="O7222" s="20" t="str">
        <f>IF(N7222="","",COUNTIFS(RawData[[Date ]],N7222,RawData[Month List],$Q$6,RawData[Tour/Site],$Q$2,RawData[[Picker ID ]],$Q$3,RawData[Checker ID],$Q$4,RawData[[Error Type ]],$Q$5))</f>
        <v/>
      </c>
    </row>
    <row r="7223" spans="15:15" x14ac:dyDescent="0.25">
      <c r="O7223" s="20" t="str">
        <f>IF(N7223="","",COUNTIFS(RawData[[Date ]],N7223,RawData[Month List],$Q$6,RawData[Tour/Site],$Q$2,RawData[[Picker ID ]],$Q$3,RawData[Checker ID],$Q$4,RawData[[Error Type ]],$Q$5))</f>
        <v/>
      </c>
    </row>
    <row r="7224" spans="15:15" x14ac:dyDescent="0.25">
      <c r="O7224" s="20" t="str">
        <f>IF(N7224="","",COUNTIFS(RawData[[Date ]],N7224,RawData[Month List],$Q$6,RawData[Tour/Site],$Q$2,RawData[[Picker ID ]],$Q$3,RawData[Checker ID],$Q$4,RawData[[Error Type ]],$Q$5))</f>
        <v/>
      </c>
    </row>
    <row r="7225" spans="15:15" x14ac:dyDescent="0.25">
      <c r="O7225" s="20" t="str">
        <f>IF(N7225="","",COUNTIFS(RawData[[Date ]],N7225,RawData[Month List],$Q$6,RawData[Tour/Site],$Q$2,RawData[[Picker ID ]],$Q$3,RawData[Checker ID],$Q$4,RawData[[Error Type ]],$Q$5))</f>
        <v/>
      </c>
    </row>
    <row r="7226" spans="15:15" x14ac:dyDescent="0.25">
      <c r="O7226" s="20" t="str">
        <f>IF(N7226="","",COUNTIFS(RawData[[Date ]],N7226,RawData[Month List],$Q$6,RawData[Tour/Site],$Q$2,RawData[[Picker ID ]],$Q$3,RawData[Checker ID],$Q$4,RawData[[Error Type ]],$Q$5))</f>
        <v/>
      </c>
    </row>
    <row r="7227" spans="15:15" x14ac:dyDescent="0.25">
      <c r="O7227" s="20" t="str">
        <f>IF(N7227="","",COUNTIFS(RawData[[Date ]],N7227,RawData[Month List],$Q$6,RawData[Tour/Site],$Q$2,RawData[[Picker ID ]],$Q$3,RawData[Checker ID],$Q$4,RawData[[Error Type ]],$Q$5))</f>
        <v/>
      </c>
    </row>
    <row r="7228" spans="15:15" x14ac:dyDescent="0.25">
      <c r="O7228" s="20" t="str">
        <f>IF(N7228="","",COUNTIFS(RawData[[Date ]],N7228,RawData[Month List],$Q$6,RawData[Tour/Site],$Q$2,RawData[[Picker ID ]],$Q$3,RawData[Checker ID],$Q$4,RawData[[Error Type ]],$Q$5))</f>
        <v/>
      </c>
    </row>
    <row r="7229" spans="15:15" x14ac:dyDescent="0.25">
      <c r="O7229" s="20" t="str">
        <f>IF(N7229="","",COUNTIFS(RawData[[Date ]],N7229,RawData[Month List],$Q$6,RawData[Tour/Site],$Q$2,RawData[[Picker ID ]],$Q$3,RawData[Checker ID],$Q$4,RawData[[Error Type ]],$Q$5))</f>
        <v/>
      </c>
    </row>
    <row r="7230" spans="15:15" x14ac:dyDescent="0.25">
      <c r="O7230" s="20" t="str">
        <f>IF(N7230="","",COUNTIFS(RawData[[Date ]],N7230,RawData[Month List],$Q$6,RawData[Tour/Site],$Q$2,RawData[[Picker ID ]],$Q$3,RawData[Checker ID],$Q$4,RawData[[Error Type ]],$Q$5))</f>
        <v/>
      </c>
    </row>
    <row r="7231" spans="15:15" x14ac:dyDescent="0.25">
      <c r="O7231" s="20" t="str">
        <f>IF(N7231="","",COUNTIFS(RawData[[Date ]],N7231,RawData[Month List],$Q$6,RawData[Tour/Site],$Q$2,RawData[[Picker ID ]],$Q$3,RawData[Checker ID],$Q$4,RawData[[Error Type ]],$Q$5))</f>
        <v/>
      </c>
    </row>
    <row r="7232" spans="15:15" x14ac:dyDescent="0.25">
      <c r="O7232" s="20" t="str">
        <f>IF(N7232="","",COUNTIFS(RawData[[Date ]],N7232,RawData[Month List],$Q$6,RawData[Tour/Site],$Q$2,RawData[[Picker ID ]],$Q$3,RawData[Checker ID],$Q$4,RawData[[Error Type ]],$Q$5))</f>
        <v/>
      </c>
    </row>
    <row r="7233" spans="15:15" x14ac:dyDescent="0.25">
      <c r="O7233" s="20" t="str">
        <f>IF(N7233="","",COUNTIFS(RawData[[Date ]],N7233,RawData[Month List],$Q$6,RawData[Tour/Site],$Q$2,RawData[[Picker ID ]],$Q$3,RawData[Checker ID],$Q$4,RawData[[Error Type ]],$Q$5))</f>
        <v/>
      </c>
    </row>
    <row r="7234" spans="15:15" x14ac:dyDescent="0.25">
      <c r="O7234" s="20" t="str">
        <f>IF(N7234="","",COUNTIFS(RawData[[Date ]],N7234,RawData[Month List],$Q$6,RawData[Tour/Site],$Q$2,RawData[[Picker ID ]],$Q$3,RawData[Checker ID],$Q$4,RawData[[Error Type ]],$Q$5))</f>
        <v/>
      </c>
    </row>
    <row r="7235" spans="15:15" x14ac:dyDescent="0.25">
      <c r="O7235" s="20" t="str">
        <f>IF(N7235="","",COUNTIFS(RawData[[Date ]],N7235,RawData[Month List],$Q$6,RawData[Tour/Site],$Q$2,RawData[[Picker ID ]],$Q$3,RawData[Checker ID],$Q$4,RawData[[Error Type ]],$Q$5))</f>
        <v/>
      </c>
    </row>
    <row r="7236" spans="15:15" x14ac:dyDescent="0.25">
      <c r="O7236" s="20" t="str">
        <f>IF(N7236="","",COUNTIFS(RawData[[Date ]],N7236,RawData[Month List],$Q$6,RawData[Tour/Site],$Q$2,RawData[[Picker ID ]],$Q$3,RawData[Checker ID],$Q$4,RawData[[Error Type ]],$Q$5))</f>
        <v/>
      </c>
    </row>
    <row r="7237" spans="15:15" x14ac:dyDescent="0.25">
      <c r="O7237" s="20" t="str">
        <f>IF(N7237="","",COUNTIFS(RawData[[Date ]],N7237,RawData[Month List],$Q$6,RawData[Tour/Site],$Q$2,RawData[[Picker ID ]],$Q$3,RawData[Checker ID],$Q$4,RawData[[Error Type ]],$Q$5))</f>
        <v/>
      </c>
    </row>
    <row r="7238" spans="15:15" x14ac:dyDescent="0.25">
      <c r="O7238" s="20" t="str">
        <f>IF(N7238="","",COUNTIFS(RawData[[Date ]],N7238,RawData[Month List],$Q$6,RawData[Tour/Site],$Q$2,RawData[[Picker ID ]],$Q$3,RawData[Checker ID],$Q$4,RawData[[Error Type ]],$Q$5))</f>
        <v/>
      </c>
    </row>
    <row r="7239" spans="15:15" x14ac:dyDescent="0.25">
      <c r="O7239" s="20" t="str">
        <f>IF(N7239="","",COUNTIFS(RawData[[Date ]],N7239,RawData[Month List],$Q$6,RawData[Tour/Site],$Q$2,RawData[[Picker ID ]],$Q$3,RawData[Checker ID],$Q$4,RawData[[Error Type ]],$Q$5))</f>
        <v/>
      </c>
    </row>
    <row r="7240" spans="15:15" x14ac:dyDescent="0.25">
      <c r="O7240" s="20" t="str">
        <f>IF(N7240="","",COUNTIFS(RawData[[Date ]],N7240,RawData[Month List],$Q$6,RawData[Tour/Site],$Q$2,RawData[[Picker ID ]],$Q$3,RawData[Checker ID],$Q$4,RawData[[Error Type ]],$Q$5))</f>
        <v/>
      </c>
    </row>
    <row r="7241" spans="15:15" x14ac:dyDescent="0.25">
      <c r="O7241" s="20" t="str">
        <f>IF(N7241="","",COUNTIFS(RawData[[Date ]],N7241,RawData[Month List],$Q$6,RawData[Tour/Site],$Q$2,RawData[[Picker ID ]],$Q$3,RawData[Checker ID],$Q$4,RawData[[Error Type ]],$Q$5))</f>
        <v/>
      </c>
    </row>
    <row r="7242" spans="15:15" x14ac:dyDescent="0.25">
      <c r="O7242" s="20" t="str">
        <f>IF(N7242="","",COUNTIFS(RawData[[Date ]],N7242,RawData[Month List],$Q$6,RawData[Tour/Site],$Q$2,RawData[[Picker ID ]],$Q$3,RawData[Checker ID],$Q$4,RawData[[Error Type ]],$Q$5))</f>
        <v/>
      </c>
    </row>
    <row r="7243" spans="15:15" x14ac:dyDescent="0.25">
      <c r="O7243" s="20" t="str">
        <f>IF(N7243="","",COUNTIFS(RawData[[Date ]],N7243,RawData[Month List],$Q$6,RawData[Tour/Site],$Q$2,RawData[[Picker ID ]],$Q$3,RawData[Checker ID],$Q$4,RawData[[Error Type ]],$Q$5))</f>
        <v/>
      </c>
    </row>
    <row r="7244" spans="15:15" x14ac:dyDescent="0.25">
      <c r="O7244" s="20" t="str">
        <f>IF(N7244="","",COUNTIFS(RawData[[Date ]],N7244,RawData[Month List],$Q$6,RawData[Tour/Site],$Q$2,RawData[[Picker ID ]],$Q$3,RawData[Checker ID],$Q$4,RawData[[Error Type ]],$Q$5))</f>
        <v/>
      </c>
    </row>
    <row r="7245" spans="15:15" x14ac:dyDescent="0.25">
      <c r="O7245" s="20" t="str">
        <f>IF(N7245="","",COUNTIFS(RawData[[Date ]],N7245,RawData[Month List],$Q$6,RawData[Tour/Site],$Q$2,RawData[[Picker ID ]],$Q$3,RawData[Checker ID],$Q$4,RawData[[Error Type ]],$Q$5))</f>
        <v/>
      </c>
    </row>
    <row r="7246" spans="15:15" x14ac:dyDescent="0.25">
      <c r="O7246" s="20" t="str">
        <f>IF(N7246="","",COUNTIFS(RawData[[Date ]],N7246,RawData[Month List],$Q$6,RawData[Tour/Site],$Q$2,RawData[[Picker ID ]],$Q$3,RawData[Checker ID],$Q$4,RawData[[Error Type ]],$Q$5))</f>
        <v/>
      </c>
    </row>
    <row r="7247" spans="15:15" x14ac:dyDescent="0.25">
      <c r="O7247" s="20" t="str">
        <f>IF(N7247="","",COUNTIFS(RawData[[Date ]],N7247,RawData[Month List],$Q$6,RawData[Tour/Site],$Q$2,RawData[[Picker ID ]],$Q$3,RawData[Checker ID],$Q$4,RawData[[Error Type ]],$Q$5))</f>
        <v/>
      </c>
    </row>
    <row r="7248" spans="15:15" x14ac:dyDescent="0.25">
      <c r="O7248" s="20" t="str">
        <f>IF(N7248="","",COUNTIFS(RawData[[Date ]],N7248,RawData[Month List],$Q$6,RawData[Tour/Site],$Q$2,RawData[[Picker ID ]],$Q$3,RawData[Checker ID],$Q$4,RawData[[Error Type ]],$Q$5))</f>
        <v/>
      </c>
    </row>
    <row r="7249" spans="15:15" x14ac:dyDescent="0.25">
      <c r="O7249" s="20" t="str">
        <f>IF(N7249="","",COUNTIFS(RawData[[Date ]],N7249,RawData[Month List],$Q$6,RawData[Tour/Site],$Q$2,RawData[[Picker ID ]],$Q$3,RawData[Checker ID],$Q$4,RawData[[Error Type ]],$Q$5))</f>
        <v/>
      </c>
    </row>
    <row r="7250" spans="15:15" x14ac:dyDescent="0.25">
      <c r="O7250" s="20" t="str">
        <f>IF(N7250="","",COUNTIFS(RawData[[Date ]],N7250,RawData[Month List],$Q$6,RawData[Tour/Site],$Q$2,RawData[[Picker ID ]],$Q$3,RawData[Checker ID],$Q$4,RawData[[Error Type ]],$Q$5))</f>
        <v/>
      </c>
    </row>
    <row r="7251" spans="15:15" x14ac:dyDescent="0.25">
      <c r="O7251" s="20" t="str">
        <f>IF(N7251="","",COUNTIFS(RawData[[Date ]],N7251,RawData[Month List],$Q$6,RawData[Tour/Site],$Q$2,RawData[[Picker ID ]],$Q$3,RawData[Checker ID],$Q$4,RawData[[Error Type ]],$Q$5))</f>
        <v/>
      </c>
    </row>
    <row r="7252" spans="15:15" x14ac:dyDescent="0.25">
      <c r="O7252" s="20" t="str">
        <f>IF(N7252="","",COUNTIFS(RawData[[Date ]],N7252,RawData[Month List],$Q$6,RawData[Tour/Site],$Q$2,RawData[[Picker ID ]],$Q$3,RawData[Checker ID],$Q$4,RawData[[Error Type ]],$Q$5))</f>
        <v/>
      </c>
    </row>
    <row r="7253" spans="15:15" x14ac:dyDescent="0.25">
      <c r="O7253" s="20" t="str">
        <f>IF(N7253="","",COUNTIFS(RawData[[Date ]],N7253,RawData[Month List],$Q$6,RawData[Tour/Site],$Q$2,RawData[[Picker ID ]],$Q$3,RawData[Checker ID],$Q$4,RawData[[Error Type ]],$Q$5))</f>
        <v/>
      </c>
    </row>
    <row r="7254" spans="15:15" x14ac:dyDescent="0.25">
      <c r="O7254" s="20" t="str">
        <f>IF(N7254="","",COUNTIFS(RawData[[Date ]],N7254,RawData[Month List],$Q$6,RawData[Tour/Site],$Q$2,RawData[[Picker ID ]],$Q$3,RawData[Checker ID],$Q$4,RawData[[Error Type ]],$Q$5))</f>
        <v/>
      </c>
    </row>
    <row r="7255" spans="15:15" x14ac:dyDescent="0.25">
      <c r="O7255" s="20" t="str">
        <f>IF(N7255="","",COUNTIFS(RawData[[Date ]],N7255,RawData[Month List],$Q$6,RawData[Tour/Site],$Q$2,RawData[[Picker ID ]],$Q$3,RawData[Checker ID],$Q$4,RawData[[Error Type ]],$Q$5))</f>
        <v/>
      </c>
    </row>
    <row r="7256" spans="15:15" x14ac:dyDescent="0.25">
      <c r="O7256" s="20" t="str">
        <f>IF(N7256="","",COUNTIFS(RawData[[Date ]],N7256,RawData[Month List],$Q$6,RawData[Tour/Site],$Q$2,RawData[[Picker ID ]],$Q$3,RawData[Checker ID],$Q$4,RawData[[Error Type ]],$Q$5))</f>
        <v/>
      </c>
    </row>
    <row r="7257" spans="15:15" x14ac:dyDescent="0.25">
      <c r="O7257" s="20" t="str">
        <f>IF(N7257="","",COUNTIFS(RawData[[Date ]],N7257,RawData[Month List],$Q$6,RawData[Tour/Site],$Q$2,RawData[[Picker ID ]],$Q$3,RawData[Checker ID],$Q$4,RawData[[Error Type ]],$Q$5))</f>
        <v/>
      </c>
    </row>
    <row r="7258" spans="15:15" x14ac:dyDescent="0.25">
      <c r="O7258" s="20" t="str">
        <f>IF(N7258="","",COUNTIFS(RawData[[Date ]],N7258,RawData[Month List],$Q$6,RawData[Tour/Site],$Q$2,RawData[[Picker ID ]],$Q$3,RawData[Checker ID],$Q$4,RawData[[Error Type ]],$Q$5))</f>
        <v/>
      </c>
    </row>
    <row r="7259" spans="15:15" x14ac:dyDescent="0.25">
      <c r="O7259" s="20" t="str">
        <f>IF(N7259="","",COUNTIFS(RawData[[Date ]],N7259,RawData[Month List],$Q$6,RawData[Tour/Site],$Q$2,RawData[[Picker ID ]],$Q$3,RawData[Checker ID],$Q$4,RawData[[Error Type ]],$Q$5))</f>
        <v/>
      </c>
    </row>
    <row r="7260" spans="15:15" x14ac:dyDescent="0.25">
      <c r="O7260" s="20" t="str">
        <f>IF(N7260="","",COUNTIFS(RawData[[Date ]],N7260,RawData[Month List],$Q$6,RawData[Tour/Site],$Q$2,RawData[[Picker ID ]],$Q$3,RawData[Checker ID],$Q$4,RawData[[Error Type ]],$Q$5))</f>
        <v/>
      </c>
    </row>
    <row r="7261" spans="15:15" x14ac:dyDescent="0.25">
      <c r="O7261" s="20" t="str">
        <f>IF(N7261="","",COUNTIFS(RawData[[Date ]],N7261,RawData[Month List],$Q$6,RawData[Tour/Site],$Q$2,RawData[[Picker ID ]],$Q$3,RawData[Checker ID],$Q$4,RawData[[Error Type ]],$Q$5))</f>
        <v/>
      </c>
    </row>
    <row r="7262" spans="15:15" x14ac:dyDescent="0.25">
      <c r="O7262" s="20" t="str">
        <f>IF(N7262="","",COUNTIFS(RawData[[Date ]],N7262,RawData[Month List],$Q$6,RawData[Tour/Site],$Q$2,RawData[[Picker ID ]],$Q$3,RawData[Checker ID],$Q$4,RawData[[Error Type ]],$Q$5))</f>
        <v/>
      </c>
    </row>
    <row r="7263" spans="15:15" x14ac:dyDescent="0.25">
      <c r="O7263" s="20" t="str">
        <f>IF(N7263="","",COUNTIFS(RawData[[Date ]],N7263,RawData[Month List],$Q$6,RawData[Tour/Site],$Q$2,RawData[[Picker ID ]],$Q$3,RawData[Checker ID],$Q$4,RawData[[Error Type ]],$Q$5))</f>
        <v/>
      </c>
    </row>
    <row r="7264" spans="15:15" x14ac:dyDescent="0.25">
      <c r="O7264" s="20" t="str">
        <f>IF(N7264="","",COUNTIFS(RawData[[Date ]],N7264,RawData[Month List],$Q$6,RawData[Tour/Site],$Q$2,RawData[[Picker ID ]],$Q$3,RawData[Checker ID],$Q$4,RawData[[Error Type ]],$Q$5))</f>
        <v/>
      </c>
    </row>
    <row r="7265" spans="15:15" x14ac:dyDescent="0.25">
      <c r="O7265" s="20" t="str">
        <f>IF(N7265="","",COUNTIFS(RawData[[Date ]],N7265,RawData[Month List],$Q$6,RawData[Tour/Site],$Q$2,RawData[[Picker ID ]],$Q$3,RawData[Checker ID],$Q$4,RawData[[Error Type ]],$Q$5))</f>
        <v/>
      </c>
    </row>
    <row r="7266" spans="15:15" x14ac:dyDescent="0.25">
      <c r="O7266" s="20" t="str">
        <f>IF(N7266="","",COUNTIFS(RawData[[Date ]],N7266,RawData[Month List],$Q$6,RawData[Tour/Site],$Q$2,RawData[[Picker ID ]],$Q$3,RawData[Checker ID],$Q$4,RawData[[Error Type ]],$Q$5))</f>
        <v/>
      </c>
    </row>
    <row r="7267" spans="15:15" x14ac:dyDescent="0.25">
      <c r="O7267" s="20" t="str">
        <f>IF(N7267="","",COUNTIFS(RawData[[Date ]],N7267,RawData[Month List],$Q$6,RawData[Tour/Site],$Q$2,RawData[[Picker ID ]],$Q$3,RawData[Checker ID],$Q$4,RawData[[Error Type ]],$Q$5))</f>
        <v/>
      </c>
    </row>
    <row r="7268" spans="15:15" x14ac:dyDescent="0.25">
      <c r="O7268" s="20" t="str">
        <f>IF(N7268="","",COUNTIFS(RawData[[Date ]],N7268,RawData[Month List],$Q$6,RawData[Tour/Site],$Q$2,RawData[[Picker ID ]],$Q$3,RawData[Checker ID],$Q$4,RawData[[Error Type ]],$Q$5))</f>
        <v/>
      </c>
    </row>
    <row r="7269" spans="15:15" x14ac:dyDescent="0.25">
      <c r="O7269" s="20" t="str">
        <f>IF(N7269="","",COUNTIFS(RawData[[Date ]],N7269,RawData[Month List],$Q$6,RawData[Tour/Site],$Q$2,RawData[[Picker ID ]],$Q$3,RawData[Checker ID],$Q$4,RawData[[Error Type ]],$Q$5))</f>
        <v/>
      </c>
    </row>
    <row r="7270" spans="15:15" x14ac:dyDescent="0.25">
      <c r="O7270" s="20" t="str">
        <f>IF(N7270="","",COUNTIFS(RawData[[Date ]],N7270,RawData[Month List],$Q$6,RawData[Tour/Site],$Q$2,RawData[[Picker ID ]],$Q$3,RawData[Checker ID],$Q$4,RawData[[Error Type ]],$Q$5))</f>
        <v/>
      </c>
    </row>
    <row r="7271" spans="15:15" x14ac:dyDescent="0.25">
      <c r="O7271" s="20" t="str">
        <f>IF(N7271="","",COUNTIFS(RawData[[Date ]],N7271,RawData[Month List],$Q$6,RawData[Tour/Site],$Q$2,RawData[[Picker ID ]],$Q$3,RawData[Checker ID],$Q$4,RawData[[Error Type ]],$Q$5))</f>
        <v/>
      </c>
    </row>
    <row r="7272" spans="15:15" x14ac:dyDescent="0.25">
      <c r="O7272" s="20" t="str">
        <f>IF(N7272="","",COUNTIFS(RawData[[Date ]],N7272,RawData[Month List],$Q$6,RawData[Tour/Site],$Q$2,RawData[[Picker ID ]],$Q$3,RawData[Checker ID],$Q$4,RawData[[Error Type ]],$Q$5))</f>
        <v/>
      </c>
    </row>
    <row r="7273" spans="15:15" x14ac:dyDescent="0.25">
      <c r="O7273" s="20" t="str">
        <f>IF(N7273="","",COUNTIFS(RawData[[Date ]],N7273,RawData[Month List],$Q$6,RawData[Tour/Site],$Q$2,RawData[[Picker ID ]],$Q$3,RawData[Checker ID],$Q$4,RawData[[Error Type ]],$Q$5))</f>
        <v/>
      </c>
    </row>
    <row r="7274" spans="15:15" x14ac:dyDescent="0.25">
      <c r="O7274" s="20" t="str">
        <f>IF(N7274="","",COUNTIFS(RawData[[Date ]],N7274,RawData[Month List],$Q$6,RawData[Tour/Site],$Q$2,RawData[[Picker ID ]],$Q$3,RawData[Checker ID],$Q$4,RawData[[Error Type ]],$Q$5))</f>
        <v/>
      </c>
    </row>
    <row r="7275" spans="15:15" x14ac:dyDescent="0.25">
      <c r="O7275" s="20" t="str">
        <f>IF(N7275="","",COUNTIFS(RawData[[Date ]],N7275,RawData[Month List],$Q$6,RawData[Tour/Site],$Q$2,RawData[[Picker ID ]],$Q$3,RawData[Checker ID],$Q$4,RawData[[Error Type ]],$Q$5))</f>
        <v/>
      </c>
    </row>
    <row r="7276" spans="15:15" x14ac:dyDescent="0.25">
      <c r="O7276" s="20" t="str">
        <f>IF(N7276="","",COUNTIFS(RawData[[Date ]],N7276,RawData[Month List],$Q$6,RawData[Tour/Site],$Q$2,RawData[[Picker ID ]],$Q$3,RawData[Checker ID],$Q$4,RawData[[Error Type ]],$Q$5))</f>
        <v/>
      </c>
    </row>
    <row r="7277" spans="15:15" x14ac:dyDescent="0.25">
      <c r="O7277" s="20" t="str">
        <f>IF(N7277="","",COUNTIFS(RawData[[Date ]],N7277,RawData[Month List],$Q$6,RawData[Tour/Site],$Q$2,RawData[[Picker ID ]],$Q$3,RawData[Checker ID],$Q$4,RawData[[Error Type ]],$Q$5))</f>
        <v/>
      </c>
    </row>
    <row r="7278" spans="15:15" x14ac:dyDescent="0.25">
      <c r="O7278" s="20" t="str">
        <f>IF(N7278="","",COUNTIFS(RawData[[Date ]],N7278,RawData[Month List],$Q$6,RawData[Tour/Site],$Q$2,RawData[[Picker ID ]],$Q$3,RawData[Checker ID],$Q$4,RawData[[Error Type ]],$Q$5))</f>
        <v/>
      </c>
    </row>
    <row r="7279" spans="15:15" x14ac:dyDescent="0.25">
      <c r="O7279" s="20" t="str">
        <f>IF(N7279="","",COUNTIFS(RawData[[Date ]],N7279,RawData[Month List],$Q$6,RawData[Tour/Site],$Q$2,RawData[[Picker ID ]],$Q$3,RawData[Checker ID],$Q$4,RawData[[Error Type ]],$Q$5))</f>
        <v/>
      </c>
    </row>
    <row r="7280" spans="15:15" x14ac:dyDescent="0.25">
      <c r="O7280" s="20" t="str">
        <f>IF(N7280="","",COUNTIFS(RawData[[Date ]],N7280,RawData[Month List],$Q$6,RawData[Tour/Site],$Q$2,RawData[[Picker ID ]],$Q$3,RawData[Checker ID],$Q$4,RawData[[Error Type ]],$Q$5))</f>
        <v/>
      </c>
    </row>
    <row r="7281" spans="15:15" x14ac:dyDescent="0.25">
      <c r="O7281" s="20" t="str">
        <f>IF(N7281="","",COUNTIFS(RawData[[Date ]],N7281,RawData[Month List],$Q$6,RawData[Tour/Site],$Q$2,RawData[[Picker ID ]],$Q$3,RawData[Checker ID],$Q$4,RawData[[Error Type ]],$Q$5))</f>
        <v/>
      </c>
    </row>
    <row r="7282" spans="15:15" x14ac:dyDescent="0.25">
      <c r="O7282" s="20" t="str">
        <f>IF(N7282="","",COUNTIFS(RawData[[Date ]],N7282,RawData[Month List],$Q$6,RawData[Tour/Site],$Q$2,RawData[[Picker ID ]],$Q$3,RawData[Checker ID],$Q$4,RawData[[Error Type ]],$Q$5))</f>
        <v/>
      </c>
    </row>
    <row r="7283" spans="15:15" x14ac:dyDescent="0.25">
      <c r="O7283" s="20" t="str">
        <f>IF(N7283="","",COUNTIFS(RawData[[Date ]],N7283,RawData[Month List],$Q$6,RawData[Tour/Site],$Q$2,RawData[[Picker ID ]],$Q$3,RawData[Checker ID],$Q$4,RawData[[Error Type ]],$Q$5))</f>
        <v/>
      </c>
    </row>
    <row r="7284" spans="15:15" x14ac:dyDescent="0.25">
      <c r="O7284" s="20" t="str">
        <f>IF(N7284="","",COUNTIFS(RawData[[Date ]],N7284,RawData[Month List],$Q$6,RawData[Tour/Site],$Q$2,RawData[[Picker ID ]],$Q$3,RawData[Checker ID],$Q$4,RawData[[Error Type ]],$Q$5))</f>
        <v/>
      </c>
    </row>
    <row r="7285" spans="15:15" x14ac:dyDescent="0.25">
      <c r="O7285" s="20" t="str">
        <f>IF(N7285="","",COUNTIFS(RawData[[Date ]],N7285,RawData[Month List],$Q$6,RawData[Tour/Site],$Q$2,RawData[[Picker ID ]],$Q$3,RawData[Checker ID],$Q$4,RawData[[Error Type ]],$Q$5))</f>
        <v/>
      </c>
    </row>
    <row r="7286" spans="15:15" x14ac:dyDescent="0.25">
      <c r="O7286" s="20" t="str">
        <f>IF(N7286="","",COUNTIFS(RawData[[Date ]],N7286,RawData[Month List],$Q$6,RawData[Tour/Site],$Q$2,RawData[[Picker ID ]],$Q$3,RawData[Checker ID],$Q$4,RawData[[Error Type ]],$Q$5))</f>
        <v/>
      </c>
    </row>
    <row r="7287" spans="15:15" x14ac:dyDescent="0.25">
      <c r="O7287" s="20" t="str">
        <f>IF(N7287="","",COUNTIFS(RawData[[Date ]],N7287,RawData[Month List],$Q$6,RawData[Tour/Site],$Q$2,RawData[[Picker ID ]],$Q$3,RawData[Checker ID],$Q$4,RawData[[Error Type ]],$Q$5))</f>
        <v/>
      </c>
    </row>
    <row r="7288" spans="15:15" x14ac:dyDescent="0.25">
      <c r="O7288" s="20" t="str">
        <f>IF(N7288="","",COUNTIFS(RawData[[Date ]],N7288,RawData[Month List],$Q$6,RawData[Tour/Site],$Q$2,RawData[[Picker ID ]],$Q$3,RawData[Checker ID],$Q$4,RawData[[Error Type ]],$Q$5))</f>
        <v/>
      </c>
    </row>
    <row r="7289" spans="15:15" x14ac:dyDescent="0.25">
      <c r="O7289" s="20" t="str">
        <f>IF(N7289="","",COUNTIFS(RawData[[Date ]],N7289,RawData[Month List],$Q$6,RawData[Tour/Site],$Q$2,RawData[[Picker ID ]],$Q$3,RawData[Checker ID],$Q$4,RawData[[Error Type ]],$Q$5))</f>
        <v/>
      </c>
    </row>
    <row r="7290" spans="15:15" x14ac:dyDescent="0.25">
      <c r="O7290" s="20" t="str">
        <f>IF(N7290="","",COUNTIFS(RawData[[Date ]],N7290,RawData[Month List],$Q$6,RawData[Tour/Site],$Q$2,RawData[[Picker ID ]],$Q$3,RawData[Checker ID],$Q$4,RawData[[Error Type ]],$Q$5))</f>
        <v/>
      </c>
    </row>
    <row r="7291" spans="15:15" x14ac:dyDescent="0.25">
      <c r="O7291" s="20" t="str">
        <f>IF(N7291="","",COUNTIFS(RawData[[Date ]],N7291,RawData[Month List],$Q$6,RawData[Tour/Site],$Q$2,RawData[[Picker ID ]],$Q$3,RawData[Checker ID],$Q$4,RawData[[Error Type ]],$Q$5))</f>
        <v/>
      </c>
    </row>
    <row r="7292" spans="15:15" x14ac:dyDescent="0.25">
      <c r="O7292" s="20" t="str">
        <f>IF(N7292="","",COUNTIFS(RawData[[Date ]],N7292,RawData[Month List],$Q$6,RawData[Tour/Site],$Q$2,RawData[[Picker ID ]],$Q$3,RawData[Checker ID],$Q$4,RawData[[Error Type ]],$Q$5))</f>
        <v/>
      </c>
    </row>
    <row r="7293" spans="15:15" x14ac:dyDescent="0.25">
      <c r="O7293" s="20" t="str">
        <f>IF(N7293="","",COUNTIFS(RawData[[Date ]],N7293,RawData[Month List],$Q$6,RawData[Tour/Site],$Q$2,RawData[[Picker ID ]],$Q$3,RawData[Checker ID],$Q$4,RawData[[Error Type ]],$Q$5))</f>
        <v/>
      </c>
    </row>
    <row r="7294" spans="15:15" x14ac:dyDescent="0.25">
      <c r="O7294" s="20" t="str">
        <f>IF(N7294="","",COUNTIFS(RawData[[Date ]],N7294,RawData[Month List],$Q$6,RawData[Tour/Site],$Q$2,RawData[[Picker ID ]],$Q$3,RawData[Checker ID],$Q$4,RawData[[Error Type ]],$Q$5))</f>
        <v/>
      </c>
    </row>
    <row r="7295" spans="15:15" x14ac:dyDescent="0.25">
      <c r="O7295" s="20" t="str">
        <f>IF(N7295="","",COUNTIFS(RawData[[Date ]],N7295,RawData[Month List],$Q$6,RawData[Tour/Site],$Q$2,RawData[[Picker ID ]],$Q$3,RawData[Checker ID],$Q$4,RawData[[Error Type ]],$Q$5))</f>
        <v/>
      </c>
    </row>
    <row r="7296" spans="15:15" x14ac:dyDescent="0.25">
      <c r="O7296" s="20" t="str">
        <f>IF(N7296="","",COUNTIFS(RawData[[Date ]],N7296,RawData[Month List],$Q$6,RawData[Tour/Site],$Q$2,RawData[[Picker ID ]],$Q$3,RawData[Checker ID],$Q$4,RawData[[Error Type ]],$Q$5))</f>
        <v/>
      </c>
    </row>
    <row r="7297" spans="15:15" x14ac:dyDescent="0.25">
      <c r="O7297" s="20" t="str">
        <f>IF(N7297="","",COUNTIFS(RawData[[Date ]],N7297,RawData[Month List],$Q$6,RawData[Tour/Site],$Q$2,RawData[[Picker ID ]],$Q$3,RawData[Checker ID],$Q$4,RawData[[Error Type ]],$Q$5))</f>
        <v/>
      </c>
    </row>
    <row r="7298" spans="15:15" x14ac:dyDescent="0.25">
      <c r="O7298" s="20" t="str">
        <f>IF(N7298="","",COUNTIFS(RawData[[Date ]],N7298,RawData[Month List],$Q$6,RawData[Tour/Site],$Q$2,RawData[[Picker ID ]],$Q$3,RawData[Checker ID],$Q$4,RawData[[Error Type ]],$Q$5))</f>
        <v/>
      </c>
    </row>
    <row r="7299" spans="15:15" x14ac:dyDescent="0.25">
      <c r="O7299" s="20" t="str">
        <f>IF(N7299="","",COUNTIFS(RawData[[Date ]],N7299,RawData[Month List],$Q$6,RawData[Tour/Site],$Q$2,RawData[[Picker ID ]],$Q$3,RawData[Checker ID],$Q$4,RawData[[Error Type ]],$Q$5))</f>
        <v/>
      </c>
    </row>
    <row r="7300" spans="15:15" x14ac:dyDescent="0.25">
      <c r="O7300" s="20" t="str">
        <f>IF(N7300="","",COUNTIFS(RawData[[Date ]],N7300,RawData[Month List],$Q$6,RawData[Tour/Site],$Q$2,RawData[[Picker ID ]],$Q$3,RawData[Checker ID],$Q$4,RawData[[Error Type ]],$Q$5))</f>
        <v/>
      </c>
    </row>
    <row r="7301" spans="15:15" x14ac:dyDescent="0.25">
      <c r="O7301" s="20" t="str">
        <f>IF(N7301="","",COUNTIFS(RawData[[Date ]],N7301,RawData[Month List],$Q$6,RawData[Tour/Site],$Q$2,RawData[[Picker ID ]],$Q$3,RawData[Checker ID],$Q$4,RawData[[Error Type ]],$Q$5))</f>
        <v/>
      </c>
    </row>
    <row r="7302" spans="15:15" x14ac:dyDescent="0.25">
      <c r="O7302" s="20" t="str">
        <f>IF(N7302="","",COUNTIFS(RawData[[Date ]],N7302,RawData[Month List],$Q$6,RawData[Tour/Site],$Q$2,RawData[[Picker ID ]],$Q$3,RawData[Checker ID],$Q$4,RawData[[Error Type ]],$Q$5))</f>
        <v/>
      </c>
    </row>
    <row r="7303" spans="15:15" x14ac:dyDescent="0.25">
      <c r="O7303" s="20" t="str">
        <f>IF(N7303="","",COUNTIFS(RawData[[Date ]],N7303,RawData[Month List],$Q$6,RawData[Tour/Site],$Q$2,RawData[[Picker ID ]],$Q$3,RawData[Checker ID],$Q$4,RawData[[Error Type ]],$Q$5))</f>
        <v/>
      </c>
    </row>
    <row r="7304" spans="15:15" x14ac:dyDescent="0.25">
      <c r="O7304" s="20" t="str">
        <f>IF(N7304="","",COUNTIFS(RawData[[Date ]],N7304,RawData[Month List],$Q$6,RawData[Tour/Site],$Q$2,RawData[[Picker ID ]],$Q$3,RawData[Checker ID],$Q$4,RawData[[Error Type ]],$Q$5))</f>
        <v/>
      </c>
    </row>
    <row r="7305" spans="15:15" x14ac:dyDescent="0.25">
      <c r="O7305" s="20" t="str">
        <f>IF(N7305="","",COUNTIFS(RawData[[Date ]],N7305,RawData[Month List],$Q$6,RawData[Tour/Site],$Q$2,RawData[[Picker ID ]],$Q$3,RawData[Checker ID],$Q$4,RawData[[Error Type ]],$Q$5))</f>
        <v/>
      </c>
    </row>
    <row r="7306" spans="15:15" x14ac:dyDescent="0.25">
      <c r="O7306" s="20" t="str">
        <f>IF(N7306="","",COUNTIFS(RawData[[Date ]],N7306,RawData[Month List],$Q$6,RawData[Tour/Site],$Q$2,RawData[[Picker ID ]],$Q$3,RawData[Checker ID],$Q$4,RawData[[Error Type ]],$Q$5))</f>
        <v/>
      </c>
    </row>
    <row r="7307" spans="15:15" x14ac:dyDescent="0.25">
      <c r="O7307" s="20" t="str">
        <f>IF(N7307="","",COUNTIFS(RawData[[Date ]],N7307,RawData[Month List],$Q$6,RawData[Tour/Site],$Q$2,RawData[[Picker ID ]],$Q$3,RawData[Checker ID],$Q$4,RawData[[Error Type ]],$Q$5))</f>
        <v/>
      </c>
    </row>
    <row r="7308" spans="15:15" x14ac:dyDescent="0.25">
      <c r="O7308" s="20" t="str">
        <f>IF(N7308="","",COUNTIFS(RawData[[Date ]],N7308,RawData[Month List],$Q$6,RawData[Tour/Site],$Q$2,RawData[[Picker ID ]],$Q$3,RawData[Checker ID],$Q$4,RawData[[Error Type ]],$Q$5))</f>
        <v/>
      </c>
    </row>
    <row r="7309" spans="15:15" x14ac:dyDescent="0.25">
      <c r="O7309" s="20" t="str">
        <f>IF(N7309="","",COUNTIFS(RawData[[Date ]],N7309,RawData[Month List],$Q$6,RawData[Tour/Site],$Q$2,RawData[[Picker ID ]],$Q$3,RawData[Checker ID],$Q$4,RawData[[Error Type ]],$Q$5))</f>
        <v/>
      </c>
    </row>
    <row r="7310" spans="15:15" x14ac:dyDescent="0.25">
      <c r="O7310" s="20" t="str">
        <f>IF(N7310="","",COUNTIFS(RawData[[Date ]],N7310,RawData[Month List],$Q$6,RawData[Tour/Site],$Q$2,RawData[[Picker ID ]],$Q$3,RawData[Checker ID],$Q$4,RawData[[Error Type ]],$Q$5))</f>
        <v/>
      </c>
    </row>
    <row r="7311" spans="15:15" x14ac:dyDescent="0.25">
      <c r="O7311" s="20" t="str">
        <f>IF(N7311="","",COUNTIFS(RawData[[Date ]],N7311,RawData[Month List],$Q$6,RawData[Tour/Site],$Q$2,RawData[[Picker ID ]],$Q$3,RawData[Checker ID],$Q$4,RawData[[Error Type ]],$Q$5))</f>
        <v/>
      </c>
    </row>
    <row r="7312" spans="15:15" x14ac:dyDescent="0.25">
      <c r="O7312" s="20" t="str">
        <f>IF(N7312="","",COUNTIFS(RawData[[Date ]],N7312,RawData[Month List],$Q$6,RawData[Tour/Site],$Q$2,RawData[[Picker ID ]],$Q$3,RawData[Checker ID],$Q$4,RawData[[Error Type ]],$Q$5))</f>
        <v/>
      </c>
    </row>
    <row r="7313" spans="15:15" x14ac:dyDescent="0.25">
      <c r="O7313" s="20" t="str">
        <f>IF(N7313="","",COUNTIFS(RawData[[Date ]],N7313,RawData[Month List],$Q$6,RawData[Tour/Site],$Q$2,RawData[[Picker ID ]],$Q$3,RawData[Checker ID],$Q$4,RawData[[Error Type ]],$Q$5))</f>
        <v/>
      </c>
    </row>
    <row r="7314" spans="15:15" x14ac:dyDescent="0.25">
      <c r="O7314" s="20" t="str">
        <f>IF(N7314="","",COUNTIFS(RawData[[Date ]],N7314,RawData[Month List],$Q$6,RawData[Tour/Site],$Q$2,RawData[[Picker ID ]],$Q$3,RawData[Checker ID],$Q$4,RawData[[Error Type ]],$Q$5))</f>
        <v/>
      </c>
    </row>
    <row r="7315" spans="15:15" x14ac:dyDescent="0.25">
      <c r="O7315" s="20" t="str">
        <f>IF(N7315="","",COUNTIFS(RawData[[Date ]],N7315,RawData[Month List],$Q$6,RawData[Tour/Site],$Q$2,RawData[[Picker ID ]],$Q$3,RawData[Checker ID],$Q$4,RawData[[Error Type ]],$Q$5))</f>
        <v/>
      </c>
    </row>
    <row r="7316" spans="15:15" x14ac:dyDescent="0.25">
      <c r="O7316" s="20" t="str">
        <f>IF(N7316="","",COUNTIFS(RawData[[Date ]],N7316,RawData[Month List],$Q$6,RawData[Tour/Site],$Q$2,RawData[[Picker ID ]],$Q$3,RawData[Checker ID],$Q$4,RawData[[Error Type ]],$Q$5))</f>
        <v/>
      </c>
    </row>
    <row r="7317" spans="15:15" x14ac:dyDescent="0.25">
      <c r="O7317" s="20" t="str">
        <f>IF(N7317="","",COUNTIFS(RawData[[Date ]],N7317,RawData[Month List],$Q$6,RawData[Tour/Site],$Q$2,RawData[[Picker ID ]],$Q$3,RawData[Checker ID],$Q$4,RawData[[Error Type ]],$Q$5))</f>
        <v/>
      </c>
    </row>
    <row r="7318" spans="15:15" x14ac:dyDescent="0.25">
      <c r="O7318" s="20" t="str">
        <f>IF(N7318="","",COUNTIFS(RawData[[Date ]],N7318,RawData[Month List],$Q$6,RawData[Tour/Site],$Q$2,RawData[[Picker ID ]],$Q$3,RawData[Checker ID],$Q$4,RawData[[Error Type ]],$Q$5))</f>
        <v/>
      </c>
    </row>
    <row r="7319" spans="15:15" x14ac:dyDescent="0.25">
      <c r="O7319" s="20" t="str">
        <f>IF(N7319="","",COUNTIFS(RawData[[Date ]],N7319,RawData[Month List],$Q$6,RawData[Tour/Site],$Q$2,RawData[[Picker ID ]],$Q$3,RawData[Checker ID],$Q$4,RawData[[Error Type ]],$Q$5))</f>
        <v/>
      </c>
    </row>
    <row r="7320" spans="15:15" x14ac:dyDescent="0.25">
      <c r="O7320" s="20" t="str">
        <f>IF(N7320="","",COUNTIFS(RawData[[Date ]],N7320,RawData[Month List],$Q$6,RawData[Tour/Site],$Q$2,RawData[[Picker ID ]],$Q$3,RawData[Checker ID],$Q$4,RawData[[Error Type ]],$Q$5))</f>
        <v/>
      </c>
    </row>
    <row r="7321" spans="15:15" x14ac:dyDescent="0.25">
      <c r="O7321" s="20" t="str">
        <f>IF(N7321="","",COUNTIFS(RawData[[Date ]],N7321,RawData[Month List],$Q$6,RawData[Tour/Site],$Q$2,RawData[[Picker ID ]],$Q$3,RawData[Checker ID],$Q$4,RawData[[Error Type ]],$Q$5))</f>
        <v/>
      </c>
    </row>
    <row r="7322" spans="15:15" x14ac:dyDescent="0.25">
      <c r="O7322" s="20" t="str">
        <f>IF(N7322="","",COUNTIFS(RawData[[Date ]],N7322,RawData[Month List],$Q$6,RawData[Tour/Site],$Q$2,RawData[[Picker ID ]],$Q$3,RawData[Checker ID],$Q$4,RawData[[Error Type ]],$Q$5))</f>
        <v/>
      </c>
    </row>
    <row r="7323" spans="15:15" x14ac:dyDescent="0.25">
      <c r="O7323" s="20" t="str">
        <f>IF(N7323="","",COUNTIFS(RawData[[Date ]],N7323,RawData[Month List],$Q$6,RawData[Tour/Site],$Q$2,RawData[[Picker ID ]],$Q$3,RawData[Checker ID],$Q$4,RawData[[Error Type ]],$Q$5))</f>
        <v/>
      </c>
    </row>
    <row r="7324" spans="15:15" x14ac:dyDescent="0.25">
      <c r="O7324" s="20" t="str">
        <f>IF(N7324="","",COUNTIFS(RawData[[Date ]],N7324,RawData[Month List],$Q$6,RawData[Tour/Site],$Q$2,RawData[[Picker ID ]],$Q$3,RawData[Checker ID],$Q$4,RawData[[Error Type ]],$Q$5))</f>
        <v/>
      </c>
    </row>
    <row r="7325" spans="15:15" x14ac:dyDescent="0.25">
      <c r="O7325" s="20" t="str">
        <f>IF(N7325="","",COUNTIFS(RawData[[Date ]],N7325,RawData[Month List],$Q$6,RawData[Tour/Site],$Q$2,RawData[[Picker ID ]],$Q$3,RawData[Checker ID],$Q$4,RawData[[Error Type ]],$Q$5))</f>
        <v/>
      </c>
    </row>
    <row r="7326" spans="15:15" x14ac:dyDescent="0.25">
      <c r="O7326" s="20" t="str">
        <f>IF(N7326="","",COUNTIFS(RawData[[Date ]],N7326,RawData[Month List],$Q$6,RawData[Tour/Site],$Q$2,RawData[[Picker ID ]],$Q$3,RawData[Checker ID],$Q$4,RawData[[Error Type ]],$Q$5))</f>
        <v/>
      </c>
    </row>
    <row r="7327" spans="15:15" x14ac:dyDescent="0.25">
      <c r="O7327" s="20" t="str">
        <f>IF(N7327="","",COUNTIFS(RawData[[Date ]],N7327,RawData[Month List],$Q$6,RawData[Tour/Site],$Q$2,RawData[[Picker ID ]],$Q$3,RawData[Checker ID],$Q$4,RawData[[Error Type ]],$Q$5))</f>
        <v/>
      </c>
    </row>
    <row r="7328" spans="15:15" x14ac:dyDescent="0.25">
      <c r="O7328" s="20" t="str">
        <f>IF(N7328="","",COUNTIFS(RawData[[Date ]],N7328,RawData[Month List],$Q$6,RawData[Tour/Site],$Q$2,RawData[[Picker ID ]],$Q$3,RawData[Checker ID],$Q$4,RawData[[Error Type ]],$Q$5))</f>
        <v/>
      </c>
    </row>
    <row r="7329" spans="15:15" x14ac:dyDescent="0.25">
      <c r="O7329" s="20" t="str">
        <f>IF(N7329="","",COUNTIFS(RawData[[Date ]],N7329,RawData[Month List],$Q$6,RawData[Tour/Site],$Q$2,RawData[[Picker ID ]],$Q$3,RawData[Checker ID],$Q$4,RawData[[Error Type ]],$Q$5))</f>
        <v/>
      </c>
    </row>
    <row r="7330" spans="15:15" x14ac:dyDescent="0.25">
      <c r="O7330" s="20" t="str">
        <f>IF(N7330="","",COUNTIFS(RawData[[Date ]],N7330,RawData[Month List],$Q$6,RawData[Tour/Site],$Q$2,RawData[[Picker ID ]],$Q$3,RawData[Checker ID],$Q$4,RawData[[Error Type ]],$Q$5))</f>
        <v/>
      </c>
    </row>
    <row r="7331" spans="15:15" x14ac:dyDescent="0.25">
      <c r="O7331" s="20" t="str">
        <f>IF(N7331="","",COUNTIFS(RawData[[Date ]],N7331,RawData[Month List],$Q$6,RawData[Tour/Site],$Q$2,RawData[[Picker ID ]],$Q$3,RawData[Checker ID],$Q$4,RawData[[Error Type ]],$Q$5))</f>
        <v/>
      </c>
    </row>
    <row r="7332" spans="15:15" x14ac:dyDescent="0.25">
      <c r="O7332" s="20" t="str">
        <f>IF(N7332="","",COUNTIFS(RawData[[Date ]],N7332,RawData[Month List],$Q$6,RawData[Tour/Site],$Q$2,RawData[[Picker ID ]],$Q$3,RawData[Checker ID],$Q$4,RawData[[Error Type ]],$Q$5))</f>
        <v/>
      </c>
    </row>
    <row r="7333" spans="15:15" x14ac:dyDescent="0.25">
      <c r="O7333" s="20" t="str">
        <f>IF(N7333="","",COUNTIFS(RawData[[Date ]],N7333,RawData[Month List],$Q$6,RawData[Tour/Site],$Q$2,RawData[[Picker ID ]],$Q$3,RawData[Checker ID],$Q$4,RawData[[Error Type ]],$Q$5))</f>
        <v/>
      </c>
    </row>
    <row r="7334" spans="15:15" x14ac:dyDescent="0.25">
      <c r="O7334" s="20" t="str">
        <f>IF(N7334="","",COUNTIFS(RawData[[Date ]],N7334,RawData[Month List],$Q$6,RawData[Tour/Site],$Q$2,RawData[[Picker ID ]],$Q$3,RawData[Checker ID],$Q$4,RawData[[Error Type ]],$Q$5))</f>
        <v/>
      </c>
    </row>
    <row r="7335" spans="15:15" x14ac:dyDescent="0.25">
      <c r="O7335" s="20" t="str">
        <f>IF(N7335="","",COUNTIFS(RawData[[Date ]],N7335,RawData[Month List],$Q$6,RawData[Tour/Site],$Q$2,RawData[[Picker ID ]],$Q$3,RawData[Checker ID],$Q$4,RawData[[Error Type ]],$Q$5))</f>
        <v/>
      </c>
    </row>
    <row r="7336" spans="15:15" x14ac:dyDescent="0.25">
      <c r="O7336" s="20" t="str">
        <f>IF(N7336="","",COUNTIFS(RawData[[Date ]],N7336,RawData[Month List],$Q$6,RawData[Tour/Site],$Q$2,RawData[[Picker ID ]],$Q$3,RawData[Checker ID],$Q$4,RawData[[Error Type ]],$Q$5))</f>
        <v/>
      </c>
    </row>
    <row r="7337" spans="15:15" x14ac:dyDescent="0.25">
      <c r="O7337" s="20" t="str">
        <f>IF(N7337="","",COUNTIFS(RawData[[Date ]],N7337,RawData[Month List],$Q$6,RawData[Tour/Site],$Q$2,RawData[[Picker ID ]],$Q$3,RawData[Checker ID],$Q$4,RawData[[Error Type ]],$Q$5))</f>
        <v/>
      </c>
    </row>
    <row r="7338" spans="15:15" x14ac:dyDescent="0.25">
      <c r="O7338" s="20" t="str">
        <f>IF(N7338="","",COUNTIFS(RawData[[Date ]],N7338,RawData[Month List],$Q$6,RawData[Tour/Site],$Q$2,RawData[[Picker ID ]],$Q$3,RawData[Checker ID],$Q$4,RawData[[Error Type ]],$Q$5))</f>
        <v/>
      </c>
    </row>
    <row r="7339" spans="15:15" x14ac:dyDescent="0.25">
      <c r="O7339" s="20" t="str">
        <f>IF(N7339="","",COUNTIFS(RawData[[Date ]],N7339,RawData[Month List],$Q$6,RawData[Tour/Site],$Q$2,RawData[[Picker ID ]],$Q$3,RawData[Checker ID],$Q$4,RawData[[Error Type ]],$Q$5))</f>
        <v/>
      </c>
    </row>
    <row r="7340" spans="15:15" x14ac:dyDescent="0.25">
      <c r="O7340" s="20" t="str">
        <f>IF(N7340="","",COUNTIFS(RawData[[Date ]],N7340,RawData[Month List],$Q$6,RawData[Tour/Site],$Q$2,RawData[[Picker ID ]],$Q$3,RawData[Checker ID],$Q$4,RawData[[Error Type ]],$Q$5))</f>
        <v/>
      </c>
    </row>
    <row r="7341" spans="15:15" x14ac:dyDescent="0.25">
      <c r="O7341" s="20" t="str">
        <f>IF(N7341="","",COUNTIFS(RawData[[Date ]],N7341,RawData[Month List],$Q$6,RawData[Tour/Site],$Q$2,RawData[[Picker ID ]],$Q$3,RawData[Checker ID],$Q$4,RawData[[Error Type ]],$Q$5))</f>
        <v/>
      </c>
    </row>
    <row r="7342" spans="15:15" x14ac:dyDescent="0.25">
      <c r="O7342" s="20" t="str">
        <f>IF(N7342="","",COUNTIFS(RawData[[Date ]],N7342,RawData[Month List],$Q$6,RawData[Tour/Site],$Q$2,RawData[[Picker ID ]],$Q$3,RawData[Checker ID],$Q$4,RawData[[Error Type ]],$Q$5))</f>
        <v/>
      </c>
    </row>
    <row r="7343" spans="15:15" x14ac:dyDescent="0.25">
      <c r="O7343" s="20" t="str">
        <f>IF(N7343="","",COUNTIFS(RawData[[Date ]],N7343,RawData[Month List],$Q$6,RawData[Tour/Site],$Q$2,RawData[[Picker ID ]],$Q$3,RawData[Checker ID],$Q$4,RawData[[Error Type ]],$Q$5))</f>
        <v/>
      </c>
    </row>
    <row r="7344" spans="15:15" x14ac:dyDescent="0.25">
      <c r="O7344" s="20" t="str">
        <f>IF(N7344="","",COUNTIFS(RawData[[Date ]],N7344,RawData[Month List],$Q$6,RawData[Tour/Site],$Q$2,RawData[[Picker ID ]],$Q$3,RawData[Checker ID],$Q$4,RawData[[Error Type ]],$Q$5))</f>
        <v/>
      </c>
    </row>
    <row r="7345" spans="15:15" x14ac:dyDescent="0.25">
      <c r="O7345" s="20" t="str">
        <f>IF(N7345="","",COUNTIFS(RawData[[Date ]],N7345,RawData[Month List],$Q$6,RawData[Tour/Site],$Q$2,RawData[[Picker ID ]],$Q$3,RawData[Checker ID],$Q$4,RawData[[Error Type ]],$Q$5))</f>
        <v/>
      </c>
    </row>
    <row r="7346" spans="15:15" x14ac:dyDescent="0.25">
      <c r="O7346" s="20" t="str">
        <f>IF(N7346="","",COUNTIFS(RawData[[Date ]],N7346,RawData[Month List],$Q$6,RawData[Tour/Site],$Q$2,RawData[[Picker ID ]],$Q$3,RawData[Checker ID],$Q$4,RawData[[Error Type ]],$Q$5))</f>
        <v/>
      </c>
    </row>
    <row r="7347" spans="15:15" x14ac:dyDescent="0.25">
      <c r="O7347" s="20" t="str">
        <f>IF(N7347="","",COUNTIFS(RawData[[Date ]],N7347,RawData[Month List],$Q$6,RawData[Tour/Site],$Q$2,RawData[[Picker ID ]],$Q$3,RawData[Checker ID],$Q$4,RawData[[Error Type ]],$Q$5))</f>
        <v/>
      </c>
    </row>
    <row r="7348" spans="15:15" x14ac:dyDescent="0.25">
      <c r="O7348" s="20" t="str">
        <f>IF(N7348="","",COUNTIFS(RawData[[Date ]],N7348,RawData[Month List],$Q$6,RawData[Tour/Site],$Q$2,RawData[[Picker ID ]],$Q$3,RawData[Checker ID],$Q$4,RawData[[Error Type ]],$Q$5))</f>
        <v/>
      </c>
    </row>
    <row r="7349" spans="15:15" x14ac:dyDescent="0.25">
      <c r="O7349" s="20" t="str">
        <f>IF(N7349="","",COUNTIFS(RawData[[Date ]],N7349,RawData[Month List],$Q$6,RawData[Tour/Site],$Q$2,RawData[[Picker ID ]],$Q$3,RawData[Checker ID],$Q$4,RawData[[Error Type ]],$Q$5))</f>
        <v/>
      </c>
    </row>
    <row r="7350" spans="15:15" x14ac:dyDescent="0.25">
      <c r="O7350" s="20" t="str">
        <f>IF(N7350="","",COUNTIFS(RawData[[Date ]],N7350,RawData[Month List],$Q$6,RawData[Tour/Site],$Q$2,RawData[[Picker ID ]],$Q$3,RawData[Checker ID],$Q$4,RawData[[Error Type ]],$Q$5))</f>
        <v/>
      </c>
    </row>
    <row r="7351" spans="15:15" x14ac:dyDescent="0.25">
      <c r="O7351" s="20" t="str">
        <f>IF(N7351="","",COUNTIFS(RawData[[Date ]],N7351,RawData[Month List],$Q$6,RawData[Tour/Site],$Q$2,RawData[[Picker ID ]],$Q$3,RawData[Checker ID],$Q$4,RawData[[Error Type ]],$Q$5))</f>
        <v/>
      </c>
    </row>
    <row r="7352" spans="15:15" x14ac:dyDescent="0.25">
      <c r="O7352" s="20" t="str">
        <f>IF(N7352="","",COUNTIFS(RawData[[Date ]],N7352,RawData[Month List],$Q$6,RawData[Tour/Site],$Q$2,RawData[[Picker ID ]],$Q$3,RawData[Checker ID],$Q$4,RawData[[Error Type ]],$Q$5))</f>
        <v/>
      </c>
    </row>
    <row r="7353" spans="15:15" x14ac:dyDescent="0.25">
      <c r="O7353" s="20" t="str">
        <f>IF(N7353="","",COUNTIFS(RawData[[Date ]],N7353,RawData[Month List],$Q$6,RawData[Tour/Site],$Q$2,RawData[[Picker ID ]],$Q$3,RawData[Checker ID],$Q$4,RawData[[Error Type ]],$Q$5))</f>
        <v/>
      </c>
    </row>
    <row r="7354" spans="15:15" x14ac:dyDescent="0.25">
      <c r="O7354" s="20" t="str">
        <f>IF(N7354="","",COUNTIFS(RawData[[Date ]],N7354,RawData[Month List],$Q$6,RawData[Tour/Site],$Q$2,RawData[[Picker ID ]],$Q$3,RawData[Checker ID],$Q$4,RawData[[Error Type ]],$Q$5))</f>
        <v/>
      </c>
    </row>
    <row r="7355" spans="15:15" x14ac:dyDescent="0.25">
      <c r="O7355" s="20" t="str">
        <f>IF(N7355="","",COUNTIFS(RawData[[Date ]],N7355,RawData[Month List],$Q$6,RawData[Tour/Site],$Q$2,RawData[[Picker ID ]],$Q$3,RawData[Checker ID],$Q$4,RawData[[Error Type ]],$Q$5))</f>
        <v/>
      </c>
    </row>
    <row r="7356" spans="15:15" x14ac:dyDescent="0.25">
      <c r="O7356" s="20" t="str">
        <f>IF(N7356="","",COUNTIFS(RawData[[Date ]],N7356,RawData[Month List],$Q$6,RawData[Tour/Site],$Q$2,RawData[[Picker ID ]],$Q$3,RawData[Checker ID],$Q$4,RawData[[Error Type ]],$Q$5))</f>
        <v/>
      </c>
    </row>
    <row r="7357" spans="15:15" x14ac:dyDescent="0.25">
      <c r="O7357" s="20" t="str">
        <f>IF(N7357="","",COUNTIFS(RawData[[Date ]],N7357,RawData[Month List],$Q$6,RawData[Tour/Site],$Q$2,RawData[[Picker ID ]],$Q$3,RawData[Checker ID],$Q$4,RawData[[Error Type ]],$Q$5))</f>
        <v/>
      </c>
    </row>
    <row r="7358" spans="15:15" x14ac:dyDescent="0.25">
      <c r="O7358" s="20" t="str">
        <f>IF(N7358="","",COUNTIFS(RawData[[Date ]],N7358,RawData[Month List],$Q$6,RawData[Tour/Site],$Q$2,RawData[[Picker ID ]],$Q$3,RawData[Checker ID],$Q$4,RawData[[Error Type ]],$Q$5))</f>
        <v/>
      </c>
    </row>
    <row r="7359" spans="15:15" x14ac:dyDescent="0.25">
      <c r="O7359" s="20" t="str">
        <f>IF(N7359="","",COUNTIFS(RawData[[Date ]],N7359,RawData[Month List],$Q$6,RawData[Tour/Site],$Q$2,RawData[[Picker ID ]],$Q$3,RawData[Checker ID],$Q$4,RawData[[Error Type ]],$Q$5))</f>
        <v/>
      </c>
    </row>
    <row r="7360" spans="15:15" x14ac:dyDescent="0.25">
      <c r="O7360" s="20" t="str">
        <f>IF(N7360="","",COUNTIFS(RawData[[Date ]],N7360,RawData[Month List],$Q$6,RawData[Tour/Site],$Q$2,RawData[[Picker ID ]],$Q$3,RawData[Checker ID],$Q$4,RawData[[Error Type ]],$Q$5))</f>
        <v/>
      </c>
    </row>
    <row r="7361" spans="15:15" x14ac:dyDescent="0.25">
      <c r="O7361" s="20" t="str">
        <f>IF(N7361="","",COUNTIFS(RawData[[Date ]],N7361,RawData[Month List],$Q$6,RawData[Tour/Site],$Q$2,RawData[[Picker ID ]],$Q$3,RawData[Checker ID],$Q$4,RawData[[Error Type ]],$Q$5))</f>
        <v/>
      </c>
    </row>
    <row r="7362" spans="15:15" x14ac:dyDescent="0.25">
      <c r="O7362" s="20" t="str">
        <f>IF(N7362="","",COUNTIFS(RawData[[Date ]],N7362,RawData[Month List],$Q$6,RawData[Tour/Site],$Q$2,RawData[[Picker ID ]],$Q$3,RawData[Checker ID],$Q$4,RawData[[Error Type ]],$Q$5))</f>
        <v/>
      </c>
    </row>
    <row r="7363" spans="15:15" x14ac:dyDescent="0.25">
      <c r="O7363" s="20" t="str">
        <f>IF(N7363="","",COUNTIFS(RawData[[Date ]],N7363,RawData[Month List],$Q$6,RawData[Tour/Site],$Q$2,RawData[[Picker ID ]],$Q$3,RawData[Checker ID],$Q$4,RawData[[Error Type ]],$Q$5))</f>
        <v/>
      </c>
    </row>
    <row r="7364" spans="15:15" x14ac:dyDescent="0.25">
      <c r="O7364" s="20" t="str">
        <f>IF(N7364="","",COUNTIFS(RawData[[Date ]],N7364,RawData[Month List],$Q$6,RawData[Tour/Site],$Q$2,RawData[[Picker ID ]],$Q$3,RawData[Checker ID],$Q$4,RawData[[Error Type ]],$Q$5))</f>
        <v/>
      </c>
    </row>
    <row r="7365" spans="15:15" x14ac:dyDescent="0.25">
      <c r="O7365" s="20" t="str">
        <f>IF(N7365="","",COUNTIFS(RawData[[Date ]],N7365,RawData[Month List],$Q$6,RawData[Tour/Site],$Q$2,RawData[[Picker ID ]],$Q$3,RawData[Checker ID],$Q$4,RawData[[Error Type ]],$Q$5))</f>
        <v/>
      </c>
    </row>
    <row r="7366" spans="15:15" x14ac:dyDescent="0.25">
      <c r="O7366" s="20" t="str">
        <f>IF(N7366="","",COUNTIFS(RawData[[Date ]],N7366,RawData[Month List],$Q$6,RawData[Tour/Site],$Q$2,RawData[[Picker ID ]],$Q$3,RawData[Checker ID],$Q$4,RawData[[Error Type ]],$Q$5))</f>
        <v/>
      </c>
    </row>
    <row r="7367" spans="15:15" x14ac:dyDescent="0.25">
      <c r="O7367" s="20" t="str">
        <f>IF(N7367="","",COUNTIFS(RawData[[Date ]],N7367,RawData[Month List],$Q$6,RawData[Tour/Site],$Q$2,RawData[[Picker ID ]],$Q$3,RawData[Checker ID],$Q$4,RawData[[Error Type ]],$Q$5))</f>
        <v/>
      </c>
    </row>
    <row r="7368" spans="15:15" x14ac:dyDescent="0.25">
      <c r="O7368" s="20" t="str">
        <f>IF(N7368="","",COUNTIFS(RawData[[Date ]],N7368,RawData[Month List],$Q$6,RawData[Tour/Site],$Q$2,RawData[[Picker ID ]],$Q$3,RawData[Checker ID],$Q$4,RawData[[Error Type ]],$Q$5))</f>
        <v/>
      </c>
    </row>
    <row r="7369" spans="15:15" x14ac:dyDescent="0.25">
      <c r="O7369" s="20" t="str">
        <f>IF(N7369="","",COUNTIFS(RawData[[Date ]],N7369,RawData[Month List],$Q$6,RawData[Tour/Site],$Q$2,RawData[[Picker ID ]],$Q$3,RawData[Checker ID],$Q$4,RawData[[Error Type ]],$Q$5))</f>
        <v/>
      </c>
    </row>
    <row r="7370" spans="15:15" x14ac:dyDescent="0.25">
      <c r="O7370" s="20" t="str">
        <f>IF(N7370="","",COUNTIFS(RawData[[Date ]],N7370,RawData[Month List],$Q$6,RawData[Tour/Site],$Q$2,RawData[[Picker ID ]],$Q$3,RawData[Checker ID],$Q$4,RawData[[Error Type ]],$Q$5))</f>
        <v/>
      </c>
    </row>
    <row r="7371" spans="15:15" x14ac:dyDescent="0.25">
      <c r="O7371" s="20" t="str">
        <f>IF(N7371="","",COUNTIFS(RawData[[Date ]],N7371,RawData[Month List],$Q$6,RawData[Tour/Site],$Q$2,RawData[[Picker ID ]],$Q$3,RawData[Checker ID],$Q$4,RawData[[Error Type ]],$Q$5))</f>
        <v/>
      </c>
    </row>
    <row r="7372" spans="15:15" x14ac:dyDescent="0.25">
      <c r="O7372" s="20" t="str">
        <f>IF(N7372="","",COUNTIFS(RawData[[Date ]],N7372,RawData[Month List],$Q$6,RawData[Tour/Site],$Q$2,RawData[[Picker ID ]],$Q$3,RawData[Checker ID],$Q$4,RawData[[Error Type ]],$Q$5))</f>
        <v/>
      </c>
    </row>
    <row r="7373" spans="15:15" x14ac:dyDescent="0.25">
      <c r="O7373" s="20" t="str">
        <f>IF(N7373="","",COUNTIFS(RawData[[Date ]],N7373,RawData[Month List],$Q$6,RawData[Tour/Site],$Q$2,RawData[[Picker ID ]],$Q$3,RawData[Checker ID],$Q$4,RawData[[Error Type ]],$Q$5))</f>
        <v/>
      </c>
    </row>
    <row r="7374" spans="15:15" x14ac:dyDescent="0.25">
      <c r="O7374" s="20" t="str">
        <f>IF(N7374="","",COUNTIFS(RawData[[Date ]],N7374,RawData[Month List],$Q$6,RawData[Tour/Site],$Q$2,RawData[[Picker ID ]],$Q$3,RawData[Checker ID],$Q$4,RawData[[Error Type ]],$Q$5))</f>
        <v/>
      </c>
    </row>
    <row r="7375" spans="15:15" x14ac:dyDescent="0.25">
      <c r="O7375" s="20" t="str">
        <f>IF(N7375="","",COUNTIFS(RawData[[Date ]],N7375,RawData[Month List],$Q$6,RawData[Tour/Site],$Q$2,RawData[[Picker ID ]],$Q$3,RawData[Checker ID],$Q$4,RawData[[Error Type ]],$Q$5))</f>
        <v/>
      </c>
    </row>
    <row r="7376" spans="15:15" x14ac:dyDescent="0.25">
      <c r="O7376" s="20" t="str">
        <f>IF(N7376="","",COUNTIFS(RawData[[Date ]],N7376,RawData[Month List],$Q$6,RawData[Tour/Site],$Q$2,RawData[[Picker ID ]],$Q$3,RawData[Checker ID],$Q$4,RawData[[Error Type ]],$Q$5))</f>
        <v/>
      </c>
    </row>
    <row r="7377" spans="15:15" x14ac:dyDescent="0.25">
      <c r="O7377" s="20" t="str">
        <f>IF(N7377="","",COUNTIFS(RawData[[Date ]],N7377,RawData[Month List],$Q$6,RawData[Tour/Site],$Q$2,RawData[[Picker ID ]],$Q$3,RawData[Checker ID],$Q$4,RawData[[Error Type ]],$Q$5))</f>
        <v/>
      </c>
    </row>
    <row r="7378" spans="15:15" x14ac:dyDescent="0.25">
      <c r="O7378" s="20" t="str">
        <f>IF(N7378="","",COUNTIFS(RawData[[Date ]],N7378,RawData[Month List],$Q$6,RawData[Tour/Site],$Q$2,RawData[[Picker ID ]],$Q$3,RawData[Checker ID],$Q$4,RawData[[Error Type ]],$Q$5))</f>
        <v/>
      </c>
    </row>
    <row r="7379" spans="15:15" x14ac:dyDescent="0.25">
      <c r="O7379" s="20" t="str">
        <f>IF(N7379="","",COUNTIFS(RawData[[Date ]],N7379,RawData[Month List],$Q$6,RawData[Tour/Site],$Q$2,RawData[[Picker ID ]],$Q$3,RawData[Checker ID],$Q$4,RawData[[Error Type ]],$Q$5))</f>
        <v/>
      </c>
    </row>
    <row r="7380" spans="15:15" x14ac:dyDescent="0.25">
      <c r="O7380" s="20" t="str">
        <f>IF(N7380="","",COUNTIFS(RawData[[Date ]],N7380,RawData[Month List],$Q$6,RawData[Tour/Site],$Q$2,RawData[[Picker ID ]],$Q$3,RawData[Checker ID],$Q$4,RawData[[Error Type ]],$Q$5))</f>
        <v/>
      </c>
    </row>
    <row r="7381" spans="15:15" x14ac:dyDescent="0.25">
      <c r="O7381" s="20" t="str">
        <f>IF(N7381="","",COUNTIFS(RawData[[Date ]],N7381,RawData[Month List],$Q$6,RawData[Tour/Site],$Q$2,RawData[[Picker ID ]],$Q$3,RawData[Checker ID],$Q$4,RawData[[Error Type ]],$Q$5))</f>
        <v/>
      </c>
    </row>
    <row r="7382" spans="15:15" x14ac:dyDescent="0.25">
      <c r="O7382" s="20" t="str">
        <f>IF(N7382="","",COUNTIFS(RawData[[Date ]],N7382,RawData[Month List],$Q$6,RawData[Tour/Site],$Q$2,RawData[[Picker ID ]],$Q$3,RawData[Checker ID],$Q$4,RawData[[Error Type ]],$Q$5))</f>
        <v/>
      </c>
    </row>
    <row r="7383" spans="15:15" x14ac:dyDescent="0.25">
      <c r="O7383" s="20" t="str">
        <f>IF(N7383="","",COUNTIFS(RawData[[Date ]],N7383,RawData[Month List],$Q$6,RawData[Tour/Site],$Q$2,RawData[[Picker ID ]],$Q$3,RawData[Checker ID],$Q$4,RawData[[Error Type ]],$Q$5))</f>
        <v/>
      </c>
    </row>
    <row r="7384" spans="15:15" x14ac:dyDescent="0.25">
      <c r="O7384" s="20" t="str">
        <f>IF(N7384="","",COUNTIFS(RawData[[Date ]],N7384,RawData[Month List],$Q$6,RawData[Tour/Site],$Q$2,RawData[[Picker ID ]],$Q$3,RawData[Checker ID],$Q$4,RawData[[Error Type ]],$Q$5))</f>
        <v/>
      </c>
    </row>
    <row r="7385" spans="15:15" x14ac:dyDescent="0.25">
      <c r="O7385" s="20" t="str">
        <f>IF(N7385="","",COUNTIFS(RawData[[Date ]],N7385,RawData[Month List],$Q$6,RawData[Tour/Site],$Q$2,RawData[[Picker ID ]],$Q$3,RawData[Checker ID],$Q$4,RawData[[Error Type ]],$Q$5))</f>
        <v/>
      </c>
    </row>
    <row r="7386" spans="15:15" x14ac:dyDescent="0.25">
      <c r="O7386" s="20" t="str">
        <f>IF(N7386="","",COUNTIFS(RawData[[Date ]],N7386,RawData[Month List],$Q$6,RawData[Tour/Site],$Q$2,RawData[[Picker ID ]],$Q$3,RawData[Checker ID],$Q$4,RawData[[Error Type ]],$Q$5))</f>
        <v/>
      </c>
    </row>
    <row r="7387" spans="15:15" x14ac:dyDescent="0.25">
      <c r="O7387" s="20" t="str">
        <f>IF(N7387="","",COUNTIFS(RawData[[Date ]],N7387,RawData[Month List],$Q$6,RawData[Tour/Site],$Q$2,RawData[[Picker ID ]],$Q$3,RawData[Checker ID],$Q$4,RawData[[Error Type ]],$Q$5))</f>
        <v/>
      </c>
    </row>
    <row r="7388" spans="15:15" x14ac:dyDescent="0.25">
      <c r="O7388" s="20" t="str">
        <f>IF(N7388="","",COUNTIFS(RawData[[Date ]],N7388,RawData[Month List],$Q$6,RawData[Tour/Site],$Q$2,RawData[[Picker ID ]],$Q$3,RawData[Checker ID],$Q$4,RawData[[Error Type ]],$Q$5))</f>
        <v/>
      </c>
    </row>
    <row r="7389" spans="15:15" x14ac:dyDescent="0.25">
      <c r="O7389" s="20" t="str">
        <f>IF(N7389="","",COUNTIFS(RawData[[Date ]],N7389,RawData[Month List],$Q$6,RawData[Tour/Site],$Q$2,RawData[[Picker ID ]],$Q$3,RawData[Checker ID],$Q$4,RawData[[Error Type ]],$Q$5))</f>
        <v/>
      </c>
    </row>
    <row r="7390" spans="15:15" x14ac:dyDescent="0.25">
      <c r="O7390" s="20" t="str">
        <f>IF(N7390="","",COUNTIFS(RawData[[Date ]],N7390,RawData[Month List],$Q$6,RawData[Tour/Site],$Q$2,RawData[[Picker ID ]],$Q$3,RawData[Checker ID],$Q$4,RawData[[Error Type ]],$Q$5))</f>
        <v/>
      </c>
    </row>
    <row r="7391" spans="15:15" x14ac:dyDescent="0.25">
      <c r="O7391" s="20" t="str">
        <f>IF(N7391="","",COUNTIFS(RawData[[Date ]],N7391,RawData[Month List],$Q$6,RawData[Tour/Site],$Q$2,RawData[[Picker ID ]],$Q$3,RawData[Checker ID],$Q$4,RawData[[Error Type ]],$Q$5))</f>
        <v/>
      </c>
    </row>
    <row r="7392" spans="15:15" x14ac:dyDescent="0.25">
      <c r="O7392" s="20" t="str">
        <f>IF(N7392="","",COUNTIFS(RawData[[Date ]],N7392,RawData[Month List],$Q$6,RawData[Tour/Site],$Q$2,RawData[[Picker ID ]],$Q$3,RawData[Checker ID],$Q$4,RawData[[Error Type ]],$Q$5))</f>
        <v/>
      </c>
    </row>
    <row r="7393" spans="15:15" x14ac:dyDescent="0.25">
      <c r="O7393" s="20" t="str">
        <f>IF(N7393="","",COUNTIFS(RawData[[Date ]],N7393,RawData[Month List],$Q$6,RawData[Tour/Site],$Q$2,RawData[[Picker ID ]],$Q$3,RawData[Checker ID],$Q$4,RawData[[Error Type ]],$Q$5))</f>
        <v/>
      </c>
    </row>
    <row r="7394" spans="15:15" x14ac:dyDescent="0.25">
      <c r="O7394" s="20" t="str">
        <f>IF(N7394="","",COUNTIFS(RawData[[Date ]],N7394,RawData[Month List],$Q$6,RawData[Tour/Site],$Q$2,RawData[[Picker ID ]],$Q$3,RawData[Checker ID],$Q$4,RawData[[Error Type ]],$Q$5))</f>
        <v/>
      </c>
    </row>
    <row r="7395" spans="15:15" x14ac:dyDescent="0.25">
      <c r="O7395" s="20" t="str">
        <f>IF(N7395="","",COUNTIFS(RawData[[Date ]],N7395,RawData[Month List],$Q$6,RawData[Tour/Site],$Q$2,RawData[[Picker ID ]],$Q$3,RawData[Checker ID],$Q$4,RawData[[Error Type ]],$Q$5))</f>
        <v/>
      </c>
    </row>
    <row r="7396" spans="15:15" x14ac:dyDescent="0.25">
      <c r="O7396" s="20" t="str">
        <f>IF(N7396="","",COUNTIFS(RawData[[Date ]],N7396,RawData[Month List],$Q$6,RawData[Tour/Site],$Q$2,RawData[[Picker ID ]],$Q$3,RawData[Checker ID],$Q$4,RawData[[Error Type ]],$Q$5))</f>
        <v/>
      </c>
    </row>
    <row r="7397" spans="15:15" x14ac:dyDescent="0.25">
      <c r="O7397" s="20" t="str">
        <f>IF(N7397="","",COUNTIFS(RawData[[Date ]],N7397,RawData[Month List],$Q$6,RawData[Tour/Site],$Q$2,RawData[[Picker ID ]],$Q$3,RawData[Checker ID],$Q$4,RawData[[Error Type ]],$Q$5))</f>
        <v/>
      </c>
    </row>
    <row r="7398" spans="15:15" x14ac:dyDescent="0.25">
      <c r="O7398" s="20" t="str">
        <f>IF(N7398="","",COUNTIFS(RawData[[Date ]],N7398,RawData[Month List],$Q$6,RawData[Tour/Site],$Q$2,RawData[[Picker ID ]],$Q$3,RawData[Checker ID],$Q$4,RawData[[Error Type ]],$Q$5))</f>
        <v/>
      </c>
    </row>
    <row r="7399" spans="15:15" x14ac:dyDescent="0.25">
      <c r="O7399" s="20" t="str">
        <f>IF(N7399="","",COUNTIFS(RawData[[Date ]],N7399,RawData[Month List],$Q$6,RawData[Tour/Site],$Q$2,RawData[[Picker ID ]],$Q$3,RawData[Checker ID],$Q$4,RawData[[Error Type ]],$Q$5))</f>
        <v/>
      </c>
    </row>
    <row r="7400" spans="15:15" x14ac:dyDescent="0.25">
      <c r="O7400" s="20" t="str">
        <f>IF(N7400="","",COUNTIFS(RawData[[Date ]],N7400,RawData[Month List],$Q$6,RawData[Tour/Site],$Q$2,RawData[[Picker ID ]],$Q$3,RawData[Checker ID],$Q$4,RawData[[Error Type ]],$Q$5))</f>
        <v/>
      </c>
    </row>
    <row r="7401" spans="15:15" x14ac:dyDescent="0.25">
      <c r="O7401" s="20" t="str">
        <f>IF(N7401="","",COUNTIFS(RawData[[Date ]],N7401,RawData[Month List],$Q$6,RawData[Tour/Site],$Q$2,RawData[[Picker ID ]],$Q$3,RawData[Checker ID],$Q$4,RawData[[Error Type ]],$Q$5))</f>
        <v/>
      </c>
    </row>
    <row r="7402" spans="15:15" x14ac:dyDescent="0.25">
      <c r="O7402" s="20" t="str">
        <f>IF(N7402="","",COUNTIFS(RawData[[Date ]],N7402,RawData[Month List],$Q$6,RawData[Tour/Site],$Q$2,RawData[[Picker ID ]],$Q$3,RawData[Checker ID],$Q$4,RawData[[Error Type ]],$Q$5))</f>
        <v/>
      </c>
    </row>
    <row r="7403" spans="15:15" x14ac:dyDescent="0.25">
      <c r="O7403" s="20" t="str">
        <f>IF(N7403="","",COUNTIFS(RawData[[Date ]],N7403,RawData[Month List],$Q$6,RawData[Tour/Site],$Q$2,RawData[[Picker ID ]],$Q$3,RawData[Checker ID],$Q$4,RawData[[Error Type ]],$Q$5))</f>
        <v/>
      </c>
    </row>
    <row r="7404" spans="15:15" x14ac:dyDescent="0.25">
      <c r="O7404" s="20" t="str">
        <f>IF(N7404="","",COUNTIFS(RawData[[Date ]],N7404,RawData[Month List],$Q$6,RawData[Tour/Site],$Q$2,RawData[[Picker ID ]],$Q$3,RawData[Checker ID],$Q$4,RawData[[Error Type ]],$Q$5))</f>
        <v/>
      </c>
    </row>
    <row r="7405" spans="15:15" x14ac:dyDescent="0.25">
      <c r="O7405" s="20" t="str">
        <f>IF(N7405="","",COUNTIFS(RawData[[Date ]],N7405,RawData[Month List],$Q$6,RawData[Tour/Site],$Q$2,RawData[[Picker ID ]],$Q$3,RawData[Checker ID],$Q$4,RawData[[Error Type ]],$Q$5))</f>
        <v/>
      </c>
    </row>
    <row r="7406" spans="15:15" x14ac:dyDescent="0.25">
      <c r="O7406" s="20" t="str">
        <f>IF(N7406="","",COUNTIFS(RawData[[Date ]],N7406,RawData[Month List],$Q$6,RawData[Tour/Site],$Q$2,RawData[[Picker ID ]],$Q$3,RawData[Checker ID],$Q$4,RawData[[Error Type ]],$Q$5))</f>
        <v/>
      </c>
    </row>
    <row r="7407" spans="15:15" x14ac:dyDescent="0.25">
      <c r="O7407" s="20" t="str">
        <f>IF(N7407="","",COUNTIFS(RawData[[Date ]],N7407,RawData[Month List],$Q$6,RawData[Tour/Site],$Q$2,RawData[[Picker ID ]],$Q$3,RawData[Checker ID],$Q$4,RawData[[Error Type ]],$Q$5))</f>
        <v/>
      </c>
    </row>
    <row r="7408" spans="15:15" x14ac:dyDescent="0.25">
      <c r="O7408" s="20" t="str">
        <f>IF(N7408="","",COUNTIFS(RawData[[Date ]],N7408,RawData[Month List],$Q$6,RawData[Tour/Site],$Q$2,RawData[[Picker ID ]],$Q$3,RawData[Checker ID],$Q$4,RawData[[Error Type ]],$Q$5))</f>
        <v/>
      </c>
    </row>
    <row r="7409" spans="15:15" x14ac:dyDescent="0.25">
      <c r="O7409" s="20" t="str">
        <f>IF(N7409="","",COUNTIFS(RawData[[Date ]],N7409,RawData[Month List],$Q$6,RawData[Tour/Site],$Q$2,RawData[[Picker ID ]],$Q$3,RawData[Checker ID],$Q$4,RawData[[Error Type ]],$Q$5))</f>
        <v/>
      </c>
    </row>
    <row r="7410" spans="15:15" x14ac:dyDescent="0.25">
      <c r="O7410" s="20" t="str">
        <f>IF(N7410="","",COUNTIFS(RawData[[Date ]],N7410,RawData[Month List],$Q$6,RawData[Tour/Site],$Q$2,RawData[[Picker ID ]],$Q$3,RawData[Checker ID],$Q$4,RawData[[Error Type ]],$Q$5))</f>
        <v/>
      </c>
    </row>
    <row r="7411" spans="15:15" x14ac:dyDescent="0.25">
      <c r="O7411" s="20" t="str">
        <f>IF(N7411="","",COUNTIFS(RawData[[Date ]],N7411,RawData[Month List],$Q$6,RawData[Tour/Site],$Q$2,RawData[[Picker ID ]],$Q$3,RawData[Checker ID],$Q$4,RawData[[Error Type ]],$Q$5))</f>
        <v/>
      </c>
    </row>
    <row r="7412" spans="15:15" x14ac:dyDescent="0.25">
      <c r="O7412" s="20" t="str">
        <f>IF(N7412="","",COUNTIFS(RawData[[Date ]],N7412,RawData[Month List],$Q$6,RawData[Tour/Site],$Q$2,RawData[[Picker ID ]],$Q$3,RawData[Checker ID],$Q$4,RawData[[Error Type ]],$Q$5))</f>
        <v/>
      </c>
    </row>
    <row r="7413" spans="15:15" x14ac:dyDescent="0.25">
      <c r="O7413" s="20" t="str">
        <f>IF(N7413="","",COUNTIFS(RawData[[Date ]],N7413,RawData[Month List],$Q$6,RawData[Tour/Site],$Q$2,RawData[[Picker ID ]],$Q$3,RawData[Checker ID],$Q$4,RawData[[Error Type ]],$Q$5))</f>
        <v/>
      </c>
    </row>
    <row r="7414" spans="15:15" x14ac:dyDescent="0.25">
      <c r="O7414" s="20" t="str">
        <f>IF(N7414="","",COUNTIFS(RawData[[Date ]],N7414,RawData[Month List],$Q$6,RawData[Tour/Site],$Q$2,RawData[[Picker ID ]],$Q$3,RawData[Checker ID],$Q$4,RawData[[Error Type ]],$Q$5))</f>
        <v/>
      </c>
    </row>
    <row r="7415" spans="15:15" x14ac:dyDescent="0.25">
      <c r="O7415" s="20" t="str">
        <f>IF(N7415="","",COUNTIFS(RawData[[Date ]],N7415,RawData[Month List],$Q$6,RawData[Tour/Site],$Q$2,RawData[[Picker ID ]],$Q$3,RawData[Checker ID],$Q$4,RawData[[Error Type ]],$Q$5))</f>
        <v/>
      </c>
    </row>
    <row r="7416" spans="15:15" x14ac:dyDescent="0.25">
      <c r="O7416" s="20" t="str">
        <f>IF(N7416="","",COUNTIFS(RawData[[Date ]],N7416,RawData[Month List],$Q$6,RawData[Tour/Site],$Q$2,RawData[[Picker ID ]],$Q$3,RawData[Checker ID],$Q$4,RawData[[Error Type ]],$Q$5))</f>
        <v/>
      </c>
    </row>
    <row r="7417" spans="15:15" x14ac:dyDescent="0.25">
      <c r="O7417" s="20" t="str">
        <f>IF(N7417="","",COUNTIFS(RawData[[Date ]],N7417,RawData[Month List],$Q$6,RawData[Tour/Site],$Q$2,RawData[[Picker ID ]],$Q$3,RawData[Checker ID],$Q$4,RawData[[Error Type ]],$Q$5))</f>
        <v/>
      </c>
    </row>
    <row r="7418" spans="15:15" x14ac:dyDescent="0.25">
      <c r="O7418" s="20" t="str">
        <f>IF(N7418="","",COUNTIFS(RawData[[Date ]],N7418,RawData[Month List],$Q$6,RawData[Tour/Site],$Q$2,RawData[[Picker ID ]],$Q$3,RawData[Checker ID],$Q$4,RawData[[Error Type ]],$Q$5))</f>
        <v/>
      </c>
    </row>
    <row r="7419" spans="15:15" x14ac:dyDescent="0.25">
      <c r="O7419" s="20" t="str">
        <f>IF(N7419="","",COUNTIFS(RawData[[Date ]],N7419,RawData[Month List],$Q$6,RawData[Tour/Site],$Q$2,RawData[[Picker ID ]],$Q$3,RawData[Checker ID],$Q$4,RawData[[Error Type ]],$Q$5))</f>
        <v/>
      </c>
    </row>
    <row r="7420" spans="15:15" x14ac:dyDescent="0.25">
      <c r="O7420" s="20" t="str">
        <f>IF(N7420="","",COUNTIFS(RawData[[Date ]],N7420,RawData[Month List],$Q$6,RawData[Tour/Site],$Q$2,RawData[[Picker ID ]],$Q$3,RawData[Checker ID],$Q$4,RawData[[Error Type ]],$Q$5))</f>
        <v/>
      </c>
    </row>
    <row r="7421" spans="15:15" x14ac:dyDescent="0.25">
      <c r="O7421" s="20" t="str">
        <f>IF(N7421="","",COUNTIFS(RawData[[Date ]],N7421,RawData[Month List],$Q$6,RawData[Tour/Site],$Q$2,RawData[[Picker ID ]],$Q$3,RawData[Checker ID],$Q$4,RawData[[Error Type ]],$Q$5))</f>
        <v/>
      </c>
    </row>
    <row r="7422" spans="15:15" x14ac:dyDescent="0.25">
      <c r="O7422" s="20" t="str">
        <f>IF(N7422="","",COUNTIFS(RawData[[Date ]],N7422,RawData[Month List],$Q$6,RawData[Tour/Site],$Q$2,RawData[[Picker ID ]],$Q$3,RawData[Checker ID],$Q$4,RawData[[Error Type ]],$Q$5))</f>
        <v/>
      </c>
    </row>
    <row r="7423" spans="15:15" x14ac:dyDescent="0.25">
      <c r="O7423" s="20" t="str">
        <f>IF(N7423="","",COUNTIFS(RawData[[Date ]],N7423,RawData[Month List],$Q$6,RawData[Tour/Site],$Q$2,RawData[[Picker ID ]],$Q$3,RawData[Checker ID],$Q$4,RawData[[Error Type ]],$Q$5))</f>
        <v/>
      </c>
    </row>
    <row r="7424" spans="15:15" x14ac:dyDescent="0.25">
      <c r="O7424" s="20" t="str">
        <f>IF(N7424="","",COUNTIFS(RawData[[Date ]],N7424,RawData[Month List],$Q$6,RawData[Tour/Site],$Q$2,RawData[[Picker ID ]],$Q$3,RawData[Checker ID],$Q$4,RawData[[Error Type ]],$Q$5))</f>
        <v/>
      </c>
    </row>
    <row r="7425" spans="15:15" x14ac:dyDescent="0.25">
      <c r="O7425" s="20" t="str">
        <f>IF(N7425="","",COUNTIFS(RawData[[Date ]],N7425,RawData[Month List],$Q$6,RawData[Tour/Site],$Q$2,RawData[[Picker ID ]],$Q$3,RawData[Checker ID],$Q$4,RawData[[Error Type ]],$Q$5))</f>
        <v/>
      </c>
    </row>
    <row r="7426" spans="15:15" x14ac:dyDescent="0.25">
      <c r="O7426" s="20" t="str">
        <f>IF(N7426="","",COUNTIFS(RawData[[Date ]],N7426,RawData[Month List],$Q$6,RawData[Tour/Site],$Q$2,RawData[[Picker ID ]],$Q$3,RawData[Checker ID],$Q$4,RawData[[Error Type ]],$Q$5))</f>
        <v/>
      </c>
    </row>
    <row r="7427" spans="15:15" x14ac:dyDescent="0.25">
      <c r="O7427" s="20" t="str">
        <f>IF(N7427="","",COUNTIFS(RawData[[Date ]],N7427,RawData[Month List],$Q$6,RawData[Tour/Site],$Q$2,RawData[[Picker ID ]],$Q$3,RawData[Checker ID],$Q$4,RawData[[Error Type ]],$Q$5))</f>
        <v/>
      </c>
    </row>
    <row r="7428" spans="15:15" x14ac:dyDescent="0.25">
      <c r="O7428" s="20" t="str">
        <f>IF(N7428="","",COUNTIFS(RawData[[Date ]],N7428,RawData[Month List],$Q$6,RawData[Tour/Site],$Q$2,RawData[[Picker ID ]],$Q$3,RawData[Checker ID],$Q$4,RawData[[Error Type ]],$Q$5))</f>
        <v/>
      </c>
    </row>
    <row r="7429" spans="15:15" x14ac:dyDescent="0.25">
      <c r="O7429" s="20" t="str">
        <f>IF(N7429="","",COUNTIFS(RawData[[Date ]],N7429,RawData[Month List],$Q$6,RawData[Tour/Site],$Q$2,RawData[[Picker ID ]],$Q$3,RawData[Checker ID],$Q$4,RawData[[Error Type ]],$Q$5))</f>
        <v/>
      </c>
    </row>
    <row r="7430" spans="15:15" x14ac:dyDescent="0.25">
      <c r="O7430" s="20" t="str">
        <f>IF(N7430="","",COUNTIFS(RawData[[Date ]],N7430,RawData[Month List],$Q$6,RawData[Tour/Site],$Q$2,RawData[[Picker ID ]],$Q$3,RawData[Checker ID],$Q$4,RawData[[Error Type ]],$Q$5))</f>
        <v/>
      </c>
    </row>
    <row r="7431" spans="15:15" x14ac:dyDescent="0.25">
      <c r="O7431" s="20" t="str">
        <f>IF(N7431="","",COUNTIFS(RawData[[Date ]],N7431,RawData[Month List],$Q$6,RawData[Tour/Site],$Q$2,RawData[[Picker ID ]],$Q$3,RawData[Checker ID],$Q$4,RawData[[Error Type ]],$Q$5))</f>
        <v/>
      </c>
    </row>
    <row r="7432" spans="15:15" x14ac:dyDescent="0.25">
      <c r="O7432" s="20" t="str">
        <f>IF(N7432="","",COUNTIFS(RawData[[Date ]],N7432,RawData[Month List],$Q$6,RawData[Tour/Site],$Q$2,RawData[[Picker ID ]],$Q$3,RawData[Checker ID],$Q$4,RawData[[Error Type ]],$Q$5))</f>
        <v/>
      </c>
    </row>
    <row r="7433" spans="15:15" x14ac:dyDescent="0.25">
      <c r="O7433" s="20" t="str">
        <f>IF(N7433="","",COUNTIFS(RawData[[Date ]],N7433,RawData[Month List],$Q$6,RawData[Tour/Site],$Q$2,RawData[[Picker ID ]],$Q$3,RawData[Checker ID],$Q$4,RawData[[Error Type ]],$Q$5))</f>
        <v/>
      </c>
    </row>
    <row r="7434" spans="15:15" x14ac:dyDescent="0.25">
      <c r="O7434" s="20" t="str">
        <f>IF(N7434="","",COUNTIFS(RawData[[Date ]],N7434,RawData[Month List],$Q$6,RawData[Tour/Site],$Q$2,RawData[[Picker ID ]],$Q$3,RawData[Checker ID],$Q$4,RawData[[Error Type ]],$Q$5))</f>
        <v/>
      </c>
    </row>
    <row r="7435" spans="15:15" x14ac:dyDescent="0.25">
      <c r="O7435" s="20" t="str">
        <f>IF(N7435="","",COUNTIFS(RawData[[Date ]],N7435,RawData[Month List],$Q$6,RawData[Tour/Site],$Q$2,RawData[[Picker ID ]],$Q$3,RawData[Checker ID],$Q$4,RawData[[Error Type ]],$Q$5))</f>
        <v/>
      </c>
    </row>
    <row r="7436" spans="15:15" x14ac:dyDescent="0.25">
      <c r="O7436" s="20" t="str">
        <f>IF(N7436="","",COUNTIFS(RawData[[Date ]],N7436,RawData[Month List],$Q$6,RawData[Tour/Site],$Q$2,RawData[[Picker ID ]],$Q$3,RawData[Checker ID],$Q$4,RawData[[Error Type ]],$Q$5))</f>
        <v/>
      </c>
    </row>
    <row r="7437" spans="15:15" x14ac:dyDescent="0.25">
      <c r="O7437" s="20" t="str">
        <f>IF(N7437="","",COUNTIFS(RawData[[Date ]],N7437,RawData[Month List],$Q$6,RawData[Tour/Site],$Q$2,RawData[[Picker ID ]],$Q$3,RawData[Checker ID],$Q$4,RawData[[Error Type ]],$Q$5))</f>
        <v/>
      </c>
    </row>
    <row r="7438" spans="15:15" x14ac:dyDescent="0.25">
      <c r="O7438" s="20" t="str">
        <f>IF(N7438="","",COUNTIFS(RawData[[Date ]],N7438,RawData[Month List],$Q$6,RawData[Tour/Site],$Q$2,RawData[[Picker ID ]],$Q$3,RawData[Checker ID],$Q$4,RawData[[Error Type ]],$Q$5))</f>
        <v/>
      </c>
    </row>
    <row r="7439" spans="15:15" x14ac:dyDescent="0.25">
      <c r="O7439" s="20" t="str">
        <f>IF(N7439="","",COUNTIFS(RawData[[Date ]],N7439,RawData[Month List],$Q$6,RawData[Tour/Site],$Q$2,RawData[[Picker ID ]],$Q$3,RawData[Checker ID],$Q$4,RawData[[Error Type ]],$Q$5))</f>
        <v/>
      </c>
    </row>
    <row r="7440" spans="15:15" x14ac:dyDescent="0.25">
      <c r="O7440" s="20" t="str">
        <f>IF(N7440="","",COUNTIFS(RawData[[Date ]],N7440,RawData[Month List],$Q$6,RawData[Tour/Site],$Q$2,RawData[[Picker ID ]],$Q$3,RawData[Checker ID],$Q$4,RawData[[Error Type ]],$Q$5))</f>
        <v/>
      </c>
    </row>
    <row r="7441" spans="15:15" x14ac:dyDescent="0.25">
      <c r="O7441" s="20" t="str">
        <f>IF(N7441="","",COUNTIFS(RawData[[Date ]],N7441,RawData[Month List],$Q$6,RawData[Tour/Site],$Q$2,RawData[[Picker ID ]],$Q$3,RawData[Checker ID],$Q$4,RawData[[Error Type ]],$Q$5))</f>
        <v/>
      </c>
    </row>
    <row r="7442" spans="15:15" x14ac:dyDescent="0.25">
      <c r="O7442" s="20" t="str">
        <f>IF(N7442="","",COUNTIFS(RawData[[Date ]],N7442,RawData[Month List],$Q$6,RawData[Tour/Site],$Q$2,RawData[[Picker ID ]],$Q$3,RawData[Checker ID],$Q$4,RawData[[Error Type ]],$Q$5))</f>
        <v/>
      </c>
    </row>
    <row r="7443" spans="15:15" x14ac:dyDescent="0.25">
      <c r="O7443" s="20" t="str">
        <f>IF(N7443="","",COUNTIFS(RawData[[Date ]],N7443,RawData[Month List],$Q$6,RawData[Tour/Site],$Q$2,RawData[[Picker ID ]],$Q$3,RawData[Checker ID],$Q$4,RawData[[Error Type ]],$Q$5))</f>
        <v/>
      </c>
    </row>
    <row r="7444" spans="15:15" x14ac:dyDescent="0.25">
      <c r="O7444" s="20" t="str">
        <f>IF(N7444="","",COUNTIFS(RawData[[Date ]],N7444,RawData[Month List],$Q$6,RawData[Tour/Site],$Q$2,RawData[[Picker ID ]],$Q$3,RawData[Checker ID],$Q$4,RawData[[Error Type ]],$Q$5))</f>
        <v/>
      </c>
    </row>
    <row r="7445" spans="15:15" x14ac:dyDescent="0.25">
      <c r="O7445" s="20" t="str">
        <f>IF(N7445="","",COUNTIFS(RawData[[Date ]],N7445,RawData[Month List],$Q$6,RawData[Tour/Site],$Q$2,RawData[[Picker ID ]],$Q$3,RawData[Checker ID],$Q$4,RawData[[Error Type ]],$Q$5))</f>
        <v/>
      </c>
    </row>
    <row r="7446" spans="15:15" x14ac:dyDescent="0.25">
      <c r="O7446" s="20" t="str">
        <f>IF(N7446="","",COUNTIFS(RawData[[Date ]],N7446,RawData[Month List],$Q$6,RawData[Tour/Site],$Q$2,RawData[[Picker ID ]],$Q$3,RawData[Checker ID],$Q$4,RawData[[Error Type ]],$Q$5))</f>
        <v/>
      </c>
    </row>
    <row r="7447" spans="15:15" x14ac:dyDescent="0.25">
      <c r="O7447" s="20" t="str">
        <f>IF(N7447="","",COUNTIFS(RawData[[Date ]],N7447,RawData[Month List],$Q$6,RawData[Tour/Site],$Q$2,RawData[[Picker ID ]],$Q$3,RawData[Checker ID],$Q$4,RawData[[Error Type ]],$Q$5))</f>
        <v/>
      </c>
    </row>
    <row r="7448" spans="15:15" x14ac:dyDescent="0.25">
      <c r="O7448" s="20" t="str">
        <f>IF(N7448="","",COUNTIFS(RawData[[Date ]],N7448,RawData[Month List],$Q$6,RawData[Tour/Site],$Q$2,RawData[[Picker ID ]],$Q$3,RawData[Checker ID],$Q$4,RawData[[Error Type ]],$Q$5))</f>
        <v/>
      </c>
    </row>
    <row r="7449" spans="15:15" x14ac:dyDescent="0.25">
      <c r="O7449" s="20" t="str">
        <f>IF(N7449="","",COUNTIFS(RawData[[Date ]],N7449,RawData[Month List],$Q$6,RawData[Tour/Site],$Q$2,RawData[[Picker ID ]],$Q$3,RawData[Checker ID],$Q$4,RawData[[Error Type ]],$Q$5))</f>
        <v/>
      </c>
    </row>
    <row r="7450" spans="15:15" x14ac:dyDescent="0.25">
      <c r="O7450" s="20" t="str">
        <f>IF(N7450="","",COUNTIFS(RawData[[Date ]],N7450,RawData[Month List],$Q$6,RawData[Tour/Site],$Q$2,RawData[[Picker ID ]],$Q$3,RawData[Checker ID],$Q$4,RawData[[Error Type ]],$Q$5))</f>
        <v/>
      </c>
    </row>
    <row r="7451" spans="15:15" x14ac:dyDescent="0.25">
      <c r="O7451" s="20" t="str">
        <f>IF(N7451="","",COUNTIFS(RawData[[Date ]],N7451,RawData[Month List],$Q$6,RawData[Tour/Site],$Q$2,RawData[[Picker ID ]],$Q$3,RawData[Checker ID],$Q$4,RawData[[Error Type ]],$Q$5))</f>
        <v/>
      </c>
    </row>
    <row r="7452" spans="15:15" x14ac:dyDescent="0.25">
      <c r="O7452" s="20" t="str">
        <f>IF(N7452="","",COUNTIFS(RawData[[Date ]],N7452,RawData[Month List],$Q$6,RawData[Tour/Site],$Q$2,RawData[[Picker ID ]],$Q$3,RawData[Checker ID],$Q$4,RawData[[Error Type ]],$Q$5))</f>
        <v/>
      </c>
    </row>
    <row r="7453" spans="15:15" x14ac:dyDescent="0.25">
      <c r="O7453" s="20" t="str">
        <f>IF(N7453="","",COUNTIFS(RawData[[Date ]],N7453,RawData[Month List],$Q$6,RawData[Tour/Site],$Q$2,RawData[[Picker ID ]],$Q$3,RawData[Checker ID],$Q$4,RawData[[Error Type ]],$Q$5))</f>
        <v/>
      </c>
    </row>
    <row r="7454" spans="15:15" x14ac:dyDescent="0.25">
      <c r="O7454" s="20" t="str">
        <f>IF(N7454="","",COUNTIFS(RawData[[Date ]],N7454,RawData[Month List],$Q$6,RawData[Tour/Site],$Q$2,RawData[[Picker ID ]],$Q$3,RawData[Checker ID],$Q$4,RawData[[Error Type ]],$Q$5))</f>
        <v/>
      </c>
    </row>
    <row r="7455" spans="15:15" x14ac:dyDescent="0.25">
      <c r="O7455" s="20" t="str">
        <f>IF(N7455="","",COUNTIFS(RawData[[Date ]],N7455,RawData[Month List],$Q$6,RawData[Tour/Site],$Q$2,RawData[[Picker ID ]],$Q$3,RawData[Checker ID],$Q$4,RawData[[Error Type ]],$Q$5))</f>
        <v/>
      </c>
    </row>
    <row r="7456" spans="15:15" x14ac:dyDescent="0.25">
      <c r="O7456" s="20" t="str">
        <f>IF(N7456="","",COUNTIFS(RawData[[Date ]],N7456,RawData[Month List],$Q$6,RawData[Tour/Site],$Q$2,RawData[[Picker ID ]],$Q$3,RawData[Checker ID],$Q$4,RawData[[Error Type ]],$Q$5))</f>
        <v/>
      </c>
    </row>
    <row r="7457" spans="15:15" x14ac:dyDescent="0.25">
      <c r="O7457" s="20" t="str">
        <f>IF(N7457="","",COUNTIFS(RawData[[Date ]],N7457,RawData[Month List],$Q$6,RawData[Tour/Site],$Q$2,RawData[[Picker ID ]],$Q$3,RawData[Checker ID],$Q$4,RawData[[Error Type ]],$Q$5))</f>
        <v/>
      </c>
    </row>
    <row r="7458" spans="15:15" x14ac:dyDescent="0.25">
      <c r="O7458" s="20" t="str">
        <f>IF(N7458="","",COUNTIFS(RawData[[Date ]],N7458,RawData[Month List],$Q$6,RawData[Tour/Site],$Q$2,RawData[[Picker ID ]],$Q$3,RawData[Checker ID],$Q$4,RawData[[Error Type ]],$Q$5))</f>
        <v/>
      </c>
    </row>
    <row r="7459" spans="15:15" x14ac:dyDescent="0.25">
      <c r="O7459" s="20" t="str">
        <f>IF(N7459="","",COUNTIFS(RawData[[Date ]],N7459,RawData[Month List],$Q$6,RawData[Tour/Site],$Q$2,RawData[[Picker ID ]],$Q$3,RawData[Checker ID],$Q$4,RawData[[Error Type ]],$Q$5))</f>
        <v/>
      </c>
    </row>
    <row r="7460" spans="15:15" x14ac:dyDescent="0.25">
      <c r="O7460" s="20" t="str">
        <f>IF(N7460="","",COUNTIFS(RawData[[Date ]],N7460,RawData[Month List],$Q$6,RawData[Tour/Site],$Q$2,RawData[[Picker ID ]],$Q$3,RawData[Checker ID],$Q$4,RawData[[Error Type ]],$Q$5))</f>
        <v/>
      </c>
    </row>
    <row r="7461" spans="15:15" x14ac:dyDescent="0.25">
      <c r="O7461" s="20" t="str">
        <f>IF(N7461="","",COUNTIFS(RawData[[Date ]],N7461,RawData[Month List],$Q$6,RawData[Tour/Site],$Q$2,RawData[[Picker ID ]],$Q$3,RawData[Checker ID],$Q$4,RawData[[Error Type ]],$Q$5))</f>
        <v/>
      </c>
    </row>
    <row r="7462" spans="15:15" x14ac:dyDescent="0.25">
      <c r="O7462" s="20" t="str">
        <f>IF(N7462="","",COUNTIFS(RawData[[Date ]],N7462,RawData[Month List],$Q$6,RawData[Tour/Site],$Q$2,RawData[[Picker ID ]],$Q$3,RawData[Checker ID],$Q$4,RawData[[Error Type ]],$Q$5))</f>
        <v/>
      </c>
    </row>
    <row r="7463" spans="15:15" x14ac:dyDescent="0.25">
      <c r="O7463" s="20" t="str">
        <f>IF(N7463="","",COUNTIFS(RawData[[Date ]],N7463,RawData[Month List],$Q$6,RawData[Tour/Site],$Q$2,RawData[[Picker ID ]],$Q$3,RawData[Checker ID],$Q$4,RawData[[Error Type ]],$Q$5))</f>
        <v/>
      </c>
    </row>
    <row r="7464" spans="15:15" x14ac:dyDescent="0.25">
      <c r="O7464" s="20" t="str">
        <f>IF(N7464="","",COUNTIFS(RawData[[Date ]],N7464,RawData[Month List],$Q$6,RawData[Tour/Site],$Q$2,RawData[[Picker ID ]],$Q$3,RawData[Checker ID],$Q$4,RawData[[Error Type ]],$Q$5))</f>
        <v/>
      </c>
    </row>
    <row r="7465" spans="15:15" x14ac:dyDescent="0.25">
      <c r="O7465" s="20" t="str">
        <f>IF(N7465="","",COUNTIFS(RawData[[Date ]],N7465,RawData[Month List],$Q$6,RawData[Tour/Site],$Q$2,RawData[[Picker ID ]],$Q$3,RawData[Checker ID],$Q$4,RawData[[Error Type ]],$Q$5))</f>
        <v/>
      </c>
    </row>
    <row r="7466" spans="15:15" x14ac:dyDescent="0.25">
      <c r="O7466" s="20" t="str">
        <f>IF(N7466="","",COUNTIFS(RawData[[Date ]],N7466,RawData[Month List],$Q$6,RawData[Tour/Site],$Q$2,RawData[[Picker ID ]],$Q$3,RawData[Checker ID],$Q$4,RawData[[Error Type ]],$Q$5))</f>
        <v/>
      </c>
    </row>
    <row r="7467" spans="15:15" x14ac:dyDescent="0.25">
      <c r="O7467" s="20" t="str">
        <f>IF(N7467="","",COUNTIFS(RawData[[Date ]],N7467,RawData[Month List],$Q$6,RawData[Tour/Site],$Q$2,RawData[[Picker ID ]],$Q$3,RawData[Checker ID],$Q$4,RawData[[Error Type ]],$Q$5))</f>
        <v/>
      </c>
    </row>
    <row r="7468" spans="15:15" x14ac:dyDescent="0.25">
      <c r="O7468" s="20" t="str">
        <f>IF(N7468="","",COUNTIFS(RawData[[Date ]],N7468,RawData[Month List],$Q$6,RawData[Tour/Site],$Q$2,RawData[[Picker ID ]],$Q$3,RawData[Checker ID],$Q$4,RawData[[Error Type ]],$Q$5))</f>
        <v/>
      </c>
    </row>
    <row r="7469" spans="15:15" x14ac:dyDescent="0.25">
      <c r="O7469" s="20" t="str">
        <f>IF(N7469="","",COUNTIFS(RawData[[Date ]],N7469,RawData[Month List],$Q$6,RawData[Tour/Site],$Q$2,RawData[[Picker ID ]],$Q$3,RawData[Checker ID],$Q$4,RawData[[Error Type ]],$Q$5))</f>
        <v/>
      </c>
    </row>
    <row r="7470" spans="15:15" x14ac:dyDescent="0.25">
      <c r="O7470" s="20" t="str">
        <f>IF(N7470="","",COUNTIFS(RawData[[Date ]],N7470,RawData[Month List],$Q$6,RawData[Tour/Site],$Q$2,RawData[[Picker ID ]],$Q$3,RawData[Checker ID],$Q$4,RawData[[Error Type ]],$Q$5))</f>
        <v/>
      </c>
    </row>
    <row r="7471" spans="15:15" x14ac:dyDescent="0.25">
      <c r="O7471" s="20" t="str">
        <f>IF(N7471="","",COUNTIFS(RawData[[Date ]],N7471,RawData[Month List],$Q$6,RawData[Tour/Site],$Q$2,RawData[[Picker ID ]],$Q$3,RawData[Checker ID],$Q$4,RawData[[Error Type ]],$Q$5))</f>
        <v/>
      </c>
    </row>
    <row r="7472" spans="15:15" x14ac:dyDescent="0.25">
      <c r="O7472" s="20" t="str">
        <f>IF(N7472="","",COUNTIFS(RawData[[Date ]],N7472,RawData[Month List],$Q$6,RawData[Tour/Site],$Q$2,RawData[[Picker ID ]],$Q$3,RawData[Checker ID],$Q$4,RawData[[Error Type ]],$Q$5))</f>
        <v/>
      </c>
    </row>
    <row r="7473" spans="15:15" x14ac:dyDescent="0.25">
      <c r="O7473" s="20" t="str">
        <f>IF(N7473="","",COUNTIFS(RawData[[Date ]],N7473,RawData[Month List],$Q$6,RawData[Tour/Site],$Q$2,RawData[[Picker ID ]],$Q$3,RawData[Checker ID],$Q$4,RawData[[Error Type ]],$Q$5))</f>
        <v/>
      </c>
    </row>
    <row r="7474" spans="15:15" x14ac:dyDescent="0.25">
      <c r="O7474" s="20" t="str">
        <f>IF(N7474="","",COUNTIFS(RawData[[Date ]],N7474,RawData[Month List],$Q$6,RawData[Tour/Site],$Q$2,RawData[[Picker ID ]],$Q$3,RawData[Checker ID],$Q$4,RawData[[Error Type ]],$Q$5))</f>
        <v/>
      </c>
    </row>
    <row r="7475" spans="15:15" x14ac:dyDescent="0.25">
      <c r="O7475" s="20" t="str">
        <f>IF(N7475="","",COUNTIFS(RawData[[Date ]],N7475,RawData[Month List],$Q$6,RawData[Tour/Site],$Q$2,RawData[[Picker ID ]],$Q$3,RawData[Checker ID],$Q$4,RawData[[Error Type ]],$Q$5))</f>
        <v/>
      </c>
    </row>
    <row r="7476" spans="15:15" x14ac:dyDescent="0.25">
      <c r="O7476" s="20" t="str">
        <f>IF(N7476="","",COUNTIFS(RawData[[Date ]],N7476,RawData[Month List],$Q$6,RawData[Tour/Site],$Q$2,RawData[[Picker ID ]],$Q$3,RawData[Checker ID],$Q$4,RawData[[Error Type ]],$Q$5))</f>
        <v/>
      </c>
    </row>
    <row r="7477" spans="15:15" x14ac:dyDescent="0.25">
      <c r="O7477" s="20" t="str">
        <f>IF(N7477="","",COUNTIFS(RawData[[Date ]],N7477,RawData[Month List],$Q$6,RawData[Tour/Site],$Q$2,RawData[[Picker ID ]],$Q$3,RawData[Checker ID],$Q$4,RawData[[Error Type ]],$Q$5))</f>
        <v/>
      </c>
    </row>
    <row r="7478" spans="15:15" x14ac:dyDescent="0.25">
      <c r="O7478" s="20" t="str">
        <f>IF(N7478="","",COUNTIFS(RawData[[Date ]],N7478,RawData[Month List],$Q$6,RawData[Tour/Site],$Q$2,RawData[[Picker ID ]],$Q$3,RawData[Checker ID],$Q$4,RawData[[Error Type ]],$Q$5))</f>
        <v/>
      </c>
    </row>
    <row r="7479" spans="15:15" x14ac:dyDescent="0.25">
      <c r="O7479" s="20" t="str">
        <f>IF(N7479="","",COUNTIFS(RawData[[Date ]],N7479,RawData[Month List],$Q$6,RawData[Tour/Site],$Q$2,RawData[[Picker ID ]],$Q$3,RawData[Checker ID],$Q$4,RawData[[Error Type ]],$Q$5))</f>
        <v/>
      </c>
    </row>
    <row r="7480" spans="15:15" x14ac:dyDescent="0.25">
      <c r="O7480" s="20" t="str">
        <f>IF(N7480="","",COUNTIFS(RawData[[Date ]],N7480,RawData[Month List],$Q$6,RawData[Tour/Site],$Q$2,RawData[[Picker ID ]],$Q$3,RawData[Checker ID],$Q$4,RawData[[Error Type ]],$Q$5))</f>
        <v/>
      </c>
    </row>
    <row r="7481" spans="15:15" x14ac:dyDescent="0.25">
      <c r="O7481" s="20" t="str">
        <f>IF(N7481="","",COUNTIFS(RawData[[Date ]],N7481,RawData[Month List],$Q$6,RawData[Tour/Site],$Q$2,RawData[[Picker ID ]],$Q$3,RawData[Checker ID],$Q$4,RawData[[Error Type ]],$Q$5))</f>
        <v/>
      </c>
    </row>
    <row r="7482" spans="15:15" x14ac:dyDescent="0.25">
      <c r="O7482" s="20" t="str">
        <f>IF(N7482="","",COUNTIFS(RawData[[Date ]],N7482,RawData[Month List],$Q$6,RawData[Tour/Site],$Q$2,RawData[[Picker ID ]],$Q$3,RawData[Checker ID],$Q$4,RawData[[Error Type ]],$Q$5))</f>
        <v/>
      </c>
    </row>
    <row r="7483" spans="15:15" x14ac:dyDescent="0.25">
      <c r="O7483" s="20" t="str">
        <f>IF(N7483="","",COUNTIFS(RawData[[Date ]],N7483,RawData[Month List],$Q$6,RawData[Tour/Site],$Q$2,RawData[[Picker ID ]],$Q$3,RawData[Checker ID],$Q$4,RawData[[Error Type ]],$Q$5))</f>
        <v/>
      </c>
    </row>
    <row r="7484" spans="15:15" x14ac:dyDescent="0.25">
      <c r="O7484" s="20" t="str">
        <f>IF(N7484="","",COUNTIFS(RawData[[Date ]],N7484,RawData[Month List],$Q$6,RawData[Tour/Site],$Q$2,RawData[[Picker ID ]],$Q$3,RawData[Checker ID],$Q$4,RawData[[Error Type ]],$Q$5))</f>
        <v/>
      </c>
    </row>
    <row r="7485" spans="15:15" x14ac:dyDescent="0.25">
      <c r="O7485" s="20" t="str">
        <f>IF(N7485="","",COUNTIFS(RawData[[Date ]],N7485,RawData[Month List],$Q$6,RawData[Tour/Site],$Q$2,RawData[[Picker ID ]],$Q$3,RawData[Checker ID],$Q$4,RawData[[Error Type ]],$Q$5))</f>
        <v/>
      </c>
    </row>
    <row r="7486" spans="15:15" x14ac:dyDescent="0.25">
      <c r="O7486" s="20" t="str">
        <f>IF(N7486="","",COUNTIFS(RawData[[Date ]],N7486,RawData[Month List],$Q$6,RawData[Tour/Site],$Q$2,RawData[[Picker ID ]],$Q$3,RawData[Checker ID],$Q$4,RawData[[Error Type ]],$Q$5))</f>
        <v/>
      </c>
    </row>
    <row r="7487" spans="15:15" x14ac:dyDescent="0.25">
      <c r="O7487" s="20" t="str">
        <f>IF(N7487="","",COUNTIFS(RawData[[Date ]],N7487,RawData[Month List],$Q$6,RawData[Tour/Site],$Q$2,RawData[[Picker ID ]],$Q$3,RawData[Checker ID],$Q$4,RawData[[Error Type ]],$Q$5))</f>
        <v/>
      </c>
    </row>
    <row r="7488" spans="15:15" x14ac:dyDescent="0.25">
      <c r="O7488" s="20" t="str">
        <f>IF(N7488="","",COUNTIFS(RawData[[Date ]],N7488,RawData[Month List],$Q$6,RawData[Tour/Site],$Q$2,RawData[[Picker ID ]],$Q$3,RawData[Checker ID],$Q$4,RawData[[Error Type ]],$Q$5))</f>
        <v/>
      </c>
    </row>
    <row r="7489" spans="15:15" x14ac:dyDescent="0.25">
      <c r="O7489" s="20" t="str">
        <f>IF(N7489="","",COUNTIFS(RawData[[Date ]],N7489,RawData[Month List],$Q$6,RawData[Tour/Site],$Q$2,RawData[[Picker ID ]],$Q$3,RawData[Checker ID],$Q$4,RawData[[Error Type ]],$Q$5))</f>
        <v/>
      </c>
    </row>
    <row r="7490" spans="15:15" x14ac:dyDescent="0.25">
      <c r="O7490" s="20" t="str">
        <f>IF(N7490="","",COUNTIFS(RawData[[Date ]],N7490,RawData[Month List],$Q$6,RawData[Tour/Site],$Q$2,RawData[[Picker ID ]],$Q$3,RawData[Checker ID],$Q$4,RawData[[Error Type ]],$Q$5))</f>
        <v/>
      </c>
    </row>
    <row r="7491" spans="15:15" x14ac:dyDescent="0.25">
      <c r="O7491" s="20" t="str">
        <f>IF(N7491="","",COUNTIFS(RawData[[Date ]],N7491,RawData[Month List],$Q$6,RawData[Tour/Site],$Q$2,RawData[[Picker ID ]],$Q$3,RawData[Checker ID],$Q$4,RawData[[Error Type ]],$Q$5))</f>
        <v/>
      </c>
    </row>
    <row r="7492" spans="15:15" x14ac:dyDescent="0.25">
      <c r="O7492" s="20" t="str">
        <f>IF(N7492="","",COUNTIFS(RawData[[Date ]],N7492,RawData[Month List],$Q$6,RawData[Tour/Site],$Q$2,RawData[[Picker ID ]],$Q$3,RawData[Checker ID],$Q$4,RawData[[Error Type ]],$Q$5))</f>
        <v/>
      </c>
    </row>
    <row r="7493" spans="15:15" x14ac:dyDescent="0.25">
      <c r="O7493" s="20" t="str">
        <f>IF(N7493="","",COUNTIFS(RawData[[Date ]],N7493,RawData[Month List],$Q$6,RawData[Tour/Site],$Q$2,RawData[[Picker ID ]],$Q$3,RawData[Checker ID],$Q$4,RawData[[Error Type ]],$Q$5))</f>
        <v/>
      </c>
    </row>
    <row r="7494" spans="15:15" x14ac:dyDescent="0.25">
      <c r="O7494" s="20" t="str">
        <f>IF(N7494="","",COUNTIFS(RawData[[Date ]],N7494,RawData[Month List],$Q$6,RawData[Tour/Site],$Q$2,RawData[[Picker ID ]],$Q$3,RawData[Checker ID],$Q$4,RawData[[Error Type ]],$Q$5))</f>
        <v/>
      </c>
    </row>
    <row r="7495" spans="15:15" x14ac:dyDescent="0.25">
      <c r="O7495" s="20" t="str">
        <f>IF(N7495="","",COUNTIFS(RawData[[Date ]],N7495,RawData[Month List],$Q$6,RawData[Tour/Site],$Q$2,RawData[[Picker ID ]],$Q$3,RawData[Checker ID],$Q$4,RawData[[Error Type ]],$Q$5))</f>
        <v/>
      </c>
    </row>
    <row r="7496" spans="15:15" x14ac:dyDescent="0.25">
      <c r="O7496" s="20" t="str">
        <f>IF(N7496="","",COUNTIFS(RawData[[Date ]],N7496,RawData[Month List],$Q$6,RawData[Tour/Site],$Q$2,RawData[[Picker ID ]],$Q$3,RawData[Checker ID],$Q$4,RawData[[Error Type ]],$Q$5))</f>
        <v/>
      </c>
    </row>
    <row r="7497" spans="15:15" x14ac:dyDescent="0.25">
      <c r="O7497" s="20" t="str">
        <f>IF(N7497="","",COUNTIFS(RawData[[Date ]],N7497,RawData[Month List],$Q$6,RawData[Tour/Site],$Q$2,RawData[[Picker ID ]],$Q$3,RawData[Checker ID],$Q$4,RawData[[Error Type ]],$Q$5))</f>
        <v/>
      </c>
    </row>
    <row r="7498" spans="15:15" x14ac:dyDescent="0.25">
      <c r="O7498" s="20" t="str">
        <f>IF(N7498="","",COUNTIFS(RawData[[Date ]],N7498,RawData[Month List],$Q$6,RawData[Tour/Site],$Q$2,RawData[[Picker ID ]],$Q$3,RawData[Checker ID],$Q$4,RawData[[Error Type ]],$Q$5))</f>
        <v/>
      </c>
    </row>
    <row r="7499" spans="15:15" x14ac:dyDescent="0.25">
      <c r="O7499" s="20" t="str">
        <f>IF(N7499="","",COUNTIFS(RawData[[Date ]],N7499,RawData[Month List],$Q$6,RawData[Tour/Site],$Q$2,RawData[[Picker ID ]],$Q$3,RawData[Checker ID],$Q$4,RawData[[Error Type ]],$Q$5))</f>
        <v/>
      </c>
    </row>
    <row r="7500" spans="15:15" x14ac:dyDescent="0.25">
      <c r="O7500" s="20" t="str">
        <f>IF(N7500="","",COUNTIFS(RawData[[Date ]],N7500,RawData[Month List],$Q$6,RawData[Tour/Site],$Q$2,RawData[[Picker ID ]],$Q$3,RawData[Checker ID],$Q$4,RawData[[Error Type ]],$Q$5))</f>
        <v/>
      </c>
    </row>
    <row r="7501" spans="15:15" x14ac:dyDescent="0.25">
      <c r="O7501" s="20" t="str">
        <f>IF(N7501="","",COUNTIFS(RawData[[Date ]],N7501,RawData[Month List],$Q$6,RawData[Tour/Site],$Q$2,RawData[[Picker ID ]],$Q$3,RawData[Checker ID],$Q$4,RawData[[Error Type ]],$Q$5))</f>
        <v/>
      </c>
    </row>
    <row r="7502" spans="15:15" x14ac:dyDescent="0.25">
      <c r="O7502" s="20" t="str">
        <f>IF(N7502="","",COUNTIFS(RawData[[Date ]],N7502,RawData[Month List],$Q$6,RawData[Tour/Site],$Q$2,RawData[[Picker ID ]],$Q$3,RawData[Checker ID],$Q$4,RawData[[Error Type ]],$Q$5))</f>
        <v/>
      </c>
    </row>
    <row r="7503" spans="15:15" x14ac:dyDescent="0.25">
      <c r="O7503" s="20" t="str">
        <f>IF(N7503="","",COUNTIFS(RawData[[Date ]],N7503,RawData[Month List],$Q$6,RawData[Tour/Site],$Q$2,RawData[[Picker ID ]],$Q$3,RawData[Checker ID],$Q$4,RawData[[Error Type ]],$Q$5))</f>
        <v/>
      </c>
    </row>
    <row r="7504" spans="15:15" x14ac:dyDescent="0.25">
      <c r="O7504" s="20" t="str">
        <f>IF(N7504="","",COUNTIFS(RawData[[Date ]],N7504,RawData[Month List],$Q$6,RawData[Tour/Site],$Q$2,RawData[[Picker ID ]],$Q$3,RawData[Checker ID],$Q$4,RawData[[Error Type ]],$Q$5))</f>
        <v/>
      </c>
    </row>
    <row r="7505" spans="15:15" x14ac:dyDescent="0.25">
      <c r="O7505" s="20" t="str">
        <f>IF(N7505="","",COUNTIFS(RawData[[Date ]],N7505,RawData[Month List],$Q$6,RawData[Tour/Site],$Q$2,RawData[[Picker ID ]],$Q$3,RawData[Checker ID],$Q$4,RawData[[Error Type ]],$Q$5))</f>
        <v/>
      </c>
    </row>
    <row r="7506" spans="15:15" x14ac:dyDescent="0.25">
      <c r="O7506" s="20" t="str">
        <f>IF(N7506="","",COUNTIFS(RawData[[Date ]],N7506,RawData[Month List],$Q$6,RawData[Tour/Site],$Q$2,RawData[[Picker ID ]],$Q$3,RawData[Checker ID],$Q$4,RawData[[Error Type ]],$Q$5))</f>
        <v/>
      </c>
    </row>
    <row r="7507" spans="15:15" x14ac:dyDescent="0.25">
      <c r="O7507" s="20" t="str">
        <f>IF(N7507="","",COUNTIFS(RawData[[Date ]],N7507,RawData[Month List],$Q$6,RawData[Tour/Site],$Q$2,RawData[[Picker ID ]],$Q$3,RawData[Checker ID],$Q$4,RawData[[Error Type ]],$Q$5))</f>
        <v/>
      </c>
    </row>
    <row r="7508" spans="15:15" x14ac:dyDescent="0.25">
      <c r="O7508" s="20" t="str">
        <f>IF(N7508="","",COUNTIFS(RawData[[Date ]],N7508,RawData[Month List],$Q$6,RawData[Tour/Site],$Q$2,RawData[[Picker ID ]],$Q$3,RawData[Checker ID],$Q$4,RawData[[Error Type ]],$Q$5))</f>
        <v/>
      </c>
    </row>
    <row r="7509" spans="15:15" x14ac:dyDescent="0.25">
      <c r="O7509" s="20" t="str">
        <f>IF(N7509="","",COUNTIFS(RawData[[Date ]],N7509,RawData[Month List],$Q$6,RawData[Tour/Site],$Q$2,RawData[[Picker ID ]],$Q$3,RawData[Checker ID],$Q$4,RawData[[Error Type ]],$Q$5))</f>
        <v/>
      </c>
    </row>
    <row r="7510" spans="15:15" x14ac:dyDescent="0.25">
      <c r="O7510" s="20" t="str">
        <f>IF(N7510="","",COUNTIFS(RawData[[Date ]],N7510,RawData[Month List],$Q$6,RawData[Tour/Site],$Q$2,RawData[[Picker ID ]],$Q$3,RawData[Checker ID],$Q$4,RawData[[Error Type ]],$Q$5))</f>
        <v/>
      </c>
    </row>
    <row r="7511" spans="15:15" x14ac:dyDescent="0.25">
      <c r="O7511" s="20" t="str">
        <f>IF(N7511="","",COUNTIFS(RawData[[Date ]],N7511,RawData[Month List],$Q$6,RawData[Tour/Site],$Q$2,RawData[[Picker ID ]],$Q$3,RawData[Checker ID],$Q$4,RawData[[Error Type ]],$Q$5))</f>
        <v/>
      </c>
    </row>
    <row r="7512" spans="15:15" x14ac:dyDescent="0.25">
      <c r="O7512" s="20" t="str">
        <f>IF(N7512="","",COUNTIFS(RawData[[Date ]],N7512,RawData[Month List],$Q$6,RawData[Tour/Site],$Q$2,RawData[[Picker ID ]],$Q$3,RawData[Checker ID],$Q$4,RawData[[Error Type ]],$Q$5))</f>
        <v/>
      </c>
    </row>
    <row r="7513" spans="15:15" x14ac:dyDescent="0.25">
      <c r="O7513" s="20" t="str">
        <f>IF(N7513="","",COUNTIFS(RawData[[Date ]],N7513,RawData[Month List],$Q$6,RawData[Tour/Site],$Q$2,RawData[[Picker ID ]],$Q$3,RawData[Checker ID],$Q$4,RawData[[Error Type ]],$Q$5))</f>
        <v/>
      </c>
    </row>
    <row r="7514" spans="15:15" x14ac:dyDescent="0.25">
      <c r="O7514" s="20" t="str">
        <f>IF(N7514="","",COUNTIFS(RawData[[Date ]],N7514,RawData[Month List],$Q$6,RawData[Tour/Site],$Q$2,RawData[[Picker ID ]],$Q$3,RawData[Checker ID],$Q$4,RawData[[Error Type ]],$Q$5))</f>
        <v/>
      </c>
    </row>
    <row r="7515" spans="15:15" x14ac:dyDescent="0.25">
      <c r="O7515" s="20" t="str">
        <f>IF(N7515="","",COUNTIFS(RawData[[Date ]],N7515,RawData[Month List],$Q$6,RawData[Tour/Site],$Q$2,RawData[[Picker ID ]],$Q$3,RawData[Checker ID],$Q$4,RawData[[Error Type ]],$Q$5))</f>
        <v/>
      </c>
    </row>
    <row r="7516" spans="15:15" x14ac:dyDescent="0.25">
      <c r="O7516" s="20" t="str">
        <f>IF(N7516="","",COUNTIFS(RawData[[Date ]],N7516,RawData[Month List],$Q$6,RawData[Tour/Site],$Q$2,RawData[[Picker ID ]],$Q$3,RawData[Checker ID],$Q$4,RawData[[Error Type ]],$Q$5))</f>
        <v/>
      </c>
    </row>
    <row r="7517" spans="15:15" x14ac:dyDescent="0.25">
      <c r="O7517" s="20" t="str">
        <f>IF(N7517="","",COUNTIFS(RawData[[Date ]],N7517,RawData[Month List],$Q$6,RawData[Tour/Site],$Q$2,RawData[[Picker ID ]],$Q$3,RawData[Checker ID],$Q$4,RawData[[Error Type ]],$Q$5))</f>
        <v/>
      </c>
    </row>
    <row r="7518" spans="15:15" x14ac:dyDescent="0.25">
      <c r="O7518" s="20" t="str">
        <f>IF(N7518="","",COUNTIFS(RawData[[Date ]],N7518,RawData[Month List],$Q$6,RawData[Tour/Site],$Q$2,RawData[[Picker ID ]],$Q$3,RawData[Checker ID],$Q$4,RawData[[Error Type ]],$Q$5))</f>
        <v/>
      </c>
    </row>
    <row r="7519" spans="15:15" x14ac:dyDescent="0.25">
      <c r="O7519" s="20" t="str">
        <f>IF(N7519="","",COUNTIFS(RawData[[Date ]],N7519,RawData[Month List],$Q$6,RawData[Tour/Site],$Q$2,RawData[[Picker ID ]],$Q$3,RawData[Checker ID],$Q$4,RawData[[Error Type ]],$Q$5))</f>
        <v/>
      </c>
    </row>
    <row r="7520" spans="15:15" x14ac:dyDescent="0.25">
      <c r="O7520" s="20" t="str">
        <f>IF(N7520="","",COUNTIFS(RawData[[Date ]],N7520,RawData[Month List],$Q$6,RawData[Tour/Site],$Q$2,RawData[[Picker ID ]],$Q$3,RawData[Checker ID],$Q$4,RawData[[Error Type ]],$Q$5))</f>
        <v/>
      </c>
    </row>
    <row r="7521" spans="15:15" x14ac:dyDescent="0.25">
      <c r="O7521" s="20" t="str">
        <f>IF(N7521="","",COUNTIFS(RawData[[Date ]],N7521,RawData[Month List],$Q$6,RawData[Tour/Site],$Q$2,RawData[[Picker ID ]],$Q$3,RawData[Checker ID],$Q$4,RawData[[Error Type ]],$Q$5))</f>
        <v/>
      </c>
    </row>
    <row r="7522" spans="15:15" x14ac:dyDescent="0.25">
      <c r="O7522" s="20" t="str">
        <f>IF(N7522="","",COUNTIFS(RawData[[Date ]],N7522,RawData[Month List],$Q$6,RawData[Tour/Site],$Q$2,RawData[[Picker ID ]],$Q$3,RawData[Checker ID],$Q$4,RawData[[Error Type ]],$Q$5))</f>
        <v/>
      </c>
    </row>
    <row r="7523" spans="15:15" x14ac:dyDescent="0.25">
      <c r="O7523" s="20" t="str">
        <f>IF(N7523="","",COUNTIFS(RawData[[Date ]],N7523,RawData[Month List],$Q$6,RawData[Tour/Site],$Q$2,RawData[[Picker ID ]],$Q$3,RawData[Checker ID],$Q$4,RawData[[Error Type ]],$Q$5))</f>
        <v/>
      </c>
    </row>
    <row r="7524" spans="15:15" x14ac:dyDescent="0.25">
      <c r="O7524" s="20" t="str">
        <f>IF(N7524="","",COUNTIFS(RawData[[Date ]],N7524,RawData[Month List],$Q$6,RawData[Tour/Site],$Q$2,RawData[[Picker ID ]],$Q$3,RawData[Checker ID],$Q$4,RawData[[Error Type ]],$Q$5))</f>
        <v/>
      </c>
    </row>
    <row r="7525" spans="15:15" x14ac:dyDescent="0.25">
      <c r="O7525" s="20" t="str">
        <f>IF(N7525="","",COUNTIFS(RawData[[Date ]],N7525,RawData[Month List],$Q$6,RawData[Tour/Site],$Q$2,RawData[[Picker ID ]],$Q$3,RawData[Checker ID],$Q$4,RawData[[Error Type ]],$Q$5))</f>
        <v/>
      </c>
    </row>
    <row r="7526" spans="15:15" x14ac:dyDescent="0.25">
      <c r="O7526" s="20" t="str">
        <f>IF(N7526="","",COUNTIFS(RawData[[Date ]],N7526,RawData[Month List],$Q$6,RawData[Tour/Site],$Q$2,RawData[[Picker ID ]],$Q$3,RawData[Checker ID],$Q$4,RawData[[Error Type ]],$Q$5))</f>
        <v/>
      </c>
    </row>
    <row r="7527" spans="15:15" x14ac:dyDescent="0.25">
      <c r="O7527" s="20" t="str">
        <f>IF(N7527="","",COUNTIFS(RawData[[Date ]],N7527,RawData[Month List],$Q$6,RawData[Tour/Site],$Q$2,RawData[[Picker ID ]],$Q$3,RawData[Checker ID],$Q$4,RawData[[Error Type ]],$Q$5))</f>
        <v/>
      </c>
    </row>
    <row r="7528" spans="15:15" x14ac:dyDescent="0.25">
      <c r="O7528" s="20" t="str">
        <f>IF(N7528="","",COUNTIFS(RawData[[Date ]],N7528,RawData[Month List],$Q$6,RawData[Tour/Site],$Q$2,RawData[[Picker ID ]],$Q$3,RawData[Checker ID],$Q$4,RawData[[Error Type ]],$Q$5))</f>
        <v/>
      </c>
    </row>
    <row r="7529" spans="15:15" x14ac:dyDescent="0.25">
      <c r="O7529" s="20" t="str">
        <f>IF(N7529="","",COUNTIFS(RawData[[Date ]],N7529,RawData[Month List],$Q$6,RawData[Tour/Site],$Q$2,RawData[[Picker ID ]],$Q$3,RawData[Checker ID],$Q$4,RawData[[Error Type ]],$Q$5))</f>
        <v/>
      </c>
    </row>
    <row r="7530" spans="15:15" x14ac:dyDescent="0.25">
      <c r="O7530" s="20" t="str">
        <f>IF(N7530="","",COUNTIFS(RawData[[Date ]],N7530,RawData[Month List],$Q$6,RawData[Tour/Site],$Q$2,RawData[[Picker ID ]],$Q$3,RawData[Checker ID],$Q$4,RawData[[Error Type ]],$Q$5))</f>
        <v/>
      </c>
    </row>
    <row r="7531" spans="15:15" x14ac:dyDescent="0.25">
      <c r="O7531" s="20" t="str">
        <f>IF(N7531="","",COUNTIFS(RawData[[Date ]],N7531,RawData[Month List],$Q$6,RawData[Tour/Site],$Q$2,RawData[[Picker ID ]],$Q$3,RawData[Checker ID],$Q$4,RawData[[Error Type ]],$Q$5))</f>
        <v/>
      </c>
    </row>
    <row r="7532" spans="15:15" x14ac:dyDescent="0.25">
      <c r="O7532" s="20" t="str">
        <f>IF(N7532="","",COUNTIFS(RawData[[Date ]],N7532,RawData[Month List],$Q$6,RawData[Tour/Site],$Q$2,RawData[[Picker ID ]],$Q$3,RawData[Checker ID],$Q$4,RawData[[Error Type ]],$Q$5))</f>
        <v/>
      </c>
    </row>
    <row r="7533" spans="15:15" x14ac:dyDescent="0.25">
      <c r="O7533" s="20" t="str">
        <f>IF(N7533="","",COUNTIFS(RawData[[Date ]],N7533,RawData[Month List],$Q$6,RawData[Tour/Site],$Q$2,RawData[[Picker ID ]],$Q$3,RawData[Checker ID],$Q$4,RawData[[Error Type ]],$Q$5))</f>
        <v/>
      </c>
    </row>
    <row r="7534" spans="15:15" x14ac:dyDescent="0.25">
      <c r="O7534" s="20" t="str">
        <f>IF(N7534="","",COUNTIFS(RawData[[Date ]],N7534,RawData[Month List],$Q$6,RawData[Tour/Site],$Q$2,RawData[[Picker ID ]],$Q$3,RawData[Checker ID],$Q$4,RawData[[Error Type ]],$Q$5))</f>
        <v/>
      </c>
    </row>
    <row r="7535" spans="15:15" x14ac:dyDescent="0.25">
      <c r="O7535" s="20" t="str">
        <f>IF(N7535="","",COUNTIFS(RawData[[Date ]],N7535,RawData[Month List],$Q$6,RawData[Tour/Site],$Q$2,RawData[[Picker ID ]],$Q$3,RawData[Checker ID],$Q$4,RawData[[Error Type ]],$Q$5))</f>
        <v/>
      </c>
    </row>
    <row r="7536" spans="15:15" x14ac:dyDescent="0.25">
      <c r="O7536" s="20" t="str">
        <f>IF(N7536="","",COUNTIFS(RawData[[Date ]],N7536,RawData[Month List],$Q$6,RawData[Tour/Site],$Q$2,RawData[[Picker ID ]],$Q$3,RawData[Checker ID],$Q$4,RawData[[Error Type ]],$Q$5))</f>
        <v/>
      </c>
    </row>
    <row r="7537" spans="15:15" x14ac:dyDescent="0.25">
      <c r="O7537" s="20" t="str">
        <f>IF(N7537="","",COUNTIFS(RawData[[Date ]],N7537,RawData[Month List],$Q$6,RawData[Tour/Site],$Q$2,RawData[[Picker ID ]],$Q$3,RawData[Checker ID],$Q$4,RawData[[Error Type ]],$Q$5))</f>
        <v/>
      </c>
    </row>
    <row r="7538" spans="15:15" x14ac:dyDescent="0.25">
      <c r="O7538" s="20" t="str">
        <f>IF(N7538="","",COUNTIFS(RawData[[Date ]],N7538,RawData[Month List],$Q$6,RawData[Tour/Site],$Q$2,RawData[[Picker ID ]],$Q$3,RawData[Checker ID],$Q$4,RawData[[Error Type ]],$Q$5))</f>
        <v/>
      </c>
    </row>
    <row r="7539" spans="15:15" x14ac:dyDescent="0.25">
      <c r="O7539" s="20" t="str">
        <f>IF(N7539="","",COUNTIFS(RawData[[Date ]],N7539,RawData[Month List],$Q$6,RawData[Tour/Site],$Q$2,RawData[[Picker ID ]],$Q$3,RawData[Checker ID],$Q$4,RawData[[Error Type ]],$Q$5))</f>
        <v/>
      </c>
    </row>
    <row r="7540" spans="15:15" x14ac:dyDescent="0.25">
      <c r="O7540" s="20" t="str">
        <f>IF(N7540="","",COUNTIFS(RawData[[Date ]],N7540,RawData[Month List],$Q$6,RawData[Tour/Site],$Q$2,RawData[[Picker ID ]],$Q$3,RawData[Checker ID],$Q$4,RawData[[Error Type ]],$Q$5))</f>
        <v/>
      </c>
    </row>
    <row r="7541" spans="15:15" x14ac:dyDescent="0.25">
      <c r="O7541" s="20" t="str">
        <f>IF(N7541="","",COUNTIFS(RawData[[Date ]],N7541,RawData[Month List],$Q$6,RawData[Tour/Site],$Q$2,RawData[[Picker ID ]],$Q$3,RawData[Checker ID],$Q$4,RawData[[Error Type ]],$Q$5))</f>
        <v/>
      </c>
    </row>
    <row r="7542" spans="15:15" x14ac:dyDescent="0.25">
      <c r="O7542" s="20" t="str">
        <f>IF(N7542="","",COUNTIFS(RawData[[Date ]],N7542,RawData[Month List],$Q$6,RawData[Tour/Site],$Q$2,RawData[[Picker ID ]],$Q$3,RawData[Checker ID],$Q$4,RawData[[Error Type ]],$Q$5))</f>
        <v/>
      </c>
    </row>
    <row r="7543" spans="15:15" x14ac:dyDescent="0.25">
      <c r="O7543" s="20" t="str">
        <f>IF(N7543="","",COUNTIFS(RawData[[Date ]],N7543,RawData[Month List],$Q$6,RawData[Tour/Site],$Q$2,RawData[[Picker ID ]],$Q$3,RawData[Checker ID],$Q$4,RawData[[Error Type ]],$Q$5))</f>
        <v/>
      </c>
    </row>
    <row r="7544" spans="15:15" x14ac:dyDescent="0.25">
      <c r="O7544" s="20" t="str">
        <f>IF(N7544="","",COUNTIFS(RawData[[Date ]],N7544,RawData[Month List],$Q$6,RawData[Tour/Site],$Q$2,RawData[[Picker ID ]],$Q$3,RawData[Checker ID],$Q$4,RawData[[Error Type ]],$Q$5))</f>
        <v/>
      </c>
    </row>
    <row r="7545" spans="15:15" x14ac:dyDescent="0.25">
      <c r="O7545" s="20" t="str">
        <f>IF(N7545="","",COUNTIFS(RawData[[Date ]],N7545,RawData[Month List],$Q$6,RawData[Tour/Site],$Q$2,RawData[[Picker ID ]],$Q$3,RawData[Checker ID],$Q$4,RawData[[Error Type ]],$Q$5))</f>
        <v/>
      </c>
    </row>
    <row r="7546" spans="15:15" x14ac:dyDescent="0.25">
      <c r="O7546" s="20" t="str">
        <f>IF(N7546="","",COUNTIFS(RawData[[Date ]],N7546,RawData[Month List],$Q$6,RawData[Tour/Site],$Q$2,RawData[[Picker ID ]],$Q$3,RawData[Checker ID],$Q$4,RawData[[Error Type ]],$Q$5))</f>
        <v/>
      </c>
    </row>
    <row r="7547" spans="15:15" x14ac:dyDescent="0.25">
      <c r="O7547" s="20" t="str">
        <f>IF(N7547="","",COUNTIFS(RawData[[Date ]],N7547,RawData[Month List],$Q$6,RawData[Tour/Site],$Q$2,RawData[[Picker ID ]],$Q$3,RawData[Checker ID],$Q$4,RawData[[Error Type ]],$Q$5))</f>
        <v/>
      </c>
    </row>
    <row r="7548" spans="15:15" x14ac:dyDescent="0.25">
      <c r="O7548" s="20" t="str">
        <f>IF(N7548="","",COUNTIFS(RawData[[Date ]],N7548,RawData[Month List],$Q$6,RawData[Tour/Site],$Q$2,RawData[[Picker ID ]],$Q$3,RawData[Checker ID],$Q$4,RawData[[Error Type ]],$Q$5))</f>
        <v/>
      </c>
    </row>
    <row r="7549" spans="15:15" x14ac:dyDescent="0.25">
      <c r="O7549" s="20" t="str">
        <f>IF(N7549="","",COUNTIFS(RawData[[Date ]],N7549,RawData[Month List],$Q$6,RawData[Tour/Site],$Q$2,RawData[[Picker ID ]],$Q$3,RawData[Checker ID],$Q$4,RawData[[Error Type ]],$Q$5))</f>
        <v/>
      </c>
    </row>
    <row r="7550" spans="15:15" x14ac:dyDescent="0.25">
      <c r="O7550" s="20" t="str">
        <f>IF(N7550="","",COUNTIFS(RawData[[Date ]],N7550,RawData[Month List],$Q$6,RawData[Tour/Site],$Q$2,RawData[[Picker ID ]],$Q$3,RawData[Checker ID],$Q$4,RawData[[Error Type ]],$Q$5))</f>
        <v/>
      </c>
    </row>
    <row r="7551" spans="15:15" x14ac:dyDescent="0.25">
      <c r="O7551" s="20" t="str">
        <f>IF(N7551="","",COUNTIFS(RawData[[Date ]],N7551,RawData[Month List],$Q$6,RawData[Tour/Site],$Q$2,RawData[[Picker ID ]],$Q$3,RawData[Checker ID],$Q$4,RawData[[Error Type ]],$Q$5))</f>
        <v/>
      </c>
    </row>
    <row r="7552" spans="15:15" x14ac:dyDescent="0.25">
      <c r="O7552" s="20" t="str">
        <f>IF(N7552="","",COUNTIFS(RawData[[Date ]],N7552,RawData[Month List],$Q$6,RawData[Tour/Site],$Q$2,RawData[[Picker ID ]],$Q$3,RawData[Checker ID],$Q$4,RawData[[Error Type ]],$Q$5))</f>
        <v/>
      </c>
    </row>
    <row r="7553" spans="15:15" x14ac:dyDescent="0.25">
      <c r="O7553" s="20" t="str">
        <f>IF(N7553="","",COUNTIFS(RawData[[Date ]],N7553,RawData[Month List],$Q$6,RawData[Tour/Site],$Q$2,RawData[[Picker ID ]],$Q$3,RawData[Checker ID],$Q$4,RawData[[Error Type ]],$Q$5))</f>
        <v/>
      </c>
    </row>
    <row r="7554" spans="15:15" x14ac:dyDescent="0.25">
      <c r="O7554" s="20" t="str">
        <f>IF(N7554="","",COUNTIFS(RawData[[Date ]],N7554,RawData[Month List],$Q$6,RawData[Tour/Site],$Q$2,RawData[[Picker ID ]],$Q$3,RawData[Checker ID],$Q$4,RawData[[Error Type ]],$Q$5))</f>
        <v/>
      </c>
    </row>
    <row r="7555" spans="15:15" x14ac:dyDescent="0.25">
      <c r="O7555" s="20" t="str">
        <f>IF(N7555="","",COUNTIFS(RawData[[Date ]],N7555,RawData[Month List],$Q$6,RawData[Tour/Site],$Q$2,RawData[[Picker ID ]],$Q$3,RawData[Checker ID],$Q$4,RawData[[Error Type ]],$Q$5))</f>
        <v/>
      </c>
    </row>
    <row r="7556" spans="15:15" x14ac:dyDescent="0.25">
      <c r="O7556" s="20" t="str">
        <f>IF(N7556="","",COUNTIFS(RawData[[Date ]],N7556,RawData[Month List],$Q$6,RawData[Tour/Site],$Q$2,RawData[[Picker ID ]],$Q$3,RawData[Checker ID],$Q$4,RawData[[Error Type ]],$Q$5))</f>
        <v/>
      </c>
    </row>
    <row r="7557" spans="15:15" x14ac:dyDescent="0.25">
      <c r="O7557" s="20" t="str">
        <f>IF(N7557="","",COUNTIFS(RawData[[Date ]],N7557,RawData[Month List],$Q$6,RawData[Tour/Site],$Q$2,RawData[[Picker ID ]],$Q$3,RawData[Checker ID],$Q$4,RawData[[Error Type ]],$Q$5))</f>
        <v/>
      </c>
    </row>
    <row r="7558" spans="15:15" x14ac:dyDescent="0.25">
      <c r="O7558" s="20" t="str">
        <f>IF(N7558="","",COUNTIFS(RawData[[Date ]],N7558,RawData[Month List],$Q$6,RawData[Tour/Site],$Q$2,RawData[[Picker ID ]],$Q$3,RawData[Checker ID],$Q$4,RawData[[Error Type ]],$Q$5))</f>
        <v/>
      </c>
    </row>
    <row r="7559" spans="15:15" x14ac:dyDescent="0.25">
      <c r="O7559" s="20" t="str">
        <f>IF(N7559="","",COUNTIFS(RawData[[Date ]],N7559,RawData[Month List],$Q$6,RawData[Tour/Site],$Q$2,RawData[[Picker ID ]],$Q$3,RawData[Checker ID],$Q$4,RawData[[Error Type ]],$Q$5))</f>
        <v/>
      </c>
    </row>
    <row r="7560" spans="15:15" x14ac:dyDescent="0.25">
      <c r="O7560" s="20" t="str">
        <f>IF(N7560="","",COUNTIFS(RawData[[Date ]],N7560,RawData[Month List],$Q$6,RawData[Tour/Site],$Q$2,RawData[[Picker ID ]],$Q$3,RawData[Checker ID],$Q$4,RawData[[Error Type ]],$Q$5))</f>
        <v/>
      </c>
    </row>
    <row r="7561" spans="15:15" x14ac:dyDescent="0.25">
      <c r="O7561" s="20" t="str">
        <f>IF(N7561="","",COUNTIFS(RawData[[Date ]],N7561,RawData[Month List],$Q$6,RawData[Tour/Site],$Q$2,RawData[[Picker ID ]],$Q$3,RawData[Checker ID],$Q$4,RawData[[Error Type ]],$Q$5))</f>
        <v/>
      </c>
    </row>
    <row r="7562" spans="15:15" x14ac:dyDescent="0.25">
      <c r="O7562" s="20" t="str">
        <f>IF(N7562="","",COUNTIFS(RawData[[Date ]],N7562,RawData[Month List],$Q$6,RawData[Tour/Site],$Q$2,RawData[[Picker ID ]],$Q$3,RawData[Checker ID],$Q$4,RawData[[Error Type ]],$Q$5))</f>
        <v/>
      </c>
    </row>
    <row r="7563" spans="15:15" x14ac:dyDescent="0.25">
      <c r="O7563" s="20" t="str">
        <f>IF(N7563="","",COUNTIFS(RawData[[Date ]],N7563,RawData[Month List],$Q$6,RawData[Tour/Site],$Q$2,RawData[[Picker ID ]],$Q$3,RawData[Checker ID],$Q$4,RawData[[Error Type ]],$Q$5))</f>
        <v/>
      </c>
    </row>
    <row r="7564" spans="15:15" x14ac:dyDescent="0.25">
      <c r="O7564" s="20" t="str">
        <f>IF(N7564="","",COUNTIFS(RawData[[Date ]],N7564,RawData[Month List],$Q$6,RawData[Tour/Site],$Q$2,RawData[[Picker ID ]],$Q$3,RawData[Checker ID],$Q$4,RawData[[Error Type ]],$Q$5))</f>
        <v/>
      </c>
    </row>
    <row r="7565" spans="15:15" x14ac:dyDescent="0.25">
      <c r="O7565" s="20" t="str">
        <f>IF(N7565="","",COUNTIFS(RawData[[Date ]],N7565,RawData[Month List],$Q$6,RawData[Tour/Site],$Q$2,RawData[[Picker ID ]],$Q$3,RawData[Checker ID],$Q$4,RawData[[Error Type ]],$Q$5))</f>
        <v/>
      </c>
    </row>
    <row r="7566" spans="15:15" x14ac:dyDescent="0.25">
      <c r="O7566" s="20" t="str">
        <f>IF(N7566="","",COUNTIFS(RawData[[Date ]],N7566,RawData[Month List],$Q$6,RawData[Tour/Site],$Q$2,RawData[[Picker ID ]],$Q$3,RawData[Checker ID],$Q$4,RawData[[Error Type ]],$Q$5))</f>
        <v/>
      </c>
    </row>
    <row r="7567" spans="15:15" x14ac:dyDescent="0.25">
      <c r="O7567" s="20" t="str">
        <f>IF(N7567="","",COUNTIFS(RawData[[Date ]],N7567,RawData[Month List],$Q$6,RawData[Tour/Site],$Q$2,RawData[[Picker ID ]],$Q$3,RawData[Checker ID],$Q$4,RawData[[Error Type ]],$Q$5))</f>
        <v/>
      </c>
    </row>
    <row r="7568" spans="15:15" x14ac:dyDescent="0.25">
      <c r="O7568" s="20" t="str">
        <f>IF(N7568="","",COUNTIFS(RawData[[Date ]],N7568,RawData[Month List],$Q$6,RawData[Tour/Site],$Q$2,RawData[[Picker ID ]],$Q$3,RawData[Checker ID],$Q$4,RawData[[Error Type ]],$Q$5))</f>
        <v/>
      </c>
    </row>
    <row r="7569" spans="15:15" x14ac:dyDescent="0.25">
      <c r="O7569" s="20" t="str">
        <f>IF(N7569="","",COUNTIFS(RawData[[Date ]],N7569,RawData[Month List],$Q$6,RawData[Tour/Site],$Q$2,RawData[[Picker ID ]],$Q$3,RawData[Checker ID],$Q$4,RawData[[Error Type ]],$Q$5))</f>
        <v/>
      </c>
    </row>
    <row r="7570" spans="15:15" x14ac:dyDescent="0.25">
      <c r="O7570" s="20" t="str">
        <f>IF(N7570="","",COUNTIFS(RawData[[Date ]],N7570,RawData[Month List],$Q$6,RawData[Tour/Site],$Q$2,RawData[[Picker ID ]],$Q$3,RawData[Checker ID],$Q$4,RawData[[Error Type ]],$Q$5))</f>
        <v/>
      </c>
    </row>
    <row r="7571" spans="15:15" x14ac:dyDescent="0.25">
      <c r="O7571" s="20" t="str">
        <f>IF(N7571="","",COUNTIFS(RawData[[Date ]],N7571,RawData[Month List],$Q$6,RawData[Tour/Site],$Q$2,RawData[[Picker ID ]],$Q$3,RawData[Checker ID],$Q$4,RawData[[Error Type ]],$Q$5))</f>
        <v/>
      </c>
    </row>
    <row r="7572" spans="15:15" x14ac:dyDescent="0.25">
      <c r="O7572" s="20" t="str">
        <f>IF(N7572="","",COUNTIFS(RawData[[Date ]],N7572,RawData[Month List],$Q$6,RawData[Tour/Site],$Q$2,RawData[[Picker ID ]],$Q$3,RawData[Checker ID],$Q$4,RawData[[Error Type ]],$Q$5))</f>
        <v/>
      </c>
    </row>
    <row r="7573" spans="15:15" x14ac:dyDescent="0.25">
      <c r="O7573" s="20" t="str">
        <f>IF(N7573="","",COUNTIFS(RawData[[Date ]],N7573,RawData[Month List],$Q$6,RawData[Tour/Site],$Q$2,RawData[[Picker ID ]],$Q$3,RawData[Checker ID],$Q$4,RawData[[Error Type ]],$Q$5))</f>
        <v/>
      </c>
    </row>
    <row r="7574" spans="15:15" x14ac:dyDescent="0.25">
      <c r="O7574" s="20" t="str">
        <f>IF(N7574="","",COUNTIFS(RawData[[Date ]],N7574,RawData[Month List],$Q$6,RawData[Tour/Site],$Q$2,RawData[[Picker ID ]],$Q$3,RawData[Checker ID],$Q$4,RawData[[Error Type ]],$Q$5))</f>
        <v/>
      </c>
    </row>
    <row r="7575" spans="15:15" x14ac:dyDescent="0.25">
      <c r="O7575" s="20" t="str">
        <f>IF(N7575="","",COUNTIFS(RawData[[Date ]],N7575,RawData[Month List],$Q$6,RawData[Tour/Site],$Q$2,RawData[[Picker ID ]],$Q$3,RawData[Checker ID],$Q$4,RawData[[Error Type ]],$Q$5))</f>
        <v/>
      </c>
    </row>
    <row r="7576" spans="15:15" x14ac:dyDescent="0.25">
      <c r="O7576" s="20" t="str">
        <f>IF(N7576="","",COUNTIFS(RawData[[Date ]],N7576,RawData[Month List],$Q$6,RawData[Tour/Site],$Q$2,RawData[[Picker ID ]],$Q$3,RawData[Checker ID],$Q$4,RawData[[Error Type ]],$Q$5))</f>
        <v/>
      </c>
    </row>
    <row r="7577" spans="15:15" x14ac:dyDescent="0.25">
      <c r="O7577" s="20" t="str">
        <f>IF(N7577="","",COUNTIFS(RawData[[Date ]],N7577,RawData[Month List],$Q$6,RawData[Tour/Site],$Q$2,RawData[[Picker ID ]],$Q$3,RawData[Checker ID],$Q$4,RawData[[Error Type ]],$Q$5))</f>
        <v/>
      </c>
    </row>
    <row r="7578" spans="15:15" x14ac:dyDescent="0.25">
      <c r="O7578" s="20" t="str">
        <f>IF(N7578="","",COUNTIFS(RawData[[Date ]],N7578,RawData[Month List],$Q$6,RawData[Tour/Site],$Q$2,RawData[[Picker ID ]],$Q$3,RawData[Checker ID],$Q$4,RawData[[Error Type ]],$Q$5))</f>
        <v/>
      </c>
    </row>
    <row r="7579" spans="15:15" x14ac:dyDescent="0.25">
      <c r="O7579" s="20" t="str">
        <f>IF(N7579="","",COUNTIFS(RawData[[Date ]],N7579,RawData[Month List],$Q$6,RawData[Tour/Site],$Q$2,RawData[[Picker ID ]],$Q$3,RawData[Checker ID],$Q$4,RawData[[Error Type ]],$Q$5))</f>
        <v/>
      </c>
    </row>
    <row r="7580" spans="15:15" x14ac:dyDescent="0.25">
      <c r="O7580" s="20" t="str">
        <f>IF(N7580="","",COUNTIFS(RawData[[Date ]],N7580,RawData[Month List],$Q$6,RawData[Tour/Site],$Q$2,RawData[[Picker ID ]],$Q$3,RawData[Checker ID],$Q$4,RawData[[Error Type ]],$Q$5))</f>
        <v/>
      </c>
    </row>
    <row r="7581" spans="15:15" x14ac:dyDescent="0.25">
      <c r="O7581" s="20" t="str">
        <f>IF(N7581="","",COUNTIFS(RawData[[Date ]],N7581,RawData[Month List],$Q$6,RawData[Tour/Site],$Q$2,RawData[[Picker ID ]],$Q$3,RawData[Checker ID],$Q$4,RawData[[Error Type ]],$Q$5))</f>
        <v/>
      </c>
    </row>
    <row r="7582" spans="15:15" x14ac:dyDescent="0.25">
      <c r="O7582" s="20" t="str">
        <f>IF(N7582="","",COUNTIFS(RawData[[Date ]],N7582,RawData[Month List],$Q$6,RawData[Tour/Site],$Q$2,RawData[[Picker ID ]],$Q$3,RawData[Checker ID],$Q$4,RawData[[Error Type ]],$Q$5))</f>
        <v/>
      </c>
    </row>
    <row r="7583" spans="15:15" x14ac:dyDescent="0.25">
      <c r="O7583" s="20" t="str">
        <f>IF(N7583="","",COUNTIFS(RawData[[Date ]],N7583,RawData[Month List],$Q$6,RawData[Tour/Site],$Q$2,RawData[[Picker ID ]],$Q$3,RawData[Checker ID],$Q$4,RawData[[Error Type ]],$Q$5))</f>
        <v/>
      </c>
    </row>
    <row r="7584" spans="15:15" x14ac:dyDescent="0.25">
      <c r="O7584" s="20" t="str">
        <f>IF(N7584="","",COUNTIFS(RawData[[Date ]],N7584,RawData[Month List],$Q$6,RawData[Tour/Site],$Q$2,RawData[[Picker ID ]],$Q$3,RawData[Checker ID],$Q$4,RawData[[Error Type ]],$Q$5))</f>
        <v/>
      </c>
    </row>
    <row r="7585" spans="15:15" x14ac:dyDescent="0.25">
      <c r="O7585" s="20" t="str">
        <f>IF(N7585="","",COUNTIFS(RawData[[Date ]],N7585,RawData[Month List],$Q$6,RawData[Tour/Site],$Q$2,RawData[[Picker ID ]],$Q$3,RawData[Checker ID],$Q$4,RawData[[Error Type ]],$Q$5))</f>
        <v/>
      </c>
    </row>
    <row r="7586" spans="15:15" x14ac:dyDescent="0.25">
      <c r="O7586" s="20" t="str">
        <f>IF(N7586="","",COUNTIFS(RawData[[Date ]],N7586,RawData[Month List],$Q$6,RawData[Tour/Site],$Q$2,RawData[[Picker ID ]],$Q$3,RawData[Checker ID],$Q$4,RawData[[Error Type ]],$Q$5))</f>
        <v/>
      </c>
    </row>
    <row r="7587" spans="15:15" x14ac:dyDescent="0.25">
      <c r="O7587" s="20" t="str">
        <f>IF(N7587="","",COUNTIFS(RawData[[Date ]],N7587,RawData[Month List],$Q$6,RawData[Tour/Site],$Q$2,RawData[[Picker ID ]],$Q$3,RawData[Checker ID],$Q$4,RawData[[Error Type ]],$Q$5))</f>
        <v/>
      </c>
    </row>
    <row r="7588" spans="15:15" x14ac:dyDescent="0.25">
      <c r="O7588" s="20" t="str">
        <f>IF(N7588="","",COUNTIFS(RawData[[Date ]],N7588,RawData[Month List],$Q$6,RawData[Tour/Site],$Q$2,RawData[[Picker ID ]],$Q$3,RawData[Checker ID],$Q$4,RawData[[Error Type ]],$Q$5))</f>
        <v/>
      </c>
    </row>
    <row r="7589" spans="15:15" x14ac:dyDescent="0.25">
      <c r="O7589" s="20" t="str">
        <f>IF(N7589="","",COUNTIFS(RawData[[Date ]],N7589,RawData[Month List],$Q$6,RawData[Tour/Site],$Q$2,RawData[[Picker ID ]],$Q$3,RawData[Checker ID],$Q$4,RawData[[Error Type ]],$Q$5))</f>
        <v/>
      </c>
    </row>
    <row r="7590" spans="15:15" x14ac:dyDescent="0.25">
      <c r="O7590" s="20" t="str">
        <f>IF(N7590="","",COUNTIFS(RawData[[Date ]],N7590,RawData[Month List],$Q$6,RawData[Tour/Site],$Q$2,RawData[[Picker ID ]],$Q$3,RawData[Checker ID],$Q$4,RawData[[Error Type ]],$Q$5))</f>
        <v/>
      </c>
    </row>
    <row r="7591" spans="15:15" x14ac:dyDescent="0.25">
      <c r="O7591" s="20" t="str">
        <f>IF(N7591="","",COUNTIFS(RawData[[Date ]],N7591,RawData[Month List],$Q$6,RawData[Tour/Site],$Q$2,RawData[[Picker ID ]],$Q$3,RawData[Checker ID],$Q$4,RawData[[Error Type ]],$Q$5))</f>
        <v/>
      </c>
    </row>
    <row r="7592" spans="15:15" x14ac:dyDescent="0.25">
      <c r="O7592" s="20" t="str">
        <f>IF(N7592="","",COUNTIFS(RawData[[Date ]],N7592,RawData[Month List],$Q$6,RawData[Tour/Site],$Q$2,RawData[[Picker ID ]],$Q$3,RawData[Checker ID],$Q$4,RawData[[Error Type ]],$Q$5))</f>
        <v/>
      </c>
    </row>
    <row r="7593" spans="15:15" x14ac:dyDescent="0.25">
      <c r="O7593" s="20" t="str">
        <f>IF(N7593="","",COUNTIFS(RawData[[Date ]],N7593,RawData[Month List],$Q$6,RawData[Tour/Site],$Q$2,RawData[[Picker ID ]],$Q$3,RawData[Checker ID],$Q$4,RawData[[Error Type ]],$Q$5))</f>
        <v/>
      </c>
    </row>
    <row r="7594" spans="15:15" x14ac:dyDescent="0.25">
      <c r="O7594" s="20" t="str">
        <f>IF(N7594="","",COUNTIFS(RawData[[Date ]],N7594,RawData[Month List],$Q$6,RawData[Tour/Site],$Q$2,RawData[[Picker ID ]],$Q$3,RawData[Checker ID],$Q$4,RawData[[Error Type ]],$Q$5))</f>
        <v/>
      </c>
    </row>
    <row r="7595" spans="15:15" x14ac:dyDescent="0.25">
      <c r="O7595" s="20" t="str">
        <f>IF(N7595="","",COUNTIFS(RawData[[Date ]],N7595,RawData[Month List],$Q$6,RawData[Tour/Site],$Q$2,RawData[[Picker ID ]],$Q$3,RawData[Checker ID],$Q$4,RawData[[Error Type ]],$Q$5))</f>
        <v/>
      </c>
    </row>
    <row r="7596" spans="15:15" x14ac:dyDescent="0.25">
      <c r="O7596" s="20" t="str">
        <f>IF(N7596="","",COUNTIFS(RawData[[Date ]],N7596,RawData[Month List],$Q$6,RawData[Tour/Site],$Q$2,RawData[[Picker ID ]],$Q$3,RawData[Checker ID],$Q$4,RawData[[Error Type ]],$Q$5))</f>
        <v/>
      </c>
    </row>
    <row r="7597" spans="15:15" x14ac:dyDescent="0.25">
      <c r="O7597" s="20" t="str">
        <f>IF(N7597="","",COUNTIFS(RawData[[Date ]],N7597,RawData[Month List],$Q$6,RawData[Tour/Site],$Q$2,RawData[[Picker ID ]],$Q$3,RawData[Checker ID],$Q$4,RawData[[Error Type ]],$Q$5))</f>
        <v/>
      </c>
    </row>
    <row r="7598" spans="15:15" x14ac:dyDescent="0.25">
      <c r="O7598" s="20" t="str">
        <f>IF(N7598="","",COUNTIFS(RawData[[Date ]],N7598,RawData[Month List],$Q$6,RawData[Tour/Site],$Q$2,RawData[[Picker ID ]],$Q$3,RawData[Checker ID],$Q$4,RawData[[Error Type ]],$Q$5))</f>
        <v/>
      </c>
    </row>
    <row r="7599" spans="15:15" x14ac:dyDescent="0.25">
      <c r="O7599" s="20" t="str">
        <f>IF(N7599="","",COUNTIFS(RawData[[Date ]],N7599,RawData[Month List],$Q$6,RawData[Tour/Site],$Q$2,RawData[[Picker ID ]],$Q$3,RawData[Checker ID],$Q$4,RawData[[Error Type ]],$Q$5))</f>
        <v/>
      </c>
    </row>
    <row r="7600" spans="15:15" x14ac:dyDescent="0.25">
      <c r="O7600" s="20" t="str">
        <f>IF(N7600="","",COUNTIFS(RawData[[Date ]],N7600,RawData[Month List],$Q$6,RawData[Tour/Site],$Q$2,RawData[[Picker ID ]],$Q$3,RawData[Checker ID],$Q$4,RawData[[Error Type ]],$Q$5))</f>
        <v/>
      </c>
    </row>
    <row r="7601" spans="15:15" x14ac:dyDescent="0.25">
      <c r="O7601" s="20" t="str">
        <f>IF(N7601="","",COUNTIFS(RawData[[Date ]],N7601,RawData[Month List],$Q$6,RawData[Tour/Site],$Q$2,RawData[[Picker ID ]],$Q$3,RawData[Checker ID],$Q$4,RawData[[Error Type ]],$Q$5))</f>
        <v/>
      </c>
    </row>
    <row r="7602" spans="15:15" x14ac:dyDescent="0.25">
      <c r="O7602" s="20" t="str">
        <f>IF(N7602="","",COUNTIFS(RawData[[Date ]],N7602,RawData[Month List],$Q$6,RawData[Tour/Site],$Q$2,RawData[[Picker ID ]],$Q$3,RawData[Checker ID],$Q$4,RawData[[Error Type ]],$Q$5))</f>
        <v/>
      </c>
    </row>
    <row r="7603" spans="15:15" x14ac:dyDescent="0.25">
      <c r="O7603" s="20" t="str">
        <f>IF(N7603="","",COUNTIFS(RawData[[Date ]],N7603,RawData[Month List],$Q$6,RawData[Tour/Site],$Q$2,RawData[[Picker ID ]],$Q$3,RawData[Checker ID],$Q$4,RawData[[Error Type ]],$Q$5))</f>
        <v/>
      </c>
    </row>
    <row r="7604" spans="15:15" x14ac:dyDescent="0.25">
      <c r="O7604" s="20" t="str">
        <f>IF(N7604="","",COUNTIFS(RawData[[Date ]],N7604,RawData[Month List],$Q$6,RawData[Tour/Site],$Q$2,RawData[[Picker ID ]],$Q$3,RawData[Checker ID],$Q$4,RawData[[Error Type ]],$Q$5))</f>
        <v/>
      </c>
    </row>
    <row r="7605" spans="15:15" x14ac:dyDescent="0.25">
      <c r="O7605" s="20" t="str">
        <f>IF(N7605="","",COUNTIFS(RawData[[Date ]],N7605,RawData[Month List],$Q$6,RawData[Tour/Site],$Q$2,RawData[[Picker ID ]],$Q$3,RawData[Checker ID],$Q$4,RawData[[Error Type ]],$Q$5))</f>
        <v/>
      </c>
    </row>
    <row r="7606" spans="15:15" x14ac:dyDescent="0.25">
      <c r="O7606" s="20" t="str">
        <f>IF(N7606="","",COUNTIFS(RawData[[Date ]],N7606,RawData[Month List],$Q$6,RawData[Tour/Site],$Q$2,RawData[[Picker ID ]],$Q$3,RawData[Checker ID],$Q$4,RawData[[Error Type ]],$Q$5))</f>
        <v/>
      </c>
    </row>
    <row r="7607" spans="15:15" x14ac:dyDescent="0.25">
      <c r="O7607" s="20" t="str">
        <f>IF(N7607="","",COUNTIFS(RawData[[Date ]],N7607,RawData[Month List],$Q$6,RawData[Tour/Site],$Q$2,RawData[[Picker ID ]],$Q$3,RawData[Checker ID],$Q$4,RawData[[Error Type ]],$Q$5))</f>
        <v/>
      </c>
    </row>
    <row r="7608" spans="15:15" x14ac:dyDescent="0.25">
      <c r="O7608" s="20" t="str">
        <f>IF(N7608="","",COUNTIFS(RawData[[Date ]],N7608,RawData[Month List],$Q$6,RawData[Tour/Site],$Q$2,RawData[[Picker ID ]],$Q$3,RawData[Checker ID],$Q$4,RawData[[Error Type ]],$Q$5))</f>
        <v/>
      </c>
    </row>
    <row r="7609" spans="15:15" x14ac:dyDescent="0.25">
      <c r="O7609" s="20" t="str">
        <f>IF(N7609="","",COUNTIFS(RawData[[Date ]],N7609,RawData[Month List],$Q$6,RawData[Tour/Site],$Q$2,RawData[[Picker ID ]],$Q$3,RawData[Checker ID],$Q$4,RawData[[Error Type ]],$Q$5))</f>
        <v/>
      </c>
    </row>
    <row r="7610" spans="15:15" x14ac:dyDescent="0.25">
      <c r="O7610" s="20" t="str">
        <f>IF(N7610="","",COUNTIFS(RawData[[Date ]],N7610,RawData[Month List],$Q$6,RawData[Tour/Site],$Q$2,RawData[[Picker ID ]],$Q$3,RawData[Checker ID],$Q$4,RawData[[Error Type ]],$Q$5))</f>
        <v/>
      </c>
    </row>
    <row r="7611" spans="15:15" x14ac:dyDescent="0.25">
      <c r="O7611" s="20" t="str">
        <f>IF(N7611="","",COUNTIFS(RawData[[Date ]],N7611,RawData[Month List],$Q$6,RawData[Tour/Site],$Q$2,RawData[[Picker ID ]],$Q$3,RawData[Checker ID],$Q$4,RawData[[Error Type ]],$Q$5))</f>
        <v/>
      </c>
    </row>
    <row r="7612" spans="15:15" x14ac:dyDescent="0.25">
      <c r="O7612" s="20" t="str">
        <f>IF(N7612="","",COUNTIFS(RawData[[Date ]],N7612,RawData[Month List],$Q$6,RawData[Tour/Site],$Q$2,RawData[[Picker ID ]],$Q$3,RawData[Checker ID],$Q$4,RawData[[Error Type ]],$Q$5))</f>
        <v/>
      </c>
    </row>
    <row r="7613" spans="15:15" x14ac:dyDescent="0.25">
      <c r="O7613" s="20" t="str">
        <f>IF(N7613="","",COUNTIFS(RawData[[Date ]],N7613,RawData[Month List],$Q$6,RawData[Tour/Site],$Q$2,RawData[[Picker ID ]],$Q$3,RawData[Checker ID],$Q$4,RawData[[Error Type ]],$Q$5))</f>
        <v/>
      </c>
    </row>
    <row r="7614" spans="15:15" x14ac:dyDescent="0.25">
      <c r="O7614" s="20" t="str">
        <f>IF(N7614="","",COUNTIFS(RawData[[Date ]],N7614,RawData[Month List],$Q$6,RawData[Tour/Site],$Q$2,RawData[[Picker ID ]],$Q$3,RawData[Checker ID],$Q$4,RawData[[Error Type ]],$Q$5))</f>
        <v/>
      </c>
    </row>
    <row r="7615" spans="15:15" x14ac:dyDescent="0.25">
      <c r="O7615" s="20" t="str">
        <f>IF(N7615="","",COUNTIFS(RawData[[Date ]],N7615,RawData[Month List],$Q$6,RawData[Tour/Site],$Q$2,RawData[[Picker ID ]],$Q$3,RawData[Checker ID],$Q$4,RawData[[Error Type ]],$Q$5))</f>
        <v/>
      </c>
    </row>
    <row r="7616" spans="15:15" x14ac:dyDescent="0.25">
      <c r="O7616" s="20" t="str">
        <f>IF(N7616="","",COUNTIFS(RawData[[Date ]],N7616,RawData[Month List],$Q$6,RawData[Tour/Site],$Q$2,RawData[[Picker ID ]],$Q$3,RawData[Checker ID],$Q$4,RawData[[Error Type ]],$Q$5))</f>
        <v/>
      </c>
    </row>
    <row r="7617" spans="15:15" x14ac:dyDescent="0.25">
      <c r="O7617" s="20" t="str">
        <f>IF(N7617="","",COUNTIFS(RawData[[Date ]],N7617,RawData[Month List],$Q$6,RawData[Tour/Site],$Q$2,RawData[[Picker ID ]],$Q$3,RawData[Checker ID],$Q$4,RawData[[Error Type ]],$Q$5))</f>
        <v/>
      </c>
    </row>
    <row r="7618" spans="15:15" x14ac:dyDescent="0.25">
      <c r="O7618" s="20" t="str">
        <f>IF(N7618="","",COUNTIFS(RawData[[Date ]],N7618,RawData[Month List],$Q$6,RawData[Tour/Site],$Q$2,RawData[[Picker ID ]],$Q$3,RawData[Checker ID],$Q$4,RawData[[Error Type ]],$Q$5))</f>
        <v/>
      </c>
    </row>
    <row r="7619" spans="15:15" x14ac:dyDescent="0.25">
      <c r="O7619" s="20" t="str">
        <f>IF(N7619="","",COUNTIFS(RawData[[Date ]],N7619,RawData[Month List],$Q$6,RawData[Tour/Site],$Q$2,RawData[[Picker ID ]],$Q$3,RawData[Checker ID],$Q$4,RawData[[Error Type ]],$Q$5))</f>
        <v/>
      </c>
    </row>
    <row r="7620" spans="15:15" x14ac:dyDescent="0.25">
      <c r="O7620" s="20" t="str">
        <f>IF(N7620="","",COUNTIFS(RawData[[Date ]],N7620,RawData[Month List],$Q$6,RawData[Tour/Site],$Q$2,RawData[[Picker ID ]],$Q$3,RawData[Checker ID],$Q$4,RawData[[Error Type ]],$Q$5))</f>
        <v/>
      </c>
    </row>
    <row r="7621" spans="15:15" x14ac:dyDescent="0.25">
      <c r="O7621" s="20" t="str">
        <f>IF(N7621="","",COUNTIFS(RawData[[Date ]],N7621,RawData[Month List],$Q$6,RawData[Tour/Site],$Q$2,RawData[[Picker ID ]],$Q$3,RawData[Checker ID],$Q$4,RawData[[Error Type ]],$Q$5))</f>
        <v/>
      </c>
    </row>
    <row r="7622" spans="15:15" x14ac:dyDescent="0.25">
      <c r="O7622" s="20" t="str">
        <f>IF(N7622="","",COUNTIFS(RawData[[Date ]],N7622,RawData[Month List],$Q$6,RawData[Tour/Site],$Q$2,RawData[[Picker ID ]],$Q$3,RawData[Checker ID],$Q$4,RawData[[Error Type ]],$Q$5))</f>
        <v/>
      </c>
    </row>
    <row r="7623" spans="15:15" x14ac:dyDescent="0.25">
      <c r="O7623" s="20" t="str">
        <f>IF(N7623="","",COUNTIFS(RawData[[Date ]],N7623,RawData[Month List],$Q$6,RawData[Tour/Site],$Q$2,RawData[[Picker ID ]],$Q$3,RawData[Checker ID],$Q$4,RawData[[Error Type ]],$Q$5))</f>
        <v/>
      </c>
    </row>
    <row r="7624" spans="15:15" x14ac:dyDescent="0.25">
      <c r="O7624" s="20" t="str">
        <f>IF(N7624="","",COUNTIFS(RawData[[Date ]],N7624,RawData[Month List],$Q$6,RawData[Tour/Site],$Q$2,RawData[[Picker ID ]],$Q$3,RawData[Checker ID],$Q$4,RawData[[Error Type ]],$Q$5))</f>
        <v/>
      </c>
    </row>
    <row r="7625" spans="15:15" x14ac:dyDescent="0.25">
      <c r="O7625" s="20" t="str">
        <f>IF(N7625="","",COUNTIFS(RawData[[Date ]],N7625,RawData[Month List],$Q$6,RawData[Tour/Site],$Q$2,RawData[[Picker ID ]],$Q$3,RawData[Checker ID],$Q$4,RawData[[Error Type ]],$Q$5))</f>
        <v/>
      </c>
    </row>
    <row r="7626" spans="15:15" x14ac:dyDescent="0.25">
      <c r="O7626" s="20" t="str">
        <f>IF(N7626="","",COUNTIFS(RawData[[Date ]],N7626,RawData[Month List],$Q$6,RawData[Tour/Site],$Q$2,RawData[[Picker ID ]],$Q$3,RawData[Checker ID],$Q$4,RawData[[Error Type ]],$Q$5))</f>
        <v/>
      </c>
    </row>
    <row r="7627" spans="15:15" x14ac:dyDescent="0.25">
      <c r="O7627" s="20" t="str">
        <f>IF(N7627="","",COUNTIFS(RawData[[Date ]],N7627,RawData[Month List],$Q$6,RawData[Tour/Site],$Q$2,RawData[[Picker ID ]],$Q$3,RawData[Checker ID],$Q$4,RawData[[Error Type ]],$Q$5))</f>
        <v/>
      </c>
    </row>
    <row r="7628" spans="15:15" x14ac:dyDescent="0.25">
      <c r="O7628" s="20" t="str">
        <f>IF(N7628="","",COUNTIFS(RawData[[Date ]],N7628,RawData[Month List],$Q$6,RawData[Tour/Site],$Q$2,RawData[[Picker ID ]],$Q$3,RawData[Checker ID],$Q$4,RawData[[Error Type ]],$Q$5))</f>
        <v/>
      </c>
    </row>
    <row r="7629" spans="15:15" x14ac:dyDescent="0.25">
      <c r="O7629" s="20" t="str">
        <f>IF(N7629="","",COUNTIFS(RawData[[Date ]],N7629,RawData[Month List],$Q$6,RawData[Tour/Site],$Q$2,RawData[[Picker ID ]],$Q$3,RawData[Checker ID],$Q$4,RawData[[Error Type ]],$Q$5))</f>
        <v/>
      </c>
    </row>
    <row r="7630" spans="15:15" x14ac:dyDescent="0.25">
      <c r="O7630" s="20" t="str">
        <f>IF(N7630="","",COUNTIFS(RawData[[Date ]],N7630,RawData[Month List],$Q$6,RawData[Tour/Site],$Q$2,RawData[[Picker ID ]],$Q$3,RawData[Checker ID],$Q$4,RawData[[Error Type ]],$Q$5))</f>
        <v/>
      </c>
    </row>
    <row r="7631" spans="15:15" x14ac:dyDescent="0.25">
      <c r="O7631" s="20" t="str">
        <f>IF(N7631="","",COUNTIFS(RawData[[Date ]],N7631,RawData[Month List],$Q$6,RawData[Tour/Site],$Q$2,RawData[[Picker ID ]],$Q$3,RawData[Checker ID],$Q$4,RawData[[Error Type ]],$Q$5))</f>
        <v/>
      </c>
    </row>
    <row r="7632" spans="15:15" x14ac:dyDescent="0.25">
      <c r="O7632" s="20" t="str">
        <f>IF(N7632="","",COUNTIFS(RawData[[Date ]],N7632,RawData[Month List],$Q$6,RawData[Tour/Site],$Q$2,RawData[[Picker ID ]],$Q$3,RawData[Checker ID],$Q$4,RawData[[Error Type ]],$Q$5))</f>
        <v/>
      </c>
    </row>
    <row r="7633" spans="15:15" x14ac:dyDescent="0.25">
      <c r="O7633" s="20" t="str">
        <f>IF(N7633="","",COUNTIFS(RawData[[Date ]],N7633,RawData[Month List],$Q$6,RawData[Tour/Site],$Q$2,RawData[[Picker ID ]],$Q$3,RawData[Checker ID],$Q$4,RawData[[Error Type ]],$Q$5))</f>
        <v/>
      </c>
    </row>
    <row r="7634" spans="15:15" x14ac:dyDescent="0.25">
      <c r="O7634" s="20" t="str">
        <f>IF(N7634="","",COUNTIFS(RawData[[Date ]],N7634,RawData[Month List],$Q$6,RawData[Tour/Site],$Q$2,RawData[[Picker ID ]],$Q$3,RawData[Checker ID],$Q$4,RawData[[Error Type ]],$Q$5))</f>
        <v/>
      </c>
    </row>
    <row r="7635" spans="15:15" x14ac:dyDescent="0.25">
      <c r="O7635" s="20" t="str">
        <f>IF(N7635="","",COUNTIFS(RawData[[Date ]],N7635,RawData[Month List],$Q$6,RawData[Tour/Site],$Q$2,RawData[[Picker ID ]],$Q$3,RawData[Checker ID],$Q$4,RawData[[Error Type ]],$Q$5))</f>
        <v/>
      </c>
    </row>
    <row r="7636" spans="15:15" x14ac:dyDescent="0.25">
      <c r="O7636" s="20" t="str">
        <f>IF(N7636="","",COUNTIFS(RawData[[Date ]],N7636,RawData[Month List],$Q$6,RawData[Tour/Site],$Q$2,RawData[[Picker ID ]],$Q$3,RawData[Checker ID],$Q$4,RawData[[Error Type ]],$Q$5))</f>
        <v/>
      </c>
    </row>
    <row r="7637" spans="15:15" x14ac:dyDescent="0.25">
      <c r="O7637" s="20" t="str">
        <f>IF(N7637="","",COUNTIFS(RawData[[Date ]],N7637,RawData[Month List],$Q$6,RawData[Tour/Site],$Q$2,RawData[[Picker ID ]],$Q$3,RawData[Checker ID],$Q$4,RawData[[Error Type ]],$Q$5))</f>
        <v/>
      </c>
    </row>
    <row r="7638" spans="15:15" x14ac:dyDescent="0.25">
      <c r="O7638" s="20" t="str">
        <f>IF(N7638="","",COUNTIFS(RawData[[Date ]],N7638,RawData[Month List],$Q$6,RawData[Tour/Site],$Q$2,RawData[[Picker ID ]],$Q$3,RawData[Checker ID],$Q$4,RawData[[Error Type ]],$Q$5))</f>
        <v/>
      </c>
    </row>
    <row r="7639" spans="15:15" x14ac:dyDescent="0.25">
      <c r="O7639" s="20" t="str">
        <f>IF(N7639="","",COUNTIFS(RawData[[Date ]],N7639,RawData[Month List],$Q$6,RawData[Tour/Site],$Q$2,RawData[[Picker ID ]],$Q$3,RawData[Checker ID],$Q$4,RawData[[Error Type ]],$Q$5))</f>
        <v/>
      </c>
    </row>
    <row r="7640" spans="15:15" x14ac:dyDescent="0.25">
      <c r="O7640" s="20" t="str">
        <f>IF(N7640="","",COUNTIFS(RawData[[Date ]],N7640,RawData[Month List],$Q$6,RawData[Tour/Site],$Q$2,RawData[[Picker ID ]],$Q$3,RawData[Checker ID],$Q$4,RawData[[Error Type ]],$Q$5))</f>
        <v/>
      </c>
    </row>
    <row r="7641" spans="15:15" x14ac:dyDescent="0.25">
      <c r="O7641" s="20" t="str">
        <f>IF(N7641="","",COUNTIFS(RawData[[Date ]],N7641,RawData[Month List],$Q$6,RawData[Tour/Site],$Q$2,RawData[[Picker ID ]],$Q$3,RawData[Checker ID],$Q$4,RawData[[Error Type ]],$Q$5))</f>
        <v/>
      </c>
    </row>
    <row r="7642" spans="15:15" x14ac:dyDescent="0.25">
      <c r="O7642" s="20" t="str">
        <f>IF(N7642="","",COUNTIFS(RawData[[Date ]],N7642,RawData[Month List],$Q$6,RawData[Tour/Site],$Q$2,RawData[[Picker ID ]],$Q$3,RawData[Checker ID],$Q$4,RawData[[Error Type ]],$Q$5))</f>
        <v/>
      </c>
    </row>
    <row r="7643" spans="15:15" x14ac:dyDescent="0.25">
      <c r="O7643" s="20" t="str">
        <f>IF(N7643="","",COUNTIFS(RawData[[Date ]],N7643,RawData[Month List],$Q$6,RawData[Tour/Site],$Q$2,RawData[[Picker ID ]],$Q$3,RawData[Checker ID],$Q$4,RawData[[Error Type ]],$Q$5))</f>
        <v/>
      </c>
    </row>
    <row r="7644" spans="15:15" x14ac:dyDescent="0.25">
      <c r="O7644" s="20" t="str">
        <f>IF(N7644="","",COUNTIFS(RawData[[Date ]],N7644,RawData[Month List],$Q$6,RawData[Tour/Site],$Q$2,RawData[[Picker ID ]],$Q$3,RawData[Checker ID],$Q$4,RawData[[Error Type ]],$Q$5))</f>
        <v/>
      </c>
    </row>
    <row r="7645" spans="15:15" x14ac:dyDescent="0.25">
      <c r="O7645" s="20" t="str">
        <f>IF(N7645="","",COUNTIFS(RawData[[Date ]],N7645,RawData[Month List],$Q$6,RawData[Tour/Site],$Q$2,RawData[[Picker ID ]],$Q$3,RawData[Checker ID],$Q$4,RawData[[Error Type ]],$Q$5))</f>
        <v/>
      </c>
    </row>
    <row r="7646" spans="15:15" x14ac:dyDescent="0.25">
      <c r="O7646" s="20" t="str">
        <f>IF(N7646="","",COUNTIFS(RawData[[Date ]],N7646,RawData[Month List],$Q$6,RawData[Tour/Site],$Q$2,RawData[[Picker ID ]],$Q$3,RawData[Checker ID],$Q$4,RawData[[Error Type ]],$Q$5))</f>
        <v/>
      </c>
    </row>
    <row r="7647" spans="15:15" x14ac:dyDescent="0.25">
      <c r="O7647" s="20" t="str">
        <f>IF(N7647="","",COUNTIFS(RawData[[Date ]],N7647,RawData[Month List],$Q$6,RawData[Tour/Site],$Q$2,RawData[[Picker ID ]],$Q$3,RawData[Checker ID],$Q$4,RawData[[Error Type ]],$Q$5))</f>
        <v/>
      </c>
    </row>
    <row r="7648" spans="15:15" x14ac:dyDescent="0.25">
      <c r="O7648" s="20" t="str">
        <f>IF(N7648="","",COUNTIFS(RawData[[Date ]],N7648,RawData[Month List],$Q$6,RawData[Tour/Site],$Q$2,RawData[[Picker ID ]],$Q$3,RawData[Checker ID],$Q$4,RawData[[Error Type ]],$Q$5))</f>
        <v/>
      </c>
    </row>
    <row r="7649" spans="15:15" x14ac:dyDescent="0.25">
      <c r="O7649" s="20" t="str">
        <f>IF(N7649="","",COUNTIFS(RawData[[Date ]],N7649,RawData[Month List],$Q$6,RawData[Tour/Site],$Q$2,RawData[[Picker ID ]],$Q$3,RawData[Checker ID],$Q$4,RawData[[Error Type ]],$Q$5))</f>
        <v/>
      </c>
    </row>
    <row r="7650" spans="15:15" x14ac:dyDescent="0.25">
      <c r="O7650" s="20" t="str">
        <f>IF(N7650="","",COUNTIFS(RawData[[Date ]],N7650,RawData[Month List],$Q$6,RawData[Tour/Site],$Q$2,RawData[[Picker ID ]],$Q$3,RawData[Checker ID],$Q$4,RawData[[Error Type ]],$Q$5))</f>
        <v/>
      </c>
    </row>
    <row r="7651" spans="15:15" x14ac:dyDescent="0.25">
      <c r="O7651" s="20" t="str">
        <f>IF(N7651="","",COUNTIFS(RawData[[Date ]],N7651,RawData[Month List],$Q$6,RawData[Tour/Site],$Q$2,RawData[[Picker ID ]],$Q$3,RawData[Checker ID],$Q$4,RawData[[Error Type ]],$Q$5))</f>
        <v/>
      </c>
    </row>
    <row r="7652" spans="15:15" x14ac:dyDescent="0.25">
      <c r="O7652" s="20" t="str">
        <f>IF(N7652="","",COUNTIFS(RawData[[Date ]],N7652,RawData[Month List],$Q$6,RawData[Tour/Site],$Q$2,RawData[[Picker ID ]],$Q$3,RawData[Checker ID],$Q$4,RawData[[Error Type ]],$Q$5))</f>
        <v/>
      </c>
    </row>
    <row r="7653" spans="15:15" x14ac:dyDescent="0.25">
      <c r="O7653" s="20" t="str">
        <f>IF(N7653="","",COUNTIFS(RawData[[Date ]],N7653,RawData[Month List],$Q$6,RawData[Tour/Site],$Q$2,RawData[[Picker ID ]],$Q$3,RawData[Checker ID],$Q$4,RawData[[Error Type ]],$Q$5))</f>
        <v/>
      </c>
    </row>
    <row r="7654" spans="15:15" x14ac:dyDescent="0.25">
      <c r="O7654" s="20" t="str">
        <f>IF(N7654="","",COUNTIFS(RawData[[Date ]],N7654,RawData[Month List],$Q$6,RawData[Tour/Site],$Q$2,RawData[[Picker ID ]],$Q$3,RawData[Checker ID],$Q$4,RawData[[Error Type ]],$Q$5))</f>
        <v/>
      </c>
    </row>
    <row r="7655" spans="15:15" x14ac:dyDescent="0.25">
      <c r="O7655" s="20" t="str">
        <f>IF(N7655="","",COUNTIFS(RawData[[Date ]],N7655,RawData[Month List],$Q$6,RawData[Tour/Site],$Q$2,RawData[[Picker ID ]],$Q$3,RawData[Checker ID],$Q$4,RawData[[Error Type ]],$Q$5))</f>
        <v/>
      </c>
    </row>
    <row r="7656" spans="15:15" x14ac:dyDescent="0.25">
      <c r="O7656" s="20" t="str">
        <f>IF(N7656="","",COUNTIFS(RawData[[Date ]],N7656,RawData[Month List],$Q$6,RawData[Tour/Site],$Q$2,RawData[[Picker ID ]],$Q$3,RawData[Checker ID],$Q$4,RawData[[Error Type ]],$Q$5))</f>
        <v/>
      </c>
    </row>
    <row r="7657" spans="15:15" x14ac:dyDescent="0.25">
      <c r="O7657" s="20" t="str">
        <f>IF(N7657="","",COUNTIFS(RawData[[Date ]],N7657,RawData[Month List],$Q$6,RawData[Tour/Site],$Q$2,RawData[[Picker ID ]],$Q$3,RawData[Checker ID],$Q$4,RawData[[Error Type ]],$Q$5))</f>
        <v/>
      </c>
    </row>
    <row r="7658" spans="15:15" x14ac:dyDescent="0.25">
      <c r="O7658" s="20" t="str">
        <f>IF(N7658="","",COUNTIFS(RawData[[Date ]],N7658,RawData[Month List],$Q$6,RawData[Tour/Site],$Q$2,RawData[[Picker ID ]],$Q$3,RawData[Checker ID],$Q$4,RawData[[Error Type ]],$Q$5))</f>
        <v/>
      </c>
    </row>
    <row r="7659" spans="15:15" x14ac:dyDescent="0.25">
      <c r="O7659" s="20" t="str">
        <f>IF(N7659="","",COUNTIFS(RawData[[Date ]],N7659,RawData[Month List],$Q$6,RawData[Tour/Site],$Q$2,RawData[[Picker ID ]],$Q$3,RawData[Checker ID],$Q$4,RawData[[Error Type ]],$Q$5))</f>
        <v/>
      </c>
    </row>
    <row r="7660" spans="15:15" x14ac:dyDescent="0.25">
      <c r="O7660" s="20" t="str">
        <f>IF(N7660="","",COUNTIFS(RawData[[Date ]],N7660,RawData[Month List],$Q$6,RawData[Tour/Site],$Q$2,RawData[[Picker ID ]],$Q$3,RawData[Checker ID],$Q$4,RawData[[Error Type ]],$Q$5))</f>
        <v/>
      </c>
    </row>
    <row r="7661" spans="15:15" x14ac:dyDescent="0.25">
      <c r="O7661" s="20" t="str">
        <f>IF(N7661="","",COUNTIFS(RawData[[Date ]],N7661,RawData[Month List],$Q$6,RawData[Tour/Site],$Q$2,RawData[[Picker ID ]],$Q$3,RawData[Checker ID],$Q$4,RawData[[Error Type ]],$Q$5))</f>
        <v/>
      </c>
    </row>
    <row r="7662" spans="15:15" x14ac:dyDescent="0.25">
      <c r="O7662" s="20" t="str">
        <f>IF(N7662="","",COUNTIFS(RawData[[Date ]],N7662,RawData[Month List],$Q$6,RawData[Tour/Site],$Q$2,RawData[[Picker ID ]],$Q$3,RawData[Checker ID],$Q$4,RawData[[Error Type ]],$Q$5))</f>
        <v/>
      </c>
    </row>
    <row r="7663" spans="15:15" x14ac:dyDescent="0.25">
      <c r="O7663" s="20" t="str">
        <f>IF(N7663="","",COUNTIFS(RawData[[Date ]],N7663,RawData[Month List],$Q$6,RawData[Tour/Site],$Q$2,RawData[[Picker ID ]],$Q$3,RawData[Checker ID],$Q$4,RawData[[Error Type ]],$Q$5))</f>
        <v/>
      </c>
    </row>
    <row r="7664" spans="15:15" x14ac:dyDescent="0.25">
      <c r="O7664" s="20" t="str">
        <f>IF(N7664="","",COUNTIFS(RawData[[Date ]],N7664,RawData[Month List],$Q$6,RawData[Tour/Site],$Q$2,RawData[[Picker ID ]],$Q$3,RawData[Checker ID],$Q$4,RawData[[Error Type ]],$Q$5))</f>
        <v/>
      </c>
    </row>
    <row r="7665" spans="15:15" x14ac:dyDescent="0.25">
      <c r="O7665" s="20" t="str">
        <f>IF(N7665="","",COUNTIFS(RawData[[Date ]],N7665,RawData[Month List],$Q$6,RawData[Tour/Site],$Q$2,RawData[[Picker ID ]],$Q$3,RawData[Checker ID],$Q$4,RawData[[Error Type ]],$Q$5))</f>
        <v/>
      </c>
    </row>
    <row r="7666" spans="15:15" x14ac:dyDescent="0.25">
      <c r="O7666" s="20" t="str">
        <f>IF(N7666="","",COUNTIFS(RawData[[Date ]],N7666,RawData[Month List],$Q$6,RawData[Tour/Site],$Q$2,RawData[[Picker ID ]],$Q$3,RawData[Checker ID],$Q$4,RawData[[Error Type ]],$Q$5))</f>
        <v/>
      </c>
    </row>
    <row r="7667" spans="15:15" x14ac:dyDescent="0.25">
      <c r="O7667" s="20" t="str">
        <f>IF(N7667="","",COUNTIFS(RawData[[Date ]],N7667,RawData[Month List],$Q$6,RawData[Tour/Site],$Q$2,RawData[[Picker ID ]],$Q$3,RawData[Checker ID],$Q$4,RawData[[Error Type ]],$Q$5))</f>
        <v/>
      </c>
    </row>
    <row r="7668" spans="15:15" x14ac:dyDescent="0.25">
      <c r="O7668" s="20" t="str">
        <f>IF(N7668="","",COUNTIFS(RawData[[Date ]],N7668,RawData[Month List],$Q$6,RawData[Tour/Site],$Q$2,RawData[[Picker ID ]],$Q$3,RawData[Checker ID],$Q$4,RawData[[Error Type ]],$Q$5))</f>
        <v/>
      </c>
    </row>
    <row r="7669" spans="15:15" x14ac:dyDescent="0.25">
      <c r="O7669" s="20" t="str">
        <f>IF(N7669="","",COUNTIFS(RawData[[Date ]],N7669,RawData[Month List],$Q$6,RawData[Tour/Site],$Q$2,RawData[[Picker ID ]],$Q$3,RawData[Checker ID],$Q$4,RawData[[Error Type ]],$Q$5))</f>
        <v/>
      </c>
    </row>
    <row r="7670" spans="15:15" x14ac:dyDescent="0.25">
      <c r="O7670" s="20" t="str">
        <f>IF(N7670="","",COUNTIFS(RawData[[Date ]],N7670,RawData[Month List],$Q$6,RawData[Tour/Site],$Q$2,RawData[[Picker ID ]],$Q$3,RawData[Checker ID],$Q$4,RawData[[Error Type ]],$Q$5))</f>
        <v/>
      </c>
    </row>
    <row r="7671" spans="15:15" x14ac:dyDescent="0.25">
      <c r="O7671" s="20" t="str">
        <f>IF(N7671="","",COUNTIFS(RawData[[Date ]],N7671,RawData[Month List],$Q$6,RawData[Tour/Site],$Q$2,RawData[[Picker ID ]],$Q$3,RawData[Checker ID],$Q$4,RawData[[Error Type ]],$Q$5))</f>
        <v/>
      </c>
    </row>
    <row r="7672" spans="15:15" x14ac:dyDescent="0.25">
      <c r="O7672" s="20" t="str">
        <f>IF(N7672="","",COUNTIFS(RawData[[Date ]],N7672,RawData[Month List],$Q$6,RawData[Tour/Site],$Q$2,RawData[[Picker ID ]],$Q$3,RawData[Checker ID],$Q$4,RawData[[Error Type ]],$Q$5))</f>
        <v/>
      </c>
    </row>
    <row r="7673" spans="15:15" x14ac:dyDescent="0.25">
      <c r="O7673" s="20" t="str">
        <f>IF(N7673="","",COUNTIFS(RawData[[Date ]],N7673,RawData[Month List],$Q$6,RawData[Tour/Site],$Q$2,RawData[[Picker ID ]],$Q$3,RawData[Checker ID],$Q$4,RawData[[Error Type ]],$Q$5))</f>
        <v/>
      </c>
    </row>
    <row r="7674" spans="15:15" x14ac:dyDescent="0.25">
      <c r="O7674" s="20" t="str">
        <f>IF(N7674="","",COUNTIFS(RawData[[Date ]],N7674,RawData[Month List],$Q$6,RawData[Tour/Site],$Q$2,RawData[[Picker ID ]],$Q$3,RawData[Checker ID],$Q$4,RawData[[Error Type ]],$Q$5))</f>
        <v/>
      </c>
    </row>
    <row r="7675" spans="15:15" x14ac:dyDescent="0.25">
      <c r="O7675" s="20" t="str">
        <f>IF(N7675="","",COUNTIFS(RawData[[Date ]],N7675,RawData[Month List],$Q$6,RawData[Tour/Site],$Q$2,RawData[[Picker ID ]],$Q$3,RawData[Checker ID],$Q$4,RawData[[Error Type ]],$Q$5))</f>
        <v/>
      </c>
    </row>
    <row r="7676" spans="15:15" x14ac:dyDescent="0.25">
      <c r="O7676" s="20" t="str">
        <f>IF(N7676="","",COUNTIFS(RawData[[Date ]],N7676,RawData[Month List],$Q$6,RawData[Tour/Site],$Q$2,RawData[[Picker ID ]],$Q$3,RawData[Checker ID],$Q$4,RawData[[Error Type ]],$Q$5))</f>
        <v/>
      </c>
    </row>
    <row r="7677" spans="15:15" x14ac:dyDescent="0.25">
      <c r="O7677" s="20" t="str">
        <f>IF(N7677="","",COUNTIFS(RawData[[Date ]],N7677,RawData[Month List],$Q$6,RawData[Tour/Site],$Q$2,RawData[[Picker ID ]],$Q$3,RawData[Checker ID],$Q$4,RawData[[Error Type ]],$Q$5))</f>
        <v/>
      </c>
    </row>
    <row r="7678" spans="15:15" x14ac:dyDescent="0.25">
      <c r="O7678" s="20" t="str">
        <f>IF(N7678="","",COUNTIFS(RawData[[Date ]],N7678,RawData[Month List],$Q$6,RawData[Tour/Site],$Q$2,RawData[[Picker ID ]],$Q$3,RawData[Checker ID],$Q$4,RawData[[Error Type ]],$Q$5))</f>
        <v/>
      </c>
    </row>
    <row r="7679" spans="15:15" x14ac:dyDescent="0.25">
      <c r="O7679" s="20" t="str">
        <f>IF(N7679="","",COUNTIFS(RawData[[Date ]],N7679,RawData[Month List],$Q$6,RawData[Tour/Site],$Q$2,RawData[[Picker ID ]],$Q$3,RawData[Checker ID],$Q$4,RawData[[Error Type ]],$Q$5))</f>
        <v/>
      </c>
    </row>
    <row r="7680" spans="15:15" x14ac:dyDescent="0.25">
      <c r="O7680" s="20" t="str">
        <f>IF(N7680="","",COUNTIFS(RawData[[Date ]],N7680,RawData[Month List],$Q$6,RawData[Tour/Site],$Q$2,RawData[[Picker ID ]],$Q$3,RawData[Checker ID],$Q$4,RawData[[Error Type ]],$Q$5))</f>
        <v/>
      </c>
    </row>
    <row r="7681" spans="15:15" x14ac:dyDescent="0.25">
      <c r="O7681" s="20" t="str">
        <f>IF(N7681="","",COUNTIFS(RawData[[Date ]],N7681,RawData[Month List],$Q$6,RawData[Tour/Site],$Q$2,RawData[[Picker ID ]],$Q$3,RawData[Checker ID],$Q$4,RawData[[Error Type ]],$Q$5))</f>
        <v/>
      </c>
    </row>
    <row r="7682" spans="15:15" x14ac:dyDescent="0.25">
      <c r="O7682" s="20" t="str">
        <f>IF(N7682="","",COUNTIFS(RawData[[Date ]],N7682,RawData[Month List],$Q$6,RawData[Tour/Site],$Q$2,RawData[[Picker ID ]],$Q$3,RawData[Checker ID],$Q$4,RawData[[Error Type ]],$Q$5))</f>
        <v/>
      </c>
    </row>
    <row r="7683" spans="15:15" x14ac:dyDescent="0.25">
      <c r="O7683" s="20" t="str">
        <f>IF(N7683="","",COUNTIFS(RawData[[Date ]],N7683,RawData[Month List],$Q$6,RawData[Tour/Site],$Q$2,RawData[[Picker ID ]],$Q$3,RawData[Checker ID],$Q$4,RawData[[Error Type ]],$Q$5))</f>
        <v/>
      </c>
    </row>
    <row r="7684" spans="15:15" x14ac:dyDescent="0.25">
      <c r="O7684" s="20" t="str">
        <f>IF(N7684="","",COUNTIFS(RawData[[Date ]],N7684,RawData[Month List],$Q$6,RawData[Tour/Site],$Q$2,RawData[[Picker ID ]],$Q$3,RawData[Checker ID],$Q$4,RawData[[Error Type ]],$Q$5))</f>
        <v/>
      </c>
    </row>
    <row r="7685" spans="15:15" x14ac:dyDescent="0.25">
      <c r="O7685" s="20" t="str">
        <f>IF(N7685="","",COUNTIFS(RawData[[Date ]],N7685,RawData[Month List],$Q$6,RawData[Tour/Site],$Q$2,RawData[[Picker ID ]],$Q$3,RawData[Checker ID],$Q$4,RawData[[Error Type ]],$Q$5))</f>
        <v/>
      </c>
    </row>
    <row r="7686" spans="15:15" x14ac:dyDescent="0.25">
      <c r="O7686" s="20" t="str">
        <f>IF(N7686="","",COUNTIFS(RawData[[Date ]],N7686,RawData[Month List],$Q$6,RawData[Tour/Site],$Q$2,RawData[[Picker ID ]],$Q$3,RawData[Checker ID],$Q$4,RawData[[Error Type ]],$Q$5))</f>
        <v/>
      </c>
    </row>
    <row r="7687" spans="15:15" x14ac:dyDescent="0.25">
      <c r="O7687" s="20" t="str">
        <f>IF(N7687="","",COUNTIFS(RawData[[Date ]],N7687,RawData[Month List],$Q$6,RawData[Tour/Site],$Q$2,RawData[[Picker ID ]],$Q$3,RawData[Checker ID],$Q$4,RawData[[Error Type ]],$Q$5))</f>
        <v/>
      </c>
    </row>
    <row r="7688" spans="15:15" x14ac:dyDescent="0.25">
      <c r="O7688" s="20" t="str">
        <f>IF(N7688="","",COUNTIFS(RawData[[Date ]],N7688,RawData[Month List],$Q$6,RawData[Tour/Site],$Q$2,RawData[[Picker ID ]],$Q$3,RawData[Checker ID],$Q$4,RawData[[Error Type ]],$Q$5))</f>
        <v/>
      </c>
    </row>
    <row r="7689" spans="15:15" x14ac:dyDescent="0.25">
      <c r="O7689" s="20" t="str">
        <f>IF(N7689="","",COUNTIFS(RawData[[Date ]],N7689,RawData[Month List],$Q$6,RawData[Tour/Site],$Q$2,RawData[[Picker ID ]],$Q$3,RawData[Checker ID],$Q$4,RawData[[Error Type ]],$Q$5))</f>
        <v/>
      </c>
    </row>
    <row r="7690" spans="15:15" x14ac:dyDescent="0.25">
      <c r="O7690" s="20" t="str">
        <f>IF(N7690="","",COUNTIFS(RawData[[Date ]],N7690,RawData[Month List],$Q$6,RawData[Tour/Site],$Q$2,RawData[[Picker ID ]],$Q$3,RawData[Checker ID],$Q$4,RawData[[Error Type ]],$Q$5))</f>
        <v/>
      </c>
    </row>
    <row r="7691" spans="15:15" x14ac:dyDescent="0.25">
      <c r="O7691" s="20" t="str">
        <f>IF(N7691="","",COUNTIFS(RawData[[Date ]],N7691,RawData[Month List],$Q$6,RawData[Tour/Site],$Q$2,RawData[[Picker ID ]],$Q$3,RawData[Checker ID],$Q$4,RawData[[Error Type ]],$Q$5))</f>
        <v/>
      </c>
    </row>
    <row r="7692" spans="15:15" x14ac:dyDescent="0.25">
      <c r="O7692" s="20" t="str">
        <f>IF(N7692="","",COUNTIFS(RawData[[Date ]],N7692,RawData[Month List],$Q$6,RawData[Tour/Site],$Q$2,RawData[[Picker ID ]],$Q$3,RawData[Checker ID],$Q$4,RawData[[Error Type ]],$Q$5))</f>
        <v/>
      </c>
    </row>
    <row r="7693" spans="15:15" x14ac:dyDescent="0.25">
      <c r="O7693" s="20" t="str">
        <f>IF(N7693="","",COUNTIFS(RawData[[Date ]],N7693,RawData[Month List],$Q$6,RawData[Tour/Site],$Q$2,RawData[[Picker ID ]],$Q$3,RawData[Checker ID],$Q$4,RawData[[Error Type ]],$Q$5))</f>
        <v/>
      </c>
    </row>
    <row r="7694" spans="15:15" x14ac:dyDescent="0.25">
      <c r="O7694" s="20" t="str">
        <f>IF(N7694="","",COUNTIFS(RawData[[Date ]],N7694,RawData[Month List],$Q$6,RawData[Tour/Site],$Q$2,RawData[[Picker ID ]],$Q$3,RawData[Checker ID],$Q$4,RawData[[Error Type ]],$Q$5))</f>
        <v/>
      </c>
    </row>
    <row r="7695" spans="15:15" x14ac:dyDescent="0.25">
      <c r="O7695" s="20" t="str">
        <f>IF(N7695="","",COUNTIFS(RawData[[Date ]],N7695,RawData[Month List],$Q$6,RawData[Tour/Site],$Q$2,RawData[[Picker ID ]],$Q$3,RawData[Checker ID],$Q$4,RawData[[Error Type ]],$Q$5))</f>
        <v/>
      </c>
    </row>
    <row r="7696" spans="15:15" x14ac:dyDescent="0.25">
      <c r="O7696" s="20" t="str">
        <f>IF(N7696="","",COUNTIFS(RawData[[Date ]],N7696,RawData[Month List],$Q$6,RawData[Tour/Site],$Q$2,RawData[[Picker ID ]],$Q$3,RawData[Checker ID],$Q$4,RawData[[Error Type ]],$Q$5))</f>
        <v/>
      </c>
    </row>
    <row r="7697" spans="15:15" x14ac:dyDescent="0.25">
      <c r="O7697" s="20" t="str">
        <f>IF(N7697="","",COUNTIFS(RawData[[Date ]],N7697,RawData[Month List],$Q$6,RawData[Tour/Site],$Q$2,RawData[[Picker ID ]],$Q$3,RawData[Checker ID],$Q$4,RawData[[Error Type ]],$Q$5))</f>
        <v/>
      </c>
    </row>
    <row r="7698" spans="15:15" x14ac:dyDescent="0.25">
      <c r="O7698" s="20" t="str">
        <f>IF(N7698="","",COUNTIFS(RawData[[Date ]],N7698,RawData[Month List],$Q$6,RawData[Tour/Site],$Q$2,RawData[[Picker ID ]],$Q$3,RawData[Checker ID],$Q$4,RawData[[Error Type ]],$Q$5))</f>
        <v/>
      </c>
    </row>
    <row r="7699" spans="15:15" x14ac:dyDescent="0.25">
      <c r="O7699" s="20" t="str">
        <f>IF(N7699="","",COUNTIFS(RawData[[Date ]],N7699,RawData[Month List],$Q$6,RawData[Tour/Site],$Q$2,RawData[[Picker ID ]],$Q$3,RawData[Checker ID],$Q$4,RawData[[Error Type ]],$Q$5))</f>
        <v/>
      </c>
    </row>
    <row r="7700" spans="15:15" x14ac:dyDescent="0.25">
      <c r="O7700" s="20" t="str">
        <f>IF(N7700="","",COUNTIFS(RawData[[Date ]],N7700,RawData[Month List],$Q$6,RawData[Tour/Site],$Q$2,RawData[[Picker ID ]],$Q$3,RawData[Checker ID],$Q$4,RawData[[Error Type ]],$Q$5))</f>
        <v/>
      </c>
    </row>
    <row r="7701" spans="15:15" x14ac:dyDescent="0.25">
      <c r="O7701" s="20" t="str">
        <f>IF(N7701="","",COUNTIFS(RawData[[Date ]],N7701,RawData[Month List],$Q$6,RawData[Tour/Site],$Q$2,RawData[[Picker ID ]],$Q$3,RawData[Checker ID],$Q$4,RawData[[Error Type ]],$Q$5))</f>
        <v/>
      </c>
    </row>
    <row r="7702" spans="15:15" x14ac:dyDescent="0.25">
      <c r="O7702" s="20" t="str">
        <f>IF(N7702="","",COUNTIFS(RawData[[Date ]],N7702,RawData[Month List],$Q$6,RawData[Tour/Site],$Q$2,RawData[[Picker ID ]],$Q$3,RawData[Checker ID],$Q$4,RawData[[Error Type ]],$Q$5))</f>
        <v/>
      </c>
    </row>
    <row r="7703" spans="15:15" x14ac:dyDescent="0.25">
      <c r="O7703" s="20" t="str">
        <f>IF(N7703="","",COUNTIFS(RawData[[Date ]],N7703,RawData[Month List],$Q$6,RawData[Tour/Site],$Q$2,RawData[[Picker ID ]],$Q$3,RawData[Checker ID],$Q$4,RawData[[Error Type ]],$Q$5))</f>
        <v/>
      </c>
    </row>
    <row r="7704" spans="15:15" x14ac:dyDescent="0.25">
      <c r="O7704" s="20" t="str">
        <f>IF(N7704="","",COUNTIFS(RawData[[Date ]],N7704,RawData[Month List],$Q$6,RawData[Tour/Site],$Q$2,RawData[[Picker ID ]],$Q$3,RawData[Checker ID],$Q$4,RawData[[Error Type ]],$Q$5))</f>
        <v/>
      </c>
    </row>
    <row r="7705" spans="15:15" x14ac:dyDescent="0.25">
      <c r="O7705" s="20" t="str">
        <f>IF(N7705="","",COUNTIFS(RawData[[Date ]],N7705,RawData[Month List],$Q$6,RawData[Tour/Site],$Q$2,RawData[[Picker ID ]],$Q$3,RawData[Checker ID],$Q$4,RawData[[Error Type ]],$Q$5))</f>
        <v/>
      </c>
    </row>
    <row r="7706" spans="15:15" x14ac:dyDescent="0.25">
      <c r="O7706" s="20" t="str">
        <f>IF(N7706="","",COUNTIFS(RawData[[Date ]],N7706,RawData[Month List],$Q$6,RawData[Tour/Site],$Q$2,RawData[[Picker ID ]],$Q$3,RawData[Checker ID],$Q$4,RawData[[Error Type ]],$Q$5))</f>
        <v/>
      </c>
    </row>
    <row r="7707" spans="15:15" x14ac:dyDescent="0.25">
      <c r="O7707" s="20" t="str">
        <f>IF(N7707="","",COUNTIFS(RawData[[Date ]],N7707,RawData[Month List],$Q$6,RawData[Tour/Site],$Q$2,RawData[[Picker ID ]],$Q$3,RawData[Checker ID],$Q$4,RawData[[Error Type ]],$Q$5))</f>
        <v/>
      </c>
    </row>
    <row r="7708" spans="15:15" x14ac:dyDescent="0.25">
      <c r="O7708" s="20" t="str">
        <f>IF(N7708="","",COUNTIFS(RawData[[Date ]],N7708,RawData[Month List],$Q$6,RawData[Tour/Site],$Q$2,RawData[[Picker ID ]],$Q$3,RawData[Checker ID],$Q$4,RawData[[Error Type ]],$Q$5))</f>
        <v/>
      </c>
    </row>
    <row r="7709" spans="15:15" x14ac:dyDescent="0.25">
      <c r="O7709" s="20" t="str">
        <f>IF(N7709="","",COUNTIFS(RawData[[Date ]],N7709,RawData[Month List],$Q$6,RawData[Tour/Site],$Q$2,RawData[[Picker ID ]],$Q$3,RawData[Checker ID],$Q$4,RawData[[Error Type ]],$Q$5))</f>
        <v/>
      </c>
    </row>
    <row r="7710" spans="15:15" x14ac:dyDescent="0.25">
      <c r="O7710" s="20" t="str">
        <f>IF(N7710="","",COUNTIFS(RawData[[Date ]],N7710,RawData[Month List],$Q$6,RawData[Tour/Site],$Q$2,RawData[[Picker ID ]],$Q$3,RawData[Checker ID],$Q$4,RawData[[Error Type ]],$Q$5))</f>
        <v/>
      </c>
    </row>
    <row r="7711" spans="15:15" x14ac:dyDescent="0.25">
      <c r="O7711" s="20" t="str">
        <f>IF(N7711="","",COUNTIFS(RawData[[Date ]],N7711,RawData[Month List],$Q$6,RawData[Tour/Site],$Q$2,RawData[[Picker ID ]],$Q$3,RawData[Checker ID],$Q$4,RawData[[Error Type ]],$Q$5))</f>
        <v/>
      </c>
    </row>
    <row r="7712" spans="15:15" x14ac:dyDescent="0.25">
      <c r="O7712" s="20" t="str">
        <f>IF(N7712="","",COUNTIFS(RawData[[Date ]],N7712,RawData[Month List],$Q$6,RawData[Tour/Site],$Q$2,RawData[[Picker ID ]],$Q$3,RawData[Checker ID],$Q$4,RawData[[Error Type ]],$Q$5))</f>
        <v/>
      </c>
    </row>
    <row r="7713" spans="15:15" x14ac:dyDescent="0.25">
      <c r="O7713" s="20" t="str">
        <f>IF(N7713="","",COUNTIFS(RawData[[Date ]],N7713,RawData[Month List],$Q$6,RawData[Tour/Site],$Q$2,RawData[[Picker ID ]],$Q$3,RawData[Checker ID],$Q$4,RawData[[Error Type ]],$Q$5))</f>
        <v/>
      </c>
    </row>
    <row r="7714" spans="15:15" x14ac:dyDescent="0.25">
      <c r="O7714" s="20" t="str">
        <f>IF(N7714="","",COUNTIFS(RawData[[Date ]],N7714,RawData[Month List],$Q$6,RawData[Tour/Site],$Q$2,RawData[[Picker ID ]],$Q$3,RawData[Checker ID],$Q$4,RawData[[Error Type ]],$Q$5))</f>
        <v/>
      </c>
    </row>
    <row r="7715" spans="15:15" x14ac:dyDescent="0.25">
      <c r="O7715" s="20" t="str">
        <f>IF(N7715="","",COUNTIFS(RawData[[Date ]],N7715,RawData[Month List],$Q$6,RawData[Tour/Site],$Q$2,RawData[[Picker ID ]],$Q$3,RawData[Checker ID],$Q$4,RawData[[Error Type ]],$Q$5))</f>
        <v/>
      </c>
    </row>
    <row r="7716" spans="15:15" x14ac:dyDescent="0.25">
      <c r="O7716" s="20" t="str">
        <f>IF(N7716="","",COUNTIFS(RawData[[Date ]],N7716,RawData[Month List],$Q$6,RawData[Tour/Site],$Q$2,RawData[[Picker ID ]],$Q$3,RawData[Checker ID],$Q$4,RawData[[Error Type ]],$Q$5))</f>
        <v/>
      </c>
    </row>
    <row r="7717" spans="15:15" x14ac:dyDescent="0.25">
      <c r="O7717" s="20" t="str">
        <f>IF(N7717="","",COUNTIFS(RawData[[Date ]],N7717,RawData[Month List],$Q$6,RawData[Tour/Site],$Q$2,RawData[[Picker ID ]],$Q$3,RawData[Checker ID],$Q$4,RawData[[Error Type ]],$Q$5))</f>
        <v/>
      </c>
    </row>
    <row r="7718" spans="15:15" x14ac:dyDescent="0.25">
      <c r="O7718" s="20" t="str">
        <f>IF(N7718="","",COUNTIFS(RawData[[Date ]],N7718,RawData[Month List],$Q$6,RawData[Tour/Site],$Q$2,RawData[[Picker ID ]],$Q$3,RawData[Checker ID],$Q$4,RawData[[Error Type ]],$Q$5))</f>
        <v/>
      </c>
    </row>
    <row r="7719" spans="15:15" x14ac:dyDescent="0.25">
      <c r="O7719" s="20" t="str">
        <f>IF(N7719="","",COUNTIFS(RawData[[Date ]],N7719,RawData[Month List],$Q$6,RawData[Tour/Site],$Q$2,RawData[[Picker ID ]],$Q$3,RawData[Checker ID],$Q$4,RawData[[Error Type ]],$Q$5))</f>
        <v/>
      </c>
    </row>
    <row r="7720" spans="15:15" x14ac:dyDescent="0.25">
      <c r="O7720" s="20" t="str">
        <f>IF(N7720="","",COUNTIFS(RawData[[Date ]],N7720,RawData[Month List],$Q$6,RawData[Tour/Site],$Q$2,RawData[[Picker ID ]],$Q$3,RawData[Checker ID],$Q$4,RawData[[Error Type ]],$Q$5))</f>
        <v/>
      </c>
    </row>
    <row r="7721" spans="15:15" x14ac:dyDescent="0.25">
      <c r="O7721" s="20" t="str">
        <f>IF(N7721="","",COUNTIFS(RawData[[Date ]],N7721,RawData[Month List],$Q$6,RawData[Tour/Site],$Q$2,RawData[[Picker ID ]],$Q$3,RawData[Checker ID],$Q$4,RawData[[Error Type ]],$Q$5))</f>
        <v/>
      </c>
    </row>
    <row r="7722" spans="15:15" x14ac:dyDescent="0.25">
      <c r="O7722" s="20" t="str">
        <f>IF(N7722="","",COUNTIFS(RawData[[Date ]],N7722,RawData[Month List],$Q$6,RawData[Tour/Site],$Q$2,RawData[[Picker ID ]],$Q$3,RawData[Checker ID],$Q$4,RawData[[Error Type ]],$Q$5))</f>
        <v/>
      </c>
    </row>
    <row r="7723" spans="15:15" x14ac:dyDescent="0.25">
      <c r="O7723" s="20" t="str">
        <f>IF(N7723="","",COUNTIFS(RawData[[Date ]],N7723,RawData[Month List],$Q$6,RawData[Tour/Site],$Q$2,RawData[[Picker ID ]],$Q$3,RawData[Checker ID],$Q$4,RawData[[Error Type ]],$Q$5))</f>
        <v/>
      </c>
    </row>
    <row r="7724" spans="15:15" x14ac:dyDescent="0.25">
      <c r="O7724" s="20" t="str">
        <f>IF(N7724="","",COUNTIFS(RawData[[Date ]],N7724,RawData[Month List],$Q$6,RawData[Tour/Site],$Q$2,RawData[[Picker ID ]],$Q$3,RawData[Checker ID],$Q$4,RawData[[Error Type ]],$Q$5))</f>
        <v/>
      </c>
    </row>
    <row r="7725" spans="15:15" x14ac:dyDescent="0.25">
      <c r="O7725" s="20" t="str">
        <f>IF(N7725="","",COUNTIFS(RawData[[Date ]],N7725,RawData[Month List],$Q$6,RawData[Tour/Site],$Q$2,RawData[[Picker ID ]],$Q$3,RawData[Checker ID],$Q$4,RawData[[Error Type ]],$Q$5))</f>
        <v/>
      </c>
    </row>
    <row r="7726" spans="15:15" x14ac:dyDescent="0.25">
      <c r="O7726" s="20" t="str">
        <f>IF(N7726="","",COUNTIFS(RawData[[Date ]],N7726,RawData[Month List],$Q$6,RawData[Tour/Site],$Q$2,RawData[[Picker ID ]],$Q$3,RawData[Checker ID],$Q$4,RawData[[Error Type ]],$Q$5))</f>
        <v/>
      </c>
    </row>
    <row r="7727" spans="15:15" x14ac:dyDescent="0.25">
      <c r="O7727" s="20" t="str">
        <f>IF(N7727="","",COUNTIFS(RawData[[Date ]],N7727,RawData[Month List],$Q$6,RawData[Tour/Site],$Q$2,RawData[[Picker ID ]],$Q$3,RawData[Checker ID],$Q$4,RawData[[Error Type ]],$Q$5))</f>
        <v/>
      </c>
    </row>
    <row r="7728" spans="15:15" x14ac:dyDescent="0.25">
      <c r="O7728" s="20" t="str">
        <f>IF(N7728="","",COUNTIFS(RawData[[Date ]],N7728,RawData[Month List],$Q$6,RawData[Tour/Site],$Q$2,RawData[[Picker ID ]],$Q$3,RawData[Checker ID],$Q$4,RawData[[Error Type ]],$Q$5))</f>
        <v/>
      </c>
    </row>
    <row r="7729" spans="15:15" x14ac:dyDescent="0.25">
      <c r="O7729" s="20" t="str">
        <f>IF(N7729="","",COUNTIFS(RawData[[Date ]],N7729,RawData[Month List],$Q$6,RawData[Tour/Site],$Q$2,RawData[[Picker ID ]],$Q$3,RawData[Checker ID],$Q$4,RawData[[Error Type ]],$Q$5))</f>
        <v/>
      </c>
    </row>
    <row r="7730" spans="15:15" x14ac:dyDescent="0.25">
      <c r="O7730" s="20" t="str">
        <f>IF(N7730="","",COUNTIFS(RawData[[Date ]],N7730,RawData[Month List],$Q$6,RawData[Tour/Site],$Q$2,RawData[[Picker ID ]],$Q$3,RawData[Checker ID],$Q$4,RawData[[Error Type ]],$Q$5))</f>
        <v/>
      </c>
    </row>
    <row r="7731" spans="15:15" x14ac:dyDescent="0.25">
      <c r="O7731" s="20" t="str">
        <f>IF(N7731="","",COUNTIFS(RawData[[Date ]],N7731,RawData[Month List],$Q$6,RawData[Tour/Site],$Q$2,RawData[[Picker ID ]],$Q$3,RawData[Checker ID],$Q$4,RawData[[Error Type ]],$Q$5))</f>
        <v/>
      </c>
    </row>
    <row r="7732" spans="15:15" x14ac:dyDescent="0.25">
      <c r="O7732" s="20" t="str">
        <f>IF(N7732="","",COUNTIFS(RawData[[Date ]],N7732,RawData[Month List],$Q$6,RawData[Tour/Site],$Q$2,RawData[[Picker ID ]],$Q$3,RawData[Checker ID],$Q$4,RawData[[Error Type ]],$Q$5))</f>
        <v/>
      </c>
    </row>
    <row r="7733" spans="15:15" x14ac:dyDescent="0.25">
      <c r="O7733" s="20" t="str">
        <f>IF(N7733="","",COUNTIFS(RawData[[Date ]],N7733,RawData[Month List],$Q$6,RawData[Tour/Site],$Q$2,RawData[[Picker ID ]],$Q$3,RawData[Checker ID],$Q$4,RawData[[Error Type ]],$Q$5))</f>
        <v/>
      </c>
    </row>
    <row r="7734" spans="15:15" x14ac:dyDescent="0.25">
      <c r="O7734" s="20" t="str">
        <f>IF(N7734="","",COUNTIFS(RawData[[Date ]],N7734,RawData[Month List],$Q$6,RawData[Tour/Site],$Q$2,RawData[[Picker ID ]],$Q$3,RawData[Checker ID],$Q$4,RawData[[Error Type ]],$Q$5))</f>
        <v/>
      </c>
    </row>
    <row r="7735" spans="15:15" x14ac:dyDescent="0.25">
      <c r="O7735" s="20" t="str">
        <f>IF(N7735="","",COUNTIFS(RawData[[Date ]],N7735,RawData[Month List],$Q$6,RawData[Tour/Site],$Q$2,RawData[[Picker ID ]],$Q$3,RawData[Checker ID],$Q$4,RawData[[Error Type ]],$Q$5))</f>
        <v/>
      </c>
    </row>
    <row r="7736" spans="15:15" x14ac:dyDescent="0.25">
      <c r="O7736" s="20" t="str">
        <f>IF(N7736="","",COUNTIFS(RawData[[Date ]],N7736,RawData[Month List],$Q$6,RawData[Tour/Site],$Q$2,RawData[[Picker ID ]],$Q$3,RawData[Checker ID],$Q$4,RawData[[Error Type ]],$Q$5))</f>
        <v/>
      </c>
    </row>
    <row r="7737" spans="15:15" x14ac:dyDescent="0.25">
      <c r="O7737" s="20" t="str">
        <f>IF(N7737="","",COUNTIFS(RawData[[Date ]],N7737,RawData[Month List],$Q$6,RawData[Tour/Site],$Q$2,RawData[[Picker ID ]],$Q$3,RawData[Checker ID],$Q$4,RawData[[Error Type ]],$Q$5))</f>
        <v/>
      </c>
    </row>
    <row r="7738" spans="15:15" x14ac:dyDescent="0.25">
      <c r="O7738" s="20" t="str">
        <f>IF(N7738="","",COUNTIFS(RawData[[Date ]],N7738,RawData[Month List],$Q$6,RawData[Tour/Site],$Q$2,RawData[[Picker ID ]],$Q$3,RawData[Checker ID],$Q$4,RawData[[Error Type ]],$Q$5))</f>
        <v/>
      </c>
    </row>
    <row r="7739" spans="15:15" x14ac:dyDescent="0.25">
      <c r="O7739" s="20" t="str">
        <f>IF(N7739="","",COUNTIFS(RawData[[Date ]],N7739,RawData[Month List],$Q$6,RawData[Tour/Site],$Q$2,RawData[[Picker ID ]],$Q$3,RawData[Checker ID],$Q$4,RawData[[Error Type ]],$Q$5))</f>
        <v/>
      </c>
    </row>
    <row r="7740" spans="15:15" x14ac:dyDescent="0.25">
      <c r="O7740" s="20" t="str">
        <f>IF(N7740="","",COUNTIFS(RawData[[Date ]],N7740,RawData[Month List],$Q$6,RawData[Tour/Site],$Q$2,RawData[[Picker ID ]],$Q$3,RawData[Checker ID],$Q$4,RawData[[Error Type ]],$Q$5))</f>
        <v/>
      </c>
    </row>
    <row r="7741" spans="15:15" x14ac:dyDescent="0.25">
      <c r="O7741" s="20" t="str">
        <f>IF(N7741="","",COUNTIFS(RawData[[Date ]],N7741,RawData[Month List],$Q$6,RawData[Tour/Site],$Q$2,RawData[[Picker ID ]],$Q$3,RawData[Checker ID],$Q$4,RawData[[Error Type ]],$Q$5))</f>
        <v/>
      </c>
    </row>
    <row r="7742" spans="15:15" x14ac:dyDescent="0.25">
      <c r="O7742" s="20" t="str">
        <f>IF(N7742="","",COUNTIFS(RawData[[Date ]],N7742,RawData[Month List],$Q$6,RawData[Tour/Site],$Q$2,RawData[[Picker ID ]],$Q$3,RawData[Checker ID],$Q$4,RawData[[Error Type ]],$Q$5))</f>
        <v/>
      </c>
    </row>
    <row r="7743" spans="15:15" x14ac:dyDescent="0.25">
      <c r="O7743" s="20" t="str">
        <f>IF(N7743="","",COUNTIFS(RawData[[Date ]],N7743,RawData[Month List],$Q$6,RawData[Tour/Site],$Q$2,RawData[[Picker ID ]],$Q$3,RawData[Checker ID],$Q$4,RawData[[Error Type ]],$Q$5))</f>
        <v/>
      </c>
    </row>
    <row r="7744" spans="15:15" x14ac:dyDescent="0.25">
      <c r="O7744" s="20" t="str">
        <f>IF(N7744="","",COUNTIFS(RawData[[Date ]],N7744,RawData[Month List],$Q$6,RawData[Tour/Site],$Q$2,RawData[[Picker ID ]],$Q$3,RawData[Checker ID],$Q$4,RawData[[Error Type ]],$Q$5))</f>
        <v/>
      </c>
    </row>
    <row r="7745" spans="15:15" x14ac:dyDescent="0.25">
      <c r="O7745" s="20" t="str">
        <f>IF(N7745="","",COUNTIFS(RawData[[Date ]],N7745,RawData[Month List],$Q$6,RawData[Tour/Site],$Q$2,RawData[[Picker ID ]],$Q$3,RawData[Checker ID],$Q$4,RawData[[Error Type ]],$Q$5))</f>
        <v/>
      </c>
    </row>
    <row r="7746" spans="15:15" x14ac:dyDescent="0.25">
      <c r="O7746" s="20" t="str">
        <f>IF(N7746="","",COUNTIFS(RawData[[Date ]],N7746,RawData[Month List],$Q$6,RawData[Tour/Site],$Q$2,RawData[[Picker ID ]],$Q$3,RawData[Checker ID],$Q$4,RawData[[Error Type ]],$Q$5))</f>
        <v/>
      </c>
    </row>
    <row r="7747" spans="15:15" x14ac:dyDescent="0.25">
      <c r="O7747" s="20" t="str">
        <f>IF(N7747="","",COUNTIFS(RawData[[Date ]],N7747,RawData[Month List],$Q$6,RawData[Tour/Site],$Q$2,RawData[[Picker ID ]],$Q$3,RawData[Checker ID],$Q$4,RawData[[Error Type ]],$Q$5))</f>
        <v/>
      </c>
    </row>
    <row r="7748" spans="15:15" x14ac:dyDescent="0.25">
      <c r="O7748" s="20" t="str">
        <f>IF(N7748="","",COUNTIFS(RawData[[Date ]],N7748,RawData[Month List],$Q$6,RawData[Tour/Site],$Q$2,RawData[[Picker ID ]],$Q$3,RawData[Checker ID],$Q$4,RawData[[Error Type ]],$Q$5))</f>
        <v/>
      </c>
    </row>
    <row r="7749" spans="15:15" x14ac:dyDescent="0.25">
      <c r="O7749" s="20" t="str">
        <f>IF(N7749="","",COUNTIFS(RawData[[Date ]],N7749,RawData[Month List],$Q$6,RawData[Tour/Site],$Q$2,RawData[[Picker ID ]],$Q$3,RawData[Checker ID],$Q$4,RawData[[Error Type ]],$Q$5))</f>
        <v/>
      </c>
    </row>
    <row r="7750" spans="15:15" x14ac:dyDescent="0.25">
      <c r="O7750" s="20" t="str">
        <f>IF(N7750="","",COUNTIFS(RawData[[Date ]],N7750,RawData[Month List],$Q$6,RawData[Tour/Site],$Q$2,RawData[[Picker ID ]],$Q$3,RawData[Checker ID],$Q$4,RawData[[Error Type ]],$Q$5))</f>
        <v/>
      </c>
    </row>
    <row r="7751" spans="15:15" x14ac:dyDescent="0.25">
      <c r="O7751" s="20" t="str">
        <f>IF(N7751="","",COUNTIFS(RawData[[Date ]],N7751,RawData[Month List],$Q$6,RawData[Tour/Site],$Q$2,RawData[[Picker ID ]],$Q$3,RawData[Checker ID],$Q$4,RawData[[Error Type ]],$Q$5))</f>
        <v/>
      </c>
    </row>
    <row r="7752" spans="15:15" x14ac:dyDescent="0.25">
      <c r="O7752" s="20" t="str">
        <f>IF(N7752="","",COUNTIFS(RawData[[Date ]],N7752,RawData[Month List],$Q$6,RawData[Tour/Site],$Q$2,RawData[[Picker ID ]],$Q$3,RawData[Checker ID],$Q$4,RawData[[Error Type ]],$Q$5))</f>
        <v/>
      </c>
    </row>
    <row r="7753" spans="15:15" x14ac:dyDescent="0.25">
      <c r="O7753" s="20" t="str">
        <f>IF(N7753="","",COUNTIFS(RawData[[Date ]],N7753,RawData[Month List],$Q$6,RawData[Tour/Site],$Q$2,RawData[[Picker ID ]],$Q$3,RawData[Checker ID],$Q$4,RawData[[Error Type ]],$Q$5))</f>
        <v/>
      </c>
    </row>
    <row r="7754" spans="15:15" x14ac:dyDescent="0.25">
      <c r="O7754" s="20" t="str">
        <f>IF(N7754="","",COUNTIFS(RawData[[Date ]],N7754,RawData[Month List],$Q$6,RawData[Tour/Site],$Q$2,RawData[[Picker ID ]],$Q$3,RawData[Checker ID],$Q$4,RawData[[Error Type ]],$Q$5))</f>
        <v/>
      </c>
    </row>
    <row r="7755" spans="15:15" x14ac:dyDescent="0.25">
      <c r="O7755" s="20" t="str">
        <f>IF(N7755="","",COUNTIFS(RawData[[Date ]],N7755,RawData[Month List],$Q$6,RawData[Tour/Site],$Q$2,RawData[[Picker ID ]],$Q$3,RawData[Checker ID],$Q$4,RawData[[Error Type ]],$Q$5))</f>
        <v/>
      </c>
    </row>
    <row r="7756" spans="15:15" x14ac:dyDescent="0.25">
      <c r="O7756" s="20" t="str">
        <f>IF(N7756="","",COUNTIFS(RawData[[Date ]],N7756,RawData[Month List],$Q$6,RawData[Tour/Site],$Q$2,RawData[[Picker ID ]],$Q$3,RawData[Checker ID],$Q$4,RawData[[Error Type ]],$Q$5))</f>
        <v/>
      </c>
    </row>
    <row r="7757" spans="15:15" x14ac:dyDescent="0.25">
      <c r="O7757" s="20" t="str">
        <f>IF(N7757="","",COUNTIFS(RawData[[Date ]],N7757,RawData[Month List],$Q$6,RawData[Tour/Site],$Q$2,RawData[[Picker ID ]],$Q$3,RawData[Checker ID],$Q$4,RawData[[Error Type ]],$Q$5))</f>
        <v/>
      </c>
    </row>
    <row r="7758" spans="15:15" x14ac:dyDescent="0.25">
      <c r="O7758" s="20" t="str">
        <f>IF(N7758="","",COUNTIFS(RawData[[Date ]],N7758,RawData[Month List],$Q$6,RawData[Tour/Site],$Q$2,RawData[[Picker ID ]],$Q$3,RawData[Checker ID],$Q$4,RawData[[Error Type ]],$Q$5))</f>
        <v/>
      </c>
    </row>
    <row r="7759" spans="15:15" x14ac:dyDescent="0.25">
      <c r="O7759" s="20" t="str">
        <f>IF(N7759="","",COUNTIFS(RawData[[Date ]],N7759,RawData[Month List],$Q$6,RawData[Tour/Site],$Q$2,RawData[[Picker ID ]],$Q$3,RawData[Checker ID],$Q$4,RawData[[Error Type ]],$Q$5))</f>
        <v/>
      </c>
    </row>
    <row r="7760" spans="15:15" x14ac:dyDescent="0.25">
      <c r="O7760" s="20" t="str">
        <f>IF(N7760="","",COUNTIFS(RawData[[Date ]],N7760,RawData[Month List],$Q$6,RawData[Tour/Site],$Q$2,RawData[[Picker ID ]],$Q$3,RawData[Checker ID],$Q$4,RawData[[Error Type ]],$Q$5))</f>
        <v/>
      </c>
    </row>
    <row r="7761" spans="15:15" x14ac:dyDescent="0.25">
      <c r="O7761" s="20" t="str">
        <f>IF(N7761="","",COUNTIFS(RawData[[Date ]],N7761,RawData[Month List],$Q$6,RawData[Tour/Site],$Q$2,RawData[[Picker ID ]],$Q$3,RawData[Checker ID],$Q$4,RawData[[Error Type ]],$Q$5))</f>
        <v/>
      </c>
    </row>
    <row r="7762" spans="15:15" x14ac:dyDescent="0.25">
      <c r="O7762" s="20" t="str">
        <f>IF(N7762="","",COUNTIFS(RawData[[Date ]],N7762,RawData[Month List],$Q$6,RawData[Tour/Site],$Q$2,RawData[[Picker ID ]],$Q$3,RawData[Checker ID],$Q$4,RawData[[Error Type ]],$Q$5))</f>
        <v/>
      </c>
    </row>
    <row r="7763" spans="15:15" x14ac:dyDescent="0.25">
      <c r="O7763" s="20" t="str">
        <f>IF(N7763="","",COUNTIFS(RawData[[Date ]],N7763,RawData[Month List],$Q$6,RawData[Tour/Site],$Q$2,RawData[[Picker ID ]],$Q$3,RawData[Checker ID],$Q$4,RawData[[Error Type ]],$Q$5))</f>
        <v/>
      </c>
    </row>
    <row r="7764" spans="15:15" x14ac:dyDescent="0.25">
      <c r="O7764" s="20" t="str">
        <f>IF(N7764="","",COUNTIFS(RawData[[Date ]],N7764,RawData[Month List],$Q$6,RawData[Tour/Site],$Q$2,RawData[[Picker ID ]],$Q$3,RawData[Checker ID],$Q$4,RawData[[Error Type ]],$Q$5))</f>
        <v/>
      </c>
    </row>
    <row r="7765" spans="15:15" x14ac:dyDescent="0.25">
      <c r="O7765" s="20" t="str">
        <f>IF(N7765="","",COUNTIFS(RawData[[Date ]],N7765,RawData[Month List],$Q$6,RawData[Tour/Site],$Q$2,RawData[[Picker ID ]],$Q$3,RawData[Checker ID],$Q$4,RawData[[Error Type ]],$Q$5))</f>
        <v/>
      </c>
    </row>
    <row r="7766" spans="15:15" x14ac:dyDescent="0.25">
      <c r="O7766" s="20" t="str">
        <f>IF(N7766="","",COUNTIFS(RawData[[Date ]],N7766,RawData[Month List],$Q$6,RawData[Tour/Site],$Q$2,RawData[[Picker ID ]],$Q$3,RawData[Checker ID],$Q$4,RawData[[Error Type ]],$Q$5))</f>
        <v/>
      </c>
    </row>
    <row r="7767" spans="15:15" x14ac:dyDescent="0.25">
      <c r="O7767" s="20" t="str">
        <f>IF(N7767="","",COUNTIFS(RawData[[Date ]],N7767,RawData[Month List],$Q$6,RawData[Tour/Site],$Q$2,RawData[[Picker ID ]],$Q$3,RawData[Checker ID],$Q$4,RawData[[Error Type ]],$Q$5))</f>
        <v/>
      </c>
    </row>
    <row r="7768" spans="15:15" x14ac:dyDescent="0.25">
      <c r="O7768" s="20" t="str">
        <f>IF(N7768="","",COUNTIFS(RawData[[Date ]],N7768,RawData[Month List],$Q$6,RawData[Tour/Site],$Q$2,RawData[[Picker ID ]],$Q$3,RawData[Checker ID],$Q$4,RawData[[Error Type ]],$Q$5))</f>
        <v/>
      </c>
    </row>
    <row r="7769" spans="15:15" x14ac:dyDescent="0.25">
      <c r="O7769" s="20" t="str">
        <f>IF(N7769="","",COUNTIFS(RawData[[Date ]],N7769,RawData[Month List],$Q$6,RawData[Tour/Site],$Q$2,RawData[[Picker ID ]],$Q$3,RawData[Checker ID],$Q$4,RawData[[Error Type ]],$Q$5))</f>
        <v/>
      </c>
    </row>
    <row r="7770" spans="15:15" x14ac:dyDescent="0.25">
      <c r="O7770" s="20" t="str">
        <f>IF(N7770="","",COUNTIFS(RawData[[Date ]],N7770,RawData[Month List],$Q$6,RawData[Tour/Site],$Q$2,RawData[[Picker ID ]],$Q$3,RawData[Checker ID],$Q$4,RawData[[Error Type ]],$Q$5))</f>
        <v/>
      </c>
    </row>
    <row r="7771" spans="15:15" x14ac:dyDescent="0.25">
      <c r="O7771" s="20" t="str">
        <f>IF(N7771="","",COUNTIFS(RawData[[Date ]],N7771,RawData[Month List],$Q$6,RawData[Tour/Site],$Q$2,RawData[[Picker ID ]],$Q$3,RawData[Checker ID],$Q$4,RawData[[Error Type ]],$Q$5))</f>
        <v/>
      </c>
    </row>
    <row r="7772" spans="15:15" x14ac:dyDescent="0.25">
      <c r="O7772" s="20" t="str">
        <f>IF(N7772="","",COUNTIFS(RawData[[Date ]],N7772,RawData[Month List],$Q$6,RawData[Tour/Site],$Q$2,RawData[[Picker ID ]],$Q$3,RawData[Checker ID],$Q$4,RawData[[Error Type ]],$Q$5))</f>
        <v/>
      </c>
    </row>
    <row r="7773" spans="15:15" x14ac:dyDescent="0.25">
      <c r="O7773" s="20" t="str">
        <f>IF(N7773="","",COUNTIFS(RawData[[Date ]],N7773,RawData[Month List],$Q$6,RawData[Tour/Site],$Q$2,RawData[[Picker ID ]],$Q$3,RawData[Checker ID],$Q$4,RawData[[Error Type ]],$Q$5))</f>
        <v/>
      </c>
    </row>
    <row r="7774" spans="15:15" x14ac:dyDescent="0.25">
      <c r="O7774" s="20" t="str">
        <f>IF(N7774="","",COUNTIFS(RawData[[Date ]],N7774,RawData[Month List],$Q$6,RawData[Tour/Site],$Q$2,RawData[[Picker ID ]],$Q$3,RawData[Checker ID],$Q$4,RawData[[Error Type ]],$Q$5))</f>
        <v/>
      </c>
    </row>
    <row r="7775" spans="15:15" x14ac:dyDescent="0.25">
      <c r="O7775" s="20" t="str">
        <f>IF(N7775="","",COUNTIFS(RawData[[Date ]],N7775,RawData[Month List],$Q$6,RawData[Tour/Site],$Q$2,RawData[[Picker ID ]],$Q$3,RawData[Checker ID],$Q$4,RawData[[Error Type ]],$Q$5))</f>
        <v/>
      </c>
    </row>
    <row r="7776" spans="15:15" x14ac:dyDescent="0.25">
      <c r="O7776" s="20" t="str">
        <f>IF(N7776="","",COUNTIFS(RawData[[Date ]],N7776,RawData[Month List],$Q$6,RawData[Tour/Site],$Q$2,RawData[[Picker ID ]],$Q$3,RawData[Checker ID],$Q$4,RawData[[Error Type ]],$Q$5))</f>
        <v/>
      </c>
    </row>
    <row r="7777" spans="15:15" x14ac:dyDescent="0.25">
      <c r="O7777" s="20" t="str">
        <f>IF(N7777="","",COUNTIFS(RawData[[Date ]],N7777,RawData[Month List],$Q$6,RawData[Tour/Site],$Q$2,RawData[[Picker ID ]],$Q$3,RawData[Checker ID],$Q$4,RawData[[Error Type ]],$Q$5))</f>
        <v/>
      </c>
    </row>
    <row r="7778" spans="15:15" x14ac:dyDescent="0.25">
      <c r="O7778" s="20" t="str">
        <f>IF(N7778="","",COUNTIFS(RawData[[Date ]],N7778,RawData[Month List],$Q$6,RawData[Tour/Site],$Q$2,RawData[[Picker ID ]],$Q$3,RawData[Checker ID],$Q$4,RawData[[Error Type ]],$Q$5))</f>
        <v/>
      </c>
    </row>
    <row r="7779" spans="15:15" x14ac:dyDescent="0.25">
      <c r="O7779" s="20" t="str">
        <f>IF(N7779="","",COUNTIFS(RawData[[Date ]],N7779,RawData[Month List],$Q$6,RawData[Tour/Site],$Q$2,RawData[[Picker ID ]],$Q$3,RawData[Checker ID],$Q$4,RawData[[Error Type ]],$Q$5))</f>
        <v/>
      </c>
    </row>
    <row r="7780" spans="15:15" x14ac:dyDescent="0.25">
      <c r="O7780" s="20" t="str">
        <f>IF(N7780="","",COUNTIFS(RawData[[Date ]],N7780,RawData[Month List],$Q$6,RawData[Tour/Site],$Q$2,RawData[[Picker ID ]],$Q$3,RawData[Checker ID],$Q$4,RawData[[Error Type ]],$Q$5))</f>
        <v/>
      </c>
    </row>
    <row r="7781" spans="15:15" x14ac:dyDescent="0.25">
      <c r="O7781" s="20" t="str">
        <f>IF(N7781="","",COUNTIFS(RawData[[Date ]],N7781,RawData[Month List],$Q$6,RawData[Tour/Site],$Q$2,RawData[[Picker ID ]],$Q$3,RawData[Checker ID],$Q$4,RawData[[Error Type ]],$Q$5))</f>
        <v/>
      </c>
    </row>
    <row r="7782" spans="15:15" x14ac:dyDescent="0.25">
      <c r="O7782" s="20" t="str">
        <f>IF(N7782="","",COUNTIFS(RawData[[Date ]],N7782,RawData[Month List],$Q$6,RawData[Tour/Site],$Q$2,RawData[[Picker ID ]],$Q$3,RawData[Checker ID],$Q$4,RawData[[Error Type ]],$Q$5))</f>
        <v/>
      </c>
    </row>
    <row r="7783" spans="15:15" x14ac:dyDescent="0.25">
      <c r="O7783" s="20" t="str">
        <f>IF(N7783="","",COUNTIFS(RawData[[Date ]],N7783,RawData[Month List],$Q$6,RawData[Tour/Site],$Q$2,RawData[[Picker ID ]],$Q$3,RawData[Checker ID],$Q$4,RawData[[Error Type ]],$Q$5))</f>
        <v/>
      </c>
    </row>
    <row r="7784" spans="15:15" x14ac:dyDescent="0.25">
      <c r="O7784" s="20" t="str">
        <f>IF(N7784="","",COUNTIFS(RawData[[Date ]],N7784,RawData[Month List],$Q$6,RawData[Tour/Site],$Q$2,RawData[[Picker ID ]],$Q$3,RawData[Checker ID],$Q$4,RawData[[Error Type ]],$Q$5))</f>
        <v/>
      </c>
    </row>
    <row r="7785" spans="15:15" x14ac:dyDescent="0.25">
      <c r="O7785" s="20" t="str">
        <f>IF(N7785="","",COUNTIFS(RawData[[Date ]],N7785,RawData[Month List],$Q$6,RawData[Tour/Site],$Q$2,RawData[[Picker ID ]],$Q$3,RawData[Checker ID],$Q$4,RawData[[Error Type ]],$Q$5))</f>
        <v/>
      </c>
    </row>
    <row r="7786" spans="15:15" x14ac:dyDescent="0.25">
      <c r="O7786" s="20" t="str">
        <f>IF(N7786="","",COUNTIFS(RawData[[Date ]],N7786,RawData[Month List],$Q$6,RawData[Tour/Site],$Q$2,RawData[[Picker ID ]],$Q$3,RawData[Checker ID],$Q$4,RawData[[Error Type ]],$Q$5))</f>
        <v/>
      </c>
    </row>
    <row r="7787" spans="15:15" x14ac:dyDescent="0.25">
      <c r="O7787" s="20" t="str">
        <f>IF(N7787="","",COUNTIFS(RawData[[Date ]],N7787,RawData[Month List],$Q$6,RawData[Tour/Site],$Q$2,RawData[[Picker ID ]],$Q$3,RawData[Checker ID],$Q$4,RawData[[Error Type ]],$Q$5))</f>
        <v/>
      </c>
    </row>
    <row r="7788" spans="15:15" x14ac:dyDescent="0.25">
      <c r="O7788" s="20" t="str">
        <f>IF(N7788="","",COUNTIFS(RawData[[Date ]],N7788,RawData[Month List],$Q$6,RawData[Tour/Site],$Q$2,RawData[[Picker ID ]],$Q$3,RawData[Checker ID],$Q$4,RawData[[Error Type ]],$Q$5))</f>
        <v/>
      </c>
    </row>
    <row r="7789" spans="15:15" x14ac:dyDescent="0.25">
      <c r="O7789" s="20" t="str">
        <f>IF(N7789="","",COUNTIFS(RawData[[Date ]],N7789,RawData[Month List],$Q$6,RawData[Tour/Site],$Q$2,RawData[[Picker ID ]],$Q$3,RawData[Checker ID],$Q$4,RawData[[Error Type ]],$Q$5))</f>
        <v/>
      </c>
    </row>
    <row r="7790" spans="15:15" x14ac:dyDescent="0.25">
      <c r="O7790" s="20" t="str">
        <f>IF(N7790="","",COUNTIFS(RawData[[Date ]],N7790,RawData[Month List],$Q$6,RawData[Tour/Site],$Q$2,RawData[[Picker ID ]],$Q$3,RawData[Checker ID],$Q$4,RawData[[Error Type ]],$Q$5))</f>
        <v/>
      </c>
    </row>
    <row r="7791" spans="15:15" x14ac:dyDescent="0.25">
      <c r="O7791" s="20" t="str">
        <f>IF(N7791="","",COUNTIFS(RawData[[Date ]],N7791,RawData[Month List],$Q$6,RawData[Tour/Site],$Q$2,RawData[[Picker ID ]],$Q$3,RawData[Checker ID],$Q$4,RawData[[Error Type ]],$Q$5))</f>
        <v/>
      </c>
    </row>
    <row r="7792" spans="15:15" x14ac:dyDescent="0.25">
      <c r="O7792" s="20" t="str">
        <f>IF(N7792="","",COUNTIFS(RawData[[Date ]],N7792,RawData[Month List],$Q$6,RawData[Tour/Site],$Q$2,RawData[[Picker ID ]],$Q$3,RawData[Checker ID],$Q$4,RawData[[Error Type ]],$Q$5))</f>
        <v/>
      </c>
    </row>
    <row r="7793" spans="15:15" x14ac:dyDescent="0.25">
      <c r="O7793" s="20" t="str">
        <f>IF(N7793="","",COUNTIFS(RawData[[Date ]],N7793,RawData[Month List],$Q$6,RawData[Tour/Site],$Q$2,RawData[[Picker ID ]],$Q$3,RawData[Checker ID],$Q$4,RawData[[Error Type ]],$Q$5))</f>
        <v/>
      </c>
    </row>
    <row r="7794" spans="15:15" x14ac:dyDescent="0.25">
      <c r="O7794" s="20" t="str">
        <f>IF(N7794="","",COUNTIFS(RawData[[Date ]],N7794,RawData[Month List],$Q$6,RawData[Tour/Site],$Q$2,RawData[[Picker ID ]],$Q$3,RawData[Checker ID],$Q$4,RawData[[Error Type ]],$Q$5))</f>
        <v/>
      </c>
    </row>
    <row r="7795" spans="15:15" x14ac:dyDescent="0.25">
      <c r="O7795" s="20" t="str">
        <f>IF(N7795="","",COUNTIFS(RawData[[Date ]],N7795,RawData[Month List],$Q$6,RawData[Tour/Site],$Q$2,RawData[[Picker ID ]],$Q$3,RawData[Checker ID],$Q$4,RawData[[Error Type ]],$Q$5))</f>
        <v/>
      </c>
    </row>
    <row r="7796" spans="15:15" x14ac:dyDescent="0.25">
      <c r="O7796" s="20" t="str">
        <f>IF(N7796="","",COUNTIFS(RawData[[Date ]],N7796,RawData[Month List],$Q$6,RawData[Tour/Site],$Q$2,RawData[[Picker ID ]],$Q$3,RawData[Checker ID],$Q$4,RawData[[Error Type ]],$Q$5))</f>
        <v/>
      </c>
    </row>
    <row r="7797" spans="15:15" x14ac:dyDescent="0.25">
      <c r="O7797" s="20" t="str">
        <f>IF(N7797="","",COUNTIFS(RawData[[Date ]],N7797,RawData[Month List],$Q$6,RawData[Tour/Site],$Q$2,RawData[[Picker ID ]],$Q$3,RawData[Checker ID],$Q$4,RawData[[Error Type ]],$Q$5))</f>
        <v/>
      </c>
    </row>
    <row r="7798" spans="15:15" x14ac:dyDescent="0.25">
      <c r="O7798" s="20" t="str">
        <f>IF(N7798="","",COUNTIFS(RawData[[Date ]],N7798,RawData[Month List],$Q$6,RawData[Tour/Site],$Q$2,RawData[[Picker ID ]],$Q$3,RawData[Checker ID],$Q$4,RawData[[Error Type ]],$Q$5))</f>
        <v/>
      </c>
    </row>
    <row r="7799" spans="15:15" x14ac:dyDescent="0.25">
      <c r="O7799" s="20" t="str">
        <f>IF(N7799="","",COUNTIFS(RawData[[Date ]],N7799,RawData[Month List],$Q$6,RawData[Tour/Site],$Q$2,RawData[[Picker ID ]],$Q$3,RawData[Checker ID],$Q$4,RawData[[Error Type ]],$Q$5))</f>
        <v/>
      </c>
    </row>
    <row r="7800" spans="15:15" x14ac:dyDescent="0.25">
      <c r="O7800" s="20" t="str">
        <f>IF(N7800="","",COUNTIFS(RawData[[Date ]],N7800,RawData[Month List],$Q$6,RawData[Tour/Site],$Q$2,RawData[[Picker ID ]],$Q$3,RawData[Checker ID],$Q$4,RawData[[Error Type ]],$Q$5))</f>
        <v/>
      </c>
    </row>
    <row r="7801" spans="15:15" x14ac:dyDescent="0.25">
      <c r="O7801" s="20" t="str">
        <f>IF(N7801="","",COUNTIFS(RawData[[Date ]],N7801,RawData[Month List],$Q$6,RawData[Tour/Site],$Q$2,RawData[[Picker ID ]],$Q$3,RawData[Checker ID],$Q$4,RawData[[Error Type ]],$Q$5))</f>
        <v/>
      </c>
    </row>
    <row r="7802" spans="15:15" x14ac:dyDescent="0.25">
      <c r="O7802" s="20" t="str">
        <f>IF(N7802="","",COUNTIFS(RawData[[Date ]],N7802,RawData[Month List],$Q$6,RawData[Tour/Site],$Q$2,RawData[[Picker ID ]],$Q$3,RawData[Checker ID],$Q$4,RawData[[Error Type ]],$Q$5))</f>
        <v/>
      </c>
    </row>
    <row r="7803" spans="15:15" x14ac:dyDescent="0.25">
      <c r="O7803" s="20" t="str">
        <f>IF(N7803="","",COUNTIFS(RawData[[Date ]],N7803,RawData[Month List],$Q$6,RawData[Tour/Site],$Q$2,RawData[[Picker ID ]],$Q$3,RawData[Checker ID],$Q$4,RawData[[Error Type ]],$Q$5))</f>
        <v/>
      </c>
    </row>
    <row r="7804" spans="15:15" x14ac:dyDescent="0.25">
      <c r="O7804" s="20" t="str">
        <f>IF(N7804="","",COUNTIFS(RawData[[Date ]],N7804,RawData[Month List],$Q$6,RawData[Tour/Site],$Q$2,RawData[[Picker ID ]],$Q$3,RawData[Checker ID],$Q$4,RawData[[Error Type ]],$Q$5))</f>
        <v/>
      </c>
    </row>
    <row r="7805" spans="15:15" x14ac:dyDescent="0.25">
      <c r="O7805" s="20" t="str">
        <f>IF(N7805="","",COUNTIFS(RawData[[Date ]],N7805,RawData[Month List],$Q$6,RawData[Tour/Site],$Q$2,RawData[[Picker ID ]],$Q$3,RawData[Checker ID],$Q$4,RawData[[Error Type ]],$Q$5))</f>
        <v/>
      </c>
    </row>
    <row r="7806" spans="15:15" x14ac:dyDescent="0.25">
      <c r="O7806" s="20" t="str">
        <f>IF(N7806="","",COUNTIFS(RawData[[Date ]],N7806,RawData[Month List],$Q$6,RawData[Tour/Site],$Q$2,RawData[[Picker ID ]],$Q$3,RawData[Checker ID],$Q$4,RawData[[Error Type ]],$Q$5))</f>
        <v/>
      </c>
    </row>
    <row r="7807" spans="15:15" x14ac:dyDescent="0.25">
      <c r="O7807" s="20" t="str">
        <f>IF(N7807="","",COUNTIFS(RawData[[Date ]],N7807,RawData[Month List],$Q$6,RawData[Tour/Site],$Q$2,RawData[[Picker ID ]],$Q$3,RawData[Checker ID],$Q$4,RawData[[Error Type ]],$Q$5))</f>
        <v/>
      </c>
    </row>
    <row r="7808" spans="15:15" x14ac:dyDescent="0.25">
      <c r="O7808" s="20" t="str">
        <f>IF(N7808="","",COUNTIFS(RawData[[Date ]],N7808,RawData[Month List],$Q$6,RawData[Tour/Site],$Q$2,RawData[[Picker ID ]],$Q$3,RawData[Checker ID],$Q$4,RawData[[Error Type ]],$Q$5))</f>
        <v/>
      </c>
    </row>
    <row r="7809" spans="15:15" x14ac:dyDescent="0.25">
      <c r="O7809" s="20" t="str">
        <f>IF(N7809="","",COUNTIFS(RawData[[Date ]],N7809,RawData[Month List],$Q$6,RawData[Tour/Site],$Q$2,RawData[[Picker ID ]],$Q$3,RawData[Checker ID],$Q$4,RawData[[Error Type ]],$Q$5))</f>
        <v/>
      </c>
    </row>
    <row r="7810" spans="15:15" x14ac:dyDescent="0.25">
      <c r="O7810" s="20" t="str">
        <f>IF(N7810="","",COUNTIFS(RawData[[Date ]],N7810,RawData[Month List],$Q$6,RawData[Tour/Site],$Q$2,RawData[[Picker ID ]],$Q$3,RawData[Checker ID],$Q$4,RawData[[Error Type ]],$Q$5))</f>
        <v/>
      </c>
    </row>
    <row r="7811" spans="15:15" x14ac:dyDescent="0.25">
      <c r="O7811" s="20" t="str">
        <f>IF(N7811="","",COUNTIFS(RawData[[Date ]],N7811,RawData[Month List],$Q$6,RawData[Tour/Site],$Q$2,RawData[[Picker ID ]],$Q$3,RawData[Checker ID],$Q$4,RawData[[Error Type ]],$Q$5))</f>
        <v/>
      </c>
    </row>
    <row r="7812" spans="15:15" x14ac:dyDescent="0.25">
      <c r="O7812" s="20" t="str">
        <f>IF(N7812="","",COUNTIFS(RawData[[Date ]],N7812,RawData[Month List],$Q$6,RawData[Tour/Site],$Q$2,RawData[[Picker ID ]],$Q$3,RawData[Checker ID],$Q$4,RawData[[Error Type ]],$Q$5))</f>
        <v/>
      </c>
    </row>
    <row r="7813" spans="15:15" x14ac:dyDescent="0.25">
      <c r="O7813" s="20" t="str">
        <f>IF(N7813="","",COUNTIFS(RawData[[Date ]],N7813,RawData[Month List],$Q$6,RawData[Tour/Site],$Q$2,RawData[[Picker ID ]],$Q$3,RawData[Checker ID],$Q$4,RawData[[Error Type ]],$Q$5))</f>
        <v/>
      </c>
    </row>
    <row r="7814" spans="15:15" x14ac:dyDescent="0.25">
      <c r="O7814" s="20" t="str">
        <f>IF(N7814="","",COUNTIFS(RawData[[Date ]],N7814,RawData[Month List],$Q$6,RawData[Tour/Site],$Q$2,RawData[[Picker ID ]],$Q$3,RawData[Checker ID],$Q$4,RawData[[Error Type ]],$Q$5))</f>
        <v/>
      </c>
    </row>
    <row r="7815" spans="15:15" x14ac:dyDescent="0.25">
      <c r="O7815" s="20" t="str">
        <f>IF(N7815="","",COUNTIFS(RawData[[Date ]],N7815,RawData[Month List],$Q$6,RawData[Tour/Site],$Q$2,RawData[[Picker ID ]],$Q$3,RawData[Checker ID],$Q$4,RawData[[Error Type ]],$Q$5))</f>
        <v/>
      </c>
    </row>
    <row r="7816" spans="15:15" x14ac:dyDescent="0.25">
      <c r="O7816" s="20" t="str">
        <f>IF(N7816="","",COUNTIFS(RawData[[Date ]],N7816,RawData[Month List],$Q$6,RawData[Tour/Site],$Q$2,RawData[[Picker ID ]],$Q$3,RawData[Checker ID],$Q$4,RawData[[Error Type ]],$Q$5))</f>
        <v/>
      </c>
    </row>
    <row r="7817" spans="15:15" x14ac:dyDescent="0.25">
      <c r="O7817" s="20" t="str">
        <f>IF(N7817="","",COUNTIFS(RawData[[Date ]],N7817,RawData[Month List],$Q$6,RawData[Tour/Site],$Q$2,RawData[[Picker ID ]],$Q$3,RawData[Checker ID],$Q$4,RawData[[Error Type ]],$Q$5))</f>
        <v/>
      </c>
    </row>
    <row r="7818" spans="15:15" x14ac:dyDescent="0.25">
      <c r="O7818" s="20" t="str">
        <f>IF(N7818="","",COUNTIFS(RawData[[Date ]],N7818,RawData[Month List],$Q$6,RawData[Tour/Site],$Q$2,RawData[[Picker ID ]],$Q$3,RawData[Checker ID],$Q$4,RawData[[Error Type ]],$Q$5))</f>
        <v/>
      </c>
    </row>
    <row r="7819" spans="15:15" x14ac:dyDescent="0.25">
      <c r="O7819" s="20" t="str">
        <f>IF(N7819="","",COUNTIFS(RawData[[Date ]],N7819,RawData[Month List],$Q$6,RawData[Tour/Site],$Q$2,RawData[[Picker ID ]],$Q$3,RawData[Checker ID],$Q$4,RawData[[Error Type ]],$Q$5))</f>
        <v/>
      </c>
    </row>
    <row r="7820" spans="15:15" x14ac:dyDescent="0.25">
      <c r="O7820" s="20" t="str">
        <f>IF(N7820="","",COUNTIFS(RawData[[Date ]],N7820,RawData[Month List],$Q$6,RawData[Tour/Site],$Q$2,RawData[[Picker ID ]],$Q$3,RawData[Checker ID],$Q$4,RawData[[Error Type ]],$Q$5))</f>
        <v/>
      </c>
    </row>
    <row r="7821" spans="15:15" x14ac:dyDescent="0.25">
      <c r="O7821" s="20" t="str">
        <f>IF(N7821="","",COUNTIFS(RawData[[Date ]],N7821,RawData[Month List],$Q$6,RawData[Tour/Site],$Q$2,RawData[[Picker ID ]],$Q$3,RawData[Checker ID],$Q$4,RawData[[Error Type ]],$Q$5))</f>
        <v/>
      </c>
    </row>
    <row r="7822" spans="15:15" x14ac:dyDescent="0.25">
      <c r="O7822" s="20" t="str">
        <f>IF(N7822="","",COUNTIFS(RawData[[Date ]],N7822,RawData[Month List],$Q$6,RawData[Tour/Site],$Q$2,RawData[[Picker ID ]],$Q$3,RawData[Checker ID],$Q$4,RawData[[Error Type ]],$Q$5))</f>
        <v/>
      </c>
    </row>
    <row r="7823" spans="15:15" x14ac:dyDescent="0.25">
      <c r="O7823" s="20" t="str">
        <f>IF(N7823="","",COUNTIFS(RawData[[Date ]],N7823,RawData[Month List],$Q$6,RawData[Tour/Site],$Q$2,RawData[[Picker ID ]],$Q$3,RawData[Checker ID],$Q$4,RawData[[Error Type ]],$Q$5))</f>
        <v/>
      </c>
    </row>
    <row r="7824" spans="15:15" x14ac:dyDescent="0.25">
      <c r="O7824" s="20" t="str">
        <f>IF(N7824="","",COUNTIFS(RawData[[Date ]],N7824,RawData[Month List],$Q$6,RawData[Tour/Site],$Q$2,RawData[[Picker ID ]],$Q$3,RawData[Checker ID],$Q$4,RawData[[Error Type ]],$Q$5))</f>
        <v/>
      </c>
    </row>
    <row r="7825" spans="15:15" x14ac:dyDescent="0.25">
      <c r="O7825" s="20" t="str">
        <f>IF(N7825="","",COUNTIFS(RawData[[Date ]],N7825,RawData[Month List],$Q$6,RawData[Tour/Site],$Q$2,RawData[[Picker ID ]],$Q$3,RawData[Checker ID],$Q$4,RawData[[Error Type ]],$Q$5))</f>
        <v/>
      </c>
    </row>
    <row r="7826" spans="15:15" x14ac:dyDescent="0.25">
      <c r="O7826" s="20" t="str">
        <f>IF(N7826="","",COUNTIFS(RawData[[Date ]],N7826,RawData[Month List],$Q$6,RawData[Tour/Site],$Q$2,RawData[[Picker ID ]],$Q$3,RawData[Checker ID],$Q$4,RawData[[Error Type ]],$Q$5))</f>
        <v/>
      </c>
    </row>
    <row r="7827" spans="15:15" x14ac:dyDescent="0.25">
      <c r="O7827" s="20" t="str">
        <f>IF(N7827="","",COUNTIFS(RawData[[Date ]],N7827,RawData[Month List],$Q$6,RawData[Tour/Site],$Q$2,RawData[[Picker ID ]],$Q$3,RawData[Checker ID],$Q$4,RawData[[Error Type ]],$Q$5))</f>
        <v/>
      </c>
    </row>
    <row r="7828" spans="15:15" x14ac:dyDescent="0.25">
      <c r="O7828" s="20" t="str">
        <f>IF(N7828="","",COUNTIFS(RawData[[Date ]],N7828,RawData[Month List],$Q$6,RawData[Tour/Site],$Q$2,RawData[[Picker ID ]],$Q$3,RawData[Checker ID],$Q$4,RawData[[Error Type ]],$Q$5))</f>
        <v/>
      </c>
    </row>
    <row r="7829" spans="15:15" x14ac:dyDescent="0.25">
      <c r="O7829" s="20" t="str">
        <f>IF(N7829="","",COUNTIFS(RawData[[Date ]],N7829,RawData[Month List],$Q$6,RawData[Tour/Site],$Q$2,RawData[[Picker ID ]],$Q$3,RawData[Checker ID],$Q$4,RawData[[Error Type ]],$Q$5))</f>
        <v/>
      </c>
    </row>
    <row r="7830" spans="15:15" x14ac:dyDescent="0.25">
      <c r="O7830" s="20" t="str">
        <f>IF(N7830="","",COUNTIFS(RawData[[Date ]],N7830,RawData[Month List],$Q$6,RawData[Tour/Site],$Q$2,RawData[[Picker ID ]],$Q$3,RawData[Checker ID],$Q$4,RawData[[Error Type ]],$Q$5))</f>
        <v/>
      </c>
    </row>
    <row r="7831" spans="15:15" x14ac:dyDescent="0.25">
      <c r="O7831" s="20" t="str">
        <f>IF(N7831="","",COUNTIFS(RawData[[Date ]],N7831,RawData[Month List],$Q$6,RawData[Tour/Site],$Q$2,RawData[[Picker ID ]],$Q$3,RawData[Checker ID],$Q$4,RawData[[Error Type ]],$Q$5))</f>
        <v/>
      </c>
    </row>
    <row r="7832" spans="15:15" x14ac:dyDescent="0.25">
      <c r="O7832" s="20" t="str">
        <f>IF(N7832="","",COUNTIFS(RawData[[Date ]],N7832,RawData[Month List],$Q$6,RawData[Tour/Site],$Q$2,RawData[[Picker ID ]],$Q$3,RawData[Checker ID],$Q$4,RawData[[Error Type ]],$Q$5))</f>
        <v/>
      </c>
    </row>
    <row r="7833" spans="15:15" x14ac:dyDescent="0.25">
      <c r="O7833" s="20" t="str">
        <f>IF(N7833="","",COUNTIFS(RawData[[Date ]],N7833,RawData[Month List],$Q$6,RawData[Tour/Site],$Q$2,RawData[[Picker ID ]],$Q$3,RawData[Checker ID],$Q$4,RawData[[Error Type ]],$Q$5))</f>
        <v/>
      </c>
    </row>
    <row r="7834" spans="15:15" x14ac:dyDescent="0.25">
      <c r="O7834" s="20" t="str">
        <f>IF(N7834="","",COUNTIFS(RawData[[Date ]],N7834,RawData[Month List],$Q$6,RawData[Tour/Site],$Q$2,RawData[[Picker ID ]],$Q$3,RawData[Checker ID],$Q$4,RawData[[Error Type ]],$Q$5))</f>
        <v/>
      </c>
    </row>
    <row r="7835" spans="15:15" x14ac:dyDescent="0.25">
      <c r="O7835" s="20" t="str">
        <f>IF(N7835="","",COUNTIFS(RawData[[Date ]],N7835,RawData[Month List],$Q$6,RawData[Tour/Site],$Q$2,RawData[[Picker ID ]],$Q$3,RawData[Checker ID],$Q$4,RawData[[Error Type ]],$Q$5))</f>
        <v/>
      </c>
    </row>
    <row r="7836" spans="15:15" x14ac:dyDescent="0.25">
      <c r="O7836" s="20" t="str">
        <f>IF(N7836="","",COUNTIFS(RawData[[Date ]],N7836,RawData[Month List],$Q$6,RawData[Tour/Site],$Q$2,RawData[[Picker ID ]],$Q$3,RawData[Checker ID],$Q$4,RawData[[Error Type ]],$Q$5))</f>
        <v/>
      </c>
    </row>
    <row r="7837" spans="15:15" x14ac:dyDescent="0.25">
      <c r="O7837" s="20" t="str">
        <f>IF(N7837="","",COUNTIFS(RawData[[Date ]],N7837,RawData[Month List],$Q$6,RawData[Tour/Site],$Q$2,RawData[[Picker ID ]],$Q$3,RawData[Checker ID],$Q$4,RawData[[Error Type ]],$Q$5))</f>
        <v/>
      </c>
    </row>
    <row r="7838" spans="15:15" x14ac:dyDescent="0.25">
      <c r="O7838" s="20" t="str">
        <f>IF(N7838="","",COUNTIFS(RawData[[Date ]],N7838,RawData[Month List],$Q$6,RawData[Tour/Site],$Q$2,RawData[[Picker ID ]],$Q$3,RawData[Checker ID],$Q$4,RawData[[Error Type ]],$Q$5))</f>
        <v/>
      </c>
    </row>
    <row r="7839" spans="15:15" x14ac:dyDescent="0.25">
      <c r="O7839" s="20" t="str">
        <f>IF(N7839="","",COUNTIFS(RawData[[Date ]],N7839,RawData[Month List],$Q$6,RawData[Tour/Site],$Q$2,RawData[[Picker ID ]],$Q$3,RawData[Checker ID],$Q$4,RawData[[Error Type ]],$Q$5))</f>
        <v/>
      </c>
    </row>
    <row r="7840" spans="15:15" x14ac:dyDescent="0.25">
      <c r="O7840" s="20" t="str">
        <f>IF(N7840="","",COUNTIFS(RawData[[Date ]],N7840,RawData[Month List],$Q$6,RawData[Tour/Site],$Q$2,RawData[[Picker ID ]],$Q$3,RawData[Checker ID],$Q$4,RawData[[Error Type ]],$Q$5))</f>
        <v/>
      </c>
    </row>
    <row r="7841" spans="15:15" x14ac:dyDescent="0.25">
      <c r="O7841" s="20" t="str">
        <f>IF(N7841="","",COUNTIFS(RawData[[Date ]],N7841,RawData[Month List],$Q$6,RawData[Tour/Site],$Q$2,RawData[[Picker ID ]],$Q$3,RawData[Checker ID],$Q$4,RawData[[Error Type ]],$Q$5))</f>
        <v/>
      </c>
    </row>
    <row r="7842" spans="15:15" x14ac:dyDescent="0.25">
      <c r="O7842" s="20" t="str">
        <f>IF(N7842="","",COUNTIFS(RawData[[Date ]],N7842,RawData[Month List],$Q$6,RawData[Tour/Site],$Q$2,RawData[[Picker ID ]],$Q$3,RawData[Checker ID],$Q$4,RawData[[Error Type ]],$Q$5))</f>
        <v/>
      </c>
    </row>
    <row r="7843" spans="15:15" x14ac:dyDescent="0.25">
      <c r="O7843" s="20" t="str">
        <f>IF(N7843="","",COUNTIFS(RawData[[Date ]],N7843,RawData[Month List],$Q$6,RawData[Tour/Site],$Q$2,RawData[[Picker ID ]],$Q$3,RawData[Checker ID],$Q$4,RawData[[Error Type ]],$Q$5))</f>
        <v/>
      </c>
    </row>
    <row r="7844" spans="15:15" x14ac:dyDescent="0.25">
      <c r="O7844" s="20" t="str">
        <f>IF(N7844="","",COUNTIFS(RawData[[Date ]],N7844,RawData[Month List],$Q$6,RawData[Tour/Site],$Q$2,RawData[[Picker ID ]],$Q$3,RawData[Checker ID],$Q$4,RawData[[Error Type ]],$Q$5))</f>
        <v/>
      </c>
    </row>
    <row r="7845" spans="15:15" x14ac:dyDescent="0.25">
      <c r="O7845" s="20" t="str">
        <f>IF(N7845="","",COUNTIFS(RawData[[Date ]],N7845,RawData[Month List],$Q$6,RawData[Tour/Site],$Q$2,RawData[[Picker ID ]],$Q$3,RawData[Checker ID],$Q$4,RawData[[Error Type ]],$Q$5))</f>
        <v/>
      </c>
    </row>
    <row r="7846" spans="15:15" x14ac:dyDescent="0.25">
      <c r="O7846" s="20" t="str">
        <f>IF(N7846="","",COUNTIFS(RawData[[Date ]],N7846,RawData[Month List],$Q$6,RawData[Tour/Site],$Q$2,RawData[[Picker ID ]],$Q$3,RawData[Checker ID],$Q$4,RawData[[Error Type ]],$Q$5))</f>
        <v/>
      </c>
    </row>
    <row r="7847" spans="15:15" x14ac:dyDescent="0.25">
      <c r="O7847" s="20" t="str">
        <f>IF(N7847="","",COUNTIFS(RawData[[Date ]],N7847,RawData[Month List],$Q$6,RawData[Tour/Site],$Q$2,RawData[[Picker ID ]],$Q$3,RawData[Checker ID],$Q$4,RawData[[Error Type ]],$Q$5))</f>
        <v/>
      </c>
    </row>
    <row r="7848" spans="15:15" x14ac:dyDescent="0.25">
      <c r="O7848" s="20" t="str">
        <f>IF(N7848="","",COUNTIFS(RawData[[Date ]],N7848,RawData[Month List],$Q$6,RawData[Tour/Site],$Q$2,RawData[[Picker ID ]],$Q$3,RawData[Checker ID],$Q$4,RawData[[Error Type ]],$Q$5))</f>
        <v/>
      </c>
    </row>
    <row r="7849" spans="15:15" x14ac:dyDescent="0.25">
      <c r="O7849" s="20" t="str">
        <f>IF(N7849="","",COUNTIFS(RawData[[Date ]],N7849,RawData[Month List],$Q$6,RawData[Tour/Site],$Q$2,RawData[[Picker ID ]],$Q$3,RawData[Checker ID],$Q$4,RawData[[Error Type ]],$Q$5))</f>
        <v/>
      </c>
    </row>
    <row r="7850" spans="15:15" x14ac:dyDescent="0.25">
      <c r="O7850" s="20" t="str">
        <f>IF(N7850="","",COUNTIFS(RawData[[Date ]],N7850,RawData[Month List],$Q$6,RawData[Tour/Site],$Q$2,RawData[[Picker ID ]],$Q$3,RawData[Checker ID],$Q$4,RawData[[Error Type ]],$Q$5))</f>
        <v/>
      </c>
    </row>
    <row r="7851" spans="15:15" x14ac:dyDescent="0.25">
      <c r="O7851" s="20" t="str">
        <f>IF(N7851="","",COUNTIFS(RawData[[Date ]],N7851,RawData[Month List],$Q$6,RawData[Tour/Site],$Q$2,RawData[[Picker ID ]],$Q$3,RawData[Checker ID],$Q$4,RawData[[Error Type ]],$Q$5))</f>
        <v/>
      </c>
    </row>
    <row r="7852" spans="15:15" x14ac:dyDescent="0.25">
      <c r="O7852" s="20" t="str">
        <f>IF(N7852="","",COUNTIFS(RawData[[Date ]],N7852,RawData[Month List],$Q$6,RawData[Tour/Site],$Q$2,RawData[[Picker ID ]],$Q$3,RawData[Checker ID],$Q$4,RawData[[Error Type ]],$Q$5))</f>
        <v/>
      </c>
    </row>
    <row r="7853" spans="15:15" x14ac:dyDescent="0.25">
      <c r="O7853" s="20" t="str">
        <f>IF(N7853="","",COUNTIFS(RawData[[Date ]],N7853,RawData[Month List],$Q$6,RawData[Tour/Site],$Q$2,RawData[[Picker ID ]],$Q$3,RawData[Checker ID],$Q$4,RawData[[Error Type ]],$Q$5))</f>
        <v/>
      </c>
    </row>
    <row r="7854" spans="15:15" x14ac:dyDescent="0.25">
      <c r="O7854" s="20" t="str">
        <f>IF(N7854="","",COUNTIFS(RawData[[Date ]],N7854,RawData[Month List],$Q$6,RawData[Tour/Site],$Q$2,RawData[[Picker ID ]],$Q$3,RawData[Checker ID],$Q$4,RawData[[Error Type ]],$Q$5))</f>
        <v/>
      </c>
    </row>
    <row r="7855" spans="15:15" x14ac:dyDescent="0.25">
      <c r="O7855" s="20" t="str">
        <f>IF(N7855="","",COUNTIFS(RawData[[Date ]],N7855,RawData[Month List],$Q$6,RawData[Tour/Site],$Q$2,RawData[[Picker ID ]],$Q$3,RawData[Checker ID],$Q$4,RawData[[Error Type ]],$Q$5))</f>
        <v/>
      </c>
    </row>
    <row r="7856" spans="15:15" x14ac:dyDescent="0.25">
      <c r="O7856" s="20" t="str">
        <f>IF(N7856="","",COUNTIFS(RawData[[Date ]],N7856,RawData[Month List],$Q$6,RawData[Tour/Site],$Q$2,RawData[[Picker ID ]],$Q$3,RawData[Checker ID],$Q$4,RawData[[Error Type ]],$Q$5))</f>
        <v/>
      </c>
    </row>
    <row r="7857" spans="15:15" x14ac:dyDescent="0.25">
      <c r="O7857" s="20" t="str">
        <f>IF(N7857="","",COUNTIFS(RawData[[Date ]],N7857,RawData[Month List],$Q$6,RawData[Tour/Site],$Q$2,RawData[[Picker ID ]],$Q$3,RawData[Checker ID],$Q$4,RawData[[Error Type ]],$Q$5))</f>
        <v/>
      </c>
    </row>
    <row r="7858" spans="15:15" x14ac:dyDescent="0.25">
      <c r="O7858" s="20" t="str">
        <f>IF(N7858="","",COUNTIFS(RawData[[Date ]],N7858,RawData[Month List],$Q$6,RawData[Tour/Site],$Q$2,RawData[[Picker ID ]],$Q$3,RawData[Checker ID],$Q$4,RawData[[Error Type ]],$Q$5))</f>
        <v/>
      </c>
    </row>
    <row r="7859" spans="15:15" x14ac:dyDescent="0.25">
      <c r="O7859" s="20" t="str">
        <f>IF(N7859="","",COUNTIFS(RawData[[Date ]],N7859,RawData[Month List],$Q$6,RawData[Tour/Site],$Q$2,RawData[[Picker ID ]],$Q$3,RawData[Checker ID],$Q$4,RawData[[Error Type ]],$Q$5))</f>
        <v/>
      </c>
    </row>
    <row r="7860" spans="15:15" x14ac:dyDescent="0.25">
      <c r="O7860" s="20" t="str">
        <f>IF(N7860="","",COUNTIFS(RawData[[Date ]],N7860,RawData[Month List],$Q$6,RawData[Tour/Site],$Q$2,RawData[[Picker ID ]],$Q$3,RawData[Checker ID],$Q$4,RawData[[Error Type ]],$Q$5))</f>
        <v/>
      </c>
    </row>
    <row r="7861" spans="15:15" x14ac:dyDescent="0.25">
      <c r="O7861" s="20" t="str">
        <f>IF(N7861="","",COUNTIFS(RawData[[Date ]],N7861,RawData[Month List],$Q$6,RawData[Tour/Site],$Q$2,RawData[[Picker ID ]],$Q$3,RawData[Checker ID],$Q$4,RawData[[Error Type ]],$Q$5))</f>
        <v/>
      </c>
    </row>
    <row r="7862" spans="15:15" x14ac:dyDescent="0.25">
      <c r="O7862" s="20" t="str">
        <f>IF(N7862="","",COUNTIFS(RawData[[Date ]],N7862,RawData[Month List],$Q$6,RawData[Tour/Site],$Q$2,RawData[[Picker ID ]],$Q$3,RawData[Checker ID],$Q$4,RawData[[Error Type ]],$Q$5))</f>
        <v/>
      </c>
    </row>
    <row r="7863" spans="15:15" x14ac:dyDescent="0.25">
      <c r="O7863" s="20" t="str">
        <f>IF(N7863="","",COUNTIFS(RawData[[Date ]],N7863,RawData[Month List],$Q$6,RawData[Tour/Site],$Q$2,RawData[[Picker ID ]],$Q$3,RawData[Checker ID],$Q$4,RawData[[Error Type ]],$Q$5))</f>
        <v/>
      </c>
    </row>
    <row r="7864" spans="15:15" x14ac:dyDescent="0.25">
      <c r="O7864" s="20" t="str">
        <f>IF(N7864="","",COUNTIFS(RawData[[Date ]],N7864,RawData[Month List],$Q$6,RawData[Tour/Site],$Q$2,RawData[[Picker ID ]],$Q$3,RawData[Checker ID],$Q$4,RawData[[Error Type ]],$Q$5))</f>
        <v/>
      </c>
    </row>
    <row r="7865" spans="15:15" x14ac:dyDescent="0.25">
      <c r="O7865" s="20" t="str">
        <f>IF(N7865="","",COUNTIFS(RawData[[Date ]],N7865,RawData[Month List],$Q$6,RawData[Tour/Site],$Q$2,RawData[[Picker ID ]],$Q$3,RawData[Checker ID],$Q$4,RawData[[Error Type ]],$Q$5))</f>
        <v/>
      </c>
    </row>
    <row r="7866" spans="15:15" x14ac:dyDescent="0.25">
      <c r="O7866" s="20" t="str">
        <f>IF(N7866="","",COUNTIFS(RawData[[Date ]],N7866,RawData[Month List],$Q$6,RawData[Tour/Site],$Q$2,RawData[[Picker ID ]],$Q$3,RawData[Checker ID],$Q$4,RawData[[Error Type ]],$Q$5))</f>
        <v/>
      </c>
    </row>
    <row r="7867" spans="15:15" x14ac:dyDescent="0.25">
      <c r="O7867" s="20" t="str">
        <f>IF(N7867="","",COUNTIFS(RawData[[Date ]],N7867,RawData[Month List],$Q$6,RawData[Tour/Site],$Q$2,RawData[[Picker ID ]],$Q$3,RawData[Checker ID],$Q$4,RawData[[Error Type ]],$Q$5))</f>
        <v/>
      </c>
    </row>
    <row r="7868" spans="15:15" x14ac:dyDescent="0.25">
      <c r="O7868" s="20" t="str">
        <f>IF(N7868="","",COUNTIFS(RawData[[Date ]],N7868,RawData[Month List],$Q$6,RawData[Tour/Site],$Q$2,RawData[[Picker ID ]],$Q$3,RawData[Checker ID],$Q$4,RawData[[Error Type ]],$Q$5))</f>
        <v/>
      </c>
    </row>
    <row r="7869" spans="15:15" x14ac:dyDescent="0.25">
      <c r="O7869" s="20" t="str">
        <f>IF(N7869="","",COUNTIFS(RawData[[Date ]],N7869,RawData[Month List],$Q$6,RawData[Tour/Site],$Q$2,RawData[[Picker ID ]],$Q$3,RawData[Checker ID],$Q$4,RawData[[Error Type ]],$Q$5))</f>
        <v/>
      </c>
    </row>
    <row r="7870" spans="15:15" x14ac:dyDescent="0.25">
      <c r="O7870" s="20" t="str">
        <f>IF(N7870="","",COUNTIFS(RawData[[Date ]],N7870,RawData[Month List],$Q$6,RawData[Tour/Site],$Q$2,RawData[[Picker ID ]],$Q$3,RawData[Checker ID],$Q$4,RawData[[Error Type ]],$Q$5))</f>
        <v/>
      </c>
    </row>
    <row r="7871" spans="15:15" x14ac:dyDescent="0.25">
      <c r="O7871" s="20" t="str">
        <f>IF(N7871="","",COUNTIFS(RawData[[Date ]],N7871,RawData[Month List],$Q$6,RawData[Tour/Site],$Q$2,RawData[[Picker ID ]],$Q$3,RawData[Checker ID],$Q$4,RawData[[Error Type ]],$Q$5))</f>
        <v/>
      </c>
    </row>
    <row r="7872" spans="15:15" x14ac:dyDescent="0.25">
      <c r="O7872" s="20" t="str">
        <f>IF(N7872="","",COUNTIFS(RawData[[Date ]],N7872,RawData[Month List],$Q$6,RawData[Tour/Site],$Q$2,RawData[[Picker ID ]],$Q$3,RawData[Checker ID],$Q$4,RawData[[Error Type ]],$Q$5))</f>
        <v/>
      </c>
    </row>
    <row r="7873" spans="15:15" x14ac:dyDescent="0.25">
      <c r="O7873" s="20" t="str">
        <f>IF(N7873="","",COUNTIFS(RawData[[Date ]],N7873,RawData[Month List],$Q$6,RawData[Tour/Site],$Q$2,RawData[[Picker ID ]],$Q$3,RawData[Checker ID],$Q$4,RawData[[Error Type ]],$Q$5))</f>
        <v/>
      </c>
    </row>
    <row r="7874" spans="15:15" x14ac:dyDescent="0.25">
      <c r="O7874" s="20" t="str">
        <f>IF(N7874="","",COUNTIFS(RawData[[Date ]],N7874,RawData[Month List],$Q$6,RawData[Tour/Site],$Q$2,RawData[[Picker ID ]],$Q$3,RawData[Checker ID],$Q$4,RawData[[Error Type ]],$Q$5))</f>
        <v/>
      </c>
    </row>
    <row r="7875" spans="15:15" x14ac:dyDescent="0.25">
      <c r="O7875" s="20" t="str">
        <f>IF(N7875="","",COUNTIFS(RawData[[Date ]],N7875,RawData[Month List],$Q$6,RawData[Tour/Site],$Q$2,RawData[[Picker ID ]],$Q$3,RawData[Checker ID],$Q$4,RawData[[Error Type ]],$Q$5))</f>
        <v/>
      </c>
    </row>
    <row r="7876" spans="15:15" x14ac:dyDescent="0.25">
      <c r="O7876" s="20" t="str">
        <f>IF(N7876="","",COUNTIFS(RawData[[Date ]],N7876,RawData[Month List],$Q$6,RawData[Tour/Site],$Q$2,RawData[[Picker ID ]],$Q$3,RawData[Checker ID],$Q$4,RawData[[Error Type ]],$Q$5))</f>
        <v/>
      </c>
    </row>
    <row r="7877" spans="15:15" x14ac:dyDescent="0.25">
      <c r="O7877" s="20" t="str">
        <f>IF(N7877="","",COUNTIFS(RawData[[Date ]],N7877,RawData[Month List],$Q$6,RawData[Tour/Site],$Q$2,RawData[[Picker ID ]],$Q$3,RawData[Checker ID],$Q$4,RawData[[Error Type ]],$Q$5))</f>
        <v/>
      </c>
    </row>
    <row r="7878" spans="15:15" x14ac:dyDescent="0.25">
      <c r="O7878" s="20" t="str">
        <f>IF(N7878="","",COUNTIFS(RawData[[Date ]],N7878,RawData[Month List],$Q$6,RawData[Tour/Site],$Q$2,RawData[[Picker ID ]],$Q$3,RawData[Checker ID],$Q$4,RawData[[Error Type ]],$Q$5))</f>
        <v/>
      </c>
    </row>
    <row r="7879" spans="15:15" x14ac:dyDescent="0.25">
      <c r="O7879" s="20" t="str">
        <f>IF(N7879="","",COUNTIFS(RawData[[Date ]],N7879,RawData[Month List],$Q$6,RawData[Tour/Site],$Q$2,RawData[[Picker ID ]],$Q$3,RawData[Checker ID],$Q$4,RawData[[Error Type ]],$Q$5))</f>
        <v/>
      </c>
    </row>
    <row r="7880" spans="15:15" x14ac:dyDescent="0.25">
      <c r="O7880" s="20" t="str">
        <f>IF(N7880="","",COUNTIFS(RawData[[Date ]],N7880,RawData[Month List],$Q$6,RawData[Tour/Site],$Q$2,RawData[[Picker ID ]],$Q$3,RawData[Checker ID],$Q$4,RawData[[Error Type ]],$Q$5))</f>
        <v/>
      </c>
    </row>
    <row r="7881" spans="15:15" x14ac:dyDescent="0.25">
      <c r="O7881" s="20" t="str">
        <f>IF(N7881="","",COUNTIFS(RawData[[Date ]],N7881,RawData[Month List],$Q$6,RawData[Tour/Site],$Q$2,RawData[[Picker ID ]],$Q$3,RawData[Checker ID],$Q$4,RawData[[Error Type ]],$Q$5))</f>
        <v/>
      </c>
    </row>
    <row r="7882" spans="15:15" x14ac:dyDescent="0.25">
      <c r="O7882" s="20" t="str">
        <f>IF(N7882="","",COUNTIFS(RawData[[Date ]],N7882,RawData[Month List],$Q$6,RawData[Tour/Site],$Q$2,RawData[[Picker ID ]],$Q$3,RawData[Checker ID],$Q$4,RawData[[Error Type ]],$Q$5))</f>
        <v/>
      </c>
    </row>
    <row r="7883" spans="15:15" x14ac:dyDescent="0.25">
      <c r="O7883" s="20" t="str">
        <f>IF(N7883="","",COUNTIFS(RawData[[Date ]],N7883,RawData[Month List],$Q$6,RawData[Tour/Site],$Q$2,RawData[[Picker ID ]],$Q$3,RawData[Checker ID],$Q$4,RawData[[Error Type ]],$Q$5))</f>
        <v/>
      </c>
    </row>
    <row r="7884" spans="15:15" x14ac:dyDescent="0.25">
      <c r="O7884" s="20" t="str">
        <f>IF(N7884="","",COUNTIFS(RawData[[Date ]],N7884,RawData[Month List],$Q$6,RawData[Tour/Site],$Q$2,RawData[[Picker ID ]],$Q$3,RawData[Checker ID],$Q$4,RawData[[Error Type ]],$Q$5))</f>
        <v/>
      </c>
    </row>
    <row r="7885" spans="15:15" x14ac:dyDescent="0.25">
      <c r="O7885" s="20" t="str">
        <f>IF(N7885="","",COUNTIFS(RawData[[Date ]],N7885,RawData[Month List],$Q$6,RawData[Tour/Site],$Q$2,RawData[[Picker ID ]],$Q$3,RawData[Checker ID],$Q$4,RawData[[Error Type ]],$Q$5))</f>
        <v/>
      </c>
    </row>
    <row r="7886" spans="15:15" x14ac:dyDescent="0.25">
      <c r="O7886" s="20" t="str">
        <f>IF(N7886="","",COUNTIFS(RawData[[Date ]],N7886,RawData[Month List],$Q$6,RawData[Tour/Site],$Q$2,RawData[[Picker ID ]],$Q$3,RawData[Checker ID],$Q$4,RawData[[Error Type ]],$Q$5))</f>
        <v/>
      </c>
    </row>
    <row r="7887" spans="15:15" x14ac:dyDescent="0.25">
      <c r="O7887" s="20" t="str">
        <f>IF(N7887="","",COUNTIFS(RawData[[Date ]],N7887,RawData[Month List],$Q$6,RawData[Tour/Site],$Q$2,RawData[[Picker ID ]],$Q$3,RawData[Checker ID],$Q$4,RawData[[Error Type ]],$Q$5))</f>
        <v/>
      </c>
    </row>
    <row r="7888" spans="15:15" x14ac:dyDescent="0.25">
      <c r="O7888" s="20" t="str">
        <f>IF(N7888="","",COUNTIFS(RawData[[Date ]],N7888,RawData[Month List],$Q$6,RawData[Tour/Site],$Q$2,RawData[[Picker ID ]],$Q$3,RawData[Checker ID],$Q$4,RawData[[Error Type ]],$Q$5))</f>
        <v/>
      </c>
    </row>
    <row r="7889" spans="15:15" x14ac:dyDescent="0.25">
      <c r="O7889" s="20" t="str">
        <f>IF(N7889="","",COUNTIFS(RawData[[Date ]],N7889,RawData[Month List],$Q$6,RawData[Tour/Site],$Q$2,RawData[[Picker ID ]],$Q$3,RawData[Checker ID],$Q$4,RawData[[Error Type ]],$Q$5))</f>
        <v/>
      </c>
    </row>
    <row r="7890" spans="15:15" x14ac:dyDescent="0.25">
      <c r="O7890" s="20" t="str">
        <f>IF(N7890="","",COUNTIFS(RawData[[Date ]],N7890,RawData[Month List],$Q$6,RawData[Tour/Site],$Q$2,RawData[[Picker ID ]],$Q$3,RawData[Checker ID],$Q$4,RawData[[Error Type ]],$Q$5))</f>
        <v/>
      </c>
    </row>
    <row r="7891" spans="15:15" x14ac:dyDescent="0.25">
      <c r="O7891" s="20" t="str">
        <f>IF(N7891="","",COUNTIFS(RawData[[Date ]],N7891,RawData[Month List],$Q$6,RawData[Tour/Site],$Q$2,RawData[[Picker ID ]],$Q$3,RawData[Checker ID],$Q$4,RawData[[Error Type ]],$Q$5))</f>
        <v/>
      </c>
    </row>
    <row r="7892" spans="15:15" x14ac:dyDescent="0.25">
      <c r="O7892" s="20" t="str">
        <f>IF(N7892="","",COUNTIFS(RawData[[Date ]],N7892,RawData[Month List],$Q$6,RawData[Tour/Site],$Q$2,RawData[[Picker ID ]],$Q$3,RawData[Checker ID],$Q$4,RawData[[Error Type ]],$Q$5))</f>
        <v/>
      </c>
    </row>
    <row r="7893" spans="15:15" x14ac:dyDescent="0.25">
      <c r="O7893" s="20" t="str">
        <f>IF(N7893="","",COUNTIFS(RawData[[Date ]],N7893,RawData[Month List],$Q$6,RawData[Tour/Site],$Q$2,RawData[[Picker ID ]],$Q$3,RawData[Checker ID],$Q$4,RawData[[Error Type ]],$Q$5))</f>
        <v/>
      </c>
    </row>
    <row r="7894" spans="15:15" x14ac:dyDescent="0.25">
      <c r="O7894" s="20" t="str">
        <f>IF(N7894="","",COUNTIFS(RawData[[Date ]],N7894,RawData[Month List],$Q$6,RawData[Tour/Site],$Q$2,RawData[[Picker ID ]],$Q$3,RawData[Checker ID],$Q$4,RawData[[Error Type ]],$Q$5))</f>
        <v/>
      </c>
    </row>
    <row r="7895" spans="15:15" x14ac:dyDescent="0.25">
      <c r="O7895" s="20" t="str">
        <f>IF(N7895="","",COUNTIFS(RawData[[Date ]],N7895,RawData[Month List],$Q$6,RawData[Tour/Site],$Q$2,RawData[[Picker ID ]],$Q$3,RawData[Checker ID],$Q$4,RawData[[Error Type ]],$Q$5))</f>
        <v/>
      </c>
    </row>
    <row r="7896" spans="15:15" x14ac:dyDescent="0.25">
      <c r="O7896" s="20" t="str">
        <f>IF(N7896="","",COUNTIFS(RawData[[Date ]],N7896,RawData[Month List],$Q$6,RawData[Tour/Site],$Q$2,RawData[[Picker ID ]],$Q$3,RawData[Checker ID],$Q$4,RawData[[Error Type ]],$Q$5))</f>
        <v/>
      </c>
    </row>
    <row r="7897" spans="15:15" x14ac:dyDescent="0.25">
      <c r="O7897" s="20" t="str">
        <f>IF(N7897="","",COUNTIFS(RawData[[Date ]],N7897,RawData[Month List],$Q$6,RawData[Tour/Site],$Q$2,RawData[[Picker ID ]],$Q$3,RawData[Checker ID],$Q$4,RawData[[Error Type ]],$Q$5))</f>
        <v/>
      </c>
    </row>
    <row r="7898" spans="15:15" x14ac:dyDescent="0.25">
      <c r="O7898" s="20" t="str">
        <f>IF(N7898="","",COUNTIFS(RawData[[Date ]],N7898,RawData[Month List],$Q$6,RawData[Tour/Site],$Q$2,RawData[[Picker ID ]],$Q$3,RawData[Checker ID],$Q$4,RawData[[Error Type ]],$Q$5))</f>
        <v/>
      </c>
    </row>
    <row r="7899" spans="15:15" x14ac:dyDescent="0.25">
      <c r="O7899" s="20" t="str">
        <f>IF(N7899="","",COUNTIFS(RawData[[Date ]],N7899,RawData[Month List],$Q$6,RawData[Tour/Site],$Q$2,RawData[[Picker ID ]],$Q$3,RawData[Checker ID],$Q$4,RawData[[Error Type ]],$Q$5))</f>
        <v/>
      </c>
    </row>
    <row r="7900" spans="15:15" x14ac:dyDescent="0.25">
      <c r="O7900" s="20" t="str">
        <f>IF(N7900="","",COUNTIFS(RawData[[Date ]],N7900,RawData[Month List],$Q$6,RawData[Tour/Site],$Q$2,RawData[[Picker ID ]],$Q$3,RawData[Checker ID],$Q$4,RawData[[Error Type ]],$Q$5))</f>
        <v/>
      </c>
    </row>
    <row r="7901" spans="15:15" x14ac:dyDescent="0.25">
      <c r="O7901" s="20" t="str">
        <f>IF(N7901="","",COUNTIFS(RawData[[Date ]],N7901,RawData[Month List],$Q$6,RawData[Tour/Site],$Q$2,RawData[[Picker ID ]],$Q$3,RawData[Checker ID],$Q$4,RawData[[Error Type ]],$Q$5))</f>
        <v/>
      </c>
    </row>
    <row r="7902" spans="15:15" x14ac:dyDescent="0.25">
      <c r="O7902" s="20" t="str">
        <f>IF(N7902="","",COUNTIFS(RawData[[Date ]],N7902,RawData[Month List],$Q$6,RawData[Tour/Site],$Q$2,RawData[[Picker ID ]],$Q$3,RawData[Checker ID],$Q$4,RawData[[Error Type ]],$Q$5))</f>
        <v/>
      </c>
    </row>
    <row r="7903" spans="15:15" x14ac:dyDescent="0.25">
      <c r="O7903" s="20" t="str">
        <f>IF(N7903="","",COUNTIFS(RawData[[Date ]],N7903,RawData[Month List],$Q$6,RawData[Tour/Site],$Q$2,RawData[[Picker ID ]],$Q$3,RawData[Checker ID],$Q$4,RawData[[Error Type ]],$Q$5))</f>
        <v/>
      </c>
    </row>
    <row r="7904" spans="15:15" x14ac:dyDescent="0.25">
      <c r="O7904" s="20" t="str">
        <f>IF(N7904="","",COUNTIFS(RawData[[Date ]],N7904,RawData[Month List],$Q$6,RawData[Tour/Site],$Q$2,RawData[[Picker ID ]],$Q$3,RawData[Checker ID],$Q$4,RawData[[Error Type ]],$Q$5))</f>
        <v/>
      </c>
    </row>
    <row r="7905" spans="15:15" x14ac:dyDescent="0.25">
      <c r="O7905" s="20" t="str">
        <f>IF(N7905="","",COUNTIFS(RawData[[Date ]],N7905,RawData[Month List],$Q$6,RawData[Tour/Site],$Q$2,RawData[[Picker ID ]],$Q$3,RawData[Checker ID],$Q$4,RawData[[Error Type ]],$Q$5))</f>
        <v/>
      </c>
    </row>
    <row r="7906" spans="15:15" x14ac:dyDescent="0.25">
      <c r="O7906" s="20" t="str">
        <f>IF(N7906="","",COUNTIFS(RawData[[Date ]],N7906,RawData[Month List],$Q$6,RawData[Tour/Site],$Q$2,RawData[[Picker ID ]],$Q$3,RawData[Checker ID],$Q$4,RawData[[Error Type ]],$Q$5))</f>
        <v/>
      </c>
    </row>
    <row r="7907" spans="15:15" x14ac:dyDescent="0.25">
      <c r="O7907" s="20" t="str">
        <f>IF(N7907="","",COUNTIFS(RawData[[Date ]],N7907,RawData[Month List],$Q$6,RawData[Tour/Site],$Q$2,RawData[[Picker ID ]],$Q$3,RawData[Checker ID],$Q$4,RawData[[Error Type ]],$Q$5))</f>
        <v/>
      </c>
    </row>
    <row r="7908" spans="15:15" x14ac:dyDescent="0.25">
      <c r="O7908" s="20" t="str">
        <f>IF(N7908="","",COUNTIFS(RawData[[Date ]],N7908,RawData[Month List],$Q$6,RawData[Tour/Site],$Q$2,RawData[[Picker ID ]],$Q$3,RawData[Checker ID],$Q$4,RawData[[Error Type ]],$Q$5))</f>
        <v/>
      </c>
    </row>
    <row r="7909" spans="15:15" x14ac:dyDescent="0.25">
      <c r="O7909" s="20" t="str">
        <f>IF(N7909="","",COUNTIFS(RawData[[Date ]],N7909,RawData[Month List],$Q$6,RawData[Tour/Site],$Q$2,RawData[[Picker ID ]],$Q$3,RawData[Checker ID],$Q$4,RawData[[Error Type ]],$Q$5))</f>
        <v/>
      </c>
    </row>
    <row r="7910" spans="15:15" x14ac:dyDescent="0.25">
      <c r="O7910" s="20" t="str">
        <f>IF(N7910="","",COUNTIFS(RawData[[Date ]],N7910,RawData[Month List],$Q$6,RawData[Tour/Site],$Q$2,RawData[[Picker ID ]],$Q$3,RawData[Checker ID],$Q$4,RawData[[Error Type ]],$Q$5))</f>
        <v/>
      </c>
    </row>
    <row r="7911" spans="15:15" x14ac:dyDescent="0.25">
      <c r="O7911" s="20" t="str">
        <f>IF(N7911="","",COUNTIFS(RawData[[Date ]],N7911,RawData[Month List],$Q$6,RawData[Tour/Site],$Q$2,RawData[[Picker ID ]],$Q$3,RawData[Checker ID],$Q$4,RawData[[Error Type ]],$Q$5))</f>
        <v/>
      </c>
    </row>
    <row r="7912" spans="15:15" x14ac:dyDescent="0.25">
      <c r="O7912" s="20" t="str">
        <f>IF(N7912="","",COUNTIFS(RawData[[Date ]],N7912,RawData[Month List],$Q$6,RawData[Tour/Site],$Q$2,RawData[[Picker ID ]],$Q$3,RawData[Checker ID],$Q$4,RawData[[Error Type ]],$Q$5))</f>
        <v/>
      </c>
    </row>
    <row r="7913" spans="15:15" x14ac:dyDescent="0.25">
      <c r="O7913" s="20" t="str">
        <f>IF(N7913="","",COUNTIFS(RawData[[Date ]],N7913,RawData[Month List],$Q$6,RawData[Tour/Site],$Q$2,RawData[[Picker ID ]],$Q$3,RawData[Checker ID],$Q$4,RawData[[Error Type ]],$Q$5))</f>
        <v/>
      </c>
    </row>
    <row r="7914" spans="15:15" x14ac:dyDescent="0.25">
      <c r="O7914" s="20" t="str">
        <f>IF(N7914="","",COUNTIFS(RawData[[Date ]],N7914,RawData[Month List],$Q$6,RawData[Tour/Site],$Q$2,RawData[[Picker ID ]],$Q$3,RawData[Checker ID],$Q$4,RawData[[Error Type ]],$Q$5))</f>
        <v/>
      </c>
    </row>
    <row r="7915" spans="15:15" x14ac:dyDescent="0.25">
      <c r="O7915" s="20" t="str">
        <f>IF(N7915="","",COUNTIFS(RawData[[Date ]],N7915,RawData[Month List],$Q$6,RawData[Tour/Site],$Q$2,RawData[[Picker ID ]],$Q$3,RawData[Checker ID],$Q$4,RawData[[Error Type ]],$Q$5))</f>
        <v/>
      </c>
    </row>
    <row r="7916" spans="15:15" x14ac:dyDescent="0.25">
      <c r="O7916" s="20" t="str">
        <f>IF(N7916="","",COUNTIFS(RawData[[Date ]],N7916,RawData[Month List],$Q$6,RawData[Tour/Site],$Q$2,RawData[[Picker ID ]],$Q$3,RawData[Checker ID],$Q$4,RawData[[Error Type ]],$Q$5))</f>
        <v/>
      </c>
    </row>
    <row r="7917" spans="15:15" x14ac:dyDescent="0.25">
      <c r="O7917" s="20" t="str">
        <f>IF(N7917="","",COUNTIFS(RawData[[Date ]],N7917,RawData[Month List],$Q$6,RawData[Tour/Site],$Q$2,RawData[[Picker ID ]],$Q$3,RawData[Checker ID],$Q$4,RawData[[Error Type ]],$Q$5))</f>
        <v/>
      </c>
    </row>
    <row r="7918" spans="15:15" x14ac:dyDescent="0.25">
      <c r="O7918" s="20" t="str">
        <f>IF(N7918="","",COUNTIFS(RawData[[Date ]],N7918,RawData[Month List],$Q$6,RawData[Tour/Site],$Q$2,RawData[[Picker ID ]],$Q$3,RawData[Checker ID],$Q$4,RawData[[Error Type ]],$Q$5))</f>
        <v/>
      </c>
    </row>
    <row r="7919" spans="15:15" x14ac:dyDescent="0.25">
      <c r="O7919" s="20" t="str">
        <f>IF(N7919="","",COUNTIFS(RawData[[Date ]],N7919,RawData[Month List],$Q$6,RawData[Tour/Site],$Q$2,RawData[[Picker ID ]],$Q$3,RawData[Checker ID],$Q$4,RawData[[Error Type ]],$Q$5))</f>
        <v/>
      </c>
    </row>
    <row r="7920" spans="15:15" x14ac:dyDescent="0.25">
      <c r="O7920" s="20" t="str">
        <f>IF(N7920="","",COUNTIFS(RawData[[Date ]],N7920,RawData[Month List],$Q$6,RawData[Tour/Site],$Q$2,RawData[[Picker ID ]],$Q$3,RawData[Checker ID],$Q$4,RawData[[Error Type ]],$Q$5))</f>
        <v/>
      </c>
    </row>
    <row r="7921" spans="15:15" x14ac:dyDescent="0.25">
      <c r="O7921" s="20" t="str">
        <f>IF(N7921="","",COUNTIFS(RawData[[Date ]],N7921,RawData[Month List],$Q$6,RawData[Tour/Site],$Q$2,RawData[[Picker ID ]],$Q$3,RawData[Checker ID],$Q$4,RawData[[Error Type ]],$Q$5))</f>
        <v/>
      </c>
    </row>
    <row r="7922" spans="15:15" x14ac:dyDescent="0.25">
      <c r="O7922" s="20" t="str">
        <f>IF(N7922="","",COUNTIFS(RawData[[Date ]],N7922,RawData[Month List],$Q$6,RawData[Tour/Site],$Q$2,RawData[[Picker ID ]],$Q$3,RawData[Checker ID],$Q$4,RawData[[Error Type ]],$Q$5))</f>
        <v/>
      </c>
    </row>
    <row r="7923" spans="15:15" x14ac:dyDescent="0.25">
      <c r="O7923" s="20" t="str">
        <f>IF(N7923="","",COUNTIFS(RawData[[Date ]],N7923,RawData[Month List],$Q$6,RawData[Tour/Site],$Q$2,RawData[[Picker ID ]],$Q$3,RawData[Checker ID],$Q$4,RawData[[Error Type ]],$Q$5))</f>
        <v/>
      </c>
    </row>
    <row r="7924" spans="15:15" x14ac:dyDescent="0.25">
      <c r="O7924" s="20" t="str">
        <f>IF(N7924="","",COUNTIFS(RawData[[Date ]],N7924,RawData[Month List],$Q$6,RawData[Tour/Site],$Q$2,RawData[[Picker ID ]],$Q$3,RawData[Checker ID],$Q$4,RawData[[Error Type ]],$Q$5))</f>
        <v/>
      </c>
    </row>
    <row r="7925" spans="15:15" x14ac:dyDescent="0.25">
      <c r="O7925" s="20" t="str">
        <f>IF(N7925="","",COUNTIFS(RawData[[Date ]],N7925,RawData[Month List],$Q$6,RawData[Tour/Site],$Q$2,RawData[[Picker ID ]],$Q$3,RawData[Checker ID],$Q$4,RawData[[Error Type ]],$Q$5))</f>
        <v/>
      </c>
    </row>
    <row r="7926" spans="15:15" x14ac:dyDescent="0.25">
      <c r="O7926" s="20" t="str">
        <f>IF(N7926="","",COUNTIFS(RawData[[Date ]],N7926,RawData[Month List],$Q$6,RawData[Tour/Site],$Q$2,RawData[[Picker ID ]],$Q$3,RawData[Checker ID],$Q$4,RawData[[Error Type ]],$Q$5))</f>
        <v/>
      </c>
    </row>
    <row r="7927" spans="15:15" x14ac:dyDescent="0.25">
      <c r="O7927" s="20" t="str">
        <f>IF(N7927="","",COUNTIFS(RawData[[Date ]],N7927,RawData[Month List],$Q$6,RawData[Tour/Site],$Q$2,RawData[[Picker ID ]],$Q$3,RawData[Checker ID],$Q$4,RawData[[Error Type ]],$Q$5))</f>
        <v/>
      </c>
    </row>
    <row r="7928" spans="15:15" x14ac:dyDescent="0.25">
      <c r="O7928" s="20" t="str">
        <f>IF(N7928="","",COUNTIFS(RawData[[Date ]],N7928,RawData[Month List],$Q$6,RawData[Tour/Site],$Q$2,RawData[[Picker ID ]],$Q$3,RawData[Checker ID],$Q$4,RawData[[Error Type ]],$Q$5))</f>
        <v/>
      </c>
    </row>
    <row r="7929" spans="15:15" x14ac:dyDescent="0.25">
      <c r="O7929" s="20" t="str">
        <f>IF(N7929="","",COUNTIFS(RawData[[Date ]],N7929,RawData[Month List],$Q$6,RawData[Tour/Site],$Q$2,RawData[[Picker ID ]],$Q$3,RawData[Checker ID],$Q$4,RawData[[Error Type ]],$Q$5))</f>
        <v/>
      </c>
    </row>
    <row r="7930" spans="15:15" x14ac:dyDescent="0.25">
      <c r="O7930" s="20" t="str">
        <f>IF(N7930="","",COUNTIFS(RawData[[Date ]],N7930,RawData[Month List],$Q$6,RawData[Tour/Site],$Q$2,RawData[[Picker ID ]],$Q$3,RawData[Checker ID],$Q$4,RawData[[Error Type ]],$Q$5))</f>
        <v/>
      </c>
    </row>
    <row r="7931" spans="15:15" x14ac:dyDescent="0.25">
      <c r="O7931" s="20" t="str">
        <f>IF(N7931="","",COUNTIFS(RawData[[Date ]],N7931,RawData[Month List],$Q$6,RawData[Tour/Site],$Q$2,RawData[[Picker ID ]],$Q$3,RawData[Checker ID],$Q$4,RawData[[Error Type ]],$Q$5))</f>
        <v/>
      </c>
    </row>
    <row r="7932" spans="15:15" x14ac:dyDescent="0.25">
      <c r="O7932" s="20" t="str">
        <f>IF(N7932="","",COUNTIFS(RawData[[Date ]],N7932,RawData[Month List],$Q$6,RawData[Tour/Site],$Q$2,RawData[[Picker ID ]],$Q$3,RawData[Checker ID],$Q$4,RawData[[Error Type ]],$Q$5))</f>
        <v/>
      </c>
    </row>
    <row r="7933" spans="15:15" x14ac:dyDescent="0.25">
      <c r="O7933" s="20" t="str">
        <f>IF(N7933="","",COUNTIFS(RawData[[Date ]],N7933,RawData[Month List],$Q$6,RawData[Tour/Site],$Q$2,RawData[[Picker ID ]],$Q$3,RawData[Checker ID],$Q$4,RawData[[Error Type ]],$Q$5))</f>
        <v/>
      </c>
    </row>
    <row r="7934" spans="15:15" x14ac:dyDescent="0.25">
      <c r="O7934" s="20" t="str">
        <f>IF(N7934="","",COUNTIFS(RawData[[Date ]],N7934,RawData[Month List],$Q$6,RawData[Tour/Site],$Q$2,RawData[[Picker ID ]],$Q$3,RawData[Checker ID],$Q$4,RawData[[Error Type ]],$Q$5))</f>
        <v/>
      </c>
    </row>
    <row r="7935" spans="15:15" x14ac:dyDescent="0.25">
      <c r="O7935" s="20" t="str">
        <f>IF(N7935="","",COUNTIFS(RawData[[Date ]],N7935,RawData[Month List],$Q$6,RawData[Tour/Site],$Q$2,RawData[[Picker ID ]],$Q$3,RawData[Checker ID],$Q$4,RawData[[Error Type ]],$Q$5))</f>
        <v/>
      </c>
    </row>
    <row r="7936" spans="15:15" x14ac:dyDescent="0.25">
      <c r="O7936" s="20" t="str">
        <f>IF(N7936="","",COUNTIFS(RawData[[Date ]],N7936,RawData[Month List],$Q$6,RawData[Tour/Site],$Q$2,RawData[[Picker ID ]],$Q$3,RawData[Checker ID],$Q$4,RawData[[Error Type ]],$Q$5))</f>
        <v/>
      </c>
    </row>
    <row r="7937" spans="15:15" x14ac:dyDescent="0.25">
      <c r="O7937" s="20" t="str">
        <f>IF(N7937="","",COUNTIFS(RawData[[Date ]],N7937,RawData[Month List],$Q$6,RawData[Tour/Site],$Q$2,RawData[[Picker ID ]],$Q$3,RawData[Checker ID],$Q$4,RawData[[Error Type ]],$Q$5))</f>
        <v/>
      </c>
    </row>
    <row r="7938" spans="15:15" x14ac:dyDescent="0.25">
      <c r="O7938" s="20" t="str">
        <f>IF(N7938="","",COUNTIFS(RawData[[Date ]],N7938,RawData[Month List],$Q$6,RawData[Tour/Site],$Q$2,RawData[[Picker ID ]],$Q$3,RawData[Checker ID],$Q$4,RawData[[Error Type ]],$Q$5))</f>
        <v/>
      </c>
    </row>
    <row r="7939" spans="15:15" x14ac:dyDescent="0.25">
      <c r="O7939" s="20" t="str">
        <f>IF(N7939="","",COUNTIFS(RawData[[Date ]],N7939,RawData[Month List],$Q$6,RawData[Tour/Site],$Q$2,RawData[[Picker ID ]],$Q$3,RawData[Checker ID],$Q$4,RawData[[Error Type ]],$Q$5))</f>
        <v/>
      </c>
    </row>
    <row r="7940" spans="15:15" x14ac:dyDescent="0.25">
      <c r="O7940" s="20" t="str">
        <f>IF(N7940="","",COUNTIFS(RawData[[Date ]],N7940,RawData[Month List],$Q$6,RawData[Tour/Site],$Q$2,RawData[[Picker ID ]],$Q$3,RawData[Checker ID],$Q$4,RawData[[Error Type ]],$Q$5))</f>
        <v/>
      </c>
    </row>
    <row r="7941" spans="15:15" x14ac:dyDescent="0.25">
      <c r="O7941" s="20" t="str">
        <f>IF(N7941="","",COUNTIFS(RawData[[Date ]],N7941,RawData[Month List],$Q$6,RawData[Tour/Site],$Q$2,RawData[[Picker ID ]],$Q$3,RawData[Checker ID],$Q$4,RawData[[Error Type ]],$Q$5))</f>
        <v/>
      </c>
    </row>
    <row r="7942" spans="15:15" x14ac:dyDescent="0.25">
      <c r="O7942" s="20" t="str">
        <f>IF(N7942="","",COUNTIFS(RawData[[Date ]],N7942,RawData[Month List],$Q$6,RawData[Tour/Site],$Q$2,RawData[[Picker ID ]],$Q$3,RawData[Checker ID],$Q$4,RawData[[Error Type ]],$Q$5))</f>
        <v/>
      </c>
    </row>
    <row r="7943" spans="15:15" x14ac:dyDescent="0.25">
      <c r="O7943" s="20" t="str">
        <f>IF(N7943="","",COUNTIFS(RawData[[Date ]],N7943,RawData[Month List],$Q$6,RawData[Tour/Site],$Q$2,RawData[[Picker ID ]],$Q$3,RawData[Checker ID],$Q$4,RawData[[Error Type ]],$Q$5))</f>
        <v/>
      </c>
    </row>
    <row r="7944" spans="15:15" x14ac:dyDescent="0.25">
      <c r="O7944" s="20" t="str">
        <f>IF(N7944="","",COUNTIFS(RawData[[Date ]],N7944,RawData[Month List],$Q$6,RawData[Tour/Site],$Q$2,RawData[[Picker ID ]],$Q$3,RawData[Checker ID],$Q$4,RawData[[Error Type ]],$Q$5))</f>
        <v/>
      </c>
    </row>
    <row r="7945" spans="15:15" x14ac:dyDescent="0.25">
      <c r="O7945" s="20" t="str">
        <f>IF(N7945="","",COUNTIFS(RawData[[Date ]],N7945,RawData[Month List],$Q$6,RawData[Tour/Site],$Q$2,RawData[[Picker ID ]],$Q$3,RawData[Checker ID],$Q$4,RawData[[Error Type ]],$Q$5))</f>
        <v/>
      </c>
    </row>
    <row r="7946" spans="15:15" x14ac:dyDescent="0.25">
      <c r="O7946" s="20" t="str">
        <f>IF(N7946="","",COUNTIFS(RawData[[Date ]],N7946,RawData[Month List],$Q$6,RawData[Tour/Site],$Q$2,RawData[[Picker ID ]],$Q$3,RawData[Checker ID],$Q$4,RawData[[Error Type ]],$Q$5))</f>
        <v/>
      </c>
    </row>
    <row r="7947" spans="15:15" x14ac:dyDescent="0.25">
      <c r="O7947" s="20" t="str">
        <f>IF(N7947="","",COUNTIFS(RawData[[Date ]],N7947,RawData[Month List],$Q$6,RawData[Tour/Site],$Q$2,RawData[[Picker ID ]],$Q$3,RawData[Checker ID],$Q$4,RawData[[Error Type ]],$Q$5))</f>
        <v/>
      </c>
    </row>
    <row r="7948" spans="15:15" x14ac:dyDescent="0.25">
      <c r="O7948" s="20" t="str">
        <f>IF(N7948="","",COUNTIFS(RawData[[Date ]],N7948,RawData[Month List],$Q$6,RawData[Tour/Site],$Q$2,RawData[[Picker ID ]],$Q$3,RawData[Checker ID],$Q$4,RawData[[Error Type ]],$Q$5))</f>
        <v/>
      </c>
    </row>
    <row r="7949" spans="15:15" x14ac:dyDescent="0.25">
      <c r="O7949" s="20" t="str">
        <f>IF(N7949="","",COUNTIFS(RawData[[Date ]],N7949,RawData[Month List],$Q$6,RawData[Tour/Site],$Q$2,RawData[[Picker ID ]],$Q$3,RawData[Checker ID],$Q$4,RawData[[Error Type ]],$Q$5))</f>
        <v/>
      </c>
    </row>
    <row r="7950" spans="15:15" x14ac:dyDescent="0.25">
      <c r="O7950" s="20" t="str">
        <f>IF(N7950="","",COUNTIFS(RawData[[Date ]],N7950,RawData[Month List],$Q$6,RawData[Tour/Site],$Q$2,RawData[[Picker ID ]],$Q$3,RawData[Checker ID],$Q$4,RawData[[Error Type ]],$Q$5))</f>
        <v/>
      </c>
    </row>
    <row r="7951" spans="15:15" x14ac:dyDescent="0.25">
      <c r="O7951" s="20" t="str">
        <f>IF(N7951="","",COUNTIFS(RawData[[Date ]],N7951,RawData[Month List],$Q$6,RawData[Tour/Site],$Q$2,RawData[[Picker ID ]],$Q$3,RawData[Checker ID],$Q$4,RawData[[Error Type ]],$Q$5))</f>
        <v/>
      </c>
    </row>
    <row r="7952" spans="15:15" x14ac:dyDescent="0.25">
      <c r="O7952" s="20" t="str">
        <f>IF(N7952="","",COUNTIFS(RawData[[Date ]],N7952,RawData[Month List],$Q$6,RawData[Tour/Site],$Q$2,RawData[[Picker ID ]],$Q$3,RawData[Checker ID],$Q$4,RawData[[Error Type ]],$Q$5))</f>
        <v/>
      </c>
    </row>
    <row r="7953" spans="15:15" x14ac:dyDescent="0.25">
      <c r="O7953" s="20" t="str">
        <f>IF(N7953="","",COUNTIFS(RawData[[Date ]],N7953,RawData[Month List],$Q$6,RawData[Tour/Site],$Q$2,RawData[[Picker ID ]],$Q$3,RawData[Checker ID],$Q$4,RawData[[Error Type ]],$Q$5))</f>
        <v/>
      </c>
    </row>
    <row r="7954" spans="15:15" x14ac:dyDescent="0.25">
      <c r="O7954" s="20" t="str">
        <f>IF(N7954="","",COUNTIFS(RawData[[Date ]],N7954,RawData[Month List],$Q$6,RawData[Tour/Site],$Q$2,RawData[[Picker ID ]],$Q$3,RawData[Checker ID],$Q$4,RawData[[Error Type ]],$Q$5))</f>
        <v/>
      </c>
    </row>
    <row r="7955" spans="15:15" x14ac:dyDescent="0.25">
      <c r="O7955" s="20" t="str">
        <f>IF(N7955="","",COUNTIFS(RawData[[Date ]],N7955,RawData[Month List],$Q$6,RawData[Tour/Site],$Q$2,RawData[[Picker ID ]],$Q$3,RawData[Checker ID],$Q$4,RawData[[Error Type ]],$Q$5))</f>
        <v/>
      </c>
    </row>
    <row r="7956" spans="15:15" x14ac:dyDescent="0.25">
      <c r="O7956" s="20" t="str">
        <f>IF(N7956="","",COUNTIFS(RawData[[Date ]],N7956,RawData[Month List],$Q$6,RawData[Tour/Site],$Q$2,RawData[[Picker ID ]],$Q$3,RawData[Checker ID],$Q$4,RawData[[Error Type ]],$Q$5))</f>
        <v/>
      </c>
    </row>
    <row r="7957" spans="15:15" x14ac:dyDescent="0.25">
      <c r="O7957" s="20" t="str">
        <f>IF(N7957="","",COUNTIFS(RawData[[Date ]],N7957,RawData[Month List],$Q$6,RawData[Tour/Site],$Q$2,RawData[[Picker ID ]],$Q$3,RawData[Checker ID],$Q$4,RawData[[Error Type ]],$Q$5))</f>
        <v/>
      </c>
    </row>
    <row r="7958" spans="15:15" x14ac:dyDescent="0.25">
      <c r="O7958" s="20" t="str">
        <f>IF(N7958="","",COUNTIFS(RawData[[Date ]],N7958,RawData[Month List],$Q$6,RawData[Tour/Site],$Q$2,RawData[[Picker ID ]],$Q$3,RawData[Checker ID],$Q$4,RawData[[Error Type ]],$Q$5))</f>
        <v/>
      </c>
    </row>
    <row r="7959" spans="15:15" x14ac:dyDescent="0.25">
      <c r="O7959" s="20" t="str">
        <f>IF(N7959="","",COUNTIFS(RawData[[Date ]],N7959,RawData[Month List],$Q$6,RawData[Tour/Site],$Q$2,RawData[[Picker ID ]],$Q$3,RawData[Checker ID],$Q$4,RawData[[Error Type ]],$Q$5))</f>
        <v/>
      </c>
    </row>
    <row r="7960" spans="15:15" x14ac:dyDescent="0.25">
      <c r="O7960" s="20" t="str">
        <f>IF(N7960="","",COUNTIFS(RawData[[Date ]],N7960,RawData[Month List],$Q$6,RawData[Tour/Site],$Q$2,RawData[[Picker ID ]],$Q$3,RawData[Checker ID],$Q$4,RawData[[Error Type ]],$Q$5))</f>
        <v/>
      </c>
    </row>
    <row r="7961" spans="15:15" x14ac:dyDescent="0.25">
      <c r="O7961" s="20" t="str">
        <f>IF(N7961="","",COUNTIFS(RawData[[Date ]],N7961,RawData[Month List],$Q$6,RawData[Tour/Site],$Q$2,RawData[[Picker ID ]],$Q$3,RawData[Checker ID],$Q$4,RawData[[Error Type ]],$Q$5))</f>
        <v/>
      </c>
    </row>
    <row r="7962" spans="15:15" x14ac:dyDescent="0.25">
      <c r="O7962" s="20" t="str">
        <f>IF(N7962="","",COUNTIFS(RawData[[Date ]],N7962,RawData[Month List],$Q$6,RawData[Tour/Site],$Q$2,RawData[[Picker ID ]],$Q$3,RawData[Checker ID],$Q$4,RawData[[Error Type ]],$Q$5))</f>
        <v/>
      </c>
    </row>
    <row r="7963" spans="15:15" x14ac:dyDescent="0.25">
      <c r="O7963" s="20" t="str">
        <f>IF(N7963="","",COUNTIFS(RawData[[Date ]],N7963,RawData[Month List],$Q$6,RawData[Tour/Site],$Q$2,RawData[[Picker ID ]],$Q$3,RawData[Checker ID],$Q$4,RawData[[Error Type ]],$Q$5))</f>
        <v/>
      </c>
    </row>
    <row r="7964" spans="15:15" x14ac:dyDescent="0.25">
      <c r="O7964" s="20" t="str">
        <f>IF(N7964="","",COUNTIFS(RawData[[Date ]],N7964,RawData[Month List],$Q$6,RawData[Tour/Site],$Q$2,RawData[[Picker ID ]],$Q$3,RawData[Checker ID],$Q$4,RawData[[Error Type ]],$Q$5))</f>
        <v/>
      </c>
    </row>
    <row r="7965" spans="15:15" x14ac:dyDescent="0.25">
      <c r="O7965" s="20" t="str">
        <f>IF(N7965="","",COUNTIFS(RawData[[Date ]],N7965,RawData[Month List],$Q$6,RawData[Tour/Site],$Q$2,RawData[[Picker ID ]],$Q$3,RawData[Checker ID],$Q$4,RawData[[Error Type ]],$Q$5))</f>
        <v/>
      </c>
    </row>
    <row r="7966" spans="15:15" x14ac:dyDescent="0.25">
      <c r="O7966" s="20" t="str">
        <f>IF(N7966="","",COUNTIFS(RawData[[Date ]],N7966,RawData[Month List],$Q$6,RawData[Tour/Site],$Q$2,RawData[[Picker ID ]],$Q$3,RawData[Checker ID],$Q$4,RawData[[Error Type ]],$Q$5))</f>
        <v/>
      </c>
    </row>
    <row r="7967" spans="15:15" x14ac:dyDescent="0.25">
      <c r="O7967" s="20" t="str">
        <f>IF(N7967="","",COUNTIFS(RawData[[Date ]],N7967,RawData[Month List],$Q$6,RawData[Tour/Site],$Q$2,RawData[[Picker ID ]],$Q$3,RawData[Checker ID],$Q$4,RawData[[Error Type ]],$Q$5))</f>
        <v/>
      </c>
    </row>
    <row r="7968" spans="15:15" x14ac:dyDescent="0.25">
      <c r="O7968" s="20" t="str">
        <f>IF(N7968="","",COUNTIFS(RawData[[Date ]],N7968,RawData[Month List],$Q$6,RawData[Tour/Site],$Q$2,RawData[[Picker ID ]],$Q$3,RawData[Checker ID],$Q$4,RawData[[Error Type ]],$Q$5))</f>
        <v/>
      </c>
    </row>
    <row r="7969" spans="15:15" x14ac:dyDescent="0.25">
      <c r="O7969" s="20" t="str">
        <f>IF(N7969="","",COUNTIFS(RawData[[Date ]],N7969,RawData[Month List],$Q$6,RawData[Tour/Site],$Q$2,RawData[[Picker ID ]],$Q$3,RawData[Checker ID],$Q$4,RawData[[Error Type ]],$Q$5))</f>
        <v/>
      </c>
    </row>
    <row r="7970" spans="15:15" x14ac:dyDescent="0.25">
      <c r="O7970" s="20" t="str">
        <f>IF(N7970="","",COUNTIFS(RawData[[Date ]],N7970,RawData[Month List],$Q$6,RawData[Tour/Site],$Q$2,RawData[[Picker ID ]],$Q$3,RawData[Checker ID],$Q$4,RawData[[Error Type ]],$Q$5))</f>
        <v/>
      </c>
    </row>
    <row r="7971" spans="15:15" x14ac:dyDescent="0.25">
      <c r="O7971" s="20" t="str">
        <f>IF(N7971="","",COUNTIFS(RawData[[Date ]],N7971,RawData[Month List],$Q$6,RawData[Tour/Site],$Q$2,RawData[[Picker ID ]],$Q$3,RawData[Checker ID],$Q$4,RawData[[Error Type ]],$Q$5))</f>
        <v/>
      </c>
    </row>
    <row r="7972" spans="15:15" x14ac:dyDescent="0.25">
      <c r="O7972" s="20" t="str">
        <f>IF(N7972="","",COUNTIFS(RawData[[Date ]],N7972,RawData[Month List],$Q$6,RawData[Tour/Site],$Q$2,RawData[[Picker ID ]],$Q$3,RawData[Checker ID],$Q$4,RawData[[Error Type ]],$Q$5))</f>
        <v/>
      </c>
    </row>
    <row r="7973" spans="15:15" x14ac:dyDescent="0.25">
      <c r="O7973" s="20" t="str">
        <f>IF(N7973="","",COUNTIFS(RawData[[Date ]],N7973,RawData[Month List],$Q$6,RawData[Tour/Site],$Q$2,RawData[[Picker ID ]],$Q$3,RawData[Checker ID],$Q$4,RawData[[Error Type ]],$Q$5))</f>
        <v/>
      </c>
    </row>
    <row r="7974" spans="15:15" x14ac:dyDescent="0.25">
      <c r="O7974" s="20" t="str">
        <f>IF(N7974="","",COUNTIFS(RawData[[Date ]],N7974,RawData[Month List],$Q$6,RawData[Tour/Site],$Q$2,RawData[[Picker ID ]],$Q$3,RawData[Checker ID],$Q$4,RawData[[Error Type ]],$Q$5))</f>
        <v/>
      </c>
    </row>
    <row r="7975" spans="15:15" x14ac:dyDescent="0.25">
      <c r="O7975" s="20" t="str">
        <f>IF(N7975="","",COUNTIFS(RawData[[Date ]],N7975,RawData[Month List],$Q$6,RawData[Tour/Site],$Q$2,RawData[[Picker ID ]],$Q$3,RawData[Checker ID],$Q$4,RawData[[Error Type ]],$Q$5))</f>
        <v/>
      </c>
    </row>
    <row r="7976" spans="15:15" x14ac:dyDescent="0.25">
      <c r="O7976" s="20" t="str">
        <f>IF(N7976="","",COUNTIFS(RawData[[Date ]],N7976,RawData[Month List],$Q$6,RawData[Tour/Site],$Q$2,RawData[[Picker ID ]],$Q$3,RawData[Checker ID],$Q$4,RawData[[Error Type ]],$Q$5))</f>
        <v/>
      </c>
    </row>
    <row r="7977" spans="15:15" x14ac:dyDescent="0.25">
      <c r="O7977" s="20" t="str">
        <f>IF(N7977="","",COUNTIFS(RawData[[Date ]],N7977,RawData[Month List],$Q$6,RawData[Tour/Site],$Q$2,RawData[[Picker ID ]],$Q$3,RawData[Checker ID],$Q$4,RawData[[Error Type ]],$Q$5))</f>
        <v/>
      </c>
    </row>
    <row r="7978" spans="15:15" x14ac:dyDescent="0.25">
      <c r="O7978" s="20" t="str">
        <f>IF(N7978="","",COUNTIFS(RawData[[Date ]],N7978,RawData[Month List],$Q$6,RawData[Tour/Site],$Q$2,RawData[[Picker ID ]],$Q$3,RawData[Checker ID],$Q$4,RawData[[Error Type ]],$Q$5))</f>
        <v/>
      </c>
    </row>
    <row r="7979" spans="15:15" x14ac:dyDescent="0.25">
      <c r="O7979" s="20" t="str">
        <f>IF(N7979="","",COUNTIFS(RawData[[Date ]],N7979,RawData[Month List],$Q$6,RawData[Tour/Site],$Q$2,RawData[[Picker ID ]],$Q$3,RawData[Checker ID],$Q$4,RawData[[Error Type ]],$Q$5))</f>
        <v/>
      </c>
    </row>
    <row r="7980" spans="15:15" x14ac:dyDescent="0.25">
      <c r="O7980" s="20" t="str">
        <f>IF(N7980="","",COUNTIFS(RawData[[Date ]],N7980,RawData[Month List],$Q$6,RawData[Tour/Site],$Q$2,RawData[[Picker ID ]],$Q$3,RawData[Checker ID],$Q$4,RawData[[Error Type ]],$Q$5))</f>
        <v/>
      </c>
    </row>
    <row r="7981" spans="15:15" x14ac:dyDescent="0.25">
      <c r="O7981" s="20" t="str">
        <f>IF(N7981="","",COUNTIFS(RawData[[Date ]],N7981,RawData[Month List],$Q$6,RawData[Tour/Site],$Q$2,RawData[[Picker ID ]],$Q$3,RawData[Checker ID],$Q$4,RawData[[Error Type ]],$Q$5))</f>
        <v/>
      </c>
    </row>
    <row r="7982" spans="15:15" x14ac:dyDescent="0.25">
      <c r="O7982" s="20" t="str">
        <f>IF(N7982="","",COUNTIFS(RawData[[Date ]],N7982,RawData[Month List],$Q$6,RawData[Tour/Site],$Q$2,RawData[[Picker ID ]],$Q$3,RawData[Checker ID],$Q$4,RawData[[Error Type ]],$Q$5))</f>
        <v/>
      </c>
    </row>
    <row r="7983" spans="15:15" x14ac:dyDescent="0.25">
      <c r="O7983" s="20" t="str">
        <f>IF(N7983="","",COUNTIFS(RawData[[Date ]],N7983,RawData[Month List],$Q$6,RawData[Tour/Site],$Q$2,RawData[[Picker ID ]],$Q$3,RawData[Checker ID],$Q$4,RawData[[Error Type ]],$Q$5))</f>
        <v/>
      </c>
    </row>
    <row r="7984" spans="15:15" x14ac:dyDescent="0.25">
      <c r="O7984" s="20" t="str">
        <f>IF(N7984="","",COUNTIFS(RawData[[Date ]],N7984,RawData[Month List],$Q$6,RawData[Tour/Site],$Q$2,RawData[[Picker ID ]],$Q$3,RawData[Checker ID],$Q$4,RawData[[Error Type ]],$Q$5))</f>
        <v/>
      </c>
    </row>
    <row r="7985" spans="15:15" x14ac:dyDescent="0.25">
      <c r="O7985" s="20" t="str">
        <f>IF(N7985="","",COUNTIFS(RawData[[Date ]],N7985,RawData[Month List],$Q$6,RawData[Tour/Site],$Q$2,RawData[[Picker ID ]],$Q$3,RawData[Checker ID],$Q$4,RawData[[Error Type ]],$Q$5))</f>
        <v/>
      </c>
    </row>
    <row r="7986" spans="15:15" x14ac:dyDescent="0.25">
      <c r="O7986" s="20" t="str">
        <f>IF(N7986="","",COUNTIFS(RawData[[Date ]],N7986,RawData[Month List],$Q$6,RawData[Tour/Site],$Q$2,RawData[[Picker ID ]],$Q$3,RawData[Checker ID],$Q$4,RawData[[Error Type ]],$Q$5))</f>
        <v/>
      </c>
    </row>
    <row r="7987" spans="15:15" x14ac:dyDescent="0.25">
      <c r="O7987" s="20" t="str">
        <f>IF(N7987="","",COUNTIFS(RawData[[Date ]],N7987,RawData[Month List],$Q$6,RawData[Tour/Site],$Q$2,RawData[[Picker ID ]],$Q$3,RawData[Checker ID],$Q$4,RawData[[Error Type ]],$Q$5))</f>
        <v/>
      </c>
    </row>
    <row r="7988" spans="15:15" x14ac:dyDescent="0.25">
      <c r="O7988" s="20" t="str">
        <f>IF(N7988="","",COUNTIFS(RawData[[Date ]],N7988,RawData[Month List],$Q$6,RawData[Tour/Site],$Q$2,RawData[[Picker ID ]],$Q$3,RawData[Checker ID],$Q$4,RawData[[Error Type ]],$Q$5))</f>
        <v/>
      </c>
    </row>
    <row r="7989" spans="15:15" x14ac:dyDescent="0.25">
      <c r="O7989" s="20" t="str">
        <f>IF(N7989="","",COUNTIFS(RawData[[Date ]],N7989,RawData[Month List],$Q$6,RawData[Tour/Site],$Q$2,RawData[[Picker ID ]],$Q$3,RawData[Checker ID],$Q$4,RawData[[Error Type ]],$Q$5))</f>
        <v/>
      </c>
    </row>
    <row r="7990" spans="15:15" x14ac:dyDescent="0.25">
      <c r="O7990" s="20" t="str">
        <f>IF(N7990="","",COUNTIFS(RawData[[Date ]],N7990,RawData[Month List],$Q$6,RawData[Tour/Site],$Q$2,RawData[[Picker ID ]],$Q$3,RawData[Checker ID],$Q$4,RawData[[Error Type ]],$Q$5))</f>
        <v/>
      </c>
    </row>
    <row r="7991" spans="15:15" x14ac:dyDescent="0.25">
      <c r="O7991" s="20" t="str">
        <f>IF(N7991="","",COUNTIFS(RawData[[Date ]],N7991,RawData[Month List],$Q$6,RawData[Tour/Site],$Q$2,RawData[[Picker ID ]],$Q$3,RawData[Checker ID],$Q$4,RawData[[Error Type ]],$Q$5))</f>
        <v/>
      </c>
    </row>
    <row r="7992" spans="15:15" x14ac:dyDescent="0.25">
      <c r="O7992" s="20" t="str">
        <f>IF(N7992="","",COUNTIFS(RawData[[Date ]],N7992,RawData[Month List],$Q$6,RawData[Tour/Site],$Q$2,RawData[[Picker ID ]],$Q$3,RawData[Checker ID],$Q$4,RawData[[Error Type ]],$Q$5))</f>
        <v/>
      </c>
    </row>
    <row r="7993" spans="15:15" x14ac:dyDescent="0.25">
      <c r="O7993" s="20" t="str">
        <f>IF(N7993="","",COUNTIFS(RawData[[Date ]],N7993,RawData[Month List],$Q$6,RawData[Tour/Site],$Q$2,RawData[[Picker ID ]],$Q$3,RawData[Checker ID],$Q$4,RawData[[Error Type ]],$Q$5))</f>
        <v/>
      </c>
    </row>
    <row r="7994" spans="15:15" x14ac:dyDescent="0.25">
      <c r="O7994" s="20" t="str">
        <f>IF(N7994="","",COUNTIFS(RawData[[Date ]],N7994,RawData[Month List],$Q$6,RawData[Tour/Site],$Q$2,RawData[[Picker ID ]],$Q$3,RawData[Checker ID],$Q$4,RawData[[Error Type ]],$Q$5))</f>
        <v/>
      </c>
    </row>
    <row r="7995" spans="15:15" x14ac:dyDescent="0.25">
      <c r="O7995" s="20" t="str">
        <f>IF(N7995="","",COUNTIFS(RawData[[Date ]],N7995,RawData[Month List],$Q$6,RawData[Tour/Site],$Q$2,RawData[[Picker ID ]],$Q$3,RawData[Checker ID],$Q$4,RawData[[Error Type ]],$Q$5))</f>
        <v/>
      </c>
    </row>
    <row r="7996" spans="15:15" x14ac:dyDescent="0.25">
      <c r="O7996" s="20" t="str">
        <f>IF(N7996="","",COUNTIFS(RawData[[Date ]],N7996,RawData[Month List],$Q$6,RawData[Tour/Site],$Q$2,RawData[[Picker ID ]],$Q$3,RawData[Checker ID],$Q$4,RawData[[Error Type ]],$Q$5))</f>
        <v/>
      </c>
    </row>
    <row r="7997" spans="15:15" x14ac:dyDescent="0.25">
      <c r="O7997" s="20" t="str">
        <f>IF(N7997="","",COUNTIFS(RawData[[Date ]],N7997,RawData[Month List],$Q$6,RawData[Tour/Site],$Q$2,RawData[[Picker ID ]],$Q$3,RawData[Checker ID],$Q$4,RawData[[Error Type ]],$Q$5))</f>
        <v/>
      </c>
    </row>
    <row r="7998" spans="15:15" x14ac:dyDescent="0.25">
      <c r="O7998" s="20" t="str">
        <f>IF(N7998="","",COUNTIFS(RawData[[Date ]],N7998,RawData[Month List],$Q$6,RawData[Tour/Site],$Q$2,RawData[[Picker ID ]],$Q$3,RawData[Checker ID],$Q$4,RawData[[Error Type ]],$Q$5))</f>
        <v/>
      </c>
    </row>
    <row r="7999" spans="15:15" x14ac:dyDescent="0.25">
      <c r="O7999" s="20" t="str">
        <f>IF(N7999="","",COUNTIFS(RawData[[Date ]],N7999,RawData[Month List],$Q$6,RawData[Tour/Site],$Q$2,RawData[[Picker ID ]],$Q$3,RawData[Checker ID],$Q$4,RawData[[Error Type ]],$Q$5))</f>
        <v/>
      </c>
    </row>
    <row r="8000" spans="15:15" x14ac:dyDescent="0.25">
      <c r="O8000" s="20" t="str">
        <f>IF(N8000="","",COUNTIFS(RawData[[Date ]],N8000,RawData[Month List],$Q$6,RawData[Tour/Site],$Q$2,RawData[[Picker ID ]],$Q$3,RawData[Checker ID],$Q$4,RawData[[Error Type ]],$Q$5))</f>
        <v/>
      </c>
    </row>
    <row r="8001" spans="15:15" x14ac:dyDescent="0.25">
      <c r="O8001" s="20" t="str">
        <f>IF(N8001="","",COUNTIFS(RawData[[Date ]],N8001,RawData[Month List],$Q$6,RawData[Tour/Site],$Q$2,RawData[[Picker ID ]],$Q$3,RawData[Checker ID],$Q$4,RawData[[Error Type ]],$Q$5))</f>
        <v/>
      </c>
    </row>
    <row r="8002" spans="15:15" x14ac:dyDescent="0.25">
      <c r="O8002" s="20" t="str">
        <f>IF(N8002="","",COUNTIFS(RawData[[Date ]],N8002,RawData[Month List],$Q$6,RawData[Tour/Site],$Q$2,RawData[[Picker ID ]],$Q$3,RawData[Checker ID],$Q$4,RawData[[Error Type ]],$Q$5))</f>
        <v/>
      </c>
    </row>
    <row r="8003" spans="15:15" x14ac:dyDescent="0.25">
      <c r="O8003" s="20" t="str">
        <f>IF(N8003="","",COUNTIFS(RawData[[Date ]],N8003,RawData[Month List],$Q$6,RawData[Tour/Site],$Q$2,RawData[[Picker ID ]],$Q$3,RawData[Checker ID],$Q$4,RawData[[Error Type ]],$Q$5))</f>
        <v/>
      </c>
    </row>
    <row r="8004" spans="15:15" x14ac:dyDescent="0.25">
      <c r="O8004" s="20" t="str">
        <f>IF(N8004="","",COUNTIFS(RawData[[Date ]],N8004,RawData[Month List],$Q$6,RawData[Tour/Site],$Q$2,RawData[[Picker ID ]],$Q$3,RawData[Checker ID],$Q$4,RawData[[Error Type ]],$Q$5))</f>
        <v/>
      </c>
    </row>
    <row r="8005" spans="15:15" x14ac:dyDescent="0.25">
      <c r="O8005" s="20" t="str">
        <f>IF(N8005="","",COUNTIFS(RawData[[Date ]],N8005,RawData[Month List],$Q$6,RawData[Tour/Site],$Q$2,RawData[[Picker ID ]],$Q$3,RawData[Checker ID],$Q$4,RawData[[Error Type ]],$Q$5))</f>
        <v/>
      </c>
    </row>
    <row r="8006" spans="15:15" x14ac:dyDescent="0.25">
      <c r="O8006" s="20" t="str">
        <f>IF(N8006="","",COUNTIFS(RawData[[Date ]],N8006,RawData[Month List],$Q$6,RawData[Tour/Site],$Q$2,RawData[[Picker ID ]],$Q$3,RawData[Checker ID],$Q$4,RawData[[Error Type ]],$Q$5))</f>
        <v/>
      </c>
    </row>
    <row r="8007" spans="15:15" x14ac:dyDescent="0.25">
      <c r="O8007" s="20" t="str">
        <f>IF(N8007="","",COUNTIFS(RawData[[Date ]],N8007,RawData[Month List],$Q$6,RawData[Tour/Site],$Q$2,RawData[[Picker ID ]],$Q$3,RawData[Checker ID],$Q$4,RawData[[Error Type ]],$Q$5))</f>
        <v/>
      </c>
    </row>
    <row r="8008" spans="15:15" x14ac:dyDescent="0.25">
      <c r="O8008" s="20" t="str">
        <f>IF(N8008="","",COUNTIFS(RawData[[Date ]],N8008,RawData[Month List],$Q$6,RawData[Tour/Site],$Q$2,RawData[[Picker ID ]],$Q$3,RawData[Checker ID],$Q$4,RawData[[Error Type ]],$Q$5))</f>
        <v/>
      </c>
    </row>
    <row r="8009" spans="15:15" x14ac:dyDescent="0.25">
      <c r="O8009" s="20" t="str">
        <f>IF(N8009="","",COUNTIFS(RawData[[Date ]],N8009,RawData[Month List],$Q$6,RawData[Tour/Site],$Q$2,RawData[[Picker ID ]],$Q$3,RawData[Checker ID],$Q$4,RawData[[Error Type ]],$Q$5))</f>
        <v/>
      </c>
    </row>
    <row r="8010" spans="15:15" x14ac:dyDescent="0.25">
      <c r="O8010" s="20" t="str">
        <f>IF(N8010="","",COUNTIFS(RawData[[Date ]],N8010,RawData[Month List],$Q$6,RawData[Tour/Site],$Q$2,RawData[[Picker ID ]],$Q$3,RawData[Checker ID],$Q$4,RawData[[Error Type ]],$Q$5))</f>
        <v/>
      </c>
    </row>
    <row r="8011" spans="15:15" x14ac:dyDescent="0.25">
      <c r="O8011" s="20" t="str">
        <f>IF(N8011="","",COUNTIFS(RawData[[Date ]],N8011,RawData[Month List],$Q$6,RawData[Tour/Site],$Q$2,RawData[[Picker ID ]],$Q$3,RawData[Checker ID],$Q$4,RawData[[Error Type ]],$Q$5))</f>
        <v/>
      </c>
    </row>
    <row r="8012" spans="15:15" x14ac:dyDescent="0.25">
      <c r="O8012" s="20" t="str">
        <f>IF(N8012="","",COUNTIFS(RawData[[Date ]],N8012,RawData[Month List],$Q$6,RawData[Tour/Site],$Q$2,RawData[[Picker ID ]],$Q$3,RawData[Checker ID],$Q$4,RawData[[Error Type ]],$Q$5))</f>
        <v/>
      </c>
    </row>
    <row r="8013" spans="15:15" x14ac:dyDescent="0.25">
      <c r="O8013" s="20" t="str">
        <f>IF(N8013="","",COUNTIFS(RawData[[Date ]],N8013,RawData[Month List],$Q$6,RawData[Tour/Site],$Q$2,RawData[[Picker ID ]],$Q$3,RawData[Checker ID],$Q$4,RawData[[Error Type ]],$Q$5))</f>
        <v/>
      </c>
    </row>
    <row r="8014" spans="15:15" x14ac:dyDescent="0.25">
      <c r="O8014" s="20" t="str">
        <f>IF(N8014="","",COUNTIFS(RawData[[Date ]],N8014,RawData[Month List],$Q$6,RawData[Tour/Site],$Q$2,RawData[[Picker ID ]],$Q$3,RawData[Checker ID],$Q$4,RawData[[Error Type ]],$Q$5))</f>
        <v/>
      </c>
    </row>
    <row r="8015" spans="15:15" x14ac:dyDescent="0.25">
      <c r="O8015" s="20" t="str">
        <f>IF(N8015="","",COUNTIFS(RawData[[Date ]],N8015,RawData[Month List],$Q$6,RawData[Tour/Site],$Q$2,RawData[[Picker ID ]],$Q$3,RawData[Checker ID],$Q$4,RawData[[Error Type ]],$Q$5))</f>
        <v/>
      </c>
    </row>
    <row r="8016" spans="15:15" x14ac:dyDescent="0.25">
      <c r="O8016" s="20" t="str">
        <f>IF(N8016="","",COUNTIFS(RawData[[Date ]],N8016,RawData[Month List],$Q$6,RawData[Tour/Site],$Q$2,RawData[[Picker ID ]],$Q$3,RawData[Checker ID],$Q$4,RawData[[Error Type ]],$Q$5))</f>
        <v/>
      </c>
    </row>
    <row r="8017" spans="15:15" x14ac:dyDescent="0.25">
      <c r="O8017" s="20" t="str">
        <f>IF(N8017="","",COUNTIFS(RawData[[Date ]],N8017,RawData[Month List],$Q$6,RawData[Tour/Site],$Q$2,RawData[[Picker ID ]],$Q$3,RawData[Checker ID],$Q$4,RawData[[Error Type ]],$Q$5))</f>
        <v/>
      </c>
    </row>
    <row r="8018" spans="15:15" x14ac:dyDescent="0.25">
      <c r="O8018" s="20" t="str">
        <f>IF(N8018="","",COUNTIFS(RawData[[Date ]],N8018,RawData[Month List],$Q$6,RawData[Tour/Site],$Q$2,RawData[[Picker ID ]],$Q$3,RawData[Checker ID],$Q$4,RawData[[Error Type ]],$Q$5))</f>
        <v/>
      </c>
    </row>
    <row r="8019" spans="15:15" x14ac:dyDescent="0.25">
      <c r="O8019" s="20" t="str">
        <f>IF(N8019="","",COUNTIFS(RawData[[Date ]],N8019,RawData[Month List],$Q$6,RawData[Tour/Site],$Q$2,RawData[[Picker ID ]],$Q$3,RawData[Checker ID],$Q$4,RawData[[Error Type ]],$Q$5))</f>
        <v/>
      </c>
    </row>
    <row r="8020" spans="15:15" x14ac:dyDescent="0.25">
      <c r="O8020" s="20" t="str">
        <f>IF(N8020="","",COUNTIFS(RawData[[Date ]],N8020,RawData[Month List],$Q$6,RawData[Tour/Site],$Q$2,RawData[[Picker ID ]],$Q$3,RawData[Checker ID],$Q$4,RawData[[Error Type ]],$Q$5))</f>
        <v/>
      </c>
    </row>
    <row r="8021" spans="15:15" x14ac:dyDescent="0.25">
      <c r="O8021" s="20" t="str">
        <f>IF(N8021="","",COUNTIFS(RawData[[Date ]],N8021,RawData[Month List],$Q$6,RawData[Tour/Site],$Q$2,RawData[[Picker ID ]],$Q$3,RawData[Checker ID],$Q$4,RawData[[Error Type ]],$Q$5))</f>
        <v/>
      </c>
    </row>
    <row r="8022" spans="15:15" x14ac:dyDescent="0.25">
      <c r="O8022" s="20" t="str">
        <f>IF(N8022="","",COUNTIFS(RawData[[Date ]],N8022,RawData[Month List],$Q$6,RawData[Tour/Site],$Q$2,RawData[[Picker ID ]],$Q$3,RawData[Checker ID],$Q$4,RawData[[Error Type ]],$Q$5))</f>
        <v/>
      </c>
    </row>
    <row r="8023" spans="15:15" x14ac:dyDescent="0.25">
      <c r="O8023" s="20" t="str">
        <f>IF(N8023="","",COUNTIFS(RawData[[Date ]],N8023,RawData[Month List],$Q$6,RawData[Tour/Site],$Q$2,RawData[[Picker ID ]],$Q$3,RawData[Checker ID],$Q$4,RawData[[Error Type ]],$Q$5))</f>
        <v/>
      </c>
    </row>
    <row r="8024" spans="15:15" x14ac:dyDescent="0.25">
      <c r="O8024" s="20" t="str">
        <f>IF(N8024="","",COUNTIFS(RawData[[Date ]],N8024,RawData[Month List],$Q$6,RawData[Tour/Site],$Q$2,RawData[[Picker ID ]],$Q$3,RawData[Checker ID],$Q$4,RawData[[Error Type ]],$Q$5))</f>
        <v/>
      </c>
    </row>
    <row r="8025" spans="15:15" x14ac:dyDescent="0.25">
      <c r="O8025" s="20" t="str">
        <f>IF(N8025="","",COUNTIFS(RawData[[Date ]],N8025,RawData[Month List],$Q$6,RawData[Tour/Site],$Q$2,RawData[[Picker ID ]],$Q$3,RawData[Checker ID],$Q$4,RawData[[Error Type ]],$Q$5))</f>
        <v/>
      </c>
    </row>
    <row r="8026" spans="15:15" x14ac:dyDescent="0.25">
      <c r="O8026" s="20" t="str">
        <f>IF(N8026="","",COUNTIFS(RawData[[Date ]],N8026,RawData[Month List],$Q$6,RawData[Tour/Site],$Q$2,RawData[[Picker ID ]],$Q$3,RawData[Checker ID],$Q$4,RawData[[Error Type ]],$Q$5))</f>
        <v/>
      </c>
    </row>
    <row r="8027" spans="15:15" x14ac:dyDescent="0.25">
      <c r="O8027" s="20" t="str">
        <f>IF(N8027="","",COUNTIFS(RawData[[Date ]],N8027,RawData[Month List],$Q$6,RawData[Tour/Site],$Q$2,RawData[[Picker ID ]],$Q$3,RawData[Checker ID],$Q$4,RawData[[Error Type ]],$Q$5))</f>
        <v/>
      </c>
    </row>
    <row r="8028" spans="15:15" x14ac:dyDescent="0.25">
      <c r="O8028" s="20" t="str">
        <f>IF(N8028="","",COUNTIFS(RawData[[Date ]],N8028,RawData[Month List],$Q$6,RawData[Tour/Site],$Q$2,RawData[[Picker ID ]],$Q$3,RawData[Checker ID],$Q$4,RawData[[Error Type ]],$Q$5))</f>
        <v/>
      </c>
    </row>
    <row r="8029" spans="15:15" x14ac:dyDescent="0.25">
      <c r="O8029" s="20" t="str">
        <f>IF(N8029="","",COUNTIFS(RawData[[Date ]],N8029,RawData[Month List],$Q$6,RawData[Tour/Site],$Q$2,RawData[[Picker ID ]],$Q$3,RawData[Checker ID],$Q$4,RawData[[Error Type ]],$Q$5))</f>
        <v/>
      </c>
    </row>
    <row r="8030" spans="15:15" x14ac:dyDescent="0.25">
      <c r="O8030" s="20" t="str">
        <f>IF(N8030="","",COUNTIFS(RawData[[Date ]],N8030,RawData[Month List],$Q$6,RawData[Tour/Site],$Q$2,RawData[[Picker ID ]],$Q$3,RawData[Checker ID],$Q$4,RawData[[Error Type ]],$Q$5))</f>
        <v/>
      </c>
    </row>
    <row r="8031" spans="15:15" x14ac:dyDescent="0.25">
      <c r="O8031" s="20" t="str">
        <f>IF(N8031="","",COUNTIFS(RawData[[Date ]],N8031,RawData[Month List],$Q$6,RawData[Tour/Site],$Q$2,RawData[[Picker ID ]],$Q$3,RawData[Checker ID],$Q$4,RawData[[Error Type ]],$Q$5))</f>
        <v/>
      </c>
    </row>
    <row r="8032" spans="15:15" x14ac:dyDescent="0.25">
      <c r="O8032" s="20" t="str">
        <f>IF(N8032="","",COUNTIFS(RawData[[Date ]],N8032,RawData[Month List],$Q$6,RawData[Tour/Site],$Q$2,RawData[[Picker ID ]],$Q$3,RawData[Checker ID],$Q$4,RawData[[Error Type ]],$Q$5))</f>
        <v/>
      </c>
    </row>
    <row r="8033" spans="15:15" x14ac:dyDescent="0.25">
      <c r="O8033" s="20" t="str">
        <f>IF(N8033="","",COUNTIFS(RawData[[Date ]],N8033,RawData[Month List],$Q$6,RawData[Tour/Site],$Q$2,RawData[[Picker ID ]],$Q$3,RawData[Checker ID],$Q$4,RawData[[Error Type ]],$Q$5))</f>
        <v/>
      </c>
    </row>
    <row r="8034" spans="15:15" x14ac:dyDescent="0.25">
      <c r="O8034" s="20" t="str">
        <f>IF(N8034="","",COUNTIFS(RawData[[Date ]],N8034,RawData[Month List],$Q$6,RawData[Tour/Site],$Q$2,RawData[[Picker ID ]],$Q$3,RawData[Checker ID],$Q$4,RawData[[Error Type ]],$Q$5))</f>
        <v/>
      </c>
    </row>
    <row r="8035" spans="15:15" x14ac:dyDescent="0.25">
      <c r="O8035" s="20" t="str">
        <f>IF(N8035="","",COUNTIFS(RawData[[Date ]],N8035,RawData[Month List],$Q$6,RawData[Tour/Site],$Q$2,RawData[[Picker ID ]],$Q$3,RawData[Checker ID],$Q$4,RawData[[Error Type ]],$Q$5))</f>
        <v/>
      </c>
    </row>
    <row r="8036" spans="15:15" x14ac:dyDescent="0.25">
      <c r="O8036" s="20" t="str">
        <f>IF(N8036="","",COUNTIFS(RawData[[Date ]],N8036,RawData[Month List],$Q$6,RawData[Tour/Site],$Q$2,RawData[[Picker ID ]],$Q$3,RawData[Checker ID],$Q$4,RawData[[Error Type ]],$Q$5))</f>
        <v/>
      </c>
    </row>
    <row r="8037" spans="15:15" x14ac:dyDescent="0.25">
      <c r="O8037" s="20" t="str">
        <f>IF(N8037="","",COUNTIFS(RawData[[Date ]],N8037,RawData[Month List],$Q$6,RawData[Tour/Site],$Q$2,RawData[[Picker ID ]],$Q$3,RawData[Checker ID],$Q$4,RawData[[Error Type ]],$Q$5))</f>
        <v/>
      </c>
    </row>
    <row r="8038" spans="15:15" x14ac:dyDescent="0.25">
      <c r="O8038" s="20" t="str">
        <f>IF(N8038="","",COUNTIFS(RawData[[Date ]],N8038,RawData[Month List],$Q$6,RawData[Tour/Site],$Q$2,RawData[[Picker ID ]],$Q$3,RawData[Checker ID],$Q$4,RawData[[Error Type ]],$Q$5))</f>
        <v/>
      </c>
    </row>
    <row r="8039" spans="15:15" x14ac:dyDescent="0.25">
      <c r="O8039" s="20" t="str">
        <f>IF(N8039="","",COUNTIFS(RawData[[Date ]],N8039,RawData[Month List],$Q$6,RawData[Tour/Site],$Q$2,RawData[[Picker ID ]],$Q$3,RawData[Checker ID],$Q$4,RawData[[Error Type ]],$Q$5))</f>
        <v/>
      </c>
    </row>
    <row r="8040" spans="15:15" x14ac:dyDescent="0.25">
      <c r="O8040" s="20" t="str">
        <f>IF(N8040="","",COUNTIFS(RawData[[Date ]],N8040,RawData[Month List],$Q$6,RawData[Tour/Site],$Q$2,RawData[[Picker ID ]],$Q$3,RawData[Checker ID],$Q$4,RawData[[Error Type ]],$Q$5))</f>
        <v/>
      </c>
    </row>
    <row r="8041" spans="15:15" x14ac:dyDescent="0.25">
      <c r="O8041" s="20" t="str">
        <f>IF(N8041="","",COUNTIFS(RawData[[Date ]],N8041,RawData[Month List],$Q$6,RawData[Tour/Site],$Q$2,RawData[[Picker ID ]],$Q$3,RawData[Checker ID],$Q$4,RawData[[Error Type ]],$Q$5))</f>
        <v/>
      </c>
    </row>
    <row r="8042" spans="15:15" x14ac:dyDescent="0.25">
      <c r="O8042" s="20" t="str">
        <f>IF(N8042="","",COUNTIFS(RawData[[Date ]],N8042,RawData[Month List],$Q$6,RawData[Tour/Site],$Q$2,RawData[[Picker ID ]],$Q$3,RawData[Checker ID],$Q$4,RawData[[Error Type ]],$Q$5))</f>
        <v/>
      </c>
    </row>
    <row r="8043" spans="15:15" x14ac:dyDescent="0.25">
      <c r="O8043" s="20" t="str">
        <f>IF(N8043="","",COUNTIFS(RawData[[Date ]],N8043,RawData[Month List],$Q$6,RawData[Tour/Site],$Q$2,RawData[[Picker ID ]],$Q$3,RawData[Checker ID],$Q$4,RawData[[Error Type ]],$Q$5))</f>
        <v/>
      </c>
    </row>
    <row r="8044" spans="15:15" x14ac:dyDescent="0.25">
      <c r="O8044" s="20" t="str">
        <f>IF(N8044="","",COUNTIFS(RawData[[Date ]],N8044,RawData[Month List],$Q$6,RawData[Tour/Site],$Q$2,RawData[[Picker ID ]],$Q$3,RawData[Checker ID],$Q$4,RawData[[Error Type ]],$Q$5))</f>
        <v/>
      </c>
    </row>
    <row r="8045" spans="15:15" x14ac:dyDescent="0.25">
      <c r="O8045" s="20" t="str">
        <f>IF(N8045="","",COUNTIFS(RawData[[Date ]],N8045,RawData[Month List],$Q$6,RawData[Tour/Site],$Q$2,RawData[[Picker ID ]],$Q$3,RawData[Checker ID],$Q$4,RawData[[Error Type ]],$Q$5))</f>
        <v/>
      </c>
    </row>
    <row r="8046" spans="15:15" x14ac:dyDescent="0.25">
      <c r="O8046" s="20" t="str">
        <f>IF(N8046="","",COUNTIFS(RawData[[Date ]],N8046,RawData[Month List],$Q$6,RawData[Tour/Site],$Q$2,RawData[[Picker ID ]],$Q$3,RawData[Checker ID],$Q$4,RawData[[Error Type ]],$Q$5))</f>
        <v/>
      </c>
    </row>
    <row r="8047" spans="15:15" x14ac:dyDescent="0.25">
      <c r="O8047" s="20" t="str">
        <f>IF(N8047="","",COUNTIFS(RawData[[Date ]],N8047,RawData[Month List],$Q$6,RawData[Tour/Site],$Q$2,RawData[[Picker ID ]],$Q$3,RawData[Checker ID],$Q$4,RawData[[Error Type ]],$Q$5))</f>
        <v/>
      </c>
    </row>
    <row r="8048" spans="15:15" x14ac:dyDescent="0.25">
      <c r="O8048" s="20" t="str">
        <f>IF(N8048="","",COUNTIFS(RawData[[Date ]],N8048,RawData[Month List],$Q$6,RawData[Tour/Site],$Q$2,RawData[[Picker ID ]],$Q$3,RawData[Checker ID],$Q$4,RawData[[Error Type ]],$Q$5))</f>
        <v/>
      </c>
    </row>
    <row r="8049" spans="15:15" x14ac:dyDescent="0.25">
      <c r="O8049" s="20" t="str">
        <f>IF(N8049="","",COUNTIFS(RawData[[Date ]],N8049,RawData[Month List],$Q$6,RawData[Tour/Site],$Q$2,RawData[[Picker ID ]],$Q$3,RawData[Checker ID],$Q$4,RawData[[Error Type ]],$Q$5))</f>
        <v/>
      </c>
    </row>
    <row r="8050" spans="15:15" x14ac:dyDescent="0.25">
      <c r="O8050" s="20" t="str">
        <f>IF(N8050="","",COUNTIFS(RawData[[Date ]],N8050,RawData[Month List],$Q$6,RawData[Tour/Site],$Q$2,RawData[[Picker ID ]],$Q$3,RawData[Checker ID],$Q$4,RawData[[Error Type ]],$Q$5))</f>
        <v/>
      </c>
    </row>
    <row r="8051" spans="15:15" x14ac:dyDescent="0.25">
      <c r="O8051" s="20" t="str">
        <f>IF(N8051="","",COUNTIFS(RawData[[Date ]],N8051,RawData[Month List],$Q$6,RawData[Tour/Site],$Q$2,RawData[[Picker ID ]],$Q$3,RawData[Checker ID],$Q$4,RawData[[Error Type ]],$Q$5))</f>
        <v/>
      </c>
    </row>
    <row r="8052" spans="15:15" x14ac:dyDescent="0.25">
      <c r="O8052" s="20" t="str">
        <f>IF(N8052="","",COUNTIFS(RawData[[Date ]],N8052,RawData[Month List],$Q$6,RawData[Tour/Site],$Q$2,RawData[[Picker ID ]],$Q$3,RawData[Checker ID],$Q$4,RawData[[Error Type ]],$Q$5))</f>
        <v/>
      </c>
    </row>
    <row r="8053" spans="15:15" x14ac:dyDescent="0.25">
      <c r="O8053" s="20" t="str">
        <f>IF(N8053="","",COUNTIFS(RawData[[Date ]],N8053,RawData[Month List],$Q$6,RawData[Tour/Site],$Q$2,RawData[[Picker ID ]],$Q$3,RawData[Checker ID],$Q$4,RawData[[Error Type ]],$Q$5))</f>
        <v/>
      </c>
    </row>
    <row r="8054" spans="15:15" x14ac:dyDescent="0.25">
      <c r="O8054" s="20" t="str">
        <f>IF(N8054="","",COUNTIFS(RawData[[Date ]],N8054,RawData[Month List],$Q$6,RawData[Tour/Site],$Q$2,RawData[[Picker ID ]],$Q$3,RawData[Checker ID],$Q$4,RawData[[Error Type ]],$Q$5))</f>
        <v/>
      </c>
    </row>
    <row r="8055" spans="15:15" x14ac:dyDescent="0.25">
      <c r="O8055" s="20" t="str">
        <f>IF(N8055="","",COUNTIFS(RawData[[Date ]],N8055,RawData[Month List],$Q$6,RawData[Tour/Site],$Q$2,RawData[[Picker ID ]],$Q$3,RawData[Checker ID],$Q$4,RawData[[Error Type ]],$Q$5))</f>
        <v/>
      </c>
    </row>
    <row r="8056" spans="15:15" x14ac:dyDescent="0.25">
      <c r="O8056" s="20" t="str">
        <f>IF(N8056="","",COUNTIFS(RawData[[Date ]],N8056,RawData[Month List],$Q$6,RawData[Tour/Site],$Q$2,RawData[[Picker ID ]],$Q$3,RawData[Checker ID],$Q$4,RawData[[Error Type ]],$Q$5))</f>
        <v/>
      </c>
    </row>
    <row r="8057" spans="15:15" x14ac:dyDescent="0.25">
      <c r="O8057" s="20" t="str">
        <f>IF(N8057="","",COUNTIFS(RawData[[Date ]],N8057,RawData[Month List],$Q$6,RawData[Tour/Site],$Q$2,RawData[[Picker ID ]],$Q$3,RawData[Checker ID],$Q$4,RawData[[Error Type ]],$Q$5))</f>
        <v/>
      </c>
    </row>
    <row r="8058" spans="15:15" x14ac:dyDescent="0.25">
      <c r="O8058" s="20" t="str">
        <f>IF(N8058="","",COUNTIFS(RawData[[Date ]],N8058,RawData[Month List],$Q$6,RawData[Tour/Site],$Q$2,RawData[[Picker ID ]],$Q$3,RawData[Checker ID],$Q$4,RawData[[Error Type ]],$Q$5))</f>
        <v/>
      </c>
    </row>
    <row r="8059" spans="15:15" x14ac:dyDescent="0.25">
      <c r="O8059" s="20" t="str">
        <f>IF(N8059="","",COUNTIFS(RawData[[Date ]],N8059,RawData[Month List],$Q$6,RawData[Tour/Site],$Q$2,RawData[[Picker ID ]],$Q$3,RawData[Checker ID],$Q$4,RawData[[Error Type ]],$Q$5))</f>
        <v/>
      </c>
    </row>
    <row r="8060" spans="15:15" x14ac:dyDescent="0.25">
      <c r="O8060" s="20" t="str">
        <f>IF(N8060="","",COUNTIFS(RawData[[Date ]],N8060,RawData[Month List],$Q$6,RawData[Tour/Site],$Q$2,RawData[[Picker ID ]],$Q$3,RawData[Checker ID],$Q$4,RawData[[Error Type ]],$Q$5))</f>
        <v/>
      </c>
    </row>
    <row r="8061" spans="15:15" x14ac:dyDescent="0.25">
      <c r="O8061" s="20" t="str">
        <f>IF(N8061="","",COUNTIFS(RawData[[Date ]],N8061,RawData[Month List],$Q$6,RawData[Tour/Site],$Q$2,RawData[[Picker ID ]],$Q$3,RawData[Checker ID],$Q$4,RawData[[Error Type ]],$Q$5))</f>
        <v/>
      </c>
    </row>
    <row r="8062" spans="15:15" x14ac:dyDescent="0.25">
      <c r="O8062" s="20" t="str">
        <f>IF(N8062="","",COUNTIFS(RawData[[Date ]],N8062,RawData[Month List],$Q$6,RawData[Tour/Site],$Q$2,RawData[[Picker ID ]],$Q$3,RawData[Checker ID],$Q$4,RawData[[Error Type ]],$Q$5))</f>
        <v/>
      </c>
    </row>
    <row r="8063" spans="15:15" x14ac:dyDescent="0.25">
      <c r="O8063" s="20" t="str">
        <f>IF(N8063="","",COUNTIFS(RawData[[Date ]],N8063,RawData[Month List],$Q$6,RawData[Tour/Site],$Q$2,RawData[[Picker ID ]],$Q$3,RawData[Checker ID],$Q$4,RawData[[Error Type ]],$Q$5))</f>
        <v/>
      </c>
    </row>
    <row r="8064" spans="15:15" x14ac:dyDescent="0.25">
      <c r="O8064" s="20" t="str">
        <f>IF(N8064="","",COUNTIFS(RawData[[Date ]],N8064,RawData[Month List],$Q$6,RawData[Tour/Site],$Q$2,RawData[[Picker ID ]],$Q$3,RawData[Checker ID],$Q$4,RawData[[Error Type ]],$Q$5))</f>
        <v/>
      </c>
    </row>
    <row r="8065" spans="15:15" x14ac:dyDescent="0.25">
      <c r="O8065" s="20" t="str">
        <f>IF(N8065="","",COUNTIFS(RawData[[Date ]],N8065,RawData[Month List],$Q$6,RawData[Tour/Site],$Q$2,RawData[[Picker ID ]],$Q$3,RawData[Checker ID],$Q$4,RawData[[Error Type ]],$Q$5))</f>
        <v/>
      </c>
    </row>
    <row r="8066" spans="15:15" x14ac:dyDescent="0.25">
      <c r="O8066" s="20" t="str">
        <f>IF(N8066="","",COUNTIFS(RawData[[Date ]],N8066,RawData[Month List],$Q$6,RawData[Tour/Site],$Q$2,RawData[[Picker ID ]],$Q$3,RawData[Checker ID],$Q$4,RawData[[Error Type ]],$Q$5))</f>
        <v/>
      </c>
    </row>
    <row r="8067" spans="15:15" x14ac:dyDescent="0.25">
      <c r="O8067" s="20" t="str">
        <f>IF(N8067="","",COUNTIFS(RawData[[Date ]],N8067,RawData[Month List],$Q$6,RawData[Tour/Site],$Q$2,RawData[[Picker ID ]],$Q$3,RawData[Checker ID],$Q$4,RawData[[Error Type ]],$Q$5))</f>
        <v/>
      </c>
    </row>
    <row r="8068" spans="15:15" x14ac:dyDescent="0.25">
      <c r="O8068" s="20" t="str">
        <f>IF(N8068="","",COUNTIFS(RawData[[Date ]],N8068,RawData[Month List],$Q$6,RawData[Tour/Site],$Q$2,RawData[[Picker ID ]],$Q$3,RawData[Checker ID],$Q$4,RawData[[Error Type ]],$Q$5))</f>
        <v/>
      </c>
    </row>
    <row r="8069" spans="15:15" x14ac:dyDescent="0.25">
      <c r="O8069" s="20" t="str">
        <f>IF(N8069="","",COUNTIFS(RawData[[Date ]],N8069,RawData[Month List],$Q$6,RawData[Tour/Site],$Q$2,RawData[[Picker ID ]],$Q$3,RawData[Checker ID],$Q$4,RawData[[Error Type ]],$Q$5))</f>
        <v/>
      </c>
    </row>
    <row r="8070" spans="15:15" x14ac:dyDescent="0.25">
      <c r="O8070" s="20" t="str">
        <f>IF(N8070="","",COUNTIFS(RawData[[Date ]],N8070,RawData[Month List],$Q$6,RawData[Tour/Site],$Q$2,RawData[[Picker ID ]],$Q$3,RawData[Checker ID],$Q$4,RawData[[Error Type ]],$Q$5))</f>
        <v/>
      </c>
    </row>
    <row r="8071" spans="15:15" x14ac:dyDescent="0.25">
      <c r="O8071" s="20" t="str">
        <f>IF(N8071="","",COUNTIFS(RawData[[Date ]],N8071,RawData[Month List],$Q$6,RawData[Tour/Site],$Q$2,RawData[[Picker ID ]],$Q$3,RawData[Checker ID],$Q$4,RawData[[Error Type ]],$Q$5))</f>
        <v/>
      </c>
    </row>
    <row r="8072" spans="15:15" x14ac:dyDescent="0.25">
      <c r="O8072" s="20" t="str">
        <f>IF(N8072="","",COUNTIFS(RawData[[Date ]],N8072,RawData[Month List],$Q$6,RawData[Tour/Site],$Q$2,RawData[[Picker ID ]],$Q$3,RawData[Checker ID],$Q$4,RawData[[Error Type ]],$Q$5))</f>
        <v/>
      </c>
    </row>
    <row r="8073" spans="15:15" x14ac:dyDescent="0.25">
      <c r="O8073" s="20" t="str">
        <f>IF(N8073="","",COUNTIFS(RawData[[Date ]],N8073,RawData[Month List],$Q$6,RawData[Tour/Site],$Q$2,RawData[[Picker ID ]],$Q$3,RawData[Checker ID],$Q$4,RawData[[Error Type ]],$Q$5))</f>
        <v/>
      </c>
    </row>
    <row r="8074" spans="15:15" x14ac:dyDescent="0.25">
      <c r="O8074" s="20" t="str">
        <f>IF(N8074="","",COUNTIFS(RawData[[Date ]],N8074,RawData[Month List],$Q$6,RawData[Tour/Site],$Q$2,RawData[[Picker ID ]],$Q$3,RawData[Checker ID],$Q$4,RawData[[Error Type ]],$Q$5))</f>
        <v/>
      </c>
    </row>
    <row r="8075" spans="15:15" x14ac:dyDescent="0.25">
      <c r="O8075" s="20" t="str">
        <f>IF(N8075="","",COUNTIFS(RawData[[Date ]],N8075,RawData[Month List],$Q$6,RawData[Tour/Site],$Q$2,RawData[[Picker ID ]],$Q$3,RawData[Checker ID],$Q$4,RawData[[Error Type ]],$Q$5))</f>
        <v/>
      </c>
    </row>
    <row r="8076" spans="15:15" x14ac:dyDescent="0.25">
      <c r="O8076" s="20" t="str">
        <f>IF(N8076="","",COUNTIFS(RawData[[Date ]],N8076,RawData[Month List],$Q$6,RawData[Tour/Site],$Q$2,RawData[[Picker ID ]],$Q$3,RawData[Checker ID],$Q$4,RawData[[Error Type ]],$Q$5))</f>
        <v/>
      </c>
    </row>
    <row r="8077" spans="15:15" x14ac:dyDescent="0.25">
      <c r="O8077" s="20" t="str">
        <f>IF(N8077="","",COUNTIFS(RawData[[Date ]],N8077,RawData[Month List],$Q$6,RawData[Tour/Site],$Q$2,RawData[[Picker ID ]],$Q$3,RawData[Checker ID],$Q$4,RawData[[Error Type ]],$Q$5))</f>
        <v/>
      </c>
    </row>
    <row r="8078" spans="15:15" x14ac:dyDescent="0.25">
      <c r="O8078" s="20" t="str">
        <f>IF(N8078="","",COUNTIFS(RawData[[Date ]],N8078,RawData[Month List],$Q$6,RawData[Tour/Site],$Q$2,RawData[[Picker ID ]],$Q$3,RawData[Checker ID],$Q$4,RawData[[Error Type ]],$Q$5))</f>
        <v/>
      </c>
    </row>
    <row r="8079" spans="15:15" x14ac:dyDescent="0.25">
      <c r="O8079" s="20" t="str">
        <f>IF(N8079="","",COUNTIFS(RawData[[Date ]],N8079,RawData[Month List],$Q$6,RawData[Tour/Site],$Q$2,RawData[[Picker ID ]],$Q$3,RawData[Checker ID],$Q$4,RawData[[Error Type ]],$Q$5))</f>
        <v/>
      </c>
    </row>
    <row r="8080" spans="15:15" x14ac:dyDescent="0.25">
      <c r="O8080" s="20" t="str">
        <f>IF(N8080="","",COUNTIFS(RawData[[Date ]],N8080,RawData[Month List],$Q$6,RawData[Tour/Site],$Q$2,RawData[[Picker ID ]],$Q$3,RawData[Checker ID],$Q$4,RawData[[Error Type ]],$Q$5))</f>
        <v/>
      </c>
    </row>
    <row r="8081" spans="15:15" x14ac:dyDescent="0.25">
      <c r="O8081" s="20" t="str">
        <f>IF(N8081="","",COUNTIFS(RawData[[Date ]],N8081,RawData[Month List],$Q$6,RawData[Tour/Site],$Q$2,RawData[[Picker ID ]],$Q$3,RawData[Checker ID],$Q$4,RawData[[Error Type ]],$Q$5))</f>
        <v/>
      </c>
    </row>
    <row r="8082" spans="15:15" x14ac:dyDescent="0.25">
      <c r="O8082" s="20" t="str">
        <f>IF(N8082="","",COUNTIFS(RawData[[Date ]],N8082,RawData[Month List],$Q$6,RawData[Tour/Site],$Q$2,RawData[[Picker ID ]],$Q$3,RawData[Checker ID],$Q$4,RawData[[Error Type ]],$Q$5))</f>
        <v/>
      </c>
    </row>
    <row r="8083" spans="15:15" x14ac:dyDescent="0.25">
      <c r="O8083" s="20" t="str">
        <f>IF(N8083="","",COUNTIFS(RawData[[Date ]],N8083,RawData[Month List],$Q$6,RawData[Tour/Site],$Q$2,RawData[[Picker ID ]],$Q$3,RawData[Checker ID],$Q$4,RawData[[Error Type ]],$Q$5))</f>
        <v/>
      </c>
    </row>
    <row r="8084" spans="15:15" x14ac:dyDescent="0.25">
      <c r="O8084" s="20" t="str">
        <f>IF(N8084="","",COUNTIFS(RawData[[Date ]],N8084,RawData[Month List],$Q$6,RawData[Tour/Site],$Q$2,RawData[[Picker ID ]],$Q$3,RawData[Checker ID],$Q$4,RawData[[Error Type ]],$Q$5))</f>
        <v/>
      </c>
    </row>
    <row r="8085" spans="15:15" x14ac:dyDescent="0.25">
      <c r="O8085" s="20" t="str">
        <f>IF(N8085="","",COUNTIFS(RawData[[Date ]],N8085,RawData[Month List],$Q$6,RawData[Tour/Site],$Q$2,RawData[[Picker ID ]],$Q$3,RawData[Checker ID],$Q$4,RawData[[Error Type ]],$Q$5))</f>
        <v/>
      </c>
    </row>
    <row r="8086" spans="15:15" x14ac:dyDescent="0.25">
      <c r="O8086" s="20" t="str">
        <f>IF(N8086="","",COUNTIFS(RawData[[Date ]],N8086,RawData[Month List],$Q$6,RawData[Tour/Site],$Q$2,RawData[[Picker ID ]],$Q$3,RawData[Checker ID],$Q$4,RawData[[Error Type ]],$Q$5))</f>
        <v/>
      </c>
    </row>
    <row r="8087" spans="15:15" x14ac:dyDescent="0.25">
      <c r="O8087" s="20" t="str">
        <f>IF(N8087="","",COUNTIFS(RawData[[Date ]],N8087,RawData[Month List],$Q$6,RawData[Tour/Site],$Q$2,RawData[[Picker ID ]],$Q$3,RawData[Checker ID],$Q$4,RawData[[Error Type ]],$Q$5))</f>
        <v/>
      </c>
    </row>
    <row r="8088" spans="15:15" x14ac:dyDescent="0.25">
      <c r="O8088" s="20" t="str">
        <f>IF(N8088="","",COUNTIFS(RawData[[Date ]],N8088,RawData[Month List],$Q$6,RawData[Tour/Site],$Q$2,RawData[[Picker ID ]],$Q$3,RawData[Checker ID],$Q$4,RawData[[Error Type ]],$Q$5))</f>
        <v/>
      </c>
    </row>
    <row r="8089" spans="15:15" x14ac:dyDescent="0.25">
      <c r="O8089" s="20" t="str">
        <f>IF(N8089="","",COUNTIFS(RawData[[Date ]],N8089,RawData[Month List],$Q$6,RawData[Tour/Site],$Q$2,RawData[[Picker ID ]],$Q$3,RawData[Checker ID],$Q$4,RawData[[Error Type ]],$Q$5))</f>
        <v/>
      </c>
    </row>
    <row r="8090" spans="15:15" x14ac:dyDescent="0.25">
      <c r="O8090" s="20" t="str">
        <f>IF(N8090="","",COUNTIFS(RawData[[Date ]],N8090,RawData[Month List],$Q$6,RawData[Tour/Site],$Q$2,RawData[[Picker ID ]],$Q$3,RawData[Checker ID],$Q$4,RawData[[Error Type ]],$Q$5))</f>
        <v/>
      </c>
    </row>
    <row r="8091" spans="15:15" x14ac:dyDescent="0.25">
      <c r="O8091" s="20" t="str">
        <f>IF(N8091="","",COUNTIFS(RawData[[Date ]],N8091,RawData[Month List],$Q$6,RawData[Tour/Site],$Q$2,RawData[[Picker ID ]],$Q$3,RawData[Checker ID],$Q$4,RawData[[Error Type ]],$Q$5))</f>
        <v/>
      </c>
    </row>
    <row r="8092" spans="15:15" x14ac:dyDescent="0.25">
      <c r="O8092" s="20" t="str">
        <f>IF(N8092="","",COUNTIFS(RawData[[Date ]],N8092,RawData[Month List],$Q$6,RawData[Tour/Site],$Q$2,RawData[[Picker ID ]],$Q$3,RawData[Checker ID],$Q$4,RawData[[Error Type ]],$Q$5))</f>
        <v/>
      </c>
    </row>
    <row r="8093" spans="15:15" x14ac:dyDescent="0.25">
      <c r="O8093" s="20" t="str">
        <f>IF(N8093="","",COUNTIFS(RawData[[Date ]],N8093,RawData[Month List],$Q$6,RawData[Tour/Site],$Q$2,RawData[[Picker ID ]],$Q$3,RawData[Checker ID],$Q$4,RawData[[Error Type ]],$Q$5))</f>
        <v/>
      </c>
    </row>
    <row r="8094" spans="15:15" x14ac:dyDescent="0.25">
      <c r="O8094" s="20" t="str">
        <f>IF(N8094="","",COUNTIFS(RawData[[Date ]],N8094,RawData[Month List],$Q$6,RawData[Tour/Site],$Q$2,RawData[[Picker ID ]],$Q$3,RawData[Checker ID],$Q$4,RawData[[Error Type ]],$Q$5))</f>
        <v/>
      </c>
    </row>
    <row r="8095" spans="15:15" x14ac:dyDescent="0.25">
      <c r="O8095" s="20" t="str">
        <f>IF(N8095="","",COUNTIFS(RawData[[Date ]],N8095,RawData[Month List],$Q$6,RawData[Tour/Site],$Q$2,RawData[[Picker ID ]],$Q$3,RawData[Checker ID],$Q$4,RawData[[Error Type ]],$Q$5))</f>
        <v/>
      </c>
    </row>
    <row r="8096" spans="15:15" x14ac:dyDescent="0.25">
      <c r="O8096" s="20" t="str">
        <f>IF(N8096="","",COUNTIFS(RawData[[Date ]],N8096,RawData[Month List],$Q$6,RawData[Tour/Site],$Q$2,RawData[[Picker ID ]],$Q$3,RawData[Checker ID],$Q$4,RawData[[Error Type ]],$Q$5))</f>
        <v/>
      </c>
    </row>
    <row r="8097" spans="15:15" x14ac:dyDescent="0.25">
      <c r="O8097" s="20" t="str">
        <f>IF(N8097="","",COUNTIFS(RawData[[Date ]],N8097,RawData[Month List],$Q$6,RawData[Tour/Site],$Q$2,RawData[[Picker ID ]],$Q$3,RawData[Checker ID],$Q$4,RawData[[Error Type ]],$Q$5))</f>
        <v/>
      </c>
    </row>
    <row r="8098" spans="15:15" x14ac:dyDescent="0.25">
      <c r="O8098" s="20" t="str">
        <f>IF(N8098="","",COUNTIFS(RawData[[Date ]],N8098,RawData[Month List],$Q$6,RawData[Tour/Site],$Q$2,RawData[[Picker ID ]],$Q$3,RawData[Checker ID],$Q$4,RawData[[Error Type ]],$Q$5))</f>
        <v/>
      </c>
    </row>
    <row r="8099" spans="15:15" x14ac:dyDescent="0.25">
      <c r="O8099" s="20" t="str">
        <f>IF(N8099="","",COUNTIFS(RawData[[Date ]],N8099,RawData[Month List],$Q$6,RawData[Tour/Site],$Q$2,RawData[[Picker ID ]],$Q$3,RawData[Checker ID],$Q$4,RawData[[Error Type ]],$Q$5))</f>
        <v/>
      </c>
    </row>
    <row r="8100" spans="15:15" x14ac:dyDescent="0.25">
      <c r="O8100" s="20" t="str">
        <f>IF(N8100="","",COUNTIFS(RawData[[Date ]],N8100,RawData[Month List],$Q$6,RawData[Tour/Site],$Q$2,RawData[[Picker ID ]],$Q$3,RawData[Checker ID],$Q$4,RawData[[Error Type ]],$Q$5))</f>
        <v/>
      </c>
    </row>
    <row r="8101" spans="15:15" x14ac:dyDescent="0.25">
      <c r="O8101" s="20" t="str">
        <f>IF(N8101="","",COUNTIFS(RawData[[Date ]],N8101,RawData[Month List],$Q$6,RawData[Tour/Site],$Q$2,RawData[[Picker ID ]],$Q$3,RawData[Checker ID],$Q$4,RawData[[Error Type ]],$Q$5))</f>
        <v/>
      </c>
    </row>
    <row r="8102" spans="15:15" x14ac:dyDescent="0.25">
      <c r="O8102" s="20" t="str">
        <f>IF(N8102="","",COUNTIFS(RawData[[Date ]],N8102,RawData[Month List],$Q$6,RawData[Tour/Site],$Q$2,RawData[[Picker ID ]],$Q$3,RawData[Checker ID],$Q$4,RawData[[Error Type ]],$Q$5))</f>
        <v/>
      </c>
    </row>
    <row r="8103" spans="15:15" x14ac:dyDescent="0.25">
      <c r="O8103" s="20" t="str">
        <f>IF(N8103="","",COUNTIFS(RawData[[Date ]],N8103,RawData[Month List],$Q$6,RawData[Tour/Site],$Q$2,RawData[[Picker ID ]],$Q$3,RawData[Checker ID],$Q$4,RawData[[Error Type ]],$Q$5))</f>
        <v/>
      </c>
    </row>
    <row r="8104" spans="15:15" x14ac:dyDescent="0.25">
      <c r="O8104" s="20" t="str">
        <f>IF(N8104="","",COUNTIFS(RawData[[Date ]],N8104,RawData[Month List],$Q$6,RawData[Tour/Site],$Q$2,RawData[[Picker ID ]],$Q$3,RawData[Checker ID],$Q$4,RawData[[Error Type ]],$Q$5))</f>
        <v/>
      </c>
    </row>
    <row r="8105" spans="15:15" x14ac:dyDescent="0.25">
      <c r="O8105" s="20" t="str">
        <f>IF(N8105="","",COUNTIFS(RawData[[Date ]],N8105,RawData[Month List],$Q$6,RawData[Tour/Site],$Q$2,RawData[[Picker ID ]],$Q$3,RawData[Checker ID],$Q$4,RawData[[Error Type ]],$Q$5))</f>
        <v/>
      </c>
    </row>
    <row r="8106" spans="15:15" x14ac:dyDescent="0.25">
      <c r="O8106" s="20" t="str">
        <f>IF(N8106="","",COUNTIFS(RawData[[Date ]],N8106,RawData[Month List],$Q$6,RawData[Tour/Site],$Q$2,RawData[[Picker ID ]],$Q$3,RawData[Checker ID],$Q$4,RawData[[Error Type ]],$Q$5))</f>
        <v/>
      </c>
    </row>
    <row r="8107" spans="15:15" x14ac:dyDescent="0.25">
      <c r="O8107" s="20" t="str">
        <f>IF(N8107="","",COUNTIFS(RawData[[Date ]],N8107,RawData[Month List],$Q$6,RawData[Tour/Site],$Q$2,RawData[[Picker ID ]],$Q$3,RawData[Checker ID],$Q$4,RawData[[Error Type ]],$Q$5))</f>
        <v/>
      </c>
    </row>
    <row r="8108" spans="15:15" x14ac:dyDescent="0.25">
      <c r="O8108" s="20" t="str">
        <f>IF(N8108="","",COUNTIFS(RawData[[Date ]],N8108,RawData[Month List],$Q$6,RawData[Tour/Site],$Q$2,RawData[[Picker ID ]],$Q$3,RawData[Checker ID],$Q$4,RawData[[Error Type ]],$Q$5))</f>
        <v/>
      </c>
    </row>
    <row r="8109" spans="15:15" x14ac:dyDescent="0.25">
      <c r="O8109" s="20" t="str">
        <f>IF(N8109="","",COUNTIFS(RawData[[Date ]],N8109,RawData[Month List],$Q$6,RawData[Tour/Site],$Q$2,RawData[[Picker ID ]],$Q$3,RawData[Checker ID],$Q$4,RawData[[Error Type ]],$Q$5))</f>
        <v/>
      </c>
    </row>
    <row r="8110" spans="15:15" x14ac:dyDescent="0.25">
      <c r="O8110" s="20" t="str">
        <f>IF(N8110="","",COUNTIFS(RawData[[Date ]],N8110,RawData[Month List],$Q$6,RawData[Tour/Site],$Q$2,RawData[[Picker ID ]],$Q$3,RawData[Checker ID],$Q$4,RawData[[Error Type ]],$Q$5))</f>
        <v/>
      </c>
    </row>
    <row r="8111" spans="15:15" x14ac:dyDescent="0.25">
      <c r="O8111" s="20" t="str">
        <f>IF(N8111="","",COUNTIFS(RawData[[Date ]],N8111,RawData[Month List],$Q$6,RawData[Tour/Site],$Q$2,RawData[[Picker ID ]],$Q$3,RawData[Checker ID],$Q$4,RawData[[Error Type ]],$Q$5))</f>
        <v/>
      </c>
    </row>
    <row r="8112" spans="15:15" x14ac:dyDescent="0.25">
      <c r="O8112" s="20" t="str">
        <f>IF(N8112="","",COUNTIFS(RawData[[Date ]],N8112,RawData[Month List],$Q$6,RawData[Tour/Site],$Q$2,RawData[[Picker ID ]],$Q$3,RawData[Checker ID],$Q$4,RawData[[Error Type ]],$Q$5))</f>
        <v/>
      </c>
    </row>
    <row r="8113" spans="15:15" x14ac:dyDescent="0.25">
      <c r="O8113" s="20" t="str">
        <f>IF(N8113="","",COUNTIFS(RawData[[Date ]],N8113,RawData[Month List],$Q$6,RawData[Tour/Site],$Q$2,RawData[[Picker ID ]],$Q$3,RawData[Checker ID],$Q$4,RawData[[Error Type ]],$Q$5))</f>
        <v/>
      </c>
    </row>
    <row r="8114" spans="15:15" x14ac:dyDescent="0.25">
      <c r="O8114" s="20" t="str">
        <f>IF(N8114="","",COUNTIFS(RawData[[Date ]],N8114,RawData[Month List],$Q$6,RawData[Tour/Site],$Q$2,RawData[[Picker ID ]],$Q$3,RawData[Checker ID],$Q$4,RawData[[Error Type ]],$Q$5))</f>
        <v/>
      </c>
    </row>
    <row r="8115" spans="15:15" x14ac:dyDescent="0.25">
      <c r="O8115" s="20" t="str">
        <f>IF(N8115="","",COUNTIFS(RawData[[Date ]],N8115,RawData[Month List],$Q$6,RawData[Tour/Site],$Q$2,RawData[[Picker ID ]],$Q$3,RawData[Checker ID],$Q$4,RawData[[Error Type ]],$Q$5))</f>
        <v/>
      </c>
    </row>
    <row r="8116" spans="15:15" x14ac:dyDescent="0.25">
      <c r="O8116" s="20" t="str">
        <f>IF(N8116="","",COUNTIFS(RawData[[Date ]],N8116,RawData[Month List],$Q$6,RawData[Tour/Site],$Q$2,RawData[[Picker ID ]],$Q$3,RawData[Checker ID],$Q$4,RawData[[Error Type ]],$Q$5))</f>
        <v/>
      </c>
    </row>
    <row r="8117" spans="15:15" x14ac:dyDescent="0.25">
      <c r="O8117" s="20" t="str">
        <f>IF(N8117="","",COUNTIFS(RawData[[Date ]],N8117,RawData[Month List],$Q$6,RawData[Tour/Site],$Q$2,RawData[[Picker ID ]],$Q$3,RawData[Checker ID],$Q$4,RawData[[Error Type ]],$Q$5))</f>
        <v/>
      </c>
    </row>
    <row r="8118" spans="15:15" x14ac:dyDescent="0.25">
      <c r="O8118" s="20" t="str">
        <f>IF(N8118="","",COUNTIFS(RawData[[Date ]],N8118,RawData[Month List],$Q$6,RawData[Tour/Site],$Q$2,RawData[[Picker ID ]],$Q$3,RawData[Checker ID],$Q$4,RawData[[Error Type ]],$Q$5))</f>
        <v/>
      </c>
    </row>
    <row r="8119" spans="15:15" x14ac:dyDescent="0.25">
      <c r="O8119" s="20" t="str">
        <f>IF(N8119="","",COUNTIFS(RawData[[Date ]],N8119,RawData[Month List],$Q$6,RawData[Tour/Site],$Q$2,RawData[[Picker ID ]],$Q$3,RawData[Checker ID],$Q$4,RawData[[Error Type ]],$Q$5))</f>
        <v/>
      </c>
    </row>
    <row r="8120" spans="15:15" x14ac:dyDescent="0.25">
      <c r="O8120" s="20" t="str">
        <f>IF(N8120="","",COUNTIFS(RawData[[Date ]],N8120,RawData[Month List],$Q$6,RawData[Tour/Site],$Q$2,RawData[[Picker ID ]],$Q$3,RawData[Checker ID],$Q$4,RawData[[Error Type ]],$Q$5))</f>
        <v/>
      </c>
    </row>
    <row r="8121" spans="15:15" x14ac:dyDescent="0.25">
      <c r="O8121" s="20" t="str">
        <f>IF(N8121="","",COUNTIFS(RawData[[Date ]],N8121,RawData[Month List],$Q$6,RawData[Tour/Site],$Q$2,RawData[[Picker ID ]],$Q$3,RawData[Checker ID],$Q$4,RawData[[Error Type ]],$Q$5))</f>
        <v/>
      </c>
    </row>
    <row r="8122" spans="15:15" x14ac:dyDescent="0.25">
      <c r="O8122" s="20" t="str">
        <f>IF(N8122="","",COUNTIFS(RawData[[Date ]],N8122,RawData[Month List],$Q$6,RawData[Tour/Site],$Q$2,RawData[[Picker ID ]],$Q$3,RawData[Checker ID],$Q$4,RawData[[Error Type ]],$Q$5))</f>
        <v/>
      </c>
    </row>
    <row r="8123" spans="15:15" x14ac:dyDescent="0.25">
      <c r="O8123" s="20" t="str">
        <f>IF(N8123="","",COUNTIFS(RawData[[Date ]],N8123,RawData[Month List],$Q$6,RawData[Tour/Site],$Q$2,RawData[[Picker ID ]],$Q$3,RawData[Checker ID],$Q$4,RawData[[Error Type ]],$Q$5))</f>
        <v/>
      </c>
    </row>
    <row r="8124" spans="15:15" x14ac:dyDescent="0.25">
      <c r="O8124" s="20" t="str">
        <f>IF(N8124="","",COUNTIFS(RawData[[Date ]],N8124,RawData[Month List],$Q$6,RawData[Tour/Site],$Q$2,RawData[[Picker ID ]],$Q$3,RawData[Checker ID],$Q$4,RawData[[Error Type ]],$Q$5))</f>
        <v/>
      </c>
    </row>
    <row r="8125" spans="15:15" x14ac:dyDescent="0.25">
      <c r="O8125" s="20" t="str">
        <f>IF(N8125="","",COUNTIFS(RawData[[Date ]],N8125,RawData[Month List],$Q$6,RawData[Tour/Site],$Q$2,RawData[[Picker ID ]],$Q$3,RawData[Checker ID],$Q$4,RawData[[Error Type ]],$Q$5))</f>
        <v/>
      </c>
    </row>
    <row r="8126" spans="15:15" x14ac:dyDescent="0.25">
      <c r="O8126" s="20" t="str">
        <f>IF(N8126="","",COUNTIFS(RawData[[Date ]],N8126,RawData[Month List],$Q$6,RawData[Tour/Site],$Q$2,RawData[[Picker ID ]],$Q$3,RawData[Checker ID],$Q$4,RawData[[Error Type ]],$Q$5))</f>
        <v/>
      </c>
    </row>
    <row r="8127" spans="15:15" x14ac:dyDescent="0.25">
      <c r="O8127" s="20" t="str">
        <f>IF(N8127="","",COUNTIFS(RawData[[Date ]],N8127,RawData[Month List],$Q$6,RawData[Tour/Site],$Q$2,RawData[[Picker ID ]],$Q$3,RawData[Checker ID],$Q$4,RawData[[Error Type ]],$Q$5))</f>
        <v/>
      </c>
    </row>
    <row r="8128" spans="15:15" x14ac:dyDescent="0.25">
      <c r="O8128" s="20" t="str">
        <f>IF(N8128="","",COUNTIFS(RawData[[Date ]],N8128,RawData[Month List],$Q$6,RawData[Tour/Site],$Q$2,RawData[[Picker ID ]],$Q$3,RawData[Checker ID],$Q$4,RawData[[Error Type ]],$Q$5))</f>
        <v/>
      </c>
    </row>
    <row r="8129" spans="15:15" x14ac:dyDescent="0.25">
      <c r="O8129" s="20" t="str">
        <f>IF(N8129="","",COUNTIFS(RawData[[Date ]],N8129,RawData[Month List],$Q$6,RawData[Tour/Site],$Q$2,RawData[[Picker ID ]],$Q$3,RawData[Checker ID],$Q$4,RawData[[Error Type ]],$Q$5))</f>
        <v/>
      </c>
    </row>
    <row r="8130" spans="15:15" x14ac:dyDescent="0.25">
      <c r="O8130" s="20" t="str">
        <f>IF(N8130="","",COUNTIFS(RawData[[Date ]],N8130,RawData[Month List],$Q$6,RawData[Tour/Site],$Q$2,RawData[[Picker ID ]],$Q$3,RawData[Checker ID],$Q$4,RawData[[Error Type ]],$Q$5))</f>
        <v/>
      </c>
    </row>
    <row r="8131" spans="15:15" x14ac:dyDescent="0.25">
      <c r="O8131" s="20" t="str">
        <f>IF(N8131="","",COUNTIFS(RawData[[Date ]],N8131,RawData[Month List],$Q$6,RawData[Tour/Site],$Q$2,RawData[[Picker ID ]],$Q$3,RawData[Checker ID],$Q$4,RawData[[Error Type ]],$Q$5))</f>
        <v/>
      </c>
    </row>
    <row r="8132" spans="15:15" x14ac:dyDescent="0.25">
      <c r="O8132" s="20" t="str">
        <f>IF(N8132="","",COUNTIFS(RawData[[Date ]],N8132,RawData[Month List],$Q$6,RawData[Tour/Site],$Q$2,RawData[[Picker ID ]],$Q$3,RawData[Checker ID],$Q$4,RawData[[Error Type ]],$Q$5))</f>
        <v/>
      </c>
    </row>
    <row r="8133" spans="15:15" x14ac:dyDescent="0.25">
      <c r="O8133" s="20" t="str">
        <f>IF(N8133="","",COUNTIFS(RawData[[Date ]],N8133,RawData[Month List],$Q$6,RawData[Tour/Site],$Q$2,RawData[[Picker ID ]],$Q$3,RawData[Checker ID],$Q$4,RawData[[Error Type ]],$Q$5))</f>
        <v/>
      </c>
    </row>
    <row r="8134" spans="15:15" x14ac:dyDescent="0.25">
      <c r="O8134" s="20" t="str">
        <f>IF(N8134="","",COUNTIFS(RawData[[Date ]],N8134,RawData[Month List],$Q$6,RawData[Tour/Site],$Q$2,RawData[[Picker ID ]],$Q$3,RawData[Checker ID],$Q$4,RawData[[Error Type ]],$Q$5))</f>
        <v/>
      </c>
    </row>
    <row r="8135" spans="15:15" x14ac:dyDescent="0.25">
      <c r="O8135" s="20" t="str">
        <f>IF(N8135="","",COUNTIFS(RawData[[Date ]],N8135,RawData[Month List],$Q$6,RawData[Tour/Site],$Q$2,RawData[[Picker ID ]],$Q$3,RawData[Checker ID],$Q$4,RawData[[Error Type ]],$Q$5))</f>
        <v/>
      </c>
    </row>
    <row r="8136" spans="15:15" x14ac:dyDescent="0.25">
      <c r="O8136" s="20" t="str">
        <f>IF(N8136="","",COUNTIFS(RawData[[Date ]],N8136,RawData[Month List],$Q$6,RawData[Tour/Site],$Q$2,RawData[[Picker ID ]],$Q$3,RawData[Checker ID],$Q$4,RawData[[Error Type ]],$Q$5))</f>
        <v/>
      </c>
    </row>
    <row r="8137" spans="15:15" x14ac:dyDescent="0.25">
      <c r="O8137" s="20" t="str">
        <f>IF(N8137="","",COUNTIFS(RawData[[Date ]],N8137,RawData[Month List],$Q$6,RawData[Tour/Site],$Q$2,RawData[[Picker ID ]],$Q$3,RawData[Checker ID],$Q$4,RawData[[Error Type ]],$Q$5))</f>
        <v/>
      </c>
    </row>
    <row r="8138" spans="15:15" x14ac:dyDescent="0.25">
      <c r="O8138" s="20" t="str">
        <f>IF(N8138="","",COUNTIFS(RawData[[Date ]],N8138,RawData[Month List],$Q$6,RawData[Tour/Site],$Q$2,RawData[[Picker ID ]],$Q$3,RawData[Checker ID],$Q$4,RawData[[Error Type ]],$Q$5))</f>
        <v/>
      </c>
    </row>
    <row r="8139" spans="15:15" x14ac:dyDescent="0.25">
      <c r="O8139" s="20" t="str">
        <f>IF(N8139="","",COUNTIFS(RawData[[Date ]],N8139,RawData[Month List],$Q$6,RawData[Tour/Site],$Q$2,RawData[[Picker ID ]],$Q$3,RawData[Checker ID],$Q$4,RawData[[Error Type ]],$Q$5))</f>
        <v/>
      </c>
    </row>
    <row r="8140" spans="15:15" x14ac:dyDescent="0.25">
      <c r="O8140" s="20" t="str">
        <f>IF(N8140="","",COUNTIFS(RawData[[Date ]],N8140,RawData[Month List],$Q$6,RawData[Tour/Site],$Q$2,RawData[[Picker ID ]],$Q$3,RawData[Checker ID],$Q$4,RawData[[Error Type ]],$Q$5))</f>
        <v/>
      </c>
    </row>
    <row r="8141" spans="15:15" x14ac:dyDescent="0.25">
      <c r="O8141" s="20" t="str">
        <f>IF(N8141="","",COUNTIFS(RawData[[Date ]],N8141,RawData[Month List],$Q$6,RawData[Tour/Site],$Q$2,RawData[[Picker ID ]],$Q$3,RawData[Checker ID],$Q$4,RawData[[Error Type ]],$Q$5))</f>
        <v/>
      </c>
    </row>
    <row r="8142" spans="15:15" x14ac:dyDescent="0.25">
      <c r="O8142" s="20" t="str">
        <f>IF(N8142="","",COUNTIFS(RawData[[Date ]],N8142,RawData[Month List],$Q$6,RawData[Tour/Site],$Q$2,RawData[[Picker ID ]],$Q$3,RawData[Checker ID],$Q$4,RawData[[Error Type ]],$Q$5))</f>
        <v/>
      </c>
    </row>
    <row r="8143" spans="15:15" x14ac:dyDescent="0.25">
      <c r="O8143" s="20" t="str">
        <f>IF(N8143="","",COUNTIFS(RawData[[Date ]],N8143,RawData[Month List],$Q$6,RawData[Tour/Site],$Q$2,RawData[[Picker ID ]],$Q$3,RawData[Checker ID],$Q$4,RawData[[Error Type ]],$Q$5))</f>
        <v/>
      </c>
    </row>
    <row r="8144" spans="15:15" x14ac:dyDescent="0.25">
      <c r="O8144" s="20" t="str">
        <f>IF(N8144="","",COUNTIFS(RawData[[Date ]],N8144,RawData[Month List],$Q$6,RawData[Tour/Site],$Q$2,RawData[[Picker ID ]],$Q$3,RawData[Checker ID],$Q$4,RawData[[Error Type ]],$Q$5))</f>
        <v/>
      </c>
    </row>
    <row r="8145" spans="15:15" x14ac:dyDescent="0.25">
      <c r="O8145" s="20" t="str">
        <f>IF(N8145="","",COUNTIFS(RawData[[Date ]],N8145,RawData[Month List],$Q$6,RawData[Tour/Site],$Q$2,RawData[[Picker ID ]],$Q$3,RawData[Checker ID],$Q$4,RawData[[Error Type ]],$Q$5))</f>
        <v/>
      </c>
    </row>
    <row r="8146" spans="15:15" x14ac:dyDescent="0.25">
      <c r="O8146" s="20" t="str">
        <f>IF(N8146="","",COUNTIFS(RawData[[Date ]],N8146,RawData[Month List],$Q$6,RawData[Tour/Site],$Q$2,RawData[[Picker ID ]],$Q$3,RawData[Checker ID],$Q$4,RawData[[Error Type ]],$Q$5))</f>
        <v/>
      </c>
    </row>
    <row r="8147" spans="15:15" x14ac:dyDescent="0.25">
      <c r="O8147" s="20" t="str">
        <f>IF(N8147="","",COUNTIFS(RawData[[Date ]],N8147,RawData[Month List],$Q$6,RawData[Tour/Site],$Q$2,RawData[[Picker ID ]],$Q$3,RawData[Checker ID],$Q$4,RawData[[Error Type ]],$Q$5))</f>
        <v/>
      </c>
    </row>
    <row r="8148" spans="15:15" x14ac:dyDescent="0.25">
      <c r="O8148" s="20" t="str">
        <f>IF(N8148="","",COUNTIFS(RawData[[Date ]],N8148,RawData[Month List],$Q$6,RawData[Tour/Site],$Q$2,RawData[[Picker ID ]],$Q$3,RawData[Checker ID],$Q$4,RawData[[Error Type ]],$Q$5))</f>
        <v/>
      </c>
    </row>
    <row r="8149" spans="15:15" x14ac:dyDescent="0.25">
      <c r="O8149" s="20" t="str">
        <f>IF(N8149="","",COUNTIFS(RawData[[Date ]],N8149,RawData[Month List],$Q$6,RawData[Tour/Site],$Q$2,RawData[[Picker ID ]],$Q$3,RawData[Checker ID],$Q$4,RawData[[Error Type ]],$Q$5))</f>
        <v/>
      </c>
    </row>
    <row r="8150" spans="15:15" x14ac:dyDescent="0.25">
      <c r="O8150" s="20" t="str">
        <f>IF(N8150="","",COUNTIFS(RawData[[Date ]],N8150,RawData[Month List],$Q$6,RawData[Tour/Site],$Q$2,RawData[[Picker ID ]],$Q$3,RawData[Checker ID],$Q$4,RawData[[Error Type ]],$Q$5))</f>
        <v/>
      </c>
    </row>
    <row r="8151" spans="15:15" x14ac:dyDescent="0.25">
      <c r="O8151" s="20" t="str">
        <f>IF(N8151="","",COUNTIFS(RawData[[Date ]],N8151,RawData[Month List],$Q$6,RawData[Tour/Site],$Q$2,RawData[[Picker ID ]],$Q$3,RawData[Checker ID],$Q$4,RawData[[Error Type ]],$Q$5))</f>
        <v/>
      </c>
    </row>
    <row r="8152" spans="15:15" x14ac:dyDescent="0.25">
      <c r="O8152" s="20" t="str">
        <f>IF(N8152="","",COUNTIFS(RawData[[Date ]],N8152,RawData[Month List],$Q$6,RawData[Tour/Site],$Q$2,RawData[[Picker ID ]],$Q$3,RawData[Checker ID],$Q$4,RawData[[Error Type ]],$Q$5))</f>
        <v/>
      </c>
    </row>
    <row r="8153" spans="15:15" x14ac:dyDescent="0.25">
      <c r="O8153" s="20" t="str">
        <f>IF(N8153="","",COUNTIFS(RawData[[Date ]],N8153,RawData[Month List],$Q$6,RawData[Tour/Site],$Q$2,RawData[[Picker ID ]],$Q$3,RawData[Checker ID],$Q$4,RawData[[Error Type ]],$Q$5))</f>
        <v/>
      </c>
    </row>
    <row r="8154" spans="15:15" x14ac:dyDescent="0.25">
      <c r="O8154" s="20" t="str">
        <f>IF(N8154="","",COUNTIFS(RawData[[Date ]],N8154,RawData[Month List],$Q$6,RawData[Tour/Site],$Q$2,RawData[[Picker ID ]],$Q$3,RawData[Checker ID],$Q$4,RawData[[Error Type ]],$Q$5))</f>
        <v/>
      </c>
    </row>
    <row r="8155" spans="15:15" x14ac:dyDescent="0.25">
      <c r="O8155" s="20" t="str">
        <f>IF(N8155="","",COUNTIFS(RawData[[Date ]],N8155,RawData[Month List],$Q$6,RawData[Tour/Site],$Q$2,RawData[[Picker ID ]],$Q$3,RawData[Checker ID],$Q$4,RawData[[Error Type ]],$Q$5))</f>
        <v/>
      </c>
    </row>
    <row r="8156" spans="15:15" x14ac:dyDescent="0.25">
      <c r="O8156" s="20" t="str">
        <f>IF(N8156="","",COUNTIFS(RawData[[Date ]],N8156,RawData[Month List],$Q$6,RawData[Tour/Site],$Q$2,RawData[[Picker ID ]],$Q$3,RawData[Checker ID],$Q$4,RawData[[Error Type ]],$Q$5))</f>
        <v/>
      </c>
    </row>
    <row r="8157" spans="15:15" x14ac:dyDescent="0.25">
      <c r="O8157" s="20" t="str">
        <f>IF(N8157="","",COUNTIFS(RawData[[Date ]],N8157,RawData[Month List],$Q$6,RawData[Tour/Site],$Q$2,RawData[[Picker ID ]],$Q$3,RawData[Checker ID],$Q$4,RawData[[Error Type ]],$Q$5))</f>
        <v/>
      </c>
    </row>
    <row r="8158" spans="15:15" x14ac:dyDescent="0.25">
      <c r="O8158" s="20" t="str">
        <f>IF(N8158="","",COUNTIFS(RawData[[Date ]],N8158,RawData[Month List],$Q$6,RawData[Tour/Site],$Q$2,RawData[[Picker ID ]],$Q$3,RawData[Checker ID],$Q$4,RawData[[Error Type ]],$Q$5))</f>
        <v/>
      </c>
    </row>
    <row r="8159" spans="15:15" x14ac:dyDescent="0.25">
      <c r="O8159" s="20" t="str">
        <f>IF(N8159="","",COUNTIFS(RawData[[Date ]],N8159,RawData[Month List],$Q$6,RawData[Tour/Site],$Q$2,RawData[[Picker ID ]],$Q$3,RawData[Checker ID],$Q$4,RawData[[Error Type ]],$Q$5))</f>
        <v/>
      </c>
    </row>
    <row r="8160" spans="15:15" x14ac:dyDescent="0.25">
      <c r="O8160" s="20" t="str">
        <f>IF(N8160="","",COUNTIFS(RawData[[Date ]],N8160,RawData[Month List],$Q$6,RawData[Tour/Site],$Q$2,RawData[[Picker ID ]],$Q$3,RawData[Checker ID],$Q$4,RawData[[Error Type ]],$Q$5))</f>
        <v/>
      </c>
    </row>
    <row r="8161" spans="15:15" x14ac:dyDescent="0.25">
      <c r="O8161" s="20" t="str">
        <f>IF(N8161="","",COUNTIFS(RawData[[Date ]],N8161,RawData[Month List],$Q$6,RawData[Tour/Site],$Q$2,RawData[[Picker ID ]],$Q$3,RawData[Checker ID],$Q$4,RawData[[Error Type ]],$Q$5))</f>
        <v/>
      </c>
    </row>
    <row r="8162" spans="15:15" x14ac:dyDescent="0.25">
      <c r="O8162" s="20" t="str">
        <f>IF(N8162="","",COUNTIFS(RawData[[Date ]],N8162,RawData[Month List],$Q$6,RawData[Tour/Site],$Q$2,RawData[[Picker ID ]],$Q$3,RawData[Checker ID],$Q$4,RawData[[Error Type ]],$Q$5))</f>
        <v/>
      </c>
    </row>
    <row r="8163" spans="15:15" x14ac:dyDescent="0.25">
      <c r="O8163" s="20" t="str">
        <f>IF(N8163="","",COUNTIFS(RawData[[Date ]],N8163,RawData[Month List],$Q$6,RawData[Tour/Site],$Q$2,RawData[[Picker ID ]],$Q$3,RawData[Checker ID],$Q$4,RawData[[Error Type ]],$Q$5))</f>
        <v/>
      </c>
    </row>
    <row r="8164" spans="15:15" x14ac:dyDescent="0.25">
      <c r="O8164" s="20" t="str">
        <f>IF(N8164="","",COUNTIFS(RawData[[Date ]],N8164,RawData[Month List],$Q$6,RawData[Tour/Site],$Q$2,RawData[[Picker ID ]],$Q$3,RawData[Checker ID],$Q$4,RawData[[Error Type ]],$Q$5))</f>
        <v/>
      </c>
    </row>
    <row r="8165" spans="15:15" x14ac:dyDescent="0.25">
      <c r="O8165" s="20" t="str">
        <f>IF(N8165="","",COUNTIFS(RawData[[Date ]],N8165,RawData[Month List],$Q$6,RawData[Tour/Site],$Q$2,RawData[[Picker ID ]],$Q$3,RawData[Checker ID],$Q$4,RawData[[Error Type ]],$Q$5))</f>
        <v/>
      </c>
    </row>
    <row r="8166" spans="15:15" x14ac:dyDescent="0.25">
      <c r="O8166" s="20" t="str">
        <f>IF(N8166="","",COUNTIFS(RawData[[Date ]],N8166,RawData[Month List],$Q$6,RawData[Tour/Site],$Q$2,RawData[[Picker ID ]],$Q$3,RawData[Checker ID],$Q$4,RawData[[Error Type ]],$Q$5))</f>
        <v/>
      </c>
    </row>
    <row r="8167" spans="15:15" x14ac:dyDescent="0.25">
      <c r="O8167" s="20" t="str">
        <f>IF(N8167="","",COUNTIFS(RawData[[Date ]],N8167,RawData[Month List],$Q$6,RawData[Tour/Site],$Q$2,RawData[[Picker ID ]],$Q$3,RawData[Checker ID],$Q$4,RawData[[Error Type ]],$Q$5))</f>
        <v/>
      </c>
    </row>
    <row r="8168" spans="15:15" x14ac:dyDescent="0.25">
      <c r="O8168" s="20" t="str">
        <f>IF(N8168="","",COUNTIFS(RawData[[Date ]],N8168,RawData[Month List],$Q$6,RawData[Tour/Site],$Q$2,RawData[[Picker ID ]],$Q$3,RawData[Checker ID],$Q$4,RawData[[Error Type ]],$Q$5))</f>
        <v/>
      </c>
    </row>
    <row r="8169" spans="15:15" x14ac:dyDescent="0.25">
      <c r="O8169" s="20" t="str">
        <f>IF(N8169="","",COUNTIFS(RawData[[Date ]],N8169,RawData[Month List],$Q$6,RawData[Tour/Site],$Q$2,RawData[[Picker ID ]],$Q$3,RawData[Checker ID],$Q$4,RawData[[Error Type ]],$Q$5))</f>
        <v/>
      </c>
    </row>
    <row r="8170" spans="15:15" x14ac:dyDescent="0.25">
      <c r="O8170" s="20" t="str">
        <f>IF(N8170="","",COUNTIFS(RawData[[Date ]],N8170,RawData[Month List],$Q$6,RawData[Tour/Site],$Q$2,RawData[[Picker ID ]],$Q$3,RawData[Checker ID],$Q$4,RawData[[Error Type ]],$Q$5))</f>
        <v/>
      </c>
    </row>
    <row r="8171" spans="15:15" x14ac:dyDescent="0.25">
      <c r="O8171" s="20" t="str">
        <f>IF(N8171="","",COUNTIFS(RawData[[Date ]],N8171,RawData[Month List],$Q$6,RawData[Tour/Site],$Q$2,RawData[[Picker ID ]],$Q$3,RawData[Checker ID],$Q$4,RawData[[Error Type ]],$Q$5))</f>
        <v/>
      </c>
    </row>
    <row r="8172" spans="15:15" x14ac:dyDescent="0.25">
      <c r="O8172" s="20" t="str">
        <f>IF(N8172="","",COUNTIFS(RawData[[Date ]],N8172,RawData[Month List],$Q$6,RawData[Tour/Site],$Q$2,RawData[[Picker ID ]],$Q$3,RawData[Checker ID],$Q$4,RawData[[Error Type ]],$Q$5))</f>
        <v/>
      </c>
    </row>
    <row r="8173" spans="15:15" x14ac:dyDescent="0.25">
      <c r="O8173" s="20" t="str">
        <f>IF(N8173="","",COUNTIFS(RawData[[Date ]],N8173,RawData[Month List],$Q$6,RawData[Tour/Site],$Q$2,RawData[[Picker ID ]],$Q$3,RawData[Checker ID],$Q$4,RawData[[Error Type ]],$Q$5))</f>
        <v/>
      </c>
    </row>
    <row r="8174" spans="15:15" x14ac:dyDescent="0.25">
      <c r="O8174" s="20" t="str">
        <f>IF(N8174="","",COUNTIFS(RawData[[Date ]],N8174,RawData[Month List],$Q$6,RawData[Tour/Site],$Q$2,RawData[[Picker ID ]],$Q$3,RawData[Checker ID],$Q$4,RawData[[Error Type ]],$Q$5))</f>
        <v/>
      </c>
    </row>
    <row r="8175" spans="15:15" x14ac:dyDescent="0.25">
      <c r="O8175" s="20" t="str">
        <f>IF(N8175="","",COUNTIFS(RawData[[Date ]],N8175,RawData[Month List],$Q$6,RawData[Tour/Site],$Q$2,RawData[[Picker ID ]],$Q$3,RawData[Checker ID],$Q$4,RawData[[Error Type ]],$Q$5))</f>
        <v/>
      </c>
    </row>
    <row r="8176" spans="15:15" x14ac:dyDescent="0.25">
      <c r="O8176" s="20" t="str">
        <f>IF(N8176="","",COUNTIFS(RawData[[Date ]],N8176,RawData[Month List],$Q$6,RawData[Tour/Site],$Q$2,RawData[[Picker ID ]],$Q$3,RawData[Checker ID],$Q$4,RawData[[Error Type ]],$Q$5))</f>
        <v/>
      </c>
    </row>
    <row r="8177" spans="15:15" x14ac:dyDescent="0.25">
      <c r="O8177" s="20" t="str">
        <f>IF(N8177="","",COUNTIFS(RawData[[Date ]],N8177,RawData[Month List],$Q$6,RawData[Tour/Site],$Q$2,RawData[[Picker ID ]],$Q$3,RawData[Checker ID],$Q$4,RawData[[Error Type ]],$Q$5))</f>
        <v/>
      </c>
    </row>
    <row r="8178" spans="15:15" x14ac:dyDescent="0.25">
      <c r="O8178" s="20" t="str">
        <f>IF(N8178="","",COUNTIFS(RawData[[Date ]],N8178,RawData[Month List],$Q$6,RawData[Tour/Site],$Q$2,RawData[[Picker ID ]],$Q$3,RawData[Checker ID],$Q$4,RawData[[Error Type ]],$Q$5))</f>
        <v/>
      </c>
    </row>
    <row r="8179" spans="15:15" x14ac:dyDescent="0.25">
      <c r="O8179" s="20" t="str">
        <f>IF(N8179="","",COUNTIFS(RawData[[Date ]],N8179,RawData[Month List],$Q$6,RawData[Tour/Site],$Q$2,RawData[[Picker ID ]],$Q$3,RawData[Checker ID],$Q$4,RawData[[Error Type ]],$Q$5))</f>
        <v/>
      </c>
    </row>
    <row r="8180" spans="15:15" x14ac:dyDescent="0.25">
      <c r="O8180" s="20" t="str">
        <f>IF(N8180="","",COUNTIFS(RawData[[Date ]],N8180,RawData[Month List],$Q$6,RawData[Tour/Site],$Q$2,RawData[[Picker ID ]],$Q$3,RawData[Checker ID],$Q$4,RawData[[Error Type ]],$Q$5))</f>
        <v/>
      </c>
    </row>
    <row r="8181" spans="15:15" x14ac:dyDescent="0.25">
      <c r="O8181" s="20" t="str">
        <f>IF(N8181="","",COUNTIFS(RawData[[Date ]],N8181,RawData[Month List],$Q$6,RawData[Tour/Site],$Q$2,RawData[[Picker ID ]],$Q$3,RawData[Checker ID],$Q$4,RawData[[Error Type ]],$Q$5))</f>
        <v/>
      </c>
    </row>
    <row r="8182" spans="15:15" x14ac:dyDescent="0.25">
      <c r="O8182" s="20" t="str">
        <f>IF(N8182="","",COUNTIFS(RawData[[Date ]],N8182,RawData[Month List],$Q$6,RawData[Tour/Site],$Q$2,RawData[[Picker ID ]],$Q$3,RawData[Checker ID],$Q$4,RawData[[Error Type ]],$Q$5))</f>
        <v/>
      </c>
    </row>
    <row r="8183" spans="15:15" x14ac:dyDescent="0.25">
      <c r="O8183" s="20" t="str">
        <f>IF(N8183="","",COUNTIFS(RawData[[Date ]],N8183,RawData[Month List],$Q$6,RawData[Tour/Site],$Q$2,RawData[[Picker ID ]],$Q$3,RawData[Checker ID],$Q$4,RawData[[Error Type ]],$Q$5))</f>
        <v/>
      </c>
    </row>
    <row r="8184" spans="15:15" x14ac:dyDescent="0.25">
      <c r="O8184" s="20" t="str">
        <f>IF(N8184="","",COUNTIFS(RawData[[Date ]],N8184,RawData[Month List],$Q$6,RawData[Tour/Site],$Q$2,RawData[[Picker ID ]],$Q$3,RawData[Checker ID],$Q$4,RawData[[Error Type ]],$Q$5))</f>
        <v/>
      </c>
    </row>
    <row r="8185" spans="15:15" x14ac:dyDescent="0.25">
      <c r="O8185" s="20" t="str">
        <f>IF(N8185="","",COUNTIFS(RawData[[Date ]],N8185,RawData[Month List],$Q$6,RawData[Tour/Site],$Q$2,RawData[[Picker ID ]],$Q$3,RawData[Checker ID],$Q$4,RawData[[Error Type ]],$Q$5))</f>
        <v/>
      </c>
    </row>
    <row r="8186" spans="15:15" x14ac:dyDescent="0.25">
      <c r="O8186" s="20" t="str">
        <f>IF(N8186="","",COUNTIFS(RawData[[Date ]],N8186,RawData[Month List],$Q$6,RawData[Tour/Site],$Q$2,RawData[[Picker ID ]],$Q$3,RawData[Checker ID],$Q$4,RawData[[Error Type ]],$Q$5))</f>
        <v/>
      </c>
    </row>
    <row r="8187" spans="15:15" x14ac:dyDescent="0.25">
      <c r="O8187" s="20" t="str">
        <f>IF(N8187="","",COUNTIFS(RawData[[Date ]],N8187,RawData[Month List],$Q$6,RawData[Tour/Site],$Q$2,RawData[[Picker ID ]],$Q$3,RawData[Checker ID],$Q$4,RawData[[Error Type ]],$Q$5))</f>
        <v/>
      </c>
    </row>
    <row r="8188" spans="15:15" x14ac:dyDescent="0.25">
      <c r="O8188" s="20" t="str">
        <f>IF(N8188="","",COUNTIFS(RawData[[Date ]],N8188,RawData[Month List],$Q$6,RawData[Tour/Site],$Q$2,RawData[[Picker ID ]],$Q$3,RawData[Checker ID],$Q$4,RawData[[Error Type ]],$Q$5))</f>
        <v/>
      </c>
    </row>
    <row r="8189" spans="15:15" x14ac:dyDescent="0.25">
      <c r="O8189" s="20" t="str">
        <f>IF(N8189="","",COUNTIFS(RawData[[Date ]],N8189,RawData[Month List],$Q$6,RawData[Tour/Site],$Q$2,RawData[[Picker ID ]],$Q$3,RawData[Checker ID],$Q$4,RawData[[Error Type ]],$Q$5))</f>
        <v/>
      </c>
    </row>
    <row r="8190" spans="15:15" x14ac:dyDescent="0.25">
      <c r="O8190" s="20" t="str">
        <f>IF(N8190="","",COUNTIFS(RawData[[Date ]],N8190,RawData[Month List],$Q$6,RawData[Tour/Site],$Q$2,RawData[[Picker ID ]],$Q$3,RawData[Checker ID],$Q$4,RawData[[Error Type ]],$Q$5))</f>
        <v/>
      </c>
    </row>
    <row r="8191" spans="15:15" x14ac:dyDescent="0.25">
      <c r="O8191" s="20" t="str">
        <f>IF(N8191="","",COUNTIFS(RawData[[Date ]],N8191,RawData[Month List],$Q$6,RawData[Tour/Site],$Q$2,RawData[[Picker ID ]],$Q$3,RawData[Checker ID],$Q$4,RawData[[Error Type ]],$Q$5))</f>
        <v/>
      </c>
    </row>
    <row r="8192" spans="15:15" x14ac:dyDescent="0.25">
      <c r="O8192" s="20" t="str">
        <f>IF(N8192="","",COUNTIFS(RawData[[Date ]],N8192,RawData[Month List],$Q$6,RawData[Tour/Site],$Q$2,RawData[[Picker ID ]],$Q$3,RawData[Checker ID],$Q$4,RawData[[Error Type ]],$Q$5))</f>
        <v/>
      </c>
    </row>
    <row r="8193" spans="15:15" x14ac:dyDescent="0.25">
      <c r="O8193" s="20" t="str">
        <f>IF(N8193="","",COUNTIFS(RawData[[Date ]],N8193,RawData[Month List],$Q$6,RawData[Tour/Site],$Q$2,RawData[[Picker ID ]],$Q$3,RawData[Checker ID],$Q$4,RawData[[Error Type ]],$Q$5))</f>
        <v/>
      </c>
    </row>
    <row r="8194" spans="15:15" x14ac:dyDescent="0.25">
      <c r="O8194" s="20" t="str">
        <f>IF(N8194="","",COUNTIFS(RawData[[Date ]],N8194,RawData[Month List],$Q$6,RawData[Tour/Site],$Q$2,RawData[[Picker ID ]],$Q$3,RawData[Checker ID],$Q$4,RawData[[Error Type ]],$Q$5))</f>
        <v/>
      </c>
    </row>
    <row r="8195" spans="15:15" x14ac:dyDescent="0.25">
      <c r="O8195" s="20" t="str">
        <f>IF(N8195="","",COUNTIFS(RawData[[Date ]],N8195,RawData[Month List],$Q$6,RawData[Tour/Site],$Q$2,RawData[[Picker ID ]],$Q$3,RawData[Checker ID],$Q$4,RawData[[Error Type ]],$Q$5))</f>
        <v/>
      </c>
    </row>
    <row r="8196" spans="15:15" x14ac:dyDescent="0.25">
      <c r="O8196" s="20" t="str">
        <f>IF(N8196="","",COUNTIFS(RawData[[Date ]],N8196,RawData[Month List],$Q$6,RawData[Tour/Site],$Q$2,RawData[[Picker ID ]],$Q$3,RawData[Checker ID],$Q$4,RawData[[Error Type ]],$Q$5))</f>
        <v/>
      </c>
    </row>
    <row r="8197" spans="15:15" x14ac:dyDescent="0.25">
      <c r="O8197" s="20" t="str">
        <f>IF(N8197="","",COUNTIFS(RawData[[Date ]],N8197,RawData[Month List],$Q$6,RawData[Tour/Site],$Q$2,RawData[[Picker ID ]],$Q$3,RawData[Checker ID],$Q$4,RawData[[Error Type ]],$Q$5))</f>
        <v/>
      </c>
    </row>
    <row r="8198" spans="15:15" x14ac:dyDescent="0.25">
      <c r="O8198" s="20" t="str">
        <f>IF(N8198="","",COUNTIFS(RawData[[Date ]],N8198,RawData[Month List],$Q$6,RawData[Tour/Site],$Q$2,RawData[[Picker ID ]],$Q$3,RawData[Checker ID],$Q$4,RawData[[Error Type ]],$Q$5))</f>
        <v/>
      </c>
    </row>
    <row r="8199" spans="15:15" x14ac:dyDescent="0.25">
      <c r="O8199" s="20" t="str">
        <f>IF(N8199="","",COUNTIFS(RawData[[Date ]],N8199,RawData[Month List],$Q$6,RawData[Tour/Site],$Q$2,RawData[[Picker ID ]],$Q$3,RawData[Checker ID],$Q$4,RawData[[Error Type ]],$Q$5))</f>
        <v/>
      </c>
    </row>
    <row r="8200" spans="15:15" x14ac:dyDescent="0.25">
      <c r="O8200" s="20" t="str">
        <f>IF(N8200="","",COUNTIFS(RawData[[Date ]],N8200,RawData[Month List],$Q$6,RawData[Tour/Site],$Q$2,RawData[[Picker ID ]],$Q$3,RawData[Checker ID],$Q$4,RawData[[Error Type ]],$Q$5))</f>
        <v/>
      </c>
    </row>
    <row r="8201" spans="15:15" x14ac:dyDescent="0.25">
      <c r="O8201" s="20" t="str">
        <f>IF(N8201="","",COUNTIFS(RawData[[Date ]],N8201,RawData[Month List],$Q$6,RawData[Tour/Site],$Q$2,RawData[[Picker ID ]],$Q$3,RawData[Checker ID],$Q$4,RawData[[Error Type ]],$Q$5))</f>
        <v/>
      </c>
    </row>
    <row r="8202" spans="15:15" x14ac:dyDescent="0.25">
      <c r="O8202" s="20" t="str">
        <f>IF(N8202="","",COUNTIFS(RawData[[Date ]],N8202,RawData[Month List],$Q$6,RawData[Tour/Site],$Q$2,RawData[[Picker ID ]],$Q$3,RawData[Checker ID],$Q$4,RawData[[Error Type ]],$Q$5))</f>
        <v/>
      </c>
    </row>
    <row r="8203" spans="15:15" x14ac:dyDescent="0.25">
      <c r="O8203" s="20" t="str">
        <f>IF(N8203="","",COUNTIFS(RawData[[Date ]],N8203,RawData[Month List],$Q$6,RawData[Tour/Site],$Q$2,RawData[[Picker ID ]],$Q$3,RawData[Checker ID],$Q$4,RawData[[Error Type ]],$Q$5))</f>
        <v/>
      </c>
    </row>
    <row r="8204" spans="15:15" x14ac:dyDescent="0.25">
      <c r="O8204" s="20" t="str">
        <f>IF(N8204="","",COUNTIFS(RawData[[Date ]],N8204,RawData[Month List],$Q$6,RawData[Tour/Site],$Q$2,RawData[[Picker ID ]],$Q$3,RawData[Checker ID],$Q$4,RawData[[Error Type ]],$Q$5))</f>
        <v/>
      </c>
    </row>
    <row r="8205" spans="15:15" x14ac:dyDescent="0.25">
      <c r="O8205" s="20" t="str">
        <f>IF(N8205="","",COUNTIFS(RawData[[Date ]],N8205,RawData[Month List],$Q$6,RawData[Tour/Site],$Q$2,RawData[[Picker ID ]],$Q$3,RawData[Checker ID],$Q$4,RawData[[Error Type ]],$Q$5))</f>
        <v/>
      </c>
    </row>
    <row r="8206" spans="15:15" x14ac:dyDescent="0.25">
      <c r="O8206" s="20" t="str">
        <f>IF(N8206="","",COUNTIFS(RawData[[Date ]],N8206,RawData[Month List],$Q$6,RawData[Tour/Site],$Q$2,RawData[[Picker ID ]],$Q$3,RawData[Checker ID],$Q$4,RawData[[Error Type ]],$Q$5))</f>
        <v/>
      </c>
    </row>
    <row r="8207" spans="15:15" x14ac:dyDescent="0.25">
      <c r="O8207" s="20" t="str">
        <f>IF(N8207="","",COUNTIFS(RawData[[Date ]],N8207,RawData[Month List],$Q$6,RawData[Tour/Site],$Q$2,RawData[[Picker ID ]],$Q$3,RawData[Checker ID],$Q$4,RawData[[Error Type ]],$Q$5))</f>
        <v/>
      </c>
    </row>
    <row r="8208" spans="15:15" x14ac:dyDescent="0.25">
      <c r="O8208" s="20" t="str">
        <f>IF(N8208="","",COUNTIFS(RawData[[Date ]],N8208,RawData[Month List],$Q$6,RawData[Tour/Site],$Q$2,RawData[[Picker ID ]],$Q$3,RawData[Checker ID],$Q$4,RawData[[Error Type ]],$Q$5))</f>
        <v/>
      </c>
    </row>
    <row r="8209" spans="15:15" x14ac:dyDescent="0.25">
      <c r="O8209" s="20" t="str">
        <f>IF(N8209="","",COUNTIFS(RawData[[Date ]],N8209,RawData[Month List],$Q$6,RawData[Tour/Site],$Q$2,RawData[[Picker ID ]],$Q$3,RawData[Checker ID],$Q$4,RawData[[Error Type ]],$Q$5))</f>
        <v/>
      </c>
    </row>
    <row r="8210" spans="15:15" x14ac:dyDescent="0.25">
      <c r="O8210" s="20" t="str">
        <f>IF(N8210="","",COUNTIFS(RawData[[Date ]],N8210,RawData[Month List],$Q$6,RawData[Tour/Site],$Q$2,RawData[[Picker ID ]],$Q$3,RawData[Checker ID],$Q$4,RawData[[Error Type ]],$Q$5))</f>
        <v/>
      </c>
    </row>
    <row r="8211" spans="15:15" x14ac:dyDescent="0.25">
      <c r="O8211" s="20" t="str">
        <f>IF(N8211="","",COUNTIFS(RawData[[Date ]],N8211,RawData[Month List],$Q$6,RawData[Tour/Site],$Q$2,RawData[[Picker ID ]],$Q$3,RawData[Checker ID],$Q$4,RawData[[Error Type ]],$Q$5))</f>
        <v/>
      </c>
    </row>
    <row r="8212" spans="15:15" x14ac:dyDescent="0.25">
      <c r="O8212" s="20" t="str">
        <f>IF(N8212="","",COUNTIFS(RawData[[Date ]],N8212,RawData[Month List],$Q$6,RawData[Tour/Site],$Q$2,RawData[[Picker ID ]],$Q$3,RawData[Checker ID],$Q$4,RawData[[Error Type ]],$Q$5))</f>
        <v/>
      </c>
    </row>
    <row r="8213" spans="15:15" x14ac:dyDescent="0.25">
      <c r="O8213" s="20" t="str">
        <f>IF(N8213="","",COUNTIFS(RawData[[Date ]],N8213,RawData[Month List],$Q$6,RawData[Tour/Site],$Q$2,RawData[[Picker ID ]],$Q$3,RawData[Checker ID],$Q$4,RawData[[Error Type ]],$Q$5))</f>
        <v/>
      </c>
    </row>
    <row r="8214" spans="15:15" x14ac:dyDescent="0.25">
      <c r="O8214" s="20" t="str">
        <f>IF(N8214="","",COUNTIFS(RawData[[Date ]],N8214,RawData[Month List],$Q$6,RawData[Tour/Site],$Q$2,RawData[[Picker ID ]],$Q$3,RawData[Checker ID],$Q$4,RawData[[Error Type ]],$Q$5))</f>
        <v/>
      </c>
    </row>
    <row r="8215" spans="15:15" x14ac:dyDescent="0.25">
      <c r="O8215" s="20" t="str">
        <f>IF(N8215="","",COUNTIFS(RawData[[Date ]],N8215,RawData[Month List],$Q$6,RawData[Tour/Site],$Q$2,RawData[[Picker ID ]],$Q$3,RawData[Checker ID],$Q$4,RawData[[Error Type ]],$Q$5))</f>
        <v/>
      </c>
    </row>
    <row r="8216" spans="15:15" x14ac:dyDescent="0.25">
      <c r="O8216" s="20" t="str">
        <f>IF(N8216="","",COUNTIFS(RawData[[Date ]],N8216,RawData[Month List],$Q$6,RawData[Tour/Site],$Q$2,RawData[[Picker ID ]],$Q$3,RawData[Checker ID],$Q$4,RawData[[Error Type ]],$Q$5))</f>
        <v/>
      </c>
    </row>
    <row r="8217" spans="15:15" x14ac:dyDescent="0.25">
      <c r="O8217" s="20" t="str">
        <f>IF(N8217="","",COUNTIFS(RawData[[Date ]],N8217,RawData[Month List],$Q$6,RawData[Tour/Site],$Q$2,RawData[[Picker ID ]],$Q$3,RawData[Checker ID],$Q$4,RawData[[Error Type ]],$Q$5))</f>
        <v/>
      </c>
    </row>
    <row r="8218" spans="15:15" x14ac:dyDescent="0.25">
      <c r="O8218" s="20" t="str">
        <f>IF(N8218="","",COUNTIFS(RawData[[Date ]],N8218,RawData[Month List],$Q$6,RawData[Tour/Site],$Q$2,RawData[[Picker ID ]],$Q$3,RawData[Checker ID],$Q$4,RawData[[Error Type ]],$Q$5))</f>
        <v/>
      </c>
    </row>
    <row r="8219" spans="15:15" x14ac:dyDescent="0.25">
      <c r="O8219" s="20" t="str">
        <f>IF(N8219="","",COUNTIFS(RawData[[Date ]],N8219,RawData[Month List],$Q$6,RawData[Tour/Site],$Q$2,RawData[[Picker ID ]],$Q$3,RawData[Checker ID],$Q$4,RawData[[Error Type ]],$Q$5))</f>
        <v/>
      </c>
    </row>
    <row r="8220" spans="15:15" x14ac:dyDescent="0.25">
      <c r="O8220" s="20" t="str">
        <f>IF(N8220="","",COUNTIFS(RawData[[Date ]],N8220,RawData[Month List],$Q$6,RawData[Tour/Site],$Q$2,RawData[[Picker ID ]],$Q$3,RawData[Checker ID],$Q$4,RawData[[Error Type ]],$Q$5))</f>
        <v/>
      </c>
    </row>
    <row r="8221" spans="15:15" x14ac:dyDescent="0.25">
      <c r="O8221" s="20" t="str">
        <f>IF(N8221="","",COUNTIFS(RawData[[Date ]],N8221,RawData[Month List],$Q$6,RawData[Tour/Site],$Q$2,RawData[[Picker ID ]],$Q$3,RawData[Checker ID],$Q$4,RawData[[Error Type ]],$Q$5))</f>
        <v/>
      </c>
    </row>
    <row r="8222" spans="15:15" x14ac:dyDescent="0.25">
      <c r="O8222" s="20" t="str">
        <f>IF(N8222="","",COUNTIFS(RawData[[Date ]],N8222,RawData[Month List],$Q$6,RawData[Tour/Site],$Q$2,RawData[[Picker ID ]],$Q$3,RawData[Checker ID],$Q$4,RawData[[Error Type ]],$Q$5))</f>
        <v/>
      </c>
    </row>
    <row r="8223" spans="15:15" x14ac:dyDescent="0.25">
      <c r="O8223" s="20" t="str">
        <f>IF(N8223="","",COUNTIFS(RawData[[Date ]],N8223,RawData[Month List],$Q$6,RawData[Tour/Site],$Q$2,RawData[[Picker ID ]],$Q$3,RawData[Checker ID],$Q$4,RawData[[Error Type ]],$Q$5))</f>
        <v/>
      </c>
    </row>
    <row r="8224" spans="15:15" x14ac:dyDescent="0.25">
      <c r="O8224" s="20" t="str">
        <f>IF(N8224="","",COUNTIFS(RawData[[Date ]],N8224,RawData[Month List],$Q$6,RawData[Tour/Site],$Q$2,RawData[[Picker ID ]],$Q$3,RawData[Checker ID],$Q$4,RawData[[Error Type ]],$Q$5))</f>
        <v/>
      </c>
    </row>
    <row r="8225" spans="15:15" x14ac:dyDescent="0.25">
      <c r="O8225" s="20" t="str">
        <f>IF(N8225="","",COUNTIFS(RawData[[Date ]],N8225,RawData[Month List],$Q$6,RawData[Tour/Site],$Q$2,RawData[[Picker ID ]],$Q$3,RawData[Checker ID],$Q$4,RawData[[Error Type ]],$Q$5))</f>
        <v/>
      </c>
    </row>
    <row r="8226" spans="15:15" x14ac:dyDescent="0.25">
      <c r="O8226" s="20" t="str">
        <f>IF(N8226="","",COUNTIFS(RawData[[Date ]],N8226,RawData[Month List],$Q$6,RawData[Tour/Site],$Q$2,RawData[[Picker ID ]],$Q$3,RawData[Checker ID],$Q$4,RawData[[Error Type ]],$Q$5))</f>
        <v/>
      </c>
    </row>
    <row r="8227" spans="15:15" x14ac:dyDescent="0.25">
      <c r="O8227" s="20" t="str">
        <f>IF(N8227="","",COUNTIFS(RawData[[Date ]],N8227,RawData[Month List],$Q$6,RawData[Tour/Site],$Q$2,RawData[[Picker ID ]],$Q$3,RawData[Checker ID],$Q$4,RawData[[Error Type ]],$Q$5))</f>
        <v/>
      </c>
    </row>
    <row r="8228" spans="15:15" x14ac:dyDescent="0.25">
      <c r="O8228" s="20" t="str">
        <f>IF(N8228="","",COUNTIFS(RawData[[Date ]],N8228,RawData[Month List],$Q$6,RawData[Tour/Site],$Q$2,RawData[[Picker ID ]],$Q$3,RawData[Checker ID],$Q$4,RawData[[Error Type ]],$Q$5))</f>
        <v/>
      </c>
    </row>
    <row r="8229" spans="15:15" x14ac:dyDescent="0.25">
      <c r="O8229" s="20" t="str">
        <f>IF(N8229="","",COUNTIFS(RawData[[Date ]],N8229,RawData[Month List],$Q$6,RawData[Tour/Site],$Q$2,RawData[[Picker ID ]],$Q$3,RawData[Checker ID],$Q$4,RawData[[Error Type ]],$Q$5))</f>
        <v/>
      </c>
    </row>
    <row r="8230" spans="15:15" x14ac:dyDescent="0.25">
      <c r="O8230" s="20" t="str">
        <f>IF(N8230="","",COUNTIFS(RawData[[Date ]],N8230,RawData[Month List],$Q$6,RawData[Tour/Site],$Q$2,RawData[[Picker ID ]],$Q$3,RawData[Checker ID],$Q$4,RawData[[Error Type ]],$Q$5))</f>
        <v/>
      </c>
    </row>
    <row r="8231" spans="15:15" x14ac:dyDescent="0.25">
      <c r="O8231" s="20" t="str">
        <f>IF(N8231="","",COUNTIFS(RawData[[Date ]],N8231,RawData[Month List],$Q$6,RawData[Tour/Site],$Q$2,RawData[[Picker ID ]],$Q$3,RawData[Checker ID],$Q$4,RawData[[Error Type ]],$Q$5))</f>
        <v/>
      </c>
    </row>
    <row r="8232" spans="15:15" x14ac:dyDescent="0.25">
      <c r="O8232" s="20" t="str">
        <f>IF(N8232="","",COUNTIFS(RawData[[Date ]],N8232,RawData[Month List],$Q$6,RawData[Tour/Site],$Q$2,RawData[[Picker ID ]],$Q$3,RawData[Checker ID],$Q$4,RawData[[Error Type ]],$Q$5))</f>
        <v/>
      </c>
    </row>
    <row r="8233" spans="15:15" x14ac:dyDescent="0.25">
      <c r="O8233" s="20" t="str">
        <f>IF(N8233="","",COUNTIFS(RawData[[Date ]],N8233,RawData[Month List],$Q$6,RawData[Tour/Site],$Q$2,RawData[[Picker ID ]],$Q$3,RawData[Checker ID],$Q$4,RawData[[Error Type ]],$Q$5))</f>
        <v/>
      </c>
    </row>
    <row r="8234" spans="15:15" x14ac:dyDescent="0.25">
      <c r="O8234" s="20" t="str">
        <f>IF(N8234="","",COUNTIFS(RawData[[Date ]],N8234,RawData[Month List],$Q$6,RawData[Tour/Site],$Q$2,RawData[[Picker ID ]],$Q$3,RawData[Checker ID],$Q$4,RawData[[Error Type ]],$Q$5))</f>
        <v/>
      </c>
    </row>
    <row r="8235" spans="15:15" x14ac:dyDescent="0.25">
      <c r="O8235" s="20" t="str">
        <f>IF(N8235="","",COUNTIFS(RawData[[Date ]],N8235,RawData[Month List],$Q$6,RawData[Tour/Site],$Q$2,RawData[[Picker ID ]],$Q$3,RawData[Checker ID],$Q$4,RawData[[Error Type ]],$Q$5))</f>
        <v/>
      </c>
    </row>
    <row r="8236" spans="15:15" x14ac:dyDescent="0.25">
      <c r="O8236" s="20" t="str">
        <f>IF(N8236="","",COUNTIFS(RawData[[Date ]],N8236,RawData[Month List],$Q$6,RawData[Tour/Site],$Q$2,RawData[[Picker ID ]],$Q$3,RawData[Checker ID],$Q$4,RawData[[Error Type ]],$Q$5))</f>
        <v/>
      </c>
    </row>
    <row r="8237" spans="15:15" x14ac:dyDescent="0.25">
      <c r="O8237" s="20" t="str">
        <f>IF(N8237="","",COUNTIFS(RawData[[Date ]],N8237,RawData[Month List],$Q$6,RawData[Tour/Site],$Q$2,RawData[[Picker ID ]],$Q$3,RawData[Checker ID],$Q$4,RawData[[Error Type ]],$Q$5))</f>
        <v/>
      </c>
    </row>
    <row r="8238" spans="15:15" x14ac:dyDescent="0.25">
      <c r="O8238" s="20" t="str">
        <f>IF(N8238="","",COUNTIFS(RawData[[Date ]],N8238,RawData[Month List],$Q$6,RawData[Tour/Site],$Q$2,RawData[[Picker ID ]],$Q$3,RawData[Checker ID],$Q$4,RawData[[Error Type ]],$Q$5))</f>
        <v/>
      </c>
    </row>
    <row r="8239" spans="15:15" x14ac:dyDescent="0.25">
      <c r="O8239" s="20" t="str">
        <f>IF(N8239="","",COUNTIFS(RawData[[Date ]],N8239,RawData[Month List],$Q$6,RawData[Tour/Site],$Q$2,RawData[[Picker ID ]],$Q$3,RawData[Checker ID],$Q$4,RawData[[Error Type ]],$Q$5))</f>
        <v/>
      </c>
    </row>
    <row r="8240" spans="15:15" x14ac:dyDescent="0.25">
      <c r="O8240" s="20" t="str">
        <f>IF(N8240="","",COUNTIFS(RawData[[Date ]],N8240,RawData[Month List],$Q$6,RawData[Tour/Site],$Q$2,RawData[[Picker ID ]],$Q$3,RawData[Checker ID],$Q$4,RawData[[Error Type ]],$Q$5))</f>
        <v/>
      </c>
    </row>
    <row r="8241" spans="15:15" x14ac:dyDescent="0.25">
      <c r="O8241" s="20" t="str">
        <f>IF(N8241="","",COUNTIFS(RawData[[Date ]],N8241,RawData[Month List],$Q$6,RawData[Tour/Site],$Q$2,RawData[[Picker ID ]],$Q$3,RawData[Checker ID],$Q$4,RawData[[Error Type ]],$Q$5))</f>
        <v/>
      </c>
    </row>
    <row r="8242" spans="15:15" x14ac:dyDescent="0.25">
      <c r="O8242" s="20" t="str">
        <f>IF(N8242="","",COUNTIFS(RawData[[Date ]],N8242,RawData[Month List],$Q$6,RawData[Tour/Site],$Q$2,RawData[[Picker ID ]],$Q$3,RawData[Checker ID],$Q$4,RawData[[Error Type ]],$Q$5))</f>
        <v/>
      </c>
    </row>
    <row r="8243" spans="15:15" x14ac:dyDescent="0.25">
      <c r="O8243" s="20" t="str">
        <f>IF(N8243="","",COUNTIFS(RawData[[Date ]],N8243,RawData[Month List],$Q$6,RawData[Tour/Site],$Q$2,RawData[[Picker ID ]],$Q$3,RawData[Checker ID],$Q$4,RawData[[Error Type ]],$Q$5))</f>
        <v/>
      </c>
    </row>
    <row r="8244" spans="15:15" x14ac:dyDescent="0.25">
      <c r="O8244" s="20" t="str">
        <f>IF(N8244="","",COUNTIFS(RawData[[Date ]],N8244,RawData[Month List],$Q$6,RawData[Tour/Site],$Q$2,RawData[[Picker ID ]],$Q$3,RawData[Checker ID],$Q$4,RawData[[Error Type ]],$Q$5))</f>
        <v/>
      </c>
    </row>
    <row r="8245" spans="15:15" x14ac:dyDescent="0.25">
      <c r="O8245" s="20" t="str">
        <f>IF(N8245="","",COUNTIFS(RawData[[Date ]],N8245,RawData[Month List],$Q$6,RawData[Tour/Site],$Q$2,RawData[[Picker ID ]],$Q$3,RawData[Checker ID],$Q$4,RawData[[Error Type ]],$Q$5))</f>
        <v/>
      </c>
    </row>
    <row r="8246" spans="15:15" x14ac:dyDescent="0.25">
      <c r="O8246" s="20" t="str">
        <f>IF(N8246="","",COUNTIFS(RawData[[Date ]],N8246,RawData[Month List],$Q$6,RawData[Tour/Site],$Q$2,RawData[[Picker ID ]],$Q$3,RawData[Checker ID],$Q$4,RawData[[Error Type ]],$Q$5))</f>
        <v/>
      </c>
    </row>
    <row r="8247" spans="15:15" x14ac:dyDescent="0.25">
      <c r="O8247" s="20" t="str">
        <f>IF(N8247="","",COUNTIFS(RawData[[Date ]],N8247,RawData[Month List],$Q$6,RawData[Tour/Site],$Q$2,RawData[[Picker ID ]],$Q$3,RawData[Checker ID],$Q$4,RawData[[Error Type ]],$Q$5))</f>
        <v/>
      </c>
    </row>
    <row r="8248" spans="15:15" x14ac:dyDescent="0.25">
      <c r="O8248" s="20" t="str">
        <f>IF(N8248="","",COUNTIFS(RawData[[Date ]],N8248,RawData[Month List],$Q$6,RawData[Tour/Site],$Q$2,RawData[[Picker ID ]],$Q$3,RawData[Checker ID],$Q$4,RawData[[Error Type ]],$Q$5))</f>
        <v/>
      </c>
    </row>
    <row r="8249" spans="15:15" x14ac:dyDescent="0.25">
      <c r="O8249" s="20" t="str">
        <f>IF(N8249="","",COUNTIFS(RawData[[Date ]],N8249,RawData[Month List],$Q$6,RawData[Tour/Site],$Q$2,RawData[[Picker ID ]],$Q$3,RawData[Checker ID],$Q$4,RawData[[Error Type ]],$Q$5))</f>
        <v/>
      </c>
    </row>
    <row r="8250" spans="15:15" x14ac:dyDescent="0.25">
      <c r="O8250" s="20" t="str">
        <f>IF(N8250="","",COUNTIFS(RawData[[Date ]],N8250,RawData[Month List],$Q$6,RawData[Tour/Site],$Q$2,RawData[[Picker ID ]],$Q$3,RawData[Checker ID],$Q$4,RawData[[Error Type ]],$Q$5))</f>
        <v/>
      </c>
    </row>
    <row r="8251" spans="15:15" x14ac:dyDescent="0.25">
      <c r="O8251" s="20" t="str">
        <f>IF(N8251="","",COUNTIFS(RawData[[Date ]],N8251,RawData[Month List],$Q$6,RawData[Tour/Site],$Q$2,RawData[[Picker ID ]],$Q$3,RawData[Checker ID],$Q$4,RawData[[Error Type ]],$Q$5))</f>
        <v/>
      </c>
    </row>
    <row r="8252" spans="15:15" x14ac:dyDescent="0.25">
      <c r="O8252" s="20" t="str">
        <f>IF(N8252="","",COUNTIFS(RawData[[Date ]],N8252,RawData[Month List],$Q$6,RawData[Tour/Site],$Q$2,RawData[[Picker ID ]],$Q$3,RawData[Checker ID],$Q$4,RawData[[Error Type ]],$Q$5))</f>
        <v/>
      </c>
    </row>
    <row r="8253" spans="15:15" x14ac:dyDescent="0.25">
      <c r="O8253" s="20" t="str">
        <f>IF(N8253="","",COUNTIFS(RawData[[Date ]],N8253,RawData[Month List],$Q$6,RawData[Tour/Site],$Q$2,RawData[[Picker ID ]],$Q$3,RawData[Checker ID],$Q$4,RawData[[Error Type ]],$Q$5))</f>
        <v/>
      </c>
    </row>
    <row r="8254" spans="15:15" x14ac:dyDescent="0.25">
      <c r="O8254" s="20" t="str">
        <f>IF(N8254="","",COUNTIFS(RawData[[Date ]],N8254,RawData[Month List],$Q$6,RawData[Tour/Site],$Q$2,RawData[[Picker ID ]],$Q$3,RawData[Checker ID],$Q$4,RawData[[Error Type ]],$Q$5))</f>
        <v/>
      </c>
    </row>
    <row r="8255" spans="15:15" x14ac:dyDescent="0.25">
      <c r="O8255" s="20" t="str">
        <f>IF(N8255="","",COUNTIFS(RawData[[Date ]],N8255,RawData[Month List],$Q$6,RawData[Tour/Site],$Q$2,RawData[[Picker ID ]],$Q$3,RawData[Checker ID],$Q$4,RawData[[Error Type ]],$Q$5))</f>
        <v/>
      </c>
    </row>
    <row r="8256" spans="15:15" x14ac:dyDescent="0.25">
      <c r="O8256" s="20" t="str">
        <f>IF(N8256="","",COUNTIFS(RawData[[Date ]],N8256,RawData[Month List],$Q$6,RawData[Tour/Site],$Q$2,RawData[[Picker ID ]],$Q$3,RawData[Checker ID],$Q$4,RawData[[Error Type ]],$Q$5))</f>
        <v/>
      </c>
    </row>
    <row r="8257" spans="15:15" x14ac:dyDescent="0.25">
      <c r="O8257" s="20" t="str">
        <f>IF(N8257="","",COUNTIFS(RawData[[Date ]],N8257,RawData[Month List],$Q$6,RawData[Tour/Site],$Q$2,RawData[[Picker ID ]],$Q$3,RawData[Checker ID],$Q$4,RawData[[Error Type ]],$Q$5))</f>
        <v/>
      </c>
    </row>
    <row r="8258" spans="15:15" x14ac:dyDescent="0.25">
      <c r="O8258" s="20" t="str">
        <f>IF(N8258="","",COUNTIFS(RawData[[Date ]],N8258,RawData[Month List],$Q$6,RawData[Tour/Site],$Q$2,RawData[[Picker ID ]],$Q$3,RawData[Checker ID],$Q$4,RawData[[Error Type ]],$Q$5))</f>
        <v/>
      </c>
    </row>
    <row r="8259" spans="15:15" x14ac:dyDescent="0.25">
      <c r="O8259" s="20" t="str">
        <f>IF(N8259="","",COUNTIFS(RawData[[Date ]],N8259,RawData[Month List],$Q$6,RawData[Tour/Site],$Q$2,RawData[[Picker ID ]],$Q$3,RawData[Checker ID],$Q$4,RawData[[Error Type ]],$Q$5))</f>
        <v/>
      </c>
    </row>
    <row r="8260" spans="15:15" x14ac:dyDescent="0.25">
      <c r="O8260" s="20" t="str">
        <f>IF(N8260="","",COUNTIFS(RawData[[Date ]],N8260,RawData[Month List],$Q$6,RawData[Tour/Site],$Q$2,RawData[[Picker ID ]],$Q$3,RawData[Checker ID],$Q$4,RawData[[Error Type ]],$Q$5))</f>
        <v/>
      </c>
    </row>
    <row r="8261" spans="15:15" x14ac:dyDescent="0.25">
      <c r="O8261" s="20" t="str">
        <f>IF(N8261="","",COUNTIFS(RawData[[Date ]],N8261,RawData[Month List],$Q$6,RawData[Tour/Site],$Q$2,RawData[[Picker ID ]],$Q$3,RawData[Checker ID],$Q$4,RawData[[Error Type ]],$Q$5))</f>
        <v/>
      </c>
    </row>
    <row r="8262" spans="15:15" x14ac:dyDescent="0.25">
      <c r="O8262" s="20" t="str">
        <f>IF(N8262="","",COUNTIFS(RawData[[Date ]],N8262,RawData[Month List],$Q$6,RawData[Tour/Site],$Q$2,RawData[[Picker ID ]],$Q$3,RawData[Checker ID],$Q$4,RawData[[Error Type ]],$Q$5))</f>
        <v/>
      </c>
    </row>
    <row r="8263" spans="15:15" x14ac:dyDescent="0.25">
      <c r="O8263" s="20" t="str">
        <f>IF(N8263="","",COUNTIFS(RawData[[Date ]],N8263,RawData[Month List],$Q$6,RawData[Tour/Site],$Q$2,RawData[[Picker ID ]],$Q$3,RawData[Checker ID],$Q$4,RawData[[Error Type ]],$Q$5))</f>
        <v/>
      </c>
    </row>
    <row r="8264" spans="15:15" x14ac:dyDescent="0.25">
      <c r="O8264" s="20" t="str">
        <f>IF(N8264="","",COUNTIFS(RawData[[Date ]],N8264,RawData[Month List],$Q$6,RawData[Tour/Site],$Q$2,RawData[[Picker ID ]],$Q$3,RawData[Checker ID],$Q$4,RawData[[Error Type ]],$Q$5))</f>
        <v/>
      </c>
    </row>
    <row r="8265" spans="15:15" x14ac:dyDescent="0.25">
      <c r="O8265" s="20" t="str">
        <f>IF(N8265="","",COUNTIFS(RawData[[Date ]],N8265,RawData[Month List],$Q$6,RawData[Tour/Site],$Q$2,RawData[[Picker ID ]],$Q$3,RawData[Checker ID],$Q$4,RawData[[Error Type ]],$Q$5))</f>
        <v/>
      </c>
    </row>
    <row r="8266" spans="15:15" x14ac:dyDescent="0.25">
      <c r="O8266" s="20" t="str">
        <f>IF(N8266="","",COUNTIFS(RawData[[Date ]],N8266,RawData[Month List],$Q$6,RawData[Tour/Site],$Q$2,RawData[[Picker ID ]],$Q$3,RawData[Checker ID],$Q$4,RawData[[Error Type ]],$Q$5))</f>
        <v/>
      </c>
    </row>
    <row r="8267" spans="15:15" x14ac:dyDescent="0.25">
      <c r="O8267" s="20" t="str">
        <f>IF(N8267="","",COUNTIFS(RawData[[Date ]],N8267,RawData[Month List],$Q$6,RawData[Tour/Site],$Q$2,RawData[[Picker ID ]],$Q$3,RawData[Checker ID],$Q$4,RawData[[Error Type ]],$Q$5))</f>
        <v/>
      </c>
    </row>
    <row r="8268" spans="15:15" x14ac:dyDescent="0.25">
      <c r="O8268" s="20" t="str">
        <f>IF(N8268="","",COUNTIFS(RawData[[Date ]],N8268,RawData[Month List],$Q$6,RawData[Tour/Site],$Q$2,RawData[[Picker ID ]],$Q$3,RawData[Checker ID],$Q$4,RawData[[Error Type ]],$Q$5))</f>
        <v/>
      </c>
    </row>
    <row r="8269" spans="15:15" x14ac:dyDescent="0.25">
      <c r="O8269" s="20" t="str">
        <f>IF(N8269="","",COUNTIFS(RawData[[Date ]],N8269,RawData[Month List],$Q$6,RawData[Tour/Site],$Q$2,RawData[[Picker ID ]],$Q$3,RawData[Checker ID],$Q$4,RawData[[Error Type ]],$Q$5))</f>
        <v/>
      </c>
    </row>
    <row r="8270" spans="15:15" x14ac:dyDescent="0.25">
      <c r="O8270" s="20" t="str">
        <f>IF(N8270="","",COUNTIFS(RawData[[Date ]],N8270,RawData[Month List],$Q$6,RawData[Tour/Site],$Q$2,RawData[[Picker ID ]],$Q$3,RawData[Checker ID],$Q$4,RawData[[Error Type ]],$Q$5))</f>
        <v/>
      </c>
    </row>
    <row r="8271" spans="15:15" x14ac:dyDescent="0.25">
      <c r="O8271" s="20" t="str">
        <f>IF(N8271="","",COUNTIFS(RawData[[Date ]],N8271,RawData[Month List],$Q$6,RawData[Tour/Site],$Q$2,RawData[[Picker ID ]],$Q$3,RawData[Checker ID],$Q$4,RawData[[Error Type ]],$Q$5))</f>
        <v/>
      </c>
    </row>
    <row r="8272" spans="15:15" x14ac:dyDescent="0.25">
      <c r="O8272" s="20" t="str">
        <f>IF(N8272="","",COUNTIFS(RawData[[Date ]],N8272,RawData[Month List],$Q$6,RawData[Tour/Site],$Q$2,RawData[[Picker ID ]],$Q$3,RawData[Checker ID],$Q$4,RawData[[Error Type ]],$Q$5))</f>
        <v/>
      </c>
    </row>
    <row r="8273" spans="15:15" x14ac:dyDescent="0.25">
      <c r="O8273" s="20" t="str">
        <f>IF(N8273="","",COUNTIFS(RawData[[Date ]],N8273,RawData[Month List],$Q$6,RawData[Tour/Site],$Q$2,RawData[[Picker ID ]],$Q$3,RawData[Checker ID],$Q$4,RawData[[Error Type ]],$Q$5))</f>
        <v/>
      </c>
    </row>
    <row r="8274" spans="15:15" x14ac:dyDescent="0.25">
      <c r="O8274" s="20" t="str">
        <f>IF(N8274="","",COUNTIFS(RawData[[Date ]],N8274,RawData[Month List],$Q$6,RawData[Tour/Site],$Q$2,RawData[[Picker ID ]],$Q$3,RawData[Checker ID],$Q$4,RawData[[Error Type ]],$Q$5))</f>
        <v/>
      </c>
    </row>
    <row r="8275" spans="15:15" x14ac:dyDescent="0.25">
      <c r="O8275" s="20" t="str">
        <f>IF(N8275="","",COUNTIFS(RawData[[Date ]],N8275,RawData[Month List],$Q$6,RawData[Tour/Site],$Q$2,RawData[[Picker ID ]],$Q$3,RawData[Checker ID],$Q$4,RawData[[Error Type ]],$Q$5))</f>
        <v/>
      </c>
    </row>
    <row r="8276" spans="15:15" x14ac:dyDescent="0.25">
      <c r="O8276" s="20" t="str">
        <f>IF(N8276="","",COUNTIFS(RawData[[Date ]],N8276,RawData[Month List],$Q$6,RawData[Tour/Site],$Q$2,RawData[[Picker ID ]],$Q$3,RawData[Checker ID],$Q$4,RawData[[Error Type ]],$Q$5))</f>
        <v/>
      </c>
    </row>
    <row r="8277" spans="15:15" x14ac:dyDescent="0.25">
      <c r="O8277" s="20" t="str">
        <f>IF(N8277="","",COUNTIFS(RawData[[Date ]],N8277,RawData[Month List],$Q$6,RawData[Tour/Site],$Q$2,RawData[[Picker ID ]],$Q$3,RawData[Checker ID],$Q$4,RawData[[Error Type ]],$Q$5))</f>
        <v/>
      </c>
    </row>
    <row r="8278" spans="15:15" x14ac:dyDescent="0.25">
      <c r="O8278" s="20" t="str">
        <f>IF(N8278="","",COUNTIFS(RawData[[Date ]],N8278,RawData[Month List],$Q$6,RawData[Tour/Site],$Q$2,RawData[[Picker ID ]],$Q$3,RawData[Checker ID],$Q$4,RawData[[Error Type ]],$Q$5))</f>
        <v/>
      </c>
    </row>
    <row r="8279" spans="15:15" x14ac:dyDescent="0.25">
      <c r="O8279" s="20" t="str">
        <f>IF(N8279="","",COUNTIFS(RawData[[Date ]],N8279,RawData[Month List],$Q$6,RawData[Tour/Site],$Q$2,RawData[[Picker ID ]],$Q$3,RawData[Checker ID],$Q$4,RawData[[Error Type ]],$Q$5))</f>
        <v/>
      </c>
    </row>
    <row r="8280" spans="15:15" x14ac:dyDescent="0.25">
      <c r="O8280" s="20" t="str">
        <f>IF(N8280="","",COUNTIFS(RawData[[Date ]],N8280,RawData[Month List],$Q$6,RawData[Tour/Site],$Q$2,RawData[[Picker ID ]],$Q$3,RawData[Checker ID],$Q$4,RawData[[Error Type ]],$Q$5))</f>
        <v/>
      </c>
    </row>
    <row r="8281" spans="15:15" x14ac:dyDescent="0.25">
      <c r="O8281" s="20" t="str">
        <f>IF(N8281="","",COUNTIFS(RawData[[Date ]],N8281,RawData[Month List],$Q$6,RawData[Tour/Site],$Q$2,RawData[[Picker ID ]],$Q$3,RawData[Checker ID],$Q$4,RawData[[Error Type ]],$Q$5))</f>
        <v/>
      </c>
    </row>
    <row r="8282" spans="15:15" x14ac:dyDescent="0.25">
      <c r="O8282" s="20" t="str">
        <f>IF(N8282="","",COUNTIFS(RawData[[Date ]],N8282,RawData[Month List],$Q$6,RawData[Tour/Site],$Q$2,RawData[[Picker ID ]],$Q$3,RawData[Checker ID],$Q$4,RawData[[Error Type ]],$Q$5))</f>
        <v/>
      </c>
    </row>
    <row r="8283" spans="15:15" x14ac:dyDescent="0.25">
      <c r="O8283" s="20" t="str">
        <f>IF(N8283="","",COUNTIFS(RawData[[Date ]],N8283,RawData[Month List],$Q$6,RawData[Tour/Site],$Q$2,RawData[[Picker ID ]],$Q$3,RawData[Checker ID],$Q$4,RawData[[Error Type ]],$Q$5))</f>
        <v/>
      </c>
    </row>
    <row r="8284" spans="15:15" x14ac:dyDescent="0.25">
      <c r="O8284" s="20" t="str">
        <f>IF(N8284="","",COUNTIFS(RawData[[Date ]],N8284,RawData[Month List],$Q$6,RawData[Tour/Site],$Q$2,RawData[[Picker ID ]],$Q$3,RawData[Checker ID],$Q$4,RawData[[Error Type ]],$Q$5))</f>
        <v/>
      </c>
    </row>
    <row r="8285" spans="15:15" x14ac:dyDescent="0.25">
      <c r="O8285" s="20" t="str">
        <f>IF(N8285="","",COUNTIFS(RawData[[Date ]],N8285,RawData[Month List],$Q$6,RawData[Tour/Site],$Q$2,RawData[[Picker ID ]],$Q$3,RawData[Checker ID],$Q$4,RawData[[Error Type ]],$Q$5))</f>
        <v/>
      </c>
    </row>
    <row r="8286" spans="15:15" x14ac:dyDescent="0.25">
      <c r="O8286" s="20" t="str">
        <f>IF(N8286="","",COUNTIFS(RawData[[Date ]],N8286,RawData[Month List],$Q$6,RawData[Tour/Site],$Q$2,RawData[[Picker ID ]],$Q$3,RawData[Checker ID],$Q$4,RawData[[Error Type ]],$Q$5))</f>
        <v/>
      </c>
    </row>
    <row r="8287" spans="15:15" x14ac:dyDescent="0.25">
      <c r="O8287" s="20" t="str">
        <f>IF(N8287="","",COUNTIFS(RawData[[Date ]],N8287,RawData[Month List],$Q$6,RawData[Tour/Site],$Q$2,RawData[[Picker ID ]],$Q$3,RawData[Checker ID],$Q$4,RawData[[Error Type ]],$Q$5))</f>
        <v/>
      </c>
    </row>
    <row r="8288" spans="15:15" x14ac:dyDescent="0.25">
      <c r="O8288" s="20" t="str">
        <f>IF(N8288="","",COUNTIFS(RawData[[Date ]],N8288,RawData[Month List],$Q$6,RawData[Tour/Site],$Q$2,RawData[[Picker ID ]],$Q$3,RawData[Checker ID],$Q$4,RawData[[Error Type ]],$Q$5))</f>
        <v/>
      </c>
    </row>
    <row r="8289" spans="15:15" x14ac:dyDescent="0.25">
      <c r="O8289" s="20" t="str">
        <f>IF(N8289="","",COUNTIFS(RawData[[Date ]],N8289,RawData[Month List],$Q$6,RawData[Tour/Site],$Q$2,RawData[[Picker ID ]],$Q$3,RawData[Checker ID],$Q$4,RawData[[Error Type ]],$Q$5))</f>
        <v/>
      </c>
    </row>
    <row r="8290" spans="15:15" x14ac:dyDescent="0.25">
      <c r="O8290" s="20" t="str">
        <f>IF(N8290="","",COUNTIFS(RawData[[Date ]],N8290,RawData[Month List],$Q$6,RawData[Tour/Site],$Q$2,RawData[[Picker ID ]],$Q$3,RawData[Checker ID],$Q$4,RawData[[Error Type ]],$Q$5))</f>
        <v/>
      </c>
    </row>
    <row r="8291" spans="15:15" x14ac:dyDescent="0.25">
      <c r="O8291" s="20" t="str">
        <f>IF(N8291="","",COUNTIFS(RawData[[Date ]],N8291,RawData[Month List],$Q$6,RawData[Tour/Site],$Q$2,RawData[[Picker ID ]],$Q$3,RawData[Checker ID],$Q$4,RawData[[Error Type ]],$Q$5))</f>
        <v/>
      </c>
    </row>
    <row r="8292" spans="15:15" x14ac:dyDescent="0.25">
      <c r="O8292" s="20" t="str">
        <f>IF(N8292="","",COUNTIFS(RawData[[Date ]],N8292,RawData[Month List],$Q$6,RawData[Tour/Site],$Q$2,RawData[[Picker ID ]],$Q$3,RawData[Checker ID],$Q$4,RawData[[Error Type ]],$Q$5))</f>
        <v/>
      </c>
    </row>
    <row r="8293" spans="15:15" x14ac:dyDescent="0.25">
      <c r="O8293" s="20" t="str">
        <f>IF(N8293="","",COUNTIFS(RawData[[Date ]],N8293,RawData[Month List],$Q$6,RawData[Tour/Site],$Q$2,RawData[[Picker ID ]],$Q$3,RawData[Checker ID],$Q$4,RawData[[Error Type ]],$Q$5))</f>
        <v/>
      </c>
    </row>
    <row r="8294" spans="15:15" x14ac:dyDescent="0.25">
      <c r="O8294" s="20" t="str">
        <f>IF(N8294="","",COUNTIFS(RawData[[Date ]],N8294,RawData[Month List],$Q$6,RawData[Tour/Site],$Q$2,RawData[[Picker ID ]],$Q$3,RawData[Checker ID],$Q$4,RawData[[Error Type ]],$Q$5))</f>
        <v/>
      </c>
    </row>
    <row r="8295" spans="15:15" x14ac:dyDescent="0.25">
      <c r="O8295" s="20" t="str">
        <f>IF(N8295="","",COUNTIFS(RawData[[Date ]],N8295,RawData[Month List],$Q$6,RawData[Tour/Site],$Q$2,RawData[[Picker ID ]],$Q$3,RawData[Checker ID],$Q$4,RawData[[Error Type ]],$Q$5))</f>
        <v/>
      </c>
    </row>
    <row r="8296" spans="15:15" x14ac:dyDescent="0.25">
      <c r="O8296" s="20" t="str">
        <f>IF(N8296="","",COUNTIFS(RawData[[Date ]],N8296,RawData[Month List],$Q$6,RawData[Tour/Site],$Q$2,RawData[[Picker ID ]],$Q$3,RawData[Checker ID],$Q$4,RawData[[Error Type ]],$Q$5))</f>
        <v/>
      </c>
    </row>
    <row r="8297" spans="15:15" x14ac:dyDescent="0.25">
      <c r="O8297" s="20" t="str">
        <f>IF(N8297="","",COUNTIFS(RawData[[Date ]],N8297,RawData[Month List],$Q$6,RawData[Tour/Site],$Q$2,RawData[[Picker ID ]],$Q$3,RawData[Checker ID],$Q$4,RawData[[Error Type ]],$Q$5))</f>
        <v/>
      </c>
    </row>
    <row r="8298" spans="15:15" x14ac:dyDescent="0.25">
      <c r="O8298" s="20" t="str">
        <f>IF(N8298="","",COUNTIFS(RawData[[Date ]],N8298,RawData[Month List],$Q$6,RawData[Tour/Site],$Q$2,RawData[[Picker ID ]],$Q$3,RawData[Checker ID],$Q$4,RawData[[Error Type ]],$Q$5))</f>
        <v/>
      </c>
    </row>
    <row r="8299" spans="15:15" x14ac:dyDescent="0.25">
      <c r="O8299" s="20" t="str">
        <f>IF(N8299="","",COUNTIFS(RawData[[Date ]],N8299,RawData[Month List],$Q$6,RawData[Tour/Site],$Q$2,RawData[[Picker ID ]],$Q$3,RawData[Checker ID],$Q$4,RawData[[Error Type ]],$Q$5))</f>
        <v/>
      </c>
    </row>
    <row r="8300" spans="15:15" x14ac:dyDescent="0.25">
      <c r="O8300" s="20" t="str">
        <f>IF(N8300="","",COUNTIFS(RawData[[Date ]],N8300,RawData[Month List],$Q$6,RawData[Tour/Site],$Q$2,RawData[[Picker ID ]],$Q$3,RawData[Checker ID],$Q$4,RawData[[Error Type ]],$Q$5))</f>
        <v/>
      </c>
    </row>
    <row r="8301" spans="15:15" x14ac:dyDescent="0.25">
      <c r="O8301" s="20" t="str">
        <f>IF(N8301="","",COUNTIFS(RawData[[Date ]],N8301,RawData[Month List],$Q$6,RawData[Tour/Site],$Q$2,RawData[[Picker ID ]],$Q$3,RawData[Checker ID],$Q$4,RawData[[Error Type ]],$Q$5))</f>
        <v/>
      </c>
    </row>
    <row r="8302" spans="15:15" x14ac:dyDescent="0.25">
      <c r="O8302" s="20" t="str">
        <f>IF(N8302="","",COUNTIFS(RawData[[Date ]],N8302,RawData[Month List],$Q$6,RawData[Tour/Site],$Q$2,RawData[[Picker ID ]],$Q$3,RawData[Checker ID],$Q$4,RawData[[Error Type ]],$Q$5))</f>
        <v/>
      </c>
    </row>
    <row r="8303" spans="15:15" x14ac:dyDescent="0.25">
      <c r="O8303" s="20" t="str">
        <f>IF(N8303="","",COUNTIFS(RawData[[Date ]],N8303,RawData[Month List],$Q$6,RawData[Tour/Site],$Q$2,RawData[[Picker ID ]],$Q$3,RawData[Checker ID],$Q$4,RawData[[Error Type ]],$Q$5))</f>
        <v/>
      </c>
    </row>
    <row r="8304" spans="15:15" x14ac:dyDescent="0.25">
      <c r="O8304" s="20" t="str">
        <f>IF(N8304="","",COUNTIFS(RawData[[Date ]],N8304,RawData[Month List],$Q$6,RawData[Tour/Site],$Q$2,RawData[[Picker ID ]],$Q$3,RawData[Checker ID],$Q$4,RawData[[Error Type ]],$Q$5))</f>
        <v/>
      </c>
    </row>
    <row r="8305" spans="15:15" x14ac:dyDescent="0.25">
      <c r="O8305" s="20" t="str">
        <f>IF(N8305="","",COUNTIFS(RawData[[Date ]],N8305,RawData[Month List],$Q$6,RawData[Tour/Site],$Q$2,RawData[[Picker ID ]],$Q$3,RawData[Checker ID],$Q$4,RawData[[Error Type ]],$Q$5))</f>
        <v/>
      </c>
    </row>
    <row r="8306" spans="15:15" x14ac:dyDescent="0.25">
      <c r="O8306" s="20" t="str">
        <f>IF(N8306="","",COUNTIFS(RawData[[Date ]],N8306,RawData[Month List],$Q$6,RawData[Tour/Site],$Q$2,RawData[[Picker ID ]],$Q$3,RawData[Checker ID],$Q$4,RawData[[Error Type ]],$Q$5))</f>
        <v/>
      </c>
    </row>
    <row r="8307" spans="15:15" x14ac:dyDescent="0.25">
      <c r="O8307" s="20" t="str">
        <f>IF(N8307="","",COUNTIFS(RawData[[Date ]],N8307,RawData[Month List],$Q$6,RawData[Tour/Site],$Q$2,RawData[[Picker ID ]],$Q$3,RawData[Checker ID],$Q$4,RawData[[Error Type ]],$Q$5))</f>
        <v/>
      </c>
    </row>
    <row r="8308" spans="15:15" x14ac:dyDescent="0.25">
      <c r="O8308" s="20" t="str">
        <f>IF(N8308="","",COUNTIFS(RawData[[Date ]],N8308,RawData[Month List],$Q$6,RawData[Tour/Site],$Q$2,RawData[[Picker ID ]],$Q$3,RawData[Checker ID],$Q$4,RawData[[Error Type ]],$Q$5))</f>
        <v/>
      </c>
    </row>
    <row r="8309" spans="15:15" x14ac:dyDescent="0.25">
      <c r="O8309" s="20" t="str">
        <f>IF(N8309="","",COUNTIFS(RawData[[Date ]],N8309,RawData[Month List],$Q$6,RawData[Tour/Site],$Q$2,RawData[[Picker ID ]],$Q$3,RawData[Checker ID],$Q$4,RawData[[Error Type ]],$Q$5))</f>
        <v/>
      </c>
    </row>
    <row r="8310" spans="15:15" x14ac:dyDescent="0.25">
      <c r="O8310" s="20" t="str">
        <f>IF(N8310="","",COUNTIFS(RawData[[Date ]],N8310,RawData[Month List],$Q$6,RawData[Tour/Site],$Q$2,RawData[[Picker ID ]],$Q$3,RawData[Checker ID],$Q$4,RawData[[Error Type ]],$Q$5))</f>
        <v/>
      </c>
    </row>
    <row r="8311" spans="15:15" x14ac:dyDescent="0.25">
      <c r="O8311" s="20" t="str">
        <f>IF(N8311="","",COUNTIFS(RawData[[Date ]],N8311,RawData[Month List],$Q$6,RawData[Tour/Site],$Q$2,RawData[[Picker ID ]],$Q$3,RawData[Checker ID],$Q$4,RawData[[Error Type ]],$Q$5))</f>
        <v/>
      </c>
    </row>
    <row r="8312" spans="15:15" x14ac:dyDescent="0.25">
      <c r="O8312" s="20" t="str">
        <f>IF(N8312="","",COUNTIFS(RawData[[Date ]],N8312,RawData[Month List],$Q$6,RawData[Tour/Site],$Q$2,RawData[[Picker ID ]],$Q$3,RawData[Checker ID],$Q$4,RawData[[Error Type ]],$Q$5))</f>
        <v/>
      </c>
    </row>
    <row r="8313" spans="15:15" x14ac:dyDescent="0.25">
      <c r="O8313" s="20" t="str">
        <f>IF(N8313="","",COUNTIFS(RawData[[Date ]],N8313,RawData[Month List],$Q$6,RawData[Tour/Site],$Q$2,RawData[[Picker ID ]],$Q$3,RawData[Checker ID],$Q$4,RawData[[Error Type ]],$Q$5))</f>
        <v/>
      </c>
    </row>
    <row r="8314" spans="15:15" x14ac:dyDescent="0.25">
      <c r="O8314" s="20" t="str">
        <f>IF(N8314="","",COUNTIFS(RawData[[Date ]],N8314,RawData[Month List],$Q$6,RawData[Tour/Site],$Q$2,RawData[[Picker ID ]],$Q$3,RawData[Checker ID],$Q$4,RawData[[Error Type ]],$Q$5))</f>
        <v/>
      </c>
    </row>
    <row r="8315" spans="15:15" x14ac:dyDescent="0.25">
      <c r="O8315" s="20" t="str">
        <f>IF(N8315="","",COUNTIFS(RawData[[Date ]],N8315,RawData[Month List],$Q$6,RawData[Tour/Site],$Q$2,RawData[[Picker ID ]],$Q$3,RawData[Checker ID],$Q$4,RawData[[Error Type ]],$Q$5))</f>
        <v/>
      </c>
    </row>
    <row r="8316" spans="15:15" x14ac:dyDescent="0.25">
      <c r="O8316" s="20" t="str">
        <f>IF(N8316="","",COUNTIFS(RawData[[Date ]],N8316,RawData[Month List],$Q$6,RawData[Tour/Site],$Q$2,RawData[[Picker ID ]],$Q$3,RawData[Checker ID],$Q$4,RawData[[Error Type ]],$Q$5))</f>
        <v/>
      </c>
    </row>
    <row r="8317" spans="15:15" x14ac:dyDescent="0.25">
      <c r="O8317" s="20" t="str">
        <f>IF(N8317="","",COUNTIFS(RawData[[Date ]],N8317,RawData[Month List],$Q$6,RawData[Tour/Site],$Q$2,RawData[[Picker ID ]],$Q$3,RawData[Checker ID],$Q$4,RawData[[Error Type ]],$Q$5))</f>
        <v/>
      </c>
    </row>
    <row r="8318" spans="15:15" x14ac:dyDescent="0.25">
      <c r="O8318" s="20" t="str">
        <f>IF(N8318="","",COUNTIFS(RawData[[Date ]],N8318,RawData[Month List],$Q$6,RawData[Tour/Site],$Q$2,RawData[[Picker ID ]],$Q$3,RawData[Checker ID],$Q$4,RawData[[Error Type ]],$Q$5))</f>
        <v/>
      </c>
    </row>
    <row r="8319" spans="15:15" x14ac:dyDescent="0.25">
      <c r="O8319" s="20" t="str">
        <f>IF(N8319="","",COUNTIFS(RawData[[Date ]],N8319,RawData[Month List],$Q$6,RawData[Tour/Site],$Q$2,RawData[[Picker ID ]],$Q$3,RawData[Checker ID],$Q$4,RawData[[Error Type ]],$Q$5))</f>
        <v/>
      </c>
    </row>
    <row r="8320" spans="15:15" x14ac:dyDescent="0.25">
      <c r="O8320" s="20" t="str">
        <f>IF(N8320="","",COUNTIFS(RawData[[Date ]],N8320,RawData[Month List],$Q$6,RawData[Tour/Site],$Q$2,RawData[[Picker ID ]],$Q$3,RawData[Checker ID],$Q$4,RawData[[Error Type ]],$Q$5))</f>
        <v/>
      </c>
    </row>
    <row r="8321" spans="15:15" x14ac:dyDescent="0.25">
      <c r="O8321" s="20" t="str">
        <f>IF(N8321="","",COUNTIFS(RawData[[Date ]],N8321,RawData[Month List],$Q$6,RawData[Tour/Site],$Q$2,RawData[[Picker ID ]],$Q$3,RawData[Checker ID],$Q$4,RawData[[Error Type ]],$Q$5))</f>
        <v/>
      </c>
    </row>
    <row r="8322" spans="15:15" x14ac:dyDescent="0.25">
      <c r="O8322" s="20" t="str">
        <f>IF(N8322="","",COUNTIFS(RawData[[Date ]],N8322,RawData[Month List],$Q$6,RawData[Tour/Site],$Q$2,RawData[[Picker ID ]],$Q$3,RawData[Checker ID],$Q$4,RawData[[Error Type ]],$Q$5))</f>
        <v/>
      </c>
    </row>
    <row r="8323" spans="15:15" x14ac:dyDescent="0.25">
      <c r="O8323" s="20" t="str">
        <f>IF(N8323="","",COUNTIFS(RawData[[Date ]],N8323,RawData[Month List],$Q$6,RawData[Tour/Site],$Q$2,RawData[[Picker ID ]],$Q$3,RawData[Checker ID],$Q$4,RawData[[Error Type ]],$Q$5))</f>
        <v/>
      </c>
    </row>
    <row r="8324" spans="15:15" x14ac:dyDescent="0.25">
      <c r="O8324" s="20" t="str">
        <f>IF(N8324="","",COUNTIFS(RawData[[Date ]],N8324,RawData[Month List],$Q$6,RawData[Tour/Site],$Q$2,RawData[[Picker ID ]],$Q$3,RawData[Checker ID],$Q$4,RawData[[Error Type ]],$Q$5))</f>
        <v/>
      </c>
    </row>
    <row r="8325" spans="15:15" x14ac:dyDescent="0.25">
      <c r="O8325" s="20" t="str">
        <f>IF(N8325="","",COUNTIFS(RawData[[Date ]],N8325,RawData[Month List],$Q$6,RawData[Tour/Site],$Q$2,RawData[[Picker ID ]],$Q$3,RawData[Checker ID],$Q$4,RawData[[Error Type ]],$Q$5))</f>
        <v/>
      </c>
    </row>
    <row r="8326" spans="15:15" x14ac:dyDescent="0.25">
      <c r="O8326" s="20" t="str">
        <f>IF(N8326="","",COUNTIFS(RawData[[Date ]],N8326,RawData[Month List],$Q$6,RawData[Tour/Site],$Q$2,RawData[[Picker ID ]],$Q$3,RawData[Checker ID],$Q$4,RawData[[Error Type ]],$Q$5))</f>
        <v/>
      </c>
    </row>
    <row r="8327" spans="15:15" x14ac:dyDescent="0.25">
      <c r="O8327" s="20" t="str">
        <f>IF(N8327="","",COUNTIFS(RawData[[Date ]],N8327,RawData[Month List],$Q$6,RawData[Tour/Site],$Q$2,RawData[[Picker ID ]],$Q$3,RawData[Checker ID],$Q$4,RawData[[Error Type ]],$Q$5))</f>
        <v/>
      </c>
    </row>
    <row r="8328" spans="15:15" x14ac:dyDescent="0.25">
      <c r="O8328" s="20" t="str">
        <f>IF(N8328="","",COUNTIFS(RawData[[Date ]],N8328,RawData[Month List],$Q$6,RawData[Tour/Site],$Q$2,RawData[[Picker ID ]],$Q$3,RawData[Checker ID],$Q$4,RawData[[Error Type ]],$Q$5))</f>
        <v/>
      </c>
    </row>
    <row r="8329" spans="15:15" x14ac:dyDescent="0.25">
      <c r="O8329" s="20" t="str">
        <f>IF(N8329="","",COUNTIFS(RawData[[Date ]],N8329,RawData[Month List],$Q$6,RawData[Tour/Site],$Q$2,RawData[[Picker ID ]],$Q$3,RawData[Checker ID],$Q$4,RawData[[Error Type ]],$Q$5))</f>
        <v/>
      </c>
    </row>
    <row r="8330" spans="15:15" x14ac:dyDescent="0.25">
      <c r="O8330" s="20" t="str">
        <f>IF(N8330="","",COUNTIFS(RawData[[Date ]],N8330,RawData[Month List],$Q$6,RawData[Tour/Site],$Q$2,RawData[[Picker ID ]],$Q$3,RawData[Checker ID],$Q$4,RawData[[Error Type ]],$Q$5))</f>
        <v/>
      </c>
    </row>
    <row r="8331" spans="15:15" x14ac:dyDescent="0.25">
      <c r="O8331" s="20" t="str">
        <f>IF(N8331="","",COUNTIFS(RawData[[Date ]],N8331,RawData[Month List],$Q$6,RawData[Tour/Site],$Q$2,RawData[[Picker ID ]],$Q$3,RawData[Checker ID],$Q$4,RawData[[Error Type ]],$Q$5))</f>
        <v/>
      </c>
    </row>
    <row r="8332" spans="15:15" x14ac:dyDescent="0.25">
      <c r="O8332" s="20" t="str">
        <f>IF(N8332="","",COUNTIFS(RawData[[Date ]],N8332,RawData[Month List],$Q$6,RawData[Tour/Site],$Q$2,RawData[[Picker ID ]],$Q$3,RawData[Checker ID],$Q$4,RawData[[Error Type ]],$Q$5))</f>
        <v/>
      </c>
    </row>
    <row r="8333" spans="15:15" x14ac:dyDescent="0.25">
      <c r="O8333" s="20" t="str">
        <f>IF(N8333="","",COUNTIFS(RawData[[Date ]],N8333,RawData[Month List],$Q$6,RawData[Tour/Site],$Q$2,RawData[[Picker ID ]],$Q$3,RawData[Checker ID],$Q$4,RawData[[Error Type ]],$Q$5))</f>
        <v/>
      </c>
    </row>
    <row r="8334" spans="15:15" x14ac:dyDescent="0.25">
      <c r="O8334" s="20" t="str">
        <f>IF(N8334="","",COUNTIFS(RawData[[Date ]],N8334,RawData[Month List],$Q$6,RawData[Tour/Site],$Q$2,RawData[[Picker ID ]],$Q$3,RawData[Checker ID],$Q$4,RawData[[Error Type ]],$Q$5))</f>
        <v/>
      </c>
    </row>
    <row r="8335" spans="15:15" x14ac:dyDescent="0.25">
      <c r="O8335" s="20" t="str">
        <f>IF(N8335="","",COUNTIFS(RawData[[Date ]],N8335,RawData[Month List],$Q$6,RawData[Tour/Site],$Q$2,RawData[[Picker ID ]],$Q$3,RawData[Checker ID],$Q$4,RawData[[Error Type ]],$Q$5))</f>
        <v/>
      </c>
    </row>
    <row r="8336" spans="15:15" x14ac:dyDescent="0.25">
      <c r="O8336" s="20" t="str">
        <f>IF(N8336="","",COUNTIFS(RawData[[Date ]],N8336,RawData[Month List],$Q$6,RawData[Tour/Site],$Q$2,RawData[[Picker ID ]],$Q$3,RawData[Checker ID],$Q$4,RawData[[Error Type ]],$Q$5))</f>
        <v/>
      </c>
    </row>
    <row r="8337" spans="15:15" x14ac:dyDescent="0.25">
      <c r="O8337" s="20" t="str">
        <f>IF(N8337="","",COUNTIFS(RawData[[Date ]],N8337,RawData[Month List],$Q$6,RawData[Tour/Site],$Q$2,RawData[[Picker ID ]],$Q$3,RawData[Checker ID],$Q$4,RawData[[Error Type ]],$Q$5))</f>
        <v/>
      </c>
    </row>
    <row r="8338" spans="15:15" x14ac:dyDescent="0.25">
      <c r="O8338" s="20" t="str">
        <f>IF(N8338="","",COUNTIFS(RawData[[Date ]],N8338,RawData[Month List],$Q$6,RawData[Tour/Site],$Q$2,RawData[[Picker ID ]],$Q$3,RawData[Checker ID],$Q$4,RawData[[Error Type ]],$Q$5))</f>
        <v/>
      </c>
    </row>
    <row r="8339" spans="15:15" x14ac:dyDescent="0.25">
      <c r="O8339" s="20" t="str">
        <f>IF(N8339="","",COUNTIFS(RawData[[Date ]],N8339,RawData[Month List],$Q$6,RawData[Tour/Site],$Q$2,RawData[[Picker ID ]],$Q$3,RawData[Checker ID],$Q$4,RawData[[Error Type ]],$Q$5))</f>
        <v/>
      </c>
    </row>
    <row r="8340" spans="15:15" x14ac:dyDescent="0.25">
      <c r="O8340" s="20" t="str">
        <f>IF(N8340="","",COUNTIFS(RawData[[Date ]],N8340,RawData[Month List],$Q$6,RawData[Tour/Site],$Q$2,RawData[[Picker ID ]],$Q$3,RawData[Checker ID],$Q$4,RawData[[Error Type ]],$Q$5))</f>
        <v/>
      </c>
    </row>
    <row r="8341" spans="15:15" x14ac:dyDescent="0.25">
      <c r="O8341" s="20" t="str">
        <f>IF(N8341="","",COUNTIFS(RawData[[Date ]],N8341,RawData[Month List],$Q$6,RawData[Tour/Site],$Q$2,RawData[[Picker ID ]],$Q$3,RawData[Checker ID],$Q$4,RawData[[Error Type ]],$Q$5))</f>
        <v/>
      </c>
    </row>
    <row r="8342" spans="15:15" x14ac:dyDescent="0.25">
      <c r="O8342" s="20" t="str">
        <f>IF(N8342="","",COUNTIFS(RawData[[Date ]],N8342,RawData[Month List],$Q$6,RawData[Tour/Site],$Q$2,RawData[[Picker ID ]],$Q$3,RawData[Checker ID],$Q$4,RawData[[Error Type ]],$Q$5))</f>
        <v/>
      </c>
    </row>
    <row r="8343" spans="15:15" x14ac:dyDescent="0.25">
      <c r="O8343" s="20" t="str">
        <f>IF(N8343="","",COUNTIFS(RawData[[Date ]],N8343,RawData[Month List],$Q$6,RawData[Tour/Site],$Q$2,RawData[[Picker ID ]],$Q$3,RawData[Checker ID],$Q$4,RawData[[Error Type ]],$Q$5))</f>
        <v/>
      </c>
    </row>
    <row r="8344" spans="15:15" x14ac:dyDescent="0.25">
      <c r="O8344" s="20" t="str">
        <f>IF(N8344="","",COUNTIFS(RawData[[Date ]],N8344,RawData[Month List],$Q$6,RawData[Tour/Site],$Q$2,RawData[[Picker ID ]],$Q$3,RawData[Checker ID],$Q$4,RawData[[Error Type ]],$Q$5))</f>
        <v/>
      </c>
    </row>
    <row r="8345" spans="15:15" x14ac:dyDescent="0.25">
      <c r="O8345" s="20" t="str">
        <f>IF(N8345="","",COUNTIFS(RawData[[Date ]],N8345,RawData[Month List],$Q$6,RawData[Tour/Site],$Q$2,RawData[[Picker ID ]],$Q$3,RawData[Checker ID],$Q$4,RawData[[Error Type ]],$Q$5))</f>
        <v/>
      </c>
    </row>
    <row r="8346" spans="15:15" x14ac:dyDescent="0.25">
      <c r="O8346" s="20" t="str">
        <f>IF(N8346="","",COUNTIFS(RawData[[Date ]],N8346,RawData[Month List],$Q$6,RawData[Tour/Site],$Q$2,RawData[[Picker ID ]],$Q$3,RawData[Checker ID],$Q$4,RawData[[Error Type ]],$Q$5))</f>
        <v/>
      </c>
    </row>
    <row r="8347" spans="15:15" x14ac:dyDescent="0.25">
      <c r="O8347" s="20" t="str">
        <f>IF(N8347="","",COUNTIFS(RawData[[Date ]],N8347,RawData[Month List],$Q$6,RawData[Tour/Site],$Q$2,RawData[[Picker ID ]],$Q$3,RawData[Checker ID],$Q$4,RawData[[Error Type ]],$Q$5))</f>
        <v/>
      </c>
    </row>
    <row r="8348" spans="15:15" x14ac:dyDescent="0.25">
      <c r="O8348" s="20" t="str">
        <f>IF(N8348="","",COUNTIFS(RawData[[Date ]],N8348,RawData[Month List],$Q$6,RawData[Tour/Site],$Q$2,RawData[[Picker ID ]],$Q$3,RawData[Checker ID],$Q$4,RawData[[Error Type ]],$Q$5))</f>
        <v/>
      </c>
    </row>
    <row r="8349" spans="15:15" x14ac:dyDescent="0.25">
      <c r="O8349" s="20" t="str">
        <f>IF(N8349="","",COUNTIFS(RawData[[Date ]],N8349,RawData[Month List],$Q$6,RawData[Tour/Site],$Q$2,RawData[[Picker ID ]],$Q$3,RawData[Checker ID],$Q$4,RawData[[Error Type ]],$Q$5))</f>
        <v/>
      </c>
    </row>
    <row r="8350" spans="15:15" x14ac:dyDescent="0.25">
      <c r="O8350" s="20" t="str">
        <f>IF(N8350="","",COUNTIFS(RawData[[Date ]],N8350,RawData[Month List],$Q$6,RawData[Tour/Site],$Q$2,RawData[[Picker ID ]],$Q$3,RawData[Checker ID],$Q$4,RawData[[Error Type ]],$Q$5))</f>
        <v/>
      </c>
    </row>
    <row r="8351" spans="15:15" x14ac:dyDescent="0.25">
      <c r="O8351" s="20" t="str">
        <f>IF(N8351="","",COUNTIFS(RawData[[Date ]],N8351,RawData[Month List],$Q$6,RawData[Tour/Site],$Q$2,RawData[[Picker ID ]],$Q$3,RawData[Checker ID],$Q$4,RawData[[Error Type ]],$Q$5))</f>
        <v/>
      </c>
    </row>
    <row r="8352" spans="15:15" x14ac:dyDescent="0.25">
      <c r="O8352" s="20" t="str">
        <f>IF(N8352="","",COUNTIFS(RawData[[Date ]],N8352,RawData[Month List],$Q$6,RawData[Tour/Site],$Q$2,RawData[[Picker ID ]],$Q$3,RawData[Checker ID],$Q$4,RawData[[Error Type ]],$Q$5))</f>
        <v/>
      </c>
    </row>
    <row r="8353" spans="15:15" x14ac:dyDescent="0.25">
      <c r="O8353" s="20" t="str">
        <f>IF(N8353="","",COUNTIFS(RawData[[Date ]],N8353,RawData[Month List],$Q$6,RawData[Tour/Site],$Q$2,RawData[[Picker ID ]],$Q$3,RawData[Checker ID],$Q$4,RawData[[Error Type ]],$Q$5))</f>
        <v/>
      </c>
    </row>
    <row r="8354" spans="15:15" x14ac:dyDescent="0.25">
      <c r="O8354" s="20" t="str">
        <f>IF(N8354="","",COUNTIFS(RawData[[Date ]],N8354,RawData[Month List],$Q$6,RawData[Tour/Site],$Q$2,RawData[[Picker ID ]],$Q$3,RawData[Checker ID],$Q$4,RawData[[Error Type ]],$Q$5))</f>
        <v/>
      </c>
    </row>
    <row r="8355" spans="15:15" x14ac:dyDescent="0.25">
      <c r="O8355" s="20" t="str">
        <f>IF(N8355="","",COUNTIFS(RawData[[Date ]],N8355,RawData[Month List],$Q$6,RawData[Tour/Site],$Q$2,RawData[[Picker ID ]],$Q$3,RawData[Checker ID],$Q$4,RawData[[Error Type ]],$Q$5))</f>
        <v/>
      </c>
    </row>
    <row r="8356" spans="15:15" x14ac:dyDescent="0.25">
      <c r="O8356" s="20" t="str">
        <f>IF(N8356="","",COUNTIFS(RawData[[Date ]],N8356,RawData[Month List],$Q$6,RawData[Tour/Site],$Q$2,RawData[[Picker ID ]],$Q$3,RawData[Checker ID],$Q$4,RawData[[Error Type ]],$Q$5))</f>
        <v/>
      </c>
    </row>
    <row r="8357" spans="15:15" x14ac:dyDescent="0.25">
      <c r="O8357" s="20" t="str">
        <f>IF(N8357="","",COUNTIFS(RawData[[Date ]],N8357,RawData[Month List],$Q$6,RawData[Tour/Site],$Q$2,RawData[[Picker ID ]],$Q$3,RawData[Checker ID],$Q$4,RawData[[Error Type ]],$Q$5))</f>
        <v/>
      </c>
    </row>
    <row r="8358" spans="15:15" x14ac:dyDescent="0.25">
      <c r="O8358" s="20" t="str">
        <f>IF(N8358="","",COUNTIFS(RawData[[Date ]],N8358,RawData[Month List],$Q$6,RawData[Tour/Site],$Q$2,RawData[[Picker ID ]],$Q$3,RawData[Checker ID],$Q$4,RawData[[Error Type ]],$Q$5))</f>
        <v/>
      </c>
    </row>
    <row r="8359" spans="15:15" x14ac:dyDescent="0.25">
      <c r="O8359" s="20" t="str">
        <f>IF(N8359="","",COUNTIFS(RawData[[Date ]],N8359,RawData[Month List],$Q$6,RawData[Tour/Site],$Q$2,RawData[[Picker ID ]],$Q$3,RawData[Checker ID],$Q$4,RawData[[Error Type ]],$Q$5))</f>
        <v/>
      </c>
    </row>
    <row r="8360" spans="15:15" x14ac:dyDescent="0.25">
      <c r="O8360" s="20" t="str">
        <f>IF(N8360="","",COUNTIFS(RawData[[Date ]],N8360,RawData[Month List],$Q$6,RawData[Tour/Site],$Q$2,RawData[[Picker ID ]],$Q$3,RawData[Checker ID],$Q$4,RawData[[Error Type ]],$Q$5))</f>
        <v/>
      </c>
    </row>
    <row r="8361" spans="15:15" x14ac:dyDescent="0.25">
      <c r="O8361" s="20" t="str">
        <f>IF(N8361="","",COUNTIFS(RawData[[Date ]],N8361,RawData[Month List],$Q$6,RawData[Tour/Site],$Q$2,RawData[[Picker ID ]],$Q$3,RawData[Checker ID],$Q$4,RawData[[Error Type ]],$Q$5))</f>
        <v/>
      </c>
    </row>
    <row r="8362" spans="15:15" x14ac:dyDescent="0.25">
      <c r="O8362" s="20" t="str">
        <f>IF(N8362="","",COUNTIFS(RawData[[Date ]],N8362,RawData[Month List],$Q$6,RawData[Tour/Site],$Q$2,RawData[[Picker ID ]],$Q$3,RawData[Checker ID],$Q$4,RawData[[Error Type ]],$Q$5))</f>
        <v/>
      </c>
    </row>
    <row r="8363" spans="15:15" x14ac:dyDescent="0.25">
      <c r="O8363" s="20" t="str">
        <f>IF(N8363="","",COUNTIFS(RawData[[Date ]],N8363,RawData[Month List],$Q$6,RawData[Tour/Site],$Q$2,RawData[[Picker ID ]],$Q$3,RawData[Checker ID],$Q$4,RawData[[Error Type ]],$Q$5))</f>
        <v/>
      </c>
    </row>
    <row r="8364" spans="15:15" x14ac:dyDescent="0.25">
      <c r="O8364" s="20" t="str">
        <f>IF(N8364="","",COUNTIFS(RawData[[Date ]],N8364,RawData[Month List],$Q$6,RawData[Tour/Site],$Q$2,RawData[[Picker ID ]],$Q$3,RawData[Checker ID],$Q$4,RawData[[Error Type ]],$Q$5))</f>
        <v/>
      </c>
    </row>
    <row r="8365" spans="15:15" x14ac:dyDescent="0.25">
      <c r="O8365" s="20" t="str">
        <f>IF(N8365="","",COUNTIFS(RawData[[Date ]],N8365,RawData[Month List],$Q$6,RawData[Tour/Site],$Q$2,RawData[[Picker ID ]],$Q$3,RawData[Checker ID],$Q$4,RawData[[Error Type ]],$Q$5))</f>
        <v/>
      </c>
    </row>
    <row r="8366" spans="15:15" x14ac:dyDescent="0.25">
      <c r="O8366" s="20" t="str">
        <f>IF(N8366="","",COUNTIFS(RawData[[Date ]],N8366,RawData[Month List],$Q$6,RawData[Tour/Site],$Q$2,RawData[[Picker ID ]],$Q$3,RawData[Checker ID],$Q$4,RawData[[Error Type ]],$Q$5))</f>
        <v/>
      </c>
    </row>
    <row r="8367" spans="15:15" x14ac:dyDescent="0.25">
      <c r="O8367" s="20" t="str">
        <f>IF(N8367="","",COUNTIFS(RawData[[Date ]],N8367,RawData[Month List],$Q$6,RawData[Tour/Site],$Q$2,RawData[[Picker ID ]],$Q$3,RawData[Checker ID],$Q$4,RawData[[Error Type ]],$Q$5))</f>
        <v/>
      </c>
    </row>
    <row r="8368" spans="15:15" x14ac:dyDescent="0.25">
      <c r="O8368" s="20" t="str">
        <f>IF(N8368="","",COUNTIFS(RawData[[Date ]],N8368,RawData[Month List],$Q$6,RawData[Tour/Site],$Q$2,RawData[[Picker ID ]],$Q$3,RawData[Checker ID],$Q$4,RawData[[Error Type ]],$Q$5))</f>
        <v/>
      </c>
    </row>
    <row r="8369" spans="15:15" x14ac:dyDescent="0.25">
      <c r="O8369" s="20" t="str">
        <f>IF(N8369="","",COUNTIFS(RawData[[Date ]],N8369,RawData[Month List],$Q$6,RawData[Tour/Site],$Q$2,RawData[[Picker ID ]],$Q$3,RawData[Checker ID],$Q$4,RawData[[Error Type ]],$Q$5))</f>
        <v/>
      </c>
    </row>
    <row r="8370" spans="15:15" x14ac:dyDescent="0.25">
      <c r="O8370" s="20" t="str">
        <f>IF(N8370="","",COUNTIFS(RawData[[Date ]],N8370,RawData[Month List],$Q$6,RawData[Tour/Site],$Q$2,RawData[[Picker ID ]],$Q$3,RawData[Checker ID],$Q$4,RawData[[Error Type ]],$Q$5))</f>
        <v/>
      </c>
    </row>
    <row r="8371" spans="15:15" x14ac:dyDescent="0.25">
      <c r="O8371" s="20" t="str">
        <f>IF(N8371="","",COUNTIFS(RawData[[Date ]],N8371,RawData[Month List],$Q$6,RawData[Tour/Site],$Q$2,RawData[[Picker ID ]],$Q$3,RawData[Checker ID],$Q$4,RawData[[Error Type ]],$Q$5))</f>
        <v/>
      </c>
    </row>
    <row r="8372" spans="15:15" x14ac:dyDescent="0.25">
      <c r="O8372" s="20" t="str">
        <f>IF(N8372="","",COUNTIFS(RawData[[Date ]],N8372,RawData[Month List],$Q$6,RawData[Tour/Site],$Q$2,RawData[[Picker ID ]],$Q$3,RawData[Checker ID],$Q$4,RawData[[Error Type ]],$Q$5))</f>
        <v/>
      </c>
    </row>
    <row r="8373" spans="15:15" x14ac:dyDescent="0.25">
      <c r="O8373" s="20" t="str">
        <f>IF(N8373="","",COUNTIFS(RawData[[Date ]],N8373,RawData[Month List],$Q$6,RawData[Tour/Site],$Q$2,RawData[[Picker ID ]],$Q$3,RawData[Checker ID],$Q$4,RawData[[Error Type ]],$Q$5))</f>
        <v/>
      </c>
    </row>
    <row r="8374" spans="15:15" x14ac:dyDescent="0.25">
      <c r="O8374" s="20" t="str">
        <f>IF(N8374="","",COUNTIFS(RawData[[Date ]],N8374,RawData[Month List],$Q$6,RawData[Tour/Site],$Q$2,RawData[[Picker ID ]],$Q$3,RawData[Checker ID],$Q$4,RawData[[Error Type ]],$Q$5))</f>
        <v/>
      </c>
    </row>
    <row r="8375" spans="15:15" x14ac:dyDescent="0.25">
      <c r="O8375" s="20" t="str">
        <f>IF(N8375="","",COUNTIFS(RawData[[Date ]],N8375,RawData[Month List],$Q$6,RawData[Tour/Site],$Q$2,RawData[[Picker ID ]],$Q$3,RawData[Checker ID],$Q$4,RawData[[Error Type ]],$Q$5))</f>
        <v/>
      </c>
    </row>
    <row r="8376" spans="15:15" x14ac:dyDescent="0.25">
      <c r="O8376" s="20" t="str">
        <f>IF(N8376="","",COUNTIFS(RawData[[Date ]],N8376,RawData[Month List],$Q$6,RawData[Tour/Site],$Q$2,RawData[[Picker ID ]],$Q$3,RawData[Checker ID],$Q$4,RawData[[Error Type ]],$Q$5))</f>
        <v/>
      </c>
    </row>
    <row r="8377" spans="15:15" x14ac:dyDescent="0.25">
      <c r="O8377" s="20" t="str">
        <f>IF(N8377="","",COUNTIFS(RawData[[Date ]],N8377,RawData[Month List],$Q$6,RawData[Tour/Site],$Q$2,RawData[[Picker ID ]],$Q$3,RawData[Checker ID],$Q$4,RawData[[Error Type ]],$Q$5))</f>
        <v/>
      </c>
    </row>
    <row r="8378" spans="15:15" x14ac:dyDescent="0.25">
      <c r="O8378" s="20" t="str">
        <f>IF(N8378="","",COUNTIFS(RawData[[Date ]],N8378,RawData[Month List],$Q$6,RawData[Tour/Site],$Q$2,RawData[[Picker ID ]],$Q$3,RawData[Checker ID],$Q$4,RawData[[Error Type ]],$Q$5))</f>
        <v/>
      </c>
    </row>
    <row r="8379" spans="15:15" x14ac:dyDescent="0.25">
      <c r="O8379" s="20" t="str">
        <f>IF(N8379="","",COUNTIFS(RawData[[Date ]],N8379,RawData[Month List],$Q$6,RawData[Tour/Site],$Q$2,RawData[[Picker ID ]],$Q$3,RawData[Checker ID],$Q$4,RawData[[Error Type ]],$Q$5))</f>
        <v/>
      </c>
    </row>
    <row r="8380" spans="15:15" x14ac:dyDescent="0.25">
      <c r="O8380" s="20" t="str">
        <f>IF(N8380="","",COUNTIFS(RawData[[Date ]],N8380,RawData[Month List],$Q$6,RawData[Tour/Site],$Q$2,RawData[[Picker ID ]],$Q$3,RawData[Checker ID],$Q$4,RawData[[Error Type ]],$Q$5))</f>
        <v/>
      </c>
    </row>
    <row r="8381" spans="15:15" x14ac:dyDescent="0.25">
      <c r="O8381" s="20" t="str">
        <f>IF(N8381="","",COUNTIFS(RawData[[Date ]],N8381,RawData[Month List],$Q$6,RawData[Tour/Site],$Q$2,RawData[[Picker ID ]],$Q$3,RawData[Checker ID],$Q$4,RawData[[Error Type ]],$Q$5))</f>
        <v/>
      </c>
    </row>
    <row r="8382" spans="15:15" x14ac:dyDescent="0.25">
      <c r="O8382" s="20" t="str">
        <f>IF(N8382="","",COUNTIFS(RawData[[Date ]],N8382,RawData[Month List],$Q$6,RawData[Tour/Site],$Q$2,RawData[[Picker ID ]],$Q$3,RawData[Checker ID],$Q$4,RawData[[Error Type ]],$Q$5))</f>
        <v/>
      </c>
    </row>
    <row r="8383" spans="15:15" x14ac:dyDescent="0.25">
      <c r="O8383" s="20" t="str">
        <f>IF(N8383="","",COUNTIFS(RawData[[Date ]],N8383,RawData[Month List],$Q$6,RawData[Tour/Site],$Q$2,RawData[[Picker ID ]],$Q$3,RawData[Checker ID],$Q$4,RawData[[Error Type ]],$Q$5))</f>
        <v/>
      </c>
    </row>
    <row r="8384" spans="15:15" x14ac:dyDescent="0.25">
      <c r="O8384" s="20" t="str">
        <f>IF(N8384="","",COUNTIFS(RawData[[Date ]],N8384,RawData[Month List],$Q$6,RawData[Tour/Site],$Q$2,RawData[[Picker ID ]],$Q$3,RawData[Checker ID],$Q$4,RawData[[Error Type ]],$Q$5))</f>
        <v/>
      </c>
    </row>
    <row r="8385" spans="15:15" x14ac:dyDescent="0.25">
      <c r="O8385" s="20" t="str">
        <f>IF(N8385="","",COUNTIFS(RawData[[Date ]],N8385,RawData[Month List],$Q$6,RawData[Tour/Site],$Q$2,RawData[[Picker ID ]],$Q$3,RawData[Checker ID],$Q$4,RawData[[Error Type ]],$Q$5))</f>
        <v/>
      </c>
    </row>
    <row r="8386" spans="15:15" x14ac:dyDescent="0.25">
      <c r="O8386" s="20" t="str">
        <f>IF(N8386="","",COUNTIFS(RawData[[Date ]],N8386,RawData[Month List],$Q$6,RawData[Tour/Site],$Q$2,RawData[[Picker ID ]],$Q$3,RawData[Checker ID],$Q$4,RawData[[Error Type ]],$Q$5))</f>
        <v/>
      </c>
    </row>
    <row r="8387" spans="15:15" x14ac:dyDescent="0.25">
      <c r="O8387" s="20" t="str">
        <f>IF(N8387="","",COUNTIFS(RawData[[Date ]],N8387,RawData[Month List],$Q$6,RawData[Tour/Site],$Q$2,RawData[[Picker ID ]],$Q$3,RawData[Checker ID],$Q$4,RawData[[Error Type ]],$Q$5))</f>
        <v/>
      </c>
    </row>
    <row r="8388" spans="15:15" x14ac:dyDescent="0.25">
      <c r="O8388" s="20" t="str">
        <f>IF(N8388="","",COUNTIFS(RawData[[Date ]],N8388,RawData[Month List],$Q$6,RawData[Tour/Site],$Q$2,RawData[[Picker ID ]],$Q$3,RawData[Checker ID],$Q$4,RawData[[Error Type ]],$Q$5))</f>
        <v/>
      </c>
    </row>
    <row r="8389" spans="15:15" x14ac:dyDescent="0.25">
      <c r="O8389" s="20" t="str">
        <f>IF(N8389="","",COUNTIFS(RawData[[Date ]],N8389,RawData[Month List],$Q$6,RawData[Tour/Site],$Q$2,RawData[[Picker ID ]],$Q$3,RawData[Checker ID],$Q$4,RawData[[Error Type ]],$Q$5))</f>
        <v/>
      </c>
    </row>
    <row r="8390" spans="15:15" x14ac:dyDescent="0.25">
      <c r="O8390" s="20" t="str">
        <f>IF(N8390="","",COUNTIFS(RawData[[Date ]],N8390,RawData[Month List],$Q$6,RawData[Tour/Site],$Q$2,RawData[[Picker ID ]],$Q$3,RawData[Checker ID],$Q$4,RawData[[Error Type ]],$Q$5))</f>
        <v/>
      </c>
    </row>
    <row r="8391" spans="15:15" x14ac:dyDescent="0.25">
      <c r="O8391" s="20" t="str">
        <f>IF(N8391="","",COUNTIFS(RawData[[Date ]],N8391,RawData[Month List],$Q$6,RawData[Tour/Site],$Q$2,RawData[[Picker ID ]],$Q$3,RawData[Checker ID],$Q$4,RawData[[Error Type ]],$Q$5))</f>
        <v/>
      </c>
    </row>
    <row r="8392" spans="15:15" x14ac:dyDescent="0.25">
      <c r="O8392" s="20" t="str">
        <f>IF(N8392="","",COUNTIFS(RawData[[Date ]],N8392,RawData[Month List],$Q$6,RawData[Tour/Site],$Q$2,RawData[[Picker ID ]],$Q$3,RawData[Checker ID],$Q$4,RawData[[Error Type ]],$Q$5))</f>
        <v/>
      </c>
    </row>
    <row r="8393" spans="15:15" x14ac:dyDescent="0.25">
      <c r="O8393" s="20" t="str">
        <f>IF(N8393="","",COUNTIFS(RawData[[Date ]],N8393,RawData[Month List],$Q$6,RawData[Tour/Site],$Q$2,RawData[[Picker ID ]],$Q$3,RawData[Checker ID],$Q$4,RawData[[Error Type ]],$Q$5))</f>
        <v/>
      </c>
    </row>
    <row r="8394" spans="15:15" x14ac:dyDescent="0.25">
      <c r="O8394" s="20" t="str">
        <f>IF(N8394="","",COUNTIFS(RawData[[Date ]],N8394,RawData[Month List],$Q$6,RawData[Tour/Site],$Q$2,RawData[[Picker ID ]],$Q$3,RawData[Checker ID],$Q$4,RawData[[Error Type ]],$Q$5))</f>
        <v/>
      </c>
    </row>
    <row r="8395" spans="15:15" x14ac:dyDescent="0.25">
      <c r="O8395" s="20" t="str">
        <f>IF(N8395="","",COUNTIFS(RawData[[Date ]],N8395,RawData[Month List],$Q$6,RawData[Tour/Site],$Q$2,RawData[[Picker ID ]],$Q$3,RawData[Checker ID],$Q$4,RawData[[Error Type ]],$Q$5))</f>
        <v/>
      </c>
    </row>
    <row r="8396" spans="15:15" x14ac:dyDescent="0.25">
      <c r="O8396" s="20" t="str">
        <f>IF(N8396="","",COUNTIFS(RawData[[Date ]],N8396,RawData[Month List],$Q$6,RawData[Tour/Site],$Q$2,RawData[[Picker ID ]],$Q$3,RawData[Checker ID],$Q$4,RawData[[Error Type ]],$Q$5))</f>
        <v/>
      </c>
    </row>
    <row r="8397" spans="15:15" x14ac:dyDescent="0.25">
      <c r="O8397" s="20" t="str">
        <f>IF(N8397="","",COUNTIFS(RawData[[Date ]],N8397,RawData[Month List],$Q$6,RawData[Tour/Site],$Q$2,RawData[[Picker ID ]],$Q$3,RawData[Checker ID],$Q$4,RawData[[Error Type ]],$Q$5))</f>
        <v/>
      </c>
    </row>
    <row r="8398" spans="15:15" x14ac:dyDescent="0.25">
      <c r="O8398" s="20" t="str">
        <f>IF(N8398="","",COUNTIFS(RawData[[Date ]],N8398,RawData[Month List],$Q$6,RawData[Tour/Site],$Q$2,RawData[[Picker ID ]],$Q$3,RawData[Checker ID],$Q$4,RawData[[Error Type ]],$Q$5))</f>
        <v/>
      </c>
    </row>
    <row r="8399" spans="15:15" x14ac:dyDescent="0.25">
      <c r="O8399" s="20" t="str">
        <f>IF(N8399="","",COUNTIFS(RawData[[Date ]],N8399,RawData[Month List],$Q$6,RawData[Tour/Site],$Q$2,RawData[[Picker ID ]],$Q$3,RawData[Checker ID],$Q$4,RawData[[Error Type ]],$Q$5))</f>
        <v/>
      </c>
    </row>
    <row r="8400" spans="15:15" x14ac:dyDescent="0.25">
      <c r="O8400" s="20" t="str">
        <f>IF(N8400="","",COUNTIFS(RawData[[Date ]],N8400,RawData[Month List],$Q$6,RawData[Tour/Site],$Q$2,RawData[[Picker ID ]],$Q$3,RawData[Checker ID],$Q$4,RawData[[Error Type ]],$Q$5))</f>
        <v/>
      </c>
    </row>
    <row r="8401" spans="15:15" x14ac:dyDescent="0.25">
      <c r="O8401" s="20" t="str">
        <f>IF(N8401="","",COUNTIFS(RawData[[Date ]],N8401,RawData[Month List],$Q$6,RawData[Tour/Site],$Q$2,RawData[[Picker ID ]],$Q$3,RawData[Checker ID],$Q$4,RawData[[Error Type ]],$Q$5))</f>
        <v/>
      </c>
    </row>
    <row r="8402" spans="15:15" x14ac:dyDescent="0.25">
      <c r="O8402" s="20" t="str">
        <f>IF(N8402="","",COUNTIFS(RawData[[Date ]],N8402,RawData[Month List],$Q$6,RawData[Tour/Site],$Q$2,RawData[[Picker ID ]],$Q$3,RawData[Checker ID],$Q$4,RawData[[Error Type ]],$Q$5))</f>
        <v/>
      </c>
    </row>
    <row r="8403" spans="15:15" x14ac:dyDescent="0.25">
      <c r="O8403" s="20" t="str">
        <f>IF(N8403="","",COUNTIFS(RawData[[Date ]],N8403,RawData[Month List],$Q$6,RawData[Tour/Site],$Q$2,RawData[[Picker ID ]],$Q$3,RawData[Checker ID],$Q$4,RawData[[Error Type ]],$Q$5))</f>
        <v/>
      </c>
    </row>
    <row r="8404" spans="15:15" x14ac:dyDescent="0.25">
      <c r="O8404" s="20" t="str">
        <f>IF(N8404="","",COUNTIFS(RawData[[Date ]],N8404,RawData[Month List],$Q$6,RawData[Tour/Site],$Q$2,RawData[[Picker ID ]],$Q$3,RawData[Checker ID],$Q$4,RawData[[Error Type ]],$Q$5))</f>
        <v/>
      </c>
    </row>
    <row r="8405" spans="15:15" x14ac:dyDescent="0.25">
      <c r="O8405" s="20" t="str">
        <f>IF(N8405="","",COUNTIFS(RawData[[Date ]],N8405,RawData[Month List],$Q$6,RawData[Tour/Site],$Q$2,RawData[[Picker ID ]],$Q$3,RawData[Checker ID],$Q$4,RawData[[Error Type ]],$Q$5))</f>
        <v/>
      </c>
    </row>
    <row r="8406" spans="15:15" x14ac:dyDescent="0.25">
      <c r="O8406" s="20" t="str">
        <f>IF(N8406="","",COUNTIFS(RawData[[Date ]],N8406,RawData[Month List],$Q$6,RawData[Tour/Site],$Q$2,RawData[[Picker ID ]],$Q$3,RawData[Checker ID],$Q$4,RawData[[Error Type ]],$Q$5))</f>
        <v/>
      </c>
    </row>
    <row r="8407" spans="15:15" x14ac:dyDescent="0.25">
      <c r="O8407" s="20" t="str">
        <f>IF(N8407="","",COUNTIFS(RawData[[Date ]],N8407,RawData[Month List],$Q$6,RawData[Tour/Site],$Q$2,RawData[[Picker ID ]],$Q$3,RawData[Checker ID],$Q$4,RawData[[Error Type ]],$Q$5))</f>
        <v/>
      </c>
    </row>
    <row r="8408" spans="15:15" x14ac:dyDescent="0.25">
      <c r="O8408" s="20" t="str">
        <f>IF(N8408="","",COUNTIFS(RawData[[Date ]],N8408,RawData[Month List],$Q$6,RawData[Tour/Site],$Q$2,RawData[[Picker ID ]],$Q$3,RawData[Checker ID],$Q$4,RawData[[Error Type ]],$Q$5))</f>
        <v/>
      </c>
    </row>
    <row r="8409" spans="15:15" x14ac:dyDescent="0.25">
      <c r="O8409" s="20" t="str">
        <f>IF(N8409="","",COUNTIFS(RawData[[Date ]],N8409,RawData[Month List],$Q$6,RawData[Tour/Site],$Q$2,RawData[[Picker ID ]],$Q$3,RawData[Checker ID],$Q$4,RawData[[Error Type ]],$Q$5))</f>
        <v/>
      </c>
    </row>
    <row r="8410" spans="15:15" x14ac:dyDescent="0.25">
      <c r="O8410" s="20" t="str">
        <f>IF(N8410="","",COUNTIFS(RawData[[Date ]],N8410,RawData[Month List],$Q$6,RawData[Tour/Site],$Q$2,RawData[[Picker ID ]],$Q$3,RawData[Checker ID],$Q$4,RawData[[Error Type ]],$Q$5))</f>
        <v/>
      </c>
    </row>
    <row r="8411" spans="15:15" x14ac:dyDescent="0.25">
      <c r="O8411" s="20" t="str">
        <f>IF(N8411="","",COUNTIFS(RawData[[Date ]],N8411,RawData[Month List],$Q$6,RawData[Tour/Site],$Q$2,RawData[[Picker ID ]],$Q$3,RawData[Checker ID],$Q$4,RawData[[Error Type ]],$Q$5))</f>
        <v/>
      </c>
    </row>
    <row r="8412" spans="15:15" x14ac:dyDescent="0.25">
      <c r="O8412" s="20" t="str">
        <f>IF(N8412="","",COUNTIFS(RawData[[Date ]],N8412,RawData[Month List],$Q$6,RawData[Tour/Site],$Q$2,RawData[[Picker ID ]],$Q$3,RawData[Checker ID],$Q$4,RawData[[Error Type ]],$Q$5))</f>
        <v/>
      </c>
    </row>
    <row r="8413" spans="15:15" x14ac:dyDescent="0.25">
      <c r="O8413" s="20" t="str">
        <f>IF(N8413="","",COUNTIFS(RawData[[Date ]],N8413,RawData[Month List],$Q$6,RawData[Tour/Site],$Q$2,RawData[[Picker ID ]],$Q$3,RawData[Checker ID],$Q$4,RawData[[Error Type ]],$Q$5))</f>
        <v/>
      </c>
    </row>
    <row r="8414" spans="15:15" x14ac:dyDescent="0.25">
      <c r="O8414" s="20" t="str">
        <f>IF(N8414="","",COUNTIFS(RawData[[Date ]],N8414,RawData[Month List],$Q$6,RawData[Tour/Site],$Q$2,RawData[[Picker ID ]],$Q$3,RawData[Checker ID],$Q$4,RawData[[Error Type ]],$Q$5))</f>
        <v/>
      </c>
    </row>
    <row r="8415" spans="15:15" x14ac:dyDescent="0.25">
      <c r="O8415" s="20" t="str">
        <f>IF(N8415="","",COUNTIFS(RawData[[Date ]],N8415,RawData[Month List],$Q$6,RawData[Tour/Site],$Q$2,RawData[[Picker ID ]],$Q$3,RawData[Checker ID],$Q$4,RawData[[Error Type ]],$Q$5))</f>
        <v/>
      </c>
    </row>
    <row r="8416" spans="15:15" x14ac:dyDescent="0.25">
      <c r="O8416" s="20" t="str">
        <f>IF(N8416="","",COUNTIFS(RawData[[Date ]],N8416,RawData[Month List],$Q$6,RawData[Tour/Site],$Q$2,RawData[[Picker ID ]],$Q$3,RawData[Checker ID],$Q$4,RawData[[Error Type ]],$Q$5))</f>
        <v/>
      </c>
    </row>
    <row r="8417" spans="15:15" x14ac:dyDescent="0.25">
      <c r="O8417" s="20" t="str">
        <f>IF(N8417="","",COUNTIFS(RawData[[Date ]],N8417,RawData[Month List],$Q$6,RawData[Tour/Site],$Q$2,RawData[[Picker ID ]],$Q$3,RawData[Checker ID],$Q$4,RawData[[Error Type ]],$Q$5))</f>
        <v/>
      </c>
    </row>
    <row r="8418" spans="15:15" x14ac:dyDescent="0.25">
      <c r="O8418" s="20" t="str">
        <f>IF(N8418="","",COUNTIFS(RawData[[Date ]],N8418,RawData[Month List],$Q$6,RawData[Tour/Site],$Q$2,RawData[[Picker ID ]],$Q$3,RawData[Checker ID],$Q$4,RawData[[Error Type ]],$Q$5))</f>
        <v/>
      </c>
    </row>
    <row r="8419" spans="15:15" x14ac:dyDescent="0.25">
      <c r="O8419" s="20" t="str">
        <f>IF(N8419="","",COUNTIFS(RawData[[Date ]],N8419,RawData[Month List],$Q$6,RawData[Tour/Site],$Q$2,RawData[[Picker ID ]],$Q$3,RawData[Checker ID],$Q$4,RawData[[Error Type ]],$Q$5))</f>
        <v/>
      </c>
    </row>
    <row r="8420" spans="15:15" x14ac:dyDescent="0.25">
      <c r="O8420" s="20" t="str">
        <f>IF(N8420="","",COUNTIFS(RawData[[Date ]],N8420,RawData[Month List],$Q$6,RawData[Tour/Site],$Q$2,RawData[[Picker ID ]],$Q$3,RawData[Checker ID],$Q$4,RawData[[Error Type ]],$Q$5))</f>
        <v/>
      </c>
    </row>
    <row r="8421" spans="15:15" x14ac:dyDescent="0.25">
      <c r="O8421" s="20" t="str">
        <f>IF(N8421="","",COUNTIFS(RawData[[Date ]],N8421,RawData[Month List],$Q$6,RawData[Tour/Site],$Q$2,RawData[[Picker ID ]],$Q$3,RawData[Checker ID],$Q$4,RawData[[Error Type ]],$Q$5))</f>
        <v/>
      </c>
    </row>
    <row r="8422" spans="15:15" x14ac:dyDescent="0.25">
      <c r="O8422" s="20" t="str">
        <f>IF(N8422="","",COUNTIFS(RawData[[Date ]],N8422,RawData[Month List],$Q$6,RawData[Tour/Site],$Q$2,RawData[[Picker ID ]],$Q$3,RawData[Checker ID],$Q$4,RawData[[Error Type ]],$Q$5))</f>
        <v/>
      </c>
    </row>
    <row r="8423" spans="15:15" x14ac:dyDescent="0.25">
      <c r="O8423" s="20" t="str">
        <f>IF(N8423="","",COUNTIFS(RawData[[Date ]],N8423,RawData[Month List],$Q$6,RawData[Tour/Site],$Q$2,RawData[[Picker ID ]],$Q$3,RawData[Checker ID],$Q$4,RawData[[Error Type ]],$Q$5))</f>
        <v/>
      </c>
    </row>
    <row r="8424" spans="15:15" x14ac:dyDescent="0.25">
      <c r="O8424" s="20" t="str">
        <f>IF(N8424="","",COUNTIFS(RawData[[Date ]],N8424,RawData[Month List],$Q$6,RawData[Tour/Site],$Q$2,RawData[[Picker ID ]],$Q$3,RawData[Checker ID],$Q$4,RawData[[Error Type ]],$Q$5))</f>
        <v/>
      </c>
    </row>
    <row r="8425" spans="15:15" x14ac:dyDescent="0.25">
      <c r="O8425" s="20" t="str">
        <f>IF(N8425="","",COUNTIFS(RawData[[Date ]],N8425,RawData[Month List],$Q$6,RawData[Tour/Site],$Q$2,RawData[[Picker ID ]],$Q$3,RawData[Checker ID],$Q$4,RawData[[Error Type ]],$Q$5))</f>
        <v/>
      </c>
    </row>
    <row r="8426" spans="15:15" x14ac:dyDescent="0.25">
      <c r="O8426" s="20" t="str">
        <f>IF(N8426="","",COUNTIFS(RawData[[Date ]],N8426,RawData[Month List],$Q$6,RawData[Tour/Site],$Q$2,RawData[[Picker ID ]],$Q$3,RawData[Checker ID],$Q$4,RawData[[Error Type ]],$Q$5))</f>
        <v/>
      </c>
    </row>
    <row r="8427" spans="15:15" x14ac:dyDescent="0.25">
      <c r="O8427" s="20" t="str">
        <f>IF(N8427="","",COUNTIFS(RawData[[Date ]],N8427,RawData[Month List],$Q$6,RawData[Tour/Site],$Q$2,RawData[[Picker ID ]],$Q$3,RawData[Checker ID],$Q$4,RawData[[Error Type ]],$Q$5))</f>
        <v/>
      </c>
    </row>
    <row r="8428" spans="15:15" x14ac:dyDescent="0.25">
      <c r="O8428" s="20" t="str">
        <f>IF(N8428="","",COUNTIFS(RawData[[Date ]],N8428,RawData[Month List],$Q$6,RawData[Tour/Site],$Q$2,RawData[[Picker ID ]],$Q$3,RawData[Checker ID],$Q$4,RawData[[Error Type ]],$Q$5))</f>
        <v/>
      </c>
    </row>
    <row r="8429" spans="15:15" x14ac:dyDescent="0.25">
      <c r="O8429" s="20" t="str">
        <f>IF(N8429="","",COUNTIFS(RawData[[Date ]],N8429,RawData[Month List],$Q$6,RawData[Tour/Site],$Q$2,RawData[[Picker ID ]],$Q$3,RawData[Checker ID],$Q$4,RawData[[Error Type ]],$Q$5))</f>
        <v/>
      </c>
    </row>
    <row r="8430" spans="15:15" x14ac:dyDescent="0.25">
      <c r="O8430" s="20" t="str">
        <f>IF(N8430="","",COUNTIFS(RawData[[Date ]],N8430,RawData[Month List],$Q$6,RawData[Tour/Site],$Q$2,RawData[[Picker ID ]],$Q$3,RawData[Checker ID],$Q$4,RawData[[Error Type ]],$Q$5))</f>
        <v/>
      </c>
    </row>
    <row r="8431" spans="15:15" x14ac:dyDescent="0.25">
      <c r="O8431" s="20" t="str">
        <f>IF(N8431="","",COUNTIFS(RawData[[Date ]],N8431,RawData[Month List],$Q$6,RawData[Tour/Site],$Q$2,RawData[[Picker ID ]],$Q$3,RawData[Checker ID],$Q$4,RawData[[Error Type ]],$Q$5))</f>
        <v/>
      </c>
    </row>
    <row r="8432" spans="15:15" x14ac:dyDescent="0.25">
      <c r="O8432" s="20" t="str">
        <f>IF(N8432="","",COUNTIFS(RawData[[Date ]],N8432,RawData[Month List],$Q$6,RawData[Tour/Site],$Q$2,RawData[[Picker ID ]],$Q$3,RawData[Checker ID],$Q$4,RawData[[Error Type ]],$Q$5))</f>
        <v/>
      </c>
    </row>
    <row r="8433" spans="15:15" x14ac:dyDescent="0.25">
      <c r="O8433" s="20" t="str">
        <f>IF(N8433="","",COUNTIFS(RawData[[Date ]],N8433,RawData[Month List],$Q$6,RawData[Tour/Site],$Q$2,RawData[[Picker ID ]],$Q$3,RawData[Checker ID],$Q$4,RawData[[Error Type ]],$Q$5))</f>
        <v/>
      </c>
    </row>
    <row r="8434" spans="15:15" x14ac:dyDescent="0.25">
      <c r="O8434" s="20" t="str">
        <f>IF(N8434="","",COUNTIFS(RawData[[Date ]],N8434,RawData[Month List],$Q$6,RawData[Tour/Site],$Q$2,RawData[[Picker ID ]],$Q$3,RawData[Checker ID],$Q$4,RawData[[Error Type ]],$Q$5))</f>
        <v/>
      </c>
    </row>
    <row r="8435" spans="15:15" x14ac:dyDescent="0.25">
      <c r="O8435" s="20" t="str">
        <f>IF(N8435="","",COUNTIFS(RawData[[Date ]],N8435,RawData[Month List],$Q$6,RawData[Tour/Site],$Q$2,RawData[[Picker ID ]],$Q$3,RawData[Checker ID],$Q$4,RawData[[Error Type ]],$Q$5))</f>
        <v/>
      </c>
    </row>
    <row r="8436" spans="15:15" x14ac:dyDescent="0.25">
      <c r="O8436" s="20" t="str">
        <f>IF(N8436="","",COUNTIFS(RawData[[Date ]],N8436,RawData[Month List],$Q$6,RawData[Tour/Site],$Q$2,RawData[[Picker ID ]],$Q$3,RawData[Checker ID],$Q$4,RawData[[Error Type ]],$Q$5))</f>
        <v/>
      </c>
    </row>
    <row r="8437" spans="15:15" x14ac:dyDescent="0.25">
      <c r="O8437" s="20" t="str">
        <f>IF(N8437="","",COUNTIFS(RawData[[Date ]],N8437,RawData[Month List],$Q$6,RawData[Tour/Site],$Q$2,RawData[[Picker ID ]],$Q$3,RawData[Checker ID],$Q$4,RawData[[Error Type ]],$Q$5))</f>
        <v/>
      </c>
    </row>
    <row r="8438" spans="15:15" x14ac:dyDescent="0.25">
      <c r="O8438" s="20" t="str">
        <f>IF(N8438="","",COUNTIFS(RawData[[Date ]],N8438,RawData[Month List],$Q$6,RawData[Tour/Site],$Q$2,RawData[[Picker ID ]],$Q$3,RawData[Checker ID],$Q$4,RawData[[Error Type ]],$Q$5))</f>
        <v/>
      </c>
    </row>
    <row r="8439" spans="15:15" x14ac:dyDescent="0.25">
      <c r="O8439" s="20" t="str">
        <f>IF(N8439="","",COUNTIFS(RawData[[Date ]],N8439,RawData[Month List],$Q$6,RawData[Tour/Site],$Q$2,RawData[[Picker ID ]],$Q$3,RawData[Checker ID],$Q$4,RawData[[Error Type ]],$Q$5))</f>
        <v/>
      </c>
    </row>
    <row r="8440" spans="15:15" x14ac:dyDescent="0.25">
      <c r="O8440" s="20" t="str">
        <f>IF(N8440="","",COUNTIFS(RawData[[Date ]],N8440,RawData[Month List],$Q$6,RawData[Tour/Site],$Q$2,RawData[[Picker ID ]],$Q$3,RawData[Checker ID],$Q$4,RawData[[Error Type ]],$Q$5))</f>
        <v/>
      </c>
    </row>
    <row r="8441" spans="15:15" x14ac:dyDescent="0.25">
      <c r="O8441" s="20" t="str">
        <f>IF(N8441="","",COUNTIFS(RawData[[Date ]],N8441,RawData[Month List],$Q$6,RawData[Tour/Site],$Q$2,RawData[[Picker ID ]],$Q$3,RawData[Checker ID],$Q$4,RawData[[Error Type ]],$Q$5))</f>
        <v/>
      </c>
    </row>
    <row r="8442" spans="15:15" x14ac:dyDescent="0.25">
      <c r="O8442" s="20" t="str">
        <f>IF(N8442="","",COUNTIFS(RawData[[Date ]],N8442,RawData[Month List],$Q$6,RawData[Tour/Site],$Q$2,RawData[[Picker ID ]],$Q$3,RawData[Checker ID],$Q$4,RawData[[Error Type ]],$Q$5))</f>
        <v/>
      </c>
    </row>
    <row r="8443" spans="15:15" x14ac:dyDescent="0.25">
      <c r="O8443" s="20" t="str">
        <f>IF(N8443="","",COUNTIFS(RawData[[Date ]],N8443,RawData[Month List],$Q$6,RawData[Tour/Site],$Q$2,RawData[[Picker ID ]],$Q$3,RawData[Checker ID],$Q$4,RawData[[Error Type ]],$Q$5))</f>
        <v/>
      </c>
    </row>
    <row r="8444" spans="15:15" x14ac:dyDescent="0.25">
      <c r="O8444" s="20" t="str">
        <f>IF(N8444="","",COUNTIFS(RawData[[Date ]],N8444,RawData[Month List],$Q$6,RawData[Tour/Site],$Q$2,RawData[[Picker ID ]],$Q$3,RawData[Checker ID],$Q$4,RawData[[Error Type ]],$Q$5))</f>
        <v/>
      </c>
    </row>
    <row r="8445" spans="15:15" x14ac:dyDescent="0.25">
      <c r="O8445" s="20" t="str">
        <f>IF(N8445="","",COUNTIFS(RawData[[Date ]],N8445,RawData[Month List],$Q$6,RawData[Tour/Site],$Q$2,RawData[[Picker ID ]],$Q$3,RawData[Checker ID],$Q$4,RawData[[Error Type ]],$Q$5))</f>
        <v/>
      </c>
    </row>
    <row r="8446" spans="15:15" x14ac:dyDescent="0.25">
      <c r="O8446" s="20" t="str">
        <f>IF(N8446="","",COUNTIFS(RawData[[Date ]],N8446,RawData[Month List],$Q$6,RawData[Tour/Site],$Q$2,RawData[[Picker ID ]],$Q$3,RawData[Checker ID],$Q$4,RawData[[Error Type ]],$Q$5))</f>
        <v/>
      </c>
    </row>
    <row r="8447" spans="15:15" x14ac:dyDescent="0.25">
      <c r="O8447" s="20" t="str">
        <f>IF(N8447="","",COUNTIFS(RawData[[Date ]],N8447,RawData[Month List],$Q$6,RawData[Tour/Site],$Q$2,RawData[[Picker ID ]],$Q$3,RawData[Checker ID],$Q$4,RawData[[Error Type ]],$Q$5))</f>
        <v/>
      </c>
    </row>
    <row r="8448" spans="15:15" x14ac:dyDescent="0.25">
      <c r="O8448" s="20" t="str">
        <f>IF(N8448="","",COUNTIFS(RawData[[Date ]],N8448,RawData[Month List],$Q$6,RawData[Tour/Site],$Q$2,RawData[[Picker ID ]],$Q$3,RawData[Checker ID],$Q$4,RawData[[Error Type ]],$Q$5))</f>
        <v/>
      </c>
    </row>
    <row r="8449" spans="15:15" x14ac:dyDescent="0.25">
      <c r="O8449" s="20" t="str">
        <f>IF(N8449="","",COUNTIFS(RawData[[Date ]],N8449,RawData[Month List],$Q$6,RawData[Tour/Site],$Q$2,RawData[[Picker ID ]],$Q$3,RawData[Checker ID],$Q$4,RawData[[Error Type ]],$Q$5))</f>
        <v/>
      </c>
    </row>
    <row r="8450" spans="15:15" x14ac:dyDescent="0.25">
      <c r="O8450" s="20" t="str">
        <f>IF(N8450="","",COUNTIFS(RawData[[Date ]],N8450,RawData[Month List],$Q$6,RawData[Tour/Site],$Q$2,RawData[[Picker ID ]],$Q$3,RawData[Checker ID],$Q$4,RawData[[Error Type ]],$Q$5))</f>
        <v/>
      </c>
    </row>
    <row r="8451" spans="15:15" x14ac:dyDescent="0.25">
      <c r="O8451" s="20" t="str">
        <f>IF(N8451="","",COUNTIFS(RawData[[Date ]],N8451,RawData[Month List],$Q$6,RawData[Tour/Site],$Q$2,RawData[[Picker ID ]],$Q$3,RawData[Checker ID],$Q$4,RawData[[Error Type ]],$Q$5))</f>
        <v/>
      </c>
    </row>
    <row r="8452" spans="15:15" x14ac:dyDescent="0.25">
      <c r="O8452" s="20" t="str">
        <f>IF(N8452="","",COUNTIFS(RawData[[Date ]],N8452,RawData[Month List],$Q$6,RawData[Tour/Site],$Q$2,RawData[[Picker ID ]],$Q$3,RawData[Checker ID],$Q$4,RawData[[Error Type ]],$Q$5))</f>
        <v/>
      </c>
    </row>
    <row r="8453" spans="15:15" x14ac:dyDescent="0.25">
      <c r="O8453" s="20" t="str">
        <f>IF(N8453="","",COUNTIFS(RawData[[Date ]],N8453,RawData[Month List],$Q$6,RawData[Tour/Site],$Q$2,RawData[[Picker ID ]],$Q$3,RawData[Checker ID],$Q$4,RawData[[Error Type ]],$Q$5))</f>
        <v/>
      </c>
    </row>
    <row r="8454" spans="15:15" x14ac:dyDescent="0.25">
      <c r="O8454" s="20" t="str">
        <f>IF(N8454="","",COUNTIFS(RawData[[Date ]],N8454,RawData[Month List],$Q$6,RawData[Tour/Site],$Q$2,RawData[[Picker ID ]],$Q$3,RawData[Checker ID],$Q$4,RawData[[Error Type ]],$Q$5))</f>
        <v/>
      </c>
    </row>
    <row r="8455" spans="15:15" x14ac:dyDescent="0.25">
      <c r="O8455" s="20" t="str">
        <f>IF(N8455="","",COUNTIFS(RawData[[Date ]],N8455,RawData[Month List],$Q$6,RawData[Tour/Site],$Q$2,RawData[[Picker ID ]],$Q$3,RawData[Checker ID],$Q$4,RawData[[Error Type ]],$Q$5))</f>
        <v/>
      </c>
    </row>
    <row r="8456" spans="15:15" x14ac:dyDescent="0.25">
      <c r="O8456" s="20" t="str">
        <f>IF(N8456="","",COUNTIFS(RawData[[Date ]],N8456,RawData[Month List],$Q$6,RawData[Tour/Site],$Q$2,RawData[[Picker ID ]],$Q$3,RawData[Checker ID],$Q$4,RawData[[Error Type ]],$Q$5))</f>
        <v/>
      </c>
    </row>
    <row r="8457" spans="15:15" x14ac:dyDescent="0.25">
      <c r="O8457" s="20" t="str">
        <f>IF(N8457="","",COUNTIFS(RawData[[Date ]],N8457,RawData[Month List],$Q$6,RawData[Tour/Site],$Q$2,RawData[[Picker ID ]],$Q$3,RawData[Checker ID],$Q$4,RawData[[Error Type ]],$Q$5))</f>
        <v/>
      </c>
    </row>
    <row r="8458" spans="15:15" x14ac:dyDescent="0.25">
      <c r="O8458" s="20" t="str">
        <f>IF(N8458="","",COUNTIFS(RawData[[Date ]],N8458,RawData[Month List],$Q$6,RawData[Tour/Site],$Q$2,RawData[[Picker ID ]],$Q$3,RawData[Checker ID],$Q$4,RawData[[Error Type ]],$Q$5))</f>
        <v/>
      </c>
    </row>
    <row r="8459" spans="15:15" x14ac:dyDescent="0.25">
      <c r="O8459" s="20" t="str">
        <f>IF(N8459="","",COUNTIFS(RawData[[Date ]],N8459,RawData[Month List],$Q$6,RawData[Tour/Site],$Q$2,RawData[[Picker ID ]],$Q$3,RawData[Checker ID],$Q$4,RawData[[Error Type ]],$Q$5))</f>
        <v/>
      </c>
    </row>
    <row r="8460" spans="15:15" x14ac:dyDescent="0.25">
      <c r="O8460" s="20" t="str">
        <f>IF(N8460="","",COUNTIFS(RawData[[Date ]],N8460,RawData[Month List],$Q$6,RawData[Tour/Site],$Q$2,RawData[[Picker ID ]],$Q$3,RawData[Checker ID],$Q$4,RawData[[Error Type ]],$Q$5))</f>
        <v/>
      </c>
    </row>
    <row r="8461" spans="15:15" x14ac:dyDescent="0.25">
      <c r="O8461" s="20" t="str">
        <f>IF(N8461="","",COUNTIFS(RawData[[Date ]],N8461,RawData[Month List],$Q$6,RawData[Tour/Site],$Q$2,RawData[[Picker ID ]],$Q$3,RawData[Checker ID],$Q$4,RawData[[Error Type ]],$Q$5))</f>
        <v/>
      </c>
    </row>
    <row r="8462" spans="15:15" x14ac:dyDescent="0.25">
      <c r="O8462" s="20" t="str">
        <f>IF(N8462="","",COUNTIFS(RawData[[Date ]],N8462,RawData[Month List],$Q$6,RawData[Tour/Site],$Q$2,RawData[[Picker ID ]],$Q$3,RawData[Checker ID],$Q$4,RawData[[Error Type ]],$Q$5))</f>
        <v/>
      </c>
    </row>
    <row r="8463" spans="15:15" x14ac:dyDescent="0.25">
      <c r="O8463" s="20" t="str">
        <f>IF(N8463="","",COUNTIFS(RawData[[Date ]],N8463,RawData[Month List],$Q$6,RawData[Tour/Site],$Q$2,RawData[[Picker ID ]],$Q$3,RawData[Checker ID],$Q$4,RawData[[Error Type ]],$Q$5))</f>
        <v/>
      </c>
    </row>
    <row r="8464" spans="15:15" x14ac:dyDescent="0.25">
      <c r="O8464" s="20" t="str">
        <f>IF(N8464="","",COUNTIFS(RawData[[Date ]],N8464,RawData[Month List],$Q$6,RawData[Tour/Site],$Q$2,RawData[[Picker ID ]],$Q$3,RawData[Checker ID],$Q$4,RawData[[Error Type ]],$Q$5))</f>
        <v/>
      </c>
    </row>
    <row r="8465" spans="15:15" x14ac:dyDescent="0.25">
      <c r="O8465" s="20" t="str">
        <f>IF(N8465="","",COUNTIFS(RawData[[Date ]],N8465,RawData[Month List],$Q$6,RawData[Tour/Site],$Q$2,RawData[[Picker ID ]],$Q$3,RawData[Checker ID],$Q$4,RawData[[Error Type ]],$Q$5))</f>
        <v/>
      </c>
    </row>
    <row r="8466" spans="15:15" x14ac:dyDescent="0.25">
      <c r="O8466" s="20" t="str">
        <f>IF(N8466="","",COUNTIFS(RawData[[Date ]],N8466,RawData[Month List],$Q$6,RawData[Tour/Site],$Q$2,RawData[[Picker ID ]],$Q$3,RawData[Checker ID],$Q$4,RawData[[Error Type ]],$Q$5))</f>
        <v/>
      </c>
    </row>
    <row r="8467" spans="15:15" x14ac:dyDescent="0.25">
      <c r="O8467" s="20" t="str">
        <f>IF(N8467="","",COUNTIFS(RawData[[Date ]],N8467,RawData[Month List],$Q$6,RawData[Tour/Site],$Q$2,RawData[[Picker ID ]],$Q$3,RawData[Checker ID],$Q$4,RawData[[Error Type ]],$Q$5))</f>
        <v/>
      </c>
    </row>
    <row r="8468" spans="15:15" x14ac:dyDescent="0.25">
      <c r="O8468" s="20" t="str">
        <f>IF(N8468="","",COUNTIFS(RawData[[Date ]],N8468,RawData[Month List],$Q$6,RawData[Tour/Site],$Q$2,RawData[[Picker ID ]],$Q$3,RawData[Checker ID],$Q$4,RawData[[Error Type ]],$Q$5))</f>
        <v/>
      </c>
    </row>
    <row r="8469" spans="15:15" x14ac:dyDescent="0.25">
      <c r="O8469" s="20" t="str">
        <f>IF(N8469="","",COUNTIFS(RawData[[Date ]],N8469,RawData[Month List],$Q$6,RawData[Tour/Site],$Q$2,RawData[[Picker ID ]],$Q$3,RawData[Checker ID],$Q$4,RawData[[Error Type ]],$Q$5))</f>
        <v/>
      </c>
    </row>
    <row r="8470" spans="15:15" x14ac:dyDescent="0.25">
      <c r="O8470" s="20" t="str">
        <f>IF(N8470="","",COUNTIFS(RawData[[Date ]],N8470,RawData[Month List],$Q$6,RawData[Tour/Site],$Q$2,RawData[[Picker ID ]],$Q$3,RawData[Checker ID],$Q$4,RawData[[Error Type ]],$Q$5))</f>
        <v/>
      </c>
    </row>
    <row r="8471" spans="15:15" x14ac:dyDescent="0.25">
      <c r="O8471" s="20" t="str">
        <f>IF(N8471="","",COUNTIFS(RawData[[Date ]],N8471,RawData[Month List],$Q$6,RawData[Tour/Site],$Q$2,RawData[[Picker ID ]],$Q$3,RawData[Checker ID],$Q$4,RawData[[Error Type ]],$Q$5))</f>
        <v/>
      </c>
    </row>
    <row r="8472" spans="15:15" x14ac:dyDescent="0.25">
      <c r="O8472" s="20" t="str">
        <f>IF(N8472="","",COUNTIFS(RawData[[Date ]],N8472,RawData[Month List],$Q$6,RawData[Tour/Site],$Q$2,RawData[[Picker ID ]],$Q$3,RawData[Checker ID],$Q$4,RawData[[Error Type ]],$Q$5))</f>
        <v/>
      </c>
    </row>
    <row r="8473" spans="15:15" x14ac:dyDescent="0.25">
      <c r="O8473" s="20" t="str">
        <f>IF(N8473="","",COUNTIFS(RawData[[Date ]],N8473,RawData[Month List],$Q$6,RawData[Tour/Site],$Q$2,RawData[[Picker ID ]],$Q$3,RawData[Checker ID],$Q$4,RawData[[Error Type ]],$Q$5))</f>
        <v/>
      </c>
    </row>
    <row r="8474" spans="15:15" x14ac:dyDescent="0.25">
      <c r="O8474" s="20" t="str">
        <f>IF(N8474="","",COUNTIFS(RawData[[Date ]],N8474,RawData[Month List],$Q$6,RawData[Tour/Site],$Q$2,RawData[[Picker ID ]],$Q$3,RawData[Checker ID],$Q$4,RawData[[Error Type ]],$Q$5))</f>
        <v/>
      </c>
    </row>
    <row r="8475" spans="15:15" x14ac:dyDescent="0.25">
      <c r="O8475" s="20" t="str">
        <f>IF(N8475="","",COUNTIFS(RawData[[Date ]],N8475,RawData[Month List],$Q$6,RawData[Tour/Site],$Q$2,RawData[[Picker ID ]],$Q$3,RawData[Checker ID],$Q$4,RawData[[Error Type ]],$Q$5))</f>
        <v/>
      </c>
    </row>
    <row r="8476" spans="15:15" x14ac:dyDescent="0.25">
      <c r="O8476" s="20" t="str">
        <f>IF(N8476="","",COUNTIFS(RawData[[Date ]],N8476,RawData[Month List],$Q$6,RawData[Tour/Site],$Q$2,RawData[[Picker ID ]],$Q$3,RawData[Checker ID],$Q$4,RawData[[Error Type ]],$Q$5))</f>
        <v/>
      </c>
    </row>
    <row r="8477" spans="15:15" x14ac:dyDescent="0.25">
      <c r="O8477" s="20" t="str">
        <f>IF(N8477="","",COUNTIFS(RawData[[Date ]],N8477,RawData[Month List],$Q$6,RawData[Tour/Site],$Q$2,RawData[[Picker ID ]],$Q$3,RawData[Checker ID],$Q$4,RawData[[Error Type ]],$Q$5))</f>
        <v/>
      </c>
    </row>
    <row r="8478" spans="15:15" x14ac:dyDescent="0.25">
      <c r="O8478" s="20" t="str">
        <f>IF(N8478="","",COUNTIFS(RawData[[Date ]],N8478,RawData[Month List],$Q$6,RawData[Tour/Site],$Q$2,RawData[[Picker ID ]],$Q$3,RawData[Checker ID],$Q$4,RawData[[Error Type ]],$Q$5))</f>
        <v/>
      </c>
    </row>
    <row r="8479" spans="15:15" x14ac:dyDescent="0.25">
      <c r="O8479" s="20" t="str">
        <f>IF(N8479="","",COUNTIFS(RawData[[Date ]],N8479,RawData[Month List],$Q$6,RawData[Tour/Site],$Q$2,RawData[[Picker ID ]],$Q$3,RawData[Checker ID],$Q$4,RawData[[Error Type ]],$Q$5))</f>
        <v/>
      </c>
    </row>
    <row r="8480" spans="15:15" x14ac:dyDescent="0.25">
      <c r="O8480" s="20" t="str">
        <f>IF(N8480="","",COUNTIFS(RawData[[Date ]],N8480,RawData[Month List],$Q$6,RawData[Tour/Site],$Q$2,RawData[[Picker ID ]],$Q$3,RawData[Checker ID],$Q$4,RawData[[Error Type ]],$Q$5))</f>
        <v/>
      </c>
    </row>
    <row r="8481" spans="15:15" x14ac:dyDescent="0.25">
      <c r="O8481" s="20" t="str">
        <f>IF(N8481="","",COUNTIFS(RawData[[Date ]],N8481,RawData[Month List],$Q$6,RawData[Tour/Site],$Q$2,RawData[[Picker ID ]],$Q$3,RawData[Checker ID],$Q$4,RawData[[Error Type ]],$Q$5))</f>
        <v/>
      </c>
    </row>
    <row r="8482" spans="15:15" x14ac:dyDescent="0.25">
      <c r="O8482" s="20" t="str">
        <f>IF(N8482="","",COUNTIFS(RawData[[Date ]],N8482,RawData[Month List],$Q$6,RawData[Tour/Site],$Q$2,RawData[[Picker ID ]],$Q$3,RawData[Checker ID],$Q$4,RawData[[Error Type ]],$Q$5))</f>
        <v/>
      </c>
    </row>
    <row r="8483" spans="15:15" x14ac:dyDescent="0.25">
      <c r="O8483" s="20" t="str">
        <f>IF(N8483="","",COUNTIFS(RawData[[Date ]],N8483,RawData[Month List],$Q$6,RawData[Tour/Site],$Q$2,RawData[[Picker ID ]],$Q$3,RawData[Checker ID],$Q$4,RawData[[Error Type ]],$Q$5))</f>
        <v/>
      </c>
    </row>
    <row r="8484" spans="15:15" x14ac:dyDescent="0.25">
      <c r="O8484" s="20" t="str">
        <f>IF(N8484="","",COUNTIFS(RawData[[Date ]],N8484,RawData[Month List],$Q$6,RawData[Tour/Site],$Q$2,RawData[[Picker ID ]],$Q$3,RawData[Checker ID],$Q$4,RawData[[Error Type ]],$Q$5))</f>
        <v/>
      </c>
    </row>
    <row r="8485" spans="15:15" x14ac:dyDescent="0.25">
      <c r="O8485" s="20" t="str">
        <f>IF(N8485="","",COUNTIFS(RawData[[Date ]],N8485,RawData[Month List],$Q$6,RawData[Tour/Site],$Q$2,RawData[[Picker ID ]],$Q$3,RawData[Checker ID],$Q$4,RawData[[Error Type ]],$Q$5))</f>
        <v/>
      </c>
    </row>
    <row r="8486" spans="15:15" x14ac:dyDescent="0.25">
      <c r="O8486" s="20" t="str">
        <f>IF(N8486="","",COUNTIFS(RawData[[Date ]],N8486,RawData[Month List],$Q$6,RawData[Tour/Site],$Q$2,RawData[[Picker ID ]],$Q$3,RawData[Checker ID],$Q$4,RawData[[Error Type ]],$Q$5))</f>
        <v/>
      </c>
    </row>
    <row r="8487" spans="15:15" x14ac:dyDescent="0.25">
      <c r="O8487" s="20" t="str">
        <f>IF(N8487="","",COUNTIFS(RawData[[Date ]],N8487,RawData[Month List],$Q$6,RawData[Tour/Site],$Q$2,RawData[[Picker ID ]],$Q$3,RawData[Checker ID],$Q$4,RawData[[Error Type ]],$Q$5))</f>
        <v/>
      </c>
    </row>
    <row r="8488" spans="15:15" x14ac:dyDescent="0.25">
      <c r="O8488" s="20" t="str">
        <f>IF(N8488="","",COUNTIFS(RawData[[Date ]],N8488,RawData[Month List],$Q$6,RawData[Tour/Site],$Q$2,RawData[[Picker ID ]],$Q$3,RawData[Checker ID],$Q$4,RawData[[Error Type ]],$Q$5))</f>
        <v/>
      </c>
    </row>
    <row r="8489" spans="15:15" x14ac:dyDescent="0.25">
      <c r="O8489" s="20" t="str">
        <f>IF(N8489="","",COUNTIFS(RawData[[Date ]],N8489,RawData[Month List],$Q$6,RawData[Tour/Site],$Q$2,RawData[[Picker ID ]],$Q$3,RawData[Checker ID],$Q$4,RawData[[Error Type ]],$Q$5))</f>
        <v/>
      </c>
    </row>
    <row r="8490" spans="15:15" x14ac:dyDescent="0.25">
      <c r="O8490" s="20" t="str">
        <f>IF(N8490="","",COUNTIFS(RawData[[Date ]],N8490,RawData[Month List],$Q$6,RawData[Tour/Site],$Q$2,RawData[[Picker ID ]],$Q$3,RawData[Checker ID],$Q$4,RawData[[Error Type ]],$Q$5))</f>
        <v/>
      </c>
    </row>
    <row r="8491" spans="15:15" x14ac:dyDescent="0.25">
      <c r="O8491" s="20" t="str">
        <f>IF(N8491="","",COUNTIFS(RawData[[Date ]],N8491,RawData[Month List],$Q$6,RawData[Tour/Site],$Q$2,RawData[[Picker ID ]],$Q$3,RawData[Checker ID],$Q$4,RawData[[Error Type ]],$Q$5))</f>
        <v/>
      </c>
    </row>
    <row r="8492" spans="15:15" x14ac:dyDescent="0.25">
      <c r="O8492" s="20" t="str">
        <f>IF(N8492="","",COUNTIFS(RawData[[Date ]],N8492,RawData[Month List],$Q$6,RawData[Tour/Site],$Q$2,RawData[[Picker ID ]],$Q$3,RawData[Checker ID],$Q$4,RawData[[Error Type ]],$Q$5))</f>
        <v/>
      </c>
    </row>
    <row r="8493" spans="15:15" x14ac:dyDescent="0.25">
      <c r="O8493" s="20" t="str">
        <f>IF(N8493="","",COUNTIFS(RawData[[Date ]],N8493,RawData[Month List],$Q$6,RawData[Tour/Site],$Q$2,RawData[[Picker ID ]],$Q$3,RawData[Checker ID],$Q$4,RawData[[Error Type ]],$Q$5))</f>
        <v/>
      </c>
    </row>
    <row r="8494" spans="15:15" x14ac:dyDescent="0.25">
      <c r="O8494" s="20" t="str">
        <f>IF(N8494="","",COUNTIFS(RawData[[Date ]],N8494,RawData[Month List],$Q$6,RawData[Tour/Site],$Q$2,RawData[[Picker ID ]],$Q$3,RawData[Checker ID],$Q$4,RawData[[Error Type ]],$Q$5))</f>
        <v/>
      </c>
    </row>
    <row r="8495" spans="15:15" x14ac:dyDescent="0.25">
      <c r="O8495" s="20" t="str">
        <f>IF(N8495="","",COUNTIFS(RawData[[Date ]],N8495,RawData[Month List],$Q$6,RawData[Tour/Site],$Q$2,RawData[[Picker ID ]],$Q$3,RawData[Checker ID],$Q$4,RawData[[Error Type ]],$Q$5))</f>
        <v/>
      </c>
    </row>
    <row r="8496" spans="15:15" x14ac:dyDescent="0.25">
      <c r="O8496" s="20" t="str">
        <f>IF(N8496="","",COUNTIFS(RawData[[Date ]],N8496,RawData[Month List],$Q$6,RawData[Tour/Site],$Q$2,RawData[[Picker ID ]],$Q$3,RawData[Checker ID],$Q$4,RawData[[Error Type ]],$Q$5))</f>
        <v/>
      </c>
    </row>
    <row r="8497" spans="15:15" x14ac:dyDescent="0.25">
      <c r="O8497" s="20" t="str">
        <f>IF(N8497="","",COUNTIFS(RawData[[Date ]],N8497,RawData[Month List],$Q$6,RawData[Tour/Site],$Q$2,RawData[[Picker ID ]],$Q$3,RawData[Checker ID],$Q$4,RawData[[Error Type ]],$Q$5))</f>
        <v/>
      </c>
    </row>
    <row r="8498" spans="15:15" x14ac:dyDescent="0.25">
      <c r="O8498" s="20" t="str">
        <f>IF(N8498="","",COUNTIFS(RawData[[Date ]],N8498,RawData[Month List],$Q$6,RawData[Tour/Site],$Q$2,RawData[[Picker ID ]],$Q$3,RawData[Checker ID],$Q$4,RawData[[Error Type ]],$Q$5))</f>
        <v/>
      </c>
    </row>
    <row r="8499" spans="15:15" x14ac:dyDescent="0.25">
      <c r="O8499" s="20" t="str">
        <f>IF(N8499="","",COUNTIFS(RawData[[Date ]],N8499,RawData[Month List],$Q$6,RawData[Tour/Site],$Q$2,RawData[[Picker ID ]],$Q$3,RawData[Checker ID],$Q$4,RawData[[Error Type ]],$Q$5))</f>
        <v/>
      </c>
    </row>
    <row r="8500" spans="15:15" x14ac:dyDescent="0.25">
      <c r="O8500" s="20" t="str">
        <f>IF(N8500="","",COUNTIFS(RawData[[Date ]],N8500,RawData[Month List],$Q$6,RawData[Tour/Site],$Q$2,RawData[[Picker ID ]],$Q$3,RawData[Checker ID],$Q$4,RawData[[Error Type ]],$Q$5))</f>
        <v/>
      </c>
    </row>
    <row r="8501" spans="15:15" x14ac:dyDescent="0.25">
      <c r="O8501" s="20" t="str">
        <f>IF(N8501="","",COUNTIFS(RawData[[Date ]],N8501,RawData[Month List],$Q$6,RawData[Tour/Site],$Q$2,RawData[[Picker ID ]],$Q$3,RawData[Checker ID],$Q$4,RawData[[Error Type ]],$Q$5))</f>
        <v/>
      </c>
    </row>
    <row r="8502" spans="15:15" x14ac:dyDescent="0.25">
      <c r="O8502" s="20" t="str">
        <f>IF(N8502="","",COUNTIFS(RawData[[Date ]],N8502,RawData[Month List],$Q$6,RawData[Tour/Site],$Q$2,RawData[[Picker ID ]],$Q$3,RawData[Checker ID],$Q$4,RawData[[Error Type ]],$Q$5))</f>
        <v/>
      </c>
    </row>
    <row r="8503" spans="15:15" x14ac:dyDescent="0.25">
      <c r="O8503" s="20" t="str">
        <f>IF(N8503="","",COUNTIFS(RawData[[Date ]],N8503,RawData[Month List],$Q$6,RawData[Tour/Site],$Q$2,RawData[[Picker ID ]],$Q$3,RawData[Checker ID],$Q$4,RawData[[Error Type ]],$Q$5))</f>
        <v/>
      </c>
    </row>
    <row r="8504" spans="15:15" x14ac:dyDescent="0.25">
      <c r="O8504" s="20" t="str">
        <f>IF(N8504="","",COUNTIFS(RawData[[Date ]],N8504,RawData[Month List],$Q$6,RawData[Tour/Site],$Q$2,RawData[[Picker ID ]],$Q$3,RawData[Checker ID],$Q$4,RawData[[Error Type ]],$Q$5))</f>
        <v/>
      </c>
    </row>
    <row r="8505" spans="15:15" x14ac:dyDescent="0.25">
      <c r="O8505" s="20" t="str">
        <f>IF(N8505="","",COUNTIFS(RawData[[Date ]],N8505,RawData[Month List],$Q$6,RawData[Tour/Site],$Q$2,RawData[[Picker ID ]],$Q$3,RawData[Checker ID],$Q$4,RawData[[Error Type ]],$Q$5))</f>
        <v/>
      </c>
    </row>
    <row r="8506" spans="15:15" x14ac:dyDescent="0.25">
      <c r="O8506" s="20" t="str">
        <f>IF(N8506="","",COUNTIFS(RawData[[Date ]],N8506,RawData[Month List],$Q$6,RawData[Tour/Site],$Q$2,RawData[[Picker ID ]],$Q$3,RawData[Checker ID],$Q$4,RawData[[Error Type ]],$Q$5))</f>
        <v/>
      </c>
    </row>
    <row r="8507" spans="15:15" x14ac:dyDescent="0.25">
      <c r="O8507" s="20" t="str">
        <f>IF(N8507="","",COUNTIFS(RawData[[Date ]],N8507,RawData[Month List],$Q$6,RawData[Tour/Site],$Q$2,RawData[[Picker ID ]],$Q$3,RawData[Checker ID],$Q$4,RawData[[Error Type ]],$Q$5))</f>
        <v/>
      </c>
    </row>
    <row r="8508" spans="15:15" x14ac:dyDescent="0.25">
      <c r="O8508" s="20" t="str">
        <f>IF(N8508="","",COUNTIFS(RawData[[Date ]],N8508,RawData[Month List],$Q$6,RawData[Tour/Site],$Q$2,RawData[[Picker ID ]],$Q$3,RawData[Checker ID],$Q$4,RawData[[Error Type ]],$Q$5))</f>
        <v/>
      </c>
    </row>
    <row r="8509" spans="15:15" x14ac:dyDescent="0.25">
      <c r="O8509" s="20" t="str">
        <f>IF(N8509="","",COUNTIFS(RawData[[Date ]],N8509,RawData[Month List],$Q$6,RawData[Tour/Site],$Q$2,RawData[[Picker ID ]],$Q$3,RawData[Checker ID],$Q$4,RawData[[Error Type ]],$Q$5))</f>
        <v/>
      </c>
    </row>
    <row r="8510" spans="15:15" x14ac:dyDescent="0.25">
      <c r="O8510" s="20" t="str">
        <f>IF(N8510="","",COUNTIFS(RawData[[Date ]],N8510,RawData[Month List],$Q$6,RawData[Tour/Site],$Q$2,RawData[[Picker ID ]],$Q$3,RawData[Checker ID],$Q$4,RawData[[Error Type ]],$Q$5))</f>
        <v/>
      </c>
    </row>
    <row r="8511" spans="15:15" x14ac:dyDescent="0.25">
      <c r="O8511" s="20" t="str">
        <f>IF(N8511="","",COUNTIFS(RawData[[Date ]],N8511,RawData[Month List],$Q$6,RawData[Tour/Site],$Q$2,RawData[[Picker ID ]],$Q$3,RawData[Checker ID],$Q$4,RawData[[Error Type ]],$Q$5))</f>
        <v/>
      </c>
    </row>
    <row r="8512" spans="15:15" x14ac:dyDescent="0.25">
      <c r="O8512" s="20" t="str">
        <f>IF(N8512="","",COUNTIFS(RawData[[Date ]],N8512,RawData[Month List],$Q$6,RawData[Tour/Site],$Q$2,RawData[[Picker ID ]],$Q$3,RawData[Checker ID],$Q$4,RawData[[Error Type ]],$Q$5))</f>
        <v/>
      </c>
    </row>
    <row r="8513" spans="15:15" x14ac:dyDescent="0.25">
      <c r="O8513" s="20" t="str">
        <f>IF(N8513="","",COUNTIFS(RawData[[Date ]],N8513,RawData[Month List],$Q$6,RawData[Tour/Site],$Q$2,RawData[[Picker ID ]],$Q$3,RawData[Checker ID],$Q$4,RawData[[Error Type ]],$Q$5))</f>
        <v/>
      </c>
    </row>
    <row r="8514" spans="15:15" x14ac:dyDescent="0.25">
      <c r="O8514" s="20" t="str">
        <f>IF(N8514="","",COUNTIFS(RawData[[Date ]],N8514,RawData[Month List],$Q$6,RawData[Tour/Site],$Q$2,RawData[[Picker ID ]],$Q$3,RawData[Checker ID],$Q$4,RawData[[Error Type ]],$Q$5))</f>
        <v/>
      </c>
    </row>
    <row r="8515" spans="15:15" x14ac:dyDescent="0.25">
      <c r="O8515" s="20" t="str">
        <f>IF(N8515="","",COUNTIFS(RawData[[Date ]],N8515,RawData[Month List],$Q$6,RawData[Tour/Site],$Q$2,RawData[[Picker ID ]],$Q$3,RawData[Checker ID],$Q$4,RawData[[Error Type ]],$Q$5))</f>
        <v/>
      </c>
    </row>
    <row r="8516" spans="15:15" x14ac:dyDescent="0.25">
      <c r="O8516" s="20" t="str">
        <f>IF(N8516="","",COUNTIFS(RawData[[Date ]],N8516,RawData[Month List],$Q$6,RawData[Tour/Site],$Q$2,RawData[[Picker ID ]],$Q$3,RawData[Checker ID],$Q$4,RawData[[Error Type ]],$Q$5))</f>
        <v/>
      </c>
    </row>
    <row r="8517" spans="15:15" x14ac:dyDescent="0.25">
      <c r="O8517" s="20" t="str">
        <f>IF(N8517="","",COUNTIFS(RawData[[Date ]],N8517,RawData[Month List],$Q$6,RawData[Tour/Site],$Q$2,RawData[[Picker ID ]],$Q$3,RawData[Checker ID],$Q$4,RawData[[Error Type ]],$Q$5))</f>
        <v/>
      </c>
    </row>
    <row r="8518" spans="15:15" x14ac:dyDescent="0.25">
      <c r="O8518" s="20" t="str">
        <f>IF(N8518="","",COUNTIFS(RawData[[Date ]],N8518,RawData[Month List],$Q$6,RawData[Tour/Site],$Q$2,RawData[[Picker ID ]],$Q$3,RawData[Checker ID],$Q$4,RawData[[Error Type ]],$Q$5))</f>
        <v/>
      </c>
    </row>
    <row r="8519" spans="15:15" x14ac:dyDescent="0.25">
      <c r="O8519" s="20" t="str">
        <f>IF(N8519="","",COUNTIFS(RawData[[Date ]],N8519,RawData[Month List],$Q$6,RawData[Tour/Site],$Q$2,RawData[[Picker ID ]],$Q$3,RawData[Checker ID],$Q$4,RawData[[Error Type ]],$Q$5))</f>
        <v/>
      </c>
    </row>
    <row r="8520" spans="15:15" x14ac:dyDescent="0.25">
      <c r="O8520" s="20" t="str">
        <f>IF(N8520="","",COUNTIFS(RawData[[Date ]],N8520,RawData[Month List],$Q$6,RawData[Tour/Site],$Q$2,RawData[[Picker ID ]],$Q$3,RawData[Checker ID],$Q$4,RawData[[Error Type ]],$Q$5))</f>
        <v/>
      </c>
    </row>
    <row r="8521" spans="15:15" x14ac:dyDescent="0.25">
      <c r="O8521" s="20" t="str">
        <f>IF(N8521="","",COUNTIFS(RawData[[Date ]],N8521,RawData[Month List],$Q$6,RawData[Tour/Site],$Q$2,RawData[[Picker ID ]],$Q$3,RawData[Checker ID],$Q$4,RawData[[Error Type ]],$Q$5))</f>
        <v/>
      </c>
    </row>
    <row r="8522" spans="15:15" x14ac:dyDescent="0.25">
      <c r="O8522" s="20" t="str">
        <f>IF(N8522="","",COUNTIFS(RawData[[Date ]],N8522,RawData[Month List],$Q$6,RawData[Tour/Site],$Q$2,RawData[[Picker ID ]],$Q$3,RawData[Checker ID],$Q$4,RawData[[Error Type ]],$Q$5))</f>
        <v/>
      </c>
    </row>
    <row r="8523" spans="15:15" x14ac:dyDescent="0.25">
      <c r="O8523" s="20" t="str">
        <f>IF(N8523="","",COUNTIFS(RawData[[Date ]],N8523,RawData[Month List],$Q$6,RawData[Tour/Site],$Q$2,RawData[[Picker ID ]],$Q$3,RawData[Checker ID],$Q$4,RawData[[Error Type ]],$Q$5))</f>
        <v/>
      </c>
    </row>
    <row r="8524" spans="15:15" x14ac:dyDescent="0.25">
      <c r="O8524" s="20" t="str">
        <f>IF(N8524="","",COUNTIFS(RawData[[Date ]],N8524,RawData[Month List],$Q$6,RawData[Tour/Site],$Q$2,RawData[[Picker ID ]],$Q$3,RawData[Checker ID],$Q$4,RawData[[Error Type ]],$Q$5))</f>
        <v/>
      </c>
    </row>
    <row r="8525" spans="15:15" x14ac:dyDescent="0.25">
      <c r="O8525" s="20" t="str">
        <f>IF(N8525="","",COUNTIFS(RawData[[Date ]],N8525,RawData[Month List],$Q$6,RawData[Tour/Site],$Q$2,RawData[[Picker ID ]],$Q$3,RawData[Checker ID],$Q$4,RawData[[Error Type ]],$Q$5))</f>
        <v/>
      </c>
    </row>
    <row r="8526" spans="15:15" x14ac:dyDescent="0.25">
      <c r="O8526" s="20" t="str">
        <f>IF(N8526="","",COUNTIFS(RawData[[Date ]],N8526,RawData[Month List],$Q$6,RawData[Tour/Site],$Q$2,RawData[[Picker ID ]],$Q$3,RawData[Checker ID],$Q$4,RawData[[Error Type ]],$Q$5))</f>
        <v/>
      </c>
    </row>
    <row r="8527" spans="15:15" x14ac:dyDescent="0.25">
      <c r="O8527" s="20" t="str">
        <f>IF(N8527="","",COUNTIFS(RawData[[Date ]],N8527,RawData[Month List],$Q$6,RawData[Tour/Site],$Q$2,RawData[[Picker ID ]],$Q$3,RawData[Checker ID],$Q$4,RawData[[Error Type ]],$Q$5))</f>
        <v/>
      </c>
    </row>
    <row r="8528" spans="15:15" x14ac:dyDescent="0.25">
      <c r="O8528" s="20" t="str">
        <f>IF(N8528="","",COUNTIFS(RawData[[Date ]],N8528,RawData[Month List],$Q$6,RawData[Tour/Site],$Q$2,RawData[[Picker ID ]],$Q$3,RawData[Checker ID],$Q$4,RawData[[Error Type ]],$Q$5))</f>
        <v/>
      </c>
    </row>
    <row r="8529" spans="15:15" x14ac:dyDescent="0.25">
      <c r="O8529" s="20" t="str">
        <f>IF(N8529="","",COUNTIFS(RawData[[Date ]],N8529,RawData[Month List],$Q$6,RawData[Tour/Site],$Q$2,RawData[[Picker ID ]],$Q$3,RawData[Checker ID],$Q$4,RawData[[Error Type ]],$Q$5))</f>
        <v/>
      </c>
    </row>
    <row r="8530" spans="15:15" x14ac:dyDescent="0.25">
      <c r="O8530" s="20" t="str">
        <f>IF(N8530="","",COUNTIFS(RawData[[Date ]],N8530,RawData[Month List],$Q$6,RawData[Tour/Site],$Q$2,RawData[[Picker ID ]],$Q$3,RawData[Checker ID],$Q$4,RawData[[Error Type ]],$Q$5))</f>
        <v/>
      </c>
    </row>
    <row r="8531" spans="15:15" x14ac:dyDescent="0.25">
      <c r="O8531" s="20" t="str">
        <f>IF(N8531="","",COUNTIFS(RawData[[Date ]],N8531,RawData[Month List],$Q$6,RawData[Tour/Site],$Q$2,RawData[[Picker ID ]],$Q$3,RawData[Checker ID],$Q$4,RawData[[Error Type ]],$Q$5))</f>
        <v/>
      </c>
    </row>
    <row r="8532" spans="15:15" x14ac:dyDescent="0.25">
      <c r="O8532" s="20" t="str">
        <f>IF(N8532="","",COUNTIFS(RawData[[Date ]],N8532,RawData[Month List],$Q$6,RawData[Tour/Site],$Q$2,RawData[[Picker ID ]],$Q$3,RawData[Checker ID],$Q$4,RawData[[Error Type ]],$Q$5))</f>
        <v/>
      </c>
    </row>
    <row r="8533" spans="15:15" x14ac:dyDescent="0.25">
      <c r="O8533" s="20" t="str">
        <f>IF(N8533="","",COUNTIFS(RawData[[Date ]],N8533,RawData[Month List],$Q$6,RawData[Tour/Site],$Q$2,RawData[[Picker ID ]],$Q$3,RawData[Checker ID],$Q$4,RawData[[Error Type ]],$Q$5))</f>
        <v/>
      </c>
    </row>
    <row r="8534" spans="15:15" x14ac:dyDescent="0.25">
      <c r="O8534" s="20" t="str">
        <f>IF(N8534="","",COUNTIFS(RawData[[Date ]],N8534,RawData[Month List],$Q$6,RawData[Tour/Site],$Q$2,RawData[[Picker ID ]],$Q$3,RawData[Checker ID],$Q$4,RawData[[Error Type ]],$Q$5))</f>
        <v/>
      </c>
    </row>
    <row r="8535" spans="15:15" x14ac:dyDescent="0.25">
      <c r="O8535" s="20" t="str">
        <f>IF(N8535="","",COUNTIFS(RawData[[Date ]],N8535,RawData[Month List],$Q$6,RawData[Tour/Site],$Q$2,RawData[[Picker ID ]],$Q$3,RawData[Checker ID],$Q$4,RawData[[Error Type ]],$Q$5))</f>
        <v/>
      </c>
    </row>
    <row r="8536" spans="15:15" x14ac:dyDescent="0.25">
      <c r="O8536" s="20" t="str">
        <f>IF(N8536="","",COUNTIFS(RawData[[Date ]],N8536,RawData[Month List],$Q$6,RawData[Tour/Site],$Q$2,RawData[[Picker ID ]],$Q$3,RawData[Checker ID],$Q$4,RawData[[Error Type ]],$Q$5))</f>
        <v/>
      </c>
    </row>
    <row r="8537" spans="15:15" x14ac:dyDescent="0.25">
      <c r="O8537" s="20" t="str">
        <f>IF(N8537="","",COUNTIFS(RawData[[Date ]],N8537,RawData[Month List],$Q$6,RawData[Tour/Site],$Q$2,RawData[[Picker ID ]],$Q$3,RawData[Checker ID],$Q$4,RawData[[Error Type ]],$Q$5))</f>
        <v/>
      </c>
    </row>
    <row r="8538" spans="15:15" x14ac:dyDescent="0.25">
      <c r="O8538" s="20" t="str">
        <f>IF(N8538="","",COUNTIFS(RawData[[Date ]],N8538,RawData[Month List],$Q$6,RawData[Tour/Site],$Q$2,RawData[[Picker ID ]],$Q$3,RawData[Checker ID],$Q$4,RawData[[Error Type ]],$Q$5))</f>
        <v/>
      </c>
    </row>
    <row r="8539" spans="15:15" x14ac:dyDescent="0.25">
      <c r="O8539" s="20" t="str">
        <f>IF(N8539="","",COUNTIFS(RawData[[Date ]],N8539,RawData[Month List],$Q$6,RawData[Tour/Site],$Q$2,RawData[[Picker ID ]],$Q$3,RawData[Checker ID],$Q$4,RawData[[Error Type ]],$Q$5))</f>
        <v/>
      </c>
    </row>
    <row r="8540" spans="15:15" x14ac:dyDescent="0.25">
      <c r="O8540" s="20" t="str">
        <f>IF(N8540="","",COUNTIFS(RawData[[Date ]],N8540,RawData[Month List],$Q$6,RawData[Tour/Site],$Q$2,RawData[[Picker ID ]],$Q$3,RawData[Checker ID],$Q$4,RawData[[Error Type ]],$Q$5))</f>
        <v/>
      </c>
    </row>
    <row r="8541" spans="15:15" x14ac:dyDescent="0.25">
      <c r="O8541" s="20" t="str">
        <f>IF(N8541="","",COUNTIFS(RawData[[Date ]],N8541,RawData[Month List],$Q$6,RawData[Tour/Site],$Q$2,RawData[[Picker ID ]],$Q$3,RawData[Checker ID],$Q$4,RawData[[Error Type ]],$Q$5))</f>
        <v/>
      </c>
    </row>
    <row r="8542" spans="15:15" x14ac:dyDescent="0.25">
      <c r="O8542" s="20" t="str">
        <f>IF(N8542="","",COUNTIFS(RawData[[Date ]],N8542,RawData[Month List],$Q$6,RawData[Tour/Site],$Q$2,RawData[[Picker ID ]],$Q$3,RawData[Checker ID],$Q$4,RawData[[Error Type ]],$Q$5))</f>
        <v/>
      </c>
    </row>
    <row r="8543" spans="15:15" x14ac:dyDescent="0.25">
      <c r="O8543" s="20" t="str">
        <f>IF(N8543="","",COUNTIFS(RawData[[Date ]],N8543,RawData[Month List],$Q$6,RawData[Tour/Site],$Q$2,RawData[[Picker ID ]],$Q$3,RawData[Checker ID],$Q$4,RawData[[Error Type ]],$Q$5))</f>
        <v/>
      </c>
    </row>
    <row r="8544" spans="15:15" x14ac:dyDescent="0.25">
      <c r="O8544" s="20" t="str">
        <f>IF(N8544="","",COUNTIFS(RawData[[Date ]],N8544,RawData[Month List],$Q$6,RawData[Tour/Site],$Q$2,RawData[[Picker ID ]],$Q$3,RawData[Checker ID],$Q$4,RawData[[Error Type ]],$Q$5))</f>
        <v/>
      </c>
    </row>
    <row r="8545" spans="15:15" x14ac:dyDescent="0.25">
      <c r="O8545" s="20" t="str">
        <f>IF(N8545="","",COUNTIFS(RawData[[Date ]],N8545,RawData[Month List],$Q$6,RawData[Tour/Site],$Q$2,RawData[[Picker ID ]],$Q$3,RawData[Checker ID],$Q$4,RawData[[Error Type ]],$Q$5))</f>
        <v/>
      </c>
    </row>
    <row r="8546" spans="15:15" x14ac:dyDescent="0.25">
      <c r="O8546" s="20" t="str">
        <f>IF(N8546="","",COUNTIFS(RawData[[Date ]],N8546,RawData[Month List],$Q$6,RawData[Tour/Site],$Q$2,RawData[[Picker ID ]],$Q$3,RawData[Checker ID],$Q$4,RawData[[Error Type ]],$Q$5))</f>
        <v/>
      </c>
    </row>
    <row r="8547" spans="15:15" x14ac:dyDescent="0.25">
      <c r="O8547" s="20" t="str">
        <f>IF(N8547="","",COUNTIFS(RawData[[Date ]],N8547,RawData[Month List],$Q$6,RawData[Tour/Site],$Q$2,RawData[[Picker ID ]],$Q$3,RawData[Checker ID],$Q$4,RawData[[Error Type ]],$Q$5))</f>
        <v/>
      </c>
    </row>
    <row r="8548" spans="15:15" x14ac:dyDescent="0.25">
      <c r="O8548" s="20" t="str">
        <f>IF(N8548="","",COUNTIFS(RawData[[Date ]],N8548,RawData[Month List],$Q$6,RawData[Tour/Site],$Q$2,RawData[[Picker ID ]],$Q$3,RawData[Checker ID],$Q$4,RawData[[Error Type ]],$Q$5))</f>
        <v/>
      </c>
    </row>
    <row r="8549" spans="15:15" x14ac:dyDescent="0.25">
      <c r="O8549" s="20" t="str">
        <f>IF(N8549="","",COUNTIFS(RawData[[Date ]],N8549,RawData[Month List],$Q$6,RawData[Tour/Site],$Q$2,RawData[[Picker ID ]],$Q$3,RawData[Checker ID],$Q$4,RawData[[Error Type ]],$Q$5))</f>
        <v/>
      </c>
    </row>
    <row r="8550" spans="15:15" x14ac:dyDescent="0.25">
      <c r="O8550" s="20" t="str">
        <f>IF(N8550="","",COUNTIFS(RawData[[Date ]],N8550,RawData[Month List],$Q$6,RawData[Tour/Site],$Q$2,RawData[[Picker ID ]],$Q$3,RawData[Checker ID],$Q$4,RawData[[Error Type ]],$Q$5))</f>
        <v/>
      </c>
    </row>
    <row r="8551" spans="15:15" x14ac:dyDescent="0.25">
      <c r="O8551" s="20" t="str">
        <f>IF(N8551="","",COUNTIFS(RawData[[Date ]],N8551,RawData[Month List],$Q$6,RawData[Tour/Site],$Q$2,RawData[[Picker ID ]],$Q$3,RawData[Checker ID],$Q$4,RawData[[Error Type ]],$Q$5))</f>
        <v/>
      </c>
    </row>
    <row r="8552" spans="15:15" x14ac:dyDescent="0.25">
      <c r="O8552" s="20" t="str">
        <f>IF(N8552="","",COUNTIFS(RawData[[Date ]],N8552,RawData[Month List],$Q$6,RawData[Tour/Site],$Q$2,RawData[[Picker ID ]],$Q$3,RawData[Checker ID],$Q$4,RawData[[Error Type ]],$Q$5))</f>
        <v/>
      </c>
    </row>
    <row r="8553" spans="15:15" x14ac:dyDescent="0.25">
      <c r="O8553" s="20" t="str">
        <f>IF(N8553="","",COUNTIFS(RawData[[Date ]],N8553,RawData[Month List],$Q$6,RawData[Tour/Site],$Q$2,RawData[[Picker ID ]],$Q$3,RawData[Checker ID],$Q$4,RawData[[Error Type ]],$Q$5))</f>
        <v/>
      </c>
    </row>
    <row r="8554" spans="15:15" x14ac:dyDescent="0.25">
      <c r="O8554" s="20" t="str">
        <f>IF(N8554="","",COUNTIFS(RawData[[Date ]],N8554,RawData[Month List],$Q$6,RawData[Tour/Site],$Q$2,RawData[[Picker ID ]],$Q$3,RawData[Checker ID],$Q$4,RawData[[Error Type ]],$Q$5))</f>
        <v/>
      </c>
    </row>
    <row r="8555" spans="15:15" x14ac:dyDescent="0.25">
      <c r="O8555" s="20" t="str">
        <f>IF(N8555="","",COUNTIFS(RawData[[Date ]],N8555,RawData[Month List],$Q$6,RawData[Tour/Site],$Q$2,RawData[[Picker ID ]],$Q$3,RawData[Checker ID],$Q$4,RawData[[Error Type ]],$Q$5))</f>
        <v/>
      </c>
    </row>
    <row r="8556" spans="15:15" x14ac:dyDescent="0.25">
      <c r="O8556" s="20" t="str">
        <f>IF(N8556="","",COUNTIFS(RawData[[Date ]],N8556,RawData[Month List],$Q$6,RawData[Tour/Site],$Q$2,RawData[[Picker ID ]],$Q$3,RawData[Checker ID],$Q$4,RawData[[Error Type ]],$Q$5))</f>
        <v/>
      </c>
    </row>
    <row r="8557" spans="15:15" x14ac:dyDescent="0.25">
      <c r="O8557" s="20" t="str">
        <f>IF(N8557="","",COUNTIFS(RawData[[Date ]],N8557,RawData[Month List],$Q$6,RawData[Tour/Site],$Q$2,RawData[[Picker ID ]],$Q$3,RawData[Checker ID],$Q$4,RawData[[Error Type ]],$Q$5))</f>
        <v/>
      </c>
    </row>
    <row r="8558" spans="15:15" x14ac:dyDescent="0.25">
      <c r="O8558" s="20" t="str">
        <f>IF(N8558="","",COUNTIFS(RawData[[Date ]],N8558,RawData[Month List],$Q$6,RawData[Tour/Site],$Q$2,RawData[[Picker ID ]],$Q$3,RawData[Checker ID],$Q$4,RawData[[Error Type ]],$Q$5))</f>
        <v/>
      </c>
    </row>
    <row r="8559" spans="15:15" x14ac:dyDescent="0.25">
      <c r="O8559" s="20" t="str">
        <f>IF(N8559="","",COUNTIFS(RawData[[Date ]],N8559,RawData[Month List],$Q$6,RawData[Tour/Site],$Q$2,RawData[[Picker ID ]],$Q$3,RawData[Checker ID],$Q$4,RawData[[Error Type ]],$Q$5))</f>
        <v/>
      </c>
    </row>
    <row r="8560" spans="15:15" x14ac:dyDescent="0.25">
      <c r="O8560" s="20" t="str">
        <f>IF(N8560="","",COUNTIFS(RawData[[Date ]],N8560,RawData[Month List],$Q$6,RawData[Tour/Site],$Q$2,RawData[[Picker ID ]],$Q$3,RawData[Checker ID],$Q$4,RawData[[Error Type ]],$Q$5))</f>
        <v/>
      </c>
    </row>
    <row r="8561" spans="15:15" x14ac:dyDescent="0.25">
      <c r="O8561" s="20" t="str">
        <f>IF(N8561="","",COUNTIFS(RawData[[Date ]],N8561,RawData[Month List],$Q$6,RawData[Tour/Site],$Q$2,RawData[[Picker ID ]],$Q$3,RawData[Checker ID],$Q$4,RawData[[Error Type ]],$Q$5))</f>
        <v/>
      </c>
    </row>
    <row r="8562" spans="15:15" x14ac:dyDescent="0.25">
      <c r="O8562" s="20" t="str">
        <f>IF(N8562="","",COUNTIFS(RawData[[Date ]],N8562,RawData[Month List],$Q$6,RawData[Tour/Site],$Q$2,RawData[[Picker ID ]],$Q$3,RawData[Checker ID],$Q$4,RawData[[Error Type ]],$Q$5))</f>
        <v/>
      </c>
    </row>
    <row r="8563" spans="15:15" x14ac:dyDescent="0.25">
      <c r="O8563" s="20" t="str">
        <f>IF(N8563="","",COUNTIFS(RawData[[Date ]],N8563,RawData[Month List],$Q$6,RawData[Tour/Site],$Q$2,RawData[[Picker ID ]],$Q$3,RawData[Checker ID],$Q$4,RawData[[Error Type ]],$Q$5))</f>
        <v/>
      </c>
    </row>
    <row r="8564" spans="15:15" x14ac:dyDescent="0.25">
      <c r="O8564" s="20" t="str">
        <f>IF(N8564="","",COUNTIFS(RawData[[Date ]],N8564,RawData[Month List],$Q$6,RawData[Tour/Site],$Q$2,RawData[[Picker ID ]],$Q$3,RawData[Checker ID],$Q$4,RawData[[Error Type ]],$Q$5))</f>
        <v/>
      </c>
    </row>
    <row r="8565" spans="15:15" x14ac:dyDescent="0.25">
      <c r="O8565" s="20" t="str">
        <f>IF(N8565="","",COUNTIFS(RawData[[Date ]],N8565,RawData[Month List],$Q$6,RawData[Tour/Site],$Q$2,RawData[[Picker ID ]],$Q$3,RawData[Checker ID],$Q$4,RawData[[Error Type ]],$Q$5))</f>
        <v/>
      </c>
    </row>
    <row r="8566" spans="15:15" x14ac:dyDescent="0.25">
      <c r="O8566" s="20" t="str">
        <f>IF(N8566="","",COUNTIFS(RawData[[Date ]],N8566,RawData[Month List],$Q$6,RawData[Tour/Site],$Q$2,RawData[[Picker ID ]],$Q$3,RawData[Checker ID],$Q$4,RawData[[Error Type ]],$Q$5))</f>
        <v/>
      </c>
    </row>
    <row r="8567" spans="15:15" x14ac:dyDescent="0.25">
      <c r="O8567" s="20" t="str">
        <f>IF(N8567="","",COUNTIFS(RawData[[Date ]],N8567,RawData[Month List],$Q$6,RawData[Tour/Site],$Q$2,RawData[[Picker ID ]],$Q$3,RawData[Checker ID],$Q$4,RawData[[Error Type ]],$Q$5))</f>
        <v/>
      </c>
    </row>
    <row r="8568" spans="15:15" x14ac:dyDescent="0.25">
      <c r="O8568" s="20" t="str">
        <f>IF(N8568="","",COUNTIFS(RawData[[Date ]],N8568,RawData[Month List],$Q$6,RawData[Tour/Site],$Q$2,RawData[[Picker ID ]],$Q$3,RawData[Checker ID],$Q$4,RawData[[Error Type ]],$Q$5))</f>
        <v/>
      </c>
    </row>
    <row r="8569" spans="15:15" x14ac:dyDescent="0.25">
      <c r="O8569" s="20" t="str">
        <f>IF(N8569="","",COUNTIFS(RawData[[Date ]],N8569,RawData[Month List],$Q$6,RawData[Tour/Site],$Q$2,RawData[[Picker ID ]],$Q$3,RawData[Checker ID],$Q$4,RawData[[Error Type ]],$Q$5))</f>
        <v/>
      </c>
    </row>
    <row r="8570" spans="15:15" x14ac:dyDescent="0.25">
      <c r="O8570" s="20" t="str">
        <f>IF(N8570="","",COUNTIFS(RawData[[Date ]],N8570,RawData[Month List],$Q$6,RawData[Tour/Site],$Q$2,RawData[[Picker ID ]],$Q$3,RawData[Checker ID],$Q$4,RawData[[Error Type ]],$Q$5))</f>
        <v/>
      </c>
    </row>
    <row r="8571" spans="15:15" x14ac:dyDescent="0.25">
      <c r="O8571" s="20" t="str">
        <f>IF(N8571="","",COUNTIFS(RawData[[Date ]],N8571,RawData[Month List],$Q$6,RawData[Tour/Site],$Q$2,RawData[[Picker ID ]],$Q$3,RawData[Checker ID],$Q$4,RawData[[Error Type ]],$Q$5))</f>
        <v/>
      </c>
    </row>
    <row r="8572" spans="15:15" x14ac:dyDescent="0.25">
      <c r="O8572" s="20" t="str">
        <f>IF(N8572="","",COUNTIFS(RawData[[Date ]],N8572,RawData[Month List],$Q$6,RawData[Tour/Site],$Q$2,RawData[[Picker ID ]],$Q$3,RawData[Checker ID],$Q$4,RawData[[Error Type ]],$Q$5))</f>
        <v/>
      </c>
    </row>
    <row r="8573" spans="15:15" x14ac:dyDescent="0.25">
      <c r="O8573" s="20" t="str">
        <f>IF(N8573="","",COUNTIFS(RawData[[Date ]],N8573,RawData[Month List],$Q$6,RawData[Tour/Site],$Q$2,RawData[[Picker ID ]],$Q$3,RawData[Checker ID],$Q$4,RawData[[Error Type ]],$Q$5))</f>
        <v/>
      </c>
    </row>
    <row r="8574" spans="15:15" x14ac:dyDescent="0.25">
      <c r="O8574" s="20" t="str">
        <f>IF(N8574="","",COUNTIFS(RawData[[Date ]],N8574,RawData[Month List],$Q$6,RawData[Tour/Site],$Q$2,RawData[[Picker ID ]],$Q$3,RawData[Checker ID],$Q$4,RawData[[Error Type ]],$Q$5))</f>
        <v/>
      </c>
    </row>
    <row r="8575" spans="15:15" x14ac:dyDescent="0.25">
      <c r="O8575" s="20" t="str">
        <f>IF(N8575="","",COUNTIFS(RawData[[Date ]],N8575,RawData[Month List],$Q$6,RawData[Tour/Site],$Q$2,RawData[[Picker ID ]],$Q$3,RawData[Checker ID],$Q$4,RawData[[Error Type ]],$Q$5))</f>
        <v/>
      </c>
    </row>
    <row r="8576" spans="15:15" x14ac:dyDescent="0.25">
      <c r="O8576" s="20" t="str">
        <f>IF(N8576="","",COUNTIFS(RawData[[Date ]],N8576,RawData[Month List],$Q$6,RawData[Tour/Site],$Q$2,RawData[[Picker ID ]],$Q$3,RawData[Checker ID],$Q$4,RawData[[Error Type ]],$Q$5))</f>
        <v/>
      </c>
    </row>
    <row r="8577" spans="15:15" x14ac:dyDescent="0.25">
      <c r="O8577" s="20" t="str">
        <f>IF(N8577="","",COUNTIFS(RawData[[Date ]],N8577,RawData[Month List],$Q$6,RawData[Tour/Site],$Q$2,RawData[[Picker ID ]],$Q$3,RawData[Checker ID],$Q$4,RawData[[Error Type ]],$Q$5))</f>
        <v/>
      </c>
    </row>
    <row r="8578" spans="15:15" x14ac:dyDescent="0.25">
      <c r="O8578" s="20" t="str">
        <f>IF(N8578="","",COUNTIFS(RawData[[Date ]],N8578,RawData[Month List],$Q$6,RawData[Tour/Site],$Q$2,RawData[[Picker ID ]],$Q$3,RawData[Checker ID],$Q$4,RawData[[Error Type ]],$Q$5))</f>
        <v/>
      </c>
    </row>
    <row r="8579" spans="15:15" x14ac:dyDescent="0.25">
      <c r="O8579" s="20" t="str">
        <f>IF(N8579="","",COUNTIFS(RawData[[Date ]],N8579,RawData[Month List],$Q$6,RawData[Tour/Site],$Q$2,RawData[[Picker ID ]],$Q$3,RawData[Checker ID],$Q$4,RawData[[Error Type ]],$Q$5))</f>
        <v/>
      </c>
    </row>
    <row r="8580" spans="15:15" x14ac:dyDescent="0.25">
      <c r="O8580" s="20" t="str">
        <f>IF(N8580="","",COUNTIFS(RawData[[Date ]],N8580,RawData[Month List],$Q$6,RawData[Tour/Site],$Q$2,RawData[[Picker ID ]],$Q$3,RawData[Checker ID],$Q$4,RawData[[Error Type ]],$Q$5))</f>
        <v/>
      </c>
    </row>
    <row r="8581" spans="15:15" x14ac:dyDescent="0.25">
      <c r="O8581" s="20" t="str">
        <f>IF(N8581="","",COUNTIFS(RawData[[Date ]],N8581,RawData[Month List],$Q$6,RawData[Tour/Site],$Q$2,RawData[[Picker ID ]],$Q$3,RawData[Checker ID],$Q$4,RawData[[Error Type ]],$Q$5))</f>
        <v/>
      </c>
    </row>
    <row r="8582" spans="15:15" x14ac:dyDescent="0.25">
      <c r="O8582" s="20" t="str">
        <f>IF(N8582="","",COUNTIFS(RawData[[Date ]],N8582,RawData[Month List],$Q$6,RawData[Tour/Site],$Q$2,RawData[[Picker ID ]],$Q$3,RawData[Checker ID],$Q$4,RawData[[Error Type ]],$Q$5))</f>
        <v/>
      </c>
    </row>
    <row r="8583" spans="15:15" x14ac:dyDescent="0.25">
      <c r="O8583" s="20" t="str">
        <f>IF(N8583="","",COUNTIFS(RawData[[Date ]],N8583,RawData[Month List],$Q$6,RawData[Tour/Site],$Q$2,RawData[[Picker ID ]],$Q$3,RawData[Checker ID],$Q$4,RawData[[Error Type ]],$Q$5))</f>
        <v/>
      </c>
    </row>
    <row r="8584" spans="15:15" x14ac:dyDescent="0.25">
      <c r="O8584" s="20" t="str">
        <f>IF(N8584="","",COUNTIFS(RawData[[Date ]],N8584,RawData[Month List],$Q$6,RawData[Tour/Site],$Q$2,RawData[[Picker ID ]],$Q$3,RawData[Checker ID],$Q$4,RawData[[Error Type ]],$Q$5))</f>
        <v/>
      </c>
    </row>
    <row r="8585" spans="15:15" x14ac:dyDescent="0.25">
      <c r="O8585" s="20" t="str">
        <f>IF(N8585="","",COUNTIFS(RawData[[Date ]],N8585,RawData[Month List],$Q$6,RawData[Tour/Site],$Q$2,RawData[[Picker ID ]],$Q$3,RawData[Checker ID],$Q$4,RawData[[Error Type ]],$Q$5))</f>
        <v/>
      </c>
    </row>
    <row r="8586" spans="15:15" x14ac:dyDescent="0.25">
      <c r="O8586" s="20" t="str">
        <f>IF(N8586="","",COUNTIFS(RawData[[Date ]],N8586,RawData[Month List],$Q$6,RawData[Tour/Site],$Q$2,RawData[[Picker ID ]],$Q$3,RawData[Checker ID],$Q$4,RawData[[Error Type ]],$Q$5))</f>
        <v/>
      </c>
    </row>
    <row r="8587" spans="15:15" x14ac:dyDescent="0.25">
      <c r="O8587" s="20" t="str">
        <f>IF(N8587="","",COUNTIFS(RawData[[Date ]],N8587,RawData[Month List],$Q$6,RawData[Tour/Site],$Q$2,RawData[[Picker ID ]],$Q$3,RawData[Checker ID],$Q$4,RawData[[Error Type ]],$Q$5))</f>
        <v/>
      </c>
    </row>
    <row r="8588" spans="15:15" x14ac:dyDescent="0.25">
      <c r="O8588" s="20" t="str">
        <f>IF(N8588="","",COUNTIFS(RawData[[Date ]],N8588,RawData[Month List],$Q$6,RawData[Tour/Site],$Q$2,RawData[[Picker ID ]],$Q$3,RawData[Checker ID],$Q$4,RawData[[Error Type ]],$Q$5))</f>
        <v/>
      </c>
    </row>
    <row r="8589" spans="15:15" x14ac:dyDescent="0.25">
      <c r="O8589" s="20" t="str">
        <f>IF(N8589="","",COUNTIFS(RawData[[Date ]],N8589,RawData[Month List],$Q$6,RawData[Tour/Site],$Q$2,RawData[[Picker ID ]],$Q$3,RawData[Checker ID],$Q$4,RawData[[Error Type ]],$Q$5))</f>
        <v/>
      </c>
    </row>
    <row r="8590" spans="15:15" x14ac:dyDescent="0.25">
      <c r="O8590" s="20" t="str">
        <f>IF(N8590="","",COUNTIFS(RawData[[Date ]],N8590,RawData[Month List],$Q$6,RawData[Tour/Site],$Q$2,RawData[[Picker ID ]],$Q$3,RawData[Checker ID],$Q$4,RawData[[Error Type ]],$Q$5))</f>
        <v/>
      </c>
    </row>
    <row r="8591" spans="15:15" x14ac:dyDescent="0.25">
      <c r="O8591" s="20" t="str">
        <f>IF(N8591="","",COUNTIFS(RawData[[Date ]],N8591,RawData[Month List],$Q$6,RawData[Tour/Site],$Q$2,RawData[[Picker ID ]],$Q$3,RawData[Checker ID],$Q$4,RawData[[Error Type ]],$Q$5))</f>
        <v/>
      </c>
    </row>
    <row r="8592" spans="15:15" x14ac:dyDescent="0.25">
      <c r="O8592" s="20" t="str">
        <f>IF(N8592="","",COUNTIFS(RawData[[Date ]],N8592,RawData[Month List],$Q$6,RawData[Tour/Site],$Q$2,RawData[[Picker ID ]],$Q$3,RawData[Checker ID],$Q$4,RawData[[Error Type ]],$Q$5))</f>
        <v/>
      </c>
    </row>
    <row r="8593" spans="15:15" x14ac:dyDescent="0.25">
      <c r="O8593" s="20" t="str">
        <f>IF(N8593="","",COUNTIFS(RawData[[Date ]],N8593,RawData[Month List],$Q$6,RawData[Tour/Site],$Q$2,RawData[[Picker ID ]],$Q$3,RawData[Checker ID],$Q$4,RawData[[Error Type ]],$Q$5))</f>
        <v/>
      </c>
    </row>
    <row r="8594" spans="15:15" x14ac:dyDescent="0.25">
      <c r="O8594" s="20" t="str">
        <f>IF(N8594="","",COUNTIFS(RawData[[Date ]],N8594,RawData[Month List],$Q$6,RawData[Tour/Site],$Q$2,RawData[[Picker ID ]],$Q$3,RawData[Checker ID],$Q$4,RawData[[Error Type ]],$Q$5))</f>
        <v/>
      </c>
    </row>
    <row r="8595" spans="15:15" x14ac:dyDescent="0.25">
      <c r="O8595" s="20" t="str">
        <f>IF(N8595="","",COUNTIFS(RawData[[Date ]],N8595,RawData[Month List],$Q$6,RawData[Tour/Site],$Q$2,RawData[[Picker ID ]],$Q$3,RawData[Checker ID],$Q$4,RawData[[Error Type ]],$Q$5))</f>
        <v/>
      </c>
    </row>
    <row r="8596" spans="15:15" x14ac:dyDescent="0.25">
      <c r="O8596" s="20" t="str">
        <f>IF(N8596="","",COUNTIFS(RawData[[Date ]],N8596,RawData[Month List],$Q$6,RawData[Tour/Site],$Q$2,RawData[[Picker ID ]],$Q$3,RawData[Checker ID],$Q$4,RawData[[Error Type ]],$Q$5))</f>
        <v/>
      </c>
    </row>
    <row r="8597" spans="15:15" x14ac:dyDescent="0.25">
      <c r="O8597" s="20" t="str">
        <f>IF(N8597="","",COUNTIFS(RawData[[Date ]],N8597,RawData[Month List],$Q$6,RawData[Tour/Site],$Q$2,RawData[[Picker ID ]],$Q$3,RawData[Checker ID],$Q$4,RawData[[Error Type ]],$Q$5))</f>
        <v/>
      </c>
    </row>
    <row r="8598" spans="15:15" x14ac:dyDescent="0.25">
      <c r="O8598" s="20" t="str">
        <f>IF(N8598="","",COUNTIFS(RawData[[Date ]],N8598,RawData[Month List],$Q$6,RawData[Tour/Site],$Q$2,RawData[[Picker ID ]],$Q$3,RawData[Checker ID],$Q$4,RawData[[Error Type ]],$Q$5))</f>
        <v/>
      </c>
    </row>
    <row r="8599" spans="15:15" x14ac:dyDescent="0.25">
      <c r="O8599" s="20" t="str">
        <f>IF(N8599="","",COUNTIFS(RawData[[Date ]],N8599,RawData[Month List],$Q$6,RawData[Tour/Site],$Q$2,RawData[[Picker ID ]],$Q$3,RawData[Checker ID],$Q$4,RawData[[Error Type ]],$Q$5))</f>
        <v/>
      </c>
    </row>
    <row r="8600" spans="15:15" x14ac:dyDescent="0.25">
      <c r="O8600" s="20" t="str">
        <f>IF(N8600="","",COUNTIFS(RawData[[Date ]],N8600,RawData[Month List],$Q$6,RawData[Tour/Site],$Q$2,RawData[[Picker ID ]],$Q$3,RawData[Checker ID],$Q$4,RawData[[Error Type ]],$Q$5))</f>
        <v/>
      </c>
    </row>
    <row r="8601" spans="15:15" x14ac:dyDescent="0.25">
      <c r="O8601" s="20" t="str">
        <f>IF(N8601="","",COUNTIFS(RawData[[Date ]],N8601,RawData[Month List],$Q$6,RawData[Tour/Site],$Q$2,RawData[[Picker ID ]],$Q$3,RawData[Checker ID],$Q$4,RawData[[Error Type ]],$Q$5))</f>
        <v/>
      </c>
    </row>
    <row r="8602" spans="15:15" x14ac:dyDescent="0.25">
      <c r="O8602" s="20" t="str">
        <f>IF(N8602="","",COUNTIFS(RawData[[Date ]],N8602,RawData[Month List],$Q$6,RawData[Tour/Site],$Q$2,RawData[[Picker ID ]],$Q$3,RawData[Checker ID],$Q$4,RawData[[Error Type ]],$Q$5))</f>
        <v/>
      </c>
    </row>
    <row r="8603" spans="15:15" x14ac:dyDescent="0.25">
      <c r="O8603" s="20" t="str">
        <f>IF(N8603="","",COUNTIFS(RawData[[Date ]],N8603,RawData[Month List],$Q$6,RawData[Tour/Site],$Q$2,RawData[[Picker ID ]],$Q$3,RawData[Checker ID],$Q$4,RawData[[Error Type ]],$Q$5))</f>
        <v/>
      </c>
    </row>
    <row r="8604" spans="15:15" x14ac:dyDescent="0.25">
      <c r="O8604" s="20" t="str">
        <f>IF(N8604="","",COUNTIFS(RawData[[Date ]],N8604,RawData[Month List],$Q$6,RawData[Tour/Site],$Q$2,RawData[[Picker ID ]],$Q$3,RawData[Checker ID],$Q$4,RawData[[Error Type ]],$Q$5))</f>
        <v/>
      </c>
    </row>
    <row r="8605" spans="15:15" x14ac:dyDescent="0.25">
      <c r="O8605" s="20" t="str">
        <f>IF(N8605="","",COUNTIFS(RawData[[Date ]],N8605,RawData[Month List],$Q$6,RawData[Tour/Site],$Q$2,RawData[[Picker ID ]],$Q$3,RawData[Checker ID],$Q$4,RawData[[Error Type ]],$Q$5))</f>
        <v/>
      </c>
    </row>
    <row r="8606" spans="15:15" x14ac:dyDescent="0.25">
      <c r="O8606" s="20" t="str">
        <f>IF(N8606="","",COUNTIFS(RawData[[Date ]],N8606,RawData[Month List],$Q$6,RawData[Tour/Site],$Q$2,RawData[[Picker ID ]],$Q$3,RawData[Checker ID],$Q$4,RawData[[Error Type ]],$Q$5))</f>
        <v/>
      </c>
    </row>
    <row r="8607" spans="15:15" x14ac:dyDescent="0.25">
      <c r="O8607" s="20" t="str">
        <f>IF(N8607="","",COUNTIFS(RawData[[Date ]],N8607,RawData[Month List],$Q$6,RawData[Tour/Site],$Q$2,RawData[[Picker ID ]],$Q$3,RawData[Checker ID],$Q$4,RawData[[Error Type ]],$Q$5))</f>
        <v/>
      </c>
    </row>
    <row r="8608" spans="15:15" x14ac:dyDescent="0.25">
      <c r="O8608" s="20" t="str">
        <f>IF(N8608="","",COUNTIFS(RawData[[Date ]],N8608,RawData[Month List],$Q$6,RawData[Tour/Site],$Q$2,RawData[[Picker ID ]],$Q$3,RawData[Checker ID],$Q$4,RawData[[Error Type ]],$Q$5))</f>
        <v/>
      </c>
    </row>
    <row r="8609" spans="15:15" x14ac:dyDescent="0.25">
      <c r="O8609" s="20" t="str">
        <f>IF(N8609="","",COUNTIFS(RawData[[Date ]],N8609,RawData[Month List],$Q$6,RawData[Tour/Site],$Q$2,RawData[[Picker ID ]],$Q$3,RawData[Checker ID],$Q$4,RawData[[Error Type ]],$Q$5))</f>
        <v/>
      </c>
    </row>
    <row r="8610" spans="15:15" x14ac:dyDescent="0.25">
      <c r="O8610" s="20" t="str">
        <f>IF(N8610="","",COUNTIFS(RawData[[Date ]],N8610,RawData[Month List],$Q$6,RawData[Tour/Site],$Q$2,RawData[[Picker ID ]],$Q$3,RawData[Checker ID],$Q$4,RawData[[Error Type ]],$Q$5))</f>
        <v/>
      </c>
    </row>
    <row r="8611" spans="15:15" x14ac:dyDescent="0.25">
      <c r="O8611" s="20" t="str">
        <f>IF(N8611="","",COUNTIFS(RawData[[Date ]],N8611,RawData[Month List],$Q$6,RawData[Tour/Site],$Q$2,RawData[[Picker ID ]],$Q$3,RawData[Checker ID],$Q$4,RawData[[Error Type ]],$Q$5))</f>
        <v/>
      </c>
    </row>
    <row r="8612" spans="15:15" x14ac:dyDescent="0.25">
      <c r="O8612" s="20" t="str">
        <f>IF(N8612="","",COUNTIFS(RawData[[Date ]],N8612,RawData[Month List],$Q$6,RawData[Tour/Site],$Q$2,RawData[[Picker ID ]],$Q$3,RawData[Checker ID],$Q$4,RawData[[Error Type ]],$Q$5))</f>
        <v/>
      </c>
    </row>
    <row r="8613" spans="15:15" x14ac:dyDescent="0.25">
      <c r="O8613" s="20" t="str">
        <f>IF(N8613="","",COUNTIFS(RawData[[Date ]],N8613,RawData[Month List],$Q$6,RawData[Tour/Site],$Q$2,RawData[[Picker ID ]],$Q$3,RawData[Checker ID],$Q$4,RawData[[Error Type ]],$Q$5))</f>
        <v/>
      </c>
    </row>
    <row r="8614" spans="15:15" x14ac:dyDescent="0.25">
      <c r="O8614" s="20" t="str">
        <f>IF(N8614="","",COUNTIFS(RawData[[Date ]],N8614,RawData[Month List],$Q$6,RawData[Tour/Site],$Q$2,RawData[[Picker ID ]],$Q$3,RawData[Checker ID],$Q$4,RawData[[Error Type ]],$Q$5))</f>
        <v/>
      </c>
    </row>
    <row r="8615" spans="15:15" x14ac:dyDescent="0.25">
      <c r="O8615" s="20" t="str">
        <f>IF(N8615="","",COUNTIFS(RawData[[Date ]],N8615,RawData[Month List],$Q$6,RawData[Tour/Site],$Q$2,RawData[[Picker ID ]],$Q$3,RawData[Checker ID],$Q$4,RawData[[Error Type ]],$Q$5))</f>
        <v/>
      </c>
    </row>
    <row r="8616" spans="15:15" x14ac:dyDescent="0.25">
      <c r="O8616" s="20" t="str">
        <f>IF(N8616="","",COUNTIFS(RawData[[Date ]],N8616,RawData[Month List],$Q$6,RawData[Tour/Site],$Q$2,RawData[[Picker ID ]],$Q$3,RawData[Checker ID],$Q$4,RawData[[Error Type ]],$Q$5))</f>
        <v/>
      </c>
    </row>
    <row r="8617" spans="15:15" x14ac:dyDescent="0.25">
      <c r="O8617" s="20" t="str">
        <f>IF(N8617="","",COUNTIFS(RawData[[Date ]],N8617,RawData[Month List],$Q$6,RawData[Tour/Site],$Q$2,RawData[[Picker ID ]],$Q$3,RawData[Checker ID],$Q$4,RawData[[Error Type ]],$Q$5))</f>
        <v/>
      </c>
    </row>
    <row r="8618" spans="15:15" x14ac:dyDescent="0.25">
      <c r="O8618" s="20" t="str">
        <f>IF(N8618="","",COUNTIFS(RawData[[Date ]],N8618,RawData[Month List],$Q$6,RawData[Tour/Site],$Q$2,RawData[[Picker ID ]],$Q$3,RawData[Checker ID],$Q$4,RawData[[Error Type ]],$Q$5))</f>
        <v/>
      </c>
    </row>
    <row r="8619" spans="15:15" x14ac:dyDescent="0.25">
      <c r="O8619" s="20" t="str">
        <f>IF(N8619="","",COUNTIFS(RawData[[Date ]],N8619,RawData[Month List],$Q$6,RawData[Tour/Site],$Q$2,RawData[[Picker ID ]],$Q$3,RawData[Checker ID],$Q$4,RawData[[Error Type ]],$Q$5))</f>
        <v/>
      </c>
    </row>
    <row r="8620" spans="15:15" x14ac:dyDescent="0.25">
      <c r="O8620" s="20" t="str">
        <f>IF(N8620="","",COUNTIFS(RawData[[Date ]],N8620,RawData[Month List],$Q$6,RawData[Tour/Site],$Q$2,RawData[[Picker ID ]],$Q$3,RawData[Checker ID],$Q$4,RawData[[Error Type ]],$Q$5))</f>
        <v/>
      </c>
    </row>
    <row r="8621" spans="15:15" x14ac:dyDescent="0.25">
      <c r="O8621" s="20" t="str">
        <f>IF(N8621="","",COUNTIFS(RawData[[Date ]],N8621,RawData[Month List],$Q$6,RawData[Tour/Site],$Q$2,RawData[[Picker ID ]],$Q$3,RawData[Checker ID],$Q$4,RawData[[Error Type ]],$Q$5))</f>
        <v/>
      </c>
    </row>
    <row r="8622" spans="15:15" x14ac:dyDescent="0.25">
      <c r="O8622" s="20" t="str">
        <f>IF(N8622="","",COUNTIFS(RawData[[Date ]],N8622,RawData[Month List],$Q$6,RawData[Tour/Site],$Q$2,RawData[[Picker ID ]],$Q$3,RawData[Checker ID],$Q$4,RawData[[Error Type ]],$Q$5))</f>
        <v/>
      </c>
    </row>
    <row r="8623" spans="15:15" x14ac:dyDescent="0.25">
      <c r="O8623" s="20" t="str">
        <f>IF(N8623="","",COUNTIFS(RawData[[Date ]],N8623,RawData[Month List],$Q$6,RawData[Tour/Site],$Q$2,RawData[[Picker ID ]],$Q$3,RawData[Checker ID],$Q$4,RawData[[Error Type ]],$Q$5))</f>
        <v/>
      </c>
    </row>
    <row r="8624" spans="15:15" x14ac:dyDescent="0.25">
      <c r="O8624" s="20" t="str">
        <f>IF(N8624="","",COUNTIFS(RawData[[Date ]],N8624,RawData[Month List],$Q$6,RawData[Tour/Site],$Q$2,RawData[[Picker ID ]],$Q$3,RawData[Checker ID],$Q$4,RawData[[Error Type ]],$Q$5))</f>
        <v/>
      </c>
    </row>
    <row r="8625" spans="15:15" x14ac:dyDescent="0.25">
      <c r="O8625" s="20" t="str">
        <f>IF(N8625="","",COUNTIFS(RawData[[Date ]],N8625,RawData[Month List],$Q$6,RawData[Tour/Site],$Q$2,RawData[[Picker ID ]],$Q$3,RawData[Checker ID],$Q$4,RawData[[Error Type ]],$Q$5))</f>
        <v/>
      </c>
    </row>
    <row r="8626" spans="15:15" x14ac:dyDescent="0.25">
      <c r="O8626" s="20" t="str">
        <f>IF(N8626="","",COUNTIFS(RawData[[Date ]],N8626,RawData[Month List],$Q$6,RawData[Tour/Site],$Q$2,RawData[[Picker ID ]],$Q$3,RawData[Checker ID],$Q$4,RawData[[Error Type ]],$Q$5))</f>
        <v/>
      </c>
    </row>
    <row r="8627" spans="15:15" x14ac:dyDescent="0.25">
      <c r="O8627" s="20" t="str">
        <f>IF(N8627="","",COUNTIFS(RawData[[Date ]],N8627,RawData[Month List],$Q$6,RawData[Tour/Site],$Q$2,RawData[[Picker ID ]],$Q$3,RawData[Checker ID],$Q$4,RawData[[Error Type ]],$Q$5))</f>
        <v/>
      </c>
    </row>
    <row r="8628" spans="15:15" x14ac:dyDescent="0.25">
      <c r="O8628" s="20" t="str">
        <f>IF(N8628="","",COUNTIFS(RawData[[Date ]],N8628,RawData[Month List],$Q$6,RawData[Tour/Site],$Q$2,RawData[[Picker ID ]],$Q$3,RawData[Checker ID],$Q$4,RawData[[Error Type ]],$Q$5))</f>
        <v/>
      </c>
    </row>
    <row r="8629" spans="15:15" x14ac:dyDescent="0.25">
      <c r="O8629" s="20" t="str">
        <f>IF(N8629="","",COUNTIFS(RawData[[Date ]],N8629,RawData[Month List],$Q$6,RawData[Tour/Site],$Q$2,RawData[[Picker ID ]],$Q$3,RawData[Checker ID],$Q$4,RawData[[Error Type ]],$Q$5))</f>
        <v/>
      </c>
    </row>
    <row r="8630" spans="15:15" x14ac:dyDescent="0.25">
      <c r="O8630" s="20" t="str">
        <f>IF(N8630="","",COUNTIFS(RawData[[Date ]],N8630,RawData[Month List],$Q$6,RawData[Tour/Site],$Q$2,RawData[[Picker ID ]],$Q$3,RawData[Checker ID],$Q$4,RawData[[Error Type ]],$Q$5))</f>
        <v/>
      </c>
    </row>
    <row r="8631" spans="15:15" x14ac:dyDescent="0.25">
      <c r="O8631" s="20" t="str">
        <f>IF(N8631="","",COUNTIFS(RawData[[Date ]],N8631,RawData[Month List],$Q$6,RawData[Tour/Site],$Q$2,RawData[[Picker ID ]],$Q$3,RawData[Checker ID],$Q$4,RawData[[Error Type ]],$Q$5))</f>
        <v/>
      </c>
    </row>
    <row r="8632" spans="15:15" x14ac:dyDescent="0.25">
      <c r="O8632" s="20" t="str">
        <f>IF(N8632="","",COUNTIFS(RawData[[Date ]],N8632,RawData[Month List],$Q$6,RawData[Tour/Site],$Q$2,RawData[[Picker ID ]],$Q$3,RawData[Checker ID],$Q$4,RawData[[Error Type ]],$Q$5))</f>
        <v/>
      </c>
    </row>
    <row r="8633" spans="15:15" x14ac:dyDescent="0.25">
      <c r="O8633" s="20" t="str">
        <f>IF(N8633="","",COUNTIFS(RawData[[Date ]],N8633,RawData[Month List],$Q$6,RawData[Tour/Site],$Q$2,RawData[[Picker ID ]],$Q$3,RawData[Checker ID],$Q$4,RawData[[Error Type ]],$Q$5))</f>
        <v/>
      </c>
    </row>
    <row r="8634" spans="15:15" x14ac:dyDescent="0.25">
      <c r="O8634" s="20" t="str">
        <f>IF(N8634="","",COUNTIFS(RawData[[Date ]],N8634,RawData[Month List],$Q$6,RawData[Tour/Site],$Q$2,RawData[[Picker ID ]],$Q$3,RawData[Checker ID],$Q$4,RawData[[Error Type ]],$Q$5))</f>
        <v/>
      </c>
    </row>
    <row r="8635" spans="15:15" x14ac:dyDescent="0.25">
      <c r="O8635" s="20" t="str">
        <f>IF(N8635="","",COUNTIFS(RawData[[Date ]],N8635,RawData[Month List],$Q$6,RawData[Tour/Site],$Q$2,RawData[[Picker ID ]],$Q$3,RawData[Checker ID],$Q$4,RawData[[Error Type ]],$Q$5))</f>
        <v/>
      </c>
    </row>
    <row r="8636" spans="15:15" x14ac:dyDescent="0.25">
      <c r="O8636" s="20" t="str">
        <f>IF(N8636="","",COUNTIFS(RawData[[Date ]],N8636,RawData[Month List],$Q$6,RawData[Tour/Site],$Q$2,RawData[[Picker ID ]],$Q$3,RawData[Checker ID],$Q$4,RawData[[Error Type ]],$Q$5))</f>
        <v/>
      </c>
    </row>
    <row r="8637" spans="15:15" x14ac:dyDescent="0.25">
      <c r="O8637" s="20" t="str">
        <f>IF(N8637="","",COUNTIFS(RawData[[Date ]],N8637,RawData[Month List],$Q$6,RawData[Tour/Site],$Q$2,RawData[[Picker ID ]],$Q$3,RawData[Checker ID],$Q$4,RawData[[Error Type ]],$Q$5))</f>
        <v/>
      </c>
    </row>
    <row r="8638" spans="15:15" x14ac:dyDescent="0.25">
      <c r="O8638" s="20" t="str">
        <f>IF(N8638="","",COUNTIFS(RawData[[Date ]],N8638,RawData[Month List],$Q$6,RawData[Tour/Site],$Q$2,RawData[[Picker ID ]],$Q$3,RawData[Checker ID],$Q$4,RawData[[Error Type ]],$Q$5))</f>
        <v/>
      </c>
    </row>
    <row r="8639" spans="15:15" x14ac:dyDescent="0.25">
      <c r="O8639" s="20" t="str">
        <f>IF(N8639="","",COUNTIFS(RawData[[Date ]],N8639,RawData[Month List],$Q$6,RawData[Tour/Site],$Q$2,RawData[[Picker ID ]],$Q$3,RawData[Checker ID],$Q$4,RawData[[Error Type ]],$Q$5))</f>
        <v/>
      </c>
    </row>
    <row r="8640" spans="15:15" x14ac:dyDescent="0.25">
      <c r="O8640" s="20" t="str">
        <f>IF(N8640="","",COUNTIFS(RawData[[Date ]],N8640,RawData[Month List],$Q$6,RawData[Tour/Site],$Q$2,RawData[[Picker ID ]],$Q$3,RawData[Checker ID],$Q$4,RawData[[Error Type ]],$Q$5))</f>
        <v/>
      </c>
    </row>
    <row r="8641" spans="15:15" x14ac:dyDescent="0.25">
      <c r="O8641" s="20" t="str">
        <f>IF(N8641="","",COUNTIFS(RawData[[Date ]],N8641,RawData[Month List],$Q$6,RawData[Tour/Site],$Q$2,RawData[[Picker ID ]],$Q$3,RawData[Checker ID],$Q$4,RawData[[Error Type ]],$Q$5))</f>
        <v/>
      </c>
    </row>
    <row r="8642" spans="15:15" x14ac:dyDescent="0.25">
      <c r="O8642" s="20" t="str">
        <f>IF(N8642="","",COUNTIFS(RawData[[Date ]],N8642,RawData[Month List],$Q$6,RawData[Tour/Site],$Q$2,RawData[[Picker ID ]],$Q$3,RawData[Checker ID],$Q$4,RawData[[Error Type ]],$Q$5))</f>
        <v/>
      </c>
    </row>
    <row r="8643" spans="15:15" x14ac:dyDescent="0.25">
      <c r="O8643" s="20" t="str">
        <f>IF(N8643="","",COUNTIFS(RawData[[Date ]],N8643,RawData[Month List],$Q$6,RawData[Tour/Site],$Q$2,RawData[[Picker ID ]],$Q$3,RawData[Checker ID],$Q$4,RawData[[Error Type ]],$Q$5))</f>
        <v/>
      </c>
    </row>
    <row r="8644" spans="15:15" x14ac:dyDescent="0.25">
      <c r="O8644" s="20" t="str">
        <f>IF(N8644="","",COUNTIFS(RawData[[Date ]],N8644,RawData[Month List],$Q$6,RawData[Tour/Site],$Q$2,RawData[[Picker ID ]],$Q$3,RawData[Checker ID],$Q$4,RawData[[Error Type ]],$Q$5))</f>
        <v/>
      </c>
    </row>
    <row r="8645" spans="15:15" x14ac:dyDescent="0.25">
      <c r="O8645" s="20" t="str">
        <f>IF(N8645="","",COUNTIFS(RawData[[Date ]],N8645,RawData[Month List],$Q$6,RawData[Tour/Site],$Q$2,RawData[[Picker ID ]],$Q$3,RawData[Checker ID],$Q$4,RawData[[Error Type ]],$Q$5))</f>
        <v/>
      </c>
    </row>
    <row r="8646" spans="15:15" x14ac:dyDescent="0.25">
      <c r="O8646" s="20" t="str">
        <f>IF(N8646="","",COUNTIFS(RawData[[Date ]],N8646,RawData[Month List],$Q$6,RawData[Tour/Site],$Q$2,RawData[[Picker ID ]],$Q$3,RawData[Checker ID],$Q$4,RawData[[Error Type ]],$Q$5))</f>
        <v/>
      </c>
    </row>
    <row r="8647" spans="15:15" x14ac:dyDescent="0.25">
      <c r="O8647" s="20" t="str">
        <f>IF(N8647="","",COUNTIFS(RawData[[Date ]],N8647,RawData[Month List],$Q$6,RawData[Tour/Site],$Q$2,RawData[[Picker ID ]],$Q$3,RawData[Checker ID],$Q$4,RawData[[Error Type ]],$Q$5))</f>
        <v/>
      </c>
    </row>
    <row r="8648" spans="15:15" x14ac:dyDescent="0.25">
      <c r="O8648" s="20" t="str">
        <f>IF(N8648="","",COUNTIFS(RawData[[Date ]],N8648,RawData[Month List],$Q$6,RawData[Tour/Site],$Q$2,RawData[[Picker ID ]],$Q$3,RawData[Checker ID],$Q$4,RawData[[Error Type ]],$Q$5))</f>
        <v/>
      </c>
    </row>
    <row r="8649" spans="15:15" x14ac:dyDescent="0.25">
      <c r="O8649" s="20" t="str">
        <f>IF(N8649="","",COUNTIFS(RawData[[Date ]],N8649,RawData[Month List],$Q$6,RawData[Tour/Site],$Q$2,RawData[[Picker ID ]],$Q$3,RawData[Checker ID],$Q$4,RawData[[Error Type ]],$Q$5))</f>
        <v/>
      </c>
    </row>
    <row r="8650" spans="15:15" x14ac:dyDescent="0.25">
      <c r="O8650" s="20" t="str">
        <f>IF(N8650="","",COUNTIFS(RawData[[Date ]],N8650,RawData[Month List],$Q$6,RawData[Tour/Site],$Q$2,RawData[[Picker ID ]],$Q$3,RawData[Checker ID],$Q$4,RawData[[Error Type ]],$Q$5))</f>
        <v/>
      </c>
    </row>
    <row r="8651" spans="15:15" x14ac:dyDescent="0.25">
      <c r="O8651" s="20" t="str">
        <f>IF(N8651="","",COUNTIFS(RawData[[Date ]],N8651,RawData[Month List],$Q$6,RawData[Tour/Site],$Q$2,RawData[[Picker ID ]],$Q$3,RawData[Checker ID],$Q$4,RawData[[Error Type ]],$Q$5))</f>
        <v/>
      </c>
    </row>
    <row r="8652" spans="15:15" x14ac:dyDescent="0.25">
      <c r="O8652" s="20" t="str">
        <f>IF(N8652="","",COUNTIFS(RawData[[Date ]],N8652,RawData[Month List],$Q$6,RawData[Tour/Site],$Q$2,RawData[[Picker ID ]],$Q$3,RawData[Checker ID],$Q$4,RawData[[Error Type ]],$Q$5))</f>
        <v/>
      </c>
    </row>
    <row r="8653" spans="15:15" x14ac:dyDescent="0.25">
      <c r="O8653" s="20" t="str">
        <f>IF(N8653="","",COUNTIFS(RawData[[Date ]],N8653,RawData[Month List],$Q$6,RawData[Tour/Site],$Q$2,RawData[[Picker ID ]],$Q$3,RawData[Checker ID],$Q$4,RawData[[Error Type ]],$Q$5))</f>
        <v/>
      </c>
    </row>
    <row r="8654" spans="15:15" x14ac:dyDescent="0.25">
      <c r="O8654" s="20" t="str">
        <f>IF(N8654="","",COUNTIFS(RawData[[Date ]],N8654,RawData[Month List],$Q$6,RawData[Tour/Site],$Q$2,RawData[[Picker ID ]],$Q$3,RawData[Checker ID],$Q$4,RawData[[Error Type ]],$Q$5))</f>
        <v/>
      </c>
    </row>
    <row r="8655" spans="15:15" x14ac:dyDescent="0.25">
      <c r="O8655" s="20" t="str">
        <f>IF(N8655="","",COUNTIFS(RawData[[Date ]],N8655,RawData[Month List],$Q$6,RawData[Tour/Site],$Q$2,RawData[[Picker ID ]],$Q$3,RawData[Checker ID],$Q$4,RawData[[Error Type ]],$Q$5))</f>
        <v/>
      </c>
    </row>
    <row r="8656" spans="15:15" x14ac:dyDescent="0.25">
      <c r="O8656" s="20" t="str">
        <f>IF(N8656="","",COUNTIFS(RawData[[Date ]],N8656,RawData[Month List],$Q$6,RawData[Tour/Site],$Q$2,RawData[[Picker ID ]],$Q$3,RawData[Checker ID],$Q$4,RawData[[Error Type ]],$Q$5))</f>
        <v/>
      </c>
    </row>
    <row r="8657" spans="15:15" x14ac:dyDescent="0.25">
      <c r="O8657" s="20" t="str">
        <f>IF(N8657="","",COUNTIFS(RawData[[Date ]],N8657,RawData[Month List],$Q$6,RawData[Tour/Site],$Q$2,RawData[[Picker ID ]],$Q$3,RawData[Checker ID],$Q$4,RawData[[Error Type ]],$Q$5))</f>
        <v/>
      </c>
    </row>
    <row r="8658" spans="15:15" x14ac:dyDescent="0.25">
      <c r="O8658" s="20" t="str">
        <f>IF(N8658="","",COUNTIFS(RawData[[Date ]],N8658,RawData[Month List],$Q$6,RawData[Tour/Site],$Q$2,RawData[[Picker ID ]],$Q$3,RawData[Checker ID],$Q$4,RawData[[Error Type ]],$Q$5))</f>
        <v/>
      </c>
    </row>
    <row r="8659" spans="15:15" x14ac:dyDescent="0.25">
      <c r="O8659" s="20" t="str">
        <f>IF(N8659="","",COUNTIFS(RawData[[Date ]],N8659,RawData[Month List],$Q$6,RawData[Tour/Site],$Q$2,RawData[[Picker ID ]],$Q$3,RawData[Checker ID],$Q$4,RawData[[Error Type ]],$Q$5))</f>
        <v/>
      </c>
    </row>
    <row r="8660" spans="15:15" x14ac:dyDescent="0.25">
      <c r="O8660" s="20" t="str">
        <f>IF(N8660="","",COUNTIFS(RawData[[Date ]],N8660,RawData[Month List],$Q$6,RawData[Tour/Site],$Q$2,RawData[[Picker ID ]],$Q$3,RawData[Checker ID],$Q$4,RawData[[Error Type ]],$Q$5))</f>
        <v/>
      </c>
    </row>
    <row r="8661" spans="15:15" x14ac:dyDescent="0.25">
      <c r="O8661" s="20" t="str">
        <f>IF(N8661="","",COUNTIFS(RawData[[Date ]],N8661,RawData[Month List],$Q$6,RawData[Tour/Site],$Q$2,RawData[[Picker ID ]],$Q$3,RawData[Checker ID],$Q$4,RawData[[Error Type ]],$Q$5))</f>
        <v/>
      </c>
    </row>
    <row r="8662" spans="15:15" x14ac:dyDescent="0.25">
      <c r="O8662" s="20" t="str">
        <f>IF(N8662="","",COUNTIFS(RawData[[Date ]],N8662,RawData[Month List],$Q$6,RawData[Tour/Site],$Q$2,RawData[[Picker ID ]],$Q$3,RawData[Checker ID],$Q$4,RawData[[Error Type ]],$Q$5))</f>
        <v/>
      </c>
    </row>
    <row r="8663" spans="15:15" x14ac:dyDescent="0.25">
      <c r="O8663" s="20" t="str">
        <f>IF(N8663="","",COUNTIFS(RawData[[Date ]],N8663,RawData[Month List],$Q$6,RawData[Tour/Site],$Q$2,RawData[[Picker ID ]],$Q$3,RawData[Checker ID],$Q$4,RawData[[Error Type ]],$Q$5))</f>
        <v/>
      </c>
    </row>
    <row r="8664" spans="15:15" x14ac:dyDescent="0.25">
      <c r="O8664" s="20" t="str">
        <f>IF(N8664="","",COUNTIFS(RawData[[Date ]],N8664,RawData[Month List],$Q$6,RawData[Tour/Site],$Q$2,RawData[[Picker ID ]],$Q$3,RawData[Checker ID],$Q$4,RawData[[Error Type ]],$Q$5))</f>
        <v/>
      </c>
    </row>
    <row r="8665" spans="15:15" x14ac:dyDescent="0.25">
      <c r="O8665" s="20" t="str">
        <f>IF(N8665="","",COUNTIFS(RawData[[Date ]],N8665,RawData[Month List],$Q$6,RawData[Tour/Site],$Q$2,RawData[[Picker ID ]],$Q$3,RawData[Checker ID],$Q$4,RawData[[Error Type ]],$Q$5))</f>
        <v/>
      </c>
    </row>
    <row r="8666" spans="15:15" x14ac:dyDescent="0.25">
      <c r="O8666" s="20" t="str">
        <f>IF(N8666="","",COUNTIFS(RawData[[Date ]],N8666,RawData[Month List],$Q$6,RawData[Tour/Site],$Q$2,RawData[[Picker ID ]],$Q$3,RawData[Checker ID],$Q$4,RawData[[Error Type ]],$Q$5))</f>
        <v/>
      </c>
    </row>
    <row r="8667" spans="15:15" x14ac:dyDescent="0.25">
      <c r="O8667" s="20" t="str">
        <f>IF(N8667="","",COUNTIFS(RawData[[Date ]],N8667,RawData[Month List],$Q$6,RawData[Tour/Site],$Q$2,RawData[[Picker ID ]],$Q$3,RawData[Checker ID],$Q$4,RawData[[Error Type ]],$Q$5))</f>
        <v/>
      </c>
    </row>
    <row r="8668" spans="15:15" x14ac:dyDescent="0.25">
      <c r="O8668" s="20" t="str">
        <f>IF(N8668="","",COUNTIFS(RawData[[Date ]],N8668,RawData[Month List],$Q$6,RawData[Tour/Site],$Q$2,RawData[[Picker ID ]],$Q$3,RawData[Checker ID],$Q$4,RawData[[Error Type ]],$Q$5))</f>
        <v/>
      </c>
    </row>
    <row r="8669" spans="15:15" x14ac:dyDescent="0.25">
      <c r="O8669" s="20" t="str">
        <f>IF(N8669="","",COUNTIFS(RawData[[Date ]],N8669,RawData[Month List],$Q$6,RawData[Tour/Site],$Q$2,RawData[[Picker ID ]],$Q$3,RawData[Checker ID],$Q$4,RawData[[Error Type ]],$Q$5))</f>
        <v/>
      </c>
    </row>
    <row r="8670" spans="15:15" x14ac:dyDescent="0.25">
      <c r="O8670" s="20" t="str">
        <f>IF(N8670="","",COUNTIFS(RawData[[Date ]],N8670,RawData[Month List],$Q$6,RawData[Tour/Site],$Q$2,RawData[[Picker ID ]],$Q$3,RawData[Checker ID],$Q$4,RawData[[Error Type ]],$Q$5))</f>
        <v/>
      </c>
    </row>
    <row r="8671" spans="15:15" x14ac:dyDescent="0.25">
      <c r="O8671" s="20" t="str">
        <f>IF(N8671="","",COUNTIFS(RawData[[Date ]],N8671,RawData[Month List],$Q$6,RawData[Tour/Site],$Q$2,RawData[[Picker ID ]],$Q$3,RawData[Checker ID],$Q$4,RawData[[Error Type ]],$Q$5))</f>
        <v/>
      </c>
    </row>
    <row r="8672" spans="15:15" x14ac:dyDescent="0.25">
      <c r="O8672" s="20" t="str">
        <f>IF(N8672="","",COUNTIFS(RawData[[Date ]],N8672,RawData[Month List],$Q$6,RawData[Tour/Site],$Q$2,RawData[[Picker ID ]],$Q$3,RawData[Checker ID],$Q$4,RawData[[Error Type ]],$Q$5))</f>
        <v/>
      </c>
    </row>
    <row r="8673" spans="15:15" x14ac:dyDescent="0.25">
      <c r="O8673" s="20" t="str">
        <f>IF(N8673="","",COUNTIFS(RawData[[Date ]],N8673,RawData[Month List],$Q$6,RawData[Tour/Site],$Q$2,RawData[[Picker ID ]],$Q$3,RawData[Checker ID],$Q$4,RawData[[Error Type ]],$Q$5))</f>
        <v/>
      </c>
    </row>
    <row r="8674" spans="15:15" x14ac:dyDescent="0.25">
      <c r="O8674" s="20" t="str">
        <f>IF(N8674="","",COUNTIFS(RawData[[Date ]],N8674,RawData[Month List],$Q$6,RawData[Tour/Site],$Q$2,RawData[[Picker ID ]],$Q$3,RawData[Checker ID],$Q$4,RawData[[Error Type ]],$Q$5))</f>
        <v/>
      </c>
    </row>
    <row r="8675" spans="15:15" x14ac:dyDescent="0.25">
      <c r="O8675" s="20" t="str">
        <f>IF(N8675="","",COUNTIFS(RawData[[Date ]],N8675,RawData[Month List],$Q$6,RawData[Tour/Site],$Q$2,RawData[[Picker ID ]],$Q$3,RawData[Checker ID],$Q$4,RawData[[Error Type ]],$Q$5))</f>
        <v/>
      </c>
    </row>
    <row r="8676" spans="15:15" x14ac:dyDescent="0.25">
      <c r="O8676" s="20" t="str">
        <f>IF(N8676="","",COUNTIFS(RawData[[Date ]],N8676,RawData[Month List],$Q$6,RawData[Tour/Site],$Q$2,RawData[[Picker ID ]],$Q$3,RawData[Checker ID],$Q$4,RawData[[Error Type ]],$Q$5))</f>
        <v/>
      </c>
    </row>
    <row r="8677" spans="15:15" x14ac:dyDescent="0.25">
      <c r="O8677" s="20" t="str">
        <f>IF(N8677="","",COUNTIFS(RawData[[Date ]],N8677,RawData[Month List],$Q$6,RawData[Tour/Site],$Q$2,RawData[[Picker ID ]],$Q$3,RawData[Checker ID],$Q$4,RawData[[Error Type ]],$Q$5))</f>
        <v/>
      </c>
    </row>
    <row r="8678" spans="15:15" x14ac:dyDescent="0.25">
      <c r="O8678" s="20" t="str">
        <f>IF(N8678="","",COUNTIFS(RawData[[Date ]],N8678,RawData[Month List],$Q$6,RawData[Tour/Site],$Q$2,RawData[[Picker ID ]],$Q$3,RawData[Checker ID],$Q$4,RawData[[Error Type ]],$Q$5))</f>
        <v/>
      </c>
    </row>
    <row r="8679" spans="15:15" x14ac:dyDescent="0.25">
      <c r="O8679" s="20" t="str">
        <f>IF(N8679="","",COUNTIFS(RawData[[Date ]],N8679,RawData[Month List],$Q$6,RawData[Tour/Site],$Q$2,RawData[[Picker ID ]],$Q$3,RawData[Checker ID],$Q$4,RawData[[Error Type ]],$Q$5))</f>
        <v/>
      </c>
    </row>
    <row r="8680" spans="15:15" x14ac:dyDescent="0.25">
      <c r="O8680" s="20" t="str">
        <f>IF(N8680="","",COUNTIFS(RawData[[Date ]],N8680,RawData[Month List],$Q$6,RawData[Tour/Site],$Q$2,RawData[[Picker ID ]],$Q$3,RawData[Checker ID],$Q$4,RawData[[Error Type ]],$Q$5))</f>
        <v/>
      </c>
    </row>
    <row r="8681" spans="15:15" x14ac:dyDescent="0.25">
      <c r="O8681" s="20" t="str">
        <f>IF(N8681="","",COUNTIFS(RawData[[Date ]],N8681,RawData[Month List],$Q$6,RawData[Tour/Site],$Q$2,RawData[[Picker ID ]],$Q$3,RawData[Checker ID],$Q$4,RawData[[Error Type ]],$Q$5))</f>
        <v/>
      </c>
    </row>
    <row r="8682" spans="15:15" x14ac:dyDescent="0.25">
      <c r="O8682" s="20" t="str">
        <f>IF(N8682="","",COUNTIFS(RawData[[Date ]],N8682,RawData[Month List],$Q$6,RawData[Tour/Site],$Q$2,RawData[[Picker ID ]],$Q$3,RawData[Checker ID],$Q$4,RawData[[Error Type ]],$Q$5))</f>
        <v/>
      </c>
    </row>
    <row r="8683" spans="15:15" x14ac:dyDescent="0.25">
      <c r="O8683" s="20" t="str">
        <f>IF(N8683="","",COUNTIFS(RawData[[Date ]],N8683,RawData[Month List],$Q$6,RawData[Tour/Site],$Q$2,RawData[[Picker ID ]],$Q$3,RawData[Checker ID],$Q$4,RawData[[Error Type ]],$Q$5))</f>
        <v/>
      </c>
    </row>
    <row r="8684" spans="15:15" x14ac:dyDescent="0.25">
      <c r="O8684" s="20" t="str">
        <f>IF(N8684="","",COUNTIFS(RawData[[Date ]],N8684,RawData[Month List],$Q$6,RawData[Tour/Site],$Q$2,RawData[[Picker ID ]],$Q$3,RawData[Checker ID],$Q$4,RawData[[Error Type ]],$Q$5))</f>
        <v/>
      </c>
    </row>
    <row r="8685" spans="15:15" x14ac:dyDescent="0.25">
      <c r="O8685" s="20" t="str">
        <f>IF(N8685="","",COUNTIFS(RawData[[Date ]],N8685,RawData[Month List],$Q$6,RawData[Tour/Site],$Q$2,RawData[[Picker ID ]],$Q$3,RawData[Checker ID],$Q$4,RawData[[Error Type ]],$Q$5))</f>
        <v/>
      </c>
    </row>
    <row r="8686" spans="15:15" x14ac:dyDescent="0.25">
      <c r="O8686" s="20" t="str">
        <f>IF(N8686="","",COUNTIFS(RawData[[Date ]],N8686,RawData[Month List],$Q$6,RawData[Tour/Site],$Q$2,RawData[[Picker ID ]],$Q$3,RawData[Checker ID],$Q$4,RawData[[Error Type ]],$Q$5))</f>
        <v/>
      </c>
    </row>
    <row r="8687" spans="15:15" x14ac:dyDescent="0.25">
      <c r="O8687" s="20" t="str">
        <f>IF(N8687="","",COUNTIFS(RawData[[Date ]],N8687,RawData[Month List],$Q$6,RawData[Tour/Site],$Q$2,RawData[[Picker ID ]],$Q$3,RawData[Checker ID],$Q$4,RawData[[Error Type ]],$Q$5))</f>
        <v/>
      </c>
    </row>
    <row r="8688" spans="15:15" x14ac:dyDescent="0.25">
      <c r="O8688" s="20" t="str">
        <f>IF(N8688="","",COUNTIFS(RawData[[Date ]],N8688,RawData[Month List],$Q$6,RawData[Tour/Site],$Q$2,RawData[[Picker ID ]],$Q$3,RawData[Checker ID],$Q$4,RawData[[Error Type ]],$Q$5))</f>
        <v/>
      </c>
    </row>
    <row r="8689" spans="15:15" x14ac:dyDescent="0.25">
      <c r="O8689" s="20" t="str">
        <f>IF(N8689="","",COUNTIFS(RawData[[Date ]],N8689,RawData[Month List],$Q$6,RawData[Tour/Site],$Q$2,RawData[[Picker ID ]],$Q$3,RawData[Checker ID],$Q$4,RawData[[Error Type ]],$Q$5))</f>
        <v/>
      </c>
    </row>
    <row r="8690" spans="15:15" x14ac:dyDescent="0.25">
      <c r="O8690" s="20" t="str">
        <f>IF(N8690="","",COUNTIFS(RawData[[Date ]],N8690,RawData[Month List],$Q$6,RawData[Tour/Site],$Q$2,RawData[[Picker ID ]],$Q$3,RawData[Checker ID],$Q$4,RawData[[Error Type ]],$Q$5))</f>
        <v/>
      </c>
    </row>
    <row r="8691" spans="15:15" x14ac:dyDescent="0.25">
      <c r="O8691" s="20" t="str">
        <f>IF(N8691="","",COUNTIFS(RawData[[Date ]],N8691,RawData[Month List],$Q$6,RawData[Tour/Site],$Q$2,RawData[[Picker ID ]],$Q$3,RawData[Checker ID],$Q$4,RawData[[Error Type ]],$Q$5))</f>
        <v/>
      </c>
    </row>
    <row r="8692" spans="15:15" x14ac:dyDescent="0.25">
      <c r="O8692" s="20" t="str">
        <f>IF(N8692="","",COUNTIFS(RawData[[Date ]],N8692,RawData[Month List],$Q$6,RawData[Tour/Site],$Q$2,RawData[[Picker ID ]],$Q$3,RawData[Checker ID],$Q$4,RawData[[Error Type ]],$Q$5))</f>
        <v/>
      </c>
    </row>
    <row r="8693" spans="15:15" x14ac:dyDescent="0.25">
      <c r="O8693" s="20" t="str">
        <f>IF(N8693="","",COUNTIFS(RawData[[Date ]],N8693,RawData[Month List],$Q$6,RawData[Tour/Site],$Q$2,RawData[[Picker ID ]],$Q$3,RawData[Checker ID],$Q$4,RawData[[Error Type ]],$Q$5))</f>
        <v/>
      </c>
    </row>
    <row r="8694" spans="15:15" x14ac:dyDescent="0.25">
      <c r="O8694" s="20" t="str">
        <f>IF(N8694="","",COUNTIFS(RawData[[Date ]],N8694,RawData[Month List],$Q$6,RawData[Tour/Site],$Q$2,RawData[[Picker ID ]],$Q$3,RawData[Checker ID],$Q$4,RawData[[Error Type ]],$Q$5))</f>
        <v/>
      </c>
    </row>
    <row r="8695" spans="15:15" x14ac:dyDescent="0.25">
      <c r="O8695" s="20" t="str">
        <f>IF(N8695="","",COUNTIFS(RawData[[Date ]],N8695,RawData[Month List],$Q$6,RawData[Tour/Site],$Q$2,RawData[[Picker ID ]],$Q$3,RawData[Checker ID],$Q$4,RawData[[Error Type ]],$Q$5))</f>
        <v/>
      </c>
    </row>
    <row r="8696" spans="15:15" x14ac:dyDescent="0.25">
      <c r="O8696" s="20" t="str">
        <f>IF(N8696="","",COUNTIFS(RawData[[Date ]],N8696,RawData[Month List],$Q$6,RawData[Tour/Site],$Q$2,RawData[[Picker ID ]],$Q$3,RawData[Checker ID],$Q$4,RawData[[Error Type ]],$Q$5))</f>
        <v/>
      </c>
    </row>
    <row r="8697" spans="15:15" x14ac:dyDescent="0.25">
      <c r="O8697" s="20" t="str">
        <f>IF(N8697="","",COUNTIFS(RawData[[Date ]],N8697,RawData[Month List],$Q$6,RawData[Tour/Site],$Q$2,RawData[[Picker ID ]],$Q$3,RawData[Checker ID],$Q$4,RawData[[Error Type ]],$Q$5))</f>
        <v/>
      </c>
    </row>
    <row r="8698" spans="15:15" x14ac:dyDescent="0.25">
      <c r="O8698" s="20" t="str">
        <f>IF(N8698="","",COUNTIFS(RawData[[Date ]],N8698,RawData[Month List],$Q$6,RawData[Tour/Site],$Q$2,RawData[[Picker ID ]],$Q$3,RawData[Checker ID],$Q$4,RawData[[Error Type ]],$Q$5))</f>
        <v/>
      </c>
    </row>
    <row r="8699" spans="15:15" x14ac:dyDescent="0.25">
      <c r="O8699" s="20" t="str">
        <f>IF(N8699="","",COUNTIFS(RawData[[Date ]],N8699,RawData[Month List],$Q$6,RawData[Tour/Site],$Q$2,RawData[[Picker ID ]],$Q$3,RawData[Checker ID],$Q$4,RawData[[Error Type ]],$Q$5))</f>
        <v/>
      </c>
    </row>
    <row r="8700" spans="15:15" x14ac:dyDescent="0.25">
      <c r="O8700" s="20" t="str">
        <f>IF(N8700="","",COUNTIFS(RawData[[Date ]],N8700,RawData[Month List],$Q$6,RawData[Tour/Site],$Q$2,RawData[[Picker ID ]],$Q$3,RawData[Checker ID],$Q$4,RawData[[Error Type ]],$Q$5))</f>
        <v/>
      </c>
    </row>
    <row r="8701" spans="15:15" x14ac:dyDescent="0.25">
      <c r="O8701" s="20" t="str">
        <f>IF(N8701="","",COUNTIFS(RawData[[Date ]],N8701,RawData[Month List],$Q$6,RawData[Tour/Site],$Q$2,RawData[[Picker ID ]],$Q$3,RawData[Checker ID],$Q$4,RawData[[Error Type ]],$Q$5))</f>
        <v/>
      </c>
    </row>
    <row r="8702" spans="15:15" x14ac:dyDescent="0.25">
      <c r="O8702" s="20" t="str">
        <f>IF(N8702="","",COUNTIFS(RawData[[Date ]],N8702,RawData[Month List],$Q$6,RawData[Tour/Site],$Q$2,RawData[[Picker ID ]],$Q$3,RawData[Checker ID],$Q$4,RawData[[Error Type ]],$Q$5))</f>
        <v/>
      </c>
    </row>
    <row r="8703" spans="15:15" x14ac:dyDescent="0.25">
      <c r="O8703" s="20" t="str">
        <f>IF(N8703="","",COUNTIFS(RawData[[Date ]],N8703,RawData[Month List],$Q$6,RawData[Tour/Site],$Q$2,RawData[[Picker ID ]],$Q$3,RawData[Checker ID],$Q$4,RawData[[Error Type ]],$Q$5))</f>
        <v/>
      </c>
    </row>
    <row r="8704" spans="15:15" x14ac:dyDescent="0.25">
      <c r="O8704" s="20" t="str">
        <f>IF(N8704="","",COUNTIFS(RawData[[Date ]],N8704,RawData[Month List],$Q$6,RawData[Tour/Site],$Q$2,RawData[[Picker ID ]],$Q$3,RawData[Checker ID],$Q$4,RawData[[Error Type ]],$Q$5))</f>
        <v/>
      </c>
    </row>
    <row r="8705" spans="15:15" x14ac:dyDescent="0.25">
      <c r="O8705" s="20" t="str">
        <f>IF(N8705="","",COUNTIFS(RawData[[Date ]],N8705,RawData[Month List],$Q$6,RawData[Tour/Site],$Q$2,RawData[[Picker ID ]],$Q$3,RawData[Checker ID],$Q$4,RawData[[Error Type ]],$Q$5))</f>
        <v/>
      </c>
    </row>
    <row r="8706" spans="15:15" x14ac:dyDescent="0.25">
      <c r="O8706" s="20" t="str">
        <f>IF(N8706="","",COUNTIFS(RawData[[Date ]],N8706,RawData[Month List],$Q$6,RawData[Tour/Site],$Q$2,RawData[[Picker ID ]],$Q$3,RawData[Checker ID],$Q$4,RawData[[Error Type ]],$Q$5))</f>
        <v/>
      </c>
    </row>
    <row r="8707" spans="15:15" x14ac:dyDescent="0.25">
      <c r="O8707" s="20" t="str">
        <f>IF(N8707="","",COUNTIFS(RawData[[Date ]],N8707,RawData[Month List],$Q$6,RawData[Tour/Site],$Q$2,RawData[[Picker ID ]],$Q$3,RawData[Checker ID],$Q$4,RawData[[Error Type ]],$Q$5))</f>
        <v/>
      </c>
    </row>
    <row r="8708" spans="15:15" x14ac:dyDescent="0.25">
      <c r="O8708" s="20" t="str">
        <f>IF(N8708="","",COUNTIFS(RawData[[Date ]],N8708,RawData[Month List],$Q$6,RawData[Tour/Site],$Q$2,RawData[[Picker ID ]],$Q$3,RawData[Checker ID],$Q$4,RawData[[Error Type ]],$Q$5))</f>
        <v/>
      </c>
    </row>
    <row r="8709" spans="15:15" x14ac:dyDescent="0.25">
      <c r="O8709" s="20" t="str">
        <f>IF(N8709="","",COUNTIFS(RawData[[Date ]],N8709,RawData[Month List],$Q$6,RawData[Tour/Site],$Q$2,RawData[[Picker ID ]],$Q$3,RawData[Checker ID],$Q$4,RawData[[Error Type ]],$Q$5))</f>
        <v/>
      </c>
    </row>
    <row r="8710" spans="15:15" x14ac:dyDescent="0.25">
      <c r="O8710" s="20" t="str">
        <f>IF(N8710="","",COUNTIFS(RawData[[Date ]],N8710,RawData[Month List],$Q$6,RawData[Tour/Site],$Q$2,RawData[[Picker ID ]],$Q$3,RawData[Checker ID],$Q$4,RawData[[Error Type ]],$Q$5))</f>
        <v/>
      </c>
    </row>
    <row r="8711" spans="15:15" x14ac:dyDescent="0.25">
      <c r="O8711" s="20" t="str">
        <f>IF(N8711="","",COUNTIFS(RawData[[Date ]],N8711,RawData[Month List],$Q$6,RawData[Tour/Site],$Q$2,RawData[[Picker ID ]],$Q$3,RawData[Checker ID],$Q$4,RawData[[Error Type ]],$Q$5))</f>
        <v/>
      </c>
    </row>
    <row r="8712" spans="15:15" x14ac:dyDescent="0.25">
      <c r="O8712" s="20" t="str">
        <f>IF(N8712="","",COUNTIFS(RawData[[Date ]],N8712,RawData[Month List],$Q$6,RawData[Tour/Site],$Q$2,RawData[[Picker ID ]],$Q$3,RawData[Checker ID],$Q$4,RawData[[Error Type ]],$Q$5))</f>
        <v/>
      </c>
    </row>
    <row r="8713" spans="15:15" x14ac:dyDescent="0.25">
      <c r="O8713" s="20" t="str">
        <f>IF(N8713="","",COUNTIFS(RawData[[Date ]],N8713,RawData[Month List],$Q$6,RawData[Tour/Site],$Q$2,RawData[[Picker ID ]],$Q$3,RawData[Checker ID],$Q$4,RawData[[Error Type ]],$Q$5))</f>
        <v/>
      </c>
    </row>
    <row r="8714" spans="15:15" x14ac:dyDescent="0.25">
      <c r="O8714" s="20" t="str">
        <f>IF(N8714="","",COUNTIFS(RawData[[Date ]],N8714,RawData[Month List],$Q$6,RawData[Tour/Site],$Q$2,RawData[[Picker ID ]],$Q$3,RawData[Checker ID],$Q$4,RawData[[Error Type ]],$Q$5))</f>
        <v/>
      </c>
    </row>
    <row r="8715" spans="15:15" x14ac:dyDescent="0.25">
      <c r="O8715" s="20" t="str">
        <f>IF(N8715="","",COUNTIFS(RawData[[Date ]],N8715,RawData[Month List],$Q$6,RawData[Tour/Site],$Q$2,RawData[[Picker ID ]],$Q$3,RawData[Checker ID],$Q$4,RawData[[Error Type ]],$Q$5))</f>
        <v/>
      </c>
    </row>
    <row r="8716" spans="15:15" x14ac:dyDescent="0.25">
      <c r="O8716" s="20" t="str">
        <f>IF(N8716="","",COUNTIFS(RawData[[Date ]],N8716,RawData[Month List],$Q$6,RawData[Tour/Site],$Q$2,RawData[[Picker ID ]],$Q$3,RawData[Checker ID],$Q$4,RawData[[Error Type ]],$Q$5))</f>
        <v/>
      </c>
    </row>
    <row r="8717" spans="15:15" x14ac:dyDescent="0.25">
      <c r="O8717" s="20" t="str">
        <f>IF(N8717="","",COUNTIFS(RawData[[Date ]],N8717,RawData[Month List],$Q$6,RawData[Tour/Site],$Q$2,RawData[[Picker ID ]],$Q$3,RawData[Checker ID],$Q$4,RawData[[Error Type ]],$Q$5))</f>
        <v/>
      </c>
    </row>
    <row r="8718" spans="15:15" x14ac:dyDescent="0.25">
      <c r="O8718" s="20" t="str">
        <f>IF(N8718="","",COUNTIFS(RawData[[Date ]],N8718,RawData[Month List],$Q$6,RawData[Tour/Site],$Q$2,RawData[[Picker ID ]],$Q$3,RawData[Checker ID],$Q$4,RawData[[Error Type ]],$Q$5))</f>
        <v/>
      </c>
    </row>
    <row r="8719" spans="15:15" x14ac:dyDescent="0.25">
      <c r="O8719" s="20" t="str">
        <f>IF(N8719="","",COUNTIFS(RawData[[Date ]],N8719,RawData[Month List],$Q$6,RawData[Tour/Site],$Q$2,RawData[[Picker ID ]],$Q$3,RawData[Checker ID],$Q$4,RawData[[Error Type ]],$Q$5))</f>
        <v/>
      </c>
    </row>
    <row r="8720" spans="15:15" x14ac:dyDescent="0.25">
      <c r="O8720" s="20" t="str">
        <f>IF(N8720="","",COUNTIFS(RawData[[Date ]],N8720,RawData[Month List],$Q$6,RawData[Tour/Site],$Q$2,RawData[[Picker ID ]],$Q$3,RawData[Checker ID],$Q$4,RawData[[Error Type ]],$Q$5))</f>
        <v/>
      </c>
    </row>
    <row r="8721" spans="15:15" x14ac:dyDescent="0.25">
      <c r="O8721" s="20" t="str">
        <f>IF(N8721="","",COUNTIFS(RawData[[Date ]],N8721,RawData[Month List],$Q$6,RawData[Tour/Site],$Q$2,RawData[[Picker ID ]],$Q$3,RawData[Checker ID],$Q$4,RawData[[Error Type ]],$Q$5))</f>
        <v/>
      </c>
    </row>
    <row r="8722" spans="15:15" x14ac:dyDescent="0.25">
      <c r="O8722" s="20" t="str">
        <f>IF(N8722="","",COUNTIFS(RawData[[Date ]],N8722,RawData[Month List],$Q$6,RawData[Tour/Site],$Q$2,RawData[[Picker ID ]],$Q$3,RawData[Checker ID],$Q$4,RawData[[Error Type ]],$Q$5))</f>
        <v/>
      </c>
    </row>
    <row r="8723" spans="15:15" x14ac:dyDescent="0.25">
      <c r="O8723" s="20" t="str">
        <f>IF(N8723="","",COUNTIFS(RawData[[Date ]],N8723,RawData[Month List],$Q$6,RawData[Tour/Site],$Q$2,RawData[[Picker ID ]],$Q$3,RawData[Checker ID],$Q$4,RawData[[Error Type ]],$Q$5))</f>
        <v/>
      </c>
    </row>
    <row r="8724" spans="15:15" x14ac:dyDescent="0.25">
      <c r="O8724" s="20" t="str">
        <f>IF(N8724="","",COUNTIFS(RawData[[Date ]],N8724,RawData[Month List],$Q$6,RawData[Tour/Site],$Q$2,RawData[[Picker ID ]],$Q$3,RawData[Checker ID],$Q$4,RawData[[Error Type ]],$Q$5))</f>
        <v/>
      </c>
    </row>
    <row r="8725" spans="15:15" x14ac:dyDescent="0.25">
      <c r="O8725" s="20" t="str">
        <f>IF(N8725="","",COUNTIFS(RawData[[Date ]],N8725,RawData[Month List],$Q$6,RawData[Tour/Site],$Q$2,RawData[[Picker ID ]],$Q$3,RawData[Checker ID],$Q$4,RawData[[Error Type ]],$Q$5))</f>
        <v/>
      </c>
    </row>
    <row r="8726" spans="15:15" x14ac:dyDescent="0.25">
      <c r="O8726" s="20" t="str">
        <f>IF(N8726="","",COUNTIFS(RawData[[Date ]],N8726,RawData[Month List],$Q$6,RawData[Tour/Site],$Q$2,RawData[[Picker ID ]],$Q$3,RawData[Checker ID],$Q$4,RawData[[Error Type ]],$Q$5))</f>
        <v/>
      </c>
    </row>
    <row r="8727" spans="15:15" x14ac:dyDescent="0.25">
      <c r="O8727" s="20" t="str">
        <f>IF(N8727="","",COUNTIFS(RawData[[Date ]],N8727,RawData[Month List],$Q$6,RawData[Tour/Site],$Q$2,RawData[[Picker ID ]],$Q$3,RawData[Checker ID],$Q$4,RawData[[Error Type ]],$Q$5))</f>
        <v/>
      </c>
    </row>
    <row r="8728" spans="15:15" x14ac:dyDescent="0.25">
      <c r="O8728" s="20" t="str">
        <f>IF(N8728="","",COUNTIFS(RawData[[Date ]],N8728,RawData[Month List],$Q$6,RawData[Tour/Site],$Q$2,RawData[[Picker ID ]],$Q$3,RawData[Checker ID],$Q$4,RawData[[Error Type ]],$Q$5))</f>
        <v/>
      </c>
    </row>
    <row r="8729" spans="15:15" x14ac:dyDescent="0.25">
      <c r="O8729" s="20" t="str">
        <f>IF(N8729="","",COUNTIFS(RawData[[Date ]],N8729,RawData[Month List],$Q$6,RawData[Tour/Site],$Q$2,RawData[[Picker ID ]],$Q$3,RawData[Checker ID],$Q$4,RawData[[Error Type ]],$Q$5))</f>
        <v/>
      </c>
    </row>
    <row r="8730" spans="15:15" x14ac:dyDescent="0.25">
      <c r="O8730" s="20" t="str">
        <f>IF(N8730="","",COUNTIFS(RawData[[Date ]],N8730,RawData[Month List],$Q$6,RawData[Tour/Site],$Q$2,RawData[[Picker ID ]],$Q$3,RawData[Checker ID],$Q$4,RawData[[Error Type ]],$Q$5))</f>
        <v/>
      </c>
    </row>
    <row r="8731" spans="15:15" x14ac:dyDescent="0.25">
      <c r="O8731" s="20" t="str">
        <f>IF(N8731="","",COUNTIFS(RawData[[Date ]],N8731,RawData[Month List],$Q$6,RawData[Tour/Site],$Q$2,RawData[[Picker ID ]],$Q$3,RawData[Checker ID],$Q$4,RawData[[Error Type ]],$Q$5))</f>
        <v/>
      </c>
    </row>
    <row r="8732" spans="15:15" x14ac:dyDescent="0.25">
      <c r="O8732" s="20" t="str">
        <f>IF(N8732="","",COUNTIFS(RawData[[Date ]],N8732,RawData[Month List],$Q$6,RawData[Tour/Site],$Q$2,RawData[[Picker ID ]],$Q$3,RawData[Checker ID],$Q$4,RawData[[Error Type ]],$Q$5))</f>
        <v/>
      </c>
    </row>
    <row r="8733" spans="15:15" x14ac:dyDescent="0.25">
      <c r="O8733" s="20" t="str">
        <f>IF(N8733="","",COUNTIFS(RawData[[Date ]],N8733,RawData[Month List],$Q$6,RawData[Tour/Site],$Q$2,RawData[[Picker ID ]],$Q$3,RawData[Checker ID],$Q$4,RawData[[Error Type ]],$Q$5))</f>
        <v/>
      </c>
    </row>
    <row r="8734" spans="15:15" x14ac:dyDescent="0.25">
      <c r="O8734" s="20" t="str">
        <f>IF(N8734="","",COUNTIFS(RawData[[Date ]],N8734,RawData[Month List],$Q$6,RawData[Tour/Site],$Q$2,RawData[[Picker ID ]],$Q$3,RawData[Checker ID],$Q$4,RawData[[Error Type ]],$Q$5))</f>
        <v/>
      </c>
    </row>
    <row r="8735" spans="15:15" x14ac:dyDescent="0.25">
      <c r="O8735" s="20" t="str">
        <f>IF(N8735="","",COUNTIFS(RawData[[Date ]],N8735,RawData[Month List],$Q$6,RawData[Tour/Site],$Q$2,RawData[[Picker ID ]],$Q$3,RawData[Checker ID],$Q$4,RawData[[Error Type ]],$Q$5))</f>
        <v/>
      </c>
    </row>
    <row r="8736" spans="15:15" x14ac:dyDescent="0.25">
      <c r="O8736" s="20" t="str">
        <f>IF(N8736="","",COUNTIFS(RawData[[Date ]],N8736,RawData[Month List],$Q$6,RawData[Tour/Site],$Q$2,RawData[[Picker ID ]],$Q$3,RawData[Checker ID],$Q$4,RawData[[Error Type ]],$Q$5))</f>
        <v/>
      </c>
    </row>
    <row r="8737" spans="15:15" x14ac:dyDescent="0.25">
      <c r="O8737" s="20" t="str">
        <f>IF(N8737="","",COUNTIFS(RawData[[Date ]],N8737,RawData[Month List],$Q$6,RawData[Tour/Site],$Q$2,RawData[[Picker ID ]],$Q$3,RawData[Checker ID],$Q$4,RawData[[Error Type ]],$Q$5))</f>
        <v/>
      </c>
    </row>
    <row r="8738" spans="15:15" x14ac:dyDescent="0.25">
      <c r="O8738" s="20" t="str">
        <f>IF(N8738="","",COUNTIFS(RawData[[Date ]],N8738,RawData[Month List],$Q$6,RawData[Tour/Site],$Q$2,RawData[[Picker ID ]],$Q$3,RawData[Checker ID],$Q$4,RawData[[Error Type ]],$Q$5))</f>
        <v/>
      </c>
    </row>
    <row r="8739" spans="15:15" x14ac:dyDescent="0.25">
      <c r="O8739" s="20" t="str">
        <f>IF(N8739="","",COUNTIFS(RawData[[Date ]],N8739,RawData[Month List],$Q$6,RawData[Tour/Site],$Q$2,RawData[[Picker ID ]],$Q$3,RawData[Checker ID],$Q$4,RawData[[Error Type ]],$Q$5))</f>
        <v/>
      </c>
    </row>
    <row r="8740" spans="15:15" x14ac:dyDescent="0.25">
      <c r="O8740" s="20" t="str">
        <f>IF(N8740="","",COUNTIFS(RawData[[Date ]],N8740,RawData[Month List],$Q$6,RawData[Tour/Site],$Q$2,RawData[[Picker ID ]],$Q$3,RawData[Checker ID],$Q$4,RawData[[Error Type ]],$Q$5))</f>
        <v/>
      </c>
    </row>
    <row r="8741" spans="15:15" x14ac:dyDescent="0.25">
      <c r="O8741" s="20" t="str">
        <f>IF(N8741="","",COUNTIFS(RawData[[Date ]],N8741,RawData[Month List],$Q$6,RawData[Tour/Site],$Q$2,RawData[[Picker ID ]],$Q$3,RawData[Checker ID],$Q$4,RawData[[Error Type ]],$Q$5))</f>
        <v/>
      </c>
    </row>
    <row r="8742" spans="15:15" x14ac:dyDescent="0.25">
      <c r="O8742" s="20" t="str">
        <f>IF(N8742="","",COUNTIFS(RawData[[Date ]],N8742,RawData[Month List],$Q$6,RawData[Tour/Site],$Q$2,RawData[[Picker ID ]],$Q$3,RawData[Checker ID],$Q$4,RawData[[Error Type ]],$Q$5))</f>
        <v/>
      </c>
    </row>
    <row r="8743" spans="15:15" x14ac:dyDescent="0.25">
      <c r="O8743" s="20" t="str">
        <f>IF(N8743="","",COUNTIFS(RawData[[Date ]],N8743,RawData[Month List],$Q$6,RawData[Tour/Site],$Q$2,RawData[[Picker ID ]],$Q$3,RawData[Checker ID],$Q$4,RawData[[Error Type ]],$Q$5))</f>
        <v/>
      </c>
    </row>
    <row r="8744" spans="15:15" x14ac:dyDescent="0.25">
      <c r="O8744" s="20" t="str">
        <f>IF(N8744="","",COUNTIFS(RawData[[Date ]],N8744,RawData[Month List],$Q$6,RawData[Tour/Site],$Q$2,RawData[[Picker ID ]],$Q$3,RawData[Checker ID],$Q$4,RawData[[Error Type ]],$Q$5))</f>
        <v/>
      </c>
    </row>
    <row r="8745" spans="15:15" x14ac:dyDescent="0.25">
      <c r="O8745" s="20" t="str">
        <f>IF(N8745="","",COUNTIFS(RawData[[Date ]],N8745,RawData[Month List],$Q$6,RawData[Tour/Site],$Q$2,RawData[[Picker ID ]],$Q$3,RawData[Checker ID],$Q$4,RawData[[Error Type ]],$Q$5))</f>
        <v/>
      </c>
    </row>
    <row r="8746" spans="15:15" x14ac:dyDescent="0.25">
      <c r="O8746" s="20" t="str">
        <f>IF(N8746="","",COUNTIFS(RawData[[Date ]],N8746,RawData[Month List],$Q$6,RawData[Tour/Site],$Q$2,RawData[[Picker ID ]],$Q$3,RawData[Checker ID],$Q$4,RawData[[Error Type ]],$Q$5))</f>
        <v/>
      </c>
    </row>
    <row r="8747" spans="15:15" x14ac:dyDescent="0.25">
      <c r="O8747" s="20" t="str">
        <f>IF(N8747="","",COUNTIFS(RawData[[Date ]],N8747,RawData[Month List],$Q$6,RawData[Tour/Site],$Q$2,RawData[[Picker ID ]],$Q$3,RawData[Checker ID],$Q$4,RawData[[Error Type ]],$Q$5))</f>
        <v/>
      </c>
    </row>
    <row r="8748" spans="15:15" x14ac:dyDescent="0.25">
      <c r="O8748" s="20" t="str">
        <f>IF(N8748="","",COUNTIFS(RawData[[Date ]],N8748,RawData[Month List],$Q$6,RawData[Tour/Site],$Q$2,RawData[[Picker ID ]],$Q$3,RawData[Checker ID],$Q$4,RawData[[Error Type ]],$Q$5))</f>
        <v/>
      </c>
    </row>
    <row r="8749" spans="15:15" x14ac:dyDescent="0.25">
      <c r="O8749" s="20" t="str">
        <f>IF(N8749="","",COUNTIFS(RawData[[Date ]],N8749,RawData[Month List],$Q$6,RawData[Tour/Site],$Q$2,RawData[[Picker ID ]],$Q$3,RawData[Checker ID],$Q$4,RawData[[Error Type ]],$Q$5))</f>
        <v/>
      </c>
    </row>
    <row r="8750" spans="15:15" x14ac:dyDescent="0.25">
      <c r="O8750" s="20" t="str">
        <f>IF(N8750="","",COUNTIFS(RawData[[Date ]],N8750,RawData[Month List],$Q$6,RawData[Tour/Site],$Q$2,RawData[[Picker ID ]],$Q$3,RawData[Checker ID],$Q$4,RawData[[Error Type ]],$Q$5))</f>
        <v/>
      </c>
    </row>
    <row r="8751" spans="15:15" x14ac:dyDescent="0.25">
      <c r="O8751" s="20" t="str">
        <f>IF(N8751="","",COUNTIFS(RawData[[Date ]],N8751,RawData[Month List],$Q$6,RawData[Tour/Site],$Q$2,RawData[[Picker ID ]],$Q$3,RawData[Checker ID],$Q$4,RawData[[Error Type ]],$Q$5))</f>
        <v/>
      </c>
    </row>
    <row r="8752" spans="15:15" x14ac:dyDescent="0.25">
      <c r="O8752" s="20" t="str">
        <f>IF(N8752="","",COUNTIFS(RawData[[Date ]],N8752,RawData[Month List],$Q$6,RawData[Tour/Site],$Q$2,RawData[[Picker ID ]],$Q$3,RawData[Checker ID],$Q$4,RawData[[Error Type ]],$Q$5))</f>
        <v/>
      </c>
    </row>
    <row r="8753" spans="15:15" x14ac:dyDescent="0.25">
      <c r="O8753" s="20" t="str">
        <f>IF(N8753="","",COUNTIFS(RawData[[Date ]],N8753,RawData[Month List],$Q$6,RawData[Tour/Site],$Q$2,RawData[[Picker ID ]],$Q$3,RawData[Checker ID],$Q$4,RawData[[Error Type ]],$Q$5))</f>
        <v/>
      </c>
    </row>
    <row r="8754" spans="15:15" x14ac:dyDescent="0.25">
      <c r="O8754" s="20" t="str">
        <f>IF(N8754="","",COUNTIFS(RawData[[Date ]],N8754,RawData[Month List],$Q$6,RawData[Tour/Site],$Q$2,RawData[[Picker ID ]],$Q$3,RawData[Checker ID],$Q$4,RawData[[Error Type ]],$Q$5))</f>
        <v/>
      </c>
    </row>
    <row r="8755" spans="15:15" x14ac:dyDescent="0.25">
      <c r="O8755" s="20" t="str">
        <f>IF(N8755="","",COUNTIFS(RawData[[Date ]],N8755,RawData[Month List],$Q$6,RawData[Tour/Site],$Q$2,RawData[[Picker ID ]],$Q$3,RawData[Checker ID],$Q$4,RawData[[Error Type ]],$Q$5))</f>
        <v/>
      </c>
    </row>
    <row r="8756" spans="15:15" x14ac:dyDescent="0.25">
      <c r="O8756" s="20" t="str">
        <f>IF(N8756="","",COUNTIFS(RawData[[Date ]],N8756,RawData[Month List],$Q$6,RawData[Tour/Site],$Q$2,RawData[[Picker ID ]],$Q$3,RawData[Checker ID],$Q$4,RawData[[Error Type ]],$Q$5))</f>
        <v/>
      </c>
    </row>
    <row r="8757" spans="15:15" x14ac:dyDescent="0.25">
      <c r="O8757" s="20" t="str">
        <f>IF(N8757="","",COUNTIFS(RawData[[Date ]],N8757,RawData[Month List],$Q$6,RawData[Tour/Site],$Q$2,RawData[[Picker ID ]],$Q$3,RawData[Checker ID],$Q$4,RawData[[Error Type ]],$Q$5))</f>
        <v/>
      </c>
    </row>
    <row r="8758" spans="15:15" x14ac:dyDescent="0.25">
      <c r="O8758" s="20" t="str">
        <f>IF(N8758="","",COUNTIFS(RawData[[Date ]],N8758,RawData[Month List],$Q$6,RawData[Tour/Site],$Q$2,RawData[[Picker ID ]],$Q$3,RawData[Checker ID],$Q$4,RawData[[Error Type ]],$Q$5))</f>
        <v/>
      </c>
    </row>
    <row r="8759" spans="15:15" x14ac:dyDescent="0.25">
      <c r="O8759" s="20" t="str">
        <f>IF(N8759="","",COUNTIFS(RawData[[Date ]],N8759,RawData[Month List],$Q$6,RawData[Tour/Site],$Q$2,RawData[[Picker ID ]],$Q$3,RawData[Checker ID],$Q$4,RawData[[Error Type ]],$Q$5))</f>
        <v/>
      </c>
    </row>
    <row r="8760" spans="15:15" x14ac:dyDescent="0.25">
      <c r="O8760" s="20" t="str">
        <f>IF(N8760="","",COUNTIFS(RawData[[Date ]],N8760,RawData[Month List],$Q$6,RawData[Tour/Site],$Q$2,RawData[[Picker ID ]],$Q$3,RawData[Checker ID],$Q$4,RawData[[Error Type ]],$Q$5))</f>
        <v/>
      </c>
    </row>
    <row r="8761" spans="15:15" x14ac:dyDescent="0.25">
      <c r="O8761" s="20" t="str">
        <f>IF(N8761="","",COUNTIFS(RawData[[Date ]],N8761,RawData[Month List],$Q$6,RawData[Tour/Site],$Q$2,RawData[[Picker ID ]],$Q$3,RawData[Checker ID],$Q$4,RawData[[Error Type ]],$Q$5))</f>
        <v/>
      </c>
    </row>
    <row r="8762" spans="15:15" x14ac:dyDescent="0.25">
      <c r="O8762" s="20" t="str">
        <f>IF(N8762="","",COUNTIFS(RawData[[Date ]],N8762,RawData[Month List],$Q$6,RawData[Tour/Site],$Q$2,RawData[[Picker ID ]],$Q$3,RawData[Checker ID],$Q$4,RawData[[Error Type ]],$Q$5))</f>
        <v/>
      </c>
    </row>
    <row r="8763" spans="15:15" x14ac:dyDescent="0.25">
      <c r="O8763" s="20" t="str">
        <f>IF(N8763="","",COUNTIFS(RawData[[Date ]],N8763,RawData[Month List],$Q$6,RawData[Tour/Site],$Q$2,RawData[[Picker ID ]],$Q$3,RawData[Checker ID],$Q$4,RawData[[Error Type ]],$Q$5))</f>
        <v/>
      </c>
    </row>
    <row r="8764" spans="15:15" x14ac:dyDescent="0.25">
      <c r="O8764" s="20" t="str">
        <f>IF(N8764="","",COUNTIFS(RawData[[Date ]],N8764,RawData[Month List],$Q$6,RawData[Tour/Site],$Q$2,RawData[[Picker ID ]],$Q$3,RawData[Checker ID],$Q$4,RawData[[Error Type ]],$Q$5))</f>
        <v/>
      </c>
    </row>
    <row r="8765" spans="15:15" x14ac:dyDescent="0.25">
      <c r="O8765" s="20" t="str">
        <f>IF(N8765="","",COUNTIFS(RawData[[Date ]],N8765,RawData[Month List],$Q$6,RawData[Tour/Site],$Q$2,RawData[[Picker ID ]],$Q$3,RawData[Checker ID],$Q$4,RawData[[Error Type ]],$Q$5))</f>
        <v/>
      </c>
    </row>
    <row r="8766" spans="15:15" x14ac:dyDescent="0.25">
      <c r="O8766" s="20" t="str">
        <f>IF(N8766="","",COUNTIFS(RawData[[Date ]],N8766,RawData[Month List],$Q$6,RawData[Tour/Site],$Q$2,RawData[[Picker ID ]],$Q$3,RawData[Checker ID],$Q$4,RawData[[Error Type ]],$Q$5))</f>
        <v/>
      </c>
    </row>
    <row r="8767" spans="15:15" x14ac:dyDescent="0.25">
      <c r="O8767" s="20" t="str">
        <f>IF(N8767="","",COUNTIFS(RawData[[Date ]],N8767,RawData[Month List],$Q$6,RawData[Tour/Site],$Q$2,RawData[[Picker ID ]],$Q$3,RawData[Checker ID],$Q$4,RawData[[Error Type ]],$Q$5))</f>
        <v/>
      </c>
    </row>
    <row r="8768" spans="15:15" x14ac:dyDescent="0.25">
      <c r="O8768" s="20" t="str">
        <f>IF(N8768="","",COUNTIFS(RawData[[Date ]],N8768,RawData[Month List],$Q$6,RawData[Tour/Site],$Q$2,RawData[[Picker ID ]],$Q$3,RawData[Checker ID],$Q$4,RawData[[Error Type ]],$Q$5))</f>
        <v/>
      </c>
    </row>
    <row r="8769" spans="15:15" x14ac:dyDescent="0.25">
      <c r="O8769" s="20" t="str">
        <f>IF(N8769="","",COUNTIFS(RawData[[Date ]],N8769,RawData[Month List],$Q$6,RawData[Tour/Site],$Q$2,RawData[[Picker ID ]],$Q$3,RawData[Checker ID],$Q$4,RawData[[Error Type ]],$Q$5))</f>
        <v/>
      </c>
    </row>
    <row r="8770" spans="15:15" x14ac:dyDescent="0.25">
      <c r="O8770" s="20" t="str">
        <f>IF(N8770="","",COUNTIFS(RawData[[Date ]],N8770,RawData[Month List],$Q$6,RawData[Tour/Site],$Q$2,RawData[[Picker ID ]],$Q$3,RawData[Checker ID],$Q$4,RawData[[Error Type ]],$Q$5))</f>
        <v/>
      </c>
    </row>
    <row r="8771" spans="15:15" x14ac:dyDescent="0.25">
      <c r="O8771" s="20" t="str">
        <f>IF(N8771="","",COUNTIFS(RawData[[Date ]],N8771,RawData[Month List],$Q$6,RawData[Tour/Site],$Q$2,RawData[[Picker ID ]],$Q$3,RawData[Checker ID],$Q$4,RawData[[Error Type ]],$Q$5))</f>
        <v/>
      </c>
    </row>
    <row r="8772" spans="15:15" x14ac:dyDescent="0.25">
      <c r="O8772" s="20" t="str">
        <f>IF(N8772="","",COUNTIFS(RawData[[Date ]],N8772,RawData[Month List],$Q$6,RawData[Tour/Site],$Q$2,RawData[[Picker ID ]],$Q$3,RawData[Checker ID],$Q$4,RawData[[Error Type ]],$Q$5))</f>
        <v/>
      </c>
    </row>
    <row r="8773" spans="15:15" x14ac:dyDescent="0.25">
      <c r="O8773" s="20" t="str">
        <f>IF(N8773="","",COUNTIFS(RawData[[Date ]],N8773,RawData[Month List],$Q$6,RawData[Tour/Site],$Q$2,RawData[[Picker ID ]],$Q$3,RawData[Checker ID],$Q$4,RawData[[Error Type ]],$Q$5))</f>
        <v/>
      </c>
    </row>
    <row r="8774" spans="15:15" x14ac:dyDescent="0.25">
      <c r="O8774" s="20" t="str">
        <f>IF(N8774="","",COUNTIFS(RawData[[Date ]],N8774,RawData[Month List],$Q$6,RawData[Tour/Site],$Q$2,RawData[[Picker ID ]],$Q$3,RawData[Checker ID],$Q$4,RawData[[Error Type ]],$Q$5))</f>
        <v/>
      </c>
    </row>
    <row r="8775" spans="15:15" x14ac:dyDescent="0.25">
      <c r="O8775" s="20" t="str">
        <f>IF(N8775="","",COUNTIFS(RawData[[Date ]],N8775,RawData[Month List],$Q$6,RawData[Tour/Site],$Q$2,RawData[[Picker ID ]],$Q$3,RawData[Checker ID],$Q$4,RawData[[Error Type ]],$Q$5))</f>
        <v/>
      </c>
    </row>
    <row r="8776" spans="15:15" x14ac:dyDescent="0.25">
      <c r="O8776" s="20" t="str">
        <f>IF(N8776="","",COUNTIFS(RawData[[Date ]],N8776,RawData[Month List],$Q$6,RawData[Tour/Site],$Q$2,RawData[[Picker ID ]],$Q$3,RawData[Checker ID],$Q$4,RawData[[Error Type ]],$Q$5))</f>
        <v/>
      </c>
    </row>
    <row r="8777" spans="15:15" x14ac:dyDescent="0.25">
      <c r="O8777" s="20" t="str">
        <f>IF(N8777="","",COUNTIFS(RawData[[Date ]],N8777,RawData[Month List],$Q$6,RawData[Tour/Site],$Q$2,RawData[[Picker ID ]],$Q$3,RawData[Checker ID],$Q$4,RawData[[Error Type ]],$Q$5))</f>
        <v/>
      </c>
    </row>
    <row r="8778" spans="15:15" x14ac:dyDescent="0.25">
      <c r="O8778" s="20" t="str">
        <f>IF(N8778="","",COUNTIFS(RawData[[Date ]],N8778,RawData[Month List],$Q$6,RawData[Tour/Site],$Q$2,RawData[[Picker ID ]],$Q$3,RawData[Checker ID],$Q$4,RawData[[Error Type ]],$Q$5))</f>
        <v/>
      </c>
    </row>
    <row r="8779" spans="15:15" x14ac:dyDescent="0.25">
      <c r="O8779" s="20" t="str">
        <f>IF(N8779="","",COUNTIFS(RawData[[Date ]],N8779,RawData[Month List],$Q$6,RawData[Tour/Site],$Q$2,RawData[[Picker ID ]],$Q$3,RawData[Checker ID],$Q$4,RawData[[Error Type ]],$Q$5))</f>
        <v/>
      </c>
    </row>
    <row r="8780" spans="15:15" x14ac:dyDescent="0.25">
      <c r="O8780" s="20" t="str">
        <f>IF(N8780="","",COUNTIFS(RawData[[Date ]],N8780,RawData[Month List],$Q$6,RawData[Tour/Site],$Q$2,RawData[[Picker ID ]],$Q$3,RawData[Checker ID],$Q$4,RawData[[Error Type ]],$Q$5))</f>
        <v/>
      </c>
    </row>
    <row r="8781" spans="15:15" x14ac:dyDescent="0.25">
      <c r="O8781" s="20" t="str">
        <f>IF(N8781="","",COUNTIFS(RawData[[Date ]],N8781,RawData[Month List],$Q$6,RawData[Tour/Site],$Q$2,RawData[[Picker ID ]],$Q$3,RawData[Checker ID],$Q$4,RawData[[Error Type ]],$Q$5))</f>
        <v/>
      </c>
    </row>
    <row r="8782" spans="15:15" x14ac:dyDescent="0.25">
      <c r="O8782" s="20" t="str">
        <f>IF(N8782="","",COUNTIFS(RawData[[Date ]],N8782,RawData[Month List],$Q$6,RawData[Tour/Site],$Q$2,RawData[[Picker ID ]],$Q$3,RawData[Checker ID],$Q$4,RawData[[Error Type ]],$Q$5))</f>
        <v/>
      </c>
    </row>
    <row r="8783" spans="15:15" x14ac:dyDescent="0.25">
      <c r="O8783" s="20" t="str">
        <f>IF(N8783="","",COUNTIFS(RawData[[Date ]],N8783,RawData[Month List],$Q$6,RawData[Tour/Site],$Q$2,RawData[[Picker ID ]],$Q$3,RawData[Checker ID],$Q$4,RawData[[Error Type ]],$Q$5))</f>
        <v/>
      </c>
    </row>
    <row r="8784" spans="15:15" x14ac:dyDescent="0.25">
      <c r="O8784" s="20" t="str">
        <f>IF(N8784="","",COUNTIFS(RawData[[Date ]],N8784,RawData[Month List],$Q$6,RawData[Tour/Site],$Q$2,RawData[[Picker ID ]],$Q$3,RawData[Checker ID],$Q$4,RawData[[Error Type ]],$Q$5))</f>
        <v/>
      </c>
    </row>
    <row r="8785" spans="15:15" x14ac:dyDescent="0.25">
      <c r="O8785" s="20" t="str">
        <f>IF(N8785="","",COUNTIFS(RawData[[Date ]],N8785,RawData[Month List],$Q$6,RawData[Tour/Site],$Q$2,RawData[[Picker ID ]],$Q$3,RawData[Checker ID],$Q$4,RawData[[Error Type ]],$Q$5))</f>
        <v/>
      </c>
    </row>
    <row r="8786" spans="15:15" x14ac:dyDescent="0.25">
      <c r="O8786" s="20" t="str">
        <f>IF(N8786="","",COUNTIFS(RawData[[Date ]],N8786,RawData[Month List],$Q$6,RawData[Tour/Site],$Q$2,RawData[[Picker ID ]],$Q$3,RawData[Checker ID],$Q$4,RawData[[Error Type ]],$Q$5))</f>
        <v/>
      </c>
    </row>
    <row r="8787" spans="15:15" x14ac:dyDescent="0.25">
      <c r="O8787" s="20" t="str">
        <f>IF(N8787="","",COUNTIFS(RawData[[Date ]],N8787,RawData[Month List],$Q$6,RawData[Tour/Site],$Q$2,RawData[[Picker ID ]],$Q$3,RawData[Checker ID],$Q$4,RawData[[Error Type ]],$Q$5))</f>
        <v/>
      </c>
    </row>
    <row r="8788" spans="15:15" x14ac:dyDescent="0.25">
      <c r="O8788" s="20" t="str">
        <f>IF(N8788="","",COUNTIFS(RawData[[Date ]],N8788,RawData[Month List],$Q$6,RawData[Tour/Site],$Q$2,RawData[[Picker ID ]],$Q$3,RawData[Checker ID],$Q$4,RawData[[Error Type ]],$Q$5))</f>
        <v/>
      </c>
    </row>
    <row r="8789" spans="15:15" x14ac:dyDescent="0.25">
      <c r="O8789" s="20" t="str">
        <f>IF(N8789="","",COUNTIFS(RawData[[Date ]],N8789,RawData[Month List],$Q$6,RawData[Tour/Site],$Q$2,RawData[[Picker ID ]],$Q$3,RawData[Checker ID],$Q$4,RawData[[Error Type ]],$Q$5))</f>
        <v/>
      </c>
    </row>
    <row r="8790" spans="15:15" x14ac:dyDescent="0.25">
      <c r="O8790" s="20" t="str">
        <f>IF(N8790="","",COUNTIFS(RawData[[Date ]],N8790,RawData[Month List],$Q$6,RawData[Tour/Site],$Q$2,RawData[[Picker ID ]],$Q$3,RawData[Checker ID],$Q$4,RawData[[Error Type ]],$Q$5))</f>
        <v/>
      </c>
    </row>
    <row r="8791" spans="15:15" x14ac:dyDescent="0.25">
      <c r="O8791" s="20" t="str">
        <f>IF(N8791="","",COUNTIFS(RawData[[Date ]],N8791,RawData[Month List],$Q$6,RawData[Tour/Site],$Q$2,RawData[[Picker ID ]],$Q$3,RawData[Checker ID],$Q$4,RawData[[Error Type ]],$Q$5))</f>
        <v/>
      </c>
    </row>
    <row r="8792" spans="15:15" x14ac:dyDescent="0.25">
      <c r="O8792" s="20" t="str">
        <f>IF(N8792="","",COUNTIFS(RawData[[Date ]],N8792,RawData[Month List],$Q$6,RawData[Tour/Site],$Q$2,RawData[[Picker ID ]],$Q$3,RawData[Checker ID],$Q$4,RawData[[Error Type ]],$Q$5))</f>
        <v/>
      </c>
    </row>
    <row r="8793" spans="15:15" x14ac:dyDescent="0.25">
      <c r="O8793" s="20" t="str">
        <f>IF(N8793="","",COUNTIFS(RawData[[Date ]],N8793,RawData[Month List],$Q$6,RawData[Tour/Site],$Q$2,RawData[[Picker ID ]],$Q$3,RawData[Checker ID],$Q$4,RawData[[Error Type ]],$Q$5))</f>
        <v/>
      </c>
    </row>
    <row r="8794" spans="15:15" x14ac:dyDescent="0.25">
      <c r="O8794" s="20" t="str">
        <f>IF(N8794="","",COUNTIFS(RawData[[Date ]],N8794,RawData[Month List],$Q$6,RawData[Tour/Site],$Q$2,RawData[[Picker ID ]],$Q$3,RawData[Checker ID],$Q$4,RawData[[Error Type ]],$Q$5))</f>
        <v/>
      </c>
    </row>
    <row r="8795" spans="15:15" x14ac:dyDescent="0.25">
      <c r="O8795" s="20" t="str">
        <f>IF(N8795="","",COUNTIFS(RawData[[Date ]],N8795,RawData[Month List],$Q$6,RawData[Tour/Site],$Q$2,RawData[[Picker ID ]],$Q$3,RawData[Checker ID],$Q$4,RawData[[Error Type ]],$Q$5))</f>
        <v/>
      </c>
    </row>
    <row r="8796" spans="15:15" x14ac:dyDescent="0.25">
      <c r="O8796" s="20" t="str">
        <f>IF(N8796="","",COUNTIFS(RawData[[Date ]],N8796,RawData[Month List],$Q$6,RawData[Tour/Site],$Q$2,RawData[[Picker ID ]],$Q$3,RawData[Checker ID],$Q$4,RawData[[Error Type ]],$Q$5))</f>
        <v/>
      </c>
    </row>
    <row r="8797" spans="15:15" x14ac:dyDescent="0.25">
      <c r="O8797" s="20" t="str">
        <f>IF(N8797="","",COUNTIFS(RawData[[Date ]],N8797,RawData[Month List],$Q$6,RawData[Tour/Site],$Q$2,RawData[[Picker ID ]],$Q$3,RawData[Checker ID],$Q$4,RawData[[Error Type ]],$Q$5))</f>
        <v/>
      </c>
    </row>
    <row r="8798" spans="15:15" x14ac:dyDescent="0.25">
      <c r="O8798" s="20" t="str">
        <f>IF(N8798="","",COUNTIFS(RawData[[Date ]],N8798,RawData[Month List],$Q$6,RawData[Tour/Site],$Q$2,RawData[[Picker ID ]],$Q$3,RawData[Checker ID],$Q$4,RawData[[Error Type ]],$Q$5))</f>
        <v/>
      </c>
    </row>
    <row r="8799" spans="15:15" x14ac:dyDescent="0.25">
      <c r="O8799" s="20" t="str">
        <f>IF(N8799="","",COUNTIFS(RawData[[Date ]],N8799,RawData[Month List],$Q$6,RawData[Tour/Site],$Q$2,RawData[[Picker ID ]],$Q$3,RawData[Checker ID],$Q$4,RawData[[Error Type ]],$Q$5))</f>
        <v/>
      </c>
    </row>
    <row r="8800" spans="15:15" x14ac:dyDescent="0.25">
      <c r="O8800" s="20" t="str">
        <f>IF(N8800="","",COUNTIFS(RawData[[Date ]],N8800,RawData[Month List],$Q$6,RawData[Tour/Site],$Q$2,RawData[[Picker ID ]],$Q$3,RawData[Checker ID],$Q$4,RawData[[Error Type ]],$Q$5))</f>
        <v/>
      </c>
    </row>
    <row r="8801" spans="15:15" x14ac:dyDescent="0.25">
      <c r="O8801" s="20" t="str">
        <f>IF(N8801="","",COUNTIFS(RawData[[Date ]],N8801,RawData[Month List],$Q$6,RawData[Tour/Site],$Q$2,RawData[[Picker ID ]],$Q$3,RawData[Checker ID],$Q$4,RawData[[Error Type ]],$Q$5))</f>
        <v/>
      </c>
    </row>
    <row r="8802" spans="15:15" x14ac:dyDescent="0.25">
      <c r="O8802" s="20" t="str">
        <f>IF(N8802="","",COUNTIFS(RawData[[Date ]],N8802,RawData[Month List],$Q$6,RawData[Tour/Site],$Q$2,RawData[[Picker ID ]],$Q$3,RawData[Checker ID],$Q$4,RawData[[Error Type ]],$Q$5))</f>
        <v/>
      </c>
    </row>
    <row r="8803" spans="15:15" x14ac:dyDescent="0.25">
      <c r="O8803" s="20" t="str">
        <f>IF(N8803="","",COUNTIFS(RawData[[Date ]],N8803,RawData[Month List],$Q$6,RawData[Tour/Site],$Q$2,RawData[[Picker ID ]],$Q$3,RawData[Checker ID],$Q$4,RawData[[Error Type ]],$Q$5))</f>
        <v/>
      </c>
    </row>
    <row r="8804" spans="15:15" x14ac:dyDescent="0.25">
      <c r="O8804" s="20" t="str">
        <f>IF(N8804="","",COUNTIFS(RawData[[Date ]],N8804,RawData[Month List],$Q$6,RawData[Tour/Site],$Q$2,RawData[[Picker ID ]],$Q$3,RawData[Checker ID],$Q$4,RawData[[Error Type ]],$Q$5))</f>
        <v/>
      </c>
    </row>
    <row r="8805" spans="15:15" x14ac:dyDescent="0.25">
      <c r="O8805" s="20" t="str">
        <f>IF(N8805="","",COUNTIFS(RawData[[Date ]],N8805,RawData[Month List],$Q$6,RawData[Tour/Site],$Q$2,RawData[[Picker ID ]],$Q$3,RawData[Checker ID],$Q$4,RawData[[Error Type ]],$Q$5))</f>
        <v/>
      </c>
    </row>
    <row r="8806" spans="15:15" x14ac:dyDescent="0.25">
      <c r="O8806" s="20" t="str">
        <f>IF(N8806="","",COUNTIFS(RawData[[Date ]],N8806,RawData[Month List],$Q$6,RawData[Tour/Site],$Q$2,RawData[[Picker ID ]],$Q$3,RawData[Checker ID],$Q$4,RawData[[Error Type ]],$Q$5))</f>
        <v/>
      </c>
    </row>
    <row r="8807" spans="15:15" x14ac:dyDescent="0.25">
      <c r="O8807" s="20" t="str">
        <f>IF(N8807="","",COUNTIFS(RawData[[Date ]],N8807,RawData[Month List],$Q$6,RawData[Tour/Site],$Q$2,RawData[[Picker ID ]],$Q$3,RawData[Checker ID],$Q$4,RawData[[Error Type ]],$Q$5))</f>
        <v/>
      </c>
    </row>
    <row r="8808" spans="15:15" x14ac:dyDescent="0.25">
      <c r="O8808" s="20" t="str">
        <f>IF(N8808="","",COUNTIFS(RawData[[Date ]],N8808,RawData[Month List],$Q$6,RawData[Tour/Site],$Q$2,RawData[[Picker ID ]],$Q$3,RawData[Checker ID],$Q$4,RawData[[Error Type ]],$Q$5))</f>
        <v/>
      </c>
    </row>
    <row r="8809" spans="15:15" x14ac:dyDescent="0.25">
      <c r="O8809" s="20" t="str">
        <f>IF(N8809="","",COUNTIFS(RawData[[Date ]],N8809,RawData[Month List],$Q$6,RawData[Tour/Site],$Q$2,RawData[[Picker ID ]],$Q$3,RawData[Checker ID],$Q$4,RawData[[Error Type ]],$Q$5))</f>
        <v/>
      </c>
    </row>
    <row r="8810" spans="15:15" x14ac:dyDescent="0.25">
      <c r="O8810" s="20" t="str">
        <f>IF(N8810="","",COUNTIFS(RawData[[Date ]],N8810,RawData[Month List],$Q$6,RawData[Tour/Site],$Q$2,RawData[[Picker ID ]],$Q$3,RawData[Checker ID],$Q$4,RawData[[Error Type ]],$Q$5))</f>
        <v/>
      </c>
    </row>
    <row r="8811" spans="15:15" x14ac:dyDescent="0.25">
      <c r="O8811" s="20" t="str">
        <f>IF(N8811="","",COUNTIFS(RawData[[Date ]],N8811,RawData[Month List],$Q$6,RawData[Tour/Site],$Q$2,RawData[[Picker ID ]],$Q$3,RawData[Checker ID],$Q$4,RawData[[Error Type ]],$Q$5))</f>
        <v/>
      </c>
    </row>
    <row r="8812" spans="15:15" x14ac:dyDescent="0.25">
      <c r="O8812" s="20" t="str">
        <f>IF(N8812="","",COUNTIFS(RawData[[Date ]],N8812,RawData[Month List],$Q$6,RawData[Tour/Site],$Q$2,RawData[[Picker ID ]],$Q$3,RawData[Checker ID],$Q$4,RawData[[Error Type ]],$Q$5))</f>
        <v/>
      </c>
    </row>
    <row r="8813" spans="15:15" x14ac:dyDescent="0.25">
      <c r="O8813" s="20" t="str">
        <f>IF(N8813="","",COUNTIFS(RawData[[Date ]],N8813,RawData[Month List],$Q$6,RawData[Tour/Site],$Q$2,RawData[[Picker ID ]],$Q$3,RawData[Checker ID],$Q$4,RawData[[Error Type ]],$Q$5))</f>
        <v/>
      </c>
    </row>
    <row r="8814" spans="15:15" x14ac:dyDescent="0.25">
      <c r="O8814" s="20" t="str">
        <f>IF(N8814="","",COUNTIFS(RawData[[Date ]],N8814,RawData[Month List],$Q$6,RawData[Tour/Site],$Q$2,RawData[[Picker ID ]],$Q$3,RawData[Checker ID],$Q$4,RawData[[Error Type ]],$Q$5))</f>
        <v/>
      </c>
    </row>
    <row r="8815" spans="15:15" x14ac:dyDescent="0.25">
      <c r="O8815" s="20" t="str">
        <f>IF(N8815="","",COUNTIFS(RawData[[Date ]],N8815,RawData[Month List],$Q$6,RawData[Tour/Site],$Q$2,RawData[[Picker ID ]],$Q$3,RawData[Checker ID],$Q$4,RawData[[Error Type ]],$Q$5))</f>
        <v/>
      </c>
    </row>
    <row r="8816" spans="15:15" x14ac:dyDescent="0.25">
      <c r="O8816" s="20" t="str">
        <f>IF(N8816="","",COUNTIFS(RawData[[Date ]],N8816,RawData[Month List],$Q$6,RawData[Tour/Site],$Q$2,RawData[[Picker ID ]],$Q$3,RawData[Checker ID],$Q$4,RawData[[Error Type ]],$Q$5))</f>
        <v/>
      </c>
    </row>
    <row r="8817" spans="15:15" x14ac:dyDescent="0.25">
      <c r="O8817" s="20" t="str">
        <f>IF(N8817="","",COUNTIFS(RawData[[Date ]],N8817,RawData[Month List],$Q$6,RawData[Tour/Site],$Q$2,RawData[[Picker ID ]],$Q$3,RawData[Checker ID],$Q$4,RawData[[Error Type ]],$Q$5))</f>
        <v/>
      </c>
    </row>
    <row r="8818" spans="15:15" x14ac:dyDescent="0.25">
      <c r="O8818" s="20" t="str">
        <f>IF(N8818="","",COUNTIFS(RawData[[Date ]],N8818,RawData[Month List],$Q$6,RawData[Tour/Site],$Q$2,RawData[[Picker ID ]],$Q$3,RawData[Checker ID],$Q$4,RawData[[Error Type ]],$Q$5))</f>
        <v/>
      </c>
    </row>
    <row r="8819" spans="15:15" x14ac:dyDescent="0.25">
      <c r="O8819" s="20" t="str">
        <f>IF(N8819="","",COUNTIFS(RawData[[Date ]],N8819,RawData[Month List],$Q$6,RawData[Tour/Site],$Q$2,RawData[[Picker ID ]],$Q$3,RawData[Checker ID],$Q$4,RawData[[Error Type ]],$Q$5))</f>
        <v/>
      </c>
    </row>
    <row r="8820" spans="15:15" x14ac:dyDescent="0.25">
      <c r="O8820" s="20" t="str">
        <f>IF(N8820="","",COUNTIFS(RawData[[Date ]],N8820,RawData[Month List],$Q$6,RawData[Tour/Site],$Q$2,RawData[[Picker ID ]],$Q$3,RawData[Checker ID],$Q$4,RawData[[Error Type ]],$Q$5))</f>
        <v/>
      </c>
    </row>
    <row r="8821" spans="15:15" x14ac:dyDescent="0.25">
      <c r="O8821" s="20" t="str">
        <f>IF(N8821="","",COUNTIFS(RawData[[Date ]],N8821,RawData[Month List],$Q$6,RawData[Tour/Site],$Q$2,RawData[[Picker ID ]],$Q$3,RawData[Checker ID],$Q$4,RawData[[Error Type ]],$Q$5))</f>
        <v/>
      </c>
    </row>
    <row r="8822" spans="15:15" x14ac:dyDescent="0.25">
      <c r="O8822" s="20" t="str">
        <f>IF(N8822="","",COUNTIFS(RawData[[Date ]],N8822,RawData[Month List],$Q$6,RawData[Tour/Site],$Q$2,RawData[[Picker ID ]],$Q$3,RawData[Checker ID],$Q$4,RawData[[Error Type ]],$Q$5))</f>
        <v/>
      </c>
    </row>
    <row r="8823" spans="15:15" x14ac:dyDescent="0.25">
      <c r="O8823" s="20" t="str">
        <f>IF(N8823="","",COUNTIFS(RawData[[Date ]],N8823,RawData[Month List],$Q$6,RawData[Tour/Site],$Q$2,RawData[[Picker ID ]],$Q$3,RawData[Checker ID],$Q$4,RawData[[Error Type ]],$Q$5))</f>
        <v/>
      </c>
    </row>
    <row r="8824" spans="15:15" x14ac:dyDescent="0.25">
      <c r="O8824" s="20" t="str">
        <f>IF(N8824="","",COUNTIFS(RawData[[Date ]],N8824,RawData[Month List],$Q$6,RawData[Tour/Site],$Q$2,RawData[[Picker ID ]],$Q$3,RawData[Checker ID],$Q$4,RawData[[Error Type ]],$Q$5))</f>
        <v/>
      </c>
    </row>
    <row r="8825" spans="15:15" x14ac:dyDescent="0.25">
      <c r="O8825" s="20" t="str">
        <f>IF(N8825="","",COUNTIFS(RawData[[Date ]],N8825,RawData[Month List],$Q$6,RawData[Tour/Site],$Q$2,RawData[[Picker ID ]],$Q$3,RawData[Checker ID],$Q$4,RawData[[Error Type ]],$Q$5))</f>
        <v/>
      </c>
    </row>
    <row r="8826" spans="15:15" x14ac:dyDescent="0.25">
      <c r="O8826" s="20" t="str">
        <f>IF(N8826="","",COUNTIFS(RawData[[Date ]],N8826,RawData[Month List],$Q$6,RawData[Tour/Site],$Q$2,RawData[[Picker ID ]],$Q$3,RawData[Checker ID],$Q$4,RawData[[Error Type ]],$Q$5))</f>
        <v/>
      </c>
    </row>
    <row r="8827" spans="15:15" x14ac:dyDescent="0.25">
      <c r="O8827" s="20" t="str">
        <f>IF(N8827="","",COUNTIFS(RawData[[Date ]],N8827,RawData[Month List],$Q$6,RawData[Tour/Site],$Q$2,RawData[[Picker ID ]],$Q$3,RawData[Checker ID],$Q$4,RawData[[Error Type ]],$Q$5))</f>
        <v/>
      </c>
    </row>
    <row r="8828" spans="15:15" x14ac:dyDescent="0.25">
      <c r="O8828" s="20" t="str">
        <f>IF(N8828="","",COUNTIFS(RawData[[Date ]],N8828,RawData[Month List],$Q$6,RawData[Tour/Site],$Q$2,RawData[[Picker ID ]],$Q$3,RawData[Checker ID],$Q$4,RawData[[Error Type ]],$Q$5))</f>
        <v/>
      </c>
    </row>
    <row r="8829" spans="15:15" x14ac:dyDescent="0.25">
      <c r="O8829" s="20" t="str">
        <f>IF(N8829="","",COUNTIFS(RawData[[Date ]],N8829,RawData[Month List],$Q$6,RawData[Tour/Site],$Q$2,RawData[[Picker ID ]],$Q$3,RawData[Checker ID],$Q$4,RawData[[Error Type ]],$Q$5))</f>
        <v/>
      </c>
    </row>
    <row r="8830" spans="15:15" x14ac:dyDescent="0.25">
      <c r="O8830" s="20" t="str">
        <f>IF(N8830="","",COUNTIFS(RawData[[Date ]],N8830,RawData[Month List],$Q$6,RawData[Tour/Site],$Q$2,RawData[[Picker ID ]],$Q$3,RawData[Checker ID],$Q$4,RawData[[Error Type ]],$Q$5))</f>
        <v/>
      </c>
    </row>
    <row r="8831" spans="15:15" x14ac:dyDescent="0.25">
      <c r="O8831" s="20" t="str">
        <f>IF(N8831="","",COUNTIFS(RawData[[Date ]],N8831,RawData[Month List],$Q$6,RawData[Tour/Site],$Q$2,RawData[[Picker ID ]],$Q$3,RawData[Checker ID],$Q$4,RawData[[Error Type ]],$Q$5))</f>
        <v/>
      </c>
    </row>
    <row r="8832" spans="15:15" x14ac:dyDescent="0.25">
      <c r="O8832" s="20" t="str">
        <f>IF(N8832="","",COUNTIFS(RawData[[Date ]],N8832,RawData[Month List],$Q$6,RawData[Tour/Site],$Q$2,RawData[[Picker ID ]],$Q$3,RawData[Checker ID],$Q$4,RawData[[Error Type ]],$Q$5))</f>
        <v/>
      </c>
    </row>
    <row r="8833" spans="15:15" x14ac:dyDescent="0.25">
      <c r="O8833" s="20" t="str">
        <f>IF(N8833="","",COUNTIFS(RawData[[Date ]],N8833,RawData[Month List],$Q$6,RawData[Tour/Site],$Q$2,RawData[[Picker ID ]],$Q$3,RawData[Checker ID],$Q$4,RawData[[Error Type ]],$Q$5))</f>
        <v/>
      </c>
    </row>
    <row r="8834" spans="15:15" x14ac:dyDescent="0.25">
      <c r="O8834" s="20" t="str">
        <f>IF(N8834="","",COUNTIFS(RawData[[Date ]],N8834,RawData[Month List],$Q$6,RawData[Tour/Site],$Q$2,RawData[[Picker ID ]],$Q$3,RawData[Checker ID],$Q$4,RawData[[Error Type ]],$Q$5))</f>
        <v/>
      </c>
    </row>
    <row r="8835" spans="15:15" x14ac:dyDescent="0.25">
      <c r="O8835" s="20" t="str">
        <f>IF(N8835="","",COUNTIFS(RawData[[Date ]],N8835,RawData[Month List],$Q$6,RawData[Tour/Site],$Q$2,RawData[[Picker ID ]],$Q$3,RawData[Checker ID],$Q$4,RawData[[Error Type ]],$Q$5))</f>
        <v/>
      </c>
    </row>
    <row r="8836" spans="15:15" x14ac:dyDescent="0.25">
      <c r="O8836" s="20" t="str">
        <f>IF(N8836="","",COUNTIFS(RawData[[Date ]],N8836,RawData[Month List],$Q$6,RawData[Tour/Site],$Q$2,RawData[[Picker ID ]],$Q$3,RawData[Checker ID],$Q$4,RawData[[Error Type ]],$Q$5))</f>
        <v/>
      </c>
    </row>
    <row r="8837" spans="15:15" x14ac:dyDescent="0.25">
      <c r="O8837" s="20" t="str">
        <f>IF(N8837="","",COUNTIFS(RawData[[Date ]],N8837,RawData[Month List],$Q$6,RawData[Tour/Site],$Q$2,RawData[[Picker ID ]],$Q$3,RawData[Checker ID],$Q$4,RawData[[Error Type ]],$Q$5))</f>
        <v/>
      </c>
    </row>
    <row r="8838" spans="15:15" x14ac:dyDescent="0.25">
      <c r="O8838" s="20" t="str">
        <f>IF(N8838="","",COUNTIFS(RawData[[Date ]],N8838,RawData[Month List],$Q$6,RawData[Tour/Site],$Q$2,RawData[[Picker ID ]],$Q$3,RawData[Checker ID],$Q$4,RawData[[Error Type ]],$Q$5))</f>
        <v/>
      </c>
    </row>
    <row r="8839" spans="15:15" x14ac:dyDescent="0.25">
      <c r="O8839" s="20" t="str">
        <f>IF(N8839="","",COUNTIFS(RawData[[Date ]],N8839,RawData[Month List],$Q$6,RawData[Tour/Site],$Q$2,RawData[[Picker ID ]],$Q$3,RawData[Checker ID],$Q$4,RawData[[Error Type ]],$Q$5))</f>
        <v/>
      </c>
    </row>
    <row r="8840" spans="15:15" x14ac:dyDescent="0.25">
      <c r="O8840" s="20" t="str">
        <f>IF(N8840="","",COUNTIFS(RawData[[Date ]],N8840,RawData[Month List],$Q$6,RawData[Tour/Site],$Q$2,RawData[[Picker ID ]],$Q$3,RawData[Checker ID],$Q$4,RawData[[Error Type ]],$Q$5))</f>
        <v/>
      </c>
    </row>
    <row r="8841" spans="15:15" x14ac:dyDescent="0.25">
      <c r="O8841" s="20" t="str">
        <f>IF(N8841="","",COUNTIFS(RawData[[Date ]],N8841,RawData[Month List],$Q$6,RawData[Tour/Site],$Q$2,RawData[[Picker ID ]],$Q$3,RawData[Checker ID],$Q$4,RawData[[Error Type ]],$Q$5))</f>
        <v/>
      </c>
    </row>
    <row r="8842" spans="15:15" x14ac:dyDescent="0.25">
      <c r="O8842" s="20" t="str">
        <f>IF(N8842="","",COUNTIFS(RawData[[Date ]],N8842,RawData[Month List],$Q$6,RawData[Tour/Site],$Q$2,RawData[[Picker ID ]],$Q$3,RawData[Checker ID],$Q$4,RawData[[Error Type ]],$Q$5))</f>
        <v/>
      </c>
    </row>
    <row r="8843" spans="15:15" x14ac:dyDescent="0.25">
      <c r="O8843" s="20" t="str">
        <f>IF(N8843="","",COUNTIFS(RawData[[Date ]],N8843,RawData[Month List],$Q$6,RawData[Tour/Site],$Q$2,RawData[[Picker ID ]],$Q$3,RawData[Checker ID],$Q$4,RawData[[Error Type ]],$Q$5))</f>
        <v/>
      </c>
    </row>
    <row r="8844" spans="15:15" x14ac:dyDescent="0.25">
      <c r="O8844" s="20" t="str">
        <f>IF(N8844="","",COUNTIFS(RawData[[Date ]],N8844,RawData[Month List],$Q$6,RawData[Tour/Site],$Q$2,RawData[[Picker ID ]],$Q$3,RawData[Checker ID],$Q$4,RawData[[Error Type ]],$Q$5))</f>
        <v/>
      </c>
    </row>
    <row r="8845" spans="15:15" x14ac:dyDescent="0.25">
      <c r="O8845" s="20" t="str">
        <f>IF(N8845="","",COUNTIFS(RawData[[Date ]],N8845,RawData[Month List],$Q$6,RawData[Tour/Site],$Q$2,RawData[[Picker ID ]],$Q$3,RawData[Checker ID],$Q$4,RawData[[Error Type ]],$Q$5))</f>
        <v/>
      </c>
    </row>
    <row r="8846" spans="15:15" x14ac:dyDescent="0.25">
      <c r="O8846" s="20" t="str">
        <f>IF(N8846="","",COUNTIFS(RawData[[Date ]],N8846,RawData[Month List],$Q$6,RawData[Tour/Site],$Q$2,RawData[[Picker ID ]],$Q$3,RawData[Checker ID],$Q$4,RawData[[Error Type ]],$Q$5))</f>
        <v/>
      </c>
    </row>
    <row r="8847" spans="15:15" x14ac:dyDescent="0.25">
      <c r="O8847" s="20" t="str">
        <f>IF(N8847="","",COUNTIFS(RawData[[Date ]],N8847,RawData[Month List],$Q$6,RawData[Tour/Site],$Q$2,RawData[[Picker ID ]],$Q$3,RawData[Checker ID],$Q$4,RawData[[Error Type ]],$Q$5))</f>
        <v/>
      </c>
    </row>
    <row r="8848" spans="15:15" x14ac:dyDescent="0.25">
      <c r="O8848" s="20" t="str">
        <f>IF(N8848="","",COUNTIFS(RawData[[Date ]],N8848,RawData[Month List],$Q$6,RawData[Tour/Site],$Q$2,RawData[[Picker ID ]],$Q$3,RawData[Checker ID],$Q$4,RawData[[Error Type ]],$Q$5))</f>
        <v/>
      </c>
    </row>
    <row r="8849" spans="15:15" x14ac:dyDescent="0.25">
      <c r="O8849" s="20" t="str">
        <f>IF(N8849="","",COUNTIFS(RawData[[Date ]],N8849,RawData[Month List],$Q$6,RawData[Tour/Site],$Q$2,RawData[[Picker ID ]],$Q$3,RawData[Checker ID],$Q$4,RawData[[Error Type ]],$Q$5))</f>
        <v/>
      </c>
    </row>
    <row r="8850" spans="15:15" x14ac:dyDescent="0.25">
      <c r="O8850" s="20" t="str">
        <f>IF(N8850="","",COUNTIFS(RawData[[Date ]],N8850,RawData[Month List],$Q$6,RawData[Tour/Site],$Q$2,RawData[[Picker ID ]],$Q$3,RawData[Checker ID],$Q$4,RawData[[Error Type ]],$Q$5))</f>
        <v/>
      </c>
    </row>
    <row r="8851" spans="15:15" x14ac:dyDescent="0.25">
      <c r="O8851" s="20" t="str">
        <f>IF(N8851="","",COUNTIFS(RawData[[Date ]],N8851,RawData[Month List],$Q$6,RawData[Tour/Site],$Q$2,RawData[[Picker ID ]],$Q$3,RawData[Checker ID],$Q$4,RawData[[Error Type ]],$Q$5))</f>
        <v/>
      </c>
    </row>
    <row r="8852" spans="15:15" x14ac:dyDescent="0.25">
      <c r="O8852" s="20" t="str">
        <f>IF(N8852="","",COUNTIFS(RawData[[Date ]],N8852,RawData[Month List],$Q$6,RawData[Tour/Site],$Q$2,RawData[[Picker ID ]],$Q$3,RawData[Checker ID],$Q$4,RawData[[Error Type ]],$Q$5))</f>
        <v/>
      </c>
    </row>
    <row r="8853" spans="15:15" x14ac:dyDescent="0.25">
      <c r="O8853" s="20" t="str">
        <f>IF(N8853="","",COUNTIFS(RawData[[Date ]],N8853,RawData[Month List],$Q$6,RawData[Tour/Site],$Q$2,RawData[[Picker ID ]],$Q$3,RawData[Checker ID],$Q$4,RawData[[Error Type ]],$Q$5))</f>
        <v/>
      </c>
    </row>
    <row r="8854" spans="15:15" x14ac:dyDescent="0.25">
      <c r="O8854" s="20" t="str">
        <f>IF(N8854="","",COUNTIFS(RawData[[Date ]],N8854,RawData[Month List],$Q$6,RawData[Tour/Site],$Q$2,RawData[[Picker ID ]],$Q$3,RawData[Checker ID],$Q$4,RawData[[Error Type ]],$Q$5))</f>
        <v/>
      </c>
    </row>
    <row r="8855" spans="15:15" x14ac:dyDescent="0.25">
      <c r="O8855" s="20" t="str">
        <f>IF(N8855="","",COUNTIFS(RawData[[Date ]],N8855,RawData[Month List],$Q$6,RawData[Tour/Site],$Q$2,RawData[[Picker ID ]],$Q$3,RawData[Checker ID],$Q$4,RawData[[Error Type ]],$Q$5))</f>
        <v/>
      </c>
    </row>
    <row r="8856" spans="15:15" x14ac:dyDescent="0.25">
      <c r="O8856" s="20" t="str">
        <f>IF(N8856="","",COUNTIFS(RawData[[Date ]],N8856,RawData[Month List],$Q$6,RawData[Tour/Site],$Q$2,RawData[[Picker ID ]],$Q$3,RawData[Checker ID],$Q$4,RawData[[Error Type ]],$Q$5))</f>
        <v/>
      </c>
    </row>
    <row r="8857" spans="15:15" x14ac:dyDescent="0.25">
      <c r="O8857" s="20" t="str">
        <f>IF(N8857="","",COUNTIFS(RawData[[Date ]],N8857,RawData[Month List],$Q$6,RawData[Tour/Site],$Q$2,RawData[[Picker ID ]],$Q$3,RawData[Checker ID],$Q$4,RawData[[Error Type ]],$Q$5))</f>
        <v/>
      </c>
    </row>
    <row r="8858" spans="15:15" x14ac:dyDescent="0.25">
      <c r="O8858" s="20" t="str">
        <f>IF(N8858="","",COUNTIFS(RawData[[Date ]],N8858,RawData[Month List],$Q$6,RawData[Tour/Site],$Q$2,RawData[[Picker ID ]],$Q$3,RawData[Checker ID],$Q$4,RawData[[Error Type ]],$Q$5))</f>
        <v/>
      </c>
    </row>
    <row r="8859" spans="15:15" x14ac:dyDescent="0.25">
      <c r="O8859" s="20" t="str">
        <f>IF(N8859="","",COUNTIFS(RawData[[Date ]],N8859,RawData[Month List],$Q$6,RawData[Tour/Site],$Q$2,RawData[[Picker ID ]],$Q$3,RawData[Checker ID],$Q$4,RawData[[Error Type ]],$Q$5))</f>
        <v/>
      </c>
    </row>
    <row r="8860" spans="15:15" x14ac:dyDescent="0.25">
      <c r="O8860" s="20" t="str">
        <f>IF(N8860="","",COUNTIFS(RawData[[Date ]],N8860,RawData[Month List],$Q$6,RawData[Tour/Site],$Q$2,RawData[[Picker ID ]],$Q$3,RawData[Checker ID],$Q$4,RawData[[Error Type ]],$Q$5))</f>
        <v/>
      </c>
    </row>
    <row r="8861" spans="15:15" x14ac:dyDescent="0.25">
      <c r="O8861" s="20" t="str">
        <f>IF(N8861="","",COUNTIFS(RawData[[Date ]],N8861,RawData[Month List],$Q$6,RawData[Tour/Site],$Q$2,RawData[[Picker ID ]],$Q$3,RawData[Checker ID],$Q$4,RawData[[Error Type ]],$Q$5))</f>
        <v/>
      </c>
    </row>
    <row r="8862" spans="15:15" x14ac:dyDescent="0.25">
      <c r="O8862" s="20" t="str">
        <f>IF(N8862="","",COUNTIFS(RawData[[Date ]],N8862,RawData[Month List],$Q$6,RawData[Tour/Site],$Q$2,RawData[[Picker ID ]],$Q$3,RawData[Checker ID],$Q$4,RawData[[Error Type ]],$Q$5))</f>
        <v/>
      </c>
    </row>
    <row r="8863" spans="15:15" x14ac:dyDescent="0.25">
      <c r="O8863" s="20" t="str">
        <f>IF(N8863="","",COUNTIFS(RawData[[Date ]],N8863,RawData[Month List],$Q$6,RawData[Tour/Site],$Q$2,RawData[[Picker ID ]],$Q$3,RawData[Checker ID],$Q$4,RawData[[Error Type ]],$Q$5))</f>
        <v/>
      </c>
    </row>
    <row r="8864" spans="15:15" x14ac:dyDescent="0.25">
      <c r="O8864" s="20" t="str">
        <f>IF(N8864="","",COUNTIFS(RawData[[Date ]],N8864,RawData[Month List],$Q$6,RawData[Tour/Site],$Q$2,RawData[[Picker ID ]],$Q$3,RawData[Checker ID],$Q$4,RawData[[Error Type ]],$Q$5))</f>
        <v/>
      </c>
    </row>
    <row r="8865" spans="15:15" x14ac:dyDescent="0.25">
      <c r="O8865" s="20" t="str">
        <f>IF(N8865="","",COUNTIFS(RawData[[Date ]],N8865,RawData[Month List],$Q$6,RawData[Tour/Site],$Q$2,RawData[[Picker ID ]],$Q$3,RawData[Checker ID],$Q$4,RawData[[Error Type ]],$Q$5))</f>
        <v/>
      </c>
    </row>
    <row r="8866" spans="15:15" x14ac:dyDescent="0.25">
      <c r="O8866" s="20" t="str">
        <f>IF(N8866="","",COUNTIFS(RawData[[Date ]],N8866,RawData[Month List],$Q$6,RawData[Tour/Site],$Q$2,RawData[[Picker ID ]],$Q$3,RawData[Checker ID],$Q$4,RawData[[Error Type ]],$Q$5))</f>
        <v/>
      </c>
    </row>
    <row r="8867" spans="15:15" x14ac:dyDescent="0.25">
      <c r="O8867" s="20" t="str">
        <f>IF(N8867="","",COUNTIFS(RawData[[Date ]],N8867,RawData[Month List],$Q$6,RawData[Tour/Site],$Q$2,RawData[[Picker ID ]],$Q$3,RawData[Checker ID],$Q$4,RawData[[Error Type ]],$Q$5))</f>
        <v/>
      </c>
    </row>
    <row r="8868" spans="15:15" x14ac:dyDescent="0.25">
      <c r="O8868" s="20" t="str">
        <f>IF(N8868="","",COUNTIFS(RawData[[Date ]],N8868,RawData[Month List],$Q$6,RawData[Tour/Site],$Q$2,RawData[[Picker ID ]],$Q$3,RawData[Checker ID],$Q$4,RawData[[Error Type ]],$Q$5))</f>
        <v/>
      </c>
    </row>
    <row r="8869" spans="15:15" x14ac:dyDescent="0.25">
      <c r="O8869" s="20" t="str">
        <f>IF(N8869="","",COUNTIFS(RawData[[Date ]],N8869,RawData[Month List],$Q$6,RawData[Tour/Site],$Q$2,RawData[[Picker ID ]],$Q$3,RawData[Checker ID],$Q$4,RawData[[Error Type ]],$Q$5))</f>
        <v/>
      </c>
    </row>
    <row r="8870" spans="15:15" x14ac:dyDescent="0.25">
      <c r="O8870" s="20" t="str">
        <f>IF(N8870="","",COUNTIFS(RawData[[Date ]],N8870,RawData[Month List],$Q$6,RawData[Tour/Site],$Q$2,RawData[[Picker ID ]],$Q$3,RawData[Checker ID],$Q$4,RawData[[Error Type ]],$Q$5))</f>
        <v/>
      </c>
    </row>
    <row r="8871" spans="15:15" x14ac:dyDescent="0.25">
      <c r="O8871" s="20" t="str">
        <f>IF(N8871="","",COUNTIFS(RawData[[Date ]],N8871,RawData[Month List],$Q$6,RawData[Tour/Site],$Q$2,RawData[[Picker ID ]],$Q$3,RawData[Checker ID],$Q$4,RawData[[Error Type ]],$Q$5))</f>
        <v/>
      </c>
    </row>
    <row r="8872" spans="15:15" x14ac:dyDescent="0.25">
      <c r="O8872" s="20" t="str">
        <f>IF(N8872="","",COUNTIFS(RawData[[Date ]],N8872,RawData[Month List],$Q$6,RawData[Tour/Site],$Q$2,RawData[[Picker ID ]],$Q$3,RawData[Checker ID],$Q$4,RawData[[Error Type ]],$Q$5))</f>
        <v/>
      </c>
    </row>
    <row r="8873" spans="15:15" x14ac:dyDescent="0.25">
      <c r="O8873" s="20" t="str">
        <f>IF(N8873="","",COUNTIFS(RawData[[Date ]],N8873,RawData[Month List],$Q$6,RawData[Tour/Site],$Q$2,RawData[[Picker ID ]],$Q$3,RawData[Checker ID],$Q$4,RawData[[Error Type ]],$Q$5))</f>
        <v/>
      </c>
    </row>
    <row r="8874" spans="15:15" x14ac:dyDescent="0.25">
      <c r="O8874" s="20" t="str">
        <f>IF(N8874="","",COUNTIFS(RawData[[Date ]],N8874,RawData[Month List],$Q$6,RawData[Tour/Site],$Q$2,RawData[[Picker ID ]],$Q$3,RawData[Checker ID],$Q$4,RawData[[Error Type ]],$Q$5))</f>
        <v/>
      </c>
    </row>
    <row r="8875" spans="15:15" x14ac:dyDescent="0.25">
      <c r="O8875" s="20" t="str">
        <f>IF(N8875="","",COUNTIFS(RawData[[Date ]],N8875,RawData[Month List],$Q$6,RawData[Tour/Site],$Q$2,RawData[[Picker ID ]],$Q$3,RawData[Checker ID],$Q$4,RawData[[Error Type ]],$Q$5))</f>
        <v/>
      </c>
    </row>
    <row r="8876" spans="15:15" x14ac:dyDescent="0.25">
      <c r="O8876" s="20" t="str">
        <f>IF(N8876="","",COUNTIFS(RawData[[Date ]],N8876,RawData[Month List],$Q$6,RawData[Tour/Site],$Q$2,RawData[[Picker ID ]],$Q$3,RawData[Checker ID],$Q$4,RawData[[Error Type ]],$Q$5))</f>
        <v/>
      </c>
    </row>
    <row r="8877" spans="15:15" x14ac:dyDescent="0.25">
      <c r="O8877" s="20" t="str">
        <f>IF(N8877="","",COUNTIFS(RawData[[Date ]],N8877,RawData[Month List],$Q$6,RawData[Tour/Site],$Q$2,RawData[[Picker ID ]],$Q$3,RawData[Checker ID],$Q$4,RawData[[Error Type ]],$Q$5))</f>
        <v/>
      </c>
    </row>
    <row r="8878" spans="15:15" x14ac:dyDescent="0.25">
      <c r="O8878" s="20" t="str">
        <f>IF(N8878="","",COUNTIFS(RawData[[Date ]],N8878,RawData[Month List],$Q$6,RawData[Tour/Site],$Q$2,RawData[[Picker ID ]],$Q$3,RawData[Checker ID],$Q$4,RawData[[Error Type ]],$Q$5))</f>
        <v/>
      </c>
    </row>
    <row r="8879" spans="15:15" x14ac:dyDescent="0.25">
      <c r="O8879" s="20" t="str">
        <f>IF(N8879="","",COUNTIFS(RawData[[Date ]],N8879,RawData[Month List],$Q$6,RawData[Tour/Site],$Q$2,RawData[[Picker ID ]],$Q$3,RawData[Checker ID],$Q$4,RawData[[Error Type ]],$Q$5))</f>
        <v/>
      </c>
    </row>
    <row r="8880" spans="15:15" x14ac:dyDescent="0.25">
      <c r="O8880" s="20" t="str">
        <f>IF(N8880="","",COUNTIFS(RawData[[Date ]],N8880,RawData[Month List],$Q$6,RawData[Tour/Site],$Q$2,RawData[[Picker ID ]],$Q$3,RawData[Checker ID],$Q$4,RawData[[Error Type ]],$Q$5))</f>
        <v/>
      </c>
    </row>
    <row r="8881" spans="15:15" x14ac:dyDescent="0.25">
      <c r="O8881" s="20" t="str">
        <f>IF(N8881="","",COUNTIFS(RawData[[Date ]],N8881,RawData[Month List],$Q$6,RawData[Tour/Site],$Q$2,RawData[[Picker ID ]],$Q$3,RawData[Checker ID],$Q$4,RawData[[Error Type ]],$Q$5))</f>
        <v/>
      </c>
    </row>
    <row r="8882" spans="15:15" x14ac:dyDescent="0.25">
      <c r="O8882" s="20" t="str">
        <f>IF(N8882="","",COUNTIFS(RawData[[Date ]],N8882,RawData[Month List],$Q$6,RawData[Tour/Site],$Q$2,RawData[[Picker ID ]],$Q$3,RawData[Checker ID],$Q$4,RawData[[Error Type ]],$Q$5))</f>
        <v/>
      </c>
    </row>
    <row r="8883" spans="15:15" x14ac:dyDescent="0.25">
      <c r="O8883" s="20" t="str">
        <f>IF(N8883="","",COUNTIFS(RawData[[Date ]],N8883,RawData[Month List],$Q$6,RawData[Tour/Site],$Q$2,RawData[[Picker ID ]],$Q$3,RawData[Checker ID],$Q$4,RawData[[Error Type ]],$Q$5))</f>
        <v/>
      </c>
    </row>
    <row r="8884" spans="15:15" x14ac:dyDescent="0.25">
      <c r="O8884" s="20" t="str">
        <f>IF(N8884="","",COUNTIFS(RawData[[Date ]],N8884,RawData[Month List],$Q$6,RawData[Tour/Site],$Q$2,RawData[[Picker ID ]],$Q$3,RawData[Checker ID],$Q$4,RawData[[Error Type ]],$Q$5))</f>
        <v/>
      </c>
    </row>
    <row r="8885" spans="15:15" x14ac:dyDescent="0.25">
      <c r="O8885" s="20" t="str">
        <f>IF(N8885="","",COUNTIFS(RawData[[Date ]],N8885,RawData[Month List],$Q$6,RawData[Tour/Site],$Q$2,RawData[[Picker ID ]],$Q$3,RawData[Checker ID],$Q$4,RawData[[Error Type ]],$Q$5))</f>
        <v/>
      </c>
    </row>
    <row r="8886" spans="15:15" x14ac:dyDescent="0.25">
      <c r="O8886" s="20" t="str">
        <f>IF(N8886="","",COUNTIFS(RawData[[Date ]],N8886,RawData[Month List],$Q$6,RawData[Tour/Site],$Q$2,RawData[[Picker ID ]],$Q$3,RawData[Checker ID],$Q$4,RawData[[Error Type ]],$Q$5))</f>
        <v/>
      </c>
    </row>
    <row r="8887" spans="15:15" x14ac:dyDescent="0.25">
      <c r="O8887" s="20" t="str">
        <f>IF(N8887="","",COUNTIFS(RawData[[Date ]],N8887,RawData[Month List],$Q$6,RawData[Tour/Site],$Q$2,RawData[[Picker ID ]],$Q$3,RawData[Checker ID],$Q$4,RawData[[Error Type ]],$Q$5))</f>
        <v/>
      </c>
    </row>
    <row r="8888" spans="15:15" x14ac:dyDescent="0.25">
      <c r="O8888" s="20" t="str">
        <f>IF(N8888="","",COUNTIFS(RawData[[Date ]],N8888,RawData[Month List],$Q$6,RawData[Tour/Site],$Q$2,RawData[[Picker ID ]],$Q$3,RawData[Checker ID],$Q$4,RawData[[Error Type ]],$Q$5))</f>
        <v/>
      </c>
    </row>
    <row r="8889" spans="15:15" x14ac:dyDescent="0.25">
      <c r="O8889" s="20" t="str">
        <f>IF(N8889="","",COUNTIFS(RawData[[Date ]],N8889,RawData[Month List],$Q$6,RawData[Tour/Site],$Q$2,RawData[[Picker ID ]],$Q$3,RawData[Checker ID],$Q$4,RawData[[Error Type ]],$Q$5))</f>
        <v/>
      </c>
    </row>
    <row r="8890" spans="15:15" x14ac:dyDescent="0.25">
      <c r="O8890" s="20" t="str">
        <f>IF(N8890="","",COUNTIFS(RawData[[Date ]],N8890,RawData[Month List],$Q$6,RawData[Tour/Site],$Q$2,RawData[[Picker ID ]],$Q$3,RawData[Checker ID],$Q$4,RawData[[Error Type ]],$Q$5))</f>
        <v/>
      </c>
    </row>
    <row r="8891" spans="15:15" x14ac:dyDescent="0.25">
      <c r="O8891" s="20" t="str">
        <f>IF(N8891="","",COUNTIFS(RawData[[Date ]],N8891,RawData[Month List],$Q$6,RawData[Tour/Site],$Q$2,RawData[[Picker ID ]],$Q$3,RawData[Checker ID],$Q$4,RawData[[Error Type ]],$Q$5))</f>
        <v/>
      </c>
    </row>
    <row r="8892" spans="15:15" x14ac:dyDescent="0.25">
      <c r="O8892" s="20" t="str">
        <f>IF(N8892="","",COUNTIFS(RawData[[Date ]],N8892,RawData[Month List],$Q$6,RawData[Tour/Site],$Q$2,RawData[[Picker ID ]],$Q$3,RawData[Checker ID],$Q$4,RawData[[Error Type ]],$Q$5))</f>
        <v/>
      </c>
    </row>
    <row r="8893" spans="15:15" x14ac:dyDescent="0.25">
      <c r="O8893" s="20" t="str">
        <f>IF(N8893="","",COUNTIFS(RawData[[Date ]],N8893,RawData[Month List],$Q$6,RawData[Tour/Site],$Q$2,RawData[[Picker ID ]],$Q$3,RawData[Checker ID],$Q$4,RawData[[Error Type ]],$Q$5))</f>
        <v/>
      </c>
    </row>
    <row r="8894" spans="15:15" x14ac:dyDescent="0.25">
      <c r="O8894" s="20" t="str">
        <f>IF(N8894="","",COUNTIFS(RawData[[Date ]],N8894,RawData[Month List],$Q$6,RawData[Tour/Site],$Q$2,RawData[[Picker ID ]],$Q$3,RawData[Checker ID],$Q$4,RawData[[Error Type ]],$Q$5))</f>
        <v/>
      </c>
    </row>
    <row r="8895" spans="15:15" x14ac:dyDescent="0.25">
      <c r="O8895" s="20" t="str">
        <f>IF(N8895="","",COUNTIFS(RawData[[Date ]],N8895,RawData[Month List],$Q$6,RawData[Tour/Site],$Q$2,RawData[[Picker ID ]],$Q$3,RawData[Checker ID],$Q$4,RawData[[Error Type ]],$Q$5))</f>
        <v/>
      </c>
    </row>
    <row r="8896" spans="15:15" x14ac:dyDescent="0.25">
      <c r="O8896" s="20" t="str">
        <f>IF(N8896="","",COUNTIFS(RawData[[Date ]],N8896,RawData[Month List],$Q$6,RawData[Tour/Site],$Q$2,RawData[[Picker ID ]],$Q$3,RawData[Checker ID],$Q$4,RawData[[Error Type ]],$Q$5))</f>
        <v/>
      </c>
    </row>
    <row r="8897" spans="15:15" x14ac:dyDescent="0.25">
      <c r="O8897" s="20" t="str">
        <f>IF(N8897="","",COUNTIFS(RawData[[Date ]],N8897,RawData[Month List],$Q$6,RawData[Tour/Site],$Q$2,RawData[[Picker ID ]],$Q$3,RawData[Checker ID],$Q$4,RawData[[Error Type ]],$Q$5))</f>
        <v/>
      </c>
    </row>
    <row r="8898" spans="15:15" x14ac:dyDescent="0.25">
      <c r="O8898" s="20" t="str">
        <f>IF(N8898="","",COUNTIFS(RawData[[Date ]],N8898,RawData[Month List],$Q$6,RawData[Tour/Site],$Q$2,RawData[[Picker ID ]],$Q$3,RawData[Checker ID],$Q$4,RawData[[Error Type ]],$Q$5))</f>
        <v/>
      </c>
    </row>
    <row r="8899" spans="15:15" x14ac:dyDescent="0.25">
      <c r="O8899" s="20" t="str">
        <f>IF(N8899="","",COUNTIFS(RawData[[Date ]],N8899,RawData[Month List],$Q$6,RawData[Tour/Site],$Q$2,RawData[[Picker ID ]],$Q$3,RawData[Checker ID],$Q$4,RawData[[Error Type ]],$Q$5))</f>
        <v/>
      </c>
    </row>
    <row r="8900" spans="15:15" x14ac:dyDescent="0.25">
      <c r="O8900" s="20" t="str">
        <f>IF(N8900="","",COUNTIFS(RawData[[Date ]],N8900,RawData[Month List],$Q$6,RawData[Tour/Site],$Q$2,RawData[[Picker ID ]],$Q$3,RawData[Checker ID],$Q$4,RawData[[Error Type ]],$Q$5))</f>
        <v/>
      </c>
    </row>
    <row r="8901" spans="15:15" x14ac:dyDescent="0.25">
      <c r="O8901" s="20" t="str">
        <f>IF(N8901="","",COUNTIFS(RawData[[Date ]],N8901,RawData[Month List],$Q$6,RawData[Tour/Site],$Q$2,RawData[[Picker ID ]],$Q$3,RawData[Checker ID],$Q$4,RawData[[Error Type ]],$Q$5))</f>
        <v/>
      </c>
    </row>
    <row r="8902" spans="15:15" x14ac:dyDescent="0.25">
      <c r="O8902" s="20" t="str">
        <f>IF(N8902="","",COUNTIFS(RawData[[Date ]],N8902,RawData[Month List],$Q$6,RawData[Tour/Site],$Q$2,RawData[[Picker ID ]],$Q$3,RawData[Checker ID],$Q$4,RawData[[Error Type ]],$Q$5))</f>
        <v/>
      </c>
    </row>
    <row r="8903" spans="15:15" x14ac:dyDescent="0.25">
      <c r="O8903" s="20" t="str">
        <f>IF(N8903="","",COUNTIFS(RawData[[Date ]],N8903,RawData[Month List],$Q$6,RawData[Tour/Site],$Q$2,RawData[[Picker ID ]],$Q$3,RawData[Checker ID],$Q$4,RawData[[Error Type ]],$Q$5))</f>
        <v/>
      </c>
    </row>
    <row r="8904" spans="15:15" x14ac:dyDescent="0.25">
      <c r="O8904" s="20" t="str">
        <f>IF(N8904="","",COUNTIFS(RawData[[Date ]],N8904,RawData[Month List],$Q$6,RawData[Tour/Site],$Q$2,RawData[[Picker ID ]],$Q$3,RawData[Checker ID],$Q$4,RawData[[Error Type ]],$Q$5))</f>
        <v/>
      </c>
    </row>
    <row r="8905" spans="15:15" x14ac:dyDescent="0.25">
      <c r="O8905" s="20" t="str">
        <f>IF(N8905="","",COUNTIFS(RawData[[Date ]],N8905,RawData[Month List],$Q$6,RawData[Tour/Site],$Q$2,RawData[[Picker ID ]],$Q$3,RawData[Checker ID],$Q$4,RawData[[Error Type ]],$Q$5))</f>
        <v/>
      </c>
    </row>
    <row r="8906" spans="15:15" x14ac:dyDescent="0.25">
      <c r="O8906" s="20" t="str">
        <f>IF(N8906="","",COUNTIFS(RawData[[Date ]],N8906,RawData[Month List],$Q$6,RawData[Tour/Site],$Q$2,RawData[[Picker ID ]],$Q$3,RawData[Checker ID],$Q$4,RawData[[Error Type ]],$Q$5))</f>
        <v/>
      </c>
    </row>
    <row r="8907" spans="15:15" x14ac:dyDescent="0.25">
      <c r="O8907" s="20" t="str">
        <f>IF(N8907="","",COUNTIFS(RawData[[Date ]],N8907,RawData[Month List],$Q$6,RawData[Tour/Site],$Q$2,RawData[[Picker ID ]],$Q$3,RawData[Checker ID],$Q$4,RawData[[Error Type ]],$Q$5))</f>
        <v/>
      </c>
    </row>
    <row r="8908" spans="15:15" x14ac:dyDescent="0.25">
      <c r="O8908" s="20" t="str">
        <f>IF(N8908="","",COUNTIFS(RawData[[Date ]],N8908,RawData[Month List],$Q$6,RawData[Tour/Site],$Q$2,RawData[[Picker ID ]],$Q$3,RawData[Checker ID],$Q$4,RawData[[Error Type ]],$Q$5))</f>
        <v/>
      </c>
    </row>
    <row r="8909" spans="15:15" x14ac:dyDescent="0.25">
      <c r="O8909" s="20" t="str">
        <f>IF(N8909="","",COUNTIFS(RawData[[Date ]],N8909,RawData[Month List],$Q$6,RawData[Tour/Site],$Q$2,RawData[[Picker ID ]],$Q$3,RawData[Checker ID],$Q$4,RawData[[Error Type ]],$Q$5))</f>
        <v/>
      </c>
    </row>
    <row r="8910" spans="15:15" x14ac:dyDescent="0.25">
      <c r="O8910" s="20" t="str">
        <f>IF(N8910="","",COUNTIFS(RawData[[Date ]],N8910,RawData[Month List],$Q$6,RawData[Tour/Site],$Q$2,RawData[[Picker ID ]],$Q$3,RawData[Checker ID],$Q$4,RawData[[Error Type ]],$Q$5))</f>
        <v/>
      </c>
    </row>
    <row r="8911" spans="15:15" x14ac:dyDescent="0.25">
      <c r="O8911" s="20" t="str">
        <f>IF(N8911="","",COUNTIFS(RawData[[Date ]],N8911,RawData[Month List],$Q$6,RawData[Tour/Site],$Q$2,RawData[[Picker ID ]],$Q$3,RawData[Checker ID],$Q$4,RawData[[Error Type ]],$Q$5))</f>
        <v/>
      </c>
    </row>
    <row r="8912" spans="15:15" x14ac:dyDescent="0.25">
      <c r="O8912" s="20" t="str">
        <f>IF(N8912="","",COUNTIFS(RawData[[Date ]],N8912,RawData[Month List],$Q$6,RawData[Tour/Site],$Q$2,RawData[[Picker ID ]],$Q$3,RawData[Checker ID],$Q$4,RawData[[Error Type ]],$Q$5))</f>
        <v/>
      </c>
    </row>
    <row r="8913" spans="15:15" x14ac:dyDescent="0.25">
      <c r="O8913" s="20" t="str">
        <f>IF(N8913="","",COUNTIFS(RawData[[Date ]],N8913,RawData[Month List],$Q$6,RawData[Tour/Site],$Q$2,RawData[[Picker ID ]],$Q$3,RawData[Checker ID],$Q$4,RawData[[Error Type ]],$Q$5))</f>
        <v/>
      </c>
    </row>
    <row r="8914" spans="15:15" x14ac:dyDescent="0.25">
      <c r="O8914" s="20" t="str">
        <f>IF(N8914="","",COUNTIFS(RawData[[Date ]],N8914,RawData[Month List],$Q$6,RawData[Tour/Site],$Q$2,RawData[[Picker ID ]],$Q$3,RawData[Checker ID],$Q$4,RawData[[Error Type ]],$Q$5))</f>
        <v/>
      </c>
    </row>
    <row r="8915" spans="15:15" x14ac:dyDescent="0.25">
      <c r="O8915" s="20" t="str">
        <f>IF(N8915="","",COUNTIFS(RawData[[Date ]],N8915,RawData[Month List],$Q$6,RawData[Tour/Site],$Q$2,RawData[[Picker ID ]],$Q$3,RawData[Checker ID],$Q$4,RawData[[Error Type ]],$Q$5))</f>
        <v/>
      </c>
    </row>
    <row r="8916" spans="15:15" x14ac:dyDescent="0.25">
      <c r="O8916" s="20" t="str">
        <f>IF(N8916="","",COUNTIFS(RawData[[Date ]],N8916,RawData[Month List],$Q$6,RawData[Tour/Site],$Q$2,RawData[[Picker ID ]],$Q$3,RawData[Checker ID],$Q$4,RawData[[Error Type ]],$Q$5))</f>
        <v/>
      </c>
    </row>
    <row r="8917" spans="15:15" x14ac:dyDescent="0.25">
      <c r="O8917" s="20" t="str">
        <f>IF(N8917="","",COUNTIFS(RawData[[Date ]],N8917,RawData[Month List],$Q$6,RawData[Tour/Site],$Q$2,RawData[[Picker ID ]],$Q$3,RawData[Checker ID],$Q$4,RawData[[Error Type ]],$Q$5))</f>
        <v/>
      </c>
    </row>
    <row r="8918" spans="15:15" x14ac:dyDescent="0.25">
      <c r="O8918" s="20" t="str">
        <f>IF(N8918="","",COUNTIFS(RawData[[Date ]],N8918,RawData[Month List],$Q$6,RawData[Tour/Site],$Q$2,RawData[[Picker ID ]],$Q$3,RawData[Checker ID],$Q$4,RawData[[Error Type ]],$Q$5))</f>
        <v/>
      </c>
    </row>
    <row r="8919" spans="15:15" x14ac:dyDescent="0.25">
      <c r="O8919" s="20" t="str">
        <f>IF(N8919="","",COUNTIFS(RawData[[Date ]],N8919,RawData[Month List],$Q$6,RawData[Tour/Site],$Q$2,RawData[[Picker ID ]],$Q$3,RawData[Checker ID],$Q$4,RawData[[Error Type ]],$Q$5))</f>
        <v/>
      </c>
    </row>
    <row r="8920" spans="15:15" x14ac:dyDescent="0.25">
      <c r="O8920" s="20" t="str">
        <f>IF(N8920="","",COUNTIFS(RawData[[Date ]],N8920,RawData[Month List],$Q$6,RawData[Tour/Site],$Q$2,RawData[[Picker ID ]],$Q$3,RawData[Checker ID],$Q$4,RawData[[Error Type ]],$Q$5))</f>
        <v/>
      </c>
    </row>
    <row r="8921" spans="15:15" x14ac:dyDescent="0.25">
      <c r="O8921" s="20" t="str">
        <f>IF(N8921="","",COUNTIFS(RawData[[Date ]],N8921,RawData[Month List],$Q$6,RawData[Tour/Site],$Q$2,RawData[[Picker ID ]],$Q$3,RawData[Checker ID],$Q$4,RawData[[Error Type ]],$Q$5))</f>
        <v/>
      </c>
    </row>
    <row r="8922" spans="15:15" x14ac:dyDescent="0.25">
      <c r="O8922" s="20" t="str">
        <f>IF(N8922="","",COUNTIFS(RawData[[Date ]],N8922,RawData[Month List],$Q$6,RawData[Tour/Site],$Q$2,RawData[[Picker ID ]],$Q$3,RawData[Checker ID],$Q$4,RawData[[Error Type ]],$Q$5))</f>
        <v/>
      </c>
    </row>
    <row r="8923" spans="15:15" x14ac:dyDescent="0.25">
      <c r="O8923" s="20" t="str">
        <f>IF(N8923="","",COUNTIFS(RawData[[Date ]],N8923,RawData[Month List],$Q$6,RawData[Tour/Site],$Q$2,RawData[[Picker ID ]],$Q$3,RawData[Checker ID],$Q$4,RawData[[Error Type ]],$Q$5))</f>
        <v/>
      </c>
    </row>
    <row r="8924" spans="15:15" x14ac:dyDescent="0.25">
      <c r="O8924" s="20" t="str">
        <f>IF(N8924="","",COUNTIFS(RawData[[Date ]],N8924,RawData[Month List],$Q$6,RawData[Tour/Site],$Q$2,RawData[[Picker ID ]],$Q$3,RawData[Checker ID],$Q$4,RawData[[Error Type ]],$Q$5))</f>
        <v/>
      </c>
    </row>
    <row r="8925" spans="15:15" x14ac:dyDescent="0.25">
      <c r="O8925" s="20" t="str">
        <f>IF(N8925="","",COUNTIFS(RawData[[Date ]],N8925,RawData[Month List],$Q$6,RawData[Tour/Site],$Q$2,RawData[[Picker ID ]],$Q$3,RawData[Checker ID],$Q$4,RawData[[Error Type ]],$Q$5))</f>
        <v/>
      </c>
    </row>
    <row r="8926" spans="15:15" x14ac:dyDescent="0.25">
      <c r="O8926" s="20" t="str">
        <f>IF(N8926="","",COUNTIFS(RawData[[Date ]],N8926,RawData[Month List],$Q$6,RawData[Tour/Site],$Q$2,RawData[[Picker ID ]],$Q$3,RawData[Checker ID],$Q$4,RawData[[Error Type ]],$Q$5))</f>
        <v/>
      </c>
    </row>
    <row r="8927" spans="15:15" x14ac:dyDescent="0.25">
      <c r="O8927" s="20" t="str">
        <f>IF(N8927="","",COUNTIFS(RawData[[Date ]],N8927,RawData[Month List],$Q$6,RawData[Tour/Site],$Q$2,RawData[[Picker ID ]],$Q$3,RawData[Checker ID],$Q$4,RawData[[Error Type ]],$Q$5))</f>
        <v/>
      </c>
    </row>
    <row r="8928" spans="15:15" x14ac:dyDescent="0.25">
      <c r="O8928" s="20" t="str">
        <f>IF(N8928="","",COUNTIFS(RawData[[Date ]],N8928,RawData[Month List],$Q$6,RawData[Tour/Site],$Q$2,RawData[[Picker ID ]],$Q$3,RawData[Checker ID],$Q$4,RawData[[Error Type ]],$Q$5))</f>
        <v/>
      </c>
    </row>
    <row r="8929" spans="15:15" x14ac:dyDescent="0.25">
      <c r="O8929" s="20" t="str">
        <f>IF(N8929="","",COUNTIFS(RawData[[Date ]],N8929,RawData[Month List],$Q$6,RawData[Tour/Site],$Q$2,RawData[[Picker ID ]],$Q$3,RawData[Checker ID],$Q$4,RawData[[Error Type ]],$Q$5))</f>
        <v/>
      </c>
    </row>
    <row r="8930" spans="15:15" x14ac:dyDescent="0.25">
      <c r="O8930" s="20" t="str">
        <f>IF(N8930="","",COUNTIFS(RawData[[Date ]],N8930,RawData[Month List],$Q$6,RawData[Tour/Site],$Q$2,RawData[[Picker ID ]],$Q$3,RawData[Checker ID],$Q$4,RawData[[Error Type ]],$Q$5))</f>
        <v/>
      </c>
    </row>
    <row r="8931" spans="15:15" x14ac:dyDescent="0.25">
      <c r="O8931" s="20" t="str">
        <f>IF(N8931="","",COUNTIFS(RawData[[Date ]],N8931,RawData[Month List],$Q$6,RawData[Tour/Site],$Q$2,RawData[[Picker ID ]],$Q$3,RawData[Checker ID],$Q$4,RawData[[Error Type ]],$Q$5))</f>
        <v/>
      </c>
    </row>
    <row r="8932" spans="15:15" x14ac:dyDescent="0.25">
      <c r="O8932" s="20" t="str">
        <f>IF(N8932="","",COUNTIFS(RawData[[Date ]],N8932,RawData[Month List],$Q$6,RawData[Tour/Site],$Q$2,RawData[[Picker ID ]],$Q$3,RawData[Checker ID],$Q$4,RawData[[Error Type ]],$Q$5))</f>
        <v/>
      </c>
    </row>
    <row r="8933" spans="15:15" x14ac:dyDescent="0.25">
      <c r="O8933" s="20" t="str">
        <f>IF(N8933="","",COUNTIFS(RawData[[Date ]],N8933,RawData[Month List],$Q$6,RawData[Tour/Site],$Q$2,RawData[[Picker ID ]],$Q$3,RawData[Checker ID],$Q$4,RawData[[Error Type ]],$Q$5))</f>
        <v/>
      </c>
    </row>
    <row r="8934" spans="15:15" x14ac:dyDescent="0.25">
      <c r="O8934" s="20" t="str">
        <f>IF(N8934="","",COUNTIFS(RawData[[Date ]],N8934,RawData[Month List],$Q$6,RawData[Tour/Site],$Q$2,RawData[[Picker ID ]],$Q$3,RawData[Checker ID],$Q$4,RawData[[Error Type ]],$Q$5))</f>
        <v/>
      </c>
    </row>
    <row r="8935" spans="15:15" x14ac:dyDescent="0.25">
      <c r="O8935" s="20" t="str">
        <f>IF(N8935="","",COUNTIFS(RawData[[Date ]],N8935,RawData[Month List],$Q$6,RawData[Tour/Site],$Q$2,RawData[[Picker ID ]],$Q$3,RawData[Checker ID],$Q$4,RawData[[Error Type ]],$Q$5))</f>
        <v/>
      </c>
    </row>
    <row r="8936" spans="15:15" x14ac:dyDescent="0.25">
      <c r="O8936" s="20" t="str">
        <f>IF(N8936="","",COUNTIFS(RawData[[Date ]],N8936,RawData[Month List],$Q$6,RawData[Tour/Site],$Q$2,RawData[[Picker ID ]],$Q$3,RawData[Checker ID],$Q$4,RawData[[Error Type ]],$Q$5))</f>
        <v/>
      </c>
    </row>
    <row r="8937" spans="15:15" x14ac:dyDescent="0.25">
      <c r="O8937" s="20" t="str">
        <f>IF(N8937="","",COUNTIFS(RawData[[Date ]],N8937,RawData[Month List],$Q$6,RawData[Tour/Site],$Q$2,RawData[[Picker ID ]],$Q$3,RawData[Checker ID],$Q$4,RawData[[Error Type ]],$Q$5))</f>
        <v/>
      </c>
    </row>
    <row r="8938" spans="15:15" x14ac:dyDescent="0.25">
      <c r="O8938" s="20" t="str">
        <f>IF(N8938="","",COUNTIFS(RawData[[Date ]],N8938,RawData[Month List],$Q$6,RawData[Tour/Site],$Q$2,RawData[[Picker ID ]],$Q$3,RawData[Checker ID],$Q$4,RawData[[Error Type ]],$Q$5))</f>
        <v/>
      </c>
    </row>
    <row r="8939" spans="15:15" x14ac:dyDescent="0.25">
      <c r="O8939" s="20" t="str">
        <f>IF(N8939="","",COUNTIFS(RawData[[Date ]],N8939,RawData[Month List],$Q$6,RawData[Tour/Site],$Q$2,RawData[[Picker ID ]],$Q$3,RawData[Checker ID],$Q$4,RawData[[Error Type ]],$Q$5))</f>
        <v/>
      </c>
    </row>
    <row r="8940" spans="15:15" x14ac:dyDescent="0.25">
      <c r="O8940" s="20" t="str">
        <f>IF(N8940="","",COUNTIFS(RawData[[Date ]],N8940,RawData[Month List],$Q$6,RawData[Tour/Site],$Q$2,RawData[[Picker ID ]],$Q$3,RawData[Checker ID],$Q$4,RawData[[Error Type ]],$Q$5))</f>
        <v/>
      </c>
    </row>
    <row r="8941" spans="15:15" x14ac:dyDescent="0.25">
      <c r="O8941" s="20" t="str">
        <f>IF(N8941="","",COUNTIFS(RawData[[Date ]],N8941,RawData[Month List],$Q$6,RawData[Tour/Site],$Q$2,RawData[[Picker ID ]],$Q$3,RawData[Checker ID],$Q$4,RawData[[Error Type ]],$Q$5))</f>
        <v/>
      </c>
    </row>
    <row r="8942" spans="15:15" x14ac:dyDescent="0.25">
      <c r="O8942" s="20" t="str">
        <f>IF(N8942="","",COUNTIFS(RawData[[Date ]],N8942,RawData[Month List],$Q$6,RawData[Tour/Site],$Q$2,RawData[[Picker ID ]],$Q$3,RawData[Checker ID],$Q$4,RawData[[Error Type ]],$Q$5))</f>
        <v/>
      </c>
    </row>
    <row r="8943" spans="15:15" x14ac:dyDescent="0.25">
      <c r="O8943" s="20" t="str">
        <f>IF(N8943="","",COUNTIFS(RawData[[Date ]],N8943,RawData[Month List],$Q$6,RawData[Tour/Site],$Q$2,RawData[[Picker ID ]],$Q$3,RawData[Checker ID],$Q$4,RawData[[Error Type ]],$Q$5))</f>
        <v/>
      </c>
    </row>
    <row r="8944" spans="15:15" x14ac:dyDescent="0.25">
      <c r="O8944" s="20" t="str">
        <f>IF(N8944="","",COUNTIFS(RawData[[Date ]],N8944,RawData[Month List],$Q$6,RawData[Tour/Site],$Q$2,RawData[[Picker ID ]],$Q$3,RawData[Checker ID],$Q$4,RawData[[Error Type ]],$Q$5))</f>
        <v/>
      </c>
    </row>
    <row r="8945" spans="15:15" x14ac:dyDescent="0.25">
      <c r="O8945" s="20" t="str">
        <f>IF(N8945="","",COUNTIFS(RawData[[Date ]],N8945,RawData[Month List],$Q$6,RawData[Tour/Site],$Q$2,RawData[[Picker ID ]],$Q$3,RawData[Checker ID],$Q$4,RawData[[Error Type ]],$Q$5))</f>
        <v/>
      </c>
    </row>
    <row r="8946" spans="15:15" x14ac:dyDescent="0.25">
      <c r="O8946" s="20" t="str">
        <f>IF(N8946="","",COUNTIFS(RawData[[Date ]],N8946,RawData[Month List],$Q$6,RawData[Tour/Site],$Q$2,RawData[[Picker ID ]],$Q$3,RawData[Checker ID],$Q$4,RawData[[Error Type ]],$Q$5))</f>
        <v/>
      </c>
    </row>
    <row r="8947" spans="15:15" x14ac:dyDescent="0.25">
      <c r="O8947" s="20" t="str">
        <f>IF(N8947="","",COUNTIFS(RawData[[Date ]],N8947,RawData[Month List],$Q$6,RawData[Tour/Site],$Q$2,RawData[[Picker ID ]],$Q$3,RawData[Checker ID],$Q$4,RawData[[Error Type ]],$Q$5))</f>
        <v/>
      </c>
    </row>
    <row r="8948" spans="15:15" x14ac:dyDescent="0.25">
      <c r="O8948" s="20" t="str">
        <f>IF(N8948="","",COUNTIFS(RawData[[Date ]],N8948,RawData[Month List],$Q$6,RawData[Tour/Site],$Q$2,RawData[[Picker ID ]],$Q$3,RawData[Checker ID],$Q$4,RawData[[Error Type ]],$Q$5))</f>
        <v/>
      </c>
    </row>
    <row r="8949" spans="15:15" x14ac:dyDescent="0.25">
      <c r="O8949" s="20" t="str">
        <f>IF(N8949="","",COUNTIFS(RawData[[Date ]],N8949,RawData[Month List],$Q$6,RawData[Tour/Site],$Q$2,RawData[[Picker ID ]],$Q$3,RawData[Checker ID],$Q$4,RawData[[Error Type ]],$Q$5))</f>
        <v/>
      </c>
    </row>
    <row r="8950" spans="15:15" x14ac:dyDescent="0.25">
      <c r="O8950" s="20" t="str">
        <f>IF(N8950="","",COUNTIFS(RawData[[Date ]],N8950,RawData[Month List],$Q$6,RawData[Tour/Site],$Q$2,RawData[[Picker ID ]],$Q$3,RawData[Checker ID],$Q$4,RawData[[Error Type ]],$Q$5))</f>
        <v/>
      </c>
    </row>
    <row r="8951" spans="15:15" x14ac:dyDescent="0.25">
      <c r="O8951" s="20" t="str">
        <f>IF(N8951="","",COUNTIFS(RawData[[Date ]],N8951,RawData[Month List],$Q$6,RawData[Tour/Site],$Q$2,RawData[[Picker ID ]],$Q$3,RawData[Checker ID],$Q$4,RawData[[Error Type ]],$Q$5))</f>
        <v/>
      </c>
    </row>
    <row r="8952" spans="15:15" x14ac:dyDescent="0.25">
      <c r="O8952" s="20" t="str">
        <f>IF(N8952="","",COUNTIFS(RawData[[Date ]],N8952,RawData[Month List],$Q$6,RawData[Tour/Site],$Q$2,RawData[[Picker ID ]],$Q$3,RawData[Checker ID],$Q$4,RawData[[Error Type ]],$Q$5))</f>
        <v/>
      </c>
    </row>
    <row r="8953" spans="15:15" x14ac:dyDescent="0.25">
      <c r="O8953" s="20" t="str">
        <f>IF(N8953="","",COUNTIFS(RawData[[Date ]],N8953,RawData[Month List],$Q$6,RawData[Tour/Site],$Q$2,RawData[[Picker ID ]],$Q$3,RawData[Checker ID],$Q$4,RawData[[Error Type ]],$Q$5))</f>
        <v/>
      </c>
    </row>
    <row r="8954" spans="15:15" x14ac:dyDescent="0.25">
      <c r="O8954" s="20" t="str">
        <f>IF(N8954="","",COUNTIFS(RawData[[Date ]],N8954,RawData[Month List],$Q$6,RawData[Tour/Site],$Q$2,RawData[[Picker ID ]],$Q$3,RawData[Checker ID],$Q$4,RawData[[Error Type ]],$Q$5))</f>
        <v/>
      </c>
    </row>
    <row r="8955" spans="15:15" x14ac:dyDescent="0.25">
      <c r="O8955" s="20" t="str">
        <f>IF(N8955="","",COUNTIFS(RawData[[Date ]],N8955,RawData[Month List],$Q$6,RawData[Tour/Site],$Q$2,RawData[[Picker ID ]],$Q$3,RawData[Checker ID],$Q$4,RawData[[Error Type ]],$Q$5))</f>
        <v/>
      </c>
    </row>
    <row r="8956" spans="15:15" x14ac:dyDescent="0.25">
      <c r="O8956" s="20" t="str">
        <f>IF(N8956="","",COUNTIFS(RawData[[Date ]],N8956,RawData[Month List],$Q$6,RawData[Tour/Site],$Q$2,RawData[[Picker ID ]],$Q$3,RawData[Checker ID],$Q$4,RawData[[Error Type ]],$Q$5))</f>
        <v/>
      </c>
    </row>
    <row r="8957" spans="15:15" x14ac:dyDescent="0.25">
      <c r="O8957" s="20" t="str">
        <f>IF(N8957="","",COUNTIFS(RawData[[Date ]],N8957,RawData[Month List],$Q$6,RawData[Tour/Site],$Q$2,RawData[[Picker ID ]],$Q$3,RawData[Checker ID],$Q$4,RawData[[Error Type ]],$Q$5))</f>
        <v/>
      </c>
    </row>
    <row r="8958" spans="15:15" x14ac:dyDescent="0.25">
      <c r="O8958" s="20" t="str">
        <f>IF(N8958="","",COUNTIFS(RawData[[Date ]],N8958,RawData[Month List],$Q$6,RawData[Tour/Site],$Q$2,RawData[[Picker ID ]],$Q$3,RawData[Checker ID],$Q$4,RawData[[Error Type ]],$Q$5))</f>
        <v/>
      </c>
    </row>
    <row r="8959" spans="15:15" x14ac:dyDescent="0.25">
      <c r="O8959" s="20" t="str">
        <f>IF(N8959="","",COUNTIFS(RawData[[Date ]],N8959,RawData[Month List],$Q$6,RawData[Tour/Site],$Q$2,RawData[[Picker ID ]],$Q$3,RawData[Checker ID],$Q$4,RawData[[Error Type ]],$Q$5))</f>
        <v/>
      </c>
    </row>
    <row r="8960" spans="15:15" x14ac:dyDescent="0.25">
      <c r="O8960" s="20" t="str">
        <f>IF(N8960="","",COUNTIFS(RawData[[Date ]],N8960,RawData[Month List],$Q$6,RawData[Tour/Site],$Q$2,RawData[[Picker ID ]],$Q$3,RawData[Checker ID],$Q$4,RawData[[Error Type ]],$Q$5))</f>
        <v/>
      </c>
    </row>
    <row r="8961" spans="15:15" x14ac:dyDescent="0.25">
      <c r="O8961" s="20" t="str">
        <f>IF(N8961="","",COUNTIFS(RawData[[Date ]],N8961,RawData[Month List],$Q$6,RawData[Tour/Site],$Q$2,RawData[[Picker ID ]],$Q$3,RawData[Checker ID],$Q$4,RawData[[Error Type ]],$Q$5))</f>
        <v/>
      </c>
    </row>
    <row r="8962" spans="15:15" x14ac:dyDescent="0.25">
      <c r="O8962" s="20" t="str">
        <f>IF(N8962="","",COUNTIFS(RawData[[Date ]],N8962,RawData[Month List],$Q$6,RawData[Tour/Site],$Q$2,RawData[[Picker ID ]],$Q$3,RawData[Checker ID],$Q$4,RawData[[Error Type ]],$Q$5))</f>
        <v/>
      </c>
    </row>
    <row r="8963" spans="15:15" x14ac:dyDescent="0.25">
      <c r="O8963" s="20" t="str">
        <f>IF(N8963="","",COUNTIFS(RawData[[Date ]],N8963,RawData[Month List],$Q$6,RawData[Tour/Site],$Q$2,RawData[[Picker ID ]],$Q$3,RawData[Checker ID],$Q$4,RawData[[Error Type ]],$Q$5))</f>
        <v/>
      </c>
    </row>
    <row r="8964" spans="15:15" x14ac:dyDescent="0.25">
      <c r="O8964" s="20" t="str">
        <f>IF(N8964="","",COUNTIFS(RawData[[Date ]],N8964,RawData[Month List],$Q$6,RawData[Tour/Site],$Q$2,RawData[[Picker ID ]],$Q$3,RawData[Checker ID],$Q$4,RawData[[Error Type ]],$Q$5))</f>
        <v/>
      </c>
    </row>
    <row r="8965" spans="15:15" x14ac:dyDescent="0.25">
      <c r="O8965" s="20" t="str">
        <f>IF(N8965="","",COUNTIFS(RawData[[Date ]],N8965,RawData[Month List],$Q$6,RawData[Tour/Site],$Q$2,RawData[[Picker ID ]],$Q$3,RawData[Checker ID],$Q$4,RawData[[Error Type ]],$Q$5))</f>
        <v/>
      </c>
    </row>
    <row r="8966" spans="15:15" x14ac:dyDescent="0.25">
      <c r="O8966" s="20" t="str">
        <f>IF(N8966="","",COUNTIFS(RawData[[Date ]],N8966,RawData[Month List],$Q$6,RawData[Tour/Site],$Q$2,RawData[[Picker ID ]],$Q$3,RawData[Checker ID],$Q$4,RawData[[Error Type ]],$Q$5))</f>
        <v/>
      </c>
    </row>
    <row r="8967" spans="15:15" x14ac:dyDescent="0.25">
      <c r="O8967" s="20" t="str">
        <f>IF(N8967="","",COUNTIFS(RawData[[Date ]],N8967,RawData[Month List],$Q$6,RawData[Tour/Site],$Q$2,RawData[[Picker ID ]],$Q$3,RawData[Checker ID],$Q$4,RawData[[Error Type ]],$Q$5))</f>
        <v/>
      </c>
    </row>
    <row r="8968" spans="15:15" x14ac:dyDescent="0.25">
      <c r="O8968" s="20" t="str">
        <f>IF(N8968="","",COUNTIFS(RawData[[Date ]],N8968,RawData[Month List],$Q$6,RawData[Tour/Site],$Q$2,RawData[[Picker ID ]],$Q$3,RawData[Checker ID],$Q$4,RawData[[Error Type ]],$Q$5))</f>
        <v/>
      </c>
    </row>
    <row r="8969" spans="15:15" x14ac:dyDescent="0.25">
      <c r="O8969" s="20" t="str">
        <f>IF(N8969="","",COUNTIFS(RawData[[Date ]],N8969,RawData[Month List],$Q$6,RawData[Tour/Site],$Q$2,RawData[[Picker ID ]],$Q$3,RawData[Checker ID],$Q$4,RawData[[Error Type ]],$Q$5))</f>
        <v/>
      </c>
    </row>
    <row r="8970" spans="15:15" x14ac:dyDescent="0.25">
      <c r="O8970" s="20" t="str">
        <f>IF(N8970="","",COUNTIFS(RawData[[Date ]],N8970,RawData[Month List],$Q$6,RawData[Tour/Site],$Q$2,RawData[[Picker ID ]],$Q$3,RawData[Checker ID],$Q$4,RawData[[Error Type ]],$Q$5))</f>
        <v/>
      </c>
    </row>
    <row r="8971" spans="15:15" x14ac:dyDescent="0.25">
      <c r="O8971" s="20" t="str">
        <f>IF(N8971="","",COUNTIFS(RawData[[Date ]],N8971,RawData[Month List],$Q$6,RawData[Tour/Site],$Q$2,RawData[[Picker ID ]],$Q$3,RawData[Checker ID],$Q$4,RawData[[Error Type ]],$Q$5))</f>
        <v/>
      </c>
    </row>
    <row r="8972" spans="15:15" x14ac:dyDescent="0.25">
      <c r="O8972" s="20" t="str">
        <f>IF(N8972="","",COUNTIFS(RawData[[Date ]],N8972,RawData[Month List],$Q$6,RawData[Tour/Site],$Q$2,RawData[[Picker ID ]],$Q$3,RawData[Checker ID],$Q$4,RawData[[Error Type ]],$Q$5))</f>
        <v/>
      </c>
    </row>
    <row r="8973" spans="15:15" x14ac:dyDescent="0.25">
      <c r="O8973" s="20" t="str">
        <f>IF(N8973="","",COUNTIFS(RawData[[Date ]],N8973,RawData[Month List],$Q$6,RawData[Tour/Site],$Q$2,RawData[[Picker ID ]],$Q$3,RawData[Checker ID],$Q$4,RawData[[Error Type ]],$Q$5))</f>
        <v/>
      </c>
    </row>
    <row r="8974" spans="15:15" x14ac:dyDescent="0.25">
      <c r="O8974" s="20" t="str">
        <f>IF(N8974="","",COUNTIFS(RawData[[Date ]],N8974,RawData[Month List],$Q$6,RawData[Tour/Site],$Q$2,RawData[[Picker ID ]],$Q$3,RawData[Checker ID],$Q$4,RawData[[Error Type ]],$Q$5))</f>
        <v/>
      </c>
    </row>
    <row r="8975" spans="15:15" x14ac:dyDescent="0.25">
      <c r="O8975" s="20" t="str">
        <f>IF(N8975="","",COUNTIFS(RawData[[Date ]],N8975,RawData[Month List],$Q$6,RawData[Tour/Site],$Q$2,RawData[[Picker ID ]],$Q$3,RawData[Checker ID],$Q$4,RawData[[Error Type ]],$Q$5))</f>
        <v/>
      </c>
    </row>
    <row r="8976" spans="15:15" x14ac:dyDescent="0.25">
      <c r="O8976" s="20" t="str">
        <f>IF(N8976="","",COUNTIFS(RawData[[Date ]],N8976,RawData[Month List],$Q$6,RawData[Tour/Site],$Q$2,RawData[[Picker ID ]],$Q$3,RawData[Checker ID],$Q$4,RawData[[Error Type ]],$Q$5))</f>
        <v/>
      </c>
    </row>
    <row r="8977" spans="15:15" x14ac:dyDescent="0.25">
      <c r="O8977" s="20" t="str">
        <f>IF(N8977="","",COUNTIFS(RawData[[Date ]],N8977,RawData[Month List],$Q$6,RawData[Tour/Site],$Q$2,RawData[[Picker ID ]],$Q$3,RawData[Checker ID],$Q$4,RawData[[Error Type ]],$Q$5))</f>
        <v/>
      </c>
    </row>
    <row r="8978" spans="15:15" x14ac:dyDescent="0.25">
      <c r="O8978" s="20" t="str">
        <f>IF(N8978="","",COUNTIFS(RawData[[Date ]],N8978,RawData[Month List],$Q$6,RawData[Tour/Site],$Q$2,RawData[[Picker ID ]],$Q$3,RawData[Checker ID],$Q$4,RawData[[Error Type ]],$Q$5))</f>
        <v/>
      </c>
    </row>
    <row r="8979" spans="15:15" x14ac:dyDescent="0.25">
      <c r="O8979" s="20" t="str">
        <f>IF(N8979="","",COUNTIFS(RawData[[Date ]],N8979,RawData[Month List],$Q$6,RawData[Tour/Site],$Q$2,RawData[[Picker ID ]],$Q$3,RawData[Checker ID],$Q$4,RawData[[Error Type ]],$Q$5))</f>
        <v/>
      </c>
    </row>
    <row r="8980" spans="15:15" x14ac:dyDescent="0.25">
      <c r="O8980" s="20" t="str">
        <f>IF(N8980="","",COUNTIFS(RawData[[Date ]],N8980,RawData[Month List],$Q$6,RawData[Tour/Site],$Q$2,RawData[[Picker ID ]],$Q$3,RawData[Checker ID],$Q$4,RawData[[Error Type ]],$Q$5))</f>
        <v/>
      </c>
    </row>
    <row r="8981" spans="15:15" x14ac:dyDescent="0.25">
      <c r="O8981" s="20" t="str">
        <f>IF(N8981="","",COUNTIFS(RawData[[Date ]],N8981,RawData[Month List],$Q$6,RawData[Tour/Site],$Q$2,RawData[[Picker ID ]],$Q$3,RawData[Checker ID],$Q$4,RawData[[Error Type ]],$Q$5))</f>
        <v/>
      </c>
    </row>
    <row r="8982" spans="15:15" x14ac:dyDescent="0.25">
      <c r="O8982" s="20" t="str">
        <f>IF(N8982="","",COUNTIFS(RawData[[Date ]],N8982,RawData[Month List],$Q$6,RawData[Tour/Site],$Q$2,RawData[[Picker ID ]],$Q$3,RawData[Checker ID],$Q$4,RawData[[Error Type ]],$Q$5))</f>
        <v/>
      </c>
    </row>
    <row r="8983" spans="15:15" x14ac:dyDescent="0.25">
      <c r="O8983" s="20" t="str">
        <f>IF(N8983="","",COUNTIFS(RawData[[Date ]],N8983,RawData[Month List],$Q$6,RawData[Tour/Site],$Q$2,RawData[[Picker ID ]],$Q$3,RawData[Checker ID],$Q$4,RawData[[Error Type ]],$Q$5))</f>
        <v/>
      </c>
    </row>
    <row r="8984" spans="15:15" x14ac:dyDescent="0.25">
      <c r="O8984" s="20" t="str">
        <f>IF(N8984="","",COUNTIFS(RawData[[Date ]],N8984,RawData[Month List],$Q$6,RawData[Tour/Site],$Q$2,RawData[[Picker ID ]],$Q$3,RawData[Checker ID],$Q$4,RawData[[Error Type ]],$Q$5))</f>
        <v/>
      </c>
    </row>
    <row r="8985" spans="15:15" x14ac:dyDescent="0.25">
      <c r="O8985" s="20" t="str">
        <f>IF(N8985="","",COUNTIFS(RawData[[Date ]],N8985,RawData[Month List],$Q$6,RawData[Tour/Site],$Q$2,RawData[[Picker ID ]],$Q$3,RawData[Checker ID],$Q$4,RawData[[Error Type ]],$Q$5))</f>
        <v/>
      </c>
    </row>
    <row r="8986" spans="15:15" x14ac:dyDescent="0.25">
      <c r="O8986" s="20" t="str">
        <f>IF(N8986="","",COUNTIFS(RawData[[Date ]],N8986,RawData[Month List],$Q$6,RawData[Tour/Site],$Q$2,RawData[[Picker ID ]],$Q$3,RawData[Checker ID],$Q$4,RawData[[Error Type ]],$Q$5))</f>
        <v/>
      </c>
    </row>
    <row r="8987" spans="15:15" x14ac:dyDescent="0.25">
      <c r="O8987" s="20" t="str">
        <f>IF(N8987="","",COUNTIFS(RawData[[Date ]],N8987,RawData[Month List],$Q$6,RawData[Tour/Site],$Q$2,RawData[[Picker ID ]],$Q$3,RawData[Checker ID],$Q$4,RawData[[Error Type ]],$Q$5))</f>
        <v/>
      </c>
    </row>
    <row r="8988" spans="15:15" x14ac:dyDescent="0.25">
      <c r="O8988" s="20" t="str">
        <f>IF(N8988="","",COUNTIFS(RawData[[Date ]],N8988,RawData[Month List],$Q$6,RawData[Tour/Site],$Q$2,RawData[[Picker ID ]],$Q$3,RawData[Checker ID],$Q$4,RawData[[Error Type ]],$Q$5))</f>
        <v/>
      </c>
    </row>
    <row r="8989" spans="15:15" x14ac:dyDescent="0.25">
      <c r="O8989" s="20" t="str">
        <f>IF(N8989="","",COUNTIFS(RawData[[Date ]],N8989,RawData[Month List],$Q$6,RawData[Tour/Site],$Q$2,RawData[[Picker ID ]],$Q$3,RawData[Checker ID],$Q$4,RawData[[Error Type ]],$Q$5))</f>
        <v/>
      </c>
    </row>
    <row r="8990" spans="15:15" x14ac:dyDescent="0.25">
      <c r="O8990" s="20" t="str">
        <f>IF(N8990="","",COUNTIFS(RawData[[Date ]],N8990,RawData[Month List],$Q$6,RawData[Tour/Site],$Q$2,RawData[[Picker ID ]],$Q$3,RawData[Checker ID],$Q$4,RawData[[Error Type ]],$Q$5))</f>
        <v/>
      </c>
    </row>
    <row r="8991" spans="15:15" x14ac:dyDescent="0.25">
      <c r="O8991" s="20" t="str">
        <f>IF(N8991="","",COUNTIFS(RawData[[Date ]],N8991,RawData[Month List],$Q$6,RawData[Tour/Site],$Q$2,RawData[[Picker ID ]],$Q$3,RawData[Checker ID],$Q$4,RawData[[Error Type ]],$Q$5))</f>
        <v/>
      </c>
    </row>
    <row r="8992" spans="15:15" x14ac:dyDescent="0.25">
      <c r="O8992" s="20" t="str">
        <f>IF(N8992="","",COUNTIFS(RawData[[Date ]],N8992,RawData[Month List],$Q$6,RawData[Tour/Site],$Q$2,RawData[[Picker ID ]],$Q$3,RawData[Checker ID],$Q$4,RawData[[Error Type ]],$Q$5))</f>
        <v/>
      </c>
    </row>
    <row r="8993" spans="15:15" x14ac:dyDescent="0.25">
      <c r="O8993" s="20" t="str">
        <f>IF(N8993="","",COUNTIFS(RawData[[Date ]],N8993,RawData[Month List],$Q$6,RawData[Tour/Site],$Q$2,RawData[[Picker ID ]],$Q$3,RawData[Checker ID],$Q$4,RawData[[Error Type ]],$Q$5))</f>
        <v/>
      </c>
    </row>
    <row r="8994" spans="15:15" x14ac:dyDescent="0.25">
      <c r="O8994" s="20" t="str">
        <f>IF(N8994="","",COUNTIFS(RawData[[Date ]],N8994,RawData[Month List],$Q$6,RawData[Tour/Site],$Q$2,RawData[[Picker ID ]],$Q$3,RawData[Checker ID],$Q$4,RawData[[Error Type ]],$Q$5))</f>
        <v/>
      </c>
    </row>
    <row r="8995" spans="15:15" x14ac:dyDescent="0.25">
      <c r="O8995" s="20" t="str">
        <f>IF(N8995="","",COUNTIFS(RawData[[Date ]],N8995,RawData[Month List],$Q$6,RawData[Tour/Site],$Q$2,RawData[[Picker ID ]],$Q$3,RawData[Checker ID],$Q$4,RawData[[Error Type ]],$Q$5))</f>
        <v/>
      </c>
    </row>
    <row r="8996" spans="15:15" x14ac:dyDescent="0.25">
      <c r="O8996" s="20" t="str">
        <f>IF(N8996="","",COUNTIFS(RawData[[Date ]],N8996,RawData[Month List],$Q$6,RawData[Tour/Site],$Q$2,RawData[[Picker ID ]],$Q$3,RawData[Checker ID],$Q$4,RawData[[Error Type ]],$Q$5))</f>
        <v/>
      </c>
    </row>
    <row r="8997" spans="15:15" x14ac:dyDescent="0.25">
      <c r="O8997" s="20" t="str">
        <f>IF(N8997="","",COUNTIFS(RawData[[Date ]],N8997,RawData[Month List],$Q$6,RawData[Tour/Site],$Q$2,RawData[[Picker ID ]],$Q$3,RawData[Checker ID],$Q$4,RawData[[Error Type ]],$Q$5))</f>
        <v/>
      </c>
    </row>
    <row r="8998" spans="15:15" x14ac:dyDescent="0.25">
      <c r="O8998" s="20" t="str">
        <f>IF(N8998="","",COUNTIFS(RawData[[Date ]],N8998,RawData[Month List],$Q$6,RawData[Tour/Site],$Q$2,RawData[[Picker ID ]],$Q$3,RawData[Checker ID],$Q$4,RawData[[Error Type ]],$Q$5))</f>
        <v/>
      </c>
    </row>
    <row r="8999" spans="15:15" x14ac:dyDescent="0.25">
      <c r="O8999" s="20" t="str">
        <f>IF(N8999="","",COUNTIFS(RawData[[Date ]],N8999,RawData[Month List],$Q$6,RawData[Tour/Site],$Q$2,RawData[[Picker ID ]],$Q$3,RawData[Checker ID],$Q$4,RawData[[Error Type ]],$Q$5))</f>
        <v/>
      </c>
    </row>
    <row r="9000" spans="15:15" x14ac:dyDescent="0.25">
      <c r="O9000" s="20" t="str">
        <f>IF(N9000="","",COUNTIFS(RawData[[Date ]],N9000,RawData[Month List],$Q$6,RawData[Tour/Site],$Q$2,RawData[[Picker ID ]],$Q$3,RawData[Checker ID],$Q$4,RawData[[Error Type ]],$Q$5))</f>
        <v/>
      </c>
    </row>
    <row r="9001" spans="15:15" x14ac:dyDescent="0.25">
      <c r="O9001" s="20" t="str">
        <f>IF(N9001="","",COUNTIFS(RawData[[Date ]],N9001,RawData[Month List],$Q$6,RawData[Tour/Site],$Q$2,RawData[[Picker ID ]],$Q$3,RawData[Checker ID],$Q$4,RawData[[Error Type ]],$Q$5))</f>
        <v/>
      </c>
    </row>
    <row r="9002" spans="15:15" x14ac:dyDescent="0.25">
      <c r="O9002" s="20" t="str">
        <f>IF(N9002="","",COUNTIFS(RawData[[Date ]],N9002,RawData[Month List],$Q$6,RawData[Tour/Site],$Q$2,RawData[[Picker ID ]],$Q$3,RawData[Checker ID],$Q$4,RawData[[Error Type ]],$Q$5))</f>
        <v/>
      </c>
    </row>
    <row r="9003" spans="15:15" x14ac:dyDescent="0.25">
      <c r="O9003" s="20" t="str">
        <f>IF(N9003="","",COUNTIFS(RawData[[Date ]],N9003,RawData[Month List],$Q$6,RawData[Tour/Site],$Q$2,RawData[[Picker ID ]],$Q$3,RawData[Checker ID],$Q$4,RawData[[Error Type ]],$Q$5))</f>
        <v/>
      </c>
    </row>
    <row r="9004" spans="15:15" x14ac:dyDescent="0.25">
      <c r="O9004" s="20" t="str">
        <f>IF(N9004="","",COUNTIFS(RawData[[Date ]],N9004,RawData[Month List],$Q$6,RawData[Tour/Site],$Q$2,RawData[[Picker ID ]],$Q$3,RawData[Checker ID],$Q$4,RawData[[Error Type ]],$Q$5))</f>
        <v/>
      </c>
    </row>
    <row r="9005" spans="15:15" x14ac:dyDescent="0.25">
      <c r="O9005" s="20" t="str">
        <f>IF(N9005="","",COUNTIFS(RawData[[Date ]],N9005,RawData[Month List],$Q$6,RawData[Tour/Site],$Q$2,RawData[[Picker ID ]],$Q$3,RawData[Checker ID],$Q$4,RawData[[Error Type ]],$Q$5))</f>
        <v/>
      </c>
    </row>
    <row r="9006" spans="15:15" x14ac:dyDescent="0.25">
      <c r="O9006" s="20" t="str">
        <f>IF(N9006="","",COUNTIFS(RawData[[Date ]],N9006,RawData[Month List],$Q$6,RawData[Tour/Site],$Q$2,RawData[[Picker ID ]],$Q$3,RawData[Checker ID],$Q$4,RawData[[Error Type ]],$Q$5))</f>
        <v/>
      </c>
    </row>
    <row r="9007" spans="15:15" x14ac:dyDescent="0.25">
      <c r="O9007" s="20" t="str">
        <f>IF(N9007="","",COUNTIFS(RawData[[Date ]],N9007,RawData[Month List],$Q$6,RawData[Tour/Site],$Q$2,RawData[[Picker ID ]],$Q$3,RawData[Checker ID],$Q$4,RawData[[Error Type ]],$Q$5))</f>
        <v/>
      </c>
    </row>
    <row r="9008" spans="15:15" x14ac:dyDescent="0.25">
      <c r="O9008" s="20" t="str">
        <f>IF(N9008="","",COUNTIFS(RawData[[Date ]],N9008,RawData[Month List],$Q$6,RawData[Tour/Site],$Q$2,RawData[[Picker ID ]],$Q$3,RawData[Checker ID],$Q$4,RawData[[Error Type ]],$Q$5))</f>
        <v/>
      </c>
    </row>
    <row r="9009" spans="15:15" x14ac:dyDescent="0.25">
      <c r="O9009" s="20" t="str">
        <f>IF(N9009="","",COUNTIFS(RawData[[Date ]],N9009,RawData[Month List],$Q$6,RawData[Tour/Site],$Q$2,RawData[[Picker ID ]],$Q$3,RawData[Checker ID],$Q$4,RawData[[Error Type ]],$Q$5))</f>
        <v/>
      </c>
    </row>
    <row r="9010" spans="15:15" x14ac:dyDescent="0.25">
      <c r="O9010" s="20" t="str">
        <f>IF(N9010="","",COUNTIFS(RawData[[Date ]],N9010,RawData[Month List],$Q$6,RawData[Tour/Site],$Q$2,RawData[[Picker ID ]],$Q$3,RawData[Checker ID],$Q$4,RawData[[Error Type ]],$Q$5))</f>
        <v/>
      </c>
    </row>
    <row r="9011" spans="15:15" x14ac:dyDescent="0.25">
      <c r="O9011" s="20" t="str">
        <f>IF(N9011="","",COUNTIFS(RawData[[Date ]],N9011,RawData[Month List],$Q$6,RawData[Tour/Site],$Q$2,RawData[[Picker ID ]],$Q$3,RawData[Checker ID],$Q$4,RawData[[Error Type ]],$Q$5))</f>
        <v/>
      </c>
    </row>
    <row r="9012" spans="15:15" x14ac:dyDescent="0.25">
      <c r="O9012" s="20" t="str">
        <f>IF(N9012="","",COUNTIFS(RawData[[Date ]],N9012,RawData[Month List],$Q$6,RawData[Tour/Site],$Q$2,RawData[[Picker ID ]],$Q$3,RawData[Checker ID],$Q$4,RawData[[Error Type ]],$Q$5))</f>
        <v/>
      </c>
    </row>
    <row r="9013" spans="15:15" x14ac:dyDescent="0.25">
      <c r="O9013" s="20" t="str">
        <f>IF(N9013="","",COUNTIFS(RawData[[Date ]],N9013,RawData[Month List],$Q$6,RawData[Tour/Site],$Q$2,RawData[[Picker ID ]],$Q$3,RawData[Checker ID],$Q$4,RawData[[Error Type ]],$Q$5))</f>
        <v/>
      </c>
    </row>
    <row r="9014" spans="15:15" x14ac:dyDescent="0.25">
      <c r="O9014" s="20" t="str">
        <f>IF(N9014="","",COUNTIFS(RawData[[Date ]],N9014,RawData[Month List],$Q$6,RawData[Tour/Site],$Q$2,RawData[[Picker ID ]],$Q$3,RawData[Checker ID],$Q$4,RawData[[Error Type ]],$Q$5))</f>
        <v/>
      </c>
    </row>
    <row r="9015" spans="15:15" x14ac:dyDescent="0.25">
      <c r="O9015" s="20" t="str">
        <f>IF(N9015="","",COUNTIFS(RawData[[Date ]],N9015,RawData[Month List],$Q$6,RawData[Tour/Site],$Q$2,RawData[[Picker ID ]],$Q$3,RawData[Checker ID],$Q$4,RawData[[Error Type ]],$Q$5))</f>
        <v/>
      </c>
    </row>
    <row r="9016" spans="15:15" x14ac:dyDescent="0.25">
      <c r="O9016" s="20" t="str">
        <f>IF(N9016="","",COUNTIFS(RawData[[Date ]],N9016,RawData[Month List],$Q$6,RawData[Tour/Site],$Q$2,RawData[[Picker ID ]],$Q$3,RawData[Checker ID],$Q$4,RawData[[Error Type ]],$Q$5))</f>
        <v/>
      </c>
    </row>
    <row r="9017" spans="15:15" x14ac:dyDescent="0.25">
      <c r="O9017" s="20" t="str">
        <f>IF(N9017="","",COUNTIFS(RawData[[Date ]],N9017,RawData[Month List],$Q$6,RawData[Tour/Site],$Q$2,RawData[[Picker ID ]],$Q$3,RawData[Checker ID],$Q$4,RawData[[Error Type ]],$Q$5))</f>
        <v/>
      </c>
    </row>
    <row r="9018" spans="15:15" x14ac:dyDescent="0.25">
      <c r="O9018" s="20" t="str">
        <f>IF(N9018="","",COUNTIFS(RawData[[Date ]],N9018,RawData[Month List],$Q$6,RawData[Tour/Site],$Q$2,RawData[[Picker ID ]],$Q$3,RawData[Checker ID],$Q$4,RawData[[Error Type ]],$Q$5))</f>
        <v/>
      </c>
    </row>
    <row r="9019" spans="15:15" x14ac:dyDescent="0.25">
      <c r="O9019" s="20" t="str">
        <f>IF(N9019="","",COUNTIFS(RawData[[Date ]],N9019,RawData[Month List],$Q$6,RawData[Tour/Site],$Q$2,RawData[[Picker ID ]],$Q$3,RawData[Checker ID],$Q$4,RawData[[Error Type ]],$Q$5))</f>
        <v/>
      </c>
    </row>
    <row r="9020" spans="15:15" x14ac:dyDescent="0.25">
      <c r="O9020" s="20" t="str">
        <f>IF(N9020="","",COUNTIFS(RawData[[Date ]],N9020,RawData[Month List],$Q$6,RawData[Tour/Site],$Q$2,RawData[[Picker ID ]],$Q$3,RawData[Checker ID],$Q$4,RawData[[Error Type ]],$Q$5))</f>
        <v/>
      </c>
    </row>
    <row r="9021" spans="15:15" x14ac:dyDescent="0.25">
      <c r="O9021" s="20" t="str">
        <f>IF(N9021="","",COUNTIFS(RawData[[Date ]],N9021,RawData[Month List],$Q$6,RawData[Tour/Site],$Q$2,RawData[[Picker ID ]],$Q$3,RawData[Checker ID],$Q$4,RawData[[Error Type ]],$Q$5))</f>
        <v/>
      </c>
    </row>
    <row r="9022" spans="15:15" x14ac:dyDescent="0.25">
      <c r="O9022" s="20" t="str">
        <f>IF(N9022="","",COUNTIFS(RawData[[Date ]],N9022,RawData[Month List],$Q$6,RawData[Tour/Site],$Q$2,RawData[[Picker ID ]],$Q$3,RawData[Checker ID],$Q$4,RawData[[Error Type ]],$Q$5))</f>
        <v/>
      </c>
    </row>
    <row r="9023" spans="15:15" x14ac:dyDescent="0.25">
      <c r="O9023" s="20" t="str">
        <f>IF(N9023="","",COUNTIFS(RawData[[Date ]],N9023,RawData[Month List],$Q$6,RawData[Tour/Site],$Q$2,RawData[[Picker ID ]],$Q$3,RawData[Checker ID],$Q$4,RawData[[Error Type ]],$Q$5))</f>
        <v/>
      </c>
    </row>
    <row r="9024" spans="15:15" x14ac:dyDescent="0.25">
      <c r="O9024" s="20" t="str">
        <f>IF(N9024="","",COUNTIFS(RawData[[Date ]],N9024,RawData[Month List],$Q$6,RawData[Tour/Site],$Q$2,RawData[[Picker ID ]],$Q$3,RawData[Checker ID],$Q$4,RawData[[Error Type ]],$Q$5))</f>
        <v/>
      </c>
    </row>
    <row r="9025" spans="15:15" x14ac:dyDescent="0.25">
      <c r="O9025" s="20" t="str">
        <f>IF(N9025="","",COUNTIFS(RawData[[Date ]],N9025,RawData[Month List],$Q$6,RawData[Tour/Site],$Q$2,RawData[[Picker ID ]],$Q$3,RawData[Checker ID],$Q$4,RawData[[Error Type ]],$Q$5))</f>
        <v/>
      </c>
    </row>
    <row r="9026" spans="15:15" x14ac:dyDescent="0.25">
      <c r="O9026" s="20" t="str">
        <f>IF(N9026="","",COUNTIFS(RawData[[Date ]],N9026,RawData[Month List],$Q$6,RawData[Tour/Site],$Q$2,RawData[[Picker ID ]],$Q$3,RawData[Checker ID],$Q$4,RawData[[Error Type ]],$Q$5))</f>
        <v/>
      </c>
    </row>
    <row r="9027" spans="15:15" x14ac:dyDescent="0.25">
      <c r="O9027" s="20" t="str">
        <f>IF(N9027="","",COUNTIFS(RawData[[Date ]],N9027,RawData[Month List],$Q$6,RawData[Tour/Site],$Q$2,RawData[[Picker ID ]],$Q$3,RawData[Checker ID],$Q$4,RawData[[Error Type ]],$Q$5))</f>
        <v/>
      </c>
    </row>
    <row r="9028" spans="15:15" x14ac:dyDescent="0.25">
      <c r="O9028" s="20" t="str">
        <f>IF(N9028="","",COUNTIFS(RawData[[Date ]],N9028,RawData[Month List],$Q$6,RawData[Tour/Site],$Q$2,RawData[[Picker ID ]],$Q$3,RawData[Checker ID],$Q$4,RawData[[Error Type ]],$Q$5))</f>
        <v/>
      </c>
    </row>
    <row r="9029" spans="15:15" x14ac:dyDescent="0.25">
      <c r="O9029" s="20" t="str">
        <f>IF(N9029="","",COUNTIFS(RawData[[Date ]],N9029,RawData[Month List],$Q$6,RawData[Tour/Site],$Q$2,RawData[[Picker ID ]],$Q$3,RawData[Checker ID],$Q$4,RawData[[Error Type ]],$Q$5))</f>
        <v/>
      </c>
    </row>
    <row r="9030" spans="15:15" x14ac:dyDescent="0.25">
      <c r="O9030" s="20" t="str">
        <f>IF(N9030="","",COUNTIFS(RawData[[Date ]],N9030,RawData[Month List],$Q$6,RawData[Tour/Site],$Q$2,RawData[[Picker ID ]],$Q$3,RawData[Checker ID],$Q$4,RawData[[Error Type ]],$Q$5))</f>
        <v/>
      </c>
    </row>
    <row r="9031" spans="15:15" x14ac:dyDescent="0.25">
      <c r="O9031" s="20" t="str">
        <f>IF(N9031="","",COUNTIFS(RawData[[Date ]],N9031,RawData[Month List],$Q$6,RawData[Tour/Site],$Q$2,RawData[[Picker ID ]],$Q$3,RawData[Checker ID],$Q$4,RawData[[Error Type ]],$Q$5))</f>
        <v/>
      </c>
    </row>
    <row r="9032" spans="15:15" x14ac:dyDescent="0.25">
      <c r="O9032" s="20" t="str">
        <f>IF(N9032="","",COUNTIFS(RawData[[Date ]],N9032,RawData[Month List],$Q$6,RawData[Tour/Site],$Q$2,RawData[[Picker ID ]],$Q$3,RawData[Checker ID],$Q$4,RawData[[Error Type ]],$Q$5))</f>
        <v/>
      </c>
    </row>
    <row r="9033" spans="15:15" x14ac:dyDescent="0.25">
      <c r="O9033" s="20" t="str">
        <f>IF(N9033="","",COUNTIFS(RawData[[Date ]],N9033,RawData[Month List],$Q$6,RawData[Tour/Site],$Q$2,RawData[[Picker ID ]],$Q$3,RawData[Checker ID],$Q$4,RawData[[Error Type ]],$Q$5))</f>
        <v/>
      </c>
    </row>
    <row r="9034" spans="15:15" x14ac:dyDescent="0.25">
      <c r="O9034" s="20" t="str">
        <f>IF(N9034="","",COUNTIFS(RawData[[Date ]],N9034,RawData[Month List],$Q$6,RawData[Tour/Site],$Q$2,RawData[[Picker ID ]],$Q$3,RawData[Checker ID],$Q$4,RawData[[Error Type ]],$Q$5))</f>
        <v/>
      </c>
    </row>
    <row r="9035" spans="15:15" x14ac:dyDescent="0.25">
      <c r="O9035" s="20" t="str">
        <f>IF(N9035="","",COUNTIFS(RawData[[Date ]],N9035,RawData[Month List],$Q$6,RawData[Tour/Site],$Q$2,RawData[[Picker ID ]],$Q$3,RawData[Checker ID],$Q$4,RawData[[Error Type ]],$Q$5))</f>
        <v/>
      </c>
    </row>
    <row r="9036" spans="15:15" x14ac:dyDescent="0.25">
      <c r="O9036" s="20" t="str">
        <f>IF(N9036="","",COUNTIFS(RawData[[Date ]],N9036,RawData[Month List],$Q$6,RawData[Tour/Site],$Q$2,RawData[[Picker ID ]],$Q$3,RawData[Checker ID],$Q$4,RawData[[Error Type ]],$Q$5))</f>
        <v/>
      </c>
    </row>
    <row r="9037" spans="15:15" x14ac:dyDescent="0.25">
      <c r="O9037" s="20" t="str">
        <f>IF(N9037="","",COUNTIFS(RawData[[Date ]],N9037,RawData[Month List],$Q$6,RawData[Tour/Site],$Q$2,RawData[[Picker ID ]],$Q$3,RawData[Checker ID],$Q$4,RawData[[Error Type ]],$Q$5))</f>
        <v/>
      </c>
    </row>
    <row r="9038" spans="15:15" x14ac:dyDescent="0.25">
      <c r="O9038" s="20" t="str">
        <f>IF(N9038="","",COUNTIFS(RawData[[Date ]],N9038,RawData[Month List],$Q$6,RawData[Tour/Site],$Q$2,RawData[[Picker ID ]],$Q$3,RawData[Checker ID],$Q$4,RawData[[Error Type ]],$Q$5))</f>
        <v/>
      </c>
    </row>
    <row r="9039" spans="15:15" x14ac:dyDescent="0.25">
      <c r="O9039" s="20" t="str">
        <f>IF(N9039="","",COUNTIFS(RawData[[Date ]],N9039,RawData[Month List],$Q$6,RawData[Tour/Site],$Q$2,RawData[[Picker ID ]],$Q$3,RawData[Checker ID],$Q$4,RawData[[Error Type ]],$Q$5))</f>
        <v/>
      </c>
    </row>
    <row r="9040" spans="15:15" x14ac:dyDescent="0.25">
      <c r="O9040" s="20" t="str">
        <f>IF(N9040="","",COUNTIFS(RawData[[Date ]],N9040,RawData[Month List],$Q$6,RawData[Tour/Site],$Q$2,RawData[[Picker ID ]],$Q$3,RawData[Checker ID],$Q$4,RawData[[Error Type ]],$Q$5))</f>
        <v/>
      </c>
    </row>
    <row r="9041" spans="15:15" x14ac:dyDescent="0.25">
      <c r="O9041" s="20" t="str">
        <f>IF(N9041="","",COUNTIFS(RawData[[Date ]],N9041,RawData[Month List],$Q$6,RawData[Tour/Site],$Q$2,RawData[[Picker ID ]],$Q$3,RawData[Checker ID],$Q$4,RawData[[Error Type ]],$Q$5))</f>
        <v/>
      </c>
    </row>
    <row r="9042" spans="15:15" x14ac:dyDescent="0.25">
      <c r="O9042" s="20" t="str">
        <f>IF(N9042="","",COUNTIFS(RawData[[Date ]],N9042,RawData[Month List],$Q$6,RawData[Tour/Site],$Q$2,RawData[[Picker ID ]],$Q$3,RawData[Checker ID],$Q$4,RawData[[Error Type ]],$Q$5))</f>
        <v/>
      </c>
    </row>
    <row r="9043" spans="15:15" x14ac:dyDescent="0.25">
      <c r="O9043" s="20" t="str">
        <f>IF(N9043="","",COUNTIFS(RawData[[Date ]],N9043,RawData[Month List],$Q$6,RawData[Tour/Site],$Q$2,RawData[[Picker ID ]],$Q$3,RawData[Checker ID],$Q$4,RawData[[Error Type ]],$Q$5))</f>
        <v/>
      </c>
    </row>
    <row r="9044" spans="15:15" x14ac:dyDescent="0.25">
      <c r="O9044" s="20" t="str">
        <f>IF(N9044="","",COUNTIFS(RawData[[Date ]],N9044,RawData[Month List],$Q$6,RawData[Tour/Site],$Q$2,RawData[[Picker ID ]],$Q$3,RawData[Checker ID],$Q$4,RawData[[Error Type ]],$Q$5))</f>
        <v/>
      </c>
    </row>
    <row r="9045" spans="15:15" x14ac:dyDescent="0.25">
      <c r="O9045" s="20" t="str">
        <f>IF(N9045="","",COUNTIFS(RawData[[Date ]],N9045,RawData[Month List],$Q$6,RawData[Tour/Site],$Q$2,RawData[[Picker ID ]],$Q$3,RawData[Checker ID],$Q$4,RawData[[Error Type ]],$Q$5))</f>
        <v/>
      </c>
    </row>
    <row r="9046" spans="15:15" x14ac:dyDescent="0.25">
      <c r="O9046" s="20" t="str">
        <f>IF(N9046="","",COUNTIFS(RawData[[Date ]],N9046,RawData[Month List],$Q$6,RawData[Tour/Site],$Q$2,RawData[[Picker ID ]],$Q$3,RawData[Checker ID],$Q$4,RawData[[Error Type ]],$Q$5))</f>
        <v/>
      </c>
    </row>
    <row r="9047" spans="15:15" x14ac:dyDescent="0.25">
      <c r="O9047" s="20" t="str">
        <f>IF(N9047="","",COUNTIFS(RawData[[Date ]],N9047,RawData[Month List],$Q$6,RawData[Tour/Site],$Q$2,RawData[[Picker ID ]],$Q$3,RawData[Checker ID],$Q$4,RawData[[Error Type ]],$Q$5))</f>
        <v/>
      </c>
    </row>
    <row r="9048" spans="15:15" x14ac:dyDescent="0.25">
      <c r="O9048" s="20" t="str">
        <f>IF(N9048="","",COUNTIFS(RawData[[Date ]],N9048,RawData[Month List],$Q$6,RawData[Tour/Site],$Q$2,RawData[[Picker ID ]],$Q$3,RawData[Checker ID],$Q$4,RawData[[Error Type ]],$Q$5))</f>
        <v/>
      </c>
    </row>
    <row r="9049" spans="15:15" x14ac:dyDescent="0.25">
      <c r="O9049" s="20" t="str">
        <f>IF(N9049="","",COUNTIFS(RawData[[Date ]],N9049,RawData[Month List],$Q$6,RawData[Tour/Site],$Q$2,RawData[[Picker ID ]],$Q$3,RawData[Checker ID],$Q$4,RawData[[Error Type ]],$Q$5))</f>
        <v/>
      </c>
    </row>
    <row r="9050" spans="15:15" x14ac:dyDescent="0.25">
      <c r="O9050" s="20" t="str">
        <f>IF(N9050="","",COUNTIFS(RawData[[Date ]],N9050,RawData[Month List],$Q$6,RawData[Tour/Site],$Q$2,RawData[[Picker ID ]],$Q$3,RawData[Checker ID],$Q$4,RawData[[Error Type ]],$Q$5))</f>
        <v/>
      </c>
    </row>
    <row r="9051" spans="15:15" x14ac:dyDescent="0.25">
      <c r="O9051" s="20" t="str">
        <f>IF(N9051="","",COUNTIFS(RawData[[Date ]],N9051,RawData[Month List],$Q$6,RawData[Tour/Site],$Q$2,RawData[[Picker ID ]],$Q$3,RawData[Checker ID],$Q$4,RawData[[Error Type ]],$Q$5))</f>
        <v/>
      </c>
    </row>
    <row r="9052" spans="15:15" x14ac:dyDescent="0.25">
      <c r="O9052" s="20" t="str">
        <f>IF(N9052="","",COUNTIFS(RawData[[Date ]],N9052,RawData[Month List],$Q$6,RawData[Tour/Site],$Q$2,RawData[[Picker ID ]],$Q$3,RawData[Checker ID],$Q$4,RawData[[Error Type ]],$Q$5))</f>
        <v/>
      </c>
    </row>
    <row r="9053" spans="15:15" x14ac:dyDescent="0.25">
      <c r="O9053" s="20" t="str">
        <f>IF(N9053="","",COUNTIFS(RawData[[Date ]],N9053,RawData[Month List],$Q$6,RawData[Tour/Site],$Q$2,RawData[[Picker ID ]],$Q$3,RawData[Checker ID],$Q$4,RawData[[Error Type ]],$Q$5))</f>
        <v/>
      </c>
    </row>
    <row r="9054" spans="15:15" x14ac:dyDescent="0.25">
      <c r="O9054" s="20" t="str">
        <f>IF(N9054="","",COUNTIFS(RawData[[Date ]],N9054,RawData[Month List],$Q$6,RawData[Tour/Site],$Q$2,RawData[[Picker ID ]],$Q$3,RawData[Checker ID],$Q$4,RawData[[Error Type ]],$Q$5))</f>
        <v/>
      </c>
    </row>
    <row r="9055" spans="15:15" x14ac:dyDescent="0.25">
      <c r="O9055" s="20" t="str">
        <f>IF(N9055="","",COUNTIFS(RawData[[Date ]],N9055,RawData[Month List],$Q$6,RawData[Tour/Site],$Q$2,RawData[[Picker ID ]],$Q$3,RawData[Checker ID],$Q$4,RawData[[Error Type ]],$Q$5))</f>
        <v/>
      </c>
    </row>
    <row r="9056" spans="15:15" x14ac:dyDescent="0.25">
      <c r="O9056" s="20" t="str">
        <f>IF(N9056="","",COUNTIFS(RawData[[Date ]],N9056,RawData[Month List],$Q$6,RawData[Tour/Site],$Q$2,RawData[[Picker ID ]],$Q$3,RawData[Checker ID],$Q$4,RawData[[Error Type ]],$Q$5))</f>
        <v/>
      </c>
    </row>
    <row r="9057" spans="15:15" x14ac:dyDescent="0.25">
      <c r="O9057" s="20" t="str">
        <f>IF(N9057="","",COUNTIFS(RawData[[Date ]],N9057,RawData[Month List],$Q$6,RawData[Tour/Site],$Q$2,RawData[[Picker ID ]],$Q$3,RawData[Checker ID],$Q$4,RawData[[Error Type ]],$Q$5))</f>
        <v/>
      </c>
    </row>
    <row r="9058" spans="15:15" x14ac:dyDescent="0.25">
      <c r="O9058" s="20" t="str">
        <f>IF(N9058="","",COUNTIFS(RawData[[Date ]],N9058,RawData[Month List],$Q$6,RawData[Tour/Site],$Q$2,RawData[[Picker ID ]],$Q$3,RawData[Checker ID],$Q$4,RawData[[Error Type ]],$Q$5))</f>
        <v/>
      </c>
    </row>
    <row r="9059" spans="15:15" x14ac:dyDescent="0.25">
      <c r="O9059" s="20" t="str">
        <f>IF(N9059="","",COUNTIFS(RawData[[Date ]],N9059,RawData[Month List],$Q$6,RawData[Tour/Site],$Q$2,RawData[[Picker ID ]],$Q$3,RawData[Checker ID],$Q$4,RawData[[Error Type ]],$Q$5))</f>
        <v/>
      </c>
    </row>
    <row r="9060" spans="15:15" x14ac:dyDescent="0.25">
      <c r="O9060" s="20" t="str">
        <f>IF(N9060="","",COUNTIFS(RawData[[Date ]],N9060,RawData[Month List],$Q$6,RawData[Tour/Site],$Q$2,RawData[[Picker ID ]],$Q$3,RawData[Checker ID],$Q$4,RawData[[Error Type ]],$Q$5))</f>
        <v/>
      </c>
    </row>
    <row r="9061" spans="15:15" x14ac:dyDescent="0.25">
      <c r="O9061" s="20" t="str">
        <f>IF(N9061="","",COUNTIFS(RawData[[Date ]],N9061,RawData[Month List],$Q$6,RawData[Tour/Site],$Q$2,RawData[[Picker ID ]],$Q$3,RawData[Checker ID],$Q$4,RawData[[Error Type ]],$Q$5))</f>
        <v/>
      </c>
    </row>
    <row r="9062" spans="15:15" x14ac:dyDescent="0.25">
      <c r="O9062" s="20" t="str">
        <f>IF(N9062="","",COUNTIFS(RawData[[Date ]],N9062,RawData[Month List],$Q$6,RawData[Tour/Site],$Q$2,RawData[[Picker ID ]],$Q$3,RawData[Checker ID],$Q$4,RawData[[Error Type ]],$Q$5))</f>
        <v/>
      </c>
    </row>
    <row r="9063" spans="15:15" x14ac:dyDescent="0.25">
      <c r="O9063" s="20" t="str">
        <f>IF(N9063="","",COUNTIFS(RawData[[Date ]],N9063,RawData[Month List],$Q$6,RawData[Tour/Site],$Q$2,RawData[[Picker ID ]],$Q$3,RawData[Checker ID],$Q$4,RawData[[Error Type ]],$Q$5))</f>
        <v/>
      </c>
    </row>
    <row r="9064" spans="15:15" x14ac:dyDescent="0.25">
      <c r="O9064" s="20" t="str">
        <f>IF(N9064="","",COUNTIFS(RawData[[Date ]],N9064,RawData[Month List],$Q$6,RawData[Tour/Site],$Q$2,RawData[[Picker ID ]],$Q$3,RawData[Checker ID],$Q$4,RawData[[Error Type ]],$Q$5))</f>
        <v/>
      </c>
    </row>
    <row r="9065" spans="15:15" x14ac:dyDescent="0.25">
      <c r="O9065" s="20" t="str">
        <f>IF(N9065="","",COUNTIFS(RawData[[Date ]],N9065,RawData[Month List],$Q$6,RawData[Tour/Site],$Q$2,RawData[[Picker ID ]],$Q$3,RawData[Checker ID],$Q$4,RawData[[Error Type ]],$Q$5))</f>
        <v/>
      </c>
    </row>
    <row r="9066" spans="15:15" x14ac:dyDescent="0.25">
      <c r="O9066" s="20" t="str">
        <f>IF(N9066="","",COUNTIFS(RawData[[Date ]],N9066,RawData[Month List],$Q$6,RawData[Tour/Site],$Q$2,RawData[[Picker ID ]],$Q$3,RawData[Checker ID],$Q$4,RawData[[Error Type ]],$Q$5))</f>
        <v/>
      </c>
    </row>
    <row r="9067" spans="15:15" x14ac:dyDescent="0.25">
      <c r="O9067" s="20" t="str">
        <f>IF(N9067="","",COUNTIFS(RawData[[Date ]],N9067,RawData[Month List],$Q$6,RawData[Tour/Site],$Q$2,RawData[[Picker ID ]],$Q$3,RawData[Checker ID],$Q$4,RawData[[Error Type ]],$Q$5))</f>
        <v/>
      </c>
    </row>
    <row r="9068" spans="15:15" x14ac:dyDescent="0.25">
      <c r="O9068" s="20" t="str">
        <f>IF(N9068="","",COUNTIFS(RawData[[Date ]],N9068,RawData[Month List],$Q$6,RawData[Tour/Site],$Q$2,RawData[[Picker ID ]],$Q$3,RawData[Checker ID],$Q$4,RawData[[Error Type ]],$Q$5))</f>
        <v/>
      </c>
    </row>
    <row r="9069" spans="15:15" x14ac:dyDescent="0.25">
      <c r="O9069" s="20" t="str">
        <f>IF(N9069="","",COUNTIFS(RawData[[Date ]],N9069,RawData[Month List],$Q$6,RawData[Tour/Site],$Q$2,RawData[[Picker ID ]],$Q$3,RawData[Checker ID],$Q$4,RawData[[Error Type ]],$Q$5))</f>
        <v/>
      </c>
    </row>
    <row r="9070" spans="15:15" x14ac:dyDescent="0.25">
      <c r="O9070" s="20" t="str">
        <f>IF(N9070="","",COUNTIFS(RawData[[Date ]],N9070,RawData[Month List],$Q$6,RawData[Tour/Site],$Q$2,RawData[[Picker ID ]],$Q$3,RawData[Checker ID],$Q$4,RawData[[Error Type ]],$Q$5))</f>
        <v/>
      </c>
    </row>
    <row r="9071" spans="15:15" x14ac:dyDescent="0.25">
      <c r="O9071" s="20" t="str">
        <f>IF(N9071="","",COUNTIFS(RawData[[Date ]],N9071,RawData[Month List],$Q$6,RawData[Tour/Site],$Q$2,RawData[[Picker ID ]],$Q$3,RawData[Checker ID],$Q$4,RawData[[Error Type ]],$Q$5))</f>
        <v/>
      </c>
    </row>
    <row r="9072" spans="15:15" x14ac:dyDescent="0.25">
      <c r="O9072" s="20" t="str">
        <f>IF(N9072="","",COUNTIFS(RawData[[Date ]],N9072,RawData[Month List],$Q$6,RawData[Tour/Site],$Q$2,RawData[[Picker ID ]],$Q$3,RawData[Checker ID],$Q$4,RawData[[Error Type ]],$Q$5))</f>
        <v/>
      </c>
    </row>
    <row r="9073" spans="15:15" x14ac:dyDescent="0.25">
      <c r="O9073" s="20" t="str">
        <f>IF(N9073="","",COUNTIFS(RawData[[Date ]],N9073,RawData[Month List],$Q$6,RawData[Tour/Site],$Q$2,RawData[[Picker ID ]],$Q$3,RawData[Checker ID],$Q$4,RawData[[Error Type ]],$Q$5))</f>
        <v/>
      </c>
    </row>
    <row r="9074" spans="15:15" x14ac:dyDescent="0.25">
      <c r="O9074" s="20" t="str">
        <f>IF(N9074="","",COUNTIFS(RawData[[Date ]],N9074,RawData[Month List],$Q$6,RawData[Tour/Site],$Q$2,RawData[[Picker ID ]],$Q$3,RawData[Checker ID],$Q$4,RawData[[Error Type ]],$Q$5))</f>
        <v/>
      </c>
    </row>
    <row r="9075" spans="15:15" x14ac:dyDescent="0.25">
      <c r="O9075" s="20" t="str">
        <f>IF(N9075="","",COUNTIFS(RawData[[Date ]],N9075,RawData[Month List],$Q$6,RawData[Tour/Site],$Q$2,RawData[[Picker ID ]],$Q$3,RawData[Checker ID],$Q$4,RawData[[Error Type ]],$Q$5))</f>
        <v/>
      </c>
    </row>
    <row r="9076" spans="15:15" x14ac:dyDescent="0.25">
      <c r="O9076" s="20" t="str">
        <f>IF(N9076="","",COUNTIFS(RawData[[Date ]],N9076,RawData[Month List],$Q$6,RawData[Tour/Site],$Q$2,RawData[[Picker ID ]],$Q$3,RawData[Checker ID],$Q$4,RawData[[Error Type ]],$Q$5))</f>
        <v/>
      </c>
    </row>
    <row r="9077" spans="15:15" x14ac:dyDescent="0.25">
      <c r="O9077" s="20" t="str">
        <f>IF(N9077="","",COUNTIFS(RawData[[Date ]],N9077,RawData[Month List],$Q$6,RawData[Tour/Site],$Q$2,RawData[[Picker ID ]],$Q$3,RawData[Checker ID],$Q$4,RawData[[Error Type ]],$Q$5))</f>
        <v/>
      </c>
    </row>
    <row r="9078" spans="15:15" x14ac:dyDescent="0.25">
      <c r="O9078" s="20" t="str">
        <f>IF(N9078="","",COUNTIFS(RawData[[Date ]],N9078,RawData[Month List],$Q$6,RawData[Tour/Site],$Q$2,RawData[[Picker ID ]],$Q$3,RawData[Checker ID],$Q$4,RawData[[Error Type ]],$Q$5))</f>
        <v/>
      </c>
    </row>
    <row r="9079" spans="15:15" x14ac:dyDescent="0.25">
      <c r="O9079" s="20" t="str">
        <f>IF(N9079="","",COUNTIFS(RawData[[Date ]],N9079,RawData[Month List],$Q$6,RawData[Tour/Site],$Q$2,RawData[[Picker ID ]],$Q$3,RawData[Checker ID],$Q$4,RawData[[Error Type ]],$Q$5))</f>
        <v/>
      </c>
    </row>
    <row r="9080" spans="15:15" x14ac:dyDescent="0.25">
      <c r="O9080" s="20" t="str">
        <f>IF(N9080="","",COUNTIFS(RawData[[Date ]],N9080,RawData[Month List],$Q$6,RawData[Tour/Site],$Q$2,RawData[[Picker ID ]],$Q$3,RawData[Checker ID],$Q$4,RawData[[Error Type ]],$Q$5))</f>
        <v/>
      </c>
    </row>
    <row r="9081" spans="15:15" x14ac:dyDescent="0.25">
      <c r="O9081" s="20" t="str">
        <f>IF(N9081="","",COUNTIFS(RawData[[Date ]],N9081,RawData[Month List],$Q$6,RawData[Tour/Site],$Q$2,RawData[[Picker ID ]],$Q$3,RawData[Checker ID],$Q$4,RawData[[Error Type ]],$Q$5))</f>
        <v/>
      </c>
    </row>
    <row r="9082" spans="15:15" x14ac:dyDescent="0.25">
      <c r="O9082" s="20" t="str">
        <f>IF(N9082="","",COUNTIFS(RawData[[Date ]],N9082,RawData[Month List],$Q$6,RawData[Tour/Site],$Q$2,RawData[[Picker ID ]],$Q$3,RawData[Checker ID],$Q$4,RawData[[Error Type ]],$Q$5))</f>
        <v/>
      </c>
    </row>
    <row r="9083" spans="15:15" x14ac:dyDescent="0.25">
      <c r="O9083" s="20" t="str">
        <f>IF(N9083="","",COUNTIFS(RawData[[Date ]],N9083,RawData[Month List],$Q$6,RawData[Tour/Site],$Q$2,RawData[[Picker ID ]],$Q$3,RawData[Checker ID],$Q$4,RawData[[Error Type ]],$Q$5))</f>
        <v/>
      </c>
    </row>
    <row r="9084" spans="15:15" x14ac:dyDescent="0.25">
      <c r="O9084" s="20" t="str">
        <f>IF(N9084="","",COUNTIFS(RawData[[Date ]],N9084,RawData[Month List],$Q$6,RawData[Tour/Site],$Q$2,RawData[[Picker ID ]],$Q$3,RawData[Checker ID],$Q$4,RawData[[Error Type ]],$Q$5))</f>
        <v/>
      </c>
    </row>
    <row r="9085" spans="15:15" x14ac:dyDescent="0.25">
      <c r="O9085" s="20" t="str">
        <f>IF(N9085="","",COUNTIFS(RawData[[Date ]],N9085,RawData[Month List],$Q$6,RawData[Tour/Site],$Q$2,RawData[[Picker ID ]],$Q$3,RawData[Checker ID],$Q$4,RawData[[Error Type ]],$Q$5))</f>
        <v/>
      </c>
    </row>
    <row r="9086" spans="15:15" x14ac:dyDescent="0.25">
      <c r="O9086" s="20" t="str">
        <f>IF(N9086="","",COUNTIFS(RawData[[Date ]],N9086,RawData[Month List],$Q$6,RawData[Tour/Site],$Q$2,RawData[[Picker ID ]],$Q$3,RawData[Checker ID],$Q$4,RawData[[Error Type ]],$Q$5))</f>
        <v/>
      </c>
    </row>
    <row r="9087" spans="15:15" x14ac:dyDescent="0.25">
      <c r="O9087" s="20" t="str">
        <f>IF(N9087="","",COUNTIFS(RawData[[Date ]],N9087,RawData[Month List],$Q$6,RawData[Tour/Site],$Q$2,RawData[[Picker ID ]],$Q$3,RawData[Checker ID],$Q$4,RawData[[Error Type ]],$Q$5))</f>
        <v/>
      </c>
    </row>
    <row r="9088" spans="15:15" x14ac:dyDescent="0.25">
      <c r="O9088" s="20" t="str">
        <f>IF(N9088="","",COUNTIFS(RawData[[Date ]],N9088,RawData[Month List],$Q$6,RawData[Tour/Site],$Q$2,RawData[[Picker ID ]],$Q$3,RawData[Checker ID],$Q$4,RawData[[Error Type ]],$Q$5))</f>
        <v/>
      </c>
    </row>
    <row r="9089" spans="15:15" x14ac:dyDescent="0.25">
      <c r="O9089" s="20" t="str">
        <f>IF(N9089="","",COUNTIFS(RawData[[Date ]],N9089,RawData[Month List],$Q$6,RawData[Tour/Site],$Q$2,RawData[[Picker ID ]],$Q$3,RawData[Checker ID],$Q$4,RawData[[Error Type ]],$Q$5))</f>
        <v/>
      </c>
    </row>
    <row r="9090" spans="15:15" x14ac:dyDescent="0.25">
      <c r="O9090" s="20" t="str">
        <f>IF(N9090="","",COUNTIFS(RawData[[Date ]],N9090,RawData[Month List],$Q$6,RawData[Tour/Site],$Q$2,RawData[[Picker ID ]],$Q$3,RawData[Checker ID],$Q$4,RawData[[Error Type ]],$Q$5))</f>
        <v/>
      </c>
    </row>
    <row r="9091" spans="15:15" x14ac:dyDescent="0.25">
      <c r="O9091" s="20" t="str">
        <f>IF(N9091="","",COUNTIFS(RawData[[Date ]],N9091,RawData[Month List],$Q$6,RawData[Tour/Site],$Q$2,RawData[[Picker ID ]],$Q$3,RawData[Checker ID],$Q$4,RawData[[Error Type ]],$Q$5))</f>
        <v/>
      </c>
    </row>
    <row r="9092" spans="15:15" x14ac:dyDescent="0.25">
      <c r="O9092" s="20" t="str">
        <f>IF(N9092="","",COUNTIFS(RawData[[Date ]],N9092,RawData[Month List],$Q$6,RawData[Tour/Site],$Q$2,RawData[[Picker ID ]],$Q$3,RawData[Checker ID],$Q$4,RawData[[Error Type ]],$Q$5))</f>
        <v/>
      </c>
    </row>
    <row r="9093" spans="15:15" x14ac:dyDescent="0.25">
      <c r="O9093" s="20" t="str">
        <f>IF(N9093="","",COUNTIFS(RawData[[Date ]],N9093,RawData[Month List],$Q$6,RawData[Tour/Site],$Q$2,RawData[[Picker ID ]],$Q$3,RawData[Checker ID],$Q$4,RawData[[Error Type ]],$Q$5))</f>
        <v/>
      </c>
    </row>
    <row r="9094" spans="15:15" x14ac:dyDescent="0.25">
      <c r="O9094" s="20" t="str">
        <f>IF(N9094="","",COUNTIFS(RawData[[Date ]],N9094,RawData[Month List],$Q$6,RawData[Tour/Site],$Q$2,RawData[[Picker ID ]],$Q$3,RawData[Checker ID],$Q$4,RawData[[Error Type ]],$Q$5))</f>
        <v/>
      </c>
    </row>
    <row r="9095" spans="15:15" x14ac:dyDescent="0.25">
      <c r="O9095" s="20" t="str">
        <f>IF(N9095="","",COUNTIFS(RawData[[Date ]],N9095,RawData[Month List],$Q$6,RawData[Tour/Site],$Q$2,RawData[[Picker ID ]],$Q$3,RawData[Checker ID],$Q$4,RawData[[Error Type ]],$Q$5))</f>
        <v/>
      </c>
    </row>
    <row r="9096" spans="15:15" x14ac:dyDescent="0.25">
      <c r="O9096" s="20" t="str">
        <f>IF(N9096="","",COUNTIFS(RawData[[Date ]],N9096,RawData[Month List],$Q$6,RawData[Tour/Site],$Q$2,RawData[[Picker ID ]],$Q$3,RawData[Checker ID],$Q$4,RawData[[Error Type ]],$Q$5))</f>
        <v/>
      </c>
    </row>
    <row r="9097" spans="15:15" x14ac:dyDescent="0.25">
      <c r="O9097" s="20" t="str">
        <f>IF(N9097="","",COUNTIFS(RawData[[Date ]],N9097,RawData[Month List],$Q$6,RawData[Tour/Site],$Q$2,RawData[[Picker ID ]],$Q$3,RawData[Checker ID],$Q$4,RawData[[Error Type ]],$Q$5))</f>
        <v/>
      </c>
    </row>
    <row r="9098" spans="15:15" x14ac:dyDescent="0.25">
      <c r="O9098" s="20" t="str">
        <f>IF(N9098="","",COUNTIFS(RawData[[Date ]],N9098,RawData[Month List],$Q$6,RawData[Tour/Site],$Q$2,RawData[[Picker ID ]],$Q$3,RawData[Checker ID],$Q$4,RawData[[Error Type ]],$Q$5))</f>
        <v/>
      </c>
    </row>
    <row r="9099" spans="15:15" x14ac:dyDescent="0.25">
      <c r="O9099" s="20" t="str">
        <f>IF(N9099="","",COUNTIFS(RawData[[Date ]],N9099,RawData[Month List],$Q$6,RawData[Tour/Site],$Q$2,RawData[[Picker ID ]],$Q$3,RawData[Checker ID],$Q$4,RawData[[Error Type ]],$Q$5))</f>
        <v/>
      </c>
    </row>
    <row r="9100" spans="15:15" x14ac:dyDescent="0.25">
      <c r="O9100" s="20" t="str">
        <f>IF(N9100="","",COUNTIFS(RawData[[Date ]],N9100,RawData[Month List],$Q$6,RawData[Tour/Site],$Q$2,RawData[[Picker ID ]],$Q$3,RawData[Checker ID],$Q$4,RawData[[Error Type ]],$Q$5))</f>
        <v/>
      </c>
    </row>
    <row r="9101" spans="15:15" x14ac:dyDescent="0.25">
      <c r="O9101" s="20" t="str">
        <f>IF(N9101="","",COUNTIFS(RawData[[Date ]],N9101,RawData[Month List],$Q$6,RawData[Tour/Site],$Q$2,RawData[[Picker ID ]],$Q$3,RawData[Checker ID],$Q$4,RawData[[Error Type ]],$Q$5))</f>
        <v/>
      </c>
    </row>
    <row r="9102" spans="15:15" x14ac:dyDescent="0.25">
      <c r="O9102" s="20" t="str">
        <f>IF(N9102="","",COUNTIFS(RawData[[Date ]],N9102,RawData[Month List],$Q$6,RawData[Tour/Site],$Q$2,RawData[[Picker ID ]],$Q$3,RawData[Checker ID],$Q$4,RawData[[Error Type ]],$Q$5))</f>
        <v/>
      </c>
    </row>
    <row r="9103" spans="15:15" x14ac:dyDescent="0.25">
      <c r="O9103" s="20" t="str">
        <f>IF(N9103="","",COUNTIFS(RawData[[Date ]],N9103,RawData[Month List],$Q$6,RawData[Tour/Site],$Q$2,RawData[[Picker ID ]],$Q$3,RawData[Checker ID],$Q$4,RawData[[Error Type ]],$Q$5))</f>
        <v/>
      </c>
    </row>
    <row r="9104" spans="15:15" x14ac:dyDescent="0.25">
      <c r="O9104" s="20" t="str">
        <f>IF(N9104="","",COUNTIFS(RawData[[Date ]],N9104,RawData[Month List],$Q$6,RawData[Tour/Site],$Q$2,RawData[[Picker ID ]],$Q$3,RawData[Checker ID],$Q$4,RawData[[Error Type ]],$Q$5))</f>
        <v/>
      </c>
    </row>
    <row r="9105" spans="15:15" x14ac:dyDescent="0.25">
      <c r="O9105" s="20" t="str">
        <f>IF(N9105="","",COUNTIFS(RawData[[Date ]],N9105,RawData[Month List],$Q$6,RawData[Tour/Site],$Q$2,RawData[[Picker ID ]],$Q$3,RawData[Checker ID],$Q$4,RawData[[Error Type ]],$Q$5))</f>
        <v/>
      </c>
    </row>
    <row r="9106" spans="15:15" x14ac:dyDescent="0.25">
      <c r="O9106" s="20" t="str">
        <f>IF(N9106="","",COUNTIFS(RawData[[Date ]],N9106,RawData[Month List],$Q$6,RawData[Tour/Site],$Q$2,RawData[[Picker ID ]],$Q$3,RawData[Checker ID],$Q$4,RawData[[Error Type ]],$Q$5))</f>
        <v/>
      </c>
    </row>
    <row r="9107" spans="15:15" x14ac:dyDescent="0.25">
      <c r="O9107" s="20" t="str">
        <f>IF(N9107="","",COUNTIFS(RawData[[Date ]],N9107,RawData[Month List],$Q$6,RawData[Tour/Site],$Q$2,RawData[[Picker ID ]],$Q$3,RawData[Checker ID],$Q$4,RawData[[Error Type ]],$Q$5))</f>
        <v/>
      </c>
    </row>
    <row r="9108" spans="15:15" x14ac:dyDescent="0.25">
      <c r="O9108" s="20" t="str">
        <f>IF(N9108="","",COUNTIFS(RawData[[Date ]],N9108,RawData[Month List],$Q$6,RawData[Tour/Site],$Q$2,RawData[[Picker ID ]],$Q$3,RawData[Checker ID],$Q$4,RawData[[Error Type ]],$Q$5))</f>
        <v/>
      </c>
    </row>
    <row r="9109" spans="15:15" x14ac:dyDescent="0.25">
      <c r="O9109" s="20" t="str">
        <f>IF(N9109="","",COUNTIFS(RawData[[Date ]],N9109,RawData[Month List],$Q$6,RawData[Tour/Site],$Q$2,RawData[[Picker ID ]],$Q$3,RawData[Checker ID],$Q$4,RawData[[Error Type ]],$Q$5))</f>
        <v/>
      </c>
    </row>
    <row r="9110" spans="15:15" x14ac:dyDescent="0.25">
      <c r="O9110" s="20" t="str">
        <f>IF(N9110="","",COUNTIFS(RawData[[Date ]],N9110,RawData[Month List],$Q$6,RawData[Tour/Site],$Q$2,RawData[[Picker ID ]],$Q$3,RawData[Checker ID],$Q$4,RawData[[Error Type ]],$Q$5))</f>
        <v/>
      </c>
    </row>
    <row r="9111" spans="15:15" x14ac:dyDescent="0.25">
      <c r="O9111" s="20" t="str">
        <f>IF(N9111="","",COUNTIFS(RawData[[Date ]],N9111,RawData[Month List],$Q$6,RawData[Tour/Site],$Q$2,RawData[[Picker ID ]],$Q$3,RawData[Checker ID],$Q$4,RawData[[Error Type ]],$Q$5))</f>
        <v/>
      </c>
    </row>
    <row r="9112" spans="15:15" x14ac:dyDescent="0.25">
      <c r="O9112" s="20" t="str">
        <f>IF(N9112="","",COUNTIFS(RawData[[Date ]],N9112,RawData[Month List],$Q$6,RawData[Tour/Site],$Q$2,RawData[[Picker ID ]],$Q$3,RawData[Checker ID],$Q$4,RawData[[Error Type ]],$Q$5))</f>
        <v/>
      </c>
    </row>
    <row r="9113" spans="15:15" x14ac:dyDescent="0.25">
      <c r="O9113" s="20" t="str">
        <f>IF(N9113="","",COUNTIFS(RawData[[Date ]],N9113,RawData[Month List],$Q$6,RawData[Tour/Site],$Q$2,RawData[[Picker ID ]],$Q$3,RawData[Checker ID],$Q$4,RawData[[Error Type ]],$Q$5))</f>
        <v/>
      </c>
    </row>
    <row r="9114" spans="15:15" x14ac:dyDescent="0.25">
      <c r="O9114" s="20" t="str">
        <f>IF(N9114="","",COUNTIFS(RawData[[Date ]],N9114,RawData[Month List],$Q$6,RawData[Tour/Site],$Q$2,RawData[[Picker ID ]],$Q$3,RawData[Checker ID],$Q$4,RawData[[Error Type ]],$Q$5))</f>
        <v/>
      </c>
    </row>
    <row r="9115" spans="15:15" x14ac:dyDescent="0.25">
      <c r="O9115" s="20" t="str">
        <f>IF(N9115="","",COUNTIFS(RawData[[Date ]],N9115,RawData[Month List],$Q$6,RawData[Tour/Site],$Q$2,RawData[[Picker ID ]],$Q$3,RawData[Checker ID],$Q$4,RawData[[Error Type ]],$Q$5))</f>
        <v/>
      </c>
    </row>
    <row r="9116" spans="15:15" x14ac:dyDescent="0.25">
      <c r="O9116" s="20" t="str">
        <f>IF(N9116="","",COUNTIFS(RawData[[Date ]],N9116,RawData[Month List],$Q$6,RawData[Tour/Site],$Q$2,RawData[[Picker ID ]],$Q$3,RawData[Checker ID],$Q$4,RawData[[Error Type ]],$Q$5))</f>
        <v/>
      </c>
    </row>
    <row r="9117" spans="15:15" x14ac:dyDescent="0.25">
      <c r="O9117" s="20" t="str">
        <f>IF(N9117="","",COUNTIFS(RawData[[Date ]],N9117,RawData[Month List],$Q$6,RawData[Tour/Site],$Q$2,RawData[[Picker ID ]],$Q$3,RawData[Checker ID],$Q$4,RawData[[Error Type ]],$Q$5))</f>
        <v/>
      </c>
    </row>
    <row r="9118" spans="15:15" x14ac:dyDescent="0.25">
      <c r="O9118" s="20" t="str">
        <f>IF(N9118="","",COUNTIFS(RawData[[Date ]],N9118,RawData[Month List],$Q$6,RawData[Tour/Site],$Q$2,RawData[[Picker ID ]],$Q$3,RawData[Checker ID],$Q$4,RawData[[Error Type ]],$Q$5))</f>
        <v/>
      </c>
    </row>
    <row r="9119" spans="15:15" x14ac:dyDescent="0.25">
      <c r="O9119" s="20" t="str">
        <f>IF(N9119="","",COUNTIFS(RawData[[Date ]],N9119,RawData[Month List],$Q$6,RawData[Tour/Site],$Q$2,RawData[[Picker ID ]],$Q$3,RawData[Checker ID],$Q$4,RawData[[Error Type ]],$Q$5))</f>
        <v/>
      </c>
    </row>
    <row r="9120" spans="15:15" x14ac:dyDescent="0.25">
      <c r="O9120" s="20" t="str">
        <f>IF(N9120="","",COUNTIFS(RawData[[Date ]],N9120,RawData[Month List],$Q$6,RawData[Tour/Site],$Q$2,RawData[[Picker ID ]],$Q$3,RawData[Checker ID],$Q$4,RawData[[Error Type ]],$Q$5))</f>
        <v/>
      </c>
    </row>
    <row r="9121" spans="15:15" x14ac:dyDescent="0.25">
      <c r="O9121" s="20" t="str">
        <f>IF(N9121="","",COUNTIFS(RawData[[Date ]],N9121,RawData[Month List],$Q$6,RawData[Tour/Site],$Q$2,RawData[[Picker ID ]],$Q$3,RawData[Checker ID],$Q$4,RawData[[Error Type ]],$Q$5))</f>
        <v/>
      </c>
    </row>
    <row r="9122" spans="15:15" x14ac:dyDescent="0.25">
      <c r="O9122" s="20" t="str">
        <f>IF(N9122="","",COUNTIFS(RawData[[Date ]],N9122,RawData[Month List],$Q$6,RawData[Tour/Site],$Q$2,RawData[[Picker ID ]],$Q$3,RawData[Checker ID],$Q$4,RawData[[Error Type ]],$Q$5))</f>
        <v/>
      </c>
    </row>
    <row r="9123" spans="15:15" x14ac:dyDescent="0.25">
      <c r="O9123" s="20" t="str">
        <f>IF(N9123="","",COUNTIFS(RawData[[Date ]],N9123,RawData[Month List],$Q$6,RawData[Tour/Site],$Q$2,RawData[[Picker ID ]],$Q$3,RawData[Checker ID],$Q$4,RawData[[Error Type ]],$Q$5))</f>
        <v/>
      </c>
    </row>
    <row r="9124" spans="15:15" x14ac:dyDescent="0.25">
      <c r="O9124" s="20" t="str">
        <f>IF(N9124="","",COUNTIFS(RawData[[Date ]],N9124,RawData[Month List],$Q$6,RawData[Tour/Site],$Q$2,RawData[[Picker ID ]],$Q$3,RawData[Checker ID],$Q$4,RawData[[Error Type ]],$Q$5))</f>
        <v/>
      </c>
    </row>
    <row r="9125" spans="15:15" x14ac:dyDescent="0.25">
      <c r="O9125" s="20" t="str">
        <f>IF(N9125="","",COUNTIFS(RawData[[Date ]],N9125,RawData[Month List],$Q$6,RawData[Tour/Site],$Q$2,RawData[[Picker ID ]],$Q$3,RawData[Checker ID],$Q$4,RawData[[Error Type ]],$Q$5))</f>
        <v/>
      </c>
    </row>
    <row r="9126" spans="15:15" x14ac:dyDescent="0.25">
      <c r="O9126" s="20" t="str">
        <f>IF(N9126="","",COUNTIFS(RawData[[Date ]],N9126,RawData[Month List],$Q$6,RawData[Tour/Site],$Q$2,RawData[[Picker ID ]],$Q$3,RawData[Checker ID],$Q$4,RawData[[Error Type ]],$Q$5))</f>
        <v/>
      </c>
    </row>
    <row r="9127" spans="15:15" x14ac:dyDescent="0.25">
      <c r="O9127" s="20" t="str">
        <f>IF(N9127="","",COUNTIFS(RawData[[Date ]],N9127,RawData[Month List],$Q$6,RawData[Tour/Site],$Q$2,RawData[[Picker ID ]],$Q$3,RawData[Checker ID],$Q$4,RawData[[Error Type ]],$Q$5))</f>
        <v/>
      </c>
    </row>
    <row r="9128" spans="15:15" x14ac:dyDescent="0.25">
      <c r="O9128" s="20" t="str">
        <f>IF(N9128="","",COUNTIFS(RawData[[Date ]],N9128,RawData[Month List],$Q$6,RawData[Tour/Site],$Q$2,RawData[[Picker ID ]],$Q$3,RawData[Checker ID],$Q$4,RawData[[Error Type ]],$Q$5))</f>
        <v/>
      </c>
    </row>
    <row r="9129" spans="15:15" x14ac:dyDescent="0.25">
      <c r="O9129" s="20" t="str">
        <f>IF(N9129="","",COUNTIFS(RawData[[Date ]],N9129,RawData[Month List],$Q$6,RawData[Tour/Site],$Q$2,RawData[[Picker ID ]],$Q$3,RawData[Checker ID],$Q$4,RawData[[Error Type ]],$Q$5))</f>
        <v/>
      </c>
    </row>
    <row r="9130" spans="15:15" x14ac:dyDescent="0.25">
      <c r="O9130" s="20" t="str">
        <f>IF(N9130="","",COUNTIFS(RawData[[Date ]],N9130,RawData[Month List],$Q$6,RawData[Tour/Site],$Q$2,RawData[[Picker ID ]],$Q$3,RawData[Checker ID],$Q$4,RawData[[Error Type ]],$Q$5))</f>
        <v/>
      </c>
    </row>
    <row r="9131" spans="15:15" x14ac:dyDescent="0.25">
      <c r="O9131" s="20" t="str">
        <f>IF(N9131="","",COUNTIFS(RawData[[Date ]],N9131,RawData[Month List],$Q$6,RawData[Tour/Site],$Q$2,RawData[[Picker ID ]],$Q$3,RawData[Checker ID],$Q$4,RawData[[Error Type ]],$Q$5))</f>
        <v/>
      </c>
    </row>
    <row r="9132" spans="15:15" x14ac:dyDescent="0.25">
      <c r="O9132" s="20" t="str">
        <f>IF(N9132="","",COUNTIFS(RawData[[Date ]],N9132,RawData[Month List],$Q$6,RawData[Tour/Site],$Q$2,RawData[[Picker ID ]],$Q$3,RawData[Checker ID],$Q$4,RawData[[Error Type ]],$Q$5))</f>
        <v/>
      </c>
    </row>
    <row r="9133" spans="15:15" x14ac:dyDescent="0.25">
      <c r="O9133" s="20" t="str">
        <f>IF(N9133="","",COUNTIFS(RawData[[Date ]],N9133,RawData[Month List],$Q$6,RawData[Tour/Site],$Q$2,RawData[[Picker ID ]],$Q$3,RawData[Checker ID],$Q$4,RawData[[Error Type ]],$Q$5))</f>
        <v/>
      </c>
    </row>
    <row r="9134" spans="15:15" x14ac:dyDescent="0.25">
      <c r="O9134" s="20" t="str">
        <f>IF(N9134="","",COUNTIFS(RawData[[Date ]],N9134,RawData[Month List],$Q$6,RawData[Tour/Site],$Q$2,RawData[[Picker ID ]],$Q$3,RawData[Checker ID],$Q$4,RawData[[Error Type ]],$Q$5))</f>
        <v/>
      </c>
    </row>
    <row r="9135" spans="15:15" x14ac:dyDescent="0.25">
      <c r="O9135" s="20" t="str">
        <f>IF(N9135="","",COUNTIFS(RawData[[Date ]],N9135,RawData[Month List],$Q$6,RawData[Tour/Site],$Q$2,RawData[[Picker ID ]],$Q$3,RawData[Checker ID],$Q$4,RawData[[Error Type ]],$Q$5))</f>
        <v/>
      </c>
    </row>
    <row r="9136" spans="15:15" x14ac:dyDescent="0.25">
      <c r="O9136" s="20" t="str">
        <f>IF(N9136="","",COUNTIFS(RawData[[Date ]],N9136,RawData[Month List],$Q$6,RawData[Tour/Site],$Q$2,RawData[[Picker ID ]],$Q$3,RawData[Checker ID],$Q$4,RawData[[Error Type ]],$Q$5))</f>
        <v/>
      </c>
    </row>
    <row r="9137" spans="15:15" x14ac:dyDescent="0.25">
      <c r="O9137" s="20" t="str">
        <f>IF(N9137="","",COUNTIFS(RawData[[Date ]],N9137,RawData[Month List],$Q$6,RawData[Tour/Site],$Q$2,RawData[[Picker ID ]],$Q$3,RawData[Checker ID],$Q$4,RawData[[Error Type ]],$Q$5))</f>
        <v/>
      </c>
    </row>
    <row r="9138" spans="15:15" x14ac:dyDescent="0.25">
      <c r="O9138" s="20" t="str">
        <f>IF(N9138="","",COUNTIFS(RawData[[Date ]],N9138,RawData[Month List],$Q$6,RawData[Tour/Site],$Q$2,RawData[[Picker ID ]],$Q$3,RawData[Checker ID],$Q$4,RawData[[Error Type ]],$Q$5))</f>
        <v/>
      </c>
    </row>
    <row r="9139" spans="15:15" x14ac:dyDescent="0.25">
      <c r="O9139" s="20" t="str">
        <f>IF(N9139="","",COUNTIFS(RawData[[Date ]],N9139,RawData[Month List],$Q$6,RawData[Tour/Site],$Q$2,RawData[[Picker ID ]],$Q$3,RawData[Checker ID],$Q$4,RawData[[Error Type ]],$Q$5))</f>
        <v/>
      </c>
    </row>
    <row r="9140" spans="15:15" x14ac:dyDescent="0.25">
      <c r="O9140" s="20" t="str">
        <f>IF(N9140="","",COUNTIFS(RawData[[Date ]],N9140,RawData[Month List],$Q$6,RawData[Tour/Site],$Q$2,RawData[[Picker ID ]],$Q$3,RawData[Checker ID],$Q$4,RawData[[Error Type ]],$Q$5))</f>
        <v/>
      </c>
    </row>
    <row r="9141" spans="15:15" x14ac:dyDescent="0.25">
      <c r="O9141" s="20" t="str">
        <f>IF(N9141="","",COUNTIFS(RawData[[Date ]],N9141,RawData[Month List],$Q$6,RawData[Tour/Site],$Q$2,RawData[[Picker ID ]],$Q$3,RawData[Checker ID],$Q$4,RawData[[Error Type ]],$Q$5))</f>
        <v/>
      </c>
    </row>
    <row r="9142" spans="15:15" x14ac:dyDescent="0.25">
      <c r="O9142" s="20" t="str">
        <f>IF(N9142="","",COUNTIFS(RawData[[Date ]],N9142,RawData[Month List],$Q$6,RawData[Tour/Site],$Q$2,RawData[[Picker ID ]],$Q$3,RawData[Checker ID],$Q$4,RawData[[Error Type ]],$Q$5))</f>
        <v/>
      </c>
    </row>
    <row r="9143" spans="15:15" x14ac:dyDescent="0.25">
      <c r="O9143" s="20" t="str">
        <f>IF(N9143="","",COUNTIFS(RawData[[Date ]],N9143,RawData[Month List],$Q$6,RawData[Tour/Site],$Q$2,RawData[[Picker ID ]],$Q$3,RawData[Checker ID],$Q$4,RawData[[Error Type ]],$Q$5))</f>
        <v/>
      </c>
    </row>
    <row r="9144" spans="15:15" x14ac:dyDescent="0.25">
      <c r="O9144" s="20" t="str">
        <f>IF(N9144="","",COUNTIFS(RawData[[Date ]],N9144,RawData[Month List],$Q$6,RawData[Tour/Site],$Q$2,RawData[[Picker ID ]],$Q$3,RawData[Checker ID],$Q$4,RawData[[Error Type ]],$Q$5))</f>
        <v/>
      </c>
    </row>
    <row r="9145" spans="15:15" x14ac:dyDescent="0.25">
      <c r="O9145" s="20" t="str">
        <f>IF(N9145="","",COUNTIFS(RawData[[Date ]],N9145,RawData[Month List],$Q$6,RawData[Tour/Site],$Q$2,RawData[[Picker ID ]],$Q$3,RawData[Checker ID],$Q$4,RawData[[Error Type ]],$Q$5))</f>
        <v/>
      </c>
    </row>
    <row r="9146" spans="15:15" x14ac:dyDescent="0.25">
      <c r="O9146" s="20" t="str">
        <f>IF(N9146="","",COUNTIFS(RawData[[Date ]],N9146,RawData[Month List],$Q$6,RawData[Tour/Site],$Q$2,RawData[[Picker ID ]],$Q$3,RawData[Checker ID],$Q$4,RawData[[Error Type ]],$Q$5))</f>
        <v/>
      </c>
    </row>
    <row r="9147" spans="15:15" x14ac:dyDescent="0.25">
      <c r="O9147" s="20" t="str">
        <f>IF(N9147="","",COUNTIFS(RawData[[Date ]],N9147,RawData[Month List],$Q$6,RawData[Tour/Site],$Q$2,RawData[[Picker ID ]],$Q$3,RawData[Checker ID],$Q$4,RawData[[Error Type ]],$Q$5))</f>
        <v/>
      </c>
    </row>
    <row r="9148" spans="15:15" x14ac:dyDescent="0.25">
      <c r="O9148" s="20" t="str">
        <f>IF(N9148="","",COUNTIFS(RawData[[Date ]],N9148,RawData[Month List],$Q$6,RawData[Tour/Site],$Q$2,RawData[[Picker ID ]],$Q$3,RawData[Checker ID],$Q$4,RawData[[Error Type ]],$Q$5))</f>
        <v/>
      </c>
    </row>
    <row r="9149" spans="15:15" x14ac:dyDescent="0.25">
      <c r="O9149" s="20" t="str">
        <f>IF(N9149="","",COUNTIFS(RawData[[Date ]],N9149,RawData[Month List],$Q$6,RawData[Tour/Site],$Q$2,RawData[[Picker ID ]],$Q$3,RawData[Checker ID],$Q$4,RawData[[Error Type ]],$Q$5))</f>
        <v/>
      </c>
    </row>
    <row r="9150" spans="15:15" x14ac:dyDescent="0.25">
      <c r="O9150" s="20" t="str">
        <f>IF(N9150="","",COUNTIFS(RawData[[Date ]],N9150,RawData[Month List],$Q$6,RawData[Tour/Site],$Q$2,RawData[[Picker ID ]],$Q$3,RawData[Checker ID],$Q$4,RawData[[Error Type ]],$Q$5))</f>
        <v/>
      </c>
    </row>
    <row r="9151" spans="15:15" x14ac:dyDescent="0.25">
      <c r="O9151" s="20" t="str">
        <f>IF(N9151="","",COUNTIFS(RawData[[Date ]],N9151,RawData[Month List],$Q$6,RawData[Tour/Site],$Q$2,RawData[[Picker ID ]],$Q$3,RawData[Checker ID],$Q$4,RawData[[Error Type ]],$Q$5))</f>
        <v/>
      </c>
    </row>
    <row r="9152" spans="15:15" x14ac:dyDescent="0.25">
      <c r="O9152" s="20" t="str">
        <f>IF(N9152="","",COUNTIFS(RawData[[Date ]],N9152,RawData[Month List],$Q$6,RawData[Tour/Site],$Q$2,RawData[[Picker ID ]],$Q$3,RawData[Checker ID],$Q$4,RawData[[Error Type ]],$Q$5))</f>
        <v/>
      </c>
    </row>
    <row r="9153" spans="15:15" x14ac:dyDescent="0.25">
      <c r="O9153" s="20" t="str">
        <f>IF(N9153="","",COUNTIFS(RawData[[Date ]],N9153,RawData[Month List],$Q$6,RawData[Tour/Site],$Q$2,RawData[[Picker ID ]],$Q$3,RawData[Checker ID],$Q$4,RawData[[Error Type ]],$Q$5))</f>
        <v/>
      </c>
    </row>
    <row r="9154" spans="15:15" x14ac:dyDescent="0.25">
      <c r="O9154" s="20" t="str">
        <f>IF(N9154="","",COUNTIFS(RawData[[Date ]],N9154,RawData[Month List],$Q$6,RawData[Tour/Site],$Q$2,RawData[[Picker ID ]],$Q$3,RawData[Checker ID],$Q$4,RawData[[Error Type ]],$Q$5))</f>
        <v/>
      </c>
    </row>
    <row r="9155" spans="15:15" x14ac:dyDescent="0.25">
      <c r="O9155" s="20" t="str">
        <f>IF(N9155="","",COUNTIFS(RawData[[Date ]],N9155,RawData[Month List],$Q$6,RawData[Tour/Site],$Q$2,RawData[[Picker ID ]],$Q$3,RawData[Checker ID],$Q$4,RawData[[Error Type ]],$Q$5))</f>
        <v/>
      </c>
    </row>
    <row r="9156" spans="15:15" x14ac:dyDescent="0.25">
      <c r="O9156" s="20" t="str">
        <f>IF(N9156="","",COUNTIFS(RawData[[Date ]],N9156,RawData[Month List],$Q$6,RawData[Tour/Site],$Q$2,RawData[[Picker ID ]],$Q$3,RawData[Checker ID],$Q$4,RawData[[Error Type ]],$Q$5))</f>
        <v/>
      </c>
    </row>
    <row r="9157" spans="15:15" x14ac:dyDescent="0.25">
      <c r="O9157" s="20" t="str">
        <f>IF(N9157="","",COUNTIFS(RawData[[Date ]],N9157,RawData[Month List],$Q$6,RawData[Tour/Site],$Q$2,RawData[[Picker ID ]],$Q$3,RawData[Checker ID],$Q$4,RawData[[Error Type ]],$Q$5))</f>
        <v/>
      </c>
    </row>
    <row r="9158" spans="15:15" x14ac:dyDescent="0.25">
      <c r="O9158" s="20" t="str">
        <f>IF(N9158="","",COUNTIFS(RawData[[Date ]],N9158,RawData[Month List],$Q$6,RawData[Tour/Site],$Q$2,RawData[[Picker ID ]],$Q$3,RawData[Checker ID],$Q$4,RawData[[Error Type ]],$Q$5))</f>
        <v/>
      </c>
    </row>
    <row r="9159" spans="15:15" x14ac:dyDescent="0.25">
      <c r="O9159" s="20" t="str">
        <f>IF(N9159="","",COUNTIFS(RawData[[Date ]],N9159,RawData[Month List],$Q$6,RawData[Tour/Site],$Q$2,RawData[[Picker ID ]],$Q$3,RawData[Checker ID],$Q$4,RawData[[Error Type ]],$Q$5))</f>
        <v/>
      </c>
    </row>
    <row r="9160" spans="15:15" x14ac:dyDescent="0.25">
      <c r="O9160" s="20" t="str">
        <f>IF(N9160="","",COUNTIFS(RawData[[Date ]],N9160,RawData[Month List],$Q$6,RawData[Tour/Site],$Q$2,RawData[[Picker ID ]],$Q$3,RawData[Checker ID],$Q$4,RawData[[Error Type ]],$Q$5))</f>
        <v/>
      </c>
    </row>
    <row r="9161" spans="15:15" x14ac:dyDescent="0.25">
      <c r="O9161" s="20" t="str">
        <f>IF(N9161="","",COUNTIFS(RawData[[Date ]],N9161,RawData[Month List],$Q$6,RawData[Tour/Site],$Q$2,RawData[[Picker ID ]],$Q$3,RawData[Checker ID],$Q$4,RawData[[Error Type ]],$Q$5))</f>
        <v/>
      </c>
    </row>
    <row r="9162" spans="15:15" x14ac:dyDescent="0.25">
      <c r="O9162" s="20" t="str">
        <f>IF(N9162="","",COUNTIFS(RawData[[Date ]],N9162,RawData[Month List],$Q$6,RawData[Tour/Site],$Q$2,RawData[[Picker ID ]],$Q$3,RawData[Checker ID],$Q$4,RawData[[Error Type ]],$Q$5))</f>
        <v/>
      </c>
    </row>
    <row r="9163" spans="15:15" x14ac:dyDescent="0.25">
      <c r="O9163" s="20" t="str">
        <f>IF(N9163="","",COUNTIFS(RawData[[Date ]],N9163,RawData[Month List],$Q$6,RawData[Tour/Site],$Q$2,RawData[[Picker ID ]],$Q$3,RawData[Checker ID],$Q$4,RawData[[Error Type ]],$Q$5))</f>
        <v/>
      </c>
    </row>
    <row r="9164" spans="15:15" x14ac:dyDescent="0.25">
      <c r="O9164" s="20" t="str">
        <f>IF(N9164="","",COUNTIFS(RawData[[Date ]],N9164,RawData[Month List],$Q$6,RawData[Tour/Site],$Q$2,RawData[[Picker ID ]],$Q$3,RawData[Checker ID],$Q$4,RawData[[Error Type ]],$Q$5))</f>
        <v/>
      </c>
    </row>
    <row r="9165" spans="15:15" x14ac:dyDescent="0.25">
      <c r="O9165" s="20" t="str">
        <f>IF(N9165="","",COUNTIFS(RawData[[Date ]],N9165,RawData[Month List],$Q$6,RawData[Tour/Site],$Q$2,RawData[[Picker ID ]],$Q$3,RawData[Checker ID],$Q$4,RawData[[Error Type ]],$Q$5))</f>
        <v/>
      </c>
    </row>
    <row r="9166" spans="15:15" x14ac:dyDescent="0.25">
      <c r="O9166" s="20" t="str">
        <f>IF(N9166="","",COUNTIFS(RawData[[Date ]],N9166,RawData[Month List],$Q$6,RawData[Tour/Site],$Q$2,RawData[[Picker ID ]],$Q$3,RawData[Checker ID],$Q$4,RawData[[Error Type ]],$Q$5))</f>
        <v/>
      </c>
    </row>
    <row r="9167" spans="15:15" x14ac:dyDescent="0.25">
      <c r="O9167" s="20" t="str">
        <f>IF(N9167="","",COUNTIFS(RawData[[Date ]],N9167,RawData[Month List],$Q$6,RawData[Tour/Site],$Q$2,RawData[[Picker ID ]],$Q$3,RawData[Checker ID],$Q$4,RawData[[Error Type ]],$Q$5))</f>
        <v/>
      </c>
    </row>
    <row r="9168" spans="15:15" x14ac:dyDescent="0.25">
      <c r="O9168" s="20" t="str">
        <f>IF(N9168="","",COUNTIFS(RawData[[Date ]],N9168,RawData[Month List],$Q$6,RawData[Tour/Site],$Q$2,RawData[[Picker ID ]],$Q$3,RawData[Checker ID],$Q$4,RawData[[Error Type ]],$Q$5))</f>
        <v/>
      </c>
    </row>
    <row r="9169" spans="15:15" x14ac:dyDescent="0.25">
      <c r="O9169" s="20" t="str">
        <f>IF(N9169="","",COUNTIFS(RawData[[Date ]],N9169,RawData[Month List],$Q$6,RawData[Tour/Site],$Q$2,RawData[[Picker ID ]],$Q$3,RawData[Checker ID],$Q$4,RawData[[Error Type ]],$Q$5))</f>
        <v/>
      </c>
    </row>
    <row r="9170" spans="15:15" x14ac:dyDescent="0.25">
      <c r="O9170" s="20" t="str">
        <f>IF(N9170="","",COUNTIFS(RawData[[Date ]],N9170,RawData[Month List],$Q$6,RawData[Tour/Site],$Q$2,RawData[[Picker ID ]],$Q$3,RawData[Checker ID],$Q$4,RawData[[Error Type ]],$Q$5))</f>
        <v/>
      </c>
    </row>
    <row r="9171" spans="15:15" x14ac:dyDescent="0.25">
      <c r="O9171" s="20" t="str">
        <f>IF(N9171="","",COUNTIFS(RawData[[Date ]],N9171,RawData[Month List],$Q$6,RawData[Tour/Site],$Q$2,RawData[[Picker ID ]],$Q$3,RawData[Checker ID],$Q$4,RawData[[Error Type ]],$Q$5))</f>
        <v/>
      </c>
    </row>
    <row r="9172" spans="15:15" x14ac:dyDescent="0.25">
      <c r="O9172" s="20" t="str">
        <f>IF(N9172="","",COUNTIFS(RawData[[Date ]],N9172,RawData[Month List],$Q$6,RawData[Tour/Site],$Q$2,RawData[[Picker ID ]],$Q$3,RawData[Checker ID],$Q$4,RawData[[Error Type ]],$Q$5))</f>
        <v/>
      </c>
    </row>
    <row r="9173" spans="15:15" x14ac:dyDescent="0.25">
      <c r="O9173" s="20" t="str">
        <f>IF(N9173="","",COUNTIFS(RawData[[Date ]],N9173,RawData[Month List],$Q$6,RawData[Tour/Site],$Q$2,RawData[[Picker ID ]],$Q$3,RawData[Checker ID],$Q$4,RawData[[Error Type ]],$Q$5))</f>
        <v/>
      </c>
    </row>
    <row r="9174" spans="15:15" x14ac:dyDescent="0.25">
      <c r="O9174" s="20" t="str">
        <f>IF(N9174="","",COUNTIFS(RawData[[Date ]],N9174,RawData[Month List],$Q$6,RawData[Tour/Site],$Q$2,RawData[[Picker ID ]],$Q$3,RawData[Checker ID],$Q$4,RawData[[Error Type ]],$Q$5))</f>
        <v/>
      </c>
    </row>
    <row r="9175" spans="15:15" x14ac:dyDescent="0.25">
      <c r="O9175" s="20" t="str">
        <f>IF(N9175="","",COUNTIFS(RawData[[Date ]],N9175,RawData[Month List],$Q$6,RawData[Tour/Site],$Q$2,RawData[[Picker ID ]],$Q$3,RawData[Checker ID],$Q$4,RawData[[Error Type ]],$Q$5))</f>
        <v/>
      </c>
    </row>
    <row r="9176" spans="15:15" x14ac:dyDescent="0.25">
      <c r="O9176" s="20" t="str">
        <f>IF(N9176="","",COUNTIFS(RawData[[Date ]],N9176,RawData[Month List],$Q$6,RawData[Tour/Site],$Q$2,RawData[[Picker ID ]],$Q$3,RawData[Checker ID],$Q$4,RawData[[Error Type ]],$Q$5))</f>
        <v/>
      </c>
    </row>
    <row r="9177" spans="15:15" x14ac:dyDescent="0.25">
      <c r="O9177" s="20" t="str">
        <f>IF(N9177="","",COUNTIFS(RawData[[Date ]],N9177,RawData[Month List],$Q$6,RawData[Tour/Site],$Q$2,RawData[[Picker ID ]],$Q$3,RawData[Checker ID],$Q$4,RawData[[Error Type ]],$Q$5))</f>
        <v/>
      </c>
    </row>
    <row r="9178" spans="15:15" x14ac:dyDescent="0.25">
      <c r="O9178" s="20" t="str">
        <f>IF(N9178="","",COUNTIFS(RawData[[Date ]],N9178,RawData[Month List],$Q$6,RawData[Tour/Site],$Q$2,RawData[[Picker ID ]],$Q$3,RawData[Checker ID],$Q$4,RawData[[Error Type ]],$Q$5))</f>
        <v/>
      </c>
    </row>
    <row r="9179" spans="15:15" x14ac:dyDescent="0.25">
      <c r="O9179" s="20" t="str">
        <f>IF(N9179="","",COUNTIFS(RawData[[Date ]],N9179,RawData[Month List],$Q$6,RawData[Tour/Site],$Q$2,RawData[[Picker ID ]],$Q$3,RawData[Checker ID],$Q$4,RawData[[Error Type ]],$Q$5))</f>
        <v/>
      </c>
    </row>
    <row r="9180" spans="15:15" x14ac:dyDescent="0.25">
      <c r="O9180" s="20" t="str">
        <f>IF(N9180="","",COUNTIFS(RawData[[Date ]],N9180,RawData[Month List],$Q$6,RawData[Tour/Site],$Q$2,RawData[[Picker ID ]],$Q$3,RawData[Checker ID],$Q$4,RawData[[Error Type ]],$Q$5))</f>
        <v/>
      </c>
    </row>
    <row r="9181" spans="15:15" x14ac:dyDescent="0.25">
      <c r="O9181" s="20" t="str">
        <f>IF(N9181="","",COUNTIFS(RawData[[Date ]],N9181,RawData[Month List],$Q$6,RawData[Tour/Site],$Q$2,RawData[[Picker ID ]],$Q$3,RawData[Checker ID],$Q$4,RawData[[Error Type ]],$Q$5))</f>
        <v/>
      </c>
    </row>
    <row r="9182" spans="15:15" x14ac:dyDescent="0.25">
      <c r="O9182" s="20" t="str">
        <f>IF(N9182="","",COUNTIFS(RawData[[Date ]],N9182,RawData[Month List],$Q$6,RawData[Tour/Site],$Q$2,RawData[[Picker ID ]],$Q$3,RawData[Checker ID],$Q$4,RawData[[Error Type ]],$Q$5))</f>
        <v/>
      </c>
    </row>
    <row r="9183" spans="15:15" x14ac:dyDescent="0.25">
      <c r="O9183" s="20" t="str">
        <f>IF(N9183="","",COUNTIFS(RawData[[Date ]],N9183,RawData[Month List],$Q$6,RawData[Tour/Site],$Q$2,RawData[[Picker ID ]],$Q$3,RawData[Checker ID],$Q$4,RawData[[Error Type ]],$Q$5))</f>
        <v/>
      </c>
    </row>
    <row r="9184" spans="15:15" x14ac:dyDescent="0.25">
      <c r="O9184" s="20" t="str">
        <f>IF(N9184="","",COUNTIFS(RawData[[Date ]],N9184,RawData[Month List],$Q$6,RawData[Tour/Site],$Q$2,RawData[[Picker ID ]],$Q$3,RawData[Checker ID],$Q$4,RawData[[Error Type ]],$Q$5))</f>
        <v/>
      </c>
    </row>
    <row r="9185" spans="15:15" x14ac:dyDescent="0.25">
      <c r="O9185" s="20" t="str">
        <f>IF(N9185="","",COUNTIFS(RawData[[Date ]],N9185,RawData[Month List],$Q$6,RawData[Tour/Site],$Q$2,RawData[[Picker ID ]],$Q$3,RawData[Checker ID],$Q$4,RawData[[Error Type ]],$Q$5))</f>
        <v/>
      </c>
    </row>
    <row r="9186" spans="15:15" x14ac:dyDescent="0.25">
      <c r="O9186" s="20" t="str">
        <f>IF(N9186="","",COUNTIFS(RawData[[Date ]],N9186,RawData[Month List],$Q$6,RawData[Tour/Site],$Q$2,RawData[[Picker ID ]],$Q$3,RawData[Checker ID],$Q$4,RawData[[Error Type ]],$Q$5))</f>
        <v/>
      </c>
    </row>
    <row r="9187" spans="15:15" x14ac:dyDescent="0.25">
      <c r="O9187" s="20" t="str">
        <f>IF(N9187="","",COUNTIFS(RawData[[Date ]],N9187,RawData[Month List],$Q$6,RawData[Tour/Site],$Q$2,RawData[[Picker ID ]],$Q$3,RawData[Checker ID],$Q$4,RawData[[Error Type ]],$Q$5))</f>
        <v/>
      </c>
    </row>
    <row r="9188" spans="15:15" x14ac:dyDescent="0.25">
      <c r="O9188" s="20" t="str">
        <f>IF(N9188="","",COUNTIFS(RawData[[Date ]],N9188,RawData[Month List],$Q$6,RawData[Tour/Site],$Q$2,RawData[[Picker ID ]],$Q$3,RawData[Checker ID],$Q$4,RawData[[Error Type ]],$Q$5))</f>
        <v/>
      </c>
    </row>
    <row r="9189" spans="15:15" x14ac:dyDescent="0.25">
      <c r="O9189" s="20" t="str">
        <f>IF(N9189="","",COUNTIFS(RawData[[Date ]],N9189,RawData[Month List],$Q$6,RawData[Tour/Site],$Q$2,RawData[[Picker ID ]],$Q$3,RawData[Checker ID],$Q$4,RawData[[Error Type ]],$Q$5))</f>
        <v/>
      </c>
    </row>
    <row r="9190" spans="15:15" x14ac:dyDescent="0.25">
      <c r="O9190" s="20" t="str">
        <f>IF(N9190="","",COUNTIFS(RawData[[Date ]],N9190,RawData[Month List],$Q$6,RawData[Tour/Site],$Q$2,RawData[[Picker ID ]],$Q$3,RawData[Checker ID],$Q$4,RawData[[Error Type ]],$Q$5))</f>
        <v/>
      </c>
    </row>
    <row r="9191" spans="15:15" x14ac:dyDescent="0.25">
      <c r="O9191" s="20" t="str">
        <f>IF(N9191="","",COUNTIFS(RawData[[Date ]],N9191,RawData[Month List],$Q$6,RawData[Tour/Site],$Q$2,RawData[[Picker ID ]],$Q$3,RawData[Checker ID],$Q$4,RawData[[Error Type ]],$Q$5))</f>
        <v/>
      </c>
    </row>
    <row r="9192" spans="15:15" x14ac:dyDescent="0.25">
      <c r="O9192" s="20" t="str">
        <f>IF(N9192="","",COUNTIFS(RawData[[Date ]],N9192,RawData[Month List],$Q$6,RawData[Tour/Site],$Q$2,RawData[[Picker ID ]],$Q$3,RawData[Checker ID],$Q$4,RawData[[Error Type ]],$Q$5))</f>
        <v/>
      </c>
    </row>
    <row r="9193" spans="15:15" x14ac:dyDescent="0.25">
      <c r="O9193" s="20" t="str">
        <f>IF(N9193="","",COUNTIFS(RawData[[Date ]],N9193,RawData[Month List],$Q$6,RawData[Tour/Site],$Q$2,RawData[[Picker ID ]],$Q$3,RawData[Checker ID],$Q$4,RawData[[Error Type ]],$Q$5))</f>
        <v/>
      </c>
    </row>
    <row r="9194" spans="15:15" x14ac:dyDescent="0.25">
      <c r="O9194" s="20" t="str">
        <f>IF(N9194="","",COUNTIFS(RawData[[Date ]],N9194,RawData[Month List],$Q$6,RawData[Tour/Site],$Q$2,RawData[[Picker ID ]],$Q$3,RawData[Checker ID],$Q$4,RawData[[Error Type ]],$Q$5))</f>
        <v/>
      </c>
    </row>
    <row r="9195" spans="15:15" x14ac:dyDescent="0.25">
      <c r="O9195" s="20" t="str">
        <f>IF(N9195="","",COUNTIFS(RawData[[Date ]],N9195,RawData[Month List],$Q$6,RawData[Tour/Site],$Q$2,RawData[[Picker ID ]],$Q$3,RawData[Checker ID],$Q$4,RawData[[Error Type ]],$Q$5))</f>
        <v/>
      </c>
    </row>
    <row r="9196" spans="15:15" x14ac:dyDescent="0.25">
      <c r="O9196" s="20" t="str">
        <f>IF(N9196="","",COUNTIFS(RawData[[Date ]],N9196,RawData[Month List],$Q$6,RawData[Tour/Site],$Q$2,RawData[[Picker ID ]],$Q$3,RawData[Checker ID],$Q$4,RawData[[Error Type ]],$Q$5))</f>
        <v/>
      </c>
    </row>
    <row r="9197" spans="15:15" x14ac:dyDescent="0.25">
      <c r="O9197" s="20" t="str">
        <f>IF(N9197="","",COUNTIFS(RawData[[Date ]],N9197,RawData[Month List],$Q$6,RawData[Tour/Site],$Q$2,RawData[[Picker ID ]],$Q$3,RawData[Checker ID],$Q$4,RawData[[Error Type ]],$Q$5))</f>
        <v/>
      </c>
    </row>
    <row r="9198" spans="15:15" x14ac:dyDescent="0.25">
      <c r="O9198" s="20" t="str">
        <f>IF(N9198="","",COUNTIFS(RawData[[Date ]],N9198,RawData[Month List],$Q$6,RawData[Tour/Site],$Q$2,RawData[[Picker ID ]],$Q$3,RawData[Checker ID],$Q$4,RawData[[Error Type ]],$Q$5))</f>
        <v/>
      </c>
    </row>
    <row r="9199" spans="15:15" x14ac:dyDescent="0.25">
      <c r="O9199" s="20" t="str">
        <f>IF(N9199="","",COUNTIFS(RawData[[Date ]],N9199,RawData[Month List],$Q$6,RawData[Tour/Site],$Q$2,RawData[[Picker ID ]],$Q$3,RawData[Checker ID],$Q$4,RawData[[Error Type ]],$Q$5))</f>
        <v/>
      </c>
    </row>
    <row r="9200" spans="15:15" x14ac:dyDescent="0.25">
      <c r="O9200" s="20" t="str">
        <f>IF(N9200="","",COUNTIFS(RawData[[Date ]],N9200,RawData[Month List],$Q$6,RawData[Tour/Site],$Q$2,RawData[[Picker ID ]],$Q$3,RawData[Checker ID],$Q$4,RawData[[Error Type ]],$Q$5))</f>
        <v/>
      </c>
    </row>
    <row r="9201" spans="15:15" x14ac:dyDescent="0.25">
      <c r="O9201" s="20" t="str">
        <f>IF(N9201="","",COUNTIFS(RawData[[Date ]],N9201,RawData[Month List],$Q$6,RawData[Tour/Site],$Q$2,RawData[[Picker ID ]],$Q$3,RawData[Checker ID],$Q$4,RawData[[Error Type ]],$Q$5))</f>
        <v/>
      </c>
    </row>
    <row r="9202" spans="15:15" x14ac:dyDescent="0.25">
      <c r="O9202" s="20" t="str">
        <f>IF(N9202="","",COUNTIFS(RawData[[Date ]],N9202,RawData[Month List],$Q$6,RawData[Tour/Site],$Q$2,RawData[[Picker ID ]],$Q$3,RawData[Checker ID],$Q$4,RawData[[Error Type ]],$Q$5))</f>
        <v/>
      </c>
    </row>
    <row r="9203" spans="15:15" x14ac:dyDescent="0.25">
      <c r="O9203" s="20" t="str">
        <f>IF(N9203="","",COUNTIFS(RawData[[Date ]],N9203,RawData[Month List],$Q$6,RawData[Tour/Site],$Q$2,RawData[[Picker ID ]],$Q$3,RawData[Checker ID],$Q$4,RawData[[Error Type ]],$Q$5))</f>
        <v/>
      </c>
    </row>
    <row r="9204" spans="15:15" x14ac:dyDescent="0.25">
      <c r="O9204" s="20" t="str">
        <f>IF(N9204="","",COUNTIFS(RawData[[Date ]],N9204,RawData[Month List],$Q$6,RawData[Tour/Site],$Q$2,RawData[[Picker ID ]],$Q$3,RawData[Checker ID],$Q$4,RawData[[Error Type ]],$Q$5))</f>
        <v/>
      </c>
    </row>
    <row r="9205" spans="15:15" x14ac:dyDescent="0.25">
      <c r="O9205" s="20" t="str">
        <f>IF(N9205="","",COUNTIFS(RawData[[Date ]],N9205,RawData[Month List],$Q$6,RawData[Tour/Site],$Q$2,RawData[[Picker ID ]],$Q$3,RawData[Checker ID],$Q$4,RawData[[Error Type ]],$Q$5))</f>
        <v/>
      </c>
    </row>
    <row r="9206" spans="15:15" x14ac:dyDescent="0.25">
      <c r="O9206" s="20" t="str">
        <f>IF(N9206="","",COUNTIFS(RawData[[Date ]],N9206,RawData[Month List],$Q$6,RawData[Tour/Site],$Q$2,RawData[[Picker ID ]],$Q$3,RawData[Checker ID],$Q$4,RawData[[Error Type ]],$Q$5))</f>
        <v/>
      </c>
    </row>
    <row r="9207" spans="15:15" x14ac:dyDescent="0.25">
      <c r="O9207" s="20" t="str">
        <f>IF(N9207="","",COUNTIFS(RawData[[Date ]],N9207,RawData[Month List],$Q$6,RawData[Tour/Site],$Q$2,RawData[[Picker ID ]],$Q$3,RawData[Checker ID],$Q$4,RawData[[Error Type ]],$Q$5))</f>
        <v/>
      </c>
    </row>
    <row r="9208" spans="15:15" x14ac:dyDescent="0.25">
      <c r="O9208" s="20" t="str">
        <f>IF(N9208="","",COUNTIFS(RawData[[Date ]],N9208,RawData[Month List],$Q$6,RawData[Tour/Site],$Q$2,RawData[[Picker ID ]],$Q$3,RawData[Checker ID],$Q$4,RawData[[Error Type ]],$Q$5))</f>
        <v/>
      </c>
    </row>
    <row r="9209" spans="15:15" x14ac:dyDescent="0.25">
      <c r="O9209" s="20" t="str">
        <f>IF(N9209="","",COUNTIFS(RawData[[Date ]],N9209,RawData[Month List],$Q$6,RawData[Tour/Site],$Q$2,RawData[[Picker ID ]],$Q$3,RawData[Checker ID],$Q$4,RawData[[Error Type ]],$Q$5))</f>
        <v/>
      </c>
    </row>
    <row r="9210" spans="15:15" x14ac:dyDescent="0.25">
      <c r="O9210" s="20" t="str">
        <f>IF(N9210="","",COUNTIFS(RawData[[Date ]],N9210,RawData[Month List],$Q$6,RawData[Tour/Site],$Q$2,RawData[[Picker ID ]],$Q$3,RawData[Checker ID],$Q$4,RawData[[Error Type ]],$Q$5))</f>
        <v/>
      </c>
    </row>
    <row r="9211" spans="15:15" x14ac:dyDescent="0.25">
      <c r="O9211" s="20" t="str">
        <f>IF(N9211="","",COUNTIFS(RawData[[Date ]],N9211,RawData[Month List],$Q$6,RawData[Tour/Site],$Q$2,RawData[[Picker ID ]],$Q$3,RawData[Checker ID],$Q$4,RawData[[Error Type ]],$Q$5))</f>
        <v/>
      </c>
    </row>
    <row r="9212" spans="15:15" x14ac:dyDescent="0.25">
      <c r="O9212" s="20" t="str">
        <f>IF(N9212="","",COUNTIFS(RawData[[Date ]],N9212,RawData[Month List],$Q$6,RawData[Tour/Site],$Q$2,RawData[[Picker ID ]],$Q$3,RawData[Checker ID],$Q$4,RawData[[Error Type ]],$Q$5))</f>
        <v/>
      </c>
    </row>
    <row r="9213" spans="15:15" x14ac:dyDescent="0.25">
      <c r="O9213" s="20" t="str">
        <f>IF(N9213="","",COUNTIFS(RawData[[Date ]],N9213,RawData[Month List],$Q$6,RawData[Tour/Site],$Q$2,RawData[[Picker ID ]],$Q$3,RawData[Checker ID],$Q$4,RawData[[Error Type ]],$Q$5))</f>
        <v/>
      </c>
    </row>
    <row r="9214" spans="15:15" x14ac:dyDescent="0.25">
      <c r="O9214" s="20" t="str">
        <f>IF(N9214="","",COUNTIFS(RawData[[Date ]],N9214,RawData[Month List],$Q$6,RawData[Tour/Site],$Q$2,RawData[[Picker ID ]],$Q$3,RawData[Checker ID],$Q$4,RawData[[Error Type ]],$Q$5))</f>
        <v/>
      </c>
    </row>
    <row r="9215" spans="15:15" x14ac:dyDescent="0.25">
      <c r="O9215" s="20" t="str">
        <f>IF(N9215="","",COUNTIFS(RawData[[Date ]],N9215,RawData[Month List],$Q$6,RawData[Tour/Site],$Q$2,RawData[[Picker ID ]],$Q$3,RawData[Checker ID],$Q$4,RawData[[Error Type ]],$Q$5))</f>
        <v/>
      </c>
    </row>
    <row r="9216" spans="15:15" x14ac:dyDescent="0.25">
      <c r="O9216" s="20" t="str">
        <f>IF(N9216="","",COUNTIFS(RawData[[Date ]],N9216,RawData[Month List],$Q$6,RawData[Tour/Site],$Q$2,RawData[[Picker ID ]],$Q$3,RawData[Checker ID],$Q$4,RawData[[Error Type ]],$Q$5))</f>
        <v/>
      </c>
    </row>
    <row r="9217" spans="15:15" x14ac:dyDescent="0.25">
      <c r="O9217" s="20" t="str">
        <f>IF(N9217="","",COUNTIFS(RawData[[Date ]],N9217,RawData[Month List],$Q$6,RawData[Tour/Site],$Q$2,RawData[[Picker ID ]],$Q$3,RawData[Checker ID],$Q$4,RawData[[Error Type ]],$Q$5))</f>
        <v/>
      </c>
    </row>
    <row r="9218" spans="15:15" x14ac:dyDescent="0.25">
      <c r="O9218" s="20" t="str">
        <f>IF(N9218="","",COUNTIFS(RawData[[Date ]],N9218,RawData[Month List],$Q$6,RawData[Tour/Site],$Q$2,RawData[[Picker ID ]],$Q$3,RawData[Checker ID],$Q$4,RawData[[Error Type ]],$Q$5))</f>
        <v/>
      </c>
    </row>
    <row r="9219" spans="15:15" x14ac:dyDescent="0.25">
      <c r="O9219" s="20" t="str">
        <f>IF(N9219="","",COUNTIFS(RawData[[Date ]],N9219,RawData[Month List],$Q$6,RawData[Tour/Site],$Q$2,RawData[[Picker ID ]],$Q$3,RawData[Checker ID],$Q$4,RawData[[Error Type ]],$Q$5))</f>
        <v/>
      </c>
    </row>
    <row r="9220" spans="15:15" x14ac:dyDescent="0.25">
      <c r="O9220" s="20" t="str">
        <f>IF(N9220="","",COUNTIFS(RawData[[Date ]],N9220,RawData[Month List],$Q$6,RawData[Tour/Site],$Q$2,RawData[[Picker ID ]],$Q$3,RawData[Checker ID],$Q$4,RawData[[Error Type ]],$Q$5))</f>
        <v/>
      </c>
    </row>
    <row r="9221" spans="15:15" x14ac:dyDescent="0.25">
      <c r="O9221" s="20" t="str">
        <f>IF(N9221="","",COUNTIFS(RawData[[Date ]],N9221,RawData[Month List],$Q$6,RawData[Tour/Site],$Q$2,RawData[[Picker ID ]],$Q$3,RawData[Checker ID],$Q$4,RawData[[Error Type ]],$Q$5))</f>
        <v/>
      </c>
    </row>
    <row r="9222" spans="15:15" x14ac:dyDescent="0.25">
      <c r="O9222" s="20" t="str">
        <f>IF(N9222="","",COUNTIFS(RawData[[Date ]],N9222,RawData[Month List],$Q$6,RawData[Tour/Site],$Q$2,RawData[[Picker ID ]],$Q$3,RawData[Checker ID],$Q$4,RawData[[Error Type ]],$Q$5))</f>
        <v/>
      </c>
    </row>
    <row r="9223" spans="15:15" x14ac:dyDescent="0.25">
      <c r="O9223" s="20" t="str">
        <f>IF(N9223="","",COUNTIFS(RawData[[Date ]],N9223,RawData[Month List],$Q$6,RawData[Tour/Site],$Q$2,RawData[[Picker ID ]],$Q$3,RawData[Checker ID],$Q$4,RawData[[Error Type ]],$Q$5))</f>
        <v/>
      </c>
    </row>
    <row r="9224" spans="15:15" x14ac:dyDescent="0.25">
      <c r="O9224" s="20" t="str">
        <f>IF(N9224="","",COUNTIFS(RawData[[Date ]],N9224,RawData[Month List],$Q$6,RawData[Tour/Site],$Q$2,RawData[[Picker ID ]],$Q$3,RawData[Checker ID],$Q$4,RawData[[Error Type ]],$Q$5))</f>
        <v/>
      </c>
    </row>
    <row r="9225" spans="15:15" x14ac:dyDescent="0.25">
      <c r="O9225" s="20" t="str">
        <f>IF(N9225="","",COUNTIFS(RawData[[Date ]],N9225,RawData[Month List],$Q$6,RawData[Tour/Site],$Q$2,RawData[[Picker ID ]],$Q$3,RawData[Checker ID],$Q$4,RawData[[Error Type ]],$Q$5))</f>
        <v/>
      </c>
    </row>
    <row r="9226" spans="15:15" x14ac:dyDescent="0.25">
      <c r="O9226" s="20" t="str">
        <f>IF(N9226="","",COUNTIFS(RawData[[Date ]],N9226,RawData[Month List],$Q$6,RawData[Tour/Site],$Q$2,RawData[[Picker ID ]],$Q$3,RawData[Checker ID],$Q$4,RawData[[Error Type ]],$Q$5))</f>
        <v/>
      </c>
    </row>
    <row r="9227" spans="15:15" x14ac:dyDescent="0.25">
      <c r="O9227" s="20" t="str">
        <f>IF(N9227="","",COUNTIFS(RawData[[Date ]],N9227,RawData[Month List],$Q$6,RawData[Tour/Site],$Q$2,RawData[[Picker ID ]],$Q$3,RawData[Checker ID],$Q$4,RawData[[Error Type ]],$Q$5))</f>
        <v/>
      </c>
    </row>
    <row r="9228" spans="15:15" x14ac:dyDescent="0.25">
      <c r="O9228" s="20" t="str">
        <f>IF(N9228="","",COUNTIFS(RawData[[Date ]],N9228,RawData[Month List],$Q$6,RawData[Tour/Site],$Q$2,RawData[[Picker ID ]],$Q$3,RawData[Checker ID],$Q$4,RawData[[Error Type ]],$Q$5))</f>
        <v/>
      </c>
    </row>
    <row r="9229" spans="15:15" x14ac:dyDescent="0.25">
      <c r="O9229" s="20" t="str">
        <f>IF(N9229="","",COUNTIFS(RawData[[Date ]],N9229,RawData[Month List],$Q$6,RawData[Tour/Site],$Q$2,RawData[[Picker ID ]],$Q$3,RawData[Checker ID],$Q$4,RawData[[Error Type ]],$Q$5))</f>
        <v/>
      </c>
    </row>
    <row r="9230" spans="15:15" x14ac:dyDescent="0.25">
      <c r="O9230" s="20" t="str">
        <f>IF(N9230="","",COUNTIFS(RawData[[Date ]],N9230,RawData[Month List],$Q$6,RawData[Tour/Site],$Q$2,RawData[[Picker ID ]],$Q$3,RawData[Checker ID],$Q$4,RawData[[Error Type ]],$Q$5))</f>
        <v/>
      </c>
    </row>
    <row r="9231" spans="15:15" x14ac:dyDescent="0.25">
      <c r="O9231" s="20" t="str">
        <f>IF(N9231="","",COUNTIFS(RawData[[Date ]],N9231,RawData[Month List],$Q$6,RawData[Tour/Site],$Q$2,RawData[[Picker ID ]],$Q$3,RawData[Checker ID],$Q$4,RawData[[Error Type ]],$Q$5))</f>
        <v/>
      </c>
    </row>
    <row r="9232" spans="15:15" x14ac:dyDescent="0.25">
      <c r="O9232" s="20" t="str">
        <f>IF(N9232="","",COUNTIFS(RawData[[Date ]],N9232,RawData[Month List],$Q$6,RawData[Tour/Site],$Q$2,RawData[[Picker ID ]],$Q$3,RawData[Checker ID],$Q$4,RawData[[Error Type ]],$Q$5))</f>
        <v/>
      </c>
    </row>
    <row r="9233" spans="15:15" x14ac:dyDescent="0.25">
      <c r="O9233" s="20" t="str">
        <f>IF(N9233="","",COUNTIFS(RawData[[Date ]],N9233,RawData[Month List],$Q$6,RawData[Tour/Site],$Q$2,RawData[[Picker ID ]],$Q$3,RawData[Checker ID],$Q$4,RawData[[Error Type ]],$Q$5))</f>
        <v/>
      </c>
    </row>
    <row r="9234" spans="15:15" x14ac:dyDescent="0.25">
      <c r="O9234" s="20" t="str">
        <f>IF(N9234="","",COUNTIFS(RawData[[Date ]],N9234,RawData[Month List],$Q$6,RawData[Tour/Site],$Q$2,RawData[[Picker ID ]],$Q$3,RawData[Checker ID],$Q$4,RawData[[Error Type ]],$Q$5))</f>
        <v/>
      </c>
    </row>
    <row r="9235" spans="15:15" x14ac:dyDescent="0.25">
      <c r="O9235" s="20" t="str">
        <f>IF(N9235="","",COUNTIFS(RawData[[Date ]],N9235,RawData[Month List],$Q$6,RawData[Tour/Site],$Q$2,RawData[[Picker ID ]],$Q$3,RawData[Checker ID],$Q$4,RawData[[Error Type ]],$Q$5))</f>
        <v/>
      </c>
    </row>
    <row r="9236" spans="15:15" x14ac:dyDescent="0.25">
      <c r="O9236" s="20" t="str">
        <f>IF(N9236="","",COUNTIFS(RawData[[Date ]],N9236,RawData[Month List],$Q$6,RawData[Tour/Site],$Q$2,RawData[[Picker ID ]],$Q$3,RawData[Checker ID],$Q$4,RawData[[Error Type ]],$Q$5))</f>
        <v/>
      </c>
    </row>
    <row r="9237" spans="15:15" x14ac:dyDescent="0.25">
      <c r="O9237" s="20" t="str">
        <f>IF(N9237="","",COUNTIFS(RawData[[Date ]],N9237,RawData[Month List],$Q$6,RawData[Tour/Site],$Q$2,RawData[[Picker ID ]],$Q$3,RawData[Checker ID],$Q$4,RawData[[Error Type ]],$Q$5))</f>
        <v/>
      </c>
    </row>
    <row r="9238" spans="15:15" x14ac:dyDescent="0.25">
      <c r="O9238" s="20" t="str">
        <f>IF(N9238="","",COUNTIFS(RawData[[Date ]],N9238,RawData[Month List],$Q$6,RawData[Tour/Site],$Q$2,RawData[[Picker ID ]],$Q$3,RawData[Checker ID],$Q$4,RawData[[Error Type ]],$Q$5))</f>
        <v/>
      </c>
    </row>
    <row r="9239" spans="15:15" x14ac:dyDescent="0.25">
      <c r="O9239" s="20" t="str">
        <f>IF(N9239="","",COUNTIFS(RawData[[Date ]],N9239,RawData[Month List],$Q$6,RawData[Tour/Site],$Q$2,RawData[[Picker ID ]],$Q$3,RawData[Checker ID],$Q$4,RawData[[Error Type ]],$Q$5))</f>
        <v/>
      </c>
    </row>
    <row r="9240" spans="15:15" x14ac:dyDescent="0.25">
      <c r="O9240" s="20" t="str">
        <f>IF(N9240="","",COUNTIFS(RawData[[Date ]],N9240,RawData[Month List],$Q$6,RawData[Tour/Site],$Q$2,RawData[[Picker ID ]],$Q$3,RawData[Checker ID],$Q$4,RawData[[Error Type ]],$Q$5))</f>
        <v/>
      </c>
    </row>
    <row r="9241" spans="15:15" x14ac:dyDescent="0.25">
      <c r="O9241" s="20" t="str">
        <f>IF(N9241="","",COUNTIFS(RawData[[Date ]],N9241,RawData[Month List],$Q$6,RawData[Tour/Site],$Q$2,RawData[[Picker ID ]],$Q$3,RawData[Checker ID],$Q$4,RawData[[Error Type ]],$Q$5))</f>
        <v/>
      </c>
    </row>
    <row r="9242" spans="15:15" x14ac:dyDescent="0.25">
      <c r="O9242" s="20" t="str">
        <f>IF(N9242="","",COUNTIFS(RawData[[Date ]],N9242,RawData[Month List],$Q$6,RawData[Tour/Site],$Q$2,RawData[[Picker ID ]],$Q$3,RawData[Checker ID],$Q$4,RawData[[Error Type ]],$Q$5))</f>
        <v/>
      </c>
    </row>
    <row r="9243" spans="15:15" x14ac:dyDescent="0.25">
      <c r="O9243" s="20" t="str">
        <f>IF(N9243="","",COUNTIFS(RawData[[Date ]],N9243,RawData[Month List],$Q$6,RawData[Tour/Site],$Q$2,RawData[[Picker ID ]],$Q$3,RawData[Checker ID],$Q$4,RawData[[Error Type ]],$Q$5))</f>
        <v/>
      </c>
    </row>
    <row r="9244" spans="15:15" x14ac:dyDescent="0.25">
      <c r="O9244" s="20" t="str">
        <f>IF(N9244="","",COUNTIFS(RawData[[Date ]],N9244,RawData[Month List],$Q$6,RawData[Tour/Site],$Q$2,RawData[[Picker ID ]],$Q$3,RawData[Checker ID],$Q$4,RawData[[Error Type ]],$Q$5))</f>
        <v/>
      </c>
    </row>
    <row r="9245" spans="15:15" x14ac:dyDescent="0.25">
      <c r="O9245" s="20" t="str">
        <f>IF(N9245="","",COUNTIFS(RawData[[Date ]],N9245,RawData[Month List],$Q$6,RawData[Tour/Site],$Q$2,RawData[[Picker ID ]],$Q$3,RawData[Checker ID],$Q$4,RawData[[Error Type ]],$Q$5))</f>
        <v/>
      </c>
    </row>
    <row r="9246" spans="15:15" x14ac:dyDescent="0.25">
      <c r="O9246" s="20" t="str">
        <f>IF(N9246="","",COUNTIFS(RawData[[Date ]],N9246,RawData[Month List],$Q$6,RawData[Tour/Site],$Q$2,RawData[[Picker ID ]],$Q$3,RawData[Checker ID],$Q$4,RawData[[Error Type ]],$Q$5))</f>
        <v/>
      </c>
    </row>
    <row r="9247" spans="15:15" x14ac:dyDescent="0.25">
      <c r="O9247" s="20" t="str">
        <f>IF(N9247="","",COUNTIFS(RawData[[Date ]],N9247,RawData[Month List],$Q$6,RawData[Tour/Site],$Q$2,RawData[[Picker ID ]],$Q$3,RawData[Checker ID],$Q$4,RawData[[Error Type ]],$Q$5))</f>
        <v/>
      </c>
    </row>
    <row r="9248" spans="15:15" x14ac:dyDescent="0.25">
      <c r="O9248" s="20" t="str">
        <f>IF(N9248="","",COUNTIFS(RawData[[Date ]],N9248,RawData[Month List],$Q$6,RawData[Tour/Site],$Q$2,RawData[[Picker ID ]],$Q$3,RawData[Checker ID],$Q$4,RawData[[Error Type ]],$Q$5))</f>
        <v/>
      </c>
    </row>
    <row r="9249" spans="15:15" x14ac:dyDescent="0.25">
      <c r="O9249" s="20" t="str">
        <f>IF(N9249="","",COUNTIFS(RawData[[Date ]],N9249,RawData[Month List],$Q$6,RawData[Tour/Site],$Q$2,RawData[[Picker ID ]],$Q$3,RawData[Checker ID],$Q$4,RawData[[Error Type ]],$Q$5))</f>
        <v/>
      </c>
    </row>
    <row r="9250" spans="15:15" x14ac:dyDescent="0.25">
      <c r="O9250" s="20" t="str">
        <f>IF(N9250="","",COUNTIFS(RawData[[Date ]],N9250,RawData[Month List],$Q$6,RawData[Tour/Site],$Q$2,RawData[[Picker ID ]],$Q$3,RawData[Checker ID],$Q$4,RawData[[Error Type ]],$Q$5))</f>
        <v/>
      </c>
    </row>
    <row r="9251" spans="15:15" x14ac:dyDescent="0.25">
      <c r="O9251" s="20" t="str">
        <f>IF(N9251="","",COUNTIFS(RawData[[Date ]],N9251,RawData[Month List],$Q$6,RawData[Tour/Site],$Q$2,RawData[[Picker ID ]],$Q$3,RawData[Checker ID],$Q$4,RawData[[Error Type ]],$Q$5))</f>
        <v/>
      </c>
    </row>
    <row r="9252" spans="15:15" x14ac:dyDescent="0.25">
      <c r="O9252" s="20" t="str">
        <f>IF(N9252="","",COUNTIFS(RawData[[Date ]],N9252,RawData[Month List],$Q$6,RawData[Tour/Site],$Q$2,RawData[[Picker ID ]],$Q$3,RawData[Checker ID],$Q$4,RawData[[Error Type ]],$Q$5))</f>
        <v/>
      </c>
    </row>
    <row r="9253" spans="15:15" x14ac:dyDescent="0.25">
      <c r="O9253" s="20" t="str">
        <f>IF(N9253="","",COUNTIFS(RawData[[Date ]],N9253,RawData[Month List],$Q$6,RawData[Tour/Site],$Q$2,RawData[[Picker ID ]],$Q$3,RawData[Checker ID],$Q$4,RawData[[Error Type ]],$Q$5))</f>
        <v/>
      </c>
    </row>
    <row r="9254" spans="15:15" x14ac:dyDescent="0.25">
      <c r="O9254" s="20" t="str">
        <f>IF(N9254="","",COUNTIFS(RawData[[Date ]],N9254,RawData[Month List],$Q$6,RawData[Tour/Site],$Q$2,RawData[[Picker ID ]],$Q$3,RawData[Checker ID],$Q$4,RawData[[Error Type ]],$Q$5))</f>
        <v/>
      </c>
    </row>
    <row r="9255" spans="15:15" x14ac:dyDescent="0.25">
      <c r="O9255" s="20" t="str">
        <f>IF(N9255="","",COUNTIFS(RawData[[Date ]],N9255,RawData[Month List],$Q$6,RawData[Tour/Site],$Q$2,RawData[[Picker ID ]],$Q$3,RawData[Checker ID],$Q$4,RawData[[Error Type ]],$Q$5))</f>
        <v/>
      </c>
    </row>
    <row r="9256" spans="15:15" x14ac:dyDescent="0.25">
      <c r="O9256" s="20" t="str">
        <f>IF(N9256="","",COUNTIFS(RawData[[Date ]],N9256,RawData[Month List],$Q$6,RawData[Tour/Site],$Q$2,RawData[[Picker ID ]],$Q$3,RawData[Checker ID],$Q$4,RawData[[Error Type ]],$Q$5))</f>
        <v/>
      </c>
    </row>
    <row r="9257" spans="15:15" x14ac:dyDescent="0.25">
      <c r="O9257" s="20" t="str">
        <f>IF(N9257="","",COUNTIFS(RawData[[Date ]],N9257,RawData[Month List],$Q$6,RawData[Tour/Site],$Q$2,RawData[[Picker ID ]],$Q$3,RawData[Checker ID],$Q$4,RawData[[Error Type ]],$Q$5))</f>
        <v/>
      </c>
    </row>
    <row r="9258" spans="15:15" x14ac:dyDescent="0.25">
      <c r="O9258" s="20" t="str">
        <f>IF(N9258="","",COUNTIFS(RawData[[Date ]],N9258,RawData[Month List],$Q$6,RawData[Tour/Site],$Q$2,RawData[[Picker ID ]],$Q$3,RawData[Checker ID],$Q$4,RawData[[Error Type ]],$Q$5))</f>
        <v/>
      </c>
    </row>
    <row r="9259" spans="15:15" x14ac:dyDescent="0.25">
      <c r="O9259" s="20" t="str">
        <f>IF(N9259="","",COUNTIFS(RawData[[Date ]],N9259,RawData[Month List],$Q$6,RawData[Tour/Site],$Q$2,RawData[[Picker ID ]],$Q$3,RawData[Checker ID],$Q$4,RawData[[Error Type ]],$Q$5))</f>
        <v/>
      </c>
    </row>
    <row r="9260" spans="15:15" x14ac:dyDescent="0.25">
      <c r="O9260" s="20" t="str">
        <f>IF(N9260="","",COUNTIFS(RawData[[Date ]],N9260,RawData[Month List],$Q$6,RawData[Tour/Site],$Q$2,RawData[[Picker ID ]],$Q$3,RawData[Checker ID],$Q$4,RawData[[Error Type ]],$Q$5))</f>
        <v/>
      </c>
    </row>
    <row r="9261" spans="15:15" x14ac:dyDescent="0.25">
      <c r="O9261" s="20" t="str">
        <f>IF(N9261="","",COUNTIFS(RawData[[Date ]],N9261,RawData[Month List],$Q$6,RawData[Tour/Site],$Q$2,RawData[[Picker ID ]],$Q$3,RawData[Checker ID],$Q$4,RawData[[Error Type ]],$Q$5))</f>
        <v/>
      </c>
    </row>
    <row r="9262" spans="15:15" x14ac:dyDescent="0.25">
      <c r="O9262" s="20" t="str">
        <f>IF(N9262="","",COUNTIFS(RawData[[Date ]],N9262,RawData[Month List],$Q$6,RawData[Tour/Site],$Q$2,RawData[[Picker ID ]],$Q$3,RawData[Checker ID],$Q$4,RawData[[Error Type ]],$Q$5))</f>
        <v/>
      </c>
    </row>
    <row r="9263" spans="15:15" x14ac:dyDescent="0.25">
      <c r="O9263" s="20" t="str">
        <f>IF(N9263="","",COUNTIFS(RawData[[Date ]],N9263,RawData[Month List],$Q$6,RawData[Tour/Site],$Q$2,RawData[[Picker ID ]],$Q$3,RawData[Checker ID],$Q$4,RawData[[Error Type ]],$Q$5))</f>
        <v/>
      </c>
    </row>
    <row r="9264" spans="15:15" x14ac:dyDescent="0.25">
      <c r="O9264" s="20" t="str">
        <f>IF(N9264="","",COUNTIFS(RawData[[Date ]],N9264,RawData[Month List],$Q$6,RawData[Tour/Site],$Q$2,RawData[[Picker ID ]],$Q$3,RawData[Checker ID],$Q$4,RawData[[Error Type ]],$Q$5))</f>
        <v/>
      </c>
    </row>
    <row r="9265" spans="15:15" x14ac:dyDescent="0.25">
      <c r="O9265" s="20" t="str">
        <f>IF(N9265="","",COUNTIFS(RawData[[Date ]],N9265,RawData[Month List],$Q$6,RawData[Tour/Site],$Q$2,RawData[[Picker ID ]],$Q$3,RawData[Checker ID],$Q$4,RawData[[Error Type ]],$Q$5))</f>
        <v/>
      </c>
    </row>
    <row r="9266" spans="15:15" x14ac:dyDescent="0.25">
      <c r="O9266" s="20" t="str">
        <f>IF(N9266="","",COUNTIFS(RawData[[Date ]],N9266,RawData[Month List],$Q$6,RawData[Tour/Site],$Q$2,RawData[[Picker ID ]],$Q$3,RawData[Checker ID],$Q$4,RawData[[Error Type ]],$Q$5))</f>
        <v/>
      </c>
    </row>
    <row r="9267" spans="15:15" x14ac:dyDescent="0.25">
      <c r="O9267" s="20" t="str">
        <f>IF(N9267="","",COUNTIFS(RawData[[Date ]],N9267,RawData[Month List],$Q$6,RawData[Tour/Site],$Q$2,RawData[[Picker ID ]],$Q$3,RawData[Checker ID],$Q$4,RawData[[Error Type ]],$Q$5))</f>
        <v/>
      </c>
    </row>
    <row r="9268" spans="15:15" x14ac:dyDescent="0.25">
      <c r="O9268" s="20" t="str">
        <f>IF(N9268="","",COUNTIFS(RawData[[Date ]],N9268,RawData[Month List],$Q$6,RawData[Tour/Site],$Q$2,RawData[[Picker ID ]],$Q$3,RawData[Checker ID],$Q$4,RawData[[Error Type ]],$Q$5))</f>
        <v/>
      </c>
    </row>
    <row r="9269" spans="15:15" x14ac:dyDescent="0.25">
      <c r="O9269" s="20" t="str">
        <f>IF(N9269="","",COUNTIFS(RawData[[Date ]],N9269,RawData[Month List],$Q$6,RawData[Tour/Site],$Q$2,RawData[[Picker ID ]],$Q$3,RawData[Checker ID],$Q$4,RawData[[Error Type ]],$Q$5))</f>
        <v/>
      </c>
    </row>
    <row r="9270" spans="15:15" x14ac:dyDescent="0.25">
      <c r="O9270" s="20" t="str">
        <f>IF(N9270="","",COUNTIFS(RawData[[Date ]],N9270,RawData[Month List],$Q$6,RawData[Tour/Site],$Q$2,RawData[[Picker ID ]],$Q$3,RawData[Checker ID],$Q$4,RawData[[Error Type ]],$Q$5))</f>
        <v/>
      </c>
    </row>
    <row r="9271" spans="15:15" x14ac:dyDescent="0.25">
      <c r="O9271" s="20" t="str">
        <f>IF(N9271="","",COUNTIFS(RawData[[Date ]],N9271,RawData[Month List],$Q$6,RawData[Tour/Site],$Q$2,RawData[[Picker ID ]],$Q$3,RawData[Checker ID],$Q$4,RawData[[Error Type ]],$Q$5))</f>
        <v/>
      </c>
    </row>
    <row r="9272" spans="15:15" x14ac:dyDescent="0.25">
      <c r="O9272" s="20" t="str">
        <f>IF(N9272="","",COUNTIFS(RawData[[Date ]],N9272,RawData[Month List],$Q$6,RawData[Tour/Site],$Q$2,RawData[[Picker ID ]],$Q$3,RawData[Checker ID],$Q$4,RawData[[Error Type ]],$Q$5))</f>
        <v/>
      </c>
    </row>
    <row r="9273" spans="15:15" x14ac:dyDescent="0.25">
      <c r="O9273" s="20" t="str">
        <f>IF(N9273="","",COUNTIFS(RawData[[Date ]],N9273,RawData[Month List],$Q$6,RawData[Tour/Site],$Q$2,RawData[[Picker ID ]],$Q$3,RawData[Checker ID],$Q$4,RawData[[Error Type ]],$Q$5))</f>
        <v/>
      </c>
    </row>
    <row r="9274" spans="15:15" x14ac:dyDescent="0.25">
      <c r="O9274" s="20" t="str">
        <f>IF(N9274="","",COUNTIFS(RawData[[Date ]],N9274,RawData[Month List],$Q$6,RawData[Tour/Site],$Q$2,RawData[[Picker ID ]],$Q$3,RawData[Checker ID],$Q$4,RawData[[Error Type ]],$Q$5))</f>
        <v/>
      </c>
    </row>
    <row r="9275" spans="15:15" x14ac:dyDescent="0.25">
      <c r="O9275" s="20" t="str">
        <f>IF(N9275="","",COUNTIFS(RawData[[Date ]],N9275,RawData[Month List],$Q$6,RawData[Tour/Site],$Q$2,RawData[[Picker ID ]],$Q$3,RawData[Checker ID],$Q$4,RawData[[Error Type ]],$Q$5))</f>
        <v/>
      </c>
    </row>
    <row r="9276" spans="15:15" x14ac:dyDescent="0.25">
      <c r="O9276" s="20" t="str">
        <f>IF(N9276="","",COUNTIFS(RawData[[Date ]],N9276,RawData[Month List],$Q$6,RawData[Tour/Site],$Q$2,RawData[[Picker ID ]],$Q$3,RawData[Checker ID],$Q$4,RawData[[Error Type ]],$Q$5))</f>
        <v/>
      </c>
    </row>
    <row r="9277" spans="15:15" x14ac:dyDescent="0.25">
      <c r="O9277" s="20" t="str">
        <f>IF(N9277="","",COUNTIFS(RawData[[Date ]],N9277,RawData[Month List],$Q$6,RawData[Tour/Site],$Q$2,RawData[[Picker ID ]],$Q$3,RawData[Checker ID],$Q$4,RawData[[Error Type ]],$Q$5))</f>
        <v/>
      </c>
    </row>
    <row r="9278" spans="15:15" x14ac:dyDescent="0.25">
      <c r="O9278" s="20" t="str">
        <f>IF(N9278="","",COUNTIFS(RawData[[Date ]],N9278,RawData[Month List],$Q$6,RawData[Tour/Site],$Q$2,RawData[[Picker ID ]],$Q$3,RawData[Checker ID],$Q$4,RawData[[Error Type ]],$Q$5))</f>
        <v/>
      </c>
    </row>
    <row r="9279" spans="15:15" x14ac:dyDescent="0.25">
      <c r="O9279" s="20" t="str">
        <f>IF(N9279="","",COUNTIFS(RawData[[Date ]],N9279,RawData[Month List],$Q$6,RawData[Tour/Site],$Q$2,RawData[[Picker ID ]],$Q$3,RawData[Checker ID],$Q$4,RawData[[Error Type ]],$Q$5))</f>
        <v/>
      </c>
    </row>
    <row r="9280" spans="15:15" x14ac:dyDescent="0.25">
      <c r="O9280" s="20" t="str">
        <f>IF(N9280="","",COUNTIFS(RawData[[Date ]],N9280,RawData[Month List],$Q$6,RawData[Tour/Site],$Q$2,RawData[[Picker ID ]],$Q$3,RawData[Checker ID],$Q$4,RawData[[Error Type ]],$Q$5))</f>
        <v/>
      </c>
    </row>
    <row r="9281" spans="15:15" x14ac:dyDescent="0.25">
      <c r="O9281" s="20" t="str">
        <f>IF(N9281="","",COUNTIFS(RawData[[Date ]],N9281,RawData[Month List],$Q$6,RawData[Tour/Site],$Q$2,RawData[[Picker ID ]],$Q$3,RawData[Checker ID],$Q$4,RawData[[Error Type ]],$Q$5))</f>
        <v/>
      </c>
    </row>
    <row r="9282" spans="15:15" x14ac:dyDescent="0.25">
      <c r="O9282" s="20" t="str">
        <f>IF(N9282="","",COUNTIFS(RawData[[Date ]],N9282,RawData[Month List],$Q$6,RawData[Tour/Site],$Q$2,RawData[[Picker ID ]],$Q$3,RawData[Checker ID],$Q$4,RawData[[Error Type ]],$Q$5))</f>
        <v/>
      </c>
    </row>
    <row r="9283" spans="15:15" x14ac:dyDescent="0.25">
      <c r="O9283" s="20" t="str">
        <f>IF(N9283="","",COUNTIFS(RawData[[Date ]],N9283,RawData[Month List],$Q$6,RawData[Tour/Site],$Q$2,RawData[[Picker ID ]],$Q$3,RawData[Checker ID],$Q$4,RawData[[Error Type ]],$Q$5))</f>
        <v/>
      </c>
    </row>
    <row r="9284" spans="15:15" x14ac:dyDescent="0.25">
      <c r="O9284" s="20" t="str">
        <f>IF(N9284="","",COUNTIFS(RawData[[Date ]],N9284,RawData[Month List],$Q$6,RawData[Tour/Site],$Q$2,RawData[[Picker ID ]],$Q$3,RawData[Checker ID],$Q$4,RawData[[Error Type ]],$Q$5))</f>
        <v/>
      </c>
    </row>
    <row r="9285" spans="15:15" x14ac:dyDescent="0.25">
      <c r="O9285" s="20" t="str">
        <f>IF(N9285="","",COUNTIFS(RawData[[Date ]],N9285,RawData[Month List],$Q$6,RawData[Tour/Site],$Q$2,RawData[[Picker ID ]],$Q$3,RawData[Checker ID],$Q$4,RawData[[Error Type ]],$Q$5))</f>
        <v/>
      </c>
    </row>
    <row r="9286" spans="15:15" x14ac:dyDescent="0.25">
      <c r="O9286" s="20" t="str">
        <f>IF(N9286="","",COUNTIFS(RawData[[Date ]],N9286,RawData[Month List],$Q$6,RawData[Tour/Site],$Q$2,RawData[[Picker ID ]],$Q$3,RawData[Checker ID],$Q$4,RawData[[Error Type ]],$Q$5))</f>
        <v/>
      </c>
    </row>
    <row r="9287" spans="15:15" x14ac:dyDescent="0.25">
      <c r="O9287" s="20" t="str">
        <f>IF(N9287="","",COUNTIFS(RawData[[Date ]],N9287,RawData[Month List],$Q$6,RawData[Tour/Site],$Q$2,RawData[[Picker ID ]],$Q$3,RawData[Checker ID],$Q$4,RawData[[Error Type ]],$Q$5))</f>
        <v/>
      </c>
    </row>
    <row r="9288" spans="15:15" x14ac:dyDescent="0.25">
      <c r="O9288" s="20" t="str">
        <f>IF(N9288="","",COUNTIFS(RawData[[Date ]],N9288,RawData[Month List],$Q$6,RawData[Tour/Site],$Q$2,RawData[[Picker ID ]],$Q$3,RawData[Checker ID],$Q$4,RawData[[Error Type ]],$Q$5))</f>
        <v/>
      </c>
    </row>
    <row r="9289" spans="15:15" x14ac:dyDescent="0.25">
      <c r="O9289" s="20" t="str">
        <f>IF(N9289="","",COUNTIFS(RawData[[Date ]],N9289,RawData[Month List],$Q$6,RawData[Tour/Site],$Q$2,RawData[[Picker ID ]],$Q$3,RawData[Checker ID],$Q$4,RawData[[Error Type ]],$Q$5))</f>
        <v/>
      </c>
    </row>
    <row r="9290" spans="15:15" x14ac:dyDescent="0.25">
      <c r="O9290" s="20" t="str">
        <f>IF(N9290="","",COUNTIFS(RawData[[Date ]],N9290,RawData[Month List],$Q$6,RawData[Tour/Site],$Q$2,RawData[[Picker ID ]],$Q$3,RawData[Checker ID],$Q$4,RawData[[Error Type ]],$Q$5))</f>
        <v/>
      </c>
    </row>
    <row r="9291" spans="15:15" x14ac:dyDescent="0.25">
      <c r="O9291" s="20" t="str">
        <f>IF(N9291="","",COUNTIFS(RawData[[Date ]],N9291,RawData[Month List],$Q$6,RawData[Tour/Site],$Q$2,RawData[[Picker ID ]],$Q$3,RawData[Checker ID],$Q$4,RawData[[Error Type ]],$Q$5))</f>
        <v/>
      </c>
    </row>
    <row r="9292" spans="15:15" x14ac:dyDescent="0.25">
      <c r="O9292" s="20" t="str">
        <f>IF(N9292="","",COUNTIFS(RawData[[Date ]],N9292,RawData[Month List],$Q$6,RawData[Tour/Site],$Q$2,RawData[[Picker ID ]],$Q$3,RawData[Checker ID],$Q$4,RawData[[Error Type ]],$Q$5))</f>
        <v/>
      </c>
    </row>
    <row r="9293" spans="15:15" x14ac:dyDescent="0.25">
      <c r="O9293" s="20" t="str">
        <f>IF(N9293="","",COUNTIFS(RawData[[Date ]],N9293,RawData[Month List],$Q$6,RawData[Tour/Site],$Q$2,RawData[[Picker ID ]],$Q$3,RawData[Checker ID],$Q$4,RawData[[Error Type ]],$Q$5))</f>
        <v/>
      </c>
    </row>
    <row r="9294" spans="15:15" x14ac:dyDescent="0.25">
      <c r="O9294" s="20" t="str">
        <f>IF(N9294="","",COUNTIFS(RawData[[Date ]],N9294,RawData[Month List],$Q$6,RawData[Tour/Site],$Q$2,RawData[[Picker ID ]],$Q$3,RawData[Checker ID],$Q$4,RawData[[Error Type ]],$Q$5))</f>
        <v/>
      </c>
    </row>
    <row r="9295" spans="15:15" x14ac:dyDescent="0.25">
      <c r="O9295" s="20" t="str">
        <f>IF(N9295="","",COUNTIFS(RawData[[Date ]],N9295,RawData[Month List],$Q$6,RawData[Tour/Site],$Q$2,RawData[[Picker ID ]],$Q$3,RawData[Checker ID],$Q$4,RawData[[Error Type ]],$Q$5))</f>
        <v/>
      </c>
    </row>
    <row r="9296" spans="15:15" x14ac:dyDescent="0.25">
      <c r="O9296" s="20" t="str">
        <f>IF(N9296="","",COUNTIFS(RawData[[Date ]],N9296,RawData[Month List],$Q$6,RawData[Tour/Site],$Q$2,RawData[[Picker ID ]],$Q$3,RawData[Checker ID],$Q$4,RawData[[Error Type ]],$Q$5))</f>
        <v/>
      </c>
    </row>
    <row r="9297" spans="15:15" x14ac:dyDescent="0.25">
      <c r="O9297" s="20" t="str">
        <f>IF(N9297="","",COUNTIFS(RawData[[Date ]],N9297,RawData[Month List],$Q$6,RawData[Tour/Site],$Q$2,RawData[[Picker ID ]],$Q$3,RawData[Checker ID],$Q$4,RawData[[Error Type ]],$Q$5))</f>
        <v/>
      </c>
    </row>
    <row r="9298" spans="15:15" x14ac:dyDescent="0.25">
      <c r="O9298" s="20" t="str">
        <f>IF(N9298="","",COUNTIFS(RawData[[Date ]],N9298,RawData[Month List],$Q$6,RawData[Tour/Site],$Q$2,RawData[[Picker ID ]],$Q$3,RawData[Checker ID],$Q$4,RawData[[Error Type ]],$Q$5))</f>
        <v/>
      </c>
    </row>
    <row r="9299" spans="15:15" x14ac:dyDescent="0.25">
      <c r="O9299" s="20" t="str">
        <f>IF(N9299="","",COUNTIFS(RawData[[Date ]],N9299,RawData[Month List],$Q$6,RawData[Tour/Site],$Q$2,RawData[[Picker ID ]],$Q$3,RawData[Checker ID],$Q$4,RawData[[Error Type ]],$Q$5))</f>
        <v/>
      </c>
    </row>
    <row r="9300" spans="15:15" x14ac:dyDescent="0.25">
      <c r="O9300" s="20" t="str">
        <f>IF(N9300="","",COUNTIFS(RawData[[Date ]],N9300,RawData[Month List],$Q$6,RawData[Tour/Site],$Q$2,RawData[[Picker ID ]],$Q$3,RawData[Checker ID],$Q$4,RawData[[Error Type ]],$Q$5))</f>
        <v/>
      </c>
    </row>
    <row r="9301" spans="15:15" x14ac:dyDescent="0.25">
      <c r="O9301" s="20" t="str">
        <f>IF(N9301="","",COUNTIFS(RawData[[Date ]],N9301,RawData[Month List],$Q$6,RawData[Tour/Site],$Q$2,RawData[[Picker ID ]],$Q$3,RawData[Checker ID],$Q$4,RawData[[Error Type ]],$Q$5))</f>
        <v/>
      </c>
    </row>
    <row r="9302" spans="15:15" x14ac:dyDescent="0.25">
      <c r="O9302" s="20" t="str">
        <f>IF(N9302="","",COUNTIFS(RawData[[Date ]],N9302,RawData[Month List],$Q$6,RawData[Tour/Site],$Q$2,RawData[[Picker ID ]],$Q$3,RawData[Checker ID],$Q$4,RawData[[Error Type ]],$Q$5))</f>
        <v/>
      </c>
    </row>
    <row r="9303" spans="15:15" x14ac:dyDescent="0.25">
      <c r="O9303" s="20" t="str">
        <f>IF(N9303="","",COUNTIFS(RawData[[Date ]],N9303,RawData[Month List],$Q$6,RawData[Tour/Site],$Q$2,RawData[[Picker ID ]],$Q$3,RawData[Checker ID],$Q$4,RawData[[Error Type ]],$Q$5))</f>
        <v/>
      </c>
    </row>
    <row r="9304" spans="15:15" x14ac:dyDescent="0.25">
      <c r="O9304" s="20" t="str">
        <f>IF(N9304="","",COUNTIFS(RawData[[Date ]],N9304,RawData[Month List],$Q$6,RawData[Tour/Site],$Q$2,RawData[[Picker ID ]],$Q$3,RawData[Checker ID],$Q$4,RawData[[Error Type ]],$Q$5))</f>
        <v/>
      </c>
    </row>
    <row r="9305" spans="15:15" x14ac:dyDescent="0.25">
      <c r="O9305" s="20" t="str">
        <f>IF(N9305="","",COUNTIFS(RawData[[Date ]],N9305,RawData[Month List],$Q$6,RawData[Tour/Site],$Q$2,RawData[[Picker ID ]],$Q$3,RawData[Checker ID],$Q$4,RawData[[Error Type ]],$Q$5))</f>
        <v/>
      </c>
    </row>
    <row r="9306" spans="15:15" x14ac:dyDescent="0.25">
      <c r="O9306" s="20" t="str">
        <f>IF(N9306="","",COUNTIFS(RawData[[Date ]],N9306,RawData[Month List],$Q$6,RawData[Tour/Site],$Q$2,RawData[[Picker ID ]],$Q$3,RawData[Checker ID],$Q$4,RawData[[Error Type ]],$Q$5))</f>
        <v/>
      </c>
    </row>
    <row r="9307" spans="15:15" x14ac:dyDescent="0.25">
      <c r="O9307" s="20" t="str">
        <f>IF(N9307="","",COUNTIFS(RawData[[Date ]],N9307,RawData[Month List],$Q$6,RawData[Tour/Site],$Q$2,RawData[[Picker ID ]],$Q$3,RawData[Checker ID],$Q$4,RawData[[Error Type ]],$Q$5))</f>
        <v/>
      </c>
    </row>
    <row r="9308" spans="15:15" x14ac:dyDescent="0.25">
      <c r="O9308" s="20" t="str">
        <f>IF(N9308="","",COUNTIFS(RawData[[Date ]],N9308,RawData[Month List],$Q$6,RawData[Tour/Site],$Q$2,RawData[[Picker ID ]],$Q$3,RawData[Checker ID],$Q$4,RawData[[Error Type ]],$Q$5))</f>
        <v/>
      </c>
    </row>
    <row r="9309" spans="15:15" x14ac:dyDescent="0.25">
      <c r="O9309" s="20" t="str">
        <f>IF(N9309="","",COUNTIFS(RawData[[Date ]],N9309,RawData[Month List],$Q$6,RawData[Tour/Site],$Q$2,RawData[[Picker ID ]],$Q$3,RawData[Checker ID],$Q$4,RawData[[Error Type ]],$Q$5))</f>
        <v/>
      </c>
    </row>
    <row r="9310" spans="15:15" x14ac:dyDescent="0.25">
      <c r="O9310" s="20" t="str">
        <f>IF(N9310="","",COUNTIFS(RawData[[Date ]],N9310,RawData[Month List],$Q$6,RawData[Tour/Site],$Q$2,RawData[[Picker ID ]],$Q$3,RawData[Checker ID],$Q$4,RawData[[Error Type ]],$Q$5))</f>
        <v/>
      </c>
    </row>
    <row r="9311" spans="15:15" x14ac:dyDescent="0.25">
      <c r="O9311" s="20" t="str">
        <f>IF(N9311="","",COUNTIFS(RawData[[Date ]],N9311,RawData[Month List],$Q$6,RawData[Tour/Site],$Q$2,RawData[[Picker ID ]],$Q$3,RawData[Checker ID],$Q$4,RawData[[Error Type ]],$Q$5))</f>
        <v/>
      </c>
    </row>
    <row r="9312" spans="15:15" x14ac:dyDescent="0.25">
      <c r="O9312" s="20" t="str">
        <f>IF(N9312="","",COUNTIFS(RawData[[Date ]],N9312,RawData[Month List],$Q$6,RawData[Tour/Site],$Q$2,RawData[[Picker ID ]],$Q$3,RawData[Checker ID],$Q$4,RawData[[Error Type ]],$Q$5))</f>
        <v/>
      </c>
    </row>
    <row r="9313" spans="15:15" x14ac:dyDescent="0.25">
      <c r="O9313" s="20" t="str">
        <f>IF(N9313="","",COUNTIFS(RawData[[Date ]],N9313,RawData[Month List],$Q$6,RawData[Tour/Site],$Q$2,RawData[[Picker ID ]],$Q$3,RawData[Checker ID],$Q$4,RawData[[Error Type ]],$Q$5))</f>
        <v/>
      </c>
    </row>
    <row r="9314" spans="15:15" x14ac:dyDescent="0.25">
      <c r="O9314" s="20" t="str">
        <f>IF(N9314="","",COUNTIFS(RawData[[Date ]],N9314,RawData[Month List],$Q$6,RawData[Tour/Site],$Q$2,RawData[[Picker ID ]],$Q$3,RawData[Checker ID],$Q$4,RawData[[Error Type ]],$Q$5))</f>
        <v/>
      </c>
    </row>
    <row r="9315" spans="15:15" x14ac:dyDescent="0.25">
      <c r="O9315" s="20" t="str">
        <f>IF(N9315="","",COUNTIFS(RawData[[Date ]],N9315,RawData[Month List],$Q$6,RawData[Tour/Site],$Q$2,RawData[[Picker ID ]],$Q$3,RawData[Checker ID],$Q$4,RawData[[Error Type ]],$Q$5))</f>
        <v/>
      </c>
    </row>
    <row r="9316" spans="15:15" x14ac:dyDescent="0.25">
      <c r="O9316" s="20" t="str">
        <f>IF(N9316="","",COUNTIFS(RawData[[Date ]],N9316,RawData[Month List],$Q$6,RawData[Tour/Site],$Q$2,RawData[[Picker ID ]],$Q$3,RawData[Checker ID],$Q$4,RawData[[Error Type ]],$Q$5))</f>
        <v/>
      </c>
    </row>
    <row r="9317" spans="15:15" x14ac:dyDescent="0.25">
      <c r="O9317" s="20" t="str">
        <f>IF(N9317="","",COUNTIFS(RawData[[Date ]],N9317,RawData[Month List],$Q$6,RawData[Tour/Site],$Q$2,RawData[[Picker ID ]],$Q$3,RawData[Checker ID],$Q$4,RawData[[Error Type ]],$Q$5))</f>
        <v/>
      </c>
    </row>
    <row r="9318" spans="15:15" x14ac:dyDescent="0.25">
      <c r="O9318" s="20" t="str">
        <f>IF(N9318="","",COUNTIFS(RawData[[Date ]],N9318,RawData[Month List],$Q$6,RawData[Tour/Site],$Q$2,RawData[[Picker ID ]],$Q$3,RawData[Checker ID],$Q$4,RawData[[Error Type ]],$Q$5))</f>
        <v/>
      </c>
    </row>
    <row r="9319" spans="15:15" x14ac:dyDescent="0.25">
      <c r="O9319" s="20" t="str">
        <f>IF(N9319="","",COUNTIFS(RawData[[Date ]],N9319,RawData[Month List],$Q$6,RawData[Tour/Site],$Q$2,RawData[[Picker ID ]],$Q$3,RawData[Checker ID],$Q$4,RawData[[Error Type ]],$Q$5))</f>
        <v/>
      </c>
    </row>
    <row r="9320" spans="15:15" x14ac:dyDescent="0.25">
      <c r="O9320" s="20" t="str">
        <f>IF(N9320="","",COUNTIFS(RawData[[Date ]],N9320,RawData[Month List],$Q$6,RawData[Tour/Site],$Q$2,RawData[[Picker ID ]],$Q$3,RawData[Checker ID],$Q$4,RawData[[Error Type ]],$Q$5))</f>
        <v/>
      </c>
    </row>
    <row r="9321" spans="15:15" x14ac:dyDescent="0.25">
      <c r="O9321" s="20" t="str">
        <f>IF(N9321="","",COUNTIFS(RawData[[Date ]],N9321,RawData[Month List],$Q$6,RawData[Tour/Site],$Q$2,RawData[[Picker ID ]],$Q$3,RawData[Checker ID],$Q$4,RawData[[Error Type ]],$Q$5))</f>
        <v/>
      </c>
    </row>
    <row r="9322" spans="15:15" x14ac:dyDescent="0.25">
      <c r="O9322" s="20" t="str">
        <f>IF(N9322="","",COUNTIFS(RawData[[Date ]],N9322,RawData[Month List],$Q$6,RawData[Tour/Site],$Q$2,RawData[[Picker ID ]],$Q$3,RawData[Checker ID],$Q$4,RawData[[Error Type ]],$Q$5))</f>
        <v/>
      </c>
    </row>
    <row r="9323" spans="15:15" x14ac:dyDescent="0.25">
      <c r="O9323" s="20" t="str">
        <f>IF(N9323="","",COUNTIFS(RawData[[Date ]],N9323,RawData[Month List],$Q$6,RawData[Tour/Site],$Q$2,RawData[[Picker ID ]],$Q$3,RawData[Checker ID],$Q$4,RawData[[Error Type ]],$Q$5))</f>
        <v/>
      </c>
    </row>
    <row r="9324" spans="15:15" x14ac:dyDescent="0.25">
      <c r="O9324" s="20" t="str">
        <f>IF(N9324="","",COUNTIFS(RawData[[Date ]],N9324,RawData[Month List],$Q$6,RawData[Tour/Site],$Q$2,RawData[[Picker ID ]],$Q$3,RawData[Checker ID],$Q$4,RawData[[Error Type ]],$Q$5))</f>
        <v/>
      </c>
    </row>
    <row r="9325" spans="15:15" x14ac:dyDescent="0.25">
      <c r="O9325" s="20" t="str">
        <f>IF(N9325="","",COUNTIFS(RawData[[Date ]],N9325,RawData[Month List],$Q$6,RawData[Tour/Site],$Q$2,RawData[[Picker ID ]],$Q$3,RawData[Checker ID],$Q$4,RawData[[Error Type ]],$Q$5))</f>
        <v/>
      </c>
    </row>
    <row r="9326" spans="15:15" x14ac:dyDescent="0.25">
      <c r="O9326" s="20" t="str">
        <f>IF(N9326="","",COUNTIFS(RawData[[Date ]],N9326,RawData[Month List],$Q$6,RawData[Tour/Site],$Q$2,RawData[[Picker ID ]],$Q$3,RawData[Checker ID],$Q$4,RawData[[Error Type ]],$Q$5))</f>
        <v/>
      </c>
    </row>
    <row r="9327" spans="15:15" x14ac:dyDescent="0.25">
      <c r="O9327" s="20" t="str">
        <f>IF(N9327="","",COUNTIFS(RawData[[Date ]],N9327,RawData[Month List],$Q$6,RawData[Tour/Site],$Q$2,RawData[[Picker ID ]],$Q$3,RawData[Checker ID],$Q$4,RawData[[Error Type ]],$Q$5))</f>
        <v/>
      </c>
    </row>
    <row r="9328" spans="15:15" x14ac:dyDescent="0.25">
      <c r="O9328" s="20" t="str">
        <f>IF(N9328="","",COUNTIFS(RawData[[Date ]],N9328,RawData[Month List],$Q$6,RawData[Tour/Site],$Q$2,RawData[[Picker ID ]],$Q$3,RawData[Checker ID],$Q$4,RawData[[Error Type ]],$Q$5))</f>
        <v/>
      </c>
    </row>
    <row r="9329" spans="15:15" x14ac:dyDescent="0.25">
      <c r="O9329" s="20" t="str">
        <f>IF(N9329="","",COUNTIFS(RawData[[Date ]],N9329,RawData[Month List],$Q$6,RawData[Tour/Site],$Q$2,RawData[[Picker ID ]],$Q$3,RawData[Checker ID],$Q$4,RawData[[Error Type ]],$Q$5))</f>
        <v/>
      </c>
    </row>
    <row r="9330" spans="15:15" x14ac:dyDescent="0.25">
      <c r="O9330" s="20" t="str">
        <f>IF(N9330="","",COUNTIFS(RawData[[Date ]],N9330,RawData[Month List],$Q$6,RawData[Tour/Site],$Q$2,RawData[[Picker ID ]],$Q$3,RawData[Checker ID],$Q$4,RawData[[Error Type ]],$Q$5))</f>
        <v/>
      </c>
    </row>
    <row r="9331" spans="15:15" x14ac:dyDescent="0.25">
      <c r="O9331" s="20" t="str">
        <f>IF(N9331="","",COUNTIFS(RawData[[Date ]],N9331,RawData[Month List],$Q$6,RawData[Tour/Site],$Q$2,RawData[[Picker ID ]],$Q$3,RawData[Checker ID],$Q$4,RawData[[Error Type ]],$Q$5))</f>
        <v/>
      </c>
    </row>
    <row r="9332" spans="15:15" x14ac:dyDescent="0.25">
      <c r="O9332" s="20" t="str">
        <f>IF(N9332="","",COUNTIFS(RawData[[Date ]],N9332,RawData[Month List],$Q$6,RawData[Tour/Site],$Q$2,RawData[[Picker ID ]],$Q$3,RawData[Checker ID],$Q$4,RawData[[Error Type ]],$Q$5))</f>
        <v/>
      </c>
    </row>
    <row r="9333" spans="15:15" x14ac:dyDescent="0.25">
      <c r="O9333" s="20" t="str">
        <f>IF(N9333="","",COUNTIFS(RawData[[Date ]],N9333,RawData[Month List],$Q$6,RawData[Tour/Site],$Q$2,RawData[[Picker ID ]],$Q$3,RawData[Checker ID],$Q$4,RawData[[Error Type ]],$Q$5))</f>
        <v/>
      </c>
    </row>
    <row r="9334" spans="15:15" x14ac:dyDescent="0.25">
      <c r="O9334" s="20" t="str">
        <f>IF(N9334="","",COUNTIFS(RawData[[Date ]],N9334,RawData[Month List],$Q$6,RawData[Tour/Site],$Q$2,RawData[[Picker ID ]],$Q$3,RawData[Checker ID],$Q$4,RawData[[Error Type ]],$Q$5))</f>
        <v/>
      </c>
    </row>
    <row r="9335" spans="15:15" x14ac:dyDescent="0.25">
      <c r="O9335" s="20" t="str">
        <f>IF(N9335="","",COUNTIFS(RawData[[Date ]],N9335,RawData[Month List],$Q$6,RawData[Tour/Site],$Q$2,RawData[[Picker ID ]],$Q$3,RawData[Checker ID],$Q$4,RawData[[Error Type ]],$Q$5))</f>
        <v/>
      </c>
    </row>
    <row r="9336" spans="15:15" x14ac:dyDescent="0.25">
      <c r="O9336" s="20" t="str">
        <f>IF(N9336="","",COUNTIFS(RawData[[Date ]],N9336,RawData[Month List],$Q$6,RawData[Tour/Site],$Q$2,RawData[[Picker ID ]],$Q$3,RawData[Checker ID],$Q$4,RawData[[Error Type ]],$Q$5))</f>
        <v/>
      </c>
    </row>
    <row r="9337" spans="15:15" x14ac:dyDescent="0.25">
      <c r="O9337" s="20" t="str">
        <f>IF(N9337="","",COUNTIFS(RawData[[Date ]],N9337,RawData[Month List],$Q$6,RawData[Tour/Site],$Q$2,RawData[[Picker ID ]],$Q$3,RawData[Checker ID],$Q$4,RawData[[Error Type ]],$Q$5))</f>
        <v/>
      </c>
    </row>
    <row r="9338" spans="15:15" x14ac:dyDescent="0.25">
      <c r="O9338" s="20" t="str">
        <f>IF(N9338="","",COUNTIFS(RawData[[Date ]],N9338,RawData[Month List],$Q$6,RawData[Tour/Site],$Q$2,RawData[[Picker ID ]],$Q$3,RawData[Checker ID],$Q$4,RawData[[Error Type ]],$Q$5))</f>
        <v/>
      </c>
    </row>
    <row r="9339" spans="15:15" x14ac:dyDescent="0.25">
      <c r="O9339" s="20" t="str">
        <f>IF(N9339="","",COUNTIFS(RawData[[Date ]],N9339,RawData[Month List],$Q$6,RawData[Tour/Site],$Q$2,RawData[[Picker ID ]],$Q$3,RawData[Checker ID],$Q$4,RawData[[Error Type ]],$Q$5))</f>
        <v/>
      </c>
    </row>
    <row r="9340" spans="15:15" x14ac:dyDescent="0.25">
      <c r="O9340" s="20" t="str">
        <f>IF(N9340="","",COUNTIFS(RawData[[Date ]],N9340,RawData[Month List],$Q$6,RawData[Tour/Site],$Q$2,RawData[[Picker ID ]],$Q$3,RawData[Checker ID],$Q$4,RawData[[Error Type ]],$Q$5))</f>
        <v/>
      </c>
    </row>
    <row r="9341" spans="15:15" x14ac:dyDescent="0.25">
      <c r="O9341" s="20" t="str">
        <f>IF(N9341="","",COUNTIFS(RawData[[Date ]],N9341,RawData[Month List],$Q$6,RawData[Tour/Site],$Q$2,RawData[[Picker ID ]],$Q$3,RawData[Checker ID],$Q$4,RawData[[Error Type ]],$Q$5))</f>
        <v/>
      </c>
    </row>
    <row r="9342" spans="15:15" x14ac:dyDescent="0.25">
      <c r="O9342" s="20" t="str">
        <f>IF(N9342="","",COUNTIFS(RawData[[Date ]],N9342,RawData[Month List],$Q$6,RawData[Tour/Site],$Q$2,RawData[[Picker ID ]],$Q$3,RawData[Checker ID],$Q$4,RawData[[Error Type ]],$Q$5))</f>
        <v/>
      </c>
    </row>
    <row r="9343" spans="15:15" x14ac:dyDescent="0.25">
      <c r="O9343" s="20" t="str">
        <f>IF(N9343="","",COUNTIFS(RawData[[Date ]],N9343,RawData[Month List],$Q$6,RawData[Tour/Site],$Q$2,RawData[[Picker ID ]],$Q$3,RawData[Checker ID],$Q$4,RawData[[Error Type ]],$Q$5))</f>
        <v/>
      </c>
    </row>
    <row r="9344" spans="15:15" x14ac:dyDescent="0.25">
      <c r="O9344" s="20" t="str">
        <f>IF(N9344="","",COUNTIFS(RawData[[Date ]],N9344,RawData[Month List],$Q$6,RawData[Tour/Site],$Q$2,RawData[[Picker ID ]],$Q$3,RawData[Checker ID],$Q$4,RawData[[Error Type ]],$Q$5))</f>
        <v/>
      </c>
    </row>
    <row r="9345" spans="15:15" x14ac:dyDescent="0.25">
      <c r="O9345" s="20" t="str">
        <f>IF(N9345="","",COUNTIFS(RawData[[Date ]],N9345,RawData[Month List],$Q$6,RawData[Tour/Site],$Q$2,RawData[[Picker ID ]],$Q$3,RawData[Checker ID],$Q$4,RawData[[Error Type ]],$Q$5))</f>
        <v/>
      </c>
    </row>
    <row r="9346" spans="15:15" x14ac:dyDescent="0.25">
      <c r="O9346" s="20" t="str">
        <f>IF(N9346="","",COUNTIFS(RawData[[Date ]],N9346,RawData[Month List],$Q$6,RawData[Tour/Site],$Q$2,RawData[[Picker ID ]],$Q$3,RawData[Checker ID],$Q$4,RawData[[Error Type ]],$Q$5))</f>
        <v/>
      </c>
    </row>
    <row r="9347" spans="15:15" x14ac:dyDescent="0.25">
      <c r="O9347" s="20" t="str">
        <f>IF(N9347="","",COUNTIFS(RawData[[Date ]],N9347,RawData[Month List],$Q$6,RawData[Tour/Site],$Q$2,RawData[[Picker ID ]],$Q$3,RawData[Checker ID],$Q$4,RawData[[Error Type ]],$Q$5))</f>
        <v/>
      </c>
    </row>
    <row r="9348" spans="15:15" x14ac:dyDescent="0.25">
      <c r="O9348" s="20" t="str">
        <f>IF(N9348="","",COUNTIFS(RawData[[Date ]],N9348,RawData[Month List],$Q$6,RawData[Tour/Site],$Q$2,RawData[[Picker ID ]],$Q$3,RawData[Checker ID],$Q$4,RawData[[Error Type ]],$Q$5))</f>
        <v/>
      </c>
    </row>
    <row r="9349" spans="15:15" x14ac:dyDescent="0.25">
      <c r="O9349" s="20" t="str">
        <f>IF(N9349="","",COUNTIFS(RawData[[Date ]],N9349,RawData[Month List],$Q$6,RawData[Tour/Site],$Q$2,RawData[[Picker ID ]],$Q$3,RawData[Checker ID],$Q$4,RawData[[Error Type ]],$Q$5))</f>
        <v/>
      </c>
    </row>
    <row r="9350" spans="15:15" x14ac:dyDescent="0.25">
      <c r="O9350" s="20" t="str">
        <f>IF(N9350="","",COUNTIFS(RawData[[Date ]],N9350,RawData[Month List],$Q$6,RawData[Tour/Site],$Q$2,RawData[[Picker ID ]],$Q$3,RawData[Checker ID],$Q$4,RawData[[Error Type ]],$Q$5))</f>
        <v/>
      </c>
    </row>
    <row r="9351" spans="15:15" x14ac:dyDescent="0.25">
      <c r="O9351" s="20" t="str">
        <f>IF(N9351="","",COUNTIFS(RawData[[Date ]],N9351,RawData[Month List],$Q$6,RawData[Tour/Site],$Q$2,RawData[[Picker ID ]],$Q$3,RawData[Checker ID],$Q$4,RawData[[Error Type ]],$Q$5))</f>
        <v/>
      </c>
    </row>
    <row r="9352" spans="15:15" x14ac:dyDescent="0.25">
      <c r="O9352" s="20" t="str">
        <f>IF(N9352="","",COUNTIFS(RawData[[Date ]],N9352,RawData[Month List],$Q$6,RawData[Tour/Site],$Q$2,RawData[[Picker ID ]],$Q$3,RawData[Checker ID],$Q$4,RawData[[Error Type ]],$Q$5))</f>
        <v/>
      </c>
    </row>
    <row r="9353" spans="15:15" x14ac:dyDescent="0.25">
      <c r="O9353" s="20" t="str">
        <f>IF(N9353="","",COUNTIFS(RawData[[Date ]],N9353,RawData[Month List],$Q$6,RawData[Tour/Site],$Q$2,RawData[[Picker ID ]],$Q$3,RawData[Checker ID],$Q$4,RawData[[Error Type ]],$Q$5))</f>
        <v/>
      </c>
    </row>
    <row r="9354" spans="15:15" x14ac:dyDescent="0.25">
      <c r="O9354" s="20" t="str">
        <f>IF(N9354="","",COUNTIFS(RawData[[Date ]],N9354,RawData[Month List],$Q$6,RawData[Tour/Site],$Q$2,RawData[[Picker ID ]],$Q$3,RawData[Checker ID],$Q$4,RawData[[Error Type ]],$Q$5))</f>
        <v/>
      </c>
    </row>
    <row r="9355" spans="15:15" x14ac:dyDescent="0.25">
      <c r="O9355" s="20" t="str">
        <f>IF(N9355="","",COUNTIFS(RawData[[Date ]],N9355,RawData[Month List],$Q$6,RawData[Tour/Site],$Q$2,RawData[[Picker ID ]],$Q$3,RawData[Checker ID],$Q$4,RawData[[Error Type ]],$Q$5))</f>
        <v/>
      </c>
    </row>
    <row r="9356" spans="15:15" x14ac:dyDescent="0.25">
      <c r="O9356" s="20" t="str">
        <f>IF(N9356="","",COUNTIFS(RawData[[Date ]],N9356,RawData[Month List],$Q$6,RawData[Tour/Site],$Q$2,RawData[[Picker ID ]],$Q$3,RawData[Checker ID],$Q$4,RawData[[Error Type ]],$Q$5))</f>
        <v/>
      </c>
    </row>
    <row r="9357" spans="15:15" x14ac:dyDescent="0.25">
      <c r="O9357" s="20" t="str">
        <f>IF(N9357="","",COUNTIFS(RawData[[Date ]],N9357,RawData[Month List],$Q$6,RawData[Tour/Site],$Q$2,RawData[[Picker ID ]],$Q$3,RawData[Checker ID],$Q$4,RawData[[Error Type ]],$Q$5))</f>
        <v/>
      </c>
    </row>
    <row r="9358" spans="15:15" x14ac:dyDescent="0.25">
      <c r="O9358" s="20" t="str">
        <f>IF(N9358="","",COUNTIFS(RawData[[Date ]],N9358,RawData[Month List],$Q$6,RawData[Tour/Site],$Q$2,RawData[[Picker ID ]],$Q$3,RawData[Checker ID],$Q$4,RawData[[Error Type ]],$Q$5))</f>
        <v/>
      </c>
    </row>
    <row r="9359" spans="15:15" x14ac:dyDescent="0.25">
      <c r="O9359" s="20" t="str">
        <f>IF(N9359="","",COUNTIFS(RawData[[Date ]],N9359,RawData[Month List],$Q$6,RawData[Tour/Site],$Q$2,RawData[[Picker ID ]],$Q$3,RawData[Checker ID],$Q$4,RawData[[Error Type ]],$Q$5))</f>
        <v/>
      </c>
    </row>
    <row r="9360" spans="15:15" x14ac:dyDescent="0.25">
      <c r="O9360" s="20" t="str">
        <f>IF(N9360="","",COUNTIFS(RawData[[Date ]],N9360,RawData[Month List],$Q$6,RawData[Tour/Site],$Q$2,RawData[[Picker ID ]],$Q$3,RawData[Checker ID],$Q$4,RawData[[Error Type ]],$Q$5))</f>
        <v/>
      </c>
    </row>
    <row r="9361" spans="15:15" x14ac:dyDescent="0.25">
      <c r="O9361" s="20" t="str">
        <f>IF(N9361="","",COUNTIFS(RawData[[Date ]],N9361,RawData[Month List],$Q$6,RawData[Tour/Site],$Q$2,RawData[[Picker ID ]],$Q$3,RawData[Checker ID],$Q$4,RawData[[Error Type ]],$Q$5))</f>
        <v/>
      </c>
    </row>
    <row r="9362" spans="15:15" x14ac:dyDescent="0.25">
      <c r="O9362" s="20" t="str">
        <f>IF(N9362="","",COUNTIFS(RawData[[Date ]],N9362,RawData[Month List],$Q$6,RawData[Tour/Site],$Q$2,RawData[[Picker ID ]],$Q$3,RawData[Checker ID],$Q$4,RawData[[Error Type ]],$Q$5))</f>
        <v/>
      </c>
    </row>
    <row r="9363" spans="15:15" x14ac:dyDescent="0.25">
      <c r="O9363" s="20" t="str">
        <f>IF(N9363="","",COUNTIFS(RawData[[Date ]],N9363,RawData[Month List],$Q$6,RawData[Tour/Site],$Q$2,RawData[[Picker ID ]],$Q$3,RawData[Checker ID],$Q$4,RawData[[Error Type ]],$Q$5))</f>
        <v/>
      </c>
    </row>
    <row r="9364" spans="15:15" x14ac:dyDescent="0.25">
      <c r="O9364" s="20" t="str">
        <f>IF(N9364="","",COUNTIFS(RawData[[Date ]],N9364,RawData[Month List],$Q$6,RawData[Tour/Site],$Q$2,RawData[[Picker ID ]],$Q$3,RawData[Checker ID],$Q$4,RawData[[Error Type ]],$Q$5))</f>
        <v/>
      </c>
    </row>
    <row r="9365" spans="15:15" x14ac:dyDescent="0.25">
      <c r="O9365" s="20" t="str">
        <f>IF(N9365="","",COUNTIFS(RawData[[Date ]],N9365,RawData[Month List],$Q$6,RawData[Tour/Site],$Q$2,RawData[[Picker ID ]],$Q$3,RawData[Checker ID],$Q$4,RawData[[Error Type ]],$Q$5))</f>
        <v/>
      </c>
    </row>
    <row r="9366" spans="15:15" x14ac:dyDescent="0.25">
      <c r="O9366" s="20" t="str">
        <f>IF(N9366="","",COUNTIFS(RawData[[Date ]],N9366,RawData[Month List],$Q$6,RawData[Tour/Site],$Q$2,RawData[[Picker ID ]],$Q$3,RawData[Checker ID],$Q$4,RawData[[Error Type ]],$Q$5))</f>
        <v/>
      </c>
    </row>
    <row r="9367" spans="15:15" x14ac:dyDescent="0.25">
      <c r="O9367" s="20" t="str">
        <f>IF(N9367="","",COUNTIFS(RawData[[Date ]],N9367,RawData[Month List],$Q$6,RawData[Tour/Site],$Q$2,RawData[[Picker ID ]],$Q$3,RawData[Checker ID],$Q$4,RawData[[Error Type ]],$Q$5))</f>
        <v/>
      </c>
    </row>
    <row r="9368" spans="15:15" x14ac:dyDescent="0.25">
      <c r="O9368" s="20" t="str">
        <f>IF(N9368="","",COUNTIFS(RawData[[Date ]],N9368,RawData[Month List],$Q$6,RawData[Tour/Site],$Q$2,RawData[[Picker ID ]],$Q$3,RawData[Checker ID],$Q$4,RawData[[Error Type ]],$Q$5))</f>
        <v/>
      </c>
    </row>
    <row r="9369" spans="15:15" x14ac:dyDescent="0.25">
      <c r="O9369" s="20" t="str">
        <f>IF(N9369="","",COUNTIFS(RawData[[Date ]],N9369,RawData[Month List],$Q$6,RawData[Tour/Site],$Q$2,RawData[[Picker ID ]],$Q$3,RawData[Checker ID],$Q$4,RawData[[Error Type ]],$Q$5))</f>
        <v/>
      </c>
    </row>
    <row r="9370" spans="15:15" x14ac:dyDescent="0.25">
      <c r="O9370" s="20" t="str">
        <f>IF(N9370="","",COUNTIFS(RawData[[Date ]],N9370,RawData[Month List],$Q$6,RawData[Tour/Site],$Q$2,RawData[[Picker ID ]],$Q$3,RawData[Checker ID],$Q$4,RawData[[Error Type ]],$Q$5))</f>
        <v/>
      </c>
    </row>
    <row r="9371" spans="15:15" x14ac:dyDescent="0.25">
      <c r="O9371" s="20" t="str">
        <f>IF(N9371="","",COUNTIFS(RawData[[Date ]],N9371,RawData[Month List],$Q$6,RawData[Tour/Site],$Q$2,RawData[[Picker ID ]],$Q$3,RawData[Checker ID],$Q$4,RawData[[Error Type ]],$Q$5))</f>
        <v/>
      </c>
    </row>
    <row r="9372" spans="15:15" x14ac:dyDescent="0.25">
      <c r="O9372" s="20" t="str">
        <f>IF(N9372="","",COUNTIFS(RawData[[Date ]],N9372,RawData[Month List],$Q$6,RawData[Tour/Site],$Q$2,RawData[[Picker ID ]],$Q$3,RawData[Checker ID],$Q$4,RawData[[Error Type ]],$Q$5))</f>
        <v/>
      </c>
    </row>
    <row r="9373" spans="15:15" x14ac:dyDescent="0.25">
      <c r="O9373" s="20" t="str">
        <f>IF(N9373="","",COUNTIFS(RawData[[Date ]],N9373,RawData[Month List],$Q$6,RawData[Tour/Site],$Q$2,RawData[[Picker ID ]],$Q$3,RawData[Checker ID],$Q$4,RawData[[Error Type ]],$Q$5))</f>
        <v/>
      </c>
    </row>
    <row r="9374" spans="15:15" x14ac:dyDescent="0.25">
      <c r="O9374" s="20" t="str">
        <f>IF(N9374="","",COUNTIFS(RawData[[Date ]],N9374,RawData[Month List],$Q$6,RawData[Tour/Site],$Q$2,RawData[[Picker ID ]],$Q$3,RawData[Checker ID],$Q$4,RawData[[Error Type ]],$Q$5))</f>
        <v/>
      </c>
    </row>
    <row r="9375" spans="15:15" x14ac:dyDescent="0.25">
      <c r="O9375" s="20" t="str">
        <f>IF(N9375="","",COUNTIFS(RawData[[Date ]],N9375,RawData[Month List],$Q$6,RawData[Tour/Site],$Q$2,RawData[[Picker ID ]],$Q$3,RawData[Checker ID],$Q$4,RawData[[Error Type ]],$Q$5))</f>
        <v/>
      </c>
    </row>
    <row r="9376" spans="15:15" x14ac:dyDescent="0.25">
      <c r="O9376" s="20" t="str">
        <f>IF(N9376="","",COUNTIFS(RawData[[Date ]],N9376,RawData[Month List],$Q$6,RawData[Tour/Site],$Q$2,RawData[[Picker ID ]],$Q$3,RawData[Checker ID],$Q$4,RawData[[Error Type ]],$Q$5))</f>
        <v/>
      </c>
    </row>
    <row r="9377" spans="15:15" x14ac:dyDescent="0.25">
      <c r="O9377" s="20" t="str">
        <f>IF(N9377="","",COUNTIFS(RawData[[Date ]],N9377,RawData[Month List],$Q$6,RawData[Tour/Site],$Q$2,RawData[[Picker ID ]],$Q$3,RawData[Checker ID],$Q$4,RawData[[Error Type ]],$Q$5))</f>
        <v/>
      </c>
    </row>
    <row r="9378" spans="15:15" x14ac:dyDescent="0.25">
      <c r="O9378" s="20" t="str">
        <f>IF(N9378="","",COUNTIFS(RawData[[Date ]],N9378,RawData[Month List],$Q$6,RawData[Tour/Site],$Q$2,RawData[[Picker ID ]],$Q$3,RawData[Checker ID],$Q$4,RawData[[Error Type ]],$Q$5))</f>
        <v/>
      </c>
    </row>
    <row r="9379" spans="15:15" x14ac:dyDescent="0.25">
      <c r="O9379" s="20" t="str">
        <f>IF(N9379="","",COUNTIFS(RawData[[Date ]],N9379,RawData[Month List],$Q$6,RawData[Tour/Site],$Q$2,RawData[[Picker ID ]],$Q$3,RawData[Checker ID],$Q$4,RawData[[Error Type ]],$Q$5))</f>
        <v/>
      </c>
    </row>
    <row r="9380" spans="15:15" x14ac:dyDescent="0.25">
      <c r="O9380" s="20" t="str">
        <f>IF(N9380="","",COUNTIFS(RawData[[Date ]],N9380,RawData[Month List],$Q$6,RawData[Tour/Site],$Q$2,RawData[[Picker ID ]],$Q$3,RawData[Checker ID],$Q$4,RawData[[Error Type ]],$Q$5))</f>
        <v/>
      </c>
    </row>
    <row r="9381" spans="15:15" x14ac:dyDescent="0.25">
      <c r="O9381" s="20" t="str">
        <f>IF(N9381="","",COUNTIFS(RawData[[Date ]],N9381,RawData[Month List],$Q$6,RawData[Tour/Site],$Q$2,RawData[[Picker ID ]],$Q$3,RawData[Checker ID],$Q$4,RawData[[Error Type ]],$Q$5))</f>
        <v/>
      </c>
    </row>
    <row r="9382" spans="15:15" x14ac:dyDescent="0.25">
      <c r="O9382" s="20" t="str">
        <f>IF(N9382="","",COUNTIFS(RawData[[Date ]],N9382,RawData[Month List],$Q$6,RawData[Tour/Site],$Q$2,RawData[[Picker ID ]],$Q$3,RawData[Checker ID],$Q$4,RawData[[Error Type ]],$Q$5))</f>
        <v/>
      </c>
    </row>
    <row r="9383" spans="15:15" x14ac:dyDescent="0.25">
      <c r="O9383" s="20" t="str">
        <f>IF(N9383="","",COUNTIFS(RawData[[Date ]],N9383,RawData[Month List],$Q$6,RawData[Tour/Site],$Q$2,RawData[[Picker ID ]],$Q$3,RawData[Checker ID],$Q$4,RawData[[Error Type ]],$Q$5))</f>
        <v/>
      </c>
    </row>
    <row r="9384" spans="15:15" x14ac:dyDescent="0.25">
      <c r="O9384" s="20" t="str">
        <f>IF(N9384="","",COUNTIFS(RawData[[Date ]],N9384,RawData[Month List],$Q$6,RawData[Tour/Site],$Q$2,RawData[[Picker ID ]],$Q$3,RawData[Checker ID],$Q$4,RawData[[Error Type ]],$Q$5))</f>
        <v/>
      </c>
    </row>
    <row r="9385" spans="15:15" x14ac:dyDescent="0.25">
      <c r="O9385" s="20" t="str">
        <f>IF(N9385="","",COUNTIFS(RawData[[Date ]],N9385,RawData[Month List],$Q$6,RawData[Tour/Site],$Q$2,RawData[[Picker ID ]],$Q$3,RawData[Checker ID],$Q$4,RawData[[Error Type ]],$Q$5))</f>
        <v/>
      </c>
    </row>
    <row r="9386" spans="15:15" x14ac:dyDescent="0.25">
      <c r="O9386" s="20" t="str">
        <f>IF(N9386="","",COUNTIFS(RawData[[Date ]],N9386,RawData[Month List],$Q$6,RawData[Tour/Site],$Q$2,RawData[[Picker ID ]],$Q$3,RawData[Checker ID],$Q$4,RawData[[Error Type ]],$Q$5))</f>
        <v/>
      </c>
    </row>
    <row r="9387" spans="15:15" x14ac:dyDescent="0.25">
      <c r="O9387" s="20" t="str">
        <f>IF(N9387="","",COUNTIFS(RawData[[Date ]],N9387,RawData[Month List],$Q$6,RawData[Tour/Site],$Q$2,RawData[[Picker ID ]],$Q$3,RawData[Checker ID],$Q$4,RawData[[Error Type ]],$Q$5))</f>
        <v/>
      </c>
    </row>
    <row r="9388" spans="15:15" x14ac:dyDescent="0.25">
      <c r="O9388" s="20" t="str">
        <f>IF(N9388="","",COUNTIFS(RawData[[Date ]],N9388,RawData[Month List],$Q$6,RawData[Tour/Site],$Q$2,RawData[[Picker ID ]],$Q$3,RawData[Checker ID],$Q$4,RawData[[Error Type ]],$Q$5))</f>
        <v/>
      </c>
    </row>
    <row r="9389" spans="15:15" x14ac:dyDescent="0.25">
      <c r="O9389" s="20" t="str">
        <f>IF(N9389="","",COUNTIFS(RawData[[Date ]],N9389,RawData[Month List],$Q$6,RawData[Tour/Site],$Q$2,RawData[[Picker ID ]],$Q$3,RawData[Checker ID],$Q$4,RawData[[Error Type ]],$Q$5))</f>
        <v/>
      </c>
    </row>
    <row r="9390" spans="15:15" x14ac:dyDescent="0.25">
      <c r="O9390" s="20" t="str">
        <f>IF(N9390="","",COUNTIFS(RawData[[Date ]],N9390,RawData[Month List],$Q$6,RawData[Tour/Site],$Q$2,RawData[[Picker ID ]],$Q$3,RawData[Checker ID],$Q$4,RawData[[Error Type ]],$Q$5))</f>
        <v/>
      </c>
    </row>
    <row r="9391" spans="15:15" x14ac:dyDescent="0.25">
      <c r="O9391" s="20" t="str">
        <f>IF(N9391="","",COUNTIFS(RawData[[Date ]],N9391,RawData[Month List],$Q$6,RawData[Tour/Site],$Q$2,RawData[[Picker ID ]],$Q$3,RawData[Checker ID],$Q$4,RawData[[Error Type ]],$Q$5))</f>
        <v/>
      </c>
    </row>
    <row r="9392" spans="15:15" x14ac:dyDescent="0.25">
      <c r="O9392" s="20" t="str">
        <f>IF(N9392="","",COUNTIFS(RawData[[Date ]],N9392,RawData[Month List],$Q$6,RawData[Tour/Site],$Q$2,RawData[[Picker ID ]],$Q$3,RawData[Checker ID],$Q$4,RawData[[Error Type ]],$Q$5))</f>
        <v/>
      </c>
    </row>
    <row r="9393" spans="15:15" x14ac:dyDescent="0.25">
      <c r="O9393" s="20" t="str">
        <f>IF(N9393="","",COUNTIFS(RawData[[Date ]],N9393,RawData[Month List],$Q$6,RawData[Tour/Site],$Q$2,RawData[[Picker ID ]],$Q$3,RawData[Checker ID],$Q$4,RawData[[Error Type ]],$Q$5))</f>
        <v/>
      </c>
    </row>
    <row r="9394" spans="15:15" x14ac:dyDescent="0.25">
      <c r="O9394" s="20" t="str">
        <f>IF(N9394="","",COUNTIFS(RawData[[Date ]],N9394,RawData[Month List],$Q$6,RawData[Tour/Site],$Q$2,RawData[[Picker ID ]],$Q$3,RawData[Checker ID],$Q$4,RawData[[Error Type ]],$Q$5))</f>
        <v/>
      </c>
    </row>
    <row r="9395" spans="15:15" x14ac:dyDescent="0.25">
      <c r="O9395" s="20" t="str">
        <f>IF(N9395="","",COUNTIFS(RawData[[Date ]],N9395,RawData[Month List],$Q$6,RawData[Tour/Site],$Q$2,RawData[[Picker ID ]],$Q$3,RawData[Checker ID],$Q$4,RawData[[Error Type ]],$Q$5))</f>
        <v/>
      </c>
    </row>
    <row r="9396" spans="15:15" x14ac:dyDescent="0.25">
      <c r="O9396" s="20" t="str">
        <f>IF(N9396="","",COUNTIFS(RawData[[Date ]],N9396,RawData[Month List],$Q$6,RawData[Tour/Site],$Q$2,RawData[[Picker ID ]],$Q$3,RawData[Checker ID],$Q$4,RawData[[Error Type ]],$Q$5))</f>
        <v/>
      </c>
    </row>
    <row r="9397" spans="15:15" x14ac:dyDescent="0.25">
      <c r="O9397" s="20" t="str">
        <f>IF(N9397="","",COUNTIFS(RawData[[Date ]],N9397,RawData[Month List],$Q$6,RawData[Tour/Site],$Q$2,RawData[[Picker ID ]],$Q$3,RawData[Checker ID],$Q$4,RawData[[Error Type ]],$Q$5))</f>
        <v/>
      </c>
    </row>
    <row r="9398" spans="15:15" x14ac:dyDescent="0.25">
      <c r="O9398" s="20" t="str">
        <f>IF(N9398="","",COUNTIFS(RawData[[Date ]],N9398,RawData[Month List],$Q$6,RawData[Tour/Site],$Q$2,RawData[[Picker ID ]],$Q$3,RawData[Checker ID],$Q$4,RawData[[Error Type ]],$Q$5))</f>
        <v/>
      </c>
    </row>
    <row r="9399" spans="15:15" x14ac:dyDescent="0.25">
      <c r="O9399" s="20" t="str">
        <f>IF(N9399="","",COUNTIFS(RawData[[Date ]],N9399,RawData[Month List],$Q$6,RawData[Tour/Site],$Q$2,RawData[[Picker ID ]],$Q$3,RawData[Checker ID],$Q$4,RawData[[Error Type ]],$Q$5))</f>
        <v/>
      </c>
    </row>
    <row r="9400" spans="15:15" x14ac:dyDescent="0.25">
      <c r="O9400" s="20" t="str">
        <f>IF(N9400="","",COUNTIFS(RawData[[Date ]],N9400,RawData[Month List],$Q$6,RawData[Tour/Site],$Q$2,RawData[[Picker ID ]],$Q$3,RawData[Checker ID],$Q$4,RawData[[Error Type ]],$Q$5))</f>
        <v/>
      </c>
    </row>
    <row r="9401" spans="15:15" x14ac:dyDescent="0.25">
      <c r="O9401" s="20" t="str">
        <f>IF(N9401="","",COUNTIFS(RawData[[Date ]],N9401,RawData[Month List],$Q$6,RawData[Tour/Site],$Q$2,RawData[[Picker ID ]],$Q$3,RawData[Checker ID],$Q$4,RawData[[Error Type ]],$Q$5))</f>
        <v/>
      </c>
    </row>
    <row r="9402" spans="15:15" x14ac:dyDescent="0.25">
      <c r="O9402" s="20" t="str">
        <f>IF(N9402="","",COUNTIFS(RawData[[Date ]],N9402,RawData[Month List],$Q$6,RawData[Tour/Site],$Q$2,RawData[[Picker ID ]],$Q$3,RawData[Checker ID],$Q$4,RawData[[Error Type ]],$Q$5))</f>
        <v/>
      </c>
    </row>
    <row r="9403" spans="15:15" x14ac:dyDescent="0.25">
      <c r="O9403" s="20" t="str">
        <f>IF(N9403="","",COUNTIFS(RawData[[Date ]],N9403,RawData[Month List],$Q$6,RawData[Tour/Site],$Q$2,RawData[[Picker ID ]],$Q$3,RawData[Checker ID],$Q$4,RawData[[Error Type ]],$Q$5))</f>
        <v/>
      </c>
    </row>
    <row r="9404" spans="15:15" x14ac:dyDescent="0.25">
      <c r="O9404" s="20" t="str">
        <f>IF(N9404="","",COUNTIFS(RawData[[Date ]],N9404,RawData[Month List],$Q$6,RawData[Tour/Site],$Q$2,RawData[[Picker ID ]],$Q$3,RawData[Checker ID],$Q$4,RawData[[Error Type ]],$Q$5))</f>
        <v/>
      </c>
    </row>
    <row r="9405" spans="15:15" x14ac:dyDescent="0.25">
      <c r="O9405" s="20" t="str">
        <f>IF(N9405="","",COUNTIFS(RawData[[Date ]],N9405,RawData[Month List],$Q$6,RawData[Tour/Site],$Q$2,RawData[[Picker ID ]],$Q$3,RawData[Checker ID],$Q$4,RawData[[Error Type ]],$Q$5))</f>
        <v/>
      </c>
    </row>
    <row r="9406" spans="15:15" x14ac:dyDescent="0.25">
      <c r="O9406" s="20" t="str">
        <f>IF(N9406="","",COUNTIFS(RawData[[Date ]],N9406,RawData[Month List],$Q$6,RawData[Tour/Site],$Q$2,RawData[[Picker ID ]],$Q$3,RawData[Checker ID],$Q$4,RawData[[Error Type ]],$Q$5))</f>
        <v/>
      </c>
    </row>
    <row r="9407" spans="15:15" x14ac:dyDescent="0.25">
      <c r="O9407" s="20" t="str">
        <f>IF(N9407="","",COUNTIFS(RawData[[Date ]],N9407,RawData[Month List],$Q$6,RawData[Tour/Site],$Q$2,RawData[[Picker ID ]],$Q$3,RawData[Checker ID],$Q$4,RawData[[Error Type ]],$Q$5))</f>
        <v/>
      </c>
    </row>
    <row r="9408" spans="15:15" x14ac:dyDescent="0.25">
      <c r="O9408" s="20" t="str">
        <f>IF(N9408="","",COUNTIFS(RawData[[Date ]],N9408,RawData[Month List],$Q$6,RawData[Tour/Site],$Q$2,RawData[[Picker ID ]],$Q$3,RawData[Checker ID],$Q$4,RawData[[Error Type ]],$Q$5))</f>
        <v/>
      </c>
    </row>
    <row r="9409" spans="15:15" x14ac:dyDescent="0.25">
      <c r="O9409" s="20" t="str">
        <f>IF(N9409="","",COUNTIFS(RawData[[Date ]],N9409,RawData[Month List],$Q$6,RawData[Tour/Site],$Q$2,RawData[[Picker ID ]],$Q$3,RawData[Checker ID],$Q$4,RawData[[Error Type ]],$Q$5))</f>
        <v/>
      </c>
    </row>
    <row r="9410" spans="15:15" x14ac:dyDescent="0.25">
      <c r="O9410" s="20" t="str">
        <f>IF(N9410="","",COUNTIFS(RawData[[Date ]],N9410,RawData[Month List],$Q$6,RawData[Tour/Site],$Q$2,RawData[[Picker ID ]],$Q$3,RawData[Checker ID],$Q$4,RawData[[Error Type ]],$Q$5))</f>
        <v/>
      </c>
    </row>
    <row r="9411" spans="15:15" x14ac:dyDescent="0.25">
      <c r="O9411" s="20" t="str">
        <f>IF(N9411="","",COUNTIFS(RawData[[Date ]],N9411,RawData[Month List],$Q$6,RawData[Tour/Site],$Q$2,RawData[[Picker ID ]],$Q$3,RawData[Checker ID],$Q$4,RawData[[Error Type ]],$Q$5))</f>
        <v/>
      </c>
    </row>
    <row r="9412" spans="15:15" x14ac:dyDescent="0.25">
      <c r="O9412" s="20" t="str">
        <f>IF(N9412="","",COUNTIFS(RawData[[Date ]],N9412,RawData[Month List],$Q$6,RawData[Tour/Site],$Q$2,RawData[[Picker ID ]],$Q$3,RawData[Checker ID],$Q$4,RawData[[Error Type ]],$Q$5))</f>
        <v/>
      </c>
    </row>
    <row r="9413" spans="15:15" x14ac:dyDescent="0.25">
      <c r="O9413" s="20" t="str">
        <f>IF(N9413="","",COUNTIFS(RawData[[Date ]],N9413,RawData[Month List],$Q$6,RawData[Tour/Site],$Q$2,RawData[[Picker ID ]],$Q$3,RawData[Checker ID],$Q$4,RawData[[Error Type ]],$Q$5))</f>
        <v/>
      </c>
    </row>
    <row r="9414" spans="15:15" x14ac:dyDescent="0.25">
      <c r="O9414" s="20" t="str">
        <f>IF(N9414="","",COUNTIFS(RawData[[Date ]],N9414,RawData[Month List],$Q$6,RawData[Tour/Site],$Q$2,RawData[[Picker ID ]],$Q$3,RawData[Checker ID],$Q$4,RawData[[Error Type ]],$Q$5))</f>
        <v/>
      </c>
    </row>
    <row r="9415" spans="15:15" x14ac:dyDescent="0.25">
      <c r="O9415" s="20" t="str">
        <f>IF(N9415="","",COUNTIFS(RawData[[Date ]],N9415,RawData[Month List],$Q$6,RawData[Tour/Site],$Q$2,RawData[[Picker ID ]],$Q$3,RawData[Checker ID],$Q$4,RawData[[Error Type ]],$Q$5))</f>
        <v/>
      </c>
    </row>
    <row r="9416" spans="15:15" x14ac:dyDescent="0.25">
      <c r="O9416" s="20" t="str">
        <f>IF(N9416="","",COUNTIFS(RawData[[Date ]],N9416,RawData[Month List],$Q$6,RawData[Tour/Site],$Q$2,RawData[[Picker ID ]],$Q$3,RawData[Checker ID],$Q$4,RawData[[Error Type ]],$Q$5))</f>
        <v/>
      </c>
    </row>
    <row r="9417" spans="15:15" x14ac:dyDescent="0.25">
      <c r="O9417" s="20" t="str">
        <f>IF(N9417="","",COUNTIFS(RawData[[Date ]],N9417,RawData[Month List],$Q$6,RawData[Tour/Site],$Q$2,RawData[[Picker ID ]],$Q$3,RawData[Checker ID],$Q$4,RawData[[Error Type ]],$Q$5))</f>
        <v/>
      </c>
    </row>
    <row r="9418" spans="15:15" x14ac:dyDescent="0.25">
      <c r="O9418" s="20" t="str">
        <f>IF(N9418="","",COUNTIFS(RawData[[Date ]],N9418,RawData[Month List],$Q$6,RawData[Tour/Site],$Q$2,RawData[[Picker ID ]],$Q$3,RawData[Checker ID],$Q$4,RawData[[Error Type ]],$Q$5))</f>
        <v/>
      </c>
    </row>
    <row r="9419" spans="15:15" x14ac:dyDescent="0.25">
      <c r="O9419" s="20" t="str">
        <f>IF(N9419="","",COUNTIFS(RawData[[Date ]],N9419,RawData[Month List],$Q$6,RawData[Tour/Site],$Q$2,RawData[[Picker ID ]],$Q$3,RawData[Checker ID],$Q$4,RawData[[Error Type ]],$Q$5))</f>
        <v/>
      </c>
    </row>
    <row r="9420" spans="15:15" x14ac:dyDescent="0.25">
      <c r="O9420" s="20" t="str">
        <f>IF(N9420="","",COUNTIFS(RawData[[Date ]],N9420,RawData[Month List],$Q$6,RawData[Tour/Site],$Q$2,RawData[[Picker ID ]],$Q$3,RawData[Checker ID],$Q$4,RawData[[Error Type ]],$Q$5))</f>
        <v/>
      </c>
    </row>
    <row r="9421" spans="15:15" x14ac:dyDescent="0.25">
      <c r="O9421" s="20" t="str">
        <f>IF(N9421="","",COUNTIFS(RawData[[Date ]],N9421,RawData[Month List],$Q$6,RawData[Tour/Site],$Q$2,RawData[[Picker ID ]],$Q$3,RawData[Checker ID],$Q$4,RawData[[Error Type ]],$Q$5))</f>
        <v/>
      </c>
    </row>
    <row r="9422" spans="15:15" x14ac:dyDescent="0.25">
      <c r="O9422" s="20" t="str">
        <f>IF(N9422="","",COUNTIFS(RawData[[Date ]],N9422,RawData[Month List],$Q$6,RawData[Tour/Site],$Q$2,RawData[[Picker ID ]],$Q$3,RawData[Checker ID],$Q$4,RawData[[Error Type ]],$Q$5))</f>
        <v/>
      </c>
    </row>
    <row r="9423" spans="15:15" x14ac:dyDescent="0.25">
      <c r="O9423" s="20" t="str">
        <f>IF(N9423="","",COUNTIFS(RawData[[Date ]],N9423,RawData[Month List],$Q$6,RawData[Tour/Site],$Q$2,RawData[[Picker ID ]],$Q$3,RawData[Checker ID],$Q$4,RawData[[Error Type ]],$Q$5))</f>
        <v/>
      </c>
    </row>
    <row r="9424" spans="15:15" x14ac:dyDescent="0.25">
      <c r="O9424" s="20" t="str">
        <f>IF(N9424="","",COUNTIFS(RawData[[Date ]],N9424,RawData[Month List],$Q$6,RawData[Tour/Site],$Q$2,RawData[[Picker ID ]],$Q$3,RawData[Checker ID],$Q$4,RawData[[Error Type ]],$Q$5))</f>
        <v/>
      </c>
    </row>
    <row r="9425" spans="15:15" x14ac:dyDescent="0.25">
      <c r="O9425" s="20" t="str">
        <f>IF(N9425="","",COUNTIFS(RawData[[Date ]],N9425,RawData[Month List],$Q$6,RawData[Tour/Site],$Q$2,RawData[[Picker ID ]],$Q$3,RawData[Checker ID],$Q$4,RawData[[Error Type ]],$Q$5))</f>
        <v/>
      </c>
    </row>
    <row r="9426" spans="15:15" x14ac:dyDescent="0.25">
      <c r="O9426" s="20" t="str">
        <f>IF(N9426="","",COUNTIFS(RawData[[Date ]],N9426,RawData[Month List],$Q$6,RawData[Tour/Site],$Q$2,RawData[[Picker ID ]],$Q$3,RawData[Checker ID],$Q$4,RawData[[Error Type ]],$Q$5))</f>
        <v/>
      </c>
    </row>
    <row r="9427" spans="15:15" x14ac:dyDescent="0.25">
      <c r="O9427" s="20" t="str">
        <f>IF(N9427="","",COUNTIFS(RawData[[Date ]],N9427,RawData[Month List],$Q$6,RawData[Tour/Site],$Q$2,RawData[[Picker ID ]],$Q$3,RawData[Checker ID],$Q$4,RawData[[Error Type ]],$Q$5))</f>
        <v/>
      </c>
    </row>
    <row r="9428" spans="15:15" x14ac:dyDescent="0.25">
      <c r="O9428" s="20" t="str">
        <f>IF(N9428="","",COUNTIFS(RawData[[Date ]],N9428,RawData[Month List],$Q$6,RawData[Tour/Site],$Q$2,RawData[[Picker ID ]],$Q$3,RawData[Checker ID],$Q$4,RawData[[Error Type ]],$Q$5))</f>
        <v/>
      </c>
    </row>
    <row r="9429" spans="15:15" x14ac:dyDescent="0.25">
      <c r="O9429" s="20" t="str">
        <f>IF(N9429="","",COUNTIFS(RawData[[Date ]],N9429,RawData[Month List],$Q$6,RawData[Tour/Site],$Q$2,RawData[[Picker ID ]],$Q$3,RawData[Checker ID],$Q$4,RawData[[Error Type ]],$Q$5))</f>
        <v/>
      </c>
    </row>
    <row r="9430" spans="15:15" x14ac:dyDescent="0.25">
      <c r="O9430" s="20" t="str">
        <f>IF(N9430="","",COUNTIFS(RawData[[Date ]],N9430,RawData[Month List],$Q$6,RawData[Tour/Site],$Q$2,RawData[[Picker ID ]],$Q$3,RawData[Checker ID],$Q$4,RawData[[Error Type ]],$Q$5))</f>
        <v/>
      </c>
    </row>
    <row r="9431" spans="15:15" x14ac:dyDescent="0.25">
      <c r="O9431" s="20" t="str">
        <f>IF(N9431="","",COUNTIFS(RawData[[Date ]],N9431,RawData[Month List],$Q$6,RawData[Tour/Site],$Q$2,RawData[[Picker ID ]],$Q$3,RawData[Checker ID],$Q$4,RawData[[Error Type ]],$Q$5))</f>
        <v/>
      </c>
    </row>
    <row r="9432" spans="15:15" x14ac:dyDescent="0.25">
      <c r="O9432" s="20" t="str">
        <f>IF(N9432="","",COUNTIFS(RawData[[Date ]],N9432,RawData[Month List],$Q$6,RawData[Tour/Site],$Q$2,RawData[[Picker ID ]],$Q$3,RawData[Checker ID],$Q$4,RawData[[Error Type ]],$Q$5))</f>
        <v/>
      </c>
    </row>
    <row r="9433" spans="15:15" x14ac:dyDescent="0.25">
      <c r="O9433" s="20" t="str">
        <f>IF(N9433="","",COUNTIFS(RawData[[Date ]],N9433,RawData[Month List],$Q$6,RawData[Tour/Site],$Q$2,RawData[[Picker ID ]],$Q$3,RawData[Checker ID],$Q$4,RawData[[Error Type ]],$Q$5))</f>
        <v/>
      </c>
    </row>
    <row r="9434" spans="15:15" x14ac:dyDescent="0.25">
      <c r="O9434" s="20" t="str">
        <f>IF(N9434="","",COUNTIFS(RawData[[Date ]],N9434,RawData[Month List],$Q$6,RawData[Tour/Site],$Q$2,RawData[[Picker ID ]],$Q$3,RawData[Checker ID],$Q$4,RawData[[Error Type ]],$Q$5))</f>
        <v/>
      </c>
    </row>
    <row r="9435" spans="15:15" x14ac:dyDescent="0.25">
      <c r="O9435" s="20" t="str">
        <f>IF(N9435="","",COUNTIFS(RawData[[Date ]],N9435,RawData[Month List],$Q$6,RawData[Tour/Site],$Q$2,RawData[[Picker ID ]],$Q$3,RawData[Checker ID],$Q$4,RawData[[Error Type ]],$Q$5))</f>
        <v/>
      </c>
    </row>
    <row r="9436" spans="15:15" x14ac:dyDescent="0.25">
      <c r="O9436" s="20" t="str">
        <f>IF(N9436="","",COUNTIFS(RawData[[Date ]],N9436,RawData[Month List],$Q$6,RawData[Tour/Site],$Q$2,RawData[[Picker ID ]],$Q$3,RawData[Checker ID],$Q$4,RawData[[Error Type ]],$Q$5))</f>
        <v/>
      </c>
    </row>
    <row r="9437" spans="15:15" x14ac:dyDescent="0.25">
      <c r="O9437" s="20" t="str">
        <f>IF(N9437="","",COUNTIFS(RawData[[Date ]],N9437,RawData[Month List],$Q$6,RawData[Tour/Site],$Q$2,RawData[[Picker ID ]],$Q$3,RawData[Checker ID],$Q$4,RawData[[Error Type ]],$Q$5))</f>
        <v/>
      </c>
    </row>
    <row r="9438" spans="15:15" x14ac:dyDescent="0.25">
      <c r="O9438" s="20" t="str">
        <f>IF(N9438="","",COUNTIFS(RawData[[Date ]],N9438,RawData[Month List],$Q$6,RawData[Tour/Site],$Q$2,RawData[[Picker ID ]],$Q$3,RawData[Checker ID],$Q$4,RawData[[Error Type ]],$Q$5))</f>
        <v/>
      </c>
    </row>
    <row r="9439" spans="15:15" x14ac:dyDescent="0.25">
      <c r="O9439" s="20" t="str">
        <f>IF(N9439="","",COUNTIFS(RawData[[Date ]],N9439,RawData[Month List],$Q$6,RawData[Tour/Site],$Q$2,RawData[[Picker ID ]],$Q$3,RawData[Checker ID],$Q$4,RawData[[Error Type ]],$Q$5))</f>
        <v/>
      </c>
    </row>
    <row r="9440" spans="15:15" x14ac:dyDescent="0.25">
      <c r="O9440" s="20" t="str">
        <f>IF(N9440="","",COUNTIFS(RawData[[Date ]],N9440,RawData[Month List],$Q$6,RawData[Tour/Site],$Q$2,RawData[[Picker ID ]],$Q$3,RawData[Checker ID],$Q$4,RawData[[Error Type ]],$Q$5))</f>
        <v/>
      </c>
    </row>
    <row r="9441" spans="15:15" x14ac:dyDescent="0.25">
      <c r="O9441" s="20" t="str">
        <f>IF(N9441="","",COUNTIFS(RawData[[Date ]],N9441,RawData[Month List],$Q$6,RawData[Tour/Site],$Q$2,RawData[[Picker ID ]],$Q$3,RawData[Checker ID],$Q$4,RawData[[Error Type ]],$Q$5))</f>
        <v/>
      </c>
    </row>
    <row r="9442" spans="15:15" x14ac:dyDescent="0.25">
      <c r="O9442" s="20" t="str">
        <f>IF(N9442="","",COUNTIFS(RawData[[Date ]],N9442,RawData[Month List],$Q$6,RawData[Tour/Site],$Q$2,RawData[[Picker ID ]],$Q$3,RawData[Checker ID],$Q$4,RawData[[Error Type ]],$Q$5))</f>
        <v/>
      </c>
    </row>
    <row r="9443" spans="15:15" x14ac:dyDescent="0.25">
      <c r="O9443" s="20" t="str">
        <f>IF(N9443="","",COUNTIFS(RawData[[Date ]],N9443,RawData[Month List],$Q$6,RawData[Tour/Site],$Q$2,RawData[[Picker ID ]],$Q$3,RawData[Checker ID],$Q$4,RawData[[Error Type ]],$Q$5))</f>
        <v/>
      </c>
    </row>
    <row r="9444" spans="15:15" x14ac:dyDescent="0.25">
      <c r="O9444" s="20" t="str">
        <f>IF(N9444="","",COUNTIFS(RawData[[Date ]],N9444,RawData[Month List],$Q$6,RawData[Tour/Site],$Q$2,RawData[[Picker ID ]],$Q$3,RawData[Checker ID],$Q$4,RawData[[Error Type ]],$Q$5))</f>
        <v/>
      </c>
    </row>
    <row r="9445" spans="15:15" x14ac:dyDescent="0.25">
      <c r="O9445" s="20" t="str">
        <f>IF(N9445="","",COUNTIFS(RawData[[Date ]],N9445,RawData[Month List],$Q$6,RawData[Tour/Site],$Q$2,RawData[[Picker ID ]],$Q$3,RawData[Checker ID],$Q$4,RawData[[Error Type ]],$Q$5))</f>
        <v/>
      </c>
    </row>
    <row r="9446" spans="15:15" x14ac:dyDescent="0.25">
      <c r="O9446" s="20" t="str">
        <f>IF(N9446="","",COUNTIFS(RawData[[Date ]],N9446,RawData[Month List],$Q$6,RawData[Tour/Site],$Q$2,RawData[[Picker ID ]],$Q$3,RawData[Checker ID],$Q$4,RawData[[Error Type ]],$Q$5))</f>
        <v/>
      </c>
    </row>
    <row r="9447" spans="15:15" x14ac:dyDescent="0.25">
      <c r="O9447" s="20" t="str">
        <f>IF(N9447="","",COUNTIFS(RawData[[Date ]],N9447,RawData[Month List],$Q$6,RawData[Tour/Site],$Q$2,RawData[[Picker ID ]],$Q$3,RawData[Checker ID],$Q$4,RawData[[Error Type ]],$Q$5))</f>
        <v/>
      </c>
    </row>
    <row r="9448" spans="15:15" x14ac:dyDescent="0.25">
      <c r="O9448" s="20" t="str">
        <f>IF(N9448="","",COUNTIFS(RawData[[Date ]],N9448,RawData[Month List],$Q$6,RawData[Tour/Site],$Q$2,RawData[[Picker ID ]],$Q$3,RawData[Checker ID],$Q$4,RawData[[Error Type ]],$Q$5))</f>
        <v/>
      </c>
    </row>
    <row r="9449" spans="15:15" x14ac:dyDescent="0.25">
      <c r="O9449" s="20" t="str">
        <f>IF(N9449="","",COUNTIFS(RawData[[Date ]],N9449,RawData[Month List],$Q$6,RawData[Tour/Site],$Q$2,RawData[[Picker ID ]],$Q$3,RawData[Checker ID],$Q$4,RawData[[Error Type ]],$Q$5))</f>
        <v/>
      </c>
    </row>
    <row r="9450" spans="15:15" x14ac:dyDescent="0.25">
      <c r="O9450" s="20" t="str">
        <f>IF(N9450="","",COUNTIFS(RawData[[Date ]],N9450,RawData[Month List],$Q$6,RawData[Tour/Site],$Q$2,RawData[[Picker ID ]],$Q$3,RawData[Checker ID],$Q$4,RawData[[Error Type ]],$Q$5))</f>
        <v/>
      </c>
    </row>
    <row r="9451" spans="15:15" x14ac:dyDescent="0.25">
      <c r="O9451" s="20" t="str">
        <f>IF(N9451="","",COUNTIFS(RawData[[Date ]],N9451,RawData[Month List],$Q$6,RawData[Tour/Site],$Q$2,RawData[[Picker ID ]],$Q$3,RawData[Checker ID],$Q$4,RawData[[Error Type ]],$Q$5))</f>
        <v/>
      </c>
    </row>
    <row r="9452" spans="15:15" x14ac:dyDescent="0.25">
      <c r="O9452" s="20" t="str">
        <f>IF(N9452="","",COUNTIFS(RawData[[Date ]],N9452,RawData[Month List],$Q$6,RawData[Tour/Site],$Q$2,RawData[[Picker ID ]],$Q$3,RawData[Checker ID],$Q$4,RawData[[Error Type ]],$Q$5))</f>
        <v/>
      </c>
    </row>
    <row r="9453" spans="15:15" x14ac:dyDescent="0.25">
      <c r="O9453" s="20" t="str">
        <f>IF(N9453="","",COUNTIFS(RawData[[Date ]],N9453,RawData[Month List],$Q$6,RawData[Tour/Site],$Q$2,RawData[[Picker ID ]],$Q$3,RawData[Checker ID],$Q$4,RawData[[Error Type ]],$Q$5))</f>
        <v/>
      </c>
    </row>
    <row r="9454" spans="15:15" x14ac:dyDescent="0.25">
      <c r="O9454" s="20" t="str">
        <f>IF(N9454="","",COUNTIFS(RawData[[Date ]],N9454,RawData[Month List],$Q$6,RawData[Tour/Site],$Q$2,RawData[[Picker ID ]],$Q$3,RawData[Checker ID],$Q$4,RawData[[Error Type ]],$Q$5))</f>
        <v/>
      </c>
    </row>
    <row r="9455" spans="15:15" x14ac:dyDescent="0.25">
      <c r="O9455" s="20" t="str">
        <f>IF(N9455="","",COUNTIFS(RawData[[Date ]],N9455,RawData[Month List],$Q$6,RawData[Tour/Site],$Q$2,RawData[[Picker ID ]],$Q$3,RawData[Checker ID],$Q$4,RawData[[Error Type ]],$Q$5))</f>
        <v/>
      </c>
    </row>
    <row r="9456" spans="15:15" x14ac:dyDescent="0.25">
      <c r="O9456" s="20" t="str">
        <f>IF(N9456="","",COUNTIFS(RawData[[Date ]],N9456,RawData[Month List],$Q$6,RawData[Tour/Site],$Q$2,RawData[[Picker ID ]],$Q$3,RawData[Checker ID],$Q$4,RawData[[Error Type ]],$Q$5))</f>
        <v/>
      </c>
    </row>
    <row r="9457" spans="15:15" x14ac:dyDescent="0.25">
      <c r="O9457" s="20" t="str">
        <f>IF(N9457="","",COUNTIFS(RawData[[Date ]],N9457,RawData[Month List],$Q$6,RawData[Tour/Site],$Q$2,RawData[[Picker ID ]],$Q$3,RawData[Checker ID],$Q$4,RawData[[Error Type ]],$Q$5))</f>
        <v/>
      </c>
    </row>
    <row r="9458" spans="15:15" x14ac:dyDescent="0.25">
      <c r="O9458" s="20" t="str">
        <f>IF(N9458="","",COUNTIFS(RawData[[Date ]],N9458,RawData[Month List],$Q$6,RawData[Tour/Site],$Q$2,RawData[[Picker ID ]],$Q$3,RawData[Checker ID],$Q$4,RawData[[Error Type ]],$Q$5))</f>
        <v/>
      </c>
    </row>
    <row r="9459" spans="15:15" x14ac:dyDescent="0.25">
      <c r="O9459" s="20" t="str">
        <f>IF(N9459="","",COUNTIFS(RawData[[Date ]],N9459,RawData[Month List],$Q$6,RawData[Tour/Site],$Q$2,RawData[[Picker ID ]],$Q$3,RawData[Checker ID],$Q$4,RawData[[Error Type ]],$Q$5))</f>
        <v/>
      </c>
    </row>
    <row r="9460" spans="15:15" x14ac:dyDescent="0.25">
      <c r="O9460" s="20" t="str">
        <f>IF(N9460="","",COUNTIFS(RawData[[Date ]],N9460,RawData[Month List],$Q$6,RawData[Tour/Site],$Q$2,RawData[[Picker ID ]],$Q$3,RawData[Checker ID],$Q$4,RawData[[Error Type ]],$Q$5))</f>
        <v/>
      </c>
    </row>
    <row r="9461" spans="15:15" x14ac:dyDescent="0.25">
      <c r="O9461" s="20" t="str">
        <f>IF(N9461="","",COUNTIFS(RawData[[Date ]],N9461,RawData[Month List],$Q$6,RawData[Tour/Site],$Q$2,RawData[[Picker ID ]],$Q$3,RawData[Checker ID],$Q$4,RawData[[Error Type ]],$Q$5))</f>
        <v/>
      </c>
    </row>
    <row r="9462" spans="15:15" x14ac:dyDescent="0.25">
      <c r="O9462" s="20" t="str">
        <f>IF(N9462="","",COUNTIFS(RawData[[Date ]],N9462,RawData[Month List],$Q$6,RawData[Tour/Site],$Q$2,RawData[[Picker ID ]],$Q$3,RawData[Checker ID],$Q$4,RawData[[Error Type ]],$Q$5))</f>
        <v/>
      </c>
    </row>
    <row r="9463" spans="15:15" x14ac:dyDescent="0.25">
      <c r="O9463" s="20" t="str">
        <f>IF(N9463="","",COUNTIFS(RawData[[Date ]],N9463,RawData[Month List],$Q$6,RawData[Tour/Site],$Q$2,RawData[[Picker ID ]],$Q$3,RawData[Checker ID],$Q$4,RawData[[Error Type ]],$Q$5))</f>
        <v/>
      </c>
    </row>
    <row r="9464" spans="15:15" x14ac:dyDescent="0.25">
      <c r="O9464" s="20" t="str">
        <f>IF(N9464="","",COUNTIFS(RawData[[Date ]],N9464,RawData[Month List],$Q$6,RawData[Tour/Site],$Q$2,RawData[[Picker ID ]],$Q$3,RawData[Checker ID],$Q$4,RawData[[Error Type ]],$Q$5))</f>
        <v/>
      </c>
    </row>
    <row r="9465" spans="15:15" x14ac:dyDescent="0.25">
      <c r="O9465" s="20" t="str">
        <f>IF(N9465="","",COUNTIFS(RawData[[Date ]],N9465,RawData[Month List],$Q$6,RawData[Tour/Site],$Q$2,RawData[[Picker ID ]],$Q$3,RawData[Checker ID],$Q$4,RawData[[Error Type ]],$Q$5))</f>
        <v/>
      </c>
    </row>
    <row r="9466" spans="15:15" x14ac:dyDescent="0.25">
      <c r="O9466" s="20" t="str">
        <f>IF(N9466="","",COUNTIFS(RawData[[Date ]],N9466,RawData[Month List],$Q$6,RawData[Tour/Site],$Q$2,RawData[[Picker ID ]],$Q$3,RawData[Checker ID],$Q$4,RawData[[Error Type ]],$Q$5))</f>
        <v/>
      </c>
    </row>
    <row r="9467" spans="15:15" x14ac:dyDescent="0.25">
      <c r="O9467" s="20" t="str">
        <f>IF(N9467="","",COUNTIFS(RawData[[Date ]],N9467,RawData[Month List],$Q$6,RawData[Tour/Site],$Q$2,RawData[[Picker ID ]],$Q$3,RawData[Checker ID],$Q$4,RawData[[Error Type ]],$Q$5))</f>
        <v/>
      </c>
    </row>
    <row r="9468" spans="15:15" x14ac:dyDescent="0.25">
      <c r="O9468" s="20" t="str">
        <f>IF(N9468="","",COUNTIFS(RawData[[Date ]],N9468,RawData[Month List],$Q$6,RawData[Tour/Site],$Q$2,RawData[[Picker ID ]],$Q$3,RawData[Checker ID],$Q$4,RawData[[Error Type ]],$Q$5))</f>
        <v/>
      </c>
    </row>
    <row r="9469" spans="15:15" x14ac:dyDescent="0.25">
      <c r="O9469" s="20" t="str">
        <f>IF(N9469="","",COUNTIFS(RawData[[Date ]],N9469,RawData[Month List],$Q$6,RawData[Tour/Site],$Q$2,RawData[[Picker ID ]],$Q$3,RawData[Checker ID],$Q$4,RawData[[Error Type ]],$Q$5))</f>
        <v/>
      </c>
    </row>
    <row r="9470" spans="15:15" x14ac:dyDescent="0.25">
      <c r="O9470" s="20" t="str">
        <f>IF(N9470="","",COUNTIFS(RawData[[Date ]],N9470,RawData[Month List],$Q$6,RawData[Tour/Site],$Q$2,RawData[[Picker ID ]],$Q$3,RawData[Checker ID],$Q$4,RawData[[Error Type ]],$Q$5))</f>
        <v/>
      </c>
    </row>
    <row r="9471" spans="15:15" x14ac:dyDescent="0.25">
      <c r="O9471" s="20" t="str">
        <f>IF(N9471="","",COUNTIFS(RawData[[Date ]],N9471,RawData[Month List],$Q$6,RawData[Tour/Site],$Q$2,RawData[[Picker ID ]],$Q$3,RawData[Checker ID],$Q$4,RawData[[Error Type ]],$Q$5))</f>
        <v/>
      </c>
    </row>
    <row r="9472" spans="15:15" x14ac:dyDescent="0.25">
      <c r="O9472" s="20" t="str">
        <f>IF(N9472="","",COUNTIFS(RawData[[Date ]],N9472,RawData[Month List],$Q$6,RawData[Tour/Site],$Q$2,RawData[[Picker ID ]],$Q$3,RawData[Checker ID],$Q$4,RawData[[Error Type ]],$Q$5))</f>
        <v/>
      </c>
    </row>
    <row r="9473" spans="15:15" x14ac:dyDescent="0.25">
      <c r="O9473" s="20" t="str">
        <f>IF(N9473="","",COUNTIFS(RawData[[Date ]],N9473,RawData[Month List],$Q$6,RawData[Tour/Site],$Q$2,RawData[[Picker ID ]],$Q$3,RawData[Checker ID],$Q$4,RawData[[Error Type ]],$Q$5))</f>
        <v/>
      </c>
    </row>
    <row r="9474" spans="15:15" x14ac:dyDescent="0.25">
      <c r="O9474" s="20" t="str">
        <f>IF(N9474="","",COUNTIFS(RawData[[Date ]],N9474,RawData[Month List],$Q$6,RawData[Tour/Site],$Q$2,RawData[[Picker ID ]],$Q$3,RawData[Checker ID],$Q$4,RawData[[Error Type ]],$Q$5))</f>
        <v/>
      </c>
    </row>
    <row r="9475" spans="15:15" x14ac:dyDescent="0.25">
      <c r="O9475" s="20" t="str">
        <f>IF(N9475="","",COUNTIFS(RawData[[Date ]],N9475,RawData[Month List],$Q$6,RawData[Tour/Site],$Q$2,RawData[[Picker ID ]],$Q$3,RawData[Checker ID],$Q$4,RawData[[Error Type ]],$Q$5))</f>
        <v/>
      </c>
    </row>
    <row r="9476" spans="15:15" x14ac:dyDescent="0.25">
      <c r="O9476" s="20" t="str">
        <f>IF(N9476="","",COUNTIFS(RawData[[Date ]],N9476,RawData[Month List],$Q$6,RawData[Tour/Site],$Q$2,RawData[[Picker ID ]],$Q$3,RawData[Checker ID],$Q$4,RawData[[Error Type ]],$Q$5))</f>
        <v/>
      </c>
    </row>
    <row r="9477" spans="15:15" x14ac:dyDescent="0.25">
      <c r="O9477" s="20" t="str">
        <f>IF(N9477="","",COUNTIFS(RawData[[Date ]],N9477,RawData[Month List],$Q$6,RawData[Tour/Site],$Q$2,RawData[[Picker ID ]],$Q$3,RawData[Checker ID],$Q$4,RawData[[Error Type ]],$Q$5))</f>
        <v/>
      </c>
    </row>
    <row r="9478" spans="15:15" x14ac:dyDescent="0.25">
      <c r="O9478" s="20" t="str">
        <f>IF(N9478="","",COUNTIFS(RawData[[Date ]],N9478,RawData[Month List],$Q$6,RawData[Tour/Site],$Q$2,RawData[[Picker ID ]],$Q$3,RawData[Checker ID],$Q$4,RawData[[Error Type ]],$Q$5))</f>
        <v/>
      </c>
    </row>
    <row r="9479" spans="15:15" x14ac:dyDescent="0.25">
      <c r="O9479" s="20" t="str">
        <f>IF(N9479="","",COUNTIFS(RawData[[Date ]],N9479,RawData[Month List],$Q$6,RawData[Tour/Site],$Q$2,RawData[[Picker ID ]],$Q$3,RawData[Checker ID],$Q$4,RawData[[Error Type ]],$Q$5))</f>
        <v/>
      </c>
    </row>
    <row r="9480" spans="15:15" x14ac:dyDescent="0.25">
      <c r="O9480" s="20" t="str">
        <f>IF(N9480="","",COUNTIFS(RawData[[Date ]],N9480,RawData[Month List],$Q$6,RawData[Tour/Site],$Q$2,RawData[[Picker ID ]],$Q$3,RawData[Checker ID],$Q$4,RawData[[Error Type ]],$Q$5))</f>
        <v/>
      </c>
    </row>
    <row r="9481" spans="15:15" x14ac:dyDescent="0.25">
      <c r="O9481" s="20" t="str">
        <f>IF(N9481="","",COUNTIFS(RawData[[Date ]],N9481,RawData[Month List],$Q$6,RawData[Tour/Site],$Q$2,RawData[[Picker ID ]],$Q$3,RawData[Checker ID],$Q$4,RawData[[Error Type ]],$Q$5))</f>
        <v/>
      </c>
    </row>
    <row r="9482" spans="15:15" x14ac:dyDescent="0.25">
      <c r="O9482" s="20" t="str">
        <f>IF(N9482="","",COUNTIFS(RawData[[Date ]],N9482,RawData[Month List],$Q$6,RawData[Tour/Site],$Q$2,RawData[[Picker ID ]],$Q$3,RawData[Checker ID],$Q$4,RawData[[Error Type ]],$Q$5))</f>
        <v/>
      </c>
    </row>
    <row r="9483" spans="15:15" x14ac:dyDescent="0.25">
      <c r="O9483" s="20" t="str">
        <f>IF(N9483="","",COUNTIFS(RawData[[Date ]],N9483,RawData[Month List],$Q$6,RawData[Tour/Site],$Q$2,RawData[[Picker ID ]],$Q$3,RawData[Checker ID],$Q$4,RawData[[Error Type ]],$Q$5))</f>
        <v/>
      </c>
    </row>
    <row r="9484" spans="15:15" x14ac:dyDescent="0.25">
      <c r="O9484" s="20" t="str">
        <f>IF(N9484="","",COUNTIFS(RawData[[Date ]],N9484,RawData[Month List],$Q$6,RawData[Tour/Site],$Q$2,RawData[[Picker ID ]],$Q$3,RawData[Checker ID],$Q$4,RawData[[Error Type ]],$Q$5))</f>
        <v/>
      </c>
    </row>
    <row r="9485" spans="15:15" x14ac:dyDescent="0.25">
      <c r="O9485" s="20" t="str">
        <f>IF(N9485="","",COUNTIFS(RawData[[Date ]],N9485,RawData[Month List],$Q$6,RawData[Tour/Site],$Q$2,RawData[[Picker ID ]],$Q$3,RawData[Checker ID],$Q$4,RawData[[Error Type ]],$Q$5))</f>
        <v/>
      </c>
    </row>
    <row r="9486" spans="15:15" x14ac:dyDescent="0.25">
      <c r="O9486" s="20" t="str">
        <f>IF(N9486="","",COUNTIFS(RawData[[Date ]],N9486,RawData[Month List],$Q$6,RawData[Tour/Site],$Q$2,RawData[[Picker ID ]],$Q$3,RawData[Checker ID],$Q$4,RawData[[Error Type ]],$Q$5))</f>
        <v/>
      </c>
    </row>
    <row r="9487" spans="15:15" x14ac:dyDescent="0.25">
      <c r="O9487" s="20" t="str">
        <f>IF(N9487="","",COUNTIFS(RawData[[Date ]],N9487,RawData[Month List],$Q$6,RawData[Tour/Site],$Q$2,RawData[[Picker ID ]],$Q$3,RawData[Checker ID],$Q$4,RawData[[Error Type ]],$Q$5))</f>
        <v/>
      </c>
    </row>
    <row r="9488" spans="15:15" x14ac:dyDescent="0.25">
      <c r="O9488" s="20" t="str">
        <f>IF(N9488="","",COUNTIFS(RawData[[Date ]],N9488,RawData[Month List],$Q$6,RawData[Tour/Site],$Q$2,RawData[[Picker ID ]],$Q$3,RawData[Checker ID],$Q$4,RawData[[Error Type ]],$Q$5))</f>
        <v/>
      </c>
    </row>
    <row r="9489" spans="15:15" x14ac:dyDescent="0.25">
      <c r="O9489" s="20" t="str">
        <f>IF(N9489="","",COUNTIFS(RawData[[Date ]],N9489,RawData[Month List],$Q$6,RawData[Tour/Site],$Q$2,RawData[[Picker ID ]],$Q$3,RawData[Checker ID],$Q$4,RawData[[Error Type ]],$Q$5))</f>
        <v/>
      </c>
    </row>
    <row r="9490" spans="15:15" x14ac:dyDescent="0.25">
      <c r="O9490" s="20" t="str">
        <f>IF(N9490="","",COUNTIFS(RawData[[Date ]],N9490,RawData[Month List],$Q$6,RawData[Tour/Site],$Q$2,RawData[[Picker ID ]],$Q$3,RawData[Checker ID],$Q$4,RawData[[Error Type ]],$Q$5))</f>
        <v/>
      </c>
    </row>
    <row r="9491" spans="15:15" x14ac:dyDescent="0.25">
      <c r="O9491" s="20" t="str">
        <f>IF(N9491="","",COUNTIFS(RawData[[Date ]],N9491,RawData[Month List],$Q$6,RawData[Tour/Site],$Q$2,RawData[[Picker ID ]],$Q$3,RawData[Checker ID],$Q$4,RawData[[Error Type ]],$Q$5))</f>
        <v/>
      </c>
    </row>
    <row r="9492" spans="15:15" x14ac:dyDescent="0.25">
      <c r="O9492" s="20" t="str">
        <f>IF(N9492="","",COUNTIFS(RawData[[Date ]],N9492,RawData[Month List],$Q$6,RawData[Tour/Site],$Q$2,RawData[[Picker ID ]],$Q$3,RawData[Checker ID],$Q$4,RawData[[Error Type ]],$Q$5))</f>
        <v/>
      </c>
    </row>
    <row r="9493" spans="15:15" x14ac:dyDescent="0.25">
      <c r="O9493" s="20" t="str">
        <f>IF(N9493="","",COUNTIFS(RawData[[Date ]],N9493,RawData[Month List],$Q$6,RawData[Tour/Site],$Q$2,RawData[[Picker ID ]],$Q$3,RawData[Checker ID],$Q$4,RawData[[Error Type ]],$Q$5))</f>
        <v/>
      </c>
    </row>
    <row r="9494" spans="15:15" x14ac:dyDescent="0.25">
      <c r="O9494" s="20" t="str">
        <f>IF(N9494="","",COUNTIFS(RawData[[Date ]],N9494,RawData[Month List],$Q$6,RawData[Tour/Site],$Q$2,RawData[[Picker ID ]],$Q$3,RawData[Checker ID],$Q$4,RawData[[Error Type ]],$Q$5))</f>
        <v/>
      </c>
    </row>
    <row r="9495" spans="15:15" x14ac:dyDescent="0.25">
      <c r="O9495" s="20" t="str">
        <f>IF(N9495="","",COUNTIFS(RawData[[Date ]],N9495,RawData[Month List],$Q$6,RawData[Tour/Site],$Q$2,RawData[[Picker ID ]],$Q$3,RawData[Checker ID],$Q$4,RawData[[Error Type ]],$Q$5))</f>
        <v/>
      </c>
    </row>
    <row r="9496" spans="15:15" x14ac:dyDescent="0.25">
      <c r="O9496" s="20" t="str">
        <f>IF(N9496="","",COUNTIFS(RawData[[Date ]],N9496,RawData[Month List],$Q$6,RawData[Tour/Site],$Q$2,RawData[[Picker ID ]],$Q$3,RawData[Checker ID],$Q$4,RawData[[Error Type ]],$Q$5))</f>
        <v/>
      </c>
    </row>
    <row r="9497" spans="15:15" x14ac:dyDescent="0.25">
      <c r="O9497" s="20" t="str">
        <f>IF(N9497="","",COUNTIFS(RawData[[Date ]],N9497,RawData[Month List],$Q$6,RawData[Tour/Site],$Q$2,RawData[[Picker ID ]],$Q$3,RawData[Checker ID],$Q$4,RawData[[Error Type ]],$Q$5))</f>
        <v/>
      </c>
    </row>
    <row r="9498" spans="15:15" x14ac:dyDescent="0.25">
      <c r="O9498" s="20" t="str">
        <f>IF(N9498="","",COUNTIFS(RawData[[Date ]],N9498,RawData[Month List],$Q$6,RawData[Tour/Site],$Q$2,RawData[[Picker ID ]],$Q$3,RawData[Checker ID],$Q$4,RawData[[Error Type ]],$Q$5))</f>
        <v/>
      </c>
    </row>
    <row r="9499" spans="15:15" x14ac:dyDescent="0.25">
      <c r="O9499" s="20" t="str">
        <f>IF(N9499="","",COUNTIFS(RawData[[Date ]],N9499,RawData[Month List],$Q$6,RawData[Tour/Site],$Q$2,RawData[[Picker ID ]],$Q$3,RawData[Checker ID],$Q$4,RawData[[Error Type ]],$Q$5))</f>
        <v/>
      </c>
    </row>
    <row r="9500" spans="15:15" x14ac:dyDescent="0.25">
      <c r="O9500" s="20" t="str">
        <f>IF(N9500="","",COUNTIFS(RawData[[Date ]],N9500,RawData[Month List],$Q$6,RawData[Tour/Site],$Q$2,RawData[[Picker ID ]],$Q$3,RawData[Checker ID],$Q$4,RawData[[Error Type ]],$Q$5))</f>
        <v/>
      </c>
    </row>
    <row r="9501" spans="15:15" x14ac:dyDescent="0.25">
      <c r="O9501" s="20" t="str">
        <f>IF(N9501="","",COUNTIFS(RawData[[Date ]],N9501,RawData[Month List],$Q$6,RawData[Tour/Site],$Q$2,RawData[[Picker ID ]],$Q$3,RawData[Checker ID],$Q$4,RawData[[Error Type ]],$Q$5))</f>
        <v/>
      </c>
    </row>
    <row r="9502" spans="15:15" x14ac:dyDescent="0.25">
      <c r="O9502" s="20" t="str">
        <f>IF(N9502="","",COUNTIFS(RawData[[Date ]],N9502,RawData[Month List],$Q$6,RawData[Tour/Site],$Q$2,RawData[[Picker ID ]],$Q$3,RawData[Checker ID],$Q$4,RawData[[Error Type ]],$Q$5))</f>
        <v/>
      </c>
    </row>
    <row r="9503" spans="15:15" x14ac:dyDescent="0.25">
      <c r="O9503" s="20" t="str">
        <f>IF(N9503="","",COUNTIFS(RawData[[Date ]],N9503,RawData[Month List],$Q$6,RawData[Tour/Site],$Q$2,RawData[[Picker ID ]],$Q$3,RawData[Checker ID],$Q$4,RawData[[Error Type ]],$Q$5))</f>
        <v/>
      </c>
    </row>
    <row r="9504" spans="15:15" x14ac:dyDescent="0.25">
      <c r="O9504" s="20" t="str">
        <f>IF(N9504="","",COUNTIFS(RawData[[Date ]],N9504,RawData[Month List],$Q$6,RawData[Tour/Site],$Q$2,RawData[[Picker ID ]],$Q$3,RawData[Checker ID],$Q$4,RawData[[Error Type ]],$Q$5))</f>
        <v/>
      </c>
    </row>
    <row r="9505" spans="15:15" x14ac:dyDescent="0.25">
      <c r="O9505" s="20" t="str">
        <f>IF(N9505="","",COUNTIFS(RawData[[Date ]],N9505,RawData[Month List],$Q$6,RawData[Tour/Site],$Q$2,RawData[[Picker ID ]],$Q$3,RawData[Checker ID],$Q$4,RawData[[Error Type ]],$Q$5))</f>
        <v/>
      </c>
    </row>
    <row r="9506" spans="15:15" x14ac:dyDescent="0.25">
      <c r="O9506" s="20" t="str">
        <f>IF(N9506="","",COUNTIFS(RawData[[Date ]],N9506,RawData[Month List],$Q$6,RawData[Tour/Site],$Q$2,RawData[[Picker ID ]],$Q$3,RawData[Checker ID],$Q$4,RawData[[Error Type ]],$Q$5))</f>
        <v/>
      </c>
    </row>
    <row r="9507" spans="15:15" x14ac:dyDescent="0.25">
      <c r="O9507" s="20" t="str">
        <f>IF(N9507="","",COUNTIFS(RawData[[Date ]],N9507,RawData[Month List],$Q$6,RawData[Tour/Site],$Q$2,RawData[[Picker ID ]],$Q$3,RawData[Checker ID],$Q$4,RawData[[Error Type ]],$Q$5))</f>
        <v/>
      </c>
    </row>
    <row r="9508" spans="15:15" x14ac:dyDescent="0.25">
      <c r="O9508" s="20" t="str">
        <f>IF(N9508="","",COUNTIFS(RawData[[Date ]],N9508,RawData[Month List],$Q$6,RawData[Tour/Site],$Q$2,RawData[[Picker ID ]],$Q$3,RawData[Checker ID],$Q$4,RawData[[Error Type ]],$Q$5))</f>
        <v/>
      </c>
    </row>
    <row r="9509" spans="15:15" x14ac:dyDescent="0.25">
      <c r="O9509" s="20" t="str">
        <f>IF(N9509="","",COUNTIFS(RawData[[Date ]],N9509,RawData[Month List],$Q$6,RawData[Tour/Site],$Q$2,RawData[[Picker ID ]],$Q$3,RawData[Checker ID],$Q$4,RawData[[Error Type ]],$Q$5))</f>
        <v/>
      </c>
    </row>
    <row r="9510" spans="15:15" x14ac:dyDescent="0.25">
      <c r="O9510" s="20" t="str">
        <f>IF(N9510="","",COUNTIFS(RawData[[Date ]],N9510,RawData[Month List],$Q$6,RawData[Tour/Site],$Q$2,RawData[[Picker ID ]],$Q$3,RawData[Checker ID],$Q$4,RawData[[Error Type ]],$Q$5))</f>
        <v/>
      </c>
    </row>
    <row r="9511" spans="15:15" x14ac:dyDescent="0.25">
      <c r="O9511" s="20" t="str">
        <f>IF(N9511="","",COUNTIFS(RawData[[Date ]],N9511,RawData[Month List],$Q$6,RawData[Tour/Site],$Q$2,RawData[[Picker ID ]],$Q$3,RawData[Checker ID],$Q$4,RawData[[Error Type ]],$Q$5))</f>
        <v/>
      </c>
    </row>
    <row r="9512" spans="15:15" x14ac:dyDescent="0.25">
      <c r="O9512" s="20" t="str">
        <f>IF(N9512="","",COUNTIFS(RawData[[Date ]],N9512,RawData[Month List],$Q$6,RawData[Tour/Site],$Q$2,RawData[[Picker ID ]],$Q$3,RawData[Checker ID],$Q$4,RawData[[Error Type ]],$Q$5))</f>
        <v/>
      </c>
    </row>
    <row r="9513" spans="15:15" x14ac:dyDescent="0.25">
      <c r="O9513" s="20" t="str">
        <f>IF(N9513="","",COUNTIFS(RawData[[Date ]],N9513,RawData[Month List],$Q$6,RawData[Tour/Site],$Q$2,RawData[[Picker ID ]],$Q$3,RawData[Checker ID],$Q$4,RawData[[Error Type ]],$Q$5))</f>
        <v/>
      </c>
    </row>
    <row r="9514" spans="15:15" x14ac:dyDescent="0.25">
      <c r="O9514" s="20" t="str">
        <f>IF(N9514="","",COUNTIFS(RawData[[Date ]],N9514,RawData[Month List],$Q$6,RawData[Tour/Site],$Q$2,RawData[[Picker ID ]],$Q$3,RawData[Checker ID],$Q$4,RawData[[Error Type ]],$Q$5))</f>
        <v/>
      </c>
    </row>
    <row r="9515" spans="15:15" x14ac:dyDescent="0.25">
      <c r="O9515" s="20" t="str">
        <f>IF(N9515="","",COUNTIFS(RawData[[Date ]],N9515,RawData[Month List],$Q$6,RawData[Tour/Site],$Q$2,RawData[[Picker ID ]],$Q$3,RawData[Checker ID],$Q$4,RawData[[Error Type ]],$Q$5))</f>
        <v/>
      </c>
    </row>
    <row r="9516" spans="15:15" x14ac:dyDescent="0.25">
      <c r="O9516" s="20" t="str">
        <f>IF(N9516="","",COUNTIFS(RawData[[Date ]],N9516,RawData[Month List],$Q$6,RawData[Tour/Site],$Q$2,RawData[[Picker ID ]],$Q$3,RawData[Checker ID],$Q$4,RawData[[Error Type ]],$Q$5))</f>
        <v/>
      </c>
    </row>
    <row r="9517" spans="15:15" x14ac:dyDescent="0.25">
      <c r="O9517" s="20" t="str">
        <f>IF(N9517="","",COUNTIFS(RawData[[Date ]],N9517,RawData[Month List],$Q$6,RawData[Tour/Site],$Q$2,RawData[[Picker ID ]],$Q$3,RawData[Checker ID],$Q$4,RawData[[Error Type ]],$Q$5))</f>
        <v/>
      </c>
    </row>
    <row r="9518" spans="15:15" x14ac:dyDescent="0.25">
      <c r="O9518" s="20" t="str">
        <f>IF(N9518="","",COUNTIFS(RawData[[Date ]],N9518,RawData[Month List],$Q$6,RawData[Tour/Site],$Q$2,RawData[[Picker ID ]],$Q$3,RawData[Checker ID],$Q$4,RawData[[Error Type ]],$Q$5))</f>
        <v/>
      </c>
    </row>
    <row r="9519" spans="15:15" x14ac:dyDescent="0.25">
      <c r="O9519" s="20" t="str">
        <f>IF(N9519="","",COUNTIFS(RawData[[Date ]],N9519,RawData[Month List],$Q$6,RawData[Tour/Site],$Q$2,RawData[[Picker ID ]],$Q$3,RawData[Checker ID],$Q$4,RawData[[Error Type ]],$Q$5))</f>
        <v/>
      </c>
    </row>
    <row r="9520" spans="15:15" x14ac:dyDescent="0.25">
      <c r="O9520" s="20" t="str">
        <f>IF(N9520="","",COUNTIFS(RawData[[Date ]],N9520,RawData[Month List],$Q$6,RawData[Tour/Site],$Q$2,RawData[[Picker ID ]],$Q$3,RawData[Checker ID],$Q$4,RawData[[Error Type ]],$Q$5))</f>
        <v/>
      </c>
    </row>
    <row r="9521" spans="15:15" x14ac:dyDescent="0.25">
      <c r="O9521" s="20" t="str">
        <f>IF(N9521="","",COUNTIFS(RawData[[Date ]],N9521,RawData[Month List],$Q$6,RawData[Tour/Site],$Q$2,RawData[[Picker ID ]],$Q$3,RawData[Checker ID],$Q$4,RawData[[Error Type ]],$Q$5))</f>
        <v/>
      </c>
    </row>
    <row r="9522" spans="15:15" x14ac:dyDescent="0.25">
      <c r="O9522" s="20" t="str">
        <f>IF(N9522="","",COUNTIFS(RawData[[Date ]],N9522,RawData[Month List],$Q$6,RawData[Tour/Site],$Q$2,RawData[[Picker ID ]],$Q$3,RawData[Checker ID],$Q$4,RawData[[Error Type ]],$Q$5))</f>
        <v/>
      </c>
    </row>
    <row r="9523" spans="15:15" x14ac:dyDescent="0.25">
      <c r="O9523" s="20" t="str">
        <f>IF(N9523="","",COUNTIFS(RawData[[Date ]],N9523,RawData[Month List],$Q$6,RawData[Tour/Site],$Q$2,RawData[[Picker ID ]],$Q$3,RawData[Checker ID],$Q$4,RawData[[Error Type ]],$Q$5))</f>
        <v/>
      </c>
    </row>
    <row r="9524" spans="15:15" x14ac:dyDescent="0.25">
      <c r="O9524" s="20" t="str">
        <f>IF(N9524="","",COUNTIFS(RawData[[Date ]],N9524,RawData[Month List],$Q$6,RawData[Tour/Site],$Q$2,RawData[[Picker ID ]],$Q$3,RawData[Checker ID],$Q$4,RawData[[Error Type ]],$Q$5))</f>
        <v/>
      </c>
    </row>
    <row r="9525" spans="15:15" x14ac:dyDescent="0.25">
      <c r="O9525" s="20" t="str">
        <f>IF(N9525="","",COUNTIFS(RawData[[Date ]],N9525,RawData[Month List],$Q$6,RawData[Tour/Site],$Q$2,RawData[[Picker ID ]],$Q$3,RawData[Checker ID],$Q$4,RawData[[Error Type ]],$Q$5))</f>
        <v/>
      </c>
    </row>
    <row r="9526" spans="15:15" x14ac:dyDescent="0.25">
      <c r="O9526" s="20" t="str">
        <f>IF(N9526="","",COUNTIFS(RawData[[Date ]],N9526,RawData[Month List],$Q$6,RawData[Tour/Site],$Q$2,RawData[[Picker ID ]],$Q$3,RawData[Checker ID],$Q$4,RawData[[Error Type ]],$Q$5))</f>
        <v/>
      </c>
    </row>
    <row r="9527" spans="15:15" x14ac:dyDescent="0.25">
      <c r="O9527" s="20" t="str">
        <f>IF(N9527="","",COUNTIFS(RawData[[Date ]],N9527,RawData[Month List],$Q$6,RawData[Tour/Site],$Q$2,RawData[[Picker ID ]],$Q$3,RawData[Checker ID],$Q$4,RawData[[Error Type ]],$Q$5))</f>
        <v/>
      </c>
    </row>
    <row r="9528" spans="15:15" x14ac:dyDescent="0.25">
      <c r="O9528" s="20" t="str">
        <f>IF(N9528="","",COUNTIFS(RawData[[Date ]],N9528,RawData[Month List],$Q$6,RawData[Tour/Site],$Q$2,RawData[[Picker ID ]],$Q$3,RawData[Checker ID],$Q$4,RawData[[Error Type ]],$Q$5))</f>
        <v/>
      </c>
    </row>
    <row r="9529" spans="15:15" x14ac:dyDescent="0.25">
      <c r="O9529" s="20" t="str">
        <f>IF(N9529="","",COUNTIFS(RawData[[Date ]],N9529,RawData[Month List],$Q$6,RawData[Tour/Site],$Q$2,RawData[[Picker ID ]],$Q$3,RawData[Checker ID],$Q$4,RawData[[Error Type ]],$Q$5))</f>
        <v/>
      </c>
    </row>
    <row r="9530" spans="15:15" x14ac:dyDescent="0.25">
      <c r="O9530" s="20" t="str">
        <f>IF(N9530="","",COUNTIFS(RawData[[Date ]],N9530,RawData[Month List],$Q$6,RawData[Tour/Site],$Q$2,RawData[[Picker ID ]],$Q$3,RawData[Checker ID],$Q$4,RawData[[Error Type ]],$Q$5))</f>
        <v/>
      </c>
    </row>
    <row r="9531" spans="15:15" x14ac:dyDescent="0.25">
      <c r="O9531" s="20" t="str">
        <f>IF(N9531="","",COUNTIFS(RawData[[Date ]],N9531,RawData[Month List],$Q$6,RawData[Tour/Site],$Q$2,RawData[[Picker ID ]],$Q$3,RawData[Checker ID],$Q$4,RawData[[Error Type ]],$Q$5))</f>
        <v/>
      </c>
    </row>
    <row r="9532" spans="15:15" x14ac:dyDescent="0.25">
      <c r="O9532" s="20" t="str">
        <f>IF(N9532="","",COUNTIFS(RawData[[Date ]],N9532,RawData[Month List],$Q$6,RawData[Tour/Site],$Q$2,RawData[[Picker ID ]],$Q$3,RawData[Checker ID],$Q$4,RawData[[Error Type ]],$Q$5))</f>
        <v/>
      </c>
    </row>
    <row r="9533" spans="15:15" x14ac:dyDescent="0.25">
      <c r="O9533" s="20" t="str">
        <f>IF(N9533="","",COUNTIFS(RawData[[Date ]],N9533,RawData[Month List],$Q$6,RawData[Tour/Site],$Q$2,RawData[[Picker ID ]],$Q$3,RawData[Checker ID],$Q$4,RawData[[Error Type ]],$Q$5))</f>
        <v/>
      </c>
    </row>
    <row r="9534" spans="15:15" x14ac:dyDescent="0.25">
      <c r="O9534" s="20" t="str">
        <f>IF(N9534="","",COUNTIFS(RawData[[Date ]],N9534,RawData[Month List],$Q$6,RawData[Tour/Site],$Q$2,RawData[[Picker ID ]],$Q$3,RawData[Checker ID],$Q$4,RawData[[Error Type ]],$Q$5))</f>
        <v/>
      </c>
    </row>
    <row r="9535" spans="15:15" x14ac:dyDescent="0.25">
      <c r="O9535" s="20" t="str">
        <f>IF(N9535="","",COUNTIFS(RawData[[Date ]],N9535,RawData[Month List],$Q$6,RawData[Tour/Site],$Q$2,RawData[[Picker ID ]],$Q$3,RawData[Checker ID],$Q$4,RawData[[Error Type ]],$Q$5))</f>
        <v/>
      </c>
    </row>
    <row r="9536" spans="15:15" x14ac:dyDescent="0.25">
      <c r="O9536" s="20" t="str">
        <f>IF(N9536="","",COUNTIFS(RawData[[Date ]],N9536,RawData[Month List],$Q$6,RawData[Tour/Site],$Q$2,RawData[[Picker ID ]],$Q$3,RawData[Checker ID],$Q$4,RawData[[Error Type ]],$Q$5))</f>
        <v/>
      </c>
    </row>
    <row r="9537" spans="15:15" x14ac:dyDescent="0.25">
      <c r="O9537" s="20" t="str">
        <f>IF(N9537="","",COUNTIFS(RawData[[Date ]],N9537,RawData[Month List],$Q$6,RawData[Tour/Site],$Q$2,RawData[[Picker ID ]],$Q$3,RawData[Checker ID],$Q$4,RawData[[Error Type ]],$Q$5))</f>
        <v/>
      </c>
    </row>
    <row r="9538" spans="15:15" x14ac:dyDescent="0.25">
      <c r="O9538" s="20" t="str">
        <f>IF(N9538="","",COUNTIFS(RawData[[Date ]],N9538,RawData[Month List],$Q$6,RawData[Tour/Site],$Q$2,RawData[[Picker ID ]],$Q$3,RawData[Checker ID],$Q$4,RawData[[Error Type ]],$Q$5))</f>
        <v/>
      </c>
    </row>
    <row r="9539" spans="15:15" x14ac:dyDescent="0.25">
      <c r="O9539" s="20" t="str">
        <f>IF(N9539="","",COUNTIFS(RawData[[Date ]],N9539,RawData[Month List],$Q$6,RawData[Tour/Site],$Q$2,RawData[[Picker ID ]],$Q$3,RawData[Checker ID],$Q$4,RawData[[Error Type ]],$Q$5))</f>
        <v/>
      </c>
    </row>
    <row r="9540" spans="15:15" x14ac:dyDescent="0.25">
      <c r="O9540" s="20" t="str">
        <f>IF(N9540="","",COUNTIFS(RawData[[Date ]],N9540,RawData[Month List],$Q$6,RawData[Tour/Site],$Q$2,RawData[[Picker ID ]],$Q$3,RawData[Checker ID],$Q$4,RawData[[Error Type ]],$Q$5))</f>
        <v/>
      </c>
    </row>
    <row r="9541" spans="15:15" x14ac:dyDescent="0.25">
      <c r="O9541" s="20" t="str">
        <f>IF(N9541="","",COUNTIFS(RawData[[Date ]],N9541,RawData[Month List],$Q$6,RawData[Tour/Site],$Q$2,RawData[[Picker ID ]],$Q$3,RawData[Checker ID],$Q$4,RawData[[Error Type ]],$Q$5))</f>
        <v/>
      </c>
    </row>
    <row r="9542" spans="15:15" x14ac:dyDescent="0.25">
      <c r="O9542" s="20" t="str">
        <f>IF(N9542="","",COUNTIFS(RawData[[Date ]],N9542,RawData[Month List],$Q$6,RawData[Tour/Site],$Q$2,RawData[[Picker ID ]],$Q$3,RawData[Checker ID],$Q$4,RawData[[Error Type ]],$Q$5))</f>
        <v/>
      </c>
    </row>
    <row r="9543" spans="15:15" x14ac:dyDescent="0.25">
      <c r="O9543" s="20" t="str">
        <f>IF(N9543="","",COUNTIFS(RawData[[Date ]],N9543,RawData[Month List],$Q$6,RawData[Tour/Site],$Q$2,RawData[[Picker ID ]],$Q$3,RawData[Checker ID],$Q$4,RawData[[Error Type ]],$Q$5))</f>
        <v/>
      </c>
    </row>
    <row r="9544" spans="15:15" x14ac:dyDescent="0.25">
      <c r="O9544" s="20" t="str">
        <f>IF(N9544="","",COUNTIFS(RawData[[Date ]],N9544,RawData[Month List],$Q$6,RawData[Tour/Site],$Q$2,RawData[[Picker ID ]],$Q$3,RawData[Checker ID],$Q$4,RawData[[Error Type ]],$Q$5))</f>
        <v/>
      </c>
    </row>
    <row r="9545" spans="15:15" x14ac:dyDescent="0.25">
      <c r="O9545" s="20" t="str">
        <f>IF(N9545="","",COUNTIFS(RawData[[Date ]],N9545,RawData[Month List],$Q$6,RawData[Tour/Site],$Q$2,RawData[[Picker ID ]],$Q$3,RawData[Checker ID],$Q$4,RawData[[Error Type ]],$Q$5))</f>
        <v/>
      </c>
    </row>
    <row r="9546" spans="15:15" x14ac:dyDescent="0.25">
      <c r="O9546" s="20" t="str">
        <f>IF(N9546="","",COUNTIFS(RawData[[Date ]],N9546,RawData[Month List],$Q$6,RawData[Tour/Site],$Q$2,RawData[[Picker ID ]],$Q$3,RawData[Checker ID],$Q$4,RawData[[Error Type ]],$Q$5))</f>
        <v/>
      </c>
    </row>
    <row r="9547" spans="15:15" x14ac:dyDescent="0.25">
      <c r="O9547" s="20" t="str">
        <f>IF(N9547="","",COUNTIFS(RawData[[Date ]],N9547,RawData[Month List],$Q$6,RawData[Tour/Site],$Q$2,RawData[[Picker ID ]],$Q$3,RawData[Checker ID],$Q$4,RawData[[Error Type ]],$Q$5))</f>
        <v/>
      </c>
    </row>
    <row r="9548" spans="15:15" x14ac:dyDescent="0.25">
      <c r="O9548" s="20" t="str">
        <f>IF(N9548="","",COUNTIFS(RawData[[Date ]],N9548,RawData[Month List],$Q$6,RawData[Tour/Site],$Q$2,RawData[[Picker ID ]],$Q$3,RawData[Checker ID],$Q$4,RawData[[Error Type ]],$Q$5))</f>
        <v/>
      </c>
    </row>
    <row r="9549" spans="15:15" x14ac:dyDescent="0.25">
      <c r="O9549" s="20" t="str">
        <f>IF(N9549="","",COUNTIFS(RawData[[Date ]],N9549,RawData[Month List],$Q$6,RawData[Tour/Site],$Q$2,RawData[[Picker ID ]],$Q$3,RawData[Checker ID],$Q$4,RawData[[Error Type ]],$Q$5))</f>
        <v/>
      </c>
    </row>
    <row r="9550" spans="15:15" x14ac:dyDescent="0.25">
      <c r="O9550" s="20" t="str">
        <f>IF(N9550="","",COUNTIFS(RawData[[Date ]],N9550,RawData[Month List],$Q$6,RawData[Tour/Site],$Q$2,RawData[[Picker ID ]],$Q$3,RawData[Checker ID],$Q$4,RawData[[Error Type ]],$Q$5))</f>
        <v/>
      </c>
    </row>
    <row r="9551" spans="15:15" x14ac:dyDescent="0.25">
      <c r="O9551" s="20" t="str">
        <f>IF(N9551="","",COUNTIFS(RawData[[Date ]],N9551,RawData[Month List],$Q$6,RawData[Tour/Site],$Q$2,RawData[[Picker ID ]],$Q$3,RawData[Checker ID],$Q$4,RawData[[Error Type ]],$Q$5))</f>
        <v/>
      </c>
    </row>
    <row r="9552" spans="15:15" x14ac:dyDescent="0.25">
      <c r="O9552" s="20" t="str">
        <f>IF(N9552="","",COUNTIFS(RawData[[Date ]],N9552,RawData[Month List],$Q$6,RawData[Tour/Site],$Q$2,RawData[[Picker ID ]],$Q$3,RawData[Checker ID],$Q$4,RawData[[Error Type ]],$Q$5))</f>
        <v/>
      </c>
    </row>
    <row r="9553" spans="15:15" x14ac:dyDescent="0.25">
      <c r="O9553" s="20" t="str">
        <f>IF(N9553="","",COUNTIFS(RawData[[Date ]],N9553,RawData[Month List],$Q$6,RawData[Tour/Site],$Q$2,RawData[[Picker ID ]],$Q$3,RawData[Checker ID],$Q$4,RawData[[Error Type ]],$Q$5))</f>
        <v/>
      </c>
    </row>
    <row r="9554" spans="15:15" x14ac:dyDescent="0.25">
      <c r="O9554" s="20" t="str">
        <f>IF(N9554="","",COUNTIFS(RawData[[Date ]],N9554,RawData[Month List],$Q$6,RawData[Tour/Site],$Q$2,RawData[[Picker ID ]],$Q$3,RawData[Checker ID],$Q$4,RawData[[Error Type ]],$Q$5))</f>
        <v/>
      </c>
    </row>
    <row r="9555" spans="15:15" x14ac:dyDescent="0.25">
      <c r="O9555" s="20" t="str">
        <f>IF(N9555="","",COUNTIFS(RawData[[Date ]],N9555,RawData[Month List],$Q$6,RawData[Tour/Site],$Q$2,RawData[[Picker ID ]],$Q$3,RawData[Checker ID],$Q$4,RawData[[Error Type ]],$Q$5))</f>
        <v/>
      </c>
    </row>
    <row r="9556" spans="15:15" x14ac:dyDescent="0.25">
      <c r="O9556" s="20" t="str">
        <f>IF(N9556="","",COUNTIFS(RawData[[Date ]],N9556,RawData[Month List],$Q$6,RawData[Tour/Site],$Q$2,RawData[[Picker ID ]],$Q$3,RawData[Checker ID],$Q$4,RawData[[Error Type ]],$Q$5))</f>
        <v/>
      </c>
    </row>
    <row r="9557" spans="15:15" x14ac:dyDescent="0.25">
      <c r="O9557" s="20" t="str">
        <f>IF(N9557="","",COUNTIFS(RawData[[Date ]],N9557,RawData[Month List],$Q$6,RawData[Tour/Site],$Q$2,RawData[[Picker ID ]],$Q$3,RawData[Checker ID],$Q$4,RawData[[Error Type ]],$Q$5))</f>
        <v/>
      </c>
    </row>
    <row r="9558" spans="15:15" x14ac:dyDescent="0.25">
      <c r="O9558" s="20" t="str">
        <f>IF(N9558="","",COUNTIFS(RawData[[Date ]],N9558,RawData[Month List],$Q$6,RawData[Tour/Site],$Q$2,RawData[[Picker ID ]],$Q$3,RawData[Checker ID],$Q$4,RawData[[Error Type ]],$Q$5))</f>
        <v/>
      </c>
    </row>
    <row r="9559" spans="15:15" x14ac:dyDescent="0.25">
      <c r="O9559" s="20" t="str">
        <f>IF(N9559="","",COUNTIFS(RawData[[Date ]],N9559,RawData[Month List],$Q$6,RawData[Tour/Site],$Q$2,RawData[[Picker ID ]],$Q$3,RawData[Checker ID],$Q$4,RawData[[Error Type ]],$Q$5))</f>
        <v/>
      </c>
    </row>
    <row r="9560" spans="15:15" x14ac:dyDescent="0.25">
      <c r="O9560" s="20" t="str">
        <f>IF(N9560="","",COUNTIFS(RawData[[Date ]],N9560,RawData[Month List],$Q$6,RawData[Tour/Site],$Q$2,RawData[[Picker ID ]],$Q$3,RawData[Checker ID],$Q$4,RawData[[Error Type ]],$Q$5))</f>
        <v/>
      </c>
    </row>
    <row r="9561" spans="15:15" x14ac:dyDescent="0.25">
      <c r="O9561" s="20" t="str">
        <f>IF(N9561="","",COUNTIFS(RawData[[Date ]],N9561,RawData[Month List],$Q$6,RawData[Tour/Site],$Q$2,RawData[[Picker ID ]],$Q$3,RawData[Checker ID],$Q$4,RawData[[Error Type ]],$Q$5))</f>
        <v/>
      </c>
    </row>
    <row r="9562" spans="15:15" x14ac:dyDescent="0.25">
      <c r="O9562" s="20" t="str">
        <f>IF(N9562="","",COUNTIFS(RawData[[Date ]],N9562,RawData[Month List],$Q$6,RawData[Tour/Site],$Q$2,RawData[[Picker ID ]],$Q$3,RawData[Checker ID],$Q$4,RawData[[Error Type ]],$Q$5))</f>
        <v/>
      </c>
    </row>
    <row r="9563" spans="15:15" x14ac:dyDescent="0.25">
      <c r="O9563" s="20" t="str">
        <f>IF(N9563="","",COUNTIFS(RawData[[Date ]],N9563,RawData[Month List],$Q$6,RawData[Tour/Site],$Q$2,RawData[[Picker ID ]],$Q$3,RawData[Checker ID],$Q$4,RawData[[Error Type ]],$Q$5))</f>
        <v/>
      </c>
    </row>
    <row r="9564" spans="15:15" x14ac:dyDescent="0.25">
      <c r="O9564" s="20" t="str">
        <f>IF(N9564="","",COUNTIFS(RawData[[Date ]],N9564,RawData[Month List],$Q$6,RawData[Tour/Site],$Q$2,RawData[[Picker ID ]],$Q$3,RawData[Checker ID],$Q$4,RawData[[Error Type ]],$Q$5))</f>
        <v/>
      </c>
    </row>
    <row r="9565" spans="15:15" x14ac:dyDescent="0.25">
      <c r="O9565" s="20" t="str">
        <f>IF(N9565="","",COUNTIFS(RawData[[Date ]],N9565,RawData[Month List],$Q$6,RawData[Tour/Site],$Q$2,RawData[[Picker ID ]],$Q$3,RawData[Checker ID],$Q$4,RawData[[Error Type ]],$Q$5))</f>
        <v/>
      </c>
    </row>
    <row r="9566" spans="15:15" x14ac:dyDescent="0.25">
      <c r="O9566" s="20" t="str">
        <f>IF(N9566="","",COUNTIFS(RawData[[Date ]],N9566,RawData[Month List],$Q$6,RawData[Tour/Site],$Q$2,RawData[[Picker ID ]],$Q$3,RawData[Checker ID],$Q$4,RawData[[Error Type ]],$Q$5))</f>
        <v/>
      </c>
    </row>
    <row r="9567" spans="15:15" x14ac:dyDescent="0.25">
      <c r="O9567" s="20" t="str">
        <f>IF(N9567="","",COUNTIFS(RawData[[Date ]],N9567,RawData[Month List],$Q$6,RawData[Tour/Site],$Q$2,RawData[[Picker ID ]],$Q$3,RawData[Checker ID],$Q$4,RawData[[Error Type ]],$Q$5))</f>
        <v/>
      </c>
    </row>
    <row r="9568" spans="15:15" x14ac:dyDescent="0.25">
      <c r="O9568" s="20" t="str">
        <f>IF(N9568="","",COUNTIFS(RawData[[Date ]],N9568,RawData[Month List],$Q$6,RawData[Tour/Site],$Q$2,RawData[[Picker ID ]],$Q$3,RawData[Checker ID],$Q$4,RawData[[Error Type ]],$Q$5))</f>
        <v/>
      </c>
    </row>
    <row r="9569" spans="15:15" x14ac:dyDescent="0.25">
      <c r="O9569" s="20" t="str">
        <f>IF(N9569="","",COUNTIFS(RawData[[Date ]],N9569,RawData[Month List],$Q$6,RawData[Tour/Site],$Q$2,RawData[[Picker ID ]],$Q$3,RawData[Checker ID],$Q$4,RawData[[Error Type ]],$Q$5))</f>
        <v/>
      </c>
    </row>
    <row r="9570" spans="15:15" x14ac:dyDescent="0.25">
      <c r="O9570" s="20" t="str">
        <f>IF(N9570="","",COUNTIFS(RawData[[Date ]],N9570,RawData[Month List],$Q$6,RawData[Tour/Site],$Q$2,RawData[[Picker ID ]],$Q$3,RawData[Checker ID],$Q$4,RawData[[Error Type ]],$Q$5))</f>
        <v/>
      </c>
    </row>
    <row r="9571" spans="15:15" x14ac:dyDescent="0.25">
      <c r="O9571" s="20" t="str">
        <f>IF(N9571="","",COUNTIFS(RawData[[Date ]],N9571,RawData[Month List],$Q$6,RawData[Tour/Site],$Q$2,RawData[[Picker ID ]],$Q$3,RawData[Checker ID],$Q$4,RawData[[Error Type ]],$Q$5))</f>
        <v/>
      </c>
    </row>
    <row r="9572" spans="15:15" x14ac:dyDescent="0.25">
      <c r="O9572" s="20" t="str">
        <f>IF(N9572="","",COUNTIFS(RawData[[Date ]],N9572,RawData[Month List],$Q$6,RawData[Tour/Site],$Q$2,RawData[[Picker ID ]],$Q$3,RawData[Checker ID],$Q$4,RawData[[Error Type ]],$Q$5))</f>
        <v/>
      </c>
    </row>
    <row r="9573" spans="15:15" x14ac:dyDescent="0.25">
      <c r="O9573" s="20" t="str">
        <f>IF(N9573="","",COUNTIFS(RawData[[Date ]],N9573,RawData[Month List],$Q$6,RawData[Tour/Site],$Q$2,RawData[[Picker ID ]],$Q$3,RawData[Checker ID],$Q$4,RawData[[Error Type ]],$Q$5))</f>
        <v/>
      </c>
    </row>
    <row r="9574" spans="15:15" x14ac:dyDescent="0.25">
      <c r="O9574" s="20" t="str">
        <f>IF(N9574="","",COUNTIFS(RawData[[Date ]],N9574,RawData[Month List],$Q$6,RawData[Tour/Site],$Q$2,RawData[[Picker ID ]],$Q$3,RawData[Checker ID],$Q$4,RawData[[Error Type ]],$Q$5))</f>
        <v/>
      </c>
    </row>
    <row r="9575" spans="15:15" x14ac:dyDescent="0.25">
      <c r="O9575" s="20" t="str">
        <f>IF(N9575="","",COUNTIFS(RawData[[Date ]],N9575,RawData[Month List],$Q$6,RawData[Tour/Site],$Q$2,RawData[[Picker ID ]],$Q$3,RawData[Checker ID],$Q$4,RawData[[Error Type ]],$Q$5))</f>
        <v/>
      </c>
    </row>
    <row r="9576" spans="15:15" x14ac:dyDescent="0.25">
      <c r="O9576" s="20" t="str">
        <f>IF(N9576="","",COUNTIFS(RawData[[Date ]],N9576,RawData[Month List],$Q$6,RawData[Tour/Site],$Q$2,RawData[[Picker ID ]],$Q$3,RawData[Checker ID],$Q$4,RawData[[Error Type ]],$Q$5))</f>
        <v/>
      </c>
    </row>
    <row r="9577" spans="15:15" x14ac:dyDescent="0.25">
      <c r="O9577" s="20" t="str">
        <f>IF(N9577="","",COUNTIFS(RawData[[Date ]],N9577,RawData[Month List],$Q$6,RawData[Tour/Site],$Q$2,RawData[[Picker ID ]],$Q$3,RawData[Checker ID],$Q$4,RawData[[Error Type ]],$Q$5))</f>
        <v/>
      </c>
    </row>
    <row r="9578" spans="15:15" x14ac:dyDescent="0.25">
      <c r="O9578" s="20" t="str">
        <f>IF(N9578="","",COUNTIFS(RawData[[Date ]],N9578,RawData[Month List],$Q$6,RawData[Tour/Site],$Q$2,RawData[[Picker ID ]],$Q$3,RawData[Checker ID],$Q$4,RawData[[Error Type ]],$Q$5))</f>
        <v/>
      </c>
    </row>
    <row r="9579" spans="15:15" x14ac:dyDescent="0.25">
      <c r="O9579" s="20" t="str">
        <f>IF(N9579="","",COUNTIFS(RawData[[Date ]],N9579,RawData[Month List],$Q$6,RawData[Tour/Site],$Q$2,RawData[[Picker ID ]],$Q$3,RawData[Checker ID],$Q$4,RawData[[Error Type ]],$Q$5))</f>
        <v/>
      </c>
    </row>
    <row r="9580" spans="15:15" x14ac:dyDescent="0.25">
      <c r="O9580" s="20" t="str">
        <f>IF(N9580="","",COUNTIFS(RawData[[Date ]],N9580,RawData[Month List],$Q$6,RawData[Tour/Site],$Q$2,RawData[[Picker ID ]],$Q$3,RawData[Checker ID],$Q$4,RawData[[Error Type ]],$Q$5))</f>
        <v/>
      </c>
    </row>
    <row r="9581" spans="15:15" x14ac:dyDescent="0.25">
      <c r="O9581" s="20" t="str">
        <f>IF(N9581="","",COUNTIFS(RawData[[Date ]],N9581,RawData[Month List],$Q$6,RawData[Tour/Site],$Q$2,RawData[[Picker ID ]],$Q$3,RawData[Checker ID],$Q$4,RawData[[Error Type ]],$Q$5))</f>
        <v/>
      </c>
    </row>
    <row r="9582" spans="15:15" x14ac:dyDescent="0.25">
      <c r="O9582" s="20" t="str">
        <f>IF(N9582="","",COUNTIFS(RawData[[Date ]],N9582,RawData[Month List],$Q$6,RawData[Tour/Site],$Q$2,RawData[[Picker ID ]],$Q$3,RawData[Checker ID],$Q$4,RawData[[Error Type ]],$Q$5))</f>
        <v/>
      </c>
    </row>
    <row r="9583" spans="15:15" x14ac:dyDescent="0.25">
      <c r="O9583" s="20" t="str">
        <f>IF(N9583="","",COUNTIFS(RawData[[Date ]],N9583,RawData[Month List],$Q$6,RawData[Tour/Site],$Q$2,RawData[[Picker ID ]],$Q$3,RawData[Checker ID],$Q$4,RawData[[Error Type ]],$Q$5))</f>
        <v/>
      </c>
    </row>
    <row r="9584" spans="15:15" x14ac:dyDescent="0.25">
      <c r="O9584" s="20" t="str">
        <f>IF(N9584="","",COUNTIFS(RawData[[Date ]],N9584,RawData[Month List],$Q$6,RawData[Tour/Site],$Q$2,RawData[[Picker ID ]],$Q$3,RawData[Checker ID],$Q$4,RawData[[Error Type ]],$Q$5))</f>
        <v/>
      </c>
    </row>
    <row r="9585" spans="15:15" x14ac:dyDescent="0.25">
      <c r="O9585" s="20" t="str">
        <f>IF(N9585="","",COUNTIFS(RawData[[Date ]],N9585,RawData[Month List],$Q$6,RawData[Tour/Site],$Q$2,RawData[[Picker ID ]],$Q$3,RawData[Checker ID],$Q$4,RawData[[Error Type ]],$Q$5))</f>
        <v/>
      </c>
    </row>
    <row r="9586" spans="15:15" x14ac:dyDescent="0.25">
      <c r="O9586" s="20" t="str">
        <f>IF(N9586="","",COUNTIFS(RawData[[Date ]],N9586,RawData[Month List],$Q$6,RawData[Tour/Site],$Q$2,RawData[[Picker ID ]],$Q$3,RawData[Checker ID],$Q$4,RawData[[Error Type ]],$Q$5))</f>
        <v/>
      </c>
    </row>
    <row r="9587" spans="15:15" x14ac:dyDescent="0.25">
      <c r="O9587" s="20" t="str">
        <f>IF(N9587="","",COUNTIFS(RawData[[Date ]],N9587,RawData[Month List],$Q$6,RawData[Tour/Site],$Q$2,RawData[[Picker ID ]],$Q$3,RawData[Checker ID],$Q$4,RawData[[Error Type ]],$Q$5))</f>
        <v/>
      </c>
    </row>
    <row r="9588" spans="15:15" x14ac:dyDescent="0.25">
      <c r="O9588" s="20" t="str">
        <f>IF(N9588="","",COUNTIFS(RawData[[Date ]],N9588,RawData[Month List],$Q$6,RawData[Tour/Site],$Q$2,RawData[[Picker ID ]],$Q$3,RawData[Checker ID],$Q$4,RawData[[Error Type ]],$Q$5))</f>
        <v/>
      </c>
    </row>
    <row r="9589" spans="15:15" x14ac:dyDescent="0.25">
      <c r="O9589" s="20" t="str">
        <f>IF(N9589="","",COUNTIFS(RawData[[Date ]],N9589,RawData[Month List],$Q$6,RawData[Tour/Site],$Q$2,RawData[[Picker ID ]],$Q$3,RawData[Checker ID],$Q$4,RawData[[Error Type ]],$Q$5))</f>
        <v/>
      </c>
    </row>
    <row r="9590" spans="15:15" x14ac:dyDescent="0.25">
      <c r="O9590" s="20" t="str">
        <f>IF(N9590="","",COUNTIFS(RawData[[Date ]],N9590,RawData[Month List],$Q$6,RawData[Tour/Site],$Q$2,RawData[[Picker ID ]],$Q$3,RawData[Checker ID],$Q$4,RawData[[Error Type ]],$Q$5))</f>
        <v/>
      </c>
    </row>
    <row r="9591" spans="15:15" x14ac:dyDescent="0.25">
      <c r="O9591" s="20" t="str">
        <f>IF(N9591="","",COUNTIFS(RawData[[Date ]],N9591,RawData[Month List],$Q$6,RawData[Tour/Site],$Q$2,RawData[[Picker ID ]],$Q$3,RawData[Checker ID],$Q$4,RawData[[Error Type ]],$Q$5))</f>
        <v/>
      </c>
    </row>
    <row r="9592" spans="15:15" x14ac:dyDescent="0.25">
      <c r="O9592" s="20" t="str">
        <f>IF(N9592="","",COUNTIFS(RawData[[Date ]],N9592,RawData[Month List],$Q$6,RawData[Tour/Site],$Q$2,RawData[[Picker ID ]],$Q$3,RawData[Checker ID],$Q$4,RawData[[Error Type ]],$Q$5))</f>
        <v/>
      </c>
    </row>
    <row r="9593" spans="15:15" x14ac:dyDescent="0.25">
      <c r="O9593" s="20" t="str">
        <f>IF(N9593="","",COUNTIFS(RawData[[Date ]],N9593,RawData[Month List],$Q$6,RawData[Tour/Site],$Q$2,RawData[[Picker ID ]],$Q$3,RawData[Checker ID],$Q$4,RawData[[Error Type ]],$Q$5))</f>
        <v/>
      </c>
    </row>
    <row r="9594" spans="15:15" x14ac:dyDescent="0.25">
      <c r="O9594" s="20" t="str">
        <f>IF(N9594="","",COUNTIFS(RawData[[Date ]],N9594,RawData[Month List],$Q$6,RawData[Tour/Site],$Q$2,RawData[[Picker ID ]],$Q$3,RawData[Checker ID],$Q$4,RawData[[Error Type ]],$Q$5))</f>
        <v/>
      </c>
    </row>
    <row r="9595" spans="15:15" x14ac:dyDescent="0.25">
      <c r="O9595" s="20" t="str">
        <f>IF(N9595="","",COUNTIFS(RawData[[Date ]],N9595,RawData[Month List],$Q$6,RawData[Tour/Site],$Q$2,RawData[[Picker ID ]],$Q$3,RawData[Checker ID],$Q$4,RawData[[Error Type ]],$Q$5))</f>
        <v/>
      </c>
    </row>
    <row r="9596" spans="15:15" x14ac:dyDescent="0.25">
      <c r="O9596" s="20" t="str">
        <f>IF(N9596="","",COUNTIFS(RawData[[Date ]],N9596,RawData[Month List],$Q$6,RawData[Tour/Site],$Q$2,RawData[[Picker ID ]],$Q$3,RawData[Checker ID],$Q$4,RawData[[Error Type ]],$Q$5))</f>
        <v/>
      </c>
    </row>
    <row r="9597" spans="15:15" x14ac:dyDescent="0.25">
      <c r="O9597" s="20" t="str">
        <f>IF(N9597="","",COUNTIFS(RawData[[Date ]],N9597,RawData[Month List],$Q$6,RawData[Tour/Site],$Q$2,RawData[[Picker ID ]],$Q$3,RawData[Checker ID],$Q$4,RawData[[Error Type ]],$Q$5))</f>
        <v/>
      </c>
    </row>
    <row r="9598" spans="15:15" x14ac:dyDescent="0.25">
      <c r="O9598" s="20" t="str">
        <f>IF(N9598="","",COUNTIFS(RawData[[Date ]],N9598,RawData[Month List],$Q$6,RawData[Tour/Site],$Q$2,RawData[[Picker ID ]],$Q$3,RawData[Checker ID],$Q$4,RawData[[Error Type ]],$Q$5))</f>
        <v/>
      </c>
    </row>
    <row r="9599" spans="15:15" x14ac:dyDescent="0.25">
      <c r="O9599" s="20" t="str">
        <f>IF(N9599="","",COUNTIFS(RawData[[Date ]],N9599,RawData[Month List],$Q$6,RawData[Tour/Site],$Q$2,RawData[[Picker ID ]],$Q$3,RawData[Checker ID],$Q$4,RawData[[Error Type ]],$Q$5))</f>
        <v/>
      </c>
    </row>
    <row r="9600" spans="15:15" x14ac:dyDescent="0.25">
      <c r="O9600" s="20" t="str">
        <f>IF(N9600="","",COUNTIFS(RawData[[Date ]],N9600,RawData[Month List],$Q$6,RawData[Tour/Site],$Q$2,RawData[[Picker ID ]],$Q$3,RawData[Checker ID],$Q$4,RawData[[Error Type ]],$Q$5))</f>
        <v/>
      </c>
    </row>
    <row r="9601" spans="15:15" x14ac:dyDescent="0.25">
      <c r="O9601" s="20" t="str">
        <f>IF(N9601="","",COUNTIFS(RawData[[Date ]],N9601,RawData[Month List],$Q$6,RawData[Tour/Site],$Q$2,RawData[[Picker ID ]],$Q$3,RawData[Checker ID],$Q$4,RawData[[Error Type ]],$Q$5))</f>
        <v/>
      </c>
    </row>
    <row r="9602" spans="15:15" x14ac:dyDescent="0.25">
      <c r="O9602" s="20" t="str">
        <f>IF(N9602="","",COUNTIFS(RawData[[Date ]],N9602,RawData[Month List],$Q$6,RawData[Tour/Site],$Q$2,RawData[[Picker ID ]],$Q$3,RawData[Checker ID],$Q$4,RawData[[Error Type ]],$Q$5))</f>
        <v/>
      </c>
    </row>
    <row r="9603" spans="15:15" x14ac:dyDescent="0.25">
      <c r="O9603" s="20" t="str">
        <f>IF(N9603="","",COUNTIFS(RawData[[Date ]],N9603,RawData[Month List],$Q$6,RawData[Tour/Site],$Q$2,RawData[[Picker ID ]],$Q$3,RawData[Checker ID],$Q$4,RawData[[Error Type ]],$Q$5))</f>
        <v/>
      </c>
    </row>
    <row r="9604" spans="15:15" x14ac:dyDescent="0.25">
      <c r="O9604" s="20" t="str">
        <f>IF(N9604="","",COUNTIFS(RawData[[Date ]],N9604,RawData[Month List],$Q$6,RawData[Tour/Site],$Q$2,RawData[[Picker ID ]],$Q$3,RawData[Checker ID],$Q$4,RawData[[Error Type ]],$Q$5))</f>
        <v/>
      </c>
    </row>
    <row r="9605" spans="15:15" x14ac:dyDescent="0.25">
      <c r="O9605" s="20" t="str">
        <f>IF(N9605="","",COUNTIFS(RawData[[Date ]],N9605,RawData[Month List],$Q$6,RawData[Tour/Site],$Q$2,RawData[[Picker ID ]],$Q$3,RawData[Checker ID],$Q$4,RawData[[Error Type ]],$Q$5))</f>
        <v/>
      </c>
    </row>
    <row r="9606" spans="15:15" x14ac:dyDescent="0.25">
      <c r="O9606" s="20" t="str">
        <f>IF(N9606="","",COUNTIFS(RawData[[Date ]],N9606,RawData[Month List],$Q$6,RawData[Tour/Site],$Q$2,RawData[[Picker ID ]],$Q$3,RawData[Checker ID],$Q$4,RawData[[Error Type ]],$Q$5))</f>
        <v/>
      </c>
    </row>
    <row r="9607" spans="15:15" x14ac:dyDescent="0.25">
      <c r="O9607" s="20" t="str">
        <f>IF(N9607="","",COUNTIFS(RawData[[Date ]],N9607,RawData[Month List],$Q$6,RawData[Tour/Site],$Q$2,RawData[[Picker ID ]],$Q$3,RawData[Checker ID],$Q$4,RawData[[Error Type ]],$Q$5))</f>
        <v/>
      </c>
    </row>
    <row r="9608" spans="15:15" x14ac:dyDescent="0.25">
      <c r="O9608" s="20" t="str">
        <f>IF(N9608="","",COUNTIFS(RawData[[Date ]],N9608,RawData[Month List],$Q$6,RawData[Tour/Site],$Q$2,RawData[[Picker ID ]],$Q$3,RawData[Checker ID],$Q$4,RawData[[Error Type ]],$Q$5))</f>
        <v/>
      </c>
    </row>
    <row r="9609" spans="15:15" x14ac:dyDescent="0.25">
      <c r="O9609" s="20" t="str">
        <f>IF(N9609="","",COUNTIFS(RawData[[Date ]],N9609,RawData[Month List],$Q$6,RawData[Tour/Site],$Q$2,RawData[[Picker ID ]],$Q$3,RawData[Checker ID],$Q$4,RawData[[Error Type ]],$Q$5))</f>
        <v/>
      </c>
    </row>
    <row r="9610" spans="15:15" x14ac:dyDescent="0.25">
      <c r="O9610" s="20" t="str">
        <f>IF(N9610="","",COUNTIFS(RawData[[Date ]],N9610,RawData[Month List],$Q$6,RawData[Tour/Site],$Q$2,RawData[[Picker ID ]],$Q$3,RawData[Checker ID],$Q$4,RawData[[Error Type ]],$Q$5))</f>
        <v/>
      </c>
    </row>
    <row r="9611" spans="15:15" x14ac:dyDescent="0.25">
      <c r="O9611" s="20" t="str">
        <f>IF(N9611="","",COUNTIFS(RawData[[Date ]],N9611,RawData[Month List],$Q$6,RawData[Tour/Site],$Q$2,RawData[[Picker ID ]],$Q$3,RawData[Checker ID],$Q$4,RawData[[Error Type ]],$Q$5))</f>
        <v/>
      </c>
    </row>
    <row r="9612" spans="15:15" x14ac:dyDescent="0.25">
      <c r="O9612" s="20" t="str">
        <f>IF(N9612="","",COUNTIFS(RawData[[Date ]],N9612,RawData[Month List],$Q$6,RawData[Tour/Site],$Q$2,RawData[[Picker ID ]],$Q$3,RawData[Checker ID],$Q$4,RawData[[Error Type ]],$Q$5))</f>
        <v/>
      </c>
    </row>
    <row r="9613" spans="15:15" x14ac:dyDescent="0.25">
      <c r="O9613" s="20" t="str">
        <f>IF(N9613="","",COUNTIFS(RawData[[Date ]],N9613,RawData[Month List],$Q$6,RawData[Tour/Site],$Q$2,RawData[[Picker ID ]],$Q$3,RawData[Checker ID],$Q$4,RawData[[Error Type ]],$Q$5))</f>
        <v/>
      </c>
    </row>
    <row r="9614" spans="15:15" x14ac:dyDescent="0.25">
      <c r="O9614" s="20" t="str">
        <f>IF(N9614="","",COUNTIFS(RawData[[Date ]],N9614,RawData[Month List],$Q$6,RawData[Tour/Site],$Q$2,RawData[[Picker ID ]],$Q$3,RawData[Checker ID],$Q$4,RawData[[Error Type ]],$Q$5))</f>
        <v/>
      </c>
    </row>
    <row r="9615" spans="15:15" x14ac:dyDescent="0.25">
      <c r="O9615" s="20" t="str">
        <f>IF(N9615="","",COUNTIFS(RawData[[Date ]],N9615,RawData[Month List],$Q$6,RawData[Tour/Site],$Q$2,RawData[[Picker ID ]],$Q$3,RawData[Checker ID],$Q$4,RawData[[Error Type ]],$Q$5))</f>
        <v/>
      </c>
    </row>
    <row r="9616" spans="15:15" x14ac:dyDescent="0.25">
      <c r="O9616" s="20" t="str">
        <f>IF(N9616="","",COUNTIFS(RawData[[Date ]],N9616,RawData[Month List],$Q$6,RawData[Tour/Site],$Q$2,RawData[[Picker ID ]],$Q$3,RawData[Checker ID],$Q$4,RawData[[Error Type ]],$Q$5))</f>
        <v/>
      </c>
    </row>
    <row r="9617" spans="15:15" x14ac:dyDescent="0.25">
      <c r="O9617" s="20" t="str">
        <f>IF(N9617="","",COUNTIFS(RawData[[Date ]],N9617,RawData[Month List],$Q$6,RawData[Tour/Site],$Q$2,RawData[[Picker ID ]],$Q$3,RawData[Checker ID],$Q$4,RawData[[Error Type ]],$Q$5))</f>
        <v/>
      </c>
    </row>
    <row r="9618" spans="15:15" x14ac:dyDescent="0.25">
      <c r="O9618" s="20" t="str">
        <f>IF(N9618="","",COUNTIFS(RawData[[Date ]],N9618,RawData[Month List],$Q$6,RawData[Tour/Site],$Q$2,RawData[[Picker ID ]],$Q$3,RawData[Checker ID],$Q$4,RawData[[Error Type ]],$Q$5))</f>
        <v/>
      </c>
    </row>
    <row r="9619" spans="15:15" x14ac:dyDescent="0.25">
      <c r="O9619" s="20" t="str">
        <f>IF(N9619="","",COUNTIFS(RawData[[Date ]],N9619,RawData[Month List],$Q$6,RawData[Tour/Site],$Q$2,RawData[[Picker ID ]],$Q$3,RawData[Checker ID],$Q$4,RawData[[Error Type ]],$Q$5))</f>
        <v/>
      </c>
    </row>
    <row r="9620" spans="15:15" x14ac:dyDescent="0.25">
      <c r="O9620" s="20" t="str">
        <f>IF(N9620="","",COUNTIFS(RawData[[Date ]],N9620,RawData[Month List],$Q$6,RawData[Tour/Site],$Q$2,RawData[[Picker ID ]],$Q$3,RawData[Checker ID],$Q$4,RawData[[Error Type ]],$Q$5))</f>
        <v/>
      </c>
    </row>
    <row r="9621" spans="15:15" x14ac:dyDescent="0.25">
      <c r="O9621" s="20" t="str">
        <f>IF(N9621="","",COUNTIFS(RawData[[Date ]],N9621,RawData[Month List],$Q$6,RawData[Tour/Site],$Q$2,RawData[[Picker ID ]],$Q$3,RawData[Checker ID],$Q$4,RawData[[Error Type ]],$Q$5))</f>
        <v/>
      </c>
    </row>
    <row r="9622" spans="15:15" x14ac:dyDescent="0.25">
      <c r="O9622" s="20" t="str">
        <f>IF(N9622="","",COUNTIFS(RawData[[Date ]],N9622,RawData[Month List],$Q$6,RawData[Tour/Site],$Q$2,RawData[[Picker ID ]],$Q$3,RawData[Checker ID],$Q$4,RawData[[Error Type ]],$Q$5))</f>
        <v/>
      </c>
    </row>
    <row r="9623" spans="15:15" x14ac:dyDescent="0.25">
      <c r="O9623" s="20" t="str">
        <f>IF(N9623="","",COUNTIFS(RawData[[Date ]],N9623,RawData[Month List],$Q$6,RawData[Tour/Site],$Q$2,RawData[[Picker ID ]],$Q$3,RawData[Checker ID],$Q$4,RawData[[Error Type ]],$Q$5))</f>
        <v/>
      </c>
    </row>
    <row r="9624" spans="15:15" x14ac:dyDescent="0.25">
      <c r="O9624" s="20" t="str">
        <f>IF(N9624="","",COUNTIFS(RawData[[Date ]],N9624,RawData[Month List],$Q$6,RawData[Tour/Site],$Q$2,RawData[[Picker ID ]],$Q$3,RawData[Checker ID],$Q$4,RawData[[Error Type ]],$Q$5))</f>
        <v/>
      </c>
    </row>
    <row r="9625" spans="15:15" x14ac:dyDescent="0.25">
      <c r="O9625" s="20" t="str">
        <f>IF(N9625="","",COUNTIFS(RawData[[Date ]],N9625,RawData[Month List],$Q$6,RawData[Tour/Site],$Q$2,RawData[[Picker ID ]],$Q$3,RawData[Checker ID],$Q$4,RawData[[Error Type ]],$Q$5))</f>
        <v/>
      </c>
    </row>
    <row r="9626" spans="15:15" x14ac:dyDescent="0.25">
      <c r="O9626" s="20" t="str">
        <f>IF(N9626="","",COUNTIFS(RawData[[Date ]],N9626,RawData[Month List],$Q$6,RawData[Tour/Site],$Q$2,RawData[[Picker ID ]],$Q$3,RawData[Checker ID],$Q$4,RawData[[Error Type ]],$Q$5))</f>
        <v/>
      </c>
    </row>
    <row r="9627" spans="15:15" x14ac:dyDescent="0.25">
      <c r="O9627" s="20" t="str">
        <f>IF(N9627="","",COUNTIFS(RawData[[Date ]],N9627,RawData[Month List],$Q$6,RawData[Tour/Site],$Q$2,RawData[[Picker ID ]],$Q$3,RawData[Checker ID],$Q$4,RawData[[Error Type ]],$Q$5))</f>
        <v/>
      </c>
    </row>
    <row r="9628" spans="15:15" x14ac:dyDescent="0.25">
      <c r="O9628" s="20" t="str">
        <f>IF(N9628="","",COUNTIFS(RawData[[Date ]],N9628,RawData[Month List],$Q$6,RawData[Tour/Site],$Q$2,RawData[[Picker ID ]],$Q$3,RawData[Checker ID],$Q$4,RawData[[Error Type ]],$Q$5))</f>
        <v/>
      </c>
    </row>
    <row r="9629" spans="15:15" x14ac:dyDescent="0.25">
      <c r="O9629" s="20" t="str">
        <f>IF(N9629="","",COUNTIFS(RawData[[Date ]],N9629,RawData[Month List],$Q$6,RawData[Tour/Site],$Q$2,RawData[[Picker ID ]],$Q$3,RawData[Checker ID],$Q$4,RawData[[Error Type ]],$Q$5))</f>
        <v/>
      </c>
    </row>
    <row r="9630" spans="15:15" x14ac:dyDescent="0.25">
      <c r="O9630" s="20" t="str">
        <f>IF(N9630="","",COUNTIFS(RawData[[Date ]],N9630,RawData[Month List],$Q$6,RawData[Tour/Site],$Q$2,RawData[[Picker ID ]],$Q$3,RawData[Checker ID],$Q$4,RawData[[Error Type ]],$Q$5))</f>
        <v/>
      </c>
    </row>
    <row r="9631" spans="15:15" x14ac:dyDescent="0.25">
      <c r="O9631" s="20" t="str">
        <f>IF(N9631="","",COUNTIFS(RawData[[Date ]],N9631,RawData[Month List],$Q$6,RawData[Tour/Site],$Q$2,RawData[[Picker ID ]],$Q$3,RawData[Checker ID],$Q$4,RawData[[Error Type ]],$Q$5))</f>
        <v/>
      </c>
    </row>
    <row r="9632" spans="15:15" x14ac:dyDescent="0.25">
      <c r="O9632" s="20" t="str">
        <f>IF(N9632="","",COUNTIFS(RawData[[Date ]],N9632,RawData[Month List],$Q$6,RawData[Tour/Site],$Q$2,RawData[[Picker ID ]],$Q$3,RawData[Checker ID],$Q$4,RawData[[Error Type ]],$Q$5))</f>
        <v/>
      </c>
    </row>
    <row r="9633" spans="15:15" x14ac:dyDescent="0.25">
      <c r="O9633" s="20" t="str">
        <f>IF(N9633="","",COUNTIFS(RawData[[Date ]],N9633,RawData[Month List],$Q$6,RawData[Tour/Site],$Q$2,RawData[[Picker ID ]],$Q$3,RawData[Checker ID],$Q$4,RawData[[Error Type ]],$Q$5))</f>
        <v/>
      </c>
    </row>
    <row r="9634" spans="15:15" x14ac:dyDescent="0.25">
      <c r="O9634" s="20" t="str">
        <f>IF(N9634="","",COUNTIFS(RawData[[Date ]],N9634,RawData[Month List],$Q$6,RawData[Tour/Site],$Q$2,RawData[[Picker ID ]],$Q$3,RawData[Checker ID],$Q$4,RawData[[Error Type ]],$Q$5))</f>
        <v/>
      </c>
    </row>
    <row r="9635" spans="15:15" x14ac:dyDescent="0.25">
      <c r="O9635" s="20" t="str">
        <f>IF(N9635="","",COUNTIFS(RawData[[Date ]],N9635,RawData[Month List],$Q$6,RawData[Tour/Site],$Q$2,RawData[[Picker ID ]],$Q$3,RawData[Checker ID],$Q$4,RawData[[Error Type ]],$Q$5))</f>
        <v/>
      </c>
    </row>
    <row r="9636" spans="15:15" x14ac:dyDescent="0.25">
      <c r="O9636" s="20" t="str">
        <f>IF(N9636="","",COUNTIFS(RawData[[Date ]],N9636,RawData[Month List],$Q$6,RawData[Tour/Site],$Q$2,RawData[[Picker ID ]],$Q$3,RawData[Checker ID],$Q$4,RawData[[Error Type ]],$Q$5))</f>
        <v/>
      </c>
    </row>
    <row r="9637" spans="15:15" x14ac:dyDescent="0.25">
      <c r="O9637" s="20" t="str">
        <f>IF(N9637="","",COUNTIFS(RawData[[Date ]],N9637,RawData[Month List],$Q$6,RawData[Tour/Site],$Q$2,RawData[[Picker ID ]],$Q$3,RawData[Checker ID],$Q$4,RawData[[Error Type ]],$Q$5))</f>
        <v/>
      </c>
    </row>
    <row r="9638" spans="15:15" x14ac:dyDescent="0.25">
      <c r="O9638" s="20" t="str">
        <f>IF(N9638="","",COUNTIFS(RawData[[Date ]],N9638,RawData[Month List],$Q$6,RawData[Tour/Site],$Q$2,RawData[[Picker ID ]],$Q$3,RawData[Checker ID],$Q$4,RawData[[Error Type ]],$Q$5))</f>
        <v/>
      </c>
    </row>
    <row r="9639" spans="15:15" x14ac:dyDescent="0.25">
      <c r="O9639" s="20" t="str">
        <f>IF(N9639="","",COUNTIFS(RawData[[Date ]],N9639,RawData[Month List],$Q$6,RawData[Tour/Site],$Q$2,RawData[[Picker ID ]],$Q$3,RawData[Checker ID],$Q$4,RawData[[Error Type ]],$Q$5))</f>
        <v/>
      </c>
    </row>
    <row r="9640" spans="15:15" x14ac:dyDescent="0.25">
      <c r="O9640" s="20" t="str">
        <f>IF(N9640="","",COUNTIFS(RawData[[Date ]],N9640,RawData[Month List],$Q$6,RawData[Tour/Site],$Q$2,RawData[[Picker ID ]],$Q$3,RawData[Checker ID],$Q$4,RawData[[Error Type ]],$Q$5))</f>
        <v/>
      </c>
    </row>
    <row r="9641" spans="15:15" x14ac:dyDescent="0.25">
      <c r="O9641" s="20" t="str">
        <f>IF(N9641="","",COUNTIFS(RawData[[Date ]],N9641,RawData[Month List],$Q$6,RawData[Tour/Site],$Q$2,RawData[[Picker ID ]],$Q$3,RawData[Checker ID],$Q$4,RawData[[Error Type ]],$Q$5))</f>
        <v/>
      </c>
    </row>
    <row r="9642" spans="15:15" x14ac:dyDescent="0.25">
      <c r="O9642" s="20" t="str">
        <f>IF(N9642="","",COUNTIFS(RawData[[Date ]],N9642,RawData[Month List],$Q$6,RawData[Tour/Site],$Q$2,RawData[[Picker ID ]],$Q$3,RawData[Checker ID],$Q$4,RawData[[Error Type ]],$Q$5))</f>
        <v/>
      </c>
    </row>
    <row r="9643" spans="15:15" x14ac:dyDescent="0.25">
      <c r="O9643" s="20" t="str">
        <f>IF(N9643="","",COUNTIFS(RawData[[Date ]],N9643,RawData[Month List],$Q$6,RawData[Tour/Site],$Q$2,RawData[[Picker ID ]],$Q$3,RawData[Checker ID],$Q$4,RawData[[Error Type ]],$Q$5))</f>
        <v/>
      </c>
    </row>
    <row r="9644" spans="15:15" x14ac:dyDescent="0.25">
      <c r="O9644" s="20" t="str">
        <f>IF(N9644="","",COUNTIFS(RawData[[Date ]],N9644,RawData[Month List],$Q$6,RawData[Tour/Site],$Q$2,RawData[[Picker ID ]],$Q$3,RawData[Checker ID],$Q$4,RawData[[Error Type ]],$Q$5))</f>
        <v/>
      </c>
    </row>
    <row r="9645" spans="15:15" x14ac:dyDescent="0.25">
      <c r="O9645" s="20" t="str">
        <f>IF(N9645="","",COUNTIFS(RawData[[Date ]],N9645,RawData[Month List],$Q$6,RawData[Tour/Site],$Q$2,RawData[[Picker ID ]],$Q$3,RawData[Checker ID],$Q$4,RawData[[Error Type ]],$Q$5))</f>
        <v/>
      </c>
    </row>
    <row r="9646" spans="15:15" x14ac:dyDescent="0.25">
      <c r="O9646" s="20" t="str">
        <f>IF(N9646="","",COUNTIFS(RawData[[Date ]],N9646,RawData[Month List],$Q$6,RawData[Tour/Site],$Q$2,RawData[[Picker ID ]],$Q$3,RawData[Checker ID],$Q$4,RawData[[Error Type ]],$Q$5))</f>
        <v/>
      </c>
    </row>
    <row r="9647" spans="15:15" x14ac:dyDescent="0.25">
      <c r="O9647" s="20" t="str">
        <f>IF(N9647="","",COUNTIFS(RawData[[Date ]],N9647,RawData[Month List],$Q$6,RawData[Tour/Site],$Q$2,RawData[[Picker ID ]],$Q$3,RawData[Checker ID],$Q$4,RawData[[Error Type ]],$Q$5))</f>
        <v/>
      </c>
    </row>
    <row r="9648" spans="15:15" x14ac:dyDescent="0.25">
      <c r="O9648" s="20" t="str">
        <f>IF(N9648="","",COUNTIFS(RawData[[Date ]],N9648,RawData[Month List],$Q$6,RawData[Tour/Site],$Q$2,RawData[[Picker ID ]],$Q$3,RawData[Checker ID],$Q$4,RawData[[Error Type ]],$Q$5))</f>
        <v/>
      </c>
    </row>
    <row r="9649" spans="15:15" x14ac:dyDescent="0.25">
      <c r="O9649" s="20" t="str">
        <f>IF(N9649="","",COUNTIFS(RawData[[Date ]],N9649,RawData[Month List],$Q$6,RawData[Tour/Site],$Q$2,RawData[[Picker ID ]],$Q$3,RawData[Checker ID],$Q$4,RawData[[Error Type ]],$Q$5))</f>
        <v/>
      </c>
    </row>
    <row r="9650" spans="15:15" x14ac:dyDescent="0.25">
      <c r="O9650" s="20" t="str">
        <f>IF(N9650="","",COUNTIFS(RawData[[Date ]],N9650,RawData[Month List],$Q$6,RawData[Tour/Site],$Q$2,RawData[[Picker ID ]],$Q$3,RawData[Checker ID],$Q$4,RawData[[Error Type ]],$Q$5))</f>
        <v/>
      </c>
    </row>
    <row r="9651" spans="15:15" x14ac:dyDescent="0.25">
      <c r="O9651" s="20" t="str">
        <f>IF(N9651="","",COUNTIFS(RawData[[Date ]],N9651,RawData[Month List],$Q$6,RawData[Tour/Site],$Q$2,RawData[[Picker ID ]],$Q$3,RawData[Checker ID],$Q$4,RawData[[Error Type ]],$Q$5))</f>
        <v/>
      </c>
    </row>
    <row r="9652" spans="15:15" x14ac:dyDescent="0.25">
      <c r="O9652" s="20" t="str">
        <f>IF(N9652="","",COUNTIFS(RawData[[Date ]],N9652,RawData[Month List],$Q$6,RawData[Tour/Site],$Q$2,RawData[[Picker ID ]],$Q$3,RawData[Checker ID],$Q$4,RawData[[Error Type ]],$Q$5))</f>
        <v/>
      </c>
    </row>
    <row r="9653" spans="15:15" x14ac:dyDescent="0.25">
      <c r="O9653" s="20" t="str">
        <f>IF(N9653="","",COUNTIFS(RawData[[Date ]],N9653,RawData[Month List],$Q$6,RawData[Tour/Site],$Q$2,RawData[[Picker ID ]],$Q$3,RawData[Checker ID],$Q$4,RawData[[Error Type ]],$Q$5))</f>
        <v/>
      </c>
    </row>
    <row r="9654" spans="15:15" x14ac:dyDescent="0.25">
      <c r="O9654" s="20" t="str">
        <f>IF(N9654="","",COUNTIFS(RawData[[Date ]],N9654,RawData[Month List],$Q$6,RawData[Tour/Site],$Q$2,RawData[[Picker ID ]],$Q$3,RawData[Checker ID],$Q$4,RawData[[Error Type ]],$Q$5))</f>
        <v/>
      </c>
    </row>
    <row r="9655" spans="15:15" x14ac:dyDescent="0.25">
      <c r="O9655" s="20" t="str">
        <f>IF(N9655="","",COUNTIFS(RawData[[Date ]],N9655,RawData[Month List],$Q$6,RawData[Tour/Site],$Q$2,RawData[[Picker ID ]],$Q$3,RawData[Checker ID],$Q$4,RawData[[Error Type ]],$Q$5))</f>
        <v/>
      </c>
    </row>
    <row r="9656" spans="15:15" x14ac:dyDescent="0.25">
      <c r="O9656" s="20" t="str">
        <f>IF(N9656="","",COUNTIFS(RawData[[Date ]],N9656,RawData[Month List],$Q$6,RawData[Tour/Site],$Q$2,RawData[[Picker ID ]],$Q$3,RawData[Checker ID],$Q$4,RawData[[Error Type ]],$Q$5))</f>
        <v/>
      </c>
    </row>
    <row r="9657" spans="15:15" x14ac:dyDescent="0.25">
      <c r="O9657" s="20" t="str">
        <f>IF(N9657="","",COUNTIFS(RawData[[Date ]],N9657,RawData[Month List],$Q$6,RawData[Tour/Site],$Q$2,RawData[[Picker ID ]],$Q$3,RawData[Checker ID],$Q$4,RawData[[Error Type ]],$Q$5))</f>
        <v/>
      </c>
    </row>
    <row r="9658" spans="15:15" x14ac:dyDescent="0.25">
      <c r="O9658" s="20" t="str">
        <f>IF(N9658="","",COUNTIFS(RawData[[Date ]],N9658,RawData[Month List],$Q$6,RawData[Tour/Site],$Q$2,RawData[[Picker ID ]],$Q$3,RawData[Checker ID],$Q$4,RawData[[Error Type ]],$Q$5))</f>
        <v/>
      </c>
    </row>
    <row r="9659" spans="15:15" x14ac:dyDescent="0.25">
      <c r="O9659" s="20" t="str">
        <f>IF(N9659="","",COUNTIFS(RawData[[Date ]],N9659,RawData[Month List],$Q$6,RawData[Tour/Site],$Q$2,RawData[[Picker ID ]],$Q$3,RawData[Checker ID],$Q$4,RawData[[Error Type ]],$Q$5))</f>
        <v/>
      </c>
    </row>
    <row r="9660" spans="15:15" x14ac:dyDescent="0.25">
      <c r="O9660" s="20" t="str">
        <f>IF(N9660="","",COUNTIFS(RawData[[Date ]],N9660,RawData[Month List],$Q$6,RawData[Tour/Site],$Q$2,RawData[[Picker ID ]],$Q$3,RawData[Checker ID],$Q$4,RawData[[Error Type ]],$Q$5))</f>
        <v/>
      </c>
    </row>
    <row r="9661" spans="15:15" x14ac:dyDescent="0.25">
      <c r="O9661" s="20" t="str">
        <f>IF(N9661="","",COUNTIFS(RawData[[Date ]],N9661,RawData[Month List],$Q$6,RawData[Tour/Site],$Q$2,RawData[[Picker ID ]],$Q$3,RawData[Checker ID],$Q$4,RawData[[Error Type ]],$Q$5))</f>
        <v/>
      </c>
    </row>
    <row r="9662" spans="15:15" x14ac:dyDescent="0.25">
      <c r="O9662" s="20" t="str">
        <f>IF(N9662="","",COUNTIFS(RawData[[Date ]],N9662,RawData[Month List],$Q$6,RawData[Tour/Site],$Q$2,RawData[[Picker ID ]],$Q$3,RawData[Checker ID],$Q$4,RawData[[Error Type ]],$Q$5))</f>
        <v/>
      </c>
    </row>
    <row r="9663" spans="15:15" x14ac:dyDescent="0.25">
      <c r="O9663" s="20" t="str">
        <f>IF(N9663="","",COUNTIFS(RawData[[Date ]],N9663,RawData[Month List],$Q$6,RawData[Tour/Site],$Q$2,RawData[[Picker ID ]],$Q$3,RawData[Checker ID],$Q$4,RawData[[Error Type ]],$Q$5))</f>
        <v/>
      </c>
    </row>
    <row r="9664" spans="15:15" x14ac:dyDescent="0.25">
      <c r="O9664" s="20" t="str">
        <f>IF(N9664="","",COUNTIFS(RawData[[Date ]],N9664,RawData[Month List],$Q$6,RawData[Tour/Site],$Q$2,RawData[[Picker ID ]],$Q$3,RawData[Checker ID],$Q$4,RawData[[Error Type ]],$Q$5))</f>
        <v/>
      </c>
    </row>
    <row r="9665" spans="15:15" x14ac:dyDescent="0.25">
      <c r="O9665" s="20" t="str">
        <f>IF(N9665="","",COUNTIFS(RawData[[Date ]],N9665,RawData[Month List],$Q$6,RawData[Tour/Site],$Q$2,RawData[[Picker ID ]],$Q$3,RawData[Checker ID],$Q$4,RawData[[Error Type ]],$Q$5))</f>
        <v/>
      </c>
    </row>
    <row r="9666" spans="15:15" x14ac:dyDescent="0.25">
      <c r="O9666" s="20" t="str">
        <f>IF(N9666="","",COUNTIFS(RawData[[Date ]],N9666,RawData[Month List],$Q$6,RawData[Tour/Site],$Q$2,RawData[[Picker ID ]],$Q$3,RawData[Checker ID],$Q$4,RawData[[Error Type ]],$Q$5))</f>
        <v/>
      </c>
    </row>
    <row r="9667" spans="15:15" x14ac:dyDescent="0.25">
      <c r="O9667" s="20" t="str">
        <f>IF(N9667="","",COUNTIFS(RawData[[Date ]],N9667,RawData[Month List],$Q$6,RawData[Tour/Site],$Q$2,RawData[[Picker ID ]],$Q$3,RawData[Checker ID],$Q$4,RawData[[Error Type ]],$Q$5))</f>
        <v/>
      </c>
    </row>
    <row r="9668" spans="15:15" x14ac:dyDescent="0.25">
      <c r="O9668" s="20" t="str">
        <f>IF(N9668="","",COUNTIFS(RawData[[Date ]],N9668,RawData[Month List],$Q$6,RawData[Tour/Site],$Q$2,RawData[[Picker ID ]],$Q$3,RawData[Checker ID],$Q$4,RawData[[Error Type ]],$Q$5))</f>
        <v/>
      </c>
    </row>
    <row r="9669" spans="15:15" x14ac:dyDescent="0.25">
      <c r="O9669" s="20" t="str">
        <f>IF(N9669="","",COUNTIFS(RawData[[Date ]],N9669,RawData[Month List],$Q$6,RawData[Tour/Site],$Q$2,RawData[[Picker ID ]],$Q$3,RawData[Checker ID],$Q$4,RawData[[Error Type ]],$Q$5))</f>
        <v/>
      </c>
    </row>
    <row r="9670" spans="15:15" x14ac:dyDescent="0.25">
      <c r="O9670" s="20" t="str">
        <f>IF(N9670="","",COUNTIFS(RawData[[Date ]],N9670,RawData[Month List],$Q$6,RawData[Tour/Site],$Q$2,RawData[[Picker ID ]],$Q$3,RawData[Checker ID],$Q$4,RawData[[Error Type ]],$Q$5))</f>
        <v/>
      </c>
    </row>
    <row r="9671" spans="15:15" x14ac:dyDescent="0.25">
      <c r="O9671" s="20" t="str">
        <f>IF(N9671="","",COUNTIFS(RawData[[Date ]],N9671,RawData[Month List],$Q$6,RawData[Tour/Site],$Q$2,RawData[[Picker ID ]],$Q$3,RawData[Checker ID],$Q$4,RawData[[Error Type ]],$Q$5))</f>
        <v/>
      </c>
    </row>
    <row r="9672" spans="15:15" x14ac:dyDescent="0.25">
      <c r="O9672" s="20" t="str">
        <f>IF(N9672="","",COUNTIFS(RawData[[Date ]],N9672,RawData[Month List],$Q$6,RawData[Tour/Site],$Q$2,RawData[[Picker ID ]],$Q$3,RawData[Checker ID],$Q$4,RawData[[Error Type ]],$Q$5))</f>
        <v/>
      </c>
    </row>
    <row r="9673" spans="15:15" x14ac:dyDescent="0.25">
      <c r="O9673" s="20" t="str">
        <f>IF(N9673="","",COUNTIFS(RawData[[Date ]],N9673,RawData[Month List],$Q$6,RawData[Tour/Site],$Q$2,RawData[[Picker ID ]],$Q$3,RawData[Checker ID],$Q$4,RawData[[Error Type ]],$Q$5))</f>
        <v/>
      </c>
    </row>
    <row r="9674" spans="15:15" x14ac:dyDescent="0.25">
      <c r="O9674" s="20" t="str">
        <f>IF(N9674="","",COUNTIFS(RawData[[Date ]],N9674,RawData[Month List],$Q$6,RawData[Tour/Site],$Q$2,RawData[[Picker ID ]],$Q$3,RawData[Checker ID],$Q$4,RawData[[Error Type ]],$Q$5))</f>
        <v/>
      </c>
    </row>
    <row r="9675" spans="15:15" x14ac:dyDescent="0.25">
      <c r="O9675" s="20" t="str">
        <f>IF(N9675="","",COUNTIFS(RawData[[Date ]],N9675,RawData[Month List],$Q$6,RawData[Tour/Site],$Q$2,RawData[[Picker ID ]],$Q$3,RawData[Checker ID],$Q$4,RawData[[Error Type ]],$Q$5))</f>
        <v/>
      </c>
    </row>
    <row r="9676" spans="15:15" x14ac:dyDescent="0.25">
      <c r="O9676" s="20" t="str">
        <f>IF(N9676="","",COUNTIFS(RawData[[Date ]],N9676,RawData[Month List],$Q$6,RawData[Tour/Site],$Q$2,RawData[[Picker ID ]],$Q$3,RawData[Checker ID],$Q$4,RawData[[Error Type ]],$Q$5))</f>
        <v/>
      </c>
    </row>
    <row r="9677" spans="15:15" x14ac:dyDescent="0.25">
      <c r="O9677" s="20" t="str">
        <f>IF(N9677="","",COUNTIFS(RawData[[Date ]],N9677,RawData[Month List],$Q$6,RawData[Tour/Site],$Q$2,RawData[[Picker ID ]],$Q$3,RawData[Checker ID],$Q$4,RawData[[Error Type ]],$Q$5))</f>
        <v/>
      </c>
    </row>
    <row r="9678" spans="15:15" x14ac:dyDescent="0.25">
      <c r="O9678" s="20" t="str">
        <f>IF(N9678="","",COUNTIFS(RawData[[Date ]],N9678,RawData[Month List],$Q$6,RawData[Tour/Site],$Q$2,RawData[[Picker ID ]],$Q$3,RawData[Checker ID],$Q$4,RawData[[Error Type ]],$Q$5))</f>
        <v/>
      </c>
    </row>
    <row r="9679" spans="15:15" x14ac:dyDescent="0.25">
      <c r="O9679" s="20" t="str">
        <f>IF(N9679="","",COUNTIFS(RawData[[Date ]],N9679,RawData[Month List],$Q$6,RawData[Tour/Site],$Q$2,RawData[[Picker ID ]],$Q$3,RawData[Checker ID],$Q$4,RawData[[Error Type ]],$Q$5))</f>
        <v/>
      </c>
    </row>
    <row r="9680" spans="15:15" x14ac:dyDescent="0.25">
      <c r="O9680" s="20" t="str">
        <f>IF(N9680="","",COUNTIFS(RawData[[Date ]],N9680,RawData[Month List],$Q$6,RawData[Tour/Site],$Q$2,RawData[[Picker ID ]],$Q$3,RawData[Checker ID],$Q$4,RawData[[Error Type ]],$Q$5))</f>
        <v/>
      </c>
    </row>
    <row r="9681" spans="15:15" x14ac:dyDescent="0.25">
      <c r="O9681" s="20" t="str">
        <f>IF(N9681="","",COUNTIFS(RawData[[Date ]],N9681,RawData[Month List],$Q$6,RawData[Tour/Site],$Q$2,RawData[[Picker ID ]],$Q$3,RawData[Checker ID],$Q$4,RawData[[Error Type ]],$Q$5))</f>
        <v/>
      </c>
    </row>
    <row r="9682" spans="15:15" x14ac:dyDescent="0.25">
      <c r="O9682" s="20" t="str">
        <f>IF(N9682="","",COUNTIFS(RawData[[Date ]],N9682,RawData[Month List],$Q$6,RawData[Tour/Site],$Q$2,RawData[[Picker ID ]],$Q$3,RawData[Checker ID],$Q$4,RawData[[Error Type ]],$Q$5))</f>
        <v/>
      </c>
    </row>
    <row r="9683" spans="15:15" x14ac:dyDescent="0.25">
      <c r="O9683" s="20" t="str">
        <f>IF(N9683="","",COUNTIFS(RawData[[Date ]],N9683,RawData[Month List],$Q$6,RawData[Tour/Site],$Q$2,RawData[[Picker ID ]],$Q$3,RawData[Checker ID],$Q$4,RawData[[Error Type ]],$Q$5))</f>
        <v/>
      </c>
    </row>
    <row r="9684" spans="15:15" x14ac:dyDescent="0.25">
      <c r="O9684" s="20" t="str">
        <f>IF(N9684="","",COUNTIFS(RawData[[Date ]],N9684,RawData[Month List],$Q$6,RawData[Tour/Site],$Q$2,RawData[[Picker ID ]],$Q$3,RawData[Checker ID],$Q$4,RawData[[Error Type ]],$Q$5))</f>
        <v/>
      </c>
    </row>
    <row r="9685" spans="15:15" x14ac:dyDescent="0.25">
      <c r="O9685" s="20" t="str">
        <f>IF(N9685="","",COUNTIFS(RawData[[Date ]],N9685,RawData[Month List],$Q$6,RawData[Tour/Site],$Q$2,RawData[[Picker ID ]],$Q$3,RawData[Checker ID],$Q$4,RawData[[Error Type ]],$Q$5))</f>
        <v/>
      </c>
    </row>
    <row r="9686" spans="15:15" x14ac:dyDescent="0.25">
      <c r="O9686" s="20" t="str">
        <f>IF(N9686="","",COUNTIFS(RawData[[Date ]],N9686,RawData[Month List],$Q$6,RawData[Tour/Site],$Q$2,RawData[[Picker ID ]],$Q$3,RawData[Checker ID],$Q$4,RawData[[Error Type ]],$Q$5))</f>
        <v/>
      </c>
    </row>
    <row r="9687" spans="15:15" x14ac:dyDescent="0.25">
      <c r="O9687" s="20" t="str">
        <f>IF(N9687="","",COUNTIFS(RawData[[Date ]],N9687,RawData[Month List],$Q$6,RawData[Tour/Site],$Q$2,RawData[[Picker ID ]],$Q$3,RawData[Checker ID],$Q$4,RawData[[Error Type ]],$Q$5))</f>
        <v/>
      </c>
    </row>
    <row r="9688" spans="15:15" x14ac:dyDescent="0.25">
      <c r="O9688" s="20" t="str">
        <f>IF(N9688="","",COUNTIFS(RawData[[Date ]],N9688,RawData[Month List],$Q$6,RawData[Tour/Site],$Q$2,RawData[[Picker ID ]],$Q$3,RawData[Checker ID],$Q$4,RawData[[Error Type ]],$Q$5))</f>
        <v/>
      </c>
    </row>
    <row r="9689" spans="15:15" x14ac:dyDescent="0.25">
      <c r="O9689" s="20" t="str">
        <f>IF(N9689="","",COUNTIFS(RawData[[Date ]],N9689,RawData[Month List],$Q$6,RawData[Tour/Site],$Q$2,RawData[[Picker ID ]],$Q$3,RawData[Checker ID],$Q$4,RawData[[Error Type ]],$Q$5))</f>
        <v/>
      </c>
    </row>
    <row r="9690" spans="15:15" x14ac:dyDescent="0.25">
      <c r="O9690" s="20" t="str">
        <f>IF(N9690="","",COUNTIFS(RawData[[Date ]],N9690,RawData[Month List],$Q$6,RawData[Tour/Site],$Q$2,RawData[[Picker ID ]],$Q$3,RawData[Checker ID],$Q$4,RawData[[Error Type ]],$Q$5))</f>
        <v/>
      </c>
    </row>
    <row r="9691" spans="15:15" x14ac:dyDescent="0.25">
      <c r="O9691" s="20" t="str">
        <f>IF(N9691="","",COUNTIFS(RawData[[Date ]],N9691,RawData[Month List],$Q$6,RawData[Tour/Site],$Q$2,RawData[[Picker ID ]],$Q$3,RawData[Checker ID],$Q$4,RawData[[Error Type ]],$Q$5))</f>
        <v/>
      </c>
    </row>
    <row r="9692" spans="15:15" x14ac:dyDescent="0.25">
      <c r="O9692" s="20" t="str">
        <f>IF(N9692="","",COUNTIFS(RawData[[Date ]],N9692,RawData[Month List],$Q$6,RawData[Tour/Site],$Q$2,RawData[[Picker ID ]],$Q$3,RawData[Checker ID],$Q$4,RawData[[Error Type ]],$Q$5))</f>
        <v/>
      </c>
    </row>
    <row r="9693" spans="15:15" x14ac:dyDescent="0.25">
      <c r="O9693" s="20" t="str">
        <f>IF(N9693="","",COUNTIFS(RawData[[Date ]],N9693,RawData[Month List],$Q$6,RawData[Tour/Site],$Q$2,RawData[[Picker ID ]],$Q$3,RawData[Checker ID],$Q$4,RawData[[Error Type ]],$Q$5))</f>
        <v/>
      </c>
    </row>
    <row r="9694" spans="15:15" x14ac:dyDescent="0.25">
      <c r="O9694" s="20" t="str">
        <f>IF(N9694="","",COUNTIFS(RawData[[Date ]],N9694,RawData[Month List],$Q$6,RawData[Tour/Site],$Q$2,RawData[[Picker ID ]],$Q$3,RawData[Checker ID],$Q$4,RawData[[Error Type ]],$Q$5))</f>
        <v/>
      </c>
    </row>
    <row r="9695" spans="15:15" x14ac:dyDescent="0.25">
      <c r="O9695" s="20" t="str">
        <f>IF(N9695="","",COUNTIFS(RawData[[Date ]],N9695,RawData[Month List],$Q$6,RawData[Tour/Site],$Q$2,RawData[[Picker ID ]],$Q$3,RawData[Checker ID],$Q$4,RawData[[Error Type ]],$Q$5))</f>
        <v/>
      </c>
    </row>
    <row r="9696" spans="15:15" x14ac:dyDescent="0.25">
      <c r="O9696" s="20" t="str">
        <f>IF(N9696="","",COUNTIFS(RawData[[Date ]],N9696,RawData[Month List],$Q$6,RawData[Tour/Site],$Q$2,RawData[[Picker ID ]],$Q$3,RawData[Checker ID],$Q$4,RawData[[Error Type ]],$Q$5))</f>
        <v/>
      </c>
    </row>
    <row r="9697" spans="15:15" x14ac:dyDescent="0.25">
      <c r="O9697" s="20" t="str">
        <f>IF(N9697="","",COUNTIFS(RawData[[Date ]],N9697,RawData[Month List],$Q$6,RawData[Tour/Site],$Q$2,RawData[[Picker ID ]],$Q$3,RawData[Checker ID],$Q$4,RawData[[Error Type ]],$Q$5))</f>
        <v/>
      </c>
    </row>
    <row r="9698" spans="15:15" x14ac:dyDescent="0.25">
      <c r="O9698" s="20" t="str">
        <f>IF(N9698="","",COUNTIFS(RawData[[Date ]],N9698,RawData[Month List],$Q$6,RawData[Tour/Site],$Q$2,RawData[[Picker ID ]],$Q$3,RawData[Checker ID],$Q$4,RawData[[Error Type ]],$Q$5))</f>
        <v/>
      </c>
    </row>
    <row r="9699" spans="15:15" x14ac:dyDescent="0.25">
      <c r="O9699" s="20" t="str">
        <f>IF(N9699="","",COUNTIFS(RawData[[Date ]],N9699,RawData[Month List],$Q$6,RawData[Tour/Site],$Q$2,RawData[[Picker ID ]],$Q$3,RawData[Checker ID],$Q$4,RawData[[Error Type ]],$Q$5))</f>
        <v/>
      </c>
    </row>
    <row r="9700" spans="15:15" x14ac:dyDescent="0.25">
      <c r="O9700" s="20" t="str">
        <f>IF(N9700="","",COUNTIFS(RawData[[Date ]],N9700,RawData[Month List],$Q$6,RawData[Tour/Site],$Q$2,RawData[[Picker ID ]],$Q$3,RawData[Checker ID],$Q$4,RawData[[Error Type ]],$Q$5))</f>
        <v/>
      </c>
    </row>
    <row r="9701" spans="15:15" x14ac:dyDescent="0.25">
      <c r="O9701" s="20" t="str">
        <f>IF(N9701="","",COUNTIFS(RawData[[Date ]],N9701,RawData[Month List],$Q$6,RawData[Tour/Site],$Q$2,RawData[[Picker ID ]],$Q$3,RawData[Checker ID],$Q$4,RawData[[Error Type ]],$Q$5))</f>
        <v/>
      </c>
    </row>
    <row r="9702" spans="15:15" x14ac:dyDescent="0.25">
      <c r="O9702" s="20" t="str">
        <f>IF(N9702="","",COUNTIFS(RawData[[Date ]],N9702,RawData[Month List],$Q$6,RawData[Tour/Site],$Q$2,RawData[[Picker ID ]],$Q$3,RawData[Checker ID],$Q$4,RawData[[Error Type ]],$Q$5))</f>
        <v/>
      </c>
    </row>
    <row r="9703" spans="15:15" x14ac:dyDescent="0.25">
      <c r="O9703" s="20" t="str">
        <f>IF(N9703="","",COUNTIFS(RawData[[Date ]],N9703,RawData[Month List],$Q$6,RawData[Tour/Site],$Q$2,RawData[[Picker ID ]],$Q$3,RawData[Checker ID],$Q$4,RawData[[Error Type ]],$Q$5))</f>
        <v/>
      </c>
    </row>
    <row r="9704" spans="15:15" x14ac:dyDescent="0.25">
      <c r="O9704" s="20" t="str">
        <f>IF(N9704="","",COUNTIFS(RawData[[Date ]],N9704,RawData[Month List],$Q$6,RawData[Tour/Site],$Q$2,RawData[[Picker ID ]],$Q$3,RawData[Checker ID],$Q$4,RawData[[Error Type ]],$Q$5))</f>
        <v/>
      </c>
    </row>
    <row r="9705" spans="15:15" x14ac:dyDescent="0.25">
      <c r="O9705" s="20" t="str">
        <f>IF(N9705="","",COUNTIFS(RawData[[Date ]],N9705,RawData[Month List],$Q$6,RawData[Tour/Site],$Q$2,RawData[[Picker ID ]],$Q$3,RawData[Checker ID],$Q$4,RawData[[Error Type ]],$Q$5))</f>
        <v/>
      </c>
    </row>
    <row r="9706" spans="15:15" x14ac:dyDescent="0.25">
      <c r="O9706" s="20" t="str">
        <f>IF(N9706="","",COUNTIFS(RawData[[Date ]],N9706,RawData[Month List],$Q$6,RawData[Tour/Site],$Q$2,RawData[[Picker ID ]],$Q$3,RawData[Checker ID],$Q$4,RawData[[Error Type ]],$Q$5))</f>
        <v/>
      </c>
    </row>
    <row r="9707" spans="15:15" x14ac:dyDescent="0.25">
      <c r="O9707" s="20" t="str">
        <f>IF(N9707="","",COUNTIFS(RawData[[Date ]],N9707,RawData[Month List],$Q$6,RawData[Tour/Site],$Q$2,RawData[[Picker ID ]],$Q$3,RawData[Checker ID],$Q$4,RawData[[Error Type ]],$Q$5))</f>
        <v/>
      </c>
    </row>
    <row r="9708" spans="15:15" x14ac:dyDescent="0.25">
      <c r="O9708" s="20" t="str">
        <f>IF(N9708="","",COUNTIFS(RawData[[Date ]],N9708,RawData[Month List],$Q$6,RawData[Tour/Site],$Q$2,RawData[[Picker ID ]],$Q$3,RawData[Checker ID],$Q$4,RawData[[Error Type ]],$Q$5))</f>
        <v/>
      </c>
    </row>
    <row r="9709" spans="15:15" x14ac:dyDescent="0.25">
      <c r="O9709" s="20" t="str">
        <f>IF(N9709="","",COUNTIFS(RawData[[Date ]],N9709,RawData[Month List],$Q$6,RawData[Tour/Site],$Q$2,RawData[[Picker ID ]],$Q$3,RawData[Checker ID],$Q$4,RawData[[Error Type ]],$Q$5))</f>
        <v/>
      </c>
    </row>
    <row r="9710" spans="15:15" x14ac:dyDescent="0.25">
      <c r="O9710" s="20" t="str">
        <f>IF(N9710="","",COUNTIFS(RawData[[Date ]],N9710,RawData[Month List],$Q$6,RawData[Tour/Site],$Q$2,RawData[[Picker ID ]],$Q$3,RawData[Checker ID],$Q$4,RawData[[Error Type ]],$Q$5))</f>
        <v/>
      </c>
    </row>
    <row r="9711" spans="15:15" x14ac:dyDescent="0.25">
      <c r="O9711" s="20" t="str">
        <f>IF(N9711="","",COUNTIFS(RawData[[Date ]],N9711,RawData[Month List],$Q$6,RawData[Tour/Site],$Q$2,RawData[[Picker ID ]],$Q$3,RawData[Checker ID],$Q$4,RawData[[Error Type ]],$Q$5))</f>
        <v/>
      </c>
    </row>
    <row r="9712" spans="15:15" x14ac:dyDescent="0.25">
      <c r="O9712" s="20" t="str">
        <f>IF(N9712="","",COUNTIFS(RawData[[Date ]],N9712,RawData[Month List],$Q$6,RawData[Tour/Site],$Q$2,RawData[[Picker ID ]],$Q$3,RawData[Checker ID],$Q$4,RawData[[Error Type ]],$Q$5))</f>
        <v/>
      </c>
    </row>
    <row r="9713" spans="15:15" x14ac:dyDescent="0.25">
      <c r="O9713" s="20" t="str">
        <f>IF(N9713="","",COUNTIFS(RawData[[Date ]],N9713,RawData[Month List],$Q$6,RawData[Tour/Site],$Q$2,RawData[[Picker ID ]],$Q$3,RawData[Checker ID],$Q$4,RawData[[Error Type ]],$Q$5))</f>
        <v/>
      </c>
    </row>
    <row r="9714" spans="15:15" x14ac:dyDescent="0.25">
      <c r="O9714" s="20" t="str">
        <f>IF(N9714="","",COUNTIFS(RawData[[Date ]],N9714,RawData[Month List],$Q$6,RawData[Tour/Site],$Q$2,RawData[[Picker ID ]],$Q$3,RawData[Checker ID],$Q$4,RawData[[Error Type ]],$Q$5))</f>
        <v/>
      </c>
    </row>
    <row r="9715" spans="15:15" x14ac:dyDescent="0.25">
      <c r="O9715" s="20" t="str">
        <f>IF(N9715="","",COUNTIFS(RawData[[Date ]],N9715,RawData[Month List],$Q$6,RawData[Tour/Site],$Q$2,RawData[[Picker ID ]],$Q$3,RawData[Checker ID],$Q$4,RawData[[Error Type ]],$Q$5))</f>
        <v/>
      </c>
    </row>
    <row r="9716" spans="15:15" x14ac:dyDescent="0.25">
      <c r="O9716" s="20" t="str">
        <f>IF(N9716="","",COUNTIFS(RawData[[Date ]],N9716,RawData[Month List],$Q$6,RawData[Tour/Site],$Q$2,RawData[[Picker ID ]],$Q$3,RawData[Checker ID],$Q$4,RawData[[Error Type ]],$Q$5))</f>
        <v/>
      </c>
    </row>
    <row r="9717" spans="15:15" x14ac:dyDescent="0.25">
      <c r="O9717" s="20" t="str">
        <f>IF(N9717="","",COUNTIFS(RawData[[Date ]],N9717,RawData[Month List],$Q$6,RawData[Tour/Site],$Q$2,RawData[[Picker ID ]],$Q$3,RawData[Checker ID],$Q$4,RawData[[Error Type ]],$Q$5))</f>
        <v/>
      </c>
    </row>
    <row r="9718" spans="15:15" x14ac:dyDescent="0.25">
      <c r="O9718" s="20" t="str">
        <f>IF(N9718="","",COUNTIFS(RawData[[Date ]],N9718,RawData[Month List],$Q$6,RawData[Tour/Site],$Q$2,RawData[[Picker ID ]],$Q$3,RawData[Checker ID],$Q$4,RawData[[Error Type ]],$Q$5))</f>
        <v/>
      </c>
    </row>
    <row r="9719" spans="15:15" x14ac:dyDescent="0.25">
      <c r="O9719" s="20" t="str">
        <f>IF(N9719="","",COUNTIFS(RawData[[Date ]],N9719,RawData[Month List],$Q$6,RawData[Tour/Site],$Q$2,RawData[[Picker ID ]],$Q$3,RawData[Checker ID],$Q$4,RawData[[Error Type ]],$Q$5))</f>
        <v/>
      </c>
    </row>
    <row r="9720" spans="15:15" x14ac:dyDescent="0.25">
      <c r="O9720" s="20" t="str">
        <f>IF(N9720="","",COUNTIFS(RawData[[Date ]],N9720,RawData[Month List],$Q$6,RawData[Tour/Site],$Q$2,RawData[[Picker ID ]],$Q$3,RawData[Checker ID],$Q$4,RawData[[Error Type ]],$Q$5))</f>
        <v/>
      </c>
    </row>
    <row r="9721" spans="15:15" x14ac:dyDescent="0.25">
      <c r="O9721" s="20" t="str">
        <f>IF(N9721="","",COUNTIFS(RawData[[Date ]],N9721,RawData[Month List],$Q$6,RawData[Tour/Site],$Q$2,RawData[[Picker ID ]],$Q$3,RawData[Checker ID],$Q$4,RawData[[Error Type ]],$Q$5))</f>
        <v/>
      </c>
    </row>
    <row r="9722" spans="15:15" x14ac:dyDescent="0.25">
      <c r="O9722" s="20" t="str">
        <f>IF(N9722="","",COUNTIFS(RawData[[Date ]],N9722,RawData[Month List],$Q$6,RawData[Tour/Site],$Q$2,RawData[[Picker ID ]],$Q$3,RawData[Checker ID],$Q$4,RawData[[Error Type ]],$Q$5))</f>
        <v/>
      </c>
    </row>
    <row r="9723" spans="15:15" x14ac:dyDescent="0.25">
      <c r="O9723" s="20" t="str">
        <f>IF(N9723="","",COUNTIFS(RawData[[Date ]],N9723,RawData[Month List],$Q$6,RawData[Tour/Site],$Q$2,RawData[[Picker ID ]],$Q$3,RawData[Checker ID],$Q$4,RawData[[Error Type ]],$Q$5))</f>
        <v/>
      </c>
    </row>
    <row r="9724" spans="15:15" x14ac:dyDescent="0.25">
      <c r="O9724" s="20" t="str">
        <f>IF(N9724="","",COUNTIFS(RawData[[Date ]],N9724,RawData[Month List],$Q$6,RawData[Tour/Site],$Q$2,RawData[[Picker ID ]],$Q$3,RawData[Checker ID],$Q$4,RawData[[Error Type ]],$Q$5))</f>
        <v/>
      </c>
    </row>
    <row r="9725" spans="15:15" x14ac:dyDescent="0.25">
      <c r="O9725" s="20" t="str">
        <f>IF(N9725="","",COUNTIFS(RawData[[Date ]],N9725,RawData[Month List],$Q$6,RawData[Tour/Site],$Q$2,RawData[[Picker ID ]],$Q$3,RawData[Checker ID],$Q$4,RawData[[Error Type ]],$Q$5))</f>
        <v/>
      </c>
    </row>
    <row r="9726" spans="15:15" x14ac:dyDescent="0.25">
      <c r="O9726" s="20" t="str">
        <f>IF(N9726="","",COUNTIFS(RawData[[Date ]],N9726,RawData[Month List],$Q$6,RawData[Tour/Site],$Q$2,RawData[[Picker ID ]],$Q$3,RawData[Checker ID],$Q$4,RawData[[Error Type ]],$Q$5))</f>
        <v/>
      </c>
    </row>
    <row r="9727" spans="15:15" x14ac:dyDescent="0.25">
      <c r="O9727" s="20" t="str">
        <f>IF(N9727="","",COUNTIFS(RawData[[Date ]],N9727,RawData[Month List],$Q$6,RawData[Tour/Site],$Q$2,RawData[[Picker ID ]],$Q$3,RawData[Checker ID],$Q$4,RawData[[Error Type ]],$Q$5))</f>
        <v/>
      </c>
    </row>
    <row r="9728" spans="15:15" x14ac:dyDescent="0.25">
      <c r="O9728" s="20" t="str">
        <f>IF(N9728="","",COUNTIFS(RawData[[Date ]],N9728,RawData[Month List],$Q$6,RawData[Tour/Site],$Q$2,RawData[[Picker ID ]],$Q$3,RawData[Checker ID],$Q$4,RawData[[Error Type ]],$Q$5))</f>
        <v/>
      </c>
    </row>
    <row r="9729" spans="15:15" x14ac:dyDescent="0.25">
      <c r="O9729" s="20" t="str">
        <f>IF(N9729="","",COUNTIFS(RawData[[Date ]],N9729,RawData[Month List],$Q$6,RawData[Tour/Site],$Q$2,RawData[[Picker ID ]],$Q$3,RawData[Checker ID],$Q$4,RawData[[Error Type ]],$Q$5))</f>
        <v/>
      </c>
    </row>
    <row r="9730" spans="15:15" x14ac:dyDescent="0.25">
      <c r="O9730" s="20" t="str">
        <f>IF(N9730="","",COUNTIFS(RawData[[Date ]],N9730,RawData[Month List],$Q$6,RawData[Tour/Site],$Q$2,RawData[[Picker ID ]],$Q$3,RawData[Checker ID],$Q$4,RawData[[Error Type ]],$Q$5))</f>
        <v/>
      </c>
    </row>
    <row r="9731" spans="15:15" x14ac:dyDescent="0.25">
      <c r="O9731" s="20" t="str">
        <f>IF(N9731="","",COUNTIFS(RawData[[Date ]],N9731,RawData[Month List],$Q$6,RawData[Tour/Site],$Q$2,RawData[[Picker ID ]],$Q$3,RawData[Checker ID],$Q$4,RawData[[Error Type ]],$Q$5))</f>
        <v/>
      </c>
    </row>
    <row r="9732" spans="15:15" x14ac:dyDescent="0.25">
      <c r="O9732" s="20" t="str">
        <f>IF(N9732="","",COUNTIFS(RawData[[Date ]],N9732,RawData[Month List],$Q$6,RawData[Tour/Site],$Q$2,RawData[[Picker ID ]],$Q$3,RawData[Checker ID],$Q$4,RawData[[Error Type ]],$Q$5))</f>
        <v/>
      </c>
    </row>
    <row r="9733" spans="15:15" x14ac:dyDescent="0.25">
      <c r="O9733" s="20" t="str">
        <f>IF(N9733="","",COUNTIFS(RawData[[Date ]],N9733,RawData[Month List],$Q$6,RawData[Tour/Site],$Q$2,RawData[[Picker ID ]],$Q$3,RawData[Checker ID],$Q$4,RawData[[Error Type ]],$Q$5))</f>
        <v/>
      </c>
    </row>
    <row r="9734" spans="15:15" x14ac:dyDescent="0.25">
      <c r="O9734" s="20" t="str">
        <f>IF(N9734="","",COUNTIFS(RawData[[Date ]],N9734,RawData[Month List],$Q$6,RawData[Tour/Site],$Q$2,RawData[[Picker ID ]],$Q$3,RawData[Checker ID],$Q$4,RawData[[Error Type ]],$Q$5))</f>
        <v/>
      </c>
    </row>
    <row r="9735" spans="15:15" x14ac:dyDescent="0.25">
      <c r="O9735" s="20" t="str">
        <f>IF(N9735="","",COUNTIFS(RawData[[Date ]],N9735,RawData[Month List],$Q$6,RawData[Tour/Site],$Q$2,RawData[[Picker ID ]],$Q$3,RawData[Checker ID],$Q$4,RawData[[Error Type ]],$Q$5))</f>
        <v/>
      </c>
    </row>
    <row r="9736" spans="15:15" x14ac:dyDescent="0.25">
      <c r="O9736" s="20" t="str">
        <f>IF(N9736="","",COUNTIFS(RawData[[Date ]],N9736,RawData[Month List],$Q$6,RawData[Tour/Site],$Q$2,RawData[[Picker ID ]],$Q$3,RawData[Checker ID],$Q$4,RawData[[Error Type ]],$Q$5))</f>
        <v/>
      </c>
    </row>
    <row r="9737" spans="15:15" x14ac:dyDescent="0.25">
      <c r="O9737" s="20" t="str">
        <f>IF(N9737="","",COUNTIFS(RawData[[Date ]],N9737,RawData[Month List],$Q$6,RawData[Tour/Site],$Q$2,RawData[[Picker ID ]],$Q$3,RawData[Checker ID],$Q$4,RawData[[Error Type ]],$Q$5))</f>
        <v/>
      </c>
    </row>
    <row r="9738" spans="15:15" x14ac:dyDescent="0.25">
      <c r="O9738" s="20" t="str">
        <f>IF(N9738="","",COUNTIFS(RawData[[Date ]],N9738,RawData[Month List],$Q$6,RawData[Tour/Site],$Q$2,RawData[[Picker ID ]],$Q$3,RawData[Checker ID],$Q$4,RawData[[Error Type ]],$Q$5))</f>
        <v/>
      </c>
    </row>
    <row r="9739" spans="15:15" x14ac:dyDescent="0.25">
      <c r="O9739" s="20" t="str">
        <f>IF(N9739="","",COUNTIFS(RawData[[Date ]],N9739,RawData[Month List],$Q$6,RawData[Tour/Site],$Q$2,RawData[[Picker ID ]],$Q$3,RawData[Checker ID],$Q$4,RawData[[Error Type ]],$Q$5))</f>
        <v/>
      </c>
    </row>
    <row r="9740" spans="15:15" x14ac:dyDescent="0.25">
      <c r="O9740" s="20" t="str">
        <f>IF(N9740="","",COUNTIFS(RawData[[Date ]],N9740,RawData[Month List],$Q$6,RawData[Tour/Site],$Q$2,RawData[[Picker ID ]],$Q$3,RawData[Checker ID],$Q$4,RawData[[Error Type ]],$Q$5))</f>
        <v/>
      </c>
    </row>
    <row r="9741" spans="15:15" x14ac:dyDescent="0.25">
      <c r="O9741" s="20" t="str">
        <f>IF(N9741="","",COUNTIFS(RawData[[Date ]],N9741,RawData[Month List],$Q$6,RawData[Tour/Site],$Q$2,RawData[[Picker ID ]],$Q$3,RawData[Checker ID],$Q$4,RawData[[Error Type ]],$Q$5))</f>
        <v/>
      </c>
    </row>
    <row r="9742" spans="15:15" x14ac:dyDescent="0.25">
      <c r="O9742" s="20" t="str">
        <f>IF(N9742="","",COUNTIFS(RawData[[Date ]],N9742,RawData[Month List],$Q$6,RawData[Tour/Site],$Q$2,RawData[[Picker ID ]],$Q$3,RawData[Checker ID],$Q$4,RawData[[Error Type ]],$Q$5))</f>
        <v/>
      </c>
    </row>
    <row r="9743" spans="15:15" x14ac:dyDescent="0.25">
      <c r="O9743" s="20" t="str">
        <f>IF(N9743="","",COUNTIFS(RawData[[Date ]],N9743,RawData[Month List],$Q$6,RawData[Tour/Site],$Q$2,RawData[[Picker ID ]],$Q$3,RawData[Checker ID],$Q$4,RawData[[Error Type ]],$Q$5))</f>
        <v/>
      </c>
    </row>
    <row r="9744" spans="15:15" x14ac:dyDescent="0.25">
      <c r="O9744" s="20" t="str">
        <f>IF(N9744="","",COUNTIFS(RawData[[Date ]],N9744,RawData[Month List],$Q$6,RawData[Tour/Site],$Q$2,RawData[[Picker ID ]],$Q$3,RawData[Checker ID],$Q$4,RawData[[Error Type ]],$Q$5))</f>
        <v/>
      </c>
    </row>
    <row r="9745" spans="15:15" x14ac:dyDescent="0.25">
      <c r="O9745" s="20" t="str">
        <f>IF(N9745="","",COUNTIFS(RawData[[Date ]],N9745,RawData[Month List],$Q$6,RawData[Tour/Site],$Q$2,RawData[[Picker ID ]],$Q$3,RawData[Checker ID],$Q$4,RawData[[Error Type ]],$Q$5))</f>
        <v/>
      </c>
    </row>
    <row r="9746" spans="15:15" x14ac:dyDescent="0.25">
      <c r="O9746" s="20" t="str">
        <f>IF(N9746="","",COUNTIFS(RawData[[Date ]],N9746,RawData[Month List],$Q$6,RawData[Tour/Site],$Q$2,RawData[[Picker ID ]],$Q$3,RawData[Checker ID],$Q$4,RawData[[Error Type ]],$Q$5))</f>
        <v/>
      </c>
    </row>
    <row r="9747" spans="15:15" x14ac:dyDescent="0.25">
      <c r="O9747" s="20" t="str">
        <f>IF(N9747="","",COUNTIFS(RawData[[Date ]],N9747,RawData[Month List],$Q$6,RawData[Tour/Site],$Q$2,RawData[[Picker ID ]],$Q$3,RawData[Checker ID],$Q$4,RawData[[Error Type ]],$Q$5))</f>
        <v/>
      </c>
    </row>
    <row r="9748" spans="15:15" x14ac:dyDescent="0.25">
      <c r="O9748" s="20" t="str">
        <f>IF(N9748="","",COUNTIFS(RawData[[Date ]],N9748,RawData[Month List],$Q$6,RawData[Tour/Site],$Q$2,RawData[[Picker ID ]],$Q$3,RawData[Checker ID],$Q$4,RawData[[Error Type ]],$Q$5))</f>
        <v/>
      </c>
    </row>
    <row r="9749" spans="15:15" x14ac:dyDescent="0.25">
      <c r="O9749" s="20" t="str">
        <f>IF(N9749="","",COUNTIFS(RawData[[Date ]],N9749,RawData[Month List],$Q$6,RawData[Tour/Site],$Q$2,RawData[[Picker ID ]],$Q$3,RawData[Checker ID],$Q$4,RawData[[Error Type ]],$Q$5))</f>
        <v/>
      </c>
    </row>
    <row r="9750" spans="15:15" x14ac:dyDescent="0.25">
      <c r="O9750" s="20" t="str">
        <f>IF(N9750="","",COUNTIFS(RawData[[Date ]],N9750,RawData[Month List],$Q$6,RawData[Tour/Site],$Q$2,RawData[[Picker ID ]],$Q$3,RawData[Checker ID],$Q$4,RawData[[Error Type ]],$Q$5))</f>
        <v/>
      </c>
    </row>
    <row r="9751" spans="15:15" x14ac:dyDescent="0.25">
      <c r="O9751" s="20" t="str">
        <f>IF(N9751="","",COUNTIFS(RawData[[Date ]],N9751,RawData[Month List],$Q$6,RawData[Tour/Site],$Q$2,RawData[[Picker ID ]],$Q$3,RawData[Checker ID],$Q$4,RawData[[Error Type ]],$Q$5))</f>
        <v/>
      </c>
    </row>
    <row r="9752" spans="15:15" x14ac:dyDescent="0.25">
      <c r="O9752" s="20" t="str">
        <f>IF(N9752="","",COUNTIFS(RawData[[Date ]],N9752,RawData[Month List],$Q$6,RawData[Tour/Site],$Q$2,RawData[[Picker ID ]],$Q$3,RawData[Checker ID],$Q$4,RawData[[Error Type ]],$Q$5))</f>
        <v/>
      </c>
    </row>
    <row r="9753" spans="15:15" x14ac:dyDescent="0.25">
      <c r="O9753" s="20" t="str">
        <f>IF(N9753="","",COUNTIFS(RawData[[Date ]],N9753,RawData[Month List],$Q$6,RawData[Tour/Site],$Q$2,RawData[[Picker ID ]],$Q$3,RawData[Checker ID],$Q$4,RawData[[Error Type ]],$Q$5))</f>
        <v/>
      </c>
    </row>
    <row r="9754" spans="15:15" x14ac:dyDescent="0.25">
      <c r="O9754" s="20" t="str">
        <f>IF(N9754="","",COUNTIFS(RawData[[Date ]],N9754,RawData[Month List],$Q$6,RawData[Tour/Site],$Q$2,RawData[[Picker ID ]],$Q$3,RawData[Checker ID],$Q$4,RawData[[Error Type ]],$Q$5))</f>
        <v/>
      </c>
    </row>
    <row r="9755" spans="15:15" x14ac:dyDescent="0.25">
      <c r="O9755" s="20" t="str">
        <f>IF(N9755="","",COUNTIFS(RawData[[Date ]],N9755,RawData[Month List],$Q$6,RawData[Tour/Site],$Q$2,RawData[[Picker ID ]],$Q$3,RawData[Checker ID],$Q$4,RawData[[Error Type ]],$Q$5))</f>
        <v/>
      </c>
    </row>
    <row r="9756" spans="15:15" x14ac:dyDescent="0.25">
      <c r="O9756" s="20" t="str">
        <f>IF(N9756="","",COUNTIFS(RawData[[Date ]],N9756,RawData[Month List],$Q$6,RawData[Tour/Site],$Q$2,RawData[[Picker ID ]],$Q$3,RawData[Checker ID],$Q$4,RawData[[Error Type ]],$Q$5))</f>
        <v/>
      </c>
    </row>
    <row r="9757" spans="15:15" x14ac:dyDescent="0.25">
      <c r="O9757" s="20" t="str">
        <f>IF(N9757="","",COUNTIFS(RawData[[Date ]],N9757,RawData[Month List],$Q$6,RawData[Tour/Site],$Q$2,RawData[[Picker ID ]],$Q$3,RawData[Checker ID],$Q$4,RawData[[Error Type ]],$Q$5))</f>
        <v/>
      </c>
    </row>
    <row r="9758" spans="15:15" x14ac:dyDescent="0.25">
      <c r="O9758" s="20" t="str">
        <f>IF(N9758="","",COUNTIFS(RawData[[Date ]],N9758,RawData[Month List],$Q$6,RawData[Tour/Site],$Q$2,RawData[[Picker ID ]],$Q$3,RawData[Checker ID],$Q$4,RawData[[Error Type ]],$Q$5))</f>
        <v/>
      </c>
    </row>
    <row r="9759" spans="15:15" x14ac:dyDescent="0.25">
      <c r="O9759" s="20" t="str">
        <f>IF(N9759="","",COUNTIFS(RawData[[Date ]],N9759,RawData[Month List],$Q$6,RawData[Tour/Site],$Q$2,RawData[[Picker ID ]],$Q$3,RawData[Checker ID],$Q$4,RawData[[Error Type ]],$Q$5))</f>
        <v/>
      </c>
    </row>
    <row r="9760" spans="15:15" x14ac:dyDescent="0.25">
      <c r="O9760" s="20" t="str">
        <f>IF(N9760="","",COUNTIFS(RawData[[Date ]],N9760,RawData[Month List],$Q$6,RawData[Tour/Site],$Q$2,RawData[[Picker ID ]],$Q$3,RawData[Checker ID],$Q$4,RawData[[Error Type ]],$Q$5))</f>
        <v/>
      </c>
    </row>
    <row r="9761" spans="15:15" x14ac:dyDescent="0.25">
      <c r="O9761" s="20" t="str">
        <f>IF(N9761="","",COUNTIFS(RawData[[Date ]],N9761,RawData[Month List],$Q$6,RawData[Tour/Site],$Q$2,RawData[[Picker ID ]],$Q$3,RawData[Checker ID],$Q$4,RawData[[Error Type ]],$Q$5))</f>
        <v/>
      </c>
    </row>
    <row r="9762" spans="15:15" x14ac:dyDescent="0.25">
      <c r="O9762" s="20" t="str">
        <f>IF(N9762="","",COUNTIFS(RawData[[Date ]],N9762,RawData[Month List],$Q$6,RawData[Tour/Site],$Q$2,RawData[[Picker ID ]],$Q$3,RawData[Checker ID],$Q$4,RawData[[Error Type ]],$Q$5))</f>
        <v/>
      </c>
    </row>
    <row r="9763" spans="15:15" x14ac:dyDescent="0.25">
      <c r="O9763" s="20" t="str">
        <f>IF(N9763="","",COUNTIFS(RawData[[Date ]],N9763,RawData[Month List],$Q$6,RawData[Tour/Site],$Q$2,RawData[[Picker ID ]],$Q$3,RawData[Checker ID],$Q$4,RawData[[Error Type ]],$Q$5))</f>
        <v/>
      </c>
    </row>
    <row r="9764" spans="15:15" x14ac:dyDescent="0.25">
      <c r="O9764" s="20" t="str">
        <f>IF(N9764="","",COUNTIFS(RawData[[Date ]],N9764,RawData[Month List],$Q$6,RawData[Tour/Site],$Q$2,RawData[[Picker ID ]],$Q$3,RawData[Checker ID],$Q$4,RawData[[Error Type ]],$Q$5))</f>
        <v/>
      </c>
    </row>
    <row r="9765" spans="15:15" x14ac:dyDescent="0.25">
      <c r="O9765" s="20" t="str">
        <f>IF(N9765="","",COUNTIFS(RawData[[Date ]],N9765,RawData[Month List],$Q$6,RawData[Tour/Site],$Q$2,RawData[[Picker ID ]],$Q$3,RawData[Checker ID],$Q$4,RawData[[Error Type ]],$Q$5))</f>
        <v/>
      </c>
    </row>
    <row r="9766" spans="15:15" x14ac:dyDescent="0.25">
      <c r="O9766" s="20" t="str">
        <f>IF(N9766="","",COUNTIFS(RawData[[Date ]],N9766,RawData[Month List],$Q$6,RawData[Tour/Site],$Q$2,RawData[[Picker ID ]],$Q$3,RawData[Checker ID],$Q$4,RawData[[Error Type ]],$Q$5))</f>
        <v/>
      </c>
    </row>
    <row r="9767" spans="15:15" x14ac:dyDescent="0.25">
      <c r="O9767" s="20" t="str">
        <f>IF(N9767="","",COUNTIFS(RawData[[Date ]],N9767,RawData[Month List],$Q$6,RawData[Tour/Site],$Q$2,RawData[[Picker ID ]],$Q$3,RawData[Checker ID],$Q$4,RawData[[Error Type ]],$Q$5))</f>
        <v/>
      </c>
    </row>
    <row r="9768" spans="15:15" x14ac:dyDescent="0.25">
      <c r="O9768" s="20" t="str">
        <f>IF(N9768="","",COUNTIFS(RawData[[Date ]],N9768,RawData[Month List],$Q$6,RawData[Tour/Site],$Q$2,RawData[[Picker ID ]],$Q$3,RawData[Checker ID],$Q$4,RawData[[Error Type ]],$Q$5))</f>
        <v/>
      </c>
    </row>
    <row r="9769" spans="15:15" x14ac:dyDescent="0.25">
      <c r="O9769" s="20" t="str">
        <f>IF(N9769="","",COUNTIFS(RawData[[Date ]],N9769,RawData[Month List],$Q$6,RawData[Tour/Site],$Q$2,RawData[[Picker ID ]],$Q$3,RawData[Checker ID],$Q$4,RawData[[Error Type ]],$Q$5))</f>
        <v/>
      </c>
    </row>
    <row r="9770" spans="15:15" x14ac:dyDescent="0.25">
      <c r="O9770" s="20" t="str">
        <f>IF(N9770="","",COUNTIFS(RawData[[Date ]],N9770,RawData[Month List],$Q$6,RawData[Tour/Site],$Q$2,RawData[[Picker ID ]],$Q$3,RawData[Checker ID],$Q$4,RawData[[Error Type ]],$Q$5))</f>
        <v/>
      </c>
    </row>
    <row r="9771" spans="15:15" x14ac:dyDescent="0.25">
      <c r="O9771" s="20" t="str">
        <f>IF(N9771="","",COUNTIFS(RawData[[Date ]],N9771,RawData[Month List],$Q$6,RawData[Tour/Site],$Q$2,RawData[[Picker ID ]],$Q$3,RawData[Checker ID],$Q$4,RawData[[Error Type ]],$Q$5))</f>
        <v/>
      </c>
    </row>
    <row r="9772" spans="15:15" x14ac:dyDescent="0.25">
      <c r="O9772" s="20" t="str">
        <f>IF(N9772="","",COUNTIFS(RawData[[Date ]],N9772,RawData[Month List],$Q$6,RawData[Tour/Site],$Q$2,RawData[[Picker ID ]],$Q$3,RawData[Checker ID],$Q$4,RawData[[Error Type ]],$Q$5))</f>
        <v/>
      </c>
    </row>
    <row r="9773" spans="15:15" x14ac:dyDescent="0.25">
      <c r="O9773" s="20" t="str">
        <f>IF(N9773="","",COUNTIFS(RawData[[Date ]],N9773,RawData[Month List],$Q$6,RawData[Tour/Site],$Q$2,RawData[[Picker ID ]],$Q$3,RawData[Checker ID],$Q$4,RawData[[Error Type ]],$Q$5))</f>
        <v/>
      </c>
    </row>
    <row r="9774" spans="15:15" x14ac:dyDescent="0.25">
      <c r="O9774" s="20" t="str">
        <f>IF(N9774="","",COUNTIFS(RawData[[Date ]],N9774,RawData[Month List],$Q$6,RawData[Tour/Site],$Q$2,RawData[[Picker ID ]],$Q$3,RawData[Checker ID],$Q$4,RawData[[Error Type ]],$Q$5))</f>
        <v/>
      </c>
    </row>
    <row r="9775" spans="15:15" x14ac:dyDescent="0.25">
      <c r="O9775" s="20" t="str">
        <f>IF(N9775="","",COUNTIFS(RawData[[Date ]],N9775,RawData[Month List],$Q$6,RawData[Tour/Site],$Q$2,RawData[[Picker ID ]],$Q$3,RawData[Checker ID],$Q$4,RawData[[Error Type ]],$Q$5))</f>
        <v/>
      </c>
    </row>
    <row r="9776" spans="15:15" x14ac:dyDescent="0.25">
      <c r="O9776" s="20" t="str">
        <f>IF(N9776="","",COUNTIFS(RawData[[Date ]],N9776,RawData[Month List],$Q$6,RawData[Tour/Site],$Q$2,RawData[[Picker ID ]],$Q$3,RawData[Checker ID],$Q$4,RawData[[Error Type ]],$Q$5))</f>
        <v/>
      </c>
    </row>
    <row r="9777" spans="15:15" x14ac:dyDescent="0.25">
      <c r="O9777" s="20" t="str">
        <f>IF(N9777="","",COUNTIFS(RawData[[Date ]],N9777,RawData[Month List],$Q$6,RawData[Tour/Site],$Q$2,RawData[[Picker ID ]],$Q$3,RawData[Checker ID],$Q$4,RawData[[Error Type ]],$Q$5))</f>
        <v/>
      </c>
    </row>
    <row r="9778" spans="15:15" x14ac:dyDescent="0.25">
      <c r="O9778" s="20" t="str">
        <f>IF(N9778="","",COUNTIFS(RawData[[Date ]],N9778,RawData[Month List],$Q$6,RawData[Tour/Site],$Q$2,RawData[[Picker ID ]],$Q$3,RawData[Checker ID],$Q$4,RawData[[Error Type ]],$Q$5))</f>
        <v/>
      </c>
    </row>
    <row r="9779" spans="15:15" x14ac:dyDescent="0.25">
      <c r="O9779" s="20" t="str">
        <f>IF(N9779="","",COUNTIFS(RawData[[Date ]],N9779,RawData[Month List],$Q$6,RawData[Tour/Site],$Q$2,RawData[[Picker ID ]],$Q$3,RawData[Checker ID],$Q$4,RawData[[Error Type ]],$Q$5))</f>
        <v/>
      </c>
    </row>
    <row r="9780" spans="15:15" x14ac:dyDescent="0.25">
      <c r="O9780" s="20" t="str">
        <f>IF(N9780="","",COUNTIFS(RawData[[Date ]],N9780,RawData[Month List],$Q$6,RawData[Tour/Site],$Q$2,RawData[[Picker ID ]],$Q$3,RawData[Checker ID],$Q$4,RawData[[Error Type ]],$Q$5))</f>
        <v/>
      </c>
    </row>
    <row r="9781" spans="15:15" x14ac:dyDescent="0.25">
      <c r="O9781" s="20" t="str">
        <f>IF(N9781="","",COUNTIFS(RawData[[Date ]],N9781,RawData[Month List],$Q$6,RawData[Tour/Site],$Q$2,RawData[[Picker ID ]],$Q$3,RawData[Checker ID],$Q$4,RawData[[Error Type ]],$Q$5))</f>
        <v/>
      </c>
    </row>
    <row r="9782" spans="15:15" x14ac:dyDescent="0.25">
      <c r="O9782" s="20" t="str">
        <f>IF(N9782="","",COUNTIFS(RawData[[Date ]],N9782,RawData[Month List],$Q$6,RawData[Tour/Site],$Q$2,RawData[[Picker ID ]],$Q$3,RawData[Checker ID],$Q$4,RawData[[Error Type ]],$Q$5))</f>
        <v/>
      </c>
    </row>
    <row r="9783" spans="15:15" x14ac:dyDescent="0.25">
      <c r="O9783" s="20" t="str">
        <f>IF(N9783="","",COUNTIFS(RawData[[Date ]],N9783,RawData[Month List],$Q$6,RawData[Tour/Site],$Q$2,RawData[[Picker ID ]],$Q$3,RawData[Checker ID],$Q$4,RawData[[Error Type ]],$Q$5))</f>
        <v/>
      </c>
    </row>
    <row r="9784" spans="15:15" x14ac:dyDescent="0.25">
      <c r="O9784" s="20" t="str">
        <f>IF(N9784="","",COUNTIFS(RawData[[Date ]],N9784,RawData[Month List],$Q$6,RawData[Tour/Site],$Q$2,RawData[[Picker ID ]],$Q$3,RawData[Checker ID],$Q$4,RawData[[Error Type ]],$Q$5))</f>
        <v/>
      </c>
    </row>
    <row r="9785" spans="15:15" x14ac:dyDescent="0.25">
      <c r="O9785" s="20" t="str">
        <f>IF(N9785="","",COUNTIFS(RawData[[Date ]],N9785,RawData[Month List],$Q$6,RawData[Tour/Site],$Q$2,RawData[[Picker ID ]],$Q$3,RawData[Checker ID],$Q$4,RawData[[Error Type ]],$Q$5))</f>
        <v/>
      </c>
    </row>
    <row r="9786" spans="15:15" x14ac:dyDescent="0.25">
      <c r="O9786" s="20" t="str">
        <f>IF(N9786="","",COUNTIFS(RawData[[Date ]],N9786,RawData[Month List],$Q$6,RawData[Tour/Site],$Q$2,RawData[[Picker ID ]],$Q$3,RawData[Checker ID],$Q$4,RawData[[Error Type ]],$Q$5))</f>
        <v/>
      </c>
    </row>
    <row r="9787" spans="15:15" x14ac:dyDescent="0.25">
      <c r="O9787" s="20" t="str">
        <f>IF(N9787="","",COUNTIFS(RawData[[Date ]],N9787,RawData[Month List],$Q$6,RawData[Tour/Site],$Q$2,RawData[[Picker ID ]],$Q$3,RawData[Checker ID],$Q$4,RawData[[Error Type ]],$Q$5))</f>
        <v/>
      </c>
    </row>
    <row r="9788" spans="15:15" x14ac:dyDescent="0.25">
      <c r="O9788" s="20" t="str">
        <f>IF(N9788="","",COUNTIFS(RawData[[Date ]],N9788,RawData[Month List],$Q$6,RawData[Tour/Site],$Q$2,RawData[[Picker ID ]],$Q$3,RawData[Checker ID],$Q$4,RawData[[Error Type ]],$Q$5))</f>
        <v/>
      </c>
    </row>
    <row r="9789" spans="15:15" x14ac:dyDescent="0.25">
      <c r="O9789" s="20" t="str">
        <f>IF(N9789="","",COUNTIFS(RawData[[Date ]],N9789,RawData[Month List],$Q$6,RawData[Tour/Site],$Q$2,RawData[[Picker ID ]],$Q$3,RawData[Checker ID],$Q$4,RawData[[Error Type ]],$Q$5))</f>
        <v/>
      </c>
    </row>
    <row r="9790" spans="15:15" x14ac:dyDescent="0.25">
      <c r="O9790" s="20" t="str">
        <f>IF(N9790="","",COUNTIFS(RawData[[Date ]],N9790,RawData[Month List],$Q$6,RawData[Tour/Site],$Q$2,RawData[[Picker ID ]],$Q$3,RawData[Checker ID],$Q$4,RawData[[Error Type ]],$Q$5))</f>
        <v/>
      </c>
    </row>
    <row r="9791" spans="15:15" x14ac:dyDescent="0.25">
      <c r="O9791" s="20" t="str">
        <f>IF(N9791="","",COUNTIFS(RawData[[Date ]],N9791,RawData[Month List],$Q$6,RawData[Tour/Site],$Q$2,RawData[[Picker ID ]],$Q$3,RawData[Checker ID],$Q$4,RawData[[Error Type ]],$Q$5))</f>
        <v/>
      </c>
    </row>
    <row r="9792" spans="15:15" x14ac:dyDescent="0.25">
      <c r="O9792" s="20" t="str">
        <f>IF(N9792="","",COUNTIFS(RawData[[Date ]],N9792,RawData[Month List],$Q$6,RawData[Tour/Site],$Q$2,RawData[[Picker ID ]],$Q$3,RawData[Checker ID],$Q$4,RawData[[Error Type ]],$Q$5))</f>
        <v/>
      </c>
    </row>
    <row r="9793" spans="15:15" x14ac:dyDescent="0.25">
      <c r="O9793" s="20" t="str">
        <f>IF(N9793="","",COUNTIFS(RawData[[Date ]],N9793,RawData[Month List],$Q$6,RawData[Tour/Site],$Q$2,RawData[[Picker ID ]],$Q$3,RawData[Checker ID],$Q$4,RawData[[Error Type ]],$Q$5))</f>
        <v/>
      </c>
    </row>
    <row r="9794" spans="15:15" x14ac:dyDescent="0.25">
      <c r="O9794" s="20" t="str">
        <f>IF(N9794="","",COUNTIFS(RawData[[Date ]],N9794,RawData[Month List],$Q$6,RawData[Tour/Site],$Q$2,RawData[[Picker ID ]],$Q$3,RawData[Checker ID],$Q$4,RawData[[Error Type ]],$Q$5))</f>
        <v/>
      </c>
    </row>
    <row r="9795" spans="15:15" x14ac:dyDescent="0.25">
      <c r="O9795" s="20" t="str">
        <f>IF(N9795="","",COUNTIFS(RawData[[Date ]],N9795,RawData[Month List],$Q$6,RawData[Tour/Site],$Q$2,RawData[[Picker ID ]],$Q$3,RawData[Checker ID],$Q$4,RawData[[Error Type ]],$Q$5))</f>
        <v/>
      </c>
    </row>
    <row r="9796" spans="15:15" x14ac:dyDescent="0.25">
      <c r="O9796" s="20" t="str">
        <f>IF(N9796="","",COUNTIFS(RawData[[Date ]],N9796,RawData[Month List],$Q$6,RawData[Tour/Site],$Q$2,RawData[[Picker ID ]],$Q$3,RawData[Checker ID],$Q$4,RawData[[Error Type ]],$Q$5))</f>
        <v/>
      </c>
    </row>
    <row r="9797" spans="15:15" x14ac:dyDescent="0.25">
      <c r="O9797" s="20" t="str">
        <f>IF(N9797="","",COUNTIFS(RawData[[Date ]],N9797,RawData[Month List],$Q$6,RawData[Tour/Site],$Q$2,RawData[[Picker ID ]],$Q$3,RawData[Checker ID],$Q$4,RawData[[Error Type ]],$Q$5))</f>
        <v/>
      </c>
    </row>
    <row r="9798" spans="15:15" x14ac:dyDescent="0.25">
      <c r="O9798" s="20" t="str">
        <f>IF(N9798="","",COUNTIFS(RawData[[Date ]],N9798,RawData[Month List],$Q$6,RawData[Tour/Site],$Q$2,RawData[[Picker ID ]],$Q$3,RawData[Checker ID],$Q$4,RawData[[Error Type ]],$Q$5))</f>
        <v/>
      </c>
    </row>
    <row r="9799" spans="15:15" x14ac:dyDescent="0.25">
      <c r="O9799" s="20" t="str">
        <f>IF(N9799="","",COUNTIFS(RawData[[Date ]],N9799,RawData[Month List],$Q$6,RawData[Tour/Site],$Q$2,RawData[[Picker ID ]],$Q$3,RawData[Checker ID],$Q$4,RawData[[Error Type ]],$Q$5))</f>
        <v/>
      </c>
    </row>
    <row r="9800" spans="15:15" x14ac:dyDescent="0.25">
      <c r="O9800" s="20" t="str">
        <f>IF(N9800="","",COUNTIFS(RawData[[Date ]],N9800,RawData[Month List],$Q$6,RawData[Tour/Site],$Q$2,RawData[[Picker ID ]],$Q$3,RawData[Checker ID],$Q$4,RawData[[Error Type ]],$Q$5))</f>
        <v/>
      </c>
    </row>
    <row r="9801" spans="15:15" x14ac:dyDescent="0.25">
      <c r="O9801" s="20" t="str">
        <f>IF(N9801="","",COUNTIFS(RawData[[Date ]],N9801,RawData[Month List],$Q$6,RawData[Tour/Site],$Q$2,RawData[[Picker ID ]],$Q$3,RawData[Checker ID],$Q$4,RawData[[Error Type ]],$Q$5))</f>
        <v/>
      </c>
    </row>
    <row r="9802" spans="15:15" x14ac:dyDescent="0.25">
      <c r="O9802" s="20" t="str">
        <f>IF(N9802="","",COUNTIFS(RawData[[Date ]],N9802,RawData[Month List],$Q$6,RawData[Tour/Site],$Q$2,RawData[[Picker ID ]],$Q$3,RawData[Checker ID],$Q$4,RawData[[Error Type ]],$Q$5))</f>
        <v/>
      </c>
    </row>
    <row r="9803" spans="15:15" x14ac:dyDescent="0.25">
      <c r="O9803" s="20" t="str">
        <f>IF(N9803="","",COUNTIFS(RawData[[Date ]],N9803,RawData[Month List],$Q$6,RawData[Tour/Site],$Q$2,RawData[[Picker ID ]],$Q$3,RawData[Checker ID],$Q$4,RawData[[Error Type ]],$Q$5))</f>
        <v/>
      </c>
    </row>
    <row r="9804" spans="15:15" x14ac:dyDescent="0.25">
      <c r="O9804" s="20" t="str">
        <f>IF(N9804="","",COUNTIFS(RawData[[Date ]],N9804,RawData[Month List],$Q$6,RawData[Tour/Site],$Q$2,RawData[[Picker ID ]],$Q$3,RawData[Checker ID],$Q$4,RawData[[Error Type ]],$Q$5))</f>
        <v/>
      </c>
    </row>
    <row r="9805" spans="15:15" x14ac:dyDescent="0.25">
      <c r="O9805" s="20" t="str">
        <f>IF(N9805="","",COUNTIFS(RawData[[Date ]],N9805,RawData[Month List],$Q$6,RawData[Tour/Site],$Q$2,RawData[[Picker ID ]],$Q$3,RawData[Checker ID],$Q$4,RawData[[Error Type ]],$Q$5))</f>
        <v/>
      </c>
    </row>
    <row r="9806" spans="15:15" x14ac:dyDescent="0.25">
      <c r="O9806" s="20" t="str">
        <f>IF(N9806="","",COUNTIFS(RawData[[Date ]],N9806,RawData[Month List],$Q$6,RawData[Tour/Site],$Q$2,RawData[[Picker ID ]],$Q$3,RawData[Checker ID],$Q$4,RawData[[Error Type ]],$Q$5))</f>
        <v/>
      </c>
    </row>
    <row r="9807" spans="15:15" x14ac:dyDescent="0.25">
      <c r="O9807" s="20" t="str">
        <f>IF(N9807="","",COUNTIFS(RawData[[Date ]],N9807,RawData[Month List],$Q$6,RawData[Tour/Site],$Q$2,RawData[[Picker ID ]],$Q$3,RawData[Checker ID],$Q$4,RawData[[Error Type ]],$Q$5))</f>
        <v/>
      </c>
    </row>
    <row r="9808" spans="15:15" x14ac:dyDescent="0.25">
      <c r="O9808" s="20" t="str">
        <f>IF(N9808="","",COUNTIFS(RawData[[Date ]],N9808,RawData[Month List],$Q$6,RawData[Tour/Site],$Q$2,RawData[[Picker ID ]],$Q$3,RawData[Checker ID],$Q$4,RawData[[Error Type ]],$Q$5))</f>
        <v/>
      </c>
    </row>
    <row r="9809" spans="15:15" x14ac:dyDescent="0.25">
      <c r="O9809" s="20" t="str">
        <f>IF(N9809="","",COUNTIFS(RawData[[Date ]],N9809,RawData[Month List],$Q$6,RawData[Tour/Site],$Q$2,RawData[[Picker ID ]],$Q$3,RawData[Checker ID],$Q$4,RawData[[Error Type ]],$Q$5))</f>
        <v/>
      </c>
    </row>
    <row r="9810" spans="15:15" x14ac:dyDescent="0.25">
      <c r="O9810" s="20" t="str">
        <f>IF(N9810="","",COUNTIFS(RawData[[Date ]],N9810,RawData[Month List],$Q$6,RawData[Tour/Site],$Q$2,RawData[[Picker ID ]],$Q$3,RawData[Checker ID],$Q$4,RawData[[Error Type ]],$Q$5))</f>
        <v/>
      </c>
    </row>
    <row r="9811" spans="15:15" x14ac:dyDescent="0.25">
      <c r="O9811" s="20" t="str">
        <f>IF(N9811="","",COUNTIFS(RawData[[Date ]],N9811,RawData[Month List],$Q$6,RawData[Tour/Site],$Q$2,RawData[[Picker ID ]],$Q$3,RawData[Checker ID],$Q$4,RawData[[Error Type ]],$Q$5))</f>
        <v/>
      </c>
    </row>
    <row r="9812" spans="15:15" x14ac:dyDescent="0.25">
      <c r="O9812" s="20" t="str">
        <f>IF(N9812="","",COUNTIFS(RawData[[Date ]],N9812,RawData[Month List],$Q$6,RawData[Tour/Site],$Q$2,RawData[[Picker ID ]],$Q$3,RawData[Checker ID],$Q$4,RawData[[Error Type ]],$Q$5))</f>
        <v/>
      </c>
    </row>
    <row r="9813" spans="15:15" x14ac:dyDescent="0.25">
      <c r="O9813" s="20" t="str">
        <f>IF(N9813="","",COUNTIFS(RawData[[Date ]],N9813,RawData[Month List],$Q$6,RawData[Tour/Site],$Q$2,RawData[[Picker ID ]],$Q$3,RawData[Checker ID],$Q$4,RawData[[Error Type ]],$Q$5))</f>
        <v/>
      </c>
    </row>
    <row r="9814" spans="15:15" x14ac:dyDescent="0.25">
      <c r="O9814" s="20" t="str">
        <f>IF(N9814="","",COUNTIFS(RawData[[Date ]],N9814,RawData[Month List],$Q$6,RawData[Tour/Site],$Q$2,RawData[[Picker ID ]],$Q$3,RawData[Checker ID],$Q$4,RawData[[Error Type ]],$Q$5))</f>
        <v/>
      </c>
    </row>
    <row r="9815" spans="15:15" x14ac:dyDescent="0.25">
      <c r="O9815" s="20" t="str">
        <f>IF(N9815="","",COUNTIFS(RawData[[Date ]],N9815,RawData[Month List],$Q$6,RawData[Tour/Site],$Q$2,RawData[[Picker ID ]],$Q$3,RawData[Checker ID],$Q$4,RawData[[Error Type ]],$Q$5))</f>
        <v/>
      </c>
    </row>
    <row r="9816" spans="15:15" x14ac:dyDescent="0.25">
      <c r="O9816" s="20" t="str">
        <f>IF(N9816="","",COUNTIFS(RawData[[Date ]],N9816,RawData[Month List],$Q$6,RawData[Tour/Site],$Q$2,RawData[[Picker ID ]],$Q$3,RawData[Checker ID],$Q$4,RawData[[Error Type ]],$Q$5))</f>
        <v/>
      </c>
    </row>
    <row r="9817" spans="15:15" x14ac:dyDescent="0.25">
      <c r="O9817" s="20" t="str">
        <f>IF(N9817="","",COUNTIFS(RawData[[Date ]],N9817,RawData[Month List],$Q$6,RawData[Tour/Site],$Q$2,RawData[[Picker ID ]],$Q$3,RawData[Checker ID],$Q$4,RawData[[Error Type ]],$Q$5))</f>
        <v/>
      </c>
    </row>
    <row r="9818" spans="15:15" x14ac:dyDescent="0.25">
      <c r="O9818" s="20" t="str">
        <f>IF(N9818="","",COUNTIFS(RawData[[Date ]],N9818,RawData[Month List],$Q$6,RawData[Tour/Site],$Q$2,RawData[[Picker ID ]],$Q$3,RawData[Checker ID],$Q$4,RawData[[Error Type ]],$Q$5))</f>
        <v/>
      </c>
    </row>
    <row r="9819" spans="15:15" x14ac:dyDescent="0.25">
      <c r="O9819" s="20" t="str">
        <f>IF(N9819="","",COUNTIFS(RawData[[Date ]],N9819,RawData[Month List],$Q$6,RawData[Tour/Site],$Q$2,RawData[[Picker ID ]],$Q$3,RawData[Checker ID],$Q$4,RawData[[Error Type ]],$Q$5))</f>
        <v/>
      </c>
    </row>
    <row r="9820" spans="15:15" x14ac:dyDescent="0.25">
      <c r="O9820" s="20" t="str">
        <f>IF(N9820="","",COUNTIFS(RawData[[Date ]],N9820,RawData[Month List],$Q$6,RawData[Tour/Site],$Q$2,RawData[[Picker ID ]],$Q$3,RawData[Checker ID],$Q$4,RawData[[Error Type ]],$Q$5))</f>
        <v/>
      </c>
    </row>
    <row r="9821" spans="15:15" x14ac:dyDescent="0.25">
      <c r="O9821" s="20" t="str">
        <f>IF(N9821="","",COUNTIFS(RawData[[Date ]],N9821,RawData[Month List],$Q$6,RawData[Tour/Site],$Q$2,RawData[[Picker ID ]],$Q$3,RawData[Checker ID],$Q$4,RawData[[Error Type ]],$Q$5))</f>
        <v/>
      </c>
    </row>
    <row r="9822" spans="15:15" x14ac:dyDescent="0.25">
      <c r="O9822" s="20" t="str">
        <f>IF(N9822="","",COUNTIFS(RawData[[Date ]],N9822,RawData[Month List],$Q$6,RawData[Tour/Site],$Q$2,RawData[[Picker ID ]],$Q$3,RawData[Checker ID],$Q$4,RawData[[Error Type ]],$Q$5))</f>
        <v/>
      </c>
    </row>
    <row r="9823" spans="15:15" x14ac:dyDescent="0.25">
      <c r="O9823" s="20" t="str">
        <f>IF(N9823="","",COUNTIFS(RawData[[Date ]],N9823,RawData[Month List],$Q$6,RawData[Tour/Site],$Q$2,RawData[[Picker ID ]],$Q$3,RawData[Checker ID],$Q$4,RawData[[Error Type ]],$Q$5))</f>
        <v/>
      </c>
    </row>
    <row r="9824" spans="15:15" x14ac:dyDescent="0.25">
      <c r="O9824" s="20" t="str">
        <f>IF(N9824="","",COUNTIFS(RawData[[Date ]],N9824,RawData[Month List],$Q$6,RawData[Tour/Site],$Q$2,RawData[[Picker ID ]],$Q$3,RawData[Checker ID],$Q$4,RawData[[Error Type ]],$Q$5))</f>
        <v/>
      </c>
    </row>
    <row r="9825" spans="15:15" x14ac:dyDescent="0.25">
      <c r="O9825" s="20" t="str">
        <f>IF(N9825="","",COUNTIFS(RawData[[Date ]],N9825,RawData[Month List],$Q$6,RawData[Tour/Site],$Q$2,RawData[[Picker ID ]],$Q$3,RawData[Checker ID],$Q$4,RawData[[Error Type ]],$Q$5))</f>
        <v/>
      </c>
    </row>
    <row r="9826" spans="15:15" x14ac:dyDescent="0.25">
      <c r="O9826" s="20" t="str">
        <f>IF(N9826="","",COUNTIFS(RawData[[Date ]],N9826,RawData[Month List],$Q$6,RawData[Tour/Site],$Q$2,RawData[[Picker ID ]],$Q$3,RawData[Checker ID],$Q$4,RawData[[Error Type ]],$Q$5))</f>
        <v/>
      </c>
    </row>
    <row r="9827" spans="15:15" x14ac:dyDescent="0.25">
      <c r="O9827" s="20" t="str">
        <f>IF(N9827="","",COUNTIFS(RawData[[Date ]],N9827,RawData[Month List],$Q$6,RawData[Tour/Site],$Q$2,RawData[[Picker ID ]],$Q$3,RawData[Checker ID],$Q$4,RawData[[Error Type ]],$Q$5))</f>
        <v/>
      </c>
    </row>
    <row r="9828" spans="15:15" x14ac:dyDescent="0.25">
      <c r="O9828" s="20" t="str">
        <f>IF(N9828="","",COUNTIFS(RawData[[Date ]],N9828,RawData[Month List],$Q$6,RawData[Tour/Site],$Q$2,RawData[[Picker ID ]],$Q$3,RawData[Checker ID],$Q$4,RawData[[Error Type ]],$Q$5))</f>
        <v/>
      </c>
    </row>
    <row r="9829" spans="15:15" x14ac:dyDescent="0.25">
      <c r="O9829" s="20" t="str">
        <f>IF(N9829="","",COUNTIFS(RawData[[Date ]],N9829,RawData[Month List],$Q$6,RawData[Tour/Site],$Q$2,RawData[[Picker ID ]],$Q$3,RawData[Checker ID],$Q$4,RawData[[Error Type ]],$Q$5))</f>
        <v/>
      </c>
    </row>
    <row r="9830" spans="15:15" x14ac:dyDescent="0.25">
      <c r="O9830" s="20" t="str">
        <f>IF(N9830="","",COUNTIFS(RawData[[Date ]],N9830,RawData[Month List],$Q$6,RawData[Tour/Site],$Q$2,RawData[[Picker ID ]],$Q$3,RawData[Checker ID],$Q$4,RawData[[Error Type ]],$Q$5))</f>
        <v/>
      </c>
    </row>
    <row r="9831" spans="15:15" x14ac:dyDescent="0.25">
      <c r="O9831" s="20" t="str">
        <f>IF(N9831="","",COUNTIFS(RawData[[Date ]],N9831,RawData[Month List],$Q$6,RawData[Tour/Site],$Q$2,RawData[[Picker ID ]],$Q$3,RawData[Checker ID],$Q$4,RawData[[Error Type ]],$Q$5))</f>
        <v/>
      </c>
    </row>
    <row r="9832" spans="15:15" x14ac:dyDescent="0.25">
      <c r="O9832" s="20" t="str">
        <f>IF(N9832="","",COUNTIFS(RawData[[Date ]],N9832,RawData[Month List],$Q$6,RawData[Tour/Site],$Q$2,RawData[[Picker ID ]],$Q$3,RawData[Checker ID],$Q$4,RawData[[Error Type ]],$Q$5))</f>
        <v/>
      </c>
    </row>
    <row r="9833" spans="15:15" x14ac:dyDescent="0.25">
      <c r="O9833" s="20" t="str">
        <f>IF(N9833="","",COUNTIFS(RawData[[Date ]],N9833,RawData[Month List],$Q$6,RawData[Tour/Site],$Q$2,RawData[[Picker ID ]],$Q$3,RawData[Checker ID],$Q$4,RawData[[Error Type ]],$Q$5))</f>
        <v/>
      </c>
    </row>
    <row r="9834" spans="15:15" x14ac:dyDescent="0.25">
      <c r="O9834" s="20" t="str">
        <f>IF(N9834="","",COUNTIFS(RawData[[Date ]],N9834,RawData[Month List],$Q$6,RawData[Tour/Site],$Q$2,RawData[[Picker ID ]],$Q$3,RawData[Checker ID],$Q$4,RawData[[Error Type ]],$Q$5))</f>
        <v/>
      </c>
    </row>
    <row r="9835" spans="15:15" x14ac:dyDescent="0.25">
      <c r="O9835" s="20" t="str">
        <f>IF(N9835="","",COUNTIFS(RawData[[Date ]],N9835,RawData[Month List],$Q$6,RawData[Tour/Site],$Q$2,RawData[[Picker ID ]],$Q$3,RawData[Checker ID],$Q$4,RawData[[Error Type ]],$Q$5))</f>
        <v/>
      </c>
    </row>
    <row r="9836" spans="15:15" x14ac:dyDescent="0.25">
      <c r="O9836" s="20" t="str">
        <f>IF(N9836="","",COUNTIFS(RawData[[Date ]],N9836,RawData[Month List],$Q$6,RawData[Tour/Site],$Q$2,RawData[[Picker ID ]],$Q$3,RawData[Checker ID],$Q$4,RawData[[Error Type ]],$Q$5))</f>
        <v/>
      </c>
    </row>
    <row r="9837" spans="15:15" x14ac:dyDescent="0.25">
      <c r="O9837" s="20" t="str">
        <f>IF(N9837="","",COUNTIFS(RawData[[Date ]],N9837,RawData[Month List],$Q$6,RawData[Tour/Site],$Q$2,RawData[[Picker ID ]],$Q$3,RawData[Checker ID],$Q$4,RawData[[Error Type ]],$Q$5))</f>
        <v/>
      </c>
    </row>
    <row r="9838" spans="15:15" x14ac:dyDescent="0.25">
      <c r="O9838" s="20" t="str">
        <f>IF(N9838="","",COUNTIFS(RawData[[Date ]],N9838,RawData[Month List],$Q$6,RawData[Tour/Site],$Q$2,RawData[[Picker ID ]],$Q$3,RawData[Checker ID],$Q$4,RawData[[Error Type ]],$Q$5))</f>
        <v/>
      </c>
    </row>
    <row r="9839" spans="15:15" x14ac:dyDescent="0.25">
      <c r="O9839" s="20" t="str">
        <f>IF(N9839="","",COUNTIFS(RawData[[Date ]],N9839,RawData[Month List],$Q$6,RawData[Tour/Site],$Q$2,RawData[[Picker ID ]],$Q$3,RawData[Checker ID],$Q$4,RawData[[Error Type ]],$Q$5))</f>
        <v/>
      </c>
    </row>
    <row r="9840" spans="15:15" x14ac:dyDescent="0.25">
      <c r="O9840" s="20" t="str">
        <f>IF(N9840="","",COUNTIFS(RawData[[Date ]],N9840,RawData[Month List],$Q$6,RawData[Tour/Site],$Q$2,RawData[[Picker ID ]],$Q$3,RawData[Checker ID],$Q$4,RawData[[Error Type ]],$Q$5))</f>
        <v/>
      </c>
    </row>
    <row r="9841" spans="15:15" x14ac:dyDescent="0.25">
      <c r="O9841" s="20" t="str">
        <f>IF(N9841="","",COUNTIFS(RawData[[Date ]],N9841,RawData[Month List],$Q$6,RawData[Tour/Site],$Q$2,RawData[[Picker ID ]],$Q$3,RawData[Checker ID],$Q$4,RawData[[Error Type ]],$Q$5))</f>
        <v/>
      </c>
    </row>
    <row r="9842" spans="15:15" x14ac:dyDescent="0.25">
      <c r="O9842" s="20" t="str">
        <f>IF(N9842="","",COUNTIFS(RawData[[Date ]],N9842,RawData[Month List],$Q$6,RawData[Tour/Site],$Q$2,RawData[[Picker ID ]],$Q$3,RawData[Checker ID],$Q$4,RawData[[Error Type ]],$Q$5))</f>
        <v/>
      </c>
    </row>
    <row r="9843" spans="15:15" x14ac:dyDescent="0.25">
      <c r="O9843" s="20" t="str">
        <f>IF(N9843="","",COUNTIFS(RawData[[Date ]],N9843,RawData[Month List],$Q$6,RawData[Tour/Site],$Q$2,RawData[[Picker ID ]],$Q$3,RawData[Checker ID],$Q$4,RawData[[Error Type ]],$Q$5))</f>
        <v/>
      </c>
    </row>
    <row r="9844" spans="15:15" x14ac:dyDescent="0.25">
      <c r="O9844" s="20" t="str">
        <f>IF(N9844="","",COUNTIFS(RawData[[Date ]],N9844,RawData[Month List],$Q$6,RawData[Tour/Site],$Q$2,RawData[[Picker ID ]],$Q$3,RawData[Checker ID],$Q$4,RawData[[Error Type ]],$Q$5))</f>
        <v/>
      </c>
    </row>
    <row r="9845" spans="15:15" x14ac:dyDescent="0.25">
      <c r="O9845" s="20" t="str">
        <f>IF(N9845="","",COUNTIFS(RawData[[Date ]],N9845,RawData[Month List],$Q$6,RawData[Tour/Site],$Q$2,RawData[[Picker ID ]],$Q$3,RawData[Checker ID],$Q$4,RawData[[Error Type ]],$Q$5))</f>
        <v/>
      </c>
    </row>
    <row r="9846" spans="15:15" x14ac:dyDescent="0.25">
      <c r="O9846" s="20" t="str">
        <f>IF(N9846="","",COUNTIFS(RawData[[Date ]],N9846,RawData[Month List],$Q$6,RawData[Tour/Site],$Q$2,RawData[[Picker ID ]],$Q$3,RawData[Checker ID],$Q$4,RawData[[Error Type ]],$Q$5))</f>
        <v/>
      </c>
    </row>
    <row r="9847" spans="15:15" x14ac:dyDescent="0.25">
      <c r="O9847" s="20" t="str">
        <f>IF(N9847="","",COUNTIFS(RawData[[Date ]],N9847,RawData[Month List],$Q$6,RawData[Tour/Site],$Q$2,RawData[[Picker ID ]],$Q$3,RawData[Checker ID],$Q$4,RawData[[Error Type ]],$Q$5))</f>
        <v/>
      </c>
    </row>
    <row r="9848" spans="15:15" x14ac:dyDescent="0.25">
      <c r="O9848" s="20" t="str">
        <f>IF(N9848="","",COUNTIFS(RawData[[Date ]],N9848,RawData[Month List],$Q$6,RawData[Tour/Site],$Q$2,RawData[[Picker ID ]],$Q$3,RawData[Checker ID],$Q$4,RawData[[Error Type ]],$Q$5))</f>
        <v/>
      </c>
    </row>
    <row r="9849" spans="15:15" x14ac:dyDescent="0.25">
      <c r="O9849" s="20" t="str">
        <f>IF(N9849="","",COUNTIFS(RawData[[Date ]],N9849,RawData[Month List],$Q$6,RawData[Tour/Site],$Q$2,RawData[[Picker ID ]],$Q$3,RawData[Checker ID],$Q$4,RawData[[Error Type ]],$Q$5))</f>
        <v/>
      </c>
    </row>
    <row r="9850" spans="15:15" x14ac:dyDescent="0.25">
      <c r="O9850" s="20" t="str">
        <f>IF(N9850="","",COUNTIFS(RawData[[Date ]],N9850,RawData[Month List],$Q$6,RawData[Tour/Site],$Q$2,RawData[[Picker ID ]],$Q$3,RawData[Checker ID],$Q$4,RawData[[Error Type ]],$Q$5))</f>
        <v/>
      </c>
    </row>
    <row r="9851" spans="15:15" x14ac:dyDescent="0.25">
      <c r="O9851" s="20" t="str">
        <f>IF(N9851="","",COUNTIFS(RawData[[Date ]],N9851,RawData[Month List],$Q$6,RawData[Tour/Site],$Q$2,RawData[[Picker ID ]],$Q$3,RawData[Checker ID],$Q$4,RawData[[Error Type ]],$Q$5))</f>
        <v/>
      </c>
    </row>
    <row r="9852" spans="15:15" x14ac:dyDescent="0.25">
      <c r="O9852" s="20" t="str">
        <f>IF(N9852="","",COUNTIFS(RawData[[Date ]],N9852,RawData[Month List],$Q$6,RawData[Tour/Site],$Q$2,RawData[[Picker ID ]],$Q$3,RawData[Checker ID],$Q$4,RawData[[Error Type ]],$Q$5))</f>
        <v/>
      </c>
    </row>
    <row r="9853" spans="15:15" x14ac:dyDescent="0.25">
      <c r="O9853" s="20" t="str">
        <f>IF(N9853="","",COUNTIFS(RawData[[Date ]],N9853,RawData[Month List],$Q$6,RawData[Tour/Site],$Q$2,RawData[[Picker ID ]],$Q$3,RawData[Checker ID],$Q$4,RawData[[Error Type ]],$Q$5))</f>
        <v/>
      </c>
    </row>
    <row r="9854" spans="15:15" x14ac:dyDescent="0.25">
      <c r="O9854" s="20" t="str">
        <f>IF(N9854="","",COUNTIFS(RawData[[Date ]],N9854,RawData[Month List],$Q$6,RawData[Tour/Site],$Q$2,RawData[[Picker ID ]],$Q$3,RawData[Checker ID],$Q$4,RawData[[Error Type ]],$Q$5))</f>
        <v/>
      </c>
    </row>
    <row r="9855" spans="15:15" x14ac:dyDescent="0.25">
      <c r="O9855" s="20" t="str">
        <f>IF(N9855="","",COUNTIFS(RawData[[Date ]],N9855,RawData[Month List],$Q$6,RawData[Tour/Site],$Q$2,RawData[[Picker ID ]],$Q$3,RawData[Checker ID],$Q$4,RawData[[Error Type ]],$Q$5))</f>
        <v/>
      </c>
    </row>
    <row r="9856" spans="15:15" x14ac:dyDescent="0.25">
      <c r="O9856" s="20" t="str">
        <f>IF(N9856="","",COUNTIFS(RawData[[Date ]],N9856,RawData[Month List],$Q$6,RawData[Tour/Site],$Q$2,RawData[[Picker ID ]],$Q$3,RawData[Checker ID],$Q$4,RawData[[Error Type ]],$Q$5))</f>
        <v/>
      </c>
    </row>
    <row r="9857" spans="15:15" x14ac:dyDescent="0.25">
      <c r="O9857" s="20" t="str">
        <f>IF(N9857="","",COUNTIFS(RawData[[Date ]],N9857,RawData[Month List],$Q$6,RawData[Tour/Site],$Q$2,RawData[[Picker ID ]],$Q$3,RawData[Checker ID],$Q$4,RawData[[Error Type ]],$Q$5))</f>
        <v/>
      </c>
    </row>
    <row r="9858" spans="15:15" x14ac:dyDescent="0.25">
      <c r="O9858" s="20" t="str">
        <f>IF(N9858="","",COUNTIFS(RawData[[Date ]],N9858,RawData[Month List],$Q$6,RawData[Tour/Site],$Q$2,RawData[[Picker ID ]],$Q$3,RawData[Checker ID],$Q$4,RawData[[Error Type ]],$Q$5))</f>
        <v/>
      </c>
    </row>
    <row r="9859" spans="15:15" x14ac:dyDescent="0.25">
      <c r="O9859" s="20" t="str">
        <f>IF(N9859="","",COUNTIFS(RawData[[Date ]],N9859,RawData[Month List],$Q$6,RawData[Tour/Site],$Q$2,RawData[[Picker ID ]],$Q$3,RawData[Checker ID],$Q$4,RawData[[Error Type ]],$Q$5))</f>
        <v/>
      </c>
    </row>
    <row r="9860" spans="15:15" x14ac:dyDescent="0.25">
      <c r="O9860" s="20" t="str">
        <f>IF(N9860="","",COUNTIFS(RawData[[Date ]],N9860,RawData[Month List],$Q$6,RawData[Tour/Site],$Q$2,RawData[[Picker ID ]],$Q$3,RawData[Checker ID],$Q$4,RawData[[Error Type ]],$Q$5))</f>
        <v/>
      </c>
    </row>
    <row r="9861" spans="15:15" x14ac:dyDescent="0.25">
      <c r="O9861" s="20" t="str">
        <f>IF(N9861="","",COUNTIFS(RawData[[Date ]],N9861,RawData[Month List],$Q$6,RawData[Tour/Site],$Q$2,RawData[[Picker ID ]],$Q$3,RawData[Checker ID],$Q$4,RawData[[Error Type ]],$Q$5))</f>
        <v/>
      </c>
    </row>
    <row r="9862" spans="15:15" x14ac:dyDescent="0.25">
      <c r="O9862" s="20" t="str">
        <f>IF(N9862="","",COUNTIFS(RawData[[Date ]],N9862,RawData[Month List],$Q$6,RawData[Tour/Site],$Q$2,RawData[[Picker ID ]],$Q$3,RawData[Checker ID],$Q$4,RawData[[Error Type ]],$Q$5))</f>
        <v/>
      </c>
    </row>
    <row r="9863" spans="15:15" x14ac:dyDescent="0.25">
      <c r="O9863" s="20" t="str">
        <f>IF(N9863="","",COUNTIFS(RawData[[Date ]],N9863,RawData[Month List],$Q$6,RawData[Tour/Site],$Q$2,RawData[[Picker ID ]],$Q$3,RawData[Checker ID],$Q$4,RawData[[Error Type ]],$Q$5))</f>
        <v/>
      </c>
    </row>
    <row r="9864" spans="15:15" x14ac:dyDescent="0.25">
      <c r="O9864" s="20" t="str">
        <f>IF(N9864="","",COUNTIFS(RawData[[Date ]],N9864,RawData[Month List],$Q$6,RawData[Tour/Site],$Q$2,RawData[[Picker ID ]],$Q$3,RawData[Checker ID],$Q$4,RawData[[Error Type ]],$Q$5))</f>
        <v/>
      </c>
    </row>
    <row r="9865" spans="15:15" x14ac:dyDescent="0.25">
      <c r="O9865" s="20" t="str">
        <f>IF(N9865="","",COUNTIFS(RawData[[Date ]],N9865,RawData[Month List],$Q$6,RawData[Tour/Site],$Q$2,RawData[[Picker ID ]],$Q$3,RawData[Checker ID],$Q$4,RawData[[Error Type ]],$Q$5))</f>
        <v/>
      </c>
    </row>
    <row r="9866" spans="15:15" x14ac:dyDescent="0.25">
      <c r="O9866" s="20" t="str">
        <f>IF(N9866="","",COUNTIFS(RawData[[Date ]],N9866,RawData[Month List],$Q$6,RawData[Tour/Site],$Q$2,RawData[[Picker ID ]],$Q$3,RawData[Checker ID],$Q$4,RawData[[Error Type ]],$Q$5))</f>
        <v/>
      </c>
    </row>
    <row r="9867" spans="15:15" x14ac:dyDescent="0.25">
      <c r="O9867" s="20" t="str">
        <f>IF(N9867="","",COUNTIFS(RawData[[Date ]],N9867,RawData[Month List],$Q$6,RawData[Tour/Site],$Q$2,RawData[[Picker ID ]],$Q$3,RawData[Checker ID],$Q$4,RawData[[Error Type ]],$Q$5))</f>
        <v/>
      </c>
    </row>
    <row r="9868" spans="15:15" x14ac:dyDescent="0.25">
      <c r="O9868" s="20" t="str">
        <f>IF(N9868="","",COUNTIFS(RawData[[Date ]],N9868,RawData[Month List],$Q$6,RawData[Tour/Site],$Q$2,RawData[[Picker ID ]],$Q$3,RawData[Checker ID],$Q$4,RawData[[Error Type ]],$Q$5))</f>
        <v/>
      </c>
    </row>
    <row r="9869" spans="15:15" x14ac:dyDescent="0.25">
      <c r="O9869" s="20" t="str">
        <f>IF(N9869="","",COUNTIFS(RawData[[Date ]],N9869,RawData[Month List],$Q$6,RawData[Tour/Site],$Q$2,RawData[[Picker ID ]],$Q$3,RawData[Checker ID],$Q$4,RawData[[Error Type ]],$Q$5))</f>
        <v/>
      </c>
    </row>
    <row r="9870" spans="15:15" x14ac:dyDescent="0.25">
      <c r="O9870" s="20" t="str">
        <f>IF(N9870="","",COUNTIFS(RawData[[Date ]],N9870,RawData[Month List],$Q$6,RawData[Tour/Site],$Q$2,RawData[[Picker ID ]],$Q$3,RawData[Checker ID],$Q$4,RawData[[Error Type ]],$Q$5))</f>
        <v/>
      </c>
    </row>
    <row r="9871" spans="15:15" x14ac:dyDescent="0.25">
      <c r="O9871" s="20" t="str">
        <f>IF(N9871="","",COUNTIFS(RawData[[Date ]],N9871,RawData[Month List],$Q$6,RawData[Tour/Site],$Q$2,RawData[[Picker ID ]],$Q$3,RawData[Checker ID],$Q$4,RawData[[Error Type ]],$Q$5))</f>
        <v/>
      </c>
    </row>
    <row r="9872" spans="15:15" x14ac:dyDescent="0.25">
      <c r="O9872" s="20" t="str">
        <f>IF(N9872="","",COUNTIFS(RawData[[Date ]],N9872,RawData[Month List],$Q$6,RawData[Tour/Site],$Q$2,RawData[[Picker ID ]],$Q$3,RawData[Checker ID],$Q$4,RawData[[Error Type ]],$Q$5))</f>
        <v/>
      </c>
    </row>
    <row r="9873" spans="15:15" x14ac:dyDescent="0.25">
      <c r="O9873" s="20" t="str">
        <f>IF(N9873="","",COUNTIFS(RawData[[Date ]],N9873,RawData[Month List],$Q$6,RawData[Tour/Site],$Q$2,RawData[[Picker ID ]],$Q$3,RawData[Checker ID],$Q$4,RawData[[Error Type ]],$Q$5))</f>
        <v/>
      </c>
    </row>
    <row r="9874" spans="15:15" x14ac:dyDescent="0.25">
      <c r="O9874" s="20" t="str">
        <f>IF(N9874="","",COUNTIFS(RawData[[Date ]],N9874,RawData[Month List],$Q$6,RawData[Tour/Site],$Q$2,RawData[[Picker ID ]],$Q$3,RawData[Checker ID],$Q$4,RawData[[Error Type ]],$Q$5))</f>
        <v/>
      </c>
    </row>
    <row r="9875" spans="15:15" x14ac:dyDescent="0.25">
      <c r="O9875" s="20" t="str">
        <f>IF(N9875="","",COUNTIFS(RawData[[Date ]],N9875,RawData[Month List],$Q$6,RawData[Tour/Site],$Q$2,RawData[[Picker ID ]],$Q$3,RawData[Checker ID],$Q$4,RawData[[Error Type ]],$Q$5))</f>
        <v/>
      </c>
    </row>
    <row r="9876" spans="15:15" x14ac:dyDescent="0.25">
      <c r="O9876" s="20" t="str">
        <f>IF(N9876="","",COUNTIFS(RawData[[Date ]],N9876,RawData[Month List],$Q$6,RawData[Tour/Site],$Q$2,RawData[[Picker ID ]],$Q$3,RawData[Checker ID],$Q$4,RawData[[Error Type ]],$Q$5))</f>
        <v/>
      </c>
    </row>
    <row r="9877" spans="15:15" x14ac:dyDescent="0.25">
      <c r="O9877" s="20" t="str">
        <f>IF(N9877="","",COUNTIFS(RawData[[Date ]],N9877,RawData[Month List],$Q$6,RawData[Tour/Site],$Q$2,RawData[[Picker ID ]],$Q$3,RawData[Checker ID],$Q$4,RawData[[Error Type ]],$Q$5))</f>
        <v/>
      </c>
    </row>
    <row r="9878" spans="15:15" x14ac:dyDescent="0.25">
      <c r="O9878" s="20" t="str">
        <f>IF(N9878="","",COUNTIFS(RawData[[Date ]],N9878,RawData[Month List],$Q$6,RawData[Tour/Site],$Q$2,RawData[[Picker ID ]],$Q$3,RawData[Checker ID],$Q$4,RawData[[Error Type ]],$Q$5))</f>
        <v/>
      </c>
    </row>
    <row r="9879" spans="15:15" x14ac:dyDescent="0.25">
      <c r="O9879" s="20" t="str">
        <f>IF(N9879="","",COUNTIFS(RawData[[Date ]],N9879,RawData[Month List],$Q$6,RawData[Tour/Site],$Q$2,RawData[[Picker ID ]],$Q$3,RawData[Checker ID],$Q$4,RawData[[Error Type ]],$Q$5))</f>
        <v/>
      </c>
    </row>
    <row r="9880" spans="15:15" x14ac:dyDescent="0.25">
      <c r="O9880" s="20" t="str">
        <f>IF(N9880="","",COUNTIFS(RawData[[Date ]],N9880,RawData[Month List],$Q$6,RawData[Tour/Site],$Q$2,RawData[[Picker ID ]],$Q$3,RawData[Checker ID],$Q$4,RawData[[Error Type ]],$Q$5))</f>
        <v/>
      </c>
    </row>
    <row r="9881" spans="15:15" x14ac:dyDescent="0.25">
      <c r="O9881" s="20" t="str">
        <f>IF(N9881="","",COUNTIFS(RawData[[Date ]],N9881,RawData[Month List],$Q$6,RawData[Tour/Site],$Q$2,RawData[[Picker ID ]],$Q$3,RawData[Checker ID],$Q$4,RawData[[Error Type ]],$Q$5))</f>
        <v/>
      </c>
    </row>
    <row r="9882" spans="15:15" x14ac:dyDescent="0.25">
      <c r="O9882" s="20" t="str">
        <f>IF(N9882="","",COUNTIFS(RawData[[Date ]],N9882,RawData[Month List],$Q$6,RawData[Tour/Site],$Q$2,RawData[[Picker ID ]],$Q$3,RawData[Checker ID],$Q$4,RawData[[Error Type ]],$Q$5))</f>
        <v/>
      </c>
    </row>
    <row r="9883" spans="15:15" x14ac:dyDescent="0.25">
      <c r="O9883" s="20" t="str">
        <f>IF(N9883="","",COUNTIFS(RawData[[Date ]],N9883,RawData[Month List],$Q$6,RawData[Tour/Site],$Q$2,RawData[[Picker ID ]],$Q$3,RawData[Checker ID],$Q$4,RawData[[Error Type ]],$Q$5))</f>
        <v/>
      </c>
    </row>
    <row r="9884" spans="15:15" x14ac:dyDescent="0.25">
      <c r="O9884" s="20" t="str">
        <f>IF(N9884="","",COUNTIFS(RawData[[Date ]],N9884,RawData[Month List],$Q$6,RawData[Tour/Site],$Q$2,RawData[[Picker ID ]],$Q$3,RawData[Checker ID],$Q$4,RawData[[Error Type ]],$Q$5))</f>
        <v/>
      </c>
    </row>
    <row r="9885" spans="15:15" x14ac:dyDescent="0.25">
      <c r="O9885" s="20" t="str">
        <f>IF(N9885="","",COUNTIFS(RawData[[Date ]],N9885,RawData[Month List],$Q$6,RawData[Tour/Site],$Q$2,RawData[[Picker ID ]],$Q$3,RawData[Checker ID],$Q$4,RawData[[Error Type ]],$Q$5))</f>
        <v/>
      </c>
    </row>
    <row r="9886" spans="15:15" x14ac:dyDescent="0.25">
      <c r="O9886" s="20" t="str">
        <f>IF(N9886="","",COUNTIFS(RawData[[Date ]],N9886,RawData[Month List],$Q$6,RawData[Tour/Site],$Q$2,RawData[[Picker ID ]],$Q$3,RawData[Checker ID],$Q$4,RawData[[Error Type ]],$Q$5))</f>
        <v/>
      </c>
    </row>
    <row r="9887" spans="15:15" x14ac:dyDescent="0.25">
      <c r="O9887" s="20" t="str">
        <f>IF(N9887="","",COUNTIFS(RawData[[Date ]],N9887,RawData[Month List],$Q$6,RawData[Tour/Site],$Q$2,RawData[[Picker ID ]],$Q$3,RawData[Checker ID],$Q$4,RawData[[Error Type ]],$Q$5))</f>
        <v/>
      </c>
    </row>
    <row r="9888" spans="15:15" x14ac:dyDescent="0.25">
      <c r="O9888" s="20" t="str">
        <f>IF(N9888="","",COUNTIFS(RawData[[Date ]],N9888,RawData[Month List],$Q$6,RawData[Tour/Site],$Q$2,RawData[[Picker ID ]],$Q$3,RawData[Checker ID],$Q$4,RawData[[Error Type ]],$Q$5))</f>
        <v/>
      </c>
    </row>
    <row r="9889" spans="15:15" x14ac:dyDescent="0.25">
      <c r="O9889" s="20" t="str">
        <f>IF(N9889="","",COUNTIFS(RawData[[Date ]],N9889,RawData[Month List],$Q$6,RawData[Tour/Site],$Q$2,RawData[[Picker ID ]],$Q$3,RawData[Checker ID],$Q$4,RawData[[Error Type ]],$Q$5))</f>
        <v/>
      </c>
    </row>
    <row r="9890" spans="15:15" x14ac:dyDescent="0.25">
      <c r="O9890" s="20" t="str">
        <f>IF(N9890="","",COUNTIFS(RawData[[Date ]],N9890,RawData[Month List],$Q$6,RawData[Tour/Site],$Q$2,RawData[[Picker ID ]],$Q$3,RawData[Checker ID],$Q$4,RawData[[Error Type ]],$Q$5))</f>
        <v/>
      </c>
    </row>
    <row r="9891" spans="15:15" x14ac:dyDescent="0.25">
      <c r="O9891" s="20" t="str">
        <f>IF(N9891="","",COUNTIFS(RawData[[Date ]],N9891,RawData[Month List],$Q$6,RawData[Tour/Site],$Q$2,RawData[[Picker ID ]],$Q$3,RawData[Checker ID],$Q$4,RawData[[Error Type ]],$Q$5))</f>
        <v/>
      </c>
    </row>
    <row r="9892" spans="15:15" x14ac:dyDescent="0.25">
      <c r="O9892" s="20" t="str">
        <f>IF(N9892="","",COUNTIFS(RawData[[Date ]],N9892,RawData[Month List],$Q$6,RawData[Tour/Site],$Q$2,RawData[[Picker ID ]],$Q$3,RawData[Checker ID],$Q$4,RawData[[Error Type ]],$Q$5))</f>
        <v/>
      </c>
    </row>
    <row r="9893" spans="15:15" x14ac:dyDescent="0.25">
      <c r="O9893" s="20" t="str">
        <f>IF(N9893="","",COUNTIFS(RawData[[Date ]],N9893,RawData[Month List],$Q$6,RawData[Tour/Site],$Q$2,RawData[[Picker ID ]],$Q$3,RawData[Checker ID],$Q$4,RawData[[Error Type ]],$Q$5))</f>
        <v/>
      </c>
    </row>
    <row r="9894" spans="15:15" x14ac:dyDescent="0.25">
      <c r="O9894" s="20" t="str">
        <f>IF(N9894="","",COUNTIFS(RawData[[Date ]],N9894,RawData[Month List],$Q$6,RawData[Tour/Site],$Q$2,RawData[[Picker ID ]],$Q$3,RawData[Checker ID],$Q$4,RawData[[Error Type ]],$Q$5))</f>
        <v/>
      </c>
    </row>
    <row r="9895" spans="15:15" x14ac:dyDescent="0.25">
      <c r="O9895" s="20" t="str">
        <f>IF(N9895="","",COUNTIFS(RawData[[Date ]],N9895,RawData[Month List],$Q$6,RawData[Tour/Site],$Q$2,RawData[[Picker ID ]],$Q$3,RawData[Checker ID],$Q$4,RawData[[Error Type ]],$Q$5))</f>
        <v/>
      </c>
    </row>
    <row r="9896" spans="15:15" x14ac:dyDescent="0.25">
      <c r="O9896" s="20" t="str">
        <f>IF(N9896="","",COUNTIFS(RawData[[Date ]],N9896,RawData[Month List],$Q$6,RawData[Tour/Site],$Q$2,RawData[[Picker ID ]],$Q$3,RawData[Checker ID],$Q$4,RawData[[Error Type ]],$Q$5))</f>
        <v/>
      </c>
    </row>
    <row r="9897" spans="15:15" x14ac:dyDescent="0.25">
      <c r="O9897" s="20" t="str">
        <f>IF(N9897="","",COUNTIFS(RawData[[Date ]],N9897,RawData[Month List],$Q$6,RawData[Tour/Site],$Q$2,RawData[[Picker ID ]],$Q$3,RawData[Checker ID],$Q$4,RawData[[Error Type ]],$Q$5))</f>
        <v/>
      </c>
    </row>
    <row r="9898" spans="15:15" x14ac:dyDescent="0.25">
      <c r="O9898" s="20" t="str">
        <f>IF(N9898="","",COUNTIFS(RawData[[Date ]],N9898,RawData[Month List],$Q$6,RawData[Tour/Site],$Q$2,RawData[[Picker ID ]],$Q$3,RawData[Checker ID],$Q$4,RawData[[Error Type ]],$Q$5))</f>
        <v/>
      </c>
    </row>
    <row r="9899" spans="15:15" x14ac:dyDescent="0.25">
      <c r="O9899" s="20" t="str">
        <f>IF(N9899="","",COUNTIFS(RawData[[Date ]],N9899,RawData[Month List],$Q$6,RawData[Tour/Site],$Q$2,RawData[[Picker ID ]],$Q$3,RawData[Checker ID],$Q$4,RawData[[Error Type ]],$Q$5))</f>
        <v/>
      </c>
    </row>
    <row r="9900" spans="15:15" x14ac:dyDescent="0.25">
      <c r="O9900" s="20" t="str">
        <f>IF(N9900="","",COUNTIFS(RawData[[Date ]],N9900,RawData[Month List],$Q$6,RawData[Tour/Site],$Q$2,RawData[[Picker ID ]],$Q$3,RawData[Checker ID],$Q$4,RawData[[Error Type ]],$Q$5))</f>
        <v/>
      </c>
    </row>
    <row r="9901" spans="15:15" x14ac:dyDescent="0.25">
      <c r="O9901" s="20" t="str">
        <f>IF(N9901="","",COUNTIFS(RawData[[Date ]],N9901,RawData[Month List],$Q$6,RawData[Tour/Site],$Q$2,RawData[[Picker ID ]],$Q$3,RawData[Checker ID],$Q$4,RawData[[Error Type ]],$Q$5))</f>
        <v/>
      </c>
    </row>
    <row r="9902" spans="15:15" x14ac:dyDescent="0.25">
      <c r="O9902" s="20" t="str">
        <f>IF(N9902="","",COUNTIFS(RawData[[Date ]],N9902,RawData[Month List],$Q$6,RawData[Tour/Site],$Q$2,RawData[[Picker ID ]],$Q$3,RawData[Checker ID],$Q$4,RawData[[Error Type ]],$Q$5))</f>
        <v/>
      </c>
    </row>
    <row r="9903" spans="15:15" x14ac:dyDescent="0.25">
      <c r="O9903" s="20" t="str">
        <f>IF(N9903="","",COUNTIFS(RawData[[Date ]],N9903,RawData[Month List],$Q$6,RawData[Tour/Site],$Q$2,RawData[[Picker ID ]],$Q$3,RawData[Checker ID],$Q$4,RawData[[Error Type ]],$Q$5))</f>
        <v/>
      </c>
    </row>
    <row r="9904" spans="15:15" x14ac:dyDescent="0.25">
      <c r="O9904" s="20" t="str">
        <f>IF(N9904="","",COUNTIFS(RawData[[Date ]],N9904,RawData[Month List],$Q$6,RawData[Tour/Site],$Q$2,RawData[[Picker ID ]],$Q$3,RawData[Checker ID],$Q$4,RawData[[Error Type ]],$Q$5))</f>
        <v/>
      </c>
    </row>
    <row r="9905" spans="15:15" x14ac:dyDescent="0.25">
      <c r="O9905" s="20" t="str">
        <f>IF(N9905="","",COUNTIFS(RawData[[Date ]],N9905,RawData[Month List],$Q$6,RawData[Tour/Site],$Q$2,RawData[[Picker ID ]],$Q$3,RawData[Checker ID],$Q$4,RawData[[Error Type ]],$Q$5))</f>
        <v/>
      </c>
    </row>
    <row r="9906" spans="15:15" x14ac:dyDescent="0.25">
      <c r="O9906" s="20" t="str">
        <f>IF(N9906="","",COUNTIFS(RawData[[Date ]],N9906,RawData[Month List],$Q$6,RawData[Tour/Site],$Q$2,RawData[[Picker ID ]],$Q$3,RawData[Checker ID],$Q$4,RawData[[Error Type ]],$Q$5))</f>
        <v/>
      </c>
    </row>
    <row r="9907" spans="15:15" x14ac:dyDescent="0.25">
      <c r="O9907" s="20" t="str">
        <f>IF(N9907="","",COUNTIFS(RawData[[Date ]],N9907,RawData[Month List],$Q$6,RawData[Tour/Site],$Q$2,RawData[[Picker ID ]],$Q$3,RawData[Checker ID],$Q$4,RawData[[Error Type ]],$Q$5))</f>
        <v/>
      </c>
    </row>
    <row r="9908" spans="15:15" x14ac:dyDescent="0.25">
      <c r="O9908" s="20" t="str">
        <f>IF(N9908="","",COUNTIFS(RawData[[Date ]],N9908,RawData[Month List],$Q$6,RawData[Tour/Site],$Q$2,RawData[[Picker ID ]],$Q$3,RawData[Checker ID],$Q$4,RawData[[Error Type ]],$Q$5))</f>
        <v/>
      </c>
    </row>
    <row r="9909" spans="15:15" x14ac:dyDescent="0.25">
      <c r="O9909" s="20" t="str">
        <f>IF(N9909="","",COUNTIFS(RawData[[Date ]],N9909,RawData[Month List],$Q$6,RawData[Tour/Site],$Q$2,RawData[[Picker ID ]],$Q$3,RawData[Checker ID],$Q$4,RawData[[Error Type ]],$Q$5))</f>
        <v/>
      </c>
    </row>
    <row r="9910" spans="15:15" x14ac:dyDescent="0.25">
      <c r="O9910" s="20" t="str">
        <f>IF(N9910="","",COUNTIFS(RawData[[Date ]],N9910,RawData[Month List],$Q$6,RawData[Tour/Site],$Q$2,RawData[[Picker ID ]],$Q$3,RawData[Checker ID],$Q$4,RawData[[Error Type ]],$Q$5))</f>
        <v/>
      </c>
    </row>
    <row r="9911" spans="15:15" x14ac:dyDescent="0.25">
      <c r="O9911" s="20" t="str">
        <f>IF(N9911="","",COUNTIFS(RawData[[Date ]],N9911,RawData[Month List],$Q$6,RawData[Tour/Site],$Q$2,RawData[[Picker ID ]],$Q$3,RawData[Checker ID],$Q$4,RawData[[Error Type ]],$Q$5))</f>
        <v/>
      </c>
    </row>
    <row r="9912" spans="15:15" x14ac:dyDescent="0.25">
      <c r="O9912" s="20" t="str">
        <f>IF(N9912="","",COUNTIFS(RawData[[Date ]],N9912,RawData[Month List],$Q$6,RawData[Tour/Site],$Q$2,RawData[[Picker ID ]],$Q$3,RawData[Checker ID],$Q$4,RawData[[Error Type ]],$Q$5))</f>
        <v/>
      </c>
    </row>
    <row r="9913" spans="15:15" x14ac:dyDescent="0.25">
      <c r="O9913" s="20" t="str">
        <f>IF(N9913="","",COUNTIFS(RawData[[Date ]],N9913,RawData[Month List],$Q$6,RawData[Tour/Site],$Q$2,RawData[[Picker ID ]],$Q$3,RawData[Checker ID],$Q$4,RawData[[Error Type ]],$Q$5))</f>
        <v/>
      </c>
    </row>
    <row r="9914" spans="15:15" x14ac:dyDescent="0.25">
      <c r="O9914" s="20" t="str">
        <f>IF(N9914="","",COUNTIFS(RawData[[Date ]],N9914,RawData[Month List],$Q$6,RawData[Tour/Site],$Q$2,RawData[[Picker ID ]],$Q$3,RawData[Checker ID],$Q$4,RawData[[Error Type ]],$Q$5))</f>
        <v/>
      </c>
    </row>
    <row r="9915" spans="15:15" x14ac:dyDescent="0.25">
      <c r="O9915" s="20" t="str">
        <f>IF(N9915="","",COUNTIFS(RawData[[Date ]],N9915,RawData[Month List],$Q$6,RawData[Tour/Site],$Q$2,RawData[[Picker ID ]],$Q$3,RawData[Checker ID],$Q$4,RawData[[Error Type ]],$Q$5))</f>
        <v/>
      </c>
    </row>
    <row r="9916" spans="15:15" x14ac:dyDescent="0.25">
      <c r="O9916" s="20" t="str">
        <f>IF(N9916="","",COUNTIFS(RawData[[Date ]],N9916,RawData[Month List],$Q$6,RawData[Tour/Site],$Q$2,RawData[[Picker ID ]],$Q$3,RawData[Checker ID],$Q$4,RawData[[Error Type ]],$Q$5))</f>
        <v/>
      </c>
    </row>
    <row r="9917" spans="15:15" x14ac:dyDescent="0.25">
      <c r="O9917" s="20" t="str">
        <f>IF(N9917="","",COUNTIFS(RawData[[Date ]],N9917,RawData[Month List],$Q$6,RawData[Tour/Site],$Q$2,RawData[[Picker ID ]],$Q$3,RawData[Checker ID],$Q$4,RawData[[Error Type ]],$Q$5))</f>
        <v/>
      </c>
    </row>
    <row r="9918" spans="15:15" x14ac:dyDescent="0.25">
      <c r="O9918" s="20" t="str">
        <f>IF(N9918="","",COUNTIFS(RawData[[Date ]],N9918,RawData[Month List],$Q$6,RawData[Tour/Site],$Q$2,RawData[[Picker ID ]],$Q$3,RawData[Checker ID],$Q$4,RawData[[Error Type ]],$Q$5))</f>
        <v/>
      </c>
    </row>
    <row r="9919" spans="15:15" x14ac:dyDescent="0.25">
      <c r="O9919" s="20" t="str">
        <f>IF(N9919="","",COUNTIFS(RawData[[Date ]],N9919,RawData[Month List],$Q$6,RawData[Tour/Site],$Q$2,RawData[[Picker ID ]],$Q$3,RawData[Checker ID],$Q$4,RawData[[Error Type ]],$Q$5))</f>
        <v/>
      </c>
    </row>
    <row r="9920" spans="15:15" x14ac:dyDescent="0.25">
      <c r="O9920" s="20" t="str">
        <f>IF(N9920="","",COUNTIFS(RawData[[Date ]],N9920,RawData[Month List],$Q$6,RawData[Tour/Site],$Q$2,RawData[[Picker ID ]],$Q$3,RawData[Checker ID],$Q$4,RawData[[Error Type ]],$Q$5))</f>
        <v/>
      </c>
    </row>
    <row r="9921" spans="15:15" x14ac:dyDescent="0.25">
      <c r="O9921" s="20" t="str">
        <f>IF(N9921="","",COUNTIFS(RawData[[Date ]],N9921,RawData[Month List],$Q$6,RawData[Tour/Site],$Q$2,RawData[[Picker ID ]],$Q$3,RawData[Checker ID],$Q$4,RawData[[Error Type ]],$Q$5))</f>
        <v/>
      </c>
    </row>
    <row r="9922" spans="15:15" x14ac:dyDescent="0.25">
      <c r="O9922" s="20" t="str">
        <f>IF(N9922="","",COUNTIFS(RawData[[Date ]],N9922,RawData[Month List],$Q$6,RawData[Tour/Site],$Q$2,RawData[[Picker ID ]],$Q$3,RawData[Checker ID],$Q$4,RawData[[Error Type ]],$Q$5))</f>
        <v/>
      </c>
    </row>
    <row r="9923" spans="15:15" x14ac:dyDescent="0.25">
      <c r="O9923" s="20" t="str">
        <f>IF(N9923="","",COUNTIFS(RawData[[Date ]],N9923,RawData[Month List],$Q$6,RawData[Tour/Site],$Q$2,RawData[[Picker ID ]],$Q$3,RawData[Checker ID],$Q$4,RawData[[Error Type ]],$Q$5))</f>
        <v/>
      </c>
    </row>
    <row r="9924" spans="15:15" x14ac:dyDescent="0.25">
      <c r="O9924" s="20" t="str">
        <f>IF(N9924="","",COUNTIFS(RawData[[Date ]],N9924,RawData[Month List],$Q$6,RawData[Tour/Site],$Q$2,RawData[[Picker ID ]],$Q$3,RawData[Checker ID],$Q$4,RawData[[Error Type ]],$Q$5))</f>
        <v/>
      </c>
    </row>
    <row r="9925" spans="15:15" x14ac:dyDescent="0.25">
      <c r="O9925" s="20" t="str">
        <f>IF(N9925="","",COUNTIFS(RawData[[Date ]],N9925,RawData[Month List],$Q$6,RawData[Tour/Site],$Q$2,RawData[[Picker ID ]],$Q$3,RawData[Checker ID],$Q$4,RawData[[Error Type ]],$Q$5))</f>
        <v/>
      </c>
    </row>
    <row r="9926" spans="15:15" x14ac:dyDescent="0.25">
      <c r="O9926" s="20" t="str">
        <f>IF(N9926="","",COUNTIFS(RawData[[Date ]],N9926,RawData[Month List],$Q$6,RawData[Tour/Site],$Q$2,RawData[[Picker ID ]],$Q$3,RawData[Checker ID],$Q$4,RawData[[Error Type ]],$Q$5))</f>
        <v/>
      </c>
    </row>
    <row r="9927" spans="15:15" x14ac:dyDescent="0.25">
      <c r="O9927" s="20" t="str">
        <f>IF(N9927="","",COUNTIFS(RawData[[Date ]],N9927,RawData[Month List],$Q$6,RawData[Tour/Site],$Q$2,RawData[[Picker ID ]],$Q$3,RawData[Checker ID],$Q$4,RawData[[Error Type ]],$Q$5))</f>
        <v/>
      </c>
    </row>
    <row r="9928" spans="15:15" x14ac:dyDescent="0.25">
      <c r="O9928" s="20" t="str">
        <f>IF(N9928="","",COUNTIFS(RawData[[Date ]],N9928,RawData[Month List],$Q$6,RawData[Tour/Site],$Q$2,RawData[[Picker ID ]],$Q$3,RawData[Checker ID],$Q$4,RawData[[Error Type ]],$Q$5))</f>
        <v/>
      </c>
    </row>
    <row r="9929" spans="15:15" x14ac:dyDescent="0.25">
      <c r="O9929" s="20" t="str">
        <f>IF(N9929="","",COUNTIFS(RawData[[Date ]],N9929,RawData[Month List],$Q$6,RawData[Tour/Site],$Q$2,RawData[[Picker ID ]],$Q$3,RawData[Checker ID],$Q$4,RawData[[Error Type ]],$Q$5))</f>
        <v/>
      </c>
    </row>
    <row r="9930" spans="15:15" x14ac:dyDescent="0.25">
      <c r="O9930" s="20" t="str">
        <f>IF(N9930="","",COUNTIFS(RawData[[Date ]],N9930,RawData[Month List],$Q$6,RawData[Tour/Site],$Q$2,RawData[[Picker ID ]],$Q$3,RawData[Checker ID],$Q$4,RawData[[Error Type ]],$Q$5))</f>
        <v/>
      </c>
    </row>
    <row r="9931" spans="15:15" x14ac:dyDescent="0.25">
      <c r="O9931" s="20" t="str">
        <f>IF(N9931="","",COUNTIFS(RawData[[Date ]],N9931,RawData[Month List],$Q$6,RawData[Tour/Site],$Q$2,RawData[[Picker ID ]],$Q$3,RawData[Checker ID],$Q$4,RawData[[Error Type ]],$Q$5))</f>
        <v/>
      </c>
    </row>
    <row r="9932" spans="15:15" x14ac:dyDescent="0.25">
      <c r="O9932" s="20" t="str">
        <f>IF(N9932="","",COUNTIFS(RawData[[Date ]],N9932,RawData[Month List],$Q$6,RawData[Tour/Site],$Q$2,RawData[[Picker ID ]],$Q$3,RawData[Checker ID],$Q$4,RawData[[Error Type ]],$Q$5))</f>
        <v/>
      </c>
    </row>
    <row r="9933" spans="15:15" x14ac:dyDescent="0.25">
      <c r="O9933" s="20" t="str">
        <f>IF(N9933="","",COUNTIFS(RawData[[Date ]],N9933,RawData[Month List],$Q$6,RawData[Tour/Site],$Q$2,RawData[[Picker ID ]],$Q$3,RawData[Checker ID],$Q$4,RawData[[Error Type ]],$Q$5))</f>
        <v/>
      </c>
    </row>
    <row r="9934" spans="15:15" x14ac:dyDescent="0.25">
      <c r="O9934" s="20" t="str">
        <f>IF(N9934="","",COUNTIFS(RawData[[Date ]],N9934,RawData[Month List],$Q$6,RawData[Tour/Site],$Q$2,RawData[[Picker ID ]],$Q$3,RawData[Checker ID],$Q$4,RawData[[Error Type ]],$Q$5))</f>
        <v/>
      </c>
    </row>
    <row r="9935" spans="15:15" x14ac:dyDescent="0.25">
      <c r="O9935" s="20" t="str">
        <f>IF(N9935="","",COUNTIFS(RawData[[Date ]],N9935,RawData[Month List],$Q$6,RawData[Tour/Site],$Q$2,RawData[[Picker ID ]],$Q$3,RawData[Checker ID],$Q$4,RawData[[Error Type ]],$Q$5))</f>
        <v/>
      </c>
    </row>
    <row r="9936" spans="15:15" x14ac:dyDescent="0.25">
      <c r="O9936" s="20" t="str">
        <f>IF(N9936="","",COUNTIFS(RawData[[Date ]],N9936,RawData[Month List],$Q$6,RawData[Tour/Site],$Q$2,RawData[[Picker ID ]],$Q$3,RawData[Checker ID],$Q$4,RawData[[Error Type ]],$Q$5))</f>
        <v/>
      </c>
    </row>
    <row r="9937" spans="15:15" x14ac:dyDescent="0.25">
      <c r="O9937" s="20" t="str">
        <f>IF(N9937="","",COUNTIFS(RawData[[Date ]],N9937,RawData[Month List],$Q$6,RawData[Tour/Site],$Q$2,RawData[[Picker ID ]],$Q$3,RawData[Checker ID],$Q$4,RawData[[Error Type ]],$Q$5))</f>
        <v/>
      </c>
    </row>
    <row r="9938" spans="15:15" x14ac:dyDescent="0.25">
      <c r="O9938" s="20" t="str">
        <f>IF(N9938="","",COUNTIFS(RawData[[Date ]],N9938,RawData[Month List],$Q$6,RawData[Tour/Site],$Q$2,RawData[[Picker ID ]],$Q$3,RawData[Checker ID],$Q$4,RawData[[Error Type ]],$Q$5))</f>
        <v/>
      </c>
    </row>
    <row r="9939" spans="15:15" x14ac:dyDescent="0.25">
      <c r="O9939" s="20" t="str">
        <f>IF(N9939="","",COUNTIFS(RawData[[Date ]],N9939,RawData[Month List],$Q$6,RawData[Tour/Site],$Q$2,RawData[[Picker ID ]],$Q$3,RawData[Checker ID],$Q$4,RawData[[Error Type ]],$Q$5))</f>
        <v/>
      </c>
    </row>
    <row r="9940" spans="15:15" x14ac:dyDescent="0.25">
      <c r="O9940" s="20" t="str">
        <f>IF(N9940="","",COUNTIFS(RawData[[Date ]],N9940,RawData[Month List],$Q$6,RawData[Tour/Site],$Q$2,RawData[[Picker ID ]],$Q$3,RawData[Checker ID],$Q$4,RawData[[Error Type ]],$Q$5))</f>
        <v/>
      </c>
    </row>
    <row r="9941" spans="15:15" x14ac:dyDescent="0.25">
      <c r="O9941" s="20" t="str">
        <f>IF(N9941="","",COUNTIFS(RawData[[Date ]],N9941,RawData[Month List],$Q$6,RawData[Tour/Site],$Q$2,RawData[[Picker ID ]],$Q$3,RawData[Checker ID],$Q$4,RawData[[Error Type ]],$Q$5))</f>
        <v/>
      </c>
    </row>
    <row r="9942" spans="15:15" x14ac:dyDescent="0.25">
      <c r="O9942" s="20" t="str">
        <f>IF(N9942="","",COUNTIFS(RawData[[Date ]],N9942,RawData[Month List],$Q$6,RawData[Tour/Site],$Q$2,RawData[[Picker ID ]],$Q$3,RawData[Checker ID],$Q$4,RawData[[Error Type ]],$Q$5))</f>
        <v/>
      </c>
    </row>
    <row r="9943" spans="15:15" x14ac:dyDescent="0.25">
      <c r="O9943" s="20" t="str">
        <f>IF(N9943="","",COUNTIFS(RawData[[Date ]],N9943,RawData[Month List],$Q$6,RawData[Tour/Site],$Q$2,RawData[[Picker ID ]],$Q$3,RawData[Checker ID],$Q$4,RawData[[Error Type ]],$Q$5))</f>
        <v/>
      </c>
    </row>
    <row r="9944" spans="15:15" x14ac:dyDescent="0.25">
      <c r="O9944" s="20" t="str">
        <f>IF(N9944="","",COUNTIFS(RawData[[Date ]],N9944,RawData[Month List],$Q$6,RawData[Tour/Site],$Q$2,RawData[[Picker ID ]],$Q$3,RawData[Checker ID],$Q$4,RawData[[Error Type ]],$Q$5))</f>
        <v/>
      </c>
    </row>
    <row r="9945" spans="15:15" x14ac:dyDescent="0.25">
      <c r="O9945" s="20" t="str">
        <f>IF(N9945="","",COUNTIFS(RawData[[Date ]],N9945,RawData[Month List],$Q$6,RawData[Tour/Site],$Q$2,RawData[[Picker ID ]],$Q$3,RawData[Checker ID],$Q$4,RawData[[Error Type ]],$Q$5))</f>
        <v/>
      </c>
    </row>
    <row r="9946" spans="15:15" x14ac:dyDescent="0.25">
      <c r="O9946" s="20" t="str">
        <f>IF(N9946="","",COUNTIFS(RawData[[Date ]],N9946,RawData[Month List],$Q$6,RawData[Tour/Site],$Q$2,RawData[[Picker ID ]],$Q$3,RawData[Checker ID],$Q$4,RawData[[Error Type ]],$Q$5))</f>
        <v/>
      </c>
    </row>
    <row r="9947" spans="15:15" x14ac:dyDescent="0.25">
      <c r="O9947" s="20" t="str">
        <f>IF(N9947="","",COUNTIFS(RawData[[Date ]],N9947,RawData[Month List],$Q$6,RawData[Tour/Site],$Q$2,RawData[[Picker ID ]],$Q$3,RawData[Checker ID],$Q$4,RawData[[Error Type ]],$Q$5))</f>
        <v/>
      </c>
    </row>
    <row r="9948" spans="15:15" x14ac:dyDescent="0.25">
      <c r="O9948" s="20" t="str">
        <f>IF(N9948="","",COUNTIFS(RawData[[Date ]],N9948,RawData[Month List],$Q$6,RawData[Tour/Site],$Q$2,RawData[[Picker ID ]],$Q$3,RawData[Checker ID],$Q$4,RawData[[Error Type ]],$Q$5))</f>
        <v/>
      </c>
    </row>
    <row r="9949" spans="15:15" x14ac:dyDescent="0.25">
      <c r="O9949" s="20" t="str">
        <f>IF(N9949="","",COUNTIFS(RawData[[Date ]],N9949,RawData[Month List],$Q$6,RawData[Tour/Site],$Q$2,RawData[[Picker ID ]],$Q$3,RawData[Checker ID],$Q$4,RawData[[Error Type ]],$Q$5))</f>
        <v/>
      </c>
    </row>
    <row r="9950" spans="15:15" x14ac:dyDescent="0.25">
      <c r="O9950" s="20" t="str">
        <f>IF(N9950="","",COUNTIFS(RawData[[Date ]],N9950,RawData[Month List],$Q$6,RawData[Tour/Site],$Q$2,RawData[[Picker ID ]],$Q$3,RawData[Checker ID],$Q$4,RawData[[Error Type ]],$Q$5))</f>
        <v/>
      </c>
    </row>
    <row r="9951" spans="15:15" x14ac:dyDescent="0.25">
      <c r="O9951" s="20" t="str">
        <f>IF(N9951="","",COUNTIFS(RawData[[Date ]],N9951,RawData[Month List],$Q$6,RawData[Tour/Site],$Q$2,RawData[[Picker ID ]],$Q$3,RawData[Checker ID],$Q$4,RawData[[Error Type ]],$Q$5))</f>
        <v/>
      </c>
    </row>
    <row r="9952" spans="15:15" x14ac:dyDescent="0.25">
      <c r="O9952" s="20" t="str">
        <f>IF(N9952="","",COUNTIFS(RawData[[Date ]],N9952,RawData[Month List],$Q$6,RawData[Tour/Site],$Q$2,RawData[[Picker ID ]],$Q$3,RawData[Checker ID],$Q$4,RawData[[Error Type ]],$Q$5))</f>
        <v/>
      </c>
    </row>
    <row r="9953" spans="15:15" x14ac:dyDescent="0.25">
      <c r="O9953" s="20" t="str">
        <f>IF(N9953="","",COUNTIFS(RawData[[Date ]],N9953,RawData[Month List],$Q$6,RawData[Tour/Site],$Q$2,RawData[[Picker ID ]],$Q$3,RawData[Checker ID],$Q$4,RawData[[Error Type ]],$Q$5))</f>
        <v/>
      </c>
    </row>
    <row r="9954" spans="15:15" x14ac:dyDescent="0.25">
      <c r="O9954" s="20" t="str">
        <f>IF(N9954="","",COUNTIFS(RawData[[Date ]],N9954,RawData[Month List],$Q$6,RawData[Tour/Site],$Q$2,RawData[[Picker ID ]],$Q$3,RawData[Checker ID],$Q$4,RawData[[Error Type ]],$Q$5))</f>
        <v/>
      </c>
    </row>
    <row r="9955" spans="15:15" x14ac:dyDescent="0.25">
      <c r="O9955" s="20" t="str">
        <f>IF(N9955="","",COUNTIFS(RawData[[Date ]],N9955,RawData[Month List],$Q$6,RawData[Tour/Site],$Q$2,RawData[[Picker ID ]],$Q$3,RawData[Checker ID],$Q$4,RawData[[Error Type ]],$Q$5))</f>
        <v/>
      </c>
    </row>
    <row r="9956" spans="15:15" x14ac:dyDescent="0.25">
      <c r="O9956" s="20" t="str">
        <f>IF(N9956="","",COUNTIFS(RawData[[Date ]],N9956,RawData[Month List],$Q$6,RawData[Tour/Site],$Q$2,RawData[[Picker ID ]],$Q$3,RawData[Checker ID],$Q$4,RawData[[Error Type ]],$Q$5))</f>
        <v/>
      </c>
    </row>
    <row r="9957" spans="15:15" x14ac:dyDescent="0.25">
      <c r="O9957" s="20" t="str">
        <f>IF(N9957="","",COUNTIFS(RawData[[Date ]],N9957,RawData[Month List],$Q$6,RawData[Tour/Site],$Q$2,RawData[[Picker ID ]],$Q$3,RawData[Checker ID],$Q$4,RawData[[Error Type ]],$Q$5))</f>
        <v/>
      </c>
    </row>
    <row r="9958" spans="15:15" x14ac:dyDescent="0.25">
      <c r="O9958" s="20" t="str">
        <f>IF(N9958="","",COUNTIFS(RawData[[Date ]],N9958,RawData[Month List],$Q$6,RawData[Tour/Site],$Q$2,RawData[[Picker ID ]],$Q$3,RawData[Checker ID],$Q$4,RawData[[Error Type ]],$Q$5))</f>
        <v/>
      </c>
    </row>
    <row r="9959" spans="15:15" x14ac:dyDescent="0.25">
      <c r="O9959" s="20" t="str">
        <f>IF(N9959="","",COUNTIFS(RawData[[Date ]],N9959,RawData[Month List],$Q$6,RawData[Tour/Site],$Q$2,RawData[[Picker ID ]],$Q$3,RawData[Checker ID],$Q$4,RawData[[Error Type ]],$Q$5))</f>
        <v/>
      </c>
    </row>
    <row r="9960" spans="15:15" x14ac:dyDescent="0.25">
      <c r="O9960" s="20" t="str">
        <f>IF(N9960="","",COUNTIFS(RawData[[Date ]],N9960,RawData[Month List],$Q$6,RawData[Tour/Site],$Q$2,RawData[[Picker ID ]],$Q$3,RawData[Checker ID],$Q$4,RawData[[Error Type ]],$Q$5))</f>
        <v/>
      </c>
    </row>
    <row r="9961" spans="15:15" x14ac:dyDescent="0.25">
      <c r="O9961" s="20" t="str">
        <f>IF(N9961="","",COUNTIFS(RawData[[Date ]],N9961,RawData[Month List],$Q$6,RawData[Tour/Site],$Q$2,RawData[[Picker ID ]],$Q$3,RawData[Checker ID],$Q$4,RawData[[Error Type ]],$Q$5))</f>
        <v/>
      </c>
    </row>
    <row r="9962" spans="15:15" x14ac:dyDescent="0.25">
      <c r="O9962" s="20" t="str">
        <f>IF(N9962="","",COUNTIFS(RawData[[Date ]],N9962,RawData[Month List],$Q$6,RawData[Tour/Site],$Q$2,RawData[[Picker ID ]],$Q$3,RawData[Checker ID],$Q$4,RawData[[Error Type ]],$Q$5))</f>
        <v/>
      </c>
    </row>
    <row r="9963" spans="15:15" x14ac:dyDescent="0.25">
      <c r="O9963" s="20" t="str">
        <f>IF(N9963="","",COUNTIFS(RawData[[Date ]],N9963,RawData[Month List],$Q$6,RawData[Tour/Site],$Q$2,RawData[[Picker ID ]],$Q$3,RawData[Checker ID],$Q$4,RawData[[Error Type ]],$Q$5))</f>
        <v/>
      </c>
    </row>
    <row r="9964" spans="15:15" x14ac:dyDescent="0.25">
      <c r="O9964" s="20" t="str">
        <f>IF(N9964="","",COUNTIFS(RawData[[Date ]],N9964,RawData[Month List],$Q$6,RawData[Tour/Site],$Q$2,RawData[[Picker ID ]],$Q$3,RawData[Checker ID],$Q$4,RawData[[Error Type ]],$Q$5))</f>
        <v/>
      </c>
    </row>
    <row r="9965" spans="15:15" x14ac:dyDescent="0.25">
      <c r="O9965" s="20" t="str">
        <f>IF(N9965="","",COUNTIFS(RawData[[Date ]],N9965,RawData[Month List],$Q$6,RawData[Tour/Site],$Q$2,RawData[[Picker ID ]],$Q$3,RawData[Checker ID],$Q$4,RawData[[Error Type ]],$Q$5))</f>
        <v/>
      </c>
    </row>
    <row r="9966" spans="15:15" x14ac:dyDescent="0.25">
      <c r="O9966" s="20" t="str">
        <f>IF(N9966="","",COUNTIFS(RawData[[Date ]],N9966,RawData[Month List],$Q$6,RawData[Tour/Site],$Q$2,RawData[[Picker ID ]],$Q$3,RawData[Checker ID],$Q$4,RawData[[Error Type ]],$Q$5))</f>
        <v/>
      </c>
    </row>
    <row r="9967" spans="15:15" x14ac:dyDescent="0.25">
      <c r="O9967" s="20" t="str">
        <f>IF(N9967="","",COUNTIFS(RawData[[Date ]],N9967,RawData[Month List],$Q$6,RawData[Tour/Site],$Q$2,RawData[[Picker ID ]],$Q$3,RawData[Checker ID],$Q$4,RawData[[Error Type ]],$Q$5))</f>
        <v/>
      </c>
    </row>
    <row r="9968" spans="15:15" x14ac:dyDescent="0.25">
      <c r="O9968" s="20" t="str">
        <f>IF(N9968="","",COUNTIFS(RawData[[Date ]],N9968,RawData[Month List],$Q$6,RawData[Tour/Site],$Q$2,RawData[[Picker ID ]],$Q$3,RawData[Checker ID],$Q$4,RawData[[Error Type ]],$Q$5))</f>
        <v/>
      </c>
    </row>
    <row r="9969" spans="15:15" x14ac:dyDescent="0.25">
      <c r="O9969" s="20" t="str">
        <f>IF(N9969="","",COUNTIFS(RawData[[Date ]],N9969,RawData[Month List],$Q$6,RawData[Tour/Site],$Q$2,RawData[[Picker ID ]],$Q$3,RawData[Checker ID],$Q$4,RawData[[Error Type ]],$Q$5))</f>
        <v/>
      </c>
    </row>
    <row r="9970" spans="15:15" x14ac:dyDescent="0.25">
      <c r="O9970" s="20" t="str">
        <f>IF(N9970="","",COUNTIFS(RawData[[Date ]],N9970,RawData[Month List],$Q$6,RawData[Tour/Site],$Q$2,RawData[[Picker ID ]],$Q$3,RawData[Checker ID],$Q$4,RawData[[Error Type ]],$Q$5))</f>
        <v/>
      </c>
    </row>
    <row r="9971" spans="15:15" x14ac:dyDescent="0.25">
      <c r="O9971" s="20" t="str">
        <f>IF(N9971="","",COUNTIFS(RawData[[Date ]],N9971,RawData[Month List],$Q$6,RawData[Tour/Site],$Q$2,RawData[[Picker ID ]],$Q$3,RawData[Checker ID],$Q$4,RawData[[Error Type ]],$Q$5))</f>
        <v/>
      </c>
    </row>
    <row r="9972" spans="15:15" x14ac:dyDescent="0.25">
      <c r="O9972" s="20" t="str">
        <f>IF(N9972="","",COUNTIFS(RawData[[Date ]],N9972,RawData[Month List],$Q$6,RawData[Tour/Site],$Q$2,RawData[[Picker ID ]],$Q$3,RawData[Checker ID],$Q$4,RawData[[Error Type ]],$Q$5))</f>
        <v/>
      </c>
    </row>
    <row r="9973" spans="15:15" x14ac:dyDescent="0.25">
      <c r="O9973" s="20" t="str">
        <f>IF(N9973="","",COUNTIFS(RawData[[Date ]],N9973,RawData[Month List],$Q$6,RawData[Tour/Site],$Q$2,RawData[[Picker ID ]],$Q$3,RawData[Checker ID],$Q$4,RawData[[Error Type ]],$Q$5))</f>
        <v/>
      </c>
    </row>
    <row r="9974" spans="15:15" x14ac:dyDescent="0.25">
      <c r="O9974" s="20" t="str">
        <f>IF(N9974="","",COUNTIFS(RawData[[Date ]],N9974,RawData[Month List],$Q$6,RawData[Tour/Site],$Q$2,RawData[[Picker ID ]],$Q$3,RawData[Checker ID],$Q$4,RawData[[Error Type ]],$Q$5))</f>
        <v/>
      </c>
    </row>
    <row r="9975" spans="15:15" x14ac:dyDescent="0.25">
      <c r="O9975" s="20" t="str">
        <f>IF(N9975="","",COUNTIFS(RawData[[Date ]],N9975,RawData[Month List],$Q$6,RawData[Tour/Site],$Q$2,RawData[[Picker ID ]],$Q$3,RawData[Checker ID],$Q$4,RawData[[Error Type ]],$Q$5))</f>
        <v/>
      </c>
    </row>
    <row r="9976" spans="15:15" x14ac:dyDescent="0.25">
      <c r="O9976" s="20" t="str">
        <f>IF(N9976="","",COUNTIFS(RawData[[Date ]],N9976,RawData[Month List],$Q$6,RawData[Tour/Site],$Q$2,RawData[[Picker ID ]],$Q$3,RawData[Checker ID],$Q$4,RawData[[Error Type ]],$Q$5))</f>
        <v/>
      </c>
    </row>
    <row r="9977" spans="15:15" x14ac:dyDescent="0.25">
      <c r="O9977" s="20" t="str">
        <f>IF(N9977="","",COUNTIFS(RawData[[Date ]],N9977,RawData[Month List],$Q$6,RawData[Tour/Site],$Q$2,RawData[[Picker ID ]],$Q$3,RawData[Checker ID],$Q$4,RawData[[Error Type ]],$Q$5))</f>
        <v/>
      </c>
    </row>
    <row r="9978" spans="15:15" x14ac:dyDescent="0.25">
      <c r="O9978" s="20" t="str">
        <f>IF(N9978="","",COUNTIFS(RawData[[Date ]],N9978,RawData[Month List],$Q$6,RawData[Tour/Site],$Q$2,RawData[[Picker ID ]],$Q$3,RawData[Checker ID],$Q$4,RawData[[Error Type ]],$Q$5))</f>
        <v/>
      </c>
    </row>
    <row r="9979" spans="15:15" x14ac:dyDescent="0.25">
      <c r="O9979" s="20" t="str">
        <f>IF(N9979="","",COUNTIFS(RawData[[Date ]],N9979,RawData[Month List],$Q$6,RawData[Tour/Site],$Q$2,RawData[[Picker ID ]],$Q$3,RawData[Checker ID],$Q$4,RawData[[Error Type ]],$Q$5))</f>
        <v/>
      </c>
    </row>
    <row r="9980" spans="15:15" x14ac:dyDescent="0.25">
      <c r="O9980" s="20" t="str">
        <f>IF(N9980="","",COUNTIFS(RawData[[Date ]],N9980,RawData[Month List],$Q$6,RawData[Tour/Site],$Q$2,RawData[[Picker ID ]],$Q$3,RawData[Checker ID],$Q$4,RawData[[Error Type ]],$Q$5))</f>
        <v/>
      </c>
    </row>
    <row r="9981" spans="15:15" x14ac:dyDescent="0.25">
      <c r="O9981" s="20" t="str">
        <f>IF(N9981="","",COUNTIFS(RawData[[Date ]],N9981,RawData[Month List],$Q$6,RawData[Tour/Site],$Q$2,RawData[[Picker ID ]],$Q$3,RawData[Checker ID],$Q$4,RawData[[Error Type ]],$Q$5))</f>
        <v/>
      </c>
    </row>
    <row r="9982" spans="15:15" x14ac:dyDescent="0.25">
      <c r="O9982" s="20" t="str">
        <f>IF(N9982="","",COUNTIFS(RawData[[Date ]],N9982,RawData[Month List],$Q$6,RawData[Tour/Site],$Q$2,RawData[[Picker ID ]],$Q$3,RawData[Checker ID],$Q$4,RawData[[Error Type ]],$Q$5))</f>
        <v/>
      </c>
    </row>
    <row r="9983" spans="15:15" x14ac:dyDescent="0.25">
      <c r="O9983" s="20" t="str">
        <f>IF(N9983="","",COUNTIFS(RawData[[Date ]],N9983,RawData[Month List],$Q$6,RawData[Tour/Site],$Q$2,RawData[[Picker ID ]],$Q$3,RawData[Checker ID],$Q$4,RawData[[Error Type ]],$Q$5))</f>
        <v/>
      </c>
    </row>
    <row r="9984" spans="15:15" x14ac:dyDescent="0.25">
      <c r="O9984" s="20" t="str">
        <f>IF(N9984="","",COUNTIFS(RawData[[Date ]],N9984,RawData[Month List],$Q$6,RawData[Tour/Site],$Q$2,RawData[[Picker ID ]],$Q$3,RawData[Checker ID],$Q$4,RawData[[Error Type ]],$Q$5))</f>
        <v/>
      </c>
    </row>
    <row r="9985" spans="15:15" x14ac:dyDescent="0.25">
      <c r="O9985" s="20" t="str">
        <f>IF(N9985="","",COUNTIFS(RawData[[Date ]],N9985,RawData[Month List],$Q$6,RawData[Tour/Site],$Q$2,RawData[[Picker ID ]],$Q$3,RawData[Checker ID],$Q$4,RawData[[Error Type ]],$Q$5))</f>
        <v/>
      </c>
    </row>
    <row r="9986" spans="15:15" x14ac:dyDescent="0.25">
      <c r="O9986" s="20" t="str">
        <f>IF(N9986="","",COUNTIFS(RawData[[Date ]],N9986,RawData[Month List],$Q$6,RawData[Tour/Site],$Q$2,RawData[[Picker ID ]],$Q$3,RawData[Checker ID],$Q$4,RawData[[Error Type ]],$Q$5))</f>
        <v/>
      </c>
    </row>
    <row r="9987" spans="15:15" x14ac:dyDescent="0.25">
      <c r="O9987" s="20" t="str">
        <f>IF(N9987="","",COUNTIFS(RawData[[Date ]],N9987,RawData[Month List],$Q$6,RawData[Tour/Site],$Q$2,RawData[[Picker ID ]],$Q$3,RawData[Checker ID],$Q$4,RawData[[Error Type ]],$Q$5))</f>
        <v/>
      </c>
    </row>
    <row r="9988" spans="15:15" x14ac:dyDescent="0.25">
      <c r="O9988" s="20" t="str">
        <f>IF(N9988="","",COUNTIFS(RawData[[Date ]],N9988,RawData[Month List],$Q$6,RawData[Tour/Site],$Q$2,RawData[[Picker ID ]],$Q$3,RawData[Checker ID],$Q$4,RawData[[Error Type ]],$Q$5))</f>
        <v/>
      </c>
    </row>
    <row r="9989" spans="15:15" x14ac:dyDescent="0.25">
      <c r="O9989" s="20" t="str">
        <f>IF(N9989="","",COUNTIFS(RawData[[Date ]],N9989,RawData[Month List],$Q$6,RawData[Tour/Site],$Q$2,RawData[[Picker ID ]],$Q$3,RawData[Checker ID],$Q$4,RawData[[Error Type ]],$Q$5))</f>
        <v/>
      </c>
    </row>
    <row r="9990" spans="15:15" x14ac:dyDescent="0.25">
      <c r="O9990" s="20" t="str">
        <f>IF(N9990="","",COUNTIFS(RawData[[Date ]],N9990,RawData[Month List],$Q$6,RawData[Tour/Site],$Q$2,RawData[[Picker ID ]],$Q$3,RawData[Checker ID],$Q$4,RawData[[Error Type ]],$Q$5))</f>
        <v/>
      </c>
    </row>
    <row r="9991" spans="15:15" x14ac:dyDescent="0.25">
      <c r="O9991" s="20" t="str">
        <f>IF(N9991="","",COUNTIFS(RawData[[Date ]],N9991,RawData[Month List],$Q$6,RawData[Tour/Site],$Q$2,RawData[[Picker ID ]],$Q$3,RawData[Checker ID],$Q$4,RawData[[Error Type ]],$Q$5))</f>
        <v/>
      </c>
    </row>
    <row r="9992" spans="15:15" x14ac:dyDescent="0.25">
      <c r="O9992" s="20" t="str">
        <f>IF(N9992="","",COUNTIFS(RawData[[Date ]],N9992,RawData[Month List],$Q$6,RawData[Tour/Site],$Q$2,RawData[[Picker ID ]],$Q$3,RawData[Checker ID],$Q$4,RawData[[Error Type ]],$Q$5))</f>
        <v/>
      </c>
    </row>
    <row r="9993" spans="15:15" x14ac:dyDescent="0.25">
      <c r="O9993" s="20" t="str">
        <f>IF(N9993="","",COUNTIFS(RawData[[Date ]],N9993,RawData[Month List],$Q$6,RawData[Tour/Site],$Q$2,RawData[[Picker ID ]],$Q$3,RawData[Checker ID],$Q$4,RawData[[Error Type ]],$Q$5))</f>
        <v/>
      </c>
    </row>
    <row r="9994" spans="15:15" x14ac:dyDescent="0.25">
      <c r="O9994" s="20" t="str">
        <f>IF(N9994="","",COUNTIFS(RawData[[Date ]],N9994,RawData[Month List],$Q$6,RawData[Tour/Site],$Q$2,RawData[[Picker ID ]],$Q$3,RawData[Checker ID],$Q$4,RawData[[Error Type ]],$Q$5))</f>
        <v/>
      </c>
    </row>
    <row r="9995" spans="15:15" x14ac:dyDescent="0.25">
      <c r="O9995" s="20" t="str">
        <f>IF(N9995="","",COUNTIFS(RawData[[Date ]],N9995,RawData[Month List],$Q$6,RawData[Tour/Site],$Q$2,RawData[[Picker ID ]],$Q$3,RawData[Checker ID],$Q$4,RawData[[Error Type ]],$Q$5))</f>
        <v/>
      </c>
    </row>
    <row r="9996" spans="15:15" x14ac:dyDescent="0.25">
      <c r="O9996" s="20" t="str">
        <f>IF(N9996="","",COUNTIFS(RawData[[Date ]],N9996,RawData[Month List],$Q$6,RawData[Tour/Site],$Q$2,RawData[[Picker ID ]],$Q$3,RawData[Checker ID],$Q$4,RawData[[Error Type ]],$Q$5))</f>
        <v/>
      </c>
    </row>
    <row r="9997" spans="15:15" x14ac:dyDescent="0.25">
      <c r="O9997" s="20" t="str">
        <f>IF(N9997="","",COUNTIFS(RawData[[Date ]],N9997,RawData[Month List],$Q$6,RawData[Tour/Site],$Q$2,RawData[[Picker ID ]],$Q$3,RawData[Checker ID],$Q$4,RawData[[Error Type ]],$Q$5))</f>
        <v/>
      </c>
    </row>
    <row r="9998" spans="15:15" x14ac:dyDescent="0.25">
      <c r="O9998" s="20" t="str">
        <f>IF(N9998="","",COUNTIFS(RawData[[Date ]],N9998,RawData[Month List],$Q$6,RawData[Tour/Site],$Q$2,RawData[[Picker ID ]],$Q$3,RawData[Checker ID],$Q$4,RawData[[Error Type ]],$Q$5))</f>
        <v/>
      </c>
    </row>
    <row r="9999" spans="15:15" x14ac:dyDescent="0.25">
      <c r="O9999" s="20" t="str">
        <f>IF(N9999="","",COUNTIFS(RawData[[Date ]],N9999,RawData[Month List],$Q$6,RawData[Tour/Site],$Q$2,RawData[[Picker ID ]],$Q$3,RawData[Checker ID],$Q$4,RawData[[Error Type ]],$Q$5))</f>
        <v/>
      </c>
    </row>
    <row r="10000" spans="15:15" x14ac:dyDescent="0.25">
      <c r="O10000" s="20" t="str">
        <f>IF(N10000="","",COUNTIFS(RawData[[Date ]],N10000,RawData[Month List],$Q$6,RawData[Tour/Site],$Q$2,RawData[[Picker ID ]],$Q$3,RawData[Checker ID],$Q$4,RawData[[Error Type ]],$Q$5))</f>
        <v/>
      </c>
    </row>
    <row r="10001" spans="15:15" x14ac:dyDescent="0.25">
      <c r="O10001" s="20" t="str">
        <f>IF(N10001="","",COUNTIFS(RawData[[Date ]],N10001,RawData[Month List],$Q$6,RawData[Tour/Site],$Q$2,RawData[[Picker ID ]],$Q$3,RawData[Checker ID],$Q$4,RawData[[Error Type ]],$Q$5))</f>
        <v/>
      </c>
    </row>
    <row r="10002" spans="15:15" x14ac:dyDescent="0.25">
      <c r="O10002" s="20" t="str">
        <f>IF(N10002="","",COUNTIFS(RawData[[Date ]],N10002,RawData[Month List],$Q$6,RawData[Tour/Site],$Q$2,RawData[[Picker ID ]],$Q$3,RawData[Checker ID],$Q$4,RawData[[Error Type ]],$Q$5))</f>
        <v/>
      </c>
    </row>
    <row r="10003" spans="15:15" x14ac:dyDescent="0.25">
      <c r="O10003" s="20" t="str">
        <f>IF(N10003="","",COUNTIFS(RawData[[Date ]],N10003,RawData[Month List],$Q$6,RawData[Tour/Site],$Q$2,RawData[[Picker ID ]],$Q$3,RawData[Checker ID],$Q$4,RawData[[Error Type ]],$Q$5))</f>
        <v/>
      </c>
    </row>
    <row r="10004" spans="15:15" x14ac:dyDescent="0.25">
      <c r="O10004" s="20" t="str">
        <f>IF(N10004="","",COUNTIFS(RawData[[Date ]],N10004,RawData[Month List],$Q$6,RawData[Tour/Site],$Q$2,RawData[[Picker ID ]],$Q$3,RawData[Checker ID],$Q$4,RawData[[Error Type ]],$Q$5))</f>
        <v/>
      </c>
    </row>
    <row r="10005" spans="15:15" x14ac:dyDescent="0.25">
      <c r="O10005" s="20" t="str">
        <f>IF(N10005="","",COUNTIFS(RawData[[Date ]],N10005,RawData[Month List],$Q$6,RawData[Tour/Site],$Q$2,RawData[[Picker ID ]],$Q$3,RawData[Checker ID],$Q$4,RawData[[Error Type ]],$Q$5))</f>
        <v/>
      </c>
    </row>
    <row r="10006" spans="15:15" x14ac:dyDescent="0.25">
      <c r="O10006" s="20" t="str">
        <f>IF(N10006="","",COUNTIFS(RawData[[Date ]],N10006,RawData[Month List],$Q$6,RawData[Tour/Site],$Q$2,RawData[[Picker ID ]],$Q$3,RawData[Checker ID],$Q$4,RawData[[Error Type ]],$Q$5))</f>
        <v/>
      </c>
    </row>
    <row r="10007" spans="15:15" x14ac:dyDescent="0.25">
      <c r="O10007" s="20" t="str">
        <f>IF(N10007="","",COUNTIFS(RawData[[Date ]],N10007,RawData[Month List],$Q$6,RawData[Tour/Site],$Q$2,RawData[[Picker ID ]],$Q$3,RawData[Checker ID],$Q$4,RawData[[Error Type ]],$Q$5))</f>
        <v/>
      </c>
    </row>
    <row r="10008" spans="15:15" x14ac:dyDescent="0.25">
      <c r="O10008" s="20" t="str">
        <f>IF(N10008="","",COUNTIFS(RawData[[Date ]],N10008,RawData[Month List],$Q$6,RawData[Tour/Site],$Q$2,RawData[[Picker ID ]],$Q$3,RawData[Checker ID],$Q$4,RawData[[Error Type ]],$Q$5))</f>
        <v/>
      </c>
    </row>
    <row r="10009" spans="15:15" x14ac:dyDescent="0.25">
      <c r="O10009" s="20" t="str">
        <f>IF(N10009="","",COUNTIFS(RawData[[Date ]],N10009,RawData[Month List],$Q$6,RawData[Tour/Site],$Q$2,RawData[[Picker ID ]],$Q$3,RawData[Checker ID],$Q$4,RawData[[Error Type ]],$Q$5))</f>
        <v/>
      </c>
    </row>
    <row r="10010" spans="15:15" x14ac:dyDescent="0.25">
      <c r="O10010" s="20" t="str">
        <f>IF(N10010="","",COUNTIFS(RawData[[Date ]],N10010,RawData[Month List],$Q$6,RawData[Tour/Site],$Q$2,RawData[[Picker ID ]],$Q$3,RawData[Checker ID],$Q$4,RawData[[Error Type ]],$Q$5))</f>
        <v/>
      </c>
    </row>
    <row r="10011" spans="15:15" x14ac:dyDescent="0.25">
      <c r="O10011" s="20" t="str">
        <f>IF(N10011="","",COUNTIFS(RawData[[Date ]],N10011,RawData[Month List],$Q$6,RawData[Tour/Site],$Q$2,RawData[[Picker ID ]],$Q$3,RawData[Checker ID],$Q$4,RawData[[Error Type ]],$Q$5))</f>
        <v/>
      </c>
    </row>
    <row r="10012" spans="15:15" x14ac:dyDescent="0.25">
      <c r="O10012" s="20" t="str">
        <f>IF(N10012="","",COUNTIFS(RawData[[Date ]],N10012,RawData[Month List],$Q$6,RawData[Tour/Site],$Q$2,RawData[[Picker ID ]],$Q$3,RawData[Checker ID],$Q$4,RawData[[Error Type ]],$Q$5))</f>
        <v/>
      </c>
    </row>
    <row r="10013" spans="15:15" x14ac:dyDescent="0.25">
      <c r="O10013" s="20" t="str">
        <f>IF(N10013="","",COUNTIFS(RawData[[Date ]],N10013,RawData[Month List],$Q$6,RawData[Tour/Site],$Q$2,RawData[[Picker ID ]],$Q$3,RawData[Checker ID],$Q$4,RawData[[Error Type ]],$Q$5))</f>
        <v/>
      </c>
    </row>
    <row r="10014" spans="15:15" x14ac:dyDescent="0.25">
      <c r="O10014" s="20" t="str">
        <f>IF(N10014="","",COUNTIFS(RawData[[Date ]],N10014,RawData[Month List],$Q$6,RawData[Tour/Site],$Q$2,RawData[[Picker ID ]],$Q$3,RawData[Checker ID],$Q$4,RawData[[Error Type ]],$Q$5))</f>
        <v/>
      </c>
    </row>
    <row r="10015" spans="15:15" x14ac:dyDescent="0.25">
      <c r="O10015" s="20" t="str">
        <f>IF(N10015="","",COUNTIFS(RawData[[Date ]],N10015,RawData[Month List],$Q$6,RawData[Tour/Site],$Q$2,RawData[[Picker ID ]],$Q$3,RawData[Checker ID],$Q$4,RawData[[Error Type ]],$Q$5))</f>
        <v/>
      </c>
    </row>
    <row r="10016" spans="15:15" x14ac:dyDescent="0.25">
      <c r="O10016" s="20" t="str">
        <f>IF(N10016="","",COUNTIFS(RawData[[Date ]],N10016,RawData[Month List],$Q$6,RawData[Tour/Site],$Q$2,RawData[[Picker ID ]],$Q$3,RawData[Checker ID],$Q$4,RawData[[Error Type ]],$Q$5))</f>
        <v/>
      </c>
    </row>
    <row r="10017" spans="15:15" x14ac:dyDescent="0.25">
      <c r="O10017" s="20" t="str">
        <f>IF(N10017="","",COUNTIFS(RawData[[Date ]],N10017,RawData[Month List],$Q$6,RawData[Tour/Site],$Q$2,RawData[[Picker ID ]],$Q$3,RawData[Checker ID],$Q$4,RawData[[Error Type ]],$Q$5))</f>
        <v/>
      </c>
    </row>
    <row r="10018" spans="15:15" x14ac:dyDescent="0.25">
      <c r="O10018" s="20" t="str">
        <f>IF(N10018="","",COUNTIFS(RawData[[Date ]],N10018,RawData[Month List],$Q$6,RawData[Tour/Site],$Q$2,RawData[[Picker ID ]],$Q$3,RawData[Checker ID],$Q$4,RawData[[Error Type ]],$Q$5))</f>
        <v/>
      </c>
    </row>
    <row r="10019" spans="15:15" x14ac:dyDescent="0.25">
      <c r="O10019" s="20" t="str">
        <f>IF(N10019="","",COUNTIFS(RawData[[Date ]],N10019,RawData[Month List],$Q$6,RawData[Tour/Site],$Q$2,RawData[[Picker ID ]],$Q$3,RawData[Checker ID],$Q$4,RawData[[Error Type ]],$Q$5))</f>
        <v/>
      </c>
    </row>
    <row r="10020" spans="15:15" x14ac:dyDescent="0.25">
      <c r="O10020" s="20" t="str">
        <f>IF(N10020="","",COUNTIFS(RawData[[Date ]],N10020,RawData[Month List],$Q$6,RawData[Tour/Site],$Q$2,RawData[[Picker ID ]],$Q$3,RawData[Checker ID],$Q$4,RawData[[Error Type ]],$Q$5))</f>
        <v/>
      </c>
    </row>
    <row r="10021" spans="15:15" x14ac:dyDescent="0.25">
      <c r="O10021" s="20" t="str">
        <f>IF(N10021="","",COUNTIFS(RawData[[Date ]],N10021,RawData[Month List],$Q$6,RawData[Tour/Site],$Q$2,RawData[[Picker ID ]],$Q$3,RawData[Checker ID],$Q$4,RawData[[Error Type ]],$Q$5))</f>
        <v/>
      </c>
    </row>
    <row r="10022" spans="15:15" x14ac:dyDescent="0.25">
      <c r="O10022" s="20" t="str">
        <f>IF(N10022="","",COUNTIFS(RawData[[Date ]],N10022,RawData[Month List],$Q$6,RawData[Tour/Site],$Q$2,RawData[[Picker ID ]],$Q$3,RawData[Checker ID],$Q$4,RawData[[Error Type ]],$Q$5))</f>
        <v/>
      </c>
    </row>
    <row r="10023" spans="15:15" x14ac:dyDescent="0.25">
      <c r="O10023" s="20" t="str">
        <f>IF(N10023="","",COUNTIFS(RawData[[Date ]],N10023,RawData[Month List],$Q$6,RawData[Tour/Site],$Q$2,RawData[[Picker ID ]],$Q$3,RawData[Checker ID],$Q$4,RawData[[Error Type ]],$Q$5))</f>
        <v/>
      </c>
    </row>
    <row r="10024" spans="15:15" x14ac:dyDescent="0.25">
      <c r="O10024" s="20" t="str">
        <f>IF(N10024="","",COUNTIFS(RawData[[Date ]],N10024,RawData[Month List],$Q$6,RawData[Tour/Site],$Q$2,RawData[[Picker ID ]],$Q$3,RawData[Checker ID],$Q$4,RawData[[Error Type ]],$Q$5))</f>
        <v/>
      </c>
    </row>
    <row r="10025" spans="15:15" x14ac:dyDescent="0.25">
      <c r="O10025" s="20" t="str">
        <f>IF(N10025="","",COUNTIFS(RawData[[Date ]],N10025,RawData[Month List],$Q$6,RawData[Tour/Site],$Q$2,RawData[[Picker ID ]],$Q$3,RawData[Checker ID],$Q$4,RawData[[Error Type ]],$Q$5))</f>
        <v/>
      </c>
    </row>
    <row r="10026" spans="15:15" x14ac:dyDescent="0.25">
      <c r="O10026" s="20" t="str">
        <f>IF(N10026="","",COUNTIFS(RawData[[Date ]],N10026,RawData[Month List],$Q$6,RawData[Tour/Site],$Q$2,RawData[[Picker ID ]],$Q$3,RawData[Checker ID],$Q$4,RawData[[Error Type ]],$Q$5))</f>
        <v/>
      </c>
    </row>
    <row r="10027" spans="15:15" x14ac:dyDescent="0.25">
      <c r="O10027" s="20" t="str">
        <f>IF(N10027="","",COUNTIFS(RawData[[Date ]],N10027,RawData[Month List],$Q$6,RawData[Tour/Site],$Q$2,RawData[[Picker ID ]],$Q$3,RawData[Checker ID],$Q$4,RawData[[Error Type ]],$Q$5))</f>
        <v/>
      </c>
    </row>
    <row r="10028" spans="15:15" x14ac:dyDescent="0.25">
      <c r="O10028" s="20" t="str">
        <f>IF(N10028="","",COUNTIFS(RawData[[Date ]],N10028,RawData[Month List],$Q$6,RawData[Tour/Site],$Q$2,RawData[[Picker ID ]],$Q$3,RawData[Checker ID],$Q$4,RawData[[Error Type ]],$Q$5))</f>
        <v/>
      </c>
    </row>
    <row r="10029" spans="15:15" x14ac:dyDescent="0.25">
      <c r="O10029" s="20" t="str">
        <f>IF(N10029="","",COUNTIFS(RawData[[Date ]],N10029,RawData[Month List],$Q$6,RawData[Tour/Site],$Q$2,RawData[[Picker ID ]],$Q$3,RawData[Checker ID],$Q$4,RawData[[Error Type ]],$Q$5))</f>
        <v/>
      </c>
    </row>
    <row r="10030" spans="15:15" x14ac:dyDescent="0.25">
      <c r="O10030" s="20" t="str">
        <f>IF(N10030="","",COUNTIFS(RawData[[Date ]],N10030,RawData[Month List],$Q$6,RawData[Tour/Site],$Q$2,RawData[[Picker ID ]],$Q$3,RawData[Checker ID],$Q$4,RawData[[Error Type ]],$Q$5))</f>
        <v/>
      </c>
    </row>
    <row r="10031" spans="15:15" x14ac:dyDescent="0.25">
      <c r="O10031" s="20" t="str">
        <f>IF(N10031="","",COUNTIFS(RawData[[Date ]],N10031,RawData[Month List],$Q$6,RawData[Tour/Site],$Q$2,RawData[[Picker ID ]],$Q$3,RawData[Checker ID],$Q$4,RawData[[Error Type ]],$Q$5))</f>
        <v/>
      </c>
    </row>
    <row r="10032" spans="15:15" x14ac:dyDescent="0.25">
      <c r="O10032" s="20" t="str">
        <f>IF(N10032="","",COUNTIFS(RawData[[Date ]],N10032,RawData[Month List],$Q$6,RawData[Tour/Site],$Q$2,RawData[[Picker ID ]],$Q$3,RawData[Checker ID],$Q$4,RawData[[Error Type ]],$Q$5))</f>
        <v/>
      </c>
    </row>
    <row r="10033" spans="15:15" x14ac:dyDescent="0.25">
      <c r="O10033" s="20" t="str">
        <f>IF(N10033="","",COUNTIFS(RawData[[Date ]],N10033,RawData[Month List],$Q$6,RawData[Tour/Site],$Q$2,RawData[[Picker ID ]],$Q$3,RawData[Checker ID],$Q$4,RawData[[Error Type ]],$Q$5))</f>
        <v/>
      </c>
    </row>
    <row r="10034" spans="15:15" x14ac:dyDescent="0.25">
      <c r="O10034" s="20" t="str">
        <f>IF(N10034="","",COUNTIFS(RawData[[Date ]],N10034,RawData[Month List],$Q$6,RawData[Tour/Site],$Q$2,RawData[[Picker ID ]],$Q$3,RawData[Checker ID],$Q$4,RawData[[Error Type ]],$Q$5))</f>
        <v/>
      </c>
    </row>
    <row r="10035" spans="15:15" x14ac:dyDescent="0.25">
      <c r="O10035" s="20" t="str">
        <f>IF(N10035="","",COUNTIFS(RawData[[Date ]],N10035,RawData[Month List],$Q$6,RawData[Tour/Site],$Q$2,RawData[[Picker ID ]],$Q$3,RawData[Checker ID],$Q$4,RawData[[Error Type ]],$Q$5))</f>
        <v/>
      </c>
    </row>
    <row r="10036" spans="15:15" x14ac:dyDescent="0.25">
      <c r="O10036" s="20" t="str">
        <f>IF(N10036="","",COUNTIFS(RawData[[Date ]],N10036,RawData[Month List],$Q$6,RawData[Tour/Site],$Q$2,RawData[[Picker ID ]],$Q$3,RawData[Checker ID],$Q$4,RawData[[Error Type ]],$Q$5))</f>
        <v/>
      </c>
    </row>
    <row r="10037" spans="15:15" x14ac:dyDescent="0.25">
      <c r="O10037" s="20" t="str">
        <f>IF(N10037="","",COUNTIFS(RawData[[Date ]],N10037,RawData[Month List],$Q$6,RawData[Tour/Site],$Q$2,RawData[[Picker ID ]],$Q$3,RawData[Checker ID],$Q$4,RawData[[Error Type ]],$Q$5))</f>
        <v/>
      </c>
    </row>
    <row r="10038" spans="15:15" x14ac:dyDescent="0.25">
      <c r="O10038" s="20" t="str">
        <f>IF(N10038="","",COUNTIFS(RawData[[Date ]],N10038,RawData[Month List],$Q$6,RawData[Tour/Site],$Q$2,RawData[[Picker ID ]],$Q$3,RawData[Checker ID],$Q$4,RawData[[Error Type ]],$Q$5))</f>
        <v/>
      </c>
    </row>
    <row r="10039" spans="15:15" x14ac:dyDescent="0.25">
      <c r="O10039" s="20" t="str">
        <f>IF(N10039="","",COUNTIFS(RawData[[Date ]],N10039,RawData[Month List],$Q$6,RawData[Tour/Site],$Q$2,RawData[[Picker ID ]],$Q$3,RawData[Checker ID],$Q$4,RawData[[Error Type ]],$Q$5))</f>
        <v/>
      </c>
    </row>
    <row r="10040" spans="15:15" x14ac:dyDescent="0.25">
      <c r="O10040" s="20" t="str">
        <f>IF(N10040="","",COUNTIFS(RawData[[Date ]],N10040,RawData[Month List],$Q$6,RawData[Tour/Site],$Q$2,RawData[[Picker ID ]],$Q$3,RawData[Checker ID],$Q$4,RawData[[Error Type ]],$Q$5))</f>
        <v/>
      </c>
    </row>
    <row r="10041" spans="15:15" x14ac:dyDescent="0.25">
      <c r="O10041" s="20" t="str">
        <f>IF(N10041="","",COUNTIFS(RawData[[Date ]],N10041,RawData[Month List],$Q$6,RawData[Tour/Site],$Q$2,RawData[[Picker ID ]],$Q$3,RawData[Checker ID],$Q$4,RawData[[Error Type ]],$Q$5))</f>
        <v/>
      </c>
    </row>
    <row r="10042" spans="15:15" x14ac:dyDescent="0.25">
      <c r="O10042" s="20" t="str">
        <f>IF(N10042="","",COUNTIFS(RawData[[Date ]],N10042,RawData[Month List],$Q$6,RawData[Tour/Site],$Q$2,RawData[[Picker ID ]],$Q$3,RawData[Checker ID],$Q$4,RawData[[Error Type ]],$Q$5))</f>
        <v/>
      </c>
    </row>
    <row r="10043" spans="15:15" x14ac:dyDescent="0.25">
      <c r="O10043" s="20" t="str">
        <f>IF(N10043="","",COUNTIFS(RawData[[Date ]],N10043,RawData[Month List],$Q$6,RawData[Tour/Site],$Q$2,RawData[[Picker ID ]],$Q$3,RawData[Checker ID],$Q$4,RawData[[Error Type ]],$Q$5))</f>
        <v/>
      </c>
    </row>
    <row r="10044" spans="15:15" x14ac:dyDescent="0.25">
      <c r="O10044" s="20" t="str">
        <f>IF(N10044="","",COUNTIFS(RawData[[Date ]],N10044,RawData[Month List],$Q$6,RawData[Tour/Site],$Q$2,RawData[[Picker ID ]],$Q$3,RawData[Checker ID],$Q$4,RawData[[Error Type ]],$Q$5))</f>
        <v/>
      </c>
    </row>
    <row r="10045" spans="15:15" x14ac:dyDescent="0.25">
      <c r="O10045" s="20" t="str">
        <f>IF(N10045="","",COUNTIFS(RawData[[Date ]],N10045,RawData[Month List],$Q$6,RawData[Tour/Site],$Q$2,RawData[[Picker ID ]],$Q$3,RawData[Checker ID],$Q$4,RawData[[Error Type ]],$Q$5))</f>
        <v/>
      </c>
    </row>
    <row r="10046" spans="15:15" x14ac:dyDescent="0.25">
      <c r="O10046" s="20" t="str">
        <f>IF(N10046="","",COUNTIFS(RawData[[Date ]],N10046,RawData[Month List],$Q$6,RawData[Tour/Site],$Q$2,RawData[[Picker ID ]],$Q$3,RawData[Checker ID],$Q$4,RawData[[Error Type ]],$Q$5))</f>
        <v/>
      </c>
    </row>
    <row r="10047" spans="15:15" x14ac:dyDescent="0.25">
      <c r="O10047" s="20" t="str">
        <f>IF(N10047="","",COUNTIFS(RawData[[Date ]],N10047,RawData[Month List],$Q$6,RawData[Tour/Site],$Q$2,RawData[[Picker ID ]],$Q$3,RawData[Checker ID],$Q$4,RawData[[Error Type ]],$Q$5))</f>
        <v/>
      </c>
    </row>
    <row r="10048" spans="15:15" x14ac:dyDescent="0.25">
      <c r="O10048" s="20" t="str">
        <f>IF(N10048="","",COUNTIFS(RawData[[Date ]],N10048,RawData[Month List],$Q$6,RawData[Tour/Site],$Q$2,RawData[[Picker ID ]],$Q$3,RawData[Checker ID],$Q$4,RawData[[Error Type ]],$Q$5))</f>
        <v/>
      </c>
    </row>
    <row r="10049" spans="15:15" x14ac:dyDescent="0.25">
      <c r="O10049" s="20" t="str">
        <f>IF(N10049="","",COUNTIFS(RawData[[Date ]],N10049,RawData[Month List],$Q$6,RawData[Tour/Site],$Q$2,RawData[[Picker ID ]],$Q$3,RawData[Checker ID],$Q$4,RawData[[Error Type ]],$Q$5))</f>
        <v/>
      </c>
    </row>
    <row r="10050" spans="15:15" x14ac:dyDescent="0.25">
      <c r="O10050" s="20" t="str">
        <f>IF(N10050="","",COUNTIFS(RawData[[Date ]],N10050,RawData[Month List],$Q$6,RawData[Tour/Site],$Q$2,RawData[[Picker ID ]],$Q$3,RawData[Checker ID],$Q$4,RawData[[Error Type ]],$Q$5))</f>
        <v/>
      </c>
    </row>
    <row r="10051" spans="15:15" x14ac:dyDescent="0.25">
      <c r="O10051" s="20" t="str">
        <f>IF(N10051="","",COUNTIFS(RawData[[Date ]],N10051,RawData[Month List],$Q$6,RawData[Tour/Site],$Q$2,RawData[[Picker ID ]],$Q$3,RawData[Checker ID],$Q$4,RawData[[Error Type ]],$Q$5))</f>
        <v/>
      </c>
    </row>
    <row r="10052" spans="15:15" x14ac:dyDescent="0.25">
      <c r="O10052" s="20" t="str">
        <f>IF(N10052="","",COUNTIFS(RawData[[Date ]],N10052,RawData[Month List],$Q$6,RawData[Tour/Site],$Q$2,RawData[[Picker ID ]],$Q$3,RawData[Checker ID],$Q$4,RawData[[Error Type ]],$Q$5))</f>
        <v/>
      </c>
    </row>
    <row r="10053" spans="15:15" x14ac:dyDescent="0.25">
      <c r="O10053" s="20" t="str">
        <f>IF(N10053="","",COUNTIFS(RawData[[Date ]],N10053,RawData[Month List],$Q$6,RawData[Tour/Site],$Q$2,RawData[[Picker ID ]],$Q$3,RawData[Checker ID],$Q$4,RawData[[Error Type ]],$Q$5))</f>
        <v/>
      </c>
    </row>
    <row r="10054" spans="15:15" x14ac:dyDescent="0.25">
      <c r="O10054" s="20" t="str">
        <f>IF(N10054="","",COUNTIFS(RawData[[Date ]],N10054,RawData[Month List],$Q$6,RawData[Tour/Site],$Q$2,RawData[[Picker ID ]],$Q$3,RawData[Checker ID],$Q$4,RawData[[Error Type ]],$Q$5))</f>
        <v/>
      </c>
    </row>
    <row r="10055" spans="15:15" x14ac:dyDescent="0.25">
      <c r="O10055" s="20" t="str">
        <f>IF(N10055="","",COUNTIFS(RawData[[Date ]],N10055,RawData[Month List],$Q$6,RawData[Tour/Site],$Q$2,RawData[[Picker ID ]],$Q$3,RawData[Checker ID],$Q$4,RawData[[Error Type ]],$Q$5))</f>
        <v/>
      </c>
    </row>
    <row r="10056" spans="15:15" x14ac:dyDescent="0.25">
      <c r="O10056" s="20" t="str">
        <f>IF(N10056="","",COUNTIFS(RawData[[Date ]],N10056,RawData[Month List],$Q$6,RawData[Tour/Site],$Q$2,RawData[[Picker ID ]],$Q$3,RawData[Checker ID],$Q$4,RawData[[Error Type ]],$Q$5))</f>
        <v/>
      </c>
    </row>
    <row r="10057" spans="15:15" x14ac:dyDescent="0.25">
      <c r="O10057" s="20" t="str">
        <f>IF(N10057="","",COUNTIFS(RawData[[Date ]],N10057,RawData[Month List],$Q$6,RawData[Tour/Site],$Q$2,RawData[[Picker ID ]],$Q$3,RawData[Checker ID],$Q$4,RawData[[Error Type ]],$Q$5))</f>
        <v/>
      </c>
    </row>
    <row r="10058" spans="15:15" x14ac:dyDescent="0.25">
      <c r="O10058" s="20" t="str">
        <f>IF(N10058="","",COUNTIFS(RawData[[Date ]],N10058,RawData[Month List],$Q$6,RawData[Tour/Site],$Q$2,RawData[[Picker ID ]],$Q$3,RawData[Checker ID],$Q$4,RawData[[Error Type ]],$Q$5))</f>
        <v/>
      </c>
    </row>
    <row r="10059" spans="15:15" x14ac:dyDescent="0.25">
      <c r="O10059" s="20" t="str">
        <f>IF(N10059="","",COUNTIFS(RawData[[Date ]],N10059,RawData[Month List],$Q$6,RawData[Tour/Site],$Q$2,RawData[[Picker ID ]],$Q$3,RawData[Checker ID],$Q$4,RawData[[Error Type ]],$Q$5))</f>
        <v/>
      </c>
    </row>
    <row r="10060" spans="15:15" x14ac:dyDescent="0.25">
      <c r="O10060" s="20" t="str">
        <f>IF(N10060="","",COUNTIFS(RawData[[Date ]],N10060,RawData[Month List],$Q$6,RawData[Tour/Site],$Q$2,RawData[[Picker ID ]],$Q$3,RawData[Checker ID],$Q$4,RawData[[Error Type ]],$Q$5))</f>
        <v/>
      </c>
    </row>
    <row r="10061" spans="15:15" x14ac:dyDescent="0.25">
      <c r="O10061" s="20" t="str">
        <f>IF(N10061="","",COUNTIFS(RawData[[Date ]],N10061,RawData[Month List],$Q$6,RawData[Tour/Site],$Q$2,RawData[[Picker ID ]],$Q$3,RawData[Checker ID],$Q$4,RawData[[Error Type ]],$Q$5))</f>
        <v/>
      </c>
    </row>
    <row r="10062" spans="15:15" x14ac:dyDescent="0.25">
      <c r="O10062" s="20" t="str">
        <f>IF(N10062="","",COUNTIFS(RawData[[Date ]],N10062,RawData[Month List],$Q$6,RawData[Tour/Site],$Q$2,RawData[[Picker ID ]],$Q$3,RawData[Checker ID],$Q$4,RawData[[Error Type ]],$Q$5))</f>
        <v/>
      </c>
    </row>
    <row r="10063" spans="15:15" x14ac:dyDescent="0.25">
      <c r="O10063" s="20" t="str">
        <f>IF(N10063="","",COUNTIFS(RawData[[Date ]],N10063,RawData[Month List],$Q$6,RawData[Tour/Site],$Q$2,RawData[[Picker ID ]],$Q$3,RawData[Checker ID],$Q$4,RawData[[Error Type ]],$Q$5))</f>
        <v/>
      </c>
    </row>
    <row r="10064" spans="15:15" x14ac:dyDescent="0.25">
      <c r="O10064" s="20" t="str">
        <f>IF(N10064="","",COUNTIFS(RawData[[Date ]],N10064,RawData[Month List],$Q$6,RawData[Tour/Site],$Q$2,RawData[[Picker ID ]],$Q$3,RawData[Checker ID],$Q$4,RawData[[Error Type ]],$Q$5))</f>
        <v/>
      </c>
    </row>
    <row r="10065" spans="15:15" x14ac:dyDescent="0.25">
      <c r="O10065" s="20" t="str">
        <f>IF(N10065="","",COUNTIFS(RawData[[Date ]],N10065,RawData[Month List],$Q$6,RawData[Tour/Site],$Q$2,RawData[[Picker ID ]],$Q$3,RawData[Checker ID],$Q$4,RawData[[Error Type ]],$Q$5))</f>
        <v/>
      </c>
    </row>
    <row r="10066" spans="15:15" x14ac:dyDescent="0.25">
      <c r="O10066" s="20" t="str">
        <f>IF(N10066="","",COUNTIFS(RawData[[Date ]],N10066,RawData[Month List],$Q$6,RawData[Tour/Site],$Q$2,RawData[[Picker ID ]],$Q$3,RawData[Checker ID],$Q$4,RawData[[Error Type ]],$Q$5))</f>
        <v/>
      </c>
    </row>
    <row r="10067" spans="15:15" x14ac:dyDescent="0.25">
      <c r="O10067" s="20" t="str">
        <f>IF(N10067="","",COUNTIFS(RawData[[Date ]],N10067,RawData[Month List],$Q$6,RawData[Tour/Site],$Q$2,RawData[[Picker ID ]],$Q$3,RawData[Checker ID],$Q$4,RawData[[Error Type ]],$Q$5))</f>
        <v/>
      </c>
    </row>
    <row r="10068" spans="15:15" x14ac:dyDescent="0.25">
      <c r="O10068" s="20" t="str">
        <f>IF(N10068="","",COUNTIFS(RawData[[Date ]],N10068,RawData[Month List],$Q$6,RawData[Tour/Site],$Q$2,RawData[[Picker ID ]],$Q$3,RawData[Checker ID],$Q$4,RawData[[Error Type ]],$Q$5))</f>
        <v/>
      </c>
    </row>
    <row r="10069" spans="15:15" x14ac:dyDescent="0.25">
      <c r="O10069" s="20" t="str">
        <f>IF(N10069="","",COUNTIFS(RawData[[Date ]],N10069,RawData[Month List],$Q$6,RawData[Tour/Site],$Q$2,RawData[[Picker ID ]],$Q$3,RawData[Checker ID],$Q$4,RawData[[Error Type ]],$Q$5))</f>
        <v/>
      </c>
    </row>
    <row r="10070" spans="15:15" x14ac:dyDescent="0.25">
      <c r="O10070" s="20" t="str">
        <f>IF(N10070="","",COUNTIFS(RawData[[Date ]],N10070,RawData[Month List],$Q$6,RawData[Tour/Site],$Q$2,RawData[[Picker ID ]],$Q$3,RawData[Checker ID],$Q$4,RawData[[Error Type ]],$Q$5))</f>
        <v/>
      </c>
    </row>
    <row r="10071" spans="15:15" x14ac:dyDescent="0.25">
      <c r="O10071" s="20" t="str">
        <f>IF(N10071="","",COUNTIFS(RawData[[Date ]],N10071,RawData[Month List],$Q$6,RawData[Tour/Site],$Q$2,RawData[[Picker ID ]],$Q$3,RawData[Checker ID],$Q$4,RawData[[Error Type ]],$Q$5))</f>
        <v/>
      </c>
    </row>
    <row r="10072" spans="15:15" x14ac:dyDescent="0.25">
      <c r="O10072" s="20" t="str">
        <f>IF(N10072="","",COUNTIFS(RawData[[Date ]],N10072,RawData[Month List],$Q$6,RawData[Tour/Site],$Q$2,RawData[[Picker ID ]],$Q$3,RawData[Checker ID],$Q$4,RawData[[Error Type ]],$Q$5))</f>
        <v/>
      </c>
    </row>
    <row r="10073" spans="15:15" x14ac:dyDescent="0.25">
      <c r="O10073" s="20" t="str">
        <f>IF(N10073="","",COUNTIFS(RawData[[Date ]],N10073,RawData[Month List],$Q$6,RawData[Tour/Site],$Q$2,RawData[[Picker ID ]],$Q$3,RawData[Checker ID],$Q$4,RawData[[Error Type ]],$Q$5))</f>
        <v/>
      </c>
    </row>
    <row r="10074" spans="15:15" x14ac:dyDescent="0.25">
      <c r="O10074" s="20" t="str">
        <f>IF(N10074="","",COUNTIFS(RawData[[Date ]],N10074,RawData[Month List],$Q$6,RawData[Tour/Site],$Q$2,RawData[[Picker ID ]],$Q$3,RawData[Checker ID],$Q$4,RawData[[Error Type ]],$Q$5))</f>
        <v/>
      </c>
    </row>
    <row r="10075" spans="15:15" x14ac:dyDescent="0.25">
      <c r="O10075" s="20" t="str">
        <f>IF(N10075="","",COUNTIFS(RawData[[Date ]],N10075,RawData[Month List],$Q$6,RawData[Tour/Site],$Q$2,RawData[[Picker ID ]],$Q$3,RawData[Checker ID],$Q$4,RawData[[Error Type ]],$Q$5))</f>
        <v/>
      </c>
    </row>
    <row r="10076" spans="15:15" x14ac:dyDescent="0.25">
      <c r="O10076" s="20" t="str">
        <f>IF(N10076="","",COUNTIFS(RawData[[Date ]],N10076,RawData[Month List],$Q$6,RawData[Tour/Site],$Q$2,RawData[[Picker ID ]],$Q$3,RawData[Checker ID],$Q$4,RawData[[Error Type ]],$Q$5))</f>
        <v/>
      </c>
    </row>
    <row r="10077" spans="15:15" x14ac:dyDescent="0.25">
      <c r="O10077" s="20" t="str">
        <f>IF(N10077="","",COUNTIFS(RawData[[Date ]],N10077,RawData[Month List],$Q$6,RawData[Tour/Site],$Q$2,RawData[[Picker ID ]],$Q$3,RawData[Checker ID],$Q$4,RawData[[Error Type ]],$Q$5))</f>
        <v/>
      </c>
    </row>
    <row r="10078" spans="15:15" x14ac:dyDescent="0.25">
      <c r="O10078" s="20" t="str">
        <f>IF(N10078="","",COUNTIFS(RawData[[Date ]],N10078,RawData[Month List],$Q$6,RawData[Tour/Site],$Q$2,RawData[[Picker ID ]],$Q$3,RawData[Checker ID],$Q$4,RawData[[Error Type ]],$Q$5))</f>
        <v/>
      </c>
    </row>
    <row r="10079" spans="15:15" x14ac:dyDescent="0.25">
      <c r="O10079" s="20" t="str">
        <f>IF(N10079="","",COUNTIFS(RawData[[Date ]],N10079,RawData[Month List],$Q$6,RawData[Tour/Site],$Q$2,RawData[[Picker ID ]],$Q$3,RawData[Checker ID],$Q$4,RawData[[Error Type ]],$Q$5))</f>
        <v/>
      </c>
    </row>
    <row r="10080" spans="15:15" x14ac:dyDescent="0.25">
      <c r="O10080" s="20" t="str">
        <f>IF(N10080="","",COUNTIFS(RawData[[Date ]],N10080,RawData[Month List],$Q$6,RawData[Tour/Site],$Q$2,RawData[[Picker ID ]],$Q$3,RawData[Checker ID],$Q$4,RawData[[Error Type ]],$Q$5))</f>
        <v/>
      </c>
    </row>
    <row r="10081" spans="15:15" x14ac:dyDescent="0.25">
      <c r="O10081" s="20" t="str">
        <f>IF(N10081="","",COUNTIFS(RawData[[Date ]],N10081,RawData[Month List],$Q$6,RawData[Tour/Site],$Q$2,RawData[[Picker ID ]],$Q$3,RawData[Checker ID],$Q$4,RawData[[Error Type ]],$Q$5))</f>
        <v/>
      </c>
    </row>
    <row r="10082" spans="15:15" x14ac:dyDescent="0.25">
      <c r="O10082" s="20" t="str">
        <f>IF(N10082="","",COUNTIFS(RawData[[Date ]],N10082,RawData[Month List],$Q$6,RawData[Tour/Site],$Q$2,RawData[[Picker ID ]],$Q$3,RawData[Checker ID],$Q$4,RawData[[Error Type ]],$Q$5))</f>
        <v/>
      </c>
    </row>
    <row r="10083" spans="15:15" x14ac:dyDescent="0.25">
      <c r="O10083" s="20" t="str">
        <f>IF(N10083="","",COUNTIFS(RawData[[Date ]],N10083,RawData[Month List],$Q$6,RawData[Tour/Site],$Q$2,RawData[[Picker ID ]],$Q$3,RawData[Checker ID],$Q$4,RawData[[Error Type ]],$Q$5))</f>
        <v/>
      </c>
    </row>
    <row r="10084" spans="15:15" x14ac:dyDescent="0.25">
      <c r="O10084" s="20" t="str">
        <f>IF(N10084="","",COUNTIFS(RawData[[Date ]],N10084,RawData[Month List],$Q$6,RawData[Tour/Site],$Q$2,RawData[[Picker ID ]],$Q$3,RawData[Checker ID],$Q$4,RawData[[Error Type ]],$Q$5))</f>
        <v/>
      </c>
    </row>
    <row r="10085" spans="15:15" x14ac:dyDescent="0.25">
      <c r="O10085" s="20" t="str">
        <f>IF(N10085="","",COUNTIFS(RawData[[Date ]],N10085,RawData[Month List],$Q$6,RawData[Tour/Site],$Q$2,RawData[[Picker ID ]],$Q$3,RawData[Checker ID],$Q$4,RawData[[Error Type ]],$Q$5))</f>
        <v/>
      </c>
    </row>
    <row r="10086" spans="15:15" x14ac:dyDescent="0.25">
      <c r="O10086" s="20" t="str">
        <f>IF(N10086="","",COUNTIFS(RawData[[Date ]],N10086,RawData[Month List],$Q$6,RawData[Tour/Site],$Q$2,RawData[[Picker ID ]],$Q$3,RawData[Checker ID],$Q$4,RawData[[Error Type ]],$Q$5))</f>
        <v/>
      </c>
    </row>
    <row r="10087" spans="15:15" x14ac:dyDescent="0.25">
      <c r="O10087" s="20" t="str">
        <f>IF(N10087="","",COUNTIFS(RawData[[Date ]],N10087,RawData[Month List],$Q$6,RawData[Tour/Site],$Q$2,RawData[[Picker ID ]],$Q$3,RawData[Checker ID],$Q$4,RawData[[Error Type ]],$Q$5))</f>
        <v/>
      </c>
    </row>
    <row r="10088" spans="15:15" x14ac:dyDescent="0.25">
      <c r="O10088" s="20" t="str">
        <f>IF(N10088="","",COUNTIFS(RawData[[Date ]],N10088,RawData[Month List],$Q$6,RawData[Tour/Site],$Q$2,RawData[[Picker ID ]],$Q$3,RawData[Checker ID],$Q$4,RawData[[Error Type ]],$Q$5))</f>
        <v/>
      </c>
    </row>
    <row r="10089" spans="15:15" x14ac:dyDescent="0.25">
      <c r="O10089" s="20" t="str">
        <f>IF(N10089="","",COUNTIFS(RawData[[Date ]],N10089,RawData[Month List],$Q$6,RawData[Tour/Site],$Q$2,RawData[[Picker ID ]],$Q$3,RawData[Checker ID],$Q$4,RawData[[Error Type ]],$Q$5))</f>
        <v/>
      </c>
    </row>
    <row r="10090" spans="15:15" x14ac:dyDescent="0.25">
      <c r="O10090" s="20" t="str">
        <f>IF(N10090="","",COUNTIFS(RawData[[Date ]],N10090,RawData[Month List],$Q$6,RawData[Tour/Site],$Q$2,RawData[[Picker ID ]],$Q$3,RawData[Checker ID],$Q$4,RawData[[Error Type ]],$Q$5))</f>
        <v/>
      </c>
    </row>
    <row r="10091" spans="15:15" x14ac:dyDescent="0.25">
      <c r="O10091" s="20" t="str">
        <f>IF(N10091="","",COUNTIFS(RawData[[Date ]],N10091,RawData[Month List],$Q$6,RawData[Tour/Site],$Q$2,RawData[[Picker ID ]],$Q$3,RawData[Checker ID],$Q$4,RawData[[Error Type ]],$Q$5))</f>
        <v/>
      </c>
    </row>
    <row r="10092" spans="15:15" x14ac:dyDescent="0.25">
      <c r="O10092" s="20" t="str">
        <f>IF(N10092="","",COUNTIFS(RawData[[Date ]],N10092,RawData[Month List],$Q$6,RawData[Tour/Site],$Q$2,RawData[[Picker ID ]],$Q$3,RawData[Checker ID],$Q$4,RawData[[Error Type ]],$Q$5))</f>
        <v/>
      </c>
    </row>
    <row r="10093" spans="15:15" x14ac:dyDescent="0.25">
      <c r="O10093" s="20" t="str">
        <f>IF(N10093="","",COUNTIFS(RawData[[Date ]],N10093,RawData[Month List],$Q$6,RawData[Tour/Site],$Q$2,RawData[[Picker ID ]],$Q$3,RawData[Checker ID],$Q$4,RawData[[Error Type ]],$Q$5))</f>
        <v/>
      </c>
    </row>
    <row r="10094" spans="15:15" x14ac:dyDescent="0.25">
      <c r="O10094" s="20" t="str">
        <f>IF(N10094="","",COUNTIFS(RawData[[Date ]],N10094,RawData[Month List],$Q$6,RawData[Tour/Site],$Q$2,RawData[[Picker ID ]],$Q$3,RawData[Checker ID],$Q$4,RawData[[Error Type ]],$Q$5))</f>
        <v/>
      </c>
    </row>
    <row r="10095" spans="15:15" x14ac:dyDescent="0.25">
      <c r="O10095" s="20" t="str">
        <f>IF(N10095="","",COUNTIFS(RawData[[Date ]],N10095,RawData[Month List],$Q$6,RawData[Tour/Site],$Q$2,RawData[[Picker ID ]],$Q$3,RawData[Checker ID],$Q$4,RawData[[Error Type ]],$Q$5))</f>
        <v/>
      </c>
    </row>
    <row r="10096" spans="15:15" x14ac:dyDescent="0.25">
      <c r="O10096" s="20" t="str">
        <f>IF(N10096="","",COUNTIFS(RawData[[Date ]],N10096,RawData[Month List],$Q$6,RawData[Tour/Site],$Q$2,RawData[[Picker ID ]],$Q$3,RawData[Checker ID],$Q$4,RawData[[Error Type ]],$Q$5))</f>
        <v/>
      </c>
    </row>
    <row r="10097" spans="15:15" x14ac:dyDescent="0.25">
      <c r="O10097" s="20" t="str">
        <f>IF(N10097="","",COUNTIFS(RawData[[Date ]],N10097,RawData[Month List],$Q$6,RawData[Tour/Site],$Q$2,RawData[[Picker ID ]],$Q$3,RawData[Checker ID],$Q$4,RawData[[Error Type ]],$Q$5))</f>
        <v/>
      </c>
    </row>
    <row r="10098" spans="15:15" x14ac:dyDescent="0.25">
      <c r="O10098" s="20" t="str">
        <f>IF(N10098="","",COUNTIFS(RawData[[Date ]],N10098,RawData[Month List],$Q$6,RawData[Tour/Site],$Q$2,RawData[[Picker ID ]],$Q$3,RawData[Checker ID],$Q$4,RawData[[Error Type ]],$Q$5))</f>
        <v/>
      </c>
    </row>
    <row r="10099" spans="15:15" x14ac:dyDescent="0.25">
      <c r="O10099" s="20" t="str">
        <f>IF(N10099="","",COUNTIFS(RawData[[Date ]],N10099,RawData[Month List],$Q$6,RawData[Tour/Site],$Q$2,RawData[[Picker ID ]],$Q$3,RawData[Checker ID],$Q$4,RawData[[Error Type ]],$Q$5))</f>
        <v/>
      </c>
    </row>
    <row r="10100" spans="15:15" x14ac:dyDescent="0.25">
      <c r="O10100" s="20" t="str">
        <f>IF(N10100="","",COUNTIFS(RawData[[Date ]],N10100,RawData[Month List],$Q$6,RawData[Tour/Site],$Q$2,RawData[[Picker ID ]],$Q$3,RawData[Checker ID],$Q$4,RawData[[Error Type ]],$Q$5))</f>
        <v/>
      </c>
    </row>
    <row r="10101" spans="15:15" x14ac:dyDescent="0.25">
      <c r="O10101" s="20" t="str">
        <f>IF(N10101="","",COUNTIFS(RawData[[Date ]],N10101,RawData[Month List],$Q$6,RawData[Tour/Site],$Q$2,RawData[[Picker ID ]],$Q$3,RawData[Checker ID],$Q$4,RawData[[Error Type ]],$Q$5))</f>
        <v/>
      </c>
    </row>
    <row r="10102" spans="15:15" x14ac:dyDescent="0.25">
      <c r="O10102" s="20" t="str">
        <f>IF(N10102="","",COUNTIFS(RawData[[Date ]],N10102,RawData[Month List],$Q$6,RawData[Tour/Site],$Q$2,RawData[[Picker ID ]],$Q$3,RawData[Checker ID],$Q$4,RawData[[Error Type ]],$Q$5))</f>
        <v/>
      </c>
    </row>
    <row r="10103" spans="15:15" x14ac:dyDescent="0.25">
      <c r="O10103" s="20" t="str">
        <f>IF(N10103="","",COUNTIFS(RawData[[Date ]],N10103,RawData[Month List],$Q$6,RawData[Tour/Site],$Q$2,RawData[[Picker ID ]],$Q$3,RawData[Checker ID],$Q$4,RawData[[Error Type ]],$Q$5))</f>
        <v/>
      </c>
    </row>
    <row r="10104" spans="15:15" x14ac:dyDescent="0.25">
      <c r="O10104" s="20" t="str">
        <f>IF(N10104="","",COUNTIFS(RawData[[Date ]],N10104,RawData[Month List],$Q$6,RawData[Tour/Site],$Q$2,RawData[[Picker ID ]],$Q$3,RawData[Checker ID],$Q$4,RawData[[Error Type ]],$Q$5))</f>
        <v/>
      </c>
    </row>
    <row r="10105" spans="15:15" x14ac:dyDescent="0.25">
      <c r="O10105" s="20" t="str">
        <f>IF(N10105="","",COUNTIFS(RawData[[Date ]],N10105,RawData[Month List],$Q$6,RawData[Tour/Site],$Q$2,RawData[[Picker ID ]],$Q$3,RawData[Checker ID],$Q$4,RawData[[Error Type ]],$Q$5))</f>
        <v/>
      </c>
    </row>
    <row r="10106" spans="15:15" x14ac:dyDescent="0.25">
      <c r="O10106" s="20" t="str">
        <f>IF(N10106="","",COUNTIFS(RawData[[Date ]],N10106,RawData[Month List],$Q$6,RawData[Tour/Site],$Q$2,RawData[[Picker ID ]],$Q$3,RawData[Checker ID],$Q$4,RawData[[Error Type ]],$Q$5))</f>
        <v/>
      </c>
    </row>
    <row r="10107" spans="15:15" x14ac:dyDescent="0.25">
      <c r="O10107" s="20" t="str">
        <f>IF(N10107="","",COUNTIFS(RawData[[Date ]],N10107,RawData[Month List],$Q$6,RawData[Tour/Site],$Q$2,RawData[[Picker ID ]],$Q$3,RawData[Checker ID],$Q$4,RawData[[Error Type ]],$Q$5))</f>
        <v/>
      </c>
    </row>
    <row r="10108" spans="15:15" x14ac:dyDescent="0.25">
      <c r="O10108" s="20" t="str">
        <f>IF(N10108="","",COUNTIFS(RawData[[Date ]],N10108,RawData[Month List],$Q$6,RawData[Tour/Site],$Q$2,RawData[[Picker ID ]],$Q$3,RawData[Checker ID],$Q$4,RawData[[Error Type ]],$Q$5))</f>
        <v/>
      </c>
    </row>
    <row r="10109" spans="15:15" x14ac:dyDescent="0.25">
      <c r="O10109" s="20" t="str">
        <f>IF(N10109="","",COUNTIFS(RawData[[Date ]],N10109,RawData[Month List],$Q$6,RawData[Tour/Site],$Q$2,RawData[[Picker ID ]],$Q$3,RawData[Checker ID],$Q$4,RawData[[Error Type ]],$Q$5))</f>
        <v/>
      </c>
    </row>
    <row r="10110" spans="15:15" x14ac:dyDescent="0.25">
      <c r="O10110" s="20" t="str">
        <f>IF(N10110="","",COUNTIFS(RawData[[Date ]],N10110,RawData[Month List],$Q$6,RawData[Tour/Site],$Q$2,RawData[[Picker ID ]],$Q$3,RawData[Checker ID],$Q$4,RawData[[Error Type ]],$Q$5))</f>
        <v/>
      </c>
    </row>
    <row r="10111" spans="15:15" x14ac:dyDescent="0.25">
      <c r="O10111" s="20" t="str">
        <f>IF(N10111="","",COUNTIFS(RawData[[Date ]],N10111,RawData[Month List],$Q$6,RawData[Tour/Site],$Q$2,RawData[[Picker ID ]],$Q$3,RawData[Checker ID],$Q$4,RawData[[Error Type ]],$Q$5))</f>
        <v/>
      </c>
    </row>
    <row r="10112" spans="15:15" x14ac:dyDescent="0.25">
      <c r="O10112" s="20" t="str">
        <f>IF(N10112="","",COUNTIFS(RawData[[Date ]],N10112,RawData[Month List],$Q$6,RawData[Tour/Site],$Q$2,RawData[[Picker ID ]],$Q$3,RawData[Checker ID],$Q$4,RawData[[Error Type ]],$Q$5))</f>
        <v/>
      </c>
    </row>
    <row r="10113" spans="15:15" x14ac:dyDescent="0.25">
      <c r="O10113" s="20" t="str">
        <f>IF(N10113="","",COUNTIFS(RawData[[Date ]],N10113,RawData[Month List],$Q$6,RawData[Tour/Site],$Q$2,RawData[[Picker ID ]],$Q$3,RawData[Checker ID],$Q$4,RawData[[Error Type ]],$Q$5))</f>
        <v/>
      </c>
    </row>
    <row r="10114" spans="15:15" x14ac:dyDescent="0.25">
      <c r="O10114" s="20" t="str">
        <f>IF(N10114="","",COUNTIFS(RawData[[Date ]],N10114,RawData[Month List],$Q$6,RawData[Tour/Site],$Q$2,RawData[[Picker ID ]],$Q$3,RawData[Checker ID],$Q$4,RawData[[Error Type ]],$Q$5))</f>
        <v/>
      </c>
    </row>
    <row r="10115" spans="15:15" x14ac:dyDescent="0.25">
      <c r="O10115" s="20" t="str">
        <f>IF(N10115="","",COUNTIFS(RawData[[Date ]],N10115,RawData[Month List],$Q$6,RawData[Tour/Site],$Q$2,RawData[[Picker ID ]],$Q$3,RawData[Checker ID],$Q$4,RawData[[Error Type ]],$Q$5))</f>
        <v/>
      </c>
    </row>
    <row r="10116" spans="15:15" x14ac:dyDescent="0.25">
      <c r="O10116" s="20" t="str">
        <f>IF(N10116="","",COUNTIFS(RawData[[Date ]],N10116,RawData[Month List],$Q$6,RawData[Tour/Site],$Q$2,RawData[[Picker ID ]],$Q$3,RawData[Checker ID],$Q$4,RawData[[Error Type ]],$Q$5))</f>
        <v/>
      </c>
    </row>
    <row r="10117" spans="15:15" x14ac:dyDescent="0.25">
      <c r="O10117" s="20" t="str">
        <f>IF(N10117="","",COUNTIFS(RawData[[Date ]],N10117,RawData[Month List],$Q$6,RawData[Tour/Site],$Q$2,RawData[[Picker ID ]],$Q$3,RawData[Checker ID],$Q$4,RawData[[Error Type ]],$Q$5))</f>
        <v/>
      </c>
    </row>
    <row r="10118" spans="15:15" x14ac:dyDescent="0.25">
      <c r="O10118" s="20" t="str">
        <f>IF(N10118="","",COUNTIFS(RawData[[Date ]],N10118,RawData[Month List],$Q$6,RawData[Tour/Site],$Q$2,RawData[[Picker ID ]],$Q$3,RawData[Checker ID],$Q$4,RawData[[Error Type ]],$Q$5))</f>
        <v/>
      </c>
    </row>
    <row r="10119" spans="15:15" x14ac:dyDescent="0.25">
      <c r="O10119" s="20" t="str">
        <f>IF(N10119="","",COUNTIFS(RawData[[Date ]],N10119,RawData[Month List],$Q$6,RawData[Tour/Site],$Q$2,RawData[[Picker ID ]],$Q$3,RawData[Checker ID],$Q$4,RawData[[Error Type ]],$Q$5))</f>
        <v/>
      </c>
    </row>
    <row r="10120" spans="15:15" x14ac:dyDescent="0.25">
      <c r="O10120" s="20" t="str">
        <f>IF(N10120="","",COUNTIFS(RawData[[Date ]],N10120,RawData[Month List],$Q$6,RawData[Tour/Site],$Q$2,RawData[[Picker ID ]],$Q$3,RawData[Checker ID],$Q$4,RawData[[Error Type ]],$Q$5))</f>
        <v/>
      </c>
    </row>
    <row r="10121" spans="15:15" x14ac:dyDescent="0.25">
      <c r="O10121" s="20" t="str">
        <f>IF(N10121="","",COUNTIFS(RawData[[Date ]],N10121,RawData[Month List],$Q$6,RawData[Tour/Site],$Q$2,RawData[[Picker ID ]],$Q$3,RawData[Checker ID],$Q$4,RawData[[Error Type ]],$Q$5))</f>
        <v/>
      </c>
    </row>
    <row r="10122" spans="15:15" x14ac:dyDescent="0.25">
      <c r="O10122" s="20" t="str">
        <f>IF(N10122="","",COUNTIFS(RawData[[Date ]],N10122,RawData[Month List],$Q$6,RawData[Tour/Site],$Q$2,RawData[[Picker ID ]],$Q$3,RawData[Checker ID],$Q$4,RawData[[Error Type ]],$Q$5))</f>
        <v/>
      </c>
    </row>
    <row r="10123" spans="15:15" x14ac:dyDescent="0.25">
      <c r="O10123" s="20" t="str">
        <f>IF(N10123="","",COUNTIFS(RawData[[Date ]],N10123,RawData[Month List],$Q$6,RawData[Tour/Site],$Q$2,RawData[[Picker ID ]],$Q$3,RawData[Checker ID],$Q$4,RawData[[Error Type ]],$Q$5))</f>
        <v/>
      </c>
    </row>
    <row r="10124" spans="15:15" x14ac:dyDescent="0.25">
      <c r="O10124" s="20" t="str">
        <f>IF(N10124="","",COUNTIFS(RawData[[Date ]],N10124,RawData[Month List],$Q$6,RawData[Tour/Site],$Q$2,RawData[[Picker ID ]],$Q$3,RawData[Checker ID],$Q$4,RawData[[Error Type ]],$Q$5))</f>
        <v/>
      </c>
    </row>
    <row r="10125" spans="15:15" x14ac:dyDescent="0.25">
      <c r="O10125" s="20" t="str">
        <f>IF(N10125="","",COUNTIFS(RawData[[Date ]],N10125,RawData[Month List],$Q$6,RawData[Tour/Site],$Q$2,RawData[[Picker ID ]],$Q$3,RawData[Checker ID],$Q$4,RawData[[Error Type ]],$Q$5))</f>
        <v/>
      </c>
    </row>
    <row r="10126" spans="15:15" x14ac:dyDescent="0.25">
      <c r="O10126" s="20" t="str">
        <f>IF(N10126="","",COUNTIFS(RawData[[Date ]],N10126,RawData[Month List],$Q$6,RawData[Tour/Site],$Q$2,RawData[[Picker ID ]],$Q$3,RawData[Checker ID],$Q$4,RawData[[Error Type ]],$Q$5))</f>
        <v/>
      </c>
    </row>
    <row r="10127" spans="15:15" x14ac:dyDescent="0.25">
      <c r="O10127" s="20" t="str">
        <f>IF(N10127="","",COUNTIFS(RawData[[Date ]],N10127,RawData[Month List],$Q$6,RawData[Tour/Site],$Q$2,RawData[[Picker ID ]],$Q$3,RawData[Checker ID],$Q$4,RawData[[Error Type ]],$Q$5))</f>
        <v/>
      </c>
    </row>
    <row r="10128" spans="15:15" x14ac:dyDescent="0.25">
      <c r="O10128" s="20" t="str">
        <f>IF(N10128="","",COUNTIFS(RawData[[Date ]],N10128,RawData[Month List],$Q$6,RawData[Tour/Site],$Q$2,RawData[[Picker ID ]],$Q$3,RawData[Checker ID],$Q$4,RawData[[Error Type ]],$Q$5))</f>
        <v/>
      </c>
    </row>
    <row r="10129" spans="15:15" x14ac:dyDescent="0.25">
      <c r="O10129" s="20" t="str">
        <f>IF(N10129="","",COUNTIFS(RawData[[Date ]],N10129,RawData[Month List],$Q$6,RawData[Tour/Site],$Q$2,RawData[[Picker ID ]],$Q$3,RawData[Checker ID],$Q$4,RawData[[Error Type ]],$Q$5))</f>
        <v/>
      </c>
    </row>
    <row r="10130" spans="15:15" x14ac:dyDescent="0.25">
      <c r="O10130" s="20" t="str">
        <f>IF(N10130="","",COUNTIFS(RawData[[Date ]],N10130,RawData[Month List],$Q$6,RawData[Tour/Site],$Q$2,RawData[[Picker ID ]],$Q$3,RawData[Checker ID],$Q$4,RawData[[Error Type ]],$Q$5))</f>
        <v/>
      </c>
    </row>
    <row r="10131" spans="15:15" x14ac:dyDescent="0.25">
      <c r="O10131" s="20" t="str">
        <f>IF(N10131="","",COUNTIFS(RawData[[Date ]],N10131,RawData[Month List],$Q$6,RawData[Tour/Site],$Q$2,RawData[[Picker ID ]],$Q$3,RawData[Checker ID],$Q$4,RawData[[Error Type ]],$Q$5))</f>
        <v/>
      </c>
    </row>
    <row r="10132" spans="15:15" x14ac:dyDescent="0.25">
      <c r="O10132" s="20" t="str">
        <f>IF(N10132="","",COUNTIFS(RawData[[Date ]],N10132,RawData[Month List],$Q$6,RawData[Tour/Site],$Q$2,RawData[[Picker ID ]],$Q$3,RawData[Checker ID],$Q$4,RawData[[Error Type ]],$Q$5))</f>
        <v/>
      </c>
    </row>
    <row r="10133" spans="15:15" x14ac:dyDescent="0.25">
      <c r="O10133" s="20" t="str">
        <f>IF(N10133="","",COUNTIFS(RawData[[Date ]],N10133,RawData[Month List],$Q$6,RawData[Tour/Site],$Q$2,RawData[[Picker ID ]],$Q$3,RawData[Checker ID],$Q$4,RawData[[Error Type ]],$Q$5))</f>
        <v/>
      </c>
    </row>
    <row r="10134" spans="15:15" x14ac:dyDescent="0.25">
      <c r="O10134" s="20" t="str">
        <f>IF(N10134="","",COUNTIFS(RawData[[Date ]],N10134,RawData[Month List],$Q$6,RawData[Tour/Site],$Q$2,RawData[[Picker ID ]],$Q$3,RawData[Checker ID],$Q$4,RawData[[Error Type ]],$Q$5))</f>
        <v/>
      </c>
    </row>
    <row r="10135" spans="15:15" x14ac:dyDescent="0.25">
      <c r="O10135" s="20" t="str">
        <f>IF(N10135="","",COUNTIFS(RawData[[Date ]],N10135,RawData[Month List],$Q$6,RawData[Tour/Site],$Q$2,RawData[[Picker ID ]],$Q$3,RawData[Checker ID],$Q$4,RawData[[Error Type ]],$Q$5))</f>
        <v/>
      </c>
    </row>
    <row r="10136" spans="15:15" x14ac:dyDescent="0.25">
      <c r="O10136" s="20" t="str">
        <f>IF(N10136="","",COUNTIFS(RawData[[Date ]],N10136,RawData[Month List],$Q$6,RawData[Tour/Site],$Q$2,RawData[[Picker ID ]],$Q$3,RawData[Checker ID],$Q$4,RawData[[Error Type ]],$Q$5))</f>
        <v/>
      </c>
    </row>
    <row r="10137" spans="15:15" x14ac:dyDescent="0.25">
      <c r="O10137" s="20" t="str">
        <f>IF(N10137="","",COUNTIFS(RawData[[Date ]],N10137,RawData[Month List],$Q$6,RawData[Tour/Site],$Q$2,RawData[[Picker ID ]],$Q$3,RawData[Checker ID],$Q$4,RawData[[Error Type ]],$Q$5))</f>
        <v/>
      </c>
    </row>
    <row r="10138" spans="15:15" x14ac:dyDescent="0.25">
      <c r="O10138" s="20" t="str">
        <f>IF(N10138="","",COUNTIFS(RawData[[Date ]],N10138,RawData[Month List],$Q$6,RawData[Tour/Site],$Q$2,RawData[[Picker ID ]],$Q$3,RawData[Checker ID],$Q$4,RawData[[Error Type ]],$Q$5))</f>
        <v/>
      </c>
    </row>
    <row r="10139" spans="15:15" x14ac:dyDescent="0.25">
      <c r="O10139" s="20" t="str">
        <f>IF(N10139="","",COUNTIFS(RawData[[Date ]],N10139,RawData[Month List],$Q$6,RawData[Tour/Site],$Q$2,RawData[[Picker ID ]],$Q$3,RawData[Checker ID],$Q$4,RawData[[Error Type ]],$Q$5))</f>
        <v/>
      </c>
    </row>
    <row r="10140" spans="15:15" x14ac:dyDescent="0.25">
      <c r="O10140" s="20" t="str">
        <f>IF(N10140="","",COUNTIFS(RawData[[Date ]],N10140,RawData[Month List],$Q$6,RawData[Tour/Site],$Q$2,RawData[[Picker ID ]],$Q$3,RawData[Checker ID],$Q$4,RawData[[Error Type ]],$Q$5))</f>
        <v/>
      </c>
    </row>
    <row r="10141" spans="15:15" x14ac:dyDescent="0.25">
      <c r="O10141" s="20" t="str">
        <f>IF(N10141="","",COUNTIFS(RawData[[Date ]],N10141,RawData[Month List],$Q$6,RawData[Tour/Site],$Q$2,RawData[[Picker ID ]],$Q$3,RawData[Checker ID],$Q$4,RawData[[Error Type ]],$Q$5))</f>
        <v/>
      </c>
    </row>
    <row r="10142" spans="15:15" x14ac:dyDescent="0.25">
      <c r="O10142" s="20" t="str">
        <f>IF(N10142="","",COUNTIFS(RawData[[Date ]],N10142,RawData[Month List],$Q$6,RawData[Tour/Site],$Q$2,RawData[[Picker ID ]],$Q$3,RawData[Checker ID],$Q$4,RawData[[Error Type ]],$Q$5))</f>
        <v/>
      </c>
    </row>
    <row r="10143" spans="15:15" x14ac:dyDescent="0.25">
      <c r="O10143" s="20" t="str">
        <f>IF(N10143="","",COUNTIFS(RawData[[Date ]],N10143,RawData[Month List],$Q$6,RawData[Tour/Site],$Q$2,RawData[[Picker ID ]],$Q$3,RawData[Checker ID],$Q$4,RawData[[Error Type ]],$Q$5))</f>
        <v/>
      </c>
    </row>
    <row r="10144" spans="15:15" x14ac:dyDescent="0.25">
      <c r="O10144" s="20" t="str">
        <f>IF(N10144="","",COUNTIFS(RawData[[Date ]],N10144,RawData[Month List],$Q$6,RawData[Tour/Site],$Q$2,RawData[[Picker ID ]],$Q$3,RawData[Checker ID],$Q$4,RawData[[Error Type ]],$Q$5))</f>
        <v/>
      </c>
    </row>
    <row r="10145" spans="15:15" x14ac:dyDescent="0.25">
      <c r="O10145" s="20" t="str">
        <f>IF(N10145="","",COUNTIFS(RawData[[Date ]],N10145,RawData[Month List],$Q$6,RawData[Tour/Site],$Q$2,RawData[[Picker ID ]],$Q$3,RawData[Checker ID],$Q$4,RawData[[Error Type ]],$Q$5))</f>
        <v/>
      </c>
    </row>
    <row r="10146" spans="15:15" x14ac:dyDescent="0.25">
      <c r="O10146" s="20" t="str">
        <f>IF(N10146="","",COUNTIFS(RawData[[Date ]],N10146,RawData[Month List],$Q$6,RawData[Tour/Site],$Q$2,RawData[[Picker ID ]],$Q$3,RawData[Checker ID],$Q$4,RawData[[Error Type ]],$Q$5))</f>
        <v/>
      </c>
    </row>
    <row r="10147" spans="15:15" x14ac:dyDescent="0.25">
      <c r="O10147" s="20" t="str">
        <f>IF(N10147="","",COUNTIFS(RawData[[Date ]],N10147,RawData[Month List],$Q$6,RawData[Tour/Site],$Q$2,RawData[[Picker ID ]],$Q$3,RawData[Checker ID],$Q$4,RawData[[Error Type ]],$Q$5))</f>
        <v/>
      </c>
    </row>
    <row r="10148" spans="15:15" x14ac:dyDescent="0.25">
      <c r="O10148" s="20" t="str">
        <f>IF(N10148="","",COUNTIFS(RawData[[Date ]],N10148,RawData[Month List],$Q$6,RawData[Tour/Site],$Q$2,RawData[[Picker ID ]],$Q$3,RawData[Checker ID],$Q$4,RawData[[Error Type ]],$Q$5))</f>
        <v/>
      </c>
    </row>
    <row r="10149" spans="15:15" x14ac:dyDescent="0.25">
      <c r="O10149" s="20" t="str">
        <f>IF(N10149="","",COUNTIFS(RawData[[Date ]],N10149,RawData[Month List],$Q$6,RawData[Tour/Site],$Q$2,RawData[[Picker ID ]],$Q$3,RawData[Checker ID],$Q$4,RawData[[Error Type ]],$Q$5))</f>
        <v/>
      </c>
    </row>
    <row r="10150" spans="15:15" x14ac:dyDescent="0.25">
      <c r="O10150" s="20" t="str">
        <f>IF(N10150="","",COUNTIFS(RawData[[Date ]],N10150,RawData[Month List],$Q$6,RawData[Tour/Site],$Q$2,RawData[[Picker ID ]],$Q$3,RawData[Checker ID],$Q$4,RawData[[Error Type ]],$Q$5))</f>
        <v/>
      </c>
    </row>
    <row r="10151" spans="15:15" x14ac:dyDescent="0.25">
      <c r="O10151" s="20" t="str">
        <f>IF(N10151="","",COUNTIFS(RawData[[Date ]],N10151,RawData[Month List],$Q$6,RawData[Tour/Site],$Q$2,RawData[[Picker ID ]],$Q$3,RawData[Checker ID],$Q$4,RawData[[Error Type ]],$Q$5))</f>
        <v/>
      </c>
    </row>
    <row r="10152" spans="15:15" x14ac:dyDescent="0.25">
      <c r="O10152" s="20" t="str">
        <f>IF(N10152="","",COUNTIFS(RawData[[Date ]],N10152,RawData[Month List],$Q$6,RawData[Tour/Site],$Q$2,RawData[[Picker ID ]],$Q$3,RawData[Checker ID],$Q$4,RawData[[Error Type ]],$Q$5))</f>
        <v/>
      </c>
    </row>
    <row r="10153" spans="15:15" x14ac:dyDescent="0.25">
      <c r="O10153" s="20" t="str">
        <f>IF(N10153="","",COUNTIFS(RawData[[Date ]],N10153,RawData[Month List],$Q$6,RawData[Tour/Site],$Q$2,RawData[[Picker ID ]],$Q$3,RawData[Checker ID],$Q$4,RawData[[Error Type ]],$Q$5))</f>
        <v/>
      </c>
    </row>
    <row r="10154" spans="15:15" x14ac:dyDescent="0.25">
      <c r="O10154" s="20" t="str">
        <f>IF(N10154="","",COUNTIFS(RawData[[Date ]],N10154,RawData[Month List],$Q$6,RawData[Tour/Site],$Q$2,RawData[[Picker ID ]],$Q$3,RawData[Checker ID],$Q$4,RawData[[Error Type ]],$Q$5))</f>
        <v/>
      </c>
    </row>
    <row r="10155" spans="15:15" x14ac:dyDescent="0.25">
      <c r="O10155" s="20" t="str">
        <f>IF(N10155="","",COUNTIFS(RawData[[Date ]],N10155,RawData[Month List],$Q$6,RawData[Tour/Site],$Q$2,RawData[[Picker ID ]],$Q$3,RawData[Checker ID],$Q$4,RawData[[Error Type ]],$Q$5))</f>
        <v/>
      </c>
    </row>
    <row r="10156" spans="15:15" x14ac:dyDescent="0.25">
      <c r="O10156" s="20" t="str">
        <f>IF(N10156="","",COUNTIFS(RawData[[Date ]],N10156,RawData[Month List],$Q$6,RawData[Tour/Site],$Q$2,RawData[[Picker ID ]],$Q$3,RawData[Checker ID],$Q$4,RawData[[Error Type ]],$Q$5))</f>
        <v/>
      </c>
    </row>
    <row r="10157" spans="15:15" x14ac:dyDescent="0.25">
      <c r="O10157" s="20" t="str">
        <f>IF(N10157="","",COUNTIFS(RawData[[Date ]],N10157,RawData[Month List],$Q$6,RawData[Tour/Site],$Q$2,RawData[[Picker ID ]],$Q$3,RawData[Checker ID],$Q$4,RawData[[Error Type ]],$Q$5))</f>
        <v/>
      </c>
    </row>
    <row r="10158" spans="15:15" x14ac:dyDescent="0.25">
      <c r="O10158" s="20" t="str">
        <f>IF(N10158="","",COUNTIFS(RawData[[Date ]],N10158,RawData[Month List],$Q$6,RawData[Tour/Site],$Q$2,RawData[[Picker ID ]],$Q$3,RawData[Checker ID],$Q$4,RawData[[Error Type ]],$Q$5))</f>
        <v/>
      </c>
    </row>
    <row r="10159" spans="15:15" x14ac:dyDescent="0.25">
      <c r="O10159" s="20" t="str">
        <f>IF(N10159="","",COUNTIFS(RawData[[Date ]],N10159,RawData[Month List],$Q$6,RawData[Tour/Site],$Q$2,RawData[[Picker ID ]],$Q$3,RawData[Checker ID],$Q$4,RawData[[Error Type ]],$Q$5))</f>
        <v/>
      </c>
    </row>
    <row r="10160" spans="15:15" x14ac:dyDescent="0.25">
      <c r="O10160" s="20" t="str">
        <f>IF(N10160="","",COUNTIFS(RawData[[Date ]],N10160,RawData[Month List],$Q$6,RawData[Tour/Site],$Q$2,RawData[[Picker ID ]],$Q$3,RawData[Checker ID],$Q$4,RawData[[Error Type ]],$Q$5))</f>
        <v/>
      </c>
    </row>
    <row r="10161" spans="15:15" x14ac:dyDescent="0.25">
      <c r="O10161" s="20" t="str">
        <f>IF(N10161="","",COUNTIFS(RawData[[Date ]],N10161,RawData[Month List],$Q$6,RawData[Tour/Site],$Q$2,RawData[[Picker ID ]],$Q$3,RawData[Checker ID],$Q$4,RawData[[Error Type ]],$Q$5))</f>
        <v/>
      </c>
    </row>
    <row r="10162" spans="15:15" x14ac:dyDescent="0.25">
      <c r="O10162" s="20" t="str">
        <f>IF(N10162="","",COUNTIFS(RawData[[Date ]],N10162,RawData[Month List],$Q$6,RawData[Tour/Site],$Q$2,RawData[[Picker ID ]],$Q$3,RawData[Checker ID],$Q$4,RawData[[Error Type ]],$Q$5))</f>
        <v/>
      </c>
    </row>
    <row r="10163" spans="15:15" x14ac:dyDescent="0.25">
      <c r="O10163" s="20" t="str">
        <f>IF(N10163="","",COUNTIFS(RawData[[Date ]],N10163,RawData[Month List],$Q$6,RawData[Tour/Site],$Q$2,RawData[[Picker ID ]],$Q$3,RawData[Checker ID],$Q$4,RawData[[Error Type ]],$Q$5))</f>
        <v/>
      </c>
    </row>
    <row r="10164" spans="15:15" x14ac:dyDescent="0.25">
      <c r="O10164" s="20" t="str">
        <f>IF(N10164="","",COUNTIFS(RawData[[Date ]],N10164,RawData[Month List],$Q$6,RawData[Tour/Site],$Q$2,RawData[[Picker ID ]],$Q$3,RawData[Checker ID],$Q$4,RawData[[Error Type ]],$Q$5))</f>
        <v/>
      </c>
    </row>
    <row r="10165" spans="15:15" x14ac:dyDescent="0.25">
      <c r="O10165" s="20" t="str">
        <f>IF(N10165="","",COUNTIFS(RawData[[Date ]],N10165,RawData[Month List],$Q$6,RawData[Tour/Site],$Q$2,RawData[[Picker ID ]],$Q$3,RawData[Checker ID],$Q$4,RawData[[Error Type ]],$Q$5))</f>
        <v/>
      </c>
    </row>
    <row r="10166" spans="15:15" x14ac:dyDescent="0.25">
      <c r="O10166" s="20" t="str">
        <f>IF(N10166="","",COUNTIFS(RawData[[Date ]],N10166,RawData[Month List],$Q$6,RawData[Tour/Site],$Q$2,RawData[[Picker ID ]],$Q$3,RawData[Checker ID],$Q$4,RawData[[Error Type ]],$Q$5))</f>
        <v/>
      </c>
    </row>
    <row r="10167" spans="15:15" x14ac:dyDescent="0.25">
      <c r="O10167" s="20" t="str">
        <f>IF(N10167="","",COUNTIFS(RawData[[Date ]],N10167,RawData[Month List],$Q$6,RawData[Tour/Site],$Q$2,RawData[[Picker ID ]],$Q$3,RawData[Checker ID],$Q$4,RawData[[Error Type ]],$Q$5))</f>
        <v/>
      </c>
    </row>
    <row r="10168" spans="15:15" x14ac:dyDescent="0.25">
      <c r="O10168" s="20" t="str">
        <f>IF(N10168="","",COUNTIFS(RawData[[Date ]],N10168,RawData[Month List],$Q$6,RawData[Tour/Site],$Q$2,RawData[[Picker ID ]],$Q$3,RawData[Checker ID],$Q$4,RawData[[Error Type ]],$Q$5))</f>
        <v/>
      </c>
    </row>
    <row r="10169" spans="15:15" x14ac:dyDescent="0.25">
      <c r="O10169" s="20" t="str">
        <f>IF(N10169="","",COUNTIFS(RawData[[Date ]],N10169,RawData[Month List],$Q$6,RawData[Tour/Site],$Q$2,RawData[[Picker ID ]],$Q$3,RawData[Checker ID],$Q$4,RawData[[Error Type ]],$Q$5))</f>
        <v/>
      </c>
    </row>
    <row r="10170" spans="15:15" x14ac:dyDescent="0.25">
      <c r="O10170" s="20" t="str">
        <f>IF(N10170="","",COUNTIFS(RawData[[Date ]],N10170,RawData[Month List],$Q$6,RawData[Tour/Site],$Q$2,RawData[[Picker ID ]],$Q$3,RawData[Checker ID],$Q$4,RawData[[Error Type ]],$Q$5))</f>
        <v/>
      </c>
    </row>
    <row r="10171" spans="15:15" x14ac:dyDescent="0.25">
      <c r="O10171" s="20" t="str">
        <f>IF(N10171="","",COUNTIFS(RawData[[Date ]],N10171,RawData[Month List],$Q$6,RawData[Tour/Site],$Q$2,RawData[[Picker ID ]],$Q$3,RawData[Checker ID],$Q$4,RawData[[Error Type ]],$Q$5))</f>
        <v/>
      </c>
    </row>
    <row r="10172" spans="15:15" x14ac:dyDescent="0.25">
      <c r="O10172" s="20" t="str">
        <f>IF(N10172="","",COUNTIFS(RawData[[Date ]],N10172,RawData[Month List],$Q$6,RawData[Tour/Site],$Q$2,RawData[[Picker ID ]],$Q$3,RawData[Checker ID],$Q$4,RawData[[Error Type ]],$Q$5))</f>
        <v/>
      </c>
    </row>
    <row r="10173" spans="15:15" x14ac:dyDescent="0.25">
      <c r="O10173" s="20" t="str">
        <f>IF(N10173="","",COUNTIFS(RawData[[Date ]],N10173,RawData[Month List],$Q$6,RawData[Tour/Site],$Q$2,RawData[[Picker ID ]],$Q$3,RawData[Checker ID],$Q$4,RawData[[Error Type ]],$Q$5))</f>
        <v/>
      </c>
    </row>
    <row r="10174" spans="15:15" x14ac:dyDescent="0.25">
      <c r="O10174" s="20" t="str">
        <f>IF(N10174="","",COUNTIFS(RawData[[Date ]],N10174,RawData[Month List],$Q$6,RawData[Tour/Site],$Q$2,RawData[[Picker ID ]],$Q$3,RawData[Checker ID],$Q$4,RawData[[Error Type ]],$Q$5))</f>
        <v/>
      </c>
    </row>
    <row r="10175" spans="15:15" x14ac:dyDescent="0.25">
      <c r="O10175" s="20" t="str">
        <f>IF(N10175="","",COUNTIFS(RawData[[Date ]],N10175,RawData[Month List],$Q$6,RawData[Tour/Site],$Q$2,RawData[[Picker ID ]],$Q$3,RawData[Checker ID],$Q$4,RawData[[Error Type ]],$Q$5))</f>
        <v/>
      </c>
    </row>
    <row r="10176" spans="15:15" x14ac:dyDescent="0.25">
      <c r="O10176" s="20" t="str">
        <f>IF(N10176="","",COUNTIFS(RawData[[Date ]],N10176,RawData[Month List],$Q$6,RawData[Tour/Site],$Q$2,RawData[[Picker ID ]],$Q$3,RawData[Checker ID],$Q$4,RawData[[Error Type ]],$Q$5))</f>
        <v/>
      </c>
    </row>
    <row r="10177" spans="15:15" x14ac:dyDescent="0.25">
      <c r="O10177" s="20" t="str">
        <f>IF(N10177="","",COUNTIFS(RawData[[Date ]],N10177,RawData[Month List],$Q$6,RawData[Tour/Site],$Q$2,RawData[[Picker ID ]],$Q$3,RawData[Checker ID],$Q$4,RawData[[Error Type ]],$Q$5))</f>
        <v/>
      </c>
    </row>
    <row r="10178" spans="15:15" x14ac:dyDescent="0.25">
      <c r="O10178" s="20" t="str">
        <f>IF(N10178="","",COUNTIFS(RawData[[Date ]],N10178,RawData[Month List],$Q$6,RawData[Tour/Site],$Q$2,RawData[[Picker ID ]],$Q$3,RawData[Checker ID],$Q$4,RawData[[Error Type ]],$Q$5))</f>
        <v/>
      </c>
    </row>
    <row r="10179" spans="15:15" x14ac:dyDescent="0.25">
      <c r="O10179" s="20" t="str">
        <f>IF(N10179="","",COUNTIFS(RawData[[Date ]],N10179,RawData[Month List],$Q$6,RawData[Tour/Site],$Q$2,RawData[[Picker ID ]],$Q$3,RawData[Checker ID],$Q$4,RawData[[Error Type ]],$Q$5))</f>
        <v/>
      </c>
    </row>
    <row r="10180" spans="15:15" x14ac:dyDescent="0.25">
      <c r="O10180" s="20" t="str">
        <f>IF(N10180="","",COUNTIFS(RawData[[Date ]],N10180,RawData[Month List],$Q$6,RawData[Tour/Site],$Q$2,RawData[[Picker ID ]],$Q$3,RawData[Checker ID],$Q$4,RawData[[Error Type ]],$Q$5))</f>
        <v/>
      </c>
    </row>
    <row r="10181" spans="15:15" x14ac:dyDescent="0.25">
      <c r="O10181" s="20" t="str">
        <f>IF(N10181="","",COUNTIFS(RawData[[Date ]],N10181,RawData[Month List],$Q$6,RawData[Tour/Site],$Q$2,RawData[[Picker ID ]],$Q$3,RawData[Checker ID],$Q$4,RawData[[Error Type ]],$Q$5))</f>
        <v/>
      </c>
    </row>
    <row r="10182" spans="15:15" x14ac:dyDescent="0.25">
      <c r="O10182" s="20" t="str">
        <f>IF(N10182="","",COUNTIFS(RawData[[Date ]],N10182,RawData[Month List],$Q$6,RawData[Tour/Site],$Q$2,RawData[[Picker ID ]],$Q$3,RawData[Checker ID],$Q$4,RawData[[Error Type ]],$Q$5))</f>
        <v/>
      </c>
    </row>
    <row r="10183" spans="15:15" x14ac:dyDescent="0.25">
      <c r="O10183" s="20" t="str">
        <f>IF(N10183="","",COUNTIFS(RawData[[Date ]],N10183,RawData[Month List],$Q$6,RawData[Tour/Site],$Q$2,RawData[[Picker ID ]],$Q$3,RawData[Checker ID],$Q$4,RawData[[Error Type ]],$Q$5))</f>
        <v/>
      </c>
    </row>
    <row r="10184" spans="15:15" x14ac:dyDescent="0.25">
      <c r="O10184" s="20" t="str">
        <f>IF(N10184="","",COUNTIFS(RawData[[Date ]],N10184,RawData[Month List],$Q$6,RawData[Tour/Site],$Q$2,RawData[[Picker ID ]],$Q$3,RawData[Checker ID],$Q$4,RawData[[Error Type ]],$Q$5))</f>
        <v/>
      </c>
    </row>
    <row r="10185" spans="15:15" x14ac:dyDescent="0.25">
      <c r="O10185" s="20" t="str">
        <f>IF(N10185="","",COUNTIFS(RawData[[Date ]],N10185,RawData[Month List],$Q$6,RawData[Tour/Site],$Q$2,RawData[[Picker ID ]],$Q$3,RawData[Checker ID],$Q$4,RawData[[Error Type ]],$Q$5))</f>
        <v/>
      </c>
    </row>
    <row r="10186" spans="15:15" x14ac:dyDescent="0.25">
      <c r="O10186" s="20" t="str">
        <f>IF(N10186="","",COUNTIFS(RawData[[Date ]],N10186,RawData[Month List],$Q$6,RawData[Tour/Site],$Q$2,RawData[[Picker ID ]],$Q$3,RawData[Checker ID],$Q$4,RawData[[Error Type ]],$Q$5))</f>
        <v/>
      </c>
    </row>
    <row r="10187" spans="15:15" x14ac:dyDescent="0.25">
      <c r="O10187" s="20" t="str">
        <f>IF(N10187="","",COUNTIFS(RawData[[Date ]],N10187,RawData[Month List],$Q$6,RawData[Tour/Site],$Q$2,RawData[[Picker ID ]],$Q$3,RawData[Checker ID],$Q$4,RawData[[Error Type ]],$Q$5))</f>
        <v/>
      </c>
    </row>
    <row r="10188" spans="15:15" x14ac:dyDescent="0.25">
      <c r="O10188" s="20" t="str">
        <f>IF(N10188="","",COUNTIFS(RawData[[Date ]],N10188,RawData[Month List],$Q$6,RawData[Tour/Site],$Q$2,RawData[[Picker ID ]],$Q$3,RawData[Checker ID],$Q$4,RawData[[Error Type ]],$Q$5))</f>
        <v/>
      </c>
    </row>
    <row r="10189" spans="15:15" x14ac:dyDescent="0.25">
      <c r="O10189" s="20" t="str">
        <f>IF(N10189="","",COUNTIFS(RawData[[Date ]],N10189,RawData[Month List],$Q$6,RawData[Tour/Site],$Q$2,RawData[[Picker ID ]],$Q$3,RawData[Checker ID],$Q$4,RawData[[Error Type ]],$Q$5))</f>
        <v/>
      </c>
    </row>
    <row r="10190" spans="15:15" x14ac:dyDescent="0.25">
      <c r="O10190" s="20" t="str">
        <f>IF(N10190="","",COUNTIFS(RawData[[Date ]],N10190,RawData[Month List],$Q$6,RawData[Tour/Site],$Q$2,RawData[[Picker ID ]],$Q$3,RawData[Checker ID],$Q$4,RawData[[Error Type ]],$Q$5))</f>
        <v/>
      </c>
    </row>
    <row r="10191" spans="15:15" x14ac:dyDescent="0.25">
      <c r="O10191" s="20" t="str">
        <f>IF(N10191="","",COUNTIFS(RawData[[Date ]],N10191,RawData[Month List],$Q$6,RawData[Tour/Site],$Q$2,RawData[[Picker ID ]],$Q$3,RawData[Checker ID],$Q$4,RawData[[Error Type ]],$Q$5))</f>
        <v/>
      </c>
    </row>
    <row r="10192" spans="15:15" x14ac:dyDescent="0.25">
      <c r="O10192" s="20" t="str">
        <f>IF(N10192="","",COUNTIFS(RawData[[Date ]],N10192,RawData[Month List],$Q$6,RawData[Tour/Site],$Q$2,RawData[[Picker ID ]],$Q$3,RawData[Checker ID],$Q$4,RawData[[Error Type ]],$Q$5))</f>
        <v/>
      </c>
    </row>
    <row r="10193" spans="15:15" x14ac:dyDescent="0.25">
      <c r="O10193" s="20" t="str">
        <f>IF(N10193="","",COUNTIFS(RawData[[Date ]],N10193,RawData[Month List],$Q$6,RawData[Tour/Site],$Q$2,RawData[[Picker ID ]],$Q$3,RawData[Checker ID],$Q$4,RawData[[Error Type ]],$Q$5))</f>
        <v/>
      </c>
    </row>
    <row r="10194" spans="15:15" x14ac:dyDescent="0.25">
      <c r="O10194" s="20" t="str">
        <f>IF(N10194="","",COUNTIFS(RawData[[Date ]],N10194,RawData[Month List],$Q$6,RawData[Tour/Site],$Q$2,RawData[[Picker ID ]],$Q$3,RawData[Checker ID],$Q$4,RawData[[Error Type ]],$Q$5))</f>
        <v/>
      </c>
    </row>
    <row r="10195" spans="15:15" x14ac:dyDescent="0.25">
      <c r="O10195" s="20" t="str">
        <f>IF(N10195="","",COUNTIFS(RawData[[Date ]],N10195,RawData[Month List],$Q$6,RawData[Tour/Site],$Q$2,RawData[[Picker ID ]],$Q$3,RawData[Checker ID],$Q$4,RawData[[Error Type ]],$Q$5))</f>
        <v/>
      </c>
    </row>
    <row r="10196" spans="15:15" x14ac:dyDescent="0.25">
      <c r="O10196" s="20" t="str">
        <f>IF(N10196="","",COUNTIFS(RawData[[Date ]],N10196,RawData[Month List],$Q$6,RawData[Tour/Site],$Q$2,RawData[[Picker ID ]],$Q$3,RawData[Checker ID],$Q$4,RawData[[Error Type ]],$Q$5))</f>
        <v/>
      </c>
    </row>
    <row r="10197" spans="15:15" x14ac:dyDescent="0.25">
      <c r="O10197" s="20" t="str">
        <f>IF(N10197="","",COUNTIFS(RawData[[Date ]],N10197,RawData[Month List],$Q$6,RawData[Tour/Site],$Q$2,RawData[[Picker ID ]],$Q$3,RawData[Checker ID],$Q$4,RawData[[Error Type ]],$Q$5))</f>
        <v/>
      </c>
    </row>
    <row r="10198" spans="15:15" x14ac:dyDescent="0.25">
      <c r="O10198" s="20" t="str">
        <f>IF(N10198="","",COUNTIFS(RawData[[Date ]],N10198,RawData[Month List],$Q$6,RawData[Tour/Site],$Q$2,RawData[[Picker ID ]],$Q$3,RawData[Checker ID],$Q$4,RawData[[Error Type ]],$Q$5))</f>
        <v/>
      </c>
    </row>
    <row r="10199" spans="15:15" x14ac:dyDescent="0.25">
      <c r="O10199" s="20" t="str">
        <f>IF(N10199="","",COUNTIFS(RawData[[Date ]],N10199,RawData[Month List],$Q$6,RawData[Tour/Site],$Q$2,RawData[[Picker ID ]],$Q$3,RawData[Checker ID],$Q$4,RawData[[Error Type ]],$Q$5))</f>
        <v/>
      </c>
    </row>
    <row r="10200" spans="15:15" x14ac:dyDescent="0.25">
      <c r="O10200" s="20" t="str">
        <f>IF(N10200="","",COUNTIFS(RawData[[Date ]],N10200,RawData[Month List],$Q$6,RawData[Tour/Site],$Q$2,RawData[[Picker ID ]],$Q$3,RawData[Checker ID],$Q$4,RawData[[Error Type ]],$Q$5))</f>
        <v/>
      </c>
    </row>
    <row r="10201" spans="15:15" x14ac:dyDescent="0.25">
      <c r="O10201" s="20" t="str">
        <f>IF(N10201="","",COUNTIFS(RawData[[Date ]],N10201,RawData[Month List],$Q$6,RawData[Tour/Site],$Q$2,RawData[[Picker ID ]],$Q$3,RawData[Checker ID],$Q$4,RawData[[Error Type ]],$Q$5))</f>
        <v/>
      </c>
    </row>
    <row r="10202" spans="15:15" x14ac:dyDescent="0.25">
      <c r="O10202" s="20" t="str">
        <f>IF(N10202="","",COUNTIFS(RawData[[Date ]],N10202,RawData[Month List],$Q$6,RawData[Tour/Site],$Q$2,RawData[[Picker ID ]],$Q$3,RawData[Checker ID],$Q$4,RawData[[Error Type ]],$Q$5))</f>
        <v/>
      </c>
    </row>
    <row r="10203" spans="15:15" x14ac:dyDescent="0.25">
      <c r="O10203" s="20" t="str">
        <f>IF(N10203="","",COUNTIFS(RawData[[Date ]],N10203,RawData[Month List],$Q$6,RawData[Tour/Site],$Q$2,RawData[[Picker ID ]],$Q$3,RawData[Checker ID],$Q$4,RawData[[Error Type ]],$Q$5))</f>
        <v/>
      </c>
    </row>
    <row r="10204" spans="15:15" x14ac:dyDescent="0.25">
      <c r="O10204" s="20" t="str">
        <f>IF(N10204="","",COUNTIFS(RawData[[Date ]],N10204,RawData[Month List],$Q$6,RawData[Tour/Site],$Q$2,RawData[[Picker ID ]],$Q$3,RawData[Checker ID],$Q$4,RawData[[Error Type ]],$Q$5))</f>
        <v/>
      </c>
    </row>
    <row r="10205" spans="15:15" x14ac:dyDescent="0.25">
      <c r="O10205" s="20" t="str">
        <f>IF(N10205="","",COUNTIFS(RawData[[Date ]],N10205,RawData[Month List],$Q$6,RawData[Tour/Site],$Q$2,RawData[[Picker ID ]],$Q$3,RawData[Checker ID],$Q$4,RawData[[Error Type ]],$Q$5))</f>
        <v/>
      </c>
    </row>
    <row r="10206" spans="15:15" x14ac:dyDescent="0.25">
      <c r="O10206" s="20" t="str">
        <f>IF(N10206="","",COUNTIFS(RawData[[Date ]],N10206,RawData[Month List],$Q$6,RawData[Tour/Site],$Q$2,RawData[[Picker ID ]],$Q$3,RawData[Checker ID],$Q$4,RawData[[Error Type ]],$Q$5))</f>
        <v/>
      </c>
    </row>
    <row r="10207" spans="15:15" x14ac:dyDescent="0.25">
      <c r="O10207" s="20" t="str">
        <f>IF(N10207="","",COUNTIFS(RawData[[Date ]],N10207,RawData[Month List],$Q$6,RawData[Tour/Site],$Q$2,RawData[[Picker ID ]],$Q$3,RawData[Checker ID],$Q$4,RawData[[Error Type ]],$Q$5))</f>
        <v/>
      </c>
    </row>
    <row r="10208" spans="15:15" x14ac:dyDescent="0.25">
      <c r="O10208" s="20" t="str">
        <f>IF(N10208="","",COUNTIFS(RawData[[Date ]],N10208,RawData[Month List],$Q$6,RawData[Tour/Site],$Q$2,RawData[[Picker ID ]],$Q$3,RawData[Checker ID],$Q$4,RawData[[Error Type ]],$Q$5))</f>
        <v/>
      </c>
    </row>
    <row r="10209" spans="15:15" x14ac:dyDescent="0.25">
      <c r="O10209" s="20" t="str">
        <f>IF(N10209="","",COUNTIFS(RawData[[Date ]],N10209,RawData[Month List],$Q$6,RawData[Tour/Site],$Q$2,RawData[[Picker ID ]],$Q$3,RawData[Checker ID],$Q$4,RawData[[Error Type ]],$Q$5))</f>
        <v/>
      </c>
    </row>
    <row r="10210" spans="15:15" x14ac:dyDescent="0.25">
      <c r="O10210" s="20" t="str">
        <f>IF(N10210="","",COUNTIFS(RawData[[Date ]],N10210,RawData[Month List],$Q$6,RawData[Tour/Site],$Q$2,RawData[[Picker ID ]],$Q$3,RawData[Checker ID],$Q$4,RawData[[Error Type ]],$Q$5))</f>
        <v/>
      </c>
    </row>
    <row r="10211" spans="15:15" x14ac:dyDescent="0.25">
      <c r="O10211" s="20" t="str">
        <f>IF(N10211="","",COUNTIFS(RawData[[Date ]],N10211,RawData[Month List],$Q$6,RawData[Tour/Site],$Q$2,RawData[[Picker ID ]],$Q$3,RawData[Checker ID],$Q$4,RawData[[Error Type ]],$Q$5))</f>
        <v/>
      </c>
    </row>
    <row r="10212" spans="15:15" x14ac:dyDescent="0.25">
      <c r="O10212" s="20" t="str">
        <f>IF(N10212="","",COUNTIFS(RawData[[Date ]],N10212,RawData[Month List],$Q$6,RawData[Tour/Site],$Q$2,RawData[[Picker ID ]],$Q$3,RawData[Checker ID],$Q$4,RawData[[Error Type ]],$Q$5))</f>
        <v/>
      </c>
    </row>
    <row r="10213" spans="15:15" x14ac:dyDescent="0.25">
      <c r="O10213" s="20" t="str">
        <f>IF(N10213="","",COUNTIFS(RawData[[Date ]],N10213,RawData[Month List],$Q$6,RawData[Tour/Site],$Q$2,RawData[[Picker ID ]],$Q$3,RawData[Checker ID],$Q$4,RawData[[Error Type ]],$Q$5))</f>
        <v/>
      </c>
    </row>
    <row r="10214" spans="15:15" x14ac:dyDescent="0.25">
      <c r="O10214" s="20" t="str">
        <f>IF(N10214="","",COUNTIFS(RawData[[Date ]],N10214,RawData[Month List],$Q$6,RawData[Tour/Site],$Q$2,RawData[[Picker ID ]],$Q$3,RawData[Checker ID],$Q$4,RawData[[Error Type ]],$Q$5))</f>
        <v/>
      </c>
    </row>
    <row r="10215" spans="15:15" x14ac:dyDescent="0.25">
      <c r="O10215" s="20" t="str">
        <f>IF(N10215="","",COUNTIFS(RawData[[Date ]],N10215,RawData[Month List],$Q$6,RawData[Tour/Site],$Q$2,RawData[[Picker ID ]],$Q$3,RawData[Checker ID],$Q$4,RawData[[Error Type ]],$Q$5))</f>
        <v/>
      </c>
    </row>
    <row r="10216" spans="15:15" x14ac:dyDescent="0.25">
      <c r="O10216" s="20" t="str">
        <f>IF(N10216="","",COUNTIFS(RawData[[Date ]],N10216,RawData[Month List],$Q$6,RawData[Tour/Site],$Q$2,RawData[[Picker ID ]],$Q$3,RawData[Checker ID],$Q$4,RawData[[Error Type ]],$Q$5))</f>
        <v/>
      </c>
    </row>
    <row r="10217" spans="15:15" x14ac:dyDescent="0.25">
      <c r="O10217" s="20" t="str">
        <f>IF(N10217="","",COUNTIFS(RawData[[Date ]],N10217,RawData[Month List],$Q$6,RawData[Tour/Site],$Q$2,RawData[[Picker ID ]],$Q$3,RawData[Checker ID],$Q$4,RawData[[Error Type ]],$Q$5))</f>
        <v/>
      </c>
    </row>
    <row r="10218" spans="15:15" x14ac:dyDescent="0.25">
      <c r="O10218" s="20" t="str">
        <f>IF(N10218="","",COUNTIFS(RawData[[Date ]],N10218,RawData[Month List],$Q$6,RawData[Tour/Site],$Q$2,RawData[[Picker ID ]],$Q$3,RawData[Checker ID],$Q$4,RawData[[Error Type ]],$Q$5))</f>
        <v/>
      </c>
    </row>
    <row r="10219" spans="15:15" x14ac:dyDescent="0.25">
      <c r="O10219" s="20" t="str">
        <f>IF(N10219="","",COUNTIFS(RawData[[Date ]],N10219,RawData[Month List],$Q$6,RawData[Tour/Site],$Q$2,RawData[[Picker ID ]],$Q$3,RawData[Checker ID],$Q$4,RawData[[Error Type ]],$Q$5))</f>
        <v/>
      </c>
    </row>
    <row r="10220" spans="15:15" x14ac:dyDescent="0.25">
      <c r="O10220" s="20" t="str">
        <f>IF(N10220="","",COUNTIFS(RawData[[Date ]],N10220,RawData[Month List],$Q$6,RawData[Tour/Site],$Q$2,RawData[[Picker ID ]],$Q$3,RawData[Checker ID],$Q$4,RawData[[Error Type ]],$Q$5))</f>
        <v/>
      </c>
    </row>
    <row r="10221" spans="15:15" x14ac:dyDescent="0.25">
      <c r="O10221" s="20" t="str">
        <f>IF(N10221="","",COUNTIFS(RawData[[Date ]],N10221,RawData[Month List],$Q$6,RawData[Tour/Site],$Q$2,RawData[[Picker ID ]],$Q$3,RawData[Checker ID],$Q$4,RawData[[Error Type ]],$Q$5))</f>
        <v/>
      </c>
    </row>
    <row r="10222" spans="15:15" x14ac:dyDescent="0.25">
      <c r="O10222" s="20" t="str">
        <f>IF(N10222="","",COUNTIFS(RawData[[Date ]],N10222,RawData[Month List],$Q$6,RawData[Tour/Site],$Q$2,RawData[[Picker ID ]],$Q$3,RawData[Checker ID],$Q$4,RawData[[Error Type ]],$Q$5))</f>
        <v/>
      </c>
    </row>
    <row r="10223" spans="15:15" x14ac:dyDescent="0.25">
      <c r="O10223" s="20" t="str">
        <f>IF(N10223="","",COUNTIFS(RawData[[Date ]],N10223,RawData[Month List],$Q$6,RawData[Tour/Site],$Q$2,RawData[[Picker ID ]],$Q$3,RawData[Checker ID],$Q$4,RawData[[Error Type ]],$Q$5))</f>
        <v/>
      </c>
    </row>
    <row r="10224" spans="15:15" x14ac:dyDescent="0.25">
      <c r="O10224" s="20" t="str">
        <f>IF(N10224="","",COUNTIFS(RawData[[Date ]],N10224,RawData[Month List],$Q$6,RawData[Tour/Site],$Q$2,RawData[[Picker ID ]],$Q$3,RawData[Checker ID],$Q$4,RawData[[Error Type ]],$Q$5))</f>
        <v/>
      </c>
    </row>
    <row r="10225" spans="15:15" x14ac:dyDescent="0.25">
      <c r="O10225" s="20" t="str">
        <f>IF(N10225="","",COUNTIFS(RawData[[Date ]],N10225,RawData[Month List],$Q$6,RawData[Tour/Site],$Q$2,RawData[[Picker ID ]],$Q$3,RawData[Checker ID],$Q$4,RawData[[Error Type ]],$Q$5))</f>
        <v/>
      </c>
    </row>
    <row r="10226" spans="15:15" x14ac:dyDescent="0.25">
      <c r="O10226" s="20" t="str">
        <f>IF(N10226="","",COUNTIFS(RawData[[Date ]],N10226,RawData[Month List],$Q$6,RawData[Tour/Site],$Q$2,RawData[[Picker ID ]],$Q$3,RawData[Checker ID],$Q$4,RawData[[Error Type ]],$Q$5))</f>
        <v/>
      </c>
    </row>
    <row r="10227" spans="15:15" x14ac:dyDescent="0.25">
      <c r="O10227" s="20" t="str">
        <f>IF(N10227="","",COUNTIFS(RawData[[Date ]],N10227,RawData[Month List],$Q$6,RawData[Tour/Site],$Q$2,RawData[[Picker ID ]],$Q$3,RawData[Checker ID],$Q$4,RawData[[Error Type ]],$Q$5))</f>
        <v/>
      </c>
    </row>
    <row r="10228" spans="15:15" x14ac:dyDescent="0.25">
      <c r="O10228" s="20" t="str">
        <f>IF(N10228="","",COUNTIFS(RawData[[Date ]],N10228,RawData[Month List],$Q$6,RawData[Tour/Site],$Q$2,RawData[[Picker ID ]],$Q$3,RawData[Checker ID],$Q$4,RawData[[Error Type ]],$Q$5))</f>
        <v/>
      </c>
    </row>
    <row r="10229" spans="15:15" x14ac:dyDescent="0.25">
      <c r="O10229" s="20" t="str">
        <f>IF(N10229="","",COUNTIFS(RawData[[Date ]],N10229,RawData[Month List],$Q$6,RawData[Tour/Site],$Q$2,RawData[[Picker ID ]],$Q$3,RawData[Checker ID],$Q$4,RawData[[Error Type ]],$Q$5))</f>
        <v/>
      </c>
    </row>
    <row r="10230" spans="15:15" x14ac:dyDescent="0.25">
      <c r="O10230" s="20" t="str">
        <f>IF(N10230="","",COUNTIFS(RawData[[Date ]],N10230,RawData[Month List],$Q$6,RawData[Tour/Site],$Q$2,RawData[[Picker ID ]],$Q$3,RawData[Checker ID],$Q$4,RawData[[Error Type ]],$Q$5))</f>
        <v/>
      </c>
    </row>
    <row r="10231" spans="15:15" x14ac:dyDescent="0.25">
      <c r="O10231" s="20" t="str">
        <f>IF(N10231="","",COUNTIFS(RawData[[Date ]],N10231,RawData[Month List],$Q$6,RawData[Tour/Site],$Q$2,RawData[[Picker ID ]],$Q$3,RawData[Checker ID],$Q$4,RawData[[Error Type ]],$Q$5))</f>
        <v/>
      </c>
    </row>
    <row r="10232" spans="15:15" x14ac:dyDescent="0.25">
      <c r="O10232" s="20" t="str">
        <f>IF(N10232="","",COUNTIFS(RawData[[Date ]],N10232,RawData[Month List],$Q$6,RawData[Tour/Site],$Q$2,RawData[[Picker ID ]],$Q$3,RawData[Checker ID],$Q$4,RawData[[Error Type ]],$Q$5))</f>
        <v/>
      </c>
    </row>
    <row r="10233" spans="15:15" x14ac:dyDescent="0.25">
      <c r="O10233" s="20" t="str">
        <f>IF(N10233="","",COUNTIFS(RawData[[Date ]],N10233,RawData[Month List],$Q$6,RawData[Tour/Site],$Q$2,RawData[[Picker ID ]],$Q$3,RawData[Checker ID],$Q$4,RawData[[Error Type ]],$Q$5))</f>
        <v/>
      </c>
    </row>
    <row r="10234" spans="15:15" x14ac:dyDescent="0.25">
      <c r="O10234" s="20" t="str">
        <f>IF(N10234="","",COUNTIFS(RawData[[Date ]],N10234,RawData[Month List],$Q$6,RawData[Tour/Site],$Q$2,RawData[[Picker ID ]],$Q$3,RawData[Checker ID],$Q$4,RawData[[Error Type ]],$Q$5))</f>
        <v/>
      </c>
    </row>
    <row r="10235" spans="15:15" x14ac:dyDescent="0.25">
      <c r="O10235" s="20" t="str">
        <f>IF(N10235="","",COUNTIFS(RawData[[Date ]],N10235,RawData[Month List],$Q$6,RawData[Tour/Site],$Q$2,RawData[[Picker ID ]],$Q$3,RawData[Checker ID],$Q$4,RawData[[Error Type ]],$Q$5))</f>
        <v/>
      </c>
    </row>
    <row r="10236" spans="15:15" x14ac:dyDescent="0.25">
      <c r="O10236" s="20" t="str">
        <f>IF(N10236="","",COUNTIFS(RawData[[Date ]],N10236,RawData[Month List],$Q$6,RawData[Tour/Site],$Q$2,RawData[[Picker ID ]],$Q$3,RawData[Checker ID],$Q$4,RawData[[Error Type ]],$Q$5))</f>
        <v/>
      </c>
    </row>
    <row r="10237" spans="15:15" x14ac:dyDescent="0.25">
      <c r="O10237" s="20" t="str">
        <f>IF(N10237="","",COUNTIFS(RawData[[Date ]],N10237,RawData[Month List],$Q$6,RawData[Tour/Site],$Q$2,RawData[[Picker ID ]],$Q$3,RawData[Checker ID],$Q$4,RawData[[Error Type ]],$Q$5))</f>
        <v/>
      </c>
    </row>
    <row r="10238" spans="15:15" x14ac:dyDescent="0.25">
      <c r="O10238" s="20" t="str">
        <f>IF(N10238="","",COUNTIFS(RawData[[Date ]],N10238,RawData[Month List],$Q$6,RawData[Tour/Site],$Q$2,RawData[[Picker ID ]],$Q$3,RawData[Checker ID],$Q$4,RawData[[Error Type ]],$Q$5))</f>
        <v/>
      </c>
    </row>
    <row r="10239" spans="15:15" x14ac:dyDescent="0.25">
      <c r="O10239" s="20" t="str">
        <f>IF(N10239="","",COUNTIFS(RawData[[Date ]],N10239,RawData[Month List],$Q$6,RawData[Tour/Site],$Q$2,RawData[[Picker ID ]],$Q$3,RawData[Checker ID],$Q$4,RawData[[Error Type ]],$Q$5))</f>
        <v/>
      </c>
    </row>
    <row r="10240" spans="15:15" x14ac:dyDescent="0.25">
      <c r="O10240" s="20" t="str">
        <f>IF(N10240="","",COUNTIFS(RawData[[Date ]],N10240,RawData[Month List],$Q$6,RawData[Tour/Site],$Q$2,RawData[[Picker ID ]],$Q$3,RawData[Checker ID],$Q$4,RawData[[Error Type ]],$Q$5))</f>
        <v/>
      </c>
    </row>
    <row r="10241" spans="15:15" x14ac:dyDescent="0.25">
      <c r="O10241" s="20" t="str">
        <f>IF(N10241="","",COUNTIFS(RawData[[Date ]],N10241,RawData[Month List],$Q$6,RawData[Tour/Site],$Q$2,RawData[[Picker ID ]],$Q$3,RawData[Checker ID],$Q$4,RawData[[Error Type ]],$Q$5))</f>
        <v/>
      </c>
    </row>
    <row r="10242" spans="15:15" x14ac:dyDescent="0.25">
      <c r="O10242" s="20" t="str">
        <f>IF(N10242="","",COUNTIFS(RawData[[Date ]],N10242,RawData[Month List],$Q$6,RawData[Tour/Site],$Q$2,RawData[[Picker ID ]],$Q$3,RawData[Checker ID],$Q$4,RawData[[Error Type ]],$Q$5))</f>
        <v/>
      </c>
    </row>
    <row r="10243" spans="15:15" x14ac:dyDescent="0.25">
      <c r="O10243" s="20" t="str">
        <f>IF(N10243="","",COUNTIFS(RawData[[Date ]],N10243,RawData[Month List],$Q$6,RawData[Tour/Site],$Q$2,RawData[[Picker ID ]],$Q$3,RawData[Checker ID],$Q$4,RawData[[Error Type ]],$Q$5))</f>
        <v/>
      </c>
    </row>
    <row r="10244" spans="15:15" x14ac:dyDescent="0.25">
      <c r="O10244" s="20" t="str">
        <f>IF(N10244="","",COUNTIFS(RawData[[Date ]],N10244,RawData[Month List],$Q$6,RawData[Tour/Site],$Q$2,RawData[[Picker ID ]],$Q$3,RawData[Checker ID],$Q$4,RawData[[Error Type ]],$Q$5))</f>
        <v/>
      </c>
    </row>
    <row r="10245" spans="15:15" x14ac:dyDescent="0.25">
      <c r="O10245" s="20" t="str">
        <f>IF(N10245="","",COUNTIFS(RawData[[Date ]],N10245,RawData[Month List],$Q$6,RawData[Tour/Site],$Q$2,RawData[[Picker ID ]],$Q$3,RawData[Checker ID],$Q$4,RawData[[Error Type ]],$Q$5))</f>
        <v/>
      </c>
    </row>
    <row r="10246" spans="15:15" x14ac:dyDescent="0.25">
      <c r="O10246" s="20" t="str">
        <f>IF(N10246="","",COUNTIFS(RawData[[Date ]],N10246,RawData[Month List],$Q$6,RawData[Tour/Site],$Q$2,RawData[[Picker ID ]],$Q$3,RawData[Checker ID],$Q$4,RawData[[Error Type ]],$Q$5))</f>
        <v/>
      </c>
    </row>
    <row r="10247" spans="15:15" x14ac:dyDescent="0.25">
      <c r="O10247" s="20" t="str">
        <f>IF(N10247="","",COUNTIFS(RawData[[Date ]],N10247,RawData[Month List],$Q$6,RawData[Tour/Site],$Q$2,RawData[[Picker ID ]],$Q$3,RawData[Checker ID],$Q$4,RawData[[Error Type ]],$Q$5))</f>
        <v/>
      </c>
    </row>
    <row r="10248" spans="15:15" x14ac:dyDescent="0.25">
      <c r="O10248" s="20" t="str">
        <f>IF(N10248="","",COUNTIFS(RawData[[Date ]],N10248,RawData[Month List],$Q$6,RawData[Tour/Site],$Q$2,RawData[[Picker ID ]],$Q$3,RawData[Checker ID],$Q$4,RawData[[Error Type ]],$Q$5))</f>
        <v/>
      </c>
    </row>
    <row r="10249" spans="15:15" x14ac:dyDescent="0.25">
      <c r="O10249" s="20" t="str">
        <f>IF(N10249="","",COUNTIFS(RawData[[Date ]],N10249,RawData[Month List],$Q$6,RawData[Tour/Site],$Q$2,RawData[[Picker ID ]],$Q$3,RawData[Checker ID],$Q$4,RawData[[Error Type ]],$Q$5))</f>
        <v/>
      </c>
    </row>
    <row r="10250" spans="15:15" x14ac:dyDescent="0.25">
      <c r="O10250" s="20" t="str">
        <f>IF(N10250="","",COUNTIFS(RawData[[Date ]],N10250,RawData[Month List],$Q$6,RawData[Tour/Site],$Q$2,RawData[[Picker ID ]],$Q$3,RawData[Checker ID],$Q$4,RawData[[Error Type ]],$Q$5))</f>
        <v/>
      </c>
    </row>
    <row r="10251" spans="15:15" x14ac:dyDescent="0.25">
      <c r="O10251" s="20" t="str">
        <f>IF(N10251="","",COUNTIFS(RawData[[Date ]],N10251,RawData[Month List],$Q$6,RawData[Tour/Site],$Q$2,RawData[[Picker ID ]],$Q$3,RawData[Checker ID],$Q$4,RawData[[Error Type ]],$Q$5))</f>
        <v/>
      </c>
    </row>
    <row r="10252" spans="15:15" x14ac:dyDescent="0.25">
      <c r="O10252" s="20" t="str">
        <f>IF(N10252="","",COUNTIFS(RawData[[Date ]],N10252,RawData[Month List],$Q$6,RawData[Tour/Site],$Q$2,RawData[[Picker ID ]],$Q$3,RawData[Checker ID],$Q$4,RawData[[Error Type ]],$Q$5))</f>
        <v/>
      </c>
    </row>
    <row r="10253" spans="15:15" x14ac:dyDescent="0.25">
      <c r="O10253" s="20" t="str">
        <f>IF(N10253="","",COUNTIFS(RawData[[Date ]],N10253,RawData[Month List],$Q$6,RawData[Tour/Site],$Q$2,RawData[[Picker ID ]],$Q$3,RawData[Checker ID],$Q$4,RawData[[Error Type ]],$Q$5))</f>
        <v/>
      </c>
    </row>
    <row r="10254" spans="15:15" x14ac:dyDescent="0.25">
      <c r="O10254" s="20" t="str">
        <f>IF(N10254="","",COUNTIFS(RawData[[Date ]],N10254,RawData[Month List],$Q$6,RawData[Tour/Site],$Q$2,RawData[[Picker ID ]],$Q$3,RawData[Checker ID],$Q$4,RawData[[Error Type ]],$Q$5))</f>
        <v/>
      </c>
    </row>
    <row r="10255" spans="15:15" x14ac:dyDescent="0.25">
      <c r="O10255" s="20" t="str">
        <f>IF(N10255="","",COUNTIFS(RawData[[Date ]],N10255,RawData[Month List],$Q$6,RawData[Tour/Site],$Q$2,RawData[[Picker ID ]],$Q$3,RawData[Checker ID],$Q$4,RawData[[Error Type ]],$Q$5))</f>
        <v/>
      </c>
    </row>
    <row r="10256" spans="15:15" x14ac:dyDescent="0.25">
      <c r="O10256" s="20" t="str">
        <f>IF(N10256="","",COUNTIFS(RawData[[Date ]],N10256,RawData[Month List],$Q$6,RawData[Tour/Site],$Q$2,RawData[[Picker ID ]],$Q$3,RawData[Checker ID],$Q$4,RawData[[Error Type ]],$Q$5))</f>
        <v/>
      </c>
    </row>
    <row r="10257" spans="15:15" x14ac:dyDescent="0.25">
      <c r="O10257" s="20" t="str">
        <f>IF(N10257="","",COUNTIFS(RawData[[Date ]],N10257,RawData[Month List],$Q$6,RawData[Tour/Site],$Q$2,RawData[[Picker ID ]],$Q$3,RawData[Checker ID],$Q$4,RawData[[Error Type ]],$Q$5))</f>
        <v/>
      </c>
    </row>
    <row r="10258" spans="15:15" x14ac:dyDescent="0.25">
      <c r="O10258" s="20" t="str">
        <f>IF(N10258="","",COUNTIFS(RawData[[Date ]],N10258,RawData[Month List],$Q$6,RawData[Tour/Site],$Q$2,RawData[[Picker ID ]],$Q$3,RawData[Checker ID],$Q$4,RawData[[Error Type ]],$Q$5))</f>
        <v/>
      </c>
    </row>
    <row r="10259" spans="15:15" x14ac:dyDescent="0.25">
      <c r="O10259" s="20" t="str">
        <f>IF(N10259="","",COUNTIFS(RawData[[Date ]],N10259,RawData[Month List],$Q$6,RawData[Tour/Site],$Q$2,RawData[[Picker ID ]],$Q$3,RawData[Checker ID],$Q$4,RawData[[Error Type ]],$Q$5))</f>
        <v/>
      </c>
    </row>
    <row r="10260" spans="15:15" x14ac:dyDescent="0.25">
      <c r="O10260" s="20" t="str">
        <f>IF(N10260="","",COUNTIFS(RawData[[Date ]],N10260,RawData[Month List],$Q$6,RawData[Tour/Site],$Q$2,RawData[[Picker ID ]],$Q$3,RawData[Checker ID],$Q$4,RawData[[Error Type ]],$Q$5))</f>
        <v/>
      </c>
    </row>
    <row r="10261" spans="15:15" x14ac:dyDescent="0.25">
      <c r="O10261" s="20" t="str">
        <f>IF(N10261="","",COUNTIFS(RawData[[Date ]],N10261,RawData[Month List],$Q$6,RawData[Tour/Site],$Q$2,RawData[[Picker ID ]],$Q$3,RawData[Checker ID],$Q$4,RawData[[Error Type ]],$Q$5))</f>
        <v/>
      </c>
    </row>
    <row r="10262" spans="15:15" x14ac:dyDescent="0.25">
      <c r="O10262" s="20" t="str">
        <f>IF(N10262="","",COUNTIFS(RawData[[Date ]],N10262,RawData[Month List],$Q$6,RawData[Tour/Site],$Q$2,RawData[[Picker ID ]],$Q$3,RawData[Checker ID],$Q$4,RawData[[Error Type ]],$Q$5))</f>
        <v/>
      </c>
    </row>
    <row r="10263" spans="15:15" x14ac:dyDescent="0.25">
      <c r="O10263" s="20" t="str">
        <f>IF(N10263="","",COUNTIFS(RawData[[Date ]],N10263,RawData[Month List],$Q$6,RawData[Tour/Site],$Q$2,RawData[[Picker ID ]],$Q$3,RawData[Checker ID],$Q$4,RawData[[Error Type ]],$Q$5))</f>
        <v/>
      </c>
    </row>
    <row r="10264" spans="15:15" x14ac:dyDescent="0.25">
      <c r="O10264" s="20" t="str">
        <f>IF(N10264="","",COUNTIFS(RawData[[Date ]],N10264,RawData[Month List],$Q$6,RawData[Tour/Site],$Q$2,RawData[[Picker ID ]],$Q$3,RawData[Checker ID],$Q$4,RawData[[Error Type ]],$Q$5))</f>
        <v/>
      </c>
    </row>
    <row r="10265" spans="15:15" x14ac:dyDescent="0.25">
      <c r="O10265" s="20" t="str">
        <f>IF(N10265="","",COUNTIFS(RawData[[Date ]],N10265,RawData[Month List],$Q$6,RawData[Tour/Site],$Q$2,RawData[[Picker ID ]],$Q$3,RawData[Checker ID],$Q$4,RawData[[Error Type ]],$Q$5))</f>
        <v/>
      </c>
    </row>
    <row r="10266" spans="15:15" x14ac:dyDescent="0.25">
      <c r="O10266" s="20" t="str">
        <f>IF(N10266="","",COUNTIFS(RawData[[Date ]],N10266,RawData[Month List],$Q$6,RawData[Tour/Site],$Q$2,RawData[[Picker ID ]],$Q$3,RawData[Checker ID],$Q$4,RawData[[Error Type ]],$Q$5))</f>
        <v/>
      </c>
    </row>
    <row r="10267" spans="15:15" x14ac:dyDescent="0.25">
      <c r="O10267" s="20" t="str">
        <f>IF(N10267="","",COUNTIFS(RawData[[Date ]],N10267,RawData[Month List],$Q$6,RawData[Tour/Site],$Q$2,RawData[[Picker ID ]],$Q$3,RawData[Checker ID],$Q$4,RawData[[Error Type ]],$Q$5))</f>
        <v/>
      </c>
    </row>
    <row r="10268" spans="15:15" x14ac:dyDescent="0.25">
      <c r="O10268" s="20" t="str">
        <f>IF(N10268="","",COUNTIFS(RawData[[Date ]],N10268,RawData[Month List],$Q$6,RawData[Tour/Site],$Q$2,RawData[[Picker ID ]],$Q$3,RawData[Checker ID],$Q$4,RawData[[Error Type ]],$Q$5))</f>
        <v/>
      </c>
    </row>
    <row r="10269" spans="15:15" x14ac:dyDescent="0.25">
      <c r="O10269" s="20" t="str">
        <f>IF(N10269="","",COUNTIFS(RawData[[Date ]],N10269,RawData[Month List],$Q$6,RawData[Tour/Site],$Q$2,RawData[[Picker ID ]],$Q$3,RawData[Checker ID],$Q$4,RawData[[Error Type ]],$Q$5))</f>
        <v/>
      </c>
    </row>
    <row r="10270" spans="15:15" x14ac:dyDescent="0.25">
      <c r="O10270" s="20" t="str">
        <f>IF(N10270="","",COUNTIFS(RawData[[Date ]],N10270,RawData[Month List],$Q$6,RawData[Tour/Site],$Q$2,RawData[[Picker ID ]],$Q$3,RawData[Checker ID],$Q$4,RawData[[Error Type ]],$Q$5))</f>
        <v/>
      </c>
    </row>
    <row r="10271" spans="15:15" x14ac:dyDescent="0.25">
      <c r="O10271" s="20" t="str">
        <f>IF(N10271="","",COUNTIFS(RawData[[Date ]],N10271,RawData[Month List],$Q$6,RawData[Tour/Site],$Q$2,RawData[[Picker ID ]],$Q$3,RawData[Checker ID],$Q$4,RawData[[Error Type ]],$Q$5))</f>
        <v/>
      </c>
    </row>
    <row r="10272" spans="15:15" x14ac:dyDescent="0.25">
      <c r="O10272" s="20" t="str">
        <f>IF(N10272="","",COUNTIFS(RawData[[Date ]],N10272,RawData[Month List],$Q$6,RawData[Tour/Site],$Q$2,RawData[[Picker ID ]],$Q$3,RawData[Checker ID],$Q$4,RawData[[Error Type ]],$Q$5))</f>
        <v/>
      </c>
    </row>
    <row r="10273" spans="15:15" x14ac:dyDescent="0.25">
      <c r="O10273" s="20" t="str">
        <f>IF(N10273="","",COUNTIFS(RawData[[Date ]],N10273,RawData[Month List],$Q$6,RawData[Tour/Site],$Q$2,RawData[[Picker ID ]],$Q$3,RawData[Checker ID],$Q$4,RawData[[Error Type ]],$Q$5))</f>
        <v/>
      </c>
    </row>
    <row r="10274" spans="15:15" x14ac:dyDescent="0.25">
      <c r="O10274" s="20" t="str">
        <f>IF(N10274="","",COUNTIFS(RawData[[Date ]],N10274,RawData[Month List],$Q$6,RawData[Tour/Site],$Q$2,RawData[[Picker ID ]],$Q$3,RawData[Checker ID],$Q$4,RawData[[Error Type ]],$Q$5))</f>
        <v/>
      </c>
    </row>
    <row r="10275" spans="15:15" x14ac:dyDescent="0.25">
      <c r="O10275" s="20" t="str">
        <f>IF(N10275="","",COUNTIFS(RawData[[Date ]],N10275,RawData[Month List],$Q$6,RawData[Tour/Site],$Q$2,RawData[[Picker ID ]],$Q$3,RawData[Checker ID],$Q$4,RawData[[Error Type ]],$Q$5))</f>
        <v/>
      </c>
    </row>
    <row r="10276" spans="15:15" x14ac:dyDescent="0.25">
      <c r="O10276" s="20" t="str">
        <f>IF(N10276="","",COUNTIFS(RawData[[Date ]],N10276,RawData[Month List],$Q$6,RawData[Tour/Site],$Q$2,RawData[[Picker ID ]],$Q$3,RawData[Checker ID],$Q$4,RawData[[Error Type ]],$Q$5))</f>
        <v/>
      </c>
    </row>
    <row r="10277" spans="15:15" x14ac:dyDescent="0.25">
      <c r="O10277" s="20" t="str">
        <f>IF(N10277="","",COUNTIFS(RawData[[Date ]],N10277,RawData[Month List],$Q$6,RawData[Tour/Site],$Q$2,RawData[[Picker ID ]],$Q$3,RawData[Checker ID],$Q$4,RawData[[Error Type ]],$Q$5))</f>
        <v/>
      </c>
    </row>
    <row r="10278" spans="15:15" x14ac:dyDescent="0.25">
      <c r="O10278" s="20" t="str">
        <f>IF(N10278="","",COUNTIFS(RawData[[Date ]],N10278,RawData[Month List],$Q$6,RawData[Tour/Site],$Q$2,RawData[[Picker ID ]],$Q$3,RawData[Checker ID],$Q$4,RawData[[Error Type ]],$Q$5))</f>
        <v/>
      </c>
    </row>
    <row r="10279" spans="15:15" x14ac:dyDescent="0.25">
      <c r="O10279" s="20" t="str">
        <f>IF(N10279="","",COUNTIFS(RawData[[Date ]],N10279,RawData[Month List],$Q$6,RawData[Tour/Site],$Q$2,RawData[[Picker ID ]],$Q$3,RawData[Checker ID],$Q$4,RawData[[Error Type ]],$Q$5))</f>
        <v/>
      </c>
    </row>
    <row r="10280" spans="15:15" x14ac:dyDescent="0.25">
      <c r="O10280" s="20" t="str">
        <f>IF(N10280="","",COUNTIFS(RawData[[Date ]],N10280,RawData[Month List],$Q$6,RawData[Tour/Site],$Q$2,RawData[[Picker ID ]],$Q$3,RawData[Checker ID],$Q$4,RawData[[Error Type ]],$Q$5))</f>
        <v/>
      </c>
    </row>
    <row r="10281" spans="15:15" x14ac:dyDescent="0.25">
      <c r="O10281" s="20" t="str">
        <f>IF(N10281="","",COUNTIFS(RawData[[Date ]],N10281,RawData[Month List],$Q$6,RawData[Tour/Site],$Q$2,RawData[[Picker ID ]],$Q$3,RawData[Checker ID],$Q$4,RawData[[Error Type ]],$Q$5))</f>
        <v/>
      </c>
    </row>
    <row r="10282" spans="15:15" x14ac:dyDescent="0.25">
      <c r="O10282" s="20" t="str">
        <f>IF(N10282="","",COUNTIFS(RawData[[Date ]],N10282,RawData[Month List],$Q$6,RawData[Tour/Site],$Q$2,RawData[[Picker ID ]],$Q$3,RawData[Checker ID],$Q$4,RawData[[Error Type ]],$Q$5))</f>
        <v/>
      </c>
    </row>
    <row r="10283" spans="15:15" x14ac:dyDescent="0.25">
      <c r="O10283" s="20" t="str">
        <f>IF(N10283="","",COUNTIFS(RawData[[Date ]],N10283,RawData[Month List],$Q$6,RawData[Tour/Site],$Q$2,RawData[[Picker ID ]],$Q$3,RawData[Checker ID],$Q$4,RawData[[Error Type ]],$Q$5))</f>
        <v/>
      </c>
    </row>
    <row r="10284" spans="15:15" x14ac:dyDescent="0.25">
      <c r="O10284" s="20" t="str">
        <f>IF(N10284="","",COUNTIFS(RawData[[Date ]],N10284,RawData[Month List],$Q$6,RawData[Tour/Site],$Q$2,RawData[[Picker ID ]],$Q$3,RawData[Checker ID],$Q$4,RawData[[Error Type ]],$Q$5))</f>
        <v/>
      </c>
    </row>
    <row r="10285" spans="15:15" x14ac:dyDescent="0.25">
      <c r="O10285" s="20" t="str">
        <f>IF(N10285="","",COUNTIFS(RawData[[Date ]],N10285,RawData[Month List],$Q$6,RawData[Tour/Site],$Q$2,RawData[[Picker ID ]],$Q$3,RawData[Checker ID],$Q$4,RawData[[Error Type ]],$Q$5))</f>
        <v/>
      </c>
    </row>
    <row r="10286" spans="15:15" x14ac:dyDescent="0.25">
      <c r="O10286" s="20" t="str">
        <f>IF(N10286="","",COUNTIFS(RawData[[Date ]],N10286,RawData[Month List],$Q$6,RawData[Tour/Site],$Q$2,RawData[[Picker ID ]],$Q$3,RawData[Checker ID],$Q$4,RawData[[Error Type ]],$Q$5))</f>
        <v/>
      </c>
    </row>
    <row r="10287" spans="15:15" x14ac:dyDescent="0.25">
      <c r="O10287" s="20" t="str">
        <f>IF(N10287="","",COUNTIFS(RawData[[Date ]],N10287,RawData[Month List],$Q$6,RawData[Tour/Site],$Q$2,RawData[[Picker ID ]],$Q$3,RawData[Checker ID],$Q$4,RawData[[Error Type ]],$Q$5))</f>
        <v/>
      </c>
    </row>
    <row r="10288" spans="15:15" x14ac:dyDescent="0.25">
      <c r="O10288" s="20" t="str">
        <f>IF(N10288="","",COUNTIFS(RawData[[Date ]],N10288,RawData[Month List],$Q$6,RawData[Tour/Site],$Q$2,RawData[[Picker ID ]],$Q$3,RawData[Checker ID],$Q$4,RawData[[Error Type ]],$Q$5))</f>
        <v/>
      </c>
    </row>
    <row r="10289" spans="15:15" x14ac:dyDescent="0.25">
      <c r="O10289" s="20" t="str">
        <f>IF(N10289="","",COUNTIFS(RawData[[Date ]],N10289,RawData[Month List],$Q$6,RawData[Tour/Site],$Q$2,RawData[[Picker ID ]],$Q$3,RawData[Checker ID],$Q$4,RawData[[Error Type ]],$Q$5))</f>
        <v/>
      </c>
    </row>
    <row r="10290" spans="15:15" x14ac:dyDescent="0.25">
      <c r="O10290" s="20" t="str">
        <f>IF(N10290="","",COUNTIFS(RawData[[Date ]],N10290,RawData[Month List],$Q$6,RawData[Tour/Site],$Q$2,RawData[[Picker ID ]],$Q$3,RawData[Checker ID],$Q$4,RawData[[Error Type ]],$Q$5))</f>
        <v/>
      </c>
    </row>
    <row r="10291" spans="15:15" x14ac:dyDescent="0.25">
      <c r="O10291" s="20" t="str">
        <f>IF(N10291="","",COUNTIFS(RawData[[Date ]],N10291,RawData[Month List],$Q$6,RawData[Tour/Site],$Q$2,RawData[[Picker ID ]],$Q$3,RawData[Checker ID],$Q$4,RawData[[Error Type ]],$Q$5))</f>
        <v/>
      </c>
    </row>
    <row r="10292" spans="15:15" x14ac:dyDescent="0.25">
      <c r="O10292" s="20" t="str">
        <f>IF(N10292="","",COUNTIFS(RawData[[Date ]],N10292,RawData[Month List],$Q$6,RawData[Tour/Site],$Q$2,RawData[[Picker ID ]],$Q$3,RawData[Checker ID],$Q$4,RawData[[Error Type ]],$Q$5))</f>
        <v/>
      </c>
    </row>
    <row r="10293" spans="15:15" x14ac:dyDescent="0.25">
      <c r="O10293" s="20" t="str">
        <f>IF(N10293="","",COUNTIFS(RawData[[Date ]],N10293,RawData[Month List],$Q$6,RawData[Tour/Site],$Q$2,RawData[[Picker ID ]],$Q$3,RawData[Checker ID],$Q$4,RawData[[Error Type ]],$Q$5))</f>
        <v/>
      </c>
    </row>
    <row r="10294" spans="15:15" x14ac:dyDescent="0.25">
      <c r="O10294" s="20" t="str">
        <f>IF(N10294="","",COUNTIFS(RawData[[Date ]],N10294,RawData[Month List],$Q$6,RawData[Tour/Site],$Q$2,RawData[[Picker ID ]],$Q$3,RawData[Checker ID],$Q$4,RawData[[Error Type ]],$Q$5))</f>
        <v/>
      </c>
    </row>
    <row r="10295" spans="15:15" x14ac:dyDescent="0.25">
      <c r="O10295" s="20" t="str">
        <f>IF(N10295="","",COUNTIFS(RawData[[Date ]],N10295,RawData[Month List],$Q$6,RawData[Tour/Site],$Q$2,RawData[[Picker ID ]],$Q$3,RawData[Checker ID],$Q$4,RawData[[Error Type ]],$Q$5))</f>
        <v/>
      </c>
    </row>
    <row r="10296" spans="15:15" x14ac:dyDescent="0.25">
      <c r="O10296" s="20" t="str">
        <f>IF(N10296="","",COUNTIFS(RawData[[Date ]],N10296,RawData[Month List],$Q$6,RawData[Tour/Site],$Q$2,RawData[[Picker ID ]],$Q$3,RawData[Checker ID],$Q$4,RawData[[Error Type ]],$Q$5))</f>
        <v/>
      </c>
    </row>
    <row r="10297" spans="15:15" x14ac:dyDescent="0.25">
      <c r="O10297" s="20" t="str">
        <f>IF(N10297="","",COUNTIFS(RawData[[Date ]],N10297,RawData[Month List],$Q$6,RawData[Tour/Site],$Q$2,RawData[[Picker ID ]],$Q$3,RawData[Checker ID],$Q$4,RawData[[Error Type ]],$Q$5))</f>
        <v/>
      </c>
    </row>
    <row r="10298" spans="15:15" x14ac:dyDescent="0.25">
      <c r="O10298" s="20" t="str">
        <f>IF(N10298="","",COUNTIFS(RawData[[Date ]],N10298,RawData[Month List],$Q$6,RawData[Tour/Site],$Q$2,RawData[[Picker ID ]],$Q$3,RawData[Checker ID],$Q$4,RawData[[Error Type ]],$Q$5))</f>
        <v/>
      </c>
    </row>
    <row r="10299" spans="15:15" x14ac:dyDescent="0.25">
      <c r="O10299" s="20" t="str">
        <f>IF(N10299="","",COUNTIFS(RawData[[Date ]],N10299,RawData[Month List],$Q$6,RawData[Tour/Site],$Q$2,RawData[[Picker ID ]],$Q$3,RawData[Checker ID],$Q$4,RawData[[Error Type ]],$Q$5))</f>
        <v/>
      </c>
    </row>
    <row r="10300" spans="15:15" x14ac:dyDescent="0.25">
      <c r="O10300" s="20" t="str">
        <f>IF(N10300="","",COUNTIFS(RawData[[Date ]],N10300,RawData[Month List],$Q$6,RawData[Tour/Site],$Q$2,RawData[[Picker ID ]],$Q$3,RawData[Checker ID],$Q$4,RawData[[Error Type ]],$Q$5))</f>
        <v/>
      </c>
    </row>
    <row r="10301" spans="15:15" x14ac:dyDescent="0.25">
      <c r="O10301" s="20" t="str">
        <f>IF(N10301="","",COUNTIFS(RawData[[Date ]],N10301,RawData[Month List],$Q$6,RawData[Tour/Site],$Q$2,RawData[[Picker ID ]],$Q$3,RawData[Checker ID],$Q$4,RawData[[Error Type ]],$Q$5))</f>
        <v/>
      </c>
    </row>
    <row r="10302" spans="15:15" x14ac:dyDescent="0.25">
      <c r="O10302" s="20" t="str">
        <f>IF(N10302="","",COUNTIFS(RawData[[Date ]],N10302,RawData[Month List],$Q$6,RawData[Tour/Site],$Q$2,RawData[[Picker ID ]],$Q$3,RawData[Checker ID],$Q$4,RawData[[Error Type ]],$Q$5))</f>
        <v/>
      </c>
    </row>
    <row r="10303" spans="15:15" x14ac:dyDescent="0.25">
      <c r="O10303" s="20" t="str">
        <f>IF(N10303="","",COUNTIFS(RawData[[Date ]],N10303,RawData[Month List],$Q$6,RawData[Tour/Site],$Q$2,RawData[[Picker ID ]],$Q$3,RawData[Checker ID],$Q$4,RawData[[Error Type ]],$Q$5))</f>
        <v/>
      </c>
    </row>
    <row r="10304" spans="15:15" x14ac:dyDescent="0.25">
      <c r="O10304" s="20" t="str">
        <f>IF(N10304="","",COUNTIFS(RawData[[Date ]],N10304,RawData[Month List],$Q$6,RawData[Tour/Site],$Q$2,RawData[[Picker ID ]],$Q$3,RawData[Checker ID],$Q$4,RawData[[Error Type ]],$Q$5))</f>
        <v/>
      </c>
    </row>
    <row r="10305" spans="15:15" x14ac:dyDescent="0.25">
      <c r="O10305" s="20" t="str">
        <f>IF(N10305="","",COUNTIFS(RawData[[Date ]],N10305,RawData[Month List],$Q$6,RawData[Tour/Site],$Q$2,RawData[[Picker ID ]],$Q$3,RawData[Checker ID],$Q$4,RawData[[Error Type ]],$Q$5))</f>
        <v/>
      </c>
    </row>
    <row r="10306" spans="15:15" x14ac:dyDescent="0.25">
      <c r="O10306" s="20" t="str">
        <f>IF(N10306="","",COUNTIFS(RawData[[Date ]],N10306,RawData[Month List],$Q$6,RawData[Tour/Site],$Q$2,RawData[[Picker ID ]],$Q$3,RawData[Checker ID],$Q$4,RawData[[Error Type ]],$Q$5))</f>
        <v/>
      </c>
    </row>
    <row r="10307" spans="15:15" x14ac:dyDescent="0.25">
      <c r="O10307" s="20" t="str">
        <f>IF(N10307="","",COUNTIFS(RawData[[Date ]],N10307,RawData[Month List],$Q$6,RawData[Tour/Site],$Q$2,RawData[[Picker ID ]],$Q$3,RawData[Checker ID],$Q$4,RawData[[Error Type ]],$Q$5))</f>
        <v/>
      </c>
    </row>
    <row r="10308" spans="15:15" x14ac:dyDescent="0.25">
      <c r="O10308" s="20" t="str">
        <f>IF(N10308="","",COUNTIFS(RawData[[Date ]],N10308,RawData[Month List],$Q$6,RawData[Tour/Site],$Q$2,RawData[[Picker ID ]],$Q$3,RawData[Checker ID],$Q$4,RawData[[Error Type ]],$Q$5))</f>
        <v/>
      </c>
    </row>
    <row r="10309" spans="15:15" x14ac:dyDescent="0.25">
      <c r="O10309" s="20" t="str">
        <f>IF(N10309="","",COUNTIFS(RawData[[Date ]],N10309,RawData[Month List],$Q$6,RawData[Tour/Site],$Q$2,RawData[[Picker ID ]],$Q$3,RawData[Checker ID],$Q$4,RawData[[Error Type ]],$Q$5))</f>
        <v/>
      </c>
    </row>
    <row r="10310" spans="15:15" x14ac:dyDescent="0.25">
      <c r="O10310" s="20" t="str">
        <f>IF(N10310="","",COUNTIFS(RawData[[Date ]],N10310,RawData[Month List],$Q$6,RawData[Tour/Site],$Q$2,RawData[[Picker ID ]],$Q$3,RawData[Checker ID],$Q$4,RawData[[Error Type ]],$Q$5))</f>
        <v/>
      </c>
    </row>
    <row r="10311" spans="15:15" x14ac:dyDescent="0.25">
      <c r="O10311" s="20" t="str">
        <f>IF(N10311="","",COUNTIFS(RawData[[Date ]],N10311,RawData[Month List],$Q$6,RawData[Tour/Site],$Q$2,RawData[[Picker ID ]],$Q$3,RawData[Checker ID],$Q$4,RawData[[Error Type ]],$Q$5))</f>
        <v/>
      </c>
    </row>
    <row r="10312" spans="15:15" x14ac:dyDescent="0.25">
      <c r="O10312" s="20" t="str">
        <f>IF(N10312="","",COUNTIFS(RawData[[Date ]],N10312,RawData[Month List],$Q$6,RawData[Tour/Site],$Q$2,RawData[[Picker ID ]],$Q$3,RawData[Checker ID],$Q$4,RawData[[Error Type ]],$Q$5))</f>
        <v/>
      </c>
    </row>
    <row r="10313" spans="15:15" x14ac:dyDescent="0.25">
      <c r="O10313" s="20" t="str">
        <f>IF(N10313="","",COUNTIFS(RawData[[Date ]],N10313,RawData[Month List],$Q$6,RawData[Tour/Site],$Q$2,RawData[[Picker ID ]],$Q$3,RawData[Checker ID],$Q$4,RawData[[Error Type ]],$Q$5))</f>
        <v/>
      </c>
    </row>
    <row r="10314" spans="15:15" x14ac:dyDescent="0.25">
      <c r="O10314" s="20" t="str">
        <f>IF(N10314="","",COUNTIFS(RawData[[Date ]],N10314,RawData[Month List],$Q$6,RawData[Tour/Site],$Q$2,RawData[[Picker ID ]],$Q$3,RawData[Checker ID],$Q$4,RawData[[Error Type ]],$Q$5))</f>
        <v/>
      </c>
    </row>
    <row r="10315" spans="15:15" x14ac:dyDescent="0.25">
      <c r="O10315" s="20" t="str">
        <f>IF(N10315="","",COUNTIFS(RawData[[Date ]],N10315,RawData[Month List],$Q$6,RawData[Tour/Site],$Q$2,RawData[[Picker ID ]],$Q$3,RawData[Checker ID],$Q$4,RawData[[Error Type ]],$Q$5))</f>
        <v/>
      </c>
    </row>
    <row r="10316" spans="15:15" x14ac:dyDescent="0.25">
      <c r="O10316" s="20" t="str">
        <f>IF(N10316="","",COUNTIFS(RawData[[Date ]],N10316,RawData[Month List],$Q$6,RawData[Tour/Site],$Q$2,RawData[[Picker ID ]],$Q$3,RawData[Checker ID],$Q$4,RawData[[Error Type ]],$Q$5))</f>
        <v/>
      </c>
    </row>
    <row r="10317" spans="15:15" x14ac:dyDescent="0.25">
      <c r="O10317" s="20" t="str">
        <f>IF(N10317="","",COUNTIFS(RawData[[Date ]],N10317,RawData[Month List],$Q$6,RawData[Tour/Site],$Q$2,RawData[[Picker ID ]],$Q$3,RawData[Checker ID],$Q$4,RawData[[Error Type ]],$Q$5))</f>
        <v/>
      </c>
    </row>
    <row r="10318" spans="15:15" x14ac:dyDescent="0.25">
      <c r="O10318" s="20" t="str">
        <f>IF(N10318="","",COUNTIFS(RawData[[Date ]],N10318,RawData[Month List],$Q$6,RawData[Tour/Site],$Q$2,RawData[[Picker ID ]],$Q$3,RawData[Checker ID],$Q$4,RawData[[Error Type ]],$Q$5))</f>
        <v/>
      </c>
    </row>
    <row r="10319" spans="15:15" x14ac:dyDescent="0.25">
      <c r="O10319" s="20" t="str">
        <f>IF(N10319="","",COUNTIFS(RawData[[Date ]],N10319,RawData[Month List],$Q$6,RawData[Tour/Site],$Q$2,RawData[[Picker ID ]],$Q$3,RawData[Checker ID],$Q$4,RawData[[Error Type ]],$Q$5))</f>
        <v/>
      </c>
    </row>
    <row r="10320" spans="15:15" x14ac:dyDescent="0.25">
      <c r="O10320" s="20" t="str">
        <f>IF(N10320="","",COUNTIFS(RawData[[Date ]],N10320,RawData[Month List],$Q$6,RawData[Tour/Site],$Q$2,RawData[[Picker ID ]],$Q$3,RawData[Checker ID],$Q$4,RawData[[Error Type ]],$Q$5))</f>
        <v/>
      </c>
    </row>
    <row r="10321" spans="15:15" x14ac:dyDescent="0.25">
      <c r="O10321" s="20" t="str">
        <f>IF(N10321="","",COUNTIFS(RawData[[Date ]],N10321,RawData[Month List],$Q$6,RawData[Tour/Site],$Q$2,RawData[[Picker ID ]],$Q$3,RawData[Checker ID],$Q$4,RawData[[Error Type ]],$Q$5))</f>
        <v/>
      </c>
    </row>
    <row r="10322" spans="15:15" x14ac:dyDescent="0.25">
      <c r="O10322" s="20" t="str">
        <f>IF(N10322="","",COUNTIFS(RawData[[Date ]],N10322,RawData[Month List],$Q$6,RawData[Tour/Site],$Q$2,RawData[[Picker ID ]],$Q$3,RawData[Checker ID],$Q$4,RawData[[Error Type ]],$Q$5))</f>
        <v/>
      </c>
    </row>
    <row r="10323" spans="15:15" x14ac:dyDescent="0.25">
      <c r="O10323" s="20" t="str">
        <f>IF(N10323="","",COUNTIFS(RawData[[Date ]],N10323,RawData[Month List],$Q$6,RawData[Tour/Site],$Q$2,RawData[[Picker ID ]],$Q$3,RawData[Checker ID],$Q$4,RawData[[Error Type ]],$Q$5))</f>
        <v/>
      </c>
    </row>
    <row r="10324" spans="15:15" x14ac:dyDescent="0.25">
      <c r="O10324" s="20" t="str">
        <f>IF(N10324="","",COUNTIFS(RawData[[Date ]],N10324,RawData[Month List],$Q$6,RawData[Tour/Site],$Q$2,RawData[[Picker ID ]],$Q$3,RawData[Checker ID],$Q$4,RawData[[Error Type ]],$Q$5))</f>
        <v/>
      </c>
    </row>
    <row r="10325" spans="15:15" x14ac:dyDescent="0.25">
      <c r="O10325" s="20" t="str">
        <f>IF(N10325="","",COUNTIFS(RawData[[Date ]],N10325,RawData[Month List],$Q$6,RawData[Tour/Site],$Q$2,RawData[[Picker ID ]],$Q$3,RawData[Checker ID],$Q$4,RawData[[Error Type ]],$Q$5))</f>
        <v/>
      </c>
    </row>
    <row r="10326" spans="15:15" x14ac:dyDescent="0.25">
      <c r="O10326" s="20" t="str">
        <f>IF(N10326="","",COUNTIFS(RawData[[Date ]],N10326,RawData[Month List],$Q$6,RawData[Tour/Site],$Q$2,RawData[[Picker ID ]],$Q$3,RawData[Checker ID],$Q$4,RawData[[Error Type ]],$Q$5))</f>
        <v/>
      </c>
    </row>
    <row r="10327" spans="15:15" x14ac:dyDescent="0.25">
      <c r="O10327" s="20" t="str">
        <f>IF(N10327="","",COUNTIFS(RawData[[Date ]],N10327,RawData[Month List],$Q$6,RawData[Tour/Site],$Q$2,RawData[[Picker ID ]],$Q$3,RawData[Checker ID],$Q$4,RawData[[Error Type ]],$Q$5))</f>
        <v/>
      </c>
    </row>
    <row r="10328" spans="15:15" x14ac:dyDescent="0.25">
      <c r="O10328" s="20" t="str">
        <f>IF(N10328="","",COUNTIFS(RawData[[Date ]],N10328,RawData[Month List],$Q$6,RawData[Tour/Site],$Q$2,RawData[[Picker ID ]],$Q$3,RawData[Checker ID],$Q$4,RawData[[Error Type ]],$Q$5))</f>
        <v/>
      </c>
    </row>
    <row r="10329" spans="15:15" x14ac:dyDescent="0.25">
      <c r="O10329" s="20" t="str">
        <f>IF(N10329="","",COUNTIFS(RawData[[Date ]],N10329,RawData[Month List],$Q$6,RawData[Tour/Site],$Q$2,RawData[[Picker ID ]],$Q$3,RawData[Checker ID],$Q$4,RawData[[Error Type ]],$Q$5))</f>
        <v/>
      </c>
    </row>
    <row r="10330" spans="15:15" x14ac:dyDescent="0.25">
      <c r="O10330" s="20" t="str">
        <f>IF(N10330="","",COUNTIFS(RawData[[Date ]],N10330,RawData[Month List],$Q$6,RawData[Tour/Site],$Q$2,RawData[[Picker ID ]],$Q$3,RawData[Checker ID],$Q$4,RawData[[Error Type ]],$Q$5))</f>
        <v/>
      </c>
    </row>
    <row r="10331" spans="15:15" x14ac:dyDescent="0.25">
      <c r="O10331" s="20" t="str">
        <f>IF(N10331="","",COUNTIFS(RawData[[Date ]],N10331,RawData[Month List],$Q$6,RawData[Tour/Site],$Q$2,RawData[[Picker ID ]],$Q$3,RawData[Checker ID],$Q$4,RawData[[Error Type ]],$Q$5))</f>
        <v/>
      </c>
    </row>
    <row r="10332" spans="15:15" x14ac:dyDescent="0.25">
      <c r="O10332" s="20" t="str">
        <f>IF(N10332="","",COUNTIFS(RawData[[Date ]],N10332,RawData[Month List],$Q$6,RawData[Tour/Site],$Q$2,RawData[[Picker ID ]],$Q$3,RawData[Checker ID],$Q$4,RawData[[Error Type ]],$Q$5))</f>
        <v/>
      </c>
    </row>
    <row r="10333" spans="15:15" x14ac:dyDescent="0.25">
      <c r="O10333" s="20" t="str">
        <f>IF(N10333="","",COUNTIFS(RawData[[Date ]],N10333,RawData[Month List],$Q$6,RawData[Tour/Site],$Q$2,RawData[[Picker ID ]],$Q$3,RawData[Checker ID],$Q$4,RawData[[Error Type ]],$Q$5))</f>
        <v/>
      </c>
    </row>
    <row r="10334" spans="15:15" x14ac:dyDescent="0.25">
      <c r="O10334" s="20" t="str">
        <f>IF(N10334="","",COUNTIFS(RawData[[Date ]],N10334,RawData[Month List],$Q$6,RawData[Tour/Site],$Q$2,RawData[[Picker ID ]],$Q$3,RawData[Checker ID],$Q$4,RawData[[Error Type ]],$Q$5))</f>
        <v/>
      </c>
    </row>
    <row r="10335" spans="15:15" x14ac:dyDescent="0.25">
      <c r="O10335" s="20" t="str">
        <f>IF(N10335="","",COUNTIFS(RawData[[Date ]],N10335,RawData[Month List],$Q$6,RawData[Tour/Site],$Q$2,RawData[[Picker ID ]],$Q$3,RawData[Checker ID],$Q$4,RawData[[Error Type ]],$Q$5))</f>
        <v/>
      </c>
    </row>
    <row r="10336" spans="15:15" x14ac:dyDescent="0.25">
      <c r="O10336" s="20" t="str">
        <f>IF(N10336="","",COUNTIFS(RawData[[Date ]],N10336,RawData[Month List],$Q$6,RawData[Tour/Site],$Q$2,RawData[[Picker ID ]],$Q$3,RawData[Checker ID],$Q$4,RawData[[Error Type ]],$Q$5))</f>
        <v/>
      </c>
    </row>
    <row r="10337" spans="15:15" x14ac:dyDescent="0.25">
      <c r="O10337" s="20" t="str">
        <f>IF(N10337="","",COUNTIFS(RawData[[Date ]],N10337,RawData[Month List],$Q$6,RawData[Tour/Site],$Q$2,RawData[[Picker ID ]],$Q$3,RawData[Checker ID],$Q$4,RawData[[Error Type ]],$Q$5))</f>
        <v/>
      </c>
    </row>
    <row r="10338" spans="15:15" x14ac:dyDescent="0.25">
      <c r="O10338" s="20" t="str">
        <f>IF(N10338="","",COUNTIFS(RawData[[Date ]],N10338,RawData[Month List],$Q$6,RawData[Tour/Site],$Q$2,RawData[[Picker ID ]],$Q$3,RawData[Checker ID],$Q$4,RawData[[Error Type ]],$Q$5))</f>
        <v/>
      </c>
    </row>
    <row r="10339" spans="15:15" x14ac:dyDescent="0.25">
      <c r="O10339" s="20" t="str">
        <f>IF(N10339="","",COUNTIFS(RawData[[Date ]],N10339,RawData[Month List],$Q$6,RawData[Tour/Site],$Q$2,RawData[[Picker ID ]],$Q$3,RawData[Checker ID],$Q$4,RawData[[Error Type ]],$Q$5))</f>
        <v/>
      </c>
    </row>
    <row r="10340" spans="15:15" x14ac:dyDescent="0.25">
      <c r="O10340" s="20" t="str">
        <f>IF(N10340="","",COUNTIFS(RawData[[Date ]],N10340,RawData[Month List],$Q$6,RawData[Tour/Site],$Q$2,RawData[[Picker ID ]],$Q$3,RawData[Checker ID],$Q$4,RawData[[Error Type ]],$Q$5))</f>
        <v/>
      </c>
    </row>
    <row r="10341" spans="15:15" x14ac:dyDescent="0.25">
      <c r="O10341" s="20" t="str">
        <f>IF(N10341="","",COUNTIFS(RawData[[Date ]],N10341,RawData[Month List],$Q$6,RawData[Tour/Site],$Q$2,RawData[[Picker ID ]],$Q$3,RawData[Checker ID],$Q$4,RawData[[Error Type ]],$Q$5))</f>
        <v/>
      </c>
    </row>
    <row r="10342" spans="15:15" x14ac:dyDescent="0.25">
      <c r="O10342" s="20" t="str">
        <f>IF(N10342="","",COUNTIFS(RawData[[Date ]],N10342,RawData[Month List],$Q$6,RawData[Tour/Site],$Q$2,RawData[[Picker ID ]],$Q$3,RawData[Checker ID],$Q$4,RawData[[Error Type ]],$Q$5))</f>
        <v/>
      </c>
    </row>
    <row r="10343" spans="15:15" x14ac:dyDescent="0.25">
      <c r="O10343" s="20" t="str">
        <f>IF(N10343="","",COUNTIFS(RawData[[Date ]],N10343,RawData[Month List],$Q$6,RawData[Tour/Site],$Q$2,RawData[[Picker ID ]],$Q$3,RawData[Checker ID],$Q$4,RawData[[Error Type ]],$Q$5))</f>
        <v/>
      </c>
    </row>
    <row r="10344" spans="15:15" x14ac:dyDescent="0.25">
      <c r="O10344" s="20" t="str">
        <f>IF(N10344="","",COUNTIFS(RawData[[Date ]],N10344,RawData[Month List],$Q$6,RawData[Tour/Site],$Q$2,RawData[[Picker ID ]],$Q$3,RawData[Checker ID],$Q$4,RawData[[Error Type ]],$Q$5))</f>
        <v/>
      </c>
    </row>
    <row r="10345" spans="15:15" x14ac:dyDescent="0.25">
      <c r="O10345" s="20" t="str">
        <f>IF(N10345="","",COUNTIFS(RawData[[Date ]],N10345,RawData[Month List],$Q$6,RawData[Tour/Site],$Q$2,RawData[[Picker ID ]],$Q$3,RawData[Checker ID],$Q$4,RawData[[Error Type ]],$Q$5))</f>
        <v/>
      </c>
    </row>
    <row r="10346" spans="15:15" x14ac:dyDescent="0.25">
      <c r="O10346" s="20" t="str">
        <f>IF(N10346="","",COUNTIFS(RawData[[Date ]],N10346,RawData[Month List],$Q$6,RawData[Tour/Site],$Q$2,RawData[[Picker ID ]],$Q$3,RawData[Checker ID],$Q$4,RawData[[Error Type ]],$Q$5))</f>
        <v/>
      </c>
    </row>
    <row r="10347" spans="15:15" x14ac:dyDescent="0.25">
      <c r="O10347" s="20" t="str">
        <f>IF(N10347="","",COUNTIFS(RawData[[Date ]],N10347,RawData[Month List],$Q$6,RawData[Tour/Site],$Q$2,RawData[[Picker ID ]],$Q$3,RawData[Checker ID],$Q$4,RawData[[Error Type ]],$Q$5))</f>
        <v/>
      </c>
    </row>
    <row r="10348" spans="15:15" x14ac:dyDescent="0.25">
      <c r="O10348" s="20" t="str">
        <f>IF(N10348="","",COUNTIFS(RawData[[Date ]],N10348,RawData[Month List],$Q$6,RawData[Tour/Site],$Q$2,RawData[[Picker ID ]],$Q$3,RawData[Checker ID],$Q$4,RawData[[Error Type ]],$Q$5))</f>
        <v/>
      </c>
    </row>
    <row r="10349" spans="15:15" x14ac:dyDescent="0.25">
      <c r="O10349" s="20" t="str">
        <f>IF(N10349="","",COUNTIFS(RawData[[Date ]],N10349,RawData[Month List],$Q$6,RawData[Tour/Site],$Q$2,RawData[[Picker ID ]],$Q$3,RawData[Checker ID],$Q$4,RawData[[Error Type ]],$Q$5))</f>
        <v/>
      </c>
    </row>
    <row r="10350" spans="15:15" x14ac:dyDescent="0.25">
      <c r="O10350" s="20" t="str">
        <f>IF(N10350="","",COUNTIFS(RawData[[Date ]],N10350,RawData[Month List],$Q$6,RawData[Tour/Site],$Q$2,RawData[[Picker ID ]],$Q$3,RawData[Checker ID],$Q$4,RawData[[Error Type ]],$Q$5))</f>
        <v/>
      </c>
    </row>
    <row r="10351" spans="15:15" x14ac:dyDescent="0.25">
      <c r="O10351" s="20" t="str">
        <f>IF(N10351="","",COUNTIFS(RawData[[Date ]],N10351,RawData[Month List],$Q$6,RawData[Tour/Site],$Q$2,RawData[[Picker ID ]],$Q$3,RawData[Checker ID],$Q$4,RawData[[Error Type ]],$Q$5))</f>
        <v/>
      </c>
    </row>
    <row r="10352" spans="15:15" x14ac:dyDescent="0.25">
      <c r="O10352" s="20" t="str">
        <f>IF(N10352="","",COUNTIFS(RawData[[Date ]],N10352,RawData[Month List],$Q$6,RawData[Tour/Site],$Q$2,RawData[[Picker ID ]],$Q$3,RawData[Checker ID],$Q$4,RawData[[Error Type ]],$Q$5))</f>
        <v/>
      </c>
    </row>
    <row r="10353" spans="15:15" x14ac:dyDescent="0.25">
      <c r="O10353" s="20" t="str">
        <f>IF(N10353="","",COUNTIFS(RawData[[Date ]],N10353,RawData[Month List],$Q$6,RawData[Tour/Site],$Q$2,RawData[[Picker ID ]],$Q$3,RawData[Checker ID],$Q$4,RawData[[Error Type ]],$Q$5))</f>
        <v/>
      </c>
    </row>
    <row r="10354" spans="15:15" x14ac:dyDescent="0.25">
      <c r="O10354" s="20" t="str">
        <f>IF(N10354="","",COUNTIFS(RawData[[Date ]],N10354,RawData[Month List],$Q$6,RawData[Tour/Site],$Q$2,RawData[[Picker ID ]],$Q$3,RawData[Checker ID],$Q$4,RawData[[Error Type ]],$Q$5))</f>
        <v/>
      </c>
    </row>
    <row r="10355" spans="15:15" x14ac:dyDescent="0.25">
      <c r="O10355" s="20" t="str">
        <f>IF(N10355="","",COUNTIFS(RawData[[Date ]],N10355,RawData[Month List],$Q$6,RawData[Tour/Site],$Q$2,RawData[[Picker ID ]],$Q$3,RawData[Checker ID],$Q$4,RawData[[Error Type ]],$Q$5))</f>
        <v/>
      </c>
    </row>
    <row r="10356" spans="15:15" x14ac:dyDescent="0.25">
      <c r="O10356" s="20" t="str">
        <f>IF(N10356="","",COUNTIFS(RawData[[Date ]],N10356,RawData[Month List],$Q$6,RawData[Tour/Site],$Q$2,RawData[[Picker ID ]],$Q$3,RawData[Checker ID],$Q$4,RawData[[Error Type ]],$Q$5))</f>
        <v/>
      </c>
    </row>
    <row r="10357" spans="15:15" x14ac:dyDescent="0.25">
      <c r="O10357" s="20" t="str">
        <f>IF(N10357="","",COUNTIFS(RawData[[Date ]],N10357,RawData[Month List],$Q$6,RawData[Tour/Site],$Q$2,RawData[[Picker ID ]],$Q$3,RawData[Checker ID],$Q$4,RawData[[Error Type ]],$Q$5))</f>
        <v/>
      </c>
    </row>
    <row r="10358" spans="15:15" x14ac:dyDescent="0.25">
      <c r="O10358" s="20" t="str">
        <f>IF(N10358="","",COUNTIFS(RawData[[Date ]],N10358,RawData[Month List],$Q$6,RawData[Tour/Site],$Q$2,RawData[[Picker ID ]],$Q$3,RawData[Checker ID],$Q$4,RawData[[Error Type ]],$Q$5))</f>
        <v/>
      </c>
    </row>
    <row r="10359" spans="15:15" x14ac:dyDescent="0.25">
      <c r="O10359" s="20" t="str">
        <f>IF(N10359="","",COUNTIFS(RawData[[Date ]],N10359,RawData[Month List],$Q$6,RawData[Tour/Site],$Q$2,RawData[[Picker ID ]],$Q$3,RawData[Checker ID],$Q$4,RawData[[Error Type ]],$Q$5))</f>
        <v/>
      </c>
    </row>
    <row r="10360" spans="15:15" x14ac:dyDescent="0.25">
      <c r="O10360" s="20" t="str">
        <f>IF(N10360="","",COUNTIFS(RawData[[Date ]],N10360,RawData[Month List],$Q$6,RawData[Tour/Site],$Q$2,RawData[[Picker ID ]],$Q$3,RawData[Checker ID],$Q$4,RawData[[Error Type ]],$Q$5))</f>
        <v/>
      </c>
    </row>
    <row r="10361" spans="15:15" x14ac:dyDescent="0.25">
      <c r="O10361" s="20" t="str">
        <f>IF(N10361="","",COUNTIFS(RawData[[Date ]],N10361,RawData[Month List],$Q$6,RawData[Tour/Site],$Q$2,RawData[[Picker ID ]],$Q$3,RawData[Checker ID],$Q$4,RawData[[Error Type ]],$Q$5))</f>
        <v/>
      </c>
    </row>
    <row r="10362" spans="15:15" x14ac:dyDescent="0.25">
      <c r="O10362" s="20" t="str">
        <f>IF(N10362="","",COUNTIFS(RawData[[Date ]],N10362,RawData[Month List],$Q$6,RawData[Tour/Site],$Q$2,RawData[[Picker ID ]],$Q$3,RawData[Checker ID],$Q$4,RawData[[Error Type ]],$Q$5))</f>
        <v/>
      </c>
    </row>
    <row r="10363" spans="15:15" x14ac:dyDescent="0.25">
      <c r="O10363" s="20" t="str">
        <f>IF(N10363="","",COUNTIFS(RawData[[Date ]],N10363,RawData[Month List],$Q$6,RawData[Tour/Site],$Q$2,RawData[[Picker ID ]],$Q$3,RawData[Checker ID],$Q$4,RawData[[Error Type ]],$Q$5))</f>
        <v/>
      </c>
    </row>
    <row r="10364" spans="15:15" x14ac:dyDescent="0.25">
      <c r="O10364" s="20" t="str">
        <f>IF(N10364="","",COUNTIFS(RawData[[Date ]],N10364,RawData[Month List],$Q$6,RawData[Tour/Site],$Q$2,RawData[[Picker ID ]],$Q$3,RawData[Checker ID],$Q$4,RawData[[Error Type ]],$Q$5))</f>
        <v/>
      </c>
    </row>
    <row r="10365" spans="15:15" x14ac:dyDescent="0.25">
      <c r="O10365" s="20" t="str">
        <f>IF(N10365="","",COUNTIFS(RawData[[Date ]],N10365,RawData[Month List],$Q$6,RawData[Tour/Site],$Q$2,RawData[[Picker ID ]],$Q$3,RawData[Checker ID],$Q$4,RawData[[Error Type ]],$Q$5))</f>
        <v/>
      </c>
    </row>
    <row r="10366" spans="15:15" x14ac:dyDescent="0.25">
      <c r="O10366" s="20" t="str">
        <f>IF(N10366="","",COUNTIFS(RawData[[Date ]],N10366,RawData[Month List],$Q$6,RawData[Tour/Site],$Q$2,RawData[[Picker ID ]],$Q$3,RawData[Checker ID],$Q$4,RawData[[Error Type ]],$Q$5))</f>
        <v/>
      </c>
    </row>
    <row r="10367" spans="15:15" x14ac:dyDescent="0.25">
      <c r="O10367" s="20" t="str">
        <f>IF(N10367="","",COUNTIFS(RawData[[Date ]],N10367,RawData[Month List],$Q$6,RawData[Tour/Site],$Q$2,RawData[[Picker ID ]],$Q$3,RawData[Checker ID],$Q$4,RawData[[Error Type ]],$Q$5))</f>
        <v/>
      </c>
    </row>
    <row r="10368" spans="15:15" x14ac:dyDescent="0.25">
      <c r="O10368" s="20" t="str">
        <f>IF(N10368="","",COUNTIFS(RawData[[Date ]],N10368,RawData[Month List],$Q$6,RawData[Tour/Site],$Q$2,RawData[[Picker ID ]],$Q$3,RawData[Checker ID],$Q$4,RawData[[Error Type ]],$Q$5))</f>
        <v/>
      </c>
    </row>
    <row r="10369" spans="15:15" x14ac:dyDescent="0.25">
      <c r="O10369" s="20" t="str">
        <f>IF(N10369="","",COUNTIFS(RawData[[Date ]],N10369,RawData[Month List],$Q$6,RawData[Tour/Site],$Q$2,RawData[[Picker ID ]],$Q$3,RawData[Checker ID],$Q$4,RawData[[Error Type ]],$Q$5))</f>
        <v/>
      </c>
    </row>
    <row r="10370" spans="15:15" x14ac:dyDescent="0.25">
      <c r="O10370" s="20" t="str">
        <f>IF(N10370="","",COUNTIFS(RawData[[Date ]],N10370,RawData[Month List],$Q$6,RawData[Tour/Site],$Q$2,RawData[[Picker ID ]],$Q$3,RawData[Checker ID],$Q$4,RawData[[Error Type ]],$Q$5))</f>
        <v/>
      </c>
    </row>
    <row r="10371" spans="15:15" x14ac:dyDescent="0.25">
      <c r="O10371" s="20" t="str">
        <f>IF(N10371="","",COUNTIFS(RawData[[Date ]],N10371,RawData[Month List],$Q$6,RawData[Tour/Site],$Q$2,RawData[[Picker ID ]],$Q$3,RawData[Checker ID],$Q$4,RawData[[Error Type ]],$Q$5))</f>
        <v/>
      </c>
    </row>
    <row r="10372" spans="15:15" x14ac:dyDescent="0.25">
      <c r="O10372" s="20" t="str">
        <f>IF(N10372="","",COUNTIFS(RawData[[Date ]],N10372,RawData[Month List],$Q$6,RawData[Tour/Site],$Q$2,RawData[[Picker ID ]],$Q$3,RawData[Checker ID],$Q$4,RawData[[Error Type ]],$Q$5))</f>
        <v/>
      </c>
    </row>
    <row r="10373" spans="15:15" x14ac:dyDescent="0.25">
      <c r="O10373" s="20" t="str">
        <f>IF(N10373="","",COUNTIFS(RawData[[Date ]],N10373,RawData[Month List],$Q$6,RawData[Tour/Site],$Q$2,RawData[[Picker ID ]],$Q$3,RawData[Checker ID],$Q$4,RawData[[Error Type ]],$Q$5))</f>
        <v/>
      </c>
    </row>
    <row r="10374" spans="15:15" x14ac:dyDescent="0.25">
      <c r="O10374" s="20" t="str">
        <f>IF(N10374="","",COUNTIFS(RawData[[Date ]],N10374,RawData[Month List],$Q$6,RawData[Tour/Site],$Q$2,RawData[[Picker ID ]],$Q$3,RawData[Checker ID],$Q$4,RawData[[Error Type ]],$Q$5))</f>
        <v/>
      </c>
    </row>
    <row r="10375" spans="15:15" x14ac:dyDescent="0.25">
      <c r="O10375" s="20" t="str">
        <f>IF(N10375="","",COUNTIFS(RawData[[Date ]],N10375,RawData[Month List],$Q$6,RawData[Tour/Site],$Q$2,RawData[[Picker ID ]],$Q$3,RawData[Checker ID],$Q$4,RawData[[Error Type ]],$Q$5))</f>
        <v/>
      </c>
    </row>
    <row r="10376" spans="15:15" x14ac:dyDescent="0.25">
      <c r="O10376" s="20" t="str">
        <f>IF(N10376="","",COUNTIFS(RawData[[Date ]],N10376,RawData[Month List],$Q$6,RawData[Tour/Site],$Q$2,RawData[[Picker ID ]],$Q$3,RawData[Checker ID],$Q$4,RawData[[Error Type ]],$Q$5))</f>
        <v/>
      </c>
    </row>
    <row r="10377" spans="15:15" x14ac:dyDescent="0.25">
      <c r="O10377" s="20" t="str">
        <f>IF(N10377="","",COUNTIFS(RawData[[Date ]],N10377,RawData[Month List],$Q$6,RawData[Tour/Site],$Q$2,RawData[[Picker ID ]],$Q$3,RawData[Checker ID],$Q$4,RawData[[Error Type ]],$Q$5))</f>
        <v/>
      </c>
    </row>
    <row r="10378" spans="15:15" x14ac:dyDescent="0.25">
      <c r="O10378" s="20" t="str">
        <f>IF(N10378="","",COUNTIFS(RawData[[Date ]],N10378,RawData[Month List],$Q$6,RawData[Tour/Site],$Q$2,RawData[[Picker ID ]],$Q$3,RawData[Checker ID],$Q$4,RawData[[Error Type ]],$Q$5))</f>
        <v/>
      </c>
    </row>
    <row r="10379" spans="15:15" x14ac:dyDescent="0.25">
      <c r="O10379" s="20" t="str">
        <f>IF(N10379="","",COUNTIFS(RawData[[Date ]],N10379,RawData[Month List],$Q$6,RawData[Tour/Site],$Q$2,RawData[[Picker ID ]],$Q$3,RawData[Checker ID],$Q$4,RawData[[Error Type ]],$Q$5))</f>
        <v/>
      </c>
    </row>
    <row r="10380" spans="15:15" x14ac:dyDescent="0.25">
      <c r="O10380" s="20" t="str">
        <f>IF(N10380="","",COUNTIFS(RawData[[Date ]],N10380,RawData[Month List],$Q$6,RawData[Tour/Site],$Q$2,RawData[[Picker ID ]],$Q$3,RawData[Checker ID],$Q$4,RawData[[Error Type ]],$Q$5))</f>
        <v/>
      </c>
    </row>
    <row r="10381" spans="15:15" x14ac:dyDescent="0.25">
      <c r="O10381" s="20" t="str">
        <f>IF(N10381="","",COUNTIFS(RawData[[Date ]],N10381,RawData[Month List],$Q$6,RawData[Tour/Site],$Q$2,RawData[[Picker ID ]],$Q$3,RawData[Checker ID],$Q$4,RawData[[Error Type ]],$Q$5))</f>
        <v/>
      </c>
    </row>
    <row r="10382" spans="15:15" x14ac:dyDescent="0.25">
      <c r="O10382" s="20" t="str">
        <f>IF(N10382="","",COUNTIFS(RawData[[Date ]],N10382,RawData[Month List],$Q$6,RawData[Tour/Site],$Q$2,RawData[[Picker ID ]],$Q$3,RawData[Checker ID],$Q$4,RawData[[Error Type ]],$Q$5))</f>
        <v/>
      </c>
    </row>
    <row r="10383" spans="15:15" x14ac:dyDescent="0.25">
      <c r="O10383" s="20" t="str">
        <f>IF(N10383="","",COUNTIFS(RawData[[Date ]],N10383,RawData[Month List],$Q$6,RawData[Tour/Site],$Q$2,RawData[[Picker ID ]],$Q$3,RawData[Checker ID],$Q$4,RawData[[Error Type ]],$Q$5))</f>
        <v/>
      </c>
    </row>
    <row r="10384" spans="15:15" x14ac:dyDescent="0.25">
      <c r="O10384" s="20" t="str">
        <f>IF(N10384="","",COUNTIFS(RawData[[Date ]],N10384,RawData[Month List],$Q$6,RawData[Tour/Site],$Q$2,RawData[[Picker ID ]],$Q$3,RawData[Checker ID],$Q$4,RawData[[Error Type ]],$Q$5))</f>
        <v/>
      </c>
    </row>
    <row r="10385" spans="15:15" x14ac:dyDescent="0.25">
      <c r="O10385" s="20" t="str">
        <f>IF(N10385="","",COUNTIFS(RawData[[Date ]],N10385,RawData[Month List],$Q$6,RawData[Tour/Site],$Q$2,RawData[[Picker ID ]],$Q$3,RawData[Checker ID],$Q$4,RawData[[Error Type ]],$Q$5))</f>
        <v/>
      </c>
    </row>
    <row r="10386" spans="15:15" x14ac:dyDescent="0.25">
      <c r="O10386" s="20" t="str">
        <f>IF(N10386="","",COUNTIFS(RawData[[Date ]],N10386,RawData[Month List],$Q$6,RawData[Tour/Site],$Q$2,RawData[[Picker ID ]],$Q$3,RawData[Checker ID],$Q$4,RawData[[Error Type ]],$Q$5))</f>
        <v/>
      </c>
    </row>
    <row r="10387" spans="15:15" x14ac:dyDescent="0.25">
      <c r="O10387" s="20" t="str">
        <f>IF(N10387="","",COUNTIFS(RawData[[Date ]],N10387,RawData[Month List],$Q$6,RawData[Tour/Site],$Q$2,RawData[[Picker ID ]],$Q$3,RawData[Checker ID],$Q$4,RawData[[Error Type ]],$Q$5))</f>
        <v/>
      </c>
    </row>
    <row r="10388" spans="15:15" x14ac:dyDescent="0.25">
      <c r="O10388" s="20" t="str">
        <f>IF(N10388="","",COUNTIFS(RawData[[Date ]],N10388,RawData[Month List],$Q$6,RawData[Tour/Site],$Q$2,RawData[[Picker ID ]],$Q$3,RawData[Checker ID],$Q$4,RawData[[Error Type ]],$Q$5))</f>
        <v/>
      </c>
    </row>
    <row r="10389" spans="15:15" x14ac:dyDescent="0.25">
      <c r="O10389" s="20" t="str">
        <f>IF(N10389="","",COUNTIFS(RawData[[Date ]],N10389,RawData[Month List],$Q$6,RawData[Tour/Site],$Q$2,RawData[[Picker ID ]],$Q$3,RawData[Checker ID],$Q$4,RawData[[Error Type ]],$Q$5))</f>
        <v/>
      </c>
    </row>
    <row r="10390" spans="15:15" x14ac:dyDescent="0.25">
      <c r="O10390" s="20" t="str">
        <f>IF(N10390="","",COUNTIFS(RawData[[Date ]],N10390,RawData[Month List],$Q$6,RawData[Tour/Site],$Q$2,RawData[[Picker ID ]],$Q$3,RawData[Checker ID],$Q$4,RawData[[Error Type ]],$Q$5))</f>
        <v/>
      </c>
    </row>
    <row r="10391" spans="15:15" x14ac:dyDescent="0.25">
      <c r="O10391" s="20" t="str">
        <f>IF(N10391="","",COUNTIFS(RawData[[Date ]],N10391,RawData[Month List],$Q$6,RawData[Tour/Site],$Q$2,RawData[[Picker ID ]],$Q$3,RawData[Checker ID],$Q$4,RawData[[Error Type ]],$Q$5))</f>
        <v/>
      </c>
    </row>
    <row r="10392" spans="15:15" x14ac:dyDescent="0.25">
      <c r="O10392" s="20" t="str">
        <f>IF(N10392="","",COUNTIFS(RawData[[Date ]],N10392,RawData[Month List],$Q$6,RawData[Tour/Site],$Q$2,RawData[[Picker ID ]],$Q$3,RawData[Checker ID],$Q$4,RawData[[Error Type ]],$Q$5))</f>
        <v/>
      </c>
    </row>
    <row r="10393" spans="15:15" x14ac:dyDescent="0.25">
      <c r="O10393" s="20" t="str">
        <f>IF(N10393="","",COUNTIFS(RawData[[Date ]],N10393,RawData[Month List],$Q$6,RawData[Tour/Site],$Q$2,RawData[[Picker ID ]],$Q$3,RawData[Checker ID],$Q$4,RawData[[Error Type ]],$Q$5))</f>
        <v/>
      </c>
    </row>
    <row r="10394" spans="15:15" x14ac:dyDescent="0.25">
      <c r="O10394" s="20" t="str">
        <f>IF(N10394="","",COUNTIFS(RawData[[Date ]],N10394,RawData[Month List],$Q$6,RawData[Tour/Site],$Q$2,RawData[[Picker ID ]],$Q$3,RawData[Checker ID],$Q$4,RawData[[Error Type ]],$Q$5))</f>
        <v/>
      </c>
    </row>
    <row r="10395" spans="15:15" x14ac:dyDescent="0.25">
      <c r="O10395" s="20" t="str">
        <f>IF(N10395="","",COUNTIFS(RawData[[Date ]],N10395,RawData[Month List],$Q$6,RawData[Tour/Site],$Q$2,RawData[[Picker ID ]],$Q$3,RawData[Checker ID],$Q$4,RawData[[Error Type ]],$Q$5))</f>
        <v/>
      </c>
    </row>
    <row r="10396" spans="15:15" x14ac:dyDescent="0.25">
      <c r="O10396" s="20" t="str">
        <f>IF(N10396="","",COUNTIFS(RawData[[Date ]],N10396,RawData[Month List],$Q$6,RawData[Tour/Site],$Q$2,RawData[[Picker ID ]],$Q$3,RawData[Checker ID],$Q$4,RawData[[Error Type ]],$Q$5))</f>
        <v/>
      </c>
    </row>
    <row r="10397" spans="15:15" x14ac:dyDescent="0.25">
      <c r="O10397" s="20" t="str">
        <f>IF(N10397="","",COUNTIFS(RawData[[Date ]],N10397,RawData[Month List],$Q$6,RawData[Tour/Site],$Q$2,RawData[[Picker ID ]],$Q$3,RawData[Checker ID],$Q$4,RawData[[Error Type ]],$Q$5))</f>
        <v/>
      </c>
    </row>
    <row r="10398" spans="15:15" x14ac:dyDescent="0.25">
      <c r="O10398" s="20" t="str">
        <f>IF(N10398="","",COUNTIFS(RawData[[Date ]],N10398,RawData[Month List],$Q$6,RawData[Tour/Site],$Q$2,RawData[[Picker ID ]],$Q$3,RawData[Checker ID],$Q$4,RawData[[Error Type ]],$Q$5))</f>
        <v/>
      </c>
    </row>
    <row r="10399" spans="15:15" x14ac:dyDescent="0.25">
      <c r="O10399" s="20" t="str">
        <f>IF(N10399="","",COUNTIFS(RawData[[Date ]],N10399,RawData[Month List],$Q$6,RawData[Tour/Site],$Q$2,RawData[[Picker ID ]],$Q$3,RawData[Checker ID],$Q$4,RawData[[Error Type ]],$Q$5))</f>
        <v/>
      </c>
    </row>
    <row r="10400" spans="15:15" x14ac:dyDescent="0.25">
      <c r="O10400" s="20" t="str">
        <f>IF(N10400="","",COUNTIFS(RawData[[Date ]],N10400,RawData[Month List],$Q$6,RawData[Tour/Site],$Q$2,RawData[[Picker ID ]],$Q$3,RawData[Checker ID],$Q$4,RawData[[Error Type ]],$Q$5))</f>
        <v/>
      </c>
    </row>
    <row r="10401" spans="15:15" x14ac:dyDescent="0.25">
      <c r="O10401" s="20" t="str">
        <f>IF(N10401="","",COUNTIFS(RawData[[Date ]],N10401,RawData[Month List],$Q$6,RawData[Tour/Site],$Q$2,RawData[[Picker ID ]],$Q$3,RawData[Checker ID],$Q$4,RawData[[Error Type ]],$Q$5))</f>
        <v/>
      </c>
    </row>
    <row r="10402" spans="15:15" x14ac:dyDescent="0.25">
      <c r="O10402" s="20" t="str">
        <f>IF(N10402="","",COUNTIFS(RawData[[Date ]],N10402,RawData[Month List],$Q$6,RawData[Tour/Site],$Q$2,RawData[[Picker ID ]],$Q$3,RawData[Checker ID],$Q$4,RawData[[Error Type ]],$Q$5))</f>
        <v/>
      </c>
    </row>
    <row r="10403" spans="15:15" x14ac:dyDescent="0.25">
      <c r="O10403" s="20" t="str">
        <f>IF(N10403="","",COUNTIFS(RawData[[Date ]],N10403,RawData[Month List],$Q$6,RawData[Tour/Site],$Q$2,RawData[[Picker ID ]],$Q$3,RawData[Checker ID],$Q$4,RawData[[Error Type ]],$Q$5))</f>
        <v/>
      </c>
    </row>
    <row r="10404" spans="15:15" x14ac:dyDescent="0.25">
      <c r="O10404" s="20" t="str">
        <f>IF(N10404="","",COUNTIFS(RawData[[Date ]],N10404,RawData[Month List],$Q$6,RawData[Tour/Site],$Q$2,RawData[[Picker ID ]],$Q$3,RawData[Checker ID],$Q$4,RawData[[Error Type ]],$Q$5))</f>
        <v/>
      </c>
    </row>
    <row r="10405" spans="15:15" x14ac:dyDescent="0.25">
      <c r="O10405" s="20" t="str">
        <f>IF(N10405="","",COUNTIFS(RawData[[Date ]],N10405,RawData[Month List],$Q$6,RawData[Tour/Site],$Q$2,RawData[[Picker ID ]],$Q$3,RawData[Checker ID],$Q$4,RawData[[Error Type ]],$Q$5))</f>
        <v/>
      </c>
    </row>
    <row r="10406" spans="15:15" x14ac:dyDescent="0.25">
      <c r="O10406" s="20" t="str">
        <f>IF(N10406="","",COUNTIFS(RawData[[Date ]],N10406,RawData[Month List],$Q$6,RawData[Tour/Site],$Q$2,RawData[[Picker ID ]],$Q$3,RawData[Checker ID],$Q$4,RawData[[Error Type ]],$Q$5))</f>
        <v/>
      </c>
    </row>
    <row r="10407" spans="15:15" x14ac:dyDescent="0.25">
      <c r="O10407" s="20" t="str">
        <f>IF(N10407="","",COUNTIFS(RawData[[Date ]],N10407,RawData[Month List],$Q$6,RawData[Tour/Site],$Q$2,RawData[[Picker ID ]],$Q$3,RawData[Checker ID],$Q$4,RawData[[Error Type ]],$Q$5))</f>
        <v/>
      </c>
    </row>
    <row r="10408" spans="15:15" x14ac:dyDescent="0.25">
      <c r="O10408" s="20" t="str">
        <f>IF(N10408="","",COUNTIFS(RawData[[Date ]],N10408,RawData[Month List],$Q$6,RawData[Tour/Site],$Q$2,RawData[[Picker ID ]],$Q$3,RawData[Checker ID],$Q$4,RawData[[Error Type ]],$Q$5))</f>
        <v/>
      </c>
    </row>
    <row r="10409" spans="15:15" x14ac:dyDescent="0.25">
      <c r="O10409" s="20" t="str">
        <f>IF(N10409="","",COUNTIFS(RawData[[Date ]],N10409,RawData[Month List],$Q$6,RawData[Tour/Site],$Q$2,RawData[[Picker ID ]],$Q$3,RawData[Checker ID],$Q$4,RawData[[Error Type ]],$Q$5))</f>
        <v/>
      </c>
    </row>
    <row r="10410" spans="15:15" x14ac:dyDescent="0.25">
      <c r="O10410" s="20" t="str">
        <f>IF(N10410="","",COUNTIFS(RawData[[Date ]],N10410,RawData[Month List],$Q$6,RawData[Tour/Site],$Q$2,RawData[[Picker ID ]],$Q$3,RawData[Checker ID],$Q$4,RawData[[Error Type ]],$Q$5))</f>
        <v/>
      </c>
    </row>
    <row r="10411" spans="15:15" x14ac:dyDescent="0.25">
      <c r="O10411" s="20" t="str">
        <f>IF(N10411="","",COUNTIFS(RawData[[Date ]],N10411,RawData[Month List],$Q$6,RawData[Tour/Site],$Q$2,RawData[[Picker ID ]],$Q$3,RawData[Checker ID],$Q$4,RawData[[Error Type ]],$Q$5))</f>
        <v/>
      </c>
    </row>
    <row r="10412" spans="15:15" x14ac:dyDescent="0.25">
      <c r="O10412" s="20" t="str">
        <f>IF(N10412="","",COUNTIFS(RawData[[Date ]],N10412,RawData[Month List],$Q$6,RawData[Tour/Site],$Q$2,RawData[[Picker ID ]],$Q$3,RawData[Checker ID],$Q$4,RawData[[Error Type ]],$Q$5))</f>
        <v/>
      </c>
    </row>
    <row r="10413" spans="15:15" x14ac:dyDescent="0.25">
      <c r="O10413" s="20" t="str">
        <f>IF(N10413="","",COUNTIFS(RawData[[Date ]],N10413,RawData[Month List],$Q$6,RawData[Tour/Site],$Q$2,RawData[[Picker ID ]],$Q$3,RawData[Checker ID],$Q$4,RawData[[Error Type ]],$Q$5))</f>
        <v/>
      </c>
    </row>
    <row r="10414" spans="15:15" x14ac:dyDescent="0.25">
      <c r="O10414" s="20" t="str">
        <f>IF(N10414="","",COUNTIFS(RawData[[Date ]],N10414,RawData[Month List],$Q$6,RawData[Tour/Site],$Q$2,RawData[[Picker ID ]],$Q$3,RawData[Checker ID],$Q$4,RawData[[Error Type ]],$Q$5))</f>
        <v/>
      </c>
    </row>
    <row r="10415" spans="15:15" x14ac:dyDescent="0.25">
      <c r="O10415" s="20" t="str">
        <f>IF(N10415="","",COUNTIFS(RawData[[Date ]],N10415,RawData[Month List],$Q$6,RawData[Tour/Site],$Q$2,RawData[[Picker ID ]],$Q$3,RawData[Checker ID],$Q$4,RawData[[Error Type ]],$Q$5))</f>
        <v/>
      </c>
    </row>
    <row r="10416" spans="15:15" x14ac:dyDescent="0.25">
      <c r="O10416" s="20" t="str">
        <f>IF(N10416="","",COUNTIFS(RawData[[Date ]],N10416,RawData[Month List],$Q$6,RawData[Tour/Site],$Q$2,RawData[[Picker ID ]],$Q$3,RawData[Checker ID],$Q$4,RawData[[Error Type ]],$Q$5))</f>
        <v/>
      </c>
    </row>
    <row r="10417" spans="15:15" x14ac:dyDescent="0.25">
      <c r="O10417" s="20" t="str">
        <f>IF(N10417="","",COUNTIFS(RawData[[Date ]],N10417,RawData[Month List],$Q$6,RawData[Tour/Site],$Q$2,RawData[[Picker ID ]],$Q$3,RawData[Checker ID],$Q$4,RawData[[Error Type ]],$Q$5))</f>
        <v/>
      </c>
    </row>
    <row r="10418" spans="15:15" x14ac:dyDescent="0.25">
      <c r="O10418" s="20" t="str">
        <f>IF(N10418="","",COUNTIFS(RawData[[Date ]],N10418,RawData[Month List],$Q$6,RawData[Tour/Site],$Q$2,RawData[[Picker ID ]],$Q$3,RawData[Checker ID],$Q$4,RawData[[Error Type ]],$Q$5))</f>
        <v/>
      </c>
    </row>
    <row r="10419" spans="15:15" x14ac:dyDescent="0.25">
      <c r="O10419" s="20" t="str">
        <f>IF(N10419="","",COUNTIFS(RawData[[Date ]],N10419,RawData[Month List],$Q$6,RawData[Tour/Site],$Q$2,RawData[[Picker ID ]],$Q$3,RawData[Checker ID],$Q$4,RawData[[Error Type ]],$Q$5))</f>
        <v/>
      </c>
    </row>
    <row r="10420" spans="15:15" x14ac:dyDescent="0.25">
      <c r="O10420" s="20" t="str">
        <f>IF(N10420="","",COUNTIFS(RawData[[Date ]],N10420,RawData[Month List],$Q$6,RawData[Tour/Site],$Q$2,RawData[[Picker ID ]],$Q$3,RawData[Checker ID],$Q$4,RawData[[Error Type ]],$Q$5))</f>
        <v/>
      </c>
    </row>
    <row r="10421" spans="15:15" x14ac:dyDescent="0.25">
      <c r="O10421" s="20" t="str">
        <f>IF(N10421="","",COUNTIFS(RawData[[Date ]],N10421,RawData[Month List],$Q$6,RawData[Tour/Site],$Q$2,RawData[[Picker ID ]],$Q$3,RawData[Checker ID],$Q$4,RawData[[Error Type ]],$Q$5))</f>
        <v/>
      </c>
    </row>
    <row r="10422" spans="15:15" x14ac:dyDescent="0.25">
      <c r="O10422" s="20" t="str">
        <f>IF(N10422="","",COUNTIFS(RawData[[Date ]],N10422,RawData[Month List],$Q$6,RawData[Tour/Site],$Q$2,RawData[[Picker ID ]],$Q$3,RawData[Checker ID],$Q$4,RawData[[Error Type ]],$Q$5))</f>
        <v/>
      </c>
    </row>
    <row r="10423" spans="15:15" x14ac:dyDescent="0.25">
      <c r="O10423" s="20" t="str">
        <f>IF(N10423="","",COUNTIFS(RawData[[Date ]],N10423,RawData[Month List],$Q$6,RawData[Tour/Site],$Q$2,RawData[[Picker ID ]],$Q$3,RawData[Checker ID],$Q$4,RawData[[Error Type ]],$Q$5))</f>
        <v/>
      </c>
    </row>
    <row r="10424" spans="15:15" x14ac:dyDescent="0.25">
      <c r="O10424" s="20" t="str">
        <f>IF(N10424="","",COUNTIFS(RawData[[Date ]],N10424,RawData[Month List],$Q$6,RawData[Tour/Site],$Q$2,RawData[[Picker ID ]],$Q$3,RawData[Checker ID],$Q$4,RawData[[Error Type ]],$Q$5))</f>
        <v/>
      </c>
    </row>
    <row r="10425" spans="15:15" x14ac:dyDescent="0.25">
      <c r="O10425" s="20" t="str">
        <f>IF(N10425="","",COUNTIFS(RawData[[Date ]],N10425,RawData[Month List],$Q$6,RawData[Tour/Site],$Q$2,RawData[[Picker ID ]],$Q$3,RawData[Checker ID],$Q$4,RawData[[Error Type ]],$Q$5))</f>
        <v/>
      </c>
    </row>
    <row r="10426" spans="15:15" x14ac:dyDescent="0.25">
      <c r="O10426" s="20" t="str">
        <f>IF(N10426="","",COUNTIFS(RawData[[Date ]],N10426,RawData[Month List],$Q$6,RawData[Tour/Site],$Q$2,RawData[[Picker ID ]],$Q$3,RawData[Checker ID],$Q$4,RawData[[Error Type ]],$Q$5))</f>
        <v/>
      </c>
    </row>
    <row r="10427" spans="15:15" x14ac:dyDescent="0.25">
      <c r="O10427" s="20" t="str">
        <f>IF(N10427="","",COUNTIFS(RawData[[Date ]],N10427,RawData[Month List],$Q$6,RawData[Tour/Site],$Q$2,RawData[[Picker ID ]],$Q$3,RawData[Checker ID],$Q$4,RawData[[Error Type ]],$Q$5))</f>
        <v/>
      </c>
    </row>
    <row r="10428" spans="15:15" x14ac:dyDescent="0.25">
      <c r="O10428" s="20" t="str">
        <f>IF(N10428="","",COUNTIFS(RawData[[Date ]],N10428,RawData[Month List],$Q$6,RawData[Tour/Site],$Q$2,RawData[[Picker ID ]],$Q$3,RawData[Checker ID],$Q$4,RawData[[Error Type ]],$Q$5))</f>
        <v/>
      </c>
    </row>
    <row r="10429" spans="15:15" x14ac:dyDescent="0.25">
      <c r="O10429" s="20" t="str">
        <f>IF(N10429="","",COUNTIFS(RawData[[Date ]],N10429,RawData[Month List],$Q$6,RawData[Tour/Site],$Q$2,RawData[[Picker ID ]],$Q$3,RawData[Checker ID],$Q$4,RawData[[Error Type ]],$Q$5))</f>
        <v/>
      </c>
    </row>
    <row r="10430" spans="15:15" x14ac:dyDescent="0.25">
      <c r="O10430" s="20" t="str">
        <f>IF(N10430="","",COUNTIFS(RawData[[Date ]],N10430,RawData[Month List],$Q$6,RawData[Tour/Site],$Q$2,RawData[[Picker ID ]],$Q$3,RawData[Checker ID],$Q$4,RawData[[Error Type ]],$Q$5))</f>
        <v/>
      </c>
    </row>
    <row r="10431" spans="15:15" x14ac:dyDescent="0.25">
      <c r="O10431" s="20" t="str">
        <f>IF(N10431="","",COUNTIFS(RawData[[Date ]],N10431,RawData[Month List],$Q$6,RawData[Tour/Site],$Q$2,RawData[[Picker ID ]],$Q$3,RawData[Checker ID],$Q$4,RawData[[Error Type ]],$Q$5))</f>
        <v/>
      </c>
    </row>
    <row r="10432" spans="15:15" x14ac:dyDescent="0.25">
      <c r="O10432" s="20" t="str">
        <f>IF(N10432="","",COUNTIFS(RawData[[Date ]],N10432,RawData[Month List],$Q$6,RawData[Tour/Site],$Q$2,RawData[[Picker ID ]],$Q$3,RawData[Checker ID],$Q$4,RawData[[Error Type ]],$Q$5))</f>
        <v/>
      </c>
    </row>
    <row r="10433" spans="15:15" x14ac:dyDescent="0.25">
      <c r="O10433" s="20" t="str">
        <f>IF(N10433="","",COUNTIFS(RawData[[Date ]],N10433,RawData[Month List],$Q$6,RawData[Tour/Site],$Q$2,RawData[[Picker ID ]],$Q$3,RawData[Checker ID],$Q$4,RawData[[Error Type ]],$Q$5))</f>
        <v/>
      </c>
    </row>
    <row r="10434" spans="15:15" x14ac:dyDescent="0.25">
      <c r="O10434" s="20" t="str">
        <f>IF(N10434="","",COUNTIFS(RawData[[Date ]],N10434,RawData[Month List],$Q$6,RawData[Tour/Site],$Q$2,RawData[[Picker ID ]],$Q$3,RawData[Checker ID],$Q$4,RawData[[Error Type ]],$Q$5))</f>
        <v/>
      </c>
    </row>
    <row r="10435" spans="15:15" x14ac:dyDescent="0.25">
      <c r="O10435" s="20" t="str">
        <f>IF(N10435="","",COUNTIFS(RawData[[Date ]],N10435,RawData[Month List],$Q$6,RawData[Tour/Site],$Q$2,RawData[[Picker ID ]],$Q$3,RawData[Checker ID],$Q$4,RawData[[Error Type ]],$Q$5))</f>
        <v/>
      </c>
    </row>
    <row r="10436" spans="15:15" x14ac:dyDescent="0.25">
      <c r="O10436" s="20" t="str">
        <f>IF(N10436="","",COUNTIFS(RawData[[Date ]],N10436,RawData[Month List],$Q$6,RawData[Tour/Site],$Q$2,RawData[[Picker ID ]],$Q$3,RawData[Checker ID],$Q$4,RawData[[Error Type ]],$Q$5))</f>
        <v/>
      </c>
    </row>
    <row r="10437" spans="15:15" x14ac:dyDescent="0.25">
      <c r="O10437" s="20" t="str">
        <f>IF(N10437="","",COUNTIFS(RawData[[Date ]],N10437,RawData[Month List],$Q$6,RawData[Tour/Site],$Q$2,RawData[[Picker ID ]],$Q$3,RawData[Checker ID],$Q$4,RawData[[Error Type ]],$Q$5))</f>
        <v/>
      </c>
    </row>
    <row r="10438" spans="15:15" x14ac:dyDescent="0.25">
      <c r="O10438" s="20" t="str">
        <f>IF(N10438="","",COUNTIFS(RawData[[Date ]],N10438,RawData[Month List],$Q$6,RawData[Tour/Site],$Q$2,RawData[[Picker ID ]],$Q$3,RawData[Checker ID],$Q$4,RawData[[Error Type ]],$Q$5))</f>
        <v/>
      </c>
    </row>
    <row r="10439" spans="15:15" x14ac:dyDescent="0.25">
      <c r="O10439" s="20" t="str">
        <f>IF(N10439="","",COUNTIFS(RawData[[Date ]],N10439,RawData[Month List],$Q$6,RawData[Tour/Site],$Q$2,RawData[[Picker ID ]],$Q$3,RawData[Checker ID],$Q$4,RawData[[Error Type ]],$Q$5))</f>
        <v/>
      </c>
    </row>
    <row r="10440" spans="15:15" x14ac:dyDescent="0.25">
      <c r="O10440" s="20" t="str">
        <f>IF(N10440="","",COUNTIFS(RawData[[Date ]],N10440,RawData[Month List],$Q$6,RawData[Tour/Site],$Q$2,RawData[[Picker ID ]],$Q$3,RawData[Checker ID],$Q$4,RawData[[Error Type ]],$Q$5))</f>
        <v/>
      </c>
    </row>
    <row r="10441" spans="15:15" x14ac:dyDescent="0.25">
      <c r="O10441" s="20" t="str">
        <f>IF(N10441="","",COUNTIFS(RawData[[Date ]],N10441,RawData[Month List],$Q$6,RawData[Tour/Site],$Q$2,RawData[[Picker ID ]],$Q$3,RawData[Checker ID],$Q$4,RawData[[Error Type ]],$Q$5))</f>
        <v/>
      </c>
    </row>
    <row r="10442" spans="15:15" x14ac:dyDescent="0.25">
      <c r="O10442" s="20" t="str">
        <f>IF(N10442="","",COUNTIFS(RawData[[Date ]],N10442,RawData[Month List],$Q$6,RawData[Tour/Site],$Q$2,RawData[[Picker ID ]],$Q$3,RawData[Checker ID],$Q$4,RawData[[Error Type ]],$Q$5))</f>
        <v/>
      </c>
    </row>
    <row r="10443" spans="15:15" x14ac:dyDescent="0.25">
      <c r="O10443" s="20" t="str">
        <f>IF(N10443="","",COUNTIFS(RawData[[Date ]],N10443,RawData[Month List],$Q$6,RawData[Tour/Site],$Q$2,RawData[[Picker ID ]],$Q$3,RawData[Checker ID],$Q$4,RawData[[Error Type ]],$Q$5))</f>
        <v/>
      </c>
    </row>
    <row r="10444" spans="15:15" x14ac:dyDescent="0.25">
      <c r="O10444" s="20" t="str">
        <f>IF(N10444="","",COUNTIFS(RawData[[Date ]],N10444,RawData[Month List],$Q$6,RawData[Tour/Site],$Q$2,RawData[[Picker ID ]],$Q$3,RawData[Checker ID],$Q$4,RawData[[Error Type ]],$Q$5))</f>
        <v/>
      </c>
    </row>
    <row r="10445" spans="15:15" x14ac:dyDescent="0.25">
      <c r="O10445" s="20" t="str">
        <f>IF(N10445="","",COUNTIFS(RawData[[Date ]],N10445,RawData[Month List],$Q$6,RawData[Tour/Site],$Q$2,RawData[[Picker ID ]],$Q$3,RawData[Checker ID],$Q$4,RawData[[Error Type ]],$Q$5))</f>
        <v/>
      </c>
    </row>
    <row r="10446" spans="15:15" x14ac:dyDescent="0.25">
      <c r="O10446" s="20" t="str">
        <f>IF(N10446="","",COUNTIFS(RawData[[Date ]],N10446,RawData[Month List],$Q$6,RawData[Tour/Site],$Q$2,RawData[[Picker ID ]],$Q$3,RawData[Checker ID],$Q$4,RawData[[Error Type ]],$Q$5))</f>
        <v/>
      </c>
    </row>
    <row r="10447" spans="15:15" x14ac:dyDescent="0.25">
      <c r="O10447" s="20" t="str">
        <f>IF(N10447="","",COUNTIFS(RawData[[Date ]],N10447,RawData[Month List],$Q$6,RawData[Tour/Site],$Q$2,RawData[[Picker ID ]],$Q$3,RawData[Checker ID],$Q$4,RawData[[Error Type ]],$Q$5))</f>
        <v/>
      </c>
    </row>
    <row r="10448" spans="15:15" x14ac:dyDescent="0.25">
      <c r="O10448" s="20" t="str">
        <f>IF(N10448="","",COUNTIFS(RawData[[Date ]],N10448,RawData[Month List],$Q$6,RawData[Tour/Site],$Q$2,RawData[[Picker ID ]],$Q$3,RawData[Checker ID],$Q$4,RawData[[Error Type ]],$Q$5))</f>
        <v/>
      </c>
    </row>
    <row r="10449" spans="15:15" x14ac:dyDescent="0.25">
      <c r="O10449" s="20" t="str">
        <f>IF(N10449="","",COUNTIFS(RawData[[Date ]],N10449,RawData[Month List],$Q$6,RawData[Tour/Site],$Q$2,RawData[[Picker ID ]],$Q$3,RawData[Checker ID],$Q$4,RawData[[Error Type ]],$Q$5))</f>
        <v/>
      </c>
    </row>
    <row r="10450" spans="15:15" x14ac:dyDescent="0.25">
      <c r="O10450" s="20" t="str">
        <f>IF(N10450="","",COUNTIFS(RawData[[Date ]],N10450,RawData[Month List],$Q$6,RawData[Tour/Site],$Q$2,RawData[[Picker ID ]],$Q$3,RawData[Checker ID],$Q$4,RawData[[Error Type ]],$Q$5))</f>
        <v/>
      </c>
    </row>
    <row r="10451" spans="15:15" x14ac:dyDescent="0.25">
      <c r="O10451" s="20" t="str">
        <f>IF(N10451="","",COUNTIFS(RawData[[Date ]],N10451,RawData[Month List],$Q$6,RawData[Tour/Site],$Q$2,RawData[[Picker ID ]],$Q$3,RawData[Checker ID],$Q$4,RawData[[Error Type ]],$Q$5))</f>
        <v/>
      </c>
    </row>
    <row r="10452" spans="15:15" x14ac:dyDescent="0.25">
      <c r="O10452" s="20" t="str">
        <f>IF(N10452="","",COUNTIFS(RawData[[Date ]],N10452,RawData[Month List],$Q$6,RawData[Tour/Site],$Q$2,RawData[[Picker ID ]],$Q$3,RawData[Checker ID],$Q$4,RawData[[Error Type ]],$Q$5))</f>
        <v/>
      </c>
    </row>
    <row r="10453" spans="15:15" x14ac:dyDescent="0.25">
      <c r="O10453" s="20" t="str">
        <f>IF(N10453="","",COUNTIFS(RawData[[Date ]],N10453,RawData[Month List],$Q$6,RawData[Tour/Site],$Q$2,RawData[[Picker ID ]],$Q$3,RawData[Checker ID],$Q$4,RawData[[Error Type ]],$Q$5))</f>
        <v/>
      </c>
    </row>
    <row r="10454" spans="15:15" x14ac:dyDescent="0.25">
      <c r="O10454" s="20" t="str">
        <f>IF(N10454="","",COUNTIFS(RawData[[Date ]],N10454,RawData[Month List],$Q$6,RawData[Tour/Site],$Q$2,RawData[[Picker ID ]],$Q$3,RawData[Checker ID],$Q$4,RawData[[Error Type ]],$Q$5))</f>
        <v/>
      </c>
    </row>
    <row r="10455" spans="15:15" x14ac:dyDescent="0.25">
      <c r="O10455" s="20" t="str">
        <f>IF(N10455="","",COUNTIFS(RawData[[Date ]],N10455,RawData[Month List],$Q$6,RawData[Tour/Site],$Q$2,RawData[[Picker ID ]],$Q$3,RawData[Checker ID],$Q$4,RawData[[Error Type ]],$Q$5))</f>
        <v/>
      </c>
    </row>
    <row r="10456" spans="15:15" x14ac:dyDescent="0.25">
      <c r="O10456" s="20" t="str">
        <f>IF(N10456="","",COUNTIFS(RawData[[Date ]],N10456,RawData[Month List],$Q$6,RawData[Tour/Site],$Q$2,RawData[[Picker ID ]],$Q$3,RawData[Checker ID],$Q$4,RawData[[Error Type ]],$Q$5))</f>
        <v/>
      </c>
    </row>
    <row r="10457" spans="15:15" x14ac:dyDescent="0.25">
      <c r="O10457" s="20" t="str">
        <f>IF(N10457="","",COUNTIFS(RawData[[Date ]],N10457,RawData[Month List],$Q$6,RawData[Tour/Site],$Q$2,RawData[[Picker ID ]],$Q$3,RawData[Checker ID],$Q$4,RawData[[Error Type ]],$Q$5))</f>
        <v/>
      </c>
    </row>
    <row r="10458" spans="15:15" x14ac:dyDescent="0.25">
      <c r="O10458" s="20" t="str">
        <f>IF(N10458="","",COUNTIFS(RawData[[Date ]],N10458,RawData[Month List],$Q$6,RawData[Tour/Site],$Q$2,RawData[[Picker ID ]],$Q$3,RawData[Checker ID],$Q$4,RawData[[Error Type ]],$Q$5))</f>
        <v/>
      </c>
    </row>
    <row r="10459" spans="15:15" x14ac:dyDescent="0.25">
      <c r="O10459" s="20" t="str">
        <f>IF(N10459="","",COUNTIFS(RawData[[Date ]],N10459,RawData[Month List],$Q$6,RawData[Tour/Site],$Q$2,RawData[[Picker ID ]],$Q$3,RawData[Checker ID],$Q$4,RawData[[Error Type ]],$Q$5))</f>
        <v/>
      </c>
    </row>
    <row r="10460" spans="15:15" x14ac:dyDescent="0.25">
      <c r="O10460" s="20" t="str">
        <f>IF(N10460="","",COUNTIFS(RawData[[Date ]],N10460,RawData[Month List],$Q$6,RawData[Tour/Site],$Q$2,RawData[[Picker ID ]],$Q$3,RawData[Checker ID],$Q$4,RawData[[Error Type ]],$Q$5))</f>
        <v/>
      </c>
    </row>
    <row r="10461" spans="15:15" x14ac:dyDescent="0.25">
      <c r="O10461" s="20" t="str">
        <f>IF(N10461="","",COUNTIFS(RawData[[Date ]],N10461,RawData[Month List],$Q$6,RawData[Tour/Site],$Q$2,RawData[[Picker ID ]],$Q$3,RawData[Checker ID],$Q$4,RawData[[Error Type ]],$Q$5))</f>
        <v/>
      </c>
    </row>
    <row r="10462" spans="15:15" x14ac:dyDescent="0.25">
      <c r="O10462" s="20" t="str">
        <f>IF(N10462="","",COUNTIFS(RawData[[Date ]],N10462,RawData[Month List],$Q$6,RawData[Tour/Site],$Q$2,RawData[[Picker ID ]],$Q$3,RawData[Checker ID],$Q$4,RawData[[Error Type ]],$Q$5))</f>
        <v/>
      </c>
    </row>
    <row r="10463" spans="15:15" x14ac:dyDescent="0.25">
      <c r="O10463" s="20" t="str">
        <f>IF(N10463="","",COUNTIFS(RawData[[Date ]],N10463,RawData[Month List],$Q$6,RawData[Tour/Site],$Q$2,RawData[[Picker ID ]],$Q$3,RawData[Checker ID],$Q$4,RawData[[Error Type ]],$Q$5))</f>
        <v/>
      </c>
    </row>
    <row r="10464" spans="15:15" x14ac:dyDescent="0.25">
      <c r="O10464" s="20" t="str">
        <f>IF(N10464="","",COUNTIFS(RawData[[Date ]],N10464,RawData[Month List],$Q$6,RawData[Tour/Site],$Q$2,RawData[[Picker ID ]],$Q$3,RawData[Checker ID],$Q$4,RawData[[Error Type ]],$Q$5))</f>
        <v/>
      </c>
    </row>
    <row r="10465" spans="15:15" x14ac:dyDescent="0.25">
      <c r="O10465" s="20" t="str">
        <f>IF(N10465="","",COUNTIFS(RawData[[Date ]],N10465,RawData[Month List],$Q$6,RawData[Tour/Site],$Q$2,RawData[[Picker ID ]],$Q$3,RawData[Checker ID],$Q$4,RawData[[Error Type ]],$Q$5))</f>
        <v/>
      </c>
    </row>
    <row r="10466" spans="15:15" x14ac:dyDescent="0.25">
      <c r="O10466" s="20" t="str">
        <f>IF(N10466="","",COUNTIFS(RawData[[Date ]],N10466,RawData[Month List],$Q$6,RawData[Tour/Site],$Q$2,RawData[[Picker ID ]],$Q$3,RawData[Checker ID],$Q$4,RawData[[Error Type ]],$Q$5))</f>
        <v/>
      </c>
    </row>
    <row r="10467" spans="15:15" x14ac:dyDescent="0.25">
      <c r="O10467" s="20" t="str">
        <f>IF(N10467="","",COUNTIFS(RawData[[Date ]],N10467,RawData[Month List],$Q$6,RawData[Tour/Site],$Q$2,RawData[[Picker ID ]],$Q$3,RawData[Checker ID],$Q$4,RawData[[Error Type ]],$Q$5))</f>
        <v/>
      </c>
    </row>
    <row r="10468" spans="15:15" x14ac:dyDescent="0.25">
      <c r="O10468" s="20" t="str">
        <f>IF(N10468="","",COUNTIFS(RawData[[Date ]],N10468,RawData[Month List],$Q$6,RawData[Tour/Site],$Q$2,RawData[[Picker ID ]],$Q$3,RawData[Checker ID],$Q$4,RawData[[Error Type ]],$Q$5))</f>
        <v/>
      </c>
    </row>
    <row r="10469" spans="15:15" x14ac:dyDescent="0.25">
      <c r="O10469" s="20" t="str">
        <f>IF(N10469="","",COUNTIFS(RawData[[Date ]],N10469,RawData[Month List],$Q$6,RawData[Tour/Site],$Q$2,RawData[[Picker ID ]],$Q$3,RawData[Checker ID],$Q$4,RawData[[Error Type ]],$Q$5))</f>
        <v/>
      </c>
    </row>
    <row r="10470" spans="15:15" x14ac:dyDescent="0.25">
      <c r="O10470" s="20" t="str">
        <f>IF(N10470="","",COUNTIFS(RawData[[Date ]],N10470,RawData[Month List],$Q$6,RawData[Tour/Site],$Q$2,RawData[[Picker ID ]],$Q$3,RawData[Checker ID],$Q$4,RawData[[Error Type ]],$Q$5))</f>
        <v/>
      </c>
    </row>
    <row r="10471" spans="15:15" x14ac:dyDescent="0.25">
      <c r="O10471" s="20" t="str">
        <f>IF(N10471="","",COUNTIFS(RawData[[Date ]],N10471,RawData[Month List],$Q$6,RawData[Tour/Site],$Q$2,RawData[[Picker ID ]],$Q$3,RawData[Checker ID],$Q$4,RawData[[Error Type ]],$Q$5))</f>
        <v/>
      </c>
    </row>
    <row r="10472" spans="15:15" x14ac:dyDescent="0.25">
      <c r="O10472" s="20" t="str">
        <f>IF(N10472="","",COUNTIFS(RawData[[Date ]],N10472,RawData[Month List],$Q$6,RawData[Tour/Site],$Q$2,RawData[[Picker ID ]],$Q$3,RawData[Checker ID],$Q$4,RawData[[Error Type ]],$Q$5))</f>
        <v/>
      </c>
    </row>
    <row r="10473" spans="15:15" x14ac:dyDescent="0.25">
      <c r="O10473" s="20" t="str">
        <f>IF(N10473="","",COUNTIFS(RawData[[Date ]],N10473,RawData[Month List],$Q$6,RawData[Tour/Site],$Q$2,RawData[[Picker ID ]],$Q$3,RawData[Checker ID],$Q$4,RawData[[Error Type ]],$Q$5))</f>
        <v/>
      </c>
    </row>
    <row r="10474" spans="15:15" x14ac:dyDescent="0.25">
      <c r="O10474" s="20" t="str">
        <f>IF(N10474="","",COUNTIFS(RawData[[Date ]],N10474,RawData[Month List],$Q$6,RawData[Tour/Site],$Q$2,RawData[[Picker ID ]],$Q$3,RawData[Checker ID],$Q$4,RawData[[Error Type ]],$Q$5))</f>
        <v/>
      </c>
    </row>
    <row r="10475" spans="15:15" x14ac:dyDescent="0.25">
      <c r="O10475" s="20" t="str">
        <f>IF(N10475="","",COUNTIFS(RawData[[Date ]],N10475,RawData[Month List],$Q$6,RawData[Tour/Site],$Q$2,RawData[[Picker ID ]],$Q$3,RawData[Checker ID],$Q$4,RawData[[Error Type ]],$Q$5))</f>
        <v/>
      </c>
    </row>
    <row r="10476" spans="15:15" x14ac:dyDescent="0.25">
      <c r="O10476" s="20" t="str">
        <f>IF(N10476="","",COUNTIFS(RawData[[Date ]],N10476,RawData[Month List],$Q$6,RawData[Tour/Site],$Q$2,RawData[[Picker ID ]],$Q$3,RawData[Checker ID],$Q$4,RawData[[Error Type ]],$Q$5))</f>
        <v/>
      </c>
    </row>
    <row r="10477" spans="15:15" x14ac:dyDescent="0.25">
      <c r="O10477" s="20" t="str">
        <f>IF(N10477="","",COUNTIFS(RawData[[Date ]],N10477,RawData[Month List],$Q$6,RawData[Tour/Site],$Q$2,RawData[[Picker ID ]],$Q$3,RawData[Checker ID],$Q$4,RawData[[Error Type ]],$Q$5))</f>
        <v/>
      </c>
    </row>
    <row r="10478" spans="15:15" x14ac:dyDescent="0.25">
      <c r="O10478" s="20" t="str">
        <f>IF(N10478="","",COUNTIFS(RawData[[Date ]],N10478,RawData[Month List],$Q$6,RawData[Tour/Site],$Q$2,RawData[[Picker ID ]],$Q$3,RawData[Checker ID],$Q$4,RawData[[Error Type ]],$Q$5))</f>
        <v/>
      </c>
    </row>
    <row r="10479" spans="15:15" x14ac:dyDescent="0.25">
      <c r="O10479" s="20" t="str">
        <f>IF(N10479="","",COUNTIFS(RawData[[Date ]],N10479,RawData[Month List],$Q$6,RawData[Tour/Site],$Q$2,RawData[[Picker ID ]],$Q$3,RawData[Checker ID],$Q$4,RawData[[Error Type ]],$Q$5))</f>
        <v/>
      </c>
    </row>
    <row r="10480" spans="15:15" x14ac:dyDescent="0.25">
      <c r="O10480" s="20" t="str">
        <f>IF(N10480="","",COUNTIFS(RawData[[Date ]],N10480,RawData[Month List],$Q$6,RawData[Tour/Site],$Q$2,RawData[[Picker ID ]],$Q$3,RawData[Checker ID],$Q$4,RawData[[Error Type ]],$Q$5))</f>
        <v/>
      </c>
    </row>
    <row r="10481" spans="15:15" x14ac:dyDescent="0.25">
      <c r="O10481" s="20" t="str">
        <f>IF(N10481="","",COUNTIFS(RawData[[Date ]],N10481,RawData[Month List],$Q$6,RawData[Tour/Site],$Q$2,RawData[[Picker ID ]],$Q$3,RawData[Checker ID],$Q$4,RawData[[Error Type ]],$Q$5))</f>
        <v/>
      </c>
    </row>
    <row r="10482" spans="15:15" x14ac:dyDescent="0.25">
      <c r="O10482" s="20" t="str">
        <f>IF(N10482="","",COUNTIFS(RawData[[Date ]],N10482,RawData[Month List],$Q$6,RawData[Tour/Site],$Q$2,RawData[[Picker ID ]],$Q$3,RawData[Checker ID],$Q$4,RawData[[Error Type ]],$Q$5))</f>
        <v/>
      </c>
    </row>
    <row r="10483" spans="15:15" x14ac:dyDescent="0.25">
      <c r="O10483" s="20" t="str">
        <f>IF(N10483="","",COUNTIFS(RawData[[Date ]],N10483,RawData[Month List],$Q$6,RawData[Tour/Site],$Q$2,RawData[[Picker ID ]],$Q$3,RawData[Checker ID],$Q$4,RawData[[Error Type ]],$Q$5))</f>
        <v/>
      </c>
    </row>
    <row r="10484" spans="15:15" x14ac:dyDescent="0.25">
      <c r="O10484" s="20" t="str">
        <f>IF(N10484="","",COUNTIFS(RawData[[Date ]],N10484,RawData[Month List],$Q$6,RawData[Tour/Site],$Q$2,RawData[[Picker ID ]],$Q$3,RawData[Checker ID],$Q$4,RawData[[Error Type ]],$Q$5))</f>
        <v/>
      </c>
    </row>
    <row r="10485" spans="15:15" x14ac:dyDescent="0.25">
      <c r="O10485" s="20" t="str">
        <f>IF(N10485="","",COUNTIFS(RawData[[Date ]],N10485,RawData[Month List],$Q$6,RawData[Tour/Site],$Q$2,RawData[[Picker ID ]],$Q$3,RawData[Checker ID],$Q$4,RawData[[Error Type ]],$Q$5))</f>
        <v/>
      </c>
    </row>
    <row r="10486" spans="15:15" x14ac:dyDescent="0.25">
      <c r="O10486" s="20" t="str">
        <f>IF(N10486="","",COUNTIFS(RawData[[Date ]],N10486,RawData[Month List],$Q$6,RawData[Tour/Site],$Q$2,RawData[[Picker ID ]],$Q$3,RawData[Checker ID],$Q$4,RawData[[Error Type ]],$Q$5))</f>
        <v/>
      </c>
    </row>
    <row r="10487" spans="15:15" x14ac:dyDescent="0.25">
      <c r="O10487" s="20" t="str">
        <f>IF(N10487="","",COUNTIFS(RawData[[Date ]],N10487,RawData[Month List],$Q$6,RawData[Tour/Site],$Q$2,RawData[[Picker ID ]],$Q$3,RawData[Checker ID],$Q$4,RawData[[Error Type ]],$Q$5))</f>
        <v/>
      </c>
    </row>
    <row r="10488" spans="15:15" x14ac:dyDescent="0.25">
      <c r="O10488" s="20" t="str">
        <f>IF(N10488="","",COUNTIFS(RawData[[Date ]],N10488,RawData[Month List],$Q$6,RawData[Tour/Site],$Q$2,RawData[[Picker ID ]],$Q$3,RawData[Checker ID],$Q$4,RawData[[Error Type ]],$Q$5))</f>
        <v/>
      </c>
    </row>
    <row r="10489" spans="15:15" x14ac:dyDescent="0.25">
      <c r="O10489" s="20" t="str">
        <f>IF(N10489="","",COUNTIFS(RawData[[Date ]],N10489,RawData[Month List],$Q$6,RawData[Tour/Site],$Q$2,RawData[[Picker ID ]],$Q$3,RawData[Checker ID],$Q$4,RawData[[Error Type ]],$Q$5))</f>
        <v/>
      </c>
    </row>
    <row r="10490" spans="15:15" x14ac:dyDescent="0.25">
      <c r="O10490" s="20" t="str">
        <f>IF(N10490="","",COUNTIFS(RawData[[Date ]],N10490,RawData[Month List],$Q$6,RawData[Tour/Site],$Q$2,RawData[[Picker ID ]],$Q$3,RawData[Checker ID],$Q$4,RawData[[Error Type ]],$Q$5))</f>
        <v/>
      </c>
    </row>
    <row r="10491" spans="15:15" x14ac:dyDescent="0.25">
      <c r="O10491" s="20" t="str">
        <f>IF(N10491="","",COUNTIFS(RawData[[Date ]],N10491,RawData[Month List],$Q$6,RawData[Tour/Site],$Q$2,RawData[[Picker ID ]],$Q$3,RawData[Checker ID],$Q$4,RawData[[Error Type ]],$Q$5))</f>
        <v/>
      </c>
    </row>
    <row r="10492" spans="15:15" x14ac:dyDescent="0.25">
      <c r="O10492" s="20" t="str">
        <f>IF(N10492="","",COUNTIFS(RawData[[Date ]],N10492,RawData[Month List],$Q$6,RawData[Tour/Site],$Q$2,RawData[[Picker ID ]],$Q$3,RawData[Checker ID],$Q$4,RawData[[Error Type ]],$Q$5))</f>
        <v/>
      </c>
    </row>
    <row r="10493" spans="15:15" x14ac:dyDescent="0.25">
      <c r="O10493" s="20" t="str">
        <f>IF(N10493="","",COUNTIFS(RawData[[Date ]],N10493,RawData[Month List],$Q$6,RawData[Tour/Site],$Q$2,RawData[[Picker ID ]],$Q$3,RawData[Checker ID],$Q$4,RawData[[Error Type ]],$Q$5))</f>
        <v/>
      </c>
    </row>
    <row r="10494" spans="15:15" x14ac:dyDescent="0.25">
      <c r="O10494" s="20" t="str">
        <f>IF(N10494="","",COUNTIFS(RawData[[Date ]],N10494,RawData[Month List],$Q$6,RawData[Tour/Site],$Q$2,RawData[[Picker ID ]],$Q$3,RawData[Checker ID],$Q$4,RawData[[Error Type ]],$Q$5))</f>
        <v/>
      </c>
    </row>
    <row r="10495" spans="15:15" x14ac:dyDescent="0.25">
      <c r="O10495" s="20" t="str">
        <f>IF(N10495="","",COUNTIFS(RawData[[Date ]],N10495,RawData[Month List],$Q$6,RawData[Tour/Site],$Q$2,RawData[[Picker ID ]],$Q$3,RawData[Checker ID],$Q$4,RawData[[Error Type ]],$Q$5))</f>
        <v/>
      </c>
    </row>
    <row r="10496" spans="15:15" x14ac:dyDescent="0.25">
      <c r="O10496" s="20" t="str">
        <f>IF(N10496="","",COUNTIFS(RawData[[Date ]],N10496,RawData[Month List],$Q$6,RawData[Tour/Site],$Q$2,RawData[[Picker ID ]],$Q$3,RawData[Checker ID],$Q$4,RawData[[Error Type ]],$Q$5))</f>
        <v/>
      </c>
    </row>
    <row r="10497" spans="15:15" x14ac:dyDescent="0.25">
      <c r="O10497" s="20" t="str">
        <f>IF(N10497="","",COUNTIFS(RawData[[Date ]],N10497,RawData[Month List],$Q$6,RawData[Tour/Site],$Q$2,RawData[[Picker ID ]],$Q$3,RawData[Checker ID],$Q$4,RawData[[Error Type ]],$Q$5))</f>
        <v/>
      </c>
    </row>
    <row r="10498" spans="15:15" x14ac:dyDescent="0.25">
      <c r="O10498" s="20" t="str">
        <f>IF(N10498="","",COUNTIFS(RawData[[Date ]],N10498,RawData[Month List],$Q$6,RawData[Tour/Site],$Q$2,RawData[[Picker ID ]],$Q$3,RawData[Checker ID],$Q$4,RawData[[Error Type ]],$Q$5))</f>
        <v/>
      </c>
    </row>
    <row r="10499" spans="15:15" x14ac:dyDescent="0.25">
      <c r="O10499" s="20" t="str">
        <f>IF(N10499="","",COUNTIFS(RawData[[Date ]],N10499,RawData[Month List],$Q$6,RawData[Tour/Site],$Q$2,RawData[[Picker ID ]],$Q$3,RawData[Checker ID],$Q$4,RawData[[Error Type ]],$Q$5))</f>
        <v/>
      </c>
    </row>
    <row r="10500" spans="15:15" x14ac:dyDescent="0.25">
      <c r="O10500" s="20" t="str">
        <f>IF(N10500="","",COUNTIFS(RawData[[Date ]],N10500,RawData[Month List],$Q$6,RawData[Tour/Site],$Q$2,RawData[[Picker ID ]],$Q$3,RawData[Checker ID],$Q$4,RawData[[Error Type ]],$Q$5))</f>
        <v/>
      </c>
    </row>
    <row r="10501" spans="15:15" x14ac:dyDescent="0.25">
      <c r="O10501" s="20" t="str">
        <f>IF(N10501="","",COUNTIFS(RawData[[Date ]],N10501,RawData[Month List],$Q$6,RawData[Tour/Site],$Q$2,RawData[[Picker ID ]],$Q$3,RawData[Checker ID],$Q$4,RawData[[Error Type ]],$Q$5))</f>
        <v/>
      </c>
    </row>
    <row r="10502" spans="15:15" x14ac:dyDescent="0.25">
      <c r="O10502" s="20" t="str">
        <f>IF(N10502="","",COUNTIFS(RawData[[Date ]],N10502,RawData[Month List],$Q$6,RawData[Tour/Site],$Q$2,RawData[[Picker ID ]],$Q$3,RawData[Checker ID],$Q$4,RawData[[Error Type ]],$Q$5))</f>
        <v/>
      </c>
    </row>
    <row r="10503" spans="15:15" x14ac:dyDescent="0.25">
      <c r="O10503" s="20" t="str">
        <f>IF(N10503="","",COUNTIFS(RawData[[Date ]],N10503,RawData[Month List],$Q$6,RawData[Tour/Site],$Q$2,RawData[[Picker ID ]],$Q$3,RawData[Checker ID],$Q$4,RawData[[Error Type ]],$Q$5))</f>
        <v/>
      </c>
    </row>
    <row r="10504" spans="15:15" x14ac:dyDescent="0.25">
      <c r="O10504" s="20" t="str">
        <f>IF(N10504="","",COUNTIFS(RawData[[Date ]],N10504,RawData[Month List],$Q$6,RawData[Tour/Site],$Q$2,RawData[[Picker ID ]],$Q$3,RawData[Checker ID],$Q$4,RawData[[Error Type ]],$Q$5))</f>
        <v/>
      </c>
    </row>
    <row r="10505" spans="15:15" x14ac:dyDescent="0.25">
      <c r="O10505" s="20" t="str">
        <f>IF(N10505="","",COUNTIFS(RawData[[Date ]],N10505,RawData[Month List],$Q$6,RawData[Tour/Site],$Q$2,RawData[[Picker ID ]],$Q$3,RawData[Checker ID],$Q$4,RawData[[Error Type ]],$Q$5))</f>
        <v/>
      </c>
    </row>
    <row r="10506" spans="15:15" x14ac:dyDescent="0.25">
      <c r="O10506" s="20" t="str">
        <f>IF(N10506="","",COUNTIFS(RawData[[Date ]],N10506,RawData[Month List],$Q$6,RawData[Tour/Site],$Q$2,RawData[[Picker ID ]],$Q$3,RawData[Checker ID],$Q$4,RawData[[Error Type ]],$Q$5))</f>
        <v/>
      </c>
    </row>
    <row r="10507" spans="15:15" x14ac:dyDescent="0.25">
      <c r="O10507" s="20" t="str">
        <f>IF(N10507="","",COUNTIFS(RawData[[Date ]],N10507,RawData[Month List],$Q$6,RawData[Tour/Site],$Q$2,RawData[[Picker ID ]],$Q$3,RawData[Checker ID],$Q$4,RawData[[Error Type ]],$Q$5))</f>
        <v/>
      </c>
    </row>
    <row r="10508" spans="15:15" x14ac:dyDescent="0.25">
      <c r="O10508" s="20" t="str">
        <f>IF(N10508="","",COUNTIFS(RawData[[Date ]],N10508,RawData[Month List],$Q$6,RawData[Tour/Site],$Q$2,RawData[[Picker ID ]],$Q$3,RawData[Checker ID],$Q$4,RawData[[Error Type ]],$Q$5))</f>
        <v/>
      </c>
    </row>
    <row r="10509" spans="15:15" x14ac:dyDescent="0.25">
      <c r="O10509" s="20" t="str">
        <f>IF(N10509="","",COUNTIFS(RawData[[Date ]],N10509,RawData[Month List],$Q$6,RawData[Tour/Site],$Q$2,RawData[[Picker ID ]],$Q$3,RawData[Checker ID],$Q$4,RawData[[Error Type ]],$Q$5))</f>
        <v/>
      </c>
    </row>
    <row r="10510" spans="15:15" x14ac:dyDescent="0.25">
      <c r="O10510" s="20" t="str">
        <f>IF(N10510="","",COUNTIFS(RawData[[Date ]],N10510,RawData[Month List],$Q$6,RawData[Tour/Site],$Q$2,RawData[[Picker ID ]],$Q$3,RawData[Checker ID],$Q$4,RawData[[Error Type ]],$Q$5))</f>
        <v/>
      </c>
    </row>
    <row r="10511" spans="15:15" x14ac:dyDescent="0.25">
      <c r="O10511" s="20" t="str">
        <f>IF(N10511="","",COUNTIFS(RawData[[Date ]],N10511,RawData[Month List],$Q$6,RawData[Tour/Site],$Q$2,RawData[[Picker ID ]],$Q$3,RawData[Checker ID],$Q$4,RawData[[Error Type ]],$Q$5))</f>
        <v/>
      </c>
    </row>
    <row r="10512" spans="15:15" x14ac:dyDescent="0.25">
      <c r="O10512" s="20" t="str">
        <f>IF(N10512="","",COUNTIFS(RawData[[Date ]],N10512,RawData[Month List],$Q$6,RawData[Tour/Site],$Q$2,RawData[[Picker ID ]],$Q$3,RawData[Checker ID],$Q$4,RawData[[Error Type ]],$Q$5))</f>
        <v/>
      </c>
    </row>
    <row r="10513" spans="15:15" x14ac:dyDescent="0.25">
      <c r="O10513" s="20" t="str">
        <f>IF(N10513="","",COUNTIFS(RawData[[Date ]],N10513,RawData[Month List],$Q$6,RawData[Tour/Site],$Q$2,RawData[[Picker ID ]],$Q$3,RawData[Checker ID],$Q$4,RawData[[Error Type ]],$Q$5))</f>
        <v/>
      </c>
    </row>
    <row r="10514" spans="15:15" x14ac:dyDescent="0.25">
      <c r="O10514" s="20" t="str">
        <f>IF(N10514="","",COUNTIFS(RawData[[Date ]],N10514,RawData[Month List],$Q$6,RawData[Tour/Site],$Q$2,RawData[[Picker ID ]],$Q$3,RawData[Checker ID],$Q$4,RawData[[Error Type ]],$Q$5))</f>
        <v/>
      </c>
    </row>
    <row r="10515" spans="15:15" x14ac:dyDescent="0.25">
      <c r="O10515" s="20" t="str">
        <f>IF(N10515="","",COUNTIFS(RawData[[Date ]],N10515,RawData[Month List],$Q$6,RawData[Tour/Site],$Q$2,RawData[[Picker ID ]],$Q$3,RawData[Checker ID],$Q$4,RawData[[Error Type ]],$Q$5))</f>
        <v/>
      </c>
    </row>
    <row r="10516" spans="15:15" x14ac:dyDescent="0.25">
      <c r="O10516" s="20" t="str">
        <f>IF(N10516="","",COUNTIFS(RawData[[Date ]],N10516,RawData[Month List],$Q$6,RawData[Tour/Site],$Q$2,RawData[[Picker ID ]],$Q$3,RawData[Checker ID],$Q$4,RawData[[Error Type ]],$Q$5))</f>
        <v/>
      </c>
    </row>
    <row r="10517" spans="15:15" x14ac:dyDescent="0.25">
      <c r="O10517" s="20" t="str">
        <f>IF(N10517="","",COUNTIFS(RawData[[Date ]],N10517,RawData[Month List],$Q$6,RawData[Tour/Site],$Q$2,RawData[[Picker ID ]],$Q$3,RawData[Checker ID],$Q$4,RawData[[Error Type ]],$Q$5))</f>
        <v/>
      </c>
    </row>
    <row r="10518" spans="15:15" x14ac:dyDescent="0.25">
      <c r="O10518" s="20" t="str">
        <f>IF(N10518="","",COUNTIFS(RawData[[Date ]],N10518,RawData[Month List],$Q$6,RawData[Tour/Site],$Q$2,RawData[[Picker ID ]],$Q$3,RawData[Checker ID],$Q$4,RawData[[Error Type ]],$Q$5))</f>
        <v/>
      </c>
    </row>
    <row r="10519" spans="15:15" x14ac:dyDescent="0.25">
      <c r="O10519" s="20" t="str">
        <f>IF(N10519="","",COUNTIFS(RawData[[Date ]],N10519,RawData[Month List],$Q$6,RawData[Tour/Site],$Q$2,RawData[[Picker ID ]],$Q$3,RawData[Checker ID],$Q$4,RawData[[Error Type ]],$Q$5))</f>
        <v/>
      </c>
    </row>
    <row r="10520" spans="15:15" x14ac:dyDescent="0.25">
      <c r="O10520" s="20" t="str">
        <f>IF(N10520="","",COUNTIFS(RawData[[Date ]],N10520,RawData[Month List],$Q$6,RawData[Tour/Site],$Q$2,RawData[[Picker ID ]],$Q$3,RawData[Checker ID],$Q$4,RawData[[Error Type ]],$Q$5))</f>
        <v/>
      </c>
    </row>
    <row r="10521" spans="15:15" x14ac:dyDescent="0.25">
      <c r="O10521" s="20" t="str">
        <f>IF(N10521="","",COUNTIFS(RawData[[Date ]],N10521,RawData[Month List],$Q$6,RawData[Tour/Site],$Q$2,RawData[[Picker ID ]],$Q$3,RawData[Checker ID],$Q$4,RawData[[Error Type ]],$Q$5))</f>
        <v/>
      </c>
    </row>
    <row r="10522" spans="15:15" x14ac:dyDescent="0.25">
      <c r="O10522" s="20" t="str">
        <f>IF(N10522="","",COUNTIFS(RawData[[Date ]],N10522,RawData[Month List],$Q$6,RawData[Tour/Site],$Q$2,RawData[[Picker ID ]],$Q$3,RawData[Checker ID],$Q$4,RawData[[Error Type ]],$Q$5))</f>
        <v/>
      </c>
    </row>
    <row r="10523" spans="15:15" x14ac:dyDescent="0.25">
      <c r="O10523" s="20" t="str">
        <f>IF(N10523="","",COUNTIFS(RawData[[Date ]],N10523,RawData[Month List],$Q$6,RawData[Tour/Site],$Q$2,RawData[[Picker ID ]],$Q$3,RawData[Checker ID],$Q$4,RawData[[Error Type ]],$Q$5))</f>
        <v/>
      </c>
    </row>
    <row r="10524" spans="15:15" x14ac:dyDescent="0.25">
      <c r="O10524" s="20" t="str">
        <f>IF(N10524="","",COUNTIFS(RawData[[Date ]],N10524,RawData[Month List],$Q$6,RawData[Tour/Site],$Q$2,RawData[[Picker ID ]],$Q$3,RawData[Checker ID],$Q$4,RawData[[Error Type ]],$Q$5))</f>
        <v/>
      </c>
    </row>
    <row r="10525" spans="15:15" x14ac:dyDescent="0.25">
      <c r="O10525" s="20" t="str">
        <f>IF(N10525="","",COUNTIFS(RawData[[Date ]],N10525,RawData[Month List],$Q$6,RawData[Tour/Site],$Q$2,RawData[[Picker ID ]],$Q$3,RawData[Checker ID],$Q$4,RawData[[Error Type ]],$Q$5))</f>
        <v/>
      </c>
    </row>
    <row r="10526" spans="15:15" x14ac:dyDescent="0.25">
      <c r="O10526" s="20" t="str">
        <f>IF(N10526="","",COUNTIFS(RawData[[Date ]],N10526,RawData[Month List],$Q$6,RawData[Tour/Site],$Q$2,RawData[[Picker ID ]],$Q$3,RawData[Checker ID],$Q$4,RawData[[Error Type ]],$Q$5))</f>
        <v/>
      </c>
    </row>
    <row r="10527" spans="15:15" x14ac:dyDescent="0.25">
      <c r="O10527" s="20" t="str">
        <f>IF(N10527="","",COUNTIFS(RawData[[Date ]],N10527,RawData[Month List],$Q$6,RawData[Tour/Site],$Q$2,RawData[[Picker ID ]],$Q$3,RawData[Checker ID],$Q$4,RawData[[Error Type ]],$Q$5))</f>
        <v/>
      </c>
    </row>
    <row r="10528" spans="15:15" x14ac:dyDescent="0.25">
      <c r="O10528" s="20" t="str">
        <f>IF(N10528="","",COUNTIFS(RawData[[Date ]],N10528,RawData[Month List],$Q$6,RawData[Tour/Site],$Q$2,RawData[[Picker ID ]],$Q$3,RawData[Checker ID],$Q$4,RawData[[Error Type ]],$Q$5))</f>
        <v/>
      </c>
    </row>
    <row r="10529" spans="15:15" x14ac:dyDescent="0.25">
      <c r="O10529" s="20" t="str">
        <f>IF(N10529="","",COUNTIFS(RawData[[Date ]],N10529,RawData[Month List],$Q$6,RawData[Tour/Site],$Q$2,RawData[[Picker ID ]],$Q$3,RawData[Checker ID],$Q$4,RawData[[Error Type ]],$Q$5))</f>
        <v/>
      </c>
    </row>
    <row r="10530" spans="15:15" x14ac:dyDescent="0.25">
      <c r="O10530" s="20" t="str">
        <f>IF(N10530="","",COUNTIFS(RawData[[Date ]],N10530,RawData[Month List],$Q$6,RawData[Tour/Site],$Q$2,RawData[[Picker ID ]],$Q$3,RawData[Checker ID],$Q$4,RawData[[Error Type ]],$Q$5))</f>
        <v/>
      </c>
    </row>
    <row r="10531" spans="15:15" x14ac:dyDescent="0.25">
      <c r="O10531" s="20" t="str">
        <f>IF(N10531="","",COUNTIFS(RawData[[Date ]],N10531,RawData[Month List],$Q$6,RawData[Tour/Site],$Q$2,RawData[[Picker ID ]],$Q$3,RawData[Checker ID],$Q$4,RawData[[Error Type ]],$Q$5))</f>
        <v/>
      </c>
    </row>
    <row r="10532" spans="15:15" x14ac:dyDescent="0.25">
      <c r="O10532" s="20" t="str">
        <f>IF(N10532="","",COUNTIFS(RawData[[Date ]],N10532,RawData[Month List],$Q$6,RawData[Tour/Site],$Q$2,RawData[[Picker ID ]],$Q$3,RawData[Checker ID],$Q$4,RawData[[Error Type ]],$Q$5))</f>
        <v/>
      </c>
    </row>
    <row r="10533" spans="15:15" x14ac:dyDescent="0.25">
      <c r="O10533" s="20" t="str">
        <f>IF(N10533="","",COUNTIFS(RawData[[Date ]],N10533,RawData[Month List],$Q$6,RawData[Tour/Site],$Q$2,RawData[[Picker ID ]],$Q$3,RawData[Checker ID],$Q$4,RawData[[Error Type ]],$Q$5))</f>
        <v/>
      </c>
    </row>
    <row r="10534" spans="15:15" x14ac:dyDescent="0.25">
      <c r="O10534" s="20" t="str">
        <f>IF(N10534="","",COUNTIFS(RawData[[Date ]],N10534,RawData[Month List],$Q$6,RawData[Tour/Site],$Q$2,RawData[[Picker ID ]],$Q$3,RawData[Checker ID],$Q$4,RawData[[Error Type ]],$Q$5))</f>
        <v/>
      </c>
    </row>
    <row r="10535" spans="15:15" x14ac:dyDescent="0.25">
      <c r="O10535" s="20" t="str">
        <f>IF(N10535="","",COUNTIFS(RawData[[Date ]],N10535,RawData[Month List],$Q$6,RawData[Tour/Site],$Q$2,RawData[[Picker ID ]],$Q$3,RawData[Checker ID],$Q$4,RawData[[Error Type ]],$Q$5))</f>
        <v/>
      </c>
    </row>
    <row r="10536" spans="15:15" x14ac:dyDescent="0.25">
      <c r="O10536" s="20" t="str">
        <f>IF(N10536="","",COUNTIFS(RawData[[Date ]],N10536,RawData[Month List],$Q$6,RawData[Tour/Site],$Q$2,RawData[[Picker ID ]],$Q$3,RawData[Checker ID],$Q$4,RawData[[Error Type ]],$Q$5))</f>
        <v/>
      </c>
    </row>
    <row r="10537" spans="15:15" x14ac:dyDescent="0.25">
      <c r="O10537" s="20" t="str">
        <f>IF(N10537="","",COUNTIFS(RawData[[Date ]],N10537,RawData[Month List],$Q$6,RawData[Tour/Site],$Q$2,RawData[[Picker ID ]],$Q$3,RawData[Checker ID],$Q$4,RawData[[Error Type ]],$Q$5))</f>
        <v/>
      </c>
    </row>
    <row r="10538" spans="15:15" x14ac:dyDescent="0.25">
      <c r="O10538" s="20" t="str">
        <f>IF(N10538="","",COUNTIFS(RawData[[Date ]],N10538,RawData[Month List],$Q$6,RawData[Tour/Site],$Q$2,RawData[[Picker ID ]],$Q$3,RawData[Checker ID],$Q$4,RawData[[Error Type ]],$Q$5))</f>
        <v/>
      </c>
    </row>
    <row r="10539" spans="15:15" x14ac:dyDescent="0.25">
      <c r="O10539" s="20" t="str">
        <f>IF(N10539="","",COUNTIFS(RawData[[Date ]],N10539,RawData[Month List],$Q$6,RawData[Tour/Site],$Q$2,RawData[[Picker ID ]],$Q$3,RawData[Checker ID],$Q$4,RawData[[Error Type ]],$Q$5))</f>
        <v/>
      </c>
    </row>
    <row r="10540" spans="15:15" x14ac:dyDescent="0.25">
      <c r="O10540" s="20" t="str">
        <f>IF(N10540="","",COUNTIFS(RawData[[Date ]],N10540,RawData[Month List],$Q$6,RawData[Tour/Site],$Q$2,RawData[[Picker ID ]],$Q$3,RawData[Checker ID],$Q$4,RawData[[Error Type ]],$Q$5))</f>
        <v/>
      </c>
    </row>
    <row r="10541" spans="15:15" x14ac:dyDescent="0.25">
      <c r="O10541" s="20" t="str">
        <f>IF(N10541="","",COUNTIFS(RawData[[Date ]],N10541,RawData[Month List],$Q$6,RawData[Tour/Site],$Q$2,RawData[[Picker ID ]],$Q$3,RawData[Checker ID],$Q$4,RawData[[Error Type ]],$Q$5))</f>
        <v/>
      </c>
    </row>
    <row r="10542" spans="15:15" x14ac:dyDescent="0.25">
      <c r="O10542" s="20" t="str">
        <f>IF(N10542="","",COUNTIFS(RawData[[Date ]],N10542,RawData[Month List],$Q$6,RawData[Tour/Site],$Q$2,RawData[[Picker ID ]],$Q$3,RawData[Checker ID],$Q$4,RawData[[Error Type ]],$Q$5))</f>
        <v/>
      </c>
    </row>
    <row r="10543" spans="15:15" x14ac:dyDescent="0.25">
      <c r="O10543" s="20" t="str">
        <f>IF(N10543="","",COUNTIFS(RawData[[Date ]],N10543,RawData[Month List],$Q$6,RawData[Tour/Site],$Q$2,RawData[[Picker ID ]],$Q$3,RawData[Checker ID],$Q$4,RawData[[Error Type ]],$Q$5))</f>
        <v/>
      </c>
    </row>
    <row r="10544" spans="15:15" x14ac:dyDescent="0.25">
      <c r="O10544" s="20" t="str">
        <f>IF(N10544="","",COUNTIFS(RawData[[Date ]],N10544,RawData[Month List],$Q$6,RawData[Tour/Site],$Q$2,RawData[[Picker ID ]],$Q$3,RawData[Checker ID],$Q$4,RawData[[Error Type ]],$Q$5))</f>
        <v/>
      </c>
    </row>
    <row r="10545" spans="15:15" x14ac:dyDescent="0.25">
      <c r="O10545" s="20" t="str">
        <f>IF(N10545="","",COUNTIFS(RawData[[Date ]],N10545,RawData[Month List],$Q$6,RawData[Tour/Site],$Q$2,RawData[[Picker ID ]],$Q$3,RawData[Checker ID],$Q$4,RawData[[Error Type ]],$Q$5))</f>
        <v/>
      </c>
    </row>
    <row r="10546" spans="15:15" x14ac:dyDescent="0.25">
      <c r="O10546" s="20" t="str">
        <f>IF(N10546="","",COUNTIFS(RawData[[Date ]],N10546,RawData[Month List],$Q$6,RawData[Tour/Site],$Q$2,RawData[[Picker ID ]],$Q$3,RawData[Checker ID],$Q$4,RawData[[Error Type ]],$Q$5))</f>
        <v/>
      </c>
    </row>
    <row r="10547" spans="15:15" x14ac:dyDescent="0.25">
      <c r="O10547" s="20" t="str">
        <f>IF(N10547="","",COUNTIFS(RawData[[Date ]],N10547,RawData[Month List],$Q$6,RawData[Tour/Site],$Q$2,RawData[[Picker ID ]],$Q$3,RawData[Checker ID],$Q$4,RawData[[Error Type ]],$Q$5))</f>
        <v/>
      </c>
    </row>
    <row r="10548" spans="15:15" x14ac:dyDescent="0.25">
      <c r="O10548" s="20" t="str">
        <f>IF(N10548="","",COUNTIFS(RawData[[Date ]],N10548,RawData[Month List],$Q$6,RawData[Tour/Site],$Q$2,RawData[[Picker ID ]],$Q$3,RawData[Checker ID],$Q$4,RawData[[Error Type ]],$Q$5))</f>
        <v/>
      </c>
    </row>
    <row r="10549" spans="15:15" x14ac:dyDescent="0.25">
      <c r="O10549" s="20" t="str">
        <f>IF(N10549="","",COUNTIFS(RawData[[Date ]],N10549,RawData[Month List],$Q$6,RawData[Tour/Site],$Q$2,RawData[[Picker ID ]],$Q$3,RawData[Checker ID],$Q$4,RawData[[Error Type ]],$Q$5))</f>
        <v/>
      </c>
    </row>
    <row r="10550" spans="15:15" x14ac:dyDescent="0.25">
      <c r="O10550" s="20" t="str">
        <f>IF(N10550="","",COUNTIFS(RawData[[Date ]],N10550,RawData[Month List],$Q$6,RawData[Tour/Site],$Q$2,RawData[[Picker ID ]],$Q$3,RawData[Checker ID],$Q$4,RawData[[Error Type ]],$Q$5))</f>
        <v/>
      </c>
    </row>
    <row r="10551" spans="15:15" x14ac:dyDescent="0.25">
      <c r="O10551" s="20" t="str">
        <f>IF(N10551="","",COUNTIFS(RawData[[Date ]],N10551,RawData[Month List],$Q$6,RawData[Tour/Site],$Q$2,RawData[[Picker ID ]],$Q$3,RawData[Checker ID],$Q$4,RawData[[Error Type ]],$Q$5))</f>
        <v/>
      </c>
    </row>
    <row r="10552" spans="15:15" x14ac:dyDescent="0.25">
      <c r="O10552" s="20" t="str">
        <f>IF(N10552="","",COUNTIFS(RawData[[Date ]],N10552,RawData[Month List],$Q$6,RawData[Tour/Site],$Q$2,RawData[[Picker ID ]],$Q$3,RawData[Checker ID],$Q$4,RawData[[Error Type ]],$Q$5))</f>
        <v/>
      </c>
    </row>
    <row r="10553" spans="15:15" x14ac:dyDescent="0.25">
      <c r="O10553" s="20" t="str">
        <f>IF(N10553="","",COUNTIFS(RawData[[Date ]],N10553,RawData[Month List],$Q$6,RawData[Tour/Site],$Q$2,RawData[[Picker ID ]],$Q$3,RawData[Checker ID],$Q$4,RawData[[Error Type ]],$Q$5))</f>
        <v/>
      </c>
    </row>
    <row r="10554" spans="15:15" x14ac:dyDescent="0.25">
      <c r="O10554" s="20" t="str">
        <f>IF(N10554="","",COUNTIFS(RawData[[Date ]],N10554,RawData[Month List],$Q$6,RawData[Tour/Site],$Q$2,RawData[[Picker ID ]],$Q$3,RawData[Checker ID],$Q$4,RawData[[Error Type ]],$Q$5))</f>
        <v/>
      </c>
    </row>
    <row r="10555" spans="15:15" x14ac:dyDescent="0.25">
      <c r="O10555" s="20" t="str">
        <f>IF(N10555="","",COUNTIFS(RawData[[Date ]],N10555,RawData[Month List],$Q$6,RawData[Tour/Site],$Q$2,RawData[[Picker ID ]],$Q$3,RawData[Checker ID],$Q$4,RawData[[Error Type ]],$Q$5))</f>
        <v/>
      </c>
    </row>
    <row r="10556" spans="15:15" x14ac:dyDescent="0.25">
      <c r="O10556" s="20" t="str">
        <f>IF(N10556="","",COUNTIFS(RawData[[Date ]],N10556,RawData[Month List],$Q$6,RawData[Tour/Site],$Q$2,RawData[[Picker ID ]],$Q$3,RawData[Checker ID],$Q$4,RawData[[Error Type ]],$Q$5))</f>
        <v/>
      </c>
    </row>
    <row r="10557" spans="15:15" x14ac:dyDescent="0.25">
      <c r="O10557" s="20" t="str">
        <f>IF(N10557="","",COUNTIFS(RawData[[Date ]],N10557,RawData[Month List],$Q$6,RawData[Tour/Site],$Q$2,RawData[[Picker ID ]],$Q$3,RawData[Checker ID],$Q$4,RawData[[Error Type ]],$Q$5))</f>
        <v/>
      </c>
    </row>
    <row r="10558" spans="15:15" x14ac:dyDescent="0.25">
      <c r="O10558" s="20" t="str">
        <f>IF(N10558="","",COUNTIFS(RawData[[Date ]],N10558,RawData[Month List],$Q$6,RawData[Tour/Site],$Q$2,RawData[[Picker ID ]],$Q$3,RawData[Checker ID],$Q$4,RawData[[Error Type ]],$Q$5))</f>
        <v/>
      </c>
    </row>
    <row r="10559" spans="15:15" x14ac:dyDescent="0.25">
      <c r="O10559" s="20" t="str">
        <f>IF(N10559="","",COUNTIFS(RawData[[Date ]],N10559,RawData[Month List],$Q$6,RawData[Tour/Site],$Q$2,RawData[[Picker ID ]],$Q$3,RawData[Checker ID],$Q$4,RawData[[Error Type ]],$Q$5))</f>
        <v/>
      </c>
    </row>
    <row r="10560" spans="15:15" x14ac:dyDescent="0.25">
      <c r="O10560" s="20" t="str">
        <f>IF(N10560="","",COUNTIFS(RawData[[Date ]],N10560,RawData[Month List],$Q$6,RawData[Tour/Site],$Q$2,RawData[[Picker ID ]],$Q$3,RawData[Checker ID],$Q$4,RawData[[Error Type ]],$Q$5))</f>
        <v/>
      </c>
    </row>
    <row r="10561" spans="15:15" x14ac:dyDescent="0.25">
      <c r="O10561" s="20" t="str">
        <f>IF(N10561="","",COUNTIFS(RawData[[Date ]],N10561,RawData[Month List],$Q$6,RawData[Tour/Site],$Q$2,RawData[[Picker ID ]],$Q$3,RawData[Checker ID],$Q$4,RawData[[Error Type ]],$Q$5))</f>
        <v/>
      </c>
    </row>
    <row r="10562" spans="15:15" x14ac:dyDescent="0.25">
      <c r="O10562" s="20" t="str">
        <f>IF(N10562="","",COUNTIFS(RawData[[Date ]],N10562,RawData[Month List],$Q$6,RawData[Tour/Site],$Q$2,RawData[[Picker ID ]],$Q$3,RawData[Checker ID],$Q$4,RawData[[Error Type ]],$Q$5))</f>
        <v/>
      </c>
    </row>
    <row r="10563" spans="15:15" x14ac:dyDescent="0.25">
      <c r="O10563" s="20" t="str">
        <f>IF(N10563="","",COUNTIFS(RawData[[Date ]],N10563,RawData[Month List],$Q$6,RawData[Tour/Site],$Q$2,RawData[[Picker ID ]],$Q$3,RawData[Checker ID],$Q$4,RawData[[Error Type ]],$Q$5))</f>
        <v/>
      </c>
    </row>
    <row r="10564" spans="15:15" x14ac:dyDescent="0.25">
      <c r="O10564" s="20" t="str">
        <f>IF(N10564="","",COUNTIFS(RawData[[Date ]],N10564,RawData[Month List],$Q$6,RawData[Tour/Site],$Q$2,RawData[[Picker ID ]],$Q$3,RawData[Checker ID],$Q$4,RawData[[Error Type ]],$Q$5))</f>
        <v/>
      </c>
    </row>
    <row r="10565" spans="15:15" x14ac:dyDescent="0.25">
      <c r="O10565" s="20" t="str">
        <f>IF(N10565="","",COUNTIFS(RawData[[Date ]],N10565,RawData[Month List],$Q$6,RawData[Tour/Site],$Q$2,RawData[[Picker ID ]],$Q$3,RawData[Checker ID],$Q$4,RawData[[Error Type ]],$Q$5))</f>
        <v/>
      </c>
    </row>
    <row r="10566" spans="15:15" x14ac:dyDescent="0.25">
      <c r="O10566" s="20" t="str">
        <f>IF(N10566="","",COUNTIFS(RawData[[Date ]],N10566,RawData[Month List],$Q$6,RawData[Tour/Site],$Q$2,RawData[[Picker ID ]],$Q$3,RawData[Checker ID],$Q$4,RawData[[Error Type ]],$Q$5))</f>
        <v/>
      </c>
    </row>
    <row r="10567" spans="15:15" x14ac:dyDescent="0.25">
      <c r="O10567" s="20" t="str">
        <f>IF(N10567="","",COUNTIFS(RawData[[Date ]],N10567,RawData[Month List],$Q$6,RawData[Tour/Site],$Q$2,RawData[[Picker ID ]],$Q$3,RawData[Checker ID],$Q$4,RawData[[Error Type ]],$Q$5))</f>
        <v/>
      </c>
    </row>
    <row r="10568" spans="15:15" x14ac:dyDescent="0.25">
      <c r="O10568" s="20" t="str">
        <f>IF(N10568="","",COUNTIFS(RawData[[Date ]],N10568,RawData[Month List],$Q$6,RawData[Tour/Site],$Q$2,RawData[[Picker ID ]],$Q$3,RawData[Checker ID],$Q$4,RawData[[Error Type ]],$Q$5))</f>
        <v/>
      </c>
    </row>
    <row r="10569" spans="15:15" x14ac:dyDescent="0.25">
      <c r="O10569" s="20" t="str">
        <f>IF(N10569="","",COUNTIFS(RawData[[Date ]],N10569,RawData[Month List],$Q$6,RawData[Tour/Site],$Q$2,RawData[[Picker ID ]],$Q$3,RawData[Checker ID],$Q$4,RawData[[Error Type ]],$Q$5))</f>
        <v/>
      </c>
    </row>
    <row r="10570" spans="15:15" x14ac:dyDescent="0.25">
      <c r="O10570" s="20" t="str">
        <f>IF(N10570="","",COUNTIFS(RawData[[Date ]],N10570,RawData[Month List],$Q$6,RawData[Tour/Site],$Q$2,RawData[[Picker ID ]],$Q$3,RawData[Checker ID],$Q$4,RawData[[Error Type ]],$Q$5))</f>
        <v/>
      </c>
    </row>
    <row r="10571" spans="15:15" x14ac:dyDescent="0.25">
      <c r="O10571" s="20" t="str">
        <f>IF(N10571="","",COUNTIFS(RawData[[Date ]],N10571,RawData[Month List],$Q$6,RawData[Tour/Site],$Q$2,RawData[[Picker ID ]],$Q$3,RawData[Checker ID],$Q$4,RawData[[Error Type ]],$Q$5))</f>
        <v/>
      </c>
    </row>
    <row r="10572" spans="15:15" x14ac:dyDescent="0.25">
      <c r="O10572" s="20" t="str">
        <f>IF(N10572="","",COUNTIFS(RawData[[Date ]],N10572,RawData[Month List],$Q$6,RawData[Tour/Site],$Q$2,RawData[[Picker ID ]],$Q$3,RawData[Checker ID],$Q$4,RawData[[Error Type ]],$Q$5))</f>
        <v/>
      </c>
    </row>
    <row r="10573" spans="15:15" x14ac:dyDescent="0.25">
      <c r="O10573" s="20" t="str">
        <f>IF(N10573="","",COUNTIFS(RawData[[Date ]],N10573,RawData[Month List],$Q$6,RawData[Tour/Site],$Q$2,RawData[[Picker ID ]],$Q$3,RawData[Checker ID],$Q$4,RawData[[Error Type ]],$Q$5))</f>
        <v/>
      </c>
    </row>
    <row r="10574" spans="15:15" x14ac:dyDescent="0.25">
      <c r="O10574" s="20" t="str">
        <f>IF(N10574="","",COUNTIFS(RawData[[Date ]],N10574,RawData[Month List],$Q$6,RawData[Tour/Site],$Q$2,RawData[[Picker ID ]],$Q$3,RawData[Checker ID],$Q$4,RawData[[Error Type ]],$Q$5))</f>
        <v/>
      </c>
    </row>
    <row r="10575" spans="15:15" x14ac:dyDescent="0.25">
      <c r="O10575" s="20" t="str">
        <f>IF(N10575="","",COUNTIFS(RawData[[Date ]],N10575,RawData[Month List],$Q$6,RawData[Tour/Site],$Q$2,RawData[[Picker ID ]],$Q$3,RawData[Checker ID],$Q$4,RawData[[Error Type ]],$Q$5))</f>
        <v/>
      </c>
    </row>
    <row r="10576" spans="15:15" x14ac:dyDescent="0.25">
      <c r="O10576" s="20" t="str">
        <f>IF(N10576="","",COUNTIFS(RawData[[Date ]],N10576,RawData[Month List],$Q$6,RawData[Tour/Site],$Q$2,RawData[[Picker ID ]],$Q$3,RawData[Checker ID],$Q$4,RawData[[Error Type ]],$Q$5))</f>
        <v/>
      </c>
    </row>
    <row r="10577" spans="15:15" x14ac:dyDescent="0.25">
      <c r="O10577" s="20" t="str">
        <f>IF(N10577="","",COUNTIFS(RawData[[Date ]],N10577,RawData[Month List],$Q$6,RawData[Tour/Site],$Q$2,RawData[[Picker ID ]],$Q$3,RawData[Checker ID],$Q$4,RawData[[Error Type ]],$Q$5))</f>
        <v/>
      </c>
    </row>
    <row r="10578" spans="15:15" x14ac:dyDescent="0.25">
      <c r="O10578" s="20" t="str">
        <f>IF(N10578="","",COUNTIFS(RawData[[Date ]],N10578,RawData[Month List],$Q$6,RawData[Tour/Site],$Q$2,RawData[[Picker ID ]],$Q$3,RawData[Checker ID],$Q$4,RawData[[Error Type ]],$Q$5))</f>
        <v/>
      </c>
    </row>
    <row r="10579" spans="15:15" x14ac:dyDescent="0.25">
      <c r="O10579" s="20" t="str">
        <f>IF(N10579="","",COUNTIFS(RawData[[Date ]],N10579,RawData[Month List],$Q$6,RawData[Tour/Site],$Q$2,RawData[[Picker ID ]],$Q$3,RawData[Checker ID],$Q$4,RawData[[Error Type ]],$Q$5))</f>
        <v/>
      </c>
    </row>
    <row r="10580" spans="15:15" x14ac:dyDescent="0.25">
      <c r="O10580" s="20" t="str">
        <f>IF(N10580="","",COUNTIFS(RawData[[Date ]],N10580,RawData[Month List],$Q$6,RawData[Tour/Site],$Q$2,RawData[[Picker ID ]],$Q$3,RawData[Checker ID],$Q$4,RawData[[Error Type ]],$Q$5))</f>
        <v/>
      </c>
    </row>
    <row r="10581" spans="15:15" x14ac:dyDescent="0.25">
      <c r="O10581" s="20" t="str">
        <f>IF(N10581="","",COUNTIFS(RawData[[Date ]],N10581,RawData[Month List],$Q$6,RawData[Tour/Site],$Q$2,RawData[[Picker ID ]],$Q$3,RawData[Checker ID],$Q$4,RawData[[Error Type ]],$Q$5))</f>
        <v/>
      </c>
    </row>
    <row r="10582" spans="15:15" x14ac:dyDescent="0.25">
      <c r="O10582" s="20" t="str">
        <f>IF(N10582="","",COUNTIFS(RawData[[Date ]],N10582,RawData[Month List],$Q$6,RawData[Tour/Site],$Q$2,RawData[[Picker ID ]],$Q$3,RawData[Checker ID],$Q$4,RawData[[Error Type ]],$Q$5))</f>
        <v/>
      </c>
    </row>
    <row r="10583" spans="15:15" x14ac:dyDescent="0.25">
      <c r="O10583" s="20" t="str">
        <f>IF(N10583="","",COUNTIFS(RawData[[Date ]],N10583,RawData[Month List],$Q$6,RawData[Tour/Site],$Q$2,RawData[[Picker ID ]],$Q$3,RawData[Checker ID],$Q$4,RawData[[Error Type ]],$Q$5))</f>
        <v/>
      </c>
    </row>
    <row r="10584" spans="15:15" x14ac:dyDescent="0.25">
      <c r="O10584" s="20" t="str">
        <f>IF(N10584="","",COUNTIFS(RawData[[Date ]],N10584,RawData[Month List],$Q$6,RawData[Tour/Site],$Q$2,RawData[[Picker ID ]],$Q$3,RawData[Checker ID],$Q$4,RawData[[Error Type ]],$Q$5))</f>
        <v/>
      </c>
    </row>
    <row r="10585" spans="15:15" x14ac:dyDescent="0.25">
      <c r="O10585" s="20" t="str">
        <f>IF(N10585="","",COUNTIFS(RawData[[Date ]],N10585,RawData[Month List],$Q$6,RawData[Tour/Site],$Q$2,RawData[[Picker ID ]],$Q$3,RawData[Checker ID],$Q$4,RawData[[Error Type ]],$Q$5))</f>
        <v/>
      </c>
    </row>
    <row r="10586" spans="15:15" x14ac:dyDescent="0.25">
      <c r="O10586" s="20" t="str">
        <f>IF(N10586="","",COUNTIFS(RawData[[Date ]],N10586,RawData[Month List],$Q$6,RawData[Tour/Site],$Q$2,RawData[[Picker ID ]],$Q$3,RawData[Checker ID],$Q$4,RawData[[Error Type ]],$Q$5))</f>
        <v/>
      </c>
    </row>
    <row r="10587" spans="15:15" x14ac:dyDescent="0.25">
      <c r="O10587" s="20" t="str">
        <f>IF(N10587="","",COUNTIFS(RawData[[Date ]],N10587,RawData[Month List],$Q$6,RawData[Tour/Site],$Q$2,RawData[[Picker ID ]],$Q$3,RawData[Checker ID],$Q$4,RawData[[Error Type ]],$Q$5))</f>
        <v/>
      </c>
    </row>
    <row r="10588" spans="15:15" x14ac:dyDescent="0.25">
      <c r="O10588" s="20" t="str">
        <f>IF(N10588="","",COUNTIFS(RawData[[Date ]],N10588,RawData[Month List],$Q$6,RawData[Tour/Site],$Q$2,RawData[[Picker ID ]],$Q$3,RawData[Checker ID],$Q$4,RawData[[Error Type ]],$Q$5))</f>
        <v/>
      </c>
    </row>
    <row r="10589" spans="15:15" x14ac:dyDescent="0.25">
      <c r="O10589" s="20" t="str">
        <f>IF(N10589="","",COUNTIFS(RawData[[Date ]],N10589,RawData[Month List],$Q$6,RawData[Tour/Site],$Q$2,RawData[[Picker ID ]],$Q$3,RawData[Checker ID],$Q$4,RawData[[Error Type ]],$Q$5))</f>
        <v/>
      </c>
    </row>
    <row r="10590" spans="15:15" x14ac:dyDescent="0.25">
      <c r="O10590" s="20" t="str">
        <f>IF(N10590="","",COUNTIFS(RawData[[Date ]],N10590,RawData[Month List],$Q$6,RawData[Tour/Site],$Q$2,RawData[[Picker ID ]],$Q$3,RawData[Checker ID],$Q$4,RawData[[Error Type ]],$Q$5))</f>
        <v/>
      </c>
    </row>
    <row r="10591" spans="15:15" x14ac:dyDescent="0.25">
      <c r="O10591" s="20" t="str">
        <f>IF(N10591="","",COUNTIFS(RawData[[Date ]],N10591,RawData[Month List],$Q$6,RawData[Tour/Site],$Q$2,RawData[[Picker ID ]],$Q$3,RawData[Checker ID],$Q$4,RawData[[Error Type ]],$Q$5))</f>
        <v/>
      </c>
    </row>
    <row r="10592" spans="15:15" x14ac:dyDescent="0.25">
      <c r="O10592" s="20" t="str">
        <f>IF(N10592="","",COUNTIFS(RawData[[Date ]],N10592,RawData[Month List],$Q$6,RawData[Tour/Site],$Q$2,RawData[[Picker ID ]],$Q$3,RawData[Checker ID],$Q$4,RawData[[Error Type ]],$Q$5))</f>
        <v/>
      </c>
    </row>
    <row r="10593" spans="15:15" x14ac:dyDescent="0.25">
      <c r="O10593" s="20" t="str">
        <f>IF(N10593="","",COUNTIFS(RawData[[Date ]],N10593,RawData[Month List],$Q$6,RawData[Tour/Site],$Q$2,RawData[[Picker ID ]],$Q$3,RawData[Checker ID],$Q$4,RawData[[Error Type ]],$Q$5))</f>
        <v/>
      </c>
    </row>
    <row r="10594" spans="15:15" x14ac:dyDescent="0.25">
      <c r="O10594" s="20" t="str">
        <f>IF(N10594="","",COUNTIFS(RawData[[Date ]],N10594,RawData[Month List],$Q$6,RawData[Tour/Site],$Q$2,RawData[[Picker ID ]],$Q$3,RawData[Checker ID],$Q$4,RawData[[Error Type ]],$Q$5))</f>
        <v/>
      </c>
    </row>
    <row r="10595" spans="15:15" x14ac:dyDescent="0.25">
      <c r="O10595" s="20" t="str">
        <f>IF(N10595="","",COUNTIFS(RawData[[Date ]],N10595,RawData[Month List],$Q$6,RawData[Tour/Site],$Q$2,RawData[[Picker ID ]],$Q$3,RawData[Checker ID],$Q$4,RawData[[Error Type ]],$Q$5))</f>
        <v/>
      </c>
    </row>
    <row r="10596" spans="15:15" x14ac:dyDescent="0.25">
      <c r="O10596" s="20" t="str">
        <f>IF(N10596="","",COUNTIFS(RawData[[Date ]],N10596,RawData[Month List],$Q$6,RawData[Tour/Site],$Q$2,RawData[[Picker ID ]],$Q$3,RawData[Checker ID],$Q$4,RawData[[Error Type ]],$Q$5))</f>
        <v/>
      </c>
    </row>
    <row r="10597" spans="15:15" x14ac:dyDescent="0.25">
      <c r="O10597" s="20" t="str">
        <f>IF(N10597="","",COUNTIFS(RawData[[Date ]],N10597,RawData[Month List],$Q$6,RawData[Tour/Site],$Q$2,RawData[[Picker ID ]],$Q$3,RawData[Checker ID],$Q$4,RawData[[Error Type ]],$Q$5))</f>
        <v/>
      </c>
    </row>
    <row r="10598" spans="15:15" x14ac:dyDescent="0.25">
      <c r="O10598" s="20" t="str">
        <f>IF(N10598="","",COUNTIFS(RawData[[Date ]],N10598,RawData[Month List],$Q$6,RawData[Tour/Site],$Q$2,RawData[[Picker ID ]],$Q$3,RawData[Checker ID],$Q$4,RawData[[Error Type ]],$Q$5))</f>
        <v/>
      </c>
    </row>
    <row r="10599" spans="15:15" x14ac:dyDescent="0.25">
      <c r="O10599" s="20" t="str">
        <f>IF(N10599="","",COUNTIFS(RawData[[Date ]],N10599,RawData[Month List],$Q$6,RawData[Tour/Site],$Q$2,RawData[[Picker ID ]],$Q$3,RawData[Checker ID],$Q$4,RawData[[Error Type ]],$Q$5))</f>
        <v/>
      </c>
    </row>
    <row r="10600" spans="15:15" x14ac:dyDescent="0.25">
      <c r="O10600" s="20" t="str">
        <f>IF(N10600="","",COUNTIFS(RawData[[Date ]],N10600,RawData[Month List],$Q$6,RawData[Tour/Site],$Q$2,RawData[[Picker ID ]],$Q$3,RawData[Checker ID],$Q$4,RawData[[Error Type ]],$Q$5))</f>
        <v/>
      </c>
    </row>
    <row r="10601" spans="15:15" x14ac:dyDescent="0.25">
      <c r="O10601" s="20" t="str">
        <f>IF(N10601="","",COUNTIFS(RawData[[Date ]],N10601,RawData[Month List],$Q$6,RawData[Tour/Site],$Q$2,RawData[[Picker ID ]],$Q$3,RawData[Checker ID],$Q$4,RawData[[Error Type ]],$Q$5))</f>
        <v/>
      </c>
    </row>
    <row r="10602" spans="15:15" x14ac:dyDescent="0.25">
      <c r="O10602" s="20" t="str">
        <f>IF(N10602="","",COUNTIFS(RawData[[Date ]],N10602,RawData[Month List],$Q$6,RawData[Tour/Site],$Q$2,RawData[[Picker ID ]],$Q$3,RawData[Checker ID],$Q$4,RawData[[Error Type ]],$Q$5))</f>
        <v/>
      </c>
    </row>
    <row r="10603" spans="15:15" x14ac:dyDescent="0.25">
      <c r="O10603" s="20" t="str">
        <f>IF(N10603="","",COUNTIFS(RawData[[Date ]],N10603,RawData[Month List],$Q$6,RawData[Tour/Site],$Q$2,RawData[[Picker ID ]],$Q$3,RawData[Checker ID],$Q$4,RawData[[Error Type ]],$Q$5))</f>
        <v/>
      </c>
    </row>
    <row r="10604" spans="15:15" x14ac:dyDescent="0.25">
      <c r="O10604" s="20" t="str">
        <f>IF(N10604="","",COUNTIFS(RawData[[Date ]],N10604,RawData[Month List],$Q$6,RawData[Tour/Site],$Q$2,RawData[[Picker ID ]],$Q$3,RawData[Checker ID],$Q$4,RawData[[Error Type ]],$Q$5))</f>
        <v/>
      </c>
    </row>
    <row r="10605" spans="15:15" x14ac:dyDescent="0.25">
      <c r="O10605" s="20" t="str">
        <f>IF(N10605="","",COUNTIFS(RawData[[Date ]],N10605,RawData[Month List],$Q$6,RawData[Tour/Site],$Q$2,RawData[[Picker ID ]],$Q$3,RawData[Checker ID],$Q$4,RawData[[Error Type ]],$Q$5))</f>
        <v/>
      </c>
    </row>
    <row r="10606" spans="15:15" x14ac:dyDescent="0.25">
      <c r="O10606" s="20" t="str">
        <f>IF(N10606="","",COUNTIFS(RawData[[Date ]],N10606,RawData[Month List],$Q$6,RawData[Tour/Site],$Q$2,RawData[[Picker ID ]],$Q$3,RawData[Checker ID],$Q$4,RawData[[Error Type ]],$Q$5))</f>
        <v/>
      </c>
    </row>
    <row r="10607" spans="15:15" x14ac:dyDescent="0.25">
      <c r="O10607" s="20" t="str">
        <f>IF(N10607="","",COUNTIFS(RawData[[Date ]],N10607,RawData[Month List],$Q$6,RawData[Tour/Site],$Q$2,RawData[[Picker ID ]],$Q$3,RawData[Checker ID],$Q$4,RawData[[Error Type ]],$Q$5))</f>
        <v/>
      </c>
    </row>
    <row r="10608" spans="15:15" x14ac:dyDescent="0.25">
      <c r="O10608" s="20" t="str">
        <f>IF(N10608="","",COUNTIFS(RawData[[Date ]],N10608,RawData[Month List],$Q$6,RawData[Tour/Site],$Q$2,RawData[[Picker ID ]],$Q$3,RawData[Checker ID],$Q$4,RawData[[Error Type ]],$Q$5))</f>
        <v/>
      </c>
    </row>
    <row r="10609" spans="15:15" x14ac:dyDescent="0.25">
      <c r="O10609" s="20" t="str">
        <f>IF(N10609="","",COUNTIFS(RawData[[Date ]],N10609,RawData[Month List],$Q$6,RawData[Tour/Site],$Q$2,RawData[[Picker ID ]],$Q$3,RawData[Checker ID],$Q$4,RawData[[Error Type ]],$Q$5))</f>
        <v/>
      </c>
    </row>
    <row r="10610" spans="15:15" x14ac:dyDescent="0.25">
      <c r="O10610" s="20" t="str">
        <f>IF(N10610="","",COUNTIFS(RawData[[Date ]],N10610,RawData[Month List],$Q$6,RawData[Tour/Site],$Q$2,RawData[[Picker ID ]],$Q$3,RawData[Checker ID],$Q$4,RawData[[Error Type ]],$Q$5))</f>
        <v/>
      </c>
    </row>
    <row r="10611" spans="15:15" x14ac:dyDescent="0.25">
      <c r="O10611" s="20" t="str">
        <f>IF(N10611="","",COUNTIFS(RawData[[Date ]],N10611,RawData[Month List],$Q$6,RawData[Tour/Site],$Q$2,RawData[[Picker ID ]],$Q$3,RawData[Checker ID],$Q$4,RawData[[Error Type ]],$Q$5))</f>
        <v/>
      </c>
    </row>
    <row r="10612" spans="15:15" x14ac:dyDescent="0.25">
      <c r="O10612" s="20" t="str">
        <f>IF(N10612="","",COUNTIFS(RawData[[Date ]],N10612,RawData[Month List],$Q$6,RawData[Tour/Site],$Q$2,RawData[[Picker ID ]],$Q$3,RawData[Checker ID],$Q$4,RawData[[Error Type ]],$Q$5))</f>
        <v/>
      </c>
    </row>
    <row r="10613" spans="15:15" x14ac:dyDescent="0.25">
      <c r="O10613" s="20" t="str">
        <f>IF(N10613="","",COUNTIFS(RawData[[Date ]],N10613,RawData[Month List],$Q$6,RawData[Tour/Site],$Q$2,RawData[[Picker ID ]],$Q$3,RawData[Checker ID],$Q$4,RawData[[Error Type ]],$Q$5))</f>
        <v/>
      </c>
    </row>
    <row r="10614" spans="15:15" x14ac:dyDescent="0.25">
      <c r="O10614" s="20" t="str">
        <f>IF(N10614="","",COUNTIFS(RawData[[Date ]],N10614,RawData[Month List],$Q$6,RawData[Tour/Site],$Q$2,RawData[[Picker ID ]],$Q$3,RawData[Checker ID],$Q$4,RawData[[Error Type ]],$Q$5))</f>
        <v/>
      </c>
    </row>
    <row r="10615" spans="15:15" x14ac:dyDescent="0.25">
      <c r="O10615" s="20" t="str">
        <f>IF(N10615="","",COUNTIFS(RawData[[Date ]],N10615,RawData[Month List],$Q$6,RawData[Tour/Site],$Q$2,RawData[[Picker ID ]],$Q$3,RawData[Checker ID],$Q$4,RawData[[Error Type ]],$Q$5))</f>
        <v/>
      </c>
    </row>
    <row r="10616" spans="15:15" x14ac:dyDescent="0.25">
      <c r="O10616" s="20" t="str">
        <f>IF(N10616="","",COUNTIFS(RawData[[Date ]],N10616,RawData[Month List],$Q$6,RawData[Tour/Site],$Q$2,RawData[[Picker ID ]],$Q$3,RawData[Checker ID],$Q$4,RawData[[Error Type ]],$Q$5))</f>
        <v/>
      </c>
    </row>
    <row r="10617" spans="15:15" x14ac:dyDescent="0.25">
      <c r="O10617" s="20" t="str">
        <f>IF(N10617="","",COUNTIFS(RawData[[Date ]],N10617,RawData[Month List],$Q$6,RawData[Tour/Site],$Q$2,RawData[[Picker ID ]],$Q$3,RawData[Checker ID],$Q$4,RawData[[Error Type ]],$Q$5))</f>
        <v/>
      </c>
    </row>
    <row r="10618" spans="15:15" x14ac:dyDescent="0.25">
      <c r="O10618" s="20" t="str">
        <f>IF(N10618="","",COUNTIFS(RawData[[Date ]],N10618,RawData[Month List],$Q$6,RawData[Tour/Site],$Q$2,RawData[[Picker ID ]],$Q$3,RawData[Checker ID],$Q$4,RawData[[Error Type ]],$Q$5))</f>
        <v/>
      </c>
    </row>
    <row r="10619" spans="15:15" x14ac:dyDescent="0.25">
      <c r="O10619" s="20" t="str">
        <f>IF(N10619="","",COUNTIFS(RawData[[Date ]],N10619,RawData[Month List],$Q$6,RawData[Tour/Site],$Q$2,RawData[[Picker ID ]],$Q$3,RawData[Checker ID],$Q$4,RawData[[Error Type ]],$Q$5))</f>
        <v/>
      </c>
    </row>
    <row r="10620" spans="15:15" x14ac:dyDescent="0.25">
      <c r="O10620" s="20" t="str">
        <f>IF(N10620="","",COUNTIFS(RawData[[Date ]],N10620,RawData[Month List],$Q$6,RawData[Tour/Site],$Q$2,RawData[[Picker ID ]],$Q$3,RawData[Checker ID],$Q$4,RawData[[Error Type ]],$Q$5))</f>
        <v/>
      </c>
    </row>
    <row r="10621" spans="15:15" x14ac:dyDescent="0.25">
      <c r="O10621" s="20" t="str">
        <f>IF(N10621="","",COUNTIFS(RawData[[Date ]],N10621,RawData[Month List],$Q$6,RawData[Tour/Site],$Q$2,RawData[[Picker ID ]],$Q$3,RawData[Checker ID],$Q$4,RawData[[Error Type ]],$Q$5))</f>
        <v/>
      </c>
    </row>
    <row r="10622" spans="15:15" x14ac:dyDescent="0.25">
      <c r="O10622" s="20" t="str">
        <f>IF(N10622="","",COUNTIFS(RawData[[Date ]],N10622,RawData[Month List],$Q$6,RawData[Tour/Site],$Q$2,RawData[[Picker ID ]],$Q$3,RawData[Checker ID],$Q$4,RawData[[Error Type ]],$Q$5))</f>
        <v/>
      </c>
    </row>
    <row r="10623" spans="15:15" x14ac:dyDescent="0.25">
      <c r="O10623" s="20" t="str">
        <f>IF(N10623="","",COUNTIFS(RawData[[Date ]],N10623,RawData[Month List],$Q$6,RawData[Tour/Site],$Q$2,RawData[[Picker ID ]],$Q$3,RawData[Checker ID],$Q$4,RawData[[Error Type ]],$Q$5))</f>
        <v/>
      </c>
    </row>
    <row r="10624" spans="15:15" x14ac:dyDescent="0.25">
      <c r="O10624" s="20" t="str">
        <f>IF(N10624="","",COUNTIFS(RawData[[Date ]],N10624,RawData[Month List],$Q$6,RawData[Tour/Site],$Q$2,RawData[[Picker ID ]],$Q$3,RawData[Checker ID],$Q$4,RawData[[Error Type ]],$Q$5))</f>
        <v/>
      </c>
    </row>
    <row r="10625" spans="15:15" x14ac:dyDescent="0.25">
      <c r="O10625" s="20" t="str">
        <f>IF(N10625="","",COUNTIFS(RawData[[Date ]],N10625,RawData[Month List],$Q$6,RawData[Tour/Site],$Q$2,RawData[[Picker ID ]],$Q$3,RawData[Checker ID],$Q$4,RawData[[Error Type ]],$Q$5))</f>
        <v/>
      </c>
    </row>
    <row r="10626" spans="15:15" x14ac:dyDescent="0.25">
      <c r="O10626" s="20" t="str">
        <f>IF(N10626="","",COUNTIFS(RawData[[Date ]],N10626,RawData[Month List],$Q$6,RawData[Tour/Site],$Q$2,RawData[[Picker ID ]],$Q$3,RawData[Checker ID],$Q$4,RawData[[Error Type ]],$Q$5))</f>
        <v/>
      </c>
    </row>
    <row r="10627" spans="15:15" x14ac:dyDescent="0.25">
      <c r="O10627" s="20" t="str">
        <f>IF(N10627="","",COUNTIFS(RawData[[Date ]],N10627,RawData[Month List],$Q$6,RawData[Tour/Site],$Q$2,RawData[[Picker ID ]],$Q$3,RawData[Checker ID],$Q$4,RawData[[Error Type ]],$Q$5))</f>
        <v/>
      </c>
    </row>
    <row r="10628" spans="15:15" x14ac:dyDescent="0.25">
      <c r="O10628" s="20" t="str">
        <f>IF(N10628="","",COUNTIFS(RawData[[Date ]],N10628,RawData[Month List],$Q$6,RawData[Tour/Site],$Q$2,RawData[[Picker ID ]],$Q$3,RawData[Checker ID],$Q$4,RawData[[Error Type ]],$Q$5))</f>
        <v/>
      </c>
    </row>
    <row r="10629" spans="15:15" x14ac:dyDescent="0.25">
      <c r="O10629" s="20" t="str">
        <f>IF(N10629="","",COUNTIFS(RawData[[Date ]],N10629,RawData[Month List],$Q$6,RawData[Tour/Site],$Q$2,RawData[[Picker ID ]],$Q$3,RawData[Checker ID],$Q$4,RawData[[Error Type ]],$Q$5))</f>
        <v/>
      </c>
    </row>
    <row r="10630" spans="15:15" x14ac:dyDescent="0.25">
      <c r="O10630" s="20" t="str">
        <f>IF(N10630="","",COUNTIFS(RawData[[Date ]],N10630,RawData[Month List],$Q$6,RawData[Tour/Site],$Q$2,RawData[[Picker ID ]],$Q$3,RawData[Checker ID],$Q$4,RawData[[Error Type ]],$Q$5))</f>
        <v/>
      </c>
    </row>
    <row r="10631" spans="15:15" x14ac:dyDescent="0.25">
      <c r="O10631" s="20" t="str">
        <f>IF(N10631="","",COUNTIFS(RawData[[Date ]],N10631,RawData[Month List],$Q$6,RawData[Tour/Site],$Q$2,RawData[[Picker ID ]],$Q$3,RawData[Checker ID],$Q$4,RawData[[Error Type ]],$Q$5))</f>
        <v/>
      </c>
    </row>
    <row r="10632" spans="15:15" x14ac:dyDescent="0.25">
      <c r="O10632" s="20" t="str">
        <f>IF(N10632="","",COUNTIFS(RawData[[Date ]],N10632,RawData[Month List],$Q$6,RawData[Tour/Site],$Q$2,RawData[[Picker ID ]],$Q$3,RawData[Checker ID],$Q$4,RawData[[Error Type ]],$Q$5))</f>
        <v/>
      </c>
    </row>
    <row r="10633" spans="15:15" x14ac:dyDescent="0.25">
      <c r="O10633" s="20" t="str">
        <f>IF(N10633="","",COUNTIFS(RawData[[Date ]],N10633,RawData[Month List],$Q$6,RawData[Tour/Site],$Q$2,RawData[[Picker ID ]],$Q$3,RawData[Checker ID],$Q$4,RawData[[Error Type ]],$Q$5))</f>
        <v/>
      </c>
    </row>
    <row r="10634" spans="15:15" x14ac:dyDescent="0.25">
      <c r="O10634" s="20" t="str">
        <f>IF(N10634="","",COUNTIFS(RawData[[Date ]],N10634,RawData[Month List],$Q$6,RawData[Tour/Site],$Q$2,RawData[[Picker ID ]],$Q$3,RawData[Checker ID],$Q$4,RawData[[Error Type ]],$Q$5))</f>
        <v/>
      </c>
    </row>
    <row r="10635" spans="15:15" x14ac:dyDescent="0.25">
      <c r="O10635" s="20" t="str">
        <f>IF(N10635="","",COUNTIFS(RawData[[Date ]],N10635,RawData[Month List],$Q$6,RawData[Tour/Site],$Q$2,RawData[[Picker ID ]],$Q$3,RawData[Checker ID],$Q$4,RawData[[Error Type ]],$Q$5))</f>
        <v/>
      </c>
    </row>
    <row r="10636" spans="15:15" x14ac:dyDescent="0.25">
      <c r="O10636" s="20" t="str">
        <f>IF(N10636="","",COUNTIFS(RawData[[Date ]],N10636,RawData[Month List],$Q$6,RawData[Tour/Site],$Q$2,RawData[[Picker ID ]],$Q$3,RawData[Checker ID],$Q$4,RawData[[Error Type ]],$Q$5))</f>
        <v/>
      </c>
    </row>
    <row r="10637" spans="15:15" x14ac:dyDescent="0.25">
      <c r="O10637" s="20" t="str">
        <f>IF(N10637="","",COUNTIFS(RawData[[Date ]],N10637,RawData[Month List],$Q$6,RawData[Tour/Site],$Q$2,RawData[[Picker ID ]],$Q$3,RawData[Checker ID],$Q$4,RawData[[Error Type ]],$Q$5))</f>
        <v/>
      </c>
    </row>
    <row r="10638" spans="15:15" x14ac:dyDescent="0.25">
      <c r="O10638" s="20" t="str">
        <f>IF(N10638="","",COUNTIFS(RawData[[Date ]],N10638,RawData[Month List],$Q$6,RawData[Tour/Site],$Q$2,RawData[[Picker ID ]],$Q$3,RawData[Checker ID],$Q$4,RawData[[Error Type ]],$Q$5))</f>
        <v/>
      </c>
    </row>
    <row r="10639" spans="15:15" x14ac:dyDescent="0.25">
      <c r="O10639" s="20" t="str">
        <f>IF(N10639="","",COUNTIFS(RawData[[Date ]],N10639,RawData[Month List],$Q$6,RawData[Tour/Site],$Q$2,RawData[[Picker ID ]],$Q$3,RawData[Checker ID],$Q$4,RawData[[Error Type ]],$Q$5))</f>
        <v/>
      </c>
    </row>
    <row r="10640" spans="15:15" x14ac:dyDescent="0.25">
      <c r="O10640" s="20" t="str">
        <f>IF(N10640="","",COUNTIFS(RawData[[Date ]],N10640,RawData[Month List],$Q$6,RawData[Tour/Site],$Q$2,RawData[[Picker ID ]],$Q$3,RawData[Checker ID],$Q$4,RawData[[Error Type ]],$Q$5))</f>
        <v/>
      </c>
    </row>
    <row r="10641" spans="15:15" x14ac:dyDescent="0.25">
      <c r="O10641" s="20" t="str">
        <f>IF(N10641="","",COUNTIFS(RawData[[Date ]],N10641,RawData[Month List],$Q$6,RawData[Tour/Site],$Q$2,RawData[[Picker ID ]],$Q$3,RawData[Checker ID],$Q$4,RawData[[Error Type ]],$Q$5))</f>
        <v/>
      </c>
    </row>
    <row r="10642" spans="15:15" x14ac:dyDescent="0.25">
      <c r="O10642" s="20" t="str">
        <f>IF(N10642="","",COUNTIFS(RawData[[Date ]],N10642,RawData[Month List],$Q$6,RawData[Tour/Site],$Q$2,RawData[[Picker ID ]],$Q$3,RawData[Checker ID],$Q$4,RawData[[Error Type ]],$Q$5))</f>
        <v/>
      </c>
    </row>
    <row r="10643" spans="15:15" x14ac:dyDescent="0.25">
      <c r="O10643" s="20" t="str">
        <f>IF(N10643="","",COUNTIFS(RawData[[Date ]],N10643,RawData[Month List],$Q$6,RawData[Tour/Site],$Q$2,RawData[[Picker ID ]],$Q$3,RawData[Checker ID],$Q$4,RawData[[Error Type ]],$Q$5))</f>
        <v/>
      </c>
    </row>
    <row r="10644" spans="15:15" x14ac:dyDescent="0.25">
      <c r="O10644" s="20" t="str">
        <f>IF(N10644="","",COUNTIFS(RawData[[Date ]],N10644,RawData[Month List],$Q$6,RawData[Tour/Site],$Q$2,RawData[[Picker ID ]],$Q$3,RawData[Checker ID],$Q$4,RawData[[Error Type ]],$Q$5))</f>
        <v/>
      </c>
    </row>
    <row r="10645" spans="15:15" x14ac:dyDescent="0.25">
      <c r="O10645" s="20" t="str">
        <f>IF(N10645="","",COUNTIFS(RawData[[Date ]],N10645,RawData[Month List],$Q$6,RawData[Tour/Site],$Q$2,RawData[[Picker ID ]],$Q$3,RawData[Checker ID],$Q$4,RawData[[Error Type ]],$Q$5))</f>
        <v/>
      </c>
    </row>
    <row r="10646" spans="15:15" x14ac:dyDescent="0.25">
      <c r="O10646" s="20" t="str">
        <f>IF(N10646="","",COUNTIFS(RawData[[Date ]],N10646,RawData[Month List],$Q$6,RawData[Tour/Site],$Q$2,RawData[[Picker ID ]],$Q$3,RawData[Checker ID],$Q$4,RawData[[Error Type ]],$Q$5))</f>
        <v/>
      </c>
    </row>
    <row r="10647" spans="15:15" x14ac:dyDescent="0.25">
      <c r="O10647" s="20" t="str">
        <f>IF(N10647="","",COUNTIFS(RawData[[Date ]],N10647,RawData[Month List],$Q$6,RawData[Tour/Site],$Q$2,RawData[[Picker ID ]],$Q$3,RawData[Checker ID],$Q$4,RawData[[Error Type ]],$Q$5))</f>
        <v/>
      </c>
    </row>
    <row r="10648" spans="15:15" x14ac:dyDescent="0.25">
      <c r="O10648" s="20" t="str">
        <f>IF(N10648="","",COUNTIFS(RawData[[Date ]],N10648,RawData[Month List],$Q$6,RawData[Tour/Site],$Q$2,RawData[[Picker ID ]],$Q$3,RawData[Checker ID],$Q$4,RawData[[Error Type ]],$Q$5))</f>
        <v/>
      </c>
    </row>
    <row r="10649" spans="15:15" x14ac:dyDescent="0.25">
      <c r="O10649" s="20" t="str">
        <f>IF(N10649="","",COUNTIFS(RawData[[Date ]],N10649,RawData[Month List],$Q$6,RawData[Tour/Site],$Q$2,RawData[[Picker ID ]],$Q$3,RawData[Checker ID],$Q$4,RawData[[Error Type ]],$Q$5))</f>
        <v/>
      </c>
    </row>
    <row r="10650" spans="15:15" x14ac:dyDescent="0.25">
      <c r="O10650" s="20" t="str">
        <f>IF(N10650="","",COUNTIFS(RawData[[Date ]],N10650,RawData[Month List],$Q$6,RawData[Tour/Site],$Q$2,RawData[[Picker ID ]],$Q$3,RawData[Checker ID],$Q$4,RawData[[Error Type ]],$Q$5))</f>
        <v/>
      </c>
    </row>
    <row r="10651" spans="15:15" x14ac:dyDescent="0.25">
      <c r="O10651" s="20" t="str">
        <f>IF(N10651="","",COUNTIFS(RawData[[Date ]],N10651,RawData[Month List],$Q$6,RawData[Tour/Site],$Q$2,RawData[[Picker ID ]],$Q$3,RawData[Checker ID],$Q$4,RawData[[Error Type ]],$Q$5))</f>
        <v/>
      </c>
    </row>
    <row r="10652" spans="15:15" x14ac:dyDescent="0.25">
      <c r="O10652" s="20" t="str">
        <f>IF(N10652="","",COUNTIFS(RawData[[Date ]],N10652,RawData[Month List],$Q$6,RawData[Tour/Site],$Q$2,RawData[[Picker ID ]],$Q$3,RawData[Checker ID],$Q$4,RawData[[Error Type ]],$Q$5))</f>
        <v/>
      </c>
    </row>
    <row r="10653" spans="15:15" x14ac:dyDescent="0.25">
      <c r="O10653" s="20" t="str">
        <f>IF(N10653="","",COUNTIFS(RawData[[Date ]],N10653,RawData[Month List],$Q$6,RawData[Tour/Site],$Q$2,RawData[[Picker ID ]],$Q$3,RawData[Checker ID],$Q$4,RawData[[Error Type ]],$Q$5))</f>
        <v/>
      </c>
    </row>
    <row r="10654" spans="15:15" x14ac:dyDescent="0.25">
      <c r="O10654" s="20" t="str">
        <f>IF(N10654="","",COUNTIFS(RawData[[Date ]],N10654,RawData[Month List],$Q$6,RawData[Tour/Site],$Q$2,RawData[[Picker ID ]],$Q$3,RawData[Checker ID],$Q$4,RawData[[Error Type ]],$Q$5))</f>
        <v/>
      </c>
    </row>
    <row r="10655" spans="15:15" x14ac:dyDescent="0.25">
      <c r="O10655" s="20" t="str">
        <f>IF(N10655="","",COUNTIFS(RawData[[Date ]],N10655,RawData[Month List],$Q$6,RawData[Tour/Site],$Q$2,RawData[[Picker ID ]],$Q$3,RawData[Checker ID],$Q$4,RawData[[Error Type ]],$Q$5))</f>
        <v/>
      </c>
    </row>
    <row r="10656" spans="15:15" x14ac:dyDescent="0.25">
      <c r="O10656" s="20" t="str">
        <f>IF(N10656="","",COUNTIFS(RawData[[Date ]],N10656,RawData[Month List],$Q$6,RawData[Tour/Site],$Q$2,RawData[[Picker ID ]],$Q$3,RawData[Checker ID],$Q$4,RawData[[Error Type ]],$Q$5))</f>
        <v/>
      </c>
    </row>
    <row r="10657" spans="15:15" x14ac:dyDescent="0.25">
      <c r="O10657" s="20" t="str">
        <f>IF(N10657="","",COUNTIFS(RawData[[Date ]],N10657,RawData[Month List],$Q$6,RawData[Tour/Site],$Q$2,RawData[[Picker ID ]],$Q$3,RawData[Checker ID],$Q$4,RawData[[Error Type ]],$Q$5))</f>
        <v/>
      </c>
    </row>
    <row r="10658" spans="15:15" x14ac:dyDescent="0.25">
      <c r="O10658" s="20" t="str">
        <f>IF(N10658="","",COUNTIFS(RawData[[Date ]],N10658,RawData[Month List],$Q$6,RawData[Tour/Site],$Q$2,RawData[[Picker ID ]],$Q$3,RawData[Checker ID],$Q$4,RawData[[Error Type ]],$Q$5))</f>
        <v/>
      </c>
    </row>
    <row r="10659" spans="15:15" x14ac:dyDescent="0.25">
      <c r="O10659" s="20" t="str">
        <f>IF(N10659="","",COUNTIFS(RawData[[Date ]],N10659,RawData[Month List],$Q$6,RawData[Tour/Site],$Q$2,RawData[[Picker ID ]],$Q$3,RawData[Checker ID],$Q$4,RawData[[Error Type ]],$Q$5))</f>
        <v/>
      </c>
    </row>
    <row r="10660" spans="15:15" x14ac:dyDescent="0.25">
      <c r="O10660" s="20" t="str">
        <f>IF(N10660="","",COUNTIFS(RawData[[Date ]],N10660,RawData[Month List],$Q$6,RawData[Tour/Site],$Q$2,RawData[[Picker ID ]],$Q$3,RawData[Checker ID],$Q$4,RawData[[Error Type ]],$Q$5))</f>
        <v/>
      </c>
    </row>
    <row r="10661" spans="15:15" x14ac:dyDescent="0.25">
      <c r="O10661" s="20" t="str">
        <f>IF(N10661="","",COUNTIFS(RawData[[Date ]],N10661,RawData[Month List],$Q$6,RawData[Tour/Site],$Q$2,RawData[[Picker ID ]],$Q$3,RawData[Checker ID],$Q$4,RawData[[Error Type ]],$Q$5))</f>
        <v/>
      </c>
    </row>
    <row r="10662" spans="15:15" x14ac:dyDescent="0.25">
      <c r="O10662" s="20" t="str">
        <f>IF(N10662="","",COUNTIFS(RawData[[Date ]],N10662,RawData[Month List],$Q$6,RawData[Tour/Site],$Q$2,RawData[[Picker ID ]],$Q$3,RawData[Checker ID],$Q$4,RawData[[Error Type ]],$Q$5))</f>
        <v/>
      </c>
    </row>
    <row r="10663" spans="15:15" x14ac:dyDescent="0.25">
      <c r="O10663" s="20" t="str">
        <f>IF(N10663="","",COUNTIFS(RawData[[Date ]],N10663,RawData[Month List],$Q$6,RawData[Tour/Site],$Q$2,RawData[[Picker ID ]],$Q$3,RawData[Checker ID],$Q$4,RawData[[Error Type ]],$Q$5))</f>
        <v/>
      </c>
    </row>
    <row r="10664" spans="15:15" x14ac:dyDescent="0.25">
      <c r="O10664" s="20" t="str">
        <f>IF(N10664="","",COUNTIFS(RawData[[Date ]],N10664,RawData[Month List],$Q$6,RawData[Tour/Site],$Q$2,RawData[[Picker ID ]],$Q$3,RawData[Checker ID],$Q$4,RawData[[Error Type ]],$Q$5))</f>
        <v/>
      </c>
    </row>
    <row r="10665" spans="15:15" x14ac:dyDescent="0.25">
      <c r="O10665" s="20" t="str">
        <f>IF(N10665="","",COUNTIFS(RawData[[Date ]],N10665,RawData[Month List],$Q$6,RawData[Tour/Site],$Q$2,RawData[[Picker ID ]],$Q$3,RawData[Checker ID],$Q$4,RawData[[Error Type ]],$Q$5))</f>
        <v/>
      </c>
    </row>
    <row r="10666" spans="15:15" x14ac:dyDescent="0.25">
      <c r="O10666" s="20" t="str">
        <f>IF(N10666="","",COUNTIFS(RawData[[Date ]],N10666,RawData[Month List],$Q$6,RawData[Tour/Site],$Q$2,RawData[[Picker ID ]],$Q$3,RawData[Checker ID],$Q$4,RawData[[Error Type ]],$Q$5))</f>
        <v/>
      </c>
    </row>
    <row r="10667" spans="15:15" x14ac:dyDescent="0.25">
      <c r="O10667" s="20" t="str">
        <f>IF(N10667="","",COUNTIFS(RawData[[Date ]],N10667,RawData[Month List],$Q$6,RawData[Tour/Site],$Q$2,RawData[[Picker ID ]],$Q$3,RawData[Checker ID],$Q$4,RawData[[Error Type ]],$Q$5))</f>
        <v/>
      </c>
    </row>
    <row r="10668" spans="15:15" x14ac:dyDescent="0.25">
      <c r="O10668" s="20" t="str">
        <f>IF(N10668="","",COUNTIFS(RawData[[Date ]],N10668,RawData[Month List],$Q$6,RawData[Tour/Site],$Q$2,RawData[[Picker ID ]],$Q$3,RawData[Checker ID],$Q$4,RawData[[Error Type ]],$Q$5))</f>
        <v/>
      </c>
    </row>
    <row r="10669" spans="15:15" x14ac:dyDescent="0.25">
      <c r="O10669" s="20" t="str">
        <f>IF(N10669="","",COUNTIFS(RawData[[Date ]],N10669,RawData[Month List],$Q$6,RawData[Tour/Site],$Q$2,RawData[[Picker ID ]],$Q$3,RawData[Checker ID],$Q$4,RawData[[Error Type ]],$Q$5))</f>
        <v/>
      </c>
    </row>
    <row r="10670" spans="15:15" x14ac:dyDescent="0.25">
      <c r="O10670" s="20" t="str">
        <f>IF(N10670="","",COUNTIFS(RawData[[Date ]],N10670,RawData[Month List],$Q$6,RawData[Tour/Site],$Q$2,RawData[[Picker ID ]],$Q$3,RawData[Checker ID],$Q$4,RawData[[Error Type ]],$Q$5))</f>
        <v/>
      </c>
    </row>
    <row r="10671" spans="15:15" x14ac:dyDescent="0.25">
      <c r="O10671" s="20" t="str">
        <f>IF(N10671="","",COUNTIFS(RawData[[Date ]],N10671,RawData[Month List],$Q$6,RawData[Tour/Site],$Q$2,RawData[[Picker ID ]],$Q$3,RawData[Checker ID],$Q$4,RawData[[Error Type ]],$Q$5))</f>
        <v/>
      </c>
    </row>
    <row r="10672" spans="15:15" x14ac:dyDescent="0.25">
      <c r="O10672" s="20" t="str">
        <f>IF(N10672="","",COUNTIFS(RawData[[Date ]],N10672,RawData[Month List],$Q$6,RawData[Tour/Site],$Q$2,RawData[[Picker ID ]],$Q$3,RawData[Checker ID],$Q$4,RawData[[Error Type ]],$Q$5))</f>
        <v/>
      </c>
    </row>
    <row r="10673" spans="15:15" x14ac:dyDescent="0.25">
      <c r="O10673" s="20" t="str">
        <f>IF(N10673="","",COUNTIFS(RawData[[Date ]],N10673,RawData[Month List],$Q$6,RawData[Tour/Site],$Q$2,RawData[[Picker ID ]],$Q$3,RawData[Checker ID],$Q$4,RawData[[Error Type ]],$Q$5))</f>
        <v/>
      </c>
    </row>
    <row r="10674" spans="15:15" x14ac:dyDescent="0.25">
      <c r="O10674" s="20" t="str">
        <f>IF(N10674="","",COUNTIFS(RawData[[Date ]],N10674,RawData[Month List],$Q$6,RawData[Tour/Site],$Q$2,RawData[[Picker ID ]],$Q$3,RawData[Checker ID],$Q$4,RawData[[Error Type ]],$Q$5))</f>
        <v/>
      </c>
    </row>
    <row r="10675" spans="15:15" x14ac:dyDescent="0.25">
      <c r="O10675" s="20" t="str">
        <f>IF(N10675="","",COUNTIFS(RawData[[Date ]],N10675,RawData[Month List],$Q$6,RawData[Tour/Site],$Q$2,RawData[[Picker ID ]],$Q$3,RawData[Checker ID],$Q$4,RawData[[Error Type ]],$Q$5))</f>
        <v/>
      </c>
    </row>
    <row r="10676" spans="15:15" x14ac:dyDescent="0.25">
      <c r="O10676" s="20" t="str">
        <f>IF(N10676="","",COUNTIFS(RawData[[Date ]],N10676,RawData[Month List],$Q$6,RawData[Tour/Site],$Q$2,RawData[[Picker ID ]],$Q$3,RawData[Checker ID],$Q$4,RawData[[Error Type ]],$Q$5))</f>
        <v/>
      </c>
    </row>
    <row r="10677" spans="15:15" x14ac:dyDescent="0.25">
      <c r="O10677" s="20" t="str">
        <f>IF(N10677="","",COUNTIFS(RawData[[Date ]],N10677,RawData[Month List],$Q$6,RawData[Tour/Site],$Q$2,RawData[[Picker ID ]],$Q$3,RawData[Checker ID],$Q$4,RawData[[Error Type ]],$Q$5))</f>
        <v/>
      </c>
    </row>
    <row r="10678" spans="15:15" x14ac:dyDescent="0.25">
      <c r="O10678" s="20" t="str">
        <f>IF(N10678="","",COUNTIFS(RawData[[Date ]],N10678,RawData[Month List],$Q$6,RawData[Tour/Site],$Q$2,RawData[[Picker ID ]],$Q$3,RawData[Checker ID],$Q$4,RawData[[Error Type ]],$Q$5))</f>
        <v/>
      </c>
    </row>
    <row r="10679" spans="15:15" x14ac:dyDescent="0.25">
      <c r="O10679" s="20" t="str">
        <f>IF(N10679="","",COUNTIFS(RawData[[Date ]],N10679,RawData[Month List],$Q$6,RawData[Tour/Site],$Q$2,RawData[[Picker ID ]],$Q$3,RawData[Checker ID],$Q$4,RawData[[Error Type ]],$Q$5))</f>
        <v/>
      </c>
    </row>
    <row r="10680" spans="15:15" x14ac:dyDescent="0.25">
      <c r="O10680" s="20" t="str">
        <f>IF(N10680="","",COUNTIFS(RawData[[Date ]],N10680,RawData[Month List],$Q$6,RawData[Tour/Site],$Q$2,RawData[[Picker ID ]],$Q$3,RawData[Checker ID],$Q$4,RawData[[Error Type ]],$Q$5))</f>
        <v/>
      </c>
    </row>
    <row r="10681" spans="15:15" x14ac:dyDescent="0.25">
      <c r="O10681" s="20" t="str">
        <f>IF(N10681="","",COUNTIFS(RawData[[Date ]],N10681,RawData[Month List],$Q$6,RawData[Tour/Site],$Q$2,RawData[[Picker ID ]],$Q$3,RawData[Checker ID],$Q$4,RawData[[Error Type ]],$Q$5))</f>
        <v/>
      </c>
    </row>
    <row r="10682" spans="15:15" x14ac:dyDescent="0.25">
      <c r="O10682" s="20" t="str">
        <f>IF(N10682="","",COUNTIFS(RawData[[Date ]],N10682,RawData[Month List],$Q$6,RawData[Tour/Site],$Q$2,RawData[[Picker ID ]],$Q$3,RawData[Checker ID],$Q$4,RawData[[Error Type ]],$Q$5))</f>
        <v/>
      </c>
    </row>
    <row r="10683" spans="15:15" x14ac:dyDescent="0.25">
      <c r="O10683" s="20" t="str">
        <f>IF(N10683="","",COUNTIFS(RawData[[Date ]],N10683,RawData[Month List],$Q$6,RawData[Tour/Site],$Q$2,RawData[[Picker ID ]],$Q$3,RawData[Checker ID],$Q$4,RawData[[Error Type ]],$Q$5))</f>
        <v/>
      </c>
    </row>
    <row r="10684" spans="15:15" x14ac:dyDescent="0.25">
      <c r="O10684" s="20" t="str">
        <f>IF(N10684="","",COUNTIFS(RawData[[Date ]],N10684,RawData[Month List],$Q$6,RawData[Tour/Site],$Q$2,RawData[[Picker ID ]],$Q$3,RawData[Checker ID],$Q$4,RawData[[Error Type ]],$Q$5))</f>
        <v/>
      </c>
    </row>
    <row r="10685" spans="15:15" x14ac:dyDescent="0.25">
      <c r="O10685" s="20" t="str">
        <f>IF(N10685="","",COUNTIFS(RawData[[Date ]],N10685,RawData[Month List],$Q$6,RawData[Tour/Site],$Q$2,RawData[[Picker ID ]],$Q$3,RawData[Checker ID],$Q$4,RawData[[Error Type ]],$Q$5))</f>
        <v/>
      </c>
    </row>
    <row r="10686" spans="15:15" x14ac:dyDescent="0.25">
      <c r="O10686" s="20" t="str">
        <f>IF(N10686="","",COUNTIFS(RawData[[Date ]],N10686,RawData[Month List],$Q$6,RawData[Tour/Site],$Q$2,RawData[[Picker ID ]],$Q$3,RawData[Checker ID],$Q$4,RawData[[Error Type ]],$Q$5))</f>
        <v/>
      </c>
    </row>
    <row r="10687" spans="15:15" x14ac:dyDescent="0.25">
      <c r="O10687" s="20" t="str">
        <f>IF(N10687="","",COUNTIFS(RawData[[Date ]],N10687,RawData[Month List],$Q$6,RawData[Tour/Site],$Q$2,RawData[[Picker ID ]],$Q$3,RawData[Checker ID],$Q$4,RawData[[Error Type ]],$Q$5))</f>
        <v/>
      </c>
    </row>
    <row r="10688" spans="15:15" x14ac:dyDescent="0.25">
      <c r="O10688" s="20" t="str">
        <f>IF(N10688="","",COUNTIFS(RawData[[Date ]],N10688,RawData[Month List],$Q$6,RawData[Tour/Site],$Q$2,RawData[[Picker ID ]],$Q$3,RawData[Checker ID],$Q$4,RawData[[Error Type ]],$Q$5))</f>
        <v/>
      </c>
    </row>
    <row r="10689" spans="15:15" x14ac:dyDescent="0.25">
      <c r="O10689" s="20" t="str">
        <f>IF(N10689="","",COUNTIFS(RawData[[Date ]],N10689,RawData[Month List],$Q$6,RawData[Tour/Site],$Q$2,RawData[[Picker ID ]],$Q$3,RawData[Checker ID],$Q$4,RawData[[Error Type ]],$Q$5))</f>
        <v/>
      </c>
    </row>
    <row r="10690" spans="15:15" x14ac:dyDescent="0.25">
      <c r="O10690" s="20" t="str">
        <f>IF(N10690="","",COUNTIFS(RawData[[Date ]],N10690,RawData[Month List],$Q$6,RawData[Tour/Site],$Q$2,RawData[[Picker ID ]],$Q$3,RawData[Checker ID],$Q$4,RawData[[Error Type ]],$Q$5))</f>
        <v/>
      </c>
    </row>
    <row r="10691" spans="15:15" x14ac:dyDescent="0.25">
      <c r="O10691" s="20" t="str">
        <f>IF(N10691="","",COUNTIFS(RawData[[Date ]],N10691,RawData[Month List],$Q$6,RawData[Tour/Site],$Q$2,RawData[[Picker ID ]],$Q$3,RawData[Checker ID],$Q$4,RawData[[Error Type ]],$Q$5))</f>
        <v/>
      </c>
    </row>
    <row r="10692" spans="15:15" x14ac:dyDescent="0.25">
      <c r="O10692" s="20" t="str">
        <f>IF(N10692="","",COUNTIFS(RawData[[Date ]],N10692,RawData[Month List],$Q$6,RawData[Tour/Site],$Q$2,RawData[[Picker ID ]],$Q$3,RawData[Checker ID],$Q$4,RawData[[Error Type ]],$Q$5))</f>
        <v/>
      </c>
    </row>
    <row r="10693" spans="15:15" x14ac:dyDescent="0.25">
      <c r="O10693" s="20" t="str">
        <f>IF(N10693="","",COUNTIFS(RawData[[Date ]],N10693,RawData[Month List],$Q$6,RawData[Tour/Site],$Q$2,RawData[[Picker ID ]],$Q$3,RawData[Checker ID],$Q$4,RawData[[Error Type ]],$Q$5))</f>
        <v/>
      </c>
    </row>
    <row r="10694" spans="15:15" x14ac:dyDescent="0.25">
      <c r="O10694" s="20" t="str">
        <f>IF(N10694="","",COUNTIFS(RawData[[Date ]],N10694,RawData[Month List],$Q$6,RawData[Tour/Site],$Q$2,RawData[[Picker ID ]],$Q$3,RawData[Checker ID],$Q$4,RawData[[Error Type ]],$Q$5))</f>
        <v/>
      </c>
    </row>
    <row r="10695" spans="15:15" x14ac:dyDescent="0.25">
      <c r="O10695" s="20" t="str">
        <f>IF(N10695="","",COUNTIFS(RawData[[Date ]],N10695,RawData[Month List],$Q$6,RawData[Tour/Site],$Q$2,RawData[[Picker ID ]],$Q$3,RawData[Checker ID],$Q$4,RawData[[Error Type ]],$Q$5))</f>
        <v/>
      </c>
    </row>
    <row r="10696" spans="15:15" x14ac:dyDescent="0.25">
      <c r="O10696" s="20" t="str">
        <f>IF(N10696="","",COUNTIFS(RawData[[Date ]],N10696,RawData[Month List],$Q$6,RawData[Tour/Site],$Q$2,RawData[[Picker ID ]],$Q$3,RawData[Checker ID],$Q$4,RawData[[Error Type ]],$Q$5))</f>
        <v/>
      </c>
    </row>
    <row r="10697" spans="15:15" x14ac:dyDescent="0.25">
      <c r="O10697" s="20" t="str">
        <f>IF(N10697="","",COUNTIFS(RawData[[Date ]],N10697,RawData[Month List],$Q$6,RawData[Tour/Site],$Q$2,RawData[[Picker ID ]],$Q$3,RawData[Checker ID],$Q$4,RawData[[Error Type ]],$Q$5))</f>
        <v/>
      </c>
    </row>
    <row r="10698" spans="15:15" x14ac:dyDescent="0.25">
      <c r="O10698" s="20" t="str">
        <f>IF(N10698="","",COUNTIFS(RawData[[Date ]],N10698,RawData[Month List],$Q$6,RawData[Tour/Site],$Q$2,RawData[[Picker ID ]],$Q$3,RawData[Checker ID],$Q$4,RawData[[Error Type ]],$Q$5))</f>
        <v/>
      </c>
    </row>
    <row r="10699" spans="15:15" x14ac:dyDescent="0.25">
      <c r="O10699" s="20" t="str">
        <f>IF(N10699="","",COUNTIFS(RawData[[Date ]],N10699,RawData[Month List],$Q$6,RawData[Tour/Site],$Q$2,RawData[[Picker ID ]],$Q$3,RawData[Checker ID],$Q$4,RawData[[Error Type ]],$Q$5))</f>
        <v/>
      </c>
    </row>
    <row r="10700" spans="15:15" x14ac:dyDescent="0.25">
      <c r="O10700" s="20" t="str">
        <f>IF(N10700="","",COUNTIFS(RawData[[Date ]],N10700,RawData[Month List],$Q$6,RawData[Tour/Site],$Q$2,RawData[[Picker ID ]],$Q$3,RawData[Checker ID],$Q$4,RawData[[Error Type ]],$Q$5))</f>
        <v/>
      </c>
    </row>
    <row r="10701" spans="15:15" x14ac:dyDescent="0.25">
      <c r="O10701" s="20" t="str">
        <f>IF(N10701="","",COUNTIFS(RawData[[Date ]],N10701,RawData[Month List],$Q$6,RawData[Tour/Site],$Q$2,RawData[[Picker ID ]],$Q$3,RawData[Checker ID],$Q$4,RawData[[Error Type ]],$Q$5))</f>
        <v/>
      </c>
    </row>
    <row r="10702" spans="15:15" x14ac:dyDescent="0.25">
      <c r="O10702" s="20" t="str">
        <f>IF(N10702="","",COUNTIFS(RawData[[Date ]],N10702,RawData[Month List],$Q$6,RawData[Tour/Site],$Q$2,RawData[[Picker ID ]],$Q$3,RawData[Checker ID],$Q$4,RawData[[Error Type ]],$Q$5))</f>
        <v/>
      </c>
    </row>
    <row r="10703" spans="15:15" x14ac:dyDescent="0.25">
      <c r="O10703" s="20" t="str">
        <f>IF(N10703="","",COUNTIFS(RawData[[Date ]],N10703,RawData[Month List],$Q$6,RawData[Tour/Site],$Q$2,RawData[[Picker ID ]],$Q$3,RawData[Checker ID],$Q$4,RawData[[Error Type ]],$Q$5))</f>
        <v/>
      </c>
    </row>
    <row r="10704" spans="15:15" x14ac:dyDescent="0.25">
      <c r="O10704" s="20" t="str">
        <f>IF(N10704="","",COUNTIFS(RawData[[Date ]],N10704,RawData[Month List],$Q$6,RawData[Tour/Site],$Q$2,RawData[[Picker ID ]],$Q$3,RawData[Checker ID],$Q$4,RawData[[Error Type ]],$Q$5))</f>
        <v/>
      </c>
    </row>
    <row r="10705" spans="15:15" x14ac:dyDescent="0.25">
      <c r="O10705" s="20" t="str">
        <f>IF(N10705="","",COUNTIFS(RawData[[Date ]],N10705,RawData[Month List],$Q$6,RawData[Tour/Site],$Q$2,RawData[[Picker ID ]],$Q$3,RawData[Checker ID],$Q$4,RawData[[Error Type ]],$Q$5))</f>
        <v/>
      </c>
    </row>
    <row r="10706" spans="15:15" x14ac:dyDescent="0.25">
      <c r="O10706" s="20" t="str">
        <f>IF(N10706="","",COUNTIFS(RawData[[Date ]],N10706,RawData[Month List],$Q$6,RawData[Tour/Site],$Q$2,RawData[[Picker ID ]],$Q$3,RawData[Checker ID],$Q$4,RawData[[Error Type ]],$Q$5))</f>
        <v/>
      </c>
    </row>
    <row r="10707" spans="15:15" x14ac:dyDescent="0.25">
      <c r="O10707" s="20" t="str">
        <f>IF(N10707="","",COUNTIFS(RawData[[Date ]],N10707,RawData[Month List],$Q$6,RawData[Tour/Site],$Q$2,RawData[[Picker ID ]],$Q$3,RawData[Checker ID],$Q$4,RawData[[Error Type ]],$Q$5))</f>
        <v/>
      </c>
    </row>
    <row r="10708" spans="15:15" x14ac:dyDescent="0.25">
      <c r="O10708" s="20" t="str">
        <f>IF(N10708="","",COUNTIFS(RawData[[Date ]],N10708,RawData[Month List],$Q$6,RawData[Tour/Site],$Q$2,RawData[[Picker ID ]],$Q$3,RawData[Checker ID],$Q$4,RawData[[Error Type ]],$Q$5))</f>
        <v/>
      </c>
    </row>
    <row r="10709" spans="15:15" x14ac:dyDescent="0.25">
      <c r="O10709" s="20" t="str">
        <f>IF(N10709="","",COUNTIFS(RawData[[Date ]],N10709,RawData[Month List],$Q$6,RawData[Tour/Site],$Q$2,RawData[[Picker ID ]],$Q$3,RawData[Checker ID],$Q$4,RawData[[Error Type ]],$Q$5))</f>
        <v/>
      </c>
    </row>
    <row r="10710" spans="15:15" x14ac:dyDescent="0.25">
      <c r="O10710" s="20" t="str">
        <f>IF(N10710="","",COUNTIFS(RawData[[Date ]],N10710,RawData[Month List],$Q$6,RawData[Tour/Site],$Q$2,RawData[[Picker ID ]],$Q$3,RawData[Checker ID],$Q$4,RawData[[Error Type ]],$Q$5))</f>
        <v/>
      </c>
    </row>
    <row r="10711" spans="15:15" x14ac:dyDescent="0.25">
      <c r="O10711" s="20" t="str">
        <f>IF(N10711="","",COUNTIFS(RawData[[Date ]],N10711,RawData[Month List],$Q$6,RawData[Tour/Site],$Q$2,RawData[[Picker ID ]],$Q$3,RawData[Checker ID],$Q$4,RawData[[Error Type ]],$Q$5))</f>
        <v/>
      </c>
    </row>
    <row r="10712" spans="15:15" x14ac:dyDescent="0.25">
      <c r="O10712" s="20" t="str">
        <f>IF(N10712="","",COUNTIFS(RawData[[Date ]],N10712,RawData[Month List],$Q$6,RawData[Tour/Site],$Q$2,RawData[[Picker ID ]],$Q$3,RawData[Checker ID],$Q$4,RawData[[Error Type ]],$Q$5))</f>
        <v/>
      </c>
    </row>
    <row r="10713" spans="15:15" x14ac:dyDescent="0.25">
      <c r="O10713" s="20" t="str">
        <f>IF(N10713="","",COUNTIFS(RawData[[Date ]],N10713,RawData[Month List],$Q$6,RawData[Tour/Site],$Q$2,RawData[[Picker ID ]],$Q$3,RawData[Checker ID],$Q$4,RawData[[Error Type ]],$Q$5))</f>
        <v/>
      </c>
    </row>
    <row r="10714" spans="15:15" x14ac:dyDescent="0.25">
      <c r="O10714" s="20" t="str">
        <f>IF(N10714="","",COUNTIFS(RawData[[Date ]],N10714,RawData[Month List],$Q$6,RawData[Tour/Site],$Q$2,RawData[[Picker ID ]],$Q$3,RawData[Checker ID],$Q$4,RawData[[Error Type ]],$Q$5))</f>
        <v/>
      </c>
    </row>
    <row r="10715" spans="15:15" x14ac:dyDescent="0.25">
      <c r="O10715" s="20" t="str">
        <f>IF(N10715="","",COUNTIFS(RawData[[Date ]],N10715,RawData[Month List],$Q$6,RawData[Tour/Site],$Q$2,RawData[[Picker ID ]],$Q$3,RawData[Checker ID],$Q$4,RawData[[Error Type ]],$Q$5))</f>
        <v/>
      </c>
    </row>
    <row r="10716" spans="15:15" x14ac:dyDescent="0.25">
      <c r="O10716" s="20" t="str">
        <f>IF(N10716="","",COUNTIFS(RawData[[Date ]],N10716,RawData[Month List],$Q$6,RawData[Tour/Site],$Q$2,RawData[[Picker ID ]],$Q$3,RawData[Checker ID],$Q$4,RawData[[Error Type ]],$Q$5))</f>
        <v/>
      </c>
    </row>
    <row r="10717" spans="15:15" x14ac:dyDescent="0.25">
      <c r="O10717" s="20" t="str">
        <f>IF(N10717="","",COUNTIFS(RawData[[Date ]],N10717,RawData[Month List],$Q$6,RawData[Tour/Site],$Q$2,RawData[[Picker ID ]],$Q$3,RawData[Checker ID],$Q$4,RawData[[Error Type ]],$Q$5))</f>
        <v/>
      </c>
    </row>
    <row r="10718" spans="15:15" x14ac:dyDescent="0.25">
      <c r="O10718" s="20" t="str">
        <f>IF(N10718="","",COUNTIFS(RawData[[Date ]],N10718,RawData[Month List],$Q$6,RawData[Tour/Site],$Q$2,RawData[[Picker ID ]],$Q$3,RawData[Checker ID],$Q$4,RawData[[Error Type ]],$Q$5))</f>
        <v/>
      </c>
    </row>
    <row r="10719" spans="15:15" x14ac:dyDescent="0.25">
      <c r="O10719" s="20" t="str">
        <f>IF(N10719="","",COUNTIFS(RawData[[Date ]],N10719,RawData[Month List],$Q$6,RawData[Tour/Site],$Q$2,RawData[[Picker ID ]],$Q$3,RawData[Checker ID],$Q$4,RawData[[Error Type ]],$Q$5))</f>
        <v/>
      </c>
    </row>
    <row r="10720" spans="15:15" x14ac:dyDescent="0.25">
      <c r="O10720" s="20" t="str">
        <f>IF(N10720="","",COUNTIFS(RawData[[Date ]],N10720,RawData[Month List],$Q$6,RawData[Tour/Site],$Q$2,RawData[[Picker ID ]],$Q$3,RawData[Checker ID],$Q$4,RawData[[Error Type ]],$Q$5))</f>
        <v/>
      </c>
    </row>
    <row r="10721" spans="15:15" x14ac:dyDescent="0.25">
      <c r="O10721" s="20" t="str">
        <f>IF(N10721="","",COUNTIFS(RawData[[Date ]],N10721,RawData[Month List],$Q$6,RawData[Tour/Site],$Q$2,RawData[[Picker ID ]],$Q$3,RawData[Checker ID],$Q$4,RawData[[Error Type ]],$Q$5))</f>
        <v/>
      </c>
    </row>
    <row r="10722" spans="15:15" x14ac:dyDescent="0.25">
      <c r="O10722" s="20" t="str">
        <f>IF(N10722="","",COUNTIFS(RawData[[Date ]],N10722,RawData[Month List],$Q$6,RawData[Tour/Site],$Q$2,RawData[[Picker ID ]],$Q$3,RawData[Checker ID],$Q$4,RawData[[Error Type ]],$Q$5))</f>
        <v/>
      </c>
    </row>
    <row r="10723" spans="15:15" x14ac:dyDescent="0.25">
      <c r="O10723" s="20" t="str">
        <f>IF(N10723="","",COUNTIFS(RawData[[Date ]],N10723,RawData[Month List],$Q$6,RawData[Tour/Site],$Q$2,RawData[[Picker ID ]],$Q$3,RawData[Checker ID],$Q$4,RawData[[Error Type ]],$Q$5))</f>
        <v/>
      </c>
    </row>
    <row r="10724" spans="15:15" x14ac:dyDescent="0.25">
      <c r="O10724" s="20" t="str">
        <f>IF(N10724="","",COUNTIFS(RawData[[Date ]],N10724,RawData[Month List],$Q$6,RawData[Tour/Site],$Q$2,RawData[[Picker ID ]],$Q$3,RawData[Checker ID],$Q$4,RawData[[Error Type ]],$Q$5))</f>
        <v/>
      </c>
    </row>
    <row r="10725" spans="15:15" x14ac:dyDescent="0.25">
      <c r="O10725" s="20" t="str">
        <f>IF(N10725="","",COUNTIFS(RawData[[Date ]],N10725,RawData[Month List],$Q$6,RawData[Tour/Site],$Q$2,RawData[[Picker ID ]],$Q$3,RawData[Checker ID],$Q$4,RawData[[Error Type ]],$Q$5))</f>
        <v/>
      </c>
    </row>
    <row r="10726" spans="15:15" x14ac:dyDescent="0.25">
      <c r="O10726" s="20" t="str">
        <f>IF(N10726="","",COUNTIFS(RawData[[Date ]],N10726,RawData[Month List],$Q$6,RawData[Tour/Site],$Q$2,RawData[[Picker ID ]],$Q$3,RawData[Checker ID],$Q$4,RawData[[Error Type ]],$Q$5))</f>
        <v/>
      </c>
    </row>
    <row r="10727" spans="15:15" x14ac:dyDescent="0.25">
      <c r="O10727" s="20" t="str">
        <f>IF(N10727="","",COUNTIFS(RawData[[Date ]],N10727,RawData[Month List],$Q$6,RawData[Tour/Site],$Q$2,RawData[[Picker ID ]],$Q$3,RawData[Checker ID],$Q$4,RawData[[Error Type ]],$Q$5))</f>
        <v/>
      </c>
    </row>
    <row r="10728" spans="15:15" x14ac:dyDescent="0.25">
      <c r="O10728" s="20" t="str">
        <f>IF(N10728="","",COUNTIFS(RawData[[Date ]],N10728,RawData[Month List],$Q$6,RawData[Tour/Site],$Q$2,RawData[[Picker ID ]],$Q$3,RawData[Checker ID],$Q$4,RawData[[Error Type ]],$Q$5))</f>
        <v/>
      </c>
    </row>
    <row r="10729" spans="15:15" x14ac:dyDescent="0.25">
      <c r="O10729" s="20" t="str">
        <f>IF(N10729="","",COUNTIFS(RawData[[Date ]],N10729,RawData[Month List],$Q$6,RawData[Tour/Site],$Q$2,RawData[[Picker ID ]],$Q$3,RawData[Checker ID],$Q$4,RawData[[Error Type ]],$Q$5))</f>
        <v/>
      </c>
    </row>
    <row r="10730" spans="15:15" x14ac:dyDescent="0.25">
      <c r="O10730" s="20" t="str">
        <f>IF(N10730="","",COUNTIFS(RawData[[Date ]],N10730,RawData[Month List],$Q$6,RawData[Tour/Site],$Q$2,RawData[[Picker ID ]],$Q$3,RawData[Checker ID],$Q$4,RawData[[Error Type ]],$Q$5))</f>
        <v/>
      </c>
    </row>
    <row r="10731" spans="15:15" x14ac:dyDescent="0.25">
      <c r="O10731" s="20" t="str">
        <f>IF(N10731="","",COUNTIFS(RawData[[Date ]],N10731,RawData[Month List],$Q$6,RawData[Tour/Site],$Q$2,RawData[[Picker ID ]],$Q$3,RawData[Checker ID],$Q$4,RawData[[Error Type ]],$Q$5))</f>
        <v/>
      </c>
    </row>
    <row r="10732" spans="15:15" x14ac:dyDescent="0.25">
      <c r="O10732" s="20" t="str">
        <f>IF(N10732="","",COUNTIFS(RawData[[Date ]],N10732,RawData[Month List],$Q$6,RawData[Tour/Site],$Q$2,RawData[[Picker ID ]],$Q$3,RawData[Checker ID],$Q$4,RawData[[Error Type ]],$Q$5))</f>
        <v/>
      </c>
    </row>
    <row r="10733" spans="15:15" x14ac:dyDescent="0.25">
      <c r="O10733" s="20" t="str">
        <f>IF(N10733="","",COUNTIFS(RawData[[Date ]],N10733,RawData[Month List],$Q$6,RawData[Tour/Site],$Q$2,RawData[[Picker ID ]],$Q$3,RawData[Checker ID],$Q$4,RawData[[Error Type ]],$Q$5))</f>
        <v/>
      </c>
    </row>
    <row r="10734" spans="15:15" x14ac:dyDescent="0.25">
      <c r="O10734" s="20" t="str">
        <f>IF(N10734="","",COUNTIFS(RawData[[Date ]],N10734,RawData[Month List],$Q$6,RawData[Tour/Site],$Q$2,RawData[[Picker ID ]],$Q$3,RawData[Checker ID],$Q$4,RawData[[Error Type ]],$Q$5))</f>
        <v/>
      </c>
    </row>
    <row r="10735" spans="15:15" x14ac:dyDescent="0.25">
      <c r="O10735" s="20" t="str">
        <f>IF(N10735="","",COUNTIFS(RawData[[Date ]],N10735,RawData[Month List],$Q$6,RawData[Tour/Site],$Q$2,RawData[[Picker ID ]],$Q$3,RawData[Checker ID],$Q$4,RawData[[Error Type ]],$Q$5))</f>
        <v/>
      </c>
    </row>
    <row r="10736" spans="15:15" x14ac:dyDescent="0.25">
      <c r="O10736" s="20" t="str">
        <f>IF(N10736="","",COUNTIFS(RawData[[Date ]],N10736,RawData[Month List],$Q$6,RawData[Tour/Site],$Q$2,RawData[[Picker ID ]],$Q$3,RawData[Checker ID],$Q$4,RawData[[Error Type ]],$Q$5))</f>
        <v/>
      </c>
    </row>
    <row r="10737" spans="15:15" x14ac:dyDescent="0.25">
      <c r="O10737" s="20" t="str">
        <f>IF(N10737="","",COUNTIFS(RawData[[Date ]],N10737,RawData[Month List],$Q$6,RawData[Tour/Site],$Q$2,RawData[[Picker ID ]],$Q$3,RawData[Checker ID],$Q$4,RawData[[Error Type ]],$Q$5))</f>
        <v/>
      </c>
    </row>
    <row r="10738" spans="15:15" x14ac:dyDescent="0.25">
      <c r="O10738" s="20" t="str">
        <f>IF(N10738="","",COUNTIFS(RawData[[Date ]],N10738,RawData[Month List],$Q$6,RawData[Tour/Site],$Q$2,RawData[[Picker ID ]],$Q$3,RawData[Checker ID],$Q$4,RawData[[Error Type ]],$Q$5))</f>
        <v/>
      </c>
    </row>
    <row r="10739" spans="15:15" x14ac:dyDescent="0.25">
      <c r="O10739" s="20" t="str">
        <f>IF(N10739="","",COUNTIFS(RawData[[Date ]],N10739,RawData[Month List],$Q$6,RawData[Tour/Site],$Q$2,RawData[[Picker ID ]],$Q$3,RawData[Checker ID],$Q$4,RawData[[Error Type ]],$Q$5))</f>
        <v/>
      </c>
    </row>
    <row r="10740" spans="15:15" x14ac:dyDescent="0.25">
      <c r="O10740" s="20" t="str">
        <f>IF(N10740="","",COUNTIFS(RawData[[Date ]],N10740,RawData[Month List],$Q$6,RawData[Tour/Site],$Q$2,RawData[[Picker ID ]],$Q$3,RawData[Checker ID],$Q$4,RawData[[Error Type ]],$Q$5))</f>
        <v/>
      </c>
    </row>
    <row r="10741" spans="15:15" x14ac:dyDescent="0.25">
      <c r="O10741" s="20" t="str">
        <f>IF(N10741="","",COUNTIFS(RawData[[Date ]],N10741,RawData[Month List],$Q$6,RawData[Tour/Site],$Q$2,RawData[[Picker ID ]],$Q$3,RawData[Checker ID],$Q$4,RawData[[Error Type ]],$Q$5))</f>
        <v/>
      </c>
    </row>
    <row r="10742" spans="15:15" x14ac:dyDescent="0.25">
      <c r="O10742" s="20" t="str">
        <f>IF(N10742="","",COUNTIFS(RawData[[Date ]],N10742,RawData[Month List],$Q$6,RawData[Tour/Site],$Q$2,RawData[[Picker ID ]],$Q$3,RawData[Checker ID],$Q$4,RawData[[Error Type ]],$Q$5))</f>
        <v/>
      </c>
    </row>
    <row r="10743" spans="15:15" x14ac:dyDescent="0.25">
      <c r="O10743" s="20" t="str">
        <f>IF(N10743="","",COUNTIFS(RawData[[Date ]],N10743,RawData[Month List],$Q$6,RawData[Tour/Site],$Q$2,RawData[[Picker ID ]],$Q$3,RawData[Checker ID],$Q$4,RawData[[Error Type ]],$Q$5))</f>
        <v/>
      </c>
    </row>
    <row r="10744" spans="15:15" x14ac:dyDescent="0.25">
      <c r="O10744" s="20" t="str">
        <f>IF(N10744="","",COUNTIFS(RawData[[Date ]],N10744,RawData[Month List],$Q$6,RawData[Tour/Site],$Q$2,RawData[[Picker ID ]],$Q$3,RawData[Checker ID],$Q$4,RawData[[Error Type ]],$Q$5))</f>
        <v/>
      </c>
    </row>
    <row r="10745" spans="15:15" x14ac:dyDescent="0.25">
      <c r="O10745" s="20" t="str">
        <f>IF(N10745="","",COUNTIFS(RawData[[Date ]],N10745,RawData[Month List],$Q$6,RawData[Tour/Site],$Q$2,RawData[[Picker ID ]],$Q$3,RawData[Checker ID],$Q$4,RawData[[Error Type ]],$Q$5))</f>
        <v/>
      </c>
    </row>
    <row r="10746" spans="15:15" x14ac:dyDescent="0.25">
      <c r="O10746" s="20" t="str">
        <f>IF(N10746="","",COUNTIFS(RawData[[Date ]],N10746,RawData[Month List],$Q$6,RawData[Tour/Site],$Q$2,RawData[[Picker ID ]],$Q$3,RawData[Checker ID],$Q$4,RawData[[Error Type ]],$Q$5))</f>
        <v/>
      </c>
    </row>
    <row r="10747" spans="15:15" x14ac:dyDescent="0.25">
      <c r="O10747" s="20" t="str">
        <f>IF(N10747="","",COUNTIFS(RawData[[Date ]],N10747,RawData[Month List],$Q$6,RawData[Tour/Site],$Q$2,RawData[[Picker ID ]],$Q$3,RawData[Checker ID],$Q$4,RawData[[Error Type ]],$Q$5))</f>
        <v/>
      </c>
    </row>
    <row r="10748" spans="15:15" x14ac:dyDescent="0.25">
      <c r="O10748" s="20" t="str">
        <f>IF(N10748="","",COUNTIFS(RawData[[Date ]],N10748,RawData[Month List],$Q$6,RawData[Tour/Site],$Q$2,RawData[[Picker ID ]],$Q$3,RawData[Checker ID],$Q$4,RawData[[Error Type ]],$Q$5))</f>
        <v/>
      </c>
    </row>
    <row r="10749" spans="15:15" x14ac:dyDescent="0.25">
      <c r="O10749" s="20" t="str">
        <f>IF(N10749="","",COUNTIFS(RawData[[Date ]],N10749,RawData[Month List],$Q$6,RawData[Tour/Site],$Q$2,RawData[[Picker ID ]],$Q$3,RawData[Checker ID],$Q$4,RawData[[Error Type ]],$Q$5))</f>
        <v/>
      </c>
    </row>
    <row r="10750" spans="15:15" x14ac:dyDescent="0.25">
      <c r="O10750" s="20" t="str">
        <f>IF(N10750="","",COUNTIFS(RawData[[Date ]],N10750,RawData[Month List],$Q$6,RawData[Tour/Site],$Q$2,RawData[[Picker ID ]],$Q$3,RawData[Checker ID],$Q$4,RawData[[Error Type ]],$Q$5))</f>
        <v/>
      </c>
    </row>
    <row r="10751" spans="15:15" x14ac:dyDescent="0.25">
      <c r="O10751" s="20" t="str">
        <f>IF(N10751="","",COUNTIFS(RawData[[Date ]],N10751,RawData[Month List],$Q$6,RawData[Tour/Site],$Q$2,RawData[[Picker ID ]],$Q$3,RawData[Checker ID],$Q$4,RawData[[Error Type ]],$Q$5))</f>
        <v/>
      </c>
    </row>
    <row r="10752" spans="15:15" x14ac:dyDescent="0.25">
      <c r="O10752" s="20" t="str">
        <f>IF(N10752="","",COUNTIFS(RawData[[Date ]],N10752,RawData[Month List],$Q$6,RawData[Tour/Site],$Q$2,RawData[[Picker ID ]],$Q$3,RawData[Checker ID],$Q$4,RawData[[Error Type ]],$Q$5))</f>
        <v/>
      </c>
    </row>
    <row r="10753" spans="15:15" x14ac:dyDescent="0.25">
      <c r="O10753" s="20" t="str">
        <f>IF(N10753="","",COUNTIFS(RawData[[Date ]],N10753,RawData[Month List],$Q$6,RawData[Tour/Site],$Q$2,RawData[[Picker ID ]],$Q$3,RawData[Checker ID],$Q$4,RawData[[Error Type ]],$Q$5))</f>
        <v/>
      </c>
    </row>
    <row r="10754" spans="15:15" x14ac:dyDescent="0.25">
      <c r="O10754" s="20" t="str">
        <f>IF(N10754="","",COUNTIFS(RawData[[Date ]],N10754,RawData[Month List],$Q$6,RawData[Tour/Site],$Q$2,RawData[[Picker ID ]],$Q$3,RawData[Checker ID],$Q$4,RawData[[Error Type ]],$Q$5))</f>
        <v/>
      </c>
    </row>
    <row r="10755" spans="15:15" x14ac:dyDescent="0.25">
      <c r="O10755" s="20" t="str">
        <f>IF(N10755="","",COUNTIFS(RawData[[Date ]],N10755,RawData[Month List],$Q$6,RawData[Tour/Site],$Q$2,RawData[[Picker ID ]],$Q$3,RawData[Checker ID],$Q$4,RawData[[Error Type ]],$Q$5))</f>
        <v/>
      </c>
    </row>
    <row r="10756" spans="15:15" x14ac:dyDescent="0.25">
      <c r="O10756" s="20" t="str">
        <f>IF(N10756="","",COUNTIFS(RawData[[Date ]],N10756,RawData[Month List],$Q$6,RawData[Tour/Site],$Q$2,RawData[[Picker ID ]],$Q$3,RawData[Checker ID],$Q$4,RawData[[Error Type ]],$Q$5))</f>
        <v/>
      </c>
    </row>
    <row r="10757" spans="15:15" x14ac:dyDescent="0.25">
      <c r="O10757" s="20" t="str">
        <f>IF(N10757="","",COUNTIFS(RawData[[Date ]],N10757,RawData[Month List],$Q$6,RawData[Tour/Site],$Q$2,RawData[[Picker ID ]],$Q$3,RawData[Checker ID],$Q$4,RawData[[Error Type ]],$Q$5))</f>
        <v/>
      </c>
    </row>
    <row r="10758" spans="15:15" x14ac:dyDescent="0.25">
      <c r="O10758" s="20" t="str">
        <f>IF(N10758="","",COUNTIFS(RawData[[Date ]],N10758,RawData[Month List],$Q$6,RawData[Tour/Site],$Q$2,RawData[[Picker ID ]],$Q$3,RawData[Checker ID],$Q$4,RawData[[Error Type ]],$Q$5))</f>
        <v/>
      </c>
    </row>
    <row r="10759" spans="15:15" x14ac:dyDescent="0.25">
      <c r="O10759" s="20" t="str">
        <f>IF(N10759="","",COUNTIFS(RawData[[Date ]],N10759,RawData[Month List],$Q$6,RawData[Tour/Site],$Q$2,RawData[[Picker ID ]],$Q$3,RawData[Checker ID],$Q$4,RawData[[Error Type ]],$Q$5))</f>
        <v/>
      </c>
    </row>
    <row r="10760" spans="15:15" x14ac:dyDescent="0.25">
      <c r="O10760" s="20" t="str">
        <f>IF(N10760="","",COUNTIFS(RawData[[Date ]],N10760,RawData[Month List],$Q$6,RawData[Tour/Site],$Q$2,RawData[[Picker ID ]],$Q$3,RawData[Checker ID],$Q$4,RawData[[Error Type ]],$Q$5))</f>
        <v/>
      </c>
    </row>
    <row r="10761" spans="15:15" x14ac:dyDescent="0.25">
      <c r="O10761" s="20" t="str">
        <f>IF(N10761="","",COUNTIFS(RawData[[Date ]],N10761,RawData[Month List],$Q$6,RawData[Tour/Site],$Q$2,RawData[[Picker ID ]],$Q$3,RawData[Checker ID],$Q$4,RawData[[Error Type ]],$Q$5))</f>
        <v/>
      </c>
    </row>
    <row r="10762" spans="15:15" x14ac:dyDescent="0.25">
      <c r="O10762" s="20" t="str">
        <f>IF(N10762="","",COUNTIFS(RawData[[Date ]],N10762,RawData[Month List],$Q$6,RawData[Tour/Site],$Q$2,RawData[[Picker ID ]],$Q$3,RawData[Checker ID],$Q$4,RawData[[Error Type ]],$Q$5))</f>
        <v/>
      </c>
    </row>
    <row r="10763" spans="15:15" x14ac:dyDescent="0.25">
      <c r="O10763" s="20" t="str">
        <f>IF(N10763="","",COUNTIFS(RawData[[Date ]],N10763,RawData[Month List],$Q$6,RawData[Tour/Site],$Q$2,RawData[[Picker ID ]],$Q$3,RawData[Checker ID],$Q$4,RawData[[Error Type ]],$Q$5))</f>
        <v/>
      </c>
    </row>
    <row r="10764" spans="15:15" x14ac:dyDescent="0.25">
      <c r="O10764" s="20" t="str">
        <f>IF(N10764="","",COUNTIFS(RawData[[Date ]],N10764,RawData[Month List],$Q$6,RawData[Tour/Site],$Q$2,RawData[[Picker ID ]],$Q$3,RawData[Checker ID],$Q$4,RawData[[Error Type ]],$Q$5))</f>
        <v/>
      </c>
    </row>
    <row r="10765" spans="15:15" x14ac:dyDescent="0.25">
      <c r="O10765" s="20" t="str">
        <f>IF(N10765="","",COUNTIFS(RawData[[Date ]],N10765,RawData[Month List],$Q$6,RawData[Tour/Site],$Q$2,RawData[[Picker ID ]],$Q$3,RawData[Checker ID],$Q$4,RawData[[Error Type ]],$Q$5))</f>
        <v/>
      </c>
    </row>
    <row r="10766" spans="15:15" x14ac:dyDescent="0.25">
      <c r="O10766" s="20" t="str">
        <f>IF(N10766="","",COUNTIFS(RawData[[Date ]],N10766,RawData[Month List],$Q$6,RawData[Tour/Site],$Q$2,RawData[[Picker ID ]],$Q$3,RawData[Checker ID],$Q$4,RawData[[Error Type ]],$Q$5))</f>
        <v/>
      </c>
    </row>
    <row r="10767" spans="15:15" x14ac:dyDescent="0.25">
      <c r="O10767" s="20" t="str">
        <f>IF(N10767="","",COUNTIFS(RawData[[Date ]],N10767,RawData[Month List],$Q$6,RawData[Tour/Site],$Q$2,RawData[[Picker ID ]],$Q$3,RawData[Checker ID],$Q$4,RawData[[Error Type ]],$Q$5))</f>
        <v/>
      </c>
    </row>
    <row r="10768" spans="15:15" x14ac:dyDescent="0.25">
      <c r="O10768" s="20" t="str">
        <f>IF(N10768="","",COUNTIFS(RawData[[Date ]],N10768,RawData[Month List],$Q$6,RawData[Tour/Site],$Q$2,RawData[[Picker ID ]],$Q$3,RawData[Checker ID],$Q$4,RawData[[Error Type ]],$Q$5))</f>
        <v/>
      </c>
    </row>
    <row r="10769" spans="15:15" x14ac:dyDescent="0.25">
      <c r="O10769" s="20" t="str">
        <f>IF(N10769="","",COUNTIFS(RawData[[Date ]],N10769,RawData[Month List],$Q$6,RawData[Tour/Site],$Q$2,RawData[[Picker ID ]],$Q$3,RawData[Checker ID],$Q$4,RawData[[Error Type ]],$Q$5))</f>
        <v/>
      </c>
    </row>
    <row r="10770" spans="15:15" x14ac:dyDescent="0.25">
      <c r="O10770" s="20" t="str">
        <f>IF(N10770="","",COUNTIFS(RawData[[Date ]],N10770,RawData[Month List],$Q$6,RawData[Tour/Site],$Q$2,RawData[[Picker ID ]],$Q$3,RawData[Checker ID],$Q$4,RawData[[Error Type ]],$Q$5))</f>
        <v/>
      </c>
    </row>
    <row r="10771" spans="15:15" x14ac:dyDescent="0.25">
      <c r="O10771" s="20" t="str">
        <f>IF(N10771="","",COUNTIFS(RawData[[Date ]],N10771,RawData[Month List],$Q$6,RawData[Tour/Site],$Q$2,RawData[[Picker ID ]],$Q$3,RawData[Checker ID],$Q$4,RawData[[Error Type ]],$Q$5))</f>
        <v/>
      </c>
    </row>
    <row r="10772" spans="15:15" x14ac:dyDescent="0.25">
      <c r="O10772" s="20" t="str">
        <f>IF(N10772="","",COUNTIFS(RawData[[Date ]],N10772,RawData[Month List],$Q$6,RawData[Tour/Site],$Q$2,RawData[[Picker ID ]],$Q$3,RawData[Checker ID],$Q$4,RawData[[Error Type ]],$Q$5))</f>
        <v/>
      </c>
    </row>
    <row r="10773" spans="15:15" x14ac:dyDescent="0.25">
      <c r="O10773" s="20" t="str">
        <f>IF(N10773="","",COUNTIFS(RawData[[Date ]],N10773,RawData[Month List],$Q$6,RawData[Tour/Site],$Q$2,RawData[[Picker ID ]],$Q$3,RawData[Checker ID],$Q$4,RawData[[Error Type ]],$Q$5))</f>
        <v/>
      </c>
    </row>
    <row r="10774" spans="15:15" x14ac:dyDescent="0.25">
      <c r="O10774" s="20" t="str">
        <f>IF(N10774="","",COUNTIFS(RawData[[Date ]],N10774,RawData[Month List],$Q$6,RawData[Tour/Site],$Q$2,RawData[[Picker ID ]],$Q$3,RawData[Checker ID],$Q$4,RawData[[Error Type ]],$Q$5))</f>
        <v/>
      </c>
    </row>
    <row r="10775" spans="15:15" x14ac:dyDescent="0.25">
      <c r="O10775" s="20" t="str">
        <f>IF(N10775="","",COUNTIFS(RawData[[Date ]],N10775,RawData[Month List],$Q$6,RawData[Tour/Site],$Q$2,RawData[[Picker ID ]],$Q$3,RawData[Checker ID],$Q$4,RawData[[Error Type ]],$Q$5))</f>
        <v/>
      </c>
    </row>
    <row r="10776" spans="15:15" x14ac:dyDescent="0.25">
      <c r="O10776" s="20" t="str">
        <f>IF(N10776="","",COUNTIFS(RawData[[Date ]],N10776,RawData[Month List],$Q$6,RawData[Tour/Site],$Q$2,RawData[[Picker ID ]],$Q$3,RawData[Checker ID],$Q$4,RawData[[Error Type ]],$Q$5))</f>
        <v/>
      </c>
    </row>
    <row r="10777" spans="15:15" x14ac:dyDescent="0.25">
      <c r="O10777" s="20" t="str">
        <f>IF(N10777="","",COUNTIFS(RawData[[Date ]],N10777,RawData[Month List],$Q$6,RawData[Tour/Site],$Q$2,RawData[[Picker ID ]],$Q$3,RawData[Checker ID],$Q$4,RawData[[Error Type ]],$Q$5))</f>
        <v/>
      </c>
    </row>
    <row r="10778" spans="15:15" x14ac:dyDescent="0.25">
      <c r="O10778" s="20" t="str">
        <f>IF(N10778="","",COUNTIFS(RawData[[Date ]],N10778,RawData[Month List],$Q$6,RawData[Tour/Site],$Q$2,RawData[[Picker ID ]],$Q$3,RawData[Checker ID],$Q$4,RawData[[Error Type ]],$Q$5))</f>
        <v/>
      </c>
    </row>
    <row r="10779" spans="15:15" x14ac:dyDescent="0.25">
      <c r="O10779" s="20" t="str">
        <f>IF(N10779="","",COUNTIFS(RawData[[Date ]],N10779,RawData[Month List],$Q$6,RawData[Tour/Site],$Q$2,RawData[[Picker ID ]],$Q$3,RawData[Checker ID],$Q$4,RawData[[Error Type ]],$Q$5))</f>
        <v/>
      </c>
    </row>
    <row r="10780" spans="15:15" x14ac:dyDescent="0.25">
      <c r="O10780" s="20" t="str">
        <f>IF(N10780="","",COUNTIFS(RawData[[Date ]],N10780,RawData[Month List],$Q$6,RawData[Tour/Site],$Q$2,RawData[[Picker ID ]],$Q$3,RawData[Checker ID],$Q$4,RawData[[Error Type ]],$Q$5))</f>
        <v/>
      </c>
    </row>
    <row r="10781" spans="15:15" x14ac:dyDescent="0.25">
      <c r="O10781" s="20" t="str">
        <f>IF(N10781="","",COUNTIFS(RawData[[Date ]],N10781,RawData[Month List],$Q$6,RawData[Tour/Site],$Q$2,RawData[[Picker ID ]],$Q$3,RawData[Checker ID],$Q$4,RawData[[Error Type ]],$Q$5))</f>
        <v/>
      </c>
    </row>
    <row r="10782" spans="15:15" x14ac:dyDescent="0.25">
      <c r="O10782" s="20" t="str">
        <f>IF(N10782="","",COUNTIFS(RawData[[Date ]],N10782,RawData[Month List],$Q$6,RawData[Tour/Site],$Q$2,RawData[[Picker ID ]],$Q$3,RawData[Checker ID],$Q$4,RawData[[Error Type ]],$Q$5))</f>
        <v/>
      </c>
    </row>
    <row r="10783" spans="15:15" x14ac:dyDescent="0.25">
      <c r="O10783" s="20" t="str">
        <f>IF(N10783="","",COUNTIFS(RawData[[Date ]],N10783,RawData[Month List],$Q$6,RawData[Tour/Site],$Q$2,RawData[[Picker ID ]],$Q$3,RawData[Checker ID],$Q$4,RawData[[Error Type ]],$Q$5))</f>
        <v/>
      </c>
    </row>
    <row r="10784" spans="15:15" x14ac:dyDescent="0.25">
      <c r="O10784" s="20" t="str">
        <f>IF(N10784="","",COUNTIFS(RawData[[Date ]],N10784,RawData[Month List],$Q$6,RawData[Tour/Site],$Q$2,RawData[[Picker ID ]],$Q$3,RawData[Checker ID],$Q$4,RawData[[Error Type ]],$Q$5))</f>
        <v/>
      </c>
    </row>
    <row r="10785" spans="15:15" x14ac:dyDescent="0.25">
      <c r="O10785" s="20" t="str">
        <f>IF(N10785="","",COUNTIFS(RawData[[Date ]],N10785,RawData[Month List],$Q$6,RawData[Tour/Site],$Q$2,RawData[[Picker ID ]],$Q$3,RawData[Checker ID],$Q$4,RawData[[Error Type ]],$Q$5))</f>
        <v/>
      </c>
    </row>
    <row r="10786" spans="15:15" x14ac:dyDescent="0.25">
      <c r="O10786" s="20" t="str">
        <f>IF(N10786="","",COUNTIFS(RawData[[Date ]],N10786,RawData[Month List],$Q$6,RawData[Tour/Site],$Q$2,RawData[[Picker ID ]],$Q$3,RawData[Checker ID],$Q$4,RawData[[Error Type ]],$Q$5))</f>
        <v/>
      </c>
    </row>
    <row r="10787" spans="15:15" x14ac:dyDescent="0.25">
      <c r="O10787" s="20" t="str">
        <f>IF(N10787="","",COUNTIFS(RawData[[Date ]],N10787,RawData[Month List],$Q$6,RawData[Tour/Site],$Q$2,RawData[[Picker ID ]],$Q$3,RawData[Checker ID],$Q$4,RawData[[Error Type ]],$Q$5))</f>
        <v/>
      </c>
    </row>
    <row r="10788" spans="15:15" x14ac:dyDescent="0.25">
      <c r="O10788" s="20" t="str">
        <f>IF(N10788="","",COUNTIFS(RawData[[Date ]],N10788,RawData[Month List],$Q$6,RawData[Tour/Site],$Q$2,RawData[[Picker ID ]],$Q$3,RawData[Checker ID],$Q$4,RawData[[Error Type ]],$Q$5))</f>
        <v/>
      </c>
    </row>
    <row r="10789" spans="15:15" x14ac:dyDescent="0.25">
      <c r="O10789" s="20" t="str">
        <f>IF(N10789="","",COUNTIFS(RawData[[Date ]],N10789,RawData[Month List],$Q$6,RawData[Tour/Site],$Q$2,RawData[[Picker ID ]],$Q$3,RawData[Checker ID],$Q$4,RawData[[Error Type ]],$Q$5))</f>
        <v/>
      </c>
    </row>
    <row r="10790" spans="15:15" x14ac:dyDescent="0.25">
      <c r="O10790" s="20" t="str">
        <f>IF(N10790="","",COUNTIFS(RawData[[Date ]],N10790,RawData[Month List],$Q$6,RawData[Tour/Site],$Q$2,RawData[[Picker ID ]],$Q$3,RawData[Checker ID],$Q$4,RawData[[Error Type ]],$Q$5))</f>
        <v/>
      </c>
    </row>
    <row r="10791" spans="15:15" x14ac:dyDescent="0.25">
      <c r="O10791" s="20" t="str">
        <f>IF(N10791="","",COUNTIFS(RawData[[Date ]],N10791,RawData[Month List],$Q$6,RawData[Tour/Site],$Q$2,RawData[[Picker ID ]],$Q$3,RawData[Checker ID],$Q$4,RawData[[Error Type ]],$Q$5))</f>
        <v/>
      </c>
    </row>
    <row r="10792" spans="15:15" x14ac:dyDescent="0.25">
      <c r="O10792" s="20" t="str">
        <f>IF(N10792="","",COUNTIFS(RawData[[Date ]],N10792,RawData[Month List],$Q$6,RawData[Tour/Site],$Q$2,RawData[[Picker ID ]],$Q$3,RawData[Checker ID],$Q$4,RawData[[Error Type ]],$Q$5))</f>
        <v/>
      </c>
    </row>
    <row r="10793" spans="15:15" x14ac:dyDescent="0.25">
      <c r="O10793" s="20" t="str">
        <f>IF(N10793="","",COUNTIFS(RawData[[Date ]],N10793,RawData[Month List],$Q$6,RawData[Tour/Site],$Q$2,RawData[[Picker ID ]],$Q$3,RawData[Checker ID],$Q$4,RawData[[Error Type ]],$Q$5))</f>
        <v/>
      </c>
    </row>
    <row r="10794" spans="15:15" x14ac:dyDescent="0.25">
      <c r="O10794" s="20" t="str">
        <f>IF(N10794="","",COUNTIFS(RawData[[Date ]],N10794,RawData[Month List],$Q$6,RawData[Tour/Site],$Q$2,RawData[[Picker ID ]],$Q$3,RawData[Checker ID],$Q$4,RawData[[Error Type ]],$Q$5))</f>
        <v/>
      </c>
    </row>
    <row r="10795" spans="15:15" x14ac:dyDescent="0.25">
      <c r="O10795" s="20" t="str">
        <f>IF(N10795="","",COUNTIFS(RawData[[Date ]],N10795,RawData[Month List],$Q$6,RawData[Tour/Site],$Q$2,RawData[[Picker ID ]],$Q$3,RawData[Checker ID],$Q$4,RawData[[Error Type ]],$Q$5))</f>
        <v/>
      </c>
    </row>
    <row r="10796" spans="15:15" x14ac:dyDescent="0.25">
      <c r="O10796" s="20" t="str">
        <f>IF(N10796="","",COUNTIFS(RawData[[Date ]],N10796,RawData[Month List],$Q$6,RawData[Tour/Site],$Q$2,RawData[[Picker ID ]],$Q$3,RawData[Checker ID],$Q$4,RawData[[Error Type ]],$Q$5))</f>
        <v/>
      </c>
    </row>
    <row r="10797" spans="15:15" x14ac:dyDescent="0.25">
      <c r="O10797" s="20" t="str">
        <f>IF(N10797="","",COUNTIFS(RawData[[Date ]],N10797,RawData[Month List],$Q$6,RawData[Tour/Site],$Q$2,RawData[[Picker ID ]],$Q$3,RawData[Checker ID],$Q$4,RawData[[Error Type ]],$Q$5))</f>
        <v/>
      </c>
    </row>
    <row r="10798" spans="15:15" x14ac:dyDescent="0.25">
      <c r="O10798" s="20" t="str">
        <f>IF(N10798="","",COUNTIFS(RawData[[Date ]],N10798,RawData[Month List],$Q$6,RawData[Tour/Site],$Q$2,RawData[[Picker ID ]],$Q$3,RawData[Checker ID],$Q$4,RawData[[Error Type ]],$Q$5))</f>
        <v/>
      </c>
    </row>
    <row r="10799" spans="15:15" x14ac:dyDescent="0.25">
      <c r="O10799" s="20" t="str">
        <f>IF(N10799="","",COUNTIFS(RawData[[Date ]],N10799,RawData[Month List],$Q$6,RawData[Tour/Site],$Q$2,RawData[[Picker ID ]],$Q$3,RawData[Checker ID],$Q$4,RawData[[Error Type ]],$Q$5))</f>
        <v/>
      </c>
    </row>
    <row r="10800" spans="15:15" x14ac:dyDescent="0.25">
      <c r="O10800" s="20" t="str">
        <f>IF(N10800="","",COUNTIFS(RawData[[Date ]],N10800,RawData[Month List],$Q$6,RawData[Tour/Site],$Q$2,RawData[[Picker ID ]],$Q$3,RawData[Checker ID],$Q$4,RawData[[Error Type ]],$Q$5))</f>
        <v/>
      </c>
    </row>
    <row r="10801" spans="15:15" x14ac:dyDescent="0.25">
      <c r="O10801" s="20" t="str">
        <f>IF(N10801="","",COUNTIFS(RawData[[Date ]],N10801,RawData[Month List],$Q$6,RawData[Tour/Site],$Q$2,RawData[[Picker ID ]],$Q$3,RawData[Checker ID],$Q$4,RawData[[Error Type ]],$Q$5))</f>
        <v/>
      </c>
    </row>
    <row r="10802" spans="15:15" x14ac:dyDescent="0.25">
      <c r="O10802" s="20" t="str">
        <f>IF(N10802="","",COUNTIFS(RawData[[Date ]],N10802,RawData[Month List],$Q$6,RawData[Tour/Site],$Q$2,RawData[[Picker ID ]],$Q$3,RawData[Checker ID],$Q$4,RawData[[Error Type ]],$Q$5))</f>
        <v/>
      </c>
    </row>
    <row r="10803" spans="15:15" x14ac:dyDescent="0.25">
      <c r="O10803" s="20" t="str">
        <f>IF(N10803="","",COUNTIFS(RawData[[Date ]],N10803,RawData[Month List],$Q$6,RawData[Tour/Site],$Q$2,RawData[[Picker ID ]],$Q$3,RawData[Checker ID],$Q$4,RawData[[Error Type ]],$Q$5))</f>
        <v/>
      </c>
    </row>
    <row r="10804" spans="15:15" x14ac:dyDescent="0.25">
      <c r="O10804" s="20" t="str">
        <f>IF(N10804="","",COUNTIFS(RawData[[Date ]],N10804,RawData[Month List],$Q$6,RawData[Tour/Site],$Q$2,RawData[[Picker ID ]],$Q$3,RawData[Checker ID],$Q$4,RawData[[Error Type ]],$Q$5))</f>
        <v/>
      </c>
    </row>
    <row r="10805" spans="15:15" x14ac:dyDescent="0.25">
      <c r="O10805" s="20" t="str">
        <f>IF(N10805="","",COUNTIFS(RawData[[Date ]],N10805,RawData[Month List],$Q$6,RawData[Tour/Site],$Q$2,RawData[[Picker ID ]],$Q$3,RawData[Checker ID],$Q$4,RawData[[Error Type ]],$Q$5))</f>
        <v/>
      </c>
    </row>
    <row r="10806" spans="15:15" x14ac:dyDescent="0.25">
      <c r="O10806" s="20" t="str">
        <f>IF(N10806="","",COUNTIFS(RawData[[Date ]],N10806,RawData[Month List],$Q$6,RawData[Tour/Site],$Q$2,RawData[[Picker ID ]],$Q$3,RawData[Checker ID],$Q$4,RawData[[Error Type ]],$Q$5))</f>
        <v/>
      </c>
    </row>
    <row r="10807" spans="15:15" x14ac:dyDescent="0.25">
      <c r="O10807" s="20" t="str">
        <f>IF(N10807="","",COUNTIFS(RawData[[Date ]],N10807,RawData[Month List],$Q$6,RawData[Tour/Site],$Q$2,RawData[[Picker ID ]],$Q$3,RawData[Checker ID],$Q$4,RawData[[Error Type ]],$Q$5))</f>
        <v/>
      </c>
    </row>
    <row r="10808" spans="15:15" x14ac:dyDescent="0.25">
      <c r="O10808" s="20" t="str">
        <f>IF(N10808="","",COUNTIFS(RawData[[Date ]],N10808,RawData[Month List],$Q$6,RawData[Tour/Site],$Q$2,RawData[[Picker ID ]],$Q$3,RawData[Checker ID],$Q$4,RawData[[Error Type ]],$Q$5))</f>
        <v/>
      </c>
    </row>
    <row r="10809" spans="15:15" x14ac:dyDescent="0.25">
      <c r="O10809" s="20" t="str">
        <f>IF(N10809="","",COUNTIFS(RawData[[Date ]],N10809,RawData[Month List],$Q$6,RawData[Tour/Site],$Q$2,RawData[[Picker ID ]],$Q$3,RawData[Checker ID],$Q$4,RawData[[Error Type ]],$Q$5))</f>
        <v/>
      </c>
    </row>
    <row r="10810" spans="15:15" x14ac:dyDescent="0.25">
      <c r="O10810" s="20" t="str">
        <f>IF(N10810="","",COUNTIFS(RawData[[Date ]],N10810,RawData[Month List],$Q$6,RawData[Tour/Site],$Q$2,RawData[[Picker ID ]],$Q$3,RawData[Checker ID],$Q$4,RawData[[Error Type ]],$Q$5))</f>
        <v/>
      </c>
    </row>
    <row r="10811" spans="15:15" x14ac:dyDescent="0.25">
      <c r="O10811" s="20" t="str">
        <f>IF(N10811="","",COUNTIFS(RawData[[Date ]],N10811,RawData[Month List],$Q$6,RawData[Tour/Site],$Q$2,RawData[[Picker ID ]],$Q$3,RawData[Checker ID],$Q$4,RawData[[Error Type ]],$Q$5))</f>
        <v/>
      </c>
    </row>
    <row r="10812" spans="15:15" x14ac:dyDescent="0.25">
      <c r="O10812" s="20" t="str">
        <f>IF(N10812="","",COUNTIFS(RawData[[Date ]],N10812,RawData[Month List],$Q$6,RawData[Tour/Site],$Q$2,RawData[[Picker ID ]],$Q$3,RawData[Checker ID],$Q$4,RawData[[Error Type ]],$Q$5))</f>
        <v/>
      </c>
    </row>
    <row r="10813" spans="15:15" x14ac:dyDescent="0.25">
      <c r="O10813" s="20" t="str">
        <f>IF(N10813="","",COUNTIFS(RawData[[Date ]],N10813,RawData[Month List],$Q$6,RawData[Tour/Site],$Q$2,RawData[[Picker ID ]],$Q$3,RawData[Checker ID],$Q$4,RawData[[Error Type ]],$Q$5))</f>
        <v/>
      </c>
    </row>
    <row r="10814" spans="15:15" x14ac:dyDescent="0.25">
      <c r="O10814" s="20" t="str">
        <f>IF(N10814="","",COUNTIFS(RawData[[Date ]],N10814,RawData[Month List],$Q$6,RawData[Tour/Site],$Q$2,RawData[[Picker ID ]],$Q$3,RawData[Checker ID],$Q$4,RawData[[Error Type ]],$Q$5))</f>
        <v/>
      </c>
    </row>
    <row r="10815" spans="15:15" x14ac:dyDescent="0.25">
      <c r="O10815" s="20" t="str">
        <f>IF(N10815="","",COUNTIFS(RawData[[Date ]],N10815,RawData[Month List],$Q$6,RawData[Tour/Site],$Q$2,RawData[[Picker ID ]],$Q$3,RawData[Checker ID],$Q$4,RawData[[Error Type ]],$Q$5))</f>
        <v/>
      </c>
    </row>
    <row r="10816" spans="15:15" x14ac:dyDescent="0.25">
      <c r="O10816" s="20" t="str">
        <f>IF(N10816="","",COUNTIFS(RawData[[Date ]],N10816,RawData[Month List],$Q$6,RawData[Tour/Site],$Q$2,RawData[[Picker ID ]],$Q$3,RawData[Checker ID],$Q$4,RawData[[Error Type ]],$Q$5))</f>
        <v/>
      </c>
    </row>
    <row r="10817" spans="15:15" x14ac:dyDescent="0.25">
      <c r="O10817" s="20" t="str">
        <f>IF(N10817="","",COUNTIFS(RawData[[Date ]],N10817,RawData[Month List],$Q$6,RawData[Tour/Site],$Q$2,RawData[[Picker ID ]],$Q$3,RawData[Checker ID],$Q$4,RawData[[Error Type ]],$Q$5))</f>
        <v/>
      </c>
    </row>
    <row r="10818" spans="15:15" x14ac:dyDescent="0.25">
      <c r="O10818" s="20" t="str">
        <f>IF(N10818="","",COUNTIFS(RawData[[Date ]],N10818,RawData[Month List],$Q$6,RawData[Tour/Site],$Q$2,RawData[[Picker ID ]],$Q$3,RawData[Checker ID],$Q$4,RawData[[Error Type ]],$Q$5))</f>
        <v/>
      </c>
    </row>
    <row r="10819" spans="15:15" x14ac:dyDescent="0.25">
      <c r="O10819" s="20" t="str">
        <f>IF(N10819="","",COUNTIFS(RawData[[Date ]],N10819,RawData[Month List],$Q$6,RawData[Tour/Site],$Q$2,RawData[[Picker ID ]],$Q$3,RawData[Checker ID],$Q$4,RawData[[Error Type ]],$Q$5))</f>
        <v/>
      </c>
    </row>
    <row r="10820" spans="15:15" x14ac:dyDescent="0.25">
      <c r="O10820" s="20" t="str">
        <f>IF(N10820="","",COUNTIFS(RawData[[Date ]],N10820,RawData[Month List],$Q$6,RawData[Tour/Site],$Q$2,RawData[[Picker ID ]],$Q$3,RawData[Checker ID],$Q$4,RawData[[Error Type ]],$Q$5))</f>
        <v/>
      </c>
    </row>
    <row r="10821" spans="15:15" x14ac:dyDescent="0.25">
      <c r="O10821" s="20" t="str">
        <f>IF(N10821="","",COUNTIFS(RawData[[Date ]],N10821,RawData[Month List],$Q$6,RawData[Tour/Site],$Q$2,RawData[[Picker ID ]],$Q$3,RawData[Checker ID],$Q$4,RawData[[Error Type ]],$Q$5))</f>
        <v/>
      </c>
    </row>
    <row r="10822" spans="15:15" x14ac:dyDescent="0.25">
      <c r="O10822" s="20" t="str">
        <f>IF(N10822="","",COUNTIFS(RawData[[Date ]],N10822,RawData[Month List],$Q$6,RawData[Tour/Site],$Q$2,RawData[[Picker ID ]],$Q$3,RawData[Checker ID],$Q$4,RawData[[Error Type ]],$Q$5))</f>
        <v/>
      </c>
    </row>
    <row r="10823" spans="15:15" x14ac:dyDescent="0.25">
      <c r="O10823" s="20" t="str">
        <f>IF(N10823="","",COUNTIFS(RawData[[Date ]],N10823,RawData[Month List],$Q$6,RawData[Tour/Site],$Q$2,RawData[[Picker ID ]],$Q$3,RawData[Checker ID],$Q$4,RawData[[Error Type ]],$Q$5))</f>
        <v/>
      </c>
    </row>
    <row r="10824" spans="15:15" x14ac:dyDescent="0.25">
      <c r="O10824" s="20" t="str">
        <f>IF(N10824="","",COUNTIFS(RawData[[Date ]],N10824,RawData[Month List],$Q$6,RawData[Tour/Site],$Q$2,RawData[[Picker ID ]],$Q$3,RawData[Checker ID],$Q$4,RawData[[Error Type ]],$Q$5))</f>
        <v/>
      </c>
    </row>
    <row r="10825" spans="15:15" x14ac:dyDescent="0.25">
      <c r="O10825" s="20" t="str">
        <f>IF(N10825="","",COUNTIFS(RawData[[Date ]],N10825,RawData[Month List],$Q$6,RawData[Tour/Site],$Q$2,RawData[[Picker ID ]],$Q$3,RawData[Checker ID],$Q$4,RawData[[Error Type ]],$Q$5))</f>
        <v/>
      </c>
    </row>
    <row r="10826" spans="15:15" x14ac:dyDescent="0.25">
      <c r="O10826" s="20" t="str">
        <f>IF(N10826="","",COUNTIFS(RawData[[Date ]],N10826,RawData[Month List],$Q$6,RawData[Tour/Site],$Q$2,RawData[[Picker ID ]],$Q$3,RawData[Checker ID],$Q$4,RawData[[Error Type ]],$Q$5))</f>
        <v/>
      </c>
    </row>
    <row r="10827" spans="15:15" x14ac:dyDescent="0.25">
      <c r="O10827" s="20" t="str">
        <f>IF(N10827="","",COUNTIFS(RawData[[Date ]],N10827,RawData[Month List],$Q$6,RawData[Tour/Site],$Q$2,RawData[[Picker ID ]],$Q$3,RawData[Checker ID],$Q$4,RawData[[Error Type ]],$Q$5))</f>
        <v/>
      </c>
    </row>
    <row r="10828" spans="15:15" x14ac:dyDescent="0.25">
      <c r="O10828" s="20" t="str">
        <f>IF(N10828="","",COUNTIFS(RawData[[Date ]],N10828,RawData[Month List],$Q$6,RawData[Tour/Site],$Q$2,RawData[[Picker ID ]],$Q$3,RawData[Checker ID],$Q$4,RawData[[Error Type ]],$Q$5))</f>
        <v/>
      </c>
    </row>
    <row r="10829" spans="15:15" x14ac:dyDescent="0.25">
      <c r="O10829" s="20" t="str">
        <f>IF(N10829="","",COUNTIFS(RawData[[Date ]],N10829,RawData[Month List],$Q$6,RawData[Tour/Site],$Q$2,RawData[[Picker ID ]],$Q$3,RawData[Checker ID],$Q$4,RawData[[Error Type ]],$Q$5))</f>
        <v/>
      </c>
    </row>
    <row r="10830" spans="15:15" x14ac:dyDescent="0.25">
      <c r="O10830" s="20" t="str">
        <f>IF(N10830="","",COUNTIFS(RawData[[Date ]],N10830,RawData[Month List],$Q$6,RawData[Tour/Site],$Q$2,RawData[[Picker ID ]],$Q$3,RawData[Checker ID],$Q$4,RawData[[Error Type ]],$Q$5))</f>
        <v/>
      </c>
    </row>
    <row r="10831" spans="15:15" x14ac:dyDescent="0.25">
      <c r="O10831" s="20" t="str">
        <f>IF(N10831="","",COUNTIFS(RawData[[Date ]],N10831,RawData[Month List],$Q$6,RawData[Tour/Site],$Q$2,RawData[[Picker ID ]],$Q$3,RawData[Checker ID],$Q$4,RawData[[Error Type ]],$Q$5))</f>
        <v/>
      </c>
    </row>
    <row r="10832" spans="15:15" x14ac:dyDescent="0.25">
      <c r="O10832" s="20" t="str">
        <f>IF(N10832="","",COUNTIFS(RawData[[Date ]],N10832,RawData[Month List],$Q$6,RawData[Tour/Site],$Q$2,RawData[[Picker ID ]],$Q$3,RawData[Checker ID],$Q$4,RawData[[Error Type ]],$Q$5))</f>
        <v/>
      </c>
    </row>
    <row r="10833" spans="15:15" x14ac:dyDescent="0.25">
      <c r="O10833" s="20" t="str">
        <f>IF(N10833="","",COUNTIFS(RawData[[Date ]],N10833,RawData[Month List],$Q$6,RawData[Tour/Site],$Q$2,RawData[[Picker ID ]],$Q$3,RawData[Checker ID],$Q$4,RawData[[Error Type ]],$Q$5))</f>
        <v/>
      </c>
    </row>
    <row r="10834" spans="15:15" x14ac:dyDescent="0.25">
      <c r="O10834" s="20" t="str">
        <f>IF(N10834="","",COUNTIFS(RawData[[Date ]],N10834,RawData[Month List],$Q$6,RawData[Tour/Site],$Q$2,RawData[[Picker ID ]],$Q$3,RawData[Checker ID],$Q$4,RawData[[Error Type ]],$Q$5))</f>
        <v/>
      </c>
    </row>
    <row r="10835" spans="15:15" x14ac:dyDescent="0.25">
      <c r="O10835" s="20" t="str">
        <f>IF(N10835="","",COUNTIFS(RawData[[Date ]],N10835,RawData[Month List],$Q$6,RawData[Tour/Site],$Q$2,RawData[[Picker ID ]],$Q$3,RawData[Checker ID],$Q$4,RawData[[Error Type ]],$Q$5))</f>
        <v/>
      </c>
    </row>
    <row r="10836" spans="15:15" x14ac:dyDescent="0.25">
      <c r="O10836" s="20" t="str">
        <f>IF(N10836="","",COUNTIFS(RawData[[Date ]],N10836,RawData[Month List],$Q$6,RawData[Tour/Site],$Q$2,RawData[[Picker ID ]],$Q$3,RawData[Checker ID],$Q$4,RawData[[Error Type ]],$Q$5))</f>
        <v/>
      </c>
    </row>
    <row r="10837" spans="15:15" x14ac:dyDescent="0.25">
      <c r="O10837" s="20" t="str">
        <f>IF(N10837="","",COUNTIFS(RawData[[Date ]],N10837,RawData[Month List],$Q$6,RawData[Tour/Site],$Q$2,RawData[[Picker ID ]],$Q$3,RawData[Checker ID],$Q$4,RawData[[Error Type ]],$Q$5))</f>
        <v/>
      </c>
    </row>
    <row r="10838" spans="15:15" x14ac:dyDescent="0.25">
      <c r="O10838" s="20" t="str">
        <f>IF(N10838="","",COUNTIFS(RawData[[Date ]],N10838,RawData[Month List],$Q$6,RawData[Tour/Site],$Q$2,RawData[[Picker ID ]],$Q$3,RawData[Checker ID],$Q$4,RawData[[Error Type ]],$Q$5))</f>
        <v/>
      </c>
    </row>
    <row r="10839" spans="15:15" x14ac:dyDescent="0.25">
      <c r="O10839" s="20" t="str">
        <f>IF(N10839="","",COUNTIFS(RawData[[Date ]],N10839,RawData[Month List],$Q$6,RawData[Tour/Site],$Q$2,RawData[[Picker ID ]],$Q$3,RawData[Checker ID],$Q$4,RawData[[Error Type ]],$Q$5))</f>
        <v/>
      </c>
    </row>
    <row r="10840" spans="15:15" x14ac:dyDescent="0.25">
      <c r="O10840" s="20" t="str">
        <f>IF(N10840="","",COUNTIFS(RawData[[Date ]],N10840,RawData[Month List],$Q$6,RawData[Tour/Site],$Q$2,RawData[[Picker ID ]],$Q$3,RawData[Checker ID],$Q$4,RawData[[Error Type ]],$Q$5))</f>
        <v/>
      </c>
    </row>
    <row r="10841" spans="15:15" x14ac:dyDescent="0.25">
      <c r="O10841" s="20" t="str">
        <f>IF(N10841="","",COUNTIFS(RawData[[Date ]],N10841,RawData[Month List],$Q$6,RawData[Tour/Site],$Q$2,RawData[[Picker ID ]],$Q$3,RawData[Checker ID],$Q$4,RawData[[Error Type ]],$Q$5))</f>
        <v/>
      </c>
    </row>
    <row r="10842" spans="15:15" x14ac:dyDescent="0.25">
      <c r="O10842" s="20" t="str">
        <f>IF(N10842="","",COUNTIFS(RawData[[Date ]],N10842,RawData[Month List],$Q$6,RawData[Tour/Site],$Q$2,RawData[[Picker ID ]],$Q$3,RawData[Checker ID],$Q$4,RawData[[Error Type ]],$Q$5))</f>
        <v/>
      </c>
    </row>
    <row r="10843" spans="15:15" x14ac:dyDescent="0.25">
      <c r="O10843" s="20" t="str">
        <f>IF(N10843="","",COUNTIFS(RawData[[Date ]],N10843,RawData[Month List],$Q$6,RawData[Tour/Site],$Q$2,RawData[[Picker ID ]],$Q$3,RawData[Checker ID],$Q$4,RawData[[Error Type ]],$Q$5))</f>
        <v/>
      </c>
    </row>
    <row r="10844" spans="15:15" x14ac:dyDescent="0.25">
      <c r="O10844" s="20" t="str">
        <f>IF(N10844="","",COUNTIFS(RawData[[Date ]],N10844,RawData[Month List],$Q$6,RawData[Tour/Site],$Q$2,RawData[[Picker ID ]],$Q$3,RawData[Checker ID],$Q$4,RawData[[Error Type ]],$Q$5))</f>
        <v/>
      </c>
    </row>
    <row r="10845" spans="15:15" x14ac:dyDescent="0.25">
      <c r="O10845" s="20" t="str">
        <f>IF(N10845="","",COUNTIFS(RawData[[Date ]],N10845,RawData[Month List],$Q$6,RawData[Tour/Site],$Q$2,RawData[[Picker ID ]],$Q$3,RawData[Checker ID],$Q$4,RawData[[Error Type ]],$Q$5))</f>
        <v/>
      </c>
    </row>
    <row r="10846" spans="15:15" x14ac:dyDescent="0.25">
      <c r="O10846" s="20" t="str">
        <f>IF(N10846="","",COUNTIFS(RawData[[Date ]],N10846,RawData[Month List],$Q$6,RawData[Tour/Site],$Q$2,RawData[[Picker ID ]],$Q$3,RawData[Checker ID],$Q$4,RawData[[Error Type ]],$Q$5))</f>
        <v/>
      </c>
    </row>
    <row r="10847" spans="15:15" x14ac:dyDescent="0.25">
      <c r="O10847" s="20" t="str">
        <f>IF(N10847="","",COUNTIFS(RawData[[Date ]],N10847,RawData[Month List],$Q$6,RawData[Tour/Site],$Q$2,RawData[[Picker ID ]],$Q$3,RawData[Checker ID],$Q$4,RawData[[Error Type ]],$Q$5))</f>
        <v/>
      </c>
    </row>
    <row r="10848" spans="15:15" x14ac:dyDescent="0.25">
      <c r="O10848" s="20" t="str">
        <f>IF(N10848="","",COUNTIFS(RawData[[Date ]],N10848,RawData[Month List],$Q$6,RawData[Tour/Site],$Q$2,RawData[[Picker ID ]],$Q$3,RawData[Checker ID],$Q$4,RawData[[Error Type ]],$Q$5))</f>
        <v/>
      </c>
    </row>
    <row r="10849" spans="15:15" x14ac:dyDescent="0.25">
      <c r="O10849" s="20" t="str">
        <f>IF(N10849="","",COUNTIFS(RawData[[Date ]],N10849,RawData[Month List],$Q$6,RawData[Tour/Site],$Q$2,RawData[[Picker ID ]],$Q$3,RawData[Checker ID],$Q$4,RawData[[Error Type ]],$Q$5))</f>
        <v/>
      </c>
    </row>
    <row r="10850" spans="15:15" x14ac:dyDescent="0.25">
      <c r="O10850" s="20" t="str">
        <f>IF(N10850="","",COUNTIFS(RawData[[Date ]],N10850,RawData[Month List],$Q$6,RawData[Tour/Site],$Q$2,RawData[[Picker ID ]],$Q$3,RawData[Checker ID],$Q$4,RawData[[Error Type ]],$Q$5))</f>
        <v/>
      </c>
    </row>
    <row r="10851" spans="15:15" x14ac:dyDescent="0.25">
      <c r="O10851" s="20" t="str">
        <f>IF(N10851="","",COUNTIFS(RawData[[Date ]],N10851,RawData[Month List],$Q$6,RawData[Tour/Site],$Q$2,RawData[[Picker ID ]],$Q$3,RawData[Checker ID],$Q$4,RawData[[Error Type ]],$Q$5))</f>
        <v/>
      </c>
    </row>
    <row r="10852" spans="15:15" x14ac:dyDescent="0.25">
      <c r="O10852" s="20" t="str">
        <f>IF(N10852="","",COUNTIFS(RawData[[Date ]],N10852,RawData[Month List],$Q$6,RawData[Tour/Site],$Q$2,RawData[[Picker ID ]],$Q$3,RawData[Checker ID],$Q$4,RawData[[Error Type ]],$Q$5))</f>
        <v/>
      </c>
    </row>
    <row r="10853" spans="15:15" x14ac:dyDescent="0.25">
      <c r="O10853" s="20" t="str">
        <f>IF(N10853="","",COUNTIFS(RawData[[Date ]],N10853,RawData[Month List],$Q$6,RawData[Tour/Site],$Q$2,RawData[[Picker ID ]],$Q$3,RawData[Checker ID],$Q$4,RawData[[Error Type ]],$Q$5))</f>
        <v/>
      </c>
    </row>
    <row r="10854" spans="15:15" x14ac:dyDescent="0.25">
      <c r="O10854" s="20" t="str">
        <f>IF(N10854="","",COUNTIFS(RawData[[Date ]],N10854,RawData[Month List],$Q$6,RawData[Tour/Site],$Q$2,RawData[[Picker ID ]],$Q$3,RawData[Checker ID],$Q$4,RawData[[Error Type ]],$Q$5))</f>
        <v/>
      </c>
    </row>
    <row r="10855" spans="15:15" x14ac:dyDescent="0.25">
      <c r="O10855" s="20" t="str">
        <f>IF(N10855="","",COUNTIFS(RawData[[Date ]],N10855,RawData[Month List],$Q$6,RawData[Tour/Site],$Q$2,RawData[[Picker ID ]],$Q$3,RawData[Checker ID],$Q$4,RawData[[Error Type ]],$Q$5))</f>
        <v/>
      </c>
    </row>
    <row r="10856" spans="15:15" x14ac:dyDescent="0.25">
      <c r="O10856" s="20" t="str">
        <f>IF(N10856="","",COUNTIFS(RawData[[Date ]],N10856,RawData[Month List],$Q$6,RawData[Tour/Site],$Q$2,RawData[[Picker ID ]],$Q$3,RawData[Checker ID],$Q$4,RawData[[Error Type ]],$Q$5))</f>
        <v/>
      </c>
    </row>
    <row r="10857" spans="15:15" x14ac:dyDescent="0.25">
      <c r="O10857" s="20" t="str">
        <f>IF(N10857="","",COUNTIFS(RawData[[Date ]],N10857,RawData[Month List],$Q$6,RawData[Tour/Site],$Q$2,RawData[[Picker ID ]],$Q$3,RawData[Checker ID],$Q$4,RawData[[Error Type ]],$Q$5))</f>
        <v/>
      </c>
    </row>
    <row r="10858" spans="15:15" x14ac:dyDescent="0.25">
      <c r="O10858" s="20" t="str">
        <f>IF(N10858="","",COUNTIFS(RawData[[Date ]],N10858,RawData[Month List],$Q$6,RawData[Tour/Site],$Q$2,RawData[[Picker ID ]],$Q$3,RawData[Checker ID],$Q$4,RawData[[Error Type ]],$Q$5))</f>
        <v/>
      </c>
    </row>
    <row r="10859" spans="15:15" x14ac:dyDescent="0.25">
      <c r="O10859" s="20" t="str">
        <f>IF(N10859="","",COUNTIFS(RawData[[Date ]],N10859,RawData[Month List],$Q$6,RawData[Tour/Site],$Q$2,RawData[[Picker ID ]],$Q$3,RawData[Checker ID],$Q$4,RawData[[Error Type ]],$Q$5))</f>
        <v/>
      </c>
    </row>
    <row r="10860" spans="15:15" x14ac:dyDescent="0.25">
      <c r="O10860" s="20" t="str">
        <f>IF(N10860="","",COUNTIFS(RawData[[Date ]],N10860,RawData[Month List],$Q$6,RawData[Tour/Site],$Q$2,RawData[[Picker ID ]],$Q$3,RawData[Checker ID],$Q$4,RawData[[Error Type ]],$Q$5))</f>
        <v/>
      </c>
    </row>
    <row r="10861" spans="15:15" x14ac:dyDescent="0.25">
      <c r="O10861" s="20" t="str">
        <f>IF(N10861="","",COUNTIFS(RawData[[Date ]],N10861,RawData[Month List],$Q$6,RawData[Tour/Site],$Q$2,RawData[[Picker ID ]],$Q$3,RawData[Checker ID],$Q$4,RawData[[Error Type ]],$Q$5))</f>
        <v/>
      </c>
    </row>
    <row r="10862" spans="15:15" x14ac:dyDescent="0.25">
      <c r="O10862" s="20" t="str">
        <f>IF(N10862="","",COUNTIFS(RawData[[Date ]],N10862,RawData[Month List],$Q$6,RawData[Tour/Site],$Q$2,RawData[[Picker ID ]],$Q$3,RawData[Checker ID],$Q$4,RawData[[Error Type ]],$Q$5))</f>
        <v/>
      </c>
    </row>
    <row r="10863" spans="15:15" x14ac:dyDescent="0.25">
      <c r="O10863" s="20" t="str">
        <f>IF(N10863="","",COUNTIFS(RawData[[Date ]],N10863,RawData[Month List],$Q$6,RawData[Tour/Site],$Q$2,RawData[[Picker ID ]],$Q$3,RawData[Checker ID],$Q$4,RawData[[Error Type ]],$Q$5))</f>
        <v/>
      </c>
    </row>
    <row r="10864" spans="15:15" x14ac:dyDescent="0.25">
      <c r="O10864" s="20" t="str">
        <f>IF(N10864="","",COUNTIFS(RawData[[Date ]],N10864,RawData[Month List],$Q$6,RawData[Tour/Site],$Q$2,RawData[[Picker ID ]],$Q$3,RawData[Checker ID],$Q$4,RawData[[Error Type ]],$Q$5))</f>
        <v/>
      </c>
    </row>
    <row r="10865" spans="15:15" x14ac:dyDescent="0.25">
      <c r="O10865" s="20" t="str">
        <f>IF(N10865="","",COUNTIFS(RawData[[Date ]],N10865,RawData[Month List],$Q$6,RawData[Tour/Site],$Q$2,RawData[[Picker ID ]],$Q$3,RawData[Checker ID],$Q$4,RawData[[Error Type ]],$Q$5))</f>
        <v/>
      </c>
    </row>
    <row r="10866" spans="15:15" x14ac:dyDescent="0.25">
      <c r="O10866" s="20" t="str">
        <f>IF(N10866="","",COUNTIFS(RawData[[Date ]],N10866,RawData[Month List],$Q$6,RawData[Tour/Site],$Q$2,RawData[[Picker ID ]],$Q$3,RawData[Checker ID],$Q$4,RawData[[Error Type ]],$Q$5))</f>
        <v/>
      </c>
    </row>
    <row r="10867" spans="15:15" x14ac:dyDescent="0.25">
      <c r="O10867" s="20" t="str">
        <f>IF(N10867="","",COUNTIFS(RawData[[Date ]],N10867,RawData[Month List],$Q$6,RawData[Tour/Site],$Q$2,RawData[[Picker ID ]],$Q$3,RawData[Checker ID],$Q$4,RawData[[Error Type ]],$Q$5))</f>
        <v/>
      </c>
    </row>
    <row r="10868" spans="15:15" x14ac:dyDescent="0.25">
      <c r="O10868" s="20" t="str">
        <f>IF(N10868="","",COUNTIFS(RawData[[Date ]],N10868,RawData[Month List],$Q$6,RawData[Tour/Site],$Q$2,RawData[[Picker ID ]],$Q$3,RawData[Checker ID],$Q$4,RawData[[Error Type ]],$Q$5))</f>
        <v/>
      </c>
    </row>
    <row r="10869" spans="15:15" x14ac:dyDescent="0.25">
      <c r="O10869" s="20" t="str">
        <f>IF(N10869="","",COUNTIFS(RawData[[Date ]],N10869,RawData[Month List],$Q$6,RawData[Tour/Site],$Q$2,RawData[[Picker ID ]],$Q$3,RawData[Checker ID],$Q$4,RawData[[Error Type ]],$Q$5))</f>
        <v/>
      </c>
    </row>
    <row r="10870" spans="15:15" x14ac:dyDescent="0.25">
      <c r="O10870" s="20" t="str">
        <f>IF(N10870="","",COUNTIFS(RawData[[Date ]],N10870,RawData[Month List],$Q$6,RawData[Tour/Site],$Q$2,RawData[[Picker ID ]],$Q$3,RawData[Checker ID],$Q$4,RawData[[Error Type ]],$Q$5))</f>
        <v/>
      </c>
    </row>
    <row r="10871" spans="15:15" x14ac:dyDescent="0.25">
      <c r="O10871" s="20" t="str">
        <f>IF(N10871="","",COUNTIFS(RawData[[Date ]],N10871,RawData[Month List],$Q$6,RawData[Tour/Site],$Q$2,RawData[[Picker ID ]],$Q$3,RawData[Checker ID],$Q$4,RawData[[Error Type ]],$Q$5))</f>
        <v/>
      </c>
    </row>
    <row r="10872" spans="15:15" x14ac:dyDescent="0.25">
      <c r="O10872" s="20" t="str">
        <f>IF(N10872="","",COUNTIFS(RawData[[Date ]],N10872,RawData[Month List],$Q$6,RawData[Tour/Site],$Q$2,RawData[[Picker ID ]],$Q$3,RawData[Checker ID],$Q$4,RawData[[Error Type ]],$Q$5))</f>
        <v/>
      </c>
    </row>
    <row r="10873" spans="15:15" x14ac:dyDescent="0.25">
      <c r="O10873" s="20" t="str">
        <f>IF(N10873="","",COUNTIFS(RawData[[Date ]],N10873,RawData[Month List],$Q$6,RawData[Tour/Site],$Q$2,RawData[[Picker ID ]],$Q$3,RawData[Checker ID],$Q$4,RawData[[Error Type ]],$Q$5))</f>
        <v/>
      </c>
    </row>
    <row r="10874" spans="15:15" x14ac:dyDescent="0.25">
      <c r="O10874" s="20" t="str">
        <f>IF(N10874="","",COUNTIFS(RawData[[Date ]],N10874,RawData[Month List],$Q$6,RawData[Tour/Site],$Q$2,RawData[[Picker ID ]],$Q$3,RawData[Checker ID],$Q$4,RawData[[Error Type ]],$Q$5))</f>
        <v/>
      </c>
    </row>
    <row r="10875" spans="15:15" x14ac:dyDescent="0.25">
      <c r="O10875" s="20" t="str">
        <f>IF(N10875="","",COUNTIFS(RawData[[Date ]],N10875,RawData[Month List],$Q$6,RawData[Tour/Site],$Q$2,RawData[[Picker ID ]],$Q$3,RawData[Checker ID],$Q$4,RawData[[Error Type ]],$Q$5))</f>
        <v/>
      </c>
    </row>
    <row r="10876" spans="15:15" x14ac:dyDescent="0.25">
      <c r="O10876" s="20" t="str">
        <f>IF(N10876="","",COUNTIFS(RawData[[Date ]],N10876,RawData[Month List],$Q$6,RawData[Tour/Site],$Q$2,RawData[[Picker ID ]],$Q$3,RawData[Checker ID],$Q$4,RawData[[Error Type ]],$Q$5))</f>
        <v/>
      </c>
    </row>
    <row r="10877" spans="15:15" x14ac:dyDescent="0.25">
      <c r="O10877" s="20" t="str">
        <f>IF(N10877="","",COUNTIFS(RawData[[Date ]],N10877,RawData[Month List],$Q$6,RawData[Tour/Site],$Q$2,RawData[[Picker ID ]],$Q$3,RawData[Checker ID],$Q$4,RawData[[Error Type ]],$Q$5))</f>
        <v/>
      </c>
    </row>
    <row r="10878" spans="15:15" x14ac:dyDescent="0.25">
      <c r="O10878" s="20" t="str">
        <f>IF(N10878="","",COUNTIFS(RawData[[Date ]],N10878,RawData[Month List],$Q$6,RawData[Tour/Site],$Q$2,RawData[[Picker ID ]],$Q$3,RawData[Checker ID],$Q$4,RawData[[Error Type ]],$Q$5))</f>
        <v/>
      </c>
    </row>
    <row r="10879" spans="15:15" x14ac:dyDescent="0.25">
      <c r="O10879" s="20" t="str">
        <f>IF(N10879="","",COUNTIFS(RawData[[Date ]],N10879,RawData[Month List],$Q$6,RawData[Tour/Site],$Q$2,RawData[[Picker ID ]],$Q$3,RawData[Checker ID],$Q$4,RawData[[Error Type ]],$Q$5))</f>
        <v/>
      </c>
    </row>
    <row r="10880" spans="15:15" x14ac:dyDescent="0.25">
      <c r="O10880" s="20" t="str">
        <f>IF(N10880="","",COUNTIFS(RawData[[Date ]],N10880,RawData[Month List],$Q$6,RawData[Tour/Site],$Q$2,RawData[[Picker ID ]],$Q$3,RawData[Checker ID],$Q$4,RawData[[Error Type ]],$Q$5))</f>
        <v/>
      </c>
    </row>
    <row r="10881" spans="15:15" x14ac:dyDescent="0.25">
      <c r="O10881" s="20" t="str">
        <f>IF(N10881="","",COUNTIFS(RawData[[Date ]],N10881,RawData[Month List],$Q$6,RawData[Tour/Site],$Q$2,RawData[[Picker ID ]],$Q$3,RawData[Checker ID],$Q$4,RawData[[Error Type ]],$Q$5))</f>
        <v/>
      </c>
    </row>
    <row r="10882" spans="15:15" x14ac:dyDescent="0.25">
      <c r="O10882" s="20" t="str">
        <f>IF(N10882="","",COUNTIFS(RawData[[Date ]],N10882,RawData[Month List],$Q$6,RawData[Tour/Site],$Q$2,RawData[[Picker ID ]],$Q$3,RawData[Checker ID],$Q$4,RawData[[Error Type ]],$Q$5))</f>
        <v/>
      </c>
    </row>
    <row r="10883" spans="15:15" x14ac:dyDescent="0.25">
      <c r="O10883" s="20" t="str">
        <f>IF(N10883="","",COUNTIFS(RawData[[Date ]],N10883,RawData[Month List],$Q$6,RawData[Tour/Site],$Q$2,RawData[[Picker ID ]],$Q$3,RawData[Checker ID],$Q$4,RawData[[Error Type ]],$Q$5))</f>
        <v/>
      </c>
    </row>
    <row r="10884" spans="15:15" x14ac:dyDescent="0.25">
      <c r="O10884" s="20" t="str">
        <f>IF(N10884="","",COUNTIFS(RawData[[Date ]],N10884,RawData[Month List],$Q$6,RawData[Tour/Site],$Q$2,RawData[[Picker ID ]],$Q$3,RawData[Checker ID],$Q$4,RawData[[Error Type ]],$Q$5))</f>
        <v/>
      </c>
    </row>
    <row r="10885" spans="15:15" x14ac:dyDescent="0.25">
      <c r="O10885" s="20" t="str">
        <f>IF(N10885="","",COUNTIFS(RawData[[Date ]],N10885,RawData[Month List],$Q$6,RawData[Tour/Site],$Q$2,RawData[[Picker ID ]],$Q$3,RawData[Checker ID],$Q$4,RawData[[Error Type ]],$Q$5))</f>
        <v/>
      </c>
    </row>
    <row r="10886" spans="15:15" x14ac:dyDescent="0.25">
      <c r="O10886" s="20" t="str">
        <f>IF(N10886="","",COUNTIFS(RawData[[Date ]],N10886,RawData[Month List],$Q$6,RawData[Tour/Site],$Q$2,RawData[[Picker ID ]],$Q$3,RawData[Checker ID],$Q$4,RawData[[Error Type ]],$Q$5))</f>
        <v/>
      </c>
    </row>
    <row r="10887" spans="15:15" x14ac:dyDescent="0.25">
      <c r="O10887" s="20" t="str">
        <f>IF(N10887="","",COUNTIFS(RawData[[Date ]],N10887,RawData[Month List],$Q$6,RawData[Tour/Site],$Q$2,RawData[[Picker ID ]],$Q$3,RawData[Checker ID],$Q$4,RawData[[Error Type ]],$Q$5))</f>
        <v/>
      </c>
    </row>
    <row r="10888" spans="15:15" x14ac:dyDescent="0.25">
      <c r="O10888" s="20" t="str">
        <f>IF(N10888="","",COUNTIFS(RawData[[Date ]],N10888,RawData[Month List],$Q$6,RawData[Tour/Site],$Q$2,RawData[[Picker ID ]],$Q$3,RawData[Checker ID],$Q$4,RawData[[Error Type ]],$Q$5))</f>
        <v/>
      </c>
    </row>
    <row r="10889" spans="15:15" x14ac:dyDescent="0.25">
      <c r="O10889" s="20" t="str">
        <f>IF(N10889="","",COUNTIFS(RawData[[Date ]],N10889,RawData[Month List],$Q$6,RawData[Tour/Site],$Q$2,RawData[[Picker ID ]],$Q$3,RawData[Checker ID],$Q$4,RawData[[Error Type ]],$Q$5))</f>
        <v/>
      </c>
    </row>
    <row r="10890" spans="15:15" x14ac:dyDescent="0.25">
      <c r="O10890" s="20" t="str">
        <f>IF(N10890="","",COUNTIFS(RawData[[Date ]],N10890,RawData[Month List],$Q$6,RawData[Tour/Site],$Q$2,RawData[[Picker ID ]],$Q$3,RawData[Checker ID],$Q$4,RawData[[Error Type ]],$Q$5))</f>
        <v/>
      </c>
    </row>
    <row r="10891" spans="15:15" x14ac:dyDescent="0.25">
      <c r="O10891" s="20" t="str">
        <f>IF(N10891="","",COUNTIFS(RawData[[Date ]],N10891,RawData[Month List],$Q$6,RawData[Tour/Site],$Q$2,RawData[[Picker ID ]],$Q$3,RawData[Checker ID],$Q$4,RawData[[Error Type ]],$Q$5))</f>
        <v/>
      </c>
    </row>
    <row r="10892" spans="15:15" x14ac:dyDescent="0.25">
      <c r="O10892" s="20" t="str">
        <f>IF(N10892="","",COUNTIFS(RawData[[Date ]],N10892,RawData[Month List],$Q$6,RawData[Tour/Site],$Q$2,RawData[[Picker ID ]],$Q$3,RawData[Checker ID],$Q$4,RawData[[Error Type ]],$Q$5))</f>
        <v/>
      </c>
    </row>
    <row r="10893" spans="15:15" x14ac:dyDescent="0.25">
      <c r="O10893" s="20" t="str">
        <f>IF(N10893="","",COUNTIFS(RawData[[Date ]],N10893,RawData[Month List],$Q$6,RawData[Tour/Site],$Q$2,RawData[[Picker ID ]],$Q$3,RawData[Checker ID],$Q$4,RawData[[Error Type ]],$Q$5))</f>
        <v/>
      </c>
    </row>
    <row r="10894" spans="15:15" x14ac:dyDescent="0.25">
      <c r="O10894" s="20" t="str">
        <f>IF(N10894="","",COUNTIFS(RawData[[Date ]],N10894,RawData[Month List],$Q$6,RawData[Tour/Site],$Q$2,RawData[[Picker ID ]],$Q$3,RawData[Checker ID],$Q$4,RawData[[Error Type ]],$Q$5))</f>
        <v/>
      </c>
    </row>
    <row r="10895" spans="15:15" x14ac:dyDescent="0.25">
      <c r="O10895" s="20" t="str">
        <f>IF(N10895="","",COUNTIFS(RawData[[Date ]],N10895,RawData[Month List],$Q$6,RawData[Tour/Site],$Q$2,RawData[[Picker ID ]],$Q$3,RawData[Checker ID],$Q$4,RawData[[Error Type ]],$Q$5))</f>
        <v/>
      </c>
    </row>
    <row r="10896" spans="15:15" x14ac:dyDescent="0.25">
      <c r="O10896" s="20" t="str">
        <f>IF(N10896="","",COUNTIFS(RawData[[Date ]],N10896,RawData[Month List],$Q$6,RawData[Tour/Site],$Q$2,RawData[[Picker ID ]],$Q$3,RawData[Checker ID],$Q$4,RawData[[Error Type ]],$Q$5))</f>
        <v/>
      </c>
    </row>
    <row r="10897" spans="15:15" x14ac:dyDescent="0.25">
      <c r="O10897" s="20" t="str">
        <f>IF(N10897="","",COUNTIFS(RawData[[Date ]],N10897,RawData[Month List],$Q$6,RawData[Tour/Site],$Q$2,RawData[[Picker ID ]],$Q$3,RawData[Checker ID],$Q$4,RawData[[Error Type ]],$Q$5))</f>
        <v/>
      </c>
    </row>
    <row r="10898" spans="15:15" x14ac:dyDescent="0.25">
      <c r="O10898" s="20" t="str">
        <f>IF(N10898="","",COUNTIFS(RawData[[Date ]],N10898,RawData[Month List],$Q$6,RawData[Tour/Site],$Q$2,RawData[[Picker ID ]],$Q$3,RawData[Checker ID],$Q$4,RawData[[Error Type ]],$Q$5))</f>
        <v/>
      </c>
    </row>
    <row r="10899" spans="15:15" x14ac:dyDescent="0.25">
      <c r="O10899" s="20" t="str">
        <f>IF(N10899="","",COUNTIFS(RawData[[Date ]],N10899,RawData[Month List],$Q$6,RawData[Tour/Site],$Q$2,RawData[[Picker ID ]],$Q$3,RawData[Checker ID],$Q$4,RawData[[Error Type ]],$Q$5))</f>
        <v/>
      </c>
    </row>
    <row r="10900" spans="15:15" x14ac:dyDescent="0.25">
      <c r="O10900" s="20" t="str">
        <f>IF(N10900="","",COUNTIFS(RawData[[Date ]],N10900,RawData[Month List],$Q$6,RawData[Tour/Site],$Q$2,RawData[[Picker ID ]],$Q$3,RawData[Checker ID],$Q$4,RawData[[Error Type ]],$Q$5))</f>
        <v/>
      </c>
    </row>
    <row r="10901" spans="15:15" x14ac:dyDescent="0.25">
      <c r="O10901" s="20" t="str">
        <f>IF(N10901="","",COUNTIFS(RawData[[Date ]],N10901,RawData[Month List],$Q$6,RawData[Tour/Site],$Q$2,RawData[[Picker ID ]],$Q$3,RawData[Checker ID],$Q$4,RawData[[Error Type ]],$Q$5))</f>
        <v/>
      </c>
    </row>
    <row r="10902" spans="15:15" x14ac:dyDescent="0.25">
      <c r="O10902" s="20" t="str">
        <f>IF(N10902="","",COUNTIFS(RawData[[Date ]],N10902,RawData[Month List],$Q$6,RawData[Tour/Site],$Q$2,RawData[[Picker ID ]],$Q$3,RawData[Checker ID],$Q$4,RawData[[Error Type ]],$Q$5))</f>
        <v/>
      </c>
    </row>
    <row r="10903" spans="15:15" x14ac:dyDescent="0.25">
      <c r="O10903" s="20" t="str">
        <f>IF(N10903="","",COUNTIFS(RawData[[Date ]],N10903,RawData[Month List],$Q$6,RawData[Tour/Site],$Q$2,RawData[[Picker ID ]],$Q$3,RawData[Checker ID],$Q$4,RawData[[Error Type ]],$Q$5))</f>
        <v/>
      </c>
    </row>
    <row r="10904" spans="15:15" x14ac:dyDescent="0.25">
      <c r="O10904" s="20" t="str">
        <f>IF(N10904="","",COUNTIFS(RawData[[Date ]],N10904,RawData[Month List],$Q$6,RawData[Tour/Site],$Q$2,RawData[[Picker ID ]],$Q$3,RawData[Checker ID],$Q$4,RawData[[Error Type ]],$Q$5))</f>
        <v/>
      </c>
    </row>
    <row r="10905" spans="15:15" x14ac:dyDescent="0.25">
      <c r="O10905" s="20" t="str">
        <f>IF(N10905="","",COUNTIFS(RawData[[Date ]],N10905,RawData[Month List],$Q$6,RawData[Tour/Site],$Q$2,RawData[[Picker ID ]],$Q$3,RawData[Checker ID],$Q$4,RawData[[Error Type ]],$Q$5))</f>
        <v/>
      </c>
    </row>
    <row r="10906" spans="15:15" x14ac:dyDescent="0.25">
      <c r="O10906" s="20" t="str">
        <f>IF(N10906="","",COUNTIFS(RawData[[Date ]],N10906,RawData[Month List],$Q$6,RawData[Tour/Site],$Q$2,RawData[[Picker ID ]],$Q$3,RawData[Checker ID],$Q$4,RawData[[Error Type ]],$Q$5))</f>
        <v/>
      </c>
    </row>
    <row r="10907" spans="15:15" x14ac:dyDescent="0.25">
      <c r="O10907" s="20" t="str">
        <f>IF(N10907="","",COUNTIFS(RawData[[Date ]],N10907,RawData[Month List],$Q$6,RawData[Tour/Site],$Q$2,RawData[[Picker ID ]],$Q$3,RawData[Checker ID],$Q$4,RawData[[Error Type ]],$Q$5))</f>
        <v/>
      </c>
    </row>
    <row r="10908" spans="15:15" x14ac:dyDescent="0.25">
      <c r="O10908" s="20" t="str">
        <f>IF(N10908="","",COUNTIFS(RawData[[Date ]],N10908,RawData[Month List],$Q$6,RawData[Tour/Site],$Q$2,RawData[[Picker ID ]],$Q$3,RawData[Checker ID],$Q$4,RawData[[Error Type ]],$Q$5))</f>
        <v/>
      </c>
    </row>
    <row r="10909" spans="15:15" x14ac:dyDescent="0.25">
      <c r="O10909" s="20" t="str">
        <f>IF(N10909="","",COUNTIFS(RawData[[Date ]],N10909,RawData[Month List],$Q$6,RawData[Tour/Site],$Q$2,RawData[[Picker ID ]],$Q$3,RawData[Checker ID],$Q$4,RawData[[Error Type ]],$Q$5))</f>
        <v/>
      </c>
    </row>
    <row r="10910" spans="15:15" x14ac:dyDescent="0.25">
      <c r="O10910" s="20" t="str">
        <f>IF(N10910="","",COUNTIFS(RawData[[Date ]],N10910,RawData[Month List],$Q$6,RawData[Tour/Site],$Q$2,RawData[[Picker ID ]],$Q$3,RawData[Checker ID],$Q$4,RawData[[Error Type ]],$Q$5))</f>
        <v/>
      </c>
    </row>
    <row r="10911" spans="15:15" x14ac:dyDescent="0.25">
      <c r="O10911" s="20" t="str">
        <f>IF(N10911="","",COUNTIFS(RawData[[Date ]],N10911,RawData[Month List],$Q$6,RawData[Tour/Site],$Q$2,RawData[[Picker ID ]],$Q$3,RawData[Checker ID],$Q$4,RawData[[Error Type ]],$Q$5))</f>
        <v/>
      </c>
    </row>
    <row r="10912" spans="15:15" x14ac:dyDescent="0.25">
      <c r="O10912" s="20" t="str">
        <f>IF(N10912="","",COUNTIFS(RawData[[Date ]],N10912,RawData[Month List],$Q$6,RawData[Tour/Site],$Q$2,RawData[[Picker ID ]],$Q$3,RawData[Checker ID],$Q$4,RawData[[Error Type ]],$Q$5))</f>
        <v/>
      </c>
    </row>
    <row r="10913" spans="15:15" x14ac:dyDescent="0.25">
      <c r="O10913" s="20" t="str">
        <f>IF(N10913="","",COUNTIFS(RawData[[Date ]],N10913,RawData[Month List],$Q$6,RawData[Tour/Site],$Q$2,RawData[[Picker ID ]],$Q$3,RawData[Checker ID],$Q$4,RawData[[Error Type ]],$Q$5))</f>
        <v/>
      </c>
    </row>
    <row r="10914" spans="15:15" x14ac:dyDescent="0.25">
      <c r="O10914" s="20" t="str">
        <f>IF(N10914="","",COUNTIFS(RawData[[Date ]],N10914,RawData[Month List],$Q$6,RawData[Tour/Site],$Q$2,RawData[[Picker ID ]],$Q$3,RawData[Checker ID],$Q$4,RawData[[Error Type ]],$Q$5))</f>
        <v/>
      </c>
    </row>
    <row r="10915" spans="15:15" x14ac:dyDescent="0.25">
      <c r="O10915" s="20" t="str">
        <f>IF(N10915="","",COUNTIFS(RawData[[Date ]],N10915,RawData[Month List],$Q$6,RawData[Tour/Site],$Q$2,RawData[[Picker ID ]],$Q$3,RawData[Checker ID],$Q$4,RawData[[Error Type ]],$Q$5))</f>
        <v/>
      </c>
    </row>
    <row r="10916" spans="15:15" x14ac:dyDescent="0.25">
      <c r="O10916" s="20" t="str">
        <f>IF(N10916="","",COUNTIFS(RawData[[Date ]],N10916,RawData[Month List],$Q$6,RawData[Tour/Site],$Q$2,RawData[[Picker ID ]],$Q$3,RawData[Checker ID],$Q$4,RawData[[Error Type ]],$Q$5))</f>
        <v/>
      </c>
    </row>
    <row r="10917" spans="15:15" x14ac:dyDescent="0.25">
      <c r="O10917" s="20" t="str">
        <f>IF(N10917="","",COUNTIFS(RawData[[Date ]],N10917,RawData[Month List],$Q$6,RawData[Tour/Site],$Q$2,RawData[[Picker ID ]],$Q$3,RawData[Checker ID],$Q$4,RawData[[Error Type ]],$Q$5))</f>
        <v/>
      </c>
    </row>
    <row r="10918" spans="15:15" x14ac:dyDescent="0.25">
      <c r="O10918" s="20" t="str">
        <f>IF(N10918="","",COUNTIFS(RawData[[Date ]],N10918,RawData[Month List],$Q$6,RawData[Tour/Site],$Q$2,RawData[[Picker ID ]],$Q$3,RawData[Checker ID],$Q$4,RawData[[Error Type ]],$Q$5))</f>
        <v/>
      </c>
    </row>
    <row r="10919" spans="15:15" x14ac:dyDescent="0.25">
      <c r="O10919" s="20" t="str">
        <f>IF(N10919="","",COUNTIFS(RawData[[Date ]],N10919,RawData[Month List],$Q$6,RawData[Tour/Site],$Q$2,RawData[[Picker ID ]],$Q$3,RawData[Checker ID],$Q$4,RawData[[Error Type ]],$Q$5))</f>
        <v/>
      </c>
    </row>
    <row r="10920" spans="15:15" x14ac:dyDescent="0.25">
      <c r="O10920" s="20" t="str">
        <f>IF(N10920="","",COUNTIFS(RawData[[Date ]],N10920,RawData[Month List],$Q$6,RawData[Tour/Site],$Q$2,RawData[[Picker ID ]],$Q$3,RawData[Checker ID],$Q$4,RawData[[Error Type ]],$Q$5))</f>
        <v/>
      </c>
    </row>
    <row r="10921" spans="15:15" x14ac:dyDescent="0.25">
      <c r="O10921" s="20" t="str">
        <f>IF(N10921="","",COUNTIFS(RawData[[Date ]],N10921,RawData[Month List],$Q$6,RawData[Tour/Site],$Q$2,RawData[[Picker ID ]],$Q$3,RawData[Checker ID],$Q$4,RawData[[Error Type ]],$Q$5))</f>
        <v/>
      </c>
    </row>
    <row r="10922" spans="15:15" x14ac:dyDescent="0.25">
      <c r="O10922" s="20" t="str">
        <f>IF(N10922="","",COUNTIFS(RawData[[Date ]],N10922,RawData[Month List],$Q$6,RawData[Tour/Site],$Q$2,RawData[[Picker ID ]],$Q$3,RawData[Checker ID],$Q$4,RawData[[Error Type ]],$Q$5))</f>
        <v/>
      </c>
    </row>
    <row r="10923" spans="15:15" x14ac:dyDescent="0.25">
      <c r="O10923" s="20" t="str">
        <f>IF(N10923="","",COUNTIFS(RawData[[Date ]],N10923,RawData[Month List],$Q$6,RawData[Tour/Site],$Q$2,RawData[[Picker ID ]],$Q$3,RawData[Checker ID],$Q$4,RawData[[Error Type ]],$Q$5))</f>
        <v/>
      </c>
    </row>
    <row r="10924" spans="15:15" x14ac:dyDescent="0.25">
      <c r="O10924" s="20" t="str">
        <f>IF(N10924="","",COUNTIFS(RawData[[Date ]],N10924,RawData[Month List],$Q$6,RawData[Tour/Site],$Q$2,RawData[[Picker ID ]],$Q$3,RawData[Checker ID],$Q$4,RawData[[Error Type ]],$Q$5))</f>
        <v/>
      </c>
    </row>
    <row r="10925" spans="15:15" x14ac:dyDescent="0.25">
      <c r="O10925" s="20" t="str">
        <f>IF(N10925="","",COUNTIFS(RawData[[Date ]],N10925,RawData[Month List],$Q$6,RawData[Tour/Site],$Q$2,RawData[[Picker ID ]],$Q$3,RawData[Checker ID],$Q$4,RawData[[Error Type ]],$Q$5))</f>
        <v/>
      </c>
    </row>
    <row r="10926" spans="15:15" x14ac:dyDescent="0.25">
      <c r="O10926" s="20" t="str">
        <f>IF(N10926="","",COUNTIFS(RawData[[Date ]],N10926,RawData[Month List],$Q$6,RawData[Tour/Site],$Q$2,RawData[[Picker ID ]],$Q$3,RawData[Checker ID],$Q$4,RawData[[Error Type ]],$Q$5))</f>
        <v/>
      </c>
    </row>
    <row r="10927" spans="15:15" x14ac:dyDescent="0.25">
      <c r="O10927" s="20" t="str">
        <f>IF(N10927="","",COUNTIFS(RawData[[Date ]],N10927,RawData[Month List],$Q$6,RawData[Tour/Site],$Q$2,RawData[[Picker ID ]],$Q$3,RawData[Checker ID],$Q$4,RawData[[Error Type ]],$Q$5))</f>
        <v/>
      </c>
    </row>
    <row r="10928" spans="15:15" x14ac:dyDescent="0.25">
      <c r="O10928" s="20" t="str">
        <f>IF(N10928="","",COUNTIFS(RawData[[Date ]],N10928,RawData[Month List],$Q$6,RawData[Tour/Site],$Q$2,RawData[[Picker ID ]],$Q$3,RawData[Checker ID],$Q$4,RawData[[Error Type ]],$Q$5))</f>
        <v/>
      </c>
    </row>
    <row r="10929" spans="15:15" x14ac:dyDescent="0.25">
      <c r="O10929" s="20" t="str">
        <f>IF(N10929="","",COUNTIFS(RawData[[Date ]],N10929,RawData[Month List],$Q$6,RawData[Tour/Site],$Q$2,RawData[[Picker ID ]],$Q$3,RawData[Checker ID],$Q$4,RawData[[Error Type ]],$Q$5))</f>
        <v/>
      </c>
    </row>
    <row r="10930" spans="15:15" x14ac:dyDescent="0.25">
      <c r="O10930" s="20" t="str">
        <f>IF(N10930="","",COUNTIFS(RawData[[Date ]],N10930,RawData[Month List],$Q$6,RawData[Tour/Site],$Q$2,RawData[[Picker ID ]],$Q$3,RawData[Checker ID],$Q$4,RawData[[Error Type ]],$Q$5))</f>
        <v/>
      </c>
    </row>
    <row r="10931" spans="15:15" x14ac:dyDescent="0.25">
      <c r="O10931" s="20" t="str">
        <f>IF(N10931="","",COUNTIFS(RawData[[Date ]],N10931,RawData[Month List],$Q$6,RawData[Tour/Site],$Q$2,RawData[[Picker ID ]],$Q$3,RawData[Checker ID],$Q$4,RawData[[Error Type ]],$Q$5))</f>
        <v/>
      </c>
    </row>
    <row r="10932" spans="15:15" x14ac:dyDescent="0.25">
      <c r="O10932" s="20" t="str">
        <f>IF(N10932="","",COUNTIFS(RawData[[Date ]],N10932,RawData[Month List],$Q$6,RawData[Tour/Site],$Q$2,RawData[[Picker ID ]],$Q$3,RawData[Checker ID],$Q$4,RawData[[Error Type ]],$Q$5))</f>
        <v/>
      </c>
    </row>
    <row r="10933" spans="15:15" x14ac:dyDescent="0.25">
      <c r="O10933" s="20" t="str">
        <f>IF(N10933="","",COUNTIFS(RawData[[Date ]],N10933,RawData[Month List],$Q$6,RawData[Tour/Site],$Q$2,RawData[[Picker ID ]],$Q$3,RawData[Checker ID],$Q$4,RawData[[Error Type ]],$Q$5))</f>
        <v/>
      </c>
    </row>
    <row r="10934" spans="15:15" x14ac:dyDescent="0.25">
      <c r="O10934" s="20" t="str">
        <f>IF(N10934="","",COUNTIFS(RawData[[Date ]],N10934,RawData[Month List],$Q$6,RawData[Tour/Site],$Q$2,RawData[[Picker ID ]],$Q$3,RawData[Checker ID],$Q$4,RawData[[Error Type ]],$Q$5))</f>
        <v/>
      </c>
    </row>
    <row r="10935" spans="15:15" x14ac:dyDescent="0.25">
      <c r="O10935" s="20" t="str">
        <f>IF(N10935="","",COUNTIFS(RawData[[Date ]],N10935,RawData[Month List],$Q$6,RawData[Tour/Site],$Q$2,RawData[[Picker ID ]],$Q$3,RawData[Checker ID],$Q$4,RawData[[Error Type ]],$Q$5))</f>
        <v/>
      </c>
    </row>
    <row r="10936" spans="15:15" x14ac:dyDescent="0.25">
      <c r="O10936" s="20" t="str">
        <f>IF(N10936="","",COUNTIFS(RawData[[Date ]],N10936,RawData[Month List],$Q$6,RawData[Tour/Site],$Q$2,RawData[[Picker ID ]],$Q$3,RawData[Checker ID],$Q$4,RawData[[Error Type ]],$Q$5))</f>
        <v/>
      </c>
    </row>
    <row r="10937" spans="15:15" x14ac:dyDescent="0.25">
      <c r="O10937" s="20" t="str">
        <f>IF(N10937="","",COUNTIFS(RawData[[Date ]],N10937,RawData[Month List],$Q$6,RawData[Tour/Site],$Q$2,RawData[[Picker ID ]],$Q$3,RawData[Checker ID],$Q$4,RawData[[Error Type ]],$Q$5))</f>
        <v/>
      </c>
    </row>
    <row r="10938" spans="15:15" x14ac:dyDescent="0.25">
      <c r="O10938" s="20" t="str">
        <f>IF(N10938="","",COUNTIFS(RawData[[Date ]],N10938,RawData[Month List],$Q$6,RawData[Tour/Site],$Q$2,RawData[[Picker ID ]],$Q$3,RawData[Checker ID],$Q$4,RawData[[Error Type ]],$Q$5))</f>
        <v/>
      </c>
    </row>
    <row r="10939" spans="15:15" x14ac:dyDescent="0.25">
      <c r="O10939" s="20" t="str">
        <f>IF(N10939="","",COUNTIFS(RawData[[Date ]],N10939,RawData[Month List],$Q$6,RawData[Tour/Site],$Q$2,RawData[[Picker ID ]],$Q$3,RawData[Checker ID],$Q$4,RawData[[Error Type ]],$Q$5))</f>
        <v/>
      </c>
    </row>
    <row r="10940" spans="15:15" x14ac:dyDescent="0.25">
      <c r="O10940" s="20" t="str">
        <f>IF(N10940="","",COUNTIFS(RawData[[Date ]],N10940,RawData[Month List],$Q$6,RawData[Tour/Site],$Q$2,RawData[[Picker ID ]],$Q$3,RawData[Checker ID],$Q$4,RawData[[Error Type ]],$Q$5))</f>
        <v/>
      </c>
    </row>
    <row r="10941" spans="15:15" x14ac:dyDescent="0.25">
      <c r="O10941" s="20" t="str">
        <f>IF(N10941="","",COUNTIFS(RawData[[Date ]],N10941,RawData[Month List],$Q$6,RawData[Tour/Site],$Q$2,RawData[[Picker ID ]],$Q$3,RawData[Checker ID],$Q$4,RawData[[Error Type ]],$Q$5))</f>
        <v/>
      </c>
    </row>
    <row r="10942" spans="15:15" x14ac:dyDescent="0.25">
      <c r="O10942" s="20" t="str">
        <f>IF(N10942="","",COUNTIFS(RawData[[Date ]],N10942,RawData[Month List],$Q$6,RawData[Tour/Site],$Q$2,RawData[[Picker ID ]],$Q$3,RawData[Checker ID],$Q$4,RawData[[Error Type ]],$Q$5))</f>
        <v/>
      </c>
    </row>
    <row r="10943" spans="15:15" x14ac:dyDescent="0.25">
      <c r="O10943" s="20" t="str">
        <f>IF(N10943="","",COUNTIFS(RawData[[Date ]],N10943,RawData[Month List],$Q$6,RawData[Tour/Site],$Q$2,RawData[[Picker ID ]],$Q$3,RawData[Checker ID],$Q$4,RawData[[Error Type ]],$Q$5))</f>
        <v/>
      </c>
    </row>
    <row r="10944" spans="15:15" x14ac:dyDescent="0.25">
      <c r="O10944" s="20" t="str">
        <f>IF(N10944="","",COUNTIFS(RawData[[Date ]],N10944,RawData[Month List],$Q$6,RawData[Tour/Site],$Q$2,RawData[[Picker ID ]],$Q$3,RawData[Checker ID],$Q$4,RawData[[Error Type ]],$Q$5))</f>
        <v/>
      </c>
    </row>
    <row r="10945" spans="15:15" x14ac:dyDescent="0.25">
      <c r="O10945" s="20" t="str">
        <f>IF(N10945="","",COUNTIFS(RawData[[Date ]],N10945,RawData[Month List],$Q$6,RawData[Tour/Site],$Q$2,RawData[[Picker ID ]],$Q$3,RawData[Checker ID],$Q$4,RawData[[Error Type ]],$Q$5))</f>
        <v/>
      </c>
    </row>
    <row r="10946" spans="15:15" x14ac:dyDescent="0.25">
      <c r="O10946" s="20" t="str">
        <f>IF(N10946="","",COUNTIFS(RawData[[Date ]],N10946,RawData[Month List],$Q$6,RawData[Tour/Site],$Q$2,RawData[[Picker ID ]],$Q$3,RawData[Checker ID],$Q$4,RawData[[Error Type ]],$Q$5))</f>
        <v/>
      </c>
    </row>
    <row r="10947" spans="15:15" x14ac:dyDescent="0.25">
      <c r="O10947" s="20" t="str">
        <f>IF(N10947="","",COUNTIFS(RawData[[Date ]],N10947,RawData[Month List],$Q$6,RawData[Tour/Site],$Q$2,RawData[[Picker ID ]],$Q$3,RawData[Checker ID],$Q$4,RawData[[Error Type ]],$Q$5))</f>
        <v/>
      </c>
    </row>
    <row r="10948" spans="15:15" x14ac:dyDescent="0.25">
      <c r="O10948" s="20" t="str">
        <f>IF(N10948="","",COUNTIFS(RawData[[Date ]],N10948,RawData[Month List],$Q$6,RawData[Tour/Site],$Q$2,RawData[[Picker ID ]],$Q$3,RawData[Checker ID],$Q$4,RawData[[Error Type ]],$Q$5))</f>
        <v/>
      </c>
    </row>
    <row r="10949" spans="15:15" x14ac:dyDescent="0.25">
      <c r="O10949" s="20" t="str">
        <f>IF(N10949="","",COUNTIFS(RawData[[Date ]],N10949,RawData[Month List],$Q$6,RawData[Tour/Site],$Q$2,RawData[[Picker ID ]],$Q$3,RawData[Checker ID],$Q$4,RawData[[Error Type ]],$Q$5))</f>
        <v/>
      </c>
    </row>
    <row r="10950" spans="15:15" x14ac:dyDescent="0.25">
      <c r="O10950" s="20" t="str">
        <f>IF(N10950="","",COUNTIFS(RawData[[Date ]],N10950,RawData[Month List],$Q$6,RawData[Tour/Site],$Q$2,RawData[[Picker ID ]],$Q$3,RawData[Checker ID],$Q$4,RawData[[Error Type ]],$Q$5))</f>
        <v/>
      </c>
    </row>
    <row r="10951" spans="15:15" x14ac:dyDescent="0.25">
      <c r="O10951" s="20" t="str">
        <f>IF(N10951="","",COUNTIFS(RawData[[Date ]],N10951,RawData[Month List],$Q$6,RawData[Tour/Site],$Q$2,RawData[[Picker ID ]],$Q$3,RawData[Checker ID],$Q$4,RawData[[Error Type ]],$Q$5))</f>
        <v/>
      </c>
    </row>
    <row r="10952" spans="15:15" x14ac:dyDescent="0.25">
      <c r="O10952" s="20" t="str">
        <f>IF(N10952="","",COUNTIFS(RawData[[Date ]],N10952,RawData[Month List],$Q$6,RawData[Tour/Site],$Q$2,RawData[[Picker ID ]],$Q$3,RawData[Checker ID],$Q$4,RawData[[Error Type ]],$Q$5))</f>
        <v/>
      </c>
    </row>
    <row r="10953" spans="15:15" x14ac:dyDescent="0.25">
      <c r="O10953" s="20" t="str">
        <f>IF(N10953="","",COUNTIFS(RawData[[Date ]],N10953,RawData[Month List],$Q$6,RawData[Tour/Site],$Q$2,RawData[[Picker ID ]],$Q$3,RawData[Checker ID],$Q$4,RawData[[Error Type ]],$Q$5))</f>
        <v/>
      </c>
    </row>
    <row r="10954" spans="15:15" x14ac:dyDescent="0.25">
      <c r="O10954" s="20" t="str">
        <f>IF(N10954="","",COUNTIFS(RawData[[Date ]],N10954,RawData[Month List],$Q$6,RawData[Tour/Site],$Q$2,RawData[[Picker ID ]],$Q$3,RawData[Checker ID],$Q$4,RawData[[Error Type ]],$Q$5))</f>
        <v/>
      </c>
    </row>
    <row r="10955" spans="15:15" x14ac:dyDescent="0.25">
      <c r="O10955" s="20" t="str">
        <f>IF(N10955="","",COUNTIFS(RawData[[Date ]],N10955,RawData[Month List],$Q$6,RawData[Tour/Site],$Q$2,RawData[[Picker ID ]],$Q$3,RawData[Checker ID],$Q$4,RawData[[Error Type ]],$Q$5))</f>
        <v/>
      </c>
    </row>
    <row r="10956" spans="15:15" x14ac:dyDescent="0.25">
      <c r="O10956" s="20" t="str">
        <f>IF(N10956="","",COUNTIFS(RawData[[Date ]],N10956,RawData[Month List],$Q$6,RawData[Tour/Site],$Q$2,RawData[[Picker ID ]],$Q$3,RawData[Checker ID],$Q$4,RawData[[Error Type ]],$Q$5))</f>
        <v/>
      </c>
    </row>
    <row r="10957" spans="15:15" x14ac:dyDescent="0.25">
      <c r="O10957" s="20" t="str">
        <f>IF(N10957="","",COUNTIFS(RawData[[Date ]],N10957,RawData[Month List],$Q$6,RawData[Tour/Site],$Q$2,RawData[[Picker ID ]],$Q$3,RawData[Checker ID],$Q$4,RawData[[Error Type ]],$Q$5))</f>
        <v/>
      </c>
    </row>
    <row r="10958" spans="15:15" x14ac:dyDescent="0.25">
      <c r="O10958" s="20" t="str">
        <f>IF(N10958="","",COUNTIFS(RawData[[Date ]],N10958,RawData[Month List],$Q$6,RawData[Tour/Site],$Q$2,RawData[[Picker ID ]],$Q$3,RawData[Checker ID],$Q$4,RawData[[Error Type ]],$Q$5))</f>
        <v/>
      </c>
    </row>
    <row r="10959" spans="15:15" x14ac:dyDescent="0.25">
      <c r="O10959" s="20" t="str">
        <f>IF(N10959="","",COUNTIFS(RawData[[Date ]],N10959,RawData[Month List],$Q$6,RawData[Tour/Site],$Q$2,RawData[[Picker ID ]],$Q$3,RawData[Checker ID],$Q$4,RawData[[Error Type ]],$Q$5))</f>
        <v/>
      </c>
    </row>
    <row r="10960" spans="15:15" x14ac:dyDescent="0.25">
      <c r="O10960" s="20" t="str">
        <f>IF(N10960="","",COUNTIFS(RawData[[Date ]],N10960,RawData[Month List],$Q$6,RawData[Tour/Site],$Q$2,RawData[[Picker ID ]],$Q$3,RawData[Checker ID],$Q$4,RawData[[Error Type ]],$Q$5))</f>
        <v/>
      </c>
    </row>
    <row r="10961" spans="15:15" x14ac:dyDescent="0.25">
      <c r="O10961" s="20" t="str">
        <f>IF(N10961="","",COUNTIFS(RawData[[Date ]],N10961,RawData[Month List],$Q$6,RawData[Tour/Site],$Q$2,RawData[[Picker ID ]],$Q$3,RawData[Checker ID],$Q$4,RawData[[Error Type ]],$Q$5))</f>
        <v/>
      </c>
    </row>
    <row r="10962" spans="15:15" x14ac:dyDescent="0.25">
      <c r="O10962" s="20" t="str">
        <f>IF(N10962="","",COUNTIFS(RawData[[Date ]],N10962,RawData[Month List],$Q$6,RawData[Tour/Site],$Q$2,RawData[[Picker ID ]],$Q$3,RawData[Checker ID],$Q$4,RawData[[Error Type ]],$Q$5))</f>
        <v/>
      </c>
    </row>
    <row r="10963" spans="15:15" x14ac:dyDescent="0.25">
      <c r="O10963" s="20" t="str">
        <f>IF(N10963="","",COUNTIFS(RawData[[Date ]],N10963,RawData[Month List],$Q$6,RawData[Tour/Site],$Q$2,RawData[[Picker ID ]],$Q$3,RawData[Checker ID],$Q$4,RawData[[Error Type ]],$Q$5))</f>
        <v/>
      </c>
    </row>
    <row r="10964" spans="15:15" x14ac:dyDescent="0.25">
      <c r="O10964" s="20" t="str">
        <f>IF(N10964="","",COUNTIFS(RawData[[Date ]],N10964,RawData[Month List],$Q$6,RawData[Tour/Site],$Q$2,RawData[[Picker ID ]],$Q$3,RawData[Checker ID],$Q$4,RawData[[Error Type ]],$Q$5))</f>
        <v/>
      </c>
    </row>
    <row r="10965" spans="15:15" x14ac:dyDescent="0.25">
      <c r="O10965" s="20" t="str">
        <f>IF(N10965="","",COUNTIFS(RawData[[Date ]],N10965,RawData[Month List],$Q$6,RawData[Tour/Site],$Q$2,RawData[[Picker ID ]],$Q$3,RawData[Checker ID],$Q$4,RawData[[Error Type ]],$Q$5))</f>
        <v/>
      </c>
    </row>
    <row r="10966" spans="15:15" x14ac:dyDescent="0.25">
      <c r="O10966" s="20" t="str">
        <f>IF(N10966="","",COUNTIFS(RawData[[Date ]],N10966,RawData[Month List],$Q$6,RawData[Tour/Site],$Q$2,RawData[[Picker ID ]],$Q$3,RawData[Checker ID],$Q$4,RawData[[Error Type ]],$Q$5))</f>
        <v/>
      </c>
    </row>
    <row r="10967" spans="15:15" x14ac:dyDescent="0.25">
      <c r="O10967" s="20" t="str">
        <f>IF(N10967="","",COUNTIFS(RawData[[Date ]],N10967,RawData[Month List],$Q$6,RawData[Tour/Site],$Q$2,RawData[[Picker ID ]],$Q$3,RawData[Checker ID],$Q$4,RawData[[Error Type ]],$Q$5))</f>
        <v/>
      </c>
    </row>
    <row r="10968" spans="15:15" x14ac:dyDescent="0.25">
      <c r="O10968" s="20" t="str">
        <f>IF(N10968="","",COUNTIFS(RawData[[Date ]],N10968,RawData[Month List],$Q$6,RawData[Tour/Site],$Q$2,RawData[[Picker ID ]],$Q$3,RawData[Checker ID],$Q$4,RawData[[Error Type ]],$Q$5))</f>
        <v/>
      </c>
    </row>
    <row r="10969" spans="15:15" x14ac:dyDescent="0.25">
      <c r="O10969" s="20" t="str">
        <f>IF(N10969="","",COUNTIFS(RawData[[Date ]],N10969,RawData[Month List],$Q$6,RawData[Tour/Site],$Q$2,RawData[[Picker ID ]],$Q$3,RawData[Checker ID],$Q$4,RawData[[Error Type ]],$Q$5))</f>
        <v/>
      </c>
    </row>
    <row r="10970" spans="15:15" x14ac:dyDescent="0.25">
      <c r="O10970" s="20" t="str">
        <f>IF(N10970="","",COUNTIFS(RawData[[Date ]],N10970,RawData[Month List],$Q$6,RawData[Tour/Site],$Q$2,RawData[[Picker ID ]],$Q$3,RawData[Checker ID],$Q$4,RawData[[Error Type ]],$Q$5))</f>
        <v/>
      </c>
    </row>
    <row r="10971" spans="15:15" x14ac:dyDescent="0.25">
      <c r="O10971" s="20" t="str">
        <f>IF(N10971="","",COUNTIFS(RawData[[Date ]],N10971,RawData[Month List],$Q$6,RawData[Tour/Site],$Q$2,RawData[[Picker ID ]],$Q$3,RawData[Checker ID],$Q$4,RawData[[Error Type ]],$Q$5))</f>
        <v/>
      </c>
    </row>
    <row r="10972" spans="15:15" x14ac:dyDescent="0.25">
      <c r="O10972" s="20" t="str">
        <f>IF(N10972="","",COUNTIFS(RawData[[Date ]],N10972,RawData[Month List],$Q$6,RawData[Tour/Site],$Q$2,RawData[[Picker ID ]],$Q$3,RawData[Checker ID],$Q$4,RawData[[Error Type ]],$Q$5))</f>
        <v/>
      </c>
    </row>
    <row r="10973" spans="15:15" x14ac:dyDescent="0.25">
      <c r="O10973" s="20" t="str">
        <f>IF(N10973="","",COUNTIFS(RawData[[Date ]],N10973,RawData[Month List],$Q$6,RawData[Tour/Site],$Q$2,RawData[[Picker ID ]],$Q$3,RawData[Checker ID],$Q$4,RawData[[Error Type ]],$Q$5))</f>
        <v/>
      </c>
    </row>
    <row r="10974" spans="15:15" x14ac:dyDescent="0.25">
      <c r="O10974" s="20" t="str">
        <f>IF(N10974="","",COUNTIFS(RawData[[Date ]],N10974,RawData[Month List],$Q$6,RawData[Tour/Site],$Q$2,RawData[[Picker ID ]],$Q$3,RawData[Checker ID],$Q$4,RawData[[Error Type ]],$Q$5))</f>
        <v/>
      </c>
    </row>
    <row r="10975" spans="15:15" x14ac:dyDescent="0.25">
      <c r="O10975" s="20" t="str">
        <f>IF(N10975="","",COUNTIFS(RawData[[Date ]],N10975,RawData[Month List],$Q$6,RawData[Tour/Site],$Q$2,RawData[[Picker ID ]],$Q$3,RawData[Checker ID],$Q$4,RawData[[Error Type ]],$Q$5))</f>
        <v/>
      </c>
    </row>
    <row r="10976" spans="15:15" x14ac:dyDescent="0.25">
      <c r="O10976" s="20" t="str">
        <f>IF(N10976="","",COUNTIFS(RawData[[Date ]],N10976,RawData[Month List],$Q$6,RawData[Tour/Site],$Q$2,RawData[[Picker ID ]],$Q$3,RawData[Checker ID],$Q$4,RawData[[Error Type ]],$Q$5))</f>
        <v/>
      </c>
    </row>
    <row r="10977" spans="15:15" x14ac:dyDescent="0.25">
      <c r="O10977" s="20" t="str">
        <f>IF(N10977="","",COUNTIFS(RawData[[Date ]],N10977,RawData[Month List],$Q$6,RawData[Tour/Site],$Q$2,RawData[[Picker ID ]],$Q$3,RawData[Checker ID],$Q$4,RawData[[Error Type ]],$Q$5))</f>
        <v/>
      </c>
    </row>
    <row r="10978" spans="15:15" x14ac:dyDescent="0.25">
      <c r="O10978" s="20" t="str">
        <f>IF(N10978="","",COUNTIFS(RawData[[Date ]],N10978,RawData[Month List],$Q$6,RawData[Tour/Site],$Q$2,RawData[[Picker ID ]],$Q$3,RawData[Checker ID],$Q$4,RawData[[Error Type ]],$Q$5))</f>
        <v/>
      </c>
    </row>
    <row r="10979" spans="15:15" x14ac:dyDescent="0.25">
      <c r="O10979" s="20" t="str">
        <f>IF(N10979="","",COUNTIFS(RawData[[Date ]],N10979,RawData[Month List],$Q$6,RawData[Tour/Site],$Q$2,RawData[[Picker ID ]],$Q$3,RawData[Checker ID],$Q$4,RawData[[Error Type ]],$Q$5))</f>
        <v/>
      </c>
    </row>
    <row r="10980" spans="15:15" x14ac:dyDescent="0.25">
      <c r="O10980" s="20" t="str">
        <f>IF(N10980="","",COUNTIFS(RawData[[Date ]],N10980,RawData[Month List],$Q$6,RawData[Tour/Site],$Q$2,RawData[[Picker ID ]],$Q$3,RawData[Checker ID],$Q$4,RawData[[Error Type ]],$Q$5))</f>
        <v/>
      </c>
    </row>
    <row r="10981" spans="15:15" x14ac:dyDescent="0.25">
      <c r="O10981" s="20" t="str">
        <f>IF(N10981="","",COUNTIFS(RawData[[Date ]],N10981,RawData[Month List],$Q$6,RawData[Tour/Site],$Q$2,RawData[[Picker ID ]],$Q$3,RawData[Checker ID],$Q$4,RawData[[Error Type ]],$Q$5))</f>
        <v/>
      </c>
    </row>
    <row r="10982" spans="15:15" x14ac:dyDescent="0.25">
      <c r="O10982" s="20" t="str">
        <f>IF(N10982="","",COUNTIFS(RawData[[Date ]],N10982,RawData[Month List],$Q$6,RawData[Tour/Site],$Q$2,RawData[[Picker ID ]],$Q$3,RawData[Checker ID],$Q$4,RawData[[Error Type ]],$Q$5))</f>
        <v/>
      </c>
    </row>
    <row r="10983" spans="15:15" x14ac:dyDescent="0.25">
      <c r="O10983" s="20" t="str">
        <f>IF(N10983="","",COUNTIFS(RawData[[Date ]],N10983,RawData[Month List],$Q$6,RawData[Tour/Site],$Q$2,RawData[[Picker ID ]],$Q$3,RawData[Checker ID],$Q$4,RawData[[Error Type ]],$Q$5))</f>
        <v/>
      </c>
    </row>
    <row r="10984" spans="15:15" x14ac:dyDescent="0.25">
      <c r="O10984" s="20" t="str">
        <f>IF(N10984="","",COUNTIFS(RawData[[Date ]],N10984,RawData[Month List],$Q$6,RawData[Tour/Site],$Q$2,RawData[[Picker ID ]],$Q$3,RawData[Checker ID],$Q$4,RawData[[Error Type ]],$Q$5))</f>
        <v/>
      </c>
    </row>
    <row r="10985" spans="15:15" x14ac:dyDescent="0.25">
      <c r="O10985" s="20" t="str">
        <f>IF(N10985="","",COUNTIFS(RawData[[Date ]],N10985,RawData[Month List],$Q$6,RawData[Tour/Site],$Q$2,RawData[[Picker ID ]],$Q$3,RawData[Checker ID],$Q$4,RawData[[Error Type ]],$Q$5))</f>
        <v/>
      </c>
    </row>
    <row r="10986" spans="15:15" x14ac:dyDescent="0.25">
      <c r="O10986" s="20" t="str">
        <f>IF(N10986="","",COUNTIFS(RawData[[Date ]],N10986,RawData[Month List],$Q$6,RawData[Tour/Site],$Q$2,RawData[[Picker ID ]],$Q$3,RawData[Checker ID],$Q$4,RawData[[Error Type ]],$Q$5))</f>
        <v/>
      </c>
    </row>
    <row r="10987" spans="15:15" x14ac:dyDescent="0.25">
      <c r="O10987" s="20" t="str">
        <f>IF(N10987="","",COUNTIFS(RawData[[Date ]],N10987,RawData[Month List],$Q$6,RawData[Tour/Site],$Q$2,RawData[[Picker ID ]],$Q$3,RawData[Checker ID],$Q$4,RawData[[Error Type ]],$Q$5))</f>
        <v/>
      </c>
    </row>
    <row r="10988" spans="15:15" x14ac:dyDescent="0.25">
      <c r="O10988" s="20" t="str">
        <f>IF(N10988="","",COUNTIFS(RawData[[Date ]],N10988,RawData[Month List],$Q$6,RawData[Tour/Site],$Q$2,RawData[[Picker ID ]],$Q$3,RawData[Checker ID],$Q$4,RawData[[Error Type ]],$Q$5))</f>
        <v/>
      </c>
    </row>
    <row r="10989" spans="15:15" x14ac:dyDescent="0.25">
      <c r="O10989" s="20" t="str">
        <f>IF(N10989="","",COUNTIFS(RawData[[Date ]],N10989,RawData[Month List],$Q$6,RawData[Tour/Site],$Q$2,RawData[[Picker ID ]],$Q$3,RawData[Checker ID],$Q$4,RawData[[Error Type ]],$Q$5))</f>
        <v/>
      </c>
    </row>
    <row r="10990" spans="15:15" x14ac:dyDescent="0.25">
      <c r="O10990" s="20" t="str">
        <f>IF(N10990="","",COUNTIFS(RawData[[Date ]],N10990,RawData[Month List],$Q$6,RawData[Tour/Site],$Q$2,RawData[[Picker ID ]],$Q$3,RawData[Checker ID],$Q$4,RawData[[Error Type ]],$Q$5))</f>
        <v/>
      </c>
    </row>
    <row r="10991" spans="15:15" x14ac:dyDescent="0.25">
      <c r="O10991" s="20" t="str">
        <f>IF(N10991="","",COUNTIFS(RawData[[Date ]],N10991,RawData[Month List],$Q$6,RawData[Tour/Site],$Q$2,RawData[[Picker ID ]],$Q$3,RawData[Checker ID],$Q$4,RawData[[Error Type ]],$Q$5))</f>
        <v/>
      </c>
    </row>
    <row r="10992" spans="15:15" x14ac:dyDescent="0.25">
      <c r="O10992" s="20" t="str">
        <f>IF(N10992="","",COUNTIFS(RawData[[Date ]],N10992,RawData[Month List],$Q$6,RawData[Tour/Site],$Q$2,RawData[[Picker ID ]],$Q$3,RawData[Checker ID],$Q$4,RawData[[Error Type ]],$Q$5))</f>
        <v/>
      </c>
    </row>
    <row r="10993" spans="15:15" x14ac:dyDescent="0.25">
      <c r="O10993" s="20" t="str">
        <f>IF(N10993="","",COUNTIFS(RawData[[Date ]],N10993,RawData[Month List],$Q$6,RawData[Tour/Site],$Q$2,RawData[[Picker ID ]],$Q$3,RawData[Checker ID],$Q$4,RawData[[Error Type ]],$Q$5))</f>
        <v/>
      </c>
    </row>
    <row r="10994" spans="15:15" x14ac:dyDescent="0.25">
      <c r="O10994" s="20" t="str">
        <f>IF(N10994="","",COUNTIFS(RawData[[Date ]],N10994,RawData[Month List],$Q$6,RawData[Tour/Site],$Q$2,RawData[[Picker ID ]],$Q$3,RawData[Checker ID],$Q$4,RawData[[Error Type ]],$Q$5))</f>
        <v/>
      </c>
    </row>
    <row r="10995" spans="15:15" x14ac:dyDescent="0.25">
      <c r="O10995" s="20" t="str">
        <f>IF(N10995="","",COUNTIFS(RawData[[Date ]],N10995,RawData[Month List],$Q$6,RawData[Tour/Site],$Q$2,RawData[[Picker ID ]],$Q$3,RawData[Checker ID],$Q$4,RawData[[Error Type ]],$Q$5))</f>
        <v/>
      </c>
    </row>
    <row r="10996" spans="15:15" x14ac:dyDescent="0.25">
      <c r="O10996" s="20" t="str">
        <f>IF(N10996="","",COUNTIFS(RawData[[Date ]],N10996,RawData[Month List],$Q$6,RawData[Tour/Site],$Q$2,RawData[[Picker ID ]],$Q$3,RawData[Checker ID],$Q$4,RawData[[Error Type ]],$Q$5))</f>
        <v/>
      </c>
    </row>
    <row r="10997" spans="15:15" x14ac:dyDescent="0.25">
      <c r="O10997" s="20" t="str">
        <f>IF(N10997="","",COUNTIFS(RawData[[Date ]],N10997,RawData[Month List],$Q$6,RawData[Tour/Site],$Q$2,RawData[[Picker ID ]],$Q$3,RawData[Checker ID],$Q$4,RawData[[Error Type ]],$Q$5))</f>
        <v/>
      </c>
    </row>
    <row r="10998" spans="15:15" x14ac:dyDescent="0.25">
      <c r="O10998" s="20" t="str">
        <f>IF(N10998="","",COUNTIFS(RawData[[Date ]],N10998,RawData[Month List],$Q$6,RawData[Tour/Site],$Q$2,RawData[[Picker ID ]],$Q$3,RawData[Checker ID],$Q$4,RawData[[Error Type ]],$Q$5))</f>
        <v/>
      </c>
    </row>
    <row r="10999" spans="15:15" x14ac:dyDescent="0.25">
      <c r="O10999" s="20" t="str">
        <f>IF(N10999="","",COUNTIFS(RawData[[Date ]],N10999,RawData[Month List],$Q$6,RawData[Tour/Site],$Q$2,RawData[[Picker ID ]],$Q$3,RawData[Checker ID],$Q$4,RawData[[Error Type ]],$Q$5))</f>
        <v/>
      </c>
    </row>
    <row r="11000" spans="15:15" x14ac:dyDescent="0.25">
      <c r="O11000" s="20" t="str">
        <f>IF(N11000="","",COUNTIFS(RawData[[Date ]],N11000,RawData[Month List],$Q$6,RawData[Tour/Site],$Q$2,RawData[[Picker ID ]],$Q$3,RawData[Checker ID],$Q$4,RawData[[Error Type ]],$Q$5))</f>
        <v/>
      </c>
    </row>
    <row r="11001" spans="15:15" x14ac:dyDescent="0.25">
      <c r="O11001" s="20" t="str">
        <f>IF(N11001="","",COUNTIFS(RawData[[Date ]],N11001,RawData[Month List],$Q$6,RawData[Tour/Site],$Q$2,RawData[[Picker ID ]],$Q$3,RawData[Checker ID],$Q$4,RawData[[Error Type ]],$Q$5))</f>
        <v/>
      </c>
    </row>
    <row r="11002" spans="15:15" x14ac:dyDescent="0.25">
      <c r="O11002" s="20" t="str">
        <f>IF(N11002="","",COUNTIFS(RawData[[Date ]],N11002,RawData[Month List],$Q$6,RawData[Tour/Site],$Q$2,RawData[[Picker ID ]],$Q$3,RawData[Checker ID],$Q$4,RawData[[Error Type ]],$Q$5))</f>
        <v/>
      </c>
    </row>
    <row r="11003" spans="15:15" x14ac:dyDescent="0.25">
      <c r="O11003" s="20" t="str">
        <f>IF(N11003="","",COUNTIFS(RawData[[Date ]],N11003,RawData[Month List],$Q$6,RawData[Tour/Site],$Q$2,RawData[[Picker ID ]],$Q$3,RawData[Checker ID],$Q$4,RawData[[Error Type ]],$Q$5))</f>
        <v/>
      </c>
    </row>
    <row r="11004" spans="15:15" x14ac:dyDescent="0.25">
      <c r="O11004" s="20" t="str">
        <f>IF(N11004="","",COUNTIFS(RawData[[Date ]],N11004,RawData[Month List],$Q$6,RawData[Tour/Site],$Q$2,RawData[[Picker ID ]],$Q$3,RawData[Checker ID],$Q$4,RawData[[Error Type ]],$Q$5))</f>
        <v/>
      </c>
    </row>
    <row r="11005" spans="15:15" x14ac:dyDescent="0.25">
      <c r="O11005" s="20" t="str">
        <f>IF(N11005="","",COUNTIFS(RawData[[Date ]],N11005,RawData[Month List],$Q$6,RawData[Tour/Site],$Q$2,RawData[[Picker ID ]],$Q$3,RawData[Checker ID],$Q$4,RawData[[Error Type ]],$Q$5))</f>
        <v/>
      </c>
    </row>
    <row r="11006" spans="15:15" x14ac:dyDescent="0.25">
      <c r="O11006" s="20" t="str">
        <f>IF(N11006="","",COUNTIFS(RawData[[Date ]],N11006,RawData[Month List],$Q$6,RawData[Tour/Site],$Q$2,RawData[[Picker ID ]],$Q$3,RawData[Checker ID],$Q$4,RawData[[Error Type ]],$Q$5))</f>
        <v/>
      </c>
    </row>
    <row r="11007" spans="15:15" x14ac:dyDescent="0.25">
      <c r="O11007" s="20" t="str">
        <f>IF(N11007="","",COUNTIFS(RawData[[Date ]],N11007,RawData[Month List],$Q$6,RawData[Tour/Site],$Q$2,RawData[[Picker ID ]],$Q$3,RawData[Checker ID],$Q$4,RawData[[Error Type ]],$Q$5))</f>
        <v/>
      </c>
    </row>
    <row r="11008" spans="15:15" x14ac:dyDescent="0.25">
      <c r="O11008" s="20" t="str">
        <f>IF(N11008="","",COUNTIFS(RawData[[Date ]],N11008,RawData[Month List],$Q$6,RawData[Tour/Site],$Q$2,RawData[[Picker ID ]],$Q$3,RawData[Checker ID],$Q$4,RawData[[Error Type ]],$Q$5))</f>
        <v/>
      </c>
    </row>
    <row r="11009" spans="15:15" x14ac:dyDescent="0.25">
      <c r="O11009" s="20" t="str">
        <f>IF(N11009="","",COUNTIFS(RawData[[Date ]],N11009,RawData[Month List],$Q$6,RawData[Tour/Site],$Q$2,RawData[[Picker ID ]],$Q$3,RawData[Checker ID],$Q$4,RawData[[Error Type ]],$Q$5))</f>
        <v/>
      </c>
    </row>
    <row r="11010" spans="15:15" x14ac:dyDescent="0.25">
      <c r="O11010" s="20" t="str">
        <f>IF(N11010="","",COUNTIFS(RawData[[Date ]],N11010,RawData[Month List],$Q$6,RawData[Tour/Site],$Q$2,RawData[[Picker ID ]],$Q$3,RawData[Checker ID],$Q$4,RawData[[Error Type ]],$Q$5))</f>
        <v/>
      </c>
    </row>
    <row r="11011" spans="15:15" x14ac:dyDescent="0.25">
      <c r="O11011" s="20" t="str">
        <f>IF(N11011="","",COUNTIFS(RawData[[Date ]],N11011,RawData[Month List],$Q$6,RawData[Tour/Site],$Q$2,RawData[[Picker ID ]],$Q$3,RawData[Checker ID],$Q$4,RawData[[Error Type ]],$Q$5))</f>
        <v/>
      </c>
    </row>
    <row r="11012" spans="15:15" x14ac:dyDescent="0.25">
      <c r="O11012" s="20" t="str">
        <f>IF(N11012="","",COUNTIFS(RawData[[Date ]],N11012,RawData[Month List],$Q$6,RawData[Tour/Site],$Q$2,RawData[[Picker ID ]],$Q$3,RawData[Checker ID],$Q$4,RawData[[Error Type ]],$Q$5))</f>
        <v/>
      </c>
    </row>
    <row r="11013" spans="15:15" x14ac:dyDescent="0.25">
      <c r="O11013" s="20" t="str">
        <f>IF(N11013="","",COUNTIFS(RawData[[Date ]],N11013,RawData[Month List],$Q$6,RawData[Tour/Site],$Q$2,RawData[[Picker ID ]],$Q$3,RawData[Checker ID],$Q$4,RawData[[Error Type ]],$Q$5))</f>
        <v/>
      </c>
    </row>
    <row r="11014" spans="15:15" x14ac:dyDescent="0.25">
      <c r="O11014" s="20" t="str">
        <f>IF(N11014="","",COUNTIFS(RawData[[Date ]],N11014,RawData[Month List],$Q$6,RawData[Tour/Site],$Q$2,RawData[[Picker ID ]],$Q$3,RawData[Checker ID],$Q$4,RawData[[Error Type ]],$Q$5))</f>
        <v/>
      </c>
    </row>
    <row r="11015" spans="15:15" x14ac:dyDescent="0.25">
      <c r="O11015" s="20" t="str">
        <f>IF(N11015="","",COUNTIFS(RawData[[Date ]],N11015,RawData[Month List],$Q$6,RawData[Tour/Site],$Q$2,RawData[[Picker ID ]],$Q$3,RawData[Checker ID],$Q$4,RawData[[Error Type ]],$Q$5))</f>
        <v/>
      </c>
    </row>
    <row r="11016" spans="15:15" x14ac:dyDescent="0.25">
      <c r="O11016" s="20" t="str">
        <f>IF(N11016="","",COUNTIFS(RawData[[Date ]],N11016,RawData[Month List],$Q$6,RawData[Tour/Site],$Q$2,RawData[[Picker ID ]],$Q$3,RawData[Checker ID],$Q$4,RawData[[Error Type ]],$Q$5))</f>
        <v/>
      </c>
    </row>
    <row r="11017" spans="15:15" x14ac:dyDescent="0.25">
      <c r="O11017" s="20" t="str">
        <f>IF(N11017="","",COUNTIFS(RawData[[Date ]],N11017,RawData[Month List],$Q$6,RawData[Tour/Site],$Q$2,RawData[[Picker ID ]],$Q$3,RawData[Checker ID],$Q$4,RawData[[Error Type ]],$Q$5))</f>
        <v/>
      </c>
    </row>
    <row r="11018" spans="15:15" x14ac:dyDescent="0.25">
      <c r="O11018" s="20" t="str">
        <f>IF(N11018="","",COUNTIFS(RawData[[Date ]],N11018,RawData[Month List],$Q$6,RawData[Tour/Site],$Q$2,RawData[[Picker ID ]],$Q$3,RawData[Checker ID],$Q$4,RawData[[Error Type ]],$Q$5))</f>
        <v/>
      </c>
    </row>
    <row r="11019" spans="15:15" x14ac:dyDescent="0.25">
      <c r="O11019" s="20" t="str">
        <f>IF(N11019="","",COUNTIFS(RawData[[Date ]],N11019,RawData[Month List],$Q$6,RawData[Tour/Site],$Q$2,RawData[[Picker ID ]],$Q$3,RawData[Checker ID],$Q$4,RawData[[Error Type ]],$Q$5))</f>
        <v/>
      </c>
    </row>
    <row r="11020" spans="15:15" x14ac:dyDescent="0.25">
      <c r="O11020" s="20" t="str">
        <f>IF(N11020="","",COUNTIFS(RawData[[Date ]],N11020,RawData[Month List],$Q$6,RawData[Tour/Site],$Q$2,RawData[[Picker ID ]],$Q$3,RawData[Checker ID],$Q$4,RawData[[Error Type ]],$Q$5))</f>
        <v/>
      </c>
    </row>
    <row r="11021" spans="15:15" x14ac:dyDescent="0.25">
      <c r="O11021" s="20" t="str">
        <f>IF(N11021="","",COUNTIFS(RawData[[Date ]],N11021,RawData[Month List],$Q$6,RawData[Tour/Site],$Q$2,RawData[[Picker ID ]],$Q$3,RawData[Checker ID],$Q$4,RawData[[Error Type ]],$Q$5))</f>
        <v/>
      </c>
    </row>
    <row r="11022" spans="15:15" x14ac:dyDescent="0.25">
      <c r="O11022" s="20" t="str">
        <f>IF(N11022="","",COUNTIFS(RawData[[Date ]],N11022,RawData[Month List],$Q$6,RawData[Tour/Site],$Q$2,RawData[[Picker ID ]],$Q$3,RawData[Checker ID],$Q$4,RawData[[Error Type ]],$Q$5))</f>
        <v/>
      </c>
    </row>
    <row r="11023" spans="15:15" x14ac:dyDescent="0.25">
      <c r="O11023" s="20" t="str">
        <f>IF(N11023="","",COUNTIFS(RawData[[Date ]],N11023,RawData[Month List],$Q$6,RawData[Tour/Site],$Q$2,RawData[[Picker ID ]],$Q$3,RawData[Checker ID],$Q$4,RawData[[Error Type ]],$Q$5))</f>
        <v/>
      </c>
    </row>
    <row r="11024" spans="15:15" x14ac:dyDescent="0.25">
      <c r="O11024" s="20" t="str">
        <f>IF(N11024="","",COUNTIFS(RawData[[Date ]],N11024,RawData[Month List],$Q$6,RawData[Tour/Site],$Q$2,RawData[[Picker ID ]],$Q$3,RawData[Checker ID],$Q$4,RawData[[Error Type ]],$Q$5))</f>
        <v/>
      </c>
    </row>
    <row r="11025" spans="15:15" x14ac:dyDescent="0.25">
      <c r="O11025" s="20" t="str">
        <f>IF(N11025="","",COUNTIFS(RawData[[Date ]],N11025,RawData[Month List],$Q$6,RawData[Tour/Site],$Q$2,RawData[[Picker ID ]],$Q$3,RawData[Checker ID],$Q$4,RawData[[Error Type ]],$Q$5))</f>
        <v/>
      </c>
    </row>
    <row r="11026" spans="15:15" x14ac:dyDescent="0.25">
      <c r="O11026" s="20" t="str">
        <f>IF(N11026="","",COUNTIFS(RawData[[Date ]],N11026,RawData[Month List],$Q$6,RawData[Tour/Site],$Q$2,RawData[[Picker ID ]],$Q$3,RawData[Checker ID],$Q$4,RawData[[Error Type ]],$Q$5))</f>
        <v/>
      </c>
    </row>
    <row r="11027" spans="15:15" x14ac:dyDescent="0.25">
      <c r="O11027" s="20" t="str">
        <f>IF(N11027="","",COUNTIFS(RawData[[Date ]],N11027,RawData[Month List],$Q$6,RawData[Tour/Site],$Q$2,RawData[[Picker ID ]],$Q$3,RawData[Checker ID],$Q$4,RawData[[Error Type ]],$Q$5))</f>
        <v/>
      </c>
    </row>
    <row r="11028" spans="15:15" x14ac:dyDescent="0.25">
      <c r="O11028" s="20" t="str">
        <f>IF(N11028="","",COUNTIFS(RawData[[Date ]],N11028,RawData[Month List],$Q$6,RawData[Tour/Site],$Q$2,RawData[[Picker ID ]],$Q$3,RawData[Checker ID],$Q$4,RawData[[Error Type ]],$Q$5))</f>
        <v/>
      </c>
    </row>
    <row r="11029" spans="15:15" x14ac:dyDescent="0.25">
      <c r="O11029" s="20" t="str">
        <f>IF(N11029="","",COUNTIFS(RawData[[Date ]],N11029,RawData[Month List],$Q$6,RawData[Tour/Site],$Q$2,RawData[[Picker ID ]],$Q$3,RawData[Checker ID],$Q$4,RawData[[Error Type ]],$Q$5))</f>
        <v/>
      </c>
    </row>
    <row r="11030" spans="15:15" x14ac:dyDescent="0.25">
      <c r="O11030" s="20" t="str">
        <f>IF(N11030="","",COUNTIFS(RawData[[Date ]],N11030,RawData[Month List],$Q$6,RawData[Tour/Site],$Q$2,RawData[[Picker ID ]],$Q$3,RawData[Checker ID],$Q$4,RawData[[Error Type ]],$Q$5))</f>
        <v/>
      </c>
    </row>
    <row r="11031" spans="15:15" x14ac:dyDescent="0.25">
      <c r="O11031" s="20" t="str">
        <f>IF(N11031="","",COUNTIFS(RawData[[Date ]],N11031,RawData[Month List],$Q$6,RawData[Tour/Site],$Q$2,RawData[[Picker ID ]],$Q$3,RawData[Checker ID],$Q$4,RawData[[Error Type ]],$Q$5))</f>
        <v/>
      </c>
    </row>
    <row r="11032" spans="15:15" x14ac:dyDescent="0.25">
      <c r="O11032" s="20" t="str">
        <f>IF(N11032="","",COUNTIFS(RawData[[Date ]],N11032,RawData[Month List],$Q$6,RawData[Tour/Site],$Q$2,RawData[[Picker ID ]],$Q$3,RawData[Checker ID],$Q$4,RawData[[Error Type ]],$Q$5))</f>
        <v/>
      </c>
    </row>
    <row r="11033" spans="15:15" x14ac:dyDescent="0.25">
      <c r="O11033" s="20" t="str">
        <f>IF(N11033="","",COUNTIFS(RawData[[Date ]],N11033,RawData[Month List],$Q$6,RawData[Tour/Site],$Q$2,RawData[[Picker ID ]],$Q$3,RawData[Checker ID],$Q$4,RawData[[Error Type ]],$Q$5))</f>
        <v/>
      </c>
    </row>
    <row r="11034" spans="15:15" x14ac:dyDescent="0.25">
      <c r="O11034" s="20" t="str">
        <f>IF(N11034="","",COUNTIFS(RawData[[Date ]],N11034,RawData[Month List],$Q$6,RawData[Tour/Site],$Q$2,RawData[[Picker ID ]],$Q$3,RawData[Checker ID],$Q$4,RawData[[Error Type ]],$Q$5))</f>
        <v/>
      </c>
    </row>
    <row r="11035" spans="15:15" x14ac:dyDescent="0.25">
      <c r="O11035" s="20" t="str">
        <f>IF(N11035="","",COUNTIFS(RawData[[Date ]],N11035,RawData[Month List],$Q$6,RawData[Tour/Site],$Q$2,RawData[[Picker ID ]],$Q$3,RawData[Checker ID],$Q$4,RawData[[Error Type ]],$Q$5))</f>
        <v/>
      </c>
    </row>
    <row r="11036" spans="15:15" x14ac:dyDescent="0.25">
      <c r="O11036" s="20" t="str">
        <f>IF(N11036="","",COUNTIFS(RawData[[Date ]],N11036,RawData[Month List],$Q$6,RawData[Tour/Site],$Q$2,RawData[[Picker ID ]],$Q$3,RawData[Checker ID],$Q$4,RawData[[Error Type ]],$Q$5))</f>
        <v/>
      </c>
    </row>
    <row r="11037" spans="15:15" x14ac:dyDescent="0.25">
      <c r="O11037" s="20" t="str">
        <f>IF(N11037="","",COUNTIFS(RawData[[Date ]],N11037,RawData[Month List],$Q$6,RawData[Tour/Site],$Q$2,RawData[[Picker ID ]],$Q$3,RawData[Checker ID],$Q$4,RawData[[Error Type ]],$Q$5))</f>
        <v/>
      </c>
    </row>
    <row r="11038" spans="15:15" x14ac:dyDescent="0.25">
      <c r="O11038" s="20" t="str">
        <f>IF(N11038="","",COUNTIFS(RawData[[Date ]],N11038,RawData[Month List],$Q$6,RawData[Tour/Site],$Q$2,RawData[[Picker ID ]],$Q$3,RawData[Checker ID],$Q$4,RawData[[Error Type ]],$Q$5))</f>
        <v/>
      </c>
    </row>
    <row r="11039" spans="15:15" x14ac:dyDescent="0.25">
      <c r="O11039" s="20" t="str">
        <f>IF(N11039="","",COUNTIFS(RawData[[Date ]],N11039,RawData[Month List],$Q$6,RawData[Tour/Site],$Q$2,RawData[[Picker ID ]],$Q$3,RawData[Checker ID],$Q$4,RawData[[Error Type ]],$Q$5))</f>
        <v/>
      </c>
    </row>
    <row r="11040" spans="15:15" x14ac:dyDescent="0.25">
      <c r="O11040" s="20" t="str">
        <f>IF(N11040="","",COUNTIFS(RawData[[Date ]],N11040,RawData[Month List],$Q$6,RawData[Tour/Site],$Q$2,RawData[[Picker ID ]],$Q$3,RawData[Checker ID],$Q$4,RawData[[Error Type ]],$Q$5))</f>
        <v/>
      </c>
    </row>
    <row r="11041" spans="15:15" x14ac:dyDescent="0.25">
      <c r="O11041" s="20" t="str">
        <f>IF(N11041="","",COUNTIFS(RawData[[Date ]],N11041,RawData[Month List],$Q$6,RawData[Tour/Site],$Q$2,RawData[[Picker ID ]],$Q$3,RawData[Checker ID],$Q$4,RawData[[Error Type ]],$Q$5))</f>
        <v/>
      </c>
    </row>
    <row r="11042" spans="15:15" x14ac:dyDescent="0.25">
      <c r="O11042" s="20" t="str">
        <f>IF(N11042="","",COUNTIFS(RawData[[Date ]],N11042,RawData[Month List],$Q$6,RawData[Tour/Site],$Q$2,RawData[[Picker ID ]],$Q$3,RawData[Checker ID],$Q$4,RawData[[Error Type ]],$Q$5))</f>
        <v/>
      </c>
    </row>
    <row r="11043" spans="15:15" x14ac:dyDescent="0.25">
      <c r="O11043" s="20" t="str">
        <f>IF(N11043="","",COUNTIFS(RawData[[Date ]],N11043,RawData[Month List],$Q$6,RawData[Tour/Site],$Q$2,RawData[[Picker ID ]],$Q$3,RawData[Checker ID],$Q$4,RawData[[Error Type ]],$Q$5))</f>
        <v/>
      </c>
    </row>
    <row r="11044" spans="15:15" x14ac:dyDescent="0.25">
      <c r="O11044" s="20" t="str">
        <f>IF(N11044="","",COUNTIFS(RawData[[Date ]],N11044,RawData[Month List],$Q$6,RawData[Tour/Site],$Q$2,RawData[[Picker ID ]],$Q$3,RawData[Checker ID],$Q$4,RawData[[Error Type ]],$Q$5))</f>
        <v/>
      </c>
    </row>
    <row r="11045" spans="15:15" x14ac:dyDescent="0.25">
      <c r="O11045" s="20" t="str">
        <f>IF(N11045="","",COUNTIFS(RawData[[Date ]],N11045,RawData[Month List],$Q$6,RawData[Tour/Site],$Q$2,RawData[[Picker ID ]],$Q$3,RawData[Checker ID],$Q$4,RawData[[Error Type ]],$Q$5))</f>
        <v/>
      </c>
    </row>
    <row r="11046" spans="15:15" x14ac:dyDescent="0.25">
      <c r="O11046" s="20" t="str">
        <f>IF(N11046="","",COUNTIFS(RawData[[Date ]],N11046,RawData[Month List],$Q$6,RawData[Tour/Site],$Q$2,RawData[[Picker ID ]],$Q$3,RawData[Checker ID],$Q$4,RawData[[Error Type ]],$Q$5))</f>
        <v/>
      </c>
    </row>
    <row r="11047" spans="15:15" x14ac:dyDescent="0.25">
      <c r="O11047" s="20" t="str">
        <f>IF(N11047="","",COUNTIFS(RawData[[Date ]],N11047,RawData[Month List],$Q$6,RawData[Tour/Site],$Q$2,RawData[[Picker ID ]],$Q$3,RawData[Checker ID],$Q$4,RawData[[Error Type ]],$Q$5))</f>
        <v/>
      </c>
    </row>
    <row r="11048" spans="15:15" x14ac:dyDescent="0.25">
      <c r="O11048" s="20" t="str">
        <f>IF(N11048="","",COUNTIFS(RawData[[Date ]],N11048,RawData[Month List],$Q$6,RawData[Tour/Site],$Q$2,RawData[[Picker ID ]],$Q$3,RawData[Checker ID],$Q$4,RawData[[Error Type ]],$Q$5))</f>
        <v/>
      </c>
    </row>
    <row r="11049" spans="15:15" x14ac:dyDescent="0.25">
      <c r="O11049" s="20" t="str">
        <f>IF(N11049="","",COUNTIFS(RawData[[Date ]],N11049,RawData[Month List],$Q$6,RawData[Tour/Site],$Q$2,RawData[[Picker ID ]],$Q$3,RawData[Checker ID],$Q$4,RawData[[Error Type ]],$Q$5))</f>
        <v/>
      </c>
    </row>
    <row r="11050" spans="15:15" x14ac:dyDescent="0.25">
      <c r="O11050" s="20" t="str">
        <f>IF(N11050="","",COUNTIFS(RawData[[Date ]],N11050,RawData[Month List],$Q$6,RawData[Tour/Site],$Q$2,RawData[[Picker ID ]],$Q$3,RawData[Checker ID],$Q$4,RawData[[Error Type ]],$Q$5))</f>
        <v/>
      </c>
    </row>
    <row r="11051" spans="15:15" x14ac:dyDescent="0.25">
      <c r="O11051" s="20" t="str">
        <f>IF(N11051="","",COUNTIFS(RawData[[Date ]],N11051,RawData[Month List],$Q$6,RawData[Tour/Site],$Q$2,RawData[[Picker ID ]],$Q$3,RawData[Checker ID],$Q$4,RawData[[Error Type ]],$Q$5))</f>
        <v/>
      </c>
    </row>
    <row r="11052" spans="15:15" x14ac:dyDescent="0.25">
      <c r="O11052" s="20" t="str">
        <f>IF(N11052="","",COUNTIFS(RawData[[Date ]],N11052,RawData[Month List],$Q$6,RawData[Tour/Site],$Q$2,RawData[[Picker ID ]],$Q$3,RawData[Checker ID],$Q$4,RawData[[Error Type ]],$Q$5))</f>
        <v/>
      </c>
    </row>
    <row r="11053" spans="15:15" x14ac:dyDescent="0.25">
      <c r="O11053" s="20" t="str">
        <f>IF(N11053="","",COUNTIFS(RawData[[Date ]],N11053,RawData[Month List],$Q$6,RawData[Tour/Site],$Q$2,RawData[[Picker ID ]],$Q$3,RawData[Checker ID],$Q$4,RawData[[Error Type ]],$Q$5))</f>
        <v/>
      </c>
    </row>
    <row r="11054" spans="15:15" x14ac:dyDescent="0.25">
      <c r="O11054" s="20" t="str">
        <f>IF(N11054="","",COUNTIFS(RawData[[Date ]],N11054,RawData[Month List],$Q$6,RawData[Tour/Site],$Q$2,RawData[[Picker ID ]],$Q$3,RawData[Checker ID],$Q$4,RawData[[Error Type ]],$Q$5))</f>
        <v/>
      </c>
    </row>
    <row r="11055" spans="15:15" x14ac:dyDescent="0.25">
      <c r="O11055" s="20" t="str">
        <f>IF(N11055="","",COUNTIFS(RawData[[Date ]],N11055,RawData[Month List],$Q$6,RawData[Tour/Site],$Q$2,RawData[[Picker ID ]],$Q$3,RawData[Checker ID],$Q$4,RawData[[Error Type ]],$Q$5))</f>
        <v/>
      </c>
    </row>
    <row r="11056" spans="15:15" x14ac:dyDescent="0.25">
      <c r="O11056" s="20" t="str">
        <f>IF(N11056="","",COUNTIFS(RawData[[Date ]],N11056,RawData[Month List],$Q$6,RawData[Tour/Site],$Q$2,RawData[[Picker ID ]],$Q$3,RawData[Checker ID],$Q$4,RawData[[Error Type ]],$Q$5))</f>
        <v/>
      </c>
    </row>
    <row r="11057" spans="15:15" x14ac:dyDescent="0.25">
      <c r="O11057" s="20" t="str">
        <f>IF(N11057="","",COUNTIFS(RawData[[Date ]],N11057,RawData[Month List],$Q$6,RawData[Tour/Site],$Q$2,RawData[[Picker ID ]],$Q$3,RawData[Checker ID],$Q$4,RawData[[Error Type ]],$Q$5))</f>
        <v/>
      </c>
    </row>
    <row r="11058" spans="15:15" x14ac:dyDescent="0.25">
      <c r="O11058" s="20" t="str">
        <f>IF(N11058="","",COUNTIFS(RawData[[Date ]],N11058,RawData[Month List],$Q$6,RawData[Tour/Site],$Q$2,RawData[[Picker ID ]],$Q$3,RawData[Checker ID],$Q$4,RawData[[Error Type ]],$Q$5))</f>
        <v/>
      </c>
    </row>
    <row r="11059" spans="15:15" x14ac:dyDescent="0.25">
      <c r="O11059" s="20" t="str">
        <f>IF(N11059="","",COUNTIFS(RawData[[Date ]],N11059,RawData[Month List],$Q$6,RawData[Tour/Site],$Q$2,RawData[[Picker ID ]],$Q$3,RawData[Checker ID],$Q$4,RawData[[Error Type ]],$Q$5))</f>
        <v/>
      </c>
    </row>
    <row r="11060" spans="15:15" x14ac:dyDescent="0.25">
      <c r="O11060" s="20" t="str">
        <f>IF(N11060="","",COUNTIFS(RawData[[Date ]],N11060,RawData[Month List],$Q$6,RawData[Tour/Site],$Q$2,RawData[[Picker ID ]],$Q$3,RawData[Checker ID],$Q$4,RawData[[Error Type ]],$Q$5))</f>
        <v/>
      </c>
    </row>
    <row r="11061" spans="15:15" x14ac:dyDescent="0.25">
      <c r="O11061" s="20" t="str">
        <f>IF(N11061="","",COUNTIFS(RawData[[Date ]],N11061,RawData[Month List],$Q$6,RawData[Tour/Site],$Q$2,RawData[[Picker ID ]],$Q$3,RawData[Checker ID],$Q$4,RawData[[Error Type ]],$Q$5))</f>
        <v/>
      </c>
    </row>
    <row r="11062" spans="15:15" x14ac:dyDescent="0.25">
      <c r="O11062" s="20" t="str">
        <f>IF(N11062="","",COUNTIFS(RawData[[Date ]],N11062,RawData[Month List],$Q$6,RawData[Tour/Site],$Q$2,RawData[[Picker ID ]],$Q$3,RawData[Checker ID],$Q$4,RawData[[Error Type ]],$Q$5))</f>
        <v/>
      </c>
    </row>
    <row r="11063" spans="15:15" x14ac:dyDescent="0.25">
      <c r="O11063" s="20" t="str">
        <f>IF(N11063="","",COUNTIFS(RawData[[Date ]],N11063,RawData[Month List],$Q$6,RawData[Tour/Site],$Q$2,RawData[[Picker ID ]],$Q$3,RawData[Checker ID],$Q$4,RawData[[Error Type ]],$Q$5))</f>
        <v/>
      </c>
    </row>
    <row r="11064" spans="15:15" x14ac:dyDescent="0.25">
      <c r="O11064" s="20" t="str">
        <f>IF(N11064="","",COUNTIFS(RawData[[Date ]],N11064,RawData[Month List],$Q$6,RawData[Tour/Site],$Q$2,RawData[[Picker ID ]],$Q$3,RawData[Checker ID],$Q$4,RawData[[Error Type ]],$Q$5))</f>
        <v/>
      </c>
    </row>
    <row r="11065" spans="15:15" x14ac:dyDescent="0.25">
      <c r="O11065" s="20" t="str">
        <f>IF(N11065="","",COUNTIFS(RawData[[Date ]],N11065,RawData[Month List],$Q$6,RawData[Tour/Site],$Q$2,RawData[[Picker ID ]],$Q$3,RawData[Checker ID],$Q$4,RawData[[Error Type ]],$Q$5))</f>
        <v/>
      </c>
    </row>
    <row r="11066" spans="15:15" x14ac:dyDescent="0.25">
      <c r="O11066" s="20" t="str">
        <f>IF(N11066="","",COUNTIFS(RawData[[Date ]],N11066,RawData[Month List],$Q$6,RawData[Tour/Site],$Q$2,RawData[[Picker ID ]],$Q$3,RawData[Checker ID],$Q$4,RawData[[Error Type ]],$Q$5))</f>
        <v/>
      </c>
    </row>
    <row r="11067" spans="15:15" x14ac:dyDescent="0.25">
      <c r="O11067" s="20" t="str">
        <f>IF(N11067="","",COUNTIFS(RawData[[Date ]],N11067,RawData[Month List],$Q$6,RawData[Tour/Site],$Q$2,RawData[[Picker ID ]],$Q$3,RawData[Checker ID],$Q$4,RawData[[Error Type ]],$Q$5))</f>
        <v/>
      </c>
    </row>
    <row r="11068" spans="15:15" x14ac:dyDescent="0.25">
      <c r="O11068" s="20" t="str">
        <f>IF(N11068="","",COUNTIFS(RawData[[Date ]],N11068,RawData[Month List],$Q$6,RawData[Tour/Site],$Q$2,RawData[[Picker ID ]],$Q$3,RawData[Checker ID],$Q$4,RawData[[Error Type ]],$Q$5))</f>
        <v/>
      </c>
    </row>
    <row r="11069" spans="15:15" x14ac:dyDescent="0.25">
      <c r="O11069" s="20" t="str">
        <f>IF(N11069="","",COUNTIFS(RawData[[Date ]],N11069,RawData[Month List],$Q$6,RawData[Tour/Site],$Q$2,RawData[[Picker ID ]],$Q$3,RawData[Checker ID],$Q$4,RawData[[Error Type ]],$Q$5))</f>
        <v/>
      </c>
    </row>
    <row r="11070" spans="15:15" x14ac:dyDescent="0.25">
      <c r="O11070" s="20" t="str">
        <f>IF(N11070="","",COUNTIFS(RawData[[Date ]],N11070,RawData[Month List],$Q$6,RawData[Tour/Site],$Q$2,RawData[[Picker ID ]],$Q$3,RawData[Checker ID],$Q$4,RawData[[Error Type ]],$Q$5))</f>
        <v/>
      </c>
    </row>
    <row r="11071" spans="15:15" x14ac:dyDescent="0.25">
      <c r="O11071" s="20" t="str">
        <f>IF(N11071="","",COUNTIFS(RawData[[Date ]],N11071,RawData[Month List],$Q$6,RawData[Tour/Site],$Q$2,RawData[[Picker ID ]],$Q$3,RawData[Checker ID],$Q$4,RawData[[Error Type ]],$Q$5))</f>
        <v/>
      </c>
    </row>
    <row r="11072" spans="15:15" x14ac:dyDescent="0.25">
      <c r="O11072" s="20" t="str">
        <f>IF(N11072="","",COUNTIFS(RawData[[Date ]],N11072,RawData[Month List],$Q$6,RawData[Tour/Site],$Q$2,RawData[[Picker ID ]],$Q$3,RawData[Checker ID],$Q$4,RawData[[Error Type ]],$Q$5))</f>
        <v/>
      </c>
    </row>
    <row r="11073" spans="15:15" x14ac:dyDescent="0.25">
      <c r="O11073" s="20" t="str">
        <f>IF(N11073="","",COUNTIFS(RawData[[Date ]],N11073,RawData[Month List],$Q$6,RawData[Tour/Site],$Q$2,RawData[[Picker ID ]],$Q$3,RawData[Checker ID],$Q$4,RawData[[Error Type ]],$Q$5))</f>
        <v/>
      </c>
    </row>
    <row r="11074" spans="15:15" x14ac:dyDescent="0.25">
      <c r="O11074" s="20" t="str">
        <f>IF(N11074="","",COUNTIFS(RawData[[Date ]],N11074,RawData[Month List],$Q$6,RawData[Tour/Site],$Q$2,RawData[[Picker ID ]],$Q$3,RawData[Checker ID],$Q$4,RawData[[Error Type ]],$Q$5))</f>
        <v/>
      </c>
    </row>
    <row r="11075" spans="15:15" x14ac:dyDescent="0.25">
      <c r="O11075" s="20" t="str">
        <f>IF(N11075="","",COUNTIFS(RawData[[Date ]],N11075,RawData[Month List],$Q$6,RawData[Tour/Site],$Q$2,RawData[[Picker ID ]],$Q$3,RawData[Checker ID],$Q$4,RawData[[Error Type ]],$Q$5))</f>
        <v/>
      </c>
    </row>
    <row r="11076" spans="15:15" x14ac:dyDescent="0.25">
      <c r="O11076" s="20" t="str">
        <f>IF(N11076="","",COUNTIFS(RawData[[Date ]],N11076,RawData[Month List],$Q$6,RawData[Tour/Site],$Q$2,RawData[[Picker ID ]],$Q$3,RawData[Checker ID],$Q$4,RawData[[Error Type ]],$Q$5))</f>
        <v/>
      </c>
    </row>
    <row r="11077" spans="15:15" x14ac:dyDescent="0.25">
      <c r="O11077" s="20" t="str">
        <f>IF(N11077="","",COUNTIFS(RawData[[Date ]],N11077,RawData[Month List],$Q$6,RawData[Tour/Site],$Q$2,RawData[[Picker ID ]],$Q$3,RawData[Checker ID],$Q$4,RawData[[Error Type ]],$Q$5))</f>
        <v/>
      </c>
    </row>
    <row r="11078" spans="15:15" x14ac:dyDescent="0.25">
      <c r="O11078" s="20" t="str">
        <f>IF(N11078="","",COUNTIFS(RawData[[Date ]],N11078,RawData[Month List],$Q$6,RawData[Tour/Site],$Q$2,RawData[[Picker ID ]],$Q$3,RawData[Checker ID],$Q$4,RawData[[Error Type ]],$Q$5))</f>
        <v/>
      </c>
    </row>
    <row r="11079" spans="15:15" x14ac:dyDescent="0.25">
      <c r="O11079" s="20" t="str">
        <f>IF(N11079="","",COUNTIFS(RawData[[Date ]],N11079,RawData[Month List],$Q$6,RawData[Tour/Site],$Q$2,RawData[[Picker ID ]],$Q$3,RawData[Checker ID],$Q$4,RawData[[Error Type ]],$Q$5))</f>
        <v/>
      </c>
    </row>
    <row r="11080" spans="15:15" x14ac:dyDescent="0.25">
      <c r="O11080" s="20" t="str">
        <f>IF(N11080="","",COUNTIFS(RawData[[Date ]],N11080,RawData[Month List],$Q$6,RawData[Tour/Site],$Q$2,RawData[[Picker ID ]],$Q$3,RawData[Checker ID],$Q$4,RawData[[Error Type ]],$Q$5))</f>
        <v/>
      </c>
    </row>
    <row r="11081" spans="15:15" x14ac:dyDescent="0.25">
      <c r="O11081" s="20" t="str">
        <f>IF(N11081="","",COUNTIFS(RawData[[Date ]],N11081,RawData[Month List],$Q$6,RawData[Tour/Site],$Q$2,RawData[[Picker ID ]],$Q$3,RawData[Checker ID],$Q$4,RawData[[Error Type ]],$Q$5))</f>
        <v/>
      </c>
    </row>
    <row r="11082" spans="15:15" x14ac:dyDescent="0.25">
      <c r="O11082" s="20" t="str">
        <f>IF(N11082="","",COUNTIFS(RawData[[Date ]],N11082,RawData[Month List],$Q$6,RawData[Tour/Site],$Q$2,RawData[[Picker ID ]],$Q$3,RawData[Checker ID],$Q$4,RawData[[Error Type ]],$Q$5))</f>
        <v/>
      </c>
    </row>
    <row r="11083" spans="15:15" x14ac:dyDescent="0.25">
      <c r="O11083" s="20" t="str">
        <f>IF(N11083="","",COUNTIFS(RawData[[Date ]],N11083,RawData[Month List],$Q$6,RawData[Tour/Site],$Q$2,RawData[[Picker ID ]],$Q$3,RawData[Checker ID],$Q$4,RawData[[Error Type ]],$Q$5))</f>
        <v/>
      </c>
    </row>
    <row r="11084" spans="15:15" x14ac:dyDescent="0.25">
      <c r="O11084" s="20" t="str">
        <f>IF(N11084="","",COUNTIFS(RawData[[Date ]],N11084,RawData[Month List],$Q$6,RawData[Tour/Site],$Q$2,RawData[[Picker ID ]],$Q$3,RawData[Checker ID],$Q$4,RawData[[Error Type ]],$Q$5))</f>
        <v/>
      </c>
    </row>
    <row r="11085" spans="15:15" x14ac:dyDescent="0.25">
      <c r="O11085" s="20" t="str">
        <f>IF(N11085="","",COUNTIFS(RawData[[Date ]],N11085,RawData[Month List],$Q$6,RawData[Tour/Site],$Q$2,RawData[[Picker ID ]],$Q$3,RawData[Checker ID],$Q$4,RawData[[Error Type ]],$Q$5))</f>
        <v/>
      </c>
    </row>
    <row r="11086" spans="15:15" x14ac:dyDescent="0.25">
      <c r="O11086" s="20" t="str">
        <f>IF(N11086="","",COUNTIFS(RawData[[Date ]],N11086,RawData[Month List],$Q$6,RawData[Tour/Site],$Q$2,RawData[[Picker ID ]],$Q$3,RawData[Checker ID],$Q$4,RawData[[Error Type ]],$Q$5))</f>
        <v/>
      </c>
    </row>
    <row r="11087" spans="15:15" x14ac:dyDescent="0.25">
      <c r="O11087" s="20" t="str">
        <f>IF(N11087="","",COUNTIFS(RawData[[Date ]],N11087,RawData[Month List],$Q$6,RawData[Tour/Site],$Q$2,RawData[[Picker ID ]],$Q$3,RawData[Checker ID],$Q$4,RawData[[Error Type ]],$Q$5))</f>
        <v/>
      </c>
    </row>
    <row r="11088" spans="15:15" x14ac:dyDescent="0.25">
      <c r="O11088" s="20" t="str">
        <f>IF(N11088="","",COUNTIFS(RawData[[Date ]],N11088,RawData[Month List],$Q$6,RawData[Tour/Site],$Q$2,RawData[[Picker ID ]],$Q$3,RawData[Checker ID],$Q$4,RawData[[Error Type ]],$Q$5))</f>
        <v/>
      </c>
    </row>
    <row r="11089" spans="15:15" x14ac:dyDescent="0.25">
      <c r="O11089" s="20" t="str">
        <f>IF(N11089="","",COUNTIFS(RawData[[Date ]],N11089,RawData[Month List],$Q$6,RawData[Tour/Site],$Q$2,RawData[[Picker ID ]],$Q$3,RawData[Checker ID],$Q$4,RawData[[Error Type ]],$Q$5))</f>
        <v/>
      </c>
    </row>
    <row r="11090" spans="15:15" x14ac:dyDescent="0.25">
      <c r="O11090" s="20" t="str">
        <f>IF(N11090="","",COUNTIFS(RawData[[Date ]],N11090,RawData[Month List],$Q$6,RawData[Tour/Site],$Q$2,RawData[[Picker ID ]],$Q$3,RawData[Checker ID],$Q$4,RawData[[Error Type ]],$Q$5))</f>
        <v/>
      </c>
    </row>
    <row r="11091" spans="15:15" x14ac:dyDescent="0.25">
      <c r="O11091" s="20" t="str">
        <f>IF(N11091="","",COUNTIFS(RawData[[Date ]],N11091,RawData[Month List],$Q$6,RawData[Tour/Site],$Q$2,RawData[[Picker ID ]],$Q$3,RawData[Checker ID],$Q$4,RawData[[Error Type ]],$Q$5))</f>
        <v/>
      </c>
    </row>
    <row r="11092" spans="15:15" x14ac:dyDescent="0.25">
      <c r="O11092" s="20" t="str">
        <f>IF(N11092="","",COUNTIFS(RawData[[Date ]],N11092,RawData[Month List],$Q$6,RawData[Tour/Site],$Q$2,RawData[[Picker ID ]],$Q$3,RawData[Checker ID],$Q$4,RawData[[Error Type ]],$Q$5))</f>
        <v/>
      </c>
    </row>
    <row r="11093" spans="15:15" x14ac:dyDescent="0.25">
      <c r="O11093" s="20" t="str">
        <f>IF(N11093="","",COUNTIFS(RawData[[Date ]],N11093,RawData[Month List],$Q$6,RawData[Tour/Site],$Q$2,RawData[[Picker ID ]],$Q$3,RawData[Checker ID],$Q$4,RawData[[Error Type ]],$Q$5))</f>
        <v/>
      </c>
    </row>
    <row r="11094" spans="15:15" x14ac:dyDescent="0.25">
      <c r="O11094" s="20" t="str">
        <f>IF(N11094="","",COUNTIFS(RawData[[Date ]],N11094,RawData[Month List],$Q$6,RawData[Tour/Site],$Q$2,RawData[[Picker ID ]],$Q$3,RawData[Checker ID],$Q$4,RawData[[Error Type ]],$Q$5))</f>
        <v/>
      </c>
    </row>
    <row r="11095" spans="15:15" x14ac:dyDescent="0.25">
      <c r="O11095" s="20" t="str">
        <f>IF(N11095="","",COUNTIFS(RawData[[Date ]],N11095,RawData[Month List],$Q$6,RawData[Tour/Site],$Q$2,RawData[[Picker ID ]],$Q$3,RawData[Checker ID],$Q$4,RawData[[Error Type ]],$Q$5))</f>
        <v/>
      </c>
    </row>
    <row r="11096" spans="15:15" x14ac:dyDescent="0.25">
      <c r="O11096" s="20" t="str">
        <f>IF(N11096="","",COUNTIFS(RawData[[Date ]],N11096,RawData[Month List],$Q$6,RawData[Tour/Site],$Q$2,RawData[[Picker ID ]],$Q$3,RawData[Checker ID],$Q$4,RawData[[Error Type ]],$Q$5))</f>
        <v/>
      </c>
    </row>
    <row r="11097" spans="15:15" x14ac:dyDescent="0.25">
      <c r="O11097" s="20" t="str">
        <f>IF(N11097="","",COUNTIFS(RawData[[Date ]],N11097,RawData[Month List],$Q$6,RawData[Tour/Site],$Q$2,RawData[[Picker ID ]],$Q$3,RawData[Checker ID],$Q$4,RawData[[Error Type ]],$Q$5))</f>
        <v/>
      </c>
    </row>
    <row r="11098" spans="15:15" x14ac:dyDescent="0.25">
      <c r="O11098" s="20" t="str">
        <f>IF(N11098="","",COUNTIFS(RawData[[Date ]],N11098,RawData[Month List],$Q$6,RawData[Tour/Site],$Q$2,RawData[[Picker ID ]],$Q$3,RawData[Checker ID],$Q$4,RawData[[Error Type ]],$Q$5))</f>
        <v/>
      </c>
    </row>
    <row r="11099" spans="15:15" x14ac:dyDescent="0.25">
      <c r="O11099" s="20" t="str">
        <f>IF(N11099="","",COUNTIFS(RawData[[Date ]],N11099,RawData[Month List],$Q$6,RawData[Tour/Site],$Q$2,RawData[[Picker ID ]],$Q$3,RawData[Checker ID],$Q$4,RawData[[Error Type ]],$Q$5))</f>
        <v/>
      </c>
    </row>
    <row r="11100" spans="15:15" x14ac:dyDescent="0.25">
      <c r="O11100" s="20" t="str">
        <f>IF(N11100="","",COUNTIFS(RawData[[Date ]],N11100,RawData[Month List],$Q$6,RawData[Tour/Site],$Q$2,RawData[[Picker ID ]],$Q$3,RawData[Checker ID],$Q$4,RawData[[Error Type ]],$Q$5))</f>
        <v/>
      </c>
    </row>
    <row r="11101" spans="15:15" x14ac:dyDescent="0.25">
      <c r="O11101" s="20" t="str">
        <f>IF(N11101="","",COUNTIFS(RawData[[Date ]],N11101,RawData[Month List],$Q$6,RawData[Tour/Site],$Q$2,RawData[[Picker ID ]],$Q$3,RawData[Checker ID],$Q$4,RawData[[Error Type ]],$Q$5))</f>
        <v/>
      </c>
    </row>
    <row r="11102" spans="15:15" x14ac:dyDescent="0.25">
      <c r="O11102" s="20" t="str">
        <f>IF(N11102="","",COUNTIFS(RawData[[Date ]],N11102,RawData[Month List],$Q$6,RawData[Tour/Site],$Q$2,RawData[[Picker ID ]],$Q$3,RawData[Checker ID],$Q$4,RawData[[Error Type ]],$Q$5))</f>
        <v/>
      </c>
    </row>
    <row r="11103" spans="15:15" x14ac:dyDescent="0.25">
      <c r="O11103" s="20" t="str">
        <f>IF(N11103="","",COUNTIFS(RawData[[Date ]],N11103,RawData[Month List],$Q$6,RawData[Tour/Site],$Q$2,RawData[[Picker ID ]],$Q$3,RawData[Checker ID],$Q$4,RawData[[Error Type ]],$Q$5))</f>
        <v/>
      </c>
    </row>
    <row r="11104" spans="15:15" x14ac:dyDescent="0.25">
      <c r="O11104" s="20" t="str">
        <f>IF(N11104="","",COUNTIFS(RawData[[Date ]],N11104,RawData[Month List],$Q$6,RawData[Tour/Site],$Q$2,RawData[[Picker ID ]],$Q$3,RawData[Checker ID],$Q$4,RawData[[Error Type ]],$Q$5))</f>
        <v/>
      </c>
    </row>
    <row r="11105" spans="15:15" x14ac:dyDescent="0.25">
      <c r="O11105" s="20" t="str">
        <f>IF(N11105="","",COUNTIFS(RawData[[Date ]],N11105,RawData[Month List],$Q$6,RawData[Tour/Site],$Q$2,RawData[[Picker ID ]],$Q$3,RawData[Checker ID],$Q$4,RawData[[Error Type ]],$Q$5))</f>
        <v/>
      </c>
    </row>
    <row r="11106" spans="15:15" x14ac:dyDescent="0.25">
      <c r="O11106" s="20" t="str">
        <f>IF(N11106="","",COUNTIFS(RawData[[Date ]],N11106,RawData[Month List],$Q$6,RawData[Tour/Site],$Q$2,RawData[[Picker ID ]],$Q$3,RawData[Checker ID],$Q$4,RawData[[Error Type ]],$Q$5))</f>
        <v/>
      </c>
    </row>
    <row r="11107" spans="15:15" x14ac:dyDescent="0.25">
      <c r="O11107" s="20" t="str">
        <f>IF(N11107="","",COUNTIFS(RawData[[Date ]],N11107,RawData[Month List],$Q$6,RawData[Tour/Site],$Q$2,RawData[[Picker ID ]],$Q$3,RawData[Checker ID],$Q$4,RawData[[Error Type ]],$Q$5))</f>
        <v/>
      </c>
    </row>
    <row r="11108" spans="15:15" x14ac:dyDescent="0.25">
      <c r="O11108" s="20" t="str">
        <f>IF(N11108="","",COUNTIFS(RawData[[Date ]],N11108,RawData[Month List],$Q$6,RawData[Tour/Site],$Q$2,RawData[[Picker ID ]],$Q$3,RawData[Checker ID],$Q$4,RawData[[Error Type ]],$Q$5))</f>
        <v/>
      </c>
    </row>
    <row r="11109" spans="15:15" x14ac:dyDescent="0.25">
      <c r="O11109" s="20" t="str">
        <f>IF(N11109="","",COUNTIFS(RawData[[Date ]],N11109,RawData[Month List],$Q$6,RawData[Tour/Site],$Q$2,RawData[[Picker ID ]],$Q$3,RawData[Checker ID],$Q$4,RawData[[Error Type ]],$Q$5))</f>
        <v/>
      </c>
    </row>
    <row r="11110" spans="15:15" x14ac:dyDescent="0.25">
      <c r="O11110" s="20" t="str">
        <f>IF(N11110="","",COUNTIFS(RawData[[Date ]],N11110,RawData[Month List],$Q$6,RawData[Tour/Site],$Q$2,RawData[[Picker ID ]],$Q$3,RawData[Checker ID],$Q$4,RawData[[Error Type ]],$Q$5))</f>
        <v/>
      </c>
    </row>
    <row r="11111" spans="15:15" x14ac:dyDescent="0.25">
      <c r="O11111" s="20" t="str">
        <f>IF(N11111="","",COUNTIFS(RawData[[Date ]],N11111,RawData[Month List],$Q$6,RawData[Tour/Site],$Q$2,RawData[[Picker ID ]],$Q$3,RawData[Checker ID],$Q$4,RawData[[Error Type ]],$Q$5))</f>
        <v/>
      </c>
    </row>
    <row r="11112" spans="15:15" x14ac:dyDescent="0.25">
      <c r="O11112" s="20" t="str">
        <f>IF(N11112="","",COUNTIFS(RawData[[Date ]],N11112,RawData[Month List],$Q$6,RawData[Tour/Site],$Q$2,RawData[[Picker ID ]],$Q$3,RawData[Checker ID],$Q$4,RawData[[Error Type ]],$Q$5))</f>
        <v/>
      </c>
    </row>
    <row r="11113" spans="15:15" x14ac:dyDescent="0.25">
      <c r="O11113" s="20" t="str">
        <f>IF(N11113="","",COUNTIFS(RawData[[Date ]],N11113,RawData[Month List],$Q$6,RawData[Tour/Site],$Q$2,RawData[[Picker ID ]],$Q$3,RawData[Checker ID],$Q$4,RawData[[Error Type ]],$Q$5))</f>
        <v/>
      </c>
    </row>
    <row r="11114" spans="15:15" x14ac:dyDescent="0.25">
      <c r="O11114" s="20" t="str">
        <f>IF(N11114="","",COUNTIFS(RawData[[Date ]],N11114,RawData[Month List],$Q$6,RawData[Tour/Site],$Q$2,RawData[[Picker ID ]],$Q$3,RawData[Checker ID],$Q$4,RawData[[Error Type ]],$Q$5))</f>
        <v/>
      </c>
    </row>
    <row r="11115" spans="15:15" x14ac:dyDescent="0.25">
      <c r="O11115" s="20" t="str">
        <f>IF(N11115="","",COUNTIFS(RawData[[Date ]],N11115,RawData[Month List],$Q$6,RawData[Tour/Site],$Q$2,RawData[[Picker ID ]],$Q$3,RawData[Checker ID],$Q$4,RawData[[Error Type ]],$Q$5))</f>
        <v/>
      </c>
    </row>
    <row r="11116" spans="15:15" x14ac:dyDescent="0.25">
      <c r="O11116" s="20" t="str">
        <f>IF(N11116="","",COUNTIFS(RawData[[Date ]],N11116,RawData[Month List],$Q$6,RawData[Tour/Site],$Q$2,RawData[[Picker ID ]],$Q$3,RawData[Checker ID],$Q$4,RawData[[Error Type ]],$Q$5))</f>
        <v/>
      </c>
    </row>
    <row r="11117" spans="15:15" x14ac:dyDescent="0.25">
      <c r="O11117" s="20" t="str">
        <f>IF(N11117="","",COUNTIFS(RawData[[Date ]],N11117,RawData[Month List],$Q$6,RawData[Tour/Site],$Q$2,RawData[[Picker ID ]],$Q$3,RawData[Checker ID],$Q$4,RawData[[Error Type ]],$Q$5))</f>
        <v/>
      </c>
    </row>
    <row r="11118" spans="15:15" x14ac:dyDescent="0.25">
      <c r="O11118" s="20" t="str">
        <f>IF(N11118="","",COUNTIFS(RawData[[Date ]],N11118,RawData[Month List],$Q$6,RawData[Tour/Site],$Q$2,RawData[[Picker ID ]],$Q$3,RawData[Checker ID],$Q$4,RawData[[Error Type ]],$Q$5))</f>
        <v/>
      </c>
    </row>
    <row r="11119" spans="15:15" x14ac:dyDescent="0.25">
      <c r="O11119" s="20" t="str">
        <f>IF(N11119="","",COUNTIFS(RawData[[Date ]],N11119,RawData[Month List],$Q$6,RawData[Tour/Site],$Q$2,RawData[[Picker ID ]],$Q$3,RawData[Checker ID],$Q$4,RawData[[Error Type ]],$Q$5))</f>
        <v/>
      </c>
    </row>
    <row r="11120" spans="15:15" x14ac:dyDescent="0.25">
      <c r="O11120" s="20" t="str">
        <f>IF(N11120="","",COUNTIFS(RawData[[Date ]],N11120,RawData[Month List],$Q$6,RawData[Tour/Site],$Q$2,RawData[[Picker ID ]],$Q$3,RawData[Checker ID],$Q$4,RawData[[Error Type ]],$Q$5))</f>
        <v/>
      </c>
    </row>
    <row r="11121" spans="15:15" x14ac:dyDescent="0.25">
      <c r="O11121" s="20" t="str">
        <f>IF(N11121="","",COUNTIFS(RawData[[Date ]],N11121,RawData[Month List],$Q$6,RawData[Tour/Site],$Q$2,RawData[[Picker ID ]],$Q$3,RawData[Checker ID],$Q$4,RawData[[Error Type ]],$Q$5))</f>
        <v/>
      </c>
    </row>
    <row r="11122" spans="15:15" x14ac:dyDescent="0.25">
      <c r="O11122" s="20" t="str">
        <f>IF(N11122="","",COUNTIFS(RawData[[Date ]],N11122,RawData[Month List],$Q$6,RawData[Tour/Site],$Q$2,RawData[[Picker ID ]],$Q$3,RawData[Checker ID],$Q$4,RawData[[Error Type ]],$Q$5))</f>
        <v/>
      </c>
    </row>
    <row r="11123" spans="15:15" x14ac:dyDescent="0.25">
      <c r="O11123" s="20" t="str">
        <f>IF(N11123="","",COUNTIFS(RawData[[Date ]],N11123,RawData[Month List],$Q$6,RawData[Tour/Site],$Q$2,RawData[[Picker ID ]],$Q$3,RawData[Checker ID],$Q$4,RawData[[Error Type ]],$Q$5))</f>
        <v/>
      </c>
    </row>
    <row r="11124" spans="15:15" x14ac:dyDescent="0.25">
      <c r="O11124" s="20" t="str">
        <f>IF(N11124="","",COUNTIFS(RawData[[Date ]],N11124,RawData[Month List],$Q$6,RawData[Tour/Site],$Q$2,RawData[[Picker ID ]],$Q$3,RawData[Checker ID],$Q$4,RawData[[Error Type ]],$Q$5))</f>
        <v/>
      </c>
    </row>
    <row r="11125" spans="15:15" x14ac:dyDescent="0.25">
      <c r="O11125" s="20" t="str">
        <f>IF(N11125="","",COUNTIFS(RawData[[Date ]],N11125,RawData[Month List],$Q$6,RawData[Tour/Site],$Q$2,RawData[[Picker ID ]],$Q$3,RawData[Checker ID],$Q$4,RawData[[Error Type ]],$Q$5))</f>
        <v/>
      </c>
    </row>
    <row r="11126" spans="15:15" x14ac:dyDescent="0.25">
      <c r="O11126" s="20" t="str">
        <f>IF(N11126="","",COUNTIFS(RawData[[Date ]],N11126,RawData[Month List],$Q$6,RawData[Tour/Site],$Q$2,RawData[[Picker ID ]],$Q$3,RawData[Checker ID],$Q$4,RawData[[Error Type ]],$Q$5))</f>
        <v/>
      </c>
    </row>
    <row r="11127" spans="15:15" x14ac:dyDescent="0.25">
      <c r="O11127" s="20" t="str">
        <f>IF(N11127="","",COUNTIFS(RawData[[Date ]],N11127,RawData[Month List],$Q$6,RawData[Tour/Site],$Q$2,RawData[[Picker ID ]],$Q$3,RawData[Checker ID],$Q$4,RawData[[Error Type ]],$Q$5))</f>
        <v/>
      </c>
    </row>
    <row r="11128" spans="15:15" x14ac:dyDescent="0.25">
      <c r="O11128" s="20" t="str">
        <f>IF(N11128="","",COUNTIFS(RawData[[Date ]],N11128,RawData[Month List],$Q$6,RawData[Tour/Site],$Q$2,RawData[[Picker ID ]],$Q$3,RawData[Checker ID],$Q$4,RawData[[Error Type ]],$Q$5))</f>
        <v/>
      </c>
    </row>
    <row r="11129" spans="15:15" x14ac:dyDescent="0.25">
      <c r="O11129" s="20" t="str">
        <f>IF(N11129="","",COUNTIFS(RawData[[Date ]],N11129,RawData[Month List],$Q$6,RawData[Tour/Site],$Q$2,RawData[[Picker ID ]],$Q$3,RawData[Checker ID],$Q$4,RawData[[Error Type ]],$Q$5))</f>
        <v/>
      </c>
    </row>
    <row r="11130" spans="15:15" x14ac:dyDescent="0.25">
      <c r="O11130" s="20" t="str">
        <f>IF(N11130="","",COUNTIFS(RawData[[Date ]],N11130,RawData[Month List],$Q$6,RawData[Tour/Site],$Q$2,RawData[[Picker ID ]],$Q$3,RawData[Checker ID],$Q$4,RawData[[Error Type ]],$Q$5))</f>
        <v/>
      </c>
    </row>
    <row r="11131" spans="15:15" x14ac:dyDescent="0.25">
      <c r="O11131" s="20" t="str">
        <f>IF(N11131="","",COUNTIFS(RawData[[Date ]],N11131,RawData[Month List],$Q$6,RawData[Tour/Site],$Q$2,RawData[[Picker ID ]],$Q$3,RawData[Checker ID],$Q$4,RawData[[Error Type ]],$Q$5))</f>
        <v/>
      </c>
    </row>
    <row r="11132" spans="15:15" x14ac:dyDescent="0.25">
      <c r="O11132" s="20" t="str">
        <f>IF(N11132="","",COUNTIFS(RawData[[Date ]],N11132,RawData[Month List],$Q$6,RawData[Tour/Site],$Q$2,RawData[[Picker ID ]],$Q$3,RawData[Checker ID],$Q$4,RawData[[Error Type ]],$Q$5))</f>
        <v/>
      </c>
    </row>
    <row r="11133" spans="15:15" x14ac:dyDescent="0.25">
      <c r="O11133" s="20" t="str">
        <f>IF(N11133="","",COUNTIFS(RawData[[Date ]],N11133,RawData[Month List],$Q$6,RawData[Tour/Site],$Q$2,RawData[[Picker ID ]],$Q$3,RawData[Checker ID],$Q$4,RawData[[Error Type ]],$Q$5))</f>
        <v/>
      </c>
    </row>
    <row r="11134" spans="15:15" x14ac:dyDescent="0.25">
      <c r="O11134" s="20" t="str">
        <f>IF(N11134="","",COUNTIFS(RawData[[Date ]],N11134,RawData[Month List],$Q$6,RawData[Tour/Site],$Q$2,RawData[[Picker ID ]],$Q$3,RawData[Checker ID],$Q$4,RawData[[Error Type ]],$Q$5))</f>
        <v/>
      </c>
    </row>
    <row r="11135" spans="15:15" x14ac:dyDescent="0.25">
      <c r="O11135" s="20" t="str">
        <f>IF(N11135="","",COUNTIFS(RawData[[Date ]],N11135,RawData[Month List],$Q$6,RawData[Tour/Site],$Q$2,RawData[[Picker ID ]],$Q$3,RawData[Checker ID],$Q$4,RawData[[Error Type ]],$Q$5))</f>
        <v/>
      </c>
    </row>
    <row r="11136" spans="15:15" x14ac:dyDescent="0.25">
      <c r="O11136" s="20" t="str">
        <f>IF(N11136="","",COUNTIFS(RawData[[Date ]],N11136,RawData[Month List],$Q$6,RawData[Tour/Site],$Q$2,RawData[[Picker ID ]],$Q$3,RawData[Checker ID],$Q$4,RawData[[Error Type ]],$Q$5))</f>
        <v/>
      </c>
    </row>
    <row r="11137" spans="15:15" x14ac:dyDescent="0.25">
      <c r="O11137" s="20" t="str">
        <f>IF(N11137="","",COUNTIFS(RawData[[Date ]],N11137,RawData[Month List],$Q$6,RawData[Tour/Site],$Q$2,RawData[[Picker ID ]],$Q$3,RawData[Checker ID],$Q$4,RawData[[Error Type ]],$Q$5))</f>
        <v/>
      </c>
    </row>
    <row r="11138" spans="15:15" x14ac:dyDescent="0.25">
      <c r="O11138" s="20" t="str">
        <f>IF(N11138="","",COUNTIFS(RawData[[Date ]],N11138,RawData[Month List],$Q$6,RawData[Tour/Site],$Q$2,RawData[[Picker ID ]],$Q$3,RawData[Checker ID],$Q$4,RawData[[Error Type ]],$Q$5))</f>
        <v/>
      </c>
    </row>
    <row r="11139" spans="15:15" x14ac:dyDescent="0.25">
      <c r="O11139" s="20" t="str">
        <f>IF(N11139="","",COUNTIFS(RawData[[Date ]],N11139,RawData[Month List],$Q$6,RawData[Tour/Site],$Q$2,RawData[[Picker ID ]],$Q$3,RawData[Checker ID],$Q$4,RawData[[Error Type ]],$Q$5))</f>
        <v/>
      </c>
    </row>
    <row r="11140" spans="15:15" x14ac:dyDescent="0.25">
      <c r="O11140" s="20" t="str">
        <f>IF(N11140="","",COUNTIFS(RawData[[Date ]],N11140,RawData[Month List],$Q$6,RawData[Tour/Site],$Q$2,RawData[[Picker ID ]],$Q$3,RawData[Checker ID],$Q$4,RawData[[Error Type ]],$Q$5))</f>
        <v/>
      </c>
    </row>
    <row r="11141" spans="15:15" x14ac:dyDescent="0.25">
      <c r="O11141" s="20" t="str">
        <f>IF(N11141="","",COUNTIFS(RawData[[Date ]],N11141,RawData[Month List],$Q$6,RawData[Tour/Site],$Q$2,RawData[[Picker ID ]],$Q$3,RawData[Checker ID],$Q$4,RawData[[Error Type ]],$Q$5))</f>
        <v/>
      </c>
    </row>
    <row r="11142" spans="15:15" x14ac:dyDescent="0.25">
      <c r="O11142" s="20" t="str">
        <f>IF(N11142="","",COUNTIFS(RawData[[Date ]],N11142,RawData[Month List],$Q$6,RawData[Tour/Site],$Q$2,RawData[[Picker ID ]],$Q$3,RawData[Checker ID],$Q$4,RawData[[Error Type ]],$Q$5))</f>
        <v/>
      </c>
    </row>
    <row r="11143" spans="15:15" x14ac:dyDescent="0.25">
      <c r="O11143" s="20" t="str">
        <f>IF(N11143="","",COUNTIFS(RawData[[Date ]],N11143,RawData[Month List],$Q$6,RawData[Tour/Site],$Q$2,RawData[[Picker ID ]],$Q$3,RawData[Checker ID],$Q$4,RawData[[Error Type ]],$Q$5))</f>
        <v/>
      </c>
    </row>
    <row r="11144" spans="15:15" x14ac:dyDescent="0.25">
      <c r="O11144" s="20" t="str">
        <f>IF(N11144="","",COUNTIFS(RawData[[Date ]],N11144,RawData[Month List],$Q$6,RawData[Tour/Site],$Q$2,RawData[[Picker ID ]],$Q$3,RawData[Checker ID],$Q$4,RawData[[Error Type ]],$Q$5))</f>
        <v/>
      </c>
    </row>
    <row r="11145" spans="15:15" x14ac:dyDescent="0.25">
      <c r="O11145" s="20" t="str">
        <f>IF(N11145="","",COUNTIFS(RawData[[Date ]],N11145,RawData[Month List],$Q$6,RawData[Tour/Site],$Q$2,RawData[[Picker ID ]],$Q$3,RawData[Checker ID],$Q$4,RawData[[Error Type ]],$Q$5))</f>
        <v/>
      </c>
    </row>
    <row r="11146" spans="15:15" x14ac:dyDescent="0.25">
      <c r="O11146" s="20" t="str">
        <f>IF(N11146="","",COUNTIFS(RawData[[Date ]],N11146,RawData[Month List],$Q$6,RawData[Tour/Site],$Q$2,RawData[[Picker ID ]],$Q$3,RawData[Checker ID],$Q$4,RawData[[Error Type ]],$Q$5))</f>
        <v/>
      </c>
    </row>
    <row r="11147" spans="15:15" x14ac:dyDescent="0.25">
      <c r="O11147" s="20" t="str">
        <f>IF(N11147="","",COUNTIFS(RawData[[Date ]],N11147,RawData[Month List],$Q$6,RawData[Tour/Site],$Q$2,RawData[[Picker ID ]],$Q$3,RawData[Checker ID],$Q$4,RawData[[Error Type ]],$Q$5))</f>
        <v/>
      </c>
    </row>
    <row r="11148" spans="15:15" x14ac:dyDescent="0.25">
      <c r="O11148" s="20" t="str">
        <f>IF(N11148="","",COUNTIFS(RawData[[Date ]],N11148,RawData[Month List],$Q$6,RawData[Tour/Site],$Q$2,RawData[[Picker ID ]],$Q$3,RawData[Checker ID],$Q$4,RawData[[Error Type ]],$Q$5))</f>
        <v/>
      </c>
    </row>
    <row r="11149" spans="15:15" x14ac:dyDescent="0.25">
      <c r="O11149" s="20" t="str">
        <f>IF(N11149="","",COUNTIFS(RawData[[Date ]],N11149,RawData[Month List],$Q$6,RawData[Tour/Site],$Q$2,RawData[[Picker ID ]],$Q$3,RawData[Checker ID],$Q$4,RawData[[Error Type ]],$Q$5))</f>
        <v/>
      </c>
    </row>
    <row r="11150" spans="15:15" x14ac:dyDescent="0.25">
      <c r="O11150" s="20" t="str">
        <f>IF(N11150="","",COUNTIFS(RawData[[Date ]],N11150,RawData[Month List],$Q$6,RawData[Tour/Site],$Q$2,RawData[[Picker ID ]],$Q$3,RawData[Checker ID],$Q$4,RawData[[Error Type ]],$Q$5))</f>
        <v/>
      </c>
    </row>
    <row r="11151" spans="15:15" x14ac:dyDescent="0.25">
      <c r="O11151" s="20" t="str">
        <f>IF(N11151="","",COUNTIFS(RawData[[Date ]],N11151,RawData[Month List],$Q$6,RawData[Tour/Site],$Q$2,RawData[[Picker ID ]],$Q$3,RawData[Checker ID],$Q$4,RawData[[Error Type ]],$Q$5))</f>
        <v/>
      </c>
    </row>
    <row r="11152" spans="15:15" x14ac:dyDescent="0.25">
      <c r="O11152" s="20" t="str">
        <f>IF(N11152="","",COUNTIFS(RawData[[Date ]],N11152,RawData[Month List],$Q$6,RawData[Tour/Site],$Q$2,RawData[[Picker ID ]],$Q$3,RawData[Checker ID],$Q$4,RawData[[Error Type ]],$Q$5))</f>
        <v/>
      </c>
    </row>
    <row r="11153" spans="15:15" x14ac:dyDescent="0.25">
      <c r="O11153" s="20" t="str">
        <f>IF(N11153="","",COUNTIFS(RawData[[Date ]],N11153,RawData[Month List],$Q$6,RawData[Tour/Site],$Q$2,RawData[[Picker ID ]],$Q$3,RawData[Checker ID],$Q$4,RawData[[Error Type ]],$Q$5))</f>
        <v/>
      </c>
    </row>
    <row r="11154" spans="15:15" x14ac:dyDescent="0.25">
      <c r="O11154" s="20" t="str">
        <f>IF(N11154="","",COUNTIFS(RawData[[Date ]],N11154,RawData[Month List],$Q$6,RawData[Tour/Site],$Q$2,RawData[[Picker ID ]],$Q$3,RawData[Checker ID],$Q$4,RawData[[Error Type ]],$Q$5))</f>
        <v/>
      </c>
    </row>
    <row r="11155" spans="15:15" x14ac:dyDescent="0.25">
      <c r="O11155" s="20" t="str">
        <f>IF(N11155="","",COUNTIFS(RawData[[Date ]],N11155,RawData[Month List],$Q$6,RawData[Tour/Site],$Q$2,RawData[[Picker ID ]],$Q$3,RawData[Checker ID],$Q$4,RawData[[Error Type ]],$Q$5))</f>
        <v/>
      </c>
    </row>
    <row r="11156" spans="15:15" x14ac:dyDescent="0.25">
      <c r="O11156" s="20" t="str">
        <f>IF(N11156="","",COUNTIFS(RawData[[Date ]],N11156,RawData[Month List],$Q$6,RawData[Tour/Site],$Q$2,RawData[[Picker ID ]],$Q$3,RawData[Checker ID],$Q$4,RawData[[Error Type ]],$Q$5))</f>
        <v/>
      </c>
    </row>
    <row r="11157" spans="15:15" x14ac:dyDescent="0.25">
      <c r="O11157" s="20" t="str">
        <f>IF(N11157="","",COUNTIFS(RawData[[Date ]],N11157,RawData[Month List],$Q$6,RawData[Tour/Site],$Q$2,RawData[[Picker ID ]],$Q$3,RawData[Checker ID],$Q$4,RawData[[Error Type ]],$Q$5))</f>
        <v/>
      </c>
    </row>
    <row r="11158" spans="15:15" x14ac:dyDescent="0.25">
      <c r="O11158" s="20" t="str">
        <f>IF(N11158="","",COUNTIFS(RawData[[Date ]],N11158,RawData[Month List],$Q$6,RawData[Tour/Site],$Q$2,RawData[[Picker ID ]],$Q$3,RawData[Checker ID],$Q$4,RawData[[Error Type ]],$Q$5))</f>
        <v/>
      </c>
    </row>
    <row r="11159" spans="15:15" x14ac:dyDescent="0.25">
      <c r="O11159" s="20" t="str">
        <f>IF(N11159="","",COUNTIFS(RawData[[Date ]],N11159,RawData[Month List],$Q$6,RawData[Tour/Site],$Q$2,RawData[[Picker ID ]],$Q$3,RawData[Checker ID],$Q$4,RawData[[Error Type ]],$Q$5))</f>
        <v/>
      </c>
    </row>
    <row r="11160" spans="15:15" x14ac:dyDescent="0.25">
      <c r="O11160" s="20" t="str">
        <f>IF(N11160="","",COUNTIFS(RawData[[Date ]],N11160,RawData[Month List],$Q$6,RawData[Tour/Site],$Q$2,RawData[[Picker ID ]],$Q$3,RawData[Checker ID],$Q$4,RawData[[Error Type ]],$Q$5))</f>
        <v/>
      </c>
    </row>
    <row r="11161" spans="15:15" x14ac:dyDescent="0.25">
      <c r="O11161" s="20" t="str">
        <f>IF(N11161="","",COUNTIFS(RawData[[Date ]],N11161,RawData[Month List],$Q$6,RawData[Tour/Site],$Q$2,RawData[[Picker ID ]],$Q$3,RawData[Checker ID],$Q$4,RawData[[Error Type ]],$Q$5))</f>
        <v/>
      </c>
    </row>
    <row r="11162" spans="15:15" x14ac:dyDescent="0.25">
      <c r="O11162" s="20" t="str">
        <f>IF(N11162="","",COUNTIFS(RawData[[Date ]],N11162,RawData[Month List],$Q$6,RawData[Tour/Site],$Q$2,RawData[[Picker ID ]],$Q$3,RawData[Checker ID],$Q$4,RawData[[Error Type ]],$Q$5))</f>
        <v/>
      </c>
    </row>
    <row r="11163" spans="15:15" x14ac:dyDescent="0.25">
      <c r="O11163" s="20" t="str">
        <f>IF(N11163="","",COUNTIFS(RawData[[Date ]],N11163,RawData[Month List],$Q$6,RawData[Tour/Site],$Q$2,RawData[[Picker ID ]],$Q$3,RawData[Checker ID],$Q$4,RawData[[Error Type ]],$Q$5))</f>
        <v/>
      </c>
    </row>
    <row r="11164" spans="15:15" x14ac:dyDescent="0.25">
      <c r="O11164" s="20" t="str">
        <f>IF(N11164="","",COUNTIFS(RawData[[Date ]],N11164,RawData[Month List],$Q$6,RawData[Tour/Site],$Q$2,RawData[[Picker ID ]],$Q$3,RawData[Checker ID],$Q$4,RawData[[Error Type ]],$Q$5))</f>
        <v/>
      </c>
    </row>
    <row r="11165" spans="15:15" x14ac:dyDescent="0.25">
      <c r="O11165" s="20" t="str">
        <f>IF(N11165="","",COUNTIFS(RawData[[Date ]],N11165,RawData[Month List],$Q$6,RawData[Tour/Site],$Q$2,RawData[[Picker ID ]],$Q$3,RawData[Checker ID],$Q$4,RawData[[Error Type ]],$Q$5))</f>
        <v/>
      </c>
    </row>
    <row r="11166" spans="15:15" x14ac:dyDescent="0.25">
      <c r="O11166" s="20" t="str">
        <f>IF(N11166="","",COUNTIFS(RawData[[Date ]],N11166,RawData[Month List],$Q$6,RawData[Tour/Site],$Q$2,RawData[[Picker ID ]],$Q$3,RawData[Checker ID],$Q$4,RawData[[Error Type ]],$Q$5))</f>
        <v/>
      </c>
    </row>
    <row r="11167" spans="15:15" x14ac:dyDescent="0.25">
      <c r="O11167" s="20" t="str">
        <f>IF(N11167="","",COUNTIFS(RawData[[Date ]],N11167,RawData[Month List],$Q$6,RawData[Tour/Site],$Q$2,RawData[[Picker ID ]],$Q$3,RawData[Checker ID],$Q$4,RawData[[Error Type ]],$Q$5))</f>
        <v/>
      </c>
    </row>
    <row r="11168" spans="15:15" x14ac:dyDescent="0.25">
      <c r="O11168" s="20" t="str">
        <f>IF(N11168="","",COUNTIFS(RawData[[Date ]],N11168,RawData[Month List],$Q$6,RawData[Tour/Site],$Q$2,RawData[[Picker ID ]],$Q$3,RawData[Checker ID],$Q$4,RawData[[Error Type ]],$Q$5))</f>
        <v/>
      </c>
    </row>
    <row r="11169" spans="15:15" x14ac:dyDescent="0.25">
      <c r="O11169" s="20" t="str">
        <f>IF(N11169="","",COUNTIFS(RawData[[Date ]],N11169,RawData[Month List],$Q$6,RawData[Tour/Site],$Q$2,RawData[[Picker ID ]],$Q$3,RawData[Checker ID],$Q$4,RawData[[Error Type ]],$Q$5))</f>
        <v/>
      </c>
    </row>
    <row r="11170" spans="15:15" x14ac:dyDescent="0.25">
      <c r="O11170" s="20" t="str">
        <f>IF(N11170="","",COUNTIFS(RawData[[Date ]],N11170,RawData[Month List],$Q$6,RawData[Tour/Site],$Q$2,RawData[[Picker ID ]],$Q$3,RawData[Checker ID],$Q$4,RawData[[Error Type ]],$Q$5))</f>
        <v/>
      </c>
    </row>
    <row r="11171" spans="15:15" x14ac:dyDescent="0.25">
      <c r="O11171" s="20" t="str">
        <f>IF(N11171="","",COUNTIFS(RawData[[Date ]],N11171,RawData[Month List],$Q$6,RawData[Tour/Site],$Q$2,RawData[[Picker ID ]],$Q$3,RawData[Checker ID],$Q$4,RawData[[Error Type ]],$Q$5))</f>
        <v/>
      </c>
    </row>
    <row r="11172" spans="15:15" x14ac:dyDescent="0.25">
      <c r="O11172" s="20" t="str">
        <f>IF(N11172="","",COUNTIFS(RawData[[Date ]],N11172,RawData[Month List],$Q$6,RawData[Tour/Site],$Q$2,RawData[[Picker ID ]],$Q$3,RawData[Checker ID],$Q$4,RawData[[Error Type ]],$Q$5))</f>
        <v/>
      </c>
    </row>
    <row r="11173" spans="15:15" x14ac:dyDescent="0.25">
      <c r="O11173" s="20" t="str">
        <f>IF(N11173="","",COUNTIFS(RawData[[Date ]],N11173,RawData[Month List],$Q$6,RawData[Tour/Site],$Q$2,RawData[[Picker ID ]],$Q$3,RawData[Checker ID],$Q$4,RawData[[Error Type ]],$Q$5))</f>
        <v/>
      </c>
    </row>
    <row r="11174" spans="15:15" x14ac:dyDescent="0.25">
      <c r="O11174" s="20" t="str">
        <f>IF(N11174="","",COUNTIFS(RawData[[Date ]],N11174,RawData[Month List],$Q$6,RawData[Tour/Site],$Q$2,RawData[[Picker ID ]],$Q$3,RawData[Checker ID],$Q$4,RawData[[Error Type ]],$Q$5))</f>
        <v/>
      </c>
    </row>
    <row r="11175" spans="15:15" x14ac:dyDescent="0.25">
      <c r="O11175" s="20" t="str">
        <f>IF(N11175="","",COUNTIFS(RawData[[Date ]],N11175,RawData[Month List],$Q$6,RawData[Tour/Site],$Q$2,RawData[[Picker ID ]],$Q$3,RawData[Checker ID],$Q$4,RawData[[Error Type ]],$Q$5))</f>
        <v/>
      </c>
    </row>
    <row r="11176" spans="15:15" x14ac:dyDescent="0.25">
      <c r="O11176" s="20" t="str">
        <f>IF(N11176="","",COUNTIFS(RawData[[Date ]],N11176,RawData[Month List],$Q$6,RawData[Tour/Site],$Q$2,RawData[[Picker ID ]],$Q$3,RawData[Checker ID],$Q$4,RawData[[Error Type ]],$Q$5))</f>
        <v/>
      </c>
    </row>
    <row r="11177" spans="15:15" x14ac:dyDescent="0.25">
      <c r="O11177" s="20" t="str">
        <f>IF(N11177="","",COUNTIFS(RawData[[Date ]],N11177,RawData[Month List],$Q$6,RawData[Tour/Site],$Q$2,RawData[[Picker ID ]],$Q$3,RawData[Checker ID],$Q$4,RawData[[Error Type ]],$Q$5))</f>
        <v/>
      </c>
    </row>
    <row r="11178" spans="15:15" x14ac:dyDescent="0.25">
      <c r="O11178" s="20" t="str">
        <f>IF(N11178="","",COUNTIFS(RawData[[Date ]],N11178,RawData[Month List],$Q$6,RawData[Tour/Site],$Q$2,RawData[[Picker ID ]],$Q$3,RawData[Checker ID],$Q$4,RawData[[Error Type ]],$Q$5))</f>
        <v/>
      </c>
    </row>
    <row r="11179" spans="15:15" x14ac:dyDescent="0.25">
      <c r="O11179" s="20" t="str">
        <f>IF(N11179="","",COUNTIFS(RawData[[Date ]],N11179,RawData[Month List],$Q$6,RawData[Tour/Site],$Q$2,RawData[[Picker ID ]],$Q$3,RawData[Checker ID],$Q$4,RawData[[Error Type ]],$Q$5))</f>
        <v/>
      </c>
    </row>
    <row r="11180" spans="15:15" x14ac:dyDescent="0.25">
      <c r="O11180" s="20" t="str">
        <f>IF(N11180="","",COUNTIFS(RawData[[Date ]],N11180,RawData[Month List],$Q$6,RawData[Tour/Site],$Q$2,RawData[[Picker ID ]],$Q$3,RawData[Checker ID],$Q$4,RawData[[Error Type ]],$Q$5))</f>
        <v/>
      </c>
    </row>
    <row r="11181" spans="15:15" x14ac:dyDescent="0.25">
      <c r="O11181" s="20" t="str">
        <f>IF(N11181="","",COUNTIFS(RawData[[Date ]],N11181,RawData[Month List],$Q$6,RawData[Tour/Site],$Q$2,RawData[[Picker ID ]],$Q$3,RawData[Checker ID],$Q$4,RawData[[Error Type ]],$Q$5))</f>
        <v/>
      </c>
    </row>
    <row r="11182" spans="15:15" x14ac:dyDescent="0.25">
      <c r="O11182" s="20" t="str">
        <f>IF(N11182="","",COUNTIFS(RawData[[Date ]],N11182,RawData[Month List],$Q$6,RawData[Tour/Site],$Q$2,RawData[[Picker ID ]],$Q$3,RawData[Checker ID],$Q$4,RawData[[Error Type ]],$Q$5))</f>
        <v/>
      </c>
    </row>
    <row r="11183" spans="15:15" x14ac:dyDescent="0.25">
      <c r="O11183" s="20" t="str">
        <f>IF(N11183="","",COUNTIFS(RawData[[Date ]],N11183,RawData[Month List],$Q$6,RawData[Tour/Site],$Q$2,RawData[[Picker ID ]],$Q$3,RawData[Checker ID],$Q$4,RawData[[Error Type ]],$Q$5))</f>
        <v/>
      </c>
    </row>
    <row r="11184" spans="15:15" x14ac:dyDescent="0.25">
      <c r="O11184" s="20" t="str">
        <f>IF(N11184="","",COUNTIFS(RawData[[Date ]],N11184,RawData[Month List],$Q$6,RawData[Tour/Site],$Q$2,RawData[[Picker ID ]],$Q$3,RawData[Checker ID],$Q$4,RawData[[Error Type ]],$Q$5))</f>
        <v/>
      </c>
    </row>
    <row r="11185" spans="15:15" x14ac:dyDescent="0.25">
      <c r="O11185" s="20" t="str">
        <f>IF(N11185="","",COUNTIFS(RawData[[Date ]],N11185,RawData[Month List],$Q$6,RawData[Tour/Site],$Q$2,RawData[[Picker ID ]],$Q$3,RawData[Checker ID],$Q$4,RawData[[Error Type ]],$Q$5))</f>
        <v/>
      </c>
    </row>
    <row r="11186" spans="15:15" x14ac:dyDescent="0.25">
      <c r="O11186" s="20" t="str">
        <f>IF(N11186="","",COUNTIFS(RawData[[Date ]],N11186,RawData[Month List],$Q$6,RawData[Tour/Site],$Q$2,RawData[[Picker ID ]],$Q$3,RawData[Checker ID],$Q$4,RawData[[Error Type ]],$Q$5))</f>
        <v/>
      </c>
    </row>
    <row r="11187" spans="15:15" x14ac:dyDescent="0.25">
      <c r="O11187" s="20" t="str">
        <f>IF(N11187="","",COUNTIFS(RawData[[Date ]],N11187,RawData[Month List],$Q$6,RawData[Tour/Site],$Q$2,RawData[[Picker ID ]],$Q$3,RawData[Checker ID],$Q$4,RawData[[Error Type ]],$Q$5))</f>
        <v/>
      </c>
    </row>
    <row r="11188" spans="15:15" x14ac:dyDescent="0.25">
      <c r="O11188" s="20" t="str">
        <f>IF(N11188="","",COUNTIFS(RawData[[Date ]],N11188,RawData[Month List],$Q$6,RawData[Tour/Site],$Q$2,RawData[[Picker ID ]],$Q$3,RawData[Checker ID],$Q$4,RawData[[Error Type ]],$Q$5))</f>
        <v/>
      </c>
    </row>
    <row r="11189" spans="15:15" x14ac:dyDescent="0.25">
      <c r="O11189" s="20" t="str">
        <f>IF(N11189="","",COUNTIFS(RawData[[Date ]],N11189,RawData[Month List],$Q$6,RawData[Tour/Site],$Q$2,RawData[[Picker ID ]],$Q$3,RawData[Checker ID],$Q$4,RawData[[Error Type ]],$Q$5))</f>
        <v/>
      </c>
    </row>
    <row r="11190" spans="15:15" x14ac:dyDescent="0.25">
      <c r="O11190" s="20" t="str">
        <f>IF(N11190="","",COUNTIFS(RawData[[Date ]],N11190,RawData[Month List],$Q$6,RawData[Tour/Site],$Q$2,RawData[[Picker ID ]],$Q$3,RawData[Checker ID],$Q$4,RawData[[Error Type ]],$Q$5))</f>
        <v/>
      </c>
    </row>
    <row r="11191" spans="15:15" x14ac:dyDescent="0.25">
      <c r="O11191" s="20" t="str">
        <f>IF(N11191="","",COUNTIFS(RawData[[Date ]],N11191,RawData[Month List],$Q$6,RawData[Tour/Site],$Q$2,RawData[[Picker ID ]],$Q$3,RawData[Checker ID],$Q$4,RawData[[Error Type ]],$Q$5))</f>
        <v/>
      </c>
    </row>
    <row r="11192" spans="15:15" x14ac:dyDescent="0.25">
      <c r="O11192" s="20" t="str">
        <f>IF(N11192="","",COUNTIFS(RawData[[Date ]],N11192,RawData[Month List],$Q$6,RawData[Tour/Site],$Q$2,RawData[[Picker ID ]],$Q$3,RawData[Checker ID],$Q$4,RawData[[Error Type ]],$Q$5))</f>
        <v/>
      </c>
    </row>
    <row r="11193" spans="15:15" x14ac:dyDescent="0.25">
      <c r="O11193" s="20" t="str">
        <f>IF(N11193="","",COUNTIFS(RawData[[Date ]],N11193,RawData[Month List],$Q$6,RawData[Tour/Site],$Q$2,RawData[[Picker ID ]],$Q$3,RawData[Checker ID],$Q$4,RawData[[Error Type ]],$Q$5))</f>
        <v/>
      </c>
    </row>
    <row r="11194" spans="15:15" x14ac:dyDescent="0.25">
      <c r="O11194" s="20" t="str">
        <f>IF(N11194="","",COUNTIFS(RawData[[Date ]],N11194,RawData[Month List],$Q$6,RawData[Tour/Site],$Q$2,RawData[[Picker ID ]],$Q$3,RawData[Checker ID],$Q$4,RawData[[Error Type ]],$Q$5))</f>
        <v/>
      </c>
    </row>
    <row r="11195" spans="15:15" x14ac:dyDescent="0.25">
      <c r="O11195" s="20" t="str">
        <f>IF(N11195="","",COUNTIFS(RawData[[Date ]],N11195,RawData[Month List],$Q$6,RawData[Tour/Site],$Q$2,RawData[[Picker ID ]],$Q$3,RawData[Checker ID],$Q$4,RawData[[Error Type ]],$Q$5))</f>
        <v/>
      </c>
    </row>
    <row r="11196" spans="15:15" x14ac:dyDescent="0.25">
      <c r="O11196" s="20" t="str">
        <f>IF(N11196="","",COUNTIFS(RawData[[Date ]],N11196,RawData[Month List],$Q$6,RawData[Tour/Site],$Q$2,RawData[[Picker ID ]],$Q$3,RawData[Checker ID],$Q$4,RawData[[Error Type ]],$Q$5))</f>
        <v/>
      </c>
    </row>
    <row r="11197" spans="15:15" x14ac:dyDescent="0.25">
      <c r="O11197" s="20" t="str">
        <f>IF(N11197="","",COUNTIFS(RawData[[Date ]],N11197,RawData[Month List],$Q$6,RawData[Tour/Site],$Q$2,RawData[[Picker ID ]],$Q$3,RawData[Checker ID],$Q$4,RawData[[Error Type ]],$Q$5))</f>
        <v/>
      </c>
    </row>
    <row r="11198" spans="15:15" x14ac:dyDescent="0.25">
      <c r="O11198" s="20" t="str">
        <f>IF(N11198="","",COUNTIFS(RawData[[Date ]],N11198,RawData[Month List],$Q$6,RawData[Tour/Site],$Q$2,RawData[[Picker ID ]],$Q$3,RawData[Checker ID],$Q$4,RawData[[Error Type ]],$Q$5))</f>
        <v/>
      </c>
    </row>
    <row r="11199" spans="15:15" x14ac:dyDescent="0.25">
      <c r="O11199" s="20" t="str">
        <f>IF(N11199="","",COUNTIFS(RawData[[Date ]],N11199,RawData[Month List],$Q$6,RawData[Tour/Site],$Q$2,RawData[[Picker ID ]],$Q$3,RawData[Checker ID],$Q$4,RawData[[Error Type ]],$Q$5))</f>
        <v/>
      </c>
    </row>
    <row r="11200" spans="15:15" x14ac:dyDescent="0.25">
      <c r="O11200" s="20" t="str">
        <f>IF(N11200="","",COUNTIFS(RawData[[Date ]],N11200,RawData[Month List],$Q$6,RawData[Tour/Site],$Q$2,RawData[[Picker ID ]],$Q$3,RawData[Checker ID],$Q$4,RawData[[Error Type ]],$Q$5))</f>
        <v/>
      </c>
    </row>
    <row r="11201" spans="15:15" x14ac:dyDescent="0.25">
      <c r="O11201" s="20" t="str">
        <f>IF(N11201="","",COUNTIFS(RawData[[Date ]],N11201,RawData[Month List],$Q$6,RawData[Tour/Site],$Q$2,RawData[[Picker ID ]],$Q$3,RawData[Checker ID],$Q$4,RawData[[Error Type ]],$Q$5))</f>
        <v/>
      </c>
    </row>
    <row r="11202" spans="15:15" x14ac:dyDescent="0.25">
      <c r="O11202" s="20" t="str">
        <f>IF(N11202="","",COUNTIFS(RawData[[Date ]],N11202,RawData[Month List],$Q$6,RawData[Tour/Site],$Q$2,RawData[[Picker ID ]],$Q$3,RawData[Checker ID],$Q$4,RawData[[Error Type ]],$Q$5))</f>
        <v/>
      </c>
    </row>
    <row r="11203" spans="15:15" x14ac:dyDescent="0.25">
      <c r="O11203" s="20" t="str">
        <f>IF(N11203="","",COUNTIFS(RawData[[Date ]],N11203,RawData[Month List],$Q$6,RawData[Tour/Site],$Q$2,RawData[[Picker ID ]],$Q$3,RawData[Checker ID],$Q$4,RawData[[Error Type ]],$Q$5))</f>
        <v/>
      </c>
    </row>
    <row r="11204" spans="15:15" x14ac:dyDescent="0.25">
      <c r="O11204" s="20" t="str">
        <f>IF(N11204="","",COUNTIFS(RawData[[Date ]],N11204,RawData[Month List],$Q$6,RawData[Tour/Site],$Q$2,RawData[[Picker ID ]],$Q$3,RawData[Checker ID],$Q$4,RawData[[Error Type ]],$Q$5))</f>
        <v/>
      </c>
    </row>
    <row r="11205" spans="15:15" x14ac:dyDescent="0.25">
      <c r="O11205" s="20" t="str">
        <f>IF(N11205="","",COUNTIFS(RawData[[Date ]],N11205,RawData[Month List],$Q$6,RawData[Tour/Site],$Q$2,RawData[[Picker ID ]],$Q$3,RawData[Checker ID],$Q$4,RawData[[Error Type ]],$Q$5))</f>
        <v/>
      </c>
    </row>
    <row r="11206" spans="15:15" x14ac:dyDescent="0.25">
      <c r="O11206" s="20" t="str">
        <f>IF(N11206="","",COUNTIFS(RawData[[Date ]],N11206,RawData[Month List],$Q$6,RawData[Tour/Site],$Q$2,RawData[[Picker ID ]],$Q$3,RawData[Checker ID],$Q$4,RawData[[Error Type ]],$Q$5))</f>
        <v/>
      </c>
    </row>
    <row r="11207" spans="15:15" x14ac:dyDescent="0.25">
      <c r="O11207" s="20" t="str">
        <f>IF(N11207="","",COUNTIFS(RawData[[Date ]],N11207,RawData[Month List],$Q$6,RawData[Tour/Site],$Q$2,RawData[[Picker ID ]],$Q$3,RawData[Checker ID],$Q$4,RawData[[Error Type ]],$Q$5))</f>
        <v/>
      </c>
    </row>
    <row r="11208" spans="15:15" x14ac:dyDescent="0.25">
      <c r="O11208" s="20" t="str">
        <f>IF(N11208="","",COUNTIFS(RawData[[Date ]],N11208,RawData[Month List],$Q$6,RawData[Tour/Site],$Q$2,RawData[[Picker ID ]],$Q$3,RawData[Checker ID],$Q$4,RawData[[Error Type ]],$Q$5))</f>
        <v/>
      </c>
    </row>
    <row r="11209" spans="15:15" x14ac:dyDescent="0.25">
      <c r="O11209" s="20" t="str">
        <f>IF(N11209="","",COUNTIFS(RawData[[Date ]],N11209,RawData[Month List],$Q$6,RawData[Tour/Site],$Q$2,RawData[[Picker ID ]],$Q$3,RawData[Checker ID],$Q$4,RawData[[Error Type ]],$Q$5))</f>
        <v/>
      </c>
    </row>
    <row r="11210" spans="15:15" x14ac:dyDescent="0.25">
      <c r="O11210" s="20" t="str">
        <f>IF(N11210="","",COUNTIFS(RawData[[Date ]],N11210,RawData[Month List],$Q$6,RawData[Tour/Site],$Q$2,RawData[[Picker ID ]],$Q$3,RawData[Checker ID],$Q$4,RawData[[Error Type ]],$Q$5))</f>
        <v/>
      </c>
    </row>
    <row r="11211" spans="15:15" x14ac:dyDescent="0.25">
      <c r="O11211" s="20" t="str">
        <f>IF(N11211="","",COUNTIFS(RawData[[Date ]],N11211,RawData[Month List],$Q$6,RawData[Tour/Site],$Q$2,RawData[[Picker ID ]],$Q$3,RawData[Checker ID],$Q$4,RawData[[Error Type ]],$Q$5))</f>
        <v/>
      </c>
    </row>
    <row r="11212" spans="15:15" x14ac:dyDescent="0.25">
      <c r="O11212" s="20" t="str">
        <f>IF(N11212="","",COUNTIFS(RawData[[Date ]],N11212,RawData[Month List],$Q$6,RawData[Tour/Site],$Q$2,RawData[[Picker ID ]],$Q$3,RawData[Checker ID],$Q$4,RawData[[Error Type ]],$Q$5))</f>
        <v/>
      </c>
    </row>
    <row r="11213" spans="15:15" x14ac:dyDescent="0.25">
      <c r="O11213" s="20" t="str">
        <f>IF(N11213="","",COUNTIFS(RawData[[Date ]],N11213,RawData[Month List],$Q$6,RawData[Tour/Site],$Q$2,RawData[[Picker ID ]],$Q$3,RawData[Checker ID],$Q$4,RawData[[Error Type ]],$Q$5))</f>
        <v/>
      </c>
    </row>
    <row r="11214" spans="15:15" x14ac:dyDescent="0.25">
      <c r="O11214" s="20" t="str">
        <f>IF(N11214="","",COUNTIFS(RawData[[Date ]],N11214,RawData[Month List],$Q$6,RawData[Tour/Site],$Q$2,RawData[[Picker ID ]],$Q$3,RawData[Checker ID],$Q$4,RawData[[Error Type ]],$Q$5))</f>
        <v/>
      </c>
    </row>
    <row r="11215" spans="15:15" x14ac:dyDescent="0.25">
      <c r="O11215" s="20" t="str">
        <f>IF(N11215="","",COUNTIFS(RawData[[Date ]],N11215,RawData[Month List],$Q$6,RawData[Tour/Site],$Q$2,RawData[[Picker ID ]],$Q$3,RawData[Checker ID],$Q$4,RawData[[Error Type ]],$Q$5))</f>
        <v/>
      </c>
    </row>
    <row r="11216" spans="15:15" x14ac:dyDescent="0.25">
      <c r="O11216" s="20" t="str">
        <f>IF(N11216="","",COUNTIFS(RawData[[Date ]],N11216,RawData[Month List],$Q$6,RawData[Tour/Site],$Q$2,RawData[[Picker ID ]],$Q$3,RawData[Checker ID],$Q$4,RawData[[Error Type ]],$Q$5))</f>
        <v/>
      </c>
    </row>
    <row r="11217" spans="15:15" x14ac:dyDescent="0.25">
      <c r="O11217" s="20" t="str">
        <f>IF(N11217="","",COUNTIFS(RawData[[Date ]],N11217,RawData[Month List],$Q$6,RawData[Tour/Site],$Q$2,RawData[[Picker ID ]],$Q$3,RawData[Checker ID],$Q$4,RawData[[Error Type ]],$Q$5))</f>
        <v/>
      </c>
    </row>
    <row r="11218" spans="15:15" x14ac:dyDescent="0.25">
      <c r="O11218" s="20" t="str">
        <f>IF(N11218="","",COUNTIFS(RawData[[Date ]],N11218,RawData[Month List],$Q$6,RawData[Tour/Site],$Q$2,RawData[[Picker ID ]],$Q$3,RawData[Checker ID],$Q$4,RawData[[Error Type ]],$Q$5))</f>
        <v/>
      </c>
    </row>
    <row r="11219" spans="15:15" x14ac:dyDescent="0.25">
      <c r="O11219" s="20" t="str">
        <f>IF(N11219="","",COUNTIFS(RawData[[Date ]],N11219,RawData[Month List],$Q$6,RawData[Tour/Site],$Q$2,RawData[[Picker ID ]],$Q$3,RawData[Checker ID],$Q$4,RawData[[Error Type ]],$Q$5))</f>
        <v/>
      </c>
    </row>
    <row r="11220" spans="15:15" x14ac:dyDescent="0.25">
      <c r="O11220" s="20" t="str">
        <f>IF(N11220="","",COUNTIFS(RawData[[Date ]],N11220,RawData[Month List],$Q$6,RawData[Tour/Site],$Q$2,RawData[[Picker ID ]],$Q$3,RawData[Checker ID],$Q$4,RawData[[Error Type ]],$Q$5))</f>
        <v/>
      </c>
    </row>
    <row r="11221" spans="15:15" x14ac:dyDescent="0.25">
      <c r="O11221" s="20" t="str">
        <f>IF(N11221="","",COUNTIFS(RawData[[Date ]],N11221,RawData[Month List],$Q$6,RawData[Tour/Site],$Q$2,RawData[[Picker ID ]],$Q$3,RawData[Checker ID],$Q$4,RawData[[Error Type ]],$Q$5))</f>
        <v/>
      </c>
    </row>
    <row r="11222" spans="15:15" x14ac:dyDescent="0.25">
      <c r="O11222" s="20" t="str">
        <f>IF(N11222="","",COUNTIFS(RawData[[Date ]],N11222,RawData[Month List],$Q$6,RawData[Tour/Site],$Q$2,RawData[[Picker ID ]],$Q$3,RawData[Checker ID],$Q$4,RawData[[Error Type ]],$Q$5))</f>
        <v/>
      </c>
    </row>
    <row r="11223" spans="15:15" x14ac:dyDescent="0.25">
      <c r="O11223" s="20" t="str">
        <f>IF(N11223="","",COUNTIFS(RawData[[Date ]],N11223,RawData[Month List],$Q$6,RawData[Tour/Site],$Q$2,RawData[[Picker ID ]],$Q$3,RawData[Checker ID],$Q$4,RawData[[Error Type ]],$Q$5))</f>
        <v/>
      </c>
    </row>
    <row r="11224" spans="15:15" x14ac:dyDescent="0.25">
      <c r="O11224" s="20" t="str">
        <f>IF(N11224="","",COUNTIFS(RawData[[Date ]],N11224,RawData[Month List],$Q$6,RawData[Tour/Site],$Q$2,RawData[[Picker ID ]],$Q$3,RawData[Checker ID],$Q$4,RawData[[Error Type ]],$Q$5))</f>
        <v/>
      </c>
    </row>
    <row r="11225" spans="15:15" x14ac:dyDescent="0.25">
      <c r="O11225" s="20" t="str">
        <f>IF(N11225="","",COUNTIFS(RawData[[Date ]],N11225,RawData[Month List],$Q$6,RawData[Tour/Site],$Q$2,RawData[[Picker ID ]],$Q$3,RawData[Checker ID],$Q$4,RawData[[Error Type ]],$Q$5))</f>
        <v/>
      </c>
    </row>
    <row r="11226" spans="15:15" x14ac:dyDescent="0.25">
      <c r="O11226" s="20" t="str">
        <f>IF(N11226="","",COUNTIFS(RawData[[Date ]],N11226,RawData[Month List],$Q$6,RawData[Tour/Site],$Q$2,RawData[[Picker ID ]],$Q$3,RawData[Checker ID],$Q$4,RawData[[Error Type ]],$Q$5))</f>
        <v/>
      </c>
    </row>
    <row r="11227" spans="15:15" x14ac:dyDescent="0.25">
      <c r="O11227" s="20" t="str">
        <f>IF(N11227="","",COUNTIFS(RawData[[Date ]],N11227,RawData[Month List],$Q$6,RawData[Tour/Site],$Q$2,RawData[[Picker ID ]],$Q$3,RawData[Checker ID],$Q$4,RawData[[Error Type ]],$Q$5))</f>
        <v/>
      </c>
    </row>
    <row r="11228" spans="15:15" x14ac:dyDescent="0.25">
      <c r="O11228" s="20" t="str">
        <f>IF(N11228="","",COUNTIFS(RawData[[Date ]],N11228,RawData[Month List],$Q$6,RawData[Tour/Site],$Q$2,RawData[[Picker ID ]],$Q$3,RawData[Checker ID],$Q$4,RawData[[Error Type ]],$Q$5))</f>
        <v/>
      </c>
    </row>
    <row r="11229" spans="15:15" x14ac:dyDescent="0.25">
      <c r="O11229" s="20" t="str">
        <f>IF(N11229="","",COUNTIFS(RawData[[Date ]],N11229,RawData[Month List],$Q$6,RawData[Tour/Site],$Q$2,RawData[[Picker ID ]],$Q$3,RawData[Checker ID],$Q$4,RawData[[Error Type ]],$Q$5))</f>
        <v/>
      </c>
    </row>
    <row r="11230" spans="15:15" x14ac:dyDescent="0.25">
      <c r="O11230" s="20" t="str">
        <f>IF(N11230="","",COUNTIFS(RawData[[Date ]],N11230,RawData[Month List],$Q$6,RawData[Tour/Site],$Q$2,RawData[[Picker ID ]],$Q$3,RawData[Checker ID],$Q$4,RawData[[Error Type ]],$Q$5))</f>
        <v/>
      </c>
    </row>
    <row r="11231" spans="15:15" x14ac:dyDescent="0.25">
      <c r="O11231" s="20" t="str">
        <f>IF(N11231="","",COUNTIFS(RawData[[Date ]],N11231,RawData[Month List],$Q$6,RawData[Tour/Site],$Q$2,RawData[[Picker ID ]],$Q$3,RawData[Checker ID],$Q$4,RawData[[Error Type ]],$Q$5))</f>
        <v/>
      </c>
    </row>
    <row r="11232" spans="15:15" x14ac:dyDescent="0.25">
      <c r="O11232" s="20" t="str">
        <f>IF(N11232="","",COUNTIFS(RawData[[Date ]],N11232,RawData[Month List],$Q$6,RawData[Tour/Site],$Q$2,RawData[[Picker ID ]],$Q$3,RawData[Checker ID],$Q$4,RawData[[Error Type ]],$Q$5))</f>
        <v/>
      </c>
    </row>
    <row r="11233" spans="15:15" x14ac:dyDescent="0.25">
      <c r="O11233" s="20" t="str">
        <f>IF(N11233="","",COUNTIFS(RawData[[Date ]],N11233,RawData[Month List],$Q$6,RawData[Tour/Site],$Q$2,RawData[[Picker ID ]],$Q$3,RawData[Checker ID],$Q$4,RawData[[Error Type ]],$Q$5))</f>
        <v/>
      </c>
    </row>
    <row r="11234" spans="15:15" x14ac:dyDescent="0.25">
      <c r="O11234" s="20" t="str">
        <f>IF(N11234="","",COUNTIFS(RawData[[Date ]],N11234,RawData[Month List],$Q$6,RawData[Tour/Site],$Q$2,RawData[[Picker ID ]],$Q$3,RawData[Checker ID],$Q$4,RawData[[Error Type ]],$Q$5))</f>
        <v/>
      </c>
    </row>
    <row r="11235" spans="15:15" x14ac:dyDescent="0.25">
      <c r="O11235" s="20" t="str">
        <f>IF(N11235="","",COUNTIFS(RawData[[Date ]],N11235,RawData[Month List],$Q$6,RawData[Tour/Site],$Q$2,RawData[[Picker ID ]],$Q$3,RawData[Checker ID],$Q$4,RawData[[Error Type ]],$Q$5))</f>
        <v/>
      </c>
    </row>
    <row r="11236" spans="15:15" x14ac:dyDescent="0.25">
      <c r="O11236" s="20" t="str">
        <f>IF(N11236="","",COUNTIFS(RawData[[Date ]],N11236,RawData[Month List],$Q$6,RawData[Tour/Site],$Q$2,RawData[[Picker ID ]],$Q$3,RawData[Checker ID],$Q$4,RawData[[Error Type ]],$Q$5))</f>
        <v/>
      </c>
    </row>
    <row r="11237" spans="15:15" x14ac:dyDescent="0.25">
      <c r="O11237" s="20" t="str">
        <f>IF(N11237="","",COUNTIFS(RawData[[Date ]],N11237,RawData[Month List],$Q$6,RawData[Tour/Site],$Q$2,RawData[[Picker ID ]],$Q$3,RawData[Checker ID],$Q$4,RawData[[Error Type ]],$Q$5))</f>
        <v/>
      </c>
    </row>
    <row r="11238" spans="15:15" x14ac:dyDescent="0.25">
      <c r="O11238" s="20" t="str">
        <f>IF(N11238="","",COUNTIFS(RawData[[Date ]],N11238,RawData[Month List],$Q$6,RawData[Tour/Site],$Q$2,RawData[[Picker ID ]],$Q$3,RawData[Checker ID],$Q$4,RawData[[Error Type ]],$Q$5))</f>
        <v/>
      </c>
    </row>
    <row r="11239" spans="15:15" x14ac:dyDescent="0.25">
      <c r="O11239" s="20" t="str">
        <f>IF(N11239="","",COUNTIFS(RawData[[Date ]],N11239,RawData[Month List],$Q$6,RawData[Tour/Site],$Q$2,RawData[[Picker ID ]],$Q$3,RawData[Checker ID],$Q$4,RawData[[Error Type ]],$Q$5))</f>
        <v/>
      </c>
    </row>
    <row r="11240" spans="15:15" x14ac:dyDescent="0.25">
      <c r="O11240" s="20" t="str">
        <f>IF(N11240="","",COUNTIFS(RawData[[Date ]],N11240,RawData[Month List],$Q$6,RawData[Tour/Site],$Q$2,RawData[[Picker ID ]],$Q$3,RawData[Checker ID],$Q$4,RawData[[Error Type ]],$Q$5))</f>
        <v/>
      </c>
    </row>
    <row r="11241" spans="15:15" x14ac:dyDescent="0.25">
      <c r="O11241" s="20" t="str">
        <f>IF(N11241="","",COUNTIFS(RawData[[Date ]],N11241,RawData[Month List],$Q$6,RawData[Tour/Site],$Q$2,RawData[[Picker ID ]],$Q$3,RawData[Checker ID],$Q$4,RawData[[Error Type ]],$Q$5))</f>
        <v/>
      </c>
    </row>
    <row r="11242" spans="15:15" x14ac:dyDescent="0.25">
      <c r="O11242" s="20" t="str">
        <f>IF(N11242="","",COUNTIFS(RawData[[Date ]],N11242,RawData[Month List],$Q$6,RawData[Tour/Site],$Q$2,RawData[[Picker ID ]],$Q$3,RawData[Checker ID],$Q$4,RawData[[Error Type ]],$Q$5))</f>
        <v/>
      </c>
    </row>
    <row r="11243" spans="15:15" x14ac:dyDescent="0.25">
      <c r="O11243" s="20" t="str">
        <f>IF(N11243="","",COUNTIFS(RawData[[Date ]],N11243,RawData[Month List],$Q$6,RawData[Tour/Site],$Q$2,RawData[[Picker ID ]],$Q$3,RawData[Checker ID],$Q$4,RawData[[Error Type ]],$Q$5))</f>
        <v/>
      </c>
    </row>
    <row r="11244" spans="15:15" x14ac:dyDescent="0.25">
      <c r="O11244" s="20" t="str">
        <f>IF(N11244="","",COUNTIFS(RawData[[Date ]],N11244,RawData[Month List],$Q$6,RawData[Tour/Site],$Q$2,RawData[[Picker ID ]],$Q$3,RawData[Checker ID],$Q$4,RawData[[Error Type ]],$Q$5))</f>
        <v/>
      </c>
    </row>
    <row r="11245" spans="15:15" x14ac:dyDescent="0.25">
      <c r="O11245" s="20" t="str">
        <f>IF(N11245="","",COUNTIFS(RawData[[Date ]],N11245,RawData[Month List],$Q$6,RawData[Tour/Site],$Q$2,RawData[[Picker ID ]],$Q$3,RawData[Checker ID],$Q$4,RawData[[Error Type ]],$Q$5))</f>
        <v/>
      </c>
    </row>
    <row r="11246" spans="15:15" x14ac:dyDescent="0.25">
      <c r="O11246" s="20" t="str">
        <f>IF(N11246="","",COUNTIFS(RawData[[Date ]],N11246,RawData[Month List],$Q$6,RawData[Tour/Site],$Q$2,RawData[[Picker ID ]],$Q$3,RawData[Checker ID],$Q$4,RawData[[Error Type ]],$Q$5))</f>
        <v/>
      </c>
    </row>
    <row r="11247" spans="15:15" x14ac:dyDescent="0.25">
      <c r="O11247" s="20" t="str">
        <f>IF(N11247="","",COUNTIFS(RawData[[Date ]],N11247,RawData[Month List],$Q$6,RawData[Tour/Site],$Q$2,RawData[[Picker ID ]],$Q$3,RawData[Checker ID],$Q$4,RawData[[Error Type ]],$Q$5))</f>
        <v/>
      </c>
    </row>
    <row r="11248" spans="15:15" x14ac:dyDescent="0.25">
      <c r="O11248" s="20" t="str">
        <f>IF(N11248="","",COUNTIFS(RawData[[Date ]],N11248,RawData[Month List],$Q$6,RawData[Tour/Site],$Q$2,RawData[[Picker ID ]],$Q$3,RawData[Checker ID],$Q$4,RawData[[Error Type ]],$Q$5))</f>
        <v/>
      </c>
    </row>
    <row r="11249" spans="15:15" x14ac:dyDescent="0.25">
      <c r="O11249" s="20" t="str">
        <f>IF(N11249="","",COUNTIFS(RawData[[Date ]],N11249,RawData[Month List],$Q$6,RawData[Tour/Site],$Q$2,RawData[[Picker ID ]],$Q$3,RawData[Checker ID],$Q$4,RawData[[Error Type ]],$Q$5))</f>
        <v/>
      </c>
    </row>
    <row r="11250" spans="15:15" x14ac:dyDescent="0.25">
      <c r="O11250" s="20" t="str">
        <f>IF(N11250="","",COUNTIFS(RawData[[Date ]],N11250,RawData[Month List],$Q$6,RawData[Tour/Site],$Q$2,RawData[[Picker ID ]],$Q$3,RawData[Checker ID],$Q$4,RawData[[Error Type ]],$Q$5))</f>
        <v/>
      </c>
    </row>
    <row r="11251" spans="15:15" x14ac:dyDescent="0.25">
      <c r="O11251" s="20" t="str">
        <f>IF(N11251="","",COUNTIFS(RawData[[Date ]],N11251,RawData[Month List],$Q$6,RawData[Tour/Site],$Q$2,RawData[[Picker ID ]],$Q$3,RawData[Checker ID],$Q$4,RawData[[Error Type ]],$Q$5))</f>
        <v/>
      </c>
    </row>
    <row r="11252" spans="15:15" x14ac:dyDescent="0.25">
      <c r="O11252" s="20" t="str">
        <f>IF(N11252="","",COUNTIFS(RawData[[Date ]],N11252,RawData[Month List],$Q$6,RawData[Tour/Site],$Q$2,RawData[[Picker ID ]],$Q$3,RawData[Checker ID],$Q$4,RawData[[Error Type ]],$Q$5))</f>
        <v/>
      </c>
    </row>
    <row r="11253" spans="15:15" x14ac:dyDescent="0.25">
      <c r="O11253" s="20" t="str">
        <f>IF(N11253="","",COUNTIFS(RawData[[Date ]],N11253,RawData[Month List],$Q$6,RawData[Tour/Site],$Q$2,RawData[[Picker ID ]],$Q$3,RawData[Checker ID],$Q$4,RawData[[Error Type ]],$Q$5))</f>
        <v/>
      </c>
    </row>
    <row r="11254" spans="15:15" x14ac:dyDescent="0.25">
      <c r="O11254" s="20" t="str">
        <f>IF(N11254="","",COUNTIFS(RawData[[Date ]],N11254,RawData[Month List],$Q$6,RawData[Tour/Site],$Q$2,RawData[[Picker ID ]],$Q$3,RawData[Checker ID],$Q$4,RawData[[Error Type ]],$Q$5))</f>
        <v/>
      </c>
    </row>
    <row r="11255" spans="15:15" x14ac:dyDescent="0.25">
      <c r="O11255" s="20" t="str">
        <f>IF(N11255="","",COUNTIFS(RawData[[Date ]],N11255,RawData[Month List],$Q$6,RawData[Tour/Site],$Q$2,RawData[[Picker ID ]],$Q$3,RawData[Checker ID],$Q$4,RawData[[Error Type ]],$Q$5))</f>
        <v/>
      </c>
    </row>
    <row r="11256" spans="15:15" x14ac:dyDescent="0.25">
      <c r="O11256" s="20" t="str">
        <f>IF(N11256="","",COUNTIFS(RawData[[Date ]],N11256,RawData[Month List],$Q$6,RawData[Tour/Site],$Q$2,RawData[[Picker ID ]],$Q$3,RawData[Checker ID],$Q$4,RawData[[Error Type ]],$Q$5))</f>
        <v/>
      </c>
    </row>
    <row r="11257" spans="15:15" x14ac:dyDescent="0.25">
      <c r="O11257" s="20" t="str">
        <f>IF(N11257="","",COUNTIFS(RawData[[Date ]],N11257,RawData[Month List],$Q$6,RawData[Tour/Site],$Q$2,RawData[[Picker ID ]],$Q$3,RawData[Checker ID],$Q$4,RawData[[Error Type ]],$Q$5))</f>
        <v/>
      </c>
    </row>
    <row r="11258" spans="15:15" x14ac:dyDescent="0.25">
      <c r="O11258" s="20" t="str">
        <f>IF(N11258="","",COUNTIFS(RawData[[Date ]],N11258,RawData[Month List],$Q$6,RawData[Tour/Site],$Q$2,RawData[[Picker ID ]],$Q$3,RawData[Checker ID],$Q$4,RawData[[Error Type ]],$Q$5))</f>
        <v/>
      </c>
    </row>
    <row r="11259" spans="15:15" x14ac:dyDescent="0.25">
      <c r="O11259" s="20" t="str">
        <f>IF(N11259="","",COUNTIFS(RawData[[Date ]],N11259,RawData[Month List],$Q$6,RawData[Tour/Site],$Q$2,RawData[[Picker ID ]],$Q$3,RawData[Checker ID],$Q$4,RawData[[Error Type ]],$Q$5))</f>
        <v/>
      </c>
    </row>
    <row r="11260" spans="15:15" x14ac:dyDescent="0.25">
      <c r="O11260" s="20" t="str">
        <f>IF(N11260="","",COUNTIFS(RawData[[Date ]],N11260,RawData[Month List],$Q$6,RawData[Tour/Site],$Q$2,RawData[[Picker ID ]],$Q$3,RawData[Checker ID],$Q$4,RawData[[Error Type ]],$Q$5))</f>
        <v/>
      </c>
    </row>
    <row r="11261" spans="15:15" x14ac:dyDescent="0.25">
      <c r="O11261" s="20" t="str">
        <f>IF(N11261="","",COUNTIFS(RawData[[Date ]],N11261,RawData[Month List],$Q$6,RawData[Tour/Site],$Q$2,RawData[[Picker ID ]],$Q$3,RawData[Checker ID],$Q$4,RawData[[Error Type ]],$Q$5))</f>
        <v/>
      </c>
    </row>
    <row r="11262" spans="15:15" x14ac:dyDescent="0.25">
      <c r="O11262" s="20" t="str">
        <f>IF(N11262="","",COUNTIFS(RawData[[Date ]],N11262,RawData[Month List],$Q$6,RawData[Tour/Site],$Q$2,RawData[[Picker ID ]],$Q$3,RawData[Checker ID],$Q$4,RawData[[Error Type ]],$Q$5))</f>
        <v/>
      </c>
    </row>
    <row r="11263" spans="15:15" x14ac:dyDescent="0.25">
      <c r="O11263" s="20" t="str">
        <f>IF(N11263="","",COUNTIFS(RawData[[Date ]],N11263,RawData[Month List],$Q$6,RawData[Tour/Site],$Q$2,RawData[[Picker ID ]],$Q$3,RawData[Checker ID],$Q$4,RawData[[Error Type ]],$Q$5))</f>
        <v/>
      </c>
    </row>
    <row r="11264" spans="15:15" x14ac:dyDescent="0.25">
      <c r="O11264" s="20" t="str">
        <f>IF(N11264="","",COUNTIFS(RawData[[Date ]],N11264,RawData[Month List],$Q$6,RawData[Tour/Site],$Q$2,RawData[[Picker ID ]],$Q$3,RawData[Checker ID],$Q$4,RawData[[Error Type ]],$Q$5))</f>
        <v/>
      </c>
    </row>
    <row r="11265" spans="15:15" x14ac:dyDescent="0.25">
      <c r="O11265" s="20" t="str">
        <f>IF(N11265="","",COUNTIFS(RawData[[Date ]],N11265,RawData[Month List],$Q$6,RawData[Tour/Site],$Q$2,RawData[[Picker ID ]],$Q$3,RawData[Checker ID],$Q$4,RawData[[Error Type ]],$Q$5))</f>
        <v/>
      </c>
    </row>
    <row r="11266" spans="15:15" x14ac:dyDescent="0.25">
      <c r="O11266" s="20" t="str">
        <f>IF(N11266="","",COUNTIFS(RawData[[Date ]],N11266,RawData[Month List],$Q$6,RawData[Tour/Site],$Q$2,RawData[[Picker ID ]],$Q$3,RawData[Checker ID],$Q$4,RawData[[Error Type ]],$Q$5))</f>
        <v/>
      </c>
    </row>
    <row r="11267" spans="15:15" x14ac:dyDescent="0.25">
      <c r="O11267" s="20" t="str">
        <f>IF(N11267="","",COUNTIFS(RawData[[Date ]],N11267,RawData[Month List],$Q$6,RawData[Tour/Site],$Q$2,RawData[[Picker ID ]],$Q$3,RawData[Checker ID],$Q$4,RawData[[Error Type ]],$Q$5))</f>
        <v/>
      </c>
    </row>
    <row r="11268" spans="15:15" x14ac:dyDescent="0.25">
      <c r="O11268" s="20" t="str">
        <f>IF(N11268="","",COUNTIFS(RawData[[Date ]],N11268,RawData[Month List],$Q$6,RawData[Tour/Site],$Q$2,RawData[[Picker ID ]],$Q$3,RawData[Checker ID],$Q$4,RawData[[Error Type ]],$Q$5))</f>
        <v/>
      </c>
    </row>
    <row r="11269" spans="15:15" x14ac:dyDescent="0.25">
      <c r="O11269" s="20" t="str">
        <f>IF(N11269="","",COUNTIFS(RawData[[Date ]],N11269,RawData[Month List],$Q$6,RawData[Tour/Site],$Q$2,RawData[[Picker ID ]],$Q$3,RawData[Checker ID],$Q$4,RawData[[Error Type ]],$Q$5))</f>
        <v/>
      </c>
    </row>
    <row r="11270" spans="15:15" x14ac:dyDescent="0.25">
      <c r="O11270" s="20" t="str">
        <f>IF(N11270="","",COUNTIFS(RawData[[Date ]],N11270,RawData[Month List],$Q$6,RawData[Tour/Site],$Q$2,RawData[[Picker ID ]],$Q$3,RawData[Checker ID],$Q$4,RawData[[Error Type ]],$Q$5))</f>
        <v/>
      </c>
    </row>
    <row r="11271" spans="15:15" x14ac:dyDescent="0.25">
      <c r="O11271" s="20" t="str">
        <f>IF(N11271="","",COUNTIFS(RawData[[Date ]],N11271,RawData[Month List],$Q$6,RawData[Tour/Site],$Q$2,RawData[[Picker ID ]],$Q$3,RawData[Checker ID],$Q$4,RawData[[Error Type ]],$Q$5))</f>
        <v/>
      </c>
    </row>
    <row r="11272" spans="15:15" x14ac:dyDescent="0.25">
      <c r="O11272" s="20" t="str">
        <f>IF(N11272="","",COUNTIFS(RawData[[Date ]],N11272,RawData[Month List],$Q$6,RawData[Tour/Site],$Q$2,RawData[[Picker ID ]],$Q$3,RawData[Checker ID],$Q$4,RawData[[Error Type ]],$Q$5))</f>
        <v/>
      </c>
    </row>
    <row r="11273" spans="15:15" x14ac:dyDescent="0.25">
      <c r="O11273" s="20" t="str">
        <f>IF(N11273="","",COUNTIFS(RawData[[Date ]],N11273,RawData[Month List],$Q$6,RawData[Tour/Site],$Q$2,RawData[[Picker ID ]],$Q$3,RawData[Checker ID],$Q$4,RawData[[Error Type ]],$Q$5))</f>
        <v/>
      </c>
    </row>
    <row r="11274" spans="15:15" x14ac:dyDescent="0.25">
      <c r="O11274" s="20" t="str">
        <f>IF(N11274="","",COUNTIFS(RawData[[Date ]],N11274,RawData[Month List],$Q$6,RawData[Tour/Site],$Q$2,RawData[[Picker ID ]],$Q$3,RawData[Checker ID],$Q$4,RawData[[Error Type ]],$Q$5))</f>
        <v/>
      </c>
    </row>
    <row r="11275" spans="15:15" x14ac:dyDescent="0.25">
      <c r="O11275" s="20" t="str">
        <f>IF(N11275="","",COUNTIFS(RawData[[Date ]],N11275,RawData[Month List],$Q$6,RawData[Tour/Site],$Q$2,RawData[[Picker ID ]],$Q$3,RawData[Checker ID],$Q$4,RawData[[Error Type ]],$Q$5))</f>
        <v/>
      </c>
    </row>
    <row r="11276" spans="15:15" x14ac:dyDescent="0.25">
      <c r="O11276" s="20" t="str">
        <f>IF(N11276="","",COUNTIFS(RawData[[Date ]],N11276,RawData[Month List],$Q$6,RawData[Tour/Site],$Q$2,RawData[[Picker ID ]],$Q$3,RawData[Checker ID],$Q$4,RawData[[Error Type ]],$Q$5))</f>
        <v/>
      </c>
    </row>
    <row r="11277" spans="15:15" x14ac:dyDescent="0.25">
      <c r="O11277" s="20" t="str">
        <f>IF(N11277="","",COUNTIFS(RawData[[Date ]],N11277,RawData[Month List],$Q$6,RawData[Tour/Site],$Q$2,RawData[[Picker ID ]],$Q$3,RawData[Checker ID],$Q$4,RawData[[Error Type ]],$Q$5))</f>
        <v/>
      </c>
    </row>
    <row r="11278" spans="15:15" x14ac:dyDescent="0.25">
      <c r="O11278" s="20" t="str">
        <f>IF(N11278="","",COUNTIFS(RawData[[Date ]],N11278,RawData[Month List],$Q$6,RawData[Tour/Site],$Q$2,RawData[[Picker ID ]],$Q$3,RawData[Checker ID],$Q$4,RawData[[Error Type ]],$Q$5))</f>
        <v/>
      </c>
    </row>
    <row r="11279" spans="15:15" x14ac:dyDescent="0.25">
      <c r="O11279" s="20" t="str">
        <f>IF(N11279="","",COUNTIFS(RawData[[Date ]],N11279,RawData[Month List],$Q$6,RawData[Tour/Site],$Q$2,RawData[[Picker ID ]],$Q$3,RawData[Checker ID],$Q$4,RawData[[Error Type ]],$Q$5))</f>
        <v/>
      </c>
    </row>
    <row r="11280" spans="15:15" x14ac:dyDescent="0.25">
      <c r="O11280" s="20" t="str">
        <f>IF(N11280="","",COUNTIFS(RawData[[Date ]],N11280,RawData[Month List],$Q$6,RawData[Tour/Site],$Q$2,RawData[[Picker ID ]],$Q$3,RawData[Checker ID],$Q$4,RawData[[Error Type ]],$Q$5))</f>
        <v/>
      </c>
    </row>
    <row r="11281" spans="15:15" x14ac:dyDescent="0.25">
      <c r="O11281" s="20" t="str">
        <f>IF(N11281="","",COUNTIFS(RawData[[Date ]],N11281,RawData[Month List],$Q$6,RawData[Tour/Site],$Q$2,RawData[[Picker ID ]],$Q$3,RawData[Checker ID],$Q$4,RawData[[Error Type ]],$Q$5))</f>
        <v/>
      </c>
    </row>
    <row r="11282" spans="15:15" x14ac:dyDescent="0.25">
      <c r="O11282" s="20" t="str">
        <f>IF(N11282="","",COUNTIFS(RawData[[Date ]],N11282,RawData[Month List],$Q$6,RawData[Tour/Site],$Q$2,RawData[[Picker ID ]],$Q$3,RawData[Checker ID],$Q$4,RawData[[Error Type ]],$Q$5))</f>
        <v/>
      </c>
    </row>
    <row r="11283" spans="15:15" x14ac:dyDescent="0.25">
      <c r="O11283" s="20" t="str">
        <f>IF(N11283="","",COUNTIFS(RawData[[Date ]],N11283,RawData[Month List],$Q$6,RawData[Tour/Site],$Q$2,RawData[[Picker ID ]],$Q$3,RawData[Checker ID],$Q$4,RawData[[Error Type ]],$Q$5))</f>
        <v/>
      </c>
    </row>
    <row r="11284" spans="15:15" x14ac:dyDescent="0.25">
      <c r="O11284" s="20" t="str">
        <f>IF(N11284="","",COUNTIFS(RawData[[Date ]],N11284,RawData[Month List],$Q$6,RawData[Tour/Site],$Q$2,RawData[[Picker ID ]],$Q$3,RawData[Checker ID],$Q$4,RawData[[Error Type ]],$Q$5))</f>
        <v/>
      </c>
    </row>
    <row r="11285" spans="15:15" x14ac:dyDescent="0.25">
      <c r="O11285" s="20" t="str">
        <f>IF(N11285="","",COUNTIFS(RawData[[Date ]],N11285,RawData[Month List],$Q$6,RawData[Tour/Site],$Q$2,RawData[[Picker ID ]],$Q$3,RawData[Checker ID],$Q$4,RawData[[Error Type ]],$Q$5))</f>
        <v/>
      </c>
    </row>
    <row r="11286" spans="15:15" x14ac:dyDescent="0.25">
      <c r="O11286" s="20" t="str">
        <f>IF(N11286="","",COUNTIFS(RawData[[Date ]],N11286,RawData[Month List],$Q$6,RawData[Tour/Site],$Q$2,RawData[[Picker ID ]],$Q$3,RawData[Checker ID],$Q$4,RawData[[Error Type ]],$Q$5))</f>
        <v/>
      </c>
    </row>
    <row r="11287" spans="15:15" x14ac:dyDescent="0.25">
      <c r="O11287" s="20" t="str">
        <f>IF(N11287="","",COUNTIFS(RawData[[Date ]],N11287,RawData[Month List],$Q$6,RawData[Tour/Site],$Q$2,RawData[[Picker ID ]],$Q$3,RawData[Checker ID],$Q$4,RawData[[Error Type ]],$Q$5))</f>
        <v/>
      </c>
    </row>
    <row r="11288" spans="15:15" x14ac:dyDescent="0.25">
      <c r="O11288" s="20" t="str">
        <f>IF(N11288="","",COUNTIFS(RawData[[Date ]],N11288,RawData[Month List],$Q$6,RawData[Tour/Site],$Q$2,RawData[[Picker ID ]],$Q$3,RawData[Checker ID],$Q$4,RawData[[Error Type ]],$Q$5))</f>
        <v/>
      </c>
    </row>
    <row r="11289" spans="15:15" x14ac:dyDescent="0.25">
      <c r="O11289" s="20" t="str">
        <f>IF(N11289="","",COUNTIFS(RawData[[Date ]],N11289,RawData[Month List],$Q$6,RawData[Tour/Site],$Q$2,RawData[[Picker ID ]],$Q$3,RawData[Checker ID],$Q$4,RawData[[Error Type ]],$Q$5))</f>
        <v/>
      </c>
    </row>
    <row r="11290" spans="15:15" x14ac:dyDescent="0.25">
      <c r="O11290" s="20" t="str">
        <f>IF(N11290="","",COUNTIFS(RawData[[Date ]],N11290,RawData[Month List],$Q$6,RawData[Tour/Site],$Q$2,RawData[[Picker ID ]],$Q$3,RawData[Checker ID],$Q$4,RawData[[Error Type ]],$Q$5))</f>
        <v/>
      </c>
    </row>
    <row r="11291" spans="15:15" x14ac:dyDescent="0.25">
      <c r="O11291" s="20" t="str">
        <f>IF(N11291="","",COUNTIFS(RawData[[Date ]],N11291,RawData[Month List],$Q$6,RawData[Tour/Site],$Q$2,RawData[[Picker ID ]],$Q$3,RawData[Checker ID],$Q$4,RawData[[Error Type ]],$Q$5))</f>
        <v/>
      </c>
    </row>
    <row r="11292" spans="15:15" x14ac:dyDescent="0.25">
      <c r="O11292" s="20" t="str">
        <f>IF(N11292="","",COUNTIFS(RawData[[Date ]],N11292,RawData[Month List],$Q$6,RawData[Tour/Site],$Q$2,RawData[[Picker ID ]],$Q$3,RawData[Checker ID],$Q$4,RawData[[Error Type ]],$Q$5))</f>
        <v/>
      </c>
    </row>
    <row r="11293" spans="15:15" x14ac:dyDescent="0.25">
      <c r="O11293" s="20" t="str">
        <f>IF(N11293="","",COUNTIFS(RawData[[Date ]],N11293,RawData[Month List],$Q$6,RawData[Tour/Site],$Q$2,RawData[[Picker ID ]],$Q$3,RawData[Checker ID],$Q$4,RawData[[Error Type ]],$Q$5))</f>
        <v/>
      </c>
    </row>
    <row r="11294" spans="15:15" x14ac:dyDescent="0.25">
      <c r="O11294" s="20" t="str">
        <f>IF(N11294="","",COUNTIFS(RawData[[Date ]],N11294,RawData[Month List],$Q$6,RawData[Tour/Site],$Q$2,RawData[[Picker ID ]],$Q$3,RawData[Checker ID],$Q$4,RawData[[Error Type ]],$Q$5))</f>
        <v/>
      </c>
    </row>
    <row r="11295" spans="15:15" x14ac:dyDescent="0.25">
      <c r="O11295" s="20" t="str">
        <f>IF(N11295="","",COUNTIFS(RawData[[Date ]],N11295,RawData[Month List],$Q$6,RawData[Tour/Site],$Q$2,RawData[[Picker ID ]],$Q$3,RawData[Checker ID],$Q$4,RawData[[Error Type ]],$Q$5))</f>
        <v/>
      </c>
    </row>
    <row r="11296" spans="15:15" x14ac:dyDescent="0.25">
      <c r="O11296" s="20" t="str">
        <f>IF(N11296="","",COUNTIFS(RawData[[Date ]],N11296,RawData[Month List],$Q$6,RawData[Tour/Site],$Q$2,RawData[[Picker ID ]],$Q$3,RawData[Checker ID],$Q$4,RawData[[Error Type ]],$Q$5))</f>
        <v/>
      </c>
    </row>
    <row r="11297" spans="15:15" x14ac:dyDescent="0.25">
      <c r="O11297" s="20" t="str">
        <f>IF(N11297="","",COUNTIFS(RawData[[Date ]],N11297,RawData[Month List],$Q$6,RawData[Tour/Site],$Q$2,RawData[[Picker ID ]],$Q$3,RawData[Checker ID],$Q$4,RawData[[Error Type ]],$Q$5))</f>
        <v/>
      </c>
    </row>
    <row r="11298" spans="15:15" x14ac:dyDescent="0.25">
      <c r="O11298" s="20" t="str">
        <f>IF(N11298="","",COUNTIFS(RawData[[Date ]],N11298,RawData[Month List],$Q$6,RawData[Tour/Site],$Q$2,RawData[[Picker ID ]],$Q$3,RawData[Checker ID],$Q$4,RawData[[Error Type ]],$Q$5))</f>
        <v/>
      </c>
    </row>
    <row r="11299" spans="15:15" x14ac:dyDescent="0.25">
      <c r="O11299" s="20" t="str">
        <f>IF(N11299="","",COUNTIFS(RawData[[Date ]],N11299,RawData[Month List],$Q$6,RawData[Tour/Site],$Q$2,RawData[[Picker ID ]],$Q$3,RawData[Checker ID],$Q$4,RawData[[Error Type ]],$Q$5))</f>
        <v/>
      </c>
    </row>
    <row r="11300" spans="15:15" x14ac:dyDescent="0.25">
      <c r="O11300" s="20" t="str">
        <f>IF(N11300="","",COUNTIFS(RawData[[Date ]],N11300,RawData[Month List],$Q$6,RawData[Tour/Site],$Q$2,RawData[[Picker ID ]],$Q$3,RawData[Checker ID],$Q$4,RawData[[Error Type ]],$Q$5))</f>
        <v/>
      </c>
    </row>
    <row r="11301" spans="15:15" x14ac:dyDescent="0.25">
      <c r="O11301" s="20" t="str">
        <f>IF(N11301="","",COUNTIFS(RawData[[Date ]],N11301,RawData[Month List],$Q$6,RawData[Tour/Site],$Q$2,RawData[[Picker ID ]],$Q$3,RawData[Checker ID],$Q$4,RawData[[Error Type ]],$Q$5))</f>
        <v/>
      </c>
    </row>
    <row r="11302" spans="15:15" x14ac:dyDescent="0.25">
      <c r="O11302" s="20" t="str">
        <f>IF(N11302="","",COUNTIFS(RawData[[Date ]],N11302,RawData[Month List],$Q$6,RawData[Tour/Site],$Q$2,RawData[[Picker ID ]],$Q$3,RawData[Checker ID],$Q$4,RawData[[Error Type ]],$Q$5))</f>
        <v/>
      </c>
    </row>
    <row r="11303" spans="15:15" x14ac:dyDescent="0.25">
      <c r="O11303" s="20" t="str">
        <f>IF(N11303="","",COUNTIFS(RawData[[Date ]],N11303,RawData[Month List],$Q$6,RawData[Tour/Site],$Q$2,RawData[[Picker ID ]],$Q$3,RawData[Checker ID],$Q$4,RawData[[Error Type ]],$Q$5))</f>
        <v/>
      </c>
    </row>
    <row r="11304" spans="15:15" x14ac:dyDescent="0.25">
      <c r="O11304" s="20" t="str">
        <f>IF(N11304="","",COUNTIFS(RawData[[Date ]],N11304,RawData[Month List],$Q$6,RawData[Tour/Site],$Q$2,RawData[[Picker ID ]],$Q$3,RawData[Checker ID],$Q$4,RawData[[Error Type ]],$Q$5))</f>
        <v/>
      </c>
    </row>
    <row r="11305" spans="15:15" x14ac:dyDescent="0.25">
      <c r="O11305" s="20" t="str">
        <f>IF(N11305="","",COUNTIFS(RawData[[Date ]],N11305,RawData[Month List],$Q$6,RawData[Tour/Site],$Q$2,RawData[[Picker ID ]],$Q$3,RawData[Checker ID],$Q$4,RawData[[Error Type ]],$Q$5))</f>
        <v/>
      </c>
    </row>
    <row r="11306" spans="15:15" x14ac:dyDescent="0.25">
      <c r="O11306" s="20" t="str">
        <f>IF(N11306="","",COUNTIFS(RawData[[Date ]],N11306,RawData[Month List],$Q$6,RawData[Tour/Site],$Q$2,RawData[[Picker ID ]],$Q$3,RawData[Checker ID],$Q$4,RawData[[Error Type ]],$Q$5))</f>
        <v/>
      </c>
    </row>
    <row r="11307" spans="15:15" x14ac:dyDescent="0.25">
      <c r="O11307" s="20" t="str">
        <f>IF(N11307="","",COUNTIFS(RawData[[Date ]],N11307,RawData[Month List],$Q$6,RawData[Tour/Site],$Q$2,RawData[[Picker ID ]],$Q$3,RawData[Checker ID],$Q$4,RawData[[Error Type ]],$Q$5))</f>
        <v/>
      </c>
    </row>
    <row r="11308" spans="15:15" x14ac:dyDescent="0.25">
      <c r="O11308" s="20" t="str">
        <f>IF(N11308="","",COUNTIFS(RawData[[Date ]],N11308,RawData[Month List],$Q$6,RawData[Tour/Site],$Q$2,RawData[[Picker ID ]],$Q$3,RawData[Checker ID],$Q$4,RawData[[Error Type ]],$Q$5))</f>
        <v/>
      </c>
    </row>
    <row r="11309" spans="15:15" x14ac:dyDescent="0.25">
      <c r="O11309" s="20" t="str">
        <f>IF(N11309="","",COUNTIFS(RawData[[Date ]],N11309,RawData[Month List],$Q$6,RawData[Tour/Site],$Q$2,RawData[[Picker ID ]],$Q$3,RawData[Checker ID],$Q$4,RawData[[Error Type ]],$Q$5))</f>
        <v/>
      </c>
    </row>
    <row r="11310" spans="15:15" x14ac:dyDescent="0.25">
      <c r="O11310" s="20" t="str">
        <f>IF(N11310="","",COUNTIFS(RawData[[Date ]],N11310,RawData[Month List],$Q$6,RawData[Tour/Site],$Q$2,RawData[[Picker ID ]],$Q$3,RawData[Checker ID],$Q$4,RawData[[Error Type ]],$Q$5))</f>
        <v/>
      </c>
    </row>
    <row r="11311" spans="15:15" x14ac:dyDescent="0.25">
      <c r="O11311" s="20" t="str">
        <f>IF(N11311="","",COUNTIFS(RawData[[Date ]],N11311,RawData[Month List],$Q$6,RawData[Tour/Site],$Q$2,RawData[[Picker ID ]],$Q$3,RawData[Checker ID],$Q$4,RawData[[Error Type ]],$Q$5))</f>
        <v/>
      </c>
    </row>
    <row r="11312" spans="15:15" x14ac:dyDescent="0.25">
      <c r="O11312" s="20" t="str">
        <f>IF(N11312="","",COUNTIFS(RawData[[Date ]],N11312,RawData[Month List],$Q$6,RawData[Tour/Site],$Q$2,RawData[[Picker ID ]],$Q$3,RawData[Checker ID],$Q$4,RawData[[Error Type ]],$Q$5))</f>
        <v/>
      </c>
    </row>
    <row r="11313" spans="15:15" x14ac:dyDescent="0.25">
      <c r="O11313" s="20" t="str">
        <f>IF(N11313="","",COUNTIFS(RawData[[Date ]],N11313,RawData[Month List],$Q$6,RawData[Tour/Site],$Q$2,RawData[[Picker ID ]],$Q$3,RawData[Checker ID],$Q$4,RawData[[Error Type ]],$Q$5))</f>
        <v/>
      </c>
    </row>
    <row r="11314" spans="15:15" x14ac:dyDescent="0.25">
      <c r="O11314" s="20" t="str">
        <f>IF(N11314="","",COUNTIFS(RawData[[Date ]],N11314,RawData[Month List],$Q$6,RawData[Tour/Site],$Q$2,RawData[[Picker ID ]],$Q$3,RawData[Checker ID],$Q$4,RawData[[Error Type ]],$Q$5))</f>
        <v/>
      </c>
    </row>
    <row r="11315" spans="15:15" x14ac:dyDescent="0.25">
      <c r="O11315" s="20" t="str">
        <f>IF(N11315="","",COUNTIFS(RawData[[Date ]],N11315,RawData[Month List],$Q$6,RawData[Tour/Site],$Q$2,RawData[[Picker ID ]],$Q$3,RawData[Checker ID],$Q$4,RawData[[Error Type ]],$Q$5))</f>
        <v/>
      </c>
    </row>
    <row r="11316" spans="15:15" x14ac:dyDescent="0.25">
      <c r="O11316" s="20" t="str">
        <f>IF(N11316="","",COUNTIFS(RawData[[Date ]],N11316,RawData[Month List],$Q$6,RawData[Tour/Site],$Q$2,RawData[[Picker ID ]],$Q$3,RawData[Checker ID],$Q$4,RawData[[Error Type ]],$Q$5))</f>
        <v/>
      </c>
    </row>
    <row r="11317" spans="15:15" x14ac:dyDescent="0.25">
      <c r="O11317" s="20" t="str">
        <f>IF(N11317="","",COUNTIFS(RawData[[Date ]],N11317,RawData[Month List],$Q$6,RawData[Tour/Site],$Q$2,RawData[[Picker ID ]],$Q$3,RawData[Checker ID],$Q$4,RawData[[Error Type ]],$Q$5))</f>
        <v/>
      </c>
    </row>
    <row r="11318" spans="15:15" x14ac:dyDescent="0.25">
      <c r="O11318" s="20" t="str">
        <f>IF(N11318="","",COUNTIFS(RawData[[Date ]],N11318,RawData[Month List],$Q$6,RawData[Tour/Site],$Q$2,RawData[[Picker ID ]],$Q$3,RawData[Checker ID],$Q$4,RawData[[Error Type ]],$Q$5))</f>
        <v/>
      </c>
    </row>
    <row r="11319" spans="15:15" x14ac:dyDescent="0.25">
      <c r="O11319" s="20" t="str">
        <f>IF(N11319="","",COUNTIFS(RawData[[Date ]],N11319,RawData[Month List],$Q$6,RawData[Tour/Site],$Q$2,RawData[[Picker ID ]],$Q$3,RawData[Checker ID],$Q$4,RawData[[Error Type ]],$Q$5))</f>
        <v/>
      </c>
    </row>
    <row r="11320" spans="15:15" x14ac:dyDescent="0.25">
      <c r="O11320" s="20" t="str">
        <f>IF(N11320="","",COUNTIFS(RawData[[Date ]],N11320,RawData[Month List],$Q$6,RawData[Tour/Site],$Q$2,RawData[[Picker ID ]],$Q$3,RawData[Checker ID],$Q$4,RawData[[Error Type ]],$Q$5))</f>
        <v/>
      </c>
    </row>
    <row r="11321" spans="15:15" x14ac:dyDescent="0.25">
      <c r="O11321" s="20" t="str">
        <f>IF(N11321="","",COUNTIFS(RawData[[Date ]],N11321,RawData[Month List],$Q$6,RawData[Tour/Site],$Q$2,RawData[[Picker ID ]],$Q$3,RawData[Checker ID],$Q$4,RawData[[Error Type ]],$Q$5))</f>
        <v/>
      </c>
    </row>
    <row r="11322" spans="15:15" x14ac:dyDescent="0.25">
      <c r="O11322" s="20" t="str">
        <f>IF(N11322="","",COUNTIFS(RawData[[Date ]],N11322,RawData[Month List],$Q$6,RawData[Tour/Site],$Q$2,RawData[[Picker ID ]],$Q$3,RawData[Checker ID],$Q$4,RawData[[Error Type ]],$Q$5))</f>
        <v/>
      </c>
    </row>
    <row r="11323" spans="15:15" x14ac:dyDescent="0.25">
      <c r="O11323" s="20" t="str">
        <f>IF(N11323="","",COUNTIFS(RawData[[Date ]],N11323,RawData[Month List],$Q$6,RawData[Tour/Site],$Q$2,RawData[[Picker ID ]],$Q$3,RawData[Checker ID],$Q$4,RawData[[Error Type ]],$Q$5))</f>
        <v/>
      </c>
    </row>
    <row r="11324" spans="15:15" x14ac:dyDescent="0.25">
      <c r="O11324" s="20" t="str">
        <f>IF(N11324="","",COUNTIFS(RawData[[Date ]],N11324,RawData[Month List],$Q$6,RawData[Tour/Site],$Q$2,RawData[[Picker ID ]],$Q$3,RawData[Checker ID],$Q$4,RawData[[Error Type ]],$Q$5))</f>
        <v/>
      </c>
    </row>
    <row r="11325" spans="15:15" x14ac:dyDescent="0.25">
      <c r="O11325" s="20" t="str">
        <f>IF(N11325="","",COUNTIFS(RawData[[Date ]],N11325,RawData[Month List],$Q$6,RawData[Tour/Site],$Q$2,RawData[[Picker ID ]],$Q$3,RawData[Checker ID],$Q$4,RawData[[Error Type ]],$Q$5))</f>
        <v/>
      </c>
    </row>
    <row r="11326" spans="15:15" x14ac:dyDescent="0.25">
      <c r="O11326" s="20" t="str">
        <f>IF(N11326="","",COUNTIFS(RawData[[Date ]],N11326,RawData[Month List],$Q$6,RawData[Tour/Site],$Q$2,RawData[[Picker ID ]],$Q$3,RawData[Checker ID],$Q$4,RawData[[Error Type ]],$Q$5))</f>
        <v/>
      </c>
    </row>
    <row r="11327" spans="15:15" x14ac:dyDescent="0.25">
      <c r="O11327" s="20" t="str">
        <f>IF(N11327="","",COUNTIFS(RawData[[Date ]],N11327,RawData[Month List],$Q$6,RawData[Tour/Site],$Q$2,RawData[[Picker ID ]],$Q$3,RawData[Checker ID],$Q$4,RawData[[Error Type ]],$Q$5))</f>
        <v/>
      </c>
    </row>
    <row r="11328" spans="15:15" x14ac:dyDescent="0.25">
      <c r="O11328" s="20" t="str">
        <f>IF(N11328="","",COUNTIFS(RawData[[Date ]],N11328,RawData[Month List],$Q$6,RawData[Tour/Site],$Q$2,RawData[[Picker ID ]],$Q$3,RawData[Checker ID],$Q$4,RawData[[Error Type ]],$Q$5))</f>
        <v/>
      </c>
    </row>
    <row r="11329" spans="15:15" x14ac:dyDescent="0.25">
      <c r="O11329" s="20" t="str">
        <f>IF(N11329="","",COUNTIFS(RawData[[Date ]],N11329,RawData[Month List],$Q$6,RawData[Tour/Site],$Q$2,RawData[[Picker ID ]],$Q$3,RawData[Checker ID],$Q$4,RawData[[Error Type ]],$Q$5))</f>
        <v/>
      </c>
    </row>
    <row r="11330" spans="15:15" x14ac:dyDescent="0.25">
      <c r="O11330" s="20" t="str">
        <f>IF(N11330="","",COUNTIFS(RawData[[Date ]],N11330,RawData[Month List],$Q$6,RawData[Tour/Site],$Q$2,RawData[[Picker ID ]],$Q$3,RawData[Checker ID],$Q$4,RawData[[Error Type ]],$Q$5))</f>
        <v/>
      </c>
    </row>
    <row r="11331" spans="15:15" x14ac:dyDescent="0.25">
      <c r="O11331" s="20" t="str">
        <f>IF(N11331="","",COUNTIFS(RawData[[Date ]],N11331,RawData[Month List],$Q$6,RawData[Tour/Site],$Q$2,RawData[[Picker ID ]],$Q$3,RawData[Checker ID],$Q$4,RawData[[Error Type ]],$Q$5))</f>
        <v/>
      </c>
    </row>
    <row r="11332" spans="15:15" x14ac:dyDescent="0.25">
      <c r="O11332" s="20" t="str">
        <f>IF(N11332="","",COUNTIFS(RawData[[Date ]],N11332,RawData[Month List],$Q$6,RawData[Tour/Site],$Q$2,RawData[[Picker ID ]],$Q$3,RawData[Checker ID],$Q$4,RawData[[Error Type ]],$Q$5))</f>
        <v/>
      </c>
    </row>
    <row r="11333" spans="15:15" x14ac:dyDescent="0.25">
      <c r="O11333" s="20" t="str">
        <f>IF(N11333="","",COUNTIFS(RawData[[Date ]],N11333,RawData[Month List],$Q$6,RawData[Tour/Site],$Q$2,RawData[[Picker ID ]],$Q$3,RawData[Checker ID],$Q$4,RawData[[Error Type ]],$Q$5))</f>
        <v/>
      </c>
    </row>
    <row r="11334" spans="15:15" x14ac:dyDescent="0.25">
      <c r="O11334" s="20" t="str">
        <f>IF(N11334="","",COUNTIFS(RawData[[Date ]],N11334,RawData[Month List],$Q$6,RawData[Tour/Site],$Q$2,RawData[[Picker ID ]],$Q$3,RawData[Checker ID],$Q$4,RawData[[Error Type ]],$Q$5))</f>
        <v/>
      </c>
    </row>
    <row r="11335" spans="15:15" x14ac:dyDescent="0.25">
      <c r="O11335" s="20" t="str">
        <f>IF(N11335="","",COUNTIFS(RawData[[Date ]],N11335,RawData[Month List],$Q$6,RawData[Tour/Site],$Q$2,RawData[[Picker ID ]],$Q$3,RawData[Checker ID],$Q$4,RawData[[Error Type ]],$Q$5))</f>
        <v/>
      </c>
    </row>
    <row r="11336" spans="15:15" x14ac:dyDescent="0.25">
      <c r="O11336" s="20" t="str">
        <f>IF(N11336="","",COUNTIFS(RawData[[Date ]],N11336,RawData[Month List],$Q$6,RawData[Tour/Site],$Q$2,RawData[[Picker ID ]],$Q$3,RawData[Checker ID],$Q$4,RawData[[Error Type ]],$Q$5))</f>
        <v/>
      </c>
    </row>
    <row r="11337" spans="15:15" x14ac:dyDescent="0.25">
      <c r="O11337" s="20" t="str">
        <f>IF(N11337="","",COUNTIFS(RawData[[Date ]],N11337,RawData[Month List],$Q$6,RawData[Tour/Site],$Q$2,RawData[[Picker ID ]],$Q$3,RawData[Checker ID],$Q$4,RawData[[Error Type ]],$Q$5))</f>
        <v/>
      </c>
    </row>
    <row r="11338" spans="15:15" x14ac:dyDescent="0.25">
      <c r="O11338" s="20" t="str">
        <f>IF(N11338="","",COUNTIFS(RawData[[Date ]],N11338,RawData[Month List],$Q$6,RawData[Tour/Site],$Q$2,RawData[[Picker ID ]],$Q$3,RawData[Checker ID],$Q$4,RawData[[Error Type ]],$Q$5))</f>
        <v/>
      </c>
    </row>
    <row r="11339" spans="15:15" x14ac:dyDescent="0.25">
      <c r="O11339" s="20" t="str">
        <f>IF(N11339="","",COUNTIFS(RawData[[Date ]],N11339,RawData[Month List],$Q$6,RawData[Tour/Site],$Q$2,RawData[[Picker ID ]],$Q$3,RawData[Checker ID],$Q$4,RawData[[Error Type ]],$Q$5))</f>
        <v/>
      </c>
    </row>
    <row r="11340" spans="15:15" x14ac:dyDescent="0.25">
      <c r="O11340" s="20" t="str">
        <f>IF(N11340="","",COUNTIFS(RawData[[Date ]],N11340,RawData[Month List],$Q$6,RawData[Tour/Site],$Q$2,RawData[[Picker ID ]],$Q$3,RawData[Checker ID],$Q$4,RawData[[Error Type ]],$Q$5))</f>
        <v/>
      </c>
    </row>
    <row r="11341" spans="15:15" x14ac:dyDescent="0.25">
      <c r="O11341" s="20" t="str">
        <f>IF(N11341="","",COUNTIFS(RawData[[Date ]],N11341,RawData[Month List],$Q$6,RawData[Tour/Site],$Q$2,RawData[[Picker ID ]],$Q$3,RawData[Checker ID],$Q$4,RawData[[Error Type ]],$Q$5))</f>
        <v/>
      </c>
    </row>
    <row r="11342" spans="15:15" x14ac:dyDescent="0.25">
      <c r="O11342" s="20" t="str">
        <f>IF(N11342="","",COUNTIFS(RawData[[Date ]],N11342,RawData[Month List],$Q$6,RawData[Tour/Site],$Q$2,RawData[[Picker ID ]],$Q$3,RawData[Checker ID],$Q$4,RawData[[Error Type ]],$Q$5))</f>
        <v/>
      </c>
    </row>
    <row r="11343" spans="15:15" x14ac:dyDescent="0.25">
      <c r="O11343" s="20" t="str">
        <f>IF(N11343="","",COUNTIFS(RawData[[Date ]],N11343,RawData[Month List],$Q$6,RawData[Tour/Site],$Q$2,RawData[[Picker ID ]],$Q$3,RawData[Checker ID],$Q$4,RawData[[Error Type ]],$Q$5))</f>
        <v/>
      </c>
    </row>
    <row r="11344" spans="15:15" x14ac:dyDescent="0.25">
      <c r="O11344" s="20" t="str">
        <f>IF(N11344="","",COUNTIFS(RawData[[Date ]],N11344,RawData[Month List],$Q$6,RawData[Tour/Site],$Q$2,RawData[[Picker ID ]],$Q$3,RawData[Checker ID],$Q$4,RawData[[Error Type ]],$Q$5))</f>
        <v/>
      </c>
    </row>
    <row r="11345" spans="15:15" x14ac:dyDescent="0.25">
      <c r="O11345" s="20" t="str">
        <f>IF(N11345="","",COUNTIFS(RawData[[Date ]],N11345,RawData[Month List],$Q$6,RawData[Tour/Site],$Q$2,RawData[[Picker ID ]],$Q$3,RawData[Checker ID],$Q$4,RawData[[Error Type ]],$Q$5))</f>
        <v/>
      </c>
    </row>
    <row r="11346" spans="15:15" x14ac:dyDescent="0.25">
      <c r="O11346" s="20" t="str">
        <f>IF(N11346="","",COUNTIFS(RawData[[Date ]],N11346,RawData[Month List],$Q$6,RawData[Tour/Site],$Q$2,RawData[[Picker ID ]],$Q$3,RawData[Checker ID],$Q$4,RawData[[Error Type ]],$Q$5))</f>
        <v/>
      </c>
    </row>
    <row r="11347" spans="15:15" x14ac:dyDescent="0.25">
      <c r="O11347" s="20" t="str">
        <f>IF(N11347="","",COUNTIFS(RawData[[Date ]],N11347,RawData[Month List],$Q$6,RawData[Tour/Site],$Q$2,RawData[[Picker ID ]],$Q$3,RawData[Checker ID],$Q$4,RawData[[Error Type ]],$Q$5))</f>
        <v/>
      </c>
    </row>
    <row r="11348" spans="15:15" x14ac:dyDescent="0.25">
      <c r="O11348" s="20" t="str">
        <f>IF(N11348="","",COUNTIFS(RawData[[Date ]],N11348,RawData[Month List],$Q$6,RawData[Tour/Site],$Q$2,RawData[[Picker ID ]],$Q$3,RawData[Checker ID],$Q$4,RawData[[Error Type ]],$Q$5))</f>
        <v/>
      </c>
    </row>
    <row r="11349" spans="15:15" x14ac:dyDescent="0.25">
      <c r="O11349" s="20" t="str">
        <f>IF(N11349="","",COUNTIFS(RawData[[Date ]],N11349,RawData[Month List],$Q$6,RawData[Tour/Site],$Q$2,RawData[[Picker ID ]],$Q$3,RawData[Checker ID],$Q$4,RawData[[Error Type ]],$Q$5))</f>
        <v/>
      </c>
    </row>
    <row r="11350" spans="15:15" x14ac:dyDescent="0.25">
      <c r="O11350" s="20" t="str">
        <f>IF(N11350="","",COUNTIFS(RawData[[Date ]],N11350,RawData[Month List],$Q$6,RawData[Tour/Site],$Q$2,RawData[[Picker ID ]],$Q$3,RawData[Checker ID],$Q$4,RawData[[Error Type ]],$Q$5))</f>
        <v/>
      </c>
    </row>
    <row r="11351" spans="15:15" x14ac:dyDescent="0.25">
      <c r="O11351" s="20" t="str">
        <f>IF(N11351="","",COUNTIFS(RawData[[Date ]],N11351,RawData[Month List],$Q$6,RawData[Tour/Site],$Q$2,RawData[[Picker ID ]],$Q$3,RawData[Checker ID],$Q$4,RawData[[Error Type ]],$Q$5))</f>
        <v/>
      </c>
    </row>
    <row r="11352" spans="15:15" x14ac:dyDescent="0.25">
      <c r="O11352" s="20" t="str">
        <f>IF(N11352="","",COUNTIFS(RawData[[Date ]],N11352,RawData[Month List],$Q$6,RawData[Tour/Site],$Q$2,RawData[[Picker ID ]],$Q$3,RawData[Checker ID],$Q$4,RawData[[Error Type ]],$Q$5))</f>
        <v/>
      </c>
    </row>
    <row r="11353" spans="15:15" x14ac:dyDescent="0.25">
      <c r="O11353" s="20" t="str">
        <f>IF(N11353="","",COUNTIFS(RawData[[Date ]],N11353,RawData[Month List],$Q$6,RawData[Tour/Site],$Q$2,RawData[[Picker ID ]],$Q$3,RawData[Checker ID],$Q$4,RawData[[Error Type ]],$Q$5))</f>
        <v/>
      </c>
    </row>
    <row r="11354" spans="15:15" x14ac:dyDescent="0.25">
      <c r="O11354" s="20" t="str">
        <f>IF(N11354="","",COUNTIFS(RawData[[Date ]],N11354,RawData[Month List],$Q$6,RawData[Tour/Site],$Q$2,RawData[[Picker ID ]],$Q$3,RawData[Checker ID],$Q$4,RawData[[Error Type ]],$Q$5))</f>
        <v/>
      </c>
    </row>
    <row r="11355" spans="15:15" x14ac:dyDescent="0.25">
      <c r="O11355" s="20" t="str">
        <f>IF(N11355="","",COUNTIFS(RawData[[Date ]],N11355,RawData[Month List],$Q$6,RawData[Tour/Site],$Q$2,RawData[[Picker ID ]],$Q$3,RawData[Checker ID],$Q$4,RawData[[Error Type ]],$Q$5))</f>
        <v/>
      </c>
    </row>
    <row r="11356" spans="15:15" x14ac:dyDescent="0.25">
      <c r="O11356" s="20" t="str">
        <f>IF(N11356="","",COUNTIFS(RawData[[Date ]],N11356,RawData[Month List],$Q$6,RawData[Tour/Site],$Q$2,RawData[[Picker ID ]],$Q$3,RawData[Checker ID],$Q$4,RawData[[Error Type ]],$Q$5))</f>
        <v/>
      </c>
    </row>
    <row r="11357" spans="15:15" x14ac:dyDescent="0.25">
      <c r="O11357" s="20" t="str">
        <f>IF(N11357="","",COUNTIFS(RawData[[Date ]],N11357,RawData[Month List],$Q$6,RawData[Tour/Site],$Q$2,RawData[[Picker ID ]],$Q$3,RawData[Checker ID],$Q$4,RawData[[Error Type ]],$Q$5))</f>
        <v/>
      </c>
    </row>
    <row r="11358" spans="15:15" x14ac:dyDescent="0.25">
      <c r="O11358" s="20" t="str">
        <f>IF(N11358="","",COUNTIFS(RawData[[Date ]],N11358,RawData[Month List],$Q$6,RawData[Tour/Site],$Q$2,RawData[[Picker ID ]],$Q$3,RawData[Checker ID],$Q$4,RawData[[Error Type ]],$Q$5))</f>
        <v/>
      </c>
    </row>
    <row r="11359" spans="15:15" x14ac:dyDescent="0.25">
      <c r="O11359" s="20" t="str">
        <f>IF(N11359="","",COUNTIFS(RawData[[Date ]],N11359,RawData[Month List],$Q$6,RawData[Tour/Site],$Q$2,RawData[[Picker ID ]],$Q$3,RawData[Checker ID],$Q$4,RawData[[Error Type ]],$Q$5))</f>
        <v/>
      </c>
    </row>
    <row r="11360" spans="15:15" x14ac:dyDescent="0.25">
      <c r="O11360" s="20" t="str">
        <f>IF(N11360="","",COUNTIFS(RawData[[Date ]],N11360,RawData[Month List],$Q$6,RawData[Tour/Site],$Q$2,RawData[[Picker ID ]],$Q$3,RawData[Checker ID],$Q$4,RawData[[Error Type ]],$Q$5))</f>
        <v/>
      </c>
    </row>
    <row r="11361" spans="15:15" x14ac:dyDescent="0.25">
      <c r="O11361" s="20" t="str">
        <f>IF(N11361="","",COUNTIFS(RawData[[Date ]],N11361,RawData[Month List],$Q$6,RawData[Tour/Site],$Q$2,RawData[[Picker ID ]],$Q$3,RawData[Checker ID],$Q$4,RawData[[Error Type ]],$Q$5))</f>
        <v/>
      </c>
    </row>
    <row r="11362" spans="15:15" x14ac:dyDescent="0.25">
      <c r="O11362" s="20" t="str">
        <f>IF(N11362="","",COUNTIFS(RawData[[Date ]],N11362,RawData[Month List],$Q$6,RawData[Tour/Site],$Q$2,RawData[[Picker ID ]],$Q$3,RawData[Checker ID],$Q$4,RawData[[Error Type ]],$Q$5))</f>
        <v/>
      </c>
    </row>
    <row r="11363" spans="15:15" x14ac:dyDescent="0.25">
      <c r="O11363" s="20" t="str">
        <f>IF(N11363="","",COUNTIFS(RawData[[Date ]],N11363,RawData[Month List],$Q$6,RawData[Tour/Site],$Q$2,RawData[[Picker ID ]],$Q$3,RawData[Checker ID],$Q$4,RawData[[Error Type ]],$Q$5))</f>
        <v/>
      </c>
    </row>
    <row r="11364" spans="15:15" x14ac:dyDescent="0.25">
      <c r="O11364" s="20" t="str">
        <f>IF(N11364="","",COUNTIFS(RawData[[Date ]],N11364,RawData[Month List],$Q$6,RawData[Tour/Site],$Q$2,RawData[[Picker ID ]],$Q$3,RawData[Checker ID],$Q$4,RawData[[Error Type ]],$Q$5))</f>
        <v/>
      </c>
    </row>
    <row r="11365" spans="15:15" x14ac:dyDescent="0.25">
      <c r="O11365" s="20" t="str">
        <f>IF(N11365="","",COUNTIFS(RawData[[Date ]],N11365,RawData[Month List],$Q$6,RawData[Tour/Site],$Q$2,RawData[[Picker ID ]],$Q$3,RawData[Checker ID],$Q$4,RawData[[Error Type ]],$Q$5))</f>
        <v/>
      </c>
    </row>
    <row r="11366" spans="15:15" x14ac:dyDescent="0.25">
      <c r="O11366" s="20" t="str">
        <f>IF(N11366="","",COUNTIFS(RawData[[Date ]],N11366,RawData[Month List],$Q$6,RawData[Tour/Site],$Q$2,RawData[[Picker ID ]],$Q$3,RawData[Checker ID],$Q$4,RawData[[Error Type ]],$Q$5))</f>
        <v/>
      </c>
    </row>
    <row r="11367" spans="15:15" x14ac:dyDescent="0.25">
      <c r="O11367" s="20" t="str">
        <f>IF(N11367="","",COUNTIFS(RawData[[Date ]],N11367,RawData[Month List],$Q$6,RawData[Tour/Site],$Q$2,RawData[[Picker ID ]],$Q$3,RawData[Checker ID],$Q$4,RawData[[Error Type ]],$Q$5))</f>
        <v/>
      </c>
    </row>
    <row r="11368" spans="15:15" x14ac:dyDescent="0.25">
      <c r="O11368" s="20" t="str">
        <f>IF(N11368="","",COUNTIFS(RawData[[Date ]],N11368,RawData[Month List],$Q$6,RawData[Tour/Site],$Q$2,RawData[[Picker ID ]],$Q$3,RawData[Checker ID],$Q$4,RawData[[Error Type ]],$Q$5))</f>
        <v/>
      </c>
    </row>
    <row r="11369" spans="15:15" x14ac:dyDescent="0.25">
      <c r="O11369" s="20" t="str">
        <f>IF(N11369="","",COUNTIFS(RawData[[Date ]],N11369,RawData[Month List],$Q$6,RawData[Tour/Site],$Q$2,RawData[[Picker ID ]],$Q$3,RawData[Checker ID],$Q$4,RawData[[Error Type ]],$Q$5))</f>
        <v/>
      </c>
    </row>
    <row r="11370" spans="15:15" x14ac:dyDescent="0.25">
      <c r="O11370" s="20" t="str">
        <f>IF(N11370="","",COUNTIFS(RawData[[Date ]],N11370,RawData[Month List],$Q$6,RawData[Tour/Site],$Q$2,RawData[[Picker ID ]],$Q$3,RawData[Checker ID],$Q$4,RawData[[Error Type ]],$Q$5))</f>
        <v/>
      </c>
    </row>
    <row r="11371" spans="15:15" x14ac:dyDescent="0.25">
      <c r="O11371" s="20" t="str">
        <f>IF(N11371="","",COUNTIFS(RawData[[Date ]],N11371,RawData[Month List],$Q$6,RawData[Tour/Site],$Q$2,RawData[[Picker ID ]],$Q$3,RawData[Checker ID],$Q$4,RawData[[Error Type ]],$Q$5))</f>
        <v/>
      </c>
    </row>
    <row r="11372" spans="15:15" x14ac:dyDescent="0.25">
      <c r="O11372" s="20" t="str">
        <f>IF(N11372="","",COUNTIFS(RawData[[Date ]],N11372,RawData[Month List],$Q$6,RawData[Tour/Site],$Q$2,RawData[[Picker ID ]],$Q$3,RawData[Checker ID],$Q$4,RawData[[Error Type ]],$Q$5))</f>
        <v/>
      </c>
    </row>
    <row r="11373" spans="15:15" x14ac:dyDescent="0.25">
      <c r="O11373" s="20" t="str">
        <f>IF(N11373="","",COUNTIFS(RawData[[Date ]],N11373,RawData[Month List],$Q$6,RawData[Tour/Site],$Q$2,RawData[[Picker ID ]],$Q$3,RawData[Checker ID],$Q$4,RawData[[Error Type ]],$Q$5))</f>
        <v/>
      </c>
    </row>
    <row r="11374" spans="15:15" x14ac:dyDescent="0.25">
      <c r="O11374" s="20" t="str">
        <f>IF(N11374="","",COUNTIFS(RawData[[Date ]],N11374,RawData[Month List],$Q$6,RawData[Tour/Site],$Q$2,RawData[[Picker ID ]],$Q$3,RawData[Checker ID],$Q$4,RawData[[Error Type ]],$Q$5))</f>
        <v/>
      </c>
    </row>
    <row r="11375" spans="15:15" x14ac:dyDescent="0.25">
      <c r="O11375" s="20" t="str">
        <f>IF(N11375="","",COUNTIFS(RawData[[Date ]],N11375,RawData[Month List],$Q$6,RawData[Tour/Site],$Q$2,RawData[[Picker ID ]],$Q$3,RawData[Checker ID],$Q$4,RawData[[Error Type ]],$Q$5))</f>
        <v/>
      </c>
    </row>
    <row r="11376" spans="15:15" x14ac:dyDescent="0.25">
      <c r="O11376" s="20" t="str">
        <f>IF(N11376="","",COUNTIFS(RawData[[Date ]],N11376,RawData[Month List],$Q$6,RawData[Tour/Site],$Q$2,RawData[[Picker ID ]],$Q$3,RawData[Checker ID],$Q$4,RawData[[Error Type ]],$Q$5))</f>
        <v/>
      </c>
    </row>
    <row r="11377" spans="15:15" x14ac:dyDescent="0.25">
      <c r="O11377" s="20" t="str">
        <f>IF(N11377="","",COUNTIFS(RawData[[Date ]],N11377,RawData[Month List],$Q$6,RawData[Tour/Site],$Q$2,RawData[[Picker ID ]],$Q$3,RawData[Checker ID],$Q$4,RawData[[Error Type ]],$Q$5))</f>
        <v/>
      </c>
    </row>
    <row r="11378" spans="15:15" x14ac:dyDescent="0.25">
      <c r="O11378" s="20" t="str">
        <f>IF(N11378="","",COUNTIFS(RawData[[Date ]],N11378,RawData[Month List],$Q$6,RawData[Tour/Site],$Q$2,RawData[[Picker ID ]],$Q$3,RawData[Checker ID],$Q$4,RawData[[Error Type ]],$Q$5))</f>
        <v/>
      </c>
    </row>
    <row r="11379" spans="15:15" x14ac:dyDescent="0.25">
      <c r="O11379" s="20" t="str">
        <f>IF(N11379="","",COUNTIFS(RawData[[Date ]],N11379,RawData[Month List],$Q$6,RawData[Tour/Site],$Q$2,RawData[[Picker ID ]],$Q$3,RawData[Checker ID],$Q$4,RawData[[Error Type ]],$Q$5))</f>
        <v/>
      </c>
    </row>
    <row r="11380" spans="15:15" x14ac:dyDescent="0.25">
      <c r="O11380" s="20" t="str">
        <f>IF(N11380="","",COUNTIFS(RawData[[Date ]],N11380,RawData[Month List],$Q$6,RawData[Tour/Site],$Q$2,RawData[[Picker ID ]],$Q$3,RawData[Checker ID],$Q$4,RawData[[Error Type ]],$Q$5))</f>
        <v/>
      </c>
    </row>
    <row r="11381" spans="15:15" x14ac:dyDescent="0.25">
      <c r="O11381" s="20" t="str">
        <f>IF(N11381="","",COUNTIFS(RawData[[Date ]],N11381,RawData[Month List],$Q$6,RawData[Tour/Site],$Q$2,RawData[[Picker ID ]],$Q$3,RawData[Checker ID],$Q$4,RawData[[Error Type ]],$Q$5))</f>
        <v/>
      </c>
    </row>
    <row r="11382" spans="15:15" x14ac:dyDescent="0.25">
      <c r="O11382" s="20" t="str">
        <f>IF(N11382="","",COUNTIFS(RawData[[Date ]],N11382,RawData[Month List],$Q$6,RawData[Tour/Site],$Q$2,RawData[[Picker ID ]],$Q$3,RawData[Checker ID],$Q$4,RawData[[Error Type ]],$Q$5))</f>
        <v/>
      </c>
    </row>
    <row r="11383" spans="15:15" x14ac:dyDescent="0.25">
      <c r="O11383" s="20" t="str">
        <f>IF(N11383="","",COUNTIFS(RawData[[Date ]],N11383,RawData[Month List],$Q$6,RawData[Tour/Site],$Q$2,RawData[[Picker ID ]],$Q$3,RawData[Checker ID],$Q$4,RawData[[Error Type ]],$Q$5))</f>
        <v/>
      </c>
    </row>
    <row r="11384" spans="15:15" x14ac:dyDescent="0.25">
      <c r="O11384" s="20" t="str">
        <f>IF(N11384="","",COUNTIFS(RawData[[Date ]],N11384,RawData[Month List],$Q$6,RawData[Tour/Site],$Q$2,RawData[[Picker ID ]],$Q$3,RawData[Checker ID],$Q$4,RawData[[Error Type ]],$Q$5))</f>
        <v/>
      </c>
    </row>
    <row r="11385" spans="15:15" x14ac:dyDescent="0.25">
      <c r="O11385" s="20" t="str">
        <f>IF(N11385="","",COUNTIFS(RawData[[Date ]],N11385,RawData[Month List],$Q$6,RawData[Tour/Site],$Q$2,RawData[[Picker ID ]],$Q$3,RawData[Checker ID],$Q$4,RawData[[Error Type ]],$Q$5))</f>
        <v/>
      </c>
    </row>
    <row r="11386" spans="15:15" x14ac:dyDescent="0.25">
      <c r="O11386" s="20" t="str">
        <f>IF(N11386="","",COUNTIFS(RawData[[Date ]],N11386,RawData[Month List],$Q$6,RawData[Tour/Site],$Q$2,RawData[[Picker ID ]],$Q$3,RawData[Checker ID],$Q$4,RawData[[Error Type ]],$Q$5))</f>
        <v/>
      </c>
    </row>
    <row r="11387" spans="15:15" x14ac:dyDescent="0.25">
      <c r="O11387" s="20" t="str">
        <f>IF(N11387="","",COUNTIFS(RawData[[Date ]],N11387,RawData[Month List],$Q$6,RawData[Tour/Site],$Q$2,RawData[[Picker ID ]],$Q$3,RawData[Checker ID],$Q$4,RawData[[Error Type ]],$Q$5))</f>
        <v/>
      </c>
    </row>
    <row r="11388" spans="15:15" x14ac:dyDescent="0.25">
      <c r="O11388" s="20" t="str">
        <f>IF(N11388="","",COUNTIFS(RawData[[Date ]],N11388,RawData[Month List],$Q$6,RawData[Tour/Site],$Q$2,RawData[[Picker ID ]],$Q$3,RawData[Checker ID],$Q$4,RawData[[Error Type ]],$Q$5))</f>
        <v/>
      </c>
    </row>
    <row r="11389" spans="15:15" x14ac:dyDescent="0.25">
      <c r="O11389" s="20" t="str">
        <f>IF(N11389="","",COUNTIFS(RawData[[Date ]],N11389,RawData[Month List],$Q$6,RawData[Tour/Site],$Q$2,RawData[[Picker ID ]],$Q$3,RawData[Checker ID],$Q$4,RawData[[Error Type ]],$Q$5))</f>
        <v/>
      </c>
    </row>
    <row r="11390" spans="15:15" x14ac:dyDescent="0.25">
      <c r="O11390" s="20" t="str">
        <f>IF(N11390="","",COUNTIFS(RawData[[Date ]],N11390,RawData[Month List],$Q$6,RawData[Tour/Site],$Q$2,RawData[[Picker ID ]],$Q$3,RawData[Checker ID],$Q$4,RawData[[Error Type ]],$Q$5))</f>
        <v/>
      </c>
    </row>
    <row r="11391" spans="15:15" x14ac:dyDescent="0.25">
      <c r="O11391" s="20" t="str">
        <f>IF(N11391="","",COUNTIFS(RawData[[Date ]],N11391,RawData[Month List],$Q$6,RawData[Tour/Site],$Q$2,RawData[[Picker ID ]],$Q$3,RawData[Checker ID],$Q$4,RawData[[Error Type ]],$Q$5))</f>
        <v/>
      </c>
    </row>
    <row r="11392" spans="15:15" x14ac:dyDescent="0.25">
      <c r="O11392" s="20" t="str">
        <f>IF(N11392="","",COUNTIFS(RawData[[Date ]],N11392,RawData[Month List],$Q$6,RawData[Tour/Site],$Q$2,RawData[[Picker ID ]],$Q$3,RawData[Checker ID],$Q$4,RawData[[Error Type ]],$Q$5))</f>
        <v/>
      </c>
    </row>
    <row r="11393" spans="15:15" x14ac:dyDescent="0.25">
      <c r="O11393" s="20" t="str">
        <f>IF(N11393="","",COUNTIFS(RawData[[Date ]],N11393,RawData[Month List],$Q$6,RawData[Tour/Site],$Q$2,RawData[[Picker ID ]],$Q$3,RawData[Checker ID],$Q$4,RawData[[Error Type ]],$Q$5))</f>
        <v/>
      </c>
    </row>
    <row r="11394" spans="15:15" x14ac:dyDescent="0.25">
      <c r="O11394" s="20" t="str">
        <f>IF(N11394="","",COUNTIFS(RawData[[Date ]],N11394,RawData[Month List],$Q$6,RawData[Tour/Site],$Q$2,RawData[[Picker ID ]],$Q$3,RawData[Checker ID],$Q$4,RawData[[Error Type ]],$Q$5))</f>
        <v/>
      </c>
    </row>
    <row r="11395" spans="15:15" x14ac:dyDescent="0.25">
      <c r="O11395" s="20" t="str">
        <f>IF(N11395="","",COUNTIFS(RawData[[Date ]],N11395,RawData[Month List],$Q$6,RawData[Tour/Site],$Q$2,RawData[[Picker ID ]],$Q$3,RawData[Checker ID],$Q$4,RawData[[Error Type ]],$Q$5))</f>
        <v/>
      </c>
    </row>
    <row r="11396" spans="15:15" x14ac:dyDescent="0.25">
      <c r="O11396" s="20" t="str">
        <f>IF(N11396="","",COUNTIFS(RawData[[Date ]],N11396,RawData[Month List],$Q$6,RawData[Tour/Site],$Q$2,RawData[[Picker ID ]],$Q$3,RawData[Checker ID],$Q$4,RawData[[Error Type ]],$Q$5))</f>
        <v/>
      </c>
    </row>
    <row r="11397" spans="15:15" x14ac:dyDescent="0.25">
      <c r="O11397" s="20" t="str">
        <f>IF(N11397="","",COUNTIFS(RawData[[Date ]],N11397,RawData[Month List],$Q$6,RawData[Tour/Site],$Q$2,RawData[[Picker ID ]],$Q$3,RawData[Checker ID],$Q$4,RawData[[Error Type ]],$Q$5))</f>
        <v/>
      </c>
    </row>
    <row r="11398" spans="15:15" x14ac:dyDescent="0.25">
      <c r="O11398" s="20" t="str">
        <f>IF(N11398="","",COUNTIFS(RawData[[Date ]],N11398,RawData[Month List],$Q$6,RawData[Tour/Site],$Q$2,RawData[[Picker ID ]],$Q$3,RawData[Checker ID],$Q$4,RawData[[Error Type ]],$Q$5))</f>
        <v/>
      </c>
    </row>
    <row r="11399" spans="15:15" x14ac:dyDescent="0.25">
      <c r="O11399" s="20" t="str">
        <f>IF(N11399="","",COUNTIFS(RawData[[Date ]],N11399,RawData[Month List],$Q$6,RawData[Tour/Site],$Q$2,RawData[[Picker ID ]],$Q$3,RawData[Checker ID],$Q$4,RawData[[Error Type ]],$Q$5))</f>
        <v/>
      </c>
    </row>
    <row r="11400" spans="15:15" x14ac:dyDescent="0.25">
      <c r="O11400" s="20" t="str">
        <f>IF(N11400="","",COUNTIFS(RawData[[Date ]],N11400,RawData[Month List],$Q$6,RawData[Tour/Site],$Q$2,RawData[[Picker ID ]],$Q$3,RawData[Checker ID],$Q$4,RawData[[Error Type ]],$Q$5))</f>
        <v/>
      </c>
    </row>
    <row r="11401" spans="15:15" x14ac:dyDescent="0.25">
      <c r="O11401" s="20" t="str">
        <f>IF(N11401="","",COUNTIFS(RawData[[Date ]],N11401,RawData[Month List],$Q$6,RawData[Tour/Site],$Q$2,RawData[[Picker ID ]],$Q$3,RawData[Checker ID],$Q$4,RawData[[Error Type ]],$Q$5))</f>
        <v/>
      </c>
    </row>
    <row r="11402" spans="15:15" x14ac:dyDescent="0.25">
      <c r="O11402" s="20" t="str">
        <f>IF(N11402="","",COUNTIFS(RawData[[Date ]],N11402,RawData[Month List],$Q$6,RawData[Tour/Site],$Q$2,RawData[[Picker ID ]],$Q$3,RawData[Checker ID],$Q$4,RawData[[Error Type ]],$Q$5))</f>
        <v/>
      </c>
    </row>
    <row r="11403" spans="15:15" x14ac:dyDescent="0.25">
      <c r="O11403" s="20" t="str">
        <f>IF(N11403="","",COUNTIFS(RawData[[Date ]],N11403,RawData[Month List],$Q$6,RawData[Tour/Site],$Q$2,RawData[[Picker ID ]],$Q$3,RawData[Checker ID],$Q$4,RawData[[Error Type ]],$Q$5))</f>
        <v/>
      </c>
    </row>
    <row r="11404" spans="15:15" x14ac:dyDescent="0.25">
      <c r="O11404" s="20" t="str">
        <f>IF(N11404="","",COUNTIFS(RawData[[Date ]],N11404,RawData[Month List],$Q$6,RawData[Tour/Site],$Q$2,RawData[[Picker ID ]],$Q$3,RawData[Checker ID],$Q$4,RawData[[Error Type ]],$Q$5))</f>
        <v/>
      </c>
    </row>
    <row r="11405" spans="15:15" x14ac:dyDescent="0.25">
      <c r="O11405" s="20" t="str">
        <f>IF(N11405="","",COUNTIFS(RawData[[Date ]],N11405,RawData[Month List],$Q$6,RawData[Tour/Site],$Q$2,RawData[[Picker ID ]],$Q$3,RawData[Checker ID],$Q$4,RawData[[Error Type ]],$Q$5))</f>
        <v/>
      </c>
    </row>
    <row r="11406" spans="15:15" x14ac:dyDescent="0.25">
      <c r="O11406" s="20" t="str">
        <f>IF(N11406="","",COUNTIFS(RawData[[Date ]],N11406,RawData[Month List],$Q$6,RawData[Tour/Site],$Q$2,RawData[[Picker ID ]],$Q$3,RawData[Checker ID],$Q$4,RawData[[Error Type ]],$Q$5))</f>
        <v/>
      </c>
    </row>
    <row r="11407" spans="15:15" x14ac:dyDescent="0.25">
      <c r="O11407" s="20" t="str">
        <f>IF(N11407="","",COUNTIFS(RawData[[Date ]],N11407,RawData[Month List],$Q$6,RawData[Tour/Site],$Q$2,RawData[[Picker ID ]],$Q$3,RawData[Checker ID],$Q$4,RawData[[Error Type ]],$Q$5))</f>
        <v/>
      </c>
    </row>
    <row r="11408" spans="15:15" x14ac:dyDescent="0.25">
      <c r="O11408" s="20" t="str">
        <f>IF(N11408="","",COUNTIFS(RawData[[Date ]],N11408,RawData[Month List],$Q$6,RawData[Tour/Site],$Q$2,RawData[[Picker ID ]],$Q$3,RawData[Checker ID],$Q$4,RawData[[Error Type ]],$Q$5))</f>
        <v/>
      </c>
    </row>
    <row r="11409" spans="15:15" x14ac:dyDescent="0.25">
      <c r="O11409" s="20" t="str">
        <f>IF(N11409="","",COUNTIFS(RawData[[Date ]],N11409,RawData[Month List],$Q$6,RawData[Tour/Site],$Q$2,RawData[[Picker ID ]],$Q$3,RawData[Checker ID],$Q$4,RawData[[Error Type ]],$Q$5))</f>
        <v/>
      </c>
    </row>
    <row r="11410" spans="15:15" x14ac:dyDescent="0.25">
      <c r="O11410" s="20" t="str">
        <f>IF(N11410="","",COUNTIFS(RawData[[Date ]],N11410,RawData[Month List],$Q$6,RawData[Tour/Site],$Q$2,RawData[[Picker ID ]],$Q$3,RawData[Checker ID],$Q$4,RawData[[Error Type ]],$Q$5))</f>
        <v/>
      </c>
    </row>
    <row r="11411" spans="15:15" x14ac:dyDescent="0.25">
      <c r="O11411" s="20" t="str">
        <f>IF(N11411="","",COUNTIFS(RawData[[Date ]],N11411,RawData[Month List],$Q$6,RawData[Tour/Site],$Q$2,RawData[[Picker ID ]],$Q$3,RawData[Checker ID],$Q$4,RawData[[Error Type ]],$Q$5))</f>
        <v/>
      </c>
    </row>
    <row r="11412" spans="15:15" x14ac:dyDescent="0.25">
      <c r="O11412" s="20" t="str">
        <f>IF(N11412="","",COUNTIFS(RawData[[Date ]],N11412,RawData[Month List],$Q$6,RawData[Tour/Site],$Q$2,RawData[[Picker ID ]],$Q$3,RawData[Checker ID],$Q$4,RawData[[Error Type ]],$Q$5))</f>
        <v/>
      </c>
    </row>
    <row r="11413" spans="15:15" x14ac:dyDescent="0.25">
      <c r="O11413" s="20" t="str">
        <f>IF(N11413="","",COUNTIFS(RawData[[Date ]],N11413,RawData[Month List],$Q$6,RawData[Tour/Site],$Q$2,RawData[[Picker ID ]],$Q$3,RawData[Checker ID],$Q$4,RawData[[Error Type ]],$Q$5))</f>
        <v/>
      </c>
    </row>
    <row r="11414" spans="15:15" x14ac:dyDescent="0.25">
      <c r="O11414" s="20" t="str">
        <f>IF(N11414="","",COUNTIFS(RawData[[Date ]],N11414,RawData[Month List],$Q$6,RawData[Tour/Site],$Q$2,RawData[[Picker ID ]],$Q$3,RawData[Checker ID],$Q$4,RawData[[Error Type ]],$Q$5))</f>
        <v/>
      </c>
    </row>
    <row r="11415" spans="15:15" x14ac:dyDescent="0.25">
      <c r="O11415" s="20" t="str">
        <f>IF(N11415="","",COUNTIFS(RawData[[Date ]],N11415,RawData[Month List],$Q$6,RawData[Tour/Site],$Q$2,RawData[[Picker ID ]],$Q$3,RawData[Checker ID],$Q$4,RawData[[Error Type ]],$Q$5))</f>
        <v/>
      </c>
    </row>
    <row r="11416" spans="15:15" x14ac:dyDescent="0.25">
      <c r="O11416" s="20" t="str">
        <f>IF(N11416="","",COUNTIFS(RawData[[Date ]],N11416,RawData[Month List],$Q$6,RawData[Tour/Site],$Q$2,RawData[[Picker ID ]],$Q$3,RawData[Checker ID],$Q$4,RawData[[Error Type ]],$Q$5))</f>
        <v/>
      </c>
    </row>
    <row r="11417" spans="15:15" x14ac:dyDescent="0.25">
      <c r="O11417" s="20" t="str">
        <f>IF(N11417="","",COUNTIFS(RawData[[Date ]],N11417,RawData[Month List],$Q$6,RawData[Tour/Site],$Q$2,RawData[[Picker ID ]],$Q$3,RawData[Checker ID],$Q$4,RawData[[Error Type ]],$Q$5))</f>
        <v/>
      </c>
    </row>
    <row r="11418" spans="15:15" x14ac:dyDescent="0.25">
      <c r="O11418" s="20" t="str">
        <f>IF(N11418="","",COUNTIFS(RawData[[Date ]],N11418,RawData[Month List],$Q$6,RawData[Tour/Site],$Q$2,RawData[[Picker ID ]],$Q$3,RawData[Checker ID],$Q$4,RawData[[Error Type ]],$Q$5))</f>
        <v/>
      </c>
    </row>
    <row r="11419" spans="15:15" x14ac:dyDescent="0.25">
      <c r="O11419" s="20" t="str">
        <f>IF(N11419="","",COUNTIFS(RawData[[Date ]],N11419,RawData[Month List],$Q$6,RawData[Tour/Site],$Q$2,RawData[[Picker ID ]],$Q$3,RawData[Checker ID],$Q$4,RawData[[Error Type ]],$Q$5))</f>
        <v/>
      </c>
    </row>
    <row r="11420" spans="15:15" x14ac:dyDescent="0.25">
      <c r="O11420" s="20" t="str">
        <f>IF(N11420="","",COUNTIFS(RawData[[Date ]],N11420,RawData[Month List],$Q$6,RawData[Tour/Site],$Q$2,RawData[[Picker ID ]],$Q$3,RawData[Checker ID],$Q$4,RawData[[Error Type ]],$Q$5))</f>
        <v/>
      </c>
    </row>
    <row r="11421" spans="15:15" x14ac:dyDescent="0.25">
      <c r="O11421" s="20" t="str">
        <f>IF(N11421="","",COUNTIFS(RawData[[Date ]],N11421,RawData[Month List],$Q$6,RawData[Tour/Site],$Q$2,RawData[[Picker ID ]],$Q$3,RawData[Checker ID],$Q$4,RawData[[Error Type ]],$Q$5))</f>
        <v/>
      </c>
    </row>
    <row r="11422" spans="15:15" x14ac:dyDescent="0.25">
      <c r="O11422" s="20" t="str">
        <f>IF(N11422="","",COUNTIFS(RawData[[Date ]],N11422,RawData[Month List],$Q$6,RawData[Tour/Site],$Q$2,RawData[[Picker ID ]],$Q$3,RawData[Checker ID],$Q$4,RawData[[Error Type ]],$Q$5))</f>
        <v/>
      </c>
    </row>
    <row r="11423" spans="15:15" x14ac:dyDescent="0.25">
      <c r="O11423" s="20" t="str">
        <f>IF(N11423="","",COUNTIFS(RawData[[Date ]],N11423,RawData[Month List],$Q$6,RawData[Tour/Site],$Q$2,RawData[[Picker ID ]],$Q$3,RawData[Checker ID],$Q$4,RawData[[Error Type ]],$Q$5))</f>
        <v/>
      </c>
    </row>
    <row r="11424" spans="15:15" x14ac:dyDescent="0.25">
      <c r="O11424" s="20" t="str">
        <f>IF(N11424="","",COUNTIFS(RawData[[Date ]],N11424,RawData[Month List],$Q$6,RawData[Tour/Site],$Q$2,RawData[[Picker ID ]],$Q$3,RawData[Checker ID],$Q$4,RawData[[Error Type ]],$Q$5))</f>
        <v/>
      </c>
    </row>
    <row r="11425" spans="15:15" x14ac:dyDescent="0.25">
      <c r="O11425" s="20" t="str">
        <f>IF(N11425="","",COUNTIFS(RawData[[Date ]],N11425,RawData[Month List],$Q$6,RawData[Tour/Site],$Q$2,RawData[[Picker ID ]],$Q$3,RawData[Checker ID],$Q$4,RawData[[Error Type ]],$Q$5))</f>
        <v/>
      </c>
    </row>
    <row r="11426" spans="15:15" x14ac:dyDescent="0.25">
      <c r="O11426" s="20" t="str">
        <f>IF(N11426="","",COUNTIFS(RawData[[Date ]],N11426,RawData[Month List],$Q$6,RawData[Tour/Site],$Q$2,RawData[[Picker ID ]],$Q$3,RawData[Checker ID],$Q$4,RawData[[Error Type ]],$Q$5))</f>
        <v/>
      </c>
    </row>
    <row r="11427" spans="15:15" x14ac:dyDescent="0.25">
      <c r="O11427" s="20" t="str">
        <f>IF(N11427="","",COUNTIFS(RawData[[Date ]],N11427,RawData[Month List],$Q$6,RawData[Tour/Site],$Q$2,RawData[[Picker ID ]],$Q$3,RawData[Checker ID],$Q$4,RawData[[Error Type ]],$Q$5))</f>
        <v/>
      </c>
    </row>
    <row r="11428" spans="15:15" x14ac:dyDescent="0.25">
      <c r="O11428" s="20" t="str">
        <f>IF(N11428="","",COUNTIFS(RawData[[Date ]],N11428,RawData[Month List],$Q$6,RawData[Tour/Site],$Q$2,RawData[[Picker ID ]],$Q$3,RawData[Checker ID],$Q$4,RawData[[Error Type ]],$Q$5))</f>
        <v/>
      </c>
    </row>
    <row r="11429" spans="15:15" x14ac:dyDescent="0.25">
      <c r="O11429" s="20" t="str">
        <f>IF(N11429="","",COUNTIFS(RawData[[Date ]],N11429,RawData[Month List],$Q$6,RawData[Tour/Site],$Q$2,RawData[[Picker ID ]],$Q$3,RawData[Checker ID],$Q$4,RawData[[Error Type ]],$Q$5))</f>
        <v/>
      </c>
    </row>
    <row r="11430" spans="15:15" x14ac:dyDescent="0.25">
      <c r="O11430" s="20" t="str">
        <f>IF(N11430="","",COUNTIFS(RawData[[Date ]],N11430,RawData[Month List],$Q$6,RawData[Tour/Site],$Q$2,RawData[[Picker ID ]],$Q$3,RawData[Checker ID],$Q$4,RawData[[Error Type ]],$Q$5))</f>
        <v/>
      </c>
    </row>
    <row r="11431" spans="15:15" x14ac:dyDescent="0.25">
      <c r="O11431" s="20" t="str">
        <f>IF(N11431="","",COUNTIFS(RawData[[Date ]],N11431,RawData[Month List],$Q$6,RawData[Tour/Site],$Q$2,RawData[[Picker ID ]],$Q$3,RawData[Checker ID],$Q$4,RawData[[Error Type ]],$Q$5))</f>
        <v/>
      </c>
    </row>
    <row r="11432" spans="15:15" x14ac:dyDescent="0.25">
      <c r="O11432" s="20" t="str">
        <f>IF(N11432="","",COUNTIFS(RawData[[Date ]],N11432,RawData[Month List],$Q$6,RawData[Tour/Site],$Q$2,RawData[[Picker ID ]],$Q$3,RawData[Checker ID],$Q$4,RawData[[Error Type ]],$Q$5))</f>
        <v/>
      </c>
    </row>
    <row r="11433" spans="15:15" x14ac:dyDescent="0.25">
      <c r="O11433" s="20" t="str">
        <f>IF(N11433="","",COUNTIFS(RawData[[Date ]],N11433,RawData[Month List],$Q$6,RawData[Tour/Site],$Q$2,RawData[[Picker ID ]],$Q$3,RawData[Checker ID],$Q$4,RawData[[Error Type ]],$Q$5))</f>
        <v/>
      </c>
    </row>
    <row r="11434" spans="15:15" x14ac:dyDescent="0.25">
      <c r="O11434" s="20" t="str">
        <f>IF(N11434="","",COUNTIFS(RawData[[Date ]],N11434,RawData[Month List],$Q$6,RawData[Tour/Site],$Q$2,RawData[[Picker ID ]],$Q$3,RawData[Checker ID],$Q$4,RawData[[Error Type ]],$Q$5))</f>
        <v/>
      </c>
    </row>
    <row r="11435" spans="15:15" x14ac:dyDescent="0.25">
      <c r="O11435" s="20" t="str">
        <f>IF(N11435="","",COUNTIFS(RawData[[Date ]],N11435,RawData[Month List],$Q$6,RawData[Tour/Site],$Q$2,RawData[[Picker ID ]],$Q$3,RawData[Checker ID],$Q$4,RawData[[Error Type ]],$Q$5))</f>
        <v/>
      </c>
    </row>
    <row r="11436" spans="15:15" x14ac:dyDescent="0.25">
      <c r="O11436" s="20" t="str">
        <f>IF(N11436="","",COUNTIFS(RawData[[Date ]],N11436,RawData[Month List],$Q$6,RawData[Tour/Site],$Q$2,RawData[[Picker ID ]],$Q$3,RawData[Checker ID],$Q$4,RawData[[Error Type ]],$Q$5))</f>
        <v/>
      </c>
    </row>
    <row r="11437" spans="15:15" x14ac:dyDescent="0.25">
      <c r="O11437" s="20" t="str">
        <f>IF(N11437="","",COUNTIFS(RawData[[Date ]],N11437,RawData[Month List],$Q$6,RawData[Tour/Site],$Q$2,RawData[[Picker ID ]],$Q$3,RawData[Checker ID],$Q$4,RawData[[Error Type ]],$Q$5))</f>
        <v/>
      </c>
    </row>
    <row r="11438" spans="15:15" x14ac:dyDescent="0.25">
      <c r="O11438" s="20" t="str">
        <f>IF(N11438="","",COUNTIFS(RawData[[Date ]],N11438,RawData[Month List],$Q$6,RawData[Tour/Site],$Q$2,RawData[[Picker ID ]],$Q$3,RawData[Checker ID],$Q$4,RawData[[Error Type ]],$Q$5))</f>
        <v/>
      </c>
    </row>
    <row r="11439" spans="15:15" x14ac:dyDescent="0.25">
      <c r="O11439" s="20" t="str">
        <f>IF(N11439="","",COUNTIFS(RawData[[Date ]],N11439,RawData[Month List],$Q$6,RawData[Tour/Site],$Q$2,RawData[[Picker ID ]],$Q$3,RawData[Checker ID],$Q$4,RawData[[Error Type ]],$Q$5))</f>
        <v/>
      </c>
    </row>
    <row r="11440" spans="15:15" x14ac:dyDescent="0.25">
      <c r="O11440" s="20" t="str">
        <f>IF(N11440="","",COUNTIFS(RawData[[Date ]],N11440,RawData[Month List],$Q$6,RawData[Tour/Site],$Q$2,RawData[[Picker ID ]],$Q$3,RawData[Checker ID],$Q$4,RawData[[Error Type ]],$Q$5))</f>
        <v/>
      </c>
    </row>
    <row r="11441" spans="15:15" x14ac:dyDescent="0.25">
      <c r="O11441" s="20" t="str">
        <f>IF(N11441="","",COUNTIFS(RawData[[Date ]],N11441,RawData[Month List],$Q$6,RawData[Tour/Site],$Q$2,RawData[[Picker ID ]],$Q$3,RawData[Checker ID],$Q$4,RawData[[Error Type ]],$Q$5))</f>
        <v/>
      </c>
    </row>
    <row r="11442" spans="15:15" x14ac:dyDescent="0.25">
      <c r="O11442" s="20" t="str">
        <f>IF(N11442="","",COUNTIFS(RawData[[Date ]],N11442,RawData[Month List],$Q$6,RawData[Tour/Site],$Q$2,RawData[[Picker ID ]],$Q$3,RawData[Checker ID],$Q$4,RawData[[Error Type ]],$Q$5))</f>
        <v/>
      </c>
    </row>
    <row r="11443" spans="15:15" x14ac:dyDescent="0.25">
      <c r="O11443" s="20" t="str">
        <f>IF(N11443="","",COUNTIFS(RawData[[Date ]],N11443,RawData[Month List],$Q$6,RawData[Tour/Site],$Q$2,RawData[[Picker ID ]],$Q$3,RawData[Checker ID],$Q$4,RawData[[Error Type ]],$Q$5))</f>
        <v/>
      </c>
    </row>
    <row r="11444" spans="15:15" x14ac:dyDescent="0.25">
      <c r="O11444" s="20" t="str">
        <f>IF(N11444="","",COUNTIFS(RawData[[Date ]],N11444,RawData[Month List],$Q$6,RawData[Tour/Site],$Q$2,RawData[[Picker ID ]],$Q$3,RawData[Checker ID],$Q$4,RawData[[Error Type ]],$Q$5))</f>
        <v/>
      </c>
    </row>
    <row r="11445" spans="15:15" x14ac:dyDescent="0.25">
      <c r="O11445" s="20" t="str">
        <f>IF(N11445="","",COUNTIFS(RawData[[Date ]],N11445,RawData[Month List],$Q$6,RawData[Tour/Site],$Q$2,RawData[[Picker ID ]],$Q$3,RawData[Checker ID],$Q$4,RawData[[Error Type ]],$Q$5))</f>
        <v/>
      </c>
    </row>
    <row r="11446" spans="15:15" x14ac:dyDescent="0.25">
      <c r="O11446" s="20" t="str">
        <f>IF(N11446="","",COUNTIFS(RawData[[Date ]],N11446,RawData[Month List],$Q$6,RawData[Tour/Site],$Q$2,RawData[[Picker ID ]],$Q$3,RawData[Checker ID],$Q$4,RawData[[Error Type ]],$Q$5))</f>
        <v/>
      </c>
    </row>
    <row r="11447" spans="15:15" x14ac:dyDescent="0.25">
      <c r="O11447" s="20" t="str">
        <f>IF(N11447="","",COUNTIFS(RawData[[Date ]],N11447,RawData[Month List],$Q$6,RawData[Tour/Site],$Q$2,RawData[[Picker ID ]],$Q$3,RawData[Checker ID],$Q$4,RawData[[Error Type ]],$Q$5))</f>
        <v/>
      </c>
    </row>
    <row r="11448" spans="15:15" x14ac:dyDescent="0.25">
      <c r="O11448" s="20" t="str">
        <f>IF(N11448="","",COUNTIFS(RawData[[Date ]],N11448,RawData[Month List],$Q$6,RawData[Tour/Site],$Q$2,RawData[[Picker ID ]],$Q$3,RawData[Checker ID],$Q$4,RawData[[Error Type ]],$Q$5))</f>
        <v/>
      </c>
    </row>
    <row r="11449" spans="15:15" x14ac:dyDescent="0.25">
      <c r="O11449" s="20" t="str">
        <f>IF(N11449="","",COUNTIFS(RawData[[Date ]],N11449,RawData[Month List],$Q$6,RawData[Tour/Site],$Q$2,RawData[[Picker ID ]],$Q$3,RawData[Checker ID],$Q$4,RawData[[Error Type ]],$Q$5))</f>
        <v/>
      </c>
    </row>
    <row r="11450" spans="15:15" x14ac:dyDescent="0.25">
      <c r="O11450" s="20" t="str">
        <f>IF(N11450="","",COUNTIFS(RawData[[Date ]],N11450,RawData[Month List],$Q$6,RawData[Tour/Site],$Q$2,RawData[[Picker ID ]],$Q$3,RawData[Checker ID],$Q$4,RawData[[Error Type ]],$Q$5))</f>
        <v/>
      </c>
    </row>
    <row r="11451" spans="15:15" x14ac:dyDescent="0.25">
      <c r="O11451" s="20" t="str">
        <f>IF(N11451="","",COUNTIFS(RawData[[Date ]],N11451,RawData[Month List],$Q$6,RawData[Tour/Site],$Q$2,RawData[[Picker ID ]],$Q$3,RawData[Checker ID],$Q$4,RawData[[Error Type ]],$Q$5))</f>
        <v/>
      </c>
    </row>
    <row r="11452" spans="15:15" x14ac:dyDescent="0.25">
      <c r="O11452" s="20" t="str">
        <f>IF(N11452="","",COUNTIFS(RawData[[Date ]],N11452,RawData[Month List],$Q$6,RawData[Tour/Site],$Q$2,RawData[[Picker ID ]],$Q$3,RawData[Checker ID],$Q$4,RawData[[Error Type ]],$Q$5))</f>
        <v/>
      </c>
    </row>
    <row r="11453" spans="15:15" x14ac:dyDescent="0.25">
      <c r="O11453" s="20" t="str">
        <f>IF(N11453="","",COUNTIFS(RawData[[Date ]],N11453,RawData[Month List],$Q$6,RawData[Tour/Site],$Q$2,RawData[[Picker ID ]],$Q$3,RawData[Checker ID],$Q$4,RawData[[Error Type ]],$Q$5))</f>
        <v/>
      </c>
    </row>
    <row r="11454" spans="15:15" x14ac:dyDescent="0.25">
      <c r="O11454" s="20" t="str">
        <f>IF(N11454="","",COUNTIFS(RawData[[Date ]],N11454,RawData[Month List],$Q$6,RawData[Tour/Site],$Q$2,RawData[[Picker ID ]],$Q$3,RawData[Checker ID],$Q$4,RawData[[Error Type ]],$Q$5))</f>
        <v/>
      </c>
    </row>
    <row r="11455" spans="15:15" x14ac:dyDescent="0.25">
      <c r="O11455" s="20" t="str">
        <f>IF(N11455="","",COUNTIFS(RawData[[Date ]],N11455,RawData[Month List],$Q$6,RawData[Tour/Site],$Q$2,RawData[[Picker ID ]],$Q$3,RawData[Checker ID],$Q$4,RawData[[Error Type ]],$Q$5))</f>
        <v/>
      </c>
    </row>
    <row r="11456" spans="15:15" x14ac:dyDescent="0.25">
      <c r="O11456" s="20" t="str">
        <f>IF(N11456="","",COUNTIFS(RawData[[Date ]],N11456,RawData[Month List],$Q$6,RawData[Tour/Site],$Q$2,RawData[[Picker ID ]],$Q$3,RawData[Checker ID],$Q$4,RawData[[Error Type ]],$Q$5))</f>
        <v/>
      </c>
    </row>
    <row r="11457" spans="15:15" x14ac:dyDescent="0.25">
      <c r="O11457" s="20" t="str">
        <f>IF(N11457="","",COUNTIFS(RawData[[Date ]],N11457,RawData[Month List],$Q$6,RawData[Tour/Site],$Q$2,RawData[[Picker ID ]],$Q$3,RawData[Checker ID],$Q$4,RawData[[Error Type ]],$Q$5))</f>
        <v/>
      </c>
    </row>
    <row r="11458" spans="15:15" x14ac:dyDescent="0.25">
      <c r="O11458" s="20" t="str">
        <f>IF(N11458="","",COUNTIFS(RawData[[Date ]],N11458,RawData[Month List],$Q$6,RawData[Tour/Site],$Q$2,RawData[[Picker ID ]],$Q$3,RawData[Checker ID],$Q$4,RawData[[Error Type ]],$Q$5))</f>
        <v/>
      </c>
    </row>
    <row r="11459" spans="15:15" x14ac:dyDescent="0.25">
      <c r="O11459" s="20" t="str">
        <f>IF(N11459="","",COUNTIFS(RawData[[Date ]],N11459,RawData[Month List],$Q$6,RawData[Tour/Site],$Q$2,RawData[[Picker ID ]],$Q$3,RawData[Checker ID],$Q$4,RawData[[Error Type ]],$Q$5))</f>
        <v/>
      </c>
    </row>
    <row r="11460" spans="15:15" x14ac:dyDescent="0.25">
      <c r="O11460" s="20" t="str">
        <f>IF(N11460="","",COUNTIFS(RawData[[Date ]],N11460,RawData[Month List],$Q$6,RawData[Tour/Site],$Q$2,RawData[[Picker ID ]],$Q$3,RawData[Checker ID],$Q$4,RawData[[Error Type ]],$Q$5))</f>
        <v/>
      </c>
    </row>
    <row r="11461" spans="15:15" x14ac:dyDescent="0.25">
      <c r="O11461" s="20" t="str">
        <f>IF(N11461="","",COUNTIFS(RawData[[Date ]],N11461,RawData[Month List],$Q$6,RawData[Tour/Site],$Q$2,RawData[[Picker ID ]],$Q$3,RawData[Checker ID],$Q$4,RawData[[Error Type ]],$Q$5))</f>
        <v/>
      </c>
    </row>
    <row r="11462" spans="15:15" x14ac:dyDescent="0.25">
      <c r="O11462" s="20" t="str">
        <f>IF(N11462="","",COUNTIFS(RawData[[Date ]],N11462,RawData[Month List],$Q$6,RawData[Tour/Site],$Q$2,RawData[[Picker ID ]],$Q$3,RawData[Checker ID],$Q$4,RawData[[Error Type ]],$Q$5))</f>
        <v/>
      </c>
    </row>
    <row r="11463" spans="15:15" x14ac:dyDescent="0.25">
      <c r="O11463" s="20" t="str">
        <f>IF(N11463="","",COUNTIFS(RawData[[Date ]],N11463,RawData[Month List],$Q$6,RawData[Tour/Site],$Q$2,RawData[[Picker ID ]],$Q$3,RawData[Checker ID],$Q$4,RawData[[Error Type ]],$Q$5))</f>
        <v/>
      </c>
    </row>
    <row r="11464" spans="15:15" x14ac:dyDescent="0.25">
      <c r="O11464" s="20" t="str">
        <f>IF(N11464="","",COUNTIFS(RawData[[Date ]],N11464,RawData[Month List],$Q$6,RawData[Tour/Site],$Q$2,RawData[[Picker ID ]],$Q$3,RawData[Checker ID],$Q$4,RawData[[Error Type ]],$Q$5))</f>
        <v/>
      </c>
    </row>
    <row r="11465" spans="15:15" x14ac:dyDescent="0.25">
      <c r="O11465" s="20" t="str">
        <f>IF(N11465="","",COUNTIFS(RawData[[Date ]],N11465,RawData[Month List],$Q$6,RawData[Tour/Site],$Q$2,RawData[[Picker ID ]],$Q$3,RawData[Checker ID],$Q$4,RawData[[Error Type ]],$Q$5))</f>
        <v/>
      </c>
    </row>
    <row r="11466" spans="15:15" x14ac:dyDescent="0.25">
      <c r="O11466" s="20" t="str">
        <f>IF(N11466="","",COUNTIFS(RawData[[Date ]],N11466,RawData[Month List],$Q$6,RawData[Tour/Site],$Q$2,RawData[[Picker ID ]],$Q$3,RawData[Checker ID],$Q$4,RawData[[Error Type ]],$Q$5))</f>
        <v/>
      </c>
    </row>
    <row r="11467" spans="15:15" x14ac:dyDescent="0.25">
      <c r="O11467" s="20" t="str">
        <f>IF(N11467="","",COUNTIFS(RawData[[Date ]],N11467,RawData[Month List],$Q$6,RawData[Tour/Site],$Q$2,RawData[[Picker ID ]],$Q$3,RawData[Checker ID],$Q$4,RawData[[Error Type ]],$Q$5))</f>
        <v/>
      </c>
    </row>
    <row r="11468" spans="15:15" x14ac:dyDescent="0.25">
      <c r="O11468" s="20" t="str">
        <f>IF(N11468="","",COUNTIFS(RawData[[Date ]],N11468,RawData[Month List],$Q$6,RawData[Tour/Site],$Q$2,RawData[[Picker ID ]],$Q$3,RawData[Checker ID],$Q$4,RawData[[Error Type ]],$Q$5))</f>
        <v/>
      </c>
    </row>
    <row r="11469" spans="15:15" x14ac:dyDescent="0.25">
      <c r="O11469" s="20" t="str">
        <f>IF(N11469="","",COUNTIFS(RawData[[Date ]],N11469,RawData[Month List],$Q$6,RawData[Tour/Site],$Q$2,RawData[[Picker ID ]],$Q$3,RawData[Checker ID],$Q$4,RawData[[Error Type ]],$Q$5))</f>
        <v/>
      </c>
    </row>
    <row r="11470" spans="15:15" x14ac:dyDescent="0.25">
      <c r="O11470" s="20" t="str">
        <f>IF(N11470="","",COUNTIFS(RawData[[Date ]],N11470,RawData[Month List],$Q$6,RawData[Tour/Site],$Q$2,RawData[[Picker ID ]],$Q$3,RawData[Checker ID],$Q$4,RawData[[Error Type ]],$Q$5))</f>
        <v/>
      </c>
    </row>
    <row r="11471" spans="15:15" x14ac:dyDescent="0.25">
      <c r="O11471" s="20" t="str">
        <f>IF(N11471="","",COUNTIFS(RawData[[Date ]],N11471,RawData[Month List],$Q$6,RawData[Tour/Site],$Q$2,RawData[[Picker ID ]],$Q$3,RawData[Checker ID],$Q$4,RawData[[Error Type ]],$Q$5))</f>
        <v/>
      </c>
    </row>
    <row r="11472" spans="15:15" x14ac:dyDescent="0.25">
      <c r="O11472" s="20" t="str">
        <f>IF(N11472="","",COUNTIFS(RawData[[Date ]],N11472,RawData[Month List],$Q$6,RawData[Tour/Site],$Q$2,RawData[[Picker ID ]],$Q$3,RawData[Checker ID],$Q$4,RawData[[Error Type ]],$Q$5))</f>
        <v/>
      </c>
    </row>
    <row r="11473" spans="15:15" x14ac:dyDescent="0.25">
      <c r="O11473" s="20" t="str">
        <f>IF(N11473="","",COUNTIFS(RawData[[Date ]],N11473,RawData[Month List],$Q$6,RawData[Tour/Site],$Q$2,RawData[[Picker ID ]],$Q$3,RawData[Checker ID],$Q$4,RawData[[Error Type ]],$Q$5))</f>
        <v/>
      </c>
    </row>
    <row r="11474" spans="15:15" x14ac:dyDescent="0.25">
      <c r="O11474" s="20" t="str">
        <f>IF(N11474="","",COUNTIFS(RawData[[Date ]],N11474,RawData[Month List],$Q$6,RawData[Tour/Site],$Q$2,RawData[[Picker ID ]],$Q$3,RawData[Checker ID],$Q$4,RawData[[Error Type ]],$Q$5))</f>
        <v/>
      </c>
    </row>
    <row r="11475" spans="15:15" x14ac:dyDescent="0.25">
      <c r="O11475" s="20" t="str">
        <f>IF(N11475="","",COUNTIFS(RawData[[Date ]],N11475,RawData[Month List],$Q$6,RawData[Tour/Site],$Q$2,RawData[[Picker ID ]],$Q$3,RawData[Checker ID],$Q$4,RawData[[Error Type ]],$Q$5))</f>
        <v/>
      </c>
    </row>
    <row r="11476" spans="15:15" x14ac:dyDescent="0.25">
      <c r="O11476" s="20" t="str">
        <f>IF(N11476="","",COUNTIFS(RawData[[Date ]],N11476,RawData[Month List],$Q$6,RawData[Tour/Site],$Q$2,RawData[[Picker ID ]],$Q$3,RawData[Checker ID],$Q$4,RawData[[Error Type ]],$Q$5))</f>
        <v/>
      </c>
    </row>
    <row r="11477" spans="15:15" x14ac:dyDescent="0.25">
      <c r="O11477" s="20" t="str">
        <f>IF(N11477="","",COUNTIFS(RawData[[Date ]],N11477,RawData[Month List],$Q$6,RawData[Tour/Site],$Q$2,RawData[[Picker ID ]],$Q$3,RawData[Checker ID],$Q$4,RawData[[Error Type ]],$Q$5))</f>
        <v/>
      </c>
    </row>
    <row r="11478" spans="15:15" x14ac:dyDescent="0.25">
      <c r="O11478" s="20" t="str">
        <f>IF(N11478="","",COUNTIFS(RawData[[Date ]],N11478,RawData[Month List],$Q$6,RawData[Tour/Site],$Q$2,RawData[[Picker ID ]],$Q$3,RawData[Checker ID],$Q$4,RawData[[Error Type ]],$Q$5))</f>
        <v/>
      </c>
    </row>
    <row r="11479" spans="15:15" x14ac:dyDescent="0.25">
      <c r="O11479" s="20" t="str">
        <f>IF(N11479="","",COUNTIFS(RawData[[Date ]],N11479,RawData[Month List],$Q$6,RawData[Tour/Site],$Q$2,RawData[[Picker ID ]],$Q$3,RawData[Checker ID],$Q$4,RawData[[Error Type ]],$Q$5))</f>
        <v/>
      </c>
    </row>
    <row r="11480" spans="15:15" x14ac:dyDescent="0.25">
      <c r="O11480" s="20" t="str">
        <f>IF(N11480="","",COUNTIFS(RawData[[Date ]],N11480,RawData[Month List],$Q$6,RawData[Tour/Site],$Q$2,RawData[[Picker ID ]],$Q$3,RawData[Checker ID],$Q$4,RawData[[Error Type ]],$Q$5))</f>
        <v/>
      </c>
    </row>
    <row r="11481" spans="15:15" x14ac:dyDescent="0.25">
      <c r="O11481" s="20" t="str">
        <f>IF(N11481="","",COUNTIFS(RawData[[Date ]],N11481,RawData[Month List],$Q$6,RawData[Tour/Site],$Q$2,RawData[[Picker ID ]],$Q$3,RawData[Checker ID],$Q$4,RawData[[Error Type ]],$Q$5))</f>
        <v/>
      </c>
    </row>
    <row r="11482" spans="15:15" x14ac:dyDescent="0.25">
      <c r="O11482" s="20" t="str">
        <f>IF(N11482="","",COUNTIFS(RawData[[Date ]],N11482,RawData[Month List],$Q$6,RawData[Tour/Site],$Q$2,RawData[[Picker ID ]],$Q$3,RawData[Checker ID],$Q$4,RawData[[Error Type ]],$Q$5))</f>
        <v/>
      </c>
    </row>
    <row r="11483" spans="15:15" x14ac:dyDescent="0.25">
      <c r="O11483" s="20" t="str">
        <f>IF(N11483="","",COUNTIFS(RawData[[Date ]],N11483,RawData[Month List],$Q$6,RawData[Tour/Site],$Q$2,RawData[[Picker ID ]],$Q$3,RawData[Checker ID],$Q$4,RawData[[Error Type ]],$Q$5))</f>
        <v/>
      </c>
    </row>
    <row r="11484" spans="15:15" x14ac:dyDescent="0.25">
      <c r="O11484" s="20" t="str">
        <f>IF(N11484="","",COUNTIFS(RawData[[Date ]],N11484,RawData[Month List],$Q$6,RawData[Tour/Site],$Q$2,RawData[[Picker ID ]],$Q$3,RawData[Checker ID],$Q$4,RawData[[Error Type ]],$Q$5))</f>
        <v/>
      </c>
    </row>
    <row r="11485" spans="15:15" x14ac:dyDescent="0.25">
      <c r="O11485" s="20" t="str">
        <f>IF(N11485="","",COUNTIFS(RawData[[Date ]],N11485,RawData[Month List],$Q$6,RawData[Tour/Site],$Q$2,RawData[[Picker ID ]],$Q$3,RawData[Checker ID],$Q$4,RawData[[Error Type ]],$Q$5))</f>
        <v/>
      </c>
    </row>
    <row r="11486" spans="15:15" x14ac:dyDescent="0.25">
      <c r="O11486" s="20" t="str">
        <f>IF(N11486="","",COUNTIFS(RawData[[Date ]],N11486,RawData[Month List],$Q$6,RawData[Tour/Site],$Q$2,RawData[[Picker ID ]],$Q$3,RawData[Checker ID],$Q$4,RawData[[Error Type ]],$Q$5))</f>
        <v/>
      </c>
    </row>
    <row r="11487" spans="15:15" x14ac:dyDescent="0.25">
      <c r="O11487" s="20" t="str">
        <f>IF(N11487="","",COUNTIFS(RawData[[Date ]],N11487,RawData[Month List],$Q$6,RawData[Tour/Site],$Q$2,RawData[[Picker ID ]],$Q$3,RawData[Checker ID],$Q$4,RawData[[Error Type ]],$Q$5))</f>
        <v/>
      </c>
    </row>
    <row r="11488" spans="15:15" x14ac:dyDescent="0.25">
      <c r="O11488" s="20" t="str">
        <f>IF(N11488="","",COUNTIFS(RawData[[Date ]],N11488,RawData[Month List],$Q$6,RawData[Tour/Site],$Q$2,RawData[[Picker ID ]],$Q$3,RawData[Checker ID],$Q$4,RawData[[Error Type ]],$Q$5))</f>
        <v/>
      </c>
    </row>
    <row r="11489" spans="15:15" x14ac:dyDescent="0.25">
      <c r="O11489" s="20" t="str">
        <f>IF(N11489="","",COUNTIFS(RawData[[Date ]],N11489,RawData[Month List],$Q$6,RawData[Tour/Site],$Q$2,RawData[[Picker ID ]],$Q$3,RawData[Checker ID],$Q$4,RawData[[Error Type ]],$Q$5))</f>
        <v/>
      </c>
    </row>
    <row r="11490" spans="15:15" x14ac:dyDescent="0.25">
      <c r="O11490" s="20" t="str">
        <f>IF(N11490="","",COUNTIFS(RawData[[Date ]],N11490,RawData[Month List],$Q$6,RawData[Tour/Site],$Q$2,RawData[[Picker ID ]],$Q$3,RawData[Checker ID],$Q$4,RawData[[Error Type ]],$Q$5))</f>
        <v/>
      </c>
    </row>
    <row r="11491" spans="15:15" x14ac:dyDescent="0.25">
      <c r="O11491" s="20" t="str">
        <f>IF(N11491="","",COUNTIFS(RawData[[Date ]],N11491,RawData[Month List],$Q$6,RawData[Tour/Site],$Q$2,RawData[[Picker ID ]],$Q$3,RawData[Checker ID],$Q$4,RawData[[Error Type ]],$Q$5))</f>
        <v/>
      </c>
    </row>
    <row r="11492" spans="15:15" x14ac:dyDescent="0.25">
      <c r="O11492" s="20" t="str">
        <f>IF(N11492="","",COUNTIFS(RawData[[Date ]],N11492,RawData[Month List],$Q$6,RawData[Tour/Site],$Q$2,RawData[[Picker ID ]],$Q$3,RawData[Checker ID],$Q$4,RawData[[Error Type ]],$Q$5))</f>
        <v/>
      </c>
    </row>
    <row r="11493" spans="15:15" x14ac:dyDescent="0.25">
      <c r="O11493" s="20" t="str">
        <f>IF(N11493="","",COUNTIFS(RawData[[Date ]],N11493,RawData[Month List],$Q$6,RawData[Tour/Site],$Q$2,RawData[[Picker ID ]],$Q$3,RawData[Checker ID],$Q$4,RawData[[Error Type ]],$Q$5))</f>
        <v/>
      </c>
    </row>
    <row r="11494" spans="15:15" x14ac:dyDescent="0.25">
      <c r="O11494" s="20" t="str">
        <f>IF(N11494="","",COUNTIFS(RawData[[Date ]],N11494,RawData[Month List],$Q$6,RawData[Tour/Site],$Q$2,RawData[[Picker ID ]],$Q$3,RawData[Checker ID],$Q$4,RawData[[Error Type ]],$Q$5))</f>
        <v/>
      </c>
    </row>
    <row r="11495" spans="15:15" x14ac:dyDescent="0.25">
      <c r="O11495" s="20" t="str">
        <f>IF(N11495="","",COUNTIFS(RawData[[Date ]],N11495,RawData[Month List],$Q$6,RawData[Tour/Site],$Q$2,RawData[[Picker ID ]],$Q$3,RawData[Checker ID],$Q$4,RawData[[Error Type ]],$Q$5))</f>
        <v/>
      </c>
    </row>
    <row r="11496" spans="15:15" x14ac:dyDescent="0.25">
      <c r="O11496" s="20" t="str">
        <f>IF(N11496="","",COUNTIFS(RawData[[Date ]],N11496,RawData[Month List],$Q$6,RawData[Tour/Site],$Q$2,RawData[[Picker ID ]],$Q$3,RawData[Checker ID],$Q$4,RawData[[Error Type ]],$Q$5))</f>
        <v/>
      </c>
    </row>
    <row r="11497" spans="15:15" x14ac:dyDescent="0.25">
      <c r="O11497" s="20" t="str">
        <f>IF(N11497="","",COUNTIFS(RawData[[Date ]],N11497,RawData[Month List],$Q$6,RawData[Tour/Site],$Q$2,RawData[[Picker ID ]],$Q$3,RawData[Checker ID],$Q$4,RawData[[Error Type ]],$Q$5))</f>
        <v/>
      </c>
    </row>
    <row r="11498" spans="15:15" x14ac:dyDescent="0.25">
      <c r="O11498" s="20" t="str">
        <f>IF(N11498="","",COUNTIFS(RawData[[Date ]],N11498,RawData[Month List],$Q$6,RawData[Tour/Site],$Q$2,RawData[[Picker ID ]],$Q$3,RawData[Checker ID],$Q$4,RawData[[Error Type ]],$Q$5))</f>
        <v/>
      </c>
    </row>
    <row r="11499" spans="15:15" x14ac:dyDescent="0.25">
      <c r="O11499" s="20" t="str">
        <f>IF(N11499="","",COUNTIFS(RawData[[Date ]],N11499,RawData[Month List],$Q$6,RawData[Tour/Site],$Q$2,RawData[[Picker ID ]],$Q$3,RawData[Checker ID],$Q$4,RawData[[Error Type ]],$Q$5))</f>
        <v/>
      </c>
    </row>
    <row r="11500" spans="15:15" x14ac:dyDescent="0.25">
      <c r="O11500" s="20" t="str">
        <f>IF(N11500="","",COUNTIFS(RawData[[Date ]],N11500,RawData[Month List],$Q$6,RawData[Tour/Site],$Q$2,RawData[[Picker ID ]],$Q$3,RawData[Checker ID],$Q$4,RawData[[Error Type ]],$Q$5))</f>
        <v/>
      </c>
    </row>
    <row r="11501" spans="15:15" x14ac:dyDescent="0.25">
      <c r="O11501" s="20" t="str">
        <f>IF(N11501="","",COUNTIFS(RawData[[Date ]],N11501,RawData[Month List],$Q$6,RawData[Tour/Site],$Q$2,RawData[[Picker ID ]],$Q$3,RawData[Checker ID],$Q$4,RawData[[Error Type ]],$Q$5))</f>
        <v/>
      </c>
    </row>
    <row r="11502" spans="15:15" x14ac:dyDescent="0.25">
      <c r="O11502" s="20" t="str">
        <f>IF(N11502="","",COUNTIFS(RawData[[Date ]],N11502,RawData[Month List],$Q$6,RawData[Tour/Site],$Q$2,RawData[[Picker ID ]],$Q$3,RawData[Checker ID],$Q$4,RawData[[Error Type ]],$Q$5))</f>
        <v/>
      </c>
    </row>
    <row r="11503" spans="15:15" x14ac:dyDescent="0.25">
      <c r="O11503" s="20" t="str">
        <f>IF(N11503="","",COUNTIFS(RawData[[Date ]],N11503,RawData[Month List],$Q$6,RawData[Tour/Site],$Q$2,RawData[[Picker ID ]],$Q$3,RawData[Checker ID],$Q$4,RawData[[Error Type ]],$Q$5))</f>
        <v/>
      </c>
    </row>
    <row r="11504" spans="15:15" x14ac:dyDescent="0.25">
      <c r="O11504" s="20" t="str">
        <f>IF(N11504="","",COUNTIFS(RawData[[Date ]],N11504,RawData[Month List],$Q$6,RawData[Tour/Site],$Q$2,RawData[[Picker ID ]],$Q$3,RawData[Checker ID],$Q$4,RawData[[Error Type ]],$Q$5))</f>
        <v/>
      </c>
    </row>
    <row r="11505" spans="15:15" x14ac:dyDescent="0.25">
      <c r="O11505" s="20" t="str">
        <f>IF(N11505="","",COUNTIFS(RawData[[Date ]],N11505,RawData[Month List],$Q$6,RawData[Tour/Site],$Q$2,RawData[[Picker ID ]],$Q$3,RawData[Checker ID],$Q$4,RawData[[Error Type ]],$Q$5))</f>
        <v/>
      </c>
    </row>
    <row r="11506" spans="15:15" x14ac:dyDescent="0.25">
      <c r="O11506" s="20" t="str">
        <f>IF(N11506="","",COUNTIFS(RawData[[Date ]],N11506,RawData[Month List],$Q$6,RawData[Tour/Site],$Q$2,RawData[[Picker ID ]],$Q$3,RawData[Checker ID],$Q$4,RawData[[Error Type ]],$Q$5))</f>
        <v/>
      </c>
    </row>
    <row r="11507" spans="15:15" x14ac:dyDescent="0.25">
      <c r="O11507" s="20" t="str">
        <f>IF(N11507="","",COUNTIFS(RawData[[Date ]],N11507,RawData[Month List],$Q$6,RawData[Tour/Site],$Q$2,RawData[[Picker ID ]],$Q$3,RawData[Checker ID],$Q$4,RawData[[Error Type ]],$Q$5))</f>
        <v/>
      </c>
    </row>
    <row r="11508" spans="15:15" x14ac:dyDescent="0.25">
      <c r="O11508" s="20" t="str">
        <f>IF(N11508="","",COUNTIFS(RawData[[Date ]],N11508,RawData[Month List],$Q$6,RawData[Tour/Site],$Q$2,RawData[[Picker ID ]],$Q$3,RawData[Checker ID],$Q$4,RawData[[Error Type ]],$Q$5))</f>
        <v/>
      </c>
    </row>
    <row r="11509" spans="15:15" x14ac:dyDescent="0.25">
      <c r="O11509" s="20" t="str">
        <f>IF(N11509="","",COUNTIFS(RawData[[Date ]],N11509,RawData[Month List],$Q$6,RawData[Tour/Site],$Q$2,RawData[[Picker ID ]],$Q$3,RawData[Checker ID],$Q$4,RawData[[Error Type ]],$Q$5))</f>
        <v/>
      </c>
    </row>
    <row r="11510" spans="15:15" x14ac:dyDescent="0.25">
      <c r="O11510" s="20" t="str">
        <f>IF(N11510="","",COUNTIFS(RawData[[Date ]],N11510,RawData[Month List],$Q$6,RawData[Tour/Site],$Q$2,RawData[[Picker ID ]],$Q$3,RawData[Checker ID],$Q$4,RawData[[Error Type ]],$Q$5))</f>
        <v/>
      </c>
    </row>
    <row r="11511" spans="15:15" x14ac:dyDescent="0.25">
      <c r="O11511" s="20" t="str">
        <f>IF(N11511="","",COUNTIFS(RawData[[Date ]],N11511,RawData[Month List],$Q$6,RawData[Tour/Site],$Q$2,RawData[[Picker ID ]],$Q$3,RawData[Checker ID],$Q$4,RawData[[Error Type ]],$Q$5))</f>
        <v/>
      </c>
    </row>
    <row r="11512" spans="15:15" x14ac:dyDescent="0.25">
      <c r="O11512" s="20" t="str">
        <f>IF(N11512="","",COUNTIFS(RawData[[Date ]],N11512,RawData[Month List],$Q$6,RawData[Tour/Site],$Q$2,RawData[[Picker ID ]],$Q$3,RawData[Checker ID],$Q$4,RawData[[Error Type ]],$Q$5))</f>
        <v/>
      </c>
    </row>
    <row r="11513" spans="15:15" x14ac:dyDescent="0.25">
      <c r="O11513" s="20" t="str">
        <f>IF(N11513="","",COUNTIFS(RawData[[Date ]],N11513,RawData[Month List],$Q$6,RawData[Tour/Site],$Q$2,RawData[[Picker ID ]],$Q$3,RawData[Checker ID],$Q$4,RawData[[Error Type ]],$Q$5))</f>
        <v/>
      </c>
    </row>
    <row r="11514" spans="15:15" x14ac:dyDescent="0.25">
      <c r="O11514" s="20" t="str">
        <f>IF(N11514="","",COUNTIFS(RawData[[Date ]],N11514,RawData[Month List],$Q$6,RawData[Tour/Site],$Q$2,RawData[[Picker ID ]],$Q$3,RawData[Checker ID],$Q$4,RawData[[Error Type ]],$Q$5))</f>
        <v/>
      </c>
    </row>
    <row r="11515" spans="15:15" x14ac:dyDescent="0.25">
      <c r="O11515" s="20" t="str">
        <f>IF(N11515="","",COUNTIFS(RawData[[Date ]],N11515,RawData[Month List],$Q$6,RawData[Tour/Site],$Q$2,RawData[[Picker ID ]],$Q$3,RawData[Checker ID],$Q$4,RawData[[Error Type ]],$Q$5))</f>
        <v/>
      </c>
    </row>
    <row r="11516" spans="15:15" x14ac:dyDescent="0.25">
      <c r="O11516" s="20" t="str">
        <f>IF(N11516="","",COUNTIFS(RawData[[Date ]],N11516,RawData[Month List],$Q$6,RawData[Tour/Site],$Q$2,RawData[[Picker ID ]],$Q$3,RawData[Checker ID],$Q$4,RawData[[Error Type ]],$Q$5))</f>
        <v/>
      </c>
    </row>
    <row r="11517" spans="15:15" x14ac:dyDescent="0.25">
      <c r="O11517" s="20" t="str">
        <f>IF(N11517="","",COUNTIFS(RawData[[Date ]],N11517,RawData[Month List],$Q$6,RawData[Tour/Site],$Q$2,RawData[[Picker ID ]],$Q$3,RawData[Checker ID],$Q$4,RawData[[Error Type ]],$Q$5))</f>
        <v/>
      </c>
    </row>
    <row r="11518" spans="15:15" x14ac:dyDescent="0.25">
      <c r="O11518" s="20" t="str">
        <f>IF(N11518="","",COUNTIFS(RawData[[Date ]],N11518,RawData[Month List],$Q$6,RawData[Tour/Site],$Q$2,RawData[[Picker ID ]],$Q$3,RawData[Checker ID],$Q$4,RawData[[Error Type ]],$Q$5))</f>
        <v/>
      </c>
    </row>
    <row r="11519" spans="15:15" x14ac:dyDescent="0.25">
      <c r="O11519" s="20" t="str">
        <f>IF(N11519="","",COUNTIFS(RawData[[Date ]],N11519,RawData[Month List],$Q$6,RawData[Tour/Site],$Q$2,RawData[[Picker ID ]],$Q$3,RawData[Checker ID],$Q$4,RawData[[Error Type ]],$Q$5))</f>
        <v/>
      </c>
    </row>
    <row r="11520" spans="15:15" x14ac:dyDescent="0.25">
      <c r="O11520" s="20" t="str">
        <f>IF(N11520="","",COUNTIFS(RawData[[Date ]],N11520,RawData[Month List],$Q$6,RawData[Tour/Site],$Q$2,RawData[[Picker ID ]],$Q$3,RawData[Checker ID],$Q$4,RawData[[Error Type ]],$Q$5))</f>
        <v/>
      </c>
    </row>
    <row r="11521" spans="15:15" x14ac:dyDescent="0.25">
      <c r="O11521" s="20" t="str">
        <f>IF(N11521="","",COUNTIFS(RawData[[Date ]],N11521,RawData[Month List],$Q$6,RawData[Tour/Site],$Q$2,RawData[[Picker ID ]],$Q$3,RawData[Checker ID],$Q$4,RawData[[Error Type ]],$Q$5))</f>
        <v/>
      </c>
    </row>
    <row r="11522" spans="15:15" x14ac:dyDescent="0.25">
      <c r="O11522" s="20" t="str">
        <f>IF(N11522="","",COUNTIFS(RawData[[Date ]],N11522,RawData[Month List],$Q$6,RawData[Tour/Site],$Q$2,RawData[[Picker ID ]],$Q$3,RawData[Checker ID],$Q$4,RawData[[Error Type ]],$Q$5))</f>
        <v/>
      </c>
    </row>
    <row r="11523" spans="15:15" x14ac:dyDescent="0.25">
      <c r="O11523" s="20" t="str">
        <f>IF(N11523="","",COUNTIFS(RawData[[Date ]],N11523,RawData[Month List],$Q$6,RawData[Tour/Site],$Q$2,RawData[[Picker ID ]],$Q$3,RawData[Checker ID],$Q$4,RawData[[Error Type ]],$Q$5))</f>
        <v/>
      </c>
    </row>
    <row r="11524" spans="15:15" x14ac:dyDescent="0.25">
      <c r="O11524" s="20" t="str">
        <f>IF(N11524="","",COUNTIFS(RawData[[Date ]],N11524,RawData[Month List],$Q$6,RawData[Tour/Site],$Q$2,RawData[[Picker ID ]],$Q$3,RawData[Checker ID],$Q$4,RawData[[Error Type ]],$Q$5))</f>
        <v/>
      </c>
    </row>
    <row r="11525" spans="15:15" x14ac:dyDescent="0.25">
      <c r="O11525" s="20" t="str">
        <f>IF(N11525="","",COUNTIFS(RawData[[Date ]],N11525,RawData[Month List],$Q$6,RawData[Tour/Site],$Q$2,RawData[[Picker ID ]],$Q$3,RawData[Checker ID],$Q$4,RawData[[Error Type ]],$Q$5))</f>
        <v/>
      </c>
    </row>
    <row r="11526" spans="15:15" x14ac:dyDescent="0.25">
      <c r="O11526" s="20" t="str">
        <f>IF(N11526="","",COUNTIFS(RawData[[Date ]],N11526,RawData[Month List],$Q$6,RawData[Tour/Site],$Q$2,RawData[[Picker ID ]],$Q$3,RawData[Checker ID],$Q$4,RawData[[Error Type ]],$Q$5))</f>
        <v/>
      </c>
    </row>
    <row r="11527" spans="15:15" x14ac:dyDescent="0.25">
      <c r="O11527" s="20" t="str">
        <f>IF(N11527="","",COUNTIFS(RawData[[Date ]],N11527,RawData[Month List],$Q$6,RawData[Tour/Site],$Q$2,RawData[[Picker ID ]],$Q$3,RawData[Checker ID],$Q$4,RawData[[Error Type ]],$Q$5))</f>
        <v/>
      </c>
    </row>
    <row r="11528" spans="15:15" x14ac:dyDescent="0.25">
      <c r="O11528" s="20" t="str">
        <f>IF(N11528="","",COUNTIFS(RawData[[Date ]],N11528,RawData[Month List],$Q$6,RawData[Tour/Site],$Q$2,RawData[[Picker ID ]],$Q$3,RawData[Checker ID],$Q$4,RawData[[Error Type ]],$Q$5))</f>
        <v/>
      </c>
    </row>
    <row r="11529" spans="15:15" x14ac:dyDescent="0.25">
      <c r="O11529" s="20" t="str">
        <f>IF(N11529="","",COUNTIFS(RawData[[Date ]],N11529,RawData[Month List],$Q$6,RawData[Tour/Site],$Q$2,RawData[[Picker ID ]],$Q$3,RawData[Checker ID],$Q$4,RawData[[Error Type ]],$Q$5))</f>
        <v/>
      </c>
    </row>
    <row r="11530" spans="15:15" x14ac:dyDescent="0.25">
      <c r="O11530" s="20" t="str">
        <f>IF(N11530="","",COUNTIFS(RawData[[Date ]],N11530,RawData[Month List],$Q$6,RawData[Tour/Site],$Q$2,RawData[[Picker ID ]],$Q$3,RawData[Checker ID],$Q$4,RawData[[Error Type ]],$Q$5))</f>
        <v/>
      </c>
    </row>
    <row r="11531" spans="15:15" x14ac:dyDescent="0.25">
      <c r="O11531" s="20" t="str">
        <f>IF(N11531="","",COUNTIFS(RawData[[Date ]],N11531,RawData[Month List],$Q$6,RawData[Tour/Site],$Q$2,RawData[[Picker ID ]],$Q$3,RawData[Checker ID],$Q$4,RawData[[Error Type ]],$Q$5))</f>
        <v/>
      </c>
    </row>
    <row r="11532" spans="15:15" x14ac:dyDescent="0.25">
      <c r="O11532" s="20" t="str">
        <f>IF(N11532="","",COUNTIFS(RawData[[Date ]],N11532,RawData[Month List],$Q$6,RawData[Tour/Site],$Q$2,RawData[[Picker ID ]],$Q$3,RawData[Checker ID],$Q$4,RawData[[Error Type ]],$Q$5))</f>
        <v/>
      </c>
    </row>
    <row r="11533" spans="15:15" x14ac:dyDescent="0.25">
      <c r="O11533" s="20" t="str">
        <f>IF(N11533="","",COUNTIFS(RawData[[Date ]],N11533,RawData[Month List],$Q$6,RawData[Tour/Site],$Q$2,RawData[[Picker ID ]],$Q$3,RawData[Checker ID],$Q$4,RawData[[Error Type ]],$Q$5))</f>
        <v/>
      </c>
    </row>
    <row r="11534" spans="15:15" x14ac:dyDescent="0.25">
      <c r="O11534" s="20" t="str">
        <f>IF(N11534="","",COUNTIFS(RawData[[Date ]],N11534,RawData[Month List],$Q$6,RawData[Tour/Site],$Q$2,RawData[[Picker ID ]],$Q$3,RawData[Checker ID],$Q$4,RawData[[Error Type ]],$Q$5))</f>
        <v/>
      </c>
    </row>
    <row r="11535" spans="15:15" x14ac:dyDescent="0.25">
      <c r="O11535" s="20" t="str">
        <f>IF(N11535="","",COUNTIFS(RawData[[Date ]],N11535,RawData[Month List],$Q$6,RawData[Tour/Site],$Q$2,RawData[[Picker ID ]],$Q$3,RawData[Checker ID],$Q$4,RawData[[Error Type ]],$Q$5))</f>
        <v/>
      </c>
    </row>
    <row r="11536" spans="15:15" x14ac:dyDescent="0.25">
      <c r="O11536" s="20" t="str">
        <f>IF(N11536="","",COUNTIFS(RawData[[Date ]],N11536,RawData[Month List],$Q$6,RawData[Tour/Site],$Q$2,RawData[[Picker ID ]],$Q$3,RawData[Checker ID],$Q$4,RawData[[Error Type ]],$Q$5))</f>
        <v/>
      </c>
    </row>
    <row r="11537" spans="15:15" x14ac:dyDescent="0.25">
      <c r="O11537" s="20" t="str">
        <f>IF(N11537="","",COUNTIFS(RawData[[Date ]],N11537,RawData[Month List],$Q$6,RawData[Tour/Site],$Q$2,RawData[[Picker ID ]],$Q$3,RawData[Checker ID],$Q$4,RawData[[Error Type ]],$Q$5))</f>
        <v/>
      </c>
    </row>
    <row r="11538" spans="15:15" x14ac:dyDescent="0.25">
      <c r="O11538" s="20" t="str">
        <f>IF(N11538="","",COUNTIFS(RawData[[Date ]],N11538,RawData[Month List],$Q$6,RawData[Tour/Site],$Q$2,RawData[[Picker ID ]],$Q$3,RawData[Checker ID],$Q$4,RawData[[Error Type ]],$Q$5))</f>
        <v/>
      </c>
    </row>
    <row r="11539" spans="15:15" x14ac:dyDescent="0.25">
      <c r="O11539" s="20" t="str">
        <f>IF(N11539="","",COUNTIFS(RawData[[Date ]],N11539,RawData[Month List],$Q$6,RawData[Tour/Site],$Q$2,RawData[[Picker ID ]],$Q$3,RawData[Checker ID],$Q$4,RawData[[Error Type ]],$Q$5))</f>
        <v/>
      </c>
    </row>
    <row r="11540" spans="15:15" x14ac:dyDescent="0.25">
      <c r="O11540" s="20" t="str">
        <f>IF(N11540="","",COUNTIFS(RawData[[Date ]],N11540,RawData[Month List],$Q$6,RawData[Tour/Site],$Q$2,RawData[[Picker ID ]],$Q$3,RawData[Checker ID],$Q$4,RawData[[Error Type ]],$Q$5))</f>
        <v/>
      </c>
    </row>
    <row r="11541" spans="15:15" x14ac:dyDescent="0.25">
      <c r="O11541" s="20" t="str">
        <f>IF(N11541="","",COUNTIFS(RawData[[Date ]],N11541,RawData[Month List],$Q$6,RawData[Tour/Site],$Q$2,RawData[[Picker ID ]],$Q$3,RawData[Checker ID],$Q$4,RawData[[Error Type ]],$Q$5))</f>
        <v/>
      </c>
    </row>
    <row r="11542" spans="15:15" x14ac:dyDescent="0.25">
      <c r="O11542" s="20" t="str">
        <f>IF(N11542="","",COUNTIFS(RawData[[Date ]],N11542,RawData[Month List],$Q$6,RawData[Tour/Site],$Q$2,RawData[[Picker ID ]],$Q$3,RawData[Checker ID],$Q$4,RawData[[Error Type ]],$Q$5))</f>
        <v/>
      </c>
    </row>
    <row r="11543" spans="15:15" x14ac:dyDescent="0.25">
      <c r="O11543" s="20" t="str">
        <f>IF(N11543="","",COUNTIFS(RawData[[Date ]],N11543,RawData[Month List],$Q$6,RawData[Tour/Site],$Q$2,RawData[[Picker ID ]],$Q$3,RawData[Checker ID],$Q$4,RawData[[Error Type ]],$Q$5))</f>
        <v/>
      </c>
    </row>
    <row r="11544" spans="15:15" x14ac:dyDescent="0.25">
      <c r="O11544" s="20" t="str">
        <f>IF(N11544="","",COUNTIFS(RawData[[Date ]],N11544,RawData[Month List],$Q$6,RawData[Tour/Site],$Q$2,RawData[[Picker ID ]],$Q$3,RawData[Checker ID],$Q$4,RawData[[Error Type ]],$Q$5))</f>
        <v/>
      </c>
    </row>
    <row r="11545" spans="15:15" x14ac:dyDescent="0.25">
      <c r="O11545" s="20" t="str">
        <f>IF(N11545="","",COUNTIFS(RawData[[Date ]],N11545,RawData[Month List],$Q$6,RawData[Tour/Site],$Q$2,RawData[[Picker ID ]],$Q$3,RawData[Checker ID],$Q$4,RawData[[Error Type ]],$Q$5))</f>
        <v/>
      </c>
    </row>
    <row r="11546" spans="15:15" x14ac:dyDescent="0.25">
      <c r="O11546" s="20" t="str">
        <f>IF(N11546="","",COUNTIFS(RawData[[Date ]],N11546,RawData[Month List],$Q$6,RawData[Tour/Site],$Q$2,RawData[[Picker ID ]],$Q$3,RawData[Checker ID],$Q$4,RawData[[Error Type ]],$Q$5))</f>
        <v/>
      </c>
    </row>
    <row r="11547" spans="15:15" x14ac:dyDescent="0.25">
      <c r="O11547" s="20" t="str">
        <f>IF(N11547="","",COUNTIFS(RawData[[Date ]],N11547,RawData[Month List],$Q$6,RawData[Tour/Site],$Q$2,RawData[[Picker ID ]],$Q$3,RawData[Checker ID],$Q$4,RawData[[Error Type ]],$Q$5))</f>
        <v/>
      </c>
    </row>
    <row r="11548" spans="15:15" x14ac:dyDescent="0.25">
      <c r="O11548" s="20" t="str">
        <f>IF(N11548="","",COUNTIFS(RawData[[Date ]],N11548,RawData[Month List],$Q$6,RawData[Tour/Site],$Q$2,RawData[[Picker ID ]],$Q$3,RawData[Checker ID],$Q$4,RawData[[Error Type ]],$Q$5))</f>
        <v/>
      </c>
    </row>
    <row r="11549" spans="15:15" x14ac:dyDescent="0.25">
      <c r="O11549" s="20" t="str">
        <f>IF(N11549="","",COUNTIFS(RawData[[Date ]],N11549,RawData[Month List],$Q$6,RawData[Tour/Site],$Q$2,RawData[[Picker ID ]],$Q$3,RawData[Checker ID],$Q$4,RawData[[Error Type ]],$Q$5))</f>
        <v/>
      </c>
    </row>
    <row r="11550" spans="15:15" x14ac:dyDescent="0.25">
      <c r="O11550" s="20" t="str">
        <f>IF(N11550="","",COUNTIFS(RawData[[Date ]],N11550,RawData[Month List],$Q$6,RawData[Tour/Site],$Q$2,RawData[[Picker ID ]],$Q$3,RawData[Checker ID],$Q$4,RawData[[Error Type ]],$Q$5))</f>
        <v/>
      </c>
    </row>
    <row r="11551" spans="15:15" x14ac:dyDescent="0.25">
      <c r="O11551" s="20" t="str">
        <f>IF(N11551="","",COUNTIFS(RawData[[Date ]],N11551,RawData[Month List],$Q$6,RawData[Tour/Site],$Q$2,RawData[[Picker ID ]],$Q$3,RawData[Checker ID],$Q$4,RawData[[Error Type ]],$Q$5))</f>
        <v/>
      </c>
    </row>
    <row r="11552" spans="15:15" x14ac:dyDescent="0.25">
      <c r="O11552" s="20" t="str">
        <f>IF(N11552="","",COUNTIFS(RawData[[Date ]],N11552,RawData[Month List],$Q$6,RawData[Tour/Site],$Q$2,RawData[[Picker ID ]],$Q$3,RawData[Checker ID],$Q$4,RawData[[Error Type ]],$Q$5))</f>
        <v/>
      </c>
    </row>
    <row r="11553" spans="15:15" x14ac:dyDescent="0.25">
      <c r="O11553" s="20" t="str">
        <f>IF(N11553="","",COUNTIFS(RawData[[Date ]],N11553,RawData[Month List],$Q$6,RawData[Tour/Site],$Q$2,RawData[[Picker ID ]],$Q$3,RawData[Checker ID],$Q$4,RawData[[Error Type ]],$Q$5))</f>
        <v/>
      </c>
    </row>
    <row r="11554" spans="15:15" x14ac:dyDescent="0.25">
      <c r="O11554" s="20" t="str">
        <f>IF(N11554="","",COUNTIFS(RawData[[Date ]],N11554,RawData[Month List],$Q$6,RawData[Tour/Site],$Q$2,RawData[[Picker ID ]],$Q$3,RawData[Checker ID],$Q$4,RawData[[Error Type ]],$Q$5))</f>
        <v/>
      </c>
    </row>
    <row r="11555" spans="15:15" x14ac:dyDescent="0.25">
      <c r="O11555" s="20" t="str">
        <f>IF(N11555="","",COUNTIFS(RawData[[Date ]],N11555,RawData[Month List],$Q$6,RawData[Tour/Site],$Q$2,RawData[[Picker ID ]],$Q$3,RawData[Checker ID],$Q$4,RawData[[Error Type ]],$Q$5))</f>
        <v/>
      </c>
    </row>
    <row r="11556" spans="15:15" x14ac:dyDescent="0.25">
      <c r="O11556" s="20" t="str">
        <f>IF(N11556="","",COUNTIFS(RawData[[Date ]],N11556,RawData[Month List],$Q$6,RawData[Tour/Site],$Q$2,RawData[[Picker ID ]],$Q$3,RawData[Checker ID],$Q$4,RawData[[Error Type ]],$Q$5))</f>
        <v/>
      </c>
    </row>
    <row r="11557" spans="15:15" x14ac:dyDescent="0.25">
      <c r="O11557" s="20" t="str">
        <f>IF(N11557="","",COUNTIFS(RawData[[Date ]],N11557,RawData[Month List],$Q$6,RawData[Tour/Site],$Q$2,RawData[[Picker ID ]],$Q$3,RawData[Checker ID],$Q$4,RawData[[Error Type ]],$Q$5))</f>
        <v/>
      </c>
    </row>
    <row r="11558" spans="15:15" x14ac:dyDescent="0.25">
      <c r="O11558" s="20" t="str">
        <f>IF(N11558="","",COUNTIFS(RawData[[Date ]],N11558,RawData[Month List],$Q$6,RawData[Tour/Site],$Q$2,RawData[[Picker ID ]],$Q$3,RawData[Checker ID],$Q$4,RawData[[Error Type ]],$Q$5))</f>
        <v/>
      </c>
    </row>
    <row r="11559" spans="15:15" x14ac:dyDescent="0.25">
      <c r="O11559" s="20" t="str">
        <f>IF(N11559="","",COUNTIFS(RawData[[Date ]],N11559,RawData[Month List],$Q$6,RawData[Tour/Site],$Q$2,RawData[[Picker ID ]],$Q$3,RawData[Checker ID],$Q$4,RawData[[Error Type ]],$Q$5))</f>
        <v/>
      </c>
    </row>
    <row r="11560" spans="15:15" x14ac:dyDescent="0.25">
      <c r="O11560" s="20" t="str">
        <f>IF(N11560="","",COUNTIFS(RawData[[Date ]],N11560,RawData[Month List],$Q$6,RawData[Tour/Site],$Q$2,RawData[[Picker ID ]],$Q$3,RawData[Checker ID],$Q$4,RawData[[Error Type ]],$Q$5))</f>
        <v/>
      </c>
    </row>
    <row r="11561" spans="15:15" x14ac:dyDescent="0.25">
      <c r="O11561" s="20" t="str">
        <f>IF(N11561="","",COUNTIFS(RawData[[Date ]],N11561,RawData[Month List],$Q$6,RawData[Tour/Site],$Q$2,RawData[[Picker ID ]],$Q$3,RawData[Checker ID],$Q$4,RawData[[Error Type ]],$Q$5))</f>
        <v/>
      </c>
    </row>
    <row r="11562" spans="15:15" x14ac:dyDescent="0.25">
      <c r="O11562" s="20" t="str">
        <f>IF(N11562="","",COUNTIFS(RawData[[Date ]],N11562,RawData[Month List],$Q$6,RawData[Tour/Site],$Q$2,RawData[[Picker ID ]],$Q$3,RawData[Checker ID],$Q$4,RawData[[Error Type ]],$Q$5))</f>
        <v/>
      </c>
    </row>
    <row r="11563" spans="15:15" x14ac:dyDescent="0.25">
      <c r="O11563" s="20" t="str">
        <f>IF(N11563="","",COUNTIFS(RawData[[Date ]],N11563,RawData[Month List],$Q$6,RawData[Tour/Site],$Q$2,RawData[[Picker ID ]],$Q$3,RawData[Checker ID],$Q$4,RawData[[Error Type ]],$Q$5))</f>
        <v/>
      </c>
    </row>
    <row r="11564" spans="15:15" x14ac:dyDescent="0.25">
      <c r="O11564" s="20" t="str">
        <f>IF(N11564="","",COUNTIFS(RawData[[Date ]],N11564,RawData[Month List],$Q$6,RawData[Tour/Site],$Q$2,RawData[[Picker ID ]],$Q$3,RawData[Checker ID],$Q$4,RawData[[Error Type ]],$Q$5))</f>
        <v/>
      </c>
    </row>
    <row r="11565" spans="15:15" x14ac:dyDescent="0.25">
      <c r="O11565" s="20" t="str">
        <f>IF(N11565="","",COUNTIFS(RawData[[Date ]],N11565,RawData[Month List],$Q$6,RawData[Tour/Site],$Q$2,RawData[[Picker ID ]],$Q$3,RawData[Checker ID],$Q$4,RawData[[Error Type ]],$Q$5))</f>
        <v/>
      </c>
    </row>
    <row r="11566" spans="15:15" x14ac:dyDescent="0.25">
      <c r="O11566" s="20" t="str">
        <f>IF(N11566="","",COUNTIFS(RawData[[Date ]],N11566,RawData[Month List],$Q$6,RawData[Tour/Site],$Q$2,RawData[[Picker ID ]],$Q$3,RawData[Checker ID],$Q$4,RawData[[Error Type ]],$Q$5))</f>
        <v/>
      </c>
    </row>
    <row r="11567" spans="15:15" x14ac:dyDescent="0.25">
      <c r="O11567" s="20" t="str">
        <f>IF(N11567="","",COUNTIFS(RawData[[Date ]],N11567,RawData[Month List],$Q$6,RawData[Tour/Site],$Q$2,RawData[[Picker ID ]],$Q$3,RawData[Checker ID],$Q$4,RawData[[Error Type ]],$Q$5))</f>
        <v/>
      </c>
    </row>
    <row r="11568" spans="15:15" x14ac:dyDescent="0.25">
      <c r="O11568" s="20" t="str">
        <f>IF(N11568="","",COUNTIFS(RawData[[Date ]],N11568,RawData[Month List],$Q$6,RawData[Tour/Site],$Q$2,RawData[[Picker ID ]],$Q$3,RawData[Checker ID],$Q$4,RawData[[Error Type ]],$Q$5))</f>
        <v/>
      </c>
    </row>
    <row r="11569" spans="15:15" x14ac:dyDescent="0.25">
      <c r="O11569" s="20" t="str">
        <f>IF(N11569="","",COUNTIFS(RawData[[Date ]],N11569,RawData[Month List],$Q$6,RawData[Tour/Site],$Q$2,RawData[[Picker ID ]],$Q$3,RawData[Checker ID],$Q$4,RawData[[Error Type ]],$Q$5))</f>
        <v/>
      </c>
    </row>
    <row r="11570" spans="15:15" x14ac:dyDescent="0.25">
      <c r="O11570" s="20" t="str">
        <f>IF(N11570="","",COUNTIFS(RawData[[Date ]],N11570,RawData[Month List],$Q$6,RawData[Tour/Site],$Q$2,RawData[[Picker ID ]],$Q$3,RawData[Checker ID],$Q$4,RawData[[Error Type ]],$Q$5))</f>
        <v/>
      </c>
    </row>
    <row r="11571" spans="15:15" x14ac:dyDescent="0.25">
      <c r="O11571" s="20" t="str">
        <f>IF(N11571="","",COUNTIFS(RawData[[Date ]],N11571,RawData[Month List],$Q$6,RawData[Tour/Site],$Q$2,RawData[[Picker ID ]],$Q$3,RawData[Checker ID],$Q$4,RawData[[Error Type ]],$Q$5))</f>
        <v/>
      </c>
    </row>
    <row r="11572" spans="15:15" x14ac:dyDescent="0.25">
      <c r="O11572" s="20" t="str">
        <f>IF(N11572="","",COUNTIFS(RawData[[Date ]],N11572,RawData[Month List],$Q$6,RawData[Tour/Site],$Q$2,RawData[[Picker ID ]],$Q$3,RawData[Checker ID],$Q$4,RawData[[Error Type ]],$Q$5))</f>
        <v/>
      </c>
    </row>
    <row r="11573" spans="15:15" x14ac:dyDescent="0.25">
      <c r="O11573" s="20" t="str">
        <f>IF(N11573="","",COUNTIFS(RawData[[Date ]],N11573,RawData[Month List],$Q$6,RawData[Tour/Site],$Q$2,RawData[[Picker ID ]],$Q$3,RawData[Checker ID],$Q$4,RawData[[Error Type ]],$Q$5))</f>
        <v/>
      </c>
    </row>
    <row r="11574" spans="15:15" x14ac:dyDescent="0.25">
      <c r="O11574" s="20" t="str">
        <f>IF(N11574="","",COUNTIFS(RawData[[Date ]],N11574,RawData[Month List],$Q$6,RawData[Tour/Site],$Q$2,RawData[[Picker ID ]],$Q$3,RawData[Checker ID],$Q$4,RawData[[Error Type ]],$Q$5))</f>
        <v/>
      </c>
    </row>
    <row r="11575" spans="15:15" x14ac:dyDescent="0.25">
      <c r="O11575" s="20" t="str">
        <f>IF(N11575="","",COUNTIFS(RawData[[Date ]],N11575,RawData[Month List],$Q$6,RawData[Tour/Site],$Q$2,RawData[[Picker ID ]],$Q$3,RawData[Checker ID],$Q$4,RawData[[Error Type ]],$Q$5))</f>
        <v/>
      </c>
    </row>
    <row r="11576" spans="15:15" x14ac:dyDescent="0.25">
      <c r="O11576" s="20" t="str">
        <f>IF(N11576="","",COUNTIFS(RawData[[Date ]],N11576,RawData[Month List],$Q$6,RawData[Tour/Site],$Q$2,RawData[[Picker ID ]],$Q$3,RawData[Checker ID],$Q$4,RawData[[Error Type ]],$Q$5))</f>
        <v/>
      </c>
    </row>
    <row r="11577" spans="15:15" x14ac:dyDescent="0.25">
      <c r="O11577" s="20" t="str">
        <f>IF(N11577="","",COUNTIFS(RawData[[Date ]],N11577,RawData[Month List],$Q$6,RawData[Tour/Site],$Q$2,RawData[[Picker ID ]],$Q$3,RawData[Checker ID],$Q$4,RawData[[Error Type ]],$Q$5))</f>
        <v/>
      </c>
    </row>
    <row r="11578" spans="15:15" x14ac:dyDescent="0.25">
      <c r="O11578" s="20" t="str">
        <f>IF(N11578="","",COUNTIFS(RawData[[Date ]],N11578,RawData[Month List],$Q$6,RawData[Tour/Site],$Q$2,RawData[[Picker ID ]],$Q$3,RawData[Checker ID],$Q$4,RawData[[Error Type ]],$Q$5))</f>
        <v/>
      </c>
    </row>
    <row r="11579" spans="15:15" x14ac:dyDescent="0.25">
      <c r="O11579" s="20" t="str">
        <f>IF(N11579="","",COUNTIFS(RawData[[Date ]],N11579,RawData[Month List],$Q$6,RawData[Tour/Site],$Q$2,RawData[[Picker ID ]],$Q$3,RawData[Checker ID],$Q$4,RawData[[Error Type ]],$Q$5))</f>
        <v/>
      </c>
    </row>
    <row r="11580" spans="15:15" x14ac:dyDescent="0.25">
      <c r="O11580" s="20" t="str">
        <f>IF(N11580="","",COUNTIFS(RawData[[Date ]],N11580,RawData[Month List],$Q$6,RawData[Tour/Site],$Q$2,RawData[[Picker ID ]],$Q$3,RawData[Checker ID],$Q$4,RawData[[Error Type ]],$Q$5))</f>
        <v/>
      </c>
    </row>
    <row r="11581" spans="15:15" x14ac:dyDescent="0.25">
      <c r="O11581" s="20" t="str">
        <f>IF(N11581="","",COUNTIFS(RawData[[Date ]],N11581,RawData[Month List],$Q$6,RawData[Tour/Site],$Q$2,RawData[[Picker ID ]],$Q$3,RawData[Checker ID],$Q$4,RawData[[Error Type ]],$Q$5))</f>
        <v/>
      </c>
    </row>
    <row r="11582" spans="15:15" x14ac:dyDescent="0.25">
      <c r="O11582" s="20" t="str">
        <f>IF(N11582="","",COUNTIFS(RawData[[Date ]],N11582,RawData[Month List],$Q$6,RawData[Tour/Site],$Q$2,RawData[[Picker ID ]],$Q$3,RawData[Checker ID],$Q$4,RawData[[Error Type ]],$Q$5))</f>
        <v/>
      </c>
    </row>
    <row r="11583" spans="15:15" x14ac:dyDescent="0.25">
      <c r="O11583" s="20" t="str">
        <f>IF(N11583="","",COUNTIFS(RawData[[Date ]],N11583,RawData[Month List],$Q$6,RawData[Tour/Site],$Q$2,RawData[[Picker ID ]],$Q$3,RawData[Checker ID],$Q$4,RawData[[Error Type ]],$Q$5))</f>
        <v/>
      </c>
    </row>
    <row r="11584" spans="15:15" x14ac:dyDescent="0.25">
      <c r="O11584" s="20" t="str">
        <f>IF(N11584="","",COUNTIFS(RawData[[Date ]],N11584,RawData[Month List],$Q$6,RawData[Tour/Site],$Q$2,RawData[[Picker ID ]],$Q$3,RawData[Checker ID],$Q$4,RawData[[Error Type ]],$Q$5))</f>
        <v/>
      </c>
    </row>
    <row r="11585" spans="15:15" x14ac:dyDescent="0.25">
      <c r="O11585" s="20" t="str">
        <f>IF(N11585="","",COUNTIFS(RawData[[Date ]],N11585,RawData[Month List],$Q$6,RawData[Tour/Site],$Q$2,RawData[[Picker ID ]],$Q$3,RawData[Checker ID],$Q$4,RawData[[Error Type ]],$Q$5))</f>
        <v/>
      </c>
    </row>
    <row r="11586" spans="15:15" x14ac:dyDescent="0.25">
      <c r="O11586" s="20" t="str">
        <f>IF(N11586="","",COUNTIFS(RawData[[Date ]],N11586,RawData[Month List],$Q$6,RawData[Tour/Site],$Q$2,RawData[[Picker ID ]],$Q$3,RawData[Checker ID],$Q$4,RawData[[Error Type ]],$Q$5))</f>
        <v/>
      </c>
    </row>
    <row r="11587" spans="15:15" x14ac:dyDescent="0.25">
      <c r="O11587" s="20" t="str">
        <f>IF(N11587="","",COUNTIFS(RawData[[Date ]],N11587,RawData[Month List],$Q$6,RawData[Tour/Site],$Q$2,RawData[[Picker ID ]],$Q$3,RawData[Checker ID],$Q$4,RawData[[Error Type ]],$Q$5))</f>
        <v/>
      </c>
    </row>
    <row r="11588" spans="15:15" x14ac:dyDescent="0.25">
      <c r="O11588" s="20" t="str">
        <f>IF(N11588="","",COUNTIFS(RawData[[Date ]],N11588,RawData[Month List],$Q$6,RawData[Tour/Site],$Q$2,RawData[[Picker ID ]],$Q$3,RawData[Checker ID],$Q$4,RawData[[Error Type ]],$Q$5))</f>
        <v/>
      </c>
    </row>
    <row r="11589" spans="15:15" x14ac:dyDescent="0.25">
      <c r="O11589" s="20" t="str">
        <f>IF(N11589="","",COUNTIFS(RawData[[Date ]],N11589,RawData[Month List],$Q$6,RawData[Tour/Site],$Q$2,RawData[[Picker ID ]],$Q$3,RawData[Checker ID],$Q$4,RawData[[Error Type ]],$Q$5))</f>
        <v/>
      </c>
    </row>
    <row r="11590" spans="15:15" x14ac:dyDescent="0.25">
      <c r="O11590" s="20" t="str">
        <f>IF(N11590="","",COUNTIFS(RawData[[Date ]],N11590,RawData[Month List],$Q$6,RawData[Tour/Site],$Q$2,RawData[[Picker ID ]],$Q$3,RawData[Checker ID],$Q$4,RawData[[Error Type ]],$Q$5))</f>
        <v/>
      </c>
    </row>
    <row r="11591" spans="15:15" x14ac:dyDescent="0.25">
      <c r="O11591" s="20" t="str">
        <f>IF(N11591="","",COUNTIFS(RawData[[Date ]],N11591,RawData[Month List],$Q$6,RawData[Tour/Site],$Q$2,RawData[[Picker ID ]],$Q$3,RawData[Checker ID],$Q$4,RawData[[Error Type ]],$Q$5))</f>
        <v/>
      </c>
    </row>
    <row r="11592" spans="15:15" x14ac:dyDescent="0.25">
      <c r="O11592" s="20" t="str">
        <f>IF(N11592="","",COUNTIFS(RawData[[Date ]],N11592,RawData[Month List],$Q$6,RawData[Tour/Site],$Q$2,RawData[[Picker ID ]],$Q$3,RawData[Checker ID],$Q$4,RawData[[Error Type ]],$Q$5))</f>
        <v/>
      </c>
    </row>
    <row r="11593" spans="15:15" x14ac:dyDescent="0.25">
      <c r="O11593" s="20" t="str">
        <f>IF(N11593="","",COUNTIFS(RawData[[Date ]],N11593,RawData[Month List],$Q$6,RawData[Tour/Site],$Q$2,RawData[[Picker ID ]],$Q$3,RawData[Checker ID],$Q$4,RawData[[Error Type ]],$Q$5))</f>
        <v/>
      </c>
    </row>
    <row r="11594" spans="15:15" x14ac:dyDescent="0.25">
      <c r="O11594" s="20" t="str">
        <f>IF(N11594="","",COUNTIFS(RawData[[Date ]],N11594,RawData[Month List],$Q$6,RawData[Tour/Site],$Q$2,RawData[[Picker ID ]],$Q$3,RawData[Checker ID],$Q$4,RawData[[Error Type ]],$Q$5))</f>
        <v/>
      </c>
    </row>
    <row r="11595" spans="15:15" x14ac:dyDescent="0.25">
      <c r="O11595" s="20" t="str">
        <f>IF(N11595="","",COUNTIFS(RawData[[Date ]],N11595,RawData[Month List],$Q$6,RawData[Tour/Site],$Q$2,RawData[[Picker ID ]],$Q$3,RawData[Checker ID],$Q$4,RawData[[Error Type ]],$Q$5))</f>
        <v/>
      </c>
    </row>
    <row r="11596" spans="15:15" x14ac:dyDescent="0.25">
      <c r="O11596" s="20" t="str">
        <f>IF(N11596="","",COUNTIFS(RawData[[Date ]],N11596,RawData[Month List],$Q$6,RawData[Tour/Site],$Q$2,RawData[[Picker ID ]],$Q$3,RawData[Checker ID],$Q$4,RawData[[Error Type ]],$Q$5))</f>
        <v/>
      </c>
    </row>
    <row r="11597" spans="15:15" x14ac:dyDescent="0.25">
      <c r="O11597" s="20" t="str">
        <f>IF(N11597="","",COUNTIFS(RawData[[Date ]],N11597,RawData[Month List],$Q$6,RawData[Tour/Site],$Q$2,RawData[[Picker ID ]],$Q$3,RawData[Checker ID],$Q$4,RawData[[Error Type ]],$Q$5))</f>
        <v/>
      </c>
    </row>
    <row r="11598" spans="15:15" x14ac:dyDescent="0.25">
      <c r="O11598" s="20" t="str">
        <f>IF(N11598="","",COUNTIFS(RawData[[Date ]],N11598,RawData[Month List],$Q$6,RawData[Tour/Site],$Q$2,RawData[[Picker ID ]],$Q$3,RawData[Checker ID],$Q$4,RawData[[Error Type ]],$Q$5))</f>
        <v/>
      </c>
    </row>
    <row r="11599" spans="15:15" x14ac:dyDescent="0.25">
      <c r="O11599" s="20" t="str">
        <f>IF(N11599="","",COUNTIFS(RawData[[Date ]],N11599,RawData[Month List],$Q$6,RawData[Tour/Site],$Q$2,RawData[[Picker ID ]],$Q$3,RawData[Checker ID],$Q$4,RawData[[Error Type ]],$Q$5))</f>
        <v/>
      </c>
    </row>
    <row r="11600" spans="15:15" x14ac:dyDescent="0.25">
      <c r="O11600" s="20" t="str">
        <f>IF(N11600="","",COUNTIFS(RawData[[Date ]],N11600,RawData[Month List],$Q$6,RawData[Tour/Site],$Q$2,RawData[[Picker ID ]],$Q$3,RawData[Checker ID],$Q$4,RawData[[Error Type ]],$Q$5))</f>
        <v/>
      </c>
    </row>
    <row r="11601" spans="15:15" x14ac:dyDescent="0.25">
      <c r="O11601" s="20" t="str">
        <f>IF(N11601="","",COUNTIFS(RawData[[Date ]],N11601,RawData[Month List],$Q$6,RawData[Tour/Site],$Q$2,RawData[[Picker ID ]],$Q$3,RawData[Checker ID],$Q$4,RawData[[Error Type ]],$Q$5))</f>
        <v/>
      </c>
    </row>
    <row r="11602" spans="15:15" x14ac:dyDescent="0.25">
      <c r="O11602" s="20" t="str">
        <f>IF(N11602="","",COUNTIFS(RawData[[Date ]],N11602,RawData[Month List],$Q$6,RawData[Tour/Site],$Q$2,RawData[[Picker ID ]],$Q$3,RawData[Checker ID],$Q$4,RawData[[Error Type ]],$Q$5))</f>
        <v/>
      </c>
    </row>
    <row r="11603" spans="15:15" x14ac:dyDescent="0.25">
      <c r="O11603" s="20" t="str">
        <f>IF(N11603="","",COUNTIFS(RawData[[Date ]],N11603,RawData[Month List],$Q$6,RawData[Tour/Site],$Q$2,RawData[[Picker ID ]],$Q$3,RawData[Checker ID],$Q$4,RawData[[Error Type ]],$Q$5))</f>
        <v/>
      </c>
    </row>
    <row r="11604" spans="15:15" x14ac:dyDescent="0.25">
      <c r="O11604" s="20" t="str">
        <f>IF(N11604="","",COUNTIFS(RawData[[Date ]],N11604,RawData[Month List],$Q$6,RawData[Tour/Site],$Q$2,RawData[[Picker ID ]],$Q$3,RawData[Checker ID],$Q$4,RawData[[Error Type ]],$Q$5))</f>
        <v/>
      </c>
    </row>
    <row r="11605" spans="15:15" x14ac:dyDescent="0.25">
      <c r="O11605" s="20" t="str">
        <f>IF(N11605="","",COUNTIFS(RawData[[Date ]],N11605,RawData[Month List],$Q$6,RawData[Tour/Site],$Q$2,RawData[[Picker ID ]],$Q$3,RawData[Checker ID],$Q$4,RawData[[Error Type ]],$Q$5))</f>
        <v/>
      </c>
    </row>
    <row r="11606" spans="15:15" x14ac:dyDescent="0.25">
      <c r="O11606" s="20" t="str">
        <f>IF(N11606="","",COUNTIFS(RawData[[Date ]],N11606,RawData[Month List],$Q$6,RawData[Tour/Site],$Q$2,RawData[[Picker ID ]],$Q$3,RawData[Checker ID],$Q$4,RawData[[Error Type ]],$Q$5))</f>
        <v/>
      </c>
    </row>
    <row r="11607" spans="15:15" x14ac:dyDescent="0.25">
      <c r="O11607" s="20" t="str">
        <f>IF(N11607="","",COUNTIFS(RawData[[Date ]],N11607,RawData[Month List],$Q$6,RawData[Tour/Site],$Q$2,RawData[[Picker ID ]],$Q$3,RawData[Checker ID],$Q$4,RawData[[Error Type ]],$Q$5))</f>
        <v/>
      </c>
    </row>
    <row r="11608" spans="15:15" x14ac:dyDescent="0.25">
      <c r="O11608" s="20" t="str">
        <f>IF(N11608="","",COUNTIFS(RawData[[Date ]],N11608,RawData[Month List],$Q$6,RawData[Tour/Site],$Q$2,RawData[[Picker ID ]],$Q$3,RawData[Checker ID],$Q$4,RawData[[Error Type ]],$Q$5))</f>
        <v/>
      </c>
    </row>
    <row r="11609" spans="15:15" x14ac:dyDescent="0.25">
      <c r="O11609" s="20" t="str">
        <f>IF(N11609="","",COUNTIFS(RawData[[Date ]],N11609,RawData[Month List],$Q$6,RawData[Tour/Site],$Q$2,RawData[[Picker ID ]],$Q$3,RawData[Checker ID],$Q$4,RawData[[Error Type ]],$Q$5))</f>
        <v/>
      </c>
    </row>
    <row r="11610" spans="15:15" x14ac:dyDescent="0.25">
      <c r="O11610" s="20" t="str">
        <f>IF(N11610="","",COUNTIFS(RawData[[Date ]],N11610,RawData[Month List],$Q$6,RawData[Tour/Site],$Q$2,RawData[[Picker ID ]],$Q$3,RawData[Checker ID],$Q$4,RawData[[Error Type ]],$Q$5))</f>
        <v/>
      </c>
    </row>
    <row r="11611" spans="15:15" x14ac:dyDescent="0.25">
      <c r="O11611" s="20" t="str">
        <f>IF(N11611="","",COUNTIFS(RawData[[Date ]],N11611,RawData[Month List],$Q$6,RawData[Tour/Site],$Q$2,RawData[[Picker ID ]],$Q$3,RawData[Checker ID],$Q$4,RawData[[Error Type ]],$Q$5))</f>
        <v/>
      </c>
    </row>
    <row r="11612" spans="15:15" x14ac:dyDescent="0.25">
      <c r="O11612" s="20" t="str">
        <f>IF(N11612="","",COUNTIFS(RawData[[Date ]],N11612,RawData[Month List],$Q$6,RawData[Tour/Site],$Q$2,RawData[[Picker ID ]],$Q$3,RawData[Checker ID],$Q$4,RawData[[Error Type ]],$Q$5))</f>
        <v/>
      </c>
    </row>
    <row r="11613" spans="15:15" x14ac:dyDescent="0.25">
      <c r="O11613" s="20" t="str">
        <f>IF(N11613="","",COUNTIFS(RawData[[Date ]],N11613,RawData[Month List],$Q$6,RawData[Tour/Site],$Q$2,RawData[[Picker ID ]],$Q$3,RawData[Checker ID],$Q$4,RawData[[Error Type ]],$Q$5))</f>
        <v/>
      </c>
    </row>
    <row r="11614" spans="15:15" x14ac:dyDescent="0.25">
      <c r="O11614" s="20" t="str">
        <f>IF(N11614="","",COUNTIFS(RawData[[Date ]],N11614,RawData[Month List],$Q$6,RawData[Tour/Site],$Q$2,RawData[[Picker ID ]],$Q$3,RawData[Checker ID],$Q$4,RawData[[Error Type ]],$Q$5))</f>
        <v/>
      </c>
    </row>
    <row r="11615" spans="15:15" x14ac:dyDescent="0.25">
      <c r="O11615" s="20" t="str">
        <f>IF(N11615="","",COUNTIFS(RawData[[Date ]],N11615,RawData[Month List],$Q$6,RawData[Tour/Site],$Q$2,RawData[[Picker ID ]],$Q$3,RawData[Checker ID],$Q$4,RawData[[Error Type ]],$Q$5))</f>
        <v/>
      </c>
    </row>
    <row r="11616" spans="15:15" x14ac:dyDescent="0.25">
      <c r="O11616" s="20" t="str">
        <f>IF(N11616="","",COUNTIFS(RawData[[Date ]],N11616,RawData[Month List],$Q$6,RawData[Tour/Site],$Q$2,RawData[[Picker ID ]],$Q$3,RawData[Checker ID],$Q$4,RawData[[Error Type ]],$Q$5))</f>
        <v/>
      </c>
    </row>
    <row r="11617" spans="15:15" x14ac:dyDescent="0.25">
      <c r="O11617" s="20" t="str">
        <f>IF(N11617="","",COUNTIFS(RawData[[Date ]],N11617,RawData[Month List],$Q$6,RawData[Tour/Site],$Q$2,RawData[[Picker ID ]],$Q$3,RawData[Checker ID],$Q$4,RawData[[Error Type ]],$Q$5))</f>
        <v/>
      </c>
    </row>
    <row r="11618" spans="15:15" x14ac:dyDescent="0.25">
      <c r="O11618" s="20" t="str">
        <f>IF(N11618="","",COUNTIFS(RawData[[Date ]],N11618,RawData[Month List],$Q$6,RawData[Tour/Site],$Q$2,RawData[[Picker ID ]],$Q$3,RawData[Checker ID],$Q$4,RawData[[Error Type ]],$Q$5))</f>
        <v/>
      </c>
    </row>
    <row r="11619" spans="15:15" x14ac:dyDescent="0.25">
      <c r="O11619" s="20" t="str">
        <f>IF(N11619="","",COUNTIFS(RawData[[Date ]],N11619,RawData[Month List],$Q$6,RawData[Tour/Site],$Q$2,RawData[[Picker ID ]],$Q$3,RawData[Checker ID],$Q$4,RawData[[Error Type ]],$Q$5))</f>
        <v/>
      </c>
    </row>
    <row r="11620" spans="15:15" x14ac:dyDescent="0.25">
      <c r="O11620" s="20" t="str">
        <f>IF(N11620="","",COUNTIFS(RawData[[Date ]],N11620,RawData[Month List],$Q$6,RawData[Tour/Site],$Q$2,RawData[[Picker ID ]],$Q$3,RawData[Checker ID],$Q$4,RawData[[Error Type ]],$Q$5))</f>
        <v/>
      </c>
    </row>
    <row r="11621" spans="15:15" x14ac:dyDescent="0.25">
      <c r="O11621" s="20" t="str">
        <f>IF(N11621="","",COUNTIFS(RawData[[Date ]],N11621,RawData[Month List],$Q$6,RawData[Tour/Site],$Q$2,RawData[[Picker ID ]],$Q$3,RawData[Checker ID],$Q$4,RawData[[Error Type ]],$Q$5))</f>
        <v/>
      </c>
    </row>
    <row r="11622" spans="15:15" x14ac:dyDescent="0.25">
      <c r="O11622" s="20" t="str">
        <f>IF(N11622="","",COUNTIFS(RawData[[Date ]],N11622,RawData[Month List],$Q$6,RawData[Tour/Site],$Q$2,RawData[[Picker ID ]],$Q$3,RawData[Checker ID],$Q$4,RawData[[Error Type ]],$Q$5))</f>
        <v/>
      </c>
    </row>
    <row r="11623" spans="15:15" x14ac:dyDescent="0.25">
      <c r="O11623" s="20" t="str">
        <f>IF(N11623="","",COUNTIFS(RawData[[Date ]],N11623,RawData[Month List],$Q$6,RawData[Tour/Site],$Q$2,RawData[[Picker ID ]],$Q$3,RawData[Checker ID],$Q$4,RawData[[Error Type ]],$Q$5))</f>
        <v/>
      </c>
    </row>
    <row r="11624" spans="15:15" x14ac:dyDescent="0.25">
      <c r="O11624" s="20" t="str">
        <f>IF(N11624="","",COUNTIFS(RawData[[Date ]],N11624,RawData[Month List],$Q$6,RawData[Tour/Site],$Q$2,RawData[[Picker ID ]],$Q$3,RawData[Checker ID],$Q$4,RawData[[Error Type ]],$Q$5))</f>
        <v/>
      </c>
    </row>
    <row r="11625" spans="15:15" x14ac:dyDescent="0.25">
      <c r="O11625" s="20" t="str">
        <f>IF(N11625="","",COUNTIFS(RawData[[Date ]],N11625,RawData[Month List],$Q$6,RawData[Tour/Site],$Q$2,RawData[[Picker ID ]],$Q$3,RawData[Checker ID],$Q$4,RawData[[Error Type ]],$Q$5))</f>
        <v/>
      </c>
    </row>
    <row r="11626" spans="15:15" x14ac:dyDescent="0.25">
      <c r="O11626" s="20" t="str">
        <f>IF(N11626="","",COUNTIFS(RawData[[Date ]],N11626,RawData[Month List],$Q$6,RawData[Tour/Site],$Q$2,RawData[[Picker ID ]],$Q$3,RawData[Checker ID],$Q$4,RawData[[Error Type ]],$Q$5))</f>
        <v/>
      </c>
    </row>
    <row r="11627" spans="15:15" x14ac:dyDescent="0.25">
      <c r="O11627" s="20" t="str">
        <f>IF(N11627="","",COUNTIFS(RawData[[Date ]],N11627,RawData[Month List],$Q$6,RawData[Tour/Site],$Q$2,RawData[[Picker ID ]],$Q$3,RawData[Checker ID],$Q$4,RawData[[Error Type ]],$Q$5))</f>
        <v/>
      </c>
    </row>
    <row r="11628" spans="15:15" x14ac:dyDescent="0.25">
      <c r="O11628" s="20" t="str">
        <f>IF(N11628="","",COUNTIFS(RawData[[Date ]],N11628,RawData[Month List],$Q$6,RawData[Tour/Site],$Q$2,RawData[[Picker ID ]],$Q$3,RawData[Checker ID],$Q$4,RawData[[Error Type ]],$Q$5))</f>
        <v/>
      </c>
    </row>
    <row r="11629" spans="15:15" x14ac:dyDescent="0.25">
      <c r="O11629" s="20" t="str">
        <f>IF(N11629="","",COUNTIFS(RawData[[Date ]],N11629,RawData[Month List],$Q$6,RawData[Tour/Site],$Q$2,RawData[[Picker ID ]],$Q$3,RawData[Checker ID],$Q$4,RawData[[Error Type ]],$Q$5))</f>
        <v/>
      </c>
    </row>
    <row r="11630" spans="15:15" x14ac:dyDescent="0.25">
      <c r="O11630" s="20" t="str">
        <f>IF(N11630="","",COUNTIFS(RawData[[Date ]],N11630,RawData[Month List],$Q$6,RawData[Tour/Site],$Q$2,RawData[[Picker ID ]],$Q$3,RawData[Checker ID],$Q$4,RawData[[Error Type ]],$Q$5))</f>
        <v/>
      </c>
    </row>
    <row r="11631" spans="15:15" x14ac:dyDescent="0.25">
      <c r="O11631" s="20" t="str">
        <f>IF(N11631="","",COUNTIFS(RawData[[Date ]],N11631,RawData[Month List],$Q$6,RawData[Tour/Site],$Q$2,RawData[[Picker ID ]],$Q$3,RawData[Checker ID],$Q$4,RawData[[Error Type ]],$Q$5))</f>
        <v/>
      </c>
    </row>
    <row r="11632" spans="15:15" x14ac:dyDescent="0.25">
      <c r="O11632" s="20" t="str">
        <f>IF(N11632="","",COUNTIFS(RawData[[Date ]],N11632,RawData[Month List],$Q$6,RawData[Tour/Site],$Q$2,RawData[[Picker ID ]],$Q$3,RawData[Checker ID],$Q$4,RawData[[Error Type ]],$Q$5))</f>
        <v/>
      </c>
    </row>
    <row r="11633" spans="15:15" x14ac:dyDescent="0.25">
      <c r="O11633" s="20" t="str">
        <f>IF(N11633="","",COUNTIFS(RawData[[Date ]],N11633,RawData[Month List],$Q$6,RawData[Tour/Site],$Q$2,RawData[[Picker ID ]],$Q$3,RawData[Checker ID],$Q$4,RawData[[Error Type ]],$Q$5))</f>
        <v/>
      </c>
    </row>
    <row r="11634" spans="15:15" x14ac:dyDescent="0.25">
      <c r="O11634" s="20" t="str">
        <f>IF(N11634="","",COUNTIFS(RawData[[Date ]],N11634,RawData[Month List],$Q$6,RawData[Tour/Site],$Q$2,RawData[[Picker ID ]],$Q$3,RawData[Checker ID],$Q$4,RawData[[Error Type ]],$Q$5))</f>
        <v/>
      </c>
    </row>
    <row r="11635" spans="15:15" x14ac:dyDescent="0.25">
      <c r="O11635" s="20" t="str">
        <f>IF(N11635="","",COUNTIFS(RawData[[Date ]],N11635,RawData[Month List],$Q$6,RawData[Tour/Site],$Q$2,RawData[[Picker ID ]],$Q$3,RawData[Checker ID],$Q$4,RawData[[Error Type ]],$Q$5))</f>
        <v/>
      </c>
    </row>
    <row r="11636" spans="15:15" x14ac:dyDescent="0.25">
      <c r="O11636" s="20" t="str">
        <f>IF(N11636="","",COUNTIFS(RawData[[Date ]],N11636,RawData[Month List],$Q$6,RawData[Tour/Site],$Q$2,RawData[[Picker ID ]],$Q$3,RawData[Checker ID],$Q$4,RawData[[Error Type ]],$Q$5))</f>
        <v/>
      </c>
    </row>
    <row r="11637" spans="15:15" x14ac:dyDescent="0.25">
      <c r="O11637" s="20" t="str">
        <f>IF(N11637="","",COUNTIFS(RawData[[Date ]],N11637,RawData[Month List],$Q$6,RawData[Tour/Site],$Q$2,RawData[[Picker ID ]],$Q$3,RawData[Checker ID],$Q$4,RawData[[Error Type ]],$Q$5))</f>
        <v/>
      </c>
    </row>
    <row r="11638" spans="15:15" x14ac:dyDescent="0.25">
      <c r="O11638" s="20" t="str">
        <f>IF(N11638="","",COUNTIFS(RawData[[Date ]],N11638,RawData[Month List],$Q$6,RawData[Tour/Site],$Q$2,RawData[[Picker ID ]],$Q$3,RawData[Checker ID],$Q$4,RawData[[Error Type ]],$Q$5))</f>
        <v/>
      </c>
    </row>
    <row r="11639" spans="15:15" x14ac:dyDescent="0.25">
      <c r="O11639" s="20" t="str">
        <f>IF(N11639="","",COUNTIFS(RawData[[Date ]],N11639,RawData[Month List],$Q$6,RawData[Tour/Site],$Q$2,RawData[[Picker ID ]],$Q$3,RawData[Checker ID],$Q$4,RawData[[Error Type ]],$Q$5))</f>
        <v/>
      </c>
    </row>
    <row r="11640" spans="15:15" x14ac:dyDescent="0.25">
      <c r="O11640" s="20" t="str">
        <f>IF(N11640="","",COUNTIFS(RawData[[Date ]],N11640,RawData[Month List],$Q$6,RawData[Tour/Site],$Q$2,RawData[[Picker ID ]],$Q$3,RawData[Checker ID],$Q$4,RawData[[Error Type ]],$Q$5))</f>
        <v/>
      </c>
    </row>
    <row r="11641" spans="15:15" x14ac:dyDescent="0.25">
      <c r="O11641" s="20" t="str">
        <f>IF(N11641="","",COUNTIFS(RawData[[Date ]],N11641,RawData[Month List],$Q$6,RawData[Tour/Site],$Q$2,RawData[[Picker ID ]],$Q$3,RawData[Checker ID],$Q$4,RawData[[Error Type ]],$Q$5))</f>
        <v/>
      </c>
    </row>
    <row r="11642" spans="15:15" x14ac:dyDescent="0.25">
      <c r="O11642" s="20" t="str">
        <f>IF(N11642="","",COUNTIFS(RawData[[Date ]],N11642,RawData[Month List],$Q$6,RawData[Tour/Site],$Q$2,RawData[[Picker ID ]],$Q$3,RawData[Checker ID],$Q$4,RawData[[Error Type ]],$Q$5))</f>
        <v/>
      </c>
    </row>
    <row r="11643" spans="15:15" x14ac:dyDescent="0.25">
      <c r="O11643" s="20" t="str">
        <f>IF(N11643="","",COUNTIFS(RawData[[Date ]],N11643,RawData[Month List],$Q$6,RawData[Tour/Site],$Q$2,RawData[[Picker ID ]],$Q$3,RawData[Checker ID],$Q$4,RawData[[Error Type ]],$Q$5))</f>
        <v/>
      </c>
    </row>
    <row r="11644" spans="15:15" x14ac:dyDescent="0.25">
      <c r="O11644" s="20" t="str">
        <f>IF(N11644="","",COUNTIFS(RawData[[Date ]],N11644,RawData[Month List],$Q$6,RawData[Tour/Site],$Q$2,RawData[[Picker ID ]],$Q$3,RawData[Checker ID],$Q$4,RawData[[Error Type ]],$Q$5))</f>
        <v/>
      </c>
    </row>
    <row r="11645" spans="15:15" x14ac:dyDescent="0.25">
      <c r="O11645" s="20" t="str">
        <f>IF(N11645="","",COUNTIFS(RawData[[Date ]],N11645,RawData[Month List],$Q$6,RawData[Tour/Site],$Q$2,RawData[[Picker ID ]],$Q$3,RawData[Checker ID],$Q$4,RawData[[Error Type ]],$Q$5))</f>
        <v/>
      </c>
    </row>
    <row r="11646" spans="15:15" x14ac:dyDescent="0.25">
      <c r="O11646" s="20" t="str">
        <f>IF(N11646="","",COUNTIFS(RawData[[Date ]],N11646,RawData[Month List],$Q$6,RawData[Tour/Site],$Q$2,RawData[[Picker ID ]],$Q$3,RawData[Checker ID],$Q$4,RawData[[Error Type ]],$Q$5))</f>
        <v/>
      </c>
    </row>
    <row r="11647" spans="15:15" x14ac:dyDescent="0.25">
      <c r="O11647" s="20" t="str">
        <f>IF(N11647="","",COUNTIFS(RawData[[Date ]],N11647,RawData[Month List],$Q$6,RawData[Tour/Site],$Q$2,RawData[[Picker ID ]],$Q$3,RawData[Checker ID],$Q$4,RawData[[Error Type ]],$Q$5))</f>
        <v/>
      </c>
    </row>
    <row r="11648" spans="15:15" x14ac:dyDescent="0.25">
      <c r="O11648" s="20" t="str">
        <f>IF(N11648="","",COUNTIFS(RawData[[Date ]],N11648,RawData[Month List],$Q$6,RawData[Tour/Site],$Q$2,RawData[[Picker ID ]],$Q$3,RawData[Checker ID],$Q$4,RawData[[Error Type ]],$Q$5))</f>
        <v/>
      </c>
    </row>
    <row r="11649" spans="15:15" x14ac:dyDescent="0.25">
      <c r="O11649" s="20" t="str">
        <f>IF(N11649="","",COUNTIFS(RawData[[Date ]],N11649,RawData[Month List],$Q$6,RawData[Tour/Site],$Q$2,RawData[[Picker ID ]],$Q$3,RawData[Checker ID],$Q$4,RawData[[Error Type ]],$Q$5))</f>
        <v/>
      </c>
    </row>
    <row r="11650" spans="15:15" x14ac:dyDescent="0.25">
      <c r="O11650" s="20" t="str">
        <f>IF(N11650="","",COUNTIFS(RawData[[Date ]],N11650,RawData[Month List],$Q$6,RawData[Tour/Site],$Q$2,RawData[[Picker ID ]],$Q$3,RawData[Checker ID],$Q$4,RawData[[Error Type ]],$Q$5))</f>
        <v/>
      </c>
    </row>
    <row r="11651" spans="15:15" x14ac:dyDescent="0.25">
      <c r="O11651" s="20" t="str">
        <f>IF(N11651="","",COUNTIFS(RawData[[Date ]],N11651,RawData[Month List],$Q$6,RawData[Tour/Site],$Q$2,RawData[[Picker ID ]],$Q$3,RawData[Checker ID],$Q$4,RawData[[Error Type ]],$Q$5))</f>
        <v/>
      </c>
    </row>
    <row r="11652" spans="15:15" x14ac:dyDescent="0.25">
      <c r="O11652" s="20" t="str">
        <f>IF(N11652="","",COUNTIFS(RawData[[Date ]],N11652,RawData[Month List],$Q$6,RawData[Tour/Site],$Q$2,RawData[[Picker ID ]],$Q$3,RawData[Checker ID],$Q$4,RawData[[Error Type ]],$Q$5))</f>
        <v/>
      </c>
    </row>
    <row r="11653" spans="15:15" x14ac:dyDescent="0.25">
      <c r="O11653" s="20" t="str">
        <f>IF(N11653="","",COUNTIFS(RawData[[Date ]],N11653,RawData[Month List],$Q$6,RawData[Tour/Site],$Q$2,RawData[[Picker ID ]],$Q$3,RawData[Checker ID],$Q$4,RawData[[Error Type ]],$Q$5))</f>
        <v/>
      </c>
    </row>
    <row r="11654" spans="15:15" x14ac:dyDescent="0.25">
      <c r="O11654" s="20" t="str">
        <f>IF(N11654="","",COUNTIFS(RawData[[Date ]],N11654,RawData[Month List],$Q$6,RawData[Tour/Site],$Q$2,RawData[[Picker ID ]],$Q$3,RawData[Checker ID],$Q$4,RawData[[Error Type ]],$Q$5))</f>
        <v/>
      </c>
    </row>
    <row r="11655" spans="15:15" x14ac:dyDescent="0.25">
      <c r="O11655" s="20" t="str">
        <f>IF(N11655="","",COUNTIFS(RawData[[Date ]],N11655,RawData[Month List],$Q$6,RawData[Tour/Site],$Q$2,RawData[[Picker ID ]],$Q$3,RawData[Checker ID],$Q$4,RawData[[Error Type ]],$Q$5))</f>
        <v/>
      </c>
    </row>
    <row r="11656" spans="15:15" x14ac:dyDescent="0.25">
      <c r="O11656" s="20" t="str">
        <f>IF(N11656="","",COUNTIFS(RawData[[Date ]],N11656,RawData[Month List],$Q$6,RawData[Tour/Site],$Q$2,RawData[[Picker ID ]],$Q$3,RawData[Checker ID],$Q$4,RawData[[Error Type ]],$Q$5))</f>
        <v/>
      </c>
    </row>
    <row r="11657" spans="15:15" x14ac:dyDescent="0.25">
      <c r="O11657" s="20" t="str">
        <f>IF(N11657="","",COUNTIFS(RawData[[Date ]],N11657,RawData[Month List],$Q$6,RawData[Tour/Site],$Q$2,RawData[[Picker ID ]],$Q$3,RawData[Checker ID],$Q$4,RawData[[Error Type ]],$Q$5))</f>
        <v/>
      </c>
    </row>
    <row r="11658" spans="15:15" x14ac:dyDescent="0.25">
      <c r="O11658" s="20" t="str">
        <f>IF(N11658="","",COUNTIFS(RawData[[Date ]],N11658,RawData[Month List],$Q$6,RawData[Tour/Site],$Q$2,RawData[[Picker ID ]],$Q$3,RawData[Checker ID],$Q$4,RawData[[Error Type ]],$Q$5))</f>
        <v/>
      </c>
    </row>
    <row r="11659" spans="15:15" x14ac:dyDescent="0.25">
      <c r="O11659" s="20" t="str">
        <f>IF(N11659="","",COUNTIFS(RawData[[Date ]],N11659,RawData[Month List],$Q$6,RawData[Tour/Site],$Q$2,RawData[[Picker ID ]],$Q$3,RawData[Checker ID],$Q$4,RawData[[Error Type ]],$Q$5))</f>
        <v/>
      </c>
    </row>
    <row r="11660" spans="15:15" x14ac:dyDescent="0.25">
      <c r="O11660" s="20" t="str">
        <f>IF(N11660="","",COUNTIFS(RawData[[Date ]],N11660,RawData[Month List],$Q$6,RawData[Tour/Site],$Q$2,RawData[[Picker ID ]],$Q$3,RawData[Checker ID],$Q$4,RawData[[Error Type ]],$Q$5))</f>
        <v/>
      </c>
    </row>
    <row r="11661" spans="15:15" x14ac:dyDescent="0.25">
      <c r="O11661" s="20" t="str">
        <f>IF(N11661="","",COUNTIFS(RawData[[Date ]],N11661,RawData[Month List],$Q$6,RawData[Tour/Site],$Q$2,RawData[[Picker ID ]],$Q$3,RawData[Checker ID],$Q$4,RawData[[Error Type ]],$Q$5))</f>
        <v/>
      </c>
    </row>
    <row r="11662" spans="15:15" x14ac:dyDescent="0.25">
      <c r="O11662" s="20" t="str">
        <f>IF(N11662="","",COUNTIFS(RawData[[Date ]],N11662,RawData[Month List],$Q$6,RawData[Tour/Site],$Q$2,RawData[[Picker ID ]],$Q$3,RawData[Checker ID],$Q$4,RawData[[Error Type ]],$Q$5))</f>
        <v/>
      </c>
    </row>
    <row r="11663" spans="15:15" x14ac:dyDescent="0.25">
      <c r="O11663" s="20" t="str">
        <f>IF(N11663="","",COUNTIFS(RawData[[Date ]],N11663,RawData[Month List],$Q$6,RawData[Tour/Site],$Q$2,RawData[[Picker ID ]],$Q$3,RawData[Checker ID],$Q$4,RawData[[Error Type ]],$Q$5))</f>
        <v/>
      </c>
    </row>
    <row r="11664" spans="15:15" x14ac:dyDescent="0.25">
      <c r="O11664" s="20" t="str">
        <f>IF(N11664="","",COUNTIFS(RawData[[Date ]],N11664,RawData[Month List],$Q$6,RawData[Tour/Site],$Q$2,RawData[[Picker ID ]],$Q$3,RawData[Checker ID],$Q$4,RawData[[Error Type ]],$Q$5))</f>
        <v/>
      </c>
    </row>
    <row r="11665" spans="15:15" x14ac:dyDescent="0.25">
      <c r="O11665" s="20" t="str">
        <f>IF(N11665="","",COUNTIFS(RawData[[Date ]],N11665,RawData[Month List],$Q$6,RawData[Tour/Site],$Q$2,RawData[[Picker ID ]],$Q$3,RawData[Checker ID],$Q$4,RawData[[Error Type ]],$Q$5))</f>
        <v/>
      </c>
    </row>
    <row r="11666" spans="15:15" x14ac:dyDescent="0.25">
      <c r="O11666" s="20" t="str">
        <f>IF(N11666="","",COUNTIFS(RawData[[Date ]],N11666,RawData[Month List],$Q$6,RawData[Tour/Site],$Q$2,RawData[[Picker ID ]],$Q$3,RawData[Checker ID],$Q$4,RawData[[Error Type ]],$Q$5))</f>
        <v/>
      </c>
    </row>
    <row r="11667" spans="15:15" x14ac:dyDescent="0.25">
      <c r="O11667" s="20" t="str">
        <f>IF(N11667="","",COUNTIFS(RawData[[Date ]],N11667,RawData[Month List],$Q$6,RawData[Tour/Site],$Q$2,RawData[[Picker ID ]],$Q$3,RawData[Checker ID],$Q$4,RawData[[Error Type ]],$Q$5))</f>
        <v/>
      </c>
    </row>
    <row r="11668" spans="15:15" x14ac:dyDescent="0.25">
      <c r="O11668" s="20" t="str">
        <f>IF(N11668="","",COUNTIFS(RawData[[Date ]],N11668,RawData[Month List],$Q$6,RawData[Tour/Site],$Q$2,RawData[[Picker ID ]],$Q$3,RawData[Checker ID],$Q$4,RawData[[Error Type ]],$Q$5))</f>
        <v/>
      </c>
    </row>
    <row r="11669" spans="15:15" x14ac:dyDescent="0.25">
      <c r="O11669" s="20" t="str">
        <f>IF(N11669="","",COUNTIFS(RawData[[Date ]],N11669,RawData[Month List],$Q$6,RawData[Tour/Site],$Q$2,RawData[[Picker ID ]],$Q$3,RawData[Checker ID],$Q$4,RawData[[Error Type ]],$Q$5))</f>
        <v/>
      </c>
    </row>
    <row r="11670" spans="15:15" x14ac:dyDescent="0.25">
      <c r="O11670" s="20" t="str">
        <f>IF(N11670="","",COUNTIFS(RawData[[Date ]],N11670,RawData[Month List],$Q$6,RawData[Tour/Site],$Q$2,RawData[[Picker ID ]],$Q$3,RawData[Checker ID],$Q$4,RawData[[Error Type ]],$Q$5))</f>
        <v/>
      </c>
    </row>
    <row r="11671" spans="15:15" x14ac:dyDescent="0.25">
      <c r="O11671" s="20" t="str">
        <f>IF(N11671="","",COUNTIFS(RawData[[Date ]],N11671,RawData[Month List],$Q$6,RawData[Tour/Site],$Q$2,RawData[[Picker ID ]],$Q$3,RawData[Checker ID],$Q$4,RawData[[Error Type ]],$Q$5))</f>
        <v/>
      </c>
    </row>
    <row r="11672" spans="15:15" x14ac:dyDescent="0.25">
      <c r="O11672" s="20" t="str">
        <f>IF(N11672="","",COUNTIFS(RawData[[Date ]],N11672,RawData[Month List],$Q$6,RawData[Tour/Site],$Q$2,RawData[[Picker ID ]],$Q$3,RawData[Checker ID],$Q$4,RawData[[Error Type ]],$Q$5))</f>
        <v/>
      </c>
    </row>
    <row r="11673" spans="15:15" x14ac:dyDescent="0.25">
      <c r="O11673" s="20" t="str">
        <f>IF(N11673="","",COUNTIFS(RawData[[Date ]],N11673,RawData[Month List],$Q$6,RawData[Tour/Site],$Q$2,RawData[[Picker ID ]],$Q$3,RawData[Checker ID],$Q$4,RawData[[Error Type ]],$Q$5))</f>
        <v/>
      </c>
    </row>
    <row r="11674" spans="15:15" x14ac:dyDescent="0.25">
      <c r="O11674" s="20" t="str">
        <f>IF(N11674="","",COUNTIFS(RawData[[Date ]],N11674,RawData[Month List],$Q$6,RawData[Tour/Site],$Q$2,RawData[[Picker ID ]],$Q$3,RawData[Checker ID],$Q$4,RawData[[Error Type ]],$Q$5))</f>
        <v/>
      </c>
    </row>
    <row r="11675" spans="15:15" x14ac:dyDescent="0.25">
      <c r="O11675" s="20" t="str">
        <f>IF(N11675="","",COUNTIFS(RawData[[Date ]],N11675,RawData[Month List],$Q$6,RawData[Tour/Site],$Q$2,RawData[[Picker ID ]],$Q$3,RawData[Checker ID],$Q$4,RawData[[Error Type ]],$Q$5))</f>
        <v/>
      </c>
    </row>
    <row r="11676" spans="15:15" x14ac:dyDescent="0.25">
      <c r="O11676" s="20" t="str">
        <f>IF(N11676="","",COUNTIFS(RawData[[Date ]],N11676,RawData[Month List],$Q$6,RawData[Tour/Site],$Q$2,RawData[[Picker ID ]],$Q$3,RawData[Checker ID],$Q$4,RawData[[Error Type ]],$Q$5))</f>
        <v/>
      </c>
    </row>
    <row r="11677" spans="15:15" x14ac:dyDescent="0.25">
      <c r="O11677" s="20" t="str">
        <f>IF(N11677="","",COUNTIFS(RawData[[Date ]],N11677,RawData[Month List],$Q$6,RawData[Tour/Site],$Q$2,RawData[[Picker ID ]],$Q$3,RawData[Checker ID],$Q$4,RawData[[Error Type ]],$Q$5))</f>
        <v/>
      </c>
    </row>
    <row r="11678" spans="15:15" x14ac:dyDescent="0.25">
      <c r="O11678" s="20" t="str">
        <f>IF(N11678="","",COUNTIFS(RawData[[Date ]],N11678,RawData[Month List],$Q$6,RawData[Tour/Site],$Q$2,RawData[[Picker ID ]],$Q$3,RawData[Checker ID],$Q$4,RawData[[Error Type ]],$Q$5))</f>
        <v/>
      </c>
    </row>
    <row r="11679" spans="15:15" x14ac:dyDescent="0.25">
      <c r="O11679" s="20" t="str">
        <f>IF(N11679="","",COUNTIFS(RawData[[Date ]],N11679,RawData[Month List],$Q$6,RawData[Tour/Site],$Q$2,RawData[[Picker ID ]],$Q$3,RawData[Checker ID],$Q$4,RawData[[Error Type ]],$Q$5))</f>
        <v/>
      </c>
    </row>
    <row r="11680" spans="15:15" x14ac:dyDescent="0.25">
      <c r="O11680" s="20" t="str">
        <f>IF(N11680="","",COUNTIFS(RawData[[Date ]],N11680,RawData[Month List],$Q$6,RawData[Tour/Site],$Q$2,RawData[[Picker ID ]],$Q$3,RawData[Checker ID],$Q$4,RawData[[Error Type ]],$Q$5))</f>
        <v/>
      </c>
    </row>
    <row r="11681" spans="15:15" x14ac:dyDescent="0.25">
      <c r="O11681" s="20" t="str">
        <f>IF(N11681="","",COUNTIFS(RawData[[Date ]],N11681,RawData[Month List],$Q$6,RawData[Tour/Site],$Q$2,RawData[[Picker ID ]],$Q$3,RawData[Checker ID],$Q$4,RawData[[Error Type ]],$Q$5))</f>
        <v/>
      </c>
    </row>
    <row r="11682" spans="15:15" x14ac:dyDescent="0.25">
      <c r="O11682" s="20" t="str">
        <f>IF(N11682="","",COUNTIFS(RawData[[Date ]],N11682,RawData[Month List],$Q$6,RawData[Tour/Site],$Q$2,RawData[[Picker ID ]],$Q$3,RawData[Checker ID],$Q$4,RawData[[Error Type ]],$Q$5))</f>
        <v/>
      </c>
    </row>
    <row r="11683" spans="15:15" x14ac:dyDescent="0.25">
      <c r="O11683" s="20" t="str">
        <f>IF(N11683="","",COUNTIFS(RawData[[Date ]],N11683,RawData[Month List],$Q$6,RawData[Tour/Site],$Q$2,RawData[[Picker ID ]],$Q$3,RawData[Checker ID],$Q$4,RawData[[Error Type ]],$Q$5))</f>
        <v/>
      </c>
    </row>
    <row r="11684" spans="15:15" x14ac:dyDescent="0.25">
      <c r="O11684" s="20" t="str">
        <f>IF(N11684="","",COUNTIFS(RawData[[Date ]],N11684,RawData[Month List],$Q$6,RawData[Tour/Site],$Q$2,RawData[[Picker ID ]],$Q$3,RawData[Checker ID],$Q$4,RawData[[Error Type ]],$Q$5))</f>
        <v/>
      </c>
    </row>
    <row r="11685" spans="15:15" x14ac:dyDescent="0.25">
      <c r="O11685" s="20" t="str">
        <f>IF(N11685="","",COUNTIFS(RawData[[Date ]],N11685,RawData[Month List],$Q$6,RawData[Tour/Site],$Q$2,RawData[[Picker ID ]],$Q$3,RawData[Checker ID],$Q$4,RawData[[Error Type ]],$Q$5))</f>
        <v/>
      </c>
    </row>
    <row r="11686" spans="15:15" x14ac:dyDescent="0.25">
      <c r="O11686" s="20" t="str">
        <f>IF(N11686="","",COUNTIFS(RawData[[Date ]],N11686,RawData[Month List],$Q$6,RawData[Tour/Site],$Q$2,RawData[[Picker ID ]],$Q$3,RawData[Checker ID],$Q$4,RawData[[Error Type ]],$Q$5))</f>
        <v/>
      </c>
    </row>
    <row r="11687" spans="15:15" x14ac:dyDescent="0.25">
      <c r="O11687" s="20" t="str">
        <f>IF(N11687="","",COUNTIFS(RawData[[Date ]],N11687,RawData[Month List],$Q$6,RawData[Tour/Site],$Q$2,RawData[[Picker ID ]],$Q$3,RawData[Checker ID],$Q$4,RawData[[Error Type ]],$Q$5))</f>
        <v/>
      </c>
    </row>
    <row r="11688" spans="15:15" x14ac:dyDescent="0.25">
      <c r="O11688" s="20" t="str">
        <f>IF(N11688="","",COUNTIFS(RawData[[Date ]],N11688,RawData[Month List],$Q$6,RawData[Tour/Site],$Q$2,RawData[[Picker ID ]],$Q$3,RawData[Checker ID],$Q$4,RawData[[Error Type ]],$Q$5))</f>
        <v/>
      </c>
    </row>
    <row r="11689" spans="15:15" x14ac:dyDescent="0.25">
      <c r="O11689" s="20" t="str">
        <f>IF(N11689="","",COUNTIFS(RawData[[Date ]],N11689,RawData[Month List],$Q$6,RawData[Tour/Site],$Q$2,RawData[[Picker ID ]],$Q$3,RawData[Checker ID],$Q$4,RawData[[Error Type ]],$Q$5))</f>
        <v/>
      </c>
    </row>
    <row r="11690" spans="15:15" x14ac:dyDescent="0.25">
      <c r="O11690" s="20" t="str">
        <f>IF(N11690="","",COUNTIFS(RawData[[Date ]],N11690,RawData[Month List],$Q$6,RawData[Tour/Site],$Q$2,RawData[[Picker ID ]],$Q$3,RawData[Checker ID],$Q$4,RawData[[Error Type ]],$Q$5))</f>
        <v/>
      </c>
    </row>
    <row r="11691" spans="15:15" x14ac:dyDescent="0.25">
      <c r="O11691" s="20" t="str">
        <f>IF(N11691="","",COUNTIFS(RawData[[Date ]],N11691,RawData[Month List],$Q$6,RawData[Tour/Site],$Q$2,RawData[[Picker ID ]],$Q$3,RawData[Checker ID],$Q$4,RawData[[Error Type ]],$Q$5))</f>
        <v/>
      </c>
    </row>
    <row r="11692" spans="15:15" x14ac:dyDescent="0.25">
      <c r="O11692" s="20" t="str">
        <f>IF(N11692="","",COUNTIFS(RawData[[Date ]],N11692,RawData[Month List],$Q$6,RawData[Tour/Site],$Q$2,RawData[[Picker ID ]],$Q$3,RawData[Checker ID],$Q$4,RawData[[Error Type ]],$Q$5))</f>
        <v/>
      </c>
    </row>
    <row r="11693" spans="15:15" x14ac:dyDescent="0.25">
      <c r="O11693" s="20" t="str">
        <f>IF(N11693="","",COUNTIFS(RawData[[Date ]],N11693,RawData[Month List],$Q$6,RawData[Tour/Site],$Q$2,RawData[[Picker ID ]],$Q$3,RawData[Checker ID],$Q$4,RawData[[Error Type ]],$Q$5))</f>
        <v/>
      </c>
    </row>
    <row r="11694" spans="15:15" x14ac:dyDescent="0.25">
      <c r="O11694" s="20" t="str">
        <f>IF(N11694="","",COUNTIFS(RawData[[Date ]],N11694,RawData[Month List],$Q$6,RawData[Tour/Site],$Q$2,RawData[[Picker ID ]],$Q$3,RawData[Checker ID],$Q$4,RawData[[Error Type ]],$Q$5))</f>
        <v/>
      </c>
    </row>
    <row r="11695" spans="15:15" x14ac:dyDescent="0.25">
      <c r="O11695" s="20" t="str">
        <f>IF(N11695="","",COUNTIFS(RawData[[Date ]],N11695,RawData[Month List],$Q$6,RawData[Tour/Site],$Q$2,RawData[[Picker ID ]],$Q$3,RawData[Checker ID],$Q$4,RawData[[Error Type ]],$Q$5))</f>
        <v/>
      </c>
    </row>
    <row r="11696" spans="15:15" x14ac:dyDescent="0.25">
      <c r="O11696" s="20" t="str">
        <f>IF(N11696="","",COUNTIFS(RawData[[Date ]],N11696,RawData[Month List],$Q$6,RawData[Tour/Site],$Q$2,RawData[[Picker ID ]],$Q$3,RawData[Checker ID],$Q$4,RawData[[Error Type ]],$Q$5))</f>
        <v/>
      </c>
    </row>
    <row r="11697" spans="15:15" x14ac:dyDescent="0.25">
      <c r="O11697" s="20" t="str">
        <f>IF(N11697="","",COUNTIFS(RawData[[Date ]],N11697,RawData[Month List],$Q$6,RawData[Tour/Site],$Q$2,RawData[[Picker ID ]],$Q$3,RawData[Checker ID],$Q$4,RawData[[Error Type ]],$Q$5))</f>
        <v/>
      </c>
    </row>
    <row r="11698" spans="15:15" x14ac:dyDescent="0.25">
      <c r="O11698" s="20" t="str">
        <f>IF(N11698="","",COUNTIFS(RawData[[Date ]],N11698,RawData[Month List],$Q$6,RawData[Tour/Site],$Q$2,RawData[[Picker ID ]],$Q$3,RawData[Checker ID],$Q$4,RawData[[Error Type ]],$Q$5))</f>
        <v/>
      </c>
    </row>
    <row r="11699" spans="15:15" x14ac:dyDescent="0.25">
      <c r="O11699" s="20" t="str">
        <f>IF(N11699="","",COUNTIFS(RawData[[Date ]],N11699,RawData[Month List],$Q$6,RawData[Tour/Site],$Q$2,RawData[[Picker ID ]],$Q$3,RawData[Checker ID],$Q$4,RawData[[Error Type ]],$Q$5))</f>
        <v/>
      </c>
    </row>
    <row r="11700" spans="15:15" x14ac:dyDescent="0.25">
      <c r="O11700" s="20" t="str">
        <f>IF(N11700="","",COUNTIFS(RawData[[Date ]],N11700,RawData[Month List],$Q$6,RawData[Tour/Site],$Q$2,RawData[[Picker ID ]],$Q$3,RawData[Checker ID],$Q$4,RawData[[Error Type ]],$Q$5))</f>
        <v/>
      </c>
    </row>
    <row r="11701" spans="15:15" x14ac:dyDescent="0.25">
      <c r="O11701" s="20" t="str">
        <f>IF(N11701="","",COUNTIFS(RawData[[Date ]],N11701,RawData[Month List],$Q$6,RawData[Tour/Site],$Q$2,RawData[[Picker ID ]],$Q$3,RawData[Checker ID],$Q$4,RawData[[Error Type ]],$Q$5))</f>
        <v/>
      </c>
    </row>
    <row r="11702" spans="15:15" x14ac:dyDescent="0.25">
      <c r="O11702" s="20" t="str">
        <f>IF(N11702="","",COUNTIFS(RawData[[Date ]],N11702,RawData[Month List],$Q$6,RawData[Tour/Site],$Q$2,RawData[[Picker ID ]],$Q$3,RawData[Checker ID],$Q$4,RawData[[Error Type ]],$Q$5))</f>
        <v/>
      </c>
    </row>
    <row r="11703" spans="15:15" x14ac:dyDescent="0.25">
      <c r="O11703" s="20" t="str">
        <f>IF(N11703="","",COUNTIFS(RawData[[Date ]],N11703,RawData[Month List],$Q$6,RawData[Tour/Site],$Q$2,RawData[[Picker ID ]],$Q$3,RawData[Checker ID],$Q$4,RawData[[Error Type ]],$Q$5))</f>
        <v/>
      </c>
    </row>
    <row r="11704" spans="15:15" x14ac:dyDescent="0.25">
      <c r="O11704" s="20" t="str">
        <f>IF(N11704="","",COUNTIFS(RawData[[Date ]],N11704,RawData[Month List],$Q$6,RawData[Tour/Site],$Q$2,RawData[[Picker ID ]],$Q$3,RawData[Checker ID],$Q$4,RawData[[Error Type ]],$Q$5))</f>
        <v/>
      </c>
    </row>
    <row r="11705" spans="15:15" x14ac:dyDescent="0.25">
      <c r="O11705" s="20" t="str">
        <f>IF(N11705="","",COUNTIFS(RawData[[Date ]],N11705,RawData[Month List],$Q$6,RawData[Tour/Site],$Q$2,RawData[[Picker ID ]],$Q$3,RawData[Checker ID],$Q$4,RawData[[Error Type ]],$Q$5))</f>
        <v/>
      </c>
    </row>
    <row r="11706" spans="15:15" x14ac:dyDescent="0.25">
      <c r="O11706" s="20" t="str">
        <f>IF(N11706="","",COUNTIFS(RawData[[Date ]],N11706,RawData[Month List],$Q$6,RawData[Tour/Site],$Q$2,RawData[[Picker ID ]],$Q$3,RawData[Checker ID],$Q$4,RawData[[Error Type ]],$Q$5))</f>
        <v/>
      </c>
    </row>
    <row r="11707" spans="15:15" x14ac:dyDescent="0.25">
      <c r="O11707" s="20" t="str">
        <f>IF(N11707="","",COUNTIFS(RawData[[Date ]],N11707,RawData[Month List],$Q$6,RawData[Tour/Site],$Q$2,RawData[[Picker ID ]],$Q$3,RawData[Checker ID],$Q$4,RawData[[Error Type ]],$Q$5))</f>
        <v/>
      </c>
    </row>
    <row r="11708" spans="15:15" x14ac:dyDescent="0.25">
      <c r="O11708" s="20" t="str">
        <f>IF(N11708="","",COUNTIFS(RawData[[Date ]],N11708,RawData[Month List],$Q$6,RawData[Tour/Site],$Q$2,RawData[[Picker ID ]],$Q$3,RawData[Checker ID],$Q$4,RawData[[Error Type ]],$Q$5))</f>
        <v/>
      </c>
    </row>
    <row r="11709" spans="15:15" x14ac:dyDescent="0.25">
      <c r="O11709" s="20" t="str">
        <f>IF(N11709="","",COUNTIFS(RawData[[Date ]],N11709,RawData[Month List],$Q$6,RawData[Tour/Site],$Q$2,RawData[[Picker ID ]],$Q$3,RawData[Checker ID],$Q$4,RawData[[Error Type ]],$Q$5))</f>
        <v/>
      </c>
    </row>
    <row r="11710" spans="15:15" x14ac:dyDescent="0.25">
      <c r="O11710" s="20" t="str">
        <f>IF(N11710="","",COUNTIFS(RawData[[Date ]],N11710,RawData[Month List],$Q$6,RawData[Tour/Site],$Q$2,RawData[[Picker ID ]],$Q$3,RawData[Checker ID],$Q$4,RawData[[Error Type ]],$Q$5))</f>
        <v/>
      </c>
    </row>
    <row r="11711" spans="15:15" x14ac:dyDescent="0.25">
      <c r="O11711" s="20" t="str">
        <f>IF(N11711="","",COUNTIFS(RawData[[Date ]],N11711,RawData[Month List],$Q$6,RawData[Tour/Site],$Q$2,RawData[[Picker ID ]],$Q$3,RawData[Checker ID],$Q$4,RawData[[Error Type ]],$Q$5))</f>
        <v/>
      </c>
    </row>
    <row r="11712" spans="15:15" x14ac:dyDescent="0.25">
      <c r="O11712" s="20" t="str">
        <f>IF(N11712="","",COUNTIFS(RawData[[Date ]],N11712,RawData[Month List],$Q$6,RawData[Tour/Site],$Q$2,RawData[[Picker ID ]],$Q$3,RawData[Checker ID],$Q$4,RawData[[Error Type ]],$Q$5))</f>
        <v/>
      </c>
    </row>
    <row r="11713" spans="15:15" x14ac:dyDescent="0.25">
      <c r="O11713" s="20" t="str">
        <f>IF(N11713="","",COUNTIFS(RawData[[Date ]],N11713,RawData[Month List],$Q$6,RawData[Tour/Site],$Q$2,RawData[[Picker ID ]],$Q$3,RawData[Checker ID],$Q$4,RawData[[Error Type ]],$Q$5))</f>
        <v/>
      </c>
    </row>
    <row r="11714" spans="15:15" x14ac:dyDescent="0.25">
      <c r="O11714" s="20" t="str">
        <f>IF(N11714="","",COUNTIFS(RawData[[Date ]],N11714,RawData[Month List],$Q$6,RawData[Tour/Site],$Q$2,RawData[[Picker ID ]],$Q$3,RawData[Checker ID],$Q$4,RawData[[Error Type ]],$Q$5))</f>
        <v/>
      </c>
    </row>
    <row r="11715" spans="15:15" x14ac:dyDescent="0.25">
      <c r="O11715" s="20" t="str">
        <f>IF(N11715="","",COUNTIFS(RawData[[Date ]],N11715,RawData[Month List],$Q$6,RawData[Tour/Site],$Q$2,RawData[[Picker ID ]],$Q$3,RawData[Checker ID],$Q$4,RawData[[Error Type ]],$Q$5))</f>
        <v/>
      </c>
    </row>
    <row r="11716" spans="15:15" x14ac:dyDescent="0.25">
      <c r="O11716" s="20" t="str">
        <f>IF(N11716="","",COUNTIFS(RawData[[Date ]],N11716,RawData[Month List],$Q$6,RawData[Tour/Site],$Q$2,RawData[[Picker ID ]],$Q$3,RawData[Checker ID],$Q$4,RawData[[Error Type ]],$Q$5))</f>
        <v/>
      </c>
    </row>
    <row r="11717" spans="15:15" x14ac:dyDescent="0.25">
      <c r="O11717" s="20" t="str">
        <f>IF(N11717="","",COUNTIFS(RawData[[Date ]],N11717,RawData[Month List],$Q$6,RawData[Tour/Site],$Q$2,RawData[[Picker ID ]],$Q$3,RawData[Checker ID],$Q$4,RawData[[Error Type ]],$Q$5))</f>
        <v/>
      </c>
    </row>
    <row r="11718" spans="15:15" x14ac:dyDescent="0.25">
      <c r="O11718" s="20" t="str">
        <f>IF(N11718="","",COUNTIFS(RawData[[Date ]],N11718,RawData[Month List],$Q$6,RawData[Tour/Site],$Q$2,RawData[[Picker ID ]],$Q$3,RawData[Checker ID],$Q$4,RawData[[Error Type ]],$Q$5))</f>
        <v/>
      </c>
    </row>
    <row r="11719" spans="15:15" x14ac:dyDescent="0.25">
      <c r="O11719" s="20" t="str">
        <f>IF(N11719="","",COUNTIFS(RawData[[Date ]],N11719,RawData[Month List],$Q$6,RawData[Tour/Site],$Q$2,RawData[[Picker ID ]],$Q$3,RawData[Checker ID],$Q$4,RawData[[Error Type ]],$Q$5))</f>
        <v/>
      </c>
    </row>
    <row r="11720" spans="15:15" x14ac:dyDescent="0.25">
      <c r="O11720" s="20" t="str">
        <f>IF(N11720="","",COUNTIFS(RawData[[Date ]],N11720,RawData[Month List],$Q$6,RawData[Tour/Site],$Q$2,RawData[[Picker ID ]],$Q$3,RawData[Checker ID],$Q$4,RawData[[Error Type ]],$Q$5))</f>
        <v/>
      </c>
    </row>
    <row r="11721" spans="15:15" x14ac:dyDescent="0.25">
      <c r="O11721" s="20" t="str">
        <f>IF(N11721="","",COUNTIFS(RawData[[Date ]],N11721,RawData[Month List],$Q$6,RawData[Tour/Site],$Q$2,RawData[[Picker ID ]],$Q$3,RawData[Checker ID],$Q$4,RawData[[Error Type ]],$Q$5))</f>
        <v/>
      </c>
    </row>
    <row r="11722" spans="15:15" x14ac:dyDescent="0.25">
      <c r="O11722" s="20" t="str">
        <f>IF(N11722="","",COUNTIFS(RawData[[Date ]],N11722,RawData[Month List],$Q$6,RawData[Tour/Site],$Q$2,RawData[[Picker ID ]],$Q$3,RawData[Checker ID],$Q$4,RawData[[Error Type ]],$Q$5))</f>
        <v/>
      </c>
    </row>
    <row r="11723" spans="15:15" x14ac:dyDescent="0.25">
      <c r="O11723" s="20" t="str">
        <f>IF(N11723="","",COUNTIFS(RawData[[Date ]],N11723,RawData[Month List],$Q$6,RawData[Tour/Site],$Q$2,RawData[[Picker ID ]],$Q$3,RawData[Checker ID],$Q$4,RawData[[Error Type ]],$Q$5))</f>
        <v/>
      </c>
    </row>
    <row r="11724" spans="15:15" x14ac:dyDescent="0.25">
      <c r="O11724" s="20" t="str">
        <f>IF(N11724="","",COUNTIFS(RawData[[Date ]],N11724,RawData[Month List],$Q$6,RawData[Tour/Site],$Q$2,RawData[[Picker ID ]],$Q$3,RawData[Checker ID],$Q$4,RawData[[Error Type ]],$Q$5))</f>
        <v/>
      </c>
    </row>
    <row r="11725" spans="15:15" x14ac:dyDescent="0.25">
      <c r="O11725" s="20" t="str">
        <f>IF(N11725="","",COUNTIFS(RawData[[Date ]],N11725,RawData[Month List],$Q$6,RawData[Tour/Site],$Q$2,RawData[[Picker ID ]],$Q$3,RawData[Checker ID],$Q$4,RawData[[Error Type ]],$Q$5))</f>
        <v/>
      </c>
    </row>
    <row r="11726" spans="15:15" x14ac:dyDescent="0.25">
      <c r="O11726" s="20" t="str">
        <f>IF(N11726="","",COUNTIFS(RawData[[Date ]],N11726,RawData[Month List],$Q$6,RawData[Tour/Site],$Q$2,RawData[[Picker ID ]],$Q$3,RawData[Checker ID],$Q$4,RawData[[Error Type ]],$Q$5))</f>
        <v/>
      </c>
    </row>
    <row r="11727" spans="15:15" x14ac:dyDescent="0.25">
      <c r="O11727" s="20" t="str">
        <f>IF(N11727="","",COUNTIFS(RawData[[Date ]],N11727,RawData[Month List],$Q$6,RawData[Tour/Site],$Q$2,RawData[[Picker ID ]],$Q$3,RawData[Checker ID],$Q$4,RawData[[Error Type ]],$Q$5))</f>
        <v/>
      </c>
    </row>
    <row r="11728" spans="15:15" x14ac:dyDescent="0.25">
      <c r="O11728" s="20" t="str">
        <f>IF(N11728="","",COUNTIFS(RawData[[Date ]],N11728,RawData[Month List],$Q$6,RawData[Tour/Site],$Q$2,RawData[[Picker ID ]],$Q$3,RawData[Checker ID],$Q$4,RawData[[Error Type ]],$Q$5))</f>
        <v/>
      </c>
    </row>
    <row r="11729" spans="15:15" x14ac:dyDescent="0.25">
      <c r="O11729" s="20" t="str">
        <f>IF(N11729="","",COUNTIFS(RawData[[Date ]],N11729,RawData[Month List],$Q$6,RawData[Tour/Site],$Q$2,RawData[[Picker ID ]],$Q$3,RawData[Checker ID],$Q$4,RawData[[Error Type ]],$Q$5))</f>
        <v/>
      </c>
    </row>
    <row r="11730" spans="15:15" x14ac:dyDescent="0.25">
      <c r="O11730" s="20" t="str">
        <f>IF(N11730="","",COUNTIFS(RawData[[Date ]],N11730,RawData[Month List],$Q$6,RawData[Tour/Site],$Q$2,RawData[[Picker ID ]],$Q$3,RawData[Checker ID],$Q$4,RawData[[Error Type ]],$Q$5))</f>
        <v/>
      </c>
    </row>
    <row r="11731" spans="15:15" x14ac:dyDescent="0.25">
      <c r="O11731" s="20" t="str">
        <f>IF(N11731="","",COUNTIFS(RawData[[Date ]],N11731,RawData[Month List],$Q$6,RawData[Tour/Site],$Q$2,RawData[[Picker ID ]],$Q$3,RawData[Checker ID],$Q$4,RawData[[Error Type ]],$Q$5))</f>
        <v/>
      </c>
    </row>
    <row r="11732" spans="15:15" x14ac:dyDescent="0.25">
      <c r="O11732" s="20" t="str">
        <f>IF(N11732="","",COUNTIFS(RawData[[Date ]],N11732,RawData[Month List],$Q$6,RawData[Tour/Site],$Q$2,RawData[[Picker ID ]],$Q$3,RawData[Checker ID],$Q$4,RawData[[Error Type ]],$Q$5))</f>
        <v/>
      </c>
    </row>
    <row r="11733" spans="15:15" x14ac:dyDescent="0.25">
      <c r="O11733" s="20" t="str">
        <f>IF(N11733="","",COUNTIFS(RawData[[Date ]],N11733,RawData[Month List],$Q$6,RawData[Tour/Site],$Q$2,RawData[[Picker ID ]],$Q$3,RawData[Checker ID],$Q$4,RawData[[Error Type ]],$Q$5))</f>
        <v/>
      </c>
    </row>
    <row r="11734" spans="15:15" x14ac:dyDescent="0.25">
      <c r="O11734" s="20" t="str">
        <f>IF(N11734="","",COUNTIFS(RawData[[Date ]],N11734,RawData[Month List],$Q$6,RawData[Tour/Site],$Q$2,RawData[[Picker ID ]],$Q$3,RawData[Checker ID],$Q$4,RawData[[Error Type ]],$Q$5))</f>
        <v/>
      </c>
    </row>
    <row r="11735" spans="15:15" x14ac:dyDescent="0.25">
      <c r="O11735" s="20" t="str">
        <f>IF(N11735="","",COUNTIFS(RawData[[Date ]],N11735,RawData[Month List],$Q$6,RawData[Tour/Site],$Q$2,RawData[[Picker ID ]],$Q$3,RawData[Checker ID],$Q$4,RawData[[Error Type ]],$Q$5))</f>
        <v/>
      </c>
    </row>
    <row r="11736" spans="15:15" x14ac:dyDescent="0.25">
      <c r="O11736" s="20" t="str">
        <f>IF(N11736="","",COUNTIFS(RawData[[Date ]],N11736,RawData[Month List],$Q$6,RawData[Tour/Site],$Q$2,RawData[[Picker ID ]],$Q$3,RawData[Checker ID],$Q$4,RawData[[Error Type ]],$Q$5))</f>
        <v/>
      </c>
    </row>
    <row r="11737" spans="15:15" x14ac:dyDescent="0.25">
      <c r="O11737" s="20" t="str">
        <f>IF(N11737="","",COUNTIFS(RawData[[Date ]],N11737,RawData[Month List],$Q$6,RawData[Tour/Site],$Q$2,RawData[[Picker ID ]],$Q$3,RawData[Checker ID],$Q$4,RawData[[Error Type ]],$Q$5))</f>
        <v/>
      </c>
    </row>
    <row r="11738" spans="15:15" x14ac:dyDescent="0.25">
      <c r="O11738" s="20" t="str">
        <f>IF(N11738="","",COUNTIFS(RawData[[Date ]],N11738,RawData[Month List],$Q$6,RawData[Tour/Site],$Q$2,RawData[[Picker ID ]],$Q$3,RawData[Checker ID],$Q$4,RawData[[Error Type ]],$Q$5))</f>
        <v/>
      </c>
    </row>
    <row r="11739" spans="15:15" x14ac:dyDescent="0.25">
      <c r="O11739" s="20" t="str">
        <f>IF(N11739="","",COUNTIFS(RawData[[Date ]],N11739,RawData[Month List],$Q$6,RawData[Tour/Site],$Q$2,RawData[[Picker ID ]],$Q$3,RawData[Checker ID],$Q$4,RawData[[Error Type ]],$Q$5))</f>
        <v/>
      </c>
    </row>
    <row r="11740" spans="15:15" x14ac:dyDescent="0.25">
      <c r="O11740" s="20" t="str">
        <f>IF(N11740="","",COUNTIFS(RawData[[Date ]],N11740,RawData[Month List],$Q$6,RawData[Tour/Site],$Q$2,RawData[[Picker ID ]],$Q$3,RawData[Checker ID],$Q$4,RawData[[Error Type ]],$Q$5))</f>
        <v/>
      </c>
    </row>
    <row r="11741" spans="15:15" x14ac:dyDescent="0.25">
      <c r="O11741" s="20" t="str">
        <f>IF(N11741="","",COUNTIFS(RawData[[Date ]],N11741,RawData[Month List],$Q$6,RawData[Tour/Site],$Q$2,RawData[[Picker ID ]],$Q$3,RawData[Checker ID],$Q$4,RawData[[Error Type ]],$Q$5))</f>
        <v/>
      </c>
    </row>
    <row r="11742" spans="15:15" x14ac:dyDescent="0.25">
      <c r="O11742" s="20" t="str">
        <f>IF(N11742="","",COUNTIFS(RawData[[Date ]],N11742,RawData[Month List],$Q$6,RawData[Tour/Site],$Q$2,RawData[[Picker ID ]],$Q$3,RawData[Checker ID],$Q$4,RawData[[Error Type ]],$Q$5))</f>
        <v/>
      </c>
    </row>
    <row r="11743" spans="15:15" x14ac:dyDescent="0.25">
      <c r="O11743" s="20" t="str">
        <f>IF(N11743="","",COUNTIFS(RawData[[Date ]],N11743,RawData[Month List],$Q$6,RawData[Tour/Site],$Q$2,RawData[[Picker ID ]],$Q$3,RawData[Checker ID],$Q$4,RawData[[Error Type ]],$Q$5))</f>
        <v/>
      </c>
    </row>
    <row r="11744" spans="15:15" x14ac:dyDescent="0.25">
      <c r="O11744" s="20" t="str">
        <f>IF(N11744="","",COUNTIFS(RawData[[Date ]],N11744,RawData[Month List],$Q$6,RawData[Tour/Site],$Q$2,RawData[[Picker ID ]],$Q$3,RawData[Checker ID],$Q$4,RawData[[Error Type ]],$Q$5))</f>
        <v/>
      </c>
    </row>
    <row r="11745" spans="15:15" x14ac:dyDescent="0.25">
      <c r="O11745" s="20" t="str">
        <f>IF(N11745="","",COUNTIFS(RawData[[Date ]],N11745,RawData[Month List],$Q$6,RawData[Tour/Site],$Q$2,RawData[[Picker ID ]],$Q$3,RawData[Checker ID],$Q$4,RawData[[Error Type ]],$Q$5))</f>
        <v/>
      </c>
    </row>
    <row r="11746" spans="15:15" x14ac:dyDescent="0.25">
      <c r="O11746" s="20" t="str">
        <f>IF(N11746="","",COUNTIFS(RawData[[Date ]],N11746,RawData[Month List],$Q$6,RawData[Tour/Site],$Q$2,RawData[[Picker ID ]],$Q$3,RawData[Checker ID],$Q$4,RawData[[Error Type ]],$Q$5))</f>
        <v/>
      </c>
    </row>
    <row r="11747" spans="15:15" x14ac:dyDescent="0.25">
      <c r="O11747" s="20" t="str">
        <f>IF(N11747="","",COUNTIFS(RawData[[Date ]],N11747,RawData[Month List],$Q$6,RawData[Tour/Site],$Q$2,RawData[[Picker ID ]],$Q$3,RawData[Checker ID],$Q$4,RawData[[Error Type ]],$Q$5))</f>
        <v/>
      </c>
    </row>
    <row r="11748" spans="15:15" x14ac:dyDescent="0.25">
      <c r="O11748" s="20" t="str">
        <f>IF(N11748="","",COUNTIFS(RawData[[Date ]],N11748,RawData[Month List],$Q$6,RawData[Tour/Site],$Q$2,RawData[[Picker ID ]],$Q$3,RawData[Checker ID],$Q$4,RawData[[Error Type ]],$Q$5))</f>
        <v/>
      </c>
    </row>
    <row r="11749" spans="15:15" x14ac:dyDescent="0.25">
      <c r="O11749" s="20" t="str">
        <f>IF(N11749="","",COUNTIFS(RawData[[Date ]],N11749,RawData[Month List],$Q$6,RawData[Tour/Site],$Q$2,RawData[[Picker ID ]],$Q$3,RawData[Checker ID],$Q$4,RawData[[Error Type ]],$Q$5))</f>
        <v/>
      </c>
    </row>
    <row r="11750" spans="15:15" x14ac:dyDescent="0.25">
      <c r="O11750" s="20" t="str">
        <f>IF(N11750="","",COUNTIFS(RawData[[Date ]],N11750,RawData[Month List],$Q$6,RawData[Tour/Site],$Q$2,RawData[[Picker ID ]],$Q$3,RawData[Checker ID],$Q$4,RawData[[Error Type ]],$Q$5))</f>
        <v/>
      </c>
    </row>
    <row r="11751" spans="15:15" x14ac:dyDescent="0.25">
      <c r="O11751" s="20" t="str">
        <f>IF(N11751="","",COUNTIFS(RawData[[Date ]],N11751,RawData[Month List],$Q$6,RawData[Tour/Site],$Q$2,RawData[[Picker ID ]],$Q$3,RawData[Checker ID],$Q$4,RawData[[Error Type ]],$Q$5))</f>
        <v/>
      </c>
    </row>
    <row r="11752" spans="15:15" x14ac:dyDescent="0.25">
      <c r="O11752" s="20" t="str">
        <f>IF(N11752="","",COUNTIFS(RawData[[Date ]],N11752,RawData[Month List],$Q$6,RawData[Tour/Site],$Q$2,RawData[[Picker ID ]],$Q$3,RawData[Checker ID],$Q$4,RawData[[Error Type ]],$Q$5))</f>
        <v/>
      </c>
    </row>
    <row r="11753" spans="15:15" x14ac:dyDescent="0.25">
      <c r="O11753" s="20" t="str">
        <f>IF(N11753="","",COUNTIFS(RawData[[Date ]],N11753,RawData[Month List],$Q$6,RawData[Tour/Site],$Q$2,RawData[[Picker ID ]],$Q$3,RawData[Checker ID],$Q$4,RawData[[Error Type ]],$Q$5))</f>
        <v/>
      </c>
    </row>
    <row r="11754" spans="15:15" x14ac:dyDescent="0.25">
      <c r="O11754" s="20" t="str">
        <f>IF(N11754="","",COUNTIFS(RawData[[Date ]],N11754,RawData[Month List],$Q$6,RawData[Tour/Site],$Q$2,RawData[[Picker ID ]],$Q$3,RawData[Checker ID],$Q$4,RawData[[Error Type ]],$Q$5))</f>
        <v/>
      </c>
    </row>
    <row r="11755" spans="15:15" x14ac:dyDescent="0.25">
      <c r="O11755" s="20" t="str">
        <f>IF(N11755="","",COUNTIFS(RawData[[Date ]],N11755,RawData[Month List],$Q$6,RawData[Tour/Site],$Q$2,RawData[[Picker ID ]],$Q$3,RawData[Checker ID],$Q$4,RawData[[Error Type ]],$Q$5))</f>
        <v/>
      </c>
    </row>
    <row r="11756" spans="15:15" x14ac:dyDescent="0.25">
      <c r="O11756" s="20" t="str">
        <f>IF(N11756="","",COUNTIFS(RawData[[Date ]],N11756,RawData[Month List],$Q$6,RawData[Tour/Site],$Q$2,RawData[[Picker ID ]],$Q$3,RawData[Checker ID],$Q$4,RawData[[Error Type ]],$Q$5))</f>
        <v/>
      </c>
    </row>
    <row r="11757" spans="15:15" x14ac:dyDescent="0.25">
      <c r="O11757" s="20" t="str">
        <f>IF(N11757="","",COUNTIFS(RawData[[Date ]],N11757,RawData[Month List],$Q$6,RawData[Tour/Site],$Q$2,RawData[[Picker ID ]],$Q$3,RawData[Checker ID],$Q$4,RawData[[Error Type ]],$Q$5))</f>
        <v/>
      </c>
    </row>
    <row r="11758" spans="15:15" x14ac:dyDescent="0.25">
      <c r="O11758" s="20" t="str">
        <f>IF(N11758="","",COUNTIFS(RawData[[Date ]],N11758,RawData[Month List],$Q$6,RawData[Tour/Site],$Q$2,RawData[[Picker ID ]],$Q$3,RawData[Checker ID],$Q$4,RawData[[Error Type ]],$Q$5))</f>
        <v/>
      </c>
    </row>
    <row r="11759" spans="15:15" x14ac:dyDescent="0.25">
      <c r="O11759" s="20" t="str">
        <f>IF(N11759="","",COUNTIFS(RawData[[Date ]],N11759,RawData[Month List],$Q$6,RawData[Tour/Site],$Q$2,RawData[[Picker ID ]],$Q$3,RawData[Checker ID],$Q$4,RawData[[Error Type ]],$Q$5))</f>
        <v/>
      </c>
    </row>
    <row r="11760" spans="15:15" x14ac:dyDescent="0.25">
      <c r="O11760" s="20" t="str">
        <f>IF(N11760="","",COUNTIFS(RawData[[Date ]],N11760,RawData[Month List],$Q$6,RawData[Tour/Site],$Q$2,RawData[[Picker ID ]],$Q$3,RawData[Checker ID],$Q$4,RawData[[Error Type ]],$Q$5))</f>
        <v/>
      </c>
    </row>
    <row r="11761" spans="15:15" x14ac:dyDescent="0.25">
      <c r="O11761" s="20" t="str">
        <f>IF(N11761="","",COUNTIFS(RawData[[Date ]],N11761,RawData[Month List],$Q$6,RawData[Tour/Site],$Q$2,RawData[[Picker ID ]],$Q$3,RawData[Checker ID],$Q$4,RawData[[Error Type ]],$Q$5))</f>
        <v/>
      </c>
    </row>
    <row r="11762" spans="15:15" x14ac:dyDescent="0.25">
      <c r="O11762" s="20" t="str">
        <f>IF(N11762="","",COUNTIFS(RawData[[Date ]],N11762,RawData[Month List],$Q$6,RawData[Tour/Site],$Q$2,RawData[[Picker ID ]],$Q$3,RawData[Checker ID],$Q$4,RawData[[Error Type ]],$Q$5))</f>
        <v/>
      </c>
    </row>
    <row r="11763" spans="15:15" x14ac:dyDescent="0.25">
      <c r="O11763" s="20" t="str">
        <f>IF(N11763="","",COUNTIFS(RawData[[Date ]],N11763,RawData[Month List],$Q$6,RawData[Tour/Site],$Q$2,RawData[[Picker ID ]],$Q$3,RawData[Checker ID],$Q$4,RawData[[Error Type ]],$Q$5))</f>
        <v/>
      </c>
    </row>
    <row r="11764" spans="15:15" x14ac:dyDescent="0.25">
      <c r="O11764" s="20" t="str">
        <f>IF(N11764="","",COUNTIFS(RawData[[Date ]],N11764,RawData[Month List],$Q$6,RawData[Tour/Site],$Q$2,RawData[[Picker ID ]],$Q$3,RawData[Checker ID],$Q$4,RawData[[Error Type ]],$Q$5))</f>
        <v/>
      </c>
    </row>
    <row r="11765" spans="15:15" x14ac:dyDescent="0.25">
      <c r="O11765" s="20" t="str">
        <f>IF(N11765="","",COUNTIFS(RawData[[Date ]],N11765,RawData[Month List],$Q$6,RawData[Tour/Site],$Q$2,RawData[[Picker ID ]],$Q$3,RawData[Checker ID],$Q$4,RawData[[Error Type ]],$Q$5))</f>
        <v/>
      </c>
    </row>
    <row r="11766" spans="15:15" x14ac:dyDescent="0.25">
      <c r="O11766" s="20" t="str">
        <f>IF(N11766="","",COUNTIFS(RawData[[Date ]],N11766,RawData[Month List],$Q$6,RawData[Tour/Site],$Q$2,RawData[[Picker ID ]],$Q$3,RawData[Checker ID],$Q$4,RawData[[Error Type ]],$Q$5))</f>
        <v/>
      </c>
    </row>
    <row r="11767" spans="15:15" x14ac:dyDescent="0.25">
      <c r="O11767" s="20" t="str">
        <f>IF(N11767="","",COUNTIFS(RawData[[Date ]],N11767,RawData[Month List],$Q$6,RawData[Tour/Site],$Q$2,RawData[[Picker ID ]],$Q$3,RawData[Checker ID],$Q$4,RawData[[Error Type ]],$Q$5))</f>
        <v/>
      </c>
    </row>
    <row r="11768" spans="15:15" x14ac:dyDescent="0.25">
      <c r="O11768" s="20" t="str">
        <f>IF(N11768="","",COUNTIFS(RawData[[Date ]],N11768,RawData[Month List],$Q$6,RawData[Tour/Site],$Q$2,RawData[[Picker ID ]],$Q$3,RawData[Checker ID],$Q$4,RawData[[Error Type ]],$Q$5))</f>
        <v/>
      </c>
    </row>
    <row r="11769" spans="15:15" x14ac:dyDescent="0.25">
      <c r="O11769" s="20" t="str">
        <f>IF(N11769="","",COUNTIFS(RawData[[Date ]],N11769,RawData[Month List],$Q$6,RawData[Tour/Site],$Q$2,RawData[[Picker ID ]],$Q$3,RawData[Checker ID],$Q$4,RawData[[Error Type ]],$Q$5))</f>
        <v/>
      </c>
    </row>
    <row r="11770" spans="15:15" x14ac:dyDescent="0.25">
      <c r="O11770" s="20" t="str">
        <f>IF(N11770="","",COUNTIFS(RawData[[Date ]],N11770,RawData[Month List],$Q$6,RawData[Tour/Site],$Q$2,RawData[[Picker ID ]],$Q$3,RawData[Checker ID],$Q$4,RawData[[Error Type ]],$Q$5))</f>
        <v/>
      </c>
    </row>
    <row r="11771" spans="15:15" x14ac:dyDescent="0.25">
      <c r="O11771" s="20" t="str">
        <f>IF(N11771="","",COUNTIFS(RawData[[Date ]],N11771,RawData[Month List],$Q$6,RawData[Tour/Site],$Q$2,RawData[[Picker ID ]],$Q$3,RawData[Checker ID],$Q$4,RawData[[Error Type ]],$Q$5))</f>
        <v/>
      </c>
    </row>
    <row r="11772" spans="15:15" x14ac:dyDescent="0.25">
      <c r="O11772" s="20" t="str">
        <f>IF(N11772="","",COUNTIFS(RawData[[Date ]],N11772,RawData[Month List],$Q$6,RawData[Tour/Site],$Q$2,RawData[[Picker ID ]],$Q$3,RawData[Checker ID],$Q$4,RawData[[Error Type ]],$Q$5))</f>
        <v/>
      </c>
    </row>
    <row r="11773" spans="15:15" x14ac:dyDescent="0.25">
      <c r="O11773" s="20" t="str">
        <f>IF(N11773="","",COUNTIFS(RawData[[Date ]],N11773,RawData[Month List],$Q$6,RawData[Tour/Site],$Q$2,RawData[[Picker ID ]],$Q$3,RawData[Checker ID],$Q$4,RawData[[Error Type ]],$Q$5))</f>
        <v/>
      </c>
    </row>
    <row r="11774" spans="15:15" x14ac:dyDescent="0.25">
      <c r="O11774" s="20" t="str">
        <f>IF(N11774="","",COUNTIFS(RawData[[Date ]],N11774,RawData[Month List],$Q$6,RawData[Tour/Site],$Q$2,RawData[[Picker ID ]],$Q$3,RawData[Checker ID],$Q$4,RawData[[Error Type ]],$Q$5))</f>
        <v/>
      </c>
    </row>
    <row r="11775" spans="15:15" x14ac:dyDescent="0.25">
      <c r="O11775" s="20" t="str">
        <f>IF(N11775="","",COUNTIFS(RawData[[Date ]],N11775,RawData[Month List],$Q$6,RawData[Tour/Site],$Q$2,RawData[[Picker ID ]],$Q$3,RawData[Checker ID],$Q$4,RawData[[Error Type ]],$Q$5))</f>
        <v/>
      </c>
    </row>
    <row r="11776" spans="15:15" x14ac:dyDescent="0.25">
      <c r="O11776" s="20" t="str">
        <f>IF(N11776="","",COUNTIFS(RawData[[Date ]],N11776,RawData[Month List],$Q$6,RawData[Tour/Site],$Q$2,RawData[[Picker ID ]],$Q$3,RawData[Checker ID],$Q$4,RawData[[Error Type ]],$Q$5))</f>
        <v/>
      </c>
    </row>
    <row r="11777" spans="15:15" x14ac:dyDescent="0.25">
      <c r="O11777" s="20" t="str">
        <f>IF(N11777="","",COUNTIFS(RawData[[Date ]],N11777,RawData[Month List],$Q$6,RawData[Tour/Site],$Q$2,RawData[[Picker ID ]],$Q$3,RawData[Checker ID],$Q$4,RawData[[Error Type ]],$Q$5))</f>
        <v/>
      </c>
    </row>
    <row r="11778" spans="15:15" x14ac:dyDescent="0.25">
      <c r="O11778" s="20" t="str">
        <f>IF(N11778="","",COUNTIFS(RawData[[Date ]],N11778,RawData[Month List],$Q$6,RawData[Tour/Site],$Q$2,RawData[[Picker ID ]],$Q$3,RawData[Checker ID],$Q$4,RawData[[Error Type ]],$Q$5))</f>
        <v/>
      </c>
    </row>
    <row r="11779" spans="15:15" x14ac:dyDescent="0.25">
      <c r="O11779" s="20" t="str">
        <f>IF(N11779="","",COUNTIFS(RawData[[Date ]],N11779,RawData[Month List],$Q$6,RawData[Tour/Site],$Q$2,RawData[[Picker ID ]],$Q$3,RawData[Checker ID],$Q$4,RawData[[Error Type ]],$Q$5))</f>
        <v/>
      </c>
    </row>
    <row r="11780" spans="15:15" x14ac:dyDescent="0.25">
      <c r="O11780" s="20" t="str">
        <f>IF(N11780="","",COUNTIFS(RawData[[Date ]],N11780,RawData[Month List],$Q$6,RawData[Tour/Site],$Q$2,RawData[[Picker ID ]],$Q$3,RawData[Checker ID],$Q$4,RawData[[Error Type ]],$Q$5))</f>
        <v/>
      </c>
    </row>
    <row r="11781" spans="15:15" x14ac:dyDescent="0.25">
      <c r="O11781" s="20" t="str">
        <f>IF(N11781="","",COUNTIFS(RawData[[Date ]],N11781,RawData[Month List],$Q$6,RawData[Tour/Site],$Q$2,RawData[[Picker ID ]],$Q$3,RawData[Checker ID],$Q$4,RawData[[Error Type ]],$Q$5))</f>
        <v/>
      </c>
    </row>
    <row r="11782" spans="15:15" x14ac:dyDescent="0.25">
      <c r="O11782" s="20" t="str">
        <f>IF(N11782="","",COUNTIFS(RawData[[Date ]],N11782,RawData[Month List],$Q$6,RawData[Tour/Site],$Q$2,RawData[[Picker ID ]],$Q$3,RawData[Checker ID],$Q$4,RawData[[Error Type ]],$Q$5))</f>
        <v/>
      </c>
    </row>
    <row r="11783" spans="15:15" x14ac:dyDescent="0.25">
      <c r="O11783" s="20" t="str">
        <f>IF(N11783="","",COUNTIFS(RawData[[Date ]],N11783,RawData[Month List],$Q$6,RawData[Tour/Site],$Q$2,RawData[[Picker ID ]],$Q$3,RawData[Checker ID],$Q$4,RawData[[Error Type ]],$Q$5))</f>
        <v/>
      </c>
    </row>
    <row r="11784" spans="15:15" x14ac:dyDescent="0.25">
      <c r="O11784" s="20" t="str">
        <f>IF(N11784="","",COUNTIFS(RawData[[Date ]],N11784,RawData[Month List],$Q$6,RawData[Tour/Site],$Q$2,RawData[[Picker ID ]],$Q$3,RawData[Checker ID],$Q$4,RawData[[Error Type ]],$Q$5))</f>
        <v/>
      </c>
    </row>
    <row r="11785" spans="15:15" x14ac:dyDescent="0.25">
      <c r="O11785" s="20" t="str">
        <f>IF(N11785="","",COUNTIFS(RawData[[Date ]],N11785,RawData[Month List],$Q$6,RawData[Tour/Site],$Q$2,RawData[[Picker ID ]],$Q$3,RawData[Checker ID],$Q$4,RawData[[Error Type ]],$Q$5))</f>
        <v/>
      </c>
    </row>
    <row r="11786" spans="15:15" x14ac:dyDescent="0.25">
      <c r="O11786" s="20" t="str">
        <f>IF(N11786="","",COUNTIFS(RawData[[Date ]],N11786,RawData[Month List],$Q$6,RawData[Tour/Site],$Q$2,RawData[[Picker ID ]],$Q$3,RawData[Checker ID],$Q$4,RawData[[Error Type ]],$Q$5))</f>
        <v/>
      </c>
    </row>
    <row r="11787" spans="15:15" x14ac:dyDescent="0.25">
      <c r="O11787" s="20" t="str">
        <f>IF(N11787="","",COUNTIFS(RawData[[Date ]],N11787,RawData[Month List],$Q$6,RawData[Tour/Site],$Q$2,RawData[[Picker ID ]],$Q$3,RawData[Checker ID],$Q$4,RawData[[Error Type ]],$Q$5))</f>
        <v/>
      </c>
    </row>
    <row r="11788" spans="15:15" x14ac:dyDescent="0.25">
      <c r="O11788" s="20" t="str">
        <f>IF(N11788="","",COUNTIFS(RawData[[Date ]],N11788,RawData[Month List],$Q$6,RawData[Tour/Site],$Q$2,RawData[[Picker ID ]],$Q$3,RawData[Checker ID],$Q$4,RawData[[Error Type ]],$Q$5))</f>
        <v/>
      </c>
    </row>
    <row r="11789" spans="15:15" x14ac:dyDescent="0.25">
      <c r="O11789" s="20" t="str">
        <f>IF(N11789="","",COUNTIFS(RawData[[Date ]],N11789,RawData[Month List],$Q$6,RawData[Tour/Site],$Q$2,RawData[[Picker ID ]],$Q$3,RawData[Checker ID],$Q$4,RawData[[Error Type ]],$Q$5))</f>
        <v/>
      </c>
    </row>
    <row r="11790" spans="15:15" x14ac:dyDescent="0.25">
      <c r="O11790" s="20" t="str">
        <f>IF(N11790="","",COUNTIFS(RawData[[Date ]],N11790,RawData[Month List],$Q$6,RawData[Tour/Site],$Q$2,RawData[[Picker ID ]],$Q$3,RawData[Checker ID],$Q$4,RawData[[Error Type ]],$Q$5))</f>
        <v/>
      </c>
    </row>
    <row r="11791" spans="15:15" x14ac:dyDescent="0.25">
      <c r="O11791" s="20" t="str">
        <f>IF(N11791="","",COUNTIFS(RawData[[Date ]],N11791,RawData[Month List],$Q$6,RawData[Tour/Site],$Q$2,RawData[[Picker ID ]],$Q$3,RawData[Checker ID],$Q$4,RawData[[Error Type ]],$Q$5))</f>
        <v/>
      </c>
    </row>
    <row r="11792" spans="15:15" x14ac:dyDescent="0.25">
      <c r="O11792" s="20" t="str">
        <f>IF(N11792="","",COUNTIFS(RawData[[Date ]],N11792,RawData[Month List],$Q$6,RawData[Tour/Site],$Q$2,RawData[[Picker ID ]],$Q$3,RawData[Checker ID],$Q$4,RawData[[Error Type ]],$Q$5))</f>
        <v/>
      </c>
    </row>
    <row r="11793" spans="15:15" x14ac:dyDescent="0.25">
      <c r="O11793" s="20" t="str">
        <f>IF(N11793="","",COUNTIFS(RawData[[Date ]],N11793,RawData[Month List],$Q$6,RawData[Tour/Site],$Q$2,RawData[[Picker ID ]],$Q$3,RawData[Checker ID],$Q$4,RawData[[Error Type ]],$Q$5))</f>
        <v/>
      </c>
    </row>
    <row r="11794" spans="15:15" x14ac:dyDescent="0.25">
      <c r="O11794" s="20" t="str">
        <f>IF(N11794="","",COUNTIFS(RawData[[Date ]],N11794,RawData[Month List],$Q$6,RawData[Tour/Site],$Q$2,RawData[[Picker ID ]],$Q$3,RawData[Checker ID],$Q$4,RawData[[Error Type ]],$Q$5))</f>
        <v/>
      </c>
    </row>
    <row r="11795" spans="15:15" x14ac:dyDescent="0.25">
      <c r="O11795" s="20" t="str">
        <f>IF(N11795="","",COUNTIFS(RawData[[Date ]],N11795,RawData[Month List],$Q$6,RawData[Tour/Site],$Q$2,RawData[[Picker ID ]],$Q$3,RawData[Checker ID],$Q$4,RawData[[Error Type ]],$Q$5))</f>
        <v/>
      </c>
    </row>
    <row r="11796" spans="15:15" x14ac:dyDescent="0.25">
      <c r="O11796" s="20" t="str">
        <f>IF(N11796="","",COUNTIFS(RawData[[Date ]],N11796,RawData[Month List],$Q$6,RawData[Tour/Site],$Q$2,RawData[[Picker ID ]],$Q$3,RawData[Checker ID],$Q$4,RawData[[Error Type ]],$Q$5))</f>
        <v/>
      </c>
    </row>
    <row r="11797" spans="15:15" x14ac:dyDescent="0.25">
      <c r="O11797" s="20" t="str">
        <f>IF(N11797="","",COUNTIFS(RawData[[Date ]],N11797,RawData[Month List],$Q$6,RawData[Tour/Site],$Q$2,RawData[[Picker ID ]],$Q$3,RawData[Checker ID],$Q$4,RawData[[Error Type ]],$Q$5))</f>
        <v/>
      </c>
    </row>
    <row r="11798" spans="15:15" x14ac:dyDescent="0.25">
      <c r="O11798" s="20" t="str">
        <f>IF(N11798="","",COUNTIFS(RawData[[Date ]],N11798,RawData[Month List],$Q$6,RawData[Tour/Site],$Q$2,RawData[[Picker ID ]],$Q$3,RawData[Checker ID],$Q$4,RawData[[Error Type ]],$Q$5))</f>
        <v/>
      </c>
    </row>
    <row r="11799" spans="15:15" x14ac:dyDescent="0.25">
      <c r="O11799" s="20" t="str">
        <f>IF(N11799="","",COUNTIFS(RawData[[Date ]],N11799,RawData[Month List],$Q$6,RawData[Tour/Site],$Q$2,RawData[[Picker ID ]],$Q$3,RawData[Checker ID],$Q$4,RawData[[Error Type ]],$Q$5))</f>
        <v/>
      </c>
    </row>
    <row r="11800" spans="15:15" x14ac:dyDescent="0.25">
      <c r="O11800" s="20" t="str">
        <f>IF(N11800="","",COUNTIFS(RawData[[Date ]],N11800,RawData[Month List],$Q$6,RawData[Tour/Site],$Q$2,RawData[[Picker ID ]],$Q$3,RawData[Checker ID],$Q$4,RawData[[Error Type ]],$Q$5))</f>
        <v/>
      </c>
    </row>
    <row r="11801" spans="15:15" x14ac:dyDescent="0.25">
      <c r="O11801" s="20" t="str">
        <f>IF(N11801="","",COUNTIFS(RawData[[Date ]],N11801,RawData[Month List],$Q$6,RawData[Tour/Site],$Q$2,RawData[[Picker ID ]],$Q$3,RawData[Checker ID],$Q$4,RawData[[Error Type ]],$Q$5))</f>
        <v/>
      </c>
    </row>
    <row r="11802" spans="15:15" x14ac:dyDescent="0.25">
      <c r="O11802" s="20" t="str">
        <f>IF(N11802="","",COUNTIFS(RawData[[Date ]],N11802,RawData[Month List],$Q$6,RawData[Tour/Site],$Q$2,RawData[[Picker ID ]],$Q$3,RawData[Checker ID],$Q$4,RawData[[Error Type ]],$Q$5))</f>
        <v/>
      </c>
    </row>
    <row r="11803" spans="15:15" x14ac:dyDescent="0.25">
      <c r="O11803" s="20" t="str">
        <f>IF(N11803="","",COUNTIFS(RawData[[Date ]],N11803,RawData[Month List],$Q$6,RawData[Tour/Site],$Q$2,RawData[[Picker ID ]],$Q$3,RawData[Checker ID],$Q$4,RawData[[Error Type ]],$Q$5))</f>
        <v/>
      </c>
    </row>
    <row r="11804" spans="15:15" x14ac:dyDescent="0.25">
      <c r="O11804" s="20" t="str">
        <f>IF(N11804="","",COUNTIFS(RawData[[Date ]],N11804,RawData[Month List],$Q$6,RawData[Tour/Site],$Q$2,RawData[[Picker ID ]],$Q$3,RawData[Checker ID],$Q$4,RawData[[Error Type ]],$Q$5))</f>
        <v/>
      </c>
    </row>
    <row r="11805" spans="15:15" x14ac:dyDescent="0.25">
      <c r="O11805" s="20" t="str">
        <f>IF(N11805="","",COUNTIFS(RawData[[Date ]],N11805,RawData[Month List],$Q$6,RawData[Tour/Site],$Q$2,RawData[[Picker ID ]],$Q$3,RawData[Checker ID],$Q$4,RawData[[Error Type ]],$Q$5))</f>
        <v/>
      </c>
    </row>
    <row r="11806" spans="15:15" x14ac:dyDescent="0.25">
      <c r="O11806" s="20" t="str">
        <f>IF(N11806="","",COUNTIFS(RawData[[Date ]],N11806,RawData[Month List],$Q$6,RawData[Tour/Site],$Q$2,RawData[[Picker ID ]],$Q$3,RawData[Checker ID],$Q$4,RawData[[Error Type ]],$Q$5))</f>
        <v/>
      </c>
    </row>
    <row r="11807" spans="15:15" x14ac:dyDescent="0.25">
      <c r="O11807" s="20" t="str">
        <f>IF(N11807="","",COUNTIFS(RawData[[Date ]],N11807,RawData[Month List],$Q$6,RawData[Tour/Site],$Q$2,RawData[[Picker ID ]],$Q$3,RawData[Checker ID],$Q$4,RawData[[Error Type ]],$Q$5))</f>
        <v/>
      </c>
    </row>
    <row r="11808" spans="15:15" x14ac:dyDescent="0.25">
      <c r="O11808" s="20" t="str">
        <f>IF(N11808="","",COUNTIFS(RawData[[Date ]],N11808,RawData[Month List],$Q$6,RawData[Tour/Site],$Q$2,RawData[[Picker ID ]],$Q$3,RawData[Checker ID],$Q$4,RawData[[Error Type ]],$Q$5))</f>
        <v/>
      </c>
    </row>
    <row r="11809" spans="15:15" x14ac:dyDescent="0.25">
      <c r="O11809" s="20" t="str">
        <f>IF(N11809="","",COUNTIFS(RawData[[Date ]],N11809,RawData[Month List],$Q$6,RawData[Tour/Site],$Q$2,RawData[[Picker ID ]],$Q$3,RawData[Checker ID],$Q$4,RawData[[Error Type ]],$Q$5))</f>
        <v/>
      </c>
    </row>
    <row r="11810" spans="15:15" x14ac:dyDescent="0.25">
      <c r="O11810" s="20" t="str">
        <f>IF(N11810="","",COUNTIFS(RawData[[Date ]],N11810,RawData[Month List],$Q$6,RawData[Tour/Site],$Q$2,RawData[[Picker ID ]],$Q$3,RawData[Checker ID],$Q$4,RawData[[Error Type ]],$Q$5))</f>
        <v/>
      </c>
    </row>
    <row r="11811" spans="15:15" x14ac:dyDescent="0.25">
      <c r="O11811" s="20" t="str">
        <f>IF(N11811="","",COUNTIFS(RawData[[Date ]],N11811,RawData[Month List],$Q$6,RawData[Tour/Site],$Q$2,RawData[[Picker ID ]],$Q$3,RawData[Checker ID],$Q$4,RawData[[Error Type ]],$Q$5))</f>
        <v/>
      </c>
    </row>
    <row r="11812" spans="15:15" x14ac:dyDescent="0.25">
      <c r="O11812" s="20" t="str">
        <f>IF(N11812="","",COUNTIFS(RawData[[Date ]],N11812,RawData[Month List],$Q$6,RawData[Tour/Site],$Q$2,RawData[[Picker ID ]],$Q$3,RawData[Checker ID],$Q$4,RawData[[Error Type ]],$Q$5))</f>
        <v/>
      </c>
    </row>
    <row r="11813" spans="15:15" x14ac:dyDescent="0.25">
      <c r="O11813" s="20" t="str">
        <f>IF(N11813="","",COUNTIFS(RawData[[Date ]],N11813,RawData[Month List],$Q$6,RawData[Tour/Site],$Q$2,RawData[[Picker ID ]],$Q$3,RawData[Checker ID],$Q$4,RawData[[Error Type ]],$Q$5))</f>
        <v/>
      </c>
    </row>
    <row r="11814" spans="15:15" x14ac:dyDescent="0.25">
      <c r="O11814" s="20" t="str">
        <f>IF(N11814="","",COUNTIFS(RawData[[Date ]],N11814,RawData[Month List],$Q$6,RawData[Tour/Site],$Q$2,RawData[[Picker ID ]],$Q$3,RawData[Checker ID],$Q$4,RawData[[Error Type ]],$Q$5))</f>
        <v/>
      </c>
    </row>
    <row r="11815" spans="15:15" x14ac:dyDescent="0.25">
      <c r="O11815" s="20" t="str">
        <f>IF(N11815="","",COUNTIFS(RawData[[Date ]],N11815,RawData[Month List],$Q$6,RawData[Tour/Site],$Q$2,RawData[[Picker ID ]],$Q$3,RawData[Checker ID],$Q$4,RawData[[Error Type ]],$Q$5))</f>
        <v/>
      </c>
    </row>
    <row r="11816" spans="15:15" x14ac:dyDescent="0.25">
      <c r="O11816" s="20" t="str">
        <f>IF(N11816="","",COUNTIFS(RawData[[Date ]],N11816,RawData[Month List],$Q$6,RawData[Tour/Site],$Q$2,RawData[[Picker ID ]],$Q$3,RawData[Checker ID],$Q$4,RawData[[Error Type ]],$Q$5))</f>
        <v/>
      </c>
    </row>
    <row r="11817" spans="15:15" x14ac:dyDescent="0.25">
      <c r="O11817" s="20" t="str">
        <f>IF(N11817="","",COUNTIFS(RawData[[Date ]],N11817,RawData[Month List],$Q$6,RawData[Tour/Site],$Q$2,RawData[[Picker ID ]],$Q$3,RawData[Checker ID],$Q$4,RawData[[Error Type ]],$Q$5))</f>
        <v/>
      </c>
    </row>
    <row r="11818" spans="15:15" x14ac:dyDescent="0.25">
      <c r="O11818" s="20" t="str">
        <f>IF(N11818="","",COUNTIFS(RawData[[Date ]],N11818,RawData[Month List],$Q$6,RawData[Tour/Site],$Q$2,RawData[[Picker ID ]],$Q$3,RawData[Checker ID],$Q$4,RawData[[Error Type ]],$Q$5))</f>
        <v/>
      </c>
    </row>
    <row r="11819" spans="15:15" x14ac:dyDescent="0.25">
      <c r="O11819" s="20" t="str">
        <f>IF(N11819="","",COUNTIFS(RawData[[Date ]],N11819,RawData[Month List],$Q$6,RawData[Tour/Site],$Q$2,RawData[[Picker ID ]],$Q$3,RawData[Checker ID],$Q$4,RawData[[Error Type ]],$Q$5))</f>
        <v/>
      </c>
    </row>
    <row r="11820" spans="15:15" x14ac:dyDescent="0.25">
      <c r="O11820" s="20" t="str">
        <f>IF(N11820="","",COUNTIFS(RawData[[Date ]],N11820,RawData[Month List],$Q$6,RawData[Tour/Site],$Q$2,RawData[[Picker ID ]],$Q$3,RawData[Checker ID],$Q$4,RawData[[Error Type ]],$Q$5))</f>
        <v/>
      </c>
    </row>
    <row r="11821" spans="15:15" x14ac:dyDescent="0.25">
      <c r="O11821" s="20" t="str">
        <f>IF(N11821="","",COUNTIFS(RawData[[Date ]],N11821,RawData[Month List],$Q$6,RawData[Tour/Site],$Q$2,RawData[[Picker ID ]],$Q$3,RawData[Checker ID],$Q$4,RawData[[Error Type ]],$Q$5))</f>
        <v/>
      </c>
    </row>
    <row r="11822" spans="15:15" x14ac:dyDescent="0.25">
      <c r="O11822" s="20" t="str">
        <f>IF(N11822="","",COUNTIFS(RawData[[Date ]],N11822,RawData[Month List],$Q$6,RawData[Tour/Site],$Q$2,RawData[[Picker ID ]],$Q$3,RawData[Checker ID],$Q$4,RawData[[Error Type ]],$Q$5))</f>
        <v/>
      </c>
    </row>
    <row r="11823" spans="15:15" x14ac:dyDescent="0.25">
      <c r="O11823" s="20" t="str">
        <f>IF(N11823="","",COUNTIFS(RawData[[Date ]],N11823,RawData[Month List],$Q$6,RawData[Tour/Site],$Q$2,RawData[[Picker ID ]],$Q$3,RawData[Checker ID],$Q$4,RawData[[Error Type ]],$Q$5))</f>
        <v/>
      </c>
    </row>
    <row r="11824" spans="15:15" x14ac:dyDescent="0.25">
      <c r="O11824" s="20" t="str">
        <f>IF(N11824="","",COUNTIFS(RawData[[Date ]],N11824,RawData[Month List],$Q$6,RawData[Tour/Site],$Q$2,RawData[[Picker ID ]],$Q$3,RawData[Checker ID],$Q$4,RawData[[Error Type ]],$Q$5))</f>
        <v/>
      </c>
    </row>
    <row r="11825" spans="15:15" x14ac:dyDescent="0.25">
      <c r="O11825" s="20" t="str">
        <f>IF(N11825="","",COUNTIFS(RawData[[Date ]],N11825,RawData[Month List],$Q$6,RawData[Tour/Site],$Q$2,RawData[[Picker ID ]],$Q$3,RawData[Checker ID],$Q$4,RawData[[Error Type ]],$Q$5))</f>
        <v/>
      </c>
    </row>
    <row r="11826" spans="15:15" x14ac:dyDescent="0.25">
      <c r="O11826" s="20" t="str">
        <f>IF(N11826="","",COUNTIFS(RawData[[Date ]],N11826,RawData[Month List],$Q$6,RawData[Tour/Site],$Q$2,RawData[[Picker ID ]],$Q$3,RawData[Checker ID],$Q$4,RawData[[Error Type ]],$Q$5))</f>
        <v/>
      </c>
    </row>
    <row r="11827" spans="15:15" x14ac:dyDescent="0.25">
      <c r="O11827" s="20" t="str">
        <f>IF(N11827="","",COUNTIFS(RawData[[Date ]],N11827,RawData[Month List],$Q$6,RawData[Tour/Site],$Q$2,RawData[[Picker ID ]],$Q$3,RawData[Checker ID],$Q$4,RawData[[Error Type ]],$Q$5))</f>
        <v/>
      </c>
    </row>
    <row r="11828" spans="15:15" x14ac:dyDescent="0.25">
      <c r="O11828" s="20" t="str">
        <f>IF(N11828="","",COUNTIFS(RawData[[Date ]],N11828,RawData[Month List],$Q$6,RawData[Tour/Site],$Q$2,RawData[[Picker ID ]],$Q$3,RawData[Checker ID],$Q$4,RawData[[Error Type ]],$Q$5))</f>
        <v/>
      </c>
    </row>
    <row r="11829" spans="15:15" x14ac:dyDescent="0.25">
      <c r="O11829" s="20" t="str">
        <f>IF(N11829="","",COUNTIFS(RawData[[Date ]],N11829,RawData[Month List],$Q$6,RawData[Tour/Site],$Q$2,RawData[[Picker ID ]],$Q$3,RawData[Checker ID],$Q$4,RawData[[Error Type ]],$Q$5))</f>
        <v/>
      </c>
    </row>
    <row r="11830" spans="15:15" x14ac:dyDescent="0.25">
      <c r="O11830" s="20" t="str">
        <f>IF(N11830="","",COUNTIFS(RawData[[Date ]],N11830,RawData[Month List],$Q$6,RawData[Tour/Site],$Q$2,RawData[[Picker ID ]],$Q$3,RawData[Checker ID],$Q$4,RawData[[Error Type ]],$Q$5))</f>
        <v/>
      </c>
    </row>
    <row r="11831" spans="15:15" x14ac:dyDescent="0.25">
      <c r="O11831" s="20" t="str">
        <f>IF(N11831="","",COUNTIFS(RawData[[Date ]],N11831,RawData[Month List],$Q$6,RawData[Tour/Site],$Q$2,RawData[[Picker ID ]],$Q$3,RawData[Checker ID],$Q$4,RawData[[Error Type ]],$Q$5))</f>
        <v/>
      </c>
    </row>
    <row r="11832" spans="15:15" x14ac:dyDescent="0.25">
      <c r="O11832" s="20" t="str">
        <f>IF(N11832="","",COUNTIFS(RawData[[Date ]],N11832,RawData[Month List],$Q$6,RawData[Tour/Site],$Q$2,RawData[[Picker ID ]],$Q$3,RawData[Checker ID],$Q$4,RawData[[Error Type ]],$Q$5))</f>
        <v/>
      </c>
    </row>
    <row r="11833" spans="15:15" x14ac:dyDescent="0.25">
      <c r="O11833" s="20" t="str">
        <f>IF(N11833="","",COUNTIFS(RawData[[Date ]],N11833,RawData[Month List],$Q$6,RawData[Tour/Site],$Q$2,RawData[[Picker ID ]],$Q$3,RawData[Checker ID],$Q$4,RawData[[Error Type ]],$Q$5))</f>
        <v/>
      </c>
    </row>
    <row r="11834" spans="15:15" x14ac:dyDescent="0.25">
      <c r="O11834" s="20" t="str">
        <f>IF(N11834="","",COUNTIFS(RawData[[Date ]],N11834,RawData[Month List],$Q$6,RawData[Tour/Site],$Q$2,RawData[[Picker ID ]],$Q$3,RawData[Checker ID],$Q$4,RawData[[Error Type ]],$Q$5))</f>
        <v/>
      </c>
    </row>
    <row r="11835" spans="15:15" x14ac:dyDescent="0.25">
      <c r="O11835" s="20" t="str">
        <f>IF(N11835="","",COUNTIFS(RawData[[Date ]],N11835,RawData[Month List],$Q$6,RawData[Tour/Site],$Q$2,RawData[[Picker ID ]],$Q$3,RawData[Checker ID],$Q$4,RawData[[Error Type ]],$Q$5))</f>
        <v/>
      </c>
    </row>
    <row r="11836" spans="15:15" x14ac:dyDescent="0.25">
      <c r="O11836" s="20" t="str">
        <f>IF(N11836="","",COUNTIFS(RawData[[Date ]],N11836,RawData[Month List],$Q$6,RawData[Tour/Site],$Q$2,RawData[[Picker ID ]],$Q$3,RawData[Checker ID],$Q$4,RawData[[Error Type ]],$Q$5))</f>
        <v/>
      </c>
    </row>
    <row r="11837" spans="15:15" x14ac:dyDescent="0.25">
      <c r="O11837" s="20" t="str">
        <f>IF(N11837="","",COUNTIFS(RawData[[Date ]],N11837,RawData[Month List],$Q$6,RawData[Tour/Site],$Q$2,RawData[[Picker ID ]],$Q$3,RawData[Checker ID],$Q$4,RawData[[Error Type ]],$Q$5))</f>
        <v/>
      </c>
    </row>
    <row r="11838" spans="15:15" x14ac:dyDescent="0.25">
      <c r="O11838" s="20" t="str">
        <f>IF(N11838="","",COUNTIFS(RawData[[Date ]],N11838,RawData[Month List],$Q$6,RawData[Tour/Site],$Q$2,RawData[[Picker ID ]],$Q$3,RawData[Checker ID],$Q$4,RawData[[Error Type ]],$Q$5))</f>
        <v/>
      </c>
    </row>
    <row r="11839" spans="15:15" x14ac:dyDescent="0.25">
      <c r="O11839" s="20" t="str">
        <f>IF(N11839="","",COUNTIFS(RawData[[Date ]],N11839,RawData[Month List],$Q$6,RawData[Tour/Site],$Q$2,RawData[[Picker ID ]],$Q$3,RawData[Checker ID],$Q$4,RawData[[Error Type ]],$Q$5))</f>
        <v/>
      </c>
    </row>
    <row r="11840" spans="15:15" x14ac:dyDescent="0.25">
      <c r="O11840" s="20" t="str">
        <f>IF(N11840="","",COUNTIFS(RawData[[Date ]],N11840,RawData[Month List],$Q$6,RawData[Tour/Site],$Q$2,RawData[[Picker ID ]],$Q$3,RawData[Checker ID],$Q$4,RawData[[Error Type ]],$Q$5))</f>
        <v/>
      </c>
    </row>
    <row r="11841" spans="15:15" x14ac:dyDescent="0.25">
      <c r="O11841" s="20" t="str">
        <f>IF(N11841="","",COUNTIFS(RawData[[Date ]],N11841,RawData[Month List],$Q$6,RawData[Tour/Site],$Q$2,RawData[[Picker ID ]],$Q$3,RawData[Checker ID],$Q$4,RawData[[Error Type ]],$Q$5))</f>
        <v/>
      </c>
    </row>
    <row r="11842" spans="15:15" x14ac:dyDescent="0.25">
      <c r="O11842" s="20" t="str">
        <f>IF(N11842="","",COUNTIFS(RawData[[Date ]],N11842,RawData[Month List],$Q$6,RawData[Tour/Site],$Q$2,RawData[[Picker ID ]],$Q$3,RawData[Checker ID],$Q$4,RawData[[Error Type ]],$Q$5))</f>
        <v/>
      </c>
    </row>
    <row r="11843" spans="15:15" x14ac:dyDescent="0.25">
      <c r="O11843" s="20" t="str">
        <f>IF(N11843="","",COUNTIFS(RawData[[Date ]],N11843,RawData[Month List],$Q$6,RawData[Tour/Site],$Q$2,RawData[[Picker ID ]],$Q$3,RawData[Checker ID],$Q$4,RawData[[Error Type ]],$Q$5))</f>
        <v/>
      </c>
    </row>
    <row r="11844" spans="15:15" x14ac:dyDescent="0.25">
      <c r="O11844" s="20" t="str">
        <f>IF(N11844="","",COUNTIFS(RawData[[Date ]],N11844,RawData[Month List],$Q$6,RawData[Tour/Site],$Q$2,RawData[[Picker ID ]],$Q$3,RawData[Checker ID],$Q$4,RawData[[Error Type ]],$Q$5))</f>
        <v/>
      </c>
    </row>
    <row r="11845" spans="15:15" x14ac:dyDescent="0.25">
      <c r="O11845" s="20" t="str">
        <f>IF(N11845="","",COUNTIFS(RawData[[Date ]],N11845,RawData[Month List],$Q$6,RawData[Tour/Site],$Q$2,RawData[[Picker ID ]],$Q$3,RawData[Checker ID],$Q$4,RawData[[Error Type ]],$Q$5))</f>
        <v/>
      </c>
    </row>
    <row r="11846" spans="15:15" x14ac:dyDescent="0.25">
      <c r="O11846" s="20" t="str">
        <f>IF(N11846="","",COUNTIFS(RawData[[Date ]],N11846,RawData[Month List],$Q$6,RawData[Tour/Site],$Q$2,RawData[[Picker ID ]],$Q$3,RawData[Checker ID],$Q$4,RawData[[Error Type ]],$Q$5))</f>
        <v/>
      </c>
    </row>
    <row r="11847" spans="15:15" x14ac:dyDescent="0.25">
      <c r="O11847" s="20" t="str">
        <f>IF(N11847="","",COUNTIFS(RawData[[Date ]],N11847,RawData[Month List],$Q$6,RawData[Tour/Site],$Q$2,RawData[[Picker ID ]],$Q$3,RawData[Checker ID],$Q$4,RawData[[Error Type ]],$Q$5))</f>
        <v/>
      </c>
    </row>
    <row r="11848" spans="15:15" x14ac:dyDescent="0.25">
      <c r="O11848" s="20" t="str">
        <f>IF(N11848="","",COUNTIFS(RawData[[Date ]],N11848,RawData[Month List],$Q$6,RawData[Tour/Site],$Q$2,RawData[[Picker ID ]],$Q$3,RawData[Checker ID],$Q$4,RawData[[Error Type ]],$Q$5))</f>
        <v/>
      </c>
    </row>
    <row r="11849" spans="15:15" x14ac:dyDescent="0.25">
      <c r="O11849" s="20" t="str">
        <f>IF(N11849="","",COUNTIFS(RawData[[Date ]],N11849,RawData[Month List],$Q$6,RawData[Tour/Site],$Q$2,RawData[[Picker ID ]],$Q$3,RawData[Checker ID],$Q$4,RawData[[Error Type ]],$Q$5))</f>
        <v/>
      </c>
    </row>
    <row r="11850" spans="15:15" x14ac:dyDescent="0.25">
      <c r="O11850" s="20" t="str">
        <f>IF(N11850="","",COUNTIFS(RawData[[Date ]],N11850,RawData[Month List],$Q$6,RawData[Tour/Site],$Q$2,RawData[[Picker ID ]],$Q$3,RawData[Checker ID],$Q$4,RawData[[Error Type ]],$Q$5))</f>
        <v/>
      </c>
    </row>
    <row r="11851" spans="15:15" x14ac:dyDescent="0.25">
      <c r="O11851" s="20" t="str">
        <f>IF(N11851="","",COUNTIFS(RawData[[Date ]],N11851,RawData[Month List],$Q$6,RawData[Tour/Site],$Q$2,RawData[[Picker ID ]],$Q$3,RawData[Checker ID],$Q$4,RawData[[Error Type ]],$Q$5))</f>
        <v/>
      </c>
    </row>
    <row r="11852" spans="15:15" x14ac:dyDescent="0.25">
      <c r="O11852" s="20" t="str">
        <f>IF(N11852="","",COUNTIFS(RawData[[Date ]],N11852,RawData[Month List],$Q$6,RawData[Tour/Site],$Q$2,RawData[[Picker ID ]],$Q$3,RawData[Checker ID],$Q$4,RawData[[Error Type ]],$Q$5))</f>
        <v/>
      </c>
    </row>
    <row r="11853" spans="15:15" x14ac:dyDescent="0.25">
      <c r="O11853" s="20" t="str">
        <f>IF(N11853="","",COUNTIFS(RawData[[Date ]],N11853,RawData[Month List],$Q$6,RawData[Tour/Site],$Q$2,RawData[[Picker ID ]],$Q$3,RawData[Checker ID],$Q$4,RawData[[Error Type ]],$Q$5))</f>
        <v/>
      </c>
    </row>
    <row r="11854" spans="15:15" x14ac:dyDescent="0.25">
      <c r="O11854" s="20" t="str">
        <f>IF(N11854="","",COUNTIFS(RawData[[Date ]],N11854,RawData[Month List],$Q$6,RawData[Tour/Site],$Q$2,RawData[[Picker ID ]],$Q$3,RawData[Checker ID],$Q$4,RawData[[Error Type ]],$Q$5))</f>
        <v/>
      </c>
    </row>
    <row r="11855" spans="15:15" x14ac:dyDescent="0.25">
      <c r="O11855" s="20" t="str">
        <f>IF(N11855="","",COUNTIFS(RawData[[Date ]],N11855,RawData[Month List],$Q$6,RawData[Tour/Site],$Q$2,RawData[[Picker ID ]],$Q$3,RawData[Checker ID],$Q$4,RawData[[Error Type ]],$Q$5))</f>
        <v/>
      </c>
    </row>
    <row r="11856" spans="15:15" x14ac:dyDescent="0.25">
      <c r="O11856" s="20" t="str">
        <f>IF(N11856="","",COUNTIFS(RawData[[Date ]],N11856,RawData[Month List],$Q$6,RawData[Tour/Site],$Q$2,RawData[[Picker ID ]],$Q$3,RawData[Checker ID],$Q$4,RawData[[Error Type ]],$Q$5))</f>
        <v/>
      </c>
    </row>
    <row r="11857" spans="15:15" x14ac:dyDescent="0.25">
      <c r="O11857" s="20" t="str">
        <f>IF(N11857="","",COUNTIFS(RawData[[Date ]],N11857,RawData[Month List],$Q$6,RawData[Tour/Site],$Q$2,RawData[[Picker ID ]],$Q$3,RawData[Checker ID],$Q$4,RawData[[Error Type ]],$Q$5))</f>
        <v/>
      </c>
    </row>
    <row r="11858" spans="15:15" x14ac:dyDescent="0.25">
      <c r="O11858" s="20" t="str">
        <f>IF(N11858="","",COUNTIFS(RawData[[Date ]],N11858,RawData[Month List],$Q$6,RawData[Tour/Site],$Q$2,RawData[[Picker ID ]],$Q$3,RawData[Checker ID],$Q$4,RawData[[Error Type ]],$Q$5))</f>
        <v/>
      </c>
    </row>
    <row r="11859" spans="15:15" x14ac:dyDescent="0.25">
      <c r="O11859" s="20" t="str">
        <f>IF(N11859="","",COUNTIFS(RawData[[Date ]],N11859,RawData[Month List],$Q$6,RawData[Tour/Site],$Q$2,RawData[[Picker ID ]],$Q$3,RawData[Checker ID],$Q$4,RawData[[Error Type ]],$Q$5))</f>
        <v/>
      </c>
    </row>
    <row r="11860" spans="15:15" x14ac:dyDescent="0.25">
      <c r="O11860" s="20" t="str">
        <f>IF(N11860="","",COUNTIFS(RawData[[Date ]],N11860,RawData[Month List],$Q$6,RawData[Tour/Site],$Q$2,RawData[[Picker ID ]],$Q$3,RawData[Checker ID],$Q$4,RawData[[Error Type ]],$Q$5))</f>
        <v/>
      </c>
    </row>
    <row r="11861" spans="15:15" x14ac:dyDescent="0.25">
      <c r="O11861" s="20" t="str">
        <f>IF(N11861="","",COUNTIFS(RawData[[Date ]],N11861,RawData[Month List],$Q$6,RawData[Tour/Site],$Q$2,RawData[[Picker ID ]],$Q$3,RawData[Checker ID],$Q$4,RawData[[Error Type ]],$Q$5))</f>
        <v/>
      </c>
    </row>
    <row r="11862" spans="15:15" x14ac:dyDescent="0.25">
      <c r="O11862" s="20" t="str">
        <f>IF(N11862="","",COUNTIFS(RawData[[Date ]],N11862,RawData[Month List],$Q$6,RawData[Tour/Site],$Q$2,RawData[[Picker ID ]],$Q$3,RawData[Checker ID],$Q$4,RawData[[Error Type ]],$Q$5))</f>
        <v/>
      </c>
    </row>
    <row r="11863" spans="15:15" x14ac:dyDescent="0.25">
      <c r="O11863" s="20" t="str">
        <f>IF(N11863="","",COUNTIFS(RawData[[Date ]],N11863,RawData[Month List],$Q$6,RawData[Tour/Site],$Q$2,RawData[[Picker ID ]],$Q$3,RawData[Checker ID],$Q$4,RawData[[Error Type ]],$Q$5))</f>
        <v/>
      </c>
    </row>
    <row r="11864" spans="15:15" x14ac:dyDescent="0.25">
      <c r="O11864" s="20" t="str">
        <f>IF(N11864="","",COUNTIFS(RawData[[Date ]],N11864,RawData[Month List],$Q$6,RawData[Tour/Site],$Q$2,RawData[[Picker ID ]],$Q$3,RawData[Checker ID],$Q$4,RawData[[Error Type ]],$Q$5))</f>
        <v/>
      </c>
    </row>
    <row r="11865" spans="15:15" x14ac:dyDescent="0.25">
      <c r="O11865" s="20" t="str">
        <f>IF(N11865="","",COUNTIFS(RawData[[Date ]],N11865,RawData[Month List],$Q$6,RawData[Tour/Site],$Q$2,RawData[[Picker ID ]],$Q$3,RawData[Checker ID],$Q$4,RawData[[Error Type ]],$Q$5))</f>
        <v/>
      </c>
    </row>
    <row r="11866" spans="15:15" x14ac:dyDescent="0.25">
      <c r="O11866" s="20" t="str">
        <f>IF(N11866="","",COUNTIFS(RawData[[Date ]],N11866,RawData[Month List],$Q$6,RawData[Tour/Site],$Q$2,RawData[[Picker ID ]],$Q$3,RawData[Checker ID],$Q$4,RawData[[Error Type ]],$Q$5))</f>
        <v/>
      </c>
    </row>
    <row r="11867" spans="15:15" x14ac:dyDescent="0.25">
      <c r="O11867" s="20" t="str">
        <f>IF(N11867="","",COUNTIFS(RawData[[Date ]],N11867,RawData[Month List],$Q$6,RawData[Tour/Site],$Q$2,RawData[[Picker ID ]],$Q$3,RawData[Checker ID],$Q$4,RawData[[Error Type ]],$Q$5))</f>
        <v/>
      </c>
    </row>
    <row r="11868" spans="15:15" x14ac:dyDescent="0.25">
      <c r="O11868" s="20" t="str">
        <f>IF(N11868="","",COUNTIFS(RawData[[Date ]],N11868,RawData[Month List],$Q$6,RawData[Tour/Site],$Q$2,RawData[[Picker ID ]],$Q$3,RawData[Checker ID],$Q$4,RawData[[Error Type ]],$Q$5))</f>
        <v/>
      </c>
    </row>
    <row r="11869" spans="15:15" x14ac:dyDescent="0.25">
      <c r="O11869" s="20" t="str">
        <f>IF(N11869="","",COUNTIFS(RawData[[Date ]],N11869,RawData[Month List],$Q$6,RawData[Tour/Site],$Q$2,RawData[[Picker ID ]],$Q$3,RawData[Checker ID],$Q$4,RawData[[Error Type ]],$Q$5))</f>
        <v/>
      </c>
    </row>
    <row r="11870" spans="15:15" x14ac:dyDescent="0.25">
      <c r="O11870" s="20" t="str">
        <f>IF(N11870="","",COUNTIFS(RawData[[Date ]],N11870,RawData[Month List],$Q$6,RawData[Tour/Site],$Q$2,RawData[[Picker ID ]],$Q$3,RawData[Checker ID],$Q$4,RawData[[Error Type ]],$Q$5))</f>
        <v/>
      </c>
    </row>
    <row r="11871" spans="15:15" x14ac:dyDescent="0.25">
      <c r="O11871" s="20" t="str">
        <f>IF(N11871="","",COUNTIFS(RawData[[Date ]],N11871,RawData[Month List],$Q$6,RawData[Tour/Site],$Q$2,RawData[[Picker ID ]],$Q$3,RawData[Checker ID],$Q$4,RawData[[Error Type ]],$Q$5))</f>
        <v/>
      </c>
    </row>
    <row r="11872" spans="15:15" x14ac:dyDescent="0.25">
      <c r="O11872" s="20" t="str">
        <f>IF(N11872="","",COUNTIFS(RawData[[Date ]],N11872,RawData[Month List],$Q$6,RawData[Tour/Site],$Q$2,RawData[[Picker ID ]],$Q$3,RawData[Checker ID],$Q$4,RawData[[Error Type ]],$Q$5))</f>
        <v/>
      </c>
    </row>
    <row r="11873" spans="15:15" x14ac:dyDescent="0.25">
      <c r="O11873" s="20" t="str">
        <f>IF(N11873="","",COUNTIFS(RawData[[Date ]],N11873,RawData[Month List],$Q$6,RawData[Tour/Site],$Q$2,RawData[[Picker ID ]],$Q$3,RawData[Checker ID],$Q$4,RawData[[Error Type ]],$Q$5))</f>
        <v/>
      </c>
    </row>
    <row r="11874" spans="15:15" x14ac:dyDescent="0.25">
      <c r="O11874" s="20" t="str">
        <f>IF(N11874="","",COUNTIFS(RawData[[Date ]],N11874,RawData[Month List],$Q$6,RawData[Tour/Site],$Q$2,RawData[[Picker ID ]],$Q$3,RawData[Checker ID],$Q$4,RawData[[Error Type ]],$Q$5))</f>
        <v/>
      </c>
    </row>
    <row r="11875" spans="15:15" x14ac:dyDescent="0.25">
      <c r="O11875" s="20" t="str">
        <f>IF(N11875="","",COUNTIFS(RawData[[Date ]],N11875,RawData[Month List],$Q$6,RawData[Tour/Site],$Q$2,RawData[[Picker ID ]],$Q$3,RawData[Checker ID],$Q$4,RawData[[Error Type ]],$Q$5))</f>
        <v/>
      </c>
    </row>
    <row r="11876" spans="15:15" x14ac:dyDescent="0.25">
      <c r="O11876" s="20" t="str">
        <f>IF(N11876="","",COUNTIFS(RawData[[Date ]],N11876,RawData[Month List],$Q$6,RawData[Tour/Site],$Q$2,RawData[[Picker ID ]],$Q$3,RawData[Checker ID],$Q$4,RawData[[Error Type ]],$Q$5))</f>
        <v/>
      </c>
    </row>
    <row r="11877" spans="15:15" x14ac:dyDescent="0.25">
      <c r="O11877" s="20" t="str">
        <f>IF(N11877="","",COUNTIFS(RawData[[Date ]],N11877,RawData[Month List],$Q$6,RawData[Tour/Site],$Q$2,RawData[[Picker ID ]],$Q$3,RawData[Checker ID],$Q$4,RawData[[Error Type ]],$Q$5))</f>
        <v/>
      </c>
    </row>
    <row r="11878" spans="15:15" x14ac:dyDescent="0.25">
      <c r="O11878" s="20" t="str">
        <f>IF(N11878="","",COUNTIFS(RawData[[Date ]],N11878,RawData[Month List],$Q$6,RawData[Tour/Site],$Q$2,RawData[[Picker ID ]],$Q$3,RawData[Checker ID],$Q$4,RawData[[Error Type ]],$Q$5))</f>
        <v/>
      </c>
    </row>
    <row r="11879" spans="15:15" x14ac:dyDescent="0.25">
      <c r="O11879" s="20" t="str">
        <f>IF(N11879="","",COUNTIFS(RawData[[Date ]],N11879,RawData[Month List],$Q$6,RawData[Tour/Site],$Q$2,RawData[[Picker ID ]],$Q$3,RawData[Checker ID],$Q$4,RawData[[Error Type ]],$Q$5))</f>
        <v/>
      </c>
    </row>
    <row r="11880" spans="15:15" x14ac:dyDescent="0.25">
      <c r="O11880" s="20" t="str">
        <f>IF(N11880="","",COUNTIFS(RawData[[Date ]],N11880,RawData[Month List],$Q$6,RawData[Tour/Site],$Q$2,RawData[[Picker ID ]],$Q$3,RawData[Checker ID],$Q$4,RawData[[Error Type ]],$Q$5))</f>
        <v/>
      </c>
    </row>
    <row r="11881" spans="15:15" x14ac:dyDescent="0.25">
      <c r="O11881" s="20" t="str">
        <f>IF(N11881="","",COUNTIFS(RawData[[Date ]],N11881,RawData[Month List],$Q$6,RawData[Tour/Site],$Q$2,RawData[[Picker ID ]],$Q$3,RawData[Checker ID],$Q$4,RawData[[Error Type ]],$Q$5))</f>
        <v/>
      </c>
    </row>
    <row r="11882" spans="15:15" x14ac:dyDescent="0.25">
      <c r="O11882" s="20" t="str">
        <f>IF(N11882="","",COUNTIFS(RawData[[Date ]],N11882,RawData[Month List],$Q$6,RawData[Tour/Site],$Q$2,RawData[[Picker ID ]],$Q$3,RawData[Checker ID],$Q$4,RawData[[Error Type ]],$Q$5))</f>
        <v/>
      </c>
    </row>
    <row r="11883" spans="15:15" x14ac:dyDescent="0.25">
      <c r="O11883" s="20" t="str">
        <f>IF(N11883="","",COUNTIFS(RawData[[Date ]],N11883,RawData[Month List],$Q$6,RawData[Tour/Site],$Q$2,RawData[[Picker ID ]],$Q$3,RawData[Checker ID],$Q$4,RawData[[Error Type ]],$Q$5))</f>
        <v/>
      </c>
    </row>
    <row r="11884" spans="15:15" x14ac:dyDescent="0.25">
      <c r="O11884" s="20" t="str">
        <f>IF(N11884="","",COUNTIFS(RawData[[Date ]],N11884,RawData[Month List],$Q$6,RawData[Tour/Site],$Q$2,RawData[[Picker ID ]],$Q$3,RawData[Checker ID],$Q$4,RawData[[Error Type ]],$Q$5))</f>
        <v/>
      </c>
    </row>
    <row r="11885" spans="15:15" x14ac:dyDescent="0.25">
      <c r="O11885" s="20" t="str">
        <f>IF(N11885="","",COUNTIFS(RawData[[Date ]],N11885,RawData[Month List],$Q$6,RawData[Tour/Site],$Q$2,RawData[[Picker ID ]],$Q$3,RawData[Checker ID],$Q$4,RawData[[Error Type ]],$Q$5))</f>
        <v/>
      </c>
    </row>
    <row r="11886" spans="15:15" x14ac:dyDescent="0.25">
      <c r="O11886" s="20" t="str">
        <f>IF(N11886="","",COUNTIFS(RawData[[Date ]],N11886,RawData[Month List],$Q$6,RawData[Tour/Site],$Q$2,RawData[[Picker ID ]],$Q$3,RawData[Checker ID],$Q$4,RawData[[Error Type ]],$Q$5))</f>
        <v/>
      </c>
    </row>
    <row r="11887" spans="15:15" x14ac:dyDescent="0.25">
      <c r="O11887" s="20" t="str">
        <f>IF(N11887="","",COUNTIFS(RawData[[Date ]],N11887,RawData[Month List],$Q$6,RawData[Tour/Site],$Q$2,RawData[[Picker ID ]],$Q$3,RawData[Checker ID],$Q$4,RawData[[Error Type ]],$Q$5))</f>
        <v/>
      </c>
    </row>
    <row r="11888" spans="15:15" x14ac:dyDescent="0.25">
      <c r="O11888" s="20" t="str">
        <f>IF(N11888="","",COUNTIFS(RawData[[Date ]],N11888,RawData[Month List],$Q$6,RawData[Tour/Site],$Q$2,RawData[[Picker ID ]],$Q$3,RawData[Checker ID],$Q$4,RawData[[Error Type ]],$Q$5))</f>
        <v/>
      </c>
    </row>
    <row r="11889" spans="15:15" x14ac:dyDescent="0.25">
      <c r="O11889" s="20" t="str">
        <f>IF(N11889="","",COUNTIFS(RawData[[Date ]],N11889,RawData[Month List],$Q$6,RawData[Tour/Site],$Q$2,RawData[[Picker ID ]],$Q$3,RawData[Checker ID],$Q$4,RawData[[Error Type ]],$Q$5))</f>
        <v/>
      </c>
    </row>
    <row r="11890" spans="15:15" x14ac:dyDescent="0.25">
      <c r="O11890" s="20" t="str">
        <f>IF(N11890="","",COUNTIFS(RawData[[Date ]],N11890,RawData[Month List],$Q$6,RawData[Tour/Site],$Q$2,RawData[[Picker ID ]],$Q$3,RawData[Checker ID],$Q$4,RawData[[Error Type ]],$Q$5))</f>
        <v/>
      </c>
    </row>
    <row r="11891" spans="15:15" x14ac:dyDescent="0.25">
      <c r="O11891" s="20" t="str">
        <f>IF(N11891="","",COUNTIFS(RawData[[Date ]],N11891,RawData[Month List],$Q$6,RawData[Tour/Site],$Q$2,RawData[[Picker ID ]],$Q$3,RawData[Checker ID],$Q$4,RawData[[Error Type ]],$Q$5))</f>
        <v/>
      </c>
    </row>
    <row r="11892" spans="15:15" x14ac:dyDescent="0.25">
      <c r="O11892" s="20" t="str">
        <f>IF(N11892="","",COUNTIFS(RawData[[Date ]],N11892,RawData[Month List],$Q$6,RawData[Tour/Site],$Q$2,RawData[[Picker ID ]],$Q$3,RawData[Checker ID],$Q$4,RawData[[Error Type ]],$Q$5))</f>
        <v/>
      </c>
    </row>
    <row r="11893" spans="15:15" x14ac:dyDescent="0.25">
      <c r="O11893" s="20" t="str">
        <f>IF(N11893="","",COUNTIFS(RawData[[Date ]],N11893,RawData[Month List],$Q$6,RawData[Tour/Site],$Q$2,RawData[[Picker ID ]],$Q$3,RawData[Checker ID],$Q$4,RawData[[Error Type ]],$Q$5))</f>
        <v/>
      </c>
    </row>
    <row r="11894" spans="15:15" x14ac:dyDescent="0.25">
      <c r="O11894" s="20" t="str">
        <f>IF(N11894="","",COUNTIFS(RawData[[Date ]],N11894,RawData[Month List],$Q$6,RawData[Tour/Site],$Q$2,RawData[[Picker ID ]],$Q$3,RawData[Checker ID],$Q$4,RawData[[Error Type ]],$Q$5))</f>
        <v/>
      </c>
    </row>
    <row r="11895" spans="15:15" x14ac:dyDescent="0.25">
      <c r="O11895" s="20" t="str">
        <f>IF(N11895="","",COUNTIFS(RawData[[Date ]],N11895,RawData[Month List],$Q$6,RawData[Tour/Site],$Q$2,RawData[[Picker ID ]],$Q$3,RawData[Checker ID],$Q$4,RawData[[Error Type ]],$Q$5))</f>
        <v/>
      </c>
    </row>
    <row r="11896" spans="15:15" x14ac:dyDescent="0.25">
      <c r="O11896" s="20" t="str">
        <f>IF(N11896="","",COUNTIFS(RawData[[Date ]],N11896,RawData[Month List],$Q$6,RawData[Tour/Site],$Q$2,RawData[[Picker ID ]],$Q$3,RawData[Checker ID],$Q$4,RawData[[Error Type ]],$Q$5))</f>
        <v/>
      </c>
    </row>
    <row r="11897" spans="15:15" x14ac:dyDescent="0.25">
      <c r="O11897" s="20" t="str">
        <f>IF(N11897="","",COUNTIFS(RawData[[Date ]],N11897,RawData[Month List],$Q$6,RawData[Tour/Site],$Q$2,RawData[[Picker ID ]],$Q$3,RawData[Checker ID],$Q$4,RawData[[Error Type ]],$Q$5))</f>
        <v/>
      </c>
    </row>
    <row r="11898" spans="15:15" x14ac:dyDescent="0.25">
      <c r="O11898" s="20" t="str">
        <f>IF(N11898="","",COUNTIFS(RawData[[Date ]],N11898,RawData[Month List],$Q$6,RawData[Tour/Site],$Q$2,RawData[[Picker ID ]],$Q$3,RawData[Checker ID],$Q$4,RawData[[Error Type ]],$Q$5))</f>
        <v/>
      </c>
    </row>
    <row r="11899" spans="15:15" x14ac:dyDescent="0.25">
      <c r="O11899" s="20" t="str">
        <f>IF(N11899="","",COUNTIFS(RawData[[Date ]],N11899,RawData[Month List],$Q$6,RawData[Tour/Site],$Q$2,RawData[[Picker ID ]],$Q$3,RawData[Checker ID],$Q$4,RawData[[Error Type ]],$Q$5))</f>
        <v/>
      </c>
    </row>
    <row r="11900" spans="15:15" x14ac:dyDescent="0.25">
      <c r="O11900" s="20" t="str">
        <f>IF(N11900="","",COUNTIFS(RawData[[Date ]],N11900,RawData[Month List],$Q$6,RawData[Tour/Site],$Q$2,RawData[[Picker ID ]],$Q$3,RawData[Checker ID],$Q$4,RawData[[Error Type ]],$Q$5))</f>
        <v/>
      </c>
    </row>
    <row r="11901" spans="15:15" x14ac:dyDescent="0.25">
      <c r="O11901" s="20" t="str">
        <f>IF(N11901="","",COUNTIFS(RawData[[Date ]],N11901,RawData[Month List],$Q$6,RawData[Tour/Site],$Q$2,RawData[[Picker ID ]],$Q$3,RawData[Checker ID],$Q$4,RawData[[Error Type ]],$Q$5))</f>
        <v/>
      </c>
    </row>
    <row r="11902" spans="15:15" x14ac:dyDescent="0.25">
      <c r="O11902" s="20" t="str">
        <f>IF(N11902="","",COUNTIFS(RawData[[Date ]],N11902,RawData[Month List],$Q$6,RawData[Tour/Site],$Q$2,RawData[[Picker ID ]],$Q$3,RawData[Checker ID],$Q$4,RawData[[Error Type ]],$Q$5))</f>
        <v/>
      </c>
    </row>
    <row r="11903" spans="15:15" x14ac:dyDescent="0.25">
      <c r="O11903" s="20" t="str">
        <f>IF(N11903="","",COUNTIFS(RawData[[Date ]],N11903,RawData[Month List],$Q$6,RawData[Tour/Site],$Q$2,RawData[[Picker ID ]],$Q$3,RawData[Checker ID],$Q$4,RawData[[Error Type ]],$Q$5))</f>
        <v/>
      </c>
    </row>
    <row r="11904" spans="15:15" x14ac:dyDescent="0.25">
      <c r="O11904" s="20" t="str">
        <f>IF(N11904="","",COUNTIFS(RawData[[Date ]],N11904,RawData[Month List],$Q$6,RawData[Tour/Site],$Q$2,RawData[[Picker ID ]],$Q$3,RawData[Checker ID],$Q$4,RawData[[Error Type ]],$Q$5))</f>
        <v/>
      </c>
    </row>
    <row r="11905" spans="15:15" x14ac:dyDescent="0.25">
      <c r="O11905" s="20" t="str">
        <f>IF(N11905="","",COUNTIFS(RawData[[Date ]],N11905,RawData[Month List],$Q$6,RawData[Tour/Site],$Q$2,RawData[[Picker ID ]],$Q$3,RawData[Checker ID],$Q$4,RawData[[Error Type ]],$Q$5))</f>
        <v/>
      </c>
    </row>
    <row r="11906" spans="15:15" x14ac:dyDescent="0.25">
      <c r="O11906" s="20" t="str">
        <f>IF(N11906="","",COUNTIFS(RawData[[Date ]],N11906,RawData[Month List],$Q$6,RawData[Tour/Site],$Q$2,RawData[[Picker ID ]],$Q$3,RawData[Checker ID],$Q$4,RawData[[Error Type ]],$Q$5))</f>
        <v/>
      </c>
    </row>
    <row r="11907" spans="15:15" x14ac:dyDescent="0.25">
      <c r="O11907" s="20" t="str">
        <f>IF(N11907="","",COUNTIFS(RawData[[Date ]],N11907,RawData[Month List],$Q$6,RawData[Tour/Site],$Q$2,RawData[[Picker ID ]],$Q$3,RawData[Checker ID],$Q$4,RawData[[Error Type ]],$Q$5))</f>
        <v/>
      </c>
    </row>
    <row r="11908" spans="15:15" x14ac:dyDescent="0.25">
      <c r="O11908" s="20" t="str">
        <f>IF(N11908="","",COUNTIFS(RawData[[Date ]],N11908,RawData[Month List],$Q$6,RawData[Tour/Site],$Q$2,RawData[[Picker ID ]],$Q$3,RawData[Checker ID],$Q$4,RawData[[Error Type ]],$Q$5))</f>
        <v/>
      </c>
    </row>
    <row r="11909" spans="15:15" x14ac:dyDescent="0.25">
      <c r="O11909" s="20" t="str">
        <f>IF(N11909="","",COUNTIFS(RawData[[Date ]],N11909,RawData[Month List],$Q$6,RawData[Tour/Site],$Q$2,RawData[[Picker ID ]],$Q$3,RawData[Checker ID],$Q$4,RawData[[Error Type ]],$Q$5))</f>
        <v/>
      </c>
    </row>
    <row r="11910" spans="15:15" x14ac:dyDescent="0.25">
      <c r="O11910" s="20" t="str">
        <f>IF(N11910="","",COUNTIFS(RawData[[Date ]],N11910,RawData[Month List],$Q$6,RawData[Tour/Site],$Q$2,RawData[[Picker ID ]],$Q$3,RawData[Checker ID],$Q$4,RawData[[Error Type ]],$Q$5))</f>
        <v/>
      </c>
    </row>
    <row r="11911" spans="15:15" x14ac:dyDescent="0.25">
      <c r="O11911" s="20" t="str">
        <f>IF(N11911="","",COUNTIFS(RawData[[Date ]],N11911,RawData[Month List],$Q$6,RawData[Tour/Site],$Q$2,RawData[[Picker ID ]],$Q$3,RawData[Checker ID],$Q$4,RawData[[Error Type ]],$Q$5))</f>
        <v/>
      </c>
    </row>
    <row r="11912" spans="15:15" x14ac:dyDescent="0.25">
      <c r="O11912" s="20" t="str">
        <f>IF(N11912="","",COUNTIFS(RawData[[Date ]],N11912,RawData[Month List],$Q$6,RawData[Tour/Site],$Q$2,RawData[[Picker ID ]],$Q$3,RawData[Checker ID],$Q$4,RawData[[Error Type ]],$Q$5))</f>
        <v/>
      </c>
    </row>
    <row r="11913" spans="15:15" x14ac:dyDescent="0.25">
      <c r="O11913" s="20" t="str">
        <f>IF(N11913="","",COUNTIFS(RawData[[Date ]],N11913,RawData[Month List],$Q$6,RawData[Tour/Site],$Q$2,RawData[[Picker ID ]],$Q$3,RawData[Checker ID],$Q$4,RawData[[Error Type ]],$Q$5))</f>
        <v/>
      </c>
    </row>
    <row r="11914" spans="15:15" x14ac:dyDescent="0.25">
      <c r="O11914" s="20" t="str">
        <f>IF(N11914="","",COUNTIFS(RawData[[Date ]],N11914,RawData[Month List],$Q$6,RawData[Tour/Site],$Q$2,RawData[[Picker ID ]],$Q$3,RawData[Checker ID],$Q$4,RawData[[Error Type ]],$Q$5))</f>
        <v/>
      </c>
    </row>
    <row r="11915" spans="15:15" x14ac:dyDescent="0.25">
      <c r="O11915" s="20" t="str">
        <f>IF(N11915="","",COUNTIFS(RawData[[Date ]],N11915,RawData[Month List],$Q$6,RawData[Tour/Site],$Q$2,RawData[[Picker ID ]],$Q$3,RawData[Checker ID],$Q$4,RawData[[Error Type ]],$Q$5))</f>
        <v/>
      </c>
    </row>
    <row r="11916" spans="15:15" x14ac:dyDescent="0.25">
      <c r="O11916" s="20" t="str">
        <f>IF(N11916="","",COUNTIFS(RawData[[Date ]],N11916,RawData[Month List],$Q$6,RawData[Tour/Site],$Q$2,RawData[[Picker ID ]],$Q$3,RawData[Checker ID],$Q$4,RawData[[Error Type ]],$Q$5))</f>
        <v/>
      </c>
    </row>
    <row r="11917" spans="15:15" x14ac:dyDescent="0.25">
      <c r="O11917" s="20" t="str">
        <f>IF(N11917="","",COUNTIFS(RawData[[Date ]],N11917,RawData[Month List],$Q$6,RawData[Tour/Site],$Q$2,RawData[[Picker ID ]],$Q$3,RawData[Checker ID],$Q$4,RawData[[Error Type ]],$Q$5))</f>
        <v/>
      </c>
    </row>
    <row r="11918" spans="15:15" x14ac:dyDescent="0.25">
      <c r="O11918" s="20" t="str">
        <f>IF(N11918="","",COUNTIFS(RawData[[Date ]],N11918,RawData[Month List],$Q$6,RawData[Tour/Site],$Q$2,RawData[[Picker ID ]],$Q$3,RawData[Checker ID],$Q$4,RawData[[Error Type ]],$Q$5))</f>
        <v/>
      </c>
    </row>
    <row r="11919" spans="15:15" x14ac:dyDescent="0.25">
      <c r="O11919" s="20" t="str">
        <f>IF(N11919="","",COUNTIFS(RawData[[Date ]],N11919,RawData[Month List],$Q$6,RawData[Tour/Site],$Q$2,RawData[[Picker ID ]],$Q$3,RawData[Checker ID],$Q$4,RawData[[Error Type ]],$Q$5))</f>
        <v/>
      </c>
    </row>
    <row r="11920" spans="15:15" x14ac:dyDescent="0.25">
      <c r="O11920" s="20" t="str">
        <f>IF(N11920="","",COUNTIFS(RawData[[Date ]],N11920,RawData[Month List],$Q$6,RawData[Tour/Site],$Q$2,RawData[[Picker ID ]],$Q$3,RawData[Checker ID],$Q$4,RawData[[Error Type ]],$Q$5))</f>
        <v/>
      </c>
    </row>
    <row r="11921" spans="15:15" x14ac:dyDescent="0.25">
      <c r="O11921" s="20" t="str">
        <f>IF(N11921="","",COUNTIFS(RawData[[Date ]],N11921,RawData[Month List],$Q$6,RawData[Tour/Site],$Q$2,RawData[[Picker ID ]],$Q$3,RawData[Checker ID],$Q$4,RawData[[Error Type ]],$Q$5))</f>
        <v/>
      </c>
    </row>
    <row r="11922" spans="15:15" x14ac:dyDescent="0.25">
      <c r="O11922" s="20" t="str">
        <f>IF(N11922="","",COUNTIFS(RawData[[Date ]],N11922,RawData[Month List],$Q$6,RawData[Tour/Site],$Q$2,RawData[[Picker ID ]],$Q$3,RawData[Checker ID],$Q$4,RawData[[Error Type ]],$Q$5))</f>
        <v/>
      </c>
    </row>
    <row r="11923" spans="15:15" x14ac:dyDescent="0.25">
      <c r="O11923" s="20" t="str">
        <f>IF(N11923="","",COUNTIFS(RawData[[Date ]],N11923,RawData[Month List],$Q$6,RawData[Tour/Site],$Q$2,RawData[[Picker ID ]],$Q$3,RawData[Checker ID],$Q$4,RawData[[Error Type ]],$Q$5))</f>
        <v/>
      </c>
    </row>
    <row r="11924" spans="15:15" x14ac:dyDescent="0.25">
      <c r="O11924" s="20" t="str">
        <f>IF(N11924="","",COUNTIFS(RawData[[Date ]],N11924,RawData[Month List],$Q$6,RawData[Tour/Site],$Q$2,RawData[[Picker ID ]],$Q$3,RawData[Checker ID],$Q$4,RawData[[Error Type ]],$Q$5))</f>
        <v/>
      </c>
    </row>
    <row r="11925" spans="15:15" x14ac:dyDescent="0.25">
      <c r="O11925" s="20" t="str">
        <f>IF(N11925="","",COUNTIFS(RawData[[Date ]],N11925,RawData[Month List],$Q$6,RawData[Tour/Site],$Q$2,RawData[[Picker ID ]],$Q$3,RawData[Checker ID],$Q$4,RawData[[Error Type ]],$Q$5))</f>
        <v/>
      </c>
    </row>
    <row r="11926" spans="15:15" x14ac:dyDescent="0.25">
      <c r="O11926" s="20" t="str">
        <f>IF(N11926="","",COUNTIFS(RawData[[Date ]],N11926,RawData[Month List],$Q$6,RawData[Tour/Site],$Q$2,RawData[[Picker ID ]],$Q$3,RawData[Checker ID],$Q$4,RawData[[Error Type ]],$Q$5))</f>
        <v/>
      </c>
    </row>
    <row r="11927" spans="15:15" x14ac:dyDescent="0.25">
      <c r="O11927" s="20" t="str">
        <f>IF(N11927="","",COUNTIFS(RawData[[Date ]],N11927,RawData[Month List],$Q$6,RawData[Tour/Site],$Q$2,RawData[[Picker ID ]],$Q$3,RawData[Checker ID],$Q$4,RawData[[Error Type ]],$Q$5))</f>
        <v/>
      </c>
    </row>
    <row r="11928" spans="15:15" x14ac:dyDescent="0.25">
      <c r="O11928" s="20" t="str">
        <f>IF(N11928="","",COUNTIFS(RawData[[Date ]],N11928,RawData[Month List],$Q$6,RawData[Tour/Site],$Q$2,RawData[[Picker ID ]],$Q$3,RawData[Checker ID],$Q$4,RawData[[Error Type ]],$Q$5))</f>
        <v/>
      </c>
    </row>
    <row r="11929" spans="15:15" x14ac:dyDescent="0.25">
      <c r="O11929" s="20" t="str">
        <f>IF(N11929="","",COUNTIFS(RawData[[Date ]],N11929,RawData[Month List],$Q$6,RawData[Tour/Site],$Q$2,RawData[[Picker ID ]],$Q$3,RawData[Checker ID],$Q$4,RawData[[Error Type ]],$Q$5))</f>
        <v/>
      </c>
    </row>
    <row r="11930" spans="15:15" x14ac:dyDescent="0.25">
      <c r="O11930" s="20" t="str">
        <f>IF(N11930="","",COUNTIFS(RawData[[Date ]],N11930,RawData[Month List],$Q$6,RawData[Tour/Site],$Q$2,RawData[[Picker ID ]],$Q$3,RawData[Checker ID],$Q$4,RawData[[Error Type ]],$Q$5))</f>
        <v/>
      </c>
    </row>
    <row r="11931" spans="15:15" x14ac:dyDescent="0.25">
      <c r="O11931" s="20" t="str">
        <f>IF(N11931="","",COUNTIFS(RawData[[Date ]],N11931,RawData[Month List],$Q$6,RawData[Tour/Site],$Q$2,RawData[[Picker ID ]],$Q$3,RawData[Checker ID],$Q$4,RawData[[Error Type ]],$Q$5))</f>
        <v/>
      </c>
    </row>
    <row r="11932" spans="15:15" x14ac:dyDescent="0.25">
      <c r="O11932" s="20" t="str">
        <f>IF(N11932="","",COUNTIFS(RawData[[Date ]],N11932,RawData[Month List],$Q$6,RawData[Tour/Site],$Q$2,RawData[[Picker ID ]],$Q$3,RawData[Checker ID],$Q$4,RawData[[Error Type ]],$Q$5))</f>
        <v/>
      </c>
    </row>
    <row r="11933" spans="15:15" x14ac:dyDescent="0.25">
      <c r="O11933" s="20" t="str">
        <f>IF(N11933="","",COUNTIFS(RawData[[Date ]],N11933,RawData[Month List],$Q$6,RawData[Tour/Site],$Q$2,RawData[[Picker ID ]],$Q$3,RawData[Checker ID],$Q$4,RawData[[Error Type ]],$Q$5))</f>
        <v/>
      </c>
    </row>
    <row r="11934" spans="15:15" x14ac:dyDescent="0.25">
      <c r="O11934" s="20" t="str">
        <f>IF(N11934="","",COUNTIFS(RawData[[Date ]],N11934,RawData[Month List],$Q$6,RawData[Tour/Site],$Q$2,RawData[[Picker ID ]],$Q$3,RawData[Checker ID],$Q$4,RawData[[Error Type ]],$Q$5))</f>
        <v/>
      </c>
    </row>
    <row r="11935" spans="15:15" x14ac:dyDescent="0.25">
      <c r="O11935" s="20" t="str">
        <f>IF(N11935="","",COUNTIFS(RawData[[Date ]],N11935,RawData[Month List],$Q$6,RawData[Tour/Site],$Q$2,RawData[[Picker ID ]],$Q$3,RawData[Checker ID],$Q$4,RawData[[Error Type ]],$Q$5))</f>
        <v/>
      </c>
    </row>
    <row r="11936" spans="15:15" x14ac:dyDescent="0.25">
      <c r="O11936" s="20" t="str">
        <f>IF(N11936="","",COUNTIFS(RawData[[Date ]],N11936,RawData[Month List],$Q$6,RawData[Tour/Site],$Q$2,RawData[[Picker ID ]],$Q$3,RawData[Checker ID],$Q$4,RawData[[Error Type ]],$Q$5))</f>
        <v/>
      </c>
    </row>
    <row r="11937" spans="15:15" x14ac:dyDescent="0.25">
      <c r="O11937" s="20" t="str">
        <f>IF(N11937="","",COUNTIFS(RawData[[Date ]],N11937,RawData[Month List],$Q$6,RawData[Tour/Site],$Q$2,RawData[[Picker ID ]],$Q$3,RawData[Checker ID],$Q$4,RawData[[Error Type ]],$Q$5))</f>
        <v/>
      </c>
    </row>
    <row r="11938" spans="15:15" x14ac:dyDescent="0.25">
      <c r="O11938" s="20" t="str">
        <f>IF(N11938="","",COUNTIFS(RawData[[Date ]],N11938,RawData[Month List],$Q$6,RawData[Tour/Site],$Q$2,RawData[[Picker ID ]],$Q$3,RawData[Checker ID],$Q$4,RawData[[Error Type ]],$Q$5))</f>
        <v/>
      </c>
    </row>
    <row r="11939" spans="15:15" x14ac:dyDescent="0.25">
      <c r="O11939" s="20" t="str">
        <f>IF(N11939="","",COUNTIFS(RawData[[Date ]],N11939,RawData[Month List],$Q$6,RawData[Tour/Site],$Q$2,RawData[[Picker ID ]],$Q$3,RawData[Checker ID],$Q$4,RawData[[Error Type ]],$Q$5))</f>
        <v/>
      </c>
    </row>
    <row r="11940" spans="15:15" x14ac:dyDescent="0.25">
      <c r="O11940" s="20" t="str">
        <f>IF(N11940="","",COUNTIFS(RawData[[Date ]],N11940,RawData[Month List],$Q$6,RawData[Tour/Site],$Q$2,RawData[[Picker ID ]],$Q$3,RawData[Checker ID],$Q$4,RawData[[Error Type ]],$Q$5))</f>
        <v/>
      </c>
    </row>
    <row r="11941" spans="15:15" x14ac:dyDescent="0.25">
      <c r="O11941" s="20" t="str">
        <f>IF(N11941="","",COUNTIFS(RawData[[Date ]],N11941,RawData[Month List],$Q$6,RawData[Tour/Site],$Q$2,RawData[[Picker ID ]],$Q$3,RawData[Checker ID],$Q$4,RawData[[Error Type ]],$Q$5))</f>
        <v/>
      </c>
    </row>
    <row r="11942" spans="15:15" x14ac:dyDescent="0.25">
      <c r="O11942" s="20" t="str">
        <f>IF(N11942="","",COUNTIFS(RawData[[Date ]],N11942,RawData[Month List],$Q$6,RawData[Tour/Site],$Q$2,RawData[[Picker ID ]],$Q$3,RawData[Checker ID],$Q$4,RawData[[Error Type ]],$Q$5))</f>
        <v/>
      </c>
    </row>
    <row r="11943" spans="15:15" x14ac:dyDescent="0.25">
      <c r="O11943" s="20" t="str">
        <f>IF(N11943="","",COUNTIFS(RawData[[Date ]],N11943,RawData[Month List],$Q$6,RawData[Tour/Site],$Q$2,RawData[[Picker ID ]],$Q$3,RawData[Checker ID],$Q$4,RawData[[Error Type ]],$Q$5))</f>
        <v/>
      </c>
    </row>
    <row r="11944" spans="15:15" x14ac:dyDescent="0.25">
      <c r="O11944" s="20" t="str">
        <f>IF(N11944="","",COUNTIFS(RawData[[Date ]],N11944,RawData[Month List],$Q$6,RawData[Tour/Site],$Q$2,RawData[[Picker ID ]],$Q$3,RawData[Checker ID],$Q$4,RawData[[Error Type ]],$Q$5))</f>
        <v/>
      </c>
    </row>
    <row r="11945" spans="15:15" x14ac:dyDescent="0.25">
      <c r="O11945" s="20" t="str">
        <f>IF(N11945="","",COUNTIFS(RawData[[Date ]],N11945,RawData[Month List],$Q$6,RawData[Tour/Site],$Q$2,RawData[[Picker ID ]],$Q$3,RawData[Checker ID],$Q$4,RawData[[Error Type ]],$Q$5))</f>
        <v/>
      </c>
    </row>
    <row r="11946" spans="15:15" x14ac:dyDescent="0.25">
      <c r="O11946" s="20" t="str">
        <f>IF(N11946="","",COUNTIFS(RawData[[Date ]],N11946,RawData[Month List],$Q$6,RawData[Tour/Site],$Q$2,RawData[[Picker ID ]],$Q$3,RawData[Checker ID],$Q$4,RawData[[Error Type ]],$Q$5))</f>
        <v/>
      </c>
    </row>
    <row r="11947" spans="15:15" x14ac:dyDescent="0.25">
      <c r="O11947" s="20" t="str">
        <f>IF(N11947="","",COUNTIFS(RawData[[Date ]],N11947,RawData[Month List],$Q$6,RawData[Tour/Site],$Q$2,RawData[[Picker ID ]],$Q$3,RawData[Checker ID],$Q$4,RawData[[Error Type ]],$Q$5))</f>
        <v/>
      </c>
    </row>
    <row r="11948" spans="15:15" x14ac:dyDescent="0.25">
      <c r="O11948" s="20" t="str">
        <f>IF(N11948="","",COUNTIFS(RawData[[Date ]],N11948,RawData[Month List],$Q$6,RawData[Tour/Site],$Q$2,RawData[[Picker ID ]],$Q$3,RawData[Checker ID],$Q$4,RawData[[Error Type ]],$Q$5))</f>
        <v/>
      </c>
    </row>
    <row r="11949" spans="15:15" x14ac:dyDescent="0.25">
      <c r="O11949" s="20" t="str">
        <f>IF(N11949="","",COUNTIFS(RawData[[Date ]],N11949,RawData[Month List],$Q$6,RawData[Tour/Site],$Q$2,RawData[[Picker ID ]],$Q$3,RawData[Checker ID],$Q$4,RawData[[Error Type ]],$Q$5))</f>
        <v/>
      </c>
    </row>
    <row r="11950" spans="15:15" x14ac:dyDescent="0.25">
      <c r="O11950" s="20" t="str">
        <f>IF(N11950="","",COUNTIFS(RawData[[Date ]],N11950,RawData[Month List],$Q$6,RawData[Tour/Site],$Q$2,RawData[[Picker ID ]],$Q$3,RawData[Checker ID],$Q$4,RawData[[Error Type ]],$Q$5))</f>
        <v/>
      </c>
    </row>
    <row r="11951" spans="15:15" x14ac:dyDescent="0.25">
      <c r="O11951" s="20" t="str">
        <f>IF(N11951="","",COUNTIFS(RawData[[Date ]],N11951,RawData[Month List],$Q$6,RawData[Tour/Site],$Q$2,RawData[[Picker ID ]],$Q$3,RawData[Checker ID],$Q$4,RawData[[Error Type ]],$Q$5))</f>
        <v/>
      </c>
    </row>
    <row r="11952" spans="15:15" x14ac:dyDescent="0.25">
      <c r="O11952" s="20" t="str">
        <f>IF(N11952="","",COUNTIFS(RawData[[Date ]],N11952,RawData[Month List],$Q$6,RawData[Tour/Site],$Q$2,RawData[[Picker ID ]],$Q$3,RawData[Checker ID],$Q$4,RawData[[Error Type ]],$Q$5))</f>
        <v/>
      </c>
    </row>
    <row r="11953" spans="15:15" x14ac:dyDescent="0.25">
      <c r="O11953" s="20" t="str">
        <f>IF(N11953="","",COUNTIFS(RawData[[Date ]],N11953,RawData[Month List],$Q$6,RawData[Tour/Site],$Q$2,RawData[[Picker ID ]],$Q$3,RawData[Checker ID],$Q$4,RawData[[Error Type ]],$Q$5))</f>
        <v/>
      </c>
    </row>
    <row r="11954" spans="15:15" x14ac:dyDescent="0.25">
      <c r="O11954" s="20" t="str">
        <f>IF(N11954="","",COUNTIFS(RawData[[Date ]],N11954,RawData[Month List],$Q$6,RawData[Tour/Site],$Q$2,RawData[[Picker ID ]],$Q$3,RawData[Checker ID],$Q$4,RawData[[Error Type ]],$Q$5))</f>
        <v/>
      </c>
    </row>
    <row r="11955" spans="15:15" x14ac:dyDescent="0.25">
      <c r="O11955" s="20" t="str">
        <f>IF(N11955="","",COUNTIFS(RawData[[Date ]],N11955,RawData[Month List],$Q$6,RawData[Tour/Site],$Q$2,RawData[[Picker ID ]],$Q$3,RawData[Checker ID],$Q$4,RawData[[Error Type ]],$Q$5))</f>
        <v/>
      </c>
    </row>
    <row r="11956" spans="15:15" x14ac:dyDescent="0.25">
      <c r="O11956" s="20" t="str">
        <f>IF(N11956="","",COUNTIFS(RawData[[Date ]],N11956,RawData[Month List],$Q$6,RawData[Tour/Site],$Q$2,RawData[[Picker ID ]],$Q$3,RawData[Checker ID],$Q$4,RawData[[Error Type ]],$Q$5))</f>
        <v/>
      </c>
    </row>
    <row r="11957" spans="15:15" x14ac:dyDescent="0.25">
      <c r="O11957" s="20" t="str">
        <f>IF(N11957="","",COUNTIFS(RawData[[Date ]],N11957,RawData[Month List],$Q$6,RawData[Tour/Site],$Q$2,RawData[[Picker ID ]],$Q$3,RawData[Checker ID],$Q$4,RawData[[Error Type ]],$Q$5))</f>
        <v/>
      </c>
    </row>
    <row r="11958" spans="15:15" x14ac:dyDescent="0.25">
      <c r="O11958" s="20" t="str">
        <f>IF(N11958="","",COUNTIFS(RawData[[Date ]],N11958,RawData[Month List],$Q$6,RawData[Tour/Site],$Q$2,RawData[[Picker ID ]],$Q$3,RawData[Checker ID],$Q$4,RawData[[Error Type ]],$Q$5))</f>
        <v/>
      </c>
    </row>
    <row r="11959" spans="15:15" x14ac:dyDescent="0.25">
      <c r="O11959" s="20" t="str">
        <f>IF(N11959="","",COUNTIFS(RawData[[Date ]],N11959,RawData[Month List],$Q$6,RawData[Tour/Site],$Q$2,RawData[[Picker ID ]],$Q$3,RawData[Checker ID],$Q$4,RawData[[Error Type ]],$Q$5))</f>
        <v/>
      </c>
    </row>
    <row r="11960" spans="15:15" x14ac:dyDescent="0.25">
      <c r="O11960" s="20" t="str">
        <f>IF(N11960="","",COUNTIFS(RawData[[Date ]],N11960,RawData[Month List],$Q$6,RawData[Tour/Site],$Q$2,RawData[[Picker ID ]],$Q$3,RawData[Checker ID],$Q$4,RawData[[Error Type ]],$Q$5))</f>
        <v/>
      </c>
    </row>
    <row r="11961" spans="15:15" x14ac:dyDescent="0.25">
      <c r="O11961" s="20" t="str">
        <f>IF(N11961="","",COUNTIFS(RawData[[Date ]],N11961,RawData[Month List],$Q$6,RawData[Tour/Site],$Q$2,RawData[[Picker ID ]],$Q$3,RawData[Checker ID],$Q$4,RawData[[Error Type ]],$Q$5))</f>
        <v/>
      </c>
    </row>
    <row r="11962" spans="15:15" x14ac:dyDescent="0.25">
      <c r="O11962" s="20" t="str">
        <f>IF(N11962="","",COUNTIFS(RawData[[Date ]],N11962,RawData[Month List],$Q$6,RawData[Tour/Site],$Q$2,RawData[[Picker ID ]],$Q$3,RawData[Checker ID],$Q$4,RawData[[Error Type ]],$Q$5))</f>
        <v/>
      </c>
    </row>
    <row r="11963" spans="15:15" x14ac:dyDescent="0.25">
      <c r="O11963" s="20" t="str">
        <f>IF(N11963="","",COUNTIFS(RawData[[Date ]],N11963,RawData[Month List],$Q$6,RawData[Tour/Site],$Q$2,RawData[[Picker ID ]],$Q$3,RawData[Checker ID],$Q$4,RawData[[Error Type ]],$Q$5))</f>
        <v/>
      </c>
    </row>
    <row r="11964" spans="15:15" x14ac:dyDescent="0.25">
      <c r="O11964" s="20" t="str">
        <f>IF(N11964="","",COUNTIFS(RawData[[Date ]],N11964,RawData[Month List],$Q$6,RawData[Tour/Site],$Q$2,RawData[[Picker ID ]],$Q$3,RawData[Checker ID],$Q$4,RawData[[Error Type ]],$Q$5))</f>
        <v/>
      </c>
    </row>
    <row r="11965" spans="15:15" x14ac:dyDescent="0.25">
      <c r="O11965" s="20" t="str">
        <f>IF(N11965="","",COUNTIFS(RawData[[Date ]],N11965,RawData[Month List],$Q$6,RawData[Tour/Site],$Q$2,RawData[[Picker ID ]],$Q$3,RawData[Checker ID],$Q$4,RawData[[Error Type ]],$Q$5))</f>
        <v/>
      </c>
    </row>
    <row r="11966" spans="15:15" x14ac:dyDescent="0.25">
      <c r="O11966" s="20" t="str">
        <f>IF(N11966="","",COUNTIFS(RawData[[Date ]],N11966,RawData[Month List],$Q$6,RawData[Tour/Site],$Q$2,RawData[[Picker ID ]],$Q$3,RawData[Checker ID],$Q$4,RawData[[Error Type ]],$Q$5))</f>
        <v/>
      </c>
    </row>
    <row r="11967" spans="15:15" x14ac:dyDescent="0.25">
      <c r="O11967" s="20" t="str">
        <f>IF(N11967="","",COUNTIFS(RawData[[Date ]],N11967,RawData[Month List],$Q$6,RawData[Tour/Site],$Q$2,RawData[[Picker ID ]],$Q$3,RawData[Checker ID],$Q$4,RawData[[Error Type ]],$Q$5))</f>
        <v/>
      </c>
    </row>
    <row r="11968" spans="15:15" x14ac:dyDescent="0.25">
      <c r="O11968" s="20" t="str">
        <f>IF(N11968="","",COUNTIFS(RawData[[Date ]],N11968,RawData[Month List],$Q$6,RawData[Tour/Site],$Q$2,RawData[[Picker ID ]],$Q$3,RawData[Checker ID],$Q$4,RawData[[Error Type ]],$Q$5))</f>
        <v/>
      </c>
    </row>
    <row r="11969" spans="15:15" x14ac:dyDescent="0.25">
      <c r="O11969" s="20" t="str">
        <f>IF(N11969="","",COUNTIFS(RawData[[Date ]],N11969,RawData[Month List],$Q$6,RawData[Tour/Site],$Q$2,RawData[[Picker ID ]],$Q$3,RawData[Checker ID],$Q$4,RawData[[Error Type ]],$Q$5))</f>
        <v/>
      </c>
    </row>
    <row r="11970" spans="15:15" x14ac:dyDescent="0.25">
      <c r="O11970" s="20" t="str">
        <f>IF(N11970="","",COUNTIFS(RawData[[Date ]],N11970,RawData[Month List],$Q$6,RawData[Tour/Site],$Q$2,RawData[[Picker ID ]],$Q$3,RawData[Checker ID],$Q$4,RawData[[Error Type ]],$Q$5))</f>
        <v/>
      </c>
    </row>
    <row r="11971" spans="15:15" x14ac:dyDescent="0.25">
      <c r="O11971" s="20" t="str">
        <f>IF(N11971="","",COUNTIFS(RawData[[Date ]],N11971,RawData[Month List],$Q$6,RawData[Tour/Site],$Q$2,RawData[[Picker ID ]],$Q$3,RawData[Checker ID],$Q$4,RawData[[Error Type ]],$Q$5))</f>
        <v/>
      </c>
    </row>
    <row r="11972" spans="15:15" x14ac:dyDescent="0.25">
      <c r="O11972" s="20" t="str">
        <f>IF(N11972="","",COUNTIFS(RawData[[Date ]],N11972,RawData[Month List],$Q$6,RawData[Tour/Site],$Q$2,RawData[[Picker ID ]],$Q$3,RawData[Checker ID],$Q$4,RawData[[Error Type ]],$Q$5))</f>
        <v/>
      </c>
    </row>
    <row r="11973" spans="15:15" x14ac:dyDescent="0.25">
      <c r="O11973" s="20" t="str">
        <f>IF(N11973="","",COUNTIFS(RawData[[Date ]],N11973,RawData[Month List],$Q$6,RawData[Tour/Site],$Q$2,RawData[[Picker ID ]],$Q$3,RawData[Checker ID],$Q$4,RawData[[Error Type ]],$Q$5))</f>
        <v/>
      </c>
    </row>
    <row r="11974" spans="15:15" x14ac:dyDescent="0.25">
      <c r="O11974" s="20" t="str">
        <f>IF(N11974="","",COUNTIFS(RawData[[Date ]],N11974,RawData[Month List],$Q$6,RawData[Tour/Site],$Q$2,RawData[[Picker ID ]],$Q$3,RawData[Checker ID],$Q$4,RawData[[Error Type ]],$Q$5))</f>
        <v/>
      </c>
    </row>
    <row r="11975" spans="15:15" x14ac:dyDescent="0.25">
      <c r="O11975" s="20" t="str">
        <f>IF(N11975="","",COUNTIFS(RawData[[Date ]],N11975,RawData[Month List],$Q$6,RawData[Tour/Site],$Q$2,RawData[[Picker ID ]],$Q$3,RawData[Checker ID],$Q$4,RawData[[Error Type ]],$Q$5))</f>
        <v/>
      </c>
    </row>
    <row r="11976" spans="15:15" x14ac:dyDescent="0.25">
      <c r="O11976" s="20" t="str">
        <f>IF(N11976="","",COUNTIFS(RawData[[Date ]],N11976,RawData[Month List],$Q$6,RawData[Tour/Site],$Q$2,RawData[[Picker ID ]],$Q$3,RawData[Checker ID],$Q$4,RawData[[Error Type ]],$Q$5))</f>
        <v/>
      </c>
    </row>
    <row r="11977" spans="15:15" x14ac:dyDescent="0.25">
      <c r="O11977" s="20" t="str">
        <f>IF(N11977="","",COUNTIFS(RawData[[Date ]],N11977,RawData[Month List],$Q$6,RawData[Tour/Site],$Q$2,RawData[[Picker ID ]],$Q$3,RawData[Checker ID],$Q$4,RawData[[Error Type ]],$Q$5))</f>
        <v/>
      </c>
    </row>
    <row r="11978" spans="15:15" x14ac:dyDescent="0.25">
      <c r="O11978" s="20" t="str">
        <f>IF(N11978="","",COUNTIFS(RawData[[Date ]],N11978,RawData[Month List],$Q$6,RawData[Tour/Site],$Q$2,RawData[[Picker ID ]],$Q$3,RawData[Checker ID],$Q$4,RawData[[Error Type ]],$Q$5))</f>
        <v/>
      </c>
    </row>
    <row r="11979" spans="15:15" x14ac:dyDescent="0.25">
      <c r="O11979" s="20" t="str">
        <f>IF(N11979="","",COUNTIFS(RawData[[Date ]],N11979,RawData[Month List],$Q$6,RawData[Tour/Site],$Q$2,RawData[[Picker ID ]],$Q$3,RawData[Checker ID],$Q$4,RawData[[Error Type ]],$Q$5))</f>
        <v/>
      </c>
    </row>
    <row r="11980" spans="15:15" x14ac:dyDescent="0.25">
      <c r="O11980" s="20" t="str">
        <f>IF(N11980="","",COUNTIFS(RawData[[Date ]],N11980,RawData[Month List],$Q$6,RawData[Tour/Site],$Q$2,RawData[[Picker ID ]],$Q$3,RawData[Checker ID],$Q$4,RawData[[Error Type ]],$Q$5))</f>
        <v/>
      </c>
    </row>
    <row r="11981" spans="15:15" x14ac:dyDescent="0.25">
      <c r="O11981" s="20" t="str">
        <f>IF(N11981="","",COUNTIFS(RawData[[Date ]],N11981,RawData[Month List],$Q$6,RawData[Tour/Site],$Q$2,RawData[[Picker ID ]],$Q$3,RawData[Checker ID],$Q$4,RawData[[Error Type ]],$Q$5))</f>
        <v/>
      </c>
    </row>
    <row r="11982" spans="15:15" x14ac:dyDescent="0.25">
      <c r="O11982" s="20" t="str">
        <f>IF(N11982="","",COUNTIFS(RawData[[Date ]],N11982,RawData[Month List],$Q$6,RawData[Tour/Site],$Q$2,RawData[[Picker ID ]],$Q$3,RawData[Checker ID],$Q$4,RawData[[Error Type ]],$Q$5))</f>
        <v/>
      </c>
    </row>
    <row r="11983" spans="15:15" x14ac:dyDescent="0.25">
      <c r="O11983" s="20" t="str">
        <f>IF(N11983="","",COUNTIFS(RawData[[Date ]],N11983,RawData[Month List],$Q$6,RawData[Tour/Site],$Q$2,RawData[[Picker ID ]],$Q$3,RawData[Checker ID],$Q$4,RawData[[Error Type ]],$Q$5))</f>
        <v/>
      </c>
    </row>
    <row r="11984" spans="15:15" x14ac:dyDescent="0.25">
      <c r="O11984" s="20" t="str">
        <f>IF(N11984="","",COUNTIFS(RawData[[Date ]],N11984,RawData[Month List],$Q$6,RawData[Tour/Site],$Q$2,RawData[[Picker ID ]],$Q$3,RawData[Checker ID],$Q$4,RawData[[Error Type ]],$Q$5))</f>
        <v/>
      </c>
    </row>
    <row r="11985" spans="15:15" x14ac:dyDescent="0.25">
      <c r="O11985" s="20" t="str">
        <f>IF(N11985="","",COUNTIFS(RawData[[Date ]],N11985,RawData[Month List],$Q$6,RawData[Tour/Site],$Q$2,RawData[[Picker ID ]],$Q$3,RawData[Checker ID],$Q$4,RawData[[Error Type ]],$Q$5))</f>
        <v/>
      </c>
    </row>
    <row r="11986" spans="15:15" x14ac:dyDescent="0.25">
      <c r="O11986" s="20" t="str">
        <f>IF(N11986="","",COUNTIFS(RawData[[Date ]],N11986,RawData[Month List],$Q$6,RawData[Tour/Site],$Q$2,RawData[[Picker ID ]],$Q$3,RawData[Checker ID],$Q$4,RawData[[Error Type ]],$Q$5))</f>
        <v/>
      </c>
    </row>
    <row r="11987" spans="15:15" x14ac:dyDescent="0.25">
      <c r="O11987" s="20" t="str">
        <f>IF(N11987="","",COUNTIFS(RawData[[Date ]],N11987,RawData[Month List],$Q$6,RawData[Tour/Site],$Q$2,RawData[[Picker ID ]],$Q$3,RawData[Checker ID],$Q$4,RawData[[Error Type ]],$Q$5))</f>
        <v/>
      </c>
    </row>
    <row r="11988" spans="15:15" x14ac:dyDescent="0.25">
      <c r="O11988" s="20" t="str">
        <f>IF(N11988="","",COUNTIFS(RawData[[Date ]],N11988,RawData[Month List],$Q$6,RawData[Tour/Site],$Q$2,RawData[[Picker ID ]],$Q$3,RawData[Checker ID],$Q$4,RawData[[Error Type ]],$Q$5))</f>
        <v/>
      </c>
    </row>
    <row r="11989" spans="15:15" x14ac:dyDescent="0.25">
      <c r="O11989" s="20" t="str">
        <f>IF(N11989="","",COUNTIFS(RawData[[Date ]],N11989,RawData[Month List],$Q$6,RawData[Tour/Site],$Q$2,RawData[[Picker ID ]],$Q$3,RawData[Checker ID],$Q$4,RawData[[Error Type ]],$Q$5))</f>
        <v/>
      </c>
    </row>
    <row r="11990" spans="15:15" x14ac:dyDescent="0.25">
      <c r="O11990" s="20" t="str">
        <f>IF(N11990="","",COUNTIFS(RawData[[Date ]],N11990,RawData[Month List],$Q$6,RawData[Tour/Site],$Q$2,RawData[[Picker ID ]],$Q$3,RawData[Checker ID],$Q$4,RawData[[Error Type ]],$Q$5))</f>
        <v/>
      </c>
    </row>
    <row r="11991" spans="15:15" x14ac:dyDescent="0.25">
      <c r="O11991" s="20" t="str">
        <f>IF(N11991="","",COUNTIFS(RawData[[Date ]],N11991,RawData[Month List],$Q$6,RawData[Tour/Site],$Q$2,RawData[[Picker ID ]],$Q$3,RawData[Checker ID],$Q$4,RawData[[Error Type ]],$Q$5))</f>
        <v/>
      </c>
    </row>
    <row r="11992" spans="15:15" x14ac:dyDescent="0.25">
      <c r="O11992" s="20" t="str">
        <f>IF(N11992="","",COUNTIFS(RawData[[Date ]],N11992,RawData[Month List],$Q$6,RawData[Tour/Site],$Q$2,RawData[[Picker ID ]],$Q$3,RawData[Checker ID],$Q$4,RawData[[Error Type ]],$Q$5))</f>
        <v/>
      </c>
    </row>
    <row r="11993" spans="15:15" x14ac:dyDescent="0.25">
      <c r="O11993" s="20" t="str">
        <f>IF(N11993="","",COUNTIFS(RawData[[Date ]],N11993,RawData[Month List],$Q$6,RawData[Tour/Site],$Q$2,RawData[[Picker ID ]],$Q$3,RawData[Checker ID],$Q$4,RawData[[Error Type ]],$Q$5))</f>
        <v/>
      </c>
    </row>
    <row r="11994" spans="15:15" x14ac:dyDescent="0.25">
      <c r="O11994" s="20" t="str">
        <f>IF(N11994="","",COUNTIFS(RawData[[Date ]],N11994,RawData[Month List],$Q$6,RawData[Tour/Site],$Q$2,RawData[[Picker ID ]],$Q$3,RawData[Checker ID],$Q$4,RawData[[Error Type ]],$Q$5))</f>
        <v/>
      </c>
    </row>
    <row r="11995" spans="15:15" x14ac:dyDescent="0.25">
      <c r="O11995" s="20" t="str">
        <f>IF(N11995="","",COUNTIFS(RawData[[Date ]],N11995,RawData[Month List],$Q$6,RawData[Tour/Site],$Q$2,RawData[[Picker ID ]],$Q$3,RawData[Checker ID],$Q$4,RawData[[Error Type ]],$Q$5))</f>
        <v/>
      </c>
    </row>
    <row r="11996" spans="15:15" x14ac:dyDescent="0.25">
      <c r="O11996" s="20" t="str">
        <f>IF(N11996="","",COUNTIFS(RawData[[Date ]],N11996,RawData[Month List],$Q$6,RawData[Tour/Site],$Q$2,RawData[[Picker ID ]],$Q$3,RawData[Checker ID],$Q$4,RawData[[Error Type ]],$Q$5))</f>
        <v/>
      </c>
    </row>
    <row r="11997" spans="15:15" x14ac:dyDescent="0.25">
      <c r="O11997" s="20" t="str">
        <f>IF(N11997="","",COUNTIFS(RawData[[Date ]],N11997,RawData[Month List],$Q$6,RawData[Tour/Site],$Q$2,RawData[[Picker ID ]],$Q$3,RawData[Checker ID],$Q$4,RawData[[Error Type ]],$Q$5))</f>
        <v/>
      </c>
    </row>
    <row r="11998" spans="15:15" x14ac:dyDescent="0.25">
      <c r="O11998" s="20" t="str">
        <f>IF(N11998="","",COUNTIFS(RawData[[Date ]],N11998,RawData[Month List],$Q$6,RawData[Tour/Site],$Q$2,RawData[[Picker ID ]],$Q$3,RawData[Checker ID],$Q$4,RawData[[Error Type ]],$Q$5))</f>
        <v/>
      </c>
    </row>
    <row r="11999" spans="15:15" x14ac:dyDescent="0.25">
      <c r="O11999" s="20" t="str">
        <f>IF(N11999="","",COUNTIFS(RawData[[Date ]],N11999,RawData[Month List],$Q$6,RawData[Tour/Site],$Q$2,RawData[[Picker ID ]],$Q$3,RawData[Checker ID],$Q$4,RawData[[Error Type ]],$Q$5))</f>
        <v/>
      </c>
    </row>
    <row r="12000" spans="15:15" x14ac:dyDescent="0.25">
      <c r="O12000" s="20" t="str">
        <f>IF(N12000="","",COUNTIFS(RawData[[Date ]],N12000,RawData[Month List],$Q$6,RawData[Tour/Site],$Q$2,RawData[[Picker ID ]],$Q$3,RawData[Checker ID],$Q$4,RawData[[Error Type ]],$Q$5))</f>
        <v/>
      </c>
    </row>
    <row r="12001" spans="15:15" x14ac:dyDescent="0.25">
      <c r="O12001" s="20" t="str">
        <f>IF(N12001="","",COUNTIFS(RawData[[Date ]],N12001,RawData[Month List],$Q$6,RawData[Tour/Site],$Q$2,RawData[[Picker ID ]],$Q$3,RawData[Checker ID],$Q$4,RawData[[Error Type ]],$Q$5))</f>
        <v/>
      </c>
    </row>
    <row r="12002" spans="15:15" x14ac:dyDescent="0.25">
      <c r="O12002" s="20" t="str">
        <f>IF(N12002="","",COUNTIFS(RawData[[Date ]],N12002,RawData[Month List],$Q$6,RawData[Tour/Site],$Q$2,RawData[[Picker ID ]],$Q$3,RawData[Checker ID],$Q$4,RawData[[Error Type ]],$Q$5))</f>
        <v/>
      </c>
    </row>
    <row r="12003" spans="15:15" x14ac:dyDescent="0.25">
      <c r="O12003" s="20" t="str">
        <f>IF(N12003="","",COUNTIFS(RawData[[Date ]],N12003,RawData[Month List],$Q$6,RawData[Tour/Site],$Q$2,RawData[[Picker ID ]],$Q$3,RawData[Checker ID],$Q$4,RawData[[Error Type ]],$Q$5))</f>
        <v/>
      </c>
    </row>
    <row r="12004" spans="15:15" x14ac:dyDescent="0.25">
      <c r="O12004" s="20" t="str">
        <f>IF(N12004="","",COUNTIFS(RawData[[Date ]],N12004,RawData[Month List],$Q$6,RawData[Tour/Site],$Q$2,RawData[[Picker ID ]],$Q$3,RawData[Checker ID],$Q$4,RawData[[Error Type ]],$Q$5))</f>
        <v/>
      </c>
    </row>
    <row r="12005" spans="15:15" x14ac:dyDescent="0.25">
      <c r="O12005" s="20" t="str">
        <f>IF(N12005="","",COUNTIFS(RawData[[Date ]],N12005,RawData[Month List],$Q$6,RawData[Tour/Site],$Q$2,RawData[[Picker ID ]],$Q$3,RawData[Checker ID],$Q$4,RawData[[Error Type ]],$Q$5))</f>
        <v/>
      </c>
    </row>
    <row r="12006" spans="15:15" x14ac:dyDescent="0.25">
      <c r="O12006" s="20" t="str">
        <f>IF(N12006="","",COUNTIFS(RawData[[Date ]],N12006,RawData[Month List],$Q$6,RawData[Tour/Site],$Q$2,RawData[[Picker ID ]],$Q$3,RawData[Checker ID],$Q$4,RawData[[Error Type ]],$Q$5))</f>
        <v/>
      </c>
    </row>
    <row r="12007" spans="15:15" x14ac:dyDescent="0.25">
      <c r="O12007" s="20" t="str">
        <f>IF(N12007="","",COUNTIFS(RawData[[Date ]],N12007,RawData[Month List],$Q$6,RawData[Tour/Site],$Q$2,RawData[[Picker ID ]],$Q$3,RawData[Checker ID],$Q$4,RawData[[Error Type ]],$Q$5))</f>
        <v/>
      </c>
    </row>
    <row r="12008" spans="15:15" x14ac:dyDescent="0.25">
      <c r="O12008" s="20" t="str">
        <f>IF(N12008="","",COUNTIFS(RawData[[Date ]],N12008,RawData[Month List],$Q$6,RawData[Tour/Site],$Q$2,RawData[[Picker ID ]],$Q$3,RawData[Checker ID],$Q$4,RawData[[Error Type ]],$Q$5))</f>
        <v/>
      </c>
    </row>
    <row r="12009" spans="15:15" x14ac:dyDescent="0.25">
      <c r="O12009" s="20" t="str">
        <f>IF(N12009="","",COUNTIFS(RawData[[Date ]],N12009,RawData[Month List],$Q$6,RawData[Tour/Site],$Q$2,RawData[[Picker ID ]],$Q$3,RawData[Checker ID],$Q$4,RawData[[Error Type ]],$Q$5))</f>
        <v/>
      </c>
    </row>
    <row r="12010" spans="15:15" x14ac:dyDescent="0.25">
      <c r="O12010" s="20" t="str">
        <f>IF(N12010="","",COUNTIFS(RawData[[Date ]],N12010,RawData[Month List],$Q$6,RawData[Tour/Site],$Q$2,RawData[[Picker ID ]],$Q$3,RawData[Checker ID],$Q$4,RawData[[Error Type ]],$Q$5))</f>
        <v/>
      </c>
    </row>
    <row r="12011" spans="15:15" x14ac:dyDescent="0.25">
      <c r="O12011" s="20" t="str">
        <f>IF(N12011="","",COUNTIFS(RawData[[Date ]],N12011,RawData[Month List],$Q$6,RawData[Tour/Site],$Q$2,RawData[[Picker ID ]],$Q$3,RawData[Checker ID],$Q$4,RawData[[Error Type ]],$Q$5))</f>
        <v/>
      </c>
    </row>
    <row r="12012" spans="15:15" x14ac:dyDescent="0.25">
      <c r="O12012" s="20" t="str">
        <f>IF(N12012="","",COUNTIFS(RawData[[Date ]],N12012,RawData[Month List],$Q$6,RawData[Tour/Site],$Q$2,RawData[[Picker ID ]],$Q$3,RawData[Checker ID],$Q$4,RawData[[Error Type ]],$Q$5))</f>
        <v/>
      </c>
    </row>
    <row r="12013" spans="15:15" x14ac:dyDescent="0.25">
      <c r="O12013" s="20" t="str">
        <f>IF(N12013="","",COUNTIFS(RawData[[Date ]],N12013,RawData[Month List],$Q$6,RawData[Tour/Site],$Q$2,RawData[[Picker ID ]],$Q$3,RawData[Checker ID],$Q$4,RawData[[Error Type ]],$Q$5))</f>
        <v/>
      </c>
    </row>
    <row r="12014" spans="15:15" x14ac:dyDescent="0.25">
      <c r="O12014" s="20" t="str">
        <f>IF(N12014="","",COUNTIFS(RawData[[Date ]],N12014,RawData[Month List],$Q$6,RawData[Tour/Site],$Q$2,RawData[[Picker ID ]],$Q$3,RawData[Checker ID],$Q$4,RawData[[Error Type ]],$Q$5))</f>
        <v/>
      </c>
    </row>
    <row r="12015" spans="15:15" x14ac:dyDescent="0.25">
      <c r="O12015" s="20" t="str">
        <f>IF(N12015="","",COUNTIFS(RawData[[Date ]],N12015,RawData[Month List],$Q$6,RawData[Tour/Site],$Q$2,RawData[[Picker ID ]],$Q$3,RawData[Checker ID],$Q$4,RawData[[Error Type ]],$Q$5))</f>
        <v/>
      </c>
    </row>
    <row r="12016" spans="15:15" x14ac:dyDescent="0.25">
      <c r="O12016" s="20" t="str">
        <f>IF(N12016="","",COUNTIFS(RawData[[Date ]],N12016,RawData[Month List],$Q$6,RawData[Tour/Site],$Q$2,RawData[[Picker ID ]],$Q$3,RawData[Checker ID],$Q$4,RawData[[Error Type ]],$Q$5))</f>
        <v/>
      </c>
    </row>
    <row r="12017" spans="15:15" x14ac:dyDescent="0.25">
      <c r="O12017" s="20" t="str">
        <f>IF(N12017="","",COUNTIFS(RawData[[Date ]],N12017,RawData[Month List],$Q$6,RawData[Tour/Site],$Q$2,RawData[[Picker ID ]],$Q$3,RawData[Checker ID],$Q$4,RawData[[Error Type ]],$Q$5))</f>
        <v/>
      </c>
    </row>
    <row r="12018" spans="15:15" x14ac:dyDescent="0.25">
      <c r="O12018" s="20" t="str">
        <f>IF(N12018="","",COUNTIFS(RawData[[Date ]],N12018,RawData[Month List],$Q$6,RawData[Tour/Site],$Q$2,RawData[[Picker ID ]],$Q$3,RawData[Checker ID],$Q$4,RawData[[Error Type ]],$Q$5))</f>
        <v/>
      </c>
    </row>
    <row r="12019" spans="15:15" x14ac:dyDescent="0.25">
      <c r="O12019" s="20" t="str">
        <f>IF(N12019="","",COUNTIFS(RawData[[Date ]],N12019,RawData[Month List],$Q$6,RawData[Tour/Site],$Q$2,RawData[[Picker ID ]],$Q$3,RawData[Checker ID],$Q$4,RawData[[Error Type ]],$Q$5))</f>
        <v/>
      </c>
    </row>
    <row r="12020" spans="15:15" x14ac:dyDescent="0.25">
      <c r="O12020" s="20" t="str">
        <f>IF(N12020="","",COUNTIFS(RawData[[Date ]],N12020,RawData[Month List],$Q$6,RawData[Tour/Site],$Q$2,RawData[[Picker ID ]],$Q$3,RawData[Checker ID],$Q$4,RawData[[Error Type ]],$Q$5))</f>
        <v/>
      </c>
    </row>
    <row r="12021" spans="15:15" x14ac:dyDescent="0.25">
      <c r="O12021" s="20" t="str">
        <f>IF(N12021="","",COUNTIFS(RawData[[Date ]],N12021,RawData[Month List],$Q$6,RawData[Tour/Site],$Q$2,RawData[[Picker ID ]],$Q$3,RawData[Checker ID],$Q$4,RawData[[Error Type ]],$Q$5))</f>
        <v/>
      </c>
    </row>
    <row r="12022" spans="15:15" x14ac:dyDescent="0.25">
      <c r="O12022" s="20" t="str">
        <f>IF(N12022="","",COUNTIFS(RawData[[Date ]],N12022,RawData[Month List],$Q$6,RawData[Tour/Site],$Q$2,RawData[[Picker ID ]],$Q$3,RawData[Checker ID],$Q$4,RawData[[Error Type ]],$Q$5))</f>
        <v/>
      </c>
    </row>
    <row r="12023" spans="15:15" x14ac:dyDescent="0.25">
      <c r="O12023" s="20" t="str">
        <f>IF(N12023="","",COUNTIFS(RawData[[Date ]],N12023,RawData[Month List],$Q$6,RawData[Tour/Site],$Q$2,RawData[[Picker ID ]],$Q$3,RawData[Checker ID],$Q$4,RawData[[Error Type ]],$Q$5))</f>
        <v/>
      </c>
    </row>
    <row r="12024" spans="15:15" x14ac:dyDescent="0.25">
      <c r="O12024" s="20" t="str">
        <f>IF(N12024="","",COUNTIFS(RawData[[Date ]],N12024,RawData[Month List],$Q$6,RawData[Tour/Site],$Q$2,RawData[[Picker ID ]],$Q$3,RawData[Checker ID],$Q$4,RawData[[Error Type ]],$Q$5))</f>
        <v/>
      </c>
    </row>
    <row r="12025" spans="15:15" x14ac:dyDescent="0.25">
      <c r="O12025" s="20" t="str">
        <f>IF(N12025="","",COUNTIFS(RawData[[Date ]],N12025,RawData[Month List],$Q$6,RawData[Tour/Site],$Q$2,RawData[[Picker ID ]],$Q$3,RawData[Checker ID],$Q$4,RawData[[Error Type ]],$Q$5))</f>
        <v/>
      </c>
    </row>
    <row r="12026" spans="15:15" x14ac:dyDescent="0.25">
      <c r="O12026" s="20" t="str">
        <f>IF(N12026="","",COUNTIFS(RawData[[Date ]],N12026,RawData[Month List],$Q$6,RawData[Tour/Site],$Q$2,RawData[[Picker ID ]],$Q$3,RawData[Checker ID],$Q$4,RawData[[Error Type ]],$Q$5))</f>
        <v/>
      </c>
    </row>
    <row r="12027" spans="15:15" x14ac:dyDescent="0.25">
      <c r="O12027" s="20" t="str">
        <f>IF(N12027="","",COUNTIFS(RawData[[Date ]],N12027,RawData[Month List],$Q$6,RawData[Tour/Site],$Q$2,RawData[[Picker ID ]],$Q$3,RawData[Checker ID],$Q$4,RawData[[Error Type ]],$Q$5))</f>
        <v/>
      </c>
    </row>
    <row r="12028" spans="15:15" x14ac:dyDescent="0.25">
      <c r="O12028" s="20" t="str">
        <f>IF(N12028="","",COUNTIFS(RawData[[Date ]],N12028,RawData[Month List],$Q$6,RawData[Tour/Site],$Q$2,RawData[[Picker ID ]],$Q$3,RawData[Checker ID],$Q$4,RawData[[Error Type ]],$Q$5))</f>
        <v/>
      </c>
    </row>
    <row r="12029" spans="15:15" x14ac:dyDescent="0.25">
      <c r="O12029" s="20" t="str">
        <f>IF(N12029="","",COUNTIFS(RawData[[Date ]],N12029,RawData[Month List],$Q$6,RawData[Tour/Site],$Q$2,RawData[[Picker ID ]],$Q$3,RawData[Checker ID],$Q$4,RawData[[Error Type ]],$Q$5))</f>
        <v/>
      </c>
    </row>
    <row r="12030" spans="15:15" x14ac:dyDescent="0.25">
      <c r="O12030" s="20" t="str">
        <f>IF(N12030="","",COUNTIFS(RawData[[Date ]],N12030,RawData[Month List],$Q$6,RawData[Tour/Site],$Q$2,RawData[[Picker ID ]],$Q$3,RawData[Checker ID],$Q$4,RawData[[Error Type ]],$Q$5))</f>
        <v/>
      </c>
    </row>
    <row r="12031" spans="15:15" x14ac:dyDescent="0.25">
      <c r="O12031" s="20" t="str">
        <f>IF(N12031="","",COUNTIFS(RawData[[Date ]],N12031,RawData[Month List],$Q$6,RawData[Tour/Site],$Q$2,RawData[[Picker ID ]],$Q$3,RawData[Checker ID],$Q$4,RawData[[Error Type ]],$Q$5))</f>
        <v/>
      </c>
    </row>
    <row r="12032" spans="15:15" x14ac:dyDescent="0.25">
      <c r="O12032" s="20" t="str">
        <f>IF(N12032="","",COUNTIFS(RawData[[Date ]],N12032,RawData[Month List],$Q$6,RawData[Tour/Site],$Q$2,RawData[[Picker ID ]],$Q$3,RawData[Checker ID],$Q$4,RawData[[Error Type ]],$Q$5))</f>
        <v/>
      </c>
    </row>
    <row r="12033" spans="15:15" x14ac:dyDescent="0.25">
      <c r="O12033" s="20" t="str">
        <f>IF(N12033="","",COUNTIFS(RawData[[Date ]],N12033,RawData[Month List],$Q$6,RawData[Tour/Site],$Q$2,RawData[[Picker ID ]],$Q$3,RawData[Checker ID],$Q$4,RawData[[Error Type ]],$Q$5))</f>
        <v/>
      </c>
    </row>
    <row r="12034" spans="15:15" x14ac:dyDescent="0.25">
      <c r="O12034" s="20" t="str">
        <f>IF(N12034="","",COUNTIFS(RawData[[Date ]],N12034,RawData[Month List],$Q$6,RawData[Tour/Site],$Q$2,RawData[[Picker ID ]],$Q$3,RawData[Checker ID],$Q$4,RawData[[Error Type ]],$Q$5))</f>
        <v/>
      </c>
    </row>
    <row r="12035" spans="15:15" x14ac:dyDescent="0.25">
      <c r="O12035" s="20" t="str">
        <f>IF(N12035="","",COUNTIFS(RawData[[Date ]],N12035,RawData[Month List],$Q$6,RawData[Tour/Site],$Q$2,RawData[[Picker ID ]],$Q$3,RawData[Checker ID],$Q$4,RawData[[Error Type ]],$Q$5))</f>
        <v/>
      </c>
    </row>
    <row r="12036" spans="15:15" x14ac:dyDescent="0.25">
      <c r="O12036" s="20" t="str">
        <f>IF(N12036="","",COUNTIFS(RawData[[Date ]],N12036,RawData[Month List],$Q$6,RawData[Tour/Site],$Q$2,RawData[[Picker ID ]],$Q$3,RawData[Checker ID],$Q$4,RawData[[Error Type ]],$Q$5))</f>
        <v/>
      </c>
    </row>
    <row r="12037" spans="15:15" x14ac:dyDescent="0.25">
      <c r="O12037" s="20" t="str">
        <f>IF(N12037="","",COUNTIFS(RawData[[Date ]],N12037,RawData[Month List],$Q$6,RawData[Tour/Site],$Q$2,RawData[[Picker ID ]],$Q$3,RawData[Checker ID],$Q$4,RawData[[Error Type ]],$Q$5))</f>
        <v/>
      </c>
    </row>
    <row r="12038" spans="15:15" x14ac:dyDescent="0.25">
      <c r="O12038" s="20" t="str">
        <f>IF(N12038="","",COUNTIFS(RawData[[Date ]],N12038,RawData[Month List],$Q$6,RawData[Tour/Site],$Q$2,RawData[[Picker ID ]],$Q$3,RawData[Checker ID],$Q$4,RawData[[Error Type ]],$Q$5))</f>
        <v/>
      </c>
    </row>
    <row r="12039" spans="15:15" x14ac:dyDescent="0.25">
      <c r="O12039" s="20" t="str">
        <f>IF(N12039="","",COUNTIFS(RawData[[Date ]],N12039,RawData[Month List],$Q$6,RawData[Tour/Site],$Q$2,RawData[[Picker ID ]],$Q$3,RawData[Checker ID],$Q$4,RawData[[Error Type ]],$Q$5))</f>
        <v/>
      </c>
    </row>
    <row r="12040" spans="15:15" x14ac:dyDescent="0.25">
      <c r="O12040" s="20" t="str">
        <f>IF(N12040="","",COUNTIFS(RawData[[Date ]],N12040,RawData[Month List],$Q$6,RawData[Tour/Site],$Q$2,RawData[[Picker ID ]],$Q$3,RawData[Checker ID],$Q$4,RawData[[Error Type ]],$Q$5))</f>
        <v/>
      </c>
    </row>
    <row r="12041" spans="15:15" x14ac:dyDescent="0.25">
      <c r="O12041" s="20" t="str">
        <f>IF(N12041="","",COUNTIFS(RawData[[Date ]],N12041,RawData[Month List],$Q$6,RawData[Tour/Site],$Q$2,RawData[[Picker ID ]],$Q$3,RawData[Checker ID],$Q$4,RawData[[Error Type ]],$Q$5))</f>
        <v/>
      </c>
    </row>
    <row r="12042" spans="15:15" x14ac:dyDescent="0.25">
      <c r="O12042" s="20" t="str">
        <f>IF(N12042="","",COUNTIFS(RawData[[Date ]],N12042,RawData[Month List],$Q$6,RawData[Tour/Site],$Q$2,RawData[[Picker ID ]],$Q$3,RawData[Checker ID],$Q$4,RawData[[Error Type ]],$Q$5))</f>
        <v/>
      </c>
    </row>
    <row r="12043" spans="15:15" x14ac:dyDescent="0.25">
      <c r="O12043" s="20" t="str">
        <f>IF(N12043="","",COUNTIFS(RawData[[Date ]],N12043,RawData[Month List],$Q$6,RawData[Tour/Site],$Q$2,RawData[[Picker ID ]],$Q$3,RawData[Checker ID],$Q$4,RawData[[Error Type ]],$Q$5))</f>
        <v/>
      </c>
    </row>
    <row r="12044" spans="15:15" x14ac:dyDescent="0.25">
      <c r="O12044" s="20" t="str">
        <f>IF(N12044="","",COUNTIFS(RawData[[Date ]],N12044,RawData[Month List],$Q$6,RawData[Tour/Site],$Q$2,RawData[[Picker ID ]],$Q$3,RawData[Checker ID],$Q$4,RawData[[Error Type ]],$Q$5))</f>
        <v/>
      </c>
    </row>
    <row r="12045" spans="15:15" x14ac:dyDescent="0.25">
      <c r="O12045" s="20" t="str">
        <f>IF(N12045="","",COUNTIFS(RawData[[Date ]],N12045,RawData[Month List],$Q$6,RawData[Tour/Site],$Q$2,RawData[[Picker ID ]],$Q$3,RawData[Checker ID],$Q$4,RawData[[Error Type ]],$Q$5))</f>
        <v/>
      </c>
    </row>
    <row r="12046" spans="15:15" x14ac:dyDescent="0.25">
      <c r="O12046" s="20" t="str">
        <f>IF(N12046="","",COUNTIFS(RawData[[Date ]],N12046,RawData[Month List],$Q$6,RawData[Tour/Site],$Q$2,RawData[[Picker ID ]],$Q$3,RawData[Checker ID],$Q$4,RawData[[Error Type ]],$Q$5))</f>
        <v/>
      </c>
    </row>
    <row r="12047" spans="15:15" x14ac:dyDescent="0.25">
      <c r="O12047" s="20" t="str">
        <f>IF(N12047="","",COUNTIFS(RawData[[Date ]],N12047,RawData[Month List],$Q$6,RawData[Tour/Site],$Q$2,RawData[[Picker ID ]],$Q$3,RawData[Checker ID],$Q$4,RawData[[Error Type ]],$Q$5))</f>
        <v/>
      </c>
    </row>
    <row r="12048" spans="15:15" x14ac:dyDescent="0.25">
      <c r="O12048" s="20" t="str">
        <f>IF(N12048="","",COUNTIFS(RawData[[Date ]],N12048,RawData[Month List],$Q$6,RawData[Tour/Site],$Q$2,RawData[[Picker ID ]],$Q$3,RawData[Checker ID],$Q$4,RawData[[Error Type ]],$Q$5))</f>
        <v/>
      </c>
    </row>
    <row r="12049" spans="15:15" x14ac:dyDescent="0.25">
      <c r="O12049" s="20" t="str">
        <f>IF(N12049="","",COUNTIFS(RawData[[Date ]],N12049,RawData[Month List],$Q$6,RawData[Tour/Site],$Q$2,RawData[[Picker ID ]],$Q$3,RawData[Checker ID],$Q$4,RawData[[Error Type ]],$Q$5))</f>
        <v/>
      </c>
    </row>
    <row r="12050" spans="15:15" x14ac:dyDescent="0.25">
      <c r="O12050" s="20" t="str">
        <f>IF(N12050="","",COUNTIFS(RawData[[Date ]],N12050,RawData[Month List],$Q$6,RawData[Tour/Site],$Q$2,RawData[[Picker ID ]],$Q$3,RawData[Checker ID],$Q$4,RawData[[Error Type ]],$Q$5))</f>
        <v/>
      </c>
    </row>
    <row r="12051" spans="15:15" x14ac:dyDescent="0.25">
      <c r="O12051" s="20" t="str">
        <f>IF(N12051="","",COUNTIFS(RawData[[Date ]],N12051,RawData[Month List],$Q$6,RawData[Tour/Site],$Q$2,RawData[[Picker ID ]],$Q$3,RawData[Checker ID],$Q$4,RawData[[Error Type ]],$Q$5))</f>
        <v/>
      </c>
    </row>
    <row r="12052" spans="15:15" x14ac:dyDescent="0.25">
      <c r="O12052" s="20" t="str">
        <f>IF(N12052="","",COUNTIFS(RawData[[Date ]],N12052,RawData[Month List],$Q$6,RawData[Tour/Site],$Q$2,RawData[[Picker ID ]],$Q$3,RawData[Checker ID],$Q$4,RawData[[Error Type ]],$Q$5))</f>
        <v/>
      </c>
    </row>
    <row r="12053" spans="15:15" x14ac:dyDescent="0.25">
      <c r="O12053" s="20" t="str">
        <f>IF(N12053="","",COUNTIFS(RawData[[Date ]],N12053,RawData[Month List],$Q$6,RawData[Tour/Site],$Q$2,RawData[[Picker ID ]],$Q$3,RawData[Checker ID],$Q$4,RawData[[Error Type ]],$Q$5))</f>
        <v/>
      </c>
    </row>
    <row r="12054" spans="15:15" x14ac:dyDescent="0.25">
      <c r="O12054" s="20" t="str">
        <f>IF(N12054="","",COUNTIFS(RawData[[Date ]],N12054,RawData[Month List],$Q$6,RawData[Tour/Site],$Q$2,RawData[[Picker ID ]],$Q$3,RawData[Checker ID],$Q$4,RawData[[Error Type ]],$Q$5))</f>
        <v/>
      </c>
    </row>
    <row r="12055" spans="15:15" x14ac:dyDescent="0.25">
      <c r="O12055" s="20" t="str">
        <f>IF(N12055="","",COUNTIFS(RawData[[Date ]],N12055,RawData[Month List],$Q$6,RawData[Tour/Site],$Q$2,RawData[[Picker ID ]],$Q$3,RawData[Checker ID],$Q$4,RawData[[Error Type ]],$Q$5))</f>
        <v/>
      </c>
    </row>
    <row r="12056" spans="15:15" x14ac:dyDescent="0.25">
      <c r="O12056" s="20" t="str">
        <f>IF(N12056="","",COUNTIFS(RawData[[Date ]],N12056,RawData[Month List],$Q$6,RawData[Tour/Site],$Q$2,RawData[[Picker ID ]],$Q$3,RawData[Checker ID],$Q$4,RawData[[Error Type ]],$Q$5))</f>
        <v/>
      </c>
    </row>
    <row r="12057" spans="15:15" x14ac:dyDescent="0.25">
      <c r="O12057" s="20" t="str">
        <f>IF(N12057="","",COUNTIFS(RawData[[Date ]],N12057,RawData[Month List],$Q$6,RawData[Tour/Site],$Q$2,RawData[[Picker ID ]],$Q$3,RawData[Checker ID],$Q$4,RawData[[Error Type ]],$Q$5))</f>
        <v/>
      </c>
    </row>
    <row r="12058" spans="15:15" x14ac:dyDescent="0.25">
      <c r="O12058" s="20" t="str">
        <f>IF(N12058="","",COUNTIFS(RawData[[Date ]],N12058,RawData[Month List],$Q$6,RawData[Tour/Site],$Q$2,RawData[[Picker ID ]],$Q$3,RawData[Checker ID],$Q$4,RawData[[Error Type ]],$Q$5))</f>
        <v/>
      </c>
    </row>
    <row r="12059" spans="15:15" x14ac:dyDescent="0.25">
      <c r="O12059" s="20" t="str">
        <f>IF(N12059="","",COUNTIFS(RawData[[Date ]],N12059,RawData[Month List],$Q$6,RawData[Tour/Site],$Q$2,RawData[[Picker ID ]],$Q$3,RawData[Checker ID],$Q$4,RawData[[Error Type ]],$Q$5))</f>
        <v/>
      </c>
    </row>
    <row r="12060" spans="15:15" x14ac:dyDescent="0.25">
      <c r="O12060" s="20" t="str">
        <f>IF(N12060="","",COUNTIFS(RawData[[Date ]],N12060,RawData[Month List],$Q$6,RawData[Tour/Site],$Q$2,RawData[[Picker ID ]],$Q$3,RawData[Checker ID],$Q$4,RawData[[Error Type ]],$Q$5))</f>
        <v/>
      </c>
    </row>
    <row r="12061" spans="15:15" x14ac:dyDescent="0.25">
      <c r="O12061" s="20" t="str">
        <f>IF(N12061="","",COUNTIFS(RawData[[Date ]],N12061,RawData[Month List],$Q$6,RawData[Tour/Site],$Q$2,RawData[[Picker ID ]],$Q$3,RawData[Checker ID],$Q$4,RawData[[Error Type ]],$Q$5))</f>
        <v/>
      </c>
    </row>
    <row r="12062" spans="15:15" x14ac:dyDescent="0.25">
      <c r="O12062" s="20" t="str">
        <f>IF(N12062="","",COUNTIFS(RawData[[Date ]],N12062,RawData[Month List],$Q$6,RawData[Tour/Site],$Q$2,RawData[[Picker ID ]],$Q$3,RawData[Checker ID],$Q$4,RawData[[Error Type ]],$Q$5))</f>
        <v/>
      </c>
    </row>
    <row r="12063" spans="15:15" x14ac:dyDescent="0.25">
      <c r="O12063" s="20" t="str">
        <f>IF(N12063="","",COUNTIFS(RawData[[Date ]],N12063,RawData[Month List],$Q$6,RawData[Tour/Site],$Q$2,RawData[[Picker ID ]],$Q$3,RawData[Checker ID],$Q$4,RawData[[Error Type ]],$Q$5))</f>
        <v/>
      </c>
    </row>
    <row r="12064" spans="15:15" x14ac:dyDescent="0.25">
      <c r="O12064" s="20" t="str">
        <f>IF(N12064="","",COUNTIFS(RawData[[Date ]],N12064,RawData[Month List],$Q$6,RawData[Tour/Site],$Q$2,RawData[[Picker ID ]],$Q$3,RawData[Checker ID],$Q$4,RawData[[Error Type ]],$Q$5))</f>
        <v/>
      </c>
    </row>
    <row r="12065" spans="15:15" x14ac:dyDescent="0.25">
      <c r="O12065" s="20" t="str">
        <f>IF(N12065="","",COUNTIFS(RawData[[Date ]],N12065,RawData[Month List],$Q$6,RawData[Tour/Site],$Q$2,RawData[[Picker ID ]],$Q$3,RawData[Checker ID],$Q$4,RawData[[Error Type ]],$Q$5))</f>
        <v/>
      </c>
    </row>
    <row r="12066" spans="15:15" x14ac:dyDescent="0.25">
      <c r="O12066" s="20" t="str">
        <f>IF(N12066="","",COUNTIFS(RawData[[Date ]],N12066,RawData[Month List],$Q$6,RawData[Tour/Site],$Q$2,RawData[[Picker ID ]],$Q$3,RawData[Checker ID],$Q$4,RawData[[Error Type ]],$Q$5))</f>
        <v/>
      </c>
    </row>
    <row r="12067" spans="15:15" x14ac:dyDescent="0.25">
      <c r="O12067" s="20" t="str">
        <f>IF(N12067="","",COUNTIFS(RawData[[Date ]],N12067,RawData[Month List],$Q$6,RawData[Tour/Site],$Q$2,RawData[[Picker ID ]],$Q$3,RawData[Checker ID],$Q$4,RawData[[Error Type ]],$Q$5))</f>
        <v/>
      </c>
    </row>
    <row r="12068" spans="15:15" x14ac:dyDescent="0.25">
      <c r="O12068" s="20" t="str">
        <f>IF(N12068="","",COUNTIFS(RawData[[Date ]],N12068,RawData[Month List],$Q$6,RawData[Tour/Site],$Q$2,RawData[[Picker ID ]],$Q$3,RawData[Checker ID],$Q$4,RawData[[Error Type ]],$Q$5))</f>
        <v/>
      </c>
    </row>
    <row r="12069" spans="15:15" x14ac:dyDescent="0.25">
      <c r="O12069" s="20" t="str">
        <f>IF(N12069="","",COUNTIFS(RawData[[Date ]],N12069,RawData[Month List],$Q$6,RawData[Tour/Site],$Q$2,RawData[[Picker ID ]],$Q$3,RawData[Checker ID],$Q$4,RawData[[Error Type ]],$Q$5))</f>
        <v/>
      </c>
    </row>
    <row r="12070" spans="15:15" x14ac:dyDescent="0.25">
      <c r="O12070" s="20" t="str">
        <f>IF(N12070="","",COUNTIFS(RawData[[Date ]],N12070,RawData[Month List],$Q$6,RawData[Tour/Site],$Q$2,RawData[[Picker ID ]],$Q$3,RawData[Checker ID],$Q$4,RawData[[Error Type ]],$Q$5))</f>
        <v/>
      </c>
    </row>
    <row r="12071" spans="15:15" x14ac:dyDescent="0.25">
      <c r="O12071" s="20" t="str">
        <f>IF(N12071="","",COUNTIFS(RawData[[Date ]],N12071,RawData[Month List],$Q$6,RawData[Tour/Site],$Q$2,RawData[[Picker ID ]],$Q$3,RawData[Checker ID],$Q$4,RawData[[Error Type ]],$Q$5))</f>
        <v/>
      </c>
    </row>
    <row r="12072" spans="15:15" x14ac:dyDescent="0.25">
      <c r="O12072" s="20" t="str">
        <f>IF(N12072="","",COUNTIFS(RawData[[Date ]],N12072,RawData[Month List],$Q$6,RawData[Tour/Site],$Q$2,RawData[[Picker ID ]],$Q$3,RawData[Checker ID],$Q$4,RawData[[Error Type ]],$Q$5))</f>
        <v/>
      </c>
    </row>
    <row r="12073" spans="15:15" x14ac:dyDescent="0.25">
      <c r="O12073" s="20" t="str">
        <f>IF(N12073="","",COUNTIFS(RawData[[Date ]],N12073,RawData[Month List],$Q$6,RawData[Tour/Site],$Q$2,RawData[[Picker ID ]],$Q$3,RawData[Checker ID],$Q$4,RawData[[Error Type ]],$Q$5))</f>
        <v/>
      </c>
    </row>
    <row r="12074" spans="15:15" x14ac:dyDescent="0.25">
      <c r="O12074" s="20" t="str">
        <f>IF(N12074="","",COUNTIFS(RawData[[Date ]],N12074,RawData[Month List],$Q$6,RawData[Tour/Site],$Q$2,RawData[[Picker ID ]],$Q$3,RawData[Checker ID],$Q$4,RawData[[Error Type ]],$Q$5))</f>
        <v/>
      </c>
    </row>
    <row r="12075" spans="15:15" x14ac:dyDescent="0.25">
      <c r="O12075" s="20" t="str">
        <f>IF(N12075="","",COUNTIFS(RawData[[Date ]],N12075,RawData[Month List],$Q$6,RawData[Tour/Site],$Q$2,RawData[[Picker ID ]],$Q$3,RawData[Checker ID],$Q$4,RawData[[Error Type ]],$Q$5))</f>
        <v/>
      </c>
    </row>
    <row r="12076" spans="15:15" x14ac:dyDescent="0.25">
      <c r="O12076" s="20" t="str">
        <f>IF(N12076="","",COUNTIFS(RawData[[Date ]],N12076,RawData[Month List],$Q$6,RawData[Tour/Site],$Q$2,RawData[[Picker ID ]],$Q$3,RawData[Checker ID],$Q$4,RawData[[Error Type ]],$Q$5))</f>
        <v/>
      </c>
    </row>
    <row r="12077" spans="15:15" x14ac:dyDescent="0.25">
      <c r="O12077" s="20" t="str">
        <f>IF(N12077="","",COUNTIFS(RawData[[Date ]],N12077,RawData[Month List],$Q$6,RawData[Tour/Site],$Q$2,RawData[[Picker ID ]],$Q$3,RawData[Checker ID],$Q$4,RawData[[Error Type ]],$Q$5))</f>
        <v/>
      </c>
    </row>
    <row r="12078" spans="15:15" x14ac:dyDescent="0.25">
      <c r="O12078" s="20" t="str">
        <f>IF(N12078="","",COUNTIFS(RawData[[Date ]],N12078,RawData[Month List],$Q$6,RawData[Tour/Site],$Q$2,RawData[[Picker ID ]],$Q$3,RawData[Checker ID],$Q$4,RawData[[Error Type ]],$Q$5))</f>
        <v/>
      </c>
    </row>
    <row r="12079" spans="15:15" x14ac:dyDescent="0.25">
      <c r="O12079" s="20" t="str">
        <f>IF(N12079="","",COUNTIFS(RawData[[Date ]],N12079,RawData[Month List],$Q$6,RawData[Tour/Site],$Q$2,RawData[[Picker ID ]],$Q$3,RawData[Checker ID],$Q$4,RawData[[Error Type ]],$Q$5))</f>
        <v/>
      </c>
    </row>
    <row r="12080" spans="15:15" x14ac:dyDescent="0.25">
      <c r="O12080" s="20" t="str">
        <f>IF(N12080="","",COUNTIFS(RawData[[Date ]],N12080,RawData[Month List],$Q$6,RawData[Tour/Site],$Q$2,RawData[[Picker ID ]],$Q$3,RawData[Checker ID],$Q$4,RawData[[Error Type ]],$Q$5))</f>
        <v/>
      </c>
    </row>
    <row r="12081" spans="15:15" x14ac:dyDescent="0.25">
      <c r="O12081" s="20" t="str">
        <f>IF(N12081="","",COUNTIFS(RawData[[Date ]],N12081,RawData[Month List],$Q$6,RawData[Tour/Site],$Q$2,RawData[[Picker ID ]],$Q$3,RawData[Checker ID],$Q$4,RawData[[Error Type ]],$Q$5))</f>
        <v/>
      </c>
    </row>
    <row r="12082" spans="15:15" x14ac:dyDescent="0.25">
      <c r="O12082" s="20" t="str">
        <f>IF(N12082="","",COUNTIFS(RawData[[Date ]],N12082,RawData[Month List],$Q$6,RawData[Tour/Site],$Q$2,RawData[[Picker ID ]],$Q$3,RawData[Checker ID],$Q$4,RawData[[Error Type ]],$Q$5))</f>
        <v/>
      </c>
    </row>
    <row r="12083" spans="15:15" x14ac:dyDescent="0.25">
      <c r="O12083" s="20" t="str">
        <f>IF(N12083="","",COUNTIFS(RawData[[Date ]],N12083,RawData[Month List],$Q$6,RawData[Tour/Site],$Q$2,RawData[[Picker ID ]],$Q$3,RawData[Checker ID],$Q$4,RawData[[Error Type ]],$Q$5))</f>
        <v/>
      </c>
    </row>
    <row r="12084" spans="15:15" x14ac:dyDescent="0.25">
      <c r="O12084" s="20" t="str">
        <f>IF(N12084="","",COUNTIFS(RawData[[Date ]],N12084,RawData[Month List],$Q$6,RawData[Tour/Site],$Q$2,RawData[[Picker ID ]],$Q$3,RawData[Checker ID],$Q$4,RawData[[Error Type ]],$Q$5))</f>
        <v/>
      </c>
    </row>
    <row r="12085" spans="15:15" x14ac:dyDescent="0.25">
      <c r="O12085" s="20" t="str">
        <f>IF(N12085="","",COUNTIFS(RawData[[Date ]],N12085,RawData[Month List],$Q$6,RawData[Tour/Site],$Q$2,RawData[[Picker ID ]],$Q$3,RawData[Checker ID],$Q$4,RawData[[Error Type ]],$Q$5))</f>
        <v/>
      </c>
    </row>
    <row r="12086" spans="15:15" x14ac:dyDescent="0.25">
      <c r="O12086" s="20" t="str">
        <f>IF(N12086="","",COUNTIFS(RawData[[Date ]],N12086,RawData[Month List],$Q$6,RawData[Tour/Site],$Q$2,RawData[[Picker ID ]],$Q$3,RawData[Checker ID],$Q$4,RawData[[Error Type ]],$Q$5))</f>
        <v/>
      </c>
    </row>
    <row r="12087" spans="15:15" x14ac:dyDescent="0.25">
      <c r="O12087" s="20" t="str">
        <f>IF(N12087="","",COUNTIFS(RawData[[Date ]],N12087,RawData[Month List],$Q$6,RawData[Tour/Site],$Q$2,RawData[[Picker ID ]],$Q$3,RawData[Checker ID],$Q$4,RawData[[Error Type ]],$Q$5))</f>
        <v/>
      </c>
    </row>
    <row r="12088" spans="15:15" x14ac:dyDescent="0.25">
      <c r="O12088" s="20" t="str">
        <f>IF(N12088="","",COUNTIFS(RawData[[Date ]],N12088,RawData[Month List],$Q$6,RawData[Tour/Site],$Q$2,RawData[[Picker ID ]],$Q$3,RawData[Checker ID],$Q$4,RawData[[Error Type ]],$Q$5))</f>
        <v/>
      </c>
    </row>
    <row r="12089" spans="15:15" x14ac:dyDescent="0.25">
      <c r="O12089" s="20" t="str">
        <f>IF(N12089="","",COUNTIFS(RawData[[Date ]],N12089,RawData[Month List],$Q$6,RawData[Tour/Site],$Q$2,RawData[[Picker ID ]],$Q$3,RawData[Checker ID],$Q$4,RawData[[Error Type ]],$Q$5))</f>
        <v/>
      </c>
    </row>
    <row r="12090" spans="15:15" x14ac:dyDescent="0.25">
      <c r="O12090" s="20" t="str">
        <f>IF(N12090="","",COUNTIFS(RawData[[Date ]],N12090,RawData[Month List],$Q$6,RawData[Tour/Site],$Q$2,RawData[[Picker ID ]],$Q$3,RawData[Checker ID],$Q$4,RawData[[Error Type ]],$Q$5))</f>
        <v/>
      </c>
    </row>
    <row r="12091" spans="15:15" x14ac:dyDescent="0.25">
      <c r="O12091" s="20" t="str">
        <f>IF(N12091="","",COUNTIFS(RawData[[Date ]],N12091,RawData[Month List],$Q$6,RawData[Tour/Site],$Q$2,RawData[[Picker ID ]],$Q$3,RawData[Checker ID],$Q$4,RawData[[Error Type ]],$Q$5))</f>
        <v/>
      </c>
    </row>
    <row r="12092" spans="15:15" x14ac:dyDescent="0.25">
      <c r="O12092" s="20" t="str">
        <f>IF(N12092="","",COUNTIFS(RawData[[Date ]],N12092,RawData[Month List],$Q$6,RawData[Tour/Site],$Q$2,RawData[[Picker ID ]],$Q$3,RawData[Checker ID],$Q$4,RawData[[Error Type ]],$Q$5))</f>
        <v/>
      </c>
    </row>
    <row r="12093" spans="15:15" x14ac:dyDescent="0.25">
      <c r="O12093" s="20" t="str">
        <f>IF(N12093="","",COUNTIFS(RawData[[Date ]],N12093,RawData[Month List],$Q$6,RawData[Tour/Site],$Q$2,RawData[[Picker ID ]],$Q$3,RawData[Checker ID],$Q$4,RawData[[Error Type ]],$Q$5))</f>
        <v/>
      </c>
    </row>
    <row r="12094" spans="15:15" x14ac:dyDescent="0.25">
      <c r="O12094" s="20" t="str">
        <f>IF(N12094="","",COUNTIFS(RawData[[Date ]],N12094,RawData[Month List],$Q$6,RawData[Tour/Site],$Q$2,RawData[[Picker ID ]],$Q$3,RawData[Checker ID],$Q$4,RawData[[Error Type ]],$Q$5))</f>
        <v/>
      </c>
    </row>
    <row r="12095" spans="15:15" x14ac:dyDescent="0.25">
      <c r="O12095" s="20" t="str">
        <f>IF(N12095="","",COUNTIFS(RawData[[Date ]],N12095,RawData[Month List],$Q$6,RawData[Tour/Site],$Q$2,RawData[[Picker ID ]],$Q$3,RawData[Checker ID],$Q$4,RawData[[Error Type ]],$Q$5))</f>
        <v/>
      </c>
    </row>
    <row r="12096" spans="15:15" x14ac:dyDescent="0.25">
      <c r="O12096" s="20" t="str">
        <f>IF(N12096="","",COUNTIFS(RawData[[Date ]],N12096,RawData[Month List],$Q$6,RawData[Tour/Site],$Q$2,RawData[[Picker ID ]],$Q$3,RawData[Checker ID],$Q$4,RawData[[Error Type ]],$Q$5))</f>
        <v/>
      </c>
    </row>
    <row r="12097" spans="15:15" x14ac:dyDescent="0.25">
      <c r="O12097" s="20" t="str">
        <f>IF(N12097="","",COUNTIFS(RawData[[Date ]],N12097,RawData[Month List],$Q$6,RawData[Tour/Site],$Q$2,RawData[[Picker ID ]],$Q$3,RawData[Checker ID],$Q$4,RawData[[Error Type ]],$Q$5))</f>
        <v/>
      </c>
    </row>
    <row r="12098" spans="15:15" x14ac:dyDescent="0.25">
      <c r="O12098" s="20" t="str">
        <f>IF(N12098="","",COUNTIFS(RawData[[Date ]],N12098,RawData[Month List],$Q$6,RawData[Tour/Site],$Q$2,RawData[[Picker ID ]],$Q$3,RawData[Checker ID],$Q$4,RawData[[Error Type ]],$Q$5))</f>
        <v/>
      </c>
    </row>
    <row r="12099" spans="15:15" x14ac:dyDescent="0.25">
      <c r="O12099" s="20" t="str">
        <f>IF(N12099="","",COUNTIFS(RawData[[Date ]],N12099,RawData[Month List],$Q$6,RawData[Tour/Site],$Q$2,RawData[[Picker ID ]],$Q$3,RawData[Checker ID],$Q$4,RawData[[Error Type ]],$Q$5))</f>
        <v/>
      </c>
    </row>
    <row r="12100" spans="15:15" x14ac:dyDescent="0.25">
      <c r="O12100" s="20" t="str">
        <f>IF(N12100="","",COUNTIFS(RawData[[Date ]],N12100,RawData[Month List],$Q$6,RawData[Tour/Site],$Q$2,RawData[[Picker ID ]],$Q$3,RawData[Checker ID],$Q$4,RawData[[Error Type ]],$Q$5))</f>
        <v/>
      </c>
    </row>
    <row r="12101" spans="15:15" x14ac:dyDescent="0.25">
      <c r="O12101" s="20" t="str">
        <f>IF(N12101="","",COUNTIFS(RawData[[Date ]],N12101,RawData[Month List],$Q$6,RawData[Tour/Site],$Q$2,RawData[[Picker ID ]],$Q$3,RawData[Checker ID],$Q$4,RawData[[Error Type ]],$Q$5))</f>
        <v/>
      </c>
    </row>
    <row r="12102" spans="15:15" x14ac:dyDescent="0.25">
      <c r="O12102" s="20" t="str">
        <f>IF(N12102="","",COUNTIFS(RawData[[Date ]],N12102,RawData[Month List],$Q$6,RawData[Tour/Site],$Q$2,RawData[[Picker ID ]],$Q$3,RawData[Checker ID],$Q$4,RawData[[Error Type ]],$Q$5))</f>
        <v/>
      </c>
    </row>
    <row r="12103" spans="15:15" x14ac:dyDescent="0.25">
      <c r="O12103" s="20" t="str">
        <f>IF(N12103="","",COUNTIFS(RawData[[Date ]],N12103,RawData[Month List],$Q$6,RawData[Tour/Site],$Q$2,RawData[[Picker ID ]],$Q$3,RawData[Checker ID],$Q$4,RawData[[Error Type ]],$Q$5))</f>
        <v/>
      </c>
    </row>
    <row r="12104" spans="15:15" x14ac:dyDescent="0.25">
      <c r="O12104" s="20" t="str">
        <f>IF(N12104="","",COUNTIFS(RawData[[Date ]],N12104,RawData[Month List],$Q$6,RawData[Tour/Site],$Q$2,RawData[[Picker ID ]],$Q$3,RawData[Checker ID],$Q$4,RawData[[Error Type ]],$Q$5))</f>
        <v/>
      </c>
    </row>
    <row r="12105" spans="15:15" x14ac:dyDescent="0.25">
      <c r="O12105" s="20" t="str">
        <f>IF(N12105="","",COUNTIFS(RawData[[Date ]],N12105,RawData[Month List],$Q$6,RawData[Tour/Site],$Q$2,RawData[[Picker ID ]],$Q$3,RawData[Checker ID],$Q$4,RawData[[Error Type ]],$Q$5))</f>
        <v/>
      </c>
    </row>
    <row r="12106" spans="15:15" x14ac:dyDescent="0.25">
      <c r="O12106" s="20" t="str">
        <f>IF(N12106="","",COUNTIFS(RawData[[Date ]],N12106,RawData[Month List],$Q$6,RawData[Tour/Site],$Q$2,RawData[[Picker ID ]],$Q$3,RawData[Checker ID],$Q$4,RawData[[Error Type ]],$Q$5))</f>
        <v/>
      </c>
    </row>
    <row r="12107" spans="15:15" x14ac:dyDescent="0.25">
      <c r="O12107" s="20" t="str">
        <f>IF(N12107="","",COUNTIFS(RawData[[Date ]],N12107,RawData[Month List],$Q$6,RawData[Tour/Site],$Q$2,RawData[[Picker ID ]],$Q$3,RawData[Checker ID],$Q$4,RawData[[Error Type ]],$Q$5))</f>
        <v/>
      </c>
    </row>
    <row r="12108" spans="15:15" x14ac:dyDescent="0.25">
      <c r="O12108" s="20" t="str">
        <f>IF(N12108="","",COUNTIFS(RawData[[Date ]],N12108,RawData[Month List],$Q$6,RawData[Tour/Site],$Q$2,RawData[[Picker ID ]],$Q$3,RawData[Checker ID],$Q$4,RawData[[Error Type ]],$Q$5))</f>
        <v/>
      </c>
    </row>
    <row r="12109" spans="15:15" x14ac:dyDescent="0.25">
      <c r="O12109" s="20" t="str">
        <f>IF(N12109="","",COUNTIFS(RawData[[Date ]],N12109,RawData[Month List],$Q$6,RawData[Tour/Site],$Q$2,RawData[[Picker ID ]],$Q$3,RawData[Checker ID],$Q$4,RawData[[Error Type ]],$Q$5))</f>
        <v/>
      </c>
    </row>
    <row r="12110" spans="15:15" x14ac:dyDescent="0.25">
      <c r="O12110" s="20" t="str">
        <f>IF(N12110="","",COUNTIFS(RawData[[Date ]],N12110,RawData[Month List],$Q$6,RawData[Tour/Site],$Q$2,RawData[[Picker ID ]],$Q$3,RawData[Checker ID],$Q$4,RawData[[Error Type ]],$Q$5))</f>
        <v/>
      </c>
    </row>
    <row r="12111" spans="15:15" x14ac:dyDescent="0.25">
      <c r="O12111" s="20" t="str">
        <f>IF(N12111="","",COUNTIFS(RawData[[Date ]],N12111,RawData[Month List],$Q$6,RawData[Tour/Site],$Q$2,RawData[[Picker ID ]],$Q$3,RawData[Checker ID],$Q$4,RawData[[Error Type ]],$Q$5))</f>
        <v/>
      </c>
    </row>
    <row r="12112" spans="15:15" x14ac:dyDescent="0.25">
      <c r="O12112" s="20" t="str">
        <f>IF(N12112="","",COUNTIFS(RawData[[Date ]],N12112,RawData[Month List],$Q$6,RawData[Tour/Site],$Q$2,RawData[[Picker ID ]],$Q$3,RawData[Checker ID],$Q$4,RawData[[Error Type ]],$Q$5))</f>
        <v/>
      </c>
    </row>
    <row r="12113" spans="15:15" x14ac:dyDescent="0.25">
      <c r="O12113" s="20" t="str">
        <f>IF(N12113="","",COUNTIFS(RawData[[Date ]],N12113,RawData[Month List],$Q$6,RawData[Tour/Site],$Q$2,RawData[[Picker ID ]],$Q$3,RawData[Checker ID],$Q$4,RawData[[Error Type ]],$Q$5))</f>
        <v/>
      </c>
    </row>
    <row r="12114" spans="15:15" x14ac:dyDescent="0.25">
      <c r="O12114" s="20" t="str">
        <f>IF(N12114="","",COUNTIFS(RawData[[Date ]],N12114,RawData[Month List],$Q$6,RawData[Tour/Site],$Q$2,RawData[[Picker ID ]],$Q$3,RawData[Checker ID],$Q$4,RawData[[Error Type ]],$Q$5))</f>
        <v/>
      </c>
    </row>
    <row r="12115" spans="15:15" x14ac:dyDescent="0.25">
      <c r="O12115" s="20" t="str">
        <f>IF(N12115="","",COUNTIFS(RawData[[Date ]],N12115,RawData[Month List],$Q$6,RawData[Tour/Site],$Q$2,RawData[[Picker ID ]],$Q$3,RawData[Checker ID],$Q$4,RawData[[Error Type ]],$Q$5))</f>
        <v/>
      </c>
    </row>
    <row r="12116" spans="15:15" x14ac:dyDescent="0.25">
      <c r="O12116" s="20" t="str">
        <f>IF(N12116="","",COUNTIFS(RawData[[Date ]],N12116,RawData[Month List],$Q$6,RawData[Tour/Site],$Q$2,RawData[[Picker ID ]],$Q$3,RawData[Checker ID],$Q$4,RawData[[Error Type ]],$Q$5))</f>
        <v/>
      </c>
    </row>
    <row r="12117" spans="15:15" x14ac:dyDescent="0.25">
      <c r="O12117" s="20" t="str">
        <f>IF(N12117="","",COUNTIFS(RawData[[Date ]],N12117,RawData[Month List],$Q$6,RawData[Tour/Site],$Q$2,RawData[[Picker ID ]],$Q$3,RawData[Checker ID],$Q$4,RawData[[Error Type ]],$Q$5))</f>
        <v/>
      </c>
    </row>
    <row r="12118" spans="15:15" x14ac:dyDescent="0.25">
      <c r="O12118" s="20" t="str">
        <f>IF(N12118="","",COUNTIFS(RawData[[Date ]],N12118,RawData[Month List],$Q$6,RawData[Tour/Site],$Q$2,RawData[[Picker ID ]],$Q$3,RawData[Checker ID],$Q$4,RawData[[Error Type ]],$Q$5))</f>
        <v/>
      </c>
    </row>
    <row r="12119" spans="15:15" x14ac:dyDescent="0.25">
      <c r="O12119" s="20" t="str">
        <f>IF(N12119="","",COUNTIFS(RawData[[Date ]],N12119,RawData[Month List],$Q$6,RawData[Tour/Site],$Q$2,RawData[[Picker ID ]],$Q$3,RawData[Checker ID],$Q$4,RawData[[Error Type ]],$Q$5))</f>
        <v/>
      </c>
    </row>
    <row r="12120" spans="15:15" x14ac:dyDescent="0.25">
      <c r="O12120" s="20" t="str">
        <f>IF(N12120="","",COUNTIFS(RawData[[Date ]],N12120,RawData[Month List],$Q$6,RawData[Tour/Site],$Q$2,RawData[[Picker ID ]],$Q$3,RawData[Checker ID],$Q$4,RawData[[Error Type ]],$Q$5))</f>
        <v/>
      </c>
    </row>
    <row r="12121" spans="15:15" x14ac:dyDescent="0.25">
      <c r="O12121" s="20" t="str">
        <f>IF(N12121="","",COUNTIFS(RawData[[Date ]],N12121,RawData[Month List],$Q$6,RawData[Tour/Site],$Q$2,RawData[[Picker ID ]],$Q$3,RawData[Checker ID],$Q$4,RawData[[Error Type ]],$Q$5))</f>
        <v/>
      </c>
    </row>
    <row r="12122" spans="15:15" x14ac:dyDescent="0.25">
      <c r="O12122" s="20" t="str">
        <f>IF(N12122="","",COUNTIFS(RawData[[Date ]],N12122,RawData[Month List],$Q$6,RawData[Tour/Site],$Q$2,RawData[[Picker ID ]],$Q$3,RawData[Checker ID],$Q$4,RawData[[Error Type ]],$Q$5))</f>
        <v/>
      </c>
    </row>
    <row r="12123" spans="15:15" x14ac:dyDescent="0.25">
      <c r="O12123" s="20" t="str">
        <f>IF(N12123="","",COUNTIFS(RawData[[Date ]],N12123,RawData[Month List],$Q$6,RawData[Tour/Site],$Q$2,RawData[[Picker ID ]],$Q$3,RawData[Checker ID],$Q$4,RawData[[Error Type ]],$Q$5))</f>
        <v/>
      </c>
    </row>
    <row r="12124" spans="15:15" x14ac:dyDescent="0.25">
      <c r="O12124" s="20" t="str">
        <f>IF(N12124="","",COUNTIFS(RawData[[Date ]],N12124,RawData[Month List],$Q$6,RawData[Tour/Site],$Q$2,RawData[[Picker ID ]],$Q$3,RawData[Checker ID],$Q$4,RawData[[Error Type ]],$Q$5))</f>
        <v/>
      </c>
    </row>
    <row r="12125" spans="15:15" x14ac:dyDescent="0.25">
      <c r="O12125" s="20" t="str">
        <f>IF(N12125="","",COUNTIFS(RawData[[Date ]],N12125,RawData[Month List],$Q$6,RawData[Tour/Site],$Q$2,RawData[[Picker ID ]],$Q$3,RawData[Checker ID],$Q$4,RawData[[Error Type ]],$Q$5))</f>
        <v/>
      </c>
    </row>
    <row r="12126" spans="15:15" x14ac:dyDescent="0.25">
      <c r="O12126" s="20" t="str">
        <f>IF(N12126="","",COUNTIFS(RawData[[Date ]],N12126,RawData[Month List],$Q$6,RawData[Tour/Site],$Q$2,RawData[[Picker ID ]],$Q$3,RawData[Checker ID],$Q$4,RawData[[Error Type ]],$Q$5))</f>
        <v/>
      </c>
    </row>
    <row r="12127" spans="15:15" x14ac:dyDescent="0.25">
      <c r="O12127" s="20" t="str">
        <f>IF(N12127="","",COUNTIFS(RawData[[Date ]],N12127,RawData[Month List],$Q$6,RawData[Tour/Site],$Q$2,RawData[[Picker ID ]],$Q$3,RawData[Checker ID],$Q$4,RawData[[Error Type ]],$Q$5))</f>
        <v/>
      </c>
    </row>
    <row r="12128" spans="15:15" x14ac:dyDescent="0.25">
      <c r="O12128" s="20" t="str">
        <f>IF(N12128="","",COUNTIFS(RawData[[Date ]],N12128,RawData[Month List],$Q$6,RawData[Tour/Site],$Q$2,RawData[[Picker ID ]],$Q$3,RawData[Checker ID],$Q$4,RawData[[Error Type ]],$Q$5))</f>
        <v/>
      </c>
    </row>
    <row r="12129" spans="15:15" x14ac:dyDescent="0.25">
      <c r="O12129" s="20" t="str">
        <f>IF(N12129="","",COUNTIFS(RawData[[Date ]],N12129,RawData[Month List],$Q$6,RawData[Tour/Site],$Q$2,RawData[[Picker ID ]],$Q$3,RawData[Checker ID],$Q$4,RawData[[Error Type ]],$Q$5))</f>
        <v/>
      </c>
    </row>
    <row r="12130" spans="15:15" x14ac:dyDescent="0.25">
      <c r="O12130" s="20" t="str">
        <f>IF(N12130="","",COUNTIFS(RawData[[Date ]],N12130,RawData[Month List],$Q$6,RawData[Tour/Site],$Q$2,RawData[[Picker ID ]],$Q$3,RawData[Checker ID],$Q$4,RawData[[Error Type ]],$Q$5))</f>
        <v/>
      </c>
    </row>
    <row r="12131" spans="15:15" x14ac:dyDescent="0.25">
      <c r="O12131" s="20" t="str">
        <f>IF(N12131="","",COUNTIFS(RawData[[Date ]],N12131,RawData[Month List],$Q$6,RawData[Tour/Site],$Q$2,RawData[[Picker ID ]],$Q$3,RawData[Checker ID],$Q$4,RawData[[Error Type ]],$Q$5))</f>
        <v/>
      </c>
    </row>
    <row r="12132" spans="15:15" x14ac:dyDescent="0.25">
      <c r="O12132" s="20" t="str">
        <f>IF(N12132="","",COUNTIFS(RawData[[Date ]],N12132,RawData[Month List],$Q$6,RawData[Tour/Site],$Q$2,RawData[[Picker ID ]],$Q$3,RawData[Checker ID],$Q$4,RawData[[Error Type ]],$Q$5))</f>
        <v/>
      </c>
    </row>
    <row r="12133" spans="15:15" x14ac:dyDescent="0.25">
      <c r="O12133" s="20" t="str">
        <f>IF(N12133="","",COUNTIFS(RawData[[Date ]],N12133,RawData[Month List],$Q$6,RawData[Tour/Site],$Q$2,RawData[[Picker ID ]],$Q$3,RawData[Checker ID],$Q$4,RawData[[Error Type ]],$Q$5))</f>
        <v/>
      </c>
    </row>
    <row r="12134" spans="15:15" x14ac:dyDescent="0.25">
      <c r="O12134" s="20" t="str">
        <f>IF(N12134="","",COUNTIFS(RawData[[Date ]],N12134,RawData[Month List],$Q$6,RawData[Tour/Site],$Q$2,RawData[[Picker ID ]],$Q$3,RawData[Checker ID],$Q$4,RawData[[Error Type ]],$Q$5))</f>
        <v/>
      </c>
    </row>
    <row r="12135" spans="15:15" x14ac:dyDescent="0.25">
      <c r="O12135" s="20" t="str">
        <f>IF(N12135="","",COUNTIFS(RawData[[Date ]],N12135,RawData[Month List],$Q$6,RawData[Tour/Site],$Q$2,RawData[[Picker ID ]],$Q$3,RawData[Checker ID],$Q$4,RawData[[Error Type ]],$Q$5))</f>
        <v/>
      </c>
    </row>
    <row r="12136" spans="15:15" x14ac:dyDescent="0.25">
      <c r="O12136" s="20" t="str">
        <f>IF(N12136="","",COUNTIFS(RawData[[Date ]],N12136,RawData[Month List],$Q$6,RawData[Tour/Site],$Q$2,RawData[[Picker ID ]],$Q$3,RawData[Checker ID],$Q$4,RawData[[Error Type ]],$Q$5))</f>
        <v/>
      </c>
    </row>
    <row r="12137" spans="15:15" x14ac:dyDescent="0.25">
      <c r="O12137" s="20" t="str">
        <f>IF(N12137="","",COUNTIFS(RawData[[Date ]],N12137,RawData[Month List],$Q$6,RawData[Tour/Site],$Q$2,RawData[[Picker ID ]],$Q$3,RawData[Checker ID],$Q$4,RawData[[Error Type ]],$Q$5))</f>
        <v/>
      </c>
    </row>
    <row r="12138" spans="15:15" x14ac:dyDescent="0.25">
      <c r="O12138" s="20" t="str">
        <f>IF(N12138="","",COUNTIFS(RawData[[Date ]],N12138,RawData[Month List],$Q$6,RawData[Tour/Site],$Q$2,RawData[[Picker ID ]],$Q$3,RawData[Checker ID],$Q$4,RawData[[Error Type ]],$Q$5))</f>
        <v/>
      </c>
    </row>
    <row r="12139" spans="15:15" x14ac:dyDescent="0.25">
      <c r="O12139" s="20" t="str">
        <f>IF(N12139="","",COUNTIFS(RawData[[Date ]],N12139,RawData[Month List],$Q$6,RawData[Tour/Site],$Q$2,RawData[[Picker ID ]],$Q$3,RawData[Checker ID],$Q$4,RawData[[Error Type ]],$Q$5))</f>
        <v/>
      </c>
    </row>
    <row r="12140" spans="15:15" x14ac:dyDescent="0.25">
      <c r="O12140" s="20" t="str">
        <f>IF(N12140="","",COUNTIFS(RawData[[Date ]],N12140,RawData[Month List],$Q$6,RawData[Tour/Site],$Q$2,RawData[[Picker ID ]],$Q$3,RawData[Checker ID],$Q$4,RawData[[Error Type ]],$Q$5))</f>
        <v/>
      </c>
    </row>
    <row r="12141" spans="15:15" x14ac:dyDescent="0.25">
      <c r="O12141" s="20" t="str">
        <f>IF(N12141="","",COUNTIFS(RawData[[Date ]],N12141,RawData[Month List],$Q$6,RawData[Tour/Site],$Q$2,RawData[[Picker ID ]],$Q$3,RawData[Checker ID],$Q$4,RawData[[Error Type ]],$Q$5))</f>
        <v/>
      </c>
    </row>
    <row r="12142" spans="15:15" x14ac:dyDescent="0.25">
      <c r="O12142" s="20" t="str">
        <f>IF(N12142="","",COUNTIFS(RawData[[Date ]],N12142,RawData[Month List],$Q$6,RawData[Tour/Site],$Q$2,RawData[[Picker ID ]],$Q$3,RawData[Checker ID],$Q$4,RawData[[Error Type ]],$Q$5))</f>
        <v/>
      </c>
    </row>
    <row r="12143" spans="15:15" x14ac:dyDescent="0.25">
      <c r="O12143" s="20" t="str">
        <f>IF(N12143="","",COUNTIFS(RawData[[Date ]],N12143,RawData[Month List],$Q$6,RawData[Tour/Site],$Q$2,RawData[[Picker ID ]],$Q$3,RawData[Checker ID],$Q$4,RawData[[Error Type ]],$Q$5))</f>
        <v/>
      </c>
    </row>
    <row r="12144" spans="15:15" x14ac:dyDescent="0.25">
      <c r="O12144" s="20" t="str">
        <f>IF(N12144="","",COUNTIFS(RawData[[Date ]],N12144,RawData[Month List],$Q$6,RawData[Tour/Site],$Q$2,RawData[[Picker ID ]],$Q$3,RawData[Checker ID],$Q$4,RawData[[Error Type ]],$Q$5))</f>
        <v/>
      </c>
    </row>
    <row r="12145" spans="15:15" x14ac:dyDescent="0.25">
      <c r="O12145" s="20" t="str">
        <f>IF(N12145="","",COUNTIFS(RawData[[Date ]],N12145,RawData[Month List],$Q$6,RawData[Tour/Site],$Q$2,RawData[[Picker ID ]],$Q$3,RawData[Checker ID],$Q$4,RawData[[Error Type ]],$Q$5))</f>
        <v/>
      </c>
    </row>
    <row r="12146" spans="15:15" x14ac:dyDescent="0.25">
      <c r="O12146" s="20" t="str">
        <f>IF(N12146="","",COUNTIFS(RawData[[Date ]],N12146,RawData[Month List],$Q$6,RawData[Tour/Site],$Q$2,RawData[[Picker ID ]],$Q$3,RawData[Checker ID],$Q$4,RawData[[Error Type ]],$Q$5))</f>
        <v/>
      </c>
    </row>
    <row r="12147" spans="15:15" x14ac:dyDescent="0.25">
      <c r="O12147" s="20" t="str">
        <f>IF(N12147="","",COUNTIFS(RawData[[Date ]],N12147,RawData[Month List],$Q$6,RawData[Tour/Site],$Q$2,RawData[[Picker ID ]],$Q$3,RawData[Checker ID],$Q$4,RawData[[Error Type ]],$Q$5))</f>
        <v/>
      </c>
    </row>
    <row r="12148" spans="15:15" x14ac:dyDescent="0.25">
      <c r="O12148" s="20" t="str">
        <f>IF(N12148="","",COUNTIFS(RawData[[Date ]],N12148,RawData[Month List],$Q$6,RawData[Tour/Site],$Q$2,RawData[[Picker ID ]],$Q$3,RawData[Checker ID],$Q$4,RawData[[Error Type ]],$Q$5))</f>
        <v/>
      </c>
    </row>
    <row r="12149" spans="15:15" x14ac:dyDescent="0.25">
      <c r="O12149" s="20" t="str">
        <f>IF(N12149="","",COUNTIFS(RawData[[Date ]],N12149,RawData[Month List],$Q$6,RawData[Tour/Site],$Q$2,RawData[[Picker ID ]],$Q$3,RawData[Checker ID],$Q$4,RawData[[Error Type ]],$Q$5))</f>
        <v/>
      </c>
    </row>
    <row r="12150" spans="15:15" x14ac:dyDescent="0.25">
      <c r="O12150" s="20" t="str">
        <f>IF(N12150="","",COUNTIFS(RawData[[Date ]],N12150,RawData[Month List],$Q$6,RawData[Tour/Site],$Q$2,RawData[[Picker ID ]],$Q$3,RawData[Checker ID],$Q$4,RawData[[Error Type ]],$Q$5))</f>
        <v/>
      </c>
    </row>
    <row r="12151" spans="15:15" x14ac:dyDescent="0.25">
      <c r="O12151" s="20" t="str">
        <f>IF(N12151="","",COUNTIFS(RawData[[Date ]],N12151,RawData[Month List],$Q$6,RawData[Tour/Site],$Q$2,RawData[[Picker ID ]],$Q$3,RawData[Checker ID],$Q$4,RawData[[Error Type ]],$Q$5))</f>
        <v/>
      </c>
    </row>
    <row r="12152" spans="15:15" x14ac:dyDescent="0.25">
      <c r="O12152" s="20" t="str">
        <f>IF(N12152="","",COUNTIFS(RawData[[Date ]],N12152,RawData[Month List],$Q$6,RawData[Tour/Site],$Q$2,RawData[[Picker ID ]],$Q$3,RawData[Checker ID],$Q$4,RawData[[Error Type ]],$Q$5))</f>
        <v/>
      </c>
    </row>
    <row r="12153" spans="15:15" x14ac:dyDescent="0.25">
      <c r="O12153" s="20" t="str">
        <f>IF(N12153="","",COUNTIFS(RawData[[Date ]],N12153,RawData[Month List],$Q$6,RawData[Tour/Site],$Q$2,RawData[[Picker ID ]],$Q$3,RawData[Checker ID],$Q$4,RawData[[Error Type ]],$Q$5))</f>
        <v/>
      </c>
    </row>
    <row r="12154" spans="15:15" x14ac:dyDescent="0.25">
      <c r="O12154" s="20" t="str">
        <f>IF(N12154="","",COUNTIFS(RawData[[Date ]],N12154,RawData[Month List],$Q$6,RawData[Tour/Site],$Q$2,RawData[[Picker ID ]],$Q$3,RawData[Checker ID],$Q$4,RawData[[Error Type ]],$Q$5))</f>
        <v/>
      </c>
    </row>
    <row r="12155" spans="15:15" x14ac:dyDescent="0.25">
      <c r="O12155" s="20" t="str">
        <f>IF(N12155="","",COUNTIFS(RawData[[Date ]],N12155,RawData[Month List],$Q$6,RawData[Tour/Site],$Q$2,RawData[[Picker ID ]],$Q$3,RawData[Checker ID],$Q$4,RawData[[Error Type ]],$Q$5))</f>
        <v/>
      </c>
    </row>
    <row r="12156" spans="15:15" x14ac:dyDescent="0.25">
      <c r="O12156" s="20" t="str">
        <f>IF(N12156="","",COUNTIFS(RawData[[Date ]],N12156,RawData[Month List],$Q$6,RawData[Tour/Site],$Q$2,RawData[[Picker ID ]],$Q$3,RawData[Checker ID],$Q$4,RawData[[Error Type ]],$Q$5))</f>
        <v/>
      </c>
    </row>
    <row r="12157" spans="15:15" x14ac:dyDescent="0.25">
      <c r="O12157" s="20" t="str">
        <f>IF(N12157="","",COUNTIFS(RawData[[Date ]],N12157,RawData[Month List],$Q$6,RawData[Tour/Site],$Q$2,RawData[[Picker ID ]],$Q$3,RawData[Checker ID],$Q$4,RawData[[Error Type ]],$Q$5))</f>
        <v/>
      </c>
    </row>
    <row r="12158" spans="15:15" x14ac:dyDescent="0.25">
      <c r="O12158" s="20" t="str">
        <f>IF(N12158="","",COUNTIFS(RawData[[Date ]],N12158,RawData[Month List],$Q$6,RawData[Tour/Site],$Q$2,RawData[[Picker ID ]],$Q$3,RawData[Checker ID],$Q$4,RawData[[Error Type ]],$Q$5))</f>
        <v/>
      </c>
    </row>
    <row r="12159" spans="15:15" x14ac:dyDescent="0.25">
      <c r="O12159" s="20" t="str">
        <f>IF(N12159="","",COUNTIFS(RawData[[Date ]],N12159,RawData[Month List],$Q$6,RawData[Tour/Site],$Q$2,RawData[[Picker ID ]],$Q$3,RawData[Checker ID],$Q$4,RawData[[Error Type ]],$Q$5))</f>
        <v/>
      </c>
    </row>
    <row r="12160" spans="15:15" x14ac:dyDescent="0.25">
      <c r="O12160" s="20" t="str">
        <f>IF(N12160="","",COUNTIFS(RawData[[Date ]],N12160,RawData[Month List],$Q$6,RawData[Tour/Site],$Q$2,RawData[[Picker ID ]],$Q$3,RawData[Checker ID],$Q$4,RawData[[Error Type ]],$Q$5))</f>
        <v/>
      </c>
    </row>
    <row r="12161" spans="15:15" x14ac:dyDescent="0.25">
      <c r="O12161" s="20" t="str">
        <f>IF(N12161="","",COUNTIFS(RawData[[Date ]],N12161,RawData[Month List],$Q$6,RawData[Tour/Site],$Q$2,RawData[[Picker ID ]],$Q$3,RawData[Checker ID],$Q$4,RawData[[Error Type ]],$Q$5))</f>
        <v/>
      </c>
    </row>
    <row r="12162" spans="15:15" x14ac:dyDescent="0.25">
      <c r="O12162" s="20" t="str">
        <f>IF(N12162="","",COUNTIFS(RawData[[Date ]],N12162,RawData[Month List],$Q$6,RawData[Tour/Site],$Q$2,RawData[[Picker ID ]],$Q$3,RawData[Checker ID],$Q$4,RawData[[Error Type ]],$Q$5))</f>
        <v/>
      </c>
    </row>
    <row r="12163" spans="15:15" x14ac:dyDescent="0.25">
      <c r="O12163" s="20" t="str">
        <f>IF(N12163="","",COUNTIFS(RawData[[Date ]],N12163,RawData[Month List],$Q$6,RawData[Tour/Site],$Q$2,RawData[[Picker ID ]],$Q$3,RawData[Checker ID],$Q$4,RawData[[Error Type ]],$Q$5))</f>
        <v/>
      </c>
    </row>
    <row r="12164" spans="15:15" x14ac:dyDescent="0.25">
      <c r="O12164" s="20" t="str">
        <f>IF(N12164="","",COUNTIFS(RawData[[Date ]],N12164,RawData[Month List],$Q$6,RawData[Tour/Site],$Q$2,RawData[[Picker ID ]],$Q$3,RawData[Checker ID],$Q$4,RawData[[Error Type ]],$Q$5))</f>
        <v/>
      </c>
    </row>
    <row r="12165" spans="15:15" x14ac:dyDescent="0.25">
      <c r="O12165" s="20" t="str">
        <f>IF(N12165="","",COUNTIFS(RawData[[Date ]],N12165,RawData[Month List],$Q$6,RawData[Tour/Site],$Q$2,RawData[[Picker ID ]],$Q$3,RawData[Checker ID],$Q$4,RawData[[Error Type ]],$Q$5))</f>
        <v/>
      </c>
    </row>
    <row r="12166" spans="15:15" x14ac:dyDescent="0.25">
      <c r="O12166" s="20" t="str">
        <f>IF(N12166="","",COUNTIFS(RawData[[Date ]],N12166,RawData[Month List],$Q$6,RawData[Tour/Site],$Q$2,RawData[[Picker ID ]],$Q$3,RawData[Checker ID],$Q$4,RawData[[Error Type ]],$Q$5))</f>
        <v/>
      </c>
    </row>
    <row r="12167" spans="15:15" x14ac:dyDescent="0.25">
      <c r="O12167" s="20" t="str">
        <f>IF(N12167="","",COUNTIFS(RawData[[Date ]],N12167,RawData[Month List],$Q$6,RawData[Tour/Site],$Q$2,RawData[[Picker ID ]],$Q$3,RawData[Checker ID],$Q$4,RawData[[Error Type ]],$Q$5))</f>
        <v/>
      </c>
    </row>
    <row r="12168" spans="15:15" x14ac:dyDescent="0.25">
      <c r="O12168" s="20" t="str">
        <f>IF(N12168="","",COUNTIFS(RawData[[Date ]],N12168,RawData[Month List],$Q$6,RawData[Tour/Site],$Q$2,RawData[[Picker ID ]],$Q$3,RawData[Checker ID],$Q$4,RawData[[Error Type ]],$Q$5))</f>
        <v/>
      </c>
    </row>
    <row r="12169" spans="15:15" x14ac:dyDescent="0.25">
      <c r="O12169" s="20" t="str">
        <f>IF(N12169="","",COUNTIFS(RawData[[Date ]],N12169,RawData[Month List],$Q$6,RawData[Tour/Site],$Q$2,RawData[[Picker ID ]],$Q$3,RawData[Checker ID],$Q$4,RawData[[Error Type ]],$Q$5))</f>
        <v/>
      </c>
    </row>
    <row r="12170" spans="15:15" x14ac:dyDescent="0.25">
      <c r="O12170" s="20" t="str">
        <f>IF(N12170="","",COUNTIFS(RawData[[Date ]],N12170,RawData[Month List],$Q$6,RawData[Tour/Site],$Q$2,RawData[[Picker ID ]],$Q$3,RawData[Checker ID],$Q$4,RawData[[Error Type ]],$Q$5))</f>
        <v/>
      </c>
    </row>
    <row r="12171" spans="15:15" x14ac:dyDescent="0.25">
      <c r="O12171" s="20" t="str">
        <f>IF(N12171="","",COUNTIFS(RawData[[Date ]],N12171,RawData[Month List],$Q$6,RawData[Tour/Site],$Q$2,RawData[[Picker ID ]],$Q$3,RawData[Checker ID],$Q$4,RawData[[Error Type ]],$Q$5))</f>
        <v/>
      </c>
    </row>
    <row r="12172" spans="15:15" x14ac:dyDescent="0.25">
      <c r="O12172" s="20" t="str">
        <f>IF(N12172="","",COUNTIFS(RawData[[Date ]],N12172,RawData[Month List],$Q$6,RawData[Tour/Site],$Q$2,RawData[[Picker ID ]],$Q$3,RawData[Checker ID],$Q$4,RawData[[Error Type ]],$Q$5))</f>
        <v/>
      </c>
    </row>
    <row r="12173" spans="15:15" x14ac:dyDescent="0.25">
      <c r="O12173" s="20" t="str">
        <f>IF(N12173="","",COUNTIFS(RawData[[Date ]],N12173,RawData[Month List],$Q$6,RawData[Tour/Site],$Q$2,RawData[[Picker ID ]],$Q$3,RawData[Checker ID],$Q$4,RawData[[Error Type ]],$Q$5))</f>
        <v/>
      </c>
    </row>
    <row r="12174" spans="15:15" x14ac:dyDescent="0.25">
      <c r="O12174" s="20" t="str">
        <f>IF(N12174="","",COUNTIFS(RawData[[Date ]],N12174,RawData[Month List],$Q$6,RawData[Tour/Site],$Q$2,RawData[[Picker ID ]],$Q$3,RawData[Checker ID],$Q$4,RawData[[Error Type ]],$Q$5))</f>
        <v/>
      </c>
    </row>
    <row r="12175" spans="15:15" x14ac:dyDescent="0.25">
      <c r="O12175" s="20" t="str">
        <f>IF(N12175="","",COUNTIFS(RawData[[Date ]],N12175,RawData[Month List],$Q$6,RawData[Tour/Site],$Q$2,RawData[[Picker ID ]],$Q$3,RawData[Checker ID],$Q$4,RawData[[Error Type ]],$Q$5))</f>
        <v/>
      </c>
    </row>
    <row r="12176" spans="15:15" x14ac:dyDescent="0.25">
      <c r="O12176" s="20" t="str">
        <f>IF(N12176="","",COUNTIFS(RawData[[Date ]],N12176,RawData[Month List],$Q$6,RawData[Tour/Site],$Q$2,RawData[[Picker ID ]],$Q$3,RawData[Checker ID],$Q$4,RawData[[Error Type ]],$Q$5))</f>
        <v/>
      </c>
    </row>
    <row r="12177" spans="15:15" x14ac:dyDescent="0.25">
      <c r="O12177" s="20" t="str">
        <f>IF(N12177="","",COUNTIFS(RawData[[Date ]],N12177,RawData[Month List],$Q$6,RawData[Tour/Site],$Q$2,RawData[[Picker ID ]],$Q$3,RawData[Checker ID],$Q$4,RawData[[Error Type ]],$Q$5))</f>
        <v/>
      </c>
    </row>
    <row r="12178" spans="15:15" x14ac:dyDescent="0.25">
      <c r="O12178" s="20" t="str">
        <f>IF(N12178="","",COUNTIFS(RawData[[Date ]],N12178,RawData[Month List],$Q$6,RawData[Tour/Site],$Q$2,RawData[[Picker ID ]],$Q$3,RawData[Checker ID],$Q$4,RawData[[Error Type ]],$Q$5))</f>
        <v/>
      </c>
    </row>
    <row r="12179" spans="15:15" x14ac:dyDescent="0.25">
      <c r="O12179" s="20" t="str">
        <f>IF(N12179="","",COUNTIFS(RawData[[Date ]],N12179,RawData[Month List],$Q$6,RawData[Tour/Site],$Q$2,RawData[[Picker ID ]],$Q$3,RawData[Checker ID],$Q$4,RawData[[Error Type ]],$Q$5))</f>
        <v/>
      </c>
    </row>
    <row r="12180" spans="15:15" x14ac:dyDescent="0.25">
      <c r="O12180" s="20" t="str">
        <f>IF(N12180="","",COUNTIFS(RawData[[Date ]],N12180,RawData[Month List],$Q$6,RawData[Tour/Site],$Q$2,RawData[[Picker ID ]],$Q$3,RawData[Checker ID],$Q$4,RawData[[Error Type ]],$Q$5))</f>
        <v/>
      </c>
    </row>
    <row r="12181" spans="15:15" x14ac:dyDescent="0.25">
      <c r="O12181" s="20" t="str">
        <f>IF(N12181="","",COUNTIFS(RawData[[Date ]],N12181,RawData[Month List],$Q$6,RawData[Tour/Site],$Q$2,RawData[[Picker ID ]],$Q$3,RawData[Checker ID],$Q$4,RawData[[Error Type ]],$Q$5))</f>
        <v/>
      </c>
    </row>
    <row r="12182" spans="15:15" x14ac:dyDescent="0.25">
      <c r="O12182" s="20" t="str">
        <f>IF(N12182="","",COUNTIFS(RawData[[Date ]],N12182,RawData[Month List],$Q$6,RawData[Tour/Site],$Q$2,RawData[[Picker ID ]],$Q$3,RawData[Checker ID],$Q$4,RawData[[Error Type ]],$Q$5))</f>
        <v/>
      </c>
    </row>
    <row r="12183" spans="15:15" x14ac:dyDescent="0.25">
      <c r="O12183" s="20" t="str">
        <f>IF(N12183="","",COUNTIFS(RawData[[Date ]],N12183,RawData[Month List],$Q$6,RawData[Tour/Site],$Q$2,RawData[[Picker ID ]],$Q$3,RawData[Checker ID],$Q$4,RawData[[Error Type ]],$Q$5))</f>
        <v/>
      </c>
    </row>
    <row r="12184" spans="15:15" x14ac:dyDescent="0.25">
      <c r="O12184" s="20" t="str">
        <f>IF(N12184="","",COUNTIFS(RawData[[Date ]],N12184,RawData[Month List],$Q$6,RawData[Tour/Site],$Q$2,RawData[[Picker ID ]],$Q$3,RawData[Checker ID],$Q$4,RawData[[Error Type ]],$Q$5))</f>
        <v/>
      </c>
    </row>
    <row r="12185" spans="15:15" x14ac:dyDescent="0.25">
      <c r="O12185" s="20" t="str">
        <f>IF(N12185="","",COUNTIFS(RawData[[Date ]],N12185,RawData[Month List],$Q$6,RawData[Tour/Site],$Q$2,RawData[[Picker ID ]],$Q$3,RawData[Checker ID],$Q$4,RawData[[Error Type ]],$Q$5))</f>
        <v/>
      </c>
    </row>
    <row r="12186" spans="15:15" x14ac:dyDescent="0.25">
      <c r="O12186" s="20" t="str">
        <f>IF(N12186="","",COUNTIFS(RawData[[Date ]],N12186,RawData[Month List],$Q$6,RawData[Tour/Site],$Q$2,RawData[[Picker ID ]],$Q$3,RawData[Checker ID],$Q$4,RawData[[Error Type ]],$Q$5))</f>
        <v/>
      </c>
    </row>
    <row r="12187" spans="15:15" x14ac:dyDescent="0.25">
      <c r="O12187" s="20" t="str">
        <f>IF(N12187="","",COUNTIFS(RawData[[Date ]],N12187,RawData[Month List],$Q$6,RawData[Tour/Site],$Q$2,RawData[[Picker ID ]],$Q$3,RawData[Checker ID],$Q$4,RawData[[Error Type ]],$Q$5))</f>
        <v/>
      </c>
    </row>
    <row r="12188" spans="15:15" x14ac:dyDescent="0.25">
      <c r="O12188" s="20" t="str">
        <f>IF(N12188="","",COUNTIFS(RawData[[Date ]],N12188,RawData[Month List],$Q$6,RawData[Tour/Site],$Q$2,RawData[[Picker ID ]],$Q$3,RawData[Checker ID],$Q$4,RawData[[Error Type ]],$Q$5))</f>
        <v/>
      </c>
    </row>
    <row r="12189" spans="15:15" x14ac:dyDescent="0.25">
      <c r="O12189" s="20" t="str">
        <f>IF(N12189="","",COUNTIFS(RawData[[Date ]],N12189,RawData[Month List],$Q$6,RawData[Tour/Site],$Q$2,RawData[[Picker ID ]],$Q$3,RawData[Checker ID],$Q$4,RawData[[Error Type ]],$Q$5))</f>
        <v/>
      </c>
    </row>
    <row r="12190" spans="15:15" x14ac:dyDescent="0.25">
      <c r="O12190" s="20" t="str">
        <f>IF(N12190="","",COUNTIFS(RawData[[Date ]],N12190,RawData[Month List],$Q$6,RawData[Tour/Site],$Q$2,RawData[[Picker ID ]],$Q$3,RawData[Checker ID],$Q$4,RawData[[Error Type ]],$Q$5))</f>
        <v/>
      </c>
    </row>
    <row r="12191" spans="15:15" x14ac:dyDescent="0.25">
      <c r="O12191" s="20" t="str">
        <f>IF(N12191="","",COUNTIFS(RawData[[Date ]],N12191,RawData[Month List],$Q$6,RawData[Tour/Site],$Q$2,RawData[[Picker ID ]],$Q$3,RawData[Checker ID],$Q$4,RawData[[Error Type ]],$Q$5))</f>
        <v/>
      </c>
    </row>
    <row r="12192" spans="15:15" x14ac:dyDescent="0.25">
      <c r="O12192" s="20" t="str">
        <f>IF(N12192="","",COUNTIFS(RawData[[Date ]],N12192,RawData[Month List],$Q$6,RawData[Tour/Site],$Q$2,RawData[[Picker ID ]],$Q$3,RawData[Checker ID],$Q$4,RawData[[Error Type ]],$Q$5))</f>
        <v/>
      </c>
    </row>
    <row r="12193" spans="15:15" x14ac:dyDescent="0.25">
      <c r="O12193" s="20" t="str">
        <f>IF(N12193="","",COUNTIFS(RawData[[Date ]],N12193,RawData[Month List],$Q$6,RawData[Tour/Site],$Q$2,RawData[[Picker ID ]],$Q$3,RawData[Checker ID],$Q$4,RawData[[Error Type ]],$Q$5))</f>
        <v/>
      </c>
    </row>
    <row r="12194" spans="15:15" x14ac:dyDescent="0.25">
      <c r="O12194" s="20" t="str">
        <f>IF(N12194="","",COUNTIFS(RawData[[Date ]],N12194,RawData[Month List],$Q$6,RawData[Tour/Site],$Q$2,RawData[[Picker ID ]],$Q$3,RawData[Checker ID],$Q$4,RawData[[Error Type ]],$Q$5))</f>
        <v/>
      </c>
    </row>
    <row r="12195" spans="15:15" x14ac:dyDescent="0.25">
      <c r="O12195" s="20" t="str">
        <f>IF(N12195="","",COUNTIFS(RawData[[Date ]],N12195,RawData[Month List],$Q$6,RawData[Tour/Site],$Q$2,RawData[[Picker ID ]],$Q$3,RawData[Checker ID],$Q$4,RawData[[Error Type ]],$Q$5))</f>
        <v/>
      </c>
    </row>
    <row r="12196" spans="15:15" x14ac:dyDescent="0.25">
      <c r="O12196" s="20" t="str">
        <f>IF(N12196="","",COUNTIFS(RawData[[Date ]],N12196,RawData[Month List],$Q$6,RawData[Tour/Site],$Q$2,RawData[[Picker ID ]],$Q$3,RawData[Checker ID],$Q$4,RawData[[Error Type ]],$Q$5))</f>
        <v/>
      </c>
    </row>
    <row r="12197" spans="15:15" x14ac:dyDescent="0.25">
      <c r="O12197" s="20" t="str">
        <f>IF(N12197="","",COUNTIFS(RawData[[Date ]],N12197,RawData[Month List],$Q$6,RawData[Tour/Site],$Q$2,RawData[[Picker ID ]],$Q$3,RawData[Checker ID],$Q$4,RawData[[Error Type ]],$Q$5))</f>
        <v/>
      </c>
    </row>
    <row r="12198" spans="15:15" x14ac:dyDescent="0.25">
      <c r="O12198" s="20" t="str">
        <f>IF(N12198="","",COUNTIFS(RawData[[Date ]],N12198,RawData[Month List],$Q$6,RawData[Tour/Site],$Q$2,RawData[[Picker ID ]],$Q$3,RawData[Checker ID],$Q$4,RawData[[Error Type ]],$Q$5))</f>
        <v/>
      </c>
    </row>
    <row r="12199" spans="15:15" x14ac:dyDescent="0.25">
      <c r="O12199" s="20" t="str">
        <f>IF(N12199="","",COUNTIFS(RawData[[Date ]],N12199,RawData[Month List],$Q$6,RawData[Tour/Site],$Q$2,RawData[[Picker ID ]],$Q$3,RawData[Checker ID],$Q$4,RawData[[Error Type ]],$Q$5))</f>
        <v/>
      </c>
    </row>
    <row r="12200" spans="15:15" x14ac:dyDescent="0.25">
      <c r="O12200" s="20" t="str">
        <f>IF(N12200="","",COUNTIFS(RawData[[Date ]],N12200,RawData[Month List],$Q$6,RawData[Tour/Site],$Q$2,RawData[[Picker ID ]],$Q$3,RawData[Checker ID],$Q$4,RawData[[Error Type ]],$Q$5))</f>
        <v/>
      </c>
    </row>
    <row r="12201" spans="15:15" x14ac:dyDescent="0.25">
      <c r="O12201" s="20" t="str">
        <f>IF(N12201="","",COUNTIFS(RawData[[Date ]],N12201,RawData[Month List],$Q$6,RawData[Tour/Site],$Q$2,RawData[[Picker ID ]],$Q$3,RawData[Checker ID],$Q$4,RawData[[Error Type ]],$Q$5))</f>
        <v/>
      </c>
    </row>
    <row r="12202" spans="15:15" x14ac:dyDescent="0.25">
      <c r="O12202" s="20" t="str">
        <f>IF(N12202="","",COUNTIFS(RawData[[Date ]],N12202,RawData[Month List],$Q$6,RawData[Tour/Site],$Q$2,RawData[[Picker ID ]],$Q$3,RawData[Checker ID],$Q$4,RawData[[Error Type ]],$Q$5))</f>
        <v/>
      </c>
    </row>
    <row r="12203" spans="15:15" x14ac:dyDescent="0.25">
      <c r="O12203" s="20" t="str">
        <f>IF(N12203="","",COUNTIFS(RawData[[Date ]],N12203,RawData[Month List],$Q$6,RawData[Tour/Site],$Q$2,RawData[[Picker ID ]],$Q$3,RawData[Checker ID],$Q$4,RawData[[Error Type ]],$Q$5))</f>
        <v/>
      </c>
    </row>
    <row r="12204" spans="15:15" x14ac:dyDescent="0.25">
      <c r="O12204" s="20" t="str">
        <f>IF(N12204="","",COUNTIFS(RawData[[Date ]],N12204,RawData[Month List],$Q$6,RawData[Tour/Site],$Q$2,RawData[[Picker ID ]],$Q$3,RawData[Checker ID],$Q$4,RawData[[Error Type ]],$Q$5))</f>
        <v/>
      </c>
    </row>
    <row r="12205" spans="15:15" x14ac:dyDescent="0.25">
      <c r="O12205" s="20" t="str">
        <f>IF(N12205="","",COUNTIFS(RawData[[Date ]],N12205,RawData[Month List],$Q$6,RawData[Tour/Site],$Q$2,RawData[[Picker ID ]],$Q$3,RawData[Checker ID],$Q$4,RawData[[Error Type ]],$Q$5))</f>
        <v/>
      </c>
    </row>
    <row r="12206" spans="15:15" x14ac:dyDescent="0.25">
      <c r="O12206" s="20" t="str">
        <f>IF(N12206="","",COUNTIFS(RawData[[Date ]],N12206,RawData[Month List],$Q$6,RawData[Tour/Site],$Q$2,RawData[[Picker ID ]],$Q$3,RawData[Checker ID],$Q$4,RawData[[Error Type ]],$Q$5))</f>
        <v/>
      </c>
    </row>
    <row r="12207" spans="15:15" x14ac:dyDescent="0.25">
      <c r="O12207" s="20" t="str">
        <f>IF(N12207="","",COUNTIFS(RawData[[Date ]],N12207,RawData[Month List],$Q$6,RawData[Tour/Site],$Q$2,RawData[[Picker ID ]],$Q$3,RawData[Checker ID],$Q$4,RawData[[Error Type ]],$Q$5))</f>
        <v/>
      </c>
    </row>
    <row r="12208" spans="15:15" x14ac:dyDescent="0.25">
      <c r="O12208" s="20" t="str">
        <f>IF(N12208="","",COUNTIFS(RawData[[Date ]],N12208,RawData[Month List],$Q$6,RawData[Tour/Site],$Q$2,RawData[[Picker ID ]],$Q$3,RawData[Checker ID],$Q$4,RawData[[Error Type ]],$Q$5))</f>
        <v/>
      </c>
    </row>
    <row r="12209" spans="15:15" x14ac:dyDescent="0.25">
      <c r="O12209" s="20" t="str">
        <f>IF(N12209="","",COUNTIFS(RawData[[Date ]],N12209,RawData[Month List],$Q$6,RawData[Tour/Site],$Q$2,RawData[[Picker ID ]],$Q$3,RawData[Checker ID],$Q$4,RawData[[Error Type ]],$Q$5))</f>
        <v/>
      </c>
    </row>
    <row r="12210" spans="15:15" x14ac:dyDescent="0.25">
      <c r="O12210" s="20" t="str">
        <f>IF(N12210="","",COUNTIFS(RawData[[Date ]],N12210,RawData[Month List],$Q$6,RawData[Tour/Site],$Q$2,RawData[[Picker ID ]],$Q$3,RawData[Checker ID],$Q$4,RawData[[Error Type ]],$Q$5))</f>
        <v/>
      </c>
    </row>
    <row r="12211" spans="15:15" x14ac:dyDescent="0.25">
      <c r="O12211" s="20" t="str">
        <f>IF(N12211="","",COUNTIFS(RawData[[Date ]],N12211,RawData[Month List],$Q$6,RawData[Tour/Site],$Q$2,RawData[[Picker ID ]],$Q$3,RawData[Checker ID],$Q$4,RawData[[Error Type ]],$Q$5))</f>
        <v/>
      </c>
    </row>
    <row r="12212" spans="15:15" x14ac:dyDescent="0.25">
      <c r="O12212" s="20" t="str">
        <f>IF(N12212="","",COUNTIFS(RawData[[Date ]],N12212,RawData[Month List],$Q$6,RawData[Tour/Site],$Q$2,RawData[[Picker ID ]],$Q$3,RawData[Checker ID],$Q$4,RawData[[Error Type ]],$Q$5))</f>
        <v/>
      </c>
    </row>
    <row r="12213" spans="15:15" x14ac:dyDescent="0.25">
      <c r="O12213" s="20" t="str">
        <f>IF(N12213="","",COUNTIFS(RawData[[Date ]],N12213,RawData[Month List],$Q$6,RawData[Tour/Site],$Q$2,RawData[[Picker ID ]],$Q$3,RawData[Checker ID],$Q$4,RawData[[Error Type ]],$Q$5))</f>
        <v/>
      </c>
    </row>
    <row r="12214" spans="15:15" x14ac:dyDescent="0.25">
      <c r="O12214" s="20" t="str">
        <f>IF(N12214="","",COUNTIFS(RawData[[Date ]],N12214,RawData[Month List],$Q$6,RawData[Tour/Site],$Q$2,RawData[[Picker ID ]],$Q$3,RawData[Checker ID],$Q$4,RawData[[Error Type ]],$Q$5))</f>
        <v/>
      </c>
    </row>
    <row r="12215" spans="15:15" x14ac:dyDescent="0.25">
      <c r="O12215" s="20" t="str">
        <f>IF(N12215="","",COUNTIFS(RawData[[Date ]],N12215,RawData[Month List],$Q$6,RawData[Tour/Site],$Q$2,RawData[[Picker ID ]],$Q$3,RawData[Checker ID],$Q$4,RawData[[Error Type ]],$Q$5))</f>
        <v/>
      </c>
    </row>
    <row r="12216" spans="15:15" x14ac:dyDescent="0.25">
      <c r="O12216" s="20" t="str">
        <f>IF(N12216="","",COUNTIFS(RawData[[Date ]],N12216,RawData[Month List],$Q$6,RawData[Tour/Site],$Q$2,RawData[[Picker ID ]],$Q$3,RawData[Checker ID],$Q$4,RawData[[Error Type ]],$Q$5))</f>
        <v/>
      </c>
    </row>
    <row r="12217" spans="15:15" x14ac:dyDescent="0.25">
      <c r="O12217" s="20" t="str">
        <f>IF(N12217="","",COUNTIFS(RawData[[Date ]],N12217,RawData[Month List],$Q$6,RawData[Tour/Site],$Q$2,RawData[[Picker ID ]],$Q$3,RawData[Checker ID],$Q$4,RawData[[Error Type ]],$Q$5))</f>
        <v/>
      </c>
    </row>
    <row r="12218" spans="15:15" x14ac:dyDescent="0.25">
      <c r="O12218" s="20" t="str">
        <f>IF(N12218="","",COUNTIFS(RawData[[Date ]],N12218,RawData[Month List],$Q$6,RawData[Tour/Site],$Q$2,RawData[[Picker ID ]],$Q$3,RawData[Checker ID],$Q$4,RawData[[Error Type ]],$Q$5))</f>
        <v/>
      </c>
    </row>
    <row r="12219" spans="15:15" x14ac:dyDescent="0.25">
      <c r="O12219" s="20" t="str">
        <f>IF(N12219="","",COUNTIFS(RawData[[Date ]],N12219,RawData[Month List],$Q$6,RawData[Tour/Site],$Q$2,RawData[[Picker ID ]],$Q$3,RawData[Checker ID],$Q$4,RawData[[Error Type ]],$Q$5))</f>
        <v/>
      </c>
    </row>
    <row r="12220" spans="15:15" x14ac:dyDescent="0.25">
      <c r="O12220" s="20" t="str">
        <f>IF(N12220="","",COUNTIFS(RawData[[Date ]],N12220,RawData[Month List],$Q$6,RawData[Tour/Site],$Q$2,RawData[[Picker ID ]],$Q$3,RawData[Checker ID],$Q$4,RawData[[Error Type ]],$Q$5))</f>
        <v/>
      </c>
    </row>
    <row r="12221" spans="15:15" x14ac:dyDescent="0.25">
      <c r="O12221" s="20" t="str">
        <f>IF(N12221="","",COUNTIFS(RawData[[Date ]],N12221,RawData[Month List],$Q$6,RawData[Tour/Site],$Q$2,RawData[[Picker ID ]],$Q$3,RawData[Checker ID],$Q$4,RawData[[Error Type ]],$Q$5))</f>
        <v/>
      </c>
    </row>
    <row r="12222" spans="15:15" x14ac:dyDescent="0.25">
      <c r="O12222" s="20" t="str">
        <f>IF(N12222="","",COUNTIFS(RawData[[Date ]],N12222,RawData[Month List],$Q$6,RawData[Tour/Site],$Q$2,RawData[[Picker ID ]],$Q$3,RawData[Checker ID],$Q$4,RawData[[Error Type ]],$Q$5))</f>
        <v/>
      </c>
    </row>
    <row r="12223" spans="15:15" x14ac:dyDescent="0.25">
      <c r="O12223" s="20" t="str">
        <f>IF(N12223="","",COUNTIFS(RawData[[Date ]],N12223,RawData[Month List],$Q$6,RawData[Tour/Site],$Q$2,RawData[[Picker ID ]],$Q$3,RawData[Checker ID],$Q$4,RawData[[Error Type ]],$Q$5))</f>
        <v/>
      </c>
    </row>
    <row r="12224" spans="15:15" x14ac:dyDescent="0.25">
      <c r="O12224" s="20" t="str">
        <f>IF(N12224="","",COUNTIFS(RawData[[Date ]],N12224,RawData[Month List],$Q$6,RawData[Tour/Site],$Q$2,RawData[[Picker ID ]],$Q$3,RawData[Checker ID],$Q$4,RawData[[Error Type ]],$Q$5))</f>
        <v/>
      </c>
    </row>
    <row r="12225" spans="15:15" x14ac:dyDescent="0.25">
      <c r="O12225" s="20" t="str">
        <f>IF(N12225="","",COUNTIFS(RawData[[Date ]],N12225,RawData[Month List],$Q$6,RawData[Tour/Site],$Q$2,RawData[[Picker ID ]],$Q$3,RawData[Checker ID],$Q$4,RawData[[Error Type ]],$Q$5))</f>
        <v/>
      </c>
    </row>
    <row r="12226" spans="15:15" x14ac:dyDescent="0.25">
      <c r="O12226" s="20" t="str">
        <f>IF(N12226="","",COUNTIFS(RawData[[Date ]],N12226,RawData[Month List],$Q$6,RawData[Tour/Site],$Q$2,RawData[[Picker ID ]],$Q$3,RawData[Checker ID],$Q$4,RawData[[Error Type ]],$Q$5))</f>
        <v/>
      </c>
    </row>
    <row r="12227" spans="15:15" x14ac:dyDescent="0.25">
      <c r="O12227" s="20" t="str">
        <f>IF(N12227="","",COUNTIFS(RawData[[Date ]],N12227,RawData[Month List],$Q$6,RawData[Tour/Site],$Q$2,RawData[[Picker ID ]],$Q$3,RawData[Checker ID],$Q$4,RawData[[Error Type ]],$Q$5))</f>
        <v/>
      </c>
    </row>
    <row r="12228" spans="15:15" x14ac:dyDescent="0.25">
      <c r="O12228" s="20" t="str">
        <f>IF(N12228="","",COUNTIFS(RawData[[Date ]],N12228,RawData[Month List],$Q$6,RawData[Tour/Site],$Q$2,RawData[[Picker ID ]],$Q$3,RawData[Checker ID],$Q$4,RawData[[Error Type ]],$Q$5))</f>
        <v/>
      </c>
    </row>
    <row r="12229" spans="15:15" x14ac:dyDescent="0.25">
      <c r="O12229" s="20" t="str">
        <f>IF(N12229="","",COUNTIFS(RawData[[Date ]],N12229,RawData[Month List],$Q$6,RawData[Tour/Site],$Q$2,RawData[[Picker ID ]],$Q$3,RawData[Checker ID],$Q$4,RawData[[Error Type ]],$Q$5))</f>
        <v/>
      </c>
    </row>
    <row r="12230" spans="15:15" x14ac:dyDescent="0.25">
      <c r="O12230" s="20" t="str">
        <f>IF(N12230="","",COUNTIFS(RawData[[Date ]],N12230,RawData[Month List],$Q$6,RawData[Tour/Site],$Q$2,RawData[[Picker ID ]],$Q$3,RawData[Checker ID],$Q$4,RawData[[Error Type ]],$Q$5))</f>
        <v/>
      </c>
    </row>
    <row r="12231" spans="15:15" x14ac:dyDescent="0.25">
      <c r="O12231" s="20" t="str">
        <f>IF(N12231="","",COUNTIFS(RawData[[Date ]],N12231,RawData[Month List],$Q$6,RawData[Tour/Site],$Q$2,RawData[[Picker ID ]],$Q$3,RawData[Checker ID],$Q$4,RawData[[Error Type ]],$Q$5))</f>
        <v/>
      </c>
    </row>
    <row r="12232" spans="15:15" x14ac:dyDescent="0.25">
      <c r="O12232" s="20" t="str">
        <f>IF(N12232="","",COUNTIFS(RawData[[Date ]],N12232,RawData[Month List],$Q$6,RawData[Tour/Site],$Q$2,RawData[[Picker ID ]],$Q$3,RawData[Checker ID],$Q$4,RawData[[Error Type ]],$Q$5))</f>
        <v/>
      </c>
    </row>
    <row r="12233" spans="15:15" x14ac:dyDescent="0.25">
      <c r="O12233" s="20" t="str">
        <f>IF(N12233="","",COUNTIFS(RawData[[Date ]],N12233,RawData[Month List],$Q$6,RawData[Tour/Site],$Q$2,RawData[[Picker ID ]],$Q$3,RawData[Checker ID],$Q$4,RawData[[Error Type ]],$Q$5))</f>
        <v/>
      </c>
    </row>
    <row r="12234" spans="15:15" x14ac:dyDescent="0.25">
      <c r="O12234" s="20" t="str">
        <f>IF(N12234="","",COUNTIFS(RawData[[Date ]],N12234,RawData[Month List],$Q$6,RawData[Tour/Site],$Q$2,RawData[[Picker ID ]],$Q$3,RawData[Checker ID],$Q$4,RawData[[Error Type ]],$Q$5))</f>
        <v/>
      </c>
    </row>
    <row r="12235" spans="15:15" x14ac:dyDescent="0.25">
      <c r="O12235" s="20" t="str">
        <f>IF(N12235="","",COUNTIFS(RawData[[Date ]],N12235,RawData[Month List],$Q$6,RawData[Tour/Site],$Q$2,RawData[[Picker ID ]],$Q$3,RawData[Checker ID],$Q$4,RawData[[Error Type ]],$Q$5))</f>
        <v/>
      </c>
    </row>
    <row r="12236" spans="15:15" x14ac:dyDescent="0.25">
      <c r="O12236" s="20" t="str">
        <f>IF(N12236="","",COUNTIFS(RawData[[Date ]],N12236,RawData[Month List],$Q$6,RawData[Tour/Site],$Q$2,RawData[[Picker ID ]],$Q$3,RawData[Checker ID],$Q$4,RawData[[Error Type ]],$Q$5))</f>
        <v/>
      </c>
    </row>
    <row r="12237" spans="15:15" x14ac:dyDescent="0.25">
      <c r="O12237" s="20" t="str">
        <f>IF(N12237="","",COUNTIFS(RawData[[Date ]],N12237,RawData[Month List],$Q$6,RawData[Tour/Site],$Q$2,RawData[[Picker ID ]],$Q$3,RawData[Checker ID],$Q$4,RawData[[Error Type ]],$Q$5))</f>
        <v/>
      </c>
    </row>
    <row r="12238" spans="15:15" x14ac:dyDescent="0.25">
      <c r="O12238" s="20" t="str">
        <f>IF(N12238="","",COUNTIFS(RawData[[Date ]],N12238,RawData[Month List],$Q$6,RawData[Tour/Site],$Q$2,RawData[[Picker ID ]],$Q$3,RawData[Checker ID],$Q$4,RawData[[Error Type ]],$Q$5))</f>
        <v/>
      </c>
    </row>
    <row r="12239" spans="15:15" x14ac:dyDescent="0.25">
      <c r="O12239" s="20" t="str">
        <f>IF(N12239="","",COUNTIFS(RawData[[Date ]],N12239,RawData[Month List],$Q$6,RawData[Tour/Site],$Q$2,RawData[[Picker ID ]],$Q$3,RawData[Checker ID],$Q$4,RawData[[Error Type ]],$Q$5))</f>
        <v/>
      </c>
    </row>
    <row r="12240" spans="15:15" x14ac:dyDescent="0.25">
      <c r="O12240" s="20" t="str">
        <f>IF(N12240="","",COUNTIFS(RawData[[Date ]],N12240,RawData[Month List],$Q$6,RawData[Tour/Site],$Q$2,RawData[[Picker ID ]],$Q$3,RawData[Checker ID],$Q$4,RawData[[Error Type ]],$Q$5))</f>
        <v/>
      </c>
    </row>
    <row r="12241" spans="15:15" x14ac:dyDescent="0.25">
      <c r="O12241" s="20" t="str">
        <f>IF(N12241="","",COUNTIFS(RawData[[Date ]],N12241,RawData[Month List],$Q$6,RawData[Tour/Site],$Q$2,RawData[[Picker ID ]],$Q$3,RawData[Checker ID],$Q$4,RawData[[Error Type ]],$Q$5))</f>
        <v/>
      </c>
    </row>
    <row r="12242" spans="15:15" x14ac:dyDescent="0.25">
      <c r="O12242" s="20" t="str">
        <f>IF(N12242="","",COUNTIFS(RawData[[Date ]],N12242,RawData[Month List],$Q$6,RawData[Tour/Site],$Q$2,RawData[[Picker ID ]],$Q$3,RawData[Checker ID],$Q$4,RawData[[Error Type ]],$Q$5))</f>
        <v/>
      </c>
    </row>
    <row r="12243" spans="15:15" x14ac:dyDescent="0.25">
      <c r="O12243" s="20" t="str">
        <f>IF(N12243="","",COUNTIFS(RawData[[Date ]],N12243,RawData[Month List],$Q$6,RawData[Tour/Site],$Q$2,RawData[[Picker ID ]],$Q$3,RawData[Checker ID],$Q$4,RawData[[Error Type ]],$Q$5))</f>
        <v/>
      </c>
    </row>
    <row r="12244" spans="15:15" x14ac:dyDescent="0.25">
      <c r="O12244" s="20" t="str">
        <f>IF(N12244="","",COUNTIFS(RawData[[Date ]],N12244,RawData[Month List],$Q$6,RawData[Tour/Site],$Q$2,RawData[[Picker ID ]],$Q$3,RawData[Checker ID],$Q$4,RawData[[Error Type ]],$Q$5))</f>
        <v/>
      </c>
    </row>
    <row r="12245" spans="15:15" x14ac:dyDescent="0.25">
      <c r="O12245" s="20" t="str">
        <f>IF(N12245="","",COUNTIFS(RawData[[Date ]],N12245,RawData[Month List],$Q$6,RawData[Tour/Site],$Q$2,RawData[[Picker ID ]],$Q$3,RawData[Checker ID],$Q$4,RawData[[Error Type ]],$Q$5))</f>
        <v/>
      </c>
    </row>
    <row r="12246" spans="15:15" x14ac:dyDescent="0.25">
      <c r="O12246" s="20" t="str">
        <f>IF(N12246="","",COUNTIFS(RawData[[Date ]],N12246,RawData[Month List],$Q$6,RawData[Tour/Site],$Q$2,RawData[[Picker ID ]],$Q$3,RawData[Checker ID],$Q$4,RawData[[Error Type ]],$Q$5))</f>
        <v/>
      </c>
    </row>
    <row r="12247" spans="15:15" x14ac:dyDescent="0.25">
      <c r="O12247" s="20" t="str">
        <f>IF(N12247="","",COUNTIFS(RawData[[Date ]],N12247,RawData[Month List],$Q$6,RawData[Tour/Site],$Q$2,RawData[[Picker ID ]],$Q$3,RawData[Checker ID],$Q$4,RawData[[Error Type ]],$Q$5))</f>
        <v/>
      </c>
    </row>
    <row r="12248" spans="15:15" x14ac:dyDescent="0.25">
      <c r="O12248" s="20" t="str">
        <f>IF(N12248="","",COUNTIFS(RawData[[Date ]],N12248,RawData[Month List],$Q$6,RawData[Tour/Site],$Q$2,RawData[[Picker ID ]],$Q$3,RawData[Checker ID],$Q$4,RawData[[Error Type ]],$Q$5))</f>
        <v/>
      </c>
    </row>
    <row r="12249" spans="15:15" x14ac:dyDescent="0.25">
      <c r="O12249" s="20" t="str">
        <f>IF(N12249="","",COUNTIFS(RawData[[Date ]],N12249,RawData[Month List],$Q$6,RawData[Tour/Site],$Q$2,RawData[[Picker ID ]],$Q$3,RawData[Checker ID],$Q$4,RawData[[Error Type ]],$Q$5))</f>
        <v/>
      </c>
    </row>
    <row r="12250" spans="15:15" x14ac:dyDescent="0.25">
      <c r="O12250" s="20" t="str">
        <f>IF(N12250="","",COUNTIFS(RawData[[Date ]],N12250,RawData[Month List],$Q$6,RawData[Tour/Site],$Q$2,RawData[[Picker ID ]],$Q$3,RawData[Checker ID],$Q$4,RawData[[Error Type ]],$Q$5))</f>
        <v/>
      </c>
    </row>
    <row r="12251" spans="15:15" x14ac:dyDescent="0.25">
      <c r="O12251" s="20" t="str">
        <f>IF(N12251="","",COUNTIFS(RawData[[Date ]],N12251,RawData[Month List],$Q$6,RawData[Tour/Site],$Q$2,RawData[[Picker ID ]],$Q$3,RawData[Checker ID],$Q$4,RawData[[Error Type ]],$Q$5))</f>
        <v/>
      </c>
    </row>
    <row r="12252" spans="15:15" x14ac:dyDescent="0.25">
      <c r="O12252" s="20" t="str">
        <f>IF(N12252="","",COUNTIFS(RawData[[Date ]],N12252,RawData[Month List],$Q$6,RawData[Tour/Site],$Q$2,RawData[[Picker ID ]],$Q$3,RawData[Checker ID],$Q$4,RawData[[Error Type ]],$Q$5))</f>
        <v/>
      </c>
    </row>
    <row r="12253" spans="15:15" x14ac:dyDescent="0.25">
      <c r="O12253" s="20" t="str">
        <f>IF(N12253="","",COUNTIFS(RawData[[Date ]],N12253,RawData[Month List],$Q$6,RawData[Tour/Site],$Q$2,RawData[[Picker ID ]],$Q$3,RawData[Checker ID],$Q$4,RawData[[Error Type ]],$Q$5))</f>
        <v/>
      </c>
    </row>
    <row r="12254" spans="15:15" x14ac:dyDescent="0.25">
      <c r="O12254" s="20" t="str">
        <f>IF(N12254="","",COUNTIFS(RawData[[Date ]],N12254,RawData[Month List],$Q$6,RawData[Tour/Site],$Q$2,RawData[[Picker ID ]],$Q$3,RawData[Checker ID],$Q$4,RawData[[Error Type ]],$Q$5))</f>
        <v/>
      </c>
    </row>
    <row r="12255" spans="15:15" x14ac:dyDescent="0.25">
      <c r="O12255" s="20" t="str">
        <f>IF(N12255="","",COUNTIFS(RawData[[Date ]],N12255,RawData[Month List],$Q$6,RawData[Tour/Site],$Q$2,RawData[[Picker ID ]],$Q$3,RawData[Checker ID],$Q$4,RawData[[Error Type ]],$Q$5))</f>
        <v/>
      </c>
    </row>
    <row r="12256" spans="15:15" x14ac:dyDescent="0.25">
      <c r="O12256" s="20" t="str">
        <f>IF(N12256="","",COUNTIFS(RawData[[Date ]],N12256,RawData[Month List],$Q$6,RawData[Tour/Site],$Q$2,RawData[[Picker ID ]],$Q$3,RawData[Checker ID],$Q$4,RawData[[Error Type ]],$Q$5))</f>
        <v/>
      </c>
    </row>
    <row r="12257" spans="15:15" x14ac:dyDescent="0.25">
      <c r="O12257" s="20" t="str">
        <f>IF(N12257="","",COUNTIFS(RawData[[Date ]],N12257,RawData[Month List],$Q$6,RawData[Tour/Site],$Q$2,RawData[[Picker ID ]],$Q$3,RawData[Checker ID],$Q$4,RawData[[Error Type ]],$Q$5))</f>
        <v/>
      </c>
    </row>
    <row r="12258" spans="15:15" x14ac:dyDescent="0.25">
      <c r="O12258" s="20" t="str">
        <f>IF(N12258="","",COUNTIFS(RawData[[Date ]],N12258,RawData[Month List],$Q$6,RawData[Tour/Site],$Q$2,RawData[[Picker ID ]],$Q$3,RawData[Checker ID],$Q$4,RawData[[Error Type ]],$Q$5))</f>
        <v/>
      </c>
    </row>
    <row r="12259" spans="15:15" x14ac:dyDescent="0.25">
      <c r="O12259" s="20" t="str">
        <f>IF(N12259="","",COUNTIFS(RawData[[Date ]],N12259,RawData[Month List],$Q$6,RawData[Tour/Site],$Q$2,RawData[[Picker ID ]],$Q$3,RawData[Checker ID],$Q$4,RawData[[Error Type ]],$Q$5))</f>
        <v/>
      </c>
    </row>
    <row r="12260" spans="15:15" x14ac:dyDescent="0.25">
      <c r="O12260" s="20" t="str">
        <f>IF(N12260="","",COUNTIFS(RawData[[Date ]],N12260,RawData[Month List],$Q$6,RawData[Tour/Site],$Q$2,RawData[[Picker ID ]],$Q$3,RawData[Checker ID],$Q$4,RawData[[Error Type ]],$Q$5))</f>
        <v/>
      </c>
    </row>
    <row r="12261" spans="15:15" x14ac:dyDescent="0.25">
      <c r="O12261" s="20" t="str">
        <f>IF(N12261="","",COUNTIFS(RawData[[Date ]],N12261,RawData[Month List],$Q$6,RawData[Tour/Site],$Q$2,RawData[[Picker ID ]],$Q$3,RawData[Checker ID],$Q$4,RawData[[Error Type ]],$Q$5))</f>
        <v/>
      </c>
    </row>
    <row r="12262" spans="15:15" x14ac:dyDescent="0.25">
      <c r="O12262" s="20" t="str">
        <f>IF(N12262="","",COUNTIFS(RawData[[Date ]],N12262,RawData[Month List],$Q$6,RawData[Tour/Site],$Q$2,RawData[[Picker ID ]],$Q$3,RawData[Checker ID],$Q$4,RawData[[Error Type ]],$Q$5))</f>
        <v/>
      </c>
    </row>
    <row r="12263" spans="15:15" x14ac:dyDescent="0.25">
      <c r="O12263" s="20" t="str">
        <f>IF(N12263="","",COUNTIFS(RawData[[Date ]],N12263,RawData[Month List],$Q$6,RawData[Tour/Site],$Q$2,RawData[[Picker ID ]],$Q$3,RawData[Checker ID],$Q$4,RawData[[Error Type ]],$Q$5))</f>
        <v/>
      </c>
    </row>
    <row r="12264" spans="15:15" x14ac:dyDescent="0.25">
      <c r="O12264" s="20" t="str">
        <f>IF(N12264="","",COUNTIFS(RawData[[Date ]],N12264,RawData[Month List],$Q$6,RawData[Tour/Site],$Q$2,RawData[[Picker ID ]],$Q$3,RawData[Checker ID],$Q$4,RawData[[Error Type ]],$Q$5))</f>
        <v/>
      </c>
    </row>
    <row r="12265" spans="15:15" x14ac:dyDescent="0.25">
      <c r="O12265" s="20" t="str">
        <f>IF(N12265="","",COUNTIFS(RawData[[Date ]],N12265,RawData[Month List],$Q$6,RawData[Tour/Site],$Q$2,RawData[[Picker ID ]],$Q$3,RawData[Checker ID],$Q$4,RawData[[Error Type ]],$Q$5))</f>
        <v/>
      </c>
    </row>
    <row r="12266" spans="15:15" x14ac:dyDescent="0.25">
      <c r="O12266" s="20" t="str">
        <f>IF(N12266="","",COUNTIFS(RawData[[Date ]],N12266,RawData[Month List],$Q$6,RawData[Tour/Site],$Q$2,RawData[[Picker ID ]],$Q$3,RawData[Checker ID],$Q$4,RawData[[Error Type ]],$Q$5))</f>
        <v/>
      </c>
    </row>
    <row r="12267" spans="15:15" x14ac:dyDescent="0.25">
      <c r="O12267" s="20" t="str">
        <f>IF(N12267="","",COUNTIFS(RawData[[Date ]],N12267,RawData[Month List],$Q$6,RawData[Tour/Site],$Q$2,RawData[[Picker ID ]],$Q$3,RawData[Checker ID],$Q$4,RawData[[Error Type ]],$Q$5))</f>
        <v/>
      </c>
    </row>
    <row r="12268" spans="15:15" x14ac:dyDescent="0.25">
      <c r="O12268" s="20" t="str">
        <f>IF(N12268="","",COUNTIFS(RawData[[Date ]],N12268,RawData[Month List],$Q$6,RawData[Tour/Site],$Q$2,RawData[[Picker ID ]],$Q$3,RawData[Checker ID],$Q$4,RawData[[Error Type ]],$Q$5))</f>
        <v/>
      </c>
    </row>
    <row r="12269" spans="15:15" x14ac:dyDescent="0.25">
      <c r="O12269" s="20" t="str">
        <f>IF(N12269="","",COUNTIFS(RawData[[Date ]],N12269,RawData[Month List],$Q$6,RawData[Tour/Site],$Q$2,RawData[[Picker ID ]],$Q$3,RawData[Checker ID],$Q$4,RawData[[Error Type ]],$Q$5))</f>
        <v/>
      </c>
    </row>
    <row r="12270" spans="15:15" x14ac:dyDescent="0.25">
      <c r="O12270" s="20" t="str">
        <f>IF(N12270="","",COUNTIFS(RawData[[Date ]],N12270,RawData[Month List],$Q$6,RawData[Tour/Site],$Q$2,RawData[[Picker ID ]],$Q$3,RawData[Checker ID],$Q$4,RawData[[Error Type ]],$Q$5))</f>
        <v/>
      </c>
    </row>
    <row r="12271" spans="15:15" x14ac:dyDescent="0.25">
      <c r="O12271" s="20" t="str">
        <f>IF(N12271="","",COUNTIFS(RawData[[Date ]],N12271,RawData[Month List],$Q$6,RawData[Tour/Site],$Q$2,RawData[[Picker ID ]],$Q$3,RawData[Checker ID],$Q$4,RawData[[Error Type ]],$Q$5))</f>
        <v/>
      </c>
    </row>
    <row r="12272" spans="15:15" x14ac:dyDescent="0.25">
      <c r="O12272" s="20" t="str">
        <f>IF(N12272="","",COUNTIFS(RawData[[Date ]],N12272,RawData[Month List],$Q$6,RawData[Tour/Site],$Q$2,RawData[[Picker ID ]],$Q$3,RawData[Checker ID],$Q$4,RawData[[Error Type ]],$Q$5))</f>
        <v/>
      </c>
    </row>
    <row r="12273" spans="15:15" x14ac:dyDescent="0.25">
      <c r="O12273" s="20" t="str">
        <f>IF(N12273="","",COUNTIFS(RawData[[Date ]],N12273,RawData[Month List],$Q$6,RawData[Tour/Site],$Q$2,RawData[[Picker ID ]],$Q$3,RawData[Checker ID],$Q$4,RawData[[Error Type ]],$Q$5))</f>
        <v/>
      </c>
    </row>
    <row r="12274" spans="15:15" x14ac:dyDescent="0.25">
      <c r="O12274" s="20" t="str">
        <f>IF(N12274="","",COUNTIFS(RawData[[Date ]],N12274,RawData[Month List],$Q$6,RawData[Tour/Site],$Q$2,RawData[[Picker ID ]],$Q$3,RawData[Checker ID],$Q$4,RawData[[Error Type ]],$Q$5))</f>
        <v/>
      </c>
    </row>
    <row r="12275" spans="15:15" x14ac:dyDescent="0.25">
      <c r="O12275" s="20" t="str">
        <f>IF(N12275="","",COUNTIFS(RawData[[Date ]],N12275,RawData[Month List],$Q$6,RawData[Tour/Site],$Q$2,RawData[[Picker ID ]],$Q$3,RawData[Checker ID],$Q$4,RawData[[Error Type ]],$Q$5))</f>
        <v/>
      </c>
    </row>
    <row r="12276" spans="15:15" x14ac:dyDescent="0.25">
      <c r="O12276" s="20" t="str">
        <f>IF(N12276="","",COUNTIFS(RawData[[Date ]],N12276,RawData[Month List],$Q$6,RawData[Tour/Site],$Q$2,RawData[[Picker ID ]],$Q$3,RawData[Checker ID],$Q$4,RawData[[Error Type ]],$Q$5))</f>
        <v/>
      </c>
    </row>
    <row r="12277" spans="15:15" x14ac:dyDescent="0.25">
      <c r="O12277" s="20" t="str">
        <f>IF(N12277="","",COUNTIFS(RawData[[Date ]],N12277,RawData[Month List],$Q$6,RawData[Tour/Site],$Q$2,RawData[[Picker ID ]],$Q$3,RawData[Checker ID],$Q$4,RawData[[Error Type ]],$Q$5))</f>
        <v/>
      </c>
    </row>
    <row r="12278" spans="15:15" x14ac:dyDescent="0.25">
      <c r="O12278" s="20" t="str">
        <f>IF(N12278="","",COUNTIFS(RawData[[Date ]],N12278,RawData[Month List],$Q$6,RawData[Tour/Site],$Q$2,RawData[[Picker ID ]],$Q$3,RawData[Checker ID],$Q$4,RawData[[Error Type ]],$Q$5))</f>
        <v/>
      </c>
    </row>
    <row r="12279" spans="15:15" x14ac:dyDescent="0.25">
      <c r="O12279" s="20" t="str">
        <f>IF(N12279="","",COUNTIFS(RawData[[Date ]],N12279,RawData[Month List],$Q$6,RawData[Tour/Site],$Q$2,RawData[[Picker ID ]],$Q$3,RawData[Checker ID],$Q$4,RawData[[Error Type ]],$Q$5))</f>
        <v/>
      </c>
    </row>
    <row r="12280" spans="15:15" x14ac:dyDescent="0.25">
      <c r="O12280" s="20" t="str">
        <f>IF(N12280="","",COUNTIFS(RawData[[Date ]],N12280,RawData[Month List],$Q$6,RawData[Tour/Site],$Q$2,RawData[[Picker ID ]],$Q$3,RawData[Checker ID],$Q$4,RawData[[Error Type ]],$Q$5))</f>
        <v/>
      </c>
    </row>
    <row r="12281" spans="15:15" x14ac:dyDescent="0.25">
      <c r="O12281" s="20" t="str">
        <f>IF(N12281="","",COUNTIFS(RawData[[Date ]],N12281,RawData[Month List],$Q$6,RawData[Tour/Site],$Q$2,RawData[[Picker ID ]],$Q$3,RawData[Checker ID],$Q$4,RawData[[Error Type ]],$Q$5))</f>
        <v/>
      </c>
    </row>
    <row r="12282" spans="15:15" x14ac:dyDescent="0.25">
      <c r="O12282" s="20" t="str">
        <f>IF(N12282="","",COUNTIFS(RawData[[Date ]],N12282,RawData[Month List],$Q$6,RawData[Tour/Site],$Q$2,RawData[[Picker ID ]],$Q$3,RawData[Checker ID],$Q$4,RawData[[Error Type ]],$Q$5))</f>
        <v/>
      </c>
    </row>
    <row r="12283" spans="15:15" x14ac:dyDescent="0.25">
      <c r="O12283" s="20" t="str">
        <f>IF(N12283="","",COUNTIFS(RawData[[Date ]],N12283,RawData[Month List],$Q$6,RawData[Tour/Site],$Q$2,RawData[[Picker ID ]],$Q$3,RawData[Checker ID],$Q$4,RawData[[Error Type ]],$Q$5))</f>
        <v/>
      </c>
    </row>
    <row r="12284" spans="15:15" x14ac:dyDescent="0.25">
      <c r="O12284" s="20" t="str">
        <f>IF(N12284="","",COUNTIFS(RawData[[Date ]],N12284,RawData[Month List],$Q$6,RawData[Tour/Site],$Q$2,RawData[[Picker ID ]],$Q$3,RawData[Checker ID],$Q$4,RawData[[Error Type ]],$Q$5))</f>
        <v/>
      </c>
    </row>
    <row r="12285" spans="15:15" x14ac:dyDescent="0.25">
      <c r="O12285" s="20" t="str">
        <f>IF(N12285="","",COUNTIFS(RawData[[Date ]],N12285,RawData[Month List],$Q$6,RawData[Tour/Site],$Q$2,RawData[[Picker ID ]],$Q$3,RawData[Checker ID],$Q$4,RawData[[Error Type ]],$Q$5))</f>
        <v/>
      </c>
    </row>
    <row r="12286" spans="15:15" x14ac:dyDescent="0.25">
      <c r="O12286" s="20" t="str">
        <f>IF(N12286="","",COUNTIFS(RawData[[Date ]],N12286,RawData[Month List],$Q$6,RawData[Tour/Site],$Q$2,RawData[[Picker ID ]],$Q$3,RawData[Checker ID],$Q$4,RawData[[Error Type ]],$Q$5))</f>
        <v/>
      </c>
    </row>
    <row r="12287" spans="15:15" x14ac:dyDescent="0.25">
      <c r="O12287" s="20" t="str">
        <f>IF(N12287="","",COUNTIFS(RawData[[Date ]],N12287,RawData[Month List],$Q$6,RawData[Tour/Site],$Q$2,RawData[[Picker ID ]],$Q$3,RawData[Checker ID],$Q$4,RawData[[Error Type ]],$Q$5))</f>
        <v/>
      </c>
    </row>
    <row r="12288" spans="15:15" x14ac:dyDescent="0.25">
      <c r="O12288" s="20" t="str">
        <f>IF(N12288="","",COUNTIFS(RawData[[Date ]],N12288,RawData[Month List],$Q$6,RawData[Tour/Site],$Q$2,RawData[[Picker ID ]],$Q$3,RawData[Checker ID],$Q$4,RawData[[Error Type ]],$Q$5))</f>
        <v/>
      </c>
    </row>
    <row r="12289" spans="15:15" x14ac:dyDescent="0.25">
      <c r="O12289" s="20" t="str">
        <f>IF(N12289="","",COUNTIFS(RawData[[Date ]],N12289,RawData[Month List],$Q$6,RawData[Tour/Site],$Q$2,RawData[[Picker ID ]],$Q$3,RawData[Checker ID],$Q$4,RawData[[Error Type ]],$Q$5))</f>
        <v/>
      </c>
    </row>
    <row r="12290" spans="15:15" x14ac:dyDescent="0.25">
      <c r="O12290" s="20" t="str">
        <f>IF(N12290="","",COUNTIFS(RawData[[Date ]],N12290,RawData[Month List],$Q$6,RawData[Tour/Site],$Q$2,RawData[[Picker ID ]],$Q$3,RawData[Checker ID],$Q$4,RawData[[Error Type ]],$Q$5))</f>
        <v/>
      </c>
    </row>
    <row r="12291" spans="15:15" x14ac:dyDescent="0.25">
      <c r="O12291" s="20" t="str">
        <f>IF(N12291="","",COUNTIFS(RawData[[Date ]],N12291,RawData[Month List],$Q$6,RawData[Tour/Site],$Q$2,RawData[[Picker ID ]],$Q$3,RawData[Checker ID],$Q$4,RawData[[Error Type ]],$Q$5))</f>
        <v/>
      </c>
    </row>
    <row r="12292" spans="15:15" x14ac:dyDescent="0.25">
      <c r="O12292" s="20" t="str">
        <f>IF(N12292="","",COUNTIFS(RawData[[Date ]],N12292,RawData[Month List],$Q$6,RawData[Tour/Site],$Q$2,RawData[[Picker ID ]],$Q$3,RawData[Checker ID],$Q$4,RawData[[Error Type ]],$Q$5))</f>
        <v/>
      </c>
    </row>
    <row r="12293" spans="15:15" x14ac:dyDescent="0.25">
      <c r="O12293" s="20" t="str">
        <f>IF(N12293="","",COUNTIFS(RawData[[Date ]],N12293,RawData[Month List],$Q$6,RawData[Tour/Site],$Q$2,RawData[[Picker ID ]],$Q$3,RawData[Checker ID],$Q$4,RawData[[Error Type ]],$Q$5))</f>
        <v/>
      </c>
    </row>
    <row r="12294" spans="15:15" x14ac:dyDescent="0.25">
      <c r="O12294" s="20" t="str">
        <f>IF(N12294="","",COUNTIFS(RawData[[Date ]],N12294,RawData[Month List],$Q$6,RawData[Tour/Site],$Q$2,RawData[[Picker ID ]],$Q$3,RawData[Checker ID],$Q$4,RawData[[Error Type ]],$Q$5))</f>
        <v/>
      </c>
    </row>
    <row r="12295" spans="15:15" x14ac:dyDescent="0.25">
      <c r="O12295" s="20" t="str">
        <f>IF(N12295="","",COUNTIFS(RawData[[Date ]],N12295,RawData[Month List],$Q$6,RawData[Tour/Site],$Q$2,RawData[[Picker ID ]],$Q$3,RawData[Checker ID],$Q$4,RawData[[Error Type ]],$Q$5))</f>
        <v/>
      </c>
    </row>
    <row r="12296" spans="15:15" x14ac:dyDescent="0.25">
      <c r="O12296" s="20" t="str">
        <f>IF(N12296="","",COUNTIFS(RawData[[Date ]],N12296,RawData[Month List],$Q$6,RawData[Tour/Site],$Q$2,RawData[[Picker ID ]],$Q$3,RawData[Checker ID],$Q$4,RawData[[Error Type ]],$Q$5))</f>
        <v/>
      </c>
    </row>
    <row r="12297" spans="15:15" x14ac:dyDescent="0.25">
      <c r="O12297" s="20" t="str">
        <f>IF(N12297="","",COUNTIFS(RawData[[Date ]],N12297,RawData[Month List],$Q$6,RawData[Tour/Site],$Q$2,RawData[[Picker ID ]],$Q$3,RawData[Checker ID],$Q$4,RawData[[Error Type ]],$Q$5))</f>
        <v/>
      </c>
    </row>
    <row r="12298" spans="15:15" x14ac:dyDescent="0.25">
      <c r="O12298" s="20" t="str">
        <f>IF(N12298="","",COUNTIFS(RawData[[Date ]],N12298,RawData[Month List],$Q$6,RawData[Tour/Site],$Q$2,RawData[[Picker ID ]],$Q$3,RawData[Checker ID],$Q$4,RawData[[Error Type ]],$Q$5))</f>
        <v/>
      </c>
    </row>
    <row r="12299" spans="15:15" x14ac:dyDescent="0.25">
      <c r="O12299" s="20" t="str">
        <f>IF(N12299="","",COUNTIFS(RawData[[Date ]],N12299,RawData[Month List],$Q$6,RawData[Tour/Site],$Q$2,RawData[[Picker ID ]],$Q$3,RawData[Checker ID],$Q$4,RawData[[Error Type ]],$Q$5))</f>
        <v/>
      </c>
    </row>
    <row r="12300" spans="15:15" x14ac:dyDescent="0.25">
      <c r="O12300" s="20" t="str">
        <f>IF(N12300="","",COUNTIFS(RawData[[Date ]],N12300,RawData[Month List],$Q$6,RawData[Tour/Site],$Q$2,RawData[[Picker ID ]],$Q$3,RawData[Checker ID],$Q$4,RawData[[Error Type ]],$Q$5))</f>
        <v/>
      </c>
    </row>
    <row r="12301" spans="15:15" x14ac:dyDescent="0.25">
      <c r="O12301" s="20" t="str">
        <f>IF(N12301="","",COUNTIFS(RawData[[Date ]],N12301,RawData[Month List],$Q$6,RawData[Tour/Site],$Q$2,RawData[[Picker ID ]],$Q$3,RawData[Checker ID],$Q$4,RawData[[Error Type ]],$Q$5))</f>
        <v/>
      </c>
    </row>
    <row r="12302" spans="15:15" x14ac:dyDescent="0.25">
      <c r="O12302" s="20" t="str">
        <f>IF(N12302="","",COUNTIFS(RawData[[Date ]],N12302,RawData[Month List],$Q$6,RawData[Tour/Site],$Q$2,RawData[[Picker ID ]],$Q$3,RawData[Checker ID],$Q$4,RawData[[Error Type ]],$Q$5))</f>
        <v/>
      </c>
    </row>
    <row r="12303" spans="15:15" x14ac:dyDescent="0.25">
      <c r="O12303" s="20" t="str">
        <f>IF(N12303="","",COUNTIFS(RawData[[Date ]],N12303,RawData[Month List],$Q$6,RawData[Tour/Site],$Q$2,RawData[[Picker ID ]],$Q$3,RawData[Checker ID],$Q$4,RawData[[Error Type ]],$Q$5))</f>
        <v/>
      </c>
    </row>
    <row r="12304" spans="15:15" x14ac:dyDescent="0.25">
      <c r="O12304" s="20" t="str">
        <f>IF(N12304="","",COUNTIFS(RawData[[Date ]],N12304,RawData[Month List],$Q$6,RawData[Tour/Site],$Q$2,RawData[[Picker ID ]],$Q$3,RawData[Checker ID],$Q$4,RawData[[Error Type ]],$Q$5))</f>
        <v/>
      </c>
    </row>
    <row r="12305" spans="15:15" x14ac:dyDescent="0.25">
      <c r="O12305" s="20" t="str">
        <f>IF(N12305="","",COUNTIFS(RawData[[Date ]],N12305,RawData[Month List],$Q$6,RawData[Tour/Site],$Q$2,RawData[[Picker ID ]],$Q$3,RawData[Checker ID],$Q$4,RawData[[Error Type ]],$Q$5))</f>
        <v/>
      </c>
    </row>
    <row r="12306" spans="15:15" x14ac:dyDescent="0.25">
      <c r="O12306" s="20" t="str">
        <f>IF(N12306="","",COUNTIFS(RawData[[Date ]],N12306,RawData[Month List],$Q$6,RawData[Tour/Site],$Q$2,RawData[[Picker ID ]],$Q$3,RawData[Checker ID],$Q$4,RawData[[Error Type ]],$Q$5))</f>
        <v/>
      </c>
    </row>
    <row r="12307" spans="15:15" x14ac:dyDescent="0.25">
      <c r="O12307" s="20" t="str">
        <f>IF(N12307="","",COUNTIFS(RawData[[Date ]],N12307,RawData[Month List],$Q$6,RawData[Tour/Site],$Q$2,RawData[[Picker ID ]],$Q$3,RawData[Checker ID],$Q$4,RawData[[Error Type ]],$Q$5))</f>
        <v/>
      </c>
    </row>
    <row r="12308" spans="15:15" x14ac:dyDescent="0.25">
      <c r="O12308" s="20" t="str">
        <f>IF(N12308="","",COUNTIFS(RawData[[Date ]],N12308,RawData[Month List],$Q$6,RawData[Tour/Site],$Q$2,RawData[[Picker ID ]],$Q$3,RawData[Checker ID],$Q$4,RawData[[Error Type ]],$Q$5))</f>
        <v/>
      </c>
    </row>
    <row r="12309" spans="15:15" x14ac:dyDescent="0.25">
      <c r="O12309" s="20" t="str">
        <f>IF(N12309="","",COUNTIFS(RawData[[Date ]],N12309,RawData[Month List],$Q$6,RawData[Tour/Site],$Q$2,RawData[[Picker ID ]],$Q$3,RawData[Checker ID],$Q$4,RawData[[Error Type ]],$Q$5))</f>
        <v/>
      </c>
    </row>
    <row r="12310" spans="15:15" x14ac:dyDescent="0.25">
      <c r="O12310" s="20" t="str">
        <f>IF(N12310="","",COUNTIFS(RawData[[Date ]],N12310,RawData[Month List],$Q$6,RawData[Tour/Site],$Q$2,RawData[[Picker ID ]],$Q$3,RawData[Checker ID],$Q$4,RawData[[Error Type ]],$Q$5))</f>
        <v/>
      </c>
    </row>
    <row r="12311" spans="15:15" x14ac:dyDescent="0.25">
      <c r="O12311" s="20" t="str">
        <f>IF(N12311="","",COUNTIFS(RawData[[Date ]],N12311,RawData[Month List],$Q$6,RawData[Tour/Site],$Q$2,RawData[[Picker ID ]],$Q$3,RawData[Checker ID],$Q$4,RawData[[Error Type ]],$Q$5))</f>
        <v/>
      </c>
    </row>
    <row r="12312" spans="15:15" x14ac:dyDescent="0.25">
      <c r="O12312" s="20" t="str">
        <f>IF(N12312="","",COUNTIFS(RawData[[Date ]],N12312,RawData[Month List],$Q$6,RawData[Tour/Site],$Q$2,RawData[[Picker ID ]],$Q$3,RawData[Checker ID],$Q$4,RawData[[Error Type ]],$Q$5))</f>
        <v/>
      </c>
    </row>
    <row r="12313" spans="15:15" x14ac:dyDescent="0.25">
      <c r="O12313" s="20" t="str">
        <f>IF(N12313="","",COUNTIFS(RawData[[Date ]],N12313,RawData[Month List],$Q$6,RawData[Tour/Site],$Q$2,RawData[[Picker ID ]],$Q$3,RawData[Checker ID],$Q$4,RawData[[Error Type ]],$Q$5))</f>
        <v/>
      </c>
    </row>
    <row r="12314" spans="15:15" x14ac:dyDescent="0.25">
      <c r="O12314" s="20" t="str">
        <f>IF(N12314="","",COUNTIFS(RawData[[Date ]],N12314,RawData[Month List],$Q$6,RawData[Tour/Site],$Q$2,RawData[[Picker ID ]],$Q$3,RawData[Checker ID],$Q$4,RawData[[Error Type ]],$Q$5))</f>
        <v/>
      </c>
    </row>
    <row r="12315" spans="15:15" x14ac:dyDescent="0.25">
      <c r="O12315" s="20" t="str">
        <f>IF(N12315="","",COUNTIFS(RawData[[Date ]],N12315,RawData[Month List],$Q$6,RawData[Tour/Site],$Q$2,RawData[[Picker ID ]],$Q$3,RawData[Checker ID],$Q$4,RawData[[Error Type ]],$Q$5))</f>
        <v/>
      </c>
    </row>
    <row r="12316" spans="15:15" x14ac:dyDescent="0.25">
      <c r="O12316" s="20" t="str">
        <f>IF(N12316="","",COUNTIFS(RawData[[Date ]],N12316,RawData[Month List],$Q$6,RawData[Tour/Site],$Q$2,RawData[[Picker ID ]],$Q$3,RawData[Checker ID],$Q$4,RawData[[Error Type ]],$Q$5))</f>
        <v/>
      </c>
    </row>
    <row r="12317" spans="15:15" x14ac:dyDescent="0.25">
      <c r="O12317" s="20" t="str">
        <f>IF(N12317="","",COUNTIFS(RawData[[Date ]],N12317,RawData[Month List],$Q$6,RawData[Tour/Site],$Q$2,RawData[[Picker ID ]],$Q$3,RawData[Checker ID],$Q$4,RawData[[Error Type ]],$Q$5))</f>
        <v/>
      </c>
    </row>
    <row r="12318" spans="15:15" x14ac:dyDescent="0.25">
      <c r="O12318" s="20" t="str">
        <f>IF(N12318="","",COUNTIFS(RawData[[Date ]],N12318,RawData[Month List],$Q$6,RawData[Tour/Site],$Q$2,RawData[[Picker ID ]],$Q$3,RawData[Checker ID],$Q$4,RawData[[Error Type ]],$Q$5))</f>
        <v/>
      </c>
    </row>
    <row r="12319" spans="15:15" x14ac:dyDescent="0.25">
      <c r="O12319" s="20" t="str">
        <f>IF(N12319="","",COUNTIFS(RawData[[Date ]],N12319,RawData[Month List],$Q$6,RawData[Tour/Site],$Q$2,RawData[[Picker ID ]],$Q$3,RawData[Checker ID],$Q$4,RawData[[Error Type ]],$Q$5))</f>
        <v/>
      </c>
    </row>
    <row r="12320" spans="15:15" x14ac:dyDescent="0.25">
      <c r="O12320" s="20" t="str">
        <f>IF(N12320="","",COUNTIFS(RawData[[Date ]],N12320,RawData[Month List],$Q$6,RawData[Tour/Site],$Q$2,RawData[[Picker ID ]],$Q$3,RawData[Checker ID],$Q$4,RawData[[Error Type ]],$Q$5))</f>
        <v/>
      </c>
    </row>
    <row r="12321" spans="15:15" x14ac:dyDescent="0.25">
      <c r="O12321" s="20" t="str">
        <f>IF(N12321="","",COUNTIFS(RawData[[Date ]],N12321,RawData[Month List],$Q$6,RawData[Tour/Site],$Q$2,RawData[[Picker ID ]],$Q$3,RawData[Checker ID],$Q$4,RawData[[Error Type ]],$Q$5))</f>
        <v/>
      </c>
    </row>
    <row r="12322" spans="15:15" x14ac:dyDescent="0.25">
      <c r="O12322" s="20" t="str">
        <f>IF(N12322="","",COUNTIFS(RawData[[Date ]],N12322,RawData[Month List],$Q$6,RawData[Tour/Site],$Q$2,RawData[[Picker ID ]],$Q$3,RawData[Checker ID],$Q$4,RawData[[Error Type ]],$Q$5))</f>
        <v/>
      </c>
    </row>
    <row r="12323" spans="15:15" x14ac:dyDescent="0.25">
      <c r="O12323" s="20" t="str">
        <f>IF(N12323="","",COUNTIFS(RawData[[Date ]],N12323,RawData[Month List],$Q$6,RawData[Tour/Site],$Q$2,RawData[[Picker ID ]],$Q$3,RawData[Checker ID],$Q$4,RawData[[Error Type ]],$Q$5))</f>
        <v/>
      </c>
    </row>
    <row r="12324" spans="15:15" x14ac:dyDescent="0.25">
      <c r="O12324" s="20" t="str">
        <f>IF(N12324="","",COUNTIFS(RawData[[Date ]],N12324,RawData[Month List],$Q$6,RawData[Tour/Site],$Q$2,RawData[[Picker ID ]],$Q$3,RawData[Checker ID],$Q$4,RawData[[Error Type ]],$Q$5))</f>
        <v/>
      </c>
    </row>
    <row r="12325" spans="15:15" x14ac:dyDescent="0.25">
      <c r="O12325" s="20" t="str">
        <f>IF(N12325="","",COUNTIFS(RawData[[Date ]],N12325,RawData[Month List],$Q$6,RawData[Tour/Site],$Q$2,RawData[[Picker ID ]],$Q$3,RawData[Checker ID],$Q$4,RawData[[Error Type ]],$Q$5))</f>
        <v/>
      </c>
    </row>
    <row r="12326" spans="15:15" x14ac:dyDescent="0.25">
      <c r="O12326" s="20" t="str">
        <f>IF(N12326="","",COUNTIFS(RawData[[Date ]],N12326,RawData[Month List],$Q$6,RawData[Tour/Site],$Q$2,RawData[[Picker ID ]],$Q$3,RawData[Checker ID],$Q$4,RawData[[Error Type ]],$Q$5))</f>
        <v/>
      </c>
    </row>
    <row r="12327" spans="15:15" x14ac:dyDescent="0.25">
      <c r="O12327" s="20" t="str">
        <f>IF(N12327="","",COUNTIFS(RawData[[Date ]],N12327,RawData[Month List],$Q$6,RawData[Tour/Site],$Q$2,RawData[[Picker ID ]],$Q$3,RawData[Checker ID],$Q$4,RawData[[Error Type ]],$Q$5))</f>
        <v/>
      </c>
    </row>
    <row r="12328" spans="15:15" x14ac:dyDescent="0.25">
      <c r="O12328" s="20" t="str">
        <f>IF(N12328="","",COUNTIFS(RawData[[Date ]],N12328,RawData[Month List],$Q$6,RawData[Tour/Site],$Q$2,RawData[[Picker ID ]],$Q$3,RawData[Checker ID],$Q$4,RawData[[Error Type ]],$Q$5))</f>
        <v/>
      </c>
    </row>
    <row r="12329" spans="15:15" x14ac:dyDescent="0.25">
      <c r="O12329" s="20" t="str">
        <f>IF(N12329="","",COUNTIFS(RawData[[Date ]],N12329,RawData[Month List],$Q$6,RawData[Tour/Site],$Q$2,RawData[[Picker ID ]],$Q$3,RawData[Checker ID],$Q$4,RawData[[Error Type ]],$Q$5))</f>
        <v/>
      </c>
    </row>
    <row r="12330" spans="15:15" x14ac:dyDescent="0.25">
      <c r="O12330" s="20" t="str">
        <f>IF(N12330="","",COUNTIFS(RawData[[Date ]],N12330,RawData[Month List],$Q$6,RawData[Tour/Site],$Q$2,RawData[[Picker ID ]],$Q$3,RawData[Checker ID],$Q$4,RawData[[Error Type ]],$Q$5))</f>
        <v/>
      </c>
    </row>
    <row r="12331" spans="15:15" x14ac:dyDescent="0.25">
      <c r="O12331" s="20" t="str">
        <f>IF(N12331="","",COUNTIFS(RawData[[Date ]],N12331,RawData[Month List],$Q$6,RawData[Tour/Site],$Q$2,RawData[[Picker ID ]],$Q$3,RawData[Checker ID],$Q$4,RawData[[Error Type ]],$Q$5))</f>
        <v/>
      </c>
    </row>
    <row r="12332" spans="15:15" x14ac:dyDescent="0.25">
      <c r="O12332" s="20" t="str">
        <f>IF(N12332="","",COUNTIFS(RawData[[Date ]],N12332,RawData[Month List],$Q$6,RawData[Tour/Site],$Q$2,RawData[[Picker ID ]],$Q$3,RawData[Checker ID],$Q$4,RawData[[Error Type ]],$Q$5))</f>
        <v/>
      </c>
    </row>
    <row r="12333" spans="15:15" x14ac:dyDescent="0.25">
      <c r="O12333" s="20" t="str">
        <f>IF(N12333="","",COUNTIFS(RawData[[Date ]],N12333,RawData[Month List],$Q$6,RawData[Tour/Site],$Q$2,RawData[[Picker ID ]],$Q$3,RawData[Checker ID],$Q$4,RawData[[Error Type ]],$Q$5))</f>
        <v/>
      </c>
    </row>
    <row r="12334" spans="15:15" x14ac:dyDescent="0.25">
      <c r="O12334" s="20" t="str">
        <f>IF(N12334="","",COUNTIFS(RawData[[Date ]],N12334,RawData[Month List],$Q$6,RawData[Tour/Site],$Q$2,RawData[[Picker ID ]],$Q$3,RawData[Checker ID],$Q$4,RawData[[Error Type ]],$Q$5))</f>
        <v/>
      </c>
    </row>
    <row r="12335" spans="15:15" x14ac:dyDescent="0.25">
      <c r="O12335" s="20" t="str">
        <f>IF(N12335="","",COUNTIFS(RawData[[Date ]],N12335,RawData[Month List],$Q$6,RawData[Tour/Site],$Q$2,RawData[[Picker ID ]],$Q$3,RawData[Checker ID],$Q$4,RawData[[Error Type ]],$Q$5))</f>
        <v/>
      </c>
    </row>
    <row r="12336" spans="15:15" x14ac:dyDescent="0.25">
      <c r="O12336" s="20" t="str">
        <f>IF(N12336="","",COUNTIFS(RawData[[Date ]],N12336,RawData[Month List],$Q$6,RawData[Tour/Site],$Q$2,RawData[[Picker ID ]],$Q$3,RawData[Checker ID],$Q$4,RawData[[Error Type ]],$Q$5))</f>
        <v/>
      </c>
    </row>
    <row r="12337" spans="15:15" x14ac:dyDescent="0.25">
      <c r="O12337" s="20" t="str">
        <f>IF(N12337="","",COUNTIFS(RawData[[Date ]],N12337,RawData[Month List],$Q$6,RawData[Tour/Site],$Q$2,RawData[[Picker ID ]],$Q$3,RawData[Checker ID],$Q$4,RawData[[Error Type ]],$Q$5))</f>
        <v/>
      </c>
    </row>
    <row r="12338" spans="15:15" x14ac:dyDescent="0.25">
      <c r="O12338" s="20" t="str">
        <f>IF(N12338="","",COUNTIFS(RawData[[Date ]],N12338,RawData[Month List],$Q$6,RawData[Tour/Site],$Q$2,RawData[[Picker ID ]],$Q$3,RawData[Checker ID],$Q$4,RawData[[Error Type ]],$Q$5))</f>
        <v/>
      </c>
    </row>
    <row r="12339" spans="15:15" x14ac:dyDescent="0.25">
      <c r="O12339" s="20" t="str">
        <f>IF(N12339="","",COUNTIFS(RawData[[Date ]],N12339,RawData[Month List],$Q$6,RawData[Tour/Site],$Q$2,RawData[[Picker ID ]],$Q$3,RawData[Checker ID],$Q$4,RawData[[Error Type ]],$Q$5))</f>
        <v/>
      </c>
    </row>
    <row r="12340" spans="15:15" x14ac:dyDescent="0.25">
      <c r="O12340" s="20" t="str">
        <f>IF(N12340="","",COUNTIFS(RawData[[Date ]],N12340,RawData[Month List],$Q$6,RawData[Tour/Site],$Q$2,RawData[[Picker ID ]],$Q$3,RawData[Checker ID],$Q$4,RawData[[Error Type ]],$Q$5))</f>
        <v/>
      </c>
    </row>
    <row r="12341" spans="15:15" x14ac:dyDescent="0.25">
      <c r="O12341" s="20" t="str">
        <f>IF(N12341="","",COUNTIFS(RawData[[Date ]],N12341,RawData[Month List],$Q$6,RawData[Tour/Site],$Q$2,RawData[[Picker ID ]],$Q$3,RawData[Checker ID],$Q$4,RawData[[Error Type ]],$Q$5))</f>
        <v/>
      </c>
    </row>
    <row r="12342" spans="15:15" x14ac:dyDescent="0.25">
      <c r="O12342" s="20" t="str">
        <f>IF(N12342="","",COUNTIFS(RawData[[Date ]],N12342,RawData[Month List],$Q$6,RawData[Tour/Site],$Q$2,RawData[[Picker ID ]],$Q$3,RawData[Checker ID],$Q$4,RawData[[Error Type ]],$Q$5))</f>
        <v/>
      </c>
    </row>
    <row r="12343" spans="15:15" x14ac:dyDescent="0.25">
      <c r="O12343" s="20" t="str">
        <f>IF(N12343="","",COUNTIFS(RawData[[Date ]],N12343,RawData[Month List],$Q$6,RawData[Tour/Site],$Q$2,RawData[[Picker ID ]],$Q$3,RawData[Checker ID],$Q$4,RawData[[Error Type ]],$Q$5))</f>
        <v/>
      </c>
    </row>
    <row r="12344" spans="15:15" x14ac:dyDescent="0.25">
      <c r="O12344" s="20" t="str">
        <f>IF(N12344="","",COUNTIFS(RawData[[Date ]],N12344,RawData[Month List],$Q$6,RawData[Tour/Site],$Q$2,RawData[[Picker ID ]],$Q$3,RawData[Checker ID],$Q$4,RawData[[Error Type ]],$Q$5))</f>
        <v/>
      </c>
    </row>
    <row r="12345" spans="15:15" x14ac:dyDescent="0.25">
      <c r="O12345" s="20" t="str">
        <f>IF(N12345="","",COUNTIFS(RawData[[Date ]],N12345,RawData[Month List],$Q$6,RawData[Tour/Site],$Q$2,RawData[[Picker ID ]],$Q$3,RawData[Checker ID],$Q$4,RawData[[Error Type ]],$Q$5))</f>
        <v/>
      </c>
    </row>
    <row r="12346" spans="15:15" x14ac:dyDescent="0.25">
      <c r="O12346" s="20" t="str">
        <f>IF(N12346="","",COUNTIFS(RawData[[Date ]],N12346,RawData[Month List],$Q$6,RawData[Tour/Site],$Q$2,RawData[[Picker ID ]],$Q$3,RawData[Checker ID],$Q$4,RawData[[Error Type ]],$Q$5))</f>
        <v/>
      </c>
    </row>
    <row r="12347" spans="15:15" x14ac:dyDescent="0.25">
      <c r="O12347" s="20" t="str">
        <f>IF(N12347="","",COUNTIFS(RawData[[Date ]],N12347,RawData[Month List],$Q$6,RawData[Tour/Site],$Q$2,RawData[[Picker ID ]],$Q$3,RawData[Checker ID],$Q$4,RawData[[Error Type ]],$Q$5))</f>
        <v/>
      </c>
    </row>
    <row r="12348" spans="15:15" x14ac:dyDescent="0.25">
      <c r="O12348" s="20" t="str">
        <f>IF(N12348="","",COUNTIFS(RawData[[Date ]],N12348,RawData[Month List],$Q$6,RawData[Tour/Site],$Q$2,RawData[[Picker ID ]],$Q$3,RawData[Checker ID],$Q$4,RawData[[Error Type ]],$Q$5))</f>
        <v/>
      </c>
    </row>
    <row r="12349" spans="15:15" x14ac:dyDescent="0.25">
      <c r="O12349" s="20" t="str">
        <f>IF(N12349="","",COUNTIFS(RawData[[Date ]],N12349,RawData[Month List],$Q$6,RawData[Tour/Site],$Q$2,RawData[[Picker ID ]],$Q$3,RawData[Checker ID],$Q$4,RawData[[Error Type ]],$Q$5))</f>
        <v/>
      </c>
    </row>
    <row r="12350" spans="15:15" x14ac:dyDescent="0.25">
      <c r="O12350" s="20" t="str">
        <f>IF(N12350="","",COUNTIFS(RawData[[Date ]],N12350,RawData[Month List],$Q$6,RawData[Tour/Site],$Q$2,RawData[[Picker ID ]],$Q$3,RawData[Checker ID],$Q$4,RawData[[Error Type ]],$Q$5))</f>
        <v/>
      </c>
    </row>
    <row r="12351" spans="15:15" x14ac:dyDescent="0.25">
      <c r="O12351" s="20" t="str">
        <f>IF(N12351="","",COUNTIFS(RawData[[Date ]],N12351,RawData[Month List],$Q$6,RawData[Tour/Site],$Q$2,RawData[[Picker ID ]],$Q$3,RawData[Checker ID],$Q$4,RawData[[Error Type ]],$Q$5))</f>
        <v/>
      </c>
    </row>
    <row r="12352" spans="15:15" x14ac:dyDescent="0.25">
      <c r="O12352" s="20" t="str">
        <f>IF(N12352="","",COUNTIFS(RawData[[Date ]],N12352,RawData[Month List],$Q$6,RawData[Tour/Site],$Q$2,RawData[[Picker ID ]],$Q$3,RawData[Checker ID],$Q$4,RawData[[Error Type ]],$Q$5))</f>
        <v/>
      </c>
    </row>
    <row r="12353" spans="15:15" x14ac:dyDescent="0.25">
      <c r="O12353" s="20" t="str">
        <f>IF(N12353="","",COUNTIFS(RawData[[Date ]],N12353,RawData[Month List],$Q$6,RawData[Tour/Site],$Q$2,RawData[[Picker ID ]],$Q$3,RawData[Checker ID],$Q$4,RawData[[Error Type ]],$Q$5))</f>
        <v/>
      </c>
    </row>
    <row r="12354" spans="15:15" x14ac:dyDescent="0.25">
      <c r="O12354" s="20" t="str">
        <f>IF(N12354="","",COUNTIFS(RawData[[Date ]],N12354,RawData[Month List],$Q$6,RawData[Tour/Site],$Q$2,RawData[[Picker ID ]],$Q$3,RawData[Checker ID],$Q$4,RawData[[Error Type ]],$Q$5))</f>
        <v/>
      </c>
    </row>
    <row r="12355" spans="15:15" x14ac:dyDescent="0.25">
      <c r="O12355" s="20" t="str">
        <f>IF(N12355="","",COUNTIFS(RawData[[Date ]],N12355,RawData[Month List],$Q$6,RawData[Tour/Site],$Q$2,RawData[[Picker ID ]],$Q$3,RawData[Checker ID],$Q$4,RawData[[Error Type ]],$Q$5))</f>
        <v/>
      </c>
    </row>
    <row r="12356" spans="15:15" x14ac:dyDescent="0.25">
      <c r="O12356" s="20" t="str">
        <f>IF(N12356="","",COUNTIFS(RawData[[Date ]],N12356,RawData[Month List],$Q$6,RawData[Tour/Site],$Q$2,RawData[[Picker ID ]],$Q$3,RawData[Checker ID],$Q$4,RawData[[Error Type ]],$Q$5))</f>
        <v/>
      </c>
    </row>
    <row r="12357" spans="15:15" x14ac:dyDescent="0.25">
      <c r="O12357" s="20" t="str">
        <f>IF(N12357="","",COUNTIFS(RawData[[Date ]],N12357,RawData[Month List],$Q$6,RawData[Tour/Site],$Q$2,RawData[[Picker ID ]],$Q$3,RawData[Checker ID],$Q$4,RawData[[Error Type ]],$Q$5))</f>
        <v/>
      </c>
    </row>
    <row r="12358" spans="15:15" x14ac:dyDescent="0.25">
      <c r="O12358" s="20" t="str">
        <f>IF(N12358="","",COUNTIFS(RawData[[Date ]],N12358,RawData[Month List],$Q$6,RawData[Tour/Site],$Q$2,RawData[[Picker ID ]],$Q$3,RawData[Checker ID],$Q$4,RawData[[Error Type ]],$Q$5))</f>
        <v/>
      </c>
    </row>
    <row r="12359" spans="15:15" x14ac:dyDescent="0.25">
      <c r="O12359" s="20" t="str">
        <f>IF(N12359="","",COUNTIFS(RawData[[Date ]],N12359,RawData[Month List],$Q$6,RawData[Tour/Site],$Q$2,RawData[[Picker ID ]],$Q$3,RawData[Checker ID],$Q$4,RawData[[Error Type ]],$Q$5))</f>
        <v/>
      </c>
    </row>
    <row r="12360" spans="15:15" x14ac:dyDescent="0.25">
      <c r="O12360" s="20" t="str">
        <f>IF(N12360="","",COUNTIFS(RawData[[Date ]],N12360,RawData[Month List],$Q$6,RawData[Tour/Site],$Q$2,RawData[[Picker ID ]],$Q$3,RawData[Checker ID],$Q$4,RawData[[Error Type ]],$Q$5))</f>
        <v/>
      </c>
    </row>
    <row r="12361" spans="15:15" x14ac:dyDescent="0.25">
      <c r="O12361" s="20" t="str">
        <f>IF(N12361="","",COUNTIFS(RawData[[Date ]],N12361,RawData[Month List],$Q$6,RawData[Tour/Site],$Q$2,RawData[[Picker ID ]],$Q$3,RawData[Checker ID],$Q$4,RawData[[Error Type ]],$Q$5))</f>
        <v/>
      </c>
    </row>
    <row r="12362" spans="15:15" x14ac:dyDescent="0.25">
      <c r="O12362" s="20" t="str">
        <f>IF(N12362="","",COUNTIFS(RawData[[Date ]],N12362,RawData[Month List],$Q$6,RawData[Tour/Site],$Q$2,RawData[[Picker ID ]],$Q$3,RawData[Checker ID],$Q$4,RawData[[Error Type ]],$Q$5))</f>
        <v/>
      </c>
    </row>
    <row r="12363" spans="15:15" x14ac:dyDescent="0.25">
      <c r="O12363" s="20" t="str">
        <f>IF(N12363="","",COUNTIFS(RawData[[Date ]],N12363,RawData[Month List],$Q$6,RawData[Tour/Site],$Q$2,RawData[[Picker ID ]],$Q$3,RawData[Checker ID],$Q$4,RawData[[Error Type ]],$Q$5))</f>
        <v/>
      </c>
    </row>
    <row r="12364" spans="15:15" x14ac:dyDescent="0.25">
      <c r="O12364" s="20" t="str">
        <f>IF(N12364="","",COUNTIFS(RawData[[Date ]],N12364,RawData[Month List],$Q$6,RawData[Tour/Site],$Q$2,RawData[[Picker ID ]],$Q$3,RawData[Checker ID],$Q$4,RawData[[Error Type ]],$Q$5))</f>
        <v/>
      </c>
    </row>
    <row r="12365" spans="15:15" x14ac:dyDescent="0.25">
      <c r="O12365" s="20" t="str">
        <f>IF(N12365="","",COUNTIFS(RawData[[Date ]],N12365,RawData[Month List],$Q$6,RawData[Tour/Site],$Q$2,RawData[[Picker ID ]],$Q$3,RawData[Checker ID],$Q$4,RawData[[Error Type ]],$Q$5))</f>
        <v/>
      </c>
    </row>
    <row r="12366" spans="15:15" x14ac:dyDescent="0.25">
      <c r="O12366" s="20" t="str">
        <f>IF(N12366="","",COUNTIFS(RawData[[Date ]],N12366,RawData[Month List],$Q$6,RawData[Tour/Site],$Q$2,RawData[[Picker ID ]],$Q$3,RawData[Checker ID],$Q$4,RawData[[Error Type ]],$Q$5))</f>
        <v/>
      </c>
    </row>
    <row r="12367" spans="15:15" x14ac:dyDescent="0.25">
      <c r="O12367" s="20" t="str">
        <f>IF(N12367="","",COUNTIFS(RawData[[Date ]],N12367,RawData[Month List],$Q$6,RawData[Tour/Site],$Q$2,RawData[[Picker ID ]],$Q$3,RawData[Checker ID],$Q$4,RawData[[Error Type ]],$Q$5))</f>
        <v/>
      </c>
    </row>
    <row r="12368" spans="15:15" x14ac:dyDescent="0.25">
      <c r="O12368" s="20" t="str">
        <f>IF(N12368="","",COUNTIFS(RawData[[Date ]],N12368,RawData[Month List],$Q$6,RawData[Tour/Site],$Q$2,RawData[[Picker ID ]],$Q$3,RawData[Checker ID],$Q$4,RawData[[Error Type ]],$Q$5))</f>
        <v/>
      </c>
    </row>
    <row r="12369" spans="15:15" x14ac:dyDescent="0.25">
      <c r="O12369" s="20" t="str">
        <f>IF(N12369="","",COUNTIFS(RawData[[Date ]],N12369,RawData[Month List],$Q$6,RawData[Tour/Site],$Q$2,RawData[[Picker ID ]],$Q$3,RawData[Checker ID],$Q$4,RawData[[Error Type ]],$Q$5))</f>
        <v/>
      </c>
    </row>
    <row r="12370" spans="15:15" x14ac:dyDescent="0.25">
      <c r="O12370" s="20" t="str">
        <f>IF(N12370="","",COUNTIFS(RawData[[Date ]],N12370,RawData[Month List],$Q$6,RawData[Tour/Site],$Q$2,RawData[[Picker ID ]],$Q$3,RawData[Checker ID],$Q$4,RawData[[Error Type ]],$Q$5))</f>
        <v/>
      </c>
    </row>
    <row r="12371" spans="15:15" x14ac:dyDescent="0.25">
      <c r="O12371" s="20" t="str">
        <f>IF(N12371="","",COUNTIFS(RawData[[Date ]],N12371,RawData[Month List],$Q$6,RawData[Tour/Site],$Q$2,RawData[[Picker ID ]],$Q$3,RawData[Checker ID],$Q$4,RawData[[Error Type ]],$Q$5))</f>
        <v/>
      </c>
    </row>
    <row r="12372" spans="15:15" x14ac:dyDescent="0.25">
      <c r="O12372" s="20" t="str">
        <f>IF(N12372="","",COUNTIFS(RawData[[Date ]],N12372,RawData[Month List],$Q$6,RawData[Tour/Site],$Q$2,RawData[[Picker ID ]],$Q$3,RawData[Checker ID],$Q$4,RawData[[Error Type ]],$Q$5))</f>
        <v/>
      </c>
    </row>
    <row r="12373" spans="15:15" x14ac:dyDescent="0.25">
      <c r="O12373" s="20" t="str">
        <f>IF(N12373="","",COUNTIFS(RawData[[Date ]],N12373,RawData[Month List],$Q$6,RawData[Tour/Site],$Q$2,RawData[[Picker ID ]],$Q$3,RawData[Checker ID],$Q$4,RawData[[Error Type ]],$Q$5))</f>
        <v/>
      </c>
    </row>
    <row r="12374" spans="15:15" x14ac:dyDescent="0.25">
      <c r="O12374" s="20" t="str">
        <f>IF(N12374="","",COUNTIFS(RawData[[Date ]],N12374,RawData[Month List],$Q$6,RawData[Tour/Site],$Q$2,RawData[[Picker ID ]],$Q$3,RawData[Checker ID],$Q$4,RawData[[Error Type ]],$Q$5))</f>
        <v/>
      </c>
    </row>
    <row r="12375" spans="15:15" x14ac:dyDescent="0.25">
      <c r="O12375" s="20" t="str">
        <f>IF(N12375="","",COUNTIFS(RawData[[Date ]],N12375,RawData[Month List],$Q$6,RawData[Tour/Site],$Q$2,RawData[[Picker ID ]],$Q$3,RawData[Checker ID],$Q$4,RawData[[Error Type ]],$Q$5))</f>
        <v/>
      </c>
    </row>
    <row r="12376" spans="15:15" x14ac:dyDescent="0.25">
      <c r="O12376" s="20" t="str">
        <f>IF(N12376="","",COUNTIFS(RawData[[Date ]],N12376,RawData[Month List],$Q$6,RawData[Tour/Site],$Q$2,RawData[[Picker ID ]],$Q$3,RawData[Checker ID],$Q$4,RawData[[Error Type ]],$Q$5))</f>
        <v/>
      </c>
    </row>
    <row r="12377" spans="15:15" x14ac:dyDescent="0.25">
      <c r="O12377" s="20" t="str">
        <f>IF(N12377="","",COUNTIFS(RawData[[Date ]],N12377,RawData[Month List],$Q$6,RawData[Tour/Site],$Q$2,RawData[[Picker ID ]],$Q$3,RawData[Checker ID],$Q$4,RawData[[Error Type ]],$Q$5))</f>
        <v/>
      </c>
    </row>
    <row r="12378" spans="15:15" x14ac:dyDescent="0.25">
      <c r="O12378" s="20" t="str">
        <f>IF(N12378="","",COUNTIFS(RawData[[Date ]],N12378,RawData[Month List],$Q$6,RawData[Tour/Site],$Q$2,RawData[[Picker ID ]],$Q$3,RawData[Checker ID],$Q$4,RawData[[Error Type ]],$Q$5))</f>
        <v/>
      </c>
    </row>
    <row r="12379" spans="15:15" x14ac:dyDescent="0.25">
      <c r="O12379" s="20" t="str">
        <f>IF(N12379="","",COUNTIFS(RawData[[Date ]],N12379,RawData[Month List],$Q$6,RawData[Tour/Site],$Q$2,RawData[[Picker ID ]],$Q$3,RawData[Checker ID],$Q$4,RawData[[Error Type ]],$Q$5))</f>
        <v/>
      </c>
    </row>
    <row r="12380" spans="15:15" x14ac:dyDescent="0.25">
      <c r="O12380" s="20" t="str">
        <f>IF(N12380="","",COUNTIFS(RawData[[Date ]],N12380,RawData[Month List],$Q$6,RawData[Tour/Site],$Q$2,RawData[[Picker ID ]],$Q$3,RawData[Checker ID],$Q$4,RawData[[Error Type ]],$Q$5))</f>
        <v/>
      </c>
    </row>
    <row r="12381" spans="15:15" x14ac:dyDescent="0.25">
      <c r="O12381" s="20" t="str">
        <f>IF(N12381="","",COUNTIFS(RawData[[Date ]],N12381,RawData[Month List],$Q$6,RawData[Tour/Site],$Q$2,RawData[[Picker ID ]],$Q$3,RawData[Checker ID],$Q$4,RawData[[Error Type ]],$Q$5))</f>
        <v/>
      </c>
    </row>
    <row r="12382" spans="15:15" x14ac:dyDescent="0.25">
      <c r="O12382" s="20" t="str">
        <f>IF(N12382="","",COUNTIFS(RawData[[Date ]],N12382,RawData[Month List],$Q$6,RawData[Tour/Site],$Q$2,RawData[[Picker ID ]],$Q$3,RawData[Checker ID],$Q$4,RawData[[Error Type ]],$Q$5))</f>
        <v/>
      </c>
    </row>
    <row r="12383" spans="15:15" x14ac:dyDescent="0.25">
      <c r="O12383" s="20" t="str">
        <f>IF(N12383="","",COUNTIFS(RawData[[Date ]],N12383,RawData[Month List],$Q$6,RawData[Tour/Site],$Q$2,RawData[[Picker ID ]],$Q$3,RawData[Checker ID],$Q$4,RawData[[Error Type ]],$Q$5))</f>
        <v/>
      </c>
    </row>
    <row r="12384" spans="15:15" x14ac:dyDescent="0.25">
      <c r="O12384" s="20" t="str">
        <f>IF(N12384="","",COUNTIFS(RawData[[Date ]],N12384,RawData[Month List],$Q$6,RawData[Tour/Site],$Q$2,RawData[[Picker ID ]],$Q$3,RawData[Checker ID],$Q$4,RawData[[Error Type ]],$Q$5))</f>
        <v/>
      </c>
    </row>
    <row r="12385" spans="15:15" x14ac:dyDescent="0.25">
      <c r="O12385" s="20" t="str">
        <f>IF(N12385="","",COUNTIFS(RawData[[Date ]],N12385,RawData[Month List],$Q$6,RawData[Tour/Site],$Q$2,RawData[[Picker ID ]],$Q$3,RawData[Checker ID],$Q$4,RawData[[Error Type ]],$Q$5))</f>
        <v/>
      </c>
    </row>
    <row r="12386" spans="15:15" x14ac:dyDescent="0.25">
      <c r="O12386" s="20" t="str">
        <f>IF(N12386="","",COUNTIFS(RawData[[Date ]],N12386,RawData[Month List],$Q$6,RawData[Tour/Site],$Q$2,RawData[[Picker ID ]],$Q$3,RawData[Checker ID],$Q$4,RawData[[Error Type ]],$Q$5))</f>
        <v/>
      </c>
    </row>
    <row r="12387" spans="15:15" x14ac:dyDescent="0.25">
      <c r="O12387" s="20" t="str">
        <f>IF(N12387="","",COUNTIFS(RawData[[Date ]],N12387,RawData[Month List],$Q$6,RawData[Tour/Site],$Q$2,RawData[[Picker ID ]],$Q$3,RawData[Checker ID],$Q$4,RawData[[Error Type ]],$Q$5))</f>
        <v/>
      </c>
    </row>
    <row r="12388" spans="15:15" x14ac:dyDescent="0.25">
      <c r="O12388" s="20" t="str">
        <f>IF(N12388="","",COUNTIFS(RawData[[Date ]],N12388,RawData[Month List],$Q$6,RawData[Tour/Site],$Q$2,RawData[[Picker ID ]],$Q$3,RawData[Checker ID],$Q$4,RawData[[Error Type ]],$Q$5))</f>
        <v/>
      </c>
    </row>
    <row r="12389" spans="15:15" x14ac:dyDescent="0.25">
      <c r="O12389" s="20" t="str">
        <f>IF(N12389="","",COUNTIFS(RawData[[Date ]],N12389,RawData[Month List],$Q$6,RawData[Tour/Site],$Q$2,RawData[[Picker ID ]],$Q$3,RawData[Checker ID],$Q$4,RawData[[Error Type ]],$Q$5))</f>
        <v/>
      </c>
    </row>
    <row r="12390" spans="15:15" x14ac:dyDescent="0.25">
      <c r="O12390" s="20" t="str">
        <f>IF(N12390="","",COUNTIFS(RawData[[Date ]],N12390,RawData[Month List],$Q$6,RawData[Tour/Site],$Q$2,RawData[[Picker ID ]],$Q$3,RawData[Checker ID],$Q$4,RawData[[Error Type ]],$Q$5))</f>
        <v/>
      </c>
    </row>
    <row r="12391" spans="15:15" x14ac:dyDescent="0.25">
      <c r="O12391" s="20" t="str">
        <f>IF(N12391="","",COUNTIFS(RawData[[Date ]],N12391,RawData[Month List],$Q$6,RawData[Tour/Site],$Q$2,RawData[[Picker ID ]],$Q$3,RawData[Checker ID],$Q$4,RawData[[Error Type ]],$Q$5))</f>
        <v/>
      </c>
    </row>
    <row r="12392" spans="15:15" x14ac:dyDescent="0.25">
      <c r="O12392" s="20" t="str">
        <f>IF(N12392="","",COUNTIFS(RawData[[Date ]],N12392,RawData[Month List],$Q$6,RawData[Tour/Site],$Q$2,RawData[[Picker ID ]],$Q$3,RawData[Checker ID],$Q$4,RawData[[Error Type ]],$Q$5))</f>
        <v/>
      </c>
    </row>
    <row r="12393" spans="15:15" x14ac:dyDescent="0.25">
      <c r="O12393" s="20" t="str">
        <f>IF(N12393="","",COUNTIFS(RawData[[Date ]],N12393,RawData[Month List],$Q$6,RawData[Tour/Site],$Q$2,RawData[[Picker ID ]],$Q$3,RawData[Checker ID],$Q$4,RawData[[Error Type ]],$Q$5))</f>
        <v/>
      </c>
    </row>
    <row r="12394" spans="15:15" x14ac:dyDescent="0.25">
      <c r="O12394" s="20" t="str">
        <f>IF(N12394="","",COUNTIFS(RawData[[Date ]],N12394,RawData[Month List],$Q$6,RawData[Tour/Site],$Q$2,RawData[[Picker ID ]],$Q$3,RawData[Checker ID],$Q$4,RawData[[Error Type ]],$Q$5))</f>
        <v/>
      </c>
    </row>
    <row r="12395" spans="15:15" x14ac:dyDescent="0.25">
      <c r="O12395" s="20" t="str">
        <f>IF(N12395="","",COUNTIFS(RawData[[Date ]],N12395,RawData[Month List],$Q$6,RawData[Tour/Site],$Q$2,RawData[[Picker ID ]],$Q$3,RawData[Checker ID],$Q$4,RawData[[Error Type ]],$Q$5))</f>
        <v/>
      </c>
    </row>
    <row r="12396" spans="15:15" x14ac:dyDescent="0.25">
      <c r="O12396" s="20" t="str">
        <f>IF(N12396="","",COUNTIFS(RawData[[Date ]],N12396,RawData[Month List],$Q$6,RawData[Tour/Site],$Q$2,RawData[[Picker ID ]],$Q$3,RawData[Checker ID],$Q$4,RawData[[Error Type ]],$Q$5))</f>
        <v/>
      </c>
    </row>
    <row r="12397" spans="15:15" x14ac:dyDescent="0.25">
      <c r="O12397" s="20" t="str">
        <f>IF(N12397="","",COUNTIFS(RawData[[Date ]],N12397,RawData[Month List],$Q$6,RawData[Tour/Site],$Q$2,RawData[[Picker ID ]],$Q$3,RawData[Checker ID],$Q$4,RawData[[Error Type ]],$Q$5))</f>
        <v/>
      </c>
    </row>
    <row r="12398" spans="15:15" x14ac:dyDescent="0.25">
      <c r="O12398" s="20" t="str">
        <f>IF(N12398="","",COUNTIFS(RawData[[Date ]],N12398,RawData[Month List],$Q$6,RawData[Tour/Site],$Q$2,RawData[[Picker ID ]],$Q$3,RawData[Checker ID],$Q$4,RawData[[Error Type ]],$Q$5))</f>
        <v/>
      </c>
    </row>
    <row r="12399" spans="15:15" x14ac:dyDescent="0.25">
      <c r="O12399" s="20" t="str">
        <f>IF(N12399="","",COUNTIFS(RawData[[Date ]],N12399,RawData[Month List],$Q$6,RawData[Tour/Site],$Q$2,RawData[[Picker ID ]],$Q$3,RawData[Checker ID],$Q$4,RawData[[Error Type ]],$Q$5))</f>
        <v/>
      </c>
    </row>
    <row r="12400" spans="15:15" x14ac:dyDescent="0.25">
      <c r="O12400" s="20" t="str">
        <f>IF(N12400="","",COUNTIFS(RawData[[Date ]],N12400,RawData[Month List],$Q$6,RawData[Tour/Site],$Q$2,RawData[[Picker ID ]],$Q$3,RawData[Checker ID],$Q$4,RawData[[Error Type ]],$Q$5))</f>
        <v/>
      </c>
    </row>
    <row r="12401" spans="15:15" x14ac:dyDescent="0.25">
      <c r="O12401" s="20" t="str">
        <f>IF(N12401="","",COUNTIFS(RawData[[Date ]],N12401,RawData[Month List],$Q$6,RawData[Tour/Site],$Q$2,RawData[[Picker ID ]],$Q$3,RawData[Checker ID],$Q$4,RawData[[Error Type ]],$Q$5))</f>
        <v/>
      </c>
    </row>
    <row r="12402" spans="15:15" x14ac:dyDescent="0.25">
      <c r="O12402" s="20" t="str">
        <f>IF(N12402="","",COUNTIFS(RawData[[Date ]],N12402,RawData[Month List],$Q$6,RawData[Tour/Site],$Q$2,RawData[[Picker ID ]],$Q$3,RawData[Checker ID],$Q$4,RawData[[Error Type ]],$Q$5))</f>
        <v/>
      </c>
    </row>
    <row r="12403" spans="15:15" x14ac:dyDescent="0.25">
      <c r="O12403" s="20" t="str">
        <f>IF(N12403="","",COUNTIFS(RawData[[Date ]],N12403,RawData[Month List],$Q$6,RawData[Tour/Site],$Q$2,RawData[[Picker ID ]],$Q$3,RawData[Checker ID],$Q$4,RawData[[Error Type ]],$Q$5))</f>
        <v/>
      </c>
    </row>
    <row r="12404" spans="15:15" x14ac:dyDescent="0.25">
      <c r="O12404" s="20" t="str">
        <f>IF(N12404="","",COUNTIFS(RawData[[Date ]],N12404,RawData[Month List],$Q$6,RawData[Tour/Site],$Q$2,RawData[[Picker ID ]],$Q$3,RawData[Checker ID],$Q$4,RawData[[Error Type ]],$Q$5))</f>
        <v/>
      </c>
    </row>
    <row r="12405" spans="15:15" x14ac:dyDescent="0.25">
      <c r="O12405" s="20" t="str">
        <f>IF(N12405="","",COUNTIFS(RawData[[Date ]],N12405,RawData[Month List],$Q$6,RawData[Tour/Site],$Q$2,RawData[[Picker ID ]],$Q$3,RawData[Checker ID],$Q$4,RawData[[Error Type ]],$Q$5))</f>
        <v/>
      </c>
    </row>
    <row r="12406" spans="15:15" x14ac:dyDescent="0.25">
      <c r="O12406" s="20" t="str">
        <f>IF(N12406="","",COUNTIFS(RawData[[Date ]],N12406,RawData[Month List],$Q$6,RawData[Tour/Site],$Q$2,RawData[[Picker ID ]],$Q$3,RawData[Checker ID],$Q$4,RawData[[Error Type ]],$Q$5))</f>
        <v/>
      </c>
    </row>
    <row r="12407" spans="15:15" x14ac:dyDescent="0.25">
      <c r="O12407" s="20" t="str">
        <f>IF(N12407="","",COUNTIFS(RawData[[Date ]],N12407,RawData[Month List],$Q$6,RawData[Tour/Site],$Q$2,RawData[[Picker ID ]],$Q$3,RawData[Checker ID],$Q$4,RawData[[Error Type ]],$Q$5))</f>
        <v/>
      </c>
    </row>
    <row r="12408" spans="15:15" x14ac:dyDescent="0.25">
      <c r="O12408" s="20" t="str">
        <f>IF(N12408="","",COUNTIFS(RawData[[Date ]],N12408,RawData[Month List],$Q$6,RawData[Tour/Site],$Q$2,RawData[[Picker ID ]],$Q$3,RawData[Checker ID],$Q$4,RawData[[Error Type ]],$Q$5))</f>
        <v/>
      </c>
    </row>
    <row r="12409" spans="15:15" x14ac:dyDescent="0.25">
      <c r="O12409" s="20" t="str">
        <f>IF(N12409="","",COUNTIFS(RawData[[Date ]],N12409,RawData[Month List],$Q$6,RawData[Tour/Site],$Q$2,RawData[[Picker ID ]],$Q$3,RawData[Checker ID],$Q$4,RawData[[Error Type ]],$Q$5))</f>
        <v/>
      </c>
    </row>
    <row r="12410" spans="15:15" x14ac:dyDescent="0.25">
      <c r="O12410" s="20" t="str">
        <f>IF(N12410="","",COUNTIFS(RawData[[Date ]],N12410,RawData[Month List],$Q$6,RawData[Tour/Site],$Q$2,RawData[[Picker ID ]],$Q$3,RawData[Checker ID],$Q$4,RawData[[Error Type ]],$Q$5))</f>
        <v/>
      </c>
    </row>
    <row r="12411" spans="15:15" x14ac:dyDescent="0.25">
      <c r="O12411" s="20" t="str">
        <f>IF(N12411="","",COUNTIFS(RawData[[Date ]],N12411,RawData[Month List],$Q$6,RawData[Tour/Site],$Q$2,RawData[[Picker ID ]],$Q$3,RawData[Checker ID],$Q$4,RawData[[Error Type ]],$Q$5))</f>
        <v/>
      </c>
    </row>
    <row r="12412" spans="15:15" x14ac:dyDescent="0.25">
      <c r="O12412" s="20" t="str">
        <f>IF(N12412="","",COUNTIFS(RawData[[Date ]],N12412,RawData[Month List],$Q$6,RawData[Tour/Site],$Q$2,RawData[[Picker ID ]],$Q$3,RawData[Checker ID],$Q$4,RawData[[Error Type ]],$Q$5))</f>
        <v/>
      </c>
    </row>
    <row r="12413" spans="15:15" x14ac:dyDescent="0.25">
      <c r="O12413" s="20" t="str">
        <f>IF(N12413="","",COUNTIFS(RawData[[Date ]],N12413,RawData[Month List],$Q$6,RawData[Tour/Site],$Q$2,RawData[[Picker ID ]],$Q$3,RawData[Checker ID],$Q$4,RawData[[Error Type ]],$Q$5))</f>
        <v/>
      </c>
    </row>
    <row r="12414" spans="15:15" x14ac:dyDescent="0.25">
      <c r="O12414" s="20" t="str">
        <f>IF(N12414="","",COUNTIFS(RawData[[Date ]],N12414,RawData[Month List],$Q$6,RawData[Tour/Site],$Q$2,RawData[[Picker ID ]],$Q$3,RawData[Checker ID],$Q$4,RawData[[Error Type ]],$Q$5))</f>
        <v/>
      </c>
    </row>
    <row r="12415" spans="15:15" x14ac:dyDescent="0.25">
      <c r="O12415" s="20" t="str">
        <f>IF(N12415="","",COUNTIFS(RawData[[Date ]],N12415,RawData[Month List],$Q$6,RawData[Tour/Site],$Q$2,RawData[[Picker ID ]],$Q$3,RawData[Checker ID],$Q$4,RawData[[Error Type ]],$Q$5))</f>
        <v/>
      </c>
    </row>
    <row r="12416" spans="15:15" x14ac:dyDescent="0.25">
      <c r="O12416" s="20" t="str">
        <f>IF(N12416="","",COUNTIFS(RawData[[Date ]],N12416,RawData[Month List],$Q$6,RawData[Tour/Site],$Q$2,RawData[[Picker ID ]],$Q$3,RawData[Checker ID],$Q$4,RawData[[Error Type ]],$Q$5))</f>
        <v/>
      </c>
    </row>
    <row r="12417" spans="15:15" x14ac:dyDescent="0.25">
      <c r="O12417" s="20" t="str">
        <f>IF(N12417="","",COUNTIFS(RawData[[Date ]],N12417,RawData[Month List],$Q$6,RawData[Tour/Site],$Q$2,RawData[[Picker ID ]],$Q$3,RawData[Checker ID],$Q$4,RawData[[Error Type ]],$Q$5))</f>
        <v/>
      </c>
    </row>
    <row r="12418" spans="15:15" x14ac:dyDescent="0.25">
      <c r="O12418" s="20" t="str">
        <f>IF(N12418="","",COUNTIFS(RawData[[Date ]],N12418,RawData[Month List],$Q$6,RawData[Tour/Site],$Q$2,RawData[[Picker ID ]],$Q$3,RawData[Checker ID],$Q$4,RawData[[Error Type ]],$Q$5))</f>
        <v/>
      </c>
    </row>
    <row r="12419" spans="15:15" x14ac:dyDescent="0.25">
      <c r="O12419" s="20" t="str">
        <f>IF(N12419="","",COUNTIFS(RawData[[Date ]],N12419,RawData[Month List],$Q$6,RawData[Tour/Site],$Q$2,RawData[[Picker ID ]],$Q$3,RawData[Checker ID],$Q$4,RawData[[Error Type ]],$Q$5))</f>
        <v/>
      </c>
    </row>
    <row r="12420" spans="15:15" x14ac:dyDescent="0.25">
      <c r="O12420" s="20" t="str">
        <f>IF(N12420="","",COUNTIFS(RawData[[Date ]],N12420,RawData[Month List],$Q$6,RawData[Tour/Site],$Q$2,RawData[[Picker ID ]],$Q$3,RawData[Checker ID],$Q$4,RawData[[Error Type ]],$Q$5))</f>
        <v/>
      </c>
    </row>
    <row r="12421" spans="15:15" x14ac:dyDescent="0.25">
      <c r="O12421" s="20" t="str">
        <f>IF(N12421="","",COUNTIFS(RawData[[Date ]],N12421,RawData[Month List],$Q$6,RawData[Tour/Site],$Q$2,RawData[[Picker ID ]],$Q$3,RawData[Checker ID],$Q$4,RawData[[Error Type ]],$Q$5))</f>
        <v/>
      </c>
    </row>
    <row r="12422" spans="15:15" x14ac:dyDescent="0.25">
      <c r="O12422" s="20" t="str">
        <f>IF(N12422="","",COUNTIFS(RawData[[Date ]],N12422,RawData[Month List],$Q$6,RawData[Tour/Site],$Q$2,RawData[[Picker ID ]],$Q$3,RawData[Checker ID],$Q$4,RawData[[Error Type ]],$Q$5))</f>
        <v/>
      </c>
    </row>
    <row r="12423" spans="15:15" x14ac:dyDescent="0.25">
      <c r="O12423" s="20" t="str">
        <f>IF(N12423="","",COUNTIFS(RawData[[Date ]],N12423,RawData[Month List],$Q$6,RawData[Tour/Site],$Q$2,RawData[[Picker ID ]],$Q$3,RawData[Checker ID],$Q$4,RawData[[Error Type ]],$Q$5))</f>
        <v/>
      </c>
    </row>
    <row r="12424" spans="15:15" x14ac:dyDescent="0.25">
      <c r="O12424" s="20" t="str">
        <f>IF(N12424="","",COUNTIFS(RawData[[Date ]],N12424,RawData[Month List],$Q$6,RawData[Tour/Site],$Q$2,RawData[[Picker ID ]],$Q$3,RawData[Checker ID],$Q$4,RawData[[Error Type ]],$Q$5))</f>
        <v/>
      </c>
    </row>
    <row r="12425" spans="15:15" x14ac:dyDescent="0.25">
      <c r="O12425" s="20" t="str">
        <f>IF(N12425="","",COUNTIFS(RawData[[Date ]],N12425,RawData[Month List],$Q$6,RawData[Tour/Site],$Q$2,RawData[[Picker ID ]],$Q$3,RawData[Checker ID],$Q$4,RawData[[Error Type ]],$Q$5))</f>
        <v/>
      </c>
    </row>
    <row r="12426" spans="15:15" x14ac:dyDescent="0.25">
      <c r="O12426" s="20" t="str">
        <f>IF(N12426="","",COUNTIFS(RawData[[Date ]],N12426,RawData[Month List],$Q$6,RawData[Tour/Site],$Q$2,RawData[[Picker ID ]],$Q$3,RawData[Checker ID],$Q$4,RawData[[Error Type ]],$Q$5))</f>
        <v/>
      </c>
    </row>
    <row r="12427" spans="15:15" x14ac:dyDescent="0.25">
      <c r="O12427" s="20" t="str">
        <f>IF(N12427="","",COUNTIFS(RawData[[Date ]],N12427,RawData[Month List],$Q$6,RawData[Tour/Site],$Q$2,RawData[[Picker ID ]],$Q$3,RawData[Checker ID],$Q$4,RawData[[Error Type ]],$Q$5))</f>
        <v/>
      </c>
    </row>
    <row r="12428" spans="15:15" x14ac:dyDescent="0.25">
      <c r="O12428" s="20" t="str">
        <f>IF(N12428="","",COUNTIFS(RawData[[Date ]],N12428,RawData[Month List],$Q$6,RawData[Tour/Site],$Q$2,RawData[[Picker ID ]],$Q$3,RawData[Checker ID],$Q$4,RawData[[Error Type ]],$Q$5))</f>
        <v/>
      </c>
    </row>
    <row r="12429" spans="15:15" x14ac:dyDescent="0.25">
      <c r="O12429" s="20" t="str">
        <f>IF(N12429="","",COUNTIFS(RawData[[Date ]],N12429,RawData[Month List],$Q$6,RawData[Tour/Site],$Q$2,RawData[[Picker ID ]],$Q$3,RawData[Checker ID],$Q$4,RawData[[Error Type ]],$Q$5))</f>
        <v/>
      </c>
    </row>
    <row r="12430" spans="15:15" x14ac:dyDescent="0.25">
      <c r="O12430" s="20" t="str">
        <f>IF(N12430="","",COUNTIFS(RawData[[Date ]],N12430,RawData[Month List],$Q$6,RawData[Tour/Site],$Q$2,RawData[[Picker ID ]],$Q$3,RawData[Checker ID],$Q$4,RawData[[Error Type ]],$Q$5))</f>
        <v/>
      </c>
    </row>
    <row r="12431" spans="15:15" x14ac:dyDescent="0.25">
      <c r="O12431" s="20" t="str">
        <f>IF(N12431="","",COUNTIFS(RawData[[Date ]],N12431,RawData[Month List],$Q$6,RawData[Tour/Site],$Q$2,RawData[[Picker ID ]],$Q$3,RawData[Checker ID],$Q$4,RawData[[Error Type ]],$Q$5))</f>
        <v/>
      </c>
    </row>
    <row r="12432" spans="15:15" x14ac:dyDescent="0.25">
      <c r="O12432" s="20" t="str">
        <f>IF(N12432="","",COUNTIFS(RawData[[Date ]],N12432,RawData[Month List],$Q$6,RawData[Tour/Site],$Q$2,RawData[[Picker ID ]],$Q$3,RawData[Checker ID],$Q$4,RawData[[Error Type ]],$Q$5))</f>
        <v/>
      </c>
    </row>
    <row r="12433" spans="15:15" x14ac:dyDescent="0.25">
      <c r="O12433" s="20" t="str">
        <f>IF(N12433="","",COUNTIFS(RawData[[Date ]],N12433,RawData[Month List],$Q$6,RawData[Tour/Site],$Q$2,RawData[[Picker ID ]],$Q$3,RawData[Checker ID],$Q$4,RawData[[Error Type ]],$Q$5))</f>
        <v/>
      </c>
    </row>
    <row r="12434" spans="15:15" x14ac:dyDescent="0.25">
      <c r="O12434" s="20" t="str">
        <f>IF(N12434="","",COUNTIFS(RawData[[Date ]],N12434,RawData[Month List],$Q$6,RawData[Tour/Site],$Q$2,RawData[[Picker ID ]],$Q$3,RawData[Checker ID],$Q$4,RawData[[Error Type ]],$Q$5))</f>
        <v/>
      </c>
    </row>
    <row r="12435" spans="15:15" x14ac:dyDescent="0.25">
      <c r="O12435" s="20" t="str">
        <f>IF(N12435="","",COUNTIFS(RawData[[Date ]],N12435,RawData[Month List],$Q$6,RawData[Tour/Site],$Q$2,RawData[[Picker ID ]],$Q$3,RawData[Checker ID],$Q$4,RawData[[Error Type ]],$Q$5))</f>
        <v/>
      </c>
    </row>
    <row r="12436" spans="15:15" x14ac:dyDescent="0.25">
      <c r="O12436" s="20" t="str">
        <f>IF(N12436="","",COUNTIFS(RawData[[Date ]],N12436,RawData[Month List],$Q$6,RawData[Tour/Site],$Q$2,RawData[[Picker ID ]],$Q$3,RawData[Checker ID],$Q$4,RawData[[Error Type ]],$Q$5))</f>
        <v/>
      </c>
    </row>
    <row r="12437" spans="15:15" x14ac:dyDescent="0.25">
      <c r="O12437" s="20" t="str">
        <f>IF(N12437="","",COUNTIFS(RawData[[Date ]],N12437,RawData[Month List],$Q$6,RawData[Tour/Site],$Q$2,RawData[[Picker ID ]],$Q$3,RawData[Checker ID],$Q$4,RawData[[Error Type ]],$Q$5))</f>
        <v/>
      </c>
    </row>
    <row r="12438" spans="15:15" x14ac:dyDescent="0.25">
      <c r="O12438" s="20" t="str">
        <f>IF(N12438="","",COUNTIFS(RawData[[Date ]],N12438,RawData[Month List],$Q$6,RawData[Tour/Site],$Q$2,RawData[[Picker ID ]],$Q$3,RawData[Checker ID],$Q$4,RawData[[Error Type ]],$Q$5))</f>
        <v/>
      </c>
    </row>
    <row r="12439" spans="15:15" x14ac:dyDescent="0.25">
      <c r="O12439" s="20" t="str">
        <f>IF(N12439="","",COUNTIFS(RawData[[Date ]],N12439,RawData[Month List],$Q$6,RawData[Tour/Site],$Q$2,RawData[[Picker ID ]],$Q$3,RawData[Checker ID],$Q$4,RawData[[Error Type ]],$Q$5))</f>
        <v/>
      </c>
    </row>
    <row r="12440" spans="15:15" x14ac:dyDescent="0.25">
      <c r="O12440" s="20" t="str">
        <f>IF(N12440="","",COUNTIFS(RawData[[Date ]],N12440,RawData[Month List],$Q$6,RawData[Tour/Site],$Q$2,RawData[[Picker ID ]],$Q$3,RawData[Checker ID],$Q$4,RawData[[Error Type ]],$Q$5))</f>
        <v/>
      </c>
    </row>
    <row r="12441" spans="15:15" x14ac:dyDescent="0.25">
      <c r="O12441" s="20" t="str">
        <f>IF(N12441="","",COUNTIFS(RawData[[Date ]],N12441,RawData[Month List],$Q$6,RawData[Tour/Site],$Q$2,RawData[[Picker ID ]],$Q$3,RawData[Checker ID],$Q$4,RawData[[Error Type ]],$Q$5))</f>
        <v/>
      </c>
    </row>
    <row r="12442" spans="15:15" x14ac:dyDescent="0.25">
      <c r="O12442" s="20" t="str">
        <f>IF(N12442="","",COUNTIFS(RawData[[Date ]],N12442,RawData[Month List],$Q$6,RawData[Tour/Site],$Q$2,RawData[[Picker ID ]],$Q$3,RawData[Checker ID],$Q$4,RawData[[Error Type ]],$Q$5))</f>
        <v/>
      </c>
    </row>
    <row r="12443" spans="15:15" x14ac:dyDescent="0.25">
      <c r="O12443" s="20" t="str">
        <f>IF(N12443="","",COUNTIFS(RawData[[Date ]],N12443,RawData[Month List],$Q$6,RawData[Tour/Site],$Q$2,RawData[[Picker ID ]],$Q$3,RawData[Checker ID],$Q$4,RawData[[Error Type ]],$Q$5))</f>
        <v/>
      </c>
    </row>
    <row r="12444" spans="15:15" x14ac:dyDescent="0.25">
      <c r="O12444" s="20" t="str">
        <f>IF(N12444="","",COUNTIFS(RawData[[Date ]],N12444,RawData[Month List],$Q$6,RawData[Tour/Site],$Q$2,RawData[[Picker ID ]],$Q$3,RawData[Checker ID],$Q$4,RawData[[Error Type ]],$Q$5))</f>
        <v/>
      </c>
    </row>
    <row r="12445" spans="15:15" x14ac:dyDescent="0.25">
      <c r="O12445" s="20" t="str">
        <f>IF(N12445="","",COUNTIFS(RawData[[Date ]],N12445,RawData[Month List],$Q$6,RawData[Tour/Site],$Q$2,RawData[[Picker ID ]],$Q$3,RawData[Checker ID],$Q$4,RawData[[Error Type ]],$Q$5))</f>
        <v/>
      </c>
    </row>
    <row r="12446" spans="15:15" x14ac:dyDescent="0.25">
      <c r="O12446" s="20" t="str">
        <f>IF(N12446="","",COUNTIFS(RawData[[Date ]],N12446,RawData[Month List],$Q$6,RawData[Tour/Site],$Q$2,RawData[[Picker ID ]],$Q$3,RawData[Checker ID],$Q$4,RawData[[Error Type ]],$Q$5))</f>
        <v/>
      </c>
    </row>
    <row r="12447" spans="15:15" x14ac:dyDescent="0.25">
      <c r="O12447" s="20" t="str">
        <f>IF(N12447="","",COUNTIFS(RawData[[Date ]],N12447,RawData[Month List],$Q$6,RawData[Tour/Site],$Q$2,RawData[[Picker ID ]],$Q$3,RawData[Checker ID],$Q$4,RawData[[Error Type ]],$Q$5))</f>
        <v/>
      </c>
    </row>
    <row r="12448" spans="15:15" x14ac:dyDescent="0.25">
      <c r="O12448" s="20" t="str">
        <f>IF(N12448="","",COUNTIFS(RawData[[Date ]],N12448,RawData[Month List],$Q$6,RawData[Tour/Site],$Q$2,RawData[[Picker ID ]],$Q$3,RawData[Checker ID],$Q$4,RawData[[Error Type ]],$Q$5))</f>
        <v/>
      </c>
    </row>
    <row r="12449" spans="15:15" x14ac:dyDescent="0.25">
      <c r="O12449" s="20" t="str">
        <f>IF(N12449="","",COUNTIFS(RawData[[Date ]],N12449,RawData[Month List],$Q$6,RawData[Tour/Site],$Q$2,RawData[[Picker ID ]],$Q$3,RawData[Checker ID],$Q$4,RawData[[Error Type ]],$Q$5))</f>
        <v/>
      </c>
    </row>
    <row r="12450" spans="15:15" x14ac:dyDescent="0.25">
      <c r="O12450" s="20" t="str">
        <f>IF(N12450="","",COUNTIFS(RawData[[Date ]],N12450,RawData[Month List],$Q$6,RawData[Tour/Site],$Q$2,RawData[[Picker ID ]],$Q$3,RawData[Checker ID],$Q$4,RawData[[Error Type ]],$Q$5))</f>
        <v/>
      </c>
    </row>
    <row r="12451" spans="15:15" x14ac:dyDescent="0.25">
      <c r="O12451" s="20" t="str">
        <f>IF(N12451="","",COUNTIFS(RawData[[Date ]],N12451,RawData[Month List],$Q$6,RawData[Tour/Site],$Q$2,RawData[[Picker ID ]],$Q$3,RawData[Checker ID],$Q$4,RawData[[Error Type ]],$Q$5))</f>
        <v/>
      </c>
    </row>
    <row r="12452" spans="15:15" x14ac:dyDescent="0.25">
      <c r="O12452" s="20" t="str">
        <f>IF(N12452="","",COUNTIFS(RawData[[Date ]],N12452,RawData[Month List],$Q$6,RawData[Tour/Site],$Q$2,RawData[[Picker ID ]],$Q$3,RawData[Checker ID],$Q$4,RawData[[Error Type ]],$Q$5))</f>
        <v/>
      </c>
    </row>
    <row r="12453" spans="15:15" x14ac:dyDescent="0.25">
      <c r="O12453" s="20" t="str">
        <f>IF(N12453="","",COUNTIFS(RawData[[Date ]],N12453,RawData[Month List],$Q$6,RawData[Tour/Site],$Q$2,RawData[[Picker ID ]],$Q$3,RawData[Checker ID],$Q$4,RawData[[Error Type ]],$Q$5))</f>
        <v/>
      </c>
    </row>
    <row r="12454" spans="15:15" x14ac:dyDescent="0.25">
      <c r="O12454" s="20" t="str">
        <f>IF(N12454="","",COUNTIFS(RawData[[Date ]],N12454,RawData[Month List],$Q$6,RawData[Tour/Site],$Q$2,RawData[[Picker ID ]],$Q$3,RawData[Checker ID],$Q$4,RawData[[Error Type ]],$Q$5))</f>
        <v/>
      </c>
    </row>
    <row r="12455" spans="15:15" x14ac:dyDescent="0.25">
      <c r="O12455" s="20" t="str">
        <f>IF(N12455="","",COUNTIFS(RawData[[Date ]],N12455,RawData[Month List],$Q$6,RawData[Tour/Site],$Q$2,RawData[[Picker ID ]],$Q$3,RawData[Checker ID],$Q$4,RawData[[Error Type ]],$Q$5))</f>
        <v/>
      </c>
    </row>
    <row r="12456" spans="15:15" x14ac:dyDescent="0.25">
      <c r="O12456" s="20" t="str">
        <f>IF(N12456="","",COUNTIFS(RawData[[Date ]],N12456,RawData[Month List],$Q$6,RawData[Tour/Site],$Q$2,RawData[[Picker ID ]],$Q$3,RawData[Checker ID],$Q$4,RawData[[Error Type ]],$Q$5))</f>
        <v/>
      </c>
    </row>
    <row r="12457" spans="15:15" x14ac:dyDescent="0.25">
      <c r="O12457" s="20" t="str">
        <f>IF(N12457="","",COUNTIFS(RawData[[Date ]],N12457,RawData[Month List],$Q$6,RawData[Tour/Site],$Q$2,RawData[[Picker ID ]],$Q$3,RawData[Checker ID],$Q$4,RawData[[Error Type ]],$Q$5))</f>
        <v/>
      </c>
    </row>
    <row r="12458" spans="15:15" x14ac:dyDescent="0.25">
      <c r="O12458" s="20" t="str">
        <f>IF(N12458="","",COUNTIFS(RawData[[Date ]],N12458,RawData[Month List],$Q$6,RawData[Tour/Site],$Q$2,RawData[[Picker ID ]],$Q$3,RawData[Checker ID],$Q$4,RawData[[Error Type ]],$Q$5))</f>
        <v/>
      </c>
    </row>
    <row r="12459" spans="15:15" x14ac:dyDescent="0.25">
      <c r="O12459" s="20" t="str">
        <f>IF(N12459="","",COUNTIFS(RawData[[Date ]],N12459,RawData[Month List],$Q$6,RawData[Tour/Site],$Q$2,RawData[[Picker ID ]],$Q$3,RawData[Checker ID],$Q$4,RawData[[Error Type ]],$Q$5))</f>
        <v/>
      </c>
    </row>
    <row r="12460" spans="15:15" x14ac:dyDescent="0.25">
      <c r="O12460" s="20" t="str">
        <f>IF(N12460="","",COUNTIFS(RawData[[Date ]],N12460,RawData[Month List],$Q$6,RawData[Tour/Site],$Q$2,RawData[[Picker ID ]],$Q$3,RawData[Checker ID],$Q$4,RawData[[Error Type ]],$Q$5))</f>
        <v/>
      </c>
    </row>
    <row r="12461" spans="15:15" x14ac:dyDescent="0.25">
      <c r="O12461" s="20" t="str">
        <f>IF(N12461="","",COUNTIFS(RawData[[Date ]],N12461,RawData[Month List],$Q$6,RawData[Tour/Site],$Q$2,RawData[[Picker ID ]],$Q$3,RawData[Checker ID],$Q$4,RawData[[Error Type ]],$Q$5))</f>
        <v/>
      </c>
    </row>
    <row r="12462" spans="15:15" x14ac:dyDescent="0.25">
      <c r="O12462" s="20" t="str">
        <f>IF(N12462="","",COUNTIFS(RawData[[Date ]],N12462,RawData[Month List],$Q$6,RawData[Tour/Site],$Q$2,RawData[[Picker ID ]],$Q$3,RawData[Checker ID],$Q$4,RawData[[Error Type ]],$Q$5))</f>
        <v/>
      </c>
    </row>
    <row r="12463" spans="15:15" x14ac:dyDescent="0.25">
      <c r="O12463" s="20" t="str">
        <f>IF(N12463="","",COUNTIFS(RawData[[Date ]],N12463,RawData[Month List],$Q$6,RawData[Tour/Site],$Q$2,RawData[[Picker ID ]],$Q$3,RawData[Checker ID],$Q$4,RawData[[Error Type ]],$Q$5))</f>
        <v/>
      </c>
    </row>
    <row r="12464" spans="15:15" x14ac:dyDescent="0.25">
      <c r="O12464" s="20" t="str">
        <f>IF(N12464="","",COUNTIFS(RawData[[Date ]],N12464,RawData[Month List],$Q$6,RawData[Tour/Site],$Q$2,RawData[[Picker ID ]],$Q$3,RawData[Checker ID],$Q$4,RawData[[Error Type ]],$Q$5))</f>
        <v/>
      </c>
    </row>
    <row r="12465" spans="15:15" x14ac:dyDescent="0.25">
      <c r="O12465" s="20" t="str">
        <f>IF(N12465="","",COUNTIFS(RawData[[Date ]],N12465,RawData[Month List],$Q$6,RawData[Tour/Site],$Q$2,RawData[[Picker ID ]],$Q$3,RawData[Checker ID],$Q$4,RawData[[Error Type ]],$Q$5))</f>
        <v/>
      </c>
    </row>
    <row r="12466" spans="15:15" x14ac:dyDescent="0.25">
      <c r="O12466" s="20" t="str">
        <f>IF(N12466="","",COUNTIFS(RawData[[Date ]],N12466,RawData[Month List],$Q$6,RawData[Tour/Site],$Q$2,RawData[[Picker ID ]],$Q$3,RawData[Checker ID],$Q$4,RawData[[Error Type ]],$Q$5))</f>
        <v/>
      </c>
    </row>
    <row r="12467" spans="15:15" x14ac:dyDescent="0.25">
      <c r="O12467" s="20" t="str">
        <f>IF(N12467="","",COUNTIFS(RawData[[Date ]],N12467,RawData[Month List],$Q$6,RawData[Tour/Site],$Q$2,RawData[[Picker ID ]],$Q$3,RawData[Checker ID],$Q$4,RawData[[Error Type ]],$Q$5))</f>
        <v/>
      </c>
    </row>
    <row r="12468" spans="15:15" x14ac:dyDescent="0.25">
      <c r="O12468" s="20" t="str">
        <f>IF(N12468="","",COUNTIFS(RawData[[Date ]],N12468,RawData[Month List],$Q$6,RawData[Tour/Site],$Q$2,RawData[[Picker ID ]],$Q$3,RawData[Checker ID],$Q$4,RawData[[Error Type ]],$Q$5))</f>
        <v/>
      </c>
    </row>
    <row r="12469" spans="15:15" x14ac:dyDescent="0.25">
      <c r="O12469" s="20" t="str">
        <f>IF(N12469="","",COUNTIFS(RawData[[Date ]],N12469,RawData[Month List],$Q$6,RawData[Tour/Site],$Q$2,RawData[[Picker ID ]],$Q$3,RawData[Checker ID],$Q$4,RawData[[Error Type ]],$Q$5))</f>
        <v/>
      </c>
    </row>
    <row r="12470" spans="15:15" x14ac:dyDescent="0.25">
      <c r="O12470" s="20" t="str">
        <f>IF(N12470="","",COUNTIFS(RawData[[Date ]],N12470,RawData[Month List],$Q$6,RawData[Tour/Site],$Q$2,RawData[[Picker ID ]],$Q$3,RawData[Checker ID],$Q$4,RawData[[Error Type ]],$Q$5))</f>
        <v/>
      </c>
    </row>
    <row r="12471" spans="15:15" x14ac:dyDescent="0.25">
      <c r="O12471" s="20" t="str">
        <f>IF(N12471="","",COUNTIFS(RawData[[Date ]],N12471,RawData[Month List],$Q$6,RawData[Tour/Site],$Q$2,RawData[[Picker ID ]],$Q$3,RawData[Checker ID],$Q$4,RawData[[Error Type ]],$Q$5))</f>
        <v/>
      </c>
    </row>
    <row r="12472" spans="15:15" x14ac:dyDescent="0.25">
      <c r="O12472" s="20" t="str">
        <f>IF(N12472="","",COUNTIFS(RawData[[Date ]],N12472,RawData[Month List],$Q$6,RawData[Tour/Site],$Q$2,RawData[[Picker ID ]],$Q$3,RawData[Checker ID],$Q$4,RawData[[Error Type ]],$Q$5))</f>
        <v/>
      </c>
    </row>
    <row r="12473" spans="15:15" x14ac:dyDescent="0.25">
      <c r="O12473" s="20" t="str">
        <f>IF(N12473="","",COUNTIFS(RawData[[Date ]],N12473,RawData[Month List],$Q$6,RawData[Tour/Site],$Q$2,RawData[[Picker ID ]],$Q$3,RawData[Checker ID],$Q$4,RawData[[Error Type ]],$Q$5))</f>
        <v/>
      </c>
    </row>
    <row r="12474" spans="15:15" x14ac:dyDescent="0.25">
      <c r="O12474" s="20" t="str">
        <f>IF(N12474="","",COUNTIFS(RawData[[Date ]],N12474,RawData[Month List],$Q$6,RawData[Tour/Site],$Q$2,RawData[[Picker ID ]],$Q$3,RawData[Checker ID],$Q$4,RawData[[Error Type ]],$Q$5))</f>
        <v/>
      </c>
    </row>
    <row r="12475" spans="15:15" x14ac:dyDescent="0.25">
      <c r="O12475" s="20" t="str">
        <f>IF(N12475="","",COUNTIFS(RawData[[Date ]],N12475,RawData[Month List],$Q$6,RawData[Tour/Site],$Q$2,RawData[[Picker ID ]],$Q$3,RawData[Checker ID],$Q$4,RawData[[Error Type ]],$Q$5))</f>
        <v/>
      </c>
    </row>
    <row r="12476" spans="15:15" x14ac:dyDescent="0.25">
      <c r="O12476" s="20" t="str">
        <f>IF(N12476="","",COUNTIFS(RawData[[Date ]],N12476,RawData[Month List],$Q$6,RawData[Tour/Site],$Q$2,RawData[[Picker ID ]],$Q$3,RawData[Checker ID],$Q$4,RawData[[Error Type ]],$Q$5))</f>
        <v/>
      </c>
    </row>
    <row r="12477" spans="15:15" x14ac:dyDescent="0.25">
      <c r="O12477" s="20" t="str">
        <f>IF(N12477="","",COUNTIFS(RawData[[Date ]],N12477,RawData[Month List],$Q$6,RawData[Tour/Site],$Q$2,RawData[[Picker ID ]],$Q$3,RawData[Checker ID],$Q$4,RawData[[Error Type ]],$Q$5))</f>
        <v/>
      </c>
    </row>
    <row r="12478" spans="15:15" x14ac:dyDescent="0.25">
      <c r="O12478" s="20" t="str">
        <f>IF(N12478="","",COUNTIFS(RawData[[Date ]],N12478,RawData[Month List],$Q$6,RawData[Tour/Site],$Q$2,RawData[[Picker ID ]],$Q$3,RawData[Checker ID],$Q$4,RawData[[Error Type ]],$Q$5))</f>
        <v/>
      </c>
    </row>
    <row r="12479" spans="15:15" x14ac:dyDescent="0.25">
      <c r="O12479" s="20" t="str">
        <f>IF(N12479="","",COUNTIFS(RawData[[Date ]],N12479,RawData[Month List],$Q$6,RawData[Tour/Site],$Q$2,RawData[[Picker ID ]],$Q$3,RawData[Checker ID],$Q$4,RawData[[Error Type ]],$Q$5))</f>
        <v/>
      </c>
    </row>
    <row r="12480" spans="15:15" x14ac:dyDescent="0.25">
      <c r="O12480" s="20" t="str">
        <f>IF(N12480="","",COUNTIFS(RawData[[Date ]],N12480,RawData[Month List],$Q$6,RawData[Tour/Site],$Q$2,RawData[[Picker ID ]],$Q$3,RawData[Checker ID],$Q$4,RawData[[Error Type ]],$Q$5))</f>
        <v/>
      </c>
    </row>
    <row r="12481" spans="15:15" x14ac:dyDescent="0.25">
      <c r="O12481" s="20" t="str">
        <f>IF(N12481="","",COUNTIFS(RawData[[Date ]],N12481,RawData[Month List],$Q$6,RawData[Tour/Site],$Q$2,RawData[[Picker ID ]],$Q$3,RawData[Checker ID],$Q$4,RawData[[Error Type ]],$Q$5))</f>
        <v/>
      </c>
    </row>
    <row r="12482" spans="15:15" x14ac:dyDescent="0.25">
      <c r="O12482" s="20" t="str">
        <f>IF(N12482="","",COUNTIFS(RawData[[Date ]],N12482,RawData[Month List],$Q$6,RawData[Tour/Site],$Q$2,RawData[[Picker ID ]],$Q$3,RawData[Checker ID],$Q$4,RawData[[Error Type ]],$Q$5))</f>
        <v/>
      </c>
    </row>
    <row r="12483" spans="15:15" x14ac:dyDescent="0.25">
      <c r="O12483" s="20" t="str">
        <f>IF(N12483="","",COUNTIFS(RawData[[Date ]],N12483,RawData[Month List],$Q$6,RawData[Tour/Site],$Q$2,RawData[[Picker ID ]],$Q$3,RawData[Checker ID],$Q$4,RawData[[Error Type ]],$Q$5))</f>
        <v/>
      </c>
    </row>
    <row r="12484" spans="15:15" x14ac:dyDescent="0.25">
      <c r="O12484" s="20" t="str">
        <f>IF(N12484="","",COUNTIFS(RawData[[Date ]],N12484,RawData[Month List],$Q$6,RawData[Tour/Site],$Q$2,RawData[[Picker ID ]],$Q$3,RawData[Checker ID],$Q$4,RawData[[Error Type ]],$Q$5))</f>
        <v/>
      </c>
    </row>
    <row r="12485" spans="15:15" x14ac:dyDescent="0.25">
      <c r="O12485" s="20" t="str">
        <f>IF(N12485="","",COUNTIFS(RawData[[Date ]],N12485,RawData[Month List],$Q$6,RawData[Tour/Site],$Q$2,RawData[[Picker ID ]],$Q$3,RawData[Checker ID],$Q$4,RawData[[Error Type ]],$Q$5))</f>
        <v/>
      </c>
    </row>
    <row r="12486" spans="15:15" x14ac:dyDescent="0.25">
      <c r="O12486" s="20" t="str">
        <f>IF(N12486="","",COUNTIFS(RawData[[Date ]],N12486,RawData[Month List],$Q$6,RawData[Tour/Site],$Q$2,RawData[[Picker ID ]],$Q$3,RawData[Checker ID],$Q$4,RawData[[Error Type ]],$Q$5))</f>
        <v/>
      </c>
    </row>
    <row r="12487" spans="15:15" x14ac:dyDescent="0.25">
      <c r="O12487" s="20" t="str">
        <f>IF(N12487="","",COUNTIFS(RawData[[Date ]],N12487,RawData[Month List],$Q$6,RawData[Tour/Site],$Q$2,RawData[[Picker ID ]],$Q$3,RawData[Checker ID],$Q$4,RawData[[Error Type ]],$Q$5))</f>
        <v/>
      </c>
    </row>
    <row r="12488" spans="15:15" x14ac:dyDescent="0.25">
      <c r="O12488" s="20" t="str">
        <f>IF(N12488="","",COUNTIFS(RawData[[Date ]],N12488,RawData[Month List],$Q$6,RawData[Tour/Site],$Q$2,RawData[[Picker ID ]],$Q$3,RawData[Checker ID],$Q$4,RawData[[Error Type ]],$Q$5))</f>
        <v/>
      </c>
    </row>
    <row r="12489" spans="15:15" x14ac:dyDescent="0.25">
      <c r="O12489" s="20" t="str">
        <f>IF(N12489="","",COUNTIFS(RawData[[Date ]],N12489,RawData[Month List],$Q$6,RawData[Tour/Site],$Q$2,RawData[[Picker ID ]],$Q$3,RawData[Checker ID],$Q$4,RawData[[Error Type ]],$Q$5))</f>
        <v/>
      </c>
    </row>
    <row r="12490" spans="15:15" x14ac:dyDescent="0.25">
      <c r="O12490" s="20" t="str">
        <f>IF(N12490="","",COUNTIFS(RawData[[Date ]],N12490,RawData[Month List],$Q$6,RawData[Tour/Site],$Q$2,RawData[[Picker ID ]],$Q$3,RawData[Checker ID],$Q$4,RawData[[Error Type ]],$Q$5))</f>
        <v/>
      </c>
    </row>
    <row r="12491" spans="15:15" x14ac:dyDescent="0.25">
      <c r="O12491" s="20" t="str">
        <f>IF(N12491="","",COUNTIFS(RawData[[Date ]],N12491,RawData[Month List],$Q$6,RawData[Tour/Site],$Q$2,RawData[[Picker ID ]],$Q$3,RawData[Checker ID],$Q$4,RawData[[Error Type ]],$Q$5))</f>
        <v/>
      </c>
    </row>
    <row r="12492" spans="15:15" x14ac:dyDescent="0.25">
      <c r="O12492" s="20" t="str">
        <f>IF(N12492="","",COUNTIFS(RawData[[Date ]],N12492,RawData[Month List],$Q$6,RawData[Tour/Site],$Q$2,RawData[[Picker ID ]],$Q$3,RawData[Checker ID],$Q$4,RawData[[Error Type ]],$Q$5))</f>
        <v/>
      </c>
    </row>
    <row r="12493" spans="15:15" x14ac:dyDescent="0.25">
      <c r="O12493" s="20" t="str">
        <f>IF(N12493="","",COUNTIFS(RawData[[Date ]],N12493,RawData[Month List],$Q$6,RawData[Tour/Site],$Q$2,RawData[[Picker ID ]],$Q$3,RawData[Checker ID],$Q$4,RawData[[Error Type ]],$Q$5))</f>
        <v/>
      </c>
    </row>
    <row r="12494" spans="15:15" x14ac:dyDescent="0.25">
      <c r="O12494" s="20" t="str">
        <f>IF(N12494="","",COUNTIFS(RawData[[Date ]],N12494,RawData[Month List],$Q$6,RawData[Tour/Site],$Q$2,RawData[[Picker ID ]],$Q$3,RawData[Checker ID],$Q$4,RawData[[Error Type ]],$Q$5))</f>
        <v/>
      </c>
    </row>
    <row r="12495" spans="15:15" x14ac:dyDescent="0.25">
      <c r="O12495" s="20" t="str">
        <f>IF(N12495="","",COUNTIFS(RawData[[Date ]],N12495,RawData[Month List],$Q$6,RawData[Tour/Site],$Q$2,RawData[[Picker ID ]],$Q$3,RawData[Checker ID],$Q$4,RawData[[Error Type ]],$Q$5))</f>
        <v/>
      </c>
    </row>
    <row r="12496" spans="15:15" x14ac:dyDescent="0.25">
      <c r="O12496" s="20" t="str">
        <f>IF(N12496="","",COUNTIFS(RawData[[Date ]],N12496,RawData[Month List],$Q$6,RawData[Tour/Site],$Q$2,RawData[[Picker ID ]],$Q$3,RawData[Checker ID],$Q$4,RawData[[Error Type ]],$Q$5))</f>
        <v/>
      </c>
    </row>
    <row r="12497" spans="15:15" x14ac:dyDescent="0.25">
      <c r="O12497" s="20" t="str">
        <f>IF(N12497="","",COUNTIFS(RawData[[Date ]],N12497,RawData[Month List],$Q$6,RawData[Tour/Site],$Q$2,RawData[[Picker ID ]],$Q$3,RawData[Checker ID],$Q$4,RawData[[Error Type ]],$Q$5))</f>
        <v/>
      </c>
    </row>
    <row r="12498" spans="15:15" x14ac:dyDescent="0.25">
      <c r="O12498" s="20" t="str">
        <f>IF(N12498="","",COUNTIFS(RawData[[Date ]],N12498,RawData[Month List],$Q$6,RawData[Tour/Site],$Q$2,RawData[[Picker ID ]],$Q$3,RawData[Checker ID],$Q$4,RawData[[Error Type ]],$Q$5))</f>
        <v/>
      </c>
    </row>
    <row r="12499" spans="15:15" x14ac:dyDescent="0.25">
      <c r="O12499" s="20" t="str">
        <f>IF(N12499="","",COUNTIFS(RawData[[Date ]],N12499,RawData[Month List],$Q$6,RawData[Tour/Site],$Q$2,RawData[[Picker ID ]],$Q$3,RawData[Checker ID],$Q$4,RawData[[Error Type ]],$Q$5))</f>
        <v/>
      </c>
    </row>
    <row r="12500" spans="15:15" x14ac:dyDescent="0.25">
      <c r="O12500" s="20" t="str">
        <f>IF(N12500="","",COUNTIFS(RawData[[Date ]],N12500,RawData[Month List],$Q$6,RawData[Tour/Site],$Q$2,RawData[[Picker ID ]],$Q$3,RawData[Checker ID],$Q$4,RawData[[Error Type ]],$Q$5))</f>
        <v/>
      </c>
    </row>
    <row r="12501" spans="15:15" x14ac:dyDescent="0.25">
      <c r="O12501" s="20" t="str">
        <f>IF(N12501="","",COUNTIFS(RawData[[Date ]],N12501,RawData[Month List],$Q$6,RawData[Tour/Site],$Q$2,RawData[[Picker ID ]],$Q$3,RawData[Checker ID],$Q$4,RawData[[Error Type ]],$Q$5))</f>
        <v/>
      </c>
    </row>
    <row r="12502" spans="15:15" x14ac:dyDescent="0.25">
      <c r="O12502" s="20" t="str">
        <f>IF(N12502="","",COUNTIFS(RawData[[Date ]],N12502,RawData[Month List],$Q$6,RawData[Tour/Site],$Q$2,RawData[[Picker ID ]],$Q$3,RawData[Checker ID],$Q$4,RawData[[Error Type ]],$Q$5))</f>
        <v/>
      </c>
    </row>
    <row r="12503" spans="15:15" x14ac:dyDescent="0.25">
      <c r="O12503" s="20" t="str">
        <f>IF(N12503="","",COUNTIFS(RawData[[Date ]],N12503,RawData[Month List],$Q$6,RawData[Tour/Site],$Q$2,RawData[[Picker ID ]],$Q$3,RawData[Checker ID],$Q$4,RawData[[Error Type ]],$Q$5))</f>
        <v/>
      </c>
    </row>
    <row r="12504" spans="15:15" x14ac:dyDescent="0.25">
      <c r="O12504" s="20" t="str">
        <f>IF(N12504="","",COUNTIFS(RawData[[Date ]],N12504,RawData[Month List],$Q$6,RawData[Tour/Site],$Q$2,RawData[[Picker ID ]],$Q$3,RawData[Checker ID],$Q$4,RawData[[Error Type ]],$Q$5))</f>
        <v/>
      </c>
    </row>
    <row r="12505" spans="15:15" x14ac:dyDescent="0.25">
      <c r="O12505" s="20" t="str">
        <f>IF(N12505="","",COUNTIFS(RawData[[Date ]],N12505,RawData[Month List],$Q$6,RawData[Tour/Site],$Q$2,RawData[[Picker ID ]],$Q$3,RawData[Checker ID],$Q$4,RawData[[Error Type ]],$Q$5))</f>
        <v/>
      </c>
    </row>
    <row r="12506" spans="15:15" x14ac:dyDescent="0.25">
      <c r="O12506" s="20" t="str">
        <f>IF(N12506="","",COUNTIFS(RawData[[Date ]],N12506,RawData[Month List],$Q$6,RawData[Tour/Site],$Q$2,RawData[[Picker ID ]],$Q$3,RawData[Checker ID],$Q$4,RawData[[Error Type ]],$Q$5))</f>
        <v/>
      </c>
    </row>
    <row r="12507" spans="15:15" x14ac:dyDescent="0.25">
      <c r="O12507" s="20" t="str">
        <f>IF(N12507="","",COUNTIFS(RawData[[Date ]],N12507,RawData[Month List],$Q$6,RawData[Tour/Site],$Q$2,RawData[[Picker ID ]],$Q$3,RawData[Checker ID],$Q$4,RawData[[Error Type ]],$Q$5))</f>
        <v/>
      </c>
    </row>
    <row r="12508" spans="15:15" x14ac:dyDescent="0.25">
      <c r="O12508" s="20" t="str">
        <f>IF(N12508="","",COUNTIFS(RawData[[Date ]],N12508,RawData[Month List],$Q$6,RawData[Tour/Site],$Q$2,RawData[[Picker ID ]],$Q$3,RawData[Checker ID],$Q$4,RawData[[Error Type ]],$Q$5))</f>
        <v/>
      </c>
    </row>
    <row r="12509" spans="15:15" x14ac:dyDescent="0.25">
      <c r="O12509" s="20" t="str">
        <f>IF(N12509="","",COUNTIFS(RawData[[Date ]],N12509,RawData[Month List],$Q$6,RawData[Tour/Site],$Q$2,RawData[[Picker ID ]],$Q$3,RawData[Checker ID],$Q$4,RawData[[Error Type ]],$Q$5))</f>
        <v/>
      </c>
    </row>
    <row r="12510" spans="15:15" x14ac:dyDescent="0.25">
      <c r="O12510" s="20" t="str">
        <f>IF(N12510="","",COUNTIFS(RawData[[Date ]],N12510,RawData[Month List],$Q$6,RawData[Tour/Site],$Q$2,RawData[[Picker ID ]],$Q$3,RawData[Checker ID],$Q$4,RawData[[Error Type ]],$Q$5))</f>
        <v/>
      </c>
    </row>
    <row r="12511" spans="15:15" x14ac:dyDescent="0.25">
      <c r="O12511" s="20" t="str">
        <f>IF(N12511="","",COUNTIFS(RawData[[Date ]],N12511,RawData[Month List],$Q$6,RawData[Tour/Site],$Q$2,RawData[[Picker ID ]],$Q$3,RawData[Checker ID],$Q$4,RawData[[Error Type ]],$Q$5))</f>
        <v/>
      </c>
    </row>
    <row r="12512" spans="15:15" x14ac:dyDescent="0.25">
      <c r="O12512" s="20" t="str">
        <f>IF(N12512="","",COUNTIFS(RawData[[Date ]],N12512,RawData[Month List],$Q$6,RawData[Tour/Site],$Q$2,RawData[[Picker ID ]],$Q$3,RawData[Checker ID],$Q$4,RawData[[Error Type ]],$Q$5))</f>
        <v/>
      </c>
    </row>
    <row r="12513" spans="15:15" x14ac:dyDescent="0.25">
      <c r="O12513" s="20" t="str">
        <f>IF(N12513="","",COUNTIFS(RawData[[Date ]],N12513,RawData[Month List],$Q$6,RawData[Tour/Site],$Q$2,RawData[[Picker ID ]],$Q$3,RawData[Checker ID],$Q$4,RawData[[Error Type ]],$Q$5))</f>
        <v/>
      </c>
    </row>
    <row r="12514" spans="15:15" x14ac:dyDescent="0.25">
      <c r="O12514" s="20" t="str">
        <f>IF(N12514="","",COUNTIFS(RawData[[Date ]],N12514,RawData[Month List],$Q$6,RawData[Tour/Site],$Q$2,RawData[[Picker ID ]],$Q$3,RawData[Checker ID],$Q$4,RawData[[Error Type ]],$Q$5))</f>
        <v/>
      </c>
    </row>
    <row r="12515" spans="15:15" x14ac:dyDescent="0.25">
      <c r="O12515" s="20" t="str">
        <f>IF(N12515="","",COUNTIFS(RawData[[Date ]],N12515,RawData[Month List],$Q$6,RawData[Tour/Site],$Q$2,RawData[[Picker ID ]],$Q$3,RawData[Checker ID],$Q$4,RawData[[Error Type ]],$Q$5))</f>
        <v/>
      </c>
    </row>
    <row r="12516" spans="15:15" x14ac:dyDescent="0.25">
      <c r="O12516" s="20" t="str">
        <f>IF(N12516="","",COUNTIFS(RawData[[Date ]],N12516,RawData[Month List],$Q$6,RawData[Tour/Site],$Q$2,RawData[[Picker ID ]],$Q$3,RawData[Checker ID],$Q$4,RawData[[Error Type ]],$Q$5))</f>
        <v/>
      </c>
    </row>
    <row r="12517" spans="15:15" x14ac:dyDescent="0.25">
      <c r="O12517" s="20" t="str">
        <f>IF(N12517="","",COUNTIFS(RawData[[Date ]],N12517,RawData[Month List],$Q$6,RawData[Tour/Site],$Q$2,RawData[[Picker ID ]],$Q$3,RawData[Checker ID],$Q$4,RawData[[Error Type ]],$Q$5))</f>
        <v/>
      </c>
    </row>
    <row r="12518" spans="15:15" x14ac:dyDescent="0.25">
      <c r="O12518" s="20" t="str">
        <f>IF(N12518="","",COUNTIFS(RawData[[Date ]],N12518,RawData[Month List],$Q$6,RawData[Tour/Site],$Q$2,RawData[[Picker ID ]],$Q$3,RawData[Checker ID],$Q$4,RawData[[Error Type ]],$Q$5))</f>
        <v/>
      </c>
    </row>
    <row r="12519" spans="15:15" x14ac:dyDescent="0.25">
      <c r="O12519" s="20" t="str">
        <f>IF(N12519="","",COUNTIFS(RawData[[Date ]],N12519,RawData[Month List],$Q$6,RawData[Tour/Site],$Q$2,RawData[[Picker ID ]],$Q$3,RawData[Checker ID],$Q$4,RawData[[Error Type ]],$Q$5))</f>
        <v/>
      </c>
    </row>
    <row r="12520" spans="15:15" x14ac:dyDescent="0.25">
      <c r="O12520" s="20" t="str">
        <f>IF(N12520="","",COUNTIFS(RawData[[Date ]],N12520,RawData[Month List],$Q$6,RawData[Tour/Site],$Q$2,RawData[[Picker ID ]],$Q$3,RawData[Checker ID],$Q$4,RawData[[Error Type ]],$Q$5))</f>
        <v/>
      </c>
    </row>
    <row r="12521" spans="15:15" x14ac:dyDescent="0.25">
      <c r="O12521" s="20" t="str">
        <f>IF(N12521="","",COUNTIFS(RawData[[Date ]],N12521,RawData[Month List],$Q$6,RawData[Tour/Site],$Q$2,RawData[[Picker ID ]],$Q$3,RawData[Checker ID],$Q$4,RawData[[Error Type ]],$Q$5))</f>
        <v/>
      </c>
    </row>
    <row r="12522" spans="15:15" x14ac:dyDescent="0.25">
      <c r="O12522" s="20" t="str">
        <f>IF(N12522="","",COUNTIFS(RawData[[Date ]],N12522,RawData[Month List],$Q$6,RawData[Tour/Site],$Q$2,RawData[[Picker ID ]],$Q$3,RawData[Checker ID],$Q$4,RawData[[Error Type ]],$Q$5))</f>
        <v/>
      </c>
    </row>
    <row r="12523" spans="15:15" x14ac:dyDescent="0.25">
      <c r="O12523" s="20" t="str">
        <f>IF(N12523="","",COUNTIFS(RawData[[Date ]],N12523,RawData[Month List],$Q$6,RawData[Tour/Site],$Q$2,RawData[[Picker ID ]],$Q$3,RawData[Checker ID],$Q$4,RawData[[Error Type ]],$Q$5))</f>
        <v/>
      </c>
    </row>
    <row r="12524" spans="15:15" x14ac:dyDescent="0.25">
      <c r="O12524" s="20" t="str">
        <f>IF(N12524="","",COUNTIFS(RawData[[Date ]],N12524,RawData[Month List],$Q$6,RawData[Tour/Site],$Q$2,RawData[[Picker ID ]],$Q$3,RawData[Checker ID],$Q$4,RawData[[Error Type ]],$Q$5))</f>
        <v/>
      </c>
    </row>
    <row r="12525" spans="15:15" x14ac:dyDescent="0.25">
      <c r="O12525" s="20" t="str">
        <f>IF(N12525="","",COUNTIFS(RawData[[Date ]],N12525,RawData[Month List],$Q$6,RawData[Tour/Site],$Q$2,RawData[[Picker ID ]],$Q$3,RawData[Checker ID],$Q$4,RawData[[Error Type ]],$Q$5))</f>
        <v/>
      </c>
    </row>
    <row r="12526" spans="15:15" x14ac:dyDescent="0.25">
      <c r="O12526" s="20" t="str">
        <f>IF(N12526="","",COUNTIFS(RawData[[Date ]],N12526,RawData[Month List],$Q$6,RawData[Tour/Site],$Q$2,RawData[[Picker ID ]],$Q$3,RawData[Checker ID],$Q$4,RawData[[Error Type ]],$Q$5))</f>
        <v/>
      </c>
    </row>
    <row r="12527" spans="15:15" x14ac:dyDescent="0.25">
      <c r="O12527" s="20" t="str">
        <f>IF(N12527="","",COUNTIFS(RawData[[Date ]],N12527,RawData[Month List],$Q$6,RawData[Tour/Site],$Q$2,RawData[[Picker ID ]],$Q$3,RawData[Checker ID],$Q$4,RawData[[Error Type ]],$Q$5))</f>
        <v/>
      </c>
    </row>
    <row r="12528" spans="15:15" x14ac:dyDescent="0.25">
      <c r="O12528" s="20" t="str">
        <f>IF(N12528="","",COUNTIFS(RawData[[Date ]],N12528,RawData[Month List],$Q$6,RawData[Tour/Site],$Q$2,RawData[[Picker ID ]],$Q$3,RawData[Checker ID],$Q$4,RawData[[Error Type ]],$Q$5))</f>
        <v/>
      </c>
    </row>
    <row r="12529" spans="15:15" x14ac:dyDescent="0.25">
      <c r="O12529" s="20" t="str">
        <f>IF(N12529="","",COUNTIFS(RawData[[Date ]],N12529,RawData[Month List],$Q$6,RawData[Tour/Site],$Q$2,RawData[[Picker ID ]],$Q$3,RawData[Checker ID],$Q$4,RawData[[Error Type ]],$Q$5))</f>
        <v/>
      </c>
    </row>
    <row r="12530" spans="15:15" x14ac:dyDescent="0.25">
      <c r="O12530" s="20" t="str">
        <f>IF(N12530="","",COUNTIFS(RawData[[Date ]],N12530,RawData[Month List],$Q$6,RawData[Tour/Site],$Q$2,RawData[[Picker ID ]],$Q$3,RawData[Checker ID],$Q$4,RawData[[Error Type ]],$Q$5))</f>
        <v/>
      </c>
    </row>
    <row r="12531" spans="15:15" x14ac:dyDescent="0.25">
      <c r="O12531" s="20" t="str">
        <f>IF(N12531="","",COUNTIFS(RawData[[Date ]],N12531,RawData[Month List],$Q$6,RawData[Tour/Site],$Q$2,RawData[[Picker ID ]],$Q$3,RawData[Checker ID],$Q$4,RawData[[Error Type ]],$Q$5))</f>
        <v/>
      </c>
    </row>
    <row r="12532" spans="15:15" x14ac:dyDescent="0.25">
      <c r="O12532" s="20" t="str">
        <f>IF(N12532="","",COUNTIFS(RawData[[Date ]],N12532,RawData[Month List],$Q$6,RawData[Tour/Site],$Q$2,RawData[[Picker ID ]],$Q$3,RawData[Checker ID],$Q$4,RawData[[Error Type ]],$Q$5))</f>
        <v/>
      </c>
    </row>
    <row r="12533" spans="15:15" x14ac:dyDescent="0.25">
      <c r="O12533" s="20" t="str">
        <f>IF(N12533="","",COUNTIFS(RawData[[Date ]],N12533,RawData[Month List],$Q$6,RawData[Tour/Site],$Q$2,RawData[[Picker ID ]],$Q$3,RawData[Checker ID],$Q$4,RawData[[Error Type ]],$Q$5))</f>
        <v/>
      </c>
    </row>
    <row r="12534" spans="15:15" x14ac:dyDescent="0.25">
      <c r="O12534" s="20" t="str">
        <f>IF(N12534="","",COUNTIFS(RawData[[Date ]],N12534,RawData[Month List],$Q$6,RawData[Tour/Site],$Q$2,RawData[[Picker ID ]],$Q$3,RawData[Checker ID],$Q$4,RawData[[Error Type ]],$Q$5))</f>
        <v/>
      </c>
    </row>
    <row r="12535" spans="15:15" x14ac:dyDescent="0.25">
      <c r="O12535" s="20" t="str">
        <f>IF(N12535="","",COUNTIFS(RawData[[Date ]],N12535,RawData[Month List],$Q$6,RawData[Tour/Site],$Q$2,RawData[[Picker ID ]],$Q$3,RawData[Checker ID],$Q$4,RawData[[Error Type ]],$Q$5))</f>
        <v/>
      </c>
    </row>
    <row r="12536" spans="15:15" x14ac:dyDescent="0.25">
      <c r="O12536" s="20" t="str">
        <f>IF(N12536="","",COUNTIFS(RawData[[Date ]],N12536,RawData[Month List],$Q$6,RawData[Tour/Site],$Q$2,RawData[[Picker ID ]],$Q$3,RawData[Checker ID],$Q$4,RawData[[Error Type ]],$Q$5))</f>
        <v/>
      </c>
    </row>
    <row r="12537" spans="15:15" x14ac:dyDescent="0.25">
      <c r="O12537" s="20" t="str">
        <f>IF(N12537="","",COUNTIFS(RawData[[Date ]],N12537,RawData[Month List],$Q$6,RawData[Tour/Site],$Q$2,RawData[[Picker ID ]],$Q$3,RawData[Checker ID],$Q$4,RawData[[Error Type ]],$Q$5))</f>
        <v/>
      </c>
    </row>
    <row r="12538" spans="15:15" x14ac:dyDescent="0.25">
      <c r="O12538" s="20" t="str">
        <f>IF(N12538="","",COUNTIFS(RawData[[Date ]],N12538,RawData[Month List],$Q$6,RawData[Tour/Site],$Q$2,RawData[[Picker ID ]],$Q$3,RawData[Checker ID],$Q$4,RawData[[Error Type ]],$Q$5))</f>
        <v/>
      </c>
    </row>
    <row r="12539" spans="15:15" x14ac:dyDescent="0.25">
      <c r="O12539" s="20" t="str">
        <f>IF(N12539="","",COUNTIFS(RawData[[Date ]],N12539,RawData[Month List],$Q$6,RawData[Tour/Site],$Q$2,RawData[[Picker ID ]],$Q$3,RawData[Checker ID],$Q$4,RawData[[Error Type ]],$Q$5))</f>
        <v/>
      </c>
    </row>
    <row r="12540" spans="15:15" x14ac:dyDescent="0.25">
      <c r="O12540" s="20" t="str">
        <f>IF(N12540="","",COUNTIFS(RawData[[Date ]],N12540,RawData[Month List],$Q$6,RawData[Tour/Site],$Q$2,RawData[[Picker ID ]],$Q$3,RawData[Checker ID],$Q$4,RawData[[Error Type ]],$Q$5))</f>
        <v/>
      </c>
    </row>
    <row r="12541" spans="15:15" x14ac:dyDescent="0.25">
      <c r="O12541" s="20" t="str">
        <f>IF(N12541="","",COUNTIFS(RawData[[Date ]],N12541,RawData[Month List],$Q$6,RawData[Tour/Site],$Q$2,RawData[[Picker ID ]],$Q$3,RawData[Checker ID],$Q$4,RawData[[Error Type ]],$Q$5))</f>
        <v/>
      </c>
    </row>
    <row r="12542" spans="15:15" x14ac:dyDescent="0.25">
      <c r="O12542" s="20" t="str">
        <f>IF(N12542="","",COUNTIFS(RawData[[Date ]],N12542,RawData[Month List],$Q$6,RawData[Tour/Site],$Q$2,RawData[[Picker ID ]],$Q$3,RawData[Checker ID],$Q$4,RawData[[Error Type ]],$Q$5))</f>
        <v/>
      </c>
    </row>
    <row r="12543" spans="15:15" x14ac:dyDescent="0.25">
      <c r="O12543" s="20" t="str">
        <f>IF(N12543="","",COUNTIFS(RawData[[Date ]],N12543,RawData[Month List],$Q$6,RawData[Tour/Site],$Q$2,RawData[[Picker ID ]],$Q$3,RawData[Checker ID],$Q$4,RawData[[Error Type ]],$Q$5))</f>
        <v/>
      </c>
    </row>
    <row r="12544" spans="15:15" x14ac:dyDescent="0.25">
      <c r="O12544" s="20" t="str">
        <f>IF(N12544="","",COUNTIFS(RawData[[Date ]],N12544,RawData[Month List],$Q$6,RawData[Tour/Site],$Q$2,RawData[[Picker ID ]],$Q$3,RawData[Checker ID],$Q$4,RawData[[Error Type ]],$Q$5))</f>
        <v/>
      </c>
    </row>
    <row r="12545" spans="15:15" x14ac:dyDescent="0.25">
      <c r="O12545" s="20" t="str">
        <f>IF(N12545="","",COUNTIFS(RawData[[Date ]],N12545,RawData[Month List],$Q$6,RawData[Tour/Site],$Q$2,RawData[[Picker ID ]],$Q$3,RawData[Checker ID],$Q$4,RawData[[Error Type ]],$Q$5))</f>
        <v/>
      </c>
    </row>
    <row r="12546" spans="15:15" x14ac:dyDescent="0.25">
      <c r="O12546" s="20" t="str">
        <f>IF(N12546="","",COUNTIFS(RawData[[Date ]],N12546,RawData[Month List],$Q$6,RawData[Tour/Site],$Q$2,RawData[[Picker ID ]],$Q$3,RawData[Checker ID],$Q$4,RawData[[Error Type ]],$Q$5))</f>
        <v/>
      </c>
    </row>
    <row r="12547" spans="15:15" x14ac:dyDescent="0.25">
      <c r="O12547" s="20" t="str">
        <f>IF(N12547="","",COUNTIFS(RawData[[Date ]],N12547,RawData[Month List],$Q$6,RawData[Tour/Site],$Q$2,RawData[[Picker ID ]],$Q$3,RawData[Checker ID],$Q$4,RawData[[Error Type ]],$Q$5))</f>
        <v/>
      </c>
    </row>
    <row r="12548" spans="15:15" x14ac:dyDescent="0.25">
      <c r="O12548" s="20" t="str">
        <f>IF(N12548="","",COUNTIFS(RawData[[Date ]],N12548,RawData[Month List],$Q$6,RawData[Tour/Site],$Q$2,RawData[[Picker ID ]],$Q$3,RawData[Checker ID],$Q$4,RawData[[Error Type ]],$Q$5))</f>
        <v/>
      </c>
    </row>
    <row r="12549" spans="15:15" x14ac:dyDescent="0.25">
      <c r="O12549" s="20" t="str">
        <f>IF(N12549="","",COUNTIFS(RawData[[Date ]],N12549,RawData[Month List],$Q$6,RawData[Tour/Site],$Q$2,RawData[[Picker ID ]],$Q$3,RawData[Checker ID],$Q$4,RawData[[Error Type ]],$Q$5))</f>
        <v/>
      </c>
    </row>
    <row r="12550" spans="15:15" x14ac:dyDescent="0.25">
      <c r="O12550" s="20" t="str">
        <f>IF(N12550="","",COUNTIFS(RawData[[Date ]],N12550,RawData[Month List],$Q$6,RawData[Tour/Site],$Q$2,RawData[[Picker ID ]],$Q$3,RawData[Checker ID],$Q$4,RawData[[Error Type ]],$Q$5))</f>
        <v/>
      </c>
    </row>
    <row r="12551" spans="15:15" x14ac:dyDescent="0.25">
      <c r="O12551" s="20" t="str">
        <f>IF(N12551="","",COUNTIFS(RawData[[Date ]],N12551,RawData[Month List],$Q$6,RawData[Tour/Site],$Q$2,RawData[[Picker ID ]],$Q$3,RawData[Checker ID],$Q$4,RawData[[Error Type ]],$Q$5))</f>
        <v/>
      </c>
    </row>
    <row r="12552" spans="15:15" x14ac:dyDescent="0.25">
      <c r="O12552" s="20" t="str">
        <f>IF(N12552="","",COUNTIFS(RawData[[Date ]],N12552,RawData[Month List],$Q$6,RawData[Tour/Site],$Q$2,RawData[[Picker ID ]],$Q$3,RawData[Checker ID],$Q$4,RawData[[Error Type ]],$Q$5))</f>
        <v/>
      </c>
    </row>
    <row r="12553" spans="15:15" x14ac:dyDescent="0.25">
      <c r="O12553" s="20" t="str">
        <f>IF(N12553="","",COUNTIFS(RawData[[Date ]],N12553,RawData[Month List],$Q$6,RawData[Tour/Site],$Q$2,RawData[[Picker ID ]],$Q$3,RawData[Checker ID],$Q$4,RawData[[Error Type ]],$Q$5))</f>
        <v/>
      </c>
    </row>
    <row r="12554" spans="15:15" x14ac:dyDescent="0.25">
      <c r="O12554" s="20" t="str">
        <f>IF(N12554="","",COUNTIFS(RawData[[Date ]],N12554,RawData[Month List],$Q$6,RawData[Tour/Site],$Q$2,RawData[[Picker ID ]],$Q$3,RawData[Checker ID],$Q$4,RawData[[Error Type ]],$Q$5))</f>
        <v/>
      </c>
    </row>
    <row r="12555" spans="15:15" x14ac:dyDescent="0.25">
      <c r="O12555" s="20" t="str">
        <f>IF(N12555="","",COUNTIFS(RawData[[Date ]],N12555,RawData[Month List],$Q$6,RawData[Tour/Site],$Q$2,RawData[[Picker ID ]],$Q$3,RawData[Checker ID],$Q$4,RawData[[Error Type ]],$Q$5))</f>
        <v/>
      </c>
    </row>
    <row r="12556" spans="15:15" x14ac:dyDescent="0.25">
      <c r="O12556" s="20" t="str">
        <f>IF(N12556="","",COUNTIFS(RawData[[Date ]],N12556,RawData[Month List],$Q$6,RawData[Tour/Site],$Q$2,RawData[[Picker ID ]],$Q$3,RawData[Checker ID],$Q$4,RawData[[Error Type ]],$Q$5))</f>
        <v/>
      </c>
    </row>
    <row r="12557" spans="15:15" x14ac:dyDescent="0.25">
      <c r="O12557" s="20" t="str">
        <f>IF(N12557="","",COUNTIFS(RawData[[Date ]],N12557,RawData[Month List],$Q$6,RawData[Tour/Site],$Q$2,RawData[[Picker ID ]],$Q$3,RawData[Checker ID],$Q$4,RawData[[Error Type ]],$Q$5))</f>
        <v/>
      </c>
    </row>
    <row r="12558" spans="15:15" x14ac:dyDescent="0.25">
      <c r="O12558" s="20" t="str">
        <f>IF(N12558="","",COUNTIFS(RawData[[Date ]],N12558,RawData[Month List],$Q$6,RawData[Tour/Site],$Q$2,RawData[[Picker ID ]],$Q$3,RawData[Checker ID],$Q$4,RawData[[Error Type ]],$Q$5))</f>
        <v/>
      </c>
    </row>
    <row r="12559" spans="15:15" x14ac:dyDescent="0.25">
      <c r="O12559" s="20" t="str">
        <f>IF(N12559="","",COUNTIFS(RawData[[Date ]],N12559,RawData[Month List],$Q$6,RawData[Tour/Site],$Q$2,RawData[[Picker ID ]],$Q$3,RawData[Checker ID],$Q$4,RawData[[Error Type ]],$Q$5))</f>
        <v/>
      </c>
    </row>
    <row r="12560" spans="15:15" x14ac:dyDescent="0.25">
      <c r="O12560" s="20" t="str">
        <f>IF(N12560="","",COUNTIFS(RawData[[Date ]],N12560,RawData[Month List],$Q$6,RawData[Tour/Site],$Q$2,RawData[[Picker ID ]],$Q$3,RawData[Checker ID],$Q$4,RawData[[Error Type ]],$Q$5))</f>
        <v/>
      </c>
    </row>
    <row r="12561" spans="15:15" x14ac:dyDescent="0.25">
      <c r="O12561" s="20" t="str">
        <f>IF(N12561="","",COUNTIFS(RawData[[Date ]],N12561,RawData[Month List],$Q$6,RawData[Tour/Site],$Q$2,RawData[[Picker ID ]],$Q$3,RawData[Checker ID],$Q$4,RawData[[Error Type ]],$Q$5))</f>
        <v/>
      </c>
    </row>
    <row r="12562" spans="15:15" x14ac:dyDescent="0.25">
      <c r="O12562" s="20" t="str">
        <f>IF(N12562="","",COUNTIFS(RawData[[Date ]],N12562,RawData[Month List],$Q$6,RawData[Tour/Site],$Q$2,RawData[[Picker ID ]],$Q$3,RawData[Checker ID],$Q$4,RawData[[Error Type ]],$Q$5))</f>
        <v/>
      </c>
    </row>
    <row r="12563" spans="15:15" x14ac:dyDescent="0.25">
      <c r="O12563" s="20" t="str">
        <f>IF(N12563="","",COUNTIFS(RawData[[Date ]],N12563,RawData[Month List],$Q$6,RawData[Tour/Site],$Q$2,RawData[[Picker ID ]],$Q$3,RawData[Checker ID],$Q$4,RawData[[Error Type ]],$Q$5))</f>
        <v/>
      </c>
    </row>
    <row r="12564" spans="15:15" x14ac:dyDescent="0.25">
      <c r="O12564" s="20" t="str">
        <f>IF(N12564="","",COUNTIFS(RawData[[Date ]],N12564,RawData[Month List],$Q$6,RawData[Tour/Site],$Q$2,RawData[[Picker ID ]],$Q$3,RawData[Checker ID],$Q$4,RawData[[Error Type ]],$Q$5))</f>
        <v/>
      </c>
    </row>
    <row r="12565" spans="15:15" x14ac:dyDescent="0.25">
      <c r="O12565" s="20" t="str">
        <f>IF(N12565="","",COUNTIFS(RawData[[Date ]],N12565,RawData[Month List],$Q$6,RawData[Tour/Site],$Q$2,RawData[[Picker ID ]],$Q$3,RawData[Checker ID],$Q$4,RawData[[Error Type ]],$Q$5))</f>
        <v/>
      </c>
    </row>
    <row r="12566" spans="15:15" x14ac:dyDescent="0.25">
      <c r="O12566" s="20" t="str">
        <f>IF(N12566="","",COUNTIFS(RawData[[Date ]],N12566,RawData[Month List],$Q$6,RawData[Tour/Site],$Q$2,RawData[[Picker ID ]],$Q$3,RawData[Checker ID],$Q$4,RawData[[Error Type ]],$Q$5))</f>
        <v/>
      </c>
    </row>
    <row r="12567" spans="15:15" x14ac:dyDescent="0.25">
      <c r="O12567" s="20" t="str">
        <f>IF(N12567="","",COUNTIFS(RawData[[Date ]],N12567,RawData[Month List],$Q$6,RawData[Tour/Site],$Q$2,RawData[[Picker ID ]],$Q$3,RawData[Checker ID],$Q$4,RawData[[Error Type ]],$Q$5))</f>
        <v/>
      </c>
    </row>
    <row r="12568" spans="15:15" x14ac:dyDescent="0.25">
      <c r="O12568" s="20" t="str">
        <f>IF(N12568="","",COUNTIFS(RawData[[Date ]],N12568,RawData[Month List],$Q$6,RawData[Tour/Site],$Q$2,RawData[[Picker ID ]],$Q$3,RawData[Checker ID],$Q$4,RawData[[Error Type ]],$Q$5))</f>
        <v/>
      </c>
    </row>
    <row r="12569" spans="15:15" x14ac:dyDescent="0.25">
      <c r="O12569" s="20" t="str">
        <f>IF(N12569="","",COUNTIFS(RawData[[Date ]],N12569,RawData[Month List],$Q$6,RawData[Tour/Site],$Q$2,RawData[[Picker ID ]],$Q$3,RawData[Checker ID],$Q$4,RawData[[Error Type ]],$Q$5))</f>
        <v/>
      </c>
    </row>
    <row r="12570" spans="15:15" x14ac:dyDescent="0.25">
      <c r="O12570" s="20" t="str">
        <f>IF(N12570="","",COUNTIFS(RawData[[Date ]],N12570,RawData[Month List],$Q$6,RawData[Tour/Site],$Q$2,RawData[[Picker ID ]],$Q$3,RawData[Checker ID],$Q$4,RawData[[Error Type ]],$Q$5))</f>
        <v/>
      </c>
    </row>
    <row r="12571" spans="15:15" x14ac:dyDescent="0.25">
      <c r="O12571" s="20" t="str">
        <f>IF(N12571="","",COUNTIFS(RawData[[Date ]],N12571,RawData[Month List],$Q$6,RawData[Tour/Site],$Q$2,RawData[[Picker ID ]],$Q$3,RawData[Checker ID],$Q$4,RawData[[Error Type ]],$Q$5))</f>
        <v/>
      </c>
    </row>
    <row r="12572" spans="15:15" x14ac:dyDescent="0.25">
      <c r="O12572" s="20" t="str">
        <f>IF(N12572="","",COUNTIFS(RawData[[Date ]],N12572,RawData[Month List],$Q$6,RawData[Tour/Site],$Q$2,RawData[[Picker ID ]],$Q$3,RawData[Checker ID],$Q$4,RawData[[Error Type ]],$Q$5))</f>
        <v/>
      </c>
    </row>
    <row r="12573" spans="15:15" x14ac:dyDescent="0.25">
      <c r="O12573" s="20" t="str">
        <f>IF(N12573="","",COUNTIFS(RawData[[Date ]],N12573,RawData[Month List],$Q$6,RawData[Tour/Site],$Q$2,RawData[[Picker ID ]],$Q$3,RawData[Checker ID],$Q$4,RawData[[Error Type ]],$Q$5))</f>
        <v/>
      </c>
    </row>
    <row r="12574" spans="15:15" x14ac:dyDescent="0.25">
      <c r="O12574" s="20" t="str">
        <f>IF(N12574="","",COUNTIFS(RawData[[Date ]],N12574,RawData[Month List],$Q$6,RawData[Tour/Site],$Q$2,RawData[[Picker ID ]],$Q$3,RawData[Checker ID],$Q$4,RawData[[Error Type ]],$Q$5))</f>
        <v/>
      </c>
    </row>
    <row r="12575" spans="15:15" x14ac:dyDescent="0.25">
      <c r="O12575" s="20" t="str">
        <f>IF(N12575="","",COUNTIFS(RawData[[Date ]],N12575,RawData[Month List],$Q$6,RawData[Tour/Site],$Q$2,RawData[[Picker ID ]],$Q$3,RawData[Checker ID],$Q$4,RawData[[Error Type ]],$Q$5))</f>
        <v/>
      </c>
    </row>
    <row r="12576" spans="15:15" x14ac:dyDescent="0.25">
      <c r="O12576" s="20" t="str">
        <f>IF(N12576="","",COUNTIFS(RawData[[Date ]],N12576,RawData[Month List],$Q$6,RawData[Tour/Site],$Q$2,RawData[[Picker ID ]],$Q$3,RawData[Checker ID],$Q$4,RawData[[Error Type ]],$Q$5))</f>
        <v/>
      </c>
    </row>
    <row r="12577" spans="15:15" x14ac:dyDescent="0.25">
      <c r="O12577" s="20" t="str">
        <f>IF(N12577="","",COUNTIFS(RawData[[Date ]],N12577,RawData[Month List],$Q$6,RawData[Tour/Site],$Q$2,RawData[[Picker ID ]],$Q$3,RawData[Checker ID],$Q$4,RawData[[Error Type ]],$Q$5))</f>
        <v/>
      </c>
    </row>
    <row r="12578" spans="15:15" x14ac:dyDescent="0.25">
      <c r="O12578" s="20" t="str">
        <f>IF(N12578="","",COUNTIFS(RawData[[Date ]],N12578,RawData[Month List],$Q$6,RawData[Tour/Site],$Q$2,RawData[[Picker ID ]],$Q$3,RawData[Checker ID],$Q$4,RawData[[Error Type ]],$Q$5))</f>
        <v/>
      </c>
    </row>
    <row r="12579" spans="15:15" x14ac:dyDescent="0.25">
      <c r="O12579" s="20" t="str">
        <f>IF(N12579="","",COUNTIFS(RawData[[Date ]],N12579,RawData[Month List],$Q$6,RawData[Tour/Site],$Q$2,RawData[[Picker ID ]],$Q$3,RawData[Checker ID],$Q$4,RawData[[Error Type ]],$Q$5))</f>
        <v/>
      </c>
    </row>
    <row r="12580" spans="15:15" x14ac:dyDescent="0.25">
      <c r="O12580" s="20" t="str">
        <f>IF(N12580="","",COUNTIFS(RawData[[Date ]],N12580,RawData[Month List],$Q$6,RawData[Tour/Site],$Q$2,RawData[[Picker ID ]],$Q$3,RawData[Checker ID],$Q$4,RawData[[Error Type ]],$Q$5))</f>
        <v/>
      </c>
    </row>
    <row r="12581" spans="15:15" x14ac:dyDescent="0.25">
      <c r="O12581" s="20" t="str">
        <f>IF(N12581="","",COUNTIFS(RawData[[Date ]],N12581,RawData[Month List],$Q$6,RawData[Tour/Site],$Q$2,RawData[[Picker ID ]],$Q$3,RawData[Checker ID],$Q$4,RawData[[Error Type ]],$Q$5))</f>
        <v/>
      </c>
    </row>
    <row r="12582" spans="15:15" x14ac:dyDescent="0.25">
      <c r="O12582" s="20" t="str">
        <f>IF(N12582="","",COUNTIFS(RawData[[Date ]],N12582,RawData[Month List],$Q$6,RawData[Tour/Site],$Q$2,RawData[[Picker ID ]],$Q$3,RawData[Checker ID],$Q$4,RawData[[Error Type ]],$Q$5))</f>
        <v/>
      </c>
    </row>
    <row r="12583" spans="15:15" x14ac:dyDescent="0.25">
      <c r="O12583" s="20" t="str">
        <f>IF(N12583="","",COUNTIFS(RawData[[Date ]],N12583,RawData[Month List],$Q$6,RawData[Tour/Site],$Q$2,RawData[[Picker ID ]],$Q$3,RawData[Checker ID],$Q$4,RawData[[Error Type ]],$Q$5))</f>
        <v/>
      </c>
    </row>
    <row r="12584" spans="15:15" x14ac:dyDescent="0.25">
      <c r="O12584" s="20" t="str">
        <f>IF(N12584="","",COUNTIFS(RawData[[Date ]],N12584,RawData[Month List],$Q$6,RawData[Tour/Site],$Q$2,RawData[[Picker ID ]],$Q$3,RawData[Checker ID],$Q$4,RawData[[Error Type ]],$Q$5))</f>
        <v/>
      </c>
    </row>
    <row r="12585" spans="15:15" x14ac:dyDescent="0.25">
      <c r="O12585" s="20" t="str">
        <f>IF(N12585="","",COUNTIFS(RawData[[Date ]],N12585,RawData[Month List],$Q$6,RawData[Tour/Site],$Q$2,RawData[[Picker ID ]],$Q$3,RawData[Checker ID],$Q$4,RawData[[Error Type ]],$Q$5))</f>
        <v/>
      </c>
    </row>
    <row r="12586" spans="15:15" x14ac:dyDescent="0.25">
      <c r="O12586" s="20" t="str">
        <f>IF(N12586="","",COUNTIFS(RawData[[Date ]],N12586,RawData[Month List],$Q$6,RawData[Tour/Site],$Q$2,RawData[[Picker ID ]],$Q$3,RawData[Checker ID],$Q$4,RawData[[Error Type ]],$Q$5))</f>
        <v/>
      </c>
    </row>
    <row r="12587" spans="15:15" x14ac:dyDescent="0.25">
      <c r="O12587" s="20" t="str">
        <f>IF(N12587="","",COUNTIFS(RawData[[Date ]],N12587,RawData[Month List],$Q$6,RawData[Tour/Site],$Q$2,RawData[[Picker ID ]],$Q$3,RawData[Checker ID],$Q$4,RawData[[Error Type ]],$Q$5))</f>
        <v/>
      </c>
    </row>
    <row r="12588" spans="15:15" x14ac:dyDescent="0.25">
      <c r="O12588" s="20" t="str">
        <f>IF(N12588="","",COUNTIFS(RawData[[Date ]],N12588,RawData[Month List],$Q$6,RawData[Tour/Site],$Q$2,RawData[[Picker ID ]],$Q$3,RawData[Checker ID],$Q$4,RawData[[Error Type ]],$Q$5))</f>
        <v/>
      </c>
    </row>
    <row r="12589" spans="15:15" x14ac:dyDescent="0.25">
      <c r="O12589" s="20" t="str">
        <f>IF(N12589="","",COUNTIFS(RawData[[Date ]],N12589,RawData[Month List],$Q$6,RawData[Tour/Site],$Q$2,RawData[[Picker ID ]],$Q$3,RawData[Checker ID],$Q$4,RawData[[Error Type ]],$Q$5))</f>
        <v/>
      </c>
    </row>
    <row r="12590" spans="15:15" x14ac:dyDescent="0.25">
      <c r="O12590" s="20" t="str">
        <f>IF(N12590="","",COUNTIFS(RawData[[Date ]],N12590,RawData[Month List],$Q$6,RawData[Tour/Site],$Q$2,RawData[[Picker ID ]],$Q$3,RawData[Checker ID],$Q$4,RawData[[Error Type ]],$Q$5))</f>
        <v/>
      </c>
    </row>
    <row r="12591" spans="15:15" x14ac:dyDescent="0.25">
      <c r="O12591" s="20" t="str">
        <f>IF(N12591="","",COUNTIFS(RawData[[Date ]],N12591,RawData[Month List],$Q$6,RawData[Tour/Site],$Q$2,RawData[[Picker ID ]],$Q$3,RawData[Checker ID],$Q$4,RawData[[Error Type ]],$Q$5))</f>
        <v/>
      </c>
    </row>
    <row r="12592" spans="15:15" x14ac:dyDescent="0.25">
      <c r="O12592" s="20" t="str">
        <f>IF(N12592="","",COUNTIFS(RawData[[Date ]],N12592,RawData[Month List],$Q$6,RawData[Tour/Site],$Q$2,RawData[[Picker ID ]],$Q$3,RawData[Checker ID],$Q$4,RawData[[Error Type ]],$Q$5))</f>
        <v/>
      </c>
    </row>
    <row r="12593" spans="15:15" x14ac:dyDescent="0.25">
      <c r="O12593" s="20" t="str">
        <f>IF(N12593="","",COUNTIFS(RawData[[Date ]],N12593,RawData[Month List],$Q$6,RawData[Tour/Site],$Q$2,RawData[[Picker ID ]],$Q$3,RawData[Checker ID],$Q$4,RawData[[Error Type ]],$Q$5))</f>
        <v/>
      </c>
    </row>
    <row r="12594" spans="15:15" x14ac:dyDescent="0.25">
      <c r="O12594" s="20" t="str">
        <f>IF(N12594="","",COUNTIFS(RawData[[Date ]],N12594,RawData[Month List],$Q$6,RawData[Tour/Site],$Q$2,RawData[[Picker ID ]],$Q$3,RawData[Checker ID],$Q$4,RawData[[Error Type ]],$Q$5))</f>
        <v/>
      </c>
    </row>
    <row r="12595" spans="15:15" x14ac:dyDescent="0.25">
      <c r="O12595" s="20" t="str">
        <f>IF(N12595="","",COUNTIFS(RawData[[Date ]],N12595,RawData[Month List],$Q$6,RawData[Tour/Site],$Q$2,RawData[[Picker ID ]],$Q$3,RawData[Checker ID],$Q$4,RawData[[Error Type ]],$Q$5))</f>
        <v/>
      </c>
    </row>
    <row r="12596" spans="15:15" x14ac:dyDescent="0.25">
      <c r="O12596" s="20" t="str">
        <f>IF(N12596="","",COUNTIFS(RawData[[Date ]],N12596,RawData[Month List],$Q$6,RawData[Tour/Site],$Q$2,RawData[[Picker ID ]],$Q$3,RawData[Checker ID],$Q$4,RawData[[Error Type ]],$Q$5))</f>
        <v/>
      </c>
    </row>
    <row r="12597" spans="15:15" x14ac:dyDescent="0.25">
      <c r="O12597" s="20" t="str">
        <f>IF(N12597="","",COUNTIFS(RawData[[Date ]],N12597,RawData[Month List],$Q$6,RawData[Tour/Site],$Q$2,RawData[[Picker ID ]],$Q$3,RawData[Checker ID],$Q$4,RawData[[Error Type ]],$Q$5))</f>
        <v/>
      </c>
    </row>
    <row r="12598" spans="15:15" x14ac:dyDescent="0.25">
      <c r="O12598" s="20" t="str">
        <f>IF(N12598="","",COUNTIFS(RawData[[Date ]],N12598,RawData[Month List],$Q$6,RawData[Tour/Site],$Q$2,RawData[[Picker ID ]],$Q$3,RawData[Checker ID],$Q$4,RawData[[Error Type ]],$Q$5))</f>
        <v/>
      </c>
    </row>
    <row r="12599" spans="15:15" x14ac:dyDescent="0.25">
      <c r="O12599" s="20" t="str">
        <f>IF(N12599="","",COUNTIFS(RawData[[Date ]],N12599,RawData[Month List],$Q$6,RawData[Tour/Site],$Q$2,RawData[[Picker ID ]],$Q$3,RawData[Checker ID],$Q$4,RawData[[Error Type ]],$Q$5))</f>
        <v/>
      </c>
    </row>
    <row r="12600" spans="15:15" x14ac:dyDescent="0.25">
      <c r="O12600" s="20" t="str">
        <f>IF(N12600="","",COUNTIFS(RawData[[Date ]],N12600,RawData[Month List],$Q$6,RawData[Tour/Site],$Q$2,RawData[[Picker ID ]],$Q$3,RawData[Checker ID],$Q$4,RawData[[Error Type ]],$Q$5))</f>
        <v/>
      </c>
    </row>
    <row r="12601" spans="15:15" x14ac:dyDescent="0.25">
      <c r="O12601" s="20" t="str">
        <f>IF(N12601="","",COUNTIFS(RawData[[Date ]],N12601,RawData[Month List],$Q$6,RawData[Tour/Site],$Q$2,RawData[[Picker ID ]],$Q$3,RawData[Checker ID],$Q$4,RawData[[Error Type ]],$Q$5))</f>
        <v/>
      </c>
    </row>
    <row r="12602" spans="15:15" x14ac:dyDescent="0.25">
      <c r="O12602" s="20" t="str">
        <f>IF(N12602="","",COUNTIFS(RawData[[Date ]],N12602,RawData[Month List],$Q$6,RawData[Tour/Site],$Q$2,RawData[[Picker ID ]],$Q$3,RawData[Checker ID],$Q$4,RawData[[Error Type ]],$Q$5))</f>
        <v/>
      </c>
    </row>
    <row r="12603" spans="15:15" x14ac:dyDescent="0.25">
      <c r="O12603" s="20" t="str">
        <f>IF(N12603="","",COUNTIFS(RawData[[Date ]],N12603,RawData[Month List],$Q$6,RawData[Tour/Site],$Q$2,RawData[[Picker ID ]],$Q$3,RawData[Checker ID],$Q$4,RawData[[Error Type ]],$Q$5))</f>
        <v/>
      </c>
    </row>
    <row r="12604" spans="15:15" x14ac:dyDescent="0.25">
      <c r="O12604" s="20" t="str">
        <f>IF(N12604="","",COUNTIFS(RawData[[Date ]],N12604,RawData[Month List],$Q$6,RawData[Tour/Site],$Q$2,RawData[[Picker ID ]],$Q$3,RawData[Checker ID],$Q$4,RawData[[Error Type ]],$Q$5))</f>
        <v/>
      </c>
    </row>
    <row r="12605" spans="15:15" x14ac:dyDescent="0.25">
      <c r="O12605" s="20" t="str">
        <f>IF(N12605="","",COUNTIFS(RawData[[Date ]],N12605,RawData[Month List],$Q$6,RawData[Tour/Site],$Q$2,RawData[[Picker ID ]],$Q$3,RawData[Checker ID],$Q$4,RawData[[Error Type ]],$Q$5))</f>
        <v/>
      </c>
    </row>
    <row r="12606" spans="15:15" x14ac:dyDescent="0.25">
      <c r="O12606" s="20" t="str">
        <f>IF(N12606="","",COUNTIFS(RawData[[Date ]],N12606,RawData[Month List],$Q$6,RawData[Tour/Site],$Q$2,RawData[[Picker ID ]],$Q$3,RawData[Checker ID],$Q$4,RawData[[Error Type ]],$Q$5))</f>
        <v/>
      </c>
    </row>
    <row r="12607" spans="15:15" x14ac:dyDescent="0.25">
      <c r="O12607" s="20" t="str">
        <f>IF(N12607="","",COUNTIFS(RawData[[Date ]],N12607,RawData[Month List],$Q$6,RawData[Tour/Site],$Q$2,RawData[[Picker ID ]],$Q$3,RawData[Checker ID],$Q$4,RawData[[Error Type ]],$Q$5))</f>
        <v/>
      </c>
    </row>
    <row r="12608" spans="15:15" x14ac:dyDescent="0.25">
      <c r="O12608" s="20" t="str">
        <f>IF(N12608="","",COUNTIFS(RawData[[Date ]],N12608,RawData[Month List],$Q$6,RawData[Tour/Site],$Q$2,RawData[[Picker ID ]],$Q$3,RawData[Checker ID],$Q$4,RawData[[Error Type ]],$Q$5))</f>
        <v/>
      </c>
    </row>
    <row r="12609" spans="15:15" x14ac:dyDescent="0.25">
      <c r="O12609" s="20" t="str">
        <f>IF(N12609="","",COUNTIFS(RawData[[Date ]],N12609,RawData[Month List],$Q$6,RawData[Tour/Site],$Q$2,RawData[[Picker ID ]],$Q$3,RawData[Checker ID],$Q$4,RawData[[Error Type ]],$Q$5))</f>
        <v/>
      </c>
    </row>
    <row r="12610" spans="15:15" x14ac:dyDescent="0.25">
      <c r="O12610" s="20" t="str">
        <f>IF(N12610="","",COUNTIFS(RawData[[Date ]],N12610,RawData[Month List],$Q$6,RawData[Tour/Site],$Q$2,RawData[[Picker ID ]],$Q$3,RawData[Checker ID],$Q$4,RawData[[Error Type ]],$Q$5))</f>
        <v/>
      </c>
    </row>
    <row r="12611" spans="15:15" x14ac:dyDescent="0.25">
      <c r="O12611" s="20" t="str">
        <f>IF(N12611="","",COUNTIFS(RawData[[Date ]],N12611,RawData[Month List],$Q$6,RawData[Tour/Site],$Q$2,RawData[[Picker ID ]],$Q$3,RawData[Checker ID],$Q$4,RawData[[Error Type ]],$Q$5))</f>
        <v/>
      </c>
    </row>
    <row r="12612" spans="15:15" x14ac:dyDescent="0.25">
      <c r="O12612" s="20" t="str">
        <f>IF(N12612="","",COUNTIFS(RawData[[Date ]],N12612,RawData[Month List],$Q$6,RawData[Tour/Site],$Q$2,RawData[[Picker ID ]],$Q$3,RawData[Checker ID],$Q$4,RawData[[Error Type ]],$Q$5))</f>
        <v/>
      </c>
    </row>
    <row r="12613" spans="15:15" x14ac:dyDescent="0.25">
      <c r="O12613" s="20" t="str">
        <f>IF(N12613="","",COUNTIFS(RawData[[Date ]],N12613,RawData[Month List],$Q$6,RawData[Tour/Site],$Q$2,RawData[[Picker ID ]],$Q$3,RawData[Checker ID],$Q$4,RawData[[Error Type ]],$Q$5))</f>
        <v/>
      </c>
    </row>
    <row r="12614" spans="15:15" x14ac:dyDescent="0.25">
      <c r="O12614" s="20" t="str">
        <f>IF(N12614="","",COUNTIFS(RawData[[Date ]],N12614,RawData[Month List],$Q$6,RawData[Tour/Site],$Q$2,RawData[[Picker ID ]],$Q$3,RawData[Checker ID],$Q$4,RawData[[Error Type ]],$Q$5))</f>
        <v/>
      </c>
    </row>
    <row r="12615" spans="15:15" x14ac:dyDescent="0.25">
      <c r="O12615" s="20" t="str">
        <f>IF(N12615="","",COUNTIFS(RawData[[Date ]],N12615,RawData[Month List],$Q$6,RawData[Tour/Site],$Q$2,RawData[[Picker ID ]],$Q$3,RawData[Checker ID],$Q$4,RawData[[Error Type ]],$Q$5))</f>
        <v/>
      </c>
    </row>
    <row r="12616" spans="15:15" x14ac:dyDescent="0.25">
      <c r="O12616" s="20" t="str">
        <f>IF(N12616="","",COUNTIFS(RawData[[Date ]],N12616,RawData[Month List],$Q$6,RawData[Tour/Site],$Q$2,RawData[[Picker ID ]],$Q$3,RawData[Checker ID],$Q$4,RawData[[Error Type ]],$Q$5))</f>
        <v/>
      </c>
    </row>
    <row r="12617" spans="15:15" x14ac:dyDescent="0.25">
      <c r="O12617" s="20" t="str">
        <f>IF(N12617="","",COUNTIFS(RawData[[Date ]],N12617,RawData[Month List],$Q$6,RawData[Tour/Site],$Q$2,RawData[[Picker ID ]],$Q$3,RawData[Checker ID],$Q$4,RawData[[Error Type ]],$Q$5))</f>
        <v/>
      </c>
    </row>
    <row r="12618" spans="15:15" x14ac:dyDescent="0.25">
      <c r="O12618" s="20" t="str">
        <f>IF(N12618="","",COUNTIFS(RawData[[Date ]],N12618,RawData[Month List],$Q$6,RawData[Tour/Site],$Q$2,RawData[[Picker ID ]],$Q$3,RawData[Checker ID],$Q$4,RawData[[Error Type ]],$Q$5))</f>
        <v/>
      </c>
    </row>
    <row r="12619" spans="15:15" x14ac:dyDescent="0.25">
      <c r="O12619" s="20" t="str">
        <f>IF(N12619="","",COUNTIFS(RawData[[Date ]],N12619,RawData[Month List],$Q$6,RawData[Tour/Site],$Q$2,RawData[[Picker ID ]],$Q$3,RawData[Checker ID],$Q$4,RawData[[Error Type ]],$Q$5))</f>
        <v/>
      </c>
    </row>
    <row r="12620" spans="15:15" x14ac:dyDescent="0.25">
      <c r="O12620" s="20" t="str">
        <f>IF(N12620="","",COUNTIFS(RawData[[Date ]],N12620,RawData[Month List],$Q$6,RawData[Tour/Site],$Q$2,RawData[[Picker ID ]],$Q$3,RawData[Checker ID],$Q$4,RawData[[Error Type ]],$Q$5))</f>
        <v/>
      </c>
    </row>
    <row r="12621" spans="15:15" x14ac:dyDescent="0.25">
      <c r="O12621" s="20" t="str">
        <f>IF(N12621="","",COUNTIFS(RawData[[Date ]],N12621,RawData[Month List],$Q$6,RawData[Tour/Site],$Q$2,RawData[[Picker ID ]],$Q$3,RawData[Checker ID],$Q$4,RawData[[Error Type ]],$Q$5))</f>
        <v/>
      </c>
    </row>
    <row r="12622" spans="15:15" x14ac:dyDescent="0.25">
      <c r="O12622" s="20" t="str">
        <f>IF(N12622="","",COUNTIFS(RawData[[Date ]],N12622,RawData[Month List],$Q$6,RawData[Tour/Site],$Q$2,RawData[[Picker ID ]],$Q$3,RawData[Checker ID],$Q$4,RawData[[Error Type ]],$Q$5))</f>
        <v/>
      </c>
    </row>
    <row r="12623" spans="15:15" x14ac:dyDescent="0.25">
      <c r="O12623" s="20" t="str">
        <f>IF(N12623="","",COUNTIFS(RawData[[Date ]],N12623,RawData[Month List],$Q$6,RawData[Tour/Site],$Q$2,RawData[[Picker ID ]],$Q$3,RawData[Checker ID],$Q$4,RawData[[Error Type ]],$Q$5))</f>
        <v/>
      </c>
    </row>
    <row r="12624" spans="15:15" x14ac:dyDescent="0.25">
      <c r="O12624" s="20" t="str">
        <f>IF(N12624="","",COUNTIFS(RawData[[Date ]],N12624,RawData[Month List],$Q$6,RawData[Tour/Site],$Q$2,RawData[[Picker ID ]],$Q$3,RawData[Checker ID],$Q$4,RawData[[Error Type ]],$Q$5))</f>
        <v/>
      </c>
    </row>
    <row r="12625" spans="15:15" x14ac:dyDescent="0.25">
      <c r="O12625" s="20" t="str">
        <f>IF(N12625="","",COUNTIFS(RawData[[Date ]],N12625,RawData[Month List],$Q$6,RawData[Tour/Site],$Q$2,RawData[[Picker ID ]],$Q$3,RawData[Checker ID],$Q$4,RawData[[Error Type ]],$Q$5))</f>
        <v/>
      </c>
    </row>
    <row r="12626" spans="15:15" x14ac:dyDescent="0.25">
      <c r="O12626" s="20" t="str">
        <f>IF(N12626="","",COUNTIFS(RawData[[Date ]],N12626,RawData[Month List],$Q$6,RawData[Tour/Site],$Q$2,RawData[[Picker ID ]],$Q$3,RawData[Checker ID],$Q$4,RawData[[Error Type ]],$Q$5))</f>
        <v/>
      </c>
    </row>
    <row r="12627" spans="15:15" x14ac:dyDescent="0.25">
      <c r="O12627" s="20" t="str">
        <f>IF(N12627="","",COUNTIFS(RawData[[Date ]],N12627,RawData[Month List],$Q$6,RawData[Tour/Site],$Q$2,RawData[[Picker ID ]],$Q$3,RawData[Checker ID],$Q$4,RawData[[Error Type ]],$Q$5))</f>
        <v/>
      </c>
    </row>
    <row r="12628" spans="15:15" x14ac:dyDescent="0.25">
      <c r="O12628" s="20" t="str">
        <f>IF(N12628="","",COUNTIFS(RawData[[Date ]],N12628,RawData[Month List],$Q$6,RawData[Tour/Site],$Q$2,RawData[[Picker ID ]],$Q$3,RawData[Checker ID],$Q$4,RawData[[Error Type ]],$Q$5))</f>
        <v/>
      </c>
    </row>
    <row r="12629" spans="15:15" x14ac:dyDescent="0.25">
      <c r="O12629" s="20" t="str">
        <f>IF(N12629="","",COUNTIFS(RawData[[Date ]],N12629,RawData[Month List],$Q$6,RawData[Tour/Site],$Q$2,RawData[[Picker ID ]],$Q$3,RawData[Checker ID],$Q$4,RawData[[Error Type ]],$Q$5))</f>
        <v/>
      </c>
    </row>
    <row r="12630" spans="15:15" x14ac:dyDescent="0.25">
      <c r="O12630" s="20" t="str">
        <f>IF(N12630="","",COUNTIFS(RawData[[Date ]],N12630,RawData[Month List],$Q$6,RawData[Tour/Site],$Q$2,RawData[[Picker ID ]],$Q$3,RawData[Checker ID],$Q$4,RawData[[Error Type ]],$Q$5))</f>
        <v/>
      </c>
    </row>
    <row r="12631" spans="15:15" x14ac:dyDescent="0.25">
      <c r="O12631" s="20" t="str">
        <f>IF(N12631="","",COUNTIFS(RawData[[Date ]],N12631,RawData[Month List],$Q$6,RawData[Tour/Site],$Q$2,RawData[[Picker ID ]],$Q$3,RawData[Checker ID],$Q$4,RawData[[Error Type ]],$Q$5))</f>
        <v/>
      </c>
    </row>
    <row r="12632" spans="15:15" x14ac:dyDescent="0.25">
      <c r="O12632" s="20" t="str">
        <f>IF(N12632="","",COUNTIFS(RawData[[Date ]],N12632,RawData[Month List],$Q$6,RawData[Tour/Site],$Q$2,RawData[[Picker ID ]],$Q$3,RawData[Checker ID],$Q$4,RawData[[Error Type ]],$Q$5))</f>
        <v/>
      </c>
    </row>
    <row r="12633" spans="15:15" x14ac:dyDescent="0.25">
      <c r="O12633" s="20" t="str">
        <f>IF(N12633="","",COUNTIFS(RawData[[Date ]],N12633,RawData[Month List],$Q$6,RawData[Tour/Site],$Q$2,RawData[[Picker ID ]],$Q$3,RawData[Checker ID],$Q$4,RawData[[Error Type ]],$Q$5))</f>
        <v/>
      </c>
    </row>
    <row r="12634" spans="15:15" x14ac:dyDescent="0.25">
      <c r="O12634" s="20" t="str">
        <f>IF(N12634="","",COUNTIFS(RawData[[Date ]],N12634,RawData[Month List],$Q$6,RawData[Tour/Site],$Q$2,RawData[[Picker ID ]],$Q$3,RawData[Checker ID],$Q$4,RawData[[Error Type ]],$Q$5))</f>
        <v/>
      </c>
    </row>
    <row r="12635" spans="15:15" x14ac:dyDescent="0.25">
      <c r="O12635" s="20" t="str">
        <f>IF(N12635="","",COUNTIFS(RawData[[Date ]],N12635,RawData[Month List],$Q$6,RawData[Tour/Site],$Q$2,RawData[[Picker ID ]],$Q$3,RawData[Checker ID],$Q$4,RawData[[Error Type ]],$Q$5))</f>
        <v/>
      </c>
    </row>
    <row r="12636" spans="15:15" x14ac:dyDescent="0.25">
      <c r="O12636" s="20" t="str">
        <f>IF(N12636="","",COUNTIFS(RawData[[Date ]],N12636,RawData[Month List],$Q$6,RawData[Tour/Site],$Q$2,RawData[[Picker ID ]],$Q$3,RawData[Checker ID],$Q$4,RawData[[Error Type ]],$Q$5))</f>
        <v/>
      </c>
    </row>
    <row r="12637" spans="15:15" x14ac:dyDescent="0.25">
      <c r="O12637" s="20" t="str">
        <f>IF(N12637="","",COUNTIFS(RawData[[Date ]],N12637,RawData[Month List],$Q$6,RawData[Tour/Site],$Q$2,RawData[[Picker ID ]],$Q$3,RawData[Checker ID],$Q$4,RawData[[Error Type ]],$Q$5))</f>
        <v/>
      </c>
    </row>
    <row r="12638" spans="15:15" x14ac:dyDescent="0.25">
      <c r="O12638" s="20" t="str">
        <f>IF(N12638="","",COUNTIFS(RawData[[Date ]],N12638,RawData[Month List],$Q$6,RawData[Tour/Site],$Q$2,RawData[[Picker ID ]],$Q$3,RawData[Checker ID],$Q$4,RawData[[Error Type ]],$Q$5))</f>
        <v/>
      </c>
    </row>
    <row r="12639" spans="15:15" x14ac:dyDescent="0.25">
      <c r="O12639" s="20" t="str">
        <f>IF(N12639="","",COUNTIFS(RawData[[Date ]],N12639,RawData[Month List],$Q$6,RawData[Tour/Site],$Q$2,RawData[[Picker ID ]],$Q$3,RawData[Checker ID],$Q$4,RawData[[Error Type ]],$Q$5))</f>
        <v/>
      </c>
    </row>
    <row r="12640" spans="15:15" x14ac:dyDescent="0.25">
      <c r="O12640" s="20" t="str">
        <f>IF(N12640="","",COUNTIFS(RawData[[Date ]],N12640,RawData[Month List],$Q$6,RawData[Tour/Site],$Q$2,RawData[[Picker ID ]],$Q$3,RawData[Checker ID],$Q$4,RawData[[Error Type ]],$Q$5))</f>
        <v/>
      </c>
    </row>
    <row r="12641" spans="15:15" x14ac:dyDescent="0.25">
      <c r="O12641" s="20" t="str">
        <f>IF(N12641="","",COUNTIFS(RawData[[Date ]],N12641,RawData[Month List],$Q$6,RawData[Tour/Site],$Q$2,RawData[[Picker ID ]],$Q$3,RawData[Checker ID],$Q$4,RawData[[Error Type ]],$Q$5))</f>
        <v/>
      </c>
    </row>
    <row r="12642" spans="15:15" x14ac:dyDescent="0.25">
      <c r="O12642" s="20" t="str">
        <f>IF(N12642="","",COUNTIFS(RawData[[Date ]],N12642,RawData[Month List],$Q$6,RawData[Tour/Site],$Q$2,RawData[[Picker ID ]],$Q$3,RawData[Checker ID],$Q$4,RawData[[Error Type ]],$Q$5))</f>
        <v/>
      </c>
    </row>
    <row r="12643" spans="15:15" x14ac:dyDescent="0.25">
      <c r="O12643" s="20" t="str">
        <f>IF(N12643="","",COUNTIFS(RawData[[Date ]],N12643,RawData[Month List],$Q$6,RawData[Tour/Site],$Q$2,RawData[[Picker ID ]],$Q$3,RawData[Checker ID],$Q$4,RawData[[Error Type ]],$Q$5))</f>
        <v/>
      </c>
    </row>
    <row r="12644" spans="15:15" x14ac:dyDescent="0.25">
      <c r="O12644" s="20" t="str">
        <f>IF(N12644="","",COUNTIFS(RawData[[Date ]],N12644,RawData[Month List],$Q$6,RawData[Tour/Site],$Q$2,RawData[[Picker ID ]],$Q$3,RawData[Checker ID],$Q$4,RawData[[Error Type ]],$Q$5))</f>
        <v/>
      </c>
    </row>
    <row r="12645" spans="15:15" x14ac:dyDescent="0.25">
      <c r="O12645" s="20" t="str">
        <f>IF(N12645="","",COUNTIFS(RawData[[Date ]],N12645,RawData[Month List],$Q$6,RawData[Tour/Site],$Q$2,RawData[[Picker ID ]],$Q$3,RawData[Checker ID],$Q$4,RawData[[Error Type ]],$Q$5))</f>
        <v/>
      </c>
    </row>
    <row r="12646" spans="15:15" x14ac:dyDescent="0.25">
      <c r="O12646" s="20" t="str">
        <f>IF(N12646="","",COUNTIFS(RawData[[Date ]],N12646,RawData[Month List],$Q$6,RawData[Tour/Site],$Q$2,RawData[[Picker ID ]],$Q$3,RawData[Checker ID],$Q$4,RawData[[Error Type ]],$Q$5))</f>
        <v/>
      </c>
    </row>
    <row r="12647" spans="15:15" x14ac:dyDescent="0.25">
      <c r="O12647" s="20" t="str">
        <f>IF(N12647="","",COUNTIFS(RawData[[Date ]],N12647,RawData[Month List],$Q$6,RawData[Tour/Site],$Q$2,RawData[[Picker ID ]],$Q$3,RawData[Checker ID],$Q$4,RawData[[Error Type ]],$Q$5))</f>
        <v/>
      </c>
    </row>
    <row r="12648" spans="15:15" x14ac:dyDescent="0.25">
      <c r="O12648" s="20" t="str">
        <f>IF(N12648="","",COUNTIFS(RawData[[Date ]],N12648,RawData[Month List],$Q$6,RawData[Tour/Site],$Q$2,RawData[[Picker ID ]],$Q$3,RawData[Checker ID],$Q$4,RawData[[Error Type ]],$Q$5))</f>
        <v/>
      </c>
    </row>
    <row r="12649" spans="15:15" x14ac:dyDescent="0.25">
      <c r="O12649" s="20" t="str">
        <f>IF(N12649="","",COUNTIFS(RawData[[Date ]],N12649,RawData[Month List],$Q$6,RawData[Tour/Site],$Q$2,RawData[[Picker ID ]],$Q$3,RawData[Checker ID],$Q$4,RawData[[Error Type ]],$Q$5))</f>
        <v/>
      </c>
    </row>
    <row r="12650" spans="15:15" x14ac:dyDescent="0.25">
      <c r="O12650" s="20" t="str">
        <f>IF(N12650="","",COUNTIFS(RawData[[Date ]],N12650,RawData[Month List],$Q$6,RawData[Tour/Site],$Q$2,RawData[[Picker ID ]],$Q$3,RawData[Checker ID],$Q$4,RawData[[Error Type ]],$Q$5))</f>
        <v/>
      </c>
    </row>
    <row r="12651" spans="15:15" x14ac:dyDescent="0.25">
      <c r="O12651" s="20" t="str">
        <f>IF(N12651="","",COUNTIFS(RawData[[Date ]],N12651,RawData[Month List],$Q$6,RawData[Tour/Site],$Q$2,RawData[[Picker ID ]],$Q$3,RawData[Checker ID],$Q$4,RawData[[Error Type ]],$Q$5))</f>
        <v/>
      </c>
    </row>
    <row r="12652" spans="15:15" x14ac:dyDescent="0.25">
      <c r="O12652" s="20" t="str">
        <f>IF(N12652="","",COUNTIFS(RawData[[Date ]],N12652,RawData[Month List],$Q$6,RawData[Tour/Site],$Q$2,RawData[[Picker ID ]],$Q$3,RawData[Checker ID],$Q$4,RawData[[Error Type ]],$Q$5))</f>
        <v/>
      </c>
    </row>
    <row r="12653" spans="15:15" x14ac:dyDescent="0.25">
      <c r="O12653" s="20" t="str">
        <f>IF(N12653="","",COUNTIFS(RawData[[Date ]],N12653,RawData[Month List],$Q$6,RawData[Tour/Site],$Q$2,RawData[[Picker ID ]],$Q$3,RawData[Checker ID],$Q$4,RawData[[Error Type ]],$Q$5))</f>
        <v/>
      </c>
    </row>
    <row r="12654" spans="15:15" x14ac:dyDescent="0.25">
      <c r="O12654" s="20" t="str">
        <f>IF(N12654="","",COUNTIFS(RawData[[Date ]],N12654,RawData[Month List],$Q$6,RawData[Tour/Site],$Q$2,RawData[[Picker ID ]],$Q$3,RawData[Checker ID],$Q$4,RawData[[Error Type ]],$Q$5))</f>
        <v/>
      </c>
    </row>
    <row r="12655" spans="15:15" x14ac:dyDescent="0.25">
      <c r="O12655" s="20" t="str">
        <f>IF(N12655="","",COUNTIFS(RawData[[Date ]],N12655,RawData[Month List],$Q$6,RawData[Tour/Site],$Q$2,RawData[[Picker ID ]],$Q$3,RawData[Checker ID],$Q$4,RawData[[Error Type ]],$Q$5))</f>
        <v/>
      </c>
    </row>
    <row r="12656" spans="15:15" x14ac:dyDescent="0.25">
      <c r="O12656" s="20" t="str">
        <f>IF(N12656="","",COUNTIFS(RawData[[Date ]],N12656,RawData[Month List],$Q$6,RawData[Tour/Site],$Q$2,RawData[[Picker ID ]],$Q$3,RawData[Checker ID],$Q$4,RawData[[Error Type ]],$Q$5))</f>
        <v/>
      </c>
    </row>
    <row r="12657" spans="15:15" x14ac:dyDescent="0.25">
      <c r="O12657" s="20" t="str">
        <f>IF(N12657="","",COUNTIFS(RawData[[Date ]],N12657,RawData[Month List],$Q$6,RawData[Tour/Site],$Q$2,RawData[[Picker ID ]],$Q$3,RawData[Checker ID],$Q$4,RawData[[Error Type ]],$Q$5))</f>
        <v/>
      </c>
    </row>
    <row r="12658" spans="15:15" x14ac:dyDescent="0.25">
      <c r="O12658" s="20" t="str">
        <f>IF(N12658="","",COUNTIFS(RawData[[Date ]],N12658,RawData[Month List],$Q$6,RawData[Tour/Site],$Q$2,RawData[[Picker ID ]],$Q$3,RawData[Checker ID],$Q$4,RawData[[Error Type ]],$Q$5))</f>
        <v/>
      </c>
    </row>
    <row r="12659" spans="15:15" x14ac:dyDescent="0.25">
      <c r="O12659" s="20" t="str">
        <f>IF(N12659="","",COUNTIFS(RawData[[Date ]],N12659,RawData[Month List],$Q$6,RawData[Tour/Site],$Q$2,RawData[[Picker ID ]],$Q$3,RawData[Checker ID],$Q$4,RawData[[Error Type ]],$Q$5))</f>
        <v/>
      </c>
    </row>
    <row r="12660" spans="15:15" x14ac:dyDescent="0.25">
      <c r="O12660" s="20" t="str">
        <f>IF(N12660="","",COUNTIFS(RawData[[Date ]],N12660,RawData[Month List],$Q$6,RawData[Tour/Site],$Q$2,RawData[[Picker ID ]],$Q$3,RawData[Checker ID],$Q$4,RawData[[Error Type ]],$Q$5))</f>
        <v/>
      </c>
    </row>
    <row r="12661" spans="15:15" x14ac:dyDescent="0.25">
      <c r="O12661" s="20" t="str">
        <f>IF(N12661="","",COUNTIFS(RawData[[Date ]],N12661,RawData[Month List],$Q$6,RawData[Tour/Site],$Q$2,RawData[[Picker ID ]],$Q$3,RawData[Checker ID],$Q$4,RawData[[Error Type ]],$Q$5))</f>
        <v/>
      </c>
    </row>
    <row r="12662" spans="15:15" x14ac:dyDescent="0.25">
      <c r="O12662" s="20" t="str">
        <f>IF(N12662="","",COUNTIFS(RawData[[Date ]],N12662,RawData[Month List],$Q$6,RawData[Tour/Site],$Q$2,RawData[[Picker ID ]],$Q$3,RawData[Checker ID],$Q$4,RawData[[Error Type ]],$Q$5))</f>
        <v/>
      </c>
    </row>
    <row r="12663" spans="15:15" x14ac:dyDescent="0.25">
      <c r="O12663" s="20" t="str">
        <f>IF(N12663="","",COUNTIFS(RawData[[Date ]],N12663,RawData[Month List],$Q$6,RawData[Tour/Site],$Q$2,RawData[[Picker ID ]],$Q$3,RawData[Checker ID],$Q$4,RawData[[Error Type ]],$Q$5))</f>
        <v/>
      </c>
    </row>
    <row r="12664" spans="15:15" x14ac:dyDescent="0.25">
      <c r="O12664" s="20" t="str">
        <f>IF(N12664="","",COUNTIFS(RawData[[Date ]],N12664,RawData[Month List],$Q$6,RawData[Tour/Site],$Q$2,RawData[[Picker ID ]],$Q$3,RawData[Checker ID],$Q$4,RawData[[Error Type ]],$Q$5))</f>
        <v/>
      </c>
    </row>
    <row r="12665" spans="15:15" x14ac:dyDescent="0.25">
      <c r="O12665" s="20" t="str">
        <f>IF(N12665="","",COUNTIFS(RawData[[Date ]],N12665,RawData[Month List],$Q$6,RawData[Tour/Site],$Q$2,RawData[[Picker ID ]],$Q$3,RawData[Checker ID],$Q$4,RawData[[Error Type ]],$Q$5))</f>
        <v/>
      </c>
    </row>
    <row r="12666" spans="15:15" x14ac:dyDescent="0.25">
      <c r="O12666" s="20" t="str">
        <f>IF(N12666="","",COUNTIFS(RawData[[Date ]],N12666,RawData[Month List],$Q$6,RawData[Tour/Site],$Q$2,RawData[[Picker ID ]],$Q$3,RawData[Checker ID],$Q$4,RawData[[Error Type ]],$Q$5))</f>
        <v/>
      </c>
    </row>
    <row r="12667" spans="15:15" x14ac:dyDescent="0.25">
      <c r="O12667" s="20" t="str">
        <f>IF(N12667="","",COUNTIFS(RawData[[Date ]],N12667,RawData[Month List],$Q$6,RawData[Tour/Site],$Q$2,RawData[[Picker ID ]],$Q$3,RawData[Checker ID],$Q$4,RawData[[Error Type ]],$Q$5))</f>
        <v/>
      </c>
    </row>
    <row r="12668" spans="15:15" x14ac:dyDescent="0.25">
      <c r="O12668" s="20" t="str">
        <f>IF(N12668="","",COUNTIFS(RawData[[Date ]],N12668,RawData[Month List],$Q$6,RawData[Tour/Site],$Q$2,RawData[[Picker ID ]],$Q$3,RawData[Checker ID],$Q$4,RawData[[Error Type ]],$Q$5))</f>
        <v/>
      </c>
    </row>
    <row r="12669" spans="15:15" x14ac:dyDescent="0.25">
      <c r="O12669" s="20" t="str">
        <f>IF(N12669="","",COUNTIFS(RawData[[Date ]],N12669,RawData[Month List],$Q$6,RawData[Tour/Site],$Q$2,RawData[[Picker ID ]],$Q$3,RawData[Checker ID],$Q$4,RawData[[Error Type ]],$Q$5))</f>
        <v/>
      </c>
    </row>
    <row r="12670" spans="15:15" x14ac:dyDescent="0.25">
      <c r="O12670" s="20" t="str">
        <f>IF(N12670="","",COUNTIFS(RawData[[Date ]],N12670,RawData[Month List],$Q$6,RawData[Tour/Site],$Q$2,RawData[[Picker ID ]],$Q$3,RawData[Checker ID],$Q$4,RawData[[Error Type ]],$Q$5))</f>
        <v/>
      </c>
    </row>
    <row r="12671" spans="15:15" x14ac:dyDescent="0.25">
      <c r="O12671" s="20" t="str">
        <f>IF(N12671="","",COUNTIFS(RawData[[Date ]],N12671,RawData[Month List],$Q$6,RawData[Tour/Site],$Q$2,RawData[[Picker ID ]],$Q$3,RawData[Checker ID],$Q$4,RawData[[Error Type ]],$Q$5))</f>
        <v/>
      </c>
    </row>
    <row r="12672" spans="15:15" x14ac:dyDescent="0.25">
      <c r="O12672" s="20" t="str">
        <f>IF(N12672="","",COUNTIFS(RawData[[Date ]],N12672,RawData[Month List],$Q$6,RawData[Tour/Site],$Q$2,RawData[[Picker ID ]],$Q$3,RawData[Checker ID],$Q$4,RawData[[Error Type ]],$Q$5))</f>
        <v/>
      </c>
    </row>
    <row r="12673" spans="15:15" x14ac:dyDescent="0.25">
      <c r="O12673" s="20" t="str">
        <f>IF(N12673="","",COUNTIFS(RawData[[Date ]],N12673,RawData[Month List],$Q$6,RawData[Tour/Site],$Q$2,RawData[[Picker ID ]],$Q$3,RawData[Checker ID],$Q$4,RawData[[Error Type ]],$Q$5))</f>
        <v/>
      </c>
    </row>
    <row r="12674" spans="15:15" x14ac:dyDescent="0.25">
      <c r="O12674" s="20" t="str">
        <f>IF(N12674="","",COUNTIFS(RawData[[Date ]],N12674,RawData[Month List],$Q$6,RawData[Tour/Site],$Q$2,RawData[[Picker ID ]],$Q$3,RawData[Checker ID],$Q$4,RawData[[Error Type ]],$Q$5))</f>
        <v/>
      </c>
    </row>
    <row r="12675" spans="15:15" x14ac:dyDescent="0.25">
      <c r="O12675" s="20" t="str">
        <f>IF(N12675="","",COUNTIFS(RawData[[Date ]],N12675,RawData[Month List],$Q$6,RawData[Tour/Site],$Q$2,RawData[[Picker ID ]],$Q$3,RawData[Checker ID],$Q$4,RawData[[Error Type ]],$Q$5))</f>
        <v/>
      </c>
    </row>
    <row r="12676" spans="15:15" x14ac:dyDescent="0.25">
      <c r="O12676" s="20" t="str">
        <f>IF(N12676="","",COUNTIFS(RawData[[Date ]],N12676,RawData[Month List],$Q$6,RawData[Tour/Site],$Q$2,RawData[[Picker ID ]],$Q$3,RawData[Checker ID],$Q$4,RawData[[Error Type ]],$Q$5))</f>
        <v/>
      </c>
    </row>
    <row r="12677" spans="15:15" x14ac:dyDescent="0.25">
      <c r="O12677" s="20" t="str">
        <f>IF(N12677="","",COUNTIFS(RawData[[Date ]],N12677,RawData[Month List],$Q$6,RawData[Tour/Site],$Q$2,RawData[[Picker ID ]],$Q$3,RawData[Checker ID],$Q$4,RawData[[Error Type ]],$Q$5))</f>
        <v/>
      </c>
    </row>
    <row r="12678" spans="15:15" x14ac:dyDescent="0.25">
      <c r="O12678" s="20" t="str">
        <f>IF(N12678="","",COUNTIFS(RawData[[Date ]],N12678,RawData[Month List],$Q$6,RawData[Tour/Site],$Q$2,RawData[[Picker ID ]],$Q$3,RawData[Checker ID],$Q$4,RawData[[Error Type ]],$Q$5))</f>
        <v/>
      </c>
    </row>
    <row r="12679" spans="15:15" x14ac:dyDescent="0.25">
      <c r="O12679" s="20" t="str">
        <f>IF(N12679="","",COUNTIFS(RawData[[Date ]],N12679,RawData[Month List],$Q$6,RawData[Tour/Site],$Q$2,RawData[[Picker ID ]],$Q$3,RawData[Checker ID],$Q$4,RawData[[Error Type ]],$Q$5))</f>
        <v/>
      </c>
    </row>
    <row r="12680" spans="15:15" x14ac:dyDescent="0.25">
      <c r="O12680" s="20" t="str">
        <f>IF(N12680="","",COUNTIFS(RawData[[Date ]],N12680,RawData[Month List],$Q$6,RawData[Tour/Site],$Q$2,RawData[[Picker ID ]],$Q$3,RawData[Checker ID],$Q$4,RawData[[Error Type ]],$Q$5))</f>
        <v/>
      </c>
    </row>
    <row r="12681" spans="15:15" x14ac:dyDescent="0.25">
      <c r="O12681" s="20" t="str">
        <f>IF(N12681="","",COUNTIFS(RawData[[Date ]],N12681,RawData[Month List],$Q$6,RawData[Tour/Site],$Q$2,RawData[[Picker ID ]],$Q$3,RawData[Checker ID],$Q$4,RawData[[Error Type ]],$Q$5))</f>
        <v/>
      </c>
    </row>
    <row r="12682" spans="15:15" x14ac:dyDescent="0.25">
      <c r="O12682" s="20" t="str">
        <f>IF(N12682="","",COUNTIFS(RawData[[Date ]],N12682,RawData[Month List],$Q$6,RawData[Tour/Site],$Q$2,RawData[[Picker ID ]],$Q$3,RawData[Checker ID],$Q$4,RawData[[Error Type ]],$Q$5))</f>
        <v/>
      </c>
    </row>
    <row r="12683" spans="15:15" x14ac:dyDescent="0.25">
      <c r="O12683" s="20" t="str">
        <f>IF(N12683="","",COUNTIFS(RawData[[Date ]],N12683,RawData[Month List],$Q$6,RawData[Tour/Site],$Q$2,RawData[[Picker ID ]],$Q$3,RawData[Checker ID],$Q$4,RawData[[Error Type ]],$Q$5))</f>
        <v/>
      </c>
    </row>
    <row r="12684" spans="15:15" x14ac:dyDescent="0.25">
      <c r="O12684" s="20" t="str">
        <f>IF(N12684="","",COUNTIFS(RawData[[Date ]],N12684,RawData[Month List],$Q$6,RawData[Tour/Site],$Q$2,RawData[[Picker ID ]],$Q$3,RawData[Checker ID],$Q$4,RawData[[Error Type ]],$Q$5))</f>
        <v/>
      </c>
    </row>
    <row r="12685" spans="15:15" x14ac:dyDescent="0.25">
      <c r="O12685" s="20" t="str">
        <f>IF(N12685="","",COUNTIFS(RawData[[Date ]],N12685,RawData[Month List],$Q$6,RawData[Tour/Site],$Q$2,RawData[[Picker ID ]],$Q$3,RawData[Checker ID],$Q$4,RawData[[Error Type ]],$Q$5))</f>
        <v/>
      </c>
    </row>
    <row r="12686" spans="15:15" x14ac:dyDescent="0.25">
      <c r="O12686" s="20" t="str">
        <f>IF(N12686="","",COUNTIFS(RawData[[Date ]],N12686,RawData[Month List],$Q$6,RawData[Tour/Site],$Q$2,RawData[[Picker ID ]],$Q$3,RawData[Checker ID],$Q$4,RawData[[Error Type ]],$Q$5))</f>
        <v/>
      </c>
    </row>
    <row r="12687" spans="15:15" x14ac:dyDescent="0.25">
      <c r="O12687" s="20" t="str">
        <f>IF(N12687="","",COUNTIFS(RawData[[Date ]],N12687,RawData[Month List],$Q$6,RawData[Tour/Site],$Q$2,RawData[[Picker ID ]],$Q$3,RawData[Checker ID],$Q$4,RawData[[Error Type ]],$Q$5))</f>
        <v/>
      </c>
    </row>
    <row r="12688" spans="15:15" x14ac:dyDescent="0.25">
      <c r="O12688" s="20" t="str">
        <f>IF(N12688="","",COUNTIFS(RawData[[Date ]],N12688,RawData[Month List],$Q$6,RawData[Tour/Site],$Q$2,RawData[[Picker ID ]],$Q$3,RawData[Checker ID],$Q$4,RawData[[Error Type ]],$Q$5))</f>
        <v/>
      </c>
    </row>
    <row r="12689" spans="15:15" x14ac:dyDescent="0.25">
      <c r="O12689" s="20" t="str">
        <f>IF(N12689="","",COUNTIFS(RawData[[Date ]],N12689,RawData[Month List],$Q$6,RawData[Tour/Site],$Q$2,RawData[[Picker ID ]],$Q$3,RawData[Checker ID],$Q$4,RawData[[Error Type ]],$Q$5))</f>
        <v/>
      </c>
    </row>
    <row r="12690" spans="15:15" x14ac:dyDescent="0.25">
      <c r="O12690" s="20" t="str">
        <f>IF(N12690="","",COUNTIFS(RawData[[Date ]],N12690,RawData[Month List],$Q$6,RawData[Tour/Site],$Q$2,RawData[[Picker ID ]],$Q$3,RawData[Checker ID],$Q$4,RawData[[Error Type ]],$Q$5))</f>
        <v/>
      </c>
    </row>
    <row r="12691" spans="15:15" x14ac:dyDescent="0.25">
      <c r="O12691" s="20" t="str">
        <f>IF(N12691="","",COUNTIFS(RawData[[Date ]],N12691,RawData[Month List],$Q$6,RawData[Tour/Site],$Q$2,RawData[[Picker ID ]],$Q$3,RawData[Checker ID],$Q$4,RawData[[Error Type ]],$Q$5))</f>
        <v/>
      </c>
    </row>
    <row r="12692" spans="15:15" x14ac:dyDescent="0.25">
      <c r="O12692" s="20" t="str">
        <f>IF(N12692="","",COUNTIFS(RawData[[Date ]],N12692,RawData[Month List],$Q$6,RawData[Tour/Site],$Q$2,RawData[[Picker ID ]],$Q$3,RawData[Checker ID],$Q$4,RawData[[Error Type ]],$Q$5))</f>
        <v/>
      </c>
    </row>
    <row r="12693" spans="15:15" x14ac:dyDescent="0.25">
      <c r="O12693" s="20" t="str">
        <f>IF(N12693="","",COUNTIFS(RawData[[Date ]],N12693,RawData[Month List],$Q$6,RawData[Tour/Site],$Q$2,RawData[[Picker ID ]],$Q$3,RawData[Checker ID],$Q$4,RawData[[Error Type ]],$Q$5))</f>
        <v/>
      </c>
    </row>
    <row r="12694" spans="15:15" x14ac:dyDescent="0.25">
      <c r="O12694" s="20" t="str">
        <f>IF(N12694="","",COUNTIFS(RawData[[Date ]],N12694,RawData[Month List],$Q$6,RawData[Tour/Site],$Q$2,RawData[[Picker ID ]],$Q$3,RawData[Checker ID],$Q$4,RawData[[Error Type ]],$Q$5))</f>
        <v/>
      </c>
    </row>
    <row r="12695" spans="15:15" x14ac:dyDescent="0.25">
      <c r="O12695" s="20" t="str">
        <f>IF(N12695="","",COUNTIFS(RawData[[Date ]],N12695,RawData[Month List],$Q$6,RawData[Tour/Site],$Q$2,RawData[[Picker ID ]],$Q$3,RawData[Checker ID],$Q$4,RawData[[Error Type ]],$Q$5))</f>
        <v/>
      </c>
    </row>
    <row r="12696" spans="15:15" x14ac:dyDescent="0.25">
      <c r="O12696" s="20" t="str">
        <f>IF(N12696="","",COUNTIFS(RawData[[Date ]],N12696,RawData[Month List],$Q$6,RawData[Tour/Site],$Q$2,RawData[[Picker ID ]],$Q$3,RawData[Checker ID],$Q$4,RawData[[Error Type ]],$Q$5))</f>
        <v/>
      </c>
    </row>
    <row r="12697" spans="15:15" x14ac:dyDescent="0.25">
      <c r="O12697" s="20" t="str">
        <f>IF(N12697="","",COUNTIFS(RawData[[Date ]],N12697,RawData[Month List],$Q$6,RawData[Tour/Site],$Q$2,RawData[[Picker ID ]],$Q$3,RawData[Checker ID],$Q$4,RawData[[Error Type ]],$Q$5))</f>
        <v/>
      </c>
    </row>
    <row r="12698" spans="15:15" x14ac:dyDescent="0.25">
      <c r="O12698" s="20" t="str">
        <f>IF(N12698="","",COUNTIFS(RawData[[Date ]],N12698,RawData[Month List],$Q$6,RawData[Tour/Site],$Q$2,RawData[[Picker ID ]],$Q$3,RawData[Checker ID],$Q$4,RawData[[Error Type ]],$Q$5))</f>
        <v/>
      </c>
    </row>
    <row r="12699" spans="15:15" x14ac:dyDescent="0.25">
      <c r="O12699" s="20" t="str">
        <f>IF(N12699="","",COUNTIFS(RawData[[Date ]],N12699,RawData[Month List],$Q$6,RawData[Tour/Site],$Q$2,RawData[[Picker ID ]],$Q$3,RawData[Checker ID],$Q$4,RawData[[Error Type ]],$Q$5))</f>
        <v/>
      </c>
    </row>
    <row r="12700" spans="15:15" x14ac:dyDescent="0.25">
      <c r="O12700" s="20" t="str">
        <f>IF(N12700="","",COUNTIFS(RawData[[Date ]],N12700,RawData[Month List],$Q$6,RawData[Tour/Site],$Q$2,RawData[[Picker ID ]],$Q$3,RawData[Checker ID],$Q$4,RawData[[Error Type ]],$Q$5))</f>
        <v/>
      </c>
    </row>
    <row r="12701" spans="15:15" x14ac:dyDescent="0.25">
      <c r="O12701" s="20" t="str">
        <f>IF(N12701="","",COUNTIFS(RawData[[Date ]],N12701,RawData[Month List],$Q$6,RawData[Tour/Site],$Q$2,RawData[[Picker ID ]],$Q$3,RawData[Checker ID],$Q$4,RawData[[Error Type ]],$Q$5))</f>
        <v/>
      </c>
    </row>
    <row r="12702" spans="15:15" x14ac:dyDescent="0.25">
      <c r="O12702" s="20" t="str">
        <f>IF(N12702="","",COUNTIFS(RawData[[Date ]],N12702,RawData[Month List],$Q$6,RawData[Tour/Site],$Q$2,RawData[[Picker ID ]],$Q$3,RawData[Checker ID],$Q$4,RawData[[Error Type ]],$Q$5))</f>
        <v/>
      </c>
    </row>
    <row r="12703" spans="15:15" x14ac:dyDescent="0.25">
      <c r="O12703" s="20" t="str">
        <f>IF(N12703="","",COUNTIFS(RawData[[Date ]],N12703,RawData[Month List],$Q$6,RawData[Tour/Site],$Q$2,RawData[[Picker ID ]],$Q$3,RawData[Checker ID],$Q$4,RawData[[Error Type ]],$Q$5))</f>
        <v/>
      </c>
    </row>
    <row r="12704" spans="15:15" x14ac:dyDescent="0.25">
      <c r="O12704" s="20" t="str">
        <f>IF(N12704="","",COUNTIFS(RawData[[Date ]],N12704,RawData[Month List],$Q$6,RawData[Tour/Site],$Q$2,RawData[[Picker ID ]],$Q$3,RawData[Checker ID],$Q$4,RawData[[Error Type ]],$Q$5))</f>
        <v/>
      </c>
    </row>
    <row r="12705" spans="15:15" x14ac:dyDescent="0.25">
      <c r="O12705" s="20" t="str">
        <f>IF(N12705="","",COUNTIFS(RawData[[Date ]],N12705,RawData[Month List],$Q$6,RawData[Tour/Site],$Q$2,RawData[[Picker ID ]],$Q$3,RawData[Checker ID],$Q$4,RawData[[Error Type ]],$Q$5))</f>
        <v/>
      </c>
    </row>
    <row r="12706" spans="15:15" x14ac:dyDescent="0.25">
      <c r="O12706" s="20" t="str">
        <f>IF(N12706="","",COUNTIFS(RawData[[Date ]],N12706,RawData[Month List],$Q$6,RawData[Tour/Site],$Q$2,RawData[[Picker ID ]],$Q$3,RawData[Checker ID],$Q$4,RawData[[Error Type ]],$Q$5))</f>
        <v/>
      </c>
    </row>
    <row r="12707" spans="15:15" x14ac:dyDescent="0.25">
      <c r="O12707" s="20" t="str">
        <f>IF(N12707="","",COUNTIFS(RawData[[Date ]],N12707,RawData[Month List],$Q$6,RawData[Tour/Site],$Q$2,RawData[[Picker ID ]],$Q$3,RawData[Checker ID],$Q$4,RawData[[Error Type ]],$Q$5))</f>
        <v/>
      </c>
    </row>
    <row r="12708" spans="15:15" x14ac:dyDescent="0.25">
      <c r="O12708" s="20" t="str">
        <f>IF(N12708="","",COUNTIFS(RawData[[Date ]],N12708,RawData[Month List],$Q$6,RawData[Tour/Site],$Q$2,RawData[[Picker ID ]],$Q$3,RawData[Checker ID],$Q$4,RawData[[Error Type ]],$Q$5))</f>
        <v/>
      </c>
    </row>
    <row r="12709" spans="15:15" x14ac:dyDescent="0.25">
      <c r="O12709" s="20" t="str">
        <f>IF(N12709="","",COUNTIFS(RawData[[Date ]],N12709,RawData[Month List],$Q$6,RawData[Tour/Site],$Q$2,RawData[[Picker ID ]],$Q$3,RawData[Checker ID],$Q$4,RawData[[Error Type ]],$Q$5))</f>
        <v/>
      </c>
    </row>
    <row r="12710" spans="15:15" x14ac:dyDescent="0.25">
      <c r="O12710" s="20" t="str">
        <f>IF(N12710="","",COUNTIFS(RawData[[Date ]],N12710,RawData[Month List],$Q$6,RawData[Tour/Site],$Q$2,RawData[[Picker ID ]],$Q$3,RawData[Checker ID],$Q$4,RawData[[Error Type ]],$Q$5))</f>
        <v/>
      </c>
    </row>
    <row r="12711" spans="15:15" x14ac:dyDescent="0.25">
      <c r="O12711" s="20" t="str">
        <f>IF(N12711="","",COUNTIFS(RawData[[Date ]],N12711,RawData[Month List],$Q$6,RawData[Tour/Site],$Q$2,RawData[[Picker ID ]],$Q$3,RawData[Checker ID],$Q$4,RawData[[Error Type ]],$Q$5))</f>
        <v/>
      </c>
    </row>
    <row r="12712" spans="15:15" x14ac:dyDescent="0.25">
      <c r="O12712" s="20" t="str">
        <f>IF(N12712="","",COUNTIFS(RawData[[Date ]],N12712,RawData[Month List],$Q$6,RawData[Tour/Site],$Q$2,RawData[[Picker ID ]],$Q$3,RawData[Checker ID],$Q$4,RawData[[Error Type ]],$Q$5))</f>
        <v/>
      </c>
    </row>
    <row r="12713" spans="15:15" x14ac:dyDescent="0.25">
      <c r="O12713" s="20" t="str">
        <f>IF(N12713="","",COUNTIFS(RawData[[Date ]],N12713,RawData[Month List],$Q$6,RawData[Tour/Site],$Q$2,RawData[[Picker ID ]],$Q$3,RawData[Checker ID],$Q$4,RawData[[Error Type ]],$Q$5))</f>
        <v/>
      </c>
    </row>
    <row r="12714" spans="15:15" x14ac:dyDescent="0.25">
      <c r="O12714" s="20" t="str">
        <f>IF(N12714="","",COUNTIFS(RawData[[Date ]],N12714,RawData[Month List],$Q$6,RawData[Tour/Site],$Q$2,RawData[[Picker ID ]],$Q$3,RawData[Checker ID],$Q$4,RawData[[Error Type ]],$Q$5))</f>
        <v/>
      </c>
    </row>
    <row r="12715" spans="15:15" x14ac:dyDescent="0.25">
      <c r="O12715" s="20" t="str">
        <f>IF(N12715="","",COUNTIFS(RawData[[Date ]],N12715,RawData[Month List],$Q$6,RawData[Tour/Site],$Q$2,RawData[[Picker ID ]],$Q$3,RawData[Checker ID],$Q$4,RawData[[Error Type ]],$Q$5))</f>
        <v/>
      </c>
    </row>
    <row r="12716" spans="15:15" x14ac:dyDescent="0.25">
      <c r="O12716" s="20" t="str">
        <f>IF(N12716="","",COUNTIFS(RawData[[Date ]],N12716,RawData[Month List],$Q$6,RawData[Tour/Site],$Q$2,RawData[[Picker ID ]],$Q$3,RawData[Checker ID],$Q$4,RawData[[Error Type ]],$Q$5))</f>
        <v/>
      </c>
    </row>
    <row r="12717" spans="15:15" x14ac:dyDescent="0.25">
      <c r="O12717" s="20" t="str">
        <f>IF(N12717="","",COUNTIFS(RawData[[Date ]],N12717,RawData[Month List],$Q$6,RawData[Tour/Site],$Q$2,RawData[[Picker ID ]],$Q$3,RawData[Checker ID],$Q$4,RawData[[Error Type ]],$Q$5))</f>
        <v/>
      </c>
    </row>
    <row r="12718" spans="15:15" x14ac:dyDescent="0.25">
      <c r="O12718" s="20" t="str">
        <f>IF(N12718="","",COUNTIFS(RawData[[Date ]],N12718,RawData[Month List],$Q$6,RawData[Tour/Site],$Q$2,RawData[[Picker ID ]],$Q$3,RawData[Checker ID],$Q$4,RawData[[Error Type ]],$Q$5))</f>
        <v/>
      </c>
    </row>
    <row r="12719" spans="15:15" x14ac:dyDescent="0.25">
      <c r="O12719" s="20" t="str">
        <f>IF(N12719="","",COUNTIFS(RawData[[Date ]],N12719,RawData[Month List],$Q$6,RawData[Tour/Site],$Q$2,RawData[[Picker ID ]],$Q$3,RawData[Checker ID],$Q$4,RawData[[Error Type ]],$Q$5))</f>
        <v/>
      </c>
    </row>
    <row r="12720" spans="15:15" x14ac:dyDescent="0.25">
      <c r="O12720" s="20" t="str">
        <f>IF(N12720="","",COUNTIFS(RawData[[Date ]],N12720,RawData[Month List],$Q$6,RawData[Tour/Site],$Q$2,RawData[[Picker ID ]],$Q$3,RawData[Checker ID],$Q$4,RawData[[Error Type ]],$Q$5))</f>
        <v/>
      </c>
    </row>
    <row r="12721" spans="15:15" x14ac:dyDescent="0.25">
      <c r="O12721" s="20" t="str">
        <f>IF(N12721="","",COUNTIFS(RawData[[Date ]],N12721,RawData[Month List],$Q$6,RawData[Tour/Site],$Q$2,RawData[[Picker ID ]],$Q$3,RawData[Checker ID],$Q$4,RawData[[Error Type ]],$Q$5))</f>
        <v/>
      </c>
    </row>
    <row r="12722" spans="15:15" x14ac:dyDescent="0.25">
      <c r="O12722" s="20" t="str">
        <f>IF(N12722="","",COUNTIFS(RawData[[Date ]],N12722,RawData[Month List],$Q$6,RawData[Tour/Site],$Q$2,RawData[[Picker ID ]],$Q$3,RawData[Checker ID],$Q$4,RawData[[Error Type ]],$Q$5))</f>
        <v/>
      </c>
    </row>
    <row r="12723" spans="15:15" x14ac:dyDescent="0.25">
      <c r="O12723" s="20" t="str">
        <f>IF(N12723="","",COUNTIFS(RawData[[Date ]],N12723,RawData[Month List],$Q$6,RawData[Tour/Site],$Q$2,RawData[[Picker ID ]],$Q$3,RawData[Checker ID],$Q$4,RawData[[Error Type ]],$Q$5))</f>
        <v/>
      </c>
    </row>
    <row r="12724" spans="15:15" x14ac:dyDescent="0.25">
      <c r="O12724" s="20" t="str">
        <f>IF(N12724="","",COUNTIFS(RawData[[Date ]],N12724,RawData[Month List],$Q$6,RawData[Tour/Site],$Q$2,RawData[[Picker ID ]],$Q$3,RawData[Checker ID],$Q$4,RawData[[Error Type ]],$Q$5))</f>
        <v/>
      </c>
    </row>
    <row r="12725" spans="15:15" x14ac:dyDescent="0.25">
      <c r="O12725" s="20" t="str">
        <f>IF(N12725="","",COUNTIFS(RawData[[Date ]],N12725,RawData[Month List],$Q$6,RawData[Tour/Site],$Q$2,RawData[[Picker ID ]],$Q$3,RawData[Checker ID],$Q$4,RawData[[Error Type ]],$Q$5))</f>
        <v/>
      </c>
    </row>
    <row r="12726" spans="15:15" x14ac:dyDescent="0.25">
      <c r="O12726" s="20" t="str">
        <f>IF(N12726="","",COUNTIFS(RawData[[Date ]],N12726,RawData[Month List],$Q$6,RawData[Tour/Site],$Q$2,RawData[[Picker ID ]],$Q$3,RawData[Checker ID],$Q$4,RawData[[Error Type ]],$Q$5))</f>
        <v/>
      </c>
    </row>
    <row r="12727" spans="15:15" x14ac:dyDescent="0.25">
      <c r="O12727" s="20" t="str">
        <f>IF(N12727="","",COUNTIFS(RawData[[Date ]],N12727,RawData[Month List],$Q$6,RawData[Tour/Site],$Q$2,RawData[[Picker ID ]],$Q$3,RawData[Checker ID],$Q$4,RawData[[Error Type ]],$Q$5))</f>
        <v/>
      </c>
    </row>
    <row r="12728" spans="15:15" x14ac:dyDescent="0.25">
      <c r="O12728" s="20" t="str">
        <f>IF(N12728="","",COUNTIFS(RawData[[Date ]],N12728,RawData[Month List],$Q$6,RawData[Tour/Site],$Q$2,RawData[[Picker ID ]],$Q$3,RawData[Checker ID],$Q$4,RawData[[Error Type ]],$Q$5))</f>
        <v/>
      </c>
    </row>
    <row r="12729" spans="15:15" x14ac:dyDescent="0.25">
      <c r="O12729" s="20" t="str">
        <f>IF(N12729="","",COUNTIFS(RawData[[Date ]],N12729,RawData[Month List],$Q$6,RawData[Tour/Site],$Q$2,RawData[[Picker ID ]],$Q$3,RawData[Checker ID],$Q$4,RawData[[Error Type ]],$Q$5))</f>
        <v/>
      </c>
    </row>
    <row r="12730" spans="15:15" x14ac:dyDescent="0.25">
      <c r="O12730" s="20" t="str">
        <f>IF(N12730="","",COUNTIFS(RawData[[Date ]],N12730,RawData[Month List],$Q$6,RawData[Tour/Site],$Q$2,RawData[[Picker ID ]],$Q$3,RawData[Checker ID],$Q$4,RawData[[Error Type ]],$Q$5))</f>
        <v/>
      </c>
    </row>
    <row r="12731" spans="15:15" x14ac:dyDescent="0.25">
      <c r="O12731" s="20" t="str">
        <f>IF(N12731="","",COUNTIFS(RawData[[Date ]],N12731,RawData[Month List],$Q$6,RawData[Tour/Site],$Q$2,RawData[[Picker ID ]],$Q$3,RawData[Checker ID],$Q$4,RawData[[Error Type ]],$Q$5))</f>
        <v/>
      </c>
    </row>
    <row r="12732" spans="15:15" x14ac:dyDescent="0.25">
      <c r="O12732" s="20" t="str">
        <f>IF(N12732="","",COUNTIFS(RawData[[Date ]],N12732,RawData[Month List],$Q$6,RawData[Tour/Site],$Q$2,RawData[[Picker ID ]],$Q$3,RawData[Checker ID],$Q$4,RawData[[Error Type ]],$Q$5))</f>
        <v/>
      </c>
    </row>
    <row r="12733" spans="15:15" x14ac:dyDescent="0.25">
      <c r="O12733" s="20" t="str">
        <f>IF(N12733="","",COUNTIFS(RawData[[Date ]],N12733,RawData[Month List],$Q$6,RawData[Tour/Site],$Q$2,RawData[[Picker ID ]],$Q$3,RawData[Checker ID],$Q$4,RawData[[Error Type ]],$Q$5))</f>
        <v/>
      </c>
    </row>
    <row r="12734" spans="15:15" x14ac:dyDescent="0.25">
      <c r="O12734" s="20" t="str">
        <f>IF(N12734="","",COUNTIFS(RawData[[Date ]],N12734,RawData[Month List],$Q$6,RawData[Tour/Site],$Q$2,RawData[[Picker ID ]],$Q$3,RawData[Checker ID],$Q$4,RawData[[Error Type ]],$Q$5))</f>
        <v/>
      </c>
    </row>
    <row r="12735" spans="15:15" x14ac:dyDescent="0.25">
      <c r="O12735" s="20" t="str">
        <f>IF(N12735="","",COUNTIFS(RawData[[Date ]],N12735,RawData[Month List],$Q$6,RawData[Tour/Site],$Q$2,RawData[[Picker ID ]],$Q$3,RawData[Checker ID],$Q$4,RawData[[Error Type ]],$Q$5))</f>
        <v/>
      </c>
    </row>
    <row r="12736" spans="15:15" x14ac:dyDescent="0.25">
      <c r="O12736" s="20" t="str">
        <f>IF(N12736="","",COUNTIFS(RawData[[Date ]],N12736,RawData[Month List],$Q$6,RawData[Tour/Site],$Q$2,RawData[[Picker ID ]],$Q$3,RawData[Checker ID],$Q$4,RawData[[Error Type ]],$Q$5))</f>
        <v/>
      </c>
    </row>
    <row r="12737" spans="15:15" x14ac:dyDescent="0.25">
      <c r="O12737" s="20" t="str">
        <f>IF(N12737="","",COUNTIFS(RawData[[Date ]],N12737,RawData[Month List],$Q$6,RawData[Tour/Site],$Q$2,RawData[[Picker ID ]],$Q$3,RawData[Checker ID],$Q$4,RawData[[Error Type ]],$Q$5))</f>
        <v/>
      </c>
    </row>
    <row r="12738" spans="15:15" x14ac:dyDescent="0.25">
      <c r="O12738" s="20" t="str">
        <f>IF(N12738="","",COUNTIFS(RawData[[Date ]],N12738,RawData[Month List],$Q$6,RawData[Tour/Site],$Q$2,RawData[[Picker ID ]],$Q$3,RawData[Checker ID],$Q$4,RawData[[Error Type ]],$Q$5))</f>
        <v/>
      </c>
    </row>
    <row r="12739" spans="15:15" x14ac:dyDescent="0.25">
      <c r="O12739" s="20" t="str">
        <f>IF(N12739="","",COUNTIFS(RawData[[Date ]],N12739,RawData[Month List],$Q$6,RawData[Tour/Site],$Q$2,RawData[[Picker ID ]],$Q$3,RawData[Checker ID],$Q$4,RawData[[Error Type ]],$Q$5))</f>
        <v/>
      </c>
    </row>
    <row r="12740" spans="15:15" x14ac:dyDescent="0.25">
      <c r="O12740" s="20" t="str">
        <f>IF(N12740="","",COUNTIFS(RawData[[Date ]],N12740,RawData[Month List],$Q$6,RawData[Tour/Site],$Q$2,RawData[[Picker ID ]],$Q$3,RawData[Checker ID],$Q$4,RawData[[Error Type ]],$Q$5))</f>
        <v/>
      </c>
    </row>
    <row r="12741" spans="15:15" x14ac:dyDescent="0.25">
      <c r="O12741" s="20" t="str">
        <f>IF(N12741="","",COUNTIFS(RawData[[Date ]],N12741,RawData[Month List],$Q$6,RawData[Tour/Site],$Q$2,RawData[[Picker ID ]],$Q$3,RawData[Checker ID],$Q$4,RawData[[Error Type ]],$Q$5))</f>
        <v/>
      </c>
    </row>
    <row r="12742" spans="15:15" x14ac:dyDescent="0.25">
      <c r="O12742" s="20" t="str">
        <f>IF(N12742="","",COUNTIFS(RawData[[Date ]],N12742,RawData[Month List],$Q$6,RawData[Tour/Site],$Q$2,RawData[[Picker ID ]],$Q$3,RawData[Checker ID],$Q$4,RawData[[Error Type ]],$Q$5))</f>
        <v/>
      </c>
    </row>
    <row r="12743" spans="15:15" x14ac:dyDescent="0.25">
      <c r="O12743" s="20" t="str">
        <f>IF(N12743="","",COUNTIFS(RawData[[Date ]],N12743,RawData[Month List],$Q$6,RawData[Tour/Site],$Q$2,RawData[[Picker ID ]],$Q$3,RawData[Checker ID],$Q$4,RawData[[Error Type ]],$Q$5))</f>
        <v/>
      </c>
    </row>
    <row r="12744" spans="15:15" x14ac:dyDescent="0.25">
      <c r="O12744" s="20" t="str">
        <f>IF(N12744="","",COUNTIFS(RawData[[Date ]],N12744,RawData[Month List],$Q$6,RawData[Tour/Site],$Q$2,RawData[[Picker ID ]],$Q$3,RawData[Checker ID],$Q$4,RawData[[Error Type ]],$Q$5))</f>
        <v/>
      </c>
    </row>
    <row r="12745" spans="15:15" x14ac:dyDescent="0.25">
      <c r="O12745" s="20" t="str">
        <f>IF(N12745="","",COUNTIFS(RawData[[Date ]],N12745,RawData[Month List],$Q$6,RawData[Tour/Site],$Q$2,RawData[[Picker ID ]],$Q$3,RawData[Checker ID],$Q$4,RawData[[Error Type ]],$Q$5))</f>
        <v/>
      </c>
    </row>
    <row r="12746" spans="15:15" x14ac:dyDescent="0.25">
      <c r="O12746" s="20" t="str">
        <f>IF(N12746="","",COUNTIFS(RawData[[Date ]],N12746,RawData[Month List],$Q$6,RawData[Tour/Site],$Q$2,RawData[[Picker ID ]],$Q$3,RawData[Checker ID],$Q$4,RawData[[Error Type ]],$Q$5))</f>
        <v/>
      </c>
    </row>
    <row r="12747" spans="15:15" x14ac:dyDescent="0.25">
      <c r="O12747" s="20" t="str">
        <f>IF(N12747="","",COUNTIFS(RawData[[Date ]],N12747,RawData[Month List],$Q$6,RawData[Tour/Site],$Q$2,RawData[[Picker ID ]],$Q$3,RawData[Checker ID],$Q$4,RawData[[Error Type ]],$Q$5))</f>
        <v/>
      </c>
    </row>
    <row r="12748" spans="15:15" x14ac:dyDescent="0.25">
      <c r="O12748" s="20" t="str">
        <f>IF(N12748="","",COUNTIFS(RawData[[Date ]],N12748,RawData[Month List],$Q$6,RawData[Tour/Site],$Q$2,RawData[[Picker ID ]],$Q$3,RawData[Checker ID],$Q$4,RawData[[Error Type ]],$Q$5))</f>
        <v/>
      </c>
    </row>
    <row r="12749" spans="15:15" x14ac:dyDescent="0.25">
      <c r="O12749" s="20" t="str">
        <f>IF(N12749="","",COUNTIFS(RawData[[Date ]],N12749,RawData[Month List],$Q$6,RawData[Tour/Site],$Q$2,RawData[[Picker ID ]],$Q$3,RawData[Checker ID],$Q$4,RawData[[Error Type ]],$Q$5))</f>
        <v/>
      </c>
    </row>
    <row r="12750" spans="15:15" x14ac:dyDescent="0.25">
      <c r="O12750" s="20" t="str">
        <f>IF(N12750="","",COUNTIFS(RawData[[Date ]],N12750,RawData[Month List],$Q$6,RawData[Tour/Site],$Q$2,RawData[[Picker ID ]],$Q$3,RawData[Checker ID],$Q$4,RawData[[Error Type ]],$Q$5))</f>
        <v/>
      </c>
    </row>
    <row r="12751" spans="15:15" x14ac:dyDescent="0.25">
      <c r="O12751" s="20" t="str">
        <f>IF(N12751="","",COUNTIFS(RawData[[Date ]],N12751,RawData[Month List],$Q$6,RawData[Tour/Site],$Q$2,RawData[[Picker ID ]],$Q$3,RawData[Checker ID],$Q$4,RawData[[Error Type ]],$Q$5))</f>
        <v/>
      </c>
    </row>
    <row r="12752" spans="15:15" x14ac:dyDescent="0.25">
      <c r="O12752" s="20" t="str">
        <f>IF(N12752="","",COUNTIFS(RawData[[Date ]],N12752,RawData[Month List],$Q$6,RawData[Tour/Site],$Q$2,RawData[[Picker ID ]],$Q$3,RawData[Checker ID],$Q$4,RawData[[Error Type ]],$Q$5))</f>
        <v/>
      </c>
    </row>
    <row r="12753" spans="15:15" x14ac:dyDescent="0.25">
      <c r="O12753" s="20" t="str">
        <f>IF(N12753="","",COUNTIFS(RawData[[Date ]],N12753,RawData[Month List],$Q$6,RawData[Tour/Site],$Q$2,RawData[[Picker ID ]],$Q$3,RawData[Checker ID],$Q$4,RawData[[Error Type ]],$Q$5))</f>
        <v/>
      </c>
    </row>
    <row r="12754" spans="15:15" x14ac:dyDescent="0.25">
      <c r="O12754" s="20" t="str">
        <f>IF(N12754="","",COUNTIFS(RawData[[Date ]],N12754,RawData[Month List],$Q$6,RawData[Tour/Site],$Q$2,RawData[[Picker ID ]],$Q$3,RawData[Checker ID],$Q$4,RawData[[Error Type ]],$Q$5))</f>
        <v/>
      </c>
    </row>
    <row r="12755" spans="15:15" x14ac:dyDescent="0.25">
      <c r="O12755" s="20" t="str">
        <f>IF(N12755="","",COUNTIFS(RawData[[Date ]],N12755,RawData[Month List],$Q$6,RawData[Tour/Site],$Q$2,RawData[[Picker ID ]],$Q$3,RawData[Checker ID],$Q$4,RawData[[Error Type ]],$Q$5))</f>
        <v/>
      </c>
    </row>
    <row r="12756" spans="15:15" x14ac:dyDescent="0.25">
      <c r="O12756" s="20" t="str">
        <f>IF(N12756="","",COUNTIFS(RawData[[Date ]],N12756,RawData[Month List],$Q$6,RawData[Tour/Site],$Q$2,RawData[[Picker ID ]],$Q$3,RawData[Checker ID],$Q$4,RawData[[Error Type ]],$Q$5))</f>
        <v/>
      </c>
    </row>
    <row r="12757" spans="15:15" x14ac:dyDescent="0.25">
      <c r="O12757" s="20" t="str">
        <f>IF(N12757="","",COUNTIFS(RawData[[Date ]],N12757,RawData[Month List],$Q$6,RawData[Tour/Site],$Q$2,RawData[[Picker ID ]],$Q$3,RawData[Checker ID],$Q$4,RawData[[Error Type ]],$Q$5))</f>
        <v/>
      </c>
    </row>
    <row r="12758" spans="15:15" x14ac:dyDescent="0.25">
      <c r="O12758" s="20" t="str">
        <f>IF(N12758="","",COUNTIFS(RawData[[Date ]],N12758,RawData[Month List],$Q$6,RawData[Tour/Site],$Q$2,RawData[[Picker ID ]],$Q$3,RawData[Checker ID],$Q$4,RawData[[Error Type ]],$Q$5))</f>
        <v/>
      </c>
    </row>
    <row r="12759" spans="15:15" x14ac:dyDescent="0.25">
      <c r="O12759" s="20" t="str">
        <f>IF(N12759="","",COUNTIFS(RawData[[Date ]],N12759,RawData[Month List],$Q$6,RawData[Tour/Site],$Q$2,RawData[[Picker ID ]],$Q$3,RawData[Checker ID],$Q$4,RawData[[Error Type ]],$Q$5))</f>
        <v/>
      </c>
    </row>
    <row r="12760" spans="15:15" x14ac:dyDescent="0.25">
      <c r="O12760" s="20" t="str">
        <f>IF(N12760="","",COUNTIFS(RawData[[Date ]],N12760,RawData[Month List],$Q$6,RawData[Tour/Site],$Q$2,RawData[[Picker ID ]],$Q$3,RawData[Checker ID],$Q$4,RawData[[Error Type ]],$Q$5))</f>
        <v/>
      </c>
    </row>
    <row r="12761" spans="15:15" x14ac:dyDescent="0.25">
      <c r="O12761" s="20" t="str">
        <f>IF(N12761="","",COUNTIFS(RawData[[Date ]],N12761,RawData[Month List],$Q$6,RawData[Tour/Site],$Q$2,RawData[[Picker ID ]],$Q$3,RawData[Checker ID],$Q$4,RawData[[Error Type ]],$Q$5))</f>
        <v/>
      </c>
    </row>
    <row r="12762" spans="15:15" x14ac:dyDescent="0.25">
      <c r="O12762" s="20" t="str">
        <f>IF(N12762="","",COUNTIFS(RawData[[Date ]],N12762,RawData[Month List],$Q$6,RawData[Tour/Site],$Q$2,RawData[[Picker ID ]],$Q$3,RawData[Checker ID],$Q$4,RawData[[Error Type ]],$Q$5))</f>
        <v/>
      </c>
    </row>
    <row r="12763" spans="15:15" x14ac:dyDescent="0.25">
      <c r="O12763" s="20" t="str">
        <f>IF(N12763="","",COUNTIFS(RawData[[Date ]],N12763,RawData[Month List],$Q$6,RawData[Tour/Site],$Q$2,RawData[[Picker ID ]],$Q$3,RawData[Checker ID],$Q$4,RawData[[Error Type ]],$Q$5))</f>
        <v/>
      </c>
    </row>
    <row r="12764" spans="15:15" x14ac:dyDescent="0.25">
      <c r="O12764" s="20" t="str">
        <f>IF(N12764="","",COUNTIFS(RawData[[Date ]],N12764,RawData[Month List],$Q$6,RawData[Tour/Site],$Q$2,RawData[[Picker ID ]],$Q$3,RawData[Checker ID],$Q$4,RawData[[Error Type ]],$Q$5))</f>
        <v/>
      </c>
    </row>
    <row r="12765" spans="15:15" x14ac:dyDescent="0.25">
      <c r="O12765" s="20" t="str">
        <f>IF(N12765="","",COUNTIFS(RawData[[Date ]],N12765,RawData[Month List],$Q$6,RawData[Tour/Site],$Q$2,RawData[[Picker ID ]],$Q$3,RawData[Checker ID],$Q$4,RawData[[Error Type ]],$Q$5))</f>
        <v/>
      </c>
    </row>
    <row r="12766" spans="15:15" x14ac:dyDescent="0.25">
      <c r="O12766" s="20" t="str">
        <f>IF(N12766="","",COUNTIFS(RawData[[Date ]],N12766,RawData[Month List],$Q$6,RawData[Tour/Site],$Q$2,RawData[[Picker ID ]],$Q$3,RawData[Checker ID],$Q$4,RawData[[Error Type ]],$Q$5))</f>
        <v/>
      </c>
    </row>
    <row r="12767" spans="15:15" x14ac:dyDescent="0.25">
      <c r="O12767" s="20" t="str">
        <f>IF(N12767="","",COUNTIFS(RawData[[Date ]],N12767,RawData[Month List],$Q$6,RawData[Tour/Site],$Q$2,RawData[[Picker ID ]],$Q$3,RawData[Checker ID],$Q$4,RawData[[Error Type ]],$Q$5))</f>
        <v/>
      </c>
    </row>
    <row r="12768" spans="15:15" x14ac:dyDescent="0.25">
      <c r="O12768" s="20" t="str">
        <f>IF(N12768="","",COUNTIFS(RawData[[Date ]],N12768,RawData[Month List],$Q$6,RawData[Tour/Site],$Q$2,RawData[[Picker ID ]],$Q$3,RawData[Checker ID],$Q$4,RawData[[Error Type ]],$Q$5))</f>
        <v/>
      </c>
    </row>
    <row r="12769" spans="15:15" x14ac:dyDescent="0.25">
      <c r="O12769" s="20" t="str">
        <f>IF(N12769="","",COUNTIFS(RawData[[Date ]],N12769,RawData[Month List],$Q$6,RawData[Tour/Site],$Q$2,RawData[[Picker ID ]],$Q$3,RawData[Checker ID],$Q$4,RawData[[Error Type ]],$Q$5))</f>
        <v/>
      </c>
    </row>
    <row r="12770" spans="15:15" x14ac:dyDescent="0.25">
      <c r="O12770" s="20" t="str">
        <f>IF(N12770="","",COUNTIFS(RawData[[Date ]],N12770,RawData[Month List],$Q$6,RawData[Tour/Site],$Q$2,RawData[[Picker ID ]],$Q$3,RawData[Checker ID],$Q$4,RawData[[Error Type ]],$Q$5))</f>
        <v/>
      </c>
    </row>
    <row r="12771" spans="15:15" x14ac:dyDescent="0.25">
      <c r="O12771" s="20" t="str">
        <f>IF(N12771="","",COUNTIFS(RawData[[Date ]],N12771,RawData[Month List],$Q$6,RawData[Tour/Site],$Q$2,RawData[[Picker ID ]],$Q$3,RawData[Checker ID],$Q$4,RawData[[Error Type ]],$Q$5))</f>
        <v/>
      </c>
    </row>
    <row r="12772" spans="15:15" x14ac:dyDescent="0.25">
      <c r="O12772" s="20" t="str">
        <f>IF(N12772="","",COUNTIFS(RawData[[Date ]],N12772,RawData[Month List],$Q$6,RawData[Tour/Site],$Q$2,RawData[[Picker ID ]],$Q$3,RawData[Checker ID],$Q$4,RawData[[Error Type ]],$Q$5))</f>
        <v/>
      </c>
    </row>
    <row r="12773" spans="15:15" x14ac:dyDescent="0.25">
      <c r="O12773" s="20" t="str">
        <f>IF(N12773="","",COUNTIFS(RawData[[Date ]],N12773,RawData[Month List],$Q$6,RawData[Tour/Site],$Q$2,RawData[[Picker ID ]],$Q$3,RawData[Checker ID],$Q$4,RawData[[Error Type ]],$Q$5))</f>
        <v/>
      </c>
    </row>
    <row r="12774" spans="15:15" x14ac:dyDescent="0.25">
      <c r="O12774" s="20" t="str">
        <f>IF(N12774="","",COUNTIFS(RawData[[Date ]],N12774,RawData[Month List],$Q$6,RawData[Tour/Site],$Q$2,RawData[[Picker ID ]],$Q$3,RawData[Checker ID],$Q$4,RawData[[Error Type ]],$Q$5))</f>
        <v/>
      </c>
    </row>
    <row r="12775" spans="15:15" x14ac:dyDescent="0.25">
      <c r="O12775" s="20" t="str">
        <f>IF(N12775="","",COUNTIFS(RawData[[Date ]],N12775,RawData[Month List],$Q$6,RawData[Tour/Site],$Q$2,RawData[[Picker ID ]],$Q$3,RawData[Checker ID],$Q$4,RawData[[Error Type ]],$Q$5))</f>
        <v/>
      </c>
    </row>
    <row r="12776" spans="15:15" x14ac:dyDescent="0.25">
      <c r="O12776" s="20" t="str">
        <f>IF(N12776="","",COUNTIFS(RawData[[Date ]],N12776,RawData[Month List],$Q$6,RawData[Tour/Site],$Q$2,RawData[[Picker ID ]],$Q$3,RawData[Checker ID],$Q$4,RawData[[Error Type ]],$Q$5))</f>
        <v/>
      </c>
    </row>
    <row r="12777" spans="15:15" x14ac:dyDescent="0.25">
      <c r="O12777" s="20" t="str">
        <f>IF(N12777="","",COUNTIFS(RawData[[Date ]],N12777,RawData[Month List],$Q$6,RawData[Tour/Site],$Q$2,RawData[[Picker ID ]],$Q$3,RawData[Checker ID],$Q$4,RawData[[Error Type ]],$Q$5))</f>
        <v/>
      </c>
    </row>
    <row r="12778" spans="15:15" x14ac:dyDescent="0.25">
      <c r="O12778" s="20" t="str">
        <f>IF(N12778="","",COUNTIFS(RawData[[Date ]],N12778,RawData[Month List],$Q$6,RawData[Tour/Site],$Q$2,RawData[[Picker ID ]],$Q$3,RawData[Checker ID],$Q$4,RawData[[Error Type ]],$Q$5))</f>
        <v/>
      </c>
    </row>
    <row r="12779" spans="15:15" x14ac:dyDescent="0.25">
      <c r="O12779" s="20" t="str">
        <f>IF(N12779="","",COUNTIFS(RawData[[Date ]],N12779,RawData[Month List],$Q$6,RawData[Tour/Site],$Q$2,RawData[[Picker ID ]],$Q$3,RawData[Checker ID],$Q$4,RawData[[Error Type ]],$Q$5))</f>
        <v/>
      </c>
    </row>
    <row r="12780" spans="15:15" x14ac:dyDescent="0.25">
      <c r="O12780" s="20" t="str">
        <f>IF(N12780="","",COUNTIFS(RawData[[Date ]],N12780,RawData[Month List],$Q$6,RawData[Tour/Site],$Q$2,RawData[[Picker ID ]],$Q$3,RawData[Checker ID],$Q$4,RawData[[Error Type ]],$Q$5))</f>
        <v/>
      </c>
    </row>
    <row r="12781" spans="15:15" x14ac:dyDescent="0.25">
      <c r="O12781" s="20" t="str">
        <f>IF(N12781="","",COUNTIFS(RawData[[Date ]],N12781,RawData[Month List],$Q$6,RawData[Tour/Site],$Q$2,RawData[[Picker ID ]],$Q$3,RawData[Checker ID],$Q$4,RawData[[Error Type ]],$Q$5))</f>
        <v/>
      </c>
    </row>
    <row r="12782" spans="15:15" x14ac:dyDescent="0.25">
      <c r="O12782" s="20" t="str">
        <f>IF(N12782="","",COUNTIFS(RawData[[Date ]],N12782,RawData[Month List],$Q$6,RawData[Tour/Site],$Q$2,RawData[[Picker ID ]],$Q$3,RawData[Checker ID],$Q$4,RawData[[Error Type ]],$Q$5))</f>
        <v/>
      </c>
    </row>
    <row r="12783" spans="15:15" x14ac:dyDescent="0.25">
      <c r="O12783" s="20" t="str">
        <f>IF(N12783="","",COUNTIFS(RawData[[Date ]],N12783,RawData[Month List],$Q$6,RawData[Tour/Site],$Q$2,RawData[[Picker ID ]],$Q$3,RawData[Checker ID],$Q$4,RawData[[Error Type ]],$Q$5))</f>
        <v/>
      </c>
    </row>
    <row r="12784" spans="15:15" x14ac:dyDescent="0.25">
      <c r="O12784" s="20" t="str">
        <f>IF(N12784="","",COUNTIFS(RawData[[Date ]],N12784,RawData[Month List],$Q$6,RawData[Tour/Site],$Q$2,RawData[[Picker ID ]],$Q$3,RawData[Checker ID],$Q$4,RawData[[Error Type ]],$Q$5))</f>
        <v/>
      </c>
    </row>
    <row r="12785" spans="15:15" x14ac:dyDescent="0.25">
      <c r="O12785" s="20" t="str">
        <f>IF(N12785="","",COUNTIFS(RawData[[Date ]],N12785,RawData[Month List],$Q$6,RawData[Tour/Site],$Q$2,RawData[[Picker ID ]],$Q$3,RawData[Checker ID],$Q$4,RawData[[Error Type ]],$Q$5))</f>
        <v/>
      </c>
    </row>
    <row r="12786" spans="15:15" x14ac:dyDescent="0.25">
      <c r="O12786" s="20" t="str">
        <f>IF(N12786="","",COUNTIFS(RawData[[Date ]],N12786,RawData[Month List],$Q$6,RawData[Tour/Site],$Q$2,RawData[[Picker ID ]],$Q$3,RawData[Checker ID],$Q$4,RawData[[Error Type ]],$Q$5))</f>
        <v/>
      </c>
    </row>
    <row r="12787" spans="15:15" x14ac:dyDescent="0.25">
      <c r="O12787" s="20" t="str">
        <f>IF(N12787="","",COUNTIFS(RawData[[Date ]],N12787,RawData[Month List],$Q$6,RawData[Tour/Site],$Q$2,RawData[[Picker ID ]],$Q$3,RawData[Checker ID],$Q$4,RawData[[Error Type ]],$Q$5))</f>
        <v/>
      </c>
    </row>
    <row r="12788" spans="15:15" x14ac:dyDescent="0.25">
      <c r="O12788" s="20" t="str">
        <f>IF(N12788="","",COUNTIFS(RawData[[Date ]],N12788,RawData[Month List],$Q$6,RawData[Tour/Site],$Q$2,RawData[[Picker ID ]],$Q$3,RawData[Checker ID],$Q$4,RawData[[Error Type ]],$Q$5))</f>
        <v/>
      </c>
    </row>
    <row r="12789" spans="15:15" x14ac:dyDescent="0.25">
      <c r="O12789" s="20" t="str">
        <f>IF(N12789="","",COUNTIFS(RawData[[Date ]],N12789,RawData[Month List],$Q$6,RawData[Tour/Site],$Q$2,RawData[[Picker ID ]],$Q$3,RawData[Checker ID],$Q$4,RawData[[Error Type ]],$Q$5))</f>
        <v/>
      </c>
    </row>
    <row r="12790" spans="15:15" x14ac:dyDescent="0.25">
      <c r="O12790" s="20" t="str">
        <f>IF(N12790="","",COUNTIFS(RawData[[Date ]],N12790,RawData[Month List],$Q$6,RawData[Tour/Site],$Q$2,RawData[[Picker ID ]],$Q$3,RawData[Checker ID],$Q$4,RawData[[Error Type ]],$Q$5))</f>
        <v/>
      </c>
    </row>
    <row r="12791" spans="15:15" x14ac:dyDescent="0.25">
      <c r="O12791" s="20" t="str">
        <f>IF(N12791="","",COUNTIFS(RawData[[Date ]],N12791,RawData[Month List],$Q$6,RawData[Tour/Site],$Q$2,RawData[[Picker ID ]],$Q$3,RawData[Checker ID],$Q$4,RawData[[Error Type ]],$Q$5))</f>
        <v/>
      </c>
    </row>
    <row r="12792" spans="15:15" x14ac:dyDescent="0.25">
      <c r="O12792" s="20" t="str">
        <f>IF(N12792="","",COUNTIFS(RawData[[Date ]],N12792,RawData[Month List],$Q$6,RawData[Tour/Site],$Q$2,RawData[[Picker ID ]],$Q$3,RawData[Checker ID],$Q$4,RawData[[Error Type ]],$Q$5))</f>
        <v/>
      </c>
    </row>
    <row r="12793" spans="15:15" x14ac:dyDescent="0.25">
      <c r="O12793" s="20" t="str">
        <f>IF(N12793="","",COUNTIFS(RawData[[Date ]],N12793,RawData[Month List],$Q$6,RawData[Tour/Site],$Q$2,RawData[[Picker ID ]],$Q$3,RawData[Checker ID],$Q$4,RawData[[Error Type ]],$Q$5))</f>
        <v/>
      </c>
    </row>
    <row r="12794" spans="15:15" x14ac:dyDescent="0.25">
      <c r="O12794" s="20" t="str">
        <f>IF(N12794="","",COUNTIFS(RawData[[Date ]],N12794,RawData[Month List],$Q$6,RawData[Tour/Site],$Q$2,RawData[[Picker ID ]],$Q$3,RawData[Checker ID],$Q$4,RawData[[Error Type ]],$Q$5))</f>
        <v/>
      </c>
    </row>
    <row r="12795" spans="15:15" x14ac:dyDescent="0.25">
      <c r="O12795" s="20" t="str">
        <f>IF(N12795="","",COUNTIFS(RawData[[Date ]],N12795,RawData[Month List],$Q$6,RawData[Tour/Site],$Q$2,RawData[[Picker ID ]],$Q$3,RawData[Checker ID],$Q$4,RawData[[Error Type ]],$Q$5))</f>
        <v/>
      </c>
    </row>
    <row r="12796" spans="15:15" x14ac:dyDescent="0.25">
      <c r="O12796" s="20" t="str">
        <f>IF(N12796="","",COUNTIFS(RawData[[Date ]],N12796,RawData[Month List],$Q$6,RawData[Tour/Site],$Q$2,RawData[[Picker ID ]],$Q$3,RawData[Checker ID],$Q$4,RawData[[Error Type ]],$Q$5))</f>
        <v/>
      </c>
    </row>
    <row r="12797" spans="15:15" x14ac:dyDescent="0.25">
      <c r="O12797" s="20" t="str">
        <f>IF(N12797="","",COUNTIFS(RawData[[Date ]],N12797,RawData[Month List],$Q$6,RawData[Tour/Site],$Q$2,RawData[[Picker ID ]],$Q$3,RawData[Checker ID],$Q$4,RawData[[Error Type ]],$Q$5))</f>
        <v/>
      </c>
    </row>
    <row r="12798" spans="15:15" x14ac:dyDescent="0.25">
      <c r="O12798" s="20" t="str">
        <f>IF(N12798="","",COUNTIFS(RawData[[Date ]],N12798,RawData[Month List],$Q$6,RawData[Tour/Site],$Q$2,RawData[[Picker ID ]],$Q$3,RawData[Checker ID],$Q$4,RawData[[Error Type ]],$Q$5))</f>
        <v/>
      </c>
    </row>
    <row r="12799" spans="15:15" x14ac:dyDescent="0.25">
      <c r="O12799" s="20" t="str">
        <f>IF(N12799="","",COUNTIFS(RawData[[Date ]],N12799,RawData[Month List],$Q$6,RawData[Tour/Site],$Q$2,RawData[[Picker ID ]],$Q$3,RawData[Checker ID],$Q$4,RawData[[Error Type ]],$Q$5))</f>
        <v/>
      </c>
    </row>
    <row r="12800" spans="15:15" x14ac:dyDescent="0.25">
      <c r="O12800" s="20" t="str">
        <f>IF(N12800="","",COUNTIFS(RawData[[Date ]],N12800,RawData[Month List],$Q$6,RawData[Tour/Site],$Q$2,RawData[[Picker ID ]],$Q$3,RawData[Checker ID],$Q$4,RawData[[Error Type ]],$Q$5))</f>
        <v/>
      </c>
    </row>
    <row r="12801" spans="15:15" x14ac:dyDescent="0.25">
      <c r="O12801" s="20" t="str">
        <f>IF(N12801="","",COUNTIFS(RawData[[Date ]],N12801,RawData[Month List],$Q$6,RawData[Tour/Site],$Q$2,RawData[[Picker ID ]],$Q$3,RawData[Checker ID],$Q$4,RawData[[Error Type ]],$Q$5))</f>
        <v/>
      </c>
    </row>
    <row r="12802" spans="15:15" x14ac:dyDescent="0.25">
      <c r="O12802" s="20" t="str">
        <f>IF(N12802="","",COUNTIFS(RawData[[Date ]],N12802,RawData[Month List],$Q$6,RawData[Tour/Site],$Q$2,RawData[[Picker ID ]],$Q$3,RawData[Checker ID],$Q$4,RawData[[Error Type ]],$Q$5))</f>
        <v/>
      </c>
    </row>
    <row r="12803" spans="15:15" x14ac:dyDescent="0.25">
      <c r="O12803" s="20" t="str">
        <f>IF(N12803="","",COUNTIFS(RawData[[Date ]],N12803,RawData[Month List],$Q$6,RawData[Tour/Site],$Q$2,RawData[[Picker ID ]],$Q$3,RawData[Checker ID],$Q$4,RawData[[Error Type ]],$Q$5))</f>
        <v/>
      </c>
    </row>
    <row r="12804" spans="15:15" x14ac:dyDescent="0.25">
      <c r="O12804" s="20" t="str">
        <f>IF(N12804="","",COUNTIFS(RawData[[Date ]],N12804,RawData[Month List],$Q$6,RawData[Tour/Site],$Q$2,RawData[[Picker ID ]],$Q$3,RawData[Checker ID],$Q$4,RawData[[Error Type ]],$Q$5))</f>
        <v/>
      </c>
    </row>
    <row r="12805" spans="15:15" x14ac:dyDescent="0.25">
      <c r="O12805" s="20" t="str">
        <f>IF(N12805="","",COUNTIFS(RawData[[Date ]],N12805,RawData[Month List],$Q$6,RawData[Tour/Site],$Q$2,RawData[[Picker ID ]],$Q$3,RawData[Checker ID],$Q$4,RawData[[Error Type ]],$Q$5))</f>
        <v/>
      </c>
    </row>
    <row r="12806" spans="15:15" x14ac:dyDescent="0.25">
      <c r="O12806" s="20" t="str">
        <f>IF(N12806="","",COUNTIFS(RawData[[Date ]],N12806,RawData[Month List],$Q$6,RawData[Tour/Site],$Q$2,RawData[[Picker ID ]],$Q$3,RawData[Checker ID],$Q$4,RawData[[Error Type ]],$Q$5))</f>
        <v/>
      </c>
    </row>
    <row r="12807" spans="15:15" x14ac:dyDescent="0.25">
      <c r="O12807" s="20" t="str">
        <f>IF(N12807="","",COUNTIFS(RawData[[Date ]],N12807,RawData[Month List],$Q$6,RawData[Tour/Site],$Q$2,RawData[[Picker ID ]],$Q$3,RawData[Checker ID],$Q$4,RawData[[Error Type ]],$Q$5))</f>
        <v/>
      </c>
    </row>
    <row r="12808" spans="15:15" x14ac:dyDescent="0.25">
      <c r="O12808" s="20" t="str">
        <f>IF(N12808="","",COUNTIFS(RawData[[Date ]],N12808,RawData[Month List],$Q$6,RawData[Tour/Site],$Q$2,RawData[[Picker ID ]],$Q$3,RawData[Checker ID],$Q$4,RawData[[Error Type ]],$Q$5))</f>
        <v/>
      </c>
    </row>
    <row r="12809" spans="15:15" x14ac:dyDescent="0.25">
      <c r="O12809" s="20" t="str">
        <f>IF(N12809="","",COUNTIFS(RawData[[Date ]],N12809,RawData[Month List],$Q$6,RawData[Tour/Site],$Q$2,RawData[[Picker ID ]],$Q$3,RawData[Checker ID],$Q$4,RawData[[Error Type ]],$Q$5))</f>
        <v/>
      </c>
    </row>
    <row r="12810" spans="15:15" x14ac:dyDescent="0.25">
      <c r="O12810" s="20" t="str">
        <f>IF(N12810="","",COUNTIFS(RawData[[Date ]],N12810,RawData[Month List],$Q$6,RawData[Tour/Site],$Q$2,RawData[[Picker ID ]],$Q$3,RawData[Checker ID],$Q$4,RawData[[Error Type ]],$Q$5))</f>
        <v/>
      </c>
    </row>
    <row r="12811" spans="15:15" x14ac:dyDescent="0.25">
      <c r="O12811" s="20" t="str">
        <f>IF(N12811="","",COUNTIFS(RawData[[Date ]],N12811,RawData[Month List],$Q$6,RawData[Tour/Site],$Q$2,RawData[[Picker ID ]],$Q$3,RawData[Checker ID],$Q$4,RawData[[Error Type ]],$Q$5))</f>
        <v/>
      </c>
    </row>
    <row r="12812" spans="15:15" x14ac:dyDescent="0.25">
      <c r="O12812" s="20" t="str">
        <f>IF(N12812="","",COUNTIFS(RawData[[Date ]],N12812,RawData[Month List],$Q$6,RawData[Tour/Site],$Q$2,RawData[[Picker ID ]],$Q$3,RawData[Checker ID],$Q$4,RawData[[Error Type ]],$Q$5))</f>
        <v/>
      </c>
    </row>
    <row r="12813" spans="15:15" x14ac:dyDescent="0.25">
      <c r="O12813" s="20" t="str">
        <f>IF(N12813="","",COUNTIFS(RawData[[Date ]],N12813,RawData[Month List],$Q$6,RawData[Tour/Site],$Q$2,RawData[[Picker ID ]],$Q$3,RawData[Checker ID],$Q$4,RawData[[Error Type ]],$Q$5))</f>
        <v/>
      </c>
    </row>
    <row r="12814" spans="15:15" x14ac:dyDescent="0.25">
      <c r="O12814" s="20" t="str">
        <f>IF(N12814="","",COUNTIFS(RawData[[Date ]],N12814,RawData[Month List],$Q$6,RawData[Tour/Site],$Q$2,RawData[[Picker ID ]],$Q$3,RawData[Checker ID],$Q$4,RawData[[Error Type ]],$Q$5))</f>
        <v/>
      </c>
    </row>
    <row r="12815" spans="15:15" x14ac:dyDescent="0.25">
      <c r="O12815" s="20" t="str">
        <f>IF(N12815="","",COUNTIFS(RawData[[Date ]],N12815,RawData[Month List],$Q$6,RawData[Tour/Site],$Q$2,RawData[[Picker ID ]],$Q$3,RawData[Checker ID],$Q$4,RawData[[Error Type ]],$Q$5))</f>
        <v/>
      </c>
    </row>
    <row r="12816" spans="15:15" x14ac:dyDescent="0.25">
      <c r="O12816" s="20" t="str">
        <f>IF(N12816="","",COUNTIFS(RawData[[Date ]],N12816,RawData[Month List],$Q$6,RawData[Tour/Site],$Q$2,RawData[[Picker ID ]],$Q$3,RawData[Checker ID],$Q$4,RawData[[Error Type ]],$Q$5))</f>
        <v/>
      </c>
    </row>
    <row r="12817" spans="15:15" x14ac:dyDescent="0.25">
      <c r="O12817" s="20" t="str">
        <f>IF(N12817="","",COUNTIFS(RawData[[Date ]],N12817,RawData[Month List],$Q$6,RawData[Tour/Site],$Q$2,RawData[[Picker ID ]],$Q$3,RawData[Checker ID],$Q$4,RawData[[Error Type ]],$Q$5))</f>
        <v/>
      </c>
    </row>
    <row r="12818" spans="15:15" x14ac:dyDescent="0.25">
      <c r="O12818" s="20" t="str">
        <f>IF(N12818="","",COUNTIFS(RawData[[Date ]],N12818,RawData[Month List],$Q$6,RawData[Tour/Site],$Q$2,RawData[[Picker ID ]],$Q$3,RawData[Checker ID],$Q$4,RawData[[Error Type ]],$Q$5))</f>
        <v/>
      </c>
    </row>
    <row r="12819" spans="15:15" x14ac:dyDescent="0.25">
      <c r="O12819" s="20" t="str">
        <f>IF(N12819="","",COUNTIFS(RawData[[Date ]],N12819,RawData[Month List],$Q$6,RawData[Tour/Site],$Q$2,RawData[[Picker ID ]],$Q$3,RawData[Checker ID],$Q$4,RawData[[Error Type ]],$Q$5))</f>
        <v/>
      </c>
    </row>
    <row r="12820" spans="15:15" x14ac:dyDescent="0.25">
      <c r="O12820" s="20" t="str">
        <f>IF(N12820="","",COUNTIFS(RawData[[Date ]],N12820,RawData[Month List],$Q$6,RawData[Tour/Site],$Q$2,RawData[[Picker ID ]],$Q$3,RawData[Checker ID],$Q$4,RawData[[Error Type ]],$Q$5))</f>
        <v/>
      </c>
    </row>
    <row r="12821" spans="15:15" x14ac:dyDescent="0.25">
      <c r="O12821" s="20" t="str">
        <f>IF(N12821="","",COUNTIFS(RawData[[Date ]],N12821,RawData[Month List],$Q$6,RawData[Tour/Site],$Q$2,RawData[[Picker ID ]],$Q$3,RawData[Checker ID],$Q$4,RawData[[Error Type ]],$Q$5))</f>
        <v/>
      </c>
    </row>
    <row r="12822" spans="15:15" x14ac:dyDescent="0.25">
      <c r="O12822" s="20" t="str">
        <f>IF(N12822="","",COUNTIFS(RawData[[Date ]],N12822,RawData[Month List],$Q$6,RawData[Tour/Site],$Q$2,RawData[[Picker ID ]],$Q$3,RawData[Checker ID],$Q$4,RawData[[Error Type ]],$Q$5))</f>
        <v/>
      </c>
    </row>
    <row r="12823" spans="15:15" x14ac:dyDescent="0.25">
      <c r="O12823" s="20" t="str">
        <f>IF(N12823="","",COUNTIFS(RawData[[Date ]],N12823,RawData[Month List],$Q$6,RawData[Tour/Site],$Q$2,RawData[[Picker ID ]],$Q$3,RawData[Checker ID],$Q$4,RawData[[Error Type ]],$Q$5))</f>
        <v/>
      </c>
    </row>
    <row r="12824" spans="15:15" x14ac:dyDescent="0.25">
      <c r="O12824" s="20" t="str">
        <f>IF(N12824="","",COUNTIFS(RawData[[Date ]],N12824,RawData[Month List],$Q$6,RawData[Tour/Site],$Q$2,RawData[[Picker ID ]],$Q$3,RawData[Checker ID],$Q$4,RawData[[Error Type ]],$Q$5))</f>
        <v/>
      </c>
    </row>
    <row r="12825" spans="15:15" x14ac:dyDescent="0.25">
      <c r="O12825" s="20" t="str">
        <f>IF(N12825="","",COUNTIFS(RawData[[Date ]],N12825,RawData[Month List],$Q$6,RawData[Tour/Site],$Q$2,RawData[[Picker ID ]],$Q$3,RawData[Checker ID],$Q$4,RawData[[Error Type ]],$Q$5))</f>
        <v/>
      </c>
    </row>
    <row r="12826" spans="15:15" x14ac:dyDescent="0.25">
      <c r="O12826" s="20" t="str">
        <f>IF(N12826="","",COUNTIFS(RawData[[Date ]],N12826,RawData[Month List],$Q$6,RawData[Tour/Site],$Q$2,RawData[[Picker ID ]],$Q$3,RawData[Checker ID],$Q$4,RawData[[Error Type ]],$Q$5))</f>
        <v/>
      </c>
    </row>
    <row r="12827" spans="15:15" x14ac:dyDescent="0.25">
      <c r="O12827" s="20" t="str">
        <f>IF(N12827="","",COUNTIFS(RawData[[Date ]],N12827,RawData[Month List],$Q$6,RawData[Tour/Site],$Q$2,RawData[[Picker ID ]],$Q$3,RawData[Checker ID],$Q$4,RawData[[Error Type ]],$Q$5))</f>
        <v/>
      </c>
    </row>
    <row r="12828" spans="15:15" x14ac:dyDescent="0.25">
      <c r="O12828" s="20" t="str">
        <f>IF(N12828="","",COUNTIFS(RawData[[Date ]],N12828,RawData[Month List],$Q$6,RawData[Tour/Site],$Q$2,RawData[[Picker ID ]],$Q$3,RawData[Checker ID],$Q$4,RawData[[Error Type ]],$Q$5))</f>
        <v/>
      </c>
    </row>
    <row r="12829" spans="15:15" x14ac:dyDescent="0.25">
      <c r="O12829" s="20" t="str">
        <f>IF(N12829="","",COUNTIFS(RawData[[Date ]],N12829,RawData[Month List],$Q$6,RawData[Tour/Site],$Q$2,RawData[[Picker ID ]],$Q$3,RawData[Checker ID],$Q$4,RawData[[Error Type ]],$Q$5))</f>
        <v/>
      </c>
    </row>
    <row r="12830" spans="15:15" x14ac:dyDescent="0.25">
      <c r="O12830" s="20" t="str">
        <f>IF(N12830="","",COUNTIFS(RawData[[Date ]],N12830,RawData[Month List],$Q$6,RawData[Tour/Site],$Q$2,RawData[[Picker ID ]],$Q$3,RawData[Checker ID],$Q$4,RawData[[Error Type ]],$Q$5))</f>
        <v/>
      </c>
    </row>
    <row r="12831" spans="15:15" x14ac:dyDescent="0.25">
      <c r="O12831" s="20" t="str">
        <f>IF(N12831="","",COUNTIFS(RawData[[Date ]],N12831,RawData[Month List],$Q$6,RawData[Tour/Site],$Q$2,RawData[[Picker ID ]],$Q$3,RawData[Checker ID],$Q$4,RawData[[Error Type ]],$Q$5))</f>
        <v/>
      </c>
    </row>
    <row r="12832" spans="15:15" x14ac:dyDescent="0.25">
      <c r="O12832" s="20" t="str">
        <f>IF(N12832="","",COUNTIFS(RawData[[Date ]],N12832,RawData[Month List],$Q$6,RawData[Tour/Site],$Q$2,RawData[[Picker ID ]],$Q$3,RawData[Checker ID],$Q$4,RawData[[Error Type ]],$Q$5))</f>
        <v/>
      </c>
    </row>
    <row r="12833" spans="15:15" x14ac:dyDescent="0.25">
      <c r="O12833" s="20" t="str">
        <f>IF(N12833="","",COUNTIFS(RawData[[Date ]],N12833,RawData[Month List],$Q$6,RawData[Tour/Site],$Q$2,RawData[[Picker ID ]],$Q$3,RawData[Checker ID],$Q$4,RawData[[Error Type ]],$Q$5))</f>
        <v/>
      </c>
    </row>
    <row r="12834" spans="15:15" x14ac:dyDescent="0.25">
      <c r="O12834" s="20" t="str">
        <f>IF(N12834="","",COUNTIFS(RawData[[Date ]],N12834,RawData[Month List],$Q$6,RawData[Tour/Site],$Q$2,RawData[[Picker ID ]],$Q$3,RawData[Checker ID],$Q$4,RawData[[Error Type ]],$Q$5))</f>
        <v/>
      </c>
    </row>
    <row r="12835" spans="15:15" x14ac:dyDescent="0.25">
      <c r="O12835" s="20" t="str">
        <f>IF(N12835="","",COUNTIFS(RawData[[Date ]],N12835,RawData[Month List],$Q$6,RawData[Tour/Site],$Q$2,RawData[[Picker ID ]],$Q$3,RawData[Checker ID],$Q$4,RawData[[Error Type ]],$Q$5))</f>
        <v/>
      </c>
    </row>
    <row r="12836" spans="15:15" x14ac:dyDescent="0.25">
      <c r="O12836" s="20" t="str">
        <f>IF(N12836="","",COUNTIFS(RawData[[Date ]],N12836,RawData[Month List],$Q$6,RawData[Tour/Site],$Q$2,RawData[[Picker ID ]],$Q$3,RawData[Checker ID],$Q$4,RawData[[Error Type ]],$Q$5))</f>
        <v/>
      </c>
    </row>
    <row r="12837" spans="15:15" x14ac:dyDescent="0.25">
      <c r="O12837" s="20" t="str">
        <f>IF(N12837="","",COUNTIFS(RawData[[Date ]],N12837,RawData[Month List],$Q$6,RawData[Tour/Site],$Q$2,RawData[[Picker ID ]],$Q$3,RawData[Checker ID],$Q$4,RawData[[Error Type ]],$Q$5))</f>
        <v/>
      </c>
    </row>
    <row r="12838" spans="15:15" x14ac:dyDescent="0.25">
      <c r="O12838" s="20" t="str">
        <f>IF(N12838="","",COUNTIFS(RawData[[Date ]],N12838,RawData[Month List],$Q$6,RawData[Tour/Site],$Q$2,RawData[[Picker ID ]],$Q$3,RawData[Checker ID],$Q$4,RawData[[Error Type ]],$Q$5))</f>
        <v/>
      </c>
    </row>
    <row r="12839" spans="15:15" x14ac:dyDescent="0.25">
      <c r="O12839" s="20" t="str">
        <f>IF(N12839="","",COUNTIFS(RawData[[Date ]],N12839,RawData[Month List],$Q$6,RawData[Tour/Site],$Q$2,RawData[[Picker ID ]],$Q$3,RawData[Checker ID],$Q$4,RawData[[Error Type ]],$Q$5))</f>
        <v/>
      </c>
    </row>
    <row r="12840" spans="15:15" x14ac:dyDescent="0.25">
      <c r="O12840" s="20" t="str">
        <f>IF(N12840="","",COUNTIFS(RawData[[Date ]],N12840,RawData[Month List],$Q$6,RawData[Tour/Site],$Q$2,RawData[[Picker ID ]],$Q$3,RawData[Checker ID],$Q$4,RawData[[Error Type ]],$Q$5))</f>
        <v/>
      </c>
    </row>
    <row r="12841" spans="15:15" x14ac:dyDescent="0.25">
      <c r="O12841" s="20" t="str">
        <f>IF(N12841="","",COUNTIFS(RawData[[Date ]],N12841,RawData[Month List],$Q$6,RawData[Tour/Site],$Q$2,RawData[[Picker ID ]],$Q$3,RawData[Checker ID],$Q$4,RawData[[Error Type ]],$Q$5))</f>
        <v/>
      </c>
    </row>
    <row r="12842" spans="15:15" x14ac:dyDescent="0.25">
      <c r="O12842" s="20" t="str">
        <f>IF(N12842="","",COUNTIFS(RawData[[Date ]],N12842,RawData[Month List],$Q$6,RawData[Tour/Site],$Q$2,RawData[[Picker ID ]],$Q$3,RawData[Checker ID],$Q$4,RawData[[Error Type ]],$Q$5))</f>
        <v/>
      </c>
    </row>
    <row r="12843" spans="15:15" x14ac:dyDescent="0.25">
      <c r="O12843" s="20" t="str">
        <f>IF(N12843="","",COUNTIFS(RawData[[Date ]],N12843,RawData[Month List],$Q$6,RawData[Tour/Site],$Q$2,RawData[[Picker ID ]],$Q$3,RawData[Checker ID],$Q$4,RawData[[Error Type ]],$Q$5))</f>
        <v/>
      </c>
    </row>
    <row r="12844" spans="15:15" x14ac:dyDescent="0.25">
      <c r="O12844" s="20" t="str">
        <f>IF(N12844="","",COUNTIFS(RawData[[Date ]],N12844,RawData[Month List],$Q$6,RawData[Tour/Site],$Q$2,RawData[[Picker ID ]],$Q$3,RawData[Checker ID],$Q$4,RawData[[Error Type ]],$Q$5))</f>
        <v/>
      </c>
    </row>
    <row r="12845" spans="15:15" x14ac:dyDescent="0.25">
      <c r="O12845" s="20" t="str">
        <f>IF(N12845="","",COUNTIFS(RawData[[Date ]],N12845,RawData[Month List],$Q$6,RawData[Tour/Site],$Q$2,RawData[[Picker ID ]],$Q$3,RawData[Checker ID],$Q$4,RawData[[Error Type ]],$Q$5))</f>
        <v/>
      </c>
    </row>
    <row r="12846" spans="15:15" x14ac:dyDescent="0.25">
      <c r="O12846" s="20" t="str">
        <f>IF(N12846="","",COUNTIFS(RawData[[Date ]],N12846,RawData[Month List],$Q$6,RawData[Tour/Site],$Q$2,RawData[[Picker ID ]],$Q$3,RawData[Checker ID],$Q$4,RawData[[Error Type ]],$Q$5))</f>
        <v/>
      </c>
    </row>
    <row r="12847" spans="15:15" x14ac:dyDescent="0.25">
      <c r="O12847" s="20" t="str">
        <f>IF(N12847="","",COUNTIFS(RawData[[Date ]],N12847,RawData[Month List],$Q$6,RawData[Tour/Site],$Q$2,RawData[[Picker ID ]],$Q$3,RawData[Checker ID],$Q$4,RawData[[Error Type ]],$Q$5))</f>
        <v/>
      </c>
    </row>
    <row r="12848" spans="15:15" x14ac:dyDescent="0.25">
      <c r="O12848" s="20" t="str">
        <f>IF(N12848="","",COUNTIFS(RawData[[Date ]],N12848,RawData[Month List],$Q$6,RawData[Tour/Site],$Q$2,RawData[[Picker ID ]],$Q$3,RawData[Checker ID],$Q$4,RawData[[Error Type ]],$Q$5))</f>
        <v/>
      </c>
    </row>
    <row r="12849" spans="15:15" x14ac:dyDescent="0.25">
      <c r="O12849" s="20" t="str">
        <f>IF(N12849="","",COUNTIFS(RawData[[Date ]],N12849,RawData[Month List],$Q$6,RawData[Tour/Site],$Q$2,RawData[[Picker ID ]],$Q$3,RawData[Checker ID],$Q$4,RawData[[Error Type ]],$Q$5))</f>
        <v/>
      </c>
    </row>
    <row r="12850" spans="15:15" x14ac:dyDescent="0.25">
      <c r="O12850" s="20" t="str">
        <f>IF(N12850="","",COUNTIFS(RawData[[Date ]],N12850,RawData[Month List],$Q$6,RawData[Tour/Site],$Q$2,RawData[[Picker ID ]],$Q$3,RawData[Checker ID],$Q$4,RawData[[Error Type ]],$Q$5))</f>
        <v/>
      </c>
    </row>
    <row r="12851" spans="15:15" x14ac:dyDescent="0.25">
      <c r="O12851" s="20" t="str">
        <f>IF(N12851="","",COUNTIFS(RawData[[Date ]],N12851,RawData[Month List],$Q$6,RawData[Tour/Site],$Q$2,RawData[[Picker ID ]],$Q$3,RawData[Checker ID],$Q$4,RawData[[Error Type ]],$Q$5))</f>
        <v/>
      </c>
    </row>
    <row r="12852" spans="15:15" x14ac:dyDescent="0.25">
      <c r="O12852" s="20" t="str">
        <f>IF(N12852="","",COUNTIFS(RawData[[Date ]],N12852,RawData[Month List],$Q$6,RawData[Tour/Site],$Q$2,RawData[[Picker ID ]],$Q$3,RawData[Checker ID],$Q$4,RawData[[Error Type ]],$Q$5))</f>
        <v/>
      </c>
    </row>
    <row r="12853" spans="15:15" x14ac:dyDescent="0.25">
      <c r="O12853" s="20" t="str">
        <f>IF(N12853="","",COUNTIFS(RawData[[Date ]],N12853,RawData[Month List],$Q$6,RawData[Tour/Site],$Q$2,RawData[[Picker ID ]],$Q$3,RawData[Checker ID],$Q$4,RawData[[Error Type ]],$Q$5))</f>
        <v/>
      </c>
    </row>
    <row r="12854" spans="15:15" x14ac:dyDescent="0.25">
      <c r="O12854" s="20" t="str">
        <f>IF(N12854="","",COUNTIFS(RawData[[Date ]],N12854,RawData[Month List],$Q$6,RawData[Tour/Site],$Q$2,RawData[[Picker ID ]],$Q$3,RawData[Checker ID],$Q$4,RawData[[Error Type ]],$Q$5))</f>
        <v/>
      </c>
    </row>
    <row r="12855" spans="15:15" x14ac:dyDescent="0.25">
      <c r="O12855" s="20" t="str">
        <f>IF(N12855="","",COUNTIFS(RawData[[Date ]],N12855,RawData[Month List],$Q$6,RawData[Tour/Site],$Q$2,RawData[[Picker ID ]],$Q$3,RawData[Checker ID],$Q$4,RawData[[Error Type ]],$Q$5))</f>
        <v/>
      </c>
    </row>
    <row r="12856" spans="15:15" x14ac:dyDescent="0.25">
      <c r="O12856" s="20" t="str">
        <f>IF(N12856="","",COUNTIFS(RawData[[Date ]],N12856,RawData[Month List],$Q$6,RawData[Tour/Site],$Q$2,RawData[[Picker ID ]],$Q$3,RawData[Checker ID],$Q$4,RawData[[Error Type ]],$Q$5))</f>
        <v/>
      </c>
    </row>
    <row r="12857" spans="15:15" x14ac:dyDescent="0.25">
      <c r="O12857" s="20" t="str">
        <f>IF(N12857="","",COUNTIFS(RawData[[Date ]],N12857,RawData[Month List],$Q$6,RawData[Tour/Site],$Q$2,RawData[[Picker ID ]],$Q$3,RawData[Checker ID],$Q$4,RawData[[Error Type ]],$Q$5))</f>
        <v/>
      </c>
    </row>
    <row r="12858" spans="15:15" x14ac:dyDescent="0.25">
      <c r="O12858" s="20" t="str">
        <f>IF(N12858="","",COUNTIFS(RawData[[Date ]],N12858,RawData[Month List],$Q$6,RawData[Tour/Site],$Q$2,RawData[[Picker ID ]],$Q$3,RawData[Checker ID],$Q$4,RawData[[Error Type ]],$Q$5))</f>
        <v/>
      </c>
    </row>
    <row r="12859" spans="15:15" x14ac:dyDescent="0.25">
      <c r="O12859" s="20" t="str">
        <f>IF(N12859="","",COUNTIFS(RawData[[Date ]],N12859,RawData[Month List],$Q$6,RawData[Tour/Site],$Q$2,RawData[[Picker ID ]],$Q$3,RawData[Checker ID],$Q$4,RawData[[Error Type ]],$Q$5))</f>
        <v/>
      </c>
    </row>
    <row r="12860" spans="15:15" x14ac:dyDescent="0.25">
      <c r="O12860" s="20" t="str">
        <f>IF(N12860="","",COUNTIFS(RawData[[Date ]],N12860,RawData[Month List],$Q$6,RawData[Tour/Site],$Q$2,RawData[[Picker ID ]],$Q$3,RawData[Checker ID],$Q$4,RawData[[Error Type ]],$Q$5))</f>
        <v/>
      </c>
    </row>
    <row r="12861" spans="15:15" x14ac:dyDescent="0.25">
      <c r="O12861" s="20" t="str">
        <f>IF(N12861="","",COUNTIFS(RawData[[Date ]],N12861,RawData[Month List],$Q$6,RawData[Tour/Site],$Q$2,RawData[[Picker ID ]],$Q$3,RawData[Checker ID],$Q$4,RawData[[Error Type ]],$Q$5))</f>
        <v/>
      </c>
    </row>
    <row r="12862" spans="15:15" x14ac:dyDescent="0.25">
      <c r="O12862" s="20" t="str">
        <f>IF(N12862="","",COUNTIFS(RawData[[Date ]],N12862,RawData[Month List],$Q$6,RawData[Tour/Site],$Q$2,RawData[[Picker ID ]],$Q$3,RawData[Checker ID],$Q$4,RawData[[Error Type ]],$Q$5))</f>
        <v/>
      </c>
    </row>
    <row r="12863" spans="15:15" x14ac:dyDescent="0.25">
      <c r="O12863" s="20" t="str">
        <f>IF(N12863="","",COUNTIFS(RawData[[Date ]],N12863,RawData[Month List],$Q$6,RawData[Tour/Site],$Q$2,RawData[[Picker ID ]],$Q$3,RawData[Checker ID],$Q$4,RawData[[Error Type ]],$Q$5))</f>
        <v/>
      </c>
    </row>
    <row r="12864" spans="15:15" x14ac:dyDescent="0.25">
      <c r="O12864" s="20" t="str">
        <f>IF(N12864="","",COUNTIFS(RawData[[Date ]],N12864,RawData[Month List],$Q$6,RawData[Tour/Site],$Q$2,RawData[[Picker ID ]],$Q$3,RawData[Checker ID],$Q$4,RawData[[Error Type ]],$Q$5))</f>
        <v/>
      </c>
    </row>
    <row r="12865" spans="15:15" x14ac:dyDescent="0.25">
      <c r="O12865" s="20" t="str">
        <f>IF(N12865="","",COUNTIFS(RawData[[Date ]],N12865,RawData[Month List],$Q$6,RawData[Tour/Site],$Q$2,RawData[[Picker ID ]],$Q$3,RawData[Checker ID],$Q$4,RawData[[Error Type ]],$Q$5))</f>
        <v/>
      </c>
    </row>
    <row r="12866" spans="15:15" x14ac:dyDescent="0.25">
      <c r="O12866" s="20" t="str">
        <f>IF(N12866="","",COUNTIFS(RawData[[Date ]],N12866,RawData[Month List],$Q$6,RawData[Tour/Site],$Q$2,RawData[[Picker ID ]],$Q$3,RawData[Checker ID],$Q$4,RawData[[Error Type ]],$Q$5))</f>
        <v/>
      </c>
    </row>
    <row r="12867" spans="15:15" x14ac:dyDescent="0.25">
      <c r="O12867" s="20" t="str">
        <f>IF(N12867="","",COUNTIFS(RawData[[Date ]],N12867,RawData[Month List],$Q$6,RawData[Tour/Site],$Q$2,RawData[[Picker ID ]],$Q$3,RawData[Checker ID],$Q$4,RawData[[Error Type ]],$Q$5))</f>
        <v/>
      </c>
    </row>
    <row r="12868" spans="15:15" x14ac:dyDescent="0.25">
      <c r="O12868" s="20" t="str">
        <f>IF(N12868="","",COUNTIFS(RawData[[Date ]],N12868,RawData[Month List],$Q$6,RawData[Tour/Site],$Q$2,RawData[[Picker ID ]],$Q$3,RawData[Checker ID],$Q$4,RawData[[Error Type ]],$Q$5))</f>
        <v/>
      </c>
    </row>
    <row r="12869" spans="15:15" x14ac:dyDescent="0.25">
      <c r="O12869" s="20" t="str">
        <f>IF(N12869="","",COUNTIFS(RawData[[Date ]],N12869,RawData[Month List],$Q$6,RawData[Tour/Site],$Q$2,RawData[[Picker ID ]],$Q$3,RawData[Checker ID],$Q$4,RawData[[Error Type ]],$Q$5))</f>
        <v/>
      </c>
    </row>
    <row r="12870" spans="15:15" x14ac:dyDescent="0.25">
      <c r="O12870" s="20" t="str">
        <f>IF(N12870="","",COUNTIFS(RawData[[Date ]],N12870,RawData[Month List],$Q$6,RawData[Tour/Site],$Q$2,RawData[[Picker ID ]],$Q$3,RawData[Checker ID],$Q$4,RawData[[Error Type ]],$Q$5))</f>
        <v/>
      </c>
    </row>
    <row r="12871" spans="15:15" x14ac:dyDescent="0.25">
      <c r="O12871" s="20" t="str">
        <f>IF(N12871="","",COUNTIFS(RawData[[Date ]],N12871,RawData[Month List],$Q$6,RawData[Tour/Site],$Q$2,RawData[[Picker ID ]],$Q$3,RawData[Checker ID],$Q$4,RawData[[Error Type ]],$Q$5))</f>
        <v/>
      </c>
    </row>
    <row r="12872" spans="15:15" x14ac:dyDescent="0.25">
      <c r="O12872" s="20" t="str">
        <f>IF(N12872="","",COUNTIFS(RawData[[Date ]],N12872,RawData[Month List],$Q$6,RawData[Tour/Site],$Q$2,RawData[[Picker ID ]],$Q$3,RawData[Checker ID],$Q$4,RawData[[Error Type ]],$Q$5))</f>
        <v/>
      </c>
    </row>
    <row r="12873" spans="15:15" x14ac:dyDescent="0.25">
      <c r="O12873" s="20" t="str">
        <f>IF(N12873="","",COUNTIFS(RawData[[Date ]],N12873,RawData[Month List],$Q$6,RawData[Tour/Site],$Q$2,RawData[[Picker ID ]],$Q$3,RawData[Checker ID],$Q$4,RawData[[Error Type ]],$Q$5))</f>
        <v/>
      </c>
    </row>
    <row r="12874" spans="15:15" x14ac:dyDescent="0.25">
      <c r="O12874" s="20" t="str">
        <f>IF(N12874="","",COUNTIFS(RawData[[Date ]],N12874,RawData[Month List],$Q$6,RawData[Tour/Site],$Q$2,RawData[[Picker ID ]],$Q$3,RawData[Checker ID],$Q$4,RawData[[Error Type ]],$Q$5))</f>
        <v/>
      </c>
    </row>
    <row r="12875" spans="15:15" x14ac:dyDescent="0.25">
      <c r="O12875" s="20" t="str">
        <f>IF(N12875="","",COUNTIFS(RawData[[Date ]],N12875,RawData[Month List],$Q$6,RawData[Tour/Site],$Q$2,RawData[[Picker ID ]],$Q$3,RawData[Checker ID],$Q$4,RawData[[Error Type ]],$Q$5))</f>
        <v/>
      </c>
    </row>
    <row r="12876" spans="15:15" x14ac:dyDescent="0.25">
      <c r="O12876" s="20" t="str">
        <f>IF(N12876="","",COUNTIFS(RawData[[Date ]],N12876,RawData[Month List],$Q$6,RawData[Tour/Site],$Q$2,RawData[[Picker ID ]],$Q$3,RawData[Checker ID],$Q$4,RawData[[Error Type ]],$Q$5))</f>
        <v/>
      </c>
    </row>
    <row r="12877" spans="15:15" x14ac:dyDescent="0.25">
      <c r="O12877" s="20" t="str">
        <f>IF(N12877="","",COUNTIFS(RawData[[Date ]],N12877,RawData[Month List],$Q$6,RawData[Tour/Site],$Q$2,RawData[[Picker ID ]],$Q$3,RawData[Checker ID],$Q$4,RawData[[Error Type ]],$Q$5))</f>
        <v/>
      </c>
    </row>
    <row r="12878" spans="15:15" x14ac:dyDescent="0.25">
      <c r="O12878" s="20" t="str">
        <f>IF(N12878="","",COUNTIFS(RawData[[Date ]],N12878,RawData[Month List],$Q$6,RawData[Tour/Site],$Q$2,RawData[[Picker ID ]],$Q$3,RawData[Checker ID],$Q$4,RawData[[Error Type ]],$Q$5))</f>
        <v/>
      </c>
    </row>
    <row r="12879" spans="15:15" x14ac:dyDescent="0.25">
      <c r="O12879" s="20" t="str">
        <f>IF(N12879="","",COUNTIFS(RawData[[Date ]],N12879,RawData[Month List],$Q$6,RawData[Tour/Site],$Q$2,RawData[[Picker ID ]],$Q$3,RawData[Checker ID],$Q$4,RawData[[Error Type ]],$Q$5))</f>
        <v/>
      </c>
    </row>
    <row r="12880" spans="15:15" x14ac:dyDescent="0.25">
      <c r="O12880" s="20" t="str">
        <f>IF(N12880="","",COUNTIFS(RawData[[Date ]],N12880,RawData[Month List],$Q$6,RawData[Tour/Site],$Q$2,RawData[[Picker ID ]],$Q$3,RawData[Checker ID],$Q$4,RawData[[Error Type ]],$Q$5))</f>
        <v/>
      </c>
    </row>
    <row r="12881" spans="15:15" x14ac:dyDescent="0.25">
      <c r="O12881" s="20" t="str">
        <f>IF(N12881="","",COUNTIFS(RawData[[Date ]],N12881,RawData[Month List],$Q$6,RawData[Tour/Site],$Q$2,RawData[[Picker ID ]],$Q$3,RawData[Checker ID],$Q$4,RawData[[Error Type ]],$Q$5))</f>
        <v/>
      </c>
    </row>
    <row r="12882" spans="15:15" x14ac:dyDescent="0.25">
      <c r="O12882" s="20" t="str">
        <f>IF(N12882="","",COUNTIFS(RawData[[Date ]],N12882,RawData[Month List],$Q$6,RawData[Tour/Site],$Q$2,RawData[[Picker ID ]],$Q$3,RawData[Checker ID],$Q$4,RawData[[Error Type ]],$Q$5))</f>
        <v/>
      </c>
    </row>
    <row r="12883" spans="15:15" x14ac:dyDescent="0.25">
      <c r="O12883" s="20" t="str">
        <f>IF(N12883="","",COUNTIFS(RawData[[Date ]],N12883,RawData[Month List],$Q$6,RawData[Tour/Site],$Q$2,RawData[[Picker ID ]],$Q$3,RawData[Checker ID],$Q$4,RawData[[Error Type ]],$Q$5))</f>
        <v/>
      </c>
    </row>
    <row r="12884" spans="15:15" x14ac:dyDescent="0.25">
      <c r="O12884" s="20" t="str">
        <f>IF(N12884="","",COUNTIFS(RawData[[Date ]],N12884,RawData[Month List],$Q$6,RawData[Tour/Site],$Q$2,RawData[[Picker ID ]],$Q$3,RawData[Checker ID],$Q$4,RawData[[Error Type ]],$Q$5))</f>
        <v/>
      </c>
    </row>
    <row r="12885" spans="15:15" x14ac:dyDescent="0.25">
      <c r="O12885" s="20" t="str">
        <f>IF(N12885="","",COUNTIFS(RawData[[Date ]],N12885,RawData[Month List],$Q$6,RawData[Tour/Site],$Q$2,RawData[[Picker ID ]],$Q$3,RawData[Checker ID],$Q$4,RawData[[Error Type ]],$Q$5))</f>
        <v/>
      </c>
    </row>
    <row r="12886" spans="15:15" x14ac:dyDescent="0.25">
      <c r="O12886" s="20" t="str">
        <f>IF(N12886="","",COUNTIFS(RawData[[Date ]],N12886,RawData[Month List],$Q$6,RawData[Tour/Site],$Q$2,RawData[[Picker ID ]],$Q$3,RawData[Checker ID],$Q$4,RawData[[Error Type ]],$Q$5))</f>
        <v/>
      </c>
    </row>
    <row r="12887" spans="15:15" x14ac:dyDescent="0.25">
      <c r="O12887" s="20" t="str">
        <f>IF(N12887="","",COUNTIFS(RawData[[Date ]],N12887,RawData[Month List],$Q$6,RawData[Tour/Site],$Q$2,RawData[[Picker ID ]],$Q$3,RawData[Checker ID],$Q$4,RawData[[Error Type ]],$Q$5))</f>
        <v/>
      </c>
    </row>
    <row r="12888" spans="15:15" x14ac:dyDescent="0.25">
      <c r="O12888" s="20" t="str">
        <f>IF(N12888="","",COUNTIFS(RawData[[Date ]],N12888,RawData[Month List],$Q$6,RawData[Tour/Site],$Q$2,RawData[[Picker ID ]],$Q$3,RawData[Checker ID],$Q$4,RawData[[Error Type ]],$Q$5))</f>
        <v/>
      </c>
    </row>
    <row r="12889" spans="15:15" x14ac:dyDescent="0.25">
      <c r="O12889" s="20" t="str">
        <f>IF(N12889="","",COUNTIFS(RawData[[Date ]],N12889,RawData[Month List],$Q$6,RawData[Tour/Site],$Q$2,RawData[[Picker ID ]],$Q$3,RawData[Checker ID],$Q$4,RawData[[Error Type ]],$Q$5))</f>
        <v/>
      </c>
    </row>
    <row r="12890" spans="15:15" x14ac:dyDescent="0.25">
      <c r="O12890" s="20" t="str">
        <f>IF(N12890="","",COUNTIFS(RawData[[Date ]],N12890,RawData[Month List],$Q$6,RawData[Tour/Site],$Q$2,RawData[[Picker ID ]],$Q$3,RawData[Checker ID],$Q$4,RawData[[Error Type ]],$Q$5))</f>
        <v/>
      </c>
    </row>
    <row r="12891" spans="15:15" x14ac:dyDescent="0.25">
      <c r="O12891" s="20" t="str">
        <f>IF(N12891="","",COUNTIFS(RawData[[Date ]],N12891,RawData[Month List],$Q$6,RawData[Tour/Site],$Q$2,RawData[[Picker ID ]],$Q$3,RawData[Checker ID],$Q$4,RawData[[Error Type ]],$Q$5))</f>
        <v/>
      </c>
    </row>
    <row r="12892" spans="15:15" x14ac:dyDescent="0.25">
      <c r="O12892" s="20" t="str">
        <f>IF(N12892="","",COUNTIFS(RawData[[Date ]],N12892,RawData[Month List],$Q$6,RawData[Tour/Site],$Q$2,RawData[[Picker ID ]],$Q$3,RawData[Checker ID],$Q$4,RawData[[Error Type ]],$Q$5))</f>
        <v/>
      </c>
    </row>
    <row r="12893" spans="15:15" x14ac:dyDescent="0.25">
      <c r="O12893" s="20" t="str">
        <f>IF(N12893="","",COUNTIFS(RawData[[Date ]],N12893,RawData[Month List],$Q$6,RawData[Tour/Site],$Q$2,RawData[[Picker ID ]],$Q$3,RawData[Checker ID],$Q$4,RawData[[Error Type ]],$Q$5))</f>
        <v/>
      </c>
    </row>
    <row r="12894" spans="15:15" x14ac:dyDescent="0.25">
      <c r="O12894" s="20" t="str">
        <f>IF(N12894="","",COUNTIFS(RawData[[Date ]],N12894,RawData[Month List],$Q$6,RawData[Tour/Site],$Q$2,RawData[[Picker ID ]],$Q$3,RawData[Checker ID],$Q$4,RawData[[Error Type ]],$Q$5))</f>
        <v/>
      </c>
    </row>
    <row r="12895" spans="15:15" x14ac:dyDescent="0.25">
      <c r="O12895" s="20" t="str">
        <f>IF(N12895="","",COUNTIFS(RawData[[Date ]],N12895,RawData[Month List],$Q$6,RawData[Tour/Site],$Q$2,RawData[[Picker ID ]],$Q$3,RawData[Checker ID],$Q$4,RawData[[Error Type ]],$Q$5))</f>
        <v/>
      </c>
    </row>
    <row r="12896" spans="15:15" x14ac:dyDescent="0.25">
      <c r="O12896" s="20" t="str">
        <f>IF(N12896="","",COUNTIFS(RawData[[Date ]],N12896,RawData[Month List],$Q$6,RawData[Tour/Site],$Q$2,RawData[[Picker ID ]],$Q$3,RawData[Checker ID],$Q$4,RawData[[Error Type ]],$Q$5))</f>
        <v/>
      </c>
    </row>
    <row r="12897" spans="15:15" x14ac:dyDescent="0.25">
      <c r="O12897" s="20" t="str">
        <f>IF(N12897="","",COUNTIFS(RawData[[Date ]],N12897,RawData[Month List],$Q$6,RawData[Tour/Site],$Q$2,RawData[[Picker ID ]],$Q$3,RawData[Checker ID],$Q$4,RawData[[Error Type ]],$Q$5))</f>
        <v/>
      </c>
    </row>
    <row r="12898" spans="15:15" x14ac:dyDescent="0.25">
      <c r="O12898" s="20" t="str">
        <f>IF(N12898="","",COUNTIFS(RawData[[Date ]],N12898,RawData[Month List],$Q$6,RawData[Tour/Site],$Q$2,RawData[[Picker ID ]],$Q$3,RawData[Checker ID],$Q$4,RawData[[Error Type ]],$Q$5))</f>
        <v/>
      </c>
    </row>
    <row r="12899" spans="15:15" x14ac:dyDescent="0.25">
      <c r="O12899" s="20" t="str">
        <f>IF(N12899="","",COUNTIFS(RawData[[Date ]],N12899,RawData[Month List],$Q$6,RawData[Tour/Site],$Q$2,RawData[[Picker ID ]],$Q$3,RawData[Checker ID],$Q$4,RawData[[Error Type ]],$Q$5))</f>
        <v/>
      </c>
    </row>
    <row r="12900" spans="15:15" x14ac:dyDescent="0.25">
      <c r="O12900" s="20" t="str">
        <f>IF(N12900="","",COUNTIFS(RawData[[Date ]],N12900,RawData[Month List],$Q$6,RawData[Tour/Site],$Q$2,RawData[[Picker ID ]],$Q$3,RawData[Checker ID],$Q$4,RawData[[Error Type ]],$Q$5))</f>
        <v/>
      </c>
    </row>
    <row r="12901" spans="15:15" x14ac:dyDescent="0.25">
      <c r="O12901" s="20" t="str">
        <f>IF(N12901="","",COUNTIFS(RawData[[Date ]],N12901,RawData[Month List],$Q$6,RawData[Tour/Site],$Q$2,RawData[[Picker ID ]],$Q$3,RawData[Checker ID],$Q$4,RawData[[Error Type ]],$Q$5))</f>
        <v/>
      </c>
    </row>
    <row r="12902" spans="15:15" x14ac:dyDescent="0.25">
      <c r="O12902" s="20" t="str">
        <f>IF(N12902="","",COUNTIFS(RawData[[Date ]],N12902,RawData[Month List],$Q$6,RawData[Tour/Site],$Q$2,RawData[[Picker ID ]],$Q$3,RawData[Checker ID],$Q$4,RawData[[Error Type ]],$Q$5))</f>
        <v/>
      </c>
    </row>
    <row r="12903" spans="15:15" x14ac:dyDescent="0.25">
      <c r="O12903" s="20" t="str">
        <f>IF(N12903="","",COUNTIFS(RawData[[Date ]],N12903,RawData[Month List],$Q$6,RawData[Tour/Site],$Q$2,RawData[[Picker ID ]],$Q$3,RawData[Checker ID],$Q$4,RawData[[Error Type ]],$Q$5))</f>
        <v/>
      </c>
    </row>
    <row r="12904" spans="15:15" x14ac:dyDescent="0.25">
      <c r="O12904" s="20" t="str">
        <f>IF(N12904="","",COUNTIFS(RawData[[Date ]],N12904,RawData[Month List],$Q$6,RawData[Tour/Site],$Q$2,RawData[[Picker ID ]],$Q$3,RawData[Checker ID],$Q$4,RawData[[Error Type ]],$Q$5))</f>
        <v/>
      </c>
    </row>
    <row r="12905" spans="15:15" x14ac:dyDescent="0.25">
      <c r="O12905" s="20" t="str">
        <f>IF(N12905="","",COUNTIFS(RawData[[Date ]],N12905,RawData[Month List],$Q$6,RawData[Tour/Site],$Q$2,RawData[[Picker ID ]],$Q$3,RawData[Checker ID],$Q$4,RawData[[Error Type ]],$Q$5))</f>
        <v/>
      </c>
    </row>
    <row r="12906" spans="15:15" x14ac:dyDescent="0.25">
      <c r="O12906" s="20" t="str">
        <f>IF(N12906="","",COUNTIFS(RawData[[Date ]],N12906,RawData[Month List],$Q$6,RawData[Tour/Site],$Q$2,RawData[[Picker ID ]],$Q$3,RawData[Checker ID],$Q$4,RawData[[Error Type ]],$Q$5))</f>
        <v/>
      </c>
    </row>
    <row r="12907" spans="15:15" x14ac:dyDescent="0.25">
      <c r="O12907" s="20" t="str">
        <f>IF(N12907="","",COUNTIFS(RawData[[Date ]],N12907,RawData[Month List],$Q$6,RawData[Tour/Site],$Q$2,RawData[[Picker ID ]],$Q$3,RawData[Checker ID],$Q$4,RawData[[Error Type ]],$Q$5))</f>
        <v/>
      </c>
    </row>
    <row r="12908" spans="15:15" x14ac:dyDescent="0.25">
      <c r="O12908" s="20" t="str">
        <f>IF(N12908="","",COUNTIFS(RawData[[Date ]],N12908,RawData[Month List],$Q$6,RawData[Tour/Site],$Q$2,RawData[[Picker ID ]],$Q$3,RawData[Checker ID],$Q$4,RawData[[Error Type ]],$Q$5))</f>
        <v/>
      </c>
    </row>
    <row r="12909" spans="15:15" x14ac:dyDescent="0.25">
      <c r="O12909" s="20" t="str">
        <f>IF(N12909="","",COUNTIFS(RawData[[Date ]],N12909,RawData[Month List],$Q$6,RawData[Tour/Site],$Q$2,RawData[[Picker ID ]],$Q$3,RawData[Checker ID],$Q$4,RawData[[Error Type ]],$Q$5))</f>
        <v/>
      </c>
    </row>
    <row r="12910" spans="15:15" x14ac:dyDescent="0.25">
      <c r="O12910" s="20" t="str">
        <f>IF(N12910="","",COUNTIFS(RawData[[Date ]],N12910,RawData[Month List],$Q$6,RawData[Tour/Site],$Q$2,RawData[[Picker ID ]],$Q$3,RawData[Checker ID],$Q$4,RawData[[Error Type ]],$Q$5))</f>
        <v/>
      </c>
    </row>
    <row r="12911" spans="15:15" x14ac:dyDescent="0.25">
      <c r="O12911" s="20" t="str">
        <f>IF(N12911="","",COUNTIFS(RawData[[Date ]],N12911,RawData[Month List],$Q$6,RawData[Tour/Site],$Q$2,RawData[[Picker ID ]],$Q$3,RawData[Checker ID],$Q$4,RawData[[Error Type ]],$Q$5))</f>
        <v/>
      </c>
    </row>
    <row r="12912" spans="15:15" x14ac:dyDescent="0.25">
      <c r="O12912" s="20" t="str">
        <f>IF(N12912="","",COUNTIFS(RawData[[Date ]],N12912,RawData[Month List],$Q$6,RawData[Tour/Site],$Q$2,RawData[[Picker ID ]],$Q$3,RawData[Checker ID],$Q$4,RawData[[Error Type ]],$Q$5))</f>
        <v/>
      </c>
    </row>
    <row r="12913" spans="15:15" x14ac:dyDescent="0.25">
      <c r="O12913" s="20" t="str">
        <f>IF(N12913="","",COUNTIFS(RawData[[Date ]],N12913,RawData[Month List],$Q$6,RawData[Tour/Site],$Q$2,RawData[[Picker ID ]],$Q$3,RawData[Checker ID],$Q$4,RawData[[Error Type ]],$Q$5))</f>
        <v/>
      </c>
    </row>
    <row r="12914" spans="15:15" x14ac:dyDescent="0.25">
      <c r="O12914" s="20" t="str">
        <f>IF(N12914="","",COUNTIFS(RawData[[Date ]],N12914,RawData[Month List],$Q$6,RawData[Tour/Site],$Q$2,RawData[[Picker ID ]],$Q$3,RawData[Checker ID],$Q$4,RawData[[Error Type ]],$Q$5))</f>
        <v/>
      </c>
    </row>
    <row r="12915" spans="15:15" x14ac:dyDescent="0.25">
      <c r="O12915" s="20" t="str">
        <f>IF(N12915="","",COUNTIFS(RawData[[Date ]],N12915,RawData[Month List],$Q$6,RawData[Tour/Site],$Q$2,RawData[[Picker ID ]],$Q$3,RawData[Checker ID],$Q$4,RawData[[Error Type ]],$Q$5))</f>
        <v/>
      </c>
    </row>
    <row r="12916" spans="15:15" x14ac:dyDescent="0.25">
      <c r="O12916" s="20" t="str">
        <f>IF(N12916="","",COUNTIFS(RawData[[Date ]],N12916,RawData[Month List],$Q$6,RawData[Tour/Site],$Q$2,RawData[[Picker ID ]],$Q$3,RawData[Checker ID],$Q$4,RawData[[Error Type ]],$Q$5))</f>
        <v/>
      </c>
    </row>
    <row r="12917" spans="15:15" x14ac:dyDescent="0.25">
      <c r="O12917" s="20" t="str">
        <f>IF(N12917="","",COUNTIFS(RawData[[Date ]],N12917,RawData[Month List],$Q$6,RawData[Tour/Site],$Q$2,RawData[[Picker ID ]],$Q$3,RawData[Checker ID],$Q$4,RawData[[Error Type ]],$Q$5))</f>
        <v/>
      </c>
    </row>
    <row r="12918" spans="15:15" x14ac:dyDescent="0.25">
      <c r="O12918" s="20" t="str">
        <f>IF(N12918="","",COUNTIFS(RawData[[Date ]],N12918,RawData[Month List],$Q$6,RawData[Tour/Site],$Q$2,RawData[[Picker ID ]],$Q$3,RawData[Checker ID],$Q$4,RawData[[Error Type ]],$Q$5))</f>
        <v/>
      </c>
    </row>
    <row r="12919" spans="15:15" x14ac:dyDescent="0.25">
      <c r="O12919" s="20" t="str">
        <f>IF(N12919="","",COUNTIFS(RawData[[Date ]],N12919,RawData[Month List],$Q$6,RawData[Tour/Site],$Q$2,RawData[[Picker ID ]],$Q$3,RawData[Checker ID],$Q$4,RawData[[Error Type ]],$Q$5))</f>
        <v/>
      </c>
    </row>
    <row r="12920" spans="15:15" x14ac:dyDescent="0.25">
      <c r="O12920" s="20" t="str">
        <f>IF(N12920="","",COUNTIFS(RawData[[Date ]],N12920,RawData[Month List],$Q$6,RawData[Tour/Site],$Q$2,RawData[[Picker ID ]],$Q$3,RawData[Checker ID],$Q$4,RawData[[Error Type ]],$Q$5))</f>
        <v/>
      </c>
    </row>
    <row r="12921" spans="15:15" x14ac:dyDescent="0.25">
      <c r="O12921" s="20" t="str">
        <f>IF(N12921="","",COUNTIFS(RawData[[Date ]],N12921,RawData[Month List],$Q$6,RawData[Tour/Site],$Q$2,RawData[[Picker ID ]],$Q$3,RawData[Checker ID],$Q$4,RawData[[Error Type ]],$Q$5))</f>
        <v/>
      </c>
    </row>
    <row r="12922" spans="15:15" x14ac:dyDescent="0.25">
      <c r="O12922" s="20" t="str">
        <f>IF(N12922="","",COUNTIFS(RawData[[Date ]],N12922,RawData[Month List],$Q$6,RawData[Tour/Site],$Q$2,RawData[[Picker ID ]],$Q$3,RawData[Checker ID],$Q$4,RawData[[Error Type ]],$Q$5))</f>
        <v/>
      </c>
    </row>
    <row r="12923" spans="15:15" x14ac:dyDescent="0.25">
      <c r="O12923" s="20" t="str">
        <f>IF(N12923="","",COUNTIFS(RawData[[Date ]],N12923,RawData[Month List],$Q$6,RawData[Tour/Site],$Q$2,RawData[[Picker ID ]],$Q$3,RawData[Checker ID],$Q$4,RawData[[Error Type ]],$Q$5))</f>
        <v/>
      </c>
    </row>
    <row r="12924" spans="15:15" x14ac:dyDescent="0.25">
      <c r="O12924" s="20" t="str">
        <f>IF(N12924="","",COUNTIFS(RawData[[Date ]],N12924,RawData[Month List],$Q$6,RawData[Tour/Site],$Q$2,RawData[[Picker ID ]],$Q$3,RawData[Checker ID],$Q$4,RawData[[Error Type ]],$Q$5))</f>
        <v/>
      </c>
    </row>
    <row r="12925" spans="15:15" x14ac:dyDescent="0.25">
      <c r="O12925" s="20" t="str">
        <f>IF(N12925="","",COUNTIFS(RawData[[Date ]],N12925,RawData[Month List],$Q$6,RawData[Tour/Site],$Q$2,RawData[[Picker ID ]],$Q$3,RawData[Checker ID],$Q$4,RawData[[Error Type ]],$Q$5))</f>
        <v/>
      </c>
    </row>
    <row r="12926" spans="15:15" x14ac:dyDescent="0.25">
      <c r="O12926" s="20" t="str">
        <f>IF(N12926="","",COUNTIFS(RawData[[Date ]],N12926,RawData[Month List],$Q$6,RawData[Tour/Site],$Q$2,RawData[[Picker ID ]],$Q$3,RawData[Checker ID],$Q$4,RawData[[Error Type ]],$Q$5))</f>
        <v/>
      </c>
    </row>
    <row r="12927" spans="15:15" x14ac:dyDescent="0.25">
      <c r="O12927" s="20" t="str">
        <f>IF(N12927="","",COUNTIFS(RawData[[Date ]],N12927,RawData[Month List],$Q$6,RawData[Tour/Site],$Q$2,RawData[[Picker ID ]],$Q$3,RawData[Checker ID],$Q$4,RawData[[Error Type ]],$Q$5))</f>
        <v/>
      </c>
    </row>
    <row r="12928" spans="15:15" x14ac:dyDescent="0.25">
      <c r="O12928" s="20" t="str">
        <f>IF(N12928="","",COUNTIFS(RawData[[Date ]],N12928,RawData[Month List],$Q$6,RawData[Tour/Site],$Q$2,RawData[[Picker ID ]],$Q$3,RawData[Checker ID],$Q$4,RawData[[Error Type ]],$Q$5))</f>
        <v/>
      </c>
    </row>
    <row r="12929" spans="15:15" x14ac:dyDescent="0.25">
      <c r="O12929" s="20" t="str">
        <f>IF(N12929="","",COUNTIFS(RawData[[Date ]],N12929,RawData[Month List],$Q$6,RawData[Tour/Site],$Q$2,RawData[[Picker ID ]],$Q$3,RawData[Checker ID],$Q$4,RawData[[Error Type ]],$Q$5))</f>
        <v/>
      </c>
    </row>
    <row r="12930" spans="15:15" x14ac:dyDescent="0.25">
      <c r="O12930" s="20" t="str">
        <f>IF(N12930="","",COUNTIFS(RawData[[Date ]],N12930,RawData[Month List],$Q$6,RawData[Tour/Site],$Q$2,RawData[[Picker ID ]],$Q$3,RawData[Checker ID],$Q$4,RawData[[Error Type ]],$Q$5))</f>
        <v/>
      </c>
    </row>
    <row r="12931" spans="15:15" x14ac:dyDescent="0.25">
      <c r="O12931" s="20" t="str">
        <f>IF(N12931="","",COUNTIFS(RawData[[Date ]],N12931,RawData[Month List],$Q$6,RawData[Tour/Site],$Q$2,RawData[[Picker ID ]],$Q$3,RawData[Checker ID],$Q$4,RawData[[Error Type ]],$Q$5))</f>
        <v/>
      </c>
    </row>
    <row r="12932" spans="15:15" x14ac:dyDescent="0.25">
      <c r="O12932" s="20" t="str">
        <f>IF(N12932="","",COUNTIFS(RawData[[Date ]],N12932,RawData[Month List],$Q$6,RawData[Tour/Site],$Q$2,RawData[[Picker ID ]],$Q$3,RawData[Checker ID],$Q$4,RawData[[Error Type ]],$Q$5))</f>
        <v/>
      </c>
    </row>
    <row r="12933" spans="15:15" x14ac:dyDescent="0.25">
      <c r="O12933" s="20" t="str">
        <f>IF(N12933="","",COUNTIFS(RawData[[Date ]],N12933,RawData[Month List],$Q$6,RawData[Tour/Site],$Q$2,RawData[[Picker ID ]],$Q$3,RawData[Checker ID],$Q$4,RawData[[Error Type ]],$Q$5))</f>
        <v/>
      </c>
    </row>
    <row r="12934" spans="15:15" x14ac:dyDescent="0.25">
      <c r="O12934" s="20" t="str">
        <f>IF(N12934="","",COUNTIFS(RawData[[Date ]],N12934,RawData[Month List],$Q$6,RawData[Tour/Site],$Q$2,RawData[[Picker ID ]],$Q$3,RawData[Checker ID],$Q$4,RawData[[Error Type ]],$Q$5))</f>
        <v/>
      </c>
    </row>
    <row r="12935" spans="15:15" x14ac:dyDescent="0.25">
      <c r="O12935" s="20" t="str">
        <f>IF(N12935="","",COUNTIFS(RawData[[Date ]],N12935,RawData[Month List],$Q$6,RawData[Tour/Site],$Q$2,RawData[[Picker ID ]],$Q$3,RawData[Checker ID],$Q$4,RawData[[Error Type ]],$Q$5))</f>
        <v/>
      </c>
    </row>
    <row r="12936" spans="15:15" x14ac:dyDescent="0.25">
      <c r="O12936" s="20" t="str">
        <f>IF(N12936="","",COUNTIFS(RawData[[Date ]],N12936,RawData[Month List],$Q$6,RawData[Tour/Site],$Q$2,RawData[[Picker ID ]],$Q$3,RawData[Checker ID],$Q$4,RawData[[Error Type ]],$Q$5))</f>
        <v/>
      </c>
    </row>
    <row r="12937" spans="15:15" x14ac:dyDescent="0.25">
      <c r="O12937" s="20" t="str">
        <f>IF(N12937="","",COUNTIFS(RawData[[Date ]],N12937,RawData[Month List],$Q$6,RawData[Tour/Site],$Q$2,RawData[[Picker ID ]],$Q$3,RawData[Checker ID],$Q$4,RawData[[Error Type ]],$Q$5))</f>
        <v/>
      </c>
    </row>
    <row r="12938" spans="15:15" x14ac:dyDescent="0.25">
      <c r="O12938" s="20" t="str">
        <f>IF(N12938="","",COUNTIFS(RawData[[Date ]],N12938,RawData[Month List],$Q$6,RawData[Tour/Site],$Q$2,RawData[[Picker ID ]],$Q$3,RawData[Checker ID],$Q$4,RawData[[Error Type ]],$Q$5))</f>
        <v/>
      </c>
    </row>
    <row r="12939" spans="15:15" x14ac:dyDescent="0.25">
      <c r="O12939" s="20" t="str">
        <f>IF(N12939="","",COUNTIFS(RawData[[Date ]],N12939,RawData[Month List],$Q$6,RawData[Tour/Site],$Q$2,RawData[[Picker ID ]],$Q$3,RawData[Checker ID],$Q$4,RawData[[Error Type ]],$Q$5))</f>
        <v/>
      </c>
    </row>
    <row r="12940" spans="15:15" x14ac:dyDescent="0.25">
      <c r="O12940" s="20" t="str">
        <f>IF(N12940="","",COUNTIFS(RawData[[Date ]],N12940,RawData[Month List],$Q$6,RawData[Tour/Site],$Q$2,RawData[[Picker ID ]],$Q$3,RawData[Checker ID],$Q$4,RawData[[Error Type ]],$Q$5))</f>
        <v/>
      </c>
    </row>
    <row r="12941" spans="15:15" x14ac:dyDescent="0.25">
      <c r="O12941" s="20" t="str">
        <f>IF(N12941="","",COUNTIFS(RawData[[Date ]],N12941,RawData[Month List],$Q$6,RawData[Tour/Site],$Q$2,RawData[[Picker ID ]],$Q$3,RawData[Checker ID],$Q$4,RawData[[Error Type ]],$Q$5))</f>
        <v/>
      </c>
    </row>
    <row r="12942" spans="15:15" x14ac:dyDescent="0.25">
      <c r="O12942" s="20" t="str">
        <f>IF(N12942="","",COUNTIFS(RawData[[Date ]],N12942,RawData[Month List],$Q$6,RawData[Tour/Site],$Q$2,RawData[[Picker ID ]],$Q$3,RawData[Checker ID],$Q$4,RawData[[Error Type ]],$Q$5))</f>
        <v/>
      </c>
    </row>
    <row r="12943" spans="15:15" x14ac:dyDescent="0.25">
      <c r="O12943" s="20" t="str">
        <f>IF(N12943="","",COUNTIFS(RawData[[Date ]],N12943,RawData[Month List],$Q$6,RawData[Tour/Site],$Q$2,RawData[[Picker ID ]],$Q$3,RawData[Checker ID],$Q$4,RawData[[Error Type ]],$Q$5))</f>
        <v/>
      </c>
    </row>
    <row r="12944" spans="15:15" x14ac:dyDescent="0.25">
      <c r="O12944" s="20" t="str">
        <f>IF(N12944="","",COUNTIFS(RawData[[Date ]],N12944,RawData[Month List],$Q$6,RawData[Tour/Site],$Q$2,RawData[[Picker ID ]],$Q$3,RawData[Checker ID],$Q$4,RawData[[Error Type ]],$Q$5))</f>
        <v/>
      </c>
    </row>
    <row r="12945" spans="15:15" x14ac:dyDescent="0.25">
      <c r="O12945" s="20" t="str">
        <f>IF(N12945="","",COUNTIFS(RawData[[Date ]],N12945,RawData[Month List],$Q$6,RawData[Tour/Site],$Q$2,RawData[[Picker ID ]],$Q$3,RawData[Checker ID],$Q$4,RawData[[Error Type ]],$Q$5))</f>
        <v/>
      </c>
    </row>
    <row r="12946" spans="15:15" x14ac:dyDescent="0.25">
      <c r="O12946" s="20" t="str">
        <f>IF(N12946="","",COUNTIFS(RawData[[Date ]],N12946,RawData[Month List],$Q$6,RawData[Tour/Site],$Q$2,RawData[[Picker ID ]],$Q$3,RawData[Checker ID],$Q$4,RawData[[Error Type ]],$Q$5))</f>
        <v/>
      </c>
    </row>
    <row r="12947" spans="15:15" x14ac:dyDescent="0.25">
      <c r="O12947" s="20" t="str">
        <f>IF(N12947="","",COUNTIFS(RawData[[Date ]],N12947,RawData[Month List],$Q$6,RawData[Tour/Site],$Q$2,RawData[[Picker ID ]],$Q$3,RawData[Checker ID],$Q$4,RawData[[Error Type ]],$Q$5))</f>
        <v/>
      </c>
    </row>
    <row r="12948" spans="15:15" x14ac:dyDescent="0.25">
      <c r="O12948" s="20" t="str">
        <f>IF(N12948="","",COUNTIFS(RawData[[Date ]],N12948,RawData[Month List],$Q$6,RawData[Tour/Site],$Q$2,RawData[[Picker ID ]],$Q$3,RawData[Checker ID],$Q$4,RawData[[Error Type ]],$Q$5))</f>
        <v/>
      </c>
    </row>
    <row r="12949" spans="15:15" x14ac:dyDescent="0.25">
      <c r="O12949" s="20" t="str">
        <f>IF(N12949="","",COUNTIFS(RawData[[Date ]],N12949,RawData[Month List],$Q$6,RawData[Tour/Site],$Q$2,RawData[[Picker ID ]],$Q$3,RawData[Checker ID],$Q$4,RawData[[Error Type ]],$Q$5))</f>
        <v/>
      </c>
    </row>
    <row r="12950" spans="15:15" x14ac:dyDescent="0.25">
      <c r="O12950" s="20" t="str">
        <f>IF(N12950="","",COUNTIFS(RawData[[Date ]],N12950,RawData[Month List],$Q$6,RawData[Tour/Site],$Q$2,RawData[[Picker ID ]],$Q$3,RawData[Checker ID],$Q$4,RawData[[Error Type ]],$Q$5))</f>
        <v/>
      </c>
    </row>
    <row r="12951" spans="15:15" x14ac:dyDescent="0.25">
      <c r="O12951" s="20" t="str">
        <f>IF(N12951="","",COUNTIFS(RawData[[Date ]],N12951,RawData[Month List],$Q$6,RawData[Tour/Site],$Q$2,RawData[[Picker ID ]],$Q$3,RawData[Checker ID],$Q$4,RawData[[Error Type ]],$Q$5))</f>
        <v/>
      </c>
    </row>
    <row r="12952" spans="15:15" x14ac:dyDescent="0.25">
      <c r="O12952" s="20" t="str">
        <f>IF(N12952="","",COUNTIFS(RawData[[Date ]],N12952,RawData[Month List],$Q$6,RawData[Tour/Site],$Q$2,RawData[[Picker ID ]],$Q$3,RawData[Checker ID],$Q$4,RawData[[Error Type ]],$Q$5))</f>
        <v/>
      </c>
    </row>
    <row r="12953" spans="15:15" x14ac:dyDescent="0.25">
      <c r="O12953" s="20" t="str">
        <f>IF(N12953="","",COUNTIFS(RawData[[Date ]],N12953,RawData[Month List],$Q$6,RawData[Tour/Site],$Q$2,RawData[[Picker ID ]],$Q$3,RawData[Checker ID],$Q$4,RawData[[Error Type ]],$Q$5))</f>
        <v/>
      </c>
    </row>
    <row r="12954" spans="15:15" x14ac:dyDescent="0.25">
      <c r="O12954" s="20" t="str">
        <f>IF(N12954="","",COUNTIFS(RawData[[Date ]],N12954,RawData[Month List],$Q$6,RawData[Tour/Site],$Q$2,RawData[[Picker ID ]],$Q$3,RawData[Checker ID],$Q$4,RawData[[Error Type ]],$Q$5))</f>
        <v/>
      </c>
    </row>
    <row r="12955" spans="15:15" x14ac:dyDescent="0.25">
      <c r="O12955" s="20" t="str">
        <f>IF(N12955="","",COUNTIFS(RawData[[Date ]],N12955,RawData[Month List],$Q$6,RawData[Tour/Site],$Q$2,RawData[[Picker ID ]],$Q$3,RawData[Checker ID],$Q$4,RawData[[Error Type ]],$Q$5))</f>
        <v/>
      </c>
    </row>
    <row r="12956" spans="15:15" x14ac:dyDescent="0.25">
      <c r="O12956" s="20" t="str">
        <f>IF(N12956="","",COUNTIFS(RawData[[Date ]],N12956,RawData[Month List],$Q$6,RawData[Tour/Site],$Q$2,RawData[[Picker ID ]],$Q$3,RawData[Checker ID],$Q$4,RawData[[Error Type ]],$Q$5))</f>
        <v/>
      </c>
    </row>
    <row r="12957" spans="15:15" x14ac:dyDescent="0.25">
      <c r="O12957" s="20" t="str">
        <f>IF(N12957="","",COUNTIFS(RawData[[Date ]],N12957,RawData[Month List],$Q$6,RawData[Tour/Site],$Q$2,RawData[[Picker ID ]],$Q$3,RawData[Checker ID],$Q$4,RawData[[Error Type ]],$Q$5))</f>
        <v/>
      </c>
    </row>
    <row r="12958" spans="15:15" x14ac:dyDescent="0.25">
      <c r="O12958" s="20" t="str">
        <f>IF(N12958="","",COUNTIFS(RawData[[Date ]],N12958,RawData[Month List],$Q$6,RawData[Tour/Site],$Q$2,RawData[[Picker ID ]],$Q$3,RawData[Checker ID],$Q$4,RawData[[Error Type ]],$Q$5))</f>
        <v/>
      </c>
    </row>
    <row r="12959" spans="15:15" x14ac:dyDescent="0.25">
      <c r="O12959" s="20" t="str">
        <f>IF(N12959="","",COUNTIFS(RawData[[Date ]],N12959,RawData[Month List],$Q$6,RawData[Tour/Site],$Q$2,RawData[[Picker ID ]],$Q$3,RawData[Checker ID],$Q$4,RawData[[Error Type ]],$Q$5))</f>
        <v/>
      </c>
    </row>
    <row r="12960" spans="15:15" x14ac:dyDescent="0.25">
      <c r="O12960" s="20" t="str">
        <f>IF(N12960="","",COUNTIFS(RawData[[Date ]],N12960,RawData[Month List],$Q$6,RawData[Tour/Site],$Q$2,RawData[[Picker ID ]],$Q$3,RawData[Checker ID],$Q$4,RawData[[Error Type ]],$Q$5))</f>
        <v/>
      </c>
    </row>
    <row r="12961" spans="15:15" x14ac:dyDescent="0.25">
      <c r="O12961" s="20" t="str">
        <f>IF(N12961="","",COUNTIFS(RawData[[Date ]],N12961,RawData[Month List],$Q$6,RawData[Tour/Site],$Q$2,RawData[[Picker ID ]],$Q$3,RawData[Checker ID],$Q$4,RawData[[Error Type ]],$Q$5))</f>
        <v/>
      </c>
    </row>
    <row r="12962" spans="15:15" x14ac:dyDescent="0.25">
      <c r="O12962" s="20" t="str">
        <f>IF(N12962="","",COUNTIFS(RawData[[Date ]],N12962,RawData[Month List],$Q$6,RawData[Tour/Site],$Q$2,RawData[[Picker ID ]],$Q$3,RawData[Checker ID],$Q$4,RawData[[Error Type ]],$Q$5))</f>
        <v/>
      </c>
    </row>
    <row r="12963" spans="15:15" x14ac:dyDescent="0.25">
      <c r="O12963" s="20" t="str">
        <f>IF(N12963="","",COUNTIFS(RawData[[Date ]],N12963,RawData[Month List],$Q$6,RawData[Tour/Site],$Q$2,RawData[[Picker ID ]],$Q$3,RawData[Checker ID],$Q$4,RawData[[Error Type ]],$Q$5))</f>
        <v/>
      </c>
    </row>
    <row r="12964" spans="15:15" x14ac:dyDescent="0.25">
      <c r="O12964" s="20" t="str">
        <f>IF(N12964="","",COUNTIFS(RawData[[Date ]],N12964,RawData[Month List],$Q$6,RawData[Tour/Site],$Q$2,RawData[[Picker ID ]],$Q$3,RawData[Checker ID],$Q$4,RawData[[Error Type ]],$Q$5))</f>
        <v/>
      </c>
    </row>
    <row r="12965" spans="15:15" x14ac:dyDescent="0.25">
      <c r="O12965" s="20" t="str">
        <f>IF(N12965="","",COUNTIFS(RawData[[Date ]],N12965,RawData[Month List],$Q$6,RawData[Tour/Site],$Q$2,RawData[[Picker ID ]],$Q$3,RawData[Checker ID],$Q$4,RawData[[Error Type ]],$Q$5))</f>
        <v/>
      </c>
    </row>
    <row r="12966" spans="15:15" x14ac:dyDescent="0.25">
      <c r="O12966" s="20" t="str">
        <f>IF(N12966="","",COUNTIFS(RawData[[Date ]],N12966,RawData[Month List],$Q$6,RawData[Tour/Site],$Q$2,RawData[[Picker ID ]],$Q$3,RawData[Checker ID],$Q$4,RawData[[Error Type ]],$Q$5))</f>
        <v/>
      </c>
    </row>
    <row r="12967" spans="15:15" x14ac:dyDescent="0.25">
      <c r="O12967" s="20" t="str">
        <f>IF(N12967="","",COUNTIFS(RawData[[Date ]],N12967,RawData[Month List],$Q$6,RawData[Tour/Site],$Q$2,RawData[[Picker ID ]],$Q$3,RawData[Checker ID],$Q$4,RawData[[Error Type ]],$Q$5))</f>
        <v/>
      </c>
    </row>
    <row r="12968" spans="15:15" x14ac:dyDescent="0.25">
      <c r="O12968" s="20" t="str">
        <f>IF(N12968="","",COUNTIFS(RawData[[Date ]],N12968,RawData[Month List],$Q$6,RawData[Tour/Site],$Q$2,RawData[[Picker ID ]],$Q$3,RawData[Checker ID],$Q$4,RawData[[Error Type ]],$Q$5))</f>
        <v/>
      </c>
    </row>
    <row r="12969" spans="15:15" x14ac:dyDescent="0.25">
      <c r="O12969" s="20" t="str">
        <f>IF(N12969="","",COUNTIFS(RawData[[Date ]],N12969,RawData[Month List],$Q$6,RawData[Tour/Site],$Q$2,RawData[[Picker ID ]],$Q$3,RawData[Checker ID],$Q$4,RawData[[Error Type ]],$Q$5))</f>
        <v/>
      </c>
    </row>
    <row r="12970" spans="15:15" x14ac:dyDescent="0.25">
      <c r="O12970" s="20" t="str">
        <f>IF(N12970="","",COUNTIFS(RawData[[Date ]],N12970,RawData[Month List],$Q$6,RawData[Tour/Site],$Q$2,RawData[[Picker ID ]],$Q$3,RawData[Checker ID],$Q$4,RawData[[Error Type ]],$Q$5))</f>
        <v/>
      </c>
    </row>
    <row r="12971" spans="15:15" x14ac:dyDescent="0.25">
      <c r="O12971" s="20" t="str">
        <f>IF(N12971="","",COUNTIFS(RawData[[Date ]],N12971,RawData[Month List],$Q$6,RawData[Tour/Site],$Q$2,RawData[[Picker ID ]],$Q$3,RawData[Checker ID],$Q$4,RawData[[Error Type ]],$Q$5))</f>
        <v/>
      </c>
    </row>
    <row r="12972" spans="15:15" x14ac:dyDescent="0.25">
      <c r="O12972" s="20" t="str">
        <f>IF(N12972="","",COUNTIFS(RawData[[Date ]],N12972,RawData[Month List],$Q$6,RawData[Tour/Site],$Q$2,RawData[[Picker ID ]],$Q$3,RawData[Checker ID],$Q$4,RawData[[Error Type ]],$Q$5))</f>
        <v/>
      </c>
    </row>
    <row r="12973" spans="15:15" x14ac:dyDescent="0.25">
      <c r="O12973" s="20" t="str">
        <f>IF(N12973="","",COUNTIFS(RawData[[Date ]],N12973,RawData[Month List],$Q$6,RawData[Tour/Site],$Q$2,RawData[[Picker ID ]],$Q$3,RawData[Checker ID],$Q$4,RawData[[Error Type ]],$Q$5))</f>
        <v/>
      </c>
    </row>
    <row r="12974" spans="15:15" x14ac:dyDescent="0.25">
      <c r="O12974" s="20" t="str">
        <f>IF(N12974="","",COUNTIFS(RawData[[Date ]],N12974,RawData[Month List],$Q$6,RawData[Tour/Site],$Q$2,RawData[[Picker ID ]],$Q$3,RawData[Checker ID],$Q$4,RawData[[Error Type ]],$Q$5))</f>
        <v/>
      </c>
    </row>
    <row r="12975" spans="15:15" x14ac:dyDescent="0.25">
      <c r="O12975" s="20" t="str">
        <f>IF(N12975="","",COUNTIFS(RawData[[Date ]],N12975,RawData[Month List],$Q$6,RawData[Tour/Site],$Q$2,RawData[[Picker ID ]],$Q$3,RawData[Checker ID],$Q$4,RawData[[Error Type ]],$Q$5))</f>
        <v/>
      </c>
    </row>
    <row r="12976" spans="15:15" x14ac:dyDescent="0.25">
      <c r="O12976" s="20" t="str">
        <f>IF(N12976="","",COUNTIFS(RawData[[Date ]],N12976,RawData[Month List],$Q$6,RawData[Tour/Site],$Q$2,RawData[[Picker ID ]],$Q$3,RawData[Checker ID],$Q$4,RawData[[Error Type ]],$Q$5))</f>
        <v/>
      </c>
    </row>
    <row r="12977" spans="15:15" x14ac:dyDescent="0.25">
      <c r="O12977" s="20" t="str">
        <f>IF(N12977="","",COUNTIFS(RawData[[Date ]],N12977,RawData[Month List],$Q$6,RawData[Tour/Site],$Q$2,RawData[[Picker ID ]],$Q$3,RawData[Checker ID],$Q$4,RawData[[Error Type ]],$Q$5))</f>
        <v/>
      </c>
    </row>
    <row r="12978" spans="15:15" x14ac:dyDescent="0.25">
      <c r="O12978" s="20" t="str">
        <f>IF(N12978="","",COUNTIFS(RawData[[Date ]],N12978,RawData[Month List],$Q$6,RawData[Tour/Site],$Q$2,RawData[[Picker ID ]],$Q$3,RawData[Checker ID],$Q$4,RawData[[Error Type ]],$Q$5))</f>
        <v/>
      </c>
    </row>
    <row r="12979" spans="15:15" x14ac:dyDescent="0.25">
      <c r="O12979" s="20" t="str">
        <f>IF(N12979="","",COUNTIFS(RawData[[Date ]],N12979,RawData[Month List],$Q$6,RawData[Tour/Site],$Q$2,RawData[[Picker ID ]],$Q$3,RawData[Checker ID],$Q$4,RawData[[Error Type ]],$Q$5))</f>
        <v/>
      </c>
    </row>
    <row r="12980" spans="15:15" x14ac:dyDescent="0.25">
      <c r="O12980" s="20" t="str">
        <f>IF(N12980="","",COUNTIFS(RawData[[Date ]],N12980,RawData[Month List],$Q$6,RawData[Tour/Site],$Q$2,RawData[[Picker ID ]],$Q$3,RawData[Checker ID],$Q$4,RawData[[Error Type ]],$Q$5))</f>
        <v/>
      </c>
    </row>
    <row r="12981" spans="15:15" x14ac:dyDescent="0.25">
      <c r="O12981" s="20" t="str">
        <f>IF(N12981="","",COUNTIFS(RawData[[Date ]],N12981,RawData[Month List],$Q$6,RawData[Tour/Site],$Q$2,RawData[[Picker ID ]],$Q$3,RawData[Checker ID],$Q$4,RawData[[Error Type ]],$Q$5))</f>
        <v/>
      </c>
    </row>
    <row r="12982" spans="15:15" x14ac:dyDescent="0.25">
      <c r="O12982" s="20" t="str">
        <f>IF(N12982="","",COUNTIFS(RawData[[Date ]],N12982,RawData[Month List],$Q$6,RawData[Tour/Site],$Q$2,RawData[[Picker ID ]],$Q$3,RawData[Checker ID],$Q$4,RawData[[Error Type ]],$Q$5))</f>
        <v/>
      </c>
    </row>
    <row r="12983" spans="15:15" x14ac:dyDescent="0.25">
      <c r="O12983" s="20" t="str">
        <f>IF(N12983="","",COUNTIFS(RawData[[Date ]],N12983,RawData[Month List],$Q$6,RawData[Tour/Site],$Q$2,RawData[[Picker ID ]],$Q$3,RawData[Checker ID],$Q$4,RawData[[Error Type ]],$Q$5))</f>
        <v/>
      </c>
    </row>
    <row r="12984" spans="15:15" x14ac:dyDescent="0.25">
      <c r="O12984" s="20" t="str">
        <f>IF(N12984="","",COUNTIFS(RawData[[Date ]],N12984,RawData[Month List],$Q$6,RawData[Tour/Site],$Q$2,RawData[[Picker ID ]],$Q$3,RawData[Checker ID],$Q$4,RawData[[Error Type ]],$Q$5))</f>
        <v/>
      </c>
    </row>
    <row r="12985" spans="15:15" x14ac:dyDescent="0.25">
      <c r="O12985" s="20" t="str">
        <f>IF(N12985="","",COUNTIFS(RawData[[Date ]],N12985,RawData[Month List],$Q$6,RawData[Tour/Site],$Q$2,RawData[[Picker ID ]],$Q$3,RawData[Checker ID],$Q$4,RawData[[Error Type ]],$Q$5))</f>
        <v/>
      </c>
    </row>
    <row r="12986" spans="15:15" x14ac:dyDescent="0.25">
      <c r="O12986" s="20" t="str">
        <f>IF(N12986="","",COUNTIFS(RawData[[Date ]],N12986,RawData[Month List],$Q$6,RawData[Tour/Site],$Q$2,RawData[[Picker ID ]],$Q$3,RawData[Checker ID],$Q$4,RawData[[Error Type ]],$Q$5))</f>
        <v/>
      </c>
    </row>
    <row r="12987" spans="15:15" x14ac:dyDescent="0.25">
      <c r="O12987" s="20" t="str">
        <f>IF(N12987="","",COUNTIFS(RawData[[Date ]],N12987,RawData[Month List],$Q$6,RawData[Tour/Site],$Q$2,RawData[[Picker ID ]],$Q$3,RawData[Checker ID],$Q$4,RawData[[Error Type ]],$Q$5))</f>
        <v/>
      </c>
    </row>
    <row r="12988" spans="15:15" x14ac:dyDescent="0.25">
      <c r="O12988" s="20" t="str">
        <f>IF(N12988="","",COUNTIFS(RawData[[Date ]],N12988,RawData[Month List],$Q$6,RawData[Tour/Site],$Q$2,RawData[[Picker ID ]],$Q$3,RawData[Checker ID],$Q$4,RawData[[Error Type ]],$Q$5))</f>
        <v/>
      </c>
    </row>
    <row r="12989" spans="15:15" x14ac:dyDescent="0.25">
      <c r="O12989" s="20" t="str">
        <f>IF(N12989="","",COUNTIFS(RawData[[Date ]],N12989,RawData[Month List],$Q$6,RawData[Tour/Site],$Q$2,RawData[[Picker ID ]],$Q$3,RawData[Checker ID],$Q$4,RawData[[Error Type ]],$Q$5))</f>
        <v/>
      </c>
    </row>
    <row r="12990" spans="15:15" x14ac:dyDescent="0.25">
      <c r="O12990" s="20" t="str">
        <f>IF(N12990="","",COUNTIFS(RawData[[Date ]],N12990,RawData[Month List],$Q$6,RawData[Tour/Site],$Q$2,RawData[[Picker ID ]],$Q$3,RawData[Checker ID],$Q$4,RawData[[Error Type ]],$Q$5))</f>
        <v/>
      </c>
    </row>
    <row r="12991" spans="15:15" x14ac:dyDescent="0.25">
      <c r="O12991" s="20" t="str">
        <f>IF(N12991="","",COUNTIFS(RawData[[Date ]],N12991,RawData[Month List],$Q$6,RawData[Tour/Site],$Q$2,RawData[[Picker ID ]],$Q$3,RawData[Checker ID],$Q$4,RawData[[Error Type ]],$Q$5))</f>
        <v/>
      </c>
    </row>
    <row r="12992" spans="15:15" x14ac:dyDescent="0.25">
      <c r="O12992" s="20" t="str">
        <f>IF(N12992="","",COUNTIFS(RawData[[Date ]],N12992,RawData[Month List],$Q$6,RawData[Tour/Site],$Q$2,RawData[[Picker ID ]],$Q$3,RawData[Checker ID],$Q$4,RawData[[Error Type ]],$Q$5))</f>
        <v/>
      </c>
    </row>
    <row r="12993" spans="15:15" x14ac:dyDescent="0.25">
      <c r="O12993" s="20" t="str">
        <f>IF(N12993="","",COUNTIFS(RawData[[Date ]],N12993,RawData[Month List],$Q$6,RawData[Tour/Site],$Q$2,RawData[[Picker ID ]],$Q$3,RawData[Checker ID],$Q$4,RawData[[Error Type ]],$Q$5))</f>
        <v/>
      </c>
    </row>
    <row r="12994" spans="15:15" x14ac:dyDescent="0.25">
      <c r="O12994" s="20" t="str">
        <f>IF(N12994="","",COUNTIFS(RawData[[Date ]],N12994,RawData[Month List],$Q$6,RawData[Tour/Site],$Q$2,RawData[[Picker ID ]],$Q$3,RawData[Checker ID],$Q$4,RawData[[Error Type ]],$Q$5))</f>
        <v/>
      </c>
    </row>
    <row r="12995" spans="15:15" x14ac:dyDescent="0.25">
      <c r="O12995" s="20" t="str">
        <f>IF(N12995="","",COUNTIFS(RawData[[Date ]],N12995,RawData[Month List],$Q$6,RawData[Tour/Site],$Q$2,RawData[[Picker ID ]],$Q$3,RawData[Checker ID],$Q$4,RawData[[Error Type ]],$Q$5))</f>
        <v/>
      </c>
    </row>
    <row r="12996" spans="15:15" x14ac:dyDescent="0.25">
      <c r="O12996" s="20" t="str">
        <f>IF(N12996="","",COUNTIFS(RawData[[Date ]],N12996,RawData[Month List],$Q$6,RawData[Tour/Site],$Q$2,RawData[[Picker ID ]],$Q$3,RawData[Checker ID],$Q$4,RawData[[Error Type ]],$Q$5))</f>
        <v/>
      </c>
    </row>
    <row r="12997" spans="15:15" x14ac:dyDescent="0.25">
      <c r="O12997" s="20" t="str">
        <f>IF(N12997="","",COUNTIFS(RawData[[Date ]],N12997,RawData[Month List],$Q$6,RawData[Tour/Site],$Q$2,RawData[[Picker ID ]],$Q$3,RawData[Checker ID],$Q$4,RawData[[Error Type ]],$Q$5))</f>
        <v/>
      </c>
    </row>
    <row r="12998" spans="15:15" x14ac:dyDescent="0.25">
      <c r="O12998" s="20" t="str">
        <f>IF(N12998="","",COUNTIFS(RawData[[Date ]],N12998,RawData[Month List],$Q$6,RawData[Tour/Site],$Q$2,RawData[[Picker ID ]],$Q$3,RawData[Checker ID],$Q$4,RawData[[Error Type ]],$Q$5))</f>
        <v/>
      </c>
    </row>
    <row r="12999" spans="15:15" x14ac:dyDescent="0.25">
      <c r="O12999" s="20" t="str">
        <f>IF(N12999="","",COUNTIFS(RawData[[Date ]],N12999,RawData[Month List],$Q$6,RawData[Tour/Site],$Q$2,RawData[[Picker ID ]],$Q$3,RawData[Checker ID],$Q$4,RawData[[Error Type ]],$Q$5))</f>
        <v/>
      </c>
    </row>
    <row r="13000" spans="15:15" x14ac:dyDescent="0.25">
      <c r="O13000" s="20" t="str">
        <f>IF(N13000="","",COUNTIFS(RawData[[Date ]],N13000,RawData[Month List],$Q$6,RawData[Tour/Site],$Q$2,RawData[[Picker ID ]],$Q$3,RawData[Checker ID],$Q$4,RawData[[Error Type ]],$Q$5))</f>
        <v/>
      </c>
    </row>
    <row r="13001" spans="15:15" x14ac:dyDescent="0.25">
      <c r="O13001" s="20" t="str">
        <f>IF(N13001="","",COUNTIFS(RawData[[Date ]],N13001,RawData[Month List],$Q$6,RawData[Tour/Site],$Q$2,RawData[[Picker ID ]],$Q$3,RawData[Checker ID],$Q$4,RawData[[Error Type ]],$Q$5))</f>
        <v/>
      </c>
    </row>
    <row r="13002" spans="15:15" x14ac:dyDescent="0.25">
      <c r="O13002" s="20" t="str">
        <f>IF(N13002="","",COUNTIFS(RawData[[Date ]],N13002,RawData[Month List],$Q$6,RawData[Tour/Site],$Q$2,RawData[[Picker ID ]],$Q$3,RawData[Checker ID],$Q$4,RawData[[Error Type ]],$Q$5))</f>
        <v/>
      </c>
    </row>
    <row r="13003" spans="15:15" x14ac:dyDescent="0.25">
      <c r="O13003" s="20" t="str">
        <f>IF(N13003="","",COUNTIFS(RawData[[Date ]],N13003,RawData[Month List],$Q$6,RawData[Tour/Site],$Q$2,RawData[[Picker ID ]],$Q$3,RawData[Checker ID],$Q$4,RawData[[Error Type ]],$Q$5))</f>
        <v/>
      </c>
    </row>
    <row r="13004" spans="15:15" x14ac:dyDescent="0.25">
      <c r="O13004" s="20" t="str">
        <f>IF(N13004="","",COUNTIFS(RawData[[Date ]],N13004,RawData[Month List],$Q$6,RawData[Tour/Site],$Q$2,RawData[[Picker ID ]],$Q$3,RawData[Checker ID],$Q$4,RawData[[Error Type ]],$Q$5))</f>
        <v/>
      </c>
    </row>
    <row r="13005" spans="15:15" x14ac:dyDescent="0.25">
      <c r="O13005" s="20" t="str">
        <f>IF(N13005="","",COUNTIFS(RawData[[Date ]],N13005,RawData[Month List],$Q$6,RawData[Tour/Site],$Q$2,RawData[[Picker ID ]],$Q$3,RawData[Checker ID],$Q$4,RawData[[Error Type ]],$Q$5))</f>
        <v/>
      </c>
    </row>
    <row r="13006" spans="15:15" x14ac:dyDescent="0.25">
      <c r="O13006" s="20" t="str">
        <f>IF(N13006="","",COUNTIFS(RawData[[Date ]],N13006,RawData[Month List],$Q$6,RawData[Tour/Site],$Q$2,RawData[[Picker ID ]],$Q$3,RawData[Checker ID],$Q$4,RawData[[Error Type ]],$Q$5))</f>
        <v/>
      </c>
    </row>
    <row r="13007" spans="15:15" x14ac:dyDescent="0.25">
      <c r="O13007" s="20" t="str">
        <f>IF(N13007="","",COUNTIFS(RawData[[Date ]],N13007,RawData[Month List],$Q$6,RawData[Tour/Site],$Q$2,RawData[[Picker ID ]],$Q$3,RawData[Checker ID],$Q$4,RawData[[Error Type ]],$Q$5))</f>
        <v/>
      </c>
    </row>
    <row r="13008" spans="15:15" x14ac:dyDescent="0.25">
      <c r="O13008" s="20" t="str">
        <f>IF(N13008="","",COUNTIFS(RawData[[Date ]],N13008,RawData[Month List],$Q$6,RawData[Tour/Site],$Q$2,RawData[[Picker ID ]],$Q$3,RawData[Checker ID],$Q$4,RawData[[Error Type ]],$Q$5))</f>
        <v/>
      </c>
    </row>
    <row r="13009" spans="15:15" x14ac:dyDescent="0.25">
      <c r="O13009" s="20" t="str">
        <f>IF(N13009="","",COUNTIFS(RawData[[Date ]],N13009,RawData[Month List],$Q$6,RawData[Tour/Site],$Q$2,RawData[[Picker ID ]],$Q$3,RawData[Checker ID],$Q$4,RawData[[Error Type ]],$Q$5))</f>
        <v/>
      </c>
    </row>
    <row r="13010" spans="15:15" x14ac:dyDescent="0.25">
      <c r="O13010" s="20" t="str">
        <f>IF(N13010="","",COUNTIFS(RawData[[Date ]],N13010,RawData[Month List],$Q$6,RawData[Tour/Site],$Q$2,RawData[[Picker ID ]],$Q$3,RawData[Checker ID],$Q$4,RawData[[Error Type ]],$Q$5))</f>
        <v/>
      </c>
    </row>
    <row r="13011" spans="15:15" x14ac:dyDescent="0.25">
      <c r="O13011" s="20" t="str">
        <f>IF(N13011="","",COUNTIFS(RawData[[Date ]],N13011,RawData[Month List],$Q$6,RawData[Tour/Site],$Q$2,RawData[[Picker ID ]],$Q$3,RawData[Checker ID],$Q$4,RawData[[Error Type ]],$Q$5))</f>
        <v/>
      </c>
    </row>
    <row r="13012" spans="15:15" x14ac:dyDescent="0.25">
      <c r="O13012" s="20" t="str">
        <f>IF(N13012="","",COUNTIFS(RawData[[Date ]],N13012,RawData[Month List],$Q$6,RawData[Tour/Site],$Q$2,RawData[[Picker ID ]],$Q$3,RawData[Checker ID],$Q$4,RawData[[Error Type ]],$Q$5))</f>
        <v/>
      </c>
    </row>
    <row r="13013" spans="15:15" x14ac:dyDescent="0.25">
      <c r="O13013" s="20" t="str">
        <f>IF(N13013="","",COUNTIFS(RawData[[Date ]],N13013,RawData[Month List],$Q$6,RawData[Tour/Site],$Q$2,RawData[[Picker ID ]],$Q$3,RawData[Checker ID],$Q$4,RawData[[Error Type ]],$Q$5))</f>
        <v/>
      </c>
    </row>
    <row r="13014" spans="15:15" x14ac:dyDescent="0.25">
      <c r="O13014" s="20" t="str">
        <f>IF(N13014="","",COUNTIFS(RawData[[Date ]],N13014,RawData[Month List],$Q$6,RawData[Tour/Site],$Q$2,RawData[[Picker ID ]],$Q$3,RawData[Checker ID],$Q$4,RawData[[Error Type ]],$Q$5))</f>
        <v/>
      </c>
    </row>
    <row r="13015" spans="15:15" x14ac:dyDescent="0.25">
      <c r="O13015" s="20" t="str">
        <f>IF(N13015="","",COUNTIFS(RawData[[Date ]],N13015,RawData[Month List],$Q$6,RawData[Tour/Site],$Q$2,RawData[[Picker ID ]],$Q$3,RawData[Checker ID],$Q$4,RawData[[Error Type ]],$Q$5))</f>
        <v/>
      </c>
    </row>
    <row r="13016" spans="15:15" x14ac:dyDescent="0.25">
      <c r="O13016" s="20" t="str">
        <f>IF(N13016="","",COUNTIFS(RawData[[Date ]],N13016,RawData[Month List],$Q$6,RawData[Tour/Site],$Q$2,RawData[[Picker ID ]],$Q$3,RawData[Checker ID],$Q$4,RawData[[Error Type ]],$Q$5))</f>
        <v/>
      </c>
    </row>
    <row r="13017" spans="15:15" x14ac:dyDescent="0.25">
      <c r="O13017" s="20" t="str">
        <f>IF(N13017="","",COUNTIFS(RawData[[Date ]],N13017,RawData[Month List],$Q$6,RawData[Tour/Site],$Q$2,RawData[[Picker ID ]],$Q$3,RawData[Checker ID],$Q$4,RawData[[Error Type ]],$Q$5))</f>
        <v/>
      </c>
    </row>
    <row r="13018" spans="15:15" x14ac:dyDescent="0.25">
      <c r="O13018" s="20" t="str">
        <f>IF(N13018="","",COUNTIFS(RawData[[Date ]],N13018,RawData[Month List],$Q$6,RawData[Tour/Site],$Q$2,RawData[[Picker ID ]],$Q$3,RawData[Checker ID],$Q$4,RawData[[Error Type ]],$Q$5))</f>
        <v/>
      </c>
    </row>
    <row r="13019" spans="15:15" x14ac:dyDescent="0.25">
      <c r="O13019" s="20" t="str">
        <f>IF(N13019="","",COUNTIFS(RawData[[Date ]],N13019,RawData[Month List],$Q$6,RawData[Tour/Site],$Q$2,RawData[[Picker ID ]],$Q$3,RawData[Checker ID],$Q$4,RawData[[Error Type ]],$Q$5))</f>
        <v/>
      </c>
    </row>
    <row r="13020" spans="15:15" x14ac:dyDescent="0.25">
      <c r="O13020" s="20" t="str">
        <f>IF(N13020="","",COUNTIFS(RawData[[Date ]],N13020,RawData[Month List],$Q$6,RawData[Tour/Site],$Q$2,RawData[[Picker ID ]],$Q$3,RawData[Checker ID],$Q$4,RawData[[Error Type ]],$Q$5))</f>
        <v/>
      </c>
    </row>
    <row r="13021" spans="15:15" x14ac:dyDescent="0.25">
      <c r="O13021" s="20" t="str">
        <f>IF(N13021="","",COUNTIFS(RawData[[Date ]],N13021,RawData[Month List],$Q$6,RawData[Tour/Site],$Q$2,RawData[[Picker ID ]],$Q$3,RawData[Checker ID],$Q$4,RawData[[Error Type ]],$Q$5))</f>
        <v/>
      </c>
    </row>
    <row r="13022" spans="15:15" x14ac:dyDescent="0.25">
      <c r="O13022" s="20" t="str">
        <f>IF(N13022="","",COUNTIFS(RawData[[Date ]],N13022,RawData[Month List],$Q$6,RawData[Tour/Site],$Q$2,RawData[[Picker ID ]],$Q$3,RawData[Checker ID],$Q$4,RawData[[Error Type ]],$Q$5))</f>
        <v/>
      </c>
    </row>
    <row r="13023" spans="15:15" x14ac:dyDescent="0.25">
      <c r="O13023" s="20" t="str">
        <f>IF(N13023="","",COUNTIFS(RawData[[Date ]],N13023,RawData[Month List],$Q$6,RawData[Tour/Site],$Q$2,RawData[[Picker ID ]],$Q$3,RawData[Checker ID],$Q$4,RawData[[Error Type ]],$Q$5))</f>
        <v/>
      </c>
    </row>
    <row r="13024" spans="15:15" x14ac:dyDescent="0.25">
      <c r="O13024" s="20" t="str">
        <f>IF(N13024="","",COUNTIFS(RawData[[Date ]],N13024,RawData[Month List],$Q$6,RawData[Tour/Site],$Q$2,RawData[[Picker ID ]],$Q$3,RawData[Checker ID],$Q$4,RawData[[Error Type ]],$Q$5))</f>
        <v/>
      </c>
    </row>
    <row r="13025" spans="15:15" x14ac:dyDescent="0.25">
      <c r="O13025" s="20" t="str">
        <f>IF(N13025="","",COUNTIFS(RawData[[Date ]],N13025,RawData[Month List],$Q$6,RawData[Tour/Site],$Q$2,RawData[[Picker ID ]],$Q$3,RawData[Checker ID],$Q$4,RawData[[Error Type ]],$Q$5))</f>
        <v/>
      </c>
    </row>
    <row r="13026" spans="15:15" x14ac:dyDescent="0.25">
      <c r="O13026" s="20" t="str">
        <f>IF(N13026="","",COUNTIFS(RawData[[Date ]],N13026,RawData[Month List],$Q$6,RawData[Tour/Site],$Q$2,RawData[[Picker ID ]],$Q$3,RawData[Checker ID],$Q$4,RawData[[Error Type ]],$Q$5))</f>
        <v/>
      </c>
    </row>
    <row r="13027" spans="15:15" x14ac:dyDescent="0.25">
      <c r="O13027" s="20" t="str">
        <f>IF(N13027="","",COUNTIFS(RawData[[Date ]],N13027,RawData[Month List],$Q$6,RawData[Tour/Site],$Q$2,RawData[[Picker ID ]],$Q$3,RawData[Checker ID],$Q$4,RawData[[Error Type ]],$Q$5))</f>
        <v/>
      </c>
    </row>
    <row r="13028" spans="15:15" x14ac:dyDescent="0.25">
      <c r="O13028" s="20" t="str">
        <f>IF(N13028="","",COUNTIFS(RawData[[Date ]],N13028,RawData[Month List],$Q$6,RawData[Tour/Site],$Q$2,RawData[[Picker ID ]],$Q$3,RawData[Checker ID],$Q$4,RawData[[Error Type ]],$Q$5))</f>
        <v/>
      </c>
    </row>
    <row r="13029" spans="15:15" x14ac:dyDescent="0.25">
      <c r="O13029" s="20" t="str">
        <f>IF(N13029="","",COUNTIFS(RawData[[Date ]],N13029,RawData[Month List],$Q$6,RawData[Tour/Site],$Q$2,RawData[[Picker ID ]],$Q$3,RawData[Checker ID],$Q$4,RawData[[Error Type ]],$Q$5))</f>
        <v/>
      </c>
    </row>
    <row r="13030" spans="15:15" x14ac:dyDescent="0.25">
      <c r="O13030" s="20" t="str">
        <f>IF(N13030="","",COUNTIFS(RawData[[Date ]],N13030,RawData[Month List],$Q$6,RawData[Tour/Site],$Q$2,RawData[[Picker ID ]],$Q$3,RawData[Checker ID],$Q$4,RawData[[Error Type ]],$Q$5))</f>
        <v/>
      </c>
    </row>
    <row r="13031" spans="15:15" x14ac:dyDescent="0.25">
      <c r="O13031" s="20" t="str">
        <f>IF(N13031="","",COUNTIFS(RawData[[Date ]],N13031,RawData[Month List],$Q$6,RawData[Tour/Site],$Q$2,RawData[[Picker ID ]],$Q$3,RawData[Checker ID],$Q$4,RawData[[Error Type ]],$Q$5))</f>
        <v/>
      </c>
    </row>
    <row r="13032" spans="15:15" x14ac:dyDescent="0.25">
      <c r="O13032" s="20" t="str">
        <f>IF(N13032="","",COUNTIFS(RawData[[Date ]],N13032,RawData[Month List],$Q$6,RawData[Tour/Site],$Q$2,RawData[[Picker ID ]],$Q$3,RawData[Checker ID],$Q$4,RawData[[Error Type ]],$Q$5))</f>
        <v/>
      </c>
    </row>
    <row r="13033" spans="15:15" x14ac:dyDescent="0.25">
      <c r="O13033" s="20" t="str">
        <f>IF(N13033="","",COUNTIFS(RawData[[Date ]],N13033,RawData[Month List],$Q$6,RawData[Tour/Site],$Q$2,RawData[[Picker ID ]],$Q$3,RawData[Checker ID],$Q$4,RawData[[Error Type ]],$Q$5))</f>
        <v/>
      </c>
    </row>
    <row r="13034" spans="15:15" x14ac:dyDescent="0.25">
      <c r="O13034" s="20" t="str">
        <f>IF(N13034="","",COUNTIFS(RawData[[Date ]],N13034,RawData[Month List],$Q$6,RawData[Tour/Site],$Q$2,RawData[[Picker ID ]],$Q$3,RawData[Checker ID],$Q$4,RawData[[Error Type ]],$Q$5))</f>
        <v/>
      </c>
    </row>
    <row r="13035" spans="15:15" x14ac:dyDescent="0.25">
      <c r="O13035" s="20" t="str">
        <f>IF(N13035="","",COUNTIFS(RawData[[Date ]],N13035,RawData[Month List],$Q$6,RawData[Tour/Site],$Q$2,RawData[[Picker ID ]],$Q$3,RawData[Checker ID],$Q$4,RawData[[Error Type ]],$Q$5))</f>
        <v/>
      </c>
    </row>
    <row r="13036" spans="15:15" x14ac:dyDescent="0.25">
      <c r="O13036" s="20" t="str">
        <f>IF(N13036="","",COUNTIFS(RawData[[Date ]],N13036,RawData[Month List],$Q$6,RawData[Tour/Site],$Q$2,RawData[[Picker ID ]],$Q$3,RawData[Checker ID],$Q$4,RawData[[Error Type ]],$Q$5))</f>
        <v/>
      </c>
    </row>
    <row r="13037" spans="15:15" x14ac:dyDescent="0.25">
      <c r="O13037" s="20" t="str">
        <f>IF(N13037="","",COUNTIFS(RawData[[Date ]],N13037,RawData[Month List],$Q$6,RawData[Tour/Site],$Q$2,RawData[[Picker ID ]],$Q$3,RawData[Checker ID],$Q$4,RawData[[Error Type ]],$Q$5))</f>
        <v/>
      </c>
    </row>
    <row r="13038" spans="15:15" x14ac:dyDescent="0.25">
      <c r="O13038" s="20" t="str">
        <f>IF(N13038="","",COUNTIFS(RawData[[Date ]],N13038,RawData[Month List],$Q$6,RawData[Tour/Site],$Q$2,RawData[[Picker ID ]],$Q$3,RawData[Checker ID],$Q$4,RawData[[Error Type ]],$Q$5))</f>
        <v/>
      </c>
    </row>
    <row r="13039" spans="15:15" x14ac:dyDescent="0.25">
      <c r="O13039" s="20" t="str">
        <f>IF(N13039="","",COUNTIFS(RawData[[Date ]],N13039,RawData[Month List],$Q$6,RawData[Tour/Site],$Q$2,RawData[[Picker ID ]],$Q$3,RawData[Checker ID],$Q$4,RawData[[Error Type ]],$Q$5))</f>
        <v/>
      </c>
    </row>
    <row r="13040" spans="15:15" x14ac:dyDescent="0.25">
      <c r="O13040" s="20" t="str">
        <f>IF(N13040="","",COUNTIFS(RawData[[Date ]],N13040,RawData[Month List],$Q$6,RawData[Tour/Site],$Q$2,RawData[[Picker ID ]],$Q$3,RawData[Checker ID],$Q$4,RawData[[Error Type ]],$Q$5))</f>
        <v/>
      </c>
    </row>
    <row r="13041" spans="15:15" x14ac:dyDescent="0.25">
      <c r="O13041" s="20" t="str">
        <f>IF(N13041="","",COUNTIFS(RawData[[Date ]],N13041,RawData[Month List],$Q$6,RawData[Tour/Site],$Q$2,RawData[[Picker ID ]],$Q$3,RawData[Checker ID],$Q$4,RawData[[Error Type ]],$Q$5))</f>
        <v/>
      </c>
    </row>
    <row r="13042" spans="15:15" x14ac:dyDescent="0.25">
      <c r="O13042" s="20" t="str">
        <f>IF(N13042="","",COUNTIFS(RawData[[Date ]],N13042,RawData[Month List],$Q$6,RawData[Tour/Site],$Q$2,RawData[[Picker ID ]],$Q$3,RawData[Checker ID],$Q$4,RawData[[Error Type ]],$Q$5))</f>
        <v/>
      </c>
    </row>
    <row r="13043" spans="15:15" x14ac:dyDescent="0.25">
      <c r="O13043" s="20" t="str">
        <f>IF(N13043="","",COUNTIFS(RawData[[Date ]],N13043,RawData[Month List],$Q$6,RawData[Tour/Site],$Q$2,RawData[[Picker ID ]],$Q$3,RawData[Checker ID],$Q$4,RawData[[Error Type ]],$Q$5))</f>
        <v/>
      </c>
    </row>
    <row r="13044" spans="15:15" x14ac:dyDescent="0.25">
      <c r="O13044" s="20" t="str">
        <f>IF(N13044="","",COUNTIFS(RawData[[Date ]],N13044,RawData[Month List],$Q$6,RawData[Tour/Site],$Q$2,RawData[[Picker ID ]],$Q$3,RawData[Checker ID],$Q$4,RawData[[Error Type ]],$Q$5))</f>
        <v/>
      </c>
    </row>
    <row r="13045" spans="15:15" x14ac:dyDescent="0.25">
      <c r="O13045" s="20" t="str">
        <f>IF(N13045="","",COUNTIFS(RawData[[Date ]],N13045,RawData[Month List],$Q$6,RawData[Tour/Site],$Q$2,RawData[[Picker ID ]],$Q$3,RawData[Checker ID],$Q$4,RawData[[Error Type ]],$Q$5))</f>
        <v/>
      </c>
    </row>
    <row r="13046" spans="15:15" x14ac:dyDescent="0.25">
      <c r="O13046" s="20" t="str">
        <f>IF(N13046="","",COUNTIFS(RawData[[Date ]],N13046,RawData[Month List],$Q$6,RawData[Tour/Site],$Q$2,RawData[[Picker ID ]],$Q$3,RawData[Checker ID],$Q$4,RawData[[Error Type ]],$Q$5))</f>
        <v/>
      </c>
    </row>
    <row r="13047" spans="15:15" x14ac:dyDescent="0.25">
      <c r="O13047" s="20" t="str">
        <f>IF(N13047="","",COUNTIFS(RawData[[Date ]],N13047,RawData[Month List],$Q$6,RawData[Tour/Site],$Q$2,RawData[[Picker ID ]],$Q$3,RawData[Checker ID],$Q$4,RawData[[Error Type ]],$Q$5))</f>
        <v/>
      </c>
    </row>
    <row r="13048" spans="15:15" x14ac:dyDescent="0.25">
      <c r="O13048" s="20" t="str">
        <f>IF(N13048="","",COUNTIFS(RawData[[Date ]],N13048,RawData[Month List],$Q$6,RawData[Tour/Site],$Q$2,RawData[[Picker ID ]],$Q$3,RawData[Checker ID],$Q$4,RawData[[Error Type ]],$Q$5))</f>
        <v/>
      </c>
    </row>
    <row r="13049" spans="15:15" x14ac:dyDescent="0.25">
      <c r="O13049" s="20" t="str">
        <f>IF(N13049="","",COUNTIFS(RawData[[Date ]],N13049,RawData[Month List],$Q$6,RawData[Tour/Site],$Q$2,RawData[[Picker ID ]],$Q$3,RawData[Checker ID],$Q$4,RawData[[Error Type ]],$Q$5))</f>
        <v/>
      </c>
    </row>
    <row r="13050" spans="15:15" x14ac:dyDescent="0.25">
      <c r="O13050" s="20" t="str">
        <f>IF(N13050="","",COUNTIFS(RawData[[Date ]],N13050,RawData[Month List],$Q$6,RawData[Tour/Site],$Q$2,RawData[[Picker ID ]],$Q$3,RawData[Checker ID],$Q$4,RawData[[Error Type ]],$Q$5))</f>
        <v/>
      </c>
    </row>
    <row r="13051" spans="15:15" x14ac:dyDescent="0.25">
      <c r="O13051" s="20" t="str">
        <f>IF(N13051="","",COUNTIFS(RawData[[Date ]],N13051,RawData[Month List],$Q$6,RawData[Tour/Site],$Q$2,RawData[[Picker ID ]],$Q$3,RawData[Checker ID],$Q$4,RawData[[Error Type ]],$Q$5))</f>
        <v/>
      </c>
    </row>
    <row r="13052" spans="15:15" x14ac:dyDescent="0.25">
      <c r="O13052" s="20" t="str">
        <f>IF(N13052="","",COUNTIFS(RawData[[Date ]],N13052,RawData[Month List],$Q$6,RawData[Tour/Site],$Q$2,RawData[[Picker ID ]],$Q$3,RawData[Checker ID],$Q$4,RawData[[Error Type ]],$Q$5))</f>
        <v/>
      </c>
    </row>
    <row r="13053" spans="15:15" x14ac:dyDescent="0.25">
      <c r="O13053" s="20" t="str">
        <f>IF(N13053="","",COUNTIFS(RawData[[Date ]],N13053,RawData[Month List],$Q$6,RawData[Tour/Site],$Q$2,RawData[[Picker ID ]],$Q$3,RawData[Checker ID],$Q$4,RawData[[Error Type ]],$Q$5))</f>
        <v/>
      </c>
    </row>
    <row r="13054" spans="15:15" x14ac:dyDescent="0.25">
      <c r="O13054" s="20" t="str">
        <f>IF(N13054="","",COUNTIFS(RawData[[Date ]],N13054,RawData[Month List],$Q$6,RawData[Tour/Site],$Q$2,RawData[[Picker ID ]],$Q$3,RawData[Checker ID],$Q$4,RawData[[Error Type ]],$Q$5))</f>
        <v/>
      </c>
    </row>
    <row r="13055" spans="15:15" x14ac:dyDescent="0.25">
      <c r="O13055" s="20" t="str">
        <f>IF(N13055="","",COUNTIFS(RawData[[Date ]],N13055,RawData[Month List],$Q$6,RawData[Tour/Site],$Q$2,RawData[[Picker ID ]],$Q$3,RawData[Checker ID],$Q$4,RawData[[Error Type ]],$Q$5))</f>
        <v/>
      </c>
    </row>
    <row r="13056" spans="15:15" x14ac:dyDescent="0.25">
      <c r="O13056" s="20" t="str">
        <f>IF(N13056="","",COUNTIFS(RawData[[Date ]],N13056,RawData[Month List],$Q$6,RawData[Tour/Site],$Q$2,RawData[[Picker ID ]],$Q$3,RawData[Checker ID],$Q$4,RawData[[Error Type ]],$Q$5))</f>
        <v/>
      </c>
    </row>
    <row r="13057" spans="15:15" x14ac:dyDescent="0.25">
      <c r="O13057" s="20" t="str">
        <f>IF(N13057="","",COUNTIFS(RawData[[Date ]],N13057,RawData[Month List],$Q$6,RawData[Tour/Site],$Q$2,RawData[[Picker ID ]],$Q$3,RawData[Checker ID],$Q$4,RawData[[Error Type ]],$Q$5))</f>
        <v/>
      </c>
    </row>
    <row r="13058" spans="15:15" x14ac:dyDescent="0.25">
      <c r="O13058" s="20" t="str">
        <f>IF(N13058="","",COUNTIFS(RawData[[Date ]],N13058,RawData[Month List],$Q$6,RawData[Tour/Site],$Q$2,RawData[[Picker ID ]],$Q$3,RawData[Checker ID],$Q$4,RawData[[Error Type ]],$Q$5))</f>
        <v/>
      </c>
    </row>
    <row r="13059" spans="15:15" x14ac:dyDescent="0.25">
      <c r="O13059" s="20" t="str">
        <f>IF(N13059="","",COUNTIFS(RawData[[Date ]],N13059,RawData[Month List],$Q$6,RawData[Tour/Site],$Q$2,RawData[[Picker ID ]],$Q$3,RawData[Checker ID],$Q$4,RawData[[Error Type ]],$Q$5))</f>
        <v/>
      </c>
    </row>
    <row r="13060" spans="15:15" x14ac:dyDescent="0.25">
      <c r="O13060" s="20" t="str">
        <f>IF(N13060="","",COUNTIFS(RawData[[Date ]],N13060,RawData[Month List],$Q$6,RawData[Tour/Site],$Q$2,RawData[[Picker ID ]],$Q$3,RawData[Checker ID],$Q$4,RawData[[Error Type ]],$Q$5))</f>
        <v/>
      </c>
    </row>
    <row r="13061" spans="15:15" x14ac:dyDescent="0.25">
      <c r="O13061" s="20" t="str">
        <f>IF(N13061="","",COUNTIFS(RawData[[Date ]],N13061,RawData[Month List],$Q$6,RawData[Tour/Site],$Q$2,RawData[[Picker ID ]],$Q$3,RawData[Checker ID],$Q$4,RawData[[Error Type ]],$Q$5))</f>
        <v/>
      </c>
    </row>
    <row r="13062" spans="15:15" x14ac:dyDescent="0.25">
      <c r="O13062" s="20" t="str">
        <f>IF(N13062="","",COUNTIFS(RawData[[Date ]],N13062,RawData[Month List],$Q$6,RawData[Tour/Site],$Q$2,RawData[[Picker ID ]],$Q$3,RawData[Checker ID],$Q$4,RawData[[Error Type ]],$Q$5))</f>
        <v/>
      </c>
    </row>
    <row r="13063" spans="15:15" x14ac:dyDescent="0.25">
      <c r="O13063" s="20" t="str">
        <f>IF(N13063="","",COUNTIFS(RawData[[Date ]],N13063,RawData[Month List],$Q$6,RawData[Tour/Site],$Q$2,RawData[[Picker ID ]],$Q$3,RawData[Checker ID],$Q$4,RawData[[Error Type ]],$Q$5))</f>
        <v/>
      </c>
    </row>
    <row r="13064" spans="15:15" x14ac:dyDescent="0.25">
      <c r="O13064" s="20" t="str">
        <f>IF(N13064="","",COUNTIFS(RawData[[Date ]],N13064,RawData[Month List],$Q$6,RawData[Tour/Site],$Q$2,RawData[[Picker ID ]],$Q$3,RawData[Checker ID],$Q$4,RawData[[Error Type ]],$Q$5))</f>
        <v/>
      </c>
    </row>
    <row r="13065" spans="15:15" x14ac:dyDescent="0.25">
      <c r="O13065" s="20" t="str">
        <f>IF(N13065="","",COUNTIFS(RawData[[Date ]],N13065,RawData[Month List],$Q$6,RawData[Tour/Site],$Q$2,RawData[[Picker ID ]],$Q$3,RawData[Checker ID],$Q$4,RawData[[Error Type ]],$Q$5))</f>
        <v/>
      </c>
    </row>
    <row r="13066" spans="15:15" x14ac:dyDescent="0.25">
      <c r="O13066" s="20" t="str">
        <f>IF(N13066="","",COUNTIFS(RawData[[Date ]],N13066,RawData[Month List],$Q$6,RawData[Tour/Site],$Q$2,RawData[[Picker ID ]],$Q$3,RawData[Checker ID],$Q$4,RawData[[Error Type ]],$Q$5))</f>
        <v/>
      </c>
    </row>
    <row r="13067" spans="15:15" x14ac:dyDescent="0.25">
      <c r="O13067" s="20" t="str">
        <f>IF(N13067="","",COUNTIFS(RawData[[Date ]],N13067,RawData[Month List],$Q$6,RawData[Tour/Site],$Q$2,RawData[[Picker ID ]],$Q$3,RawData[Checker ID],$Q$4,RawData[[Error Type ]],$Q$5))</f>
        <v/>
      </c>
    </row>
    <row r="13068" spans="15:15" x14ac:dyDescent="0.25">
      <c r="O13068" s="20" t="str">
        <f>IF(N13068="","",COUNTIFS(RawData[[Date ]],N13068,RawData[Month List],$Q$6,RawData[Tour/Site],$Q$2,RawData[[Picker ID ]],$Q$3,RawData[Checker ID],$Q$4,RawData[[Error Type ]],$Q$5))</f>
        <v/>
      </c>
    </row>
    <row r="13069" spans="15:15" x14ac:dyDescent="0.25">
      <c r="O13069" s="20" t="str">
        <f>IF(N13069="","",COUNTIFS(RawData[[Date ]],N13069,RawData[Month List],$Q$6,RawData[Tour/Site],$Q$2,RawData[[Picker ID ]],$Q$3,RawData[Checker ID],$Q$4,RawData[[Error Type ]],$Q$5))</f>
        <v/>
      </c>
    </row>
    <row r="13070" spans="15:15" x14ac:dyDescent="0.25">
      <c r="O13070" s="20" t="str">
        <f>IF(N13070="","",COUNTIFS(RawData[[Date ]],N13070,RawData[Month List],$Q$6,RawData[Tour/Site],$Q$2,RawData[[Picker ID ]],$Q$3,RawData[Checker ID],$Q$4,RawData[[Error Type ]],$Q$5))</f>
        <v/>
      </c>
    </row>
    <row r="13071" spans="15:15" x14ac:dyDescent="0.25">
      <c r="O13071" s="20" t="str">
        <f>IF(N13071="","",COUNTIFS(RawData[[Date ]],N13071,RawData[Month List],$Q$6,RawData[Tour/Site],$Q$2,RawData[[Picker ID ]],$Q$3,RawData[Checker ID],$Q$4,RawData[[Error Type ]],$Q$5))</f>
        <v/>
      </c>
    </row>
    <row r="13072" spans="15:15" x14ac:dyDescent="0.25">
      <c r="O13072" s="20" t="str">
        <f>IF(N13072="","",COUNTIFS(RawData[[Date ]],N13072,RawData[Month List],$Q$6,RawData[Tour/Site],$Q$2,RawData[[Picker ID ]],$Q$3,RawData[Checker ID],$Q$4,RawData[[Error Type ]],$Q$5))</f>
        <v/>
      </c>
    </row>
    <row r="13073" spans="15:15" x14ac:dyDescent="0.25">
      <c r="O13073" s="20" t="str">
        <f>IF(N13073="","",COUNTIFS(RawData[[Date ]],N13073,RawData[Month List],$Q$6,RawData[Tour/Site],$Q$2,RawData[[Picker ID ]],$Q$3,RawData[Checker ID],$Q$4,RawData[[Error Type ]],$Q$5))</f>
        <v/>
      </c>
    </row>
    <row r="13074" spans="15:15" x14ac:dyDescent="0.25">
      <c r="O13074" s="20" t="str">
        <f>IF(N13074="","",COUNTIFS(RawData[[Date ]],N13074,RawData[Month List],$Q$6,RawData[Tour/Site],$Q$2,RawData[[Picker ID ]],$Q$3,RawData[Checker ID],$Q$4,RawData[[Error Type ]],$Q$5))</f>
        <v/>
      </c>
    </row>
    <row r="13075" spans="15:15" x14ac:dyDescent="0.25">
      <c r="O13075" s="20" t="str">
        <f>IF(N13075="","",COUNTIFS(RawData[[Date ]],N13075,RawData[Month List],$Q$6,RawData[Tour/Site],$Q$2,RawData[[Picker ID ]],$Q$3,RawData[Checker ID],$Q$4,RawData[[Error Type ]],$Q$5))</f>
        <v/>
      </c>
    </row>
    <row r="13076" spans="15:15" x14ac:dyDescent="0.25">
      <c r="O13076" s="20" t="str">
        <f>IF(N13076="","",COUNTIFS(RawData[[Date ]],N13076,RawData[Month List],$Q$6,RawData[Tour/Site],$Q$2,RawData[[Picker ID ]],$Q$3,RawData[Checker ID],$Q$4,RawData[[Error Type ]],$Q$5))</f>
        <v/>
      </c>
    </row>
    <row r="13077" spans="15:15" x14ac:dyDescent="0.25">
      <c r="O13077" s="20" t="str">
        <f>IF(N13077="","",COUNTIFS(RawData[[Date ]],N13077,RawData[Month List],$Q$6,RawData[Tour/Site],$Q$2,RawData[[Picker ID ]],$Q$3,RawData[Checker ID],$Q$4,RawData[[Error Type ]],$Q$5))</f>
        <v/>
      </c>
    </row>
    <row r="13078" spans="15:15" x14ac:dyDescent="0.25">
      <c r="O13078" s="20" t="str">
        <f>IF(N13078="","",COUNTIFS(RawData[[Date ]],N13078,RawData[Month List],$Q$6,RawData[Tour/Site],$Q$2,RawData[[Picker ID ]],$Q$3,RawData[Checker ID],$Q$4,RawData[[Error Type ]],$Q$5))</f>
        <v/>
      </c>
    </row>
    <row r="13079" spans="15:15" x14ac:dyDescent="0.25">
      <c r="O13079" s="20" t="str">
        <f>IF(N13079="","",COUNTIFS(RawData[[Date ]],N13079,RawData[Month List],$Q$6,RawData[Tour/Site],$Q$2,RawData[[Picker ID ]],$Q$3,RawData[Checker ID],$Q$4,RawData[[Error Type ]],$Q$5))</f>
        <v/>
      </c>
    </row>
    <row r="13080" spans="15:15" x14ac:dyDescent="0.25">
      <c r="O13080" s="20" t="str">
        <f>IF(N13080="","",COUNTIFS(RawData[[Date ]],N13080,RawData[Month List],$Q$6,RawData[Tour/Site],$Q$2,RawData[[Picker ID ]],$Q$3,RawData[Checker ID],$Q$4,RawData[[Error Type ]],$Q$5))</f>
        <v/>
      </c>
    </row>
    <row r="13081" spans="15:15" x14ac:dyDescent="0.25">
      <c r="O13081" s="20" t="str">
        <f>IF(N13081="","",COUNTIFS(RawData[[Date ]],N13081,RawData[Month List],$Q$6,RawData[Tour/Site],$Q$2,RawData[[Picker ID ]],$Q$3,RawData[Checker ID],$Q$4,RawData[[Error Type ]],$Q$5))</f>
        <v/>
      </c>
    </row>
    <row r="13082" spans="15:15" x14ac:dyDescent="0.25">
      <c r="O13082" s="20" t="str">
        <f>IF(N13082="","",COUNTIFS(RawData[[Date ]],N13082,RawData[Month List],$Q$6,RawData[Tour/Site],$Q$2,RawData[[Picker ID ]],$Q$3,RawData[Checker ID],$Q$4,RawData[[Error Type ]],$Q$5))</f>
        <v/>
      </c>
    </row>
    <row r="13083" spans="15:15" x14ac:dyDescent="0.25">
      <c r="O13083" s="20" t="str">
        <f>IF(N13083="","",COUNTIFS(RawData[[Date ]],N13083,RawData[Month List],$Q$6,RawData[Tour/Site],$Q$2,RawData[[Picker ID ]],$Q$3,RawData[Checker ID],$Q$4,RawData[[Error Type ]],$Q$5))</f>
        <v/>
      </c>
    </row>
    <row r="13084" spans="15:15" x14ac:dyDescent="0.25">
      <c r="O13084" s="20" t="str">
        <f>IF(N13084="","",COUNTIFS(RawData[[Date ]],N13084,RawData[Month List],$Q$6,RawData[Tour/Site],$Q$2,RawData[[Picker ID ]],$Q$3,RawData[Checker ID],$Q$4,RawData[[Error Type ]],$Q$5))</f>
        <v/>
      </c>
    </row>
    <row r="13085" spans="15:15" x14ac:dyDescent="0.25">
      <c r="O13085" s="20" t="str">
        <f>IF(N13085="","",COUNTIFS(RawData[[Date ]],N13085,RawData[Month List],$Q$6,RawData[Tour/Site],$Q$2,RawData[[Picker ID ]],$Q$3,RawData[Checker ID],$Q$4,RawData[[Error Type ]],$Q$5))</f>
        <v/>
      </c>
    </row>
    <row r="13086" spans="15:15" x14ac:dyDescent="0.25">
      <c r="O13086" s="20" t="str">
        <f>IF(N13086="","",COUNTIFS(RawData[[Date ]],N13086,RawData[Month List],$Q$6,RawData[Tour/Site],$Q$2,RawData[[Picker ID ]],$Q$3,RawData[Checker ID],$Q$4,RawData[[Error Type ]],$Q$5))</f>
        <v/>
      </c>
    </row>
    <row r="13087" spans="15:15" x14ac:dyDescent="0.25">
      <c r="O13087" s="20" t="str">
        <f>IF(N13087="","",COUNTIFS(RawData[[Date ]],N13087,RawData[Month List],$Q$6,RawData[Tour/Site],$Q$2,RawData[[Picker ID ]],$Q$3,RawData[Checker ID],$Q$4,RawData[[Error Type ]],$Q$5))</f>
        <v/>
      </c>
    </row>
    <row r="13088" spans="15:15" x14ac:dyDescent="0.25">
      <c r="O13088" s="20" t="str">
        <f>IF(N13088="","",COUNTIFS(RawData[[Date ]],N13088,RawData[Month List],$Q$6,RawData[Tour/Site],$Q$2,RawData[[Picker ID ]],$Q$3,RawData[Checker ID],$Q$4,RawData[[Error Type ]],$Q$5))</f>
        <v/>
      </c>
    </row>
    <row r="13089" spans="15:15" x14ac:dyDescent="0.25">
      <c r="O13089" s="20" t="str">
        <f>IF(N13089="","",COUNTIFS(RawData[[Date ]],N13089,RawData[Month List],$Q$6,RawData[Tour/Site],$Q$2,RawData[[Picker ID ]],$Q$3,RawData[Checker ID],$Q$4,RawData[[Error Type ]],$Q$5))</f>
        <v/>
      </c>
    </row>
    <row r="13090" spans="15:15" x14ac:dyDescent="0.25">
      <c r="O13090" s="20" t="str">
        <f>IF(N13090="","",COUNTIFS(RawData[[Date ]],N13090,RawData[Month List],$Q$6,RawData[Tour/Site],$Q$2,RawData[[Picker ID ]],$Q$3,RawData[Checker ID],$Q$4,RawData[[Error Type ]],$Q$5))</f>
        <v/>
      </c>
    </row>
    <row r="13091" spans="15:15" x14ac:dyDescent="0.25">
      <c r="O13091" s="20" t="str">
        <f>IF(N13091="","",COUNTIFS(RawData[[Date ]],N13091,RawData[Month List],$Q$6,RawData[Tour/Site],$Q$2,RawData[[Picker ID ]],$Q$3,RawData[Checker ID],$Q$4,RawData[[Error Type ]],$Q$5))</f>
        <v/>
      </c>
    </row>
    <row r="13092" spans="15:15" x14ac:dyDescent="0.25">
      <c r="O13092" s="20" t="str">
        <f>IF(N13092="","",COUNTIFS(RawData[[Date ]],N13092,RawData[Month List],$Q$6,RawData[Tour/Site],$Q$2,RawData[[Picker ID ]],$Q$3,RawData[Checker ID],$Q$4,RawData[[Error Type ]],$Q$5))</f>
        <v/>
      </c>
    </row>
    <row r="13093" spans="15:15" x14ac:dyDescent="0.25">
      <c r="O13093" s="20" t="str">
        <f>IF(N13093="","",COUNTIFS(RawData[[Date ]],N13093,RawData[Month List],$Q$6,RawData[Tour/Site],$Q$2,RawData[[Picker ID ]],$Q$3,RawData[Checker ID],$Q$4,RawData[[Error Type ]],$Q$5))</f>
        <v/>
      </c>
    </row>
    <row r="13094" spans="15:15" x14ac:dyDescent="0.25">
      <c r="O13094" s="20" t="str">
        <f>IF(N13094="","",COUNTIFS(RawData[[Date ]],N13094,RawData[Month List],$Q$6,RawData[Tour/Site],$Q$2,RawData[[Picker ID ]],$Q$3,RawData[Checker ID],$Q$4,RawData[[Error Type ]],$Q$5))</f>
        <v/>
      </c>
    </row>
    <row r="13095" spans="15:15" x14ac:dyDescent="0.25">
      <c r="O13095" s="20" t="str">
        <f>IF(N13095="","",COUNTIFS(RawData[[Date ]],N13095,RawData[Month List],$Q$6,RawData[Tour/Site],$Q$2,RawData[[Picker ID ]],$Q$3,RawData[Checker ID],$Q$4,RawData[[Error Type ]],$Q$5))</f>
        <v/>
      </c>
    </row>
    <row r="13096" spans="15:15" x14ac:dyDescent="0.25">
      <c r="O13096" s="20" t="str">
        <f>IF(N13096="","",COUNTIFS(RawData[[Date ]],N13096,RawData[Month List],$Q$6,RawData[Tour/Site],$Q$2,RawData[[Picker ID ]],$Q$3,RawData[Checker ID],$Q$4,RawData[[Error Type ]],$Q$5))</f>
        <v/>
      </c>
    </row>
    <row r="13097" spans="15:15" x14ac:dyDescent="0.25">
      <c r="O13097" s="20" t="str">
        <f>IF(N13097="","",COUNTIFS(RawData[[Date ]],N13097,RawData[Month List],$Q$6,RawData[Tour/Site],$Q$2,RawData[[Picker ID ]],$Q$3,RawData[Checker ID],$Q$4,RawData[[Error Type ]],$Q$5))</f>
        <v/>
      </c>
    </row>
    <row r="13098" spans="15:15" x14ac:dyDescent="0.25">
      <c r="O13098" s="20" t="str">
        <f>IF(N13098="","",COUNTIFS(RawData[[Date ]],N13098,RawData[Month List],$Q$6,RawData[Tour/Site],$Q$2,RawData[[Picker ID ]],$Q$3,RawData[Checker ID],$Q$4,RawData[[Error Type ]],$Q$5))</f>
        <v/>
      </c>
    </row>
    <row r="13099" spans="15:15" x14ac:dyDescent="0.25">
      <c r="O13099" s="20" t="str">
        <f>IF(N13099="","",COUNTIFS(RawData[[Date ]],N13099,RawData[Month List],$Q$6,RawData[Tour/Site],$Q$2,RawData[[Picker ID ]],$Q$3,RawData[Checker ID],$Q$4,RawData[[Error Type ]],$Q$5))</f>
        <v/>
      </c>
    </row>
    <row r="13100" spans="15:15" x14ac:dyDescent="0.25">
      <c r="O13100" s="20" t="str">
        <f>IF(N13100="","",COUNTIFS(RawData[[Date ]],N13100,RawData[Month List],$Q$6,RawData[Tour/Site],$Q$2,RawData[[Picker ID ]],$Q$3,RawData[Checker ID],$Q$4,RawData[[Error Type ]],$Q$5))</f>
        <v/>
      </c>
    </row>
    <row r="13101" spans="15:15" x14ac:dyDescent="0.25">
      <c r="O13101" s="20" t="str">
        <f>IF(N13101="","",COUNTIFS(RawData[[Date ]],N13101,RawData[Month List],$Q$6,RawData[Tour/Site],$Q$2,RawData[[Picker ID ]],$Q$3,RawData[Checker ID],$Q$4,RawData[[Error Type ]],$Q$5))</f>
        <v/>
      </c>
    </row>
    <row r="13102" spans="15:15" x14ac:dyDescent="0.25">
      <c r="O13102" s="20" t="str">
        <f>IF(N13102="","",COUNTIFS(RawData[[Date ]],N13102,RawData[Month List],$Q$6,RawData[Tour/Site],$Q$2,RawData[[Picker ID ]],$Q$3,RawData[Checker ID],$Q$4,RawData[[Error Type ]],$Q$5))</f>
        <v/>
      </c>
    </row>
    <row r="13103" spans="15:15" x14ac:dyDescent="0.25">
      <c r="O13103" s="20" t="str">
        <f>IF(N13103="","",COUNTIFS(RawData[[Date ]],N13103,RawData[Month List],$Q$6,RawData[Tour/Site],$Q$2,RawData[[Picker ID ]],$Q$3,RawData[Checker ID],$Q$4,RawData[[Error Type ]],$Q$5))</f>
        <v/>
      </c>
    </row>
    <row r="13104" spans="15:15" x14ac:dyDescent="0.25">
      <c r="O13104" s="20" t="str">
        <f>IF(N13104="","",COUNTIFS(RawData[[Date ]],N13104,RawData[Month List],$Q$6,RawData[Tour/Site],$Q$2,RawData[[Picker ID ]],$Q$3,RawData[Checker ID],$Q$4,RawData[[Error Type ]],$Q$5))</f>
        <v/>
      </c>
    </row>
    <row r="13105" spans="15:15" x14ac:dyDescent="0.25">
      <c r="O13105" s="20" t="str">
        <f>IF(N13105="","",COUNTIFS(RawData[[Date ]],N13105,RawData[Month List],$Q$6,RawData[Tour/Site],$Q$2,RawData[[Picker ID ]],$Q$3,RawData[Checker ID],$Q$4,RawData[[Error Type ]],$Q$5))</f>
        <v/>
      </c>
    </row>
    <row r="13106" spans="15:15" x14ac:dyDescent="0.25">
      <c r="O13106" s="20" t="str">
        <f>IF(N13106="","",COUNTIFS(RawData[[Date ]],N13106,RawData[Month List],$Q$6,RawData[Tour/Site],$Q$2,RawData[[Picker ID ]],$Q$3,RawData[Checker ID],$Q$4,RawData[[Error Type ]],$Q$5))</f>
        <v/>
      </c>
    </row>
    <row r="13107" spans="15:15" x14ac:dyDescent="0.25">
      <c r="O13107" s="20" t="str">
        <f>IF(N13107="","",COUNTIFS(RawData[[Date ]],N13107,RawData[Month List],$Q$6,RawData[Tour/Site],$Q$2,RawData[[Picker ID ]],$Q$3,RawData[Checker ID],$Q$4,RawData[[Error Type ]],$Q$5))</f>
        <v/>
      </c>
    </row>
    <row r="13108" spans="15:15" x14ac:dyDescent="0.25">
      <c r="O13108" s="20" t="str">
        <f>IF(N13108="","",COUNTIFS(RawData[[Date ]],N13108,RawData[Month List],$Q$6,RawData[Tour/Site],$Q$2,RawData[[Picker ID ]],$Q$3,RawData[Checker ID],$Q$4,RawData[[Error Type ]],$Q$5))</f>
        <v/>
      </c>
    </row>
    <row r="13109" spans="15:15" x14ac:dyDescent="0.25">
      <c r="O13109" s="20" t="str">
        <f>IF(N13109="","",COUNTIFS(RawData[[Date ]],N13109,RawData[Month List],$Q$6,RawData[Tour/Site],$Q$2,RawData[[Picker ID ]],$Q$3,RawData[Checker ID],$Q$4,RawData[[Error Type ]],$Q$5))</f>
        <v/>
      </c>
    </row>
    <row r="13110" spans="15:15" x14ac:dyDescent="0.25">
      <c r="O13110" s="20" t="str">
        <f>IF(N13110="","",COUNTIFS(RawData[[Date ]],N13110,RawData[Month List],$Q$6,RawData[Tour/Site],$Q$2,RawData[[Picker ID ]],$Q$3,RawData[Checker ID],$Q$4,RawData[[Error Type ]],$Q$5))</f>
        <v/>
      </c>
    </row>
    <row r="13111" spans="15:15" x14ac:dyDescent="0.25">
      <c r="O13111" s="20" t="str">
        <f>IF(N13111="","",COUNTIFS(RawData[[Date ]],N13111,RawData[Month List],$Q$6,RawData[Tour/Site],$Q$2,RawData[[Picker ID ]],$Q$3,RawData[Checker ID],$Q$4,RawData[[Error Type ]],$Q$5))</f>
        <v/>
      </c>
    </row>
    <row r="13112" spans="15:15" x14ac:dyDescent="0.25">
      <c r="O13112" s="20" t="str">
        <f>IF(N13112="","",COUNTIFS(RawData[[Date ]],N13112,RawData[Month List],$Q$6,RawData[Tour/Site],$Q$2,RawData[[Picker ID ]],$Q$3,RawData[Checker ID],$Q$4,RawData[[Error Type ]],$Q$5))</f>
        <v/>
      </c>
    </row>
    <row r="13113" spans="15:15" x14ac:dyDescent="0.25">
      <c r="O13113" s="20" t="str">
        <f>IF(N13113="","",COUNTIFS(RawData[[Date ]],N13113,RawData[Month List],$Q$6,RawData[Tour/Site],$Q$2,RawData[[Picker ID ]],$Q$3,RawData[Checker ID],$Q$4,RawData[[Error Type ]],$Q$5))</f>
        <v/>
      </c>
    </row>
    <row r="13114" spans="15:15" x14ac:dyDescent="0.25">
      <c r="O13114" s="20" t="str">
        <f>IF(N13114="","",COUNTIFS(RawData[[Date ]],N13114,RawData[Month List],$Q$6,RawData[Tour/Site],$Q$2,RawData[[Picker ID ]],$Q$3,RawData[Checker ID],$Q$4,RawData[[Error Type ]],$Q$5))</f>
        <v/>
      </c>
    </row>
    <row r="13115" spans="15:15" x14ac:dyDescent="0.25">
      <c r="O13115" s="20" t="str">
        <f>IF(N13115="","",COUNTIFS(RawData[[Date ]],N13115,RawData[Month List],$Q$6,RawData[Tour/Site],$Q$2,RawData[[Picker ID ]],$Q$3,RawData[Checker ID],$Q$4,RawData[[Error Type ]],$Q$5))</f>
        <v/>
      </c>
    </row>
    <row r="13116" spans="15:15" x14ac:dyDescent="0.25">
      <c r="O13116" s="20" t="str">
        <f>IF(N13116="","",COUNTIFS(RawData[[Date ]],N13116,RawData[Month List],$Q$6,RawData[Tour/Site],$Q$2,RawData[[Picker ID ]],$Q$3,RawData[Checker ID],$Q$4,RawData[[Error Type ]],$Q$5))</f>
        <v/>
      </c>
    </row>
    <row r="13117" spans="15:15" x14ac:dyDescent="0.25">
      <c r="O13117" s="20" t="str">
        <f>IF(N13117="","",COUNTIFS(RawData[[Date ]],N13117,RawData[Month List],$Q$6,RawData[Tour/Site],$Q$2,RawData[[Picker ID ]],$Q$3,RawData[Checker ID],$Q$4,RawData[[Error Type ]],$Q$5))</f>
        <v/>
      </c>
    </row>
    <row r="13118" spans="15:15" x14ac:dyDescent="0.25">
      <c r="O13118" s="20" t="str">
        <f>IF(N13118="","",COUNTIFS(RawData[[Date ]],N13118,RawData[Month List],$Q$6,RawData[Tour/Site],$Q$2,RawData[[Picker ID ]],$Q$3,RawData[Checker ID],$Q$4,RawData[[Error Type ]],$Q$5))</f>
        <v/>
      </c>
    </row>
    <row r="13119" spans="15:15" x14ac:dyDescent="0.25">
      <c r="O13119" s="20" t="str">
        <f>IF(N13119="","",COUNTIFS(RawData[[Date ]],N13119,RawData[Month List],$Q$6,RawData[Tour/Site],$Q$2,RawData[[Picker ID ]],$Q$3,RawData[Checker ID],$Q$4,RawData[[Error Type ]],$Q$5))</f>
        <v/>
      </c>
    </row>
    <row r="13120" spans="15:15" x14ac:dyDescent="0.25">
      <c r="O13120" s="20" t="str">
        <f>IF(N13120="","",COUNTIFS(RawData[[Date ]],N13120,RawData[Month List],$Q$6,RawData[Tour/Site],$Q$2,RawData[[Picker ID ]],$Q$3,RawData[Checker ID],$Q$4,RawData[[Error Type ]],$Q$5))</f>
        <v/>
      </c>
    </row>
    <row r="13121" spans="15:15" x14ac:dyDescent="0.25">
      <c r="O13121" s="20" t="str">
        <f>IF(N13121="","",COUNTIFS(RawData[[Date ]],N13121,RawData[Month List],$Q$6,RawData[Tour/Site],$Q$2,RawData[[Picker ID ]],$Q$3,RawData[Checker ID],$Q$4,RawData[[Error Type ]],$Q$5))</f>
        <v/>
      </c>
    </row>
    <row r="13122" spans="15:15" x14ac:dyDescent="0.25">
      <c r="O13122" s="20" t="str">
        <f>IF(N13122="","",COUNTIFS(RawData[[Date ]],N13122,RawData[Month List],$Q$6,RawData[Tour/Site],$Q$2,RawData[[Picker ID ]],$Q$3,RawData[Checker ID],$Q$4,RawData[[Error Type ]],$Q$5))</f>
        <v/>
      </c>
    </row>
    <row r="13123" spans="15:15" x14ac:dyDescent="0.25">
      <c r="O13123" s="20" t="str">
        <f>IF(N13123="","",COUNTIFS(RawData[[Date ]],N13123,RawData[Month List],$Q$6,RawData[Tour/Site],$Q$2,RawData[[Picker ID ]],$Q$3,RawData[Checker ID],$Q$4,RawData[[Error Type ]],$Q$5))</f>
        <v/>
      </c>
    </row>
    <row r="13124" spans="15:15" x14ac:dyDescent="0.25">
      <c r="O13124" s="20" t="str">
        <f>IF(N13124="","",COUNTIFS(RawData[[Date ]],N13124,RawData[Month List],$Q$6,RawData[Tour/Site],$Q$2,RawData[[Picker ID ]],$Q$3,RawData[Checker ID],$Q$4,RawData[[Error Type ]],$Q$5))</f>
        <v/>
      </c>
    </row>
    <row r="13125" spans="15:15" x14ac:dyDescent="0.25">
      <c r="O13125" s="20" t="str">
        <f>IF(N13125="","",COUNTIFS(RawData[[Date ]],N13125,RawData[Month List],$Q$6,RawData[Tour/Site],$Q$2,RawData[[Picker ID ]],$Q$3,RawData[Checker ID],$Q$4,RawData[[Error Type ]],$Q$5))</f>
        <v/>
      </c>
    </row>
    <row r="13126" spans="15:15" x14ac:dyDescent="0.25">
      <c r="O13126" s="20" t="str">
        <f>IF(N13126="","",COUNTIFS(RawData[[Date ]],N13126,RawData[Month List],$Q$6,RawData[Tour/Site],$Q$2,RawData[[Picker ID ]],$Q$3,RawData[Checker ID],$Q$4,RawData[[Error Type ]],$Q$5))</f>
        <v/>
      </c>
    </row>
    <row r="13127" spans="15:15" x14ac:dyDescent="0.25">
      <c r="O13127" s="20" t="str">
        <f>IF(N13127="","",COUNTIFS(RawData[[Date ]],N13127,RawData[Month List],$Q$6,RawData[Tour/Site],$Q$2,RawData[[Picker ID ]],$Q$3,RawData[Checker ID],$Q$4,RawData[[Error Type ]],$Q$5))</f>
        <v/>
      </c>
    </row>
    <row r="13128" spans="15:15" x14ac:dyDescent="0.25">
      <c r="O13128" s="20" t="str">
        <f>IF(N13128="","",COUNTIFS(RawData[[Date ]],N13128,RawData[Month List],$Q$6,RawData[Tour/Site],$Q$2,RawData[[Picker ID ]],$Q$3,RawData[Checker ID],$Q$4,RawData[[Error Type ]],$Q$5))</f>
        <v/>
      </c>
    </row>
    <row r="13129" spans="15:15" x14ac:dyDescent="0.25">
      <c r="O13129" s="20" t="str">
        <f>IF(N13129="","",COUNTIFS(RawData[[Date ]],N13129,RawData[Month List],$Q$6,RawData[Tour/Site],$Q$2,RawData[[Picker ID ]],$Q$3,RawData[Checker ID],$Q$4,RawData[[Error Type ]],$Q$5))</f>
        <v/>
      </c>
    </row>
    <row r="13130" spans="15:15" x14ac:dyDescent="0.25">
      <c r="O13130" s="20" t="str">
        <f>IF(N13130="","",COUNTIFS(RawData[[Date ]],N13130,RawData[Month List],$Q$6,RawData[Tour/Site],$Q$2,RawData[[Picker ID ]],$Q$3,RawData[Checker ID],$Q$4,RawData[[Error Type ]],$Q$5))</f>
        <v/>
      </c>
    </row>
    <row r="13131" spans="15:15" x14ac:dyDescent="0.25">
      <c r="O13131" s="20" t="str">
        <f>IF(N13131="","",COUNTIFS(RawData[[Date ]],N13131,RawData[Month List],$Q$6,RawData[Tour/Site],$Q$2,RawData[[Picker ID ]],$Q$3,RawData[Checker ID],$Q$4,RawData[[Error Type ]],$Q$5))</f>
        <v/>
      </c>
    </row>
    <row r="13132" spans="15:15" x14ac:dyDescent="0.25">
      <c r="O13132" s="20" t="str">
        <f>IF(N13132="","",COUNTIFS(RawData[[Date ]],N13132,RawData[Month List],$Q$6,RawData[Tour/Site],$Q$2,RawData[[Picker ID ]],$Q$3,RawData[Checker ID],$Q$4,RawData[[Error Type ]],$Q$5))</f>
        <v/>
      </c>
    </row>
    <row r="13133" spans="15:15" x14ac:dyDescent="0.25">
      <c r="O13133" s="20" t="str">
        <f>IF(N13133="","",COUNTIFS(RawData[[Date ]],N13133,RawData[Month List],$Q$6,RawData[Tour/Site],$Q$2,RawData[[Picker ID ]],$Q$3,RawData[Checker ID],$Q$4,RawData[[Error Type ]],$Q$5))</f>
        <v/>
      </c>
    </row>
    <row r="13134" spans="15:15" x14ac:dyDescent="0.25">
      <c r="O13134" s="20" t="str">
        <f>IF(N13134="","",COUNTIFS(RawData[[Date ]],N13134,RawData[Month List],$Q$6,RawData[Tour/Site],$Q$2,RawData[[Picker ID ]],$Q$3,RawData[Checker ID],$Q$4,RawData[[Error Type ]],$Q$5))</f>
        <v/>
      </c>
    </row>
    <row r="13135" spans="15:15" x14ac:dyDescent="0.25">
      <c r="O13135" s="20" t="str">
        <f>IF(N13135="","",COUNTIFS(RawData[[Date ]],N13135,RawData[Month List],$Q$6,RawData[Tour/Site],$Q$2,RawData[[Picker ID ]],$Q$3,RawData[Checker ID],$Q$4,RawData[[Error Type ]],$Q$5))</f>
        <v/>
      </c>
    </row>
    <row r="13136" spans="15:15" x14ac:dyDescent="0.25">
      <c r="O13136" s="20" t="str">
        <f>IF(N13136="","",COUNTIFS(RawData[[Date ]],N13136,RawData[Month List],$Q$6,RawData[Tour/Site],$Q$2,RawData[[Picker ID ]],$Q$3,RawData[Checker ID],$Q$4,RawData[[Error Type ]],$Q$5))</f>
        <v/>
      </c>
    </row>
    <row r="13137" spans="15:15" x14ac:dyDescent="0.25">
      <c r="O13137" s="20" t="str">
        <f>IF(N13137="","",COUNTIFS(RawData[[Date ]],N13137,RawData[Month List],$Q$6,RawData[Tour/Site],$Q$2,RawData[[Picker ID ]],$Q$3,RawData[Checker ID],$Q$4,RawData[[Error Type ]],$Q$5))</f>
        <v/>
      </c>
    </row>
    <row r="13138" spans="15:15" x14ac:dyDescent="0.25">
      <c r="O13138" s="20" t="str">
        <f>IF(N13138="","",COUNTIFS(RawData[[Date ]],N13138,RawData[Month List],$Q$6,RawData[Tour/Site],$Q$2,RawData[[Picker ID ]],$Q$3,RawData[Checker ID],$Q$4,RawData[[Error Type ]],$Q$5))</f>
        <v/>
      </c>
    </row>
    <row r="13139" spans="15:15" x14ac:dyDescent="0.25">
      <c r="O13139" s="20" t="str">
        <f>IF(N13139="","",COUNTIFS(RawData[[Date ]],N13139,RawData[Month List],$Q$6,RawData[Tour/Site],$Q$2,RawData[[Picker ID ]],$Q$3,RawData[Checker ID],$Q$4,RawData[[Error Type ]],$Q$5))</f>
        <v/>
      </c>
    </row>
    <row r="13140" spans="15:15" x14ac:dyDescent="0.25">
      <c r="O13140" s="20" t="str">
        <f>IF(N13140="","",COUNTIFS(RawData[[Date ]],N13140,RawData[Month List],$Q$6,RawData[Tour/Site],$Q$2,RawData[[Picker ID ]],$Q$3,RawData[Checker ID],$Q$4,RawData[[Error Type ]],$Q$5))</f>
        <v/>
      </c>
    </row>
    <row r="13141" spans="15:15" x14ac:dyDescent="0.25">
      <c r="O13141" s="20" t="str">
        <f>IF(N13141="","",COUNTIFS(RawData[[Date ]],N13141,RawData[Month List],$Q$6,RawData[Tour/Site],$Q$2,RawData[[Picker ID ]],$Q$3,RawData[Checker ID],$Q$4,RawData[[Error Type ]],$Q$5))</f>
        <v/>
      </c>
    </row>
    <row r="13142" spans="15:15" x14ac:dyDescent="0.25">
      <c r="O13142" s="20" t="str">
        <f>IF(N13142="","",COUNTIFS(RawData[[Date ]],N13142,RawData[Month List],$Q$6,RawData[Tour/Site],$Q$2,RawData[[Picker ID ]],$Q$3,RawData[Checker ID],$Q$4,RawData[[Error Type ]],$Q$5))</f>
        <v/>
      </c>
    </row>
    <row r="13143" spans="15:15" x14ac:dyDescent="0.25">
      <c r="O13143" s="20" t="str">
        <f>IF(N13143="","",COUNTIFS(RawData[[Date ]],N13143,RawData[Month List],$Q$6,RawData[Tour/Site],$Q$2,RawData[[Picker ID ]],$Q$3,RawData[Checker ID],$Q$4,RawData[[Error Type ]],$Q$5))</f>
        <v/>
      </c>
    </row>
    <row r="13144" spans="15:15" x14ac:dyDescent="0.25">
      <c r="O13144" s="20" t="str">
        <f>IF(N13144="","",COUNTIFS(RawData[[Date ]],N13144,RawData[Month List],$Q$6,RawData[Tour/Site],$Q$2,RawData[[Picker ID ]],$Q$3,RawData[Checker ID],$Q$4,RawData[[Error Type ]],$Q$5))</f>
        <v/>
      </c>
    </row>
    <row r="13145" spans="15:15" x14ac:dyDescent="0.25">
      <c r="O13145" s="20" t="str">
        <f>IF(N13145="","",COUNTIFS(RawData[[Date ]],N13145,RawData[Month List],$Q$6,RawData[Tour/Site],$Q$2,RawData[[Picker ID ]],$Q$3,RawData[Checker ID],$Q$4,RawData[[Error Type ]],$Q$5))</f>
        <v/>
      </c>
    </row>
    <row r="13146" spans="15:15" x14ac:dyDescent="0.25">
      <c r="O13146" s="20" t="str">
        <f>IF(N13146="","",COUNTIFS(RawData[[Date ]],N13146,RawData[Month List],$Q$6,RawData[Tour/Site],$Q$2,RawData[[Picker ID ]],$Q$3,RawData[Checker ID],$Q$4,RawData[[Error Type ]],$Q$5))</f>
        <v/>
      </c>
    </row>
    <row r="13147" spans="15:15" x14ac:dyDescent="0.25">
      <c r="O13147" s="20" t="str">
        <f>IF(N13147="","",COUNTIFS(RawData[[Date ]],N13147,RawData[Month List],$Q$6,RawData[Tour/Site],$Q$2,RawData[[Picker ID ]],$Q$3,RawData[Checker ID],$Q$4,RawData[[Error Type ]],$Q$5))</f>
        <v/>
      </c>
    </row>
    <row r="13148" spans="15:15" x14ac:dyDescent="0.25">
      <c r="O13148" s="20" t="str">
        <f>IF(N13148="","",COUNTIFS(RawData[[Date ]],N13148,RawData[Month List],$Q$6,RawData[Tour/Site],$Q$2,RawData[[Picker ID ]],$Q$3,RawData[Checker ID],$Q$4,RawData[[Error Type ]],$Q$5))</f>
        <v/>
      </c>
    </row>
    <row r="13149" spans="15:15" x14ac:dyDescent="0.25">
      <c r="O13149" s="20" t="str">
        <f>IF(N13149="","",COUNTIFS(RawData[[Date ]],N13149,RawData[Month List],$Q$6,RawData[Tour/Site],$Q$2,RawData[[Picker ID ]],$Q$3,RawData[Checker ID],$Q$4,RawData[[Error Type ]],$Q$5))</f>
        <v/>
      </c>
    </row>
    <row r="13150" spans="15:15" x14ac:dyDescent="0.25">
      <c r="O13150" s="20" t="str">
        <f>IF(N13150="","",COUNTIFS(RawData[[Date ]],N13150,RawData[Month List],$Q$6,RawData[Tour/Site],$Q$2,RawData[[Picker ID ]],$Q$3,RawData[Checker ID],$Q$4,RawData[[Error Type ]],$Q$5))</f>
        <v/>
      </c>
    </row>
    <row r="13151" spans="15:15" x14ac:dyDescent="0.25">
      <c r="O13151" s="20" t="str">
        <f>IF(N13151="","",COUNTIFS(RawData[[Date ]],N13151,RawData[Month List],$Q$6,RawData[Tour/Site],$Q$2,RawData[[Picker ID ]],$Q$3,RawData[Checker ID],$Q$4,RawData[[Error Type ]],$Q$5))</f>
        <v/>
      </c>
    </row>
    <row r="13152" spans="15:15" x14ac:dyDescent="0.25">
      <c r="O13152" s="20" t="str">
        <f>IF(N13152="","",COUNTIFS(RawData[[Date ]],N13152,RawData[Month List],$Q$6,RawData[Tour/Site],$Q$2,RawData[[Picker ID ]],$Q$3,RawData[Checker ID],$Q$4,RawData[[Error Type ]],$Q$5))</f>
        <v/>
      </c>
    </row>
    <row r="13153" spans="15:15" x14ac:dyDescent="0.25">
      <c r="O13153" s="20" t="str">
        <f>IF(N13153="","",COUNTIFS(RawData[[Date ]],N13153,RawData[Month List],$Q$6,RawData[Tour/Site],$Q$2,RawData[[Picker ID ]],$Q$3,RawData[Checker ID],$Q$4,RawData[[Error Type ]],$Q$5))</f>
        <v/>
      </c>
    </row>
    <row r="13154" spans="15:15" x14ac:dyDescent="0.25">
      <c r="O13154" s="20" t="str">
        <f>IF(N13154="","",COUNTIFS(RawData[[Date ]],N13154,RawData[Month List],$Q$6,RawData[Tour/Site],$Q$2,RawData[[Picker ID ]],$Q$3,RawData[Checker ID],$Q$4,RawData[[Error Type ]],$Q$5))</f>
        <v/>
      </c>
    </row>
    <row r="13155" spans="15:15" x14ac:dyDescent="0.25">
      <c r="O13155" s="20" t="str">
        <f>IF(N13155="","",COUNTIFS(RawData[[Date ]],N13155,RawData[Month List],$Q$6,RawData[Tour/Site],$Q$2,RawData[[Picker ID ]],$Q$3,RawData[Checker ID],$Q$4,RawData[[Error Type ]],$Q$5))</f>
        <v/>
      </c>
    </row>
    <row r="13156" spans="15:15" x14ac:dyDescent="0.25">
      <c r="O13156" s="20" t="str">
        <f>IF(N13156="","",COUNTIFS(RawData[[Date ]],N13156,RawData[Month List],$Q$6,RawData[Tour/Site],$Q$2,RawData[[Picker ID ]],$Q$3,RawData[Checker ID],$Q$4,RawData[[Error Type ]],$Q$5))</f>
        <v/>
      </c>
    </row>
    <row r="13157" spans="15:15" x14ac:dyDescent="0.25">
      <c r="O13157" s="20" t="str">
        <f>IF(N13157="","",COUNTIFS(RawData[[Date ]],N13157,RawData[Month List],$Q$6,RawData[Tour/Site],$Q$2,RawData[[Picker ID ]],$Q$3,RawData[Checker ID],$Q$4,RawData[[Error Type ]],$Q$5))</f>
        <v/>
      </c>
    </row>
    <row r="13158" spans="15:15" x14ac:dyDescent="0.25">
      <c r="O13158" s="20" t="str">
        <f>IF(N13158="","",COUNTIFS(RawData[[Date ]],N13158,RawData[Month List],$Q$6,RawData[Tour/Site],$Q$2,RawData[[Picker ID ]],$Q$3,RawData[Checker ID],$Q$4,RawData[[Error Type ]],$Q$5))</f>
        <v/>
      </c>
    </row>
    <row r="13159" spans="15:15" x14ac:dyDescent="0.25">
      <c r="O13159" s="20" t="str">
        <f>IF(N13159="","",COUNTIFS(RawData[[Date ]],N13159,RawData[Month List],$Q$6,RawData[Tour/Site],$Q$2,RawData[[Picker ID ]],$Q$3,RawData[Checker ID],$Q$4,RawData[[Error Type ]],$Q$5))</f>
        <v/>
      </c>
    </row>
    <row r="13160" spans="15:15" x14ac:dyDescent="0.25">
      <c r="O13160" s="20" t="str">
        <f>IF(N13160="","",COUNTIFS(RawData[[Date ]],N13160,RawData[Month List],$Q$6,RawData[Tour/Site],$Q$2,RawData[[Picker ID ]],$Q$3,RawData[Checker ID],$Q$4,RawData[[Error Type ]],$Q$5))</f>
        <v/>
      </c>
    </row>
    <row r="13161" spans="15:15" x14ac:dyDescent="0.25">
      <c r="O13161" s="20" t="str">
        <f>IF(N13161="","",COUNTIFS(RawData[[Date ]],N13161,RawData[Month List],$Q$6,RawData[Tour/Site],$Q$2,RawData[[Picker ID ]],$Q$3,RawData[Checker ID],$Q$4,RawData[[Error Type ]],$Q$5))</f>
        <v/>
      </c>
    </row>
    <row r="13162" spans="15:15" x14ac:dyDescent="0.25">
      <c r="O13162" s="20" t="str">
        <f>IF(N13162="","",COUNTIFS(RawData[[Date ]],N13162,RawData[Month List],$Q$6,RawData[Tour/Site],$Q$2,RawData[[Picker ID ]],$Q$3,RawData[Checker ID],$Q$4,RawData[[Error Type ]],$Q$5))</f>
        <v/>
      </c>
    </row>
    <row r="13163" spans="15:15" x14ac:dyDescent="0.25">
      <c r="O13163" s="20" t="str">
        <f>IF(N13163="","",COUNTIFS(RawData[[Date ]],N13163,RawData[Month List],$Q$6,RawData[Tour/Site],$Q$2,RawData[[Picker ID ]],$Q$3,RawData[Checker ID],$Q$4,RawData[[Error Type ]],$Q$5))</f>
        <v/>
      </c>
    </row>
    <row r="13164" spans="15:15" x14ac:dyDescent="0.25">
      <c r="O13164" s="20" t="str">
        <f>IF(N13164="","",COUNTIFS(RawData[[Date ]],N13164,RawData[Month List],$Q$6,RawData[Tour/Site],$Q$2,RawData[[Picker ID ]],$Q$3,RawData[Checker ID],$Q$4,RawData[[Error Type ]],$Q$5))</f>
        <v/>
      </c>
    </row>
    <row r="13165" spans="15:15" x14ac:dyDescent="0.25">
      <c r="O13165" s="20" t="str">
        <f>IF(N13165="","",COUNTIFS(RawData[[Date ]],N13165,RawData[Month List],$Q$6,RawData[Tour/Site],$Q$2,RawData[[Picker ID ]],$Q$3,RawData[Checker ID],$Q$4,RawData[[Error Type ]],$Q$5))</f>
        <v/>
      </c>
    </row>
    <row r="13166" spans="15:15" x14ac:dyDescent="0.25">
      <c r="O13166" s="20" t="str">
        <f>IF(N13166="","",COUNTIFS(RawData[[Date ]],N13166,RawData[Month List],$Q$6,RawData[Tour/Site],$Q$2,RawData[[Picker ID ]],$Q$3,RawData[Checker ID],$Q$4,RawData[[Error Type ]],$Q$5))</f>
        <v/>
      </c>
    </row>
    <row r="13167" spans="15:15" x14ac:dyDescent="0.25">
      <c r="O13167" s="20" t="str">
        <f>IF(N13167="","",COUNTIFS(RawData[[Date ]],N13167,RawData[Month List],$Q$6,RawData[Tour/Site],$Q$2,RawData[[Picker ID ]],$Q$3,RawData[Checker ID],$Q$4,RawData[[Error Type ]],$Q$5))</f>
        <v/>
      </c>
    </row>
    <row r="13168" spans="15:15" x14ac:dyDescent="0.25">
      <c r="O13168" s="20" t="str">
        <f>IF(N13168="","",COUNTIFS(RawData[[Date ]],N13168,RawData[Month List],$Q$6,RawData[Tour/Site],$Q$2,RawData[[Picker ID ]],$Q$3,RawData[Checker ID],$Q$4,RawData[[Error Type ]],$Q$5))</f>
        <v/>
      </c>
    </row>
    <row r="13169" spans="15:15" x14ac:dyDescent="0.25">
      <c r="O13169" s="20" t="str">
        <f>IF(N13169="","",COUNTIFS(RawData[[Date ]],N13169,RawData[Month List],$Q$6,RawData[Tour/Site],$Q$2,RawData[[Picker ID ]],$Q$3,RawData[Checker ID],$Q$4,RawData[[Error Type ]],$Q$5))</f>
        <v/>
      </c>
    </row>
    <row r="13170" spans="15:15" x14ac:dyDescent="0.25">
      <c r="O13170" s="20" t="str">
        <f>IF(N13170="","",COUNTIFS(RawData[[Date ]],N13170,RawData[Month List],$Q$6,RawData[Tour/Site],$Q$2,RawData[[Picker ID ]],$Q$3,RawData[Checker ID],$Q$4,RawData[[Error Type ]],$Q$5))</f>
        <v/>
      </c>
    </row>
    <row r="13171" spans="15:15" x14ac:dyDescent="0.25">
      <c r="O13171" s="20" t="str">
        <f>IF(N13171="","",COUNTIFS(RawData[[Date ]],N13171,RawData[Month List],$Q$6,RawData[Tour/Site],$Q$2,RawData[[Picker ID ]],$Q$3,RawData[Checker ID],$Q$4,RawData[[Error Type ]],$Q$5))</f>
        <v/>
      </c>
    </row>
    <row r="13172" spans="15:15" x14ac:dyDescent="0.25">
      <c r="O13172" s="20" t="str">
        <f>IF(N13172="","",COUNTIFS(RawData[[Date ]],N13172,RawData[Month List],$Q$6,RawData[Tour/Site],$Q$2,RawData[[Picker ID ]],$Q$3,RawData[Checker ID],$Q$4,RawData[[Error Type ]],$Q$5))</f>
        <v/>
      </c>
    </row>
    <row r="13173" spans="15:15" x14ac:dyDescent="0.25">
      <c r="O13173" s="20" t="str">
        <f>IF(N13173="","",COUNTIFS(RawData[[Date ]],N13173,RawData[Month List],$Q$6,RawData[Tour/Site],$Q$2,RawData[[Picker ID ]],$Q$3,RawData[Checker ID],$Q$4,RawData[[Error Type ]],$Q$5))</f>
        <v/>
      </c>
    </row>
    <row r="13174" spans="15:15" x14ac:dyDescent="0.25">
      <c r="O13174" s="20" t="str">
        <f>IF(N13174="","",COUNTIFS(RawData[[Date ]],N13174,RawData[Month List],$Q$6,RawData[Tour/Site],$Q$2,RawData[[Picker ID ]],$Q$3,RawData[Checker ID],$Q$4,RawData[[Error Type ]],$Q$5))</f>
        <v/>
      </c>
    </row>
    <row r="13175" spans="15:15" x14ac:dyDescent="0.25">
      <c r="O13175" s="20" t="str">
        <f>IF(N13175="","",COUNTIFS(RawData[[Date ]],N13175,RawData[Month List],$Q$6,RawData[Tour/Site],$Q$2,RawData[[Picker ID ]],$Q$3,RawData[Checker ID],$Q$4,RawData[[Error Type ]],$Q$5))</f>
        <v/>
      </c>
    </row>
    <row r="13176" spans="15:15" x14ac:dyDescent="0.25">
      <c r="O13176" s="20" t="str">
        <f>IF(N13176="","",COUNTIFS(RawData[[Date ]],N13176,RawData[Month List],$Q$6,RawData[Tour/Site],$Q$2,RawData[[Picker ID ]],$Q$3,RawData[Checker ID],$Q$4,RawData[[Error Type ]],$Q$5))</f>
        <v/>
      </c>
    </row>
    <row r="13177" spans="15:15" x14ac:dyDescent="0.25">
      <c r="O13177" s="20" t="str">
        <f>IF(N13177="","",COUNTIFS(RawData[[Date ]],N13177,RawData[Month List],$Q$6,RawData[Tour/Site],$Q$2,RawData[[Picker ID ]],$Q$3,RawData[Checker ID],$Q$4,RawData[[Error Type ]],$Q$5))</f>
        <v/>
      </c>
    </row>
    <row r="13178" spans="15:15" x14ac:dyDescent="0.25">
      <c r="O13178" s="20" t="str">
        <f>IF(N13178="","",COUNTIFS(RawData[[Date ]],N13178,RawData[Month List],$Q$6,RawData[Tour/Site],$Q$2,RawData[[Picker ID ]],$Q$3,RawData[Checker ID],$Q$4,RawData[[Error Type ]],$Q$5))</f>
        <v/>
      </c>
    </row>
    <row r="13179" spans="15:15" x14ac:dyDescent="0.25">
      <c r="O13179" s="20" t="str">
        <f>IF(N13179="","",COUNTIFS(RawData[[Date ]],N13179,RawData[Month List],$Q$6,RawData[Tour/Site],$Q$2,RawData[[Picker ID ]],$Q$3,RawData[Checker ID],$Q$4,RawData[[Error Type ]],$Q$5))</f>
        <v/>
      </c>
    </row>
    <row r="13180" spans="15:15" x14ac:dyDescent="0.25">
      <c r="O13180" s="20" t="str">
        <f>IF(N13180="","",COUNTIFS(RawData[[Date ]],N13180,RawData[Month List],$Q$6,RawData[Tour/Site],$Q$2,RawData[[Picker ID ]],$Q$3,RawData[Checker ID],$Q$4,RawData[[Error Type ]],$Q$5))</f>
        <v/>
      </c>
    </row>
    <row r="13181" spans="15:15" x14ac:dyDescent="0.25">
      <c r="O13181" s="20" t="str">
        <f>IF(N13181="","",COUNTIFS(RawData[[Date ]],N13181,RawData[Month List],$Q$6,RawData[Tour/Site],$Q$2,RawData[[Picker ID ]],$Q$3,RawData[Checker ID],$Q$4,RawData[[Error Type ]],$Q$5))</f>
        <v/>
      </c>
    </row>
    <row r="13182" spans="15:15" x14ac:dyDescent="0.25">
      <c r="O13182" s="20" t="str">
        <f>IF(N13182="","",COUNTIFS(RawData[[Date ]],N13182,RawData[Month List],$Q$6,RawData[Tour/Site],$Q$2,RawData[[Picker ID ]],$Q$3,RawData[Checker ID],$Q$4,RawData[[Error Type ]],$Q$5))</f>
        <v/>
      </c>
    </row>
    <row r="13183" spans="15:15" x14ac:dyDescent="0.25">
      <c r="O13183" s="20" t="str">
        <f>IF(N13183="","",COUNTIFS(RawData[[Date ]],N13183,RawData[Month List],$Q$6,RawData[Tour/Site],$Q$2,RawData[[Picker ID ]],$Q$3,RawData[Checker ID],$Q$4,RawData[[Error Type ]],$Q$5))</f>
        <v/>
      </c>
    </row>
    <row r="13184" spans="15:15" x14ac:dyDescent="0.25">
      <c r="O13184" s="20" t="str">
        <f>IF(N13184="","",COUNTIFS(RawData[[Date ]],N13184,RawData[Month List],$Q$6,RawData[Tour/Site],$Q$2,RawData[[Picker ID ]],$Q$3,RawData[Checker ID],$Q$4,RawData[[Error Type ]],$Q$5))</f>
        <v/>
      </c>
    </row>
    <row r="13185" spans="15:15" x14ac:dyDescent="0.25">
      <c r="O13185" s="20" t="str">
        <f>IF(N13185="","",COUNTIFS(RawData[[Date ]],N13185,RawData[Month List],$Q$6,RawData[Tour/Site],$Q$2,RawData[[Picker ID ]],$Q$3,RawData[Checker ID],$Q$4,RawData[[Error Type ]],$Q$5))</f>
        <v/>
      </c>
    </row>
    <row r="13186" spans="15:15" x14ac:dyDescent="0.25">
      <c r="O13186" s="20" t="str">
        <f>IF(N13186="","",COUNTIFS(RawData[[Date ]],N13186,RawData[Month List],$Q$6,RawData[Tour/Site],$Q$2,RawData[[Picker ID ]],$Q$3,RawData[Checker ID],$Q$4,RawData[[Error Type ]],$Q$5))</f>
        <v/>
      </c>
    </row>
    <row r="13187" spans="15:15" x14ac:dyDescent="0.25">
      <c r="O13187" s="20" t="str">
        <f>IF(N13187="","",COUNTIFS(RawData[[Date ]],N13187,RawData[Month List],$Q$6,RawData[Tour/Site],$Q$2,RawData[[Picker ID ]],$Q$3,RawData[Checker ID],$Q$4,RawData[[Error Type ]],$Q$5))</f>
        <v/>
      </c>
    </row>
    <row r="13188" spans="15:15" x14ac:dyDescent="0.25">
      <c r="O13188" s="20" t="str">
        <f>IF(N13188="","",COUNTIFS(RawData[[Date ]],N13188,RawData[Month List],$Q$6,RawData[Tour/Site],$Q$2,RawData[[Picker ID ]],$Q$3,RawData[Checker ID],$Q$4,RawData[[Error Type ]],$Q$5))</f>
        <v/>
      </c>
    </row>
    <row r="13189" spans="15:15" x14ac:dyDescent="0.25">
      <c r="O13189" s="20" t="str">
        <f>IF(N13189="","",COUNTIFS(RawData[[Date ]],N13189,RawData[Month List],$Q$6,RawData[Tour/Site],$Q$2,RawData[[Picker ID ]],$Q$3,RawData[Checker ID],$Q$4,RawData[[Error Type ]],$Q$5))</f>
        <v/>
      </c>
    </row>
    <row r="13190" spans="15:15" x14ac:dyDescent="0.25">
      <c r="O13190" s="20" t="str">
        <f>IF(N13190="","",COUNTIFS(RawData[[Date ]],N13190,RawData[Month List],$Q$6,RawData[Tour/Site],$Q$2,RawData[[Picker ID ]],$Q$3,RawData[Checker ID],$Q$4,RawData[[Error Type ]],$Q$5))</f>
        <v/>
      </c>
    </row>
    <row r="13191" spans="15:15" x14ac:dyDescent="0.25">
      <c r="O13191" s="20" t="str">
        <f>IF(N13191="","",COUNTIFS(RawData[[Date ]],N13191,RawData[Month List],$Q$6,RawData[Tour/Site],$Q$2,RawData[[Picker ID ]],$Q$3,RawData[Checker ID],$Q$4,RawData[[Error Type ]],$Q$5))</f>
        <v/>
      </c>
    </row>
    <row r="13192" spans="15:15" x14ac:dyDescent="0.25">
      <c r="O13192" s="20" t="str">
        <f>IF(N13192="","",COUNTIFS(RawData[[Date ]],N13192,RawData[Month List],$Q$6,RawData[Tour/Site],$Q$2,RawData[[Picker ID ]],$Q$3,RawData[Checker ID],$Q$4,RawData[[Error Type ]],$Q$5))</f>
        <v/>
      </c>
    </row>
    <row r="13193" spans="15:15" x14ac:dyDescent="0.25">
      <c r="O13193" s="20" t="str">
        <f>IF(N13193="","",COUNTIFS(RawData[[Date ]],N13193,RawData[Month List],$Q$6,RawData[Tour/Site],$Q$2,RawData[[Picker ID ]],$Q$3,RawData[Checker ID],$Q$4,RawData[[Error Type ]],$Q$5))</f>
        <v/>
      </c>
    </row>
    <row r="13194" spans="15:15" x14ac:dyDescent="0.25">
      <c r="O13194" s="20" t="str">
        <f>IF(N13194="","",COUNTIFS(RawData[[Date ]],N13194,RawData[Month List],$Q$6,RawData[Tour/Site],$Q$2,RawData[[Picker ID ]],$Q$3,RawData[Checker ID],$Q$4,RawData[[Error Type ]],$Q$5))</f>
        <v/>
      </c>
    </row>
    <row r="13195" spans="15:15" x14ac:dyDescent="0.25">
      <c r="O13195" s="20" t="str">
        <f>IF(N13195="","",COUNTIFS(RawData[[Date ]],N13195,RawData[Month List],$Q$6,RawData[Tour/Site],$Q$2,RawData[[Picker ID ]],$Q$3,RawData[Checker ID],$Q$4,RawData[[Error Type ]],$Q$5))</f>
        <v/>
      </c>
    </row>
    <row r="13196" spans="15:15" x14ac:dyDescent="0.25">
      <c r="O13196" s="20" t="str">
        <f>IF(N13196="","",COUNTIFS(RawData[[Date ]],N13196,RawData[Month List],$Q$6,RawData[Tour/Site],$Q$2,RawData[[Picker ID ]],$Q$3,RawData[Checker ID],$Q$4,RawData[[Error Type ]],$Q$5))</f>
        <v/>
      </c>
    </row>
    <row r="13197" spans="15:15" x14ac:dyDescent="0.25">
      <c r="O13197" s="20" t="str">
        <f>IF(N13197="","",COUNTIFS(RawData[[Date ]],N13197,RawData[Month List],$Q$6,RawData[Tour/Site],$Q$2,RawData[[Picker ID ]],$Q$3,RawData[Checker ID],$Q$4,RawData[[Error Type ]],$Q$5))</f>
        <v/>
      </c>
    </row>
    <row r="13198" spans="15:15" x14ac:dyDescent="0.25">
      <c r="O13198" s="20" t="str">
        <f>IF(N13198="","",COUNTIFS(RawData[[Date ]],N13198,RawData[Month List],$Q$6,RawData[Tour/Site],$Q$2,RawData[[Picker ID ]],$Q$3,RawData[Checker ID],$Q$4,RawData[[Error Type ]],$Q$5))</f>
        <v/>
      </c>
    </row>
    <row r="13199" spans="15:15" x14ac:dyDescent="0.25">
      <c r="O13199" s="20" t="str">
        <f>IF(N13199="","",COUNTIFS(RawData[[Date ]],N13199,RawData[Month List],$Q$6,RawData[Tour/Site],$Q$2,RawData[[Picker ID ]],$Q$3,RawData[Checker ID],$Q$4,RawData[[Error Type ]],$Q$5))</f>
        <v/>
      </c>
    </row>
    <row r="13200" spans="15:15" x14ac:dyDescent="0.25">
      <c r="O13200" s="20" t="str">
        <f>IF(N13200="","",COUNTIFS(RawData[[Date ]],N13200,RawData[Month List],$Q$6,RawData[Tour/Site],$Q$2,RawData[[Picker ID ]],$Q$3,RawData[Checker ID],$Q$4,RawData[[Error Type ]],$Q$5))</f>
        <v/>
      </c>
    </row>
    <row r="13201" spans="15:15" x14ac:dyDescent="0.25">
      <c r="O13201" s="20" t="str">
        <f>IF(N13201="","",COUNTIFS(RawData[[Date ]],N13201,RawData[Month List],$Q$6,RawData[Tour/Site],$Q$2,RawData[[Picker ID ]],$Q$3,RawData[Checker ID],$Q$4,RawData[[Error Type ]],$Q$5))</f>
        <v/>
      </c>
    </row>
    <row r="13202" spans="15:15" x14ac:dyDescent="0.25">
      <c r="O13202" s="20" t="str">
        <f>IF(N13202="","",COUNTIFS(RawData[[Date ]],N13202,RawData[Month List],$Q$6,RawData[Tour/Site],$Q$2,RawData[[Picker ID ]],$Q$3,RawData[Checker ID],$Q$4,RawData[[Error Type ]],$Q$5))</f>
        <v/>
      </c>
    </row>
    <row r="13203" spans="15:15" x14ac:dyDescent="0.25">
      <c r="O13203" s="20" t="str">
        <f>IF(N13203="","",COUNTIFS(RawData[[Date ]],N13203,RawData[Month List],$Q$6,RawData[Tour/Site],$Q$2,RawData[[Picker ID ]],$Q$3,RawData[Checker ID],$Q$4,RawData[[Error Type ]],$Q$5))</f>
        <v/>
      </c>
    </row>
    <row r="13204" spans="15:15" x14ac:dyDescent="0.25">
      <c r="O13204" s="20" t="str">
        <f>IF(N13204="","",COUNTIFS(RawData[[Date ]],N13204,RawData[Month List],$Q$6,RawData[Tour/Site],$Q$2,RawData[[Picker ID ]],$Q$3,RawData[Checker ID],$Q$4,RawData[[Error Type ]],$Q$5))</f>
        <v/>
      </c>
    </row>
    <row r="13205" spans="15:15" x14ac:dyDescent="0.25">
      <c r="O13205" s="20" t="str">
        <f>IF(N13205="","",COUNTIFS(RawData[[Date ]],N13205,RawData[Month List],$Q$6,RawData[Tour/Site],$Q$2,RawData[[Picker ID ]],$Q$3,RawData[Checker ID],$Q$4,RawData[[Error Type ]],$Q$5))</f>
        <v/>
      </c>
    </row>
    <row r="13206" spans="15:15" x14ac:dyDescent="0.25">
      <c r="O13206" s="20" t="str">
        <f>IF(N13206="","",COUNTIFS(RawData[[Date ]],N13206,RawData[Month List],$Q$6,RawData[Tour/Site],$Q$2,RawData[[Picker ID ]],$Q$3,RawData[Checker ID],$Q$4,RawData[[Error Type ]],$Q$5))</f>
        <v/>
      </c>
    </row>
    <row r="13207" spans="15:15" x14ac:dyDescent="0.25">
      <c r="O13207" s="20" t="str">
        <f>IF(N13207="","",COUNTIFS(RawData[[Date ]],N13207,RawData[Month List],$Q$6,RawData[Tour/Site],$Q$2,RawData[[Picker ID ]],$Q$3,RawData[Checker ID],$Q$4,RawData[[Error Type ]],$Q$5))</f>
        <v/>
      </c>
    </row>
    <row r="13208" spans="15:15" x14ac:dyDescent="0.25">
      <c r="O13208" s="20" t="str">
        <f>IF(N13208="","",COUNTIFS(RawData[[Date ]],N13208,RawData[Month List],$Q$6,RawData[Tour/Site],$Q$2,RawData[[Picker ID ]],$Q$3,RawData[Checker ID],$Q$4,RawData[[Error Type ]],$Q$5))</f>
        <v/>
      </c>
    </row>
    <row r="13209" spans="15:15" x14ac:dyDescent="0.25">
      <c r="O13209" s="20" t="str">
        <f>IF(N13209="","",COUNTIFS(RawData[[Date ]],N13209,RawData[Month List],$Q$6,RawData[Tour/Site],$Q$2,RawData[[Picker ID ]],$Q$3,RawData[Checker ID],$Q$4,RawData[[Error Type ]],$Q$5))</f>
        <v/>
      </c>
    </row>
    <row r="13210" spans="15:15" x14ac:dyDescent="0.25">
      <c r="O13210" s="20" t="str">
        <f>IF(N13210="","",COUNTIFS(RawData[[Date ]],N13210,RawData[Month List],$Q$6,RawData[Tour/Site],$Q$2,RawData[[Picker ID ]],$Q$3,RawData[Checker ID],$Q$4,RawData[[Error Type ]],$Q$5))</f>
        <v/>
      </c>
    </row>
    <row r="13211" spans="15:15" x14ac:dyDescent="0.25">
      <c r="O13211" s="20" t="str">
        <f>IF(N13211="","",COUNTIFS(RawData[[Date ]],N13211,RawData[Month List],$Q$6,RawData[Tour/Site],$Q$2,RawData[[Picker ID ]],$Q$3,RawData[Checker ID],$Q$4,RawData[[Error Type ]],$Q$5))</f>
        <v/>
      </c>
    </row>
    <row r="13212" spans="15:15" x14ac:dyDescent="0.25">
      <c r="O13212" s="20" t="str">
        <f>IF(N13212="","",COUNTIFS(RawData[[Date ]],N13212,RawData[Month List],$Q$6,RawData[Tour/Site],$Q$2,RawData[[Picker ID ]],$Q$3,RawData[Checker ID],$Q$4,RawData[[Error Type ]],$Q$5))</f>
        <v/>
      </c>
    </row>
    <row r="13213" spans="15:15" x14ac:dyDescent="0.25">
      <c r="O13213" s="20" t="str">
        <f>IF(N13213="","",COUNTIFS(RawData[[Date ]],N13213,RawData[Month List],$Q$6,RawData[Tour/Site],$Q$2,RawData[[Picker ID ]],$Q$3,RawData[Checker ID],$Q$4,RawData[[Error Type ]],$Q$5))</f>
        <v/>
      </c>
    </row>
    <row r="13214" spans="15:15" x14ac:dyDescent="0.25">
      <c r="O13214" s="20" t="str">
        <f>IF(N13214="","",COUNTIFS(RawData[[Date ]],N13214,RawData[Month List],$Q$6,RawData[Tour/Site],$Q$2,RawData[[Picker ID ]],$Q$3,RawData[Checker ID],$Q$4,RawData[[Error Type ]],$Q$5))</f>
        <v/>
      </c>
    </row>
    <row r="13215" spans="15:15" x14ac:dyDescent="0.25">
      <c r="O13215" s="20" t="str">
        <f>IF(N13215="","",COUNTIFS(RawData[[Date ]],N13215,RawData[Month List],$Q$6,RawData[Tour/Site],$Q$2,RawData[[Picker ID ]],$Q$3,RawData[Checker ID],$Q$4,RawData[[Error Type ]],$Q$5))</f>
        <v/>
      </c>
    </row>
    <row r="13216" spans="15:15" x14ac:dyDescent="0.25">
      <c r="O13216" s="20" t="str">
        <f>IF(N13216="","",COUNTIFS(RawData[[Date ]],N13216,RawData[Month List],$Q$6,RawData[Tour/Site],$Q$2,RawData[[Picker ID ]],$Q$3,RawData[Checker ID],$Q$4,RawData[[Error Type ]],$Q$5))</f>
        <v/>
      </c>
    </row>
    <row r="13217" spans="15:15" x14ac:dyDescent="0.25">
      <c r="O13217" s="20" t="str">
        <f>IF(N13217="","",COUNTIFS(RawData[[Date ]],N13217,RawData[Month List],$Q$6,RawData[Tour/Site],$Q$2,RawData[[Picker ID ]],$Q$3,RawData[Checker ID],$Q$4,RawData[[Error Type ]],$Q$5))</f>
        <v/>
      </c>
    </row>
    <row r="13218" spans="15:15" x14ac:dyDescent="0.25">
      <c r="O13218" s="20" t="str">
        <f>IF(N13218="","",COUNTIFS(RawData[[Date ]],N13218,RawData[Month List],$Q$6,RawData[Tour/Site],$Q$2,RawData[[Picker ID ]],$Q$3,RawData[Checker ID],$Q$4,RawData[[Error Type ]],$Q$5))</f>
        <v/>
      </c>
    </row>
    <row r="13219" spans="15:15" x14ac:dyDescent="0.25">
      <c r="O13219" s="20" t="str">
        <f>IF(N13219="","",COUNTIFS(RawData[[Date ]],N13219,RawData[Month List],$Q$6,RawData[Tour/Site],$Q$2,RawData[[Picker ID ]],$Q$3,RawData[Checker ID],$Q$4,RawData[[Error Type ]],$Q$5))</f>
        <v/>
      </c>
    </row>
    <row r="13220" spans="15:15" x14ac:dyDescent="0.25">
      <c r="O13220" s="20" t="str">
        <f>IF(N13220="","",COUNTIFS(RawData[[Date ]],N13220,RawData[Month List],$Q$6,RawData[Tour/Site],$Q$2,RawData[[Picker ID ]],$Q$3,RawData[Checker ID],$Q$4,RawData[[Error Type ]],$Q$5))</f>
        <v/>
      </c>
    </row>
    <row r="13221" spans="15:15" x14ac:dyDescent="0.25">
      <c r="O13221" s="20" t="str">
        <f>IF(N13221="","",COUNTIFS(RawData[[Date ]],N13221,RawData[Month List],$Q$6,RawData[Tour/Site],$Q$2,RawData[[Picker ID ]],$Q$3,RawData[Checker ID],$Q$4,RawData[[Error Type ]],$Q$5))</f>
        <v/>
      </c>
    </row>
    <row r="13222" spans="15:15" x14ac:dyDescent="0.25">
      <c r="O13222" s="20" t="str">
        <f>IF(N13222="","",COUNTIFS(RawData[[Date ]],N13222,RawData[Month List],$Q$6,RawData[Tour/Site],$Q$2,RawData[[Picker ID ]],$Q$3,RawData[Checker ID],$Q$4,RawData[[Error Type ]],$Q$5))</f>
        <v/>
      </c>
    </row>
    <row r="13223" spans="15:15" x14ac:dyDescent="0.25">
      <c r="O13223" s="20" t="str">
        <f>IF(N13223="","",COUNTIFS(RawData[[Date ]],N13223,RawData[Month List],$Q$6,RawData[Tour/Site],$Q$2,RawData[[Picker ID ]],$Q$3,RawData[Checker ID],$Q$4,RawData[[Error Type ]],$Q$5))</f>
        <v/>
      </c>
    </row>
    <row r="13224" spans="15:15" x14ac:dyDescent="0.25">
      <c r="O13224" s="20" t="str">
        <f>IF(N13224="","",COUNTIFS(RawData[[Date ]],N13224,RawData[Month List],$Q$6,RawData[Tour/Site],$Q$2,RawData[[Picker ID ]],$Q$3,RawData[Checker ID],$Q$4,RawData[[Error Type ]],$Q$5))</f>
        <v/>
      </c>
    </row>
    <row r="13225" spans="15:15" x14ac:dyDescent="0.25">
      <c r="O13225" s="20" t="str">
        <f>IF(N13225="","",COUNTIFS(RawData[[Date ]],N13225,RawData[Month List],$Q$6,RawData[Tour/Site],$Q$2,RawData[[Picker ID ]],$Q$3,RawData[Checker ID],$Q$4,RawData[[Error Type ]],$Q$5))</f>
        <v/>
      </c>
    </row>
    <row r="13226" spans="15:15" x14ac:dyDescent="0.25">
      <c r="O13226" s="20" t="str">
        <f>IF(N13226="","",COUNTIFS(RawData[[Date ]],N13226,RawData[Month List],$Q$6,RawData[Tour/Site],$Q$2,RawData[[Picker ID ]],$Q$3,RawData[Checker ID],$Q$4,RawData[[Error Type ]],$Q$5))</f>
        <v/>
      </c>
    </row>
    <row r="13227" spans="15:15" x14ac:dyDescent="0.25">
      <c r="O13227" s="20" t="str">
        <f>IF(N13227="","",COUNTIFS(RawData[[Date ]],N13227,RawData[Month List],$Q$6,RawData[Tour/Site],$Q$2,RawData[[Picker ID ]],$Q$3,RawData[Checker ID],$Q$4,RawData[[Error Type ]],$Q$5))</f>
        <v/>
      </c>
    </row>
    <row r="13228" spans="15:15" x14ac:dyDescent="0.25">
      <c r="O13228" s="20" t="str">
        <f>IF(N13228="","",COUNTIFS(RawData[[Date ]],N13228,RawData[Month List],$Q$6,RawData[Tour/Site],$Q$2,RawData[[Picker ID ]],$Q$3,RawData[Checker ID],$Q$4,RawData[[Error Type ]],$Q$5))</f>
        <v/>
      </c>
    </row>
    <row r="13229" spans="15:15" x14ac:dyDescent="0.25">
      <c r="O13229" s="20" t="str">
        <f>IF(N13229="","",COUNTIFS(RawData[[Date ]],N13229,RawData[Month List],$Q$6,RawData[Tour/Site],$Q$2,RawData[[Picker ID ]],$Q$3,RawData[Checker ID],$Q$4,RawData[[Error Type ]],$Q$5))</f>
        <v/>
      </c>
    </row>
    <row r="13230" spans="15:15" x14ac:dyDescent="0.25">
      <c r="O13230" s="20" t="str">
        <f>IF(N13230="","",COUNTIFS(RawData[[Date ]],N13230,RawData[Month List],$Q$6,RawData[Tour/Site],$Q$2,RawData[[Picker ID ]],$Q$3,RawData[Checker ID],$Q$4,RawData[[Error Type ]],$Q$5))</f>
        <v/>
      </c>
    </row>
    <row r="13231" spans="15:15" x14ac:dyDescent="0.25">
      <c r="O13231" s="20" t="str">
        <f>IF(N13231="","",COUNTIFS(RawData[[Date ]],N13231,RawData[Month List],$Q$6,RawData[Tour/Site],$Q$2,RawData[[Picker ID ]],$Q$3,RawData[Checker ID],$Q$4,RawData[[Error Type ]],$Q$5))</f>
        <v/>
      </c>
    </row>
    <row r="13232" spans="15:15" x14ac:dyDescent="0.25">
      <c r="O13232" s="20" t="str">
        <f>IF(N13232="","",COUNTIFS(RawData[[Date ]],N13232,RawData[Month List],$Q$6,RawData[Tour/Site],$Q$2,RawData[[Picker ID ]],$Q$3,RawData[Checker ID],$Q$4,RawData[[Error Type ]],$Q$5))</f>
        <v/>
      </c>
    </row>
    <row r="13233" spans="15:15" x14ac:dyDescent="0.25">
      <c r="O13233" s="20" t="str">
        <f>IF(N13233="","",COUNTIFS(RawData[[Date ]],N13233,RawData[Month List],$Q$6,RawData[Tour/Site],$Q$2,RawData[[Picker ID ]],$Q$3,RawData[Checker ID],$Q$4,RawData[[Error Type ]],$Q$5))</f>
        <v/>
      </c>
    </row>
    <row r="13234" spans="15:15" x14ac:dyDescent="0.25">
      <c r="O13234" s="20" t="str">
        <f>IF(N13234="","",COUNTIFS(RawData[[Date ]],N13234,RawData[Month List],$Q$6,RawData[Tour/Site],$Q$2,RawData[[Picker ID ]],$Q$3,RawData[Checker ID],$Q$4,RawData[[Error Type ]],$Q$5))</f>
        <v/>
      </c>
    </row>
    <row r="13235" spans="15:15" x14ac:dyDescent="0.25">
      <c r="O13235" s="20" t="str">
        <f>IF(N13235="","",COUNTIFS(RawData[[Date ]],N13235,RawData[Month List],$Q$6,RawData[Tour/Site],$Q$2,RawData[[Picker ID ]],$Q$3,RawData[Checker ID],$Q$4,RawData[[Error Type ]],$Q$5))</f>
        <v/>
      </c>
    </row>
    <row r="13236" spans="15:15" x14ac:dyDescent="0.25">
      <c r="O13236" s="20" t="str">
        <f>IF(N13236="","",COUNTIFS(RawData[[Date ]],N13236,RawData[Month List],$Q$6,RawData[Tour/Site],$Q$2,RawData[[Picker ID ]],$Q$3,RawData[Checker ID],$Q$4,RawData[[Error Type ]],$Q$5))</f>
        <v/>
      </c>
    </row>
    <row r="13237" spans="15:15" x14ac:dyDescent="0.25">
      <c r="O13237" s="20" t="str">
        <f>IF(N13237="","",COUNTIFS(RawData[[Date ]],N13237,RawData[Month List],$Q$6,RawData[Tour/Site],$Q$2,RawData[[Picker ID ]],$Q$3,RawData[Checker ID],$Q$4,RawData[[Error Type ]],$Q$5))</f>
        <v/>
      </c>
    </row>
    <row r="13238" spans="15:15" x14ac:dyDescent="0.25">
      <c r="O13238" s="20" t="str">
        <f>IF(N13238="","",COUNTIFS(RawData[[Date ]],N13238,RawData[Month List],$Q$6,RawData[Tour/Site],$Q$2,RawData[[Picker ID ]],$Q$3,RawData[Checker ID],$Q$4,RawData[[Error Type ]],$Q$5))</f>
        <v/>
      </c>
    </row>
    <row r="13239" spans="15:15" x14ac:dyDescent="0.25">
      <c r="O13239" s="20" t="str">
        <f>IF(N13239="","",COUNTIFS(RawData[[Date ]],N13239,RawData[Month List],$Q$6,RawData[Tour/Site],$Q$2,RawData[[Picker ID ]],$Q$3,RawData[Checker ID],$Q$4,RawData[[Error Type ]],$Q$5))</f>
        <v/>
      </c>
    </row>
    <row r="13240" spans="15:15" x14ac:dyDescent="0.25">
      <c r="O13240" s="20" t="str">
        <f>IF(N13240="","",COUNTIFS(RawData[[Date ]],N13240,RawData[Month List],$Q$6,RawData[Tour/Site],$Q$2,RawData[[Picker ID ]],$Q$3,RawData[Checker ID],$Q$4,RawData[[Error Type ]],$Q$5))</f>
        <v/>
      </c>
    </row>
    <row r="13241" spans="15:15" x14ac:dyDescent="0.25">
      <c r="O13241" s="20" t="str">
        <f>IF(N13241="","",COUNTIFS(RawData[[Date ]],N13241,RawData[Month List],$Q$6,RawData[Tour/Site],$Q$2,RawData[[Picker ID ]],$Q$3,RawData[Checker ID],$Q$4,RawData[[Error Type ]],$Q$5))</f>
        <v/>
      </c>
    </row>
    <row r="13242" spans="15:15" x14ac:dyDescent="0.25">
      <c r="O13242" s="20" t="str">
        <f>IF(N13242="","",COUNTIFS(RawData[[Date ]],N13242,RawData[Month List],$Q$6,RawData[Tour/Site],$Q$2,RawData[[Picker ID ]],$Q$3,RawData[Checker ID],$Q$4,RawData[[Error Type ]],$Q$5))</f>
        <v/>
      </c>
    </row>
    <row r="13243" spans="15:15" x14ac:dyDescent="0.25">
      <c r="O13243" s="20" t="str">
        <f>IF(N13243="","",COUNTIFS(RawData[[Date ]],N13243,RawData[Month List],$Q$6,RawData[Tour/Site],$Q$2,RawData[[Picker ID ]],$Q$3,RawData[Checker ID],$Q$4,RawData[[Error Type ]],$Q$5))</f>
        <v/>
      </c>
    </row>
    <row r="13244" spans="15:15" x14ac:dyDescent="0.25">
      <c r="O13244" s="20" t="str">
        <f>IF(N13244="","",COUNTIFS(RawData[[Date ]],N13244,RawData[Month List],$Q$6,RawData[Tour/Site],$Q$2,RawData[[Picker ID ]],$Q$3,RawData[Checker ID],$Q$4,RawData[[Error Type ]],$Q$5))</f>
        <v/>
      </c>
    </row>
    <row r="13245" spans="15:15" x14ac:dyDescent="0.25">
      <c r="O13245" s="20" t="str">
        <f>IF(N13245="","",COUNTIFS(RawData[[Date ]],N13245,RawData[Month List],$Q$6,RawData[Tour/Site],$Q$2,RawData[[Picker ID ]],$Q$3,RawData[Checker ID],$Q$4,RawData[[Error Type ]],$Q$5))</f>
        <v/>
      </c>
    </row>
    <row r="13246" spans="15:15" x14ac:dyDescent="0.25">
      <c r="O13246" s="20" t="str">
        <f>IF(N13246="","",COUNTIFS(RawData[[Date ]],N13246,RawData[Month List],$Q$6,RawData[Tour/Site],$Q$2,RawData[[Picker ID ]],$Q$3,RawData[Checker ID],$Q$4,RawData[[Error Type ]],$Q$5))</f>
        <v/>
      </c>
    </row>
    <row r="13247" spans="15:15" x14ac:dyDescent="0.25">
      <c r="O13247" s="20" t="str">
        <f>IF(N13247="","",COUNTIFS(RawData[[Date ]],N13247,RawData[Month List],$Q$6,RawData[Tour/Site],$Q$2,RawData[[Picker ID ]],$Q$3,RawData[Checker ID],$Q$4,RawData[[Error Type ]],$Q$5))</f>
        <v/>
      </c>
    </row>
    <row r="13248" spans="15:15" x14ac:dyDescent="0.25">
      <c r="O13248" s="20" t="str">
        <f>IF(N13248="","",COUNTIFS(RawData[[Date ]],N13248,RawData[Month List],$Q$6,RawData[Tour/Site],$Q$2,RawData[[Picker ID ]],$Q$3,RawData[Checker ID],$Q$4,RawData[[Error Type ]],$Q$5))</f>
        <v/>
      </c>
    </row>
    <row r="13249" spans="15:15" x14ac:dyDescent="0.25">
      <c r="O13249" s="20" t="str">
        <f>IF(N13249="","",COUNTIFS(RawData[[Date ]],N13249,RawData[Month List],$Q$6,RawData[Tour/Site],$Q$2,RawData[[Picker ID ]],$Q$3,RawData[Checker ID],$Q$4,RawData[[Error Type ]],$Q$5))</f>
        <v/>
      </c>
    </row>
    <row r="13250" spans="15:15" x14ac:dyDescent="0.25">
      <c r="O13250" s="20" t="str">
        <f>IF(N13250="","",COUNTIFS(RawData[[Date ]],N13250,RawData[Month List],$Q$6,RawData[Tour/Site],$Q$2,RawData[[Picker ID ]],$Q$3,RawData[Checker ID],$Q$4,RawData[[Error Type ]],$Q$5))</f>
        <v/>
      </c>
    </row>
    <row r="13251" spans="15:15" x14ac:dyDescent="0.25">
      <c r="O13251" s="20" t="str">
        <f>IF(N13251="","",COUNTIFS(RawData[[Date ]],N13251,RawData[Month List],$Q$6,RawData[Tour/Site],$Q$2,RawData[[Picker ID ]],$Q$3,RawData[Checker ID],$Q$4,RawData[[Error Type ]],$Q$5))</f>
        <v/>
      </c>
    </row>
    <row r="13252" spans="15:15" x14ac:dyDescent="0.25">
      <c r="O13252" s="20" t="str">
        <f>IF(N13252="","",COUNTIFS(RawData[[Date ]],N13252,RawData[Month List],$Q$6,RawData[Tour/Site],$Q$2,RawData[[Picker ID ]],$Q$3,RawData[Checker ID],$Q$4,RawData[[Error Type ]],$Q$5))</f>
        <v/>
      </c>
    </row>
    <row r="13253" spans="15:15" x14ac:dyDescent="0.25">
      <c r="O13253" s="20" t="str">
        <f>IF(N13253="","",COUNTIFS(RawData[[Date ]],N13253,RawData[Month List],$Q$6,RawData[Tour/Site],$Q$2,RawData[[Picker ID ]],$Q$3,RawData[Checker ID],$Q$4,RawData[[Error Type ]],$Q$5))</f>
        <v/>
      </c>
    </row>
    <row r="13254" spans="15:15" x14ac:dyDescent="0.25">
      <c r="O13254" s="20" t="str">
        <f>IF(N13254="","",COUNTIFS(RawData[[Date ]],N13254,RawData[Month List],$Q$6,RawData[Tour/Site],$Q$2,RawData[[Picker ID ]],$Q$3,RawData[Checker ID],$Q$4,RawData[[Error Type ]],$Q$5))</f>
        <v/>
      </c>
    </row>
    <row r="13255" spans="15:15" x14ac:dyDescent="0.25">
      <c r="O13255" s="20" t="str">
        <f>IF(N13255="","",COUNTIFS(RawData[[Date ]],N13255,RawData[Month List],$Q$6,RawData[Tour/Site],$Q$2,RawData[[Picker ID ]],$Q$3,RawData[Checker ID],$Q$4,RawData[[Error Type ]],$Q$5))</f>
        <v/>
      </c>
    </row>
    <row r="13256" spans="15:15" x14ac:dyDescent="0.25">
      <c r="O13256" s="20" t="str">
        <f>IF(N13256="","",COUNTIFS(RawData[[Date ]],N13256,RawData[Month List],$Q$6,RawData[Tour/Site],$Q$2,RawData[[Picker ID ]],$Q$3,RawData[Checker ID],$Q$4,RawData[[Error Type ]],$Q$5))</f>
        <v/>
      </c>
    </row>
    <row r="13257" spans="15:15" x14ac:dyDescent="0.25">
      <c r="O13257" s="20" t="str">
        <f>IF(N13257="","",COUNTIFS(RawData[[Date ]],N13257,RawData[Month List],$Q$6,RawData[Tour/Site],$Q$2,RawData[[Picker ID ]],$Q$3,RawData[Checker ID],$Q$4,RawData[[Error Type ]],$Q$5))</f>
        <v/>
      </c>
    </row>
    <row r="13258" spans="15:15" x14ac:dyDescent="0.25">
      <c r="O13258" s="20" t="str">
        <f>IF(N13258="","",COUNTIFS(RawData[[Date ]],N13258,RawData[Month List],$Q$6,RawData[Tour/Site],$Q$2,RawData[[Picker ID ]],$Q$3,RawData[Checker ID],$Q$4,RawData[[Error Type ]],$Q$5))</f>
        <v/>
      </c>
    </row>
    <row r="13259" spans="15:15" x14ac:dyDescent="0.25">
      <c r="O13259" s="20" t="str">
        <f>IF(N13259="","",COUNTIFS(RawData[[Date ]],N13259,RawData[Month List],$Q$6,RawData[Tour/Site],$Q$2,RawData[[Picker ID ]],$Q$3,RawData[Checker ID],$Q$4,RawData[[Error Type ]],$Q$5))</f>
        <v/>
      </c>
    </row>
    <row r="13260" spans="15:15" x14ac:dyDescent="0.25">
      <c r="O13260" s="20" t="str">
        <f>IF(N13260="","",COUNTIFS(RawData[[Date ]],N13260,RawData[Month List],$Q$6,RawData[Tour/Site],$Q$2,RawData[[Picker ID ]],$Q$3,RawData[Checker ID],$Q$4,RawData[[Error Type ]],$Q$5))</f>
        <v/>
      </c>
    </row>
    <row r="13261" spans="15:15" x14ac:dyDescent="0.25">
      <c r="O13261" s="20" t="str">
        <f>IF(N13261="","",COUNTIFS(RawData[[Date ]],N13261,RawData[Month List],$Q$6,RawData[Tour/Site],$Q$2,RawData[[Picker ID ]],$Q$3,RawData[Checker ID],$Q$4,RawData[[Error Type ]],$Q$5))</f>
        <v/>
      </c>
    </row>
    <row r="13262" spans="15:15" x14ac:dyDescent="0.25">
      <c r="O13262" s="20" t="str">
        <f>IF(N13262="","",COUNTIFS(RawData[[Date ]],N13262,RawData[Month List],$Q$6,RawData[Tour/Site],$Q$2,RawData[[Picker ID ]],$Q$3,RawData[Checker ID],$Q$4,RawData[[Error Type ]],$Q$5))</f>
        <v/>
      </c>
    </row>
    <row r="13263" spans="15:15" x14ac:dyDescent="0.25">
      <c r="O13263" s="20" t="str">
        <f>IF(N13263="","",COUNTIFS(RawData[[Date ]],N13263,RawData[Month List],$Q$6,RawData[Tour/Site],$Q$2,RawData[[Picker ID ]],$Q$3,RawData[Checker ID],$Q$4,RawData[[Error Type ]],$Q$5))</f>
        <v/>
      </c>
    </row>
    <row r="13264" spans="15:15" x14ac:dyDescent="0.25">
      <c r="O13264" s="20" t="str">
        <f>IF(N13264="","",COUNTIFS(RawData[[Date ]],N13264,RawData[Month List],$Q$6,RawData[Tour/Site],$Q$2,RawData[[Picker ID ]],$Q$3,RawData[Checker ID],$Q$4,RawData[[Error Type ]],$Q$5))</f>
        <v/>
      </c>
    </row>
    <row r="13265" spans="15:15" x14ac:dyDescent="0.25">
      <c r="O13265" s="20" t="str">
        <f>IF(N13265="","",COUNTIFS(RawData[[Date ]],N13265,RawData[Month List],$Q$6,RawData[Tour/Site],$Q$2,RawData[[Picker ID ]],$Q$3,RawData[Checker ID],$Q$4,RawData[[Error Type ]],$Q$5))</f>
        <v/>
      </c>
    </row>
    <row r="13266" spans="15:15" x14ac:dyDescent="0.25">
      <c r="O13266" s="20" t="str">
        <f>IF(N13266="","",COUNTIFS(RawData[[Date ]],N13266,RawData[Month List],$Q$6,RawData[Tour/Site],$Q$2,RawData[[Picker ID ]],$Q$3,RawData[Checker ID],$Q$4,RawData[[Error Type ]],$Q$5))</f>
        <v/>
      </c>
    </row>
    <row r="13267" spans="15:15" x14ac:dyDescent="0.25">
      <c r="O13267" s="20" t="str">
        <f>IF(N13267="","",COUNTIFS(RawData[[Date ]],N13267,RawData[Month List],$Q$6,RawData[Tour/Site],$Q$2,RawData[[Picker ID ]],$Q$3,RawData[Checker ID],$Q$4,RawData[[Error Type ]],$Q$5))</f>
        <v/>
      </c>
    </row>
    <row r="13268" spans="15:15" x14ac:dyDescent="0.25">
      <c r="O13268" s="20" t="str">
        <f>IF(N13268="","",COUNTIFS(RawData[[Date ]],N13268,RawData[Month List],$Q$6,RawData[Tour/Site],$Q$2,RawData[[Picker ID ]],$Q$3,RawData[Checker ID],$Q$4,RawData[[Error Type ]],$Q$5))</f>
        <v/>
      </c>
    </row>
    <row r="13269" spans="15:15" x14ac:dyDescent="0.25">
      <c r="O13269" s="20" t="str">
        <f>IF(N13269="","",COUNTIFS(RawData[[Date ]],N13269,RawData[Month List],$Q$6,RawData[Tour/Site],$Q$2,RawData[[Picker ID ]],$Q$3,RawData[Checker ID],$Q$4,RawData[[Error Type ]],$Q$5))</f>
        <v/>
      </c>
    </row>
    <row r="13270" spans="15:15" x14ac:dyDescent="0.25">
      <c r="O13270" s="20" t="str">
        <f>IF(N13270="","",COUNTIFS(RawData[[Date ]],N13270,RawData[Month List],$Q$6,RawData[Tour/Site],$Q$2,RawData[[Picker ID ]],$Q$3,RawData[Checker ID],$Q$4,RawData[[Error Type ]],$Q$5))</f>
        <v/>
      </c>
    </row>
    <row r="13271" spans="15:15" x14ac:dyDescent="0.25">
      <c r="O13271" s="20" t="str">
        <f>IF(N13271="","",COUNTIFS(RawData[[Date ]],N13271,RawData[Month List],$Q$6,RawData[Tour/Site],$Q$2,RawData[[Picker ID ]],$Q$3,RawData[Checker ID],$Q$4,RawData[[Error Type ]],$Q$5))</f>
        <v/>
      </c>
    </row>
    <row r="13272" spans="15:15" x14ac:dyDescent="0.25">
      <c r="O13272" s="20" t="str">
        <f>IF(N13272="","",COUNTIFS(RawData[[Date ]],N13272,RawData[Month List],$Q$6,RawData[Tour/Site],$Q$2,RawData[[Picker ID ]],$Q$3,RawData[Checker ID],$Q$4,RawData[[Error Type ]],$Q$5))</f>
        <v/>
      </c>
    </row>
    <row r="13273" spans="15:15" x14ac:dyDescent="0.25">
      <c r="O13273" s="20" t="str">
        <f>IF(N13273="","",COUNTIFS(RawData[[Date ]],N13273,RawData[Month List],$Q$6,RawData[Tour/Site],$Q$2,RawData[[Picker ID ]],$Q$3,RawData[Checker ID],$Q$4,RawData[[Error Type ]],$Q$5))</f>
        <v/>
      </c>
    </row>
    <row r="13274" spans="15:15" x14ac:dyDescent="0.25">
      <c r="O13274" s="20" t="str">
        <f>IF(N13274="","",COUNTIFS(RawData[[Date ]],N13274,RawData[Month List],$Q$6,RawData[Tour/Site],$Q$2,RawData[[Picker ID ]],$Q$3,RawData[Checker ID],$Q$4,RawData[[Error Type ]],$Q$5))</f>
        <v/>
      </c>
    </row>
    <row r="13275" spans="15:15" x14ac:dyDescent="0.25">
      <c r="O13275" s="20" t="str">
        <f>IF(N13275="","",COUNTIFS(RawData[[Date ]],N13275,RawData[Month List],$Q$6,RawData[Tour/Site],$Q$2,RawData[[Picker ID ]],$Q$3,RawData[Checker ID],$Q$4,RawData[[Error Type ]],$Q$5))</f>
        <v/>
      </c>
    </row>
    <row r="13276" spans="15:15" x14ac:dyDescent="0.25">
      <c r="O13276" s="20" t="str">
        <f>IF(N13276="","",COUNTIFS(RawData[[Date ]],N13276,RawData[Month List],$Q$6,RawData[Tour/Site],$Q$2,RawData[[Picker ID ]],$Q$3,RawData[Checker ID],$Q$4,RawData[[Error Type ]],$Q$5))</f>
        <v/>
      </c>
    </row>
    <row r="13277" spans="15:15" x14ac:dyDescent="0.25">
      <c r="O13277" s="20" t="str">
        <f>IF(N13277="","",COUNTIFS(RawData[[Date ]],N13277,RawData[Month List],$Q$6,RawData[Tour/Site],$Q$2,RawData[[Picker ID ]],$Q$3,RawData[Checker ID],$Q$4,RawData[[Error Type ]],$Q$5))</f>
        <v/>
      </c>
    </row>
    <row r="13278" spans="15:15" x14ac:dyDescent="0.25">
      <c r="O13278" s="20" t="str">
        <f>IF(N13278="","",COUNTIFS(RawData[[Date ]],N13278,RawData[Month List],$Q$6,RawData[Tour/Site],$Q$2,RawData[[Picker ID ]],$Q$3,RawData[Checker ID],$Q$4,RawData[[Error Type ]],$Q$5))</f>
        <v/>
      </c>
    </row>
    <row r="13279" spans="15:15" x14ac:dyDescent="0.25">
      <c r="O13279" s="20" t="str">
        <f>IF(N13279="","",COUNTIFS(RawData[[Date ]],N13279,RawData[Month List],$Q$6,RawData[Tour/Site],$Q$2,RawData[[Picker ID ]],$Q$3,RawData[Checker ID],$Q$4,RawData[[Error Type ]],$Q$5))</f>
        <v/>
      </c>
    </row>
    <row r="13280" spans="15:15" x14ac:dyDescent="0.25">
      <c r="O13280" s="20" t="str">
        <f>IF(N13280="","",COUNTIFS(RawData[[Date ]],N13280,RawData[Month List],$Q$6,RawData[Tour/Site],$Q$2,RawData[[Picker ID ]],$Q$3,RawData[Checker ID],$Q$4,RawData[[Error Type ]],$Q$5))</f>
        <v/>
      </c>
    </row>
    <row r="13281" spans="15:15" x14ac:dyDescent="0.25">
      <c r="O13281" s="20" t="str">
        <f>IF(N13281="","",COUNTIFS(RawData[[Date ]],N13281,RawData[Month List],$Q$6,RawData[Tour/Site],$Q$2,RawData[[Picker ID ]],$Q$3,RawData[Checker ID],$Q$4,RawData[[Error Type ]],$Q$5))</f>
        <v/>
      </c>
    </row>
    <row r="13282" spans="15:15" x14ac:dyDescent="0.25">
      <c r="O13282" s="20" t="str">
        <f>IF(N13282="","",COUNTIFS(RawData[[Date ]],N13282,RawData[Month List],$Q$6,RawData[Tour/Site],$Q$2,RawData[[Picker ID ]],$Q$3,RawData[Checker ID],$Q$4,RawData[[Error Type ]],$Q$5))</f>
        <v/>
      </c>
    </row>
    <row r="13283" spans="15:15" x14ac:dyDescent="0.25">
      <c r="O13283" s="20" t="str">
        <f>IF(N13283="","",COUNTIFS(RawData[[Date ]],N13283,RawData[Month List],$Q$6,RawData[Tour/Site],$Q$2,RawData[[Picker ID ]],$Q$3,RawData[Checker ID],$Q$4,RawData[[Error Type ]],$Q$5))</f>
        <v/>
      </c>
    </row>
    <row r="13284" spans="15:15" x14ac:dyDescent="0.25">
      <c r="O13284" s="20" t="str">
        <f>IF(N13284="","",COUNTIFS(RawData[[Date ]],N13284,RawData[Month List],$Q$6,RawData[Tour/Site],$Q$2,RawData[[Picker ID ]],$Q$3,RawData[Checker ID],$Q$4,RawData[[Error Type ]],$Q$5))</f>
        <v/>
      </c>
    </row>
    <row r="13285" spans="15:15" x14ac:dyDescent="0.25">
      <c r="O13285" s="20" t="str">
        <f>IF(N13285="","",COUNTIFS(RawData[[Date ]],N13285,RawData[Month List],$Q$6,RawData[Tour/Site],$Q$2,RawData[[Picker ID ]],$Q$3,RawData[Checker ID],$Q$4,RawData[[Error Type ]],$Q$5))</f>
        <v/>
      </c>
    </row>
    <row r="13286" spans="15:15" x14ac:dyDescent="0.25">
      <c r="O13286" s="20" t="str">
        <f>IF(N13286="","",COUNTIFS(RawData[[Date ]],N13286,RawData[Month List],$Q$6,RawData[Tour/Site],$Q$2,RawData[[Picker ID ]],$Q$3,RawData[Checker ID],$Q$4,RawData[[Error Type ]],$Q$5))</f>
        <v/>
      </c>
    </row>
    <row r="13287" spans="15:15" x14ac:dyDescent="0.25">
      <c r="O13287" s="20" t="str">
        <f>IF(N13287="","",COUNTIFS(RawData[[Date ]],N13287,RawData[Month List],$Q$6,RawData[Tour/Site],$Q$2,RawData[[Picker ID ]],$Q$3,RawData[Checker ID],$Q$4,RawData[[Error Type ]],$Q$5))</f>
        <v/>
      </c>
    </row>
    <row r="13288" spans="15:15" x14ac:dyDescent="0.25">
      <c r="O13288" s="20" t="str">
        <f>IF(N13288="","",COUNTIFS(RawData[[Date ]],N13288,RawData[Month List],$Q$6,RawData[Tour/Site],$Q$2,RawData[[Picker ID ]],$Q$3,RawData[Checker ID],$Q$4,RawData[[Error Type ]],$Q$5))</f>
        <v/>
      </c>
    </row>
    <row r="13289" spans="15:15" x14ac:dyDescent="0.25">
      <c r="O13289" s="20" t="str">
        <f>IF(N13289="","",COUNTIFS(RawData[[Date ]],N13289,RawData[Month List],$Q$6,RawData[Tour/Site],$Q$2,RawData[[Picker ID ]],$Q$3,RawData[Checker ID],$Q$4,RawData[[Error Type ]],$Q$5))</f>
        <v/>
      </c>
    </row>
    <row r="13290" spans="15:15" x14ac:dyDescent="0.25">
      <c r="O13290" s="20" t="str">
        <f>IF(N13290="","",COUNTIFS(RawData[[Date ]],N13290,RawData[Month List],$Q$6,RawData[Tour/Site],$Q$2,RawData[[Picker ID ]],$Q$3,RawData[Checker ID],$Q$4,RawData[[Error Type ]],$Q$5))</f>
        <v/>
      </c>
    </row>
    <row r="13291" spans="15:15" x14ac:dyDescent="0.25">
      <c r="O13291" s="20" t="str">
        <f>IF(N13291="","",COUNTIFS(RawData[[Date ]],N13291,RawData[Month List],$Q$6,RawData[Tour/Site],$Q$2,RawData[[Picker ID ]],$Q$3,RawData[Checker ID],$Q$4,RawData[[Error Type ]],$Q$5))</f>
        <v/>
      </c>
    </row>
    <row r="13292" spans="15:15" x14ac:dyDescent="0.25">
      <c r="O13292" s="20" t="str">
        <f>IF(N13292="","",COUNTIFS(RawData[[Date ]],N13292,RawData[Month List],$Q$6,RawData[Tour/Site],$Q$2,RawData[[Picker ID ]],$Q$3,RawData[Checker ID],$Q$4,RawData[[Error Type ]],$Q$5))</f>
        <v/>
      </c>
    </row>
    <row r="13293" spans="15:15" x14ac:dyDescent="0.25">
      <c r="O13293" s="20" t="str">
        <f>IF(N13293="","",COUNTIFS(RawData[[Date ]],N13293,RawData[Month List],$Q$6,RawData[Tour/Site],$Q$2,RawData[[Picker ID ]],$Q$3,RawData[Checker ID],$Q$4,RawData[[Error Type ]],$Q$5))</f>
        <v/>
      </c>
    </row>
    <row r="13294" spans="15:15" x14ac:dyDescent="0.25">
      <c r="O13294" s="20" t="str">
        <f>IF(N13294="","",COUNTIFS(RawData[[Date ]],N13294,RawData[Month List],$Q$6,RawData[Tour/Site],$Q$2,RawData[[Picker ID ]],$Q$3,RawData[Checker ID],$Q$4,RawData[[Error Type ]],$Q$5))</f>
        <v/>
      </c>
    </row>
    <row r="13295" spans="15:15" x14ac:dyDescent="0.25">
      <c r="O13295" s="20" t="str">
        <f>IF(N13295="","",COUNTIFS(RawData[[Date ]],N13295,RawData[Month List],$Q$6,RawData[Tour/Site],$Q$2,RawData[[Picker ID ]],$Q$3,RawData[Checker ID],$Q$4,RawData[[Error Type ]],$Q$5))</f>
        <v/>
      </c>
    </row>
    <row r="13296" spans="15:15" x14ac:dyDescent="0.25">
      <c r="O13296" s="20" t="str">
        <f>IF(N13296="","",COUNTIFS(RawData[[Date ]],N13296,RawData[Month List],$Q$6,RawData[Tour/Site],$Q$2,RawData[[Picker ID ]],$Q$3,RawData[Checker ID],$Q$4,RawData[[Error Type ]],$Q$5))</f>
        <v/>
      </c>
    </row>
    <row r="13297" spans="15:15" x14ac:dyDescent="0.25">
      <c r="O13297" s="20" t="str">
        <f>IF(N13297="","",COUNTIFS(RawData[[Date ]],N13297,RawData[Month List],$Q$6,RawData[Tour/Site],$Q$2,RawData[[Picker ID ]],$Q$3,RawData[Checker ID],$Q$4,RawData[[Error Type ]],$Q$5))</f>
        <v/>
      </c>
    </row>
    <row r="13298" spans="15:15" x14ac:dyDescent="0.25">
      <c r="O13298" s="20" t="str">
        <f>IF(N13298="","",COUNTIFS(RawData[[Date ]],N13298,RawData[Month List],$Q$6,RawData[Tour/Site],$Q$2,RawData[[Picker ID ]],$Q$3,RawData[Checker ID],$Q$4,RawData[[Error Type ]],$Q$5))</f>
        <v/>
      </c>
    </row>
    <row r="13299" spans="15:15" x14ac:dyDescent="0.25">
      <c r="O13299" s="20" t="str">
        <f>IF(N13299="","",COUNTIFS(RawData[[Date ]],N13299,RawData[Month List],$Q$6,RawData[Tour/Site],$Q$2,RawData[[Picker ID ]],$Q$3,RawData[Checker ID],$Q$4,RawData[[Error Type ]],$Q$5))</f>
        <v/>
      </c>
    </row>
    <row r="13300" spans="15:15" x14ac:dyDescent="0.25">
      <c r="O13300" s="20" t="str">
        <f>IF(N13300="","",COUNTIFS(RawData[[Date ]],N13300,RawData[Month List],$Q$6,RawData[Tour/Site],$Q$2,RawData[[Picker ID ]],$Q$3,RawData[Checker ID],$Q$4,RawData[[Error Type ]],$Q$5))</f>
        <v/>
      </c>
    </row>
    <row r="13301" spans="15:15" x14ac:dyDescent="0.25">
      <c r="O13301" s="20" t="str">
        <f>IF(N13301="","",COUNTIFS(RawData[[Date ]],N13301,RawData[Month List],$Q$6,RawData[Tour/Site],$Q$2,RawData[[Picker ID ]],$Q$3,RawData[Checker ID],$Q$4,RawData[[Error Type ]],$Q$5))</f>
        <v/>
      </c>
    </row>
    <row r="13302" spans="15:15" x14ac:dyDescent="0.25">
      <c r="O13302" s="20" t="str">
        <f>IF(N13302="","",COUNTIFS(RawData[[Date ]],N13302,RawData[Month List],$Q$6,RawData[Tour/Site],$Q$2,RawData[[Picker ID ]],$Q$3,RawData[Checker ID],$Q$4,RawData[[Error Type ]],$Q$5))</f>
        <v/>
      </c>
    </row>
    <row r="13303" spans="15:15" x14ac:dyDescent="0.25">
      <c r="O13303" s="20" t="str">
        <f>IF(N13303="","",COUNTIFS(RawData[[Date ]],N13303,RawData[Month List],$Q$6,RawData[Tour/Site],$Q$2,RawData[[Picker ID ]],$Q$3,RawData[Checker ID],$Q$4,RawData[[Error Type ]],$Q$5))</f>
        <v/>
      </c>
    </row>
    <row r="13304" spans="15:15" x14ac:dyDescent="0.25">
      <c r="O13304" s="20" t="str">
        <f>IF(N13304="","",COUNTIFS(RawData[[Date ]],N13304,RawData[Month List],$Q$6,RawData[Tour/Site],$Q$2,RawData[[Picker ID ]],$Q$3,RawData[Checker ID],$Q$4,RawData[[Error Type ]],$Q$5))</f>
        <v/>
      </c>
    </row>
    <row r="13305" spans="15:15" x14ac:dyDescent="0.25">
      <c r="O13305" s="20" t="str">
        <f>IF(N13305="","",COUNTIFS(RawData[[Date ]],N13305,RawData[Month List],$Q$6,RawData[Tour/Site],$Q$2,RawData[[Picker ID ]],$Q$3,RawData[Checker ID],$Q$4,RawData[[Error Type ]],$Q$5))</f>
        <v/>
      </c>
    </row>
    <row r="13306" spans="15:15" x14ac:dyDescent="0.25">
      <c r="O13306" s="20" t="str">
        <f>IF(N13306="","",COUNTIFS(RawData[[Date ]],N13306,RawData[Month List],$Q$6,RawData[Tour/Site],$Q$2,RawData[[Picker ID ]],$Q$3,RawData[Checker ID],$Q$4,RawData[[Error Type ]],$Q$5))</f>
        <v/>
      </c>
    </row>
    <row r="13307" spans="15:15" x14ac:dyDescent="0.25">
      <c r="O13307" s="20" t="str">
        <f>IF(N13307="","",COUNTIFS(RawData[[Date ]],N13307,RawData[Month List],$Q$6,RawData[Tour/Site],$Q$2,RawData[[Picker ID ]],$Q$3,RawData[Checker ID],$Q$4,RawData[[Error Type ]],$Q$5))</f>
        <v/>
      </c>
    </row>
    <row r="13308" spans="15:15" x14ac:dyDescent="0.25">
      <c r="O13308" s="20" t="str">
        <f>IF(N13308="","",COUNTIFS(RawData[[Date ]],N13308,RawData[Month List],$Q$6,RawData[Tour/Site],$Q$2,RawData[[Picker ID ]],$Q$3,RawData[Checker ID],$Q$4,RawData[[Error Type ]],$Q$5))</f>
        <v/>
      </c>
    </row>
    <row r="13309" spans="15:15" x14ac:dyDescent="0.25">
      <c r="O13309" s="20" t="str">
        <f>IF(N13309="","",COUNTIFS(RawData[[Date ]],N13309,RawData[Month List],$Q$6,RawData[Tour/Site],$Q$2,RawData[[Picker ID ]],$Q$3,RawData[Checker ID],$Q$4,RawData[[Error Type ]],$Q$5))</f>
        <v/>
      </c>
    </row>
    <row r="13310" spans="15:15" x14ac:dyDescent="0.25">
      <c r="O13310" s="20" t="str">
        <f>IF(N13310="","",COUNTIFS(RawData[[Date ]],N13310,RawData[Month List],$Q$6,RawData[Tour/Site],$Q$2,RawData[[Picker ID ]],$Q$3,RawData[Checker ID],$Q$4,RawData[[Error Type ]],$Q$5))</f>
        <v/>
      </c>
    </row>
    <row r="13311" spans="15:15" x14ac:dyDescent="0.25">
      <c r="O13311" s="20" t="str">
        <f>IF(N13311="","",COUNTIFS(RawData[[Date ]],N13311,RawData[Month List],$Q$6,RawData[Tour/Site],$Q$2,RawData[[Picker ID ]],$Q$3,RawData[Checker ID],$Q$4,RawData[[Error Type ]],$Q$5))</f>
        <v/>
      </c>
    </row>
    <row r="13312" spans="15:15" x14ac:dyDescent="0.25">
      <c r="O13312" s="20" t="str">
        <f>IF(N13312="","",COUNTIFS(RawData[[Date ]],N13312,RawData[Month List],$Q$6,RawData[Tour/Site],$Q$2,RawData[[Picker ID ]],$Q$3,RawData[Checker ID],$Q$4,RawData[[Error Type ]],$Q$5))</f>
        <v/>
      </c>
    </row>
    <row r="13313" spans="15:15" x14ac:dyDescent="0.25">
      <c r="O13313" s="20" t="str">
        <f>IF(N13313="","",COUNTIFS(RawData[[Date ]],N13313,RawData[Month List],$Q$6,RawData[Tour/Site],$Q$2,RawData[[Picker ID ]],$Q$3,RawData[Checker ID],$Q$4,RawData[[Error Type ]],$Q$5))</f>
        <v/>
      </c>
    </row>
    <row r="13314" spans="15:15" x14ac:dyDescent="0.25">
      <c r="O13314" s="20" t="str">
        <f>IF(N13314="","",COUNTIFS(RawData[[Date ]],N13314,RawData[Month List],$Q$6,RawData[Tour/Site],$Q$2,RawData[[Picker ID ]],$Q$3,RawData[Checker ID],$Q$4,RawData[[Error Type ]],$Q$5))</f>
        <v/>
      </c>
    </row>
    <row r="13315" spans="15:15" x14ac:dyDescent="0.25">
      <c r="O13315" s="20" t="str">
        <f>IF(N13315="","",COUNTIFS(RawData[[Date ]],N13315,RawData[Month List],$Q$6,RawData[Tour/Site],$Q$2,RawData[[Picker ID ]],$Q$3,RawData[Checker ID],$Q$4,RawData[[Error Type ]],$Q$5))</f>
        <v/>
      </c>
    </row>
    <row r="13316" spans="15:15" x14ac:dyDescent="0.25">
      <c r="O13316" s="20" t="str">
        <f>IF(N13316="","",COUNTIFS(RawData[[Date ]],N13316,RawData[Month List],$Q$6,RawData[Tour/Site],$Q$2,RawData[[Picker ID ]],$Q$3,RawData[Checker ID],$Q$4,RawData[[Error Type ]],$Q$5))</f>
        <v/>
      </c>
    </row>
    <row r="13317" spans="15:15" x14ac:dyDescent="0.25">
      <c r="O13317" s="20" t="str">
        <f>IF(N13317="","",COUNTIFS(RawData[[Date ]],N13317,RawData[Month List],$Q$6,RawData[Tour/Site],$Q$2,RawData[[Picker ID ]],$Q$3,RawData[Checker ID],$Q$4,RawData[[Error Type ]],$Q$5))</f>
        <v/>
      </c>
    </row>
    <row r="13318" spans="15:15" x14ac:dyDescent="0.25">
      <c r="O13318" s="20" t="str">
        <f>IF(N13318="","",COUNTIFS(RawData[[Date ]],N13318,RawData[Month List],$Q$6,RawData[Tour/Site],$Q$2,RawData[[Picker ID ]],$Q$3,RawData[Checker ID],$Q$4,RawData[[Error Type ]],$Q$5))</f>
        <v/>
      </c>
    </row>
    <row r="13319" spans="15:15" x14ac:dyDescent="0.25">
      <c r="O13319" s="20" t="str">
        <f>IF(N13319="","",COUNTIFS(RawData[[Date ]],N13319,RawData[Month List],$Q$6,RawData[Tour/Site],$Q$2,RawData[[Picker ID ]],$Q$3,RawData[Checker ID],$Q$4,RawData[[Error Type ]],$Q$5))</f>
        <v/>
      </c>
    </row>
    <row r="13320" spans="15:15" x14ac:dyDescent="0.25">
      <c r="O13320" s="20" t="str">
        <f>IF(N13320="","",COUNTIFS(RawData[[Date ]],N13320,RawData[Month List],$Q$6,RawData[Tour/Site],$Q$2,RawData[[Picker ID ]],$Q$3,RawData[Checker ID],$Q$4,RawData[[Error Type ]],$Q$5))</f>
        <v/>
      </c>
    </row>
    <row r="13321" spans="15:15" x14ac:dyDescent="0.25">
      <c r="O13321" s="20" t="str">
        <f>IF(N13321="","",COUNTIFS(RawData[[Date ]],N13321,RawData[Month List],$Q$6,RawData[Tour/Site],$Q$2,RawData[[Picker ID ]],$Q$3,RawData[Checker ID],$Q$4,RawData[[Error Type ]],$Q$5))</f>
        <v/>
      </c>
    </row>
    <row r="13322" spans="15:15" x14ac:dyDescent="0.25">
      <c r="O13322" s="20" t="str">
        <f>IF(N13322="","",COUNTIFS(RawData[[Date ]],N13322,RawData[Month List],$Q$6,RawData[Tour/Site],$Q$2,RawData[[Picker ID ]],$Q$3,RawData[Checker ID],$Q$4,RawData[[Error Type ]],$Q$5))</f>
        <v/>
      </c>
    </row>
    <row r="13323" spans="15:15" x14ac:dyDescent="0.25">
      <c r="O13323" s="20" t="str">
        <f>IF(N13323="","",COUNTIFS(RawData[[Date ]],N13323,RawData[Month List],$Q$6,RawData[Tour/Site],$Q$2,RawData[[Picker ID ]],$Q$3,RawData[Checker ID],$Q$4,RawData[[Error Type ]],$Q$5))</f>
        <v/>
      </c>
    </row>
    <row r="13324" spans="15:15" x14ac:dyDescent="0.25">
      <c r="O13324" s="20" t="str">
        <f>IF(N13324="","",COUNTIFS(RawData[[Date ]],N13324,RawData[Month List],$Q$6,RawData[Tour/Site],$Q$2,RawData[[Picker ID ]],$Q$3,RawData[Checker ID],$Q$4,RawData[[Error Type ]],$Q$5))</f>
        <v/>
      </c>
    </row>
    <row r="13325" spans="15:15" x14ac:dyDescent="0.25">
      <c r="O13325" s="20" t="str">
        <f>IF(N13325="","",COUNTIFS(RawData[[Date ]],N13325,RawData[Month List],$Q$6,RawData[Tour/Site],$Q$2,RawData[[Picker ID ]],$Q$3,RawData[Checker ID],$Q$4,RawData[[Error Type ]],$Q$5))</f>
        <v/>
      </c>
    </row>
    <row r="13326" spans="15:15" x14ac:dyDescent="0.25">
      <c r="O13326" s="20" t="str">
        <f>IF(N13326="","",COUNTIFS(RawData[[Date ]],N13326,RawData[Month List],$Q$6,RawData[Tour/Site],$Q$2,RawData[[Picker ID ]],$Q$3,RawData[Checker ID],$Q$4,RawData[[Error Type ]],$Q$5))</f>
        <v/>
      </c>
    </row>
    <row r="13327" spans="15:15" x14ac:dyDescent="0.25">
      <c r="O13327" s="20" t="str">
        <f>IF(N13327="","",COUNTIFS(RawData[[Date ]],N13327,RawData[Month List],$Q$6,RawData[Tour/Site],$Q$2,RawData[[Picker ID ]],$Q$3,RawData[Checker ID],$Q$4,RawData[[Error Type ]],$Q$5))</f>
        <v/>
      </c>
    </row>
    <row r="13328" spans="15:15" x14ac:dyDescent="0.25">
      <c r="O13328" s="20" t="str">
        <f>IF(N13328="","",COUNTIFS(RawData[[Date ]],N13328,RawData[Month List],$Q$6,RawData[Tour/Site],$Q$2,RawData[[Picker ID ]],$Q$3,RawData[Checker ID],$Q$4,RawData[[Error Type ]],$Q$5))</f>
        <v/>
      </c>
    </row>
    <row r="13329" spans="15:15" x14ac:dyDescent="0.25">
      <c r="O13329" s="20" t="str">
        <f>IF(N13329="","",COUNTIFS(RawData[[Date ]],N13329,RawData[Month List],$Q$6,RawData[Tour/Site],$Q$2,RawData[[Picker ID ]],$Q$3,RawData[Checker ID],$Q$4,RawData[[Error Type ]],$Q$5))</f>
        <v/>
      </c>
    </row>
    <row r="13330" spans="15:15" x14ac:dyDescent="0.25">
      <c r="O13330" s="20" t="str">
        <f>IF(N13330="","",COUNTIFS(RawData[[Date ]],N13330,RawData[Month List],$Q$6,RawData[Tour/Site],$Q$2,RawData[[Picker ID ]],$Q$3,RawData[Checker ID],$Q$4,RawData[[Error Type ]],$Q$5))</f>
        <v/>
      </c>
    </row>
    <row r="13331" spans="15:15" x14ac:dyDescent="0.25">
      <c r="O13331" s="20" t="str">
        <f>IF(N13331="","",COUNTIFS(RawData[[Date ]],N13331,RawData[Month List],$Q$6,RawData[Tour/Site],$Q$2,RawData[[Picker ID ]],$Q$3,RawData[Checker ID],$Q$4,RawData[[Error Type ]],$Q$5))</f>
        <v/>
      </c>
    </row>
    <row r="13332" spans="15:15" x14ac:dyDescent="0.25">
      <c r="O13332" s="20" t="str">
        <f>IF(N13332="","",COUNTIFS(RawData[[Date ]],N13332,RawData[Month List],$Q$6,RawData[Tour/Site],$Q$2,RawData[[Picker ID ]],$Q$3,RawData[Checker ID],$Q$4,RawData[[Error Type ]],$Q$5))</f>
        <v/>
      </c>
    </row>
    <row r="13333" spans="15:15" x14ac:dyDescent="0.25">
      <c r="O13333" s="20" t="str">
        <f>IF(N13333="","",COUNTIFS(RawData[[Date ]],N13333,RawData[Month List],$Q$6,RawData[Tour/Site],$Q$2,RawData[[Picker ID ]],$Q$3,RawData[Checker ID],$Q$4,RawData[[Error Type ]],$Q$5))</f>
        <v/>
      </c>
    </row>
    <row r="13334" spans="15:15" x14ac:dyDescent="0.25">
      <c r="O13334" s="20" t="str">
        <f>IF(N13334="","",COUNTIFS(RawData[[Date ]],N13334,RawData[Month List],$Q$6,RawData[Tour/Site],$Q$2,RawData[[Picker ID ]],$Q$3,RawData[Checker ID],$Q$4,RawData[[Error Type ]],$Q$5))</f>
        <v/>
      </c>
    </row>
    <row r="13335" spans="15:15" x14ac:dyDescent="0.25">
      <c r="O13335" s="20" t="str">
        <f>IF(N13335="","",COUNTIFS(RawData[[Date ]],N13335,RawData[Month List],$Q$6,RawData[Tour/Site],$Q$2,RawData[[Picker ID ]],$Q$3,RawData[Checker ID],$Q$4,RawData[[Error Type ]],$Q$5))</f>
        <v/>
      </c>
    </row>
    <row r="13336" spans="15:15" x14ac:dyDescent="0.25">
      <c r="O13336" s="20" t="str">
        <f>IF(N13336="","",COUNTIFS(RawData[[Date ]],N13336,RawData[Month List],$Q$6,RawData[Tour/Site],$Q$2,RawData[[Picker ID ]],$Q$3,RawData[Checker ID],$Q$4,RawData[[Error Type ]],$Q$5))</f>
        <v/>
      </c>
    </row>
    <row r="13337" spans="15:15" x14ac:dyDescent="0.25">
      <c r="O13337" s="20" t="str">
        <f>IF(N13337="","",COUNTIFS(RawData[[Date ]],N13337,RawData[Month List],$Q$6,RawData[Tour/Site],$Q$2,RawData[[Picker ID ]],$Q$3,RawData[Checker ID],$Q$4,RawData[[Error Type ]],$Q$5))</f>
        <v/>
      </c>
    </row>
    <row r="13338" spans="15:15" x14ac:dyDescent="0.25">
      <c r="O13338" s="20" t="str">
        <f>IF(N13338="","",COUNTIFS(RawData[[Date ]],N13338,RawData[Month List],$Q$6,RawData[Tour/Site],$Q$2,RawData[[Picker ID ]],$Q$3,RawData[Checker ID],$Q$4,RawData[[Error Type ]],$Q$5))</f>
        <v/>
      </c>
    </row>
    <row r="13339" spans="15:15" x14ac:dyDescent="0.25">
      <c r="O13339" s="20" t="str">
        <f>IF(N13339="","",COUNTIFS(RawData[[Date ]],N13339,RawData[Month List],$Q$6,RawData[Tour/Site],$Q$2,RawData[[Picker ID ]],$Q$3,RawData[Checker ID],$Q$4,RawData[[Error Type ]],$Q$5))</f>
        <v/>
      </c>
    </row>
    <row r="13340" spans="15:15" x14ac:dyDescent="0.25">
      <c r="O13340" s="20" t="str">
        <f>IF(N13340="","",COUNTIFS(RawData[[Date ]],N13340,RawData[Month List],$Q$6,RawData[Tour/Site],$Q$2,RawData[[Picker ID ]],$Q$3,RawData[Checker ID],$Q$4,RawData[[Error Type ]],$Q$5))</f>
        <v/>
      </c>
    </row>
    <row r="13341" spans="15:15" x14ac:dyDescent="0.25">
      <c r="O13341" s="20" t="str">
        <f>IF(N13341="","",COUNTIFS(RawData[[Date ]],N13341,RawData[Month List],$Q$6,RawData[Tour/Site],$Q$2,RawData[[Picker ID ]],$Q$3,RawData[Checker ID],$Q$4,RawData[[Error Type ]],$Q$5))</f>
        <v/>
      </c>
    </row>
    <row r="13342" spans="15:15" x14ac:dyDescent="0.25">
      <c r="O13342" s="20" t="str">
        <f>IF(N13342="","",COUNTIFS(RawData[[Date ]],N13342,RawData[Month List],$Q$6,RawData[Tour/Site],$Q$2,RawData[[Picker ID ]],$Q$3,RawData[Checker ID],$Q$4,RawData[[Error Type ]],$Q$5))</f>
        <v/>
      </c>
    </row>
    <row r="13343" spans="15:15" x14ac:dyDescent="0.25">
      <c r="O13343" s="20" t="str">
        <f>IF(N13343="","",COUNTIFS(RawData[[Date ]],N13343,RawData[Month List],$Q$6,RawData[Tour/Site],$Q$2,RawData[[Picker ID ]],$Q$3,RawData[Checker ID],$Q$4,RawData[[Error Type ]],$Q$5))</f>
        <v/>
      </c>
    </row>
    <row r="13344" spans="15:15" x14ac:dyDescent="0.25">
      <c r="O13344" s="20" t="str">
        <f>IF(N13344="","",COUNTIFS(RawData[[Date ]],N13344,RawData[Month List],$Q$6,RawData[Tour/Site],$Q$2,RawData[[Picker ID ]],$Q$3,RawData[Checker ID],$Q$4,RawData[[Error Type ]],$Q$5))</f>
        <v/>
      </c>
    </row>
    <row r="13345" spans="15:15" x14ac:dyDescent="0.25">
      <c r="O13345" s="20" t="str">
        <f>IF(N13345="","",COUNTIFS(RawData[[Date ]],N13345,RawData[Month List],$Q$6,RawData[Tour/Site],$Q$2,RawData[[Picker ID ]],$Q$3,RawData[Checker ID],$Q$4,RawData[[Error Type ]],$Q$5))</f>
        <v/>
      </c>
    </row>
    <row r="13346" spans="15:15" x14ac:dyDescent="0.25">
      <c r="O13346" s="20" t="str">
        <f>IF(N13346="","",COUNTIFS(RawData[[Date ]],N13346,RawData[Month List],$Q$6,RawData[Tour/Site],$Q$2,RawData[[Picker ID ]],$Q$3,RawData[Checker ID],$Q$4,RawData[[Error Type ]],$Q$5))</f>
        <v/>
      </c>
    </row>
    <row r="13347" spans="15:15" x14ac:dyDescent="0.25">
      <c r="O13347" s="20" t="str">
        <f>IF(N13347="","",COUNTIFS(RawData[[Date ]],N13347,RawData[Month List],$Q$6,RawData[Tour/Site],$Q$2,RawData[[Picker ID ]],$Q$3,RawData[Checker ID],$Q$4,RawData[[Error Type ]],$Q$5))</f>
        <v/>
      </c>
    </row>
    <row r="13348" spans="15:15" x14ac:dyDescent="0.25">
      <c r="O13348" s="20" t="str">
        <f>IF(N13348="","",COUNTIFS(RawData[[Date ]],N13348,RawData[Month List],$Q$6,RawData[Tour/Site],$Q$2,RawData[[Picker ID ]],$Q$3,RawData[Checker ID],$Q$4,RawData[[Error Type ]],$Q$5))</f>
        <v/>
      </c>
    </row>
    <row r="13349" spans="15:15" x14ac:dyDescent="0.25">
      <c r="O13349" s="20" t="str">
        <f>IF(N13349="","",COUNTIFS(RawData[[Date ]],N13349,RawData[Month List],$Q$6,RawData[Tour/Site],$Q$2,RawData[[Picker ID ]],$Q$3,RawData[Checker ID],$Q$4,RawData[[Error Type ]],$Q$5))</f>
        <v/>
      </c>
    </row>
    <row r="13350" spans="15:15" x14ac:dyDescent="0.25">
      <c r="O13350" s="20" t="str">
        <f>IF(N13350="","",COUNTIFS(RawData[[Date ]],N13350,RawData[Month List],$Q$6,RawData[Tour/Site],$Q$2,RawData[[Picker ID ]],$Q$3,RawData[Checker ID],$Q$4,RawData[[Error Type ]],$Q$5))</f>
        <v/>
      </c>
    </row>
    <row r="13351" spans="15:15" x14ac:dyDescent="0.25">
      <c r="O13351" s="20" t="str">
        <f>IF(N13351="","",COUNTIFS(RawData[[Date ]],N13351,RawData[Month List],$Q$6,RawData[Tour/Site],$Q$2,RawData[[Picker ID ]],$Q$3,RawData[Checker ID],$Q$4,RawData[[Error Type ]],$Q$5))</f>
        <v/>
      </c>
    </row>
    <row r="13352" spans="15:15" x14ac:dyDescent="0.25">
      <c r="O13352" s="20" t="str">
        <f>IF(N13352="","",COUNTIFS(RawData[[Date ]],N13352,RawData[Month List],$Q$6,RawData[Tour/Site],$Q$2,RawData[[Picker ID ]],$Q$3,RawData[Checker ID],$Q$4,RawData[[Error Type ]],$Q$5))</f>
        <v/>
      </c>
    </row>
    <row r="13353" spans="15:15" x14ac:dyDescent="0.25">
      <c r="O13353" s="20" t="str">
        <f>IF(N13353="","",COUNTIFS(RawData[[Date ]],N13353,RawData[Month List],$Q$6,RawData[Tour/Site],$Q$2,RawData[[Picker ID ]],$Q$3,RawData[Checker ID],$Q$4,RawData[[Error Type ]],$Q$5))</f>
        <v/>
      </c>
    </row>
    <row r="13354" spans="15:15" x14ac:dyDescent="0.25">
      <c r="O13354" s="20" t="str">
        <f>IF(N13354="","",COUNTIFS(RawData[[Date ]],N13354,RawData[Month List],$Q$6,RawData[Tour/Site],$Q$2,RawData[[Picker ID ]],$Q$3,RawData[Checker ID],$Q$4,RawData[[Error Type ]],$Q$5))</f>
        <v/>
      </c>
    </row>
    <row r="13355" spans="15:15" x14ac:dyDescent="0.25">
      <c r="O13355" s="20" t="str">
        <f>IF(N13355="","",COUNTIFS(RawData[[Date ]],N13355,RawData[Month List],$Q$6,RawData[Tour/Site],$Q$2,RawData[[Picker ID ]],$Q$3,RawData[Checker ID],$Q$4,RawData[[Error Type ]],$Q$5))</f>
        <v/>
      </c>
    </row>
    <row r="13356" spans="15:15" x14ac:dyDescent="0.25">
      <c r="O13356" s="20" t="str">
        <f>IF(N13356="","",COUNTIFS(RawData[[Date ]],N13356,RawData[Month List],$Q$6,RawData[Tour/Site],$Q$2,RawData[[Picker ID ]],$Q$3,RawData[Checker ID],$Q$4,RawData[[Error Type ]],$Q$5))</f>
        <v/>
      </c>
    </row>
    <row r="13357" spans="15:15" x14ac:dyDescent="0.25">
      <c r="O13357" s="20" t="str">
        <f>IF(N13357="","",COUNTIFS(RawData[[Date ]],N13357,RawData[Month List],$Q$6,RawData[Tour/Site],$Q$2,RawData[[Picker ID ]],$Q$3,RawData[Checker ID],$Q$4,RawData[[Error Type ]],$Q$5))</f>
        <v/>
      </c>
    </row>
    <row r="13358" spans="15:15" x14ac:dyDescent="0.25">
      <c r="O13358" s="20" t="str">
        <f>IF(N13358="","",COUNTIFS(RawData[[Date ]],N13358,RawData[Month List],$Q$6,RawData[Tour/Site],$Q$2,RawData[[Picker ID ]],$Q$3,RawData[Checker ID],$Q$4,RawData[[Error Type ]],$Q$5))</f>
        <v/>
      </c>
    </row>
    <row r="13359" spans="15:15" x14ac:dyDescent="0.25">
      <c r="O13359" s="20" t="str">
        <f>IF(N13359="","",COUNTIFS(RawData[[Date ]],N13359,RawData[Month List],$Q$6,RawData[Tour/Site],$Q$2,RawData[[Picker ID ]],$Q$3,RawData[Checker ID],$Q$4,RawData[[Error Type ]],$Q$5))</f>
        <v/>
      </c>
    </row>
    <row r="13360" spans="15:15" x14ac:dyDescent="0.25">
      <c r="O13360" s="20" t="str">
        <f>IF(N13360="","",COUNTIFS(RawData[[Date ]],N13360,RawData[Month List],$Q$6,RawData[Tour/Site],$Q$2,RawData[[Picker ID ]],$Q$3,RawData[Checker ID],$Q$4,RawData[[Error Type ]],$Q$5))</f>
        <v/>
      </c>
    </row>
    <row r="13361" spans="15:15" x14ac:dyDescent="0.25">
      <c r="O13361" s="20" t="str">
        <f>IF(N13361="","",COUNTIFS(RawData[[Date ]],N13361,RawData[Month List],$Q$6,RawData[Tour/Site],$Q$2,RawData[[Picker ID ]],$Q$3,RawData[Checker ID],$Q$4,RawData[[Error Type ]],$Q$5))</f>
        <v/>
      </c>
    </row>
    <row r="13362" spans="15:15" x14ac:dyDescent="0.25">
      <c r="O13362" s="20" t="str">
        <f>IF(N13362="","",COUNTIFS(RawData[[Date ]],N13362,RawData[Month List],$Q$6,RawData[Tour/Site],$Q$2,RawData[[Picker ID ]],$Q$3,RawData[Checker ID],$Q$4,RawData[[Error Type ]],$Q$5))</f>
        <v/>
      </c>
    </row>
    <row r="13363" spans="15:15" x14ac:dyDescent="0.25">
      <c r="O13363" s="20" t="str">
        <f>IF(N13363="","",COUNTIFS(RawData[[Date ]],N13363,RawData[Month List],$Q$6,RawData[Tour/Site],$Q$2,RawData[[Picker ID ]],$Q$3,RawData[Checker ID],$Q$4,RawData[[Error Type ]],$Q$5))</f>
        <v/>
      </c>
    </row>
    <row r="13364" spans="15:15" x14ac:dyDescent="0.25">
      <c r="O13364" s="20" t="str">
        <f>IF(N13364="","",COUNTIFS(RawData[[Date ]],N13364,RawData[Month List],$Q$6,RawData[Tour/Site],$Q$2,RawData[[Picker ID ]],$Q$3,RawData[Checker ID],$Q$4,RawData[[Error Type ]],$Q$5))</f>
        <v/>
      </c>
    </row>
    <row r="13365" spans="15:15" x14ac:dyDescent="0.25">
      <c r="O13365" s="20" t="str">
        <f>IF(N13365="","",COUNTIFS(RawData[[Date ]],N13365,RawData[Month List],$Q$6,RawData[Tour/Site],$Q$2,RawData[[Picker ID ]],$Q$3,RawData[Checker ID],$Q$4,RawData[[Error Type ]],$Q$5))</f>
        <v/>
      </c>
    </row>
    <row r="13366" spans="15:15" x14ac:dyDescent="0.25">
      <c r="O13366" s="20" t="str">
        <f>IF(N13366="","",COUNTIFS(RawData[[Date ]],N13366,RawData[Month List],$Q$6,RawData[Tour/Site],$Q$2,RawData[[Picker ID ]],$Q$3,RawData[Checker ID],$Q$4,RawData[[Error Type ]],$Q$5))</f>
        <v/>
      </c>
    </row>
    <row r="13367" spans="15:15" x14ac:dyDescent="0.25">
      <c r="O13367" s="20" t="str">
        <f>IF(N13367="","",COUNTIFS(RawData[[Date ]],N13367,RawData[Month List],$Q$6,RawData[Tour/Site],$Q$2,RawData[[Picker ID ]],$Q$3,RawData[Checker ID],$Q$4,RawData[[Error Type ]],$Q$5))</f>
        <v/>
      </c>
    </row>
    <row r="13368" spans="15:15" x14ac:dyDescent="0.25">
      <c r="O13368" s="20" t="str">
        <f>IF(N13368="","",COUNTIFS(RawData[[Date ]],N13368,RawData[Month List],$Q$6,RawData[Tour/Site],$Q$2,RawData[[Picker ID ]],$Q$3,RawData[Checker ID],$Q$4,RawData[[Error Type ]],$Q$5))</f>
        <v/>
      </c>
    </row>
    <row r="13369" spans="15:15" x14ac:dyDescent="0.25">
      <c r="O13369" s="20" t="str">
        <f>IF(N13369="","",COUNTIFS(RawData[[Date ]],N13369,RawData[Month List],$Q$6,RawData[Tour/Site],$Q$2,RawData[[Picker ID ]],$Q$3,RawData[Checker ID],$Q$4,RawData[[Error Type ]],$Q$5))</f>
        <v/>
      </c>
    </row>
    <row r="13370" spans="15:15" x14ac:dyDescent="0.25">
      <c r="O13370" s="20" t="str">
        <f>IF(N13370="","",COUNTIFS(RawData[[Date ]],N13370,RawData[Month List],$Q$6,RawData[Tour/Site],$Q$2,RawData[[Picker ID ]],$Q$3,RawData[Checker ID],$Q$4,RawData[[Error Type ]],$Q$5))</f>
        <v/>
      </c>
    </row>
    <row r="13371" spans="15:15" x14ac:dyDescent="0.25">
      <c r="O13371" s="20" t="str">
        <f>IF(N13371="","",COUNTIFS(RawData[[Date ]],N13371,RawData[Month List],$Q$6,RawData[Tour/Site],$Q$2,RawData[[Picker ID ]],$Q$3,RawData[Checker ID],$Q$4,RawData[[Error Type ]],$Q$5))</f>
        <v/>
      </c>
    </row>
    <row r="13372" spans="15:15" x14ac:dyDescent="0.25">
      <c r="O13372" s="20" t="str">
        <f>IF(N13372="","",COUNTIFS(RawData[[Date ]],N13372,RawData[Month List],$Q$6,RawData[Tour/Site],$Q$2,RawData[[Picker ID ]],$Q$3,RawData[Checker ID],$Q$4,RawData[[Error Type ]],$Q$5))</f>
        <v/>
      </c>
    </row>
    <row r="13373" spans="15:15" x14ac:dyDescent="0.25">
      <c r="O13373" s="20" t="str">
        <f>IF(N13373="","",COUNTIFS(RawData[[Date ]],N13373,RawData[Month List],$Q$6,RawData[Tour/Site],$Q$2,RawData[[Picker ID ]],$Q$3,RawData[Checker ID],$Q$4,RawData[[Error Type ]],$Q$5))</f>
        <v/>
      </c>
    </row>
    <row r="13374" spans="15:15" x14ac:dyDescent="0.25">
      <c r="O13374" s="20" t="str">
        <f>IF(N13374="","",COUNTIFS(RawData[[Date ]],N13374,RawData[Month List],$Q$6,RawData[Tour/Site],$Q$2,RawData[[Picker ID ]],$Q$3,RawData[Checker ID],$Q$4,RawData[[Error Type ]],$Q$5))</f>
        <v/>
      </c>
    </row>
    <row r="13375" spans="15:15" x14ac:dyDescent="0.25">
      <c r="O13375" s="20" t="str">
        <f>IF(N13375="","",COUNTIFS(RawData[[Date ]],N13375,RawData[Month List],$Q$6,RawData[Tour/Site],$Q$2,RawData[[Picker ID ]],$Q$3,RawData[Checker ID],$Q$4,RawData[[Error Type ]],$Q$5))</f>
        <v/>
      </c>
    </row>
    <row r="13376" spans="15:15" x14ac:dyDescent="0.25">
      <c r="O13376" s="20" t="str">
        <f>IF(N13376="","",COUNTIFS(RawData[[Date ]],N13376,RawData[Month List],$Q$6,RawData[Tour/Site],$Q$2,RawData[[Picker ID ]],$Q$3,RawData[Checker ID],$Q$4,RawData[[Error Type ]],$Q$5))</f>
        <v/>
      </c>
    </row>
    <row r="13377" spans="15:15" x14ac:dyDescent="0.25">
      <c r="O13377" s="20" t="str">
        <f>IF(N13377="","",COUNTIFS(RawData[[Date ]],N13377,RawData[Month List],$Q$6,RawData[Tour/Site],$Q$2,RawData[[Picker ID ]],$Q$3,RawData[Checker ID],$Q$4,RawData[[Error Type ]],$Q$5))</f>
        <v/>
      </c>
    </row>
    <row r="13378" spans="15:15" x14ac:dyDescent="0.25">
      <c r="O13378" s="20" t="str">
        <f>IF(N13378="","",COUNTIFS(RawData[[Date ]],N13378,RawData[Month List],$Q$6,RawData[Tour/Site],$Q$2,RawData[[Picker ID ]],$Q$3,RawData[Checker ID],$Q$4,RawData[[Error Type ]],$Q$5))</f>
        <v/>
      </c>
    </row>
    <row r="13379" spans="15:15" x14ac:dyDescent="0.25">
      <c r="O13379" s="20" t="str">
        <f>IF(N13379="","",COUNTIFS(RawData[[Date ]],N13379,RawData[Month List],$Q$6,RawData[Tour/Site],$Q$2,RawData[[Picker ID ]],$Q$3,RawData[Checker ID],$Q$4,RawData[[Error Type ]],$Q$5))</f>
        <v/>
      </c>
    </row>
    <row r="13380" spans="15:15" x14ac:dyDescent="0.25">
      <c r="O13380" s="20" t="str">
        <f>IF(N13380="","",COUNTIFS(RawData[[Date ]],N13380,RawData[Month List],$Q$6,RawData[Tour/Site],$Q$2,RawData[[Picker ID ]],$Q$3,RawData[Checker ID],$Q$4,RawData[[Error Type ]],$Q$5))</f>
        <v/>
      </c>
    </row>
    <row r="13381" spans="15:15" x14ac:dyDescent="0.25">
      <c r="O13381" s="20" t="str">
        <f>IF(N13381="","",COUNTIFS(RawData[[Date ]],N13381,RawData[Month List],$Q$6,RawData[Tour/Site],$Q$2,RawData[[Picker ID ]],$Q$3,RawData[Checker ID],$Q$4,RawData[[Error Type ]],$Q$5))</f>
        <v/>
      </c>
    </row>
    <row r="13382" spans="15:15" x14ac:dyDescent="0.25">
      <c r="O13382" s="20" t="str">
        <f>IF(N13382="","",COUNTIFS(RawData[[Date ]],N13382,RawData[Month List],$Q$6,RawData[Tour/Site],$Q$2,RawData[[Picker ID ]],$Q$3,RawData[Checker ID],$Q$4,RawData[[Error Type ]],$Q$5))</f>
        <v/>
      </c>
    </row>
    <row r="13383" spans="15:15" x14ac:dyDescent="0.25">
      <c r="O13383" s="20" t="str">
        <f>IF(N13383="","",COUNTIFS(RawData[[Date ]],N13383,RawData[Month List],$Q$6,RawData[Tour/Site],$Q$2,RawData[[Picker ID ]],$Q$3,RawData[Checker ID],$Q$4,RawData[[Error Type ]],$Q$5))</f>
        <v/>
      </c>
    </row>
    <row r="13384" spans="15:15" x14ac:dyDescent="0.25">
      <c r="O13384" s="20" t="str">
        <f>IF(N13384="","",COUNTIFS(RawData[[Date ]],N13384,RawData[Month List],$Q$6,RawData[Tour/Site],$Q$2,RawData[[Picker ID ]],$Q$3,RawData[Checker ID],$Q$4,RawData[[Error Type ]],$Q$5))</f>
        <v/>
      </c>
    </row>
    <row r="13385" spans="15:15" x14ac:dyDescent="0.25">
      <c r="O13385" s="20" t="str">
        <f>IF(N13385="","",COUNTIFS(RawData[[Date ]],N13385,RawData[Month List],$Q$6,RawData[Tour/Site],$Q$2,RawData[[Picker ID ]],$Q$3,RawData[Checker ID],$Q$4,RawData[[Error Type ]],$Q$5))</f>
        <v/>
      </c>
    </row>
    <row r="13386" spans="15:15" x14ac:dyDescent="0.25">
      <c r="O13386" s="20" t="str">
        <f>IF(N13386="","",COUNTIFS(RawData[[Date ]],N13386,RawData[Month List],$Q$6,RawData[Tour/Site],$Q$2,RawData[[Picker ID ]],$Q$3,RawData[Checker ID],$Q$4,RawData[[Error Type ]],$Q$5))</f>
        <v/>
      </c>
    </row>
    <row r="13387" spans="15:15" x14ac:dyDescent="0.25">
      <c r="O13387" s="20" t="str">
        <f>IF(N13387="","",COUNTIFS(RawData[[Date ]],N13387,RawData[Month List],$Q$6,RawData[Tour/Site],$Q$2,RawData[[Picker ID ]],$Q$3,RawData[Checker ID],$Q$4,RawData[[Error Type ]],$Q$5))</f>
        <v/>
      </c>
    </row>
    <row r="13388" spans="15:15" x14ac:dyDescent="0.25">
      <c r="O13388" s="20" t="str">
        <f>IF(N13388="","",COUNTIFS(RawData[[Date ]],N13388,RawData[Month List],$Q$6,RawData[Tour/Site],$Q$2,RawData[[Picker ID ]],$Q$3,RawData[Checker ID],$Q$4,RawData[[Error Type ]],$Q$5))</f>
        <v/>
      </c>
    </row>
    <row r="13389" spans="15:15" x14ac:dyDescent="0.25">
      <c r="O13389" s="20" t="str">
        <f>IF(N13389="","",COUNTIFS(RawData[[Date ]],N13389,RawData[Month List],$Q$6,RawData[Tour/Site],$Q$2,RawData[[Picker ID ]],$Q$3,RawData[Checker ID],$Q$4,RawData[[Error Type ]],$Q$5))</f>
        <v/>
      </c>
    </row>
    <row r="13390" spans="15:15" x14ac:dyDescent="0.25">
      <c r="O13390" s="20" t="str">
        <f>IF(N13390="","",COUNTIFS(RawData[[Date ]],N13390,RawData[Month List],$Q$6,RawData[Tour/Site],$Q$2,RawData[[Picker ID ]],$Q$3,RawData[Checker ID],$Q$4,RawData[[Error Type ]],$Q$5))</f>
        <v/>
      </c>
    </row>
    <row r="13391" spans="15:15" x14ac:dyDescent="0.25">
      <c r="O13391" s="20" t="str">
        <f>IF(N13391="","",COUNTIFS(RawData[[Date ]],N13391,RawData[Month List],$Q$6,RawData[Tour/Site],$Q$2,RawData[[Picker ID ]],$Q$3,RawData[Checker ID],$Q$4,RawData[[Error Type ]],$Q$5))</f>
        <v/>
      </c>
    </row>
    <row r="13392" spans="15:15" x14ac:dyDescent="0.25">
      <c r="O13392" s="20" t="str">
        <f>IF(N13392="","",COUNTIFS(RawData[[Date ]],N13392,RawData[Month List],$Q$6,RawData[Tour/Site],$Q$2,RawData[[Picker ID ]],$Q$3,RawData[Checker ID],$Q$4,RawData[[Error Type ]],$Q$5))</f>
        <v/>
      </c>
    </row>
    <row r="13393" spans="15:15" x14ac:dyDescent="0.25">
      <c r="O13393" s="20" t="str">
        <f>IF(N13393="","",COUNTIFS(RawData[[Date ]],N13393,RawData[Month List],$Q$6,RawData[Tour/Site],$Q$2,RawData[[Picker ID ]],$Q$3,RawData[Checker ID],$Q$4,RawData[[Error Type ]],$Q$5))</f>
        <v/>
      </c>
    </row>
    <row r="13394" spans="15:15" x14ac:dyDescent="0.25">
      <c r="O13394" s="20" t="str">
        <f>IF(N13394="","",COUNTIFS(RawData[[Date ]],N13394,RawData[Month List],$Q$6,RawData[Tour/Site],$Q$2,RawData[[Picker ID ]],$Q$3,RawData[Checker ID],$Q$4,RawData[[Error Type ]],$Q$5))</f>
        <v/>
      </c>
    </row>
    <row r="13395" spans="15:15" x14ac:dyDescent="0.25">
      <c r="O13395" s="20" t="str">
        <f>IF(N13395="","",COUNTIFS(RawData[[Date ]],N13395,RawData[Month List],$Q$6,RawData[Tour/Site],$Q$2,RawData[[Picker ID ]],$Q$3,RawData[Checker ID],$Q$4,RawData[[Error Type ]],$Q$5))</f>
        <v/>
      </c>
    </row>
    <row r="13396" spans="15:15" x14ac:dyDescent="0.25">
      <c r="O13396" s="20" t="str">
        <f>IF(N13396="","",COUNTIFS(RawData[[Date ]],N13396,RawData[Month List],$Q$6,RawData[Tour/Site],$Q$2,RawData[[Picker ID ]],$Q$3,RawData[Checker ID],$Q$4,RawData[[Error Type ]],$Q$5))</f>
        <v/>
      </c>
    </row>
    <row r="13397" spans="15:15" x14ac:dyDescent="0.25">
      <c r="O13397" s="20" t="str">
        <f>IF(N13397="","",COUNTIFS(RawData[[Date ]],N13397,RawData[Month List],$Q$6,RawData[Tour/Site],$Q$2,RawData[[Picker ID ]],$Q$3,RawData[Checker ID],$Q$4,RawData[[Error Type ]],$Q$5))</f>
        <v/>
      </c>
    </row>
    <row r="13398" spans="15:15" x14ac:dyDescent="0.25">
      <c r="O13398" s="20" t="str">
        <f>IF(N13398="","",COUNTIFS(RawData[[Date ]],N13398,RawData[Month List],$Q$6,RawData[Tour/Site],$Q$2,RawData[[Picker ID ]],$Q$3,RawData[Checker ID],$Q$4,RawData[[Error Type ]],$Q$5))</f>
        <v/>
      </c>
    </row>
    <row r="13399" spans="15:15" x14ac:dyDescent="0.25">
      <c r="O13399" s="20" t="str">
        <f>IF(N13399="","",COUNTIFS(RawData[[Date ]],N13399,RawData[Month List],$Q$6,RawData[Tour/Site],$Q$2,RawData[[Picker ID ]],$Q$3,RawData[Checker ID],$Q$4,RawData[[Error Type ]],$Q$5))</f>
        <v/>
      </c>
    </row>
    <row r="13400" spans="15:15" x14ac:dyDescent="0.25">
      <c r="O13400" s="20" t="str">
        <f>IF(N13400="","",COUNTIFS(RawData[[Date ]],N13400,RawData[Month List],$Q$6,RawData[Tour/Site],$Q$2,RawData[[Picker ID ]],$Q$3,RawData[Checker ID],$Q$4,RawData[[Error Type ]],$Q$5))</f>
        <v/>
      </c>
    </row>
    <row r="13401" spans="15:15" x14ac:dyDescent="0.25">
      <c r="O13401" s="20" t="str">
        <f>IF(N13401="","",COUNTIFS(RawData[[Date ]],N13401,RawData[Month List],$Q$6,RawData[Tour/Site],$Q$2,RawData[[Picker ID ]],$Q$3,RawData[Checker ID],$Q$4,RawData[[Error Type ]],$Q$5))</f>
        <v/>
      </c>
    </row>
    <row r="13402" spans="15:15" x14ac:dyDescent="0.25">
      <c r="O13402" s="20" t="str">
        <f>IF(N13402="","",COUNTIFS(RawData[[Date ]],N13402,RawData[Month List],$Q$6,RawData[Tour/Site],$Q$2,RawData[[Picker ID ]],$Q$3,RawData[Checker ID],$Q$4,RawData[[Error Type ]],$Q$5))</f>
        <v/>
      </c>
    </row>
    <row r="13403" spans="15:15" x14ac:dyDescent="0.25">
      <c r="O13403" s="20" t="str">
        <f>IF(N13403="","",COUNTIFS(RawData[[Date ]],N13403,RawData[Month List],$Q$6,RawData[Tour/Site],$Q$2,RawData[[Picker ID ]],$Q$3,RawData[Checker ID],$Q$4,RawData[[Error Type ]],$Q$5))</f>
        <v/>
      </c>
    </row>
    <row r="13404" spans="15:15" x14ac:dyDescent="0.25">
      <c r="O13404" s="20" t="str">
        <f>IF(N13404="","",COUNTIFS(RawData[[Date ]],N13404,RawData[Month List],$Q$6,RawData[Tour/Site],$Q$2,RawData[[Picker ID ]],$Q$3,RawData[Checker ID],$Q$4,RawData[[Error Type ]],$Q$5))</f>
        <v/>
      </c>
    </row>
    <row r="13405" spans="15:15" x14ac:dyDescent="0.25">
      <c r="O13405" s="20" t="str">
        <f>IF(N13405="","",COUNTIFS(RawData[[Date ]],N13405,RawData[Month List],$Q$6,RawData[Tour/Site],$Q$2,RawData[[Picker ID ]],$Q$3,RawData[Checker ID],$Q$4,RawData[[Error Type ]],$Q$5))</f>
        <v/>
      </c>
    </row>
    <row r="13406" spans="15:15" x14ac:dyDescent="0.25">
      <c r="O13406" s="20" t="str">
        <f>IF(N13406="","",COUNTIFS(RawData[[Date ]],N13406,RawData[Month List],$Q$6,RawData[Tour/Site],$Q$2,RawData[[Picker ID ]],$Q$3,RawData[Checker ID],$Q$4,RawData[[Error Type ]],$Q$5))</f>
        <v/>
      </c>
    </row>
    <row r="13407" spans="15:15" x14ac:dyDescent="0.25">
      <c r="O13407" s="20" t="str">
        <f>IF(N13407="","",COUNTIFS(RawData[[Date ]],N13407,RawData[Month List],$Q$6,RawData[Tour/Site],$Q$2,RawData[[Picker ID ]],$Q$3,RawData[Checker ID],$Q$4,RawData[[Error Type ]],$Q$5))</f>
        <v/>
      </c>
    </row>
    <row r="13408" spans="15:15" x14ac:dyDescent="0.25">
      <c r="O13408" s="20" t="str">
        <f>IF(N13408="","",COUNTIFS(RawData[[Date ]],N13408,RawData[Month List],$Q$6,RawData[Tour/Site],$Q$2,RawData[[Picker ID ]],$Q$3,RawData[Checker ID],$Q$4,RawData[[Error Type ]],$Q$5))</f>
        <v/>
      </c>
    </row>
    <row r="13409" spans="15:15" x14ac:dyDescent="0.25">
      <c r="O13409" s="20" t="str">
        <f>IF(N13409="","",COUNTIFS(RawData[[Date ]],N13409,RawData[Month List],$Q$6,RawData[Tour/Site],$Q$2,RawData[[Picker ID ]],$Q$3,RawData[Checker ID],$Q$4,RawData[[Error Type ]],$Q$5))</f>
        <v/>
      </c>
    </row>
    <row r="13410" spans="15:15" x14ac:dyDescent="0.25">
      <c r="O13410" s="20" t="str">
        <f>IF(N13410="","",COUNTIFS(RawData[[Date ]],N13410,RawData[Month List],$Q$6,RawData[Tour/Site],$Q$2,RawData[[Picker ID ]],$Q$3,RawData[Checker ID],$Q$4,RawData[[Error Type ]],$Q$5))</f>
        <v/>
      </c>
    </row>
    <row r="13411" spans="15:15" x14ac:dyDescent="0.25">
      <c r="O13411" s="20" t="str">
        <f>IF(N13411="","",COUNTIFS(RawData[[Date ]],N13411,RawData[Month List],$Q$6,RawData[Tour/Site],$Q$2,RawData[[Picker ID ]],$Q$3,RawData[Checker ID],$Q$4,RawData[[Error Type ]],$Q$5))</f>
        <v/>
      </c>
    </row>
    <row r="13412" spans="15:15" x14ac:dyDescent="0.25">
      <c r="O13412" s="20" t="str">
        <f>IF(N13412="","",COUNTIFS(RawData[[Date ]],N13412,RawData[Month List],$Q$6,RawData[Tour/Site],$Q$2,RawData[[Picker ID ]],$Q$3,RawData[Checker ID],$Q$4,RawData[[Error Type ]],$Q$5))</f>
        <v/>
      </c>
    </row>
    <row r="13413" spans="15:15" x14ac:dyDescent="0.25">
      <c r="O13413" s="20" t="str">
        <f>IF(N13413="","",COUNTIFS(RawData[[Date ]],N13413,RawData[Month List],$Q$6,RawData[Tour/Site],$Q$2,RawData[[Picker ID ]],$Q$3,RawData[Checker ID],$Q$4,RawData[[Error Type ]],$Q$5))</f>
        <v/>
      </c>
    </row>
    <row r="13414" spans="15:15" x14ac:dyDescent="0.25">
      <c r="O13414" s="20" t="str">
        <f>IF(N13414="","",COUNTIFS(RawData[[Date ]],N13414,RawData[Month List],$Q$6,RawData[Tour/Site],$Q$2,RawData[[Picker ID ]],$Q$3,RawData[Checker ID],$Q$4,RawData[[Error Type ]],$Q$5))</f>
        <v/>
      </c>
    </row>
    <row r="13415" spans="15:15" x14ac:dyDescent="0.25">
      <c r="O13415" s="20" t="str">
        <f>IF(N13415="","",COUNTIFS(RawData[[Date ]],N13415,RawData[Month List],$Q$6,RawData[Tour/Site],$Q$2,RawData[[Picker ID ]],$Q$3,RawData[Checker ID],$Q$4,RawData[[Error Type ]],$Q$5))</f>
        <v/>
      </c>
    </row>
    <row r="13416" spans="15:15" x14ac:dyDescent="0.25">
      <c r="O13416" s="20" t="str">
        <f>IF(N13416="","",COUNTIFS(RawData[[Date ]],N13416,RawData[Month List],$Q$6,RawData[Tour/Site],$Q$2,RawData[[Picker ID ]],$Q$3,RawData[Checker ID],$Q$4,RawData[[Error Type ]],$Q$5))</f>
        <v/>
      </c>
    </row>
    <row r="13417" spans="15:15" x14ac:dyDescent="0.25">
      <c r="O13417" s="20" t="str">
        <f>IF(N13417="","",COUNTIFS(RawData[[Date ]],N13417,RawData[Month List],$Q$6,RawData[Tour/Site],$Q$2,RawData[[Picker ID ]],$Q$3,RawData[Checker ID],$Q$4,RawData[[Error Type ]],$Q$5))</f>
        <v/>
      </c>
    </row>
    <row r="13418" spans="15:15" x14ac:dyDescent="0.25">
      <c r="O13418" s="20" t="str">
        <f>IF(N13418="","",COUNTIFS(RawData[[Date ]],N13418,RawData[Month List],$Q$6,RawData[Tour/Site],$Q$2,RawData[[Picker ID ]],$Q$3,RawData[Checker ID],$Q$4,RawData[[Error Type ]],$Q$5))</f>
        <v/>
      </c>
    </row>
    <row r="13419" spans="15:15" x14ac:dyDescent="0.25">
      <c r="O13419" s="20" t="str">
        <f>IF(N13419="","",COUNTIFS(RawData[[Date ]],N13419,RawData[Month List],$Q$6,RawData[Tour/Site],$Q$2,RawData[[Picker ID ]],$Q$3,RawData[Checker ID],$Q$4,RawData[[Error Type ]],$Q$5))</f>
        <v/>
      </c>
    </row>
    <row r="13420" spans="15:15" x14ac:dyDescent="0.25">
      <c r="O13420" s="20" t="str">
        <f>IF(N13420="","",COUNTIFS(RawData[[Date ]],N13420,RawData[Month List],$Q$6,RawData[Tour/Site],$Q$2,RawData[[Picker ID ]],$Q$3,RawData[Checker ID],$Q$4,RawData[[Error Type ]],$Q$5))</f>
        <v/>
      </c>
    </row>
    <row r="13421" spans="15:15" x14ac:dyDescent="0.25">
      <c r="O13421" s="20" t="str">
        <f>IF(N13421="","",COUNTIFS(RawData[[Date ]],N13421,RawData[Month List],$Q$6,RawData[Tour/Site],$Q$2,RawData[[Picker ID ]],$Q$3,RawData[Checker ID],$Q$4,RawData[[Error Type ]],$Q$5))</f>
        <v/>
      </c>
    </row>
    <row r="13422" spans="15:15" x14ac:dyDescent="0.25">
      <c r="O13422" s="20" t="str">
        <f>IF(N13422="","",COUNTIFS(RawData[[Date ]],N13422,RawData[Month List],$Q$6,RawData[Tour/Site],$Q$2,RawData[[Picker ID ]],$Q$3,RawData[Checker ID],$Q$4,RawData[[Error Type ]],$Q$5))</f>
        <v/>
      </c>
    </row>
    <row r="13423" spans="15:15" x14ac:dyDescent="0.25">
      <c r="O13423" s="20" t="str">
        <f>IF(N13423="","",COUNTIFS(RawData[[Date ]],N13423,RawData[Month List],$Q$6,RawData[Tour/Site],$Q$2,RawData[[Picker ID ]],$Q$3,RawData[Checker ID],$Q$4,RawData[[Error Type ]],$Q$5))</f>
        <v/>
      </c>
    </row>
    <row r="13424" spans="15:15" x14ac:dyDescent="0.25">
      <c r="O13424" s="20" t="str">
        <f>IF(N13424="","",COUNTIFS(RawData[[Date ]],N13424,RawData[Month List],$Q$6,RawData[Tour/Site],$Q$2,RawData[[Picker ID ]],$Q$3,RawData[Checker ID],$Q$4,RawData[[Error Type ]],$Q$5))</f>
        <v/>
      </c>
    </row>
    <row r="13425" spans="15:15" x14ac:dyDescent="0.25">
      <c r="O13425" s="20" t="str">
        <f>IF(N13425="","",COUNTIFS(RawData[[Date ]],N13425,RawData[Month List],$Q$6,RawData[Tour/Site],$Q$2,RawData[[Picker ID ]],$Q$3,RawData[Checker ID],$Q$4,RawData[[Error Type ]],$Q$5))</f>
        <v/>
      </c>
    </row>
    <row r="13426" spans="15:15" x14ac:dyDescent="0.25">
      <c r="O13426" s="20" t="str">
        <f>IF(N13426="","",COUNTIFS(RawData[[Date ]],N13426,RawData[Month List],$Q$6,RawData[Tour/Site],$Q$2,RawData[[Picker ID ]],$Q$3,RawData[Checker ID],$Q$4,RawData[[Error Type ]],$Q$5))</f>
        <v/>
      </c>
    </row>
    <row r="13427" spans="15:15" x14ac:dyDescent="0.25">
      <c r="O13427" s="20" t="str">
        <f>IF(N13427="","",COUNTIFS(RawData[[Date ]],N13427,RawData[Month List],$Q$6,RawData[Tour/Site],$Q$2,RawData[[Picker ID ]],$Q$3,RawData[Checker ID],$Q$4,RawData[[Error Type ]],$Q$5))</f>
        <v/>
      </c>
    </row>
    <row r="13428" spans="15:15" x14ac:dyDescent="0.25">
      <c r="O13428" s="20" t="str">
        <f>IF(N13428="","",COUNTIFS(RawData[[Date ]],N13428,RawData[Month List],$Q$6,RawData[Tour/Site],$Q$2,RawData[[Picker ID ]],$Q$3,RawData[Checker ID],$Q$4,RawData[[Error Type ]],$Q$5))</f>
        <v/>
      </c>
    </row>
    <row r="13429" spans="15:15" x14ac:dyDescent="0.25">
      <c r="O13429" s="20" t="str">
        <f>IF(N13429="","",COUNTIFS(RawData[[Date ]],N13429,RawData[Month List],$Q$6,RawData[Tour/Site],$Q$2,RawData[[Picker ID ]],$Q$3,RawData[Checker ID],$Q$4,RawData[[Error Type ]],$Q$5))</f>
        <v/>
      </c>
    </row>
    <row r="13430" spans="15:15" x14ac:dyDescent="0.25">
      <c r="O13430" s="20" t="str">
        <f>IF(N13430="","",COUNTIFS(RawData[[Date ]],N13430,RawData[Month List],$Q$6,RawData[Tour/Site],$Q$2,RawData[[Picker ID ]],$Q$3,RawData[Checker ID],$Q$4,RawData[[Error Type ]],$Q$5))</f>
        <v/>
      </c>
    </row>
    <row r="13431" spans="15:15" x14ac:dyDescent="0.25">
      <c r="O13431" s="20" t="str">
        <f>IF(N13431="","",COUNTIFS(RawData[[Date ]],N13431,RawData[Month List],$Q$6,RawData[Tour/Site],$Q$2,RawData[[Picker ID ]],$Q$3,RawData[Checker ID],$Q$4,RawData[[Error Type ]],$Q$5))</f>
        <v/>
      </c>
    </row>
    <row r="13432" spans="15:15" x14ac:dyDescent="0.25">
      <c r="O13432" s="20" t="str">
        <f>IF(N13432="","",COUNTIFS(RawData[[Date ]],N13432,RawData[Month List],$Q$6,RawData[Tour/Site],$Q$2,RawData[[Picker ID ]],$Q$3,RawData[Checker ID],$Q$4,RawData[[Error Type ]],$Q$5))</f>
        <v/>
      </c>
    </row>
    <row r="13433" spans="15:15" x14ac:dyDescent="0.25">
      <c r="O13433" s="20" t="str">
        <f>IF(N13433="","",COUNTIFS(RawData[[Date ]],N13433,RawData[Month List],$Q$6,RawData[Tour/Site],$Q$2,RawData[[Picker ID ]],$Q$3,RawData[Checker ID],$Q$4,RawData[[Error Type ]],$Q$5))</f>
        <v/>
      </c>
    </row>
    <row r="13434" spans="15:15" x14ac:dyDescent="0.25">
      <c r="O13434" s="20" t="str">
        <f>IF(N13434="","",COUNTIFS(RawData[[Date ]],N13434,RawData[Month List],$Q$6,RawData[Tour/Site],$Q$2,RawData[[Picker ID ]],$Q$3,RawData[Checker ID],$Q$4,RawData[[Error Type ]],$Q$5))</f>
        <v/>
      </c>
    </row>
    <row r="13435" spans="15:15" x14ac:dyDescent="0.25">
      <c r="O13435" s="20" t="str">
        <f>IF(N13435="","",COUNTIFS(RawData[[Date ]],N13435,RawData[Month List],$Q$6,RawData[Tour/Site],$Q$2,RawData[[Picker ID ]],$Q$3,RawData[Checker ID],$Q$4,RawData[[Error Type ]],$Q$5))</f>
        <v/>
      </c>
    </row>
    <row r="13436" spans="15:15" x14ac:dyDescent="0.25">
      <c r="O13436" s="20" t="str">
        <f>IF(N13436="","",COUNTIFS(RawData[[Date ]],N13436,RawData[Month List],$Q$6,RawData[Tour/Site],$Q$2,RawData[[Picker ID ]],$Q$3,RawData[Checker ID],$Q$4,RawData[[Error Type ]],$Q$5))</f>
        <v/>
      </c>
    </row>
    <row r="13437" spans="15:15" x14ac:dyDescent="0.25">
      <c r="O13437" s="20" t="str">
        <f>IF(N13437="","",COUNTIFS(RawData[[Date ]],N13437,RawData[Month List],$Q$6,RawData[Tour/Site],$Q$2,RawData[[Picker ID ]],$Q$3,RawData[Checker ID],$Q$4,RawData[[Error Type ]],$Q$5))</f>
        <v/>
      </c>
    </row>
    <row r="13438" spans="15:15" x14ac:dyDescent="0.25">
      <c r="O13438" s="20" t="str">
        <f>IF(N13438="","",COUNTIFS(RawData[[Date ]],N13438,RawData[Month List],$Q$6,RawData[Tour/Site],$Q$2,RawData[[Picker ID ]],$Q$3,RawData[Checker ID],$Q$4,RawData[[Error Type ]],$Q$5))</f>
        <v/>
      </c>
    </row>
    <row r="13439" spans="15:15" x14ac:dyDescent="0.25">
      <c r="O13439" s="20" t="str">
        <f>IF(N13439="","",COUNTIFS(RawData[[Date ]],N13439,RawData[Month List],$Q$6,RawData[Tour/Site],$Q$2,RawData[[Picker ID ]],$Q$3,RawData[Checker ID],$Q$4,RawData[[Error Type ]],$Q$5))</f>
        <v/>
      </c>
    </row>
    <row r="13440" spans="15:15" x14ac:dyDescent="0.25">
      <c r="O13440" s="20" t="str">
        <f>IF(N13440="","",COUNTIFS(RawData[[Date ]],N13440,RawData[Month List],$Q$6,RawData[Tour/Site],$Q$2,RawData[[Picker ID ]],$Q$3,RawData[Checker ID],$Q$4,RawData[[Error Type ]],$Q$5))</f>
        <v/>
      </c>
    </row>
    <row r="13441" spans="15:15" x14ac:dyDescent="0.25">
      <c r="O13441" s="20" t="str">
        <f>IF(N13441="","",COUNTIFS(RawData[[Date ]],N13441,RawData[Month List],$Q$6,RawData[Tour/Site],$Q$2,RawData[[Picker ID ]],$Q$3,RawData[Checker ID],$Q$4,RawData[[Error Type ]],$Q$5))</f>
        <v/>
      </c>
    </row>
    <row r="13442" spans="15:15" x14ac:dyDescent="0.25">
      <c r="O13442" s="20" t="str">
        <f>IF(N13442="","",COUNTIFS(RawData[[Date ]],N13442,RawData[Month List],$Q$6,RawData[Tour/Site],$Q$2,RawData[[Picker ID ]],$Q$3,RawData[Checker ID],$Q$4,RawData[[Error Type ]],$Q$5))</f>
        <v/>
      </c>
    </row>
    <row r="13443" spans="15:15" x14ac:dyDescent="0.25">
      <c r="O13443" s="20" t="str">
        <f>IF(N13443="","",COUNTIFS(RawData[[Date ]],N13443,RawData[Month List],$Q$6,RawData[Tour/Site],$Q$2,RawData[[Picker ID ]],$Q$3,RawData[Checker ID],$Q$4,RawData[[Error Type ]],$Q$5))</f>
        <v/>
      </c>
    </row>
    <row r="13444" spans="15:15" x14ac:dyDescent="0.25">
      <c r="O13444" s="20" t="str">
        <f>IF(N13444="","",COUNTIFS(RawData[[Date ]],N13444,RawData[Month List],$Q$6,RawData[Tour/Site],$Q$2,RawData[[Picker ID ]],$Q$3,RawData[Checker ID],$Q$4,RawData[[Error Type ]],$Q$5))</f>
        <v/>
      </c>
    </row>
    <row r="13445" spans="15:15" x14ac:dyDescent="0.25">
      <c r="O13445" s="20" t="str">
        <f>IF(N13445="","",COUNTIFS(RawData[[Date ]],N13445,RawData[Month List],$Q$6,RawData[Tour/Site],$Q$2,RawData[[Picker ID ]],$Q$3,RawData[Checker ID],$Q$4,RawData[[Error Type ]],$Q$5))</f>
        <v/>
      </c>
    </row>
    <row r="13446" spans="15:15" x14ac:dyDescent="0.25">
      <c r="O13446" s="20" t="str">
        <f>IF(N13446="","",COUNTIFS(RawData[[Date ]],N13446,RawData[Month List],$Q$6,RawData[Tour/Site],$Q$2,RawData[[Picker ID ]],$Q$3,RawData[Checker ID],$Q$4,RawData[[Error Type ]],$Q$5))</f>
        <v/>
      </c>
    </row>
    <row r="13447" spans="15:15" x14ac:dyDescent="0.25">
      <c r="O13447" s="20" t="str">
        <f>IF(N13447="","",COUNTIFS(RawData[[Date ]],N13447,RawData[Month List],$Q$6,RawData[Tour/Site],$Q$2,RawData[[Picker ID ]],$Q$3,RawData[Checker ID],$Q$4,RawData[[Error Type ]],$Q$5))</f>
        <v/>
      </c>
    </row>
    <row r="13448" spans="15:15" x14ac:dyDescent="0.25">
      <c r="O13448" s="20" t="str">
        <f>IF(N13448="","",COUNTIFS(RawData[[Date ]],N13448,RawData[Month List],$Q$6,RawData[Tour/Site],$Q$2,RawData[[Picker ID ]],$Q$3,RawData[Checker ID],$Q$4,RawData[[Error Type ]],$Q$5))</f>
        <v/>
      </c>
    </row>
    <row r="13449" spans="15:15" x14ac:dyDescent="0.25">
      <c r="O13449" s="20" t="str">
        <f>IF(N13449="","",COUNTIFS(RawData[[Date ]],N13449,RawData[Month List],$Q$6,RawData[Tour/Site],$Q$2,RawData[[Picker ID ]],$Q$3,RawData[Checker ID],$Q$4,RawData[[Error Type ]],$Q$5))</f>
        <v/>
      </c>
    </row>
    <row r="13450" spans="15:15" x14ac:dyDescent="0.25">
      <c r="O13450" s="20" t="str">
        <f>IF(N13450="","",COUNTIFS(RawData[[Date ]],N13450,RawData[Month List],$Q$6,RawData[Tour/Site],$Q$2,RawData[[Picker ID ]],$Q$3,RawData[Checker ID],$Q$4,RawData[[Error Type ]],$Q$5))</f>
        <v/>
      </c>
    </row>
    <row r="13451" spans="15:15" x14ac:dyDescent="0.25">
      <c r="O13451" s="20" t="str">
        <f>IF(N13451="","",COUNTIFS(RawData[[Date ]],N13451,RawData[Month List],$Q$6,RawData[Tour/Site],$Q$2,RawData[[Picker ID ]],$Q$3,RawData[Checker ID],$Q$4,RawData[[Error Type ]],$Q$5))</f>
        <v/>
      </c>
    </row>
    <row r="13452" spans="15:15" x14ac:dyDescent="0.25">
      <c r="O13452" s="20" t="str">
        <f>IF(N13452="","",COUNTIFS(RawData[[Date ]],N13452,RawData[Month List],$Q$6,RawData[Tour/Site],$Q$2,RawData[[Picker ID ]],$Q$3,RawData[Checker ID],$Q$4,RawData[[Error Type ]],$Q$5))</f>
        <v/>
      </c>
    </row>
    <row r="13453" spans="15:15" x14ac:dyDescent="0.25">
      <c r="O13453" s="20" t="str">
        <f>IF(N13453="","",COUNTIFS(RawData[[Date ]],N13453,RawData[Month List],$Q$6,RawData[Tour/Site],$Q$2,RawData[[Picker ID ]],$Q$3,RawData[Checker ID],$Q$4,RawData[[Error Type ]],$Q$5))</f>
        <v/>
      </c>
    </row>
    <row r="13454" spans="15:15" x14ac:dyDescent="0.25">
      <c r="O13454" s="20" t="str">
        <f>IF(N13454="","",COUNTIFS(RawData[[Date ]],N13454,RawData[Month List],$Q$6,RawData[Tour/Site],$Q$2,RawData[[Picker ID ]],$Q$3,RawData[Checker ID],$Q$4,RawData[[Error Type ]],$Q$5))</f>
        <v/>
      </c>
    </row>
    <row r="13455" spans="15:15" x14ac:dyDescent="0.25">
      <c r="O13455" s="20" t="str">
        <f>IF(N13455="","",COUNTIFS(RawData[[Date ]],N13455,RawData[Month List],$Q$6,RawData[Tour/Site],$Q$2,RawData[[Picker ID ]],$Q$3,RawData[Checker ID],$Q$4,RawData[[Error Type ]],$Q$5))</f>
        <v/>
      </c>
    </row>
    <row r="13456" spans="15:15" x14ac:dyDescent="0.25">
      <c r="O13456" s="20" t="str">
        <f>IF(N13456="","",COUNTIFS(RawData[[Date ]],N13456,RawData[Month List],$Q$6,RawData[Tour/Site],$Q$2,RawData[[Picker ID ]],$Q$3,RawData[Checker ID],$Q$4,RawData[[Error Type ]],$Q$5))</f>
        <v/>
      </c>
    </row>
    <row r="13457" spans="15:15" x14ac:dyDescent="0.25">
      <c r="O13457" s="20" t="str">
        <f>IF(N13457="","",COUNTIFS(RawData[[Date ]],N13457,RawData[Month List],$Q$6,RawData[Tour/Site],$Q$2,RawData[[Picker ID ]],$Q$3,RawData[Checker ID],$Q$4,RawData[[Error Type ]],$Q$5))</f>
        <v/>
      </c>
    </row>
    <row r="13458" spans="15:15" x14ac:dyDescent="0.25">
      <c r="O13458" s="20" t="str">
        <f>IF(N13458="","",COUNTIFS(RawData[[Date ]],N13458,RawData[Month List],$Q$6,RawData[Tour/Site],$Q$2,RawData[[Picker ID ]],$Q$3,RawData[Checker ID],$Q$4,RawData[[Error Type ]],$Q$5))</f>
        <v/>
      </c>
    </row>
    <row r="13459" spans="15:15" x14ac:dyDescent="0.25">
      <c r="O13459" s="20" t="str">
        <f>IF(N13459="","",COUNTIFS(RawData[[Date ]],N13459,RawData[Month List],$Q$6,RawData[Tour/Site],$Q$2,RawData[[Picker ID ]],$Q$3,RawData[Checker ID],$Q$4,RawData[[Error Type ]],$Q$5))</f>
        <v/>
      </c>
    </row>
    <row r="13460" spans="15:15" x14ac:dyDescent="0.25">
      <c r="O13460" s="20" t="str">
        <f>IF(N13460="","",COUNTIFS(RawData[[Date ]],N13460,RawData[Month List],$Q$6,RawData[Tour/Site],$Q$2,RawData[[Picker ID ]],$Q$3,RawData[Checker ID],$Q$4,RawData[[Error Type ]],$Q$5))</f>
        <v/>
      </c>
    </row>
    <row r="13461" spans="15:15" x14ac:dyDescent="0.25">
      <c r="O13461" s="20" t="str">
        <f>IF(N13461="","",COUNTIFS(RawData[[Date ]],N13461,RawData[Month List],$Q$6,RawData[Tour/Site],$Q$2,RawData[[Picker ID ]],$Q$3,RawData[Checker ID],$Q$4,RawData[[Error Type ]],$Q$5))</f>
        <v/>
      </c>
    </row>
    <row r="13462" spans="15:15" x14ac:dyDescent="0.25">
      <c r="O13462" s="20" t="str">
        <f>IF(N13462="","",COUNTIFS(RawData[[Date ]],N13462,RawData[Month List],$Q$6,RawData[Tour/Site],$Q$2,RawData[[Picker ID ]],$Q$3,RawData[Checker ID],$Q$4,RawData[[Error Type ]],$Q$5))</f>
        <v/>
      </c>
    </row>
    <row r="13463" spans="15:15" x14ac:dyDescent="0.25">
      <c r="O13463" s="20" t="str">
        <f>IF(N13463="","",COUNTIFS(RawData[[Date ]],N13463,RawData[Month List],$Q$6,RawData[Tour/Site],$Q$2,RawData[[Picker ID ]],$Q$3,RawData[Checker ID],$Q$4,RawData[[Error Type ]],$Q$5))</f>
        <v/>
      </c>
    </row>
    <row r="13464" spans="15:15" x14ac:dyDescent="0.25">
      <c r="O13464" s="20" t="str">
        <f>IF(N13464="","",COUNTIFS(RawData[[Date ]],N13464,RawData[Month List],$Q$6,RawData[Tour/Site],$Q$2,RawData[[Picker ID ]],$Q$3,RawData[Checker ID],$Q$4,RawData[[Error Type ]],$Q$5))</f>
        <v/>
      </c>
    </row>
    <row r="13465" spans="15:15" x14ac:dyDescent="0.25">
      <c r="O13465" s="20" t="str">
        <f>IF(N13465="","",COUNTIFS(RawData[[Date ]],N13465,RawData[Month List],$Q$6,RawData[Tour/Site],$Q$2,RawData[[Picker ID ]],$Q$3,RawData[Checker ID],$Q$4,RawData[[Error Type ]],$Q$5))</f>
        <v/>
      </c>
    </row>
    <row r="13466" spans="15:15" x14ac:dyDescent="0.25">
      <c r="O13466" s="20" t="str">
        <f>IF(N13466="","",COUNTIFS(RawData[[Date ]],N13466,RawData[Month List],$Q$6,RawData[Tour/Site],$Q$2,RawData[[Picker ID ]],$Q$3,RawData[Checker ID],$Q$4,RawData[[Error Type ]],$Q$5))</f>
        <v/>
      </c>
    </row>
    <row r="13467" spans="15:15" x14ac:dyDescent="0.25">
      <c r="O13467" s="20" t="str">
        <f>IF(N13467="","",COUNTIFS(RawData[[Date ]],N13467,RawData[Month List],$Q$6,RawData[Tour/Site],$Q$2,RawData[[Picker ID ]],$Q$3,RawData[Checker ID],$Q$4,RawData[[Error Type ]],$Q$5))</f>
        <v/>
      </c>
    </row>
    <row r="13468" spans="15:15" x14ac:dyDescent="0.25">
      <c r="O13468" s="20" t="str">
        <f>IF(N13468="","",COUNTIFS(RawData[[Date ]],N13468,RawData[Month List],$Q$6,RawData[Tour/Site],$Q$2,RawData[[Picker ID ]],$Q$3,RawData[Checker ID],$Q$4,RawData[[Error Type ]],$Q$5))</f>
        <v/>
      </c>
    </row>
    <row r="13469" spans="15:15" x14ac:dyDescent="0.25">
      <c r="O13469" s="20" t="str">
        <f>IF(N13469="","",COUNTIFS(RawData[[Date ]],N13469,RawData[Month List],$Q$6,RawData[Tour/Site],$Q$2,RawData[[Picker ID ]],$Q$3,RawData[Checker ID],$Q$4,RawData[[Error Type ]],$Q$5))</f>
        <v/>
      </c>
    </row>
    <row r="13470" spans="15:15" x14ac:dyDescent="0.25">
      <c r="O13470" s="20" t="str">
        <f>IF(N13470="","",COUNTIFS(RawData[[Date ]],N13470,RawData[Month List],$Q$6,RawData[Tour/Site],$Q$2,RawData[[Picker ID ]],$Q$3,RawData[Checker ID],$Q$4,RawData[[Error Type ]],$Q$5))</f>
        <v/>
      </c>
    </row>
    <row r="13471" spans="15:15" x14ac:dyDescent="0.25">
      <c r="O13471" s="20" t="str">
        <f>IF(N13471="","",COUNTIFS(RawData[[Date ]],N13471,RawData[Month List],$Q$6,RawData[Tour/Site],$Q$2,RawData[[Picker ID ]],$Q$3,RawData[Checker ID],$Q$4,RawData[[Error Type ]],$Q$5))</f>
        <v/>
      </c>
    </row>
    <row r="13472" spans="15:15" x14ac:dyDescent="0.25">
      <c r="O13472" s="20" t="str">
        <f>IF(N13472="","",COUNTIFS(RawData[[Date ]],N13472,RawData[Month List],$Q$6,RawData[Tour/Site],$Q$2,RawData[[Picker ID ]],$Q$3,RawData[Checker ID],$Q$4,RawData[[Error Type ]],$Q$5))</f>
        <v/>
      </c>
    </row>
    <row r="13473" spans="15:15" x14ac:dyDescent="0.25">
      <c r="O13473" s="20" t="str">
        <f>IF(N13473="","",COUNTIFS(RawData[[Date ]],N13473,RawData[Month List],$Q$6,RawData[Tour/Site],$Q$2,RawData[[Picker ID ]],$Q$3,RawData[Checker ID],$Q$4,RawData[[Error Type ]],$Q$5))</f>
        <v/>
      </c>
    </row>
    <row r="13474" spans="15:15" x14ac:dyDescent="0.25">
      <c r="O13474" s="20" t="str">
        <f>IF(N13474="","",COUNTIFS(RawData[[Date ]],N13474,RawData[Month List],$Q$6,RawData[Tour/Site],$Q$2,RawData[[Picker ID ]],$Q$3,RawData[Checker ID],$Q$4,RawData[[Error Type ]],$Q$5))</f>
        <v/>
      </c>
    </row>
    <row r="13475" spans="15:15" x14ac:dyDescent="0.25">
      <c r="O13475" s="20" t="str">
        <f>IF(N13475="","",COUNTIFS(RawData[[Date ]],N13475,RawData[Month List],$Q$6,RawData[Tour/Site],$Q$2,RawData[[Picker ID ]],$Q$3,RawData[Checker ID],$Q$4,RawData[[Error Type ]],$Q$5))</f>
        <v/>
      </c>
    </row>
    <row r="13476" spans="15:15" x14ac:dyDescent="0.25">
      <c r="O13476" s="20" t="str">
        <f>IF(N13476="","",COUNTIFS(RawData[[Date ]],N13476,RawData[Month List],$Q$6,RawData[Tour/Site],$Q$2,RawData[[Picker ID ]],$Q$3,RawData[Checker ID],$Q$4,RawData[[Error Type ]],$Q$5))</f>
        <v/>
      </c>
    </row>
    <row r="13477" spans="15:15" x14ac:dyDescent="0.25">
      <c r="O13477" s="20" t="str">
        <f>IF(N13477="","",COUNTIFS(RawData[[Date ]],N13477,RawData[Month List],$Q$6,RawData[Tour/Site],$Q$2,RawData[[Picker ID ]],$Q$3,RawData[Checker ID],$Q$4,RawData[[Error Type ]],$Q$5))</f>
        <v/>
      </c>
    </row>
    <row r="13478" spans="15:15" x14ac:dyDescent="0.25">
      <c r="O13478" s="20" t="str">
        <f>IF(N13478="","",COUNTIFS(RawData[[Date ]],N13478,RawData[Month List],$Q$6,RawData[Tour/Site],$Q$2,RawData[[Picker ID ]],$Q$3,RawData[Checker ID],$Q$4,RawData[[Error Type ]],$Q$5))</f>
        <v/>
      </c>
    </row>
    <row r="13479" spans="15:15" x14ac:dyDescent="0.25">
      <c r="O13479" s="20" t="str">
        <f>IF(N13479="","",COUNTIFS(RawData[[Date ]],N13479,RawData[Month List],$Q$6,RawData[Tour/Site],$Q$2,RawData[[Picker ID ]],$Q$3,RawData[Checker ID],$Q$4,RawData[[Error Type ]],$Q$5))</f>
        <v/>
      </c>
    </row>
    <row r="13480" spans="15:15" x14ac:dyDescent="0.25">
      <c r="O13480" s="20" t="str">
        <f>IF(N13480="","",COUNTIFS(RawData[[Date ]],N13480,RawData[Month List],$Q$6,RawData[Tour/Site],$Q$2,RawData[[Picker ID ]],$Q$3,RawData[Checker ID],$Q$4,RawData[[Error Type ]],$Q$5))</f>
        <v/>
      </c>
    </row>
    <row r="13481" spans="15:15" x14ac:dyDescent="0.25">
      <c r="O13481" s="20" t="str">
        <f>IF(N13481="","",COUNTIFS(RawData[[Date ]],N13481,RawData[Month List],$Q$6,RawData[Tour/Site],$Q$2,RawData[[Picker ID ]],$Q$3,RawData[Checker ID],$Q$4,RawData[[Error Type ]],$Q$5))</f>
        <v/>
      </c>
    </row>
    <row r="13482" spans="15:15" x14ac:dyDescent="0.25">
      <c r="O13482" s="20" t="str">
        <f>IF(N13482="","",COUNTIFS(RawData[[Date ]],N13482,RawData[Month List],$Q$6,RawData[Tour/Site],$Q$2,RawData[[Picker ID ]],$Q$3,RawData[Checker ID],$Q$4,RawData[[Error Type ]],$Q$5))</f>
        <v/>
      </c>
    </row>
    <row r="13483" spans="15:15" x14ac:dyDescent="0.25">
      <c r="O13483" s="20" t="str">
        <f>IF(N13483="","",COUNTIFS(RawData[[Date ]],N13483,RawData[Month List],$Q$6,RawData[Tour/Site],$Q$2,RawData[[Picker ID ]],$Q$3,RawData[Checker ID],$Q$4,RawData[[Error Type ]],$Q$5))</f>
        <v/>
      </c>
    </row>
    <row r="13484" spans="15:15" x14ac:dyDescent="0.25">
      <c r="O13484" s="20" t="str">
        <f>IF(N13484="","",COUNTIFS(RawData[[Date ]],N13484,RawData[Month List],$Q$6,RawData[Tour/Site],$Q$2,RawData[[Picker ID ]],$Q$3,RawData[Checker ID],$Q$4,RawData[[Error Type ]],$Q$5))</f>
        <v/>
      </c>
    </row>
    <row r="13485" spans="15:15" x14ac:dyDescent="0.25">
      <c r="O13485" s="20" t="str">
        <f>IF(N13485="","",COUNTIFS(RawData[[Date ]],N13485,RawData[Month List],$Q$6,RawData[Tour/Site],$Q$2,RawData[[Picker ID ]],$Q$3,RawData[Checker ID],$Q$4,RawData[[Error Type ]],$Q$5))</f>
        <v/>
      </c>
    </row>
    <row r="13486" spans="15:15" x14ac:dyDescent="0.25">
      <c r="O13486" s="20" t="str">
        <f>IF(N13486="","",COUNTIFS(RawData[[Date ]],N13486,RawData[Month List],$Q$6,RawData[Tour/Site],$Q$2,RawData[[Picker ID ]],$Q$3,RawData[Checker ID],$Q$4,RawData[[Error Type ]],$Q$5))</f>
        <v/>
      </c>
    </row>
    <row r="13487" spans="15:15" x14ac:dyDescent="0.25">
      <c r="O13487" s="20" t="str">
        <f>IF(N13487="","",COUNTIFS(RawData[[Date ]],N13487,RawData[Month List],$Q$6,RawData[Tour/Site],$Q$2,RawData[[Picker ID ]],$Q$3,RawData[Checker ID],$Q$4,RawData[[Error Type ]],$Q$5))</f>
        <v/>
      </c>
    </row>
    <row r="13488" spans="15:15" x14ac:dyDescent="0.25">
      <c r="O13488" s="20" t="str">
        <f>IF(N13488="","",COUNTIFS(RawData[[Date ]],N13488,RawData[Month List],$Q$6,RawData[Tour/Site],$Q$2,RawData[[Picker ID ]],$Q$3,RawData[Checker ID],$Q$4,RawData[[Error Type ]],$Q$5))</f>
        <v/>
      </c>
    </row>
    <row r="13489" spans="15:15" x14ac:dyDescent="0.25">
      <c r="O13489" s="20" t="str">
        <f>IF(N13489="","",COUNTIFS(RawData[[Date ]],N13489,RawData[Month List],$Q$6,RawData[Tour/Site],$Q$2,RawData[[Picker ID ]],$Q$3,RawData[Checker ID],$Q$4,RawData[[Error Type ]],$Q$5))</f>
        <v/>
      </c>
    </row>
    <row r="13490" spans="15:15" x14ac:dyDescent="0.25">
      <c r="O13490" s="20" t="str">
        <f>IF(N13490="","",COUNTIFS(RawData[[Date ]],N13490,RawData[Month List],$Q$6,RawData[Tour/Site],$Q$2,RawData[[Picker ID ]],$Q$3,RawData[Checker ID],$Q$4,RawData[[Error Type ]],$Q$5))</f>
        <v/>
      </c>
    </row>
    <row r="13491" spans="15:15" x14ac:dyDescent="0.25">
      <c r="O13491" s="20" t="str">
        <f>IF(N13491="","",COUNTIFS(RawData[[Date ]],N13491,RawData[Month List],$Q$6,RawData[Tour/Site],$Q$2,RawData[[Picker ID ]],$Q$3,RawData[Checker ID],$Q$4,RawData[[Error Type ]],$Q$5))</f>
        <v/>
      </c>
    </row>
    <row r="13492" spans="15:15" x14ac:dyDescent="0.25">
      <c r="O13492" s="20" t="str">
        <f>IF(N13492="","",COUNTIFS(RawData[[Date ]],N13492,RawData[Month List],$Q$6,RawData[Tour/Site],$Q$2,RawData[[Picker ID ]],$Q$3,RawData[Checker ID],$Q$4,RawData[[Error Type ]],$Q$5))</f>
        <v/>
      </c>
    </row>
    <row r="13493" spans="15:15" x14ac:dyDescent="0.25">
      <c r="O13493" s="20" t="str">
        <f>IF(N13493="","",COUNTIFS(RawData[[Date ]],N13493,RawData[Month List],$Q$6,RawData[Tour/Site],$Q$2,RawData[[Picker ID ]],$Q$3,RawData[Checker ID],$Q$4,RawData[[Error Type ]],$Q$5))</f>
        <v/>
      </c>
    </row>
    <row r="13494" spans="15:15" x14ac:dyDescent="0.25">
      <c r="O13494" s="20" t="str">
        <f>IF(N13494="","",COUNTIFS(RawData[[Date ]],N13494,RawData[Month List],$Q$6,RawData[Tour/Site],$Q$2,RawData[[Picker ID ]],$Q$3,RawData[Checker ID],$Q$4,RawData[[Error Type ]],$Q$5))</f>
        <v/>
      </c>
    </row>
    <row r="13495" spans="15:15" x14ac:dyDescent="0.25">
      <c r="O13495" s="20" t="str">
        <f>IF(N13495="","",COUNTIFS(RawData[[Date ]],N13495,RawData[Month List],$Q$6,RawData[Tour/Site],$Q$2,RawData[[Picker ID ]],$Q$3,RawData[Checker ID],$Q$4,RawData[[Error Type ]],$Q$5))</f>
        <v/>
      </c>
    </row>
    <row r="13496" spans="15:15" x14ac:dyDescent="0.25">
      <c r="O13496" s="20" t="str">
        <f>IF(N13496="","",COUNTIFS(RawData[[Date ]],N13496,RawData[Month List],$Q$6,RawData[Tour/Site],$Q$2,RawData[[Picker ID ]],$Q$3,RawData[Checker ID],$Q$4,RawData[[Error Type ]],$Q$5))</f>
        <v/>
      </c>
    </row>
    <row r="13497" spans="15:15" x14ac:dyDescent="0.25">
      <c r="O13497" s="20" t="str">
        <f>IF(N13497="","",COUNTIFS(RawData[[Date ]],N13497,RawData[Month List],$Q$6,RawData[Tour/Site],$Q$2,RawData[[Picker ID ]],$Q$3,RawData[Checker ID],$Q$4,RawData[[Error Type ]],$Q$5))</f>
        <v/>
      </c>
    </row>
    <row r="13498" spans="15:15" x14ac:dyDescent="0.25">
      <c r="O13498" s="20" t="str">
        <f>IF(N13498="","",COUNTIFS(RawData[[Date ]],N13498,RawData[Month List],$Q$6,RawData[Tour/Site],$Q$2,RawData[[Picker ID ]],$Q$3,RawData[Checker ID],$Q$4,RawData[[Error Type ]],$Q$5))</f>
        <v/>
      </c>
    </row>
    <row r="13499" spans="15:15" x14ac:dyDescent="0.25">
      <c r="O13499" s="20" t="str">
        <f>IF(N13499="","",COUNTIFS(RawData[[Date ]],N13499,RawData[Month List],$Q$6,RawData[Tour/Site],$Q$2,RawData[[Picker ID ]],$Q$3,RawData[Checker ID],$Q$4,RawData[[Error Type ]],$Q$5))</f>
        <v/>
      </c>
    </row>
    <row r="13500" spans="15:15" x14ac:dyDescent="0.25">
      <c r="O13500" s="20" t="str">
        <f>IF(N13500="","",COUNTIFS(RawData[[Date ]],N13500,RawData[Month List],$Q$6,RawData[Tour/Site],$Q$2,RawData[[Picker ID ]],$Q$3,RawData[Checker ID],$Q$4,RawData[[Error Type ]],$Q$5))</f>
        <v/>
      </c>
    </row>
    <row r="13501" spans="15:15" x14ac:dyDescent="0.25">
      <c r="O13501" s="20" t="str">
        <f>IF(N13501="","",COUNTIFS(RawData[[Date ]],N13501,RawData[Month List],$Q$6,RawData[Tour/Site],$Q$2,RawData[[Picker ID ]],$Q$3,RawData[Checker ID],$Q$4,RawData[[Error Type ]],$Q$5))</f>
        <v/>
      </c>
    </row>
    <row r="13502" spans="15:15" x14ac:dyDescent="0.25">
      <c r="O13502" s="20" t="str">
        <f>IF(N13502="","",COUNTIFS(RawData[[Date ]],N13502,RawData[Month List],$Q$6,RawData[Tour/Site],$Q$2,RawData[[Picker ID ]],$Q$3,RawData[Checker ID],$Q$4,RawData[[Error Type ]],$Q$5))</f>
        <v/>
      </c>
    </row>
    <row r="13503" spans="15:15" x14ac:dyDescent="0.25">
      <c r="O13503" s="20" t="str">
        <f>IF(N13503="","",COUNTIFS(RawData[[Date ]],N13503,RawData[Month List],$Q$6,RawData[Tour/Site],$Q$2,RawData[[Picker ID ]],$Q$3,RawData[Checker ID],$Q$4,RawData[[Error Type ]],$Q$5))</f>
        <v/>
      </c>
    </row>
    <row r="13504" spans="15:15" x14ac:dyDescent="0.25">
      <c r="O13504" s="20" t="str">
        <f>IF(N13504="","",COUNTIFS(RawData[[Date ]],N13504,RawData[Month List],$Q$6,RawData[Tour/Site],$Q$2,RawData[[Picker ID ]],$Q$3,RawData[Checker ID],$Q$4,RawData[[Error Type ]],$Q$5))</f>
        <v/>
      </c>
    </row>
    <row r="13505" spans="15:15" x14ac:dyDescent="0.25">
      <c r="O13505" s="20" t="str">
        <f>IF(N13505="","",COUNTIFS(RawData[[Date ]],N13505,RawData[Month List],$Q$6,RawData[Tour/Site],$Q$2,RawData[[Picker ID ]],$Q$3,RawData[Checker ID],$Q$4,RawData[[Error Type ]],$Q$5))</f>
        <v/>
      </c>
    </row>
    <row r="13506" spans="15:15" x14ac:dyDescent="0.25">
      <c r="O13506" s="20" t="str">
        <f>IF(N13506="","",COUNTIFS(RawData[[Date ]],N13506,RawData[Month List],$Q$6,RawData[Tour/Site],$Q$2,RawData[[Picker ID ]],$Q$3,RawData[Checker ID],$Q$4,RawData[[Error Type ]],$Q$5))</f>
        <v/>
      </c>
    </row>
    <row r="13507" spans="15:15" x14ac:dyDescent="0.25">
      <c r="O13507" s="20" t="str">
        <f>IF(N13507="","",COUNTIFS(RawData[[Date ]],N13507,RawData[Month List],$Q$6,RawData[Tour/Site],$Q$2,RawData[[Picker ID ]],$Q$3,RawData[Checker ID],$Q$4,RawData[[Error Type ]],$Q$5))</f>
        <v/>
      </c>
    </row>
    <row r="13508" spans="15:15" x14ac:dyDescent="0.25">
      <c r="O13508" s="20" t="str">
        <f>IF(N13508="","",COUNTIFS(RawData[[Date ]],N13508,RawData[Month List],$Q$6,RawData[Tour/Site],$Q$2,RawData[[Picker ID ]],$Q$3,RawData[Checker ID],$Q$4,RawData[[Error Type ]],$Q$5))</f>
        <v/>
      </c>
    </row>
    <row r="13509" spans="15:15" x14ac:dyDescent="0.25">
      <c r="O13509" s="20" t="str">
        <f>IF(N13509="","",COUNTIFS(RawData[[Date ]],N13509,RawData[Month List],$Q$6,RawData[Tour/Site],$Q$2,RawData[[Picker ID ]],$Q$3,RawData[Checker ID],$Q$4,RawData[[Error Type ]],$Q$5))</f>
        <v/>
      </c>
    </row>
    <row r="13510" spans="15:15" x14ac:dyDescent="0.25">
      <c r="O13510" s="20" t="str">
        <f>IF(N13510="","",COUNTIFS(RawData[[Date ]],N13510,RawData[Month List],$Q$6,RawData[Tour/Site],$Q$2,RawData[[Picker ID ]],$Q$3,RawData[Checker ID],$Q$4,RawData[[Error Type ]],$Q$5))</f>
        <v/>
      </c>
    </row>
    <row r="13511" spans="15:15" x14ac:dyDescent="0.25">
      <c r="O13511" s="20" t="str">
        <f>IF(N13511="","",COUNTIFS(RawData[[Date ]],N13511,RawData[Month List],$Q$6,RawData[Tour/Site],$Q$2,RawData[[Picker ID ]],$Q$3,RawData[Checker ID],$Q$4,RawData[[Error Type ]],$Q$5))</f>
        <v/>
      </c>
    </row>
    <row r="13512" spans="15:15" x14ac:dyDescent="0.25">
      <c r="O13512" s="20" t="str">
        <f>IF(N13512="","",COUNTIFS(RawData[[Date ]],N13512,RawData[Month List],$Q$6,RawData[Tour/Site],$Q$2,RawData[[Picker ID ]],$Q$3,RawData[Checker ID],$Q$4,RawData[[Error Type ]],$Q$5))</f>
        <v/>
      </c>
    </row>
    <row r="13513" spans="15:15" x14ac:dyDescent="0.25">
      <c r="O13513" s="20" t="str">
        <f>IF(N13513="","",COUNTIFS(RawData[[Date ]],N13513,RawData[Month List],$Q$6,RawData[Tour/Site],$Q$2,RawData[[Picker ID ]],$Q$3,RawData[Checker ID],$Q$4,RawData[[Error Type ]],$Q$5))</f>
        <v/>
      </c>
    </row>
    <row r="13514" spans="15:15" x14ac:dyDescent="0.25">
      <c r="O13514" s="20" t="str">
        <f>IF(N13514="","",COUNTIFS(RawData[[Date ]],N13514,RawData[Month List],$Q$6,RawData[Tour/Site],$Q$2,RawData[[Picker ID ]],$Q$3,RawData[Checker ID],$Q$4,RawData[[Error Type ]],$Q$5))</f>
        <v/>
      </c>
    </row>
    <row r="13515" spans="15:15" x14ac:dyDescent="0.25">
      <c r="O13515" s="20" t="str">
        <f>IF(N13515="","",COUNTIFS(RawData[[Date ]],N13515,RawData[Month List],$Q$6,RawData[Tour/Site],$Q$2,RawData[[Picker ID ]],$Q$3,RawData[Checker ID],$Q$4,RawData[[Error Type ]],$Q$5))</f>
        <v/>
      </c>
    </row>
    <row r="13516" spans="15:15" x14ac:dyDescent="0.25">
      <c r="O13516" s="20" t="str">
        <f>IF(N13516="","",COUNTIFS(RawData[[Date ]],N13516,RawData[Month List],$Q$6,RawData[Tour/Site],$Q$2,RawData[[Picker ID ]],$Q$3,RawData[Checker ID],$Q$4,RawData[[Error Type ]],$Q$5))</f>
        <v/>
      </c>
    </row>
    <row r="13517" spans="15:15" x14ac:dyDescent="0.25">
      <c r="O13517" s="20" t="str">
        <f>IF(N13517="","",COUNTIFS(RawData[[Date ]],N13517,RawData[Month List],$Q$6,RawData[Tour/Site],$Q$2,RawData[[Picker ID ]],$Q$3,RawData[Checker ID],$Q$4,RawData[[Error Type ]],$Q$5))</f>
        <v/>
      </c>
    </row>
    <row r="13518" spans="15:15" x14ac:dyDescent="0.25">
      <c r="O13518" s="20" t="str">
        <f>IF(N13518="","",COUNTIFS(RawData[[Date ]],N13518,RawData[Month List],$Q$6,RawData[Tour/Site],$Q$2,RawData[[Picker ID ]],$Q$3,RawData[Checker ID],$Q$4,RawData[[Error Type ]],$Q$5))</f>
        <v/>
      </c>
    </row>
    <row r="13519" spans="15:15" x14ac:dyDescent="0.25">
      <c r="O13519" s="20" t="str">
        <f>IF(N13519="","",COUNTIFS(RawData[[Date ]],N13519,RawData[Month List],$Q$6,RawData[Tour/Site],$Q$2,RawData[[Picker ID ]],$Q$3,RawData[Checker ID],$Q$4,RawData[[Error Type ]],$Q$5))</f>
        <v/>
      </c>
    </row>
    <row r="13520" spans="15:15" x14ac:dyDescent="0.25">
      <c r="O13520" s="20" t="str">
        <f>IF(N13520="","",COUNTIFS(RawData[[Date ]],N13520,RawData[Month List],$Q$6,RawData[Tour/Site],$Q$2,RawData[[Picker ID ]],$Q$3,RawData[Checker ID],$Q$4,RawData[[Error Type ]],$Q$5))</f>
        <v/>
      </c>
    </row>
    <row r="13521" spans="15:15" x14ac:dyDescent="0.25">
      <c r="O13521" s="20" t="str">
        <f>IF(N13521="","",COUNTIFS(RawData[[Date ]],N13521,RawData[Month List],$Q$6,RawData[Tour/Site],$Q$2,RawData[[Picker ID ]],$Q$3,RawData[Checker ID],$Q$4,RawData[[Error Type ]],$Q$5))</f>
        <v/>
      </c>
    </row>
    <row r="13522" spans="15:15" x14ac:dyDescent="0.25">
      <c r="O13522" s="20" t="str">
        <f>IF(N13522="","",COUNTIFS(RawData[[Date ]],N13522,RawData[Month List],$Q$6,RawData[Tour/Site],$Q$2,RawData[[Picker ID ]],$Q$3,RawData[Checker ID],$Q$4,RawData[[Error Type ]],$Q$5))</f>
        <v/>
      </c>
    </row>
    <row r="13523" spans="15:15" x14ac:dyDescent="0.25">
      <c r="O13523" s="20" t="str">
        <f>IF(N13523="","",COUNTIFS(RawData[[Date ]],N13523,RawData[Month List],$Q$6,RawData[Tour/Site],$Q$2,RawData[[Picker ID ]],$Q$3,RawData[Checker ID],$Q$4,RawData[[Error Type ]],$Q$5))</f>
        <v/>
      </c>
    </row>
    <row r="13524" spans="15:15" x14ac:dyDescent="0.25">
      <c r="O13524" s="20" t="str">
        <f>IF(N13524="","",COUNTIFS(RawData[[Date ]],N13524,RawData[Month List],$Q$6,RawData[Tour/Site],$Q$2,RawData[[Picker ID ]],$Q$3,RawData[Checker ID],$Q$4,RawData[[Error Type ]],$Q$5))</f>
        <v/>
      </c>
    </row>
    <row r="13525" spans="15:15" x14ac:dyDescent="0.25">
      <c r="O13525" s="20" t="str">
        <f>IF(N13525="","",COUNTIFS(RawData[[Date ]],N13525,RawData[Month List],$Q$6,RawData[Tour/Site],$Q$2,RawData[[Picker ID ]],$Q$3,RawData[Checker ID],$Q$4,RawData[[Error Type ]],$Q$5))</f>
        <v/>
      </c>
    </row>
    <row r="13526" spans="15:15" x14ac:dyDescent="0.25">
      <c r="O13526" s="20" t="str">
        <f>IF(N13526="","",COUNTIFS(RawData[[Date ]],N13526,RawData[Month List],$Q$6,RawData[Tour/Site],$Q$2,RawData[[Picker ID ]],$Q$3,RawData[Checker ID],$Q$4,RawData[[Error Type ]],$Q$5))</f>
        <v/>
      </c>
    </row>
    <row r="13527" spans="15:15" x14ac:dyDescent="0.25">
      <c r="O13527" s="20" t="str">
        <f>IF(N13527="","",COUNTIFS(RawData[[Date ]],N13527,RawData[Month List],$Q$6,RawData[Tour/Site],$Q$2,RawData[[Picker ID ]],$Q$3,RawData[Checker ID],$Q$4,RawData[[Error Type ]],$Q$5))</f>
        <v/>
      </c>
    </row>
    <row r="13528" spans="15:15" x14ac:dyDescent="0.25">
      <c r="O13528" s="20" t="str">
        <f>IF(N13528="","",COUNTIFS(RawData[[Date ]],N13528,RawData[Month List],$Q$6,RawData[Tour/Site],$Q$2,RawData[[Picker ID ]],$Q$3,RawData[Checker ID],$Q$4,RawData[[Error Type ]],$Q$5))</f>
        <v/>
      </c>
    </row>
    <row r="13529" spans="15:15" x14ac:dyDescent="0.25">
      <c r="O13529" s="20" t="str">
        <f>IF(N13529="","",COUNTIFS(RawData[[Date ]],N13529,RawData[Month List],$Q$6,RawData[Tour/Site],$Q$2,RawData[[Picker ID ]],$Q$3,RawData[Checker ID],$Q$4,RawData[[Error Type ]],$Q$5))</f>
        <v/>
      </c>
    </row>
    <row r="13530" spans="15:15" x14ac:dyDescent="0.25">
      <c r="O13530" s="20" t="str">
        <f>IF(N13530="","",COUNTIFS(RawData[[Date ]],N13530,RawData[Month List],$Q$6,RawData[Tour/Site],$Q$2,RawData[[Picker ID ]],$Q$3,RawData[Checker ID],$Q$4,RawData[[Error Type ]],$Q$5))</f>
        <v/>
      </c>
    </row>
    <row r="13531" spans="15:15" x14ac:dyDescent="0.25">
      <c r="O13531" s="20" t="str">
        <f>IF(N13531="","",COUNTIFS(RawData[[Date ]],N13531,RawData[Month List],$Q$6,RawData[Tour/Site],$Q$2,RawData[[Picker ID ]],$Q$3,RawData[Checker ID],$Q$4,RawData[[Error Type ]],$Q$5))</f>
        <v/>
      </c>
    </row>
    <row r="13532" spans="15:15" x14ac:dyDescent="0.25">
      <c r="O13532" s="20" t="str">
        <f>IF(N13532="","",COUNTIFS(RawData[[Date ]],N13532,RawData[Month List],$Q$6,RawData[Tour/Site],$Q$2,RawData[[Picker ID ]],$Q$3,RawData[Checker ID],$Q$4,RawData[[Error Type ]],$Q$5))</f>
        <v/>
      </c>
    </row>
    <row r="13533" spans="15:15" x14ac:dyDescent="0.25">
      <c r="O13533" s="20" t="str">
        <f>IF(N13533="","",COUNTIFS(RawData[[Date ]],N13533,RawData[Month List],$Q$6,RawData[Tour/Site],$Q$2,RawData[[Picker ID ]],$Q$3,RawData[Checker ID],$Q$4,RawData[[Error Type ]],$Q$5))</f>
        <v/>
      </c>
    </row>
    <row r="13534" spans="15:15" x14ac:dyDescent="0.25">
      <c r="O13534" s="20" t="str">
        <f>IF(N13534="","",COUNTIFS(RawData[[Date ]],N13534,RawData[Month List],$Q$6,RawData[Tour/Site],$Q$2,RawData[[Picker ID ]],$Q$3,RawData[Checker ID],$Q$4,RawData[[Error Type ]],$Q$5))</f>
        <v/>
      </c>
    </row>
    <row r="13535" spans="15:15" x14ac:dyDescent="0.25">
      <c r="O13535" s="20" t="str">
        <f>IF(N13535="","",COUNTIFS(RawData[[Date ]],N13535,RawData[Month List],$Q$6,RawData[Tour/Site],$Q$2,RawData[[Picker ID ]],$Q$3,RawData[Checker ID],$Q$4,RawData[[Error Type ]],$Q$5))</f>
        <v/>
      </c>
    </row>
    <row r="13536" spans="15:15" x14ac:dyDescent="0.25">
      <c r="O13536" s="20" t="str">
        <f>IF(N13536="","",COUNTIFS(RawData[[Date ]],N13536,RawData[Month List],$Q$6,RawData[Tour/Site],$Q$2,RawData[[Picker ID ]],$Q$3,RawData[Checker ID],$Q$4,RawData[[Error Type ]],$Q$5))</f>
        <v/>
      </c>
    </row>
    <row r="13537" spans="15:15" x14ac:dyDescent="0.25">
      <c r="O13537" s="20" t="str">
        <f>IF(N13537="","",COUNTIFS(RawData[[Date ]],N13537,RawData[Month List],$Q$6,RawData[Tour/Site],$Q$2,RawData[[Picker ID ]],$Q$3,RawData[Checker ID],$Q$4,RawData[[Error Type ]],$Q$5))</f>
        <v/>
      </c>
    </row>
    <row r="13538" spans="15:15" x14ac:dyDescent="0.25">
      <c r="O13538" s="20" t="str">
        <f>IF(N13538="","",COUNTIFS(RawData[[Date ]],N13538,RawData[Month List],$Q$6,RawData[Tour/Site],$Q$2,RawData[[Picker ID ]],$Q$3,RawData[Checker ID],$Q$4,RawData[[Error Type ]],$Q$5))</f>
        <v/>
      </c>
    </row>
    <row r="13539" spans="15:15" x14ac:dyDescent="0.25">
      <c r="O13539" s="20" t="str">
        <f>IF(N13539="","",COUNTIFS(RawData[[Date ]],N13539,RawData[Month List],$Q$6,RawData[Tour/Site],$Q$2,RawData[[Picker ID ]],$Q$3,RawData[Checker ID],$Q$4,RawData[[Error Type ]],$Q$5))</f>
        <v/>
      </c>
    </row>
    <row r="13540" spans="15:15" x14ac:dyDescent="0.25">
      <c r="O13540" s="20" t="str">
        <f>IF(N13540="","",COUNTIFS(RawData[[Date ]],N13540,RawData[Month List],$Q$6,RawData[Tour/Site],$Q$2,RawData[[Picker ID ]],$Q$3,RawData[Checker ID],$Q$4,RawData[[Error Type ]],$Q$5))</f>
        <v/>
      </c>
    </row>
    <row r="13541" spans="15:15" x14ac:dyDescent="0.25">
      <c r="O13541" s="20" t="str">
        <f>IF(N13541="","",COUNTIFS(RawData[[Date ]],N13541,RawData[Month List],$Q$6,RawData[Tour/Site],$Q$2,RawData[[Picker ID ]],$Q$3,RawData[Checker ID],$Q$4,RawData[[Error Type ]],$Q$5))</f>
        <v/>
      </c>
    </row>
    <row r="13542" spans="15:15" x14ac:dyDescent="0.25">
      <c r="O13542" s="20" t="str">
        <f>IF(N13542="","",COUNTIFS(RawData[[Date ]],N13542,RawData[Month List],$Q$6,RawData[Tour/Site],$Q$2,RawData[[Picker ID ]],$Q$3,RawData[Checker ID],$Q$4,RawData[[Error Type ]],$Q$5))</f>
        <v/>
      </c>
    </row>
    <row r="13543" spans="15:15" x14ac:dyDescent="0.25">
      <c r="O13543" s="20" t="str">
        <f>IF(N13543="","",COUNTIFS(RawData[[Date ]],N13543,RawData[Month List],$Q$6,RawData[Tour/Site],$Q$2,RawData[[Picker ID ]],$Q$3,RawData[Checker ID],$Q$4,RawData[[Error Type ]],$Q$5))</f>
        <v/>
      </c>
    </row>
    <row r="13544" spans="15:15" x14ac:dyDescent="0.25">
      <c r="O13544" s="20" t="str">
        <f>IF(N13544="","",COUNTIFS(RawData[[Date ]],N13544,RawData[Month List],$Q$6,RawData[Tour/Site],$Q$2,RawData[[Picker ID ]],$Q$3,RawData[Checker ID],$Q$4,RawData[[Error Type ]],$Q$5))</f>
        <v/>
      </c>
    </row>
    <row r="13545" spans="15:15" x14ac:dyDescent="0.25">
      <c r="O13545" s="20" t="str">
        <f>IF(N13545="","",COUNTIFS(RawData[[Date ]],N13545,RawData[Month List],$Q$6,RawData[Tour/Site],$Q$2,RawData[[Picker ID ]],$Q$3,RawData[Checker ID],$Q$4,RawData[[Error Type ]],$Q$5))</f>
        <v/>
      </c>
    </row>
    <row r="13546" spans="15:15" x14ac:dyDescent="0.25">
      <c r="O13546" s="20" t="str">
        <f>IF(N13546="","",COUNTIFS(RawData[[Date ]],N13546,RawData[Month List],$Q$6,RawData[Tour/Site],$Q$2,RawData[[Picker ID ]],$Q$3,RawData[Checker ID],$Q$4,RawData[[Error Type ]],$Q$5))</f>
        <v/>
      </c>
    </row>
    <row r="13547" spans="15:15" x14ac:dyDescent="0.25">
      <c r="O13547" s="20" t="str">
        <f>IF(N13547="","",COUNTIFS(RawData[[Date ]],N13547,RawData[Month List],$Q$6,RawData[Tour/Site],$Q$2,RawData[[Picker ID ]],$Q$3,RawData[Checker ID],$Q$4,RawData[[Error Type ]],$Q$5))</f>
        <v/>
      </c>
    </row>
    <row r="13548" spans="15:15" x14ac:dyDescent="0.25">
      <c r="O13548" s="20" t="str">
        <f>IF(N13548="","",COUNTIFS(RawData[[Date ]],N13548,RawData[Month List],$Q$6,RawData[Tour/Site],$Q$2,RawData[[Picker ID ]],$Q$3,RawData[Checker ID],$Q$4,RawData[[Error Type ]],$Q$5))</f>
        <v/>
      </c>
    </row>
    <row r="13549" spans="15:15" x14ac:dyDescent="0.25">
      <c r="O13549" s="20" t="str">
        <f>IF(N13549="","",COUNTIFS(RawData[[Date ]],N13549,RawData[Month List],$Q$6,RawData[Tour/Site],$Q$2,RawData[[Picker ID ]],$Q$3,RawData[Checker ID],$Q$4,RawData[[Error Type ]],$Q$5))</f>
        <v/>
      </c>
    </row>
    <row r="13550" spans="15:15" x14ac:dyDescent="0.25">
      <c r="O13550" s="20" t="str">
        <f>IF(N13550="","",COUNTIFS(RawData[[Date ]],N13550,RawData[Month List],$Q$6,RawData[Tour/Site],$Q$2,RawData[[Picker ID ]],$Q$3,RawData[Checker ID],$Q$4,RawData[[Error Type ]],$Q$5))</f>
        <v/>
      </c>
    </row>
    <row r="13551" spans="15:15" x14ac:dyDescent="0.25">
      <c r="O13551" s="20" t="str">
        <f>IF(N13551="","",COUNTIFS(RawData[[Date ]],N13551,RawData[Month List],$Q$6,RawData[Tour/Site],$Q$2,RawData[[Picker ID ]],$Q$3,RawData[Checker ID],$Q$4,RawData[[Error Type ]],$Q$5))</f>
        <v/>
      </c>
    </row>
    <row r="13552" spans="15:15" x14ac:dyDescent="0.25">
      <c r="O13552" s="20" t="str">
        <f>IF(N13552="","",COUNTIFS(RawData[[Date ]],N13552,RawData[Month List],$Q$6,RawData[Tour/Site],$Q$2,RawData[[Picker ID ]],$Q$3,RawData[Checker ID],$Q$4,RawData[[Error Type ]],$Q$5))</f>
        <v/>
      </c>
    </row>
    <row r="13553" spans="15:15" x14ac:dyDescent="0.25">
      <c r="O13553" s="20" t="str">
        <f>IF(N13553="","",COUNTIFS(RawData[[Date ]],N13553,RawData[Month List],$Q$6,RawData[Tour/Site],$Q$2,RawData[[Picker ID ]],$Q$3,RawData[Checker ID],$Q$4,RawData[[Error Type ]],$Q$5))</f>
        <v/>
      </c>
    </row>
    <row r="13554" spans="15:15" x14ac:dyDescent="0.25">
      <c r="O13554" s="20" t="str">
        <f>IF(N13554="","",COUNTIFS(RawData[[Date ]],N13554,RawData[Month List],$Q$6,RawData[Tour/Site],$Q$2,RawData[[Picker ID ]],$Q$3,RawData[Checker ID],$Q$4,RawData[[Error Type ]],$Q$5))</f>
        <v/>
      </c>
    </row>
    <row r="13555" spans="15:15" x14ac:dyDescent="0.25">
      <c r="O13555" s="20" t="str">
        <f>IF(N13555="","",COUNTIFS(RawData[[Date ]],N13555,RawData[Month List],$Q$6,RawData[Tour/Site],$Q$2,RawData[[Picker ID ]],$Q$3,RawData[Checker ID],$Q$4,RawData[[Error Type ]],$Q$5))</f>
        <v/>
      </c>
    </row>
    <row r="13556" spans="15:15" x14ac:dyDescent="0.25">
      <c r="O13556" s="20" t="str">
        <f>IF(N13556="","",COUNTIFS(RawData[[Date ]],N13556,RawData[Month List],$Q$6,RawData[Tour/Site],$Q$2,RawData[[Picker ID ]],$Q$3,RawData[Checker ID],$Q$4,RawData[[Error Type ]],$Q$5))</f>
        <v/>
      </c>
    </row>
    <row r="13557" spans="15:15" x14ac:dyDescent="0.25">
      <c r="O13557" s="20" t="str">
        <f>IF(N13557="","",COUNTIFS(RawData[[Date ]],N13557,RawData[Month List],$Q$6,RawData[Tour/Site],$Q$2,RawData[[Picker ID ]],$Q$3,RawData[Checker ID],$Q$4,RawData[[Error Type ]],$Q$5))</f>
        <v/>
      </c>
    </row>
    <row r="13558" spans="15:15" x14ac:dyDescent="0.25">
      <c r="O13558" s="20" t="str">
        <f>IF(N13558="","",COUNTIFS(RawData[[Date ]],N13558,RawData[Month List],$Q$6,RawData[Tour/Site],$Q$2,RawData[[Picker ID ]],$Q$3,RawData[Checker ID],$Q$4,RawData[[Error Type ]],$Q$5))</f>
        <v/>
      </c>
    </row>
    <row r="13559" spans="15:15" x14ac:dyDescent="0.25">
      <c r="O13559" s="20" t="str">
        <f>IF(N13559="","",COUNTIFS(RawData[[Date ]],N13559,RawData[Month List],$Q$6,RawData[Tour/Site],$Q$2,RawData[[Picker ID ]],$Q$3,RawData[Checker ID],$Q$4,RawData[[Error Type ]],$Q$5))</f>
        <v/>
      </c>
    </row>
    <row r="13560" spans="15:15" x14ac:dyDescent="0.25">
      <c r="O13560" s="20" t="str">
        <f>IF(N13560="","",COUNTIFS(RawData[[Date ]],N13560,RawData[Month List],$Q$6,RawData[Tour/Site],$Q$2,RawData[[Picker ID ]],$Q$3,RawData[Checker ID],$Q$4,RawData[[Error Type ]],$Q$5))</f>
        <v/>
      </c>
    </row>
    <row r="13561" spans="15:15" x14ac:dyDescent="0.25">
      <c r="O13561" s="20" t="str">
        <f>IF(N13561="","",COUNTIFS(RawData[[Date ]],N13561,RawData[Month List],$Q$6,RawData[Tour/Site],$Q$2,RawData[[Picker ID ]],$Q$3,RawData[Checker ID],$Q$4,RawData[[Error Type ]],$Q$5))</f>
        <v/>
      </c>
    </row>
    <row r="13562" spans="15:15" x14ac:dyDescent="0.25">
      <c r="O13562" s="20" t="str">
        <f>IF(N13562="","",COUNTIFS(RawData[[Date ]],N13562,RawData[Month List],$Q$6,RawData[Tour/Site],$Q$2,RawData[[Picker ID ]],$Q$3,RawData[Checker ID],$Q$4,RawData[[Error Type ]],$Q$5))</f>
        <v/>
      </c>
    </row>
    <row r="13563" spans="15:15" x14ac:dyDescent="0.25">
      <c r="O13563" s="20" t="str">
        <f>IF(N13563="","",COUNTIFS(RawData[[Date ]],N13563,RawData[Month List],$Q$6,RawData[Tour/Site],$Q$2,RawData[[Picker ID ]],$Q$3,RawData[Checker ID],$Q$4,RawData[[Error Type ]],$Q$5))</f>
        <v/>
      </c>
    </row>
    <row r="13564" spans="15:15" x14ac:dyDescent="0.25">
      <c r="O13564" s="20" t="str">
        <f>IF(N13564="","",COUNTIFS(RawData[[Date ]],N13564,RawData[Month List],$Q$6,RawData[Tour/Site],$Q$2,RawData[[Picker ID ]],$Q$3,RawData[Checker ID],$Q$4,RawData[[Error Type ]],$Q$5))</f>
        <v/>
      </c>
    </row>
    <row r="13565" spans="15:15" x14ac:dyDescent="0.25">
      <c r="O13565" s="20" t="str">
        <f>IF(N13565="","",COUNTIFS(RawData[[Date ]],N13565,RawData[Month List],$Q$6,RawData[Tour/Site],$Q$2,RawData[[Picker ID ]],$Q$3,RawData[Checker ID],$Q$4,RawData[[Error Type ]],$Q$5))</f>
        <v/>
      </c>
    </row>
    <row r="13566" spans="15:15" x14ac:dyDescent="0.25">
      <c r="O13566" s="20" t="str">
        <f>IF(N13566="","",COUNTIFS(RawData[[Date ]],N13566,RawData[Month List],$Q$6,RawData[Tour/Site],$Q$2,RawData[[Picker ID ]],$Q$3,RawData[Checker ID],$Q$4,RawData[[Error Type ]],$Q$5))</f>
        <v/>
      </c>
    </row>
    <row r="13567" spans="15:15" x14ac:dyDescent="0.25">
      <c r="O13567" s="20" t="str">
        <f>IF(N13567="","",COUNTIFS(RawData[[Date ]],N13567,RawData[Month List],$Q$6,RawData[Tour/Site],$Q$2,RawData[[Picker ID ]],$Q$3,RawData[Checker ID],$Q$4,RawData[[Error Type ]],$Q$5))</f>
        <v/>
      </c>
    </row>
    <row r="13568" spans="15:15" x14ac:dyDescent="0.25">
      <c r="O13568" s="20" t="str">
        <f>IF(N13568="","",COUNTIFS(RawData[[Date ]],N13568,RawData[Month List],$Q$6,RawData[Tour/Site],$Q$2,RawData[[Picker ID ]],$Q$3,RawData[Checker ID],$Q$4,RawData[[Error Type ]],$Q$5))</f>
        <v/>
      </c>
    </row>
    <row r="13569" spans="15:15" x14ac:dyDescent="0.25">
      <c r="O13569" s="20" t="str">
        <f>IF(N13569="","",COUNTIFS(RawData[[Date ]],N13569,RawData[Month List],$Q$6,RawData[Tour/Site],$Q$2,RawData[[Picker ID ]],$Q$3,RawData[Checker ID],$Q$4,RawData[[Error Type ]],$Q$5))</f>
        <v/>
      </c>
    </row>
    <row r="13570" spans="15:15" x14ac:dyDescent="0.25">
      <c r="O13570" s="20" t="str">
        <f>IF(N13570="","",COUNTIFS(RawData[[Date ]],N13570,RawData[Month List],$Q$6,RawData[Tour/Site],$Q$2,RawData[[Picker ID ]],$Q$3,RawData[Checker ID],$Q$4,RawData[[Error Type ]],$Q$5))</f>
        <v/>
      </c>
    </row>
    <row r="13571" spans="15:15" x14ac:dyDescent="0.25">
      <c r="O13571" s="20" t="str">
        <f>IF(N13571="","",COUNTIFS(RawData[[Date ]],N13571,RawData[Month List],$Q$6,RawData[Tour/Site],$Q$2,RawData[[Picker ID ]],$Q$3,RawData[Checker ID],$Q$4,RawData[[Error Type ]],$Q$5))</f>
        <v/>
      </c>
    </row>
    <row r="13572" spans="15:15" x14ac:dyDescent="0.25">
      <c r="O13572" s="20" t="str">
        <f>IF(N13572="","",COUNTIFS(RawData[[Date ]],N13572,RawData[Month List],$Q$6,RawData[Tour/Site],$Q$2,RawData[[Picker ID ]],$Q$3,RawData[Checker ID],$Q$4,RawData[[Error Type ]],$Q$5))</f>
        <v/>
      </c>
    </row>
    <row r="13573" spans="15:15" x14ac:dyDescent="0.25">
      <c r="O13573" s="20" t="str">
        <f>IF(N13573="","",COUNTIFS(RawData[[Date ]],N13573,RawData[Month List],$Q$6,RawData[Tour/Site],$Q$2,RawData[[Picker ID ]],$Q$3,RawData[Checker ID],$Q$4,RawData[[Error Type ]],$Q$5))</f>
        <v/>
      </c>
    </row>
    <row r="13574" spans="15:15" x14ac:dyDescent="0.25">
      <c r="O13574" s="20" t="str">
        <f>IF(N13574="","",COUNTIFS(RawData[[Date ]],N13574,RawData[Month List],$Q$6,RawData[Tour/Site],$Q$2,RawData[[Picker ID ]],$Q$3,RawData[Checker ID],$Q$4,RawData[[Error Type ]],$Q$5))</f>
        <v/>
      </c>
    </row>
    <row r="13575" spans="15:15" x14ac:dyDescent="0.25">
      <c r="O13575" s="20" t="str">
        <f>IF(N13575="","",COUNTIFS(RawData[[Date ]],N13575,RawData[Month List],$Q$6,RawData[Tour/Site],$Q$2,RawData[[Picker ID ]],$Q$3,RawData[Checker ID],$Q$4,RawData[[Error Type ]],$Q$5))</f>
        <v/>
      </c>
    </row>
    <row r="13576" spans="15:15" x14ac:dyDescent="0.25">
      <c r="O13576" s="20" t="str">
        <f>IF(N13576="","",COUNTIFS(RawData[[Date ]],N13576,RawData[Month List],$Q$6,RawData[Tour/Site],$Q$2,RawData[[Picker ID ]],$Q$3,RawData[Checker ID],$Q$4,RawData[[Error Type ]],$Q$5))</f>
        <v/>
      </c>
    </row>
    <row r="13577" spans="15:15" x14ac:dyDescent="0.25">
      <c r="O13577" s="20" t="str">
        <f>IF(N13577="","",COUNTIFS(RawData[[Date ]],N13577,RawData[Month List],$Q$6,RawData[Tour/Site],$Q$2,RawData[[Picker ID ]],$Q$3,RawData[Checker ID],$Q$4,RawData[[Error Type ]],$Q$5))</f>
        <v/>
      </c>
    </row>
    <row r="13578" spans="15:15" x14ac:dyDescent="0.25">
      <c r="O13578" s="20" t="str">
        <f>IF(N13578="","",COUNTIFS(RawData[[Date ]],N13578,RawData[Month List],$Q$6,RawData[Tour/Site],$Q$2,RawData[[Picker ID ]],$Q$3,RawData[Checker ID],$Q$4,RawData[[Error Type ]],$Q$5))</f>
        <v/>
      </c>
    </row>
    <row r="13579" spans="15:15" x14ac:dyDescent="0.25">
      <c r="O13579" s="20" t="str">
        <f>IF(N13579="","",COUNTIFS(RawData[[Date ]],N13579,RawData[Month List],$Q$6,RawData[Tour/Site],$Q$2,RawData[[Picker ID ]],$Q$3,RawData[Checker ID],$Q$4,RawData[[Error Type ]],$Q$5))</f>
        <v/>
      </c>
    </row>
    <row r="13580" spans="15:15" x14ac:dyDescent="0.25">
      <c r="O13580" s="20" t="str">
        <f>IF(N13580="","",COUNTIFS(RawData[[Date ]],N13580,RawData[Month List],$Q$6,RawData[Tour/Site],$Q$2,RawData[[Picker ID ]],$Q$3,RawData[Checker ID],$Q$4,RawData[[Error Type ]],$Q$5))</f>
        <v/>
      </c>
    </row>
    <row r="13581" spans="15:15" x14ac:dyDescent="0.25">
      <c r="O13581" s="20" t="str">
        <f>IF(N13581="","",COUNTIFS(RawData[[Date ]],N13581,RawData[Month List],$Q$6,RawData[Tour/Site],$Q$2,RawData[[Picker ID ]],$Q$3,RawData[Checker ID],$Q$4,RawData[[Error Type ]],$Q$5))</f>
        <v/>
      </c>
    </row>
    <row r="13582" spans="15:15" x14ac:dyDescent="0.25">
      <c r="O13582" s="20" t="str">
        <f>IF(N13582="","",COUNTIFS(RawData[[Date ]],N13582,RawData[Month List],$Q$6,RawData[Tour/Site],$Q$2,RawData[[Picker ID ]],$Q$3,RawData[Checker ID],$Q$4,RawData[[Error Type ]],$Q$5))</f>
        <v/>
      </c>
    </row>
    <row r="13583" spans="15:15" x14ac:dyDescent="0.25">
      <c r="O13583" s="20" t="str">
        <f>IF(N13583="","",COUNTIFS(RawData[[Date ]],N13583,RawData[Month List],$Q$6,RawData[Tour/Site],$Q$2,RawData[[Picker ID ]],$Q$3,RawData[Checker ID],$Q$4,RawData[[Error Type ]],$Q$5))</f>
        <v/>
      </c>
    </row>
    <row r="13584" spans="15:15" x14ac:dyDescent="0.25">
      <c r="O13584" s="20" t="str">
        <f>IF(N13584="","",COUNTIFS(RawData[[Date ]],N13584,RawData[Month List],$Q$6,RawData[Tour/Site],$Q$2,RawData[[Picker ID ]],$Q$3,RawData[Checker ID],$Q$4,RawData[[Error Type ]],$Q$5))</f>
        <v/>
      </c>
    </row>
    <row r="13585" spans="15:15" x14ac:dyDescent="0.25">
      <c r="O13585" s="20" t="str">
        <f>IF(N13585="","",COUNTIFS(RawData[[Date ]],N13585,RawData[Month List],$Q$6,RawData[Tour/Site],$Q$2,RawData[[Picker ID ]],$Q$3,RawData[Checker ID],$Q$4,RawData[[Error Type ]],$Q$5))</f>
        <v/>
      </c>
    </row>
    <row r="13586" spans="15:15" x14ac:dyDescent="0.25">
      <c r="O13586" s="20" t="str">
        <f>IF(N13586="","",COUNTIFS(RawData[[Date ]],N13586,RawData[Month List],$Q$6,RawData[Tour/Site],$Q$2,RawData[[Picker ID ]],$Q$3,RawData[Checker ID],$Q$4,RawData[[Error Type ]],$Q$5))</f>
        <v/>
      </c>
    </row>
    <row r="13587" spans="15:15" x14ac:dyDescent="0.25">
      <c r="O13587" s="20" t="str">
        <f>IF(N13587="","",COUNTIFS(RawData[[Date ]],N13587,RawData[Month List],$Q$6,RawData[Tour/Site],$Q$2,RawData[[Picker ID ]],$Q$3,RawData[Checker ID],$Q$4,RawData[[Error Type ]],$Q$5))</f>
        <v/>
      </c>
    </row>
    <row r="13588" spans="15:15" x14ac:dyDescent="0.25">
      <c r="O13588" s="20" t="str">
        <f>IF(N13588="","",COUNTIFS(RawData[[Date ]],N13588,RawData[Month List],$Q$6,RawData[Tour/Site],$Q$2,RawData[[Picker ID ]],$Q$3,RawData[Checker ID],$Q$4,RawData[[Error Type ]],$Q$5))</f>
        <v/>
      </c>
    </row>
    <row r="13589" spans="15:15" x14ac:dyDescent="0.25">
      <c r="O13589" s="20" t="str">
        <f>IF(N13589="","",COUNTIFS(RawData[[Date ]],N13589,RawData[Month List],$Q$6,RawData[Tour/Site],$Q$2,RawData[[Picker ID ]],$Q$3,RawData[Checker ID],$Q$4,RawData[[Error Type ]],$Q$5))</f>
        <v/>
      </c>
    </row>
    <row r="13590" spans="15:15" x14ac:dyDescent="0.25">
      <c r="O13590" s="20" t="str">
        <f>IF(N13590="","",COUNTIFS(RawData[[Date ]],N13590,RawData[Month List],$Q$6,RawData[Tour/Site],$Q$2,RawData[[Picker ID ]],$Q$3,RawData[Checker ID],$Q$4,RawData[[Error Type ]],$Q$5))</f>
        <v/>
      </c>
    </row>
    <row r="13591" spans="15:15" x14ac:dyDescent="0.25">
      <c r="O13591" s="20" t="str">
        <f>IF(N13591="","",COUNTIFS(RawData[[Date ]],N13591,RawData[Month List],$Q$6,RawData[Tour/Site],$Q$2,RawData[[Picker ID ]],$Q$3,RawData[Checker ID],$Q$4,RawData[[Error Type ]],$Q$5))</f>
        <v/>
      </c>
    </row>
    <row r="13592" spans="15:15" x14ac:dyDescent="0.25">
      <c r="O13592" s="20" t="str">
        <f>IF(N13592="","",COUNTIFS(RawData[[Date ]],N13592,RawData[Month List],$Q$6,RawData[Tour/Site],$Q$2,RawData[[Picker ID ]],$Q$3,RawData[Checker ID],$Q$4,RawData[[Error Type ]],$Q$5))</f>
        <v/>
      </c>
    </row>
    <row r="13593" spans="15:15" x14ac:dyDescent="0.25">
      <c r="O13593" s="20" t="str">
        <f>IF(N13593="","",COUNTIFS(RawData[[Date ]],N13593,RawData[Month List],$Q$6,RawData[Tour/Site],$Q$2,RawData[[Picker ID ]],$Q$3,RawData[Checker ID],$Q$4,RawData[[Error Type ]],$Q$5))</f>
        <v/>
      </c>
    </row>
    <row r="13594" spans="15:15" x14ac:dyDescent="0.25">
      <c r="O13594" s="20" t="str">
        <f>IF(N13594="","",COUNTIFS(RawData[[Date ]],N13594,RawData[Month List],$Q$6,RawData[Tour/Site],$Q$2,RawData[[Picker ID ]],$Q$3,RawData[Checker ID],$Q$4,RawData[[Error Type ]],$Q$5))</f>
        <v/>
      </c>
    </row>
    <row r="13595" spans="15:15" x14ac:dyDescent="0.25">
      <c r="O13595" s="20" t="str">
        <f>IF(N13595="","",COUNTIFS(RawData[[Date ]],N13595,RawData[Month List],$Q$6,RawData[Tour/Site],$Q$2,RawData[[Picker ID ]],$Q$3,RawData[Checker ID],$Q$4,RawData[[Error Type ]],$Q$5))</f>
        <v/>
      </c>
    </row>
    <row r="13596" spans="15:15" x14ac:dyDescent="0.25">
      <c r="O13596" s="20" t="str">
        <f>IF(N13596="","",COUNTIFS(RawData[[Date ]],N13596,RawData[Month List],$Q$6,RawData[Tour/Site],$Q$2,RawData[[Picker ID ]],$Q$3,RawData[Checker ID],$Q$4,RawData[[Error Type ]],$Q$5))</f>
        <v/>
      </c>
    </row>
    <row r="13597" spans="15:15" x14ac:dyDescent="0.25">
      <c r="O13597" s="20" t="str">
        <f>IF(N13597="","",COUNTIFS(RawData[[Date ]],N13597,RawData[Month List],$Q$6,RawData[Tour/Site],$Q$2,RawData[[Picker ID ]],$Q$3,RawData[Checker ID],$Q$4,RawData[[Error Type ]],$Q$5))</f>
        <v/>
      </c>
    </row>
    <row r="13598" spans="15:15" x14ac:dyDescent="0.25">
      <c r="O13598" s="20" t="str">
        <f>IF(N13598="","",COUNTIFS(RawData[[Date ]],N13598,RawData[Month List],$Q$6,RawData[Tour/Site],$Q$2,RawData[[Picker ID ]],$Q$3,RawData[Checker ID],$Q$4,RawData[[Error Type ]],$Q$5))</f>
        <v/>
      </c>
    </row>
    <row r="13599" spans="15:15" x14ac:dyDescent="0.25">
      <c r="O13599" s="20" t="str">
        <f>IF(N13599="","",COUNTIFS(RawData[[Date ]],N13599,RawData[Month List],$Q$6,RawData[Tour/Site],$Q$2,RawData[[Picker ID ]],$Q$3,RawData[Checker ID],$Q$4,RawData[[Error Type ]],$Q$5))</f>
        <v/>
      </c>
    </row>
    <row r="13600" spans="15:15" x14ac:dyDescent="0.25">
      <c r="O13600" s="20" t="str">
        <f>IF(N13600="","",COUNTIFS(RawData[[Date ]],N13600,RawData[Month List],$Q$6,RawData[Tour/Site],$Q$2,RawData[[Picker ID ]],$Q$3,RawData[Checker ID],$Q$4,RawData[[Error Type ]],$Q$5))</f>
        <v/>
      </c>
    </row>
    <row r="13601" spans="15:15" x14ac:dyDescent="0.25">
      <c r="O13601" s="20" t="str">
        <f>IF(N13601="","",COUNTIFS(RawData[[Date ]],N13601,RawData[Month List],$Q$6,RawData[Tour/Site],$Q$2,RawData[[Picker ID ]],$Q$3,RawData[Checker ID],$Q$4,RawData[[Error Type ]],$Q$5))</f>
        <v/>
      </c>
    </row>
    <row r="13602" spans="15:15" x14ac:dyDescent="0.25">
      <c r="O13602" s="20" t="str">
        <f>IF(N13602="","",COUNTIFS(RawData[[Date ]],N13602,RawData[Month List],$Q$6,RawData[Tour/Site],$Q$2,RawData[[Picker ID ]],$Q$3,RawData[Checker ID],$Q$4,RawData[[Error Type ]],$Q$5))</f>
        <v/>
      </c>
    </row>
    <row r="13603" spans="15:15" x14ac:dyDescent="0.25">
      <c r="O13603" s="20" t="str">
        <f>IF(N13603="","",COUNTIFS(RawData[[Date ]],N13603,RawData[Month List],$Q$6,RawData[Tour/Site],$Q$2,RawData[[Picker ID ]],$Q$3,RawData[Checker ID],$Q$4,RawData[[Error Type ]],$Q$5))</f>
        <v/>
      </c>
    </row>
    <row r="13604" spans="15:15" x14ac:dyDescent="0.25">
      <c r="O13604" s="20" t="str">
        <f>IF(N13604="","",COUNTIFS(RawData[[Date ]],N13604,RawData[Month List],$Q$6,RawData[Tour/Site],$Q$2,RawData[[Picker ID ]],$Q$3,RawData[Checker ID],$Q$4,RawData[[Error Type ]],$Q$5))</f>
        <v/>
      </c>
    </row>
    <row r="13605" spans="15:15" x14ac:dyDescent="0.25">
      <c r="O13605" s="20" t="str">
        <f>IF(N13605="","",COUNTIFS(RawData[[Date ]],N13605,RawData[Month List],$Q$6,RawData[Tour/Site],$Q$2,RawData[[Picker ID ]],$Q$3,RawData[Checker ID],$Q$4,RawData[[Error Type ]],$Q$5))</f>
        <v/>
      </c>
    </row>
    <row r="13606" spans="15:15" x14ac:dyDescent="0.25">
      <c r="O13606" s="20" t="str">
        <f>IF(N13606="","",COUNTIFS(RawData[[Date ]],N13606,RawData[Month List],$Q$6,RawData[Tour/Site],$Q$2,RawData[[Picker ID ]],$Q$3,RawData[Checker ID],$Q$4,RawData[[Error Type ]],$Q$5))</f>
        <v/>
      </c>
    </row>
    <row r="13607" spans="15:15" x14ac:dyDescent="0.25">
      <c r="O13607" s="20" t="str">
        <f>IF(N13607="","",COUNTIFS(RawData[[Date ]],N13607,RawData[Month List],$Q$6,RawData[Tour/Site],$Q$2,RawData[[Picker ID ]],$Q$3,RawData[Checker ID],$Q$4,RawData[[Error Type ]],$Q$5))</f>
        <v/>
      </c>
    </row>
    <row r="13608" spans="15:15" x14ac:dyDescent="0.25">
      <c r="O13608" s="20" t="str">
        <f>IF(N13608="","",COUNTIFS(RawData[[Date ]],N13608,RawData[Month List],$Q$6,RawData[Tour/Site],$Q$2,RawData[[Picker ID ]],$Q$3,RawData[Checker ID],$Q$4,RawData[[Error Type ]],$Q$5))</f>
        <v/>
      </c>
    </row>
    <row r="13609" spans="15:15" x14ac:dyDescent="0.25">
      <c r="O13609" s="20" t="str">
        <f>IF(N13609="","",COUNTIFS(RawData[[Date ]],N13609,RawData[Month List],$Q$6,RawData[Tour/Site],$Q$2,RawData[[Picker ID ]],$Q$3,RawData[Checker ID],$Q$4,RawData[[Error Type ]],$Q$5))</f>
        <v/>
      </c>
    </row>
    <row r="13610" spans="15:15" x14ac:dyDescent="0.25">
      <c r="O13610" s="20" t="str">
        <f>IF(N13610="","",COUNTIFS(RawData[[Date ]],N13610,RawData[Month List],$Q$6,RawData[Tour/Site],$Q$2,RawData[[Picker ID ]],$Q$3,RawData[Checker ID],$Q$4,RawData[[Error Type ]],$Q$5))</f>
        <v/>
      </c>
    </row>
    <row r="13611" spans="15:15" x14ac:dyDescent="0.25">
      <c r="O13611" s="20" t="str">
        <f>IF(N13611="","",COUNTIFS(RawData[[Date ]],N13611,RawData[Month List],$Q$6,RawData[Tour/Site],$Q$2,RawData[[Picker ID ]],$Q$3,RawData[Checker ID],$Q$4,RawData[[Error Type ]],$Q$5))</f>
        <v/>
      </c>
    </row>
    <row r="13612" spans="15:15" x14ac:dyDescent="0.25">
      <c r="O13612" s="20" t="str">
        <f>IF(N13612="","",COUNTIFS(RawData[[Date ]],N13612,RawData[Month List],$Q$6,RawData[Tour/Site],$Q$2,RawData[[Picker ID ]],$Q$3,RawData[Checker ID],$Q$4,RawData[[Error Type ]],$Q$5))</f>
        <v/>
      </c>
    </row>
    <row r="13613" spans="15:15" x14ac:dyDescent="0.25">
      <c r="O13613" s="20" t="str">
        <f>IF(N13613="","",COUNTIFS(RawData[[Date ]],N13613,RawData[Month List],$Q$6,RawData[Tour/Site],$Q$2,RawData[[Picker ID ]],$Q$3,RawData[Checker ID],$Q$4,RawData[[Error Type ]],$Q$5))</f>
        <v/>
      </c>
    </row>
    <row r="13614" spans="15:15" x14ac:dyDescent="0.25">
      <c r="O13614" s="20" t="str">
        <f>IF(N13614="","",COUNTIFS(RawData[[Date ]],N13614,RawData[Month List],$Q$6,RawData[Tour/Site],$Q$2,RawData[[Picker ID ]],$Q$3,RawData[Checker ID],$Q$4,RawData[[Error Type ]],$Q$5))</f>
        <v/>
      </c>
    </row>
    <row r="13615" spans="15:15" x14ac:dyDescent="0.25">
      <c r="O13615" s="20" t="str">
        <f>IF(N13615="","",COUNTIFS(RawData[[Date ]],N13615,RawData[Month List],$Q$6,RawData[Tour/Site],$Q$2,RawData[[Picker ID ]],$Q$3,RawData[Checker ID],$Q$4,RawData[[Error Type ]],$Q$5))</f>
        <v/>
      </c>
    </row>
    <row r="13616" spans="15:15" x14ac:dyDescent="0.25">
      <c r="O13616" s="20" t="str">
        <f>IF(N13616="","",COUNTIFS(RawData[[Date ]],N13616,RawData[Month List],$Q$6,RawData[Tour/Site],$Q$2,RawData[[Picker ID ]],$Q$3,RawData[Checker ID],$Q$4,RawData[[Error Type ]],$Q$5))</f>
        <v/>
      </c>
    </row>
    <row r="13617" spans="15:15" x14ac:dyDescent="0.25">
      <c r="O13617" s="20" t="str">
        <f>IF(N13617="","",COUNTIFS(RawData[[Date ]],N13617,RawData[Month List],$Q$6,RawData[Tour/Site],$Q$2,RawData[[Picker ID ]],$Q$3,RawData[Checker ID],$Q$4,RawData[[Error Type ]],$Q$5))</f>
        <v/>
      </c>
    </row>
    <row r="13618" spans="15:15" x14ac:dyDescent="0.25">
      <c r="O13618" s="20" t="str">
        <f>IF(N13618="","",COUNTIFS(RawData[[Date ]],N13618,RawData[Month List],$Q$6,RawData[Tour/Site],$Q$2,RawData[[Picker ID ]],$Q$3,RawData[Checker ID],$Q$4,RawData[[Error Type ]],$Q$5))</f>
        <v/>
      </c>
    </row>
    <row r="13619" spans="15:15" x14ac:dyDescent="0.25">
      <c r="O13619" s="20" t="str">
        <f>IF(N13619="","",COUNTIFS(RawData[[Date ]],N13619,RawData[Month List],$Q$6,RawData[Tour/Site],$Q$2,RawData[[Picker ID ]],$Q$3,RawData[Checker ID],$Q$4,RawData[[Error Type ]],$Q$5))</f>
        <v/>
      </c>
    </row>
    <row r="13620" spans="15:15" x14ac:dyDescent="0.25">
      <c r="O13620" s="20" t="str">
        <f>IF(N13620="","",COUNTIFS(RawData[[Date ]],N13620,RawData[Month List],$Q$6,RawData[Tour/Site],$Q$2,RawData[[Picker ID ]],$Q$3,RawData[Checker ID],$Q$4,RawData[[Error Type ]],$Q$5))</f>
        <v/>
      </c>
    </row>
    <row r="13621" spans="15:15" x14ac:dyDescent="0.25">
      <c r="O13621" s="20" t="str">
        <f>IF(N13621="","",COUNTIFS(RawData[[Date ]],N13621,RawData[Month List],$Q$6,RawData[Tour/Site],$Q$2,RawData[[Picker ID ]],$Q$3,RawData[Checker ID],$Q$4,RawData[[Error Type ]],$Q$5))</f>
        <v/>
      </c>
    </row>
    <row r="13622" spans="15:15" x14ac:dyDescent="0.25">
      <c r="O13622" s="20" t="str">
        <f>IF(N13622="","",COUNTIFS(RawData[[Date ]],N13622,RawData[Month List],$Q$6,RawData[Tour/Site],$Q$2,RawData[[Picker ID ]],$Q$3,RawData[Checker ID],$Q$4,RawData[[Error Type ]],$Q$5))</f>
        <v/>
      </c>
    </row>
    <row r="13623" spans="15:15" x14ac:dyDescent="0.25">
      <c r="O13623" s="20" t="str">
        <f>IF(N13623="","",COUNTIFS(RawData[[Date ]],N13623,RawData[Month List],$Q$6,RawData[Tour/Site],$Q$2,RawData[[Picker ID ]],$Q$3,RawData[Checker ID],$Q$4,RawData[[Error Type ]],$Q$5))</f>
        <v/>
      </c>
    </row>
    <row r="13624" spans="15:15" x14ac:dyDescent="0.25">
      <c r="O13624" s="20" t="str">
        <f>IF(N13624="","",COUNTIFS(RawData[[Date ]],N13624,RawData[Month List],$Q$6,RawData[Tour/Site],$Q$2,RawData[[Picker ID ]],$Q$3,RawData[Checker ID],$Q$4,RawData[[Error Type ]],$Q$5))</f>
        <v/>
      </c>
    </row>
    <row r="13625" spans="15:15" x14ac:dyDescent="0.25">
      <c r="O13625" s="20" t="str">
        <f>IF(N13625="","",COUNTIFS(RawData[[Date ]],N13625,RawData[Month List],$Q$6,RawData[Tour/Site],$Q$2,RawData[[Picker ID ]],$Q$3,RawData[Checker ID],$Q$4,RawData[[Error Type ]],$Q$5))</f>
        <v/>
      </c>
    </row>
    <row r="13626" spans="15:15" x14ac:dyDescent="0.25">
      <c r="O13626" s="20" t="str">
        <f>IF(N13626="","",COUNTIFS(RawData[[Date ]],N13626,RawData[Month List],$Q$6,RawData[Tour/Site],$Q$2,RawData[[Picker ID ]],$Q$3,RawData[Checker ID],$Q$4,RawData[[Error Type ]],$Q$5))</f>
        <v/>
      </c>
    </row>
    <row r="13627" spans="15:15" x14ac:dyDescent="0.25">
      <c r="O13627" s="20" t="str">
        <f>IF(N13627="","",COUNTIFS(RawData[[Date ]],N13627,RawData[Month List],$Q$6,RawData[Tour/Site],$Q$2,RawData[[Picker ID ]],$Q$3,RawData[Checker ID],$Q$4,RawData[[Error Type ]],$Q$5))</f>
        <v/>
      </c>
    </row>
    <row r="13628" spans="15:15" x14ac:dyDescent="0.25">
      <c r="O13628" s="20" t="str">
        <f>IF(N13628="","",COUNTIFS(RawData[[Date ]],N13628,RawData[Month List],$Q$6,RawData[Tour/Site],$Q$2,RawData[[Picker ID ]],$Q$3,RawData[Checker ID],$Q$4,RawData[[Error Type ]],$Q$5))</f>
        <v/>
      </c>
    </row>
    <row r="13629" spans="15:15" x14ac:dyDescent="0.25">
      <c r="O13629" s="20" t="str">
        <f>IF(N13629="","",COUNTIFS(RawData[[Date ]],N13629,RawData[Month List],$Q$6,RawData[Tour/Site],$Q$2,RawData[[Picker ID ]],$Q$3,RawData[Checker ID],$Q$4,RawData[[Error Type ]],$Q$5))</f>
        <v/>
      </c>
    </row>
    <row r="13630" spans="15:15" x14ac:dyDescent="0.25">
      <c r="O13630" s="20" t="str">
        <f>IF(N13630="","",COUNTIFS(RawData[[Date ]],N13630,RawData[Month List],$Q$6,RawData[Tour/Site],$Q$2,RawData[[Picker ID ]],$Q$3,RawData[Checker ID],$Q$4,RawData[[Error Type ]],$Q$5))</f>
        <v/>
      </c>
    </row>
    <row r="13631" spans="15:15" x14ac:dyDescent="0.25">
      <c r="O13631" s="20" t="str">
        <f>IF(N13631="","",COUNTIFS(RawData[[Date ]],N13631,RawData[Month List],$Q$6,RawData[Tour/Site],$Q$2,RawData[[Picker ID ]],$Q$3,RawData[Checker ID],$Q$4,RawData[[Error Type ]],$Q$5))</f>
        <v/>
      </c>
    </row>
    <row r="13632" spans="15:15" x14ac:dyDescent="0.25">
      <c r="O13632" s="20" t="str">
        <f>IF(N13632="","",COUNTIFS(RawData[[Date ]],N13632,RawData[Month List],$Q$6,RawData[Tour/Site],$Q$2,RawData[[Picker ID ]],$Q$3,RawData[Checker ID],$Q$4,RawData[[Error Type ]],$Q$5))</f>
        <v/>
      </c>
    </row>
    <row r="13633" spans="15:15" x14ac:dyDescent="0.25">
      <c r="O13633" s="20" t="str">
        <f>IF(N13633="","",COUNTIFS(RawData[[Date ]],N13633,RawData[Month List],$Q$6,RawData[Tour/Site],$Q$2,RawData[[Picker ID ]],$Q$3,RawData[Checker ID],$Q$4,RawData[[Error Type ]],$Q$5))</f>
        <v/>
      </c>
    </row>
    <row r="13634" spans="15:15" x14ac:dyDescent="0.25">
      <c r="O13634" s="20" t="str">
        <f>IF(N13634="","",COUNTIFS(RawData[[Date ]],N13634,RawData[Month List],$Q$6,RawData[Tour/Site],$Q$2,RawData[[Picker ID ]],$Q$3,RawData[Checker ID],$Q$4,RawData[[Error Type ]],$Q$5))</f>
        <v/>
      </c>
    </row>
    <row r="13635" spans="15:15" x14ac:dyDescent="0.25">
      <c r="O13635" s="20" t="str">
        <f>IF(N13635="","",COUNTIFS(RawData[[Date ]],N13635,RawData[Month List],$Q$6,RawData[Tour/Site],$Q$2,RawData[[Picker ID ]],$Q$3,RawData[Checker ID],$Q$4,RawData[[Error Type ]],$Q$5))</f>
        <v/>
      </c>
    </row>
    <row r="13636" spans="15:15" x14ac:dyDescent="0.25">
      <c r="O13636" s="20" t="str">
        <f>IF(N13636="","",COUNTIFS(RawData[[Date ]],N13636,RawData[Month List],$Q$6,RawData[Tour/Site],$Q$2,RawData[[Picker ID ]],$Q$3,RawData[Checker ID],$Q$4,RawData[[Error Type ]],$Q$5))</f>
        <v/>
      </c>
    </row>
    <row r="13637" spans="15:15" x14ac:dyDescent="0.25">
      <c r="O13637" s="20" t="str">
        <f>IF(N13637="","",COUNTIFS(RawData[[Date ]],N13637,RawData[Month List],$Q$6,RawData[Tour/Site],$Q$2,RawData[[Picker ID ]],$Q$3,RawData[Checker ID],$Q$4,RawData[[Error Type ]],$Q$5))</f>
        <v/>
      </c>
    </row>
    <row r="13638" spans="15:15" x14ac:dyDescent="0.25">
      <c r="O13638" s="20" t="str">
        <f>IF(N13638="","",COUNTIFS(RawData[[Date ]],N13638,RawData[Month List],$Q$6,RawData[Tour/Site],$Q$2,RawData[[Picker ID ]],$Q$3,RawData[Checker ID],$Q$4,RawData[[Error Type ]],$Q$5))</f>
        <v/>
      </c>
    </row>
    <row r="13639" spans="15:15" x14ac:dyDescent="0.25">
      <c r="O13639" s="20" t="str">
        <f>IF(N13639="","",COUNTIFS(RawData[[Date ]],N13639,RawData[Month List],$Q$6,RawData[Tour/Site],$Q$2,RawData[[Picker ID ]],$Q$3,RawData[Checker ID],$Q$4,RawData[[Error Type ]],$Q$5))</f>
        <v/>
      </c>
    </row>
    <row r="13640" spans="15:15" x14ac:dyDescent="0.25">
      <c r="O13640" s="20" t="str">
        <f>IF(N13640="","",COUNTIFS(RawData[[Date ]],N13640,RawData[Month List],$Q$6,RawData[Tour/Site],$Q$2,RawData[[Picker ID ]],$Q$3,RawData[Checker ID],$Q$4,RawData[[Error Type ]],$Q$5))</f>
        <v/>
      </c>
    </row>
    <row r="13641" spans="15:15" x14ac:dyDescent="0.25">
      <c r="O13641" s="20" t="str">
        <f>IF(N13641="","",COUNTIFS(RawData[[Date ]],N13641,RawData[Month List],$Q$6,RawData[Tour/Site],$Q$2,RawData[[Picker ID ]],$Q$3,RawData[Checker ID],$Q$4,RawData[[Error Type ]],$Q$5))</f>
        <v/>
      </c>
    </row>
    <row r="13642" spans="15:15" x14ac:dyDescent="0.25">
      <c r="O13642" s="20" t="str">
        <f>IF(N13642="","",COUNTIFS(RawData[[Date ]],N13642,RawData[Month List],$Q$6,RawData[Tour/Site],$Q$2,RawData[[Picker ID ]],$Q$3,RawData[Checker ID],$Q$4,RawData[[Error Type ]],$Q$5))</f>
        <v/>
      </c>
    </row>
    <row r="13643" spans="15:15" x14ac:dyDescent="0.25">
      <c r="O13643" s="20" t="str">
        <f>IF(N13643="","",COUNTIFS(RawData[[Date ]],N13643,RawData[Month List],$Q$6,RawData[Tour/Site],$Q$2,RawData[[Picker ID ]],$Q$3,RawData[Checker ID],$Q$4,RawData[[Error Type ]],$Q$5))</f>
        <v/>
      </c>
    </row>
    <row r="13644" spans="15:15" x14ac:dyDescent="0.25">
      <c r="O13644" s="20" t="str">
        <f>IF(N13644="","",COUNTIFS(RawData[[Date ]],N13644,RawData[Month List],$Q$6,RawData[Tour/Site],$Q$2,RawData[[Picker ID ]],$Q$3,RawData[Checker ID],$Q$4,RawData[[Error Type ]],$Q$5))</f>
        <v/>
      </c>
    </row>
    <row r="13645" spans="15:15" x14ac:dyDescent="0.25">
      <c r="O13645" s="20" t="str">
        <f>IF(N13645="","",COUNTIFS(RawData[[Date ]],N13645,RawData[Month List],$Q$6,RawData[Tour/Site],$Q$2,RawData[[Picker ID ]],$Q$3,RawData[Checker ID],$Q$4,RawData[[Error Type ]],$Q$5))</f>
        <v/>
      </c>
    </row>
    <row r="13646" spans="15:15" x14ac:dyDescent="0.25">
      <c r="O13646" s="20" t="str">
        <f>IF(N13646="","",COUNTIFS(RawData[[Date ]],N13646,RawData[Month List],$Q$6,RawData[Tour/Site],$Q$2,RawData[[Picker ID ]],$Q$3,RawData[Checker ID],$Q$4,RawData[[Error Type ]],$Q$5))</f>
        <v/>
      </c>
    </row>
    <row r="13647" spans="15:15" x14ac:dyDescent="0.25">
      <c r="O13647" s="20" t="str">
        <f>IF(N13647="","",COUNTIFS(RawData[[Date ]],N13647,RawData[Month List],$Q$6,RawData[Tour/Site],$Q$2,RawData[[Picker ID ]],$Q$3,RawData[Checker ID],$Q$4,RawData[[Error Type ]],$Q$5))</f>
        <v/>
      </c>
    </row>
    <row r="13648" spans="15:15" x14ac:dyDescent="0.25">
      <c r="O13648" s="20" t="str">
        <f>IF(N13648="","",COUNTIFS(RawData[[Date ]],N13648,RawData[Month List],$Q$6,RawData[Tour/Site],$Q$2,RawData[[Picker ID ]],$Q$3,RawData[Checker ID],$Q$4,RawData[[Error Type ]],$Q$5))</f>
        <v/>
      </c>
    </row>
    <row r="13649" spans="15:15" x14ac:dyDescent="0.25">
      <c r="O13649" s="20" t="str">
        <f>IF(N13649="","",COUNTIFS(RawData[[Date ]],N13649,RawData[Month List],$Q$6,RawData[Tour/Site],$Q$2,RawData[[Picker ID ]],$Q$3,RawData[Checker ID],$Q$4,RawData[[Error Type ]],$Q$5))</f>
        <v/>
      </c>
    </row>
    <row r="13650" spans="15:15" x14ac:dyDescent="0.25">
      <c r="O13650" s="20" t="str">
        <f>IF(N13650="","",COUNTIFS(RawData[[Date ]],N13650,RawData[Month List],$Q$6,RawData[Tour/Site],$Q$2,RawData[[Picker ID ]],$Q$3,RawData[Checker ID],$Q$4,RawData[[Error Type ]],$Q$5))</f>
        <v/>
      </c>
    </row>
    <row r="13651" spans="15:15" x14ac:dyDescent="0.25">
      <c r="O13651" s="20" t="str">
        <f>IF(N13651="","",COUNTIFS(RawData[[Date ]],N13651,RawData[Month List],$Q$6,RawData[Tour/Site],$Q$2,RawData[[Picker ID ]],$Q$3,RawData[Checker ID],$Q$4,RawData[[Error Type ]],$Q$5))</f>
        <v/>
      </c>
    </row>
    <row r="13652" spans="15:15" x14ac:dyDescent="0.25">
      <c r="O13652" s="20" t="str">
        <f>IF(N13652="","",COUNTIFS(RawData[[Date ]],N13652,RawData[Month List],$Q$6,RawData[Tour/Site],$Q$2,RawData[[Picker ID ]],$Q$3,RawData[Checker ID],$Q$4,RawData[[Error Type ]],$Q$5))</f>
        <v/>
      </c>
    </row>
    <row r="13653" spans="15:15" x14ac:dyDescent="0.25">
      <c r="O13653" s="20" t="str">
        <f>IF(N13653="","",COUNTIFS(RawData[[Date ]],N13653,RawData[Month List],$Q$6,RawData[Tour/Site],$Q$2,RawData[[Picker ID ]],$Q$3,RawData[Checker ID],$Q$4,RawData[[Error Type ]],$Q$5))</f>
        <v/>
      </c>
    </row>
    <row r="13654" spans="15:15" x14ac:dyDescent="0.25">
      <c r="O13654" s="20" t="str">
        <f>IF(N13654="","",COUNTIFS(RawData[[Date ]],N13654,RawData[Month List],$Q$6,RawData[Tour/Site],$Q$2,RawData[[Picker ID ]],$Q$3,RawData[Checker ID],$Q$4,RawData[[Error Type ]],$Q$5))</f>
        <v/>
      </c>
    </row>
    <row r="13655" spans="15:15" x14ac:dyDescent="0.25">
      <c r="O13655" s="20" t="str">
        <f>IF(N13655="","",COUNTIFS(RawData[[Date ]],N13655,RawData[Month List],$Q$6,RawData[Tour/Site],$Q$2,RawData[[Picker ID ]],$Q$3,RawData[Checker ID],$Q$4,RawData[[Error Type ]],$Q$5))</f>
        <v/>
      </c>
    </row>
    <row r="13656" spans="15:15" x14ac:dyDescent="0.25">
      <c r="O13656" s="20" t="str">
        <f>IF(N13656="","",COUNTIFS(RawData[[Date ]],N13656,RawData[Month List],$Q$6,RawData[Tour/Site],$Q$2,RawData[[Picker ID ]],$Q$3,RawData[Checker ID],$Q$4,RawData[[Error Type ]],$Q$5))</f>
        <v/>
      </c>
    </row>
    <row r="13657" spans="15:15" x14ac:dyDescent="0.25">
      <c r="O13657" s="20" t="str">
        <f>IF(N13657="","",COUNTIFS(RawData[[Date ]],N13657,RawData[Month List],$Q$6,RawData[Tour/Site],$Q$2,RawData[[Picker ID ]],$Q$3,RawData[Checker ID],$Q$4,RawData[[Error Type ]],$Q$5))</f>
        <v/>
      </c>
    </row>
    <row r="13658" spans="15:15" x14ac:dyDescent="0.25">
      <c r="O13658" s="20" t="str">
        <f>IF(N13658="","",COUNTIFS(RawData[[Date ]],N13658,RawData[Month List],$Q$6,RawData[Tour/Site],$Q$2,RawData[[Picker ID ]],$Q$3,RawData[Checker ID],$Q$4,RawData[[Error Type ]],$Q$5))</f>
        <v/>
      </c>
    </row>
    <row r="13659" spans="15:15" x14ac:dyDescent="0.25">
      <c r="O13659" s="20" t="str">
        <f>IF(N13659="","",COUNTIFS(RawData[[Date ]],N13659,RawData[Month List],$Q$6,RawData[Tour/Site],$Q$2,RawData[[Picker ID ]],$Q$3,RawData[Checker ID],$Q$4,RawData[[Error Type ]],$Q$5))</f>
        <v/>
      </c>
    </row>
    <row r="13660" spans="15:15" x14ac:dyDescent="0.25">
      <c r="O13660" s="20" t="str">
        <f>IF(N13660="","",COUNTIFS(RawData[[Date ]],N13660,RawData[Month List],$Q$6,RawData[Tour/Site],$Q$2,RawData[[Picker ID ]],$Q$3,RawData[Checker ID],$Q$4,RawData[[Error Type ]],$Q$5))</f>
        <v/>
      </c>
    </row>
    <row r="13661" spans="15:15" x14ac:dyDescent="0.25">
      <c r="O13661" s="20" t="str">
        <f>IF(N13661="","",COUNTIFS(RawData[[Date ]],N13661,RawData[Month List],$Q$6,RawData[Tour/Site],$Q$2,RawData[[Picker ID ]],$Q$3,RawData[Checker ID],$Q$4,RawData[[Error Type ]],$Q$5))</f>
        <v/>
      </c>
    </row>
    <row r="13662" spans="15:15" x14ac:dyDescent="0.25">
      <c r="O13662" s="20" t="str">
        <f>IF(N13662="","",COUNTIFS(RawData[[Date ]],N13662,RawData[Month List],$Q$6,RawData[Tour/Site],$Q$2,RawData[[Picker ID ]],$Q$3,RawData[Checker ID],$Q$4,RawData[[Error Type ]],$Q$5))</f>
        <v/>
      </c>
    </row>
    <row r="13663" spans="15:15" x14ac:dyDescent="0.25">
      <c r="O13663" s="20" t="str">
        <f>IF(N13663="","",COUNTIFS(RawData[[Date ]],N13663,RawData[Month List],$Q$6,RawData[Tour/Site],$Q$2,RawData[[Picker ID ]],$Q$3,RawData[Checker ID],$Q$4,RawData[[Error Type ]],$Q$5))</f>
        <v/>
      </c>
    </row>
    <row r="13664" spans="15:15" x14ac:dyDescent="0.25">
      <c r="O13664" s="20" t="str">
        <f>IF(N13664="","",COUNTIFS(RawData[[Date ]],N13664,RawData[Month List],$Q$6,RawData[Tour/Site],$Q$2,RawData[[Picker ID ]],$Q$3,RawData[Checker ID],$Q$4,RawData[[Error Type ]],$Q$5))</f>
        <v/>
      </c>
    </row>
    <row r="13665" spans="15:15" x14ac:dyDescent="0.25">
      <c r="O13665" s="20" t="str">
        <f>IF(N13665="","",COUNTIFS(RawData[[Date ]],N13665,RawData[Month List],$Q$6,RawData[Tour/Site],$Q$2,RawData[[Picker ID ]],$Q$3,RawData[Checker ID],$Q$4,RawData[[Error Type ]],$Q$5))</f>
        <v/>
      </c>
    </row>
    <row r="13666" spans="15:15" x14ac:dyDescent="0.25">
      <c r="O13666" s="20" t="str">
        <f>IF(N13666="","",COUNTIFS(RawData[[Date ]],N13666,RawData[Month List],$Q$6,RawData[Tour/Site],$Q$2,RawData[[Picker ID ]],$Q$3,RawData[Checker ID],$Q$4,RawData[[Error Type ]],$Q$5))</f>
        <v/>
      </c>
    </row>
    <row r="13667" spans="15:15" x14ac:dyDescent="0.25">
      <c r="O13667" s="20" t="str">
        <f>IF(N13667="","",COUNTIFS(RawData[[Date ]],N13667,RawData[Month List],$Q$6,RawData[Tour/Site],$Q$2,RawData[[Picker ID ]],$Q$3,RawData[Checker ID],$Q$4,RawData[[Error Type ]],$Q$5))</f>
        <v/>
      </c>
    </row>
    <row r="13668" spans="15:15" x14ac:dyDescent="0.25">
      <c r="O13668" s="20" t="str">
        <f>IF(N13668="","",COUNTIFS(RawData[[Date ]],N13668,RawData[Month List],$Q$6,RawData[Tour/Site],$Q$2,RawData[[Picker ID ]],$Q$3,RawData[Checker ID],$Q$4,RawData[[Error Type ]],$Q$5))</f>
        <v/>
      </c>
    </row>
    <row r="13669" spans="15:15" x14ac:dyDescent="0.25">
      <c r="O13669" s="20" t="str">
        <f>IF(N13669="","",COUNTIFS(RawData[[Date ]],N13669,RawData[Month List],$Q$6,RawData[Tour/Site],$Q$2,RawData[[Picker ID ]],$Q$3,RawData[Checker ID],$Q$4,RawData[[Error Type ]],$Q$5))</f>
        <v/>
      </c>
    </row>
    <row r="13670" spans="15:15" x14ac:dyDescent="0.25">
      <c r="O13670" s="20" t="str">
        <f>IF(N13670="","",COUNTIFS(RawData[[Date ]],N13670,RawData[Month List],$Q$6,RawData[Tour/Site],$Q$2,RawData[[Picker ID ]],$Q$3,RawData[Checker ID],$Q$4,RawData[[Error Type ]],$Q$5))</f>
        <v/>
      </c>
    </row>
    <row r="13671" spans="15:15" x14ac:dyDescent="0.25">
      <c r="O13671" s="20" t="str">
        <f>IF(N13671="","",COUNTIFS(RawData[[Date ]],N13671,RawData[Month List],$Q$6,RawData[Tour/Site],$Q$2,RawData[[Picker ID ]],$Q$3,RawData[Checker ID],$Q$4,RawData[[Error Type ]],$Q$5))</f>
        <v/>
      </c>
    </row>
    <row r="13672" spans="15:15" x14ac:dyDescent="0.25">
      <c r="O13672" s="20" t="str">
        <f>IF(N13672="","",COUNTIFS(RawData[[Date ]],N13672,RawData[Month List],$Q$6,RawData[Tour/Site],$Q$2,RawData[[Picker ID ]],$Q$3,RawData[Checker ID],$Q$4,RawData[[Error Type ]],$Q$5))</f>
        <v/>
      </c>
    </row>
    <row r="13673" spans="15:15" x14ac:dyDescent="0.25">
      <c r="O13673" s="20" t="str">
        <f>IF(N13673="","",COUNTIFS(RawData[[Date ]],N13673,RawData[Month List],$Q$6,RawData[Tour/Site],$Q$2,RawData[[Picker ID ]],$Q$3,RawData[Checker ID],$Q$4,RawData[[Error Type ]],$Q$5))</f>
        <v/>
      </c>
    </row>
    <row r="13674" spans="15:15" x14ac:dyDescent="0.25">
      <c r="O13674" s="20" t="str">
        <f>IF(N13674="","",COUNTIFS(RawData[[Date ]],N13674,RawData[Month List],$Q$6,RawData[Tour/Site],$Q$2,RawData[[Picker ID ]],$Q$3,RawData[Checker ID],$Q$4,RawData[[Error Type ]],$Q$5))</f>
        <v/>
      </c>
    </row>
    <row r="13675" spans="15:15" x14ac:dyDescent="0.25">
      <c r="O13675" s="20" t="str">
        <f>IF(N13675="","",COUNTIFS(RawData[[Date ]],N13675,RawData[Month List],$Q$6,RawData[Tour/Site],$Q$2,RawData[[Picker ID ]],$Q$3,RawData[Checker ID],$Q$4,RawData[[Error Type ]],$Q$5))</f>
        <v/>
      </c>
    </row>
    <row r="13676" spans="15:15" x14ac:dyDescent="0.25">
      <c r="O13676" s="20" t="str">
        <f>IF(N13676="","",COUNTIFS(RawData[[Date ]],N13676,RawData[Month List],$Q$6,RawData[Tour/Site],$Q$2,RawData[[Picker ID ]],$Q$3,RawData[Checker ID],$Q$4,RawData[[Error Type ]],$Q$5))</f>
        <v/>
      </c>
    </row>
    <row r="13677" spans="15:15" x14ac:dyDescent="0.25">
      <c r="O13677" s="20" t="str">
        <f>IF(N13677="","",COUNTIFS(RawData[[Date ]],N13677,RawData[Month List],$Q$6,RawData[Tour/Site],$Q$2,RawData[[Picker ID ]],$Q$3,RawData[Checker ID],$Q$4,RawData[[Error Type ]],$Q$5))</f>
        <v/>
      </c>
    </row>
    <row r="13678" spans="15:15" x14ac:dyDescent="0.25">
      <c r="O13678" s="20" t="str">
        <f>IF(N13678="","",COUNTIFS(RawData[[Date ]],N13678,RawData[Month List],$Q$6,RawData[Tour/Site],$Q$2,RawData[[Picker ID ]],$Q$3,RawData[Checker ID],$Q$4,RawData[[Error Type ]],$Q$5))</f>
        <v/>
      </c>
    </row>
    <row r="13679" spans="15:15" x14ac:dyDescent="0.25">
      <c r="O13679" s="20" t="str">
        <f>IF(N13679="","",COUNTIFS(RawData[[Date ]],N13679,RawData[Month List],$Q$6,RawData[Tour/Site],$Q$2,RawData[[Picker ID ]],$Q$3,RawData[Checker ID],$Q$4,RawData[[Error Type ]],$Q$5))</f>
        <v/>
      </c>
    </row>
    <row r="13680" spans="15:15" x14ac:dyDescent="0.25">
      <c r="O13680" s="20" t="str">
        <f>IF(N13680="","",COUNTIFS(RawData[[Date ]],N13680,RawData[Month List],$Q$6,RawData[Tour/Site],$Q$2,RawData[[Picker ID ]],$Q$3,RawData[Checker ID],$Q$4,RawData[[Error Type ]],$Q$5))</f>
        <v/>
      </c>
    </row>
    <row r="13681" spans="15:15" x14ac:dyDescent="0.25">
      <c r="O13681" s="20" t="str">
        <f>IF(N13681="","",COUNTIFS(RawData[[Date ]],N13681,RawData[Month List],$Q$6,RawData[Tour/Site],$Q$2,RawData[[Picker ID ]],$Q$3,RawData[Checker ID],$Q$4,RawData[[Error Type ]],$Q$5))</f>
        <v/>
      </c>
    </row>
    <row r="13682" spans="15:15" x14ac:dyDescent="0.25">
      <c r="O13682" s="20" t="str">
        <f>IF(N13682="","",COUNTIFS(RawData[[Date ]],N13682,RawData[Month List],$Q$6,RawData[Tour/Site],$Q$2,RawData[[Picker ID ]],$Q$3,RawData[Checker ID],$Q$4,RawData[[Error Type ]],$Q$5))</f>
        <v/>
      </c>
    </row>
    <row r="13683" spans="15:15" x14ac:dyDescent="0.25">
      <c r="O13683" s="20" t="str">
        <f>IF(N13683="","",COUNTIFS(RawData[[Date ]],N13683,RawData[Month List],$Q$6,RawData[Tour/Site],$Q$2,RawData[[Picker ID ]],$Q$3,RawData[Checker ID],$Q$4,RawData[[Error Type ]],$Q$5))</f>
        <v/>
      </c>
    </row>
    <row r="13684" spans="15:15" x14ac:dyDescent="0.25">
      <c r="O13684" s="20" t="str">
        <f>IF(N13684="","",COUNTIFS(RawData[[Date ]],N13684,RawData[Month List],$Q$6,RawData[Tour/Site],$Q$2,RawData[[Picker ID ]],$Q$3,RawData[Checker ID],$Q$4,RawData[[Error Type ]],$Q$5))</f>
        <v/>
      </c>
    </row>
    <row r="13685" spans="15:15" x14ac:dyDescent="0.25">
      <c r="O13685" s="20" t="str">
        <f>IF(N13685="","",COUNTIFS(RawData[[Date ]],N13685,RawData[Month List],$Q$6,RawData[Tour/Site],$Q$2,RawData[[Picker ID ]],$Q$3,RawData[Checker ID],$Q$4,RawData[[Error Type ]],$Q$5))</f>
        <v/>
      </c>
    </row>
    <row r="13686" spans="15:15" x14ac:dyDescent="0.25">
      <c r="O13686" s="20" t="str">
        <f>IF(N13686="","",COUNTIFS(RawData[[Date ]],N13686,RawData[Month List],$Q$6,RawData[Tour/Site],$Q$2,RawData[[Picker ID ]],$Q$3,RawData[Checker ID],$Q$4,RawData[[Error Type ]],$Q$5))</f>
        <v/>
      </c>
    </row>
    <row r="13687" spans="15:15" x14ac:dyDescent="0.25">
      <c r="O13687" s="20" t="str">
        <f>IF(N13687="","",COUNTIFS(RawData[[Date ]],N13687,RawData[Month List],$Q$6,RawData[Tour/Site],$Q$2,RawData[[Picker ID ]],$Q$3,RawData[Checker ID],$Q$4,RawData[[Error Type ]],$Q$5))</f>
        <v/>
      </c>
    </row>
    <row r="13688" spans="15:15" x14ac:dyDescent="0.25">
      <c r="O13688" s="20" t="str">
        <f>IF(N13688="","",COUNTIFS(RawData[[Date ]],N13688,RawData[Month List],$Q$6,RawData[Tour/Site],$Q$2,RawData[[Picker ID ]],$Q$3,RawData[Checker ID],$Q$4,RawData[[Error Type ]],$Q$5))</f>
        <v/>
      </c>
    </row>
    <row r="13689" spans="15:15" x14ac:dyDescent="0.25">
      <c r="O13689" s="20" t="str">
        <f>IF(N13689="","",COUNTIFS(RawData[[Date ]],N13689,RawData[Month List],$Q$6,RawData[Tour/Site],$Q$2,RawData[[Picker ID ]],$Q$3,RawData[Checker ID],$Q$4,RawData[[Error Type ]],$Q$5))</f>
        <v/>
      </c>
    </row>
    <row r="13690" spans="15:15" x14ac:dyDescent="0.25">
      <c r="O13690" s="20" t="str">
        <f>IF(N13690="","",COUNTIFS(RawData[[Date ]],N13690,RawData[Month List],$Q$6,RawData[Tour/Site],$Q$2,RawData[[Picker ID ]],$Q$3,RawData[Checker ID],$Q$4,RawData[[Error Type ]],$Q$5))</f>
        <v/>
      </c>
    </row>
    <row r="13691" spans="15:15" x14ac:dyDescent="0.25">
      <c r="O13691" s="20" t="str">
        <f>IF(N13691="","",COUNTIFS(RawData[[Date ]],N13691,RawData[Month List],$Q$6,RawData[Tour/Site],$Q$2,RawData[[Picker ID ]],$Q$3,RawData[Checker ID],$Q$4,RawData[[Error Type ]],$Q$5))</f>
        <v/>
      </c>
    </row>
    <row r="13692" spans="15:15" x14ac:dyDescent="0.25">
      <c r="O13692" s="20" t="str">
        <f>IF(N13692="","",COUNTIFS(RawData[[Date ]],N13692,RawData[Month List],$Q$6,RawData[Tour/Site],$Q$2,RawData[[Picker ID ]],$Q$3,RawData[Checker ID],$Q$4,RawData[[Error Type ]],$Q$5))</f>
        <v/>
      </c>
    </row>
    <row r="13693" spans="15:15" x14ac:dyDescent="0.25">
      <c r="O13693" s="20" t="str">
        <f>IF(N13693="","",COUNTIFS(RawData[[Date ]],N13693,RawData[Month List],$Q$6,RawData[Tour/Site],$Q$2,RawData[[Picker ID ]],$Q$3,RawData[Checker ID],$Q$4,RawData[[Error Type ]],$Q$5))</f>
        <v/>
      </c>
    </row>
    <row r="13694" spans="15:15" x14ac:dyDescent="0.25">
      <c r="O13694" s="20" t="str">
        <f>IF(N13694="","",COUNTIFS(RawData[[Date ]],N13694,RawData[Month List],$Q$6,RawData[Tour/Site],$Q$2,RawData[[Picker ID ]],$Q$3,RawData[Checker ID],$Q$4,RawData[[Error Type ]],$Q$5))</f>
        <v/>
      </c>
    </row>
    <row r="13695" spans="15:15" x14ac:dyDescent="0.25">
      <c r="O13695" s="20" t="str">
        <f>IF(N13695="","",COUNTIFS(RawData[[Date ]],N13695,RawData[Month List],$Q$6,RawData[Tour/Site],$Q$2,RawData[[Picker ID ]],$Q$3,RawData[Checker ID],$Q$4,RawData[[Error Type ]],$Q$5))</f>
        <v/>
      </c>
    </row>
    <row r="13696" spans="15:15" x14ac:dyDescent="0.25">
      <c r="O13696" s="20" t="str">
        <f>IF(N13696="","",COUNTIFS(RawData[[Date ]],N13696,RawData[Month List],$Q$6,RawData[Tour/Site],$Q$2,RawData[[Picker ID ]],$Q$3,RawData[Checker ID],$Q$4,RawData[[Error Type ]],$Q$5))</f>
        <v/>
      </c>
    </row>
    <row r="13697" spans="15:15" x14ac:dyDescent="0.25">
      <c r="O13697" s="20" t="str">
        <f>IF(N13697="","",COUNTIFS(RawData[[Date ]],N13697,RawData[Month List],$Q$6,RawData[Tour/Site],$Q$2,RawData[[Picker ID ]],$Q$3,RawData[Checker ID],$Q$4,RawData[[Error Type ]],$Q$5))</f>
        <v/>
      </c>
    </row>
    <row r="13698" spans="15:15" x14ac:dyDescent="0.25">
      <c r="O13698" s="20" t="str">
        <f>IF(N13698="","",COUNTIFS(RawData[[Date ]],N13698,RawData[Month List],$Q$6,RawData[Tour/Site],$Q$2,RawData[[Picker ID ]],$Q$3,RawData[Checker ID],$Q$4,RawData[[Error Type ]],$Q$5))</f>
        <v/>
      </c>
    </row>
    <row r="13699" spans="15:15" x14ac:dyDescent="0.25">
      <c r="O13699" s="20" t="str">
        <f>IF(N13699="","",COUNTIFS(RawData[[Date ]],N13699,RawData[Month List],$Q$6,RawData[Tour/Site],$Q$2,RawData[[Picker ID ]],$Q$3,RawData[Checker ID],$Q$4,RawData[[Error Type ]],$Q$5))</f>
        <v/>
      </c>
    </row>
    <row r="13700" spans="15:15" x14ac:dyDescent="0.25">
      <c r="O13700" s="20" t="str">
        <f>IF(N13700="","",COUNTIFS(RawData[[Date ]],N13700,RawData[Month List],$Q$6,RawData[Tour/Site],$Q$2,RawData[[Picker ID ]],$Q$3,RawData[Checker ID],$Q$4,RawData[[Error Type ]],$Q$5))</f>
        <v/>
      </c>
    </row>
    <row r="13701" spans="15:15" x14ac:dyDescent="0.25">
      <c r="O13701" s="20" t="str">
        <f>IF(N13701="","",COUNTIFS(RawData[[Date ]],N13701,RawData[Month List],$Q$6,RawData[Tour/Site],$Q$2,RawData[[Picker ID ]],$Q$3,RawData[Checker ID],$Q$4,RawData[[Error Type ]],$Q$5))</f>
        <v/>
      </c>
    </row>
    <row r="13702" spans="15:15" x14ac:dyDescent="0.25">
      <c r="O13702" s="20" t="str">
        <f>IF(N13702="","",COUNTIFS(RawData[[Date ]],N13702,RawData[Month List],$Q$6,RawData[Tour/Site],$Q$2,RawData[[Picker ID ]],$Q$3,RawData[Checker ID],$Q$4,RawData[[Error Type ]],$Q$5))</f>
        <v/>
      </c>
    </row>
    <row r="13703" spans="15:15" x14ac:dyDescent="0.25">
      <c r="O13703" s="20" t="str">
        <f>IF(N13703="","",COUNTIFS(RawData[[Date ]],N13703,RawData[Month List],$Q$6,RawData[Tour/Site],$Q$2,RawData[[Picker ID ]],$Q$3,RawData[Checker ID],$Q$4,RawData[[Error Type ]],$Q$5))</f>
        <v/>
      </c>
    </row>
    <row r="13704" spans="15:15" x14ac:dyDescent="0.25">
      <c r="O13704" s="20" t="str">
        <f>IF(N13704="","",COUNTIFS(RawData[[Date ]],N13704,RawData[Month List],$Q$6,RawData[Tour/Site],$Q$2,RawData[[Picker ID ]],$Q$3,RawData[Checker ID],$Q$4,RawData[[Error Type ]],$Q$5))</f>
        <v/>
      </c>
    </row>
    <row r="13705" spans="15:15" x14ac:dyDescent="0.25">
      <c r="O13705" s="20" t="str">
        <f>IF(N13705="","",COUNTIFS(RawData[[Date ]],N13705,RawData[Month List],$Q$6,RawData[Tour/Site],$Q$2,RawData[[Picker ID ]],$Q$3,RawData[Checker ID],$Q$4,RawData[[Error Type ]],$Q$5))</f>
        <v/>
      </c>
    </row>
    <row r="13706" spans="15:15" x14ac:dyDescent="0.25">
      <c r="O13706" s="20" t="str">
        <f>IF(N13706="","",COUNTIFS(RawData[[Date ]],N13706,RawData[Month List],$Q$6,RawData[Tour/Site],$Q$2,RawData[[Picker ID ]],$Q$3,RawData[Checker ID],$Q$4,RawData[[Error Type ]],$Q$5))</f>
        <v/>
      </c>
    </row>
    <row r="13707" spans="15:15" x14ac:dyDescent="0.25">
      <c r="O13707" s="20" t="str">
        <f>IF(N13707="","",COUNTIFS(RawData[[Date ]],N13707,RawData[Month List],$Q$6,RawData[Tour/Site],$Q$2,RawData[[Picker ID ]],$Q$3,RawData[Checker ID],$Q$4,RawData[[Error Type ]],$Q$5))</f>
        <v/>
      </c>
    </row>
    <row r="13708" spans="15:15" x14ac:dyDescent="0.25">
      <c r="O13708" s="20" t="str">
        <f>IF(N13708="","",COUNTIFS(RawData[[Date ]],N13708,RawData[Month List],$Q$6,RawData[Tour/Site],$Q$2,RawData[[Picker ID ]],$Q$3,RawData[Checker ID],$Q$4,RawData[[Error Type ]],$Q$5))</f>
        <v/>
      </c>
    </row>
    <row r="13709" spans="15:15" x14ac:dyDescent="0.25">
      <c r="O13709" s="20" t="str">
        <f>IF(N13709="","",COUNTIFS(RawData[[Date ]],N13709,RawData[Month List],$Q$6,RawData[Tour/Site],$Q$2,RawData[[Picker ID ]],$Q$3,RawData[Checker ID],$Q$4,RawData[[Error Type ]],$Q$5))</f>
        <v/>
      </c>
    </row>
    <row r="13710" spans="15:15" x14ac:dyDescent="0.25">
      <c r="O13710" s="20" t="str">
        <f>IF(N13710="","",COUNTIFS(RawData[[Date ]],N13710,RawData[Month List],$Q$6,RawData[Tour/Site],$Q$2,RawData[[Picker ID ]],$Q$3,RawData[Checker ID],$Q$4,RawData[[Error Type ]],$Q$5))</f>
        <v/>
      </c>
    </row>
    <row r="13711" spans="15:15" x14ac:dyDescent="0.25">
      <c r="O13711" s="20" t="str">
        <f>IF(N13711="","",COUNTIFS(RawData[[Date ]],N13711,RawData[Month List],$Q$6,RawData[Tour/Site],$Q$2,RawData[[Picker ID ]],$Q$3,RawData[Checker ID],$Q$4,RawData[[Error Type ]],$Q$5))</f>
        <v/>
      </c>
    </row>
    <row r="13712" spans="15:15" x14ac:dyDescent="0.25">
      <c r="O13712" s="20" t="str">
        <f>IF(N13712="","",COUNTIFS(RawData[[Date ]],N13712,RawData[Month List],$Q$6,RawData[Tour/Site],$Q$2,RawData[[Picker ID ]],$Q$3,RawData[Checker ID],$Q$4,RawData[[Error Type ]],$Q$5))</f>
        <v/>
      </c>
    </row>
    <row r="13713" spans="15:15" x14ac:dyDescent="0.25">
      <c r="O13713" s="20" t="str">
        <f>IF(N13713="","",COUNTIFS(RawData[[Date ]],N13713,RawData[Month List],$Q$6,RawData[Tour/Site],$Q$2,RawData[[Picker ID ]],$Q$3,RawData[Checker ID],$Q$4,RawData[[Error Type ]],$Q$5))</f>
        <v/>
      </c>
    </row>
    <row r="13714" spans="15:15" x14ac:dyDescent="0.25">
      <c r="O13714" s="20" t="str">
        <f>IF(N13714="","",COUNTIFS(RawData[[Date ]],N13714,RawData[Month List],$Q$6,RawData[Tour/Site],$Q$2,RawData[[Picker ID ]],$Q$3,RawData[Checker ID],$Q$4,RawData[[Error Type ]],$Q$5))</f>
        <v/>
      </c>
    </row>
    <row r="13715" spans="15:15" x14ac:dyDescent="0.25">
      <c r="O13715" s="20" t="str">
        <f>IF(N13715="","",COUNTIFS(RawData[[Date ]],N13715,RawData[Month List],$Q$6,RawData[Tour/Site],$Q$2,RawData[[Picker ID ]],$Q$3,RawData[Checker ID],$Q$4,RawData[[Error Type ]],$Q$5))</f>
        <v/>
      </c>
    </row>
    <row r="13716" spans="15:15" x14ac:dyDescent="0.25">
      <c r="O13716" s="20" t="str">
        <f>IF(N13716="","",COUNTIFS(RawData[[Date ]],N13716,RawData[Month List],$Q$6,RawData[Tour/Site],$Q$2,RawData[[Picker ID ]],$Q$3,RawData[Checker ID],$Q$4,RawData[[Error Type ]],$Q$5))</f>
        <v/>
      </c>
    </row>
    <row r="13717" spans="15:15" x14ac:dyDescent="0.25">
      <c r="O13717" s="20" t="str">
        <f>IF(N13717="","",COUNTIFS(RawData[[Date ]],N13717,RawData[Month List],$Q$6,RawData[Tour/Site],$Q$2,RawData[[Picker ID ]],$Q$3,RawData[Checker ID],$Q$4,RawData[[Error Type ]],$Q$5))</f>
        <v/>
      </c>
    </row>
    <row r="13718" spans="15:15" x14ac:dyDescent="0.25">
      <c r="O13718" s="20" t="str">
        <f>IF(N13718="","",COUNTIFS(RawData[[Date ]],N13718,RawData[Month List],$Q$6,RawData[Tour/Site],$Q$2,RawData[[Picker ID ]],$Q$3,RawData[Checker ID],$Q$4,RawData[[Error Type ]],$Q$5))</f>
        <v/>
      </c>
    </row>
    <row r="13719" spans="15:15" x14ac:dyDescent="0.25">
      <c r="O13719" s="20" t="str">
        <f>IF(N13719="","",COUNTIFS(RawData[[Date ]],N13719,RawData[Month List],$Q$6,RawData[Tour/Site],$Q$2,RawData[[Picker ID ]],$Q$3,RawData[Checker ID],$Q$4,RawData[[Error Type ]],$Q$5))</f>
        <v/>
      </c>
    </row>
    <row r="13720" spans="15:15" x14ac:dyDescent="0.25">
      <c r="O13720" s="20" t="str">
        <f>IF(N13720="","",COUNTIFS(RawData[[Date ]],N13720,RawData[Month List],$Q$6,RawData[Tour/Site],$Q$2,RawData[[Picker ID ]],$Q$3,RawData[Checker ID],$Q$4,RawData[[Error Type ]],$Q$5))</f>
        <v/>
      </c>
    </row>
    <row r="13721" spans="15:15" x14ac:dyDescent="0.25">
      <c r="O13721" s="20" t="str">
        <f>IF(N13721="","",COUNTIFS(RawData[[Date ]],N13721,RawData[Month List],$Q$6,RawData[Tour/Site],$Q$2,RawData[[Picker ID ]],$Q$3,RawData[Checker ID],$Q$4,RawData[[Error Type ]],$Q$5))</f>
        <v/>
      </c>
    </row>
    <row r="13722" spans="15:15" x14ac:dyDescent="0.25">
      <c r="O13722" s="20" t="str">
        <f>IF(N13722="","",COUNTIFS(RawData[[Date ]],N13722,RawData[Month List],$Q$6,RawData[Tour/Site],$Q$2,RawData[[Picker ID ]],$Q$3,RawData[Checker ID],$Q$4,RawData[[Error Type ]],$Q$5))</f>
        <v/>
      </c>
    </row>
    <row r="13723" spans="15:15" x14ac:dyDescent="0.25">
      <c r="O13723" s="20" t="str">
        <f>IF(N13723="","",COUNTIFS(RawData[[Date ]],N13723,RawData[Month List],$Q$6,RawData[Tour/Site],$Q$2,RawData[[Picker ID ]],$Q$3,RawData[Checker ID],$Q$4,RawData[[Error Type ]],$Q$5))</f>
        <v/>
      </c>
    </row>
    <row r="13724" spans="15:15" x14ac:dyDescent="0.25">
      <c r="O13724" s="20" t="str">
        <f>IF(N13724="","",COUNTIFS(RawData[[Date ]],N13724,RawData[Month List],$Q$6,RawData[Tour/Site],$Q$2,RawData[[Picker ID ]],$Q$3,RawData[Checker ID],$Q$4,RawData[[Error Type ]],$Q$5))</f>
        <v/>
      </c>
    </row>
    <row r="13725" spans="15:15" x14ac:dyDescent="0.25">
      <c r="O13725" s="20" t="str">
        <f>IF(N13725="","",COUNTIFS(RawData[[Date ]],N13725,RawData[Month List],$Q$6,RawData[Tour/Site],$Q$2,RawData[[Picker ID ]],$Q$3,RawData[Checker ID],$Q$4,RawData[[Error Type ]],$Q$5))</f>
        <v/>
      </c>
    </row>
    <row r="13726" spans="15:15" x14ac:dyDescent="0.25">
      <c r="O13726" s="20" t="str">
        <f>IF(N13726="","",COUNTIFS(RawData[[Date ]],N13726,RawData[Month List],$Q$6,RawData[Tour/Site],$Q$2,RawData[[Picker ID ]],$Q$3,RawData[Checker ID],$Q$4,RawData[[Error Type ]],$Q$5))</f>
        <v/>
      </c>
    </row>
    <row r="13727" spans="15:15" x14ac:dyDescent="0.25">
      <c r="O13727" s="20" t="str">
        <f>IF(N13727="","",COUNTIFS(RawData[[Date ]],N13727,RawData[Month List],$Q$6,RawData[Tour/Site],$Q$2,RawData[[Picker ID ]],$Q$3,RawData[Checker ID],$Q$4,RawData[[Error Type ]],$Q$5))</f>
        <v/>
      </c>
    </row>
    <row r="13728" spans="15:15" x14ac:dyDescent="0.25">
      <c r="O13728" s="20" t="str">
        <f>IF(N13728="","",COUNTIFS(RawData[[Date ]],N13728,RawData[Month List],$Q$6,RawData[Tour/Site],$Q$2,RawData[[Picker ID ]],$Q$3,RawData[Checker ID],$Q$4,RawData[[Error Type ]],$Q$5))</f>
        <v/>
      </c>
    </row>
    <row r="13729" spans="15:15" x14ac:dyDescent="0.25">
      <c r="O13729" s="20" t="str">
        <f>IF(N13729="","",COUNTIFS(RawData[[Date ]],N13729,RawData[Month List],$Q$6,RawData[Tour/Site],$Q$2,RawData[[Picker ID ]],$Q$3,RawData[Checker ID],$Q$4,RawData[[Error Type ]],$Q$5))</f>
        <v/>
      </c>
    </row>
    <row r="13730" spans="15:15" x14ac:dyDescent="0.25">
      <c r="O13730" s="20" t="str">
        <f>IF(N13730="","",COUNTIFS(RawData[[Date ]],N13730,RawData[Month List],$Q$6,RawData[Tour/Site],$Q$2,RawData[[Picker ID ]],$Q$3,RawData[Checker ID],$Q$4,RawData[[Error Type ]],$Q$5))</f>
        <v/>
      </c>
    </row>
    <row r="13731" spans="15:15" x14ac:dyDescent="0.25">
      <c r="O13731" s="20" t="str">
        <f>IF(N13731="","",COUNTIFS(RawData[[Date ]],N13731,RawData[Month List],$Q$6,RawData[Tour/Site],$Q$2,RawData[[Picker ID ]],$Q$3,RawData[Checker ID],$Q$4,RawData[[Error Type ]],$Q$5))</f>
        <v/>
      </c>
    </row>
    <row r="13732" spans="15:15" x14ac:dyDescent="0.25">
      <c r="O13732" s="20" t="str">
        <f>IF(N13732="","",COUNTIFS(RawData[[Date ]],N13732,RawData[Month List],$Q$6,RawData[Tour/Site],$Q$2,RawData[[Picker ID ]],$Q$3,RawData[Checker ID],$Q$4,RawData[[Error Type ]],$Q$5))</f>
        <v/>
      </c>
    </row>
    <row r="13733" spans="15:15" x14ac:dyDescent="0.25">
      <c r="O13733" s="20" t="str">
        <f>IF(N13733="","",COUNTIFS(RawData[[Date ]],N13733,RawData[Month List],$Q$6,RawData[Tour/Site],$Q$2,RawData[[Picker ID ]],$Q$3,RawData[Checker ID],$Q$4,RawData[[Error Type ]],$Q$5))</f>
        <v/>
      </c>
    </row>
    <row r="13734" spans="15:15" x14ac:dyDescent="0.25">
      <c r="O13734" s="20" t="str">
        <f>IF(N13734="","",COUNTIFS(RawData[[Date ]],N13734,RawData[Month List],$Q$6,RawData[Tour/Site],$Q$2,RawData[[Picker ID ]],$Q$3,RawData[Checker ID],$Q$4,RawData[[Error Type ]],$Q$5))</f>
        <v/>
      </c>
    </row>
    <row r="13735" spans="15:15" x14ac:dyDescent="0.25">
      <c r="O13735" s="20" t="str">
        <f>IF(N13735="","",COUNTIFS(RawData[[Date ]],N13735,RawData[Month List],$Q$6,RawData[Tour/Site],$Q$2,RawData[[Picker ID ]],$Q$3,RawData[Checker ID],$Q$4,RawData[[Error Type ]],$Q$5))</f>
        <v/>
      </c>
    </row>
    <row r="13736" spans="15:15" x14ac:dyDescent="0.25">
      <c r="O13736" s="20" t="str">
        <f>IF(N13736="","",COUNTIFS(RawData[[Date ]],N13736,RawData[Month List],$Q$6,RawData[Tour/Site],$Q$2,RawData[[Picker ID ]],$Q$3,RawData[Checker ID],$Q$4,RawData[[Error Type ]],$Q$5))</f>
        <v/>
      </c>
    </row>
    <row r="13737" spans="15:15" x14ac:dyDescent="0.25">
      <c r="O13737" s="20" t="str">
        <f>IF(N13737="","",COUNTIFS(RawData[[Date ]],N13737,RawData[Month List],$Q$6,RawData[Tour/Site],$Q$2,RawData[[Picker ID ]],$Q$3,RawData[Checker ID],$Q$4,RawData[[Error Type ]],$Q$5))</f>
        <v/>
      </c>
    </row>
    <row r="13738" spans="15:15" x14ac:dyDescent="0.25">
      <c r="O13738" s="20" t="str">
        <f>IF(N13738="","",COUNTIFS(RawData[[Date ]],N13738,RawData[Month List],$Q$6,RawData[Tour/Site],$Q$2,RawData[[Picker ID ]],$Q$3,RawData[Checker ID],$Q$4,RawData[[Error Type ]],$Q$5))</f>
        <v/>
      </c>
    </row>
    <row r="13739" spans="15:15" x14ac:dyDescent="0.25">
      <c r="O13739" s="20" t="str">
        <f>IF(N13739="","",COUNTIFS(RawData[[Date ]],N13739,RawData[Month List],$Q$6,RawData[Tour/Site],$Q$2,RawData[[Picker ID ]],$Q$3,RawData[Checker ID],$Q$4,RawData[[Error Type ]],$Q$5))</f>
        <v/>
      </c>
    </row>
    <row r="13740" spans="15:15" x14ac:dyDescent="0.25">
      <c r="O13740" s="20" t="str">
        <f>IF(N13740="","",COUNTIFS(RawData[[Date ]],N13740,RawData[Month List],$Q$6,RawData[Tour/Site],$Q$2,RawData[[Picker ID ]],$Q$3,RawData[Checker ID],$Q$4,RawData[[Error Type ]],$Q$5))</f>
        <v/>
      </c>
    </row>
    <row r="13741" spans="15:15" x14ac:dyDescent="0.25">
      <c r="O13741" s="20" t="str">
        <f>IF(N13741="","",COUNTIFS(RawData[[Date ]],N13741,RawData[Month List],$Q$6,RawData[Tour/Site],$Q$2,RawData[[Picker ID ]],$Q$3,RawData[Checker ID],$Q$4,RawData[[Error Type ]],$Q$5))</f>
        <v/>
      </c>
    </row>
    <row r="13742" spans="15:15" x14ac:dyDescent="0.25">
      <c r="O13742" s="20" t="str">
        <f>IF(N13742="","",COUNTIFS(RawData[[Date ]],N13742,RawData[Month List],$Q$6,RawData[Tour/Site],$Q$2,RawData[[Picker ID ]],$Q$3,RawData[Checker ID],$Q$4,RawData[[Error Type ]],$Q$5))</f>
        <v/>
      </c>
    </row>
    <row r="13743" spans="15:15" x14ac:dyDescent="0.25">
      <c r="O13743" s="20" t="str">
        <f>IF(N13743="","",COUNTIFS(RawData[[Date ]],N13743,RawData[Month List],$Q$6,RawData[Tour/Site],$Q$2,RawData[[Picker ID ]],$Q$3,RawData[Checker ID],$Q$4,RawData[[Error Type ]],$Q$5))</f>
        <v/>
      </c>
    </row>
    <row r="13744" spans="15:15" x14ac:dyDescent="0.25">
      <c r="O13744" s="20" t="str">
        <f>IF(N13744="","",COUNTIFS(RawData[[Date ]],N13744,RawData[Month List],$Q$6,RawData[Tour/Site],$Q$2,RawData[[Picker ID ]],$Q$3,RawData[Checker ID],$Q$4,RawData[[Error Type ]],$Q$5))</f>
        <v/>
      </c>
    </row>
    <row r="13745" spans="15:15" x14ac:dyDescent="0.25">
      <c r="O13745" s="20" t="str">
        <f>IF(N13745="","",COUNTIFS(RawData[[Date ]],N13745,RawData[Month List],$Q$6,RawData[Tour/Site],$Q$2,RawData[[Picker ID ]],$Q$3,RawData[Checker ID],$Q$4,RawData[[Error Type ]],$Q$5))</f>
        <v/>
      </c>
    </row>
    <row r="13746" spans="15:15" x14ac:dyDescent="0.25">
      <c r="O13746" s="20" t="str">
        <f>IF(N13746="","",COUNTIFS(RawData[[Date ]],N13746,RawData[Month List],$Q$6,RawData[Tour/Site],$Q$2,RawData[[Picker ID ]],$Q$3,RawData[Checker ID],$Q$4,RawData[[Error Type ]],$Q$5))</f>
        <v/>
      </c>
    </row>
    <row r="13747" spans="15:15" x14ac:dyDescent="0.25">
      <c r="O13747" s="20" t="str">
        <f>IF(N13747="","",COUNTIFS(RawData[[Date ]],N13747,RawData[Month List],$Q$6,RawData[Tour/Site],$Q$2,RawData[[Picker ID ]],$Q$3,RawData[Checker ID],$Q$4,RawData[[Error Type ]],$Q$5))</f>
        <v/>
      </c>
    </row>
    <row r="13748" spans="15:15" x14ac:dyDescent="0.25">
      <c r="O13748" s="20" t="str">
        <f>IF(N13748="","",COUNTIFS(RawData[[Date ]],N13748,RawData[Month List],$Q$6,RawData[Tour/Site],$Q$2,RawData[[Picker ID ]],$Q$3,RawData[Checker ID],$Q$4,RawData[[Error Type ]],$Q$5))</f>
        <v/>
      </c>
    </row>
    <row r="13749" spans="15:15" x14ac:dyDescent="0.25">
      <c r="O13749" s="20" t="str">
        <f>IF(N13749="","",COUNTIFS(RawData[[Date ]],N13749,RawData[Month List],$Q$6,RawData[Tour/Site],$Q$2,RawData[[Picker ID ]],$Q$3,RawData[Checker ID],$Q$4,RawData[[Error Type ]],$Q$5))</f>
        <v/>
      </c>
    </row>
    <row r="13750" spans="15:15" x14ac:dyDescent="0.25">
      <c r="O13750" s="20" t="str">
        <f>IF(N13750="","",COUNTIFS(RawData[[Date ]],N13750,RawData[Month List],$Q$6,RawData[Tour/Site],$Q$2,RawData[[Picker ID ]],$Q$3,RawData[Checker ID],$Q$4,RawData[[Error Type ]],$Q$5))</f>
        <v/>
      </c>
    </row>
    <row r="13751" spans="15:15" x14ac:dyDescent="0.25">
      <c r="O13751" s="20" t="str">
        <f>IF(N13751="","",COUNTIFS(RawData[[Date ]],N13751,RawData[Month List],$Q$6,RawData[Tour/Site],$Q$2,RawData[[Picker ID ]],$Q$3,RawData[Checker ID],$Q$4,RawData[[Error Type ]],$Q$5))</f>
        <v/>
      </c>
    </row>
    <row r="13752" spans="15:15" x14ac:dyDescent="0.25">
      <c r="O13752" s="20" t="str">
        <f>IF(N13752="","",COUNTIFS(RawData[[Date ]],N13752,RawData[Month List],$Q$6,RawData[Tour/Site],$Q$2,RawData[[Picker ID ]],$Q$3,RawData[Checker ID],$Q$4,RawData[[Error Type ]],$Q$5))</f>
        <v/>
      </c>
    </row>
    <row r="13753" spans="15:15" x14ac:dyDescent="0.25">
      <c r="O13753" s="20" t="str">
        <f>IF(N13753="","",COUNTIFS(RawData[[Date ]],N13753,RawData[Month List],$Q$6,RawData[Tour/Site],$Q$2,RawData[[Picker ID ]],$Q$3,RawData[Checker ID],$Q$4,RawData[[Error Type ]],$Q$5))</f>
        <v/>
      </c>
    </row>
    <row r="13754" spans="15:15" x14ac:dyDescent="0.25">
      <c r="O13754" s="20" t="str">
        <f>IF(N13754="","",COUNTIFS(RawData[[Date ]],N13754,RawData[Month List],$Q$6,RawData[Tour/Site],$Q$2,RawData[[Picker ID ]],$Q$3,RawData[Checker ID],$Q$4,RawData[[Error Type ]],$Q$5))</f>
        <v/>
      </c>
    </row>
    <row r="13755" spans="15:15" x14ac:dyDescent="0.25">
      <c r="O13755" s="20" t="str">
        <f>IF(N13755="","",COUNTIFS(RawData[[Date ]],N13755,RawData[Month List],$Q$6,RawData[Tour/Site],$Q$2,RawData[[Picker ID ]],$Q$3,RawData[Checker ID],$Q$4,RawData[[Error Type ]],$Q$5))</f>
        <v/>
      </c>
    </row>
    <row r="13756" spans="15:15" x14ac:dyDescent="0.25">
      <c r="O13756" s="20" t="str">
        <f>IF(N13756="","",COUNTIFS(RawData[[Date ]],N13756,RawData[Month List],$Q$6,RawData[Tour/Site],$Q$2,RawData[[Picker ID ]],$Q$3,RawData[Checker ID],$Q$4,RawData[[Error Type ]],$Q$5))</f>
        <v/>
      </c>
    </row>
    <row r="13757" spans="15:15" x14ac:dyDescent="0.25">
      <c r="O13757" s="20" t="str">
        <f>IF(N13757="","",COUNTIFS(RawData[[Date ]],N13757,RawData[Month List],$Q$6,RawData[Tour/Site],$Q$2,RawData[[Picker ID ]],$Q$3,RawData[Checker ID],$Q$4,RawData[[Error Type ]],$Q$5))</f>
        <v/>
      </c>
    </row>
    <row r="13758" spans="15:15" x14ac:dyDescent="0.25">
      <c r="O13758" s="20" t="str">
        <f>IF(N13758="","",COUNTIFS(RawData[[Date ]],N13758,RawData[Month List],$Q$6,RawData[Tour/Site],$Q$2,RawData[[Picker ID ]],$Q$3,RawData[Checker ID],$Q$4,RawData[[Error Type ]],$Q$5))</f>
        <v/>
      </c>
    </row>
    <row r="13759" spans="15:15" x14ac:dyDescent="0.25">
      <c r="O13759" s="20" t="str">
        <f>IF(N13759="","",COUNTIFS(RawData[[Date ]],N13759,RawData[Month List],$Q$6,RawData[Tour/Site],$Q$2,RawData[[Picker ID ]],$Q$3,RawData[Checker ID],$Q$4,RawData[[Error Type ]],$Q$5))</f>
        <v/>
      </c>
    </row>
    <row r="13760" spans="15:15" x14ac:dyDescent="0.25">
      <c r="O13760" s="20" t="str">
        <f>IF(N13760="","",COUNTIFS(RawData[[Date ]],N13760,RawData[Month List],$Q$6,RawData[Tour/Site],$Q$2,RawData[[Picker ID ]],$Q$3,RawData[Checker ID],$Q$4,RawData[[Error Type ]],$Q$5))</f>
        <v/>
      </c>
    </row>
    <row r="13761" spans="15:15" x14ac:dyDescent="0.25">
      <c r="O13761" s="20" t="str">
        <f>IF(N13761="","",COUNTIFS(RawData[[Date ]],N13761,RawData[Month List],$Q$6,RawData[Tour/Site],$Q$2,RawData[[Picker ID ]],$Q$3,RawData[Checker ID],$Q$4,RawData[[Error Type ]],$Q$5))</f>
        <v/>
      </c>
    </row>
    <row r="13762" spans="15:15" x14ac:dyDescent="0.25">
      <c r="O13762" s="20" t="str">
        <f>IF(N13762="","",COUNTIFS(RawData[[Date ]],N13762,RawData[Month List],$Q$6,RawData[Tour/Site],$Q$2,RawData[[Picker ID ]],$Q$3,RawData[Checker ID],$Q$4,RawData[[Error Type ]],$Q$5))</f>
        <v/>
      </c>
    </row>
    <row r="13763" spans="15:15" x14ac:dyDescent="0.25">
      <c r="O13763" s="20" t="str">
        <f>IF(N13763="","",COUNTIFS(RawData[[Date ]],N13763,RawData[Month List],$Q$6,RawData[Tour/Site],$Q$2,RawData[[Picker ID ]],$Q$3,RawData[Checker ID],$Q$4,RawData[[Error Type ]],$Q$5))</f>
        <v/>
      </c>
    </row>
    <row r="13764" spans="15:15" x14ac:dyDescent="0.25">
      <c r="O13764" s="20" t="str">
        <f>IF(N13764="","",COUNTIFS(RawData[[Date ]],N13764,RawData[Month List],$Q$6,RawData[Tour/Site],$Q$2,RawData[[Picker ID ]],$Q$3,RawData[Checker ID],$Q$4,RawData[[Error Type ]],$Q$5))</f>
        <v/>
      </c>
    </row>
    <row r="13765" spans="15:15" x14ac:dyDescent="0.25">
      <c r="O13765" s="20" t="str">
        <f>IF(N13765="","",COUNTIFS(RawData[[Date ]],N13765,RawData[Month List],$Q$6,RawData[Tour/Site],$Q$2,RawData[[Picker ID ]],$Q$3,RawData[Checker ID],$Q$4,RawData[[Error Type ]],$Q$5))</f>
        <v/>
      </c>
    </row>
    <row r="13766" spans="15:15" x14ac:dyDescent="0.25">
      <c r="O13766" s="20" t="str">
        <f>IF(N13766="","",COUNTIFS(RawData[[Date ]],N13766,RawData[Month List],$Q$6,RawData[Tour/Site],$Q$2,RawData[[Picker ID ]],$Q$3,RawData[Checker ID],$Q$4,RawData[[Error Type ]],$Q$5))</f>
        <v/>
      </c>
    </row>
    <row r="13767" spans="15:15" x14ac:dyDescent="0.25">
      <c r="O13767" s="20" t="str">
        <f>IF(N13767="","",COUNTIFS(RawData[[Date ]],N13767,RawData[Month List],$Q$6,RawData[Tour/Site],$Q$2,RawData[[Picker ID ]],$Q$3,RawData[Checker ID],$Q$4,RawData[[Error Type ]],$Q$5))</f>
        <v/>
      </c>
    </row>
    <row r="13768" spans="15:15" x14ac:dyDescent="0.25">
      <c r="O13768" s="20" t="str">
        <f>IF(N13768="","",COUNTIFS(RawData[[Date ]],N13768,RawData[Month List],$Q$6,RawData[Tour/Site],$Q$2,RawData[[Picker ID ]],$Q$3,RawData[Checker ID],$Q$4,RawData[[Error Type ]],$Q$5))</f>
        <v/>
      </c>
    </row>
    <row r="13769" spans="15:15" x14ac:dyDescent="0.25">
      <c r="O13769" s="20" t="str">
        <f>IF(N13769="","",COUNTIFS(RawData[[Date ]],N13769,RawData[Month List],$Q$6,RawData[Tour/Site],$Q$2,RawData[[Picker ID ]],$Q$3,RawData[Checker ID],$Q$4,RawData[[Error Type ]],$Q$5))</f>
        <v/>
      </c>
    </row>
    <row r="13770" spans="15:15" x14ac:dyDescent="0.25">
      <c r="O13770" s="20" t="str">
        <f>IF(N13770="","",COUNTIFS(RawData[[Date ]],N13770,RawData[Month List],$Q$6,RawData[Tour/Site],$Q$2,RawData[[Picker ID ]],$Q$3,RawData[Checker ID],$Q$4,RawData[[Error Type ]],$Q$5))</f>
        <v/>
      </c>
    </row>
    <row r="13771" spans="15:15" x14ac:dyDescent="0.25">
      <c r="O13771" s="20" t="str">
        <f>IF(N13771="","",COUNTIFS(RawData[[Date ]],N13771,RawData[Month List],$Q$6,RawData[Tour/Site],$Q$2,RawData[[Picker ID ]],$Q$3,RawData[Checker ID],$Q$4,RawData[[Error Type ]],$Q$5))</f>
        <v/>
      </c>
    </row>
    <row r="13772" spans="15:15" x14ac:dyDescent="0.25">
      <c r="O13772" s="20" t="str">
        <f>IF(N13772="","",COUNTIFS(RawData[[Date ]],N13772,RawData[Month List],$Q$6,RawData[Tour/Site],$Q$2,RawData[[Picker ID ]],$Q$3,RawData[Checker ID],$Q$4,RawData[[Error Type ]],$Q$5))</f>
        <v/>
      </c>
    </row>
    <row r="13773" spans="15:15" x14ac:dyDescent="0.25">
      <c r="O13773" s="20" t="str">
        <f>IF(N13773="","",COUNTIFS(RawData[[Date ]],N13773,RawData[Month List],$Q$6,RawData[Tour/Site],$Q$2,RawData[[Picker ID ]],$Q$3,RawData[Checker ID],$Q$4,RawData[[Error Type ]],$Q$5))</f>
        <v/>
      </c>
    </row>
    <row r="13774" spans="15:15" x14ac:dyDescent="0.25">
      <c r="O13774" s="20" t="str">
        <f>IF(N13774="","",COUNTIFS(RawData[[Date ]],N13774,RawData[Month List],$Q$6,RawData[Tour/Site],$Q$2,RawData[[Picker ID ]],$Q$3,RawData[Checker ID],$Q$4,RawData[[Error Type ]],$Q$5))</f>
        <v/>
      </c>
    </row>
    <row r="13775" spans="15:15" x14ac:dyDescent="0.25">
      <c r="O13775" s="20" t="str">
        <f>IF(N13775="","",COUNTIFS(RawData[[Date ]],N13775,RawData[Month List],$Q$6,RawData[Tour/Site],$Q$2,RawData[[Picker ID ]],$Q$3,RawData[Checker ID],$Q$4,RawData[[Error Type ]],$Q$5))</f>
        <v/>
      </c>
    </row>
    <row r="13776" spans="15:15" x14ac:dyDescent="0.25">
      <c r="O13776" s="20" t="str">
        <f>IF(N13776="","",COUNTIFS(RawData[[Date ]],N13776,RawData[Month List],$Q$6,RawData[Tour/Site],$Q$2,RawData[[Picker ID ]],$Q$3,RawData[Checker ID],$Q$4,RawData[[Error Type ]],$Q$5))</f>
        <v/>
      </c>
    </row>
    <row r="13777" spans="15:15" x14ac:dyDescent="0.25">
      <c r="O13777" s="20" t="str">
        <f>IF(N13777="","",COUNTIFS(RawData[[Date ]],N13777,RawData[Month List],$Q$6,RawData[Tour/Site],$Q$2,RawData[[Picker ID ]],$Q$3,RawData[Checker ID],$Q$4,RawData[[Error Type ]],$Q$5))</f>
        <v/>
      </c>
    </row>
    <row r="13778" spans="15:15" x14ac:dyDescent="0.25">
      <c r="O13778" s="20" t="str">
        <f>IF(N13778="","",COUNTIFS(RawData[[Date ]],N13778,RawData[Month List],$Q$6,RawData[Tour/Site],$Q$2,RawData[[Picker ID ]],$Q$3,RawData[Checker ID],$Q$4,RawData[[Error Type ]],$Q$5))</f>
        <v/>
      </c>
    </row>
    <row r="13779" spans="15:15" x14ac:dyDescent="0.25">
      <c r="O13779" s="20" t="str">
        <f>IF(N13779="","",COUNTIFS(RawData[[Date ]],N13779,RawData[Month List],$Q$6,RawData[Tour/Site],$Q$2,RawData[[Picker ID ]],$Q$3,RawData[Checker ID],$Q$4,RawData[[Error Type ]],$Q$5))</f>
        <v/>
      </c>
    </row>
    <row r="13780" spans="15:15" x14ac:dyDescent="0.25">
      <c r="O13780" s="20" t="str">
        <f>IF(N13780="","",COUNTIFS(RawData[[Date ]],N13780,RawData[Month List],$Q$6,RawData[Tour/Site],$Q$2,RawData[[Picker ID ]],$Q$3,RawData[Checker ID],$Q$4,RawData[[Error Type ]],$Q$5))</f>
        <v/>
      </c>
    </row>
    <row r="13781" spans="15:15" x14ac:dyDescent="0.25">
      <c r="O13781" s="20" t="str">
        <f>IF(N13781="","",COUNTIFS(RawData[[Date ]],N13781,RawData[Month List],$Q$6,RawData[Tour/Site],$Q$2,RawData[[Picker ID ]],$Q$3,RawData[Checker ID],$Q$4,RawData[[Error Type ]],$Q$5))</f>
        <v/>
      </c>
    </row>
    <row r="13782" spans="15:15" x14ac:dyDescent="0.25">
      <c r="O13782" s="20" t="str">
        <f>IF(N13782="","",COUNTIFS(RawData[[Date ]],N13782,RawData[Month List],$Q$6,RawData[Tour/Site],$Q$2,RawData[[Picker ID ]],$Q$3,RawData[Checker ID],$Q$4,RawData[[Error Type ]],$Q$5))</f>
        <v/>
      </c>
    </row>
    <row r="13783" spans="15:15" x14ac:dyDescent="0.25">
      <c r="O13783" s="20" t="str">
        <f>IF(N13783="","",COUNTIFS(RawData[[Date ]],N13783,RawData[Month List],$Q$6,RawData[Tour/Site],$Q$2,RawData[[Picker ID ]],$Q$3,RawData[Checker ID],$Q$4,RawData[[Error Type ]],$Q$5))</f>
        <v/>
      </c>
    </row>
    <row r="13784" spans="15:15" x14ac:dyDescent="0.25">
      <c r="O13784" s="20" t="str">
        <f>IF(N13784="","",COUNTIFS(RawData[[Date ]],N13784,RawData[Month List],$Q$6,RawData[Tour/Site],$Q$2,RawData[[Picker ID ]],$Q$3,RawData[Checker ID],$Q$4,RawData[[Error Type ]],$Q$5))</f>
        <v/>
      </c>
    </row>
    <row r="13785" spans="15:15" x14ac:dyDescent="0.25">
      <c r="O13785" s="20" t="str">
        <f>IF(N13785="","",COUNTIFS(RawData[[Date ]],N13785,RawData[Month List],$Q$6,RawData[Tour/Site],$Q$2,RawData[[Picker ID ]],$Q$3,RawData[Checker ID],$Q$4,RawData[[Error Type ]],$Q$5))</f>
        <v/>
      </c>
    </row>
    <row r="13786" spans="15:15" x14ac:dyDescent="0.25">
      <c r="O13786" s="20" t="str">
        <f>IF(N13786="","",COUNTIFS(RawData[[Date ]],N13786,RawData[Month List],$Q$6,RawData[Tour/Site],$Q$2,RawData[[Picker ID ]],$Q$3,RawData[Checker ID],$Q$4,RawData[[Error Type ]],$Q$5))</f>
        <v/>
      </c>
    </row>
    <row r="13787" spans="15:15" x14ac:dyDescent="0.25">
      <c r="O13787" s="20" t="str">
        <f>IF(N13787="","",COUNTIFS(RawData[[Date ]],N13787,RawData[Month List],$Q$6,RawData[Tour/Site],$Q$2,RawData[[Picker ID ]],$Q$3,RawData[Checker ID],$Q$4,RawData[[Error Type ]],$Q$5))</f>
        <v/>
      </c>
    </row>
    <row r="13788" spans="15:15" x14ac:dyDescent="0.25">
      <c r="O13788" s="20" t="str">
        <f>IF(N13788="","",COUNTIFS(RawData[[Date ]],N13788,RawData[Month List],$Q$6,RawData[Tour/Site],$Q$2,RawData[[Picker ID ]],$Q$3,RawData[Checker ID],$Q$4,RawData[[Error Type ]],$Q$5))</f>
        <v/>
      </c>
    </row>
    <row r="13789" spans="15:15" x14ac:dyDescent="0.25">
      <c r="O13789" s="20" t="str">
        <f>IF(N13789="","",COUNTIFS(RawData[[Date ]],N13789,RawData[Month List],$Q$6,RawData[Tour/Site],$Q$2,RawData[[Picker ID ]],$Q$3,RawData[Checker ID],$Q$4,RawData[[Error Type ]],$Q$5))</f>
        <v/>
      </c>
    </row>
    <row r="13790" spans="15:15" x14ac:dyDescent="0.25">
      <c r="O13790" s="20" t="str">
        <f>IF(N13790="","",COUNTIFS(RawData[[Date ]],N13790,RawData[Month List],$Q$6,RawData[Tour/Site],$Q$2,RawData[[Picker ID ]],$Q$3,RawData[Checker ID],$Q$4,RawData[[Error Type ]],$Q$5))</f>
        <v/>
      </c>
    </row>
    <row r="13791" spans="15:15" x14ac:dyDescent="0.25">
      <c r="O13791" s="20" t="str">
        <f>IF(N13791="","",COUNTIFS(RawData[[Date ]],N13791,RawData[Month List],$Q$6,RawData[Tour/Site],$Q$2,RawData[[Picker ID ]],$Q$3,RawData[Checker ID],$Q$4,RawData[[Error Type ]],$Q$5))</f>
        <v/>
      </c>
    </row>
    <row r="13792" spans="15:15" x14ac:dyDescent="0.25">
      <c r="O13792" s="20" t="str">
        <f>IF(N13792="","",COUNTIFS(RawData[[Date ]],N13792,RawData[Month List],$Q$6,RawData[Tour/Site],$Q$2,RawData[[Picker ID ]],$Q$3,RawData[Checker ID],$Q$4,RawData[[Error Type ]],$Q$5))</f>
        <v/>
      </c>
    </row>
    <row r="13793" spans="15:15" x14ac:dyDescent="0.25">
      <c r="O13793" s="20" t="str">
        <f>IF(N13793="","",COUNTIFS(RawData[[Date ]],N13793,RawData[Month List],$Q$6,RawData[Tour/Site],$Q$2,RawData[[Picker ID ]],$Q$3,RawData[Checker ID],$Q$4,RawData[[Error Type ]],$Q$5))</f>
        <v/>
      </c>
    </row>
    <row r="13794" spans="15:15" x14ac:dyDescent="0.25">
      <c r="O13794" s="20" t="str">
        <f>IF(N13794="","",COUNTIFS(RawData[[Date ]],N13794,RawData[Month List],$Q$6,RawData[Tour/Site],$Q$2,RawData[[Picker ID ]],$Q$3,RawData[Checker ID],$Q$4,RawData[[Error Type ]],$Q$5))</f>
        <v/>
      </c>
    </row>
    <row r="13795" spans="15:15" x14ac:dyDescent="0.25">
      <c r="O13795" s="20" t="str">
        <f>IF(N13795="","",COUNTIFS(RawData[[Date ]],N13795,RawData[Month List],$Q$6,RawData[Tour/Site],$Q$2,RawData[[Picker ID ]],$Q$3,RawData[Checker ID],$Q$4,RawData[[Error Type ]],$Q$5))</f>
        <v/>
      </c>
    </row>
    <row r="13796" spans="15:15" x14ac:dyDescent="0.25">
      <c r="O13796" s="20" t="str">
        <f>IF(N13796="","",COUNTIFS(RawData[[Date ]],N13796,RawData[Month List],$Q$6,RawData[Tour/Site],$Q$2,RawData[[Picker ID ]],$Q$3,RawData[Checker ID],$Q$4,RawData[[Error Type ]],$Q$5))</f>
        <v/>
      </c>
    </row>
    <row r="13797" spans="15:15" x14ac:dyDescent="0.25">
      <c r="O13797" s="20" t="str">
        <f>IF(N13797="","",COUNTIFS(RawData[[Date ]],N13797,RawData[Month List],$Q$6,RawData[Tour/Site],$Q$2,RawData[[Picker ID ]],$Q$3,RawData[Checker ID],$Q$4,RawData[[Error Type ]],$Q$5))</f>
        <v/>
      </c>
    </row>
    <row r="13798" spans="15:15" x14ac:dyDescent="0.25">
      <c r="O13798" s="20" t="str">
        <f>IF(N13798="","",COUNTIFS(RawData[[Date ]],N13798,RawData[Month List],$Q$6,RawData[Tour/Site],$Q$2,RawData[[Picker ID ]],$Q$3,RawData[Checker ID],$Q$4,RawData[[Error Type ]],$Q$5))</f>
        <v/>
      </c>
    </row>
    <row r="13799" spans="15:15" x14ac:dyDescent="0.25">
      <c r="O13799" s="20" t="str">
        <f>IF(N13799="","",COUNTIFS(RawData[[Date ]],N13799,RawData[Month List],$Q$6,RawData[Tour/Site],$Q$2,RawData[[Picker ID ]],$Q$3,RawData[Checker ID],$Q$4,RawData[[Error Type ]],$Q$5))</f>
        <v/>
      </c>
    </row>
    <row r="13800" spans="15:15" x14ac:dyDescent="0.25">
      <c r="O13800" s="20" t="str">
        <f>IF(N13800="","",COUNTIFS(RawData[[Date ]],N13800,RawData[Month List],$Q$6,RawData[Tour/Site],$Q$2,RawData[[Picker ID ]],$Q$3,RawData[Checker ID],$Q$4,RawData[[Error Type ]],$Q$5))</f>
        <v/>
      </c>
    </row>
    <row r="13801" spans="15:15" x14ac:dyDescent="0.25">
      <c r="O13801" s="20" t="str">
        <f>IF(N13801="","",COUNTIFS(RawData[[Date ]],N13801,RawData[Month List],$Q$6,RawData[Tour/Site],$Q$2,RawData[[Picker ID ]],$Q$3,RawData[Checker ID],$Q$4,RawData[[Error Type ]],$Q$5))</f>
        <v/>
      </c>
    </row>
    <row r="13802" spans="15:15" x14ac:dyDescent="0.25">
      <c r="O13802" s="20" t="str">
        <f>IF(N13802="","",COUNTIFS(RawData[[Date ]],N13802,RawData[Month List],$Q$6,RawData[Tour/Site],$Q$2,RawData[[Picker ID ]],$Q$3,RawData[Checker ID],$Q$4,RawData[[Error Type ]],$Q$5))</f>
        <v/>
      </c>
    </row>
    <row r="13803" spans="15:15" x14ac:dyDescent="0.25">
      <c r="O13803" s="20" t="str">
        <f>IF(N13803="","",COUNTIFS(RawData[[Date ]],N13803,RawData[Month List],$Q$6,RawData[Tour/Site],$Q$2,RawData[[Picker ID ]],$Q$3,RawData[Checker ID],$Q$4,RawData[[Error Type ]],$Q$5))</f>
        <v/>
      </c>
    </row>
    <row r="13804" spans="15:15" x14ac:dyDescent="0.25">
      <c r="O13804" s="20" t="str">
        <f>IF(N13804="","",COUNTIFS(RawData[[Date ]],N13804,RawData[Month List],$Q$6,RawData[Tour/Site],$Q$2,RawData[[Picker ID ]],$Q$3,RawData[Checker ID],$Q$4,RawData[[Error Type ]],$Q$5))</f>
        <v/>
      </c>
    </row>
    <row r="13805" spans="15:15" x14ac:dyDescent="0.25">
      <c r="O13805" s="20" t="str">
        <f>IF(N13805="","",COUNTIFS(RawData[[Date ]],N13805,RawData[Month List],$Q$6,RawData[Tour/Site],$Q$2,RawData[[Picker ID ]],$Q$3,RawData[Checker ID],$Q$4,RawData[[Error Type ]],$Q$5))</f>
        <v/>
      </c>
    </row>
    <row r="13806" spans="15:15" x14ac:dyDescent="0.25">
      <c r="O13806" s="20" t="str">
        <f>IF(N13806="","",COUNTIFS(RawData[[Date ]],N13806,RawData[Month List],$Q$6,RawData[Tour/Site],$Q$2,RawData[[Picker ID ]],$Q$3,RawData[Checker ID],$Q$4,RawData[[Error Type ]],$Q$5))</f>
        <v/>
      </c>
    </row>
    <row r="13807" spans="15:15" x14ac:dyDescent="0.25">
      <c r="O13807" s="20" t="str">
        <f>IF(N13807="","",COUNTIFS(RawData[[Date ]],N13807,RawData[Month List],$Q$6,RawData[Tour/Site],$Q$2,RawData[[Picker ID ]],$Q$3,RawData[Checker ID],$Q$4,RawData[[Error Type ]],$Q$5))</f>
        <v/>
      </c>
    </row>
    <row r="13808" spans="15:15" x14ac:dyDescent="0.25">
      <c r="O13808" s="20" t="str">
        <f>IF(N13808="","",COUNTIFS(RawData[[Date ]],N13808,RawData[Month List],$Q$6,RawData[Tour/Site],$Q$2,RawData[[Picker ID ]],$Q$3,RawData[Checker ID],$Q$4,RawData[[Error Type ]],$Q$5))</f>
        <v/>
      </c>
    </row>
    <row r="13809" spans="15:15" x14ac:dyDescent="0.25">
      <c r="O13809" s="20" t="str">
        <f>IF(N13809="","",COUNTIFS(RawData[[Date ]],N13809,RawData[Month List],$Q$6,RawData[Tour/Site],$Q$2,RawData[[Picker ID ]],$Q$3,RawData[Checker ID],$Q$4,RawData[[Error Type ]],$Q$5))</f>
        <v/>
      </c>
    </row>
    <row r="13810" spans="15:15" x14ac:dyDescent="0.25">
      <c r="O13810" s="20" t="str">
        <f>IF(N13810="","",COUNTIFS(RawData[[Date ]],N13810,RawData[Month List],$Q$6,RawData[Tour/Site],$Q$2,RawData[[Picker ID ]],$Q$3,RawData[Checker ID],$Q$4,RawData[[Error Type ]],$Q$5))</f>
        <v/>
      </c>
    </row>
    <row r="13811" spans="15:15" x14ac:dyDescent="0.25">
      <c r="O13811" s="20" t="str">
        <f>IF(N13811="","",COUNTIFS(RawData[[Date ]],N13811,RawData[Month List],$Q$6,RawData[Tour/Site],$Q$2,RawData[[Picker ID ]],$Q$3,RawData[Checker ID],$Q$4,RawData[[Error Type ]],$Q$5))</f>
        <v/>
      </c>
    </row>
    <row r="13812" spans="15:15" x14ac:dyDescent="0.25">
      <c r="O13812" s="20" t="str">
        <f>IF(N13812="","",COUNTIFS(RawData[[Date ]],N13812,RawData[Month List],$Q$6,RawData[Tour/Site],$Q$2,RawData[[Picker ID ]],$Q$3,RawData[Checker ID],$Q$4,RawData[[Error Type ]],$Q$5))</f>
        <v/>
      </c>
    </row>
    <row r="13813" spans="15:15" x14ac:dyDescent="0.25">
      <c r="O13813" s="20" t="str">
        <f>IF(N13813="","",COUNTIFS(RawData[[Date ]],N13813,RawData[Month List],$Q$6,RawData[Tour/Site],$Q$2,RawData[[Picker ID ]],$Q$3,RawData[Checker ID],$Q$4,RawData[[Error Type ]],$Q$5))</f>
        <v/>
      </c>
    </row>
    <row r="13814" spans="15:15" x14ac:dyDescent="0.25">
      <c r="O13814" s="20" t="str">
        <f>IF(N13814="","",COUNTIFS(RawData[[Date ]],N13814,RawData[Month List],$Q$6,RawData[Tour/Site],$Q$2,RawData[[Picker ID ]],$Q$3,RawData[Checker ID],$Q$4,RawData[[Error Type ]],$Q$5))</f>
        <v/>
      </c>
    </row>
    <row r="13815" spans="15:15" x14ac:dyDescent="0.25">
      <c r="O13815" s="20" t="str">
        <f>IF(N13815="","",COUNTIFS(RawData[[Date ]],N13815,RawData[Month List],$Q$6,RawData[Tour/Site],$Q$2,RawData[[Picker ID ]],$Q$3,RawData[Checker ID],$Q$4,RawData[[Error Type ]],$Q$5))</f>
        <v/>
      </c>
    </row>
    <row r="13816" spans="15:15" x14ac:dyDescent="0.25">
      <c r="O13816" s="20" t="str">
        <f>IF(N13816="","",COUNTIFS(RawData[[Date ]],N13816,RawData[Month List],$Q$6,RawData[Tour/Site],$Q$2,RawData[[Picker ID ]],$Q$3,RawData[Checker ID],$Q$4,RawData[[Error Type ]],$Q$5))</f>
        <v/>
      </c>
    </row>
    <row r="13817" spans="15:15" x14ac:dyDescent="0.25">
      <c r="O13817" s="20" t="str">
        <f>IF(N13817="","",COUNTIFS(RawData[[Date ]],N13817,RawData[Month List],$Q$6,RawData[Tour/Site],$Q$2,RawData[[Picker ID ]],$Q$3,RawData[Checker ID],$Q$4,RawData[[Error Type ]],$Q$5))</f>
        <v/>
      </c>
    </row>
    <row r="13818" spans="15:15" x14ac:dyDescent="0.25">
      <c r="O13818" s="20" t="str">
        <f>IF(N13818="","",COUNTIFS(RawData[[Date ]],N13818,RawData[Month List],$Q$6,RawData[Tour/Site],$Q$2,RawData[[Picker ID ]],$Q$3,RawData[Checker ID],$Q$4,RawData[[Error Type ]],$Q$5))</f>
        <v/>
      </c>
    </row>
    <row r="13819" spans="15:15" x14ac:dyDescent="0.25">
      <c r="O13819" s="20" t="str">
        <f>IF(N13819="","",COUNTIFS(RawData[[Date ]],N13819,RawData[Month List],$Q$6,RawData[Tour/Site],$Q$2,RawData[[Picker ID ]],$Q$3,RawData[Checker ID],$Q$4,RawData[[Error Type ]],$Q$5))</f>
        <v/>
      </c>
    </row>
    <row r="13820" spans="15:15" x14ac:dyDescent="0.25">
      <c r="O13820" s="20" t="str">
        <f>IF(N13820="","",COUNTIFS(RawData[[Date ]],N13820,RawData[Month List],$Q$6,RawData[Tour/Site],$Q$2,RawData[[Picker ID ]],$Q$3,RawData[Checker ID],$Q$4,RawData[[Error Type ]],$Q$5))</f>
        <v/>
      </c>
    </row>
    <row r="13821" spans="15:15" x14ac:dyDescent="0.25">
      <c r="O13821" s="20" t="str">
        <f>IF(N13821="","",COUNTIFS(RawData[[Date ]],N13821,RawData[Month List],$Q$6,RawData[Tour/Site],$Q$2,RawData[[Picker ID ]],$Q$3,RawData[Checker ID],$Q$4,RawData[[Error Type ]],$Q$5))</f>
        <v/>
      </c>
    </row>
    <row r="13822" spans="15:15" x14ac:dyDescent="0.25">
      <c r="O13822" s="20" t="str">
        <f>IF(N13822="","",COUNTIFS(RawData[[Date ]],N13822,RawData[Month List],$Q$6,RawData[Tour/Site],$Q$2,RawData[[Picker ID ]],$Q$3,RawData[Checker ID],$Q$4,RawData[[Error Type ]],$Q$5))</f>
        <v/>
      </c>
    </row>
    <row r="13823" spans="15:15" x14ac:dyDescent="0.25">
      <c r="O13823" s="20" t="str">
        <f>IF(N13823="","",COUNTIFS(RawData[[Date ]],N13823,RawData[Month List],$Q$6,RawData[Tour/Site],$Q$2,RawData[[Picker ID ]],$Q$3,RawData[Checker ID],$Q$4,RawData[[Error Type ]],$Q$5))</f>
        <v/>
      </c>
    </row>
    <row r="13824" spans="15:15" x14ac:dyDescent="0.25">
      <c r="O13824" s="20" t="str">
        <f>IF(N13824="","",COUNTIFS(RawData[[Date ]],N13824,RawData[Month List],$Q$6,RawData[Tour/Site],$Q$2,RawData[[Picker ID ]],$Q$3,RawData[Checker ID],$Q$4,RawData[[Error Type ]],$Q$5))</f>
        <v/>
      </c>
    </row>
    <row r="13825" spans="15:15" x14ac:dyDescent="0.25">
      <c r="O13825" s="20" t="str">
        <f>IF(N13825="","",COUNTIFS(RawData[[Date ]],N13825,RawData[Month List],$Q$6,RawData[Tour/Site],$Q$2,RawData[[Picker ID ]],$Q$3,RawData[Checker ID],$Q$4,RawData[[Error Type ]],$Q$5))</f>
        <v/>
      </c>
    </row>
    <row r="13826" spans="15:15" x14ac:dyDescent="0.25">
      <c r="O13826" s="20" t="str">
        <f>IF(N13826="","",COUNTIFS(RawData[[Date ]],N13826,RawData[Month List],$Q$6,RawData[Tour/Site],$Q$2,RawData[[Picker ID ]],$Q$3,RawData[Checker ID],$Q$4,RawData[[Error Type ]],$Q$5))</f>
        <v/>
      </c>
    </row>
    <row r="13827" spans="15:15" x14ac:dyDescent="0.25">
      <c r="O13827" s="20" t="str">
        <f>IF(N13827="","",COUNTIFS(RawData[[Date ]],N13827,RawData[Month List],$Q$6,RawData[Tour/Site],$Q$2,RawData[[Picker ID ]],$Q$3,RawData[Checker ID],$Q$4,RawData[[Error Type ]],$Q$5))</f>
        <v/>
      </c>
    </row>
    <row r="13828" spans="15:15" x14ac:dyDescent="0.25">
      <c r="O13828" s="20" t="str">
        <f>IF(N13828="","",COUNTIFS(RawData[[Date ]],N13828,RawData[Month List],$Q$6,RawData[Tour/Site],$Q$2,RawData[[Picker ID ]],$Q$3,RawData[Checker ID],$Q$4,RawData[[Error Type ]],$Q$5))</f>
        <v/>
      </c>
    </row>
    <row r="13829" spans="15:15" x14ac:dyDescent="0.25">
      <c r="O13829" s="20" t="str">
        <f>IF(N13829="","",COUNTIFS(RawData[[Date ]],N13829,RawData[Month List],$Q$6,RawData[Tour/Site],$Q$2,RawData[[Picker ID ]],$Q$3,RawData[Checker ID],$Q$4,RawData[[Error Type ]],$Q$5))</f>
        <v/>
      </c>
    </row>
    <row r="13830" spans="15:15" x14ac:dyDescent="0.25">
      <c r="O13830" s="20" t="str">
        <f>IF(N13830="","",COUNTIFS(RawData[[Date ]],N13830,RawData[Month List],$Q$6,RawData[Tour/Site],$Q$2,RawData[[Picker ID ]],$Q$3,RawData[Checker ID],$Q$4,RawData[[Error Type ]],$Q$5))</f>
        <v/>
      </c>
    </row>
    <row r="13831" spans="15:15" x14ac:dyDescent="0.25">
      <c r="O13831" s="20" t="str">
        <f>IF(N13831="","",COUNTIFS(RawData[[Date ]],N13831,RawData[Month List],$Q$6,RawData[Tour/Site],$Q$2,RawData[[Picker ID ]],$Q$3,RawData[Checker ID],$Q$4,RawData[[Error Type ]],$Q$5))</f>
        <v/>
      </c>
    </row>
    <row r="13832" spans="15:15" x14ac:dyDescent="0.25">
      <c r="O13832" s="20" t="str">
        <f>IF(N13832="","",COUNTIFS(RawData[[Date ]],N13832,RawData[Month List],$Q$6,RawData[Tour/Site],$Q$2,RawData[[Picker ID ]],$Q$3,RawData[Checker ID],$Q$4,RawData[[Error Type ]],$Q$5))</f>
        <v/>
      </c>
    </row>
    <row r="13833" spans="15:15" x14ac:dyDescent="0.25">
      <c r="O13833" s="20" t="str">
        <f>IF(N13833="","",COUNTIFS(RawData[[Date ]],N13833,RawData[Month List],$Q$6,RawData[Tour/Site],$Q$2,RawData[[Picker ID ]],$Q$3,RawData[Checker ID],$Q$4,RawData[[Error Type ]],$Q$5))</f>
        <v/>
      </c>
    </row>
    <row r="13834" spans="15:15" x14ac:dyDescent="0.25">
      <c r="O13834" s="20" t="str">
        <f>IF(N13834="","",COUNTIFS(RawData[[Date ]],N13834,RawData[Month List],$Q$6,RawData[Tour/Site],$Q$2,RawData[[Picker ID ]],$Q$3,RawData[Checker ID],$Q$4,RawData[[Error Type ]],$Q$5))</f>
        <v/>
      </c>
    </row>
    <row r="13835" spans="15:15" x14ac:dyDescent="0.25">
      <c r="O13835" s="20" t="str">
        <f>IF(N13835="","",COUNTIFS(RawData[[Date ]],N13835,RawData[Month List],$Q$6,RawData[Tour/Site],$Q$2,RawData[[Picker ID ]],$Q$3,RawData[Checker ID],$Q$4,RawData[[Error Type ]],$Q$5))</f>
        <v/>
      </c>
    </row>
    <row r="13836" spans="15:15" x14ac:dyDescent="0.25">
      <c r="O13836" s="20" t="str">
        <f>IF(N13836="","",COUNTIFS(RawData[[Date ]],N13836,RawData[Month List],$Q$6,RawData[Tour/Site],$Q$2,RawData[[Picker ID ]],$Q$3,RawData[Checker ID],$Q$4,RawData[[Error Type ]],$Q$5))</f>
        <v/>
      </c>
    </row>
    <row r="13837" spans="15:15" x14ac:dyDescent="0.25">
      <c r="O13837" s="20" t="str">
        <f>IF(N13837="","",COUNTIFS(RawData[[Date ]],N13837,RawData[Month List],$Q$6,RawData[Tour/Site],$Q$2,RawData[[Picker ID ]],$Q$3,RawData[Checker ID],$Q$4,RawData[[Error Type ]],$Q$5))</f>
        <v/>
      </c>
    </row>
    <row r="13838" spans="15:15" x14ac:dyDescent="0.25">
      <c r="O13838" s="20" t="str">
        <f>IF(N13838="","",COUNTIFS(RawData[[Date ]],N13838,RawData[Month List],$Q$6,RawData[Tour/Site],$Q$2,RawData[[Picker ID ]],$Q$3,RawData[Checker ID],$Q$4,RawData[[Error Type ]],$Q$5))</f>
        <v/>
      </c>
    </row>
    <row r="13839" spans="15:15" x14ac:dyDescent="0.25">
      <c r="O13839" s="20" t="str">
        <f>IF(N13839="","",COUNTIFS(RawData[[Date ]],N13839,RawData[Month List],$Q$6,RawData[Tour/Site],$Q$2,RawData[[Picker ID ]],$Q$3,RawData[Checker ID],$Q$4,RawData[[Error Type ]],$Q$5))</f>
        <v/>
      </c>
    </row>
    <row r="13840" spans="15:15" x14ac:dyDescent="0.25">
      <c r="O13840" s="20" t="str">
        <f>IF(N13840="","",COUNTIFS(RawData[[Date ]],N13840,RawData[Month List],$Q$6,RawData[Tour/Site],$Q$2,RawData[[Picker ID ]],$Q$3,RawData[Checker ID],$Q$4,RawData[[Error Type ]],$Q$5))</f>
        <v/>
      </c>
    </row>
    <row r="13841" spans="15:15" x14ac:dyDescent="0.25">
      <c r="O13841" s="20" t="str">
        <f>IF(N13841="","",COUNTIFS(RawData[[Date ]],N13841,RawData[Month List],$Q$6,RawData[Tour/Site],$Q$2,RawData[[Picker ID ]],$Q$3,RawData[Checker ID],$Q$4,RawData[[Error Type ]],$Q$5))</f>
        <v/>
      </c>
    </row>
    <row r="13842" spans="15:15" x14ac:dyDescent="0.25">
      <c r="O13842" s="20" t="str">
        <f>IF(N13842="","",COUNTIFS(RawData[[Date ]],N13842,RawData[Month List],$Q$6,RawData[Tour/Site],$Q$2,RawData[[Picker ID ]],$Q$3,RawData[Checker ID],$Q$4,RawData[[Error Type ]],$Q$5))</f>
        <v/>
      </c>
    </row>
    <row r="13843" spans="15:15" x14ac:dyDescent="0.25">
      <c r="O13843" s="20" t="str">
        <f>IF(N13843="","",COUNTIFS(RawData[[Date ]],N13843,RawData[Month List],$Q$6,RawData[Tour/Site],$Q$2,RawData[[Picker ID ]],$Q$3,RawData[Checker ID],$Q$4,RawData[[Error Type ]],$Q$5))</f>
        <v/>
      </c>
    </row>
    <row r="13844" spans="15:15" x14ac:dyDescent="0.25">
      <c r="O13844" s="20" t="str">
        <f>IF(N13844="","",COUNTIFS(RawData[[Date ]],N13844,RawData[Month List],$Q$6,RawData[Tour/Site],$Q$2,RawData[[Picker ID ]],$Q$3,RawData[Checker ID],$Q$4,RawData[[Error Type ]],$Q$5))</f>
        <v/>
      </c>
    </row>
    <row r="13845" spans="15:15" x14ac:dyDescent="0.25">
      <c r="O13845" s="20" t="str">
        <f>IF(N13845="","",COUNTIFS(RawData[[Date ]],N13845,RawData[Month List],$Q$6,RawData[Tour/Site],$Q$2,RawData[[Picker ID ]],$Q$3,RawData[Checker ID],$Q$4,RawData[[Error Type ]],$Q$5))</f>
        <v/>
      </c>
    </row>
    <row r="13846" spans="15:15" x14ac:dyDescent="0.25">
      <c r="O13846" s="20" t="str">
        <f>IF(N13846="","",COUNTIFS(RawData[[Date ]],N13846,RawData[Month List],$Q$6,RawData[Tour/Site],$Q$2,RawData[[Picker ID ]],$Q$3,RawData[Checker ID],$Q$4,RawData[[Error Type ]],$Q$5))</f>
        <v/>
      </c>
    </row>
    <row r="13847" spans="15:15" x14ac:dyDescent="0.25">
      <c r="O13847" s="20" t="str">
        <f>IF(N13847="","",COUNTIFS(RawData[[Date ]],N13847,RawData[Month List],$Q$6,RawData[Tour/Site],$Q$2,RawData[[Picker ID ]],$Q$3,RawData[Checker ID],$Q$4,RawData[[Error Type ]],$Q$5))</f>
        <v/>
      </c>
    </row>
    <row r="13848" spans="15:15" x14ac:dyDescent="0.25">
      <c r="O13848" s="20" t="str">
        <f>IF(N13848="","",COUNTIFS(RawData[[Date ]],N13848,RawData[Month List],$Q$6,RawData[Tour/Site],$Q$2,RawData[[Picker ID ]],$Q$3,RawData[Checker ID],$Q$4,RawData[[Error Type ]],$Q$5))</f>
        <v/>
      </c>
    </row>
    <row r="13849" spans="15:15" x14ac:dyDescent="0.25">
      <c r="O13849" s="20" t="str">
        <f>IF(N13849="","",COUNTIFS(RawData[[Date ]],N13849,RawData[Month List],$Q$6,RawData[Tour/Site],$Q$2,RawData[[Picker ID ]],$Q$3,RawData[Checker ID],$Q$4,RawData[[Error Type ]],$Q$5))</f>
        <v/>
      </c>
    </row>
    <row r="13850" spans="15:15" x14ac:dyDescent="0.25">
      <c r="O13850" s="20" t="str">
        <f>IF(N13850="","",COUNTIFS(RawData[[Date ]],N13850,RawData[Month List],$Q$6,RawData[Tour/Site],$Q$2,RawData[[Picker ID ]],$Q$3,RawData[Checker ID],$Q$4,RawData[[Error Type ]],$Q$5))</f>
        <v/>
      </c>
    </row>
    <row r="13851" spans="15:15" x14ac:dyDescent="0.25">
      <c r="O13851" s="20" t="str">
        <f>IF(N13851="","",COUNTIFS(RawData[[Date ]],N13851,RawData[Month List],$Q$6,RawData[Tour/Site],$Q$2,RawData[[Picker ID ]],$Q$3,RawData[Checker ID],$Q$4,RawData[[Error Type ]],$Q$5))</f>
        <v/>
      </c>
    </row>
    <row r="13852" spans="15:15" x14ac:dyDescent="0.25">
      <c r="O13852" s="20" t="str">
        <f>IF(N13852="","",COUNTIFS(RawData[[Date ]],N13852,RawData[Month List],$Q$6,RawData[Tour/Site],$Q$2,RawData[[Picker ID ]],$Q$3,RawData[Checker ID],$Q$4,RawData[[Error Type ]],$Q$5))</f>
        <v/>
      </c>
    </row>
    <row r="13853" spans="15:15" x14ac:dyDescent="0.25">
      <c r="O13853" s="20" t="str">
        <f>IF(N13853="","",COUNTIFS(RawData[[Date ]],N13853,RawData[Month List],$Q$6,RawData[Tour/Site],$Q$2,RawData[[Picker ID ]],$Q$3,RawData[Checker ID],$Q$4,RawData[[Error Type ]],$Q$5))</f>
        <v/>
      </c>
    </row>
    <row r="13854" spans="15:15" x14ac:dyDescent="0.25">
      <c r="O13854" s="20" t="str">
        <f>IF(N13854="","",COUNTIFS(RawData[[Date ]],N13854,RawData[Month List],$Q$6,RawData[Tour/Site],$Q$2,RawData[[Picker ID ]],$Q$3,RawData[Checker ID],$Q$4,RawData[[Error Type ]],$Q$5))</f>
        <v/>
      </c>
    </row>
    <row r="13855" spans="15:15" x14ac:dyDescent="0.25">
      <c r="O13855" s="20" t="str">
        <f>IF(N13855="","",COUNTIFS(RawData[[Date ]],N13855,RawData[Month List],$Q$6,RawData[Tour/Site],$Q$2,RawData[[Picker ID ]],$Q$3,RawData[Checker ID],$Q$4,RawData[[Error Type ]],$Q$5))</f>
        <v/>
      </c>
    </row>
    <row r="13856" spans="15:15" x14ac:dyDescent="0.25">
      <c r="O13856" s="20" t="str">
        <f>IF(N13856="","",COUNTIFS(RawData[[Date ]],N13856,RawData[Month List],$Q$6,RawData[Tour/Site],$Q$2,RawData[[Picker ID ]],$Q$3,RawData[Checker ID],$Q$4,RawData[[Error Type ]],$Q$5))</f>
        <v/>
      </c>
    </row>
    <row r="13857" spans="15:15" x14ac:dyDescent="0.25">
      <c r="O13857" s="20" t="str">
        <f>IF(N13857="","",COUNTIFS(RawData[[Date ]],N13857,RawData[Month List],$Q$6,RawData[Tour/Site],$Q$2,RawData[[Picker ID ]],$Q$3,RawData[Checker ID],$Q$4,RawData[[Error Type ]],$Q$5))</f>
        <v/>
      </c>
    </row>
    <row r="13858" spans="15:15" x14ac:dyDescent="0.25">
      <c r="O13858" s="20" t="str">
        <f>IF(N13858="","",COUNTIFS(RawData[[Date ]],N13858,RawData[Month List],$Q$6,RawData[Tour/Site],$Q$2,RawData[[Picker ID ]],$Q$3,RawData[Checker ID],$Q$4,RawData[[Error Type ]],$Q$5))</f>
        <v/>
      </c>
    </row>
    <row r="13859" spans="15:15" x14ac:dyDescent="0.25">
      <c r="O13859" s="20" t="str">
        <f>IF(N13859="","",COUNTIFS(RawData[[Date ]],N13859,RawData[Month List],$Q$6,RawData[Tour/Site],$Q$2,RawData[[Picker ID ]],$Q$3,RawData[Checker ID],$Q$4,RawData[[Error Type ]],$Q$5))</f>
        <v/>
      </c>
    </row>
    <row r="13860" spans="15:15" x14ac:dyDescent="0.25">
      <c r="O13860" s="20" t="str">
        <f>IF(N13860="","",COUNTIFS(RawData[[Date ]],N13860,RawData[Month List],$Q$6,RawData[Tour/Site],$Q$2,RawData[[Picker ID ]],$Q$3,RawData[Checker ID],$Q$4,RawData[[Error Type ]],$Q$5))</f>
        <v/>
      </c>
    </row>
    <row r="13861" spans="15:15" x14ac:dyDescent="0.25">
      <c r="O13861" s="20" t="str">
        <f>IF(N13861="","",COUNTIFS(RawData[[Date ]],N13861,RawData[Month List],$Q$6,RawData[Tour/Site],$Q$2,RawData[[Picker ID ]],$Q$3,RawData[Checker ID],$Q$4,RawData[[Error Type ]],$Q$5))</f>
        <v/>
      </c>
    </row>
    <row r="13862" spans="15:15" x14ac:dyDescent="0.25">
      <c r="O13862" s="20" t="str">
        <f>IF(N13862="","",COUNTIFS(RawData[[Date ]],N13862,RawData[Month List],$Q$6,RawData[Tour/Site],$Q$2,RawData[[Picker ID ]],$Q$3,RawData[Checker ID],$Q$4,RawData[[Error Type ]],$Q$5))</f>
        <v/>
      </c>
    </row>
    <row r="13863" spans="15:15" x14ac:dyDescent="0.25">
      <c r="O13863" s="20" t="str">
        <f>IF(N13863="","",COUNTIFS(RawData[[Date ]],N13863,RawData[Month List],$Q$6,RawData[Tour/Site],$Q$2,RawData[[Picker ID ]],$Q$3,RawData[Checker ID],$Q$4,RawData[[Error Type ]],$Q$5))</f>
        <v/>
      </c>
    </row>
    <row r="13864" spans="15:15" x14ac:dyDescent="0.25">
      <c r="O13864" s="20" t="str">
        <f>IF(N13864="","",COUNTIFS(RawData[[Date ]],N13864,RawData[Month List],$Q$6,RawData[Tour/Site],$Q$2,RawData[[Picker ID ]],$Q$3,RawData[Checker ID],$Q$4,RawData[[Error Type ]],$Q$5))</f>
        <v/>
      </c>
    </row>
    <row r="13865" spans="15:15" x14ac:dyDescent="0.25">
      <c r="O13865" s="20" t="str">
        <f>IF(N13865="","",COUNTIFS(RawData[[Date ]],N13865,RawData[Month List],$Q$6,RawData[Tour/Site],$Q$2,RawData[[Picker ID ]],$Q$3,RawData[Checker ID],$Q$4,RawData[[Error Type ]],$Q$5))</f>
        <v/>
      </c>
    </row>
    <row r="13866" spans="15:15" x14ac:dyDescent="0.25">
      <c r="O13866" s="20" t="str">
        <f>IF(N13866="","",COUNTIFS(RawData[[Date ]],N13866,RawData[Month List],$Q$6,RawData[Tour/Site],$Q$2,RawData[[Picker ID ]],$Q$3,RawData[Checker ID],$Q$4,RawData[[Error Type ]],$Q$5))</f>
        <v/>
      </c>
    </row>
    <row r="13867" spans="15:15" x14ac:dyDescent="0.25">
      <c r="O13867" s="20" t="str">
        <f>IF(N13867="","",COUNTIFS(RawData[[Date ]],N13867,RawData[Month List],$Q$6,RawData[Tour/Site],$Q$2,RawData[[Picker ID ]],$Q$3,RawData[Checker ID],$Q$4,RawData[[Error Type ]],$Q$5))</f>
        <v/>
      </c>
    </row>
    <row r="13868" spans="15:15" x14ac:dyDescent="0.25">
      <c r="O13868" s="20" t="str">
        <f>IF(N13868="","",COUNTIFS(RawData[[Date ]],N13868,RawData[Month List],$Q$6,RawData[Tour/Site],$Q$2,RawData[[Picker ID ]],$Q$3,RawData[Checker ID],$Q$4,RawData[[Error Type ]],$Q$5))</f>
        <v/>
      </c>
    </row>
    <row r="13869" spans="15:15" x14ac:dyDescent="0.25">
      <c r="O13869" s="20" t="str">
        <f>IF(N13869="","",COUNTIFS(RawData[[Date ]],N13869,RawData[Month List],$Q$6,RawData[Tour/Site],$Q$2,RawData[[Picker ID ]],$Q$3,RawData[Checker ID],$Q$4,RawData[[Error Type ]],$Q$5))</f>
        <v/>
      </c>
    </row>
    <row r="13870" spans="15:15" x14ac:dyDescent="0.25">
      <c r="O13870" s="20" t="str">
        <f>IF(N13870="","",COUNTIFS(RawData[[Date ]],N13870,RawData[Month List],$Q$6,RawData[Tour/Site],$Q$2,RawData[[Picker ID ]],$Q$3,RawData[Checker ID],$Q$4,RawData[[Error Type ]],$Q$5))</f>
        <v/>
      </c>
    </row>
    <row r="13871" spans="15:15" x14ac:dyDescent="0.25">
      <c r="O13871" s="20" t="str">
        <f>IF(N13871="","",COUNTIFS(RawData[[Date ]],N13871,RawData[Month List],$Q$6,RawData[Tour/Site],$Q$2,RawData[[Picker ID ]],$Q$3,RawData[Checker ID],$Q$4,RawData[[Error Type ]],$Q$5))</f>
        <v/>
      </c>
    </row>
    <row r="13872" spans="15:15" x14ac:dyDescent="0.25">
      <c r="O13872" s="20" t="str">
        <f>IF(N13872="","",COUNTIFS(RawData[[Date ]],N13872,RawData[Month List],$Q$6,RawData[Tour/Site],$Q$2,RawData[[Picker ID ]],$Q$3,RawData[Checker ID],$Q$4,RawData[[Error Type ]],$Q$5))</f>
        <v/>
      </c>
    </row>
    <row r="13873" spans="15:15" x14ac:dyDescent="0.25">
      <c r="O13873" s="20" t="str">
        <f>IF(N13873="","",COUNTIFS(RawData[[Date ]],N13873,RawData[Month List],$Q$6,RawData[Tour/Site],$Q$2,RawData[[Picker ID ]],$Q$3,RawData[Checker ID],$Q$4,RawData[[Error Type ]],$Q$5))</f>
        <v/>
      </c>
    </row>
    <row r="13874" spans="15:15" x14ac:dyDescent="0.25">
      <c r="O13874" s="20" t="str">
        <f>IF(N13874="","",COUNTIFS(RawData[[Date ]],N13874,RawData[Month List],$Q$6,RawData[Tour/Site],$Q$2,RawData[[Picker ID ]],$Q$3,RawData[Checker ID],$Q$4,RawData[[Error Type ]],$Q$5))</f>
        <v/>
      </c>
    </row>
    <row r="13875" spans="15:15" x14ac:dyDescent="0.25">
      <c r="O13875" s="20" t="str">
        <f>IF(N13875="","",COUNTIFS(RawData[[Date ]],N13875,RawData[Month List],$Q$6,RawData[Tour/Site],$Q$2,RawData[[Picker ID ]],$Q$3,RawData[Checker ID],$Q$4,RawData[[Error Type ]],$Q$5))</f>
        <v/>
      </c>
    </row>
    <row r="13876" spans="15:15" x14ac:dyDescent="0.25">
      <c r="O13876" s="20" t="str">
        <f>IF(N13876="","",COUNTIFS(RawData[[Date ]],N13876,RawData[Month List],$Q$6,RawData[Tour/Site],$Q$2,RawData[[Picker ID ]],$Q$3,RawData[Checker ID],$Q$4,RawData[[Error Type ]],$Q$5))</f>
        <v/>
      </c>
    </row>
    <row r="13877" spans="15:15" x14ac:dyDescent="0.25">
      <c r="O13877" s="20" t="str">
        <f>IF(N13877="","",COUNTIFS(RawData[[Date ]],N13877,RawData[Month List],$Q$6,RawData[Tour/Site],$Q$2,RawData[[Picker ID ]],$Q$3,RawData[Checker ID],$Q$4,RawData[[Error Type ]],$Q$5))</f>
        <v/>
      </c>
    </row>
    <row r="13878" spans="15:15" x14ac:dyDescent="0.25">
      <c r="O13878" s="20" t="str">
        <f>IF(N13878="","",COUNTIFS(RawData[[Date ]],N13878,RawData[Month List],$Q$6,RawData[Tour/Site],$Q$2,RawData[[Picker ID ]],$Q$3,RawData[Checker ID],$Q$4,RawData[[Error Type ]],$Q$5))</f>
        <v/>
      </c>
    </row>
    <row r="13879" spans="15:15" x14ac:dyDescent="0.25">
      <c r="O13879" s="20" t="str">
        <f>IF(N13879="","",COUNTIFS(RawData[[Date ]],N13879,RawData[Month List],$Q$6,RawData[Tour/Site],$Q$2,RawData[[Picker ID ]],$Q$3,RawData[Checker ID],$Q$4,RawData[[Error Type ]],$Q$5))</f>
        <v/>
      </c>
    </row>
    <row r="13880" spans="15:15" x14ac:dyDescent="0.25">
      <c r="O13880" s="20" t="str">
        <f>IF(N13880="","",COUNTIFS(RawData[[Date ]],N13880,RawData[Month List],$Q$6,RawData[Tour/Site],$Q$2,RawData[[Picker ID ]],$Q$3,RawData[Checker ID],$Q$4,RawData[[Error Type ]],$Q$5))</f>
        <v/>
      </c>
    </row>
    <row r="13881" spans="15:15" x14ac:dyDescent="0.25">
      <c r="O13881" s="20" t="str">
        <f>IF(N13881="","",COUNTIFS(RawData[[Date ]],N13881,RawData[Month List],$Q$6,RawData[Tour/Site],$Q$2,RawData[[Picker ID ]],$Q$3,RawData[Checker ID],$Q$4,RawData[[Error Type ]],$Q$5))</f>
        <v/>
      </c>
    </row>
    <row r="13882" spans="15:15" x14ac:dyDescent="0.25">
      <c r="O13882" s="20" t="str">
        <f>IF(N13882="","",COUNTIFS(RawData[[Date ]],N13882,RawData[Month List],$Q$6,RawData[Tour/Site],$Q$2,RawData[[Picker ID ]],$Q$3,RawData[Checker ID],$Q$4,RawData[[Error Type ]],$Q$5))</f>
        <v/>
      </c>
    </row>
    <row r="13883" spans="15:15" x14ac:dyDescent="0.25">
      <c r="O13883" s="20" t="str">
        <f>IF(N13883="","",COUNTIFS(RawData[[Date ]],N13883,RawData[Month List],$Q$6,RawData[Tour/Site],$Q$2,RawData[[Picker ID ]],$Q$3,RawData[Checker ID],$Q$4,RawData[[Error Type ]],$Q$5))</f>
        <v/>
      </c>
    </row>
    <row r="13884" spans="15:15" x14ac:dyDescent="0.25">
      <c r="O13884" s="20" t="str">
        <f>IF(N13884="","",COUNTIFS(RawData[[Date ]],N13884,RawData[Month List],$Q$6,RawData[Tour/Site],$Q$2,RawData[[Picker ID ]],$Q$3,RawData[Checker ID],$Q$4,RawData[[Error Type ]],$Q$5))</f>
        <v/>
      </c>
    </row>
    <row r="13885" spans="15:15" x14ac:dyDescent="0.25">
      <c r="O13885" s="20" t="str">
        <f>IF(N13885="","",COUNTIFS(RawData[[Date ]],N13885,RawData[Month List],$Q$6,RawData[Tour/Site],$Q$2,RawData[[Picker ID ]],$Q$3,RawData[Checker ID],$Q$4,RawData[[Error Type ]],$Q$5))</f>
        <v/>
      </c>
    </row>
    <row r="13886" spans="15:15" x14ac:dyDescent="0.25">
      <c r="O13886" s="20" t="str">
        <f>IF(N13886="","",COUNTIFS(RawData[[Date ]],N13886,RawData[Month List],$Q$6,RawData[Tour/Site],$Q$2,RawData[[Picker ID ]],$Q$3,RawData[Checker ID],$Q$4,RawData[[Error Type ]],$Q$5))</f>
        <v/>
      </c>
    </row>
    <row r="13887" spans="15:15" x14ac:dyDescent="0.25">
      <c r="O13887" s="20" t="str">
        <f>IF(N13887="","",COUNTIFS(RawData[[Date ]],N13887,RawData[Month List],$Q$6,RawData[Tour/Site],$Q$2,RawData[[Picker ID ]],$Q$3,RawData[Checker ID],$Q$4,RawData[[Error Type ]],$Q$5))</f>
        <v/>
      </c>
    </row>
    <row r="13888" spans="15:15" x14ac:dyDescent="0.25">
      <c r="O13888" s="20" t="str">
        <f>IF(N13888="","",COUNTIFS(RawData[[Date ]],N13888,RawData[Month List],$Q$6,RawData[Tour/Site],$Q$2,RawData[[Picker ID ]],$Q$3,RawData[Checker ID],$Q$4,RawData[[Error Type ]],$Q$5))</f>
        <v/>
      </c>
    </row>
    <row r="13889" spans="15:15" x14ac:dyDescent="0.25">
      <c r="O13889" s="20" t="str">
        <f>IF(N13889="","",COUNTIFS(RawData[[Date ]],N13889,RawData[Month List],$Q$6,RawData[Tour/Site],$Q$2,RawData[[Picker ID ]],$Q$3,RawData[Checker ID],$Q$4,RawData[[Error Type ]],$Q$5))</f>
        <v/>
      </c>
    </row>
    <row r="13890" spans="15:15" x14ac:dyDescent="0.25">
      <c r="O13890" s="20" t="str">
        <f>IF(N13890="","",COUNTIFS(RawData[[Date ]],N13890,RawData[Month List],$Q$6,RawData[Tour/Site],$Q$2,RawData[[Picker ID ]],$Q$3,RawData[Checker ID],$Q$4,RawData[[Error Type ]],$Q$5))</f>
        <v/>
      </c>
    </row>
    <row r="13891" spans="15:15" x14ac:dyDescent="0.25">
      <c r="O13891" s="20" t="str">
        <f>IF(N13891="","",COUNTIFS(RawData[[Date ]],N13891,RawData[Month List],$Q$6,RawData[Tour/Site],$Q$2,RawData[[Picker ID ]],$Q$3,RawData[Checker ID],$Q$4,RawData[[Error Type ]],$Q$5))</f>
        <v/>
      </c>
    </row>
    <row r="13892" spans="15:15" x14ac:dyDescent="0.25">
      <c r="O13892" s="20" t="str">
        <f>IF(N13892="","",COUNTIFS(RawData[[Date ]],N13892,RawData[Month List],$Q$6,RawData[Tour/Site],$Q$2,RawData[[Picker ID ]],$Q$3,RawData[Checker ID],$Q$4,RawData[[Error Type ]],$Q$5))</f>
        <v/>
      </c>
    </row>
    <row r="13893" spans="15:15" x14ac:dyDescent="0.25">
      <c r="O13893" s="20" t="str">
        <f>IF(N13893="","",COUNTIFS(RawData[[Date ]],N13893,RawData[Month List],$Q$6,RawData[Tour/Site],$Q$2,RawData[[Picker ID ]],$Q$3,RawData[Checker ID],$Q$4,RawData[[Error Type ]],$Q$5))</f>
        <v/>
      </c>
    </row>
    <row r="13894" spans="15:15" x14ac:dyDescent="0.25">
      <c r="O13894" s="20" t="str">
        <f>IF(N13894="","",COUNTIFS(RawData[[Date ]],N13894,RawData[Month List],$Q$6,RawData[Tour/Site],$Q$2,RawData[[Picker ID ]],$Q$3,RawData[Checker ID],$Q$4,RawData[[Error Type ]],$Q$5))</f>
        <v/>
      </c>
    </row>
    <row r="13895" spans="15:15" x14ac:dyDescent="0.25">
      <c r="O13895" s="20" t="str">
        <f>IF(N13895="","",COUNTIFS(RawData[[Date ]],N13895,RawData[Month List],$Q$6,RawData[Tour/Site],$Q$2,RawData[[Picker ID ]],$Q$3,RawData[Checker ID],$Q$4,RawData[[Error Type ]],$Q$5))</f>
        <v/>
      </c>
    </row>
    <row r="13896" spans="15:15" x14ac:dyDescent="0.25">
      <c r="O13896" s="20" t="str">
        <f>IF(N13896="","",COUNTIFS(RawData[[Date ]],N13896,RawData[Month List],$Q$6,RawData[Tour/Site],$Q$2,RawData[[Picker ID ]],$Q$3,RawData[Checker ID],$Q$4,RawData[[Error Type ]],$Q$5))</f>
        <v/>
      </c>
    </row>
    <row r="13897" spans="15:15" x14ac:dyDescent="0.25">
      <c r="O13897" s="20" t="str">
        <f>IF(N13897="","",COUNTIFS(RawData[[Date ]],N13897,RawData[Month List],$Q$6,RawData[Tour/Site],$Q$2,RawData[[Picker ID ]],$Q$3,RawData[Checker ID],$Q$4,RawData[[Error Type ]],$Q$5))</f>
        <v/>
      </c>
    </row>
    <row r="13898" spans="15:15" x14ac:dyDescent="0.25">
      <c r="O13898" s="20" t="str">
        <f>IF(N13898="","",COUNTIFS(RawData[[Date ]],N13898,RawData[Month List],$Q$6,RawData[Tour/Site],$Q$2,RawData[[Picker ID ]],$Q$3,RawData[Checker ID],$Q$4,RawData[[Error Type ]],$Q$5))</f>
        <v/>
      </c>
    </row>
    <row r="13899" spans="15:15" x14ac:dyDescent="0.25">
      <c r="O13899" s="20" t="str">
        <f>IF(N13899="","",COUNTIFS(RawData[[Date ]],N13899,RawData[Month List],$Q$6,RawData[Tour/Site],$Q$2,RawData[[Picker ID ]],$Q$3,RawData[Checker ID],$Q$4,RawData[[Error Type ]],$Q$5))</f>
        <v/>
      </c>
    </row>
    <row r="13900" spans="15:15" x14ac:dyDescent="0.25">
      <c r="O13900" s="20" t="str">
        <f>IF(N13900="","",COUNTIFS(RawData[[Date ]],N13900,RawData[Month List],$Q$6,RawData[Tour/Site],$Q$2,RawData[[Picker ID ]],$Q$3,RawData[Checker ID],$Q$4,RawData[[Error Type ]],$Q$5))</f>
        <v/>
      </c>
    </row>
    <row r="13901" spans="15:15" x14ac:dyDescent="0.25">
      <c r="O13901" s="20" t="str">
        <f>IF(N13901="","",COUNTIFS(RawData[[Date ]],N13901,RawData[Month List],$Q$6,RawData[Tour/Site],$Q$2,RawData[[Picker ID ]],$Q$3,RawData[Checker ID],$Q$4,RawData[[Error Type ]],$Q$5))</f>
        <v/>
      </c>
    </row>
    <row r="13902" spans="15:15" x14ac:dyDescent="0.25">
      <c r="O13902" s="20" t="str">
        <f>IF(N13902="","",COUNTIFS(RawData[[Date ]],N13902,RawData[Month List],$Q$6,RawData[Tour/Site],$Q$2,RawData[[Picker ID ]],$Q$3,RawData[Checker ID],$Q$4,RawData[[Error Type ]],$Q$5))</f>
        <v/>
      </c>
    </row>
    <row r="13903" spans="15:15" x14ac:dyDescent="0.25">
      <c r="O13903" s="20" t="str">
        <f>IF(N13903="","",COUNTIFS(RawData[[Date ]],N13903,RawData[Month List],$Q$6,RawData[Tour/Site],$Q$2,RawData[[Picker ID ]],$Q$3,RawData[Checker ID],$Q$4,RawData[[Error Type ]],$Q$5))</f>
        <v/>
      </c>
    </row>
    <row r="13904" spans="15:15" x14ac:dyDescent="0.25">
      <c r="O13904" s="20" t="str">
        <f>IF(N13904="","",COUNTIFS(RawData[[Date ]],N13904,RawData[Month List],$Q$6,RawData[Tour/Site],$Q$2,RawData[[Picker ID ]],$Q$3,RawData[Checker ID],$Q$4,RawData[[Error Type ]],$Q$5))</f>
        <v/>
      </c>
    </row>
    <row r="13905" spans="15:15" x14ac:dyDescent="0.25">
      <c r="O13905" s="20" t="str">
        <f>IF(N13905="","",COUNTIFS(RawData[[Date ]],N13905,RawData[Month List],$Q$6,RawData[Tour/Site],$Q$2,RawData[[Picker ID ]],$Q$3,RawData[Checker ID],$Q$4,RawData[[Error Type ]],$Q$5))</f>
        <v/>
      </c>
    </row>
    <row r="13906" spans="15:15" x14ac:dyDescent="0.25">
      <c r="O13906" s="20" t="str">
        <f>IF(N13906="","",COUNTIFS(RawData[[Date ]],N13906,RawData[Month List],$Q$6,RawData[Tour/Site],$Q$2,RawData[[Picker ID ]],$Q$3,RawData[Checker ID],$Q$4,RawData[[Error Type ]],$Q$5))</f>
        <v/>
      </c>
    </row>
    <row r="13907" spans="15:15" x14ac:dyDescent="0.25">
      <c r="O13907" s="20" t="str">
        <f>IF(N13907="","",COUNTIFS(RawData[[Date ]],N13907,RawData[Month List],$Q$6,RawData[Tour/Site],$Q$2,RawData[[Picker ID ]],$Q$3,RawData[Checker ID],$Q$4,RawData[[Error Type ]],$Q$5))</f>
        <v/>
      </c>
    </row>
    <row r="13908" spans="15:15" x14ac:dyDescent="0.25">
      <c r="O13908" s="20" t="str">
        <f>IF(N13908="","",COUNTIFS(RawData[[Date ]],N13908,RawData[Month List],$Q$6,RawData[Tour/Site],$Q$2,RawData[[Picker ID ]],$Q$3,RawData[Checker ID],$Q$4,RawData[[Error Type ]],$Q$5))</f>
        <v/>
      </c>
    </row>
    <row r="13909" spans="15:15" x14ac:dyDescent="0.25">
      <c r="O13909" s="20" t="str">
        <f>IF(N13909="","",COUNTIFS(RawData[[Date ]],N13909,RawData[Month List],$Q$6,RawData[Tour/Site],$Q$2,RawData[[Picker ID ]],$Q$3,RawData[Checker ID],$Q$4,RawData[[Error Type ]],$Q$5))</f>
        <v/>
      </c>
    </row>
    <row r="13910" spans="15:15" x14ac:dyDescent="0.25">
      <c r="O13910" s="20" t="str">
        <f>IF(N13910="","",COUNTIFS(RawData[[Date ]],N13910,RawData[Month List],$Q$6,RawData[Tour/Site],$Q$2,RawData[[Picker ID ]],$Q$3,RawData[Checker ID],$Q$4,RawData[[Error Type ]],$Q$5))</f>
        <v/>
      </c>
    </row>
    <row r="13911" spans="15:15" x14ac:dyDescent="0.25">
      <c r="O13911" s="20" t="str">
        <f>IF(N13911="","",COUNTIFS(RawData[[Date ]],N13911,RawData[Month List],$Q$6,RawData[Tour/Site],$Q$2,RawData[[Picker ID ]],$Q$3,RawData[Checker ID],$Q$4,RawData[[Error Type ]],$Q$5))</f>
        <v/>
      </c>
    </row>
    <row r="13912" spans="15:15" x14ac:dyDescent="0.25">
      <c r="O13912" s="20" t="str">
        <f>IF(N13912="","",COUNTIFS(RawData[[Date ]],N13912,RawData[Month List],$Q$6,RawData[Tour/Site],$Q$2,RawData[[Picker ID ]],$Q$3,RawData[Checker ID],$Q$4,RawData[[Error Type ]],$Q$5))</f>
        <v/>
      </c>
    </row>
    <row r="13913" spans="15:15" x14ac:dyDescent="0.25">
      <c r="O13913" s="20" t="str">
        <f>IF(N13913="","",COUNTIFS(RawData[[Date ]],N13913,RawData[Month List],$Q$6,RawData[Tour/Site],$Q$2,RawData[[Picker ID ]],$Q$3,RawData[Checker ID],$Q$4,RawData[[Error Type ]],$Q$5))</f>
        <v/>
      </c>
    </row>
    <row r="13914" spans="15:15" x14ac:dyDescent="0.25">
      <c r="O13914" s="20" t="str">
        <f>IF(N13914="","",COUNTIFS(RawData[[Date ]],N13914,RawData[Month List],$Q$6,RawData[Tour/Site],$Q$2,RawData[[Picker ID ]],$Q$3,RawData[Checker ID],$Q$4,RawData[[Error Type ]],$Q$5))</f>
        <v/>
      </c>
    </row>
    <row r="13915" spans="15:15" x14ac:dyDescent="0.25">
      <c r="O13915" s="20" t="str">
        <f>IF(N13915="","",COUNTIFS(RawData[[Date ]],N13915,RawData[Month List],$Q$6,RawData[Tour/Site],$Q$2,RawData[[Picker ID ]],$Q$3,RawData[Checker ID],$Q$4,RawData[[Error Type ]],$Q$5))</f>
        <v/>
      </c>
    </row>
    <row r="13916" spans="15:15" x14ac:dyDescent="0.25">
      <c r="O13916" s="20" t="str">
        <f>IF(N13916="","",COUNTIFS(RawData[[Date ]],N13916,RawData[Month List],$Q$6,RawData[Tour/Site],$Q$2,RawData[[Picker ID ]],$Q$3,RawData[Checker ID],$Q$4,RawData[[Error Type ]],$Q$5))</f>
        <v/>
      </c>
    </row>
    <row r="13917" spans="15:15" x14ac:dyDescent="0.25">
      <c r="O13917" s="20" t="str">
        <f>IF(N13917="","",COUNTIFS(RawData[[Date ]],N13917,RawData[Month List],$Q$6,RawData[Tour/Site],$Q$2,RawData[[Picker ID ]],$Q$3,RawData[Checker ID],$Q$4,RawData[[Error Type ]],$Q$5))</f>
        <v/>
      </c>
    </row>
    <row r="13918" spans="15:15" x14ac:dyDescent="0.25">
      <c r="O13918" s="20" t="str">
        <f>IF(N13918="","",COUNTIFS(RawData[[Date ]],N13918,RawData[Month List],$Q$6,RawData[Tour/Site],$Q$2,RawData[[Picker ID ]],$Q$3,RawData[Checker ID],$Q$4,RawData[[Error Type ]],$Q$5))</f>
        <v/>
      </c>
    </row>
    <row r="13919" spans="15:15" x14ac:dyDescent="0.25">
      <c r="O13919" s="20" t="str">
        <f>IF(N13919="","",COUNTIFS(RawData[[Date ]],N13919,RawData[Month List],$Q$6,RawData[Tour/Site],$Q$2,RawData[[Picker ID ]],$Q$3,RawData[Checker ID],$Q$4,RawData[[Error Type ]],$Q$5))</f>
        <v/>
      </c>
    </row>
    <row r="13920" spans="15:15" x14ac:dyDescent="0.25">
      <c r="O13920" s="20" t="str">
        <f>IF(N13920="","",COUNTIFS(RawData[[Date ]],N13920,RawData[Month List],$Q$6,RawData[Tour/Site],$Q$2,RawData[[Picker ID ]],$Q$3,RawData[Checker ID],$Q$4,RawData[[Error Type ]],$Q$5))</f>
        <v/>
      </c>
    </row>
    <row r="13921" spans="15:15" x14ac:dyDescent="0.25">
      <c r="O13921" s="20" t="str">
        <f>IF(N13921="","",COUNTIFS(RawData[[Date ]],N13921,RawData[Month List],$Q$6,RawData[Tour/Site],$Q$2,RawData[[Picker ID ]],$Q$3,RawData[Checker ID],$Q$4,RawData[[Error Type ]],$Q$5))</f>
        <v/>
      </c>
    </row>
    <row r="13922" spans="15:15" x14ac:dyDescent="0.25">
      <c r="O13922" s="20" t="str">
        <f>IF(N13922="","",COUNTIFS(RawData[[Date ]],N13922,RawData[Month List],$Q$6,RawData[Tour/Site],$Q$2,RawData[[Picker ID ]],$Q$3,RawData[Checker ID],$Q$4,RawData[[Error Type ]],$Q$5))</f>
        <v/>
      </c>
    </row>
    <row r="13923" spans="15:15" x14ac:dyDescent="0.25">
      <c r="O13923" s="20" t="str">
        <f>IF(N13923="","",COUNTIFS(RawData[[Date ]],N13923,RawData[Month List],$Q$6,RawData[Tour/Site],$Q$2,RawData[[Picker ID ]],$Q$3,RawData[Checker ID],$Q$4,RawData[[Error Type ]],$Q$5))</f>
        <v/>
      </c>
    </row>
    <row r="13924" spans="15:15" x14ac:dyDescent="0.25">
      <c r="O13924" s="20" t="str">
        <f>IF(N13924="","",COUNTIFS(RawData[[Date ]],N13924,RawData[Month List],$Q$6,RawData[Tour/Site],$Q$2,RawData[[Picker ID ]],$Q$3,RawData[Checker ID],$Q$4,RawData[[Error Type ]],$Q$5))</f>
        <v/>
      </c>
    </row>
    <row r="13925" spans="15:15" x14ac:dyDescent="0.25">
      <c r="O13925" s="20" t="str">
        <f>IF(N13925="","",COUNTIFS(RawData[[Date ]],N13925,RawData[Month List],$Q$6,RawData[Tour/Site],$Q$2,RawData[[Picker ID ]],$Q$3,RawData[Checker ID],$Q$4,RawData[[Error Type ]],$Q$5))</f>
        <v/>
      </c>
    </row>
    <row r="13926" spans="15:15" x14ac:dyDescent="0.25">
      <c r="O13926" s="20" t="str">
        <f>IF(N13926="","",COUNTIFS(RawData[[Date ]],N13926,RawData[Month List],$Q$6,RawData[Tour/Site],$Q$2,RawData[[Picker ID ]],$Q$3,RawData[Checker ID],$Q$4,RawData[[Error Type ]],$Q$5))</f>
        <v/>
      </c>
    </row>
    <row r="13927" spans="15:15" x14ac:dyDescent="0.25">
      <c r="O13927" s="20" t="str">
        <f>IF(N13927="","",COUNTIFS(RawData[[Date ]],N13927,RawData[Month List],$Q$6,RawData[Tour/Site],$Q$2,RawData[[Picker ID ]],$Q$3,RawData[Checker ID],$Q$4,RawData[[Error Type ]],$Q$5))</f>
        <v/>
      </c>
    </row>
    <row r="13928" spans="15:15" x14ac:dyDescent="0.25">
      <c r="O13928" s="20" t="str">
        <f>IF(N13928="","",COUNTIFS(RawData[[Date ]],N13928,RawData[Month List],$Q$6,RawData[Tour/Site],$Q$2,RawData[[Picker ID ]],$Q$3,RawData[Checker ID],$Q$4,RawData[[Error Type ]],$Q$5))</f>
        <v/>
      </c>
    </row>
    <row r="13929" spans="15:15" x14ac:dyDescent="0.25">
      <c r="O13929" s="20" t="str">
        <f>IF(N13929="","",COUNTIFS(RawData[[Date ]],N13929,RawData[Month List],$Q$6,RawData[Tour/Site],$Q$2,RawData[[Picker ID ]],$Q$3,RawData[Checker ID],$Q$4,RawData[[Error Type ]],$Q$5))</f>
        <v/>
      </c>
    </row>
    <row r="13930" spans="15:15" x14ac:dyDescent="0.25">
      <c r="O13930" s="20" t="str">
        <f>IF(N13930="","",COUNTIFS(RawData[[Date ]],N13930,RawData[Month List],$Q$6,RawData[Tour/Site],$Q$2,RawData[[Picker ID ]],$Q$3,RawData[Checker ID],$Q$4,RawData[[Error Type ]],$Q$5))</f>
        <v/>
      </c>
    </row>
    <row r="13931" spans="15:15" x14ac:dyDescent="0.25">
      <c r="O13931" s="20" t="str">
        <f>IF(N13931="","",COUNTIFS(RawData[[Date ]],N13931,RawData[Month List],$Q$6,RawData[Tour/Site],$Q$2,RawData[[Picker ID ]],$Q$3,RawData[Checker ID],$Q$4,RawData[[Error Type ]],$Q$5))</f>
        <v/>
      </c>
    </row>
    <row r="13932" spans="15:15" x14ac:dyDescent="0.25">
      <c r="O13932" s="20" t="str">
        <f>IF(N13932="","",COUNTIFS(RawData[[Date ]],N13932,RawData[Month List],$Q$6,RawData[Tour/Site],$Q$2,RawData[[Picker ID ]],$Q$3,RawData[Checker ID],$Q$4,RawData[[Error Type ]],$Q$5))</f>
        <v/>
      </c>
    </row>
    <row r="13933" spans="15:15" x14ac:dyDescent="0.25">
      <c r="O13933" s="20" t="str">
        <f>IF(N13933="","",COUNTIFS(RawData[[Date ]],N13933,RawData[Month List],$Q$6,RawData[Tour/Site],$Q$2,RawData[[Picker ID ]],$Q$3,RawData[Checker ID],$Q$4,RawData[[Error Type ]],$Q$5))</f>
        <v/>
      </c>
    </row>
    <row r="13934" spans="15:15" x14ac:dyDescent="0.25">
      <c r="O13934" s="20" t="str">
        <f>IF(N13934="","",COUNTIFS(RawData[[Date ]],N13934,RawData[Month List],$Q$6,RawData[Tour/Site],$Q$2,RawData[[Picker ID ]],$Q$3,RawData[Checker ID],$Q$4,RawData[[Error Type ]],$Q$5))</f>
        <v/>
      </c>
    </row>
    <row r="13935" spans="15:15" x14ac:dyDescent="0.25">
      <c r="O13935" s="20" t="str">
        <f>IF(N13935="","",COUNTIFS(RawData[[Date ]],N13935,RawData[Month List],$Q$6,RawData[Tour/Site],$Q$2,RawData[[Picker ID ]],$Q$3,RawData[Checker ID],$Q$4,RawData[[Error Type ]],$Q$5))</f>
        <v/>
      </c>
    </row>
    <row r="13936" spans="15:15" x14ac:dyDescent="0.25">
      <c r="O13936" s="20" t="str">
        <f>IF(N13936="","",COUNTIFS(RawData[[Date ]],N13936,RawData[Month List],$Q$6,RawData[Tour/Site],$Q$2,RawData[[Picker ID ]],$Q$3,RawData[Checker ID],$Q$4,RawData[[Error Type ]],$Q$5))</f>
        <v/>
      </c>
    </row>
    <row r="13937" spans="15:15" x14ac:dyDescent="0.25">
      <c r="O13937" s="20" t="str">
        <f>IF(N13937="","",COUNTIFS(RawData[[Date ]],N13937,RawData[Month List],$Q$6,RawData[Tour/Site],$Q$2,RawData[[Picker ID ]],$Q$3,RawData[Checker ID],$Q$4,RawData[[Error Type ]],$Q$5))</f>
        <v/>
      </c>
    </row>
    <row r="13938" spans="15:15" x14ac:dyDescent="0.25">
      <c r="O13938" s="20" t="str">
        <f>IF(N13938="","",COUNTIFS(RawData[[Date ]],N13938,RawData[Month List],$Q$6,RawData[Tour/Site],$Q$2,RawData[[Picker ID ]],$Q$3,RawData[Checker ID],$Q$4,RawData[[Error Type ]],$Q$5))</f>
        <v/>
      </c>
    </row>
    <row r="13939" spans="15:15" x14ac:dyDescent="0.25">
      <c r="O13939" s="20" t="str">
        <f>IF(N13939="","",COUNTIFS(RawData[[Date ]],N13939,RawData[Month List],$Q$6,RawData[Tour/Site],$Q$2,RawData[[Picker ID ]],$Q$3,RawData[Checker ID],$Q$4,RawData[[Error Type ]],$Q$5))</f>
        <v/>
      </c>
    </row>
    <row r="13940" spans="15:15" x14ac:dyDescent="0.25">
      <c r="O13940" s="20" t="str">
        <f>IF(N13940="","",COUNTIFS(RawData[[Date ]],N13940,RawData[Month List],$Q$6,RawData[Tour/Site],$Q$2,RawData[[Picker ID ]],$Q$3,RawData[Checker ID],$Q$4,RawData[[Error Type ]],$Q$5))</f>
        <v/>
      </c>
    </row>
    <row r="13941" spans="15:15" x14ac:dyDescent="0.25">
      <c r="O13941" s="20" t="str">
        <f>IF(N13941="","",COUNTIFS(RawData[[Date ]],N13941,RawData[Month List],$Q$6,RawData[Tour/Site],$Q$2,RawData[[Picker ID ]],$Q$3,RawData[Checker ID],$Q$4,RawData[[Error Type ]],$Q$5))</f>
        <v/>
      </c>
    </row>
    <row r="13942" spans="15:15" x14ac:dyDescent="0.25">
      <c r="O13942" s="20" t="str">
        <f>IF(N13942="","",COUNTIFS(RawData[[Date ]],N13942,RawData[Month List],$Q$6,RawData[Tour/Site],$Q$2,RawData[[Picker ID ]],$Q$3,RawData[Checker ID],$Q$4,RawData[[Error Type ]],$Q$5))</f>
        <v/>
      </c>
    </row>
    <row r="13943" spans="15:15" x14ac:dyDescent="0.25">
      <c r="O13943" s="20" t="str">
        <f>IF(N13943="","",COUNTIFS(RawData[[Date ]],N13943,RawData[Month List],$Q$6,RawData[Tour/Site],$Q$2,RawData[[Picker ID ]],$Q$3,RawData[Checker ID],$Q$4,RawData[[Error Type ]],$Q$5))</f>
        <v/>
      </c>
    </row>
    <row r="13944" spans="15:15" x14ac:dyDescent="0.25">
      <c r="O13944" s="20" t="str">
        <f>IF(N13944="","",COUNTIFS(RawData[[Date ]],N13944,RawData[Month List],$Q$6,RawData[Tour/Site],$Q$2,RawData[[Picker ID ]],$Q$3,RawData[Checker ID],$Q$4,RawData[[Error Type ]],$Q$5))</f>
        <v/>
      </c>
    </row>
    <row r="13945" spans="15:15" x14ac:dyDescent="0.25">
      <c r="O13945" s="20" t="str">
        <f>IF(N13945="","",COUNTIFS(RawData[[Date ]],N13945,RawData[Month List],$Q$6,RawData[Tour/Site],$Q$2,RawData[[Picker ID ]],$Q$3,RawData[Checker ID],$Q$4,RawData[[Error Type ]],$Q$5))</f>
        <v/>
      </c>
    </row>
    <row r="13946" spans="15:15" x14ac:dyDescent="0.25">
      <c r="O13946" s="20" t="str">
        <f>IF(N13946="","",COUNTIFS(RawData[[Date ]],N13946,RawData[Month List],$Q$6,RawData[Tour/Site],$Q$2,RawData[[Picker ID ]],$Q$3,RawData[Checker ID],$Q$4,RawData[[Error Type ]],$Q$5))</f>
        <v/>
      </c>
    </row>
    <row r="13947" spans="15:15" x14ac:dyDescent="0.25">
      <c r="O13947" s="20" t="str">
        <f>IF(N13947="","",COUNTIFS(RawData[[Date ]],N13947,RawData[Month List],$Q$6,RawData[Tour/Site],$Q$2,RawData[[Picker ID ]],$Q$3,RawData[Checker ID],$Q$4,RawData[[Error Type ]],$Q$5))</f>
        <v/>
      </c>
    </row>
    <row r="13948" spans="15:15" x14ac:dyDescent="0.25">
      <c r="O13948" s="20" t="str">
        <f>IF(N13948="","",COUNTIFS(RawData[[Date ]],N13948,RawData[Month List],$Q$6,RawData[Tour/Site],$Q$2,RawData[[Picker ID ]],$Q$3,RawData[Checker ID],$Q$4,RawData[[Error Type ]],$Q$5))</f>
        <v/>
      </c>
    </row>
    <row r="13949" spans="15:15" x14ac:dyDescent="0.25">
      <c r="O13949" s="20" t="str">
        <f>IF(N13949="","",COUNTIFS(RawData[[Date ]],N13949,RawData[Month List],$Q$6,RawData[Tour/Site],$Q$2,RawData[[Picker ID ]],$Q$3,RawData[Checker ID],$Q$4,RawData[[Error Type ]],$Q$5))</f>
        <v/>
      </c>
    </row>
    <row r="13950" spans="15:15" x14ac:dyDescent="0.25">
      <c r="O13950" s="20" t="str">
        <f>IF(N13950="","",COUNTIFS(RawData[[Date ]],N13950,RawData[Month List],$Q$6,RawData[Tour/Site],$Q$2,RawData[[Picker ID ]],$Q$3,RawData[Checker ID],$Q$4,RawData[[Error Type ]],$Q$5))</f>
        <v/>
      </c>
    </row>
    <row r="13951" spans="15:15" x14ac:dyDescent="0.25">
      <c r="O13951" s="20" t="str">
        <f>IF(N13951="","",COUNTIFS(RawData[[Date ]],N13951,RawData[Month List],$Q$6,RawData[Tour/Site],$Q$2,RawData[[Picker ID ]],$Q$3,RawData[Checker ID],$Q$4,RawData[[Error Type ]],$Q$5))</f>
        <v/>
      </c>
    </row>
    <row r="13952" spans="15:15" x14ac:dyDescent="0.25">
      <c r="O13952" s="20" t="str">
        <f>IF(N13952="","",COUNTIFS(RawData[[Date ]],N13952,RawData[Month List],$Q$6,RawData[Tour/Site],$Q$2,RawData[[Picker ID ]],$Q$3,RawData[Checker ID],$Q$4,RawData[[Error Type ]],$Q$5))</f>
        <v/>
      </c>
    </row>
    <row r="13953" spans="15:15" x14ac:dyDescent="0.25">
      <c r="O13953" s="20" t="str">
        <f>IF(N13953="","",COUNTIFS(RawData[[Date ]],N13953,RawData[Month List],$Q$6,RawData[Tour/Site],$Q$2,RawData[[Picker ID ]],$Q$3,RawData[Checker ID],$Q$4,RawData[[Error Type ]],$Q$5))</f>
        <v/>
      </c>
    </row>
    <row r="13954" spans="15:15" x14ac:dyDescent="0.25">
      <c r="O13954" s="20" t="str">
        <f>IF(N13954="","",COUNTIFS(RawData[[Date ]],N13954,RawData[Month List],$Q$6,RawData[Tour/Site],$Q$2,RawData[[Picker ID ]],$Q$3,RawData[Checker ID],$Q$4,RawData[[Error Type ]],$Q$5))</f>
        <v/>
      </c>
    </row>
    <row r="13955" spans="15:15" x14ac:dyDescent="0.25">
      <c r="O13955" s="20" t="str">
        <f>IF(N13955="","",COUNTIFS(RawData[[Date ]],N13955,RawData[Month List],$Q$6,RawData[Tour/Site],$Q$2,RawData[[Picker ID ]],$Q$3,RawData[Checker ID],$Q$4,RawData[[Error Type ]],$Q$5))</f>
        <v/>
      </c>
    </row>
    <row r="13956" spans="15:15" x14ac:dyDescent="0.25">
      <c r="O13956" s="20" t="str">
        <f>IF(N13956="","",COUNTIFS(RawData[[Date ]],N13956,RawData[Month List],$Q$6,RawData[Tour/Site],$Q$2,RawData[[Picker ID ]],$Q$3,RawData[Checker ID],$Q$4,RawData[[Error Type ]],$Q$5))</f>
        <v/>
      </c>
    </row>
    <row r="13957" spans="15:15" x14ac:dyDescent="0.25">
      <c r="O13957" s="20" t="str">
        <f>IF(N13957="","",COUNTIFS(RawData[[Date ]],N13957,RawData[Month List],$Q$6,RawData[Tour/Site],$Q$2,RawData[[Picker ID ]],$Q$3,RawData[Checker ID],$Q$4,RawData[[Error Type ]],$Q$5))</f>
        <v/>
      </c>
    </row>
    <row r="13958" spans="15:15" x14ac:dyDescent="0.25">
      <c r="O13958" s="20" t="str">
        <f>IF(N13958="","",COUNTIFS(RawData[[Date ]],N13958,RawData[Month List],$Q$6,RawData[Tour/Site],$Q$2,RawData[[Picker ID ]],$Q$3,RawData[Checker ID],$Q$4,RawData[[Error Type ]],$Q$5))</f>
        <v/>
      </c>
    </row>
    <row r="13959" spans="15:15" x14ac:dyDescent="0.25">
      <c r="O13959" s="20" t="str">
        <f>IF(N13959="","",COUNTIFS(RawData[[Date ]],N13959,RawData[Month List],$Q$6,RawData[Tour/Site],$Q$2,RawData[[Picker ID ]],$Q$3,RawData[Checker ID],$Q$4,RawData[[Error Type ]],$Q$5))</f>
        <v/>
      </c>
    </row>
    <row r="13960" spans="15:15" x14ac:dyDescent="0.25">
      <c r="O13960" s="20" t="str">
        <f>IF(N13960="","",COUNTIFS(RawData[[Date ]],N13960,RawData[Month List],$Q$6,RawData[Tour/Site],$Q$2,RawData[[Picker ID ]],$Q$3,RawData[Checker ID],$Q$4,RawData[[Error Type ]],$Q$5))</f>
        <v/>
      </c>
    </row>
    <row r="13961" spans="15:15" x14ac:dyDescent="0.25">
      <c r="O13961" s="20" t="str">
        <f>IF(N13961="","",COUNTIFS(RawData[[Date ]],N13961,RawData[Month List],$Q$6,RawData[Tour/Site],$Q$2,RawData[[Picker ID ]],$Q$3,RawData[Checker ID],$Q$4,RawData[[Error Type ]],$Q$5))</f>
        <v/>
      </c>
    </row>
    <row r="13962" spans="15:15" x14ac:dyDescent="0.25">
      <c r="O13962" s="20" t="str">
        <f>IF(N13962="","",COUNTIFS(RawData[[Date ]],N13962,RawData[Month List],$Q$6,RawData[Tour/Site],$Q$2,RawData[[Picker ID ]],$Q$3,RawData[Checker ID],$Q$4,RawData[[Error Type ]],$Q$5))</f>
        <v/>
      </c>
    </row>
    <row r="13963" spans="15:15" x14ac:dyDescent="0.25">
      <c r="O13963" s="20" t="str">
        <f>IF(N13963="","",COUNTIFS(RawData[[Date ]],N13963,RawData[Month List],$Q$6,RawData[Tour/Site],$Q$2,RawData[[Picker ID ]],$Q$3,RawData[Checker ID],$Q$4,RawData[[Error Type ]],$Q$5))</f>
        <v/>
      </c>
    </row>
    <row r="13964" spans="15:15" x14ac:dyDescent="0.25">
      <c r="O13964" s="20" t="str">
        <f>IF(N13964="","",COUNTIFS(RawData[[Date ]],N13964,RawData[Month List],$Q$6,RawData[Tour/Site],$Q$2,RawData[[Picker ID ]],$Q$3,RawData[Checker ID],$Q$4,RawData[[Error Type ]],$Q$5))</f>
        <v/>
      </c>
    </row>
    <row r="13965" spans="15:15" x14ac:dyDescent="0.25">
      <c r="O13965" s="20" t="str">
        <f>IF(N13965="","",COUNTIFS(RawData[[Date ]],N13965,RawData[Month List],$Q$6,RawData[Tour/Site],$Q$2,RawData[[Picker ID ]],$Q$3,RawData[Checker ID],$Q$4,RawData[[Error Type ]],$Q$5))</f>
        <v/>
      </c>
    </row>
    <row r="13966" spans="15:15" x14ac:dyDescent="0.25">
      <c r="O13966" s="20" t="str">
        <f>IF(N13966="","",COUNTIFS(RawData[[Date ]],N13966,RawData[Month List],$Q$6,RawData[Tour/Site],$Q$2,RawData[[Picker ID ]],$Q$3,RawData[Checker ID],$Q$4,RawData[[Error Type ]],$Q$5))</f>
        <v/>
      </c>
    </row>
    <row r="13967" spans="15:15" x14ac:dyDescent="0.25">
      <c r="O13967" s="20" t="str">
        <f>IF(N13967="","",COUNTIFS(RawData[[Date ]],N13967,RawData[Month List],$Q$6,RawData[Tour/Site],$Q$2,RawData[[Picker ID ]],$Q$3,RawData[Checker ID],$Q$4,RawData[[Error Type ]],$Q$5))</f>
        <v/>
      </c>
    </row>
    <row r="13968" spans="15:15" x14ac:dyDescent="0.25">
      <c r="O13968" s="20" t="str">
        <f>IF(N13968="","",COUNTIFS(RawData[[Date ]],N13968,RawData[Month List],$Q$6,RawData[Tour/Site],$Q$2,RawData[[Picker ID ]],$Q$3,RawData[Checker ID],$Q$4,RawData[[Error Type ]],$Q$5))</f>
        <v/>
      </c>
    </row>
    <row r="13969" spans="15:15" x14ac:dyDescent="0.25">
      <c r="O13969" s="20" t="str">
        <f>IF(N13969="","",COUNTIFS(RawData[[Date ]],N13969,RawData[Month List],$Q$6,RawData[Tour/Site],$Q$2,RawData[[Picker ID ]],$Q$3,RawData[Checker ID],$Q$4,RawData[[Error Type ]],$Q$5))</f>
        <v/>
      </c>
    </row>
    <row r="13970" spans="15:15" x14ac:dyDescent="0.25">
      <c r="O13970" s="20" t="str">
        <f>IF(N13970="","",COUNTIFS(RawData[[Date ]],N13970,RawData[Month List],$Q$6,RawData[Tour/Site],$Q$2,RawData[[Picker ID ]],$Q$3,RawData[Checker ID],$Q$4,RawData[[Error Type ]],$Q$5))</f>
        <v/>
      </c>
    </row>
    <row r="13971" spans="15:15" x14ac:dyDescent="0.25">
      <c r="O13971" s="20" t="str">
        <f>IF(N13971="","",COUNTIFS(RawData[[Date ]],N13971,RawData[Month List],$Q$6,RawData[Tour/Site],$Q$2,RawData[[Picker ID ]],$Q$3,RawData[Checker ID],$Q$4,RawData[[Error Type ]],$Q$5))</f>
        <v/>
      </c>
    </row>
    <row r="13972" spans="15:15" x14ac:dyDescent="0.25">
      <c r="O13972" s="20" t="str">
        <f>IF(N13972="","",COUNTIFS(RawData[[Date ]],N13972,RawData[Month List],$Q$6,RawData[Tour/Site],$Q$2,RawData[[Picker ID ]],$Q$3,RawData[Checker ID],$Q$4,RawData[[Error Type ]],$Q$5))</f>
        <v/>
      </c>
    </row>
    <row r="13973" spans="15:15" x14ac:dyDescent="0.25">
      <c r="O13973" s="20" t="str">
        <f>IF(N13973="","",COUNTIFS(RawData[[Date ]],N13973,RawData[Month List],$Q$6,RawData[Tour/Site],$Q$2,RawData[[Picker ID ]],$Q$3,RawData[Checker ID],$Q$4,RawData[[Error Type ]],$Q$5))</f>
        <v/>
      </c>
    </row>
    <row r="13974" spans="15:15" x14ac:dyDescent="0.25">
      <c r="O13974" s="20" t="str">
        <f>IF(N13974="","",COUNTIFS(RawData[[Date ]],N13974,RawData[Month List],$Q$6,RawData[Tour/Site],$Q$2,RawData[[Picker ID ]],$Q$3,RawData[Checker ID],$Q$4,RawData[[Error Type ]],$Q$5))</f>
        <v/>
      </c>
    </row>
    <row r="13975" spans="15:15" x14ac:dyDescent="0.25">
      <c r="O13975" s="20" t="str">
        <f>IF(N13975="","",COUNTIFS(RawData[[Date ]],N13975,RawData[Month List],$Q$6,RawData[Tour/Site],$Q$2,RawData[[Picker ID ]],$Q$3,RawData[Checker ID],$Q$4,RawData[[Error Type ]],$Q$5))</f>
        <v/>
      </c>
    </row>
    <row r="13976" spans="15:15" x14ac:dyDescent="0.25">
      <c r="O13976" s="20" t="str">
        <f>IF(N13976="","",COUNTIFS(RawData[[Date ]],N13976,RawData[Month List],$Q$6,RawData[Tour/Site],$Q$2,RawData[[Picker ID ]],$Q$3,RawData[Checker ID],$Q$4,RawData[[Error Type ]],$Q$5))</f>
        <v/>
      </c>
    </row>
    <row r="13977" spans="15:15" x14ac:dyDescent="0.25">
      <c r="O13977" s="20" t="str">
        <f>IF(N13977="","",COUNTIFS(RawData[[Date ]],N13977,RawData[Month List],$Q$6,RawData[Tour/Site],$Q$2,RawData[[Picker ID ]],$Q$3,RawData[Checker ID],$Q$4,RawData[[Error Type ]],$Q$5))</f>
        <v/>
      </c>
    </row>
    <row r="13978" spans="15:15" x14ac:dyDescent="0.25">
      <c r="O13978" s="20" t="str">
        <f>IF(N13978="","",COUNTIFS(RawData[[Date ]],N13978,RawData[Month List],$Q$6,RawData[Tour/Site],$Q$2,RawData[[Picker ID ]],$Q$3,RawData[Checker ID],$Q$4,RawData[[Error Type ]],$Q$5))</f>
        <v/>
      </c>
    </row>
    <row r="13979" spans="15:15" x14ac:dyDescent="0.25">
      <c r="O13979" s="20" t="str">
        <f>IF(N13979="","",COUNTIFS(RawData[[Date ]],N13979,RawData[Month List],$Q$6,RawData[Tour/Site],$Q$2,RawData[[Picker ID ]],$Q$3,RawData[Checker ID],$Q$4,RawData[[Error Type ]],$Q$5))</f>
        <v/>
      </c>
    </row>
    <row r="13980" spans="15:15" x14ac:dyDescent="0.25">
      <c r="O13980" s="20" t="str">
        <f>IF(N13980="","",COUNTIFS(RawData[[Date ]],N13980,RawData[Month List],$Q$6,RawData[Tour/Site],$Q$2,RawData[[Picker ID ]],$Q$3,RawData[Checker ID],$Q$4,RawData[[Error Type ]],$Q$5))</f>
        <v/>
      </c>
    </row>
    <row r="13981" spans="15:15" x14ac:dyDescent="0.25">
      <c r="O13981" s="20" t="str">
        <f>IF(N13981="","",COUNTIFS(RawData[[Date ]],N13981,RawData[Month List],$Q$6,RawData[Tour/Site],$Q$2,RawData[[Picker ID ]],$Q$3,RawData[Checker ID],$Q$4,RawData[[Error Type ]],$Q$5))</f>
        <v/>
      </c>
    </row>
    <row r="13982" spans="15:15" x14ac:dyDescent="0.25">
      <c r="O13982" s="20" t="str">
        <f>IF(N13982="","",COUNTIFS(RawData[[Date ]],N13982,RawData[Month List],$Q$6,RawData[Tour/Site],$Q$2,RawData[[Picker ID ]],$Q$3,RawData[Checker ID],$Q$4,RawData[[Error Type ]],$Q$5))</f>
        <v/>
      </c>
    </row>
    <row r="13983" spans="15:15" x14ac:dyDescent="0.25">
      <c r="O13983" s="20" t="str">
        <f>IF(N13983="","",COUNTIFS(RawData[[Date ]],N13983,RawData[Month List],$Q$6,RawData[Tour/Site],$Q$2,RawData[[Picker ID ]],$Q$3,RawData[Checker ID],$Q$4,RawData[[Error Type ]],$Q$5))</f>
        <v/>
      </c>
    </row>
    <row r="13984" spans="15:15" x14ac:dyDescent="0.25">
      <c r="O13984" s="20" t="str">
        <f>IF(N13984="","",COUNTIFS(RawData[[Date ]],N13984,RawData[Month List],$Q$6,RawData[Tour/Site],$Q$2,RawData[[Picker ID ]],$Q$3,RawData[Checker ID],$Q$4,RawData[[Error Type ]],$Q$5))</f>
        <v/>
      </c>
    </row>
    <row r="13985" spans="15:15" x14ac:dyDescent="0.25">
      <c r="O13985" s="20" t="str">
        <f>IF(N13985="","",COUNTIFS(RawData[[Date ]],N13985,RawData[Month List],$Q$6,RawData[Tour/Site],$Q$2,RawData[[Picker ID ]],$Q$3,RawData[Checker ID],$Q$4,RawData[[Error Type ]],$Q$5))</f>
        <v/>
      </c>
    </row>
    <row r="13986" spans="15:15" x14ac:dyDescent="0.25">
      <c r="O13986" s="20" t="str">
        <f>IF(N13986="","",COUNTIFS(RawData[[Date ]],N13986,RawData[Month List],$Q$6,RawData[Tour/Site],$Q$2,RawData[[Picker ID ]],$Q$3,RawData[Checker ID],$Q$4,RawData[[Error Type ]],$Q$5))</f>
        <v/>
      </c>
    </row>
    <row r="13987" spans="15:15" x14ac:dyDescent="0.25">
      <c r="O13987" s="20" t="str">
        <f>IF(N13987="","",COUNTIFS(RawData[[Date ]],N13987,RawData[Month List],$Q$6,RawData[Tour/Site],$Q$2,RawData[[Picker ID ]],$Q$3,RawData[Checker ID],$Q$4,RawData[[Error Type ]],$Q$5))</f>
        <v/>
      </c>
    </row>
    <row r="13988" spans="15:15" x14ac:dyDescent="0.25">
      <c r="O13988" s="20" t="str">
        <f>IF(N13988="","",COUNTIFS(RawData[[Date ]],N13988,RawData[Month List],$Q$6,RawData[Tour/Site],$Q$2,RawData[[Picker ID ]],$Q$3,RawData[Checker ID],$Q$4,RawData[[Error Type ]],$Q$5))</f>
        <v/>
      </c>
    </row>
    <row r="13989" spans="15:15" x14ac:dyDescent="0.25">
      <c r="O13989" s="20" t="str">
        <f>IF(N13989="","",COUNTIFS(RawData[[Date ]],N13989,RawData[Month List],$Q$6,RawData[Tour/Site],$Q$2,RawData[[Picker ID ]],$Q$3,RawData[Checker ID],$Q$4,RawData[[Error Type ]],$Q$5))</f>
        <v/>
      </c>
    </row>
    <row r="13990" spans="15:15" x14ac:dyDescent="0.25">
      <c r="O13990" s="20" t="str">
        <f>IF(N13990="","",COUNTIFS(RawData[[Date ]],N13990,RawData[Month List],$Q$6,RawData[Tour/Site],$Q$2,RawData[[Picker ID ]],$Q$3,RawData[Checker ID],$Q$4,RawData[[Error Type ]],$Q$5))</f>
        <v/>
      </c>
    </row>
    <row r="13991" spans="15:15" x14ac:dyDescent="0.25">
      <c r="O13991" s="20" t="str">
        <f>IF(N13991="","",COUNTIFS(RawData[[Date ]],N13991,RawData[Month List],$Q$6,RawData[Tour/Site],$Q$2,RawData[[Picker ID ]],$Q$3,RawData[Checker ID],$Q$4,RawData[[Error Type ]],$Q$5))</f>
        <v/>
      </c>
    </row>
    <row r="13992" spans="15:15" x14ac:dyDescent="0.25">
      <c r="O13992" s="20" t="str">
        <f>IF(N13992="","",COUNTIFS(RawData[[Date ]],N13992,RawData[Month List],$Q$6,RawData[Tour/Site],$Q$2,RawData[[Picker ID ]],$Q$3,RawData[Checker ID],$Q$4,RawData[[Error Type ]],$Q$5))</f>
        <v/>
      </c>
    </row>
    <row r="13993" spans="15:15" x14ac:dyDescent="0.25">
      <c r="O13993" s="20" t="str">
        <f>IF(N13993="","",COUNTIFS(RawData[[Date ]],N13993,RawData[Month List],$Q$6,RawData[Tour/Site],$Q$2,RawData[[Picker ID ]],$Q$3,RawData[Checker ID],$Q$4,RawData[[Error Type ]],$Q$5))</f>
        <v/>
      </c>
    </row>
    <row r="13994" spans="15:15" x14ac:dyDescent="0.25">
      <c r="O13994" s="20" t="str">
        <f>IF(N13994="","",COUNTIFS(RawData[[Date ]],N13994,RawData[Month List],$Q$6,RawData[Tour/Site],$Q$2,RawData[[Picker ID ]],$Q$3,RawData[Checker ID],$Q$4,RawData[[Error Type ]],$Q$5))</f>
        <v/>
      </c>
    </row>
    <row r="13995" spans="15:15" x14ac:dyDescent="0.25">
      <c r="O13995" s="20" t="str">
        <f>IF(N13995="","",COUNTIFS(RawData[[Date ]],N13995,RawData[Month List],$Q$6,RawData[Tour/Site],$Q$2,RawData[[Picker ID ]],$Q$3,RawData[Checker ID],$Q$4,RawData[[Error Type ]],$Q$5))</f>
        <v/>
      </c>
    </row>
    <row r="13996" spans="15:15" x14ac:dyDescent="0.25">
      <c r="O13996" s="20" t="str">
        <f>IF(N13996="","",COUNTIFS(RawData[[Date ]],N13996,RawData[Month List],$Q$6,RawData[Tour/Site],$Q$2,RawData[[Picker ID ]],$Q$3,RawData[Checker ID],$Q$4,RawData[[Error Type ]],$Q$5))</f>
        <v/>
      </c>
    </row>
    <row r="13997" spans="15:15" x14ac:dyDescent="0.25">
      <c r="O13997" s="20" t="str">
        <f>IF(N13997="","",COUNTIFS(RawData[[Date ]],N13997,RawData[Month List],$Q$6,RawData[Tour/Site],$Q$2,RawData[[Picker ID ]],$Q$3,RawData[Checker ID],$Q$4,RawData[[Error Type ]],$Q$5))</f>
        <v/>
      </c>
    </row>
    <row r="13998" spans="15:15" x14ac:dyDescent="0.25">
      <c r="O13998" s="20" t="str">
        <f>IF(N13998="","",COUNTIFS(RawData[[Date ]],N13998,RawData[Month List],$Q$6,RawData[Tour/Site],$Q$2,RawData[[Picker ID ]],$Q$3,RawData[Checker ID],$Q$4,RawData[[Error Type ]],$Q$5))</f>
        <v/>
      </c>
    </row>
    <row r="13999" spans="15:15" x14ac:dyDescent="0.25">
      <c r="O13999" s="20" t="str">
        <f>IF(N13999="","",COUNTIFS(RawData[[Date ]],N13999,RawData[Month List],$Q$6,RawData[Tour/Site],$Q$2,RawData[[Picker ID ]],$Q$3,RawData[Checker ID],$Q$4,RawData[[Error Type ]],$Q$5))</f>
        <v/>
      </c>
    </row>
    <row r="14000" spans="15:15" x14ac:dyDescent="0.25">
      <c r="O14000" s="20" t="str">
        <f>IF(N14000="","",COUNTIFS(RawData[[Date ]],N14000,RawData[Month List],$Q$6,RawData[Tour/Site],$Q$2,RawData[[Picker ID ]],$Q$3,RawData[Checker ID],$Q$4,RawData[[Error Type ]],$Q$5))</f>
        <v/>
      </c>
    </row>
    <row r="14001" spans="15:15" x14ac:dyDescent="0.25">
      <c r="O14001" s="20" t="str">
        <f>IF(N14001="","",COUNTIFS(RawData[[Date ]],N14001,RawData[Month List],$Q$6,RawData[Tour/Site],$Q$2,RawData[[Picker ID ]],$Q$3,RawData[Checker ID],$Q$4,RawData[[Error Type ]],$Q$5))</f>
        <v/>
      </c>
    </row>
    <row r="14002" spans="15:15" x14ac:dyDescent="0.25">
      <c r="O14002" s="20" t="str">
        <f>IF(N14002="","",COUNTIFS(RawData[[Date ]],N14002,RawData[Month List],$Q$6,RawData[Tour/Site],$Q$2,RawData[[Picker ID ]],$Q$3,RawData[Checker ID],$Q$4,RawData[[Error Type ]],$Q$5))</f>
        <v/>
      </c>
    </row>
    <row r="14003" spans="15:15" x14ac:dyDescent="0.25">
      <c r="O14003" s="20" t="str">
        <f>IF(N14003="","",COUNTIFS(RawData[[Date ]],N14003,RawData[Month List],$Q$6,RawData[Tour/Site],$Q$2,RawData[[Picker ID ]],$Q$3,RawData[Checker ID],$Q$4,RawData[[Error Type ]],$Q$5))</f>
        <v/>
      </c>
    </row>
    <row r="14004" spans="15:15" x14ac:dyDescent="0.25">
      <c r="O14004" s="20" t="str">
        <f>IF(N14004="","",COUNTIFS(RawData[[Date ]],N14004,RawData[Month List],$Q$6,RawData[Tour/Site],$Q$2,RawData[[Picker ID ]],$Q$3,RawData[Checker ID],$Q$4,RawData[[Error Type ]],$Q$5))</f>
        <v/>
      </c>
    </row>
    <row r="14005" spans="15:15" x14ac:dyDescent="0.25">
      <c r="O14005" s="20" t="str">
        <f>IF(N14005="","",COUNTIFS(RawData[[Date ]],N14005,RawData[Month List],$Q$6,RawData[Tour/Site],$Q$2,RawData[[Picker ID ]],$Q$3,RawData[Checker ID],$Q$4,RawData[[Error Type ]],$Q$5))</f>
        <v/>
      </c>
    </row>
    <row r="14006" spans="15:15" x14ac:dyDescent="0.25">
      <c r="O14006" s="20" t="str">
        <f>IF(N14006="","",COUNTIFS(RawData[[Date ]],N14006,RawData[Month List],$Q$6,RawData[Tour/Site],$Q$2,RawData[[Picker ID ]],$Q$3,RawData[Checker ID],$Q$4,RawData[[Error Type ]],$Q$5))</f>
        <v/>
      </c>
    </row>
    <row r="14007" spans="15:15" x14ac:dyDescent="0.25">
      <c r="O14007" s="20" t="str">
        <f>IF(N14007="","",COUNTIFS(RawData[[Date ]],N14007,RawData[Month List],$Q$6,RawData[Tour/Site],$Q$2,RawData[[Picker ID ]],$Q$3,RawData[Checker ID],$Q$4,RawData[[Error Type ]],$Q$5))</f>
        <v/>
      </c>
    </row>
    <row r="14008" spans="15:15" x14ac:dyDescent="0.25">
      <c r="O14008" s="20" t="str">
        <f>IF(N14008="","",COUNTIFS(RawData[[Date ]],N14008,RawData[Month List],$Q$6,RawData[Tour/Site],$Q$2,RawData[[Picker ID ]],$Q$3,RawData[Checker ID],$Q$4,RawData[[Error Type ]],$Q$5))</f>
        <v/>
      </c>
    </row>
    <row r="14009" spans="15:15" x14ac:dyDescent="0.25">
      <c r="O14009" s="20" t="str">
        <f>IF(N14009="","",COUNTIFS(RawData[[Date ]],N14009,RawData[Month List],$Q$6,RawData[Tour/Site],$Q$2,RawData[[Picker ID ]],$Q$3,RawData[Checker ID],$Q$4,RawData[[Error Type ]],$Q$5))</f>
        <v/>
      </c>
    </row>
    <row r="14010" spans="15:15" x14ac:dyDescent="0.25">
      <c r="O14010" s="20" t="str">
        <f>IF(N14010="","",COUNTIFS(RawData[[Date ]],N14010,RawData[Month List],$Q$6,RawData[Tour/Site],$Q$2,RawData[[Picker ID ]],$Q$3,RawData[Checker ID],$Q$4,RawData[[Error Type ]],$Q$5))</f>
        <v/>
      </c>
    </row>
    <row r="14011" spans="15:15" x14ac:dyDescent="0.25">
      <c r="O14011" s="20" t="str">
        <f>IF(N14011="","",COUNTIFS(RawData[[Date ]],N14011,RawData[Month List],$Q$6,RawData[Tour/Site],$Q$2,RawData[[Picker ID ]],$Q$3,RawData[Checker ID],$Q$4,RawData[[Error Type ]],$Q$5))</f>
        <v/>
      </c>
    </row>
    <row r="14012" spans="15:15" x14ac:dyDescent="0.25">
      <c r="O14012" s="20" t="str">
        <f>IF(N14012="","",COUNTIFS(RawData[[Date ]],N14012,RawData[Month List],$Q$6,RawData[Tour/Site],$Q$2,RawData[[Picker ID ]],$Q$3,RawData[Checker ID],$Q$4,RawData[[Error Type ]],$Q$5))</f>
        <v/>
      </c>
    </row>
    <row r="14013" spans="15:15" x14ac:dyDescent="0.25">
      <c r="O14013" s="20" t="str">
        <f>IF(N14013="","",COUNTIFS(RawData[[Date ]],N14013,RawData[Month List],$Q$6,RawData[Tour/Site],$Q$2,RawData[[Picker ID ]],$Q$3,RawData[Checker ID],$Q$4,RawData[[Error Type ]],$Q$5))</f>
        <v/>
      </c>
    </row>
    <row r="14014" spans="15:15" x14ac:dyDescent="0.25">
      <c r="O14014" s="20" t="str">
        <f>IF(N14014="","",COUNTIFS(RawData[[Date ]],N14014,RawData[Month List],$Q$6,RawData[Tour/Site],$Q$2,RawData[[Picker ID ]],$Q$3,RawData[Checker ID],$Q$4,RawData[[Error Type ]],$Q$5))</f>
        <v/>
      </c>
    </row>
    <row r="14015" spans="15:15" x14ac:dyDescent="0.25">
      <c r="O14015" s="20" t="str">
        <f>IF(N14015="","",COUNTIFS(RawData[[Date ]],N14015,RawData[Month List],$Q$6,RawData[Tour/Site],$Q$2,RawData[[Picker ID ]],$Q$3,RawData[Checker ID],$Q$4,RawData[[Error Type ]],$Q$5))</f>
        <v/>
      </c>
    </row>
    <row r="14016" spans="15:15" x14ac:dyDescent="0.25">
      <c r="O14016" s="20" t="str">
        <f>IF(N14016="","",COUNTIFS(RawData[[Date ]],N14016,RawData[Month List],$Q$6,RawData[Tour/Site],$Q$2,RawData[[Picker ID ]],$Q$3,RawData[Checker ID],$Q$4,RawData[[Error Type ]],$Q$5))</f>
        <v/>
      </c>
    </row>
    <row r="14017" spans="15:15" x14ac:dyDescent="0.25">
      <c r="O14017" s="20" t="str">
        <f>IF(N14017="","",COUNTIFS(RawData[[Date ]],N14017,RawData[Month List],$Q$6,RawData[Tour/Site],$Q$2,RawData[[Picker ID ]],$Q$3,RawData[Checker ID],$Q$4,RawData[[Error Type ]],$Q$5))</f>
        <v/>
      </c>
    </row>
    <row r="14018" spans="15:15" x14ac:dyDescent="0.25">
      <c r="O14018" s="20" t="str">
        <f>IF(N14018="","",COUNTIFS(RawData[[Date ]],N14018,RawData[Month List],$Q$6,RawData[Tour/Site],$Q$2,RawData[[Picker ID ]],$Q$3,RawData[Checker ID],$Q$4,RawData[[Error Type ]],$Q$5))</f>
        <v/>
      </c>
    </row>
    <row r="14019" spans="15:15" x14ac:dyDescent="0.25">
      <c r="O14019" s="20" t="str">
        <f>IF(N14019="","",COUNTIFS(RawData[[Date ]],N14019,RawData[Month List],$Q$6,RawData[Tour/Site],$Q$2,RawData[[Picker ID ]],$Q$3,RawData[Checker ID],$Q$4,RawData[[Error Type ]],$Q$5))</f>
        <v/>
      </c>
    </row>
    <row r="14020" spans="15:15" x14ac:dyDescent="0.25">
      <c r="O14020" s="20" t="str">
        <f>IF(N14020="","",COUNTIFS(RawData[[Date ]],N14020,RawData[Month List],$Q$6,RawData[Tour/Site],$Q$2,RawData[[Picker ID ]],$Q$3,RawData[Checker ID],$Q$4,RawData[[Error Type ]],$Q$5))</f>
        <v/>
      </c>
    </row>
    <row r="14021" spans="15:15" x14ac:dyDescent="0.25">
      <c r="O14021" s="20" t="str">
        <f>IF(N14021="","",COUNTIFS(RawData[[Date ]],N14021,RawData[Month List],$Q$6,RawData[Tour/Site],$Q$2,RawData[[Picker ID ]],$Q$3,RawData[Checker ID],$Q$4,RawData[[Error Type ]],$Q$5))</f>
        <v/>
      </c>
    </row>
    <row r="14022" spans="15:15" x14ac:dyDescent="0.25">
      <c r="O14022" s="20" t="str">
        <f>IF(N14022="","",COUNTIFS(RawData[[Date ]],N14022,RawData[Month List],$Q$6,RawData[Tour/Site],$Q$2,RawData[[Picker ID ]],$Q$3,RawData[Checker ID],$Q$4,RawData[[Error Type ]],$Q$5))</f>
        <v/>
      </c>
    </row>
    <row r="14023" spans="15:15" x14ac:dyDescent="0.25">
      <c r="O14023" s="20" t="str">
        <f>IF(N14023="","",COUNTIFS(RawData[[Date ]],N14023,RawData[Month List],$Q$6,RawData[Tour/Site],$Q$2,RawData[[Picker ID ]],$Q$3,RawData[Checker ID],$Q$4,RawData[[Error Type ]],$Q$5))</f>
        <v/>
      </c>
    </row>
    <row r="14024" spans="15:15" x14ac:dyDescent="0.25">
      <c r="O14024" s="20" t="str">
        <f>IF(N14024="","",COUNTIFS(RawData[[Date ]],N14024,RawData[Month List],$Q$6,RawData[Tour/Site],$Q$2,RawData[[Picker ID ]],$Q$3,RawData[Checker ID],$Q$4,RawData[[Error Type ]],$Q$5))</f>
        <v/>
      </c>
    </row>
    <row r="14025" spans="15:15" x14ac:dyDescent="0.25">
      <c r="O14025" s="20" t="str">
        <f>IF(N14025="","",COUNTIFS(RawData[[Date ]],N14025,RawData[Month List],$Q$6,RawData[Tour/Site],$Q$2,RawData[[Picker ID ]],$Q$3,RawData[Checker ID],$Q$4,RawData[[Error Type ]],$Q$5))</f>
        <v/>
      </c>
    </row>
    <row r="14026" spans="15:15" x14ac:dyDescent="0.25">
      <c r="O14026" s="20" t="str">
        <f>IF(N14026="","",COUNTIFS(RawData[[Date ]],N14026,RawData[Month List],$Q$6,RawData[Tour/Site],$Q$2,RawData[[Picker ID ]],$Q$3,RawData[Checker ID],$Q$4,RawData[[Error Type ]],$Q$5))</f>
        <v/>
      </c>
    </row>
    <row r="14027" spans="15:15" x14ac:dyDescent="0.25">
      <c r="O14027" s="20" t="str">
        <f>IF(N14027="","",COUNTIFS(RawData[[Date ]],N14027,RawData[Month List],$Q$6,RawData[Tour/Site],$Q$2,RawData[[Picker ID ]],$Q$3,RawData[Checker ID],$Q$4,RawData[[Error Type ]],$Q$5))</f>
        <v/>
      </c>
    </row>
    <row r="14028" spans="15:15" x14ac:dyDescent="0.25">
      <c r="O14028" s="20" t="str">
        <f>IF(N14028="","",COUNTIFS(RawData[[Date ]],N14028,RawData[Month List],$Q$6,RawData[Tour/Site],$Q$2,RawData[[Picker ID ]],$Q$3,RawData[Checker ID],$Q$4,RawData[[Error Type ]],$Q$5))</f>
        <v/>
      </c>
    </row>
    <row r="14029" spans="15:15" x14ac:dyDescent="0.25">
      <c r="O14029" s="20" t="str">
        <f>IF(N14029="","",COUNTIFS(RawData[[Date ]],N14029,RawData[Month List],$Q$6,RawData[Tour/Site],$Q$2,RawData[[Picker ID ]],$Q$3,RawData[Checker ID],$Q$4,RawData[[Error Type ]],$Q$5))</f>
        <v/>
      </c>
    </row>
    <row r="14030" spans="15:15" x14ac:dyDescent="0.25">
      <c r="O14030" s="20" t="str">
        <f>IF(N14030="","",COUNTIFS(RawData[[Date ]],N14030,RawData[Month List],$Q$6,RawData[Tour/Site],$Q$2,RawData[[Picker ID ]],$Q$3,RawData[Checker ID],$Q$4,RawData[[Error Type ]],$Q$5))</f>
        <v/>
      </c>
    </row>
    <row r="14031" spans="15:15" x14ac:dyDescent="0.25">
      <c r="O14031" s="20" t="str">
        <f>IF(N14031="","",COUNTIFS(RawData[[Date ]],N14031,RawData[Month List],$Q$6,RawData[Tour/Site],$Q$2,RawData[[Picker ID ]],$Q$3,RawData[Checker ID],$Q$4,RawData[[Error Type ]],$Q$5))</f>
        <v/>
      </c>
    </row>
    <row r="14032" spans="15:15" x14ac:dyDescent="0.25">
      <c r="O14032" s="20" t="str">
        <f>IF(N14032="","",COUNTIFS(RawData[[Date ]],N14032,RawData[Month List],$Q$6,RawData[Tour/Site],$Q$2,RawData[[Picker ID ]],$Q$3,RawData[Checker ID],$Q$4,RawData[[Error Type ]],$Q$5))</f>
        <v/>
      </c>
    </row>
    <row r="14033" spans="15:15" x14ac:dyDescent="0.25">
      <c r="O14033" s="20" t="str">
        <f>IF(N14033="","",COUNTIFS(RawData[[Date ]],N14033,RawData[Month List],$Q$6,RawData[Tour/Site],$Q$2,RawData[[Picker ID ]],$Q$3,RawData[Checker ID],$Q$4,RawData[[Error Type ]],$Q$5))</f>
        <v/>
      </c>
    </row>
    <row r="14034" spans="15:15" x14ac:dyDescent="0.25">
      <c r="O14034" s="20" t="str">
        <f>IF(N14034="","",COUNTIFS(RawData[[Date ]],N14034,RawData[Month List],$Q$6,RawData[Tour/Site],$Q$2,RawData[[Picker ID ]],$Q$3,RawData[Checker ID],$Q$4,RawData[[Error Type ]],$Q$5))</f>
        <v/>
      </c>
    </row>
    <row r="14035" spans="15:15" x14ac:dyDescent="0.25">
      <c r="O14035" s="20" t="str">
        <f>IF(N14035="","",COUNTIFS(RawData[[Date ]],N14035,RawData[Month List],$Q$6,RawData[Tour/Site],$Q$2,RawData[[Picker ID ]],$Q$3,RawData[Checker ID],$Q$4,RawData[[Error Type ]],$Q$5))</f>
        <v/>
      </c>
    </row>
    <row r="14036" spans="15:15" x14ac:dyDescent="0.25">
      <c r="O14036" s="20" t="str">
        <f>IF(N14036="","",COUNTIFS(RawData[[Date ]],N14036,RawData[Month List],$Q$6,RawData[Tour/Site],$Q$2,RawData[[Picker ID ]],$Q$3,RawData[Checker ID],$Q$4,RawData[[Error Type ]],$Q$5))</f>
        <v/>
      </c>
    </row>
    <row r="14037" spans="15:15" x14ac:dyDescent="0.25">
      <c r="O14037" s="20" t="str">
        <f>IF(N14037="","",COUNTIFS(RawData[[Date ]],N14037,RawData[Month List],$Q$6,RawData[Tour/Site],$Q$2,RawData[[Picker ID ]],$Q$3,RawData[Checker ID],$Q$4,RawData[[Error Type ]],$Q$5))</f>
        <v/>
      </c>
    </row>
    <row r="14038" spans="15:15" x14ac:dyDescent="0.25">
      <c r="O14038" s="20" t="str">
        <f>IF(N14038="","",COUNTIFS(RawData[[Date ]],N14038,RawData[Month List],$Q$6,RawData[Tour/Site],$Q$2,RawData[[Picker ID ]],$Q$3,RawData[Checker ID],$Q$4,RawData[[Error Type ]],$Q$5))</f>
        <v/>
      </c>
    </row>
    <row r="14039" spans="15:15" x14ac:dyDescent="0.25">
      <c r="O14039" s="20" t="str">
        <f>IF(N14039="","",COUNTIFS(RawData[[Date ]],N14039,RawData[Month List],$Q$6,RawData[Tour/Site],$Q$2,RawData[[Picker ID ]],$Q$3,RawData[Checker ID],$Q$4,RawData[[Error Type ]],$Q$5))</f>
        <v/>
      </c>
    </row>
    <row r="14040" spans="15:15" x14ac:dyDescent="0.25">
      <c r="O14040" s="20" t="str">
        <f>IF(N14040="","",COUNTIFS(RawData[[Date ]],N14040,RawData[Month List],$Q$6,RawData[Tour/Site],$Q$2,RawData[[Picker ID ]],$Q$3,RawData[Checker ID],$Q$4,RawData[[Error Type ]],$Q$5))</f>
        <v/>
      </c>
    </row>
    <row r="14041" spans="15:15" x14ac:dyDescent="0.25">
      <c r="O14041" s="20" t="str">
        <f>IF(N14041="","",COUNTIFS(RawData[[Date ]],N14041,RawData[Month List],$Q$6,RawData[Tour/Site],$Q$2,RawData[[Picker ID ]],$Q$3,RawData[Checker ID],$Q$4,RawData[[Error Type ]],$Q$5))</f>
        <v/>
      </c>
    </row>
    <row r="14042" spans="15:15" x14ac:dyDescent="0.25">
      <c r="O14042" s="20" t="str">
        <f>IF(N14042="","",COUNTIFS(RawData[[Date ]],N14042,RawData[Month List],$Q$6,RawData[Tour/Site],$Q$2,RawData[[Picker ID ]],$Q$3,RawData[Checker ID],$Q$4,RawData[[Error Type ]],$Q$5))</f>
        <v/>
      </c>
    </row>
    <row r="14043" spans="15:15" x14ac:dyDescent="0.25">
      <c r="O14043" s="20" t="str">
        <f>IF(N14043="","",COUNTIFS(RawData[[Date ]],N14043,RawData[Month List],$Q$6,RawData[Tour/Site],$Q$2,RawData[[Picker ID ]],$Q$3,RawData[Checker ID],$Q$4,RawData[[Error Type ]],$Q$5))</f>
        <v/>
      </c>
    </row>
    <row r="14044" spans="15:15" x14ac:dyDescent="0.25">
      <c r="O14044" s="20" t="str">
        <f>IF(N14044="","",COUNTIFS(RawData[[Date ]],N14044,RawData[Month List],$Q$6,RawData[Tour/Site],$Q$2,RawData[[Picker ID ]],$Q$3,RawData[Checker ID],$Q$4,RawData[[Error Type ]],$Q$5))</f>
        <v/>
      </c>
    </row>
    <row r="14045" spans="15:15" x14ac:dyDescent="0.25">
      <c r="O14045" s="20" t="str">
        <f>IF(N14045="","",COUNTIFS(RawData[[Date ]],N14045,RawData[Month List],$Q$6,RawData[Tour/Site],$Q$2,RawData[[Picker ID ]],$Q$3,RawData[Checker ID],$Q$4,RawData[[Error Type ]],$Q$5))</f>
        <v/>
      </c>
    </row>
    <row r="14046" spans="15:15" x14ac:dyDescent="0.25">
      <c r="O14046" s="20" t="str">
        <f>IF(N14046="","",COUNTIFS(RawData[[Date ]],N14046,RawData[Month List],$Q$6,RawData[Tour/Site],$Q$2,RawData[[Picker ID ]],$Q$3,RawData[Checker ID],$Q$4,RawData[[Error Type ]],$Q$5))</f>
        <v/>
      </c>
    </row>
    <row r="14047" spans="15:15" x14ac:dyDescent="0.25">
      <c r="O14047" s="20" t="str">
        <f>IF(N14047="","",COUNTIFS(RawData[[Date ]],N14047,RawData[Month List],$Q$6,RawData[Tour/Site],$Q$2,RawData[[Picker ID ]],$Q$3,RawData[Checker ID],$Q$4,RawData[[Error Type ]],$Q$5))</f>
        <v/>
      </c>
    </row>
    <row r="14048" spans="15:15" x14ac:dyDescent="0.25">
      <c r="O14048" s="20" t="str">
        <f>IF(N14048="","",COUNTIFS(RawData[[Date ]],N14048,RawData[Month List],$Q$6,RawData[Tour/Site],$Q$2,RawData[[Picker ID ]],$Q$3,RawData[Checker ID],$Q$4,RawData[[Error Type ]],$Q$5))</f>
        <v/>
      </c>
    </row>
    <row r="14049" spans="15:15" x14ac:dyDescent="0.25">
      <c r="O14049" s="20" t="str">
        <f>IF(N14049="","",COUNTIFS(RawData[[Date ]],N14049,RawData[Month List],$Q$6,RawData[Tour/Site],$Q$2,RawData[[Picker ID ]],$Q$3,RawData[Checker ID],$Q$4,RawData[[Error Type ]],$Q$5))</f>
        <v/>
      </c>
    </row>
    <row r="14050" spans="15:15" x14ac:dyDescent="0.25">
      <c r="O14050" s="20" t="str">
        <f>IF(N14050="","",COUNTIFS(RawData[[Date ]],N14050,RawData[Month List],$Q$6,RawData[Tour/Site],$Q$2,RawData[[Picker ID ]],$Q$3,RawData[Checker ID],$Q$4,RawData[[Error Type ]],$Q$5))</f>
        <v/>
      </c>
    </row>
    <row r="14051" spans="15:15" x14ac:dyDescent="0.25">
      <c r="O14051" s="20" t="str">
        <f>IF(N14051="","",COUNTIFS(RawData[[Date ]],N14051,RawData[Month List],$Q$6,RawData[Tour/Site],$Q$2,RawData[[Picker ID ]],$Q$3,RawData[Checker ID],$Q$4,RawData[[Error Type ]],$Q$5))</f>
        <v/>
      </c>
    </row>
    <row r="14052" spans="15:15" x14ac:dyDescent="0.25">
      <c r="O14052" s="20" t="str">
        <f>IF(N14052="","",COUNTIFS(RawData[[Date ]],N14052,RawData[Month List],$Q$6,RawData[Tour/Site],$Q$2,RawData[[Picker ID ]],$Q$3,RawData[Checker ID],$Q$4,RawData[[Error Type ]],$Q$5))</f>
        <v/>
      </c>
    </row>
    <row r="14053" spans="15:15" x14ac:dyDescent="0.25">
      <c r="O14053" s="20" t="str">
        <f>IF(N14053="","",COUNTIFS(RawData[[Date ]],N14053,RawData[Month List],$Q$6,RawData[Tour/Site],$Q$2,RawData[[Picker ID ]],$Q$3,RawData[Checker ID],$Q$4,RawData[[Error Type ]],$Q$5))</f>
        <v/>
      </c>
    </row>
    <row r="14054" spans="15:15" x14ac:dyDescent="0.25">
      <c r="O14054" s="20" t="str">
        <f>IF(N14054="","",COUNTIFS(RawData[[Date ]],N14054,RawData[Month List],$Q$6,RawData[Tour/Site],$Q$2,RawData[[Picker ID ]],$Q$3,RawData[Checker ID],$Q$4,RawData[[Error Type ]],$Q$5))</f>
        <v/>
      </c>
    </row>
    <row r="14055" spans="15:15" x14ac:dyDescent="0.25">
      <c r="O14055" s="20" t="str">
        <f>IF(N14055="","",COUNTIFS(RawData[[Date ]],N14055,RawData[Month List],$Q$6,RawData[Tour/Site],$Q$2,RawData[[Picker ID ]],$Q$3,RawData[Checker ID],$Q$4,RawData[[Error Type ]],$Q$5))</f>
        <v/>
      </c>
    </row>
    <row r="14056" spans="15:15" x14ac:dyDescent="0.25">
      <c r="O14056" s="20" t="str">
        <f>IF(N14056="","",COUNTIFS(RawData[[Date ]],N14056,RawData[Month List],$Q$6,RawData[Tour/Site],$Q$2,RawData[[Picker ID ]],$Q$3,RawData[Checker ID],$Q$4,RawData[[Error Type ]],$Q$5))</f>
        <v/>
      </c>
    </row>
    <row r="14057" spans="15:15" x14ac:dyDescent="0.25">
      <c r="O14057" s="20" t="str">
        <f>IF(N14057="","",COUNTIFS(RawData[[Date ]],N14057,RawData[Month List],$Q$6,RawData[Tour/Site],$Q$2,RawData[[Picker ID ]],$Q$3,RawData[Checker ID],$Q$4,RawData[[Error Type ]],$Q$5))</f>
        <v/>
      </c>
    </row>
    <row r="14058" spans="15:15" x14ac:dyDescent="0.25">
      <c r="O14058" s="20" t="str">
        <f>IF(N14058="","",COUNTIFS(RawData[[Date ]],N14058,RawData[Month List],$Q$6,RawData[Tour/Site],$Q$2,RawData[[Picker ID ]],$Q$3,RawData[Checker ID],$Q$4,RawData[[Error Type ]],$Q$5))</f>
        <v/>
      </c>
    </row>
    <row r="14059" spans="15:15" x14ac:dyDescent="0.25">
      <c r="O14059" s="20" t="str">
        <f>IF(N14059="","",COUNTIFS(RawData[[Date ]],N14059,RawData[Month List],$Q$6,RawData[Tour/Site],$Q$2,RawData[[Picker ID ]],$Q$3,RawData[Checker ID],$Q$4,RawData[[Error Type ]],$Q$5))</f>
        <v/>
      </c>
    </row>
    <row r="14060" spans="15:15" x14ac:dyDescent="0.25">
      <c r="O14060" s="20" t="str">
        <f>IF(N14060="","",COUNTIFS(RawData[[Date ]],N14060,RawData[Month List],$Q$6,RawData[Tour/Site],$Q$2,RawData[[Picker ID ]],$Q$3,RawData[Checker ID],$Q$4,RawData[[Error Type ]],$Q$5))</f>
        <v/>
      </c>
    </row>
    <row r="14061" spans="15:15" x14ac:dyDescent="0.25">
      <c r="O14061" s="20" t="str">
        <f>IF(N14061="","",COUNTIFS(RawData[[Date ]],N14061,RawData[Month List],$Q$6,RawData[Tour/Site],$Q$2,RawData[[Picker ID ]],$Q$3,RawData[Checker ID],$Q$4,RawData[[Error Type ]],$Q$5))</f>
        <v/>
      </c>
    </row>
    <row r="14062" spans="15:15" x14ac:dyDescent="0.25">
      <c r="O14062" s="20" t="str">
        <f>IF(N14062="","",COUNTIFS(RawData[[Date ]],N14062,RawData[Month List],$Q$6,RawData[Tour/Site],$Q$2,RawData[[Picker ID ]],$Q$3,RawData[Checker ID],$Q$4,RawData[[Error Type ]],$Q$5))</f>
        <v/>
      </c>
    </row>
    <row r="14063" spans="15:15" x14ac:dyDescent="0.25">
      <c r="O14063" s="20" t="str">
        <f>IF(N14063="","",COUNTIFS(RawData[[Date ]],N14063,RawData[Month List],$Q$6,RawData[Tour/Site],$Q$2,RawData[[Picker ID ]],$Q$3,RawData[Checker ID],$Q$4,RawData[[Error Type ]],$Q$5))</f>
        <v/>
      </c>
    </row>
    <row r="14064" spans="15:15" x14ac:dyDescent="0.25">
      <c r="O14064" s="20" t="str">
        <f>IF(N14064="","",COUNTIFS(RawData[[Date ]],N14064,RawData[Month List],$Q$6,RawData[Tour/Site],$Q$2,RawData[[Picker ID ]],$Q$3,RawData[Checker ID],$Q$4,RawData[[Error Type ]],$Q$5))</f>
        <v/>
      </c>
    </row>
    <row r="14065" spans="15:15" x14ac:dyDescent="0.25">
      <c r="O14065" s="20" t="str">
        <f>IF(N14065="","",COUNTIFS(RawData[[Date ]],N14065,RawData[Month List],$Q$6,RawData[Tour/Site],$Q$2,RawData[[Picker ID ]],$Q$3,RawData[Checker ID],$Q$4,RawData[[Error Type ]],$Q$5))</f>
        <v/>
      </c>
    </row>
    <row r="14066" spans="15:15" x14ac:dyDescent="0.25">
      <c r="O14066" s="20" t="str">
        <f>IF(N14066="","",COUNTIFS(RawData[[Date ]],N14066,RawData[Month List],$Q$6,RawData[Tour/Site],$Q$2,RawData[[Picker ID ]],$Q$3,RawData[Checker ID],$Q$4,RawData[[Error Type ]],$Q$5))</f>
        <v/>
      </c>
    </row>
    <row r="14067" spans="15:15" x14ac:dyDescent="0.25">
      <c r="O14067" s="20" t="str">
        <f>IF(N14067="","",COUNTIFS(RawData[[Date ]],N14067,RawData[Month List],$Q$6,RawData[Tour/Site],$Q$2,RawData[[Picker ID ]],$Q$3,RawData[Checker ID],$Q$4,RawData[[Error Type ]],$Q$5))</f>
        <v/>
      </c>
    </row>
    <row r="14068" spans="15:15" x14ac:dyDescent="0.25">
      <c r="O14068" s="20" t="str">
        <f>IF(N14068="","",COUNTIFS(RawData[[Date ]],N14068,RawData[Month List],$Q$6,RawData[Tour/Site],$Q$2,RawData[[Picker ID ]],$Q$3,RawData[Checker ID],$Q$4,RawData[[Error Type ]],$Q$5))</f>
        <v/>
      </c>
    </row>
    <row r="14069" spans="15:15" x14ac:dyDescent="0.25">
      <c r="O14069" s="20" t="str">
        <f>IF(N14069="","",COUNTIFS(RawData[[Date ]],N14069,RawData[Month List],$Q$6,RawData[Tour/Site],$Q$2,RawData[[Picker ID ]],$Q$3,RawData[Checker ID],$Q$4,RawData[[Error Type ]],$Q$5))</f>
        <v/>
      </c>
    </row>
    <row r="14070" spans="15:15" x14ac:dyDescent="0.25">
      <c r="O14070" s="20" t="str">
        <f>IF(N14070="","",COUNTIFS(RawData[[Date ]],N14070,RawData[Month List],$Q$6,RawData[Tour/Site],$Q$2,RawData[[Picker ID ]],$Q$3,RawData[Checker ID],$Q$4,RawData[[Error Type ]],$Q$5))</f>
        <v/>
      </c>
    </row>
    <row r="14071" spans="15:15" x14ac:dyDescent="0.25">
      <c r="O14071" s="20" t="str">
        <f>IF(N14071="","",COUNTIFS(RawData[[Date ]],N14071,RawData[Month List],$Q$6,RawData[Tour/Site],$Q$2,RawData[[Picker ID ]],$Q$3,RawData[Checker ID],$Q$4,RawData[[Error Type ]],$Q$5))</f>
        <v/>
      </c>
    </row>
    <row r="14072" spans="15:15" x14ac:dyDescent="0.25">
      <c r="O14072" s="20" t="str">
        <f>IF(N14072="","",COUNTIFS(RawData[[Date ]],N14072,RawData[Month List],$Q$6,RawData[Tour/Site],$Q$2,RawData[[Picker ID ]],$Q$3,RawData[Checker ID],$Q$4,RawData[[Error Type ]],$Q$5))</f>
        <v/>
      </c>
    </row>
    <row r="14073" spans="15:15" x14ac:dyDescent="0.25">
      <c r="O14073" s="20" t="str">
        <f>IF(N14073="","",COUNTIFS(RawData[[Date ]],N14073,RawData[Month List],$Q$6,RawData[Tour/Site],$Q$2,RawData[[Picker ID ]],$Q$3,RawData[Checker ID],$Q$4,RawData[[Error Type ]],$Q$5))</f>
        <v/>
      </c>
    </row>
    <row r="14074" spans="15:15" x14ac:dyDescent="0.25">
      <c r="O14074" s="20" t="str">
        <f>IF(N14074="","",COUNTIFS(RawData[[Date ]],N14074,RawData[Month List],$Q$6,RawData[Tour/Site],$Q$2,RawData[[Picker ID ]],$Q$3,RawData[Checker ID],$Q$4,RawData[[Error Type ]],$Q$5))</f>
        <v/>
      </c>
    </row>
    <row r="14075" spans="15:15" x14ac:dyDescent="0.25">
      <c r="O14075" s="20" t="str">
        <f>IF(N14075="","",COUNTIFS(RawData[[Date ]],N14075,RawData[Month List],$Q$6,RawData[Tour/Site],$Q$2,RawData[[Picker ID ]],$Q$3,RawData[Checker ID],$Q$4,RawData[[Error Type ]],$Q$5))</f>
        <v/>
      </c>
    </row>
    <row r="14076" spans="15:15" x14ac:dyDescent="0.25">
      <c r="O14076" s="20" t="str">
        <f>IF(N14076="","",COUNTIFS(RawData[[Date ]],N14076,RawData[Month List],$Q$6,RawData[Tour/Site],$Q$2,RawData[[Picker ID ]],$Q$3,RawData[Checker ID],$Q$4,RawData[[Error Type ]],$Q$5))</f>
        <v/>
      </c>
    </row>
    <row r="14077" spans="15:15" x14ac:dyDescent="0.25">
      <c r="O14077" s="20" t="str">
        <f>IF(N14077="","",COUNTIFS(RawData[[Date ]],N14077,RawData[Month List],$Q$6,RawData[Tour/Site],$Q$2,RawData[[Picker ID ]],$Q$3,RawData[Checker ID],$Q$4,RawData[[Error Type ]],$Q$5))</f>
        <v/>
      </c>
    </row>
    <row r="14078" spans="15:15" x14ac:dyDescent="0.25">
      <c r="O14078" s="20" t="str">
        <f>IF(N14078="","",COUNTIFS(RawData[[Date ]],N14078,RawData[Month List],$Q$6,RawData[Tour/Site],$Q$2,RawData[[Picker ID ]],$Q$3,RawData[Checker ID],$Q$4,RawData[[Error Type ]],$Q$5))</f>
        <v/>
      </c>
    </row>
    <row r="14079" spans="15:15" x14ac:dyDescent="0.25">
      <c r="O14079" s="20" t="str">
        <f>IF(N14079="","",COUNTIFS(RawData[[Date ]],N14079,RawData[Month List],$Q$6,RawData[Tour/Site],$Q$2,RawData[[Picker ID ]],$Q$3,RawData[Checker ID],$Q$4,RawData[[Error Type ]],$Q$5))</f>
        <v/>
      </c>
    </row>
    <row r="14080" spans="15:15" x14ac:dyDescent="0.25">
      <c r="O14080" s="20" t="str">
        <f>IF(N14080="","",COUNTIFS(RawData[[Date ]],N14080,RawData[Month List],$Q$6,RawData[Tour/Site],$Q$2,RawData[[Picker ID ]],$Q$3,RawData[Checker ID],$Q$4,RawData[[Error Type ]],$Q$5))</f>
        <v/>
      </c>
    </row>
    <row r="14081" spans="15:15" x14ac:dyDescent="0.25">
      <c r="O14081" s="20" t="str">
        <f>IF(N14081="","",COUNTIFS(RawData[[Date ]],N14081,RawData[Month List],$Q$6,RawData[Tour/Site],$Q$2,RawData[[Picker ID ]],$Q$3,RawData[Checker ID],$Q$4,RawData[[Error Type ]],$Q$5))</f>
        <v/>
      </c>
    </row>
    <row r="14082" spans="15:15" x14ac:dyDescent="0.25">
      <c r="O14082" s="20" t="str">
        <f>IF(N14082="","",COUNTIFS(RawData[[Date ]],N14082,RawData[Month List],$Q$6,RawData[Tour/Site],$Q$2,RawData[[Picker ID ]],$Q$3,RawData[Checker ID],$Q$4,RawData[[Error Type ]],$Q$5))</f>
        <v/>
      </c>
    </row>
    <row r="14083" spans="15:15" x14ac:dyDescent="0.25">
      <c r="O14083" s="20" t="str">
        <f>IF(N14083="","",COUNTIFS(RawData[[Date ]],N14083,RawData[Month List],$Q$6,RawData[Tour/Site],$Q$2,RawData[[Picker ID ]],$Q$3,RawData[Checker ID],$Q$4,RawData[[Error Type ]],$Q$5))</f>
        <v/>
      </c>
    </row>
    <row r="14084" spans="15:15" x14ac:dyDescent="0.25">
      <c r="O14084" s="20" t="str">
        <f>IF(N14084="","",COUNTIFS(RawData[[Date ]],N14084,RawData[Month List],$Q$6,RawData[Tour/Site],$Q$2,RawData[[Picker ID ]],$Q$3,RawData[Checker ID],$Q$4,RawData[[Error Type ]],$Q$5))</f>
        <v/>
      </c>
    </row>
    <row r="14085" spans="15:15" x14ac:dyDescent="0.25">
      <c r="O14085" s="20" t="str">
        <f>IF(N14085="","",COUNTIFS(RawData[[Date ]],N14085,RawData[Month List],$Q$6,RawData[Tour/Site],$Q$2,RawData[[Picker ID ]],$Q$3,RawData[Checker ID],$Q$4,RawData[[Error Type ]],$Q$5))</f>
        <v/>
      </c>
    </row>
    <row r="14086" spans="15:15" x14ac:dyDescent="0.25">
      <c r="O14086" s="20" t="str">
        <f>IF(N14086="","",COUNTIFS(RawData[[Date ]],N14086,RawData[Month List],$Q$6,RawData[Tour/Site],$Q$2,RawData[[Picker ID ]],$Q$3,RawData[Checker ID],$Q$4,RawData[[Error Type ]],$Q$5))</f>
        <v/>
      </c>
    </row>
    <row r="14087" spans="15:15" x14ac:dyDescent="0.25">
      <c r="O14087" s="20" t="str">
        <f>IF(N14087="","",COUNTIFS(RawData[[Date ]],N14087,RawData[Month List],$Q$6,RawData[Tour/Site],$Q$2,RawData[[Picker ID ]],$Q$3,RawData[Checker ID],$Q$4,RawData[[Error Type ]],$Q$5))</f>
        <v/>
      </c>
    </row>
    <row r="14088" spans="15:15" x14ac:dyDescent="0.25">
      <c r="O14088" s="20" t="str">
        <f>IF(N14088="","",COUNTIFS(RawData[[Date ]],N14088,RawData[Month List],$Q$6,RawData[Tour/Site],$Q$2,RawData[[Picker ID ]],$Q$3,RawData[Checker ID],$Q$4,RawData[[Error Type ]],$Q$5))</f>
        <v/>
      </c>
    </row>
    <row r="14089" spans="15:15" x14ac:dyDescent="0.25">
      <c r="O14089" s="20" t="str">
        <f>IF(N14089="","",COUNTIFS(RawData[[Date ]],N14089,RawData[Month List],$Q$6,RawData[Tour/Site],$Q$2,RawData[[Picker ID ]],$Q$3,RawData[Checker ID],$Q$4,RawData[[Error Type ]],$Q$5))</f>
        <v/>
      </c>
    </row>
    <row r="14090" spans="15:15" x14ac:dyDescent="0.25">
      <c r="O14090" s="20" t="str">
        <f>IF(N14090="","",COUNTIFS(RawData[[Date ]],N14090,RawData[Month List],$Q$6,RawData[Tour/Site],$Q$2,RawData[[Picker ID ]],$Q$3,RawData[Checker ID],$Q$4,RawData[[Error Type ]],$Q$5))</f>
        <v/>
      </c>
    </row>
    <row r="14091" spans="15:15" x14ac:dyDescent="0.25">
      <c r="O14091" s="20" t="str">
        <f>IF(N14091="","",COUNTIFS(RawData[[Date ]],N14091,RawData[Month List],$Q$6,RawData[Tour/Site],$Q$2,RawData[[Picker ID ]],$Q$3,RawData[Checker ID],$Q$4,RawData[[Error Type ]],$Q$5))</f>
        <v/>
      </c>
    </row>
    <row r="14092" spans="15:15" x14ac:dyDescent="0.25">
      <c r="O14092" s="20" t="str">
        <f>IF(N14092="","",COUNTIFS(RawData[[Date ]],N14092,RawData[Month List],$Q$6,RawData[Tour/Site],$Q$2,RawData[[Picker ID ]],$Q$3,RawData[Checker ID],$Q$4,RawData[[Error Type ]],$Q$5))</f>
        <v/>
      </c>
    </row>
    <row r="14093" spans="15:15" x14ac:dyDescent="0.25">
      <c r="O14093" s="20" t="str">
        <f>IF(N14093="","",COUNTIFS(RawData[[Date ]],N14093,RawData[Month List],$Q$6,RawData[Tour/Site],$Q$2,RawData[[Picker ID ]],$Q$3,RawData[Checker ID],$Q$4,RawData[[Error Type ]],$Q$5))</f>
        <v/>
      </c>
    </row>
    <row r="14094" spans="15:15" x14ac:dyDescent="0.25">
      <c r="O14094" s="20" t="str">
        <f>IF(N14094="","",COUNTIFS(RawData[[Date ]],N14094,RawData[Month List],$Q$6,RawData[Tour/Site],$Q$2,RawData[[Picker ID ]],$Q$3,RawData[Checker ID],$Q$4,RawData[[Error Type ]],$Q$5))</f>
        <v/>
      </c>
    </row>
    <row r="14095" spans="15:15" x14ac:dyDescent="0.25">
      <c r="O14095" s="20" t="str">
        <f>IF(N14095="","",COUNTIFS(RawData[[Date ]],N14095,RawData[Month List],$Q$6,RawData[Tour/Site],$Q$2,RawData[[Picker ID ]],$Q$3,RawData[Checker ID],$Q$4,RawData[[Error Type ]],$Q$5))</f>
        <v/>
      </c>
    </row>
    <row r="14096" spans="15:15" x14ac:dyDescent="0.25">
      <c r="O14096" s="20" t="str">
        <f>IF(N14096="","",COUNTIFS(RawData[[Date ]],N14096,RawData[Month List],$Q$6,RawData[Tour/Site],$Q$2,RawData[[Picker ID ]],$Q$3,RawData[Checker ID],$Q$4,RawData[[Error Type ]],$Q$5))</f>
        <v/>
      </c>
    </row>
    <row r="14097" spans="15:15" x14ac:dyDescent="0.25">
      <c r="O14097" s="20" t="str">
        <f>IF(N14097="","",COUNTIFS(RawData[[Date ]],N14097,RawData[Month List],$Q$6,RawData[Tour/Site],$Q$2,RawData[[Picker ID ]],$Q$3,RawData[Checker ID],$Q$4,RawData[[Error Type ]],$Q$5))</f>
        <v/>
      </c>
    </row>
    <row r="14098" spans="15:15" x14ac:dyDescent="0.25">
      <c r="O14098" s="20" t="str">
        <f>IF(N14098="","",COUNTIFS(RawData[[Date ]],N14098,RawData[Month List],$Q$6,RawData[Tour/Site],$Q$2,RawData[[Picker ID ]],$Q$3,RawData[Checker ID],$Q$4,RawData[[Error Type ]],$Q$5))</f>
        <v/>
      </c>
    </row>
    <row r="14099" spans="15:15" x14ac:dyDescent="0.25">
      <c r="O14099" s="20" t="str">
        <f>IF(N14099="","",COUNTIFS(RawData[[Date ]],N14099,RawData[Month List],$Q$6,RawData[Tour/Site],$Q$2,RawData[[Picker ID ]],$Q$3,RawData[Checker ID],$Q$4,RawData[[Error Type ]],$Q$5))</f>
        <v/>
      </c>
    </row>
    <row r="14100" spans="15:15" x14ac:dyDescent="0.25">
      <c r="O14100" s="20" t="str">
        <f>IF(N14100="","",COUNTIFS(RawData[[Date ]],N14100,RawData[Month List],$Q$6,RawData[Tour/Site],$Q$2,RawData[[Picker ID ]],$Q$3,RawData[Checker ID],$Q$4,RawData[[Error Type ]],$Q$5))</f>
        <v/>
      </c>
    </row>
    <row r="14101" spans="15:15" x14ac:dyDescent="0.25">
      <c r="O14101" s="20" t="str">
        <f>IF(N14101="","",COUNTIFS(RawData[[Date ]],N14101,RawData[Month List],$Q$6,RawData[Tour/Site],$Q$2,RawData[[Picker ID ]],$Q$3,RawData[Checker ID],$Q$4,RawData[[Error Type ]],$Q$5))</f>
        <v/>
      </c>
    </row>
    <row r="14102" spans="15:15" x14ac:dyDescent="0.25">
      <c r="O14102" s="20" t="str">
        <f>IF(N14102="","",COUNTIFS(RawData[[Date ]],N14102,RawData[Month List],$Q$6,RawData[Tour/Site],$Q$2,RawData[[Picker ID ]],$Q$3,RawData[Checker ID],$Q$4,RawData[[Error Type ]],$Q$5))</f>
        <v/>
      </c>
    </row>
    <row r="14103" spans="15:15" x14ac:dyDescent="0.25">
      <c r="O14103" s="20" t="str">
        <f>IF(N14103="","",COUNTIFS(RawData[[Date ]],N14103,RawData[Month List],$Q$6,RawData[Tour/Site],$Q$2,RawData[[Picker ID ]],$Q$3,RawData[Checker ID],$Q$4,RawData[[Error Type ]],$Q$5))</f>
        <v/>
      </c>
    </row>
    <row r="14104" spans="15:15" x14ac:dyDescent="0.25">
      <c r="O14104" s="20" t="str">
        <f>IF(N14104="","",COUNTIFS(RawData[[Date ]],N14104,RawData[Month List],$Q$6,RawData[Tour/Site],$Q$2,RawData[[Picker ID ]],$Q$3,RawData[Checker ID],$Q$4,RawData[[Error Type ]],$Q$5))</f>
        <v/>
      </c>
    </row>
    <row r="14105" spans="15:15" x14ac:dyDescent="0.25">
      <c r="O14105" s="20" t="str">
        <f>IF(N14105="","",COUNTIFS(RawData[[Date ]],N14105,RawData[Month List],$Q$6,RawData[Tour/Site],$Q$2,RawData[[Picker ID ]],$Q$3,RawData[Checker ID],$Q$4,RawData[[Error Type ]],$Q$5))</f>
        <v/>
      </c>
    </row>
    <row r="14106" spans="15:15" x14ac:dyDescent="0.25">
      <c r="O14106" s="20" t="str">
        <f>IF(N14106="","",COUNTIFS(RawData[[Date ]],N14106,RawData[Month List],$Q$6,RawData[Tour/Site],$Q$2,RawData[[Picker ID ]],$Q$3,RawData[Checker ID],$Q$4,RawData[[Error Type ]],$Q$5))</f>
        <v/>
      </c>
    </row>
    <row r="14107" spans="15:15" x14ac:dyDescent="0.25">
      <c r="O14107" s="20" t="str">
        <f>IF(N14107="","",COUNTIFS(RawData[[Date ]],N14107,RawData[Month List],$Q$6,RawData[Tour/Site],$Q$2,RawData[[Picker ID ]],$Q$3,RawData[Checker ID],$Q$4,RawData[[Error Type ]],$Q$5))</f>
        <v/>
      </c>
    </row>
    <row r="14108" spans="15:15" x14ac:dyDescent="0.25">
      <c r="O14108" s="20" t="str">
        <f>IF(N14108="","",COUNTIFS(RawData[[Date ]],N14108,RawData[Month List],$Q$6,RawData[Tour/Site],$Q$2,RawData[[Picker ID ]],$Q$3,RawData[Checker ID],$Q$4,RawData[[Error Type ]],$Q$5))</f>
        <v/>
      </c>
    </row>
    <row r="14109" spans="15:15" x14ac:dyDescent="0.25">
      <c r="O14109" s="20" t="str">
        <f>IF(N14109="","",COUNTIFS(RawData[[Date ]],N14109,RawData[Month List],$Q$6,RawData[Tour/Site],$Q$2,RawData[[Picker ID ]],$Q$3,RawData[Checker ID],$Q$4,RawData[[Error Type ]],$Q$5))</f>
        <v/>
      </c>
    </row>
    <row r="14110" spans="15:15" x14ac:dyDescent="0.25">
      <c r="O14110" s="20" t="str">
        <f>IF(N14110="","",COUNTIFS(RawData[[Date ]],N14110,RawData[Month List],$Q$6,RawData[Tour/Site],$Q$2,RawData[[Picker ID ]],$Q$3,RawData[Checker ID],$Q$4,RawData[[Error Type ]],$Q$5))</f>
        <v/>
      </c>
    </row>
    <row r="14111" spans="15:15" x14ac:dyDescent="0.25">
      <c r="O14111" s="20" t="str">
        <f>IF(N14111="","",COUNTIFS(RawData[[Date ]],N14111,RawData[Month List],$Q$6,RawData[Tour/Site],$Q$2,RawData[[Picker ID ]],$Q$3,RawData[Checker ID],$Q$4,RawData[[Error Type ]],$Q$5))</f>
        <v/>
      </c>
    </row>
    <row r="14112" spans="15:15" x14ac:dyDescent="0.25">
      <c r="O14112" s="20" t="str">
        <f>IF(N14112="","",COUNTIFS(RawData[[Date ]],N14112,RawData[Month List],$Q$6,RawData[Tour/Site],$Q$2,RawData[[Picker ID ]],$Q$3,RawData[Checker ID],$Q$4,RawData[[Error Type ]],$Q$5))</f>
        <v/>
      </c>
    </row>
    <row r="14113" spans="15:15" x14ac:dyDescent="0.25">
      <c r="O14113" s="20" t="str">
        <f>IF(N14113="","",COUNTIFS(RawData[[Date ]],N14113,RawData[Month List],$Q$6,RawData[Tour/Site],$Q$2,RawData[[Picker ID ]],$Q$3,RawData[Checker ID],$Q$4,RawData[[Error Type ]],$Q$5))</f>
        <v/>
      </c>
    </row>
    <row r="14114" spans="15:15" x14ac:dyDescent="0.25">
      <c r="O14114" s="20" t="str">
        <f>IF(N14114="","",COUNTIFS(RawData[[Date ]],N14114,RawData[Month List],$Q$6,RawData[Tour/Site],$Q$2,RawData[[Picker ID ]],$Q$3,RawData[Checker ID],$Q$4,RawData[[Error Type ]],$Q$5))</f>
        <v/>
      </c>
    </row>
    <row r="14115" spans="15:15" x14ac:dyDescent="0.25">
      <c r="O14115" s="20" t="str">
        <f>IF(N14115="","",COUNTIFS(RawData[[Date ]],N14115,RawData[Month List],$Q$6,RawData[Tour/Site],$Q$2,RawData[[Picker ID ]],$Q$3,RawData[Checker ID],$Q$4,RawData[[Error Type ]],$Q$5))</f>
        <v/>
      </c>
    </row>
    <row r="14116" spans="15:15" x14ac:dyDescent="0.25">
      <c r="O14116" s="20" t="str">
        <f>IF(N14116="","",COUNTIFS(RawData[[Date ]],N14116,RawData[Month List],$Q$6,RawData[Tour/Site],$Q$2,RawData[[Picker ID ]],$Q$3,RawData[Checker ID],$Q$4,RawData[[Error Type ]],$Q$5))</f>
        <v/>
      </c>
    </row>
    <row r="14117" spans="15:15" x14ac:dyDescent="0.25">
      <c r="O14117" s="20" t="str">
        <f>IF(N14117="","",COUNTIFS(RawData[[Date ]],N14117,RawData[Month List],$Q$6,RawData[Tour/Site],$Q$2,RawData[[Picker ID ]],$Q$3,RawData[Checker ID],$Q$4,RawData[[Error Type ]],$Q$5))</f>
        <v/>
      </c>
    </row>
    <row r="14118" spans="15:15" x14ac:dyDescent="0.25">
      <c r="O14118" s="20" t="str">
        <f>IF(N14118="","",COUNTIFS(RawData[[Date ]],N14118,RawData[Month List],$Q$6,RawData[Tour/Site],$Q$2,RawData[[Picker ID ]],$Q$3,RawData[Checker ID],$Q$4,RawData[[Error Type ]],$Q$5))</f>
        <v/>
      </c>
    </row>
    <row r="14119" spans="15:15" x14ac:dyDescent="0.25">
      <c r="O14119" s="20" t="str">
        <f>IF(N14119="","",COUNTIFS(RawData[[Date ]],N14119,RawData[Month List],$Q$6,RawData[Tour/Site],$Q$2,RawData[[Picker ID ]],$Q$3,RawData[Checker ID],$Q$4,RawData[[Error Type ]],$Q$5))</f>
        <v/>
      </c>
    </row>
    <row r="14120" spans="15:15" x14ac:dyDescent="0.25">
      <c r="O14120" s="20" t="str">
        <f>IF(N14120="","",COUNTIFS(RawData[[Date ]],N14120,RawData[Month List],$Q$6,RawData[Tour/Site],$Q$2,RawData[[Picker ID ]],$Q$3,RawData[Checker ID],$Q$4,RawData[[Error Type ]],$Q$5))</f>
        <v/>
      </c>
    </row>
    <row r="14121" spans="15:15" x14ac:dyDescent="0.25">
      <c r="O14121" s="20" t="str">
        <f>IF(N14121="","",COUNTIFS(RawData[[Date ]],N14121,RawData[Month List],$Q$6,RawData[Tour/Site],$Q$2,RawData[[Picker ID ]],$Q$3,RawData[Checker ID],$Q$4,RawData[[Error Type ]],$Q$5))</f>
        <v/>
      </c>
    </row>
    <row r="14122" spans="15:15" x14ac:dyDescent="0.25">
      <c r="O14122" s="20" t="str">
        <f>IF(N14122="","",COUNTIFS(RawData[[Date ]],N14122,RawData[Month List],$Q$6,RawData[Tour/Site],$Q$2,RawData[[Picker ID ]],$Q$3,RawData[Checker ID],$Q$4,RawData[[Error Type ]],$Q$5))</f>
        <v/>
      </c>
    </row>
    <row r="14123" spans="15:15" x14ac:dyDescent="0.25">
      <c r="O14123" s="20" t="str">
        <f>IF(N14123="","",COUNTIFS(RawData[[Date ]],N14123,RawData[Month List],$Q$6,RawData[Tour/Site],$Q$2,RawData[[Picker ID ]],$Q$3,RawData[Checker ID],$Q$4,RawData[[Error Type ]],$Q$5))</f>
        <v/>
      </c>
    </row>
    <row r="14124" spans="15:15" x14ac:dyDescent="0.25">
      <c r="O14124" s="20" t="str">
        <f>IF(N14124="","",COUNTIFS(RawData[[Date ]],N14124,RawData[Month List],$Q$6,RawData[Tour/Site],$Q$2,RawData[[Picker ID ]],$Q$3,RawData[Checker ID],$Q$4,RawData[[Error Type ]],$Q$5))</f>
        <v/>
      </c>
    </row>
    <row r="14125" spans="15:15" x14ac:dyDescent="0.25">
      <c r="O14125" s="20" t="str">
        <f>IF(N14125="","",COUNTIFS(RawData[[Date ]],N14125,RawData[Month List],$Q$6,RawData[Tour/Site],$Q$2,RawData[[Picker ID ]],$Q$3,RawData[Checker ID],$Q$4,RawData[[Error Type ]],$Q$5))</f>
        <v/>
      </c>
    </row>
    <row r="14126" spans="15:15" x14ac:dyDescent="0.25">
      <c r="O14126" s="20" t="str">
        <f>IF(N14126="","",COUNTIFS(RawData[[Date ]],N14126,RawData[Month List],$Q$6,RawData[Tour/Site],$Q$2,RawData[[Picker ID ]],$Q$3,RawData[Checker ID],$Q$4,RawData[[Error Type ]],$Q$5))</f>
        <v/>
      </c>
    </row>
    <row r="14127" spans="15:15" x14ac:dyDescent="0.25">
      <c r="O14127" s="20" t="str">
        <f>IF(N14127="","",COUNTIFS(RawData[[Date ]],N14127,RawData[Month List],$Q$6,RawData[Tour/Site],$Q$2,RawData[[Picker ID ]],$Q$3,RawData[Checker ID],$Q$4,RawData[[Error Type ]],$Q$5))</f>
        <v/>
      </c>
    </row>
    <row r="14128" spans="15:15" x14ac:dyDescent="0.25">
      <c r="O14128" s="20" t="str">
        <f>IF(N14128="","",COUNTIFS(RawData[[Date ]],N14128,RawData[Month List],$Q$6,RawData[Tour/Site],$Q$2,RawData[[Picker ID ]],$Q$3,RawData[Checker ID],$Q$4,RawData[[Error Type ]],$Q$5))</f>
        <v/>
      </c>
    </row>
    <row r="14129" spans="15:15" x14ac:dyDescent="0.25">
      <c r="O14129" s="20" t="str">
        <f>IF(N14129="","",COUNTIFS(RawData[[Date ]],N14129,RawData[Month List],$Q$6,RawData[Tour/Site],$Q$2,RawData[[Picker ID ]],$Q$3,RawData[Checker ID],$Q$4,RawData[[Error Type ]],$Q$5))</f>
        <v/>
      </c>
    </row>
    <row r="14130" spans="15:15" x14ac:dyDescent="0.25">
      <c r="O14130" s="20" t="str">
        <f>IF(N14130="","",COUNTIFS(RawData[[Date ]],N14130,RawData[Month List],$Q$6,RawData[Tour/Site],$Q$2,RawData[[Picker ID ]],$Q$3,RawData[Checker ID],$Q$4,RawData[[Error Type ]],$Q$5))</f>
        <v/>
      </c>
    </row>
    <row r="14131" spans="15:15" x14ac:dyDescent="0.25">
      <c r="O14131" s="20" t="str">
        <f>IF(N14131="","",COUNTIFS(RawData[[Date ]],N14131,RawData[Month List],$Q$6,RawData[Tour/Site],$Q$2,RawData[[Picker ID ]],$Q$3,RawData[Checker ID],$Q$4,RawData[[Error Type ]],$Q$5))</f>
        <v/>
      </c>
    </row>
    <row r="14132" spans="15:15" x14ac:dyDescent="0.25">
      <c r="O14132" s="20" t="str">
        <f>IF(N14132="","",COUNTIFS(RawData[[Date ]],N14132,RawData[Month List],$Q$6,RawData[Tour/Site],$Q$2,RawData[[Picker ID ]],$Q$3,RawData[Checker ID],$Q$4,RawData[[Error Type ]],$Q$5))</f>
        <v/>
      </c>
    </row>
    <row r="14133" spans="15:15" x14ac:dyDescent="0.25">
      <c r="O14133" s="20" t="str">
        <f>IF(N14133="","",COUNTIFS(RawData[[Date ]],N14133,RawData[Month List],$Q$6,RawData[Tour/Site],$Q$2,RawData[[Picker ID ]],$Q$3,RawData[Checker ID],$Q$4,RawData[[Error Type ]],$Q$5))</f>
        <v/>
      </c>
    </row>
    <row r="14134" spans="15:15" x14ac:dyDescent="0.25">
      <c r="O14134" s="20" t="str">
        <f>IF(N14134="","",COUNTIFS(RawData[[Date ]],N14134,RawData[Month List],$Q$6,RawData[Tour/Site],$Q$2,RawData[[Picker ID ]],$Q$3,RawData[Checker ID],$Q$4,RawData[[Error Type ]],$Q$5))</f>
        <v/>
      </c>
    </row>
    <row r="14135" spans="15:15" x14ac:dyDescent="0.25">
      <c r="O14135" s="20" t="str">
        <f>IF(N14135="","",COUNTIFS(RawData[[Date ]],N14135,RawData[Month List],$Q$6,RawData[Tour/Site],$Q$2,RawData[[Picker ID ]],$Q$3,RawData[Checker ID],$Q$4,RawData[[Error Type ]],$Q$5))</f>
        <v/>
      </c>
    </row>
    <row r="14136" spans="15:15" x14ac:dyDescent="0.25">
      <c r="O14136" s="20" t="str">
        <f>IF(N14136="","",COUNTIFS(RawData[[Date ]],N14136,RawData[Month List],$Q$6,RawData[Tour/Site],$Q$2,RawData[[Picker ID ]],$Q$3,RawData[Checker ID],$Q$4,RawData[[Error Type ]],$Q$5))</f>
        <v/>
      </c>
    </row>
    <row r="14137" spans="15:15" x14ac:dyDescent="0.25">
      <c r="O14137" s="20" t="str">
        <f>IF(N14137="","",COUNTIFS(RawData[[Date ]],N14137,RawData[Month List],$Q$6,RawData[Tour/Site],$Q$2,RawData[[Picker ID ]],$Q$3,RawData[Checker ID],$Q$4,RawData[[Error Type ]],$Q$5))</f>
        <v/>
      </c>
    </row>
    <row r="14138" spans="15:15" x14ac:dyDescent="0.25">
      <c r="O14138" s="20" t="str">
        <f>IF(N14138="","",COUNTIFS(RawData[[Date ]],N14138,RawData[Month List],$Q$6,RawData[Tour/Site],$Q$2,RawData[[Picker ID ]],$Q$3,RawData[Checker ID],$Q$4,RawData[[Error Type ]],$Q$5))</f>
        <v/>
      </c>
    </row>
    <row r="14139" spans="15:15" x14ac:dyDescent="0.25">
      <c r="O14139" s="20" t="str">
        <f>IF(N14139="","",COUNTIFS(RawData[[Date ]],N14139,RawData[Month List],$Q$6,RawData[Tour/Site],$Q$2,RawData[[Picker ID ]],$Q$3,RawData[Checker ID],$Q$4,RawData[[Error Type ]],$Q$5))</f>
        <v/>
      </c>
    </row>
    <row r="14140" spans="15:15" x14ac:dyDescent="0.25">
      <c r="O14140" s="20" t="str">
        <f>IF(N14140="","",COUNTIFS(RawData[[Date ]],N14140,RawData[Month List],$Q$6,RawData[Tour/Site],$Q$2,RawData[[Picker ID ]],$Q$3,RawData[Checker ID],$Q$4,RawData[[Error Type ]],$Q$5))</f>
        <v/>
      </c>
    </row>
    <row r="14141" spans="15:15" x14ac:dyDescent="0.25">
      <c r="O14141" s="20" t="str">
        <f>IF(N14141="","",COUNTIFS(RawData[[Date ]],N14141,RawData[Month List],$Q$6,RawData[Tour/Site],$Q$2,RawData[[Picker ID ]],$Q$3,RawData[Checker ID],$Q$4,RawData[[Error Type ]],$Q$5))</f>
        <v/>
      </c>
    </row>
    <row r="14142" spans="15:15" x14ac:dyDescent="0.25">
      <c r="O14142" s="20" t="str">
        <f>IF(N14142="","",COUNTIFS(RawData[[Date ]],N14142,RawData[Month List],$Q$6,RawData[Tour/Site],$Q$2,RawData[[Picker ID ]],$Q$3,RawData[Checker ID],$Q$4,RawData[[Error Type ]],$Q$5))</f>
        <v/>
      </c>
    </row>
    <row r="14143" spans="15:15" x14ac:dyDescent="0.25">
      <c r="O14143" s="20" t="str">
        <f>IF(N14143="","",COUNTIFS(RawData[[Date ]],N14143,RawData[Month List],$Q$6,RawData[Tour/Site],$Q$2,RawData[[Picker ID ]],$Q$3,RawData[Checker ID],$Q$4,RawData[[Error Type ]],$Q$5))</f>
        <v/>
      </c>
    </row>
    <row r="14144" spans="15:15" x14ac:dyDescent="0.25">
      <c r="O14144" s="20" t="str">
        <f>IF(N14144="","",COUNTIFS(RawData[[Date ]],N14144,RawData[Month List],$Q$6,RawData[Tour/Site],$Q$2,RawData[[Picker ID ]],$Q$3,RawData[Checker ID],$Q$4,RawData[[Error Type ]],$Q$5))</f>
        <v/>
      </c>
    </row>
    <row r="14145" spans="15:15" x14ac:dyDescent="0.25">
      <c r="O14145" s="20" t="str">
        <f>IF(N14145="","",COUNTIFS(RawData[[Date ]],N14145,RawData[Month List],$Q$6,RawData[Tour/Site],$Q$2,RawData[[Picker ID ]],$Q$3,RawData[Checker ID],$Q$4,RawData[[Error Type ]],$Q$5))</f>
        <v/>
      </c>
    </row>
    <row r="14146" spans="15:15" x14ac:dyDescent="0.25">
      <c r="O14146" s="20" t="str">
        <f>IF(N14146="","",COUNTIFS(RawData[[Date ]],N14146,RawData[Month List],$Q$6,RawData[Tour/Site],$Q$2,RawData[[Picker ID ]],$Q$3,RawData[Checker ID],$Q$4,RawData[[Error Type ]],$Q$5))</f>
        <v/>
      </c>
    </row>
    <row r="14147" spans="15:15" x14ac:dyDescent="0.25">
      <c r="O14147" s="20" t="str">
        <f>IF(N14147="","",COUNTIFS(RawData[[Date ]],N14147,RawData[Month List],$Q$6,RawData[Tour/Site],$Q$2,RawData[[Picker ID ]],$Q$3,RawData[Checker ID],$Q$4,RawData[[Error Type ]],$Q$5))</f>
        <v/>
      </c>
    </row>
    <row r="14148" spans="15:15" x14ac:dyDescent="0.25">
      <c r="O14148" s="20" t="str">
        <f>IF(N14148="","",COUNTIFS(RawData[[Date ]],N14148,RawData[Month List],$Q$6,RawData[Tour/Site],$Q$2,RawData[[Picker ID ]],$Q$3,RawData[Checker ID],$Q$4,RawData[[Error Type ]],$Q$5))</f>
        <v/>
      </c>
    </row>
    <row r="14149" spans="15:15" x14ac:dyDescent="0.25">
      <c r="O14149" s="20" t="str">
        <f>IF(N14149="","",COUNTIFS(RawData[[Date ]],N14149,RawData[Month List],$Q$6,RawData[Tour/Site],$Q$2,RawData[[Picker ID ]],$Q$3,RawData[Checker ID],$Q$4,RawData[[Error Type ]],$Q$5))</f>
        <v/>
      </c>
    </row>
    <row r="14150" spans="15:15" x14ac:dyDescent="0.25">
      <c r="O14150" s="20" t="str">
        <f>IF(N14150="","",COUNTIFS(RawData[[Date ]],N14150,RawData[Month List],$Q$6,RawData[Tour/Site],$Q$2,RawData[[Picker ID ]],$Q$3,RawData[Checker ID],$Q$4,RawData[[Error Type ]],$Q$5))</f>
        <v/>
      </c>
    </row>
    <row r="14151" spans="15:15" x14ac:dyDescent="0.25">
      <c r="O14151" s="20" t="str">
        <f>IF(N14151="","",COUNTIFS(RawData[[Date ]],N14151,RawData[Month List],$Q$6,RawData[Tour/Site],$Q$2,RawData[[Picker ID ]],$Q$3,RawData[Checker ID],$Q$4,RawData[[Error Type ]],$Q$5))</f>
        <v/>
      </c>
    </row>
    <row r="14152" spans="15:15" x14ac:dyDescent="0.25">
      <c r="O14152" s="20" t="str">
        <f>IF(N14152="","",COUNTIFS(RawData[[Date ]],N14152,RawData[Month List],$Q$6,RawData[Tour/Site],$Q$2,RawData[[Picker ID ]],$Q$3,RawData[Checker ID],$Q$4,RawData[[Error Type ]],$Q$5))</f>
        <v/>
      </c>
    </row>
    <row r="14153" spans="15:15" x14ac:dyDescent="0.25">
      <c r="O14153" s="20" t="str">
        <f>IF(N14153="","",COUNTIFS(RawData[[Date ]],N14153,RawData[Month List],$Q$6,RawData[Tour/Site],$Q$2,RawData[[Picker ID ]],$Q$3,RawData[Checker ID],$Q$4,RawData[[Error Type ]],$Q$5))</f>
        <v/>
      </c>
    </row>
    <row r="14154" spans="15:15" x14ac:dyDescent="0.25">
      <c r="O14154" s="20" t="str">
        <f>IF(N14154="","",COUNTIFS(RawData[[Date ]],N14154,RawData[Month List],$Q$6,RawData[Tour/Site],$Q$2,RawData[[Picker ID ]],$Q$3,RawData[Checker ID],$Q$4,RawData[[Error Type ]],$Q$5))</f>
        <v/>
      </c>
    </row>
    <row r="14155" spans="15:15" x14ac:dyDescent="0.25">
      <c r="O14155" s="20" t="str">
        <f>IF(N14155="","",COUNTIFS(RawData[[Date ]],N14155,RawData[Month List],$Q$6,RawData[Tour/Site],$Q$2,RawData[[Picker ID ]],$Q$3,RawData[Checker ID],$Q$4,RawData[[Error Type ]],$Q$5))</f>
        <v/>
      </c>
    </row>
    <row r="14156" spans="15:15" x14ac:dyDescent="0.25">
      <c r="O14156" s="20" t="str">
        <f>IF(N14156="","",COUNTIFS(RawData[[Date ]],N14156,RawData[Month List],$Q$6,RawData[Tour/Site],$Q$2,RawData[[Picker ID ]],$Q$3,RawData[Checker ID],$Q$4,RawData[[Error Type ]],$Q$5))</f>
        <v/>
      </c>
    </row>
    <row r="14157" spans="15:15" x14ac:dyDescent="0.25">
      <c r="O14157" s="20" t="str">
        <f>IF(N14157="","",COUNTIFS(RawData[[Date ]],N14157,RawData[Month List],$Q$6,RawData[Tour/Site],$Q$2,RawData[[Picker ID ]],$Q$3,RawData[Checker ID],$Q$4,RawData[[Error Type ]],$Q$5))</f>
        <v/>
      </c>
    </row>
    <row r="14158" spans="15:15" x14ac:dyDescent="0.25">
      <c r="O14158" s="20" t="str">
        <f>IF(N14158="","",COUNTIFS(RawData[[Date ]],N14158,RawData[Month List],$Q$6,RawData[Tour/Site],$Q$2,RawData[[Picker ID ]],$Q$3,RawData[Checker ID],$Q$4,RawData[[Error Type ]],$Q$5))</f>
        <v/>
      </c>
    </row>
    <row r="14159" spans="15:15" x14ac:dyDescent="0.25">
      <c r="O14159" s="20" t="str">
        <f>IF(N14159="","",COUNTIFS(RawData[[Date ]],N14159,RawData[Month List],$Q$6,RawData[Tour/Site],$Q$2,RawData[[Picker ID ]],$Q$3,RawData[Checker ID],$Q$4,RawData[[Error Type ]],$Q$5))</f>
        <v/>
      </c>
    </row>
    <row r="14160" spans="15:15" x14ac:dyDescent="0.25">
      <c r="O14160" s="20" t="str">
        <f>IF(N14160="","",COUNTIFS(RawData[[Date ]],N14160,RawData[Month List],$Q$6,RawData[Tour/Site],$Q$2,RawData[[Picker ID ]],$Q$3,RawData[Checker ID],$Q$4,RawData[[Error Type ]],$Q$5))</f>
        <v/>
      </c>
    </row>
    <row r="14161" spans="15:15" x14ac:dyDescent="0.25">
      <c r="O14161" s="20" t="str">
        <f>IF(N14161="","",COUNTIFS(RawData[[Date ]],N14161,RawData[Month List],$Q$6,RawData[Tour/Site],$Q$2,RawData[[Picker ID ]],$Q$3,RawData[Checker ID],$Q$4,RawData[[Error Type ]],$Q$5))</f>
        <v/>
      </c>
    </row>
    <row r="14162" spans="15:15" x14ac:dyDescent="0.25">
      <c r="O14162" s="20" t="str">
        <f>IF(N14162="","",COUNTIFS(RawData[[Date ]],N14162,RawData[Month List],$Q$6,RawData[Tour/Site],$Q$2,RawData[[Picker ID ]],$Q$3,RawData[Checker ID],$Q$4,RawData[[Error Type ]],$Q$5))</f>
        <v/>
      </c>
    </row>
    <row r="14163" spans="15:15" x14ac:dyDescent="0.25">
      <c r="O14163" s="20" t="str">
        <f>IF(N14163="","",COUNTIFS(RawData[[Date ]],N14163,RawData[Month List],$Q$6,RawData[Tour/Site],$Q$2,RawData[[Picker ID ]],$Q$3,RawData[Checker ID],$Q$4,RawData[[Error Type ]],$Q$5))</f>
        <v/>
      </c>
    </row>
    <row r="14164" spans="15:15" x14ac:dyDescent="0.25">
      <c r="O14164" s="20" t="str">
        <f>IF(N14164="","",COUNTIFS(RawData[[Date ]],N14164,RawData[Month List],$Q$6,RawData[Tour/Site],$Q$2,RawData[[Picker ID ]],$Q$3,RawData[Checker ID],$Q$4,RawData[[Error Type ]],$Q$5))</f>
        <v/>
      </c>
    </row>
    <row r="14165" spans="15:15" x14ac:dyDescent="0.25">
      <c r="O14165" s="20" t="str">
        <f>IF(N14165="","",COUNTIFS(RawData[[Date ]],N14165,RawData[Month List],$Q$6,RawData[Tour/Site],$Q$2,RawData[[Picker ID ]],$Q$3,RawData[Checker ID],$Q$4,RawData[[Error Type ]],$Q$5))</f>
        <v/>
      </c>
    </row>
    <row r="14166" spans="15:15" x14ac:dyDescent="0.25">
      <c r="O14166" s="20" t="str">
        <f>IF(N14166="","",COUNTIFS(RawData[[Date ]],N14166,RawData[Month List],$Q$6,RawData[Tour/Site],$Q$2,RawData[[Picker ID ]],$Q$3,RawData[Checker ID],$Q$4,RawData[[Error Type ]],$Q$5))</f>
        <v/>
      </c>
    </row>
    <row r="14167" spans="15:15" x14ac:dyDescent="0.25">
      <c r="O14167" s="20" t="str">
        <f>IF(N14167="","",COUNTIFS(RawData[[Date ]],N14167,RawData[Month List],$Q$6,RawData[Tour/Site],$Q$2,RawData[[Picker ID ]],$Q$3,RawData[Checker ID],$Q$4,RawData[[Error Type ]],$Q$5))</f>
        <v/>
      </c>
    </row>
    <row r="14168" spans="15:15" x14ac:dyDescent="0.25">
      <c r="O14168" s="20" t="str">
        <f>IF(N14168="","",COUNTIFS(RawData[[Date ]],N14168,RawData[Month List],$Q$6,RawData[Tour/Site],$Q$2,RawData[[Picker ID ]],$Q$3,RawData[Checker ID],$Q$4,RawData[[Error Type ]],$Q$5))</f>
        <v/>
      </c>
    </row>
    <row r="14169" spans="15:15" x14ac:dyDescent="0.25">
      <c r="O14169" s="20" t="str">
        <f>IF(N14169="","",COUNTIFS(RawData[[Date ]],N14169,RawData[Month List],$Q$6,RawData[Tour/Site],$Q$2,RawData[[Picker ID ]],$Q$3,RawData[Checker ID],$Q$4,RawData[[Error Type ]],$Q$5))</f>
        <v/>
      </c>
    </row>
    <row r="14170" spans="15:15" x14ac:dyDescent="0.25">
      <c r="O14170" s="20" t="str">
        <f>IF(N14170="","",COUNTIFS(RawData[[Date ]],N14170,RawData[Month List],$Q$6,RawData[Tour/Site],$Q$2,RawData[[Picker ID ]],$Q$3,RawData[Checker ID],$Q$4,RawData[[Error Type ]],$Q$5))</f>
        <v/>
      </c>
    </row>
    <row r="14171" spans="15:15" x14ac:dyDescent="0.25">
      <c r="O14171" s="20" t="str">
        <f>IF(N14171="","",COUNTIFS(RawData[[Date ]],N14171,RawData[Month List],$Q$6,RawData[Tour/Site],$Q$2,RawData[[Picker ID ]],$Q$3,RawData[Checker ID],$Q$4,RawData[[Error Type ]],$Q$5))</f>
        <v/>
      </c>
    </row>
    <row r="14172" spans="15:15" x14ac:dyDescent="0.25">
      <c r="O14172" s="20" t="str">
        <f>IF(N14172="","",COUNTIFS(RawData[[Date ]],N14172,RawData[Month List],$Q$6,RawData[Tour/Site],$Q$2,RawData[[Picker ID ]],$Q$3,RawData[Checker ID],$Q$4,RawData[[Error Type ]],$Q$5))</f>
        <v/>
      </c>
    </row>
    <row r="14173" spans="15:15" x14ac:dyDescent="0.25">
      <c r="O14173" s="20" t="str">
        <f>IF(N14173="","",COUNTIFS(RawData[[Date ]],N14173,RawData[Month List],$Q$6,RawData[Tour/Site],$Q$2,RawData[[Picker ID ]],$Q$3,RawData[Checker ID],$Q$4,RawData[[Error Type ]],$Q$5))</f>
        <v/>
      </c>
    </row>
    <row r="14174" spans="15:15" x14ac:dyDescent="0.25">
      <c r="O14174" s="20" t="str">
        <f>IF(N14174="","",COUNTIFS(RawData[[Date ]],N14174,RawData[Month List],$Q$6,RawData[Tour/Site],$Q$2,RawData[[Picker ID ]],$Q$3,RawData[Checker ID],$Q$4,RawData[[Error Type ]],$Q$5))</f>
        <v/>
      </c>
    </row>
    <row r="14175" spans="15:15" x14ac:dyDescent="0.25">
      <c r="O14175" s="20" t="str">
        <f>IF(N14175="","",COUNTIFS(RawData[[Date ]],N14175,RawData[Month List],$Q$6,RawData[Tour/Site],$Q$2,RawData[[Picker ID ]],$Q$3,RawData[Checker ID],$Q$4,RawData[[Error Type ]],$Q$5))</f>
        <v/>
      </c>
    </row>
    <row r="14176" spans="15:15" x14ac:dyDescent="0.25">
      <c r="O14176" s="20" t="str">
        <f>IF(N14176="","",COUNTIFS(RawData[[Date ]],N14176,RawData[Month List],$Q$6,RawData[Tour/Site],$Q$2,RawData[[Picker ID ]],$Q$3,RawData[Checker ID],$Q$4,RawData[[Error Type ]],$Q$5))</f>
        <v/>
      </c>
    </row>
    <row r="14177" spans="15:15" x14ac:dyDescent="0.25">
      <c r="O14177" s="20" t="str">
        <f>IF(N14177="","",COUNTIFS(RawData[[Date ]],N14177,RawData[Month List],$Q$6,RawData[Tour/Site],$Q$2,RawData[[Picker ID ]],$Q$3,RawData[Checker ID],$Q$4,RawData[[Error Type ]],$Q$5))</f>
        <v/>
      </c>
    </row>
    <row r="14178" spans="15:15" x14ac:dyDescent="0.25">
      <c r="O14178" s="20" t="str">
        <f>IF(N14178="","",COUNTIFS(RawData[[Date ]],N14178,RawData[Month List],$Q$6,RawData[Tour/Site],$Q$2,RawData[[Picker ID ]],$Q$3,RawData[Checker ID],$Q$4,RawData[[Error Type ]],$Q$5))</f>
        <v/>
      </c>
    </row>
    <row r="14179" spans="15:15" x14ac:dyDescent="0.25">
      <c r="O14179" s="20" t="str">
        <f>IF(N14179="","",COUNTIFS(RawData[[Date ]],N14179,RawData[Month List],$Q$6,RawData[Tour/Site],$Q$2,RawData[[Picker ID ]],$Q$3,RawData[Checker ID],$Q$4,RawData[[Error Type ]],$Q$5))</f>
        <v/>
      </c>
    </row>
    <row r="14180" spans="15:15" x14ac:dyDescent="0.25">
      <c r="O14180" s="20" t="str">
        <f>IF(N14180="","",COUNTIFS(RawData[[Date ]],N14180,RawData[Month List],$Q$6,RawData[Tour/Site],$Q$2,RawData[[Picker ID ]],$Q$3,RawData[Checker ID],$Q$4,RawData[[Error Type ]],$Q$5))</f>
        <v/>
      </c>
    </row>
    <row r="14181" spans="15:15" x14ac:dyDescent="0.25">
      <c r="O14181" s="20" t="str">
        <f>IF(N14181="","",COUNTIFS(RawData[[Date ]],N14181,RawData[Month List],$Q$6,RawData[Tour/Site],$Q$2,RawData[[Picker ID ]],$Q$3,RawData[Checker ID],$Q$4,RawData[[Error Type ]],$Q$5))</f>
        <v/>
      </c>
    </row>
    <row r="14182" spans="15:15" x14ac:dyDescent="0.25">
      <c r="O14182" s="20" t="str">
        <f>IF(N14182="","",COUNTIFS(RawData[[Date ]],N14182,RawData[Month List],$Q$6,RawData[Tour/Site],$Q$2,RawData[[Picker ID ]],$Q$3,RawData[Checker ID],$Q$4,RawData[[Error Type ]],$Q$5))</f>
        <v/>
      </c>
    </row>
    <row r="14183" spans="15:15" x14ac:dyDescent="0.25">
      <c r="O14183" s="20" t="str">
        <f>IF(N14183="","",COUNTIFS(RawData[[Date ]],N14183,RawData[Month List],$Q$6,RawData[Tour/Site],$Q$2,RawData[[Picker ID ]],$Q$3,RawData[Checker ID],$Q$4,RawData[[Error Type ]],$Q$5))</f>
        <v/>
      </c>
    </row>
    <row r="14184" spans="15:15" x14ac:dyDescent="0.25">
      <c r="O14184" s="20" t="str">
        <f>IF(N14184="","",COUNTIFS(RawData[[Date ]],N14184,RawData[Month List],$Q$6,RawData[Tour/Site],$Q$2,RawData[[Picker ID ]],$Q$3,RawData[Checker ID],$Q$4,RawData[[Error Type ]],$Q$5))</f>
        <v/>
      </c>
    </row>
    <row r="14185" spans="15:15" x14ac:dyDescent="0.25">
      <c r="O14185" s="20" t="str">
        <f>IF(N14185="","",COUNTIFS(RawData[[Date ]],N14185,RawData[Month List],$Q$6,RawData[Tour/Site],$Q$2,RawData[[Picker ID ]],$Q$3,RawData[Checker ID],$Q$4,RawData[[Error Type ]],$Q$5))</f>
        <v/>
      </c>
    </row>
    <row r="14186" spans="15:15" x14ac:dyDescent="0.25">
      <c r="O14186" s="20" t="str">
        <f>IF(N14186="","",COUNTIFS(RawData[[Date ]],N14186,RawData[Month List],$Q$6,RawData[Tour/Site],$Q$2,RawData[[Picker ID ]],$Q$3,RawData[Checker ID],$Q$4,RawData[[Error Type ]],$Q$5))</f>
        <v/>
      </c>
    </row>
    <row r="14187" spans="15:15" x14ac:dyDescent="0.25">
      <c r="O14187" s="20" t="str">
        <f>IF(N14187="","",COUNTIFS(RawData[[Date ]],N14187,RawData[Month List],$Q$6,RawData[Tour/Site],$Q$2,RawData[[Picker ID ]],$Q$3,RawData[Checker ID],$Q$4,RawData[[Error Type ]],$Q$5))</f>
        <v/>
      </c>
    </row>
    <row r="14188" spans="15:15" x14ac:dyDescent="0.25">
      <c r="O14188" s="20" t="str">
        <f>IF(N14188="","",COUNTIFS(RawData[[Date ]],N14188,RawData[Month List],$Q$6,RawData[Tour/Site],$Q$2,RawData[[Picker ID ]],$Q$3,RawData[Checker ID],$Q$4,RawData[[Error Type ]],$Q$5))</f>
        <v/>
      </c>
    </row>
    <row r="14189" spans="15:15" x14ac:dyDescent="0.25">
      <c r="O14189" s="20" t="str">
        <f>IF(N14189="","",COUNTIFS(RawData[[Date ]],N14189,RawData[Month List],$Q$6,RawData[Tour/Site],$Q$2,RawData[[Picker ID ]],$Q$3,RawData[Checker ID],$Q$4,RawData[[Error Type ]],$Q$5))</f>
        <v/>
      </c>
    </row>
    <row r="14190" spans="15:15" x14ac:dyDescent="0.25">
      <c r="O14190" s="20" t="str">
        <f>IF(N14190="","",COUNTIFS(RawData[[Date ]],N14190,RawData[Month List],$Q$6,RawData[Tour/Site],$Q$2,RawData[[Picker ID ]],$Q$3,RawData[Checker ID],$Q$4,RawData[[Error Type ]],$Q$5))</f>
        <v/>
      </c>
    </row>
    <row r="14191" spans="15:15" x14ac:dyDescent="0.25">
      <c r="O14191" s="20" t="str">
        <f>IF(N14191="","",COUNTIFS(RawData[[Date ]],N14191,RawData[Month List],$Q$6,RawData[Tour/Site],$Q$2,RawData[[Picker ID ]],$Q$3,RawData[Checker ID],$Q$4,RawData[[Error Type ]],$Q$5))</f>
        <v/>
      </c>
    </row>
    <row r="14192" spans="15:15" x14ac:dyDescent="0.25">
      <c r="O14192" s="20" t="str">
        <f>IF(N14192="","",COUNTIFS(RawData[[Date ]],N14192,RawData[Month List],$Q$6,RawData[Tour/Site],$Q$2,RawData[[Picker ID ]],$Q$3,RawData[Checker ID],$Q$4,RawData[[Error Type ]],$Q$5))</f>
        <v/>
      </c>
    </row>
    <row r="14193" spans="15:15" x14ac:dyDescent="0.25">
      <c r="O14193" s="20" t="str">
        <f>IF(N14193="","",COUNTIFS(RawData[[Date ]],N14193,RawData[Month List],$Q$6,RawData[Tour/Site],$Q$2,RawData[[Picker ID ]],$Q$3,RawData[Checker ID],$Q$4,RawData[[Error Type ]],$Q$5))</f>
        <v/>
      </c>
    </row>
    <row r="14194" spans="15:15" x14ac:dyDescent="0.25">
      <c r="O14194" s="20" t="str">
        <f>IF(N14194="","",COUNTIFS(RawData[[Date ]],N14194,RawData[Month List],$Q$6,RawData[Tour/Site],$Q$2,RawData[[Picker ID ]],$Q$3,RawData[Checker ID],$Q$4,RawData[[Error Type ]],$Q$5))</f>
        <v/>
      </c>
    </row>
    <row r="14195" spans="15:15" x14ac:dyDescent="0.25">
      <c r="O14195" s="20" t="str">
        <f>IF(N14195="","",COUNTIFS(RawData[[Date ]],N14195,RawData[Month List],$Q$6,RawData[Tour/Site],$Q$2,RawData[[Picker ID ]],$Q$3,RawData[Checker ID],$Q$4,RawData[[Error Type ]],$Q$5))</f>
        <v/>
      </c>
    </row>
    <row r="14196" spans="15:15" x14ac:dyDescent="0.25">
      <c r="O14196" s="20" t="str">
        <f>IF(N14196="","",COUNTIFS(RawData[[Date ]],N14196,RawData[Month List],$Q$6,RawData[Tour/Site],$Q$2,RawData[[Picker ID ]],$Q$3,RawData[Checker ID],$Q$4,RawData[[Error Type ]],$Q$5))</f>
        <v/>
      </c>
    </row>
    <row r="14197" spans="15:15" x14ac:dyDescent="0.25">
      <c r="O14197" s="20" t="str">
        <f>IF(N14197="","",COUNTIFS(RawData[[Date ]],N14197,RawData[Month List],$Q$6,RawData[Tour/Site],$Q$2,RawData[[Picker ID ]],$Q$3,RawData[Checker ID],$Q$4,RawData[[Error Type ]],$Q$5))</f>
        <v/>
      </c>
    </row>
    <row r="14198" spans="15:15" x14ac:dyDescent="0.25">
      <c r="O14198" s="20" t="str">
        <f>IF(N14198="","",COUNTIFS(RawData[[Date ]],N14198,RawData[Month List],$Q$6,RawData[Tour/Site],$Q$2,RawData[[Picker ID ]],$Q$3,RawData[Checker ID],$Q$4,RawData[[Error Type ]],$Q$5))</f>
        <v/>
      </c>
    </row>
    <row r="14199" spans="15:15" x14ac:dyDescent="0.25">
      <c r="O14199" s="20" t="str">
        <f>IF(N14199="","",COUNTIFS(RawData[[Date ]],N14199,RawData[Month List],$Q$6,RawData[Tour/Site],$Q$2,RawData[[Picker ID ]],$Q$3,RawData[Checker ID],$Q$4,RawData[[Error Type ]],$Q$5))</f>
        <v/>
      </c>
    </row>
    <row r="14200" spans="15:15" x14ac:dyDescent="0.25">
      <c r="O14200" s="20" t="str">
        <f>IF(N14200="","",COUNTIFS(RawData[[Date ]],N14200,RawData[Month List],$Q$6,RawData[Tour/Site],$Q$2,RawData[[Picker ID ]],$Q$3,RawData[Checker ID],$Q$4,RawData[[Error Type ]],$Q$5))</f>
        <v/>
      </c>
    </row>
    <row r="14201" spans="15:15" x14ac:dyDescent="0.25">
      <c r="O14201" s="20" t="str">
        <f>IF(N14201="","",COUNTIFS(RawData[[Date ]],N14201,RawData[Month List],$Q$6,RawData[Tour/Site],$Q$2,RawData[[Picker ID ]],$Q$3,RawData[Checker ID],$Q$4,RawData[[Error Type ]],$Q$5))</f>
        <v/>
      </c>
    </row>
    <row r="14202" spans="15:15" x14ac:dyDescent="0.25">
      <c r="O14202" s="20" t="str">
        <f>IF(N14202="","",COUNTIFS(RawData[[Date ]],N14202,RawData[Month List],$Q$6,RawData[Tour/Site],$Q$2,RawData[[Picker ID ]],$Q$3,RawData[Checker ID],$Q$4,RawData[[Error Type ]],$Q$5))</f>
        <v/>
      </c>
    </row>
    <row r="14203" spans="15:15" x14ac:dyDescent="0.25">
      <c r="O14203" s="20" t="str">
        <f>IF(N14203="","",COUNTIFS(RawData[[Date ]],N14203,RawData[Month List],$Q$6,RawData[Tour/Site],$Q$2,RawData[[Picker ID ]],$Q$3,RawData[Checker ID],$Q$4,RawData[[Error Type ]],$Q$5))</f>
        <v/>
      </c>
    </row>
    <row r="14204" spans="15:15" x14ac:dyDescent="0.25">
      <c r="O14204" s="20" t="str">
        <f>IF(N14204="","",COUNTIFS(RawData[[Date ]],N14204,RawData[Month List],$Q$6,RawData[Tour/Site],$Q$2,RawData[[Picker ID ]],$Q$3,RawData[Checker ID],$Q$4,RawData[[Error Type ]],$Q$5))</f>
        <v/>
      </c>
    </row>
    <row r="14205" spans="15:15" x14ac:dyDescent="0.25">
      <c r="O14205" s="20" t="str">
        <f>IF(N14205="","",COUNTIFS(RawData[[Date ]],N14205,RawData[Month List],$Q$6,RawData[Tour/Site],$Q$2,RawData[[Picker ID ]],$Q$3,RawData[Checker ID],$Q$4,RawData[[Error Type ]],$Q$5))</f>
        <v/>
      </c>
    </row>
    <row r="14206" spans="15:15" x14ac:dyDescent="0.25">
      <c r="O14206" s="20" t="str">
        <f>IF(N14206="","",COUNTIFS(RawData[[Date ]],N14206,RawData[Month List],$Q$6,RawData[Tour/Site],$Q$2,RawData[[Picker ID ]],$Q$3,RawData[Checker ID],$Q$4,RawData[[Error Type ]],$Q$5))</f>
        <v/>
      </c>
    </row>
    <row r="14207" spans="15:15" x14ac:dyDescent="0.25">
      <c r="O14207" s="20" t="str">
        <f>IF(N14207="","",COUNTIFS(RawData[[Date ]],N14207,RawData[Month List],$Q$6,RawData[Tour/Site],$Q$2,RawData[[Picker ID ]],$Q$3,RawData[Checker ID],$Q$4,RawData[[Error Type ]],$Q$5))</f>
        <v/>
      </c>
    </row>
    <row r="14208" spans="15:15" x14ac:dyDescent="0.25">
      <c r="O14208" s="20" t="str">
        <f>IF(N14208="","",COUNTIFS(RawData[[Date ]],N14208,RawData[Month List],$Q$6,RawData[Tour/Site],$Q$2,RawData[[Picker ID ]],$Q$3,RawData[Checker ID],$Q$4,RawData[[Error Type ]],$Q$5))</f>
        <v/>
      </c>
    </row>
    <row r="14209" spans="15:15" x14ac:dyDescent="0.25">
      <c r="O14209" s="20" t="str">
        <f>IF(N14209="","",COUNTIFS(RawData[[Date ]],N14209,RawData[Month List],$Q$6,RawData[Tour/Site],$Q$2,RawData[[Picker ID ]],$Q$3,RawData[Checker ID],$Q$4,RawData[[Error Type ]],$Q$5))</f>
        <v/>
      </c>
    </row>
    <row r="14210" spans="15:15" x14ac:dyDescent="0.25">
      <c r="O14210" s="20" t="str">
        <f>IF(N14210="","",COUNTIFS(RawData[[Date ]],N14210,RawData[Month List],$Q$6,RawData[Tour/Site],$Q$2,RawData[[Picker ID ]],$Q$3,RawData[Checker ID],$Q$4,RawData[[Error Type ]],$Q$5))</f>
        <v/>
      </c>
    </row>
    <row r="14211" spans="15:15" x14ac:dyDescent="0.25">
      <c r="O14211" s="20" t="str">
        <f>IF(N14211="","",COUNTIFS(RawData[[Date ]],N14211,RawData[Month List],$Q$6,RawData[Tour/Site],$Q$2,RawData[[Picker ID ]],$Q$3,RawData[Checker ID],$Q$4,RawData[[Error Type ]],$Q$5))</f>
        <v/>
      </c>
    </row>
    <row r="14212" spans="15:15" x14ac:dyDescent="0.25">
      <c r="O14212" s="20" t="str">
        <f>IF(N14212="","",COUNTIFS(RawData[[Date ]],N14212,RawData[Month List],$Q$6,RawData[Tour/Site],$Q$2,RawData[[Picker ID ]],$Q$3,RawData[Checker ID],$Q$4,RawData[[Error Type ]],$Q$5))</f>
        <v/>
      </c>
    </row>
    <row r="14213" spans="15:15" x14ac:dyDescent="0.25">
      <c r="O14213" s="20" t="str">
        <f>IF(N14213="","",COUNTIFS(RawData[[Date ]],N14213,RawData[Month List],$Q$6,RawData[Tour/Site],$Q$2,RawData[[Picker ID ]],$Q$3,RawData[Checker ID],$Q$4,RawData[[Error Type ]],$Q$5))</f>
        <v/>
      </c>
    </row>
    <row r="14214" spans="15:15" x14ac:dyDescent="0.25">
      <c r="O14214" s="20" t="str">
        <f>IF(N14214="","",COUNTIFS(RawData[[Date ]],N14214,RawData[Month List],$Q$6,RawData[Tour/Site],$Q$2,RawData[[Picker ID ]],$Q$3,RawData[Checker ID],$Q$4,RawData[[Error Type ]],$Q$5))</f>
        <v/>
      </c>
    </row>
    <row r="14215" spans="15:15" x14ac:dyDescent="0.25">
      <c r="O14215" s="20" t="str">
        <f>IF(N14215="","",COUNTIFS(RawData[[Date ]],N14215,RawData[Month List],$Q$6,RawData[Tour/Site],$Q$2,RawData[[Picker ID ]],$Q$3,RawData[Checker ID],$Q$4,RawData[[Error Type ]],$Q$5))</f>
        <v/>
      </c>
    </row>
    <row r="14216" spans="15:15" x14ac:dyDescent="0.25">
      <c r="O14216" s="20" t="str">
        <f>IF(N14216="","",COUNTIFS(RawData[[Date ]],N14216,RawData[Month List],$Q$6,RawData[Tour/Site],$Q$2,RawData[[Picker ID ]],$Q$3,RawData[Checker ID],$Q$4,RawData[[Error Type ]],$Q$5))</f>
        <v/>
      </c>
    </row>
    <row r="14217" spans="15:15" x14ac:dyDescent="0.25">
      <c r="O14217" s="20" t="str">
        <f>IF(N14217="","",COUNTIFS(RawData[[Date ]],N14217,RawData[Month List],$Q$6,RawData[Tour/Site],$Q$2,RawData[[Picker ID ]],$Q$3,RawData[Checker ID],$Q$4,RawData[[Error Type ]],$Q$5))</f>
        <v/>
      </c>
    </row>
    <row r="14218" spans="15:15" x14ac:dyDescent="0.25">
      <c r="O14218" s="20" t="str">
        <f>IF(N14218="","",COUNTIFS(RawData[[Date ]],N14218,RawData[Month List],$Q$6,RawData[Tour/Site],$Q$2,RawData[[Picker ID ]],$Q$3,RawData[Checker ID],$Q$4,RawData[[Error Type ]],$Q$5))</f>
        <v/>
      </c>
    </row>
    <row r="14219" spans="15:15" x14ac:dyDescent="0.25">
      <c r="O14219" s="20" t="str">
        <f>IF(N14219="","",COUNTIFS(RawData[[Date ]],N14219,RawData[Month List],$Q$6,RawData[Tour/Site],$Q$2,RawData[[Picker ID ]],$Q$3,RawData[Checker ID],$Q$4,RawData[[Error Type ]],$Q$5))</f>
        <v/>
      </c>
    </row>
    <row r="14220" spans="15:15" x14ac:dyDescent="0.25">
      <c r="O14220" s="20" t="str">
        <f>IF(N14220="","",COUNTIFS(RawData[[Date ]],N14220,RawData[Month List],$Q$6,RawData[Tour/Site],$Q$2,RawData[[Picker ID ]],$Q$3,RawData[Checker ID],$Q$4,RawData[[Error Type ]],$Q$5))</f>
        <v/>
      </c>
    </row>
    <row r="14221" spans="15:15" x14ac:dyDescent="0.25">
      <c r="O14221" s="20" t="str">
        <f>IF(N14221="","",COUNTIFS(RawData[[Date ]],N14221,RawData[Month List],$Q$6,RawData[Tour/Site],$Q$2,RawData[[Picker ID ]],$Q$3,RawData[Checker ID],$Q$4,RawData[[Error Type ]],$Q$5))</f>
        <v/>
      </c>
    </row>
    <row r="14222" spans="15:15" x14ac:dyDescent="0.25">
      <c r="O14222" s="20" t="str">
        <f>IF(N14222="","",COUNTIFS(RawData[[Date ]],N14222,RawData[Month List],$Q$6,RawData[Tour/Site],$Q$2,RawData[[Picker ID ]],$Q$3,RawData[Checker ID],$Q$4,RawData[[Error Type ]],$Q$5))</f>
        <v/>
      </c>
    </row>
    <row r="14223" spans="15:15" x14ac:dyDescent="0.25">
      <c r="O14223" s="20" t="str">
        <f>IF(N14223="","",COUNTIFS(RawData[[Date ]],N14223,RawData[Month List],$Q$6,RawData[Tour/Site],$Q$2,RawData[[Picker ID ]],$Q$3,RawData[Checker ID],$Q$4,RawData[[Error Type ]],$Q$5))</f>
        <v/>
      </c>
    </row>
    <row r="14224" spans="15:15" x14ac:dyDescent="0.25">
      <c r="O14224" s="20" t="str">
        <f>IF(N14224="","",COUNTIFS(RawData[[Date ]],N14224,RawData[Month List],$Q$6,RawData[Tour/Site],$Q$2,RawData[[Picker ID ]],$Q$3,RawData[Checker ID],$Q$4,RawData[[Error Type ]],$Q$5))</f>
        <v/>
      </c>
    </row>
    <row r="14225" spans="15:15" x14ac:dyDescent="0.25">
      <c r="O14225" s="20" t="str">
        <f>IF(N14225="","",COUNTIFS(RawData[[Date ]],N14225,RawData[Month List],$Q$6,RawData[Tour/Site],$Q$2,RawData[[Picker ID ]],$Q$3,RawData[Checker ID],$Q$4,RawData[[Error Type ]],$Q$5))</f>
        <v/>
      </c>
    </row>
    <row r="14226" spans="15:15" x14ac:dyDescent="0.25">
      <c r="O14226" s="20" t="str">
        <f>IF(N14226="","",COUNTIFS(RawData[[Date ]],N14226,RawData[Month List],$Q$6,RawData[Tour/Site],$Q$2,RawData[[Picker ID ]],$Q$3,RawData[Checker ID],$Q$4,RawData[[Error Type ]],$Q$5))</f>
        <v/>
      </c>
    </row>
    <row r="14227" spans="15:15" x14ac:dyDescent="0.25">
      <c r="O14227" s="20" t="str">
        <f>IF(N14227="","",COUNTIFS(RawData[[Date ]],N14227,RawData[Month List],$Q$6,RawData[Tour/Site],$Q$2,RawData[[Picker ID ]],$Q$3,RawData[Checker ID],$Q$4,RawData[[Error Type ]],$Q$5))</f>
        <v/>
      </c>
    </row>
    <row r="14228" spans="15:15" x14ac:dyDescent="0.25">
      <c r="O14228" s="20" t="str">
        <f>IF(N14228="","",COUNTIFS(RawData[[Date ]],N14228,RawData[Month List],$Q$6,RawData[Tour/Site],$Q$2,RawData[[Picker ID ]],$Q$3,RawData[Checker ID],$Q$4,RawData[[Error Type ]],$Q$5))</f>
        <v/>
      </c>
    </row>
    <row r="14229" spans="15:15" x14ac:dyDescent="0.25">
      <c r="O14229" s="20" t="str">
        <f>IF(N14229="","",COUNTIFS(RawData[[Date ]],N14229,RawData[Month List],$Q$6,RawData[Tour/Site],$Q$2,RawData[[Picker ID ]],$Q$3,RawData[Checker ID],$Q$4,RawData[[Error Type ]],$Q$5))</f>
        <v/>
      </c>
    </row>
    <row r="14230" spans="15:15" x14ac:dyDescent="0.25">
      <c r="O14230" s="20" t="str">
        <f>IF(N14230="","",COUNTIFS(RawData[[Date ]],N14230,RawData[Month List],$Q$6,RawData[Tour/Site],$Q$2,RawData[[Picker ID ]],$Q$3,RawData[Checker ID],$Q$4,RawData[[Error Type ]],$Q$5))</f>
        <v/>
      </c>
    </row>
    <row r="14231" spans="15:15" x14ac:dyDescent="0.25">
      <c r="O14231" s="20" t="str">
        <f>IF(N14231="","",COUNTIFS(RawData[[Date ]],N14231,RawData[Month List],$Q$6,RawData[Tour/Site],$Q$2,RawData[[Picker ID ]],$Q$3,RawData[Checker ID],$Q$4,RawData[[Error Type ]],$Q$5))</f>
        <v/>
      </c>
    </row>
    <row r="14232" spans="15:15" x14ac:dyDescent="0.25">
      <c r="O14232" s="20" t="str">
        <f>IF(N14232="","",COUNTIFS(RawData[[Date ]],N14232,RawData[Month List],$Q$6,RawData[Tour/Site],$Q$2,RawData[[Picker ID ]],$Q$3,RawData[Checker ID],$Q$4,RawData[[Error Type ]],$Q$5))</f>
        <v/>
      </c>
    </row>
    <row r="14233" spans="15:15" x14ac:dyDescent="0.25">
      <c r="O14233" s="20" t="str">
        <f>IF(N14233="","",COUNTIFS(RawData[[Date ]],N14233,RawData[Month List],$Q$6,RawData[Tour/Site],$Q$2,RawData[[Picker ID ]],$Q$3,RawData[Checker ID],$Q$4,RawData[[Error Type ]],$Q$5))</f>
        <v/>
      </c>
    </row>
    <row r="14234" spans="15:15" x14ac:dyDescent="0.25">
      <c r="O14234" s="20" t="str">
        <f>IF(N14234="","",COUNTIFS(RawData[[Date ]],N14234,RawData[Month List],$Q$6,RawData[Tour/Site],$Q$2,RawData[[Picker ID ]],$Q$3,RawData[Checker ID],$Q$4,RawData[[Error Type ]],$Q$5))</f>
        <v/>
      </c>
    </row>
    <row r="14235" spans="15:15" x14ac:dyDescent="0.25">
      <c r="O14235" s="20" t="str">
        <f>IF(N14235="","",COUNTIFS(RawData[[Date ]],N14235,RawData[Month List],$Q$6,RawData[Tour/Site],$Q$2,RawData[[Picker ID ]],$Q$3,RawData[Checker ID],$Q$4,RawData[[Error Type ]],$Q$5))</f>
        <v/>
      </c>
    </row>
    <row r="14236" spans="15:15" x14ac:dyDescent="0.25">
      <c r="O14236" s="20" t="str">
        <f>IF(N14236="","",COUNTIFS(RawData[[Date ]],N14236,RawData[Month List],$Q$6,RawData[Tour/Site],$Q$2,RawData[[Picker ID ]],$Q$3,RawData[Checker ID],$Q$4,RawData[[Error Type ]],$Q$5))</f>
        <v/>
      </c>
    </row>
    <row r="14237" spans="15:15" x14ac:dyDescent="0.25">
      <c r="O14237" s="20" t="str">
        <f>IF(N14237="","",COUNTIFS(RawData[[Date ]],N14237,RawData[Month List],$Q$6,RawData[Tour/Site],$Q$2,RawData[[Picker ID ]],$Q$3,RawData[Checker ID],$Q$4,RawData[[Error Type ]],$Q$5))</f>
        <v/>
      </c>
    </row>
    <row r="14238" spans="15:15" x14ac:dyDescent="0.25">
      <c r="O14238" s="20" t="str">
        <f>IF(N14238="","",COUNTIFS(RawData[[Date ]],N14238,RawData[Month List],$Q$6,RawData[Tour/Site],$Q$2,RawData[[Picker ID ]],$Q$3,RawData[Checker ID],$Q$4,RawData[[Error Type ]],$Q$5))</f>
        <v/>
      </c>
    </row>
    <row r="14239" spans="15:15" x14ac:dyDescent="0.25">
      <c r="O14239" s="20" t="str">
        <f>IF(N14239="","",COUNTIFS(RawData[[Date ]],N14239,RawData[Month List],$Q$6,RawData[Tour/Site],$Q$2,RawData[[Picker ID ]],$Q$3,RawData[Checker ID],$Q$4,RawData[[Error Type ]],$Q$5))</f>
        <v/>
      </c>
    </row>
    <row r="14240" spans="15:15" x14ac:dyDescent="0.25">
      <c r="O14240" s="20" t="str">
        <f>IF(N14240="","",COUNTIFS(RawData[[Date ]],N14240,RawData[Month List],$Q$6,RawData[Tour/Site],$Q$2,RawData[[Picker ID ]],$Q$3,RawData[Checker ID],$Q$4,RawData[[Error Type ]],$Q$5))</f>
        <v/>
      </c>
    </row>
    <row r="14241" spans="15:15" x14ac:dyDescent="0.25">
      <c r="O14241" s="20" t="str">
        <f>IF(N14241="","",COUNTIFS(RawData[[Date ]],N14241,RawData[Month List],$Q$6,RawData[Tour/Site],$Q$2,RawData[[Picker ID ]],$Q$3,RawData[Checker ID],$Q$4,RawData[[Error Type ]],$Q$5))</f>
        <v/>
      </c>
    </row>
    <row r="14242" spans="15:15" x14ac:dyDescent="0.25">
      <c r="O14242" s="20" t="str">
        <f>IF(N14242="","",COUNTIFS(RawData[[Date ]],N14242,RawData[Month List],$Q$6,RawData[Tour/Site],$Q$2,RawData[[Picker ID ]],$Q$3,RawData[Checker ID],$Q$4,RawData[[Error Type ]],$Q$5))</f>
        <v/>
      </c>
    </row>
    <row r="14243" spans="15:15" x14ac:dyDescent="0.25">
      <c r="O14243" s="20" t="str">
        <f>IF(N14243="","",COUNTIFS(RawData[[Date ]],N14243,RawData[Month List],$Q$6,RawData[Tour/Site],$Q$2,RawData[[Picker ID ]],$Q$3,RawData[Checker ID],$Q$4,RawData[[Error Type ]],$Q$5))</f>
        <v/>
      </c>
    </row>
    <row r="14244" spans="15:15" x14ac:dyDescent="0.25">
      <c r="O14244" s="20" t="str">
        <f>IF(N14244="","",COUNTIFS(RawData[[Date ]],N14244,RawData[Month List],$Q$6,RawData[Tour/Site],$Q$2,RawData[[Picker ID ]],$Q$3,RawData[Checker ID],$Q$4,RawData[[Error Type ]],$Q$5))</f>
        <v/>
      </c>
    </row>
    <row r="14245" spans="15:15" x14ac:dyDescent="0.25">
      <c r="O14245" s="20" t="str">
        <f>IF(N14245="","",COUNTIFS(RawData[[Date ]],N14245,RawData[Month List],$Q$6,RawData[Tour/Site],$Q$2,RawData[[Picker ID ]],$Q$3,RawData[Checker ID],$Q$4,RawData[[Error Type ]],$Q$5))</f>
        <v/>
      </c>
    </row>
    <row r="14246" spans="15:15" x14ac:dyDescent="0.25">
      <c r="O14246" s="20" t="str">
        <f>IF(N14246="","",COUNTIFS(RawData[[Date ]],N14246,RawData[Month List],$Q$6,RawData[Tour/Site],$Q$2,RawData[[Picker ID ]],$Q$3,RawData[Checker ID],$Q$4,RawData[[Error Type ]],$Q$5))</f>
        <v/>
      </c>
    </row>
    <row r="14247" spans="15:15" x14ac:dyDescent="0.25">
      <c r="O14247" s="20" t="str">
        <f>IF(N14247="","",COUNTIFS(RawData[[Date ]],N14247,RawData[Month List],$Q$6,RawData[Tour/Site],$Q$2,RawData[[Picker ID ]],$Q$3,RawData[Checker ID],$Q$4,RawData[[Error Type ]],$Q$5))</f>
        <v/>
      </c>
    </row>
    <row r="14248" spans="15:15" x14ac:dyDescent="0.25">
      <c r="O14248" s="20" t="str">
        <f>IF(N14248="","",COUNTIFS(RawData[[Date ]],N14248,RawData[Month List],$Q$6,RawData[Tour/Site],$Q$2,RawData[[Picker ID ]],$Q$3,RawData[Checker ID],$Q$4,RawData[[Error Type ]],$Q$5))</f>
        <v/>
      </c>
    </row>
    <row r="14249" spans="15:15" x14ac:dyDescent="0.25">
      <c r="O14249" s="20" t="str">
        <f>IF(N14249="","",COUNTIFS(RawData[[Date ]],N14249,RawData[Month List],$Q$6,RawData[Tour/Site],$Q$2,RawData[[Picker ID ]],$Q$3,RawData[Checker ID],$Q$4,RawData[[Error Type ]],$Q$5))</f>
        <v/>
      </c>
    </row>
    <row r="14250" spans="15:15" x14ac:dyDescent="0.25">
      <c r="O14250" s="20" t="str">
        <f>IF(N14250="","",COUNTIFS(RawData[[Date ]],N14250,RawData[Month List],$Q$6,RawData[Tour/Site],$Q$2,RawData[[Picker ID ]],$Q$3,RawData[Checker ID],$Q$4,RawData[[Error Type ]],$Q$5))</f>
        <v/>
      </c>
    </row>
    <row r="14251" spans="15:15" x14ac:dyDescent="0.25">
      <c r="O14251" s="20" t="str">
        <f>IF(N14251="","",COUNTIFS(RawData[[Date ]],N14251,RawData[Month List],$Q$6,RawData[Tour/Site],$Q$2,RawData[[Picker ID ]],$Q$3,RawData[Checker ID],$Q$4,RawData[[Error Type ]],$Q$5))</f>
        <v/>
      </c>
    </row>
    <row r="14252" spans="15:15" x14ac:dyDescent="0.25">
      <c r="O14252" s="20" t="str">
        <f>IF(N14252="","",COUNTIFS(RawData[[Date ]],N14252,RawData[Month List],$Q$6,RawData[Tour/Site],$Q$2,RawData[[Picker ID ]],$Q$3,RawData[Checker ID],$Q$4,RawData[[Error Type ]],$Q$5))</f>
        <v/>
      </c>
    </row>
    <row r="14253" spans="15:15" x14ac:dyDescent="0.25">
      <c r="O14253" s="20" t="str">
        <f>IF(N14253="","",COUNTIFS(RawData[[Date ]],N14253,RawData[Month List],$Q$6,RawData[Tour/Site],$Q$2,RawData[[Picker ID ]],$Q$3,RawData[Checker ID],$Q$4,RawData[[Error Type ]],$Q$5))</f>
        <v/>
      </c>
    </row>
    <row r="14254" spans="15:15" x14ac:dyDescent="0.25">
      <c r="O14254" s="20" t="str">
        <f>IF(N14254="","",COUNTIFS(RawData[[Date ]],N14254,RawData[Month List],$Q$6,RawData[Tour/Site],$Q$2,RawData[[Picker ID ]],$Q$3,RawData[Checker ID],$Q$4,RawData[[Error Type ]],$Q$5))</f>
        <v/>
      </c>
    </row>
    <row r="14255" spans="15:15" x14ac:dyDescent="0.25">
      <c r="O14255" s="20" t="str">
        <f>IF(N14255="","",COUNTIFS(RawData[[Date ]],N14255,RawData[Month List],$Q$6,RawData[Tour/Site],$Q$2,RawData[[Picker ID ]],$Q$3,RawData[Checker ID],$Q$4,RawData[[Error Type ]],$Q$5))</f>
        <v/>
      </c>
    </row>
    <row r="14256" spans="15:15" x14ac:dyDescent="0.25">
      <c r="O14256" s="20" t="str">
        <f>IF(N14256="","",COUNTIFS(RawData[[Date ]],N14256,RawData[Month List],$Q$6,RawData[Tour/Site],$Q$2,RawData[[Picker ID ]],$Q$3,RawData[Checker ID],$Q$4,RawData[[Error Type ]],$Q$5))</f>
        <v/>
      </c>
    </row>
    <row r="14257" spans="15:15" x14ac:dyDescent="0.25">
      <c r="O14257" s="20" t="str">
        <f>IF(N14257="","",COUNTIFS(RawData[[Date ]],N14257,RawData[Month List],$Q$6,RawData[Tour/Site],$Q$2,RawData[[Picker ID ]],$Q$3,RawData[Checker ID],$Q$4,RawData[[Error Type ]],$Q$5))</f>
        <v/>
      </c>
    </row>
    <row r="14258" spans="15:15" x14ac:dyDescent="0.25">
      <c r="O14258" s="20" t="str">
        <f>IF(N14258="","",COUNTIFS(RawData[[Date ]],N14258,RawData[Month List],$Q$6,RawData[Tour/Site],$Q$2,RawData[[Picker ID ]],$Q$3,RawData[Checker ID],$Q$4,RawData[[Error Type ]],$Q$5))</f>
        <v/>
      </c>
    </row>
    <row r="14259" spans="15:15" x14ac:dyDescent="0.25">
      <c r="O14259" s="20" t="str">
        <f>IF(N14259="","",COUNTIFS(RawData[[Date ]],N14259,RawData[Month List],$Q$6,RawData[Tour/Site],$Q$2,RawData[[Picker ID ]],$Q$3,RawData[Checker ID],$Q$4,RawData[[Error Type ]],$Q$5))</f>
        <v/>
      </c>
    </row>
    <row r="14260" spans="15:15" x14ac:dyDescent="0.25">
      <c r="O14260" s="20" t="str">
        <f>IF(N14260="","",COUNTIFS(RawData[[Date ]],N14260,RawData[Month List],$Q$6,RawData[Tour/Site],$Q$2,RawData[[Picker ID ]],$Q$3,RawData[Checker ID],$Q$4,RawData[[Error Type ]],$Q$5))</f>
        <v/>
      </c>
    </row>
    <row r="14261" spans="15:15" x14ac:dyDescent="0.25">
      <c r="O14261" s="20" t="str">
        <f>IF(N14261="","",COUNTIFS(RawData[[Date ]],N14261,RawData[Month List],$Q$6,RawData[Tour/Site],$Q$2,RawData[[Picker ID ]],$Q$3,RawData[Checker ID],$Q$4,RawData[[Error Type ]],$Q$5))</f>
        <v/>
      </c>
    </row>
    <row r="14262" spans="15:15" x14ac:dyDescent="0.25">
      <c r="O14262" s="20" t="str">
        <f>IF(N14262="","",COUNTIFS(RawData[[Date ]],N14262,RawData[Month List],$Q$6,RawData[Tour/Site],$Q$2,RawData[[Picker ID ]],$Q$3,RawData[Checker ID],$Q$4,RawData[[Error Type ]],$Q$5))</f>
        <v/>
      </c>
    </row>
    <row r="14263" spans="15:15" x14ac:dyDescent="0.25">
      <c r="O14263" s="20" t="str">
        <f>IF(N14263="","",COUNTIFS(RawData[[Date ]],N14263,RawData[Month List],$Q$6,RawData[Tour/Site],$Q$2,RawData[[Picker ID ]],$Q$3,RawData[Checker ID],$Q$4,RawData[[Error Type ]],$Q$5))</f>
        <v/>
      </c>
    </row>
    <row r="14264" spans="15:15" x14ac:dyDescent="0.25">
      <c r="O14264" s="20" t="str">
        <f>IF(N14264="","",COUNTIFS(RawData[[Date ]],N14264,RawData[Month List],$Q$6,RawData[Tour/Site],$Q$2,RawData[[Picker ID ]],$Q$3,RawData[Checker ID],$Q$4,RawData[[Error Type ]],$Q$5))</f>
        <v/>
      </c>
    </row>
    <row r="14265" spans="15:15" x14ac:dyDescent="0.25">
      <c r="O14265" s="20" t="str">
        <f>IF(N14265="","",COUNTIFS(RawData[[Date ]],N14265,RawData[Month List],$Q$6,RawData[Tour/Site],$Q$2,RawData[[Picker ID ]],$Q$3,RawData[Checker ID],$Q$4,RawData[[Error Type ]],$Q$5))</f>
        <v/>
      </c>
    </row>
    <row r="14266" spans="15:15" x14ac:dyDescent="0.25">
      <c r="O14266" s="20" t="str">
        <f>IF(N14266="","",COUNTIFS(RawData[[Date ]],N14266,RawData[Month List],$Q$6,RawData[Tour/Site],$Q$2,RawData[[Picker ID ]],$Q$3,RawData[Checker ID],$Q$4,RawData[[Error Type ]],$Q$5))</f>
        <v/>
      </c>
    </row>
    <row r="14267" spans="15:15" x14ac:dyDescent="0.25">
      <c r="O14267" s="20" t="str">
        <f>IF(N14267="","",COUNTIFS(RawData[[Date ]],N14267,RawData[Month List],$Q$6,RawData[Tour/Site],$Q$2,RawData[[Picker ID ]],$Q$3,RawData[Checker ID],$Q$4,RawData[[Error Type ]],$Q$5))</f>
        <v/>
      </c>
    </row>
    <row r="14268" spans="15:15" x14ac:dyDescent="0.25">
      <c r="O14268" s="20" t="str">
        <f>IF(N14268="","",COUNTIFS(RawData[[Date ]],N14268,RawData[Month List],$Q$6,RawData[Tour/Site],$Q$2,RawData[[Picker ID ]],$Q$3,RawData[Checker ID],$Q$4,RawData[[Error Type ]],$Q$5))</f>
        <v/>
      </c>
    </row>
    <row r="14269" spans="15:15" x14ac:dyDescent="0.25">
      <c r="O14269" s="20" t="str">
        <f>IF(N14269="","",COUNTIFS(RawData[[Date ]],N14269,RawData[Month List],$Q$6,RawData[Tour/Site],$Q$2,RawData[[Picker ID ]],$Q$3,RawData[Checker ID],$Q$4,RawData[[Error Type ]],$Q$5))</f>
        <v/>
      </c>
    </row>
    <row r="14270" spans="15:15" x14ac:dyDescent="0.25">
      <c r="O14270" s="20" t="str">
        <f>IF(N14270="","",COUNTIFS(RawData[[Date ]],N14270,RawData[Month List],$Q$6,RawData[Tour/Site],$Q$2,RawData[[Picker ID ]],$Q$3,RawData[Checker ID],$Q$4,RawData[[Error Type ]],$Q$5))</f>
        <v/>
      </c>
    </row>
    <row r="14271" spans="15:15" x14ac:dyDescent="0.25">
      <c r="O14271" s="20" t="str">
        <f>IF(N14271="","",COUNTIFS(RawData[[Date ]],N14271,RawData[Month List],$Q$6,RawData[Tour/Site],$Q$2,RawData[[Picker ID ]],$Q$3,RawData[Checker ID],$Q$4,RawData[[Error Type ]],$Q$5))</f>
        <v/>
      </c>
    </row>
    <row r="14272" spans="15:15" x14ac:dyDescent="0.25">
      <c r="O14272" s="20" t="str">
        <f>IF(N14272="","",COUNTIFS(RawData[[Date ]],N14272,RawData[Month List],$Q$6,RawData[Tour/Site],$Q$2,RawData[[Picker ID ]],$Q$3,RawData[Checker ID],$Q$4,RawData[[Error Type ]],$Q$5))</f>
        <v/>
      </c>
    </row>
    <row r="14273" spans="15:15" x14ac:dyDescent="0.25">
      <c r="O14273" s="20" t="str">
        <f>IF(N14273="","",COUNTIFS(RawData[[Date ]],N14273,RawData[Month List],$Q$6,RawData[Tour/Site],$Q$2,RawData[[Picker ID ]],$Q$3,RawData[Checker ID],$Q$4,RawData[[Error Type ]],$Q$5))</f>
        <v/>
      </c>
    </row>
    <row r="14274" spans="15:15" x14ac:dyDescent="0.25">
      <c r="O14274" s="20" t="str">
        <f>IF(N14274="","",COUNTIFS(RawData[[Date ]],N14274,RawData[Month List],$Q$6,RawData[Tour/Site],$Q$2,RawData[[Picker ID ]],$Q$3,RawData[Checker ID],$Q$4,RawData[[Error Type ]],$Q$5))</f>
        <v/>
      </c>
    </row>
    <row r="14275" spans="15:15" x14ac:dyDescent="0.25">
      <c r="O14275" s="20" t="str">
        <f>IF(N14275="","",COUNTIFS(RawData[[Date ]],N14275,RawData[Month List],$Q$6,RawData[Tour/Site],$Q$2,RawData[[Picker ID ]],$Q$3,RawData[Checker ID],$Q$4,RawData[[Error Type ]],$Q$5))</f>
        <v/>
      </c>
    </row>
    <row r="14276" spans="15:15" x14ac:dyDescent="0.25">
      <c r="O14276" s="20" t="str">
        <f>IF(N14276="","",COUNTIFS(RawData[[Date ]],N14276,RawData[Month List],$Q$6,RawData[Tour/Site],$Q$2,RawData[[Picker ID ]],$Q$3,RawData[Checker ID],$Q$4,RawData[[Error Type ]],$Q$5))</f>
        <v/>
      </c>
    </row>
    <row r="14277" spans="15:15" x14ac:dyDescent="0.25">
      <c r="O14277" s="20" t="str">
        <f>IF(N14277="","",COUNTIFS(RawData[[Date ]],N14277,RawData[Month List],$Q$6,RawData[Tour/Site],$Q$2,RawData[[Picker ID ]],$Q$3,RawData[Checker ID],$Q$4,RawData[[Error Type ]],$Q$5))</f>
        <v/>
      </c>
    </row>
    <row r="14278" spans="15:15" x14ac:dyDescent="0.25">
      <c r="O14278" s="20" t="str">
        <f>IF(N14278="","",COUNTIFS(RawData[[Date ]],N14278,RawData[Month List],$Q$6,RawData[Tour/Site],$Q$2,RawData[[Picker ID ]],$Q$3,RawData[Checker ID],$Q$4,RawData[[Error Type ]],$Q$5))</f>
        <v/>
      </c>
    </row>
    <row r="14279" spans="15:15" x14ac:dyDescent="0.25">
      <c r="O14279" s="20" t="str">
        <f>IF(N14279="","",COUNTIFS(RawData[[Date ]],N14279,RawData[Month List],$Q$6,RawData[Tour/Site],$Q$2,RawData[[Picker ID ]],$Q$3,RawData[Checker ID],$Q$4,RawData[[Error Type ]],$Q$5))</f>
        <v/>
      </c>
    </row>
    <row r="14280" spans="15:15" x14ac:dyDescent="0.25">
      <c r="O14280" s="20" t="str">
        <f>IF(N14280="","",COUNTIFS(RawData[[Date ]],N14280,RawData[Month List],$Q$6,RawData[Tour/Site],$Q$2,RawData[[Picker ID ]],$Q$3,RawData[Checker ID],$Q$4,RawData[[Error Type ]],$Q$5))</f>
        <v/>
      </c>
    </row>
    <row r="14281" spans="15:15" x14ac:dyDescent="0.25">
      <c r="O14281" s="20" t="str">
        <f>IF(N14281="","",COUNTIFS(RawData[[Date ]],N14281,RawData[Month List],$Q$6,RawData[Tour/Site],$Q$2,RawData[[Picker ID ]],$Q$3,RawData[Checker ID],$Q$4,RawData[[Error Type ]],$Q$5))</f>
        <v/>
      </c>
    </row>
    <row r="14282" spans="15:15" x14ac:dyDescent="0.25">
      <c r="O14282" s="20" t="str">
        <f>IF(N14282="","",COUNTIFS(RawData[[Date ]],N14282,RawData[Month List],$Q$6,RawData[Tour/Site],$Q$2,RawData[[Picker ID ]],$Q$3,RawData[Checker ID],$Q$4,RawData[[Error Type ]],$Q$5))</f>
        <v/>
      </c>
    </row>
    <row r="14283" spans="15:15" x14ac:dyDescent="0.25">
      <c r="O14283" s="20" t="str">
        <f>IF(N14283="","",COUNTIFS(RawData[[Date ]],N14283,RawData[Month List],$Q$6,RawData[Tour/Site],$Q$2,RawData[[Picker ID ]],$Q$3,RawData[Checker ID],$Q$4,RawData[[Error Type ]],$Q$5))</f>
        <v/>
      </c>
    </row>
    <row r="14284" spans="15:15" x14ac:dyDescent="0.25">
      <c r="O14284" s="20" t="str">
        <f>IF(N14284="","",COUNTIFS(RawData[[Date ]],N14284,RawData[Month List],$Q$6,RawData[Tour/Site],$Q$2,RawData[[Picker ID ]],$Q$3,RawData[Checker ID],$Q$4,RawData[[Error Type ]],$Q$5))</f>
        <v/>
      </c>
    </row>
    <row r="14285" spans="15:15" x14ac:dyDescent="0.25">
      <c r="O14285" s="20" t="str">
        <f>IF(N14285="","",COUNTIFS(RawData[[Date ]],N14285,RawData[Month List],$Q$6,RawData[Tour/Site],$Q$2,RawData[[Picker ID ]],$Q$3,RawData[Checker ID],$Q$4,RawData[[Error Type ]],$Q$5))</f>
        <v/>
      </c>
    </row>
    <row r="14286" spans="15:15" x14ac:dyDescent="0.25">
      <c r="O14286" s="20" t="str">
        <f>IF(N14286="","",COUNTIFS(RawData[[Date ]],N14286,RawData[Month List],$Q$6,RawData[Tour/Site],$Q$2,RawData[[Picker ID ]],$Q$3,RawData[Checker ID],$Q$4,RawData[[Error Type ]],$Q$5))</f>
        <v/>
      </c>
    </row>
    <row r="14287" spans="15:15" x14ac:dyDescent="0.25">
      <c r="O14287" s="20" t="str">
        <f>IF(N14287="","",COUNTIFS(RawData[[Date ]],N14287,RawData[Month List],$Q$6,RawData[Tour/Site],$Q$2,RawData[[Picker ID ]],$Q$3,RawData[Checker ID],$Q$4,RawData[[Error Type ]],$Q$5))</f>
        <v/>
      </c>
    </row>
    <row r="14288" spans="15:15" x14ac:dyDescent="0.25">
      <c r="O14288" s="20" t="str">
        <f>IF(N14288="","",COUNTIFS(RawData[[Date ]],N14288,RawData[Month List],$Q$6,RawData[Tour/Site],$Q$2,RawData[[Picker ID ]],$Q$3,RawData[Checker ID],$Q$4,RawData[[Error Type ]],$Q$5))</f>
        <v/>
      </c>
    </row>
    <row r="14289" spans="15:15" x14ac:dyDescent="0.25">
      <c r="O14289" s="20" t="str">
        <f>IF(N14289="","",COUNTIFS(RawData[[Date ]],N14289,RawData[Month List],$Q$6,RawData[Tour/Site],$Q$2,RawData[[Picker ID ]],$Q$3,RawData[Checker ID],$Q$4,RawData[[Error Type ]],$Q$5))</f>
        <v/>
      </c>
    </row>
    <row r="14290" spans="15:15" x14ac:dyDescent="0.25">
      <c r="O14290" s="20" t="str">
        <f>IF(N14290="","",COUNTIFS(RawData[[Date ]],N14290,RawData[Month List],$Q$6,RawData[Tour/Site],$Q$2,RawData[[Picker ID ]],$Q$3,RawData[Checker ID],$Q$4,RawData[[Error Type ]],$Q$5))</f>
        <v/>
      </c>
    </row>
    <row r="14291" spans="15:15" x14ac:dyDescent="0.25">
      <c r="O14291" s="20" t="str">
        <f>IF(N14291="","",COUNTIFS(RawData[[Date ]],N14291,RawData[Month List],$Q$6,RawData[Tour/Site],$Q$2,RawData[[Picker ID ]],$Q$3,RawData[Checker ID],$Q$4,RawData[[Error Type ]],$Q$5))</f>
        <v/>
      </c>
    </row>
    <row r="14292" spans="15:15" x14ac:dyDescent="0.25">
      <c r="O14292" s="20" t="str">
        <f>IF(N14292="","",COUNTIFS(RawData[[Date ]],N14292,RawData[Month List],$Q$6,RawData[Tour/Site],$Q$2,RawData[[Picker ID ]],$Q$3,RawData[Checker ID],$Q$4,RawData[[Error Type ]],$Q$5))</f>
        <v/>
      </c>
    </row>
    <row r="14293" spans="15:15" x14ac:dyDescent="0.25">
      <c r="O14293" s="20" t="str">
        <f>IF(N14293="","",COUNTIFS(RawData[[Date ]],N14293,RawData[Month List],$Q$6,RawData[Tour/Site],$Q$2,RawData[[Picker ID ]],$Q$3,RawData[Checker ID],$Q$4,RawData[[Error Type ]],$Q$5))</f>
        <v/>
      </c>
    </row>
    <row r="14294" spans="15:15" x14ac:dyDescent="0.25">
      <c r="O14294" s="20" t="str">
        <f>IF(N14294="","",COUNTIFS(RawData[[Date ]],N14294,RawData[Month List],$Q$6,RawData[Tour/Site],$Q$2,RawData[[Picker ID ]],$Q$3,RawData[Checker ID],$Q$4,RawData[[Error Type ]],$Q$5))</f>
        <v/>
      </c>
    </row>
    <row r="14295" spans="15:15" x14ac:dyDescent="0.25">
      <c r="O14295" s="20" t="str">
        <f>IF(N14295="","",COUNTIFS(RawData[[Date ]],N14295,RawData[Month List],$Q$6,RawData[Tour/Site],$Q$2,RawData[[Picker ID ]],$Q$3,RawData[Checker ID],$Q$4,RawData[[Error Type ]],$Q$5))</f>
        <v/>
      </c>
    </row>
    <row r="14296" spans="15:15" x14ac:dyDescent="0.25">
      <c r="O14296" s="20" t="str">
        <f>IF(N14296="","",COUNTIFS(RawData[[Date ]],N14296,RawData[Month List],$Q$6,RawData[Tour/Site],$Q$2,RawData[[Picker ID ]],$Q$3,RawData[Checker ID],$Q$4,RawData[[Error Type ]],$Q$5))</f>
        <v/>
      </c>
    </row>
    <row r="14297" spans="15:15" x14ac:dyDescent="0.25">
      <c r="O14297" s="20" t="str">
        <f>IF(N14297="","",COUNTIFS(RawData[[Date ]],N14297,RawData[Month List],$Q$6,RawData[Tour/Site],$Q$2,RawData[[Picker ID ]],$Q$3,RawData[Checker ID],$Q$4,RawData[[Error Type ]],$Q$5))</f>
        <v/>
      </c>
    </row>
    <row r="14298" spans="15:15" x14ac:dyDescent="0.25">
      <c r="O14298" s="20" t="str">
        <f>IF(N14298="","",COUNTIFS(RawData[[Date ]],N14298,RawData[Month List],$Q$6,RawData[Tour/Site],$Q$2,RawData[[Picker ID ]],$Q$3,RawData[Checker ID],$Q$4,RawData[[Error Type ]],$Q$5))</f>
        <v/>
      </c>
    </row>
    <row r="14299" spans="15:15" x14ac:dyDescent="0.25">
      <c r="O14299" s="20" t="str">
        <f>IF(N14299="","",COUNTIFS(RawData[[Date ]],N14299,RawData[Month List],$Q$6,RawData[Tour/Site],$Q$2,RawData[[Picker ID ]],$Q$3,RawData[Checker ID],$Q$4,RawData[[Error Type ]],$Q$5))</f>
        <v/>
      </c>
    </row>
    <row r="14300" spans="15:15" x14ac:dyDescent="0.25">
      <c r="O14300" s="20" t="str">
        <f>IF(N14300="","",COUNTIFS(RawData[[Date ]],N14300,RawData[Month List],$Q$6,RawData[Tour/Site],$Q$2,RawData[[Picker ID ]],$Q$3,RawData[Checker ID],$Q$4,RawData[[Error Type ]],$Q$5))</f>
        <v/>
      </c>
    </row>
    <row r="14301" spans="15:15" x14ac:dyDescent="0.25">
      <c r="O14301" s="20" t="str">
        <f>IF(N14301="","",COUNTIFS(RawData[[Date ]],N14301,RawData[Month List],$Q$6,RawData[Tour/Site],$Q$2,RawData[[Picker ID ]],$Q$3,RawData[Checker ID],$Q$4,RawData[[Error Type ]],$Q$5))</f>
        <v/>
      </c>
    </row>
    <row r="14302" spans="15:15" x14ac:dyDescent="0.25">
      <c r="O14302" s="20" t="str">
        <f>IF(N14302="","",COUNTIFS(RawData[[Date ]],N14302,RawData[Month List],$Q$6,RawData[Tour/Site],$Q$2,RawData[[Picker ID ]],$Q$3,RawData[Checker ID],$Q$4,RawData[[Error Type ]],$Q$5))</f>
        <v/>
      </c>
    </row>
    <row r="14303" spans="15:15" x14ac:dyDescent="0.25">
      <c r="O14303" s="20" t="str">
        <f>IF(N14303="","",COUNTIFS(RawData[[Date ]],N14303,RawData[Month List],$Q$6,RawData[Tour/Site],$Q$2,RawData[[Picker ID ]],$Q$3,RawData[Checker ID],$Q$4,RawData[[Error Type ]],$Q$5))</f>
        <v/>
      </c>
    </row>
    <row r="14304" spans="15:15" x14ac:dyDescent="0.25">
      <c r="O14304" s="20" t="str">
        <f>IF(N14304="","",COUNTIFS(RawData[[Date ]],N14304,RawData[Month List],$Q$6,RawData[Tour/Site],$Q$2,RawData[[Picker ID ]],$Q$3,RawData[Checker ID],$Q$4,RawData[[Error Type ]],$Q$5))</f>
        <v/>
      </c>
    </row>
    <row r="14305" spans="15:15" x14ac:dyDescent="0.25">
      <c r="O14305" s="20" t="str">
        <f>IF(N14305="","",COUNTIFS(RawData[[Date ]],N14305,RawData[Month List],$Q$6,RawData[Tour/Site],$Q$2,RawData[[Picker ID ]],$Q$3,RawData[Checker ID],$Q$4,RawData[[Error Type ]],$Q$5))</f>
        <v/>
      </c>
    </row>
    <row r="14306" spans="15:15" x14ac:dyDescent="0.25">
      <c r="O14306" s="20" t="str">
        <f>IF(N14306="","",COUNTIFS(RawData[[Date ]],N14306,RawData[Month List],$Q$6,RawData[Tour/Site],$Q$2,RawData[[Picker ID ]],$Q$3,RawData[Checker ID],$Q$4,RawData[[Error Type ]],$Q$5))</f>
        <v/>
      </c>
    </row>
    <row r="14307" spans="15:15" x14ac:dyDescent="0.25">
      <c r="O14307" s="20" t="str">
        <f>IF(N14307="","",COUNTIFS(RawData[[Date ]],N14307,RawData[Month List],$Q$6,RawData[Tour/Site],$Q$2,RawData[[Picker ID ]],$Q$3,RawData[Checker ID],$Q$4,RawData[[Error Type ]],$Q$5))</f>
        <v/>
      </c>
    </row>
    <row r="14308" spans="15:15" x14ac:dyDescent="0.25">
      <c r="O14308" s="20" t="str">
        <f>IF(N14308="","",COUNTIFS(RawData[[Date ]],N14308,RawData[Month List],$Q$6,RawData[Tour/Site],$Q$2,RawData[[Picker ID ]],$Q$3,RawData[Checker ID],$Q$4,RawData[[Error Type ]],$Q$5))</f>
        <v/>
      </c>
    </row>
    <row r="14309" spans="15:15" x14ac:dyDescent="0.25">
      <c r="O14309" s="20" t="str">
        <f>IF(N14309="","",COUNTIFS(RawData[[Date ]],N14309,RawData[Month List],$Q$6,RawData[Tour/Site],$Q$2,RawData[[Picker ID ]],$Q$3,RawData[Checker ID],$Q$4,RawData[[Error Type ]],$Q$5))</f>
        <v/>
      </c>
    </row>
    <row r="14310" spans="15:15" x14ac:dyDescent="0.25">
      <c r="O14310" s="20" t="str">
        <f>IF(N14310="","",COUNTIFS(RawData[[Date ]],N14310,RawData[Month List],$Q$6,RawData[Tour/Site],$Q$2,RawData[[Picker ID ]],$Q$3,RawData[Checker ID],$Q$4,RawData[[Error Type ]],$Q$5))</f>
        <v/>
      </c>
    </row>
    <row r="14311" spans="15:15" x14ac:dyDescent="0.25">
      <c r="O14311" s="20" t="str">
        <f>IF(N14311="","",COUNTIFS(RawData[[Date ]],N14311,RawData[Month List],$Q$6,RawData[Tour/Site],$Q$2,RawData[[Picker ID ]],$Q$3,RawData[Checker ID],$Q$4,RawData[[Error Type ]],$Q$5))</f>
        <v/>
      </c>
    </row>
    <row r="14312" spans="15:15" x14ac:dyDescent="0.25">
      <c r="O14312" s="20" t="str">
        <f>IF(N14312="","",COUNTIFS(RawData[[Date ]],N14312,RawData[Month List],$Q$6,RawData[Tour/Site],$Q$2,RawData[[Picker ID ]],$Q$3,RawData[Checker ID],$Q$4,RawData[[Error Type ]],$Q$5))</f>
        <v/>
      </c>
    </row>
    <row r="14313" spans="15:15" x14ac:dyDescent="0.25">
      <c r="O14313" s="20" t="str">
        <f>IF(N14313="","",COUNTIFS(RawData[[Date ]],N14313,RawData[Month List],$Q$6,RawData[Tour/Site],$Q$2,RawData[[Picker ID ]],$Q$3,RawData[Checker ID],$Q$4,RawData[[Error Type ]],$Q$5))</f>
        <v/>
      </c>
    </row>
    <row r="14314" spans="15:15" x14ac:dyDescent="0.25">
      <c r="O14314" s="20" t="str">
        <f>IF(N14314="","",COUNTIFS(RawData[[Date ]],N14314,RawData[Month List],$Q$6,RawData[Tour/Site],$Q$2,RawData[[Picker ID ]],$Q$3,RawData[Checker ID],$Q$4,RawData[[Error Type ]],$Q$5))</f>
        <v/>
      </c>
    </row>
    <row r="14315" spans="15:15" x14ac:dyDescent="0.25">
      <c r="O14315" s="20" t="str">
        <f>IF(N14315="","",COUNTIFS(RawData[[Date ]],N14315,RawData[Month List],$Q$6,RawData[Tour/Site],$Q$2,RawData[[Picker ID ]],$Q$3,RawData[Checker ID],$Q$4,RawData[[Error Type ]],$Q$5))</f>
        <v/>
      </c>
    </row>
    <row r="14316" spans="15:15" x14ac:dyDescent="0.25">
      <c r="O14316" s="20" t="str">
        <f>IF(N14316="","",COUNTIFS(RawData[[Date ]],N14316,RawData[Month List],$Q$6,RawData[Tour/Site],$Q$2,RawData[[Picker ID ]],$Q$3,RawData[Checker ID],$Q$4,RawData[[Error Type ]],$Q$5))</f>
        <v/>
      </c>
    </row>
    <row r="14317" spans="15:15" x14ac:dyDescent="0.25">
      <c r="O14317" s="20" t="str">
        <f>IF(N14317="","",COUNTIFS(RawData[[Date ]],N14317,RawData[Month List],$Q$6,RawData[Tour/Site],$Q$2,RawData[[Picker ID ]],$Q$3,RawData[Checker ID],$Q$4,RawData[[Error Type ]],$Q$5))</f>
        <v/>
      </c>
    </row>
    <row r="14318" spans="15:15" x14ac:dyDescent="0.25">
      <c r="O14318" s="20" t="str">
        <f>IF(N14318="","",COUNTIFS(RawData[[Date ]],N14318,RawData[Month List],$Q$6,RawData[Tour/Site],$Q$2,RawData[[Picker ID ]],$Q$3,RawData[Checker ID],$Q$4,RawData[[Error Type ]],$Q$5))</f>
        <v/>
      </c>
    </row>
    <row r="14319" spans="15:15" x14ac:dyDescent="0.25">
      <c r="O14319" s="20" t="str">
        <f>IF(N14319="","",COUNTIFS(RawData[[Date ]],N14319,RawData[Month List],$Q$6,RawData[Tour/Site],$Q$2,RawData[[Picker ID ]],$Q$3,RawData[Checker ID],$Q$4,RawData[[Error Type ]],$Q$5))</f>
        <v/>
      </c>
    </row>
    <row r="14320" spans="15:15" x14ac:dyDescent="0.25">
      <c r="O14320" s="20" t="str">
        <f>IF(N14320="","",COUNTIFS(RawData[[Date ]],N14320,RawData[Month List],$Q$6,RawData[Tour/Site],$Q$2,RawData[[Picker ID ]],$Q$3,RawData[Checker ID],$Q$4,RawData[[Error Type ]],$Q$5))</f>
        <v/>
      </c>
    </row>
    <row r="14321" spans="15:15" x14ac:dyDescent="0.25">
      <c r="O14321" s="20" t="str">
        <f>IF(N14321="","",COUNTIFS(RawData[[Date ]],N14321,RawData[Month List],$Q$6,RawData[Tour/Site],$Q$2,RawData[[Picker ID ]],$Q$3,RawData[Checker ID],$Q$4,RawData[[Error Type ]],$Q$5))</f>
        <v/>
      </c>
    </row>
    <row r="14322" spans="15:15" x14ac:dyDescent="0.25">
      <c r="O14322" s="20" t="str">
        <f>IF(N14322="","",COUNTIFS(RawData[[Date ]],N14322,RawData[Month List],$Q$6,RawData[Tour/Site],$Q$2,RawData[[Picker ID ]],$Q$3,RawData[Checker ID],$Q$4,RawData[[Error Type ]],$Q$5))</f>
        <v/>
      </c>
    </row>
    <row r="14323" spans="15:15" x14ac:dyDescent="0.25">
      <c r="O14323" s="20" t="str">
        <f>IF(N14323="","",COUNTIFS(RawData[[Date ]],N14323,RawData[Month List],$Q$6,RawData[Tour/Site],$Q$2,RawData[[Picker ID ]],$Q$3,RawData[Checker ID],$Q$4,RawData[[Error Type ]],$Q$5))</f>
        <v/>
      </c>
    </row>
    <row r="14324" spans="15:15" x14ac:dyDescent="0.25">
      <c r="O14324" s="20" t="str">
        <f>IF(N14324="","",COUNTIFS(RawData[[Date ]],N14324,RawData[Month List],$Q$6,RawData[Tour/Site],$Q$2,RawData[[Picker ID ]],$Q$3,RawData[Checker ID],$Q$4,RawData[[Error Type ]],$Q$5))</f>
        <v/>
      </c>
    </row>
    <row r="14325" spans="15:15" x14ac:dyDescent="0.25">
      <c r="O14325" s="20" t="str">
        <f>IF(N14325="","",COUNTIFS(RawData[[Date ]],N14325,RawData[Month List],$Q$6,RawData[Tour/Site],$Q$2,RawData[[Picker ID ]],$Q$3,RawData[Checker ID],$Q$4,RawData[[Error Type ]],$Q$5))</f>
        <v/>
      </c>
    </row>
    <row r="14326" spans="15:15" x14ac:dyDescent="0.25">
      <c r="O14326" s="20" t="str">
        <f>IF(N14326="","",COUNTIFS(RawData[[Date ]],N14326,RawData[Month List],$Q$6,RawData[Tour/Site],$Q$2,RawData[[Picker ID ]],$Q$3,RawData[Checker ID],$Q$4,RawData[[Error Type ]],$Q$5))</f>
        <v/>
      </c>
    </row>
    <row r="14327" spans="15:15" x14ac:dyDescent="0.25">
      <c r="O14327" s="20" t="str">
        <f>IF(N14327="","",COUNTIFS(RawData[[Date ]],N14327,RawData[Month List],$Q$6,RawData[Tour/Site],$Q$2,RawData[[Picker ID ]],$Q$3,RawData[Checker ID],$Q$4,RawData[[Error Type ]],$Q$5))</f>
        <v/>
      </c>
    </row>
    <row r="14328" spans="15:15" x14ac:dyDescent="0.25">
      <c r="O14328" s="20" t="str">
        <f>IF(N14328="","",COUNTIFS(RawData[[Date ]],N14328,RawData[Month List],$Q$6,RawData[Tour/Site],$Q$2,RawData[[Picker ID ]],$Q$3,RawData[Checker ID],$Q$4,RawData[[Error Type ]],$Q$5))</f>
        <v/>
      </c>
    </row>
    <row r="14329" spans="15:15" x14ac:dyDescent="0.25">
      <c r="O14329" s="20" t="str">
        <f>IF(N14329="","",COUNTIFS(RawData[[Date ]],N14329,RawData[Month List],$Q$6,RawData[Tour/Site],$Q$2,RawData[[Picker ID ]],$Q$3,RawData[Checker ID],$Q$4,RawData[[Error Type ]],$Q$5))</f>
        <v/>
      </c>
    </row>
    <row r="14330" spans="15:15" x14ac:dyDescent="0.25">
      <c r="O14330" s="20" t="str">
        <f>IF(N14330="","",COUNTIFS(RawData[[Date ]],N14330,RawData[Month List],$Q$6,RawData[Tour/Site],$Q$2,RawData[[Picker ID ]],$Q$3,RawData[Checker ID],$Q$4,RawData[[Error Type ]],$Q$5))</f>
        <v/>
      </c>
    </row>
    <row r="14331" spans="15:15" x14ac:dyDescent="0.25">
      <c r="O14331" s="20" t="str">
        <f>IF(N14331="","",COUNTIFS(RawData[[Date ]],N14331,RawData[Month List],$Q$6,RawData[Tour/Site],$Q$2,RawData[[Picker ID ]],$Q$3,RawData[Checker ID],$Q$4,RawData[[Error Type ]],$Q$5))</f>
        <v/>
      </c>
    </row>
    <row r="14332" spans="15:15" x14ac:dyDescent="0.25">
      <c r="O14332" s="20" t="str">
        <f>IF(N14332="","",COUNTIFS(RawData[[Date ]],N14332,RawData[Month List],$Q$6,RawData[Tour/Site],$Q$2,RawData[[Picker ID ]],$Q$3,RawData[Checker ID],$Q$4,RawData[[Error Type ]],$Q$5))</f>
        <v/>
      </c>
    </row>
    <row r="14333" spans="15:15" x14ac:dyDescent="0.25">
      <c r="O14333" s="20" t="str">
        <f>IF(N14333="","",COUNTIFS(RawData[[Date ]],N14333,RawData[Month List],$Q$6,RawData[Tour/Site],$Q$2,RawData[[Picker ID ]],$Q$3,RawData[Checker ID],$Q$4,RawData[[Error Type ]],$Q$5))</f>
        <v/>
      </c>
    </row>
    <row r="14334" spans="15:15" x14ac:dyDescent="0.25">
      <c r="O14334" s="20" t="str">
        <f>IF(N14334="","",COUNTIFS(RawData[[Date ]],N14334,RawData[Month List],$Q$6,RawData[Tour/Site],$Q$2,RawData[[Picker ID ]],$Q$3,RawData[Checker ID],$Q$4,RawData[[Error Type ]],$Q$5))</f>
        <v/>
      </c>
    </row>
    <row r="14335" spans="15:15" x14ac:dyDescent="0.25">
      <c r="O14335" s="20" t="str">
        <f>IF(N14335="","",COUNTIFS(RawData[[Date ]],N14335,RawData[Month List],$Q$6,RawData[Tour/Site],$Q$2,RawData[[Picker ID ]],$Q$3,RawData[Checker ID],$Q$4,RawData[[Error Type ]],$Q$5))</f>
        <v/>
      </c>
    </row>
    <row r="14336" spans="15:15" x14ac:dyDescent="0.25">
      <c r="O14336" s="20" t="str">
        <f>IF(N14336="","",COUNTIFS(RawData[[Date ]],N14336,RawData[Month List],$Q$6,RawData[Tour/Site],$Q$2,RawData[[Picker ID ]],$Q$3,RawData[Checker ID],$Q$4,RawData[[Error Type ]],$Q$5))</f>
        <v/>
      </c>
    </row>
    <row r="14337" spans="15:15" x14ac:dyDescent="0.25">
      <c r="O14337" s="20" t="str">
        <f>IF(N14337="","",COUNTIFS(RawData[[Date ]],N14337,RawData[Month List],$Q$6,RawData[Tour/Site],$Q$2,RawData[[Picker ID ]],$Q$3,RawData[Checker ID],$Q$4,RawData[[Error Type ]],$Q$5))</f>
        <v/>
      </c>
    </row>
    <row r="14338" spans="15:15" x14ac:dyDescent="0.25">
      <c r="O14338" s="20" t="str">
        <f>IF(N14338="","",COUNTIFS(RawData[[Date ]],N14338,RawData[Month List],$Q$6,RawData[Tour/Site],$Q$2,RawData[[Picker ID ]],$Q$3,RawData[Checker ID],$Q$4,RawData[[Error Type ]],$Q$5))</f>
        <v/>
      </c>
    </row>
    <row r="14339" spans="15:15" x14ac:dyDescent="0.25">
      <c r="O14339" s="20" t="str">
        <f>IF(N14339="","",COUNTIFS(RawData[[Date ]],N14339,RawData[Month List],$Q$6,RawData[Tour/Site],$Q$2,RawData[[Picker ID ]],$Q$3,RawData[Checker ID],$Q$4,RawData[[Error Type ]],$Q$5))</f>
        <v/>
      </c>
    </row>
    <row r="14340" spans="15:15" x14ac:dyDescent="0.25">
      <c r="O14340" s="20" t="str">
        <f>IF(N14340="","",COUNTIFS(RawData[[Date ]],N14340,RawData[Month List],$Q$6,RawData[Tour/Site],$Q$2,RawData[[Picker ID ]],$Q$3,RawData[Checker ID],$Q$4,RawData[[Error Type ]],$Q$5))</f>
        <v/>
      </c>
    </row>
    <row r="14341" spans="15:15" x14ac:dyDescent="0.25">
      <c r="O14341" s="20" t="str">
        <f>IF(N14341="","",COUNTIFS(RawData[[Date ]],N14341,RawData[Month List],$Q$6,RawData[Tour/Site],$Q$2,RawData[[Picker ID ]],$Q$3,RawData[Checker ID],$Q$4,RawData[[Error Type ]],$Q$5))</f>
        <v/>
      </c>
    </row>
    <row r="14342" spans="15:15" x14ac:dyDescent="0.25">
      <c r="O14342" s="20" t="str">
        <f>IF(N14342="","",COUNTIFS(RawData[[Date ]],N14342,RawData[Month List],$Q$6,RawData[Tour/Site],$Q$2,RawData[[Picker ID ]],$Q$3,RawData[Checker ID],$Q$4,RawData[[Error Type ]],$Q$5))</f>
        <v/>
      </c>
    </row>
    <row r="14343" spans="15:15" x14ac:dyDescent="0.25">
      <c r="O14343" s="20" t="str">
        <f>IF(N14343="","",COUNTIFS(RawData[[Date ]],N14343,RawData[Month List],$Q$6,RawData[Tour/Site],$Q$2,RawData[[Picker ID ]],$Q$3,RawData[Checker ID],$Q$4,RawData[[Error Type ]],$Q$5))</f>
        <v/>
      </c>
    </row>
    <row r="14344" spans="15:15" x14ac:dyDescent="0.25">
      <c r="O14344" s="20" t="str">
        <f>IF(N14344="","",COUNTIFS(RawData[[Date ]],N14344,RawData[Month List],$Q$6,RawData[Tour/Site],$Q$2,RawData[[Picker ID ]],$Q$3,RawData[Checker ID],$Q$4,RawData[[Error Type ]],$Q$5))</f>
        <v/>
      </c>
    </row>
    <row r="14345" spans="15:15" x14ac:dyDescent="0.25">
      <c r="O14345" s="20" t="str">
        <f>IF(N14345="","",COUNTIFS(RawData[[Date ]],N14345,RawData[Month List],$Q$6,RawData[Tour/Site],$Q$2,RawData[[Picker ID ]],$Q$3,RawData[Checker ID],$Q$4,RawData[[Error Type ]],$Q$5))</f>
        <v/>
      </c>
    </row>
    <row r="14346" spans="15:15" x14ac:dyDescent="0.25">
      <c r="O14346" s="20" t="str">
        <f>IF(N14346="","",COUNTIFS(RawData[[Date ]],N14346,RawData[Month List],$Q$6,RawData[Tour/Site],$Q$2,RawData[[Picker ID ]],$Q$3,RawData[Checker ID],$Q$4,RawData[[Error Type ]],$Q$5))</f>
        <v/>
      </c>
    </row>
    <row r="14347" spans="15:15" x14ac:dyDescent="0.25">
      <c r="O14347" s="20" t="str">
        <f>IF(N14347="","",COUNTIFS(RawData[[Date ]],N14347,RawData[Month List],$Q$6,RawData[Tour/Site],$Q$2,RawData[[Picker ID ]],$Q$3,RawData[Checker ID],$Q$4,RawData[[Error Type ]],$Q$5))</f>
        <v/>
      </c>
    </row>
    <row r="14348" spans="15:15" x14ac:dyDescent="0.25">
      <c r="O14348" s="20" t="str">
        <f>IF(N14348="","",COUNTIFS(RawData[[Date ]],N14348,RawData[Month List],$Q$6,RawData[Tour/Site],$Q$2,RawData[[Picker ID ]],$Q$3,RawData[Checker ID],$Q$4,RawData[[Error Type ]],$Q$5))</f>
        <v/>
      </c>
    </row>
    <row r="14349" spans="15:15" x14ac:dyDescent="0.25">
      <c r="O14349" s="20" t="str">
        <f>IF(N14349="","",COUNTIFS(RawData[[Date ]],N14349,RawData[Month List],$Q$6,RawData[Tour/Site],$Q$2,RawData[[Picker ID ]],$Q$3,RawData[Checker ID],$Q$4,RawData[[Error Type ]],$Q$5))</f>
        <v/>
      </c>
    </row>
    <row r="14350" spans="15:15" x14ac:dyDescent="0.25">
      <c r="O14350" s="20" t="str">
        <f>IF(N14350="","",COUNTIFS(RawData[[Date ]],N14350,RawData[Month List],$Q$6,RawData[Tour/Site],$Q$2,RawData[[Picker ID ]],$Q$3,RawData[Checker ID],$Q$4,RawData[[Error Type ]],$Q$5))</f>
        <v/>
      </c>
    </row>
    <row r="14351" spans="15:15" x14ac:dyDescent="0.25">
      <c r="O14351" s="20" t="str">
        <f>IF(N14351="","",COUNTIFS(RawData[[Date ]],N14351,RawData[Month List],$Q$6,RawData[Tour/Site],$Q$2,RawData[[Picker ID ]],$Q$3,RawData[Checker ID],$Q$4,RawData[[Error Type ]],$Q$5))</f>
        <v/>
      </c>
    </row>
    <row r="14352" spans="15:15" x14ac:dyDescent="0.25">
      <c r="O14352" s="20" t="str">
        <f>IF(N14352="","",COUNTIFS(RawData[[Date ]],N14352,RawData[Month List],$Q$6,RawData[Tour/Site],$Q$2,RawData[[Picker ID ]],$Q$3,RawData[Checker ID],$Q$4,RawData[[Error Type ]],$Q$5))</f>
        <v/>
      </c>
    </row>
    <row r="14353" spans="15:15" x14ac:dyDescent="0.25">
      <c r="O14353" s="20" t="str">
        <f>IF(N14353="","",COUNTIFS(RawData[[Date ]],N14353,RawData[Month List],$Q$6,RawData[Tour/Site],$Q$2,RawData[[Picker ID ]],$Q$3,RawData[Checker ID],$Q$4,RawData[[Error Type ]],$Q$5))</f>
        <v/>
      </c>
    </row>
    <row r="14354" spans="15:15" x14ac:dyDescent="0.25">
      <c r="O14354" s="20" t="str">
        <f>IF(N14354="","",COUNTIFS(RawData[[Date ]],N14354,RawData[Month List],$Q$6,RawData[Tour/Site],$Q$2,RawData[[Picker ID ]],$Q$3,RawData[Checker ID],$Q$4,RawData[[Error Type ]],$Q$5))</f>
        <v/>
      </c>
    </row>
    <row r="14355" spans="15:15" x14ac:dyDescent="0.25">
      <c r="O14355" s="20" t="str">
        <f>IF(N14355="","",COUNTIFS(RawData[[Date ]],N14355,RawData[Month List],$Q$6,RawData[Tour/Site],$Q$2,RawData[[Picker ID ]],$Q$3,RawData[Checker ID],$Q$4,RawData[[Error Type ]],$Q$5))</f>
        <v/>
      </c>
    </row>
    <row r="14356" spans="15:15" x14ac:dyDescent="0.25">
      <c r="O14356" s="20" t="str">
        <f>IF(N14356="","",COUNTIFS(RawData[[Date ]],N14356,RawData[Month List],$Q$6,RawData[Tour/Site],$Q$2,RawData[[Picker ID ]],$Q$3,RawData[Checker ID],$Q$4,RawData[[Error Type ]],$Q$5))</f>
        <v/>
      </c>
    </row>
    <row r="14357" spans="15:15" x14ac:dyDescent="0.25">
      <c r="O14357" s="20" t="str">
        <f>IF(N14357="","",COUNTIFS(RawData[[Date ]],N14357,RawData[Month List],$Q$6,RawData[Tour/Site],$Q$2,RawData[[Picker ID ]],$Q$3,RawData[Checker ID],$Q$4,RawData[[Error Type ]],$Q$5))</f>
        <v/>
      </c>
    </row>
    <row r="14358" spans="15:15" x14ac:dyDescent="0.25">
      <c r="O14358" s="20" t="str">
        <f>IF(N14358="","",COUNTIFS(RawData[[Date ]],N14358,RawData[Month List],$Q$6,RawData[Tour/Site],$Q$2,RawData[[Picker ID ]],$Q$3,RawData[Checker ID],$Q$4,RawData[[Error Type ]],$Q$5))</f>
        <v/>
      </c>
    </row>
    <row r="14359" spans="15:15" x14ac:dyDescent="0.25">
      <c r="O14359" s="20" t="str">
        <f>IF(N14359="","",COUNTIFS(RawData[[Date ]],N14359,RawData[Month List],$Q$6,RawData[Tour/Site],$Q$2,RawData[[Picker ID ]],$Q$3,RawData[Checker ID],$Q$4,RawData[[Error Type ]],$Q$5))</f>
        <v/>
      </c>
    </row>
    <row r="14360" spans="15:15" x14ac:dyDescent="0.25">
      <c r="O14360" s="20" t="str">
        <f>IF(N14360="","",COUNTIFS(RawData[[Date ]],N14360,RawData[Month List],$Q$6,RawData[Tour/Site],$Q$2,RawData[[Picker ID ]],$Q$3,RawData[Checker ID],$Q$4,RawData[[Error Type ]],$Q$5))</f>
        <v/>
      </c>
    </row>
    <row r="14361" spans="15:15" x14ac:dyDescent="0.25">
      <c r="O14361" s="20" t="str">
        <f>IF(N14361="","",COUNTIFS(RawData[[Date ]],N14361,RawData[Month List],$Q$6,RawData[Tour/Site],$Q$2,RawData[[Picker ID ]],$Q$3,RawData[Checker ID],$Q$4,RawData[[Error Type ]],$Q$5))</f>
        <v/>
      </c>
    </row>
    <row r="14362" spans="15:15" x14ac:dyDescent="0.25">
      <c r="O14362" s="20" t="str">
        <f>IF(N14362="","",COUNTIFS(RawData[[Date ]],N14362,RawData[Month List],$Q$6,RawData[Tour/Site],$Q$2,RawData[[Picker ID ]],$Q$3,RawData[Checker ID],$Q$4,RawData[[Error Type ]],$Q$5))</f>
        <v/>
      </c>
    </row>
    <row r="14363" spans="15:15" x14ac:dyDescent="0.25">
      <c r="O14363" s="20" t="str">
        <f>IF(N14363="","",COUNTIFS(RawData[[Date ]],N14363,RawData[Month List],$Q$6,RawData[Tour/Site],$Q$2,RawData[[Picker ID ]],$Q$3,RawData[Checker ID],$Q$4,RawData[[Error Type ]],$Q$5))</f>
        <v/>
      </c>
    </row>
    <row r="14364" spans="15:15" x14ac:dyDescent="0.25">
      <c r="O14364" s="20" t="str">
        <f>IF(N14364="","",COUNTIFS(RawData[[Date ]],N14364,RawData[Month List],$Q$6,RawData[Tour/Site],$Q$2,RawData[[Picker ID ]],$Q$3,RawData[Checker ID],$Q$4,RawData[[Error Type ]],$Q$5))</f>
        <v/>
      </c>
    </row>
    <row r="14365" spans="15:15" x14ac:dyDescent="0.25">
      <c r="O14365" s="20" t="str">
        <f>IF(N14365="","",COUNTIFS(RawData[[Date ]],N14365,RawData[Month List],$Q$6,RawData[Tour/Site],$Q$2,RawData[[Picker ID ]],$Q$3,RawData[Checker ID],$Q$4,RawData[[Error Type ]],$Q$5))</f>
        <v/>
      </c>
    </row>
    <row r="14366" spans="15:15" x14ac:dyDescent="0.25">
      <c r="O14366" s="20" t="str">
        <f>IF(N14366="","",COUNTIFS(RawData[[Date ]],N14366,RawData[Month List],$Q$6,RawData[Tour/Site],$Q$2,RawData[[Picker ID ]],$Q$3,RawData[Checker ID],$Q$4,RawData[[Error Type ]],$Q$5))</f>
        <v/>
      </c>
    </row>
    <row r="14367" spans="15:15" x14ac:dyDescent="0.25">
      <c r="O14367" s="20" t="str">
        <f>IF(N14367="","",COUNTIFS(RawData[[Date ]],N14367,RawData[Month List],$Q$6,RawData[Tour/Site],$Q$2,RawData[[Picker ID ]],$Q$3,RawData[Checker ID],$Q$4,RawData[[Error Type ]],$Q$5))</f>
        <v/>
      </c>
    </row>
    <row r="14368" spans="15:15" x14ac:dyDescent="0.25">
      <c r="O14368" s="20" t="str">
        <f>IF(N14368="","",COUNTIFS(RawData[[Date ]],N14368,RawData[Month List],$Q$6,RawData[Tour/Site],$Q$2,RawData[[Picker ID ]],$Q$3,RawData[Checker ID],$Q$4,RawData[[Error Type ]],$Q$5))</f>
        <v/>
      </c>
    </row>
    <row r="14369" spans="15:15" x14ac:dyDescent="0.25">
      <c r="O14369" s="20" t="str">
        <f>IF(N14369="","",COUNTIFS(RawData[[Date ]],N14369,RawData[Month List],$Q$6,RawData[Tour/Site],$Q$2,RawData[[Picker ID ]],$Q$3,RawData[Checker ID],$Q$4,RawData[[Error Type ]],$Q$5))</f>
        <v/>
      </c>
    </row>
    <row r="14370" spans="15:15" x14ac:dyDescent="0.25">
      <c r="O14370" s="20" t="str">
        <f>IF(N14370="","",COUNTIFS(RawData[[Date ]],N14370,RawData[Month List],$Q$6,RawData[Tour/Site],$Q$2,RawData[[Picker ID ]],$Q$3,RawData[Checker ID],$Q$4,RawData[[Error Type ]],$Q$5))</f>
        <v/>
      </c>
    </row>
    <row r="14371" spans="15:15" x14ac:dyDescent="0.25">
      <c r="O14371" s="20" t="str">
        <f>IF(N14371="","",COUNTIFS(RawData[[Date ]],N14371,RawData[Month List],$Q$6,RawData[Tour/Site],$Q$2,RawData[[Picker ID ]],$Q$3,RawData[Checker ID],$Q$4,RawData[[Error Type ]],$Q$5))</f>
        <v/>
      </c>
    </row>
    <row r="14372" spans="15:15" x14ac:dyDescent="0.25">
      <c r="O14372" s="20" t="str">
        <f>IF(N14372="","",COUNTIFS(RawData[[Date ]],N14372,RawData[Month List],$Q$6,RawData[Tour/Site],$Q$2,RawData[[Picker ID ]],$Q$3,RawData[Checker ID],$Q$4,RawData[[Error Type ]],$Q$5))</f>
        <v/>
      </c>
    </row>
    <row r="14373" spans="15:15" x14ac:dyDescent="0.25">
      <c r="O14373" s="20" t="str">
        <f>IF(N14373="","",COUNTIFS(RawData[[Date ]],N14373,RawData[Month List],$Q$6,RawData[Tour/Site],$Q$2,RawData[[Picker ID ]],$Q$3,RawData[Checker ID],$Q$4,RawData[[Error Type ]],$Q$5))</f>
        <v/>
      </c>
    </row>
    <row r="14374" spans="15:15" x14ac:dyDescent="0.25">
      <c r="O14374" s="20" t="str">
        <f>IF(N14374="","",COUNTIFS(RawData[[Date ]],N14374,RawData[Month List],$Q$6,RawData[Tour/Site],$Q$2,RawData[[Picker ID ]],$Q$3,RawData[Checker ID],$Q$4,RawData[[Error Type ]],$Q$5))</f>
        <v/>
      </c>
    </row>
    <row r="14375" spans="15:15" x14ac:dyDescent="0.25">
      <c r="O14375" s="20" t="str">
        <f>IF(N14375="","",COUNTIFS(RawData[[Date ]],N14375,RawData[Month List],$Q$6,RawData[Tour/Site],$Q$2,RawData[[Picker ID ]],$Q$3,RawData[Checker ID],$Q$4,RawData[[Error Type ]],$Q$5))</f>
        <v/>
      </c>
    </row>
    <row r="14376" spans="15:15" x14ac:dyDescent="0.25">
      <c r="O14376" s="20" t="str">
        <f>IF(N14376="","",COUNTIFS(RawData[[Date ]],N14376,RawData[Month List],$Q$6,RawData[Tour/Site],$Q$2,RawData[[Picker ID ]],$Q$3,RawData[Checker ID],$Q$4,RawData[[Error Type ]],$Q$5))</f>
        <v/>
      </c>
    </row>
    <row r="14377" spans="15:15" x14ac:dyDescent="0.25">
      <c r="O14377" s="20" t="str">
        <f>IF(N14377="","",COUNTIFS(RawData[[Date ]],N14377,RawData[Month List],$Q$6,RawData[Tour/Site],$Q$2,RawData[[Picker ID ]],$Q$3,RawData[Checker ID],$Q$4,RawData[[Error Type ]],$Q$5))</f>
        <v/>
      </c>
    </row>
    <row r="14378" spans="15:15" x14ac:dyDescent="0.25">
      <c r="O14378" s="20" t="str">
        <f>IF(N14378="","",COUNTIFS(RawData[[Date ]],N14378,RawData[Month List],$Q$6,RawData[Tour/Site],$Q$2,RawData[[Picker ID ]],$Q$3,RawData[Checker ID],$Q$4,RawData[[Error Type ]],$Q$5))</f>
        <v/>
      </c>
    </row>
    <row r="14379" spans="15:15" x14ac:dyDescent="0.25">
      <c r="O14379" s="20" t="str">
        <f>IF(N14379="","",COUNTIFS(RawData[[Date ]],N14379,RawData[Month List],$Q$6,RawData[Tour/Site],$Q$2,RawData[[Picker ID ]],$Q$3,RawData[Checker ID],$Q$4,RawData[[Error Type ]],$Q$5))</f>
        <v/>
      </c>
    </row>
    <row r="14380" spans="15:15" x14ac:dyDescent="0.25">
      <c r="O14380" s="20" t="str">
        <f>IF(N14380="","",COUNTIFS(RawData[[Date ]],N14380,RawData[Month List],$Q$6,RawData[Tour/Site],$Q$2,RawData[[Picker ID ]],$Q$3,RawData[Checker ID],$Q$4,RawData[[Error Type ]],$Q$5))</f>
        <v/>
      </c>
    </row>
    <row r="14381" spans="15:15" x14ac:dyDescent="0.25">
      <c r="O14381" s="20" t="str">
        <f>IF(N14381="","",COUNTIFS(RawData[[Date ]],N14381,RawData[Month List],$Q$6,RawData[Tour/Site],$Q$2,RawData[[Picker ID ]],$Q$3,RawData[Checker ID],$Q$4,RawData[[Error Type ]],$Q$5))</f>
        <v/>
      </c>
    </row>
    <row r="14382" spans="15:15" x14ac:dyDescent="0.25">
      <c r="O14382" s="20" t="str">
        <f>IF(N14382="","",COUNTIFS(RawData[[Date ]],N14382,RawData[Month List],$Q$6,RawData[Tour/Site],$Q$2,RawData[[Picker ID ]],$Q$3,RawData[Checker ID],$Q$4,RawData[[Error Type ]],$Q$5))</f>
        <v/>
      </c>
    </row>
    <row r="14383" spans="15:15" x14ac:dyDescent="0.25">
      <c r="O14383" s="20" t="str">
        <f>IF(N14383="","",COUNTIFS(RawData[[Date ]],N14383,RawData[Month List],$Q$6,RawData[Tour/Site],$Q$2,RawData[[Picker ID ]],$Q$3,RawData[Checker ID],$Q$4,RawData[[Error Type ]],$Q$5))</f>
        <v/>
      </c>
    </row>
    <row r="14384" spans="15:15" x14ac:dyDescent="0.25">
      <c r="O14384" s="20" t="str">
        <f>IF(N14384="","",COUNTIFS(RawData[[Date ]],N14384,RawData[Month List],$Q$6,RawData[Tour/Site],$Q$2,RawData[[Picker ID ]],$Q$3,RawData[Checker ID],$Q$4,RawData[[Error Type ]],$Q$5))</f>
        <v/>
      </c>
    </row>
    <row r="14385" spans="15:15" x14ac:dyDescent="0.25">
      <c r="O14385" s="20" t="str">
        <f>IF(N14385="","",COUNTIFS(RawData[[Date ]],N14385,RawData[Month List],$Q$6,RawData[Tour/Site],$Q$2,RawData[[Picker ID ]],$Q$3,RawData[Checker ID],$Q$4,RawData[[Error Type ]],$Q$5))</f>
        <v/>
      </c>
    </row>
    <row r="14386" spans="15:15" x14ac:dyDescent="0.25">
      <c r="O14386" s="20" t="str">
        <f>IF(N14386="","",COUNTIFS(RawData[[Date ]],N14386,RawData[Month List],$Q$6,RawData[Tour/Site],$Q$2,RawData[[Picker ID ]],$Q$3,RawData[Checker ID],$Q$4,RawData[[Error Type ]],$Q$5))</f>
        <v/>
      </c>
    </row>
    <row r="14387" spans="15:15" x14ac:dyDescent="0.25">
      <c r="O14387" s="20" t="str">
        <f>IF(N14387="","",COUNTIFS(RawData[[Date ]],N14387,RawData[Month List],$Q$6,RawData[Tour/Site],$Q$2,RawData[[Picker ID ]],$Q$3,RawData[Checker ID],$Q$4,RawData[[Error Type ]],$Q$5))</f>
        <v/>
      </c>
    </row>
    <row r="14388" spans="15:15" x14ac:dyDescent="0.25">
      <c r="O14388" s="20" t="str">
        <f>IF(N14388="","",COUNTIFS(RawData[[Date ]],N14388,RawData[Month List],$Q$6,RawData[Tour/Site],$Q$2,RawData[[Picker ID ]],$Q$3,RawData[Checker ID],$Q$4,RawData[[Error Type ]],$Q$5))</f>
        <v/>
      </c>
    </row>
    <row r="14389" spans="15:15" x14ac:dyDescent="0.25">
      <c r="O14389" s="20" t="str">
        <f>IF(N14389="","",COUNTIFS(RawData[[Date ]],N14389,RawData[Month List],$Q$6,RawData[Tour/Site],$Q$2,RawData[[Picker ID ]],$Q$3,RawData[Checker ID],$Q$4,RawData[[Error Type ]],$Q$5))</f>
        <v/>
      </c>
    </row>
    <row r="14390" spans="15:15" x14ac:dyDescent="0.25">
      <c r="O14390" s="20" t="str">
        <f>IF(N14390="","",COUNTIFS(RawData[[Date ]],N14390,RawData[Month List],$Q$6,RawData[Tour/Site],$Q$2,RawData[[Picker ID ]],$Q$3,RawData[Checker ID],$Q$4,RawData[[Error Type ]],$Q$5))</f>
        <v/>
      </c>
    </row>
    <row r="14391" spans="15:15" x14ac:dyDescent="0.25">
      <c r="O14391" s="20" t="str">
        <f>IF(N14391="","",COUNTIFS(RawData[[Date ]],N14391,RawData[Month List],$Q$6,RawData[Tour/Site],$Q$2,RawData[[Picker ID ]],$Q$3,RawData[Checker ID],$Q$4,RawData[[Error Type ]],$Q$5))</f>
        <v/>
      </c>
    </row>
    <row r="14392" spans="15:15" x14ac:dyDescent="0.25">
      <c r="O14392" s="20" t="str">
        <f>IF(N14392="","",COUNTIFS(RawData[[Date ]],N14392,RawData[Month List],$Q$6,RawData[Tour/Site],$Q$2,RawData[[Picker ID ]],$Q$3,RawData[Checker ID],$Q$4,RawData[[Error Type ]],$Q$5))</f>
        <v/>
      </c>
    </row>
    <row r="14393" spans="15:15" x14ac:dyDescent="0.25">
      <c r="O14393" s="20" t="str">
        <f>IF(N14393="","",COUNTIFS(RawData[[Date ]],N14393,RawData[Month List],$Q$6,RawData[Tour/Site],$Q$2,RawData[[Picker ID ]],$Q$3,RawData[Checker ID],$Q$4,RawData[[Error Type ]],$Q$5))</f>
        <v/>
      </c>
    </row>
    <row r="14394" spans="15:15" x14ac:dyDescent="0.25">
      <c r="O14394" s="20" t="str">
        <f>IF(N14394="","",COUNTIFS(RawData[[Date ]],N14394,RawData[Month List],$Q$6,RawData[Tour/Site],$Q$2,RawData[[Picker ID ]],$Q$3,RawData[Checker ID],$Q$4,RawData[[Error Type ]],$Q$5))</f>
        <v/>
      </c>
    </row>
    <row r="14395" spans="15:15" x14ac:dyDescent="0.25">
      <c r="O14395" s="20" t="str">
        <f>IF(N14395="","",COUNTIFS(RawData[[Date ]],N14395,RawData[Month List],$Q$6,RawData[Tour/Site],$Q$2,RawData[[Picker ID ]],$Q$3,RawData[Checker ID],$Q$4,RawData[[Error Type ]],$Q$5))</f>
        <v/>
      </c>
    </row>
    <row r="14396" spans="15:15" x14ac:dyDescent="0.25">
      <c r="O14396" s="20" t="str">
        <f>IF(N14396="","",COUNTIFS(RawData[[Date ]],N14396,RawData[Month List],$Q$6,RawData[Tour/Site],$Q$2,RawData[[Picker ID ]],$Q$3,RawData[Checker ID],$Q$4,RawData[[Error Type ]],$Q$5))</f>
        <v/>
      </c>
    </row>
    <row r="14397" spans="15:15" x14ac:dyDescent="0.25">
      <c r="O14397" s="20" t="str">
        <f>IF(N14397="","",COUNTIFS(RawData[[Date ]],N14397,RawData[Month List],$Q$6,RawData[Tour/Site],$Q$2,RawData[[Picker ID ]],$Q$3,RawData[Checker ID],$Q$4,RawData[[Error Type ]],$Q$5))</f>
        <v/>
      </c>
    </row>
    <row r="14398" spans="15:15" x14ac:dyDescent="0.25">
      <c r="O14398" s="20" t="str">
        <f>IF(N14398="","",COUNTIFS(RawData[[Date ]],N14398,RawData[Month List],$Q$6,RawData[Tour/Site],$Q$2,RawData[[Picker ID ]],$Q$3,RawData[Checker ID],$Q$4,RawData[[Error Type ]],$Q$5))</f>
        <v/>
      </c>
    </row>
    <row r="14399" spans="15:15" x14ac:dyDescent="0.25">
      <c r="O14399" s="20" t="str">
        <f>IF(N14399="","",COUNTIFS(RawData[[Date ]],N14399,RawData[Month List],$Q$6,RawData[Tour/Site],$Q$2,RawData[[Picker ID ]],$Q$3,RawData[Checker ID],$Q$4,RawData[[Error Type ]],$Q$5))</f>
        <v/>
      </c>
    </row>
    <row r="14400" spans="15:15" x14ac:dyDescent="0.25">
      <c r="O14400" s="20" t="str">
        <f>IF(N14400="","",COUNTIFS(RawData[[Date ]],N14400,RawData[Month List],$Q$6,RawData[Tour/Site],$Q$2,RawData[[Picker ID ]],$Q$3,RawData[Checker ID],$Q$4,RawData[[Error Type ]],$Q$5))</f>
        <v/>
      </c>
    </row>
    <row r="14401" spans="15:15" x14ac:dyDescent="0.25">
      <c r="O14401" s="20" t="str">
        <f>IF(N14401="","",COUNTIFS(RawData[[Date ]],N14401,RawData[Month List],$Q$6,RawData[Tour/Site],$Q$2,RawData[[Picker ID ]],$Q$3,RawData[Checker ID],$Q$4,RawData[[Error Type ]],$Q$5))</f>
        <v/>
      </c>
    </row>
    <row r="14402" spans="15:15" x14ac:dyDescent="0.25">
      <c r="O14402" s="20" t="str">
        <f>IF(N14402="","",COUNTIFS(RawData[[Date ]],N14402,RawData[Month List],$Q$6,RawData[Tour/Site],$Q$2,RawData[[Picker ID ]],$Q$3,RawData[Checker ID],$Q$4,RawData[[Error Type ]],$Q$5))</f>
        <v/>
      </c>
    </row>
    <row r="14403" spans="15:15" x14ac:dyDescent="0.25">
      <c r="O14403" s="20" t="str">
        <f>IF(N14403="","",COUNTIFS(RawData[[Date ]],N14403,RawData[Month List],$Q$6,RawData[Tour/Site],$Q$2,RawData[[Picker ID ]],$Q$3,RawData[Checker ID],$Q$4,RawData[[Error Type ]],$Q$5))</f>
        <v/>
      </c>
    </row>
    <row r="14404" spans="15:15" x14ac:dyDescent="0.25">
      <c r="O14404" s="20" t="str">
        <f>IF(N14404="","",COUNTIFS(RawData[[Date ]],N14404,RawData[Month List],$Q$6,RawData[Tour/Site],$Q$2,RawData[[Picker ID ]],$Q$3,RawData[Checker ID],$Q$4,RawData[[Error Type ]],$Q$5))</f>
        <v/>
      </c>
    </row>
    <row r="14405" spans="15:15" x14ac:dyDescent="0.25">
      <c r="O14405" s="20" t="str">
        <f>IF(N14405="","",COUNTIFS(RawData[[Date ]],N14405,RawData[Month List],$Q$6,RawData[Tour/Site],$Q$2,RawData[[Picker ID ]],$Q$3,RawData[Checker ID],$Q$4,RawData[[Error Type ]],$Q$5))</f>
        <v/>
      </c>
    </row>
    <row r="14406" spans="15:15" x14ac:dyDescent="0.25">
      <c r="O14406" s="20" t="str">
        <f>IF(N14406="","",COUNTIFS(RawData[[Date ]],N14406,RawData[Month List],$Q$6,RawData[Tour/Site],$Q$2,RawData[[Picker ID ]],$Q$3,RawData[Checker ID],$Q$4,RawData[[Error Type ]],$Q$5))</f>
        <v/>
      </c>
    </row>
    <row r="14407" spans="15:15" x14ac:dyDescent="0.25">
      <c r="O14407" s="20" t="str">
        <f>IF(N14407="","",COUNTIFS(RawData[[Date ]],N14407,RawData[Month List],$Q$6,RawData[Tour/Site],$Q$2,RawData[[Picker ID ]],$Q$3,RawData[Checker ID],$Q$4,RawData[[Error Type ]],$Q$5))</f>
        <v/>
      </c>
    </row>
    <row r="14408" spans="15:15" x14ac:dyDescent="0.25">
      <c r="O14408" s="20" t="str">
        <f>IF(N14408="","",COUNTIFS(RawData[[Date ]],N14408,RawData[Month List],$Q$6,RawData[Tour/Site],$Q$2,RawData[[Picker ID ]],$Q$3,RawData[Checker ID],$Q$4,RawData[[Error Type ]],$Q$5))</f>
        <v/>
      </c>
    </row>
    <row r="14409" spans="15:15" x14ac:dyDescent="0.25">
      <c r="O14409" s="20" t="str">
        <f>IF(N14409="","",COUNTIFS(RawData[[Date ]],N14409,RawData[Month List],$Q$6,RawData[Tour/Site],$Q$2,RawData[[Picker ID ]],$Q$3,RawData[Checker ID],$Q$4,RawData[[Error Type ]],$Q$5))</f>
        <v/>
      </c>
    </row>
    <row r="14410" spans="15:15" x14ac:dyDescent="0.25">
      <c r="O14410" s="20" t="str">
        <f>IF(N14410="","",COUNTIFS(RawData[[Date ]],N14410,RawData[Month List],$Q$6,RawData[Tour/Site],$Q$2,RawData[[Picker ID ]],$Q$3,RawData[Checker ID],$Q$4,RawData[[Error Type ]],$Q$5))</f>
        <v/>
      </c>
    </row>
    <row r="14411" spans="15:15" x14ac:dyDescent="0.25">
      <c r="O14411" s="20" t="str">
        <f>IF(N14411="","",COUNTIFS(RawData[[Date ]],N14411,RawData[Month List],$Q$6,RawData[Tour/Site],$Q$2,RawData[[Picker ID ]],$Q$3,RawData[Checker ID],$Q$4,RawData[[Error Type ]],$Q$5))</f>
        <v/>
      </c>
    </row>
    <row r="14412" spans="15:15" x14ac:dyDescent="0.25">
      <c r="O14412" s="20" t="str">
        <f>IF(N14412="","",COUNTIFS(RawData[[Date ]],N14412,RawData[Month List],$Q$6,RawData[Tour/Site],$Q$2,RawData[[Picker ID ]],$Q$3,RawData[Checker ID],$Q$4,RawData[[Error Type ]],$Q$5))</f>
        <v/>
      </c>
    </row>
    <row r="14413" spans="15:15" x14ac:dyDescent="0.25">
      <c r="O14413" s="20" t="str">
        <f>IF(N14413="","",COUNTIFS(RawData[[Date ]],N14413,RawData[Month List],$Q$6,RawData[Tour/Site],$Q$2,RawData[[Picker ID ]],$Q$3,RawData[Checker ID],$Q$4,RawData[[Error Type ]],$Q$5))</f>
        <v/>
      </c>
    </row>
    <row r="14414" spans="15:15" x14ac:dyDescent="0.25">
      <c r="O14414" s="20" t="str">
        <f>IF(N14414="","",COUNTIFS(RawData[[Date ]],N14414,RawData[Month List],$Q$6,RawData[Tour/Site],$Q$2,RawData[[Picker ID ]],$Q$3,RawData[Checker ID],$Q$4,RawData[[Error Type ]],$Q$5))</f>
        <v/>
      </c>
    </row>
    <row r="14415" spans="15:15" x14ac:dyDescent="0.25">
      <c r="O14415" s="20" t="str">
        <f>IF(N14415="","",COUNTIFS(RawData[[Date ]],N14415,RawData[Month List],$Q$6,RawData[Tour/Site],$Q$2,RawData[[Picker ID ]],$Q$3,RawData[Checker ID],$Q$4,RawData[[Error Type ]],$Q$5))</f>
        <v/>
      </c>
    </row>
    <row r="14416" spans="15:15" x14ac:dyDescent="0.25">
      <c r="O14416" s="20" t="str">
        <f>IF(N14416="","",COUNTIFS(RawData[[Date ]],N14416,RawData[Month List],$Q$6,RawData[Tour/Site],$Q$2,RawData[[Picker ID ]],$Q$3,RawData[Checker ID],$Q$4,RawData[[Error Type ]],$Q$5))</f>
        <v/>
      </c>
    </row>
    <row r="14417" spans="15:15" x14ac:dyDescent="0.25">
      <c r="O14417" s="20" t="str">
        <f>IF(N14417="","",COUNTIFS(RawData[[Date ]],N14417,RawData[Month List],$Q$6,RawData[Tour/Site],$Q$2,RawData[[Picker ID ]],$Q$3,RawData[Checker ID],$Q$4,RawData[[Error Type ]],$Q$5))</f>
        <v/>
      </c>
    </row>
    <row r="14418" spans="15:15" x14ac:dyDescent="0.25">
      <c r="O14418" s="20" t="str">
        <f>IF(N14418="","",COUNTIFS(RawData[[Date ]],N14418,RawData[Month List],$Q$6,RawData[Tour/Site],$Q$2,RawData[[Picker ID ]],$Q$3,RawData[Checker ID],$Q$4,RawData[[Error Type ]],$Q$5))</f>
        <v/>
      </c>
    </row>
    <row r="14419" spans="15:15" x14ac:dyDescent="0.25">
      <c r="O14419" s="20" t="str">
        <f>IF(N14419="","",COUNTIFS(RawData[[Date ]],N14419,RawData[Month List],$Q$6,RawData[Tour/Site],$Q$2,RawData[[Picker ID ]],$Q$3,RawData[Checker ID],$Q$4,RawData[[Error Type ]],$Q$5))</f>
        <v/>
      </c>
    </row>
    <row r="14420" spans="15:15" x14ac:dyDescent="0.25">
      <c r="O14420" s="20" t="str">
        <f>IF(N14420="","",COUNTIFS(RawData[[Date ]],N14420,RawData[Month List],$Q$6,RawData[Tour/Site],$Q$2,RawData[[Picker ID ]],$Q$3,RawData[Checker ID],$Q$4,RawData[[Error Type ]],$Q$5))</f>
        <v/>
      </c>
    </row>
    <row r="14421" spans="15:15" x14ac:dyDescent="0.25">
      <c r="O14421" s="20" t="str">
        <f>IF(N14421="","",COUNTIFS(RawData[[Date ]],N14421,RawData[Month List],$Q$6,RawData[Tour/Site],$Q$2,RawData[[Picker ID ]],$Q$3,RawData[Checker ID],$Q$4,RawData[[Error Type ]],$Q$5))</f>
        <v/>
      </c>
    </row>
    <row r="14422" spans="15:15" x14ac:dyDescent="0.25">
      <c r="O14422" s="20" t="str">
        <f>IF(N14422="","",COUNTIFS(RawData[[Date ]],N14422,RawData[Month List],$Q$6,RawData[Tour/Site],$Q$2,RawData[[Picker ID ]],$Q$3,RawData[Checker ID],$Q$4,RawData[[Error Type ]],$Q$5))</f>
        <v/>
      </c>
    </row>
    <row r="14423" spans="15:15" x14ac:dyDescent="0.25">
      <c r="O14423" s="20" t="str">
        <f>IF(N14423="","",COUNTIFS(RawData[[Date ]],N14423,RawData[Month List],$Q$6,RawData[Tour/Site],$Q$2,RawData[[Picker ID ]],$Q$3,RawData[Checker ID],$Q$4,RawData[[Error Type ]],$Q$5))</f>
        <v/>
      </c>
    </row>
    <row r="14424" spans="15:15" x14ac:dyDescent="0.25">
      <c r="O14424" s="20" t="str">
        <f>IF(N14424="","",COUNTIFS(RawData[[Date ]],N14424,RawData[Month List],$Q$6,RawData[Tour/Site],$Q$2,RawData[[Picker ID ]],$Q$3,RawData[Checker ID],$Q$4,RawData[[Error Type ]],$Q$5))</f>
        <v/>
      </c>
    </row>
    <row r="14425" spans="15:15" x14ac:dyDescent="0.25">
      <c r="O14425" s="20" t="str">
        <f>IF(N14425="","",COUNTIFS(RawData[[Date ]],N14425,RawData[Month List],$Q$6,RawData[Tour/Site],$Q$2,RawData[[Picker ID ]],$Q$3,RawData[Checker ID],$Q$4,RawData[[Error Type ]],$Q$5))</f>
        <v/>
      </c>
    </row>
    <row r="14426" spans="15:15" x14ac:dyDescent="0.25">
      <c r="O14426" s="20" t="str">
        <f>IF(N14426="","",COUNTIFS(RawData[[Date ]],N14426,RawData[Month List],$Q$6,RawData[Tour/Site],$Q$2,RawData[[Picker ID ]],$Q$3,RawData[Checker ID],$Q$4,RawData[[Error Type ]],$Q$5))</f>
        <v/>
      </c>
    </row>
    <row r="14427" spans="15:15" x14ac:dyDescent="0.25">
      <c r="O14427" s="20" t="str">
        <f>IF(N14427="","",COUNTIFS(RawData[[Date ]],N14427,RawData[Month List],$Q$6,RawData[Tour/Site],$Q$2,RawData[[Picker ID ]],$Q$3,RawData[Checker ID],$Q$4,RawData[[Error Type ]],$Q$5))</f>
        <v/>
      </c>
    </row>
    <row r="14428" spans="15:15" x14ac:dyDescent="0.25">
      <c r="O14428" s="20" t="str">
        <f>IF(N14428="","",COUNTIFS(RawData[[Date ]],N14428,RawData[Month List],$Q$6,RawData[Tour/Site],$Q$2,RawData[[Picker ID ]],$Q$3,RawData[Checker ID],$Q$4,RawData[[Error Type ]],$Q$5))</f>
        <v/>
      </c>
    </row>
    <row r="14429" spans="15:15" x14ac:dyDescent="0.25">
      <c r="O14429" s="20" t="str">
        <f>IF(N14429="","",COUNTIFS(RawData[[Date ]],N14429,RawData[Month List],$Q$6,RawData[Tour/Site],$Q$2,RawData[[Picker ID ]],$Q$3,RawData[Checker ID],$Q$4,RawData[[Error Type ]],$Q$5))</f>
        <v/>
      </c>
    </row>
    <row r="14430" spans="15:15" x14ac:dyDescent="0.25">
      <c r="O14430" s="20" t="str">
        <f>IF(N14430="","",COUNTIFS(RawData[[Date ]],N14430,RawData[Month List],$Q$6,RawData[Tour/Site],$Q$2,RawData[[Picker ID ]],$Q$3,RawData[Checker ID],$Q$4,RawData[[Error Type ]],$Q$5))</f>
        <v/>
      </c>
    </row>
    <row r="14431" spans="15:15" x14ac:dyDescent="0.25">
      <c r="O14431" s="20" t="str">
        <f>IF(N14431="","",COUNTIFS(RawData[[Date ]],N14431,RawData[Month List],$Q$6,RawData[Tour/Site],$Q$2,RawData[[Picker ID ]],$Q$3,RawData[Checker ID],$Q$4,RawData[[Error Type ]],$Q$5))</f>
        <v/>
      </c>
    </row>
    <row r="14432" spans="15:15" x14ac:dyDescent="0.25">
      <c r="O14432" s="20" t="str">
        <f>IF(N14432="","",COUNTIFS(RawData[[Date ]],N14432,RawData[Month List],$Q$6,RawData[Tour/Site],$Q$2,RawData[[Picker ID ]],$Q$3,RawData[Checker ID],$Q$4,RawData[[Error Type ]],$Q$5))</f>
        <v/>
      </c>
    </row>
    <row r="14433" spans="15:15" x14ac:dyDescent="0.25">
      <c r="O14433" s="20" t="str">
        <f>IF(N14433="","",COUNTIFS(RawData[[Date ]],N14433,RawData[Month List],$Q$6,RawData[Tour/Site],$Q$2,RawData[[Picker ID ]],$Q$3,RawData[Checker ID],$Q$4,RawData[[Error Type ]],$Q$5))</f>
        <v/>
      </c>
    </row>
    <row r="14434" spans="15:15" x14ac:dyDescent="0.25">
      <c r="O14434" s="20" t="str">
        <f>IF(N14434="","",COUNTIFS(RawData[[Date ]],N14434,RawData[Month List],$Q$6,RawData[Tour/Site],$Q$2,RawData[[Picker ID ]],$Q$3,RawData[Checker ID],$Q$4,RawData[[Error Type ]],$Q$5))</f>
        <v/>
      </c>
    </row>
    <row r="14435" spans="15:15" x14ac:dyDescent="0.25">
      <c r="O14435" s="20" t="str">
        <f>IF(N14435="","",COUNTIFS(RawData[[Date ]],N14435,RawData[Month List],$Q$6,RawData[Tour/Site],$Q$2,RawData[[Picker ID ]],$Q$3,RawData[Checker ID],$Q$4,RawData[[Error Type ]],$Q$5))</f>
        <v/>
      </c>
    </row>
    <row r="14436" spans="15:15" x14ac:dyDescent="0.25">
      <c r="O14436" s="20" t="str">
        <f>IF(N14436="","",COUNTIFS(RawData[[Date ]],N14436,RawData[Month List],$Q$6,RawData[Tour/Site],$Q$2,RawData[[Picker ID ]],$Q$3,RawData[Checker ID],$Q$4,RawData[[Error Type ]],$Q$5))</f>
        <v/>
      </c>
    </row>
    <row r="14437" spans="15:15" x14ac:dyDescent="0.25">
      <c r="O14437" s="20" t="str">
        <f>IF(N14437="","",COUNTIFS(RawData[[Date ]],N14437,RawData[Month List],$Q$6,RawData[Tour/Site],$Q$2,RawData[[Picker ID ]],$Q$3,RawData[Checker ID],$Q$4,RawData[[Error Type ]],$Q$5))</f>
        <v/>
      </c>
    </row>
    <row r="14438" spans="15:15" x14ac:dyDescent="0.25">
      <c r="O14438" s="20" t="str">
        <f>IF(N14438="","",COUNTIFS(RawData[[Date ]],N14438,RawData[Month List],$Q$6,RawData[Tour/Site],$Q$2,RawData[[Picker ID ]],$Q$3,RawData[Checker ID],$Q$4,RawData[[Error Type ]],$Q$5))</f>
        <v/>
      </c>
    </row>
    <row r="14439" spans="15:15" x14ac:dyDescent="0.25">
      <c r="O14439" s="20" t="str">
        <f>IF(N14439="","",COUNTIFS(RawData[[Date ]],N14439,RawData[Month List],$Q$6,RawData[Tour/Site],$Q$2,RawData[[Picker ID ]],$Q$3,RawData[Checker ID],$Q$4,RawData[[Error Type ]],$Q$5))</f>
        <v/>
      </c>
    </row>
    <row r="14440" spans="15:15" x14ac:dyDescent="0.25">
      <c r="O14440" s="20" t="str">
        <f>IF(N14440="","",COUNTIFS(RawData[[Date ]],N14440,RawData[Month List],$Q$6,RawData[Tour/Site],$Q$2,RawData[[Picker ID ]],$Q$3,RawData[Checker ID],$Q$4,RawData[[Error Type ]],$Q$5))</f>
        <v/>
      </c>
    </row>
    <row r="14441" spans="15:15" x14ac:dyDescent="0.25">
      <c r="O14441" s="20" t="str">
        <f>IF(N14441="","",COUNTIFS(RawData[[Date ]],N14441,RawData[Month List],$Q$6,RawData[Tour/Site],$Q$2,RawData[[Picker ID ]],$Q$3,RawData[Checker ID],$Q$4,RawData[[Error Type ]],$Q$5))</f>
        <v/>
      </c>
    </row>
    <row r="14442" spans="15:15" x14ac:dyDescent="0.25">
      <c r="O14442" s="20" t="str">
        <f>IF(N14442="","",COUNTIFS(RawData[[Date ]],N14442,RawData[Month List],$Q$6,RawData[Tour/Site],$Q$2,RawData[[Picker ID ]],$Q$3,RawData[Checker ID],$Q$4,RawData[[Error Type ]],$Q$5))</f>
        <v/>
      </c>
    </row>
    <row r="14443" spans="15:15" x14ac:dyDescent="0.25">
      <c r="O14443" s="20" t="str">
        <f>IF(N14443="","",COUNTIFS(RawData[[Date ]],N14443,RawData[Month List],$Q$6,RawData[Tour/Site],$Q$2,RawData[[Picker ID ]],$Q$3,RawData[Checker ID],$Q$4,RawData[[Error Type ]],$Q$5))</f>
        <v/>
      </c>
    </row>
    <row r="14444" spans="15:15" x14ac:dyDescent="0.25">
      <c r="O14444" s="20" t="str">
        <f>IF(N14444="","",COUNTIFS(RawData[[Date ]],N14444,RawData[Month List],$Q$6,RawData[Tour/Site],$Q$2,RawData[[Picker ID ]],$Q$3,RawData[Checker ID],$Q$4,RawData[[Error Type ]],$Q$5))</f>
        <v/>
      </c>
    </row>
    <row r="14445" spans="15:15" x14ac:dyDescent="0.25">
      <c r="O14445" s="20" t="str">
        <f>IF(N14445="","",COUNTIFS(RawData[[Date ]],N14445,RawData[Month List],$Q$6,RawData[Tour/Site],$Q$2,RawData[[Picker ID ]],$Q$3,RawData[Checker ID],$Q$4,RawData[[Error Type ]],$Q$5))</f>
        <v/>
      </c>
    </row>
    <row r="14446" spans="15:15" x14ac:dyDescent="0.25">
      <c r="O14446" s="20" t="str">
        <f>IF(N14446="","",COUNTIFS(RawData[[Date ]],N14446,RawData[Month List],$Q$6,RawData[Tour/Site],$Q$2,RawData[[Picker ID ]],$Q$3,RawData[Checker ID],$Q$4,RawData[[Error Type ]],$Q$5))</f>
        <v/>
      </c>
    </row>
    <row r="14447" spans="15:15" x14ac:dyDescent="0.25">
      <c r="O14447" s="20" t="str">
        <f>IF(N14447="","",COUNTIFS(RawData[[Date ]],N14447,RawData[Month List],$Q$6,RawData[Tour/Site],$Q$2,RawData[[Picker ID ]],$Q$3,RawData[Checker ID],$Q$4,RawData[[Error Type ]],$Q$5))</f>
        <v/>
      </c>
    </row>
    <row r="14448" spans="15:15" x14ac:dyDescent="0.25">
      <c r="O14448" s="20" t="str">
        <f>IF(N14448="","",COUNTIFS(RawData[[Date ]],N14448,RawData[Month List],$Q$6,RawData[Tour/Site],$Q$2,RawData[[Picker ID ]],$Q$3,RawData[Checker ID],$Q$4,RawData[[Error Type ]],$Q$5))</f>
        <v/>
      </c>
    </row>
    <row r="14449" spans="15:15" x14ac:dyDescent="0.25">
      <c r="O14449" s="20" t="str">
        <f>IF(N14449="","",COUNTIFS(RawData[[Date ]],N14449,RawData[Month List],$Q$6,RawData[Tour/Site],$Q$2,RawData[[Picker ID ]],$Q$3,RawData[Checker ID],$Q$4,RawData[[Error Type ]],$Q$5))</f>
        <v/>
      </c>
    </row>
    <row r="14450" spans="15:15" x14ac:dyDescent="0.25">
      <c r="O14450" s="20" t="str">
        <f>IF(N14450="","",COUNTIFS(RawData[[Date ]],N14450,RawData[Month List],$Q$6,RawData[Tour/Site],$Q$2,RawData[[Picker ID ]],$Q$3,RawData[Checker ID],$Q$4,RawData[[Error Type ]],$Q$5))</f>
        <v/>
      </c>
    </row>
    <row r="14451" spans="15:15" x14ac:dyDescent="0.25">
      <c r="O14451" s="20" t="str">
        <f>IF(N14451="","",COUNTIFS(RawData[[Date ]],N14451,RawData[Month List],$Q$6,RawData[Tour/Site],$Q$2,RawData[[Picker ID ]],$Q$3,RawData[Checker ID],$Q$4,RawData[[Error Type ]],$Q$5))</f>
        <v/>
      </c>
    </row>
    <row r="14452" spans="15:15" x14ac:dyDescent="0.25">
      <c r="O14452" s="20" t="str">
        <f>IF(N14452="","",COUNTIFS(RawData[[Date ]],N14452,RawData[Month List],$Q$6,RawData[Tour/Site],$Q$2,RawData[[Picker ID ]],$Q$3,RawData[Checker ID],$Q$4,RawData[[Error Type ]],$Q$5))</f>
        <v/>
      </c>
    </row>
    <row r="14453" spans="15:15" x14ac:dyDescent="0.25">
      <c r="O14453" s="20" t="str">
        <f>IF(N14453="","",COUNTIFS(RawData[[Date ]],N14453,RawData[Month List],$Q$6,RawData[Tour/Site],$Q$2,RawData[[Picker ID ]],$Q$3,RawData[Checker ID],$Q$4,RawData[[Error Type ]],$Q$5))</f>
        <v/>
      </c>
    </row>
    <row r="14454" spans="15:15" x14ac:dyDescent="0.25">
      <c r="O14454" s="20" t="str">
        <f>IF(N14454="","",COUNTIFS(RawData[[Date ]],N14454,RawData[Month List],$Q$6,RawData[Tour/Site],$Q$2,RawData[[Picker ID ]],$Q$3,RawData[Checker ID],$Q$4,RawData[[Error Type ]],$Q$5))</f>
        <v/>
      </c>
    </row>
    <row r="14455" spans="15:15" x14ac:dyDescent="0.25">
      <c r="O14455" s="20" t="str">
        <f>IF(N14455="","",COUNTIFS(RawData[[Date ]],N14455,RawData[Month List],$Q$6,RawData[Tour/Site],$Q$2,RawData[[Picker ID ]],$Q$3,RawData[Checker ID],$Q$4,RawData[[Error Type ]],$Q$5))</f>
        <v/>
      </c>
    </row>
    <row r="14456" spans="15:15" x14ac:dyDescent="0.25">
      <c r="O14456" s="20" t="str">
        <f>IF(N14456="","",COUNTIFS(RawData[[Date ]],N14456,RawData[Month List],$Q$6,RawData[Tour/Site],$Q$2,RawData[[Picker ID ]],$Q$3,RawData[Checker ID],$Q$4,RawData[[Error Type ]],$Q$5))</f>
        <v/>
      </c>
    </row>
    <row r="14457" spans="15:15" x14ac:dyDescent="0.25">
      <c r="O14457" s="20" t="str">
        <f>IF(N14457="","",COUNTIFS(RawData[[Date ]],N14457,RawData[Month List],$Q$6,RawData[Tour/Site],$Q$2,RawData[[Picker ID ]],$Q$3,RawData[Checker ID],$Q$4,RawData[[Error Type ]],$Q$5))</f>
        <v/>
      </c>
    </row>
    <row r="14458" spans="15:15" x14ac:dyDescent="0.25">
      <c r="O14458" s="20" t="str">
        <f>IF(N14458="","",COUNTIFS(RawData[[Date ]],N14458,RawData[Month List],$Q$6,RawData[Tour/Site],$Q$2,RawData[[Picker ID ]],$Q$3,RawData[Checker ID],$Q$4,RawData[[Error Type ]],$Q$5))</f>
        <v/>
      </c>
    </row>
    <row r="14459" spans="15:15" x14ac:dyDescent="0.25">
      <c r="O14459" s="20" t="str">
        <f>IF(N14459="","",COUNTIFS(RawData[[Date ]],N14459,RawData[Month List],$Q$6,RawData[Tour/Site],$Q$2,RawData[[Picker ID ]],$Q$3,RawData[Checker ID],$Q$4,RawData[[Error Type ]],$Q$5))</f>
        <v/>
      </c>
    </row>
    <row r="14460" spans="15:15" x14ac:dyDescent="0.25">
      <c r="O14460" s="20" t="str">
        <f>IF(N14460="","",COUNTIFS(RawData[[Date ]],N14460,RawData[Month List],$Q$6,RawData[Tour/Site],$Q$2,RawData[[Picker ID ]],$Q$3,RawData[Checker ID],$Q$4,RawData[[Error Type ]],$Q$5))</f>
        <v/>
      </c>
    </row>
    <row r="14461" spans="15:15" x14ac:dyDescent="0.25">
      <c r="O14461" s="20" t="str">
        <f>IF(N14461="","",COUNTIFS(RawData[[Date ]],N14461,RawData[Month List],$Q$6,RawData[Tour/Site],$Q$2,RawData[[Picker ID ]],$Q$3,RawData[Checker ID],$Q$4,RawData[[Error Type ]],$Q$5))</f>
        <v/>
      </c>
    </row>
    <row r="14462" spans="15:15" x14ac:dyDescent="0.25">
      <c r="O14462" s="20" t="str">
        <f>IF(N14462="","",COUNTIFS(RawData[[Date ]],N14462,RawData[Month List],$Q$6,RawData[Tour/Site],$Q$2,RawData[[Picker ID ]],$Q$3,RawData[Checker ID],$Q$4,RawData[[Error Type ]],$Q$5))</f>
        <v/>
      </c>
    </row>
    <row r="14463" spans="15:15" x14ac:dyDescent="0.25">
      <c r="O14463" s="20" t="str">
        <f>IF(N14463="","",COUNTIFS(RawData[[Date ]],N14463,RawData[Month List],$Q$6,RawData[Tour/Site],$Q$2,RawData[[Picker ID ]],$Q$3,RawData[Checker ID],$Q$4,RawData[[Error Type ]],$Q$5))</f>
        <v/>
      </c>
    </row>
    <row r="14464" spans="15:15" x14ac:dyDescent="0.25">
      <c r="O14464" s="20" t="str">
        <f>IF(N14464="","",COUNTIFS(RawData[[Date ]],N14464,RawData[Month List],$Q$6,RawData[Tour/Site],$Q$2,RawData[[Picker ID ]],$Q$3,RawData[Checker ID],$Q$4,RawData[[Error Type ]],$Q$5))</f>
        <v/>
      </c>
    </row>
    <row r="14465" spans="15:15" x14ac:dyDescent="0.25">
      <c r="O14465" s="20" t="str">
        <f>IF(N14465="","",COUNTIFS(RawData[[Date ]],N14465,RawData[Month List],$Q$6,RawData[Tour/Site],$Q$2,RawData[[Picker ID ]],$Q$3,RawData[Checker ID],$Q$4,RawData[[Error Type ]],$Q$5))</f>
        <v/>
      </c>
    </row>
    <row r="14466" spans="15:15" x14ac:dyDescent="0.25">
      <c r="O14466" s="20" t="str">
        <f>IF(N14466="","",COUNTIFS(RawData[[Date ]],N14466,RawData[Month List],$Q$6,RawData[Tour/Site],$Q$2,RawData[[Picker ID ]],$Q$3,RawData[Checker ID],$Q$4,RawData[[Error Type ]],$Q$5))</f>
        <v/>
      </c>
    </row>
    <row r="14467" spans="15:15" x14ac:dyDescent="0.25">
      <c r="O14467" s="20" t="str">
        <f>IF(N14467="","",COUNTIFS(RawData[[Date ]],N14467,RawData[Month List],$Q$6,RawData[Tour/Site],$Q$2,RawData[[Picker ID ]],$Q$3,RawData[Checker ID],$Q$4,RawData[[Error Type ]],$Q$5))</f>
        <v/>
      </c>
    </row>
    <row r="14468" spans="15:15" x14ac:dyDescent="0.25">
      <c r="O14468" s="20" t="str">
        <f>IF(N14468="","",COUNTIFS(RawData[[Date ]],N14468,RawData[Month List],$Q$6,RawData[Tour/Site],$Q$2,RawData[[Picker ID ]],$Q$3,RawData[Checker ID],$Q$4,RawData[[Error Type ]],$Q$5))</f>
        <v/>
      </c>
    </row>
    <row r="14469" spans="15:15" x14ac:dyDescent="0.25">
      <c r="O14469" s="20" t="str">
        <f>IF(N14469="","",COUNTIFS(RawData[[Date ]],N14469,RawData[Month List],$Q$6,RawData[Tour/Site],$Q$2,RawData[[Picker ID ]],$Q$3,RawData[Checker ID],$Q$4,RawData[[Error Type ]],$Q$5))</f>
        <v/>
      </c>
    </row>
    <row r="14470" spans="15:15" x14ac:dyDescent="0.25">
      <c r="O14470" s="20" t="str">
        <f>IF(N14470="","",COUNTIFS(RawData[[Date ]],N14470,RawData[Month List],$Q$6,RawData[Tour/Site],$Q$2,RawData[[Picker ID ]],$Q$3,RawData[Checker ID],$Q$4,RawData[[Error Type ]],$Q$5))</f>
        <v/>
      </c>
    </row>
    <row r="14471" spans="15:15" x14ac:dyDescent="0.25">
      <c r="O14471" s="20" t="str">
        <f>IF(N14471="","",COUNTIFS(RawData[[Date ]],N14471,RawData[Month List],$Q$6,RawData[Tour/Site],$Q$2,RawData[[Picker ID ]],$Q$3,RawData[Checker ID],$Q$4,RawData[[Error Type ]],$Q$5))</f>
        <v/>
      </c>
    </row>
    <row r="14472" spans="15:15" x14ac:dyDescent="0.25">
      <c r="O14472" s="20" t="str">
        <f>IF(N14472="","",COUNTIFS(RawData[[Date ]],N14472,RawData[Month List],$Q$6,RawData[Tour/Site],$Q$2,RawData[[Picker ID ]],$Q$3,RawData[Checker ID],$Q$4,RawData[[Error Type ]],$Q$5))</f>
        <v/>
      </c>
    </row>
    <row r="14473" spans="15:15" x14ac:dyDescent="0.25">
      <c r="O14473" s="20" t="str">
        <f>IF(N14473="","",COUNTIFS(RawData[[Date ]],N14473,RawData[Month List],$Q$6,RawData[Tour/Site],$Q$2,RawData[[Picker ID ]],$Q$3,RawData[Checker ID],$Q$4,RawData[[Error Type ]],$Q$5))</f>
        <v/>
      </c>
    </row>
    <row r="14474" spans="15:15" x14ac:dyDescent="0.25">
      <c r="O14474" s="20" t="str">
        <f>IF(N14474="","",COUNTIFS(RawData[[Date ]],N14474,RawData[Month List],$Q$6,RawData[Tour/Site],$Q$2,RawData[[Picker ID ]],$Q$3,RawData[Checker ID],$Q$4,RawData[[Error Type ]],$Q$5))</f>
        <v/>
      </c>
    </row>
    <row r="14475" spans="15:15" x14ac:dyDescent="0.25">
      <c r="O14475" s="20" t="str">
        <f>IF(N14475="","",COUNTIFS(RawData[[Date ]],N14475,RawData[Month List],$Q$6,RawData[Tour/Site],$Q$2,RawData[[Picker ID ]],$Q$3,RawData[Checker ID],$Q$4,RawData[[Error Type ]],$Q$5))</f>
        <v/>
      </c>
    </row>
    <row r="14476" spans="15:15" x14ac:dyDescent="0.25">
      <c r="O14476" s="20" t="str">
        <f>IF(N14476="","",COUNTIFS(RawData[[Date ]],N14476,RawData[Month List],$Q$6,RawData[Tour/Site],$Q$2,RawData[[Picker ID ]],$Q$3,RawData[Checker ID],$Q$4,RawData[[Error Type ]],$Q$5))</f>
        <v/>
      </c>
    </row>
    <row r="14477" spans="15:15" x14ac:dyDescent="0.25">
      <c r="O14477" s="20" t="str">
        <f>IF(N14477="","",COUNTIFS(RawData[[Date ]],N14477,RawData[Month List],$Q$6,RawData[Tour/Site],$Q$2,RawData[[Picker ID ]],$Q$3,RawData[Checker ID],$Q$4,RawData[[Error Type ]],$Q$5))</f>
        <v/>
      </c>
    </row>
    <row r="14478" spans="15:15" x14ac:dyDescent="0.25">
      <c r="O14478" s="20" t="str">
        <f>IF(N14478="","",COUNTIFS(RawData[[Date ]],N14478,RawData[Month List],$Q$6,RawData[Tour/Site],$Q$2,RawData[[Picker ID ]],$Q$3,RawData[Checker ID],$Q$4,RawData[[Error Type ]],$Q$5))</f>
        <v/>
      </c>
    </row>
    <row r="14479" spans="15:15" x14ac:dyDescent="0.25">
      <c r="O14479" s="20" t="str">
        <f>IF(N14479="","",COUNTIFS(RawData[[Date ]],N14479,RawData[Month List],$Q$6,RawData[Tour/Site],$Q$2,RawData[[Picker ID ]],$Q$3,RawData[Checker ID],$Q$4,RawData[[Error Type ]],$Q$5))</f>
        <v/>
      </c>
    </row>
    <row r="14480" spans="15:15" x14ac:dyDescent="0.25">
      <c r="O14480" s="20" t="str">
        <f>IF(N14480="","",COUNTIFS(RawData[[Date ]],N14480,RawData[Month List],$Q$6,RawData[Tour/Site],$Q$2,RawData[[Picker ID ]],$Q$3,RawData[Checker ID],$Q$4,RawData[[Error Type ]],$Q$5))</f>
        <v/>
      </c>
    </row>
    <row r="14481" spans="15:15" x14ac:dyDescent="0.25">
      <c r="O14481" s="20" t="str">
        <f>IF(N14481="","",COUNTIFS(RawData[[Date ]],N14481,RawData[Month List],$Q$6,RawData[Tour/Site],$Q$2,RawData[[Picker ID ]],$Q$3,RawData[Checker ID],$Q$4,RawData[[Error Type ]],$Q$5))</f>
        <v/>
      </c>
    </row>
    <row r="14482" spans="15:15" x14ac:dyDescent="0.25">
      <c r="O14482" s="20" t="str">
        <f>IF(N14482="","",COUNTIFS(RawData[[Date ]],N14482,RawData[Month List],$Q$6,RawData[Tour/Site],$Q$2,RawData[[Picker ID ]],$Q$3,RawData[Checker ID],$Q$4,RawData[[Error Type ]],$Q$5))</f>
        <v/>
      </c>
    </row>
    <row r="14483" spans="15:15" x14ac:dyDescent="0.25">
      <c r="O14483" s="20" t="str">
        <f>IF(N14483="","",COUNTIFS(RawData[[Date ]],N14483,RawData[Month List],$Q$6,RawData[Tour/Site],$Q$2,RawData[[Picker ID ]],$Q$3,RawData[Checker ID],$Q$4,RawData[[Error Type ]],$Q$5))</f>
        <v/>
      </c>
    </row>
    <row r="14484" spans="15:15" x14ac:dyDescent="0.25">
      <c r="O14484" s="20" t="str">
        <f>IF(N14484="","",COUNTIFS(RawData[[Date ]],N14484,RawData[Month List],$Q$6,RawData[Tour/Site],$Q$2,RawData[[Picker ID ]],$Q$3,RawData[Checker ID],$Q$4,RawData[[Error Type ]],$Q$5))</f>
        <v/>
      </c>
    </row>
    <row r="14485" spans="15:15" x14ac:dyDescent="0.25">
      <c r="O14485" s="20" t="str">
        <f>IF(N14485="","",COUNTIFS(RawData[[Date ]],N14485,RawData[Month List],$Q$6,RawData[Tour/Site],$Q$2,RawData[[Picker ID ]],$Q$3,RawData[Checker ID],$Q$4,RawData[[Error Type ]],$Q$5))</f>
        <v/>
      </c>
    </row>
    <row r="14486" spans="15:15" x14ac:dyDescent="0.25">
      <c r="O14486" s="20" t="str">
        <f>IF(N14486="","",COUNTIFS(RawData[[Date ]],N14486,RawData[Month List],$Q$6,RawData[Tour/Site],$Q$2,RawData[[Picker ID ]],$Q$3,RawData[Checker ID],$Q$4,RawData[[Error Type ]],$Q$5))</f>
        <v/>
      </c>
    </row>
    <row r="14487" spans="15:15" x14ac:dyDescent="0.25">
      <c r="O14487" s="20" t="str">
        <f>IF(N14487="","",COUNTIFS(RawData[[Date ]],N14487,RawData[Month List],$Q$6,RawData[Tour/Site],$Q$2,RawData[[Picker ID ]],$Q$3,RawData[Checker ID],$Q$4,RawData[[Error Type ]],$Q$5))</f>
        <v/>
      </c>
    </row>
    <row r="14488" spans="15:15" x14ac:dyDescent="0.25">
      <c r="O14488" s="20" t="str">
        <f>IF(N14488="","",COUNTIFS(RawData[[Date ]],N14488,RawData[Month List],$Q$6,RawData[Tour/Site],$Q$2,RawData[[Picker ID ]],$Q$3,RawData[Checker ID],$Q$4,RawData[[Error Type ]],$Q$5))</f>
        <v/>
      </c>
    </row>
    <row r="14489" spans="15:15" x14ac:dyDescent="0.25">
      <c r="O14489" s="20" t="str">
        <f>IF(N14489="","",COUNTIFS(RawData[[Date ]],N14489,RawData[Month List],$Q$6,RawData[Tour/Site],$Q$2,RawData[[Picker ID ]],$Q$3,RawData[Checker ID],$Q$4,RawData[[Error Type ]],$Q$5))</f>
        <v/>
      </c>
    </row>
    <row r="14490" spans="15:15" x14ac:dyDescent="0.25">
      <c r="O14490" s="20" t="str">
        <f>IF(N14490="","",COUNTIFS(RawData[[Date ]],N14490,RawData[Month List],$Q$6,RawData[Tour/Site],$Q$2,RawData[[Picker ID ]],$Q$3,RawData[Checker ID],$Q$4,RawData[[Error Type ]],$Q$5))</f>
        <v/>
      </c>
    </row>
    <row r="14491" spans="15:15" x14ac:dyDescent="0.25">
      <c r="O14491" s="20" t="str">
        <f>IF(N14491="","",COUNTIFS(RawData[[Date ]],N14491,RawData[Month List],$Q$6,RawData[Tour/Site],$Q$2,RawData[[Picker ID ]],$Q$3,RawData[Checker ID],$Q$4,RawData[[Error Type ]],$Q$5))</f>
        <v/>
      </c>
    </row>
    <row r="14492" spans="15:15" x14ac:dyDescent="0.25">
      <c r="O14492" s="20" t="str">
        <f>IF(N14492="","",COUNTIFS(RawData[[Date ]],N14492,RawData[Month List],$Q$6,RawData[Tour/Site],$Q$2,RawData[[Picker ID ]],$Q$3,RawData[Checker ID],$Q$4,RawData[[Error Type ]],$Q$5))</f>
        <v/>
      </c>
    </row>
    <row r="14493" spans="15:15" x14ac:dyDescent="0.25">
      <c r="O14493" s="20" t="str">
        <f>IF(N14493="","",COUNTIFS(RawData[[Date ]],N14493,RawData[Month List],$Q$6,RawData[Tour/Site],$Q$2,RawData[[Picker ID ]],$Q$3,RawData[Checker ID],$Q$4,RawData[[Error Type ]],$Q$5))</f>
        <v/>
      </c>
    </row>
    <row r="14494" spans="15:15" x14ac:dyDescent="0.25">
      <c r="O14494" s="20" t="str">
        <f>IF(N14494="","",COUNTIFS(RawData[[Date ]],N14494,RawData[Month List],$Q$6,RawData[Tour/Site],$Q$2,RawData[[Picker ID ]],$Q$3,RawData[Checker ID],$Q$4,RawData[[Error Type ]],$Q$5))</f>
        <v/>
      </c>
    </row>
    <row r="14495" spans="15:15" x14ac:dyDescent="0.25">
      <c r="O14495" s="20" t="str">
        <f>IF(N14495="","",COUNTIFS(RawData[[Date ]],N14495,RawData[Month List],$Q$6,RawData[Tour/Site],$Q$2,RawData[[Picker ID ]],$Q$3,RawData[Checker ID],$Q$4,RawData[[Error Type ]],$Q$5))</f>
        <v/>
      </c>
    </row>
    <row r="14496" spans="15:15" x14ac:dyDescent="0.25">
      <c r="O14496" s="20" t="str">
        <f>IF(N14496="","",COUNTIFS(RawData[[Date ]],N14496,RawData[Month List],$Q$6,RawData[Tour/Site],$Q$2,RawData[[Picker ID ]],$Q$3,RawData[Checker ID],$Q$4,RawData[[Error Type ]],$Q$5))</f>
        <v/>
      </c>
    </row>
    <row r="14497" spans="15:15" x14ac:dyDescent="0.25">
      <c r="O14497" s="20" t="str">
        <f>IF(N14497="","",COUNTIFS(RawData[[Date ]],N14497,RawData[Month List],$Q$6,RawData[Tour/Site],$Q$2,RawData[[Picker ID ]],$Q$3,RawData[Checker ID],$Q$4,RawData[[Error Type ]],$Q$5))</f>
        <v/>
      </c>
    </row>
    <row r="14498" spans="15:15" x14ac:dyDescent="0.25">
      <c r="O14498" s="20" t="str">
        <f>IF(N14498="","",COUNTIFS(RawData[[Date ]],N14498,RawData[Month List],$Q$6,RawData[Tour/Site],$Q$2,RawData[[Picker ID ]],$Q$3,RawData[Checker ID],$Q$4,RawData[[Error Type ]],$Q$5))</f>
        <v/>
      </c>
    </row>
    <row r="14499" spans="15:15" x14ac:dyDescent="0.25">
      <c r="O14499" s="20" t="str">
        <f>IF(N14499="","",COUNTIFS(RawData[[Date ]],N14499,RawData[Month List],$Q$6,RawData[Tour/Site],$Q$2,RawData[[Picker ID ]],$Q$3,RawData[Checker ID],$Q$4,RawData[[Error Type ]],$Q$5))</f>
        <v/>
      </c>
    </row>
    <row r="14500" spans="15:15" x14ac:dyDescent="0.25">
      <c r="O14500" s="20" t="str">
        <f>IF(N14500="","",COUNTIFS(RawData[[Date ]],N14500,RawData[Month List],$Q$6,RawData[Tour/Site],$Q$2,RawData[[Picker ID ]],$Q$3,RawData[Checker ID],$Q$4,RawData[[Error Type ]],$Q$5))</f>
        <v/>
      </c>
    </row>
    <row r="14501" spans="15:15" x14ac:dyDescent="0.25">
      <c r="O14501" s="20" t="str">
        <f>IF(N14501="","",COUNTIFS(RawData[[Date ]],N14501,RawData[Month List],$Q$6,RawData[Tour/Site],$Q$2,RawData[[Picker ID ]],$Q$3,RawData[Checker ID],$Q$4,RawData[[Error Type ]],$Q$5))</f>
        <v/>
      </c>
    </row>
    <row r="14502" spans="15:15" x14ac:dyDescent="0.25">
      <c r="O14502" s="20" t="str">
        <f>IF(N14502="","",COUNTIFS(RawData[[Date ]],N14502,RawData[Month List],$Q$6,RawData[Tour/Site],$Q$2,RawData[[Picker ID ]],$Q$3,RawData[Checker ID],$Q$4,RawData[[Error Type ]],$Q$5))</f>
        <v/>
      </c>
    </row>
    <row r="14503" spans="15:15" x14ac:dyDescent="0.25">
      <c r="O14503" s="20" t="str">
        <f>IF(N14503="","",COUNTIFS(RawData[[Date ]],N14503,RawData[Month List],$Q$6,RawData[Tour/Site],$Q$2,RawData[[Picker ID ]],$Q$3,RawData[Checker ID],$Q$4,RawData[[Error Type ]],$Q$5))</f>
        <v/>
      </c>
    </row>
    <row r="14504" spans="15:15" x14ac:dyDescent="0.25">
      <c r="O14504" s="20" t="str">
        <f>IF(N14504="","",COUNTIFS(RawData[[Date ]],N14504,RawData[Month List],$Q$6,RawData[Tour/Site],$Q$2,RawData[[Picker ID ]],$Q$3,RawData[Checker ID],$Q$4,RawData[[Error Type ]],$Q$5))</f>
        <v/>
      </c>
    </row>
    <row r="14505" spans="15:15" x14ac:dyDescent="0.25">
      <c r="O14505" s="20" t="str">
        <f>IF(N14505="","",COUNTIFS(RawData[[Date ]],N14505,RawData[Month List],$Q$6,RawData[Tour/Site],$Q$2,RawData[[Picker ID ]],$Q$3,RawData[Checker ID],$Q$4,RawData[[Error Type ]],$Q$5))</f>
        <v/>
      </c>
    </row>
    <row r="14506" spans="15:15" x14ac:dyDescent="0.25">
      <c r="O14506" s="20" t="str">
        <f>IF(N14506="","",COUNTIFS(RawData[[Date ]],N14506,RawData[Month List],$Q$6,RawData[Tour/Site],$Q$2,RawData[[Picker ID ]],$Q$3,RawData[Checker ID],$Q$4,RawData[[Error Type ]],$Q$5))</f>
        <v/>
      </c>
    </row>
    <row r="14507" spans="15:15" x14ac:dyDescent="0.25">
      <c r="O14507" s="20" t="str">
        <f>IF(N14507="","",COUNTIFS(RawData[[Date ]],N14507,RawData[Month List],$Q$6,RawData[Tour/Site],$Q$2,RawData[[Picker ID ]],$Q$3,RawData[Checker ID],$Q$4,RawData[[Error Type ]],$Q$5))</f>
        <v/>
      </c>
    </row>
    <row r="14508" spans="15:15" x14ac:dyDescent="0.25">
      <c r="O14508" s="20" t="str">
        <f>IF(N14508="","",COUNTIFS(RawData[[Date ]],N14508,RawData[Month List],$Q$6,RawData[Tour/Site],$Q$2,RawData[[Picker ID ]],$Q$3,RawData[Checker ID],$Q$4,RawData[[Error Type ]],$Q$5))</f>
        <v/>
      </c>
    </row>
    <row r="14509" spans="15:15" x14ac:dyDescent="0.25">
      <c r="O14509" s="20" t="str">
        <f>IF(N14509="","",COUNTIFS(RawData[[Date ]],N14509,RawData[Month List],$Q$6,RawData[Tour/Site],$Q$2,RawData[[Picker ID ]],$Q$3,RawData[Checker ID],$Q$4,RawData[[Error Type ]],$Q$5))</f>
        <v/>
      </c>
    </row>
    <row r="14510" spans="15:15" x14ac:dyDescent="0.25">
      <c r="O14510" s="20" t="str">
        <f>IF(N14510="","",COUNTIFS(RawData[[Date ]],N14510,RawData[Month List],$Q$6,RawData[Tour/Site],$Q$2,RawData[[Picker ID ]],$Q$3,RawData[Checker ID],$Q$4,RawData[[Error Type ]],$Q$5))</f>
        <v/>
      </c>
    </row>
    <row r="14511" spans="15:15" x14ac:dyDescent="0.25">
      <c r="O14511" s="20" t="str">
        <f>IF(N14511="","",COUNTIFS(RawData[[Date ]],N14511,RawData[Month List],$Q$6,RawData[Tour/Site],$Q$2,RawData[[Picker ID ]],$Q$3,RawData[Checker ID],$Q$4,RawData[[Error Type ]],$Q$5))</f>
        <v/>
      </c>
    </row>
    <row r="14512" spans="15:15" x14ac:dyDescent="0.25">
      <c r="O14512" s="20" t="str">
        <f>IF(N14512="","",COUNTIFS(RawData[[Date ]],N14512,RawData[Month List],$Q$6,RawData[Tour/Site],$Q$2,RawData[[Picker ID ]],$Q$3,RawData[Checker ID],$Q$4,RawData[[Error Type ]],$Q$5))</f>
        <v/>
      </c>
    </row>
    <row r="14513" spans="15:15" x14ac:dyDescent="0.25">
      <c r="O14513" s="20" t="str">
        <f>IF(N14513="","",COUNTIFS(RawData[[Date ]],N14513,RawData[Month List],$Q$6,RawData[Tour/Site],$Q$2,RawData[[Picker ID ]],$Q$3,RawData[Checker ID],$Q$4,RawData[[Error Type ]],$Q$5))</f>
        <v/>
      </c>
    </row>
    <row r="14514" spans="15:15" x14ac:dyDescent="0.25">
      <c r="O14514" s="20" t="str">
        <f>IF(N14514="","",COUNTIFS(RawData[[Date ]],N14514,RawData[Month List],$Q$6,RawData[Tour/Site],$Q$2,RawData[[Picker ID ]],$Q$3,RawData[Checker ID],$Q$4,RawData[[Error Type ]],$Q$5))</f>
        <v/>
      </c>
    </row>
    <row r="14515" spans="15:15" x14ac:dyDescent="0.25">
      <c r="O14515" s="20" t="str">
        <f>IF(N14515="","",COUNTIFS(RawData[[Date ]],N14515,RawData[Month List],$Q$6,RawData[Tour/Site],$Q$2,RawData[[Picker ID ]],$Q$3,RawData[Checker ID],$Q$4,RawData[[Error Type ]],$Q$5))</f>
        <v/>
      </c>
    </row>
    <row r="14516" spans="15:15" x14ac:dyDescent="0.25">
      <c r="O14516" s="20" t="str">
        <f>IF(N14516="","",COUNTIFS(RawData[[Date ]],N14516,RawData[Month List],$Q$6,RawData[Tour/Site],$Q$2,RawData[[Picker ID ]],$Q$3,RawData[Checker ID],$Q$4,RawData[[Error Type ]],$Q$5))</f>
        <v/>
      </c>
    </row>
    <row r="14517" spans="15:15" x14ac:dyDescent="0.25">
      <c r="O14517" s="20" t="str">
        <f>IF(N14517="","",COUNTIFS(RawData[[Date ]],N14517,RawData[Month List],$Q$6,RawData[Tour/Site],$Q$2,RawData[[Picker ID ]],$Q$3,RawData[Checker ID],$Q$4,RawData[[Error Type ]],$Q$5))</f>
        <v/>
      </c>
    </row>
    <row r="14518" spans="15:15" x14ac:dyDescent="0.25">
      <c r="O14518" s="20" t="str">
        <f>IF(N14518="","",COUNTIFS(RawData[[Date ]],N14518,RawData[Month List],$Q$6,RawData[Tour/Site],$Q$2,RawData[[Picker ID ]],$Q$3,RawData[Checker ID],$Q$4,RawData[[Error Type ]],$Q$5))</f>
        <v/>
      </c>
    </row>
    <row r="14519" spans="15:15" x14ac:dyDescent="0.25">
      <c r="O14519" s="20" t="str">
        <f>IF(N14519="","",COUNTIFS(RawData[[Date ]],N14519,RawData[Month List],$Q$6,RawData[Tour/Site],$Q$2,RawData[[Picker ID ]],$Q$3,RawData[Checker ID],$Q$4,RawData[[Error Type ]],$Q$5))</f>
        <v/>
      </c>
    </row>
    <row r="14520" spans="15:15" x14ac:dyDescent="0.25">
      <c r="O14520" s="20" t="str">
        <f>IF(N14520="","",COUNTIFS(RawData[[Date ]],N14520,RawData[Month List],$Q$6,RawData[Tour/Site],$Q$2,RawData[[Picker ID ]],$Q$3,RawData[Checker ID],$Q$4,RawData[[Error Type ]],$Q$5))</f>
        <v/>
      </c>
    </row>
    <row r="14521" spans="15:15" x14ac:dyDescent="0.25">
      <c r="O14521" s="20" t="str">
        <f>IF(N14521="","",COUNTIFS(RawData[[Date ]],N14521,RawData[Month List],$Q$6,RawData[Tour/Site],$Q$2,RawData[[Picker ID ]],$Q$3,RawData[Checker ID],$Q$4,RawData[[Error Type ]],$Q$5))</f>
        <v/>
      </c>
    </row>
    <row r="14522" spans="15:15" x14ac:dyDescent="0.25">
      <c r="O14522" s="20" t="str">
        <f>IF(N14522="","",COUNTIFS(RawData[[Date ]],N14522,RawData[Month List],$Q$6,RawData[Tour/Site],$Q$2,RawData[[Picker ID ]],$Q$3,RawData[Checker ID],$Q$4,RawData[[Error Type ]],$Q$5))</f>
        <v/>
      </c>
    </row>
    <row r="14523" spans="15:15" x14ac:dyDescent="0.25">
      <c r="O14523" s="20" t="str">
        <f>IF(N14523="","",COUNTIFS(RawData[[Date ]],N14523,RawData[Month List],$Q$6,RawData[Tour/Site],$Q$2,RawData[[Picker ID ]],$Q$3,RawData[Checker ID],$Q$4,RawData[[Error Type ]],$Q$5))</f>
        <v/>
      </c>
    </row>
    <row r="14524" spans="15:15" x14ac:dyDescent="0.25">
      <c r="O14524" s="20" t="str">
        <f>IF(N14524="","",COUNTIFS(RawData[[Date ]],N14524,RawData[Month List],$Q$6,RawData[Tour/Site],$Q$2,RawData[[Picker ID ]],$Q$3,RawData[Checker ID],$Q$4,RawData[[Error Type ]],$Q$5))</f>
        <v/>
      </c>
    </row>
    <row r="14525" spans="15:15" x14ac:dyDescent="0.25">
      <c r="O14525" s="20" t="str">
        <f>IF(N14525="","",COUNTIFS(RawData[[Date ]],N14525,RawData[Month List],$Q$6,RawData[Tour/Site],$Q$2,RawData[[Picker ID ]],$Q$3,RawData[Checker ID],$Q$4,RawData[[Error Type ]],$Q$5))</f>
        <v/>
      </c>
    </row>
    <row r="14526" spans="15:15" x14ac:dyDescent="0.25">
      <c r="O14526" s="20" t="str">
        <f>IF(N14526="","",COUNTIFS(RawData[[Date ]],N14526,RawData[Month List],$Q$6,RawData[Tour/Site],$Q$2,RawData[[Picker ID ]],$Q$3,RawData[Checker ID],$Q$4,RawData[[Error Type ]],$Q$5))</f>
        <v/>
      </c>
    </row>
    <row r="14527" spans="15:15" x14ac:dyDescent="0.25">
      <c r="O14527" s="20" t="str">
        <f>IF(N14527="","",COUNTIFS(RawData[[Date ]],N14527,RawData[Month List],$Q$6,RawData[Tour/Site],$Q$2,RawData[[Picker ID ]],$Q$3,RawData[Checker ID],$Q$4,RawData[[Error Type ]],$Q$5))</f>
        <v/>
      </c>
    </row>
    <row r="14528" spans="15:15" x14ac:dyDescent="0.25">
      <c r="O14528" s="20" t="str">
        <f>IF(N14528="","",COUNTIFS(RawData[[Date ]],N14528,RawData[Month List],$Q$6,RawData[Tour/Site],$Q$2,RawData[[Picker ID ]],$Q$3,RawData[Checker ID],$Q$4,RawData[[Error Type ]],$Q$5))</f>
        <v/>
      </c>
    </row>
    <row r="14529" spans="15:15" x14ac:dyDescent="0.25">
      <c r="O14529" s="20" t="str">
        <f>IF(N14529="","",COUNTIFS(RawData[[Date ]],N14529,RawData[Month List],$Q$6,RawData[Tour/Site],$Q$2,RawData[[Picker ID ]],$Q$3,RawData[Checker ID],$Q$4,RawData[[Error Type ]],$Q$5))</f>
        <v/>
      </c>
    </row>
    <row r="14530" spans="15:15" x14ac:dyDescent="0.25">
      <c r="O14530" s="20" t="str">
        <f>IF(N14530="","",COUNTIFS(RawData[[Date ]],N14530,RawData[Month List],$Q$6,RawData[Tour/Site],$Q$2,RawData[[Picker ID ]],$Q$3,RawData[Checker ID],$Q$4,RawData[[Error Type ]],$Q$5))</f>
        <v/>
      </c>
    </row>
    <row r="14531" spans="15:15" x14ac:dyDescent="0.25">
      <c r="O14531" s="20" t="str">
        <f>IF(N14531="","",COUNTIFS(RawData[[Date ]],N14531,RawData[Month List],$Q$6,RawData[Tour/Site],$Q$2,RawData[[Picker ID ]],$Q$3,RawData[Checker ID],$Q$4,RawData[[Error Type ]],$Q$5))</f>
        <v/>
      </c>
    </row>
    <row r="14532" spans="15:15" x14ac:dyDescent="0.25">
      <c r="O14532" s="20" t="str">
        <f>IF(N14532="","",COUNTIFS(RawData[[Date ]],N14532,RawData[Month List],$Q$6,RawData[Tour/Site],$Q$2,RawData[[Picker ID ]],$Q$3,RawData[Checker ID],$Q$4,RawData[[Error Type ]],$Q$5))</f>
        <v/>
      </c>
    </row>
    <row r="14533" spans="15:15" x14ac:dyDescent="0.25">
      <c r="O14533" s="20" t="str">
        <f>IF(N14533="","",COUNTIFS(RawData[[Date ]],N14533,RawData[Month List],$Q$6,RawData[Tour/Site],$Q$2,RawData[[Picker ID ]],$Q$3,RawData[Checker ID],$Q$4,RawData[[Error Type ]],$Q$5))</f>
        <v/>
      </c>
    </row>
    <row r="14534" spans="15:15" x14ac:dyDescent="0.25">
      <c r="O14534" s="20" t="str">
        <f>IF(N14534="","",COUNTIFS(RawData[[Date ]],N14534,RawData[Month List],$Q$6,RawData[Tour/Site],$Q$2,RawData[[Picker ID ]],$Q$3,RawData[Checker ID],$Q$4,RawData[[Error Type ]],$Q$5))</f>
        <v/>
      </c>
    </row>
    <row r="14535" spans="15:15" x14ac:dyDescent="0.25">
      <c r="O14535" s="20" t="str">
        <f>IF(N14535="","",COUNTIFS(RawData[[Date ]],N14535,RawData[Month List],$Q$6,RawData[Tour/Site],$Q$2,RawData[[Picker ID ]],$Q$3,RawData[Checker ID],$Q$4,RawData[[Error Type ]],$Q$5))</f>
        <v/>
      </c>
    </row>
    <row r="14536" spans="15:15" x14ac:dyDescent="0.25">
      <c r="O14536" s="20" t="str">
        <f>IF(N14536="","",COUNTIFS(RawData[[Date ]],N14536,RawData[Month List],$Q$6,RawData[Tour/Site],$Q$2,RawData[[Picker ID ]],$Q$3,RawData[Checker ID],$Q$4,RawData[[Error Type ]],$Q$5))</f>
        <v/>
      </c>
    </row>
    <row r="14537" spans="15:15" x14ac:dyDescent="0.25">
      <c r="O14537" s="20" t="str">
        <f>IF(N14537="","",COUNTIFS(RawData[[Date ]],N14537,RawData[Month List],$Q$6,RawData[Tour/Site],$Q$2,RawData[[Picker ID ]],$Q$3,RawData[Checker ID],$Q$4,RawData[[Error Type ]],$Q$5))</f>
        <v/>
      </c>
    </row>
    <row r="14538" spans="15:15" x14ac:dyDescent="0.25">
      <c r="O14538" s="20" t="str">
        <f>IF(N14538="","",COUNTIFS(RawData[[Date ]],N14538,RawData[Month List],$Q$6,RawData[Tour/Site],$Q$2,RawData[[Picker ID ]],$Q$3,RawData[Checker ID],$Q$4,RawData[[Error Type ]],$Q$5))</f>
        <v/>
      </c>
    </row>
    <row r="14539" spans="15:15" x14ac:dyDescent="0.25">
      <c r="O14539" s="20" t="str">
        <f>IF(N14539="","",COUNTIFS(RawData[[Date ]],N14539,RawData[Month List],$Q$6,RawData[Tour/Site],$Q$2,RawData[[Picker ID ]],$Q$3,RawData[Checker ID],$Q$4,RawData[[Error Type ]],$Q$5))</f>
        <v/>
      </c>
    </row>
    <row r="14540" spans="15:15" x14ac:dyDescent="0.25">
      <c r="O14540" s="20" t="str">
        <f>IF(N14540="","",COUNTIFS(RawData[[Date ]],N14540,RawData[Month List],$Q$6,RawData[Tour/Site],$Q$2,RawData[[Picker ID ]],$Q$3,RawData[Checker ID],$Q$4,RawData[[Error Type ]],$Q$5))</f>
        <v/>
      </c>
    </row>
    <row r="14541" spans="15:15" x14ac:dyDescent="0.25">
      <c r="O14541" s="20" t="str">
        <f>IF(N14541="","",COUNTIFS(RawData[[Date ]],N14541,RawData[Month List],$Q$6,RawData[Tour/Site],$Q$2,RawData[[Picker ID ]],$Q$3,RawData[Checker ID],$Q$4,RawData[[Error Type ]],$Q$5))</f>
        <v/>
      </c>
    </row>
    <row r="14542" spans="15:15" x14ac:dyDescent="0.25">
      <c r="O14542" s="20" t="str">
        <f>IF(N14542="","",COUNTIFS(RawData[[Date ]],N14542,RawData[Month List],$Q$6,RawData[Tour/Site],$Q$2,RawData[[Picker ID ]],$Q$3,RawData[Checker ID],$Q$4,RawData[[Error Type ]],$Q$5))</f>
        <v/>
      </c>
    </row>
    <row r="14543" spans="15:15" x14ac:dyDescent="0.25">
      <c r="O14543" s="20" t="str">
        <f>IF(N14543="","",COUNTIFS(RawData[[Date ]],N14543,RawData[Month List],$Q$6,RawData[Tour/Site],$Q$2,RawData[[Picker ID ]],$Q$3,RawData[Checker ID],$Q$4,RawData[[Error Type ]],$Q$5))</f>
        <v/>
      </c>
    </row>
    <row r="14544" spans="15:15" x14ac:dyDescent="0.25">
      <c r="O14544" s="20" t="str">
        <f>IF(N14544="","",COUNTIFS(RawData[[Date ]],N14544,RawData[Month List],$Q$6,RawData[Tour/Site],$Q$2,RawData[[Picker ID ]],$Q$3,RawData[Checker ID],$Q$4,RawData[[Error Type ]],$Q$5))</f>
        <v/>
      </c>
    </row>
    <row r="14545" spans="15:15" x14ac:dyDescent="0.25">
      <c r="O14545" s="20" t="str">
        <f>IF(N14545="","",COUNTIFS(RawData[[Date ]],N14545,RawData[Month List],$Q$6,RawData[Tour/Site],$Q$2,RawData[[Picker ID ]],$Q$3,RawData[Checker ID],$Q$4,RawData[[Error Type ]],$Q$5))</f>
        <v/>
      </c>
    </row>
    <row r="14546" spans="15:15" x14ac:dyDescent="0.25">
      <c r="O14546" s="20" t="str">
        <f>IF(N14546="","",COUNTIFS(RawData[[Date ]],N14546,RawData[Month List],$Q$6,RawData[Tour/Site],$Q$2,RawData[[Picker ID ]],$Q$3,RawData[Checker ID],$Q$4,RawData[[Error Type ]],$Q$5))</f>
        <v/>
      </c>
    </row>
    <row r="14547" spans="15:15" x14ac:dyDescent="0.25">
      <c r="O14547" s="20" t="str">
        <f>IF(N14547="","",COUNTIFS(RawData[[Date ]],N14547,RawData[Month List],$Q$6,RawData[Tour/Site],$Q$2,RawData[[Picker ID ]],$Q$3,RawData[Checker ID],$Q$4,RawData[[Error Type ]],$Q$5))</f>
        <v/>
      </c>
    </row>
    <row r="14548" spans="15:15" x14ac:dyDescent="0.25">
      <c r="O14548" s="20" t="str">
        <f>IF(N14548="","",COUNTIFS(RawData[[Date ]],N14548,RawData[Month List],$Q$6,RawData[Tour/Site],$Q$2,RawData[[Picker ID ]],$Q$3,RawData[Checker ID],$Q$4,RawData[[Error Type ]],$Q$5))</f>
        <v/>
      </c>
    </row>
    <row r="14549" spans="15:15" x14ac:dyDescent="0.25">
      <c r="O14549" s="20" t="str">
        <f>IF(N14549="","",COUNTIFS(RawData[[Date ]],N14549,RawData[Month List],$Q$6,RawData[Tour/Site],$Q$2,RawData[[Picker ID ]],$Q$3,RawData[Checker ID],$Q$4,RawData[[Error Type ]],$Q$5))</f>
        <v/>
      </c>
    </row>
    <row r="14550" spans="15:15" x14ac:dyDescent="0.25">
      <c r="O14550" s="20" t="str">
        <f>IF(N14550="","",COUNTIFS(RawData[[Date ]],N14550,RawData[Month List],$Q$6,RawData[Tour/Site],$Q$2,RawData[[Picker ID ]],$Q$3,RawData[Checker ID],$Q$4,RawData[[Error Type ]],$Q$5))</f>
        <v/>
      </c>
    </row>
    <row r="14551" spans="15:15" x14ac:dyDescent="0.25">
      <c r="O14551" s="20" t="str">
        <f>IF(N14551="","",COUNTIFS(RawData[[Date ]],N14551,RawData[Month List],$Q$6,RawData[Tour/Site],$Q$2,RawData[[Picker ID ]],$Q$3,RawData[Checker ID],$Q$4,RawData[[Error Type ]],$Q$5))</f>
        <v/>
      </c>
    </row>
    <row r="14552" spans="15:15" x14ac:dyDescent="0.25">
      <c r="O14552" s="20" t="str">
        <f>IF(N14552="","",COUNTIFS(RawData[[Date ]],N14552,RawData[Month List],$Q$6,RawData[Tour/Site],$Q$2,RawData[[Picker ID ]],$Q$3,RawData[Checker ID],$Q$4,RawData[[Error Type ]],$Q$5))</f>
        <v/>
      </c>
    </row>
    <row r="14553" spans="15:15" x14ac:dyDescent="0.25">
      <c r="O14553" s="20" t="str">
        <f>IF(N14553="","",COUNTIFS(RawData[[Date ]],N14553,RawData[Month List],$Q$6,RawData[Tour/Site],$Q$2,RawData[[Picker ID ]],$Q$3,RawData[Checker ID],$Q$4,RawData[[Error Type ]],$Q$5))</f>
        <v/>
      </c>
    </row>
    <row r="14554" spans="15:15" x14ac:dyDescent="0.25">
      <c r="O14554" s="20" t="str">
        <f>IF(N14554="","",COUNTIFS(RawData[[Date ]],N14554,RawData[Month List],$Q$6,RawData[Tour/Site],$Q$2,RawData[[Picker ID ]],$Q$3,RawData[Checker ID],$Q$4,RawData[[Error Type ]],$Q$5))</f>
        <v/>
      </c>
    </row>
    <row r="14555" spans="15:15" x14ac:dyDescent="0.25">
      <c r="O14555" s="20" t="str">
        <f>IF(N14555="","",COUNTIFS(RawData[[Date ]],N14555,RawData[Month List],$Q$6,RawData[Tour/Site],$Q$2,RawData[[Picker ID ]],$Q$3,RawData[Checker ID],$Q$4,RawData[[Error Type ]],$Q$5))</f>
        <v/>
      </c>
    </row>
    <row r="14556" spans="15:15" x14ac:dyDescent="0.25">
      <c r="O14556" s="20" t="str">
        <f>IF(N14556="","",COUNTIFS(RawData[[Date ]],N14556,RawData[Month List],$Q$6,RawData[Tour/Site],$Q$2,RawData[[Picker ID ]],$Q$3,RawData[Checker ID],$Q$4,RawData[[Error Type ]],$Q$5))</f>
        <v/>
      </c>
    </row>
    <row r="14557" spans="15:15" x14ac:dyDescent="0.25">
      <c r="O14557" s="20" t="str">
        <f>IF(N14557="","",COUNTIFS(RawData[[Date ]],N14557,RawData[Month List],$Q$6,RawData[Tour/Site],$Q$2,RawData[[Picker ID ]],$Q$3,RawData[Checker ID],$Q$4,RawData[[Error Type ]],$Q$5))</f>
        <v/>
      </c>
    </row>
    <row r="14558" spans="15:15" x14ac:dyDescent="0.25">
      <c r="O14558" s="20" t="str">
        <f>IF(N14558="","",COUNTIFS(RawData[[Date ]],N14558,RawData[Month List],$Q$6,RawData[Tour/Site],$Q$2,RawData[[Picker ID ]],$Q$3,RawData[Checker ID],$Q$4,RawData[[Error Type ]],$Q$5))</f>
        <v/>
      </c>
    </row>
    <row r="14559" spans="15:15" x14ac:dyDescent="0.25">
      <c r="O14559" s="20" t="str">
        <f>IF(N14559="","",COUNTIFS(RawData[[Date ]],N14559,RawData[Month List],$Q$6,RawData[Tour/Site],$Q$2,RawData[[Picker ID ]],$Q$3,RawData[Checker ID],$Q$4,RawData[[Error Type ]],$Q$5))</f>
        <v/>
      </c>
    </row>
    <row r="14560" spans="15:15" x14ac:dyDescent="0.25">
      <c r="O14560" s="20" t="str">
        <f>IF(N14560="","",COUNTIFS(RawData[[Date ]],N14560,RawData[Month List],$Q$6,RawData[Tour/Site],$Q$2,RawData[[Picker ID ]],$Q$3,RawData[Checker ID],$Q$4,RawData[[Error Type ]],$Q$5))</f>
        <v/>
      </c>
    </row>
    <row r="14561" spans="15:15" x14ac:dyDescent="0.25">
      <c r="O14561" s="20" t="str">
        <f>IF(N14561="","",COUNTIFS(RawData[[Date ]],N14561,RawData[Month List],$Q$6,RawData[Tour/Site],$Q$2,RawData[[Picker ID ]],$Q$3,RawData[Checker ID],$Q$4,RawData[[Error Type ]],$Q$5))</f>
        <v/>
      </c>
    </row>
    <row r="14562" spans="15:15" x14ac:dyDescent="0.25">
      <c r="O14562" s="20" t="str">
        <f>IF(N14562="","",COUNTIFS(RawData[[Date ]],N14562,RawData[Month List],$Q$6,RawData[Tour/Site],$Q$2,RawData[[Picker ID ]],$Q$3,RawData[Checker ID],$Q$4,RawData[[Error Type ]],$Q$5))</f>
        <v/>
      </c>
    </row>
    <row r="14563" spans="15:15" x14ac:dyDescent="0.25">
      <c r="O14563" s="20" t="str">
        <f>IF(N14563="","",COUNTIFS(RawData[[Date ]],N14563,RawData[Month List],$Q$6,RawData[Tour/Site],$Q$2,RawData[[Picker ID ]],$Q$3,RawData[Checker ID],$Q$4,RawData[[Error Type ]],$Q$5))</f>
        <v/>
      </c>
    </row>
    <row r="14564" spans="15:15" x14ac:dyDescent="0.25">
      <c r="O14564" s="20" t="str">
        <f>IF(N14564="","",COUNTIFS(RawData[[Date ]],N14564,RawData[Month List],$Q$6,RawData[Tour/Site],$Q$2,RawData[[Picker ID ]],$Q$3,RawData[Checker ID],$Q$4,RawData[[Error Type ]],$Q$5))</f>
        <v/>
      </c>
    </row>
    <row r="14565" spans="15:15" x14ac:dyDescent="0.25">
      <c r="O14565" s="20" t="str">
        <f>IF(N14565="","",COUNTIFS(RawData[[Date ]],N14565,RawData[Month List],$Q$6,RawData[Tour/Site],$Q$2,RawData[[Picker ID ]],$Q$3,RawData[Checker ID],$Q$4,RawData[[Error Type ]],$Q$5))</f>
        <v/>
      </c>
    </row>
    <row r="14566" spans="15:15" x14ac:dyDescent="0.25">
      <c r="O14566" s="20" t="str">
        <f>IF(N14566="","",COUNTIFS(RawData[[Date ]],N14566,RawData[Month List],$Q$6,RawData[Tour/Site],$Q$2,RawData[[Picker ID ]],$Q$3,RawData[Checker ID],$Q$4,RawData[[Error Type ]],$Q$5))</f>
        <v/>
      </c>
    </row>
    <row r="14567" spans="15:15" x14ac:dyDescent="0.25">
      <c r="O14567" s="20" t="str">
        <f>IF(N14567="","",COUNTIFS(RawData[[Date ]],N14567,RawData[Month List],$Q$6,RawData[Tour/Site],$Q$2,RawData[[Picker ID ]],$Q$3,RawData[Checker ID],$Q$4,RawData[[Error Type ]],$Q$5))</f>
        <v/>
      </c>
    </row>
    <row r="14568" spans="15:15" x14ac:dyDescent="0.25">
      <c r="O14568" s="20" t="str">
        <f>IF(N14568="","",COUNTIFS(RawData[[Date ]],N14568,RawData[Month List],$Q$6,RawData[Tour/Site],$Q$2,RawData[[Picker ID ]],$Q$3,RawData[Checker ID],$Q$4,RawData[[Error Type ]],$Q$5))</f>
        <v/>
      </c>
    </row>
    <row r="14569" spans="15:15" x14ac:dyDescent="0.25">
      <c r="O14569" s="20" t="str">
        <f>IF(N14569="","",COUNTIFS(RawData[[Date ]],N14569,RawData[Month List],$Q$6,RawData[Tour/Site],$Q$2,RawData[[Picker ID ]],$Q$3,RawData[Checker ID],$Q$4,RawData[[Error Type ]],$Q$5))</f>
        <v/>
      </c>
    </row>
    <row r="14570" spans="15:15" x14ac:dyDescent="0.25">
      <c r="O14570" s="20" t="str">
        <f>IF(N14570="","",COUNTIFS(RawData[[Date ]],N14570,RawData[Month List],$Q$6,RawData[Tour/Site],$Q$2,RawData[[Picker ID ]],$Q$3,RawData[Checker ID],$Q$4,RawData[[Error Type ]],$Q$5))</f>
        <v/>
      </c>
    </row>
    <row r="14571" spans="15:15" x14ac:dyDescent="0.25">
      <c r="O14571" s="20" t="str">
        <f>IF(N14571="","",COUNTIFS(RawData[[Date ]],N14571,RawData[Month List],$Q$6,RawData[Tour/Site],$Q$2,RawData[[Picker ID ]],$Q$3,RawData[Checker ID],$Q$4,RawData[[Error Type ]],$Q$5))</f>
        <v/>
      </c>
    </row>
    <row r="14572" spans="15:15" x14ac:dyDescent="0.25">
      <c r="O14572" s="20" t="str">
        <f>IF(N14572="","",COUNTIFS(RawData[[Date ]],N14572,RawData[Month List],$Q$6,RawData[Tour/Site],$Q$2,RawData[[Picker ID ]],$Q$3,RawData[Checker ID],$Q$4,RawData[[Error Type ]],$Q$5))</f>
        <v/>
      </c>
    </row>
    <row r="14573" spans="15:15" x14ac:dyDescent="0.25">
      <c r="O14573" s="20" t="str">
        <f>IF(N14573="","",COUNTIFS(RawData[[Date ]],N14573,RawData[Month List],$Q$6,RawData[Tour/Site],$Q$2,RawData[[Picker ID ]],$Q$3,RawData[Checker ID],$Q$4,RawData[[Error Type ]],$Q$5))</f>
        <v/>
      </c>
    </row>
    <row r="14574" spans="15:15" x14ac:dyDescent="0.25">
      <c r="O14574" s="20" t="str">
        <f>IF(N14574="","",COUNTIFS(RawData[[Date ]],N14574,RawData[Month List],$Q$6,RawData[Tour/Site],$Q$2,RawData[[Picker ID ]],$Q$3,RawData[Checker ID],$Q$4,RawData[[Error Type ]],$Q$5))</f>
        <v/>
      </c>
    </row>
    <row r="14575" spans="15:15" x14ac:dyDescent="0.25">
      <c r="O14575" s="20" t="str">
        <f>IF(N14575="","",COUNTIFS(RawData[[Date ]],N14575,RawData[Month List],$Q$6,RawData[Tour/Site],$Q$2,RawData[[Picker ID ]],$Q$3,RawData[Checker ID],$Q$4,RawData[[Error Type ]],$Q$5))</f>
        <v/>
      </c>
    </row>
    <row r="14576" spans="15:15" x14ac:dyDescent="0.25">
      <c r="O14576" s="20" t="str">
        <f>IF(N14576="","",COUNTIFS(RawData[[Date ]],N14576,RawData[Month List],$Q$6,RawData[Tour/Site],$Q$2,RawData[[Picker ID ]],$Q$3,RawData[Checker ID],$Q$4,RawData[[Error Type ]],$Q$5))</f>
        <v/>
      </c>
    </row>
    <row r="14577" spans="15:15" x14ac:dyDescent="0.25">
      <c r="O14577" s="20" t="str">
        <f>IF(N14577="","",COUNTIFS(RawData[[Date ]],N14577,RawData[Month List],$Q$6,RawData[Tour/Site],$Q$2,RawData[[Picker ID ]],$Q$3,RawData[Checker ID],$Q$4,RawData[[Error Type ]],$Q$5))</f>
        <v/>
      </c>
    </row>
    <row r="14578" spans="15:15" x14ac:dyDescent="0.25">
      <c r="O14578" s="20" t="str">
        <f>IF(N14578="","",COUNTIFS(RawData[[Date ]],N14578,RawData[Month List],$Q$6,RawData[Tour/Site],$Q$2,RawData[[Picker ID ]],$Q$3,RawData[Checker ID],$Q$4,RawData[[Error Type ]],$Q$5))</f>
        <v/>
      </c>
    </row>
    <row r="14579" spans="15:15" x14ac:dyDescent="0.25">
      <c r="O14579" s="20" t="str">
        <f>IF(N14579="","",COUNTIFS(RawData[[Date ]],N14579,RawData[Month List],$Q$6,RawData[Tour/Site],$Q$2,RawData[[Picker ID ]],$Q$3,RawData[Checker ID],$Q$4,RawData[[Error Type ]],$Q$5))</f>
        <v/>
      </c>
    </row>
    <row r="14580" spans="15:15" x14ac:dyDescent="0.25">
      <c r="O14580" s="20" t="str">
        <f>IF(N14580="","",COUNTIFS(RawData[[Date ]],N14580,RawData[Month List],$Q$6,RawData[Tour/Site],$Q$2,RawData[[Picker ID ]],$Q$3,RawData[Checker ID],$Q$4,RawData[[Error Type ]],$Q$5))</f>
        <v/>
      </c>
    </row>
    <row r="14581" spans="15:15" x14ac:dyDescent="0.25">
      <c r="O14581" s="20" t="str">
        <f>IF(N14581="","",COUNTIFS(RawData[[Date ]],N14581,RawData[Month List],$Q$6,RawData[Tour/Site],$Q$2,RawData[[Picker ID ]],$Q$3,RawData[Checker ID],$Q$4,RawData[[Error Type ]],$Q$5))</f>
        <v/>
      </c>
    </row>
    <row r="14582" spans="15:15" x14ac:dyDescent="0.25">
      <c r="O14582" s="20" t="str">
        <f>IF(N14582="","",COUNTIFS(RawData[[Date ]],N14582,RawData[Month List],$Q$6,RawData[Tour/Site],$Q$2,RawData[[Picker ID ]],$Q$3,RawData[Checker ID],$Q$4,RawData[[Error Type ]],$Q$5))</f>
        <v/>
      </c>
    </row>
    <row r="14583" spans="15:15" x14ac:dyDescent="0.25">
      <c r="O14583" s="20" t="str">
        <f>IF(N14583="","",COUNTIFS(RawData[[Date ]],N14583,RawData[Month List],$Q$6,RawData[Tour/Site],$Q$2,RawData[[Picker ID ]],$Q$3,RawData[Checker ID],$Q$4,RawData[[Error Type ]],$Q$5))</f>
        <v/>
      </c>
    </row>
    <row r="14584" spans="15:15" x14ac:dyDescent="0.25">
      <c r="O14584" s="20" t="str">
        <f>IF(N14584="","",COUNTIFS(RawData[[Date ]],N14584,RawData[Month List],$Q$6,RawData[Tour/Site],$Q$2,RawData[[Picker ID ]],$Q$3,RawData[Checker ID],$Q$4,RawData[[Error Type ]],$Q$5))</f>
        <v/>
      </c>
    </row>
    <row r="14585" spans="15:15" x14ac:dyDescent="0.25">
      <c r="O14585" s="20" t="str">
        <f>IF(N14585="","",COUNTIFS(RawData[[Date ]],N14585,RawData[Month List],$Q$6,RawData[Tour/Site],$Q$2,RawData[[Picker ID ]],$Q$3,RawData[Checker ID],$Q$4,RawData[[Error Type ]],$Q$5))</f>
        <v/>
      </c>
    </row>
    <row r="14586" spans="15:15" x14ac:dyDescent="0.25">
      <c r="O14586" s="20" t="str">
        <f>IF(N14586="","",COUNTIFS(RawData[[Date ]],N14586,RawData[Month List],$Q$6,RawData[Tour/Site],$Q$2,RawData[[Picker ID ]],$Q$3,RawData[Checker ID],$Q$4,RawData[[Error Type ]],$Q$5))</f>
        <v/>
      </c>
    </row>
    <row r="14587" spans="15:15" x14ac:dyDescent="0.25">
      <c r="O14587" s="20" t="str">
        <f>IF(N14587="","",COUNTIFS(RawData[[Date ]],N14587,RawData[Month List],$Q$6,RawData[Tour/Site],$Q$2,RawData[[Picker ID ]],$Q$3,RawData[Checker ID],$Q$4,RawData[[Error Type ]],$Q$5))</f>
        <v/>
      </c>
    </row>
    <row r="14588" spans="15:15" x14ac:dyDescent="0.25">
      <c r="O14588" s="20" t="str">
        <f>IF(N14588="","",COUNTIFS(RawData[[Date ]],N14588,RawData[Month List],$Q$6,RawData[Tour/Site],$Q$2,RawData[[Picker ID ]],$Q$3,RawData[Checker ID],$Q$4,RawData[[Error Type ]],$Q$5))</f>
        <v/>
      </c>
    </row>
    <row r="14589" spans="15:15" x14ac:dyDescent="0.25">
      <c r="O14589" s="20" t="str">
        <f>IF(N14589="","",COUNTIFS(RawData[[Date ]],N14589,RawData[Month List],$Q$6,RawData[Tour/Site],$Q$2,RawData[[Picker ID ]],$Q$3,RawData[Checker ID],$Q$4,RawData[[Error Type ]],$Q$5))</f>
        <v/>
      </c>
    </row>
    <row r="14590" spans="15:15" x14ac:dyDescent="0.25">
      <c r="O14590" s="20" t="str">
        <f>IF(N14590="","",COUNTIFS(RawData[[Date ]],N14590,RawData[Month List],$Q$6,RawData[Tour/Site],$Q$2,RawData[[Picker ID ]],$Q$3,RawData[Checker ID],$Q$4,RawData[[Error Type ]],$Q$5))</f>
        <v/>
      </c>
    </row>
    <row r="14591" spans="15:15" x14ac:dyDescent="0.25">
      <c r="O14591" s="20" t="str">
        <f>IF(N14591="","",COUNTIFS(RawData[[Date ]],N14591,RawData[Month List],$Q$6,RawData[Tour/Site],$Q$2,RawData[[Picker ID ]],$Q$3,RawData[Checker ID],$Q$4,RawData[[Error Type ]],$Q$5))</f>
        <v/>
      </c>
    </row>
    <row r="14592" spans="15:15" x14ac:dyDescent="0.25">
      <c r="O14592" s="20" t="str">
        <f>IF(N14592="","",COUNTIFS(RawData[[Date ]],N14592,RawData[Month List],$Q$6,RawData[Tour/Site],$Q$2,RawData[[Picker ID ]],$Q$3,RawData[Checker ID],$Q$4,RawData[[Error Type ]],$Q$5))</f>
        <v/>
      </c>
    </row>
    <row r="14593" spans="15:15" x14ac:dyDescent="0.25">
      <c r="O14593" s="20" t="str">
        <f>IF(N14593="","",COUNTIFS(RawData[[Date ]],N14593,RawData[Month List],$Q$6,RawData[Tour/Site],$Q$2,RawData[[Picker ID ]],$Q$3,RawData[Checker ID],$Q$4,RawData[[Error Type ]],$Q$5))</f>
        <v/>
      </c>
    </row>
    <row r="14594" spans="15:15" x14ac:dyDescent="0.25">
      <c r="O14594" s="20" t="str">
        <f>IF(N14594="","",COUNTIFS(RawData[[Date ]],N14594,RawData[Month List],$Q$6,RawData[Tour/Site],$Q$2,RawData[[Picker ID ]],$Q$3,RawData[Checker ID],$Q$4,RawData[[Error Type ]],$Q$5))</f>
        <v/>
      </c>
    </row>
    <row r="14595" spans="15:15" x14ac:dyDescent="0.25">
      <c r="O14595" s="20" t="str">
        <f>IF(N14595="","",COUNTIFS(RawData[[Date ]],N14595,RawData[Month List],$Q$6,RawData[Tour/Site],$Q$2,RawData[[Picker ID ]],$Q$3,RawData[Checker ID],$Q$4,RawData[[Error Type ]],$Q$5))</f>
        <v/>
      </c>
    </row>
    <row r="14596" spans="15:15" x14ac:dyDescent="0.25">
      <c r="O14596" s="20" t="str">
        <f>IF(N14596="","",COUNTIFS(RawData[[Date ]],N14596,RawData[Month List],$Q$6,RawData[Tour/Site],$Q$2,RawData[[Picker ID ]],$Q$3,RawData[Checker ID],$Q$4,RawData[[Error Type ]],$Q$5))</f>
        <v/>
      </c>
    </row>
    <row r="14597" spans="15:15" x14ac:dyDescent="0.25">
      <c r="O14597" s="20" t="str">
        <f>IF(N14597="","",COUNTIFS(RawData[[Date ]],N14597,RawData[Month List],$Q$6,RawData[Tour/Site],$Q$2,RawData[[Picker ID ]],$Q$3,RawData[Checker ID],$Q$4,RawData[[Error Type ]],$Q$5))</f>
        <v/>
      </c>
    </row>
    <row r="14598" spans="15:15" x14ac:dyDescent="0.25">
      <c r="O14598" s="20" t="str">
        <f>IF(N14598="","",COUNTIFS(RawData[[Date ]],N14598,RawData[Month List],$Q$6,RawData[Tour/Site],$Q$2,RawData[[Picker ID ]],$Q$3,RawData[Checker ID],$Q$4,RawData[[Error Type ]],$Q$5))</f>
        <v/>
      </c>
    </row>
    <row r="14599" spans="15:15" x14ac:dyDescent="0.25">
      <c r="O14599" s="20" t="str">
        <f>IF(N14599="","",COUNTIFS(RawData[[Date ]],N14599,RawData[Month List],$Q$6,RawData[Tour/Site],$Q$2,RawData[[Picker ID ]],$Q$3,RawData[Checker ID],$Q$4,RawData[[Error Type ]],$Q$5))</f>
        <v/>
      </c>
    </row>
    <row r="14600" spans="15:15" x14ac:dyDescent="0.25">
      <c r="O14600" s="20" t="str">
        <f>IF(N14600="","",COUNTIFS(RawData[[Date ]],N14600,RawData[Month List],$Q$6,RawData[Tour/Site],$Q$2,RawData[[Picker ID ]],$Q$3,RawData[Checker ID],$Q$4,RawData[[Error Type ]],$Q$5))</f>
        <v/>
      </c>
    </row>
    <row r="14601" spans="15:15" x14ac:dyDescent="0.25">
      <c r="O14601" s="20" t="str">
        <f>IF(N14601="","",COUNTIFS(RawData[[Date ]],N14601,RawData[Month List],$Q$6,RawData[Tour/Site],$Q$2,RawData[[Picker ID ]],$Q$3,RawData[Checker ID],$Q$4,RawData[[Error Type ]],$Q$5))</f>
        <v/>
      </c>
    </row>
    <row r="14602" spans="15:15" x14ac:dyDescent="0.25">
      <c r="O14602" s="20" t="str">
        <f>IF(N14602="","",COUNTIFS(RawData[[Date ]],N14602,RawData[Month List],$Q$6,RawData[Tour/Site],$Q$2,RawData[[Picker ID ]],$Q$3,RawData[Checker ID],$Q$4,RawData[[Error Type ]],$Q$5))</f>
        <v/>
      </c>
    </row>
    <row r="14603" spans="15:15" x14ac:dyDescent="0.25">
      <c r="O14603" s="20" t="str">
        <f>IF(N14603="","",COUNTIFS(RawData[[Date ]],N14603,RawData[Month List],$Q$6,RawData[Tour/Site],$Q$2,RawData[[Picker ID ]],$Q$3,RawData[Checker ID],$Q$4,RawData[[Error Type ]],$Q$5))</f>
        <v/>
      </c>
    </row>
    <row r="14604" spans="15:15" x14ac:dyDescent="0.25">
      <c r="O14604" s="20" t="str">
        <f>IF(N14604="","",COUNTIFS(RawData[[Date ]],N14604,RawData[Month List],$Q$6,RawData[Tour/Site],$Q$2,RawData[[Picker ID ]],$Q$3,RawData[Checker ID],$Q$4,RawData[[Error Type ]],$Q$5))</f>
        <v/>
      </c>
    </row>
    <row r="14605" spans="15:15" x14ac:dyDescent="0.25">
      <c r="O14605" s="20" t="str">
        <f>IF(N14605="","",COUNTIFS(RawData[[Date ]],N14605,RawData[Month List],$Q$6,RawData[Tour/Site],$Q$2,RawData[[Picker ID ]],$Q$3,RawData[Checker ID],$Q$4,RawData[[Error Type ]],$Q$5))</f>
        <v/>
      </c>
    </row>
    <row r="14606" spans="15:15" x14ac:dyDescent="0.25">
      <c r="O14606" s="20" t="str">
        <f>IF(N14606="","",COUNTIFS(RawData[[Date ]],N14606,RawData[Month List],$Q$6,RawData[Tour/Site],$Q$2,RawData[[Picker ID ]],$Q$3,RawData[Checker ID],$Q$4,RawData[[Error Type ]],$Q$5))</f>
        <v/>
      </c>
    </row>
    <row r="14607" spans="15:15" x14ac:dyDescent="0.25">
      <c r="O14607" s="20" t="str">
        <f>IF(N14607="","",COUNTIFS(RawData[[Date ]],N14607,RawData[Month List],$Q$6,RawData[Tour/Site],$Q$2,RawData[[Picker ID ]],$Q$3,RawData[Checker ID],$Q$4,RawData[[Error Type ]],$Q$5))</f>
        <v/>
      </c>
    </row>
    <row r="14608" spans="15:15" x14ac:dyDescent="0.25">
      <c r="O14608" s="20" t="str">
        <f>IF(N14608="","",COUNTIFS(RawData[[Date ]],N14608,RawData[Month List],$Q$6,RawData[Tour/Site],$Q$2,RawData[[Picker ID ]],$Q$3,RawData[Checker ID],$Q$4,RawData[[Error Type ]],$Q$5))</f>
        <v/>
      </c>
    </row>
    <row r="14609" spans="15:15" x14ac:dyDescent="0.25">
      <c r="O14609" s="20" t="str">
        <f>IF(N14609="","",COUNTIFS(RawData[[Date ]],N14609,RawData[Month List],$Q$6,RawData[Tour/Site],$Q$2,RawData[[Picker ID ]],$Q$3,RawData[Checker ID],$Q$4,RawData[[Error Type ]],$Q$5))</f>
        <v/>
      </c>
    </row>
    <row r="14610" spans="15:15" x14ac:dyDescent="0.25">
      <c r="O14610" s="20" t="str">
        <f>IF(N14610="","",COUNTIFS(RawData[[Date ]],N14610,RawData[Month List],$Q$6,RawData[Tour/Site],$Q$2,RawData[[Picker ID ]],$Q$3,RawData[Checker ID],$Q$4,RawData[[Error Type ]],$Q$5))</f>
        <v/>
      </c>
    </row>
    <row r="14611" spans="15:15" x14ac:dyDescent="0.25">
      <c r="O14611" s="20" t="str">
        <f>IF(N14611="","",COUNTIFS(RawData[[Date ]],N14611,RawData[Month List],$Q$6,RawData[Tour/Site],$Q$2,RawData[[Picker ID ]],$Q$3,RawData[Checker ID],$Q$4,RawData[[Error Type ]],$Q$5))</f>
        <v/>
      </c>
    </row>
    <row r="14612" spans="15:15" x14ac:dyDescent="0.25">
      <c r="O14612" s="20" t="str">
        <f>IF(N14612="","",COUNTIFS(RawData[[Date ]],N14612,RawData[Month List],$Q$6,RawData[Tour/Site],$Q$2,RawData[[Picker ID ]],$Q$3,RawData[Checker ID],$Q$4,RawData[[Error Type ]],$Q$5))</f>
        <v/>
      </c>
    </row>
    <row r="14613" spans="15:15" x14ac:dyDescent="0.25">
      <c r="O14613" s="20" t="str">
        <f>IF(N14613="","",COUNTIFS(RawData[[Date ]],N14613,RawData[Month List],$Q$6,RawData[Tour/Site],$Q$2,RawData[[Picker ID ]],$Q$3,RawData[Checker ID],$Q$4,RawData[[Error Type ]],$Q$5))</f>
        <v/>
      </c>
    </row>
    <row r="14614" spans="15:15" x14ac:dyDescent="0.25">
      <c r="O14614" s="20" t="str">
        <f>IF(N14614="","",COUNTIFS(RawData[[Date ]],N14614,RawData[Month List],$Q$6,RawData[Tour/Site],$Q$2,RawData[[Picker ID ]],$Q$3,RawData[Checker ID],$Q$4,RawData[[Error Type ]],$Q$5))</f>
        <v/>
      </c>
    </row>
    <row r="14615" spans="15:15" x14ac:dyDescent="0.25">
      <c r="O14615" s="20" t="str">
        <f>IF(N14615="","",COUNTIFS(RawData[[Date ]],N14615,RawData[Month List],$Q$6,RawData[Tour/Site],$Q$2,RawData[[Picker ID ]],$Q$3,RawData[Checker ID],$Q$4,RawData[[Error Type ]],$Q$5))</f>
        <v/>
      </c>
    </row>
    <row r="14616" spans="15:15" x14ac:dyDescent="0.25">
      <c r="O14616" s="20" t="str">
        <f>IF(N14616="","",COUNTIFS(RawData[[Date ]],N14616,RawData[Month List],$Q$6,RawData[Tour/Site],$Q$2,RawData[[Picker ID ]],$Q$3,RawData[Checker ID],$Q$4,RawData[[Error Type ]],$Q$5))</f>
        <v/>
      </c>
    </row>
    <row r="14617" spans="15:15" x14ac:dyDescent="0.25">
      <c r="O14617" s="20" t="str">
        <f>IF(N14617="","",COUNTIFS(RawData[[Date ]],N14617,RawData[Month List],$Q$6,RawData[Tour/Site],$Q$2,RawData[[Picker ID ]],$Q$3,RawData[Checker ID],$Q$4,RawData[[Error Type ]],$Q$5))</f>
        <v/>
      </c>
    </row>
    <row r="14618" spans="15:15" x14ac:dyDescent="0.25">
      <c r="O14618" s="20" t="str">
        <f>IF(N14618="","",COUNTIFS(RawData[[Date ]],N14618,RawData[Month List],$Q$6,RawData[Tour/Site],$Q$2,RawData[[Picker ID ]],$Q$3,RawData[Checker ID],$Q$4,RawData[[Error Type ]],$Q$5))</f>
        <v/>
      </c>
    </row>
    <row r="14619" spans="15:15" x14ac:dyDescent="0.25">
      <c r="O14619" s="20" t="str">
        <f>IF(N14619="","",COUNTIFS(RawData[[Date ]],N14619,RawData[Month List],$Q$6,RawData[Tour/Site],$Q$2,RawData[[Picker ID ]],$Q$3,RawData[Checker ID],$Q$4,RawData[[Error Type ]],$Q$5))</f>
        <v/>
      </c>
    </row>
    <row r="14620" spans="15:15" x14ac:dyDescent="0.25">
      <c r="O14620" s="20" t="str">
        <f>IF(N14620="","",COUNTIFS(RawData[[Date ]],N14620,RawData[Month List],$Q$6,RawData[Tour/Site],$Q$2,RawData[[Picker ID ]],$Q$3,RawData[Checker ID],$Q$4,RawData[[Error Type ]],$Q$5))</f>
        <v/>
      </c>
    </row>
    <row r="14621" spans="15:15" x14ac:dyDescent="0.25">
      <c r="O14621" s="20" t="str">
        <f>IF(N14621="","",COUNTIFS(RawData[[Date ]],N14621,RawData[Month List],$Q$6,RawData[Tour/Site],$Q$2,RawData[[Picker ID ]],$Q$3,RawData[Checker ID],$Q$4,RawData[[Error Type ]],$Q$5))</f>
        <v/>
      </c>
    </row>
    <row r="14622" spans="15:15" x14ac:dyDescent="0.25">
      <c r="O14622" s="20" t="str">
        <f>IF(N14622="","",COUNTIFS(RawData[[Date ]],N14622,RawData[Month List],$Q$6,RawData[Tour/Site],$Q$2,RawData[[Picker ID ]],$Q$3,RawData[Checker ID],$Q$4,RawData[[Error Type ]],$Q$5))</f>
        <v/>
      </c>
    </row>
    <row r="14623" spans="15:15" x14ac:dyDescent="0.25">
      <c r="O14623" s="20" t="str">
        <f>IF(N14623="","",COUNTIFS(RawData[[Date ]],N14623,RawData[Month List],$Q$6,RawData[Tour/Site],$Q$2,RawData[[Picker ID ]],$Q$3,RawData[Checker ID],$Q$4,RawData[[Error Type ]],$Q$5))</f>
        <v/>
      </c>
    </row>
    <row r="14624" spans="15:15" x14ac:dyDescent="0.25">
      <c r="O14624" s="20" t="str">
        <f>IF(N14624="","",COUNTIFS(RawData[[Date ]],N14624,RawData[Month List],$Q$6,RawData[Tour/Site],$Q$2,RawData[[Picker ID ]],$Q$3,RawData[Checker ID],$Q$4,RawData[[Error Type ]],$Q$5))</f>
        <v/>
      </c>
    </row>
    <row r="14625" spans="15:15" x14ac:dyDescent="0.25">
      <c r="O14625" s="20" t="str">
        <f>IF(N14625="","",COUNTIFS(RawData[[Date ]],N14625,RawData[Month List],$Q$6,RawData[Tour/Site],$Q$2,RawData[[Picker ID ]],$Q$3,RawData[Checker ID],$Q$4,RawData[[Error Type ]],$Q$5))</f>
        <v/>
      </c>
    </row>
    <row r="14626" spans="15:15" x14ac:dyDescent="0.25">
      <c r="O14626" s="20" t="str">
        <f>IF(N14626="","",COUNTIFS(RawData[[Date ]],N14626,RawData[Month List],$Q$6,RawData[Tour/Site],$Q$2,RawData[[Picker ID ]],$Q$3,RawData[Checker ID],$Q$4,RawData[[Error Type ]],$Q$5))</f>
        <v/>
      </c>
    </row>
    <row r="14627" spans="15:15" x14ac:dyDescent="0.25">
      <c r="O14627" s="20" t="str">
        <f>IF(N14627="","",COUNTIFS(RawData[[Date ]],N14627,RawData[Month List],$Q$6,RawData[Tour/Site],$Q$2,RawData[[Picker ID ]],$Q$3,RawData[Checker ID],$Q$4,RawData[[Error Type ]],$Q$5))</f>
        <v/>
      </c>
    </row>
    <row r="14628" spans="15:15" x14ac:dyDescent="0.25">
      <c r="O14628" s="20" t="str">
        <f>IF(N14628="","",COUNTIFS(RawData[[Date ]],N14628,RawData[Month List],$Q$6,RawData[Tour/Site],$Q$2,RawData[[Picker ID ]],$Q$3,RawData[Checker ID],$Q$4,RawData[[Error Type ]],$Q$5))</f>
        <v/>
      </c>
    </row>
    <row r="14629" spans="15:15" x14ac:dyDescent="0.25">
      <c r="O14629" s="20" t="str">
        <f>IF(N14629="","",COUNTIFS(RawData[[Date ]],N14629,RawData[Month List],$Q$6,RawData[Tour/Site],$Q$2,RawData[[Picker ID ]],$Q$3,RawData[Checker ID],$Q$4,RawData[[Error Type ]],$Q$5))</f>
        <v/>
      </c>
    </row>
    <row r="14630" spans="15:15" x14ac:dyDescent="0.25">
      <c r="O14630" s="20" t="str">
        <f>IF(N14630="","",COUNTIFS(RawData[[Date ]],N14630,RawData[Month List],$Q$6,RawData[Tour/Site],$Q$2,RawData[[Picker ID ]],$Q$3,RawData[Checker ID],$Q$4,RawData[[Error Type ]],$Q$5))</f>
        <v/>
      </c>
    </row>
    <row r="14631" spans="15:15" x14ac:dyDescent="0.25">
      <c r="O14631" s="20" t="str">
        <f>IF(N14631="","",COUNTIFS(RawData[[Date ]],N14631,RawData[Month List],$Q$6,RawData[Tour/Site],$Q$2,RawData[[Picker ID ]],$Q$3,RawData[Checker ID],$Q$4,RawData[[Error Type ]],$Q$5))</f>
        <v/>
      </c>
    </row>
    <row r="14632" spans="15:15" x14ac:dyDescent="0.25">
      <c r="O14632" s="20" t="str">
        <f>IF(N14632="","",COUNTIFS(RawData[[Date ]],N14632,RawData[Month List],$Q$6,RawData[Tour/Site],$Q$2,RawData[[Picker ID ]],$Q$3,RawData[Checker ID],$Q$4,RawData[[Error Type ]],$Q$5))</f>
        <v/>
      </c>
    </row>
    <row r="14633" spans="15:15" x14ac:dyDescent="0.25">
      <c r="O14633" s="20" t="str">
        <f>IF(N14633="","",COUNTIFS(RawData[[Date ]],N14633,RawData[Month List],$Q$6,RawData[Tour/Site],$Q$2,RawData[[Picker ID ]],$Q$3,RawData[Checker ID],$Q$4,RawData[[Error Type ]],$Q$5))</f>
        <v/>
      </c>
    </row>
    <row r="14634" spans="15:15" x14ac:dyDescent="0.25">
      <c r="O14634" s="20" t="str">
        <f>IF(N14634="","",COUNTIFS(RawData[[Date ]],N14634,RawData[Month List],$Q$6,RawData[Tour/Site],$Q$2,RawData[[Picker ID ]],$Q$3,RawData[Checker ID],$Q$4,RawData[[Error Type ]],$Q$5))</f>
        <v/>
      </c>
    </row>
    <row r="14635" spans="15:15" x14ac:dyDescent="0.25">
      <c r="O14635" s="20" t="str">
        <f>IF(N14635="","",COUNTIFS(RawData[[Date ]],N14635,RawData[Month List],$Q$6,RawData[Tour/Site],$Q$2,RawData[[Picker ID ]],$Q$3,RawData[Checker ID],$Q$4,RawData[[Error Type ]],$Q$5))</f>
        <v/>
      </c>
    </row>
    <row r="14636" spans="15:15" x14ac:dyDescent="0.25">
      <c r="O14636" s="20" t="str">
        <f>IF(N14636="","",COUNTIFS(RawData[[Date ]],N14636,RawData[Month List],$Q$6,RawData[Tour/Site],$Q$2,RawData[[Picker ID ]],$Q$3,RawData[Checker ID],$Q$4,RawData[[Error Type ]],$Q$5))</f>
        <v/>
      </c>
    </row>
    <row r="14637" spans="15:15" x14ac:dyDescent="0.25">
      <c r="O14637" s="20" t="str">
        <f>IF(N14637="","",COUNTIFS(RawData[[Date ]],N14637,RawData[Month List],$Q$6,RawData[Tour/Site],$Q$2,RawData[[Picker ID ]],$Q$3,RawData[Checker ID],$Q$4,RawData[[Error Type ]],$Q$5))</f>
        <v/>
      </c>
    </row>
    <row r="14638" spans="15:15" x14ac:dyDescent="0.25">
      <c r="O14638" s="20" t="str">
        <f>IF(N14638="","",COUNTIFS(RawData[[Date ]],N14638,RawData[Month List],$Q$6,RawData[Tour/Site],$Q$2,RawData[[Picker ID ]],$Q$3,RawData[Checker ID],$Q$4,RawData[[Error Type ]],$Q$5))</f>
        <v/>
      </c>
    </row>
    <row r="14639" spans="15:15" x14ac:dyDescent="0.25">
      <c r="O14639" s="20" t="str">
        <f>IF(N14639="","",COUNTIFS(RawData[[Date ]],N14639,RawData[Month List],$Q$6,RawData[Tour/Site],$Q$2,RawData[[Picker ID ]],$Q$3,RawData[Checker ID],$Q$4,RawData[[Error Type ]],$Q$5))</f>
        <v/>
      </c>
    </row>
    <row r="14640" spans="15:15" x14ac:dyDescent="0.25">
      <c r="O14640" s="20" t="str">
        <f>IF(N14640="","",COUNTIFS(RawData[[Date ]],N14640,RawData[Month List],$Q$6,RawData[Tour/Site],$Q$2,RawData[[Picker ID ]],$Q$3,RawData[Checker ID],$Q$4,RawData[[Error Type ]],$Q$5))</f>
        <v/>
      </c>
    </row>
    <row r="14641" spans="15:15" x14ac:dyDescent="0.25">
      <c r="O14641" s="20" t="str">
        <f>IF(N14641="","",COUNTIFS(RawData[[Date ]],N14641,RawData[Month List],$Q$6,RawData[Tour/Site],$Q$2,RawData[[Picker ID ]],$Q$3,RawData[Checker ID],$Q$4,RawData[[Error Type ]],$Q$5))</f>
        <v/>
      </c>
    </row>
    <row r="14642" spans="15:15" x14ac:dyDescent="0.25">
      <c r="O14642" s="20" t="str">
        <f>IF(N14642="","",COUNTIFS(RawData[[Date ]],N14642,RawData[Month List],$Q$6,RawData[Tour/Site],$Q$2,RawData[[Picker ID ]],$Q$3,RawData[Checker ID],$Q$4,RawData[[Error Type ]],$Q$5))</f>
        <v/>
      </c>
    </row>
    <row r="14643" spans="15:15" x14ac:dyDescent="0.25">
      <c r="O14643" s="20" t="str">
        <f>IF(N14643="","",COUNTIFS(RawData[[Date ]],N14643,RawData[Month List],$Q$6,RawData[Tour/Site],$Q$2,RawData[[Picker ID ]],$Q$3,RawData[Checker ID],$Q$4,RawData[[Error Type ]],$Q$5))</f>
        <v/>
      </c>
    </row>
    <row r="14644" spans="15:15" x14ac:dyDescent="0.25">
      <c r="O14644" s="20" t="str">
        <f>IF(N14644="","",COUNTIFS(RawData[[Date ]],N14644,RawData[Month List],$Q$6,RawData[Tour/Site],$Q$2,RawData[[Picker ID ]],$Q$3,RawData[Checker ID],$Q$4,RawData[[Error Type ]],$Q$5))</f>
        <v/>
      </c>
    </row>
    <row r="14645" spans="15:15" x14ac:dyDescent="0.25">
      <c r="O14645" s="20" t="str">
        <f>IF(N14645="","",COUNTIFS(RawData[[Date ]],N14645,RawData[Month List],$Q$6,RawData[Tour/Site],$Q$2,RawData[[Picker ID ]],$Q$3,RawData[Checker ID],$Q$4,RawData[[Error Type ]],$Q$5))</f>
        <v/>
      </c>
    </row>
    <row r="14646" spans="15:15" x14ac:dyDescent="0.25">
      <c r="O14646" s="20" t="str">
        <f>IF(N14646="","",COUNTIFS(RawData[[Date ]],N14646,RawData[Month List],$Q$6,RawData[Tour/Site],$Q$2,RawData[[Picker ID ]],$Q$3,RawData[Checker ID],$Q$4,RawData[[Error Type ]],$Q$5))</f>
        <v/>
      </c>
    </row>
    <row r="14647" spans="15:15" x14ac:dyDescent="0.25">
      <c r="O14647" s="20" t="str">
        <f>IF(N14647="","",COUNTIFS(RawData[[Date ]],N14647,RawData[Month List],$Q$6,RawData[Tour/Site],$Q$2,RawData[[Picker ID ]],$Q$3,RawData[Checker ID],$Q$4,RawData[[Error Type ]],$Q$5))</f>
        <v/>
      </c>
    </row>
    <row r="14648" spans="15:15" x14ac:dyDescent="0.25">
      <c r="O14648" s="20" t="str">
        <f>IF(N14648="","",COUNTIFS(RawData[[Date ]],N14648,RawData[Month List],$Q$6,RawData[Tour/Site],$Q$2,RawData[[Picker ID ]],$Q$3,RawData[Checker ID],$Q$4,RawData[[Error Type ]],$Q$5))</f>
        <v/>
      </c>
    </row>
    <row r="14649" spans="15:15" x14ac:dyDescent="0.25">
      <c r="O14649" s="20" t="str">
        <f>IF(N14649="","",COUNTIFS(RawData[[Date ]],N14649,RawData[Month List],$Q$6,RawData[Tour/Site],$Q$2,RawData[[Picker ID ]],$Q$3,RawData[Checker ID],$Q$4,RawData[[Error Type ]],$Q$5))</f>
        <v/>
      </c>
    </row>
    <row r="14650" spans="15:15" x14ac:dyDescent="0.25">
      <c r="O14650" s="20" t="str">
        <f>IF(N14650="","",COUNTIFS(RawData[[Date ]],N14650,RawData[Month List],$Q$6,RawData[Tour/Site],$Q$2,RawData[[Picker ID ]],$Q$3,RawData[Checker ID],$Q$4,RawData[[Error Type ]],$Q$5))</f>
        <v/>
      </c>
    </row>
    <row r="14651" spans="15:15" x14ac:dyDescent="0.25">
      <c r="O14651" s="20" t="str">
        <f>IF(N14651="","",COUNTIFS(RawData[[Date ]],N14651,RawData[Month List],$Q$6,RawData[Tour/Site],$Q$2,RawData[[Picker ID ]],$Q$3,RawData[Checker ID],$Q$4,RawData[[Error Type ]],$Q$5))</f>
        <v/>
      </c>
    </row>
    <row r="14652" spans="15:15" x14ac:dyDescent="0.25">
      <c r="O14652" s="20" t="str">
        <f>IF(N14652="","",COUNTIFS(RawData[[Date ]],N14652,RawData[Month List],$Q$6,RawData[Tour/Site],$Q$2,RawData[[Picker ID ]],$Q$3,RawData[Checker ID],$Q$4,RawData[[Error Type ]],$Q$5))</f>
        <v/>
      </c>
    </row>
    <row r="14653" spans="15:15" x14ac:dyDescent="0.25">
      <c r="O14653" s="20" t="str">
        <f>IF(N14653="","",COUNTIFS(RawData[[Date ]],N14653,RawData[Month List],$Q$6,RawData[Tour/Site],$Q$2,RawData[[Picker ID ]],$Q$3,RawData[Checker ID],$Q$4,RawData[[Error Type ]],$Q$5))</f>
        <v/>
      </c>
    </row>
    <row r="14654" spans="15:15" x14ac:dyDescent="0.25">
      <c r="O14654" s="20" t="str">
        <f>IF(N14654="","",COUNTIFS(RawData[[Date ]],N14654,RawData[Month List],$Q$6,RawData[Tour/Site],$Q$2,RawData[[Picker ID ]],$Q$3,RawData[Checker ID],$Q$4,RawData[[Error Type ]],$Q$5))</f>
        <v/>
      </c>
    </row>
    <row r="14655" spans="15:15" x14ac:dyDescent="0.25">
      <c r="O14655" s="20" t="str">
        <f>IF(N14655="","",COUNTIFS(RawData[[Date ]],N14655,RawData[Month List],$Q$6,RawData[Tour/Site],$Q$2,RawData[[Picker ID ]],$Q$3,RawData[Checker ID],$Q$4,RawData[[Error Type ]],$Q$5))</f>
        <v/>
      </c>
    </row>
    <row r="14656" spans="15:15" x14ac:dyDescent="0.25">
      <c r="O14656" s="20" t="str">
        <f>IF(N14656="","",COUNTIFS(RawData[[Date ]],N14656,RawData[Month List],$Q$6,RawData[Tour/Site],$Q$2,RawData[[Picker ID ]],$Q$3,RawData[Checker ID],$Q$4,RawData[[Error Type ]],$Q$5))</f>
        <v/>
      </c>
    </row>
    <row r="14657" spans="15:15" x14ac:dyDescent="0.25">
      <c r="O14657" s="20" t="str">
        <f>IF(N14657="","",COUNTIFS(RawData[[Date ]],N14657,RawData[Month List],$Q$6,RawData[Tour/Site],$Q$2,RawData[[Picker ID ]],$Q$3,RawData[Checker ID],$Q$4,RawData[[Error Type ]],$Q$5))</f>
        <v/>
      </c>
    </row>
    <row r="14658" spans="15:15" x14ac:dyDescent="0.25">
      <c r="O14658" s="20" t="str">
        <f>IF(N14658="","",COUNTIFS(RawData[[Date ]],N14658,RawData[Month List],$Q$6,RawData[Tour/Site],$Q$2,RawData[[Picker ID ]],$Q$3,RawData[Checker ID],$Q$4,RawData[[Error Type ]],$Q$5))</f>
        <v/>
      </c>
    </row>
    <row r="14659" spans="15:15" x14ac:dyDescent="0.25">
      <c r="O14659" s="20" t="str">
        <f>IF(N14659="","",COUNTIFS(RawData[[Date ]],N14659,RawData[Month List],$Q$6,RawData[Tour/Site],$Q$2,RawData[[Picker ID ]],$Q$3,RawData[Checker ID],$Q$4,RawData[[Error Type ]],$Q$5))</f>
        <v/>
      </c>
    </row>
    <row r="14660" spans="15:15" x14ac:dyDescent="0.25">
      <c r="O14660" s="20" t="str">
        <f>IF(N14660="","",COUNTIFS(RawData[[Date ]],N14660,RawData[Month List],$Q$6,RawData[Tour/Site],$Q$2,RawData[[Picker ID ]],$Q$3,RawData[Checker ID],$Q$4,RawData[[Error Type ]],$Q$5))</f>
        <v/>
      </c>
    </row>
    <row r="14661" spans="15:15" x14ac:dyDescent="0.25">
      <c r="O14661" s="20" t="str">
        <f>IF(N14661="","",COUNTIFS(RawData[[Date ]],N14661,RawData[Month List],$Q$6,RawData[Tour/Site],$Q$2,RawData[[Picker ID ]],$Q$3,RawData[Checker ID],$Q$4,RawData[[Error Type ]],$Q$5))</f>
        <v/>
      </c>
    </row>
    <row r="14662" spans="15:15" x14ac:dyDescent="0.25">
      <c r="O14662" s="20" t="str">
        <f>IF(N14662="","",COUNTIFS(RawData[[Date ]],N14662,RawData[Month List],$Q$6,RawData[Tour/Site],$Q$2,RawData[[Picker ID ]],$Q$3,RawData[Checker ID],$Q$4,RawData[[Error Type ]],$Q$5))</f>
        <v/>
      </c>
    </row>
    <row r="14663" spans="15:15" x14ac:dyDescent="0.25">
      <c r="O14663" s="20" t="str">
        <f>IF(N14663="","",COUNTIFS(RawData[[Date ]],N14663,RawData[Month List],$Q$6,RawData[Tour/Site],$Q$2,RawData[[Picker ID ]],$Q$3,RawData[Checker ID],$Q$4,RawData[[Error Type ]],$Q$5))</f>
        <v/>
      </c>
    </row>
    <row r="14664" spans="15:15" x14ac:dyDescent="0.25">
      <c r="O14664" s="20" t="str">
        <f>IF(N14664="","",COUNTIFS(RawData[[Date ]],N14664,RawData[Month List],$Q$6,RawData[Tour/Site],$Q$2,RawData[[Picker ID ]],$Q$3,RawData[Checker ID],$Q$4,RawData[[Error Type ]],$Q$5))</f>
        <v/>
      </c>
    </row>
    <row r="14665" spans="15:15" x14ac:dyDescent="0.25">
      <c r="O14665" s="20" t="str">
        <f>IF(N14665="","",COUNTIFS(RawData[[Date ]],N14665,RawData[Month List],$Q$6,RawData[Tour/Site],$Q$2,RawData[[Picker ID ]],$Q$3,RawData[Checker ID],$Q$4,RawData[[Error Type ]],$Q$5))</f>
        <v/>
      </c>
    </row>
    <row r="14666" spans="15:15" x14ac:dyDescent="0.25">
      <c r="O14666" s="20" t="str">
        <f>IF(N14666="","",COUNTIFS(RawData[[Date ]],N14666,RawData[Month List],$Q$6,RawData[Tour/Site],$Q$2,RawData[[Picker ID ]],$Q$3,RawData[Checker ID],$Q$4,RawData[[Error Type ]],$Q$5))</f>
        <v/>
      </c>
    </row>
    <row r="14667" spans="15:15" x14ac:dyDescent="0.25">
      <c r="O14667" s="20" t="str">
        <f>IF(N14667="","",COUNTIFS(RawData[[Date ]],N14667,RawData[Month List],$Q$6,RawData[Tour/Site],$Q$2,RawData[[Picker ID ]],$Q$3,RawData[Checker ID],$Q$4,RawData[[Error Type ]],$Q$5))</f>
        <v/>
      </c>
    </row>
    <row r="14668" spans="15:15" x14ac:dyDescent="0.25">
      <c r="O14668" s="20" t="str">
        <f>IF(N14668="","",COUNTIFS(RawData[[Date ]],N14668,RawData[Month List],$Q$6,RawData[Tour/Site],$Q$2,RawData[[Picker ID ]],$Q$3,RawData[Checker ID],$Q$4,RawData[[Error Type ]],$Q$5))</f>
        <v/>
      </c>
    </row>
    <row r="14669" spans="15:15" x14ac:dyDescent="0.25">
      <c r="O14669" s="20" t="str">
        <f>IF(N14669="","",COUNTIFS(RawData[[Date ]],N14669,RawData[Month List],$Q$6,RawData[Tour/Site],$Q$2,RawData[[Picker ID ]],$Q$3,RawData[Checker ID],$Q$4,RawData[[Error Type ]],$Q$5))</f>
        <v/>
      </c>
    </row>
    <row r="14670" spans="15:15" x14ac:dyDescent="0.25">
      <c r="O14670" s="20" t="str">
        <f>IF(N14670="","",COUNTIFS(RawData[[Date ]],N14670,RawData[Month List],$Q$6,RawData[Tour/Site],$Q$2,RawData[[Picker ID ]],$Q$3,RawData[Checker ID],$Q$4,RawData[[Error Type ]],$Q$5))</f>
        <v/>
      </c>
    </row>
    <row r="14671" spans="15:15" x14ac:dyDescent="0.25">
      <c r="O14671" s="20" t="str">
        <f>IF(N14671="","",COUNTIFS(RawData[[Date ]],N14671,RawData[Month List],$Q$6,RawData[Tour/Site],$Q$2,RawData[[Picker ID ]],$Q$3,RawData[Checker ID],$Q$4,RawData[[Error Type ]],$Q$5))</f>
        <v/>
      </c>
    </row>
    <row r="14672" spans="15:15" x14ac:dyDescent="0.25">
      <c r="O14672" s="20" t="str">
        <f>IF(N14672="","",COUNTIFS(RawData[[Date ]],N14672,RawData[Month List],$Q$6,RawData[Tour/Site],$Q$2,RawData[[Picker ID ]],$Q$3,RawData[Checker ID],$Q$4,RawData[[Error Type ]],$Q$5))</f>
        <v/>
      </c>
    </row>
    <row r="14673" spans="15:15" x14ac:dyDescent="0.25">
      <c r="O14673" s="20" t="str">
        <f>IF(N14673="","",COUNTIFS(RawData[[Date ]],N14673,RawData[Month List],$Q$6,RawData[Tour/Site],$Q$2,RawData[[Picker ID ]],$Q$3,RawData[Checker ID],$Q$4,RawData[[Error Type ]],$Q$5))</f>
        <v/>
      </c>
    </row>
    <row r="14674" spans="15:15" x14ac:dyDescent="0.25">
      <c r="O14674" s="20" t="str">
        <f>IF(N14674="","",COUNTIFS(RawData[[Date ]],N14674,RawData[Month List],$Q$6,RawData[Tour/Site],$Q$2,RawData[[Picker ID ]],$Q$3,RawData[Checker ID],$Q$4,RawData[[Error Type ]],$Q$5))</f>
        <v/>
      </c>
    </row>
    <row r="14675" spans="15:15" x14ac:dyDescent="0.25">
      <c r="O14675" s="20" t="str">
        <f>IF(N14675="","",COUNTIFS(RawData[[Date ]],N14675,RawData[Month List],$Q$6,RawData[Tour/Site],$Q$2,RawData[[Picker ID ]],$Q$3,RawData[Checker ID],$Q$4,RawData[[Error Type ]],$Q$5))</f>
        <v/>
      </c>
    </row>
    <row r="14676" spans="15:15" x14ac:dyDescent="0.25">
      <c r="O14676" s="20" t="str">
        <f>IF(N14676="","",COUNTIFS(RawData[[Date ]],N14676,RawData[Month List],$Q$6,RawData[Tour/Site],$Q$2,RawData[[Picker ID ]],$Q$3,RawData[Checker ID],$Q$4,RawData[[Error Type ]],$Q$5))</f>
        <v/>
      </c>
    </row>
    <row r="14677" spans="15:15" x14ac:dyDescent="0.25">
      <c r="O14677" s="20" t="str">
        <f>IF(N14677="","",COUNTIFS(RawData[[Date ]],N14677,RawData[Month List],$Q$6,RawData[Tour/Site],$Q$2,RawData[[Picker ID ]],$Q$3,RawData[Checker ID],$Q$4,RawData[[Error Type ]],$Q$5))</f>
        <v/>
      </c>
    </row>
    <row r="14678" spans="15:15" x14ac:dyDescent="0.25">
      <c r="O14678" s="20" t="str">
        <f>IF(N14678="","",COUNTIFS(RawData[[Date ]],N14678,RawData[Month List],$Q$6,RawData[Tour/Site],$Q$2,RawData[[Picker ID ]],$Q$3,RawData[Checker ID],$Q$4,RawData[[Error Type ]],$Q$5))</f>
        <v/>
      </c>
    </row>
    <row r="14679" spans="15:15" x14ac:dyDescent="0.25">
      <c r="O14679" s="20" t="str">
        <f>IF(N14679="","",COUNTIFS(RawData[[Date ]],N14679,RawData[Month List],$Q$6,RawData[Tour/Site],$Q$2,RawData[[Picker ID ]],$Q$3,RawData[Checker ID],$Q$4,RawData[[Error Type ]],$Q$5))</f>
        <v/>
      </c>
    </row>
    <row r="14680" spans="15:15" x14ac:dyDescent="0.25">
      <c r="O14680" s="20" t="str">
        <f>IF(N14680="","",COUNTIFS(RawData[[Date ]],N14680,RawData[Month List],$Q$6,RawData[Tour/Site],$Q$2,RawData[[Picker ID ]],$Q$3,RawData[Checker ID],$Q$4,RawData[[Error Type ]],$Q$5))</f>
        <v/>
      </c>
    </row>
    <row r="14681" spans="15:15" x14ac:dyDescent="0.25">
      <c r="O14681" s="20" t="str">
        <f>IF(N14681="","",COUNTIFS(RawData[[Date ]],N14681,RawData[Month List],$Q$6,RawData[Tour/Site],$Q$2,RawData[[Picker ID ]],$Q$3,RawData[Checker ID],$Q$4,RawData[[Error Type ]],$Q$5))</f>
        <v/>
      </c>
    </row>
    <row r="14682" spans="15:15" x14ac:dyDescent="0.25">
      <c r="O14682" s="20" t="str">
        <f>IF(N14682="","",COUNTIFS(RawData[[Date ]],N14682,RawData[Month List],$Q$6,RawData[Tour/Site],$Q$2,RawData[[Picker ID ]],$Q$3,RawData[Checker ID],$Q$4,RawData[[Error Type ]],$Q$5))</f>
        <v/>
      </c>
    </row>
    <row r="14683" spans="15:15" x14ac:dyDescent="0.25">
      <c r="O14683" s="20" t="str">
        <f>IF(N14683="","",COUNTIFS(RawData[[Date ]],N14683,RawData[Month List],$Q$6,RawData[Tour/Site],$Q$2,RawData[[Picker ID ]],$Q$3,RawData[Checker ID],$Q$4,RawData[[Error Type ]],$Q$5))</f>
        <v/>
      </c>
    </row>
    <row r="14684" spans="15:15" x14ac:dyDescent="0.25">
      <c r="O14684" s="20" t="str">
        <f>IF(N14684="","",COUNTIFS(RawData[[Date ]],N14684,RawData[Month List],$Q$6,RawData[Tour/Site],$Q$2,RawData[[Picker ID ]],$Q$3,RawData[Checker ID],$Q$4,RawData[[Error Type ]],$Q$5))</f>
        <v/>
      </c>
    </row>
    <row r="14685" spans="15:15" x14ac:dyDescent="0.25">
      <c r="O14685" s="20" t="str">
        <f>IF(N14685="","",COUNTIFS(RawData[[Date ]],N14685,RawData[Month List],$Q$6,RawData[Tour/Site],$Q$2,RawData[[Picker ID ]],$Q$3,RawData[Checker ID],$Q$4,RawData[[Error Type ]],$Q$5))</f>
        <v/>
      </c>
    </row>
    <row r="14686" spans="15:15" x14ac:dyDescent="0.25">
      <c r="O14686" s="20" t="str">
        <f>IF(N14686="","",COUNTIFS(RawData[[Date ]],N14686,RawData[Month List],$Q$6,RawData[Tour/Site],$Q$2,RawData[[Picker ID ]],$Q$3,RawData[Checker ID],$Q$4,RawData[[Error Type ]],$Q$5))</f>
        <v/>
      </c>
    </row>
    <row r="14687" spans="15:15" x14ac:dyDescent="0.25">
      <c r="O14687" s="20" t="str">
        <f>IF(N14687="","",COUNTIFS(RawData[[Date ]],N14687,RawData[Month List],$Q$6,RawData[Tour/Site],$Q$2,RawData[[Picker ID ]],$Q$3,RawData[Checker ID],$Q$4,RawData[[Error Type ]],$Q$5))</f>
        <v/>
      </c>
    </row>
    <row r="14688" spans="15:15" x14ac:dyDescent="0.25">
      <c r="O14688" s="20" t="str">
        <f>IF(N14688="","",COUNTIFS(RawData[[Date ]],N14688,RawData[Month List],$Q$6,RawData[Tour/Site],$Q$2,RawData[[Picker ID ]],$Q$3,RawData[Checker ID],$Q$4,RawData[[Error Type ]],$Q$5))</f>
        <v/>
      </c>
    </row>
    <row r="14689" spans="15:15" x14ac:dyDescent="0.25">
      <c r="O14689" s="20" t="str">
        <f>IF(N14689="","",COUNTIFS(RawData[[Date ]],N14689,RawData[Month List],$Q$6,RawData[Tour/Site],$Q$2,RawData[[Picker ID ]],$Q$3,RawData[Checker ID],$Q$4,RawData[[Error Type ]],$Q$5))</f>
        <v/>
      </c>
    </row>
    <row r="14690" spans="15:15" x14ac:dyDescent="0.25">
      <c r="O14690" s="20" t="str">
        <f>IF(N14690="","",COUNTIFS(RawData[[Date ]],N14690,RawData[Month List],$Q$6,RawData[Tour/Site],$Q$2,RawData[[Picker ID ]],$Q$3,RawData[Checker ID],$Q$4,RawData[[Error Type ]],$Q$5))</f>
        <v/>
      </c>
    </row>
    <row r="14691" spans="15:15" x14ac:dyDescent="0.25">
      <c r="O14691" s="20" t="str">
        <f>IF(N14691="","",COUNTIFS(RawData[[Date ]],N14691,RawData[Month List],$Q$6,RawData[Tour/Site],$Q$2,RawData[[Picker ID ]],$Q$3,RawData[Checker ID],$Q$4,RawData[[Error Type ]],$Q$5))</f>
        <v/>
      </c>
    </row>
    <row r="14692" spans="15:15" x14ac:dyDescent="0.25">
      <c r="O14692" s="20" t="str">
        <f>IF(N14692="","",COUNTIFS(RawData[[Date ]],N14692,RawData[Month List],$Q$6,RawData[Tour/Site],$Q$2,RawData[[Picker ID ]],$Q$3,RawData[Checker ID],$Q$4,RawData[[Error Type ]],$Q$5))</f>
        <v/>
      </c>
    </row>
    <row r="14693" spans="15:15" x14ac:dyDescent="0.25">
      <c r="O14693" s="20" t="str">
        <f>IF(N14693="","",COUNTIFS(RawData[[Date ]],N14693,RawData[Month List],$Q$6,RawData[Tour/Site],$Q$2,RawData[[Picker ID ]],$Q$3,RawData[Checker ID],$Q$4,RawData[[Error Type ]],$Q$5))</f>
        <v/>
      </c>
    </row>
    <row r="14694" spans="15:15" x14ac:dyDescent="0.25">
      <c r="O14694" s="20" t="str">
        <f>IF(N14694="","",COUNTIFS(RawData[[Date ]],N14694,RawData[Month List],$Q$6,RawData[Tour/Site],$Q$2,RawData[[Picker ID ]],$Q$3,RawData[Checker ID],$Q$4,RawData[[Error Type ]],$Q$5))</f>
        <v/>
      </c>
    </row>
    <row r="14695" spans="15:15" x14ac:dyDescent="0.25">
      <c r="O14695" s="20" t="str">
        <f>IF(N14695="","",COUNTIFS(RawData[[Date ]],N14695,RawData[Month List],$Q$6,RawData[Tour/Site],$Q$2,RawData[[Picker ID ]],$Q$3,RawData[Checker ID],$Q$4,RawData[[Error Type ]],$Q$5))</f>
        <v/>
      </c>
    </row>
    <row r="14696" spans="15:15" x14ac:dyDescent="0.25">
      <c r="O14696" s="20" t="str">
        <f>IF(N14696="","",COUNTIFS(RawData[[Date ]],N14696,RawData[Month List],$Q$6,RawData[Tour/Site],$Q$2,RawData[[Picker ID ]],$Q$3,RawData[Checker ID],$Q$4,RawData[[Error Type ]],$Q$5))</f>
        <v/>
      </c>
    </row>
    <row r="14697" spans="15:15" x14ac:dyDescent="0.25">
      <c r="O14697" s="20" t="str">
        <f>IF(N14697="","",COUNTIFS(RawData[[Date ]],N14697,RawData[Month List],$Q$6,RawData[Tour/Site],$Q$2,RawData[[Picker ID ]],$Q$3,RawData[Checker ID],$Q$4,RawData[[Error Type ]],$Q$5))</f>
        <v/>
      </c>
    </row>
    <row r="14698" spans="15:15" x14ac:dyDescent="0.25">
      <c r="O14698" s="20" t="str">
        <f>IF(N14698="","",COUNTIFS(RawData[[Date ]],N14698,RawData[Month List],$Q$6,RawData[Tour/Site],$Q$2,RawData[[Picker ID ]],$Q$3,RawData[Checker ID],$Q$4,RawData[[Error Type ]],$Q$5))</f>
        <v/>
      </c>
    </row>
    <row r="14699" spans="15:15" x14ac:dyDescent="0.25">
      <c r="O14699" s="20" t="str">
        <f>IF(N14699="","",COUNTIFS(RawData[[Date ]],N14699,RawData[Month List],$Q$6,RawData[Tour/Site],$Q$2,RawData[[Picker ID ]],$Q$3,RawData[Checker ID],$Q$4,RawData[[Error Type ]],$Q$5))</f>
        <v/>
      </c>
    </row>
    <row r="14700" spans="15:15" x14ac:dyDescent="0.25">
      <c r="O14700" s="20" t="str">
        <f>IF(N14700="","",COUNTIFS(RawData[[Date ]],N14700,RawData[Month List],$Q$6,RawData[Tour/Site],$Q$2,RawData[[Picker ID ]],$Q$3,RawData[Checker ID],$Q$4,RawData[[Error Type ]],$Q$5))</f>
        <v/>
      </c>
    </row>
    <row r="14701" spans="15:15" x14ac:dyDescent="0.25">
      <c r="O14701" s="20" t="str">
        <f>IF(N14701="","",COUNTIFS(RawData[[Date ]],N14701,RawData[Month List],$Q$6,RawData[Tour/Site],$Q$2,RawData[[Picker ID ]],$Q$3,RawData[Checker ID],$Q$4,RawData[[Error Type ]],$Q$5))</f>
        <v/>
      </c>
    </row>
    <row r="14702" spans="15:15" x14ac:dyDescent="0.25">
      <c r="O14702" s="20" t="str">
        <f>IF(N14702="","",COUNTIFS(RawData[[Date ]],N14702,RawData[Month List],$Q$6,RawData[Tour/Site],$Q$2,RawData[[Picker ID ]],$Q$3,RawData[Checker ID],$Q$4,RawData[[Error Type ]],$Q$5))</f>
        <v/>
      </c>
    </row>
    <row r="14703" spans="15:15" x14ac:dyDescent="0.25">
      <c r="O14703" s="20" t="str">
        <f>IF(N14703="","",COUNTIFS(RawData[[Date ]],N14703,RawData[Month List],$Q$6,RawData[Tour/Site],$Q$2,RawData[[Picker ID ]],$Q$3,RawData[Checker ID],$Q$4,RawData[[Error Type ]],$Q$5))</f>
        <v/>
      </c>
    </row>
    <row r="14704" spans="15:15" x14ac:dyDescent="0.25">
      <c r="O14704" s="20" t="str">
        <f>IF(N14704="","",COUNTIFS(RawData[[Date ]],N14704,RawData[Month List],$Q$6,RawData[Tour/Site],$Q$2,RawData[[Picker ID ]],$Q$3,RawData[Checker ID],$Q$4,RawData[[Error Type ]],$Q$5))</f>
        <v/>
      </c>
    </row>
    <row r="14705" spans="15:15" x14ac:dyDescent="0.25">
      <c r="O14705" s="20" t="str">
        <f>IF(N14705="","",COUNTIFS(RawData[[Date ]],N14705,RawData[Month List],$Q$6,RawData[Tour/Site],$Q$2,RawData[[Picker ID ]],$Q$3,RawData[Checker ID],$Q$4,RawData[[Error Type ]],$Q$5))</f>
        <v/>
      </c>
    </row>
    <row r="14706" spans="15:15" x14ac:dyDescent="0.25">
      <c r="O14706" s="20" t="str">
        <f>IF(N14706="","",COUNTIFS(RawData[[Date ]],N14706,RawData[Month List],$Q$6,RawData[Tour/Site],$Q$2,RawData[[Picker ID ]],$Q$3,RawData[Checker ID],$Q$4,RawData[[Error Type ]],$Q$5))</f>
        <v/>
      </c>
    </row>
    <row r="14707" spans="15:15" x14ac:dyDescent="0.25">
      <c r="O14707" s="20" t="str">
        <f>IF(N14707="","",COUNTIFS(RawData[[Date ]],N14707,RawData[Month List],$Q$6,RawData[Tour/Site],$Q$2,RawData[[Picker ID ]],$Q$3,RawData[Checker ID],$Q$4,RawData[[Error Type ]],$Q$5))</f>
        <v/>
      </c>
    </row>
    <row r="14708" spans="15:15" x14ac:dyDescent="0.25">
      <c r="O14708" s="20" t="str">
        <f>IF(N14708="","",COUNTIFS(RawData[[Date ]],N14708,RawData[Month List],$Q$6,RawData[Tour/Site],$Q$2,RawData[[Picker ID ]],$Q$3,RawData[Checker ID],$Q$4,RawData[[Error Type ]],$Q$5))</f>
        <v/>
      </c>
    </row>
    <row r="14709" spans="15:15" x14ac:dyDescent="0.25">
      <c r="O14709" s="20" t="str">
        <f>IF(N14709="","",COUNTIFS(RawData[[Date ]],N14709,RawData[Month List],$Q$6,RawData[Tour/Site],$Q$2,RawData[[Picker ID ]],$Q$3,RawData[Checker ID],$Q$4,RawData[[Error Type ]],$Q$5))</f>
        <v/>
      </c>
    </row>
    <row r="14710" spans="15:15" x14ac:dyDescent="0.25">
      <c r="O14710" s="20" t="str">
        <f>IF(N14710="","",COUNTIFS(RawData[[Date ]],N14710,RawData[Month List],$Q$6,RawData[Tour/Site],$Q$2,RawData[[Picker ID ]],$Q$3,RawData[Checker ID],$Q$4,RawData[[Error Type ]],$Q$5))</f>
        <v/>
      </c>
    </row>
    <row r="14711" spans="15:15" x14ac:dyDescent="0.25">
      <c r="O14711" s="20" t="str">
        <f>IF(N14711="","",COUNTIFS(RawData[[Date ]],N14711,RawData[Month List],$Q$6,RawData[Tour/Site],$Q$2,RawData[[Picker ID ]],$Q$3,RawData[Checker ID],$Q$4,RawData[[Error Type ]],$Q$5))</f>
        <v/>
      </c>
    </row>
    <row r="14712" spans="15:15" x14ac:dyDescent="0.25">
      <c r="O14712" s="20" t="str">
        <f>IF(N14712="","",COUNTIFS(RawData[[Date ]],N14712,RawData[Month List],$Q$6,RawData[Tour/Site],$Q$2,RawData[[Picker ID ]],$Q$3,RawData[Checker ID],$Q$4,RawData[[Error Type ]],$Q$5))</f>
        <v/>
      </c>
    </row>
    <row r="14713" spans="15:15" x14ac:dyDescent="0.25">
      <c r="O14713" s="20" t="str">
        <f>IF(N14713="","",COUNTIFS(RawData[[Date ]],N14713,RawData[Month List],$Q$6,RawData[Tour/Site],$Q$2,RawData[[Picker ID ]],$Q$3,RawData[Checker ID],$Q$4,RawData[[Error Type ]],$Q$5))</f>
        <v/>
      </c>
    </row>
    <row r="14714" spans="15:15" x14ac:dyDescent="0.25">
      <c r="O14714" s="20" t="str">
        <f>IF(N14714="","",COUNTIFS(RawData[[Date ]],N14714,RawData[Month List],$Q$6,RawData[Tour/Site],$Q$2,RawData[[Picker ID ]],$Q$3,RawData[Checker ID],$Q$4,RawData[[Error Type ]],$Q$5))</f>
        <v/>
      </c>
    </row>
    <row r="14715" spans="15:15" x14ac:dyDescent="0.25">
      <c r="O14715" s="20" t="str">
        <f>IF(N14715="","",COUNTIFS(RawData[[Date ]],N14715,RawData[Month List],$Q$6,RawData[Tour/Site],$Q$2,RawData[[Picker ID ]],$Q$3,RawData[Checker ID],$Q$4,RawData[[Error Type ]],$Q$5))</f>
        <v/>
      </c>
    </row>
    <row r="14716" spans="15:15" x14ac:dyDescent="0.25">
      <c r="O14716" s="20" t="str">
        <f>IF(N14716="","",COUNTIFS(RawData[[Date ]],N14716,RawData[Month List],$Q$6,RawData[Tour/Site],$Q$2,RawData[[Picker ID ]],$Q$3,RawData[Checker ID],$Q$4,RawData[[Error Type ]],$Q$5))</f>
        <v/>
      </c>
    </row>
    <row r="14717" spans="15:15" x14ac:dyDescent="0.25">
      <c r="O14717" s="20" t="str">
        <f>IF(N14717="","",COUNTIFS(RawData[[Date ]],N14717,RawData[Month List],$Q$6,RawData[Tour/Site],$Q$2,RawData[[Picker ID ]],$Q$3,RawData[Checker ID],$Q$4,RawData[[Error Type ]],$Q$5))</f>
        <v/>
      </c>
    </row>
    <row r="14718" spans="15:15" x14ac:dyDescent="0.25">
      <c r="O14718" s="20" t="str">
        <f>IF(N14718="","",COUNTIFS(RawData[[Date ]],N14718,RawData[Month List],$Q$6,RawData[Tour/Site],$Q$2,RawData[[Picker ID ]],$Q$3,RawData[Checker ID],$Q$4,RawData[[Error Type ]],$Q$5))</f>
        <v/>
      </c>
    </row>
    <row r="14719" spans="15:15" x14ac:dyDescent="0.25">
      <c r="O14719" s="20" t="str">
        <f>IF(N14719="","",COUNTIFS(RawData[[Date ]],N14719,RawData[Month List],$Q$6,RawData[Tour/Site],$Q$2,RawData[[Picker ID ]],$Q$3,RawData[Checker ID],$Q$4,RawData[[Error Type ]],$Q$5))</f>
        <v/>
      </c>
    </row>
    <row r="14720" spans="15:15" x14ac:dyDescent="0.25">
      <c r="O14720" s="20" t="str">
        <f>IF(N14720="","",COUNTIFS(RawData[[Date ]],N14720,RawData[Month List],$Q$6,RawData[Tour/Site],$Q$2,RawData[[Picker ID ]],$Q$3,RawData[Checker ID],$Q$4,RawData[[Error Type ]],$Q$5))</f>
        <v/>
      </c>
    </row>
    <row r="14721" spans="15:15" x14ac:dyDescent="0.25">
      <c r="O14721" s="20" t="str">
        <f>IF(N14721="","",COUNTIFS(RawData[[Date ]],N14721,RawData[Month List],$Q$6,RawData[Tour/Site],$Q$2,RawData[[Picker ID ]],$Q$3,RawData[Checker ID],$Q$4,RawData[[Error Type ]],$Q$5))</f>
        <v/>
      </c>
    </row>
    <row r="14722" spans="15:15" x14ac:dyDescent="0.25">
      <c r="O14722" s="20" t="str">
        <f>IF(N14722="","",COUNTIFS(RawData[[Date ]],N14722,RawData[Month List],$Q$6,RawData[Tour/Site],$Q$2,RawData[[Picker ID ]],$Q$3,RawData[Checker ID],$Q$4,RawData[[Error Type ]],$Q$5))</f>
        <v/>
      </c>
    </row>
    <row r="14723" spans="15:15" x14ac:dyDescent="0.25">
      <c r="O14723" s="20" t="str">
        <f>IF(N14723="","",COUNTIFS(RawData[[Date ]],N14723,RawData[Month List],$Q$6,RawData[Tour/Site],$Q$2,RawData[[Picker ID ]],$Q$3,RawData[Checker ID],$Q$4,RawData[[Error Type ]],$Q$5))</f>
        <v/>
      </c>
    </row>
    <row r="14724" spans="15:15" x14ac:dyDescent="0.25">
      <c r="O14724" s="20" t="str">
        <f>IF(N14724="","",COUNTIFS(RawData[[Date ]],N14724,RawData[Month List],$Q$6,RawData[Tour/Site],$Q$2,RawData[[Picker ID ]],$Q$3,RawData[Checker ID],$Q$4,RawData[[Error Type ]],$Q$5))</f>
        <v/>
      </c>
    </row>
    <row r="14725" spans="15:15" x14ac:dyDescent="0.25">
      <c r="O14725" s="20" t="str">
        <f>IF(N14725="","",COUNTIFS(RawData[[Date ]],N14725,RawData[Month List],$Q$6,RawData[Tour/Site],$Q$2,RawData[[Picker ID ]],$Q$3,RawData[Checker ID],$Q$4,RawData[[Error Type ]],$Q$5))</f>
        <v/>
      </c>
    </row>
    <row r="14726" spans="15:15" x14ac:dyDescent="0.25">
      <c r="O14726" s="20" t="str">
        <f>IF(N14726="","",COUNTIFS(RawData[[Date ]],N14726,RawData[Month List],$Q$6,RawData[Tour/Site],$Q$2,RawData[[Picker ID ]],$Q$3,RawData[Checker ID],$Q$4,RawData[[Error Type ]],$Q$5))</f>
        <v/>
      </c>
    </row>
    <row r="14727" spans="15:15" x14ac:dyDescent="0.25">
      <c r="O14727" s="20" t="str">
        <f>IF(N14727="","",COUNTIFS(RawData[[Date ]],N14727,RawData[Month List],$Q$6,RawData[Tour/Site],$Q$2,RawData[[Picker ID ]],$Q$3,RawData[Checker ID],$Q$4,RawData[[Error Type ]],$Q$5))</f>
        <v/>
      </c>
    </row>
    <row r="14728" spans="15:15" x14ac:dyDescent="0.25">
      <c r="O14728" s="20" t="str">
        <f>IF(N14728="","",COUNTIFS(RawData[[Date ]],N14728,RawData[Month List],$Q$6,RawData[Tour/Site],$Q$2,RawData[[Picker ID ]],$Q$3,RawData[Checker ID],$Q$4,RawData[[Error Type ]],$Q$5))</f>
        <v/>
      </c>
    </row>
    <row r="14729" spans="15:15" x14ac:dyDescent="0.25">
      <c r="O14729" s="20" t="str">
        <f>IF(N14729="","",COUNTIFS(RawData[[Date ]],N14729,RawData[Month List],$Q$6,RawData[Tour/Site],$Q$2,RawData[[Picker ID ]],$Q$3,RawData[Checker ID],$Q$4,RawData[[Error Type ]],$Q$5))</f>
        <v/>
      </c>
    </row>
    <row r="14730" spans="15:15" x14ac:dyDescent="0.25">
      <c r="O14730" s="20" t="str">
        <f>IF(N14730="","",COUNTIFS(RawData[[Date ]],N14730,RawData[Month List],$Q$6,RawData[Tour/Site],$Q$2,RawData[[Picker ID ]],$Q$3,RawData[Checker ID],$Q$4,RawData[[Error Type ]],$Q$5))</f>
        <v/>
      </c>
    </row>
    <row r="14731" spans="15:15" x14ac:dyDescent="0.25">
      <c r="O14731" s="20" t="str">
        <f>IF(N14731="","",COUNTIFS(RawData[[Date ]],N14731,RawData[Month List],$Q$6,RawData[Tour/Site],$Q$2,RawData[[Picker ID ]],$Q$3,RawData[Checker ID],$Q$4,RawData[[Error Type ]],$Q$5))</f>
        <v/>
      </c>
    </row>
    <row r="14732" spans="15:15" x14ac:dyDescent="0.25">
      <c r="O14732" s="20" t="str">
        <f>IF(N14732="","",COUNTIFS(RawData[[Date ]],N14732,RawData[Month List],$Q$6,RawData[Tour/Site],$Q$2,RawData[[Picker ID ]],$Q$3,RawData[Checker ID],$Q$4,RawData[[Error Type ]],$Q$5))</f>
        <v/>
      </c>
    </row>
    <row r="14733" spans="15:15" x14ac:dyDescent="0.25">
      <c r="O14733" s="20" t="str">
        <f>IF(N14733="","",COUNTIFS(RawData[[Date ]],N14733,RawData[Month List],$Q$6,RawData[Tour/Site],$Q$2,RawData[[Picker ID ]],$Q$3,RawData[Checker ID],$Q$4,RawData[[Error Type ]],$Q$5))</f>
        <v/>
      </c>
    </row>
    <row r="14734" spans="15:15" x14ac:dyDescent="0.25">
      <c r="O14734" s="20" t="str">
        <f>IF(N14734="","",COUNTIFS(RawData[[Date ]],N14734,RawData[Month List],$Q$6,RawData[Tour/Site],$Q$2,RawData[[Picker ID ]],$Q$3,RawData[Checker ID],$Q$4,RawData[[Error Type ]],$Q$5))</f>
        <v/>
      </c>
    </row>
    <row r="14735" spans="15:15" x14ac:dyDescent="0.25">
      <c r="O14735" s="20" t="str">
        <f>IF(N14735="","",COUNTIFS(RawData[[Date ]],N14735,RawData[Month List],$Q$6,RawData[Tour/Site],$Q$2,RawData[[Picker ID ]],$Q$3,RawData[Checker ID],$Q$4,RawData[[Error Type ]],$Q$5))</f>
        <v/>
      </c>
    </row>
    <row r="14736" spans="15:15" x14ac:dyDescent="0.25">
      <c r="O14736" s="20" t="str">
        <f>IF(N14736="","",COUNTIFS(RawData[[Date ]],N14736,RawData[Month List],$Q$6,RawData[Tour/Site],$Q$2,RawData[[Picker ID ]],$Q$3,RawData[Checker ID],$Q$4,RawData[[Error Type ]],$Q$5))</f>
        <v/>
      </c>
    </row>
    <row r="14737" spans="15:15" x14ac:dyDescent="0.25">
      <c r="O14737" s="20" t="str">
        <f>IF(N14737="","",COUNTIFS(RawData[[Date ]],N14737,RawData[Month List],$Q$6,RawData[Tour/Site],$Q$2,RawData[[Picker ID ]],$Q$3,RawData[Checker ID],$Q$4,RawData[[Error Type ]],$Q$5))</f>
        <v/>
      </c>
    </row>
    <row r="14738" spans="15:15" x14ac:dyDescent="0.25">
      <c r="O14738" s="20" t="str">
        <f>IF(N14738="","",COUNTIFS(RawData[[Date ]],N14738,RawData[Month List],$Q$6,RawData[Tour/Site],$Q$2,RawData[[Picker ID ]],$Q$3,RawData[Checker ID],$Q$4,RawData[[Error Type ]],$Q$5))</f>
        <v/>
      </c>
    </row>
    <row r="14739" spans="15:15" x14ac:dyDescent="0.25">
      <c r="O14739" s="20" t="str">
        <f>IF(N14739="","",COUNTIFS(RawData[[Date ]],N14739,RawData[Month List],$Q$6,RawData[Tour/Site],$Q$2,RawData[[Picker ID ]],$Q$3,RawData[Checker ID],$Q$4,RawData[[Error Type ]],$Q$5))</f>
        <v/>
      </c>
    </row>
    <row r="14740" spans="15:15" x14ac:dyDescent="0.25">
      <c r="O14740" s="20" t="str">
        <f>IF(N14740="","",COUNTIFS(RawData[[Date ]],N14740,RawData[Month List],$Q$6,RawData[Tour/Site],$Q$2,RawData[[Picker ID ]],$Q$3,RawData[Checker ID],$Q$4,RawData[[Error Type ]],$Q$5))</f>
        <v/>
      </c>
    </row>
    <row r="14741" spans="15:15" x14ac:dyDescent="0.25">
      <c r="O14741" s="20" t="str">
        <f>IF(N14741="","",COUNTIFS(RawData[[Date ]],N14741,RawData[Month List],$Q$6,RawData[Tour/Site],$Q$2,RawData[[Picker ID ]],$Q$3,RawData[Checker ID],$Q$4,RawData[[Error Type ]],$Q$5))</f>
        <v/>
      </c>
    </row>
    <row r="14742" spans="15:15" x14ac:dyDescent="0.25">
      <c r="O14742" s="20" t="str">
        <f>IF(N14742="","",COUNTIFS(RawData[[Date ]],N14742,RawData[Month List],$Q$6,RawData[Tour/Site],$Q$2,RawData[[Picker ID ]],$Q$3,RawData[Checker ID],$Q$4,RawData[[Error Type ]],$Q$5))</f>
        <v/>
      </c>
    </row>
    <row r="14743" spans="15:15" x14ac:dyDescent="0.25">
      <c r="O14743" s="20" t="str">
        <f>IF(N14743="","",COUNTIFS(RawData[[Date ]],N14743,RawData[Month List],$Q$6,RawData[Tour/Site],$Q$2,RawData[[Picker ID ]],$Q$3,RawData[Checker ID],$Q$4,RawData[[Error Type ]],$Q$5))</f>
        <v/>
      </c>
    </row>
    <row r="14744" spans="15:15" x14ac:dyDescent="0.25">
      <c r="O14744" s="20" t="str">
        <f>IF(N14744="","",COUNTIFS(RawData[[Date ]],N14744,RawData[Month List],$Q$6,RawData[Tour/Site],$Q$2,RawData[[Picker ID ]],$Q$3,RawData[Checker ID],$Q$4,RawData[[Error Type ]],$Q$5))</f>
        <v/>
      </c>
    </row>
    <row r="14745" spans="15:15" x14ac:dyDescent="0.25">
      <c r="O14745" s="20" t="str">
        <f>IF(N14745="","",COUNTIFS(RawData[[Date ]],N14745,RawData[Month List],$Q$6,RawData[Tour/Site],$Q$2,RawData[[Picker ID ]],$Q$3,RawData[Checker ID],$Q$4,RawData[[Error Type ]],$Q$5))</f>
        <v/>
      </c>
    </row>
    <row r="14746" spans="15:15" x14ac:dyDescent="0.25">
      <c r="O14746" s="20" t="str">
        <f>IF(N14746="","",COUNTIFS(RawData[[Date ]],N14746,RawData[Month List],$Q$6,RawData[Tour/Site],$Q$2,RawData[[Picker ID ]],$Q$3,RawData[Checker ID],$Q$4,RawData[[Error Type ]],$Q$5))</f>
        <v/>
      </c>
    </row>
    <row r="14747" spans="15:15" x14ac:dyDescent="0.25">
      <c r="O14747" s="20" t="str">
        <f>IF(N14747="","",COUNTIFS(RawData[[Date ]],N14747,RawData[Month List],$Q$6,RawData[Tour/Site],$Q$2,RawData[[Picker ID ]],$Q$3,RawData[Checker ID],$Q$4,RawData[[Error Type ]],$Q$5))</f>
        <v/>
      </c>
    </row>
    <row r="14748" spans="15:15" x14ac:dyDescent="0.25">
      <c r="O14748" s="20" t="str">
        <f>IF(N14748="","",COUNTIFS(RawData[[Date ]],N14748,RawData[Month List],$Q$6,RawData[Tour/Site],$Q$2,RawData[[Picker ID ]],$Q$3,RawData[Checker ID],$Q$4,RawData[[Error Type ]],$Q$5))</f>
        <v/>
      </c>
    </row>
    <row r="14749" spans="15:15" x14ac:dyDescent="0.25">
      <c r="O14749" s="20" t="str">
        <f>IF(N14749="","",COUNTIFS(RawData[[Date ]],N14749,RawData[Month List],$Q$6,RawData[Tour/Site],$Q$2,RawData[[Picker ID ]],$Q$3,RawData[Checker ID],$Q$4,RawData[[Error Type ]],$Q$5))</f>
        <v/>
      </c>
    </row>
    <row r="14750" spans="15:15" x14ac:dyDescent="0.25">
      <c r="O14750" s="20" t="str">
        <f>IF(N14750="","",COUNTIFS(RawData[[Date ]],N14750,RawData[Month List],$Q$6,RawData[Tour/Site],$Q$2,RawData[[Picker ID ]],$Q$3,RawData[Checker ID],$Q$4,RawData[[Error Type ]],$Q$5))</f>
        <v/>
      </c>
    </row>
    <row r="14751" spans="15:15" x14ac:dyDescent="0.25">
      <c r="O14751" s="20" t="str">
        <f>IF(N14751="","",COUNTIFS(RawData[[Date ]],N14751,RawData[Month List],$Q$6,RawData[Tour/Site],$Q$2,RawData[[Picker ID ]],$Q$3,RawData[Checker ID],$Q$4,RawData[[Error Type ]],$Q$5))</f>
        <v/>
      </c>
    </row>
    <row r="14752" spans="15:15" x14ac:dyDescent="0.25">
      <c r="O14752" s="20" t="str">
        <f>IF(N14752="","",COUNTIFS(RawData[[Date ]],N14752,RawData[Month List],$Q$6,RawData[Tour/Site],$Q$2,RawData[[Picker ID ]],$Q$3,RawData[Checker ID],$Q$4,RawData[[Error Type ]],$Q$5))</f>
        <v/>
      </c>
    </row>
    <row r="14753" spans="15:15" x14ac:dyDescent="0.25">
      <c r="O14753" s="20" t="str">
        <f>IF(N14753="","",COUNTIFS(RawData[[Date ]],N14753,RawData[Month List],$Q$6,RawData[Tour/Site],$Q$2,RawData[[Picker ID ]],$Q$3,RawData[Checker ID],$Q$4,RawData[[Error Type ]],$Q$5))</f>
        <v/>
      </c>
    </row>
    <row r="14754" spans="15:15" x14ac:dyDescent="0.25">
      <c r="O14754" s="20" t="str">
        <f>IF(N14754="","",COUNTIFS(RawData[[Date ]],N14754,RawData[Month List],$Q$6,RawData[Tour/Site],$Q$2,RawData[[Picker ID ]],$Q$3,RawData[Checker ID],$Q$4,RawData[[Error Type ]],$Q$5))</f>
        <v/>
      </c>
    </row>
    <row r="14755" spans="15:15" x14ac:dyDescent="0.25">
      <c r="O14755" s="20" t="str">
        <f>IF(N14755="","",COUNTIFS(RawData[[Date ]],N14755,RawData[Month List],$Q$6,RawData[Tour/Site],$Q$2,RawData[[Picker ID ]],$Q$3,RawData[Checker ID],$Q$4,RawData[[Error Type ]],$Q$5))</f>
        <v/>
      </c>
    </row>
    <row r="14756" spans="15:15" x14ac:dyDescent="0.25">
      <c r="O14756" s="20" t="str">
        <f>IF(N14756="","",COUNTIFS(RawData[[Date ]],N14756,RawData[Month List],$Q$6,RawData[Tour/Site],$Q$2,RawData[[Picker ID ]],$Q$3,RawData[Checker ID],$Q$4,RawData[[Error Type ]],$Q$5))</f>
        <v/>
      </c>
    </row>
    <row r="14757" spans="15:15" x14ac:dyDescent="0.25">
      <c r="O14757" s="20" t="str">
        <f>IF(N14757="","",COUNTIFS(RawData[[Date ]],N14757,RawData[Month List],$Q$6,RawData[Tour/Site],$Q$2,RawData[[Picker ID ]],$Q$3,RawData[Checker ID],$Q$4,RawData[[Error Type ]],$Q$5))</f>
        <v/>
      </c>
    </row>
    <row r="14758" spans="15:15" x14ac:dyDescent="0.25">
      <c r="O14758" s="20" t="str">
        <f>IF(N14758="","",COUNTIFS(RawData[[Date ]],N14758,RawData[Month List],$Q$6,RawData[Tour/Site],$Q$2,RawData[[Picker ID ]],$Q$3,RawData[Checker ID],$Q$4,RawData[[Error Type ]],$Q$5))</f>
        <v/>
      </c>
    </row>
    <row r="14759" spans="15:15" x14ac:dyDescent="0.25">
      <c r="O14759" s="20" t="str">
        <f>IF(N14759="","",COUNTIFS(RawData[[Date ]],N14759,RawData[Month List],$Q$6,RawData[Tour/Site],$Q$2,RawData[[Picker ID ]],$Q$3,RawData[Checker ID],$Q$4,RawData[[Error Type ]],$Q$5))</f>
        <v/>
      </c>
    </row>
    <row r="14760" spans="15:15" x14ac:dyDescent="0.25">
      <c r="O14760" s="20" t="str">
        <f>IF(N14760="","",COUNTIFS(RawData[[Date ]],N14760,RawData[Month List],$Q$6,RawData[Tour/Site],$Q$2,RawData[[Picker ID ]],$Q$3,RawData[Checker ID],$Q$4,RawData[[Error Type ]],$Q$5))</f>
        <v/>
      </c>
    </row>
    <row r="14761" spans="15:15" x14ac:dyDescent="0.25">
      <c r="O14761" s="20" t="str">
        <f>IF(N14761="","",COUNTIFS(RawData[[Date ]],N14761,RawData[Month List],$Q$6,RawData[Tour/Site],$Q$2,RawData[[Picker ID ]],$Q$3,RawData[Checker ID],$Q$4,RawData[[Error Type ]],$Q$5))</f>
        <v/>
      </c>
    </row>
    <row r="14762" spans="15:15" x14ac:dyDescent="0.25">
      <c r="O14762" s="20" t="str">
        <f>IF(N14762="","",COUNTIFS(RawData[[Date ]],N14762,RawData[Month List],$Q$6,RawData[Tour/Site],$Q$2,RawData[[Picker ID ]],$Q$3,RawData[Checker ID],$Q$4,RawData[[Error Type ]],$Q$5))</f>
        <v/>
      </c>
    </row>
    <row r="14763" spans="15:15" x14ac:dyDescent="0.25">
      <c r="O14763" s="20" t="str">
        <f>IF(N14763="","",COUNTIFS(RawData[[Date ]],N14763,RawData[Month List],$Q$6,RawData[Tour/Site],$Q$2,RawData[[Picker ID ]],$Q$3,RawData[Checker ID],$Q$4,RawData[[Error Type ]],$Q$5))</f>
        <v/>
      </c>
    </row>
    <row r="14764" spans="15:15" x14ac:dyDescent="0.25">
      <c r="O14764" s="20" t="str">
        <f>IF(N14764="","",COUNTIFS(RawData[[Date ]],N14764,RawData[Month List],$Q$6,RawData[Tour/Site],$Q$2,RawData[[Picker ID ]],$Q$3,RawData[Checker ID],$Q$4,RawData[[Error Type ]],$Q$5))</f>
        <v/>
      </c>
    </row>
    <row r="14765" spans="15:15" x14ac:dyDescent="0.25">
      <c r="O14765" s="20" t="str">
        <f>IF(N14765="","",COUNTIFS(RawData[[Date ]],N14765,RawData[Month List],$Q$6,RawData[Tour/Site],$Q$2,RawData[[Picker ID ]],$Q$3,RawData[Checker ID],$Q$4,RawData[[Error Type ]],$Q$5))</f>
        <v/>
      </c>
    </row>
    <row r="14766" spans="15:15" x14ac:dyDescent="0.25">
      <c r="O14766" s="20" t="str">
        <f>IF(N14766="","",COUNTIFS(RawData[[Date ]],N14766,RawData[Month List],$Q$6,RawData[Tour/Site],$Q$2,RawData[[Picker ID ]],$Q$3,RawData[Checker ID],$Q$4,RawData[[Error Type ]],$Q$5))</f>
        <v/>
      </c>
    </row>
    <row r="14767" spans="15:15" x14ac:dyDescent="0.25">
      <c r="O14767" s="20" t="str">
        <f>IF(N14767="","",COUNTIFS(RawData[[Date ]],N14767,RawData[Month List],$Q$6,RawData[Tour/Site],$Q$2,RawData[[Picker ID ]],$Q$3,RawData[Checker ID],$Q$4,RawData[[Error Type ]],$Q$5))</f>
        <v/>
      </c>
    </row>
    <row r="14768" spans="15:15" x14ac:dyDescent="0.25">
      <c r="O14768" s="20" t="str">
        <f>IF(N14768="","",COUNTIFS(RawData[[Date ]],N14768,RawData[Month List],$Q$6,RawData[Tour/Site],$Q$2,RawData[[Picker ID ]],$Q$3,RawData[Checker ID],$Q$4,RawData[[Error Type ]],$Q$5))</f>
        <v/>
      </c>
    </row>
    <row r="14769" spans="15:15" x14ac:dyDescent="0.25">
      <c r="O14769" s="20" t="str">
        <f>IF(N14769="","",COUNTIFS(RawData[[Date ]],N14769,RawData[Month List],$Q$6,RawData[Tour/Site],$Q$2,RawData[[Picker ID ]],$Q$3,RawData[Checker ID],$Q$4,RawData[[Error Type ]],$Q$5))</f>
        <v/>
      </c>
    </row>
    <row r="14770" spans="15:15" x14ac:dyDescent="0.25">
      <c r="O14770" s="20" t="str">
        <f>IF(N14770="","",COUNTIFS(RawData[[Date ]],N14770,RawData[Month List],$Q$6,RawData[Tour/Site],$Q$2,RawData[[Picker ID ]],$Q$3,RawData[Checker ID],$Q$4,RawData[[Error Type ]],$Q$5))</f>
        <v/>
      </c>
    </row>
    <row r="14771" spans="15:15" x14ac:dyDescent="0.25">
      <c r="O14771" s="20" t="str">
        <f>IF(N14771="","",COUNTIFS(RawData[[Date ]],N14771,RawData[Month List],$Q$6,RawData[Tour/Site],$Q$2,RawData[[Picker ID ]],$Q$3,RawData[Checker ID],$Q$4,RawData[[Error Type ]],$Q$5))</f>
        <v/>
      </c>
    </row>
    <row r="14772" spans="15:15" x14ac:dyDescent="0.25">
      <c r="O14772" s="20" t="str">
        <f>IF(N14772="","",COUNTIFS(RawData[[Date ]],N14772,RawData[Month List],$Q$6,RawData[Tour/Site],$Q$2,RawData[[Picker ID ]],$Q$3,RawData[Checker ID],$Q$4,RawData[[Error Type ]],$Q$5))</f>
        <v/>
      </c>
    </row>
    <row r="14773" spans="15:15" x14ac:dyDescent="0.25">
      <c r="O14773" s="20" t="str">
        <f>IF(N14773="","",COUNTIFS(RawData[[Date ]],N14773,RawData[Month List],$Q$6,RawData[Tour/Site],$Q$2,RawData[[Picker ID ]],$Q$3,RawData[Checker ID],$Q$4,RawData[[Error Type ]],$Q$5))</f>
        <v/>
      </c>
    </row>
    <row r="14774" spans="15:15" x14ac:dyDescent="0.25">
      <c r="O14774" s="20" t="str">
        <f>IF(N14774="","",COUNTIFS(RawData[[Date ]],N14774,RawData[Month List],$Q$6,RawData[Tour/Site],$Q$2,RawData[[Picker ID ]],$Q$3,RawData[Checker ID],$Q$4,RawData[[Error Type ]],$Q$5))</f>
        <v/>
      </c>
    </row>
    <row r="14775" spans="15:15" x14ac:dyDescent="0.25">
      <c r="O14775" s="20" t="str">
        <f>IF(N14775="","",COUNTIFS(RawData[[Date ]],N14775,RawData[Month List],$Q$6,RawData[Tour/Site],$Q$2,RawData[[Picker ID ]],$Q$3,RawData[Checker ID],$Q$4,RawData[[Error Type ]],$Q$5))</f>
        <v/>
      </c>
    </row>
    <row r="14776" spans="15:15" x14ac:dyDescent="0.25">
      <c r="O14776" s="20" t="str">
        <f>IF(N14776="","",COUNTIFS(RawData[[Date ]],N14776,RawData[Month List],$Q$6,RawData[Tour/Site],$Q$2,RawData[[Picker ID ]],$Q$3,RawData[Checker ID],$Q$4,RawData[[Error Type ]],$Q$5))</f>
        <v/>
      </c>
    </row>
    <row r="14777" spans="15:15" x14ac:dyDescent="0.25">
      <c r="O14777" s="20" t="str">
        <f>IF(N14777="","",COUNTIFS(RawData[[Date ]],N14777,RawData[Month List],$Q$6,RawData[Tour/Site],$Q$2,RawData[[Picker ID ]],$Q$3,RawData[Checker ID],$Q$4,RawData[[Error Type ]],$Q$5))</f>
        <v/>
      </c>
    </row>
    <row r="14778" spans="15:15" x14ac:dyDescent="0.25">
      <c r="O14778" s="20" t="str">
        <f>IF(N14778="","",COUNTIFS(RawData[[Date ]],N14778,RawData[Month List],$Q$6,RawData[Tour/Site],$Q$2,RawData[[Picker ID ]],$Q$3,RawData[Checker ID],$Q$4,RawData[[Error Type ]],$Q$5))</f>
        <v/>
      </c>
    </row>
    <row r="14779" spans="15:15" x14ac:dyDescent="0.25">
      <c r="O14779" s="20" t="str">
        <f>IF(N14779="","",COUNTIFS(RawData[[Date ]],N14779,RawData[Month List],$Q$6,RawData[Tour/Site],$Q$2,RawData[[Picker ID ]],$Q$3,RawData[Checker ID],$Q$4,RawData[[Error Type ]],$Q$5))</f>
        <v/>
      </c>
    </row>
    <row r="14780" spans="15:15" x14ac:dyDescent="0.25">
      <c r="O14780" s="20" t="str">
        <f>IF(N14780="","",COUNTIFS(RawData[[Date ]],N14780,RawData[Month List],$Q$6,RawData[Tour/Site],$Q$2,RawData[[Picker ID ]],$Q$3,RawData[Checker ID],$Q$4,RawData[[Error Type ]],$Q$5))</f>
        <v/>
      </c>
    </row>
    <row r="14781" spans="15:15" x14ac:dyDescent="0.25">
      <c r="O14781" s="20" t="str">
        <f>IF(N14781="","",COUNTIFS(RawData[[Date ]],N14781,RawData[Month List],$Q$6,RawData[Tour/Site],$Q$2,RawData[[Picker ID ]],$Q$3,RawData[Checker ID],$Q$4,RawData[[Error Type ]],$Q$5))</f>
        <v/>
      </c>
    </row>
    <row r="14782" spans="15:15" x14ac:dyDescent="0.25">
      <c r="O14782" s="20" t="str">
        <f>IF(N14782="","",COUNTIFS(RawData[[Date ]],N14782,RawData[Month List],$Q$6,RawData[Tour/Site],$Q$2,RawData[[Picker ID ]],$Q$3,RawData[Checker ID],$Q$4,RawData[[Error Type ]],$Q$5))</f>
        <v/>
      </c>
    </row>
    <row r="14783" spans="15:15" x14ac:dyDescent="0.25">
      <c r="O14783" s="20" t="str">
        <f>IF(N14783="","",COUNTIFS(RawData[[Date ]],N14783,RawData[Month List],$Q$6,RawData[Tour/Site],$Q$2,RawData[[Picker ID ]],$Q$3,RawData[Checker ID],$Q$4,RawData[[Error Type ]],$Q$5))</f>
        <v/>
      </c>
    </row>
    <row r="14784" spans="15:15" x14ac:dyDescent="0.25">
      <c r="O14784" s="20" t="str">
        <f>IF(N14784="","",COUNTIFS(RawData[[Date ]],N14784,RawData[Month List],$Q$6,RawData[Tour/Site],$Q$2,RawData[[Picker ID ]],$Q$3,RawData[Checker ID],$Q$4,RawData[[Error Type ]],$Q$5))</f>
        <v/>
      </c>
    </row>
    <row r="14785" spans="15:15" x14ac:dyDescent="0.25">
      <c r="O14785" s="20" t="str">
        <f>IF(N14785="","",COUNTIFS(RawData[[Date ]],N14785,RawData[Month List],$Q$6,RawData[Tour/Site],$Q$2,RawData[[Picker ID ]],$Q$3,RawData[Checker ID],$Q$4,RawData[[Error Type ]],$Q$5))</f>
        <v/>
      </c>
    </row>
    <row r="14786" spans="15:15" x14ac:dyDescent="0.25">
      <c r="O14786" s="20" t="str">
        <f>IF(N14786="","",COUNTIFS(RawData[[Date ]],N14786,RawData[Month List],$Q$6,RawData[Tour/Site],$Q$2,RawData[[Picker ID ]],$Q$3,RawData[Checker ID],$Q$4,RawData[[Error Type ]],$Q$5))</f>
        <v/>
      </c>
    </row>
    <row r="14787" spans="15:15" x14ac:dyDescent="0.25">
      <c r="O14787" s="20" t="str">
        <f>IF(N14787="","",COUNTIFS(RawData[[Date ]],N14787,RawData[Month List],$Q$6,RawData[Tour/Site],$Q$2,RawData[[Picker ID ]],$Q$3,RawData[Checker ID],$Q$4,RawData[[Error Type ]],$Q$5))</f>
        <v/>
      </c>
    </row>
    <row r="14788" spans="15:15" x14ac:dyDescent="0.25">
      <c r="O14788" s="20" t="str">
        <f>IF(N14788="","",COUNTIFS(RawData[[Date ]],N14788,RawData[Month List],$Q$6,RawData[Tour/Site],$Q$2,RawData[[Picker ID ]],$Q$3,RawData[Checker ID],$Q$4,RawData[[Error Type ]],$Q$5))</f>
        <v/>
      </c>
    </row>
    <row r="14789" spans="15:15" x14ac:dyDescent="0.25">
      <c r="O14789" s="20" t="str">
        <f>IF(N14789="","",COUNTIFS(RawData[[Date ]],N14789,RawData[Month List],$Q$6,RawData[Tour/Site],$Q$2,RawData[[Picker ID ]],$Q$3,RawData[Checker ID],$Q$4,RawData[[Error Type ]],$Q$5))</f>
        <v/>
      </c>
    </row>
    <row r="14790" spans="15:15" x14ac:dyDescent="0.25">
      <c r="O14790" s="20" t="str">
        <f>IF(N14790="","",COUNTIFS(RawData[[Date ]],N14790,RawData[Month List],$Q$6,RawData[Tour/Site],$Q$2,RawData[[Picker ID ]],$Q$3,RawData[Checker ID],$Q$4,RawData[[Error Type ]],$Q$5))</f>
        <v/>
      </c>
    </row>
    <row r="14791" spans="15:15" x14ac:dyDescent="0.25">
      <c r="O14791" s="20" t="str">
        <f>IF(N14791="","",COUNTIFS(RawData[[Date ]],N14791,RawData[Month List],$Q$6,RawData[Tour/Site],$Q$2,RawData[[Picker ID ]],$Q$3,RawData[Checker ID],$Q$4,RawData[[Error Type ]],$Q$5))</f>
        <v/>
      </c>
    </row>
    <row r="14792" spans="15:15" x14ac:dyDescent="0.25">
      <c r="O14792" s="20" t="str">
        <f>IF(N14792="","",COUNTIFS(RawData[[Date ]],N14792,RawData[Month List],$Q$6,RawData[Tour/Site],$Q$2,RawData[[Picker ID ]],$Q$3,RawData[Checker ID],$Q$4,RawData[[Error Type ]],$Q$5))</f>
        <v/>
      </c>
    </row>
    <row r="14793" spans="15:15" x14ac:dyDescent="0.25">
      <c r="O14793" s="20" t="str">
        <f>IF(N14793="","",COUNTIFS(RawData[[Date ]],N14793,RawData[Month List],$Q$6,RawData[Tour/Site],$Q$2,RawData[[Picker ID ]],$Q$3,RawData[Checker ID],$Q$4,RawData[[Error Type ]],$Q$5))</f>
        <v/>
      </c>
    </row>
    <row r="14794" spans="15:15" x14ac:dyDescent="0.25">
      <c r="O14794" s="20" t="str">
        <f>IF(N14794="","",COUNTIFS(RawData[[Date ]],N14794,RawData[Month List],$Q$6,RawData[Tour/Site],$Q$2,RawData[[Picker ID ]],$Q$3,RawData[Checker ID],$Q$4,RawData[[Error Type ]],$Q$5))</f>
        <v/>
      </c>
    </row>
    <row r="14795" spans="15:15" x14ac:dyDescent="0.25">
      <c r="O14795" s="20" t="str">
        <f>IF(N14795="","",COUNTIFS(RawData[[Date ]],N14795,RawData[Month List],$Q$6,RawData[Tour/Site],$Q$2,RawData[[Picker ID ]],$Q$3,RawData[Checker ID],$Q$4,RawData[[Error Type ]],$Q$5))</f>
        <v/>
      </c>
    </row>
    <row r="14796" spans="15:15" x14ac:dyDescent="0.25">
      <c r="O14796" s="20" t="str">
        <f>IF(N14796="","",COUNTIFS(RawData[[Date ]],N14796,RawData[Month List],$Q$6,RawData[Tour/Site],$Q$2,RawData[[Picker ID ]],$Q$3,RawData[Checker ID],$Q$4,RawData[[Error Type ]],$Q$5))</f>
        <v/>
      </c>
    </row>
    <row r="14797" spans="15:15" x14ac:dyDescent="0.25">
      <c r="O14797" s="20" t="str">
        <f>IF(N14797="","",COUNTIFS(RawData[[Date ]],N14797,RawData[Month List],$Q$6,RawData[Tour/Site],$Q$2,RawData[[Picker ID ]],$Q$3,RawData[Checker ID],$Q$4,RawData[[Error Type ]],$Q$5))</f>
        <v/>
      </c>
    </row>
    <row r="14798" spans="15:15" x14ac:dyDescent="0.25">
      <c r="O14798" s="20" t="str">
        <f>IF(N14798="","",COUNTIFS(RawData[[Date ]],N14798,RawData[Month List],$Q$6,RawData[Tour/Site],$Q$2,RawData[[Picker ID ]],$Q$3,RawData[Checker ID],$Q$4,RawData[[Error Type ]],$Q$5))</f>
        <v/>
      </c>
    </row>
    <row r="14799" spans="15:15" x14ac:dyDescent="0.25">
      <c r="O14799" s="20" t="str">
        <f>IF(N14799="","",COUNTIFS(RawData[[Date ]],N14799,RawData[Month List],$Q$6,RawData[Tour/Site],$Q$2,RawData[[Picker ID ]],$Q$3,RawData[Checker ID],$Q$4,RawData[[Error Type ]],$Q$5))</f>
        <v/>
      </c>
    </row>
    <row r="14800" spans="15:15" x14ac:dyDescent="0.25">
      <c r="O14800" s="20" t="str">
        <f>IF(N14800="","",COUNTIFS(RawData[[Date ]],N14800,RawData[Month List],$Q$6,RawData[Tour/Site],$Q$2,RawData[[Picker ID ]],$Q$3,RawData[Checker ID],$Q$4,RawData[[Error Type ]],$Q$5))</f>
        <v/>
      </c>
    </row>
    <row r="14801" spans="15:15" x14ac:dyDescent="0.25">
      <c r="O14801" s="20" t="str">
        <f>IF(N14801="","",COUNTIFS(RawData[[Date ]],N14801,RawData[Month List],$Q$6,RawData[Tour/Site],$Q$2,RawData[[Picker ID ]],$Q$3,RawData[Checker ID],$Q$4,RawData[[Error Type ]],$Q$5))</f>
        <v/>
      </c>
    </row>
    <row r="14802" spans="15:15" x14ac:dyDescent="0.25">
      <c r="O14802" s="20" t="str">
        <f>IF(N14802="","",COUNTIFS(RawData[[Date ]],N14802,RawData[Month List],$Q$6,RawData[Tour/Site],$Q$2,RawData[[Picker ID ]],$Q$3,RawData[Checker ID],$Q$4,RawData[[Error Type ]],$Q$5))</f>
        <v/>
      </c>
    </row>
    <row r="14803" spans="15:15" x14ac:dyDescent="0.25">
      <c r="O14803" s="20" t="str">
        <f>IF(N14803="","",COUNTIFS(RawData[[Date ]],N14803,RawData[Month List],$Q$6,RawData[Tour/Site],$Q$2,RawData[[Picker ID ]],$Q$3,RawData[Checker ID],$Q$4,RawData[[Error Type ]],$Q$5))</f>
        <v/>
      </c>
    </row>
    <row r="14804" spans="15:15" x14ac:dyDescent="0.25">
      <c r="O14804" s="20" t="str">
        <f>IF(N14804="","",COUNTIFS(RawData[[Date ]],N14804,RawData[Month List],$Q$6,RawData[Tour/Site],$Q$2,RawData[[Picker ID ]],$Q$3,RawData[Checker ID],$Q$4,RawData[[Error Type ]],$Q$5))</f>
        <v/>
      </c>
    </row>
    <row r="14805" spans="15:15" x14ac:dyDescent="0.25">
      <c r="O14805" s="20" t="str">
        <f>IF(N14805="","",COUNTIFS(RawData[[Date ]],N14805,RawData[Month List],$Q$6,RawData[Tour/Site],$Q$2,RawData[[Picker ID ]],$Q$3,RawData[Checker ID],$Q$4,RawData[[Error Type ]],$Q$5))</f>
        <v/>
      </c>
    </row>
    <row r="14806" spans="15:15" x14ac:dyDescent="0.25">
      <c r="O14806" s="20" t="str">
        <f>IF(N14806="","",COUNTIFS(RawData[[Date ]],N14806,RawData[Month List],$Q$6,RawData[Tour/Site],$Q$2,RawData[[Picker ID ]],$Q$3,RawData[Checker ID],$Q$4,RawData[[Error Type ]],$Q$5))</f>
        <v/>
      </c>
    </row>
    <row r="14807" spans="15:15" x14ac:dyDescent="0.25">
      <c r="O14807" s="20" t="str">
        <f>IF(N14807="","",COUNTIFS(RawData[[Date ]],N14807,RawData[Month List],$Q$6,RawData[Tour/Site],$Q$2,RawData[[Picker ID ]],$Q$3,RawData[Checker ID],$Q$4,RawData[[Error Type ]],$Q$5))</f>
        <v/>
      </c>
    </row>
    <row r="14808" spans="15:15" x14ac:dyDescent="0.25">
      <c r="O14808" s="20" t="str">
        <f>IF(N14808="","",COUNTIFS(RawData[[Date ]],N14808,RawData[Month List],$Q$6,RawData[Tour/Site],$Q$2,RawData[[Picker ID ]],$Q$3,RawData[Checker ID],$Q$4,RawData[[Error Type ]],$Q$5))</f>
        <v/>
      </c>
    </row>
    <row r="14809" spans="15:15" x14ac:dyDescent="0.25">
      <c r="O14809" s="20" t="str">
        <f>IF(N14809="","",COUNTIFS(RawData[[Date ]],N14809,RawData[Month List],$Q$6,RawData[Tour/Site],$Q$2,RawData[[Picker ID ]],$Q$3,RawData[Checker ID],$Q$4,RawData[[Error Type ]],$Q$5))</f>
        <v/>
      </c>
    </row>
    <row r="14810" spans="15:15" x14ac:dyDescent="0.25">
      <c r="O14810" s="20" t="str">
        <f>IF(N14810="","",COUNTIFS(RawData[[Date ]],N14810,RawData[Month List],$Q$6,RawData[Tour/Site],$Q$2,RawData[[Picker ID ]],$Q$3,RawData[Checker ID],$Q$4,RawData[[Error Type ]],$Q$5))</f>
        <v/>
      </c>
    </row>
    <row r="14811" spans="15:15" x14ac:dyDescent="0.25">
      <c r="O14811" s="20" t="str">
        <f>IF(N14811="","",COUNTIFS(RawData[[Date ]],N14811,RawData[Month List],$Q$6,RawData[Tour/Site],$Q$2,RawData[[Picker ID ]],$Q$3,RawData[Checker ID],$Q$4,RawData[[Error Type ]],$Q$5))</f>
        <v/>
      </c>
    </row>
    <row r="14812" spans="15:15" x14ac:dyDescent="0.25">
      <c r="O14812" s="20" t="str">
        <f>IF(N14812="","",COUNTIFS(RawData[[Date ]],N14812,RawData[Month List],$Q$6,RawData[Tour/Site],$Q$2,RawData[[Picker ID ]],$Q$3,RawData[Checker ID],$Q$4,RawData[[Error Type ]],$Q$5))</f>
        <v/>
      </c>
    </row>
    <row r="14813" spans="15:15" x14ac:dyDescent="0.25">
      <c r="O14813" s="20" t="str">
        <f>IF(N14813="","",COUNTIFS(RawData[[Date ]],N14813,RawData[Month List],$Q$6,RawData[Tour/Site],$Q$2,RawData[[Picker ID ]],$Q$3,RawData[Checker ID],$Q$4,RawData[[Error Type ]],$Q$5))</f>
        <v/>
      </c>
    </row>
    <row r="14814" spans="15:15" x14ac:dyDescent="0.25">
      <c r="O14814" s="20" t="str">
        <f>IF(N14814="","",COUNTIFS(RawData[[Date ]],N14814,RawData[Month List],$Q$6,RawData[Tour/Site],$Q$2,RawData[[Picker ID ]],$Q$3,RawData[Checker ID],$Q$4,RawData[[Error Type ]],$Q$5))</f>
        <v/>
      </c>
    </row>
    <row r="14815" spans="15:15" x14ac:dyDescent="0.25">
      <c r="O14815" s="20" t="str">
        <f>IF(N14815="","",COUNTIFS(RawData[[Date ]],N14815,RawData[Month List],$Q$6,RawData[Tour/Site],$Q$2,RawData[[Picker ID ]],$Q$3,RawData[Checker ID],$Q$4,RawData[[Error Type ]],$Q$5))</f>
        <v/>
      </c>
    </row>
    <row r="14816" spans="15:15" x14ac:dyDescent="0.25">
      <c r="O14816" s="20" t="str">
        <f>IF(N14816="","",COUNTIFS(RawData[[Date ]],N14816,RawData[Month List],$Q$6,RawData[Tour/Site],$Q$2,RawData[[Picker ID ]],$Q$3,RawData[Checker ID],$Q$4,RawData[[Error Type ]],$Q$5))</f>
        <v/>
      </c>
    </row>
    <row r="14817" spans="15:15" x14ac:dyDescent="0.25">
      <c r="O14817" s="20" t="str">
        <f>IF(N14817="","",COUNTIFS(RawData[[Date ]],N14817,RawData[Month List],$Q$6,RawData[Tour/Site],$Q$2,RawData[[Picker ID ]],$Q$3,RawData[Checker ID],$Q$4,RawData[[Error Type ]],$Q$5))</f>
        <v/>
      </c>
    </row>
    <row r="14818" spans="15:15" x14ac:dyDescent="0.25">
      <c r="O14818" s="20" t="str">
        <f>IF(N14818="","",COUNTIFS(RawData[[Date ]],N14818,RawData[Month List],$Q$6,RawData[Tour/Site],$Q$2,RawData[[Picker ID ]],$Q$3,RawData[Checker ID],$Q$4,RawData[[Error Type ]],$Q$5))</f>
        <v/>
      </c>
    </row>
    <row r="14819" spans="15:15" x14ac:dyDescent="0.25">
      <c r="O14819" s="20" t="str">
        <f>IF(N14819="","",COUNTIFS(RawData[[Date ]],N14819,RawData[Month List],$Q$6,RawData[Tour/Site],$Q$2,RawData[[Picker ID ]],$Q$3,RawData[Checker ID],$Q$4,RawData[[Error Type ]],$Q$5))</f>
        <v/>
      </c>
    </row>
    <row r="14820" spans="15:15" x14ac:dyDescent="0.25">
      <c r="O14820" s="20" t="str">
        <f>IF(N14820="","",COUNTIFS(RawData[[Date ]],N14820,RawData[Month List],$Q$6,RawData[Tour/Site],$Q$2,RawData[[Picker ID ]],$Q$3,RawData[Checker ID],$Q$4,RawData[[Error Type ]],$Q$5))</f>
        <v/>
      </c>
    </row>
    <row r="14821" spans="15:15" x14ac:dyDescent="0.25">
      <c r="O14821" s="20" t="str">
        <f>IF(N14821="","",COUNTIFS(RawData[[Date ]],N14821,RawData[Month List],$Q$6,RawData[Tour/Site],$Q$2,RawData[[Picker ID ]],$Q$3,RawData[Checker ID],$Q$4,RawData[[Error Type ]],$Q$5))</f>
        <v/>
      </c>
    </row>
    <row r="14822" spans="15:15" x14ac:dyDescent="0.25">
      <c r="O14822" s="20" t="str">
        <f>IF(N14822="","",COUNTIFS(RawData[[Date ]],N14822,RawData[Month List],$Q$6,RawData[Tour/Site],$Q$2,RawData[[Picker ID ]],$Q$3,RawData[Checker ID],$Q$4,RawData[[Error Type ]],$Q$5))</f>
        <v/>
      </c>
    </row>
    <row r="14823" spans="15:15" x14ac:dyDescent="0.25">
      <c r="O14823" s="20" t="str">
        <f>IF(N14823="","",COUNTIFS(RawData[[Date ]],N14823,RawData[Month List],$Q$6,RawData[Tour/Site],$Q$2,RawData[[Picker ID ]],$Q$3,RawData[Checker ID],$Q$4,RawData[[Error Type ]],$Q$5))</f>
        <v/>
      </c>
    </row>
    <row r="14824" spans="15:15" x14ac:dyDescent="0.25">
      <c r="O14824" s="20" t="str">
        <f>IF(N14824="","",COUNTIFS(RawData[[Date ]],N14824,RawData[Month List],$Q$6,RawData[Tour/Site],$Q$2,RawData[[Picker ID ]],$Q$3,RawData[Checker ID],$Q$4,RawData[[Error Type ]],$Q$5))</f>
        <v/>
      </c>
    </row>
    <row r="14825" spans="15:15" x14ac:dyDescent="0.25">
      <c r="O14825" s="20" t="str">
        <f>IF(N14825="","",COUNTIFS(RawData[[Date ]],N14825,RawData[Month List],$Q$6,RawData[Tour/Site],$Q$2,RawData[[Picker ID ]],$Q$3,RawData[Checker ID],$Q$4,RawData[[Error Type ]],$Q$5))</f>
        <v/>
      </c>
    </row>
    <row r="14826" spans="15:15" x14ac:dyDescent="0.25">
      <c r="O14826" s="20" t="str">
        <f>IF(N14826="","",COUNTIFS(RawData[[Date ]],N14826,RawData[Month List],$Q$6,RawData[Tour/Site],$Q$2,RawData[[Picker ID ]],$Q$3,RawData[Checker ID],$Q$4,RawData[[Error Type ]],$Q$5))</f>
        <v/>
      </c>
    </row>
    <row r="14827" spans="15:15" x14ac:dyDescent="0.25">
      <c r="O14827" s="20" t="str">
        <f>IF(N14827="","",COUNTIFS(RawData[[Date ]],N14827,RawData[Month List],$Q$6,RawData[Tour/Site],$Q$2,RawData[[Picker ID ]],$Q$3,RawData[Checker ID],$Q$4,RawData[[Error Type ]],$Q$5))</f>
        <v/>
      </c>
    </row>
    <row r="14828" spans="15:15" x14ac:dyDescent="0.25">
      <c r="O14828" s="20" t="str">
        <f>IF(N14828="","",COUNTIFS(RawData[[Date ]],N14828,RawData[Month List],$Q$6,RawData[Tour/Site],$Q$2,RawData[[Picker ID ]],$Q$3,RawData[Checker ID],$Q$4,RawData[[Error Type ]],$Q$5))</f>
        <v/>
      </c>
    </row>
    <row r="14829" spans="15:15" x14ac:dyDescent="0.25">
      <c r="O14829" s="20" t="str">
        <f>IF(N14829="","",COUNTIFS(RawData[[Date ]],N14829,RawData[Month List],$Q$6,RawData[Tour/Site],$Q$2,RawData[[Picker ID ]],$Q$3,RawData[Checker ID],$Q$4,RawData[[Error Type ]],$Q$5))</f>
        <v/>
      </c>
    </row>
    <row r="14830" spans="15:15" x14ac:dyDescent="0.25">
      <c r="O14830" s="20" t="str">
        <f>IF(N14830="","",COUNTIFS(RawData[[Date ]],N14830,RawData[Month List],$Q$6,RawData[Tour/Site],$Q$2,RawData[[Picker ID ]],$Q$3,RawData[Checker ID],$Q$4,RawData[[Error Type ]],$Q$5))</f>
        <v/>
      </c>
    </row>
    <row r="14831" spans="15:15" x14ac:dyDescent="0.25">
      <c r="O14831" s="20" t="str">
        <f>IF(N14831="","",COUNTIFS(RawData[[Date ]],N14831,RawData[Month List],$Q$6,RawData[Tour/Site],$Q$2,RawData[[Picker ID ]],$Q$3,RawData[Checker ID],$Q$4,RawData[[Error Type ]],$Q$5))</f>
        <v/>
      </c>
    </row>
    <row r="14832" spans="15:15" x14ac:dyDescent="0.25">
      <c r="O14832" s="20" t="str">
        <f>IF(N14832="","",COUNTIFS(RawData[[Date ]],N14832,RawData[Month List],$Q$6,RawData[Tour/Site],$Q$2,RawData[[Picker ID ]],$Q$3,RawData[Checker ID],$Q$4,RawData[[Error Type ]],$Q$5))</f>
        <v/>
      </c>
    </row>
    <row r="14833" spans="15:15" x14ac:dyDescent="0.25">
      <c r="O14833" s="20" t="str">
        <f>IF(N14833="","",COUNTIFS(RawData[[Date ]],N14833,RawData[Month List],$Q$6,RawData[Tour/Site],$Q$2,RawData[[Picker ID ]],$Q$3,RawData[Checker ID],$Q$4,RawData[[Error Type ]],$Q$5))</f>
        <v/>
      </c>
    </row>
    <row r="14834" spans="15:15" x14ac:dyDescent="0.25">
      <c r="O14834" s="20" t="str">
        <f>IF(N14834="","",COUNTIFS(RawData[[Date ]],N14834,RawData[Month List],$Q$6,RawData[Tour/Site],$Q$2,RawData[[Picker ID ]],$Q$3,RawData[Checker ID],$Q$4,RawData[[Error Type ]],$Q$5))</f>
        <v/>
      </c>
    </row>
    <row r="14835" spans="15:15" x14ac:dyDescent="0.25">
      <c r="O14835" s="20" t="str">
        <f>IF(N14835="","",COUNTIFS(RawData[[Date ]],N14835,RawData[Month List],$Q$6,RawData[Tour/Site],$Q$2,RawData[[Picker ID ]],$Q$3,RawData[Checker ID],$Q$4,RawData[[Error Type ]],$Q$5))</f>
        <v/>
      </c>
    </row>
    <row r="14836" spans="15:15" x14ac:dyDescent="0.25">
      <c r="O14836" s="20" t="str">
        <f>IF(N14836="","",COUNTIFS(RawData[[Date ]],N14836,RawData[Month List],$Q$6,RawData[Tour/Site],$Q$2,RawData[[Picker ID ]],$Q$3,RawData[Checker ID],$Q$4,RawData[[Error Type ]],$Q$5))</f>
        <v/>
      </c>
    </row>
    <row r="14837" spans="15:15" x14ac:dyDescent="0.25">
      <c r="O14837" s="20" t="str">
        <f>IF(N14837="","",COUNTIFS(RawData[[Date ]],N14837,RawData[Month List],$Q$6,RawData[Tour/Site],$Q$2,RawData[[Picker ID ]],$Q$3,RawData[Checker ID],$Q$4,RawData[[Error Type ]],$Q$5))</f>
        <v/>
      </c>
    </row>
    <row r="14838" spans="15:15" x14ac:dyDescent="0.25">
      <c r="O14838" s="20" t="str">
        <f>IF(N14838="","",COUNTIFS(RawData[[Date ]],N14838,RawData[Month List],$Q$6,RawData[Tour/Site],$Q$2,RawData[[Picker ID ]],$Q$3,RawData[Checker ID],$Q$4,RawData[[Error Type ]],$Q$5))</f>
        <v/>
      </c>
    </row>
    <row r="14839" spans="15:15" x14ac:dyDescent="0.25">
      <c r="O14839" s="20" t="str">
        <f>IF(N14839="","",COUNTIFS(RawData[[Date ]],N14839,RawData[Month List],$Q$6,RawData[Tour/Site],$Q$2,RawData[[Picker ID ]],$Q$3,RawData[Checker ID],$Q$4,RawData[[Error Type ]],$Q$5))</f>
        <v/>
      </c>
    </row>
    <row r="14840" spans="15:15" x14ac:dyDescent="0.25">
      <c r="O14840" s="20" t="str">
        <f>IF(N14840="","",COUNTIFS(RawData[[Date ]],N14840,RawData[Month List],$Q$6,RawData[Tour/Site],$Q$2,RawData[[Picker ID ]],$Q$3,RawData[Checker ID],$Q$4,RawData[[Error Type ]],$Q$5))</f>
        <v/>
      </c>
    </row>
    <row r="14841" spans="15:15" x14ac:dyDescent="0.25">
      <c r="O14841" s="20" t="str">
        <f>IF(N14841="","",COUNTIFS(RawData[[Date ]],N14841,RawData[Month List],$Q$6,RawData[Tour/Site],$Q$2,RawData[[Picker ID ]],$Q$3,RawData[Checker ID],$Q$4,RawData[[Error Type ]],$Q$5))</f>
        <v/>
      </c>
    </row>
    <row r="14842" spans="15:15" x14ac:dyDescent="0.25">
      <c r="O14842" s="20" t="str">
        <f>IF(N14842="","",COUNTIFS(RawData[[Date ]],N14842,RawData[Month List],$Q$6,RawData[Tour/Site],$Q$2,RawData[[Picker ID ]],$Q$3,RawData[Checker ID],$Q$4,RawData[[Error Type ]],$Q$5))</f>
        <v/>
      </c>
    </row>
    <row r="14843" spans="15:15" x14ac:dyDescent="0.25">
      <c r="O14843" s="20" t="str">
        <f>IF(N14843="","",COUNTIFS(RawData[[Date ]],N14843,RawData[Month List],$Q$6,RawData[Tour/Site],$Q$2,RawData[[Picker ID ]],$Q$3,RawData[Checker ID],$Q$4,RawData[[Error Type ]],$Q$5))</f>
        <v/>
      </c>
    </row>
    <row r="14844" spans="15:15" x14ac:dyDescent="0.25">
      <c r="O14844" s="20" t="str">
        <f>IF(N14844="","",COUNTIFS(RawData[[Date ]],N14844,RawData[Month List],$Q$6,RawData[Tour/Site],$Q$2,RawData[[Picker ID ]],$Q$3,RawData[Checker ID],$Q$4,RawData[[Error Type ]],$Q$5))</f>
        <v/>
      </c>
    </row>
    <row r="14845" spans="15:15" x14ac:dyDescent="0.25">
      <c r="O14845" s="20" t="str">
        <f>IF(N14845="","",COUNTIFS(RawData[[Date ]],N14845,RawData[Month List],$Q$6,RawData[Tour/Site],$Q$2,RawData[[Picker ID ]],$Q$3,RawData[Checker ID],$Q$4,RawData[[Error Type ]],$Q$5))</f>
        <v/>
      </c>
    </row>
    <row r="14846" spans="15:15" x14ac:dyDescent="0.25">
      <c r="O14846" s="20" t="str">
        <f>IF(N14846="","",COUNTIFS(RawData[[Date ]],N14846,RawData[Month List],$Q$6,RawData[Tour/Site],$Q$2,RawData[[Picker ID ]],$Q$3,RawData[Checker ID],$Q$4,RawData[[Error Type ]],$Q$5))</f>
        <v/>
      </c>
    </row>
    <row r="14847" spans="15:15" x14ac:dyDescent="0.25">
      <c r="O14847" s="20" t="str">
        <f>IF(N14847="","",COUNTIFS(RawData[[Date ]],N14847,RawData[Month List],$Q$6,RawData[Tour/Site],$Q$2,RawData[[Picker ID ]],$Q$3,RawData[Checker ID],$Q$4,RawData[[Error Type ]],$Q$5))</f>
        <v/>
      </c>
    </row>
    <row r="14848" spans="15:15" x14ac:dyDescent="0.25">
      <c r="O14848" s="20" t="str">
        <f>IF(N14848="","",COUNTIFS(RawData[[Date ]],N14848,RawData[Month List],$Q$6,RawData[Tour/Site],$Q$2,RawData[[Picker ID ]],$Q$3,RawData[Checker ID],$Q$4,RawData[[Error Type ]],$Q$5))</f>
        <v/>
      </c>
    </row>
    <row r="14849" spans="15:15" x14ac:dyDescent="0.25">
      <c r="O14849" s="20" t="str">
        <f>IF(N14849="","",COUNTIFS(RawData[[Date ]],N14849,RawData[Month List],$Q$6,RawData[Tour/Site],$Q$2,RawData[[Picker ID ]],$Q$3,RawData[Checker ID],$Q$4,RawData[[Error Type ]],$Q$5))</f>
        <v/>
      </c>
    </row>
    <row r="14850" spans="15:15" x14ac:dyDescent="0.25">
      <c r="O14850" s="20" t="str">
        <f>IF(N14850="","",COUNTIFS(RawData[[Date ]],N14850,RawData[Month List],$Q$6,RawData[Tour/Site],$Q$2,RawData[[Picker ID ]],$Q$3,RawData[Checker ID],$Q$4,RawData[[Error Type ]],$Q$5))</f>
        <v/>
      </c>
    </row>
    <row r="14851" spans="15:15" x14ac:dyDescent="0.25">
      <c r="O14851" s="20" t="str">
        <f>IF(N14851="","",COUNTIFS(RawData[[Date ]],N14851,RawData[Month List],$Q$6,RawData[Tour/Site],$Q$2,RawData[[Picker ID ]],$Q$3,RawData[Checker ID],$Q$4,RawData[[Error Type ]],$Q$5))</f>
        <v/>
      </c>
    </row>
    <row r="14852" spans="15:15" x14ac:dyDescent="0.25">
      <c r="O14852" s="20" t="str">
        <f>IF(N14852="","",COUNTIFS(RawData[[Date ]],N14852,RawData[Month List],$Q$6,RawData[Tour/Site],$Q$2,RawData[[Picker ID ]],$Q$3,RawData[Checker ID],$Q$4,RawData[[Error Type ]],$Q$5))</f>
        <v/>
      </c>
    </row>
    <row r="14853" spans="15:15" x14ac:dyDescent="0.25">
      <c r="O14853" s="20" t="str">
        <f>IF(N14853="","",COUNTIFS(RawData[[Date ]],N14853,RawData[Month List],$Q$6,RawData[Tour/Site],$Q$2,RawData[[Picker ID ]],$Q$3,RawData[Checker ID],$Q$4,RawData[[Error Type ]],$Q$5))</f>
        <v/>
      </c>
    </row>
    <row r="14854" spans="15:15" x14ac:dyDescent="0.25">
      <c r="O14854" s="20" t="str">
        <f>IF(N14854="","",COUNTIFS(RawData[[Date ]],N14854,RawData[Month List],$Q$6,RawData[Tour/Site],$Q$2,RawData[[Picker ID ]],$Q$3,RawData[Checker ID],$Q$4,RawData[[Error Type ]],$Q$5))</f>
        <v/>
      </c>
    </row>
    <row r="14855" spans="15:15" x14ac:dyDescent="0.25">
      <c r="O14855" s="20" t="str">
        <f>IF(N14855="","",COUNTIFS(RawData[[Date ]],N14855,RawData[Month List],$Q$6,RawData[Tour/Site],$Q$2,RawData[[Picker ID ]],$Q$3,RawData[Checker ID],$Q$4,RawData[[Error Type ]],$Q$5))</f>
        <v/>
      </c>
    </row>
    <row r="14856" spans="15:15" x14ac:dyDescent="0.25">
      <c r="O14856" s="20" t="str">
        <f>IF(N14856="","",COUNTIFS(RawData[[Date ]],N14856,RawData[Month List],$Q$6,RawData[Tour/Site],$Q$2,RawData[[Picker ID ]],$Q$3,RawData[Checker ID],$Q$4,RawData[[Error Type ]],$Q$5))</f>
        <v/>
      </c>
    </row>
    <row r="14857" spans="15:15" x14ac:dyDescent="0.25">
      <c r="O14857" s="20" t="str">
        <f>IF(N14857="","",COUNTIFS(RawData[[Date ]],N14857,RawData[Month List],$Q$6,RawData[Tour/Site],$Q$2,RawData[[Picker ID ]],$Q$3,RawData[Checker ID],$Q$4,RawData[[Error Type ]],$Q$5))</f>
        <v/>
      </c>
    </row>
    <row r="14858" spans="15:15" x14ac:dyDescent="0.25">
      <c r="O14858" s="20" t="str">
        <f>IF(N14858="","",COUNTIFS(RawData[[Date ]],N14858,RawData[Month List],$Q$6,RawData[Tour/Site],$Q$2,RawData[[Picker ID ]],$Q$3,RawData[Checker ID],$Q$4,RawData[[Error Type ]],$Q$5))</f>
        <v/>
      </c>
    </row>
    <row r="14859" spans="15:15" x14ac:dyDescent="0.25">
      <c r="O14859" s="20" t="str">
        <f>IF(N14859="","",COUNTIFS(RawData[[Date ]],N14859,RawData[Month List],$Q$6,RawData[Tour/Site],$Q$2,RawData[[Picker ID ]],$Q$3,RawData[Checker ID],$Q$4,RawData[[Error Type ]],$Q$5))</f>
        <v/>
      </c>
    </row>
    <row r="14860" spans="15:15" x14ac:dyDescent="0.25">
      <c r="O14860" s="20" t="str">
        <f>IF(N14860="","",COUNTIFS(RawData[[Date ]],N14860,RawData[Month List],$Q$6,RawData[Tour/Site],$Q$2,RawData[[Picker ID ]],$Q$3,RawData[Checker ID],$Q$4,RawData[[Error Type ]],$Q$5))</f>
        <v/>
      </c>
    </row>
    <row r="14861" spans="15:15" x14ac:dyDescent="0.25">
      <c r="O14861" s="20" t="str">
        <f>IF(N14861="","",COUNTIFS(RawData[[Date ]],N14861,RawData[Month List],$Q$6,RawData[Tour/Site],$Q$2,RawData[[Picker ID ]],$Q$3,RawData[Checker ID],$Q$4,RawData[[Error Type ]],$Q$5))</f>
        <v/>
      </c>
    </row>
    <row r="14862" spans="15:15" x14ac:dyDescent="0.25">
      <c r="O14862" s="20" t="str">
        <f>IF(N14862="","",COUNTIFS(RawData[[Date ]],N14862,RawData[Month List],$Q$6,RawData[Tour/Site],$Q$2,RawData[[Picker ID ]],$Q$3,RawData[Checker ID],$Q$4,RawData[[Error Type ]],$Q$5))</f>
        <v/>
      </c>
    </row>
    <row r="14863" spans="15:15" x14ac:dyDescent="0.25">
      <c r="O14863" s="20" t="str">
        <f>IF(N14863="","",COUNTIFS(RawData[[Date ]],N14863,RawData[Month List],$Q$6,RawData[Tour/Site],$Q$2,RawData[[Picker ID ]],$Q$3,RawData[Checker ID],$Q$4,RawData[[Error Type ]],$Q$5))</f>
        <v/>
      </c>
    </row>
    <row r="14864" spans="15:15" x14ac:dyDescent="0.25">
      <c r="O14864" s="20" t="str">
        <f>IF(N14864="","",COUNTIFS(RawData[[Date ]],N14864,RawData[Month List],$Q$6,RawData[Tour/Site],$Q$2,RawData[[Picker ID ]],$Q$3,RawData[Checker ID],$Q$4,RawData[[Error Type ]],$Q$5))</f>
        <v/>
      </c>
    </row>
    <row r="14865" spans="15:15" x14ac:dyDescent="0.25">
      <c r="O14865" s="20" t="str">
        <f>IF(N14865="","",COUNTIFS(RawData[[Date ]],N14865,RawData[Month List],$Q$6,RawData[Tour/Site],$Q$2,RawData[[Picker ID ]],$Q$3,RawData[Checker ID],$Q$4,RawData[[Error Type ]],$Q$5))</f>
        <v/>
      </c>
    </row>
    <row r="14866" spans="15:15" x14ac:dyDescent="0.25">
      <c r="O14866" s="20" t="str">
        <f>IF(N14866="","",COUNTIFS(RawData[[Date ]],N14866,RawData[Month List],$Q$6,RawData[Tour/Site],$Q$2,RawData[[Picker ID ]],$Q$3,RawData[Checker ID],$Q$4,RawData[[Error Type ]],$Q$5))</f>
        <v/>
      </c>
    </row>
    <row r="14867" spans="15:15" x14ac:dyDescent="0.25">
      <c r="O14867" s="20" t="str">
        <f>IF(N14867="","",COUNTIFS(RawData[[Date ]],N14867,RawData[Month List],$Q$6,RawData[Tour/Site],$Q$2,RawData[[Picker ID ]],$Q$3,RawData[Checker ID],$Q$4,RawData[[Error Type ]],$Q$5))</f>
        <v/>
      </c>
    </row>
    <row r="14868" spans="15:15" x14ac:dyDescent="0.25">
      <c r="O14868" s="20" t="str">
        <f>IF(N14868="","",COUNTIFS(RawData[[Date ]],N14868,RawData[Month List],$Q$6,RawData[Tour/Site],$Q$2,RawData[[Picker ID ]],$Q$3,RawData[Checker ID],$Q$4,RawData[[Error Type ]],$Q$5))</f>
        <v/>
      </c>
    </row>
    <row r="14869" spans="15:15" x14ac:dyDescent="0.25">
      <c r="O14869" s="20" t="str">
        <f>IF(N14869="","",COUNTIFS(RawData[[Date ]],N14869,RawData[Month List],$Q$6,RawData[Tour/Site],$Q$2,RawData[[Picker ID ]],$Q$3,RawData[Checker ID],$Q$4,RawData[[Error Type ]],$Q$5))</f>
        <v/>
      </c>
    </row>
    <row r="14870" spans="15:15" x14ac:dyDescent="0.25">
      <c r="O14870" s="20" t="str">
        <f>IF(N14870="","",COUNTIFS(RawData[[Date ]],N14870,RawData[Month List],$Q$6,RawData[Tour/Site],$Q$2,RawData[[Picker ID ]],$Q$3,RawData[Checker ID],$Q$4,RawData[[Error Type ]],$Q$5))</f>
        <v/>
      </c>
    </row>
    <row r="14871" spans="15:15" x14ac:dyDescent="0.25">
      <c r="O14871" s="20" t="str">
        <f>IF(N14871="","",COUNTIFS(RawData[[Date ]],N14871,RawData[Month List],$Q$6,RawData[Tour/Site],$Q$2,RawData[[Picker ID ]],$Q$3,RawData[Checker ID],$Q$4,RawData[[Error Type ]],$Q$5))</f>
        <v/>
      </c>
    </row>
    <row r="14872" spans="15:15" x14ac:dyDescent="0.25">
      <c r="O14872" s="20" t="str">
        <f>IF(N14872="","",COUNTIFS(RawData[[Date ]],N14872,RawData[Month List],$Q$6,RawData[Tour/Site],$Q$2,RawData[[Picker ID ]],$Q$3,RawData[Checker ID],$Q$4,RawData[[Error Type ]],$Q$5))</f>
        <v/>
      </c>
    </row>
    <row r="14873" spans="15:15" x14ac:dyDescent="0.25">
      <c r="O14873" s="20" t="str">
        <f>IF(N14873="","",COUNTIFS(RawData[[Date ]],N14873,RawData[Month List],$Q$6,RawData[Tour/Site],$Q$2,RawData[[Picker ID ]],$Q$3,RawData[Checker ID],$Q$4,RawData[[Error Type ]],$Q$5))</f>
        <v/>
      </c>
    </row>
    <row r="14874" spans="15:15" x14ac:dyDescent="0.25">
      <c r="O14874" s="20" t="str">
        <f>IF(N14874="","",COUNTIFS(RawData[[Date ]],N14874,RawData[Month List],$Q$6,RawData[Tour/Site],$Q$2,RawData[[Picker ID ]],$Q$3,RawData[Checker ID],$Q$4,RawData[[Error Type ]],$Q$5))</f>
        <v/>
      </c>
    </row>
    <row r="14875" spans="15:15" x14ac:dyDescent="0.25">
      <c r="O14875" s="20" t="str">
        <f>IF(N14875="","",COUNTIFS(RawData[[Date ]],N14875,RawData[Month List],$Q$6,RawData[Tour/Site],$Q$2,RawData[[Picker ID ]],$Q$3,RawData[Checker ID],$Q$4,RawData[[Error Type ]],$Q$5))</f>
        <v/>
      </c>
    </row>
    <row r="14876" spans="15:15" x14ac:dyDescent="0.25">
      <c r="O14876" s="20" t="str">
        <f>IF(N14876="","",COUNTIFS(RawData[[Date ]],N14876,RawData[Month List],$Q$6,RawData[Tour/Site],$Q$2,RawData[[Picker ID ]],$Q$3,RawData[Checker ID],$Q$4,RawData[[Error Type ]],$Q$5))</f>
        <v/>
      </c>
    </row>
    <row r="14877" spans="15:15" x14ac:dyDescent="0.25">
      <c r="O14877" s="20" t="str">
        <f>IF(N14877="","",COUNTIFS(RawData[[Date ]],N14877,RawData[Month List],$Q$6,RawData[Tour/Site],$Q$2,RawData[[Picker ID ]],$Q$3,RawData[Checker ID],$Q$4,RawData[[Error Type ]],$Q$5))</f>
        <v/>
      </c>
    </row>
    <row r="14878" spans="15:15" x14ac:dyDescent="0.25">
      <c r="O14878" s="20" t="str">
        <f>IF(N14878="","",COUNTIFS(RawData[[Date ]],N14878,RawData[Month List],$Q$6,RawData[Tour/Site],$Q$2,RawData[[Picker ID ]],$Q$3,RawData[Checker ID],$Q$4,RawData[[Error Type ]],$Q$5))</f>
        <v/>
      </c>
    </row>
    <row r="14879" spans="15:15" x14ac:dyDescent="0.25">
      <c r="O14879" s="20" t="str">
        <f>IF(N14879="","",COUNTIFS(RawData[[Date ]],N14879,RawData[Month List],$Q$6,RawData[Tour/Site],$Q$2,RawData[[Picker ID ]],$Q$3,RawData[Checker ID],$Q$4,RawData[[Error Type ]],$Q$5))</f>
        <v/>
      </c>
    </row>
    <row r="14880" spans="15:15" x14ac:dyDescent="0.25">
      <c r="O14880" s="20" t="str">
        <f>IF(N14880="","",COUNTIFS(RawData[[Date ]],N14880,RawData[Month List],$Q$6,RawData[Tour/Site],$Q$2,RawData[[Picker ID ]],$Q$3,RawData[Checker ID],$Q$4,RawData[[Error Type ]],$Q$5))</f>
        <v/>
      </c>
    </row>
    <row r="14881" spans="15:15" x14ac:dyDescent="0.25">
      <c r="O14881" s="20" t="str">
        <f>IF(N14881="","",COUNTIFS(RawData[[Date ]],N14881,RawData[Month List],$Q$6,RawData[Tour/Site],$Q$2,RawData[[Picker ID ]],$Q$3,RawData[Checker ID],$Q$4,RawData[[Error Type ]],$Q$5))</f>
        <v/>
      </c>
    </row>
    <row r="14882" spans="15:15" x14ac:dyDescent="0.25">
      <c r="O14882" s="20" t="str">
        <f>IF(N14882="","",COUNTIFS(RawData[[Date ]],N14882,RawData[Month List],$Q$6,RawData[Tour/Site],$Q$2,RawData[[Picker ID ]],$Q$3,RawData[Checker ID],$Q$4,RawData[[Error Type ]],$Q$5))</f>
        <v/>
      </c>
    </row>
    <row r="14883" spans="15:15" x14ac:dyDescent="0.25">
      <c r="O14883" s="20" t="str">
        <f>IF(N14883="","",COUNTIFS(RawData[[Date ]],N14883,RawData[Month List],$Q$6,RawData[Tour/Site],$Q$2,RawData[[Picker ID ]],$Q$3,RawData[Checker ID],$Q$4,RawData[[Error Type ]],$Q$5))</f>
        <v/>
      </c>
    </row>
    <row r="14884" spans="15:15" x14ac:dyDescent="0.25">
      <c r="O14884" s="20" t="str">
        <f>IF(N14884="","",COUNTIFS(RawData[[Date ]],N14884,RawData[Month List],$Q$6,RawData[Tour/Site],$Q$2,RawData[[Picker ID ]],$Q$3,RawData[Checker ID],$Q$4,RawData[[Error Type ]],$Q$5))</f>
        <v/>
      </c>
    </row>
    <row r="14885" spans="15:15" x14ac:dyDescent="0.25">
      <c r="O14885" s="20" t="str">
        <f>IF(N14885="","",COUNTIFS(RawData[[Date ]],N14885,RawData[Month List],$Q$6,RawData[Tour/Site],$Q$2,RawData[[Picker ID ]],$Q$3,RawData[Checker ID],$Q$4,RawData[[Error Type ]],$Q$5))</f>
        <v/>
      </c>
    </row>
    <row r="14886" spans="15:15" x14ac:dyDescent="0.25">
      <c r="O14886" s="20" t="str">
        <f>IF(N14886="","",COUNTIFS(RawData[[Date ]],N14886,RawData[Month List],$Q$6,RawData[Tour/Site],$Q$2,RawData[[Picker ID ]],$Q$3,RawData[Checker ID],$Q$4,RawData[[Error Type ]],$Q$5))</f>
        <v/>
      </c>
    </row>
    <row r="14887" spans="15:15" x14ac:dyDescent="0.25">
      <c r="O14887" s="20" t="str">
        <f>IF(N14887="","",COUNTIFS(RawData[[Date ]],N14887,RawData[Month List],$Q$6,RawData[Tour/Site],$Q$2,RawData[[Picker ID ]],$Q$3,RawData[Checker ID],$Q$4,RawData[[Error Type ]],$Q$5))</f>
        <v/>
      </c>
    </row>
    <row r="14888" spans="15:15" x14ac:dyDescent="0.25">
      <c r="O14888" s="20" t="str">
        <f>IF(N14888="","",COUNTIFS(RawData[[Date ]],N14888,RawData[Month List],$Q$6,RawData[Tour/Site],$Q$2,RawData[[Picker ID ]],$Q$3,RawData[Checker ID],$Q$4,RawData[[Error Type ]],$Q$5))</f>
        <v/>
      </c>
    </row>
    <row r="14889" spans="15:15" x14ac:dyDescent="0.25">
      <c r="O14889" s="20" t="str">
        <f>IF(N14889="","",COUNTIFS(RawData[[Date ]],N14889,RawData[Month List],$Q$6,RawData[Tour/Site],$Q$2,RawData[[Picker ID ]],$Q$3,RawData[Checker ID],$Q$4,RawData[[Error Type ]],$Q$5))</f>
        <v/>
      </c>
    </row>
    <row r="14890" spans="15:15" x14ac:dyDescent="0.25">
      <c r="O14890" s="20" t="str">
        <f>IF(N14890="","",COUNTIFS(RawData[[Date ]],N14890,RawData[Month List],$Q$6,RawData[Tour/Site],$Q$2,RawData[[Picker ID ]],$Q$3,RawData[Checker ID],$Q$4,RawData[[Error Type ]],$Q$5))</f>
        <v/>
      </c>
    </row>
    <row r="14891" spans="15:15" x14ac:dyDescent="0.25">
      <c r="O14891" s="20" t="str">
        <f>IF(N14891="","",COUNTIFS(RawData[[Date ]],N14891,RawData[Month List],$Q$6,RawData[Tour/Site],$Q$2,RawData[[Picker ID ]],$Q$3,RawData[Checker ID],$Q$4,RawData[[Error Type ]],$Q$5))</f>
        <v/>
      </c>
    </row>
    <row r="14892" spans="15:15" x14ac:dyDescent="0.25">
      <c r="O14892" s="20" t="str">
        <f>IF(N14892="","",COUNTIFS(RawData[[Date ]],N14892,RawData[Month List],$Q$6,RawData[Tour/Site],$Q$2,RawData[[Picker ID ]],$Q$3,RawData[Checker ID],$Q$4,RawData[[Error Type ]],$Q$5))</f>
        <v/>
      </c>
    </row>
    <row r="14893" spans="15:15" x14ac:dyDescent="0.25">
      <c r="O14893" s="20" t="str">
        <f>IF(N14893="","",COUNTIFS(RawData[[Date ]],N14893,RawData[Month List],$Q$6,RawData[Tour/Site],$Q$2,RawData[[Picker ID ]],$Q$3,RawData[Checker ID],$Q$4,RawData[[Error Type ]],$Q$5))</f>
        <v/>
      </c>
    </row>
    <row r="14894" spans="15:15" x14ac:dyDescent="0.25">
      <c r="O14894" s="20" t="str">
        <f>IF(N14894="","",COUNTIFS(RawData[[Date ]],N14894,RawData[Month List],$Q$6,RawData[Tour/Site],$Q$2,RawData[[Picker ID ]],$Q$3,RawData[Checker ID],$Q$4,RawData[[Error Type ]],$Q$5))</f>
        <v/>
      </c>
    </row>
    <row r="14895" spans="15:15" x14ac:dyDescent="0.25">
      <c r="O14895" s="20" t="str">
        <f>IF(N14895="","",COUNTIFS(RawData[[Date ]],N14895,RawData[Month List],$Q$6,RawData[Tour/Site],$Q$2,RawData[[Picker ID ]],$Q$3,RawData[Checker ID],$Q$4,RawData[[Error Type ]],$Q$5))</f>
        <v/>
      </c>
    </row>
    <row r="14896" spans="15:15" x14ac:dyDescent="0.25">
      <c r="O14896" s="20" t="str">
        <f>IF(N14896="","",COUNTIFS(RawData[[Date ]],N14896,RawData[Month List],$Q$6,RawData[Tour/Site],$Q$2,RawData[[Picker ID ]],$Q$3,RawData[Checker ID],$Q$4,RawData[[Error Type ]],$Q$5))</f>
        <v/>
      </c>
    </row>
    <row r="14897" spans="15:15" x14ac:dyDescent="0.25">
      <c r="O14897" s="20" t="str">
        <f>IF(N14897="","",COUNTIFS(RawData[[Date ]],N14897,RawData[Month List],$Q$6,RawData[Tour/Site],$Q$2,RawData[[Picker ID ]],$Q$3,RawData[Checker ID],$Q$4,RawData[[Error Type ]],$Q$5))</f>
        <v/>
      </c>
    </row>
    <row r="14898" spans="15:15" x14ac:dyDescent="0.25">
      <c r="O14898" s="20" t="str">
        <f>IF(N14898="","",COUNTIFS(RawData[[Date ]],N14898,RawData[Month List],$Q$6,RawData[Tour/Site],$Q$2,RawData[[Picker ID ]],$Q$3,RawData[Checker ID],$Q$4,RawData[[Error Type ]],$Q$5))</f>
        <v/>
      </c>
    </row>
    <row r="14899" spans="15:15" x14ac:dyDescent="0.25">
      <c r="O14899" s="20" t="str">
        <f>IF(N14899="","",COUNTIFS(RawData[[Date ]],N14899,RawData[Month List],$Q$6,RawData[Tour/Site],$Q$2,RawData[[Picker ID ]],$Q$3,RawData[Checker ID],$Q$4,RawData[[Error Type ]],$Q$5))</f>
        <v/>
      </c>
    </row>
    <row r="14900" spans="15:15" x14ac:dyDescent="0.25">
      <c r="O14900" s="20" t="str">
        <f>IF(N14900="","",COUNTIFS(RawData[[Date ]],N14900,RawData[Month List],$Q$6,RawData[Tour/Site],$Q$2,RawData[[Picker ID ]],$Q$3,RawData[Checker ID],$Q$4,RawData[[Error Type ]],$Q$5))</f>
        <v/>
      </c>
    </row>
    <row r="14901" spans="15:15" x14ac:dyDescent="0.25">
      <c r="O14901" s="20" t="str">
        <f>IF(N14901="","",COUNTIFS(RawData[[Date ]],N14901,RawData[Month List],$Q$6,RawData[Tour/Site],$Q$2,RawData[[Picker ID ]],$Q$3,RawData[Checker ID],$Q$4,RawData[[Error Type ]],$Q$5))</f>
        <v/>
      </c>
    </row>
    <row r="14902" spans="15:15" x14ac:dyDescent="0.25">
      <c r="O14902" s="20" t="str">
        <f>IF(N14902="","",COUNTIFS(RawData[[Date ]],N14902,RawData[Month List],$Q$6,RawData[Tour/Site],$Q$2,RawData[[Picker ID ]],$Q$3,RawData[Checker ID],$Q$4,RawData[[Error Type ]],$Q$5))</f>
        <v/>
      </c>
    </row>
    <row r="14903" spans="15:15" x14ac:dyDescent="0.25">
      <c r="O14903" s="20" t="str">
        <f>IF(N14903="","",COUNTIFS(RawData[[Date ]],N14903,RawData[Month List],$Q$6,RawData[Tour/Site],$Q$2,RawData[[Picker ID ]],$Q$3,RawData[Checker ID],$Q$4,RawData[[Error Type ]],$Q$5))</f>
        <v/>
      </c>
    </row>
    <row r="14904" spans="15:15" x14ac:dyDescent="0.25">
      <c r="O14904" s="20" t="str">
        <f>IF(N14904="","",COUNTIFS(RawData[[Date ]],N14904,RawData[Month List],$Q$6,RawData[Tour/Site],$Q$2,RawData[[Picker ID ]],$Q$3,RawData[Checker ID],$Q$4,RawData[[Error Type ]],$Q$5))</f>
        <v/>
      </c>
    </row>
    <row r="14905" spans="15:15" x14ac:dyDescent="0.25">
      <c r="O14905" s="20" t="str">
        <f>IF(N14905="","",COUNTIFS(RawData[[Date ]],N14905,RawData[Month List],$Q$6,RawData[Tour/Site],$Q$2,RawData[[Picker ID ]],$Q$3,RawData[Checker ID],$Q$4,RawData[[Error Type ]],$Q$5))</f>
        <v/>
      </c>
    </row>
    <row r="14906" spans="15:15" x14ac:dyDescent="0.25">
      <c r="O14906" s="20" t="str">
        <f>IF(N14906="","",COUNTIFS(RawData[[Date ]],N14906,RawData[Month List],$Q$6,RawData[Tour/Site],$Q$2,RawData[[Picker ID ]],$Q$3,RawData[Checker ID],$Q$4,RawData[[Error Type ]],$Q$5))</f>
        <v/>
      </c>
    </row>
    <row r="14907" spans="15:15" x14ac:dyDescent="0.25">
      <c r="O14907" s="20" t="str">
        <f>IF(N14907="","",COUNTIFS(RawData[[Date ]],N14907,RawData[Month List],$Q$6,RawData[Tour/Site],$Q$2,RawData[[Picker ID ]],$Q$3,RawData[Checker ID],$Q$4,RawData[[Error Type ]],$Q$5))</f>
        <v/>
      </c>
    </row>
    <row r="14908" spans="15:15" x14ac:dyDescent="0.25">
      <c r="O14908" s="20" t="str">
        <f>IF(N14908="","",COUNTIFS(RawData[[Date ]],N14908,RawData[Month List],$Q$6,RawData[Tour/Site],$Q$2,RawData[[Picker ID ]],$Q$3,RawData[Checker ID],$Q$4,RawData[[Error Type ]],$Q$5))</f>
        <v/>
      </c>
    </row>
    <row r="14909" spans="15:15" x14ac:dyDescent="0.25">
      <c r="O14909" s="20" t="str">
        <f>IF(N14909="","",COUNTIFS(RawData[[Date ]],N14909,RawData[Month List],$Q$6,RawData[Tour/Site],$Q$2,RawData[[Picker ID ]],$Q$3,RawData[Checker ID],$Q$4,RawData[[Error Type ]],$Q$5))</f>
        <v/>
      </c>
    </row>
    <row r="14910" spans="15:15" x14ac:dyDescent="0.25">
      <c r="O14910" s="20" t="str">
        <f>IF(N14910="","",COUNTIFS(RawData[[Date ]],N14910,RawData[Month List],$Q$6,RawData[Tour/Site],$Q$2,RawData[[Picker ID ]],$Q$3,RawData[Checker ID],$Q$4,RawData[[Error Type ]],$Q$5))</f>
        <v/>
      </c>
    </row>
    <row r="14911" spans="15:15" x14ac:dyDescent="0.25">
      <c r="O14911" s="20" t="str">
        <f>IF(N14911="","",COUNTIFS(RawData[[Date ]],N14911,RawData[Month List],$Q$6,RawData[Tour/Site],$Q$2,RawData[[Picker ID ]],$Q$3,RawData[Checker ID],$Q$4,RawData[[Error Type ]],$Q$5))</f>
        <v/>
      </c>
    </row>
    <row r="14912" spans="15:15" x14ac:dyDescent="0.25">
      <c r="O14912" s="20" t="str">
        <f>IF(N14912="","",COUNTIFS(RawData[[Date ]],N14912,RawData[Month List],$Q$6,RawData[Tour/Site],$Q$2,RawData[[Picker ID ]],$Q$3,RawData[Checker ID],$Q$4,RawData[[Error Type ]],$Q$5))</f>
        <v/>
      </c>
    </row>
    <row r="14913" spans="15:15" x14ac:dyDescent="0.25">
      <c r="O14913" s="20" t="str">
        <f>IF(N14913="","",COUNTIFS(RawData[[Date ]],N14913,RawData[Month List],$Q$6,RawData[Tour/Site],$Q$2,RawData[[Picker ID ]],$Q$3,RawData[Checker ID],$Q$4,RawData[[Error Type ]],$Q$5))</f>
        <v/>
      </c>
    </row>
    <row r="14914" spans="15:15" x14ac:dyDescent="0.25">
      <c r="O14914" s="20" t="str">
        <f>IF(N14914="","",COUNTIFS(RawData[[Date ]],N14914,RawData[Month List],$Q$6,RawData[Tour/Site],$Q$2,RawData[[Picker ID ]],$Q$3,RawData[Checker ID],$Q$4,RawData[[Error Type ]],$Q$5))</f>
        <v/>
      </c>
    </row>
    <row r="14915" spans="15:15" x14ac:dyDescent="0.25">
      <c r="O14915" s="20" t="str">
        <f>IF(N14915="","",COUNTIFS(RawData[[Date ]],N14915,RawData[Month List],$Q$6,RawData[Tour/Site],$Q$2,RawData[[Picker ID ]],$Q$3,RawData[Checker ID],$Q$4,RawData[[Error Type ]],$Q$5))</f>
        <v/>
      </c>
    </row>
    <row r="14916" spans="15:15" x14ac:dyDescent="0.25">
      <c r="O14916" s="20" t="str">
        <f>IF(N14916="","",COUNTIFS(RawData[[Date ]],N14916,RawData[Month List],$Q$6,RawData[Tour/Site],$Q$2,RawData[[Picker ID ]],$Q$3,RawData[Checker ID],$Q$4,RawData[[Error Type ]],$Q$5))</f>
        <v/>
      </c>
    </row>
    <row r="14917" spans="15:15" x14ac:dyDescent="0.25">
      <c r="O14917" s="20" t="str">
        <f>IF(N14917="","",COUNTIFS(RawData[[Date ]],N14917,RawData[Month List],$Q$6,RawData[Tour/Site],$Q$2,RawData[[Picker ID ]],$Q$3,RawData[Checker ID],$Q$4,RawData[[Error Type ]],$Q$5))</f>
        <v/>
      </c>
    </row>
    <row r="14918" spans="15:15" x14ac:dyDescent="0.25">
      <c r="O14918" s="20" t="str">
        <f>IF(N14918="","",COUNTIFS(RawData[[Date ]],N14918,RawData[Month List],$Q$6,RawData[Tour/Site],$Q$2,RawData[[Picker ID ]],$Q$3,RawData[Checker ID],$Q$4,RawData[[Error Type ]],$Q$5))</f>
        <v/>
      </c>
    </row>
    <row r="14919" spans="15:15" x14ac:dyDescent="0.25">
      <c r="O14919" s="20" t="str">
        <f>IF(N14919="","",COUNTIFS(RawData[[Date ]],N14919,RawData[Month List],$Q$6,RawData[Tour/Site],$Q$2,RawData[[Picker ID ]],$Q$3,RawData[Checker ID],$Q$4,RawData[[Error Type ]],$Q$5))</f>
        <v/>
      </c>
    </row>
    <row r="14920" spans="15:15" x14ac:dyDescent="0.25">
      <c r="O14920" s="20" t="str">
        <f>IF(N14920="","",COUNTIFS(RawData[[Date ]],N14920,RawData[Month List],$Q$6,RawData[Tour/Site],$Q$2,RawData[[Picker ID ]],$Q$3,RawData[Checker ID],$Q$4,RawData[[Error Type ]],$Q$5))</f>
        <v/>
      </c>
    </row>
    <row r="14921" spans="15:15" x14ac:dyDescent="0.25">
      <c r="O14921" s="20" t="str">
        <f>IF(N14921="","",COUNTIFS(RawData[[Date ]],N14921,RawData[Month List],$Q$6,RawData[Tour/Site],$Q$2,RawData[[Picker ID ]],$Q$3,RawData[Checker ID],$Q$4,RawData[[Error Type ]],$Q$5))</f>
        <v/>
      </c>
    </row>
    <row r="14922" spans="15:15" x14ac:dyDescent="0.25">
      <c r="O14922" s="20" t="str">
        <f>IF(N14922="","",COUNTIFS(RawData[[Date ]],N14922,RawData[Month List],$Q$6,RawData[Tour/Site],$Q$2,RawData[[Picker ID ]],$Q$3,RawData[Checker ID],$Q$4,RawData[[Error Type ]],$Q$5))</f>
        <v/>
      </c>
    </row>
    <row r="14923" spans="15:15" x14ac:dyDescent="0.25">
      <c r="O14923" s="20" t="str">
        <f>IF(N14923="","",COUNTIFS(RawData[[Date ]],N14923,RawData[Month List],$Q$6,RawData[Tour/Site],$Q$2,RawData[[Picker ID ]],$Q$3,RawData[Checker ID],$Q$4,RawData[[Error Type ]],$Q$5))</f>
        <v/>
      </c>
    </row>
    <row r="14924" spans="15:15" x14ac:dyDescent="0.25">
      <c r="O14924" s="20" t="str">
        <f>IF(N14924="","",COUNTIFS(RawData[[Date ]],N14924,RawData[Month List],$Q$6,RawData[Tour/Site],$Q$2,RawData[[Picker ID ]],$Q$3,RawData[Checker ID],$Q$4,RawData[[Error Type ]],$Q$5))</f>
        <v/>
      </c>
    </row>
    <row r="14925" spans="15:15" x14ac:dyDescent="0.25">
      <c r="O14925" s="20" t="str">
        <f>IF(N14925="","",COUNTIFS(RawData[[Date ]],N14925,RawData[Month List],$Q$6,RawData[Tour/Site],$Q$2,RawData[[Picker ID ]],$Q$3,RawData[Checker ID],$Q$4,RawData[[Error Type ]],$Q$5))</f>
        <v/>
      </c>
    </row>
    <row r="14926" spans="15:15" x14ac:dyDescent="0.25">
      <c r="O14926" s="20" t="str">
        <f>IF(N14926="","",COUNTIFS(RawData[[Date ]],N14926,RawData[Month List],$Q$6,RawData[Tour/Site],$Q$2,RawData[[Picker ID ]],$Q$3,RawData[Checker ID],$Q$4,RawData[[Error Type ]],$Q$5))</f>
        <v/>
      </c>
    </row>
    <row r="14927" spans="15:15" x14ac:dyDescent="0.25">
      <c r="O14927" s="20" t="str">
        <f>IF(N14927="","",COUNTIFS(RawData[[Date ]],N14927,RawData[Month List],$Q$6,RawData[Tour/Site],$Q$2,RawData[[Picker ID ]],$Q$3,RawData[Checker ID],$Q$4,RawData[[Error Type ]],$Q$5))</f>
        <v/>
      </c>
    </row>
    <row r="14928" spans="15:15" x14ac:dyDescent="0.25">
      <c r="O14928" s="20" t="str">
        <f>IF(N14928="","",COUNTIFS(RawData[[Date ]],N14928,RawData[Month List],$Q$6,RawData[Tour/Site],$Q$2,RawData[[Picker ID ]],$Q$3,RawData[Checker ID],$Q$4,RawData[[Error Type ]],$Q$5))</f>
        <v/>
      </c>
    </row>
    <row r="14929" spans="15:15" x14ac:dyDescent="0.25">
      <c r="O14929" s="20" t="str">
        <f>IF(N14929="","",COUNTIFS(RawData[[Date ]],N14929,RawData[Month List],$Q$6,RawData[Tour/Site],$Q$2,RawData[[Picker ID ]],$Q$3,RawData[Checker ID],$Q$4,RawData[[Error Type ]],$Q$5))</f>
        <v/>
      </c>
    </row>
    <row r="14930" spans="15:15" x14ac:dyDescent="0.25">
      <c r="O14930" s="20" t="str">
        <f>IF(N14930="","",COUNTIFS(RawData[[Date ]],N14930,RawData[Month List],$Q$6,RawData[Tour/Site],$Q$2,RawData[[Picker ID ]],$Q$3,RawData[Checker ID],$Q$4,RawData[[Error Type ]],$Q$5))</f>
        <v/>
      </c>
    </row>
    <row r="14931" spans="15:15" x14ac:dyDescent="0.25">
      <c r="O14931" s="20" t="str">
        <f>IF(N14931="","",COUNTIFS(RawData[[Date ]],N14931,RawData[Month List],$Q$6,RawData[Tour/Site],$Q$2,RawData[[Picker ID ]],$Q$3,RawData[Checker ID],$Q$4,RawData[[Error Type ]],$Q$5))</f>
        <v/>
      </c>
    </row>
    <row r="14932" spans="15:15" x14ac:dyDescent="0.25">
      <c r="O14932" s="20" t="str">
        <f>IF(N14932="","",COUNTIFS(RawData[[Date ]],N14932,RawData[Month List],$Q$6,RawData[Tour/Site],$Q$2,RawData[[Picker ID ]],$Q$3,RawData[Checker ID],$Q$4,RawData[[Error Type ]],$Q$5))</f>
        <v/>
      </c>
    </row>
    <row r="14933" spans="15:15" x14ac:dyDescent="0.25">
      <c r="O14933" s="20" t="str">
        <f>IF(N14933="","",COUNTIFS(RawData[[Date ]],N14933,RawData[Month List],$Q$6,RawData[Tour/Site],$Q$2,RawData[[Picker ID ]],$Q$3,RawData[Checker ID],$Q$4,RawData[[Error Type ]],$Q$5))</f>
        <v/>
      </c>
    </row>
    <row r="14934" spans="15:15" x14ac:dyDescent="0.25">
      <c r="O14934" s="20" t="str">
        <f>IF(N14934="","",COUNTIFS(RawData[[Date ]],N14934,RawData[Month List],$Q$6,RawData[Tour/Site],$Q$2,RawData[[Picker ID ]],$Q$3,RawData[Checker ID],$Q$4,RawData[[Error Type ]],$Q$5))</f>
        <v/>
      </c>
    </row>
    <row r="14935" spans="15:15" x14ac:dyDescent="0.25">
      <c r="O14935" s="20" t="str">
        <f>IF(N14935="","",COUNTIFS(RawData[[Date ]],N14935,RawData[Month List],$Q$6,RawData[Tour/Site],$Q$2,RawData[[Picker ID ]],$Q$3,RawData[Checker ID],$Q$4,RawData[[Error Type ]],$Q$5))</f>
        <v/>
      </c>
    </row>
    <row r="14936" spans="15:15" x14ac:dyDescent="0.25">
      <c r="O14936" s="20" t="str">
        <f>IF(N14936="","",COUNTIFS(RawData[[Date ]],N14936,RawData[Month List],$Q$6,RawData[Tour/Site],$Q$2,RawData[[Picker ID ]],$Q$3,RawData[Checker ID],$Q$4,RawData[[Error Type ]],$Q$5))</f>
        <v/>
      </c>
    </row>
    <row r="14937" spans="15:15" x14ac:dyDescent="0.25">
      <c r="O14937" s="20" t="str">
        <f>IF(N14937="","",COUNTIFS(RawData[[Date ]],N14937,RawData[Month List],$Q$6,RawData[Tour/Site],$Q$2,RawData[[Picker ID ]],$Q$3,RawData[Checker ID],$Q$4,RawData[[Error Type ]],$Q$5))</f>
        <v/>
      </c>
    </row>
    <row r="14938" spans="15:15" x14ac:dyDescent="0.25">
      <c r="O14938" s="20" t="str">
        <f>IF(N14938="","",COUNTIFS(RawData[[Date ]],N14938,RawData[Month List],$Q$6,RawData[Tour/Site],$Q$2,RawData[[Picker ID ]],$Q$3,RawData[Checker ID],$Q$4,RawData[[Error Type ]],$Q$5))</f>
        <v/>
      </c>
    </row>
    <row r="14939" spans="15:15" x14ac:dyDescent="0.25">
      <c r="O14939" s="20" t="str">
        <f>IF(N14939="","",COUNTIFS(RawData[[Date ]],N14939,RawData[Month List],$Q$6,RawData[Tour/Site],$Q$2,RawData[[Picker ID ]],$Q$3,RawData[Checker ID],$Q$4,RawData[[Error Type ]],$Q$5))</f>
        <v/>
      </c>
    </row>
    <row r="14940" spans="15:15" x14ac:dyDescent="0.25">
      <c r="O14940" s="20" t="str">
        <f>IF(N14940="","",COUNTIFS(RawData[[Date ]],N14940,RawData[Month List],$Q$6,RawData[Tour/Site],$Q$2,RawData[[Picker ID ]],$Q$3,RawData[Checker ID],$Q$4,RawData[[Error Type ]],$Q$5))</f>
        <v/>
      </c>
    </row>
    <row r="14941" spans="15:15" x14ac:dyDescent="0.25">
      <c r="O14941" s="20" t="str">
        <f>IF(N14941="","",COUNTIFS(RawData[[Date ]],N14941,RawData[Month List],$Q$6,RawData[Tour/Site],$Q$2,RawData[[Picker ID ]],$Q$3,RawData[Checker ID],$Q$4,RawData[[Error Type ]],$Q$5))</f>
        <v/>
      </c>
    </row>
    <row r="14942" spans="15:15" x14ac:dyDescent="0.25">
      <c r="O14942" s="20" t="str">
        <f>IF(N14942="","",COUNTIFS(RawData[[Date ]],N14942,RawData[Month List],$Q$6,RawData[Tour/Site],$Q$2,RawData[[Picker ID ]],$Q$3,RawData[Checker ID],$Q$4,RawData[[Error Type ]],$Q$5))</f>
        <v/>
      </c>
    </row>
    <row r="14943" spans="15:15" x14ac:dyDescent="0.25">
      <c r="O14943" s="20" t="str">
        <f>IF(N14943="","",COUNTIFS(RawData[[Date ]],N14943,RawData[Month List],$Q$6,RawData[Tour/Site],$Q$2,RawData[[Picker ID ]],$Q$3,RawData[Checker ID],$Q$4,RawData[[Error Type ]],$Q$5))</f>
        <v/>
      </c>
    </row>
    <row r="14944" spans="15:15" x14ac:dyDescent="0.25">
      <c r="O14944" s="20" t="str">
        <f>IF(N14944="","",COUNTIFS(RawData[[Date ]],N14944,RawData[Month List],$Q$6,RawData[Tour/Site],$Q$2,RawData[[Picker ID ]],$Q$3,RawData[Checker ID],$Q$4,RawData[[Error Type ]],$Q$5))</f>
        <v/>
      </c>
    </row>
    <row r="14945" spans="15:15" x14ac:dyDescent="0.25">
      <c r="O14945" s="20" t="str">
        <f>IF(N14945="","",COUNTIFS(RawData[[Date ]],N14945,RawData[Month List],$Q$6,RawData[Tour/Site],$Q$2,RawData[[Picker ID ]],$Q$3,RawData[Checker ID],$Q$4,RawData[[Error Type ]],$Q$5))</f>
        <v/>
      </c>
    </row>
    <row r="14946" spans="15:15" x14ac:dyDescent="0.25">
      <c r="O14946" s="20" t="str">
        <f>IF(N14946="","",COUNTIFS(RawData[[Date ]],N14946,RawData[Month List],$Q$6,RawData[Tour/Site],$Q$2,RawData[[Picker ID ]],$Q$3,RawData[Checker ID],$Q$4,RawData[[Error Type ]],$Q$5))</f>
        <v/>
      </c>
    </row>
    <row r="14947" spans="15:15" x14ac:dyDescent="0.25">
      <c r="O14947" s="20" t="str">
        <f>IF(N14947="","",COUNTIFS(RawData[[Date ]],N14947,RawData[Month List],$Q$6,RawData[Tour/Site],$Q$2,RawData[[Picker ID ]],$Q$3,RawData[Checker ID],$Q$4,RawData[[Error Type ]],$Q$5))</f>
        <v/>
      </c>
    </row>
    <row r="14948" spans="15:15" x14ac:dyDescent="0.25">
      <c r="O14948" s="20" t="str">
        <f>IF(N14948="","",COUNTIFS(RawData[[Date ]],N14948,RawData[Month List],$Q$6,RawData[Tour/Site],$Q$2,RawData[[Picker ID ]],$Q$3,RawData[Checker ID],$Q$4,RawData[[Error Type ]],$Q$5))</f>
        <v/>
      </c>
    </row>
    <row r="14949" spans="15:15" x14ac:dyDescent="0.25">
      <c r="O14949" s="20" t="str">
        <f>IF(N14949="","",COUNTIFS(RawData[[Date ]],N14949,RawData[Month List],$Q$6,RawData[Tour/Site],$Q$2,RawData[[Picker ID ]],$Q$3,RawData[Checker ID],$Q$4,RawData[[Error Type ]],$Q$5))</f>
        <v/>
      </c>
    </row>
    <row r="14950" spans="15:15" x14ac:dyDescent="0.25">
      <c r="O14950" s="20" t="str">
        <f>IF(N14950="","",COUNTIFS(RawData[[Date ]],N14950,RawData[Month List],$Q$6,RawData[Tour/Site],$Q$2,RawData[[Picker ID ]],$Q$3,RawData[Checker ID],$Q$4,RawData[[Error Type ]],$Q$5))</f>
        <v/>
      </c>
    </row>
    <row r="14951" spans="15:15" x14ac:dyDescent="0.25">
      <c r="O14951" s="20" t="str">
        <f>IF(N14951="","",COUNTIFS(RawData[[Date ]],N14951,RawData[Month List],$Q$6,RawData[Tour/Site],$Q$2,RawData[[Picker ID ]],$Q$3,RawData[Checker ID],$Q$4,RawData[[Error Type ]],$Q$5))</f>
        <v/>
      </c>
    </row>
    <row r="14952" spans="15:15" x14ac:dyDescent="0.25">
      <c r="O14952" s="20" t="str">
        <f>IF(N14952="","",COUNTIFS(RawData[[Date ]],N14952,RawData[Month List],$Q$6,RawData[Tour/Site],$Q$2,RawData[[Picker ID ]],$Q$3,RawData[Checker ID],$Q$4,RawData[[Error Type ]],$Q$5))</f>
        <v/>
      </c>
    </row>
    <row r="14953" spans="15:15" x14ac:dyDescent="0.25">
      <c r="O14953" s="20" t="str">
        <f>IF(N14953="","",COUNTIFS(RawData[[Date ]],N14953,RawData[Month List],$Q$6,RawData[Tour/Site],$Q$2,RawData[[Picker ID ]],$Q$3,RawData[Checker ID],$Q$4,RawData[[Error Type ]],$Q$5))</f>
        <v/>
      </c>
    </row>
    <row r="14954" spans="15:15" x14ac:dyDescent="0.25">
      <c r="O14954" s="20" t="str">
        <f>IF(N14954="","",COUNTIFS(RawData[[Date ]],N14954,RawData[Month List],$Q$6,RawData[Tour/Site],$Q$2,RawData[[Picker ID ]],$Q$3,RawData[Checker ID],$Q$4,RawData[[Error Type ]],$Q$5))</f>
        <v/>
      </c>
    </row>
    <row r="14955" spans="15:15" x14ac:dyDescent="0.25">
      <c r="O14955" s="20" t="str">
        <f>IF(N14955="","",COUNTIFS(RawData[[Date ]],N14955,RawData[Month List],$Q$6,RawData[Tour/Site],$Q$2,RawData[[Picker ID ]],$Q$3,RawData[Checker ID],$Q$4,RawData[[Error Type ]],$Q$5))</f>
        <v/>
      </c>
    </row>
    <row r="14956" spans="15:15" x14ac:dyDescent="0.25">
      <c r="O14956" s="20" t="str">
        <f>IF(N14956="","",COUNTIFS(RawData[[Date ]],N14956,RawData[Month List],$Q$6,RawData[Tour/Site],$Q$2,RawData[[Picker ID ]],$Q$3,RawData[Checker ID],$Q$4,RawData[[Error Type ]],$Q$5))</f>
        <v/>
      </c>
    </row>
    <row r="14957" spans="15:15" x14ac:dyDescent="0.25">
      <c r="O14957" s="20" t="str">
        <f>IF(N14957="","",COUNTIFS(RawData[[Date ]],N14957,RawData[Month List],$Q$6,RawData[Tour/Site],$Q$2,RawData[[Picker ID ]],$Q$3,RawData[Checker ID],$Q$4,RawData[[Error Type ]],$Q$5))</f>
        <v/>
      </c>
    </row>
    <row r="14958" spans="15:15" x14ac:dyDescent="0.25">
      <c r="O14958" s="20" t="str">
        <f>IF(N14958="","",COUNTIFS(RawData[[Date ]],N14958,RawData[Month List],$Q$6,RawData[Tour/Site],$Q$2,RawData[[Picker ID ]],$Q$3,RawData[Checker ID],$Q$4,RawData[[Error Type ]],$Q$5))</f>
        <v/>
      </c>
    </row>
    <row r="14959" spans="15:15" x14ac:dyDescent="0.25">
      <c r="O14959" s="20" t="str">
        <f>IF(N14959="","",COUNTIFS(RawData[[Date ]],N14959,RawData[Month List],$Q$6,RawData[Tour/Site],$Q$2,RawData[[Picker ID ]],$Q$3,RawData[Checker ID],$Q$4,RawData[[Error Type ]],$Q$5))</f>
        <v/>
      </c>
    </row>
    <row r="14960" spans="15:15" x14ac:dyDescent="0.25">
      <c r="O14960" s="20" t="str">
        <f>IF(N14960="","",COUNTIFS(RawData[[Date ]],N14960,RawData[Month List],$Q$6,RawData[Tour/Site],$Q$2,RawData[[Picker ID ]],$Q$3,RawData[Checker ID],$Q$4,RawData[[Error Type ]],$Q$5))</f>
        <v/>
      </c>
    </row>
    <row r="14961" spans="15:15" x14ac:dyDescent="0.25">
      <c r="O14961" s="20" t="str">
        <f>IF(N14961="","",COUNTIFS(RawData[[Date ]],N14961,RawData[Month List],$Q$6,RawData[Tour/Site],$Q$2,RawData[[Picker ID ]],$Q$3,RawData[Checker ID],$Q$4,RawData[[Error Type ]],$Q$5))</f>
        <v/>
      </c>
    </row>
    <row r="14962" spans="15:15" x14ac:dyDescent="0.25">
      <c r="O14962" s="20" t="str">
        <f>IF(N14962="","",COUNTIFS(RawData[[Date ]],N14962,RawData[Month List],$Q$6,RawData[Tour/Site],$Q$2,RawData[[Picker ID ]],$Q$3,RawData[Checker ID],$Q$4,RawData[[Error Type ]],$Q$5))</f>
        <v/>
      </c>
    </row>
    <row r="14963" spans="15:15" x14ac:dyDescent="0.25">
      <c r="O14963" s="20" t="str">
        <f>IF(N14963="","",COUNTIFS(RawData[[Date ]],N14963,RawData[Month List],$Q$6,RawData[Tour/Site],$Q$2,RawData[[Picker ID ]],$Q$3,RawData[Checker ID],$Q$4,RawData[[Error Type ]],$Q$5))</f>
        <v/>
      </c>
    </row>
    <row r="14964" spans="15:15" x14ac:dyDescent="0.25">
      <c r="O14964" s="20" t="str">
        <f>IF(N14964="","",COUNTIFS(RawData[[Date ]],N14964,RawData[Month List],$Q$6,RawData[Tour/Site],$Q$2,RawData[[Picker ID ]],$Q$3,RawData[Checker ID],$Q$4,RawData[[Error Type ]],$Q$5))</f>
        <v/>
      </c>
    </row>
    <row r="14965" spans="15:15" x14ac:dyDescent="0.25">
      <c r="O14965" s="20" t="str">
        <f>IF(N14965="","",COUNTIFS(RawData[[Date ]],N14965,RawData[Month List],$Q$6,RawData[Tour/Site],$Q$2,RawData[[Picker ID ]],$Q$3,RawData[Checker ID],$Q$4,RawData[[Error Type ]],$Q$5))</f>
        <v/>
      </c>
    </row>
    <row r="14966" spans="15:15" x14ac:dyDescent="0.25">
      <c r="O14966" s="20" t="str">
        <f>IF(N14966="","",COUNTIFS(RawData[[Date ]],N14966,RawData[Month List],$Q$6,RawData[Tour/Site],$Q$2,RawData[[Picker ID ]],$Q$3,RawData[Checker ID],$Q$4,RawData[[Error Type ]],$Q$5))</f>
        <v/>
      </c>
    </row>
    <row r="14967" spans="15:15" x14ac:dyDescent="0.25">
      <c r="O14967" s="20" t="str">
        <f>IF(N14967="","",COUNTIFS(RawData[[Date ]],N14967,RawData[Month List],$Q$6,RawData[Tour/Site],$Q$2,RawData[[Picker ID ]],$Q$3,RawData[Checker ID],$Q$4,RawData[[Error Type ]],$Q$5))</f>
        <v/>
      </c>
    </row>
    <row r="14968" spans="15:15" x14ac:dyDescent="0.25">
      <c r="O14968" s="20" t="str">
        <f>IF(N14968="","",COUNTIFS(RawData[[Date ]],N14968,RawData[Month List],$Q$6,RawData[Tour/Site],$Q$2,RawData[[Picker ID ]],$Q$3,RawData[Checker ID],$Q$4,RawData[[Error Type ]],$Q$5))</f>
        <v/>
      </c>
    </row>
    <row r="14969" spans="15:15" x14ac:dyDescent="0.25">
      <c r="O14969" s="20" t="str">
        <f>IF(N14969="","",COUNTIFS(RawData[[Date ]],N14969,RawData[Month List],$Q$6,RawData[Tour/Site],$Q$2,RawData[[Picker ID ]],$Q$3,RawData[Checker ID],$Q$4,RawData[[Error Type ]],$Q$5))</f>
        <v/>
      </c>
    </row>
    <row r="14970" spans="15:15" x14ac:dyDescent="0.25">
      <c r="O14970" s="20" t="str">
        <f>IF(N14970="","",COUNTIFS(RawData[[Date ]],N14970,RawData[Month List],$Q$6,RawData[Tour/Site],$Q$2,RawData[[Picker ID ]],$Q$3,RawData[Checker ID],$Q$4,RawData[[Error Type ]],$Q$5))</f>
        <v/>
      </c>
    </row>
    <row r="14971" spans="15:15" x14ac:dyDescent="0.25">
      <c r="O14971" s="20" t="str">
        <f>IF(N14971="","",COUNTIFS(RawData[[Date ]],N14971,RawData[Month List],$Q$6,RawData[Tour/Site],$Q$2,RawData[[Picker ID ]],$Q$3,RawData[Checker ID],$Q$4,RawData[[Error Type ]],$Q$5))</f>
        <v/>
      </c>
    </row>
    <row r="14972" spans="15:15" x14ac:dyDescent="0.25">
      <c r="O14972" s="20" t="str">
        <f>IF(N14972="","",COUNTIFS(RawData[[Date ]],N14972,RawData[Month List],$Q$6,RawData[Tour/Site],$Q$2,RawData[[Picker ID ]],$Q$3,RawData[Checker ID],$Q$4,RawData[[Error Type ]],$Q$5))</f>
        <v/>
      </c>
    </row>
    <row r="14973" spans="15:15" x14ac:dyDescent="0.25">
      <c r="O14973" s="20" t="str">
        <f>IF(N14973="","",COUNTIFS(RawData[[Date ]],N14973,RawData[Month List],$Q$6,RawData[Tour/Site],$Q$2,RawData[[Picker ID ]],$Q$3,RawData[Checker ID],$Q$4,RawData[[Error Type ]],$Q$5))</f>
        <v/>
      </c>
    </row>
    <row r="14974" spans="15:15" x14ac:dyDescent="0.25">
      <c r="O14974" s="20" t="str">
        <f>IF(N14974="","",COUNTIFS(RawData[[Date ]],N14974,RawData[Month List],$Q$6,RawData[Tour/Site],$Q$2,RawData[[Picker ID ]],$Q$3,RawData[Checker ID],$Q$4,RawData[[Error Type ]],$Q$5))</f>
        <v/>
      </c>
    </row>
    <row r="14975" spans="15:15" x14ac:dyDescent="0.25">
      <c r="O14975" s="20" t="str">
        <f>IF(N14975="","",COUNTIFS(RawData[[Date ]],N14975,RawData[Month List],$Q$6,RawData[Tour/Site],$Q$2,RawData[[Picker ID ]],$Q$3,RawData[Checker ID],$Q$4,RawData[[Error Type ]],$Q$5))</f>
        <v/>
      </c>
    </row>
    <row r="14976" spans="15:15" x14ac:dyDescent="0.25">
      <c r="O14976" s="20" t="str">
        <f>IF(N14976="","",COUNTIFS(RawData[[Date ]],N14976,RawData[Month List],$Q$6,RawData[Tour/Site],$Q$2,RawData[[Picker ID ]],$Q$3,RawData[Checker ID],$Q$4,RawData[[Error Type ]],$Q$5))</f>
        <v/>
      </c>
    </row>
    <row r="14977" spans="15:15" x14ac:dyDescent="0.25">
      <c r="O14977" s="20" t="str">
        <f>IF(N14977="","",COUNTIFS(RawData[[Date ]],N14977,RawData[Month List],$Q$6,RawData[Tour/Site],$Q$2,RawData[[Picker ID ]],$Q$3,RawData[Checker ID],$Q$4,RawData[[Error Type ]],$Q$5))</f>
        <v/>
      </c>
    </row>
    <row r="14978" spans="15:15" x14ac:dyDescent="0.25">
      <c r="O14978" s="20" t="str">
        <f>IF(N14978="","",COUNTIFS(RawData[[Date ]],N14978,RawData[Month List],$Q$6,RawData[Tour/Site],$Q$2,RawData[[Picker ID ]],$Q$3,RawData[Checker ID],$Q$4,RawData[[Error Type ]],$Q$5))</f>
        <v/>
      </c>
    </row>
    <row r="14979" spans="15:15" x14ac:dyDescent="0.25">
      <c r="O14979" s="20" t="str">
        <f>IF(N14979="","",COUNTIFS(RawData[[Date ]],N14979,RawData[Month List],$Q$6,RawData[Tour/Site],$Q$2,RawData[[Picker ID ]],$Q$3,RawData[Checker ID],$Q$4,RawData[[Error Type ]],$Q$5))</f>
        <v/>
      </c>
    </row>
    <row r="14980" spans="15:15" x14ac:dyDescent="0.25">
      <c r="O14980" s="20" t="str">
        <f>IF(N14980="","",COUNTIFS(RawData[[Date ]],N14980,RawData[Month List],$Q$6,RawData[Tour/Site],$Q$2,RawData[[Picker ID ]],$Q$3,RawData[Checker ID],$Q$4,RawData[[Error Type ]],$Q$5))</f>
        <v/>
      </c>
    </row>
    <row r="14981" spans="15:15" x14ac:dyDescent="0.25">
      <c r="O14981" s="20" t="str">
        <f>IF(N14981="","",COUNTIFS(RawData[[Date ]],N14981,RawData[Month List],$Q$6,RawData[Tour/Site],$Q$2,RawData[[Picker ID ]],$Q$3,RawData[Checker ID],$Q$4,RawData[[Error Type ]],$Q$5))</f>
        <v/>
      </c>
    </row>
    <row r="14982" spans="15:15" x14ac:dyDescent="0.25">
      <c r="O14982" s="20" t="str">
        <f>IF(N14982="","",COUNTIFS(RawData[[Date ]],N14982,RawData[Month List],$Q$6,RawData[Tour/Site],$Q$2,RawData[[Picker ID ]],$Q$3,RawData[Checker ID],$Q$4,RawData[[Error Type ]],$Q$5))</f>
        <v/>
      </c>
    </row>
    <row r="14983" spans="15:15" x14ac:dyDescent="0.25">
      <c r="O14983" s="20" t="str">
        <f>IF(N14983="","",COUNTIFS(RawData[[Date ]],N14983,RawData[Month List],$Q$6,RawData[Tour/Site],$Q$2,RawData[[Picker ID ]],$Q$3,RawData[Checker ID],$Q$4,RawData[[Error Type ]],$Q$5))</f>
        <v/>
      </c>
    </row>
    <row r="14984" spans="15:15" x14ac:dyDescent="0.25">
      <c r="O14984" s="20" t="str">
        <f>IF(N14984="","",COUNTIFS(RawData[[Date ]],N14984,RawData[Month List],$Q$6,RawData[Tour/Site],$Q$2,RawData[[Picker ID ]],$Q$3,RawData[Checker ID],$Q$4,RawData[[Error Type ]],$Q$5))</f>
        <v/>
      </c>
    </row>
    <row r="14985" spans="15:15" x14ac:dyDescent="0.25">
      <c r="O14985" s="20" t="str">
        <f>IF(N14985="","",COUNTIFS(RawData[[Date ]],N14985,RawData[Month List],$Q$6,RawData[Tour/Site],$Q$2,RawData[[Picker ID ]],$Q$3,RawData[Checker ID],$Q$4,RawData[[Error Type ]],$Q$5))</f>
        <v/>
      </c>
    </row>
    <row r="14986" spans="15:15" x14ac:dyDescent="0.25">
      <c r="O14986" s="20" t="str">
        <f>IF(N14986="","",COUNTIFS(RawData[[Date ]],N14986,RawData[Month List],$Q$6,RawData[Tour/Site],$Q$2,RawData[[Picker ID ]],$Q$3,RawData[Checker ID],$Q$4,RawData[[Error Type ]],$Q$5))</f>
        <v/>
      </c>
    </row>
    <row r="14987" spans="15:15" x14ac:dyDescent="0.25">
      <c r="O14987" s="20" t="str">
        <f>IF(N14987="","",COUNTIFS(RawData[[Date ]],N14987,RawData[Month List],$Q$6,RawData[Tour/Site],$Q$2,RawData[[Picker ID ]],$Q$3,RawData[Checker ID],$Q$4,RawData[[Error Type ]],$Q$5))</f>
        <v/>
      </c>
    </row>
    <row r="14988" spans="15:15" x14ac:dyDescent="0.25">
      <c r="O14988" s="20" t="str">
        <f>IF(N14988="","",COUNTIFS(RawData[[Date ]],N14988,RawData[Month List],$Q$6,RawData[Tour/Site],$Q$2,RawData[[Picker ID ]],$Q$3,RawData[Checker ID],$Q$4,RawData[[Error Type ]],$Q$5))</f>
        <v/>
      </c>
    </row>
    <row r="14989" spans="15:15" x14ac:dyDescent="0.25">
      <c r="O14989" s="20" t="str">
        <f>IF(N14989="","",COUNTIFS(RawData[[Date ]],N14989,RawData[Month List],$Q$6,RawData[Tour/Site],$Q$2,RawData[[Picker ID ]],$Q$3,RawData[Checker ID],$Q$4,RawData[[Error Type ]],$Q$5))</f>
        <v/>
      </c>
    </row>
    <row r="14990" spans="15:15" x14ac:dyDescent="0.25">
      <c r="O14990" s="20" t="str">
        <f>IF(N14990="","",COUNTIFS(RawData[[Date ]],N14990,RawData[Month List],$Q$6,RawData[Tour/Site],$Q$2,RawData[[Picker ID ]],$Q$3,RawData[Checker ID],$Q$4,RawData[[Error Type ]],$Q$5))</f>
        <v/>
      </c>
    </row>
    <row r="14991" spans="15:15" x14ac:dyDescent="0.25">
      <c r="O14991" s="20" t="str">
        <f>IF(N14991="","",COUNTIFS(RawData[[Date ]],N14991,RawData[Month List],$Q$6,RawData[Tour/Site],$Q$2,RawData[[Picker ID ]],$Q$3,RawData[Checker ID],$Q$4,RawData[[Error Type ]],$Q$5))</f>
        <v/>
      </c>
    </row>
    <row r="14992" spans="15:15" x14ac:dyDescent="0.25">
      <c r="O14992" s="20" t="str">
        <f>IF(N14992="","",COUNTIFS(RawData[[Date ]],N14992,RawData[Month List],$Q$6,RawData[Tour/Site],$Q$2,RawData[[Picker ID ]],$Q$3,RawData[Checker ID],$Q$4,RawData[[Error Type ]],$Q$5))</f>
        <v/>
      </c>
    </row>
    <row r="14993" spans="15:15" x14ac:dyDescent="0.25">
      <c r="O14993" s="20" t="str">
        <f>IF(N14993="","",COUNTIFS(RawData[[Date ]],N14993,RawData[Month List],$Q$6,RawData[Tour/Site],$Q$2,RawData[[Picker ID ]],$Q$3,RawData[Checker ID],$Q$4,RawData[[Error Type ]],$Q$5))</f>
        <v/>
      </c>
    </row>
    <row r="14994" spans="15:15" x14ac:dyDescent="0.25">
      <c r="O14994" s="20" t="str">
        <f>IF(N14994="","",COUNTIFS(RawData[[Date ]],N14994,RawData[Month List],$Q$6,RawData[Tour/Site],$Q$2,RawData[[Picker ID ]],$Q$3,RawData[Checker ID],$Q$4,RawData[[Error Type ]],$Q$5))</f>
        <v/>
      </c>
    </row>
    <row r="14995" spans="15:15" x14ac:dyDescent="0.25">
      <c r="O14995" s="20" t="str">
        <f>IF(N14995="","",COUNTIFS(RawData[[Date ]],N14995,RawData[Month List],$Q$6,RawData[Tour/Site],$Q$2,RawData[[Picker ID ]],$Q$3,RawData[Checker ID],$Q$4,RawData[[Error Type ]],$Q$5))</f>
        <v/>
      </c>
    </row>
    <row r="14996" spans="15:15" x14ac:dyDescent="0.25">
      <c r="O14996" s="20" t="str">
        <f>IF(N14996="","",COUNTIFS(RawData[[Date ]],N14996,RawData[Month List],$Q$6,RawData[Tour/Site],$Q$2,RawData[[Picker ID ]],$Q$3,RawData[Checker ID],$Q$4,RawData[[Error Type ]],$Q$5))</f>
        <v/>
      </c>
    </row>
    <row r="14997" spans="15:15" x14ac:dyDescent="0.25">
      <c r="O14997" s="20" t="str">
        <f>IF(N14997="","",COUNTIFS(RawData[[Date ]],N14997,RawData[Month List],$Q$6,RawData[Tour/Site],$Q$2,RawData[[Picker ID ]],$Q$3,RawData[Checker ID],$Q$4,RawData[[Error Type ]],$Q$5))</f>
        <v/>
      </c>
    </row>
    <row r="14998" spans="15:15" x14ac:dyDescent="0.25">
      <c r="O14998" s="20" t="str">
        <f>IF(N14998="","",COUNTIFS(RawData[[Date ]],N14998,RawData[Month List],$Q$6,RawData[Tour/Site],$Q$2,RawData[[Picker ID ]],$Q$3,RawData[Checker ID],$Q$4,RawData[[Error Type ]],$Q$5))</f>
        <v/>
      </c>
    </row>
    <row r="14999" spans="15:15" x14ac:dyDescent="0.25">
      <c r="O14999" s="20" t="str">
        <f>IF(N14999="","",COUNTIFS(RawData[[Date ]],N14999,RawData[Month List],$Q$6,RawData[Tour/Site],$Q$2,RawData[[Picker ID ]],$Q$3,RawData[Checker ID],$Q$4,RawData[[Error Type ]],$Q$5))</f>
        <v/>
      </c>
    </row>
    <row r="15000" spans="15:15" x14ac:dyDescent="0.25">
      <c r="O15000" s="20" t="str">
        <f>IF(N15000="","",COUNTIFS(RawData[[Date ]],N15000,RawData[Month List],$Q$6,RawData[Tour/Site],$Q$2,RawData[[Picker ID ]],$Q$3,RawData[Checker ID],$Q$4,RawData[[Error Type ]],$Q$5))</f>
        <v/>
      </c>
    </row>
    <row r="15001" spans="15:15" x14ac:dyDescent="0.25">
      <c r="O15001" s="20" t="str">
        <f>IF(N15001="","",COUNTIFS(RawData[[Date ]],N15001,RawData[Month List],$Q$6,RawData[Tour/Site],$Q$2,RawData[[Picker ID ]],$Q$3,RawData[Checker ID],$Q$4,RawData[[Error Type ]],$Q$5))</f>
        <v/>
      </c>
    </row>
    <row r="15002" spans="15:15" x14ac:dyDescent="0.25">
      <c r="O15002" s="20" t="str">
        <f>IF(N15002="","",COUNTIFS(RawData[[Date ]],N15002,RawData[Month List],$Q$6,RawData[Tour/Site],$Q$2,RawData[[Picker ID ]],$Q$3,RawData[Checker ID],$Q$4,RawData[[Error Type ]],$Q$5))</f>
        <v/>
      </c>
    </row>
    <row r="15003" spans="15:15" x14ac:dyDescent="0.25">
      <c r="O15003" s="20" t="str">
        <f>IF(N15003="","",COUNTIFS(RawData[[Date ]],N15003,RawData[Month List],$Q$6,RawData[Tour/Site],$Q$2,RawData[[Picker ID ]],$Q$3,RawData[Checker ID],$Q$4,RawData[[Error Type ]],$Q$5))</f>
        <v/>
      </c>
    </row>
    <row r="15004" spans="15:15" x14ac:dyDescent="0.25">
      <c r="O15004" s="20" t="str">
        <f>IF(N15004="","",COUNTIFS(RawData[[Date ]],N15004,RawData[Month List],$Q$6,RawData[Tour/Site],$Q$2,RawData[[Picker ID ]],$Q$3,RawData[Checker ID],$Q$4,RawData[[Error Type ]],$Q$5))</f>
        <v/>
      </c>
    </row>
    <row r="15005" spans="15:15" x14ac:dyDescent="0.25">
      <c r="O15005" s="20" t="str">
        <f>IF(N15005="","",COUNTIFS(RawData[[Date ]],N15005,RawData[Month List],$Q$6,RawData[Tour/Site],$Q$2,RawData[[Picker ID ]],$Q$3,RawData[Checker ID],$Q$4,RawData[[Error Type ]],$Q$5))</f>
        <v/>
      </c>
    </row>
    <row r="15006" spans="15:15" x14ac:dyDescent="0.25">
      <c r="O15006" s="20" t="str">
        <f>IF(N15006="","",COUNTIFS(RawData[[Date ]],N15006,RawData[Month List],$Q$6,RawData[Tour/Site],$Q$2,RawData[[Picker ID ]],$Q$3,RawData[Checker ID],$Q$4,RawData[[Error Type ]],$Q$5))</f>
        <v/>
      </c>
    </row>
    <row r="15007" spans="15:15" x14ac:dyDescent="0.25">
      <c r="O15007" s="20" t="str">
        <f>IF(N15007="","",COUNTIFS(RawData[[Date ]],N15007,RawData[Month List],$Q$6,RawData[Tour/Site],$Q$2,RawData[[Picker ID ]],$Q$3,RawData[Checker ID],$Q$4,RawData[[Error Type ]],$Q$5))</f>
        <v/>
      </c>
    </row>
    <row r="15008" spans="15:15" x14ac:dyDescent="0.25">
      <c r="O15008" s="20" t="str">
        <f>IF(N15008="","",COUNTIFS(RawData[[Date ]],N15008,RawData[Month List],$Q$6,RawData[Tour/Site],$Q$2,RawData[[Picker ID ]],$Q$3,RawData[Checker ID],$Q$4,RawData[[Error Type ]],$Q$5))</f>
        <v/>
      </c>
    </row>
    <row r="15009" spans="15:15" x14ac:dyDescent="0.25">
      <c r="O15009" s="20" t="str">
        <f>IF(N15009="","",COUNTIFS(RawData[[Date ]],N15009,RawData[Month List],$Q$6,RawData[Tour/Site],$Q$2,RawData[[Picker ID ]],$Q$3,RawData[Checker ID],$Q$4,RawData[[Error Type ]],$Q$5))</f>
        <v/>
      </c>
    </row>
    <row r="15010" spans="15:15" x14ac:dyDescent="0.25">
      <c r="O15010" s="20" t="str">
        <f>IF(N15010="","",COUNTIFS(RawData[[Date ]],N15010,RawData[Month List],$Q$6,RawData[Tour/Site],$Q$2,RawData[[Picker ID ]],$Q$3,RawData[Checker ID],$Q$4,RawData[[Error Type ]],$Q$5))</f>
        <v/>
      </c>
    </row>
    <row r="15011" spans="15:15" x14ac:dyDescent="0.25">
      <c r="O15011" s="20" t="str">
        <f>IF(N15011="","",COUNTIFS(RawData[[Date ]],N15011,RawData[Month List],$Q$6,RawData[Tour/Site],$Q$2,RawData[[Picker ID ]],$Q$3,RawData[Checker ID],$Q$4,RawData[[Error Type ]],$Q$5))</f>
        <v/>
      </c>
    </row>
    <row r="15012" spans="15:15" x14ac:dyDescent="0.25">
      <c r="O15012" s="20" t="str">
        <f>IF(N15012="","",COUNTIFS(RawData[[Date ]],N15012,RawData[Month List],$Q$6,RawData[Tour/Site],$Q$2,RawData[[Picker ID ]],$Q$3,RawData[Checker ID],$Q$4,RawData[[Error Type ]],$Q$5))</f>
        <v/>
      </c>
    </row>
    <row r="15013" spans="15:15" x14ac:dyDescent="0.25">
      <c r="O15013" s="20" t="str">
        <f>IF(N15013="","",COUNTIFS(RawData[[Date ]],N15013,RawData[Month List],$Q$6,RawData[Tour/Site],$Q$2,RawData[[Picker ID ]],$Q$3,RawData[Checker ID],$Q$4,RawData[[Error Type ]],$Q$5))</f>
        <v/>
      </c>
    </row>
    <row r="15014" spans="15:15" x14ac:dyDescent="0.25">
      <c r="O15014" s="20" t="str">
        <f>IF(N15014="","",COUNTIFS(RawData[[Date ]],N15014,RawData[Month List],$Q$6,RawData[Tour/Site],$Q$2,RawData[[Picker ID ]],$Q$3,RawData[Checker ID],$Q$4,RawData[[Error Type ]],$Q$5))</f>
        <v/>
      </c>
    </row>
    <row r="15015" spans="15:15" x14ac:dyDescent="0.25">
      <c r="O15015" s="20" t="str">
        <f>IF(N15015="","",COUNTIFS(RawData[[Date ]],N15015,RawData[Month List],$Q$6,RawData[Tour/Site],$Q$2,RawData[[Picker ID ]],$Q$3,RawData[Checker ID],$Q$4,RawData[[Error Type ]],$Q$5))</f>
        <v/>
      </c>
    </row>
    <row r="15016" spans="15:15" x14ac:dyDescent="0.25">
      <c r="O15016" s="20" t="str">
        <f>IF(N15016="","",COUNTIFS(RawData[[Date ]],N15016,RawData[Month List],$Q$6,RawData[Tour/Site],$Q$2,RawData[[Picker ID ]],$Q$3,RawData[Checker ID],$Q$4,RawData[[Error Type ]],$Q$5))</f>
        <v/>
      </c>
    </row>
    <row r="15017" spans="15:15" x14ac:dyDescent="0.25">
      <c r="O15017" s="20" t="str">
        <f>IF(N15017="","",COUNTIFS(RawData[[Date ]],N15017,RawData[Month List],$Q$6,RawData[Tour/Site],$Q$2,RawData[[Picker ID ]],$Q$3,RawData[Checker ID],$Q$4,RawData[[Error Type ]],$Q$5))</f>
        <v/>
      </c>
    </row>
    <row r="15018" spans="15:15" x14ac:dyDescent="0.25">
      <c r="O15018" s="20" t="str">
        <f>IF(N15018="","",COUNTIFS(RawData[[Date ]],N15018,RawData[Month List],$Q$6,RawData[Tour/Site],$Q$2,RawData[[Picker ID ]],$Q$3,RawData[Checker ID],$Q$4,RawData[[Error Type ]],$Q$5))</f>
        <v/>
      </c>
    </row>
    <row r="15019" spans="15:15" x14ac:dyDescent="0.25">
      <c r="O15019" s="20" t="str">
        <f>IF(N15019="","",COUNTIFS(RawData[[Date ]],N15019,RawData[Month List],$Q$6,RawData[Tour/Site],$Q$2,RawData[[Picker ID ]],$Q$3,RawData[Checker ID],$Q$4,RawData[[Error Type ]],$Q$5))</f>
        <v/>
      </c>
    </row>
    <row r="15020" spans="15:15" x14ac:dyDescent="0.25">
      <c r="O15020" s="20" t="str">
        <f>IF(N15020="","",COUNTIFS(RawData[[Date ]],N15020,RawData[Month List],$Q$6,RawData[Tour/Site],$Q$2,RawData[[Picker ID ]],$Q$3,RawData[Checker ID],$Q$4,RawData[[Error Type ]],$Q$5))</f>
        <v/>
      </c>
    </row>
    <row r="15021" spans="15:15" x14ac:dyDescent="0.25">
      <c r="O15021" s="20" t="str">
        <f>IF(N15021="","",COUNTIFS(RawData[[Date ]],N15021,RawData[Month List],$Q$6,RawData[Tour/Site],$Q$2,RawData[[Picker ID ]],$Q$3,RawData[Checker ID],$Q$4,RawData[[Error Type ]],$Q$5))</f>
        <v/>
      </c>
    </row>
    <row r="15022" spans="15:15" x14ac:dyDescent="0.25">
      <c r="O15022" s="20" t="str">
        <f>IF(N15022="","",COUNTIFS(RawData[[Date ]],N15022,RawData[Month List],$Q$6,RawData[Tour/Site],$Q$2,RawData[[Picker ID ]],$Q$3,RawData[Checker ID],$Q$4,RawData[[Error Type ]],$Q$5))</f>
        <v/>
      </c>
    </row>
    <row r="15023" spans="15:15" x14ac:dyDescent="0.25">
      <c r="O15023" s="20" t="str">
        <f>IF(N15023="","",COUNTIFS(RawData[[Date ]],N15023,RawData[Month List],$Q$6,RawData[Tour/Site],$Q$2,RawData[[Picker ID ]],$Q$3,RawData[Checker ID],$Q$4,RawData[[Error Type ]],$Q$5))</f>
        <v/>
      </c>
    </row>
    <row r="15024" spans="15:15" x14ac:dyDescent="0.25">
      <c r="O15024" s="20" t="str">
        <f>IF(N15024="","",COUNTIFS(RawData[[Date ]],N15024,RawData[Month List],$Q$6,RawData[Tour/Site],$Q$2,RawData[[Picker ID ]],$Q$3,RawData[Checker ID],$Q$4,RawData[[Error Type ]],$Q$5))</f>
        <v/>
      </c>
    </row>
    <row r="15025" spans="15:15" x14ac:dyDescent="0.25">
      <c r="O15025" s="20" t="str">
        <f>IF(N15025="","",COUNTIFS(RawData[[Date ]],N15025,RawData[Month List],$Q$6,RawData[Tour/Site],$Q$2,RawData[[Picker ID ]],$Q$3,RawData[Checker ID],$Q$4,RawData[[Error Type ]],$Q$5))</f>
        <v/>
      </c>
    </row>
    <row r="15026" spans="15:15" x14ac:dyDescent="0.25">
      <c r="O15026" s="20" t="str">
        <f>IF(N15026="","",COUNTIFS(RawData[[Date ]],N15026,RawData[Month List],$Q$6,RawData[Tour/Site],$Q$2,RawData[[Picker ID ]],$Q$3,RawData[Checker ID],$Q$4,RawData[[Error Type ]],$Q$5))</f>
        <v/>
      </c>
    </row>
    <row r="15027" spans="15:15" x14ac:dyDescent="0.25">
      <c r="O15027" s="20" t="str">
        <f>IF(N15027="","",COUNTIFS(RawData[[Date ]],N15027,RawData[Month List],$Q$6,RawData[Tour/Site],$Q$2,RawData[[Picker ID ]],$Q$3,RawData[Checker ID],$Q$4,RawData[[Error Type ]],$Q$5))</f>
        <v/>
      </c>
    </row>
    <row r="15028" spans="15:15" x14ac:dyDescent="0.25">
      <c r="O15028" s="20" t="str">
        <f>IF(N15028="","",COUNTIFS(RawData[[Date ]],N15028,RawData[Month List],$Q$6,RawData[Tour/Site],$Q$2,RawData[[Picker ID ]],$Q$3,RawData[Checker ID],$Q$4,RawData[[Error Type ]],$Q$5))</f>
        <v/>
      </c>
    </row>
    <row r="15029" spans="15:15" x14ac:dyDescent="0.25">
      <c r="O15029" s="20" t="str">
        <f>IF(N15029="","",COUNTIFS(RawData[[Date ]],N15029,RawData[Month List],$Q$6,RawData[Tour/Site],$Q$2,RawData[[Picker ID ]],$Q$3,RawData[Checker ID],$Q$4,RawData[[Error Type ]],$Q$5))</f>
        <v/>
      </c>
    </row>
    <row r="15030" spans="15:15" x14ac:dyDescent="0.25">
      <c r="O15030" s="20" t="str">
        <f>IF(N15030="","",COUNTIFS(RawData[[Date ]],N15030,RawData[Month List],$Q$6,RawData[Tour/Site],$Q$2,RawData[[Picker ID ]],$Q$3,RawData[Checker ID],$Q$4,RawData[[Error Type ]],$Q$5))</f>
        <v/>
      </c>
    </row>
    <row r="15031" spans="15:15" x14ac:dyDescent="0.25">
      <c r="O15031" s="20" t="str">
        <f>IF(N15031="","",COUNTIFS(RawData[[Date ]],N15031,RawData[Month List],$Q$6,RawData[Tour/Site],$Q$2,RawData[[Picker ID ]],$Q$3,RawData[Checker ID],$Q$4,RawData[[Error Type ]],$Q$5))</f>
        <v/>
      </c>
    </row>
    <row r="15032" spans="15:15" x14ac:dyDescent="0.25">
      <c r="O15032" s="20" t="str">
        <f>IF(N15032="","",COUNTIFS(RawData[[Date ]],N15032,RawData[Month List],$Q$6,RawData[Tour/Site],$Q$2,RawData[[Picker ID ]],$Q$3,RawData[Checker ID],$Q$4,RawData[[Error Type ]],$Q$5))</f>
        <v/>
      </c>
    </row>
    <row r="15033" spans="15:15" x14ac:dyDescent="0.25">
      <c r="O15033" s="20" t="str">
        <f>IF(N15033="","",COUNTIFS(RawData[[Date ]],N15033,RawData[Month List],$Q$6,RawData[Tour/Site],$Q$2,RawData[[Picker ID ]],$Q$3,RawData[Checker ID],$Q$4,RawData[[Error Type ]],$Q$5))</f>
        <v/>
      </c>
    </row>
    <row r="15034" spans="15:15" x14ac:dyDescent="0.25">
      <c r="O15034" s="20" t="str">
        <f>IF(N15034="","",COUNTIFS(RawData[[Date ]],N15034,RawData[Month List],$Q$6,RawData[Tour/Site],$Q$2,RawData[[Picker ID ]],$Q$3,RawData[Checker ID],$Q$4,RawData[[Error Type ]],$Q$5))</f>
        <v/>
      </c>
    </row>
    <row r="15035" spans="15:15" x14ac:dyDescent="0.25">
      <c r="O15035" s="20" t="str">
        <f>IF(N15035="","",COUNTIFS(RawData[[Date ]],N15035,RawData[Month List],$Q$6,RawData[Tour/Site],$Q$2,RawData[[Picker ID ]],$Q$3,RawData[Checker ID],$Q$4,RawData[[Error Type ]],$Q$5))</f>
        <v/>
      </c>
    </row>
    <row r="15036" spans="15:15" x14ac:dyDescent="0.25">
      <c r="O15036" s="20" t="str">
        <f>IF(N15036="","",COUNTIFS(RawData[[Date ]],N15036,RawData[Month List],$Q$6,RawData[Tour/Site],$Q$2,RawData[[Picker ID ]],$Q$3,RawData[Checker ID],$Q$4,RawData[[Error Type ]],$Q$5))</f>
        <v/>
      </c>
    </row>
    <row r="15037" spans="15:15" x14ac:dyDescent="0.25">
      <c r="O15037" s="20" t="str">
        <f>IF(N15037="","",COUNTIFS(RawData[[Date ]],N15037,RawData[Month List],$Q$6,RawData[Tour/Site],$Q$2,RawData[[Picker ID ]],$Q$3,RawData[Checker ID],$Q$4,RawData[[Error Type ]],$Q$5))</f>
        <v/>
      </c>
    </row>
    <row r="15038" spans="15:15" x14ac:dyDescent="0.25">
      <c r="O15038" s="20" t="str">
        <f>IF(N15038="","",COUNTIFS(RawData[[Date ]],N15038,RawData[Month List],$Q$6,RawData[Tour/Site],$Q$2,RawData[[Picker ID ]],$Q$3,RawData[Checker ID],$Q$4,RawData[[Error Type ]],$Q$5))</f>
        <v/>
      </c>
    </row>
    <row r="15039" spans="15:15" x14ac:dyDescent="0.25">
      <c r="O15039" s="20" t="str">
        <f>IF(N15039="","",COUNTIFS(RawData[[Date ]],N15039,RawData[Month List],$Q$6,RawData[Tour/Site],$Q$2,RawData[[Picker ID ]],$Q$3,RawData[Checker ID],$Q$4,RawData[[Error Type ]],$Q$5))</f>
        <v/>
      </c>
    </row>
    <row r="15040" spans="15:15" x14ac:dyDescent="0.25">
      <c r="O15040" s="20" t="str">
        <f>IF(N15040="","",COUNTIFS(RawData[[Date ]],N15040,RawData[Month List],$Q$6,RawData[Tour/Site],$Q$2,RawData[[Picker ID ]],$Q$3,RawData[Checker ID],$Q$4,RawData[[Error Type ]],$Q$5))</f>
        <v/>
      </c>
    </row>
    <row r="15041" spans="15:15" x14ac:dyDescent="0.25">
      <c r="O15041" s="20" t="str">
        <f>IF(N15041="","",COUNTIFS(RawData[[Date ]],N15041,RawData[Month List],$Q$6,RawData[Tour/Site],$Q$2,RawData[[Picker ID ]],$Q$3,RawData[Checker ID],$Q$4,RawData[[Error Type ]],$Q$5))</f>
        <v/>
      </c>
    </row>
    <row r="15042" spans="15:15" x14ac:dyDescent="0.25">
      <c r="O15042" s="20" t="str">
        <f>IF(N15042="","",COUNTIFS(RawData[[Date ]],N15042,RawData[Month List],$Q$6,RawData[Tour/Site],$Q$2,RawData[[Picker ID ]],$Q$3,RawData[Checker ID],$Q$4,RawData[[Error Type ]],$Q$5))</f>
        <v/>
      </c>
    </row>
    <row r="15043" spans="15:15" x14ac:dyDescent="0.25">
      <c r="O15043" s="20" t="str">
        <f>IF(N15043="","",COUNTIFS(RawData[[Date ]],N15043,RawData[Month List],$Q$6,RawData[Tour/Site],$Q$2,RawData[[Picker ID ]],$Q$3,RawData[Checker ID],$Q$4,RawData[[Error Type ]],$Q$5))</f>
        <v/>
      </c>
    </row>
    <row r="15044" spans="15:15" x14ac:dyDescent="0.25">
      <c r="O15044" s="20" t="str">
        <f>IF(N15044="","",COUNTIFS(RawData[[Date ]],N15044,RawData[Month List],$Q$6,RawData[Tour/Site],$Q$2,RawData[[Picker ID ]],$Q$3,RawData[Checker ID],$Q$4,RawData[[Error Type ]],$Q$5))</f>
        <v/>
      </c>
    </row>
    <row r="15045" spans="15:15" x14ac:dyDescent="0.25">
      <c r="O15045" s="20" t="str">
        <f>IF(N15045="","",COUNTIFS(RawData[[Date ]],N15045,RawData[Month List],$Q$6,RawData[Tour/Site],$Q$2,RawData[[Picker ID ]],$Q$3,RawData[Checker ID],$Q$4,RawData[[Error Type ]],$Q$5))</f>
        <v/>
      </c>
    </row>
    <row r="15046" spans="15:15" x14ac:dyDescent="0.25">
      <c r="O15046" s="20" t="str">
        <f>IF(N15046="","",COUNTIFS(RawData[[Date ]],N15046,RawData[Month List],$Q$6,RawData[Tour/Site],$Q$2,RawData[[Picker ID ]],$Q$3,RawData[Checker ID],$Q$4,RawData[[Error Type ]],$Q$5))</f>
        <v/>
      </c>
    </row>
    <row r="15047" spans="15:15" x14ac:dyDescent="0.25">
      <c r="O15047" s="20" t="str">
        <f>IF(N15047="","",COUNTIFS(RawData[[Date ]],N15047,RawData[Month List],$Q$6,RawData[Tour/Site],$Q$2,RawData[[Picker ID ]],$Q$3,RawData[Checker ID],$Q$4,RawData[[Error Type ]],$Q$5))</f>
        <v/>
      </c>
    </row>
    <row r="15048" spans="15:15" x14ac:dyDescent="0.25">
      <c r="O15048" s="20" t="str">
        <f>IF(N15048="","",COUNTIFS(RawData[[Date ]],N15048,RawData[Month List],$Q$6,RawData[Tour/Site],$Q$2,RawData[[Picker ID ]],$Q$3,RawData[Checker ID],$Q$4,RawData[[Error Type ]],$Q$5))</f>
        <v/>
      </c>
    </row>
    <row r="15049" spans="15:15" x14ac:dyDescent="0.25">
      <c r="O15049" s="20" t="str">
        <f>IF(N15049="","",COUNTIFS(RawData[[Date ]],N15049,RawData[Month List],$Q$6,RawData[Tour/Site],$Q$2,RawData[[Picker ID ]],$Q$3,RawData[Checker ID],$Q$4,RawData[[Error Type ]],$Q$5))</f>
        <v/>
      </c>
    </row>
    <row r="15050" spans="15:15" x14ac:dyDescent="0.25">
      <c r="O15050" s="20" t="str">
        <f>IF(N15050="","",COUNTIFS(RawData[[Date ]],N15050,RawData[Month List],$Q$6,RawData[Tour/Site],$Q$2,RawData[[Picker ID ]],$Q$3,RawData[Checker ID],$Q$4,RawData[[Error Type ]],$Q$5))</f>
        <v/>
      </c>
    </row>
    <row r="15051" spans="15:15" x14ac:dyDescent="0.25">
      <c r="O15051" s="20" t="str">
        <f>IF(N15051="","",COUNTIFS(RawData[[Date ]],N15051,RawData[Month List],$Q$6,RawData[Tour/Site],$Q$2,RawData[[Picker ID ]],$Q$3,RawData[Checker ID],$Q$4,RawData[[Error Type ]],$Q$5))</f>
        <v/>
      </c>
    </row>
    <row r="15052" spans="15:15" x14ac:dyDescent="0.25">
      <c r="O15052" s="20" t="str">
        <f>IF(N15052="","",COUNTIFS(RawData[[Date ]],N15052,RawData[Month List],$Q$6,RawData[Tour/Site],$Q$2,RawData[[Picker ID ]],$Q$3,RawData[Checker ID],$Q$4,RawData[[Error Type ]],$Q$5))</f>
        <v/>
      </c>
    </row>
    <row r="15053" spans="15:15" x14ac:dyDescent="0.25">
      <c r="O15053" s="20" t="str">
        <f>IF(N15053="","",COUNTIFS(RawData[[Date ]],N15053,RawData[Month List],$Q$6,RawData[Tour/Site],$Q$2,RawData[[Picker ID ]],$Q$3,RawData[Checker ID],$Q$4,RawData[[Error Type ]],$Q$5))</f>
        <v/>
      </c>
    </row>
    <row r="15054" spans="15:15" x14ac:dyDescent="0.25">
      <c r="O15054" s="20" t="str">
        <f>IF(N15054="","",COUNTIFS(RawData[[Date ]],N15054,RawData[Month List],$Q$6,RawData[Tour/Site],$Q$2,RawData[[Picker ID ]],$Q$3,RawData[Checker ID],$Q$4,RawData[[Error Type ]],$Q$5))</f>
        <v/>
      </c>
    </row>
    <row r="15055" spans="15:15" x14ac:dyDescent="0.25">
      <c r="O15055" s="20" t="str">
        <f>IF(N15055="","",COUNTIFS(RawData[[Date ]],N15055,RawData[Month List],$Q$6,RawData[Tour/Site],$Q$2,RawData[[Picker ID ]],$Q$3,RawData[Checker ID],$Q$4,RawData[[Error Type ]],$Q$5))</f>
        <v/>
      </c>
    </row>
    <row r="15056" spans="15:15" x14ac:dyDescent="0.25">
      <c r="O15056" s="20" t="str">
        <f>IF(N15056="","",COUNTIFS(RawData[[Date ]],N15056,RawData[Month List],$Q$6,RawData[Tour/Site],$Q$2,RawData[[Picker ID ]],$Q$3,RawData[Checker ID],$Q$4,RawData[[Error Type ]],$Q$5))</f>
        <v/>
      </c>
    </row>
    <row r="15057" spans="15:15" x14ac:dyDescent="0.25">
      <c r="O15057" s="20" t="str">
        <f>IF(N15057="","",COUNTIFS(RawData[[Date ]],N15057,RawData[Month List],$Q$6,RawData[Tour/Site],$Q$2,RawData[[Picker ID ]],$Q$3,RawData[Checker ID],$Q$4,RawData[[Error Type ]],$Q$5))</f>
        <v/>
      </c>
    </row>
    <row r="15058" spans="15:15" x14ac:dyDescent="0.25">
      <c r="O15058" s="20" t="str">
        <f>IF(N15058="","",COUNTIFS(RawData[[Date ]],N15058,RawData[Month List],$Q$6,RawData[Tour/Site],$Q$2,RawData[[Picker ID ]],$Q$3,RawData[Checker ID],$Q$4,RawData[[Error Type ]],$Q$5))</f>
        <v/>
      </c>
    </row>
    <row r="15059" spans="15:15" x14ac:dyDescent="0.25">
      <c r="O15059" s="20" t="str">
        <f>IF(N15059="","",COUNTIFS(RawData[[Date ]],N15059,RawData[Month List],$Q$6,RawData[Tour/Site],$Q$2,RawData[[Picker ID ]],$Q$3,RawData[Checker ID],$Q$4,RawData[[Error Type ]],$Q$5))</f>
        <v/>
      </c>
    </row>
    <row r="15060" spans="15:15" x14ac:dyDescent="0.25">
      <c r="O15060" s="20" t="str">
        <f>IF(N15060="","",COUNTIFS(RawData[[Date ]],N15060,RawData[Month List],$Q$6,RawData[Tour/Site],$Q$2,RawData[[Picker ID ]],$Q$3,RawData[Checker ID],$Q$4,RawData[[Error Type ]],$Q$5))</f>
        <v/>
      </c>
    </row>
    <row r="15061" spans="15:15" x14ac:dyDescent="0.25">
      <c r="O15061" s="20" t="str">
        <f>IF(N15061="","",COUNTIFS(RawData[[Date ]],N15061,RawData[Month List],$Q$6,RawData[Tour/Site],$Q$2,RawData[[Picker ID ]],$Q$3,RawData[Checker ID],$Q$4,RawData[[Error Type ]],$Q$5))</f>
        <v/>
      </c>
    </row>
    <row r="15062" spans="15:15" x14ac:dyDescent="0.25">
      <c r="O15062" s="20" t="str">
        <f>IF(N15062="","",COUNTIFS(RawData[[Date ]],N15062,RawData[Month List],$Q$6,RawData[Tour/Site],$Q$2,RawData[[Picker ID ]],$Q$3,RawData[Checker ID],$Q$4,RawData[[Error Type ]],$Q$5))</f>
        <v/>
      </c>
    </row>
    <row r="15063" spans="15:15" x14ac:dyDescent="0.25">
      <c r="O15063" s="20" t="str">
        <f>IF(N15063="","",COUNTIFS(RawData[[Date ]],N15063,RawData[Month List],$Q$6,RawData[Tour/Site],$Q$2,RawData[[Picker ID ]],$Q$3,RawData[Checker ID],$Q$4,RawData[[Error Type ]],$Q$5))</f>
        <v/>
      </c>
    </row>
    <row r="15064" spans="15:15" x14ac:dyDescent="0.25">
      <c r="O15064" s="20" t="str">
        <f>IF(N15064="","",COUNTIFS(RawData[[Date ]],N15064,RawData[Month List],$Q$6,RawData[Tour/Site],$Q$2,RawData[[Picker ID ]],$Q$3,RawData[Checker ID],$Q$4,RawData[[Error Type ]],$Q$5))</f>
        <v/>
      </c>
    </row>
    <row r="15065" spans="15:15" x14ac:dyDescent="0.25">
      <c r="O15065" s="20" t="str">
        <f>IF(N15065="","",COUNTIFS(RawData[[Date ]],N15065,RawData[Month List],$Q$6,RawData[Tour/Site],$Q$2,RawData[[Picker ID ]],$Q$3,RawData[Checker ID],$Q$4,RawData[[Error Type ]],$Q$5))</f>
        <v/>
      </c>
    </row>
    <row r="15066" spans="15:15" x14ac:dyDescent="0.25">
      <c r="O15066" s="20" t="str">
        <f>IF(N15066="","",COUNTIFS(RawData[[Date ]],N15066,RawData[Month List],$Q$6,RawData[Tour/Site],$Q$2,RawData[[Picker ID ]],$Q$3,RawData[Checker ID],$Q$4,RawData[[Error Type ]],$Q$5))</f>
        <v/>
      </c>
    </row>
    <row r="15067" spans="15:15" x14ac:dyDescent="0.25">
      <c r="O15067" s="20" t="str">
        <f>IF(N15067="","",COUNTIFS(RawData[[Date ]],N15067,RawData[Month List],$Q$6,RawData[Tour/Site],$Q$2,RawData[[Picker ID ]],$Q$3,RawData[Checker ID],$Q$4,RawData[[Error Type ]],$Q$5))</f>
        <v/>
      </c>
    </row>
    <row r="15068" spans="15:15" x14ac:dyDescent="0.25">
      <c r="O15068" s="20" t="str">
        <f>IF(N15068="","",COUNTIFS(RawData[[Date ]],N15068,RawData[Month List],$Q$6,RawData[Tour/Site],$Q$2,RawData[[Picker ID ]],$Q$3,RawData[Checker ID],$Q$4,RawData[[Error Type ]],$Q$5))</f>
        <v/>
      </c>
    </row>
    <row r="15069" spans="15:15" x14ac:dyDescent="0.25">
      <c r="O15069" s="20" t="str">
        <f>IF(N15069="","",COUNTIFS(RawData[[Date ]],N15069,RawData[Month List],$Q$6,RawData[Tour/Site],$Q$2,RawData[[Picker ID ]],$Q$3,RawData[Checker ID],$Q$4,RawData[[Error Type ]],$Q$5))</f>
        <v/>
      </c>
    </row>
    <row r="15070" spans="15:15" x14ac:dyDescent="0.25">
      <c r="O15070" s="20" t="str">
        <f>IF(N15070="","",COUNTIFS(RawData[[Date ]],N15070,RawData[Month List],$Q$6,RawData[Tour/Site],$Q$2,RawData[[Picker ID ]],$Q$3,RawData[Checker ID],$Q$4,RawData[[Error Type ]],$Q$5))</f>
        <v/>
      </c>
    </row>
    <row r="15071" spans="15:15" x14ac:dyDescent="0.25">
      <c r="O15071" s="20" t="str">
        <f>IF(N15071="","",COUNTIFS(RawData[[Date ]],N15071,RawData[Month List],$Q$6,RawData[Tour/Site],$Q$2,RawData[[Picker ID ]],$Q$3,RawData[Checker ID],$Q$4,RawData[[Error Type ]],$Q$5))</f>
        <v/>
      </c>
    </row>
    <row r="15072" spans="15:15" x14ac:dyDescent="0.25">
      <c r="O15072" s="20" t="str">
        <f>IF(N15072="","",COUNTIFS(RawData[[Date ]],N15072,RawData[Month List],$Q$6,RawData[Tour/Site],$Q$2,RawData[[Picker ID ]],$Q$3,RawData[Checker ID],$Q$4,RawData[[Error Type ]],$Q$5))</f>
        <v/>
      </c>
    </row>
    <row r="15073" spans="15:15" x14ac:dyDescent="0.25">
      <c r="O15073" s="20" t="str">
        <f>IF(N15073="","",COUNTIFS(RawData[[Date ]],N15073,RawData[Month List],$Q$6,RawData[Tour/Site],$Q$2,RawData[[Picker ID ]],$Q$3,RawData[Checker ID],$Q$4,RawData[[Error Type ]],$Q$5))</f>
        <v/>
      </c>
    </row>
    <row r="15074" spans="15:15" x14ac:dyDescent="0.25">
      <c r="O15074" s="20" t="str">
        <f>IF(N15074="","",COUNTIFS(RawData[[Date ]],N15074,RawData[Month List],$Q$6,RawData[Tour/Site],$Q$2,RawData[[Picker ID ]],$Q$3,RawData[Checker ID],$Q$4,RawData[[Error Type ]],$Q$5))</f>
        <v/>
      </c>
    </row>
    <row r="15075" spans="15:15" x14ac:dyDescent="0.25">
      <c r="O15075" s="20" t="str">
        <f>IF(N15075="","",COUNTIFS(RawData[[Date ]],N15075,RawData[Month List],$Q$6,RawData[Tour/Site],$Q$2,RawData[[Picker ID ]],$Q$3,RawData[Checker ID],$Q$4,RawData[[Error Type ]],$Q$5))</f>
        <v/>
      </c>
    </row>
    <row r="15076" spans="15:15" x14ac:dyDescent="0.25">
      <c r="O15076" s="20" t="str">
        <f>IF(N15076="","",COUNTIFS(RawData[[Date ]],N15076,RawData[Month List],$Q$6,RawData[Tour/Site],$Q$2,RawData[[Picker ID ]],$Q$3,RawData[Checker ID],$Q$4,RawData[[Error Type ]],$Q$5))</f>
        <v/>
      </c>
    </row>
    <row r="15077" spans="15:15" x14ac:dyDescent="0.25">
      <c r="O15077" s="20" t="str">
        <f>IF(N15077="","",COUNTIFS(RawData[[Date ]],N15077,RawData[Month List],$Q$6,RawData[Tour/Site],$Q$2,RawData[[Picker ID ]],$Q$3,RawData[Checker ID],$Q$4,RawData[[Error Type ]],$Q$5))</f>
        <v/>
      </c>
    </row>
    <row r="15078" spans="15:15" x14ac:dyDescent="0.25">
      <c r="O15078" s="20" t="str">
        <f>IF(N15078="","",COUNTIFS(RawData[[Date ]],N15078,RawData[Month List],$Q$6,RawData[Tour/Site],$Q$2,RawData[[Picker ID ]],$Q$3,RawData[Checker ID],$Q$4,RawData[[Error Type ]],$Q$5))</f>
        <v/>
      </c>
    </row>
    <row r="15079" spans="15:15" x14ac:dyDescent="0.25">
      <c r="O15079" s="20" t="str">
        <f>IF(N15079="","",COUNTIFS(RawData[[Date ]],N15079,RawData[Month List],$Q$6,RawData[Tour/Site],$Q$2,RawData[[Picker ID ]],$Q$3,RawData[Checker ID],$Q$4,RawData[[Error Type ]],$Q$5))</f>
        <v/>
      </c>
    </row>
    <row r="15080" spans="15:15" x14ac:dyDescent="0.25">
      <c r="O15080" s="20" t="str">
        <f>IF(N15080="","",COUNTIFS(RawData[[Date ]],N15080,RawData[Month List],$Q$6,RawData[Tour/Site],$Q$2,RawData[[Picker ID ]],$Q$3,RawData[Checker ID],$Q$4,RawData[[Error Type ]],$Q$5))</f>
        <v/>
      </c>
    </row>
    <row r="15081" spans="15:15" x14ac:dyDescent="0.25">
      <c r="O15081" s="20" t="str">
        <f>IF(N15081="","",COUNTIFS(RawData[[Date ]],N15081,RawData[Month List],$Q$6,RawData[Tour/Site],$Q$2,RawData[[Picker ID ]],$Q$3,RawData[Checker ID],$Q$4,RawData[[Error Type ]],$Q$5))</f>
        <v/>
      </c>
    </row>
    <row r="15082" spans="15:15" x14ac:dyDescent="0.25">
      <c r="O15082" s="20" t="str">
        <f>IF(N15082="","",COUNTIFS(RawData[[Date ]],N15082,RawData[Month List],$Q$6,RawData[Tour/Site],$Q$2,RawData[[Picker ID ]],$Q$3,RawData[Checker ID],$Q$4,RawData[[Error Type ]],$Q$5))</f>
        <v/>
      </c>
    </row>
    <row r="15083" spans="15:15" x14ac:dyDescent="0.25">
      <c r="O15083" s="20" t="str">
        <f>IF(N15083="","",COUNTIFS(RawData[[Date ]],N15083,RawData[Month List],$Q$6,RawData[Tour/Site],$Q$2,RawData[[Picker ID ]],$Q$3,RawData[Checker ID],$Q$4,RawData[[Error Type ]],$Q$5))</f>
        <v/>
      </c>
    </row>
    <row r="15084" spans="15:15" x14ac:dyDescent="0.25">
      <c r="O15084" s="20" t="str">
        <f>IF(N15084="","",COUNTIFS(RawData[[Date ]],N15084,RawData[Month List],$Q$6,RawData[Tour/Site],$Q$2,RawData[[Picker ID ]],$Q$3,RawData[Checker ID],$Q$4,RawData[[Error Type ]],$Q$5))</f>
        <v/>
      </c>
    </row>
    <row r="15085" spans="15:15" x14ac:dyDescent="0.25">
      <c r="O15085" s="20" t="str">
        <f>IF(N15085="","",COUNTIFS(RawData[[Date ]],N15085,RawData[Month List],$Q$6,RawData[Tour/Site],$Q$2,RawData[[Picker ID ]],$Q$3,RawData[Checker ID],$Q$4,RawData[[Error Type ]],$Q$5))</f>
        <v/>
      </c>
    </row>
    <row r="15086" spans="15:15" x14ac:dyDescent="0.25">
      <c r="O15086" s="20" t="str">
        <f>IF(N15086="","",COUNTIFS(RawData[[Date ]],N15086,RawData[Month List],$Q$6,RawData[Tour/Site],$Q$2,RawData[[Picker ID ]],$Q$3,RawData[Checker ID],$Q$4,RawData[[Error Type ]],$Q$5))</f>
        <v/>
      </c>
    </row>
    <row r="15087" spans="15:15" x14ac:dyDescent="0.25">
      <c r="O15087" s="20" t="str">
        <f>IF(N15087="","",COUNTIFS(RawData[[Date ]],N15087,RawData[Month List],$Q$6,RawData[Tour/Site],$Q$2,RawData[[Picker ID ]],$Q$3,RawData[Checker ID],$Q$4,RawData[[Error Type ]],$Q$5))</f>
        <v/>
      </c>
    </row>
    <row r="15088" spans="15:15" x14ac:dyDescent="0.25">
      <c r="O15088" s="20" t="str">
        <f>IF(N15088="","",COUNTIFS(RawData[[Date ]],N15088,RawData[Month List],$Q$6,RawData[Tour/Site],$Q$2,RawData[[Picker ID ]],$Q$3,RawData[Checker ID],$Q$4,RawData[[Error Type ]],$Q$5))</f>
        <v/>
      </c>
    </row>
    <row r="15089" spans="15:15" x14ac:dyDescent="0.25">
      <c r="O15089" s="20" t="str">
        <f>IF(N15089="","",COUNTIFS(RawData[[Date ]],N15089,RawData[Month List],$Q$6,RawData[Tour/Site],$Q$2,RawData[[Picker ID ]],$Q$3,RawData[Checker ID],$Q$4,RawData[[Error Type ]],$Q$5))</f>
        <v/>
      </c>
    </row>
    <row r="15090" spans="15:15" x14ac:dyDescent="0.25">
      <c r="O15090" s="20" t="str">
        <f>IF(N15090="","",COUNTIFS(RawData[[Date ]],N15090,RawData[Month List],$Q$6,RawData[Tour/Site],$Q$2,RawData[[Picker ID ]],$Q$3,RawData[Checker ID],$Q$4,RawData[[Error Type ]],$Q$5))</f>
        <v/>
      </c>
    </row>
    <row r="15091" spans="15:15" x14ac:dyDescent="0.25">
      <c r="O15091" s="20" t="str">
        <f>IF(N15091="","",COUNTIFS(RawData[[Date ]],N15091,RawData[Month List],$Q$6,RawData[Tour/Site],$Q$2,RawData[[Picker ID ]],$Q$3,RawData[Checker ID],$Q$4,RawData[[Error Type ]],$Q$5))</f>
        <v/>
      </c>
    </row>
    <row r="15092" spans="15:15" x14ac:dyDescent="0.25">
      <c r="O15092" s="20" t="str">
        <f>IF(N15092="","",COUNTIFS(RawData[[Date ]],N15092,RawData[Month List],$Q$6,RawData[Tour/Site],$Q$2,RawData[[Picker ID ]],$Q$3,RawData[Checker ID],$Q$4,RawData[[Error Type ]],$Q$5))</f>
        <v/>
      </c>
    </row>
    <row r="15093" spans="15:15" x14ac:dyDescent="0.25">
      <c r="O15093" s="20" t="str">
        <f>IF(N15093="","",COUNTIFS(RawData[[Date ]],N15093,RawData[Month List],$Q$6,RawData[Tour/Site],$Q$2,RawData[[Picker ID ]],$Q$3,RawData[Checker ID],$Q$4,RawData[[Error Type ]],$Q$5))</f>
        <v/>
      </c>
    </row>
    <row r="15094" spans="15:15" x14ac:dyDescent="0.25">
      <c r="O15094" s="20" t="str">
        <f>IF(N15094="","",COUNTIFS(RawData[[Date ]],N15094,RawData[Month List],$Q$6,RawData[Tour/Site],$Q$2,RawData[[Picker ID ]],$Q$3,RawData[Checker ID],$Q$4,RawData[[Error Type ]],$Q$5))</f>
        <v/>
      </c>
    </row>
    <row r="15095" spans="15:15" x14ac:dyDescent="0.25">
      <c r="O15095" s="20" t="str">
        <f>IF(N15095="","",COUNTIFS(RawData[[Date ]],N15095,RawData[Month List],$Q$6,RawData[Tour/Site],$Q$2,RawData[[Picker ID ]],$Q$3,RawData[Checker ID],$Q$4,RawData[[Error Type ]],$Q$5))</f>
        <v/>
      </c>
    </row>
    <row r="15096" spans="15:15" x14ac:dyDescent="0.25">
      <c r="O15096" s="20" t="str">
        <f>IF(N15096="","",COUNTIFS(RawData[[Date ]],N15096,RawData[Month List],$Q$6,RawData[Tour/Site],$Q$2,RawData[[Picker ID ]],$Q$3,RawData[Checker ID],$Q$4,RawData[[Error Type ]],$Q$5))</f>
        <v/>
      </c>
    </row>
    <row r="15097" spans="15:15" x14ac:dyDescent="0.25">
      <c r="O15097" s="20" t="str">
        <f>IF(N15097="","",COUNTIFS(RawData[[Date ]],N15097,RawData[Month List],$Q$6,RawData[Tour/Site],$Q$2,RawData[[Picker ID ]],$Q$3,RawData[Checker ID],$Q$4,RawData[[Error Type ]],$Q$5))</f>
        <v/>
      </c>
    </row>
    <row r="15098" spans="15:15" x14ac:dyDescent="0.25">
      <c r="O15098" s="20" t="str">
        <f>IF(N15098="","",COUNTIFS(RawData[[Date ]],N15098,RawData[Month List],$Q$6,RawData[Tour/Site],$Q$2,RawData[[Picker ID ]],$Q$3,RawData[Checker ID],$Q$4,RawData[[Error Type ]],$Q$5))</f>
        <v/>
      </c>
    </row>
    <row r="15099" spans="15:15" x14ac:dyDescent="0.25">
      <c r="O15099" s="20" t="str">
        <f>IF(N15099="","",COUNTIFS(RawData[[Date ]],N15099,RawData[Month List],$Q$6,RawData[Tour/Site],$Q$2,RawData[[Picker ID ]],$Q$3,RawData[Checker ID],$Q$4,RawData[[Error Type ]],$Q$5))</f>
        <v/>
      </c>
    </row>
    <row r="15100" spans="15:15" x14ac:dyDescent="0.25">
      <c r="O15100" s="20" t="str">
        <f>IF(N15100="","",COUNTIFS(RawData[[Date ]],N15100,RawData[Month List],$Q$6,RawData[Tour/Site],$Q$2,RawData[[Picker ID ]],$Q$3,RawData[Checker ID],$Q$4,RawData[[Error Type ]],$Q$5))</f>
        <v/>
      </c>
    </row>
    <row r="15101" spans="15:15" x14ac:dyDescent="0.25">
      <c r="O15101" s="20" t="str">
        <f>IF(N15101="","",COUNTIFS(RawData[[Date ]],N15101,RawData[Month List],$Q$6,RawData[Tour/Site],$Q$2,RawData[[Picker ID ]],$Q$3,RawData[Checker ID],$Q$4,RawData[[Error Type ]],$Q$5))</f>
        <v/>
      </c>
    </row>
    <row r="15102" spans="15:15" x14ac:dyDescent="0.25">
      <c r="O15102" s="20" t="str">
        <f>IF(N15102="","",COUNTIFS(RawData[[Date ]],N15102,RawData[Month List],$Q$6,RawData[Tour/Site],$Q$2,RawData[[Picker ID ]],$Q$3,RawData[Checker ID],$Q$4,RawData[[Error Type ]],$Q$5))</f>
        <v/>
      </c>
    </row>
    <row r="15103" spans="15:15" x14ac:dyDescent="0.25">
      <c r="O15103" s="20" t="str">
        <f>IF(N15103="","",COUNTIFS(RawData[[Date ]],N15103,RawData[Month List],$Q$6,RawData[Tour/Site],$Q$2,RawData[[Picker ID ]],$Q$3,RawData[Checker ID],$Q$4,RawData[[Error Type ]],$Q$5))</f>
        <v/>
      </c>
    </row>
    <row r="15104" spans="15:15" x14ac:dyDescent="0.25">
      <c r="O15104" s="20" t="str">
        <f>IF(N15104="","",COUNTIFS(RawData[[Date ]],N15104,RawData[Month List],$Q$6,RawData[Tour/Site],$Q$2,RawData[[Picker ID ]],$Q$3,RawData[Checker ID],$Q$4,RawData[[Error Type ]],$Q$5))</f>
        <v/>
      </c>
    </row>
    <row r="15105" spans="15:15" x14ac:dyDescent="0.25">
      <c r="O15105" s="20" t="str">
        <f>IF(N15105="","",COUNTIFS(RawData[[Date ]],N15105,RawData[Month List],$Q$6,RawData[Tour/Site],$Q$2,RawData[[Picker ID ]],$Q$3,RawData[Checker ID],$Q$4,RawData[[Error Type ]],$Q$5))</f>
        <v/>
      </c>
    </row>
    <row r="15106" spans="15:15" x14ac:dyDescent="0.25">
      <c r="O15106" s="20" t="str">
        <f>IF(N15106="","",COUNTIFS(RawData[[Date ]],N15106,RawData[Month List],$Q$6,RawData[Tour/Site],$Q$2,RawData[[Picker ID ]],$Q$3,RawData[Checker ID],$Q$4,RawData[[Error Type ]],$Q$5))</f>
        <v/>
      </c>
    </row>
    <row r="15107" spans="15:15" x14ac:dyDescent="0.25">
      <c r="O15107" s="20" t="str">
        <f>IF(N15107="","",COUNTIFS(RawData[[Date ]],N15107,RawData[Month List],$Q$6,RawData[Tour/Site],$Q$2,RawData[[Picker ID ]],$Q$3,RawData[Checker ID],$Q$4,RawData[[Error Type ]],$Q$5))</f>
        <v/>
      </c>
    </row>
    <row r="15108" spans="15:15" x14ac:dyDescent="0.25">
      <c r="O15108" s="20" t="str">
        <f>IF(N15108="","",COUNTIFS(RawData[[Date ]],N15108,RawData[Month List],$Q$6,RawData[Tour/Site],$Q$2,RawData[[Picker ID ]],$Q$3,RawData[Checker ID],$Q$4,RawData[[Error Type ]],$Q$5))</f>
        <v/>
      </c>
    </row>
    <row r="15109" spans="15:15" x14ac:dyDescent="0.25">
      <c r="O15109" s="20" t="str">
        <f>IF(N15109="","",COUNTIFS(RawData[[Date ]],N15109,RawData[Month List],$Q$6,RawData[Tour/Site],$Q$2,RawData[[Picker ID ]],$Q$3,RawData[Checker ID],$Q$4,RawData[[Error Type ]],$Q$5))</f>
        <v/>
      </c>
    </row>
    <row r="15110" spans="15:15" x14ac:dyDescent="0.25">
      <c r="O15110" s="20" t="str">
        <f>IF(N15110="","",COUNTIFS(RawData[[Date ]],N15110,RawData[Month List],$Q$6,RawData[Tour/Site],$Q$2,RawData[[Picker ID ]],$Q$3,RawData[Checker ID],$Q$4,RawData[[Error Type ]],$Q$5))</f>
        <v/>
      </c>
    </row>
    <row r="15111" spans="15:15" x14ac:dyDescent="0.25">
      <c r="O15111" s="20" t="str">
        <f>IF(N15111="","",COUNTIFS(RawData[[Date ]],N15111,RawData[Month List],$Q$6,RawData[Tour/Site],$Q$2,RawData[[Picker ID ]],$Q$3,RawData[Checker ID],$Q$4,RawData[[Error Type ]],$Q$5))</f>
        <v/>
      </c>
    </row>
    <row r="15112" spans="15:15" x14ac:dyDescent="0.25">
      <c r="O15112" s="20" t="str">
        <f>IF(N15112="","",COUNTIFS(RawData[[Date ]],N15112,RawData[Month List],$Q$6,RawData[Tour/Site],$Q$2,RawData[[Picker ID ]],$Q$3,RawData[Checker ID],$Q$4,RawData[[Error Type ]],$Q$5))</f>
        <v/>
      </c>
    </row>
    <row r="15113" spans="15:15" x14ac:dyDescent="0.25">
      <c r="O15113" s="20" t="str">
        <f>IF(N15113="","",COUNTIFS(RawData[[Date ]],N15113,RawData[Month List],$Q$6,RawData[Tour/Site],$Q$2,RawData[[Picker ID ]],$Q$3,RawData[Checker ID],$Q$4,RawData[[Error Type ]],$Q$5))</f>
        <v/>
      </c>
    </row>
    <row r="15114" spans="15:15" x14ac:dyDescent="0.25">
      <c r="O15114" s="20" t="str">
        <f>IF(N15114="","",COUNTIFS(RawData[[Date ]],N15114,RawData[Month List],$Q$6,RawData[Tour/Site],$Q$2,RawData[[Picker ID ]],$Q$3,RawData[Checker ID],$Q$4,RawData[[Error Type ]],$Q$5))</f>
        <v/>
      </c>
    </row>
    <row r="15115" spans="15:15" x14ac:dyDescent="0.25">
      <c r="O15115" s="20" t="str">
        <f>IF(N15115="","",COUNTIFS(RawData[[Date ]],N15115,RawData[Month List],$Q$6,RawData[Tour/Site],$Q$2,RawData[[Picker ID ]],$Q$3,RawData[Checker ID],$Q$4,RawData[[Error Type ]],$Q$5))</f>
        <v/>
      </c>
    </row>
    <row r="15116" spans="15:15" x14ac:dyDescent="0.25">
      <c r="O15116" s="20" t="str">
        <f>IF(N15116="","",COUNTIFS(RawData[[Date ]],N15116,RawData[Month List],$Q$6,RawData[Tour/Site],$Q$2,RawData[[Picker ID ]],$Q$3,RawData[Checker ID],$Q$4,RawData[[Error Type ]],$Q$5))</f>
        <v/>
      </c>
    </row>
    <row r="15117" spans="15:15" x14ac:dyDescent="0.25">
      <c r="O15117" s="20" t="str">
        <f>IF(N15117="","",COUNTIFS(RawData[[Date ]],N15117,RawData[Month List],$Q$6,RawData[Tour/Site],$Q$2,RawData[[Picker ID ]],$Q$3,RawData[Checker ID],$Q$4,RawData[[Error Type ]],$Q$5))</f>
        <v/>
      </c>
    </row>
    <row r="15118" spans="15:15" x14ac:dyDescent="0.25">
      <c r="O15118" s="20" t="str">
        <f>IF(N15118="","",COUNTIFS(RawData[[Date ]],N15118,RawData[Month List],$Q$6,RawData[Tour/Site],$Q$2,RawData[[Picker ID ]],$Q$3,RawData[Checker ID],$Q$4,RawData[[Error Type ]],$Q$5))</f>
        <v/>
      </c>
    </row>
    <row r="15119" spans="15:15" x14ac:dyDescent="0.25">
      <c r="O15119" s="20" t="str">
        <f>IF(N15119="","",COUNTIFS(RawData[[Date ]],N15119,RawData[Month List],$Q$6,RawData[Tour/Site],$Q$2,RawData[[Picker ID ]],$Q$3,RawData[Checker ID],$Q$4,RawData[[Error Type ]],$Q$5))</f>
        <v/>
      </c>
    </row>
    <row r="15120" spans="15:15" x14ac:dyDescent="0.25">
      <c r="O15120" s="20" t="str">
        <f>IF(N15120="","",COUNTIFS(RawData[[Date ]],N15120,RawData[Month List],$Q$6,RawData[Tour/Site],$Q$2,RawData[[Picker ID ]],$Q$3,RawData[Checker ID],$Q$4,RawData[[Error Type ]],$Q$5))</f>
        <v/>
      </c>
    </row>
    <row r="15121" spans="15:15" x14ac:dyDescent="0.25">
      <c r="O15121" s="20" t="str">
        <f>IF(N15121="","",COUNTIFS(RawData[[Date ]],N15121,RawData[Month List],$Q$6,RawData[Tour/Site],$Q$2,RawData[[Picker ID ]],$Q$3,RawData[Checker ID],$Q$4,RawData[[Error Type ]],$Q$5))</f>
        <v/>
      </c>
    </row>
    <row r="15122" spans="15:15" x14ac:dyDescent="0.25">
      <c r="O15122" s="20" t="str">
        <f>IF(N15122="","",COUNTIFS(RawData[[Date ]],N15122,RawData[Month List],$Q$6,RawData[Tour/Site],$Q$2,RawData[[Picker ID ]],$Q$3,RawData[Checker ID],$Q$4,RawData[[Error Type ]],$Q$5))</f>
        <v/>
      </c>
    </row>
    <row r="15123" spans="15:15" x14ac:dyDescent="0.25">
      <c r="O15123" s="20" t="str">
        <f>IF(N15123="","",COUNTIFS(RawData[[Date ]],N15123,RawData[Month List],$Q$6,RawData[Tour/Site],$Q$2,RawData[[Picker ID ]],$Q$3,RawData[Checker ID],$Q$4,RawData[[Error Type ]],$Q$5))</f>
        <v/>
      </c>
    </row>
    <row r="15124" spans="15:15" x14ac:dyDescent="0.25">
      <c r="O15124" s="20" t="str">
        <f>IF(N15124="","",COUNTIFS(RawData[[Date ]],N15124,RawData[Month List],$Q$6,RawData[Tour/Site],$Q$2,RawData[[Picker ID ]],$Q$3,RawData[Checker ID],$Q$4,RawData[[Error Type ]],$Q$5))</f>
        <v/>
      </c>
    </row>
    <row r="15125" spans="15:15" x14ac:dyDescent="0.25">
      <c r="O15125" s="20" t="str">
        <f>IF(N15125="","",COUNTIFS(RawData[[Date ]],N15125,RawData[Month List],$Q$6,RawData[Tour/Site],$Q$2,RawData[[Picker ID ]],$Q$3,RawData[Checker ID],$Q$4,RawData[[Error Type ]],$Q$5))</f>
        <v/>
      </c>
    </row>
    <row r="15126" spans="15:15" x14ac:dyDescent="0.25">
      <c r="O15126" s="20" t="str">
        <f>IF(N15126="","",COUNTIFS(RawData[[Date ]],N15126,RawData[Month List],$Q$6,RawData[Tour/Site],$Q$2,RawData[[Picker ID ]],$Q$3,RawData[Checker ID],$Q$4,RawData[[Error Type ]],$Q$5))</f>
        <v/>
      </c>
    </row>
    <row r="15127" spans="15:15" x14ac:dyDescent="0.25">
      <c r="O15127" s="20" t="str">
        <f>IF(N15127="","",COUNTIFS(RawData[[Date ]],N15127,RawData[Month List],$Q$6,RawData[Tour/Site],$Q$2,RawData[[Picker ID ]],$Q$3,RawData[Checker ID],$Q$4,RawData[[Error Type ]],$Q$5))</f>
        <v/>
      </c>
    </row>
    <row r="15128" spans="15:15" x14ac:dyDescent="0.25">
      <c r="O15128" s="20" t="str">
        <f>IF(N15128="","",COUNTIFS(RawData[[Date ]],N15128,RawData[Month List],$Q$6,RawData[Tour/Site],$Q$2,RawData[[Picker ID ]],$Q$3,RawData[Checker ID],$Q$4,RawData[[Error Type ]],$Q$5))</f>
        <v/>
      </c>
    </row>
    <row r="15129" spans="15:15" x14ac:dyDescent="0.25">
      <c r="O15129" s="20" t="str">
        <f>IF(N15129="","",COUNTIFS(RawData[[Date ]],N15129,RawData[Month List],$Q$6,RawData[Tour/Site],$Q$2,RawData[[Picker ID ]],$Q$3,RawData[Checker ID],$Q$4,RawData[[Error Type ]],$Q$5))</f>
        <v/>
      </c>
    </row>
    <row r="15130" spans="15:15" x14ac:dyDescent="0.25">
      <c r="O15130" s="20" t="str">
        <f>IF(N15130="","",COUNTIFS(RawData[[Date ]],N15130,RawData[Month List],$Q$6,RawData[Tour/Site],$Q$2,RawData[[Picker ID ]],$Q$3,RawData[Checker ID],$Q$4,RawData[[Error Type ]],$Q$5))</f>
        <v/>
      </c>
    </row>
    <row r="15131" spans="15:15" x14ac:dyDescent="0.25">
      <c r="O15131" s="20" t="str">
        <f>IF(N15131="","",COUNTIFS(RawData[[Date ]],N15131,RawData[Month List],$Q$6,RawData[Tour/Site],$Q$2,RawData[[Picker ID ]],$Q$3,RawData[Checker ID],$Q$4,RawData[[Error Type ]],$Q$5))</f>
        <v/>
      </c>
    </row>
    <row r="15132" spans="15:15" x14ac:dyDescent="0.25">
      <c r="O15132" s="20" t="str">
        <f>IF(N15132="","",COUNTIFS(RawData[[Date ]],N15132,RawData[Month List],$Q$6,RawData[Tour/Site],$Q$2,RawData[[Picker ID ]],$Q$3,RawData[Checker ID],$Q$4,RawData[[Error Type ]],$Q$5))</f>
        <v/>
      </c>
    </row>
    <row r="15133" spans="15:15" x14ac:dyDescent="0.25">
      <c r="O15133" s="20" t="str">
        <f>IF(N15133="","",COUNTIFS(RawData[[Date ]],N15133,RawData[Month List],$Q$6,RawData[Tour/Site],$Q$2,RawData[[Picker ID ]],$Q$3,RawData[Checker ID],$Q$4,RawData[[Error Type ]],$Q$5))</f>
        <v/>
      </c>
    </row>
    <row r="15134" spans="15:15" x14ac:dyDescent="0.25">
      <c r="O15134" s="20" t="str">
        <f>IF(N15134="","",COUNTIFS(RawData[[Date ]],N15134,RawData[Month List],$Q$6,RawData[Tour/Site],$Q$2,RawData[[Picker ID ]],$Q$3,RawData[Checker ID],$Q$4,RawData[[Error Type ]],$Q$5))</f>
        <v/>
      </c>
    </row>
    <row r="15135" spans="15:15" x14ac:dyDescent="0.25">
      <c r="O15135" s="20" t="str">
        <f>IF(N15135="","",COUNTIFS(RawData[[Date ]],N15135,RawData[Month List],$Q$6,RawData[Tour/Site],$Q$2,RawData[[Picker ID ]],$Q$3,RawData[Checker ID],$Q$4,RawData[[Error Type ]],$Q$5))</f>
        <v/>
      </c>
    </row>
    <row r="15136" spans="15:15" x14ac:dyDescent="0.25">
      <c r="O15136" s="20" t="str">
        <f>IF(N15136="","",COUNTIFS(RawData[[Date ]],N15136,RawData[Month List],$Q$6,RawData[Tour/Site],$Q$2,RawData[[Picker ID ]],$Q$3,RawData[Checker ID],$Q$4,RawData[[Error Type ]],$Q$5))</f>
        <v/>
      </c>
    </row>
    <row r="15137" spans="15:15" x14ac:dyDescent="0.25">
      <c r="O15137" s="20" t="str">
        <f>IF(N15137="","",COUNTIFS(RawData[[Date ]],N15137,RawData[Month List],$Q$6,RawData[Tour/Site],$Q$2,RawData[[Picker ID ]],$Q$3,RawData[Checker ID],$Q$4,RawData[[Error Type ]],$Q$5))</f>
        <v/>
      </c>
    </row>
    <row r="15138" spans="15:15" x14ac:dyDescent="0.25">
      <c r="O15138" s="20" t="str">
        <f>IF(N15138="","",COUNTIFS(RawData[[Date ]],N15138,RawData[Month List],$Q$6,RawData[Tour/Site],$Q$2,RawData[[Picker ID ]],$Q$3,RawData[Checker ID],$Q$4,RawData[[Error Type ]],$Q$5))</f>
        <v/>
      </c>
    </row>
    <row r="15139" spans="15:15" x14ac:dyDescent="0.25">
      <c r="O15139" s="20" t="str">
        <f>IF(N15139="","",COUNTIFS(RawData[[Date ]],N15139,RawData[Month List],$Q$6,RawData[Tour/Site],$Q$2,RawData[[Picker ID ]],$Q$3,RawData[Checker ID],$Q$4,RawData[[Error Type ]],$Q$5))</f>
        <v/>
      </c>
    </row>
    <row r="15140" spans="15:15" x14ac:dyDescent="0.25">
      <c r="O15140" s="20" t="str">
        <f>IF(N15140="","",COUNTIFS(RawData[[Date ]],N15140,RawData[Month List],$Q$6,RawData[Tour/Site],$Q$2,RawData[[Picker ID ]],$Q$3,RawData[Checker ID],$Q$4,RawData[[Error Type ]],$Q$5))</f>
        <v/>
      </c>
    </row>
    <row r="15141" spans="15:15" x14ac:dyDescent="0.25">
      <c r="O15141" s="20" t="str">
        <f>IF(N15141="","",COUNTIFS(RawData[[Date ]],N15141,RawData[Month List],$Q$6,RawData[Tour/Site],$Q$2,RawData[[Picker ID ]],$Q$3,RawData[Checker ID],$Q$4,RawData[[Error Type ]],$Q$5))</f>
        <v/>
      </c>
    </row>
    <row r="15142" spans="15:15" x14ac:dyDescent="0.25">
      <c r="O15142" s="20" t="str">
        <f>IF(N15142="","",COUNTIFS(RawData[[Date ]],N15142,RawData[Month List],$Q$6,RawData[Tour/Site],$Q$2,RawData[[Picker ID ]],$Q$3,RawData[Checker ID],$Q$4,RawData[[Error Type ]],$Q$5))</f>
        <v/>
      </c>
    </row>
    <row r="15143" spans="15:15" x14ac:dyDescent="0.25">
      <c r="O15143" s="20" t="str">
        <f>IF(N15143="","",COUNTIFS(RawData[[Date ]],N15143,RawData[Month List],$Q$6,RawData[Tour/Site],$Q$2,RawData[[Picker ID ]],$Q$3,RawData[Checker ID],$Q$4,RawData[[Error Type ]],$Q$5))</f>
        <v/>
      </c>
    </row>
    <row r="15144" spans="15:15" x14ac:dyDescent="0.25">
      <c r="O15144" s="20" t="str">
        <f>IF(N15144="","",COUNTIFS(RawData[[Date ]],N15144,RawData[Month List],$Q$6,RawData[Tour/Site],$Q$2,RawData[[Picker ID ]],$Q$3,RawData[Checker ID],$Q$4,RawData[[Error Type ]],$Q$5))</f>
        <v/>
      </c>
    </row>
    <row r="15145" spans="15:15" x14ac:dyDescent="0.25">
      <c r="O15145" s="20" t="str">
        <f>IF(N15145="","",COUNTIFS(RawData[[Date ]],N15145,RawData[Month List],$Q$6,RawData[Tour/Site],$Q$2,RawData[[Picker ID ]],$Q$3,RawData[Checker ID],$Q$4,RawData[[Error Type ]],$Q$5))</f>
        <v/>
      </c>
    </row>
    <row r="15146" spans="15:15" x14ac:dyDescent="0.25">
      <c r="O15146" s="20" t="str">
        <f>IF(N15146="","",COUNTIFS(RawData[[Date ]],N15146,RawData[Month List],$Q$6,RawData[Tour/Site],$Q$2,RawData[[Picker ID ]],$Q$3,RawData[Checker ID],$Q$4,RawData[[Error Type ]],$Q$5))</f>
        <v/>
      </c>
    </row>
    <row r="15147" spans="15:15" x14ac:dyDescent="0.25">
      <c r="O15147" s="20" t="str">
        <f>IF(N15147="","",COUNTIFS(RawData[[Date ]],N15147,RawData[Month List],$Q$6,RawData[Tour/Site],$Q$2,RawData[[Picker ID ]],$Q$3,RawData[Checker ID],$Q$4,RawData[[Error Type ]],$Q$5))</f>
        <v/>
      </c>
    </row>
    <row r="15148" spans="15:15" x14ac:dyDescent="0.25">
      <c r="O15148" s="20" t="str">
        <f>IF(N15148="","",COUNTIFS(RawData[[Date ]],N15148,RawData[Month List],$Q$6,RawData[Tour/Site],$Q$2,RawData[[Picker ID ]],$Q$3,RawData[Checker ID],$Q$4,RawData[[Error Type ]],$Q$5))</f>
        <v/>
      </c>
    </row>
    <row r="15149" spans="15:15" x14ac:dyDescent="0.25">
      <c r="O15149" s="20" t="str">
        <f>IF(N15149="","",COUNTIFS(RawData[[Date ]],N15149,RawData[Month List],$Q$6,RawData[Tour/Site],$Q$2,RawData[[Picker ID ]],$Q$3,RawData[Checker ID],$Q$4,RawData[[Error Type ]],$Q$5))</f>
        <v/>
      </c>
    </row>
    <row r="15150" spans="15:15" x14ac:dyDescent="0.25">
      <c r="O15150" s="20" t="str">
        <f>IF(N15150="","",COUNTIFS(RawData[[Date ]],N15150,RawData[Month List],$Q$6,RawData[Tour/Site],$Q$2,RawData[[Picker ID ]],$Q$3,RawData[Checker ID],$Q$4,RawData[[Error Type ]],$Q$5))</f>
        <v/>
      </c>
    </row>
    <row r="15151" spans="15:15" x14ac:dyDescent="0.25">
      <c r="O15151" s="20" t="str">
        <f>IF(N15151="","",COUNTIFS(RawData[[Date ]],N15151,RawData[Month List],$Q$6,RawData[Tour/Site],$Q$2,RawData[[Picker ID ]],$Q$3,RawData[Checker ID],$Q$4,RawData[[Error Type ]],$Q$5))</f>
        <v/>
      </c>
    </row>
    <row r="15152" spans="15:15" x14ac:dyDescent="0.25">
      <c r="O15152" s="20" t="str">
        <f>IF(N15152="","",COUNTIFS(RawData[[Date ]],N15152,RawData[Month List],$Q$6,RawData[Tour/Site],$Q$2,RawData[[Picker ID ]],$Q$3,RawData[Checker ID],$Q$4,RawData[[Error Type ]],$Q$5))</f>
        <v/>
      </c>
    </row>
    <row r="15153" spans="15:15" x14ac:dyDescent="0.25">
      <c r="O15153" s="20" t="str">
        <f>IF(N15153="","",COUNTIFS(RawData[[Date ]],N15153,RawData[Month List],$Q$6,RawData[Tour/Site],$Q$2,RawData[[Picker ID ]],$Q$3,RawData[Checker ID],$Q$4,RawData[[Error Type ]],$Q$5))</f>
        <v/>
      </c>
    </row>
    <row r="15154" spans="15:15" x14ac:dyDescent="0.25">
      <c r="O15154" s="20" t="str">
        <f>IF(N15154="","",COUNTIFS(RawData[[Date ]],N15154,RawData[Month List],$Q$6,RawData[Tour/Site],$Q$2,RawData[[Picker ID ]],$Q$3,RawData[Checker ID],$Q$4,RawData[[Error Type ]],$Q$5))</f>
        <v/>
      </c>
    </row>
    <row r="15155" spans="15:15" x14ac:dyDescent="0.25">
      <c r="O15155" s="20" t="str">
        <f>IF(N15155="","",COUNTIFS(RawData[[Date ]],N15155,RawData[Month List],$Q$6,RawData[Tour/Site],$Q$2,RawData[[Picker ID ]],$Q$3,RawData[Checker ID],$Q$4,RawData[[Error Type ]],$Q$5))</f>
        <v/>
      </c>
    </row>
    <row r="15156" spans="15:15" x14ac:dyDescent="0.25">
      <c r="O15156" s="20" t="str">
        <f>IF(N15156="","",COUNTIFS(RawData[[Date ]],N15156,RawData[Month List],$Q$6,RawData[Tour/Site],$Q$2,RawData[[Picker ID ]],$Q$3,RawData[Checker ID],$Q$4,RawData[[Error Type ]],$Q$5))</f>
        <v/>
      </c>
    </row>
    <row r="15157" spans="15:15" x14ac:dyDescent="0.25">
      <c r="O15157" s="20" t="str">
        <f>IF(N15157="","",COUNTIFS(RawData[[Date ]],N15157,RawData[Month List],$Q$6,RawData[Tour/Site],$Q$2,RawData[[Picker ID ]],$Q$3,RawData[Checker ID],$Q$4,RawData[[Error Type ]],$Q$5))</f>
        <v/>
      </c>
    </row>
    <row r="15158" spans="15:15" x14ac:dyDescent="0.25">
      <c r="O15158" s="20" t="str">
        <f>IF(N15158="","",COUNTIFS(RawData[[Date ]],N15158,RawData[Month List],$Q$6,RawData[Tour/Site],$Q$2,RawData[[Picker ID ]],$Q$3,RawData[Checker ID],$Q$4,RawData[[Error Type ]],$Q$5))</f>
        <v/>
      </c>
    </row>
    <row r="15159" spans="15:15" x14ac:dyDescent="0.25">
      <c r="O15159" s="20" t="str">
        <f>IF(N15159="","",COUNTIFS(RawData[[Date ]],N15159,RawData[Month List],$Q$6,RawData[Tour/Site],$Q$2,RawData[[Picker ID ]],$Q$3,RawData[Checker ID],$Q$4,RawData[[Error Type ]],$Q$5))</f>
        <v/>
      </c>
    </row>
    <row r="15160" spans="15:15" x14ac:dyDescent="0.25">
      <c r="O15160" s="20" t="str">
        <f>IF(N15160="","",COUNTIFS(RawData[[Date ]],N15160,RawData[Month List],$Q$6,RawData[Tour/Site],$Q$2,RawData[[Picker ID ]],$Q$3,RawData[Checker ID],$Q$4,RawData[[Error Type ]],$Q$5))</f>
        <v/>
      </c>
    </row>
    <row r="15161" spans="15:15" x14ac:dyDescent="0.25">
      <c r="O15161" s="20" t="str">
        <f>IF(N15161="","",COUNTIFS(RawData[[Date ]],N15161,RawData[Month List],$Q$6,RawData[Tour/Site],$Q$2,RawData[[Picker ID ]],$Q$3,RawData[Checker ID],$Q$4,RawData[[Error Type ]],$Q$5))</f>
        <v/>
      </c>
    </row>
    <row r="15162" spans="15:15" x14ac:dyDescent="0.25">
      <c r="O15162" s="20" t="str">
        <f>IF(N15162="","",COUNTIFS(RawData[[Date ]],N15162,RawData[Month List],$Q$6,RawData[Tour/Site],$Q$2,RawData[[Picker ID ]],$Q$3,RawData[Checker ID],$Q$4,RawData[[Error Type ]],$Q$5))</f>
        <v/>
      </c>
    </row>
    <row r="15163" spans="15:15" x14ac:dyDescent="0.25">
      <c r="O15163" s="20" t="str">
        <f>IF(N15163="","",COUNTIFS(RawData[[Date ]],N15163,RawData[Month List],$Q$6,RawData[Tour/Site],$Q$2,RawData[[Picker ID ]],$Q$3,RawData[Checker ID],$Q$4,RawData[[Error Type ]],$Q$5))</f>
        <v/>
      </c>
    </row>
    <row r="15164" spans="15:15" x14ac:dyDescent="0.25">
      <c r="O15164" s="20" t="str">
        <f>IF(N15164="","",COUNTIFS(RawData[[Date ]],N15164,RawData[Month List],$Q$6,RawData[Tour/Site],$Q$2,RawData[[Picker ID ]],$Q$3,RawData[Checker ID],$Q$4,RawData[[Error Type ]],$Q$5))</f>
        <v/>
      </c>
    </row>
    <row r="15165" spans="15:15" x14ac:dyDescent="0.25">
      <c r="O15165" s="20" t="str">
        <f>IF(N15165="","",COUNTIFS(RawData[[Date ]],N15165,RawData[Month List],$Q$6,RawData[Tour/Site],$Q$2,RawData[[Picker ID ]],$Q$3,RawData[Checker ID],$Q$4,RawData[[Error Type ]],$Q$5))</f>
        <v/>
      </c>
    </row>
    <row r="15166" spans="15:15" x14ac:dyDescent="0.25">
      <c r="O15166" s="20" t="str">
        <f>IF(N15166="","",COUNTIFS(RawData[[Date ]],N15166,RawData[Month List],$Q$6,RawData[Tour/Site],$Q$2,RawData[[Picker ID ]],$Q$3,RawData[Checker ID],$Q$4,RawData[[Error Type ]],$Q$5))</f>
        <v/>
      </c>
    </row>
    <row r="15167" spans="15:15" x14ac:dyDescent="0.25">
      <c r="O15167" s="20" t="str">
        <f>IF(N15167="","",COUNTIFS(RawData[[Date ]],N15167,RawData[Month List],$Q$6,RawData[Tour/Site],$Q$2,RawData[[Picker ID ]],$Q$3,RawData[Checker ID],$Q$4,RawData[[Error Type ]],$Q$5))</f>
        <v/>
      </c>
    </row>
    <row r="15168" spans="15:15" x14ac:dyDescent="0.25">
      <c r="O15168" s="20" t="str">
        <f>IF(N15168="","",COUNTIFS(RawData[[Date ]],N15168,RawData[Month List],$Q$6,RawData[Tour/Site],$Q$2,RawData[[Picker ID ]],$Q$3,RawData[Checker ID],$Q$4,RawData[[Error Type ]],$Q$5))</f>
        <v/>
      </c>
    </row>
    <row r="15169" spans="15:15" x14ac:dyDescent="0.25">
      <c r="O15169" s="20" t="str">
        <f>IF(N15169="","",COUNTIFS(RawData[[Date ]],N15169,RawData[Month List],$Q$6,RawData[Tour/Site],$Q$2,RawData[[Picker ID ]],$Q$3,RawData[Checker ID],$Q$4,RawData[[Error Type ]],$Q$5))</f>
        <v/>
      </c>
    </row>
    <row r="15170" spans="15:15" x14ac:dyDescent="0.25">
      <c r="O15170" s="20" t="str">
        <f>IF(N15170="","",COUNTIFS(RawData[[Date ]],N15170,RawData[Month List],$Q$6,RawData[Tour/Site],$Q$2,RawData[[Picker ID ]],$Q$3,RawData[Checker ID],$Q$4,RawData[[Error Type ]],$Q$5))</f>
        <v/>
      </c>
    </row>
    <row r="15171" spans="15:15" x14ac:dyDescent="0.25">
      <c r="O15171" s="20" t="str">
        <f>IF(N15171="","",COUNTIFS(RawData[[Date ]],N15171,RawData[Month List],$Q$6,RawData[Tour/Site],$Q$2,RawData[[Picker ID ]],$Q$3,RawData[Checker ID],$Q$4,RawData[[Error Type ]],$Q$5))</f>
        <v/>
      </c>
    </row>
    <row r="15172" spans="15:15" x14ac:dyDescent="0.25">
      <c r="O15172" s="20" t="str">
        <f>IF(N15172="","",COUNTIFS(RawData[[Date ]],N15172,RawData[Month List],$Q$6,RawData[Tour/Site],$Q$2,RawData[[Picker ID ]],$Q$3,RawData[Checker ID],$Q$4,RawData[[Error Type ]],$Q$5))</f>
        <v/>
      </c>
    </row>
    <row r="15173" spans="15:15" x14ac:dyDescent="0.25">
      <c r="O15173" s="20" t="str">
        <f>IF(N15173="","",COUNTIFS(RawData[[Date ]],N15173,RawData[Month List],$Q$6,RawData[Tour/Site],$Q$2,RawData[[Picker ID ]],$Q$3,RawData[Checker ID],$Q$4,RawData[[Error Type ]],$Q$5))</f>
        <v/>
      </c>
    </row>
    <row r="15174" spans="15:15" x14ac:dyDescent="0.25">
      <c r="O15174" s="20" t="str">
        <f>IF(N15174="","",COUNTIFS(RawData[[Date ]],N15174,RawData[Month List],$Q$6,RawData[Tour/Site],$Q$2,RawData[[Picker ID ]],$Q$3,RawData[Checker ID],$Q$4,RawData[[Error Type ]],$Q$5))</f>
        <v/>
      </c>
    </row>
    <row r="15175" spans="15:15" x14ac:dyDescent="0.25">
      <c r="O15175" s="20" t="str">
        <f>IF(N15175="","",COUNTIFS(RawData[[Date ]],N15175,RawData[Month List],$Q$6,RawData[Tour/Site],$Q$2,RawData[[Picker ID ]],$Q$3,RawData[Checker ID],$Q$4,RawData[[Error Type ]],$Q$5))</f>
        <v/>
      </c>
    </row>
    <row r="15176" spans="15:15" x14ac:dyDescent="0.25">
      <c r="O15176" s="20" t="str">
        <f>IF(N15176="","",COUNTIFS(RawData[[Date ]],N15176,RawData[Month List],$Q$6,RawData[Tour/Site],$Q$2,RawData[[Picker ID ]],$Q$3,RawData[Checker ID],$Q$4,RawData[[Error Type ]],$Q$5))</f>
        <v/>
      </c>
    </row>
    <row r="15177" spans="15:15" x14ac:dyDescent="0.25">
      <c r="O15177" s="20" t="str">
        <f>IF(N15177="","",COUNTIFS(RawData[[Date ]],N15177,RawData[Month List],$Q$6,RawData[Tour/Site],$Q$2,RawData[[Picker ID ]],$Q$3,RawData[Checker ID],$Q$4,RawData[[Error Type ]],$Q$5))</f>
        <v/>
      </c>
    </row>
    <row r="15178" spans="15:15" x14ac:dyDescent="0.25">
      <c r="O15178" s="20" t="str">
        <f>IF(N15178="","",COUNTIFS(RawData[[Date ]],N15178,RawData[Month List],$Q$6,RawData[Tour/Site],$Q$2,RawData[[Picker ID ]],$Q$3,RawData[Checker ID],$Q$4,RawData[[Error Type ]],$Q$5))</f>
        <v/>
      </c>
    </row>
    <row r="15179" spans="15:15" x14ac:dyDescent="0.25">
      <c r="O15179" s="20" t="str">
        <f>IF(N15179="","",COUNTIFS(RawData[[Date ]],N15179,RawData[Month List],$Q$6,RawData[Tour/Site],$Q$2,RawData[[Picker ID ]],$Q$3,RawData[Checker ID],$Q$4,RawData[[Error Type ]],$Q$5))</f>
        <v/>
      </c>
    </row>
    <row r="15180" spans="15:15" x14ac:dyDescent="0.25">
      <c r="O15180" s="20" t="str">
        <f>IF(N15180="","",COUNTIFS(RawData[[Date ]],N15180,RawData[Month List],$Q$6,RawData[Tour/Site],$Q$2,RawData[[Picker ID ]],$Q$3,RawData[Checker ID],$Q$4,RawData[[Error Type ]],$Q$5))</f>
        <v/>
      </c>
    </row>
    <row r="15181" spans="15:15" x14ac:dyDescent="0.25">
      <c r="O15181" s="20" t="str">
        <f>IF(N15181="","",COUNTIFS(RawData[[Date ]],N15181,RawData[Month List],$Q$6,RawData[Tour/Site],$Q$2,RawData[[Picker ID ]],$Q$3,RawData[Checker ID],$Q$4,RawData[[Error Type ]],$Q$5))</f>
        <v/>
      </c>
    </row>
    <row r="15182" spans="15:15" x14ac:dyDescent="0.25">
      <c r="O15182" s="20" t="str">
        <f>IF(N15182="","",COUNTIFS(RawData[[Date ]],N15182,RawData[Month List],$Q$6,RawData[Tour/Site],$Q$2,RawData[[Picker ID ]],$Q$3,RawData[Checker ID],$Q$4,RawData[[Error Type ]],$Q$5))</f>
        <v/>
      </c>
    </row>
    <row r="15183" spans="15:15" x14ac:dyDescent="0.25">
      <c r="O15183" s="20" t="str">
        <f>IF(N15183="","",COUNTIFS(RawData[[Date ]],N15183,RawData[Month List],$Q$6,RawData[Tour/Site],$Q$2,RawData[[Picker ID ]],$Q$3,RawData[Checker ID],$Q$4,RawData[[Error Type ]],$Q$5))</f>
        <v/>
      </c>
    </row>
    <row r="15184" spans="15:15" x14ac:dyDescent="0.25">
      <c r="O15184" s="20" t="str">
        <f>IF(N15184="","",COUNTIFS(RawData[[Date ]],N15184,RawData[Month List],$Q$6,RawData[Tour/Site],$Q$2,RawData[[Picker ID ]],$Q$3,RawData[Checker ID],$Q$4,RawData[[Error Type ]],$Q$5))</f>
        <v/>
      </c>
    </row>
    <row r="15185" spans="15:15" x14ac:dyDescent="0.25">
      <c r="O15185" s="20" t="str">
        <f>IF(N15185="","",COUNTIFS(RawData[[Date ]],N15185,RawData[Month List],$Q$6,RawData[Tour/Site],$Q$2,RawData[[Picker ID ]],$Q$3,RawData[Checker ID],$Q$4,RawData[[Error Type ]],$Q$5))</f>
        <v/>
      </c>
    </row>
    <row r="15186" spans="15:15" x14ac:dyDescent="0.25">
      <c r="O15186" s="20" t="str">
        <f>IF(N15186="","",COUNTIFS(RawData[[Date ]],N15186,RawData[Month List],$Q$6,RawData[Tour/Site],$Q$2,RawData[[Picker ID ]],$Q$3,RawData[Checker ID],$Q$4,RawData[[Error Type ]],$Q$5))</f>
        <v/>
      </c>
    </row>
    <row r="15187" spans="15:15" x14ac:dyDescent="0.25">
      <c r="O15187" s="20" t="str">
        <f>IF(N15187="","",COUNTIFS(RawData[[Date ]],N15187,RawData[Month List],$Q$6,RawData[Tour/Site],$Q$2,RawData[[Picker ID ]],$Q$3,RawData[Checker ID],$Q$4,RawData[[Error Type ]],$Q$5))</f>
        <v/>
      </c>
    </row>
    <row r="15188" spans="15:15" x14ac:dyDescent="0.25">
      <c r="O15188" s="20" t="str">
        <f>IF(N15188="","",COUNTIFS(RawData[[Date ]],N15188,RawData[Month List],$Q$6,RawData[Tour/Site],$Q$2,RawData[[Picker ID ]],$Q$3,RawData[Checker ID],$Q$4,RawData[[Error Type ]],$Q$5))</f>
        <v/>
      </c>
    </row>
    <row r="15189" spans="15:15" x14ac:dyDescent="0.25">
      <c r="O15189" s="20" t="str">
        <f>IF(N15189="","",COUNTIFS(RawData[[Date ]],N15189,RawData[Month List],$Q$6,RawData[Tour/Site],$Q$2,RawData[[Picker ID ]],$Q$3,RawData[Checker ID],$Q$4,RawData[[Error Type ]],$Q$5))</f>
        <v/>
      </c>
    </row>
    <row r="15190" spans="15:15" x14ac:dyDescent="0.25">
      <c r="O15190" s="20" t="str">
        <f>IF(N15190="","",COUNTIFS(RawData[[Date ]],N15190,RawData[Month List],$Q$6,RawData[Tour/Site],$Q$2,RawData[[Picker ID ]],$Q$3,RawData[Checker ID],$Q$4,RawData[[Error Type ]],$Q$5))</f>
        <v/>
      </c>
    </row>
    <row r="15191" spans="15:15" x14ac:dyDescent="0.25">
      <c r="O15191" s="20" t="str">
        <f>IF(N15191="","",COUNTIFS(RawData[[Date ]],N15191,RawData[Month List],$Q$6,RawData[Tour/Site],$Q$2,RawData[[Picker ID ]],$Q$3,RawData[Checker ID],$Q$4,RawData[[Error Type ]],$Q$5))</f>
        <v/>
      </c>
    </row>
    <row r="15192" spans="15:15" x14ac:dyDescent="0.25">
      <c r="O15192" s="20" t="str">
        <f>IF(N15192="","",COUNTIFS(RawData[[Date ]],N15192,RawData[Month List],$Q$6,RawData[Tour/Site],$Q$2,RawData[[Picker ID ]],$Q$3,RawData[Checker ID],$Q$4,RawData[[Error Type ]],$Q$5))</f>
        <v/>
      </c>
    </row>
    <row r="15193" spans="15:15" x14ac:dyDescent="0.25">
      <c r="O15193" s="20" t="str">
        <f>IF(N15193="","",COUNTIFS(RawData[[Date ]],N15193,RawData[Month List],$Q$6,RawData[Tour/Site],$Q$2,RawData[[Picker ID ]],$Q$3,RawData[Checker ID],$Q$4,RawData[[Error Type ]],$Q$5))</f>
        <v/>
      </c>
    </row>
    <row r="15194" spans="15:15" x14ac:dyDescent="0.25">
      <c r="O15194" s="20" t="str">
        <f>IF(N15194="","",COUNTIFS(RawData[[Date ]],N15194,RawData[Month List],$Q$6,RawData[Tour/Site],$Q$2,RawData[[Picker ID ]],$Q$3,RawData[Checker ID],$Q$4,RawData[[Error Type ]],$Q$5))</f>
        <v/>
      </c>
    </row>
    <row r="15195" spans="15:15" x14ac:dyDescent="0.25">
      <c r="O15195" s="20" t="str">
        <f>IF(N15195="","",COUNTIFS(RawData[[Date ]],N15195,RawData[Month List],$Q$6,RawData[Tour/Site],$Q$2,RawData[[Picker ID ]],$Q$3,RawData[Checker ID],$Q$4,RawData[[Error Type ]],$Q$5))</f>
        <v/>
      </c>
    </row>
    <row r="15196" spans="15:15" x14ac:dyDescent="0.25">
      <c r="O15196" s="20" t="str">
        <f>IF(N15196="","",COUNTIFS(RawData[[Date ]],N15196,RawData[Month List],$Q$6,RawData[Tour/Site],$Q$2,RawData[[Picker ID ]],$Q$3,RawData[Checker ID],$Q$4,RawData[[Error Type ]],$Q$5))</f>
        <v/>
      </c>
    </row>
    <row r="15197" spans="15:15" x14ac:dyDescent="0.25">
      <c r="O15197" s="20" t="str">
        <f>IF(N15197="","",COUNTIFS(RawData[[Date ]],N15197,RawData[Month List],$Q$6,RawData[Tour/Site],$Q$2,RawData[[Picker ID ]],$Q$3,RawData[Checker ID],$Q$4,RawData[[Error Type ]],$Q$5))</f>
        <v/>
      </c>
    </row>
    <row r="15198" spans="15:15" x14ac:dyDescent="0.25">
      <c r="O15198" s="20" t="str">
        <f>IF(N15198="","",COUNTIFS(RawData[[Date ]],N15198,RawData[Month List],$Q$6,RawData[Tour/Site],$Q$2,RawData[[Picker ID ]],$Q$3,RawData[Checker ID],$Q$4,RawData[[Error Type ]],$Q$5))</f>
        <v/>
      </c>
    </row>
    <row r="15199" spans="15:15" x14ac:dyDescent="0.25">
      <c r="O15199" s="20" t="str">
        <f>IF(N15199="","",COUNTIFS(RawData[[Date ]],N15199,RawData[Month List],$Q$6,RawData[Tour/Site],$Q$2,RawData[[Picker ID ]],$Q$3,RawData[Checker ID],$Q$4,RawData[[Error Type ]],$Q$5))</f>
        <v/>
      </c>
    </row>
    <row r="15200" spans="15:15" x14ac:dyDescent="0.25">
      <c r="O15200" s="20" t="str">
        <f>IF(N15200="","",COUNTIFS(RawData[[Date ]],N15200,RawData[Month List],$Q$6,RawData[Tour/Site],$Q$2,RawData[[Picker ID ]],$Q$3,RawData[Checker ID],$Q$4,RawData[[Error Type ]],$Q$5))</f>
        <v/>
      </c>
    </row>
    <row r="15201" spans="15:15" x14ac:dyDescent="0.25">
      <c r="O15201" s="20" t="str">
        <f>IF(N15201="","",COUNTIFS(RawData[[Date ]],N15201,RawData[Month List],$Q$6,RawData[Tour/Site],$Q$2,RawData[[Picker ID ]],$Q$3,RawData[Checker ID],$Q$4,RawData[[Error Type ]],$Q$5))</f>
        <v/>
      </c>
    </row>
    <row r="15202" spans="15:15" x14ac:dyDescent="0.25">
      <c r="O15202" s="20" t="str">
        <f>IF(N15202="","",COUNTIFS(RawData[[Date ]],N15202,RawData[Month List],$Q$6,RawData[Tour/Site],$Q$2,RawData[[Picker ID ]],$Q$3,RawData[Checker ID],$Q$4,RawData[[Error Type ]],$Q$5))</f>
        <v/>
      </c>
    </row>
    <row r="15203" spans="15:15" x14ac:dyDescent="0.25">
      <c r="O15203" s="20" t="str">
        <f>IF(N15203="","",COUNTIFS(RawData[[Date ]],N15203,RawData[Month List],$Q$6,RawData[Tour/Site],$Q$2,RawData[[Picker ID ]],$Q$3,RawData[Checker ID],$Q$4,RawData[[Error Type ]],$Q$5))</f>
        <v/>
      </c>
    </row>
    <row r="15204" spans="15:15" x14ac:dyDescent="0.25">
      <c r="O15204" s="20" t="str">
        <f>IF(N15204="","",COUNTIFS(RawData[[Date ]],N15204,RawData[Month List],$Q$6,RawData[Tour/Site],$Q$2,RawData[[Picker ID ]],$Q$3,RawData[Checker ID],$Q$4,RawData[[Error Type ]],$Q$5))</f>
        <v/>
      </c>
    </row>
    <row r="15205" spans="15:15" x14ac:dyDescent="0.25">
      <c r="O15205" s="20" t="str">
        <f>IF(N15205="","",COUNTIFS(RawData[[Date ]],N15205,RawData[Month List],$Q$6,RawData[Tour/Site],$Q$2,RawData[[Picker ID ]],$Q$3,RawData[Checker ID],$Q$4,RawData[[Error Type ]],$Q$5))</f>
        <v/>
      </c>
    </row>
    <row r="15206" spans="15:15" x14ac:dyDescent="0.25">
      <c r="O15206" s="20" t="str">
        <f>IF(N15206="","",COUNTIFS(RawData[[Date ]],N15206,RawData[Month List],$Q$6,RawData[Tour/Site],$Q$2,RawData[[Picker ID ]],$Q$3,RawData[Checker ID],$Q$4,RawData[[Error Type ]],$Q$5))</f>
        <v/>
      </c>
    </row>
    <row r="15207" spans="15:15" x14ac:dyDescent="0.25">
      <c r="O15207" s="20" t="str">
        <f>IF(N15207="","",COUNTIFS(RawData[[Date ]],N15207,RawData[Month List],$Q$6,RawData[Tour/Site],$Q$2,RawData[[Picker ID ]],$Q$3,RawData[Checker ID],$Q$4,RawData[[Error Type ]],$Q$5))</f>
        <v/>
      </c>
    </row>
    <row r="15208" spans="15:15" x14ac:dyDescent="0.25">
      <c r="O15208" s="20" t="str">
        <f>IF(N15208="","",COUNTIFS(RawData[[Date ]],N15208,RawData[Month List],$Q$6,RawData[Tour/Site],$Q$2,RawData[[Picker ID ]],$Q$3,RawData[Checker ID],$Q$4,RawData[[Error Type ]],$Q$5))</f>
        <v/>
      </c>
    </row>
    <row r="15209" spans="15:15" x14ac:dyDescent="0.25">
      <c r="O15209" s="20" t="str">
        <f>IF(N15209="","",COUNTIFS(RawData[[Date ]],N15209,RawData[Month List],$Q$6,RawData[Tour/Site],$Q$2,RawData[[Picker ID ]],$Q$3,RawData[Checker ID],$Q$4,RawData[[Error Type ]],$Q$5))</f>
        <v/>
      </c>
    </row>
    <row r="15210" spans="15:15" x14ac:dyDescent="0.25">
      <c r="O15210" s="20" t="str">
        <f>IF(N15210="","",COUNTIFS(RawData[[Date ]],N15210,RawData[Month List],$Q$6,RawData[Tour/Site],$Q$2,RawData[[Picker ID ]],$Q$3,RawData[Checker ID],$Q$4,RawData[[Error Type ]],$Q$5))</f>
        <v/>
      </c>
    </row>
    <row r="15211" spans="15:15" x14ac:dyDescent="0.25">
      <c r="O15211" s="20" t="str">
        <f>IF(N15211="","",COUNTIFS(RawData[[Date ]],N15211,RawData[Month List],$Q$6,RawData[Tour/Site],$Q$2,RawData[[Picker ID ]],$Q$3,RawData[Checker ID],$Q$4,RawData[[Error Type ]],$Q$5))</f>
        <v/>
      </c>
    </row>
    <row r="15212" spans="15:15" x14ac:dyDescent="0.25">
      <c r="O15212" s="20" t="str">
        <f>IF(N15212="","",COUNTIFS(RawData[[Date ]],N15212,RawData[Month List],$Q$6,RawData[Tour/Site],$Q$2,RawData[[Picker ID ]],$Q$3,RawData[Checker ID],$Q$4,RawData[[Error Type ]],$Q$5))</f>
        <v/>
      </c>
    </row>
    <row r="15213" spans="15:15" x14ac:dyDescent="0.25">
      <c r="O15213" s="20" t="str">
        <f>IF(N15213="","",COUNTIFS(RawData[[Date ]],N15213,RawData[Month List],$Q$6,RawData[Tour/Site],$Q$2,RawData[[Picker ID ]],$Q$3,RawData[Checker ID],$Q$4,RawData[[Error Type ]],$Q$5))</f>
        <v/>
      </c>
    </row>
    <row r="15214" spans="15:15" x14ac:dyDescent="0.25">
      <c r="O15214" s="20" t="str">
        <f>IF(N15214="","",COUNTIFS(RawData[[Date ]],N15214,RawData[Month List],$Q$6,RawData[Tour/Site],$Q$2,RawData[[Picker ID ]],$Q$3,RawData[Checker ID],$Q$4,RawData[[Error Type ]],$Q$5))</f>
        <v/>
      </c>
    </row>
    <row r="15215" spans="15:15" x14ac:dyDescent="0.25">
      <c r="O15215" s="20" t="str">
        <f>IF(N15215="","",COUNTIFS(RawData[[Date ]],N15215,RawData[Month List],$Q$6,RawData[Tour/Site],$Q$2,RawData[[Picker ID ]],$Q$3,RawData[Checker ID],$Q$4,RawData[[Error Type ]],$Q$5))</f>
        <v/>
      </c>
    </row>
    <row r="15216" spans="15:15" x14ac:dyDescent="0.25">
      <c r="O15216" s="20" t="str">
        <f>IF(N15216="","",COUNTIFS(RawData[[Date ]],N15216,RawData[Month List],$Q$6,RawData[Tour/Site],$Q$2,RawData[[Picker ID ]],$Q$3,RawData[Checker ID],$Q$4,RawData[[Error Type ]],$Q$5))</f>
        <v/>
      </c>
    </row>
    <row r="15217" spans="15:15" x14ac:dyDescent="0.25">
      <c r="O15217" s="20" t="str">
        <f>IF(N15217="","",COUNTIFS(RawData[[Date ]],N15217,RawData[Month List],$Q$6,RawData[Tour/Site],$Q$2,RawData[[Picker ID ]],$Q$3,RawData[Checker ID],$Q$4,RawData[[Error Type ]],$Q$5))</f>
        <v/>
      </c>
    </row>
    <row r="15218" spans="15:15" x14ac:dyDescent="0.25">
      <c r="O15218" s="20" t="str">
        <f>IF(N15218="","",COUNTIFS(RawData[[Date ]],N15218,RawData[Month List],$Q$6,RawData[Tour/Site],$Q$2,RawData[[Picker ID ]],$Q$3,RawData[Checker ID],$Q$4,RawData[[Error Type ]],$Q$5))</f>
        <v/>
      </c>
    </row>
    <row r="15219" spans="15:15" x14ac:dyDescent="0.25">
      <c r="O15219" s="20" t="str">
        <f>IF(N15219="","",COUNTIFS(RawData[[Date ]],N15219,RawData[Month List],$Q$6,RawData[Tour/Site],$Q$2,RawData[[Picker ID ]],$Q$3,RawData[Checker ID],$Q$4,RawData[[Error Type ]],$Q$5))</f>
        <v/>
      </c>
    </row>
    <row r="15220" spans="15:15" x14ac:dyDescent="0.25">
      <c r="O15220" s="20" t="str">
        <f>IF(N15220="","",COUNTIFS(RawData[[Date ]],N15220,RawData[Month List],$Q$6,RawData[Tour/Site],$Q$2,RawData[[Picker ID ]],$Q$3,RawData[Checker ID],$Q$4,RawData[[Error Type ]],$Q$5))</f>
        <v/>
      </c>
    </row>
    <row r="15221" spans="15:15" x14ac:dyDescent="0.25">
      <c r="O15221" s="20" t="str">
        <f>IF(N15221="","",COUNTIFS(RawData[[Date ]],N15221,RawData[Month List],$Q$6,RawData[Tour/Site],$Q$2,RawData[[Picker ID ]],$Q$3,RawData[Checker ID],$Q$4,RawData[[Error Type ]],$Q$5))</f>
        <v/>
      </c>
    </row>
    <row r="15222" spans="15:15" x14ac:dyDescent="0.25">
      <c r="O15222" s="20" t="str">
        <f>IF(N15222="","",COUNTIFS(RawData[[Date ]],N15222,RawData[Month List],$Q$6,RawData[Tour/Site],$Q$2,RawData[[Picker ID ]],$Q$3,RawData[Checker ID],$Q$4,RawData[[Error Type ]],$Q$5))</f>
        <v/>
      </c>
    </row>
    <row r="15223" spans="15:15" x14ac:dyDescent="0.25">
      <c r="O15223" s="20" t="str">
        <f>IF(N15223="","",COUNTIFS(RawData[[Date ]],N15223,RawData[Month List],$Q$6,RawData[Tour/Site],$Q$2,RawData[[Picker ID ]],$Q$3,RawData[Checker ID],$Q$4,RawData[[Error Type ]],$Q$5))</f>
        <v/>
      </c>
    </row>
    <row r="15224" spans="15:15" x14ac:dyDescent="0.25">
      <c r="O15224" s="20" t="str">
        <f>IF(N15224="","",COUNTIFS(RawData[[Date ]],N15224,RawData[Month List],$Q$6,RawData[Tour/Site],$Q$2,RawData[[Picker ID ]],$Q$3,RawData[Checker ID],$Q$4,RawData[[Error Type ]],$Q$5))</f>
        <v/>
      </c>
    </row>
    <row r="15225" spans="15:15" x14ac:dyDescent="0.25">
      <c r="O15225" s="20" t="str">
        <f>IF(N15225="","",COUNTIFS(RawData[[Date ]],N15225,RawData[Month List],$Q$6,RawData[Tour/Site],$Q$2,RawData[[Picker ID ]],$Q$3,RawData[Checker ID],$Q$4,RawData[[Error Type ]],$Q$5))</f>
        <v/>
      </c>
    </row>
    <row r="15226" spans="15:15" x14ac:dyDescent="0.25">
      <c r="O15226" s="20" t="str">
        <f>IF(N15226="","",COUNTIFS(RawData[[Date ]],N15226,RawData[Month List],$Q$6,RawData[Tour/Site],$Q$2,RawData[[Picker ID ]],$Q$3,RawData[Checker ID],$Q$4,RawData[[Error Type ]],$Q$5))</f>
        <v/>
      </c>
    </row>
    <row r="15227" spans="15:15" x14ac:dyDescent="0.25">
      <c r="O15227" s="20" t="str">
        <f>IF(N15227="","",COUNTIFS(RawData[[Date ]],N15227,RawData[Month List],$Q$6,RawData[Tour/Site],$Q$2,RawData[[Picker ID ]],$Q$3,RawData[Checker ID],$Q$4,RawData[[Error Type ]],$Q$5))</f>
        <v/>
      </c>
    </row>
    <row r="15228" spans="15:15" x14ac:dyDescent="0.25">
      <c r="O15228" s="20" t="str">
        <f>IF(N15228="","",COUNTIFS(RawData[[Date ]],N15228,RawData[Month List],$Q$6,RawData[Tour/Site],$Q$2,RawData[[Picker ID ]],$Q$3,RawData[Checker ID],$Q$4,RawData[[Error Type ]],$Q$5))</f>
        <v/>
      </c>
    </row>
    <row r="15229" spans="15:15" x14ac:dyDescent="0.25">
      <c r="O15229" s="20" t="str">
        <f>IF(N15229="","",COUNTIFS(RawData[[Date ]],N15229,RawData[Month List],$Q$6,RawData[Tour/Site],$Q$2,RawData[[Picker ID ]],$Q$3,RawData[Checker ID],$Q$4,RawData[[Error Type ]],$Q$5))</f>
        <v/>
      </c>
    </row>
    <row r="15230" spans="15:15" x14ac:dyDescent="0.25">
      <c r="O15230" s="20" t="str">
        <f>IF(N15230="","",COUNTIFS(RawData[[Date ]],N15230,RawData[Month List],$Q$6,RawData[Tour/Site],$Q$2,RawData[[Picker ID ]],$Q$3,RawData[Checker ID],$Q$4,RawData[[Error Type ]],$Q$5))</f>
        <v/>
      </c>
    </row>
    <row r="15231" spans="15:15" x14ac:dyDescent="0.25">
      <c r="O15231" s="20" t="str">
        <f>IF(N15231="","",COUNTIFS(RawData[[Date ]],N15231,RawData[Month List],$Q$6,RawData[Tour/Site],$Q$2,RawData[[Picker ID ]],$Q$3,RawData[Checker ID],$Q$4,RawData[[Error Type ]],$Q$5))</f>
        <v/>
      </c>
    </row>
    <row r="15232" spans="15:15" x14ac:dyDescent="0.25">
      <c r="O15232" s="20" t="str">
        <f>IF(N15232="","",COUNTIFS(RawData[[Date ]],N15232,RawData[Month List],$Q$6,RawData[Tour/Site],$Q$2,RawData[[Picker ID ]],$Q$3,RawData[Checker ID],$Q$4,RawData[[Error Type ]],$Q$5))</f>
        <v/>
      </c>
    </row>
    <row r="15233" spans="15:15" x14ac:dyDescent="0.25">
      <c r="O15233" s="20" t="str">
        <f>IF(N15233="","",COUNTIFS(RawData[[Date ]],N15233,RawData[Month List],$Q$6,RawData[Tour/Site],$Q$2,RawData[[Picker ID ]],$Q$3,RawData[Checker ID],$Q$4,RawData[[Error Type ]],$Q$5))</f>
        <v/>
      </c>
    </row>
    <row r="15234" spans="15:15" x14ac:dyDescent="0.25">
      <c r="O15234" s="20" t="str">
        <f>IF(N15234="","",COUNTIFS(RawData[[Date ]],N15234,RawData[Month List],$Q$6,RawData[Tour/Site],$Q$2,RawData[[Picker ID ]],$Q$3,RawData[Checker ID],$Q$4,RawData[[Error Type ]],$Q$5))</f>
        <v/>
      </c>
    </row>
    <row r="15235" spans="15:15" x14ac:dyDescent="0.25">
      <c r="O15235" s="20" t="str">
        <f>IF(N15235="","",COUNTIFS(RawData[[Date ]],N15235,RawData[Month List],$Q$6,RawData[Tour/Site],$Q$2,RawData[[Picker ID ]],$Q$3,RawData[Checker ID],$Q$4,RawData[[Error Type ]],$Q$5))</f>
        <v/>
      </c>
    </row>
    <row r="15236" spans="15:15" x14ac:dyDescent="0.25">
      <c r="O15236" s="20" t="str">
        <f>IF(N15236="","",COUNTIFS(RawData[[Date ]],N15236,RawData[Month List],$Q$6,RawData[Tour/Site],$Q$2,RawData[[Picker ID ]],$Q$3,RawData[Checker ID],$Q$4,RawData[[Error Type ]],$Q$5))</f>
        <v/>
      </c>
    </row>
    <row r="15237" spans="15:15" x14ac:dyDescent="0.25">
      <c r="O15237" s="20" t="str">
        <f>IF(N15237="","",COUNTIFS(RawData[[Date ]],N15237,RawData[Month List],$Q$6,RawData[Tour/Site],$Q$2,RawData[[Picker ID ]],$Q$3,RawData[Checker ID],$Q$4,RawData[[Error Type ]],$Q$5))</f>
        <v/>
      </c>
    </row>
    <row r="15238" spans="15:15" x14ac:dyDescent="0.25">
      <c r="O15238" s="20" t="str">
        <f>IF(N15238="","",COUNTIFS(RawData[[Date ]],N15238,RawData[Month List],$Q$6,RawData[Tour/Site],$Q$2,RawData[[Picker ID ]],$Q$3,RawData[Checker ID],$Q$4,RawData[[Error Type ]],$Q$5))</f>
        <v/>
      </c>
    </row>
    <row r="15239" spans="15:15" x14ac:dyDescent="0.25">
      <c r="O15239" s="20" t="str">
        <f>IF(N15239="","",COUNTIFS(RawData[[Date ]],N15239,RawData[Month List],$Q$6,RawData[Tour/Site],$Q$2,RawData[[Picker ID ]],$Q$3,RawData[Checker ID],$Q$4,RawData[[Error Type ]],$Q$5))</f>
        <v/>
      </c>
    </row>
    <row r="15240" spans="15:15" x14ac:dyDescent="0.25">
      <c r="O15240" s="20" t="str">
        <f>IF(N15240="","",COUNTIFS(RawData[[Date ]],N15240,RawData[Month List],$Q$6,RawData[Tour/Site],$Q$2,RawData[[Picker ID ]],$Q$3,RawData[Checker ID],$Q$4,RawData[[Error Type ]],$Q$5))</f>
        <v/>
      </c>
    </row>
    <row r="15241" spans="15:15" x14ac:dyDescent="0.25">
      <c r="O15241" s="20" t="str">
        <f>IF(N15241="","",COUNTIFS(RawData[[Date ]],N15241,RawData[Month List],$Q$6,RawData[Tour/Site],$Q$2,RawData[[Picker ID ]],$Q$3,RawData[Checker ID],$Q$4,RawData[[Error Type ]],$Q$5))</f>
        <v/>
      </c>
    </row>
    <row r="15242" spans="15:15" x14ac:dyDescent="0.25">
      <c r="O15242" s="20" t="str">
        <f>IF(N15242="","",COUNTIFS(RawData[[Date ]],N15242,RawData[Month List],$Q$6,RawData[Tour/Site],$Q$2,RawData[[Picker ID ]],$Q$3,RawData[Checker ID],$Q$4,RawData[[Error Type ]],$Q$5))</f>
        <v/>
      </c>
    </row>
    <row r="15243" spans="15:15" x14ac:dyDescent="0.25">
      <c r="O15243" s="20" t="str">
        <f>IF(N15243="","",COUNTIFS(RawData[[Date ]],N15243,RawData[Month List],$Q$6,RawData[Tour/Site],$Q$2,RawData[[Picker ID ]],$Q$3,RawData[Checker ID],$Q$4,RawData[[Error Type ]],$Q$5))</f>
        <v/>
      </c>
    </row>
    <row r="15244" spans="15:15" x14ac:dyDescent="0.25">
      <c r="O15244" s="20" t="str">
        <f>IF(N15244="","",COUNTIFS(RawData[[Date ]],N15244,RawData[Month List],$Q$6,RawData[Tour/Site],$Q$2,RawData[[Picker ID ]],$Q$3,RawData[Checker ID],$Q$4,RawData[[Error Type ]],$Q$5))</f>
        <v/>
      </c>
    </row>
    <row r="15245" spans="15:15" x14ac:dyDescent="0.25">
      <c r="O15245" s="20" t="str">
        <f>IF(N15245="","",COUNTIFS(RawData[[Date ]],N15245,RawData[Month List],$Q$6,RawData[Tour/Site],$Q$2,RawData[[Picker ID ]],$Q$3,RawData[Checker ID],$Q$4,RawData[[Error Type ]],$Q$5))</f>
        <v/>
      </c>
    </row>
    <row r="15246" spans="15:15" x14ac:dyDescent="0.25">
      <c r="O15246" s="20" t="str">
        <f>IF(N15246="","",COUNTIFS(RawData[[Date ]],N15246,RawData[Month List],$Q$6,RawData[Tour/Site],$Q$2,RawData[[Picker ID ]],$Q$3,RawData[Checker ID],$Q$4,RawData[[Error Type ]],$Q$5))</f>
        <v/>
      </c>
    </row>
    <row r="15247" spans="15:15" x14ac:dyDescent="0.25">
      <c r="O15247" s="20" t="str">
        <f>IF(N15247="","",COUNTIFS(RawData[[Date ]],N15247,RawData[Month List],$Q$6,RawData[Tour/Site],$Q$2,RawData[[Picker ID ]],$Q$3,RawData[Checker ID],$Q$4,RawData[[Error Type ]],$Q$5))</f>
        <v/>
      </c>
    </row>
    <row r="15248" spans="15:15" x14ac:dyDescent="0.25">
      <c r="O15248" s="20" t="str">
        <f>IF(N15248="","",COUNTIFS(RawData[[Date ]],N15248,RawData[Month List],$Q$6,RawData[Tour/Site],$Q$2,RawData[[Picker ID ]],$Q$3,RawData[Checker ID],$Q$4,RawData[[Error Type ]],$Q$5))</f>
        <v/>
      </c>
    </row>
    <row r="15249" spans="15:15" x14ac:dyDescent="0.25">
      <c r="O15249" s="20" t="str">
        <f>IF(N15249="","",COUNTIFS(RawData[[Date ]],N15249,RawData[Month List],$Q$6,RawData[Tour/Site],$Q$2,RawData[[Picker ID ]],$Q$3,RawData[Checker ID],$Q$4,RawData[[Error Type ]],$Q$5))</f>
        <v/>
      </c>
    </row>
    <row r="15250" spans="15:15" x14ac:dyDescent="0.25">
      <c r="O15250" s="20" t="str">
        <f>IF(N15250="","",COUNTIFS(RawData[[Date ]],N15250,RawData[Month List],$Q$6,RawData[Tour/Site],$Q$2,RawData[[Picker ID ]],$Q$3,RawData[Checker ID],$Q$4,RawData[[Error Type ]],$Q$5))</f>
        <v/>
      </c>
    </row>
    <row r="15251" spans="15:15" x14ac:dyDescent="0.25">
      <c r="O15251" s="20" t="str">
        <f>IF(N15251="","",COUNTIFS(RawData[[Date ]],N15251,RawData[Month List],$Q$6,RawData[Tour/Site],$Q$2,RawData[[Picker ID ]],$Q$3,RawData[Checker ID],$Q$4,RawData[[Error Type ]],$Q$5))</f>
        <v/>
      </c>
    </row>
    <row r="15252" spans="15:15" x14ac:dyDescent="0.25">
      <c r="O15252" s="20" t="str">
        <f>IF(N15252="","",COUNTIFS(RawData[[Date ]],N15252,RawData[Month List],$Q$6,RawData[Tour/Site],$Q$2,RawData[[Picker ID ]],$Q$3,RawData[Checker ID],$Q$4,RawData[[Error Type ]],$Q$5))</f>
        <v/>
      </c>
    </row>
    <row r="15253" spans="15:15" x14ac:dyDescent="0.25">
      <c r="O15253" s="20" t="str">
        <f>IF(N15253="","",COUNTIFS(RawData[[Date ]],N15253,RawData[Month List],$Q$6,RawData[Tour/Site],$Q$2,RawData[[Picker ID ]],$Q$3,RawData[Checker ID],$Q$4,RawData[[Error Type ]],$Q$5))</f>
        <v/>
      </c>
    </row>
    <row r="15254" spans="15:15" x14ac:dyDescent="0.25">
      <c r="O15254" s="20" t="str">
        <f>IF(N15254="","",COUNTIFS(RawData[[Date ]],N15254,RawData[Month List],$Q$6,RawData[Tour/Site],$Q$2,RawData[[Picker ID ]],$Q$3,RawData[Checker ID],$Q$4,RawData[[Error Type ]],$Q$5))</f>
        <v/>
      </c>
    </row>
    <row r="15255" spans="15:15" x14ac:dyDescent="0.25">
      <c r="O15255" s="20" t="str">
        <f>IF(N15255="","",COUNTIFS(RawData[[Date ]],N15255,RawData[Month List],$Q$6,RawData[Tour/Site],$Q$2,RawData[[Picker ID ]],$Q$3,RawData[Checker ID],$Q$4,RawData[[Error Type ]],$Q$5))</f>
        <v/>
      </c>
    </row>
    <row r="15256" spans="15:15" x14ac:dyDescent="0.25">
      <c r="O15256" s="20" t="str">
        <f>IF(N15256="","",COUNTIFS(RawData[[Date ]],N15256,RawData[Month List],$Q$6,RawData[Tour/Site],$Q$2,RawData[[Picker ID ]],$Q$3,RawData[Checker ID],$Q$4,RawData[[Error Type ]],$Q$5))</f>
        <v/>
      </c>
    </row>
    <row r="15257" spans="15:15" x14ac:dyDescent="0.25">
      <c r="O15257" s="20" t="str">
        <f>IF(N15257="","",COUNTIFS(RawData[[Date ]],N15257,RawData[Month List],$Q$6,RawData[Tour/Site],$Q$2,RawData[[Picker ID ]],$Q$3,RawData[Checker ID],$Q$4,RawData[[Error Type ]],$Q$5))</f>
        <v/>
      </c>
    </row>
    <row r="15258" spans="15:15" x14ac:dyDescent="0.25">
      <c r="O15258" s="20" t="str">
        <f>IF(N15258="","",COUNTIFS(RawData[[Date ]],N15258,RawData[Month List],$Q$6,RawData[Tour/Site],$Q$2,RawData[[Picker ID ]],$Q$3,RawData[Checker ID],$Q$4,RawData[[Error Type ]],$Q$5))</f>
        <v/>
      </c>
    </row>
    <row r="15259" spans="15:15" x14ac:dyDescent="0.25">
      <c r="O15259" s="20" t="str">
        <f>IF(N15259="","",COUNTIFS(RawData[[Date ]],N15259,RawData[Month List],$Q$6,RawData[Tour/Site],$Q$2,RawData[[Picker ID ]],$Q$3,RawData[Checker ID],$Q$4,RawData[[Error Type ]],$Q$5))</f>
        <v/>
      </c>
    </row>
    <row r="15260" spans="15:15" x14ac:dyDescent="0.25">
      <c r="O15260" s="20" t="str">
        <f>IF(N15260="","",COUNTIFS(RawData[[Date ]],N15260,RawData[Month List],$Q$6,RawData[Tour/Site],$Q$2,RawData[[Picker ID ]],$Q$3,RawData[Checker ID],$Q$4,RawData[[Error Type ]],$Q$5))</f>
        <v/>
      </c>
    </row>
    <row r="15261" spans="15:15" x14ac:dyDescent="0.25">
      <c r="O15261" s="20" t="str">
        <f>IF(N15261="","",COUNTIFS(RawData[[Date ]],N15261,RawData[Month List],$Q$6,RawData[Tour/Site],$Q$2,RawData[[Picker ID ]],$Q$3,RawData[Checker ID],$Q$4,RawData[[Error Type ]],$Q$5))</f>
        <v/>
      </c>
    </row>
    <row r="15262" spans="15:15" x14ac:dyDescent="0.25">
      <c r="O15262" s="20" t="str">
        <f>IF(N15262="","",COUNTIFS(RawData[[Date ]],N15262,RawData[Month List],$Q$6,RawData[Tour/Site],$Q$2,RawData[[Picker ID ]],$Q$3,RawData[Checker ID],$Q$4,RawData[[Error Type ]],$Q$5))</f>
        <v/>
      </c>
    </row>
    <row r="15263" spans="15:15" x14ac:dyDescent="0.25">
      <c r="O15263" s="20" t="str">
        <f>IF(N15263="","",COUNTIFS(RawData[[Date ]],N15263,RawData[Month List],$Q$6,RawData[Tour/Site],$Q$2,RawData[[Picker ID ]],$Q$3,RawData[Checker ID],$Q$4,RawData[[Error Type ]],$Q$5))</f>
        <v/>
      </c>
    </row>
    <row r="15264" spans="15:15" x14ac:dyDescent="0.25">
      <c r="O15264" s="20" t="str">
        <f>IF(N15264="","",COUNTIFS(RawData[[Date ]],N15264,RawData[Month List],$Q$6,RawData[Tour/Site],$Q$2,RawData[[Picker ID ]],$Q$3,RawData[Checker ID],$Q$4,RawData[[Error Type ]],$Q$5))</f>
        <v/>
      </c>
    </row>
    <row r="15265" spans="15:15" x14ac:dyDescent="0.25">
      <c r="O15265" s="20" t="str">
        <f>IF(N15265="","",COUNTIFS(RawData[[Date ]],N15265,RawData[Month List],$Q$6,RawData[Tour/Site],$Q$2,RawData[[Picker ID ]],$Q$3,RawData[Checker ID],$Q$4,RawData[[Error Type ]],$Q$5))</f>
        <v/>
      </c>
    </row>
    <row r="15266" spans="15:15" x14ac:dyDescent="0.25">
      <c r="O15266" s="20" t="str">
        <f>IF(N15266="","",COUNTIFS(RawData[[Date ]],N15266,RawData[Month List],$Q$6,RawData[Tour/Site],$Q$2,RawData[[Picker ID ]],$Q$3,RawData[Checker ID],$Q$4,RawData[[Error Type ]],$Q$5))</f>
        <v/>
      </c>
    </row>
    <row r="15267" spans="15:15" x14ac:dyDescent="0.25">
      <c r="O15267" s="20" t="str">
        <f>IF(N15267="","",COUNTIFS(RawData[[Date ]],N15267,RawData[Month List],$Q$6,RawData[Tour/Site],$Q$2,RawData[[Picker ID ]],$Q$3,RawData[Checker ID],$Q$4,RawData[[Error Type ]],$Q$5))</f>
        <v/>
      </c>
    </row>
    <row r="15268" spans="15:15" x14ac:dyDescent="0.25">
      <c r="O15268" s="20" t="str">
        <f>IF(N15268="","",COUNTIFS(RawData[[Date ]],N15268,RawData[Month List],$Q$6,RawData[Tour/Site],$Q$2,RawData[[Picker ID ]],$Q$3,RawData[Checker ID],$Q$4,RawData[[Error Type ]],$Q$5))</f>
        <v/>
      </c>
    </row>
    <row r="15269" spans="15:15" x14ac:dyDescent="0.25">
      <c r="O15269" s="20" t="str">
        <f>IF(N15269="","",COUNTIFS(RawData[[Date ]],N15269,RawData[Month List],$Q$6,RawData[Tour/Site],$Q$2,RawData[[Picker ID ]],$Q$3,RawData[Checker ID],$Q$4,RawData[[Error Type ]],$Q$5))</f>
        <v/>
      </c>
    </row>
    <row r="15270" spans="15:15" x14ac:dyDescent="0.25">
      <c r="O15270" s="20" t="str">
        <f>IF(N15270="","",COUNTIFS(RawData[[Date ]],N15270,RawData[Month List],$Q$6,RawData[Tour/Site],$Q$2,RawData[[Picker ID ]],$Q$3,RawData[Checker ID],$Q$4,RawData[[Error Type ]],$Q$5))</f>
        <v/>
      </c>
    </row>
    <row r="15271" spans="15:15" x14ac:dyDescent="0.25">
      <c r="O15271" s="20" t="str">
        <f>IF(N15271="","",COUNTIFS(RawData[[Date ]],N15271,RawData[Month List],$Q$6,RawData[Tour/Site],$Q$2,RawData[[Picker ID ]],$Q$3,RawData[Checker ID],$Q$4,RawData[[Error Type ]],$Q$5))</f>
        <v/>
      </c>
    </row>
    <row r="15272" spans="15:15" x14ac:dyDescent="0.25">
      <c r="O15272" s="20" t="str">
        <f>IF(N15272="","",COUNTIFS(RawData[[Date ]],N15272,RawData[Month List],$Q$6,RawData[Tour/Site],$Q$2,RawData[[Picker ID ]],$Q$3,RawData[Checker ID],$Q$4,RawData[[Error Type ]],$Q$5))</f>
        <v/>
      </c>
    </row>
    <row r="15273" spans="15:15" x14ac:dyDescent="0.25">
      <c r="O15273" s="20" t="str">
        <f>IF(N15273="","",COUNTIFS(RawData[[Date ]],N15273,RawData[Month List],$Q$6,RawData[Tour/Site],$Q$2,RawData[[Picker ID ]],$Q$3,RawData[Checker ID],$Q$4,RawData[[Error Type ]],$Q$5))</f>
        <v/>
      </c>
    </row>
    <row r="15274" spans="15:15" x14ac:dyDescent="0.25">
      <c r="O15274" s="20" t="str">
        <f>IF(N15274="","",COUNTIFS(RawData[[Date ]],N15274,RawData[Month List],$Q$6,RawData[Tour/Site],$Q$2,RawData[[Picker ID ]],$Q$3,RawData[Checker ID],$Q$4,RawData[[Error Type ]],$Q$5))</f>
        <v/>
      </c>
    </row>
    <row r="15275" spans="15:15" x14ac:dyDescent="0.25">
      <c r="O15275" s="20" t="str">
        <f>IF(N15275="","",COUNTIFS(RawData[[Date ]],N15275,RawData[Month List],$Q$6,RawData[Tour/Site],$Q$2,RawData[[Picker ID ]],$Q$3,RawData[Checker ID],$Q$4,RawData[[Error Type ]],$Q$5))</f>
        <v/>
      </c>
    </row>
    <row r="15276" spans="15:15" x14ac:dyDescent="0.25">
      <c r="O15276" s="20" t="str">
        <f>IF(N15276="","",COUNTIFS(RawData[[Date ]],N15276,RawData[Month List],$Q$6,RawData[Tour/Site],$Q$2,RawData[[Picker ID ]],$Q$3,RawData[Checker ID],$Q$4,RawData[[Error Type ]],$Q$5))</f>
        <v/>
      </c>
    </row>
    <row r="15277" spans="15:15" x14ac:dyDescent="0.25">
      <c r="O15277" s="20" t="str">
        <f>IF(N15277="","",COUNTIFS(RawData[[Date ]],N15277,RawData[Month List],$Q$6,RawData[Tour/Site],$Q$2,RawData[[Picker ID ]],$Q$3,RawData[Checker ID],$Q$4,RawData[[Error Type ]],$Q$5))</f>
        <v/>
      </c>
    </row>
    <row r="15278" spans="15:15" x14ac:dyDescent="0.25">
      <c r="O15278" s="20" t="str">
        <f>IF(N15278="","",COUNTIFS(RawData[[Date ]],N15278,RawData[Month List],$Q$6,RawData[Tour/Site],$Q$2,RawData[[Picker ID ]],$Q$3,RawData[Checker ID],$Q$4,RawData[[Error Type ]],$Q$5))</f>
        <v/>
      </c>
    </row>
    <row r="15279" spans="15:15" x14ac:dyDescent="0.25">
      <c r="O15279" s="20" t="str">
        <f>IF(N15279="","",COUNTIFS(RawData[[Date ]],N15279,RawData[Month List],$Q$6,RawData[Tour/Site],$Q$2,RawData[[Picker ID ]],$Q$3,RawData[Checker ID],$Q$4,RawData[[Error Type ]],$Q$5))</f>
        <v/>
      </c>
    </row>
    <row r="15280" spans="15:15" x14ac:dyDescent="0.25">
      <c r="O15280" s="20" t="str">
        <f>IF(N15280="","",COUNTIFS(RawData[[Date ]],N15280,RawData[Month List],$Q$6,RawData[Tour/Site],$Q$2,RawData[[Picker ID ]],$Q$3,RawData[Checker ID],$Q$4,RawData[[Error Type ]],$Q$5))</f>
        <v/>
      </c>
    </row>
    <row r="15281" spans="15:15" x14ac:dyDescent="0.25">
      <c r="O15281" s="20" t="str">
        <f>IF(N15281="","",COUNTIFS(RawData[[Date ]],N15281,RawData[Month List],$Q$6,RawData[Tour/Site],$Q$2,RawData[[Picker ID ]],$Q$3,RawData[Checker ID],$Q$4,RawData[[Error Type ]],$Q$5))</f>
        <v/>
      </c>
    </row>
    <row r="15282" spans="15:15" x14ac:dyDescent="0.25">
      <c r="O15282" s="20" t="str">
        <f>IF(N15282="","",COUNTIFS(RawData[[Date ]],N15282,RawData[Month List],$Q$6,RawData[Tour/Site],$Q$2,RawData[[Picker ID ]],$Q$3,RawData[Checker ID],$Q$4,RawData[[Error Type ]],$Q$5))</f>
        <v/>
      </c>
    </row>
    <row r="15283" spans="15:15" x14ac:dyDescent="0.25">
      <c r="O15283" s="20" t="str">
        <f>IF(N15283="","",COUNTIFS(RawData[[Date ]],N15283,RawData[Month List],$Q$6,RawData[Tour/Site],$Q$2,RawData[[Picker ID ]],$Q$3,RawData[Checker ID],$Q$4,RawData[[Error Type ]],$Q$5))</f>
        <v/>
      </c>
    </row>
    <row r="15284" spans="15:15" x14ac:dyDescent="0.25">
      <c r="O15284" s="20" t="str">
        <f>IF(N15284="","",COUNTIFS(RawData[[Date ]],N15284,RawData[Month List],$Q$6,RawData[Tour/Site],$Q$2,RawData[[Picker ID ]],$Q$3,RawData[Checker ID],$Q$4,RawData[[Error Type ]],$Q$5))</f>
        <v/>
      </c>
    </row>
    <row r="15285" spans="15:15" x14ac:dyDescent="0.25">
      <c r="O15285" s="20" t="str">
        <f>IF(N15285="","",COUNTIFS(RawData[[Date ]],N15285,RawData[Month List],$Q$6,RawData[Tour/Site],$Q$2,RawData[[Picker ID ]],$Q$3,RawData[Checker ID],$Q$4,RawData[[Error Type ]],$Q$5))</f>
        <v/>
      </c>
    </row>
    <row r="15286" spans="15:15" x14ac:dyDescent="0.25">
      <c r="O15286" s="20" t="str">
        <f>IF(N15286="","",COUNTIFS(RawData[[Date ]],N15286,RawData[Month List],$Q$6,RawData[Tour/Site],$Q$2,RawData[[Picker ID ]],$Q$3,RawData[Checker ID],$Q$4,RawData[[Error Type ]],$Q$5))</f>
        <v/>
      </c>
    </row>
    <row r="15287" spans="15:15" x14ac:dyDescent="0.25">
      <c r="O15287" s="20" t="str">
        <f>IF(N15287="","",COUNTIFS(RawData[[Date ]],N15287,RawData[Month List],$Q$6,RawData[Tour/Site],$Q$2,RawData[[Picker ID ]],$Q$3,RawData[Checker ID],$Q$4,RawData[[Error Type ]],$Q$5))</f>
        <v/>
      </c>
    </row>
    <row r="15288" spans="15:15" x14ac:dyDescent="0.25">
      <c r="O15288" s="20" t="str">
        <f>IF(N15288="","",COUNTIFS(RawData[[Date ]],N15288,RawData[Month List],$Q$6,RawData[Tour/Site],$Q$2,RawData[[Picker ID ]],$Q$3,RawData[Checker ID],$Q$4,RawData[[Error Type ]],$Q$5))</f>
        <v/>
      </c>
    </row>
    <row r="15289" spans="15:15" x14ac:dyDescent="0.25">
      <c r="O15289" s="20" t="str">
        <f>IF(N15289="","",COUNTIFS(RawData[[Date ]],N15289,RawData[Month List],$Q$6,RawData[Tour/Site],$Q$2,RawData[[Picker ID ]],$Q$3,RawData[Checker ID],$Q$4,RawData[[Error Type ]],$Q$5))</f>
        <v/>
      </c>
    </row>
    <row r="15290" spans="15:15" x14ac:dyDescent="0.25">
      <c r="O15290" s="20" t="str">
        <f>IF(N15290="","",COUNTIFS(RawData[[Date ]],N15290,RawData[Month List],$Q$6,RawData[Tour/Site],$Q$2,RawData[[Picker ID ]],$Q$3,RawData[Checker ID],$Q$4,RawData[[Error Type ]],$Q$5))</f>
        <v/>
      </c>
    </row>
    <row r="15291" spans="15:15" x14ac:dyDescent="0.25">
      <c r="O15291" s="20" t="str">
        <f>IF(N15291="","",COUNTIFS(RawData[[Date ]],N15291,RawData[Month List],$Q$6,RawData[Tour/Site],$Q$2,RawData[[Picker ID ]],$Q$3,RawData[Checker ID],$Q$4,RawData[[Error Type ]],$Q$5))</f>
        <v/>
      </c>
    </row>
    <row r="15292" spans="15:15" x14ac:dyDescent="0.25">
      <c r="O15292" s="20" t="str">
        <f>IF(N15292="","",COUNTIFS(RawData[[Date ]],N15292,RawData[Month List],$Q$6,RawData[Tour/Site],$Q$2,RawData[[Picker ID ]],$Q$3,RawData[Checker ID],$Q$4,RawData[[Error Type ]],$Q$5))</f>
        <v/>
      </c>
    </row>
    <row r="15293" spans="15:15" x14ac:dyDescent="0.25">
      <c r="O15293" s="20" t="str">
        <f>IF(N15293="","",COUNTIFS(RawData[[Date ]],N15293,RawData[Month List],$Q$6,RawData[Tour/Site],$Q$2,RawData[[Picker ID ]],$Q$3,RawData[Checker ID],$Q$4,RawData[[Error Type ]],$Q$5))</f>
        <v/>
      </c>
    </row>
    <row r="15294" spans="15:15" x14ac:dyDescent="0.25">
      <c r="O15294" s="20" t="str">
        <f>IF(N15294="","",COUNTIFS(RawData[[Date ]],N15294,RawData[Month List],$Q$6,RawData[Tour/Site],$Q$2,RawData[[Picker ID ]],$Q$3,RawData[Checker ID],$Q$4,RawData[[Error Type ]],$Q$5))</f>
        <v/>
      </c>
    </row>
    <row r="15295" spans="15:15" x14ac:dyDescent="0.25">
      <c r="O15295" s="20" t="str">
        <f>IF(N15295="","",COUNTIFS(RawData[[Date ]],N15295,RawData[Month List],$Q$6,RawData[Tour/Site],$Q$2,RawData[[Picker ID ]],$Q$3,RawData[Checker ID],$Q$4,RawData[[Error Type ]],$Q$5))</f>
        <v/>
      </c>
    </row>
    <row r="15296" spans="15:15" x14ac:dyDescent="0.25">
      <c r="O15296" s="20" t="str">
        <f>IF(N15296="","",COUNTIFS(RawData[[Date ]],N15296,RawData[Month List],$Q$6,RawData[Tour/Site],$Q$2,RawData[[Picker ID ]],$Q$3,RawData[Checker ID],$Q$4,RawData[[Error Type ]],$Q$5))</f>
        <v/>
      </c>
    </row>
    <row r="15297" spans="15:15" x14ac:dyDescent="0.25">
      <c r="O15297" s="20" t="str">
        <f>IF(N15297="","",COUNTIFS(RawData[[Date ]],N15297,RawData[Month List],$Q$6,RawData[Tour/Site],$Q$2,RawData[[Picker ID ]],$Q$3,RawData[Checker ID],$Q$4,RawData[[Error Type ]],$Q$5))</f>
        <v/>
      </c>
    </row>
    <row r="15298" spans="15:15" x14ac:dyDescent="0.25">
      <c r="O15298" s="20" t="str">
        <f>IF(N15298="","",COUNTIFS(RawData[[Date ]],N15298,RawData[Month List],$Q$6,RawData[Tour/Site],$Q$2,RawData[[Picker ID ]],$Q$3,RawData[Checker ID],$Q$4,RawData[[Error Type ]],$Q$5))</f>
        <v/>
      </c>
    </row>
    <row r="15299" spans="15:15" x14ac:dyDescent="0.25">
      <c r="O15299" s="20" t="str">
        <f>IF(N15299="","",COUNTIFS(RawData[[Date ]],N15299,RawData[Month List],$Q$6,RawData[Tour/Site],$Q$2,RawData[[Picker ID ]],$Q$3,RawData[Checker ID],$Q$4,RawData[[Error Type ]],$Q$5))</f>
        <v/>
      </c>
    </row>
    <row r="15300" spans="15:15" x14ac:dyDescent="0.25">
      <c r="O15300" s="20" t="str">
        <f>IF(N15300="","",COUNTIFS(RawData[[Date ]],N15300,RawData[Month List],$Q$6,RawData[Tour/Site],$Q$2,RawData[[Picker ID ]],$Q$3,RawData[Checker ID],$Q$4,RawData[[Error Type ]],$Q$5))</f>
        <v/>
      </c>
    </row>
    <row r="15301" spans="15:15" x14ac:dyDescent="0.25">
      <c r="O15301" s="20" t="str">
        <f>IF(N15301="","",COUNTIFS(RawData[[Date ]],N15301,RawData[Month List],$Q$6,RawData[Tour/Site],$Q$2,RawData[[Picker ID ]],$Q$3,RawData[Checker ID],$Q$4,RawData[[Error Type ]],$Q$5))</f>
        <v/>
      </c>
    </row>
    <row r="15302" spans="15:15" x14ac:dyDescent="0.25">
      <c r="O15302" s="20" t="str">
        <f>IF(N15302="","",COUNTIFS(RawData[[Date ]],N15302,RawData[Month List],$Q$6,RawData[Tour/Site],$Q$2,RawData[[Picker ID ]],$Q$3,RawData[Checker ID],$Q$4,RawData[[Error Type ]],$Q$5))</f>
        <v/>
      </c>
    </row>
    <row r="15303" spans="15:15" x14ac:dyDescent="0.25">
      <c r="O15303" s="20" t="str">
        <f>IF(N15303="","",COUNTIFS(RawData[[Date ]],N15303,RawData[Month List],$Q$6,RawData[Tour/Site],$Q$2,RawData[[Picker ID ]],$Q$3,RawData[Checker ID],$Q$4,RawData[[Error Type ]],$Q$5))</f>
        <v/>
      </c>
    </row>
    <row r="15304" spans="15:15" x14ac:dyDescent="0.25">
      <c r="O15304" s="20" t="str">
        <f>IF(N15304="","",COUNTIFS(RawData[[Date ]],N15304,RawData[Month List],$Q$6,RawData[Tour/Site],$Q$2,RawData[[Picker ID ]],$Q$3,RawData[Checker ID],$Q$4,RawData[[Error Type ]],$Q$5))</f>
        <v/>
      </c>
    </row>
    <row r="15305" spans="15:15" x14ac:dyDescent="0.25">
      <c r="O15305" s="20" t="str">
        <f>IF(N15305="","",COUNTIFS(RawData[[Date ]],N15305,RawData[Month List],$Q$6,RawData[Tour/Site],$Q$2,RawData[[Picker ID ]],$Q$3,RawData[Checker ID],$Q$4,RawData[[Error Type ]],$Q$5))</f>
        <v/>
      </c>
    </row>
    <row r="15306" spans="15:15" x14ac:dyDescent="0.25">
      <c r="O15306" s="20" t="str">
        <f>IF(N15306="","",COUNTIFS(RawData[[Date ]],N15306,RawData[Month List],$Q$6,RawData[Tour/Site],$Q$2,RawData[[Picker ID ]],$Q$3,RawData[Checker ID],$Q$4,RawData[[Error Type ]],$Q$5))</f>
        <v/>
      </c>
    </row>
    <row r="15307" spans="15:15" x14ac:dyDescent="0.25">
      <c r="O15307" s="20" t="str">
        <f>IF(N15307="","",COUNTIFS(RawData[[Date ]],N15307,RawData[Month List],$Q$6,RawData[Tour/Site],$Q$2,RawData[[Picker ID ]],$Q$3,RawData[Checker ID],$Q$4,RawData[[Error Type ]],$Q$5))</f>
        <v/>
      </c>
    </row>
    <row r="15308" spans="15:15" x14ac:dyDescent="0.25">
      <c r="O15308" s="20" t="str">
        <f>IF(N15308="","",COUNTIFS(RawData[[Date ]],N15308,RawData[Month List],$Q$6,RawData[Tour/Site],$Q$2,RawData[[Picker ID ]],$Q$3,RawData[Checker ID],$Q$4,RawData[[Error Type ]],$Q$5))</f>
        <v/>
      </c>
    </row>
    <row r="15309" spans="15:15" x14ac:dyDescent="0.25">
      <c r="O15309" s="20" t="str">
        <f>IF(N15309="","",COUNTIFS(RawData[[Date ]],N15309,RawData[Month List],$Q$6,RawData[Tour/Site],$Q$2,RawData[[Picker ID ]],$Q$3,RawData[Checker ID],$Q$4,RawData[[Error Type ]],$Q$5))</f>
        <v/>
      </c>
    </row>
    <row r="15310" spans="15:15" x14ac:dyDescent="0.25">
      <c r="O15310" s="20" t="str">
        <f>IF(N15310="","",COUNTIFS(RawData[[Date ]],N15310,RawData[Month List],$Q$6,RawData[Tour/Site],$Q$2,RawData[[Picker ID ]],$Q$3,RawData[Checker ID],$Q$4,RawData[[Error Type ]],$Q$5))</f>
        <v/>
      </c>
    </row>
    <row r="15311" spans="15:15" x14ac:dyDescent="0.25">
      <c r="O15311" s="20" t="str">
        <f>IF(N15311="","",COUNTIFS(RawData[[Date ]],N15311,RawData[Month List],$Q$6,RawData[Tour/Site],$Q$2,RawData[[Picker ID ]],$Q$3,RawData[Checker ID],$Q$4,RawData[[Error Type ]],$Q$5))</f>
        <v/>
      </c>
    </row>
    <row r="15312" spans="15:15" x14ac:dyDescent="0.25">
      <c r="O15312" s="20" t="str">
        <f>IF(N15312="","",COUNTIFS(RawData[[Date ]],N15312,RawData[Month List],$Q$6,RawData[Tour/Site],$Q$2,RawData[[Picker ID ]],$Q$3,RawData[Checker ID],$Q$4,RawData[[Error Type ]],$Q$5))</f>
        <v/>
      </c>
    </row>
    <row r="15313" spans="15:15" x14ac:dyDescent="0.25">
      <c r="O15313" s="20" t="str">
        <f>IF(N15313="","",COUNTIFS(RawData[[Date ]],N15313,RawData[Month List],$Q$6,RawData[Tour/Site],$Q$2,RawData[[Picker ID ]],$Q$3,RawData[Checker ID],$Q$4,RawData[[Error Type ]],$Q$5))</f>
        <v/>
      </c>
    </row>
    <row r="15314" spans="15:15" x14ac:dyDescent="0.25">
      <c r="O15314" s="20" t="str">
        <f>IF(N15314="","",COUNTIFS(RawData[[Date ]],N15314,RawData[Month List],$Q$6,RawData[Tour/Site],$Q$2,RawData[[Picker ID ]],$Q$3,RawData[Checker ID],$Q$4,RawData[[Error Type ]],$Q$5))</f>
        <v/>
      </c>
    </row>
    <row r="15315" spans="15:15" x14ac:dyDescent="0.25">
      <c r="O15315" s="20" t="str">
        <f>IF(N15315="","",COUNTIFS(RawData[[Date ]],N15315,RawData[Month List],$Q$6,RawData[Tour/Site],$Q$2,RawData[[Picker ID ]],$Q$3,RawData[Checker ID],$Q$4,RawData[[Error Type ]],$Q$5))</f>
        <v/>
      </c>
    </row>
    <row r="15316" spans="15:15" x14ac:dyDescent="0.25">
      <c r="O15316" s="20" t="str">
        <f>IF(N15316="","",COUNTIFS(RawData[[Date ]],N15316,RawData[Month List],$Q$6,RawData[Tour/Site],$Q$2,RawData[[Picker ID ]],$Q$3,RawData[Checker ID],$Q$4,RawData[[Error Type ]],$Q$5))</f>
        <v/>
      </c>
    </row>
    <row r="15317" spans="15:15" x14ac:dyDescent="0.25">
      <c r="O15317" s="20" t="str">
        <f>IF(N15317="","",COUNTIFS(RawData[[Date ]],N15317,RawData[Month List],$Q$6,RawData[Tour/Site],$Q$2,RawData[[Picker ID ]],$Q$3,RawData[Checker ID],$Q$4,RawData[[Error Type ]],$Q$5))</f>
        <v/>
      </c>
    </row>
    <row r="15318" spans="15:15" x14ac:dyDescent="0.25">
      <c r="O15318" s="20" t="str">
        <f>IF(N15318="","",COUNTIFS(RawData[[Date ]],N15318,RawData[Month List],$Q$6,RawData[Tour/Site],$Q$2,RawData[[Picker ID ]],$Q$3,RawData[Checker ID],$Q$4,RawData[[Error Type ]],$Q$5))</f>
        <v/>
      </c>
    </row>
    <row r="15319" spans="15:15" x14ac:dyDescent="0.25">
      <c r="O15319" s="20" t="str">
        <f>IF(N15319="","",COUNTIFS(RawData[[Date ]],N15319,RawData[Month List],$Q$6,RawData[Tour/Site],$Q$2,RawData[[Picker ID ]],$Q$3,RawData[Checker ID],$Q$4,RawData[[Error Type ]],$Q$5))</f>
        <v/>
      </c>
    </row>
    <row r="15320" spans="15:15" x14ac:dyDescent="0.25">
      <c r="O15320" s="20" t="str">
        <f>IF(N15320="","",COUNTIFS(RawData[[Date ]],N15320,RawData[Month List],$Q$6,RawData[Tour/Site],$Q$2,RawData[[Picker ID ]],$Q$3,RawData[Checker ID],$Q$4,RawData[[Error Type ]],$Q$5))</f>
        <v/>
      </c>
    </row>
    <row r="15321" spans="15:15" x14ac:dyDescent="0.25">
      <c r="O15321" s="20" t="str">
        <f>IF(N15321="","",COUNTIFS(RawData[[Date ]],N15321,RawData[Month List],$Q$6,RawData[Tour/Site],$Q$2,RawData[[Picker ID ]],$Q$3,RawData[Checker ID],$Q$4,RawData[[Error Type ]],$Q$5))</f>
        <v/>
      </c>
    </row>
    <row r="15322" spans="15:15" x14ac:dyDescent="0.25">
      <c r="O15322" s="20" t="str">
        <f>IF(N15322="","",COUNTIFS(RawData[[Date ]],N15322,RawData[Month List],$Q$6,RawData[Tour/Site],$Q$2,RawData[[Picker ID ]],$Q$3,RawData[Checker ID],$Q$4,RawData[[Error Type ]],$Q$5))</f>
        <v/>
      </c>
    </row>
    <row r="15323" spans="15:15" x14ac:dyDescent="0.25">
      <c r="O15323" s="20" t="str">
        <f>IF(N15323="","",COUNTIFS(RawData[[Date ]],N15323,RawData[Month List],$Q$6,RawData[Tour/Site],$Q$2,RawData[[Picker ID ]],$Q$3,RawData[Checker ID],$Q$4,RawData[[Error Type ]],$Q$5))</f>
        <v/>
      </c>
    </row>
    <row r="15324" spans="15:15" x14ac:dyDescent="0.25">
      <c r="O15324" s="20" t="str">
        <f>IF(N15324="","",COUNTIFS(RawData[[Date ]],N15324,RawData[Month List],$Q$6,RawData[Tour/Site],$Q$2,RawData[[Picker ID ]],$Q$3,RawData[Checker ID],$Q$4,RawData[[Error Type ]],$Q$5))</f>
        <v/>
      </c>
    </row>
    <row r="15325" spans="15:15" x14ac:dyDescent="0.25">
      <c r="O15325" s="20" t="str">
        <f>IF(N15325="","",COUNTIFS(RawData[[Date ]],N15325,RawData[Month List],$Q$6,RawData[Tour/Site],$Q$2,RawData[[Picker ID ]],$Q$3,RawData[Checker ID],$Q$4,RawData[[Error Type ]],$Q$5))</f>
        <v/>
      </c>
    </row>
    <row r="15326" spans="15:15" x14ac:dyDescent="0.25">
      <c r="O15326" s="20" t="str">
        <f>IF(N15326="","",COUNTIFS(RawData[[Date ]],N15326,RawData[Month List],$Q$6,RawData[Tour/Site],$Q$2,RawData[[Picker ID ]],$Q$3,RawData[Checker ID],$Q$4,RawData[[Error Type ]],$Q$5))</f>
        <v/>
      </c>
    </row>
    <row r="15327" spans="15:15" x14ac:dyDescent="0.25">
      <c r="O15327" s="20" t="str">
        <f>IF(N15327="","",COUNTIFS(RawData[[Date ]],N15327,RawData[Month List],$Q$6,RawData[Tour/Site],$Q$2,RawData[[Picker ID ]],$Q$3,RawData[Checker ID],$Q$4,RawData[[Error Type ]],$Q$5))</f>
        <v/>
      </c>
    </row>
    <row r="15328" spans="15:15" x14ac:dyDescent="0.25">
      <c r="O15328" s="20" t="str">
        <f>IF(N15328="","",COUNTIFS(RawData[[Date ]],N15328,RawData[Month List],$Q$6,RawData[Tour/Site],$Q$2,RawData[[Picker ID ]],$Q$3,RawData[Checker ID],$Q$4,RawData[[Error Type ]],$Q$5))</f>
        <v/>
      </c>
    </row>
    <row r="15329" spans="15:15" x14ac:dyDescent="0.25">
      <c r="O15329" s="20" t="str">
        <f>IF(N15329="","",COUNTIFS(RawData[[Date ]],N15329,RawData[Month List],$Q$6,RawData[Tour/Site],$Q$2,RawData[[Picker ID ]],$Q$3,RawData[Checker ID],$Q$4,RawData[[Error Type ]],$Q$5))</f>
        <v/>
      </c>
    </row>
    <row r="15330" spans="15:15" x14ac:dyDescent="0.25">
      <c r="O15330" s="20" t="str">
        <f>IF(N15330="","",COUNTIFS(RawData[[Date ]],N15330,RawData[Month List],$Q$6,RawData[Tour/Site],$Q$2,RawData[[Picker ID ]],$Q$3,RawData[Checker ID],$Q$4,RawData[[Error Type ]],$Q$5))</f>
        <v/>
      </c>
    </row>
    <row r="15331" spans="15:15" x14ac:dyDescent="0.25">
      <c r="O15331" s="20" t="str">
        <f>IF(N15331="","",COUNTIFS(RawData[[Date ]],N15331,RawData[Month List],$Q$6,RawData[Tour/Site],$Q$2,RawData[[Picker ID ]],$Q$3,RawData[Checker ID],$Q$4,RawData[[Error Type ]],$Q$5))</f>
        <v/>
      </c>
    </row>
    <row r="15332" spans="15:15" x14ac:dyDescent="0.25">
      <c r="O15332" s="20" t="str">
        <f>IF(N15332="","",COUNTIFS(RawData[[Date ]],N15332,RawData[Month List],$Q$6,RawData[Tour/Site],$Q$2,RawData[[Picker ID ]],$Q$3,RawData[Checker ID],$Q$4,RawData[[Error Type ]],$Q$5))</f>
        <v/>
      </c>
    </row>
    <row r="15333" spans="15:15" x14ac:dyDescent="0.25">
      <c r="O15333" s="20" t="str">
        <f>IF(N15333="","",COUNTIFS(RawData[[Date ]],N15333,RawData[Month List],$Q$6,RawData[Tour/Site],$Q$2,RawData[[Picker ID ]],$Q$3,RawData[Checker ID],$Q$4,RawData[[Error Type ]],$Q$5))</f>
        <v/>
      </c>
    </row>
    <row r="15334" spans="15:15" x14ac:dyDescent="0.25">
      <c r="O15334" s="20" t="str">
        <f>IF(N15334="","",COUNTIFS(RawData[[Date ]],N15334,RawData[Month List],$Q$6,RawData[Tour/Site],$Q$2,RawData[[Picker ID ]],$Q$3,RawData[Checker ID],$Q$4,RawData[[Error Type ]],$Q$5))</f>
        <v/>
      </c>
    </row>
    <row r="15335" spans="15:15" x14ac:dyDescent="0.25">
      <c r="O15335" s="20" t="str">
        <f>IF(N15335="","",COUNTIFS(RawData[[Date ]],N15335,RawData[Month List],$Q$6,RawData[Tour/Site],$Q$2,RawData[[Picker ID ]],$Q$3,RawData[Checker ID],$Q$4,RawData[[Error Type ]],$Q$5))</f>
        <v/>
      </c>
    </row>
    <row r="15336" spans="15:15" x14ac:dyDescent="0.25">
      <c r="O15336" s="20" t="str">
        <f>IF(N15336="","",COUNTIFS(RawData[[Date ]],N15336,RawData[Month List],$Q$6,RawData[Tour/Site],$Q$2,RawData[[Picker ID ]],$Q$3,RawData[Checker ID],$Q$4,RawData[[Error Type ]],$Q$5))</f>
        <v/>
      </c>
    </row>
    <row r="15337" spans="15:15" x14ac:dyDescent="0.25">
      <c r="O15337" s="20" t="str">
        <f>IF(N15337="","",COUNTIFS(RawData[[Date ]],N15337,RawData[Month List],$Q$6,RawData[Tour/Site],$Q$2,RawData[[Picker ID ]],$Q$3,RawData[Checker ID],$Q$4,RawData[[Error Type ]],$Q$5))</f>
        <v/>
      </c>
    </row>
    <row r="15338" spans="15:15" x14ac:dyDescent="0.25">
      <c r="O15338" s="20" t="str">
        <f>IF(N15338="","",COUNTIFS(RawData[[Date ]],N15338,RawData[Month List],$Q$6,RawData[Tour/Site],$Q$2,RawData[[Picker ID ]],$Q$3,RawData[Checker ID],$Q$4,RawData[[Error Type ]],$Q$5))</f>
        <v/>
      </c>
    </row>
    <row r="15339" spans="15:15" x14ac:dyDescent="0.25">
      <c r="O15339" s="20" t="str">
        <f>IF(N15339="","",COUNTIFS(RawData[[Date ]],N15339,RawData[Month List],$Q$6,RawData[Tour/Site],$Q$2,RawData[[Picker ID ]],$Q$3,RawData[Checker ID],$Q$4,RawData[[Error Type ]],$Q$5))</f>
        <v/>
      </c>
    </row>
    <row r="15340" spans="15:15" x14ac:dyDescent="0.25">
      <c r="O15340" s="20" t="str">
        <f>IF(N15340="","",COUNTIFS(RawData[[Date ]],N15340,RawData[Month List],$Q$6,RawData[Tour/Site],$Q$2,RawData[[Picker ID ]],$Q$3,RawData[Checker ID],$Q$4,RawData[[Error Type ]],$Q$5))</f>
        <v/>
      </c>
    </row>
    <row r="15341" spans="15:15" x14ac:dyDescent="0.25">
      <c r="O15341" s="20" t="str">
        <f>IF(N15341="","",COUNTIFS(RawData[[Date ]],N15341,RawData[Month List],$Q$6,RawData[Tour/Site],$Q$2,RawData[[Picker ID ]],$Q$3,RawData[Checker ID],$Q$4,RawData[[Error Type ]],$Q$5))</f>
        <v/>
      </c>
    </row>
    <row r="15342" spans="15:15" x14ac:dyDescent="0.25">
      <c r="O15342" s="20" t="str">
        <f>IF(N15342="","",COUNTIFS(RawData[[Date ]],N15342,RawData[Month List],$Q$6,RawData[Tour/Site],$Q$2,RawData[[Picker ID ]],$Q$3,RawData[Checker ID],$Q$4,RawData[[Error Type ]],$Q$5))</f>
        <v/>
      </c>
    </row>
    <row r="15343" spans="15:15" x14ac:dyDescent="0.25">
      <c r="O15343" s="20" t="str">
        <f>IF(N15343="","",COUNTIFS(RawData[[Date ]],N15343,RawData[Month List],$Q$6,RawData[Tour/Site],$Q$2,RawData[[Picker ID ]],$Q$3,RawData[Checker ID],$Q$4,RawData[[Error Type ]],$Q$5))</f>
        <v/>
      </c>
    </row>
    <row r="15344" spans="15:15" x14ac:dyDescent="0.25">
      <c r="O15344" s="20" t="str">
        <f>IF(N15344="","",COUNTIFS(RawData[[Date ]],N15344,RawData[Month List],$Q$6,RawData[Tour/Site],$Q$2,RawData[[Picker ID ]],$Q$3,RawData[Checker ID],$Q$4,RawData[[Error Type ]],$Q$5))</f>
        <v/>
      </c>
    </row>
    <row r="15345" spans="15:15" x14ac:dyDescent="0.25">
      <c r="O15345" s="20" t="str">
        <f>IF(N15345="","",COUNTIFS(RawData[[Date ]],N15345,RawData[Month List],$Q$6,RawData[Tour/Site],$Q$2,RawData[[Picker ID ]],$Q$3,RawData[Checker ID],$Q$4,RawData[[Error Type ]],$Q$5))</f>
        <v/>
      </c>
    </row>
    <row r="15346" spans="15:15" x14ac:dyDescent="0.25">
      <c r="O15346" s="20" t="str">
        <f>IF(N15346="","",COUNTIFS(RawData[[Date ]],N15346,RawData[Month List],$Q$6,RawData[Tour/Site],$Q$2,RawData[[Picker ID ]],$Q$3,RawData[Checker ID],$Q$4,RawData[[Error Type ]],$Q$5))</f>
        <v/>
      </c>
    </row>
    <row r="15347" spans="15:15" x14ac:dyDescent="0.25">
      <c r="O15347" s="20" t="str">
        <f>IF(N15347="","",COUNTIFS(RawData[[Date ]],N15347,RawData[Month List],$Q$6,RawData[Tour/Site],$Q$2,RawData[[Picker ID ]],$Q$3,RawData[Checker ID],$Q$4,RawData[[Error Type ]],$Q$5))</f>
        <v/>
      </c>
    </row>
    <row r="15348" spans="15:15" x14ac:dyDescent="0.25">
      <c r="O15348" s="20" t="str">
        <f>IF(N15348="","",COUNTIFS(RawData[[Date ]],N15348,RawData[Month List],$Q$6,RawData[Tour/Site],$Q$2,RawData[[Picker ID ]],$Q$3,RawData[Checker ID],$Q$4,RawData[[Error Type ]],$Q$5))</f>
        <v/>
      </c>
    </row>
    <row r="15349" spans="15:15" x14ac:dyDescent="0.25">
      <c r="O15349" s="20" t="str">
        <f>IF(N15349="","",COUNTIFS(RawData[[Date ]],N15349,RawData[Month List],$Q$6,RawData[Tour/Site],$Q$2,RawData[[Picker ID ]],$Q$3,RawData[Checker ID],$Q$4,RawData[[Error Type ]],$Q$5))</f>
        <v/>
      </c>
    </row>
    <row r="15350" spans="15:15" x14ac:dyDescent="0.25">
      <c r="O15350" s="20" t="str">
        <f>IF(N15350="","",COUNTIFS(RawData[[Date ]],N15350,RawData[Month List],$Q$6,RawData[Tour/Site],$Q$2,RawData[[Picker ID ]],$Q$3,RawData[Checker ID],$Q$4,RawData[[Error Type ]],$Q$5))</f>
        <v/>
      </c>
    </row>
    <row r="15351" spans="15:15" x14ac:dyDescent="0.25">
      <c r="O15351" s="20" t="str">
        <f>IF(N15351="","",COUNTIFS(RawData[[Date ]],N15351,RawData[Month List],$Q$6,RawData[Tour/Site],$Q$2,RawData[[Picker ID ]],$Q$3,RawData[Checker ID],$Q$4,RawData[[Error Type ]],$Q$5))</f>
        <v/>
      </c>
    </row>
    <row r="15352" spans="15:15" x14ac:dyDescent="0.25">
      <c r="O15352" s="20" t="str">
        <f>IF(N15352="","",COUNTIFS(RawData[[Date ]],N15352,RawData[Month List],$Q$6,RawData[Tour/Site],$Q$2,RawData[[Picker ID ]],$Q$3,RawData[Checker ID],$Q$4,RawData[[Error Type ]],$Q$5))</f>
        <v/>
      </c>
    </row>
    <row r="15353" spans="15:15" x14ac:dyDescent="0.25">
      <c r="O15353" s="20" t="str">
        <f>IF(N15353="","",COUNTIFS(RawData[[Date ]],N15353,RawData[Month List],$Q$6,RawData[Tour/Site],$Q$2,RawData[[Picker ID ]],$Q$3,RawData[Checker ID],$Q$4,RawData[[Error Type ]],$Q$5))</f>
        <v/>
      </c>
    </row>
    <row r="15354" spans="15:15" x14ac:dyDescent="0.25">
      <c r="O15354" s="20" t="str">
        <f>IF(N15354="","",COUNTIFS(RawData[[Date ]],N15354,RawData[Month List],$Q$6,RawData[Tour/Site],$Q$2,RawData[[Picker ID ]],$Q$3,RawData[Checker ID],$Q$4,RawData[[Error Type ]],$Q$5))</f>
        <v/>
      </c>
    </row>
    <row r="15355" spans="15:15" x14ac:dyDescent="0.25">
      <c r="O15355" s="20" t="str">
        <f>IF(N15355="","",COUNTIFS(RawData[[Date ]],N15355,RawData[Month List],$Q$6,RawData[Tour/Site],$Q$2,RawData[[Picker ID ]],$Q$3,RawData[Checker ID],$Q$4,RawData[[Error Type ]],$Q$5))</f>
        <v/>
      </c>
    </row>
    <row r="15356" spans="15:15" x14ac:dyDescent="0.25">
      <c r="O15356" s="20" t="str">
        <f>IF(N15356="","",COUNTIFS(RawData[[Date ]],N15356,RawData[Month List],$Q$6,RawData[Tour/Site],$Q$2,RawData[[Picker ID ]],$Q$3,RawData[Checker ID],$Q$4,RawData[[Error Type ]],$Q$5))</f>
        <v/>
      </c>
    </row>
    <row r="15357" spans="15:15" x14ac:dyDescent="0.25">
      <c r="O15357" s="20" t="str">
        <f>IF(N15357="","",COUNTIFS(RawData[[Date ]],N15357,RawData[Month List],$Q$6,RawData[Tour/Site],$Q$2,RawData[[Picker ID ]],$Q$3,RawData[Checker ID],$Q$4,RawData[[Error Type ]],$Q$5))</f>
        <v/>
      </c>
    </row>
    <row r="15358" spans="15:15" x14ac:dyDescent="0.25">
      <c r="O15358" s="20" t="str">
        <f>IF(N15358="","",COUNTIFS(RawData[[Date ]],N15358,RawData[Month List],$Q$6,RawData[Tour/Site],$Q$2,RawData[[Picker ID ]],$Q$3,RawData[Checker ID],$Q$4,RawData[[Error Type ]],$Q$5))</f>
        <v/>
      </c>
    </row>
    <row r="15359" spans="15:15" x14ac:dyDescent="0.25">
      <c r="O15359" s="20" t="str">
        <f>IF(N15359="","",COUNTIFS(RawData[[Date ]],N15359,RawData[Month List],$Q$6,RawData[Tour/Site],$Q$2,RawData[[Picker ID ]],$Q$3,RawData[Checker ID],$Q$4,RawData[[Error Type ]],$Q$5))</f>
        <v/>
      </c>
    </row>
    <row r="15360" spans="15:15" x14ac:dyDescent="0.25">
      <c r="O15360" s="20" t="str">
        <f>IF(N15360="","",COUNTIFS(RawData[[Date ]],N15360,RawData[Month List],$Q$6,RawData[Tour/Site],$Q$2,RawData[[Picker ID ]],$Q$3,RawData[Checker ID],$Q$4,RawData[[Error Type ]],$Q$5))</f>
        <v/>
      </c>
    </row>
    <row r="15361" spans="15:15" x14ac:dyDescent="0.25">
      <c r="O15361" s="20" t="str">
        <f>IF(N15361="","",COUNTIFS(RawData[[Date ]],N15361,RawData[Month List],$Q$6,RawData[Tour/Site],$Q$2,RawData[[Picker ID ]],$Q$3,RawData[Checker ID],$Q$4,RawData[[Error Type ]],$Q$5))</f>
        <v/>
      </c>
    </row>
    <row r="15362" spans="15:15" x14ac:dyDescent="0.25">
      <c r="O15362" s="20" t="str">
        <f>IF(N15362="","",COUNTIFS(RawData[[Date ]],N15362,RawData[Month List],$Q$6,RawData[Tour/Site],$Q$2,RawData[[Picker ID ]],$Q$3,RawData[Checker ID],$Q$4,RawData[[Error Type ]],$Q$5))</f>
        <v/>
      </c>
    </row>
    <row r="15363" spans="15:15" x14ac:dyDescent="0.25">
      <c r="O15363" s="20" t="str">
        <f>IF(N15363="","",COUNTIFS(RawData[[Date ]],N15363,RawData[Month List],$Q$6,RawData[Tour/Site],$Q$2,RawData[[Picker ID ]],$Q$3,RawData[Checker ID],$Q$4,RawData[[Error Type ]],$Q$5))</f>
        <v/>
      </c>
    </row>
    <row r="15364" spans="15:15" x14ac:dyDescent="0.25">
      <c r="O15364" s="20" t="str">
        <f>IF(N15364="","",COUNTIFS(RawData[[Date ]],N15364,RawData[Month List],$Q$6,RawData[Tour/Site],$Q$2,RawData[[Picker ID ]],$Q$3,RawData[Checker ID],$Q$4,RawData[[Error Type ]],$Q$5))</f>
        <v/>
      </c>
    </row>
    <row r="15365" spans="15:15" x14ac:dyDescent="0.25">
      <c r="O15365" s="20" t="str">
        <f>IF(N15365="","",COUNTIFS(RawData[[Date ]],N15365,RawData[Month List],$Q$6,RawData[Tour/Site],$Q$2,RawData[[Picker ID ]],$Q$3,RawData[Checker ID],$Q$4,RawData[[Error Type ]],$Q$5))</f>
        <v/>
      </c>
    </row>
    <row r="15366" spans="15:15" x14ac:dyDescent="0.25">
      <c r="O15366" s="20" t="str">
        <f>IF(N15366="","",COUNTIFS(RawData[[Date ]],N15366,RawData[Month List],$Q$6,RawData[Tour/Site],$Q$2,RawData[[Picker ID ]],$Q$3,RawData[Checker ID],$Q$4,RawData[[Error Type ]],$Q$5))</f>
        <v/>
      </c>
    </row>
    <row r="15367" spans="15:15" x14ac:dyDescent="0.25">
      <c r="O15367" s="20" t="str">
        <f>IF(N15367="","",COUNTIFS(RawData[[Date ]],N15367,RawData[Month List],$Q$6,RawData[Tour/Site],$Q$2,RawData[[Picker ID ]],$Q$3,RawData[Checker ID],$Q$4,RawData[[Error Type ]],$Q$5))</f>
        <v/>
      </c>
    </row>
    <row r="15368" spans="15:15" x14ac:dyDescent="0.25">
      <c r="O15368" s="20" t="str">
        <f>IF(N15368="","",COUNTIFS(RawData[[Date ]],N15368,RawData[Month List],$Q$6,RawData[Tour/Site],$Q$2,RawData[[Picker ID ]],$Q$3,RawData[Checker ID],$Q$4,RawData[[Error Type ]],$Q$5))</f>
        <v/>
      </c>
    </row>
    <row r="15369" spans="15:15" x14ac:dyDescent="0.25">
      <c r="O15369" s="20" t="str">
        <f>IF(N15369="","",COUNTIFS(RawData[[Date ]],N15369,RawData[Month List],$Q$6,RawData[Tour/Site],$Q$2,RawData[[Picker ID ]],$Q$3,RawData[Checker ID],$Q$4,RawData[[Error Type ]],$Q$5))</f>
        <v/>
      </c>
    </row>
    <row r="15370" spans="15:15" x14ac:dyDescent="0.25">
      <c r="O15370" s="20" t="str">
        <f>IF(N15370="","",COUNTIFS(RawData[[Date ]],N15370,RawData[Month List],$Q$6,RawData[Tour/Site],$Q$2,RawData[[Picker ID ]],$Q$3,RawData[Checker ID],$Q$4,RawData[[Error Type ]],$Q$5))</f>
        <v/>
      </c>
    </row>
    <row r="15371" spans="15:15" x14ac:dyDescent="0.25">
      <c r="O15371" s="20" t="str">
        <f>IF(N15371="","",COUNTIFS(RawData[[Date ]],N15371,RawData[Month List],$Q$6,RawData[Tour/Site],$Q$2,RawData[[Picker ID ]],$Q$3,RawData[Checker ID],$Q$4,RawData[[Error Type ]],$Q$5))</f>
        <v/>
      </c>
    </row>
    <row r="15372" spans="15:15" x14ac:dyDescent="0.25">
      <c r="O15372" s="20" t="str">
        <f>IF(N15372="","",COUNTIFS(RawData[[Date ]],N15372,RawData[Month List],$Q$6,RawData[Tour/Site],$Q$2,RawData[[Picker ID ]],$Q$3,RawData[Checker ID],$Q$4,RawData[[Error Type ]],$Q$5))</f>
        <v/>
      </c>
    </row>
    <row r="15373" spans="15:15" x14ac:dyDescent="0.25">
      <c r="O15373" s="20" t="str">
        <f>IF(N15373="","",COUNTIFS(RawData[[Date ]],N15373,RawData[Month List],$Q$6,RawData[Tour/Site],$Q$2,RawData[[Picker ID ]],$Q$3,RawData[Checker ID],$Q$4,RawData[[Error Type ]],$Q$5))</f>
        <v/>
      </c>
    </row>
    <row r="15374" spans="15:15" x14ac:dyDescent="0.25">
      <c r="O15374" s="20" t="str">
        <f>IF(N15374="","",COUNTIFS(RawData[[Date ]],N15374,RawData[Month List],$Q$6,RawData[Tour/Site],$Q$2,RawData[[Picker ID ]],$Q$3,RawData[Checker ID],$Q$4,RawData[[Error Type ]],$Q$5))</f>
        <v/>
      </c>
    </row>
    <row r="15375" spans="15:15" x14ac:dyDescent="0.25">
      <c r="O15375" s="20" t="str">
        <f>IF(N15375="","",COUNTIFS(RawData[[Date ]],N15375,RawData[Month List],$Q$6,RawData[Tour/Site],$Q$2,RawData[[Picker ID ]],$Q$3,RawData[Checker ID],$Q$4,RawData[[Error Type ]],$Q$5))</f>
        <v/>
      </c>
    </row>
    <row r="15376" spans="15:15" x14ac:dyDescent="0.25">
      <c r="O15376" s="20" t="str">
        <f>IF(N15376="","",COUNTIFS(RawData[[Date ]],N15376,RawData[Month List],$Q$6,RawData[Tour/Site],$Q$2,RawData[[Picker ID ]],$Q$3,RawData[Checker ID],$Q$4,RawData[[Error Type ]],$Q$5))</f>
        <v/>
      </c>
    </row>
    <row r="15377" spans="15:15" x14ac:dyDescent="0.25">
      <c r="O15377" s="20" t="str">
        <f>IF(N15377="","",COUNTIFS(RawData[[Date ]],N15377,RawData[Month List],$Q$6,RawData[Tour/Site],$Q$2,RawData[[Picker ID ]],$Q$3,RawData[Checker ID],$Q$4,RawData[[Error Type ]],$Q$5))</f>
        <v/>
      </c>
    </row>
    <row r="15378" spans="15:15" x14ac:dyDescent="0.25">
      <c r="O15378" s="20" t="str">
        <f>IF(N15378="","",COUNTIFS(RawData[[Date ]],N15378,RawData[Month List],$Q$6,RawData[Tour/Site],$Q$2,RawData[[Picker ID ]],$Q$3,RawData[Checker ID],$Q$4,RawData[[Error Type ]],$Q$5))</f>
        <v/>
      </c>
    </row>
    <row r="15379" spans="15:15" x14ac:dyDescent="0.25">
      <c r="O15379" s="20" t="str">
        <f>IF(N15379="","",COUNTIFS(RawData[[Date ]],N15379,RawData[Month List],$Q$6,RawData[Tour/Site],$Q$2,RawData[[Picker ID ]],$Q$3,RawData[Checker ID],$Q$4,RawData[[Error Type ]],$Q$5))</f>
        <v/>
      </c>
    </row>
    <row r="15380" spans="15:15" x14ac:dyDescent="0.25">
      <c r="O15380" s="20" t="str">
        <f>IF(N15380="","",COUNTIFS(RawData[[Date ]],N15380,RawData[Month List],$Q$6,RawData[Tour/Site],$Q$2,RawData[[Picker ID ]],$Q$3,RawData[Checker ID],$Q$4,RawData[[Error Type ]],$Q$5))</f>
        <v/>
      </c>
    </row>
    <row r="15381" spans="15:15" x14ac:dyDescent="0.25">
      <c r="O15381" s="20" t="str">
        <f>IF(N15381="","",COUNTIFS(RawData[[Date ]],N15381,RawData[Month List],$Q$6,RawData[Tour/Site],$Q$2,RawData[[Picker ID ]],$Q$3,RawData[Checker ID],$Q$4,RawData[[Error Type ]],$Q$5))</f>
        <v/>
      </c>
    </row>
    <row r="15382" spans="15:15" x14ac:dyDescent="0.25">
      <c r="O15382" s="20" t="str">
        <f>IF(N15382="","",COUNTIFS(RawData[[Date ]],N15382,RawData[Month List],$Q$6,RawData[Tour/Site],$Q$2,RawData[[Picker ID ]],$Q$3,RawData[Checker ID],$Q$4,RawData[[Error Type ]],$Q$5))</f>
        <v/>
      </c>
    </row>
    <row r="15383" spans="15:15" x14ac:dyDescent="0.25">
      <c r="O15383" s="20" t="str">
        <f>IF(N15383="","",COUNTIFS(RawData[[Date ]],N15383,RawData[Month List],$Q$6,RawData[Tour/Site],$Q$2,RawData[[Picker ID ]],$Q$3,RawData[Checker ID],$Q$4,RawData[[Error Type ]],$Q$5))</f>
        <v/>
      </c>
    </row>
    <row r="15384" spans="15:15" x14ac:dyDescent="0.25">
      <c r="O15384" s="20" t="str">
        <f>IF(N15384="","",COUNTIFS(RawData[[Date ]],N15384,RawData[Month List],$Q$6,RawData[Tour/Site],$Q$2,RawData[[Picker ID ]],$Q$3,RawData[Checker ID],$Q$4,RawData[[Error Type ]],$Q$5))</f>
        <v/>
      </c>
    </row>
    <row r="15385" spans="15:15" x14ac:dyDescent="0.25">
      <c r="O15385" s="20" t="str">
        <f>IF(N15385="","",COUNTIFS(RawData[[Date ]],N15385,RawData[Month List],$Q$6,RawData[Tour/Site],$Q$2,RawData[[Picker ID ]],$Q$3,RawData[Checker ID],$Q$4,RawData[[Error Type ]],$Q$5))</f>
        <v/>
      </c>
    </row>
    <row r="15386" spans="15:15" x14ac:dyDescent="0.25">
      <c r="O15386" s="20" t="str">
        <f>IF(N15386="","",COUNTIFS(RawData[[Date ]],N15386,RawData[Month List],$Q$6,RawData[Tour/Site],$Q$2,RawData[[Picker ID ]],$Q$3,RawData[Checker ID],$Q$4,RawData[[Error Type ]],$Q$5))</f>
        <v/>
      </c>
    </row>
    <row r="15387" spans="15:15" x14ac:dyDescent="0.25">
      <c r="O15387" s="20" t="str">
        <f>IF(N15387="","",COUNTIFS(RawData[[Date ]],N15387,RawData[Month List],$Q$6,RawData[Tour/Site],$Q$2,RawData[[Picker ID ]],$Q$3,RawData[Checker ID],$Q$4,RawData[[Error Type ]],$Q$5))</f>
        <v/>
      </c>
    </row>
    <row r="15388" spans="15:15" x14ac:dyDescent="0.25">
      <c r="O15388" s="20" t="str">
        <f>IF(N15388="","",COUNTIFS(RawData[[Date ]],N15388,RawData[Month List],$Q$6,RawData[Tour/Site],$Q$2,RawData[[Picker ID ]],$Q$3,RawData[Checker ID],$Q$4,RawData[[Error Type ]],$Q$5))</f>
        <v/>
      </c>
    </row>
    <row r="15389" spans="15:15" x14ac:dyDescent="0.25">
      <c r="O15389" s="20" t="str">
        <f>IF(N15389="","",COUNTIFS(RawData[[Date ]],N15389,RawData[Month List],$Q$6,RawData[Tour/Site],$Q$2,RawData[[Picker ID ]],$Q$3,RawData[Checker ID],$Q$4,RawData[[Error Type ]],$Q$5))</f>
        <v/>
      </c>
    </row>
    <row r="15390" spans="15:15" x14ac:dyDescent="0.25">
      <c r="O15390" s="20" t="str">
        <f>IF(N15390="","",COUNTIFS(RawData[[Date ]],N15390,RawData[Month List],$Q$6,RawData[Tour/Site],$Q$2,RawData[[Picker ID ]],$Q$3,RawData[Checker ID],$Q$4,RawData[[Error Type ]],$Q$5))</f>
        <v/>
      </c>
    </row>
    <row r="15391" spans="15:15" x14ac:dyDescent="0.25">
      <c r="O15391" s="20" t="str">
        <f>IF(N15391="","",COUNTIFS(RawData[[Date ]],N15391,RawData[Month List],$Q$6,RawData[Tour/Site],$Q$2,RawData[[Picker ID ]],$Q$3,RawData[Checker ID],$Q$4,RawData[[Error Type ]],$Q$5))</f>
        <v/>
      </c>
    </row>
    <row r="15392" spans="15:15" x14ac:dyDescent="0.25">
      <c r="O15392" s="20" t="str">
        <f>IF(N15392="","",COUNTIFS(RawData[[Date ]],N15392,RawData[Month List],$Q$6,RawData[Tour/Site],$Q$2,RawData[[Picker ID ]],$Q$3,RawData[Checker ID],$Q$4,RawData[[Error Type ]],$Q$5))</f>
        <v/>
      </c>
    </row>
    <row r="15393" spans="15:15" x14ac:dyDescent="0.25">
      <c r="O15393" s="20" t="str">
        <f>IF(N15393="","",COUNTIFS(RawData[[Date ]],N15393,RawData[Month List],$Q$6,RawData[Tour/Site],$Q$2,RawData[[Picker ID ]],$Q$3,RawData[Checker ID],$Q$4,RawData[[Error Type ]],$Q$5))</f>
        <v/>
      </c>
    </row>
    <row r="15394" spans="15:15" x14ac:dyDescent="0.25">
      <c r="O15394" s="20" t="str">
        <f>IF(N15394="","",COUNTIFS(RawData[[Date ]],N15394,RawData[Month List],$Q$6,RawData[Tour/Site],$Q$2,RawData[[Picker ID ]],$Q$3,RawData[Checker ID],$Q$4,RawData[[Error Type ]],$Q$5))</f>
        <v/>
      </c>
    </row>
    <row r="15395" spans="15:15" x14ac:dyDescent="0.25">
      <c r="O15395" s="20" t="str">
        <f>IF(N15395="","",COUNTIFS(RawData[[Date ]],N15395,RawData[Month List],$Q$6,RawData[Tour/Site],$Q$2,RawData[[Picker ID ]],$Q$3,RawData[Checker ID],$Q$4,RawData[[Error Type ]],$Q$5))</f>
        <v/>
      </c>
    </row>
    <row r="15396" spans="15:15" x14ac:dyDescent="0.25">
      <c r="O15396" s="20" t="str">
        <f>IF(N15396="","",COUNTIFS(RawData[[Date ]],N15396,RawData[Month List],$Q$6,RawData[Tour/Site],$Q$2,RawData[[Picker ID ]],$Q$3,RawData[Checker ID],$Q$4,RawData[[Error Type ]],$Q$5))</f>
        <v/>
      </c>
    </row>
    <row r="15397" spans="15:15" x14ac:dyDescent="0.25">
      <c r="O15397" s="20" t="str">
        <f>IF(N15397="","",COUNTIFS(RawData[[Date ]],N15397,RawData[Month List],$Q$6,RawData[Tour/Site],$Q$2,RawData[[Picker ID ]],$Q$3,RawData[Checker ID],$Q$4,RawData[[Error Type ]],$Q$5))</f>
        <v/>
      </c>
    </row>
    <row r="15398" spans="15:15" x14ac:dyDescent="0.25">
      <c r="O15398" s="20" t="str">
        <f>IF(N15398="","",COUNTIFS(RawData[[Date ]],N15398,RawData[Month List],$Q$6,RawData[Tour/Site],$Q$2,RawData[[Picker ID ]],$Q$3,RawData[Checker ID],$Q$4,RawData[[Error Type ]],$Q$5))</f>
        <v/>
      </c>
    </row>
    <row r="15399" spans="15:15" x14ac:dyDescent="0.25">
      <c r="O15399" s="20" t="str">
        <f>IF(N15399="","",COUNTIFS(RawData[[Date ]],N15399,RawData[Month List],$Q$6,RawData[Tour/Site],$Q$2,RawData[[Picker ID ]],$Q$3,RawData[Checker ID],$Q$4,RawData[[Error Type ]],$Q$5))</f>
        <v/>
      </c>
    </row>
    <row r="15400" spans="15:15" x14ac:dyDescent="0.25">
      <c r="O15400" s="20" t="str">
        <f>IF(N15400="","",COUNTIFS(RawData[[Date ]],N15400,RawData[Month List],$Q$6,RawData[Tour/Site],$Q$2,RawData[[Picker ID ]],$Q$3,RawData[Checker ID],$Q$4,RawData[[Error Type ]],$Q$5))</f>
        <v/>
      </c>
    </row>
    <row r="15401" spans="15:15" x14ac:dyDescent="0.25">
      <c r="O15401" s="20" t="str">
        <f>IF(N15401="","",COUNTIFS(RawData[[Date ]],N15401,RawData[Month List],$Q$6,RawData[Tour/Site],$Q$2,RawData[[Picker ID ]],$Q$3,RawData[Checker ID],$Q$4,RawData[[Error Type ]],$Q$5))</f>
        <v/>
      </c>
    </row>
    <row r="15402" spans="15:15" x14ac:dyDescent="0.25">
      <c r="O15402" s="20" t="str">
        <f>IF(N15402="","",COUNTIFS(RawData[[Date ]],N15402,RawData[Month List],$Q$6,RawData[Tour/Site],$Q$2,RawData[[Picker ID ]],$Q$3,RawData[Checker ID],$Q$4,RawData[[Error Type ]],$Q$5))</f>
        <v/>
      </c>
    </row>
    <row r="15403" spans="15:15" x14ac:dyDescent="0.25">
      <c r="O15403" s="20" t="str">
        <f>IF(N15403="","",COUNTIFS(RawData[[Date ]],N15403,RawData[Month List],$Q$6,RawData[Tour/Site],$Q$2,RawData[[Picker ID ]],$Q$3,RawData[Checker ID],$Q$4,RawData[[Error Type ]],$Q$5))</f>
        <v/>
      </c>
    </row>
    <row r="15404" spans="15:15" x14ac:dyDescent="0.25">
      <c r="O15404" s="20" t="str">
        <f>IF(N15404="","",COUNTIFS(RawData[[Date ]],N15404,RawData[Month List],$Q$6,RawData[Tour/Site],$Q$2,RawData[[Picker ID ]],$Q$3,RawData[Checker ID],$Q$4,RawData[[Error Type ]],$Q$5))</f>
        <v/>
      </c>
    </row>
    <row r="15405" spans="15:15" x14ac:dyDescent="0.25">
      <c r="O15405" s="20" t="str">
        <f>IF(N15405="","",COUNTIFS(RawData[[Date ]],N15405,RawData[Month List],$Q$6,RawData[Tour/Site],$Q$2,RawData[[Picker ID ]],$Q$3,RawData[Checker ID],$Q$4,RawData[[Error Type ]],$Q$5))</f>
        <v/>
      </c>
    </row>
    <row r="15406" spans="15:15" x14ac:dyDescent="0.25">
      <c r="O15406" s="20" t="str">
        <f>IF(N15406="","",COUNTIFS(RawData[[Date ]],N15406,RawData[Month List],$Q$6,RawData[Tour/Site],$Q$2,RawData[[Picker ID ]],$Q$3,RawData[Checker ID],$Q$4,RawData[[Error Type ]],$Q$5))</f>
        <v/>
      </c>
    </row>
    <row r="15407" spans="15:15" x14ac:dyDescent="0.25">
      <c r="O15407" s="20" t="str">
        <f>IF(N15407="","",COUNTIFS(RawData[[Date ]],N15407,RawData[Month List],$Q$6,RawData[Tour/Site],$Q$2,RawData[[Picker ID ]],$Q$3,RawData[Checker ID],$Q$4,RawData[[Error Type ]],$Q$5))</f>
        <v/>
      </c>
    </row>
    <row r="15408" spans="15:15" x14ac:dyDescent="0.25">
      <c r="O15408" s="20" t="str">
        <f>IF(N15408="","",COUNTIFS(RawData[[Date ]],N15408,RawData[Month List],$Q$6,RawData[Tour/Site],$Q$2,RawData[[Picker ID ]],$Q$3,RawData[Checker ID],$Q$4,RawData[[Error Type ]],$Q$5))</f>
        <v/>
      </c>
    </row>
    <row r="15409" spans="15:15" x14ac:dyDescent="0.25">
      <c r="O15409" s="20" t="str">
        <f>IF(N15409="","",COUNTIFS(RawData[[Date ]],N15409,RawData[Month List],$Q$6,RawData[Tour/Site],$Q$2,RawData[[Picker ID ]],$Q$3,RawData[Checker ID],$Q$4,RawData[[Error Type ]],$Q$5))</f>
        <v/>
      </c>
    </row>
    <row r="15410" spans="15:15" x14ac:dyDescent="0.25">
      <c r="O15410" s="20" t="str">
        <f>IF(N15410="","",COUNTIFS(RawData[[Date ]],N15410,RawData[Month List],$Q$6,RawData[Tour/Site],$Q$2,RawData[[Picker ID ]],$Q$3,RawData[Checker ID],$Q$4,RawData[[Error Type ]],$Q$5))</f>
        <v/>
      </c>
    </row>
    <row r="15411" spans="15:15" x14ac:dyDescent="0.25">
      <c r="O15411" s="20" t="str">
        <f>IF(N15411="","",COUNTIFS(RawData[[Date ]],N15411,RawData[Month List],$Q$6,RawData[Tour/Site],$Q$2,RawData[[Picker ID ]],$Q$3,RawData[Checker ID],$Q$4,RawData[[Error Type ]],$Q$5))</f>
        <v/>
      </c>
    </row>
    <row r="15412" spans="15:15" x14ac:dyDescent="0.25">
      <c r="O15412" s="20" t="str">
        <f>IF(N15412="","",COUNTIFS(RawData[[Date ]],N15412,RawData[Month List],$Q$6,RawData[Tour/Site],$Q$2,RawData[[Picker ID ]],$Q$3,RawData[Checker ID],$Q$4,RawData[[Error Type ]],$Q$5))</f>
        <v/>
      </c>
    </row>
    <row r="15413" spans="15:15" x14ac:dyDescent="0.25">
      <c r="O15413" s="20" t="str">
        <f>IF(N15413="","",COUNTIFS(RawData[[Date ]],N15413,RawData[Month List],$Q$6,RawData[Tour/Site],$Q$2,RawData[[Picker ID ]],$Q$3,RawData[Checker ID],$Q$4,RawData[[Error Type ]],$Q$5))</f>
        <v/>
      </c>
    </row>
    <row r="15414" spans="15:15" x14ac:dyDescent="0.25">
      <c r="O15414" s="20" t="str">
        <f>IF(N15414="","",COUNTIFS(RawData[[Date ]],N15414,RawData[Month List],$Q$6,RawData[Tour/Site],$Q$2,RawData[[Picker ID ]],$Q$3,RawData[Checker ID],$Q$4,RawData[[Error Type ]],$Q$5))</f>
        <v/>
      </c>
    </row>
    <row r="15415" spans="15:15" x14ac:dyDescent="0.25">
      <c r="O15415" s="20" t="str">
        <f>IF(N15415="","",COUNTIFS(RawData[[Date ]],N15415,RawData[Month List],$Q$6,RawData[Tour/Site],$Q$2,RawData[[Picker ID ]],$Q$3,RawData[Checker ID],$Q$4,RawData[[Error Type ]],$Q$5))</f>
        <v/>
      </c>
    </row>
    <row r="15416" spans="15:15" x14ac:dyDescent="0.25">
      <c r="O15416" s="20" t="str">
        <f>IF(N15416="","",COUNTIFS(RawData[[Date ]],N15416,RawData[Month List],$Q$6,RawData[Tour/Site],$Q$2,RawData[[Picker ID ]],$Q$3,RawData[Checker ID],$Q$4,RawData[[Error Type ]],$Q$5))</f>
        <v/>
      </c>
    </row>
    <row r="15417" spans="15:15" x14ac:dyDescent="0.25">
      <c r="O15417" s="20" t="str">
        <f>IF(N15417="","",COUNTIFS(RawData[[Date ]],N15417,RawData[Month List],$Q$6,RawData[Tour/Site],$Q$2,RawData[[Picker ID ]],$Q$3,RawData[Checker ID],$Q$4,RawData[[Error Type ]],$Q$5))</f>
        <v/>
      </c>
    </row>
    <row r="15418" spans="15:15" x14ac:dyDescent="0.25">
      <c r="O15418" s="20" t="str">
        <f>IF(N15418="","",COUNTIFS(RawData[[Date ]],N15418,RawData[Month List],$Q$6,RawData[Tour/Site],$Q$2,RawData[[Picker ID ]],$Q$3,RawData[Checker ID],$Q$4,RawData[[Error Type ]],$Q$5))</f>
        <v/>
      </c>
    </row>
    <row r="15419" spans="15:15" x14ac:dyDescent="0.25">
      <c r="O15419" s="20" t="str">
        <f>IF(N15419="","",COUNTIFS(RawData[[Date ]],N15419,RawData[Month List],$Q$6,RawData[Tour/Site],$Q$2,RawData[[Picker ID ]],$Q$3,RawData[Checker ID],$Q$4,RawData[[Error Type ]],$Q$5))</f>
        <v/>
      </c>
    </row>
    <row r="15420" spans="15:15" x14ac:dyDescent="0.25">
      <c r="O15420" s="20" t="str">
        <f>IF(N15420="","",COUNTIFS(RawData[[Date ]],N15420,RawData[Month List],$Q$6,RawData[Tour/Site],$Q$2,RawData[[Picker ID ]],$Q$3,RawData[Checker ID],$Q$4,RawData[[Error Type ]],$Q$5))</f>
        <v/>
      </c>
    </row>
    <row r="15421" spans="15:15" x14ac:dyDescent="0.25">
      <c r="O15421" s="20" t="str">
        <f>IF(N15421="","",COUNTIFS(RawData[[Date ]],N15421,RawData[Month List],$Q$6,RawData[Tour/Site],$Q$2,RawData[[Picker ID ]],$Q$3,RawData[Checker ID],$Q$4,RawData[[Error Type ]],$Q$5))</f>
        <v/>
      </c>
    </row>
    <row r="15422" spans="15:15" x14ac:dyDescent="0.25">
      <c r="O15422" s="20" t="str">
        <f>IF(N15422="","",COUNTIFS(RawData[[Date ]],N15422,RawData[Month List],$Q$6,RawData[Tour/Site],$Q$2,RawData[[Picker ID ]],$Q$3,RawData[Checker ID],$Q$4,RawData[[Error Type ]],$Q$5))</f>
        <v/>
      </c>
    </row>
    <row r="15423" spans="15:15" x14ac:dyDescent="0.25">
      <c r="O15423" s="20" t="str">
        <f>IF(N15423="","",COUNTIFS(RawData[[Date ]],N15423,RawData[Month List],$Q$6,RawData[Tour/Site],$Q$2,RawData[[Picker ID ]],$Q$3,RawData[Checker ID],$Q$4,RawData[[Error Type ]],$Q$5))</f>
        <v/>
      </c>
    </row>
    <row r="15424" spans="15:15" x14ac:dyDescent="0.25">
      <c r="O15424" s="20" t="str">
        <f>IF(N15424="","",COUNTIFS(RawData[[Date ]],N15424,RawData[Month List],$Q$6,RawData[Tour/Site],$Q$2,RawData[[Picker ID ]],$Q$3,RawData[Checker ID],$Q$4,RawData[[Error Type ]],$Q$5))</f>
        <v/>
      </c>
    </row>
    <row r="15425" spans="15:15" x14ac:dyDescent="0.25">
      <c r="O15425" s="20" t="str">
        <f>IF(N15425="","",COUNTIFS(RawData[[Date ]],N15425,RawData[Month List],$Q$6,RawData[Tour/Site],$Q$2,RawData[[Picker ID ]],$Q$3,RawData[Checker ID],$Q$4,RawData[[Error Type ]],$Q$5))</f>
        <v/>
      </c>
    </row>
    <row r="15426" spans="15:15" x14ac:dyDescent="0.25">
      <c r="O15426" s="20" t="str">
        <f>IF(N15426="","",COUNTIFS(RawData[[Date ]],N15426,RawData[Month List],$Q$6,RawData[Tour/Site],$Q$2,RawData[[Picker ID ]],$Q$3,RawData[Checker ID],$Q$4,RawData[[Error Type ]],$Q$5))</f>
        <v/>
      </c>
    </row>
    <row r="15427" spans="15:15" x14ac:dyDescent="0.25">
      <c r="O15427" s="20" t="str">
        <f>IF(N15427="","",COUNTIFS(RawData[[Date ]],N15427,RawData[Month List],$Q$6,RawData[Tour/Site],$Q$2,RawData[[Picker ID ]],$Q$3,RawData[Checker ID],$Q$4,RawData[[Error Type ]],$Q$5))</f>
        <v/>
      </c>
    </row>
    <row r="15428" spans="15:15" x14ac:dyDescent="0.25">
      <c r="O15428" s="20" t="str">
        <f>IF(N15428="","",COUNTIFS(RawData[[Date ]],N15428,RawData[Month List],$Q$6,RawData[Tour/Site],$Q$2,RawData[[Picker ID ]],$Q$3,RawData[Checker ID],$Q$4,RawData[[Error Type ]],$Q$5))</f>
        <v/>
      </c>
    </row>
    <row r="15429" spans="15:15" x14ac:dyDescent="0.25">
      <c r="O15429" s="20" t="str">
        <f>IF(N15429="","",COUNTIFS(RawData[[Date ]],N15429,RawData[Month List],$Q$6,RawData[Tour/Site],$Q$2,RawData[[Picker ID ]],$Q$3,RawData[Checker ID],$Q$4,RawData[[Error Type ]],$Q$5))</f>
        <v/>
      </c>
    </row>
    <row r="15430" spans="15:15" x14ac:dyDescent="0.25">
      <c r="O15430" s="20" t="str">
        <f>IF(N15430="","",COUNTIFS(RawData[[Date ]],N15430,RawData[Month List],$Q$6,RawData[Tour/Site],$Q$2,RawData[[Picker ID ]],$Q$3,RawData[Checker ID],$Q$4,RawData[[Error Type ]],$Q$5))</f>
        <v/>
      </c>
    </row>
    <row r="15431" spans="15:15" x14ac:dyDescent="0.25">
      <c r="O15431" s="20" t="str">
        <f>IF(N15431="","",COUNTIFS(RawData[[Date ]],N15431,RawData[Month List],$Q$6,RawData[Tour/Site],$Q$2,RawData[[Picker ID ]],$Q$3,RawData[Checker ID],$Q$4,RawData[[Error Type ]],$Q$5))</f>
        <v/>
      </c>
    </row>
    <row r="15432" spans="15:15" x14ac:dyDescent="0.25">
      <c r="O15432" s="20" t="str">
        <f>IF(N15432="","",COUNTIFS(RawData[[Date ]],N15432,RawData[Month List],$Q$6,RawData[Tour/Site],$Q$2,RawData[[Picker ID ]],$Q$3,RawData[Checker ID],$Q$4,RawData[[Error Type ]],$Q$5))</f>
        <v/>
      </c>
    </row>
    <row r="15433" spans="15:15" x14ac:dyDescent="0.25">
      <c r="O15433" s="20" t="str">
        <f>IF(N15433="","",COUNTIFS(RawData[[Date ]],N15433,RawData[Month List],$Q$6,RawData[Tour/Site],$Q$2,RawData[[Picker ID ]],$Q$3,RawData[Checker ID],$Q$4,RawData[[Error Type ]],$Q$5))</f>
        <v/>
      </c>
    </row>
    <row r="15434" spans="15:15" x14ac:dyDescent="0.25">
      <c r="O15434" s="20" t="str">
        <f>IF(N15434="","",COUNTIFS(RawData[[Date ]],N15434,RawData[Month List],$Q$6,RawData[Tour/Site],$Q$2,RawData[[Picker ID ]],$Q$3,RawData[Checker ID],$Q$4,RawData[[Error Type ]],$Q$5))</f>
        <v/>
      </c>
    </row>
    <row r="15435" spans="15:15" x14ac:dyDescent="0.25">
      <c r="O15435" s="20" t="str">
        <f>IF(N15435="","",COUNTIFS(RawData[[Date ]],N15435,RawData[Month List],$Q$6,RawData[Tour/Site],$Q$2,RawData[[Picker ID ]],$Q$3,RawData[Checker ID],$Q$4,RawData[[Error Type ]],$Q$5))</f>
        <v/>
      </c>
    </row>
    <row r="15436" spans="15:15" x14ac:dyDescent="0.25">
      <c r="O15436" s="20" t="str">
        <f>IF(N15436="","",COUNTIFS(RawData[[Date ]],N15436,RawData[Month List],$Q$6,RawData[Tour/Site],$Q$2,RawData[[Picker ID ]],$Q$3,RawData[Checker ID],$Q$4,RawData[[Error Type ]],$Q$5))</f>
        <v/>
      </c>
    </row>
    <row r="15437" spans="15:15" x14ac:dyDescent="0.25">
      <c r="O15437" s="20" t="str">
        <f>IF(N15437="","",COUNTIFS(RawData[[Date ]],N15437,RawData[Month List],$Q$6,RawData[Tour/Site],$Q$2,RawData[[Picker ID ]],$Q$3,RawData[Checker ID],$Q$4,RawData[[Error Type ]],$Q$5))</f>
        <v/>
      </c>
    </row>
    <row r="15438" spans="15:15" x14ac:dyDescent="0.25">
      <c r="O15438" s="20" t="str">
        <f>IF(N15438="","",COUNTIFS(RawData[[Date ]],N15438,RawData[Month List],$Q$6,RawData[Tour/Site],$Q$2,RawData[[Picker ID ]],$Q$3,RawData[Checker ID],$Q$4,RawData[[Error Type ]],$Q$5))</f>
        <v/>
      </c>
    </row>
    <row r="15439" spans="15:15" x14ac:dyDescent="0.25">
      <c r="O15439" s="20" t="str">
        <f>IF(N15439="","",COUNTIFS(RawData[[Date ]],N15439,RawData[Month List],$Q$6,RawData[Tour/Site],$Q$2,RawData[[Picker ID ]],$Q$3,RawData[Checker ID],$Q$4,RawData[[Error Type ]],$Q$5))</f>
        <v/>
      </c>
    </row>
    <row r="15440" spans="15:15" x14ac:dyDescent="0.25">
      <c r="O15440" s="20" t="str">
        <f>IF(N15440="","",COUNTIFS(RawData[[Date ]],N15440,RawData[Month List],$Q$6,RawData[Tour/Site],$Q$2,RawData[[Picker ID ]],$Q$3,RawData[Checker ID],$Q$4,RawData[[Error Type ]],$Q$5))</f>
        <v/>
      </c>
    </row>
    <row r="15441" spans="15:15" x14ac:dyDescent="0.25">
      <c r="O15441" s="20" t="str">
        <f>IF(N15441="","",COUNTIFS(RawData[[Date ]],N15441,RawData[Month List],$Q$6,RawData[Tour/Site],$Q$2,RawData[[Picker ID ]],$Q$3,RawData[Checker ID],$Q$4,RawData[[Error Type ]],$Q$5))</f>
        <v/>
      </c>
    </row>
    <row r="15442" spans="15:15" x14ac:dyDescent="0.25">
      <c r="O15442" s="20" t="str">
        <f>IF(N15442="","",COUNTIFS(RawData[[Date ]],N15442,RawData[Month List],$Q$6,RawData[Tour/Site],$Q$2,RawData[[Picker ID ]],$Q$3,RawData[Checker ID],$Q$4,RawData[[Error Type ]],$Q$5))</f>
        <v/>
      </c>
    </row>
    <row r="15443" spans="15:15" x14ac:dyDescent="0.25">
      <c r="O15443" s="20" t="str">
        <f>IF(N15443="","",COUNTIFS(RawData[[Date ]],N15443,RawData[Month List],$Q$6,RawData[Tour/Site],$Q$2,RawData[[Picker ID ]],$Q$3,RawData[Checker ID],$Q$4,RawData[[Error Type ]],$Q$5))</f>
        <v/>
      </c>
    </row>
    <row r="15444" spans="15:15" x14ac:dyDescent="0.25">
      <c r="O15444" s="20" t="str">
        <f>IF(N15444="","",COUNTIFS(RawData[[Date ]],N15444,RawData[Month List],$Q$6,RawData[Tour/Site],$Q$2,RawData[[Picker ID ]],$Q$3,RawData[Checker ID],$Q$4,RawData[[Error Type ]],$Q$5))</f>
        <v/>
      </c>
    </row>
    <row r="15445" spans="15:15" x14ac:dyDescent="0.25">
      <c r="O15445" s="20" t="str">
        <f>IF(N15445="","",COUNTIFS(RawData[[Date ]],N15445,RawData[Month List],$Q$6,RawData[Tour/Site],$Q$2,RawData[[Picker ID ]],$Q$3,RawData[Checker ID],$Q$4,RawData[[Error Type ]],$Q$5))</f>
        <v/>
      </c>
    </row>
    <row r="15446" spans="15:15" x14ac:dyDescent="0.25">
      <c r="O15446" s="20" t="str">
        <f>IF(N15446="","",COUNTIFS(RawData[[Date ]],N15446,RawData[Month List],$Q$6,RawData[Tour/Site],$Q$2,RawData[[Picker ID ]],$Q$3,RawData[Checker ID],$Q$4,RawData[[Error Type ]],$Q$5))</f>
        <v/>
      </c>
    </row>
    <row r="15447" spans="15:15" x14ac:dyDescent="0.25">
      <c r="O15447" s="20" t="str">
        <f>IF(N15447="","",COUNTIFS(RawData[[Date ]],N15447,RawData[Month List],$Q$6,RawData[Tour/Site],$Q$2,RawData[[Picker ID ]],$Q$3,RawData[Checker ID],$Q$4,RawData[[Error Type ]],$Q$5))</f>
        <v/>
      </c>
    </row>
    <row r="15448" spans="15:15" x14ac:dyDescent="0.25">
      <c r="O15448" s="20" t="str">
        <f>IF(N15448="","",COUNTIFS(RawData[[Date ]],N15448,RawData[Month List],$Q$6,RawData[Tour/Site],$Q$2,RawData[[Picker ID ]],$Q$3,RawData[Checker ID],$Q$4,RawData[[Error Type ]],$Q$5))</f>
        <v/>
      </c>
    </row>
    <row r="15449" spans="15:15" x14ac:dyDescent="0.25">
      <c r="O15449" s="20" t="str">
        <f>IF(N15449="","",COUNTIFS(RawData[[Date ]],N15449,RawData[Month List],$Q$6,RawData[Tour/Site],$Q$2,RawData[[Picker ID ]],$Q$3,RawData[Checker ID],$Q$4,RawData[[Error Type ]],$Q$5))</f>
        <v/>
      </c>
    </row>
    <row r="15450" spans="15:15" x14ac:dyDescent="0.25">
      <c r="O15450" s="20" t="str">
        <f>IF(N15450="","",COUNTIFS(RawData[[Date ]],N15450,RawData[Month List],$Q$6,RawData[Tour/Site],$Q$2,RawData[[Picker ID ]],$Q$3,RawData[Checker ID],$Q$4,RawData[[Error Type ]],$Q$5))</f>
        <v/>
      </c>
    </row>
    <row r="15451" spans="15:15" x14ac:dyDescent="0.25">
      <c r="O15451" s="20" t="str">
        <f>IF(N15451="","",COUNTIFS(RawData[[Date ]],N15451,RawData[Month List],$Q$6,RawData[Tour/Site],$Q$2,RawData[[Picker ID ]],$Q$3,RawData[Checker ID],$Q$4,RawData[[Error Type ]],$Q$5))</f>
        <v/>
      </c>
    </row>
    <row r="15452" spans="15:15" x14ac:dyDescent="0.25">
      <c r="O15452" s="20" t="str">
        <f>IF(N15452="","",COUNTIFS(RawData[[Date ]],N15452,RawData[Month List],$Q$6,RawData[Tour/Site],$Q$2,RawData[[Picker ID ]],$Q$3,RawData[Checker ID],$Q$4,RawData[[Error Type ]],$Q$5))</f>
        <v/>
      </c>
    </row>
    <row r="15453" spans="15:15" x14ac:dyDescent="0.25">
      <c r="O15453" s="20" t="str">
        <f>IF(N15453="","",COUNTIFS(RawData[[Date ]],N15453,RawData[Month List],$Q$6,RawData[Tour/Site],$Q$2,RawData[[Picker ID ]],$Q$3,RawData[Checker ID],$Q$4,RawData[[Error Type ]],$Q$5))</f>
        <v/>
      </c>
    </row>
    <row r="15454" spans="15:15" x14ac:dyDescent="0.25">
      <c r="O15454" s="20" t="str">
        <f>IF(N15454="","",COUNTIFS(RawData[[Date ]],N15454,RawData[Month List],$Q$6,RawData[Tour/Site],$Q$2,RawData[[Picker ID ]],$Q$3,RawData[Checker ID],$Q$4,RawData[[Error Type ]],$Q$5))</f>
        <v/>
      </c>
    </row>
    <row r="15455" spans="15:15" x14ac:dyDescent="0.25">
      <c r="O15455" s="20" t="str">
        <f>IF(N15455="","",COUNTIFS(RawData[[Date ]],N15455,RawData[Month List],$Q$6,RawData[Tour/Site],$Q$2,RawData[[Picker ID ]],$Q$3,RawData[Checker ID],$Q$4,RawData[[Error Type ]],$Q$5))</f>
        <v/>
      </c>
    </row>
    <row r="15456" spans="15:15" x14ac:dyDescent="0.25">
      <c r="O15456" s="20" t="str">
        <f>IF(N15456="","",COUNTIFS(RawData[[Date ]],N15456,RawData[Month List],$Q$6,RawData[Tour/Site],$Q$2,RawData[[Picker ID ]],$Q$3,RawData[Checker ID],$Q$4,RawData[[Error Type ]],$Q$5))</f>
        <v/>
      </c>
    </row>
    <row r="15457" spans="15:15" x14ac:dyDescent="0.25">
      <c r="O15457" s="20" t="str">
        <f>IF(N15457="","",COUNTIFS(RawData[[Date ]],N15457,RawData[Month List],$Q$6,RawData[Tour/Site],$Q$2,RawData[[Picker ID ]],$Q$3,RawData[Checker ID],$Q$4,RawData[[Error Type ]],$Q$5))</f>
        <v/>
      </c>
    </row>
    <row r="15458" spans="15:15" x14ac:dyDescent="0.25">
      <c r="O15458" s="20" t="str">
        <f>IF(N15458="","",COUNTIFS(RawData[[Date ]],N15458,RawData[Month List],$Q$6,RawData[Tour/Site],$Q$2,RawData[[Picker ID ]],$Q$3,RawData[Checker ID],$Q$4,RawData[[Error Type ]],$Q$5))</f>
        <v/>
      </c>
    </row>
    <row r="15459" spans="15:15" x14ac:dyDescent="0.25">
      <c r="O15459" s="20" t="str">
        <f>IF(N15459="","",COUNTIFS(RawData[[Date ]],N15459,RawData[Month List],$Q$6,RawData[Tour/Site],$Q$2,RawData[[Picker ID ]],$Q$3,RawData[Checker ID],$Q$4,RawData[[Error Type ]],$Q$5))</f>
        <v/>
      </c>
    </row>
    <row r="15460" spans="15:15" x14ac:dyDescent="0.25">
      <c r="O15460" s="20" t="str">
        <f>IF(N15460="","",COUNTIFS(RawData[[Date ]],N15460,RawData[Month List],$Q$6,RawData[Tour/Site],$Q$2,RawData[[Picker ID ]],$Q$3,RawData[Checker ID],$Q$4,RawData[[Error Type ]],$Q$5))</f>
        <v/>
      </c>
    </row>
    <row r="15461" spans="15:15" x14ac:dyDescent="0.25">
      <c r="O15461" s="20" t="str">
        <f>IF(N15461="","",COUNTIFS(RawData[[Date ]],N15461,RawData[Month List],$Q$6,RawData[Tour/Site],$Q$2,RawData[[Picker ID ]],$Q$3,RawData[Checker ID],$Q$4,RawData[[Error Type ]],$Q$5))</f>
        <v/>
      </c>
    </row>
    <row r="15462" spans="15:15" x14ac:dyDescent="0.25">
      <c r="O15462" s="20" t="str">
        <f>IF(N15462="","",COUNTIFS(RawData[[Date ]],N15462,RawData[Month List],$Q$6,RawData[Tour/Site],$Q$2,RawData[[Picker ID ]],$Q$3,RawData[Checker ID],$Q$4,RawData[[Error Type ]],$Q$5))</f>
        <v/>
      </c>
    </row>
    <row r="15463" spans="15:15" x14ac:dyDescent="0.25">
      <c r="O15463" s="20" t="str">
        <f>IF(N15463="","",COUNTIFS(RawData[[Date ]],N15463,RawData[Month List],$Q$6,RawData[Tour/Site],$Q$2,RawData[[Picker ID ]],$Q$3,RawData[Checker ID],$Q$4,RawData[[Error Type ]],$Q$5))</f>
        <v/>
      </c>
    </row>
    <row r="15464" spans="15:15" x14ac:dyDescent="0.25">
      <c r="O15464" s="20" t="str">
        <f>IF(N15464="","",COUNTIFS(RawData[[Date ]],N15464,RawData[Month List],$Q$6,RawData[Tour/Site],$Q$2,RawData[[Picker ID ]],$Q$3,RawData[Checker ID],$Q$4,RawData[[Error Type ]],$Q$5))</f>
        <v/>
      </c>
    </row>
    <row r="15465" spans="15:15" x14ac:dyDescent="0.25">
      <c r="O15465" s="20" t="str">
        <f>IF(N15465="","",COUNTIFS(RawData[[Date ]],N15465,RawData[Month List],$Q$6,RawData[Tour/Site],$Q$2,RawData[[Picker ID ]],$Q$3,RawData[Checker ID],$Q$4,RawData[[Error Type ]],$Q$5))</f>
        <v/>
      </c>
    </row>
    <row r="15466" spans="15:15" x14ac:dyDescent="0.25">
      <c r="O15466" s="20" t="str">
        <f>IF(N15466="","",COUNTIFS(RawData[[Date ]],N15466,RawData[Month List],$Q$6,RawData[Tour/Site],$Q$2,RawData[[Picker ID ]],$Q$3,RawData[Checker ID],$Q$4,RawData[[Error Type ]],$Q$5))</f>
        <v/>
      </c>
    </row>
    <row r="15467" spans="15:15" x14ac:dyDescent="0.25">
      <c r="O15467" s="20" t="str">
        <f>IF(N15467="","",COUNTIFS(RawData[[Date ]],N15467,RawData[Month List],$Q$6,RawData[Tour/Site],$Q$2,RawData[[Picker ID ]],$Q$3,RawData[Checker ID],$Q$4,RawData[[Error Type ]],$Q$5))</f>
        <v/>
      </c>
    </row>
    <row r="15468" spans="15:15" x14ac:dyDescent="0.25">
      <c r="O15468" s="20" t="str">
        <f>IF(N15468="","",COUNTIFS(RawData[[Date ]],N15468,RawData[Month List],$Q$6,RawData[Tour/Site],$Q$2,RawData[[Picker ID ]],$Q$3,RawData[Checker ID],$Q$4,RawData[[Error Type ]],$Q$5))</f>
        <v/>
      </c>
    </row>
    <row r="15469" spans="15:15" x14ac:dyDescent="0.25">
      <c r="O15469" s="20" t="str">
        <f>IF(N15469="","",COUNTIFS(RawData[[Date ]],N15469,RawData[Month List],$Q$6,RawData[Tour/Site],$Q$2,RawData[[Picker ID ]],$Q$3,RawData[Checker ID],$Q$4,RawData[[Error Type ]],$Q$5))</f>
        <v/>
      </c>
    </row>
    <row r="15470" spans="15:15" x14ac:dyDescent="0.25">
      <c r="O15470" s="20" t="str">
        <f>IF(N15470="","",COUNTIFS(RawData[[Date ]],N15470,RawData[Month List],$Q$6,RawData[Tour/Site],$Q$2,RawData[[Picker ID ]],$Q$3,RawData[Checker ID],$Q$4,RawData[[Error Type ]],$Q$5))</f>
        <v/>
      </c>
    </row>
    <row r="15471" spans="15:15" x14ac:dyDescent="0.25">
      <c r="O15471" s="20" t="str">
        <f>IF(N15471="","",COUNTIFS(RawData[[Date ]],N15471,RawData[Month List],$Q$6,RawData[Tour/Site],$Q$2,RawData[[Picker ID ]],$Q$3,RawData[Checker ID],$Q$4,RawData[[Error Type ]],$Q$5))</f>
        <v/>
      </c>
    </row>
    <row r="15472" spans="15:15" x14ac:dyDescent="0.25">
      <c r="O15472" s="20" t="str">
        <f>IF(N15472="","",COUNTIFS(RawData[[Date ]],N15472,RawData[Month List],$Q$6,RawData[Tour/Site],$Q$2,RawData[[Picker ID ]],$Q$3,RawData[Checker ID],$Q$4,RawData[[Error Type ]],$Q$5))</f>
        <v/>
      </c>
    </row>
    <row r="15473" spans="15:15" x14ac:dyDescent="0.25">
      <c r="O15473" s="20" t="str">
        <f>IF(N15473="","",COUNTIFS(RawData[[Date ]],N15473,RawData[Month List],$Q$6,RawData[Tour/Site],$Q$2,RawData[[Picker ID ]],$Q$3,RawData[Checker ID],$Q$4,RawData[[Error Type ]],$Q$5))</f>
        <v/>
      </c>
    </row>
    <row r="15474" spans="15:15" x14ac:dyDescent="0.25">
      <c r="O15474" s="20" t="str">
        <f>IF(N15474="","",COUNTIFS(RawData[[Date ]],N15474,RawData[Month List],$Q$6,RawData[Tour/Site],$Q$2,RawData[[Picker ID ]],$Q$3,RawData[Checker ID],$Q$4,RawData[[Error Type ]],$Q$5))</f>
        <v/>
      </c>
    </row>
    <row r="15475" spans="15:15" x14ac:dyDescent="0.25">
      <c r="O15475" s="20" t="str">
        <f>IF(N15475="","",COUNTIFS(RawData[[Date ]],N15475,RawData[Month List],$Q$6,RawData[Tour/Site],$Q$2,RawData[[Picker ID ]],$Q$3,RawData[Checker ID],$Q$4,RawData[[Error Type ]],$Q$5))</f>
        <v/>
      </c>
    </row>
    <row r="15476" spans="15:15" x14ac:dyDescent="0.25">
      <c r="O15476" s="20" t="str">
        <f>IF(N15476="","",COUNTIFS(RawData[[Date ]],N15476,RawData[Month List],$Q$6,RawData[Tour/Site],$Q$2,RawData[[Picker ID ]],$Q$3,RawData[Checker ID],$Q$4,RawData[[Error Type ]],$Q$5))</f>
        <v/>
      </c>
    </row>
    <row r="15477" spans="15:15" x14ac:dyDescent="0.25">
      <c r="O15477" s="20" t="str">
        <f>IF(N15477="","",COUNTIFS(RawData[[Date ]],N15477,RawData[Month List],$Q$6,RawData[Tour/Site],$Q$2,RawData[[Picker ID ]],$Q$3,RawData[Checker ID],$Q$4,RawData[[Error Type ]],$Q$5))</f>
        <v/>
      </c>
    </row>
    <row r="15478" spans="15:15" x14ac:dyDescent="0.25">
      <c r="O15478" s="20" t="str">
        <f>IF(N15478="","",COUNTIFS(RawData[[Date ]],N15478,RawData[Month List],$Q$6,RawData[Tour/Site],$Q$2,RawData[[Picker ID ]],$Q$3,RawData[Checker ID],$Q$4,RawData[[Error Type ]],$Q$5))</f>
        <v/>
      </c>
    </row>
    <row r="15479" spans="15:15" x14ac:dyDescent="0.25">
      <c r="O15479" s="20" t="str">
        <f>IF(N15479="","",COUNTIFS(RawData[[Date ]],N15479,RawData[Month List],$Q$6,RawData[Tour/Site],$Q$2,RawData[[Picker ID ]],$Q$3,RawData[Checker ID],$Q$4,RawData[[Error Type ]],$Q$5))</f>
        <v/>
      </c>
    </row>
    <row r="15480" spans="15:15" x14ac:dyDescent="0.25">
      <c r="O15480" s="20" t="str">
        <f>IF(N15480="","",COUNTIFS(RawData[[Date ]],N15480,RawData[Month List],$Q$6,RawData[Tour/Site],$Q$2,RawData[[Picker ID ]],$Q$3,RawData[Checker ID],$Q$4,RawData[[Error Type ]],$Q$5))</f>
        <v/>
      </c>
    </row>
    <row r="15481" spans="15:15" x14ac:dyDescent="0.25">
      <c r="O15481" s="20" t="str">
        <f>IF(N15481="","",COUNTIFS(RawData[[Date ]],N15481,RawData[Month List],$Q$6,RawData[Tour/Site],$Q$2,RawData[[Picker ID ]],$Q$3,RawData[Checker ID],$Q$4,RawData[[Error Type ]],$Q$5))</f>
        <v/>
      </c>
    </row>
    <row r="15482" spans="15:15" x14ac:dyDescent="0.25">
      <c r="O15482" s="20" t="str">
        <f>IF(N15482="","",COUNTIFS(RawData[[Date ]],N15482,RawData[Month List],$Q$6,RawData[Tour/Site],$Q$2,RawData[[Picker ID ]],$Q$3,RawData[Checker ID],$Q$4,RawData[[Error Type ]],$Q$5))</f>
        <v/>
      </c>
    </row>
    <row r="15483" spans="15:15" x14ac:dyDescent="0.25">
      <c r="O15483" s="20" t="str">
        <f>IF(N15483="","",COUNTIFS(RawData[[Date ]],N15483,RawData[Month List],$Q$6,RawData[Tour/Site],$Q$2,RawData[[Picker ID ]],$Q$3,RawData[Checker ID],$Q$4,RawData[[Error Type ]],$Q$5))</f>
        <v/>
      </c>
    </row>
    <row r="15484" spans="15:15" x14ac:dyDescent="0.25">
      <c r="O15484" s="20" t="str">
        <f>IF(N15484="","",COUNTIFS(RawData[[Date ]],N15484,RawData[Month List],$Q$6,RawData[Tour/Site],$Q$2,RawData[[Picker ID ]],$Q$3,RawData[Checker ID],$Q$4,RawData[[Error Type ]],$Q$5))</f>
        <v/>
      </c>
    </row>
    <row r="15485" spans="15:15" x14ac:dyDescent="0.25">
      <c r="O15485" s="20" t="str">
        <f>IF(N15485="","",COUNTIFS(RawData[[Date ]],N15485,RawData[Month List],$Q$6,RawData[Tour/Site],$Q$2,RawData[[Picker ID ]],$Q$3,RawData[Checker ID],$Q$4,RawData[[Error Type ]],$Q$5))</f>
        <v/>
      </c>
    </row>
    <row r="15486" spans="15:15" x14ac:dyDescent="0.25">
      <c r="O15486" s="20" t="str">
        <f>IF(N15486="","",COUNTIFS(RawData[[Date ]],N15486,RawData[Month List],$Q$6,RawData[Tour/Site],$Q$2,RawData[[Picker ID ]],$Q$3,RawData[Checker ID],$Q$4,RawData[[Error Type ]],$Q$5))</f>
        <v/>
      </c>
    </row>
    <row r="15487" spans="15:15" x14ac:dyDescent="0.25">
      <c r="O15487" s="20" t="str">
        <f>IF(N15487="","",COUNTIFS(RawData[[Date ]],N15487,RawData[Month List],$Q$6,RawData[Tour/Site],$Q$2,RawData[[Picker ID ]],$Q$3,RawData[Checker ID],$Q$4,RawData[[Error Type ]],$Q$5))</f>
        <v/>
      </c>
    </row>
    <row r="15488" spans="15:15" x14ac:dyDescent="0.25">
      <c r="O15488" s="20" t="str">
        <f>IF(N15488="","",COUNTIFS(RawData[[Date ]],N15488,RawData[Month List],$Q$6,RawData[Tour/Site],$Q$2,RawData[[Picker ID ]],$Q$3,RawData[Checker ID],$Q$4,RawData[[Error Type ]],$Q$5))</f>
        <v/>
      </c>
    </row>
    <row r="15489" spans="15:15" x14ac:dyDescent="0.25">
      <c r="O15489" s="20" t="str">
        <f>IF(N15489="","",COUNTIFS(RawData[[Date ]],N15489,RawData[Month List],$Q$6,RawData[Tour/Site],$Q$2,RawData[[Picker ID ]],$Q$3,RawData[Checker ID],$Q$4,RawData[[Error Type ]],$Q$5))</f>
        <v/>
      </c>
    </row>
    <row r="15490" spans="15:15" x14ac:dyDescent="0.25">
      <c r="O15490" s="20" t="str">
        <f>IF(N15490="","",COUNTIFS(RawData[[Date ]],N15490,RawData[Month List],$Q$6,RawData[Tour/Site],$Q$2,RawData[[Picker ID ]],$Q$3,RawData[Checker ID],$Q$4,RawData[[Error Type ]],$Q$5))</f>
        <v/>
      </c>
    </row>
    <row r="15491" spans="15:15" x14ac:dyDescent="0.25">
      <c r="O15491" s="20" t="str">
        <f>IF(N15491="","",COUNTIFS(RawData[[Date ]],N15491,RawData[Month List],$Q$6,RawData[Tour/Site],$Q$2,RawData[[Picker ID ]],$Q$3,RawData[Checker ID],$Q$4,RawData[[Error Type ]],$Q$5))</f>
        <v/>
      </c>
    </row>
    <row r="15492" spans="15:15" x14ac:dyDescent="0.25">
      <c r="O15492" s="20" t="str">
        <f>IF(N15492="","",COUNTIFS(RawData[[Date ]],N15492,RawData[Month List],$Q$6,RawData[Tour/Site],$Q$2,RawData[[Picker ID ]],$Q$3,RawData[Checker ID],$Q$4,RawData[[Error Type ]],$Q$5))</f>
        <v/>
      </c>
    </row>
    <row r="15493" spans="15:15" x14ac:dyDescent="0.25">
      <c r="O15493" s="20" t="str">
        <f>IF(N15493="","",COUNTIFS(RawData[[Date ]],N15493,RawData[Month List],$Q$6,RawData[Tour/Site],$Q$2,RawData[[Picker ID ]],$Q$3,RawData[Checker ID],$Q$4,RawData[[Error Type ]],$Q$5))</f>
        <v/>
      </c>
    </row>
    <row r="15494" spans="15:15" x14ac:dyDescent="0.25">
      <c r="O15494" s="20" t="str">
        <f>IF(N15494="","",COUNTIFS(RawData[[Date ]],N15494,RawData[Month List],$Q$6,RawData[Tour/Site],$Q$2,RawData[[Picker ID ]],$Q$3,RawData[Checker ID],$Q$4,RawData[[Error Type ]],$Q$5))</f>
        <v/>
      </c>
    </row>
    <row r="15495" spans="15:15" x14ac:dyDescent="0.25">
      <c r="O15495" s="20" t="str">
        <f>IF(N15495="","",COUNTIFS(RawData[[Date ]],N15495,RawData[Month List],$Q$6,RawData[Tour/Site],$Q$2,RawData[[Picker ID ]],$Q$3,RawData[Checker ID],$Q$4,RawData[[Error Type ]],$Q$5))</f>
        <v/>
      </c>
    </row>
    <row r="15496" spans="15:15" x14ac:dyDescent="0.25">
      <c r="O15496" s="20" t="str">
        <f>IF(N15496="","",COUNTIFS(RawData[[Date ]],N15496,RawData[Month List],$Q$6,RawData[Tour/Site],$Q$2,RawData[[Picker ID ]],$Q$3,RawData[Checker ID],$Q$4,RawData[[Error Type ]],$Q$5))</f>
        <v/>
      </c>
    </row>
    <row r="15497" spans="15:15" x14ac:dyDescent="0.25">
      <c r="O15497" s="20" t="str">
        <f>IF(N15497="","",COUNTIFS(RawData[[Date ]],N15497,RawData[Month List],$Q$6,RawData[Tour/Site],$Q$2,RawData[[Picker ID ]],$Q$3,RawData[Checker ID],$Q$4,RawData[[Error Type ]],$Q$5))</f>
        <v/>
      </c>
    </row>
    <row r="15498" spans="15:15" x14ac:dyDescent="0.25">
      <c r="O15498" s="20" t="str">
        <f>IF(N15498="","",COUNTIFS(RawData[[Date ]],N15498,RawData[Month List],$Q$6,RawData[Tour/Site],$Q$2,RawData[[Picker ID ]],$Q$3,RawData[Checker ID],$Q$4,RawData[[Error Type ]],$Q$5))</f>
        <v/>
      </c>
    </row>
    <row r="15499" spans="15:15" x14ac:dyDescent="0.25">
      <c r="O15499" s="20" t="str">
        <f>IF(N15499="","",COUNTIFS(RawData[[Date ]],N15499,RawData[Month List],$Q$6,RawData[Tour/Site],$Q$2,RawData[[Picker ID ]],$Q$3,RawData[Checker ID],$Q$4,RawData[[Error Type ]],$Q$5))</f>
        <v/>
      </c>
    </row>
    <row r="15500" spans="15:15" x14ac:dyDescent="0.25">
      <c r="O15500" s="20" t="str">
        <f>IF(N15500="","",COUNTIFS(RawData[[Date ]],N15500,RawData[Month List],$Q$6,RawData[Tour/Site],$Q$2,RawData[[Picker ID ]],$Q$3,RawData[Checker ID],$Q$4,RawData[[Error Type ]],$Q$5))</f>
        <v/>
      </c>
    </row>
    <row r="15501" spans="15:15" x14ac:dyDescent="0.25">
      <c r="O15501" s="20" t="str">
        <f>IF(N15501="","",COUNTIFS(RawData[[Date ]],N15501,RawData[Month List],$Q$6,RawData[Tour/Site],$Q$2,RawData[[Picker ID ]],$Q$3,RawData[Checker ID],$Q$4,RawData[[Error Type ]],$Q$5))</f>
        <v/>
      </c>
    </row>
    <row r="15502" spans="15:15" x14ac:dyDescent="0.25">
      <c r="O15502" s="20" t="str">
        <f>IF(N15502="","",COUNTIFS(RawData[[Date ]],N15502,RawData[Month List],$Q$6,RawData[Tour/Site],$Q$2,RawData[[Picker ID ]],$Q$3,RawData[Checker ID],$Q$4,RawData[[Error Type ]],$Q$5))</f>
        <v/>
      </c>
    </row>
    <row r="15503" spans="15:15" x14ac:dyDescent="0.25">
      <c r="O15503" s="20" t="str">
        <f>IF(N15503="","",COUNTIFS(RawData[[Date ]],N15503,RawData[Month List],$Q$6,RawData[Tour/Site],$Q$2,RawData[[Picker ID ]],$Q$3,RawData[Checker ID],$Q$4,RawData[[Error Type ]],$Q$5))</f>
        <v/>
      </c>
    </row>
    <row r="15504" spans="15:15" x14ac:dyDescent="0.25">
      <c r="O15504" s="20" t="str">
        <f>IF(N15504="","",COUNTIFS(RawData[[Date ]],N15504,RawData[Month List],$Q$6,RawData[Tour/Site],$Q$2,RawData[[Picker ID ]],$Q$3,RawData[Checker ID],$Q$4,RawData[[Error Type ]],$Q$5))</f>
        <v/>
      </c>
    </row>
    <row r="15505" spans="15:15" x14ac:dyDescent="0.25">
      <c r="O15505" s="20" t="str">
        <f>IF(N15505="","",COUNTIFS(RawData[[Date ]],N15505,RawData[Month List],$Q$6,RawData[Tour/Site],$Q$2,RawData[[Picker ID ]],$Q$3,RawData[Checker ID],$Q$4,RawData[[Error Type ]],$Q$5))</f>
        <v/>
      </c>
    </row>
    <row r="15506" spans="15:15" x14ac:dyDescent="0.25">
      <c r="O15506" s="20" t="str">
        <f>IF(N15506="","",COUNTIFS(RawData[[Date ]],N15506,RawData[Month List],$Q$6,RawData[Tour/Site],$Q$2,RawData[[Picker ID ]],$Q$3,RawData[Checker ID],$Q$4,RawData[[Error Type ]],$Q$5))</f>
        <v/>
      </c>
    </row>
    <row r="15507" spans="15:15" x14ac:dyDescent="0.25">
      <c r="O15507" s="20" t="str">
        <f>IF(N15507="","",COUNTIFS(RawData[[Date ]],N15507,RawData[Month List],$Q$6,RawData[Tour/Site],$Q$2,RawData[[Picker ID ]],$Q$3,RawData[Checker ID],$Q$4,RawData[[Error Type ]],$Q$5))</f>
        <v/>
      </c>
    </row>
    <row r="15508" spans="15:15" x14ac:dyDescent="0.25">
      <c r="O15508" s="20" t="str">
        <f>IF(N15508="","",COUNTIFS(RawData[[Date ]],N15508,RawData[Month List],$Q$6,RawData[Tour/Site],$Q$2,RawData[[Picker ID ]],$Q$3,RawData[Checker ID],$Q$4,RawData[[Error Type ]],$Q$5))</f>
        <v/>
      </c>
    </row>
    <row r="15509" spans="15:15" x14ac:dyDescent="0.25">
      <c r="O15509" s="20" t="str">
        <f>IF(N15509="","",COUNTIFS(RawData[[Date ]],N15509,RawData[Month List],$Q$6,RawData[Tour/Site],$Q$2,RawData[[Picker ID ]],$Q$3,RawData[Checker ID],$Q$4,RawData[[Error Type ]],$Q$5))</f>
        <v/>
      </c>
    </row>
    <row r="15510" spans="15:15" x14ac:dyDescent="0.25">
      <c r="O15510" s="20" t="str">
        <f>IF(N15510="","",COUNTIFS(RawData[[Date ]],N15510,RawData[Month List],$Q$6,RawData[Tour/Site],$Q$2,RawData[[Picker ID ]],$Q$3,RawData[Checker ID],$Q$4,RawData[[Error Type ]],$Q$5))</f>
        <v/>
      </c>
    </row>
    <row r="15511" spans="15:15" x14ac:dyDescent="0.25">
      <c r="O15511" s="20" t="str">
        <f>IF(N15511="","",COUNTIFS(RawData[[Date ]],N15511,RawData[Month List],$Q$6,RawData[Tour/Site],$Q$2,RawData[[Picker ID ]],$Q$3,RawData[Checker ID],$Q$4,RawData[[Error Type ]],$Q$5))</f>
        <v/>
      </c>
    </row>
    <row r="15512" spans="15:15" x14ac:dyDescent="0.25">
      <c r="O15512" s="20" t="str">
        <f>IF(N15512="","",COUNTIFS(RawData[[Date ]],N15512,RawData[Month List],$Q$6,RawData[Tour/Site],$Q$2,RawData[[Picker ID ]],$Q$3,RawData[Checker ID],$Q$4,RawData[[Error Type ]],$Q$5))</f>
        <v/>
      </c>
    </row>
    <row r="15513" spans="15:15" x14ac:dyDescent="0.25">
      <c r="O15513" s="20" t="str">
        <f>IF(N15513="","",COUNTIFS(RawData[[Date ]],N15513,RawData[Month List],$Q$6,RawData[Tour/Site],$Q$2,RawData[[Picker ID ]],$Q$3,RawData[Checker ID],$Q$4,RawData[[Error Type ]],$Q$5))</f>
        <v/>
      </c>
    </row>
    <row r="15514" spans="15:15" x14ac:dyDescent="0.25">
      <c r="O15514" s="20" t="str">
        <f>IF(N15514="","",COUNTIFS(RawData[[Date ]],N15514,RawData[Month List],$Q$6,RawData[Tour/Site],$Q$2,RawData[[Picker ID ]],$Q$3,RawData[Checker ID],$Q$4,RawData[[Error Type ]],$Q$5))</f>
        <v/>
      </c>
    </row>
    <row r="15515" spans="15:15" x14ac:dyDescent="0.25">
      <c r="O15515" s="20" t="str">
        <f>IF(N15515="","",COUNTIFS(RawData[[Date ]],N15515,RawData[Month List],$Q$6,RawData[Tour/Site],$Q$2,RawData[[Picker ID ]],$Q$3,RawData[Checker ID],$Q$4,RawData[[Error Type ]],$Q$5))</f>
        <v/>
      </c>
    </row>
    <row r="15516" spans="15:15" x14ac:dyDescent="0.25">
      <c r="O15516" s="20" t="str">
        <f>IF(N15516="","",COUNTIFS(RawData[[Date ]],N15516,RawData[Month List],$Q$6,RawData[Tour/Site],$Q$2,RawData[[Picker ID ]],$Q$3,RawData[Checker ID],$Q$4,RawData[[Error Type ]],$Q$5))</f>
        <v/>
      </c>
    </row>
    <row r="15517" spans="15:15" x14ac:dyDescent="0.25">
      <c r="O15517" s="20" t="str">
        <f>IF(N15517="","",COUNTIFS(RawData[[Date ]],N15517,RawData[Month List],$Q$6,RawData[Tour/Site],$Q$2,RawData[[Picker ID ]],$Q$3,RawData[Checker ID],$Q$4,RawData[[Error Type ]],$Q$5))</f>
        <v/>
      </c>
    </row>
    <row r="15518" spans="15:15" x14ac:dyDescent="0.25">
      <c r="O15518" s="20" t="str">
        <f>IF(N15518="","",COUNTIFS(RawData[[Date ]],N15518,RawData[Month List],$Q$6,RawData[Tour/Site],$Q$2,RawData[[Picker ID ]],$Q$3,RawData[Checker ID],$Q$4,RawData[[Error Type ]],$Q$5))</f>
        <v/>
      </c>
    </row>
    <row r="15519" spans="15:15" x14ac:dyDescent="0.25">
      <c r="O15519" s="20" t="str">
        <f>IF(N15519="","",COUNTIFS(RawData[[Date ]],N15519,RawData[Month List],$Q$6,RawData[Tour/Site],$Q$2,RawData[[Picker ID ]],$Q$3,RawData[Checker ID],$Q$4,RawData[[Error Type ]],$Q$5))</f>
        <v/>
      </c>
    </row>
    <row r="15520" spans="15:15" x14ac:dyDescent="0.25">
      <c r="O15520" s="20" t="str">
        <f>IF(N15520="","",COUNTIFS(RawData[[Date ]],N15520,RawData[Month List],$Q$6,RawData[Tour/Site],$Q$2,RawData[[Picker ID ]],$Q$3,RawData[Checker ID],$Q$4,RawData[[Error Type ]],$Q$5))</f>
        <v/>
      </c>
    </row>
    <row r="15521" spans="15:15" x14ac:dyDescent="0.25">
      <c r="O15521" s="20" t="str">
        <f>IF(N15521="","",COUNTIFS(RawData[[Date ]],N15521,RawData[Month List],$Q$6,RawData[Tour/Site],$Q$2,RawData[[Picker ID ]],$Q$3,RawData[Checker ID],$Q$4,RawData[[Error Type ]],$Q$5))</f>
        <v/>
      </c>
    </row>
    <row r="15522" spans="15:15" x14ac:dyDescent="0.25">
      <c r="O15522" s="20" t="str">
        <f>IF(N15522="","",COUNTIFS(RawData[[Date ]],N15522,RawData[Month List],$Q$6,RawData[Tour/Site],$Q$2,RawData[[Picker ID ]],$Q$3,RawData[Checker ID],$Q$4,RawData[[Error Type ]],$Q$5))</f>
        <v/>
      </c>
    </row>
    <row r="15523" spans="15:15" x14ac:dyDescent="0.25">
      <c r="O15523" s="20" t="str">
        <f>IF(N15523="","",COUNTIFS(RawData[[Date ]],N15523,RawData[Month List],$Q$6,RawData[Tour/Site],$Q$2,RawData[[Picker ID ]],$Q$3,RawData[Checker ID],$Q$4,RawData[[Error Type ]],$Q$5))</f>
        <v/>
      </c>
    </row>
    <row r="15524" spans="15:15" x14ac:dyDescent="0.25">
      <c r="O15524" s="20" t="str">
        <f>IF(N15524="","",COUNTIFS(RawData[[Date ]],N15524,RawData[Month List],$Q$6,RawData[Tour/Site],$Q$2,RawData[[Picker ID ]],$Q$3,RawData[Checker ID],$Q$4,RawData[[Error Type ]],$Q$5))</f>
        <v/>
      </c>
    </row>
    <row r="15525" spans="15:15" x14ac:dyDescent="0.25">
      <c r="O15525" s="20" t="str">
        <f>IF(N15525="","",COUNTIFS(RawData[[Date ]],N15525,RawData[Month List],$Q$6,RawData[Tour/Site],$Q$2,RawData[[Picker ID ]],$Q$3,RawData[Checker ID],$Q$4,RawData[[Error Type ]],$Q$5))</f>
        <v/>
      </c>
    </row>
    <row r="15526" spans="15:15" x14ac:dyDescent="0.25">
      <c r="O15526" s="20" t="str">
        <f>IF(N15526="","",COUNTIFS(RawData[[Date ]],N15526,RawData[Month List],$Q$6,RawData[Tour/Site],$Q$2,RawData[[Picker ID ]],$Q$3,RawData[Checker ID],$Q$4,RawData[[Error Type ]],$Q$5))</f>
        <v/>
      </c>
    </row>
    <row r="15527" spans="15:15" x14ac:dyDescent="0.25">
      <c r="O15527" s="20" t="str">
        <f>IF(N15527="","",COUNTIFS(RawData[[Date ]],N15527,RawData[Month List],$Q$6,RawData[Tour/Site],$Q$2,RawData[[Picker ID ]],$Q$3,RawData[Checker ID],$Q$4,RawData[[Error Type ]],$Q$5))</f>
        <v/>
      </c>
    </row>
    <row r="15528" spans="15:15" x14ac:dyDescent="0.25">
      <c r="O15528" s="20" t="str">
        <f>IF(N15528="","",COUNTIFS(RawData[[Date ]],N15528,RawData[Month List],$Q$6,RawData[Tour/Site],$Q$2,RawData[[Picker ID ]],$Q$3,RawData[Checker ID],$Q$4,RawData[[Error Type ]],$Q$5))</f>
        <v/>
      </c>
    </row>
    <row r="15529" spans="15:15" x14ac:dyDescent="0.25">
      <c r="O15529" s="20" t="str">
        <f>IF(N15529="","",COUNTIFS(RawData[[Date ]],N15529,RawData[Month List],$Q$6,RawData[Tour/Site],$Q$2,RawData[[Picker ID ]],$Q$3,RawData[Checker ID],$Q$4,RawData[[Error Type ]],$Q$5))</f>
        <v/>
      </c>
    </row>
    <row r="15530" spans="15:15" x14ac:dyDescent="0.25">
      <c r="O15530" s="20" t="str">
        <f>IF(N15530="","",COUNTIFS(RawData[[Date ]],N15530,RawData[Month List],$Q$6,RawData[Tour/Site],$Q$2,RawData[[Picker ID ]],$Q$3,RawData[Checker ID],$Q$4,RawData[[Error Type ]],$Q$5))</f>
        <v/>
      </c>
    </row>
    <row r="15531" spans="15:15" x14ac:dyDescent="0.25">
      <c r="O15531" s="20" t="str">
        <f>IF(N15531="","",COUNTIFS(RawData[[Date ]],N15531,RawData[Month List],$Q$6,RawData[Tour/Site],$Q$2,RawData[[Picker ID ]],$Q$3,RawData[Checker ID],$Q$4,RawData[[Error Type ]],$Q$5))</f>
        <v/>
      </c>
    </row>
    <row r="15532" spans="15:15" x14ac:dyDescent="0.25">
      <c r="O15532" s="20" t="str">
        <f>IF(N15532="","",COUNTIFS(RawData[[Date ]],N15532,RawData[Month List],$Q$6,RawData[Tour/Site],$Q$2,RawData[[Picker ID ]],$Q$3,RawData[Checker ID],$Q$4,RawData[[Error Type ]],$Q$5))</f>
        <v/>
      </c>
    </row>
    <row r="15533" spans="15:15" x14ac:dyDescent="0.25">
      <c r="O15533" s="20" t="str">
        <f>IF(N15533="","",COUNTIFS(RawData[[Date ]],N15533,RawData[Month List],$Q$6,RawData[Tour/Site],$Q$2,RawData[[Picker ID ]],$Q$3,RawData[Checker ID],$Q$4,RawData[[Error Type ]],$Q$5))</f>
        <v/>
      </c>
    </row>
    <row r="15534" spans="15:15" x14ac:dyDescent="0.25">
      <c r="O15534" s="20" t="str">
        <f>IF(N15534="","",COUNTIFS(RawData[[Date ]],N15534,RawData[Month List],$Q$6,RawData[Tour/Site],$Q$2,RawData[[Picker ID ]],$Q$3,RawData[Checker ID],$Q$4,RawData[[Error Type ]],$Q$5))</f>
        <v/>
      </c>
    </row>
    <row r="15535" spans="15:15" x14ac:dyDescent="0.25">
      <c r="O15535" s="20" t="str">
        <f>IF(N15535="","",COUNTIFS(RawData[[Date ]],N15535,RawData[Month List],$Q$6,RawData[Tour/Site],$Q$2,RawData[[Picker ID ]],$Q$3,RawData[Checker ID],$Q$4,RawData[[Error Type ]],$Q$5))</f>
        <v/>
      </c>
    </row>
    <row r="15536" spans="15:15" x14ac:dyDescent="0.25">
      <c r="O15536" s="20" t="str">
        <f>IF(N15536="","",COUNTIFS(RawData[[Date ]],N15536,RawData[Month List],$Q$6,RawData[Tour/Site],$Q$2,RawData[[Picker ID ]],$Q$3,RawData[Checker ID],$Q$4,RawData[[Error Type ]],$Q$5))</f>
        <v/>
      </c>
    </row>
    <row r="15537" spans="15:15" x14ac:dyDescent="0.25">
      <c r="O15537" s="20" t="str">
        <f>IF(N15537="","",COUNTIFS(RawData[[Date ]],N15537,RawData[Month List],$Q$6,RawData[Tour/Site],$Q$2,RawData[[Picker ID ]],$Q$3,RawData[Checker ID],$Q$4,RawData[[Error Type ]],$Q$5))</f>
        <v/>
      </c>
    </row>
    <row r="15538" spans="15:15" x14ac:dyDescent="0.25">
      <c r="O15538" s="20" t="str">
        <f>IF(N15538="","",COUNTIFS(RawData[[Date ]],N15538,RawData[Month List],$Q$6,RawData[Tour/Site],$Q$2,RawData[[Picker ID ]],$Q$3,RawData[Checker ID],$Q$4,RawData[[Error Type ]],$Q$5))</f>
        <v/>
      </c>
    </row>
    <row r="15539" spans="15:15" x14ac:dyDescent="0.25">
      <c r="O15539" s="20" t="str">
        <f>IF(N15539="","",COUNTIFS(RawData[[Date ]],N15539,RawData[Month List],$Q$6,RawData[Tour/Site],$Q$2,RawData[[Picker ID ]],$Q$3,RawData[Checker ID],$Q$4,RawData[[Error Type ]],$Q$5))</f>
        <v/>
      </c>
    </row>
    <row r="15540" spans="15:15" x14ac:dyDescent="0.25">
      <c r="O15540" s="20" t="str">
        <f>IF(N15540="","",COUNTIFS(RawData[[Date ]],N15540,RawData[Month List],$Q$6,RawData[Tour/Site],$Q$2,RawData[[Picker ID ]],$Q$3,RawData[Checker ID],$Q$4,RawData[[Error Type ]],$Q$5))</f>
        <v/>
      </c>
    </row>
    <row r="15541" spans="15:15" x14ac:dyDescent="0.25">
      <c r="O15541" s="20" t="str">
        <f>IF(N15541="","",COUNTIFS(RawData[[Date ]],N15541,RawData[Month List],$Q$6,RawData[Tour/Site],$Q$2,RawData[[Picker ID ]],$Q$3,RawData[Checker ID],$Q$4,RawData[[Error Type ]],$Q$5))</f>
        <v/>
      </c>
    </row>
    <row r="15542" spans="15:15" x14ac:dyDescent="0.25">
      <c r="O15542" s="20" t="str">
        <f>IF(N15542="","",COUNTIFS(RawData[[Date ]],N15542,RawData[Month List],$Q$6,RawData[Tour/Site],$Q$2,RawData[[Picker ID ]],$Q$3,RawData[Checker ID],$Q$4,RawData[[Error Type ]],$Q$5))</f>
        <v/>
      </c>
    </row>
    <row r="15543" spans="15:15" x14ac:dyDescent="0.25">
      <c r="O15543" s="20" t="str">
        <f>IF(N15543="","",COUNTIFS(RawData[[Date ]],N15543,RawData[Month List],$Q$6,RawData[Tour/Site],$Q$2,RawData[[Picker ID ]],$Q$3,RawData[Checker ID],$Q$4,RawData[[Error Type ]],$Q$5))</f>
        <v/>
      </c>
    </row>
    <row r="15544" spans="15:15" x14ac:dyDescent="0.25">
      <c r="O15544" s="20" t="str">
        <f>IF(N15544="","",COUNTIFS(RawData[[Date ]],N15544,RawData[Month List],$Q$6,RawData[Tour/Site],$Q$2,RawData[[Picker ID ]],$Q$3,RawData[Checker ID],$Q$4,RawData[[Error Type ]],$Q$5))</f>
        <v/>
      </c>
    </row>
    <row r="15545" spans="15:15" x14ac:dyDescent="0.25">
      <c r="O15545" s="20" t="str">
        <f>IF(N15545="","",COUNTIFS(RawData[[Date ]],N15545,RawData[Month List],$Q$6,RawData[Tour/Site],$Q$2,RawData[[Picker ID ]],$Q$3,RawData[Checker ID],$Q$4,RawData[[Error Type ]],$Q$5))</f>
        <v/>
      </c>
    </row>
    <row r="15546" spans="15:15" x14ac:dyDescent="0.25">
      <c r="O15546" s="20" t="str">
        <f>IF(N15546="","",COUNTIFS(RawData[[Date ]],N15546,RawData[Month List],$Q$6,RawData[Tour/Site],$Q$2,RawData[[Picker ID ]],$Q$3,RawData[Checker ID],$Q$4,RawData[[Error Type ]],$Q$5))</f>
        <v/>
      </c>
    </row>
    <row r="15547" spans="15:15" x14ac:dyDescent="0.25">
      <c r="O15547" s="20" t="str">
        <f>IF(N15547="","",COUNTIFS(RawData[[Date ]],N15547,RawData[Month List],$Q$6,RawData[Tour/Site],$Q$2,RawData[[Picker ID ]],$Q$3,RawData[Checker ID],$Q$4,RawData[[Error Type ]],$Q$5))</f>
        <v/>
      </c>
    </row>
    <row r="15548" spans="15:15" x14ac:dyDescent="0.25">
      <c r="O15548" s="20" t="str">
        <f>IF(N15548="","",COUNTIFS(RawData[[Date ]],N15548,RawData[Month List],$Q$6,RawData[Tour/Site],$Q$2,RawData[[Picker ID ]],$Q$3,RawData[Checker ID],$Q$4,RawData[[Error Type ]],$Q$5))</f>
        <v/>
      </c>
    </row>
    <row r="15549" spans="15:15" x14ac:dyDescent="0.25">
      <c r="O15549" s="20" t="str">
        <f>IF(N15549="","",COUNTIFS(RawData[[Date ]],N15549,RawData[Month List],$Q$6,RawData[Tour/Site],$Q$2,RawData[[Picker ID ]],$Q$3,RawData[Checker ID],$Q$4,RawData[[Error Type ]],$Q$5))</f>
        <v/>
      </c>
    </row>
    <row r="15550" spans="15:15" x14ac:dyDescent="0.25">
      <c r="O15550" s="20" t="str">
        <f>IF(N15550="","",COUNTIFS(RawData[[Date ]],N15550,RawData[Month List],$Q$6,RawData[Tour/Site],$Q$2,RawData[[Picker ID ]],$Q$3,RawData[Checker ID],$Q$4,RawData[[Error Type ]],$Q$5))</f>
        <v/>
      </c>
    </row>
    <row r="15551" spans="15:15" x14ac:dyDescent="0.25">
      <c r="O15551" s="20" t="str">
        <f>IF(N15551="","",COUNTIFS(RawData[[Date ]],N15551,RawData[Month List],$Q$6,RawData[Tour/Site],$Q$2,RawData[[Picker ID ]],$Q$3,RawData[Checker ID],$Q$4,RawData[[Error Type ]],$Q$5))</f>
        <v/>
      </c>
    </row>
    <row r="15552" spans="15:15" x14ac:dyDescent="0.25">
      <c r="O15552" s="20" t="str">
        <f>IF(N15552="","",COUNTIFS(RawData[[Date ]],N15552,RawData[Month List],$Q$6,RawData[Tour/Site],$Q$2,RawData[[Picker ID ]],$Q$3,RawData[Checker ID],$Q$4,RawData[[Error Type ]],$Q$5))</f>
        <v/>
      </c>
    </row>
    <row r="15553" spans="15:15" x14ac:dyDescent="0.25">
      <c r="O15553" s="20" t="str">
        <f>IF(N15553="","",COUNTIFS(RawData[[Date ]],N15553,RawData[Month List],$Q$6,RawData[Tour/Site],$Q$2,RawData[[Picker ID ]],$Q$3,RawData[Checker ID],$Q$4,RawData[[Error Type ]],$Q$5))</f>
        <v/>
      </c>
    </row>
    <row r="15554" spans="15:15" x14ac:dyDescent="0.25">
      <c r="O15554" s="20" t="str">
        <f>IF(N15554="","",COUNTIFS(RawData[[Date ]],N15554,RawData[Month List],$Q$6,RawData[Tour/Site],$Q$2,RawData[[Picker ID ]],$Q$3,RawData[Checker ID],$Q$4,RawData[[Error Type ]],$Q$5))</f>
        <v/>
      </c>
    </row>
    <row r="15555" spans="15:15" x14ac:dyDescent="0.25">
      <c r="O15555" s="20" t="str">
        <f>IF(N15555="","",COUNTIFS(RawData[[Date ]],N15555,RawData[Month List],$Q$6,RawData[Tour/Site],$Q$2,RawData[[Picker ID ]],$Q$3,RawData[Checker ID],$Q$4,RawData[[Error Type ]],$Q$5))</f>
        <v/>
      </c>
    </row>
    <row r="15556" spans="15:15" x14ac:dyDescent="0.25">
      <c r="O15556" s="20" t="str">
        <f>IF(N15556="","",COUNTIFS(RawData[[Date ]],N15556,RawData[Month List],$Q$6,RawData[Tour/Site],$Q$2,RawData[[Picker ID ]],$Q$3,RawData[Checker ID],$Q$4,RawData[[Error Type ]],$Q$5))</f>
        <v/>
      </c>
    </row>
    <row r="15557" spans="15:15" x14ac:dyDescent="0.25">
      <c r="O15557" s="20" t="str">
        <f>IF(N15557="","",COUNTIFS(RawData[[Date ]],N15557,RawData[Month List],$Q$6,RawData[Tour/Site],$Q$2,RawData[[Picker ID ]],$Q$3,RawData[Checker ID],$Q$4,RawData[[Error Type ]],$Q$5))</f>
        <v/>
      </c>
    </row>
    <row r="15558" spans="15:15" x14ac:dyDescent="0.25">
      <c r="O15558" s="20" t="str">
        <f>IF(N15558="","",COUNTIFS(RawData[[Date ]],N15558,RawData[Month List],$Q$6,RawData[Tour/Site],$Q$2,RawData[[Picker ID ]],$Q$3,RawData[Checker ID],$Q$4,RawData[[Error Type ]],$Q$5))</f>
        <v/>
      </c>
    </row>
    <row r="15559" spans="15:15" x14ac:dyDescent="0.25">
      <c r="O15559" s="20" t="str">
        <f>IF(N15559="","",COUNTIFS(RawData[[Date ]],N15559,RawData[Month List],$Q$6,RawData[Tour/Site],$Q$2,RawData[[Picker ID ]],$Q$3,RawData[Checker ID],$Q$4,RawData[[Error Type ]],$Q$5))</f>
        <v/>
      </c>
    </row>
    <row r="15560" spans="15:15" x14ac:dyDescent="0.25">
      <c r="O15560" s="20" t="str">
        <f>IF(N15560="","",COUNTIFS(RawData[[Date ]],N15560,RawData[Month List],$Q$6,RawData[Tour/Site],$Q$2,RawData[[Picker ID ]],$Q$3,RawData[Checker ID],$Q$4,RawData[[Error Type ]],$Q$5))</f>
        <v/>
      </c>
    </row>
    <row r="15561" spans="15:15" x14ac:dyDescent="0.25">
      <c r="O15561" s="20" t="str">
        <f>IF(N15561="","",COUNTIFS(RawData[[Date ]],N15561,RawData[Month List],$Q$6,RawData[Tour/Site],$Q$2,RawData[[Picker ID ]],$Q$3,RawData[Checker ID],$Q$4,RawData[[Error Type ]],$Q$5))</f>
        <v/>
      </c>
    </row>
    <row r="15562" spans="15:15" x14ac:dyDescent="0.25">
      <c r="O15562" s="20" t="str">
        <f>IF(N15562="","",COUNTIFS(RawData[[Date ]],N15562,RawData[Month List],$Q$6,RawData[Tour/Site],$Q$2,RawData[[Picker ID ]],$Q$3,RawData[Checker ID],$Q$4,RawData[[Error Type ]],$Q$5))</f>
        <v/>
      </c>
    </row>
    <row r="15563" spans="15:15" x14ac:dyDescent="0.25">
      <c r="O15563" s="20" t="str">
        <f>IF(N15563="","",COUNTIFS(RawData[[Date ]],N15563,RawData[Month List],$Q$6,RawData[Tour/Site],$Q$2,RawData[[Picker ID ]],$Q$3,RawData[Checker ID],$Q$4,RawData[[Error Type ]],$Q$5))</f>
        <v/>
      </c>
    </row>
    <row r="15564" spans="15:15" x14ac:dyDescent="0.25">
      <c r="O15564" s="20" t="str">
        <f>IF(N15564="","",COUNTIFS(RawData[[Date ]],N15564,RawData[Month List],$Q$6,RawData[Tour/Site],$Q$2,RawData[[Picker ID ]],$Q$3,RawData[Checker ID],$Q$4,RawData[[Error Type ]],$Q$5))</f>
        <v/>
      </c>
    </row>
    <row r="15565" spans="15:15" x14ac:dyDescent="0.25">
      <c r="O15565" s="20" t="str">
        <f>IF(N15565="","",COUNTIFS(RawData[[Date ]],N15565,RawData[Month List],$Q$6,RawData[Tour/Site],$Q$2,RawData[[Picker ID ]],$Q$3,RawData[Checker ID],$Q$4,RawData[[Error Type ]],$Q$5))</f>
        <v/>
      </c>
    </row>
    <row r="15566" spans="15:15" x14ac:dyDescent="0.25">
      <c r="O15566" s="20" t="str">
        <f>IF(N15566="","",COUNTIFS(RawData[[Date ]],N15566,RawData[Month List],$Q$6,RawData[Tour/Site],$Q$2,RawData[[Picker ID ]],$Q$3,RawData[Checker ID],$Q$4,RawData[[Error Type ]],$Q$5))</f>
        <v/>
      </c>
    </row>
    <row r="15567" spans="15:15" x14ac:dyDescent="0.25">
      <c r="O15567" s="20" t="str">
        <f>IF(N15567="","",COUNTIFS(RawData[[Date ]],N15567,RawData[Month List],$Q$6,RawData[Tour/Site],$Q$2,RawData[[Picker ID ]],$Q$3,RawData[Checker ID],$Q$4,RawData[[Error Type ]],$Q$5))</f>
        <v/>
      </c>
    </row>
    <row r="15568" spans="15:15" x14ac:dyDescent="0.25">
      <c r="O15568" s="20" t="str">
        <f>IF(N15568="","",COUNTIFS(RawData[[Date ]],N15568,RawData[Month List],$Q$6,RawData[Tour/Site],$Q$2,RawData[[Picker ID ]],$Q$3,RawData[Checker ID],$Q$4,RawData[[Error Type ]],$Q$5))</f>
        <v/>
      </c>
    </row>
    <row r="15569" spans="15:15" x14ac:dyDescent="0.25">
      <c r="O15569" s="20" t="str">
        <f>IF(N15569="","",COUNTIFS(RawData[[Date ]],N15569,RawData[Month List],$Q$6,RawData[Tour/Site],$Q$2,RawData[[Picker ID ]],$Q$3,RawData[Checker ID],$Q$4,RawData[[Error Type ]],$Q$5))</f>
        <v/>
      </c>
    </row>
    <row r="15570" spans="15:15" x14ac:dyDescent="0.25">
      <c r="O15570" s="20" t="str">
        <f>IF(N15570="","",COUNTIFS(RawData[[Date ]],N15570,RawData[Month List],$Q$6,RawData[Tour/Site],$Q$2,RawData[[Picker ID ]],$Q$3,RawData[Checker ID],$Q$4,RawData[[Error Type ]],$Q$5))</f>
        <v/>
      </c>
    </row>
    <row r="15571" spans="15:15" x14ac:dyDescent="0.25">
      <c r="O15571" s="20" t="str">
        <f>IF(N15571="","",COUNTIFS(RawData[[Date ]],N15571,RawData[Month List],$Q$6,RawData[Tour/Site],$Q$2,RawData[[Picker ID ]],$Q$3,RawData[Checker ID],$Q$4,RawData[[Error Type ]],$Q$5))</f>
        <v/>
      </c>
    </row>
    <row r="15572" spans="15:15" x14ac:dyDescent="0.25">
      <c r="O15572" s="20" t="str">
        <f>IF(N15572="","",COUNTIFS(RawData[[Date ]],N15572,RawData[Month List],$Q$6,RawData[Tour/Site],$Q$2,RawData[[Picker ID ]],$Q$3,RawData[Checker ID],$Q$4,RawData[[Error Type ]],$Q$5))</f>
        <v/>
      </c>
    </row>
    <row r="15573" spans="15:15" x14ac:dyDescent="0.25">
      <c r="O15573" s="20" t="str">
        <f>IF(N15573="","",COUNTIFS(RawData[[Date ]],N15573,RawData[Month List],$Q$6,RawData[Tour/Site],$Q$2,RawData[[Picker ID ]],$Q$3,RawData[Checker ID],$Q$4,RawData[[Error Type ]],$Q$5))</f>
        <v/>
      </c>
    </row>
    <row r="15574" spans="15:15" x14ac:dyDescent="0.25">
      <c r="O15574" s="20" t="str">
        <f>IF(N15574="","",COUNTIFS(RawData[[Date ]],N15574,RawData[Month List],$Q$6,RawData[Tour/Site],$Q$2,RawData[[Picker ID ]],$Q$3,RawData[Checker ID],$Q$4,RawData[[Error Type ]],$Q$5))</f>
        <v/>
      </c>
    </row>
    <row r="15575" spans="15:15" x14ac:dyDescent="0.25">
      <c r="O15575" s="20" t="str">
        <f>IF(N15575="","",COUNTIFS(RawData[[Date ]],N15575,RawData[Month List],$Q$6,RawData[Tour/Site],$Q$2,RawData[[Picker ID ]],$Q$3,RawData[Checker ID],$Q$4,RawData[[Error Type ]],$Q$5))</f>
        <v/>
      </c>
    </row>
    <row r="15576" spans="15:15" x14ac:dyDescent="0.25">
      <c r="O15576" s="20" t="str">
        <f>IF(N15576="","",COUNTIFS(RawData[[Date ]],N15576,RawData[Month List],$Q$6,RawData[Tour/Site],$Q$2,RawData[[Picker ID ]],$Q$3,RawData[Checker ID],$Q$4,RawData[[Error Type ]],$Q$5))</f>
        <v/>
      </c>
    </row>
    <row r="15577" spans="15:15" x14ac:dyDescent="0.25">
      <c r="O15577" s="20" t="str">
        <f>IF(N15577="","",COUNTIFS(RawData[[Date ]],N15577,RawData[Month List],$Q$6,RawData[Tour/Site],$Q$2,RawData[[Picker ID ]],$Q$3,RawData[Checker ID],$Q$4,RawData[[Error Type ]],$Q$5))</f>
        <v/>
      </c>
    </row>
    <row r="15578" spans="15:15" x14ac:dyDescent="0.25">
      <c r="O15578" s="20" t="str">
        <f>IF(N15578="","",COUNTIFS(RawData[[Date ]],N15578,RawData[Month List],$Q$6,RawData[Tour/Site],$Q$2,RawData[[Picker ID ]],$Q$3,RawData[Checker ID],$Q$4,RawData[[Error Type ]],$Q$5))</f>
        <v/>
      </c>
    </row>
    <row r="15579" spans="15:15" x14ac:dyDescent="0.25">
      <c r="O15579" s="20" t="str">
        <f>IF(N15579="","",COUNTIFS(RawData[[Date ]],N15579,RawData[Month List],$Q$6,RawData[Tour/Site],$Q$2,RawData[[Picker ID ]],$Q$3,RawData[Checker ID],$Q$4,RawData[[Error Type ]],$Q$5))</f>
        <v/>
      </c>
    </row>
    <row r="15580" spans="15:15" x14ac:dyDescent="0.25">
      <c r="O15580" s="20" t="str">
        <f>IF(N15580="","",COUNTIFS(RawData[[Date ]],N15580,RawData[Month List],$Q$6,RawData[Tour/Site],$Q$2,RawData[[Picker ID ]],$Q$3,RawData[Checker ID],$Q$4,RawData[[Error Type ]],$Q$5))</f>
        <v/>
      </c>
    </row>
    <row r="15581" spans="15:15" x14ac:dyDescent="0.25">
      <c r="O15581" s="20" t="str">
        <f>IF(N15581="","",COUNTIFS(RawData[[Date ]],N15581,RawData[Month List],$Q$6,RawData[Tour/Site],$Q$2,RawData[[Picker ID ]],$Q$3,RawData[Checker ID],$Q$4,RawData[[Error Type ]],$Q$5))</f>
        <v/>
      </c>
    </row>
    <row r="15582" spans="15:15" x14ac:dyDescent="0.25">
      <c r="O15582" s="20" t="str">
        <f>IF(N15582="","",COUNTIFS(RawData[[Date ]],N15582,RawData[Month List],$Q$6,RawData[Tour/Site],$Q$2,RawData[[Picker ID ]],$Q$3,RawData[Checker ID],$Q$4,RawData[[Error Type ]],$Q$5))</f>
        <v/>
      </c>
    </row>
    <row r="15583" spans="15:15" x14ac:dyDescent="0.25">
      <c r="O15583" s="20" t="str">
        <f>IF(N15583="","",COUNTIFS(RawData[[Date ]],N15583,RawData[Month List],$Q$6,RawData[Tour/Site],$Q$2,RawData[[Picker ID ]],$Q$3,RawData[Checker ID],$Q$4,RawData[[Error Type ]],$Q$5))</f>
        <v/>
      </c>
    </row>
    <row r="15584" spans="15:15" x14ac:dyDescent="0.25">
      <c r="O15584" s="20" t="str">
        <f>IF(N15584="","",COUNTIFS(RawData[[Date ]],N15584,RawData[Month List],$Q$6,RawData[Tour/Site],$Q$2,RawData[[Picker ID ]],$Q$3,RawData[Checker ID],$Q$4,RawData[[Error Type ]],$Q$5))</f>
        <v/>
      </c>
    </row>
    <row r="15585" spans="15:15" x14ac:dyDescent="0.25">
      <c r="O15585" s="20" t="str">
        <f>IF(N15585="","",COUNTIFS(RawData[[Date ]],N15585,RawData[Month List],$Q$6,RawData[Tour/Site],$Q$2,RawData[[Picker ID ]],$Q$3,RawData[Checker ID],$Q$4,RawData[[Error Type ]],$Q$5))</f>
        <v/>
      </c>
    </row>
    <row r="15586" spans="15:15" x14ac:dyDescent="0.25">
      <c r="O15586" s="20" t="str">
        <f>IF(N15586="","",COUNTIFS(RawData[[Date ]],N15586,RawData[Month List],$Q$6,RawData[Tour/Site],$Q$2,RawData[[Picker ID ]],$Q$3,RawData[Checker ID],$Q$4,RawData[[Error Type ]],$Q$5))</f>
        <v/>
      </c>
    </row>
    <row r="15587" spans="15:15" x14ac:dyDescent="0.25">
      <c r="O15587" s="20" t="str">
        <f>IF(N15587="","",COUNTIFS(RawData[[Date ]],N15587,RawData[Month List],$Q$6,RawData[Tour/Site],$Q$2,RawData[[Picker ID ]],$Q$3,RawData[Checker ID],$Q$4,RawData[[Error Type ]],$Q$5))</f>
        <v/>
      </c>
    </row>
    <row r="15588" spans="15:15" x14ac:dyDescent="0.25">
      <c r="O15588" s="20" t="str">
        <f>IF(N15588="","",COUNTIFS(RawData[[Date ]],N15588,RawData[Month List],$Q$6,RawData[Tour/Site],$Q$2,RawData[[Picker ID ]],$Q$3,RawData[Checker ID],$Q$4,RawData[[Error Type ]],$Q$5))</f>
        <v/>
      </c>
    </row>
    <row r="15589" spans="15:15" x14ac:dyDescent="0.25">
      <c r="O15589" s="20" t="str">
        <f>IF(N15589="","",COUNTIFS(RawData[[Date ]],N15589,RawData[Month List],$Q$6,RawData[Tour/Site],$Q$2,RawData[[Picker ID ]],$Q$3,RawData[Checker ID],$Q$4,RawData[[Error Type ]],$Q$5))</f>
        <v/>
      </c>
    </row>
    <row r="15590" spans="15:15" x14ac:dyDescent="0.25">
      <c r="O15590" s="20" t="str">
        <f>IF(N15590="","",COUNTIFS(RawData[[Date ]],N15590,RawData[Month List],$Q$6,RawData[Tour/Site],$Q$2,RawData[[Picker ID ]],$Q$3,RawData[Checker ID],$Q$4,RawData[[Error Type ]],$Q$5))</f>
        <v/>
      </c>
    </row>
    <row r="15591" spans="15:15" x14ac:dyDescent="0.25">
      <c r="O15591" s="20" t="str">
        <f>IF(N15591="","",COUNTIFS(RawData[[Date ]],N15591,RawData[Month List],$Q$6,RawData[Tour/Site],$Q$2,RawData[[Picker ID ]],$Q$3,RawData[Checker ID],$Q$4,RawData[[Error Type ]],$Q$5))</f>
        <v/>
      </c>
    </row>
    <row r="15592" spans="15:15" x14ac:dyDescent="0.25">
      <c r="O15592" s="20" t="str">
        <f>IF(N15592="","",COUNTIFS(RawData[[Date ]],N15592,RawData[Month List],$Q$6,RawData[Tour/Site],$Q$2,RawData[[Picker ID ]],$Q$3,RawData[Checker ID],$Q$4,RawData[[Error Type ]],$Q$5))</f>
        <v/>
      </c>
    </row>
    <row r="15593" spans="15:15" x14ac:dyDescent="0.25">
      <c r="O15593" s="20" t="str">
        <f>IF(N15593="","",COUNTIFS(RawData[[Date ]],N15593,RawData[Month List],$Q$6,RawData[Tour/Site],$Q$2,RawData[[Picker ID ]],$Q$3,RawData[Checker ID],$Q$4,RawData[[Error Type ]],$Q$5))</f>
        <v/>
      </c>
    </row>
    <row r="15594" spans="15:15" x14ac:dyDescent="0.25">
      <c r="O15594" s="20" t="str">
        <f>IF(N15594="","",COUNTIFS(RawData[[Date ]],N15594,RawData[Month List],$Q$6,RawData[Tour/Site],$Q$2,RawData[[Picker ID ]],$Q$3,RawData[Checker ID],$Q$4,RawData[[Error Type ]],$Q$5))</f>
        <v/>
      </c>
    </row>
    <row r="15595" spans="15:15" x14ac:dyDescent="0.25">
      <c r="O15595" s="20" t="str">
        <f>IF(N15595="","",COUNTIFS(RawData[[Date ]],N15595,RawData[Month List],$Q$6,RawData[Tour/Site],$Q$2,RawData[[Picker ID ]],$Q$3,RawData[Checker ID],$Q$4,RawData[[Error Type ]],$Q$5))</f>
        <v/>
      </c>
    </row>
    <row r="15596" spans="15:15" x14ac:dyDescent="0.25">
      <c r="O15596" s="20" t="str">
        <f>IF(N15596="","",COUNTIFS(RawData[[Date ]],N15596,RawData[Month List],$Q$6,RawData[Tour/Site],$Q$2,RawData[[Picker ID ]],$Q$3,RawData[Checker ID],$Q$4,RawData[[Error Type ]],$Q$5))</f>
        <v/>
      </c>
    </row>
    <row r="15597" spans="15:15" x14ac:dyDescent="0.25">
      <c r="O15597" s="20" t="str">
        <f>IF(N15597="","",COUNTIFS(RawData[[Date ]],N15597,RawData[Month List],$Q$6,RawData[Tour/Site],$Q$2,RawData[[Picker ID ]],$Q$3,RawData[Checker ID],$Q$4,RawData[[Error Type ]],$Q$5))</f>
        <v/>
      </c>
    </row>
    <row r="15598" spans="15:15" x14ac:dyDescent="0.25">
      <c r="O15598" s="20" t="str">
        <f>IF(N15598="","",COUNTIFS(RawData[[Date ]],N15598,RawData[Month List],$Q$6,RawData[Tour/Site],$Q$2,RawData[[Picker ID ]],$Q$3,RawData[Checker ID],$Q$4,RawData[[Error Type ]],$Q$5))</f>
        <v/>
      </c>
    </row>
    <row r="15599" spans="15:15" x14ac:dyDescent="0.25">
      <c r="O15599" s="20" t="str">
        <f>IF(N15599="","",COUNTIFS(RawData[[Date ]],N15599,RawData[Month List],$Q$6,RawData[Tour/Site],$Q$2,RawData[[Picker ID ]],$Q$3,RawData[Checker ID],$Q$4,RawData[[Error Type ]],$Q$5))</f>
        <v/>
      </c>
    </row>
    <row r="15600" spans="15:15" x14ac:dyDescent="0.25">
      <c r="O15600" s="20" t="str">
        <f>IF(N15600="","",COUNTIFS(RawData[[Date ]],N15600,RawData[Month List],$Q$6,RawData[Tour/Site],$Q$2,RawData[[Picker ID ]],$Q$3,RawData[Checker ID],$Q$4,RawData[[Error Type ]],$Q$5))</f>
        <v/>
      </c>
    </row>
    <row r="15601" spans="15:15" x14ac:dyDescent="0.25">
      <c r="O15601" s="20" t="str">
        <f>IF(N15601="","",COUNTIFS(RawData[[Date ]],N15601,RawData[Month List],$Q$6,RawData[Tour/Site],$Q$2,RawData[[Picker ID ]],$Q$3,RawData[Checker ID],$Q$4,RawData[[Error Type ]],$Q$5))</f>
        <v/>
      </c>
    </row>
    <row r="15602" spans="15:15" x14ac:dyDescent="0.25">
      <c r="O15602" s="20" t="str">
        <f>IF(N15602="","",COUNTIFS(RawData[[Date ]],N15602,RawData[Month List],$Q$6,RawData[Tour/Site],$Q$2,RawData[[Picker ID ]],$Q$3,RawData[Checker ID],$Q$4,RawData[[Error Type ]],$Q$5))</f>
        <v/>
      </c>
    </row>
    <row r="15603" spans="15:15" x14ac:dyDescent="0.25">
      <c r="O15603" s="20" t="str">
        <f>IF(N15603="","",COUNTIFS(RawData[[Date ]],N15603,RawData[Month List],$Q$6,RawData[Tour/Site],$Q$2,RawData[[Picker ID ]],$Q$3,RawData[Checker ID],$Q$4,RawData[[Error Type ]],$Q$5))</f>
        <v/>
      </c>
    </row>
    <row r="15604" spans="15:15" x14ac:dyDescent="0.25">
      <c r="O15604" s="20" t="str">
        <f>IF(N15604="","",COUNTIFS(RawData[[Date ]],N15604,RawData[Month List],$Q$6,RawData[Tour/Site],$Q$2,RawData[[Picker ID ]],$Q$3,RawData[Checker ID],$Q$4,RawData[[Error Type ]],$Q$5))</f>
        <v/>
      </c>
    </row>
    <row r="15605" spans="15:15" x14ac:dyDescent="0.25">
      <c r="O15605" s="20" t="str">
        <f>IF(N15605="","",COUNTIFS(RawData[[Date ]],N15605,RawData[Month List],$Q$6,RawData[Tour/Site],$Q$2,RawData[[Picker ID ]],$Q$3,RawData[Checker ID],$Q$4,RawData[[Error Type ]],$Q$5))</f>
        <v/>
      </c>
    </row>
    <row r="15606" spans="15:15" x14ac:dyDescent="0.25">
      <c r="O15606" s="20" t="str">
        <f>IF(N15606="","",COUNTIFS(RawData[[Date ]],N15606,RawData[Month List],$Q$6,RawData[Tour/Site],$Q$2,RawData[[Picker ID ]],$Q$3,RawData[Checker ID],$Q$4,RawData[[Error Type ]],$Q$5))</f>
        <v/>
      </c>
    </row>
    <row r="15607" spans="15:15" x14ac:dyDescent="0.25">
      <c r="O15607" s="20" t="str">
        <f>IF(N15607="","",COUNTIFS(RawData[[Date ]],N15607,RawData[Month List],$Q$6,RawData[Tour/Site],$Q$2,RawData[[Picker ID ]],$Q$3,RawData[Checker ID],$Q$4,RawData[[Error Type ]],$Q$5))</f>
        <v/>
      </c>
    </row>
    <row r="15608" spans="15:15" x14ac:dyDescent="0.25">
      <c r="O15608" s="20" t="str">
        <f>IF(N15608="","",COUNTIFS(RawData[[Date ]],N15608,RawData[Month List],$Q$6,RawData[Tour/Site],$Q$2,RawData[[Picker ID ]],$Q$3,RawData[Checker ID],$Q$4,RawData[[Error Type ]],$Q$5))</f>
        <v/>
      </c>
    </row>
    <row r="15609" spans="15:15" x14ac:dyDescent="0.25">
      <c r="O15609" s="20" t="str">
        <f>IF(N15609="","",COUNTIFS(RawData[[Date ]],N15609,RawData[Month List],$Q$6,RawData[Tour/Site],$Q$2,RawData[[Picker ID ]],$Q$3,RawData[Checker ID],$Q$4,RawData[[Error Type ]],$Q$5))</f>
        <v/>
      </c>
    </row>
    <row r="15610" spans="15:15" x14ac:dyDescent="0.25">
      <c r="O15610" s="20" t="str">
        <f>IF(N15610="","",COUNTIFS(RawData[[Date ]],N15610,RawData[Month List],$Q$6,RawData[Tour/Site],$Q$2,RawData[[Picker ID ]],$Q$3,RawData[Checker ID],$Q$4,RawData[[Error Type ]],$Q$5))</f>
        <v/>
      </c>
    </row>
    <row r="15611" spans="15:15" x14ac:dyDescent="0.25">
      <c r="O15611" s="20" t="str">
        <f>IF(N15611="","",COUNTIFS(RawData[[Date ]],N15611,RawData[Month List],$Q$6,RawData[Tour/Site],$Q$2,RawData[[Picker ID ]],$Q$3,RawData[Checker ID],$Q$4,RawData[[Error Type ]],$Q$5))</f>
        <v/>
      </c>
    </row>
    <row r="15612" spans="15:15" x14ac:dyDescent="0.25">
      <c r="O15612" s="20" t="str">
        <f>IF(N15612="","",COUNTIFS(RawData[[Date ]],N15612,RawData[Month List],$Q$6,RawData[Tour/Site],$Q$2,RawData[[Picker ID ]],$Q$3,RawData[Checker ID],$Q$4,RawData[[Error Type ]],$Q$5))</f>
        <v/>
      </c>
    </row>
    <row r="15613" spans="15:15" x14ac:dyDescent="0.25">
      <c r="O15613" s="20" t="str">
        <f>IF(N15613="","",COUNTIFS(RawData[[Date ]],N15613,RawData[Month List],$Q$6,RawData[Tour/Site],$Q$2,RawData[[Picker ID ]],$Q$3,RawData[Checker ID],$Q$4,RawData[[Error Type ]],$Q$5))</f>
        <v/>
      </c>
    </row>
    <row r="15614" spans="15:15" x14ac:dyDescent="0.25">
      <c r="O15614" s="20" t="str">
        <f>IF(N15614="","",COUNTIFS(RawData[[Date ]],N15614,RawData[Month List],$Q$6,RawData[Tour/Site],$Q$2,RawData[[Picker ID ]],$Q$3,RawData[Checker ID],$Q$4,RawData[[Error Type ]],$Q$5))</f>
        <v/>
      </c>
    </row>
    <row r="15615" spans="15:15" x14ac:dyDescent="0.25">
      <c r="O15615" s="20" t="str">
        <f>IF(N15615="","",COUNTIFS(RawData[[Date ]],N15615,RawData[Month List],$Q$6,RawData[Tour/Site],$Q$2,RawData[[Picker ID ]],$Q$3,RawData[Checker ID],$Q$4,RawData[[Error Type ]],$Q$5))</f>
        <v/>
      </c>
    </row>
    <row r="15616" spans="15:15" x14ac:dyDescent="0.25">
      <c r="O15616" s="20" t="str">
        <f>IF(N15616="","",COUNTIFS(RawData[[Date ]],N15616,RawData[Month List],$Q$6,RawData[Tour/Site],$Q$2,RawData[[Picker ID ]],$Q$3,RawData[Checker ID],$Q$4,RawData[[Error Type ]],$Q$5))</f>
        <v/>
      </c>
    </row>
    <row r="15617" spans="15:15" x14ac:dyDescent="0.25">
      <c r="O15617" s="20" t="str">
        <f>IF(N15617="","",COUNTIFS(RawData[[Date ]],N15617,RawData[Month List],$Q$6,RawData[Tour/Site],$Q$2,RawData[[Picker ID ]],$Q$3,RawData[Checker ID],$Q$4,RawData[[Error Type ]],$Q$5))</f>
        <v/>
      </c>
    </row>
    <row r="15618" spans="15:15" x14ac:dyDescent="0.25">
      <c r="O15618" s="20" t="str">
        <f>IF(N15618="","",COUNTIFS(RawData[[Date ]],N15618,RawData[Month List],$Q$6,RawData[Tour/Site],$Q$2,RawData[[Picker ID ]],$Q$3,RawData[Checker ID],$Q$4,RawData[[Error Type ]],$Q$5))</f>
        <v/>
      </c>
    </row>
    <row r="15619" spans="15:15" x14ac:dyDescent="0.25">
      <c r="O15619" s="20" t="str">
        <f>IF(N15619="","",COUNTIFS(RawData[[Date ]],N15619,RawData[Month List],$Q$6,RawData[Tour/Site],$Q$2,RawData[[Picker ID ]],$Q$3,RawData[Checker ID],$Q$4,RawData[[Error Type ]],$Q$5))</f>
        <v/>
      </c>
    </row>
    <row r="15620" spans="15:15" x14ac:dyDescent="0.25">
      <c r="O15620" s="20" t="str">
        <f>IF(N15620="","",COUNTIFS(RawData[[Date ]],N15620,RawData[Month List],$Q$6,RawData[Tour/Site],$Q$2,RawData[[Picker ID ]],$Q$3,RawData[Checker ID],$Q$4,RawData[[Error Type ]],$Q$5))</f>
        <v/>
      </c>
    </row>
    <row r="15621" spans="15:15" x14ac:dyDescent="0.25">
      <c r="O15621" s="20" t="str">
        <f>IF(N15621="","",COUNTIFS(RawData[[Date ]],N15621,RawData[Month List],$Q$6,RawData[Tour/Site],$Q$2,RawData[[Picker ID ]],$Q$3,RawData[Checker ID],$Q$4,RawData[[Error Type ]],$Q$5))</f>
        <v/>
      </c>
    </row>
    <row r="15622" spans="15:15" x14ac:dyDescent="0.25">
      <c r="O15622" s="20" t="str">
        <f>IF(N15622="","",COUNTIFS(RawData[[Date ]],N15622,RawData[Month List],$Q$6,RawData[Tour/Site],$Q$2,RawData[[Picker ID ]],$Q$3,RawData[Checker ID],$Q$4,RawData[[Error Type ]],$Q$5))</f>
        <v/>
      </c>
    </row>
    <row r="15623" spans="15:15" x14ac:dyDescent="0.25">
      <c r="O15623" s="20" t="str">
        <f>IF(N15623="","",COUNTIFS(RawData[[Date ]],N15623,RawData[Month List],$Q$6,RawData[Tour/Site],$Q$2,RawData[[Picker ID ]],$Q$3,RawData[Checker ID],$Q$4,RawData[[Error Type ]],$Q$5))</f>
        <v/>
      </c>
    </row>
    <row r="15624" spans="15:15" x14ac:dyDescent="0.25">
      <c r="O15624" s="20" t="str">
        <f>IF(N15624="","",COUNTIFS(RawData[[Date ]],N15624,RawData[Month List],$Q$6,RawData[Tour/Site],$Q$2,RawData[[Picker ID ]],$Q$3,RawData[Checker ID],$Q$4,RawData[[Error Type ]],$Q$5))</f>
        <v/>
      </c>
    </row>
    <row r="15625" spans="15:15" x14ac:dyDescent="0.25">
      <c r="O15625" s="20" t="str">
        <f>IF(N15625="","",COUNTIFS(RawData[[Date ]],N15625,RawData[Month List],$Q$6,RawData[Tour/Site],$Q$2,RawData[[Picker ID ]],$Q$3,RawData[Checker ID],$Q$4,RawData[[Error Type ]],$Q$5))</f>
        <v/>
      </c>
    </row>
    <row r="15626" spans="15:15" x14ac:dyDescent="0.25">
      <c r="O15626" s="20" t="str">
        <f>IF(N15626="","",COUNTIFS(RawData[[Date ]],N15626,RawData[Month List],$Q$6,RawData[Tour/Site],$Q$2,RawData[[Picker ID ]],$Q$3,RawData[Checker ID],$Q$4,RawData[[Error Type ]],$Q$5))</f>
        <v/>
      </c>
    </row>
    <row r="15627" spans="15:15" x14ac:dyDescent="0.25">
      <c r="O15627" s="20" t="str">
        <f>IF(N15627="","",COUNTIFS(RawData[[Date ]],N15627,RawData[Month List],$Q$6,RawData[Tour/Site],$Q$2,RawData[[Picker ID ]],$Q$3,RawData[Checker ID],$Q$4,RawData[[Error Type ]],$Q$5))</f>
        <v/>
      </c>
    </row>
    <row r="15628" spans="15:15" x14ac:dyDescent="0.25">
      <c r="O15628" s="20" t="str">
        <f>IF(N15628="","",COUNTIFS(RawData[[Date ]],N15628,RawData[Month List],$Q$6,RawData[Tour/Site],$Q$2,RawData[[Picker ID ]],$Q$3,RawData[Checker ID],$Q$4,RawData[[Error Type ]],$Q$5))</f>
        <v/>
      </c>
    </row>
    <row r="15629" spans="15:15" x14ac:dyDescent="0.25">
      <c r="O15629" s="20" t="str">
        <f>IF(N15629="","",COUNTIFS(RawData[[Date ]],N15629,RawData[Month List],$Q$6,RawData[Tour/Site],$Q$2,RawData[[Picker ID ]],$Q$3,RawData[Checker ID],$Q$4,RawData[[Error Type ]],$Q$5))</f>
        <v/>
      </c>
    </row>
    <row r="15630" spans="15:15" x14ac:dyDescent="0.25">
      <c r="O15630" s="20" t="str">
        <f>IF(N15630="","",COUNTIFS(RawData[[Date ]],N15630,RawData[Month List],$Q$6,RawData[Tour/Site],$Q$2,RawData[[Picker ID ]],$Q$3,RawData[Checker ID],$Q$4,RawData[[Error Type ]],$Q$5))</f>
        <v/>
      </c>
    </row>
    <row r="15631" spans="15:15" x14ac:dyDescent="0.25">
      <c r="O15631" s="20" t="str">
        <f>IF(N15631="","",COUNTIFS(RawData[[Date ]],N15631,RawData[Month List],$Q$6,RawData[Tour/Site],$Q$2,RawData[[Picker ID ]],$Q$3,RawData[Checker ID],$Q$4,RawData[[Error Type ]],$Q$5))</f>
        <v/>
      </c>
    </row>
    <row r="15632" spans="15:15" x14ac:dyDescent="0.25">
      <c r="O15632" s="20" t="str">
        <f>IF(N15632="","",COUNTIFS(RawData[[Date ]],N15632,RawData[Month List],$Q$6,RawData[Tour/Site],$Q$2,RawData[[Picker ID ]],$Q$3,RawData[Checker ID],$Q$4,RawData[[Error Type ]],$Q$5))</f>
        <v/>
      </c>
    </row>
    <row r="15633" spans="15:15" x14ac:dyDescent="0.25">
      <c r="O15633" s="20" t="str">
        <f>IF(N15633="","",COUNTIFS(RawData[[Date ]],N15633,RawData[Month List],$Q$6,RawData[Tour/Site],$Q$2,RawData[[Picker ID ]],$Q$3,RawData[Checker ID],$Q$4,RawData[[Error Type ]],$Q$5))</f>
        <v/>
      </c>
    </row>
    <row r="15634" spans="15:15" x14ac:dyDescent="0.25">
      <c r="O15634" s="20" t="str">
        <f>IF(N15634="","",COUNTIFS(RawData[[Date ]],N15634,RawData[Month List],$Q$6,RawData[Tour/Site],$Q$2,RawData[[Picker ID ]],$Q$3,RawData[Checker ID],$Q$4,RawData[[Error Type ]],$Q$5))</f>
        <v/>
      </c>
    </row>
    <row r="15635" spans="15:15" x14ac:dyDescent="0.25">
      <c r="O15635" s="20" t="str">
        <f>IF(N15635="","",COUNTIFS(RawData[[Date ]],N15635,RawData[Month List],$Q$6,RawData[Tour/Site],$Q$2,RawData[[Picker ID ]],$Q$3,RawData[Checker ID],$Q$4,RawData[[Error Type ]],$Q$5))</f>
        <v/>
      </c>
    </row>
    <row r="15636" spans="15:15" x14ac:dyDescent="0.25">
      <c r="O15636" s="20" t="str">
        <f>IF(N15636="","",COUNTIFS(RawData[[Date ]],N15636,RawData[Month List],$Q$6,RawData[Tour/Site],$Q$2,RawData[[Picker ID ]],$Q$3,RawData[Checker ID],$Q$4,RawData[[Error Type ]],$Q$5))</f>
        <v/>
      </c>
    </row>
    <row r="15637" spans="15:15" x14ac:dyDescent="0.25">
      <c r="O15637" s="20" t="str">
        <f>IF(N15637="","",COUNTIFS(RawData[[Date ]],N15637,RawData[Month List],$Q$6,RawData[Tour/Site],$Q$2,RawData[[Picker ID ]],$Q$3,RawData[Checker ID],$Q$4,RawData[[Error Type ]],$Q$5))</f>
        <v/>
      </c>
    </row>
    <row r="15638" spans="15:15" x14ac:dyDescent="0.25">
      <c r="O15638" s="20" t="str">
        <f>IF(N15638="","",COUNTIFS(RawData[[Date ]],N15638,RawData[Month List],$Q$6,RawData[Tour/Site],$Q$2,RawData[[Picker ID ]],$Q$3,RawData[Checker ID],$Q$4,RawData[[Error Type ]],$Q$5))</f>
        <v/>
      </c>
    </row>
    <row r="15639" spans="15:15" x14ac:dyDescent="0.25">
      <c r="O15639" s="20" t="str">
        <f>IF(N15639="","",COUNTIFS(RawData[[Date ]],N15639,RawData[Month List],$Q$6,RawData[Tour/Site],$Q$2,RawData[[Picker ID ]],$Q$3,RawData[Checker ID],$Q$4,RawData[[Error Type ]],$Q$5))</f>
        <v/>
      </c>
    </row>
    <row r="15640" spans="15:15" x14ac:dyDescent="0.25">
      <c r="O15640" s="20" t="str">
        <f>IF(N15640="","",COUNTIFS(RawData[[Date ]],N15640,RawData[Month List],$Q$6,RawData[Tour/Site],$Q$2,RawData[[Picker ID ]],$Q$3,RawData[Checker ID],$Q$4,RawData[[Error Type ]],$Q$5))</f>
        <v/>
      </c>
    </row>
    <row r="15641" spans="15:15" x14ac:dyDescent="0.25">
      <c r="O15641" s="20" t="str">
        <f>IF(N15641="","",COUNTIFS(RawData[[Date ]],N15641,RawData[Month List],$Q$6,RawData[Tour/Site],$Q$2,RawData[[Picker ID ]],$Q$3,RawData[Checker ID],$Q$4,RawData[[Error Type ]],$Q$5))</f>
        <v/>
      </c>
    </row>
    <row r="15642" spans="15:15" x14ac:dyDescent="0.25">
      <c r="O15642" s="20" t="str">
        <f>IF(N15642="","",COUNTIFS(RawData[[Date ]],N15642,RawData[Month List],$Q$6,RawData[Tour/Site],$Q$2,RawData[[Picker ID ]],$Q$3,RawData[Checker ID],$Q$4,RawData[[Error Type ]],$Q$5))</f>
        <v/>
      </c>
    </row>
    <row r="15643" spans="15:15" x14ac:dyDescent="0.25">
      <c r="O15643" s="20" t="str">
        <f>IF(N15643="","",COUNTIFS(RawData[[Date ]],N15643,RawData[Month List],$Q$6,RawData[Tour/Site],$Q$2,RawData[[Picker ID ]],$Q$3,RawData[Checker ID],$Q$4,RawData[[Error Type ]],$Q$5))</f>
        <v/>
      </c>
    </row>
    <row r="15644" spans="15:15" x14ac:dyDescent="0.25">
      <c r="O15644" s="20" t="str">
        <f>IF(N15644="","",COUNTIFS(RawData[[Date ]],N15644,RawData[Month List],$Q$6,RawData[Tour/Site],$Q$2,RawData[[Picker ID ]],$Q$3,RawData[Checker ID],$Q$4,RawData[[Error Type ]],$Q$5))</f>
        <v/>
      </c>
    </row>
    <row r="15645" spans="15:15" x14ac:dyDescent="0.25">
      <c r="O15645" s="20" t="str">
        <f>IF(N15645="","",COUNTIFS(RawData[[Date ]],N15645,RawData[Month List],$Q$6,RawData[Tour/Site],$Q$2,RawData[[Picker ID ]],$Q$3,RawData[Checker ID],$Q$4,RawData[[Error Type ]],$Q$5))</f>
        <v/>
      </c>
    </row>
    <row r="15646" spans="15:15" x14ac:dyDescent="0.25">
      <c r="O15646" s="20" t="str">
        <f>IF(N15646="","",COUNTIFS(RawData[[Date ]],N15646,RawData[Month List],$Q$6,RawData[Tour/Site],$Q$2,RawData[[Picker ID ]],$Q$3,RawData[Checker ID],$Q$4,RawData[[Error Type ]],$Q$5))</f>
        <v/>
      </c>
    </row>
    <row r="15647" spans="15:15" x14ac:dyDescent="0.25">
      <c r="O15647" s="20" t="str">
        <f>IF(N15647="","",COUNTIFS(RawData[[Date ]],N15647,RawData[Month List],$Q$6,RawData[Tour/Site],$Q$2,RawData[[Picker ID ]],$Q$3,RawData[Checker ID],$Q$4,RawData[[Error Type ]],$Q$5))</f>
        <v/>
      </c>
    </row>
    <row r="15648" spans="15:15" x14ac:dyDescent="0.25">
      <c r="O15648" s="20" t="str">
        <f>IF(N15648="","",COUNTIFS(RawData[[Date ]],N15648,RawData[Month List],$Q$6,RawData[Tour/Site],$Q$2,RawData[[Picker ID ]],$Q$3,RawData[Checker ID],$Q$4,RawData[[Error Type ]],$Q$5))</f>
        <v/>
      </c>
    </row>
    <row r="15649" spans="15:15" x14ac:dyDescent="0.25">
      <c r="O15649" s="20" t="str">
        <f>IF(N15649="","",COUNTIFS(RawData[[Date ]],N15649,RawData[Month List],$Q$6,RawData[Tour/Site],$Q$2,RawData[[Picker ID ]],$Q$3,RawData[Checker ID],$Q$4,RawData[[Error Type ]],$Q$5))</f>
        <v/>
      </c>
    </row>
    <row r="15650" spans="15:15" x14ac:dyDescent="0.25">
      <c r="O15650" s="20" t="str">
        <f>IF(N15650="","",COUNTIFS(RawData[[Date ]],N15650,RawData[Month List],$Q$6,RawData[Tour/Site],$Q$2,RawData[[Picker ID ]],$Q$3,RawData[Checker ID],$Q$4,RawData[[Error Type ]],$Q$5))</f>
        <v/>
      </c>
    </row>
    <row r="15651" spans="15:15" x14ac:dyDescent="0.25">
      <c r="O15651" s="20" t="str">
        <f>IF(N15651="","",COUNTIFS(RawData[[Date ]],N15651,RawData[Month List],$Q$6,RawData[Tour/Site],$Q$2,RawData[[Picker ID ]],$Q$3,RawData[Checker ID],$Q$4,RawData[[Error Type ]],$Q$5))</f>
        <v/>
      </c>
    </row>
    <row r="15652" spans="15:15" x14ac:dyDescent="0.25">
      <c r="O15652" s="20" t="str">
        <f>IF(N15652="","",COUNTIFS(RawData[[Date ]],N15652,RawData[Month List],$Q$6,RawData[Tour/Site],$Q$2,RawData[[Picker ID ]],$Q$3,RawData[Checker ID],$Q$4,RawData[[Error Type ]],$Q$5))</f>
        <v/>
      </c>
    </row>
    <row r="15653" spans="15:15" x14ac:dyDescent="0.25">
      <c r="O15653" s="20" t="str">
        <f>IF(N15653="","",COUNTIFS(RawData[[Date ]],N15653,RawData[Month List],$Q$6,RawData[Tour/Site],$Q$2,RawData[[Picker ID ]],$Q$3,RawData[Checker ID],$Q$4,RawData[[Error Type ]],$Q$5))</f>
        <v/>
      </c>
    </row>
    <row r="15654" spans="15:15" x14ac:dyDescent="0.25">
      <c r="O15654" s="20" t="str">
        <f>IF(N15654="","",COUNTIFS(RawData[[Date ]],N15654,RawData[Month List],$Q$6,RawData[Tour/Site],$Q$2,RawData[[Picker ID ]],$Q$3,RawData[Checker ID],$Q$4,RawData[[Error Type ]],$Q$5))</f>
        <v/>
      </c>
    </row>
    <row r="15655" spans="15:15" x14ac:dyDescent="0.25">
      <c r="O15655" s="20" t="str">
        <f>IF(N15655="","",COUNTIFS(RawData[[Date ]],N15655,RawData[Month List],$Q$6,RawData[Tour/Site],$Q$2,RawData[[Picker ID ]],$Q$3,RawData[Checker ID],$Q$4,RawData[[Error Type ]],$Q$5))</f>
        <v/>
      </c>
    </row>
    <row r="15656" spans="15:15" x14ac:dyDescent="0.25">
      <c r="O15656" s="20" t="str">
        <f>IF(N15656="","",COUNTIFS(RawData[[Date ]],N15656,RawData[Month List],$Q$6,RawData[Tour/Site],$Q$2,RawData[[Picker ID ]],$Q$3,RawData[Checker ID],$Q$4,RawData[[Error Type ]],$Q$5))</f>
        <v/>
      </c>
    </row>
    <row r="15657" spans="15:15" x14ac:dyDescent="0.25">
      <c r="O15657" s="20" t="str">
        <f>IF(N15657="","",COUNTIFS(RawData[[Date ]],N15657,RawData[Month List],$Q$6,RawData[Tour/Site],$Q$2,RawData[[Picker ID ]],$Q$3,RawData[Checker ID],$Q$4,RawData[[Error Type ]],$Q$5))</f>
        <v/>
      </c>
    </row>
    <row r="15658" spans="15:15" x14ac:dyDescent="0.25">
      <c r="O15658" s="20" t="str">
        <f>IF(N15658="","",COUNTIFS(RawData[[Date ]],N15658,RawData[Month List],$Q$6,RawData[Tour/Site],$Q$2,RawData[[Picker ID ]],$Q$3,RawData[Checker ID],$Q$4,RawData[[Error Type ]],$Q$5))</f>
        <v/>
      </c>
    </row>
    <row r="15659" spans="15:15" x14ac:dyDescent="0.25">
      <c r="O15659" s="20" t="str">
        <f>IF(N15659="","",COUNTIFS(RawData[[Date ]],N15659,RawData[Month List],$Q$6,RawData[Tour/Site],$Q$2,RawData[[Picker ID ]],$Q$3,RawData[Checker ID],$Q$4,RawData[[Error Type ]],$Q$5))</f>
        <v/>
      </c>
    </row>
    <row r="15660" spans="15:15" x14ac:dyDescent="0.25">
      <c r="O15660" s="20" t="str">
        <f>IF(N15660="","",COUNTIFS(RawData[[Date ]],N15660,RawData[Month List],$Q$6,RawData[Tour/Site],$Q$2,RawData[[Picker ID ]],$Q$3,RawData[Checker ID],$Q$4,RawData[[Error Type ]],$Q$5))</f>
        <v/>
      </c>
    </row>
    <row r="15661" spans="15:15" x14ac:dyDescent="0.25">
      <c r="O15661" s="20" t="str">
        <f>IF(N15661="","",COUNTIFS(RawData[[Date ]],N15661,RawData[Month List],$Q$6,RawData[Tour/Site],$Q$2,RawData[[Picker ID ]],$Q$3,RawData[Checker ID],$Q$4,RawData[[Error Type ]],$Q$5))</f>
        <v/>
      </c>
    </row>
    <row r="15662" spans="15:15" x14ac:dyDescent="0.25">
      <c r="O15662" s="20" t="str">
        <f>IF(N15662="","",COUNTIFS(RawData[[Date ]],N15662,RawData[Month List],$Q$6,RawData[Tour/Site],$Q$2,RawData[[Picker ID ]],$Q$3,RawData[Checker ID],$Q$4,RawData[[Error Type ]],$Q$5))</f>
        <v/>
      </c>
    </row>
    <row r="15663" spans="15:15" x14ac:dyDescent="0.25">
      <c r="O15663" s="20" t="str">
        <f>IF(N15663="","",COUNTIFS(RawData[[Date ]],N15663,RawData[Month List],$Q$6,RawData[Tour/Site],$Q$2,RawData[[Picker ID ]],$Q$3,RawData[Checker ID],$Q$4,RawData[[Error Type ]],$Q$5))</f>
        <v/>
      </c>
    </row>
    <row r="15664" spans="15:15" x14ac:dyDescent="0.25">
      <c r="O15664" s="20" t="str">
        <f>IF(N15664="","",COUNTIFS(RawData[[Date ]],N15664,RawData[Month List],$Q$6,RawData[Tour/Site],$Q$2,RawData[[Picker ID ]],$Q$3,RawData[Checker ID],$Q$4,RawData[[Error Type ]],$Q$5))</f>
        <v/>
      </c>
    </row>
    <row r="15665" spans="15:15" x14ac:dyDescent="0.25">
      <c r="O15665" s="20" t="str">
        <f>IF(N15665="","",COUNTIFS(RawData[[Date ]],N15665,RawData[Month List],$Q$6,RawData[Tour/Site],$Q$2,RawData[[Picker ID ]],$Q$3,RawData[Checker ID],$Q$4,RawData[[Error Type ]],$Q$5))</f>
        <v/>
      </c>
    </row>
    <row r="15666" spans="15:15" x14ac:dyDescent="0.25">
      <c r="O15666" s="20" t="str">
        <f>IF(N15666="","",COUNTIFS(RawData[[Date ]],N15666,RawData[Month List],$Q$6,RawData[Tour/Site],$Q$2,RawData[[Picker ID ]],$Q$3,RawData[Checker ID],$Q$4,RawData[[Error Type ]],$Q$5))</f>
        <v/>
      </c>
    </row>
    <row r="15667" spans="15:15" x14ac:dyDescent="0.25">
      <c r="O15667" s="20" t="str">
        <f>IF(N15667="","",COUNTIFS(RawData[[Date ]],N15667,RawData[Month List],$Q$6,RawData[Tour/Site],$Q$2,RawData[[Picker ID ]],$Q$3,RawData[Checker ID],$Q$4,RawData[[Error Type ]],$Q$5))</f>
        <v/>
      </c>
    </row>
    <row r="15668" spans="15:15" x14ac:dyDescent="0.25">
      <c r="O15668" s="20" t="str">
        <f>IF(N15668="","",COUNTIFS(RawData[[Date ]],N15668,RawData[Month List],$Q$6,RawData[Tour/Site],$Q$2,RawData[[Picker ID ]],$Q$3,RawData[Checker ID],$Q$4,RawData[[Error Type ]],$Q$5))</f>
        <v/>
      </c>
    </row>
    <row r="15669" spans="15:15" x14ac:dyDescent="0.25">
      <c r="O15669" s="20" t="str">
        <f>IF(N15669="","",COUNTIFS(RawData[[Date ]],N15669,RawData[Month List],$Q$6,RawData[Tour/Site],$Q$2,RawData[[Picker ID ]],$Q$3,RawData[Checker ID],$Q$4,RawData[[Error Type ]],$Q$5))</f>
        <v/>
      </c>
    </row>
    <row r="15670" spans="15:15" x14ac:dyDescent="0.25">
      <c r="O15670" s="20" t="str">
        <f>IF(N15670="","",COUNTIFS(RawData[[Date ]],N15670,RawData[Month List],$Q$6,RawData[Tour/Site],$Q$2,RawData[[Picker ID ]],$Q$3,RawData[Checker ID],$Q$4,RawData[[Error Type ]],$Q$5))</f>
        <v/>
      </c>
    </row>
    <row r="15671" spans="15:15" x14ac:dyDescent="0.25">
      <c r="O15671" s="20" t="str">
        <f>IF(N15671="","",COUNTIFS(RawData[[Date ]],N15671,RawData[Month List],$Q$6,RawData[Tour/Site],$Q$2,RawData[[Picker ID ]],$Q$3,RawData[Checker ID],$Q$4,RawData[[Error Type ]],$Q$5))</f>
        <v/>
      </c>
    </row>
    <row r="15672" spans="15:15" x14ac:dyDescent="0.25">
      <c r="O15672" s="20" t="str">
        <f>IF(N15672="","",COUNTIFS(RawData[[Date ]],N15672,RawData[Month List],$Q$6,RawData[Tour/Site],$Q$2,RawData[[Picker ID ]],$Q$3,RawData[Checker ID],$Q$4,RawData[[Error Type ]],$Q$5))</f>
        <v/>
      </c>
    </row>
    <row r="15673" spans="15:15" x14ac:dyDescent="0.25">
      <c r="O15673" s="20" t="str">
        <f>IF(N15673="","",COUNTIFS(RawData[[Date ]],N15673,RawData[Month List],$Q$6,RawData[Tour/Site],$Q$2,RawData[[Picker ID ]],$Q$3,RawData[Checker ID],$Q$4,RawData[[Error Type ]],$Q$5))</f>
        <v/>
      </c>
    </row>
    <row r="15674" spans="15:15" x14ac:dyDescent="0.25">
      <c r="O15674" s="20" t="str">
        <f>IF(N15674="","",COUNTIFS(RawData[[Date ]],N15674,RawData[Month List],$Q$6,RawData[Tour/Site],$Q$2,RawData[[Picker ID ]],$Q$3,RawData[Checker ID],$Q$4,RawData[[Error Type ]],$Q$5))</f>
        <v/>
      </c>
    </row>
    <row r="15675" spans="15:15" x14ac:dyDescent="0.25">
      <c r="O15675" s="20" t="str">
        <f>IF(N15675="","",COUNTIFS(RawData[[Date ]],N15675,RawData[Month List],$Q$6,RawData[Tour/Site],$Q$2,RawData[[Picker ID ]],$Q$3,RawData[Checker ID],$Q$4,RawData[[Error Type ]],$Q$5))</f>
        <v/>
      </c>
    </row>
    <row r="15676" spans="15:15" x14ac:dyDescent="0.25">
      <c r="O15676" s="20" t="str">
        <f>IF(N15676="","",COUNTIFS(RawData[[Date ]],N15676,RawData[Month List],$Q$6,RawData[Tour/Site],$Q$2,RawData[[Picker ID ]],$Q$3,RawData[Checker ID],$Q$4,RawData[[Error Type ]],$Q$5))</f>
        <v/>
      </c>
    </row>
    <row r="15677" spans="15:15" x14ac:dyDescent="0.25">
      <c r="O15677" s="20" t="str">
        <f>IF(N15677="","",COUNTIFS(RawData[[Date ]],N15677,RawData[Month List],$Q$6,RawData[Tour/Site],$Q$2,RawData[[Picker ID ]],$Q$3,RawData[Checker ID],$Q$4,RawData[[Error Type ]],$Q$5))</f>
        <v/>
      </c>
    </row>
    <row r="15678" spans="15:15" x14ac:dyDescent="0.25">
      <c r="O15678" s="20" t="str">
        <f>IF(N15678="","",COUNTIFS(RawData[[Date ]],N15678,RawData[Month List],$Q$6,RawData[Tour/Site],$Q$2,RawData[[Picker ID ]],$Q$3,RawData[Checker ID],$Q$4,RawData[[Error Type ]],$Q$5))</f>
        <v/>
      </c>
    </row>
    <row r="15679" spans="15:15" x14ac:dyDescent="0.25">
      <c r="O15679" s="20" t="str">
        <f>IF(N15679="","",COUNTIFS(RawData[[Date ]],N15679,RawData[Month List],$Q$6,RawData[Tour/Site],$Q$2,RawData[[Picker ID ]],$Q$3,RawData[Checker ID],$Q$4,RawData[[Error Type ]],$Q$5))</f>
        <v/>
      </c>
    </row>
    <row r="15680" spans="15:15" x14ac:dyDescent="0.25">
      <c r="O15680" s="20" t="str">
        <f>IF(N15680="","",COUNTIFS(RawData[[Date ]],N15680,RawData[Month List],$Q$6,RawData[Tour/Site],$Q$2,RawData[[Picker ID ]],$Q$3,RawData[Checker ID],$Q$4,RawData[[Error Type ]],$Q$5))</f>
        <v/>
      </c>
    </row>
    <row r="15681" spans="15:15" x14ac:dyDescent="0.25">
      <c r="O15681" s="20" t="str">
        <f>IF(N15681="","",COUNTIFS(RawData[[Date ]],N15681,RawData[Month List],$Q$6,RawData[Tour/Site],$Q$2,RawData[[Picker ID ]],$Q$3,RawData[Checker ID],$Q$4,RawData[[Error Type ]],$Q$5))</f>
        <v/>
      </c>
    </row>
    <row r="15682" spans="15:15" x14ac:dyDescent="0.25">
      <c r="O15682" s="20" t="str">
        <f>IF(N15682="","",COUNTIFS(RawData[[Date ]],N15682,RawData[Month List],$Q$6,RawData[Tour/Site],$Q$2,RawData[[Picker ID ]],$Q$3,RawData[Checker ID],$Q$4,RawData[[Error Type ]],$Q$5))</f>
        <v/>
      </c>
    </row>
    <row r="15683" spans="15:15" x14ac:dyDescent="0.25">
      <c r="O15683" s="20" t="str">
        <f>IF(N15683="","",COUNTIFS(RawData[[Date ]],N15683,RawData[Month List],$Q$6,RawData[Tour/Site],$Q$2,RawData[[Picker ID ]],$Q$3,RawData[Checker ID],$Q$4,RawData[[Error Type ]],$Q$5))</f>
        <v/>
      </c>
    </row>
    <row r="15684" spans="15:15" x14ac:dyDescent="0.25">
      <c r="O15684" s="20" t="str">
        <f>IF(N15684="","",COUNTIFS(RawData[[Date ]],N15684,RawData[Month List],$Q$6,RawData[Tour/Site],$Q$2,RawData[[Picker ID ]],$Q$3,RawData[Checker ID],$Q$4,RawData[[Error Type ]],$Q$5))</f>
        <v/>
      </c>
    </row>
    <row r="15685" spans="15:15" x14ac:dyDescent="0.25">
      <c r="O15685" s="20" t="str">
        <f>IF(N15685="","",COUNTIFS(RawData[[Date ]],N15685,RawData[Month List],$Q$6,RawData[Tour/Site],$Q$2,RawData[[Picker ID ]],$Q$3,RawData[Checker ID],$Q$4,RawData[[Error Type ]],$Q$5))</f>
        <v/>
      </c>
    </row>
    <row r="15686" spans="15:15" x14ac:dyDescent="0.25">
      <c r="O15686" s="20" t="str">
        <f>IF(N15686="","",COUNTIFS(RawData[[Date ]],N15686,RawData[Month List],$Q$6,RawData[Tour/Site],$Q$2,RawData[[Picker ID ]],$Q$3,RawData[Checker ID],$Q$4,RawData[[Error Type ]],$Q$5))</f>
        <v/>
      </c>
    </row>
    <row r="15687" spans="15:15" x14ac:dyDescent="0.25">
      <c r="O15687" s="20" t="str">
        <f>IF(N15687="","",COUNTIFS(RawData[[Date ]],N15687,RawData[Month List],$Q$6,RawData[Tour/Site],$Q$2,RawData[[Picker ID ]],$Q$3,RawData[Checker ID],$Q$4,RawData[[Error Type ]],$Q$5))</f>
        <v/>
      </c>
    </row>
    <row r="15688" spans="15:15" x14ac:dyDescent="0.25">
      <c r="O15688" s="20" t="str">
        <f>IF(N15688="","",COUNTIFS(RawData[[Date ]],N15688,RawData[Month List],$Q$6,RawData[Tour/Site],$Q$2,RawData[[Picker ID ]],$Q$3,RawData[Checker ID],$Q$4,RawData[[Error Type ]],$Q$5))</f>
        <v/>
      </c>
    </row>
    <row r="15689" spans="15:15" x14ac:dyDescent="0.25">
      <c r="O15689" s="20" t="str">
        <f>IF(N15689="","",COUNTIFS(RawData[[Date ]],N15689,RawData[Month List],$Q$6,RawData[Tour/Site],$Q$2,RawData[[Picker ID ]],$Q$3,RawData[Checker ID],$Q$4,RawData[[Error Type ]],$Q$5))</f>
        <v/>
      </c>
    </row>
    <row r="15690" spans="15:15" x14ac:dyDescent="0.25">
      <c r="O15690" s="20" t="str">
        <f>IF(N15690="","",COUNTIFS(RawData[[Date ]],N15690,RawData[Month List],$Q$6,RawData[Tour/Site],$Q$2,RawData[[Picker ID ]],$Q$3,RawData[Checker ID],$Q$4,RawData[[Error Type ]],$Q$5))</f>
        <v/>
      </c>
    </row>
    <row r="15691" spans="15:15" x14ac:dyDescent="0.25">
      <c r="O15691" s="20" t="str">
        <f>IF(N15691="","",COUNTIFS(RawData[[Date ]],N15691,RawData[Month List],$Q$6,RawData[Tour/Site],$Q$2,RawData[[Picker ID ]],$Q$3,RawData[Checker ID],$Q$4,RawData[[Error Type ]],$Q$5))</f>
        <v/>
      </c>
    </row>
    <row r="15692" spans="15:15" x14ac:dyDescent="0.25">
      <c r="O15692" s="20" t="str">
        <f>IF(N15692="","",COUNTIFS(RawData[[Date ]],N15692,RawData[Month List],$Q$6,RawData[Tour/Site],$Q$2,RawData[[Picker ID ]],$Q$3,RawData[Checker ID],$Q$4,RawData[[Error Type ]],$Q$5))</f>
        <v/>
      </c>
    </row>
    <row r="15693" spans="15:15" x14ac:dyDescent="0.25">
      <c r="O15693" s="20" t="str">
        <f>IF(N15693="","",COUNTIFS(RawData[[Date ]],N15693,RawData[Month List],$Q$6,RawData[Tour/Site],$Q$2,RawData[[Picker ID ]],$Q$3,RawData[Checker ID],$Q$4,RawData[[Error Type ]],$Q$5))</f>
        <v/>
      </c>
    </row>
    <row r="15694" spans="15:15" x14ac:dyDescent="0.25">
      <c r="O15694" s="20" t="str">
        <f>IF(N15694="","",COUNTIFS(RawData[[Date ]],N15694,RawData[Month List],$Q$6,RawData[Tour/Site],$Q$2,RawData[[Picker ID ]],$Q$3,RawData[Checker ID],$Q$4,RawData[[Error Type ]],$Q$5))</f>
        <v/>
      </c>
    </row>
    <row r="15695" spans="15:15" x14ac:dyDescent="0.25">
      <c r="O15695" s="20" t="str">
        <f>IF(N15695="","",COUNTIFS(RawData[[Date ]],N15695,RawData[Month List],$Q$6,RawData[Tour/Site],$Q$2,RawData[[Picker ID ]],$Q$3,RawData[Checker ID],$Q$4,RawData[[Error Type ]],$Q$5))</f>
        <v/>
      </c>
    </row>
    <row r="15696" spans="15:15" x14ac:dyDescent="0.25">
      <c r="O15696" s="20" t="str">
        <f>IF(N15696="","",COUNTIFS(RawData[[Date ]],N15696,RawData[Month List],$Q$6,RawData[Tour/Site],$Q$2,RawData[[Picker ID ]],$Q$3,RawData[Checker ID],$Q$4,RawData[[Error Type ]],$Q$5))</f>
        <v/>
      </c>
    </row>
    <row r="15697" spans="15:15" x14ac:dyDescent="0.25">
      <c r="O15697" s="20" t="str">
        <f>IF(N15697="","",COUNTIFS(RawData[[Date ]],N15697,RawData[Month List],$Q$6,RawData[Tour/Site],$Q$2,RawData[[Picker ID ]],$Q$3,RawData[Checker ID],$Q$4,RawData[[Error Type ]],$Q$5))</f>
        <v/>
      </c>
    </row>
    <row r="15698" spans="15:15" x14ac:dyDescent="0.25">
      <c r="O15698" s="20" t="str">
        <f>IF(N15698="","",COUNTIFS(RawData[[Date ]],N15698,RawData[Month List],$Q$6,RawData[Tour/Site],$Q$2,RawData[[Picker ID ]],$Q$3,RawData[Checker ID],$Q$4,RawData[[Error Type ]],$Q$5))</f>
        <v/>
      </c>
    </row>
    <row r="15699" spans="15:15" x14ac:dyDescent="0.25">
      <c r="O15699" s="20" t="str">
        <f>IF(N15699="","",COUNTIFS(RawData[[Date ]],N15699,RawData[Month List],$Q$6,RawData[Tour/Site],$Q$2,RawData[[Picker ID ]],$Q$3,RawData[Checker ID],$Q$4,RawData[[Error Type ]],$Q$5))</f>
        <v/>
      </c>
    </row>
    <row r="15700" spans="15:15" x14ac:dyDescent="0.25">
      <c r="O15700" s="20" t="str">
        <f>IF(N15700="","",COUNTIFS(RawData[[Date ]],N15700,RawData[Month List],$Q$6,RawData[Tour/Site],$Q$2,RawData[[Picker ID ]],$Q$3,RawData[Checker ID],$Q$4,RawData[[Error Type ]],$Q$5))</f>
        <v/>
      </c>
    </row>
    <row r="15701" spans="15:15" x14ac:dyDescent="0.25">
      <c r="O15701" s="20" t="str">
        <f>IF(N15701="","",COUNTIFS(RawData[[Date ]],N15701,RawData[Month List],$Q$6,RawData[Tour/Site],$Q$2,RawData[[Picker ID ]],$Q$3,RawData[Checker ID],$Q$4,RawData[[Error Type ]],$Q$5))</f>
        <v/>
      </c>
    </row>
    <row r="15702" spans="15:15" x14ac:dyDescent="0.25">
      <c r="O15702" s="20" t="str">
        <f>IF(N15702="","",COUNTIFS(RawData[[Date ]],N15702,RawData[Month List],$Q$6,RawData[Tour/Site],$Q$2,RawData[[Picker ID ]],$Q$3,RawData[Checker ID],$Q$4,RawData[[Error Type ]],$Q$5))</f>
        <v/>
      </c>
    </row>
    <row r="15703" spans="15:15" x14ac:dyDescent="0.25">
      <c r="O15703" s="20" t="str">
        <f>IF(N15703="","",COUNTIFS(RawData[[Date ]],N15703,RawData[Month List],$Q$6,RawData[Tour/Site],$Q$2,RawData[[Picker ID ]],$Q$3,RawData[Checker ID],$Q$4,RawData[[Error Type ]],$Q$5))</f>
        <v/>
      </c>
    </row>
    <row r="15704" spans="15:15" x14ac:dyDescent="0.25">
      <c r="O15704" s="20" t="str">
        <f>IF(N15704="","",COUNTIFS(RawData[[Date ]],N15704,RawData[Month List],$Q$6,RawData[Tour/Site],$Q$2,RawData[[Picker ID ]],$Q$3,RawData[Checker ID],$Q$4,RawData[[Error Type ]],$Q$5))</f>
        <v/>
      </c>
    </row>
    <row r="15705" spans="15:15" x14ac:dyDescent="0.25">
      <c r="O15705" s="20" t="str">
        <f>IF(N15705="","",COUNTIFS(RawData[[Date ]],N15705,RawData[Month List],$Q$6,RawData[Tour/Site],$Q$2,RawData[[Picker ID ]],$Q$3,RawData[Checker ID],$Q$4,RawData[[Error Type ]],$Q$5))</f>
        <v/>
      </c>
    </row>
    <row r="15706" spans="15:15" x14ac:dyDescent="0.25">
      <c r="O15706" s="20" t="str">
        <f>IF(N15706="","",COUNTIFS(RawData[[Date ]],N15706,RawData[Month List],$Q$6,RawData[Tour/Site],$Q$2,RawData[[Picker ID ]],$Q$3,RawData[Checker ID],$Q$4,RawData[[Error Type ]],$Q$5))</f>
        <v/>
      </c>
    </row>
    <row r="15707" spans="15:15" x14ac:dyDescent="0.25">
      <c r="O15707" s="20" t="str">
        <f>IF(N15707="","",COUNTIFS(RawData[[Date ]],N15707,RawData[Month List],$Q$6,RawData[Tour/Site],$Q$2,RawData[[Picker ID ]],$Q$3,RawData[Checker ID],$Q$4,RawData[[Error Type ]],$Q$5))</f>
        <v/>
      </c>
    </row>
    <row r="15708" spans="15:15" x14ac:dyDescent="0.25">
      <c r="O15708" s="20" t="str">
        <f>IF(N15708="","",COUNTIFS(RawData[[Date ]],N15708,RawData[Month List],$Q$6,RawData[Tour/Site],$Q$2,RawData[[Picker ID ]],$Q$3,RawData[Checker ID],$Q$4,RawData[[Error Type ]],$Q$5))</f>
        <v/>
      </c>
    </row>
    <row r="15709" spans="15:15" x14ac:dyDescent="0.25">
      <c r="O15709" s="20" t="str">
        <f>IF(N15709="","",COUNTIFS(RawData[[Date ]],N15709,RawData[Month List],$Q$6,RawData[Tour/Site],$Q$2,RawData[[Picker ID ]],$Q$3,RawData[Checker ID],$Q$4,RawData[[Error Type ]],$Q$5))</f>
        <v/>
      </c>
    </row>
    <row r="15710" spans="15:15" x14ac:dyDescent="0.25">
      <c r="O15710" s="20" t="str">
        <f>IF(N15710="","",COUNTIFS(RawData[[Date ]],N15710,RawData[Month List],$Q$6,RawData[Tour/Site],$Q$2,RawData[[Picker ID ]],$Q$3,RawData[Checker ID],$Q$4,RawData[[Error Type ]],$Q$5))</f>
        <v/>
      </c>
    </row>
    <row r="15711" spans="15:15" x14ac:dyDescent="0.25">
      <c r="O15711" s="20" t="str">
        <f>IF(N15711="","",COUNTIFS(RawData[[Date ]],N15711,RawData[Month List],$Q$6,RawData[Tour/Site],$Q$2,RawData[[Picker ID ]],$Q$3,RawData[Checker ID],$Q$4,RawData[[Error Type ]],$Q$5))</f>
        <v/>
      </c>
    </row>
    <row r="15712" spans="15:15" x14ac:dyDescent="0.25">
      <c r="O15712" s="20" t="str">
        <f>IF(N15712="","",COUNTIFS(RawData[[Date ]],N15712,RawData[Month List],$Q$6,RawData[Tour/Site],$Q$2,RawData[[Picker ID ]],$Q$3,RawData[Checker ID],$Q$4,RawData[[Error Type ]],$Q$5))</f>
        <v/>
      </c>
    </row>
    <row r="15713" spans="15:15" x14ac:dyDescent="0.25">
      <c r="O15713" s="20" t="str">
        <f>IF(N15713="","",COUNTIFS(RawData[[Date ]],N15713,RawData[Month List],$Q$6,RawData[Tour/Site],$Q$2,RawData[[Picker ID ]],$Q$3,RawData[Checker ID],$Q$4,RawData[[Error Type ]],$Q$5))</f>
        <v/>
      </c>
    </row>
    <row r="15714" spans="15:15" x14ac:dyDescent="0.25">
      <c r="O15714" s="20" t="str">
        <f>IF(N15714="","",COUNTIFS(RawData[[Date ]],N15714,RawData[Month List],$Q$6,RawData[Tour/Site],$Q$2,RawData[[Picker ID ]],$Q$3,RawData[Checker ID],$Q$4,RawData[[Error Type ]],$Q$5))</f>
        <v/>
      </c>
    </row>
    <row r="15715" spans="15:15" x14ac:dyDescent="0.25">
      <c r="O15715" s="20" t="str">
        <f>IF(N15715="","",COUNTIFS(RawData[[Date ]],N15715,RawData[Month List],$Q$6,RawData[Tour/Site],$Q$2,RawData[[Picker ID ]],$Q$3,RawData[Checker ID],$Q$4,RawData[[Error Type ]],$Q$5))</f>
        <v/>
      </c>
    </row>
    <row r="15716" spans="15:15" x14ac:dyDescent="0.25">
      <c r="O15716" s="20" t="str">
        <f>IF(N15716="","",COUNTIFS(RawData[[Date ]],N15716,RawData[Month List],$Q$6,RawData[Tour/Site],$Q$2,RawData[[Picker ID ]],$Q$3,RawData[Checker ID],$Q$4,RawData[[Error Type ]],$Q$5))</f>
        <v/>
      </c>
    </row>
    <row r="15717" spans="15:15" x14ac:dyDescent="0.25">
      <c r="O15717" s="20" t="str">
        <f>IF(N15717="","",COUNTIFS(RawData[[Date ]],N15717,RawData[Month List],$Q$6,RawData[Tour/Site],$Q$2,RawData[[Picker ID ]],$Q$3,RawData[Checker ID],$Q$4,RawData[[Error Type ]],$Q$5))</f>
        <v/>
      </c>
    </row>
    <row r="15718" spans="15:15" x14ac:dyDescent="0.25">
      <c r="O15718" s="20" t="str">
        <f>IF(N15718="","",COUNTIFS(RawData[[Date ]],N15718,RawData[Month List],$Q$6,RawData[Tour/Site],$Q$2,RawData[[Picker ID ]],$Q$3,RawData[Checker ID],$Q$4,RawData[[Error Type ]],$Q$5))</f>
        <v/>
      </c>
    </row>
    <row r="15719" spans="15:15" x14ac:dyDescent="0.25">
      <c r="O15719" s="20" t="str">
        <f>IF(N15719="","",COUNTIFS(RawData[[Date ]],N15719,RawData[Month List],$Q$6,RawData[Tour/Site],$Q$2,RawData[[Picker ID ]],$Q$3,RawData[Checker ID],$Q$4,RawData[[Error Type ]],$Q$5))</f>
        <v/>
      </c>
    </row>
    <row r="15720" spans="15:15" x14ac:dyDescent="0.25">
      <c r="O15720" s="20" t="str">
        <f>IF(N15720="","",COUNTIFS(RawData[[Date ]],N15720,RawData[Month List],$Q$6,RawData[Tour/Site],$Q$2,RawData[[Picker ID ]],$Q$3,RawData[Checker ID],$Q$4,RawData[[Error Type ]],$Q$5))</f>
        <v/>
      </c>
    </row>
    <row r="15721" spans="15:15" x14ac:dyDescent="0.25">
      <c r="O15721" s="20" t="str">
        <f>IF(N15721="","",COUNTIFS(RawData[[Date ]],N15721,RawData[Month List],$Q$6,RawData[Tour/Site],$Q$2,RawData[[Picker ID ]],$Q$3,RawData[Checker ID],$Q$4,RawData[[Error Type ]],$Q$5))</f>
        <v/>
      </c>
    </row>
    <row r="15722" spans="15:15" x14ac:dyDescent="0.25">
      <c r="O15722" s="20" t="str">
        <f>IF(N15722="","",COUNTIFS(RawData[[Date ]],N15722,RawData[Month List],$Q$6,RawData[Tour/Site],$Q$2,RawData[[Picker ID ]],$Q$3,RawData[Checker ID],$Q$4,RawData[[Error Type ]],$Q$5))</f>
        <v/>
      </c>
    </row>
    <row r="15723" spans="15:15" x14ac:dyDescent="0.25">
      <c r="O15723" s="20" t="str">
        <f>IF(N15723="","",COUNTIFS(RawData[[Date ]],N15723,RawData[Month List],$Q$6,RawData[Tour/Site],$Q$2,RawData[[Picker ID ]],$Q$3,RawData[Checker ID],$Q$4,RawData[[Error Type ]],$Q$5))</f>
        <v/>
      </c>
    </row>
    <row r="15724" spans="15:15" x14ac:dyDescent="0.25">
      <c r="O15724" s="20" t="str">
        <f>IF(N15724="","",COUNTIFS(RawData[[Date ]],N15724,RawData[Month List],$Q$6,RawData[Tour/Site],$Q$2,RawData[[Picker ID ]],$Q$3,RawData[Checker ID],$Q$4,RawData[[Error Type ]],$Q$5))</f>
        <v/>
      </c>
    </row>
    <row r="15725" spans="15:15" x14ac:dyDescent="0.25">
      <c r="O15725" s="20" t="str">
        <f>IF(N15725="","",COUNTIFS(RawData[[Date ]],N15725,RawData[Month List],$Q$6,RawData[Tour/Site],$Q$2,RawData[[Picker ID ]],$Q$3,RawData[Checker ID],$Q$4,RawData[[Error Type ]],$Q$5))</f>
        <v/>
      </c>
    </row>
    <row r="15726" spans="15:15" x14ac:dyDescent="0.25">
      <c r="O15726" s="20" t="str">
        <f>IF(N15726="","",COUNTIFS(RawData[[Date ]],N15726,RawData[Month List],$Q$6,RawData[Tour/Site],$Q$2,RawData[[Picker ID ]],$Q$3,RawData[Checker ID],$Q$4,RawData[[Error Type ]],$Q$5))</f>
        <v/>
      </c>
    </row>
    <row r="15727" spans="15:15" x14ac:dyDescent="0.25">
      <c r="O15727" s="20" t="str">
        <f>IF(N15727="","",COUNTIFS(RawData[[Date ]],N15727,RawData[Month List],$Q$6,RawData[Tour/Site],$Q$2,RawData[[Picker ID ]],$Q$3,RawData[Checker ID],$Q$4,RawData[[Error Type ]],$Q$5))</f>
        <v/>
      </c>
    </row>
    <row r="15728" spans="15:15" x14ac:dyDescent="0.25">
      <c r="O15728" s="20" t="str">
        <f>IF(N15728="","",COUNTIFS(RawData[[Date ]],N15728,RawData[Month List],$Q$6,RawData[Tour/Site],$Q$2,RawData[[Picker ID ]],$Q$3,RawData[Checker ID],$Q$4,RawData[[Error Type ]],$Q$5))</f>
        <v/>
      </c>
    </row>
    <row r="15729" spans="15:15" x14ac:dyDescent="0.25">
      <c r="O15729" s="20" t="str">
        <f>IF(N15729="","",COUNTIFS(RawData[[Date ]],N15729,RawData[Month List],$Q$6,RawData[Tour/Site],$Q$2,RawData[[Picker ID ]],$Q$3,RawData[Checker ID],$Q$4,RawData[[Error Type ]],$Q$5))</f>
        <v/>
      </c>
    </row>
    <row r="15730" spans="15:15" x14ac:dyDescent="0.25">
      <c r="O15730" s="20" t="str">
        <f>IF(N15730="","",COUNTIFS(RawData[[Date ]],N15730,RawData[Month List],$Q$6,RawData[Tour/Site],$Q$2,RawData[[Picker ID ]],$Q$3,RawData[Checker ID],$Q$4,RawData[[Error Type ]],$Q$5))</f>
        <v/>
      </c>
    </row>
    <row r="15731" spans="15:15" x14ac:dyDescent="0.25">
      <c r="O15731" s="20" t="str">
        <f>IF(N15731="","",COUNTIFS(RawData[[Date ]],N15731,RawData[Month List],$Q$6,RawData[Tour/Site],$Q$2,RawData[[Picker ID ]],$Q$3,RawData[Checker ID],$Q$4,RawData[[Error Type ]],$Q$5))</f>
        <v/>
      </c>
    </row>
    <row r="15732" spans="15:15" x14ac:dyDescent="0.25">
      <c r="O15732" s="20" t="str">
        <f>IF(N15732="","",COUNTIFS(RawData[[Date ]],N15732,RawData[Month List],$Q$6,RawData[Tour/Site],$Q$2,RawData[[Picker ID ]],$Q$3,RawData[Checker ID],$Q$4,RawData[[Error Type ]],$Q$5))</f>
        <v/>
      </c>
    </row>
    <row r="15733" spans="15:15" x14ac:dyDescent="0.25">
      <c r="O15733" s="20" t="str">
        <f>IF(N15733="","",COUNTIFS(RawData[[Date ]],N15733,RawData[Month List],$Q$6,RawData[Tour/Site],$Q$2,RawData[[Picker ID ]],$Q$3,RawData[Checker ID],$Q$4,RawData[[Error Type ]],$Q$5))</f>
        <v/>
      </c>
    </row>
    <row r="15734" spans="15:15" x14ac:dyDescent="0.25">
      <c r="O15734" s="20" t="str">
        <f>IF(N15734="","",COUNTIFS(RawData[[Date ]],N15734,RawData[Month List],$Q$6,RawData[Tour/Site],$Q$2,RawData[[Picker ID ]],$Q$3,RawData[Checker ID],$Q$4,RawData[[Error Type ]],$Q$5))</f>
        <v/>
      </c>
    </row>
    <row r="15735" spans="15:15" x14ac:dyDescent="0.25">
      <c r="O15735" s="20" t="str">
        <f>IF(N15735="","",COUNTIFS(RawData[[Date ]],N15735,RawData[Month List],$Q$6,RawData[Tour/Site],$Q$2,RawData[[Picker ID ]],$Q$3,RawData[Checker ID],$Q$4,RawData[[Error Type ]],$Q$5))</f>
        <v/>
      </c>
    </row>
    <row r="15736" spans="15:15" x14ac:dyDescent="0.25">
      <c r="O15736" s="20" t="str">
        <f>IF(N15736="","",COUNTIFS(RawData[[Date ]],N15736,RawData[Month List],$Q$6,RawData[Tour/Site],$Q$2,RawData[[Picker ID ]],$Q$3,RawData[Checker ID],$Q$4,RawData[[Error Type ]],$Q$5))</f>
        <v/>
      </c>
    </row>
    <row r="15737" spans="15:15" x14ac:dyDescent="0.25">
      <c r="O15737" s="20" t="str">
        <f>IF(N15737="","",COUNTIFS(RawData[[Date ]],N15737,RawData[Month List],$Q$6,RawData[Tour/Site],$Q$2,RawData[[Picker ID ]],$Q$3,RawData[Checker ID],$Q$4,RawData[[Error Type ]],$Q$5))</f>
        <v/>
      </c>
    </row>
    <row r="15738" spans="15:15" x14ac:dyDescent="0.25">
      <c r="O15738" s="20" t="str">
        <f>IF(N15738="","",COUNTIFS(RawData[[Date ]],N15738,RawData[Month List],$Q$6,RawData[Tour/Site],$Q$2,RawData[[Picker ID ]],$Q$3,RawData[Checker ID],$Q$4,RawData[[Error Type ]],$Q$5))</f>
        <v/>
      </c>
    </row>
    <row r="15739" spans="15:15" x14ac:dyDescent="0.25">
      <c r="O15739" s="20" t="str">
        <f>IF(N15739="","",COUNTIFS(RawData[[Date ]],N15739,RawData[Month List],$Q$6,RawData[Tour/Site],$Q$2,RawData[[Picker ID ]],$Q$3,RawData[Checker ID],$Q$4,RawData[[Error Type ]],$Q$5))</f>
        <v/>
      </c>
    </row>
    <row r="15740" spans="15:15" x14ac:dyDescent="0.25">
      <c r="O15740" s="20" t="str">
        <f>IF(N15740="","",COUNTIFS(RawData[[Date ]],N15740,RawData[Month List],$Q$6,RawData[Tour/Site],$Q$2,RawData[[Picker ID ]],$Q$3,RawData[Checker ID],$Q$4,RawData[[Error Type ]],$Q$5))</f>
        <v/>
      </c>
    </row>
    <row r="15741" spans="15:15" x14ac:dyDescent="0.25">
      <c r="O15741" s="20" t="str">
        <f>IF(N15741="","",COUNTIFS(RawData[[Date ]],N15741,RawData[Month List],$Q$6,RawData[Tour/Site],$Q$2,RawData[[Picker ID ]],$Q$3,RawData[Checker ID],$Q$4,RawData[[Error Type ]],$Q$5))</f>
        <v/>
      </c>
    </row>
    <row r="15742" spans="15:15" x14ac:dyDescent="0.25">
      <c r="O15742" s="20" t="str">
        <f>IF(N15742="","",COUNTIFS(RawData[[Date ]],N15742,RawData[Month List],$Q$6,RawData[Tour/Site],$Q$2,RawData[[Picker ID ]],$Q$3,RawData[Checker ID],$Q$4,RawData[[Error Type ]],$Q$5))</f>
        <v/>
      </c>
    </row>
    <row r="15743" spans="15:15" x14ac:dyDescent="0.25">
      <c r="O15743" s="20" t="str">
        <f>IF(N15743="","",COUNTIFS(RawData[[Date ]],N15743,RawData[Month List],$Q$6,RawData[Tour/Site],$Q$2,RawData[[Picker ID ]],$Q$3,RawData[Checker ID],$Q$4,RawData[[Error Type ]],$Q$5))</f>
        <v/>
      </c>
    </row>
    <row r="15744" spans="15:15" x14ac:dyDescent="0.25">
      <c r="O15744" s="20" t="str">
        <f>IF(N15744="","",COUNTIFS(RawData[[Date ]],N15744,RawData[Month List],$Q$6,RawData[Tour/Site],$Q$2,RawData[[Picker ID ]],$Q$3,RawData[Checker ID],$Q$4,RawData[[Error Type ]],$Q$5))</f>
        <v/>
      </c>
    </row>
    <row r="15745" spans="15:15" x14ac:dyDescent="0.25">
      <c r="O15745" s="20" t="str">
        <f>IF(N15745="","",COUNTIFS(RawData[[Date ]],N15745,RawData[Month List],$Q$6,RawData[Tour/Site],$Q$2,RawData[[Picker ID ]],$Q$3,RawData[Checker ID],$Q$4,RawData[[Error Type ]],$Q$5))</f>
        <v/>
      </c>
    </row>
    <row r="15746" spans="15:15" x14ac:dyDescent="0.25">
      <c r="O15746" s="20" t="str">
        <f>IF(N15746="","",COUNTIFS(RawData[[Date ]],N15746,RawData[Month List],$Q$6,RawData[Tour/Site],$Q$2,RawData[[Picker ID ]],$Q$3,RawData[Checker ID],$Q$4,RawData[[Error Type ]],$Q$5))</f>
        <v/>
      </c>
    </row>
    <row r="15747" spans="15:15" x14ac:dyDescent="0.25">
      <c r="O15747" s="20" t="str">
        <f>IF(N15747="","",COUNTIFS(RawData[[Date ]],N15747,RawData[Month List],$Q$6,RawData[Tour/Site],$Q$2,RawData[[Picker ID ]],$Q$3,RawData[Checker ID],$Q$4,RawData[[Error Type ]],$Q$5))</f>
        <v/>
      </c>
    </row>
    <row r="15748" spans="15:15" x14ac:dyDescent="0.25">
      <c r="O15748" s="20" t="str">
        <f>IF(N15748="","",COUNTIFS(RawData[[Date ]],N15748,RawData[Month List],$Q$6,RawData[Tour/Site],$Q$2,RawData[[Picker ID ]],$Q$3,RawData[Checker ID],$Q$4,RawData[[Error Type ]],$Q$5))</f>
        <v/>
      </c>
    </row>
    <row r="15749" spans="15:15" x14ac:dyDescent="0.25">
      <c r="O15749" s="20" t="str">
        <f>IF(N15749="","",COUNTIFS(RawData[[Date ]],N15749,RawData[Month List],$Q$6,RawData[Tour/Site],$Q$2,RawData[[Picker ID ]],$Q$3,RawData[Checker ID],$Q$4,RawData[[Error Type ]],$Q$5))</f>
        <v/>
      </c>
    </row>
    <row r="15750" spans="15:15" x14ac:dyDescent="0.25">
      <c r="O15750" s="20" t="str">
        <f>IF(N15750="","",COUNTIFS(RawData[[Date ]],N15750,RawData[Month List],$Q$6,RawData[Tour/Site],$Q$2,RawData[[Picker ID ]],$Q$3,RawData[Checker ID],$Q$4,RawData[[Error Type ]],$Q$5))</f>
        <v/>
      </c>
    </row>
    <row r="15751" spans="15:15" x14ac:dyDescent="0.25">
      <c r="O15751" s="20" t="str">
        <f>IF(N15751="","",COUNTIFS(RawData[[Date ]],N15751,RawData[Month List],$Q$6,RawData[Tour/Site],$Q$2,RawData[[Picker ID ]],$Q$3,RawData[Checker ID],$Q$4,RawData[[Error Type ]],$Q$5))</f>
        <v/>
      </c>
    </row>
    <row r="15752" spans="15:15" x14ac:dyDescent="0.25">
      <c r="O15752" s="20" t="str">
        <f>IF(N15752="","",COUNTIFS(RawData[[Date ]],N15752,RawData[Month List],$Q$6,RawData[Tour/Site],$Q$2,RawData[[Picker ID ]],$Q$3,RawData[Checker ID],$Q$4,RawData[[Error Type ]],$Q$5))</f>
        <v/>
      </c>
    </row>
    <row r="15753" spans="15:15" x14ac:dyDescent="0.25">
      <c r="O15753" s="20" t="str">
        <f>IF(N15753="","",COUNTIFS(RawData[[Date ]],N15753,RawData[Month List],$Q$6,RawData[Tour/Site],$Q$2,RawData[[Picker ID ]],$Q$3,RawData[Checker ID],$Q$4,RawData[[Error Type ]],$Q$5))</f>
        <v/>
      </c>
    </row>
    <row r="15754" spans="15:15" x14ac:dyDescent="0.25">
      <c r="O15754" s="20" t="str">
        <f>IF(N15754="","",COUNTIFS(RawData[[Date ]],N15754,RawData[Month List],$Q$6,RawData[Tour/Site],$Q$2,RawData[[Picker ID ]],$Q$3,RawData[Checker ID],$Q$4,RawData[[Error Type ]],$Q$5))</f>
        <v/>
      </c>
    </row>
    <row r="15755" spans="15:15" x14ac:dyDescent="0.25">
      <c r="O15755" s="20" t="str">
        <f>IF(N15755="","",COUNTIFS(RawData[[Date ]],N15755,RawData[Month List],$Q$6,RawData[Tour/Site],$Q$2,RawData[[Picker ID ]],$Q$3,RawData[Checker ID],$Q$4,RawData[[Error Type ]],$Q$5))</f>
        <v/>
      </c>
    </row>
    <row r="15756" spans="15:15" x14ac:dyDescent="0.25">
      <c r="O15756" s="20" t="str">
        <f>IF(N15756="","",COUNTIFS(RawData[[Date ]],N15756,RawData[Month List],$Q$6,RawData[Tour/Site],$Q$2,RawData[[Picker ID ]],$Q$3,RawData[Checker ID],$Q$4,RawData[[Error Type ]],$Q$5))</f>
        <v/>
      </c>
    </row>
    <row r="15757" spans="15:15" x14ac:dyDescent="0.25">
      <c r="O15757" s="20" t="str">
        <f>IF(N15757="","",COUNTIFS(RawData[[Date ]],N15757,RawData[Month List],$Q$6,RawData[Tour/Site],$Q$2,RawData[[Picker ID ]],$Q$3,RawData[Checker ID],$Q$4,RawData[[Error Type ]],$Q$5))</f>
        <v/>
      </c>
    </row>
    <row r="15758" spans="15:15" x14ac:dyDescent="0.25">
      <c r="O15758" s="20" t="str">
        <f>IF(N15758="","",COUNTIFS(RawData[[Date ]],N15758,RawData[Month List],$Q$6,RawData[Tour/Site],$Q$2,RawData[[Picker ID ]],$Q$3,RawData[Checker ID],$Q$4,RawData[[Error Type ]],$Q$5))</f>
        <v/>
      </c>
    </row>
    <row r="15759" spans="15:15" x14ac:dyDescent="0.25">
      <c r="O15759" s="20" t="str">
        <f>IF(N15759="","",COUNTIFS(RawData[[Date ]],N15759,RawData[Month List],$Q$6,RawData[Tour/Site],$Q$2,RawData[[Picker ID ]],$Q$3,RawData[Checker ID],$Q$4,RawData[[Error Type ]],$Q$5))</f>
        <v/>
      </c>
    </row>
    <row r="15760" spans="15:15" x14ac:dyDescent="0.25">
      <c r="O15760" s="20" t="str">
        <f>IF(N15760="","",COUNTIFS(RawData[[Date ]],N15760,RawData[Month List],$Q$6,RawData[Tour/Site],$Q$2,RawData[[Picker ID ]],$Q$3,RawData[Checker ID],$Q$4,RawData[[Error Type ]],$Q$5))</f>
        <v/>
      </c>
    </row>
    <row r="15761" spans="15:15" x14ac:dyDescent="0.25">
      <c r="O15761" s="20" t="str">
        <f>IF(N15761="","",COUNTIFS(RawData[[Date ]],N15761,RawData[Month List],$Q$6,RawData[Tour/Site],$Q$2,RawData[[Picker ID ]],$Q$3,RawData[Checker ID],$Q$4,RawData[[Error Type ]],$Q$5))</f>
        <v/>
      </c>
    </row>
    <row r="15762" spans="15:15" x14ac:dyDescent="0.25">
      <c r="O15762" s="20" t="str">
        <f>IF(N15762="","",COUNTIFS(RawData[[Date ]],N15762,RawData[Month List],$Q$6,RawData[Tour/Site],$Q$2,RawData[[Picker ID ]],$Q$3,RawData[Checker ID],$Q$4,RawData[[Error Type ]],$Q$5))</f>
        <v/>
      </c>
    </row>
    <row r="15763" spans="15:15" x14ac:dyDescent="0.25">
      <c r="O15763" s="20" t="str">
        <f>IF(N15763="","",COUNTIFS(RawData[[Date ]],N15763,RawData[Month List],$Q$6,RawData[Tour/Site],$Q$2,RawData[[Picker ID ]],$Q$3,RawData[Checker ID],$Q$4,RawData[[Error Type ]],$Q$5))</f>
        <v/>
      </c>
    </row>
    <row r="15764" spans="15:15" x14ac:dyDescent="0.25">
      <c r="O15764" s="20" t="str">
        <f>IF(N15764="","",COUNTIFS(RawData[[Date ]],N15764,RawData[Month List],$Q$6,RawData[Tour/Site],$Q$2,RawData[[Picker ID ]],$Q$3,RawData[Checker ID],$Q$4,RawData[[Error Type ]],$Q$5))</f>
        <v/>
      </c>
    </row>
    <row r="15765" spans="15:15" x14ac:dyDescent="0.25">
      <c r="O15765" s="20" t="str">
        <f>IF(N15765="","",COUNTIFS(RawData[[Date ]],N15765,RawData[Month List],$Q$6,RawData[Tour/Site],$Q$2,RawData[[Picker ID ]],$Q$3,RawData[Checker ID],$Q$4,RawData[[Error Type ]],$Q$5))</f>
        <v/>
      </c>
    </row>
    <row r="15766" spans="15:15" x14ac:dyDescent="0.25">
      <c r="O15766" s="20" t="str">
        <f>IF(N15766="","",COUNTIFS(RawData[[Date ]],N15766,RawData[Month List],$Q$6,RawData[Tour/Site],$Q$2,RawData[[Picker ID ]],$Q$3,RawData[Checker ID],$Q$4,RawData[[Error Type ]],$Q$5))</f>
        <v/>
      </c>
    </row>
    <row r="15767" spans="15:15" x14ac:dyDescent="0.25">
      <c r="O15767" s="20" t="str">
        <f>IF(N15767="","",COUNTIFS(RawData[[Date ]],N15767,RawData[Month List],$Q$6,RawData[Tour/Site],$Q$2,RawData[[Picker ID ]],$Q$3,RawData[Checker ID],$Q$4,RawData[[Error Type ]],$Q$5))</f>
        <v/>
      </c>
    </row>
    <row r="15768" spans="15:15" x14ac:dyDescent="0.25">
      <c r="O15768" s="20" t="str">
        <f>IF(N15768="","",COUNTIFS(RawData[[Date ]],N15768,RawData[Month List],$Q$6,RawData[Tour/Site],$Q$2,RawData[[Picker ID ]],$Q$3,RawData[Checker ID],$Q$4,RawData[[Error Type ]],$Q$5))</f>
        <v/>
      </c>
    </row>
    <row r="15769" spans="15:15" x14ac:dyDescent="0.25">
      <c r="O15769" s="20" t="str">
        <f>IF(N15769="","",COUNTIFS(RawData[[Date ]],N15769,RawData[Month List],$Q$6,RawData[Tour/Site],$Q$2,RawData[[Picker ID ]],$Q$3,RawData[Checker ID],$Q$4,RawData[[Error Type ]],$Q$5))</f>
        <v/>
      </c>
    </row>
    <row r="15770" spans="15:15" x14ac:dyDescent="0.25">
      <c r="O15770" s="20" t="str">
        <f>IF(N15770="","",COUNTIFS(RawData[[Date ]],N15770,RawData[Month List],$Q$6,RawData[Tour/Site],$Q$2,RawData[[Picker ID ]],$Q$3,RawData[Checker ID],$Q$4,RawData[[Error Type ]],$Q$5))</f>
        <v/>
      </c>
    </row>
    <row r="15771" spans="15:15" x14ac:dyDescent="0.25">
      <c r="O15771" s="20" t="str">
        <f>IF(N15771="","",COUNTIFS(RawData[[Date ]],N15771,RawData[Month List],$Q$6,RawData[Tour/Site],$Q$2,RawData[[Picker ID ]],$Q$3,RawData[Checker ID],$Q$4,RawData[[Error Type ]],$Q$5))</f>
        <v/>
      </c>
    </row>
    <row r="15772" spans="15:15" x14ac:dyDescent="0.25">
      <c r="O15772" s="20" t="str">
        <f>IF(N15772="","",COUNTIFS(RawData[[Date ]],N15772,RawData[Month List],$Q$6,RawData[Tour/Site],$Q$2,RawData[[Picker ID ]],$Q$3,RawData[Checker ID],$Q$4,RawData[[Error Type ]],$Q$5))</f>
        <v/>
      </c>
    </row>
    <row r="15773" spans="15:15" x14ac:dyDescent="0.25">
      <c r="O15773" s="20" t="str">
        <f>IF(N15773="","",COUNTIFS(RawData[[Date ]],N15773,RawData[Month List],$Q$6,RawData[Tour/Site],$Q$2,RawData[[Picker ID ]],$Q$3,RawData[Checker ID],$Q$4,RawData[[Error Type ]],$Q$5))</f>
        <v/>
      </c>
    </row>
    <row r="15774" spans="15:15" x14ac:dyDescent="0.25">
      <c r="O15774" s="20" t="str">
        <f>IF(N15774="","",COUNTIFS(RawData[[Date ]],N15774,RawData[Month List],$Q$6,RawData[Tour/Site],$Q$2,RawData[[Picker ID ]],$Q$3,RawData[Checker ID],$Q$4,RawData[[Error Type ]],$Q$5))</f>
        <v/>
      </c>
    </row>
    <row r="15775" spans="15:15" x14ac:dyDescent="0.25">
      <c r="O15775" s="20" t="str">
        <f>IF(N15775="","",COUNTIFS(RawData[[Date ]],N15775,RawData[Month List],$Q$6,RawData[Tour/Site],$Q$2,RawData[[Picker ID ]],$Q$3,RawData[Checker ID],$Q$4,RawData[[Error Type ]],$Q$5))</f>
        <v/>
      </c>
    </row>
    <row r="15776" spans="15:15" x14ac:dyDescent="0.25">
      <c r="O15776" s="20" t="str">
        <f>IF(N15776="","",COUNTIFS(RawData[[Date ]],N15776,RawData[Month List],$Q$6,RawData[Tour/Site],$Q$2,RawData[[Picker ID ]],$Q$3,RawData[Checker ID],$Q$4,RawData[[Error Type ]],$Q$5))</f>
        <v/>
      </c>
    </row>
    <row r="15777" spans="15:15" x14ac:dyDescent="0.25">
      <c r="O15777" s="20" t="str">
        <f>IF(N15777="","",COUNTIFS(RawData[[Date ]],N15777,RawData[Month List],$Q$6,RawData[Tour/Site],$Q$2,RawData[[Picker ID ]],$Q$3,RawData[Checker ID],$Q$4,RawData[[Error Type ]],$Q$5))</f>
        <v/>
      </c>
    </row>
    <row r="15778" spans="15:15" x14ac:dyDescent="0.25">
      <c r="O15778" s="20" t="str">
        <f>IF(N15778="","",COUNTIFS(RawData[[Date ]],N15778,RawData[Month List],$Q$6,RawData[Tour/Site],$Q$2,RawData[[Picker ID ]],$Q$3,RawData[Checker ID],$Q$4,RawData[[Error Type ]],$Q$5))</f>
        <v/>
      </c>
    </row>
    <row r="15779" spans="15:15" x14ac:dyDescent="0.25">
      <c r="O15779" s="20" t="str">
        <f>IF(N15779="","",COUNTIFS(RawData[[Date ]],N15779,RawData[Month List],$Q$6,RawData[Tour/Site],$Q$2,RawData[[Picker ID ]],$Q$3,RawData[Checker ID],$Q$4,RawData[[Error Type ]],$Q$5))</f>
        <v/>
      </c>
    </row>
    <row r="15780" spans="15:15" x14ac:dyDescent="0.25">
      <c r="O15780" s="20" t="str">
        <f>IF(N15780="","",COUNTIFS(RawData[[Date ]],N15780,RawData[Month List],$Q$6,RawData[Tour/Site],$Q$2,RawData[[Picker ID ]],$Q$3,RawData[Checker ID],$Q$4,RawData[[Error Type ]],$Q$5))</f>
        <v/>
      </c>
    </row>
    <row r="15781" spans="15:15" x14ac:dyDescent="0.25">
      <c r="O15781" s="20" t="str">
        <f>IF(N15781="","",COUNTIFS(RawData[[Date ]],N15781,RawData[Month List],$Q$6,RawData[Tour/Site],$Q$2,RawData[[Picker ID ]],$Q$3,RawData[Checker ID],$Q$4,RawData[[Error Type ]],$Q$5))</f>
        <v/>
      </c>
    </row>
    <row r="15782" spans="15:15" x14ac:dyDescent="0.25">
      <c r="O15782" s="20" t="str">
        <f>IF(N15782="","",COUNTIFS(RawData[[Date ]],N15782,RawData[Month List],$Q$6,RawData[Tour/Site],$Q$2,RawData[[Picker ID ]],$Q$3,RawData[Checker ID],$Q$4,RawData[[Error Type ]],$Q$5))</f>
        <v/>
      </c>
    </row>
    <row r="15783" spans="15:15" x14ac:dyDescent="0.25">
      <c r="O15783" s="20" t="str">
        <f>IF(N15783="","",COUNTIFS(RawData[[Date ]],N15783,RawData[Month List],$Q$6,RawData[Tour/Site],$Q$2,RawData[[Picker ID ]],$Q$3,RawData[Checker ID],$Q$4,RawData[[Error Type ]],$Q$5))</f>
        <v/>
      </c>
    </row>
    <row r="15784" spans="15:15" x14ac:dyDescent="0.25">
      <c r="O15784" s="20" t="str">
        <f>IF(N15784="","",COUNTIFS(RawData[[Date ]],N15784,RawData[Month List],$Q$6,RawData[Tour/Site],$Q$2,RawData[[Picker ID ]],$Q$3,RawData[Checker ID],$Q$4,RawData[[Error Type ]],$Q$5))</f>
        <v/>
      </c>
    </row>
    <row r="15785" spans="15:15" x14ac:dyDescent="0.25">
      <c r="O15785" s="20" t="str">
        <f>IF(N15785="","",COUNTIFS(RawData[[Date ]],N15785,RawData[Month List],$Q$6,RawData[Tour/Site],$Q$2,RawData[[Picker ID ]],$Q$3,RawData[Checker ID],$Q$4,RawData[[Error Type ]],$Q$5))</f>
        <v/>
      </c>
    </row>
    <row r="15786" spans="15:15" x14ac:dyDescent="0.25">
      <c r="O15786" s="20" t="str">
        <f>IF(N15786="","",COUNTIFS(RawData[[Date ]],N15786,RawData[Month List],$Q$6,RawData[Tour/Site],$Q$2,RawData[[Picker ID ]],$Q$3,RawData[Checker ID],$Q$4,RawData[[Error Type ]],$Q$5))</f>
        <v/>
      </c>
    </row>
    <row r="15787" spans="15:15" x14ac:dyDescent="0.25">
      <c r="O15787" s="20" t="str">
        <f>IF(N15787="","",COUNTIFS(RawData[[Date ]],N15787,RawData[Month List],$Q$6,RawData[Tour/Site],$Q$2,RawData[[Picker ID ]],$Q$3,RawData[Checker ID],$Q$4,RawData[[Error Type ]],$Q$5))</f>
        <v/>
      </c>
    </row>
    <row r="15788" spans="15:15" x14ac:dyDescent="0.25">
      <c r="O15788" s="20" t="str">
        <f>IF(N15788="","",COUNTIFS(RawData[[Date ]],N15788,RawData[Month List],$Q$6,RawData[Tour/Site],$Q$2,RawData[[Picker ID ]],$Q$3,RawData[Checker ID],$Q$4,RawData[[Error Type ]],$Q$5))</f>
        <v/>
      </c>
    </row>
    <row r="15789" spans="15:15" x14ac:dyDescent="0.25">
      <c r="O15789" s="20" t="str">
        <f>IF(N15789="","",COUNTIFS(RawData[[Date ]],N15789,RawData[Month List],$Q$6,RawData[Tour/Site],$Q$2,RawData[[Picker ID ]],$Q$3,RawData[Checker ID],$Q$4,RawData[[Error Type ]],$Q$5))</f>
        <v/>
      </c>
    </row>
    <row r="15790" spans="15:15" x14ac:dyDescent="0.25">
      <c r="O15790" s="20" t="str">
        <f>IF(N15790="","",COUNTIFS(RawData[[Date ]],N15790,RawData[Month List],$Q$6,RawData[Tour/Site],$Q$2,RawData[[Picker ID ]],$Q$3,RawData[Checker ID],$Q$4,RawData[[Error Type ]],$Q$5))</f>
        <v/>
      </c>
    </row>
    <row r="15791" spans="15:15" x14ac:dyDescent="0.25">
      <c r="O15791" s="20" t="str">
        <f>IF(N15791="","",COUNTIFS(RawData[[Date ]],N15791,RawData[Month List],$Q$6,RawData[Tour/Site],$Q$2,RawData[[Picker ID ]],$Q$3,RawData[Checker ID],$Q$4,RawData[[Error Type ]],$Q$5))</f>
        <v/>
      </c>
    </row>
    <row r="15792" spans="15:15" x14ac:dyDescent="0.25">
      <c r="O15792" s="20" t="str">
        <f>IF(N15792="","",COUNTIFS(RawData[[Date ]],N15792,RawData[Month List],$Q$6,RawData[Tour/Site],$Q$2,RawData[[Picker ID ]],$Q$3,RawData[Checker ID],$Q$4,RawData[[Error Type ]],$Q$5))</f>
        <v/>
      </c>
    </row>
    <row r="15793" spans="15:15" x14ac:dyDescent="0.25">
      <c r="O15793" s="20" t="str">
        <f>IF(N15793="","",COUNTIFS(RawData[[Date ]],N15793,RawData[Month List],$Q$6,RawData[Tour/Site],$Q$2,RawData[[Picker ID ]],$Q$3,RawData[Checker ID],$Q$4,RawData[[Error Type ]],$Q$5))</f>
        <v/>
      </c>
    </row>
    <row r="15794" spans="15:15" x14ac:dyDescent="0.25">
      <c r="O15794" s="20" t="str">
        <f>IF(N15794="","",COUNTIFS(RawData[[Date ]],N15794,RawData[Month List],$Q$6,RawData[Tour/Site],$Q$2,RawData[[Picker ID ]],$Q$3,RawData[Checker ID],$Q$4,RawData[[Error Type ]],$Q$5))</f>
        <v/>
      </c>
    </row>
    <row r="15795" spans="15:15" x14ac:dyDescent="0.25">
      <c r="O15795" s="20" t="str">
        <f>IF(N15795="","",COUNTIFS(RawData[[Date ]],N15795,RawData[Month List],$Q$6,RawData[Tour/Site],$Q$2,RawData[[Picker ID ]],$Q$3,RawData[Checker ID],$Q$4,RawData[[Error Type ]],$Q$5))</f>
        <v/>
      </c>
    </row>
    <row r="15796" spans="15:15" x14ac:dyDescent="0.25">
      <c r="O15796" s="20" t="str">
        <f>IF(N15796="","",COUNTIFS(RawData[[Date ]],N15796,RawData[Month List],$Q$6,RawData[Tour/Site],$Q$2,RawData[[Picker ID ]],$Q$3,RawData[Checker ID],$Q$4,RawData[[Error Type ]],$Q$5))</f>
        <v/>
      </c>
    </row>
    <row r="15797" spans="15:15" x14ac:dyDescent="0.25">
      <c r="O15797" s="20" t="str">
        <f>IF(N15797="","",COUNTIFS(RawData[[Date ]],N15797,RawData[Month List],$Q$6,RawData[Tour/Site],$Q$2,RawData[[Picker ID ]],$Q$3,RawData[Checker ID],$Q$4,RawData[[Error Type ]],$Q$5))</f>
        <v/>
      </c>
    </row>
    <row r="15798" spans="15:15" x14ac:dyDescent="0.25">
      <c r="O15798" s="20" t="str">
        <f>IF(N15798="","",COUNTIFS(RawData[[Date ]],N15798,RawData[Month List],$Q$6,RawData[Tour/Site],$Q$2,RawData[[Picker ID ]],$Q$3,RawData[Checker ID],$Q$4,RawData[[Error Type ]],$Q$5))</f>
        <v/>
      </c>
    </row>
    <row r="15799" spans="15:15" x14ac:dyDescent="0.25">
      <c r="O15799" s="20" t="str">
        <f>IF(N15799="","",COUNTIFS(RawData[[Date ]],N15799,RawData[Month List],$Q$6,RawData[Tour/Site],$Q$2,RawData[[Picker ID ]],$Q$3,RawData[Checker ID],$Q$4,RawData[[Error Type ]],$Q$5))</f>
        <v/>
      </c>
    </row>
    <row r="15800" spans="15:15" x14ac:dyDescent="0.25">
      <c r="O15800" s="20" t="str">
        <f>IF(N15800="","",COUNTIFS(RawData[[Date ]],N15800,RawData[Month List],$Q$6,RawData[Tour/Site],$Q$2,RawData[[Picker ID ]],$Q$3,RawData[Checker ID],$Q$4,RawData[[Error Type ]],$Q$5))</f>
        <v/>
      </c>
    </row>
    <row r="15801" spans="15:15" x14ac:dyDescent="0.25">
      <c r="O15801" s="20" t="str">
        <f>IF(N15801="","",COUNTIFS(RawData[[Date ]],N15801,RawData[Month List],$Q$6,RawData[Tour/Site],$Q$2,RawData[[Picker ID ]],$Q$3,RawData[Checker ID],$Q$4,RawData[[Error Type ]],$Q$5))</f>
        <v/>
      </c>
    </row>
    <row r="15802" spans="15:15" x14ac:dyDescent="0.25">
      <c r="O15802" s="20" t="str">
        <f>IF(N15802="","",COUNTIFS(RawData[[Date ]],N15802,RawData[Month List],$Q$6,RawData[Tour/Site],$Q$2,RawData[[Picker ID ]],$Q$3,RawData[Checker ID],$Q$4,RawData[[Error Type ]],$Q$5))</f>
        <v/>
      </c>
    </row>
    <row r="15803" spans="15:15" x14ac:dyDescent="0.25">
      <c r="O15803" s="20" t="str">
        <f>IF(N15803="","",COUNTIFS(RawData[[Date ]],N15803,RawData[Month List],$Q$6,RawData[Tour/Site],$Q$2,RawData[[Picker ID ]],$Q$3,RawData[Checker ID],$Q$4,RawData[[Error Type ]],$Q$5))</f>
        <v/>
      </c>
    </row>
    <row r="15804" spans="15:15" x14ac:dyDescent="0.25">
      <c r="O15804" s="20" t="str">
        <f>IF(N15804="","",COUNTIFS(RawData[[Date ]],N15804,RawData[Month List],$Q$6,RawData[Tour/Site],$Q$2,RawData[[Picker ID ]],$Q$3,RawData[Checker ID],$Q$4,RawData[[Error Type ]],$Q$5))</f>
        <v/>
      </c>
    </row>
    <row r="15805" spans="15:15" x14ac:dyDescent="0.25">
      <c r="O15805" s="20" t="str">
        <f>IF(N15805="","",COUNTIFS(RawData[[Date ]],N15805,RawData[Month List],$Q$6,RawData[Tour/Site],$Q$2,RawData[[Picker ID ]],$Q$3,RawData[Checker ID],$Q$4,RawData[[Error Type ]],$Q$5))</f>
        <v/>
      </c>
    </row>
    <row r="15806" spans="15:15" x14ac:dyDescent="0.25">
      <c r="O15806" s="20" t="str">
        <f>IF(N15806="","",COUNTIFS(RawData[[Date ]],N15806,RawData[Month List],$Q$6,RawData[Tour/Site],$Q$2,RawData[[Picker ID ]],$Q$3,RawData[Checker ID],$Q$4,RawData[[Error Type ]],$Q$5))</f>
        <v/>
      </c>
    </row>
    <row r="15807" spans="15:15" x14ac:dyDescent="0.25">
      <c r="O15807" s="20" t="str">
        <f>IF(N15807="","",COUNTIFS(RawData[[Date ]],N15807,RawData[Month List],$Q$6,RawData[Tour/Site],$Q$2,RawData[[Picker ID ]],$Q$3,RawData[Checker ID],$Q$4,RawData[[Error Type ]],$Q$5))</f>
        <v/>
      </c>
    </row>
    <row r="15808" spans="15:15" x14ac:dyDescent="0.25">
      <c r="O15808" s="20" t="str">
        <f>IF(N15808="","",COUNTIFS(RawData[[Date ]],N15808,RawData[Month List],$Q$6,RawData[Tour/Site],$Q$2,RawData[[Picker ID ]],$Q$3,RawData[Checker ID],$Q$4,RawData[[Error Type ]],$Q$5))</f>
        <v/>
      </c>
    </row>
    <row r="15809" spans="15:15" x14ac:dyDescent="0.25">
      <c r="O15809" s="20" t="str">
        <f>IF(N15809="","",COUNTIFS(RawData[[Date ]],N15809,RawData[Month List],$Q$6,RawData[Tour/Site],$Q$2,RawData[[Picker ID ]],$Q$3,RawData[Checker ID],$Q$4,RawData[[Error Type ]],$Q$5))</f>
        <v/>
      </c>
    </row>
    <row r="15810" spans="15:15" x14ac:dyDescent="0.25">
      <c r="O15810" s="20" t="str">
        <f>IF(N15810="","",COUNTIFS(RawData[[Date ]],N15810,RawData[Month List],$Q$6,RawData[Tour/Site],$Q$2,RawData[[Picker ID ]],$Q$3,RawData[Checker ID],$Q$4,RawData[[Error Type ]],$Q$5))</f>
        <v/>
      </c>
    </row>
    <row r="15811" spans="15:15" x14ac:dyDescent="0.25">
      <c r="O15811" s="20" t="str">
        <f>IF(N15811="","",COUNTIFS(RawData[[Date ]],N15811,RawData[Month List],$Q$6,RawData[Tour/Site],$Q$2,RawData[[Picker ID ]],$Q$3,RawData[Checker ID],$Q$4,RawData[[Error Type ]],$Q$5))</f>
        <v/>
      </c>
    </row>
    <row r="15812" spans="15:15" x14ac:dyDescent="0.25">
      <c r="O15812" s="20" t="str">
        <f>IF(N15812="","",COUNTIFS(RawData[[Date ]],N15812,RawData[Month List],$Q$6,RawData[Tour/Site],$Q$2,RawData[[Picker ID ]],$Q$3,RawData[Checker ID],$Q$4,RawData[[Error Type ]],$Q$5))</f>
        <v/>
      </c>
    </row>
    <row r="15813" spans="15:15" x14ac:dyDescent="0.25">
      <c r="O15813" s="20" t="str">
        <f>IF(N15813="","",COUNTIFS(RawData[[Date ]],N15813,RawData[Month List],$Q$6,RawData[Tour/Site],$Q$2,RawData[[Picker ID ]],$Q$3,RawData[Checker ID],$Q$4,RawData[[Error Type ]],$Q$5))</f>
        <v/>
      </c>
    </row>
    <row r="15814" spans="15:15" x14ac:dyDescent="0.25">
      <c r="O15814" s="20" t="str">
        <f>IF(N15814="","",COUNTIFS(RawData[[Date ]],N15814,RawData[Month List],$Q$6,RawData[Tour/Site],$Q$2,RawData[[Picker ID ]],$Q$3,RawData[Checker ID],$Q$4,RawData[[Error Type ]],$Q$5))</f>
        <v/>
      </c>
    </row>
    <row r="15815" spans="15:15" x14ac:dyDescent="0.25">
      <c r="O15815" s="20" t="str">
        <f>IF(N15815="","",COUNTIFS(RawData[[Date ]],N15815,RawData[Month List],$Q$6,RawData[Tour/Site],$Q$2,RawData[[Picker ID ]],$Q$3,RawData[Checker ID],$Q$4,RawData[[Error Type ]],$Q$5))</f>
        <v/>
      </c>
    </row>
    <row r="15816" spans="15:15" x14ac:dyDescent="0.25">
      <c r="O15816" s="20" t="str">
        <f>IF(N15816="","",COUNTIFS(RawData[[Date ]],N15816,RawData[Month List],$Q$6,RawData[Tour/Site],$Q$2,RawData[[Picker ID ]],$Q$3,RawData[Checker ID],$Q$4,RawData[[Error Type ]],$Q$5))</f>
        <v/>
      </c>
    </row>
    <row r="15817" spans="15:15" x14ac:dyDescent="0.25">
      <c r="O15817" s="20" t="str">
        <f>IF(N15817="","",COUNTIFS(RawData[[Date ]],N15817,RawData[Month List],$Q$6,RawData[Tour/Site],$Q$2,RawData[[Picker ID ]],$Q$3,RawData[Checker ID],$Q$4,RawData[[Error Type ]],$Q$5))</f>
        <v/>
      </c>
    </row>
    <row r="15818" spans="15:15" x14ac:dyDescent="0.25">
      <c r="O15818" s="20" t="str">
        <f>IF(N15818="","",COUNTIFS(RawData[[Date ]],N15818,RawData[Month List],$Q$6,RawData[Tour/Site],$Q$2,RawData[[Picker ID ]],$Q$3,RawData[Checker ID],$Q$4,RawData[[Error Type ]],$Q$5))</f>
        <v/>
      </c>
    </row>
    <row r="15819" spans="15:15" x14ac:dyDescent="0.25">
      <c r="O15819" s="20" t="str">
        <f>IF(N15819="","",COUNTIFS(RawData[[Date ]],N15819,RawData[Month List],$Q$6,RawData[Tour/Site],$Q$2,RawData[[Picker ID ]],$Q$3,RawData[Checker ID],$Q$4,RawData[[Error Type ]],$Q$5))</f>
        <v/>
      </c>
    </row>
    <row r="15820" spans="15:15" x14ac:dyDescent="0.25">
      <c r="O15820" s="20" t="str">
        <f>IF(N15820="","",COUNTIFS(RawData[[Date ]],N15820,RawData[Month List],$Q$6,RawData[Tour/Site],$Q$2,RawData[[Picker ID ]],$Q$3,RawData[Checker ID],$Q$4,RawData[[Error Type ]],$Q$5))</f>
        <v/>
      </c>
    </row>
    <row r="15821" spans="15:15" x14ac:dyDescent="0.25">
      <c r="O15821" s="20" t="str">
        <f>IF(N15821="","",COUNTIFS(RawData[[Date ]],N15821,RawData[Month List],$Q$6,RawData[Tour/Site],$Q$2,RawData[[Picker ID ]],$Q$3,RawData[Checker ID],$Q$4,RawData[[Error Type ]],$Q$5))</f>
        <v/>
      </c>
    </row>
    <row r="15822" spans="15:15" x14ac:dyDescent="0.25">
      <c r="O15822" s="20" t="str">
        <f>IF(N15822="","",COUNTIFS(RawData[[Date ]],N15822,RawData[Month List],$Q$6,RawData[Tour/Site],$Q$2,RawData[[Picker ID ]],$Q$3,RawData[Checker ID],$Q$4,RawData[[Error Type ]],$Q$5))</f>
        <v/>
      </c>
    </row>
    <row r="15823" spans="15:15" x14ac:dyDescent="0.25">
      <c r="O15823" s="20" t="str">
        <f>IF(N15823="","",COUNTIFS(RawData[[Date ]],N15823,RawData[Month List],$Q$6,RawData[Tour/Site],$Q$2,RawData[[Picker ID ]],$Q$3,RawData[Checker ID],$Q$4,RawData[[Error Type ]],$Q$5))</f>
        <v/>
      </c>
    </row>
    <row r="15824" spans="15:15" x14ac:dyDescent="0.25">
      <c r="O15824" s="20" t="str">
        <f>IF(N15824="","",COUNTIFS(RawData[[Date ]],N15824,RawData[Month List],$Q$6,RawData[Tour/Site],$Q$2,RawData[[Picker ID ]],$Q$3,RawData[Checker ID],$Q$4,RawData[[Error Type ]],$Q$5))</f>
        <v/>
      </c>
    </row>
    <row r="15825" spans="15:15" x14ac:dyDescent="0.25">
      <c r="O15825" s="20" t="str">
        <f>IF(N15825="","",COUNTIFS(RawData[[Date ]],N15825,RawData[Month List],$Q$6,RawData[Tour/Site],$Q$2,RawData[[Picker ID ]],$Q$3,RawData[Checker ID],$Q$4,RawData[[Error Type ]],$Q$5))</f>
        <v/>
      </c>
    </row>
    <row r="15826" spans="15:15" x14ac:dyDescent="0.25">
      <c r="O15826" s="20" t="str">
        <f>IF(N15826="","",COUNTIFS(RawData[[Date ]],N15826,RawData[Month List],$Q$6,RawData[Tour/Site],$Q$2,RawData[[Picker ID ]],$Q$3,RawData[Checker ID],$Q$4,RawData[[Error Type ]],$Q$5))</f>
        <v/>
      </c>
    </row>
    <row r="15827" spans="15:15" x14ac:dyDescent="0.25">
      <c r="O15827" s="20" t="str">
        <f>IF(N15827="","",COUNTIFS(RawData[[Date ]],N15827,RawData[Month List],$Q$6,RawData[Tour/Site],$Q$2,RawData[[Picker ID ]],$Q$3,RawData[Checker ID],$Q$4,RawData[[Error Type ]],$Q$5))</f>
        <v/>
      </c>
    </row>
    <row r="15828" spans="15:15" x14ac:dyDescent="0.25">
      <c r="O15828" s="20" t="str">
        <f>IF(N15828="","",COUNTIFS(RawData[[Date ]],N15828,RawData[Month List],$Q$6,RawData[Tour/Site],$Q$2,RawData[[Picker ID ]],$Q$3,RawData[Checker ID],$Q$4,RawData[[Error Type ]],$Q$5))</f>
        <v/>
      </c>
    </row>
    <row r="15829" spans="15:15" x14ac:dyDescent="0.25">
      <c r="O15829" s="20" t="str">
        <f>IF(N15829="","",COUNTIFS(RawData[[Date ]],N15829,RawData[Month List],$Q$6,RawData[Tour/Site],$Q$2,RawData[[Picker ID ]],$Q$3,RawData[Checker ID],$Q$4,RawData[[Error Type ]],$Q$5))</f>
        <v/>
      </c>
    </row>
    <row r="15830" spans="15:15" x14ac:dyDescent="0.25">
      <c r="O15830" s="20" t="str">
        <f>IF(N15830="","",COUNTIFS(RawData[[Date ]],N15830,RawData[Month List],$Q$6,RawData[Tour/Site],$Q$2,RawData[[Picker ID ]],$Q$3,RawData[Checker ID],$Q$4,RawData[[Error Type ]],$Q$5))</f>
        <v/>
      </c>
    </row>
    <row r="15831" spans="15:15" x14ac:dyDescent="0.25">
      <c r="O15831" s="20" t="str">
        <f>IF(N15831="","",COUNTIFS(RawData[[Date ]],N15831,RawData[Month List],$Q$6,RawData[Tour/Site],$Q$2,RawData[[Picker ID ]],$Q$3,RawData[Checker ID],$Q$4,RawData[[Error Type ]],$Q$5))</f>
        <v/>
      </c>
    </row>
    <row r="15832" spans="15:15" x14ac:dyDescent="0.25">
      <c r="O15832" s="20" t="str">
        <f>IF(N15832="","",COUNTIFS(RawData[[Date ]],N15832,RawData[Month List],$Q$6,RawData[Tour/Site],$Q$2,RawData[[Picker ID ]],$Q$3,RawData[Checker ID],$Q$4,RawData[[Error Type ]],$Q$5))</f>
        <v/>
      </c>
    </row>
    <row r="15833" spans="15:15" x14ac:dyDescent="0.25">
      <c r="O15833" s="20" t="str">
        <f>IF(N15833="","",COUNTIFS(RawData[[Date ]],N15833,RawData[Month List],$Q$6,RawData[Tour/Site],$Q$2,RawData[[Picker ID ]],$Q$3,RawData[Checker ID],$Q$4,RawData[[Error Type ]],$Q$5))</f>
        <v/>
      </c>
    </row>
    <row r="15834" spans="15:15" x14ac:dyDescent="0.25">
      <c r="O15834" s="20" t="str">
        <f>IF(N15834="","",COUNTIFS(RawData[[Date ]],N15834,RawData[Month List],$Q$6,RawData[Tour/Site],$Q$2,RawData[[Picker ID ]],$Q$3,RawData[Checker ID],$Q$4,RawData[[Error Type ]],$Q$5))</f>
        <v/>
      </c>
    </row>
    <row r="15835" spans="15:15" x14ac:dyDescent="0.25">
      <c r="O15835" s="20" t="str">
        <f>IF(N15835="","",COUNTIFS(RawData[[Date ]],N15835,RawData[Month List],$Q$6,RawData[Tour/Site],$Q$2,RawData[[Picker ID ]],$Q$3,RawData[Checker ID],$Q$4,RawData[[Error Type ]],$Q$5))</f>
        <v/>
      </c>
    </row>
    <row r="15836" spans="15:15" x14ac:dyDescent="0.25">
      <c r="O15836" s="20" t="str">
        <f>IF(N15836="","",COUNTIFS(RawData[[Date ]],N15836,RawData[Month List],$Q$6,RawData[Tour/Site],$Q$2,RawData[[Picker ID ]],$Q$3,RawData[Checker ID],$Q$4,RawData[[Error Type ]],$Q$5))</f>
        <v/>
      </c>
    </row>
    <row r="15837" spans="15:15" x14ac:dyDescent="0.25">
      <c r="O15837" s="20" t="str">
        <f>IF(N15837="","",COUNTIFS(RawData[[Date ]],N15837,RawData[Month List],$Q$6,RawData[Tour/Site],$Q$2,RawData[[Picker ID ]],$Q$3,RawData[Checker ID],$Q$4,RawData[[Error Type ]],$Q$5))</f>
        <v/>
      </c>
    </row>
    <row r="15838" spans="15:15" x14ac:dyDescent="0.25">
      <c r="O15838" s="20" t="str">
        <f>IF(N15838="","",COUNTIFS(RawData[[Date ]],N15838,RawData[Month List],$Q$6,RawData[Tour/Site],$Q$2,RawData[[Picker ID ]],$Q$3,RawData[Checker ID],$Q$4,RawData[[Error Type ]],$Q$5))</f>
        <v/>
      </c>
    </row>
    <row r="15839" spans="15:15" x14ac:dyDescent="0.25">
      <c r="O15839" s="20" t="str">
        <f>IF(N15839="","",COUNTIFS(RawData[[Date ]],N15839,RawData[Month List],$Q$6,RawData[Tour/Site],$Q$2,RawData[[Picker ID ]],$Q$3,RawData[Checker ID],$Q$4,RawData[[Error Type ]],$Q$5))</f>
        <v/>
      </c>
    </row>
    <row r="15840" spans="15:15" x14ac:dyDescent="0.25">
      <c r="O15840" s="20" t="str">
        <f>IF(N15840="","",COUNTIFS(RawData[[Date ]],N15840,RawData[Month List],$Q$6,RawData[Tour/Site],$Q$2,RawData[[Picker ID ]],$Q$3,RawData[Checker ID],$Q$4,RawData[[Error Type ]],$Q$5))</f>
        <v/>
      </c>
    </row>
    <row r="15841" spans="15:15" x14ac:dyDescent="0.25">
      <c r="O15841" s="20" t="str">
        <f>IF(N15841="","",COUNTIFS(RawData[[Date ]],N15841,RawData[Month List],$Q$6,RawData[Tour/Site],$Q$2,RawData[[Picker ID ]],$Q$3,RawData[Checker ID],$Q$4,RawData[[Error Type ]],$Q$5))</f>
        <v/>
      </c>
    </row>
    <row r="15842" spans="15:15" x14ac:dyDescent="0.25">
      <c r="O15842" s="20" t="str">
        <f>IF(N15842="","",COUNTIFS(RawData[[Date ]],N15842,RawData[Month List],$Q$6,RawData[Tour/Site],$Q$2,RawData[[Picker ID ]],$Q$3,RawData[Checker ID],$Q$4,RawData[[Error Type ]],$Q$5))</f>
        <v/>
      </c>
    </row>
    <row r="15843" spans="15:15" x14ac:dyDescent="0.25">
      <c r="O15843" s="20" t="str">
        <f>IF(N15843="","",COUNTIFS(RawData[[Date ]],N15843,RawData[Month List],$Q$6,RawData[Tour/Site],$Q$2,RawData[[Picker ID ]],$Q$3,RawData[Checker ID],$Q$4,RawData[[Error Type ]],$Q$5))</f>
        <v/>
      </c>
    </row>
    <row r="15844" spans="15:15" x14ac:dyDescent="0.25">
      <c r="O15844" s="20" t="str">
        <f>IF(N15844="","",COUNTIFS(RawData[[Date ]],N15844,RawData[Month List],$Q$6,RawData[Tour/Site],$Q$2,RawData[[Picker ID ]],$Q$3,RawData[Checker ID],$Q$4,RawData[[Error Type ]],$Q$5))</f>
        <v/>
      </c>
    </row>
    <row r="15845" spans="15:15" x14ac:dyDescent="0.25">
      <c r="O15845" s="20" t="str">
        <f>IF(N15845="","",COUNTIFS(RawData[[Date ]],N15845,RawData[Month List],$Q$6,RawData[Tour/Site],$Q$2,RawData[[Picker ID ]],$Q$3,RawData[Checker ID],$Q$4,RawData[[Error Type ]],$Q$5))</f>
        <v/>
      </c>
    </row>
    <row r="15846" spans="15:15" x14ac:dyDescent="0.25">
      <c r="O15846" s="20" t="str">
        <f>IF(N15846="","",COUNTIFS(RawData[[Date ]],N15846,RawData[Month List],$Q$6,RawData[Tour/Site],$Q$2,RawData[[Picker ID ]],$Q$3,RawData[Checker ID],$Q$4,RawData[[Error Type ]],$Q$5))</f>
        <v/>
      </c>
    </row>
    <row r="15847" spans="15:15" x14ac:dyDescent="0.25">
      <c r="O15847" s="20" t="str">
        <f>IF(N15847="","",COUNTIFS(RawData[[Date ]],N15847,RawData[Month List],$Q$6,RawData[Tour/Site],$Q$2,RawData[[Picker ID ]],$Q$3,RawData[Checker ID],$Q$4,RawData[[Error Type ]],$Q$5))</f>
        <v/>
      </c>
    </row>
    <row r="15848" spans="15:15" x14ac:dyDescent="0.25">
      <c r="O15848" s="20" t="str">
        <f>IF(N15848="","",COUNTIFS(RawData[[Date ]],N15848,RawData[Month List],$Q$6,RawData[Tour/Site],$Q$2,RawData[[Picker ID ]],$Q$3,RawData[Checker ID],$Q$4,RawData[[Error Type ]],$Q$5))</f>
        <v/>
      </c>
    </row>
    <row r="15849" spans="15:15" x14ac:dyDescent="0.25">
      <c r="O15849" s="20" t="str">
        <f>IF(N15849="","",COUNTIFS(RawData[[Date ]],N15849,RawData[Month List],$Q$6,RawData[Tour/Site],$Q$2,RawData[[Picker ID ]],$Q$3,RawData[Checker ID],$Q$4,RawData[[Error Type ]],$Q$5))</f>
        <v/>
      </c>
    </row>
    <row r="15850" spans="15:15" x14ac:dyDescent="0.25">
      <c r="O15850" s="20" t="str">
        <f>IF(N15850="","",COUNTIFS(RawData[[Date ]],N15850,RawData[Month List],$Q$6,RawData[Tour/Site],$Q$2,RawData[[Picker ID ]],$Q$3,RawData[Checker ID],$Q$4,RawData[[Error Type ]],$Q$5))</f>
        <v/>
      </c>
    </row>
    <row r="15851" spans="15:15" x14ac:dyDescent="0.25">
      <c r="O15851" s="20" t="str">
        <f>IF(N15851="","",COUNTIFS(RawData[[Date ]],N15851,RawData[Month List],$Q$6,RawData[Tour/Site],$Q$2,RawData[[Picker ID ]],$Q$3,RawData[Checker ID],$Q$4,RawData[[Error Type ]],$Q$5))</f>
        <v/>
      </c>
    </row>
    <row r="15852" spans="15:15" x14ac:dyDescent="0.25">
      <c r="O15852" s="20" t="str">
        <f>IF(N15852="","",COUNTIFS(RawData[[Date ]],N15852,RawData[Month List],$Q$6,RawData[Tour/Site],$Q$2,RawData[[Picker ID ]],$Q$3,RawData[Checker ID],$Q$4,RawData[[Error Type ]],$Q$5))</f>
        <v/>
      </c>
    </row>
    <row r="15853" spans="15:15" x14ac:dyDescent="0.25">
      <c r="O15853" s="20" t="str">
        <f>IF(N15853="","",COUNTIFS(RawData[[Date ]],N15853,RawData[Month List],$Q$6,RawData[Tour/Site],$Q$2,RawData[[Picker ID ]],$Q$3,RawData[Checker ID],$Q$4,RawData[[Error Type ]],$Q$5))</f>
        <v/>
      </c>
    </row>
    <row r="15854" spans="15:15" x14ac:dyDescent="0.25">
      <c r="O15854" s="20" t="str">
        <f>IF(N15854="","",COUNTIFS(RawData[[Date ]],N15854,RawData[Month List],$Q$6,RawData[Tour/Site],$Q$2,RawData[[Picker ID ]],$Q$3,RawData[Checker ID],$Q$4,RawData[[Error Type ]],$Q$5))</f>
        <v/>
      </c>
    </row>
    <row r="15855" spans="15:15" x14ac:dyDescent="0.25">
      <c r="O15855" s="20" t="str">
        <f>IF(N15855="","",COUNTIFS(RawData[[Date ]],N15855,RawData[Month List],$Q$6,RawData[Tour/Site],$Q$2,RawData[[Picker ID ]],$Q$3,RawData[Checker ID],$Q$4,RawData[[Error Type ]],$Q$5))</f>
        <v/>
      </c>
    </row>
    <row r="15856" spans="15:15" x14ac:dyDescent="0.25">
      <c r="O15856" s="20" t="str">
        <f>IF(N15856="","",COUNTIFS(RawData[[Date ]],N15856,RawData[Month List],$Q$6,RawData[Tour/Site],$Q$2,RawData[[Picker ID ]],$Q$3,RawData[Checker ID],$Q$4,RawData[[Error Type ]],$Q$5))</f>
        <v/>
      </c>
    </row>
    <row r="15857" spans="15:15" x14ac:dyDescent="0.25">
      <c r="O15857" s="20" t="str">
        <f>IF(N15857="","",COUNTIFS(RawData[[Date ]],N15857,RawData[Month List],$Q$6,RawData[Tour/Site],$Q$2,RawData[[Picker ID ]],$Q$3,RawData[Checker ID],$Q$4,RawData[[Error Type ]],$Q$5))</f>
        <v/>
      </c>
    </row>
    <row r="15858" spans="15:15" x14ac:dyDescent="0.25">
      <c r="O15858" s="20" t="str">
        <f>IF(N15858="","",COUNTIFS(RawData[[Date ]],N15858,RawData[Month List],$Q$6,RawData[Tour/Site],$Q$2,RawData[[Picker ID ]],$Q$3,RawData[Checker ID],$Q$4,RawData[[Error Type ]],$Q$5))</f>
        <v/>
      </c>
    </row>
    <row r="15859" spans="15:15" x14ac:dyDescent="0.25">
      <c r="O15859" s="20" t="str">
        <f>IF(N15859="","",COUNTIFS(RawData[[Date ]],N15859,RawData[Month List],$Q$6,RawData[Tour/Site],$Q$2,RawData[[Picker ID ]],$Q$3,RawData[Checker ID],$Q$4,RawData[[Error Type ]],$Q$5))</f>
        <v/>
      </c>
    </row>
    <row r="15860" spans="15:15" x14ac:dyDescent="0.25">
      <c r="O15860" s="20" t="str">
        <f>IF(N15860="","",COUNTIFS(RawData[[Date ]],N15860,RawData[Month List],$Q$6,RawData[Tour/Site],$Q$2,RawData[[Picker ID ]],$Q$3,RawData[Checker ID],$Q$4,RawData[[Error Type ]],$Q$5))</f>
        <v/>
      </c>
    </row>
    <row r="15861" spans="15:15" x14ac:dyDescent="0.25">
      <c r="O15861" s="20" t="str">
        <f>IF(N15861="","",COUNTIFS(RawData[[Date ]],N15861,RawData[Month List],$Q$6,RawData[Tour/Site],$Q$2,RawData[[Picker ID ]],$Q$3,RawData[Checker ID],$Q$4,RawData[[Error Type ]],$Q$5))</f>
        <v/>
      </c>
    </row>
    <row r="15862" spans="15:15" x14ac:dyDescent="0.25">
      <c r="O15862" s="20" t="str">
        <f>IF(N15862="","",COUNTIFS(RawData[[Date ]],N15862,RawData[Month List],$Q$6,RawData[Tour/Site],$Q$2,RawData[[Picker ID ]],$Q$3,RawData[Checker ID],$Q$4,RawData[[Error Type ]],$Q$5))</f>
        <v/>
      </c>
    </row>
    <row r="15863" spans="15:15" x14ac:dyDescent="0.25">
      <c r="O15863" s="20" t="str">
        <f>IF(N15863="","",COUNTIFS(RawData[[Date ]],N15863,RawData[Month List],$Q$6,RawData[Tour/Site],$Q$2,RawData[[Picker ID ]],$Q$3,RawData[Checker ID],$Q$4,RawData[[Error Type ]],$Q$5))</f>
        <v/>
      </c>
    </row>
    <row r="15864" spans="15:15" x14ac:dyDescent="0.25">
      <c r="O15864" s="20" t="str">
        <f>IF(N15864="","",COUNTIFS(RawData[[Date ]],N15864,RawData[Month List],$Q$6,RawData[Tour/Site],$Q$2,RawData[[Picker ID ]],$Q$3,RawData[Checker ID],$Q$4,RawData[[Error Type ]],$Q$5))</f>
        <v/>
      </c>
    </row>
    <row r="15865" spans="15:15" x14ac:dyDescent="0.25">
      <c r="O15865" s="20" t="str">
        <f>IF(N15865="","",COUNTIFS(RawData[[Date ]],N15865,RawData[Month List],$Q$6,RawData[Tour/Site],$Q$2,RawData[[Picker ID ]],$Q$3,RawData[Checker ID],$Q$4,RawData[[Error Type ]],$Q$5))</f>
        <v/>
      </c>
    </row>
    <row r="15866" spans="15:15" x14ac:dyDescent="0.25">
      <c r="O15866" s="20" t="str">
        <f>IF(N15866="","",COUNTIFS(RawData[[Date ]],N15866,RawData[Month List],$Q$6,RawData[Tour/Site],$Q$2,RawData[[Picker ID ]],$Q$3,RawData[Checker ID],$Q$4,RawData[[Error Type ]],$Q$5))</f>
        <v/>
      </c>
    </row>
    <row r="15867" spans="15:15" x14ac:dyDescent="0.25">
      <c r="O15867" s="20" t="str">
        <f>IF(N15867="","",COUNTIFS(RawData[[Date ]],N15867,RawData[Month List],$Q$6,RawData[Tour/Site],$Q$2,RawData[[Picker ID ]],$Q$3,RawData[Checker ID],$Q$4,RawData[[Error Type ]],$Q$5))</f>
        <v/>
      </c>
    </row>
    <row r="15868" spans="15:15" x14ac:dyDescent="0.25">
      <c r="O15868" s="20" t="str">
        <f>IF(N15868="","",COUNTIFS(RawData[[Date ]],N15868,RawData[Month List],$Q$6,RawData[Tour/Site],$Q$2,RawData[[Picker ID ]],$Q$3,RawData[Checker ID],$Q$4,RawData[[Error Type ]],$Q$5))</f>
        <v/>
      </c>
    </row>
    <row r="15869" spans="15:15" x14ac:dyDescent="0.25">
      <c r="O15869" s="20" t="str">
        <f>IF(N15869="","",COUNTIFS(RawData[[Date ]],N15869,RawData[Month List],$Q$6,RawData[Tour/Site],$Q$2,RawData[[Picker ID ]],$Q$3,RawData[Checker ID],$Q$4,RawData[[Error Type ]],$Q$5))</f>
        <v/>
      </c>
    </row>
    <row r="15870" spans="15:15" x14ac:dyDescent="0.25">
      <c r="O15870" s="20" t="str">
        <f>IF(N15870="","",COUNTIFS(RawData[[Date ]],N15870,RawData[Month List],$Q$6,RawData[Tour/Site],$Q$2,RawData[[Picker ID ]],$Q$3,RawData[Checker ID],$Q$4,RawData[[Error Type ]],$Q$5))</f>
        <v/>
      </c>
    </row>
    <row r="15871" spans="15:15" x14ac:dyDescent="0.25">
      <c r="O15871" s="20" t="str">
        <f>IF(N15871="","",COUNTIFS(RawData[[Date ]],N15871,RawData[Month List],$Q$6,RawData[Tour/Site],$Q$2,RawData[[Picker ID ]],$Q$3,RawData[Checker ID],$Q$4,RawData[[Error Type ]],$Q$5))</f>
        <v/>
      </c>
    </row>
    <row r="15872" spans="15:15" x14ac:dyDescent="0.25">
      <c r="O15872" s="20" t="str">
        <f>IF(N15872="","",COUNTIFS(RawData[[Date ]],N15872,RawData[Month List],$Q$6,RawData[Tour/Site],$Q$2,RawData[[Picker ID ]],$Q$3,RawData[Checker ID],$Q$4,RawData[[Error Type ]],$Q$5))</f>
        <v/>
      </c>
    </row>
    <row r="15873" spans="15:15" x14ac:dyDescent="0.25">
      <c r="O15873" s="20" t="str">
        <f>IF(N15873="","",COUNTIFS(RawData[[Date ]],N15873,RawData[Month List],$Q$6,RawData[Tour/Site],$Q$2,RawData[[Picker ID ]],$Q$3,RawData[Checker ID],$Q$4,RawData[[Error Type ]],$Q$5))</f>
        <v/>
      </c>
    </row>
    <row r="15874" spans="15:15" x14ac:dyDescent="0.25">
      <c r="O15874" s="20" t="str">
        <f>IF(N15874="","",COUNTIFS(RawData[[Date ]],N15874,RawData[Month List],$Q$6,RawData[Tour/Site],$Q$2,RawData[[Picker ID ]],$Q$3,RawData[Checker ID],$Q$4,RawData[[Error Type ]],$Q$5))</f>
        <v/>
      </c>
    </row>
    <row r="15875" spans="15:15" x14ac:dyDescent="0.25">
      <c r="O15875" s="20" t="str">
        <f>IF(N15875="","",COUNTIFS(RawData[[Date ]],N15875,RawData[Month List],$Q$6,RawData[Tour/Site],$Q$2,RawData[[Picker ID ]],$Q$3,RawData[Checker ID],$Q$4,RawData[[Error Type ]],$Q$5))</f>
        <v/>
      </c>
    </row>
    <row r="15876" spans="15:15" x14ac:dyDescent="0.25">
      <c r="O15876" s="20" t="str">
        <f>IF(N15876="","",COUNTIFS(RawData[[Date ]],N15876,RawData[Month List],$Q$6,RawData[Tour/Site],$Q$2,RawData[[Picker ID ]],$Q$3,RawData[Checker ID],$Q$4,RawData[[Error Type ]],$Q$5))</f>
        <v/>
      </c>
    </row>
    <row r="15877" spans="15:15" x14ac:dyDescent="0.25">
      <c r="O15877" s="20" t="str">
        <f>IF(N15877="","",COUNTIFS(RawData[[Date ]],N15877,RawData[Month List],$Q$6,RawData[Tour/Site],$Q$2,RawData[[Picker ID ]],$Q$3,RawData[Checker ID],$Q$4,RawData[[Error Type ]],$Q$5))</f>
        <v/>
      </c>
    </row>
    <row r="15878" spans="15:15" x14ac:dyDescent="0.25">
      <c r="O15878" s="20" t="str">
        <f>IF(N15878="","",COUNTIFS(RawData[[Date ]],N15878,RawData[Month List],$Q$6,RawData[Tour/Site],$Q$2,RawData[[Picker ID ]],$Q$3,RawData[Checker ID],$Q$4,RawData[[Error Type ]],$Q$5))</f>
        <v/>
      </c>
    </row>
    <row r="15879" spans="15:15" x14ac:dyDescent="0.25">
      <c r="O15879" s="20" t="str">
        <f>IF(N15879="","",COUNTIFS(RawData[[Date ]],N15879,RawData[Month List],$Q$6,RawData[Tour/Site],$Q$2,RawData[[Picker ID ]],$Q$3,RawData[Checker ID],$Q$4,RawData[[Error Type ]],$Q$5))</f>
        <v/>
      </c>
    </row>
    <row r="15880" spans="15:15" x14ac:dyDescent="0.25">
      <c r="O15880" s="20" t="str">
        <f>IF(N15880="","",COUNTIFS(RawData[[Date ]],N15880,RawData[Month List],$Q$6,RawData[Tour/Site],$Q$2,RawData[[Picker ID ]],$Q$3,RawData[Checker ID],$Q$4,RawData[[Error Type ]],$Q$5))</f>
        <v/>
      </c>
    </row>
    <row r="15881" spans="15:15" x14ac:dyDescent="0.25">
      <c r="O15881" s="20" t="str">
        <f>IF(N15881="","",COUNTIFS(RawData[[Date ]],N15881,RawData[Month List],$Q$6,RawData[Tour/Site],$Q$2,RawData[[Picker ID ]],$Q$3,RawData[Checker ID],$Q$4,RawData[[Error Type ]],$Q$5))</f>
        <v/>
      </c>
    </row>
    <row r="15882" spans="15:15" x14ac:dyDescent="0.25">
      <c r="O15882" s="20" t="str">
        <f>IF(N15882="","",COUNTIFS(RawData[[Date ]],N15882,RawData[Month List],$Q$6,RawData[Tour/Site],$Q$2,RawData[[Picker ID ]],$Q$3,RawData[Checker ID],$Q$4,RawData[[Error Type ]],$Q$5))</f>
        <v/>
      </c>
    </row>
    <row r="15883" spans="15:15" x14ac:dyDescent="0.25">
      <c r="O15883" s="20" t="str">
        <f>IF(N15883="","",COUNTIFS(RawData[[Date ]],N15883,RawData[Month List],$Q$6,RawData[Tour/Site],$Q$2,RawData[[Picker ID ]],$Q$3,RawData[Checker ID],$Q$4,RawData[[Error Type ]],$Q$5))</f>
        <v/>
      </c>
    </row>
    <row r="15884" spans="15:15" x14ac:dyDescent="0.25">
      <c r="O15884" s="20" t="str">
        <f>IF(N15884="","",COUNTIFS(RawData[[Date ]],N15884,RawData[Month List],$Q$6,RawData[Tour/Site],$Q$2,RawData[[Picker ID ]],$Q$3,RawData[Checker ID],$Q$4,RawData[[Error Type ]],$Q$5))</f>
        <v/>
      </c>
    </row>
    <row r="15885" spans="15:15" x14ac:dyDescent="0.25">
      <c r="O15885" s="20" t="str">
        <f>IF(N15885="","",COUNTIFS(RawData[[Date ]],N15885,RawData[Month List],$Q$6,RawData[Tour/Site],$Q$2,RawData[[Picker ID ]],$Q$3,RawData[Checker ID],$Q$4,RawData[[Error Type ]],$Q$5))</f>
        <v/>
      </c>
    </row>
    <row r="15886" spans="15:15" x14ac:dyDescent="0.25">
      <c r="O15886" s="20" t="str">
        <f>IF(N15886="","",COUNTIFS(RawData[[Date ]],N15886,RawData[Month List],$Q$6,RawData[Tour/Site],$Q$2,RawData[[Picker ID ]],$Q$3,RawData[Checker ID],$Q$4,RawData[[Error Type ]],$Q$5))</f>
        <v/>
      </c>
    </row>
    <row r="15887" spans="15:15" x14ac:dyDescent="0.25">
      <c r="O15887" s="20" t="str">
        <f>IF(N15887="","",COUNTIFS(RawData[[Date ]],N15887,RawData[Month List],$Q$6,RawData[Tour/Site],$Q$2,RawData[[Picker ID ]],$Q$3,RawData[Checker ID],$Q$4,RawData[[Error Type ]],$Q$5))</f>
        <v/>
      </c>
    </row>
    <row r="15888" spans="15:15" x14ac:dyDescent="0.25">
      <c r="O15888" s="20" t="str">
        <f>IF(N15888="","",COUNTIFS(RawData[[Date ]],N15888,RawData[Month List],$Q$6,RawData[Tour/Site],$Q$2,RawData[[Picker ID ]],$Q$3,RawData[Checker ID],$Q$4,RawData[[Error Type ]],$Q$5))</f>
        <v/>
      </c>
    </row>
    <row r="15889" spans="15:15" x14ac:dyDescent="0.25">
      <c r="O15889" s="20" t="str">
        <f>IF(N15889="","",COUNTIFS(RawData[[Date ]],N15889,RawData[Month List],$Q$6,RawData[Tour/Site],$Q$2,RawData[[Picker ID ]],$Q$3,RawData[Checker ID],$Q$4,RawData[[Error Type ]],$Q$5))</f>
        <v/>
      </c>
    </row>
    <row r="15890" spans="15:15" x14ac:dyDescent="0.25">
      <c r="O15890" s="20" t="str">
        <f>IF(N15890="","",COUNTIFS(RawData[[Date ]],N15890,RawData[Month List],$Q$6,RawData[Tour/Site],$Q$2,RawData[[Picker ID ]],$Q$3,RawData[Checker ID],$Q$4,RawData[[Error Type ]],$Q$5))</f>
        <v/>
      </c>
    </row>
    <row r="15891" spans="15:15" x14ac:dyDescent="0.25">
      <c r="O15891" s="20" t="str">
        <f>IF(N15891="","",COUNTIFS(RawData[[Date ]],N15891,RawData[Month List],$Q$6,RawData[Tour/Site],$Q$2,RawData[[Picker ID ]],$Q$3,RawData[Checker ID],$Q$4,RawData[[Error Type ]],$Q$5))</f>
        <v/>
      </c>
    </row>
    <row r="15892" spans="15:15" x14ac:dyDescent="0.25">
      <c r="O15892" s="20" t="str">
        <f>IF(N15892="","",COUNTIFS(RawData[[Date ]],N15892,RawData[Month List],$Q$6,RawData[Tour/Site],$Q$2,RawData[[Picker ID ]],$Q$3,RawData[Checker ID],$Q$4,RawData[[Error Type ]],$Q$5))</f>
        <v/>
      </c>
    </row>
    <row r="15893" spans="15:15" x14ac:dyDescent="0.25">
      <c r="O15893" s="20" t="str">
        <f>IF(N15893="","",COUNTIFS(RawData[[Date ]],N15893,RawData[Month List],$Q$6,RawData[Tour/Site],$Q$2,RawData[[Picker ID ]],$Q$3,RawData[Checker ID],$Q$4,RawData[[Error Type ]],$Q$5))</f>
        <v/>
      </c>
    </row>
    <row r="15894" spans="15:15" x14ac:dyDescent="0.25">
      <c r="O15894" s="20" t="str">
        <f>IF(N15894="","",COUNTIFS(RawData[[Date ]],N15894,RawData[Month List],$Q$6,RawData[Tour/Site],$Q$2,RawData[[Picker ID ]],$Q$3,RawData[Checker ID],$Q$4,RawData[[Error Type ]],$Q$5))</f>
        <v/>
      </c>
    </row>
    <row r="15895" spans="15:15" x14ac:dyDescent="0.25">
      <c r="O15895" s="20" t="str">
        <f>IF(N15895="","",COUNTIFS(RawData[[Date ]],N15895,RawData[Month List],$Q$6,RawData[Tour/Site],$Q$2,RawData[[Picker ID ]],$Q$3,RawData[Checker ID],$Q$4,RawData[[Error Type ]],$Q$5))</f>
        <v/>
      </c>
    </row>
    <row r="15896" spans="15:15" x14ac:dyDescent="0.25">
      <c r="O15896" s="20" t="str">
        <f>IF(N15896="","",COUNTIFS(RawData[[Date ]],N15896,RawData[Month List],$Q$6,RawData[Tour/Site],$Q$2,RawData[[Picker ID ]],$Q$3,RawData[Checker ID],$Q$4,RawData[[Error Type ]],$Q$5))</f>
        <v/>
      </c>
    </row>
    <row r="15897" spans="15:15" x14ac:dyDescent="0.25">
      <c r="O15897" s="20" t="str">
        <f>IF(N15897="","",COUNTIFS(RawData[[Date ]],N15897,RawData[Month List],$Q$6,RawData[Tour/Site],$Q$2,RawData[[Picker ID ]],$Q$3,RawData[Checker ID],$Q$4,RawData[[Error Type ]],$Q$5))</f>
        <v/>
      </c>
    </row>
    <row r="15898" spans="15:15" x14ac:dyDescent="0.25">
      <c r="O15898" s="20" t="str">
        <f>IF(N15898="","",COUNTIFS(RawData[[Date ]],N15898,RawData[Month List],$Q$6,RawData[Tour/Site],$Q$2,RawData[[Picker ID ]],$Q$3,RawData[Checker ID],$Q$4,RawData[[Error Type ]],$Q$5))</f>
        <v/>
      </c>
    </row>
    <row r="15899" spans="15:15" x14ac:dyDescent="0.25">
      <c r="O15899" s="20" t="str">
        <f>IF(N15899="","",COUNTIFS(RawData[[Date ]],N15899,RawData[Month List],$Q$6,RawData[Tour/Site],$Q$2,RawData[[Picker ID ]],$Q$3,RawData[Checker ID],$Q$4,RawData[[Error Type ]],$Q$5))</f>
        <v/>
      </c>
    </row>
    <row r="15900" spans="15:15" x14ac:dyDescent="0.25">
      <c r="O15900" s="20" t="str">
        <f>IF(N15900="","",COUNTIFS(RawData[[Date ]],N15900,RawData[Month List],$Q$6,RawData[Tour/Site],$Q$2,RawData[[Picker ID ]],$Q$3,RawData[Checker ID],$Q$4,RawData[[Error Type ]],$Q$5))</f>
        <v/>
      </c>
    </row>
    <row r="15901" spans="15:15" x14ac:dyDescent="0.25">
      <c r="O15901" s="20" t="str">
        <f>IF(N15901="","",COUNTIFS(RawData[[Date ]],N15901,RawData[Month List],$Q$6,RawData[Tour/Site],$Q$2,RawData[[Picker ID ]],$Q$3,RawData[Checker ID],$Q$4,RawData[[Error Type ]],$Q$5))</f>
        <v/>
      </c>
    </row>
    <row r="15902" spans="15:15" x14ac:dyDescent="0.25">
      <c r="O15902" s="20" t="str">
        <f>IF(N15902="","",COUNTIFS(RawData[[Date ]],N15902,RawData[Month List],$Q$6,RawData[Tour/Site],$Q$2,RawData[[Picker ID ]],$Q$3,RawData[Checker ID],$Q$4,RawData[[Error Type ]],$Q$5))</f>
        <v/>
      </c>
    </row>
    <row r="15903" spans="15:15" x14ac:dyDescent="0.25">
      <c r="O15903" s="20" t="str">
        <f>IF(N15903="","",COUNTIFS(RawData[[Date ]],N15903,RawData[Month List],$Q$6,RawData[Tour/Site],$Q$2,RawData[[Picker ID ]],$Q$3,RawData[Checker ID],$Q$4,RawData[[Error Type ]],$Q$5))</f>
        <v/>
      </c>
    </row>
    <row r="15904" spans="15:15" x14ac:dyDescent="0.25">
      <c r="O15904" s="20" t="str">
        <f>IF(N15904="","",COUNTIFS(RawData[[Date ]],N15904,RawData[Month List],$Q$6,RawData[Tour/Site],$Q$2,RawData[[Picker ID ]],$Q$3,RawData[Checker ID],$Q$4,RawData[[Error Type ]],$Q$5))</f>
        <v/>
      </c>
    </row>
    <row r="15905" spans="15:15" x14ac:dyDescent="0.25">
      <c r="O15905" s="20" t="str">
        <f>IF(N15905="","",COUNTIFS(RawData[[Date ]],N15905,RawData[Month List],$Q$6,RawData[Tour/Site],$Q$2,RawData[[Picker ID ]],$Q$3,RawData[Checker ID],$Q$4,RawData[[Error Type ]],$Q$5))</f>
        <v/>
      </c>
    </row>
    <row r="15906" spans="15:15" x14ac:dyDescent="0.25">
      <c r="O15906" s="20" t="str">
        <f>IF(N15906="","",COUNTIFS(RawData[[Date ]],N15906,RawData[Month List],$Q$6,RawData[Tour/Site],$Q$2,RawData[[Picker ID ]],$Q$3,RawData[Checker ID],$Q$4,RawData[[Error Type ]],$Q$5))</f>
        <v/>
      </c>
    </row>
    <row r="15907" spans="15:15" x14ac:dyDescent="0.25">
      <c r="O15907" s="20" t="str">
        <f>IF(N15907="","",COUNTIFS(RawData[[Date ]],N15907,RawData[Month List],$Q$6,RawData[Tour/Site],$Q$2,RawData[[Picker ID ]],$Q$3,RawData[Checker ID],$Q$4,RawData[[Error Type ]],$Q$5))</f>
        <v/>
      </c>
    </row>
    <row r="15908" spans="15:15" x14ac:dyDescent="0.25">
      <c r="O15908" s="20" t="str">
        <f>IF(N15908="","",COUNTIFS(RawData[[Date ]],N15908,RawData[Month List],$Q$6,RawData[Tour/Site],$Q$2,RawData[[Picker ID ]],$Q$3,RawData[Checker ID],$Q$4,RawData[[Error Type ]],$Q$5))</f>
        <v/>
      </c>
    </row>
    <row r="15909" spans="15:15" x14ac:dyDescent="0.25">
      <c r="O15909" s="20" t="str">
        <f>IF(N15909="","",COUNTIFS(RawData[[Date ]],N15909,RawData[Month List],$Q$6,RawData[Tour/Site],$Q$2,RawData[[Picker ID ]],$Q$3,RawData[Checker ID],$Q$4,RawData[[Error Type ]],$Q$5))</f>
        <v/>
      </c>
    </row>
    <row r="15910" spans="15:15" x14ac:dyDescent="0.25">
      <c r="O15910" s="20" t="str">
        <f>IF(N15910="","",COUNTIFS(RawData[[Date ]],N15910,RawData[Month List],$Q$6,RawData[Tour/Site],$Q$2,RawData[[Picker ID ]],$Q$3,RawData[Checker ID],$Q$4,RawData[[Error Type ]],$Q$5))</f>
        <v/>
      </c>
    </row>
    <row r="15911" spans="15:15" x14ac:dyDescent="0.25">
      <c r="O15911" s="20" t="str">
        <f>IF(N15911="","",COUNTIFS(RawData[[Date ]],N15911,RawData[Month List],$Q$6,RawData[Tour/Site],$Q$2,RawData[[Picker ID ]],$Q$3,RawData[Checker ID],$Q$4,RawData[[Error Type ]],$Q$5))</f>
        <v/>
      </c>
    </row>
    <row r="15912" spans="15:15" x14ac:dyDescent="0.25">
      <c r="O15912" s="20" t="str">
        <f>IF(N15912="","",COUNTIFS(RawData[[Date ]],N15912,RawData[Month List],$Q$6,RawData[Tour/Site],$Q$2,RawData[[Picker ID ]],$Q$3,RawData[Checker ID],$Q$4,RawData[[Error Type ]],$Q$5))</f>
        <v/>
      </c>
    </row>
    <row r="15913" spans="15:15" x14ac:dyDescent="0.25">
      <c r="O15913" s="20" t="str">
        <f>IF(N15913="","",COUNTIFS(RawData[[Date ]],N15913,RawData[Month List],$Q$6,RawData[Tour/Site],$Q$2,RawData[[Picker ID ]],$Q$3,RawData[Checker ID],$Q$4,RawData[[Error Type ]],$Q$5))</f>
        <v/>
      </c>
    </row>
    <row r="15914" spans="15:15" x14ac:dyDescent="0.25">
      <c r="O15914" s="20" t="str">
        <f>IF(N15914="","",COUNTIFS(RawData[[Date ]],N15914,RawData[Month List],$Q$6,RawData[Tour/Site],$Q$2,RawData[[Picker ID ]],$Q$3,RawData[Checker ID],$Q$4,RawData[[Error Type ]],$Q$5))</f>
        <v/>
      </c>
    </row>
    <row r="15915" spans="15:15" x14ac:dyDescent="0.25">
      <c r="O15915" s="20" t="str">
        <f>IF(N15915="","",COUNTIFS(RawData[[Date ]],N15915,RawData[Month List],$Q$6,RawData[Tour/Site],$Q$2,RawData[[Picker ID ]],$Q$3,RawData[Checker ID],$Q$4,RawData[[Error Type ]],$Q$5))</f>
        <v/>
      </c>
    </row>
    <row r="15916" spans="15:15" x14ac:dyDescent="0.25">
      <c r="O15916" s="20" t="str">
        <f>IF(N15916="","",COUNTIFS(RawData[[Date ]],N15916,RawData[Month List],$Q$6,RawData[Tour/Site],$Q$2,RawData[[Picker ID ]],$Q$3,RawData[Checker ID],$Q$4,RawData[[Error Type ]],$Q$5))</f>
        <v/>
      </c>
    </row>
    <row r="15917" spans="15:15" x14ac:dyDescent="0.25">
      <c r="O15917" s="20" t="str">
        <f>IF(N15917="","",COUNTIFS(RawData[[Date ]],N15917,RawData[Month List],$Q$6,RawData[Tour/Site],$Q$2,RawData[[Picker ID ]],$Q$3,RawData[Checker ID],$Q$4,RawData[[Error Type ]],$Q$5))</f>
        <v/>
      </c>
    </row>
    <row r="15918" spans="15:15" x14ac:dyDescent="0.25">
      <c r="O15918" s="20" t="str">
        <f>IF(N15918="","",COUNTIFS(RawData[[Date ]],N15918,RawData[Month List],$Q$6,RawData[Tour/Site],$Q$2,RawData[[Picker ID ]],$Q$3,RawData[Checker ID],$Q$4,RawData[[Error Type ]],$Q$5))</f>
        <v/>
      </c>
    </row>
    <row r="15919" spans="15:15" x14ac:dyDescent="0.25">
      <c r="O15919" s="20" t="str">
        <f>IF(N15919="","",COUNTIFS(RawData[[Date ]],N15919,RawData[Month List],$Q$6,RawData[Tour/Site],$Q$2,RawData[[Picker ID ]],$Q$3,RawData[Checker ID],$Q$4,RawData[[Error Type ]],$Q$5))</f>
        <v/>
      </c>
    </row>
    <row r="15920" spans="15:15" x14ac:dyDescent="0.25">
      <c r="O15920" s="20" t="str">
        <f>IF(N15920="","",COUNTIFS(RawData[[Date ]],N15920,RawData[Month List],$Q$6,RawData[Tour/Site],$Q$2,RawData[[Picker ID ]],$Q$3,RawData[Checker ID],$Q$4,RawData[[Error Type ]],$Q$5))</f>
        <v/>
      </c>
    </row>
    <row r="15921" spans="15:15" x14ac:dyDescent="0.25">
      <c r="O15921" s="20" t="str">
        <f>IF(N15921="","",COUNTIFS(RawData[[Date ]],N15921,RawData[Month List],$Q$6,RawData[Tour/Site],$Q$2,RawData[[Picker ID ]],$Q$3,RawData[Checker ID],$Q$4,RawData[[Error Type ]],$Q$5))</f>
        <v/>
      </c>
    </row>
    <row r="15922" spans="15:15" x14ac:dyDescent="0.25">
      <c r="O15922" s="20" t="str">
        <f>IF(N15922="","",COUNTIFS(RawData[[Date ]],N15922,RawData[Month List],$Q$6,RawData[Tour/Site],$Q$2,RawData[[Picker ID ]],$Q$3,RawData[Checker ID],$Q$4,RawData[[Error Type ]],$Q$5))</f>
        <v/>
      </c>
    </row>
    <row r="15923" spans="15:15" x14ac:dyDescent="0.25">
      <c r="O15923" s="20" t="str">
        <f>IF(N15923="","",COUNTIFS(RawData[[Date ]],N15923,RawData[Month List],$Q$6,RawData[Tour/Site],$Q$2,RawData[[Picker ID ]],$Q$3,RawData[Checker ID],$Q$4,RawData[[Error Type ]],$Q$5))</f>
        <v/>
      </c>
    </row>
    <row r="15924" spans="15:15" x14ac:dyDescent="0.25">
      <c r="O15924" s="20" t="str">
        <f>IF(N15924="","",COUNTIFS(RawData[[Date ]],N15924,RawData[Month List],$Q$6,RawData[Tour/Site],$Q$2,RawData[[Picker ID ]],$Q$3,RawData[Checker ID],$Q$4,RawData[[Error Type ]],$Q$5))</f>
        <v/>
      </c>
    </row>
    <row r="15925" spans="15:15" x14ac:dyDescent="0.25">
      <c r="O15925" s="20" t="str">
        <f>IF(N15925="","",COUNTIFS(RawData[[Date ]],N15925,RawData[Month List],$Q$6,RawData[Tour/Site],$Q$2,RawData[[Picker ID ]],$Q$3,RawData[Checker ID],$Q$4,RawData[[Error Type ]],$Q$5))</f>
        <v/>
      </c>
    </row>
    <row r="15926" spans="15:15" x14ac:dyDescent="0.25">
      <c r="O15926" s="20" t="str">
        <f>IF(N15926="","",COUNTIFS(RawData[[Date ]],N15926,RawData[Month List],$Q$6,RawData[Tour/Site],$Q$2,RawData[[Picker ID ]],$Q$3,RawData[Checker ID],$Q$4,RawData[[Error Type ]],$Q$5))</f>
        <v/>
      </c>
    </row>
    <row r="15927" spans="15:15" x14ac:dyDescent="0.25">
      <c r="O15927" s="20" t="str">
        <f>IF(N15927="","",COUNTIFS(RawData[[Date ]],N15927,RawData[Month List],$Q$6,RawData[Tour/Site],$Q$2,RawData[[Picker ID ]],$Q$3,RawData[Checker ID],$Q$4,RawData[[Error Type ]],$Q$5))</f>
        <v/>
      </c>
    </row>
    <row r="15928" spans="15:15" x14ac:dyDescent="0.25">
      <c r="O15928" s="20" t="str">
        <f>IF(N15928="","",COUNTIFS(RawData[[Date ]],N15928,RawData[Month List],$Q$6,RawData[Tour/Site],$Q$2,RawData[[Picker ID ]],$Q$3,RawData[Checker ID],$Q$4,RawData[[Error Type ]],$Q$5))</f>
        <v/>
      </c>
    </row>
    <row r="15929" spans="15:15" x14ac:dyDescent="0.25">
      <c r="O15929" s="20" t="str">
        <f>IF(N15929="","",COUNTIFS(RawData[[Date ]],N15929,RawData[Month List],$Q$6,RawData[Tour/Site],$Q$2,RawData[[Picker ID ]],$Q$3,RawData[Checker ID],$Q$4,RawData[[Error Type ]],$Q$5))</f>
        <v/>
      </c>
    </row>
    <row r="15930" spans="15:15" x14ac:dyDescent="0.25">
      <c r="O15930" s="20" t="str">
        <f>IF(N15930="","",COUNTIFS(RawData[[Date ]],N15930,RawData[Month List],$Q$6,RawData[Tour/Site],$Q$2,RawData[[Picker ID ]],$Q$3,RawData[Checker ID],$Q$4,RawData[[Error Type ]],$Q$5))</f>
        <v/>
      </c>
    </row>
    <row r="15931" spans="15:15" x14ac:dyDescent="0.25">
      <c r="O15931" s="20" t="str">
        <f>IF(N15931="","",COUNTIFS(RawData[[Date ]],N15931,RawData[Month List],$Q$6,RawData[Tour/Site],$Q$2,RawData[[Picker ID ]],$Q$3,RawData[Checker ID],$Q$4,RawData[[Error Type ]],$Q$5))</f>
        <v/>
      </c>
    </row>
    <row r="15932" spans="15:15" x14ac:dyDescent="0.25">
      <c r="O15932" s="20" t="str">
        <f>IF(N15932="","",COUNTIFS(RawData[[Date ]],N15932,RawData[Month List],$Q$6,RawData[Tour/Site],$Q$2,RawData[[Picker ID ]],$Q$3,RawData[Checker ID],$Q$4,RawData[[Error Type ]],$Q$5))</f>
        <v/>
      </c>
    </row>
    <row r="15933" spans="15:15" x14ac:dyDescent="0.25">
      <c r="O15933" s="20" t="str">
        <f>IF(N15933="","",COUNTIFS(RawData[[Date ]],N15933,RawData[Month List],$Q$6,RawData[Tour/Site],$Q$2,RawData[[Picker ID ]],$Q$3,RawData[Checker ID],$Q$4,RawData[[Error Type ]],$Q$5))</f>
        <v/>
      </c>
    </row>
    <row r="15934" spans="15:15" x14ac:dyDescent="0.25">
      <c r="O15934" s="20" t="str">
        <f>IF(N15934="","",COUNTIFS(RawData[[Date ]],N15934,RawData[Month List],$Q$6,RawData[Tour/Site],$Q$2,RawData[[Picker ID ]],$Q$3,RawData[Checker ID],$Q$4,RawData[[Error Type ]],$Q$5))</f>
        <v/>
      </c>
    </row>
    <row r="15935" spans="15:15" x14ac:dyDescent="0.25">
      <c r="O15935" s="20" t="str">
        <f>IF(N15935="","",COUNTIFS(RawData[[Date ]],N15935,RawData[Month List],$Q$6,RawData[Tour/Site],$Q$2,RawData[[Picker ID ]],$Q$3,RawData[Checker ID],$Q$4,RawData[[Error Type ]],$Q$5))</f>
        <v/>
      </c>
    </row>
    <row r="15936" spans="15:15" x14ac:dyDescent="0.25">
      <c r="O15936" s="20" t="str">
        <f>IF(N15936="","",COUNTIFS(RawData[[Date ]],N15936,RawData[Month List],$Q$6,RawData[Tour/Site],$Q$2,RawData[[Picker ID ]],$Q$3,RawData[Checker ID],$Q$4,RawData[[Error Type ]],$Q$5))</f>
        <v/>
      </c>
    </row>
    <row r="15937" spans="15:15" x14ac:dyDescent="0.25">
      <c r="O15937" s="20" t="str">
        <f>IF(N15937="","",COUNTIFS(RawData[[Date ]],N15937,RawData[Month List],$Q$6,RawData[Tour/Site],$Q$2,RawData[[Picker ID ]],$Q$3,RawData[Checker ID],$Q$4,RawData[[Error Type ]],$Q$5))</f>
        <v/>
      </c>
    </row>
    <row r="15938" spans="15:15" x14ac:dyDescent="0.25">
      <c r="O15938" s="20" t="str">
        <f>IF(N15938="","",COUNTIFS(RawData[[Date ]],N15938,RawData[Month List],$Q$6,RawData[Tour/Site],$Q$2,RawData[[Picker ID ]],$Q$3,RawData[Checker ID],$Q$4,RawData[[Error Type ]],$Q$5))</f>
        <v/>
      </c>
    </row>
    <row r="15939" spans="15:15" x14ac:dyDescent="0.25">
      <c r="O15939" s="20" t="str">
        <f>IF(N15939="","",COUNTIFS(RawData[[Date ]],N15939,RawData[Month List],$Q$6,RawData[Tour/Site],$Q$2,RawData[[Picker ID ]],$Q$3,RawData[Checker ID],$Q$4,RawData[[Error Type ]],$Q$5))</f>
        <v/>
      </c>
    </row>
    <row r="15940" spans="15:15" x14ac:dyDescent="0.25">
      <c r="O15940" s="20" t="str">
        <f>IF(N15940="","",COUNTIFS(RawData[[Date ]],N15940,RawData[Month List],$Q$6,RawData[Tour/Site],$Q$2,RawData[[Picker ID ]],$Q$3,RawData[Checker ID],$Q$4,RawData[[Error Type ]],$Q$5))</f>
        <v/>
      </c>
    </row>
    <row r="15941" spans="15:15" x14ac:dyDescent="0.25">
      <c r="O15941" s="20" t="str">
        <f>IF(N15941="","",COUNTIFS(RawData[[Date ]],N15941,RawData[Month List],$Q$6,RawData[Tour/Site],$Q$2,RawData[[Picker ID ]],$Q$3,RawData[Checker ID],$Q$4,RawData[[Error Type ]],$Q$5))</f>
        <v/>
      </c>
    </row>
    <row r="15942" spans="15:15" x14ac:dyDescent="0.25">
      <c r="O15942" s="20" t="str">
        <f>IF(N15942="","",COUNTIFS(RawData[[Date ]],N15942,RawData[Month List],$Q$6,RawData[Tour/Site],$Q$2,RawData[[Picker ID ]],$Q$3,RawData[Checker ID],$Q$4,RawData[[Error Type ]],$Q$5))</f>
        <v/>
      </c>
    </row>
    <row r="15943" spans="15:15" x14ac:dyDescent="0.25">
      <c r="O15943" s="20" t="str">
        <f>IF(N15943="","",COUNTIFS(RawData[[Date ]],N15943,RawData[Month List],$Q$6,RawData[Tour/Site],$Q$2,RawData[[Picker ID ]],$Q$3,RawData[Checker ID],$Q$4,RawData[[Error Type ]],$Q$5))</f>
        <v/>
      </c>
    </row>
    <row r="15944" spans="15:15" x14ac:dyDescent="0.25">
      <c r="O15944" s="20" t="str">
        <f>IF(N15944="","",COUNTIFS(RawData[[Date ]],N15944,RawData[Month List],$Q$6,RawData[Tour/Site],$Q$2,RawData[[Picker ID ]],$Q$3,RawData[Checker ID],$Q$4,RawData[[Error Type ]],$Q$5))</f>
        <v/>
      </c>
    </row>
    <row r="15945" spans="15:15" x14ac:dyDescent="0.25">
      <c r="O15945" s="20" t="str">
        <f>IF(N15945="","",COUNTIFS(RawData[[Date ]],N15945,RawData[Month List],$Q$6,RawData[Tour/Site],$Q$2,RawData[[Picker ID ]],$Q$3,RawData[Checker ID],$Q$4,RawData[[Error Type ]],$Q$5))</f>
        <v/>
      </c>
    </row>
    <row r="15946" spans="15:15" x14ac:dyDescent="0.25">
      <c r="O15946" s="20" t="str">
        <f>IF(N15946="","",COUNTIFS(RawData[[Date ]],N15946,RawData[Month List],$Q$6,RawData[Tour/Site],$Q$2,RawData[[Picker ID ]],$Q$3,RawData[Checker ID],$Q$4,RawData[[Error Type ]],$Q$5))</f>
        <v/>
      </c>
    </row>
    <row r="15947" spans="15:15" x14ac:dyDescent="0.25">
      <c r="O15947" s="20" t="str">
        <f>IF(N15947="","",COUNTIFS(RawData[[Date ]],N15947,RawData[Month List],$Q$6,RawData[Tour/Site],$Q$2,RawData[[Picker ID ]],$Q$3,RawData[Checker ID],$Q$4,RawData[[Error Type ]],$Q$5))</f>
        <v/>
      </c>
    </row>
    <row r="15948" spans="15:15" x14ac:dyDescent="0.25">
      <c r="O15948" s="20" t="str">
        <f>IF(N15948="","",COUNTIFS(RawData[[Date ]],N15948,RawData[Month List],$Q$6,RawData[Tour/Site],$Q$2,RawData[[Picker ID ]],$Q$3,RawData[Checker ID],$Q$4,RawData[[Error Type ]],$Q$5))</f>
        <v/>
      </c>
    </row>
    <row r="15949" spans="15:15" x14ac:dyDescent="0.25">
      <c r="O15949" s="20" t="str">
        <f>IF(N15949="","",COUNTIFS(RawData[[Date ]],N15949,RawData[Month List],$Q$6,RawData[Tour/Site],$Q$2,RawData[[Picker ID ]],$Q$3,RawData[Checker ID],$Q$4,RawData[[Error Type ]],$Q$5))</f>
        <v/>
      </c>
    </row>
    <row r="15950" spans="15:15" x14ac:dyDescent="0.25">
      <c r="O15950" s="20" t="str">
        <f>IF(N15950="","",COUNTIFS(RawData[[Date ]],N15950,RawData[Month List],$Q$6,RawData[Tour/Site],$Q$2,RawData[[Picker ID ]],$Q$3,RawData[Checker ID],$Q$4,RawData[[Error Type ]],$Q$5))</f>
        <v/>
      </c>
    </row>
    <row r="15951" spans="15:15" x14ac:dyDescent="0.25">
      <c r="O15951" s="20" t="str">
        <f>IF(N15951="","",COUNTIFS(RawData[[Date ]],N15951,RawData[Month List],$Q$6,RawData[Tour/Site],$Q$2,RawData[[Picker ID ]],$Q$3,RawData[Checker ID],$Q$4,RawData[[Error Type ]],$Q$5))</f>
        <v/>
      </c>
    </row>
    <row r="15952" spans="15:15" x14ac:dyDescent="0.25">
      <c r="O15952" s="20" t="str">
        <f>IF(N15952="","",COUNTIFS(RawData[[Date ]],N15952,RawData[Month List],$Q$6,RawData[Tour/Site],$Q$2,RawData[[Picker ID ]],$Q$3,RawData[Checker ID],$Q$4,RawData[[Error Type ]],$Q$5))</f>
        <v/>
      </c>
    </row>
    <row r="15953" spans="15:15" x14ac:dyDescent="0.25">
      <c r="O15953" s="20" t="str">
        <f>IF(N15953="","",COUNTIFS(RawData[[Date ]],N15953,RawData[Month List],$Q$6,RawData[Tour/Site],$Q$2,RawData[[Picker ID ]],$Q$3,RawData[Checker ID],$Q$4,RawData[[Error Type ]],$Q$5))</f>
        <v/>
      </c>
    </row>
    <row r="15954" spans="15:15" x14ac:dyDescent="0.25">
      <c r="O15954" s="20" t="str">
        <f>IF(N15954="","",COUNTIFS(RawData[[Date ]],N15954,RawData[Month List],$Q$6,RawData[Tour/Site],$Q$2,RawData[[Picker ID ]],$Q$3,RawData[Checker ID],$Q$4,RawData[[Error Type ]],$Q$5))</f>
        <v/>
      </c>
    </row>
    <row r="15955" spans="15:15" x14ac:dyDescent="0.25">
      <c r="O15955" s="20" t="str">
        <f>IF(N15955="","",COUNTIFS(RawData[[Date ]],N15955,RawData[Month List],$Q$6,RawData[Tour/Site],$Q$2,RawData[[Picker ID ]],$Q$3,RawData[Checker ID],$Q$4,RawData[[Error Type ]],$Q$5))</f>
        <v/>
      </c>
    </row>
    <row r="15956" spans="15:15" x14ac:dyDescent="0.25">
      <c r="O15956" s="20" t="str">
        <f>IF(N15956="","",COUNTIFS(RawData[[Date ]],N15956,RawData[Month List],$Q$6,RawData[Tour/Site],$Q$2,RawData[[Picker ID ]],$Q$3,RawData[Checker ID],$Q$4,RawData[[Error Type ]],$Q$5))</f>
        <v/>
      </c>
    </row>
    <row r="15957" spans="15:15" x14ac:dyDescent="0.25">
      <c r="O15957" s="20" t="str">
        <f>IF(N15957="","",COUNTIFS(RawData[[Date ]],N15957,RawData[Month List],$Q$6,RawData[Tour/Site],$Q$2,RawData[[Picker ID ]],$Q$3,RawData[Checker ID],$Q$4,RawData[[Error Type ]],$Q$5))</f>
        <v/>
      </c>
    </row>
    <row r="15958" spans="15:15" x14ac:dyDescent="0.25">
      <c r="O15958" s="20" t="str">
        <f>IF(N15958="","",COUNTIFS(RawData[[Date ]],N15958,RawData[Month List],$Q$6,RawData[Tour/Site],$Q$2,RawData[[Picker ID ]],$Q$3,RawData[Checker ID],$Q$4,RawData[[Error Type ]],$Q$5))</f>
        <v/>
      </c>
    </row>
    <row r="15959" spans="15:15" x14ac:dyDescent="0.25">
      <c r="O15959" s="20" t="str">
        <f>IF(N15959="","",COUNTIFS(RawData[[Date ]],N15959,RawData[Month List],$Q$6,RawData[Tour/Site],$Q$2,RawData[[Picker ID ]],$Q$3,RawData[Checker ID],$Q$4,RawData[[Error Type ]],$Q$5))</f>
        <v/>
      </c>
    </row>
    <row r="15960" spans="15:15" x14ac:dyDescent="0.25">
      <c r="O15960" s="20" t="str">
        <f>IF(N15960="","",COUNTIFS(RawData[[Date ]],N15960,RawData[Month List],$Q$6,RawData[Tour/Site],$Q$2,RawData[[Picker ID ]],$Q$3,RawData[Checker ID],$Q$4,RawData[[Error Type ]],$Q$5))</f>
        <v/>
      </c>
    </row>
    <row r="15961" spans="15:15" x14ac:dyDescent="0.25">
      <c r="O15961" s="20" t="str">
        <f>IF(N15961="","",COUNTIFS(RawData[[Date ]],N15961,RawData[Month List],$Q$6,RawData[Tour/Site],$Q$2,RawData[[Picker ID ]],$Q$3,RawData[Checker ID],$Q$4,RawData[[Error Type ]],$Q$5))</f>
        <v/>
      </c>
    </row>
    <row r="15962" spans="15:15" x14ac:dyDescent="0.25">
      <c r="O15962" s="20" t="str">
        <f>IF(N15962="","",COUNTIFS(RawData[[Date ]],N15962,RawData[Month List],$Q$6,RawData[Tour/Site],$Q$2,RawData[[Picker ID ]],$Q$3,RawData[Checker ID],$Q$4,RawData[[Error Type ]],$Q$5))</f>
        <v/>
      </c>
    </row>
    <row r="15963" spans="15:15" x14ac:dyDescent="0.25">
      <c r="O15963" s="20" t="str">
        <f>IF(N15963="","",COUNTIFS(RawData[[Date ]],N15963,RawData[Month List],$Q$6,RawData[Tour/Site],$Q$2,RawData[[Picker ID ]],$Q$3,RawData[Checker ID],$Q$4,RawData[[Error Type ]],$Q$5))</f>
        <v/>
      </c>
    </row>
    <row r="15964" spans="15:15" x14ac:dyDescent="0.25">
      <c r="O15964" s="20" t="str">
        <f>IF(N15964="","",COUNTIFS(RawData[[Date ]],N15964,RawData[Month List],$Q$6,RawData[Tour/Site],$Q$2,RawData[[Picker ID ]],$Q$3,RawData[Checker ID],$Q$4,RawData[[Error Type ]],$Q$5))</f>
        <v/>
      </c>
    </row>
    <row r="15965" spans="15:15" x14ac:dyDescent="0.25">
      <c r="O15965" s="20" t="str">
        <f>IF(N15965="","",COUNTIFS(RawData[[Date ]],N15965,RawData[Month List],$Q$6,RawData[Tour/Site],$Q$2,RawData[[Picker ID ]],$Q$3,RawData[Checker ID],$Q$4,RawData[[Error Type ]],$Q$5))</f>
        <v/>
      </c>
    </row>
    <row r="15966" spans="15:15" x14ac:dyDescent="0.25">
      <c r="O15966" s="20" t="str">
        <f>IF(N15966="","",COUNTIFS(RawData[[Date ]],N15966,RawData[Month List],$Q$6,RawData[Tour/Site],$Q$2,RawData[[Picker ID ]],$Q$3,RawData[Checker ID],$Q$4,RawData[[Error Type ]],$Q$5))</f>
        <v/>
      </c>
    </row>
    <row r="15967" spans="15:15" x14ac:dyDescent="0.25">
      <c r="O15967" s="20" t="str">
        <f>IF(N15967="","",COUNTIFS(RawData[[Date ]],N15967,RawData[Month List],$Q$6,RawData[Tour/Site],$Q$2,RawData[[Picker ID ]],$Q$3,RawData[Checker ID],$Q$4,RawData[[Error Type ]],$Q$5))</f>
        <v/>
      </c>
    </row>
    <row r="15968" spans="15:15" x14ac:dyDescent="0.25">
      <c r="O15968" s="20" t="str">
        <f>IF(N15968="","",COUNTIFS(RawData[[Date ]],N15968,RawData[Month List],$Q$6,RawData[Tour/Site],$Q$2,RawData[[Picker ID ]],$Q$3,RawData[Checker ID],$Q$4,RawData[[Error Type ]],$Q$5))</f>
        <v/>
      </c>
    </row>
    <row r="15969" spans="15:15" x14ac:dyDescent="0.25">
      <c r="O15969" s="20" t="str">
        <f>IF(N15969="","",COUNTIFS(RawData[[Date ]],N15969,RawData[Month List],$Q$6,RawData[Tour/Site],$Q$2,RawData[[Picker ID ]],$Q$3,RawData[Checker ID],$Q$4,RawData[[Error Type ]],$Q$5))</f>
        <v/>
      </c>
    </row>
    <row r="15970" spans="15:15" x14ac:dyDescent="0.25">
      <c r="O15970" s="20" t="str">
        <f>IF(N15970="","",COUNTIFS(RawData[[Date ]],N15970,RawData[Month List],$Q$6,RawData[Tour/Site],$Q$2,RawData[[Picker ID ]],$Q$3,RawData[Checker ID],$Q$4,RawData[[Error Type ]],$Q$5))</f>
        <v/>
      </c>
    </row>
    <row r="15971" spans="15:15" x14ac:dyDescent="0.25">
      <c r="O15971" s="20" t="str">
        <f>IF(N15971="","",COUNTIFS(RawData[[Date ]],N15971,RawData[Month List],$Q$6,RawData[Tour/Site],$Q$2,RawData[[Picker ID ]],$Q$3,RawData[Checker ID],$Q$4,RawData[[Error Type ]],$Q$5))</f>
        <v/>
      </c>
    </row>
    <row r="15972" spans="15:15" x14ac:dyDescent="0.25">
      <c r="O15972" s="20" t="str">
        <f>IF(N15972="","",COUNTIFS(RawData[[Date ]],N15972,RawData[Month List],$Q$6,RawData[Tour/Site],$Q$2,RawData[[Picker ID ]],$Q$3,RawData[Checker ID],$Q$4,RawData[[Error Type ]],$Q$5))</f>
        <v/>
      </c>
    </row>
    <row r="15973" spans="15:15" x14ac:dyDescent="0.25">
      <c r="O15973" s="20" t="str">
        <f>IF(N15973="","",COUNTIFS(RawData[[Date ]],N15973,RawData[Month List],$Q$6,RawData[Tour/Site],$Q$2,RawData[[Picker ID ]],$Q$3,RawData[Checker ID],$Q$4,RawData[[Error Type ]],$Q$5))</f>
        <v/>
      </c>
    </row>
    <row r="15974" spans="15:15" x14ac:dyDescent="0.25">
      <c r="O15974" s="20" t="str">
        <f>IF(N15974="","",COUNTIFS(RawData[[Date ]],N15974,RawData[Month List],$Q$6,RawData[Tour/Site],$Q$2,RawData[[Picker ID ]],$Q$3,RawData[Checker ID],$Q$4,RawData[[Error Type ]],$Q$5))</f>
        <v/>
      </c>
    </row>
    <row r="15975" spans="15:15" x14ac:dyDescent="0.25">
      <c r="O15975" s="20" t="str">
        <f>IF(N15975="","",COUNTIFS(RawData[[Date ]],N15975,RawData[Month List],$Q$6,RawData[Tour/Site],$Q$2,RawData[[Picker ID ]],$Q$3,RawData[Checker ID],$Q$4,RawData[[Error Type ]],$Q$5))</f>
        <v/>
      </c>
    </row>
    <row r="15976" spans="15:15" x14ac:dyDescent="0.25">
      <c r="O15976" s="20" t="str">
        <f>IF(N15976="","",COUNTIFS(RawData[[Date ]],N15976,RawData[Month List],$Q$6,RawData[Tour/Site],$Q$2,RawData[[Picker ID ]],$Q$3,RawData[Checker ID],$Q$4,RawData[[Error Type ]],$Q$5))</f>
        <v/>
      </c>
    </row>
    <row r="15977" spans="15:15" x14ac:dyDescent="0.25">
      <c r="O15977" s="20" t="str">
        <f>IF(N15977="","",COUNTIFS(RawData[[Date ]],N15977,RawData[Month List],$Q$6,RawData[Tour/Site],$Q$2,RawData[[Picker ID ]],$Q$3,RawData[Checker ID],$Q$4,RawData[[Error Type ]],$Q$5))</f>
        <v/>
      </c>
    </row>
    <row r="15978" spans="15:15" x14ac:dyDescent="0.25">
      <c r="O15978" s="20" t="str">
        <f>IF(N15978="","",COUNTIFS(RawData[[Date ]],N15978,RawData[Month List],$Q$6,RawData[Tour/Site],$Q$2,RawData[[Picker ID ]],$Q$3,RawData[Checker ID],$Q$4,RawData[[Error Type ]],$Q$5))</f>
        <v/>
      </c>
    </row>
    <row r="15979" spans="15:15" x14ac:dyDescent="0.25">
      <c r="O15979" s="20" t="str">
        <f>IF(N15979="","",COUNTIFS(RawData[[Date ]],N15979,RawData[Month List],$Q$6,RawData[Tour/Site],$Q$2,RawData[[Picker ID ]],$Q$3,RawData[Checker ID],$Q$4,RawData[[Error Type ]],$Q$5))</f>
        <v/>
      </c>
    </row>
    <row r="15980" spans="15:15" x14ac:dyDescent="0.25">
      <c r="O15980" s="20" t="str">
        <f>IF(N15980="","",COUNTIFS(RawData[[Date ]],N15980,RawData[Month List],$Q$6,RawData[Tour/Site],$Q$2,RawData[[Picker ID ]],$Q$3,RawData[Checker ID],$Q$4,RawData[[Error Type ]],$Q$5))</f>
        <v/>
      </c>
    </row>
    <row r="15981" spans="15:15" x14ac:dyDescent="0.25">
      <c r="O15981" s="20" t="str">
        <f>IF(N15981="","",COUNTIFS(RawData[[Date ]],N15981,RawData[Month List],$Q$6,RawData[Tour/Site],$Q$2,RawData[[Picker ID ]],$Q$3,RawData[Checker ID],$Q$4,RawData[[Error Type ]],$Q$5))</f>
        <v/>
      </c>
    </row>
    <row r="15982" spans="15:15" x14ac:dyDescent="0.25">
      <c r="O15982" s="20" t="str">
        <f>IF(N15982="","",COUNTIFS(RawData[[Date ]],N15982,RawData[Month List],$Q$6,RawData[Tour/Site],$Q$2,RawData[[Picker ID ]],$Q$3,RawData[Checker ID],$Q$4,RawData[[Error Type ]],$Q$5))</f>
        <v/>
      </c>
    </row>
    <row r="15983" spans="15:15" x14ac:dyDescent="0.25">
      <c r="O15983" s="20" t="str">
        <f>IF(N15983="","",COUNTIFS(RawData[[Date ]],N15983,RawData[Month List],$Q$6,RawData[Tour/Site],$Q$2,RawData[[Picker ID ]],$Q$3,RawData[Checker ID],$Q$4,RawData[[Error Type ]],$Q$5))</f>
        <v/>
      </c>
    </row>
    <row r="15984" spans="15:15" x14ac:dyDescent="0.25">
      <c r="O15984" s="20" t="str">
        <f>IF(N15984="","",COUNTIFS(RawData[[Date ]],N15984,RawData[Month List],$Q$6,RawData[Tour/Site],$Q$2,RawData[[Picker ID ]],$Q$3,RawData[Checker ID],$Q$4,RawData[[Error Type ]],$Q$5))</f>
        <v/>
      </c>
    </row>
    <row r="15985" spans="15:15" x14ac:dyDescent="0.25">
      <c r="O15985" s="20" t="str">
        <f>IF(N15985="","",COUNTIFS(RawData[[Date ]],N15985,RawData[Month List],$Q$6,RawData[Tour/Site],$Q$2,RawData[[Picker ID ]],$Q$3,RawData[Checker ID],$Q$4,RawData[[Error Type ]],$Q$5))</f>
        <v/>
      </c>
    </row>
    <row r="15986" spans="15:15" x14ac:dyDescent="0.25">
      <c r="O15986" s="20" t="str">
        <f>IF(N15986="","",COUNTIFS(RawData[[Date ]],N15986,RawData[Month List],$Q$6,RawData[Tour/Site],$Q$2,RawData[[Picker ID ]],$Q$3,RawData[Checker ID],$Q$4,RawData[[Error Type ]],$Q$5))</f>
        <v/>
      </c>
    </row>
    <row r="15987" spans="15:15" x14ac:dyDescent="0.25">
      <c r="O15987" s="20" t="str">
        <f>IF(N15987="","",COUNTIFS(RawData[[Date ]],N15987,RawData[Month List],$Q$6,RawData[Tour/Site],$Q$2,RawData[[Picker ID ]],$Q$3,RawData[Checker ID],$Q$4,RawData[[Error Type ]],$Q$5))</f>
        <v/>
      </c>
    </row>
    <row r="15988" spans="15:15" x14ac:dyDescent="0.25">
      <c r="O15988" s="20" t="str">
        <f>IF(N15988="","",COUNTIFS(RawData[[Date ]],N15988,RawData[Month List],$Q$6,RawData[Tour/Site],$Q$2,RawData[[Picker ID ]],$Q$3,RawData[Checker ID],$Q$4,RawData[[Error Type ]],$Q$5))</f>
        <v/>
      </c>
    </row>
    <row r="15989" spans="15:15" x14ac:dyDescent="0.25">
      <c r="O15989" s="20" t="str">
        <f>IF(N15989="","",COUNTIFS(RawData[[Date ]],N15989,RawData[Month List],$Q$6,RawData[Tour/Site],$Q$2,RawData[[Picker ID ]],$Q$3,RawData[Checker ID],$Q$4,RawData[[Error Type ]],$Q$5))</f>
        <v/>
      </c>
    </row>
    <row r="15990" spans="15:15" x14ac:dyDescent="0.25">
      <c r="O15990" s="20" t="str">
        <f>IF(N15990="","",COUNTIFS(RawData[[Date ]],N15990,RawData[Month List],$Q$6,RawData[Tour/Site],$Q$2,RawData[[Picker ID ]],$Q$3,RawData[Checker ID],$Q$4,RawData[[Error Type ]],$Q$5))</f>
        <v/>
      </c>
    </row>
    <row r="15991" spans="15:15" x14ac:dyDescent="0.25">
      <c r="O15991" s="20" t="str">
        <f>IF(N15991="","",COUNTIFS(RawData[[Date ]],N15991,RawData[Month List],$Q$6,RawData[Tour/Site],$Q$2,RawData[[Picker ID ]],$Q$3,RawData[Checker ID],$Q$4,RawData[[Error Type ]],$Q$5))</f>
        <v/>
      </c>
    </row>
    <row r="15992" spans="15:15" x14ac:dyDescent="0.25">
      <c r="O15992" s="20" t="str">
        <f>IF(N15992="","",COUNTIFS(RawData[[Date ]],N15992,RawData[Month List],$Q$6,RawData[Tour/Site],$Q$2,RawData[[Picker ID ]],$Q$3,RawData[Checker ID],$Q$4,RawData[[Error Type ]],$Q$5))</f>
        <v/>
      </c>
    </row>
    <row r="15993" spans="15:15" x14ac:dyDescent="0.25">
      <c r="O15993" s="20" t="str">
        <f>IF(N15993="","",COUNTIFS(RawData[[Date ]],N15993,RawData[Month List],$Q$6,RawData[Tour/Site],$Q$2,RawData[[Picker ID ]],$Q$3,RawData[Checker ID],$Q$4,RawData[[Error Type ]],$Q$5))</f>
        <v/>
      </c>
    </row>
    <row r="15994" spans="15:15" x14ac:dyDescent="0.25">
      <c r="O15994" s="20" t="str">
        <f>IF(N15994="","",COUNTIFS(RawData[[Date ]],N15994,RawData[Month List],$Q$6,RawData[Tour/Site],$Q$2,RawData[[Picker ID ]],$Q$3,RawData[Checker ID],$Q$4,RawData[[Error Type ]],$Q$5))</f>
        <v/>
      </c>
    </row>
    <row r="15995" spans="15:15" x14ac:dyDescent="0.25">
      <c r="O15995" s="20" t="str">
        <f>IF(N15995="","",COUNTIFS(RawData[[Date ]],N15995,RawData[Month List],$Q$6,RawData[Tour/Site],$Q$2,RawData[[Picker ID ]],$Q$3,RawData[Checker ID],$Q$4,RawData[[Error Type ]],$Q$5))</f>
        <v/>
      </c>
    </row>
    <row r="15996" spans="15:15" x14ac:dyDescent="0.25">
      <c r="O15996" s="20" t="str">
        <f>IF(N15996="","",COUNTIFS(RawData[[Date ]],N15996,RawData[Month List],$Q$6,RawData[Tour/Site],$Q$2,RawData[[Picker ID ]],$Q$3,RawData[Checker ID],$Q$4,RawData[[Error Type ]],$Q$5))</f>
        <v/>
      </c>
    </row>
    <row r="15997" spans="15:15" x14ac:dyDescent="0.25">
      <c r="O15997" s="20" t="str">
        <f>IF(N15997="","",COUNTIFS(RawData[[Date ]],N15997,RawData[Month List],$Q$6,RawData[Tour/Site],$Q$2,RawData[[Picker ID ]],$Q$3,RawData[Checker ID],$Q$4,RawData[[Error Type ]],$Q$5))</f>
        <v/>
      </c>
    </row>
    <row r="15998" spans="15:15" x14ac:dyDescent="0.25">
      <c r="O15998" s="20" t="str">
        <f>IF(N15998="","",COUNTIFS(RawData[[Date ]],N15998,RawData[Month List],$Q$6,RawData[Tour/Site],$Q$2,RawData[[Picker ID ]],$Q$3,RawData[Checker ID],$Q$4,RawData[[Error Type ]],$Q$5))</f>
        <v/>
      </c>
    </row>
    <row r="15999" spans="15:15" x14ac:dyDescent="0.25">
      <c r="O15999" s="20" t="str">
        <f>IF(N15999="","",COUNTIFS(RawData[[Date ]],N15999,RawData[Month List],$Q$6,RawData[Tour/Site],$Q$2,RawData[[Picker ID ]],$Q$3,RawData[Checker ID],$Q$4,RawData[[Error Type ]],$Q$5))</f>
        <v/>
      </c>
    </row>
    <row r="16000" spans="15:15" x14ac:dyDescent="0.25">
      <c r="O16000" s="20" t="str">
        <f>IF(N16000="","",COUNTIFS(RawData[[Date ]],N16000,RawData[Month List],$Q$6,RawData[Tour/Site],$Q$2,RawData[[Picker ID ]],$Q$3,RawData[Checker ID],$Q$4,RawData[[Error Type ]],$Q$5))</f>
        <v/>
      </c>
    </row>
    <row r="16001" spans="15:15" x14ac:dyDescent="0.25">
      <c r="O16001" s="20" t="str">
        <f>IF(N16001="","",COUNTIFS(RawData[[Date ]],N16001,RawData[Month List],$Q$6,RawData[Tour/Site],$Q$2,RawData[[Picker ID ]],$Q$3,RawData[Checker ID],$Q$4,RawData[[Error Type ]],$Q$5))</f>
        <v/>
      </c>
    </row>
    <row r="16002" spans="15:15" x14ac:dyDescent="0.25">
      <c r="O16002" s="20" t="str">
        <f>IF(N16002="","",COUNTIFS(RawData[[Date ]],N16002,RawData[Month List],$Q$6,RawData[Tour/Site],$Q$2,RawData[[Picker ID ]],$Q$3,RawData[Checker ID],$Q$4,RawData[[Error Type ]],$Q$5))</f>
        <v/>
      </c>
    </row>
    <row r="16003" spans="15:15" x14ac:dyDescent="0.25">
      <c r="O16003" s="20" t="str">
        <f>IF(N16003="","",COUNTIFS(RawData[[Date ]],N16003,RawData[Month List],$Q$6,RawData[Tour/Site],$Q$2,RawData[[Picker ID ]],$Q$3,RawData[Checker ID],$Q$4,RawData[[Error Type ]],$Q$5))</f>
        <v/>
      </c>
    </row>
    <row r="16004" spans="15:15" x14ac:dyDescent="0.25">
      <c r="O16004" s="20" t="str">
        <f>IF(N16004="","",COUNTIFS(RawData[[Date ]],N16004,RawData[Month List],$Q$6,RawData[Tour/Site],$Q$2,RawData[[Picker ID ]],$Q$3,RawData[Checker ID],$Q$4,RawData[[Error Type ]],$Q$5))</f>
        <v/>
      </c>
    </row>
    <row r="16005" spans="15:15" x14ac:dyDescent="0.25">
      <c r="O16005" s="20" t="str">
        <f>IF(N16005="","",COUNTIFS(RawData[[Date ]],N16005,RawData[Month List],$Q$6,RawData[Tour/Site],$Q$2,RawData[[Picker ID ]],$Q$3,RawData[Checker ID],$Q$4,RawData[[Error Type ]],$Q$5))</f>
        <v/>
      </c>
    </row>
    <row r="16006" spans="15:15" x14ac:dyDescent="0.25">
      <c r="O16006" s="20" t="str">
        <f>IF(N16006="","",COUNTIFS(RawData[[Date ]],N16006,RawData[Month List],$Q$6,RawData[Tour/Site],$Q$2,RawData[[Picker ID ]],$Q$3,RawData[Checker ID],$Q$4,RawData[[Error Type ]],$Q$5))</f>
        <v/>
      </c>
    </row>
    <row r="16007" spans="15:15" x14ac:dyDescent="0.25">
      <c r="O16007" s="20" t="str">
        <f>IF(N16007="","",COUNTIFS(RawData[[Date ]],N16007,RawData[Month List],$Q$6,RawData[Tour/Site],$Q$2,RawData[[Picker ID ]],$Q$3,RawData[Checker ID],$Q$4,RawData[[Error Type ]],$Q$5))</f>
        <v/>
      </c>
    </row>
    <row r="16008" spans="15:15" x14ac:dyDescent="0.25">
      <c r="O16008" s="20" t="str">
        <f>IF(N16008="","",COUNTIFS(RawData[[Date ]],N16008,RawData[Month List],$Q$6,RawData[Tour/Site],$Q$2,RawData[[Picker ID ]],$Q$3,RawData[Checker ID],$Q$4,RawData[[Error Type ]],$Q$5))</f>
        <v/>
      </c>
    </row>
    <row r="16009" spans="15:15" x14ac:dyDescent="0.25">
      <c r="O16009" s="20" t="str">
        <f>IF(N16009="","",COUNTIFS(RawData[[Date ]],N16009,RawData[Month List],$Q$6,RawData[Tour/Site],$Q$2,RawData[[Picker ID ]],$Q$3,RawData[Checker ID],$Q$4,RawData[[Error Type ]],$Q$5))</f>
        <v/>
      </c>
    </row>
    <row r="16010" spans="15:15" x14ac:dyDescent="0.25">
      <c r="O16010" s="20" t="str">
        <f>IF(N16010="","",COUNTIFS(RawData[[Date ]],N16010,RawData[Month List],$Q$6,RawData[Tour/Site],$Q$2,RawData[[Picker ID ]],$Q$3,RawData[Checker ID],$Q$4,RawData[[Error Type ]],$Q$5))</f>
        <v/>
      </c>
    </row>
    <row r="16011" spans="15:15" x14ac:dyDescent="0.25">
      <c r="O16011" s="20" t="str">
        <f>IF(N16011="","",COUNTIFS(RawData[[Date ]],N16011,RawData[Month List],$Q$6,RawData[Tour/Site],$Q$2,RawData[[Picker ID ]],$Q$3,RawData[Checker ID],$Q$4,RawData[[Error Type ]],$Q$5))</f>
        <v/>
      </c>
    </row>
    <row r="16012" spans="15:15" x14ac:dyDescent="0.25">
      <c r="O16012" s="20" t="str">
        <f>IF(N16012="","",COUNTIFS(RawData[[Date ]],N16012,RawData[Month List],$Q$6,RawData[Tour/Site],$Q$2,RawData[[Picker ID ]],$Q$3,RawData[Checker ID],$Q$4,RawData[[Error Type ]],$Q$5))</f>
        <v/>
      </c>
    </row>
    <row r="16013" spans="15:15" x14ac:dyDescent="0.25">
      <c r="O16013" s="20" t="str">
        <f>IF(N16013="","",COUNTIFS(RawData[[Date ]],N16013,RawData[Month List],$Q$6,RawData[Tour/Site],$Q$2,RawData[[Picker ID ]],$Q$3,RawData[Checker ID],$Q$4,RawData[[Error Type ]],$Q$5))</f>
        <v/>
      </c>
    </row>
    <row r="16014" spans="15:15" x14ac:dyDescent="0.25">
      <c r="O16014" s="20" t="str">
        <f>IF(N16014="","",COUNTIFS(RawData[[Date ]],N16014,RawData[Month List],$Q$6,RawData[Tour/Site],$Q$2,RawData[[Picker ID ]],$Q$3,RawData[Checker ID],$Q$4,RawData[[Error Type ]],$Q$5))</f>
        <v/>
      </c>
    </row>
    <row r="16015" spans="15:15" x14ac:dyDescent="0.25">
      <c r="O16015" s="20" t="str">
        <f>IF(N16015="","",COUNTIFS(RawData[[Date ]],N16015,RawData[Month List],$Q$6,RawData[Tour/Site],$Q$2,RawData[[Picker ID ]],$Q$3,RawData[Checker ID],$Q$4,RawData[[Error Type ]],$Q$5))</f>
        <v/>
      </c>
    </row>
    <row r="16016" spans="15:15" x14ac:dyDescent="0.25">
      <c r="O16016" s="20" t="str">
        <f>IF(N16016="","",COUNTIFS(RawData[[Date ]],N16016,RawData[Month List],$Q$6,RawData[Tour/Site],$Q$2,RawData[[Picker ID ]],$Q$3,RawData[Checker ID],$Q$4,RawData[[Error Type ]],$Q$5))</f>
        <v/>
      </c>
    </row>
    <row r="16017" spans="15:15" x14ac:dyDescent="0.25">
      <c r="O16017" s="20" t="str">
        <f>IF(N16017="","",COUNTIFS(RawData[[Date ]],N16017,RawData[Month List],$Q$6,RawData[Tour/Site],$Q$2,RawData[[Picker ID ]],$Q$3,RawData[Checker ID],$Q$4,RawData[[Error Type ]],$Q$5))</f>
        <v/>
      </c>
    </row>
    <row r="16018" spans="15:15" x14ac:dyDescent="0.25">
      <c r="O16018" s="20" t="str">
        <f>IF(N16018="","",COUNTIFS(RawData[[Date ]],N16018,RawData[Month List],$Q$6,RawData[Tour/Site],$Q$2,RawData[[Picker ID ]],$Q$3,RawData[Checker ID],$Q$4,RawData[[Error Type ]],$Q$5))</f>
        <v/>
      </c>
    </row>
    <row r="16019" spans="15:15" x14ac:dyDescent="0.25">
      <c r="O16019" s="20" t="str">
        <f>IF(N16019="","",COUNTIFS(RawData[[Date ]],N16019,RawData[Month List],$Q$6,RawData[Tour/Site],$Q$2,RawData[[Picker ID ]],$Q$3,RawData[Checker ID],$Q$4,RawData[[Error Type ]],$Q$5))</f>
        <v/>
      </c>
    </row>
    <row r="16020" spans="15:15" x14ac:dyDescent="0.25">
      <c r="O16020" s="20" t="str">
        <f>IF(N16020="","",COUNTIFS(RawData[[Date ]],N16020,RawData[Month List],$Q$6,RawData[Tour/Site],$Q$2,RawData[[Picker ID ]],$Q$3,RawData[Checker ID],$Q$4,RawData[[Error Type ]],$Q$5))</f>
        <v/>
      </c>
    </row>
    <row r="16021" spans="15:15" x14ac:dyDescent="0.25">
      <c r="O16021" s="20" t="str">
        <f>IF(N16021="","",COUNTIFS(RawData[[Date ]],N16021,RawData[Month List],$Q$6,RawData[Tour/Site],$Q$2,RawData[[Picker ID ]],$Q$3,RawData[Checker ID],$Q$4,RawData[[Error Type ]],$Q$5))</f>
        <v/>
      </c>
    </row>
    <row r="16022" spans="15:15" x14ac:dyDescent="0.25">
      <c r="O16022" s="20" t="str">
        <f>IF(N16022="","",COUNTIFS(RawData[[Date ]],N16022,RawData[Month List],$Q$6,RawData[Tour/Site],$Q$2,RawData[[Picker ID ]],$Q$3,RawData[Checker ID],$Q$4,RawData[[Error Type ]],$Q$5))</f>
        <v/>
      </c>
    </row>
    <row r="16023" spans="15:15" x14ac:dyDescent="0.25">
      <c r="O16023" s="20" t="str">
        <f>IF(N16023="","",COUNTIFS(RawData[[Date ]],N16023,RawData[Month List],$Q$6,RawData[Tour/Site],$Q$2,RawData[[Picker ID ]],$Q$3,RawData[Checker ID],$Q$4,RawData[[Error Type ]],$Q$5))</f>
        <v/>
      </c>
    </row>
    <row r="16024" spans="15:15" x14ac:dyDescent="0.25">
      <c r="O16024" s="20" t="str">
        <f>IF(N16024="","",COUNTIFS(RawData[[Date ]],N16024,RawData[Month List],$Q$6,RawData[Tour/Site],$Q$2,RawData[[Picker ID ]],$Q$3,RawData[Checker ID],$Q$4,RawData[[Error Type ]],$Q$5))</f>
        <v/>
      </c>
    </row>
    <row r="16025" spans="15:15" x14ac:dyDescent="0.25">
      <c r="O16025" s="20" t="str">
        <f>IF(N16025="","",COUNTIFS(RawData[[Date ]],N16025,RawData[Month List],$Q$6,RawData[Tour/Site],$Q$2,RawData[[Picker ID ]],$Q$3,RawData[Checker ID],$Q$4,RawData[[Error Type ]],$Q$5))</f>
        <v/>
      </c>
    </row>
    <row r="16026" spans="15:15" x14ac:dyDescent="0.25">
      <c r="O16026" s="20" t="str">
        <f>IF(N16026="","",COUNTIFS(RawData[[Date ]],N16026,RawData[Month List],$Q$6,RawData[Tour/Site],$Q$2,RawData[[Picker ID ]],$Q$3,RawData[Checker ID],$Q$4,RawData[[Error Type ]],$Q$5))</f>
        <v/>
      </c>
    </row>
    <row r="16027" spans="15:15" x14ac:dyDescent="0.25">
      <c r="O16027" s="20" t="str">
        <f>IF(N16027="","",COUNTIFS(RawData[[Date ]],N16027,RawData[Month List],$Q$6,RawData[Tour/Site],$Q$2,RawData[[Picker ID ]],$Q$3,RawData[Checker ID],$Q$4,RawData[[Error Type ]],$Q$5))</f>
        <v/>
      </c>
    </row>
    <row r="16028" spans="15:15" x14ac:dyDescent="0.25">
      <c r="O16028" s="20" t="str">
        <f>IF(N16028="","",COUNTIFS(RawData[[Date ]],N16028,RawData[Month List],$Q$6,RawData[Tour/Site],$Q$2,RawData[[Picker ID ]],$Q$3,RawData[Checker ID],$Q$4,RawData[[Error Type ]],$Q$5))</f>
        <v/>
      </c>
    </row>
    <row r="16029" spans="15:15" x14ac:dyDescent="0.25">
      <c r="O16029" s="20" t="str">
        <f>IF(N16029="","",COUNTIFS(RawData[[Date ]],N16029,RawData[Month List],$Q$6,RawData[Tour/Site],$Q$2,RawData[[Picker ID ]],$Q$3,RawData[Checker ID],$Q$4,RawData[[Error Type ]],$Q$5))</f>
        <v/>
      </c>
    </row>
    <row r="16030" spans="15:15" x14ac:dyDescent="0.25">
      <c r="O16030" s="20" t="str">
        <f>IF(N16030="","",COUNTIFS(RawData[[Date ]],N16030,RawData[Month List],$Q$6,RawData[Tour/Site],$Q$2,RawData[[Picker ID ]],$Q$3,RawData[Checker ID],$Q$4,RawData[[Error Type ]],$Q$5))</f>
        <v/>
      </c>
    </row>
    <row r="16031" spans="15:15" x14ac:dyDescent="0.25">
      <c r="O16031" s="20" t="str">
        <f>IF(N16031="","",COUNTIFS(RawData[[Date ]],N16031,RawData[Month List],$Q$6,RawData[Tour/Site],$Q$2,RawData[[Picker ID ]],$Q$3,RawData[Checker ID],$Q$4,RawData[[Error Type ]],$Q$5))</f>
        <v/>
      </c>
    </row>
    <row r="16032" spans="15:15" x14ac:dyDescent="0.25">
      <c r="O16032" s="20" t="str">
        <f>IF(N16032="","",COUNTIFS(RawData[[Date ]],N16032,RawData[Month List],$Q$6,RawData[Tour/Site],$Q$2,RawData[[Picker ID ]],$Q$3,RawData[Checker ID],$Q$4,RawData[[Error Type ]],$Q$5))</f>
        <v/>
      </c>
    </row>
    <row r="16033" spans="15:15" x14ac:dyDescent="0.25">
      <c r="O16033" s="20" t="str">
        <f>IF(N16033="","",COUNTIFS(RawData[[Date ]],N16033,RawData[Month List],$Q$6,RawData[Tour/Site],$Q$2,RawData[[Picker ID ]],$Q$3,RawData[Checker ID],$Q$4,RawData[[Error Type ]],$Q$5))</f>
        <v/>
      </c>
    </row>
    <row r="16034" spans="15:15" x14ac:dyDescent="0.25">
      <c r="O16034" s="20" t="str">
        <f>IF(N16034="","",COUNTIFS(RawData[[Date ]],N16034,RawData[Month List],$Q$6,RawData[Tour/Site],$Q$2,RawData[[Picker ID ]],$Q$3,RawData[Checker ID],$Q$4,RawData[[Error Type ]],$Q$5))</f>
        <v/>
      </c>
    </row>
    <row r="16035" spans="15:15" x14ac:dyDescent="0.25">
      <c r="O16035" s="20" t="str">
        <f>IF(N16035="","",COUNTIFS(RawData[[Date ]],N16035,RawData[Month List],$Q$6,RawData[Tour/Site],$Q$2,RawData[[Picker ID ]],$Q$3,RawData[Checker ID],$Q$4,RawData[[Error Type ]],$Q$5))</f>
        <v/>
      </c>
    </row>
    <row r="16036" spans="15:15" x14ac:dyDescent="0.25">
      <c r="O16036" s="20" t="str">
        <f>IF(N16036="","",COUNTIFS(RawData[[Date ]],N16036,RawData[Month List],$Q$6,RawData[Tour/Site],$Q$2,RawData[[Picker ID ]],$Q$3,RawData[Checker ID],$Q$4,RawData[[Error Type ]],$Q$5))</f>
        <v/>
      </c>
    </row>
    <row r="16037" spans="15:15" x14ac:dyDescent="0.25">
      <c r="O16037" s="20" t="str">
        <f>IF(N16037="","",COUNTIFS(RawData[[Date ]],N16037,RawData[Month List],$Q$6,RawData[Tour/Site],$Q$2,RawData[[Picker ID ]],$Q$3,RawData[Checker ID],$Q$4,RawData[[Error Type ]],$Q$5))</f>
        <v/>
      </c>
    </row>
    <row r="16038" spans="15:15" x14ac:dyDescent="0.25">
      <c r="O16038" s="20" t="str">
        <f>IF(N16038="","",COUNTIFS(RawData[[Date ]],N16038,RawData[Month List],$Q$6,RawData[Tour/Site],$Q$2,RawData[[Picker ID ]],$Q$3,RawData[Checker ID],$Q$4,RawData[[Error Type ]],$Q$5))</f>
        <v/>
      </c>
    </row>
    <row r="16039" spans="15:15" x14ac:dyDescent="0.25">
      <c r="O16039" s="20" t="str">
        <f>IF(N16039="","",COUNTIFS(RawData[[Date ]],N16039,RawData[Month List],$Q$6,RawData[Tour/Site],$Q$2,RawData[[Picker ID ]],$Q$3,RawData[Checker ID],$Q$4,RawData[[Error Type ]],$Q$5))</f>
        <v/>
      </c>
    </row>
    <row r="16040" spans="15:15" x14ac:dyDescent="0.25">
      <c r="O16040" s="20" t="str">
        <f>IF(N16040="","",COUNTIFS(RawData[[Date ]],N16040,RawData[Month List],$Q$6,RawData[Tour/Site],$Q$2,RawData[[Picker ID ]],$Q$3,RawData[Checker ID],$Q$4,RawData[[Error Type ]],$Q$5))</f>
        <v/>
      </c>
    </row>
    <row r="16041" spans="15:15" x14ac:dyDescent="0.25">
      <c r="O16041" s="20" t="str">
        <f>IF(N16041="","",COUNTIFS(RawData[[Date ]],N16041,RawData[Month List],$Q$6,RawData[Tour/Site],$Q$2,RawData[[Picker ID ]],$Q$3,RawData[Checker ID],$Q$4,RawData[[Error Type ]],$Q$5))</f>
        <v/>
      </c>
    </row>
    <row r="16042" spans="15:15" x14ac:dyDescent="0.25">
      <c r="O16042" s="20" t="str">
        <f>IF(N16042="","",COUNTIFS(RawData[[Date ]],N16042,RawData[Month List],$Q$6,RawData[Tour/Site],$Q$2,RawData[[Picker ID ]],$Q$3,RawData[Checker ID],$Q$4,RawData[[Error Type ]],$Q$5))</f>
        <v/>
      </c>
    </row>
    <row r="16043" spans="15:15" x14ac:dyDescent="0.25">
      <c r="O16043" s="20" t="str">
        <f>IF(N16043="","",COUNTIFS(RawData[[Date ]],N16043,RawData[Month List],$Q$6,RawData[Tour/Site],$Q$2,RawData[[Picker ID ]],$Q$3,RawData[Checker ID],$Q$4,RawData[[Error Type ]],$Q$5))</f>
        <v/>
      </c>
    </row>
    <row r="16044" spans="15:15" x14ac:dyDescent="0.25">
      <c r="O16044" s="20" t="str">
        <f>IF(N16044="","",COUNTIFS(RawData[[Date ]],N16044,RawData[Month List],$Q$6,RawData[Tour/Site],$Q$2,RawData[[Picker ID ]],$Q$3,RawData[Checker ID],$Q$4,RawData[[Error Type ]],$Q$5))</f>
        <v/>
      </c>
    </row>
    <row r="16045" spans="15:15" x14ac:dyDescent="0.25">
      <c r="O16045" s="20" t="str">
        <f>IF(N16045="","",COUNTIFS(RawData[[Date ]],N16045,RawData[Month List],$Q$6,RawData[Tour/Site],$Q$2,RawData[[Picker ID ]],$Q$3,RawData[Checker ID],$Q$4,RawData[[Error Type ]],$Q$5))</f>
        <v/>
      </c>
    </row>
    <row r="16046" spans="15:15" x14ac:dyDescent="0.25">
      <c r="O16046" s="20" t="str">
        <f>IF(N16046="","",COUNTIFS(RawData[[Date ]],N16046,RawData[Month List],$Q$6,RawData[Tour/Site],$Q$2,RawData[[Picker ID ]],$Q$3,RawData[Checker ID],$Q$4,RawData[[Error Type ]],$Q$5))</f>
        <v/>
      </c>
    </row>
    <row r="16047" spans="15:15" x14ac:dyDescent="0.25">
      <c r="O16047" s="20" t="str">
        <f>IF(N16047="","",COUNTIFS(RawData[[Date ]],N16047,RawData[Month List],$Q$6,RawData[Tour/Site],$Q$2,RawData[[Picker ID ]],$Q$3,RawData[Checker ID],$Q$4,RawData[[Error Type ]],$Q$5))</f>
        <v/>
      </c>
    </row>
    <row r="16048" spans="15:15" x14ac:dyDescent="0.25">
      <c r="O16048" s="20" t="str">
        <f>IF(N16048="","",COUNTIFS(RawData[[Date ]],N16048,RawData[Month List],$Q$6,RawData[Tour/Site],$Q$2,RawData[[Picker ID ]],$Q$3,RawData[Checker ID],$Q$4,RawData[[Error Type ]],$Q$5))</f>
        <v/>
      </c>
    </row>
    <row r="16049" spans="15:15" x14ac:dyDescent="0.25">
      <c r="O16049" s="20" t="str">
        <f>IF(N16049="","",COUNTIFS(RawData[[Date ]],N16049,RawData[Month List],$Q$6,RawData[Tour/Site],$Q$2,RawData[[Picker ID ]],$Q$3,RawData[Checker ID],$Q$4,RawData[[Error Type ]],$Q$5))</f>
        <v/>
      </c>
    </row>
    <row r="16050" spans="15:15" x14ac:dyDescent="0.25">
      <c r="O16050" s="20" t="str">
        <f>IF(N16050="","",COUNTIFS(RawData[[Date ]],N16050,RawData[Month List],$Q$6,RawData[Tour/Site],$Q$2,RawData[[Picker ID ]],$Q$3,RawData[Checker ID],$Q$4,RawData[[Error Type ]],$Q$5))</f>
        <v/>
      </c>
    </row>
    <row r="16051" spans="15:15" x14ac:dyDescent="0.25">
      <c r="O16051" s="20" t="str">
        <f>IF(N16051="","",COUNTIFS(RawData[[Date ]],N16051,RawData[Month List],$Q$6,RawData[Tour/Site],$Q$2,RawData[[Picker ID ]],$Q$3,RawData[Checker ID],$Q$4,RawData[[Error Type ]],$Q$5))</f>
        <v/>
      </c>
    </row>
    <row r="16052" spans="15:15" x14ac:dyDescent="0.25">
      <c r="O16052" s="20" t="str">
        <f>IF(N16052="","",COUNTIFS(RawData[[Date ]],N16052,RawData[Month List],$Q$6,RawData[Tour/Site],$Q$2,RawData[[Picker ID ]],$Q$3,RawData[Checker ID],$Q$4,RawData[[Error Type ]],$Q$5))</f>
        <v/>
      </c>
    </row>
    <row r="16053" spans="15:15" x14ac:dyDescent="0.25">
      <c r="O16053" s="20" t="str">
        <f>IF(N16053="","",COUNTIFS(RawData[[Date ]],N16053,RawData[Month List],$Q$6,RawData[Tour/Site],$Q$2,RawData[[Picker ID ]],$Q$3,RawData[Checker ID],$Q$4,RawData[[Error Type ]],$Q$5))</f>
        <v/>
      </c>
    </row>
    <row r="16054" spans="15:15" x14ac:dyDescent="0.25">
      <c r="O16054" s="20" t="str">
        <f>IF(N16054="","",COUNTIFS(RawData[[Date ]],N16054,RawData[Month List],$Q$6,RawData[Tour/Site],$Q$2,RawData[[Picker ID ]],$Q$3,RawData[Checker ID],$Q$4,RawData[[Error Type ]],$Q$5))</f>
        <v/>
      </c>
    </row>
    <row r="16055" spans="15:15" x14ac:dyDescent="0.25">
      <c r="O16055" s="20" t="str">
        <f>IF(N16055="","",COUNTIFS(RawData[[Date ]],N16055,RawData[Month List],$Q$6,RawData[Tour/Site],$Q$2,RawData[[Picker ID ]],$Q$3,RawData[Checker ID],$Q$4,RawData[[Error Type ]],$Q$5))</f>
        <v/>
      </c>
    </row>
    <row r="16056" spans="15:15" x14ac:dyDescent="0.25">
      <c r="O16056" s="20" t="str">
        <f>IF(N16056="","",COUNTIFS(RawData[[Date ]],N16056,RawData[Month List],$Q$6,RawData[Tour/Site],$Q$2,RawData[[Picker ID ]],$Q$3,RawData[Checker ID],$Q$4,RawData[[Error Type ]],$Q$5))</f>
        <v/>
      </c>
    </row>
    <row r="16057" spans="15:15" x14ac:dyDescent="0.25">
      <c r="O16057" s="20" t="str">
        <f>IF(N16057="","",COUNTIFS(RawData[[Date ]],N16057,RawData[Month List],$Q$6,RawData[Tour/Site],$Q$2,RawData[[Picker ID ]],$Q$3,RawData[Checker ID],$Q$4,RawData[[Error Type ]],$Q$5))</f>
        <v/>
      </c>
    </row>
    <row r="16058" spans="15:15" x14ac:dyDescent="0.25">
      <c r="O16058" s="20" t="str">
        <f>IF(N16058="","",COUNTIFS(RawData[[Date ]],N16058,RawData[Month List],$Q$6,RawData[Tour/Site],$Q$2,RawData[[Picker ID ]],$Q$3,RawData[Checker ID],$Q$4,RawData[[Error Type ]],$Q$5))</f>
        <v/>
      </c>
    </row>
    <row r="16059" spans="15:15" x14ac:dyDescent="0.25">
      <c r="O16059" s="20" t="str">
        <f>IF(N16059="","",COUNTIFS(RawData[[Date ]],N16059,RawData[Month List],$Q$6,RawData[Tour/Site],$Q$2,RawData[[Picker ID ]],$Q$3,RawData[Checker ID],$Q$4,RawData[[Error Type ]],$Q$5))</f>
        <v/>
      </c>
    </row>
    <row r="16060" spans="15:15" x14ac:dyDescent="0.25">
      <c r="O16060" s="20" t="str">
        <f>IF(N16060="","",COUNTIFS(RawData[[Date ]],N16060,RawData[Month List],$Q$6,RawData[Tour/Site],$Q$2,RawData[[Picker ID ]],$Q$3,RawData[Checker ID],$Q$4,RawData[[Error Type ]],$Q$5))</f>
        <v/>
      </c>
    </row>
    <row r="16061" spans="15:15" x14ac:dyDescent="0.25">
      <c r="O16061" s="20" t="str">
        <f>IF(N16061="","",COUNTIFS(RawData[[Date ]],N16061,RawData[Month List],$Q$6,RawData[Tour/Site],$Q$2,RawData[[Picker ID ]],$Q$3,RawData[Checker ID],$Q$4,RawData[[Error Type ]],$Q$5))</f>
        <v/>
      </c>
    </row>
    <row r="16062" spans="15:15" x14ac:dyDescent="0.25">
      <c r="O16062" s="20" t="str">
        <f>IF(N16062="","",COUNTIFS(RawData[[Date ]],N16062,RawData[Month List],$Q$6,RawData[Tour/Site],$Q$2,RawData[[Picker ID ]],$Q$3,RawData[Checker ID],$Q$4,RawData[[Error Type ]],$Q$5))</f>
        <v/>
      </c>
    </row>
    <row r="16063" spans="15:15" x14ac:dyDescent="0.25">
      <c r="O16063" s="20" t="str">
        <f>IF(N16063="","",COUNTIFS(RawData[[Date ]],N16063,RawData[Month List],$Q$6,RawData[Tour/Site],$Q$2,RawData[[Picker ID ]],$Q$3,RawData[Checker ID],$Q$4,RawData[[Error Type ]],$Q$5))</f>
        <v/>
      </c>
    </row>
    <row r="16064" spans="15:15" x14ac:dyDescent="0.25">
      <c r="O16064" s="20" t="str">
        <f>IF(N16064="","",COUNTIFS(RawData[[Date ]],N16064,RawData[Month List],$Q$6,RawData[Tour/Site],$Q$2,RawData[[Picker ID ]],$Q$3,RawData[Checker ID],$Q$4,RawData[[Error Type ]],$Q$5))</f>
        <v/>
      </c>
    </row>
    <row r="16065" spans="15:15" x14ac:dyDescent="0.25">
      <c r="O16065" s="20" t="str">
        <f>IF(N16065="","",COUNTIFS(RawData[[Date ]],N16065,RawData[Month List],$Q$6,RawData[Tour/Site],$Q$2,RawData[[Picker ID ]],$Q$3,RawData[Checker ID],$Q$4,RawData[[Error Type ]],$Q$5))</f>
        <v/>
      </c>
    </row>
    <row r="16066" spans="15:15" x14ac:dyDescent="0.25">
      <c r="O16066" s="20" t="str">
        <f>IF(N16066="","",COUNTIFS(RawData[[Date ]],N16066,RawData[Month List],$Q$6,RawData[Tour/Site],$Q$2,RawData[[Picker ID ]],$Q$3,RawData[Checker ID],$Q$4,RawData[[Error Type ]],$Q$5))</f>
        <v/>
      </c>
    </row>
    <row r="16067" spans="15:15" x14ac:dyDescent="0.25">
      <c r="O16067" s="20" t="str">
        <f>IF(N16067="","",COUNTIFS(RawData[[Date ]],N16067,RawData[Month List],$Q$6,RawData[Tour/Site],$Q$2,RawData[[Picker ID ]],$Q$3,RawData[Checker ID],$Q$4,RawData[[Error Type ]],$Q$5))</f>
        <v/>
      </c>
    </row>
    <row r="16068" spans="15:15" x14ac:dyDescent="0.25">
      <c r="O16068" s="20" t="str">
        <f>IF(N16068="","",COUNTIFS(RawData[[Date ]],N16068,RawData[Month List],$Q$6,RawData[Tour/Site],$Q$2,RawData[[Picker ID ]],$Q$3,RawData[Checker ID],$Q$4,RawData[[Error Type ]],$Q$5))</f>
        <v/>
      </c>
    </row>
    <row r="16069" spans="15:15" x14ac:dyDescent="0.25">
      <c r="O16069" s="20" t="str">
        <f>IF(N16069="","",COUNTIFS(RawData[[Date ]],N16069,RawData[Month List],$Q$6,RawData[Tour/Site],$Q$2,RawData[[Picker ID ]],$Q$3,RawData[Checker ID],$Q$4,RawData[[Error Type ]],$Q$5))</f>
        <v/>
      </c>
    </row>
    <row r="16070" spans="15:15" x14ac:dyDescent="0.25">
      <c r="O16070" s="20" t="str">
        <f>IF(N16070="","",COUNTIFS(RawData[[Date ]],N16070,RawData[Month List],$Q$6,RawData[Tour/Site],$Q$2,RawData[[Picker ID ]],$Q$3,RawData[Checker ID],$Q$4,RawData[[Error Type ]],$Q$5))</f>
        <v/>
      </c>
    </row>
    <row r="16071" spans="15:15" x14ac:dyDescent="0.25">
      <c r="O16071" s="20" t="str">
        <f>IF(N16071="","",COUNTIFS(RawData[[Date ]],N16071,RawData[Month List],$Q$6,RawData[Tour/Site],$Q$2,RawData[[Picker ID ]],$Q$3,RawData[Checker ID],$Q$4,RawData[[Error Type ]],$Q$5))</f>
        <v/>
      </c>
    </row>
    <row r="16072" spans="15:15" x14ac:dyDescent="0.25">
      <c r="O16072" s="20" t="str">
        <f>IF(N16072="","",COUNTIFS(RawData[[Date ]],N16072,RawData[Month List],$Q$6,RawData[Tour/Site],$Q$2,RawData[[Picker ID ]],$Q$3,RawData[Checker ID],$Q$4,RawData[[Error Type ]],$Q$5))</f>
        <v/>
      </c>
    </row>
    <row r="16073" spans="15:15" x14ac:dyDescent="0.25">
      <c r="O16073" s="20" t="str">
        <f>IF(N16073="","",COUNTIFS(RawData[[Date ]],N16073,RawData[Month List],$Q$6,RawData[Tour/Site],$Q$2,RawData[[Picker ID ]],$Q$3,RawData[Checker ID],$Q$4,RawData[[Error Type ]],$Q$5))</f>
        <v/>
      </c>
    </row>
    <row r="16074" spans="15:15" x14ac:dyDescent="0.25">
      <c r="O16074" s="20" t="str">
        <f>IF(N16074="","",COUNTIFS(RawData[[Date ]],N16074,RawData[Month List],$Q$6,RawData[Tour/Site],$Q$2,RawData[[Picker ID ]],$Q$3,RawData[Checker ID],$Q$4,RawData[[Error Type ]],$Q$5))</f>
        <v/>
      </c>
    </row>
    <row r="16075" spans="15:15" x14ac:dyDescent="0.25">
      <c r="O16075" s="20" t="str">
        <f>IF(N16075="","",COUNTIFS(RawData[[Date ]],N16075,RawData[Month List],$Q$6,RawData[Tour/Site],$Q$2,RawData[[Picker ID ]],$Q$3,RawData[Checker ID],$Q$4,RawData[[Error Type ]],$Q$5))</f>
        <v/>
      </c>
    </row>
    <row r="16076" spans="15:15" x14ac:dyDescent="0.25">
      <c r="O16076" s="20" t="str">
        <f>IF(N16076="","",COUNTIFS(RawData[[Date ]],N16076,RawData[Month List],$Q$6,RawData[Tour/Site],$Q$2,RawData[[Picker ID ]],$Q$3,RawData[Checker ID],$Q$4,RawData[[Error Type ]],$Q$5))</f>
        <v/>
      </c>
    </row>
    <row r="16077" spans="15:15" x14ac:dyDescent="0.25">
      <c r="O16077" s="20" t="str">
        <f>IF(N16077="","",COUNTIFS(RawData[[Date ]],N16077,RawData[Month List],$Q$6,RawData[Tour/Site],$Q$2,RawData[[Picker ID ]],$Q$3,RawData[Checker ID],$Q$4,RawData[[Error Type ]],$Q$5))</f>
        <v/>
      </c>
    </row>
    <row r="16078" spans="15:15" x14ac:dyDescent="0.25">
      <c r="O16078" s="20" t="str">
        <f>IF(N16078="","",COUNTIFS(RawData[[Date ]],N16078,RawData[Month List],$Q$6,RawData[Tour/Site],$Q$2,RawData[[Picker ID ]],$Q$3,RawData[Checker ID],$Q$4,RawData[[Error Type ]],$Q$5))</f>
        <v/>
      </c>
    </row>
    <row r="16079" spans="15:15" x14ac:dyDescent="0.25">
      <c r="O16079" s="20" t="str">
        <f>IF(N16079="","",COUNTIFS(RawData[[Date ]],N16079,RawData[Month List],$Q$6,RawData[Tour/Site],$Q$2,RawData[[Picker ID ]],$Q$3,RawData[Checker ID],$Q$4,RawData[[Error Type ]],$Q$5))</f>
        <v/>
      </c>
    </row>
    <row r="16080" spans="15:15" x14ac:dyDescent="0.25">
      <c r="O16080" s="20" t="str">
        <f>IF(N16080="","",COUNTIFS(RawData[[Date ]],N16080,RawData[Month List],$Q$6,RawData[Tour/Site],$Q$2,RawData[[Picker ID ]],$Q$3,RawData[Checker ID],$Q$4,RawData[[Error Type ]],$Q$5))</f>
        <v/>
      </c>
    </row>
    <row r="16081" spans="15:15" x14ac:dyDescent="0.25">
      <c r="O16081" s="20" t="str">
        <f>IF(N16081="","",COUNTIFS(RawData[[Date ]],N16081,RawData[Month List],$Q$6,RawData[Tour/Site],$Q$2,RawData[[Picker ID ]],$Q$3,RawData[Checker ID],$Q$4,RawData[[Error Type ]],$Q$5))</f>
        <v/>
      </c>
    </row>
    <row r="16082" spans="15:15" x14ac:dyDescent="0.25">
      <c r="O16082" s="20" t="str">
        <f>IF(N16082="","",COUNTIFS(RawData[[Date ]],N16082,RawData[Month List],$Q$6,RawData[Tour/Site],$Q$2,RawData[[Picker ID ]],$Q$3,RawData[Checker ID],$Q$4,RawData[[Error Type ]],$Q$5))</f>
        <v/>
      </c>
    </row>
    <row r="16083" spans="15:15" x14ac:dyDescent="0.25">
      <c r="O16083" s="20" t="str">
        <f>IF(N16083="","",COUNTIFS(RawData[[Date ]],N16083,RawData[Month List],$Q$6,RawData[Tour/Site],$Q$2,RawData[[Picker ID ]],$Q$3,RawData[Checker ID],$Q$4,RawData[[Error Type ]],$Q$5))</f>
        <v/>
      </c>
    </row>
    <row r="16084" spans="15:15" x14ac:dyDescent="0.25">
      <c r="O16084" s="20" t="str">
        <f>IF(N16084="","",COUNTIFS(RawData[[Date ]],N16084,RawData[Month List],$Q$6,RawData[Tour/Site],$Q$2,RawData[[Picker ID ]],$Q$3,RawData[Checker ID],$Q$4,RawData[[Error Type ]],$Q$5))</f>
        <v/>
      </c>
    </row>
    <row r="16085" spans="15:15" x14ac:dyDescent="0.25">
      <c r="O16085" s="20" t="str">
        <f>IF(N16085="","",COUNTIFS(RawData[[Date ]],N16085,RawData[Month List],$Q$6,RawData[Tour/Site],$Q$2,RawData[[Picker ID ]],$Q$3,RawData[Checker ID],$Q$4,RawData[[Error Type ]],$Q$5))</f>
        <v/>
      </c>
    </row>
    <row r="16086" spans="15:15" x14ac:dyDescent="0.25">
      <c r="O16086" s="20" t="str">
        <f>IF(N16086="","",COUNTIFS(RawData[[Date ]],N16086,RawData[Month List],$Q$6,RawData[Tour/Site],$Q$2,RawData[[Picker ID ]],$Q$3,RawData[Checker ID],$Q$4,RawData[[Error Type ]],$Q$5))</f>
        <v/>
      </c>
    </row>
    <row r="16087" spans="15:15" x14ac:dyDescent="0.25">
      <c r="O16087" s="20" t="str">
        <f>IF(N16087="","",COUNTIFS(RawData[[Date ]],N16087,RawData[Month List],$Q$6,RawData[Tour/Site],$Q$2,RawData[[Picker ID ]],$Q$3,RawData[Checker ID],$Q$4,RawData[[Error Type ]],$Q$5))</f>
        <v/>
      </c>
    </row>
    <row r="16088" spans="15:15" x14ac:dyDescent="0.25">
      <c r="O16088" s="20" t="str">
        <f>IF(N16088="","",COUNTIFS(RawData[[Date ]],N16088,RawData[Month List],$Q$6,RawData[Tour/Site],$Q$2,RawData[[Picker ID ]],$Q$3,RawData[Checker ID],$Q$4,RawData[[Error Type ]],$Q$5))</f>
        <v/>
      </c>
    </row>
    <row r="16089" spans="15:15" x14ac:dyDescent="0.25">
      <c r="O16089" s="20" t="str">
        <f>IF(N16089="","",COUNTIFS(RawData[[Date ]],N16089,RawData[Month List],$Q$6,RawData[Tour/Site],$Q$2,RawData[[Picker ID ]],$Q$3,RawData[Checker ID],$Q$4,RawData[[Error Type ]],$Q$5))</f>
        <v/>
      </c>
    </row>
    <row r="16090" spans="15:15" x14ac:dyDescent="0.25">
      <c r="O16090" s="20" t="str">
        <f>IF(N16090="","",COUNTIFS(RawData[[Date ]],N16090,RawData[Month List],$Q$6,RawData[Tour/Site],$Q$2,RawData[[Picker ID ]],$Q$3,RawData[Checker ID],$Q$4,RawData[[Error Type ]],$Q$5))</f>
        <v/>
      </c>
    </row>
    <row r="16091" spans="15:15" x14ac:dyDescent="0.25">
      <c r="O16091" s="20" t="str">
        <f>IF(N16091="","",COUNTIFS(RawData[[Date ]],N16091,RawData[Month List],$Q$6,RawData[Tour/Site],$Q$2,RawData[[Picker ID ]],$Q$3,RawData[Checker ID],$Q$4,RawData[[Error Type ]],$Q$5))</f>
        <v/>
      </c>
    </row>
    <row r="16092" spans="15:15" x14ac:dyDescent="0.25">
      <c r="O16092" s="20" t="str">
        <f>IF(N16092="","",COUNTIFS(RawData[[Date ]],N16092,RawData[Month List],$Q$6,RawData[Tour/Site],$Q$2,RawData[[Picker ID ]],$Q$3,RawData[Checker ID],$Q$4,RawData[[Error Type ]],$Q$5))</f>
        <v/>
      </c>
    </row>
    <row r="16093" spans="15:15" x14ac:dyDescent="0.25">
      <c r="O16093" s="20" t="str">
        <f>IF(N16093="","",COUNTIFS(RawData[[Date ]],N16093,RawData[Month List],$Q$6,RawData[Tour/Site],$Q$2,RawData[[Picker ID ]],$Q$3,RawData[Checker ID],$Q$4,RawData[[Error Type ]],$Q$5))</f>
        <v/>
      </c>
    </row>
    <row r="16094" spans="15:15" x14ac:dyDescent="0.25">
      <c r="O16094" s="20" t="str">
        <f>IF(N16094="","",COUNTIFS(RawData[[Date ]],N16094,RawData[Month List],$Q$6,RawData[Tour/Site],$Q$2,RawData[[Picker ID ]],$Q$3,RawData[Checker ID],$Q$4,RawData[[Error Type ]],$Q$5))</f>
        <v/>
      </c>
    </row>
    <row r="16095" spans="15:15" x14ac:dyDescent="0.25">
      <c r="O16095" s="20" t="str">
        <f>IF(N16095="","",COUNTIFS(RawData[[Date ]],N16095,RawData[Month List],$Q$6,RawData[Tour/Site],$Q$2,RawData[[Picker ID ]],$Q$3,RawData[Checker ID],$Q$4,RawData[[Error Type ]],$Q$5))</f>
        <v/>
      </c>
    </row>
    <row r="16096" spans="15:15" x14ac:dyDescent="0.25">
      <c r="O16096" s="20" t="str">
        <f>IF(N16096="","",COUNTIFS(RawData[[Date ]],N16096,RawData[Month List],$Q$6,RawData[Tour/Site],$Q$2,RawData[[Picker ID ]],$Q$3,RawData[Checker ID],$Q$4,RawData[[Error Type ]],$Q$5))</f>
        <v/>
      </c>
    </row>
    <row r="16097" spans="15:15" x14ac:dyDescent="0.25">
      <c r="O16097" s="20" t="str">
        <f>IF(N16097="","",COUNTIFS(RawData[[Date ]],N16097,RawData[Month List],$Q$6,RawData[Tour/Site],$Q$2,RawData[[Picker ID ]],$Q$3,RawData[Checker ID],$Q$4,RawData[[Error Type ]],$Q$5))</f>
        <v/>
      </c>
    </row>
    <row r="16098" spans="15:15" x14ac:dyDescent="0.25">
      <c r="O16098" s="20" t="str">
        <f>IF(N16098="","",COUNTIFS(RawData[[Date ]],N16098,RawData[Month List],$Q$6,RawData[Tour/Site],$Q$2,RawData[[Picker ID ]],$Q$3,RawData[Checker ID],$Q$4,RawData[[Error Type ]],$Q$5))</f>
        <v/>
      </c>
    </row>
    <row r="16099" spans="15:15" x14ac:dyDescent="0.25">
      <c r="O16099" s="20" t="str">
        <f>IF(N16099="","",COUNTIFS(RawData[[Date ]],N16099,RawData[Month List],$Q$6,RawData[Tour/Site],$Q$2,RawData[[Picker ID ]],$Q$3,RawData[Checker ID],$Q$4,RawData[[Error Type ]],$Q$5))</f>
        <v/>
      </c>
    </row>
    <row r="16100" spans="15:15" x14ac:dyDescent="0.25">
      <c r="O16100" s="20" t="str">
        <f>IF(N16100="","",COUNTIFS(RawData[[Date ]],N16100,RawData[Month List],$Q$6,RawData[Tour/Site],$Q$2,RawData[[Picker ID ]],$Q$3,RawData[Checker ID],$Q$4,RawData[[Error Type ]],$Q$5))</f>
        <v/>
      </c>
    </row>
    <row r="16101" spans="15:15" x14ac:dyDescent="0.25">
      <c r="O16101" s="20" t="str">
        <f>IF(N16101="","",COUNTIFS(RawData[[Date ]],N16101,RawData[Month List],$Q$6,RawData[Tour/Site],$Q$2,RawData[[Picker ID ]],$Q$3,RawData[Checker ID],$Q$4,RawData[[Error Type ]],$Q$5))</f>
        <v/>
      </c>
    </row>
    <row r="16102" spans="15:15" x14ac:dyDescent="0.25">
      <c r="O16102" s="20" t="str">
        <f>IF(N16102="","",COUNTIFS(RawData[[Date ]],N16102,RawData[Month List],$Q$6,RawData[Tour/Site],$Q$2,RawData[[Picker ID ]],$Q$3,RawData[Checker ID],$Q$4,RawData[[Error Type ]],$Q$5))</f>
        <v/>
      </c>
    </row>
    <row r="16103" spans="15:15" x14ac:dyDescent="0.25">
      <c r="O16103" s="20" t="str">
        <f>IF(N16103="","",COUNTIFS(RawData[[Date ]],N16103,RawData[Month List],$Q$6,RawData[Tour/Site],$Q$2,RawData[[Picker ID ]],$Q$3,RawData[Checker ID],$Q$4,RawData[[Error Type ]],$Q$5))</f>
        <v/>
      </c>
    </row>
    <row r="16104" spans="15:15" x14ac:dyDescent="0.25">
      <c r="O16104" s="20" t="str">
        <f>IF(N16104="","",COUNTIFS(RawData[[Date ]],N16104,RawData[Month List],$Q$6,RawData[Tour/Site],$Q$2,RawData[[Picker ID ]],$Q$3,RawData[Checker ID],$Q$4,RawData[[Error Type ]],$Q$5))</f>
        <v/>
      </c>
    </row>
    <row r="16105" spans="15:15" x14ac:dyDescent="0.25">
      <c r="O16105" s="20" t="str">
        <f>IF(N16105="","",COUNTIFS(RawData[[Date ]],N16105,RawData[Month List],$Q$6,RawData[Tour/Site],$Q$2,RawData[[Picker ID ]],$Q$3,RawData[Checker ID],$Q$4,RawData[[Error Type ]],$Q$5))</f>
        <v/>
      </c>
    </row>
    <row r="16106" spans="15:15" x14ac:dyDescent="0.25">
      <c r="O16106" s="20" t="str">
        <f>IF(N16106="","",COUNTIFS(RawData[[Date ]],N16106,RawData[Month List],$Q$6,RawData[Tour/Site],$Q$2,RawData[[Picker ID ]],$Q$3,RawData[Checker ID],$Q$4,RawData[[Error Type ]],$Q$5))</f>
        <v/>
      </c>
    </row>
    <row r="16107" spans="15:15" x14ac:dyDescent="0.25">
      <c r="O16107" s="20" t="str">
        <f>IF(N16107="","",COUNTIFS(RawData[[Date ]],N16107,RawData[Month List],$Q$6,RawData[Tour/Site],$Q$2,RawData[[Picker ID ]],$Q$3,RawData[Checker ID],$Q$4,RawData[[Error Type ]],$Q$5))</f>
        <v/>
      </c>
    </row>
    <row r="16108" spans="15:15" x14ac:dyDescent="0.25">
      <c r="O16108" s="20" t="str">
        <f>IF(N16108="","",COUNTIFS(RawData[[Date ]],N16108,RawData[Month List],$Q$6,RawData[Tour/Site],$Q$2,RawData[[Picker ID ]],$Q$3,RawData[Checker ID],$Q$4,RawData[[Error Type ]],$Q$5))</f>
        <v/>
      </c>
    </row>
    <row r="16109" spans="15:15" x14ac:dyDescent="0.25">
      <c r="O16109" s="20" t="str">
        <f>IF(N16109="","",COUNTIFS(RawData[[Date ]],N16109,RawData[Month List],$Q$6,RawData[Tour/Site],$Q$2,RawData[[Picker ID ]],$Q$3,RawData[Checker ID],$Q$4,RawData[[Error Type ]],$Q$5))</f>
        <v/>
      </c>
    </row>
    <row r="16110" spans="15:15" x14ac:dyDescent="0.25">
      <c r="O16110" s="20" t="str">
        <f>IF(N16110="","",COUNTIFS(RawData[[Date ]],N16110,RawData[Month List],$Q$6,RawData[Tour/Site],$Q$2,RawData[[Picker ID ]],$Q$3,RawData[Checker ID],$Q$4,RawData[[Error Type ]],$Q$5))</f>
        <v/>
      </c>
    </row>
    <row r="16111" spans="15:15" x14ac:dyDescent="0.25">
      <c r="O16111" s="20" t="str">
        <f>IF(N16111="","",COUNTIFS(RawData[[Date ]],N16111,RawData[Month List],$Q$6,RawData[Tour/Site],$Q$2,RawData[[Picker ID ]],$Q$3,RawData[Checker ID],$Q$4,RawData[[Error Type ]],$Q$5))</f>
        <v/>
      </c>
    </row>
    <row r="16112" spans="15:15" x14ac:dyDescent="0.25">
      <c r="O16112" s="20" t="str">
        <f>IF(N16112="","",COUNTIFS(RawData[[Date ]],N16112,RawData[Month List],$Q$6,RawData[Tour/Site],$Q$2,RawData[[Picker ID ]],$Q$3,RawData[Checker ID],$Q$4,RawData[[Error Type ]],$Q$5))</f>
        <v/>
      </c>
    </row>
    <row r="16113" spans="15:15" x14ac:dyDescent="0.25">
      <c r="O16113" s="20" t="str">
        <f>IF(N16113="","",COUNTIFS(RawData[[Date ]],N16113,RawData[Month List],$Q$6,RawData[Tour/Site],$Q$2,RawData[[Picker ID ]],$Q$3,RawData[Checker ID],$Q$4,RawData[[Error Type ]],$Q$5))</f>
        <v/>
      </c>
    </row>
    <row r="16114" spans="15:15" x14ac:dyDescent="0.25">
      <c r="O16114" s="20" t="str">
        <f>IF(N16114="","",COUNTIFS(RawData[[Date ]],N16114,RawData[Month List],$Q$6,RawData[Tour/Site],$Q$2,RawData[[Picker ID ]],$Q$3,RawData[Checker ID],$Q$4,RawData[[Error Type ]],$Q$5))</f>
        <v/>
      </c>
    </row>
    <row r="16115" spans="15:15" x14ac:dyDescent="0.25">
      <c r="O16115" s="20" t="str">
        <f>IF(N16115="","",COUNTIFS(RawData[[Date ]],N16115,RawData[Month List],$Q$6,RawData[Tour/Site],$Q$2,RawData[[Picker ID ]],$Q$3,RawData[Checker ID],$Q$4,RawData[[Error Type ]],$Q$5))</f>
        <v/>
      </c>
    </row>
    <row r="16116" spans="15:15" x14ac:dyDescent="0.25">
      <c r="O16116" s="20" t="str">
        <f>IF(N16116="","",COUNTIFS(RawData[[Date ]],N16116,RawData[Month List],$Q$6,RawData[Tour/Site],$Q$2,RawData[[Picker ID ]],$Q$3,RawData[Checker ID],$Q$4,RawData[[Error Type ]],$Q$5))</f>
        <v/>
      </c>
    </row>
    <row r="16117" spans="15:15" x14ac:dyDescent="0.25">
      <c r="O16117" s="20" t="str">
        <f>IF(N16117="","",COUNTIFS(RawData[[Date ]],N16117,RawData[Month List],$Q$6,RawData[Tour/Site],$Q$2,RawData[[Picker ID ]],$Q$3,RawData[Checker ID],$Q$4,RawData[[Error Type ]],$Q$5))</f>
        <v/>
      </c>
    </row>
    <row r="16118" spans="15:15" x14ac:dyDescent="0.25">
      <c r="O16118" s="20" t="str">
        <f>IF(N16118="","",COUNTIFS(RawData[[Date ]],N16118,RawData[Month List],$Q$6,RawData[Tour/Site],$Q$2,RawData[[Picker ID ]],$Q$3,RawData[Checker ID],$Q$4,RawData[[Error Type ]],$Q$5))</f>
        <v/>
      </c>
    </row>
    <row r="16119" spans="15:15" x14ac:dyDescent="0.25">
      <c r="O16119" s="20" t="str">
        <f>IF(N16119="","",COUNTIFS(RawData[[Date ]],N16119,RawData[Month List],$Q$6,RawData[Tour/Site],$Q$2,RawData[[Picker ID ]],$Q$3,RawData[Checker ID],$Q$4,RawData[[Error Type ]],$Q$5))</f>
        <v/>
      </c>
    </row>
    <row r="16120" spans="15:15" x14ac:dyDescent="0.25">
      <c r="O16120" s="20" t="str">
        <f>IF(N16120="","",COUNTIFS(RawData[[Date ]],N16120,RawData[Month List],$Q$6,RawData[Tour/Site],$Q$2,RawData[[Picker ID ]],$Q$3,RawData[Checker ID],$Q$4,RawData[[Error Type ]],$Q$5))</f>
        <v/>
      </c>
    </row>
    <row r="16121" spans="15:15" x14ac:dyDescent="0.25">
      <c r="O16121" s="20" t="str">
        <f>IF(N16121="","",COUNTIFS(RawData[[Date ]],N16121,RawData[Month List],$Q$6,RawData[Tour/Site],$Q$2,RawData[[Picker ID ]],$Q$3,RawData[Checker ID],$Q$4,RawData[[Error Type ]],$Q$5))</f>
        <v/>
      </c>
    </row>
    <row r="16122" spans="15:15" x14ac:dyDescent="0.25">
      <c r="O16122" s="20" t="str">
        <f>IF(N16122="","",COUNTIFS(RawData[[Date ]],N16122,RawData[Month List],$Q$6,RawData[Tour/Site],$Q$2,RawData[[Picker ID ]],$Q$3,RawData[Checker ID],$Q$4,RawData[[Error Type ]],$Q$5))</f>
        <v/>
      </c>
    </row>
    <row r="16123" spans="15:15" x14ac:dyDescent="0.25">
      <c r="O16123" s="20" t="str">
        <f>IF(N16123="","",COUNTIFS(RawData[[Date ]],N16123,RawData[Month List],$Q$6,RawData[Tour/Site],$Q$2,RawData[[Picker ID ]],$Q$3,RawData[Checker ID],$Q$4,RawData[[Error Type ]],$Q$5))</f>
        <v/>
      </c>
    </row>
    <row r="16124" spans="15:15" x14ac:dyDescent="0.25">
      <c r="O16124" s="20" t="str">
        <f>IF(N16124="","",COUNTIFS(RawData[[Date ]],N16124,RawData[Month List],$Q$6,RawData[Tour/Site],$Q$2,RawData[[Picker ID ]],$Q$3,RawData[Checker ID],$Q$4,RawData[[Error Type ]],$Q$5))</f>
        <v/>
      </c>
    </row>
    <row r="16125" spans="15:15" x14ac:dyDescent="0.25">
      <c r="O16125" s="20" t="str">
        <f>IF(N16125="","",COUNTIFS(RawData[[Date ]],N16125,RawData[Month List],$Q$6,RawData[Tour/Site],$Q$2,RawData[[Picker ID ]],$Q$3,RawData[Checker ID],$Q$4,RawData[[Error Type ]],$Q$5))</f>
        <v/>
      </c>
    </row>
    <row r="16126" spans="15:15" x14ac:dyDescent="0.25">
      <c r="O16126" s="20" t="str">
        <f>IF(N16126="","",COUNTIFS(RawData[[Date ]],N16126,RawData[Month List],$Q$6,RawData[Tour/Site],$Q$2,RawData[[Picker ID ]],$Q$3,RawData[Checker ID],$Q$4,RawData[[Error Type ]],$Q$5))</f>
        <v/>
      </c>
    </row>
    <row r="16127" spans="15:15" x14ac:dyDescent="0.25">
      <c r="O16127" s="20" t="str">
        <f>IF(N16127="","",COUNTIFS(RawData[[Date ]],N16127,RawData[Month List],$Q$6,RawData[Tour/Site],$Q$2,RawData[[Picker ID ]],$Q$3,RawData[Checker ID],$Q$4,RawData[[Error Type ]],$Q$5))</f>
        <v/>
      </c>
    </row>
    <row r="16128" spans="15:15" x14ac:dyDescent="0.25">
      <c r="O16128" s="20" t="str">
        <f>IF(N16128="","",COUNTIFS(RawData[[Date ]],N16128,RawData[Month List],$Q$6,RawData[Tour/Site],$Q$2,RawData[[Picker ID ]],$Q$3,RawData[Checker ID],$Q$4,RawData[[Error Type ]],$Q$5))</f>
        <v/>
      </c>
    </row>
    <row r="16129" spans="15:15" x14ac:dyDescent="0.25">
      <c r="O16129" s="20" t="str">
        <f>IF(N16129="","",COUNTIFS(RawData[[Date ]],N16129,RawData[Month List],$Q$6,RawData[Tour/Site],$Q$2,RawData[[Picker ID ]],$Q$3,RawData[Checker ID],$Q$4,RawData[[Error Type ]],$Q$5))</f>
        <v/>
      </c>
    </row>
    <row r="16130" spans="15:15" x14ac:dyDescent="0.25">
      <c r="O16130" s="20" t="str">
        <f>IF(N16130="","",COUNTIFS(RawData[[Date ]],N16130,RawData[Month List],$Q$6,RawData[Tour/Site],$Q$2,RawData[[Picker ID ]],$Q$3,RawData[Checker ID],$Q$4,RawData[[Error Type ]],$Q$5))</f>
        <v/>
      </c>
    </row>
    <row r="16131" spans="15:15" x14ac:dyDescent="0.25">
      <c r="O16131" s="20" t="str">
        <f>IF(N16131="","",COUNTIFS(RawData[[Date ]],N16131,RawData[Month List],$Q$6,RawData[Tour/Site],$Q$2,RawData[[Picker ID ]],$Q$3,RawData[Checker ID],$Q$4,RawData[[Error Type ]],$Q$5))</f>
        <v/>
      </c>
    </row>
    <row r="16132" spans="15:15" x14ac:dyDescent="0.25">
      <c r="O16132" s="20" t="str">
        <f>IF(N16132="","",COUNTIFS(RawData[[Date ]],N16132,RawData[Month List],$Q$6,RawData[Tour/Site],$Q$2,RawData[[Picker ID ]],$Q$3,RawData[Checker ID],$Q$4,RawData[[Error Type ]],$Q$5))</f>
        <v/>
      </c>
    </row>
    <row r="16133" spans="15:15" x14ac:dyDescent="0.25">
      <c r="O16133" s="20" t="str">
        <f>IF(N16133="","",COUNTIFS(RawData[[Date ]],N16133,RawData[Month List],$Q$6,RawData[Tour/Site],$Q$2,RawData[[Picker ID ]],$Q$3,RawData[Checker ID],$Q$4,RawData[[Error Type ]],$Q$5))</f>
        <v/>
      </c>
    </row>
    <row r="16134" spans="15:15" x14ac:dyDescent="0.25">
      <c r="O16134" s="20" t="str">
        <f>IF(N16134="","",COUNTIFS(RawData[[Date ]],N16134,RawData[Month List],$Q$6,RawData[Tour/Site],$Q$2,RawData[[Picker ID ]],$Q$3,RawData[Checker ID],$Q$4,RawData[[Error Type ]],$Q$5))</f>
        <v/>
      </c>
    </row>
    <row r="16135" spans="15:15" x14ac:dyDescent="0.25">
      <c r="O16135" s="20" t="str">
        <f>IF(N16135="","",COUNTIFS(RawData[[Date ]],N16135,RawData[Month List],$Q$6,RawData[Tour/Site],$Q$2,RawData[[Picker ID ]],$Q$3,RawData[Checker ID],$Q$4,RawData[[Error Type ]],$Q$5))</f>
        <v/>
      </c>
    </row>
    <row r="16136" spans="15:15" x14ac:dyDescent="0.25">
      <c r="O16136" s="20" t="str">
        <f>IF(N16136="","",COUNTIFS(RawData[[Date ]],N16136,RawData[Month List],$Q$6,RawData[Tour/Site],$Q$2,RawData[[Picker ID ]],$Q$3,RawData[Checker ID],$Q$4,RawData[[Error Type ]],$Q$5))</f>
        <v/>
      </c>
    </row>
    <row r="16137" spans="15:15" x14ac:dyDescent="0.25">
      <c r="O16137" s="20" t="str">
        <f>IF(N16137="","",COUNTIFS(RawData[[Date ]],N16137,RawData[Month List],$Q$6,RawData[Tour/Site],$Q$2,RawData[[Picker ID ]],$Q$3,RawData[Checker ID],$Q$4,RawData[[Error Type ]],$Q$5))</f>
        <v/>
      </c>
    </row>
    <row r="16138" spans="15:15" x14ac:dyDescent="0.25">
      <c r="O16138" s="20" t="str">
        <f>IF(N16138="","",COUNTIFS(RawData[[Date ]],N16138,RawData[Month List],$Q$6,RawData[Tour/Site],$Q$2,RawData[[Picker ID ]],$Q$3,RawData[Checker ID],$Q$4,RawData[[Error Type ]],$Q$5))</f>
        <v/>
      </c>
    </row>
    <row r="16139" spans="15:15" x14ac:dyDescent="0.25">
      <c r="O16139" s="20" t="str">
        <f>IF(N16139="","",COUNTIFS(RawData[[Date ]],N16139,RawData[Month List],$Q$6,RawData[Tour/Site],$Q$2,RawData[[Picker ID ]],$Q$3,RawData[Checker ID],$Q$4,RawData[[Error Type ]],$Q$5))</f>
        <v/>
      </c>
    </row>
    <row r="16140" spans="15:15" x14ac:dyDescent="0.25">
      <c r="O16140" s="20" t="str">
        <f>IF(N16140="","",COUNTIFS(RawData[[Date ]],N16140,RawData[Month List],$Q$6,RawData[Tour/Site],$Q$2,RawData[[Picker ID ]],$Q$3,RawData[Checker ID],$Q$4,RawData[[Error Type ]],$Q$5))</f>
        <v/>
      </c>
    </row>
    <row r="16141" spans="15:15" x14ac:dyDescent="0.25">
      <c r="O16141" s="20" t="str">
        <f>IF(N16141="","",COUNTIFS(RawData[[Date ]],N16141,RawData[Month List],$Q$6,RawData[Tour/Site],$Q$2,RawData[[Picker ID ]],$Q$3,RawData[Checker ID],$Q$4,RawData[[Error Type ]],$Q$5))</f>
        <v/>
      </c>
    </row>
    <row r="16142" spans="15:15" x14ac:dyDescent="0.25">
      <c r="O16142" s="20" t="str">
        <f>IF(N16142="","",COUNTIFS(RawData[[Date ]],N16142,RawData[Month List],$Q$6,RawData[Tour/Site],$Q$2,RawData[[Picker ID ]],$Q$3,RawData[Checker ID],$Q$4,RawData[[Error Type ]],$Q$5))</f>
        <v/>
      </c>
    </row>
    <row r="16143" spans="15:15" x14ac:dyDescent="0.25">
      <c r="O16143" s="20" t="str">
        <f>IF(N16143="","",COUNTIFS(RawData[[Date ]],N16143,RawData[Month List],$Q$6,RawData[Tour/Site],$Q$2,RawData[[Picker ID ]],$Q$3,RawData[Checker ID],$Q$4,RawData[[Error Type ]],$Q$5))</f>
        <v/>
      </c>
    </row>
    <row r="16144" spans="15:15" x14ac:dyDescent="0.25">
      <c r="O16144" s="20" t="str">
        <f>IF(N16144="","",COUNTIFS(RawData[[Date ]],N16144,RawData[Month List],$Q$6,RawData[Tour/Site],$Q$2,RawData[[Picker ID ]],$Q$3,RawData[Checker ID],$Q$4,RawData[[Error Type ]],$Q$5))</f>
        <v/>
      </c>
    </row>
    <row r="16145" spans="15:15" x14ac:dyDescent="0.25">
      <c r="O16145" s="20" t="str">
        <f>IF(N16145="","",COUNTIFS(RawData[[Date ]],N16145,RawData[Month List],$Q$6,RawData[Tour/Site],$Q$2,RawData[[Picker ID ]],$Q$3,RawData[Checker ID],$Q$4,RawData[[Error Type ]],$Q$5))</f>
        <v/>
      </c>
    </row>
    <row r="16146" spans="15:15" x14ac:dyDescent="0.25">
      <c r="O16146" s="20" t="str">
        <f>IF(N16146="","",COUNTIFS(RawData[[Date ]],N16146,RawData[Month List],$Q$6,RawData[Tour/Site],$Q$2,RawData[[Picker ID ]],$Q$3,RawData[Checker ID],$Q$4,RawData[[Error Type ]],$Q$5))</f>
        <v/>
      </c>
    </row>
    <row r="16147" spans="15:15" x14ac:dyDescent="0.25">
      <c r="O16147" s="20" t="str">
        <f>IF(N16147="","",COUNTIFS(RawData[[Date ]],N16147,RawData[Month List],$Q$6,RawData[Tour/Site],$Q$2,RawData[[Picker ID ]],$Q$3,RawData[Checker ID],$Q$4,RawData[[Error Type ]],$Q$5))</f>
        <v/>
      </c>
    </row>
    <row r="16148" spans="15:15" x14ac:dyDescent="0.25">
      <c r="O16148" s="20" t="str">
        <f>IF(N16148="","",COUNTIFS(RawData[[Date ]],N16148,RawData[Month List],$Q$6,RawData[Tour/Site],$Q$2,RawData[[Picker ID ]],$Q$3,RawData[Checker ID],$Q$4,RawData[[Error Type ]],$Q$5))</f>
        <v/>
      </c>
    </row>
    <row r="16149" spans="15:15" x14ac:dyDescent="0.25">
      <c r="O16149" s="20" t="str">
        <f>IF(N16149="","",COUNTIFS(RawData[[Date ]],N16149,RawData[Month List],$Q$6,RawData[Tour/Site],$Q$2,RawData[[Picker ID ]],$Q$3,RawData[Checker ID],$Q$4,RawData[[Error Type ]],$Q$5))</f>
        <v/>
      </c>
    </row>
    <row r="16150" spans="15:15" x14ac:dyDescent="0.25">
      <c r="O16150" s="20" t="str">
        <f>IF(N16150="","",COUNTIFS(RawData[[Date ]],N16150,RawData[Month List],$Q$6,RawData[Tour/Site],$Q$2,RawData[[Picker ID ]],$Q$3,RawData[Checker ID],$Q$4,RawData[[Error Type ]],$Q$5))</f>
        <v/>
      </c>
    </row>
    <row r="16151" spans="15:15" x14ac:dyDescent="0.25">
      <c r="O16151" s="20" t="str">
        <f>IF(N16151="","",COUNTIFS(RawData[[Date ]],N16151,RawData[Month List],$Q$6,RawData[Tour/Site],$Q$2,RawData[[Picker ID ]],$Q$3,RawData[Checker ID],$Q$4,RawData[[Error Type ]],$Q$5))</f>
        <v/>
      </c>
    </row>
    <row r="16152" spans="15:15" x14ac:dyDescent="0.25">
      <c r="O16152" s="20" t="str">
        <f>IF(N16152="","",COUNTIFS(RawData[[Date ]],N16152,RawData[Month List],$Q$6,RawData[Tour/Site],$Q$2,RawData[[Picker ID ]],$Q$3,RawData[Checker ID],$Q$4,RawData[[Error Type ]],$Q$5))</f>
        <v/>
      </c>
    </row>
    <row r="16153" spans="15:15" x14ac:dyDescent="0.25">
      <c r="O16153" s="20" t="str">
        <f>IF(N16153="","",COUNTIFS(RawData[[Date ]],N16153,RawData[Month List],$Q$6,RawData[Tour/Site],$Q$2,RawData[[Picker ID ]],$Q$3,RawData[Checker ID],$Q$4,RawData[[Error Type ]],$Q$5))</f>
        <v/>
      </c>
    </row>
    <row r="16154" spans="15:15" x14ac:dyDescent="0.25">
      <c r="O16154" s="20" t="str">
        <f>IF(N16154="","",COUNTIFS(RawData[[Date ]],N16154,RawData[Month List],$Q$6,RawData[Tour/Site],$Q$2,RawData[[Picker ID ]],$Q$3,RawData[Checker ID],$Q$4,RawData[[Error Type ]],$Q$5))</f>
        <v/>
      </c>
    </row>
    <row r="16155" spans="15:15" x14ac:dyDescent="0.25">
      <c r="O16155" s="20" t="str">
        <f>IF(N16155="","",COUNTIFS(RawData[[Date ]],N16155,RawData[Month List],$Q$6,RawData[Tour/Site],$Q$2,RawData[[Picker ID ]],$Q$3,RawData[Checker ID],$Q$4,RawData[[Error Type ]],$Q$5))</f>
        <v/>
      </c>
    </row>
    <row r="16156" spans="15:15" x14ac:dyDescent="0.25">
      <c r="O16156" s="20" t="str">
        <f>IF(N16156="","",COUNTIFS(RawData[[Date ]],N16156,RawData[Month List],$Q$6,RawData[Tour/Site],$Q$2,RawData[[Picker ID ]],$Q$3,RawData[Checker ID],$Q$4,RawData[[Error Type ]],$Q$5))</f>
        <v/>
      </c>
    </row>
    <row r="16157" spans="15:15" x14ac:dyDescent="0.25">
      <c r="O16157" s="20" t="str">
        <f>IF(N16157="","",COUNTIFS(RawData[[Date ]],N16157,RawData[Month List],$Q$6,RawData[Tour/Site],$Q$2,RawData[[Picker ID ]],$Q$3,RawData[Checker ID],$Q$4,RawData[[Error Type ]],$Q$5))</f>
        <v/>
      </c>
    </row>
    <row r="16158" spans="15:15" x14ac:dyDescent="0.25">
      <c r="O16158" s="20" t="str">
        <f>IF(N16158="","",COUNTIFS(RawData[[Date ]],N16158,RawData[Month List],$Q$6,RawData[Tour/Site],$Q$2,RawData[[Picker ID ]],$Q$3,RawData[Checker ID],$Q$4,RawData[[Error Type ]],$Q$5))</f>
        <v/>
      </c>
    </row>
    <row r="16159" spans="15:15" x14ac:dyDescent="0.25">
      <c r="O16159" s="20" t="str">
        <f>IF(N16159="","",COUNTIFS(RawData[[Date ]],N16159,RawData[Month List],$Q$6,RawData[Tour/Site],$Q$2,RawData[[Picker ID ]],$Q$3,RawData[Checker ID],$Q$4,RawData[[Error Type ]],$Q$5))</f>
        <v/>
      </c>
    </row>
    <row r="16160" spans="15:15" x14ac:dyDescent="0.25">
      <c r="O16160" s="20" t="str">
        <f>IF(N16160="","",COUNTIFS(RawData[[Date ]],N16160,RawData[Month List],$Q$6,RawData[Tour/Site],$Q$2,RawData[[Picker ID ]],$Q$3,RawData[Checker ID],$Q$4,RawData[[Error Type ]],$Q$5))</f>
        <v/>
      </c>
    </row>
    <row r="16161" spans="15:15" x14ac:dyDescent="0.25">
      <c r="O16161" s="20" t="str">
        <f>IF(N16161="","",COUNTIFS(RawData[[Date ]],N16161,RawData[Month List],$Q$6,RawData[Tour/Site],$Q$2,RawData[[Picker ID ]],$Q$3,RawData[Checker ID],$Q$4,RawData[[Error Type ]],$Q$5))</f>
        <v/>
      </c>
    </row>
    <row r="16162" spans="15:15" x14ac:dyDescent="0.25">
      <c r="O16162" s="20" t="str">
        <f>IF(N16162="","",COUNTIFS(RawData[[Date ]],N16162,RawData[Month List],$Q$6,RawData[Tour/Site],$Q$2,RawData[[Picker ID ]],$Q$3,RawData[Checker ID],$Q$4,RawData[[Error Type ]],$Q$5))</f>
        <v/>
      </c>
    </row>
    <row r="16163" spans="15:15" x14ac:dyDescent="0.25">
      <c r="O16163" s="20" t="str">
        <f>IF(N16163="","",COUNTIFS(RawData[[Date ]],N16163,RawData[Month List],$Q$6,RawData[Tour/Site],$Q$2,RawData[[Picker ID ]],$Q$3,RawData[Checker ID],$Q$4,RawData[[Error Type ]],$Q$5))</f>
        <v/>
      </c>
    </row>
    <row r="16164" spans="15:15" x14ac:dyDescent="0.25">
      <c r="O16164" s="20" t="str">
        <f>IF(N16164="","",COUNTIFS(RawData[[Date ]],N16164,RawData[Month List],$Q$6,RawData[Tour/Site],$Q$2,RawData[[Picker ID ]],$Q$3,RawData[Checker ID],$Q$4,RawData[[Error Type ]],$Q$5))</f>
        <v/>
      </c>
    </row>
    <row r="16165" spans="15:15" x14ac:dyDescent="0.25">
      <c r="O16165" s="20" t="str">
        <f>IF(N16165="","",COUNTIFS(RawData[[Date ]],N16165,RawData[Month List],$Q$6,RawData[Tour/Site],$Q$2,RawData[[Picker ID ]],$Q$3,RawData[Checker ID],$Q$4,RawData[[Error Type ]],$Q$5))</f>
        <v/>
      </c>
    </row>
    <row r="16166" spans="15:15" x14ac:dyDescent="0.25">
      <c r="O16166" s="20" t="str">
        <f>IF(N16166="","",COUNTIFS(RawData[[Date ]],N16166,RawData[Month List],$Q$6,RawData[Tour/Site],$Q$2,RawData[[Picker ID ]],$Q$3,RawData[Checker ID],$Q$4,RawData[[Error Type ]],$Q$5))</f>
        <v/>
      </c>
    </row>
    <row r="16167" spans="15:15" x14ac:dyDescent="0.25">
      <c r="O16167" s="20" t="str">
        <f>IF(N16167="","",COUNTIFS(RawData[[Date ]],N16167,RawData[Month List],$Q$6,RawData[Tour/Site],$Q$2,RawData[[Picker ID ]],$Q$3,RawData[Checker ID],$Q$4,RawData[[Error Type ]],$Q$5))</f>
        <v/>
      </c>
    </row>
    <row r="16168" spans="15:15" x14ac:dyDescent="0.25">
      <c r="O16168" s="20" t="str">
        <f>IF(N16168="","",COUNTIFS(RawData[[Date ]],N16168,RawData[Month List],$Q$6,RawData[Tour/Site],$Q$2,RawData[[Picker ID ]],$Q$3,RawData[Checker ID],$Q$4,RawData[[Error Type ]],$Q$5))</f>
        <v/>
      </c>
    </row>
    <row r="16169" spans="15:15" x14ac:dyDescent="0.25">
      <c r="O16169" s="20" t="str">
        <f>IF(N16169="","",COUNTIFS(RawData[[Date ]],N16169,RawData[Month List],$Q$6,RawData[Tour/Site],$Q$2,RawData[[Picker ID ]],$Q$3,RawData[Checker ID],$Q$4,RawData[[Error Type ]],$Q$5))</f>
        <v/>
      </c>
    </row>
    <row r="16170" spans="15:15" x14ac:dyDescent="0.25">
      <c r="O16170" s="20" t="str">
        <f>IF(N16170="","",COUNTIFS(RawData[[Date ]],N16170,RawData[Month List],$Q$6,RawData[Tour/Site],$Q$2,RawData[[Picker ID ]],$Q$3,RawData[Checker ID],$Q$4,RawData[[Error Type ]],$Q$5))</f>
        <v/>
      </c>
    </row>
    <row r="16171" spans="15:15" x14ac:dyDescent="0.25">
      <c r="O16171" s="20" t="str">
        <f>IF(N16171="","",COUNTIFS(RawData[[Date ]],N16171,RawData[Month List],$Q$6,RawData[Tour/Site],$Q$2,RawData[[Picker ID ]],$Q$3,RawData[Checker ID],$Q$4,RawData[[Error Type ]],$Q$5))</f>
        <v/>
      </c>
    </row>
    <row r="16172" spans="15:15" x14ac:dyDescent="0.25">
      <c r="O16172" s="20" t="str">
        <f>IF(N16172="","",COUNTIFS(RawData[[Date ]],N16172,RawData[Month List],$Q$6,RawData[Tour/Site],$Q$2,RawData[[Picker ID ]],$Q$3,RawData[Checker ID],$Q$4,RawData[[Error Type ]],$Q$5))</f>
        <v/>
      </c>
    </row>
    <row r="16173" spans="15:15" x14ac:dyDescent="0.25">
      <c r="O16173" s="20" t="str">
        <f>IF(N16173="","",COUNTIFS(RawData[[Date ]],N16173,RawData[Month List],$Q$6,RawData[Tour/Site],$Q$2,RawData[[Picker ID ]],$Q$3,RawData[Checker ID],$Q$4,RawData[[Error Type ]],$Q$5))</f>
        <v/>
      </c>
    </row>
    <row r="16174" spans="15:15" x14ac:dyDescent="0.25">
      <c r="O16174" s="20" t="str">
        <f>IF(N16174="","",COUNTIFS(RawData[[Date ]],N16174,RawData[Month List],$Q$6,RawData[Tour/Site],$Q$2,RawData[[Picker ID ]],$Q$3,RawData[Checker ID],$Q$4,RawData[[Error Type ]],$Q$5))</f>
        <v/>
      </c>
    </row>
    <row r="16175" spans="15:15" x14ac:dyDescent="0.25">
      <c r="O16175" s="20" t="str">
        <f>IF(N16175="","",COUNTIFS(RawData[[Date ]],N16175,RawData[Month List],$Q$6,RawData[Tour/Site],$Q$2,RawData[[Picker ID ]],$Q$3,RawData[Checker ID],$Q$4,RawData[[Error Type ]],$Q$5))</f>
        <v/>
      </c>
    </row>
    <row r="16176" spans="15:15" x14ac:dyDescent="0.25">
      <c r="O16176" s="20" t="str">
        <f>IF(N16176="","",COUNTIFS(RawData[[Date ]],N16176,RawData[Month List],$Q$6,RawData[Tour/Site],$Q$2,RawData[[Picker ID ]],$Q$3,RawData[Checker ID],$Q$4,RawData[[Error Type ]],$Q$5))</f>
        <v/>
      </c>
    </row>
    <row r="16177" spans="15:15" x14ac:dyDescent="0.25">
      <c r="O16177" s="20" t="str">
        <f>IF(N16177="","",COUNTIFS(RawData[[Date ]],N16177,RawData[Month List],$Q$6,RawData[Tour/Site],$Q$2,RawData[[Picker ID ]],$Q$3,RawData[Checker ID],$Q$4,RawData[[Error Type ]],$Q$5))</f>
        <v/>
      </c>
    </row>
    <row r="16178" spans="15:15" x14ac:dyDescent="0.25">
      <c r="O16178" s="20" t="str">
        <f>IF(N16178="","",COUNTIFS(RawData[[Date ]],N16178,RawData[Month List],$Q$6,RawData[Tour/Site],$Q$2,RawData[[Picker ID ]],$Q$3,RawData[Checker ID],$Q$4,RawData[[Error Type ]],$Q$5))</f>
        <v/>
      </c>
    </row>
    <row r="16179" spans="15:15" x14ac:dyDescent="0.25">
      <c r="O16179" s="20" t="str">
        <f>IF(N16179="","",COUNTIFS(RawData[[Date ]],N16179,RawData[Month List],$Q$6,RawData[Tour/Site],$Q$2,RawData[[Picker ID ]],$Q$3,RawData[Checker ID],$Q$4,RawData[[Error Type ]],$Q$5))</f>
        <v/>
      </c>
    </row>
    <row r="16180" spans="15:15" x14ac:dyDescent="0.25">
      <c r="O16180" s="20" t="str">
        <f>IF(N16180="","",COUNTIFS(RawData[[Date ]],N16180,RawData[Month List],$Q$6,RawData[Tour/Site],$Q$2,RawData[[Picker ID ]],$Q$3,RawData[Checker ID],$Q$4,RawData[[Error Type ]],$Q$5))</f>
        <v/>
      </c>
    </row>
    <row r="16181" spans="15:15" x14ac:dyDescent="0.25">
      <c r="O16181" s="20" t="str">
        <f>IF(N16181="","",COUNTIFS(RawData[[Date ]],N16181,RawData[Month List],$Q$6,RawData[Tour/Site],$Q$2,RawData[[Picker ID ]],$Q$3,RawData[Checker ID],$Q$4,RawData[[Error Type ]],$Q$5))</f>
        <v/>
      </c>
    </row>
    <row r="16182" spans="15:15" x14ac:dyDescent="0.25">
      <c r="O16182" s="20" t="str">
        <f>IF(N16182="","",COUNTIFS(RawData[[Date ]],N16182,RawData[Month List],$Q$6,RawData[Tour/Site],$Q$2,RawData[[Picker ID ]],$Q$3,RawData[Checker ID],$Q$4,RawData[[Error Type ]],$Q$5))</f>
        <v/>
      </c>
    </row>
    <row r="16183" spans="15:15" x14ac:dyDescent="0.25">
      <c r="O16183" s="20" t="str">
        <f>IF(N16183="","",COUNTIFS(RawData[[Date ]],N16183,RawData[Month List],$Q$6,RawData[Tour/Site],$Q$2,RawData[[Picker ID ]],$Q$3,RawData[Checker ID],$Q$4,RawData[[Error Type ]],$Q$5))</f>
        <v/>
      </c>
    </row>
    <row r="16184" spans="15:15" x14ac:dyDescent="0.25">
      <c r="O16184" s="20" t="str">
        <f>IF(N16184="","",COUNTIFS(RawData[[Date ]],N16184,RawData[Month List],$Q$6,RawData[Tour/Site],$Q$2,RawData[[Picker ID ]],$Q$3,RawData[Checker ID],$Q$4,RawData[[Error Type ]],$Q$5))</f>
        <v/>
      </c>
    </row>
    <row r="16185" spans="15:15" x14ac:dyDescent="0.25">
      <c r="O16185" s="20" t="str">
        <f>IF(N16185="","",COUNTIFS(RawData[[Date ]],N16185,RawData[Month List],$Q$6,RawData[Tour/Site],$Q$2,RawData[[Picker ID ]],$Q$3,RawData[Checker ID],$Q$4,RawData[[Error Type ]],$Q$5))</f>
        <v/>
      </c>
    </row>
    <row r="16186" spans="15:15" x14ac:dyDescent="0.25">
      <c r="O16186" s="20" t="str">
        <f>IF(N16186="","",COUNTIFS(RawData[[Date ]],N16186,RawData[Month List],$Q$6,RawData[Tour/Site],$Q$2,RawData[[Picker ID ]],$Q$3,RawData[Checker ID],$Q$4,RawData[[Error Type ]],$Q$5))</f>
        <v/>
      </c>
    </row>
    <row r="16187" spans="15:15" x14ac:dyDescent="0.25">
      <c r="O16187" s="20" t="str">
        <f>IF(N16187="","",COUNTIFS(RawData[[Date ]],N16187,RawData[Month List],$Q$6,RawData[Tour/Site],$Q$2,RawData[[Picker ID ]],$Q$3,RawData[Checker ID],$Q$4,RawData[[Error Type ]],$Q$5))</f>
        <v/>
      </c>
    </row>
    <row r="16188" spans="15:15" x14ac:dyDescent="0.25">
      <c r="O16188" s="20" t="str">
        <f>IF(N16188="","",COUNTIFS(RawData[[Date ]],N16188,RawData[Month List],$Q$6,RawData[Tour/Site],$Q$2,RawData[[Picker ID ]],$Q$3,RawData[Checker ID],$Q$4,RawData[[Error Type ]],$Q$5))</f>
        <v/>
      </c>
    </row>
    <row r="16189" spans="15:15" x14ac:dyDescent="0.25">
      <c r="O16189" s="20" t="str">
        <f>IF(N16189="","",COUNTIFS(RawData[[Date ]],N16189,RawData[Month List],$Q$6,RawData[Tour/Site],$Q$2,RawData[[Picker ID ]],$Q$3,RawData[Checker ID],$Q$4,RawData[[Error Type ]],$Q$5))</f>
        <v/>
      </c>
    </row>
    <row r="16190" spans="15:15" x14ac:dyDescent="0.25">
      <c r="O16190" s="20" t="str">
        <f>IF(N16190="","",COUNTIFS(RawData[[Date ]],N16190,RawData[Month List],$Q$6,RawData[Tour/Site],$Q$2,RawData[[Picker ID ]],$Q$3,RawData[Checker ID],$Q$4,RawData[[Error Type ]],$Q$5))</f>
        <v/>
      </c>
    </row>
    <row r="16191" spans="15:15" x14ac:dyDescent="0.25">
      <c r="O16191" s="20" t="str">
        <f>IF(N16191="","",COUNTIFS(RawData[[Date ]],N16191,RawData[Month List],$Q$6,RawData[Tour/Site],$Q$2,RawData[[Picker ID ]],$Q$3,RawData[Checker ID],$Q$4,RawData[[Error Type ]],$Q$5))</f>
        <v/>
      </c>
    </row>
    <row r="16192" spans="15:15" x14ac:dyDescent="0.25">
      <c r="O16192" s="20" t="str">
        <f>IF(N16192="","",COUNTIFS(RawData[[Date ]],N16192,RawData[Month List],$Q$6,RawData[Tour/Site],$Q$2,RawData[[Picker ID ]],$Q$3,RawData[Checker ID],$Q$4,RawData[[Error Type ]],$Q$5))</f>
        <v/>
      </c>
    </row>
    <row r="16193" spans="15:15" x14ac:dyDescent="0.25">
      <c r="O16193" s="20" t="str">
        <f>IF(N16193="","",COUNTIFS(RawData[[Date ]],N16193,RawData[Month List],$Q$6,RawData[Tour/Site],$Q$2,RawData[[Picker ID ]],$Q$3,RawData[Checker ID],$Q$4,RawData[[Error Type ]],$Q$5))</f>
        <v/>
      </c>
    </row>
    <row r="16194" spans="15:15" x14ac:dyDescent="0.25">
      <c r="O16194" s="20" t="str">
        <f>IF(N16194="","",COUNTIFS(RawData[[Date ]],N16194,RawData[Month List],$Q$6,RawData[Tour/Site],$Q$2,RawData[[Picker ID ]],$Q$3,RawData[Checker ID],$Q$4,RawData[[Error Type ]],$Q$5))</f>
        <v/>
      </c>
    </row>
    <row r="16195" spans="15:15" x14ac:dyDescent="0.25">
      <c r="O16195" s="20" t="str">
        <f>IF(N16195="","",COUNTIFS(RawData[[Date ]],N16195,RawData[Month List],$Q$6,RawData[Tour/Site],$Q$2,RawData[[Picker ID ]],$Q$3,RawData[Checker ID],$Q$4,RawData[[Error Type ]],$Q$5))</f>
        <v/>
      </c>
    </row>
    <row r="16196" spans="15:15" x14ac:dyDescent="0.25">
      <c r="O16196" s="20" t="str">
        <f>IF(N16196="","",COUNTIFS(RawData[[Date ]],N16196,RawData[Month List],$Q$6,RawData[Tour/Site],$Q$2,RawData[[Picker ID ]],$Q$3,RawData[Checker ID],$Q$4,RawData[[Error Type ]],$Q$5))</f>
        <v/>
      </c>
    </row>
    <row r="16197" spans="15:15" x14ac:dyDescent="0.25">
      <c r="O16197" s="20" t="str">
        <f>IF(N16197="","",COUNTIFS(RawData[[Date ]],N16197,RawData[Month List],$Q$6,RawData[Tour/Site],$Q$2,RawData[[Picker ID ]],$Q$3,RawData[Checker ID],$Q$4,RawData[[Error Type ]],$Q$5))</f>
        <v/>
      </c>
    </row>
    <row r="16198" spans="15:15" x14ac:dyDescent="0.25">
      <c r="O16198" s="20" t="str">
        <f>IF(N16198="","",COUNTIFS(RawData[[Date ]],N16198,RawData[Month List],$Q$6,RawData[Tour/Site],$Q$2,RawData[[Picker ID ]],$Q$3,RawData[Checker ID],$Q$4,RawData[[Error Type ]],$Q$5))</f>
        <v/>
      </c>
    </row>
    <row r="16199" spans="15:15" x14ac:dyDescent="0.25">
      <c r="O16199" s="20" t="str">
        <f>IF(N16199="","",COUNTIFS(RawData[[Date ]],N16199,RawData[Month List],$Q$6,RawData[Tour/Site],$Q$2,RawData[[Picker ID ]],$Q$3,RawData[Checker ID],$Q$4,RawData[[Error Type ]],$Q$5))</f>
        <v/>
      </c>
    </row>
    <row r="16200" spans="15:15" x14ac:dyDescent="0.25">
      <c r="O16200" s="20" t="str">
        <f>IF(N16200="","",COUNTIFS(RawData[[Date ]],N16200,RawData[Month List],$Q$6,RawData[Tour/Site],$Q$2,RawData[[Picker ID ]],$Q$3,RawData[Checker ID],$Q$4,RawData[[Error Type ]],$Q$5))</f>
        <v/>
      </c>
    </row>
    <row r="16201" spans="15:15" x14ac:dyDescent="0.25">
      <c r="O16201" s="20" t="str">
        <f>IF(N16201="","",COUNTIFS(RawData[[Date ]],N16201,RawData[Month List],$Q$6,RawData[Tour/Site],$Q$2,RawData[[Picker ID ]],$Q$3,RawData[Checker ID],$Q$4,RawData[[Error Type ]],$Q$5))</f>
        <v/>
      </c>
    </row>
    <row r="16202" spans="15:15" x14ac:dyDescent="0.25">
      <c r="O16202" s="20" t="str">
        <f>IF(N16202="","",COUNTIFS(RawData[[Date ]],N16202,RawData[Month List],$Q$6,RawData[Tour/Site],$Q$2,RawData[[Picker ID ]],$Q$3,RawData[Checker ID],$Q$4,RawData[[Error Type ]],$Q$5))</f>
        <v/>
      </c>
    </row>
    <row r="16203" spans="15:15" x14ac:dyDescent="0.25">
      <c r="O16203" s="20" t="str">
        <f>IF(N16203="","",COUNTIFS(RawData[[Date ]],N16203,RawData[Month List],$Q$6,RawData[Tour/Site],$Q$2,RawData[[Picker ID ]],$Q$3,RawData[Checker ID],$Q$4,RawData[[Error Type ]],$Q$5))</f>
        <v/>
      </c>
    </row>
    <row r="16204" spans="15:15" x14ac:dyDescent="0.25">
      <c r="O16204" s="20" t="str">
        <f>IF(N16204="","",COUNTIFS(RawData[[Date ]],N16204,RawData[Month List],$Q$6,RawData[Tour/Site],$Q$2,RawData[[Picker ID ]],$Q$3,RawData[Checker ID],$Q$4,RawData[[Error Type ]],$Q$5))</f>
        <v/>
      </c>
    </row>
    <row r="16205" spans="15:15" x14ac:dyDescent="0.25">
      <c r="O16205" s="20" t="str">
        <f>IF(N16205="","",COUNTIFS(RawData[[Date ]],N16205,RawData[Month List],$Q$6,RawData[Tour/Site],$Q$2,RawData[[Picker ID ]],$Q$3,RawData[Checker ID],$Q$4,RawData[[Error Type ]],$Q$5))</f>
        <v/>
      </c>
    </row>
    <row r="16206" spans="15:15" x14ac:dyDescent="0.25">
      <c r="O16206" s="20" t="str">
        <f>IF(N16206="","",COUNTIFS(RawData[[Date ]],N16206,RawData[Month List],$Q$6,RawData[Tour/Site],$Q$2,RawData[[Picker ID ]],$Q$3,RawData[Checker ID],$Q$4,RawData[[Error Type ]],$Q$5))</f>
        <v/>
      </c>
    </row>
    <row r="16207" spans="15:15" x14ac:dyDescent="0.25">
      <c r="O16207" s="20" t="str">
        <f>IF(N16207="","",COUNTIFS(RawData[[Date ]],N16207,RawData[Month List],$Q$6,RawData[Tour/Site],$Q$2,RawData[[Picker ID ]],$Q$3,RawData[Checker ID],$Q$4,RawData[[Error Type ]],$Q$5))</f>
        <v/>
      </c>
    </row>
    <row r="16208" spans="15:15" x14ac:dyDescent="0.25">
      <c r="O16208" s="20" t="str">
        <f>IF(N16208="","",COUNTIFS(RawData[[Date ]],N16208,RawData[Month List],$Q$6,RawData[Tour/Site],$Q$2,RawData[[Picker ID ]],$Q$3,RawData[Checker ID],$Q$4,RawData[[Error Type ]],$Q$5))</f>
        <v/>
      </c>
    </row>
    <row r="16209" spans="15:15" x14ac:dyDescent="0.25">
      <c r="O16209" s="20" t="str">
        <f>IF(N16209="","",COUNTIFS(RawData[[Date ]],N16209,RawData[Month List],$Q$6,RawData[Tour/Site],$Q$2,RawData[[Picker ID ]],$Q$3,RawData[Checker ID],$Q$4,RawData[[Error Type ]],$Q$5))</f>
        <v/>
      </c>
    </row>
    <row r="16210" spans="15:15" x14ac:dyDescent="0.25">
      <c r="O16210" s="20" t="str">
        <f>IF(N16210="","",COUNTIFS(RawData[[Date ]],N16210,RawData[Month List],$Q$6,RawData[Tour/Site],$Q$2,RawData[[Picker ID ]],$Q$3,RawData[Checker ID],$Q$4,RawData[[Error Type ]],$Q$5))</f>
        <v/>
      </c>
    </row>
    <row r="16211" spans="15:15" x14ac:dyDescent="0.25">
      <c r="O16211" s="20" t="str">
        <f>IF(N16211="","",COUNTIFS(RawData[[Date ]],N16211,RawData[Month List],$Q$6,RawData[Tour/Site],$Q$2,RawData[[Picker ID ]],$Q$3,RawData[Checker ID],$Q$4,RawData[[Error Type ]],$Q$5))</f>
        <v/>
      </c>
    </row>
    <row r="16212" spans="15:15" x14ac:dyDescent="0.25">
      <c r="O16212" s="20" t="str">
        <f>IF(N16212="","",COUNTIFS(RawData[[Date ]],N16212,RawData[Month List],$Q$6,RawData[Tour/Site],$Q$2,RawData[[Picker ID ]],$Q$3,RawData[Checker ID],$Q$4,RawData[[Error Type ]],$Q$5))</f>
        <v/>
      </c>
    </row>
    <row r="16213" spans="15:15" x14ac:dyDescent="0.25">
      <c r="O16213" s="20" t="str">
        <f>IF(N16213="","",COUNTIFS(RawData[[Date ]],N16213,RawData[Month List],$Q$6,RawData[Tour/Site],$Q$2,RawData[[Picker ID ]],$Q$3,RawData[Checker ID],$Q$4,RawData[[Error Type ]],$Q$5))</f>
        <v/>
      </c>
    </row>
    <row r="16214" spans="15:15" x14ac:dyDescent="0.25">
      <c r="O16214" s="20" t="str">
        <f>IF(N16214="","",COUNTIFS(RawData[[Date ]],N16214,RawData[Month List],$Q$6,RawData[Tour/Site],$Q$2,RawData[[Picker ID ]],$Q$3,RawData[Checker ID],$Q$4,RawData[[Error Type ]],$Q$5))</f>
        <v/>
      </c>
    </row>
    <row r="16215" spans="15:15" x14ac:dyDescent="0.25">
      <c r="O16215" s="20" t="str">
        <f>IF(N16215="","",COUNTIFS(RawData[[Date ]],N16215,RawData[Month List],$Q$6,RawData[Tour/Site],$Q$2,RawData[[Picker ID ]],$Q$3,RawData[Checker ID],$Q$4,RawData[[Error Type ]],$Q$5))</f>
        <v/>
      </c>
    </row>
    <row r="16216" spans="15:15" x14ac:dyDescent="0.25">
      <c r="O16216" s="20" t="str">
        <f>IF(N16216="","",COUNTIFS(RawData[[Date ]],N16216,RawData[Month List],$Q$6,RawData[Tour/Site],$Q$2,RawData[[Picker ID ]],$Q$3,RawData[Checker ID],$Q$4,RawData[[Error Type ]],$Q$5))</f>
        <v/>
      </c>
    </row>
    <row r="16217" spans="15:15" x14ac:dyDescent="0.25">
      <c r="O16217" s="20" t="str">
        <f>IF(N16217="","",COUNTIFS(RawData[[Date ]],N16217,RawData[Month List],$Q$6,RawData[Tour/Site],$Q$2,RawData[[Picker ID ]],$Q$3,RawData[Checker ID],$Q$4,RawData[[Error Type ]],$Q$5))</f>
        <v/>
      </c>
    </row>
    <row r="16218" spans="15:15" x14ac:dyDescent="0.25">
      <c r="O16218" s="20" t="str">
        <f>IF(N16218="","",COUNTIFS(RawData[[Date ]],N16218,RawData[Month List],$Q$6,RawData[Tour/Site],$Q$2,RawData[[Picker ID ]],$Q$3,RawData[Checker ID],$Q$4,RawData[[Error Type ]],$Q$5))</f>
        <v/>
      </c>
    </row>
    <row r="16219" spans="15:15" x14ac:dyDescent="0.25">
      <c r="O16219" s="20" t="str">
        <f>IF(N16219="","",COUNTIFS(RawData[[Date ]],N16219,RawData[Month List],$Q$6,RawData[Tour/Site],$Q$2,RawData[[Picker ID ]],$Q$3,RawData[Checker ID],$Q$4,RawData[[Error Type ]],$Q$5))</f>
        <v/>
      </c>
    </row>
    <row r="16220" spans="15:15" x14ac:dyDescent="0.25">
      <c r="O16220" s="20" t="str">
        <f>IF(N16220="","",COUNTIFS(RawData[[Date ]],N16220,RawData[Month List],$Q$6,RawData[Tour/Site],$Q$2,RawData[[Picker ID ]],$Q$3,RawData[Checker ID],$Q$4,RawData[[Error Type ]],$Q$5))</f>
        <v/>
      </c>
    </row>
    <row r="16221" spans="15:15" x14ac:dyDescent="0.25">
      <c r="O16221" s="20" t="str">
        <f>IF(N16221="","",COUNTIFS(RawData[[Date ]],N16221,RawData[Month List],$Q$6,RawData[Tour/Site],$Q$2,RawData[[Picker ID ]],$Q$3,RawData[Checker ID],$Q$4,RawData[[Error Type ]],$Q$5))</f>
        <v/>
      </c>
    </row>
    <row r="16222" spans="15:15" x14ac:dyDescent="0.25">
      <c r="O16222" s="20" t="str">
        <f>IF(N16222="","",COUNTIFS(RawData[[Date ]],N16222,RawData[Month List],$Q$6,RawData[Tour/Site],$Q$2,RawData[[Picker ID ]],$Q$3,RawData[Checker ID],$Q$4,RawData[[Error Type ]],$Q$5))</f>
        <v/>
      </c>
    </row>
    <row r="16223" spans="15:15" x14ac:dyDescent="0.25">
      <c r="O16223" s="20" t="str">
        <f>IF(N16223="","",COUNTIFS(RawData[[Date ]],N16223,RawData[Month List],$Q$6,RawData[Tour/Site],$Q$2,RawData[[Picker ID ]],$Q$3,RawData[Checker ID],$Q$4,RawData[[Error Type ]],$Q$5))</f>
        <v/>
      </c>
    </row>
    <row r="16224" spans="15:15" x14ac:dyDescent="0.25">
      <c r="O16224" s="20" t="str">
        <f>IF(N16224="","",COUNTIFS(RawData[[Date ]],N16224,RawData[Month List],$Q$6,RawData[Tour/Site],$Q$2,RawData[[Picker ID ]],$Q$3,RawData[Checker ID],$Q$4,RawData[[Error Type ]],$Q$5))</f>
        <v/>
      </c>
    </row>
    <row r="16225" spans="15:15" x14ac:dyDescent="0.25">
      <c r="O16225" s="20" t="str">
        <f>IF(N16225="","",COUNTIFS(RawData[[Date ]],N16225,RawData[Month List],$Q$6,RawData[Tour/Site],$Q$2,RawData[[Picker ID ]],$Q$3,RawData[Checker ID],$Q$4,RawData[[Error Type ]],$Q$5))</f>
        <v/>
      </c>
    </row>
    <row r="16226" spans="15:15" x14ac:dyDescent="0.25">
      <c r="O16226" s="20" t="str">
        <f>IF(N16226="","",COUNTIFS(RawData[[Date ]],N16226,RawData[Month List],$Q$6,RawData[Tour/Site],$Q$2,RawData[[Picker ID ]],$Q$3,RawData[Checker ID],$Q$4,RawData[[Error Type ]],$Q$5))</f>
        <v/>
      </c>
    </row>
    <row r="16227" spans="15:15" x14ac:dyDescent="0.25">
      <c r="O16227" s="20" t="str">
        <f>IF(N16227="","",COUNTIFS(RawData[[Date ]],N16227,RawData[Month List],$Q$6,RawData[Tour/Site],$Q$2,RawData[[Picker ID ]],$Q$3,RawData[Checker ID],$Q$4,RawData[[Error Type ]],$Q$5))</f>
        <v/>
      </c>
    </row>
    <row r="16228" spans="15:15" x14ac:dyDescent="0.25">
      <c r="O16228" s="20" t="str">
        <f>IF(N16228="","",COUNTIFS(RawData[[Date ]],N16228,RawData[Month List],$Q$6,RawData[Tour/Site],$Q$2,RawData[[Picker ID ]],$Q$3,RawData[Checker ID],$Q$4,RawData[[Error Type ]],$Q$5))</f>
        <v/>
      </c>
    </row>
    <row r="16229" spans="15:15" x14ac:dyDescent="0.25">
      <c r="O16229" s="20" t="str">
        <f>IF(N16229="","",COUNTIFS(RawData[[Date ]],N16229,RawData[Month List],$Q$6,RawData[Tour/Site],$Q$2,RawData[[Picker ID ]],$Q$3,RawData[Checker ID],$Q$4,RawData[[Error Type ]],$Q$5))</f>
        <v/>
      </c>
    </row>
    <row r="16230" spans="15:15" x14ac:dyDescent="0.25">
      <c r="O16230" s="20" t="str">
        <f>IF(N16230="","",COUNTIFS(RawData[[Date ]],N16230,RawData[Month List],$Q$6,RawData[Tour/Site],$Q$2,RawData[[Picker ID ]],$Q$3,RawData[Checker ID],$Q$4,RawData[[Error Type ]],$Q$5))</f>
        <v/>
      </c>
    </row>
    <row r="16231" spans="15:15" x14ac:dyDescent="0.25">
      <c r="O16231" s="20" t="str">
        <f>IF(N16231="","",COUNTIFS(RawData[[Date ]],N16231,RawData[Month List],$Q$6,RawData[Tour/Site],$Q$2,RawData[[Picker ID ]],$Q$3,RawData[Checker ID],$Q$4,RawData[[Error Type ]],$Q$5))</f>
        <v/>
      </c>
    </row>
    <row r="16232" spans="15:15" x14ac:dyDescent="0.25">
      <c r="O16232" s="20" t="str">
        <f>IF(N16232="","",COUNTIFS(RawData[[Date ]],N16232,RawData[Month List],$Q$6,RawData[Tour/Site],$Q$2,RawData[[Picker ID ]],$Q$3,RawData[Checker ID],$Q$4,RawData[[Error Type ]],$Q$5))</f>
        <v/>
      </c>
    </row>
    <row r="16233" spans="15:15" x14ac:dyDescent="0.25">
      <c r="O16233" s="20" t="str">
        <f>IF(N16233="","",COUNTIFS(RawData[[Date ]],N16233,RawData[Month List],$Q$6,RawData[Tour/Site],$Q$2,RawData[[Picker ID ]],$Q$3,RawData[Checker ID],$Q$4,RawData[[Error Type ]],$Q$5))</f>
        <v/>
      </c>
    </row>
    <row r="16234" spans="15:15" x14ac:dyDescent="0.25">
      <c r="O16234" s="20" t="str">
        <f>IF(N16234="","",COUNTIFS(RawData[[Date ]],N16234,RawData[Month List],$Q$6,RawData[Tour/Site],$Q$2,RawData[[Picker ID ]],$Q$3,RawData[Checker ID],$Q$4,RawData[[Error Type ]],$Q$5))</f>
        <v/>
      </c>
    </row>
    <row r="16235" spans="15:15" x14ac:dyDescent="0.25">
      <c r="O16235" s="20" t="str">
        <f>IF(N16235="","",COUNTIFS(RawData[[Date ]],N16235,RawData[Month List],$Q$6,RawData[Tour/Site],$Q$2,RawData[[Picker ID ]],$Q$3,RawData[Checker ID],$Q$4,RawData[[Error Type ]],$Q$5))</f>
        <v/>
      </c>
    </row>
    <row r="16236" spans="15:15" x14ac:dyDescent="0.25">
      <c r="O16236" s="20" t="str">
        <f>IF(N16236="","",COUNTIFS(RawData[[Date ]],N16236,RawData[Month List],$Q$6,RawData[Tour/Site],$Q$2,RawData[[Picker ID ]],$Q$3,RawData[Checker ID],$Q$4,RawData[[Error Type ]],$Q$5))</f>
        <v/>
      </c>
    </row>
    <row r="16237" spans="15:15" x14ac:dyDescent="0.25">
      <c r="O16237" s="20" t="str">
        <f>IF(N16237="","",COUNTIFS(RawData[[Date ]],N16237,RawData[Month List],$Q$6,RawData[Tour/Site],$Q$2,RawData[[Picker ID ]],$Q$3,RawData[Checker ID],$Q$4,RawData[[Error Type ]],$Q$5))</f>
        <v/>
      </c>
    </row>
    <row r="16238" spans="15:15" x14ac:dyDescent="0.25">
      <c r="O16238" s="20" t="str">
        <f>IF(N16238="","",COUNTIFS(RawData[[Date ]],N16238,RawData[Month List],$Q$6,RawData[Tour/Site],$Q$2,RawData[[Picker ID ]],$Q$3,RawData[Checker ID],$Q$4,RawData[[Error Type ]],$Q$5))</f>
        <v/>
      </c>
    </row>
    <row r="16239" spans="15:15" x14ac:dyDescent="0.25">
      <c r="O16239" s="20" t="str">
        <f>IF(N16239="","",COUNTIFS(RawData[[Date ]],N16239,RawData[Month List],$Q$6,RawData[Tour/Site],$Q$2,RawData[[Picker ID ]],$Q$3,RawData[Checker ID],$Q$4,RawData[[Error Type ]],$Q$5))</f>
        <v/>
      </c>
    </row>
    <row r="16240" spans="15:15" x14ac:dyDescent="0.25">
      <c r="O16240" s="20" t="str">
        <f>IF(N16240="","",COUNTIFS(RawData[[Date ]],N16240,RawData[Month List],$Q$6,RawData[Tour/Site],$Q$2,RawData[[Picker ID ]],$Q$3,RawData[Checker ID],$Q$4,RawData[[Error Type ]],$Q$5))</f>
        <v/>
      </c>
    </row>
    <row r="16241" spans="15:15" x14ac:dyDescent="0.25">
      <c r="O16241" s="20" t="str">
        <f>IF(N16241="","",COUNTIFS(RawData[[Date ]],N16241,RawData[Month List],$Q$6,RawData[Tour/Site],$Q$2,RawData[[Picker ID ]],$Q$3,RawData[Checker ID],$Q$4,RawData[[Error Type ]],$Q$5))</f>
        <v/>
      </c>
    </row>
    <row r="16242" spans="15:15" x14ac:dyDescent="0.25">
      <c r="O16242" s="20" t="str">
        <f>IF(N16242="","",COUNTIFS(RawData[[Date ]],N16242,RawData[Month List],$Q$6,RawData[Tour/Site],$Q$2,RawData[[Picker ID ]],$Q$3,RawData[Checker ID],$Q$4,RawData[[Error Type ]],$Q$5))</f>
        <v/>
      </c>
    </row>
    <row r="16243" spans="15:15" x14ac:dyDescent="0.25">
      <c r="O16243" s="20" t="str">
        <f>IF(N16243="","",COUNTIFS(RawData[[Date ]],N16243,RawData[Month List],$Q$6,RawData[Tour/Site],$Q$2,RawData[[Picker ID ]],$Q$3,RawData[Checker ID],$Q$4,RawData[[Error Type ]],$Q$5))</f>
        <v/>
      </c>
    </row>
    <row r="16244" spans="15:15" x14ac:dyDescent="0.25">
      <c r="O16244" s="20" t="str">
        <f>IF(N16244="","",COUNTIFS(RawData[[Date ]],N16244,RawData[Month List],$Q$6,RawData[Tour/Site],$Q$2,RawData[[Picker ID ]],$Q$3,RawData[Checker ID],$Q$4,RawData[[Error Type ]],$Q$5))</f>
        <v/>
      </c>
    </row>
    <row r="16245" spans="15:15" x14ac:dyDescent="0.25">
      <c r="O16245" s="20" t="str">
        <f>IF(N16245="","",COUNTIFS(RawData[[Date ]],N16245,RawData[Month List],$Q$6,RawData[Tour/Site],$Q$2,RawData[[Picker ID ]],$Q$3,RawData[Checker ID],$Q$4,RawData[[Error Type ]],$Q$5))</f>
        <v/>
      </c>
    </row>
    <row r="16246" spans="15:15" x14ac:dyDescent="0.25">
      <c r="O16246" s="20" t="str">
        <f>IF(N16246="","",COUNTIFS(RawData[[Date ]],N16246,RawData[Month List],$Q$6,RawData[Tour/Site],$Q$2,RawData[[Picker ID ]],$Q$3,RawData[Checker ID],$Q$4,RawData[[Error Type ]],$Q$5))</f>
        <v/>
      </c>
    </row>
    <row r="16247" spans="15:15" x14ac:dyDescent="0.25">
      <c r="O16247" s="20" t="str">
        <f>IF(N16247="","",COUNTIFS(RawData[[Date ]],N16247,RawData[Month List],$Q$6,RawData[Tour/Site],$Q$2,RawData[[Picker ID ]],$Q$3,RawData[Checker ID],$Q$4,RawData[[Error Type ]],$Q$5))</f>
        <v/>
      </c>
    </row>
    <row r="16248" spans="15:15" x14ac:dyDescent="0.25">
      <c r="O16248" s="20" t="str">
        <f>IF(N16248="","",COUNTIFS(RawData[[Date ]],N16248,RawData[Month List],$Q$6,RawData[Tour/Site],$Q$2,RawData[[Picker ID ]],$Q$3,RawData[Checker ID],$Q$4,RawData[[Error Type ]],$Q$5))</f>
        <v/>
      </c>
    </row>
    <row r="16249" spans="15:15" x14ac:dyDescent="0.25">
      <c r="O16249" s="20" t="str">
        <f>IF(N16249="","",COUNTIFS(RawData[[Date ]],N16249,RawData[Month List],$Q$6,RawData[Tour/Site],$Q$2,RawData[[Picker ID ]],$Q$3,RawData[Checker ID],$Q$4,RawData[[Error Type ]],$Q$5))</f>
        <v/>
      </c>
    </row>
    <row r="16250" spans="15:15" x14ac:dyDescent="0.25">
      <c r="O16250" s="20" t="str">
        <f>IF(N16250="","",COUNTIFS(RawData[[Date ]],N16250,RawData[Month List],$Q$6,RawData[Tour/Site],$Q$2,RawData[[Picker ID ]],$Q$3,RawData[Checker ID],$Q$4,RawData[[Error Type ]],$Q$5))</f>
        <v/>
      </c>
    </row>
    <row r="16251" spans="15:15" x14ac:dyDescent="0.25">
      <c r="O16251" s="20" t="str">
        <f>IF(N16251="","",COUNTIFS(RawData[[Date ]],N16251,RawData[Month List],$Q$6,RawData[Tour/Site],$Q$2,RawData[[Picker ID ]],$Q$3,RawData[Checker ID],$Q$4,RawData[[Error Type ]],$Q$5))</f>
        <v/>
      </c>
    </row>
    <row r="16252" spans="15:15" x14ac:dyDescent="0.25">
      <c r="O16252" s="20" t="str">
        <f>IF(N16252="","",COUNTIFS(RawData[[Date ]],N16252,RawData[Month List],$Q$6,RawData[Tour/Site],$Q$2,RawData[[Picker ID ]],$Q$3,RawData[Checker ID],$Q$4,RawData[[Error Type ]],$Q$5))</f>
        <v/>
      </c>
    </row>
    <row r="16253" spans="15:15" x14ac:dyDescent="0.25">
      <c r="O16253" s="20" t="str">
        <f>IF(N16253="","",COUNTIFS(RawData[[Date ]],N16253,RawData[Month List],$Q$6,RawData[Tour/Site],$Q$2,RawData[[Picker ID ]],$Q$3,RawData[Checker ID],$Q$4,RawData[[Error Type ]],$Q$5))</f>
        <v/>
      </c>
    </row>
    <row r="16254" spans="15:15" x14ac:dyDescent="0.25">
      <c r="O16254" s="20" t="str">
        <f>IF(N16254="","",COUNTIFS(RawData[[Date ]],N16254,RawData[Month List],$Q$6,RawData[Tour/Site],$Q$2,RawData[[Picker ID ]],$Q$3,RawData[Checker ID],$Q$4,RawData[[Error Type ]],$Q$5))</f>
        <v/>
      </c>
    </row>
    <row r="16255" spans="15:15" x14ac:dyDescent="0.25">
      <c r="O16255" s="20" t="str">
        <f>IF(N16255="","",COUNTIFS(RawData[[Date ]],N16255,RawData[Month List],$Q$6,RawData[Tour/Site],$Q$2,RawData[[Picker ID ]],$Q$3,RawData[Checker ID],$Q$4,RawData[[Error Type ]],$Q$5))</f>
        <v/>
      </c>
    </row>
    <row r="16256" spans="15:15" x14ac:dyDescent="0.25">
      <c r="O16256" s="20" t="str">
        <f>IF(N16256="","",COUNTIFS(RawData[[Date ]],N16256,RawData[Month List],$Q$6,RawData[Tour/Site],$Q$2,RawData[[Picker ID ]],$Q$3,RawData[Checker ID],$Q$4,RawData[[Error Type ]],$Q$5))</f>
        <v/>
      </c>
    </row>
    <row r="16257" spans="15:15" x14ac:dyDescent="0.25">
      <c r="O16257" s="20" t="str">
        <f>IF(N16257="","",COUNTIFS(RawData[[Date ]],N16257,RawData[Month List],$Q$6,RawData[Tour/Site],$Q$2,RawData[[Picker ID ]],$Q$3,RawData[Checker ID],$Q$4,RawData[[Error Type ]],$Q$5))</f>
        <v/>
      </c>
    </row>
    <row r="16258" spans="15:15" x14ac:dyDescent="0.25">
      <c r="O16258" s="20" t="str">
        <f>IF(N16258="","",COUNTIFS(RawData[[Date ]],N16258,RawData[Month List],$Q$6,RawData[Tour/Site],$Q$2,RawData[[Picker ID ]],$Q$3,RawData[Checker ID],$Q$4,RawData[[Error Type ]],$Q$5))</f>
        <v/>
      </c>
    </row>
    <row r="16259" spans="15:15" x14ac:dyDescent="0.25">
      <c r="O16259" s="20" t="str">
        <f>IF(N16259="","",COUNTIFS(RawData[[Date ]],N16259,RawData[Month List],$Q$6,RawData[Tour/Site],$Q$2,RawData[[Picker ID ]],$Q$3,RawData[Checker ID],$Q$4,RawData[[Error Type ]],$Q$5))</f>
        <v/>
      </c>
    </row>
    <row r="16260" spans="15:15" x14ac:dyDescent="0.25">
      <c r="O16260" s="20" t="str">
        <f>IF(N16260="","",COUNTIFS(RawData[[Date ]],N16260,RawData[Month List],$Q$6,RawData[Tour/Site],$Q$2,RawData[[Picker ID ]],$Q$3,RawData[Checker ID],$Q$4,RawData[[Error Type ]],$Q$5))</f>
        <v/>
      </c>
    </row>
    <row r="16261" spans="15:15" x14ac:dyDescent="0.25">
      <c r="O16261" s="20" t="str">
        <f>IF(N16261="","",COUNTIFS(RawData[[Date ]],N16261,RawData[Month List],$Q$6,RawData[Tour/Site],$Q$2,RawData[[Picker ID ]],$Q$3,RawData[Checker ID],$Q$4,RawData[[Error Type ]],$Q$5))</f>
        <v/>
      </c>
    </row>
    <row r="16262" spans="15:15" x14ac:dyDescent="0.25">
      <c r="O16262" s="20" t="str">
        <f>IF(N16262="","",COUNTIFS(RawData[[Date ]],N16262,RawData[Month List],$Q$6,RawData[Tour/Site],$Q$2,RawData[[Picker ID ]],$Q$3,RawData[Checker ID],$Q$4,RawData[[Error Type ]],$Q$5))</f>
        <v/>
      </c>
    </row>
    <row r="16263" spans="15:15" x14ac:dyDescent="0.25">
      <c r="O16263" s="20" t="str">
        <f>IF(N16263="","",COUNTIFS(RawData[[Date ]],N16263,RawData[Month List],$Q$6,RawData[Tour/Site],$Q$2,RawData[[Picker ID ]],$Q$3,RawData[Checker ID],$Q$4,RawData[[Error Type ]],$Q$5))</f>
        <v/>
      </c>
    </row>
    <row r="16264" spans="15:15" x14ac:dyDescent="0.25">
      <c r="O16264" s="20" t="str">
        <f>IF(N16264="","",COUNTIFS(RawData[[Date ]],N16264,RawData[Month List],$Q$6,RawData[Tour/Site],$Q$2,RawData[[Picker ID ]],$Q$3,RawData[Checker ID],$Q$4,RawData[[Error Type ]],$Q$5))</f>
        <v/>
      </c>
    </row>
    <row r="16265" spans="15:15" x14ac:dyDescent="0.25">
      <c r="O16265" s="20" t="str">
        <f>IF(N16265="","",COUNTIFS(RawData[[Date ]],N16265,RawData[Month List],$Q$6,RawData[Tour/Site],$Q$2,RawData[[Picker ID ]],$Q$3,RawData[Checker ID],$Q$4,RawData[[Error Type ]],$Q$5))</f>
        <v/>
      </c>
    </row>
    <row r="16266" spans="15:15" x14ac:dyDescent="0.25">
      <c r="O16266" s="20" t="str">
        <f>IF(N16266="","",COUNTIFS(RawData[[Date ]],N16266,RawData[Month List],$Q$6,RawData[Tour/Site],$Q$2,RawData[[Picker ID ]],$Q$3,RawData[Checker ID],$Q$4,RawData[[Error Type ]],$Q$5))</f>
        <v/>
      </c>
    </row>
    <row r="16267" spans="15:15" x14ac:dyDescent="0.25">
      <c r="O16267" s="20" t="str">
        <f>IF(N16267="","",COUNTIFS(RawData[[Date ]],N16267,RawData[Month List],$Q$6,RawData[Tour/Site],$Q$2,RawData[[Picker ID ]],$Q$3,RawData[Checker ID],$Q$4,RawData[[Error Type ]],$Q$5))</f>
        <v/>
      </c>
    </row>
    <row r="16268" spans="15:15" x14ac:dyDescent="0.25">
      <c r="O16268" s="20" t="str">
        <f>IF(N16268="","",COUNTIFS(RawData[[Date ]],N16268,RawData[Month List],$Q$6,RawData[Tour/Site],$Q$2,RawData[[Picker ID ]],$Q$3,RawData[Checker ID],$Q$4,RawData[[Error Type ]],$Q$5))</f>
        <v/>
      </c>
    </row>
    <row r="16269" spans="15:15" x14ac:dyDescent="0.25">
      <c r="O16269" s="20" t="str">
        <f>IF(N16269="","",COUNTIFS(RawData[[Date ]],N16269,RawData[Month List],$Q$6,RawData[Tour/Site],$Q$2,RawData[[Picker ID ]],$Q$3,RawData[Checker ID],$Q$4,RawData[[Error Type ]],$Q$5))</f>
        <v/>
      </c>
    </row>
    <row r="16270" spans="15:15" x14ac:dyDescent="0.25">
      <c r="O16270" s="20" t="str">
        <f>IF(N16270="","",COUNTIFS(RawData[[Date ]],N16270,RawData[Month List],$Q$6,RawData[Tour/Site],$Q$2,RawData[[Picker ID ]],$Q$3,RawData[Checker ID],$Q$4,RawData[[Error Type ]],$Q$5))</f>
        <v/>
      </c>
    </row>
    <row r="16271" spans="15:15" x14ac:dyDescent="0.25">
      <c r="O16271" s="20" t="str">
        <f>IF(N16271="","",COUNTIFS(RawData[[Date ]],N16271,RawData[Month List],$Q$6,RawData[Tour/Site],$Q$2,RawData[[Picker ID ]],$Q$3,RawData[Checker ID],$Q$4,RawData[[Error Type ]],$Q$5))</f>
        <v/>
      </c>
    </row>
    <row r="16272" spans="15:15" x14ac:dyDescent="0.25">
      <c r="O16272" s="20" t="str">
        <f>IF(N16272="","",COUNTIFS(RawData[[Date ]],N16272,RawData[Month List],$Q$6,RawData[Tour/Site],$Q$2,RawData[[Picker ID ]],$Q$3,RawData[Checker ID],$Q$4,RawData[[Error Type ]],$Q$5))</f>
        <v/>
      </c>
    </row>
    <row r="16273" spans="15:15" x14ac:dyDescent="0.25">
      <c r="O16273" s="20" t="str">
        <f>IF(N16273="","",COUNTIFS(RawData[[Date ]],N16273,RawData[Month List],$Q$6,RawData[Tour/Site],$Q$2,RawData[[Picker ID ]],$Q$3,RawData[Checker ID],$Q$4,RawData[[Error Type ]],$Q$5))</f>
        <v/>
      </c>
    </row>
    <row r="16274" spans="15:15" x14ac:dyDescent="0.25">
      <c r="O16274" s="20" t="str">
        <f>IF(N16274="","",COUNTIFS(RawData[[Date ]],N16274,RawData[Month List],$Q$6,RawData[Tour/Site],$Q$2,RawData[[Picker ID ]],$Q$3,RawData[Checker ID],$Q$4,RawData[[Error Type ]],$Q$5))</f>
        <v/>
      </c>
    </row>
    <row r="16275" spans="15:15" x14ac:dyDescent="0.25">
      <c r="O16275" s="20" t="str">
        <f>IF(N16275="","",COUNTIFS(RawData[[Date ]],N16275,RawData[Month List],$Q$6,RawData[Tour/Site],$Q$2,RawData[[Picker ID ]],$Q$3,RawData[Checker ID],$Q$4,RawData[[Error Type ]],$Q$5))</f>
        <v/>
      </c>
    </row>
    <row r="16276" spans="15:15" x14ac:dyDescent="0.25">
      <c r="O16276" s="20" t="str">
        <f>IF(N16276="","",COUNTIFS(RawData[[Date ]],N16276,RawData[Month List],$Q$6,RawData[Tour/Site],$Q$2,RawData[[Picker ID ]],$Q$3,RawData[Checker ID],$Q$4,RawData[[Error Type ]],$Q$5))</f>
        <v/>
      </c>
    </row>
    <row r="16277" spans="15:15" x14ac:dyDescent="0.25">
      <c r="O16277" s="20" t="str">
        <f>IF(N16277="","",COUNTIFS(RawData[[Date ]],N16277,RawData[Month List],$Q$6,RawData[Tour/Site],$Q$2,RawData[[Picker ID ]],$Q$3,RawData[Checker ID],$Q$4,RawData[[Error Type ]],$Q$5))</f>
        <v/>
      </c>
    </row>
    <row r="16278" spans="15:15" x14ac:dyDescent="0.25">
      <c r="O16278" s="20" t="str">
        <f>IF(N16278="","",COUNTIFS(RawData[[Date ]],N16278,RawData[Month List],$Q$6,RawData[Tour/Site],$Q$2,RawData[[Picker ID ]],$Q$3,RawData[Checker ID],$Q$4,RawData[[Error Type ]],$Q$5))</f>
        <v/>
      </c>
    </row>
    <row r="16279" spans="15:15" x14ac:dyDescent="0.25">
      <c r="O16279" s="20" t="str">
        <f>IF(N16279="","",COUNTIFS(RawData[[Date ]],N16279,RawData[Month List],$Q$6,RawData[Tour/Site],$Q$2,RawData[[Picker ID ]],$Q$3,RawData[Checker ID],$Q$4,RawData[[Error Type ]],$Q$5))</f>
        <v/>
      </c>
    </row>
    <row r="16280" spans="15:15" x14ac:dyDescent="0.25">
      <c r="O16280" s="20" t="str">
        <f>IF(N16280="","",COUNTIFS(RawData[[Date ]],N16280,RawData[Month List],$Q$6,RawData[Tour/Site],$Q$2,RawData[[Picker ID ]],$Q$3,RawData[Checker ID],$Q$4,RawData[[Error Type ]],$Q$5))</f>
        <v/>
      </c>
    </row>
    <row r="16281" spans="15:15" x14ac:dyDescent="0.25">
      <c r="O16281" s="20" t="str">
        <f>IF(N16281="","",COUNTIFS(RawData[[Date ]],N16281,RawData[Month List],$Q$6,RawData[Tour/Site],$Q$2,RawData[[Picker ID ]],$Q$3,RawData[Checker ID],$Q$4,RawData[[Error Type ]],$Q$5))</f>
        <v/>
      </c>
    </row>
    <row r="16282" spans="15:15" x14ac:dyDescent="0.25">
      <c r="O16282" s="20" t="str">
        <f>IF(N16282="","",COUNTIFS(RawData[[Date ]],N16282,RawData[Month List],$Q$6,RawData[Tour/Site],$Q$2,RawData[[Picker ID ]],$Q$3,RawData[Checker ID],$Q$4,RawData[[Error Type ]],$Q$5))</f>
        <v/>
      </c>
    </row>
    <row r="16283" spans="15:15" x14ac:dyDescent="0.25">
      <c r="O16283" s="20" t="str">
        <f>IF(N16283="","",COUNTIFS(RawData[[Date ]],N16283,RawData[Month List],$Q$6,RawData[Tour/Site],$Q$2,RawData[[Picker ID ]],$Q$3,RawData[Checker ID],$Q$4,RawData[[Error Type ]],$Q$5))</f>
        <v/>
      </c>
    </row>
    <row r="16284" spans="15:15" x14ac:dyDescent="0.25">
      <c r="O16284" s="20" t="str">
        <f>IF(N16284="","",COUNTIFS(RawData[[Date ]],N16284,RawData[Month List],$Q$6,RawData[Tour/Site],$Q$2,RawData[[Picker ID ]],$Q$3,RawData[Checker ID],$Q$4,RawData[[Error Type ]],$Q$5))</f>
        <v/>
      </c>
    </row>
    <row r="16285" spans="15:15" x14ac:dyDescent="0.25">
      <c r="O16285" s="20" t="str">
        <f>IF(N16285="","",COUNTIFS(RawData[[Date ]],N16285,RawData[Month List],$Q$6,RawData[Tour/Site],$Q$2,RawData[[Picker ID ]],$Q$3,RawData[Checker ID],$Q$4,RawData[[Error Type ]],$Q$5))</f>
        <v/>
      </c>
    </row>
    <row r="16286" spans="15:15" x14ac:dyDescent="0.25">
      <c r="O16286" s="20" t="str">
        <f>IF(N16286="","",COUNTIFS(RawData[[Date ]],N16286,RawData[Month List],$Q$6,RawData[Tour/Site],$Q$2,RawData[[Picker ID ]],$Q$3,RawData[Checker ID],$Q$4,RawData[[Error Type ]],$Q$5))</f>
        <v/>
      </c>
    </row>
    <row r="16287" spans="15:15" x14ac:dyDescent="0.25">
      <c r="O16287" s="20" t="str">
        <f>IF(N16287="","",COUNTIFS(RawData[[Date ]],N16287,RawData[Month List],$Q$6,RawData[Tour/Site],$Q$2,RawData[[Picker ID ]],$Q$3,RawData[Checker ID],$Q$4,RawData[[Error Type ]],$Q$5))</f>
        <v/>
      </c>
    </row>
    <row r="16288" spans="15:15" x14ac:dyDescent="0.25">
      <c r="O16288" s="20" t="str">
        <f>IF(N16288="","",COUNTIFS(RawData[[Date ]],N16288,RawData[Month List],$Q$6,RawData[Tour/Site],$Q$2,RawData[[Picker ID ]],$Q$3,RawData[Checker ID],$Q$4,RawData[[Error Type ]],$Q$5))</f>
        <v/>
      </c>
    </row>
    <row r="16289" spans="15:15" x14ac:dyDescent="0.25">
      <c r="O16289" s="20" t="str">
        <f>IF(N16289="","",COUNTIFS(RawData[[Date ]],N16289,RawData[Month List],$Q$6,RawData[Tour/Site],$Q$2,RawData[[Picker ID ]],$Q$3,RawData[Checker ID],$Q$4,RawData[[Error Type ]],$Q$5))</f>
        <v/>
      </c>
    </row>
    <row r="16290" spans="15:15" x14ac:dyDescent="0.25">
      <c r="O16290" s="20" t="str">
        <f>IF(N16290="","",COUNTIFS(RawData[[Date ]],N16290,RawData[Month List],$Q$6,RawData[Tour/Site],$Q$2,RawData[[Picker ID ]],$Q$3,RawData[Checker ID],$Q$4,RawData[[Error Type ]],$Q$5))</f>
        <v/>
      </c>
    </row>
    <row r="16291" spans="15:15" x14ac:dyDescent="0.25">
      <c r="O16291" s="20" t="str">
        <f>IF(N16291="","",COUNTIFS(RawData[[Date ]],N16291,RawData[Month List],$Q$6,RawData[Tour/Site],$Q$2,RawData[[Picker ID ]],$Q$3,RawData[Checker ID],$Q$4,RawData[[Error Type ]],$Q$5))</f>
        <v/>
      </c>
    </row>
    <row r="16292" spans="15:15" x14ac:dyDescent="0.25">
      <c r="O16292" s="20" t="str">
        <f>IF(N16292="","",COUNTIFS(RawData[[Date ]],N16292,RawData[Month List],$Q$6,RawData[Tour/Site],$Q$2,RawData[[Picker ID ]],$Q$3,RawData[Checker ID],$Q$4,RawData[[Error Type ]],$Q$5))</f>
        <v/>
      </c>
    </row>
    <row r="16293" spans="15:15" x14ac:dyDescent="0.25">
      <c r="O16293" s="20" t="str">
        <f>IF(N16293="","",COUNTIFS(RawData[[Date ]],N16293,RawData[Month List],$Q$6,RawData[Tour/Site],$Q$2,RawData[[Picker ID ]],$Q$3,RawData[Checker ID],$Q$4,RawData[[Error Type ]],$Q$5))</f>
        <v/>
      </c>
    </row>
    <row r="16294" spans="15:15" x14ac:dyDescent="0.25">
      <c r="O16294" s="20" t="str">
        <f>IF(N16294="","",COUNTIFS(RawData[[Date ]],N16294,RawData[Month List],$Q$6,RawData[Tour/Site],$Q$2,RawData[[Picker ID ]],$Q$3,RawData[Checker ID],$Q$4,RawData[[Error Type ]],$Q$5))</f>
        <v/>
      </c>
    </row>
    <row r="16295" spans="15:15" x14ac:dyDescent="0.25">
      <c r="O16295" s="20" t="str">
        <f>IF(N16295="","",COUNTIFS(RawData[[Date ]],N16295,RawData[Month List],$Q$6,RawData[Tour/Site],$Q$2,RawData[[Picker ID ]],$Q$3,RawData[Checker ID],$Q$4,RawData[[Error Type ]],$Q$5))</f>
        <v/>
      </c>
    </row>
    <row r="16296" spans="15:15" x14ac:dyDescent="0.25">
      <c r="O16296" s="20" t="str">
        <f>IF(N16296="","",COUNTIFS(RawData[[Date ]],N16296,RawData[Month List],$Q$6,RawData[Tour/Site],$Q$2,RawData[[Picker ID ]],$Q$3,RawData[Checker ID],$Q$4,RawData[[Error Type ]],$Q$5))</f>
        <v/>
      </c>
    </row>
    <row r="16297" spans="15:15" x14ac:dyDescent="0.25">
      <c r="O16297" s="20" t="str">
        <f>IF(N16297="","",COUNTIFS(RawData[[Date ]],N16297,RawData[Month List],$Q$6,RawData[Tour/Site],$Q$2,RawData[[Picker ID ]],$Q$3,RawData[Checker ID],$Q$4,RawData[[Error Type ]],$Q$5))</f>
        <v/>
      </c>
    </row>
    <row r="16298" spans="15:15" x14ac:dyDescent="0.25">
      <c r="O16298" s="20" t="str">
        <f>IF(N16298="","",COUNTIFS(RawData[[Date ]],N16298,RawData[Month List],$Q$6,RawData[Tour/Site],$Q$2,RawData[[Picker ID ]],$Q$3,RawData[Checker ID],$Q$4,RawData[[Error Type ]],$Q$5))</f>
        <v/>
      </c>
    </row>
    <row r="16299" spans="15:15" x14ac:dyDescent="0.25">
      <c r="O16299" s="20" t="str">
        <f>IF(N16299="","",COUNTIFS(RawData[[Date ]],N16299,RawData[Month List],$Q$6,RawData[Tour/Site],$Q$2,RawData[[Picker ID ]],$Q$3,RawData[Checker ID],$Q$4,RawData[[Error Type ]],$Q$5))</f>
        <v/>
      </c>
    </row>
    <row r="16300" spans="15:15" x14ac:dyDescent="0.25">
      <c r="O16300" s="20" t="str">
        <f>IF(N16300="","",COUNTIFS(RawData[[Date ]],N16300,RawData[Month List],$Q$6,RawData[Tour/Site],$Q$2,RawData[[Picker ID ]],$Q$3,RawData[Checker ID],$Q$4,RawData[[Error Type ]],$Q$5))</f>
        <v/>
      </c>
    </row>
    <row r="16301" spans="15:15" x14ac:dyDescent="0.25">
      <c r="O16301" s="20" t="str">
        <f>IF(N16301="","",COUNTIFS(RawData[[Date ]],N16301,RawData[Month List],$Q$6,RawData[Tour/Site],$Q$2,RawData[[Picker ID ]],$Q$3,RawData[Checker ID],$Q$4,RawData[[Error Type ]],$Q$5))</f>
        <v/>
      </c>
    </row>
    <row r="16302" spans="15:15" x14ac:dyDescent="0.25">
      <c r="O16302" s="20" t="str">
        <f>IF(N16302="","",COUNTIFS(RawData[[Date ]],N16302,RawData[Month List],$Q$6,RawData[Tour/Site],$Q$2,RawData[[Picker ID ]],$Q$3,RawData[Checker ID],$Q$4,RawData[[Error Type ]],$Q$5))</f>
        <v/>
      </c>
    </row>
    <row r="16303" spans="15:15" x14ac:dyDescent="0.25">
      <c r="O16303" s="20" t="str">
        <f>IF(N16303="","",COUNTIFS(RawData[[Date ]],N16303,RawData[Month List],$Q$6,RawData[Tour/Site],$Q$2,RawData[[Picker ID ]],$Q$3,RawData[Checker ID],$Q$4,RawData[[Error Type ]],$Q$5))</f>
        <v/>
      </c>
    </row>
    <row r="16304" spans="15:15" x14ac:dyDescent="0.25">
      <c r="O16304" s="20" t="str">
        <f>IF(N16304="","",COUNTIFS(RawData[[Date ]],N16304,RawData[Month List],$Q$6,RawData[Tour/Site],$Q$2,RawData[[Picker ID ]],$Q$3,RawData[Checker ID],$Q$4,RawData[[Error Type ]],$Q$5))</f>
        <v/>
      </c>
    </row>
    <row r="16305" spans="15:15" x14ac:dyDescent="0.25">
      <c r="O16305" s="20" t="str">
        <f>IF(N16305="","",COUNTIFS(RawData[[Date ]],N16305,RawData[Month List],$Q$6,RawData[Tour/Site],$Q$2,RawData[[Picker ID ]],$Q$3,RawData[Checker ID],$Q$4,RawData[[Error Type ]],$Q$5))</f>
        <v/>
      </c>
    </row>
    <row r="16306" spans="15:15" x14ac:dyDescent="0.25">
      <c r="O16306" s="20" t="str">
        <f>IF(N16306="","",COUNTIFS(RawData[[Date ]],N16306,RawData[Month List],$Q$6,RawData[Tour/Site],$Q$2,RawData[[Picker ID ]],$Q$3,RawData[Checker ID],$Q$4,RawData[[Error Type ]],$Q$5))</f>
        <v/>
      </c>
    </row>
    <row r="16307" spans="15:15" x14ac:dyDescent="0.25">
      <c r="O16307" s="20" t="str">
        <f>IF(N16307="","",COUNTIFS(RawData[[Date ]],N16307,RawData[Month List],$Q$6,RawData[Tour/Site],$Q$2,RawData[[Picker ID ]],$Q$3,RawData[Checker ID],$Q$4,RawData[[Error Type ]],$Q$5))</f>
        <v/>
      </c>
    </row>
    <row r="16308" spans="15:15" x14ac:dyDescent="0.25">
      <c r="O16308" s="20" t="str">
        <f>IF(N16308="","",COUNTIFS(RawData[[Date ]],N16308,RawData[Month List],$Q$6,RawData[Tour/Site],$Q$2,RawData[[Picker ID ]],$Q$3,RawData[Checker ID],$Q$4,RawData[[Error Type ]],$Q$5))</f>
        <v/>
      </c>
    </row>
    <row r="16309" spans="15:15" x14ac:dyDescent="0.25">
      <c r="O16309" s="20" t="str">
        <f>IF(N16309="","",COUNTIFS(RawData[[Date ]],N16309,RawData[Month List],$Q$6,RawData[Tour/Site],$Q$2,RawData[[Picker ID ]],$Q$3,RawData[Checker ID],$Q$4,RawData[[Error Type ]],$Q$5))</f>
        <v/>
      </c>
    </row>
    <row r="16310" spans="15:15" x14ac:dyDescent="0.25">
      <c r="O16310" s="20" t="str">
        <f>IF(N16310="","",COUNTIFS(RawData[[Date ]],N16310,RawData[Month List],$Q$6,RawData[Tour/Site],$Q$2,RawData[[Picker ID ]],$Q$3,RawData[Checker ID],$Q$4,RawData[[Error Type ]],$Q$5))</f>
        <v/>
      </c>
    </row>
    <row r="16311" spans="15:15" x14ac:dyDescent="0.25">
      <c r="O16311" s="20" t="str">
        <f>IF(N16311="","",COUNTIFS(RawData[[Date ]],N16311,RawData[Month List],$Q$6,RawData[Tour/Site],$Q$2,RawData[[Picker ID ]],$Q$3,RawData[Checker ID],$Q$4,RawData[[Error Type ]],$Q$5))</f>
        <v/>
      </c>
    </row>
    <row r="16312" spans="15:15" x14ac:dyDescent="0.25">
      <c r="O16312" s="20" t="str">
        <f>IF(N16312="","",COUNTIFS(RawData[[Date ]],N16312,RawData[Month List],$Q$6,RawData[Tour/Site],$Q$2,RawData[[Picker ID ]],$Q$3,RawData[Checker ID],$Q$4,RawData[[Error Type ]],$Q$5))</f>
        <v/>
      </c>
    </row>
    <row r="16313" spans="15:15" x14ac:dyDescent="0.25">
      <c r="O16313" s="20" t="str">
        <f>IF(N16313="","",COUNTIFS(RawData[[Date ]],N16313,RawData[Month List],$Q$6,RawData[Tour/Site],$Q$2,RawData[[Picker ID ]],$Q$3,RawData[Checker ID],$Q$4,RawData[[Error Type ]],$Q$5))</f>
        <v/>
      </c>
    </row>
    <row r="16314" spans="15:15" x14ac:dyDescent="0.25">
      <c r="O16314" s="20" t="str">
        <f>IF(N16314="","",COUNTIFS(RawData[[Date ]],N16314,RawData[Month List],$Q$6,RawData[Tour/Site],$Q$2,RawData[[Picker ID ]],$Q$3,RawData[Checker ID],$Q$4,RawData[[Error Type ]],$Q$5))</f>
        <v/>
      </c>
    </row>
    <row r="16315" spans="15:15" x14ac:dyDescent="0.25">
      <c r="O16315" s="20" t="str">
        <f>IF(N16315="","",COUNTIFS(RawData[[Date ]],N16315,RawData[Month List],$Q$6,RawData[Tour/Site],$Q$2,RawData[[Picker ID ]],$Q$3,RawData[Checker ID],$Q$4,RawData[[Error Type ]],$Q$5))</f>
        <v/>
      </c>
    </row>
    <row r="16316" spans="15:15" x14ac:dyDescent="0.25">
      <c r="O16316" s="20" t="str">
        <f>IF(N16316="","",COUNTIFS(RawData[[Date ]],N16316,RawData[Month List],$Q$6,RawData[Tour/Site],$Q$2,RawData[[Picker ID ]],$Q$3,RawData[Checker ID],$Q$4,RawData[[Error Type ]],$Q$5))</f>
        <v/>
      </c>
    </row>
    <row r="16317" spans="15:15" x14ac:dyDescent="0.25">
      <c r="O16317" s="20" t="str">
        <f>IF(N16317="","",COUNTIFS(RawData[[Date ]],N16317,RawData[Month List],$Q$6,RawData[Tour/Site],$Q$2,RawData[[Picker ID ]],$Q$3,RawData[Checker ID],$Q$4,RawData[[Error Type ]],$Q$5))</f>
        <v/>
      </c>
    </row>
    <row r="16318" spans="15:15" x14ac:dyDescent="0.25">
      <c r="O16318" s="20" t="str">
        <f>IF(N16318="","",COUNTIFS(RawData[[Date ]],N16318,RawData[Month List],$Q$6,RawData[Tour/Site],$Q$2,RawData[[Picker ID ]],$Q$3,RawData[Checker ID],$Q$4,RawData[[Error Type ]],$Q$5))</f>
        <v/>
      </c>
    </row>
    <row r="16319" spans="15:15" x14ac:dyDescent="0.25">
      <c r="O16319" s="20" t="str">
        <f>IF(N16319="","",COUNTIFS(RawData[[Date ]],N16319,RawData[Month List],$Q$6,RawData[Tour/Site],$Q$2,RawData[[Picker ID ]],$Q$3,RawData[Checker ID],$Q$4,RawData[[Error Type ]],$Q$5))</f>
        <v/>
      </c>
    </row>
    <row r="16320" spans="15:15" x14ac:dyDescent="0.25">
      <c r="O16320" s="20" t="str">
        <f>IF(N16320="","",COUNTIFS(RawData[[Date ]],N16320,RawData[Month List],$Q$6,RawData[Tour/Site],$Q$2,RawData[[Picker ID ]],$Q$3,RawData[Checker ID],$Q$4,RawData[[Error Type ]],$Q$5))</f>
        <v/>
      </c>
    </row>
    <row r="16321" spans="15:15" x14ac:dyDescent="0.25">
      <c r="O16321" s="20" t="str">
        <f>IF(N16321="","",COUNTIFS(RawData[[Date ]],N16321,RawData[Month List],$Q$6,RawData[Tour/Site],$Q$2,RawData[[Picker ID ]],$Q$3,RawData[Checker ID],$Q$4,RawData[[Error Type ]],$Q$5))</f>
        <v/>
      </c>
    </row>
    <row r="16322" spans="15:15" x14ac:dyDescent="0.25">
      <c r="O16322" s="20" t="str">
        <f>IF(N16322="","",COUNTIFS(RawData[[Date ]],N16322,RawData[Month List],$Q$6,RawData[Tour/Site],$Q$2,RawData[[Picker ID ]],$Q$3,RawData[Checker ID],$Q$4,RawData[[Error Type ]],$Q$5))</f>
        <v/>
      </c>
    </row>
    <row r="16323" spans="15:15" x14ac:dyDescent="0.25">
      <c r="O16323" s="20" t="str">
        <f>IF(N16323="","",COUNTIFS(RawData[[Date ]],N16323,RawData[Month List],$Q$6,RawData[Tour/Site],$Q$2,RawData[[Picker ID ]],$Q$3,RawData[Checker ID],$Q$4,RawData[[Error Type ]],$Q$5))</f>
        <v/>
      </c>
    </row>
    <row r="16324" spans="15:15" x14ac:dyDescent="0.25">
      <c r="O16324" s="20" t="str">
        <f>IF(N16324="","",COUNTIFS(RawData[[Date ]],N16324,RawData[Month List],$Q$6,RawData[Tour/Site],$Q$2,RawData[[Picker ID ]],$Q$3,RawData[Checker ID],$Q$4,RawData[[Error Type ]],$Q$5))</f>
        <v/>
      </c>
    </row>
    <row r="16325" spans="15:15" x14ac:dyDescent="0.25">
      <c r="O16325" s="20" t="str">
        <f>IF(N16325="","",COUNTIFS(RawData[[Date ]],N16325,RawData[Month List],$Q$6,RawData[Tour/Site],$Q$2,RawData[[Picker ID ]],$Q$3,RawData[Checker ID],$Q$4,RawData[[Error Type ]],$Q$5))</f>
        <v/>
      </c>
    </row>
    <row r="16326" spans="15:15" x14ac:dyDescent="0.25">
      <c r="O16326" s="20" t="str">
        <f>IF(N16326="","",COUNTIFS(RawData[[Date ]],N16326,RawData[Month List],$Q$6,RawData[Tour/Site],$Q$2,RawData[[Picker ID ]],$Q$3,RawData[Checker ID],$Q$4,RawData[[Error Type ]],$Q$5))</f>
        <v/>
      </c>
    </row>
    <row r="16327" spans="15:15" x14ac:dyDescent="0.25">
      <c r="O16327" s="20" t="str">
        <f>IF(N16327="","",COUNTIFS(RawData[[Date ]],N16327,RawData[Month List],$Q$6,RawData[Tour/Site],$Q$2,RawData[[Picker ID ]],$Q$3,RawData[Checker ID],$Q$4,RawData[[Error Type ]],$Q$5))</f>
        <v/>
      </c>
    </row>
    <row r="16328" spans="15:15" x14ac:dyDescent="0.25">
      <c r="O16328" s="20" t="str">
        <f>IF(N16328="","",COUNTIFS(RawData[[Date ]],N16328,RawData[Month List],$Q$6,RawData[Tour/Site],$Q$2,RawData[[Picker ID ]],$Q$3,RawData[Checker ID],$Q$4,RawData[[Error Type ]],$Q$5))</f>
        <v/>
      </c>
    </row>
    <row r="16329" spans="15:15" x14ac:dyDescent="0.25">
      <c r="O16329" s="20" t="str">
        <f>IF(N16329="","",COUNTIFS(RawData[[Date ]],N16329,RawData[Month List],$Q$6,RawData[Tour/Site],$Q$2,RawData[[Picker ID ]],$Q$3,RawData[Checker ID],$Q$4,RawData[[Error Type ]],$Q$5))</f>
        <v/>
      </c>
    </row>
    <row r="16330" spans="15:15" x14ac:dyDescent="0.25">
      <c r="O16330" s="20" t="str">
        <f>IF(N16330="","",COUNTIFS(RawData[[Date ]],N16330,RawData[Month List],$Q$6,RawData[Tour/Site],$Q$2,RawData[[Picker ID ]],$Q$3,RawData[Checker ID],$Q$4,RawData[[Error Type ]],$Q$5))</f>
        <v/>
      </c>
    </row>
    <row r="16331" spans="15:15" x14ac:dyDescent="0.25">
      <c r="O16331" s="20" t="str">
        <f>IF(N16331="","",COUNTIFS(RawData[[Date ]],N16331,RawData[Month List],$Q$6,RawData[Tour/Site],$Q$2,RawData[[Picker ID ]],$Q$3,RawData[Checker ID],$Q$4,RawData[[Error Type ]],$Q$5))</f>
        <v/>
      </c>
    </row>
    <row r="16332" spans="15:15" x14ac:dyDescent="0.25">
      <c r="O16332" s="20" t="str">
        <f>IF(N16332="","",COUNTIFS(RawData[[Date ]],N16332,RawData[Month List],$Q$6,RawData[Tour/Site],$Q$2,RawData[[Picker ID ]],$Q$3,RawData[Checker ID],$Q$4,RawData[[Error Type ]],$Q$5))</f>
        <v/>
      </c>
    </row>
    <row r="16333" spans="15:15" x14ac:dyDescent="0.25">
      <c r="O16333" s="20" t="str">
        <f>IF(N16333="","",COUNTIFS(RawData[[Date ]],N16333,RawData[Month List],$Q$6,RawData[Tour/Site],$Q$2,RawData[[Picker ID ]],$Q$3,RawData[Checker ID],$Q$4,RawData[[Error Type ]],$Q$5))</f>
        <v/>
      </c>
    </row>
    <row r="16334" spans="15:15" x14ac:dyDescent="0.25">
      <c r="O16334" s="20" t="str">
        <f>IF(N16334="","",COUNTIFS(RawData[[Date ]],N16334,RawData[Month List],$Q$6,RawData[Tour/Site],$Q$2,RawData[[Picker ID ]],$Q$3,RawData[Checker ID],$Q$4,RawData[[Error Type ]],$Q$5))</f>
        <v/>
      </c>
    </row>
    <row r="16335" spans="15:15" x14ac:dyDescent="0.25">
      <c r="O16335" s="20" t="str">
        <f>IF(N16335="","",COUNTIFS(RawData[[Date ]],N16335,RawData[Month List],$Q$6,RawData[Tour/Site],$Q$2,RawData[[Picker ID ]],$Q$3,RawData[Checker ID],$Q$4,RawData[[Error Type ]],$Q$5))</f>
        <v/>
      </c>
    </row>
    <row r="16336" spans="15:15" x14ac:dyDescent="0.25">
      <c r="O16336" s="20" t="str">
        <f>IF(N16336="","",COUNTIFS(RawData[[Date ]],N16336,RawData[Month List],$Q$6,RawData[Tour/Site],$Q$2,RawData[[Picker ID ]],$Q$3,RawData[Checker ID],$Q$4,RawData[[Error Type ]],$Q$5))</f>
        <v/>
      </c>
    </row>
    <row r="16337" spans="15:15" x14ac:dyDescent="0.25">
      <c r="O16337" s="20" t="str">
        <f>IF(N16337="","",COUNTIFS(RawData[[Date ]],N16337,RawData[Month List],$Q$6,RawData[Tour/Site],$Q$2,RawData[[Picker ID ]],$Q$3,RawData[Checker ID],$Q$4,RawData[[Error Type ]],$Q$5))</f>
        <v/>
      </c>
    </row>
    <row r="16338" spans="15:15" x14ac:dyDescent="0.25">
      <c r="O16338" s="20" t="str">
        <f>IF(N16338="","",COUNTIFS(RawData[[Date ]],N16338,RawData[Month List],$Q$6,RawData[Tour/Site],$Q$2,RawData[[Picker ID ]],$Q$3,RawData[Checker ID],$Q$4,RawData[[Error Type ]],$Q$5))</f>
        <v/>
      </c>
    </row>
    <row r="16339" spans="15:15" x14ac:dyDescent="0.25">
      <c r="O16339" s="20" t="str">
        <f>IF(N16339="","",COUNTIFS(RawData[[Date ]],N16339,RawData[Month List],$Q$6,RawData[Tour/Site],$Q$2,RawData[[Picker ID ]],$Q$3,RawData[Checker ID],$Q$4,RawData[[Error Type ]],$Q$5))</f>
        <v/>
      </c>
    </row>
    <row r="16340" spans="15:15" x14ac:dyDescent="0.25">
      <c r="O16340" s="20" t="str">
        <f>IF(N16340="","",COUNTIFS(RawData[[Date ]],N16340,RawData[Month List],$Q$6,RawData[Tour/Site],$Q$2,RawData[[Picker ID ]],$Q$3,RawData[Checker ID],$Q$4,RawData[[Error Type ]],$Q$5))</f>
        <v/>
      </c>
    </row>
    <row r="16341" spans="15:15" x14ac:dyDescent="0.25">
      <c r="O16341" s="20" t="str">
        <f>IF(N16341="","",COUNTIFS(RawData[[Date ]],N16341,RawData[Month List],$Q$6,RawData[Tour/Site],$Q$2,RawData[[Picker ID ]],$Q$3,RawData[Checker ID],$Q$4,RawData[[Error Type ]],$Q$5))</f>
        <v/>
      </c>
    </row>
    <row r="16342" spans="15:15" x14ac:dyDescent="0.25">
      <c r="O16342" s="20" t="str">
        <f>IF(N16342="","",COUNTIFS(RawData[[Date ]],N16342,RawData[Month List],$Q$6,RawData[Tour/Site],$Q$2,RawData[[Picker ID ]],$Q$3,RawData[Checker ID],$Q$4,RawData[[Error Type ]],$Q$5))</f>
        <v/>
      </c>
    </row>
    <row r="16343" spans="15:15" x14ac:dyDescent="0.25">
      <c r="O16343" s="20" t="str">
        <f>IF(N16343="","",COUNTIFS(RawData[[Date ]],N16343,RawData[Month List],$Q$6,RawData[Tour/Site],$Q$2,RawData[[Picker ID ]],$Q$3,RawData[Checker ID],$Q$4,RawData[[Error Type ]],$Q$5))</f>
        <v/>
      </c>
    </row>
    <row r="16344" spans="15:15" x14ac:dyDescent="0.25">
      <c r="O16344" s="20" t="str">
        <f>IF(N16344="","",COUNTIFS(RawData[[Date ]],N16344,RawData[Month List],$Q$6,RawData[Tour/Site],$Q$2,RawData[[Picker ID ]],$Q$3,RawData[Checker ID],$Q$4,RawData[[Error Type ]],$Q$5))</f>
        <v/>
      </c>
    </row>
    <row r="16345" spans="15:15" x14ac:dyDescent="0.25">
      <c r="O16345" s="20" t="str">
        <f>IF(N16345="","",COUNTIFS(RawData[[Date ]],N16345,RawData[Month List],$Q$6,RawData[Tour/Site],$Q$2,RawData[[Picker ID ]],$Q$3,RawData[Checker ID],$Q$4,RawData[[Error Type ]],$Q$5))</f>
        <v/>
      </c>
    </row>
    <row r="16346" spans="15:15" x14ac:dyDescent="0.25">
      <c r="O16346" s="20" t="str">
        <f>IF(N16346="","",COUNTIFS(RawData[[Date ]],N16346,RawData[Month List],$Q$6,RawData[Tour/Site],$Q$2,RawData[[Picker ID ]],$Q$3,RawData[Checker ID],$Q$4,RawData[[Error Type ]],$Q$5))</f>
        <v/>
      </c>
    </row>
    <row r="16347" spans="15:15" x14ac:dyDescent="0.25">
      <c r="O16347" s="20" t="str">
        <f>IF(N16347="","",COUNTIFS(RawData[[Date ]],N16347,RawData[Month List],$Q$6,RawData[Tour/Site],$Q$2,RawData[[Picker ID ]],$Q$3,RawData[Checker ID],$Q$4,RawData[[Error Type ]],$Q$5))</f>
        <v/>
      </c>
    </row>
    <row r="16348" spans="15:15" x14ac:dyDescent="0.25">
      <c r="O16348" s="20" t="str">
        <f>IF(N16348="","",COUNTIFS(RawData[[Date ]],N16348,RawData[Month List],$Q$6,RawData[Tour/Site],$Q$2,RawData[[Picker ID ]],$Q$3,RawData[Checker ID],$Q$4,RawData[[Error Type ]],$Q$5))</f>
        <v/>
      </c>
    </row>
    <row r="16349" spans="15:15" x14ac:dyDescent="0.25">
      <c r="O16349" s="20" t="str">
        <f>IF(N16349="","",COUNTIFS(RawData[[Date ]],N16349,RawData[Month List],$Q$6,RawData[Tour/Site],$Q$2,RawData[[Picker ID ]],$Q$3,RawData[Checker ID],$Q$4,RawData[[Error Type ]],$Q$5))</f>
        <v/>
      </c>
    </row>
    <row r="16350" spans="15:15" x14ac:dyDescent="0.25">
      <c r="O16350" s="20" t="str">
        <f>IF(N16350="","",COUNTIFS(RawData[[Date ]],N16350,RawData[Month List],$Q$6,RawData[Tour/Site],$Q$2,RawData[[Picker ID ]],$Q$3,RawData[Checker ID],$Q$4,RawData[[Error Type ]],$Q$5))</f>
        <v/>
      </c>
    </row>
    <row r="16351" spans="15:15" x14ac:dyDescent="0.25">
      <c r="O16351" s="20" t="str">
        <f>IF(N16351="","",COUNTIFS(RawData[[Date ]],N16351,RawData[Month List],$Q$6,RawData[Tour/Site],$Q$2,RawData[[Picker ID ]],$Q$3,RawData[Checker ID],$Q$4,RawData[[Error Type ]],$Q$5))</f>
        <v/>
      </c>
    </row>
    <row r="16352" spans="15:15" x14ac:dyDescent="0.25">
      <c r="O16352" s="20" t="str">
        <f>IF(N16352="","",COUNTIFS(RawData[[Date ]],N16352,RawData[Month List],$Q$6,RawData[Tour/Site],$Q$2,RawData[[Picker ID ]],$Q$3,RawData[Checker ID],$Q$4,RawData[[Error Type ]],$Q$5))</f>
        <v/>
      </c>
    </row>
    <row r="16353" spans="15:15" x14ac:dyDescent="0.25">
      <c r="O16353" s="20" t="str">
        <f>IF(N16353="","",COUNTIFS(RawData[[Date ]],N16353,RawData[Month List],$Q$6,RawData[Tour/Site],$Q$2,RawData[[Picker ID ]],$Q$3,RawData[Checker ID],$Q$4,RawData[[Error Type ]],$Q$5))</f>
        <v/>
      </c>
    </row>
    <row r="16354" spans="15:15" x14ac:dyDescent="0.25">
      <c r="O16354" s="20" t="str">
        <f>IF(N16354="","",COUNTIFS(RawData[[Date ]],N16354,RawData[Month List],$Q$6,RawData[Tour/Site],$Q$2,RawData[[Picker ID ]],$Q$3,RawData[Checker ID],$Q$4,RawData[[Error Type ]],$Q$5))</f>
        <v/>
      </c>
    </row>
    <row r="16355" spans="15:15" x14ac:dyDescent="0.25">
      <c r="O16355" s="20" t="str">
        <f>IF(N16355="","",COUNTIFS(RawData[[Date ]],N16355,RawData[Month List],$Q$6,RawData[Tour/Site],$Q$2,RawData[[Picker ID ]],$Q$3,RawData[Checker ID],$Q$4,RawData[[Error Type ]],$Q$5))</f>
        <v/>
      </c>
    </row>
    <row r="16356" spans="15:15" x14ac:dyDescent="0.25">
      <c r="O16356" s="20" t="str">
        <f>IF(N16356="","",COUNTIFS(RawData[[Date ]],N16356,RawData[Month List],$Q$6,RawData[Tour/Site],$Q$2,RawData[[Picker ID ]],$Q$3,RawData[Checker ID],$Q$4,RawData[[Error Type ]],$Q$5))</f>
        <v/>
      </c>
    </row>
    <row r="16357" spans="15:15" x14ac:dyDescent="0.25">
      <c r="O16357" s="20" t="str">
        <f>IF(N16357="","",COUNTIFS(RawData[[Date ]],N16357,RawData[Month List],$Q$6,RawData[Tour/Site],$Q$2,RawData[[Picker ID ]],$Q$3,RawData[Checker ID],$Q$4,RawData[[Error Type ]],$Q$5))</f>
        <v/>
      </c>
    </row>
    <row r="16358" spans="15:15" x14ac:dyDescent="0.25">
      <c r="O16358" s="20" t="str">
        <f>IF(N16358="","",COUNTIFS(RawData[[Date ]],N16358,RawData[Month List],$Q$6,RawData[Tour/Site],$Q$2,RawData[[Picker ID ]],$Q$3,RawData[Checker ID],$Q$4,RawData[[Error Type ]],$Q$5))</f>
        <v/>
      </c>
    </row>
    <row r="16359" spans="15:15" x14ac:dyDescent="0.25">
      <c r="O16359" s="20" t="str">
        <f>IF(N16359="","",COUNTIFS(RawData[[Date ]],N16359,RawData[Month List],$Q$6,RawData[Tour/Site],$Q$2,RawData[[Picker ID ]],$Q$3,RawData[Checker ID],$Q$4,RawData[[Error Type ]],$Q$5))</f>
        <v/>
      </c>
    </row>
    <row r="16360" spans="15:15" x14ac:dyDescent="0.25">
      <c r="O16360" s="20" t="str">
        <f>IF(N16360="","",COUNTIFS(RawData[[Date ]],N16360,RawData[Month List],$Q$6,RawData[Tour/Site],$Q$2,RawData[[Picker ID ]],$Q$3,RawData[Checker ID],$Q$4,RawData[[Error Type ]],$Q$5))</f>
        <v/>
      </c>
    </row>
    <row r="16361" spans="15:15" x14ac:dyDescent="0.25">
      <c r="O16361" s="20" t="str">
        <f>IF(N16361="","",COUNTIFS(RawData[[Date ]],N16361,RawData[Month List],$Q$6,RawData[Tour/Site],$Q$2,RawData[[Picker ID ]],$Q$3,RawData[Checker ID],$Q$4,RawData[[Error Type ]],$Q$5))</f>
        <v/>
      </c>
    </row>
    <row r="16362" spans="15:15" x14ac:dyDescent="0.25">
      <c r="O16362" s="20" t="str">
        <f>IF(N16362="","",COUNTIFS(RawData[[Date ]],N16362,RawData[Month List],$Q$6,RawData[Tour/Site],$Q$2,RawData[[Picker ID ]],$Q$3,RawData[Checker ID],$Q$4,RawData[[Error Type ]],$Q$5))</f>
        <v/>
      </c>
    </row>
    <row r="16363" spans="15:15" x14ac:dyDescent="0.25">
      <c r="O16363" s="20" t="str">
        <f>IF(N16363="","",COUNTIFS(RawData[[Date ]],N16363,RawData[Month List],$Q$6,RawData[Tour/Site],$Q$2,RawData[[Picker ID ]],$Q$3,RawData[Checker ID],$Q$4,RawData[[Error Type ]],$Q$5))</f>
        <v/>
      </c>
    </row>
    <row r="16364" spans="15:15" x14ac:dyDescent="0.25">
      <c r="O16364" s="20" t="str">
        <f>IF(N16364="","",COUNTIFS(RawData[[Date ]],N16364,RawData[Month List],$Q$6,RawData[Tour/Site],$Q$2,RawData[[Picker ID ]],$Q$3,RawData[Checker ID],$Q$4,RawData[[Error Type ]],$Q$5))</f>
        <v/>
      </c>
    </row>
    <row r="16365" spans="15:15" x14ac:dyDescent="0.25">
      <c r="O16365" s="20" t="str">
        <f>IF(N16365="","",COUNTIFS(RawData[[Date ]],N16365,RawData[Month List],$Q$6,RawData[Tour/Site],$Q$2,RawData[[Picker ID ]],$Q$3,RawData[Checker ID],$Q$4,RawData[[Error Type ]],$Q$5))</f>
        <v/>
      </c>
    </row>
    <row r="16366" spans="15:15" x14ac:dyDescent="0.25">
      <c r="O16366" s="20" t="str">
        <f>IF(N16366="","",COUNTIFS(RawData[[Date ]],N16366,RawData[Month List],$Q$6,RawData[Tour/Site],$Q$2,RawData[[Picker ID ]],$Q$3,RawData[Checker ID],$Q$4,RawData[[Error Type ]],$Q$5))</f>
        <v/>
      </c>
    </row>
    <row r="16367" spans="15:15" x14ac:dyDescent="0.25">
      <c r="O16367" s="20" t="str">
        <f>IF(N16367="","",COUNTIFS(RawData[[Date ]],N16367,RawData[Month List],$Q$6,RawData[Tour/Site],$Q$2,RawData[[Picker ID ]],$Q$3,RawData[Checker ID],$Q$4,RawData[[Error Type ]],$Q$5))</f>
        <v/>
      </c>
    </row>
    <row r="16368" spans="15:15" x14ac:dyDescent="0.25">
      <c r="O16368" s="20" t="str">
        <f>IF(N16368="","",COUNTIFS(RawData[[Date ]],N16368,RawData[Month List],$Q$6,RawData[Tour/Site],$Q$2,RawData[[Picker ID ]],$Q$3,RawData[Checker ID],$Q$4,RawData[[Error Type ]],$Q$5))</f>
        <v/>
      </c>
    </row>
    <row r="16369" spans="15:15" x14ac:dyDescent="0.25">
      <c r="O16369" s="20" t="str">
        <f>IF(N16369="","",COUNTIFS(RawData[[Date ]],N16369,RawData[Month List],$Q$6,RawData[Tour/Site],$Q$2,RawData[[Picker ID ]],$Q$3,RawData[Checker ID],$Q$4,RawData[[Error Type ]],$Q$5))</f>
        <v/>
      </c>
    </row>
    <row r="16370" spans="15:15" x14ac:dyDescent="0.25">
      <c r="O16370" s="20" t="str">
        <f>IF(N16370="","",COUNTIFS(RawData[[Date ]],N16370,RawData[Month List],$Q$6,RawData[Tour/Site],$Q$2,RawData[[Picker ID ]],$Q$3,RawData[Checker ID],$Q$4,RawData[[Error Type ]],$Q$5))</f>
        <v/>
      </c>
    </row>
    <row r="16371" spans="15:15" x14ac:dyDescent="0.25">
      <c r="O16371" s="20" t="str">
        <f>IF(N16371="","",COUNTIFS(RawData[[Date ]],N16371,RawData[Month List],$Q$6,RawData[Tour/Site],$Q$2,RawData[[Picker ID ]],$Q$3,RawData[Checker ID],$Q$4,RawData[[Error Type ]],$Q$5))</f>
        <v/>
      </c>
    </row>
    <row r="16372" spans="15:15" x14ac:dyDescent="0.25">
      <c r="O16372" s="20" t="str">
        <f>IF(N16372="","",COUNTIFS(RawData[[Date ]],N16372,RawData[Month List],$Q$6,RawData[Tour/Site],$Q$2,RawData[[Picker ID ]],$Q$3,RawData[Checker ID],$Q$4,RawData[[Error Type ]],$Q$5))</f>
        <v/>
      </c>
    </row>
    <row r="16373" spans="15:15" x14ac:dyDescent="0.25">
      <c r="O16373" s="20" t="str">
        <f>IF(N16373="","",COUNTIFS(RawData[[Date ]],N16373,RawData[Month List],$Q$6,RawData[Tour/Site],$Q$2,RawData[[Picker ID ]],$Q$3,RawData[Checker ID],$Q$4,RawData[[Error Type ]],$Q$5))</f>
        <v/>
      </c>
    </row>
    <row r="16374" spans="15:15" x14ac:dyDescent="0.25">
      <c r="O16374" s="20" t="str">
        <f>IF(N16374="","",COUNTIFS(RawData[[Date ]],N16374,RawData[Month List],$Q$6,RawData[Tour/Site],$Q$2,RawData[[Picker ID ]],$Q$3,RawData[Checker ID],$Q$4,RawData[[Error Type ]],$Q$5))</f>
        <v/>
      </c>
    </row>
    <row r="16375" spans="15:15" x14ac:dyDescent="0.25">
      <c r="O16375" s="20" t="str">
        <f>IF(N16375="","",COUNTIFS(RawData[[Date ]],N16375,RawData[Month List],$Q$6,RawData[Tour/Site],$Q$2,RawData[[Picker ID ]],$Q$3,RawData[Checker ID],$Q$4,RawData[[Error Type ]],$Q$5))</f>
        <v/>
      </c>
    </row>
    <row r="16376" spans="15:15" x14ac:dyDescent="0.25">
      <c r="O16376" s="20" t="str">
        <f>IF(N16376="","",COUNTIFS(RawData[[Date ]],N16376,RawData[Month List],$Q$6,RawData[Tour/Site],$Q$2,RawData[[Picker ID ]],$Q$3,RawData[Checker ID],$Q$4,RawData[[Error Type ]],$Q$5))</f>
        <v/>
      </c>
    </row>
    <row r="16377" spans="15:15" x14ac:dyDescent="0.25">
      <c r="O16377" s="20" t="str">
        <f>IF(N16377="","",COUNTIFS(RawData[[Date ]],N16377,RawData[Month List],$Q$6,RawData[Tour/Site],$Q$2,RawData[[Picker ID ]],$Q$3,RawData[Checker ID],$Q$4,RawData[[Error Type ]],$Q$5))</f>
        <v/>
      </c>
    </row>
    <row r="16378" spans="15:15" x14ac:dyDescent="0.25">
      <c r="O16378" s="20" t="str">
        <f>IF(N16378="","",COUNTIFS(RawData[[Date ]],N16378,RawData[Month List],$Q$6,RawData[Tour/Site],$Q$2,RawData[[Picker ID ]],$Q$3,RawData[Checker ID],$Q$4,RawData[[Error Type ]],$Q$5))</f>
        <v/>
      </c>
    </row>
    <row r="16379" spans="15:15" x14ac:dyDescent="0.25">
      <c r="O16379" s="20" t="str">
        <f>IF(N16379="","",COUNTIFS(RawData[[Date ]],N16379,RawData[Month List],$Q$6,RawData[Tour/Site],$Q$2,RawData[[Picker ID ]],$Q$3,RawData[Checker ID],$Q$4,RawData[[Error Type ]],$Q$5))</f>
        <v/>
      </c>
    </row>
    <row r="16380" spans="15:15" x14ac:dyDescent="0.25">
      <c r="O16380" s="20" t="str">
        <f>IF(N16380="","",COUNTIFS(RawData[[Date ]],N16380,RawData[Month List],$Q$6,RawData[Tour/Site],$Q$2,RawData[[Picker ID ]],$Q$3,RawData[Checker ID],$Q$4,RawData[[Error Type ]],$Q$5))</f>
        <v/>
      </c>
    </row>
    <row r="16381" spans="15:15" x14ac:dyDescent="0.25">
      <c r="O16381" s="20" t="str">
        <f>IF(N16381="","",COUNTIFS(RawData[[Date ]],N16381,RawData[Month List],$Q$6,RawData[Tour/Site],$Q$2,RawData[[Picker ID ]],$Q$3,RawData[Checker ID],$Q$4,RawData[[Error Type ]],$Q$5))</f>
        <v/>
      </c>
    </row>
    <row r="16382" spans="15:15" x14ac:dyDescent="0.25">
      <c r="O16382" s="20" t="str">
        <f>IF(N16382="","",COUNTIFS(RawData[[Date ]],N16382,RawData[Month List],$Q$6,RawData[Tour/Site],$Q$2,RawData[[Picker ID ]],$Q$3,RawData[Checker ID],$Q$4,RawData[[Error Type ]],$Q$5))</f>
        <v/>
      </c>
    </row>
    <row r="16383" spans="15:15" x14ac:dyDescent="0.25">
      <c r="O16383" s="20" t="str">
        <f>IF(N16383="","",COUNTIFS(RawData[[Date ]],N16383,RawData[Month List],$Q$6,RawData[Tour/Site],$Q$2,RawData[[Picker ID ]],$Q$3,RawData[Checker ID],$Q$4,RawData[[Error Type ]],$Q$5))</f>
        <v/>
      </c>
    </row>
    <row r="16384" spans="15:15" x14ac:dyDescent="0.25">
      <c r="O16384" s="20" t="str">
        <f>IF(N16384="","",COUNTIFS(RawData[[Date ]],N16384,RawData[Month List],$Q$6,RawData[Tour/Site],$Q$2,RawData[[Picker ID ]],$Q$3,RawData[Checker ID],$Q$4,RawData[[Error Type ]],$Q$5))</f>
        <v/>
      </c>
    </row>
    <row r="16385" spans="15:15" x14ac:dyDescent="0.25">
      <c r="O16385" s="20" t="str">
        <f>IF(N16385="","",COUNTIFS(RawData[[Date ]],N16385,RawData[Month List],$Q$6,RawData[Tour/Site],$Q$2,RawData[[Picker ID ]],$Q$3,RawData[Checker ID],$Q$4,RawData[[Error Type ]],$Q$5))</f>
        <v/>
      </c>
    </row>
    <row r="16386" spans="15:15" x14ac:dyDescent="0.25">
      <c r="O16386" s="20" t="str">
        <f>IF(N16386="","",COUNTIFS(RawData[[Date ]],N16386,RawData[Month List],$Q$6,RawData[Tour/Site],$Q$2,RawData[[Picker ID ]],$Q$3,RawData[Checker ID],$Q$4,RawData[[Error Type ]],$Q$5))</f>
        <v/>
      </c>
    </row>
    <row r="16387" spans="15:15" x14ac:dyDescent="0.25">
      <c r="O16387" s="20" t="str">
        <f>IF(N16387="","",COUNTIFS(RawData[[Date ]],N16387,RawData[Month List],$Q$6,RawData[Tour/Site],$Q$2,RawData[[Picker ID ]],$Q$3,RawData[Checker ID],$Q$4,RawData[[Error Type ]],$Q$5))</f>
        <v/>
      </c>
    </row>
    <row r="16388" spans="15:15" x14ac:dyDescent="0.25">
      <c r="O16388" s="20" t="str">
        <f>IF(N16388="","",COUNTIFS(RawData[[Date ]],N16388,RawData[Month List],$Q$6,RawData[Tour/Site],$Q$2,RawData[[Picker ID ]],$Q$3,RawData[Checker ID],$Q$4,RawData[[Error Type ]],$Q$5))</f>
        <v/>
      </c>
    </row>
    <row r="16389" spans="15:15" x14ac:dyDescent="0.25">
      <c r="O16389" s="20" t="str">
        <f>IF(N16389="","",COUNTIFS(RawData[[Date ]],N16389,RawData[Month List],$Q$6,RawData[Tour/Site],$Q$2,RawData[[Picker ID ]],$Q$3,RawData[Checker ID],$Q$4,RawData[[Error Type ]],$Q$5))</f>
        <v/>
      </c>
    </row>
    <row r="16390" spans="15:15" x14ac:dyDescent="0.25">
      <c r="O16390" s="20" t="str">
        <f>IF(N16390="","",COUNTIFS(RawData[[Date ]],N16390,RawData[Month List],$Q$6,RawData[Tour/Site],$Q$2,RawData[[Picker ID ]],$Q$3,RawData[Checker ID],$Q$4,RawData[[Error Type ]],$Q$5))</f>
        <v/>
      </c>
    </row>
    <row r="16391" spans="15:15" x14ac:dyDescent="0.25">
      <c r="O16391" s="20" t="str">
        <f>IF(N16391="","",COUNTIFS(RawData[[Date ]],N16391,RawData[Month List],$Q$6,RawData[Tour/Site],$Q$2,RawData[[Picker ID ]],$Q$3,RawData[Checker ID],$Q$4,RawData[[Error Type ]],$Q$5))</f>
        <v/>
      </c>
    </row>
    <row r="16392" spans="15:15" x14ac:dyDescent="0.25">
      <c r="O16392" s="20" t="str">
        <f>IF(N16392="","",COUNTIFS(RawData[[Date ]],N16392,RawData[Month List],$Q$6,RawData[Tour/Site],$Q$2,RawData[[Picker ID ]],$Q$3,RawData[Checker ID],$Q$4,RawData[[Error Type ]],$Q$5))</f>
        <v/>
      </c>
    </row>
    <row r="16393" spans="15:15" x14ac:dyDescent="0.25">
      <c r="O16393" s="20" t="str">
        <f>IF(N16393="","",COUNTIFS(RawData[[Date ]],N16393,RawData[Month List],$Q$6,RawData[Tour/Site],$Q$2,RawData[[Picker ID ]],$Q$3,RawData[Checker ID],$Q$4,RawData[[Error Type ]],$Q$5))</f>
        <v/>
      </c>
    </row>
    <row r="16394" spans="15:15" x14ac:dyDescent="0.25">
      <c r="O16394" s="20" t="str">
        <f>IF(N16394="","",COUNTIFS(RawData[[Date ]],N16394,RawData[Month List],$Q$6,RawData[Tour/Site],$Q$2,RawData[[Picker ID ]],$Q$3,RawData[Checker ID],$Q$4,RawData[[Error Type ]],$Q$5))</f>
        <v/>
      </c>
    </row>
    <row r="16395" spans="15:15" x14ac:dyDescent="0.25">
      <c r="O16395" s="20" t="str">
        <f>IF(N16395="","",COUNTIFS(RawData[[Date ]],N16395,RawData[Month List],$Q$6,RawData[Tour/Site],$Q$2,RawData[[Picker ID ]],$Q$3,RawData[Checker ID],$Q$4,RawData[[Error Type ]],$Q$5))</f>
        <v/>
      </c>
    </row>
    <row r="16396" spans="15:15" x14ac:dyDescent="0.25">
      <c r="O16396" s="20" t="str">
        <f>IF(N16396="","",COUNTIFS(RawData[[Date ]],N16396,RawData[Month List],$Q$6,RawData[Tour/Site],$Q$2,RawData[[Picker ID ]],$Q$3,RawData[Checker ID],$Q$4,RawData[[Error Type ]],$Q$5))</f>
        <v/>
      </c>
    </row>
    <row r="16397" spans="15:15" x14ac:dyDescent="0.25">
      <c r="O16397" s="20" t="str">
        <f>IF(N16397="","",COUNTIFS(RawData[[Date ]],N16397,RawData[Month List],$Q$6,RawData[Tour/Site],$Q$2,RawData[[Picker ID ]],$Q$3,RawData[Checker ID],$Q$4,RawData[[Error Type ]],$Q$5))</f>
        <v/>
      </c>
    </row>
    <row r="16398" spans="15:15" x14ac:dyDescent="0.25">
      <c r="O16398" s="20" t="str">
        <f>IF(N16398="","",COUNTIFS(RawData[[Date ]],N16398,RawData[Month List],$Q$6,RawData[Tour/Site],$Q$2,RawData[[Picker ID ]],$Q$3,RawData[Checker ID],$Q$4,RawData[[Error Type ]],$Q$5))</f>
        <v/>
      </c>
    </row>
    <row r="16399" spans="15:15" x14ac:dyDescent="0.25">
      <c r="O16399" s="20" t="str">
        <f>IF(N16399="","",COUNTIFS(RawData[[Date ]],N16399,RawData[Month List],$Q$6,RawData[Tour/Site],$Q$2,RawData[[Picker ID ]],$Q$3,RawData[Checker ID],$Q$4,RawData[[Error Type ]],$Q$5))</f>
        <v/>
      </c>
    </row>
    <row r="16400" spans="15:15" x14ac:dyDescent="0.25">
      <c r="O16400" s="20" t="str">
        <f>IF(N16400="","",COUNTIFS(RawData[[Date ]],N16400,RawData[Month List],$Q$6,RawData[Tour/Site],$Q$2,RawData[[Picker ID ]],$Q$3,RawData[Checker ID],$Q$4,RawData[[Error Type ]],$Q$5))</f>
        <v/>
      </c>
    </row>
    <row r="16401" spans="15:15" x14ac:dyDescent="0.25">
      <c r="O16401" s="20" t="str">
        <f>IF(N16401="","",COUNTIFS(RawData[[Date ]],N16401,RawData[Month List],$Q$6,RawData[Tour/Site],$Q$2,RawData[[Picker ID ]],$Q$3,RawData[Checker ID],$Q$4,RawData[[Error Type ]],$Q$5))</f>
        <v/>
      </c>
    </row>
    <row r="16402" spans="15:15" x14ac:dyDescent="0.25">
      <c r="O16402" s="20" t="str">
        <f>IF(N16402="","",COUNTIFS(RawData[[Date ]],N16402,RawData[Month List],$Q$6,RawData[Tour/Site],$Q$2,RawData[[Picker ID ]],$Q$3,RawData[Checker ID],$Q$4,RawData[[Error Type ]],$Q$5))</f>
        <v/>
      </c>
    </row>
    <row r="16403" spans="15:15" x14ac:dyDescent="0.25">
      <c r="O16403" s="20" t="str">
        <f>IF(N16403="","",COUNTIFS(RawData[[Date ]],N16403,RawData[Month List],$Q$6,RawData[Tour/Site],$Q$2,RawData[[Picker ID ]],$Q$3,RawData[Checker ID],$Q$4,RawData[[Error Type ]],$Q$5))</f>
        <v/>
      </c>
    </row>
    <row r="16404" spans="15:15" x14ac:dyDescent="0.25">
      <c r="O16404" s="20" t="str">
        <f>IF(N16404="","",COUNTIFS(RawData[[Date ]],N16404,RawData[Month List],$Q$6,RawData[Tour/Site],$Q$2,RawData[[Picker ID ]],$Q$3,RawData[Checker ID],$Q$4,RawData[[Error Type ]],$Q$5))</f>
        <v/>
      </c>
    </row>
    <row r="16405" spans="15:15" x14ac:dyDescent="0.25">
      <c r="O16405" s="20" t="str">
        <f>IF(N16405="","",COUNTIFS(RawData[[Date ]],N16405,RawData[Month List],$Q$6,RawData[Tour/Site],$Q$2,RawData[[Picker ID ]],$Q$3,RawData[Checker ID],$Q$4,RawData[[Error Type ]],$Q$5))</f>
        <v/>
      </c>
    </row>
    <row r="16406" spans="15:15" x14ac:dyDescent="0.25">
      <c r="O16406" s="20" t="str">
        <f>IF(N16406="","",COUNTIFS(RawData[[Date ]],N16406,RawData[Month List],$Q$6,RawData[Tour/Site],$Q$2,RawData[[Picker ID ]],$Q$3,RawData[Checker ID],$Q$4,RawData[[Error Type ]],$Q$5))</f>
        <v/>
      </c>
    </row>
    <row r="16407" spans="15:15" x14ac:dyDescent="0.25">
      <c r="O16407" s="20" t="str">
        <f>IF(N16407="","",COUNTIFS(RawData[[Date ]],N16407,RawData[Month List],$Q$6,RawData[Tour/Site],$Q$2,RawData[[Picker ID ]],$Q$3,RawData[Checker ID],$Q$4,RawData[[Error Type ]],$Q$5))</f>
        <v/>
      </c>
    </row>
    <row r="16408" spans="15:15" x14ac:dyDescent="0.25">
      <c r="O16408" s="20" t="str">
        <f>IF(N16408="","",COUNTIFS(RawData[[Date ]],N16408,RawData[Month List],$Q$6,RawData[Tour/Site],$Q$2,RawData[[Picker ID ]],$Q$3,RawData[Checker ID],$Q$4,RawData[[Error Type ]],$Q$5))</f>
        <v/>
      </c>
    </row>
    <row r="16409" spans="15:15" x14ac:dyDescent="0.25">
      <c r="O16409" s="20" t="str">
        <f>IF(N16409="","",COUNTIFS(RawData[[Date ]],N16409,RawData[Month List],$Q$6,RawData[Tour/Site],$Q$2,RawData[[Picker ID ]],$Q$3,RawData[Checker ID],$Q$4,RawData[[Error Type ]],$Q$5))</f>
        <v/>
      </c>
    </row>
    <row r="16410" spans="15:15" x14ac:dyDescent="0.25">
      <c r="O16410" s="20" t="str">
        <f>IF(N16410="","",COUNTIFS(RawData[[Date ]],N16410,RawData[Month List],$Q$6,RawData[Tour/Site],$Q$2,RawData[[Picker ID ]],$Q$3,RawData[Checker ID],$Q$4,RawData[[Error Type ]],$Q$5))</f>
        <v/>
      </c>
    </row>
    <row r="16411" spans="15:15" x14ac:dyDescent="0.25">
      <c r="O16411" s="20" t="str">
        <f>IF(N16411="","",COUNTIFS(RawData[[Date ]],N16411,RawData[Month List],$Q$6,RawData[Tour/Site],$Q$2,RawData[[Picker ID ]],$Q$3,RawData[Checker ID],$Q$4,RawData[[Error Type ]],$Q$5))</f>
        <v/>
      </c>
    </row>
    <row r="16412" spans="15:15" x14ac:dyDescent="0.25">
      <c r="O16412" s="20" t="str">
        <f>IF(N16412="","",COUNTIFS(RawData[[Date ]],N16412,RawData[Month List],$Q$6,RawData[Tour/Site],$Q$2,RawData[[Picker ID ]],$Q$3,RawData[Checker ID],$Q$4,RawData[[Error Type ]],$Q$5))</f>
        <v/>
      </c>
    </row>
    <row r="16413" spans="15:15" x14ac:dyDescent="0.25">
      <c r="O16413" s="20" t="str">
        <f>IF(N16413="","",COUNTIFS(RawData[[Date ]],N16413,RawData[Month List],$Q$6,RawData[Tour/Site],$Q$2,RawData[[Picker ID ]],$Q$3,RawData[Checker ID],$Q$4,RawData[[Error Type ]],$Q$5))</f>
        <v/>
      </c>
    </row>
    <row r="16414" spans="15:15" x14ac:dyDescent="0.25">
      <c r="O16414" s="20" t="str">
        <f>IF(N16414="","",COUNTIFS(RawData[[Date ]],N16414,RawData[Month List],$Q$6,RawData[Tour/Site],$Q$2,RawData[[Picker ID ]],$Q$3,RawData[Checker ID],$Q$4,RawData[[Error Type ]],$Q$5))</f>
        <v/>
      </c>
    </row>
    <row r="16415" spans="15:15" x14ac:dyDescent="0.25">
      <c r="O16415" s="20" t="str">
        <f>IF(N16415="","",COUNTIFS(RawData[[Date ]],N16415,RawData[Month List],$Q$6,RawData[Tour/Site],$Q$2,RawData[[Picker ID ]],$Q$3,RawData[Checker ID],$Q$4,RawData[[Error Type ]],$Q$5))</f>
        <v/>
      </c>
    </row>
    <row r="16416" spans="15:15" x14ac:dyDescent="0.25">
      <c r="O16416" s="20" t="str">
        <f>IF(N16416="","",COUNTIFS(RawData[[Date ]],N16416,RawData[Month List],$Q$6,RawData[Tour/Site],$Q$2,RawData[[Picker ID ]],$Q$3,RawData[Checker ID],$Q$4,RawData[[Error Type ]],$Q$5))</f>
        <v/>
      </c>
    </row>
    <row r="16417" spans="15:15" x14ac:dyDescent="0.25">
      <c r="O16417" s="20" t="str">
        <f>IF(N16417="","",COUNTIFS(RawData[[Date ]],N16417,RawData[Month List],$Q$6,RawData[Tour/Site],$Q$2,RawData[[Picker ID ]],$Q$3,RawData[Checker ID],$Q$4,RawData[[Error Type ]],$Q$5))</f>
        <v/>
      </c>
    </row>
    <row r="16418" spans="15:15" x14ac:dyDescent="0.25">
      <c r="O16418" s="20" t="str">
        <f>IF(N16418="","",COUNTIFS(RawData[[Date ]],N16418,RawData[Month List],$Q$6,RawData[Tour/Site],$Q$2,RawData[[Picker ID ]],$Q$3,RawData[Checker ID],$Q$4,RawData[[Error Type ]],$Q$5))</f>
        <v/>
      </c>
    </row>
    <row r="16419" spans="15:15" x14ac:dyDescent="0.25">
      <c r="O16419" s="20" t="str">
        <f>IF(N16419="","",COUNTIFS(RawData[[Date ]],N16419,RawData[Month List],$Q$6,RawData[Tour/Site],$Q$2,RawData[[Picker ID ]],$Q$3,RawData[Checker ID],$Q$4,RawData[[Error Type ]],$Q$5))</f>
        <v/>
      </c>
    </row>
    <row r="16420" spans="15:15" x14ac:dyDescent="0.25">
      <c r="O16420" s="20" t="str">
        <f>IF(N16420="","",COUNTIFS(RawData[[Date ]],N16420,RawData[Month List],$Q$6,RawData[Tour/Site],$Q$2,RawData[[Picker ID ]],$Q$3,RawData[Checker ID],$Q$4,RawData[[Error Type ]],$Q$5))</f>
        <v/>
      </c>
    </row>
    <row r="16421" spans="15:15" x14ac:dyDescent="0.25">
      <c r="O16421" s="20" t="str">
        <f>IF(N16421="","",COUNTIFS(RawData[[Date ]],N16421,RawData[Month List],$Q$6,RawData[Tour/Site],$Q$2,RawData[[Picker ID ]],$Q$3,RawData[Checker ID],$Q$4,RawData[[Error Type ]],$Q$5))</f>
        <v/>
      </c>
    </row>
    <row r="16422" spans="15:15" x14ac:dyDescent="0.25">
      <c r="O16422" s="20" t="str">
        <f>IF(N16422="","",COUNTIFS(RawData[[Date ]],N16422,RawData[Month List],$Q$6,RawData[Tour/Site],$Q$2,RawData[[Picker ID ]],$Q$3,RawData[Checker ID],$Q$4,RawData[[Error Type ]],$Q$5))</f>
        <v/>
      </c>
    </row>
    <row r="16423" spans="15:15" x14ac:dyDescent="0.25">
      <c r="O16423" s="20" t="str">
        <f>IF(N16423="","",COUNTIFS(RawData[[Date ]],N16423,RawData[Month List],$Q$6,RawData[Tour/Site],$Q$2,RawData[[Picker ID ]],$Q$3,RawData[Checker ID],$Q$4,RawData[[Error Type ]],$Q$5))</f>
        <v/>
      </c>
    </row>
    <row r="16424" spans="15:15" x14ac:dyDescent="0.25">
      <c r="O16424" s="20" t="str">
        <f>IF(N16424="","",COUNTIFS(RawData[[Date ]],N16424,RawData[Month List],$Q$6,RawData[Tour/Site],$Q$2,RawData[[Picker ID ]],$Q$3,RawData[Checker ID],$Q$4,RawData[[Error Type ]],$Q$5))</f>
        <v/>
      </c>
    </row>
    <row r="16425" spans="15:15" x14ac:dyDescent="0.25">
      <c r="O16425" s="20" t="str">
        <f>IF(N16425="","",COUNTIFS(RawData[[Date ]],N16425,RawData[Month List],$Q$6,RawData[Tour/Site],$Q$2,RawData[[Picker ID ]],$Q$3,RawData[Checker ID],$Q$4,RawData[[Error Type ]],$Q$5))</f>
        <v/>
      </c>
    </row>
    <row r="16426" spans="15:15" x14ac:dyDescent="0.25">
      <c r="O16426" s="20" t="str">
        <f>IF(N16426="","",COUNTIFS(RawData[[Date ]],N16426,RawData[Month List],$Q$6,RawData[Tour/Site],$Q$2,RawData[[Picker ID ]],$Q$3,RawData[Checker ID],$Q$4,RawData[[Error Type ]],$Q$5))</f>
        <v/>
      </c>
    </row>
    <row r="16427" spans="15:15" x14ac:dyDescent="0.25">
      <c r="O16427" s="20" t="str">
        <f>IF(N16427="","",COUNTIFS(RawData[[Date ]],N16427,RawData[Month List],$Q$6,RawData[Tour/Site],$Q$2,RawData[[Picker ID ]],$Q$3,RawData[Checker ID],$Q$4,RawData[[Error Type ]],$Q$5))</f>
        <v/>
      </c>
    </row>
    <row r="16428" spans="15:15" x14ac:dyDescent="0.25">
      <c r="O16428" s="20" t="str">
        <f>IF(N16428="","",COUNTIFS(RawData[[Date ]],N16428,RawData[Month List],$Q$6,RawData[Tour/Site],$Q$2,RawData[[Picker ID ]],$Q$3,RawData[Checker ID],$Q$4,RawData[[Error Type ]],$Q$5))</f>
        <v/>
      </c>
    </row>
    <row r="16429" spans="15:15" x14ac:dyDescent="0.25">
      <c r="O16429" s="20" t="str">
        <f>IF(N16429="","",COUNTIFS(RawData[[Date ]],N16429,RawData[Month List],$Q$6,RawData[Tour/Site],$Q$2,RawData[[Picker ID ]],$Q$3,RawData[Checker ID],$Q$4,RawData[[Error Type ]],$Q$5))</f>
        <v/>
      </c>
    </row>
    <row r="16430" spans="15:15" x14ac:dyDescent="0.25">
      <c r="O16430" s="20" t="str">
        <f>IF(N16430="","",COUNTIFS(RawData[[Date ]],N16430,RawData[Month List],$Q$6,RawData[Tour/Site],$Q$2,RawData[[Picker ID ]],$Q$3,RawData[Checker ID],$Q$4,RawData[[Error Type ]],$Q$5))</f>
        <v/>
      </c>
    </row>
    <row r="16431" spans="15:15" x14ac:dyDescent="0.25">
      <c r="O16431" s="20" t="str">
        <f>IF(N16431="","",COUNTIFS(RawData[[Date ]],N16431,RawData[Month List],$Q$6,RawData[Tour/Site],$Q$2,RawData[[Picker ID ]],$Q$3,RawData[Checker ID],$Q$4,RawData[[Error Type ]],$Q$5))</f>
        <v/>
      </c>
    </row>
    <row r="16432" spans="15:15" x14ac:dyDescent="0.25">
      <c r="O16432" s="20" t="str">
        <f>IF(N16432="","",COUNTIFS(RawData[[Date ]],N16432,RawData[Month List],$Q$6,RawData[Tour/Site],$Q$2,RawData[[Picker ID ]],$Q$3,RawData[Checker ID],$Q$4,RawData[[Error Type ]],$Q$5))</f>
        <v/>
      </c>
    </row>
    <row r="16433" spans="15:15" x14ac:dyDescent="0.25">
      <c r="O16433" s="20" t="str">
        <f>IF(N16433="","",COUNTIFS(RawData[[Date ]],N16433,RawData[Month List],$Q$6,RawData[Tour/Site],$Q$2,RawData[[Picker ID ]],$Q$3,RawData[Checker ID],$Q$4,RawData[[Error Type ]],$Q$5))</f>
        <v/>
      </c>
    </row>
    <row r="16434" spans="15:15" x14ac:dyDescent="0.25">
      <c r="O16434" s="20" t="str">
        <f>IF(N16434="","",COUNTIFS(RawData[[Date ]],N16434,RawData[Month List],$Q$6,RawData[Tour/Site],$Q$2,RawData[[Picker ID ]],$Q$3,RawData[Checker ID],$Q$4,RawData[[Error Type ]],$Q$5))</f>
        <v/>
      </c>
    </row>
    <row r="16435" spans="15:15" x14ac:dyDescent="0.25">
      <c r="O16435" s="20" t="str">
        <f>IF(N16435="","",COUNTIFS(RawData[[Date ]],N16435,RawData[Month List],$Q$6,RawData[Tour/Site],$Q$2,RawData[[Picker ID ]],$Q$3,RawData[Checker ID],$Q$4,RawData[[Error Type ]],$Q$5))</f>
        <v/>
      </c>
    </row>
    <row r="16436" spans="15:15" x14ac:dyDescent="0.25">
      <c r="O16436" s="20" t="str">
        <f>IF(N16436="","",COUNTIFS(RawData[[Date ]],N16436,RawData[Month List],$Q$6,RawData[Tour/Site],$Q$2,RawData[[Picker ID ]],$Q$3,RawData[Checker ID],$Q$4,RawData[[Error Type ]],$Q$5))</f>
        <v/>
      </c>
    </row>
    <row r="16437" spans="15:15" x14ac:dyDescent="0.25">
      <c r="O16437" s="20" t="str">
        <f>IF(N16437="","",COUNTIFS(RawData[[Date ]],N16437,RawData[Month List],$Q$6,RawData[Tour/Site],$Q$2,RawData[[Picker ID ]],$Q$3,RawData[Checker ID],$Q$4,RawData[[Error Type ]],$Q$5))</f>
        <v/>
      </c>
    </row>
    <row r="16438" spans="15:15" x14ac:dyDescent="0.25">
      <c r="O16438" s="20" t="str">
        <f>IF(N16438="","",COUNTIFS(RawData[[Date ]],N16438,RawData[Month List],$Q$6,RawData[Tour/Site],$Q$2,RawData[[Picker ID ]],$Q$3,RawData[Checker ID],$Q$4,RawData[[Error Type ]],$Q$5))</f>
        <v/>
      </c>
    </row>
    <row r="16439" spans="15:15" x14ac:dyDescent="0.25">
      <c r="O16439" s="20" t="str">
        <f>IF(N16439="","",COUNTIFS(RawData[[Date ]],N16439,RawData[Month List],$Q$6,RawData[Tour/Site],$Q$2,RawData[[Picker ID ]],$Q$3,RawData[Checker ID],$Q$4,RawData[[Error Type ]],$Q$5))</f>
        <v/>
      </c>
    </row>
    <row r="16440" spans="15:15" x14ac:dyDescent="0.25">
      <c r="O16440" s="20" t="str">
        <f>IF(N16440="","",COUNTIFS(RawData[[Date ]],N16440,RawData[Month List],$Q$6,RawData[Tour/Site],$Q$2,RawData[[Picker ID ]],$Q$3,RawData[Checker ID],$Q$4,RawData[[Error Type ]],$Q$5))</f>
        <v/>
      </c>
    </row>
    <row r="16441" spans="15:15" x14ac:dyDescent="0.25">
      <c r="O16441" s="20" t="str">
        <f>IF(N16441="","",COUNTIFS(RawData[[Date ]],N16441,RawData[Month List],$Q$6,RawData[Tour/Site],$Q$2,RawData[[Picker ID ]],$Q$3,RawData[Checker ID],$Q$4,RawData[[Error Type ]],$Q$5))</f>
        <v/>
      </c>
    </row>
    <row r="16442" spans="15:15" x14ac:dyDescent="0.25">
      <c r="O16442" s="20" t="str">
        <f>IF(N16442="","",COUNTIFS(RawData[[Date ]],N16442,RawData[Month List],$Q$6,RawData[Tour/Site],$Q$2,RawData[[Picker ID ]],$Q$3,RawData[Checker ID],$Q$4,RawData[[Error Type ]],$Q$5))</f>
        <v/>
      </c>
    </row>
    <row r="16443" spans="15:15" x14ac:dyDescent="0.25">
      <c r="O16443" s="20" t="str">
        <f>IF(N16443="","",COUNTIFS(RawData[[Date ]],N16443,RawData[Month List],$Q$6,RawData[Tour/Site],$Q$2,RawData[[Picker ID ]],$Q$3,RawData[Checker ID],$Q$4,RawData[[Error Type ]],$Q$5))</f>
        <v/>
      </c>
    </row>
    <row r="16444" spans="15:15" x14ac:dyDescent="0.25">
      <c r="O16444" s="20" t="str">
        <f>IF(N16444="","",COUNTIFS(RawData[[Date ]],N16444,RawData[Month List],$Q$6,RawData[Tour/Site],$Q$2,RawData[[Picker ID ]],$Q$3,RawData[Checker ID],$Q$4,RawData[[Error Type ]],$Q$5))</f>
        <v/>
      </c>
    </row>
    <row r="16445" spans="15:15" x14ac:dyDescent="0.25">
      <c r="O16445" s="20" t="str">
        <f>IF(N16445="","",COUNTIFS(RawData[[Date ]],N16445,RawData[Month List],$Q$6,RawData[Tour/Site],$Q$2,RawData[[Picker ID ]],$Q$3,RawData[Checker ID],$Q$4,RawData[[Error Type ]],$Q$5))</f>
        <v/>
      </c>
    </row>
    <row r="16446" spans="15:15" x14ac:dyDescent="0.25">
      <c r="O16446" s="20" t="str">
        <f>IF(N16446="","",COUNTIFS(RawData[[Date ]],N16446,RawData[Month List],$Q$6,RawData[Tour/Site],$Q$2,RawData[[Picker ID ]],$Q$3,RawData[Checker ID],$Q$4,RawData[[Error Type ]],$Q$5))</f>
        <v/>
      </c>
    </row>
    <row r="16447" spans="15:15" x14ac:dyDescent="0.25">
      <c r="O16447" s="20" t="str">
        <f>IF(N16447="","",COUNTIFS(RawData[[Date ]],N16447,RawData[Month List],$Q$6,RawData[Tour/Site],$Q$2,RawData[[Picker ID ]],$Q$3,RawData[Checker ID],$Q$4,RawData[[Error Type ]],$Q$5))</f>
        <v/>
      </c>
    </row>
    <row r="16448" spans="15:15" x14ac:dyDescent="0.25">
      <c r="O16448" s="20" t="str">
        <f>IF(N16448="","",COUNTIFS(RawData[[Date ]],N16448,RawData[Month List],$Q$6,RawData[Tour/Site],$Q$2,RawData[[Picker ID ]],$Q$3,RawData[Checker ID],$Q$4,RawData[[Error Type ]],$Q$5))</f>
        <v/>
      </c>
    </row>
    <row r="16449" spans="15:15" x14ac:dyDescent="0.25">
      <c r="O16449" s="20" t="str">
        <f>IF(N16449="","",COUNTIFS(RawData[[Date ]],N16449,RawData[Month List],$Q$6,RawData[Tour/Site],$Q$2,RawData[[Picker ID ]],$Q$3,RawData[Checker ID],$Q$4,RawData[[Error Type ]],$Q$5))</f>
        <v/>
      </c>
    </row>
    <row r="16450" spans="15:15" x14ac:dyDescent="0.25">
      <c r="O16450" s="20" t="str">
        <f>IF(N16450="","",COUNTIFS(RawData[[Date ]],N16450,RawData[Month List],$Q$6,RawData[Tour/Site],$Q$2,RawData[[Picker ID ]],$Q$3,RawData[Checker ID],$Q$4,RawData[[Error Type ]],$Q$5))</f>
        <v/>
      </c>
    </row>
    <row r="16451" spans="15:15" x14ac:dyDescent="0.25">
      <c r="O16451" s="20" t="str">
        <f>IF(N16451="","",COUNTIFS(RawData[[Date ]],N16451,RawData[Month List],$Q$6,RawData[Tour/Site],$Q$2,RawData[[Picker ID ]],$Q$3,RawData[Checker ID],$Q$4,RawData[[Error Type ]],$Q$5))</f>
        <v/>
      </c>
    </row>
    <row r="16452" spans="15:15" x14ac:dyDescent="0.25">
      <c r="O16452" s="20" t="str">
        <f>IF(N16452="","",COUNTIFS(RawData[[Date ]],N16452,RawData[Month List],$Q$6,RawData[Tour/Site],$Q$2,RawData[[Picker ID ]],$Q$3,RawData[Checker ID],$Q$4,RawData[[Error Type ]],$Q$5))</f>
        <v/>
      </c>
    </row>
    <row r="16453" spans="15:15" x14ac:dyDescent="0.25">
      <c r="O16453" s="20" t="str">
        <f>IF(N16453="","",COUNTIFS(RawData[[Date ]],N16453,RawData[Month List],$Q$6,RawData[Tour/Site],$Q$2,RawData[[Picker ID ]],$Q$3,RawData[Checker ID],$Q$4,RawData[[Error Type ]],$Q$5))</f>
        <v/>
      </c>
    </row>
    <row r="16454" spans="15:15" x14ac:dyDescent="0.25">
      <c r="O16454" s="20" t="str">
        <f>IF(N16454="","",COUNTIFS(RawData[[Date ]],N16454,RawData[Month List],$Q$6,RawData[Tour/Site],$Q$2,RawData[[Picker ID ]],$Q$3,RawData[Checker ID],$Q$4,RawData[[Error Type ]],$Q$5))</f>
        <v/>
      </c>
    </row>
    <row r="16455" spans="15:15" x14ac:dyDescent="0.25">
      <c r="O16455" s="20" t="str">
        <f>IF(N16455="","",COUNTIFS(RawData[[Date ]],N16455,RawData[Month List],$Q$6,RawData[Tour/Site],$Q$2,RawData[[Picker ID ]],$Q$3,RawData[Checker ID],$Q$4,RawData[[Error Type ]],$Q$5))</f>
        <v/>
      </c>
    </row>
    <row r="16456" spans="15:15" x14ac:dyDescent="0.25">
      <c r="O16456" s="20" t="str">
        <f>IF(N16456="","",COUNTIFS(RawData[[Date ]],N16456,RawData[Month List],$Q$6,RawData[Tour/Site],$Q$2,RawData[[Picker ID ]],$Q$3,RawData[Checker ID],$Q$4,RawData[[Error Type ]],$Q$5))</f>
        <v/>
      </c>
    </row>
    <row r="16457" spans="15:15" x14ac:dyDescent="0.25">
      <c r="O16457" s="20" t="str">
        <f>IF(N16457="","",COUNTIFS(RawData[[Date ]],N16457,RawData[Month List],$Q$6,RawData[Tour/Site],$Q$2,RawData[[Picker ID ]],$Q$3,RawData[Checker ID],$Q$4,RawData[[Error Type ]],$Q$5))</f>
        <v/>
      </c>
    </row>
    <row r="16458" spans="15:15" x14ac:dyDescent="0.25">
      <c r="O16458" s="20" t="str">
        <f>IF(N16458="","",COUNTIFS(RawData[[Date ]],N16458,RawData[Month List],$Q$6,RawData[Tour/Site],$Q$2,RawData[[Picker ID ]],$Q$3,RawData[Checker ID],$Q$4,RawData[[Error Type ]],$Q$5))</f>
        <v/>
      </c>
    </row>
    <row r="16459" spans="15:15" x14ac:dyDescent="0.25">
      <c r="O16459" s="20" t="str">
        <f>IF(N16459="","",COUNTIFS(RawData[[Date ]],N16459,RawData[Month List],$Q$6,RawData[Tour/Site],$Q$2,RawData[[Picker ID ]],$Q$3,RawData[Checker ID],$Q$4,RawData[[Error Type ]],$Q$5))</f>
        <v/>
      </c>
    </row>
    <row r="16460" spans="15:15" x14ac:dyDescent="0.25">
      <c r="O16460" s="20" t="str">
        <f>IF(N16460="","",COUNTIFS(RawData[[Date ]],N16460,RawData[Month List],$Q$6,RawData[Tour/Site],$Q$2,RawData[[Picker ID ]],$Q$3,RawData[Checker ID],$Q$4,RawData[[Error Type ]],$Q$5))</f>
        <v/>
      </c>
    </row>
    <row r="16461" spans="15:15" x14ac:dyDescent="0.25">
      <c r="O16461" s="20" t="str">
        <f>IF(N16461="","",COUNTIFS(RawData[[Date ]],N16461,RawData[Month List],$Q$6,RawData[Tour/Site],$Q$2,RawData[[Picker ID ]],$Q$3,RawData[Checker ID],$Q$4,RawData[[Error Type ]],$Q$5))</f>
        <v/>
      </c>
    </row>
    <row r="16462" spans="15:15" x14ac:dyDescent="0.25">
      <c r="O16462" s="20" t="str">
        <f>IF(N16462="","",COUNTIFS(RawData[[Date ]],N16462,RawData[Month List],$Q$6,RawData[Tour/Site],$Q$2,RawData[[Picker ID ]],$Q$3,RawData[Checker ID],$Q$4,RawData[[Error Type ]],$Q$5))</f>
        <v/>
      </c>
    </row>
    <row r="16463" spans="15:15" x14ac:dyDescent="0.25">
      <c r="O16463" s="20" t="str">
        <f>IF(N16463="","",COUNTIFS(RawData[[Date ]],N16463,RawData[Month List],$Q$6,RawData[Tour/Site],$Q$2,RawData[[Picker ID ]],$Q$3,RawData[Checker ID],$Q$4,RawData[[Error Type ]],$Q$5))</f>
        <v/>
      </c>
    </row>
    <row r="16464" spans="15:15" x14ac:dyDescent="0.25">
      <c r="O16464" s="20" t="str">
        <f>IF(N16464="","",COUNTIFS(RawData[[Date ]],N16464,RawData[Month List],$Q$6,RawData[Tour/Site],$Q$2,RawData[[Picker ID ]],$Q$3,RawData[Checker ID],$Q$4,RawData[[Error Type ]],$Q$5))</f>
        <v/>
      </c>
    </row>
    <row r="16465" spans="15:15" x14ac:dyDescent="0.25">
      <c r="O16465" s="20" t="str">
        <f>IF(N16465="","",COUNTIFS(RawData[[Date ]],N16465,RawData[Month List],$Q$6,RawData[Tour/Site],$Q$2,RawData[[Picker ID ]],$Q$3,RawData[Checker ID],$Q$4,RawData[[Error Type ]],$Q$5))</f>
        <v/>
      </c>
    </row>
    <row r="16466" spans="15:15" x14ac:dyDescent="0.25">
      <c r="O16466" s="20" t="str">
        <f>IF(N16466="","",COUNTIFS(RawData[[Date ]],N16466,RawData[Month List],$Q$6,RawData[Tour/Site],$Q$2,RawData[[Picker ID ]],$Q$3,RawData[Checker ID],$Q$4,RawData[[Error Type ]],$Q$5))</f>
        <v/>
      </c>
    </row>
    <row r="16467" spans="15:15" x14ac:dyDescent="0.25">
      <c r="O16467" s="20" t="str">
        <f>IF(N16467="","",COUNTIFS(RawData[[Date ]],N16467,RawData[Month List],$Q$6,RawData[Tour/Site],$Q$2,RawData[[Picker ID ]],$Q$3,RawData[Checker ID],$Q$4,RawData[[Error Type ]],$Q$5))</f>
        <v/>
      </c>
    </row>
    <row r="16468" spans="15:15" x14ac:dyDescent="0.25">
      <c r="O16468" s="20" t="str">
        <f>IF(N16468="","",COUNTIFS(RawData[[Date ]],N16468,RawData[Month List],$Q$6,RawData[Tour/Site],$Q$2,RawData[[Picker ID ]],$Q$3,RawData[Checker ID],$Q$4,RawData[[Error Type ]],$Q$5))</f>
        <v/>
      </c>
    </row>
    <row r="16469" spans="15:15" x14ac:dyDescent="0.25">
      <c r="O16469" s="20" t="str">
        <f>IF(N16469="","",COUNTIFS(RawData[[Date ]],N16469,RawData[Month List],$Q$6,RawData[Tour/Site],$Q$2,RawData[[Picker ID ]],$Q$3,RawData[Checker ID],$Q$4,RawData[[Error Type ]],$Q$5))</f>
        <v/>
      </c>
    </row>
    <row r="16470" spans="15:15" x14ac:dyDescent="0.25">
      <c r="O16470" s="20" t="str">
        <f>IF(N16470="","",COUNTIFS(RawData[[Date ]],N16470,RawData[Month List],$Q$6,RawData[Tour/Site],$Q$2,RawData[[Picker ID ]],$Q$3,RawData[Checker ID],$Q$4,RawData[[Error Type ]],$Q$5))</f>
        <v/>
      </c>
    </row>
    <row r="16471" spans="15:15" x14ac:dyDescent="0.25">
      <c r="O16471" s="20" t="str">
        <f>IF(N16471="","",COUNTIFS(RawData[[Date ]],N16471,RawData[Month List],$Q$6,RawData[Tour/Site],$Q$2,RawData[[Picker ID ]],$Q$3,RawData[Checker ID],$Q$4,RawData[[Error Type ]],$Q$5))</f>
        <v/>
      </c>
    </row>
    <row r="16472" spans="15:15" x14ac:dyDescent="0.25">
      <c r="O16472" s="20" t="str">
        <f>IF(N16472="","",COUNTIFS(RawData[[Date ]],N16472,RawData[Month List],$Q$6,RawData[Tour/Site],$Q$2,RawData[[Picker ID ]],$Q$3,RawData[Checker ID],$Q$4,RawData[[Error Type ]],$Q$5))</f>
        <v/>
      </c>
    </row>
    <row r="16473" spans="15:15" x14ac:dyDescent="0.25">
      <c r="O16473" s="20" t="str">
        <f>IF(N16473="","",COUNTIFS(RawData[[Date ]],N16473,RawData[Month List],$Q$6,RawData[Tour/Site],$Q$2,RawData[[Picker ID ]],$Q$3,RawData[Checker ID],$Q$4,RawData[[Error Type ]],$Q$5))</f>
        <v/>
      </c>
    </row>
    <row r="16474" spans="15:15" x14ac:dyDescent="0.25">
      <c r="O16474" s="20" t="str">
        <f>IF(N16474="","",COUNTIFS(RawData[[Date ]],N16474,RawData[Month List],$Q$6,RawData[Tour/Site],$Q$2,RawData[[Picker ID ]],$Q$3,RawData[Checker ID],$Q$4,RawData[[Error Type ]],$Q$5))</f>
        <v/>
      </c>
    </row>
    <row r="16475" spans="15:15" x14ac:dyDescent="0.25">
      <c r="O16475" s="20" t="str">
        <f>IF(N16475="","",COUNTIFS(RawData[[Date ]],N16475,RawData[Month List],$Q$6,RawData[Tour/Site],$Q$2,RawData[[Picker ID ]],$Q$3,RawData[Checker ID],$Q$4,RawData[[Error Type ]],$Q$5))</f>
        <v/>
      </c>
    </row>
    <row r="16476" spans="15:15" x14ac:dyDescent="0.25">
      <c r="O16476" s="20" t="str">
        <f>IF(N16476="","",COUNTIFS(RawData[[Date ]],N16476,RawData[Month List],$Q$6,RawData[Tour/Site],$Q$2,RawData[[Picker ID ]],$Q$3,RawData[Checker ID],$Q$4,RawData[[Error Type ]],$Q$5))</f>
        <v/>
      </c>
    </row>
    <row r="16477" spans="15:15" x14ac:dyDescent="0.25">
      <c r="O16477" s="20" t="str">
        <f>IF(N16477="","",COUNTIFS(RawData[[Date ]],N16477,RawData[Month List],$Q$6,RawData[Tour/Site],$Q$2,RawData[[Picker ID ]],$Q$3,RawData[Checker ID],$Q$4,RawData[[Error Type ]],$Q$5))</f>
        <v/>
      </c>
    </row>
    <row r="16478" spans="15:15" x14ac:dyDescent="0.25">
      <c r="O16478" s="20" t="str">
        <f>IF(N16478="","",COUNTIFS(RawData[[Date ]],N16478,RawData[Month List],$Q$6,RawData[Tour/Site],$Q$2,RawData[[Picker ID ]],$Q$3,RawData[Checker ID],$Q$4,RawData[[Error Type ]],$Q$5))</f>
        <v/>
      </c>
    </row>
    <row r="16479" spans="15:15" x14ac:dyDescent="0.25">
      <c r="O16479" s="20" t="str">
        <f>IF(N16479="","",COUNTIFS(RawData[[Date ]],N16479,RawData[Month List],$Q$6,RawData[Tour/Site],$Q$2,RawData[[Picker ID ]],$Q$3,RawData[Checker ID],$Q$4,RawData[[Error Type ]],$Q$5))</f>
        <v/>
      </c>
    </row>
    <row r="16480" spans="15:15" x14ac:dyDescent="0.25">
      <c r="O16480" s="20" t="str">
        <f>IF(N16480="","",COUNTIFS(RawData[[Date ]],N16480,RawData[Month List],$Q$6,RawData[Tour/Site],$Q$2,RawData[[Picker ID ]],$Q$3,RawData[Checker ID],$Q$4,RawData[[Error Type ]],$Q$5))</f>
        <v/>
      </c>
    </row>
    <row r="16481" spans="15:15" x14ac:dyDescent="0.25">
      <c r="O16481" s="20" t="str">
        <f>IF(N16481="","",COUNTIFS(RawData[[Date ]],N16481,RawData[Month List],$Q$6,RawData[Tour/Site],$Q$2,RawData[[Picker ID ]],$Q$3,RawData[Checker ID],$Q$4,RawData[[Error Type ]],$Q$5))</f>
        <v/>
      </c>
    </row>
    <row r="16482" spans="15:15" x14ac:dyDescent="0.25">
      <c r="O16482" s="20" t="str">
        <f>IF(N16482="","",COUNTIFS(RawData[[Date ]],N16482,RawData[Month List],$Q$6,RawData[Tour/Site],$Q$2,RawData[[Picker ID ]],$Q$3,RawData[Checker ID],$Q$4,RawData[[Error Type ]],$Q$5))</f>
        <v/>
      </c>
    </row>
    <row r="16483" spans="15:15" x14ac:dyDescent="0.25">
      <c r="O16483" s="20" t="str">
        <f>IF(N16483="","",COUNTIFS(RawData[[Date ]],N16483,RawData[Month List],$Q$6,RawData[Tour/Site],$Q$2,RawData[[Picker ID ]],$Q$3,RawData[Checker ID],$Q$4,RawData[[Error Type ]],$Q$5))</f>
        <v/>
      </c>
    </row>
    <row r="16484" spans="15:15" x14ac:dyDescent="0.25">
      <c r="O16484" s="20" t="str">
        <f>IF(N16484="","",COUNTIFS(RawData[[Date ]],N16484,RawData[Month List],$Q$6,RawData[Tour/Site],$Q$2,RawData[[Picker ID ]],$Q$3,RawData[Checker ID],$Q$4,RawData[[Error Type ]],$Q$5))</f>
        <v/>
      </c>
    </row>
    <row r="16485" spans="15:15" x14ac:dyDescent="0.25">
      <c r="O16485" s="20" t="str">
        <f>IF(N16485="","",COUNTIFS(RawData[[Date ]],N16485,RawData[Month List],$Q$6,RawData[Tour/Site],$Q$2,RawData[[Picker ID ]],$Q$3,RawData[Checker ID],$Q$4,RawData[[Error Type ]],$Q$5))</f>
        <v/>
      </c>
    </row>
    <row r="16486" spans="15:15" x14ac:dyDescent="0.25">
      <c r="O16486" s="20" t="str">
        <f>IF(N16486="","",COUNTIFS(RawData[[Date ]],N16486,RawData[Month List],$Q$6,RawData[Tour/Site],$Q$2,RawData[[Picker ID ]],$Q$3,RawData[Checker ID],$Q$4,RawData[[Error Type ]],$Q$5))</f>
        <v/>
      </c>
    </row>
    <row r="16487" spans="15:15" x14ac:dyDescent="0.25">
      <c r="O16487" s="20" t="str">
        <f>IF(N16487="","",COUNTIFS(RawData[[Date ]],N16487,RawData[Month List],$Q$6,RawData[Tour/Site],$Q$2,RawData[[Picker ID ]],$Q$3,RawData[Checker ID],$Q$4,RawData[[Error Type ]],$Q$5))</f>
        <v/>
      </c>
    </row>
    <row r="16488" spans="15:15" x14ac:dyDescent="0.25">
      <c r="O16488" s="20" t="str">
        <f>IF(N16488="","",COUNTIFS(RawData[[Date ]],N16488,RawData[Month List],$Q$6,RawData[Tour/Site],$Q$2,RawData[[Picker ID ]],$Q$3,RawData[Checker ID],$Q$4,RawData[[Error Type ]],$Q$5))</f>
        <v/>
      </c>
    </row>
    <row r="16489" spans="15:15" x14ac:dyDescent="0.25">
      <c r="O16489" s="20" t="str">
        <f>IF(N16489="","",COUNTIFS(RawData[[Date ]],N16489,RawData[Month List],$Q$6,RawData[Tour/Site],$Q$2,RawData[[Picker ID ]],$Q$3,RawData[Checker ID],$Q$4,RawData[[Error Type ]],$Q$5))</f>
        <v/>
      </c>
    </row>
    <row r="16490" spans="15:15" x14ac:dyDescent="0.25">
      <c r="O16490" s="20" t="str">
        <f>IF(N16490="","",COUNTIFS(RawData[[Date ]],N16490,RawData[Month List],$Q$6,RawData[Tour/Site],$Q$2,RawData[[Picker ID ]],$Q$3,RawData[Checker ID],$Q$4,RawData[[Error Type ]],$Q$5))</f>
        <v/>
      </c>
    </row>
    <row r="16491" spans="15:15" x14ac:dyDescent="0.25">
      <c r="O16491" s="20" t="str">
        <f>IF(N16491="","",COUNTIFS(RawData[[Date ]],N16491,RawData[Month List],$Q$6,RawData[Tour/Site],$Q$2,RawData[[Picker ID ]],$Q$3,RawData[Checker ID],$Q$4,RawData[[Error Type ]],$Q$5))</f>
        <v/>
      </c>
    </row>
    <row r="16492" spans="15:15" x14ac:dyDescent="0.25">
      <c r="O16492" s="20" t="str">
        <f>IF(N16492="","",COUNTIFS(RawData[[Date ]],N16492,RawData[Month List],$Q$6,RawData[Tour/Site],$Q$2,RawData[[Picker ID ]],$Q$3,RawData[Checker ID],$Q$4,RawData[[Error Type ]],$Q$5))</f>
        <v/>
      </c>
    </row>
    <row r="16493" spans="15:15" x14ac:dyDescent="0.25">
      <c r="O16493" s="20" t="str">
        <f>IF(N16493="","",COUNTIFS(RawData[[Date ]],N16493,RawData[Month List],$Q$6,RawData[Tour/Site],$Q$2,RawData[[Picker ID ]],$Q$3,RawData[Checker ID],$Q$4,RawData[[Error Type ]],$Q$5))</f>
        <v/>
      </c>
    </row>
    <row r="16494" spans="15:15" x14ac:dyDescent="0.25">
      <c r="O16494" s="20" t="str">
        <f>IF(N16494="","",COUNTIFS(RawData[[Date ]],N16494,RawData[Month List],$Q$6,RawData[Tour/Site],$Q$2,RawData[[Picker ID ]],$Q$3,RawData[Checker ID],$Q$4,RawData[[Error Type ]],$Q$5))</f>
        <v/>
      </c>
    </row>
    <row r="16495" spans="15:15" x14ac:dyDescent="0.25">
      <c r="O16495" s="20" t="str">
        <f>IF(N16495="","",COUNTIFS(RawData[[Date ]],N16495,RawData[Month List],$Q$6,RawData[Tour/Site],$Q$2,RawData[[Picker ID ]],$Q$3,RawData[Checker ID],$Q$4,RawData[[Error Type ]],$Q$5))</f>
        <v/>
      </c>
    </row>
    <row r="16496" spans="15:15" x14ac:dyDescent="0.25">
      <c r="O16496" s="20" t="str">
        <f>IF(N16496="","",COUNTIFS(RawData[[Date ]],N16496,RawData[Month List],$Q$6,RawData[Tour/Site],$Q$2,RawData[[Picker ID ]],$Q$3,RawData[Checker ID],$Q$4,RawData[[Error Type ]],$Q$5))</f>
        <v/>
      </c>
    </row>
    <row r="16497" spans="15:15" x14ac:dyDescent="0.25">
      <c r="O16497" s="20" t="str">
        <f>IF(N16497="","",COUNTIFS(RawData[[Date ]],N16497,RawData[Month List],$Q$6,RawData[Tour/Site],$Q$2,RawData[[Picker ID ]],$Q$3,RawData[Checker ID],$Q$4,RawData[[Error Type ]],$Q$5))</f>
        <v/>
      </c>
    </row>
    <row r="16498" spans="15:15" x14ac:dyDescent="0.25">
      <c r="O16498" s="20" t="str">
        <f>IF(N16498="","",COUNTIFS(RawData[[Date ]],N16498,RawData[Month List],$Q$6,RawData[Tour/Site],$Q$2,RawData[[Picker ID ]],$Q$3,RawData[Checker ID],$Q$4,RawData[[Error Type ]],$Q$5))</f>
        <v/>
      </c>
    </row>
    <row r="16499" spans="15:15" x14ac:dyDescent="0.25">
      <c r="O16499" s="20" t="str">
        <f>IF(N16499="","",COUNTIFS(RawData[[Date ]],N16499,RawData[Month List],$Q$6,RawData[Tour/Site],$Q$2,RawData[[Picker ID ]],$Q$3,RawData[Checker ID],$Q$4,RawData[[Error Type ]],$Q$5))</f>
        <v/>
      </c>
    </row>
    <row r="16500" spans="15:15" x14ac:dyDescent="0.25">
      <c r="O16500" s="20" t="str">
        <f>IF(N16500="","",COUNTIFS(RawData[[Date ]],N16500,RawData[Month List],$Q$6,RawData[Tour/Site],$Q$2,RawData[[Picker ID ]],$Q$3,RawData[Checker ID],$Q$4,RawData[[Error Type ]],$Q$5))</f>
        <v/>
      </c>
    </row>
    <row r="16501" spans="15:15" x14ac:dyDescent="0.25">
      <c r="O16501" s="20" t="str">
        <f>IF(N16501="","",COUNTIFS(RawData[[Date ]],N16501,RawData[Month List],$Q$6,RawData[Tour/Site],$Q$2,RawData[[Picker ID ]],$Q$3,RawData[Checker ID],$Q$4,RawData[[Error Type ]],$Q$5))</f>
        <v/>
      </c>
    </row>
    <row r="16502" spans="15:15" x14ac:dyDescent="0.25">
      <c r="O16502" s="20" t="str">
        <f>IF(N16502="","",COUNTIFS(RawData[[Date ]],N16502,RawData[Month List],$Q$6,RawData[Tour/Site],$Q$2,RawData[[Picker ID ]],$Q$3,RawData[Checker ID],$Q$4,RawData[[Error Type ]],$Q$5))</f>
        <v/>
      </c>
    </row>
    <row r="16503" spans="15:15" x14ac:dyDescent="0.25">
      <c r="O16503" s="20" t="str">
        <f>IF(N16503="","",COUNTIFS(RawData[[Date ]],N16503,RawData[Month List],$Q$6,RawData[Tour/Site],$Q$2,RawData[[Picker ID ]],$Q$3,RawData[Checker ID],$Q$4,RawData[[Error Type ]],$Q$5))</f>
        <v/>
      </c>
    </row>
    <row r="16504" spans="15:15" x14ac:dyDescent="0.25">
      <c r="O16504" s="20" t="str">
        <f>IF(N16504="","",COUNTIFS(RawData[[Date ]],N16504,RawData[Month List],$Q$6,RawData[Tour/Site],$Q$2,RawData[[Picker ID ]],$Q$3,RawData[Checker ID],$Q$4,RawData[[Error Type ]],$Q$5))</f>
        <v/>
      </c>
    </row>
    <row r="16505" spans="15:15" x14ac:dyDescent="0.25">
      <c r="O16505" s="20" t="str">
        <f>IF(N16505="","",COUNTIFS(RawData[[Date ]],N16505,RawData[Month List],$Q$6,RawData[Tour/Site],$Q$2,RawData[[Picker ID ]],$Q$3,RawData[Checker ID],$Q$4,RawData[[Error Type ]],$Q$5))</f>
        <v/>
      </c>
    </row>
    <row r="16506" spans="15:15" x14ac:dyDescent="0.25">
      <c r="O16506" s="20" t="str">
        <f>IF(N16506="","",COUNTIFS(RawData[[Date ]],N16506,RawData[Month List],$Q$6,RawData[Tour/Site],$Q$2,RawData[[Picker ID ]],$Q$3,RawData[Checker ID],$Q$4,RawData[[Error Type ]],$Q$5))</f>
        <v/>
      </c>
    </row>
    <row r="16507" spans="15:15" x14ac:dyDescent="0.25">
      <c r="O16507" s="20" t="str">
        <f>IF(N16507="","",COUNTIFS(RawData[[Date ]],N16507,RawData[Month List],$Q$6,RawData[Tour/Site],$Q$2,RawData[[Picker ID ]],$Q$3,RawData[Checker ID],$Q$4,RawData[[Error Type ]],$Q$5))</f>
        <v/>
      </c>
    </row>
    <row r="16508" spans="15:15" x14ac:dyDescent="0.25">
      <c r="O16508" s="20" t="str">
        <f>IF(N16508="","",COUNTIFS(RawData[[Date ]],N16508,RawData[Month List],$Q$6,RawData[Tour/Site],$Q$2,RawData[[Picker ID ]],$Q$3,RawData[Checker ID],$Q$4,RawData[[Error Type ]],$Q$5))</f>
        <v/>
      </c>
    </row>
    <row r="16509" spans="15:15" x14ac:dyDescent="0.25">
      <c r="O16509" s="20" t="str">
        <f>IF(N16509="","",COUNTIFS(RawData[[Date ]],N16509,RawData[Month List],$Q$6,RawData[Tour/Site],$Q$2,RawData[[Picker ID ]],$Q$3,RawData[Checker ID],$Q$4,RawData[[Error Type ]],$Q$5))</f>
        <v/>
      </c>
    </row>
    <row r="16510" spans="15:15" x14ac:dyDescent="0.25">
      <c r="O16510" s="20" t="str">
        <f>IF(N16510="","",COUNTIFS(RawData[[Date ]],N16510,RawData[Month List],$Q$6,RawData[Tour/Site],$Q$2,RawData[[Picker ID ]],$Q$3,RawData[Checker ID],$Q$4,RawData[[Error Type ]],$Q$5))</f>
        <v/>
      </c>
    </row>
    <row r="16511" spans="15:15" x14ac:dyDescent="0.25">
      <c r="O16511" s="20" t="str">
        <f>IF(N16511="","",COUNTIFS(RawData[[Date ]],N16511,RawData[Month List],$Q$6,RawData[Tour/Site],$Q$2,RawData[[Picker ID ]],$Q$3,RawData[Checker ID],$Q$4,RawData[[Error Type ]],$Q$5))</f>
        <v/>
      </c>
    </row>
    <row r="16512" spans="15:15" x14ac:dyDescent="0.25">
      <c r="O16512" s="20" t="str">
        <f>IF(N16512="","",COUNTIFS(RawData[[Date ]],N16512,RawData[Month List],$Q$6,RawData[Tour/Site],$Q$2,RawData[[Picker ID ]],$Q$3,RawData[Checker ID],$Q$4,RawData[[Error Type ]],$Q$5))</f>
        <v/>
      </c>
    </row>
    <row r="16513" spans="15:15" x14ac:dyDescent="0.25">
      <c r="O16513" s="20" t="str">
        <f>IF(N16513="","",COUNTIFS(RawData[[Date ]],N16513,RawData[Month List],$Q$6,RawData[Tour/Site],$Q$2,RawData[[Picker ID ]],$Q$3,RawData[Checker ID],$Q$4,RawData[[Error Type ]],$Q$5))</f>
        <v/>
      </c>
    </row>
    <row r="16514" spans="15:15" x14ac:dyDescent="0.25">
      <c r="O16514" s="20" t="str">
        <f>IF(N16514="","",COUNTIFS(RawData[[Date ]],N16514,RawData[Month List],$Q$6,RawData[Tour/Site],$Q$2,RawData[[Picker ID ]],$Q$3,RawData[Checker ID],$Q$4,RawData[[Error Type ]],$Q$5))</f>
        <v/>
      </c>
    </row>
    <row r="16515" spans="15:15" x14ac:dyDescent="0.25">
      <c r="O16515" s="20" t="str">
        <f>IF(N16515="","",COUNTIFS(RawData[[Date ]],N16515,RawData[Month List],$Q$6,RawData[Tour/Site],$Q$2,RawData[[Picker ID ]],$Q$3,RawData[Checker ID],$Q$4,RawData[[Error Type ]],$Q$5))</f>
        <v/>
      </c>
    </row>
    <row r="16516" spans="15:15" x14ac:dyDescent="0.25">
      <c r="O16516" s="20" t="str">
        <f>IF(N16516="","",COUNTIFS(RawData[[Date ]],N16516,RawData[Month List],$Q$6,RawData[Tour/Site],$Q$2,RawData[[Picker ID ]],$Q$3,RawData[Checker ID],$Q$4,RawData[[Error Type ]],$Q$5))</f>
        <v/>
      </c>
    </row>
    <row r="16517" spans="15:15" x14ac:dyDescent="0.25">
      <c r="O16517" s="20" t="str">
        <f>IF(N16517="","",COUNTIFS(RawData[[Date ]],N16517,RawData[Month List],$Q$6,RawData[Tour/Site],$Q$2,RawData[[Picker ID ]],$Q$3,RawData[Checker ID],$Q$4,RawData[[Error Type ]],$Q$5))</f>
        <v/>
      </c>
    </row>
    <row r="16518" spans="15:15" x14ac:dyDescent="0.25">
      <c r="O16518" s="20" t="str">
        <f>IF(N16518="","",COUNTIFS(RawData[[Date ]],N16518,RawData[Month List],$Q$6,RawData[Tour/Site],$Q$2,RawData[[Picker ID ]],$Q$3,RawData[Checker ID],$Q$4,RawData[[Error Type ]],$Q$5))</f>
        <v/>
      </c>
    </row>
    <row r="16519" spans="15:15" x14ac:dyDescent="0.25">
      <c r="O16519" s="20" t="str">
        <f>IF(N16519="","",COUNTIFS(RawData[[Date ]],N16519,RawData[Month List],$Q$6,RawData[Tour/Site],$Q$2,RawData[[Picker ID ]],$Q$3,RawData[Checker ID],$Q$4,RawData[[Error Type ]],$Q$5))</f>
        <v/>
      </c>
    </row>
    <row r="16520" spans="15:15" x14ac:dyDescent="0.25">
      <c r="O16520" s="20" t="str">
        <f>IF(N16520="","",COUNTIFS(RawData[[Date ]],N16520,RawData[Month List],$Q$6,RawData[Tour/Site],$Q$2,RawData[[Picker ID ]],$Q$3,RawData[Checker ID],$Q$4,RawData[[Error Type ]],$Q$5))</f>
        <v/>
      </c>
    </row>
    <row r="16521" spans="15:15" x14ac:dyDescent="0.25">
      <c r="O16521" s="20" t="str">
        <f>IF(N16521="","",COUNTIFS(RawData[[Date ]],N16521,RawData[Month List],$Q$6,RawData[Tour/Site],$Q$2,RawData[[Picker ID ]],$Q$3,RawData[Checker ID],$Q$4,RawData[[Error Type ]],$Q$5))</f>
        <v/>
      </c>
    </row>
    <row r="16522" spans="15:15" x14ac:dyDescent="0.25">
      <c r="O16522" s="20" t="str">
        <f>IF(N16522="","",COUNTIFS(RawData[[Date ]],N16522,RawData[Month List],$Q$6,RawData[Tour/Site],$Q$2,RawData[[Picker ID ]],$Q$3,RawData[Checker ID],$Q$4,RawData[[Error Type ]],$Q$5))</f>
        <v/>
      </c>
    </row>
    <row r="16523" spans="15:15" x14ac:dyDescent="0.25">
      <c r="O16523" s="20" t="str">
        <f>IF(N16523="","",COUNTIFS(RawData[[Date ]],N16523,RawData[Month List],$Q$6,RawData[Tour/Site],$Q$2,RawData[[Picker ID ]],$Q$3,RawData[Checker ID],$Q$4,RawData[[Error Type ]],$Q$5))</f>
        <v/>
      </c>
    </row>
    <row r="16524" spans="15:15" x14ac:dyDescent="0.25">
      <c r="O16524" s="20" t="str">
        <f>IF(N16524="","",COUNTIFS(RawData[[Date ]],N16524,RawData[Month List],$Q$6,RawData[Tour/Site],$Q$2,RawData[[Picker ID ]],$Q$3,RawData[Checker ID],$Q$4,RawData[[Error Type ]],$Q$5))</f>
        <v/>
      </c>
    </row>
    <row r="16525" spans="15:15" x14ac:dyDescent="0.25">
      <c r="O16525" s="20" t="str">
        <f>IF(N16525="","",COUNTIFS(RawData[[Date ]],N16525,RawData[Month List],$Q$6,RawData[Tour/Site],$Q$2,RawData[[Picker ID ]],$Q$3,RawData[Checker ID],$Q$4,RawData[[Error Type ]],$Q$5))</f>
        <v/>
      </c>
    </row>
    <row r="16526" spans="15:15" x14ac:dyDescent="0.25">
      <c r="O16526" s="20" t="str">
        <f>IF(N16526="","",COUNTIFS(RawData[[Date ]],N16526,RawData[Month List],$Q$6,RawData[Tour/Site],$Q$2,RawData[[Picker ID ]],$Q$3,RawData[Checker ID],$Q$4,RawData[[Error Type ]],$Q$5))</f>
        <v/>
      </c>
    </row>
    <row r="16527" spans="15:15" x14ac:dyDescent="0.25">
      <c r="O16527" s="20" t="str">
        <f>IF(N16527="","",COUNTIFS(RawData[[Date ]],N16527,RawData[Month List],$Q$6,RawData[Tour/Site],$Q$2,RawData[[Picker ID ]],$Q$3,RawData[Checker ID],$Q$4,RawData[[Error Type ]],$Q$5))</f>
        <v/>
      </c>
    </row>
    <row r="16528" spans="15:15" x14ac:dyDescent="0.25">
      <c r="O16528" s="20" t="str">
        <f>IF(N16528="","",COUNTIFS(RawData[[Date ]],N16528,RawData[Month List],$Q$6,RawData[Tour/Site],$Q$2,RawData[[Picker ID ]],$Q$3,RawData[Checker ID],$Q$4,RawData[[Error Type ]],$Q$5))</f>
        <v/>
      </c>
    </row>
    <row r="16529" spans="15:15" x14ac:dyDescent="0.25">
      <c r="O16529" s="20" t="str">
        <f>IF(N16529="","",COUNTIFS(RawData[[Date ]],N16529,RawData[Month List],$Q$6,RawData[Tour/Site],$Q$2,RawData[[Picker ID ]],$Q$3,RawData[Checker ID],$Q$4,RawData[[Error Type ]],$Q$5))</f>
        <v/>
      </c>
    </row>
    <row r="16530" spans="15:15" x14ac:dyDescent="0.25">
      <c r="O16530" s="20" t="str">
        <f>IF(N16530="","",COUNTIFS(RawData[[Date ]],N16530,RawData[Month List],$Q$6,RawData[Tour/Site],$Q$2,RawData[[Picker ID ]],$Q$3,RawData[Checker ID],$Q$4,RawData[[Error Type ]],$Q$5))</f>
        <v/>
      </c>
    </row>
    <row r="16531" spans="15:15" x14ac:dyDescent="0.25">
      <c r="O16531" s="20" t="str">
        <f>IF(N16531="","",COUNTIFS(RawData[[Date ]],N16531,RawData[Month List],$Q$6,RawData[Tour/Site],$Q$2,RawData[[Picker ID ]],$Q$3,RawData[Checker ID],$Q$4,RawData[[Error Type ]],$Q$5))</f>
        <v/>
      </c>
    </row>
    <row r="16532" spans="15:15" x14ac:dyDescent="0.25">
      <c r="O16532" s="20" t="str">
        <f>IF(N16532="","",COUNTIFS(RawData[[Date ]],N16532,RawData[Month List],$Q$6,RawData[Tour/Site],$Q$2,RawData[[Picker ID ]],$Q$3,RawData[Checker ID],$Q$4,RawData[[Error Type ]],$Q$5))</f>
        <v/>
      </c>
    </row>
    <row r="16533" spans="15:15" x14ac:dyDescent="0.25">
      <c r="O16533" s="20" t="str">
        <f>IF(N16533="","",COUNTIFS(RawData[[Date ]],N16533,RawData[Month List],$Q$6,RawData[Tour/Site],$Q$2,RawData[[Picker ID ]],$Q$3,RawData[Checker ID],$Q$4,RawData[[Error Type ]],$Q$5))</f>
        <v/>
      </c>
    </row>
    <row r="16534" spans="15:15" x14ac:dyDescent="0.25">
      <c r="O16534" s="20" t="str">
        <f>IF(N16534="","",COUNTIFS(RawData[[Date ]],N16534,RawData[Month List],$Q$6,RawData[Tour/Site],$Q$2,RawData[[Picker ID ]],$Q$3,RawData[Checker ID],$Q$4,RawData[[Error Type ]],$Q$5))</f>
        <v/>
      </c>
    </row>
    <row r="16535" spans="15:15" x14ac:dyDescent="0.25">
      <c r="O16535" s="20" t="str">
        <f>IF(N16535="","",COUNTIFS(RawData[[Date ]],N16535,RawData[Month List],$Q$6,RawData[Tour/Site],$Q$2,RawData[[Picker ID ]],$Q$3,RawData[Checker ID],$Q$4,RawData[[Error Type ]],$Q$5))</f>
        <v/>
      </c>
    </row>
    <row r="16536" spans="15:15" x14ac:dyDescent="0.25">
      <c r="O16536" s="20" t="str">
        <f>IF(N16536="","",COUNTIFS(RawData[[Date ]],N16536,RawData[Month List],$Q$6,RawData[Tour/Site],$Q$2,RawData[[Picker ID ]],$Q$3,RawData[Checker ID],$Q$4,RawData[[Error Type ]],$Q$5))</f>
        <v/>
      </c>
    </row>
    <row r="16537" spans="15:15" x14ac:dyDescent="0.25">
      <c r="O16537" s="20" t="str">
        <f>IF(N16537="","",COUNTIFS(RawData[[Date ]],N16537,RawData[Month List],$Q$6,RawData[Tour/Site],$Q$2,RawData[[Picker ID ]],$Q$3,RawData[Checker ID],$Q$4,RawData[[Error Type ]],$Q$5))</f>
        <v/>
      </c>
    </row>
    <row r="16538" spans="15:15" x14ac:dyDescent="0.25">
      <c r="O16538" s="20" t="str">
        <f>IF(N16538="","",COUNTIFS(RawData[[Date ]],N16538,RawData[Month List],$Q$6,RawData[Tour/Site],$Q$2,RawData[[Picker ID ]],$Q$3,RawData[Checker ID],$Q$4,RawData[[Error Type ]],$Q$5))</f>
        <v/>
      </c>
    </row>
    <row r="16539" spans="15:15" x14ac:dyDescent="0.25">
      <c r="O16539" s="20" t="str">
        <f>IF(N16539="","",COUNTIFS(RawData[[Date ]],N16539,RawData[Month List],$Q$6,RawData[Tour/Site],$Q$2,RawData[[Picker ID ]],$Q$3,RawData[Checker ID],$Q$4,RawData[[Error Type ]],$Q$5))</f>
        <v/>
      </c>
    </row>
    <row r="16540" spans="15:15" x14ac:dyDescent="0.25">
      <c r="O16540" s="20" t="str">
        <f>IF(N16540="","",COUNTIFS(RawData[[Date ]],N16540,RawData[Month List],$Q$6,RawData[Tour/Site],$Q$2,RawData[[Picker ID ]],$Q$3,RawData[Checker ID],$Q$4,RawData[[Error Type ]],$Q$5))</f>
        <v/>
      </c>
    </row>
    <row r="16541" spans="15:15" x14ac:dyDescent="0.25">
      <c r="O16541" s="20" t="str">
        <f>IF(N16541="","",COUNTIFS(RawData[[Date ]],N16541,RawData[Month List],$Q$6,RawData[Tour/Site],$Q$2,RawData[[Picker ID ]],$Q$3,RawData[Checker ID],$Q$4,RawData[[Error Type ]],$Q$5))</f>
        <v/>
      </c>
    </row>
    <row r="16542" spans="15:15" x14ac:dyDescent="0.25">
      <c r="O16542" s="20" t="str">
        <f>IF(N16542="","",COUNTIFS(RawData[[Date ]],N16542,RawData[Month List],$Q$6,RawData[Tour/Site],$Q$2,RawData[[Picker ID ]],$Q$3,RawData[Checker ID],$Q$4,RawData[[Error Type ]],$Q$5))</f>
        <v/>
      </c>
    </row>
    <row r="16543" spans="15:15" x14ac:dyDescent="0.25">
      <c r="O16543" s="20" t="str">
        <f>IF(N16543="","",COUNTIFS(RawData[[Date ]],N16543,RawData[Month List],$Q$6,RawData[Tour/Site],$Q$2,RawData[[Picker ID ]],$Q$3,RawData[Checker ID],$Q$4,RawData[[Error Type ]],$Q$5))</f>
        <v/>
      </c>
    </row>
    <row r="16544" spans="15:15" x14ac:dyDescent="0.25">
      <c r="O16544" s="20" t="str">
        <f>IF(N16544="","",COUNTIFS(RawData[[Date ]],N16544,RawData[Month List],$Q$6,RawData[Tour/Site],$Q$2,RawData[[Picker ID ]],$Q$3,RawData[Checker ID],$Q$4,RawData[[Error Type ]],$Q$5))</f>
        <v/>
      </c>
    </row>
    <row r="16545" spans="15:15" x14ac:dyDescent="0.25">
      <c r="O16545" s="20" t="str">
        <f>IF(N16545="","",COUNTIFS(RawData[[Date ]],N16545,RawData[Month List],$Q$6,RawData[Tour/Site],$Q$2,RawData[[Picker ID ]],$Q$3,RawData[Checker ID],$Q$4,RawData[[Error Type ]],$Q$5))</f>
        <v/>
      </c>
    </row>
    <row r="16546" spans="15:15" x14ac:dyDescent="0.25">
      <c r="O16546" s="20" t="str">
        <f>IF(N16546="","",COUNTIFS(RawData[[Date ]],N16546,RawData[Month List],$Q$6,RawData[Tour/Site],$Q$2,RawData[[Picker ID ]],$Q$3,RawData[Checker ID],$Q$4,RawData[[Error Type ]],$Q$5))</f>
        <v/>
      </c>
    </row>
    <row r="16547" spans="15:15" x14ac:dyDescent="0.25">
      <c r="O16547" s="20" t="str">
        <f>IF(N16547="","",COUNTIFS(RawData[[Date ]],N16547,RawData[Month List],$Q$6,RawData[Tour/Site],$Q$2,RawData[[Picker ID ]],$Q$3,RawData[Checker ID],$Q$4,RawData[[Error Type ]],$Q$5))</f>
        <v/>
      </c>
    </row>
    <row r="16548" spans="15:15" x14ac:dyDescent="0.25">
      <c r="O16548" s="20" t="str">
        <f>IF(N16548="","",COUNTIFS(RawData[[Date ]],N16548,RawData[Month List],$Q$6,RawData[Tour/Site],$Q$2,RawData[[Picker ID ]],$Q$3,RawData[Checker ID],$Q$4,RawData[[Error Type ]],$Q$5))</f>
        <v/>
      </c>
    </row>
    <row r="16549" spans="15:15" x14ac:dyDescent="0.25">
      <c r="O16549" s="20" t="str">
        <f>IF(N16549="","",COUNTIFS(RawData[[Date ]],N16549,RawData[Month List],$Q$6,RawData[Tour/Site],$Q$2,RawData[[Picker ID ]],$Q$3,RawData[Checker ID],$Q$4,RawData[[Error Type ]],$Q$5))</f>
        <v/>
      </c>
    </row>
    <row r="16550" spans="15:15" x14ac:dyDescent="0.25">
      <c r="O16550" s="20" t="str">
        <f>IF(N16550="","",COUNTIFS(RawData[[Date ]],N16550,RawData[Month List],$Q$6,RawData[Tour/Site],$Q$2,RawData[[Picker ID ]],$Q$3,RawData[Checker ID],$Q$4,RawData[[Error Type ]],$Q$5))</f>
        <v/>
      </c>
    </row>
    <row r="16551" spans="15:15" x14ac:dyDescent="0.25">
      <c r="O16551" s="20" t="str">
        <f>IF(N16551="","",COUNTIFS(RawData[[Date ]],N16551,RawData[Month List],$Q$6,RawData[Tour/Site],$Q$2,RawData[[Picker ID ]],$Q$3,RawData[Checker ID],$Q$4,RawData[[Error Type ]],$Q$5))</f>
        <v/>
      </c>
    </row>
    <row r="16552" spans="15:15" x14ac:dyDescent="0.25">
      <c r="O16552" s="20" t="str">
        <f>IF(N16552="","",COUNTIFS(RawData[[Date ]],N16552,RawData[Month List],$Q$6,RawData[Tour/Site],$Q$2,RawData[[Picker ID ]],$Q$3,RawData[Checker ID],$Q$4,RawData[[Error Type ]],$Q$5))</f>
        <v/>
      </c>
    </row>
    <row r="16553" spans="15:15" x14ac:dyDescent="0.25">
      <c r="O16553" s="20" t="str">
        <f>IF(N16553="","",COUNTIFS(RawData[[Date ]],N16553,RawData[Month List],$Q$6,RawData[Tour/Site],$Q$2,RawData[[Picker ID ]],$Q$3,RawData[Checker ID],$Q$4,RawData[[Error Type ]],$Q$5))</f>
        <v/>
      </c>
    </row>
    <row r="16554" spans="15:15" x14ac:dyDescent="0.25">
      <c r="O16554" s="20" t="str">
        <f>IF(N16554="","",COUNTIFS(RawData[[Date ]],N16554,RawData[Month List],$Q$6,RawData[Tour/Site],$Q$2,RawData[[Picker ID ]],$Q$3,RawData[Checker ID],$Q$4,RawData[[Error Type ]],$Q$5))</f>
        <v/>
      </c>
    </row>
    <row r="16555" spans="15:15" x14ac:dyDescent="0.25">
      <c r="O16555" s="20" t="str">
        <f>IF(N16555="","",COUNTIFS(RawData[[Date ]],N16555,RawData[Month List],$Q$6,RawData[Tour/Site],$Q$2,RawData[[Picker ID ]],$Q$3,RawData[Checker ID],$Q$4,RawData[[Error Type ]],$Q$5))</f>
        <v/>
      </c>
    </row>
    <row r="16556" spans="15:15" x14ac:dyDescent="0.25">
      <c r="O16556" s="20" t="str">
        <f>IF(N16556="","",COUNTIFS(RawData[[Date ]],N16556,RawData[Month List],$Q$6,RawData[Tour/Site],$Q$2,RawData[[Picker ID ]],$Q$3,RawData[Checker ID],$Q$4,RawData[[Error Type ]],$Q$5))</f>
        <v/>
      </c>
    </row>
    <row r="16557" spans="15:15" x14ac:dyDescent="0.25">
      <c r="O16557" s="20" t="str">
        <f>IF(N16557="","",COUNTIFS(RawData[[Date ]],N16557,RawData[Month List],$Q$6,RawData[Tour/Site],$Q$2,RawData[[Picker ID ]],$Q$3,RawData[Checker ID],$Q$4,RawData[[Error Type ]],$Q$5))</f>
        <v/>
      </c>
    </row>
    <row r="16558" spans="15:15" x14ac:dyDescent="0.25">
      <c r="O16558" s="20" t="str">
        <f>IF(N16558="","",COUNTIFS(RawData[[Date ]],N16558,RawData[Month List],$Q$6,RawData[Tour/Site],$Q$2,RawData[[Picker ID ]],$Q$3,RawData[Checker ID],$Q$4,RawData[[Error Type ]],$Q$5))</f>
        <v/>
      </c>
    </row>
    <row r="16559" spans="15:15" x14ac:dyDescent="0.25">
      <c r="O16559" s="20" t="str">
        <f>IF(N16559="","",COUNTIFS(RawData[[Date ]],N16559,RawData[Month List],$Q$6,RawData[Tour/Site],$Q$2,RawData[[Picker ID ]],$Q$3,RawData[Checker ID],$Q$4,RawData[[Error Type ]],$Q$5))</f>
        <v/>
      </c>
    </row>
    <row r="16560" spans="15:15" x14ac:dyDescent="0.25">
      <c r="O16560" s="20" t="str">
        <f>IF(N16560="","",COUNTIFS(RawData[[Date ]],N16560,RawData[Month List],$Q$6,RawData[Tour/Site],$Q$2,RawData[[Picker ID ]],$Q$3,RawData[Checker ID],$Q$4,RawData[[Error Type ]],$Q$5))</f>
        <v/>
      </c>
    </row>
    <row r="16561" spans="15:15" x14ac:dyDescent="0.25">
      <c r="O16561" s="20" t="str">
        <f>IF(N16561="","",COUNTIFS(RawData[[Date ]],N16561,RawData[Month List],$Q$6,RawData[Tour/Site],$Q$2,RawData[[Picker ID ]],$Q$3,RawData[Checker ID],$Q$4,RawData[[Error Type ]],$Q$5))</f>
        <v/>
      </c>
    </row>
    <row r="16562" spans="15:15" x14ac:dyDescent="0.25">
      <c r="O16562" s="20" t="str">
        <f>IF(N16562="","",COUNTIFS(RawData[[Date ]],N16562,RawData[Month List],$Q$6,RawData[Tour/Site],$Q$2,RawData[[Picker ID ]],$Q$3,RawData[Checker ID],$Q$4,RawData[[Error Type ]],$Q$5))</f>
        <v/>
      </c>
    </row>
    <row r="16563" spans="15:15" x14ac:dyDescent="0.25">
      <c r="O16563" s="20" t="str">
        <f>IF(N16563="","",COUNTIFS(RawData[[Date ]],N16563,RawData[Month List],$Q$6,RawData[Tour/Site],$Q$2,RawData[[Picker ID ]],$Q$3,RawData[Checker ID],$Q$4,RawData[[Error Type ]],$Q$5))</f>
        <v/>
      </c>
    </row>
    <row r="16564" spans="15:15" x14ac:dyDescent="0.25">
      <c r="O16564" s="20" t="str">
        <f>IF(N16564="","",COUNTIFS(RawData[[Date ]],N16564,RawData[Month List],$Q$6,RawData[Tour/Site],$Q$2,RawData[[Picker ID ]],$Q$3,RawData[Checker ID],$Q$4,RawData[[Error Type ]],$Q$5))</f>
        <v/>
      </c>
    </row>
    <row r="16565" spans="15:15" x14ac:dyDescent="0.25">
      <c r="O16565" s="20" t="str">
        <f>IF(N16565="","",COUNTIFS(RawData[[Date ]],N16565,RawData[Month List],$Q$6,RawData[Tour/Site],$Q$2,RawData[[Picker ID ]],$Q$3,RawData[Checker ID],$Q$4,RawData[[Error Type ]],$Q$5))</f>
        <v/>
      </c>
    </row>
    <row r="16566" spans="15:15" x14ac:dyDescent="0.25">
      <c r="O16566" s="20" t="str">
        <f>IF(N16566="","",COUNTIFS(RawData[[Date ]],N16566,RawData[Month List],$Q$6,RawData[Tour/Site],$Q$2,RawData[[Picker ID ]],$Q$3,RawData[Checker ID],$Q$4,RawData[[Error Type ]],$Q$5))</f>
        <v/>
      </c>
    </row>
    <row r="16567" spans="15:15" x14ac:dyDescent="0.25">
      <c r="O16567" s="20" t="str">
        <f>IF(N16567="","",COUNTIFS(RawData[[Date ]],N16567,RawData[Month List],$Q$6,RawData[Tour/Site],$Q$2,RawData[[Picker ID ]],$Q$3,RawData[Checker ID],$Q$4,RawData[[Error Type ]],$Q$5))</f>
        <v/>
      </c>
    </row>
    <row r="16568" spans="15:15" x14ac:dyDescent="0.25">
      <c r="O16568" s="20" t="str">
        <f>IF(N16568="","",COUNTIFS(RawData[[Date ]],N16568,RawData[Month List],$Q$6,RawData[Tour/Site],$Q$2,RawData[[Picker ID ]],$Q$3,RawData[Checker ID],$Q$4,RawData[[Error Type ]],$Q$5))</f>
        <v/>
      </c>
    </row>
    <row r="16569" spans="15:15" x14ac:dyDescent="0.25">
      <c r="O16569" s="20" t="str">
        <f>IF(N16569="","",COUNTIFS(RawData[[Date ]],N16569,RawData[Month List],$Q$6,RawData[Tour/Site],$Q$2,RawData[[Picker ID ]],$Q$3,RawData[Checker ID],$Q$4,RawData[[Error Type ]],$Q$5))</f>
        <v/>
      </c>
    </row>
    <row r="16570" spans="15:15" x14ac:dyDescent="0.25">
      <c r="O16570" s="20" t="str">
        <f>IF(N16570="","",COUNTIFS(RawData[[Date ]],N16570,RawData[Month List],$Q$6,RawData[Tour/Site],$Q$2,RawData[[Picker ID ]],$Q$3,RawData[Checker ID],$Q$4,RawData[[Error Type ]],$Q$5))</f>
        <v/>
      </c>
    </row>
    <row r="16571" spans="15:15" x14ac:dyDescent="0.25">
      <c r="O16571" s="20" t="str">
        <f>IF(N16571="","",COUNTIFS(RawData[[Date ]],N16571,RawData[Month List],$Q$6,RawData[Tour/Site],$Q$2,RawData[[Picker ID ]],$Q$3,RawData[Checker ID],$Q$4,RawData[[Error Type ]],$Q$5))</f>
        <v/>
      </c>
    </row>
    <row r="16572" spans="15:15" x14ac:dyDescent="0.25">
      <c r="O16572" s="20" t="str">
        <f>IF(N16572="","",COUNTIFS(RawData[[Date ]],N16572,RawData[Month List],$Q$6,RawData[Tour/Site],$Q$2,RawData[[Picker ID ]],$Q$3,RawData[Checker ID],$Q$4,RawData[[Error Type ]],$Q$5))</f>
        <v/>
      </c>
    </row>
    <row r="16573" spans="15:15" x14ac:dyDescent="0.25">
      <c r="O16573" s="20" t="str">
        <f>IF(N16573="","",COUNTIFS(RawData[[Date ]],N16573,RawData[Month List],$Q$6,RawData[Tour/Site],$Q$2,RawData[[Picker ID ]],$Q$3,RawData[Checker ID],$Q$4,RawData[[Error Type ]],$Q$5))</f>
        <v/>
      </c>
    </row>
    <row r="16574" spans="15:15" x14ac:dyDescent="0.25">
      <c r="O16574" s="20" t="str">
        <f>IF(N16574="","",COUNTIFS(RawData[[Date ]],N16574,RawData[Month List],$Q$6,RawData[Tour/Site],$Q$2,RawData[[Picker ID ]],$Q$3,RawData[Checker ID],$Q$4,RawData[[Error Type ]],$Q$5))</f>
        <v/>
      </c>
    </row>
    <row r="16575" spans="15:15" x14ac:dyDescent="0.25">
      <c r="O16575" s="20" t="str">
        <f>IF(N16575="","",COUNTIFS(RawData[[Date ]],N16575,RawData[Month List],$Q$6,RawData[Tour/Site],$Q$2,RawData[[Picker ID ]],$Q$3,RawData[Checker ID],$Q$4,RawData[[Error Type ]],$Q$5))</f>
        <v/>
      </c>
    </row>
    <row r="16576" spans="15:15" x14ac:dyDescent="0.25">
      <c r="O16576" s="20" t="str">
        <f>IF(N16576="","",COUNTIFS(RawData[[Date ]],N16576,RawData[Month List],$Q$6,RawData[Tour/Site],$Q$2,RawData[[Picker ID ]],$Q$3,RawData[Checker ID],$Q$4,RawData[[Error Type ]],$Q$5))</f>
        <v/>
      </c>
    </row>
    <row r="16577" spans="15:15" x14ac:dyDescent="0.25">
      <c r="O16577" s="20" t="str">
        <f>IF(N16577="","",COUNTIFS(RawData[[Date ]],N16577,RawData[Month List],$Q$6,RawData[Tour/Site],$Q$2,RawData[[Picker ID ]],$Q$3,RawData[Checker ID],$Q$4,RawData[[Error Type ]],$Q$5))</f>
        <v/>
      </c>
    </row>
    <row r="16578" spans="15:15" x14ac:dyDescent="0.25">
      <c r="O16578" s="20" t="str">
        <f>IF(N16578="","",COUNTIFS(RawData[[Date ]],N16578,RawData[Month List],$Q$6,RawData[Tour/Site],$Q$2,RawData[[Picker ID ]],$Q$3,RawData[Checker ID],$Q$4,RawData[[Error Type ]],$Q$5))</f>
        <v/>
      </c>
    </row>
    <row r="16579" spans="15:15" x14ac:dyDescent="0.25">
      <c r="O16579" s="20" t="str">
        <f>IF(N16579="","",COUNTIFS(RawData[[Date ]],N16579,RawData[Month List],$Q$6,RawData[Tour/Site],$Q$2,RawData[[Picker ID ]],$Q$3,RawData[Checker ID],$Q$4,RawData[[Error Type ]],$Q$5))</f>
        <v/>
      </c>
    </row>
    <row r="16580" spans="15:15" x14ac:dyDescent="0.25">
      <c r="O16580" s="20" t="str">
        <f>IF(N16580="","",COUNTIFS(RawData[[Date ]],N16580,RawData[Month List],$Q$6,RawData[Tour/Site],$Q$2,RawData[[Picker ID ]],$Q$3,RawData[Checker ID],$Q$4,RawData[[Error Type ]],$Q$5))</f>
        <v/>
      </c>
    </row>
    <row r="16581" spans="15:15" x14ac:dyDescent="0.25">
      <c r="O16581" s="20" t="str">
        <f>IF(N16581="","",COUNTIFS(RawData[[Date ]],N16581,RawData[Month List],$Q$6,RawData[Tour/Site],$Q$2,RawData[[Picker ID ]],$Q$3,RawData[Checker ID],$Q$4,RawData[[Error Type ]],$Q$5))</f>
        <v/>
      </c>
    </row>
    <row r="16582" spans="15:15" x14ac:dyDescent="0.25">
      <c r="O16582" s="20" t="str">
        <f>IF(N16582="","",COUNTIFS(RawData[[Date ]],N16582,RawData[Month List],$Q$6,RawData[Tour/Site],$Q$2,RawData[[Picker ID ]],$Q$3,RawData[Checker ID],$Q$4,RawData[[Error Type ]],$Q$5))</f>
        <v/>
      </c>
    </row>
    <row r="16583" spans="15:15" x14ac:dyDescent="0.25">
      <c r="O16583" s="20" t="str">
        <f>IF(N16583="","",COUNTIFS(RawData[[Date ]],N16583,RawData[Month List],$Q$6,RawData[Tour/Site],$Q$2,RawData[[Picker ID ]],$Q$3,RawData[Checker ID],$Q$4,RawData[[Error Type ]],$Q$5))</f>
        <v/>
      </c>
    </row>
    <row r="16584" spans="15:15" x14ac:dyDescent="0.25">
      <c r="O16584" s="20" t="str">
        <f>IF(N16584="","",COUNTIFS(RawData[[Date ]],N16584,RawData[Month List],$Q$6,RawData[Tour/Site],$Q$2,RawData[[Picker ID ]],$Q$3,RawData[Checker ID],$Q$4,RawData[[Error Type ]],$Q$5))</f>
        <v/>
      </c>
    </row>
    <row r="16585" spans="15:15" x14ac:dyDescent="0.25">
      <c r="O16585" s="20" t="str">
        <f>IF(N16585="","",COUNTIFS(RawData[[Date ]],N16585,RawData[Month List],$Q$6,RawData[Tour/Site],$Q$2,RawData[[Picker ID ]],$Q$3,RawData[Checker ID],$Q$4,RawData[[Error Type ]],$Q$5))</f>
        <v/>
      </c>
    </row>
    <row r="16586" spans="15:15" x14ac:dyDescent="0.25">
      <c r="O16586" s="20" t="str">
        <f>IF(N16586="","",COUNTIFS(RawData[[Date ]],N16586,RawData[Month List],$Q$6,RawData[Tour/Site],$Q$2,RawData[[Picker ID ]],$Q$3,RawData[Checker ID],$Q$4,RawData[[Error Type ]],$Q$5))</f>
        <v/>
      </c>
    </row>
    <row r="16587" spans="15:15" x14ac:dyDescent="0.25">
      <c r="O16587" s="20" t="str">
        <f>IF(N16587="","",COUNTIFS(RawData[[Date ]],N16587,RawData[Month List],$Q$6,RawData[Tour/Site],$Q$2,RawData[[Picker ID ]],$Q$3,RawData[Checker ID],$Q$4,RawData[[Error Type ]],$Q$5))</f>
        <v/>
      </c>
    </row>
    <row r="16588" spans="15:15" x14ac:dyDescent="0.25">
      <c r="O16588" s="20" t="str">
        <f>IF(N16588="","",COUNTIFS(RawData[[Date ]],N16588,RawData[Month List],$Q$6,RawData[Tour/Site],$Q$2,RawData[[Picker ID ]],$Q$3,RawData[Checker ID],$Q$4,RawData[[Error Type ]],$Q$5))</f>
        <v/>
      </c>
    </row>
    <row r="16589" spans="15:15" x14ac:dyDescent="0.25">
      <c r="O16589" s="20" t="str">
        <f>IF(N16589="","",COUNTIFS(RawData[[Date ]],N16589,RawData[Month List],$Q$6,RawData[Tour/Site],$Q$2,RawData[[Picker ID ]],$Q$3,RawData[Checker ID],$Q$4,RawData[[Error Type ]],$Q$5))</f>
        <v/>
      </c>
    </row>
    <row r="16590" spans="15:15" x14ac:dyDescent="0.25">
      <c r="O16590" s="20" t="str">
        <f>IF(N16590="","",COUNTIFS(RawData[[Date ]],N16590,RawData[Month List],$Q$6,RawData[Tour/Site],$Q$2,RawData[[Picker ID ]],$Q$3,RawData[Checker ID],$Q$4,RawData[[Error Type ]],$Q$5))</f>
        <v/>
      </c>
    </row>
    <row r="16591" spans="15:15" x14ac:dyDescent="0.25">
      <c r="O16591" s="20" t="str">
        <f>IF(N16591="","",COUNTIFS(RawData[[Date ]],N16591,RawData[Month List],$Q$6,RawData[Tour/Site],$Q$2,RawData[[Picker ID ]],$Q$3,RawData[Checker ID],$Q$4,RawData[[Error Type ]],$Q$5))</f>
        <v/>
      </c>
    </row>
    <row r="16592" spans="15:15" x14ac:dyDescent="0.25">
      <c r="O16592" s="20" t="str">
        <f>IF(N16592="","",COUNTIFS(RawData[[Date ]],N16592,RawData[Month List],$Q$6,RawData[Tour/Site],$Q$2,RawData[[Picker ID ]],$Q$3,RawData[Checker ID],$Q$4,RawData[[Error Type ]],$Q$5))</f>
        <v/>
      </c>
    </row>
    <row r="16593" spans="15:15" x14ac:dyDescent="0.25">
      <c r="O16593" s="20" t="str">
        <f>IF(N16593="","",COUNTIFS(RawData[[Date ]],N16593,RawData[Month List],$Q$6,RawData[Tour/Site],$Q$2,RawData[[Picker ID ]],$Q$3,RawData[Checker ID],$Q$4,RawData[[Error Type ]],$Q$5))</f>
        <v/>
      </c>
    </row>
    <row r="16594" spans="15:15" x14ac:dyDescent="0.25">
      <c r="O16594" s="20" t="str">
        <f>IF(N16594="","",COUNTIFS(RawData[[Date ]],N16594,RawData[Month List],$Q$6,RawData[Tour/Site],$Q$2,RawData[[Picker ID ]],$Q$3,RawData[Checker ID],$Q$4,RawData[[Error Type ]],$Q$5))</f>
        <v/>
      </c>
    </row>
    <row r="16595" spans="15:15" x14ac:dyDescent="0.25">
      <c r="O16595" s="20" t="str">
        <f>IF(N16595="","",COUNTIFS(RawData[[Date ]],N16595,RawData[Month List],$Q$6,RawData[Tour/Site],$Q$2,RawData[[Picker ID ]],$Q$3,RawData[Checker ID],$Q$4,RawData[[Error Type ]],$Q$5))</f>
        <v/>
      </c>
    </row>
    <row r="16596" spans="15:15" x14ac:dyDescent="0.25">
      <c r="O16596" s="20" t="str">
        <f>IF(N16596="","",COUNTIFS(RawData[[Date ]],N16596,RawData[Month List],$Q$6,RawData[Tour/Site],$Q$2,RawData[[Picker ID ]],$Q$3,RawData[Checker ID],$Q$4,RawData[[Error Type ]],$Q$5))</f>
        <v/>
      </c>
    </row>
    <row r="16597" spans="15:15" x14ac:dyDescent="0.25">
      <c r="O16597" s="20" t="str">
        <f>IF(N16597="","",COUNTIFS(RawData[[Date ]],N16597,RawData[Month List],$Q$6,RawData[Tour/Site],$Q$2,RawData[[Picker ID ]],$Q$3,RawData[Checker ID],$Q$4,RawData[[Error Type ]],$Q$5))</f>
        <v/>
      </c>
    </row>
    <row r="16598" spans="15:15" x14ac:dyDescent="0.25">
      <c r="O16598" s="20" t="str">
        <f>IF(N16598="","",COUNTIFS(RawData[[Date ]],N16598,RawData[Month List],$Q$6,RawData[Tour/Site],$Q$2,RawData[[Picker ID ]],$Q$3,RawData[Checker ID],$Q$4,RawData[[Error Type ]],$Q$5))</f>
        <v/>
      </c>
    </row>
    <row r="16599" spans="15:15" x14ac:dyDescent="0.25">
      <c r="O16599" s="20" t="str">
        <f>IF(N16599="","",COUNTIFS(RawData[[Date ]],N16599,RawData[Month List],$Q$6,RawData[Tour/Site],$Q$2,RawData[[Picker ID ]],$Q$3,RawData[Checker ID],$Q$4,RawData[[Error Type ]],$Q$5))</f>
        <v/>
      </c>
    </row>
    <row r="16600" spans="15:15" x14ac:dyDescent="0.25">
      <c r="O16600" s="20" t="str">
        <f>IF(N16600="","",COUNTIFS(RawData[[Date ]],N16600,RawData[Month List],$Q$6,RawData[Tour/Site],$Q$2,RawData[[Picker ID ]],$Q$3,RawData[Checker ID],$Q$4,RawData[[Error Type ]],$Q$5))</f>
        <v/>
      </c>
    </row>
    <row r="16601" spans="15:15" x14ac:dyDescent="0.25">
      <c r="O16601" s="20" t="str">
        <f>IF(N16601="","",COUNTIFS(RawData[[Date ]],N16601,RawData[Month List],$Q$6,RawData[Tour/Site],$Q$2,RawData[[Picker ID ]],$Q$3,RawData[Checker ID],$Q$4,RawData[[Error Type ]],$Q$5))</f>
        <v/>
      </c>
    </row>
    <row r="16602" spans="15:15" x14ac:dyDescent="0.25">
      <c r="O16602" s="20" t="str">
        <f>IF(N16602="","",COUNTIFS(RawData[[Date ]],N16602,RawData[Month List],$Q$6,RawData[Tour/Site],$Q$2,RawData[[Picker ID ]],$Q$3,RawData[Checker ID],$Q$4,RawData[[Error Type ]],$Q$5))</f>
        <v/>
      </c>
    </row>
    <row r="16603" spans="15:15" x14ac:dyDescent="0.25">
      <c r="O16603" s="20" t="str">
        <f>IF(N16603="","",COUNTIFS(RawData[[Date ]],N16603,RawData[Month List],$Q$6,RawData[Tour/Site],$Q$2,RawData[[Picker ID ]],$Q$3,RawData[Checker ID],$Q$4,RawData[[Error Type ]],$Q$5))</f>
        <v/>
      </c>
    </row>
    <row r="16604" spans="15:15" x14ac:dyDescent="0.25">
      <c r="O16604" s="20" t="str">
        <f>IF(N16604="","",COUNTIFS(RawData[[Date ]],N16604,RawData[Month List],$Q$6,RawData[Tour/Site],$Q$2,RawData[[Picker ID ]],$Q$3,RawData[Checker ID],$Q$4,RawData[[Error Type ]],$Q$5))</f>
        <v/>
      </c>
    </row>
    <row r="16605" spans="15:15" x14ac:dyDescent="0.25">
      <c r="O16605" s="20" t="str">
        <f>IF(N16605="","",COUNTIFS(RawData[[Date ]],N16605,RawData[Month List],$Q$6,RawData[Tour/Site],$Q$2,RawData[[Picker ID ]],$Q$3,RawData[Checker ID],$Q$4,RawData[[Error Type ]],$Q$5))</f>
        <v/>
      </c>
    </row>
    <row r="16606" spans="15:15" x14ac:dyDescent="0.25">
      <c r="O16606" s="20" t="str">
        <f>IF(N16606="","",COUNTIFS(RawData[[Date ]],N16606,RawData[Month List],$Q$6,RawData[Tour/Site],$Q$2,RawData[[Picker ID ]],$Q$3,RawData[Checker ID],$Q$4,RawData[[Error Type ]],$Q$5))</f>
        <v/>
      </c>
    </row>
    <row r="16607" spans="15:15" x14ac:dyDescent="0.25">
      <c r="O16607" s="20" t="str">
        <f>IF(N16607="","",COUNTIFS(RawData[[Date ]],N16607,RawData[Month List],$Q$6,RawData[Tour/Site],$Q$2,RawData[[Picker ID ]],$Q$3,RawData[Checker ID],$Q$4,RawData[[Error Type ]],$Q$5))</f>
        <v/>
      </c>
    </row>
    <row r="16608" spans="15:15" x14ac:dyDescent="0.25">
      <c r="O16608" s="20" t="str">
        <f>IF(N16608="","",COUNTIFS(RawData[[Date ]],N16608,RawData[Month List],$Q$6,RawData[Tour/Site],$Q$2,RawData[[Picker ID ]],$Q$3,RawData[Checker ID],$Q$4,RawData[[Error Type ]],$Q$5))</f>
        <v/>
      </c>
    </row>
    <row r="16609" spans="15:15" x14ac:dyDescent="0.25">
      <c r="O16609" s="20" t="str">
        <f>IF(N16609="","",COUNTIFS(RawData[[Date ]],N16609,RawData[Month List],$Q$6,RawData[Tour/Site],$Q$2,RawData[[Picker ID ]],$Q$3,RawData[Checker ID],$Q$4,RawData[[Error Type ]],$Q$5))</f>
        <v/>
      </c>
    </row>
    <row r="16610" spans="15:15" x14ac:dyDescent="0.25">
      <c r="O16610" s="20" t="str">
        <f>IF(N16610="","",COUNTIFS(RawData[[Date ]],N16610,RawData[Month List],$Q$6,RawData[Tour/Site],$Q$2,RawData[[Picker ID ]],$Q$3,RawData[Checker ID],$Q$4,RawData[[Error Type ]],$Q$5))</f>
        <v/>
      </c>
    </row>
    <row r="16611" spans="15:15" x14ac:dyDescent="0.25">
      <c r="O16611" s="20" t="str">
        <f>IF(N16611="","",COUNTIFS(RawData[[Date ]],N16611,RawData[Month List],$Q$6,RawData[Tour/Site],$Q$2,RawData[[Picker ID ]],$Q$3,RawData[Checker ID],$Q$4,RawData[[Error Type ]],$Q$5))</f>
        <v/>
      </c>
    </row>
    <row r="16612" spans="15:15" x14ac:dyDescent="0.25">
      <c r="O16612" s="20" t="str">
        <f>IF(N16612="","",COUNTIFS(RawData[[Date ]],N16612,RawData[Month List],$Q$6,RawData[Tour/Site],$Q$2,RawData[[Picker ID ]],$Q$3,RawData[Checker ID],$Q$4,RawData[[Error Type ]],$Q$5))</f>
        <v/>
      </c>
    </row>
    <row r="16613" spans="15:15" x14ac:dyDescent="0.25">
      <c r="O16613" s="20" t="str">
        <f>IF(N16613="","",COUNTIFS(RawData[[Date ]],N16613,RawData[Month List],$Q$6,RawData[Tour/Site],$Q$2,RawData[[Picker ID ]],$Q$3,RawData[Checker ID],$Q$4,RawData[[Error Type ]],$Q$5))</f>
        <v/>
      </c>
    </row>
    <row r="16614" spans="15:15" x14ac:dyDescent="0.25">
      <c r="O16614" s="20" t="str">
        <f>IF(N16614="","",COUNTIFS(RawData[[Date ]],N16614,RawData[Month List],$Q$6,RawData[Tour/Site],$Q$2,RawData[[Picker ID ]],$Q$3,RawData[Checker ID],$Q$4,RawData[[Error Type ]],$Q$5))</f>
        <v/>
      </c>
    </row>
    <row r="16615" spans="15:15" x14ac:dyDescent="0.25">
      <c r="O16615" s="20" t="str">
        <f>IF(N16615="","",COUNTIFS(RawData[[Date ]],N16615,RawData[Month List],$Q$6,RawData[Tour/Site],$Q$2,RawData[[Picker ID ]],$Q$3,RawData[Checker ID],$Q$4,RawData[[Error Type ]],$Q$5))</f>
        <v/>
      </c>
    </row>
    <row r="16616" spans="15:15" x14ac:dyDescent="0.25">
      <c r="O16616" s="20" t="str">
        <f>IF(N16616="","",COUNTIFS(RawData[[Date ]],N16616,RawData[Month List],$Q$6,RawData[Tour/Site],$Q$2,RawData[[Picker ID ]],$Q$3,RawData[Checker ID],$Q$4,RawData[[Error Type ]],$Q$5))</f>
        <v/>
      </c>
    </row>
    <row r="16617" spans="15:15" x14ac:dyDescent="0.25">
      <c r="O16617" s="20" t="str">
        <f>IF(N16617="","",COUNTIFS(RawData[[Date ]],N16617,RawData[Month List],$Q$6,RawData[Tour/Site],$Q$2,RawData[[Picker ID ]],$Q$3,RawData[Checker ID],$Q$4,RawData[[Error Type ]],$Q$5))</f>
        <v/>
      </c>
    </row>
    <row r="16618" spans="15:15" x14ac:dyDescent="0.25">
      <c r="O16618" s="20" t="str">
        <f>IF(N16618="","",COUNTIFS(RawData[[Date ]],N16618,RawData[Month List],$Q$6,RawData[Tour/Site],$Q$2,RawData[[Picker ID ]],$Q$3,RawData[Checker ID],$Q$4,RawData[[Error Type ]],$Q$5))</f>
        <v/>
      </c>
    </row>
    <row r="16619" spans="15:15" x14ac:dyDescent="0.25">
      <c r="O16619" s="20" t="str">
        <f>IF(N16619="","",COUNTIFS(RawData[[Date ]],N16619,RawData[Month List],$Q$6,RawData[Tour/Site],$Q$2,RawData[[Picker ID ]],$Q$3,RawData[Checker ID],$Q$4,RawData[[Error Type ]],$Q$5))</f>
        <v/>
      </c>
    </row>
    <row r="16620" spans="15:15" x14ac:dyDescent="0.25">
      <c r="O16620" s="20" t="str">
        <f>IF(N16620="","",COUNTIFS(RawData[[Date ]],N16620,RawData[Month List],$Q$6,RawData[Tour/Site],$Q$2,RawData[[Picker ID ]],$Q$3,RawData[Checker ID],$Q$4,RawData[[Error Type ]],$Q$5))</f>
        <v/>
      </c>
    </row>
    <row r="16621" spans="15:15" x14ac:dyDescent="0.25">
      <c r="O16621" s="20" t="str">
        <f>IF(N16621="","",COUNTIFS(RawData[[Date ]],N16621,RawData[Month List],$Q$6,RawData[Tour/Site],$Q$2,RawData[[Picker ID ]],$Q$3,RawData[Checker ID],$Q$4,RawData[[Error Type ]],$Q$5))</f>
        <v/>
      </c>
    </row>
    <row r="16622" spans="15:15" x14ac:dyDescent="0.25">
      <c r="O16622" s="20" t="str">
        <f>IF(N16622="","",COUNTIFS(RawData[[Date ]],N16622,RawData[Month List],$Q$6,RawData[Tour/Site],$Q$2,RawData[[Picker ID ]],$Q$3,RawData[Checker ID],$Q$4,RawData[[Error Type ]],$Q$5))</f>
        <v/>
      </c>
    </row>
    <row r="16623" spans="15:15" x14ac:dyDescent="0.25">
      <c r="O16623" s="20" t="str">
        <f>IF(N16623="","",COUNTIFS(RawData[[Date ]],N16623,RawData[Month List],$Q$6,RawData[Tour/Site],$Q$2,RawData[[Picker ID ]],$Q$3,RawData[Checker ID],$Q$4,RawData[[Error Type ]],$Q$5))</f>
        <v/>
      </c>
    </row>
    <row r="16624" spans="15:15" x14ac:dyDescent="0.25">
      <c r="O16624" s="20" t="str">
        <f>IF(N16624="","",COUNTIFS(RawData[[Date ]],N16624,RawData[Month List],$Q$6,RawData[Tour/Site],$Q$2,RawData[[Picker ID ]],$Q$3,RawData[Checker ID],$Q$4,RawData[[Error Type ]],$Q$5))</f>
        <v/>
      </c>
    </row>
    <row r="16625" spans="15:15" x14ac:dyDescent="0.25">
      <c r="O16625" s="20" t="str">
        <f>IF(N16625="","",COUNTIFS(RawData[[Date ]],N16625,RawData[Month List],$Q$6,RawData[Tour/Site],$Q$2,RawData[[Picker ID ]],$Q$3,RawData[Checker ID],$Q$4,RawData[[Error Type ]],$Q$5))</f>
        <v/>
      </c>
    </row>
    <row r="16626" spans="15:15" x14ac:dyDescent="0.25">
      <c r="O16626" s="20" t="str">
        <f>IF(N16626="","",COUNTIFS(RawData[[Date ]],N16626,RawData[Month List],$Q$6,RawData[Tour/Site],$Q$2,RawData[[Picker ID ]],$Q$3,RawData[Checker ID],$Q$4,RawData[[Error Type ]],$Q$5))</f>
        <v/>
      </c>
    </row>
    <row r="16627" spans="15:15" x14ac:dyDescent="0.25">
      <c r="O16627" s="20" t="str">
        <f>IF(N16627="","",COUNTIFS(RawData[[Date ]],N16627,RawData[Month List],$Q$6,RawData[Tour/Site],$Q$2,RawData[[Picker ID ]],$Q$3,RawData[Checker ID],$Q$4,RawData[[Error Type ]],$Q$5))</f>
        <v/>
      </c>
    </row>
    <row r="16628" spans="15:15" x14ac:dyDescent="0.25">
      <c r="O16628" s="20" t="str">
        <f>IF(N16628="","",COUNTIFS(RawData[[Date ]],N16628,RawData[Month List],$Q$6,RawData[Tour/Site],$Q$2,RawData[[Picker ID ]],$Q$3,RawData[Checker ID],$Q$4,RawData[[Error Type ]],$Q$5))</f>
        <v/>
      </c>
    </row>
    <row r="16629" spans="15:15" x14ac:dyDescent="0.25">
      <c r="O16629" s="20" t="str">
        <f>IF(N16629="","",COUNTIFS(RawData[[Date ]],N16629,RawData[Month List],$Q$6,RawData[Tour/Site],$Q$2,RawData[[Picker ID ]],$Q$3,RawData[Checker ID],$Q$4,RawData[[Error Type ]],$Q$5))</f>
        <v/>
      </c>
    </row>
    <row r="16630" spans="15:15" x14ac:dyDescent="0.25">
      <c r="O16630" s="20" t="str">
        <f>IF(N16630="","",COUNTIFS(RawData[[Date ]],N16630,RawData[Month List],$Q$6,RawData[Tour/Site],$Q$2,RawData[[Picker ID ]],$Q$3,RawData[Checker ID],$Q$4,RawData[[Error Type ]],$Q$5))</f>
        <v/>
      </c>
    </row>
    <row r="16631" spans="15:15" x14ac:dyDescent="0.25">
      <c r="O16631" s="20" t="str">
        <f>IF(N16631="","",COUNTIFS(RawData[[Date ]],N16631,RawData[Month List],$Q$6,RawData[Tour/Site],$Q$2,RawData[[Picker ID ]],$Q$3,RawData[Checker ID],$Q$4,RawData[[Error Type ]],$Q$5))</f>
        <v/>
      </c>
    </row>
    <row r="16632" spans="15:15" x14ac:dyDescent="0.25">
      <c r="O16632" s="20" t="str">
        <f>IF(N16632="","",COUNTIFS(RawData[[Date ]],N16632,RawData[Month List],$Q$6,RawData[Tour/Site],$Q$2,RawData[[Picker ID ]],$Q$3,RawData[Checker ID],$Q$4,RawData[[Error Type ]],$Q$5))</f>
        <v/>
      </c>
    </row>
    <row r="16633" spans="15:15" x14ac:dyDescent="0.25">
      <c r="O16633" s="20" t="str">
        <f>IF(N16633="","",COUNTIFS(RawData[[Date ]],N16633,RawData[Month List],$Q$6,RawData[Tour/Site],$Q$2,RawData[[Picker ID ]],$Q$3,RawData[Checker ID],$Q$4,RawData[[Error Type ]],$Q$5))</f>
        <v/>
      </c>
    </row>
    <row r="16634" spans="15:15" x14ac:dyDescent="0.25">
      <c r="O16634" s="20" t="str">
        <f>IF(N16634="","",COUNTIFS(RawData[[Date ]],N16634,RawData[Month List],$Q$6,RawData[Tour/Site],$Q$2,RawData[[Picker ID ]],$Q$3,RawData[Checker ID],$Q$4,RawData[[Error Type ]],$Q$5))</f>
        <v/>
      </c>
    </row>
    <row r="16635" spans="15:15" x14ac:dyDescent="0.25">
      <c r="O16635" s="20" t="str">
        <f>IF(N16635="","",COUNTIFS(RawData[[Date ]],N16635,RawData[Month List],$Q$6,RawData[Tour/Site],$Q$2,RawData[[Picker ID ]],$Q$3,RawData[Checker ID],$Q$4,RawData[[Error Type ]],$Q$5))</f>
        <v/>
      </c>
    </row>
    <row r="16636" spans="15:15" x14ac:dyDescent="0.25">
      <c r="O16636" s="20" t="str">
        <f>IF(N16636="","",COUNTIFS(RawData[[Date ]],N16636,RawData[Month List],$Q$6,RawData[Tour/Site],$Q$2,RawData[[Picker ID ]],$Q$3,RawData[Checker ID],$Q$4,RawData[[Error Type ]],$Q$5))</f>
        <v/>
      </c>
    </row>
    <row r="16637" spans="15:15" x14ac:dyDescent="0.25">
      <c r="O16637" s="20" t="str">
        <f>IF(N16637="","",COUNTIFS(RawData[[Date ]],N16637,RawData[Month List],$Q$6,RawData[Tour/Site],$Q$2,RawData[[Picker ID ]],$Q$3,RawData[Checker ID],$Q$4,RawData[[Error Type ]],$Q$5))</f>
        <v/>
      </c>
    </row>
    <row r="16638" spans="15:15" x14ac:dyDescent="0.25">
      <c r="O16638" s="20" t="str">
        <f>IF(N16638="","",COUNTIFS(RawData[[Date ]],N16638,RawData[Month List],$Q$6,RawData[Tour/Site],$Q$2,RawData[[Picker ID ]],$Q$3,RawData[Checker ID],$Q$4,RawData[[Error Type ]],$Q$5))</f>
        <v/>
      </c>
    </row>
    <row r="16639" spans="15:15" x14ac:dyDescent="0.25">
      <c r="O16639" s="20" t="str">
        <f>IF(N16639="","",COUNTIFS(RawData[[Date ]],N16639,RawData[Month List],$Q$6,RawData[Tour/Site],$Q$2,RawData[[Picker ID ]],$Q$3,RawData[Checker ID],$Q$4,RawData[[Error Type ]],$Q$5))</f>
        <v/>
      </c>
    </row>
    <row r="16640" spans="15:15" x14ac:dyDescent="0.25">
      <c r="O16640" s="20" t="str">
        <f>IF(N16640="","",COUNTIFS(RawData[[Date ]],N16640,RawData[Month List],$Q$6,RawData[Tour/Site],$Q$2,RawData[[Picker ID ]],$Q$3,RawData[Checker ID],$Q$4,RawData[[Error Type ]],$Q$5))</f>
        <v/>
      </c>
    </row>
    <row r="16641" spans="15:15" x14ac:dyDescent="0.25">
      <c r="O16641" s="20" t="str">
        <f>IF(N16641="","",COUNTIFS(RawData[[Date ]],N16641,RawData[Month List],$Q$6,RawData[Tour/Site],$Q$2,RawData[[Picker ID ]],$Q$3,RawData[Checker ID],$Q$4,RawData[[Error Type ]],$Q$5))</f>
        <v/>
      </c>
    </row>
    <row r="16642" spans="15:15" x14ac:dyDescent="0.25">
      <c r="O16642" s="20" t="str">
        <f>IF(N16642="","",COUNTIFS(RawData[[Date ]],N16642,RawData[Month List],$Q$6,RawData[Tour/Site],$Q$2,RawData[[Picker ID ]],$Q$3,RawData[Checker ID],$Q$4,RawData[[Error Type ]],$Q$5))</f>
        <v/>
      </c>
    </row>
    <row r="16643" spans="15:15" x14ac:dyDescent="0.25">
      <c r="O16643" s="20" t="str">
        <f>IF(N16643="","",COUNTIFS(RawData[[Date ]],N16643,RawData[Month List],$Q$6,RawData[Tour/Site],$Q$2,RawData[[Picker ID ]],$Q$3,RawData[Checker ID],$Q$4,RawData[[Error Type ]],$Q$5))</f>
        <v/>
      </c>
    </row>
    <row r="16644" spans="15:15" x14ac:dyDescent="0.25">
      <c r="O16644" s="20" t="str">
        <f>IF(N16644="","",COUNTIFS(RawData[[Date ]],N16644,RawData[Month List],$Q$6,RawData[Tour/Site],$Q$2,RawData[[Picker ID ]],$Q$3,RawData[Checker ID],$Q$4,RawData[[Error Type ]],$Q$5))</f>
        <v/>
      </c>
    </row>
    <row r="16645" spans="15:15" x14ac:dyDescent="0.25">
      <c r="O16645" s="20" t="str">
        <f>IF(N16645="","",COUNTIFS(RawData[[Date ]],N16645,RawData[Month List],$Q$6,RawData[Tour/Site],$Q$2,RawData[[Picker ID ]],$Q$3,RawData[Checker ID],$Q$4,RawData[[Error Type ]],$Q$5))</f>
        <v/>
      </c>
    </row>
    <row r="16646" spans="15:15" x14ac:dyDescent="0.25">
      <c r="O16646" s="20" t="str">
        <f>IF(N16646="","",COUNTIFS(RawData[[Date ]],N16646,RawData[Month List],$Q$6,RawData[Tour/Site],$Q$2,RawData[[Picker ID ]],$Q$3,RawData[Checker ID],$Q$4,RawData[[Error Type ]],$Q$5))</f>
        <v/>
      </c>
    </row>
    <row r="16647" spans="15:15" x14ac:dyDescent="0.25">
      <c r="O16647" s="20" t="str">
        <f>IF(N16647="","",COUNTIFS(RawData[[Date ]],N16647,RawData[Month List],$Q$6,RawData[Tour/Site],$Q$2,RawData[[Picker ID ]],$Q$3,RawData[Checker ID],$Q$4,RawData[[Error Type ]],$Q$5))</f>
        <v/>
      </c>
    </row>
    <row r="16648" spans="15:15" x14ac:dyDescent="0.25">
      <c r="O16648" s="20" t="str">
        <f>IF(N16648="","",COUNTIFS(RawData[[Date ]],N16648,RawData[Month List],$Q$6,RawData[Tour/Site],$Q$2,RawData[[Picker ID ]],$Q$3,RawData[Checker ID],$Q$4,RawData[[Error Type ]],$Q$5))</f>
        <v/>
      </c>
    </row>
    <row r="16649" spans="15:15" x14ac:dyDescent="0.25">
      <c r="O16649" s="20" t="str">
        <f>IF(N16649="","",COUNTIFS(RawData[[Date ]],N16649,RawData[Month List],$Q$6,RawData[Tour/Site],$Q$2,RawData[[Picker ID ]],$Q$3,RawData[Checker ID],$Q$4,RawData[[Error Type ]],$Q$5))</f>
        <v/>
      </c>
    </row>
    <row r="16650" spans="15:15" x14ac:dyDescent="0.25">
      <c r="O16650" s="20" t="str">
        <f>IF(N16650="","",COUNTIFS(RawData[[Date ]],N16650,RawData[Month List],$Q$6,RawData[Tour/Site],$Q$2,RawData[[Picker ID ]],$Q$3,RawData[Checker ID],$Q$4,RawData[[Error Type ]],$Q$5))</f>
        <v/>
      </c>
    </row>
    <row r="16651" spans="15:15" x14ac:dyDescent="0.25">
      <c r="O16651" s="20" t="str">
        <f>IF(N16651="","",COUNTIFS(RawData[[Date ]],N16651,RawData[Month List],$Q$6,RawData[Tour/Site],$Q$2,RawData[[Picker ID ]],$Q$3,RawData[Checker ID],$Q$4,RawData[[Error Type ]],$Q$5))</f>
        <v/>
      </c>
    </row>
    <row r="16652" spans="15:15" x14ac:dyDescent="0.25">
      <c r="O16652" s="20" t="str">
        <f>IF(N16652="","",COUNTIFS(RawData[[Date ]],N16652,RawData[Month List],$Q$6,RawData[Tour/Site],$Q$2,RawData[[Picker ID ]],$Q$3,RawData[Checker ID],$Q$4,RawData[[Error Type ]],$Q$5))</f>
        <v/>
      </c>
    </row>
    <row r="16653" spans="15:15" x14ac:dyDescent="0.25">
      <c r="O16653" s="20" t="str">
        <f>IF(N16653="","",COUNTIFS(RawData[[Date ]],N16653,RawData[Month List],$Q$6,RawData[Tour/Site],$Q$2,RawData[[Picker ID ]],$Q$3,RawData[Checker ID],$Q$4,RawData[[Error Type ]],$Q$5))</f>
        <v/>
      </c>
    </row>
    <row r="16654" spans="15:15" x14ac:dyDescent="0.25">
      <c r="O16654" s="20" t="str">
        <f>IF(N16654="","",COUNTIFS(RawData[[Date ]],N16654,RawData[Month List],$Q$6,RawData[Tour/Site],$Q$2,RawData[[Picker ID ]],$Q$3,RawData[Checker ID],$Q$4,RawData[[Error Type ]],$Q$5))</f>
        <v/>
      </c>
    </row>
    <row r="16655" spans="15:15" x14ac:dyDescent="0.25">
      <c r="O16655" s="20" t="str">
        <f>IF(N16655="","",COUNTIFS(RawData[[Date ]],N16655,RawData[Month List],$Q$6,RawData[Tour/Site],$Q$2,RawData[[Picker ID ]],$Q$3,RawData[Checker ID],$Q$4,RawData[[Error Type ]],$Q$5))</f>
        <v/>
      </c>
    </row>
    <row r="16656" spans="15:15" x14ac:dyDescent="0.25">
      <c r="O16656" s="20" t="str">
        <f>IF(N16656="","",COUNTIFS(RawData[[Date ]],N16656,RawData[Month List],$Q$6,RawData[Tour/Site],$Q$2,RawData[[Picker ID ]],$Q$3,RawData[Checker ID],$Q$4,RawData[[Error Type ]],$Q$5))</f>
        <v/>
      </c>
    </row>
    <row r="16657" spans="15:15" x14ac:dyDescent="0.25">
      <c r="O16657" s="20" t="str">
        <f>IF(N16657="","",COUNTIFS(RawData[[Date ]],N16657,RawData[Month List],$Q$6,RawData[Tour/Site],$Q$2,RawData[[Picker ID ]],$Q$3,RawData[Checker ID],$Q$4,RawData[[Error Type ]],$Q$5))</f>
        <v/>
      </c>
    </row>
    <row r="16658" spans="15:15" x14ac:dyDescent="0.25">
      <c r="O16658" s="20" t="str">
        <f>IF(N16658="","",COUNTIFS(RawData[[Date ]],N16658,RawData[Month List],$Q$6,RawData[Tour/Site],$Q$2,RawData[[Picker ID ]],$Q$3,RawData[Checker ID],$Q$4,RawData[[Error Type ]],$Q$5))</f>
        <v/>
      </c>
    </row>
    <row r="16659" spans="15:15" x14ac:dyDescent="0.25">
      <c r="O16659" s="20" t="str">
        <f>IF(N16659="","",COUNTIFS(RawData[[Date ]],N16659,RawData[Month List],$Q$6,RawData[Tour/Site],$Q$2,RawData[[Picker ID ]],$Q$3,RawData[Checker ID],$Q$4,RawData[[Error Type ]],$Q$5))</f>
        <v/>
      </c>
    </row>
    <row r="16660" spans="15:15" x14ac:dyDescent="0.25">
      <c r="O16660" s="20" t="str">
        <f>IF(N16660="","",COUNTIFS(RawData[[Date ]],N16660,RawData[Month List],$Q$6,RawData[Tour/Site],$Q$2,RawData[[Picker ID ]],$Q$3,RawData[Checker ID],$Q$4,RawData[[Error Type ]],$Q$5))</f>
        <v/>
      </c>
    </row>
    <row r="16661" spans="15:15" x14ac:dyDescent="0.25">
      <c r="O16661" s="20" t="str">
        <f>IF(N16661="","",COUNTIFS(RawData[[Date ]],N16661,RawData[Month List],$Q$6,RawData[Tour/Site],$Q$2,RawData[[Picker ID ]],$Q$3,RawData[Checker ID],$Q$4,RawData[[Error Type ]],$Q$5))</f>
        <v/>
      </c>
    </row>
    <row r="16662" spans="15:15" x14ac:dyDescent="0.25">
      <c r="O16662" s="20" t="str">
        <f>IF(N16662="","",COUNTIFS(RawData[[Date ]],N16662,RawData[Month List],$Q$6,RawData[Tour/Site],$Q$2,RawData[[Picker ID ]],$Q$3,RawData[Checker ID],$Q$4,RawData[[Error Type ]],$Q$5))</f>
        <v/>
      </c>
    </row>
    <row r="16663" spans="15:15" x14ac:dyDescent="0.25">
      <c r="O16663" s="20" t="str">
        <f>IF(N16663="","",COUNTIFS(RawData[[Date ]],N16663,RawData[Month List],$Q$6,RawData[Tour/Site],$Q$2,RawData[[Picker ID ]],$Q$3,RawData[Checker ID],$Q$4,RawData[[Error Type ]],$Q$5))</f>
        <v/>
      </c>
    </row>
    <row r="16664" spans="15:15" x14ac:dyDescent="0.25">
      <c r="O16664" s="20" t="str">
        <f>IF(N16664="","",COUNTIFS(RawData[[Date ]],N16664,RawData[Month List],$Q$6,RawData[Tour/Site],$Q$2,RawData[[Picker ID ]],$Q$3,RawData[Checker ID],$Q$4,RawData[[Error Type ]],$Q$5))</f>
        <v/>
      </c>
    </row>
    <row r="16665" spans="15:15" x14ac:dyDescent="0.25">
      <c r="O16665" s="20" t="str">
        <f>IF(N16665="","",COUNTIFS(RawData[[Date ]],N16665,RawData[Month List],$Q$6,RawData[Tour/Site],$Q$2,RawData[[Picker ID ]],$Q$3,RawData[Checker ID],$Q$4,RawData[[Error Type ]],$Q$5))</f>
        <v/>
      </c>
    </row>
    <row r="16666" spans="15:15" x14ac:dyDescent="0.25">
      <c r="O16666" s="20" t="str">
        <f>IF(N16666="","",COUNTIFS(RawData[[Date ]],N16666,RawData[Month List],$Q$6,RawData[Tour/Site],$Q$2,RawData[[Picker ID ]],$Q$3,RawData[Checker ID],$Q$4,RawData[[Error Type ]],$Q$5))</f>
        <v/>
      </c>
    </row>
    <row r="16667" spans="15:15" x14ac:dyDescent="0.25">
      <c r="O16667" s="20" t="str">
        <f>IF(N16667="","",COUNTIFS(RawData[[Date ]],N16667,RawData[Month List],$Q$6,RawData[Tour/Site],$Q$2,RawData[[Picker ID ]],$Q$3,RawData[Checker ID],$Q$4,RawData[[Error Type ]],$Q$5))</f>
        <v/>
      </c>
    </row>
    <row r="16668" spans="15:15" x14ac:dyDescent="0.25">
      <c r="O16668" s="20" t="str">
        <f>IF(N16668="","",COUNTIFS(RawData[[Date ]],N16668,RawData[Month List],$Q$6,RawData[Tour/Site],$Q$2,RawData[[Picker ID ]],$Q$3,RawData[Checker ID],$Q$4,RawData[[Error Type ]],$Q$5))</f>
        <v/>
      </c>
    </row>
    <row r="16669" spans="15:15" x14ac:dyDescent="0.25">
      <c r="O16669" s="20" t="str">
        <f>IF(N16669="","",COUNTIFS(RawData[[Date ]],N16669,RawData[Month List],$Q$6,RawData[Tour/Site],$Q$2,RawData[[Picker ID ]],$Q$3,RawData[Checker ID],$Q$4,RawData[[Error Type ]],$Q$5))</f>
        <v/>
      </c>
    </row>
    <row r="16670" spans="15:15" x14ac:dyDescent="0.25">
      <c r="O16670" s="20" t="str">
        <f>IF(N16670="","",COUNTIFS(RawData[[Date ]],N16670,RawData[Month List],$Q$6,RawData[Tour/Site],$Q$2,RawData[[Picker ID ]],$Q$3,RawData[Checker ID],$Q$4,RawData[[Error Type ]],$Q$5))</f>
        <v/>
      </c>
    </row>
    <row r="16671" spans="15:15" x14ac:dyDescent="0.25">
      <c r="O16671" s="20" t="str">
        <f>IF(N16671="","",COUNTIFS(RawData[[Date ]],N16671,RawData[Month List],$Q$6,RawData[Tour/Site],$Q$2,RawData[[Picker ID ]],$Q$3,RawData[Checker ID],$Q$4,RawData[[Error Type ]],$Q$5))</f>
        <v/>
      </c>
    </row>
    <row r="16672" spans="15:15" x14ac:dyDescent="0.25">
      <c r="O16672" s="20" t="str">
        <f>IF(N16672="","",COUNTIFS(RawData[[Date ]],N16672,RawData[Month List],$Q$6,RawData[Tour/Site],$Q$2,RawData[[Picker ID ]],$Q$3,RawData[Checker ID],$Q$4,RawData[[Error Type ]],$Q$5))</f>
        <v/>
      </c>
    </row>
    <row r="16673" spans="15:15" x14ac:dyDescent="0.25">
      <c r="O16673" s="20" t="str">
        <f>IF(N16673="","",COUNTIFS(RawData[[Date ]],N16673,RawData[Month List],$Q$6,RawData[Tour/Site],$Q$2,RawData[[Picker ID ]],$Q$3,RawData[Checker ID],$Q$4,RawData[[Error Type ]],$Q$5))</f>
        <v/>
      </c>
    </row>
    <row r="16674" spans="15:15" x14ac:dyDescent="0.25">
      <c r="O16674" s="20" t="str">
        <f>IF(N16674="","",COUNTIFS(RawData[[Date ]],N16674,RawData[Month List],$Q$6,RawData[Tour/Site],$Q$2,RawData[[Picker ID ]],$Q$3,RawData[Checker ID],$Q$4,RawData[[Error Type ]],$Q$5))</f>
        <v/>
      </c>
    </row>
    <row r="16675" spans="15:15" x14ac:dyDescent="0.25">
      <c r="O16675" s="20" t="str">
        <f>IF(N16675="","",COUNTIFS(RawData[[Date ]],N16675,RawData[Month List],$Q$6,RawData[Tour/Site],$Q$2,RawData[[Picker ID ]],$Q$3,RawData[Checker ID],$Q$4,RawData[[Error Type ]],$Q$5))</f>
        <v/>
      </c>
    </row>
    <row r="16676" spans="15:15" x14ac:dyDescent="0.25">
      <c r="O16676" s="20" t="str">
        <f>IF(N16676="","",COUNTIFS(RawData[[Date ]],N16676,RawData[Month List],$Q$6,RawData[Tour/Site],$Q$2,RawData[[Picker ID ]],$Q$3,RawData[Checker ID],$Q$4,RawData[[Error Type ]],$Q$5))</f>
        <v/>
      </c>
    </row>
    <row r="16677" spans="15:15" x14ac:dyDescent="0.25">
      <c r="O16677" s="20" t="str">
        <f>IF(N16677="","",COUNTIFS(RawData[[Date ]],N16677,RawData[Month List],$Q$6,RawData[Tour/Site],$Q$2,RawData[[Picker ID ]],$Q$3,RawData[Checker ID],$Q$4,RawData[[Error Type ]],$Q$5))</f>
        <v/>
      </c>
    </row>
    <row r="16678" spans="15:15" x14ac:dyDescent="0.25">
      <c r="O16678" s="20" t="str">
        <f>IF(N16678="","",COUNTIFS(RawData[[Date ]],N16678,RawData[Month List],$Q$6,RawData[Tour/Site],$Q$2,RawData[[Picker ID ]],$Q$3,RawData[Checker ID],$Q$4,RawData[[Error Type ]],$Q$5))</f>
        <v/>
      </c>
    </row>
    <row r="16679" spans="15:15" x14ac:dyDescent="0.25">
      <c r="O16679" s="20" t="str">
        <f>IF(N16679="","",COUNTIFS(RawData[[Date ]],N16679,RawData[Month List],$Q$6,RawData[Tour/Site],$Q$2,RawData[[Picker ID ]],$Q$3,RawData[Checker ID],$Q$4,RawData[[Error Type ]],$Q$5))</f>
        <v/>
      </c>
    </row>
    <row r="16680" spans="15:15" x14ac:dyDescent="0.25">
      <c r="O16680" s="20" t="str">
        <f>IF(N16680="","",COUNTIFS(RawData[[Date ]],N16680,RawData[Month List],$Q$6,RawData[Tour/Site],$Q$2,RawData[[Picker ID ]],$Q$3,RawData[Checker ID],$Q$4,RawData[[Error Type ]],$Q$5))</f>
        <v/>
      </c>
    </row>
    <row r="16681" spans="15:15" x14ac:dyDescent="0.25">
      <c r="O16681" s="20" t="str">
        <f>IF(N16681="","",COUNTIFS(RawData[[Date ]],N16681,RawData[Month List],$Q$6,RawData[Tour/Site],$Q$2,RawData[[Picker ID ]],$Q$3,RawData[Checker ID],$Q$4,RawData[[Error Type ]],$Q$5))</f>
        <v/>
      </c>
    </row>
    <row r="16682" spans="15:15" x14ac:dyDescent="0.25">
      <c r="O16682" s="20" t="str">
        <f>IF(N16682="","",COUNTIFS(RawData[[Date ]],N16682,RawData[Month List],$Q$6,RawData[Tour/Site],$Q$2,RawData[[Picker ID ]],$Q$3,RawData[Checker ID],$Q$4,RawData[[Error Type ]],$Q$5))</f>
        <v/>
      </c>
    </row>
    <row r="16683" spans="15:15" x14ac:dyDescent="0.25">
      <c r="O16683" s="20" t="str">
        <f>IF(N16683="","",COUNTIFS(RawData[[Date ]],N16683,RawData[Month List],$Q$6,RawData[Tour/Site],$Q$2,RawData[[Picker ID ]],$Q$3,RawData[Checker ID],$Q$4,RawData[[Error Type ]],$Q$5))</f>
        <v/>
      </c>
    </row>
    <row r="16684" spans="15:15" x14ac:dyDescent="0.25">
      <c r="O16684" s="20" t="str">
        <f>IF(N16684="","",COUNTIFS(RawData[[Date ]],N16684,RawData[Month List],$Q$6,RawData[Tour/Site],$Q$2,RawData[[Picker ID ]],$Q$3,RawData[Checker ID],$Q$4,RawData[[Error Type ]],$Q$5))</f>
        <v/>
      </c>
    </row>
    <row r="16685" spans="15:15" x14ac:dyDescent="0.25">
      <c r="O16685" s="20" t="str">
        <f>IF(N16685="","",COUNTIFS(RawData[[Date ]],N16685,RawData[Month List],$Q$6,RawData[Tour/Site],$Q$2,RawData[[Picker ID ]],$Q$3,RawData[Checker ID],$Q$4,RawData[[Error Type ]],$Q$5))</f>
        <v/>
      </c>
    </row>
    <row r="16686" spans="15:15" x14ac:dyDescent="0.25">
      <c r="O16686" s="20" t="str">
        <f>IF(N16686="","",COUNTIFS(RawData[[Date ]],N16686,RawData[Month List],$Q$6,RawData[Tour/Site],$Q$2,RawData[[Picker ID ]],$Q$3,RawData[Checker ID],$Q$4,RawData[[Error Type ]],$Q$5))</f>
        <v/>
      </c>
    </row>
    <row r="16687" spans="15:15" x14ac:dyDescent="0.25">
      <c r="O16687" s="20" t="str">
        <f>IF(N16687="","",COUNTIFS(RawData[[Date ]],N16687,RawData[Month List],$Q$6,RawData[Tour/Site],$Q$2,RawData[[Picker ID ]],$Q$3,RawData[Checker ID],$Q$4,RawData[[Error Type ]],$Q$5))</f>
        <v/>
      </c>
    </row>
    <row r="16688" spans="15:15" x14ac:dyDescent="0.25">
      <c r="O16688" s="20" t="str">
        <f>IF(N16688="","",COUNTIFS(RawData[[Date ]],N16688,RawData[Month List],$Q$6,RawData[Tour/Site],$Q$2,RawData[[Picker ID ]],$Q$3,RawData[Checker ID],$Q$4,RawData[[Error Type ]],$Q$5))</f>
        <v/>
      </c>
    </row>
    <row r="16689" spans="15:15" x14ac:dyDescent="0.25">
      <c r="O16689" s="20" t="str">
        <f>IF(N16689="","",COUNTIFS(RawData[[Date ]],N16689,RawData[Month List],$Q$6,RawData[Tour/Site],$Q$2,RawData[[Picker ID ]],$Q$3,RawData[Checker ID],$Q$4,RawData[[Error Type ]],$Q$5))</f>
        <v/>
      </c>
    </row>
    <row r="16690" spans="15:15" x14ac:dyDescent="0.25">
      <c r="O16690" s="20" t="str">
        <f>IF(N16690="","",COUNTIFS(RawData[[Date ]],N16690,RawData[Month List],$Q$6,RawData[Tour/Site],$Q$2,RawData[[Picker ID ]],$Q$3,RawData[Checker ID],$Q$4,RawData[[Error Type ]],$Q$5))</f>
        <v/>
      </c>
    </row>
    <row r="16691" spans="15:15" x14ac:dyDescent="0.25">
      <c r="O16691" s="20" t="str">
        <f>IF(N16691="","",COUNTIFS(RawData[[Date ]],N16691,RawData[Month List],$Q$6,RawData[Tour/Site],$Q$2,RawData[[Picker ID ]],$Q$3,RawData[Checker ID],$Q$4,RawData[[Error Type ]],$Q$5))</f>
        <v/>
      </c>
    </row>
    <row r="16692" spans="15:15" x14ac:dyDescent="0.25">
      <c r="O16692" s="20" t="str">
        <f>IF(N16692="","",COUNTIFS(RawData[[Date ]],N16692,RawData[Month List],$Q$6,RawData[Tour/Site],$Q$2,RawData[[Picker ID ]],$Q$3,RawData[Checker ID],$Q$4,RawData[[Error Type ]],$Q$5))</f>
        <v/>
      </c>
    </row>
    <row r="16693" spans="15:15" x14ac:dyDescent="0.25">
      <c r="O16693" s="20" t="str">
        <f>IF(N16693="","",COUNTIFS(RawData[[Date ]],N16693,RawData[Month List],$Q$6,RawData[Tour/Site],$Q$2,RawData[[Picker ID ]],$Q$3,RawData[Checker ID],$Q$4,RawData[[Error Type ]],$Q$5))</f>
        <v/>
      </c>
    </row>
    <row r="16694" spans="15:15" x14ac:dyDescent="0.25">
      <c r="O16694" s="20" t="str">
        <f>IF(N16694="","",COUNTIFS(RawData[[Date ]],N16694,RawData[Month List],$Q$6,RawData[Tour/Site],$Q$2,RawData[[Picker ID ]],$Q$3,RawData[Checker ID],$Q$4,RawData[[Error Type ]],$Q$5))</f>
        <v/>
      </c>
    </row>
    <row r="16695" spans="15:15" x14ac:dyDescent="0.25">
      <c r="O16695" s="20" t="str">
        <f>IF(N16695="","",COUNTIFS(RawData[[Date ]],N16695,RawData[Month List],$Q$6,RawData[Tour/Site],$Q$2,RawData[[Picker ID ]],$Q$3,RawData[Checker ID],$Q$4,RawData[[Error Type ]],$Q$5))</f>
        <v/>
      </c>
    </row>
    <row r="16696" spans="15:15" x14ac:dyDescent="0.25">
      <c r="O16696" s="20" t="str">
        <f>IF(N16696="","",COUNTIFS(RawData[[Date ]],N16696,RawData[Month List],$Q$6,RawData[Tour/Site],$Q$2,RawData[[Picker ID ]],$Q$3,RawData[Checker ID],$Q$4,RawData[[Error Type ]],$Q$5))</f>
        <v/>
      </c>
    </row>
    <row r="16697" spans="15:15" x14ac:dyDescent="0.25">
      <c r="O16697" s="20" t="str">
        <f>IF(N16697="","",COUNTIFS(RawData[[Date ]],N16697,RawData[Month List],$Q$6,RawData[Tour/Site],$Q$2,RawData[[Picker ID ]],$Q$3,RawData[Checker ID],$Q$4,RawData[[Error Type ]],$Q$5))</f>
        <v/>
      </c>
    </row>
    <row r="16698" spans="15:15" x14ac:dyDescent="0.25">
      <c r="O16698" s="20" t="str">
        <f>IF(N16698="","",COUNTIFS(RawData[[Date ]],N16698,RawData[Month List],$Q$6,RawData[Tour/Site],$Q$2,RawData[[Picker ID ]],$Q$3,RawData[Checker ID],$Q$4,RawData[[Error Type ]],$Q$5))</f>
        <v/>
      </c>
    </row>
    <row r="16699" spans="15:15" x14ac:dyDescent="0.25">
      <c r="O16699" s="20" t="str">
        <f>IF(N16699="","",COUNTIFS(RawData[[Date ]],N16699,RawData[Month List],$Q$6,RawData[Tour/Site],$Q$2,RawData[[Picker ID ]],$Q$3,RawData[Checker ID],$Q$4,RawData[[Error Type ]],$Q$5))</f>
        <v/>
      </c>
    </row>
    <row r="16700" spans="15:15" x14ac:dyDescent="0.25">
      <c r="O16700" s="20" t="str">
        <f>IF(N16700="","",COUNTIFS(RawData[[Date ]],N16700,RawData[Month List],$Q$6,RawData[Tour/Site],$Q$2,RawData[[Picker ID ]],$Q$3,RawData[Checker ID],$Q$4,RawData[[Error Type ]],$Q$5))</f>
        <v/>
      </c>
    </row>
    <row r="16701" spans="15:15" x14ac:dyDescent="0.25">
      <c r="O16701" s="20" t="str">
        <f>IF(N16701="","",COUNTIFS(RawData[[Date ]],N16701,RawData[Month List],$Q$6,RawData[Tour/Site],$Q$2,RawData[[Picker ID ]],$Q$3,RawData[Checker ID],$Q$4,RawData[[Error Type ]],$Q$5))</f>
        <v/>
      </c>
    </row>
    <row r="16702" spans="15:15" x14ac:dyDescent="0.25">
      <c r="O16702" s="20" t="str">
        <f>IF(N16702="","",COUNTIFS(RawData[[Date ]],N16702,RawData[Month List],$Q$6,RawData[Tour/Site],$Q$2,RawData[[Picker ID ]],$Q$3,RawData[Checker ID],$Q$4,RawData[[Error Type ]],$Q$5))</f>
        <v/>
      </c>
    </row>
    <row r="16703" spans="15:15" x14ac:dyDescent="0.25">
      <c r="O16703" s="20" t="str">
        <f>IF(N16703="","",COUNTIFS(RawData[[Date ]],N16703,RawData[Month List],$Q$6,RawData[Tour/Site],$Q$2,RawData[[Picker ID ]],$Q$3,RawData[Checker ID],$Q$4,RawData[[Error Type ]],$Q$5))</f>
        <v/>
      </c>
    </row>
    <row r="16704" spans="15:15" x14ac:dyDescent="0.25">
      <c r="O16704" s="20" t="str">
        <f>IF(N16704="","",COUNTIFS(RawData[[Date ]],N16704,RawData[Month List],$Q$6,RawData[Tour/Site],$Q$2,RawData[[Picker ID ]],$Q$3,RawData[Checker ID],$Q$4,RawData[[Error Type ]],$Q$5))</f>
        <v/>
      </c>
    </row>
    <row r="16705" spans="15:15" x14ac:dyDescent="0.25">
      <c r="O16705" s="20" t="str">
        <f>IF(N16705="","",COUNTIFS(RawData[[Date ]],N16705,RawData[Month List],$Q$6,RawData[Tour/Site],$Q$2,RawData[[Picker ID ]],$Q$3,RawData[Checker ID],$Q$4,RawData[[Error Type ]],$Q$5))</f>
        <v/>
      </c>
    </row>
    <row r="16706" spans="15:15" x14ac:dyDescent="0.25">
      <c r="O16706" s="20" t="str">
        <f>IF(N16706="","",COUNTIFS(RawData[[Date ]],N16706,RawData[Month List],$Q$6,RawData[Tour/Site],$Q$2,RawData[[Picker ID ]],$Q$3,RawData[Checker ID],$Q$4,RawData[[Error Type ]],$Q$5))</f>
        <v/>
      </c>
    </row>
    <row r="16707" spans="15:15" x14ac:dyDescent="0.25">
      <c r="O16707" s="20" t="str">
        <f>IF(N16707="","",COUNTIFS(RawData[[Date ]],N16707,RawData[Month List],$Q$6,RawData[Tour/Site],$Q$2,RawData[[Picker ID ]],$Q$3,RawData[Checker ID],$Q$4,RawData[[Error Type ]],$Q$5))</f>
        <v/>
      </c>
    </row>
    <row r="16708" spans="15:15" x14ac:dyDescent="0.25">
      <c r="O16708" s="20" t="str">
        <f>IF(N16708="","",COUNTIFS(RawData[[Date ]],N16708,RawData[Month List],$Q$6,RawData[Tour/Site],$Q$2,RawData[[Picker ID ]],$Q$3,RawData[Checker ID],$Q$4,RawData[[Error Type ]],$Q$5))</f>
        <v/>
      </c>
    </row>
    <row r="16709" spans="15:15" x14ac:dyDescent="0.25">
      <c r="O16709" s="20" t="str">
        <f>IF(N16709="","",COUNTIFS(RawData[[Date ]],N16709,RawData[Month List],$Q$6,RawData[Tour/Site],$Q$2,RawData[[Picker ID ]],$Q$3,RawData[Checker ID],$Q$4,RawData[[Error Type ]],$Q$5))</f>
        <v/>
      </c>
    </row>
    <row r="16710" spans="15:15" x14ac:dyDescent="0.25">
      <c r="O16710" s="20" t="str">
        <f>IF(N16710="","",COUNTIFS(RawData[[Date ]],N16710,RawData[Month List],$Q$6,RawData[Tour/Site],$Q$2,RawData[[Picker ID ]],$Q$3,RawData[Checker ID],$Q$4,RawData[[Error Type ]],$Q$5))</f>
        <v/>
      </c>
    </row>
    <row r="16711" spans="15:15" x14ac:dyDescent="0.25">
      <c r="O16711" s="20" t="str">
        <f>IF(N16711="","",COUNTIFS(RawData[[Date ]],N16711,RawData[Month List],$Q$6,RawData[Tour/Site],$Q$2,RawData[[Picker ID ]],$Q$3,RawData[Checker ID],$Q$4,RawData[[Error Type ]],$Q$5))</f>
        <v/>
      </c>
    </row>
    <row r="16712" spans="15:15" x14ac:dyDescent="0.25">
      <c r="O16712" s="20" t="str">
        <f>IF(N16712="","",COUNTIFS(RawData[[Date ]],N16712,RawData[Month List],$Q$6,RawData[Tour/Site],$Q$2,RawData[[Picker ID ]],$Q$3,RawData[Checker ID],$Q$4,RawData[[Error Type ]],$Q$5))</f>
        <v/>
      </c>
    </row>
    <row r="16713" spans="15:15" x14ac:dyDescent="0.25">
      <c r="O16713" s="20" t="str">
        <f>IF(N16713="","",COUNTIFS(RawData[[Date ]],N16713,RawData[Month List],$Q$6,RawData[Tour/Site],$Q$2,RawData[[Picker ID ]],$Q$3,RawData[Checker ID],$Q$4,RawData[[Error Type ]],$Q$5))</f>
        <v/>
      </c>
    </row>
    <row r="16714" spans="15:15" x14ac:dyDescent="0.25">
      <c r="O16714" s="20" t="str">
        <f>IF(N16714="","",COUNTIFS(RawData[[Date ]],N16714,RawData[Month List],$Q$6,RawData[Tour/Site],$Q$2,RawData[[Picker ID ]],$Q$3,RawData[Checker ID],$Q$4,RawData[[Error Type ]],$Q$5))</f>
        <v/>
      </c>
    </row>
    <row r="16715" spans="15:15" x14ac:dyDescent="0.25">
      <c r="O16715" s="20" t="str">
        <f>IF(N16715="","",COUNTIFS(RawData[[Date ]],N16715,RawData[Month List],$Q$6,RawData[Tour/Site],$Q$2,RawData[[Picker ID ]],$Q$3,RawData[Checker ID],$Q$4,RawData[[Error Type ]],$Q$5))</f>
        <v/>
      </c>
    </row>
    <row r="16716" spans="15:15" x14ac:dyDescent="0.25">
      <c r="O16716" s="20" t="str">
        <f>IF(N16716="","",COUNTIFS(RawData[[Date ]],N16716,RawData[Month List],$Q$6,RawData[Tour/Site],$Q$2,RawData[[Picker ID ]],$Q$3,RawData[Checker ID],$Q$4,RawData[[Error Type ]],$Q$5))</f>
        <v/>
      </c>
    </row>
    <row r="16717" spans="15:15" x14ac:dyDescent="0.25">
      <c r="O16717" s="20" t="str">
        <f>IF(N16717="","",COUNTIFS(RawData[[Date ]],N16717,RawData[Month List],$Q$6,RawData[Tour/Site],$Q$2,RawData[[Picker ID ]],$Q$3,RawData[Checker ID],$Q$4,RawData[[Error Type ]],$Q$5))</f>
        <v/>
      </c>
    </row>
    <row r="16718" spans="15:15" x14ac:dyDescent="0.25">
      <c r="O16718" s="20" t="str">
        <f>IF(N16718="","",COUNTIFS(RawData[[Date ]],N16718,RawData[Month List],$Q$6,RawData[Tour/Site],$Q$2,RawData[[Picker ID ]],$Q$3,RawData[Checker ID],$Q$4,RawData[[Error Type ]],$Q$5))</f>
        <v/>
      </c>
    </row>
    <row r="16719" spans="15:15" x14ac:dyDescent="0.25">
      <c r="O16719" s="20" t="str">
        <f>IF(N16719="","",COUNTIFS(RawData[[Date ]],N16719,RawData[Month List],$Q$6,RawData[Tour/Site],$Q$2,RawData[[Picker ID ]],$Q$3,RawData[Checker ID],$Q$4,RawData[[Error Type ]],$Q$5))</f>
        <v/>
      </c>
    </row>
    <row r="16720" spans="15:15" x14ac:dyDescent="0.25">
      <c r="O16720" s="20" t="str">
        <f>IF(N16720="","",COUNTIFS(RawData[[Date ]],N16720,RawData[Month List],$Q$6,RawData[Tour/Site],$Q$2,RawData[[Picker ID ]],$Q$3,RawData[Checker ID],$Q$4,RawData[[Error Type ]],$Q$5))</f>
        <v/>
      </c>
    </row>
    <row r="16721" spans="15:15" x14ac:dyDescent="0.25">
      <c r="O16721" s="20" t="str">
        <f>IF(N16721="","",COUNTIFS(RawData[[Date ]],N16721,RawData[Month List],$Q$6,RawData[Tour/Site],$Q$2,RawData[[Picker ID ]],$Q$3,RawData[Checker ID],$Q$4,RawData[[Error Type ]],$Q$5))</f>
        <v/>
      </c>
    </row>
    <row r="16722" spans="15:15" x14ac:dyDescent="0.25">
      <c r="O16722" s="20" t="str">
        <f>IF(N16722="","",COUNTIFS(RawData[[Date ]],N16722,RawData[Month List],$Q$6,RawData[Tour/Site],$Q$2,RawData[[Picker ID ]],$Q$3,RawData[Checker ID],$Q$4,RawData[[Error Type ]],$Q$5))</f>
        <v/>
      </c>
    </row>
    <row r="16723" spans="15:15" x14ac:dyDescent="0.25">
      <c r="O16723" s="20" t="str">
        <f>IF(N16723="","",COUNTIFS(RawData[[Date ]],N16723,RawData[Month List],$Q$6,RawData[Tour/Site],$Q$2,RawData[[Picker ID ]],$Q$3,RawData[Checker ID],$Q$4,RawData[[Error Type ]],$Q$5))</f>
        <v/>
      </c>
    </row>
    <row r="16724" spans="15:15" x14ac:dyDescent="0.25">
      <c r="O16724" s="20" t="str">
        <f>IF(N16724="","",COUNTIFS(RawData[[Date ]],N16724,RawData[Month List],$Q$6,RawData[Tour/Site],$Q$2,RawData[[Picker ID ]],$Q$3,RawData[Checker ID],$Q$4,RawData[[Error Type ]],$Q$5))</f>
        <v/>
      </c>
    </row>
    <row r="16725" spans="15:15" x14ac:dyDescent="0.25">
      <c r="O16725" s="20" t="str">
        <f>IF(N16725="","",COUNTIFS(RawData[[Date ]],N16725,RawData[Month List],$Q$6,RawData[Tour/Site],$Q$2,RawData[[Picker ID ]],$Q$3,RawData[Checker ID],$Q$4,RawData[[Error Type ]],$Q$5))</f>
        <v/>
      </c>
    </row>
    <row r="16726" spans="15:15" x14ac:dyDescent="0.25">
      <c r="O16726" s="20" t="str">
        <f>IF(N16726="","",COUNTIFS(RawData[[Date ]],N16726,RawData[Month List],$Q$6,RawData[Tour/Site],$Q$2,RawData[[Picker ID ]],$Q$3,RawData[Checker ID],$Q$4,RawData[[Error Type ]],$Q$5))</f>
        <v/>
      </c>
    </row>
    <row r="16727" spans="15:15" x14ac:dyDescent="0.25">
      <c r="O16727" s="20" t="str">
        <f>IF(N16727="","",COUNTIFS(RawData[[Date ]],N16727,RawData[Month List],$Q$6,RawData[Tour/Site],$Q$2,RawData[[Picker ID ]],$Q$3,RawData[Checker ID],$Q$4,RawData[[Error Type ]],$Q$5))</f>
        <v/>
      </c>
    </row>
    <row r="16728" spans="15:15" x14ac:dyDescent="0.25">
      <c r="O16728" s="20" t="str">
        <f>IF(N16728="","",COUNTIFS(RawData[[Date ]],N16728,RawData[Month List],$Q$6,RawData[Tour/Site],$Q$2,RawData[[Picker ID ]],$Q$3,RawData[Checker ID],$Q$4,RawData[[Error Type ]],$Q$5))</f>
        <v/>
      </c>
    </row>
    <row r="16729" spans="15:15" x14ac:dyDescent="0.25">
      <c r="O16729" s="20" t="str">
        <f>IF(N16729="","",COUNTIFS(RawData[[Date ]],N16729,RawData[Month List],$Q$6,RawData[Tour/Site],$Q$2,RawData[[Picker ID ]],$Q$3,RawData[Checker ID],$Q$4,RawData[[Error Type ]],$Q$5))</f>
        <v/>
      </c>
    </row>
    <row r="16730" spans="15:15" x14ac:dyDescent="0.25">
      <c r="O16730" s="20" t="str">
        <f>IF(N16730="","",COUNTIFS(RawData[[Date ]],N16730,RawData[Month List],$Q$6,RawData[Tour/Site],$Q$2,RawData[[Picker ID ]],$Q$3,RawData[Checker ID],$Q$4,RawData[[Error Type ]],$Q$5))</f>
        <v/>
      </c>
    </row>
    <row r="16731" spans="15:15" x14ac:dyDescent="0.25">
      <c r="O16731" s="20" t="str">
        <f>IF(N16731="","",COUNTIFS(RawData[[Date ]],N16731,RawData[Month List],$Q$6,RawData[Tour/Site],$Q$2,RawData[[Picker ID ]],$Q$3,RawData[Checker ID],$Q$4,RawData[[Error Type ]],$Q$5))</f>
        <v/>
      </c>
    </row>
    <row r="16732" spans="15:15" x14ac:dyDescent="0.25">
      <c r="O16732" s="20" t="str">
        <f>IF(N16732="","",COUNTIFS(RawData[[Date ]],N16732,RawData[Month List],$Q$6,RawData[Tour/Site],$Q$2,RawData[[Picker ID ]],$Q$3,RawData[Checker ID],$Q$4,RawData[[Error Type ]],$Q$5))</f>
        <v/>
      </c>
    </row>
    <row r="16733" spans="15:15" x14ac:dyDescent="0.25">
      <c r="O16733" s="20" t="str">
        <f>IF(N16733="","",COUNTIFS(RawData[[Date ]],N16733,RawData[Month List],$Q$6,RawData[Tour/Site],$Q$2,RawData[[Picker ID ]],$Q$3,RawData[Checker ID],$Q$4,RawData[[Error Type ]],$Q$5))</f>
        <v/>
      </c>
    </row>
    <row r="16734" spans="15:15" x14ac:dyDescent="0.25">
      <c r="O16734" s="20" t="str">
        <f>IF(N16734="","",COUNTIFS(RawData[[Date ]],N16734,RawData[Month List],$Q$6,RawData[Tour/Site],$Q$2,RawData[[Picker ID ]],$Q$3,RawData[Checker ID],$Q$4,RawData[[Error Type ]],$Q$5))</f>
        <v/>
      </c>
    </row>
    <row r="16735" spans="15:15" x14ac:dyDescent="0.25">
      <c r="O16735" s="20" t="str">
        <f>IF(N16735="","",COUNTIFS(RawData[[Date ]],N16735,RawData[Month List],$Q$6,RawData[Tour/Site],$Q$2,RawData[[Picker ID ]],$Q$3,RawData[Checker ID],$Q$4,RawData[[Error Type ]],$Q$5))</f>
        <v/>
      </c>
    </row>
    <row r="16736" spans="15:15" x14ac:dyDescent="0.25">
      <c r="O16736" s="20" t="str">
        <f>IF(N16736="","",COUNTIFS(RawData[[Date ]],N16736,RawData[Month List],$Q$6,RawData[Tour/Site],$Q$2,RawData[[Picker ID ]],$Q$3,RawData[Checker ID],$Q$4,RawData[[Error Type ]],$Q$5))</f>
        <v/>
      </c>
    </row>
    <row r="16737" spans="15:15" x14ac:dyDescent="0.25">
      <c r="O16737" s="20" t="str">
        <f>IF(N16737="","",COUNTIFS(RawData[[Date ]],N16737,RawData[Month List],$Q$6,RawData[Tour/Site],$Q$2,RawData[[Picker ID ]],$Q$3,RawData[Checker ID],$Q$4,RawData[[Error Type ]],$Q$5))</f>
        <v/>
      </c>
    </row>
    <row r="16738" spans="15:15" x14ac:dyDescent="0.25">
      <c r="O16738" s="20" t="str">
        <f>IF(N16738="","",COUNTIFS(RawData[[Date ]],N16738,RawData[Month List],$Q$6,RawData[Tour/Site],$Q$2,RawData[[Picker ID ]],$Q$3,RawData[Checker ID],$Q$4,RawData[[Error Type ]],$Q$5))</f>
        <v/>
      </c>
    </row>
    <row r="16739" spans="15:15" x14ac:dyDescent="0.25">
      <c r="O16739" s="20" t="str">
        <f>IF(N16739="","",COUNTIFS(RawData[[Date ]],N16739,RawData[Month List],$Q$6,RawData[Tour/Site],$Q$2,RawData[[Picker ID ]],$Q$3,RawData[Checker ID],$Q$4,RawData[[Error Type ]],$Q$5))</f>
        <v/>
      </c>
    </row>
    <row r="16740" spans="15:15" x14ac:dyDescent="0.25">
      <c r="O16740" s="20" t="str">
        <f>IF(N16740="","",COUNTIFS(RawData[[Date ]],N16740,RawData[Month List],$Q$6,RawData[Tour/Site],$Q$2,RawData[[Picker ID ]],$Q$3,RawData[Checker ID],$Q$4,RawData[[Error Type ]],$Q$5))</f>
        <v/>
      </c>
    </row>
    <row r="16741" spans="15:15" x14ac:dyDescent="0.25">
      <c r="O16741" s="20" t="str">
        <f>IF(N16741="","",COUNTIFS(RawData[[Date ]],N16741,RawData[Month List],$Q$6,RawData[Tour/Site],$Q$2,RawData[[Picker ID ]],$Q$3,RawData[Checker ID],$Q$4,RawData[[Error Type ]],$Q$5))</f>
        <v/>
      </c>
    </row>
    <row r="16742" spans="15:15" x14ac:dyDescent="0.25">
      <c r="O16742" s="20" t="str">
        <f>IF(N16742="","",COUNTIFS(RawData[[Date ]],N16742,RawData[Month List],$Q$6,RawData[Tour/Site],$Q$2,RawData[[Picker ID ]],$Q$3,RawData[Checker ID],$Q$4,RawData[[Error Type ]],$Q$5))</f>
        <v/>
      </c>
    </row>
    <row r="16743" spans="15:15" x14ac:dyDescent="0.25">
      <c r="O16743" s="20" t="str">
        <f>IF(N16743="","",COUNTIFS(RawData[[Date ]],N16743,RawData[Month List],$Q$6,RawData[Tour/Site],$Q$2,RawData[[Picker ID ]],$Q$3,RawData[Checker ID],$Q$4,RawData[[Error Type ]],$Q$5))</f>
        <v/>
      </c>
    </row>
    <row r="16744" spans="15:15" x14ac:dyDescent="0.25">
      <c r="O16744" s="20" t="str">
        <f>IF(N16744="","",COUNTIFS(RawData[[Date ]],N16744,RawData[Month List],$Q$6,RawData[Tour/Site],$Q$2,RawData[[Picker ID ]],$Q$3,RawData[Checker ID],$Q$4,RawData[[Error Type ]],$Q$5))</f>
        <v/>
      </c>
    </row>
    <row r="16745" spans="15:15" x14ac:dyDescent="0.25">
      <c r="O16745" s="20" t="str">
        <f>IF(N16745="","",COUNTIFS(RawData[[Date ]],N16745,RawData[Month List],$Q$6,RawData[Tour/Site],$Q$2,RawData[[Picker ID ]],$Q$3,RawData[Checker ID],$Q$4,RawData[[Error Type ]],$Q$5))</f>
        <v/>
      </c>
    </row>
    <row r="16746" spans="15:15" x14ac:dyDescent="0.25">
      <c r="O16746" s="20" t="str">
        <f>IF(N16746="","",COUNTIFS(RawData[[Date ]],N16746,RawData[Month List],$Q$6,RawData[Tour/Site],$Q$2,RawData[[Picker ID ]],$Q$3,RawData[Checker ID],$Q$4,RawData[[Error Type ]],$Q$5))</f>
        <v/>
      </c>
    </row>
    <row r="16747" spans="15:15" x14ac:dyDescent="0.25">
      <c r="O16747" s="20" t="str">
        <f>IF(N16747="","",COUNTIFS(RawData[[Date ]],N16747,RawData[Month List],$Q$6,RawData[Tour/Site],$Q$2,RawData[[Picker ID ]],$Q$3,RawData[Checker ID],$Q$4,RawData[[Error Type ]],$Q$5))</f>
        <v/>
      </c>
    </row>
    <row r="16748" spans="15:15" x14ac:dyDescent="0.25">
      <c r="O16748" s="20" t="str">
        <f>IF(N16748="","",COUNTIFS(RawData[[Date ]],N16748,RawData[Month List],$Q$6,RawData[Tour/Site],$Q$2,RawData[[Picker ID ]],$Q$3,RawData[Checker ID],$Q$4,RawData[[Error Type ]],$Q$5))</f>
        <v/>
      </c>
    </row>
    <row r="16749" spans="15:15" x14ac:dyDescent="0.25">
      <c r="O16749" s="20" t="str">
        <f>IF(N16749="","",COUNTIFS(RawData[[Date ]],N16749,RawData[Month List],$Q$6,RawData[Tour/Site],$Q$2,RawData[[Picker ID ]],$Q$3,RawData[Checker ID],$Q$4,RawData[[Error Type ]],$Q$5))</f>
        <v/>
      </c>
    </row>
    <row r="16750" spans="15:15" x14ac:dyDescent="0.25">
      <c r="O16750" s="20" t="str">
        <f>IF(N16750="","",COUNTIFS(RawData[[Date ]],N16750,RawData[Month List],$Q$6,RawData[Tour/Site],$Q$2,RawData[[Picker ID ]],$Q$3,RawData[Checker ID],$Q$4,RawData[[Error Type ]],$Q$5))</f>
        <v/>
      </c>
    </row>
    <row r="16751" spans="15:15" x14ac:dyDescent="0.25">
      <c r="O16751" s="20" t="str">
        <f>IF(N16751="","",COUNTIFS(RawData[[Date ]],N16751,RawData[Month List],$Q$6,RawData[Tour/Site],$Q$2,RawData[[Picker ID ]],$Q$3,RawData[Checker ID],$Q$4,RawData[[Error Type ]],$Q$5))</f>
        <v/>
      </c>
    </row>
    <row r="16752" spans="15:15" x14ac:dyDescent="0.25">
      <c r="O16752" s="20" t="str">
        <f>IF(N16752="","",COUNTIFS(RawData[[Date ]],N16752,RawData[Month List],$Q$6,RawData[Tour/Site],$Q$2,RawData[[Picker ID ]],$Q$3,RawData[Checker ID],$Q$4,RawData[[Error Type ]],$Q$5))</f>
        <v/>
      </c>
    </row>
    <row r="16753" spans="15:15" x14ac:dyDescent="0.25">
      <c r="O16753" s="20" t="str">
        <f>IF(N16753="","",COUNTIFS(RawData[[Date ]],N16753,RawData[Month List],$Q$6,RawData[Tour/Site],$Q$2,RawData[[Picker ID ]],$Q$3,RawData[Checker ID],$Q$4,RawData[[Error Type ]],$Q$5))</f>
        <v/>
      </c>
    </row>
    <row r="16754" spans="15:15" x14ac:dyDescent="0.25">
      <c r="O16754" s="20" t="str">
        <f>IF(N16754="","",COUNTIFS(RawData[[Date ]],N16754,RawData[Month List],$Q$6,RawData[Tour/Site],$Q$2,RawData[[Picker ID ]],$Q$3,RawData[Checker ID],$Q$4,RawData[[Error Type ]],$Q$5))</f>
        <v/>
      </c>
    </row>
    <row r="16755" spans="15:15" x14ac:dyDescent="0.25">
      <c r="O16755" s="20" t="str">
        <f>IF(N16755="","",COUNTIFS(RawData[[Date ]],N16755,RawData[Month List],$Q$6,RawData[Tour/Site],$Q$2,RawData[[Picker ID ]],$Q$3,RawData[Checker ID],$Q$4,RawData[[Error Type ]],$Q$5))</f>
        <v/>
      </c>
    </row>
    <row r="16756" spans="15:15" x14ac:dyDescent="0.25">
      <c r="O16756" s="20" t="str">
        <f>IF(N16756="","",COUNTIFS(RawData[[Date ]],N16756,RawData[Month List],$Q$6,RawData[Tour/Site],$Q$2,RawData[[Picker ID ]],$Q$3,RawData[Checker ID],$Q$4,RawData[[Error Type ]],$Q$5))</f>
        <v/>
      </c>
    </row>
    <row r="16757" spans="15:15" x14ac:dyDescent="0.25">
      <c r="O16757" s="20" t="str">
        <f>IF(N16757="","",COUNTIFS(RawData[[Date ]],N16757,RawData[Month List],$Q$6,RawData[Tour/Site],$Q$2,RawData[[Picker ID ]],$Q$3,RawData[Checker ID],$Q$4,RawData[[Error Type ]],$Q$5))</f>
        <v/>
      </c>
    </row>
    <row r="16758" spans="15:15" x14ac:dyDescent="0.25">
      <c r="O16758" s="20" t="str">
        <f>IF(N16758="","",COUNTIFS(RawData[[Date ]],N16758,RawData[Month List],$Q$6,RawData[Tour/Site],$Q$2,RawData[[Picker ID ]],$Q$3,RawData[Checker ID],$Q$4,RawData[[Error Type ]],$Q$5))</f>
        <v/>
      </c>
    </row>
    <row r="16759" spans="15:15" x14ac:dyDescent="0.25">
      <c r="O16759" s="20" t="str">
        <f>IF(N16759="","",COUNTIFS(RawData[[Date ]],N16759,RawData[Month List],$Q$6,RawData[Tour/Site],$Q$2,RawData[[Picker ID ]],$Q$3,RawData[Checker ID],$Q$4,RawData[[Error Type ]],$Q$5))</f>
        <v/>
      </c>
    </row>
    <row r="16760" spans="15:15" x14ac:dyDescent="0.25">
      <c r="O16760" s="20" t="str">
        <f>IF(N16760="","",COUNTIFS(RawData[[Date ]],N16760,RawData[Month List],$Q$6,RawData[Tour/Site],$Q$2,RawData[[Picker ID ]],$Q$3,RawData[Checker ID],$Q$4,RawData[[Error Type ]],$Q$5))</f>
        <v/>
      </c>
    </row>
    <row r="16761" spans="15:15" x14ac:dyDescent="0.25">
      <c r="O16761" s="20" t="str">
        <f>IF(N16761="","",COUNTIFS(RawData[[Date ]],N16761,RawData[Month List],$Q$6,RawData[Tour/Site],$Q$2,RawData[[Picker ID ]],$Q$3,RawData[Checker ID],$Q$4,RawData[[Error Type ]],$Q$5))</f>
        <v/>
      </c>
    </row>
    <row r="16762" spans="15:15" x14ac:dyDescent="0.25">
      <c r="O16762" s="20" t="str">
        <f>IF(N16762="","",COUNTIFS(RawData[[Date ]],N16762,RawData[Month List],$Q$6,RawData[Tour/Site],$Q$2,RawData[[Picker ID ]],$Q$3,RawData[Checker ID],$Q$4,RawData[[Error Type ]],$Q$5))</f>
        <v/>
      </c>
    </row>
    <row r="16763" spans="15:15" x14ac:dyDescent="0.25">
      <c r="O16763" s="20" t="str">
        <f>IF(N16763="","",COUNTIFS(RawData[[Date ]],N16763,RawData[Month List],$Q$6,RawData[Tour/Site],$Q$2,RawData[[Picker ID ]],$Q$3,RawData[Checker ID],$Q$4,RawData[[Error Type ]],$Q$5))</f>
        <v/>
      </c>
    </row>
    <row r="16764" spans="15:15" x14ac:dyDescent="0.25">
      <c r="O16764" s="20" t="str">
        <f>IF(N16764="","",COUNTIFS(RawData[[Date ]],N16764,RawData[Month List],$Q$6,RawData[Tour/Site],$Q$2,RawData[[Picker ID ]],$Q$3,RawData[Checker ID],$Q$4,RawData[[Error Type ]],$Q$5))</f>
        <v/>
      </c>
    </row>
    <row r="16765" spans="15:15" x14ac:dyDescent="0.25">
      <c r="O16765" s="20" t="str">
        <f>IF(N16765="","",COUNTIFS(RawData[[Date ]],N16765,RawData[Month List],$Q$6,RawData[Tour/Site],$Q$2,RawData[[Picker ID ]],$Q$3,RawData[Checker ID],$Q$4,RawData[[Error Type ]],$Q$5))</f>
        <v/>
      </c>
    </row>
    <row r="16766" spans="15:15" x14ac:dyDescent="0.25">
      <c r="O16766" s="20" t="str">
        <f>IF(N16766="","",COUNTIFS(RawData[[Date ]],N16766,RawData[Month List],$Q$6,RawData[Tour/Site],$Q$2,RawData[[Picker ID ]],$Q$3,RawData[Checker ID],$Q$4,RawData[[Error Type ]],$Q$5))</f>
        <v/>
      </c>
    </row>
    <row r="16767" spans="15:15" x14ac:dyDescent="0.25">
      <c r="O16767" s="20" t="str">
        <f>IF(N16767="","",COUNTIFS(RawData[[Date ]],N16767,RawData[Month List],$Q$6,RawData[Tour/Site],$Q$2,RawData[[Picker ID ]],$Q$3,RawData[Checker ID],$Q$4,RawData[[Error Type ]],$Q$5))</f>
        <v/>
      </c>
    </row>
    <row r="16768" spans="15:15" x14ac:dyDescent="0.25">
      <c r="O16768" s="20" t="str">
        <f>IF(N16768="","",COUNTIFS(RawData[[Date ]],N16768,RawData[Month List],$Q$6,RawData[Tour/Site],$Q$2,RawData[[Picker ID ]],$Q$3,RawData[Checker ID],$Q$4,RawData[[Error Type ]],$Q$5))</f>
        <v/>
      </c>
    </row>
    <row r="16769" spans="15:15" x14ac:dyDescent="0.25">
      <c r="O16769" s="20" t="str">
        <f>IF(N16769="","",COUNTIFS(RawData[[Date ]],N16769,RawData[Month List],$Q$6,RawData[Tour/Site],$Q$2,RawData[[Picker ID ]],$Q$3,RawData[Checker ID],$Q$4,RawData[[Error Type ]],$Q$5))</f>
        <v/>
      </c>
    </row>
    <row r="16770" spans="15:15" x14ac:dyDescent="0.25">
      <c r="O16770" s="20" t="str">
        <f>IF(N16770="","",COUNTIFS(RawData[[Date ]],N16770,RawData[Month List],$Q$6,RawData[Tour/Site],$Q$2,RawData[[Picker ID ]],$Q$3,RawData[Checker ID],$Q$4,RawData[[Error Type ]],$Q$5))</f>
        <v/>
      </c>
    </row>
    <row r="16771" spans="15:15" x14ac:dyDescent="0.25">
      <c r="O16771" s="20" t="str">
        <f>IF(N16771="","",COUNTIFS(RawData[[Date ]],N16771,RawData[Month List],$Q$6,RawData[Tour/Site],$Q$2,RawData[[Picker ID ]],$Q$3,RawData[Checker ID],$Q$4,RawData[[Error Type ]],$Q$5))</f>
        <v/>
      </c>
    </row>
    <row r="16772" spans="15:15" x14ac:dyDescent="0.25">
      <c r="O16772" s="20" t="str">
        <f>IF(N16772="","",COUNTIFS(RawData[[Date ]],N16772,RawData[Month List],$Q$6,RawData[Tour/Site],$Q$2,RawData[[Picker ID ]],$Q$3,RawData[Checker ID],$Q$4,RawData[[Error Type ]],$Q$5))</f>
        <v/>
      </c>
    </row>
    <row r="16773" spans="15:15" x14ac:dyDescent="0.25">
      <c r="O16773" s="20" t="str">
        <f>IF(N16773="","",COUNTIFS(RawData[[Date ]],N16773,RawData[Month List],$Q$6,RawData[Tour/Site],$Q$2,RawData[[Picker ID ]],$Q$3,RawData[Checker ID],$Q$4,RawData[[Error Type ]],$Q$5))</f>
        <v/>
      </c>
    </row>
    <row r="16774" spans="15:15" x14ac:dyDescent="0.25">
      <c r="O16774" s="20" t="str">
        <f>IF(N16774="","",COUNTIFS(RawData[[Date ]],N16774,RawData[Month List],$Q$6,RawData[Tour/Site],$Q$2,RawData[[Picker ID ]],$Q$3,RawData[Checker ID],$Q$4,RawData[[Error Type ]],$Q$5))</f>
        <v/>
      </c>
    </row>
    <row r="16775" spans="15:15" x14ac:dyDescent="0.25">
      <c r="O16775" s="20" t="str">
        <f>IF(N16775="","",COUNTIFS(RawData[[Date ]],N16775,RawData[Month List],$Q$6,RawData[Tour/Site],$Q$2,RawData[[Picker ID ]],$Q$3,RawData[Checker ID],$Q$4,RawData[[Error Type ]],$Q$5))</f>
        <v/>
      </c>
    </row>
    <row r="16776" spans="15:15" x14ac:dyDescent="0.25">
      <c r="O16776" s="20" t="str">
        <f>IF(N16776="","",COUNTIFS(RawData[[Date ]],N16776,RawData[Month List],$Q$6,RawData[Tour/Site],$Q$2,RawData[[Picker ID ]],$Q$3,RawData[Checker ID],$Q$4,RawData[[Error Type ]],$Q$5))</f>
        <v/>
      </c>
    </row>
    <row r="16777" spans="15:15" x14ac:dyDescent="0.25">
      <c r="O16777" s="20" t="str">
        <f>IF(N16777="","",COUNTIFS(RawData[[Date ]],N16777,RawData[Month List],$Q$6,RawData[Tour/Site],$Q$2,RawData[[Picker ID ]],$Q$3,RawData[Checker ID],$Q$4,RawData[[Error Type ]],$Q$5))</f>
        <v/>
      </c>
    </row>
    <row r="16778" spans="15:15" x14ac:dyDescent="0.25">
      <c r="O16778" s="20" t="str">
        <f>IF(N16778="","",COUNTIFS(RawData[[Date ]],N16778,RawData[Month List],$Q$6,RawData[Tour/Site],$Q$2,RawData[[Picker ID ]],$Q$3,RawData[Checker ID],$Q$4,RawData[[Error Type ]],$Q$5))</f>
        <v/>
      </c>
    </row>
    <row r="16779" spans="15:15" x14ac:dyDescent="0.25">
      <c r="O16779" s="20" t="str">
        <f>IF(N16779="","",COUNTIFS(RawData[[Date ]],N16779,RawData[Month List],$Q$6,RawData[Tour/Site],$Q$2,RawData[[Picker ID ]],$Q$3,RawData[Checker ID],$Q$4,RawData[[Error Type ]],$Q$5))</f>
        <v/>
      </c>
    </row>
    <row r="16780" spans="15:15" x14ac:dyDescent="0.25">
      <c r="O16780" s="20" t="str">
        <f>IF(N16780="","",COUNTIFS(RawData[[Date ]],N16780,RawData[Month List],$Q$6,RawData[Tour/Site],$Q$2,RawData[[Picker ID ]],$Q$3,RawData[Checker ID],$Q$4,RawData[[Error Type ]],$Q$5))</f>
        <v/>
      </c>
    </row>
    <row r="16781" spans="15:15" x14ac:dyDescent="0.25">
      <c r="O16781" s="20" t="str">
        <f>IF(N16781="","",COUNTIFS(RawData[[Date ]],N16781,RawData[Month List],$Q$6,RawData[Tour/Site],$Q$2,RawData[[Picker ID ]],$Q$3,RawData[Checker ID],$Q$4,RawData[[Error Type ]],$Q$5))</f>
        <v/>
      </c>
    </row>
    <row r="16782" spans="15:15" x14ac:dyDescent="0.25">
      <c r="O16782" s="20" t="str">
        <f>IF(N16782="","",COUNTIFS(RawData[[Date ]],N16782,RawData[Month List],$Q$6,RawData[Tour/Site],$Q$2,RawData[[Picker ID ]],$Q$3,RawData[Checker ID],$Q$4,RawData[[Error Type ]],$Q$5))</f>
        <v/>
      </c>
    </row>
    <row r="16783" spans="15:15" x14ac:dyDescent="0.25">
      <c r="O16783" s="20" t="str">
        <f>IF(N16783="","",COUNTIFS(RawData[[Date ]],N16783,RawData[Month List],$Q$6,RawData[Tour/Site],$Q$2,RawData[[Picker ID ]],$Q$3,RawData[Checker ID],$Q$4,RawData[[Error Type ]],$Q$5))</f>
        <v/>
      </c>
    </row>
    <row r="16784" spans="15:15" x14ac:dyDescent="0.25">
      <c r="O16784" s="20" t="str">
        <f>IF(N16784="","",COUNTIFS(RawData[[Date ]],N16784,RawData[Month List],$Q$6,RawData[Tour/Site],$Q$2,RawData[[Picker ID ]],$Q$3,RawData[Checker ID],$Q$4,RawData[[Error Type ]],$Q$5))</f>
        <v/>
      </c>
    </row>
    <row r="16785" spans="15:15" x14ac:dyDescent="0.25">
      <c r="O16785" s="20" t="str">
        <f>IF(N16785="","",COUNTIFS(RawData[[Date ]],N16785,RawData[Month List],$Q$6,RawData[Tour/Site],$Q$2,RawData[[Picker ID ]],$Q$3,RawData[Checker ID],$Q$4,RawData[[Error Type ]],$Q$5))</f>
        <v/>
      </c>
    </row>
    <row r="16786" spans="15:15" x14ac:dyDescent="0.25">
      <c r="O16786" s="20" t="str">
        <f>IF(N16786="","",COUNTIFS(RawData[[Date ]],N16786,RawData[Month List],$Q$6,RawData[Tour/Site],$Q$2,RawData[[Picker ID ]],$Q$3,RawData[Checker ID],$Q$4,RawData[[Error Type ]],$Q$5))</f>
        <v/>
      </c>
    </row>
    <row r="16787" spans="15:15" x14ac:dyDescent="0.25">
      <c r="O16787" s="20" t="str">
        <f>IF(N16787="","",COUNTIFS(RawData[[Date ]],N16787,RawData[Month List],$Q$6,RawData[Tour/Site],$Q$2,RawData[[Picker ID ]],$Q$3,RawData[Checker ID],$Q$4,RawData[[Error Type ]],$Q$5))</f>
        <v/>
      </c>
    </row>
    <row r="16788" spans="15:15" x14ac:dyDescent="0.25">
      <c r="O16788" s="20" t="str">
        <f>IF(N16788="","",COUNTIFS(RawData[[Date ]],N16788,RawData[Month List],$Q$6,RawData[Tour/Site],$Q$2,RawData[[Picker ID ]],$Q$3,RawData[Checker ID],$Q$4,RawData[[Error Type ]],$Q$5))</f>
        <v/>
      </c>
    </row>
    <row r="16789" spans="15:15" x14ac:dyDescent="0.25">
      <c r="O16789" s="20" t="str">
        <f>IF(N16789="","",COUNTIFS(RawData[[Date ]],N16789,RawData[Month List],$Q$6,RawData[Tour/Site],$Q$2,RawData[[Picker ID ]],$Q$3,RawData[Checker ID],$Q$4,RawData[[Error Type ]],$Q$5))</f>
        <v/>
      </c>
    </row>
    <row r="16790" spans="15:15" x14ac:dyDescent="0.25">
      <c r="O16790" s="20" t="str">
        <f>IF(N16790="","",COUNTIFS(RawData[[Date ]],N16790,RawData[Month List],$Q$6,RawData[Tour/Site],$Q$2,RawData[[Picker ID ]],$Q$3,RawData[Checker ID],$Q$4,RawData[[Error Type ]],$Q$5))</f>
        <v/>
      </c>
    </row>
    <row r="16791" spans="15:15" x14ac:dyDescent="0.25">
      <c r="O16791" s="20" t="str">
        <f>IF(N16791="","",COUNTIFS(RawData[[Date ]],N16791,RawData[Month List],$Q$6,RawData[Tour/Site],$Q$2,RawData[[Picker ID ]],$Q$3,RawData[Checker ID],$Q$4,RawData[[Error Type ]],$Q$5))</f>
        <v/>
      </c>
    </row>
    <row r="16792" spans="15:15" x14ac:dyDescent="0.25">
      <c r="O16792" s="20" t="str">
        <f>IF(N16792="","",COUNTIFS(RawData[[Date ]],N16792,RawData[Month List],$Q$6,RawData[Tour/Site],$Q$2,RawData[[Picker ID ]],$Q$3,RawData[Checker ID],$Q$4,RawData[[Error Type ]],$Q$5))</f>
        <v/>
      </c>
    </row>
    <row r="16793" spans="15:15" x14ac:dyDescent="0.25">
      <c r="O16793" s="20" t="str">
        <f>IF(N16793="","",COUNTIFS(RawData[[Date ]],N16793,RawData[Month List],$Q$6,RawData[Tour/Site],$Q$2,RawData[[Picker ID ]],$Q$3,RawData[Checker ID],$Q$4,RawData[[Error Type ]],$Q$5))</f>
        <v/>
      </c>
    </row>
    <row r="16794" spans="15:15" x14ac:dyDescent="0.25">
      <c r="O16794" s="20" t="str">
        <f>IF(N16794="","",COUNTIFS(RawData[[Date ]],N16794,RawData[Month List],$Q$6,RawData[Tour/Site],$Q$2,RawData[[Picker ID ]],$Q$3,RawData[Checker ID],$Q$4,RawData[[Error Type ]],$Q$5))</f>
        <v/>
      </c>
    </row>
    <row r="16795" spans="15:15" x14ac:dyDescent="0.25">
      <c r="O16795" s="20" t="str">
        <f>IF(N16795="","",COUNTIFS(RawData[[Date ]],N16795,RawData[Month List],$Q$6,RawData[Tour/Site],$Q$2,RawData[[Picker ID ]],$Q$3,RawData[Checker ID],$Q$4,RawData[[Error Type ]],$Q$5))</f>
        <v/>
      </c>
    </row>
    <row r="16796" spans="15:15" x14ac:dyDescent="0.25">
      <c r="O16796" s="20" t="str">
        <f>IF(N16796="","",COUNTIFS(RawData[[Date ]],N16796,RawData[Month List],$Q$6,RawData[Tour/Site],$Q$2,RawData[[Picker ID ]],$Q$3,RawData[Checker ID],$Q$4,RawData[[Error Type ]],$Q$5))</f>
        <v/>
      </c>
    </row>
    <row r="16797" spans="15:15" x14ac:dyDescent="0.25">
      <c r="O16797" s="20" t="str">
        <f>IF(N16797="","",COUNTIFS(RawData[[Date ]],N16797,RawData[Month List],$Q$6,RawData[Tour/Site],$Q$2,RawData[[Picker ID ]],$Q$3,RawData[Checker ID],$Q$4,RawData[[Error Type ]],$Q$5))</f>
        <v/>
      </c>
    </row>
    <row r="16798" spans="15:15" x14ac:dyDescent="0.25">
      <c r="O16798" s="20" t="str">
        <f>IF(N16798="","",COUNTIFS(RawData[[Date ]],N16798,RawData[Month List],$Q$6,RawData[Tour/Site],$Q$2,RawData[[Picker ID ]],$Q$3,RawData[Checker ID],$Q$4,RawData[[Error Type ]],$Q$5))</f>
        <v/>
      </c>
    </row>
    <row r="16799" spans="15:15" x14ac:dyDescent="0.25">
      <c r="O16799" s="20" t="str">
        <f>IF(N16799="","",COUNTIFS(RawData[[Date ]],N16799,RawData[Month List],$Q$6,RawData[Tour/Site],$Q$2,RawData[[Picker ID ]],$Q$3,RawData[Checker ID],$Q$4,RawData[[Error Type ]],$Q$5))</f>
        <v/>
      </c>
    </row>
    <row r="16800" spans="15:15" x14ac:dyDescent="0.25">
      <c r="O16800" s="20" t="str">
        <f>IF(N16800="","",COUNTIFS(RawData[[Date ]],N16800,RawData[Month List],$Q$6,RawData[Tour/Site],$Q$2,RawData[[Picker ID ]],$Q$3,RawData[Checker ID],$Q$4,RawData[[Error Type ]],$Q$5))</f>
        <v/>
      </c>
    </row>
    <row r="16801" spans="15:15" x14ac:dyDescent="0.25">
      <c r="O16801" s="20" t="str">
        <f>IF(N16801="","",COUNTIFS(RawData[[Date ]],N16801,RawData[Month List],$Q$6,RawData[Tour/Site],$Q$2,RawData[[Picker ID ]],$Q$3,RawData[Checker ID],$Q$4,RawData[[Error Type ]],$Q$5))</f>
        <v/>
      </c>
    </row>
    <row r="16802" spans="15:15" x14ac:dyDescent="0.25">
      <c r="O16802" s="20" t="str">
        <f>IF(N16802="","",COUNTIFS(RawData[[Date ]],N16802,RawData[Month List],$Q$6,RawData[Tour/Site],$Q$2,RawData[[Picker ID ]],$Q$3,RawData[Checker ID],$Q$4,RawData[[Error Type ]],$Q$5))</f>
        <v/>
      </c>
    </row>
    <row r="16803" spans="15:15" x14ac:dyDescent="0.25">
      <c r="O16803" s="20" t="str">
        <f>IF(N16803="","",COUNTIFS(RawData[[Date ]],N16803,RawData[Month List],$Q$6,RawData[Tour/Site],$Q$2,RawData[[Picker ID ]],$Q$3,RawData[Checker ID],$Q$4,RawData[[Error Type ]],$Q$5))</f>
        <v/>
      </c>
    </row>
    <row r="16804" spans="15:15" x14ac:dyDescent="0.25">
      <c r="O16804" s="20" t="str">
        <f>IF(N16804="","",COUNTIFS(RawData[[Date ]],N16804,RawData[Month List],$Q$6,RawData[Tour/Site],$Q$2,RawData[[Picker ID ]],$Q$3,RawData[Checker ID],$Q$4,RawData[[Error Type ]],$Q$5))</f>
        <v/>
      </c>
    </row>
    <row r="16805" spans="15:15" x14ac:dyDescent="0.25">
      <c r="O16805" s="20" t="str">
        <f>IF(N16805="","",COUNTIFS(RawData[[Date ]],N16805,RawData[Month List],$Q$6,RawData[Tour/Site],$Q$2,RawData[[Picker ID ]],$Q$3,RawData[Checker ID],$Q$4,RawData[[Error Type ]],$Q$5))</f>
        <v/>
      </c>
    </row>
    <row r="16806" spans="15:15" x14ac:dyDescent="0.25">
      <c r="O16806" s="20" t="str">
        <f>IF(N16806="","",COUNTIFS(RawData[[Date ]],N16806,RawData[Month List],$Q$6,RawData[Tour/Site],$Q$2,RawData[[Picker ID ]],$Q$3,RawData[Checker ID],$Q$4,RawData[[Error Type ]],$Q$5))</f>
        <v/>
      </c>
    </row>
    <row r="16807" spans="15:15" x14ac:dyDescent="0.25">
      <c r="O16807" s="20" t="str">
        <f>IF(N16807="","",COUNTIFS(RawData[[Date ]],N16807,RawData[Month List],$Q$6,RawData[Tour/Site],$Q$2,RawData[[Picker ID ]],$Q$3,RawData[Checker ID],$Q$4,RawData[[Error Type ]],$Q$5))</f>
        <v/>
      </c>
    </row>
    <row r="16808" spans="15:15" x14ac:dyDescent="0.25">
      <c r="O16808" s="20" t="str">
        <f>IF(N16808="","",COUNTIFS(RawData[[Date ]],N16808,RawData[Month List],$Q$6,RawData[Tour/Site],$Q$2,RawData[[Picker ID ]],$Q$3,RawData[Checker ID],$Q$4,RawData[[Error Type ]],$Q$5))</f>
        <v/>
      </c>
    </row>
    <row r="16809" spans="15:15" x14ac:dyDescent="0.25">
      <c r="O16809" s="20" t="str">
        <f>IF(N16809="","",COUNTIFS(RawData[[Date ]],N16809,RawData[Month List],$Q$6,RawData[Tour/Site],$Q$2,RawData[[Picker ID ]],$Q$3,RawData[Checker ID],$Q$4,RawData[[Error Type ]],$Q$5))</f>
        <v/>
      </c>
    </row>
    <row r="16810" spans="15:15" x14ac:dyDescent="0.25">
      <c r="O16810" s="20" t="str">
        <f>IF(N16810="","",COUNTIFS(RawData[[Date ]],N16810,RawData[Month List],$Q$6,RawData[Tour/Site],$Q$2,RawData[[Picker ID ]],$Q$3,RawData[Checker ID],$Q$4,RawData[[Error Type ]],$Q$5))</f>
        <v/>
      </c>
    </row>
    <row r="16811" spans="15:15" x14ac:dyDescent="0.25">
      <c r="O16811" s="20" t="str">
        <f>IF(N16811="","",COUNTIFS(RawData[[Date ]],N16811,RawData[Month List],$Q$6,RawData[Tour/Site],$Q$2,RawData[[Picker ID ]],$Q$3,RawData[Checker ID],$Q$4,RawData[[Error Type ]],$Q$5))</f>
        <v/>
      </c>
    </row>
    <row r="16812" spans="15:15" x14ac:dyDescent="0.25">
      <c r="O16812" s="20" t="str">
        <f>IF(N16812="","",COUNTIFS(RawData[[Date ]],N16812,RawData[Month List],$Q$6,RawData[Tour/Site],$Q$2,RawData[[Picker ID ]],$Q$3,RawData[Checker ID],$Q$4,RawData[[Error Type ]],$Q$5))</f>
        <v/>
      </c>
    </row>
    <row r="16813" spans="15:15" x14ac:dyDescent="0.25">
      <c r="O16813" s="20" t="str">
        <f>IF(N16813="","",COUNTIFS(RawData[[Date ]],N16813,RawData[Month List],$Q$6,RawData[Tour/Site],$Q$2,RawData[[Picker ID ]],$Q$3,RawData[Checker ID],$Q$4,RawData[[Error Type ]],$Q$5))</f>
        <v/>
      </c>
    </row>
    <row r="16814" spans="15:15" x14ac:dyDescent="0.25">
      <c r="O16814" s="20" t="str">
        <f>IF(N16814="","",COUNTIFS(RawData[[Date ]],N16814,RawData[Month List],$Q$6,RawData[Tour/Site],$Q$2,RawData[[Picker ID ]],$Q$3,RawData[Checker ID],$Q$4,RawData[[Error Type ]],$Q$5))</f>
        <v/>
      </c>
    </row>
    <row r="16815" spans="15:15" x14ac:dyDescent="0.25">
      <c r="O16815" s="20" t="str">
        <f>IF(N16815="","",COUNTIFS(RawData[[Date ]],N16815,RawData[Month List],$Q$6,RawData[Tour/Site],$Q$2,RawData[[Picker ID ]],$Q$3,RawData[Checker ID],$Q$4,RawData[[Error Type ]],$Q$5))</f>
        <v/>
      </c>
    </row>
    <row r="16816" spans="15:15" x14ac:dyDescent="0.25">
      <c r="O16816" s="20" t="str">
        <f>IF(N16816="","",COUNTIFS(RawData[[Date ]],N16816,RawData[Month List],$Q$6,RawData[Tour/Site],$Q$2,RawData[[Picker ID ]],$Q$3,RawData[Checker ID],$Q$4,RawData[[Error Type ]],$Q$5))</f>
        <v/>
      </c>
    </row>
    <row r="16817" spans="15:15" x14ac:dyDescent="0.25">
      <c r="O16817" s="20" t="str">
        <f>IF(N16817="","",COUNTIFS(RawData[[Date ]],N16817,RawData[Month List],$Q$6,RawData[Tour/Site],$Q$2,RawData[[Picker ID ]],$Q$3,RawData[Checker ID],$Q$4,RawData[[Error Type ]],$Q$5))</f>
        <v/>
      </c>
    </row>
    <row r="16818" spans="15:15" x14ac:dyDescent="0.25">
      <c r="O16818" s="20" t="str">
        <f>IF(N16818="","",COUNTIFS(RawData[[Date ]],N16818,RawData[Month List],$Q$6,RawData[Tour/Site],$Q$2,RawData[[Picker ID ]],$Q$3,RawData[Checker ID],$Q$4,RawData[[Error Type ]],$Q$5))</f>
        <v/>
      </c>
    </row>
    <row r="16819" spans="15:15" x14ac:dyDescent="0.25">
      <c r="O16819" s="20" t="str">
        <f>IF(N16819="","",COUNTIFS(RawData[[Date ]],N16819,RawData[Month List],$Q$6,RawData[Tour/Site],$Q$2,RawData[[Picker ID ]],$Q$3,RawData[Checker ID],$Q$4,RawData[[Error Type ]],$Q$5))</f>
        <v/>
      </c>
    </row>
    <row r="16820" spans="15:15" x14ac:dyDescent="0.25">
      <c r="O16820" s="20" t="str">
        <f>IF(N16820="","",COUNTIFS(RawData[[Date ]],N16820,RawData[Month List],$Q$6,RawData[Tour/Site],$Q$2,RawData[[Picker ID ]],$Q$3,RawData[Checker ID],$Q$4,RawData[[Error Type ]],$Q$5))</f>
        <v/>
      </c>
    </row>
    <row r="16821" spans="15:15" x14ac:dyDescent="0.25">
      <c r="O16821" s="20" t="str">
        <f>IF(N16821="","",COUNTIFS(RawData[[Date ]],N16821,RawData[Month List],$Q$6,RawData[Tour/Site],$Q$2,RawData[[Picker ID ]],$Q$3,RawData[Checker ID],$Q$4,RawData[[Error Type ]],$Q$5))</f>
        <v/>
      </c>
    </row>
    <row r="16822" spans="15:15" x14ac:dyDescent="0.25">
      <c r="O16822" s="20" t="str">
        <f>IF(N16822="","",COUNTIFS(RawData[[Date ]],N16822,RawData[Month List],$Q$6,RawData[Tour/Site],$Q$2,RawData[[Picker ID ]],$Q$3,RawData[Checker ID],$Q$4,RawData[[Error Type ]],$Q$5))</f>
        <v/>
      </c>
    </row>
    <row r="16823" spans="15:15" x14ac:dyDescent="0.25">
      <c r="O16823" s="20" t="str">
        <f>IF(N16823="","",COUNTIFS(RawData[[Date ]],N16823,RawData[Month List],$Q$6,RawData[Tour/Site],$Q$2,RawData[[Picker ID ]],$Q$3,RawData[Checker ID],$Q$4,RawData[[Error Type ]],$Q$5))</f>
        <v/>
      </c>
    </row>
    <row r="16824" spans="15:15" x14ac:dyDescent="0.25">
      <c r="O16824" s="20" t="str">
        <f>IF(N16824="","",COUNTIFS(RawData[[Date ]],N16824,RawData[Month List],$Q$6,RawData[Tour/Site],$Q$2,RawData[[Picker ID ]],$Q$3,RawData[Checker ID],$Q$4,RawData[[Error Type ]],$Q$5))</f>
        <v/>
      </c>
    </row>
    <row r="16825" spans="15:15" x14ac:dyDescent="0.25">
      <c r="O16825" s="20" t="str">
        <f>IF(N16825="","",COUNTIFS(RawData[[Date ]],N16825,RawData[Month List],$Q$6,RawData[Tour/Site],$Q$2,RawData[[Picker ID ]],$Q$3,RawData[Checker ID],$Q$4,RawData[[Error Type ]],$Q$5))</f>
        <v/>
      </c>
    </row>
    <row r="16826" spans="15:15" x14ac:dyDescent="0.25">
      <c r="O16826" s="20" t="str">
        <f>IF(N16826="","",COUNTIFS(RawData[[Date ]],N16826,RawData[Month List],$Q$6,RawData[Tour/Site],$Q$2,RawData[[Picker ID ]],$Q$3,RawData[Checker ID],$Q$4,RawData[[Error Type ]],$Q$5))</f>
        <v/>
      </c>
    </row>
    <row r="16827" spans="15:15" x14ac:dyDescent="0.25">
      <c r="O16827" s="20" t="str">
        <f>IF(N16827="","",COUNTIFS(RawData[[Date ]],N16827,RawData[Month List],$Q$6,RawData[Tour/Site],$Q$2,RawData[[Picker ID ]],$Q$3,RawData[Checker ID],$Q$4,RawData[[Error Type ]],$Q$5))</f>
        <v/>
      </c>
    </row>
    <row r="16828" spans="15:15" x14ac:dyDescent="0.25">
      <c r="O16828" s="20" t="str">
        <f>IF(N16828="","",COUNTIFS(RawData[[Date ]],N16828,RawData[Month List],$Q$6,RawData[Tour/Site],$Q$2,RawData[[Picker ID ]],$Q$3,RawData[Checker ID],$Q$4,RawData[[Error Type ]],$Q$5))</f>
        <v/>
      </c>
    </row>
    <row r="16829" spans="15:15" x14ac:dyDescent="0.25">
      <c r="O16829" s="20" t="str">
        <f>IF(N16829="","",COUNTIFS(RawData[[Date ]],N16829,RawData[Month List],$Q$6,RawData[Tour/Site],$Q$2,RawData[[Picker ID ]],$Q$3,RawData[Checker ID],$Q$4,RawData[[Error Type ]],$Q$5))</f>
        <v/>
      </c>
    </row>
    <row r="16830" spans="15:15" x14ac:dyDescent="0.25">
      <c r="O16830" s="20" t="str">
        <f>IF(N16830="","",COUNTIFS(RawData[[Date ]],N16830,RawData[Month List],$Q$6,RawData[Tour/Site],$Q$2,RawData[[Picker ID ]],$Q$3,RawData[Checker ID],$Q$4,RawData[[Error Type ]],$Q$5))</f>
        <v/>
      </c>
    </row>
    <row r="16831" spans="15:15" x14ac:dyDescent="0.25">
      <c r="O16831" s="20" t="str">
        <f>IF(N16831="","",COUNTIFS(RawData[[Date ]],N16831,RawData[Month List],$Q$6,RawData[Tour/Site],$Q$2,RawData[[Picker ID ]],$Q$3,RawData[Checker ID],$Q$4,RawData[[Error Type ]],$Q$5))</f>
        <v/>
      </c>
    </row>
    <row r="16832" spans="15:15" x14ac:dyDescent="0.25">
      <c r="O16832" s="20" t="str">
        <f>IF(N16832="","",COUNTIFS(RawData[[Date ]],N16832,RawData[Month List],$Q$6,RawData[Tour/Site],$Q$2,RawData[[Picker ID ]],$Q$3,RawData[Checker ID],$Q$4,RawData[[Error Type ]],$Q$5))</f>
        <v/>
      </c>
    </row>
    <row r="16833" spans="15:15" x14ac:dyDescent="0.25">
      <c r="O16833" s="20" t="str">
        <f>IF(N16833="","",COUNTIFS(RawData[[Date ]],N16833,RawData[Month List],$Q$6,RawData[Tour/Site],$Q$2,RawData[[Picker ID ]],$Q$3,RawData[Checker ID],$Q$4,RawData[[Error Type ]],$Q$5))</f>
        <v/>
      </c>
    </row>
    <row r="16834" spans="15:15" x14ac:dyDescent="0.25">
      <c r="O16834" s="20" t="str">
        <f>IF(N16834="","",COUNTIFS(RawData[[Date ]],N16834,RawData[Month List],$Q$6,RawData[Tour/Site],$Q$2,RawData[[Picker ID ]],$Q$3,RawData[Checker ID],$Q$4,RawData[[Error Type ]],$Q$5))</f>
        <v/>
      </c>
    </row>
    <row r="16835" spans="15:15" x14ac:dyDescent="0.25">
      <c r="O16835" s="20" t="str">
        <f>IF(N16835="","",COUNTIFS(RawData[[Date ]],N16835,RawData[Month List],$Q$6,RawData[Tour/Site],$Q$2,RawData[[Picker ID ]],$Q$3,RawData[Checker ID],$Q$4,RawData[[Error Type ]],$Q$5))</f>
        <v/>
      </c>
    </row>
    <row r="16836" spans="15:15" x14ac:dyDescent="0.25">
      <c r="O16836" s="20" t="str">
        <f>IF(N16836="","",COUNTIFS(RawData[[Date ]],N16836,RawData[Month List],$Q$6,RawData[Tour/Site],$Q$2,RawData[[Picker ID ]],$Q$3,RawData[Checker ID],$Q$4,RawData[[Error Type ]],$Q$5))</f>
        <v/>
      </c>
    </row>
    <row r="16837" spans="15:15" x14ac:dyDescent="0.25">
      <c r="O16837" s="20" t="str">
        <f>IF(N16837="","",COUNTIFS(RawData[[Date ]],N16837,RawData[Month List],$Q$6,RawData[Tour/Site],$Q$2,RawData[[Picker ID ]],$Q$3,RawData[Checker ID],$Q$4,RawData[[Error Type ]],$Q$5))</f>
        <v/>
      </c>
    </row>
    <row r="16838" spans="15:15" x14ac:dyDescent="0.25">
      <c r="O16838" s="20" t="str">
        <f>IF(N16838="","",COUNTIFS(RawData[[Date ]],N16838,RawData[Month List],$Q$6,RawData[Tour/Site],$Q$2,RawData[[Picker ID ]],$Q$3,RawData[Checker ID],$Q$4,RawData[[Error Type ]],$Q$5))</f>
        <v/>
      </c>
    </row>
    <row r="16839" spans="15:15" x14ac:dyDescent="0.25">
      <c r="O16839" s="20" t="str">
        <f>IF(N16839="","",COUNTIFS(RawData[[Date ]],N16839,RawData[Month List],$Q$6,RawData[Tour/Site],$Q$2,RawData[[Picker ID ]],$Q$3,RawData[Checker ID],$Q$4,RawData[[Error Type ]],$Q$5))</f>
        <v/>
      </c>
    </row>
    <row r="16840" spans="15:15" x14ac:dyDescent="0.25">
      <c r="O16840" s="20" t="str">
        <f>IF(N16840="","",COUNTIFS(RawData[[Date ]],N16840,RawData[Month List],$Q$6,RawData[Tour/Site],$Q$2,RawData[[Picker ID ]],$Q$3,RawData[Checker ID],$Q$4,RawData[[Error Type ]],$Q$5))</f>
        <v/>
      </c>
    </row>
    <row r="16841" spans="15:15" x14ac:dyDescent="0.25">
      <c r="O16841" s="20" t="str">
        <f>IF(N16841="","",COUNTIFS(RawData[[Date ]],N16841,RawData[Month List],$Q$6,RawData[Tour/Site],$Q$2,RawData[[Picker ID ]],$Q$3,RawData[Checker ID],$Q$4,RawData[[Error Type ]],$Q$5))</f>
        <v/>
      </c>
    </row>
    <row r="16842" spans="15:15" x14ac:dyDescent="0.25">
      <c r="O16842" s="20" t="str">
        <f>IF(N16842="","",COUNTIFS(RawData[[Date ]],N16842,RawData[Month List],$Q$6,RawData[Tour/Site],$Q$2,RawData[[Picker ID ]],$Q$3,RawData[Checker ID],$Q$4,RawData[[Error Type ]],$Q$5))</f>
        <v/>
      </c>
    </row>
    <row r="16843" spans="15:15" x14ac:dyDescent="0.25">
      <c r="O16843" s="20" t="str">
        <f>IF(N16843="","",COUNTIFS(RawData[[Date ]],N16843,RawData[Month List],$Q$6,RawData[Tour/Site],$Q$2,RawData[[Picker ID ]],$Q$3,RawData[Checker ID],$Q$4,RawData[[Error Type ]],$Q$5))</f>
        <v/>
      </c>
    </row>
    <row r="16844" spans="15:15" x14ac:dyDescent="0.25">
      <c r="O16844" s="20" t="str">
        <f>IF(N16844="","",COUNTIFS(RawData[[Date ]],N16844,RawData[Month List],$Q$6,RawData[Tour/Site],$Q$2,RawData[[Picker ID ]],$Q$3,RawData[Checker ID],$Q$4,RawData[[Error Type ]],$Q$5))</f>
        <v/>
      </c>
    </row>
    <row r="16845" spans="15:15" x14ac:dyDescent="0.25">
      <c r="O16845" s="20" t="str">
        <f>IF(N16845="","",COUNTIFS(RawData[[Date ]],N16845,RawData[Month List],$Q$6,RawData[Tour/Site],$Q$2,RawData[[Picker ID ]],$Q$3,RawData[Checker ID],$Q$4,RawData[[Error Type ]],$Q$5))</f>
        <v/>
      </c>
    </row>
    <row r="16846" spans="15:15" x14ac:dyDescent="0.25">
      <c r="O16846" s="20" t="str">
        <f>IF(N16846="","",COUNTIFS(RawData[[Date ]],N16846,RawData[Month List],$Q$6,RawData[Tour/Site],$Q$2,RawData[[Picker ID ]],$Q$3,RawData[Checker ID],$Q$4,RawData[[Error Type ]],$Q$5))</f>
        <v/>
      </c>
    </row>
    <row r="16847" spans="15:15" x14ac:dyDescent="0.25">
      <c r="O16847" s="20" t="str">
        <f>IF(N16847="","",COUNTIFS(RawData[[Date ]],N16847,RawData[Month List],$Q$6,RawData[Tour/Site],$Q$2,RawData[[Picker ID ]],$Q$3,RawData[Checker ID],$Q$4,RawData[[Error Type ]],$Q$5))</f>
        <v/>
      </c>
    </row>
    <row r="16848" spans="15:15" x14ac:dyDescent="0.25">
      <c r="O16848" s="20" t="str">
        <f>IF(N16848="","",COUNTIFS(RawData[[Date ]],N16848,RawData[Month List],$Q$6,RawData[Tour/Site],$Q$2,RawData[[Picker ID ]],$Q$3,RawData[Checker ID],$Q$4,RawData[[Error Type ]],$Q$5))</f>
        <v/>
      </c>
    </row>
    <row r="16849" spans="15:15" x14ac:dyDescent="0.25">
      <c r="O16849" s="20" t="str">
        <f>IF(N16849="","",COUNTIFS(RawData[[Date ]],N16849,RawData[Month List],$Q$6,RawData[Tour/Site],$Q$2,RawData[[Picker ID ]],$Q$3,RawData[Checker ID],$Q$4,RawData[[Error Type ]],$Q$5))</f>
        <v/>
      </c>
    </row>
    <row r="16850" spans="15:15" x14ac:dyDescent="0.25">
      <c r="O16850" s="20" t="str">
        <f>IF(N16850="","",COUNTIFS(RawData[[Date ]],N16850,RawData[Month List],$Q$6,RawData[Tour/Site],$Q$2,RawData[[Picker ID ]],$Q$3,RawData[Checker ID],$Q$4,RawData[[Error Type ]],$Q$5))</f>
        <v/>
      </c>
    </row>
    <row r="16851" spans="15:15" x14ac:dyDescent="0.25">
      <c r="O16851" s="20" t="str">
        <f>IF(N16851="","",COUNTIFS(RawData[[Date ]],N16851,RawData[Month List],$Q$6,RawData[Tour/Site],$Q$2,RawData[[Picker ID ]],$Q$3,RawData[Checker ID],$Q$4,RawData[[Error Type ]],$Q$5))</f>
        <v/>
      </c>
    </row>
    <row r="16852" spans="15:15" x14ac:dyDescent="0.25">
      <c r="O16852" s="20" t="str">
        <f>IF(N16852="","",COUNTIFS(RawData[[Date ]],N16852,RawData[Month List],$Q$6,RawData[Tour/Site],$Q$2,RawData[[Picker ID ]],$Q$3,RawData[Checker ID],$Q$4,RawData[[Error Type ]],$Q$5))</f>
        <v/>
      </c>
    </row>
    <row r="16853" spans="15:15" x14ac:dyDescent="0.25">
      <c r="O16853" s="20" t="str">
        <f>IF(N16853="","",COUNTIFS(RawData[[Date ]],N16853,RawData[Month List],$Q$6,RawData[Tour/Site],$Q$2,RawData[[Picker ID ]],$Q$3,RawData[Checker ID],$Q$4,RawData[[Error Type ]],$Q$5))</f>
        <v/>
      </c>
    </row>
    <row r="16854" spans="15:15" x14ac:dyDescent="0.25">
      <c r="O16854" s="20" t="str">
        <f>IF(N16854="","",COUNTIFS(RawData[[Date ]],N16854,RawData[Month List],$Q$6,RawData[Tour/Site],$Q$2,RawData[[Picker ID ]],$Q$3,RawData[Checker ID],$Q$4,RawData[[Error Type ]],$Q$5))</f>
        <v/>
      </c>
    </row>
    <row r="16855" spans="15:15" x14ac:dyDescent="0.25">
      <c r="O16855" s="20" t="str">
        <f>IF(N16855="","",COUNTIFS(RawData[[Date ]],N16855,RawData[Month List],$Q$6,RawData[Tour/Site],$Q$2,RawData[[Picker ID ]],$Q$3,RawData[Checker ID],$Q$4,RawData[[Error Type ]],$Q$5))</f>
        <v/>
      </c>
    </row>
    <row r="16856" spans="15:15" x14ac:dyDescent="0.25">
      <c r="O16856" s="20" t="str">
        <f>IF(N16856="","",COUNTIFS(RawData[[Date ]],N16856,RawData[Month List],$Q$6,RawData[Tour/Site],$Q$2,RawData[[Picker ID ]],$Q$3,RawData[Checker ID],$Q$4,RawData[[Error Type ]],$Q$5))</f>
        <v/>
      </c>
    </row>
    <row r="16857" spans="15:15" x14ac:dyDescent="0.25">
      <c r="O16857" s="20" t="str">
        <f>IF(N16857="","",COUNTIFS(RawData[[Date ]],N16857,RawData[Month List],$Q$6,RawData[Tour/Site],$Q$2,RawData[[Picker ID ]],$Q$3,RawData[Checker ID],$Q$4,RawData[[Error Type ]],$Q$5))</f>
        <v/>
      </c>
    </row>
    <row r="16858" spans="15:15" x14ac:dyDescent="0.25">
      <c r="O16858" s="20" t="str">
        <f>IF(N16858="","",COUNTIFS(RawData[[Date ]],N16858,RawData[Month List],$Q$6,RawData[Tour/Site],$Q$2,RawData[[Picker ID ]],$Q$3,RawData[Checker ID],$Q$4,RawData[[Error Type ]],$Q$5))</f>
        <v/>
      </c>
    </row>
    <row r="16859" spans="15:15" x14ac:dyDescent="0.25">
      <c r="O16859" s="20" t="str">
        <f>IF(N16859="","",COUNTIFS(RawData[[Date ]],N16859,RawData[Month List],$Q$6,RawData[Tour/Site],$Q$2,RawData[[Picker ID ]],$Q$3,RawData[Checker ID],$Q$4,RawData[[Error Type ]],$Q$5))</f>
        <v/>
      </c>
    </row>
    <row r="16860" spans="15:15" x14ac:dyDescent="0.25">
      <c r="O16860" s="20" t="str">
        <f>IF(N16860="","",COUNTIFS(RawData[[Date ]],N16860,RawData[Month List],$Q$6,RawData[Tour/Site],$Q$2,RawData[[Picker ID ]],$Q$3,RawData[Checker ID],$Q$4,RawData[[Error Type ]],$Q$5))</f>
        <v/>
      </c>
    </row>
    <row r="16861" spans="15:15" x14ac:dyDescent="0.25">
      <c r="O16861" s="20" t="str">
        <f>IF(N16861="","",COUNTIFS(RawData[[Date ]],N16861,RawData[Month List],$Q$6,RawData[Tour/Site],$Q$2,RawData[[Picker ID ]],$Q$3,RawData[Checker ID],$Q$4,RawData[[Error Type ]],$Q$5))</f>
        <v/>
      </c>
    </row>
    <row r="16862" spans="15:15" x14ac:dyDescent="0.25">
      <c r="O16862" s="20" t="str">
        <f>IF(N16862="","",COUNTIFS(RawData[[Date ]],N16862,RawData[Month List],$Q$6,RawData[Tour/Site],$Q$2,RawData[[Picker ID ]],$Q$3,RawData[Checker ID],$Q$4,RawData[[Error Type ]],$Q$5))</f>
        <v/>
      </c>
    </row>
    <row r="16863" spans="15:15" x14ac:dyDescent="0.25">
      <c r="O16863" s="20" t="str">
        <f>IF(N16863="","",COUNTIFS(RawData[[Date ]],N16863,RawData[Month List],$Q$6,RawData[Tour/Site],$Q$2,RawData[[Picker ID ]],$Q$3,RawData[Checker ID],$Q$4,RawData[[Error Type ]],$Q$5))</f>
        <v/>
      </c>
    </row>
    <row r="16864" spans="15:15" x14ac:dyDescent="0.25">
      <c r="O16864" s="20" t="str">
        <f>IF(N16864="","",COUNTIFS(RawData[[Date ]],N16864,RawData[Month List],$Q$6,RawData[Tour/Site],$Q$2,RawData[[Picker ID ]],$Q$3,RawData[Checker ID],$Q$4,RawData[[Error Type ]],$Q$5))</f>
        <v/>
      </c>
    </row>
    <row r="16865" spans="15:15" x14ac:dyDescent="0.25">
      <c r="O16865" s="20" t="str">
        <f>IF(N16865="","",COUNTIFS(RawData[[Date ]],N16865,RawData[Month List],$Q$6,RawData[Tour/Site],$Q$2,RawData[[Picker ID ]],$Q$3,RawData[Checker ID],$Q$4,RawData[[Error Type ]],$Q$5))</f>
        <v/>
      </c>
    </row>
    <row r="16866" spans="15:15" x14ac:dyDescent="0.25">
      <c r="O16866" s="20" t="str">
        <f>IF(N16866="","",COUNTIFS(RawData[[Date ]],N16866,RawData[Month List],$Q$6,RawData[Tour/Site],$Q$2,RawData[[Picker ID ]],$Q$3,RawData[Checker ID],$Q$4,RawData[[Error Type ]],$Q$5))</f>
        <v/>
      </c>
    </row>
    <row r="16867" spans="15:15" x14ac:dyDescent="0.25">
      <c r="O16867" s="20" t="str">
        <f>IF(N16867="","",COUNTIFS(RawData[[Date ]],N16867,RawData[Month List],$Q$6,RawData[Tour/Site],$Q$2,RawData[[Picker ID ]],$Q$3,RawData[Checker ID],$Q$4,RawData[[Error Type ]],$Q$5))</f>
        <v/>
      </c>
    </row>
    <row r="16868" spans="15:15" x14ac:dyDescent="0.25">
      <c r="O16868" s="20" t="str">
        <f>IF(N16868="","",COUNTIFS(RawData[[Date ]],N16868,RawData[Month List],$Q$6,RawData[Tour/Site],$Q$2,RawData[[Picker ID ]],$Q$3,RawData[Checker ID],$Q$4,RawData[[Error Type ]],$Q$5))</f>
        <v/>
      </c>
    </row>
    <row r="16869" spans="15:15" x14ac:dyDescent="0.25">
      <c r="O16869" s="20" t="str">
        <f>IF(N16869="","",COUNTIFS(RawData[[Date ]],N16869,RawData[Month List],$Q$6,RawData[Tour/Site],$Q$2,RawData[[Picker ID ]],$Q$3,RawData[Checker ID],$Q$4,RawData[[Error Type ]],$Q$5))</f>
        <v/>
      </c>
    </row>
    <row r="16870" spans="15:15" x14ac:dyDescent="0.25">
      <c r="O16870" s="20" t="str">
        <f>IF(N16870="","",COUNTIFS(RawData[[Date ]],N16870,RawData[Month List],$Q$6,RawData[Tour/Site],$Q$2,RawData[[Picker ID ]],$Q$3,RawData[Checker ID],$Q$4,RawData[[Error Type ]],$Q$5))</f>
        <v/>
      </c>
    </row>
    <row r="16871" spans="15:15" x14ac:dyDescent="0.25">
      <c r="O16871" s="20" t="str">
        <f>IF(N16871="","",COUNTIFS(RawData[[Date ]],N16871,RawData[Month List],$Q$6,RawData[Tour/Site],$Q$2,RawData[[Picker ID ]],$Q$3,RawData[Checker ID],$Q$4,RawData[[Error Type ]],$Q$5))</f>
        <v/>
      </c>
    </row>
    <row r="16872" spans="15:15" x14ac:dyDescent="0.25">
      <c r="O16872" s="20" t="str">
        <f>IF(N16872="","",COUNTIFS(RawData[[Date ]],N16872,RawData[Month List],$Q$6,RawData[Tour/Site],$Q$2,RawData[[Picker ID ]],$Q$3,RawData[Checker ID],$Q$4,RawData[[Error Type ]],$Q$5))</f>
        <v/>
      </c>
    </row>
    <row r="16873" spans="15:15" x14ac:dyDescent="0.25">
      <c r="O16873" s="20" t="str">
        <f>IF(N16873="","",COUNTIFS(RawData[[Date ]],N16873,RawData[Month List],$Q$6,RawData[Tour/Site],$Q$2,RawData[[Picker ID ]],$Q$3,RawData[Checker ID],$Q$4,RawData[[Error Type ]],$Q$5))</f>
        <v/>
      </c>
    </row>
    <row r="16874" spans="15:15" x14ac:dyDescent="0.25">
      <c r="O16874" s="20" t="str">
        <f>IF(N16874="","",COUNTIFS(RawData[[Date ]],N16874,RawData[Month List],$Q$6,RawData[Tour/Site],$Q$2,RawData[[Picker ID ]],$Q$3,RawData[Checker ID],$Q$4,RawData[[Error Type ]],$Q$5))</f>
        <v/>
      </c>
    </row>
    <row r="16875" spans="15:15" x14ac:dyDescent="0.25">
      <c r="O16875" s="20" t="str">
        <f>IF(N16875="","",COUNTIFS(RawData[[Date ]],N16875,RawData[Month List],$Q$6,RawData[Tour/Site],$Q$2,RawData[[Picker ID ]],$Q$3,RawData[Checker ID],$Q$4,RawData[[Error Type ]],$Q$5))</f>
        <v/>
      </c>
    </row>
    <row r="16876" spans="15:15" x14ac:dyDescent="0.25">
      <c r="O16876" s="20" t="str">
        <f>IF(N16876="","",COUNTIFS(RawData[[Date ]],N16876,RawData[Month List],$Q$6,RawData[Tour/Site],$Q$2,RawData[[Picker ID ]],$Q$3,RawData[Checker ID],$Q$4,RawData[[Error Type ]],$Q$5))</f>
        <v/>
      </c>
    </row>
    <row r="16877" spans="15:15" x14ac:dyDescent="0.25">
      <c r="O16877" s="20" t="str">
        <f>IF(N16877="","",COUNTIFS(RawData[[Date ]],N16877,RawData[Month List],$Q$6,RawData[Tour/Site],$Q$2,RawData[[Picker ID ]],$Q$3,RawData[Checker ID],$Q$4,RawData[[Error Type ]],$Q$5))</f>
        <v/>
      </c>
    </row>
    <row r="16878" spans="15:15" x14ac:dyDescent="0.25">
      <c r="O16878" s="20" t="str">
        <f>IF(N16878="","",COUNTIFS(RawData[[Date ]],N16878,RawData[Month List],$Q$6,RawData[Tour/Site],$Q$2,RawData[[Picker ID ]],$Q$3,RawData[Checker ID],$Q$4,RawData[[Error Type ]],$Q$5))</f>
        <v/>
      </c>
    </row>
    <row r="16879" spans="15:15" x14ac:dyDescent="0.25">
      <c r="O16879" s="20" t="str">
        <f>IF(N16879="","",COUNTIFS(RawData[[Date ]],N16879,RawData[Month List],$Q$6,RawData[Tour/Site],$Q$2,RawData[[Picker ID ]],$Q$3,RawData[Checker ID],$Q$4,RawData[[Error Type ]],$Q$5))</f>
        <v/>
      </c>
    </row>
    <row r="16880" spans="15:15" x14ac:dyDescent="0.25">
      <c r="O16880" s="20" t="str">
        <f>IF(N16880="","",COUNTIFS(RawData[[Date ]],N16880,RawData[Month List],$Q$6,RawData[Tour/Site],$Q$2,RawData[[Picker ID ]],$Q$3,RawData[Checker ID],$Q$4,RawData[[Error Type ]],$Q$5))</f>
        <v/>
      </c>
    </row>
    <row r="16881" spans="15:15" x14ac:dyDescent="0.25">
      <c r="O16881" s="20" t="str">
        <f>IF(N16881="","",COUNTIFS(RawData[[Date ]],N16881,RawData[Month List],$Q$6,RawData[Tour/Site],$Q$2,RawData[[Picker ID ]],$Q$3,RawData[Checker ID],$Q$4,RawData[[Error Type ]],$Q$5))</f>
        <v/>
      </c>
    </row>
    <row r="16882" spans="15:15" x14ac:dyDescent="0.25">
      <c r="O16882" s="20" t="str">
        <f>IF(N16882="","",COUNTIFS(RawData[[Date ]],N16882,RawData[Month List],$Q$6,RawData[Tour/Site],$Q$2,RawData[[Picker ID ]],$Q$3,RawData[Checker ID],$Q$4,RawData[[Error Type ]],$Q$5))</f>
        <v/>
      </c>
    </row>
    <row r="16883" spans="15:15" x14ac:dyDescent="0.25">
      <c r="O16883" s="20" t="str">
        <f>IF(N16883="","",COUNTIFS(RawData[[Date ]],N16883,RawData[Month List],$Q$6,RawData[Tour/Site],$Q$2,RawData[[Picker ID ]],$Q$3,RawData[Checker ID],$Q$4,RawData[[Error Type ]],$Q$5))</f>
        <v/>
      </c>
    </row>
    <row r="16884" spans="15:15" x14ac:dyDescent="0.25">
      <c r="O16884" s="20" t="str">
        <f>IF(N16884="","",COUNTIFS(RawData[[Date ]],N16884,RawData[Month List],$Q$6,RawData[Tour/Site],$Q$2,RawData[[Picker ID ]],$Q$3,RawData[Checker ID],$Q$4,RawData[[Error Type ]],$Q$5))</f>
        <v/>
      </c>
    </row>
    <row r="16885" spans="15:15" x14ac:dyDescent="0.25">
      <c r="O16885" s="20" t="str">
        <f>IF(N16885="","",COUNTIFS(RawData[[Date ]],N16885,RawData[Month List],$Q$6,RawData[Tour/Site],$Q$2,RawData[[Picker ID ]],$Q$3,RawData[Checker ID],$Q$4,RawData[[Error Type ]],$Q$5))</f>
        <v/>
      </c>
    </row>
    <row r="16886" spans="15:15" x14ac:dyDescent="0.25">
      <c r="O16886" s="20" t="str">
        <f>IF(N16886="","",COUNTIFS(RawData[[Date ]],N16886,RawData[Month List],$Q$6,RawData[Tour/Site],$Q$2,RawData[[Picker ID ]],$Q$3,RawData[Checker ID],$Q$4,RawData[[Error Type ]],$Q$5))</f>
        <v/>
      </c>
    </row>
    <row r="16887" spans="15:15" x14ac:dyDescent="0.25">
      <c r="O16887" s="20" t="str">
        <f>IF(N16887="","",COUNTIFS(RawData[[Date ]],N16887,RawData[Month List],$Q$6,RawData[Tour/Site],$Q$2,RawData[[Picker ID ]],$Q$3,RawData[Checker ID],$Q$4,RawData[[Error Type ]],$Q$5))</f>
        <v/>
      </c>
    </row>
    <row r="16888" spans="15:15" x14ac:dyDescent="0.25">
      <c r="O16888" s="20" t="str">
        <f>IF(N16888="","",COUNTIFS(RawData[[Date ]],N16888,RawData[Month List],$Q$6,RawData[Tour/Site],$Q$2,RawData[[Picker ID ]],$Q$3,RawData[Checker ID],$Q$4,RawData[[Error Type ]],$Q$5))</f>
        <v/>
      </c>
    </row>
    <row r="16889" spans="15:15" x14ac:dyDescent="0.25">
      <c r="O16889" s="20" t="str">
        <f>IF(N16889="","",COUNTIFS(RawData[[Date ]],N16889,RawData[Month List],$Q$6,RawData[Tour/Site],$Q$2,RawData[[Picker ID ]],$Q$3,RawData[Checker ID],$Q$4,RawData[[Error Type ]],$Q$5))</f>
        <v/>
      </c>
    </row>
    <row r="16890" spans="15:15" x14ac:dyDescent="0.25">
      <c r="O16890" s="20" t="str">
        <f>IF(N16890="","",COUNTIFS(RawData[[Date ]],N16890,RawData[Month List],$Q$6,RawData[Tour/Site],$Q$2,RawData[[Picker ID ]],$Q$3,RawData[Checker ID],$Q$4,RawData[[Error Type ]],$Q$5))</f>
        <v/>
      </c>
    </row>
    <row r="16891" spans="15:15" x14ac:dyDescent="0.25">
      <c r="O16891" s="20" t="str">
        <f>IF(N16891="","",COUNTIFS(RawData[[Date ]],N16891,RawData[Month List],$Q$6,RawData[Tour/Site],$Q$2,RawData[[Picker ID ]],$Q$3,RawData[Checker ID],$Q$4,RawData[[Error Type ]],$Q$5))</f>
        <v/>
      </c>
    </row>
    <row r="16892" spans="15:15" x14ac:dyDescent="0.25">
      <c r="O16892" s="20" t="str">
        <f>IF(N16892="","",COUNTIFS(RawData[[Date ]],N16892,RawData[Month List],$Q$6,RawData[Tour/Site],$Q$2,RawData[[Picker ID ]],$Q$3,RawData[Checker ID],$Q$4,RawData[[Error Type ]],$Q$5))</f>
        <v/>
      </c>
    </row>
    <row r="16893" spans="15:15" x14ac:dyDescent="0.25">
      <c r="O16893" s="20" t="str">
        <f>IF(N16893="","",COUNTIFS(RawData[[Date ]],N16893,RawData[Month List],$Q$6,RawData[Tour/Site],$Q$2,RawData[[Picker ID ]],$Q$3,RawData[Checker ID],$Q$4,RawData[[Error Type ]],$Q$5))</f>
        <v/>
      </c>
    </row>
    <row r="16894" spans="15:15" x14ac:dyDescent="0.25">
      <c r="O16894" s="20" t="str">
        <f>IF(N16894="","",COUNTIFS(RawData[[Date ]],N16894,RawData[Month List],$Q$6,RawData[Tour/Site],$Q$2,RawData[[Picker ID ]],$Q$3,RawData[Checker ID],$Q$4,RawData[[Error Type ]],$Q$5))</f>
        <v/>
      </c>
    </row>
    <row r="16895" spans="15:15" x14ac:dyDescent="0.25">
      <c r="O16895" s="20" t="str">
        <f>IF(N16895="","",COUNTIFS(RawData[[Date ]],N16895,RawData[Month List],$Q$6,RawData[Tour/Site],$Q$2,RawData[[Picker ID ]],$Q$3,RawData[Checker ID],$Q$4,RawData[[Error Type ]],$Q$5))</f>
        <v/>
      </c>
    </row>
    <row r="16896" spans="15:15" x14ac:dyDescent="0.25">
      <c r="O16896" s="20" t="str">
        <f>IF(N16896="","",COUNTIFS(RawData[[Date ]],N16896,RawData[Month List],$Q$6,RawData[Tour/Site],$Q$2,RawData[[Picker ID ]],$Q$3,RawData[Checker ID],$Q$4,RawData[[Error Type ]],$Q$5))</f>
        <v/>
      </c>
    </row>
    <row r="16897" spans="15:15" x14ac:dyDescent="0.25">
      <c r="O16897" s="20" t="str">
        <f>IF(N16897="","",COUNTIFS(RawData[[Date ]],N16897,RawData[Month List],$Q$6,RawData[Tour/Site],$Q$2,RawData[[Picker ID ]],$Q$3,RawData[Checker ID],$Q$4,RawData[[Error Type ]],$Q$5))</f>
        <v/>
      </c>
    </row>
    <row r="16898" spans="15:15" x14ac:dyDescent="0.25">
      <c r="O16898" s="20" t="str">
        <f>IF(N16898="","",COUNTIFS(RawData[[Date ]],N16898,RawData[Month List],$Q$6,RawData[Tour/Site],$Q$2,RawData[[Picker ID ]],$Q$3,RawData[Checker ID],$Q$4,RawData[[Error Type ]],$Q$5))</f>
        <v/>
      </c>
    </row>
    <row r="16899" spans="15:15" x14ac:dyDescent="0.25">
      <c r="O16899" s="20" t="str">
        <f>IF(N16899="","",COUNTIFS(RawData[[Date ]],N16899,RawData[Month List],$Q$6,RawData[Tour/Site],$Q$2,RawData[[Picker ID ]],$Q$3,RawData[Checker ID],$Q$4,RawData[[Error Type ]],$Q$5))</f>
        <v/>
      </c>
    </row>
    <row r="16900" spans="15:15" x14ac:dyDescent="0.25">
      <c r="O16900" s="20" t="str">
        <f>IF(N16900="","",COUNTIFS(RawData[[Date ]],N16900,RawData[Month List],$Q$6,RawData[Tour/Site],$Q$2,RawData[[Picker ID ]],$Q$3,RawData[Checker ID],$Q$4,RawData[[Error Type ]],$Q$5))</f>
        <v/>
      </c>
    </row>
    <row r="16901" spans="15:15" x14ac:dyDescent="0.25">
      <c r="O16901" s="20" t="str">
        <f>IF(N16901="","",COUNTIFS(RawData[[Date ]],N16901,RawData[Month List],$Q$6,RawData[Tour/Site],$Q$2,RawData[[Picker ID ]],$Q$3,RawData[Checker ID],$Q$4,RawData[[Error Type ]],$Q$5))</f>
        <v/>
      </c>
    </row>
    <row r="16902" spans="15:15" x14ac:dyDescent="0.25">
      <c r="O16902" s="20" t="str">
        <f>IF(N16902="","",COUNTIFS(RawData[[Date ]],N16902,RawData[Month List],$Q$6,RawData[Tour/Site],$Q$2,RawData[[Picker ID ]],$Q$3,RawData[Checker ID],$Q$4,RawData[[Error Type ]],$Q$5))</f>
        <v/>
      </c>
    </row>
    <row r="16903" spans="15:15" x14ac:dyDescent="0.25">
      <c r="O16903" s="20" t="str">
        <f>IF(N16903="","",COUNTIFS(RawData[[Date ]],N16903,RawData[Month List],$Q$6,RawData[Tour/Site],$Q$2,RawData[[Picker ID ]],$Q$3,RawData[Checker ID],$Q$4,RawData[[Error Type ]],$Q$5))</f>
        <v/>
      </c>
    </row>
    <row r="16904" spans="15:15" x14ac:dyDescent="0.25">
      <c r="O16904" s="20" t="str">
        <f>IF(N16904="","",COUNTIFS(RawData[[Date ]],N16904,RawData[Month List],$Q$6,RawData[Tour/Site],$Q$2,RawData[[Picker ID ]],$Q$3,RawData[Checker ID],$Q$4,RawData[[Error Type ]],$Q$5))</f>
        <v/>
      </c>
    </row>
    <row r="16905" spans="15:15" x14ac:dyDescent="0.25">
      <c r="O16905" s="20" t="str">
        <f>IF(N16905="","",COUNTIFS(RawData[[Date ]],N16905,RawData[Month List],$Q$6,RawData[Tour/Site],$Q$2,RawData[[Picker ID ]],$Q$3,RawData[Checker ID],$Q$4,RawData[[Error Type ]],$Q$5))</f>
        <v/>
      </c>
    </row>
    <row r="16906" spans="15:15" x14ac:dyDescent="0.25">
      <c r="O16906" s="20" t="str">
        <f>IF(N16906="","",COUNTIFS(RawData[[Date ]],N16906,RawData[Month List],$Q$6,RawData[Tour/Site],$Q$2,RawData[[Picker ID ]],$Q$3,RawData[Checker ID],$Q$4,RawData[[Error Type ]],$Q$5))</f>
        <v/>
      </c>
    </row>
    <row r="16907" spans="15:15" x14ac:dyDescent="0.25">
      <c r="O16907" s="20" t="str">
        <f>IF(N16907="","",COUNTIFS(RawData[[Date ]],N16907,RawData[Month List],$Q$6,RawData[Tour/Site],$Q$2,RawData[[Picker ID ]],$Q$3,RawData[Checker ID],$Q$4,RawData[[Error Type ]],$Q$5))</f>
        <v/>
      </c>
    </row>
    <row r="16908" spans="15:15" x14ac:dyDescent="0.25">
      <c r="O16908" s="20" t="str">
        <f>IF(N16908="","",COUNTIFS(RawData[[Date ]],N16908,RawData[Month List],$Q$6,RawData[Tour/Site],$Q$2,RawData[[Picker ID ]],$Q$3,RawData[Checker ID],$Q$4,RawData[[Error Type ]],$Q$5))</f>
        <v/>
      </c>
    </row>
    <row r="16909" spans="15:15" x14ac:dyDescent="0.25">
      <c r="O16909" s="20" t="str">
        <f>IF(N16909="","",COUNTIFS(RawData[[Date ]],N16909,RawData[Month List],$Q$6,RawData[Tour/Site],$Q$2,RawData[[Picker ID ]],$Q$3,RawData[Checker ID],$Q$4,RawData[[Error Type ]],$Q$5))</f>
        <v/>
      </c>
    </row>
    <row r="16910" spans="15:15" x14ac:dyDescent="0.25">
      <c r="O16910" s="20" t="str">
        <f>IF(N16910="","",COUNTIFS(RawData[[Date ]],N16910,RawData[Month List],$Q$6,RawData[Tour/Site],$Q$2,RawData[[Picker ID ]],$Q$3,RawData[Checker ID],$Q$4,RawData[[Error Type ]],$Q$5))</f>
        <v/>
      </c>
    </row>
    <row r="16911" spans="15:15" x14ac:dyDescent="0.25">
      <c r="O16911" s="20" t="str">
        <f>IF(N16911="","",COUNTIFS(RawData[[Date ]],N16911,RawData[Month List],$Q$6,RawData[Tour/Site],$Q$2,RawData[[Picker ID ]],$Q$3,RawData[Checker ID],$Q$4,RawData[[Error Type ]],$Q$5))</f>
        <v/>
      </c>
    </row>
    <row r="16912" spans="15:15" x14ac:dyDescent="0.25">
      <c r="O16912" s="20" t="str">
        <f>IF(N16912="","",COUNTIFS(RawData[[Date ]],N16912,RawData[Month List],$Q$6,RawData[Tour/Site],$Q$2,RawData[[Picker ID ]],$Q$3,RawData[Checker ID],$Q$4,RawData[[Error Type ]],$Q$5))</f>
        <v/>
      </c>
    </row>
    <row r="16913" spans="15:15" x14ac:dyDescent="0.25">
      <c r="O16913" s="20" t="str">
        <f>IF(N16913="","",COUNTIFS(RawData[[Date ]],N16913,RawData[Month List],$Q$6,RawData[Tour/Site],$Q$2,RawData[[Picker ID ]],$Q$3,RawData[Checker ID],$Q$4,RawData[[Error Type ]],$Q$5))</f>
        <v/>
      </c>
    </row>
    <row r="16914" spans="15:15" x14ac:dyDescent="0.25">
      <c r="O16914" s="20" t="str">
        <f>IF(N16914="","",COUNTIFS(RawData[[Date ]],N16914,RawData[Month List],$Q$6,RawData[Tour/Site],$Q$2,RawData[[Picker ID ]],$Q$3,RawData[Checker ID],$Q$4,RawData[[Error Type ]],$Q$5))</f>
        <v/>
      </c>
    </row>
    <row r="16915" spans="15:15" x14ac:dyDescent="0.25">
      <c r="O16915" s="20" t="str">
        <f>IF(N16915="","",COUNTIFS(RawData[[Date ]],N16915,RawData[Month List],$Q$6,RawData[Tour/Site],$Q$2,RawData[[Picker ID ]],$Q$3,RawData[Checker ID],$Q$4,RawData[[Error Type ]],$Q$5))</f>
        <v/>
      </c>
    </row>
    <row r="16916" spans="15:15" x14ac:dyDescent="0.25">
      <c r="O16916" s="20" t="str">
        <f>IF(N16916="","",COUNTIFS(RawData[[Date ]],N16916,RawData[Month List],$Q$6,RawData[Tour/Site],$Q$2,RawData[[Picker ID ]],$Q$3,RawData[Checker ID],$Q$4,RawData[[Error Type ]],$Q$5))</f>
        <v/>
      </c>
    </row>
    <row r="16917" spans="15:15" x14ac:dyDescent="0.25">
      <c r="O16917" s="20" t="str">
        <f>IF(N16917="","",COUNTIFS(RawData[[Date ]],N16917,RawData[Month List],$Q$6,RawData[Tour/Site],$Q$2,RawData[[Picker ID ]],$Q$3,RawData[Checker ID],$Q$4,RawData[[Error Type ]],$Q$5))</f>
        <v/>
      </c>
    </row>
    <row r="16918" spans="15:15" x14ac:dyDescent="0.25">
      <c r="O16918" s="20" t="str">
        <f>IF(N16918="","",COUNTIFS(RawData[[Date ]],N16918,RawData[Month List],$Q$6,RawData[Tour/Site],$Q$2,RawData[[Picker ID ]],$Q$3,RawData[Checker ID],$Q$4,RawData[[Error Type ]],$Q$5))</f>
        <v/>
      </c>
    </row>
    <row r="16919" spans="15:15" x14ac:dyDescent="0.25">
      <c r="O16919" s="20" t="str">
        <f>IF(N16919="","",COUNTIFS(RawData[[Date ]],N16919,RawData[Month List],$Q$6,RawData[Tour/Site],$Q$2,RawData[[Picker ID ]],$Q$3,RawData[Checker ID],$Q$4,RawData[[Error Type ]],$Q$5))</f>
        <v/>
      </c>
    </row>
    <row r="16920" spans="15:15" x14ac:dyDescent="0.25">
      <c r="O16920" s="20" t="str">
        <f>IF(N16920="","",COUNTIFS(RawData[[Date ]],N16920,RawData[Month List],$Q$6,RawData[Tour/Site],$Q$2,RawData[[Picker ID ]],$Q$3,RawData[Checker ID],$Q$4,RawData[[Error Type ]],$Q$5))</f>
        <v/>
      </c>
    </row>
    <row r="16921" spans="15:15" x14ac:dyDescent="0.25">
      <c r="O16921" s="20" t="str">
        <f>IF(N16921="","",COUNTIFS(RawData[[Date ]],N16921,RawData[Month List],$Q$6,RawData[Tour/Site],$Q$2,RawData[[Picker ID ]],$Q$3,RawData[Checker ID],$Q$4,RawData[[Error Type ]],$Q$5))</f>
        <v/>
      </c>
    </row>
    <row r="16922" spans="15:15" x14ac:dyDescent="0.25">
      <c r="O16922" s="20" t="str">
        <f>IF(N16922="","",COUNTIFS(RawData[[Date ]],N16922,RawData[Month List],$Q$6,RawData[Tour/Site],$Q$2,RawData[[Picker ID ]],$Q$3,RawData[Checker ID],$Q$4,RawData[[Error Type ]],$Q$5))</f>
        <v/>
      </c>
    </row>
    <row r="16923" spans="15:15" x14ac:dyDescent="0.25">
      <c r="O16923" s="20" t="str">
        <f>IF(N16923="","",COUNTIFS(RawData[[Date ]],N16923,RawData[Month List],$Q$6,RawData[Tour/Site],$Q$2,RawData[[Picker ID ]],$Q$3,RawData[Checker ID],$Q$4,RawData[[Error Type ]],$Q$5))</f>
        <v/>
      </c>
    </row>
    <row r="16924" spans="15:15" x14ac:dyDescent="0.25">
      <c r="O16924" s="20" t="str">
        <f>IF(N16924="","",COUNTIFS(RawData[[Date ]],N16924,RawData[Month List],$Q$6,RawData[Tour/Site],$Q$2,RawData[[Picker ID ]],$Q$3,RawData[Checker ID],$Q$4,RawData[[Error Type ]],$Q$5))</f>
        <v/>
      </c>
    </row>
    <row r="16925" spans="15:15" x14ac:dyDescent="0.25">
      <c r="O16925" s="20" t="str">
        <f>IF(N16925="","",COUNTIFS(RawData[[Date ]],N16925,RawData[Month List],$Q$6,RawData[Tour/Site],$Q$2,RawData[[Picker ID ]],$Q$3,RawData[Checker ID],$Q$4,RawData[[Error Type ]],$Q$5))</f>
        <v/>
      </c>
    </row>
    <row r="16926" spans="15:15" x14ac:dyDescent="0.25">
      <c r="O16926" s="20" t="str">
        <f>IF(N16926="","",COUNTIFS(RawData[[Date ]],N16926,RawData[Month List],$Q$6,RawData[Tour/Site],$Q$2,RawData[[Picker ID ]],$Q$3,RawData[Checker ID],$Q$4,RawData[[Error Type ]],$Q$5))</f>
        <v/>
      </c>
    </row>
    <row r="16927" spans="15:15" x14ac:dyDescent="0.25">
      <c r="O16927" s="20" t="str">
        <f>IF(N16927="","",COUNTIFS(RawData[[Date ]],N16927,RawData[Month List],$Q$6,RawData[Tour/Site],$Q$2,RawData[[Picker ID ]],$Q$3,RawData[Checker ID],$Q$4,RawData[[Error Type ]],$Q$5))</f>
        <v/>
      </c>
    </row>
    <row r="16928" spans="15:15" x14ac:dyDescent="0.25">
      <c r="O16928" s="20" t="str">
        <f>IF(N16928="","",COUNTIFS(RawData[[Date ]],N16928,RawData[Month List],$Q$6,RawData[Tour/Site],$Q$2,RawData[[Picker ID ]],$Q$3,RawData[Checker ID],$Q$4,RawData[[Error Type ]],$Q$5))</f>
        <v/>
      </c>
    </row>
    <row r="16929" spans="15:15" x14ac:dyDescent="0.25">
      <c r="O16929" s="20" t="str">
        <f>IF(N16929="","",COUNTIFS(RawData[[Date ]],N16929,RawData[Month List],$Q$6,RawData[Tour/Site],$Q$2,RawData[[Picker ID ]],$Q$3,RawData[Checker ID],$Q$4,RawData[[Error Type ]],$Q$5))</f>
        <v/>
      </c>
    </row>
    <row r="16930" spans="15:15" x14ac:dyDescent="0.25">
      <c r="O16930" s="20" t="str">
        <f>IF(N16930="","",COUNTIFS(RawData[[Date ]],N16930,RawData[Month List],$Q$6,RawData[Tour/Site],$Q$2,RawData[[Picker ID ]],$Q$3,RawData[Checker ID],$Q$4,RawData[[Error Type ]],$Q$5))</f>
        <v/>
      </c>
    </row>
    <row r="16931" spans="15:15" x14ac:dyDescent="0.25">
      <c r="O16931" s="20" t="str">
        <f>IF(N16931="","",COUNTIFS(RawData[[Date ]],N16931,RawData[Month List],$Q$6,RawData[Tour/Site],$Q$2,RawData[[Picker ID ]],$Q$3,RawData[Checker ID],$Q$4,RawData[[Error Type ]],$Q$5))</f>
        <v/>
      </c>
    </row>
    <row r="16932" spans="15:15" x14ac:dyDescent="0.25">
      <c r="O16932" s="20" t="str">
        <f>IF(N16932="","",COUNTIFS(RawData[[Date ]],N16932,RawData[Month List],$Q$6,RawData[Tour/Site],$Q$2,RawData[[Picker ID ]],$Q$3,RawData[Checker ID],$Q$4,RawData[[Error Type ]],$Q$5))</f>
        <v/>
      </c>
    </row>
    <row r="16933" spans="15:15" x14ac:dyDescent="0.25">
      <c r="O16933" s="20" t="str">
        <f>IF(N16933="","",COUNTIFS(RawData[[Date ]],N16933,RawData[Month List],$Q$6,RawData[Tour/Site],$Q$2,RawData[[Picker ID ]],$Q$3,RawData[Checker ID],$Q$4,RawData[[Error Type ]],$Q$5))</f>
        <v/>
      </c>
    </row>
    <row r="16934" spans="15:15" x14ac:dyDescent="0.25">
      <c r="O16934" s="20" t="str">
        <f>IF(N16934="","",COUNTIFS(RawData[[Date ]],N16934,RawData[Month List],$Q$6,RawData[Tour/Site],$Q$2,RawData[[Picker ID ]],$Q$3,RawData[Checker ID],$Q$4,RawData[[Error Type ]],$Q$5))</f>
        <v/>
      </c>
    </row>
    <row r="16935" spans="15:15" x14ac:dyDescent="0.25">
      <c r="O16935" s="20" t="str">
        <f>IF(N16935="","",COUNTIFS(RawData[[Date ]],N16935,RawData[Month List],$Q$6,RawData[Tour/Site],$Q$2,RawData[[Picker ID ]],$Q$3,RawData[Checker ID],$Q$4,RawData[[Error Type ]],$Q$5))</f>
        <v/>
      </c>
    </row>
    <row r="16936" spans="15:15" x14ac:dyDescent="0.25">
      <c r="O16936" s="20" t="str">
        <f>IF(N16936="","",COUNTIFS(RawData[[Date ]],N16936,RawData[Month List],$Q$6,RawData[Tour/Site],$Q$2,RawData[[Picker ID ]],$Q$3,RawData[Checker ID],$Q$4,RawData[[Error Type ]],$Q$5))</f>
        <v/>
      </c>
    </row>
    <row r="16937" spans="15:15" x14ac:dyDescent="0.25">
      <c r="O16937" s="20" t="str">
        <f>IF(N16937="","",COUNTIFS(RawData[[Date ]],N16937,RawData[Month List],$Q$6,RawData[Tour/Site],$Q$2,RawData[[Picker ID ]],$Q$3,RawData[Checker ID],$Q$4,RawData[[Error Type ]],$Q$5))</f>
        <v/>
      </c>
    </row>
    <row r="16938" spans="15:15" x14ac:dyDescent="0.25">
      <c r="O16938" s="20" t="str">
        <f>IF(N16938="","",COUNTIFS(RawData[[Date ]],N16938,RawData[Month List],$Q$6,RawData[Tour/Site],$Q$2,RawData[[Picker ID ]],$Q$3,RawData[Checker ID],$Q$4,RawData[[Error Type ]],$Q$5))</f>
        <v/>
      </c>
    </row>
    <row r="16939" spans="15:15" x14ac:dyDescent="0.25">
      <c r="O16939" s="20" t="str">
        <f>IF(N16939="","",COUNTIFS(RawData[[Date ]],N16939,RawData[Month List],$Q$6,RawData[Tour/Site],$Q$2,RawData[[Picker ID ]],$Q$3,RawData[Checker ID],$Q$4,RawData[[Error Type ]],$Q$5))</f>
        <v/>
      </c>
    </row>
    <row r="16940" spans="15:15" x14ac:dyDescent="0.25">
      <c r="O16940" s="20" t="str">
        <f>IF(N16940="","",COUNTIFS(RawData[[Date ]],N16940,RawData[Month List],$Q$6,RawData[Tour/Site],$Q$2,RawData[[Picker ID ]],$Q$3,RawData[Checker ID],$Q$4,RawData[[Error Type ]],$Q$5))</f>
        <v/>
      </c>
    </row>
    <row r="16941" spans="15:15" x14ac:dyDescent="0.25">
      <c r="O16941" s="20" t="str">
        <f>IF(N16941="","",COUNTIFS(RawData[[Date ]],N16941,RawData[Month List],$Q$6,RawData[Tour/Site],$Q$2,RawData[[Picker ID ]],$Q$3,RawData[Checker ID],$Q$4,RawData[[Error Type ]],$Q$5))</f>
        <v/>
      </c>
    </row>
    <row r="16942" spans="15:15" x14ac:dyDescent="0.25">
      <c r="O16942" s="20" t="str">
        <f>IF(N16942="","",COUNTIFS(RawData[[Date ]],N16942,RawData[Month List],$Q$6,RawData[Tour/Site],$Q$2,RawData[[Picker ID ]],$Q$3,RawData[Checker ID],$Q$4,RawData[[Error Type ]],$Q$5))</f>
        <v/>
      </c>
    </row>
    <row r="16943" spans="15:15" x14ac:dyDescent="0.25">
      <c r="O16943" s="20" t="str">
        <f>IF(N16943="","",COUNTIFS(RawData[[Date ]],N16943,RawData[Month List],$Q$6,RawData[Tour/Site],$Q$2,RawData[[Picker ID ]],$Q$3,RawData[Checker ID],$Q$4,RawData[[Error Type ]],$Q$5))</f>
        <v/>
      </c>
    </row>
    <row r="16944" spans="15:15" x14ac:dyDescent="0.25">
      <c r="O16944" s="20" t="str">
        <f>IF(N16944="","",COUNTIFS(RawData[[Date ]],N16944,RawData[Month List],$Q$6,RawData[Tour/Site],$Q$2,RawData[[Picker ID ]],$Q$3,RawData[Checker ID],$Q$4,RawData[[Error Type ]],$Q$5))</f>
        <v/>
      </c>
    </row>
    <row r="16945" spans="15:15" x14ac:dyDescent="0.25">
      <c r="O16945" s="20" t="str">
        <f>IF(N16945="","",COUNTIFS(RawData[[Date ]],N16945,RawData[Month List],$Q$6,RawData[Tour/Site],$Q$2,RawData[[Picker ID ]],$Q$3,RawData[Checker ID],$Q$4,RawData[[Error Type ]],$Q$5))</f>
        <v/>
      </c>
    </row>
    <row r="16946" spans="15:15" x14ac:dyDescent="0.25">
      <c r="O16946" s="20" t="str">
        <f>IF(N16946="","",COUNTIFS(RawData[[Date ]],N16946,RawData[Month List],$Q$6,RawData[Tour/Site],$Q$2,RawData[[Picker ID ]],$Q$3,RawData[Checker ID],$Q$4,RawData[[Error Type ]],$Q$5))</f>
        <v/>
      </c>
    </row>
    <row r="16947" spans="15:15" x14ac:dyDescent="0.25">
      <c r="O16947" s="20" t="str">
        <f>IF(N16947="","",COUNTIFS(RawData[[Date ]],N16947,RawData[Month List],$Q$6,RawData[Tour/Site],$Q$2,RawData[[Picker ID ]],$Q$3,RawData[Checker ID],$Q$4,RawData[[Error Type ]],$Q$5))</f>
        <v/>
      </c>
    </row>
    <row r="16948" spans="15:15" x14ac:dyDescent="0.25">
      <c r="O16948" s="20" t="str">
        <f>IF(N16948="","",COUNTIFS(RawData[[Date ]],N16948,RawData[Month List],$Q$6,RawData[Tour/Site],$Q$2,RawData[[Picker ID ]],$Q$3,RawData[Checker ID],$Q$4,RawData[[Error Type ]],$Q$5))</f>
        <v/>
      </c>
    </row>
    <row r="16949" spans="15:15" x14ac:dyDescent="0.25">
      <c r="O16949" s="20" t="str">
        <f>IF(N16949="","",COUNTIFS(RawData[[Date ]],N16949,RawData[Month List],$Q$6,RawData[Tour/Site],$Q$2,RawData[[Picker ID ]],$Q$3,RawData[Checker ID],$Q$4,RawData[[Error Type ]],$Q$5))</f>
        <v/>
      </c>
    </row>
    <row r="16950" spans="15:15" x14ac:dyDescent="0.25">
      <c r="O16950" s="20" t="str">
        <f>IF(N16950="","",COUNTIFS(RawData[[Date ]],N16950,RawData[Month List],$Q$6,RawData[Tour/Site],$Q$2,RawData[[Picker ID ]],$Q$3,RawData[Checker ID],$Q$4,RawData[[Error Type ]],$Q$5))</f>
        <v/>
      </c>
    </row>
    <row r="16951" spans="15:15" x14ac:dyDescent="0.25">
      <c r="O16951" s="20" t="str">
        <f>IF(N16951="","",COUNTIFS(RawData[[Date ]],N16951,RawData[Month List],$Q$6,RawData[Tour/Site],$Q$2,RawData[[Picker ID ]],$Q$3,RawData[Checker ID],$Q$4,RawData[[Error Type ]],$Q$5))</f>
        <v/>
      </c>
    </row>
    <row r="16952" spans="15:15" x14ac:dyDescent="0.25">
      <c r="O16952" s="20" t="str">
        <f>IF(N16952="","",COUNTIFS(RawData[[Date ]],N16952,RawData[Month List],$Q$6,RawData[Tour/Site],$Q$2,RawData[[Picker ID ]],$Q$3,RawData[Checker ID],$Q$4,RawData[[Error Type ]],$Q$5))</f>
        <v/>
      </c>
    </row>
    <row r="16953" spans="15:15" x14ac:dyDescent="0.25">
      <c r="O16953" s="20" t="str">
        <f>IF(N16953="","",COUNTIFS(RawData[[Date ]],N16953,RawData[Month List],$Q$6,RawData[Tour/Site],$Q$2,RawData[[Picker ID ]],$Q$3,RawData[Checker ID],$Q$4,RawData[[Error Type ]],$Q$5))</f>
        <v/>
      </c>
    </row>
    <row r="16954" spans="15:15" x14ac:dyDescent="0.25">
      <c r="O16954" s="20" t="str">
        <f>IF(N16954="","",COUNTIFS(RawData[[Date ]],N16954,RawData[Month List],$Q$6,RawData[Tour/Site],$Q$2,RawData[[Picker ID ]],$Q$3,RawData[Checker ID],$Q$4,RawData[[Error Type ]],$Q$5))</f>
        <v/>
      </c>
    </row>
    <row r="16955" spans="15:15" x14ac:dyDescent="0.25">
      <c r="O16955" s="20" t="str">
        <f>IF(N16955="","",COUNTIFS(RawData[[Date ]],N16955,RawData[Month List],$Q$6,RawData[Tour/Site],$Q$2,RawData[[Picker ID ]],$Q$3,RawData[Checker ID],$Q$4,RawData[[Error Type ]],$Q$5))</f>
        <v/>
      </c>
    </row>
    <row r="16956" spans="15:15" x14ac:dyDescent="0.25">
      <c r="O16956" s="20" t="str">
        <f>IF(N16956="","",COUNTIFS(RawData[[Date ]],N16956,RawData[Month List],$Q$6,RawData[Tour/Site],$Q$2,RawData[[Picker ID ]],$Q$3,RawData[Checker ID],$Q$4,RawData[[Error Type ]],$Q$5))</f>
        <v/>
      </c>
    </row>
    <row r="16957" spans="15:15" x14ac:dyDescent="0.25">
      <c r="O16957" s="20" t="str">
        <f>IF(N16957="","",COUNTIFS(RawData[[Date ]],N16957,RawData[Month List],$Q$6,RawData[Tour/Site],$Q$2,RawData[[Picker ID ]],$Q$3,RawData[Checker ID],$Q$4,RawData[[Error Type ]],$Q$5))</f>
        <v/>
      </c>
    </row>
    <row r="16958" spans="15:15" x14ac:dyDescent="0.25">
      <c r="O16958" s="20" t="str">
        <f>IF(N16958="","",COUNTIFS(RawData[[Date ]],N16958,RawData[Month List],$Q$6,RawData[Tour/Site],$Q$2,RawData[[Picker ID ]],$Q$3,RawData[Checker ID],$Q$4,RawData[[Error Type ]],$Q$5))</f>
        <v/>
      </c>
    </row>
    <row r="16959" spans="15:15" x14ac:dyDescent="0.25">
      <c r="O16959" s="20" t="str">
        <f>IF(N16959="","",COUNTIFS(RawData[[Date ]],N16959,RawData[Month List],$Q$6,RawData[Tour/Site],$Q$2,RawData[[Picker ID ]],$Q$3,RawData[Checker ID],$Q$4,RawData[[Error Type ]],$Q$5))</f>
        <v/>
      </c>
    </row>
    <row r="16960" spans="15:15" x14ac:dyDescent="0.25">
      <c r="O16960" s="20" t="str">
        <f>IF(N16960="","",COUNTIFS(RawData[[Date ]],N16960,RawData[Month List],$Q$6,RawData[Tour/Site],$Q$2,RawData[[Picker ID ]],$Q$3,RawData[Checker ID],$Q$4,RawData[[Error Type ]],$Q$5))</f>
        <v/>
      </c>
    </row>
    <row r="16961" spans="15:15" x14ac:dyDescent="0.25">
      <c r="O16961" s="20" t="str">
        <f>IF(N16961="","",COUNTIFS(RawData[[Date ]],N16961,RawData[Month List],$Q$6,RawData[Tour/Site],$Q$2,RawData[[Picker ID ]],$Q$3,RawData[Checker ID],$Q$4,RawData[[Error Type ]],$Q$5))</f>
        <v/>
      </c>
    </row>
    <row r="16962" spans="15:15" x14ac:dyDescent="0.25">
      <c r="O16962" s="20" t="str">
        <f>IF(N16962="","",COUNTIFS(RawData[[Date ]],N16962,RawData[Month List],$Q$6,RawData[Tour/Site],$Q$2,RawData[[Picker ID ]],$Q$3,RawData[Checker ID],$Q$4,RawData[[Error Type ]],$Q$5))</f>
        <v/>
      </c>
    </row>
    <row r="16963" spans="15:15" x14ac:dyDescent="0.25">
      <c r="O16963" s="20" t="str">
        <f>IF(N16963="","",COUNTIFS(RawData[[Date ]],N16963,RawData[Month List],$Q$6,RawData[Tour/Site],$Q$2,RawData[[Picker ID ]],$Q$3,RawData[Checker ID],$Q$4,RawData[[Error Type ]],$Q$5))</f>
        <v/>
      </c>
    </row>
    <row r="16964" spans="15:15" x14ac:dyDescent="0.25">
      <c r="O16964" s="20" t="str">
        <f>IF(N16964="","",COUNTIFS(RawData[[Date ]],N16964,RawData[Month List],$Q$6,RawData[Tour/Site],$Q$2,RawData[[Picker ID ]],$Q$3,RawData[Checker ID],$Q$4,RawData[[Error Type ]],$Q$5))</f>
        <v/>
      </c>
    </row>
    <row r="16965" spans="15:15" x14ac:dyDescent="0.25">
      <c r="O16965" s="20" t="str">
        <f>IF(N16965="","",COUNTIFS(RawData[[Date ]],N16965,RawData[Month List],$Q$6,RawData[Tour/Site],$Q$2,RawData[[Picker ID ]],$Q$3,RawData[Checker ID],$Q$4,RawData[[Error Type ]],$Q$5))</f>
        <v/>
      </c>
    </row>
    <row r="16966" spans="15:15" x14ac:dyDescent="0.25">
      <c r="O16966" s="20" t="str">
        <f>IF(N16966="","",COUNTIFS(RawData[[Date ]],N16966,RawData[Month List],$Q$6,RawData[Tour/Site],$Q$2,RawData[[Picker ID ]],$Q$3,RawData[Checker ID],$Q$4,RawData[[Error Type ]],$Q$5))</f>
        <v/>
      </c>
    </row>
    <row r="16967" spans="15:15" x14ac:dyDescent="0.25">
      <c r="O16967" s="20" t="str">
        <f>IF(N16967="","",COUNTIFS(RawData[[Date ]],N16967,RawData[Month List],$Q$6,RawData[Tour/Site],$Q$2,RawData[[Picker ID ]],$Q$3,RawData[Checker ID],$Q$4,RawData[[Error Type ]],$Q$5))</f>
        <v/>
      </c>
    </row>
    <row r="16968" spans="15:15" x14ac:dyDescent="0.25">
      <c r="O16968" s="20" t="str">
        <f>IF(N16968="","",COUNTIFS(RawData[[Date ]],N16968,RawData[Month List],$Q$6,RawData[Tour/Site],$Q$2,RawData[[Picker ID ]],$Q$3,RawData[Checker ID],$Q$4,RawData[[Error Type ]],$Q$5))</f>
        <v/>
      </c>
    </row>
    <row r="16969" spans="15:15" x14ac:dyDescent="0.25">
      <c r="O16969" s="20" t="str">
        <f>IF(N16969="","",COUNTIFS(RawData[[Date ]],N16969,RawData[Month List],$Q$6,RawData[Tour/Site],$Q$2,RawData[[Picker ID ]],$Q$3,RawData[Checker ID],$Q$4,RawData[[Error Type ]],$Q$5))</f>
        <v/>
      </c>
    </row>
    <row r="16970" spans="15:15" x14ac:dyDescent="0.25">
      <c r="O16970" s="20" t="str">
        <f>IF(N16970="","",COUNTIFS(RawData[[Date ]],N16970,RawData[Month List],$Q$6,RawData[Tour/Site],$Q$2,RawData[[Picker ID ]],$Q$3,RawData[Checker ID],$Q$4,RawData[[Error Type ]],$Q$5))</f>
        <v/>
      </c>
    </row>
    <row r="16971" spans="15:15" x14ac:dyDescent="0.25">
      <c r="O16971" s="20" t="str">
        <f>IF(N16971="","",COUNTIFS(RawData[[Date ]],N16971,RawData[Month List],$Q$6,RawData[Tour/Site],$Q$2,RawData[[Picker ID ]],$Q$3,RawData[Checker ID],$Q$4,RawData[[Error Type ]],$Q$5))</f>
        <v/>
      </c>
    </row>
    <row r="16972" spans="15:15" x14ac:dyDescent="0.25">
      <c r="O16972" s="20" t="str">
        <f>IF(N16972="","",COUNTIFS(RawData[[Date ]],N16972,RawData[Month List],$Q$6,RawData[Tour/Site],$Q$2,RawData[[Picker ID ]],$Q$3,RawData[Checker ID],$Q$4,RawData[[Error Type ]],$Q$5))</f>
        <v/>
      </c>
    </row>
    <row r="16973" spans="15:15" x14ac:dyDescent="0.25">
      <c r="O16973" s="20" t="str">
        <f>IF(N16973="","",COUNTIFS(RawData[[Date ]],N16973,RawData[Month List],$Q$6,RawData[Tour/Site],$Q$2,RawData[[Picker ID ]],$Q$3,RawData[Checker ID],$Q$4,RawData[[Error Type ]],$Q$5))</f>
        <v/>
      </c>
    </row>
    <row r="16974" spans="15:15" x14ac:dyDescent="0.25">
      <c r="O16974" s="20" t="str">
        <f>IF(N16974="","",COUNTIFS(RawData[[Date ]],N16974,RawData[Month List],$Q$6,RawData[Tour/Site],$Q$2,RawData[[Picker ID ]],$Q$3,RawData[Checker ID],$Q$4,RawData[[Error Type ]],$Q$5))</f>
        <v/>
      </c>
    </row>
    <row r="16975" spans="15:15" x14ac:dyDescent="0.25">
      <c r="O16975" s="20" t="str">
        <f>IF(N16975="","",COUNTIFS(RawData[[Date ]],N16975,RawData[Month List],$Q$6,RawData[Tour/Site],$Q$2,RawData[[Picker ID ]],$Q$3,RawData[Checker ID],$Q$4,RawData[[Error Type ]],$Q$5))</f>
        <v/>
      </c>
    </row>
    <row r="16976" spans="15:15" x14ac:dyDescent="0.25">
      <c r="O16976" s="20" t="str">
        <f>IF(N16976="","",COUNTIFS(RawData[[Date ]],N16976,RawData[Month List],$Q$6,RawData[Tour/Site],$Q$2,RawData[[Picker ID ]],$Q$3,RawData[Checker ID],$Q$4,RawData[[Error Type ]],$Q$5))</f>
        <v/>
      </c>
    </row>
    <row r="16977" spans="15:15" x14ac:dyDescent="0.25">
      <c r="O16977" s="20" t="str">
        <f>IF(N16977="","",COUNTIFS(RawData[[Date ]],N16977,RawData[Month List],$Q$6,RawData[Tour/Site],$Q$2,RawData[[Picker ID ]],$Q$3,RawData[Checker ID],$Q$4,RawData[[Error Type ]],$Q$5))</f>
        <v/>
      </c>
    </row>
    <row r="16978" spans="15:15" x14ac:dyDescent="0.25">
      <c r="O16978" s="20" t="str">
        <f>IF(N16978="","",COUNTIFS(RawData[[Date ]],N16978,RawData[Month List],$Q$6,RawData[Tour/Site],$Q$2,RawData[[Picker ID ]],$Q$3,RawData[Checker ID],$Q$4,RawData[[Error Type ]],$Q$5))</f>
        <v/>
      </c>
    </row>
    <row r="16979" spans="15:15" x14ac:dyDescent="0.25">
      <c r="O16979" s="20" t="str">
        <f>IF(N16979="","",COUNTIFS(RawData[[Date ]],N16979,RawData[Month List],$Q$6,RawData[Tour/Site],$Q$2,RawData[[Picker ID ]],$Q$3,RawData[Checker ID],$Q$4,RawData[[Error Type ]],$Q$5))</f>
        <v/>
      </c>
    </row>
    <row r="16980" spans="15:15" x14ac:dyDescent="0.25">
      <c r="O16980" s="20" t="str">
        <f>IF(N16980="","",COUNTIFS(RawData[[Date ]],N16980,RawData[Month List],$Q$6,RawData[Tour/Site],$Q$2,RawData[[Picker ID ]],$Q$3,RawData[Checker ID],$Q$4,RawData[[Error Type ]],$Q$5))</f>
        <v/>
      </c>
    </row>
    <row r="16981" spans="15:15" x14ac:dyDescent="0.25">
      <c r="O16981" s="20" t="str">
        <f>IF(N16981="","",COUNTIFS(RawData[[Date ]],N16981,RawData[Month List],$Q$6,RawData[Tour/Site],$Q$2,RawData[[Picker ID ]],$Q$3,RawData[Checker ID],$Q$4,RawData[[Error Type ]],$Q$5))</f>
        <v/>
      </c>
    </row>
    <row r="16982" spans="15:15" x14ac:dyDescent="0.25">
      <c r="O16982" s="20" t="str">
        <f>IF(N16982="","",COUNTIFS(RawData[[Date ]],N16982,RawData[Month List],$Q$6,RawData[Tour/Site],$Q$2,RawData[[Picker ID ]],$Q$3,RawData[Checker ID],$Q$4,RawData[[Error Type ]],$Q$5))</f>
        <v/>
      </c>
    </row>
    <row r="16983" spans="15:15" x14ac:dyDescent="0.25">
      <c r="O16983" s="20" t="str">
        <f>IF(N16983="","",COUNTIFS(RawData[[Date ]],N16983,RawData[Month List],$Q$6,RawData[Tour/Site],$Q$2,RawData[[Picker ID ]],$Q$3,RawData[Checker ID],$Q$4,RawData[[Error Type ]],$Q$5))</f>
        <v/>
      </c>
    </row>
    <row r="16984" spans="15:15" x14ac:dyDescent="0.25">
      <c r="O16984" s="20" t="str">
        <f>IF(N16984="","",COUNTIFS(RawData[[Date ]],N16984,RawData[Month List],$Q$6,RawData[Tour/Site],$Q$2,RawData[[Picker ID ]],$Q$3,RawData[Checker ID],$Q$4,RawData[[Error Type ]],$Q$5))</f>
        <v/>
      </c>
    </row>
    <row r="16985" spans="15:15" x14ac:dyDescent="0.25">
      <c r="O16985" s="20" t="str">
        <f>IF(N16985="","",COUNTIFS(RawData[[Date ]],N16985,RawData[Month List],$Q$6,RawData[Tour/Site],$Q$2,RawData[[Picker ID ]],$Q$3,RawData[Checker ID],$Q$4,RawData[[Error Type ]],$Q$5))</f>
        <v/>
      </c>
    </row>
    <row r="16986" spans="15:15" x14ac:dyDescent="0.25">
      <c r="O16986" s="20" t="str">
        <f>IF(N16986="","",COUNTIFS(RawData[[Date ]],N16986,RawData[Month List],$Q$6,RawData[Tour/Site],$Q$2,RawData[[Picker ID ]],$Q$3,RawData[Checker ID],$Q$4,RawData[[Error Type ]],$Q$5))</f>
        <v/>
      </c>
    </row>
    <row r="16987" spans="15:15" x14ac:dyDescent="0.25">
      <c r="O16987" s="20" t="str">
        <f>IF(N16987="","",COUNTIFS(RawData[[Date ]],N16987,RawData[Month List],$Q$6,RawData[Tour/Site],$Q$2,RawData[[Picker ID ]],$Q$3,RawData[Checker ID],$Q$4,RawData[[Error Type ]],$Q$5))</f>
        <v/>
      </c>
    </row>
    <row r="16988" spans="15:15" x14ac:dyDescent="0.25">
      <c r="O16988" s="20" t="str">
        <f>IF(N16988="","",COUNTIFS(RawData[[Date ]],N16988,RawData[Month List],$Q$6,RawData[Tour/Site],$Q$2,RawData[[Picker ID ]],$Q$3,RawData[Checker ID],$Q$4,RawData[[Error Type ]],$Q$5))</f>
        <v/>
      </c>
    </row>
    <row r="16989" spans="15:15" x14ac:dyDescent="0.25">
      <c r="O16989" s="20" t="str">
        <f>IF(N16989="","",COUNTIFS(RawData[[Date ]],N16989,RawData[Month List],$Q$6,RawData[Tour/Site],$Q$2,RawData[[Picker ID ]],$Q$3,RawData[Checker ID],$Q$4,RawData[[Error Type ]],$Q$5))</f>
        <v/>
      </c>
    </row>
    <row r="16990" spans="15:15" x14ac:dyDescent="0.25">
      <c r="O16990" s="20" t="str">
        <f>IF(N16990="","",COUNTIFS(RawData[[Date ]],N16990,RawData[Month List],$Q$6,RawData[Tour/Site],$Q$2,RawData[[Picker ID ]],$Q$3,RawData[Checker ID],$Q$4,RawData[[Error Type ]],$Q$5))</f>
        <v/>
      </c>
    </row>
    <row r="16991" spans="15:15" x14ac:dyDescent="0.25">
      <c r="O16991" s="20" t="str">
        <f>IF(N16991="","",COUNTIFS(RawData[[Date ]],N16991,RawData[Month List],$Q$6,RawData[Tour/Site],$Q$2,RawData[[Picker ID ]],$Q$3,RawData[Checker ID],$Q$4,RawData[[Error Type ]],$Q$5))</f>
        <v/>
      </c>
    </row>
    <row r="16992" spans="15:15" x14ac:dyDescent="0.25">
      <c r="O16992" s="20" t="str">
        <f>IF(N16992="","",COUNTIFS(RawData[[Date ]],N16992,RawData[Month List],$Q$6,RawData[Tour/Site],$Q$2,RawData[[Picker ID ]],$Q$3,RawData[Checker ID],$Q$4,RawData[[Error Type ]],$Q$5))</f>
        <v/>
      </c>
    </row>
    <row r="16993" spans="15:15" x14ac:dyDescent="0.25">
      <c r="O16993" s="20" t="str">
        <f>IF(N16993="","",COUNTIFS(RawData[[Date ]],N16993,RawData[Month List],$Q$6,RawData[Tour/Site],$Q$2,RawData[[Picker ID ]],$Q$3,RawData[Checker ID],$Q$4,RawData[[Error Type ]],$Q$5))</f>
        <v/>
      </c>
    </row>
    <row r="16994" spans="15:15" x14ac:dyDescent="0.25">
      <c r="O16994" s="20" t="str">
        <f>IF(N16994="","",COUNTIFS(RawData[[Date ]],N16994,RawData[Month List],$Q$6,RawData[Tour/Site],$Q$2,RawData[[Picker ID ]],$Q$3,RawData[Checker ID],$Q$4,RawData[[Error Type ]],$Q$5))</f>
        <v/>
      </c>
    </row>
    <row r="16995" spans="15:15" x14ac:dyDescent="0.25">
      <c r="O16995" s="20" t="str">
        <f>IF(N16995="","",COUNTIFS(RawData[[Date ]],N16995,RawData[Month List],$Q$6,RawData[Tour/Site],$Q$2,RawData[[Picker ID ]],$Q$3,RawData[Checker ID],$Q$4,RawData[[Error Type ]],$Q$5))</f>
        <v/>
      </c>
    </row>
    <row r="16996" spans="15:15" x14ac:dyDescent="0.25">
      <c r="O16996" s="20" t="str">
        <f>IF(N16996="","",COUNTIFS(RawData[[Date ]],N16996,RawData[Month List],$Q$6,RawData[Tour/Site],$Q$2,RawData[[Picker ID ]],$Q$3,RawData[Checker ID],$Q$4,RawData[[Error Type ]],$Q$5))</f>
        <v/>
      </c>
    </row>
    <row r="16997" spans="15:15" x14ac:dyDescent="0.25">
      <c r="O16997" s="20" t="str">
        <f>IF(N16997="","",COUNTIFS(RawData[[Date ]],N16997,RawData[Month List],$Q$6,RawData[Tour/Site],$Q$2,RawData[[Picker ID ]],$Q$3,RawData[Checker ID],$Q$4,RawData[[Error Type ]],$Q$5))</f>
        <v/>
      </c>
    </row>
    <row r="16998" spans="15:15" x14ac:dyDescent="0.25">
      <c r="O16998" s="20" t="str">
        <f>IF(N16998="","",COUNTIFS(RawData[[Date ]],N16998,RawData[Month List],$Q$6,RawData[Tour/Site],$Q$2,RawData[[Picker ID ]],$Q$3,RawData[Checker ID],$Q$4,RawData[[Error Type ]],$Q$5))</f>
        <v/>
      </c>
    </row>
    <row r="16999" spans="15:15" x14ac:dyDescent="0.25">
      <c r="O16999" s="20" t="str">
        <f>IF(N16999="","",COUNTIFS(RawData[[Date ]],N16999,RawData[Month List],$Q$6,RawData[Tour/Site],$Q$2,RawData[[Picker ID ]],$Q$3,RawData[Checker ID],$Q$4,RawData[[Error Type ]],$Q$5))</f>
        <v/>
      </c>
    </row>
    <row r="17000" spans="15:15" x14ac:dyDescent="0.25">
      <c r="O17000" s="20" t="str">
        <f>IF(N17000="","",COUNTIFS(RawData[[Date ]],N17000,RawData[Month List],$Q$6,RawData[Tour/Site],$Q$2,RawData[[Picker ID ]],$Q$3,RawData[Checker ID],$Q$4,RawData[[Error Type ]],$Q$5))</f>
        <v/>
      </c>
    </row>
    <row r="17001" spans="15:15" x14ac:dyDescent="0.25">
      <c r="O17001" s="20" t="str">
        <f>IF(N17001="","",COUNTIFS(RawData[[Date ]],N17001,RawData[Month List],$Q$6,RawData[Tour/Site],$Q$2,RawData[[Picker ID ]],$Q$3,RawData[Checker ID],$Q$4,RawData[[Error Type ]],$Q$5))</f>
        <v/>
      </c>
    </row>
    <row r="17002" spans="15:15" x14ac:dyDescent="0.25">
      <c r="O17002" s="20" t="str">
        <f>IF(N17002="","",COUNTIFS(RawData[[Date ]],N17002,RawData[Month List],$Q$6,RawData[Tour/Site],$Q$2,RawData[[Picker ID ]],$Q$3,RawData[Checker ID],$Q$4,RawData[[Error Type ]],$Q$5))</f>
        <v/>
      </c>
    </row>
    <row r="17003" spans="15:15" x14ac:dyDescent="0.25">
      <c r="O17003" s="20" t="str">
        <f>IF(N17003="","",COUNTIFS(RawData[[Date ]],N17003,RawData[Month List],$Q$6,RawData[Tour/Site],$Q$2,RawData[[Picker ID ]],$Q$3,RawData[Checker ID],$Q$4,RawData[[Error Type ]],$Q$5))</f>
        <v/>
      </c>
    </row>
    <row r="17004" spans="15:15" x14ac:dyDescent="0.25">
      <c r="O17004" s="20" t="str">
        <f>IF(N17004="","",COUNTIFS(RawData[[Date ]],N17004,RawData[Month List],$Q$6,RawData[Tour/Site],$Q$2,RawData[[Picker ID ]],$Q$3,RawData[Checker ID],$Q$4,RawData[[Error Type ]],$Q$5))</f>
        <v/>
      </c>
    </row>
    <row r="17005" spans="15:15" x14ac:dyDescent="0.25">
      <c r="O17005" s="20" t="str">
        <f>IF(N17005="","",COUNTIFS(RawData[[Date ]],N17005,RawData[Month List],$Q$6,RawData[Tour/Site],$Q$2,RawData[[Picker ID ]],$Q$3,RawData[Checker ID],$Q$4,RawData[[Error Type ]],$Q$5))</f>
        <v/>
      </c>
    </row>
    <row r="17006" spans="15:15" x14ac:dyDescent="0.25">
      <c r="O17006" s="20" t="str">
        <f>IF(N17006="","",COUNTIFS(RawData[[Date ]],N17006,RawData[Month List],$Q$6,RawData[Tour/Site],$Q$2,RawData[[Picker ID ]],$Q$3,RawData[Checker ID],$Q$4,RawData[[Error Type ]],$Q$5))</f>
        <v/>
      </c>
    </row>
    <row r="17007" spans="15:15" x14ac:dyDescent="0.25">
      <c r="O17007" s="20" t="str">
        <f>IF(N17007="","",COUNTIFS(RawData[[Date ]],N17007,RawData[Month List],$Q$6,RawData[Tour/Site],$Q$2,RawData[[Picker ID ]],$Q$3,RawData[Checker ID],$Q$4,RawData[[Error Type ]],$Q$5))</f>
        <v/>
      </c>
    </row>
    <row r="17008" spans="15:15" x14ac:dyDescent="0.25">
      <c r="O17008" s="20" t="str">
        <f>IF(N17008="","",COUNTIFS(RawData[[Date ]],N17008,RawData[Month List],$Q$6,RawData[Tour/Site],$Q$2,RawData[[Picker ID ]],$Q$3,RawData[Checker ID],$Q$4,RawData[[Error Type ]],$Q$5))</f>
        <v/>
      </c>
    </row>
    <row r="17009" spans="15:15" x14ac:dyDescent="0.25">
      <c r="O17009" s="20" t="str">
        <f>IF(N17009="","",COUNTIFS(RawData[[Date ]],N17009,RawData[Month List],$Q$6,RawData[Tour/Site],$Q$2,RawData[[Picker ID ]],$Q$3,RawData[Checker ID],$Q$4,RawData[[Error Type ]],$Q$5))</f>
        <v/>
      </c>
    </row>
    <row r="17010" spans="15:15" x14ac:dyDescent="0.25">
      <c r="O17010" s="20" t="str">
        <f>IF(N17010="","",COUNTIFS(RawData[[Date ]],N17010,RawData[Month List],$Q$6,RawData[Tour/Site],$Q$2,RawData[[Picker ID ]],$Q$3,RawData[Checker ID],$Q$4,RawData[[Error Type ]],$Q$5))</f>
        <v/>
      </c>
    </row>
    <row r="17011" spans="15:15" x14ac:dyDescent="0.25">
      <c r="O17011" s="20" t="str">
        <f>IF(N17011="","",COUNTIFS(RawData[[Date ]],N17011,RawData[Month List],$Q$6,RawData[Tour/Site],$Q$2,RawData[[Picker ID ]],$Q$3,RawData[Checker ID],$Q$4,RawData[[Error Type ]],$Q$5))</f>
        <v/>
      </c>
    </row>
    <row r="17012" spans="15:15" x14ac:dyDescent="0.25">
      <c r="O17012" s="20" t="str">
        <f>IF(N17012="","",COUNTIFS(RawData[[Date ]],N17012,RawData[Month List],$Q$6,RawData[Tour/Site],$Q$2,RawData[[Picker ID ]],$Q$3,RawData[Checker ID],$Q$4,RawData[[Error Type ]],$Q$5))</f>
        <v/>
      </c>
    </row>
    <row r="17013" spans="15:15" x14ac:dyDescent="0.25">
      <c r="O17013" s="20" t="str">
        <f>IF(N17013="","",COUNTIFS(RawData[[Date ]],N17013,RawData[Month List],$Q$6,RawData[Tour/Site],$Q$2,RawData[[Picker ID ]],$Q$3,RawData[Checker ID],$Q$4,RawData[[Error Type ]],$Q$5))</f>
        <v/>
      </c>
    </row>
    <row r="17014" spans="15:15" x14ac:dyDescent="0.25">
      <c r="O17014" s="20" t="str">
        <f>IF(N17014="","",COUNTIFS(RawData[[Date ]],N17014,RawData[Month List],$Q$6,RawData[Tour/Site],$Q$2,RawData[[Picker ID ]],$Q$3,RawData[Checker ID],$Q$4,RawData[[Error Type ]],$Q$5))</f>
        <v/>
      </c>
    </row>
    <row r="17015" spans="15:15" x14ac:dyDescent="0.25">
      <c r="O17015" s="20" t="str">
        <f>IF(N17015="","",COUNTIFS(RawData[[Date ]],N17015,RawData[Month List],$Q$6,RawData[Tour/Site],$Q$2,RawData[[Picker ID ]],$Q$3,RawData[Checker ID],$Q$4,RawData[[Error Type ]],$Q$5))</f>
        <v/>
      </c>
    </row>
    <row r="17016" spans="15:15" x14ac:dyDescent="0.25">
      <c r="O17016" s="20" t="str">
        <f>IF(N17016="","",COUNTIFS(RawData[[Date ]],N17016,RawData[Month List],$Q$6,RawData[Tour/Site],$Q$2,RawData[[Picker ID ]],$Q$3,RawData[Checker ID],$Q$4,RawData[[Error Type ]],$Q$5))</f>
        <v/>
      </c>
    </row>
    <row r="17017" spans="15:15" x14ac:dyDescent="0.25">
      <c r="O17017" s="20" t="str">
        <f>IF(N17017="","",COUNTIFS(RawData[[Date ]],N17017,RawData[Month List],$Q$6,RawData[Tour/Site],$Q$2,RawData[[Picker ID ]],$Q$3,RawData[Checker ID],$Q$4,RawData[[Error Type ]],$Q$5))</f>
        <v/>
      </c>
    </row>
    <row r="17018" spans="15:15" x14ac:dyDescent="0.25">
      <c r="O17018" s="20" t="str">
        <f>IF(N17018="","",COUNTIFS(RawData[[Date ]],N17018,RawData[Month List],$Q$6,RawData[Tour/Site],$Q$2,RawData[[Picker ID ]],$Q$3,RawData[Checker ID],$Q$4,RawData[[Error Type ]],$Q$5))</f>
        <v/>
      </c>
    </row>
    <row r="17019" spans="15:15" x14ac:dyDescent="0.25">
      <c r="O17019" s="20" t="str">
        <f>IF(N17019="","",COUNTIFS(RawData[[Date ]],N17019,RawData[Month List],$Q$6,RawData[Tour/Site],$Q$2,RawData[[Picker ID ]],$Q$3,RawData[Checker ID],$Q$4,RawData[[Error Type ]],$Q$5))</f>
        <v/>
      </c>
    </row>
    <row r="17020" spans="15:15" x14ac:dyDescent="0.25">
      <c r="O17020" s="20" t="str">
        <f>IF(N17020="","",COUNTIFS(RawData[[Date ]],N17020,RawData[Month List],$Q$6,RawData[Tour/Site],$Q$2,RawData[[Picker ID ]],$Q$3,RawData[Checker ID],$Q$4,RawData[[Error Type ]],$Q$5))</f>
        <v/>
      </c>
    </row>
    <row r="17021" spans="15:15" x14ac:dyDescent="0.25">
      <c r="O17021" s="20" t="str">
        <f>IF(N17021="","",COUNTIFS(RawData[[Date ]],N17021,RawData[Month List],$Q$6,RawData[Tour/Site],$Q$2,RawData[[Picker ID ]],$Q$3,RawData[Checker ID],$Q$4,RawData[[Error Type ]],$Q$5))</f>
        <v/>
      </c>
    </row>
    <row r="17022" spans="15:15" x14ac:dyDescent="0.25">
      <c r="O17022" s="20" t="str">
        <f>IF(N17022="","",COUNTIFS(RawData[[Date ]],N17022,RawData[Month List],$Q$6,RawData[Tour/Site],$Q$2,RawData[[Picker ID ]],$Q$3,RawData[Checker ID],$Q$4,RawData[[Error Type ]],$Q$5))</f>
        <v/>
      </c>
    </row>
    <row r="17023" spans="15:15" x14ac:dyDescent="0.25">
      <c r="O17023" s="20" t="str">
        <f>IF(N17023="","",COUNTIFS(RawData[[Date ]],N17023,RawData[Month List],$Q$6,RawData[Tour/Site],$Q$2,RawData[[Picker ID ]],$Q$3,RawData[Checker ID],$Q$4,RawData[[Error Type ]],$Q$5))</f>
        <v/>
      </c>
    </row>
    <row r="17024" spans="15:15" x14ac:dyDescent="0.25">
      <c r="O17024" s="20" t="str">
        <f>IF(N17024="","",COUNTIFS(RawData[[Date ]],N17024,RawData[Month List],$Q$6,RawData[Tour/Site],$Q$2,RawData[[Picker ID ]],$Q$3,RawData[Checker ID],$Q$4,RawData[[Error Type ]],$Q$5))</f>
        <v/>
      </c>
    </row>
    <row r="17025" spans="15:15" x14ac:dyDescent="0.25">
      <c r="O17025" s="20" t="str">
        <f>IF(N17025="","",COUNTIFS(RawData[[Date ]],N17025,RawData[Month List],$Q$6,RawData[Tour/Site],$Q$2,RawData[[Picker ID ]],$Q$3,RawData[Checker ID],$Q$4,RawData[[Error Type ]],$Q$5))</f>
        <v/>
      </c>
    </row>
    <row r="17026" spans="15:15" x14ac:dyDescent="0.25">
      <c r="O17026" s="20" t="str">
        <f>IF(N17026="","",COUNTIFS(RawData[[Date ]],N17026,RawData[Month List],$Q$6,RawData[Tour/Site],$Q$2,RawData[[Picker ID ]],$Q$3,RawData[Checker ID],$Q$4,RawData[[Error Type ]],$Q$5))</f>
        <v/>
      </c>
    </row>
    <row r="17027" spans="15:15" x14ac:dyDescent="0.25">
      <c r="O17027" s="20" t="str">
        <f>IF(N17027="","",COUNTIFS(RawData[[Date ]],N17027,RawData[Month List],$Q$6,RawData[Tour/Site],$Q$2,RawData[[Picker ID ]],$Q$3,RawData[Checker ID],$Q$4,RawData[[Error Type ]],$Q$5))</f>
        <v/>
      </c>
    </row>
    <row r="17028" spans="15:15" x14ac:dyDescent="0.25">
      <c r="O17028" s="20" t="str">
        <f>IF(N17028="","",COUNTIFS(RawData[[Date ]],N17028,RawData[Month List],$Q$6,RawData[Tour/Site],$Q$2,RawData[[Picker ID ]],$Q$3,RawData[Checker ID],$Q$4,RawData[[Error Type ]],$Q$5))</f>
        <v/>
      </c>
    </row>
    <row r="17029" spans="15:15" x14ac:dyDescent="0.25">
      <c r="O17029" s="20" t="str">
        <f>IF(N17029="","",COUNTIFS(RawData[[Date ]],N17029,RawData[Month List],$Q$6,RawData[Tour/Site],$Q$2,RawData[[Picker ID ]],$Q$3,RawData[Checker ID],$Q$4,RawData[[Error Type ]],$Q$5))</f>
        <v/>
      </c>
    </row>
    <row r="17030" spans="15:15" x14ac:dyDescent="0.25">
      <c r="O17030" s="20" t="str">
        <f>IF(N17030="","",COUNTIFS(RawData[[Date ]],N17030,RawData[Month List],$Q$6,RawData[Tour/Site],$Q$2,RawData[[Picker ID ]],$Q$3,RawData[Checker ID],$Q$4,RawData[[Error Type ]],$Q$5))</f>
        <v/>
      </c>
    </row>
    <row r="17031" spans="15:15" x14ac:dyDescent="0.25">
      <c r="O17031" s="20" t="str">
        <f>IF(N17031="","",COUNTIFS(RawData[[Date ]],N17031,RawData[Month List],$Q$6,RawData[Tour/Site],$Q$2,RawData[[Picker ID ]],$Q$3,RawData[Checker ID],$Q$4,RawData[[Error Type ]],$Q$5))</f>
        <v/>
      </c>
    </row>
    <row r="17032" spans="15:15" x14ac:dyDescent="0.25">
      <c r="O17032" s="20" t="str">
        <f>IF(N17032="","",COUNTIFS(RawData[[Date ]],N17032,RawData[Month List],$Q$6,RawData[Tour/Site],$Q$2,RawData[[Picker ID ]],$Q$3,RawData[Checker ID],$Q$4,RawData[[Error Type ]],$Q$5))</f>
        <v/>
      </c>
    </row>
    <row r="17033" spans="15:15" x14ac:dyDescent="0.25">
      <c r="O17033" s="20" t="str">
        <f>IF(N17033="","",COUNTIFS(RawData[[Date ]],N17033,RawData[Month List],$Q$6,RawData[Tour/Site],$Q$2,RawData[[Picker ID ]],$Q$3,RawData[Checker ID],$Q$4,RawData[[Error Type ]],$Q$5))</f>
        <v/>
      </c>
    </row>
    <row r="17034" spans="15:15" x14ac:dyDescent="0.25">
      <c r="O17034" s="20" t="str">
        <f>IF(N17034="","",COUNTIFS(RawData[[Date ]],N17034,RawData[Month List],$Q$6,RawData[Tour/Site],$Q$2,RawData[[Picker ID ]],$Q$3,RawData[Checker ID],$Q$4,RawData[[Error Type ]],$Q$5))</f>
        <v/>
      </c>
    </row>
    <row r="17035" spans="15:15" x14ac:dyDescent="0.25">
      <c r="O17035" s="20" t="str">
        <f>IF(N17035="","",COUNTIFS(RawData[[Date ]],N17035,RawData[Month List],$Q$6,RawData[Tour/Site],$Q$2,RawData[[Picker ID ]],$Q$3,RawData[Checker ID],$Q$4,RawData[[Error Type ]],$Q$5))</f>
        <v/>
      </c>
    </row>
    <row r="17036" spans="15:15" x14ac:dyDescent="0.25">
      <c r="O17036" s="20" t="str">
        <f>IF(N17036="","",COUNTIFS(RawData[[Date ]],N17036,RawData[Month List],$Q$6,RawData[Tour/Site],$Q$2,RawData[[Picker ID ]],$Q$3,RawData[Checker ID],$Q$4,RawData[[Error Type ]],$Q$5))</f>
        <v/>
      </c>
    </row>
    <row r="17037" spans="15:15" x14ac:dyDescent="0.25">
      <c r="O17037" s="20" t="str">
        <f>IF(N17037="","",COUNTIFS(RawData[[Date ]],N17037,RawData[Month List],$Q$6,RawData[Tour/Site],$Q$2,RawData[[Picker ID ]],$Q$3,RawData[Checker ID],$Q$4,RawData[[Error Type ]],$Q$5))</f>
        <v/>
      </c>
    </row>
    <row r="17038" spans="15:15" x14ac:dyDescent="0.25">
      <c r="O17038" s="20" t="str">
        <f>IF(N17038="","",COUNTIFS(RawData[[Date ]],N17038,RawData[Month List],$Q$6,RawData[Tour/Site],$Q$2,RawData[[Picker ID ]],$Q$3,RawData[Checker ID],$Q$4,RawData[[Error Type ]],$Q$5))</f>
        <v/>
      </c>
    </row>
    <row r="17039" spans="15:15" x14ac:dyDescent="0.25">
      <c r="O17039" s="20" t="str">
        <f>IF(N17039="","",COUNTIFS(RawData[[Date ]],N17039,RawData[Month List],$Q$6,RawData[Tour/Site],$Q$2,RawData[[Picker ID ]],$Q$3,RawData[Checker ID],$Q$4,RawData[[Error Type ]],$Q$5))</f>
        <v/>
      </c>
    </row>
    <row r="17040" spans="15:15" x14ac:dyDescent="0.25">
      <c r="O17040" s="20" t="str">
        <f>IF(N17040="","",COUNTIFS(RawData[[Date ]],N17040,RawData[Month List],$Q$6,RawData[Tour/Site],$Q$2,RawData[[Picker ID ]],$Q$3,RawData[Checker ID],$Q$4,RawData[[Error Type ]],$Q$5))</f>
        <v/>
      </c>
    </row>
    <row r="17041" spans="15:15" x14ac:dyDescent="0.25">
      <c r="O17041" s="20" t="str">
        <f>IF(N17041="","",COUNTIFS(RawData[[Date ]],N17041,RawData[Month List],$Q$6,RawData[Tour/Site],$Q$2,RawData[[Picker ID ]],$Q$3,RawData[Checker ID],$Q$4,RawData[[Error Type ]],$Q$5))</f>
        <v/>
      </c>
    </row>
    <row r="17042" spans="15:15" x14ac:dyDescent="0.25">
      <c r="O17042" s="20" t="str">
        <f>IF(N17042="","",COUNTIFS(RawData[[Date ]],N17042,RawData[Month List],$Q$6,RawData[Tour/Site],$Q$2,RawData[[Picker ID ]],$Q$3,RawData[Checker ID],$Q$4,RawData[[Error Type ]],$Q$5))</f>
        <v/>
      </c>
    </row>
    <row r="17043" spans="15:15" x14ac:dyDescent="0.25">
      <c r="O17043" s="20" t="str">
        <f>IF(N17043="","",COUNTIFS(RawData[[Date ]],N17043,RawData[Month List],$Q$6,RawData[Tour/Site],$Q$2,RawData[[Picker ID ]],$Q$3,RawData[Checker ID],$Q$4,RawData[[Error Type ]],$Q$5))</f>
        <v/>
      </c>
    </row>
    <row r="17044" spans="15:15" x14ac:dyDescent="0.25">
      <c r="O17044" s="20" t="str">
        <f>IF(N17044="","",COUNTIFS(RawData[[Date ]],N17044,RawData[Month List],$Q$6,RawData[Tour/Site],$Q$2,RawData[[Picker ID ]],$Q$3,RawData[Checker ID],$Q$4,RawData[[Error Type ]],$Q$5))</f>
        <v/>
      </c>
    </row>
    <row r="17045" spans="15:15" x14ac:dyDescent="0.25">
      <c r="O17045" s="20" t="str">
        <f>IF(N17045="","",COUNTIFS(RawData[[Date ]],N17045,RawData[Month List],$Q$6,RawData[Tour/Site],$Q$2,RawData[[Picker ID ]],$Q$3,RawData[Checker ID],$Q$4,RawData[[Error Type ]],$Q$5))</f>
        <v/>
      </c>
    </row>
    <row r="17046" spans="15:15" x14ac:dyDescent="0.25">
      <c r="O17046" s="20" t="str">
        <f>IF(N17046="","",COUNTIFS(RawData[[Date ]],N17046,RawData[Month List],$Q$6,RawData[Tour/Site],$Q$2,RawData[[Picker ID ]],$Q$3,RawData[Checker ID],$Q$4,RawData[[Error Type ]],$Q$5))</f>
        <v/>
      </c>
    </row>
    <row r="17047" spans="15:15" x14ac:dyDescent="0.25">
      <c r="O17047" s="20" t="str">
        <f>IF(N17047="","",COUNTIFS(RawData[[Date ]],N17047,RawData[Month List],$Q$6,RawData[Tour/Site],$Q$2,RawData[[Picker ID ]],$Q$3,RawData[Checker ID],$Q$4,RawData[[Error Type ]],$Q$5))</f>
        <v/>
      </c>
    </row>
    <row r="17048" spans="15:15" x14ac:dyDescent="0.25">
      <c r="O17048" s="20" t="str">
        <f>IF(N17048="","",COUNTIFS(RawData[[Date ]],N17048,RawData[Month List],$Q$6,RawData[Tour/Site],$Q$2,RawData[[Picker ID ]],$Q$3,RawData[Checker ID],$Q$4,RawData[[Error Type ]],$Q$5))</f>
        <v/>
      </c>
    </row>
    <row r="17049" spans="15:15" x14ac:dyDescent="0.25">
      <c r="O17049" s="20" t="str">
        <f>IF(N17049="","",COUNTIFS(RawData[[Date ]],N17049,RawData[Month List],$Q$6,RawData[Tour/Site],$Q$2,RawData[[Picker ID ]],$Q$3,RawData[Checker ID],$Q$4,RawData[[Error Type ]],$Q$5))</f>
        <v/>
      </c>
    </row>
    <row r="17050" spans="15:15" x14ac:dyDescent="0.25">
      <c r="O17050" s="20" t="str">
        <f>IF(N17050="","",COUNTIFS(RawData[[Date ]],N17050,RawData[Month List],$Q$6,RawData[Tour/Site],$Q$2,RawData[[Picker ID ]],$Q$3,RawData[Checker ID],$Q$4,RawData[[Error Type ]],$Q$5))</f>
        <v/>
      </c>
    </row>
    <row r="17051" spans="15:15" x14ac:dyDescent="0.25">
      <c r="O17051" s="20" t="str">
        <f>IF(N17051="","",COUNTIFS(RawData[[Date ]],N17051,RawData[Month List],$Q$6,RawData[Tour/Site],$Q$2,RawData[[Picker ID ]],$Q$3,RawData[Checker ID],$Q$4,RawData[[Error Type ]],$Q$5))</f>
        <v/>
      </c>
    </row>
    <row r="17052" spans="15:15" x14ac:dyDescent="0.25">
      <c r="O17052" s="20" t="str">
        <f>IF(N17052="","",COUNTIFS(RawData[[Date ]],N17052,RawData[Month List],$Q$6,RawData[Tour/Site],$Q$2,RawData[[Picker ID ]],$Q$3,RawData[Checker ID],$Q$4,RawData[[Error Type ]],$Q$5))</f>
        <v/>
      </c>
    </row>
    <row r="17053" spans="15:15" x14ac:dyDescent="0.25">
      <c r="O17053" s="20" t="str">
        <f>IF(N17053="","",COUNTIFS(RawData[[Date ]],N17053,RawData[Month List],$Q$6,RawData[Tour/Site],$Q$2,RawData[[Picker ID ]],$Q$3,RawData[Checker ID],$Q$4,RawData[[Error Type ]],$Q$5))</f>
        <v/>
      </c>
    </row>
    <row r="17054" spans="15:15" x14ac:dyDescent="0.25">
      <c r="O17054" s="20" t="str">
        <f>IF(N17054="","",COUNTIFS(RawData[[Date ]],N17054,RawData[Month List],$Q$6,RawData[Tour/Site],$Q$2,RawData[[Picker ID ]],$Q$3,RawData[Checker ID],$Q$4,RawData[[Error Type ]],$Q$5))</f>
        <v/>
      </c>
    </row>
    <row r="17055" spans="15:15" x14ac:dyDescent="0.25">
      <c r="O17055" s="20" t="str">
        <f>IF(N17055="","",COUNTIFS(RawData[[Date ]],N17055,RawData[Month List],$Q$6,RawData[Tour/Site],$Q$2,RawData[[Picker ID ]],$Q$3,RawData[Checker ID],$Q$4,RawData[[Error Type ]],$Q$5))</f>
        <v/>
      </c>
    </row>
    <row r="17056" spans="15:15" x14ac:dyDescent="0.25">
      <c r="O17056" s="20" t="str">
        <f>IF(N17056="","",COUNTIFS(RawData[[Date ]],N17056,RawData[Month List],$Q$6,RawData[Tour/Site],$Q$2,RawData[[Picker ID ]],$Q$3,RawData[Checker ID],$Q$4,RawData[[Error Type ]],$Q$5))</f>
        <v/>
      </c>
    </row>
    <row r="17057" spans="15:15" x14ac:dyDescent="0.25">
      <c r="O17057" s="20" t="str">
        <f>IF(N17057="","",COUNTIFS(RawData[[Date ]],N17057,RawData[Month List],$Q$6,RawData[Tour/Site],$Q$2,RawData[[Picker ID ]],$Q$3,RawData[Checker ID],$Q$4,RawData[[Error Type ]],$Q$5))</f>
        <v/>
      </c>
    </row>
    <row r="17058" spans="15:15" x14ac:dyDescent="0.25">
      <c r="O17058" s="20" t="str">
        <f>IF(N17058="","",COUNTIFS(RawData[[Date ]],N17058,RawData[Month List],$Q$6,RawData[Tour/Site],$Q$2,RawData[[Picker ID ]],$Q$3,RawData[Checker ID],$Q$4,RawData[[Error Type ]],$Q$5))</f>
        <v/>
      </c>
    </row>
    <row r="17059" spans="15:15" x14ac:dyDescent="0.25">
      <c r="O17059" s="20" t="str">
        <f>IF(N17059="","",COUNTIFS(RawData[[Date ]],N17059,RawData[Month List],$Q$6,RawData[Tour/Site],$Q$2,RawData[[Picker ID ]],$Q$3,RawData[Checker ID],$Q$4,RawData[[Error Type ]],$Q$5))</f>
        <v/>
      </c>
    </row>
    <row r="17060" spans="15:15" x14ac:dyDescent="0.25">
      <c r="O17060" s="20" t="str">
        <f>IF(N17060="","",COUNTIFS(RawData[[Date ]],N17060,RawData[Month List],$Q$6,RawData[Tour/Site],$Q$2,RawData[[Picker ID ]],$Q$3,RawData[Checker ID],$Q$4,RawData[[Error Type ]],$Q$5))</f>
        <v/>
      </c>
    </row>
    <row r="17061" spans="15:15" x14ac:dyDescent="0.25">
      <c r="O17061" s="20" t="str">
        <f>IF(N17061="","",COUNTIFS(RawData[[Date ]],N17061,RawData[Month List],$Q$6,RawData[Tour/Site],$Q$2,RawData[[Picker ID ]],$Q$3,RawData[Checker ID],$Q$4,RawData[[Error Type ]],$Q$5))</f>
        <v/>
      </c>
    </row>
    <row r="17062" spans="15:15" x14ac:dyDescent="0.25">
      <c r="O17062" s="20" t="str">
        <f>IF(N17062="","",COUNTIFS(RawData[[Date ]],N17062,RawData[Month List],$Q$6,RawData[Tour/Site],$Q$2,RawData[[Picker ID ]],$Q$3,RawData[Checker ID],$Q$4,RawData[[Error Type ]],$Q$5))</f>
        <v/>
      </c>
    </row>
    <row r="17063" spans="15:15" x14ac:dyDescent="0.25">
      <c r="O17063" s="20" t="str">
        <f>IF(N17063="","",COUNTIFS(RawData[[Date ]],N17063,RawData[Month List],$Q$6,RawData[Tour/Site],$Q$2,RawData[[Picker ID ]],$Q$3,RawData[Checker ID],$Q$4,RawData[[Error Type ]],$Q$5))</f>
        <v/>
      </c>
    </row>
    <row r="17064" spans="15:15" x14ac:dyDescent="0.25">
      <c r="O17064" s="20" t="str">
        <f>IF(N17064="","",COUNTIFS(RawData[[Date ]],N17064,RawData[Month List],$Q$6,RawData[Tour/Site],$Q$2,RawData[[Picker ID ]],$Q$3,RawData[Checker ID],$Q$4,RawData[[Error Type ]],$Q$5))</f>
        <v/>
      </c>
    </row>
    <row r="17065" spans="15:15" x14ac:dyDescent="0.25">
      <c r="O17065" s="20" t="str">
        <f>IF(N17065="","",COUNTIFS(RawData[[Date ]],N17065,RawData[Month List],$Q$6,RawData[Tour/Site],$Q$2,RawData[[Picker ID ]],$Q$3,RawData[Checker ID],$Q$4,RawData[[Error Type ]],$Q$5))</f>
        <v/>
      </c>
    </row>
    <row r="17066" spans="15:15" x14ac:dyDescent="0.25">
      <c r="O17066" s="20" t="str">
        <f>IF(N17066="","",COUNTIFS(RawData[[Date ]],N17066,RawData[Month List],$Q$6,RawData[Tour/Site],$Q$2,RawData[[Picker ID ]],$Q$3,RawData[Checker ID],$Q$4,RawData[[Error Type ]],$Q$5))</f>
        <v/>
      </c>
    </row>
    <row r="17067" spans="15:15" x14ac:dyDescent="0.25">
      <c r="O17067" s="20" t="str">
        <f>IF(N17067="","",COUNTIFS(RawData[[Date ]],N17067,RawData[Month List],$Q$6,RawData[Tour/Site],$Q$2,RawData[[Picker ID ]],$Q$3,RawData[Checker ID],$Q$4,RawData[[Error Type ]],$Q$5))</f>
        <v/>
      </c>
    </row>
    <row r="17068" spans="15:15" x14ac:dyDescent="0.25">
      <c r="O17068" s="20" t="str">
        <f>IF(N17068="","",COUNTIFS(RawData[[Date ]],N17068,RawData[Month List],$Q$6,RawData[Tour/Site],$Q$2,RawData[[Picker ID ]],$Q$3,RawData[Checker ID],$Q$4,RawData[[Error Type ]],$Q$5))</f>
        <v/>
      </c>
    </row>
    <row r="17069" spans="15:15" x14ac:dyDescent="0.25">
      <c r="O17069" s="20" t="str">
        <f>IF(N17069="","",COUNTIFS(RawData[[Date ]],N17069,RawData[Month List],$Q$6,RawData[Tour/Site],$Q$2,RawData[[Picker ID ]],$Q$3,RawData[Checker ID],$Q$4,RawData[[Error Type ]],$Q$5))</f>
        <v/>
      </c>
    </row>
    <row r="17070" spans="15:15" x14ac:dyDescent="0.25">
      <c r="O17070" s="20" t="str">
        <f>IF(N17070="","",COUNTIFS(RawData[[Date ]],N17070,RawData[Month List],$Q$6,RawData[Tour/Site],$Q$2,RawData[[Picker ID ]],$Q$3,RawData[Checker ID],$Q$4,RawData[[Error Type ]],$Q$5))</f>
        <v/>
      </c>
    </row>
    <row r="17071" spans="15:15" x14ac:dyDescent="0.25">
      <c r="O17071" s="20" t="str">
        <f>IF(N17071="","",COUNTIFS(RawData[[Date ]],N17071,RawData[Month List],$Q$6,RawData[Tour/Site],$Q$2,RawData[[Picker ID ]],$Q$3,RawData[Checker ID],$Q$4,RawData[[Error Type ]],$Q$5))</f>
        <v/>
      </c>
    </row>
    <row r="17072" spans="15:15" x14ac:dyDescent="0.25">
      <c r="O17072" s="20" t="str">
        <f>IF(N17072="","",COUNTIFS(RawData[[Date ]],N17072,RawData[Month List],$Q$6,RawData[Tour/Site],$Q$2,RawData[[Picker ID ]],$Q$3,RawData[Checker ID],$Q$4,RawData[[Error Type ]],$Q$5))</f>
        <v/>
      </c>
    </row>
    <row r="17073" spans="15:15" x14ac:dyDescent="0.25">
      <c r="O17073" s="20" t="str">
        <f>IF(N17073="","",COUNTIFS(RawData[[Date ]],N17073,RawData[Month List],$Q$6,RawData[Tour/Site],$Q$2,RawData[[Picker ID ]],$Q$3,RawData[Checker ID],$Q$4,RawData[[Error Type ]],$Q$5))</f>
        <v/>
      </c>
    </row>
    <row r="17074" spans="15:15" x14ac:dyDescent="0.25">
      <c r="O17074" s="20" t="str">
        <f>IF(N17074="","",COUNTIFS(RawData[[Date ]],N17074,RawData[Month List],$Q$6,RawData[Tour/Site],$Q$2,RawData[[Picker ID ]],$Q$3,RawData[Checker ID],$Q$4,RawData[[Error Type ]],$Q$5))</f>
        <v/>
      </c>
    </row>
    <row r="17075" spans="15:15" x14ac:dyDescent="0.25">
      <c r="O17075" s="20" t="str">
        <f>IF(N17075="","",COUNTIFS(RawData[[Date ]],N17075,RawData[Month List],$Q$6,RawData[Tour/Site],$Q$2,RawData[[Picker ID ]],$Q$3,RawData[Checker ID],$Q$4,RawData[[Error Type ]],$Q$5))</f>
        <v/>
      </c>
    </row>
    <row r="17076" spans="15:15" x14ac:dyDescent="0.25">
      <c r="O17076" s="20" t="str">
        <f>IF(N17076="","",COUNTIFS(RawData[[Date ]],N17076,RawData[Month List],$Q$6,RawData[Tour/Site],$Q$2,RawData[[Picker ID ]],$Q$3,RawData[Checker ID],$Q$4,RawData[[Error Type ]],$Q$5))</f>
        <v/>
      </c>
    </row>
    <row r="17077" spans="15:15" x14ac:dyDescent="0.25">
      <c r="O17077" s="20" t="str">
        <f>IF(N17077="","",COUNTIFS(RawData[[Date ]],N17077,RawData[Month List],$Q$6,RawData[Tour/Site],$Q$2,RawData[[Picker ID ]],$Q$3,RawData[Checker ID],$Q$4,RawData[[Error Type ]],$Q$5))</f>
        <v/>
      </c>
    </row>
    <row r="17078" spans="15:15" x14ac:dyDescent="0.25">
      <c r="O17078" s="20" t="str">
        <f>IF(N17078="","",COUNTIFS(RawData[[Date ]],N17078,RawData[Month List],$Q$6,RawData[Tour/Site],$Q$2,RawData[[Picker ID ]],$Q$3,RawData[Checker ID],$Q$4,RawData[[Error Type ]],$Q$5))</f>
        <v/>
      </c>
    </row>
    <row r="17079" spans="15:15" x14ac:dyDescent="0.25">
      <c r="O17079" s="20" t="str">
        <f>IF(N17079="","",COUNTIFS(RawData[[Date ]],N17079,RawData[Month List],$Q$6,RawData[Tour/Site],$Q$2,RawData[[Picker ID ]],$Q$3,RawData[Checker ID],$Q$4,RawData[[Error Type ]],$Q$5))</f>
        <v/>
      </c>
    </row>
    <row r="17080" spans="15:15" x14ac:dyDescent="0.25">
      <c r="O17080" s="20" t="str">
        <f>IF(N17080="","",COUNTIFS(RawData[[Date ]],N17080,RawData[Month List],$Q$6,RawData[Tour/Site],$Q$2,RawData[[Picker ID ]],$Q$3,RawData[Checker ID],$Q$4,RawData[[Error Type ]],$Q$5))</f>
        <v/>
      </c>
    </row>
    <row r="17081" spans="15:15" x14ac:dyDescent="0.25">
      <c r="O17081" s="20" t="str">
        <f>IF(N17081="","",COUNTIFS(RawData[[Date ]],N17081,RawData[Month List],$Q$6,RawData[Tour/Site],$Q$2,RawData[[Picker ID ]],$Q$3,RawData[Checker ID],$Q$4,RawData[[Error Type ]],$Q$5))</f>
        <v/>
      </c>
    </row>
    <row r="17082" spans="15:15" x14ac:dyDescent="0.25">
      <c r="O17082" s="20" t="str">
        <f>IF(N17082="","",COUNTIFS(RawData[[Date ]],N17082,RawData[Month List],$Q$6,RawData[Tour/Site],$Q$2,RawData[[Picker ID ]],$Q$3,RawData[Checker ID],$Q$4,RawData[[Error Type ]],$Q$5))</f>
        <v/>
      </c>
    </row>
    <row r="17083" spans="15:15" x14ac:dyDescent="0.25">
      <c r="O17083" s="20" t="str">
        <f>IF(N17083="","",COUNTIFS(RawData[[Date ]],N17083,RawData[Month List],$Q$6,RawData[Tour/Site],$Q$2,RawData[[Picker ID ]],$Q$3,RawData[Checker ID],$Q$4,RawData[[Error Type ]],$Q$5))</f>
        <v/>
      </c>
    </row>
    <row r="17084" spans="15:15" x14ac:dyDescent="0.25">
      <c r="O17084" s="20" t="str">
        <f>IF(N17084="","",COUNTIFS(RawData[[Date ]],N17084,RawData[Month List],$Q$6,RawData[Tour/Site],$Q$2,RawData[[Picker ID ]],$Q$3,RawData[Checker ID],$Q$4,RawData[[Error Type ]],$Q$5))</f>
        <v/>
      </c>
    </row>
    <row r="17085" spans="15:15" x14ac:dyDescent="0.25">
      <c r="O17085" s="20" t="str">
        <f>IF(N17085="","",COUNTIFS(RawData[[Date ]],N17085,RawData[Month List],$Q$6,RawData[Tour/Site],$Q$2,RawData[[Picker ID ]],$Q$3,RawData[Checker ID],$Q$4,RawData[[Error Type ]],$Q$5))</f>
        <v/>
      </c>
    </row>
    <row r="17086" spans="15:15" x14ac:dyDescent="0.25">
      <c r="O17086" s="20" t="str">
        <f>IF(N17086="","",COUNTIFS(RawData[[Date ]],N17086,RawData[Month List],$Q$6,RawData[Tour/Site],$Q$2,RawData[[Picker ID ]],$Q$3,RawData[Checker ID],$Q$4,RawData[[Error Type ]],$Q$5))</f>
        <v/>
      </c>
    </row>
    <row r="17087" spans="15:15" x14ac:dyDescent="0.25">
      <c r="O17087" s="20" t="str">
        <f>IF(N17087="","",COUNTIFS(RawData[[Date ]],N17087,RawData[Month List],$Q$6,RawData[Tour/Site],$Q$2,RawData[[Picker ID ]],$Q$3,RawData[Checker ID],$Q$4,RawData[[Error Type ]],$Q$5))</f>
        <v/>
      </c>
    </row>
    <row r="17088" spans="15:15" x14ac:dyDescent="0.25">
      <c r="O17088" s="20" t="str">
        <f>IF(N17088="","",COUNTIFS(RawData[[Date ]],N17088,RawData[Month List],$Q$6,RawData[Tour/Site],$Q$2,RawData[[Picker ID ]],$Q$3,RawData[Checker ID],$Q$4,RawData[[Error Type ]],$Q$5))</f>
        <v/>
      </c>
    </row>
    <row r="17089" spans="15:15" x14ac:dyDescent="0.25">
      <c r="O17089" s="20" t="str">
        <f>IF(N17089="","",COUNTIFS(RawData[[Date ]],N17089,RawData[Month List],$Q$6,RawData[Tour/Site],$Q$2,RawData[[Picker ID ]],$Q$3,RawData[Checker ID],$Q$4,RawData[[Error Type ]],$Q$5))</f>
        <v/>
      </c>
    </row>
    <row r="17090" spans="15:15" x14ac:dyDescent="0.25">
      <c r="O17090" s="20" t="str">
        <f>IF(N17090="","",COUNTIFS(RawData[[Date ]],N17090,RawData[Month List],$Q$6,RawData[Tour/Site],$Q$2,RawData[[Picker ID ]],$Q$3,RawData[Checker ID],$Q$4,RawData[[Error Type ]],$Q$5))</f>
        <v/>
      </c>
    </row>
    <row r="17091" spans="15:15" x14ac:dyDescent="0.25">
      <c r="O17091" s="20" t="str">
        <f>IF(N17091="","",COUNTIFS(RawData[[Date ]],N17091,RawData[Month List],$Q$6,RawData[Tour/Site],$Q$2,RawData[[Picker ID ]],$Q$3,RawData[Checker ID],$Q$4,RawData[[Error Type ]],$Q$5))</f>
        <v/>
      </c>
    </row>
    <row r="17092" spans="15:15" x14ac:dyDescent="0.25">
      <c r="O17092" s="20" t="str">
        <f>IF(N17092="","",COUNTIFS(RawData[[Date ]],N17092,RawData[Month List],$Q$6,RawData[Tour/Site],$Q$2,RawData[[Picker ID ]],$Q$3,RawData[Checker ID],$Q$4,RawData[[Error Type ]],$Q$5))</f>
        <v/>
      </c>
    </row>
    <row r="17093" spans="15:15" x14ac:dyDescent="0.25">
      <c r="O17093" s="20" t="str">
        <f>IF(N17093="","",COUNTIFS(RawData[[Date ]],N17093,RawData[Month List],$Q$6,RawData[Tour/Site],$Q$2,RawData[[Picker ID ]],$Q$3,RawData[Checker ID],$Q$4,RawData[[Error Type ]],$Q$5))</f>
        <v/>
      </c>
    </row>
    <row r="17094" spans="15:15" x14ac:dyDescent="0.25">
      <c r="O17094" s="20" t="str">
        <f>IF(N17094="","",COUNTIFS(RawData[[Date ]],N17094,RawData[Month List],$Q$6,RawData[Tour/Site],$Q$2,RawData[[Picker ID ]],$Q$3,RawData[Checker ID],$Q$4,RawData[[Error Type ]],$Q$5))</f>
        <v/>
      </c>
    </row>
    <row r="17095" spans="15:15" x14ac:dyDescent="0.25">
      <c r="O17095" s="20" t="str">
        <f>IF(N17095="","",COUNTIFS(RawData[[Date ]],N17095,RawData[Month List],$Q$6,RawData[Tour/Site],$Q$2,RawData[[Picker ID ]],$Q$3,RawData[Checker ID],$Q$4,RawData[[Error Type ]],$Q$5))</f>
        <v/>
      </c>
    </row>
    <row r="17096" spans="15:15" x14ac:dyDescent="0.25">
      <c r="O17096" s="20" t="str">
        <f>IF(N17096="","",COUNTIFS(RawData[[Date ]],N17096,RawData[Month List],$Q$6,RawData[Tour/Site],$Q$2,RawData[[Picker ID ]],$Q$3,RawData[Checker ID],$Q$4,RawData[[Error Type ]],$Q$5))</f>
        <v/>
      </c>
    </row>
    <row r="17097" spans="15:15" x14ac:dyDescent="0.25">
      <c r="O17097" s="20" t="str">
        <f>IF(N17097="","",COUNTIFS(RawData[[Date ]],N17097,RawData[Month List],$Q$6,RawData[Tour/Site],$Q$2,RawData[[Picker ID ]],$Q$3,RawData[Checker ID],$Q$4,RawData[[Error Type ]],$Q$5))</f>
        <v/>
      </c>
    </row>
    <row r="17098" spans="15:15" x14ac:dyDescent="0.25">
      <c r="O17098" s="20" t="str">
        <f>IF(N17098="","",COUNTIFS(RawData[[Date ]],N17098,RawData[Month List],$Q$6,RawData[Tour/Site],$Q$2,RawData[[Picker ID ]],$Q$3,RawData[Checker ID],$Q$4,RawData[[Error Type ]],$Q$5))</f>
        <v/>
      </c>
    </row>
    <row r="17099" spans="15:15" x14ac:dyDescent="0.25">
      <c r="O17099" s="20" t="str">
        <f>IF(N17099="","",COUNTIFS(RawData[[Date ]],N17099,RawData[Month List],$Q$6,RawData[Tour/Site],$Q$2,RawData[[Picker ID ]],$Q$3,RawData[Checker ID],$Q$4,RawData[[Error Type ]],$Q$5))</f>
        <v/>
      </c>
    </row>
    <row r="17100" spans="15:15" x14ac:dyDescent="0.25">
      <c r="O17100" s="20" t="str">
        <f>IF(N17100="","",COUNTIFS(RawData[[Date ]],N17100,RawData[Month List],$Q$6,RawData[Tour/Site],$Q$2,RawData[[Picker ID ]],$Q$3,RawData[Checker ID],$Q$4,RawData[[Error Type ]],$Q$5))</f>
        <v/>
      </c>
    </row>
    <row r="17101" spans="15:15" x14ac:dyDescent="0.25">
      <c r="O17101" s="20" t="str">
        <f>IF(N17101="","",COUNTIFS(RawData[[Date ]],N17101,RawData[Month List],$Q$6,RawData[Tour/Site],$Q$2,RawData[[Picker ID ]],$Q$3,RawData[Checker ID],$Q$4,RawData[[Error Type ]],$Q$5))</f>
        <v/>
      </c>
    </row>
    <row r="17102" spans="15:15" x14ac:dyDescent="0.25">
      <c r="O17102" s="20" t="str">
        <f>IF(N17102="","",COUNTIFS(RawData[[Date ]],N17102,RawData[Month List],$Q$6,RawData[Tour/Site],$Q$2,RawData[[Picker ID ]],$Q$3,RawData[Checker ID],$Q$4,RawData[[Error Type ]],$Q$5))</f>
        <v/>
      </c>
    </row>
    <row r="17103" spans="15:15" x14ac:dyDescent="0.25">
      <c r="O17103" s="20" t="str">
        <f>IF(N17103="","",COUNTIFS(RawData[[Date ]],N17103,RawData[Month List],$Q$6,RawData[Tour/Site],$Q$2,RawData[[Picker ID ]],$Q$3,RawData[Checker ID],$Q$4,RawData[[Error Type ]],$Q$5))</f>
        <v/>
      </c>
    </row>
    <row r="17104" spans="15:15" x14ac:dyDescent="0.25">
      <c r="O17104" s="20" t="str">
        <f>IF(N17104="","",COUNTIFS(RawData[[Date ]],N17104,RawData[Month List],$Q$6,RawData[Tour/Site],$Q$2,RawData[[Picker ID ]],$Q$3,RawData[Checker ID],$Q$4,RawData[[Error Type ]],$Q$5))</f>
        <v/>
      </c>
    </row>
    <row r="17105" spans="15:15" x14ac:dyDescent="0.25">
      <c r="O17105" s="20" t="str">
        <f>IF(N17105="","",COUNTIFS(RawData[[Date ]],N17105,RawData[Month List],$Q$6,RawData[Tour/Site],$Q$2,RawData[[Picker ID ]],$Q$3,RawData[Checker ID],$Q$4,RawData[[Error Type ]],$Q$5))</f>
        <v/>
      </c>
    </row>
    <row r="17106" spans="15:15" x14ac:dyDescent="0.25">
      <c r="O17106" s="20" t="str">
        <f>IF(N17106="","",COUNTIFS(RawData[[Date ]],N17106,RawData[Month List],$Q$6,RawData[Tour/Site],$Q$2,RawData[[Picker ID ]],$Q$3,RawData[Checker ID],$Q$4,RawData[[Error Type ]],$Q$5))</f>
        <v/>
      </c>
    </row>
    <row r="17107" spans="15:15" x14ac:dyDescent="0.25">
      <c r="O17107" s="20" t="str">
        <f>IF(N17107="","",COUNTIFS(RawData[[Date ]],N17107,RawData[Month List],$Q$6,RawData[Tour/Site],$Q$2,RawData[[Picker ID ]],$Q$3,RawData[Checker ID],$Q$4,RawData[[Error Type ]],$Q$5))</f>
        <v/>
      </c>
    </row>
    <row r="17108" spans="15:15" x14ac:dyDescent="0.25">
      <c r="O17108" s="20" t="str">
        <f>IF(N17108="","",COUNTIFS(RawData[[Date ]],N17108,RawData[Month List],$Q$6,RawData[Tour/Site],$Q$2,RawData[[Picker ID ]],$Q$3,RawData[Checker ID],$Q$4,RawData[[Error Type ]],$Q$5))</f>
        <v/>
      </c>
    </row>
    <row r="17109" spans="15:15" x14ac:dyDescent="0.25">
      <c r="O17109" s="20" t="str">
        <f>IF(N17109="","",COUNTIFS(RawData[[Date ]],N17109,RawData[Month List],$Q$6,RawData[Tour/Site],$Q$2,RawData[[Picker ID ]],$Q$3,RawData[Checker ID],$Q$4,RawData[[Error Type ]],$Q$5))</f>
        <v/>
      </c>
    </row>
    <row r="17110" spans="15:15" x14ac:dyDescent="0.25">
      <c r="O17110" s="20" t="str">
        <f>IF(N17110="","",COUNTIFS(RawData[[Date ]],N17110,RawData[Month List],$Q$6,RawData[Tour/Site],$Q$2,RawData[[Picker ID ]],$Q$3,RawData[Checker ID],$Q$4,RawData[[Error Type ]],$Q$5))</f>
        <v/>
      </c>
    </row>
    <row r="17111" spans="15:15" x14ac:dyDescent="0.25">
      <c r="O17111" s="20" t="str">
        <f>IF(N17111="","",COUNTIFS(RawData[[Date ]],N17111,RawData[Month List],$Q$6,RawData[Tour/Site],$Q$2,RawData[[Picker ID ]],$Q$3,RawData[Checker ID],$Q$4,RawData[[Error Type ]],$Q$5))</f>
        <v/>
      </c>
    </row>
    <row r="17112" spans="15:15" x14ac:dyDescent="0.25">
      <c r="O17112" s="20" t="str">
        <f>IF(N17112="","",COUNTIFS(RawData[[Date ]],N17112,RawData[Month List],$Q$6,RawData[Tour/Site],$Q$2,RawData[[Picker ID ]],$Q$3,RawData[Checker ID],$Q$4,RawData[[Error Type ]],$Q$5))</f>
        <v/>
      </c>
    </row>
    <row r="17113" spans="15:15" x14ac:dyDescent="0.25">
      <c r="O17113" s="20" t="str">
        <f>IF(N17113="","",COUNTIFS(RawData[[Date ]],N17113,RawData[Month List],$Q$6,RawData[Tour/Site],$Q$2,RawData[[Picker ID ]],$Q$3,RawData[Checker ID],$Q$4,RawData[[Error Type ]],$Q$5))</f>
        <v/>
      </c>
    </row>
    <row r="17114" spans="15:15" x14ac:dyDescent="0.25">
      <c r="O17114" s="20" t="str">
        <f>IF(N17114="","",COUNTIFS(RawData[[Date ]],N17114,RawData[Month List],$Q$6,RawData[Tour/Site],$Q$2,RawData[[Picker ID ]],$Q$3,RawData[Checker ID],$Q$4,RawData[[Error Type ]],$Q$5))</f>
        <v/>
      </c>
    </row>
    <row r="17115" spans="15:15" x14ac:dyDescent="0.25">
      <c r="O17115" s="20" t="str">
        <f>IF(N17115="","",COUNTIFS(RawData[[Date ]],N17115,RawData[Month List],$Q$6,RawData[Tour/Site],$Q$2,RawData[[Picker ID ]],$Q$3,RawData[Checker ID],$Q$4,RawData[[Error Type ]],$Q$5))</f>
        <v/>
      </c>
    </row>
    <row r="17116" spans="15:15" x14ac:dyDescent="0.25">
      <c r="O17116" s="20" t="str">
        <f>IF(N17116="","",COUNTIFS(RawData[[Date ]],N17116,RawData[Month List],$Q$6,RawData[Tour/Site],$Q$2,RawData[[Picker ID ]],$Q$3,RawData[Checker ID],$Q$4,RawData[[Error Type ]],$Q$5))</f>
        <v/>
      </c>
    </row>
    <row r="17117" spans="15:15" x14ac:dyDescent="0.25">
      <c r="O17117" s="20" t="str">
        <f>IF(N17117="","",COUNTIFS(RawData[[Date ]],N17117,RawData[Month List],$Q$6,RawData[Tour/Site],$Q$2,RawData[[Picker ID ]],$Q$3,RawData[Checker ID],$Q$4,RawData[[Error Type ]],$Q$5))</f>
        <v/>
      </c>
    </row>
    <row r="17118" spans="15:15" x14ac:dyDescent="0.25">
      <c r="O17118" s="20" t="str">
        <f>IF(N17118="","",COUNTIFS(RawData[[Date ]],N17118,RawData[Month List],$Q$6,RawData[Tour/Site],$Q$2,RawData[[Picker ID ]],$Q$3,RawData[Checker ID],$Q$4,RawData[[Error Type ]],$Q$5))</f>
        <v/>
      </c>
    </row>
    <row r="17119" spans="15:15" x14ac:dyDescent="0.25">
      <c r="O17119" s="20" t="str">
        <f>IF(N17119="","",COUNTIFS(RawData[[Date ]],N17119,RawData[Month List],$Q$6,RawData[Tour/Site],$Q$2,RawData[[Picker ID ]],$Q$3,RawData[Checker ID],$Q$4,RawData[[Error Type ]],$Q$5))</f>
        <v/>
      </c>
    </row>
    <row r="17120" spans="15:15" x14ac:dyDescent="0.25">
      <c r="O17120" s="20" t="str">
        <f>IF(N17120="","",COUNTIFS(RawData[[Date ]],N17120,RawData[Month List],$Q$6,RawData[Tour/Site],$Q$2,RawData[[Picker ID ]],$Q$3,RawData[Checker ID],$Q$4,RawData[[Error Type ]],$Q$5))</f>
        <v/>
      </c>
    </row>
    <row r="17121" spans="15:15" x14ac:dyDescent="0.25">
      <c r="O17121" s="20" t="str">
        <f>IF(N17121="","",COUNTIFS(RawData[[Date ]],N17121,RawData[Month List],$Q$6,RawData[Tour/Site],$Q$2,RawData[[Picker ID ]],$Q$3,RawData[Checker ID],$Q$4,RawData[[Error Type ]],$Q$5))</f>
        <v/>
      </c>
    </row>
    <row r="17122" spans="15:15" x14ac:dyDescent="0.25">
      <c r="O17122" s="20" t="str">
        <f>IF(N17122="","",COUNTIFS(RawData[[Date ]],N17122,RawData[Month List],$Q$6,RawData[Tour/Site],$Q$2,RawData[[Picker ID ]],$Q$3,RawData[Checker ID],$Q$4,RawData[[Error Type ]],$Q$5))</f>
        <v/>
      </c>
    </row>
    <row r="17123" spans="15:15" x14ac:dyDescent="0.25">
      <c r="O17123" s="20" t="str">
        <f>IF(N17123="","",COUNTIFS(RawData[[Date ]],N17123,RawData[Month List],$Q$6,RawData[Tour/Site],$Q$2,RawData[[Picker ID ]],$Q$3,RawData[Checker ID],$Q$4,RawData[[Error Type ]],$Q$5))</f>
        <v/>
      </c>
    </row>
    <row r="17124" spans="15:15" x14ac:dyDescent="0.25">
      <c r="O17124" s="20" t="str">
        <f>IF(N17124="","",COUNTIFS(RawData[[Date ]],N17124,RawData[Month List],$Q$6,RawData[Tour/Site],$Q$2,RawData[[Picker ID ]],$Q$3,RawData[Checker ID],$Q$4,RawData[[Error Type ]],$Q$5))</f>
        <v/>
      </c>
    </row>
    <row r="17125" spans="15:15" x14ac:dyDescent="0.25">
      <c r="O17125" s="20" t="str">
        <f>IF(N17125="","",COUNTIFS(RawData[[Date ]],N17125,RawData[Month List],$Q$6,RawData[Tour/Site],$Q$2,RawData[[Picker ID ]],$Q$3,RawData[Checker ID],$Q$4,RawData[[Error Type ]],$Q$5))</f>
        <v/>
      </c>
    </row>
    <row r="17126" spans="15:15" x14ac:dyDescent="0.25">
      <c r="O17126" s="20" t="str">
        <f>IF(N17126="","",COUNTIFS(RawData[[Date ]],N17126,RawData[Month List],$Q$6,RawData[Tour/Site],$Q$2,RawData[[Picker ID ]],$Q$3,RawData[Checker ID],$Q$4,RawData[[Error Type ]],$Q$5))</f>
        <v/>
      </c>
    </row>
    <row r="17127" spans="15:15" x14ac:dyDescent="0.25">
      <c r="O17127" s="20" t="str">
        <f>IF(N17127="","",COUNTIFS(RawData[[Date ]],N17127,RawData[Month List],$Q$6,RawData[Tour/Site],$Q$2,RawData[[Picker ID ]],$Q$3,RawData[Checker ID],$Q$4,RawData[[Error Type ]],$Q$5))</f>
        <v/>
      </c>
    </row>
    <row r="17128" spans="15:15" x14ac:dyDescent="0.25">
      <c r="O17128" s="20" t="str">
        <f>IF(N17128="","",COUNTIFS(RawData[[Date ]],N17128,RawData[Month List],$Q$6,RawData[Tour/Site],$Q$2,RawData[[Picker ID ]],$Q$3,RawData[Checker ID],$Q$4,RawData[[Error Type ]],$Q$5))</f>
        <v/>
      </c>
    </row>
    <row r="17129" spans="15:15" x14ac:dyDescent="0.25">
      <c r="O17129" s="20" t="str">
        <f>IF(N17129="","",COUNTIFS(RawData[[Date ]],N17129,RawData[Month List],$Q$6,RawData[Tour/Site],$Q$2,RawData[[Picker ID ]],$Q$3,RawData[Checker ID],$Q$4,RawData[[Error Type ]],$Q$5))</f>
        <v/>
      </c>
    </row>
    <row r="17130" spans="15:15" x14ac:dyDescent="0.25">
      <c r="O17130" s="20" t="str">
        <f>IF(N17130="","",COUNTIFS(RawData[[Date ]],N17130,RawData[Month List],$Q$6,RawData[Tour/Site],$Q$2,RawData[[Picker ID ]],$Q$3,RawData[Checker ID],$Q$4,RawData[[Error Type ]],$Q$5))</f>
        <v/>
      </c>
    </row>
    <row r="17131" spans="15:15" x14ac:dyDescent="0.25">
      <c r="O17131" s="20" t="str">
        <f>IF(N17131="","",COUNTIFS(RawData[[Date ]],N17131,RawData[Month List],$Q$6,RawData[Tour/Site],$Q$2,RawData[[Picker ID ]],$Q$3,RawData[Checker ID],$Q$4,RawData[[Error Type ]],$Q$5))</f>
        <v/>
      </c>
    </row>
    <row r="17132" spans="15:15" x14ac:dyDescent="0.25">
      <c r="O17132" s="20" t="str">
        <f>IF(N17132="","",COUNTIFS(RawData[[Date ]],N17132,RawData[Month List],$Q$6,RawData[Tour/Site],$Q$2,RawData[[Picker ID ]],$Q$3,RawData[Checker ID],$Q$4,RawData[[Error Type ]],$Q$5))</f>
        <v/>
      </c>
    </row>
    <row r="17133" spans="15:15" x14ac:dyDescent="0.25">
      <c r="O17133" s="20" t="str">
        <f>IF(N17133="","",COUNTIFS(RawData[[Date ]],N17133,RawData[Month List],$Q$6,RawData[Tour/Site],$Q$2,RawData[[Picker ID ]],$Q$3,RawData[Checker ID],$Q$4,RawData[[Error Type ]],$Q$5))</f>
        <v/>
      </c>
    </row>
    <row r="17134" spans="15:15" x14ac:dyDescent="0.25">
      <c r="O17134" s="20" t="str">
        <f>IF(N17134="","",COUNTIFS(RawData[[Date ]],N17134,RawData[Month List],$Q$6,RawData[Tour/Site],$Q$2,RawData[[Picker ID ]],$Q$3,RawData[Checker ID],$Q$4,RawData[[Error Type ]],$Q$5))</f>
        <v/>
      </c>
    </row>
    <row r="17135" spans="15:15" x14ac:dyDescent="0.25">
      <c r="O17135" s="20" t="str">
        <f>IF(N17135="","",COUNTIFS(RawData[[Date ]],N17135,RawData[Month List],$Q$6,RawData[Tour/Site],$Q$2,RawData[[Picker ID ]],$Q$3,RawData[Checker ID],$Q$4,RawData[[Error Type ]],$Q$5))</f>
        <v/>
      </c>
    </row>
    <row r="17136" spans="15:15" x14ac:dyDescent="0.25">
      <c r="O17136" s="20" t="str">
        <f>IF(N17136="","",COUNTIFS(RawData[[Date ]],N17136,RawData[Month List],$Q$6,RawData[Tour/Site],$Q$2,RawData[[Picker ID ]],$Q$3,RawData[Checker ID],$Q$4,RawData[[Error Type ]],$Q$5))</f>
        <v/>
      </c>
    </row>
    <row r="17137" spans="15:15" x14ac:dyDescent="0.25">
      <c r="O17137" s="20" t="str">
        <f>IF(N17137="","",COUNTIFS(RawData[[Date ]],N17137,RawData[Month List],$Q$6,RawData[Tour/Site],$Q$2,RawData[[Picker ID ]],$Q$3,RawData[Checker ID],$Q$4,RawData[[Error Type ]],$Q$5))</f>
        <v/>
      </c>
    </row>
    <row r="17138" spans="15:15" x14ac:dyDescent="0.25">
      <c r="O17138" s="20" t="str">
        <f>IF(N17138="","",COUNTIFS(RawData[[Date ]],N17138,RawData[Month List],$Q$6,RawData[Tour/Site],$Q$2,RawData[[Picker ID ]],$Q$3,RawData[Checker ID],$Q$4,RawData[[Error Type ]],$Q$5))</f>
        <v/>
      </c>
    </row>
    <row r="17139" spans="15:15" x14ac:dyDescent="0.25">
      <c r="O17139" s="20" t="str">
        <f>IF(N17139="","",COUNTIFS(RawData[[Date ]],N17139,RawData[Month List],$Q$6,RawData[Tour/Site],$Q$2,RawData[[Picker ID ]],$Q$3,RawData[Checker ID],$Q$4,RawData[[Error Type ]],$Q$5))</f>
        <v/>
      </c>
    </row>
    <row r="17140" spans="15:15" x14ac:dyDescent="0.25">
      <c r="O17140" s="20" t="str">
        <f>IF(N17140="","",COUNTIFS(RawData[[Date ]],N17140,RawData[Month List],$Q$6,RawData[Tour/Site],$Q$2,RawData[[Picker ID ]],$Q$3,RawData[Checker ID],$Q$4,RawData[[Error Type ]],$Q$5))</f>
        <v/>
      </c>
    </row>
    <row r="17141" spans="15:15" x14ac:dyDescent="0.25">
      <c r="O17141" s="20" t="str">
        <f>IF(N17141="","",COUNTIFS(RawData[[Date ]],N17141,RawData[Month List],$Q$6,RawData[Tour/Site],$Q$2,RawData[[Picker ID ]],$Q$3,RawData[Checker ID],$Q$4,RawData[[Error Type ]],$Q$5))</f>
        <v/>
      </c>
    </row>
    <row r="17142" spans="15:15" x14ac:dyDescent="0.25">
      <c r="O17142" s="20" t="str">
        <f>IF(N17142="","",COUNTIFS(RawData[[Date ]],N17142,RawData[Month List],$Q$6,RawData[Tour/Site],$Q$2,RawData[[Picker ID ]],$Q$3,RawData[Checker ID],$Q$4,RawData[[Error Type ]],$Q$5))</f>
        <v/>
      </c>
    </row>
    <row r="17143" spans="15:15" x14ac:dyDescent="0.25">
      <c r="O17143" s="20" t="str">
        <f>IF(N17143="","",COUNTIFS(RawData[[Date ]],N17143,RawData[Month List],$Q$6,RawData[Tour/Site],$Q$2,RawData[[Picker ID ]],$Q$3,RawData[Checker ID],$Q$4,RawData[[Error Type ]],$Q$5))</f>
        <v/>
      </c>
    </row>
    <row r="17144" spans="15:15" x14ac:dyDescent="0.25">
      <c r="O17144" s="20" t="str">
        <f>IF(N17144="","",COUNTIFS(RawData[[Date ]],N17144,RawData[Month List],$Q$6,RawData[Tour/Site],$Q$2,RawData[[Picker ID ]],$Q$3,RawData[Checker ID],$Q$4,RawData[[Error Type ]],$Q$5))</f>
        <v/>
      </c>
    </row>
    <row r="17145" spans="15:15" x14ac:dyDescent="0.25">
      <c r="O17145" s="20" t="str">
        <f>IF(N17145="","",COUNTIFS(RawData[[Date ]],N17145,RawData[Month List],$Q$6,RawData[Tour/Site],$Q$2,RawData[[Picker ID ]],$Q$3,RawData[Checker ID],$Q$4,RawData[[Error Type ]],$Q$5))</f>
        <v/>
      </c>
    </row>
    <row r="17146" spans="15:15" x14ac:dyDescent="0.25">
      <c r="O17146" s="20" t="str">
        <f>IF(N17146="","",COUNTIFS(RawData[[Date ]],N17146,RawData[Month List],$Q$6,RawData[Tour/Site],$Q$2,RawData[[Picker ID ]],$Q$3,RawData[Checker ID],$Q$4,RawData[[Error Type ]],$Q$5))</f>
        <v/>
      </c>
    </row>
    <row r="17147" spans="15:15" x14ac:dyDescent="0.25">
      <c r="O17147" s="20" t="str">
        <f>IF(N17147="","",COUNTIFS(RawData[[Date ]],N17147,RawData[Month List],$Q$6,RawData[Tour/Site],$Q$2,RawData[[Picker ID ]],$Q$3,RawData[Checker ID],$Q$4,RawData[[Error Type ]],$Q$5))</f>
        <v/>
      </c>
    </row>
    <row r="17148" spans="15:15" x14ac:dyDescent="0.25">
      <c r="O17148" s="20" t="str">
        <f>IF(N17148="","",COUNTIFS(RawData[[Date ]],N17148,RawData[Month List],$Q$6,RawData[Tour/Site],$Q$2,RawData[[Picker ID ]],$Q$3,RawData[Checker ID],$Q$4,RawData[[Error Type ]],$Q$5))</f>
        <v/>
      </c>
    </row>
    <row r="17149" spans="15:15" x14ac:dyDescent="0.25">
      <c r="O17149" s="20" t="str">
        <f>IF(N17149="","",COUNTIFS(RawData[[Date ]],N17149,RawData[Month List],$Q$6,RawData[Tour/Site],$Q$2,RawData[[Picker ID ]],$Q$3,RawData[Checker ID],$Q$4,RawData[[Error Type ]],$Q$5))</f>
        <v/>
      </c>
    </row>
    <row r="17150" spans="15:15" x14ac:dyDescent="0.25">
      <c r="O17150" s="20" t="str">
        <f>IF(N17150="","",COUNTIFS(RawData[[Date ]],N17150,RawData[Month List],$Q$6,RawData[Tour/Site],$Q$2,RawData[[Picker ID ]],$Q$3,RawData[Checker ID],$Q$4,RawData[[Error Type ]],$Q$5))</f>
        <v/>
      </c>
    </row>
    <row r="17151" spans="15:15" x14ac:dyDescent="0.25">
      <c r="O17151" s="20" t="str">
        <f>IF(N17151="","",COUNTIFS(RawData[[Date ]],N17151,RawData[Month List],$Q$6,RawData[Tour/Site],$Q$2,RawData[[Picker ID ]],$Q$3,RawData[Checker ID],$Q$4,RawData[[Error Type ]],$Q$5))</f>
        <v/>
      </c>
    </row>
    <row r="17152" spans="15:15" x14ac:dyDescent="0.25">
      <c r="O17152" s="20" t="str">
        <f>IF(N17152="","",COUNTIFS(RawData[[Date ]],N17152,RawData[Month List],$Q$6,RawData[Tour/Site],$Q$2,RawData[[Picker ID ]],$Q$3,RawData[Checker ID],$Q$4,RawData[[Error Type ]],$Q$5))</f>
        <v/>
      </c>
    </row>
    <row r="17153" spans="15:15" x14ac:dyDescent="0.25">
      <c r="O17153" s="20" t="str">
        <f>IF(N17153="","",COUNTIFS(RawData[[Date ]],N17153,RawData[Month List],$Q$6,RawData[Tour/Site],$Q$2,RawData[[Picker ID ]],$Q$3,RawData[Checker ID],$Q$4,RawData[[Error Type ]],$Q$5))</f>
        <v/>
      </c>
    </row>
    <row r="17154" spans="15:15" x14ac:dyDescent="0.25">
      <c r="O17154" s="20" t="str">
        <f>IF(N17154="","",COUNTIFS(RawData[[Date ]],N17154,RawData[Month List],$Q$6,RawData[Tour/Site],$Q$2,RawData[[Picker ID ]],$Q$3,RawData[Checker ID],$Q$4,RawData[[Error Type ]],$Q$5))</f>
        <v/>
      </c>
    </row>
    <row r="17155" spans="15:15" x14ac:dyDescent="0.25">
      <c r="O17155" s="20" t="str">
        <f>IF(N17155="","",COUNTIFS(RawData[[Date ]],N17155,RawData[Month List],$Q$6,RawData[Tour/Site],$Q$2,RawData[[Picker ID ]],$Q$3,RawData[Checker ID],$Q$4,RawData[[Error Type ]],$Q$5))</f>
        <v/>
      </c>
    </row>
    <row r="17156" spans="15:15" x14ac:dyDescent="0.25">
      <c r="O17156" s="20" t="str">
        <f>IF(N17156="","",COUNTIFS(RawData[[Date ]],N17156,RawData[Month List],$Q$6,RawData[Tour/Site],$Q$2,RawData[[Picker ID ]],$Q$3,RawData[Checker ID],$Q$4,RawData[[Error Type ]],$Q$5))</f>
        <v/>
      </c>
    </row>
    <row r="17157" spans="15:15" x14ac:dyDescent="0.25">
      <c r="O17157" s="20" t="str">
        <f>IF(N17157="","",COUNTIFS(RawData[[Date ]],N17157,RawData[Month List],$Q$6,RawData[Tour/Site],$Q$2,RawData[[Picker ID ]],$Q$3,RawData[Checker ID],$Q$4,RawData[[Error Type ]],$Q$5))</f>
        <v/>
      </c>
    </row>
    <row r="17158" spans="15:15" x14ac:dyDescent="0.25">
      <c r="O17158" s="20" t="str">
        <f>IF(N17158="","",COUNTIFS(RawData[[Date ]],N17158,RawData[Month List],$Q$6,RawData[Tour/Site],$Q$2,RawData[[Picker ID ]],$Q$3,RawData[Checker ID],$Q$4,RawData[[Error Type ]],$Q$5))</f>
        <v/>
      </c>
    </row>
    <row r="17159" spans="15:15" x14ac:dyDescent="0.25">
      <c r="O17159" s="20" t="str">
        <f>IF(N17159="","",COUNTIFS(RawData[[Date ]],N17159,RawData[Month List],$Q$6,RawData[Tour/Site],$Q$2,RawData[[Picker ID ]],$Q$3,RawData[Checker ID],$Q$4,RawData[[Error Type ]],$Q$5))</f>
        <v/>
      </c>
    </row>
    <row r="17160" spans="15:15" x14ac:dyDescent="0.25">
      <c r="O17160" s="20" t="str">
        <f>IF(N17160="","",COUNTIFS(RawData[[Date ]],N17160,RawData[Month List],$Q$6,RawData[Tour/Site],$Q$2,RawData[[Picker ID ]],$Q$3,RawData[Checker ID],$Q$4,RawData[[Error Type ]],$Q$5))</f>
        <v/>
      </c>
    </row>
    <row r="17161" spans="15:15" x14ac:dyDescent="0.25">
      <c r="O17161" s="20" t="str">
        <f>IF(N17161="","",COUNTIFS(RawData[[Date ]],N17161,RawData[Month List],$Q$6,RawData[Tour/Site],$Q$2,RawData[[Picker ID ]],$Q$3,RawData[Checker ID],$Q$4,RawData[[Error Type ]],$Q$5))</f>
        <v/>
      </c>
    </row>
    <row r="17162" spans="15:15" x14ac:dyDescent="0.25">
      <c r="O17162" s="20" t="str">
        <f>IF(N17162="","",COUNTIFS(RawData[[Date ]],N17162,RawData[Month List],$Q$6,RawData[Tour/Site],$Q$2,RawData[[Picker ID ]],$Q$3,RawData[Checker ID],$Q$4,RawData[[Error Type ]],$Q$5))</f>
        <v/>
      </c>
    </row>
    <row r="17163" spans="15:15" x14ac:dyDescent="0.25">
      <c r="O17163" s="20" t="str">
        <f>IF(N17163="","",COUNTIFS(RawData[[Date ]],N17163,RawData[Month List],$Q$6,RawData[Tour/Site],$Q$2,RawData[[Picker ID ]],$Q$3,RawData[Checker ID],$Q$4,RawData[[Error Type ]],$Q$5))</f>
        <v/>
      </c>
    </row>
    <row r="17164" spans="15:15" x14ac:dyDescent="0.25">
      <c r="O17164" s="20" t="str">
        <f>IF(N17164="","",COUNTIFS(RawData[[Date ]],N17164,RawData[Month List],$Q$6,RawData[Tour/Site],$Q$2,RawData[[Picker ID ]],$Q$3,RawData[Checker ID],$Q$4,RawData[[Error Type ]],$Q$5))</f>
        <v/>
      </c>
    </row>
    <row r="17165" spans="15:15" x14ac:dyDescent="0.25">
      <c r="O17165" s="20" t="str">
        <f>IF(N17165="","",COUNTIFS(RawData[[Date ]],N17165,RawData[Month List],$Q$6,RawData[Tour/Site],$Q$2,RawData[[Picker ID ]],$Q$3,RawData[Checker ID],$Q$4,RawData[[Error Type ]],$Q$5))</f>
        <v/>
      </c>
    </row>
    <row r="17166" spans="15:15" x14ac:dyDescent="0.25">
      <c r="O17166" s="20" t="str">
        <f>IF(N17166="","",COUNTIFS(RawData[[Date ]],N17166,RawData[Month List],$Q$6,RawData[Tour/Site],$Q$2,RawData[[Picker ID ]],$Q$3,RawData[Checker ID],$Q$4,RawData[[Error Type ]],$Q$5))</f>
        <v/>
      </c>
    </row>
    <row r="17167" spans="15:15" x14ac:dyDescent="0.25">
      <c r="O17167" s="20" t="str">
        <f>IF(N17167="","",COUNTIFS(RawData[[Date ]],N17167,RawData[Month List],$Q$6,RawData[Tour/Site],$Q$2,RawData[[Picker ID ]],$Q$3,RawData[Checker ID],$Q$4,RawData[[Error Type ]],$Q$5))</f>
        <v/>
      </c>
    </row>
    <row r="17168" spans="15:15" x14ac:dyDescent="0.25">
      <c r="O17168" s="20" t="str">
        <f>IF(N17168="","",COUNTIFS(RawData[[Date ]],N17168,RawData[Month List],$Q$6,RawData[Tour/Site],$Q$2,RawData[[Picker ID ]],$Q$3,RawData[Checker ID],$Q$4,RawData[[Error Type ]],$Q$5))</f>
        <v/>
      </c>
    </row>
    <row r="17169" spans="15:15" x14ac:dyDescent="0.25">
      <c r="O17169" s="20" t="str">
        <f>IF(N17169="","",COUNTIFS(RawData[[Date ]],N17169,RawData[Month List],$Q$6,RawData[Tour/Site],$Q$2,RawData[[Picker ID ]],$Q$3,RawData[Checker ID],$Q$4,RawData[[Error Type ]],$Q$5))</f>
        <v/>
      </c>
    </row>
    <row r="17170" spans="15:15" x14ac:dyDescent="0.25">
      <c r="O17170" s="20" t="str">
        <f>IF(N17170="","",COUNTIFS(RawData[[Date ]],N17170,RawData[Month List],$Q$6,RawData[Tour/Site],$Q$2,RawData[[Picker ID ]],$Q$3,RawData[Checker ID],$Q$4,RawData[[Error Type ]],$Q$5))</f>
        <v/>
      </c>
    </row>
    <row r="17171" spans="15:15" x14ac:dyDescent="0.25">
      <c r="O17171" s="20" t="str">
        <f>IF(N17171="","",COUNTIFS(RawData[[Date ]],N17171,RawData[Month List],$Q$6,RawData[Tour/Site],$Q$2,RawData[[Picker ID ]],$Q$3,RawData[Checker ID],$Q$4,RawData[[Error Type ]],$Q$5))</f>
        <v/>
      </c>
    </row>
    <row r="17172" spans="15:15" x14ac:dyDescent="0.25">
      <c r="O17172" s="20" t="str">
        <f>IF(N17172="","",COUNTIFS(RawData[[Date ]],N17172,RawData[Month List],$Q$6,RawData[Tour/Site],$Q$2,RawData[[Picker ID ]],$Q$3,RawData[Checker ID],$Q$4,RawData[[Error Type ]],$Q$5))</f>
        <v/>
      </c>
    </row>
    <row r="17173" spans="15:15" x14ac:dyDescent="0.25">
      <c r="O17173" s="20" t="str">
        <f>IF(N17173="","",COUNTIFS(RawData[[Date ]],N17173,RawData[Month List],$Q$6,RawData[Tour/Site],$Q$2,RawData[[Picker ID ]],$Q$3,RawData[Checker ID],$Q$4,RawData[[Error Type ]],$Q$5))</f>
        <v/>
      </c>
    </row>
    <row r="17174" spans="15:15" x14ac:dyDescent="0.25">
      <c r="O17174" s="20" t="str">
        <f>IF(N17174="","",COUNTIFS(RawData[[Date ]],N17174,RawData[Month List],$Q$6,RawData[Tour/Site],$Q$2,RawData[[Picker ID ]],$Q$3,RawData[Checker ID],$Q$4,RawData[[Error Type ]],$Q$5))</f>
        <v/>
      </c>
    </row>
    <row r="17175" spans="15:15" x14ac:dyDescent="0.25">
      <c r="O17175" s="20" t="str">
        <f>IF(N17175="","",COUNTIFS(RawData[[Date ]],N17175,RawData[Month List],$Q$6,RawData[Tour/Site],$Q$2,RawData[[Picker ID ]],$Q$3,RawData[Checker ID],$Q$4,RawData[[Error Type ]],$Q$5))</f>
        <v/>
      </c>
    </row>
    <row r="17176" spans="15:15" x14ac:dyDescent="0.25">
      <c r="O17176" s="20" t="str">
        <f>IF(N17176="","",COUNTIFS(RawData[[Date ]],N17176,RawData[Month List],$Q$6,RawData[Tour/Site],$Q$2,RawData[[Picker ID ]],$Q$3,RawData[Checker ID],$Q$4,RawData[[Error Type ]],$Q$5))</f>
        <v/>
      </c>
    </row>
    <row r="17177" spans="15:15" x14ac:dyDescent="0.25">
      <c r="O17177" s="20" t="str">
        <f>IF(N17177="","",COUNTIFS(RawData[[Date ]],N17177,RawData[Month List],$Q$6,RawData[Tour/Site],$Q$2,RawData[[Picker ID ]],$Q$3,RawData[Checker ID],$Q$4,RawData[[Error Type ]],$Q$5))</f>
        <v/>
      </c>
    </row>
    <row r="17178" spans="15:15" x14ac:dyDescent="0.25">
      <c r="O17178" s="20" t="str">
        <f>IF(N17178="","",COUNTIFS(RawData[[Date ]],N17178,RawData[Month List],$Q$6,RawData[Tour/Site],$Q$2,RawData[[Picker ID ]],$Q$3,RawData[Checker ID],$Q$4,RawData[[Error Type ]],$Q$5))</f>
        <v/>
      </c>
    </row>
    <row r="17179" spans="15:15" x14ac:dyDescent="0.25">
      <c r="O17179" s="20" t="str">
        <f>IF(N17179="","",COUNTIFS(RawData[[Date ]],N17179,RawData[Month List],$Q$6,RawData[Tour/Site],$Q$2,RawData[[Picker ID ]],$Q$3,RawData[Checker ID],$Q$4,RawData[[Error Type ]],$Q$5))</f>
        <v/>
      </c>
    </row>
    <row r="17180" spans="15:15" x14ac:dyDescent="0.25">
      <c r="O17180" s="20" t="str">
        <f>IF(N17180="","",COUNTIFS(RawData[[Date ]],N17180,RawData[Month List],$Q$6,RawData[Tour/Site],$Q$2,RawData[[Picker ID ]],$Q$3,RawData[Checker ID],$Q$4,RawData[[Error Type ]],$Q$5))</f>
        <v/>
      </c>
    </row>
    <row r="17181" spans="15:15" x14ac:dyDescent="0.25">
      <c r="O17181" s="20" t="str">
        <f>IF(N17181="","",COUNTIFS(RawData[[Date ]],N17181,RawData[Month List],$Q$6,RawData[Tour/Site],$Q$2,RawData[[Picker ID ]],$Q$3,RawData[Checker ID],$Q$4,RawData[[Error Type ]],$Q$5))</f>
        <v/>
      </c>
    </row>
    <row r="17182" spans="15:15" x14ac:dyDescent="0.25">
      <c r="O17182" s="20" t="str">
        <f>IF(N17182="","",COUNTIFS(RawData[[Date ]],N17182,RawData[Month List],$Q$6,RawData[Tour/Site],$Q$2,RawData[[Picker ID ]],$Q$3,RawData[Checker ID],$Q$4,RawData[[Error Type ]],$Q$5))</f>
        <v/>
      </c>
    </row>
    <row r="17183" spans="15:15" x14ac:dyDescent="0.25">
      <c r="O17183" s="20" t="str">
        <f>IF(N17183="","",COUNTIFS(RawData[[Date ]],N17183,RawData[Month List],$Q$6,RawData[Tour/Site],$Q$2,RawData[[Picker ID ]],$Q$3,RawData[Checker ID],$Q$4,RawData[[Error Type ]],$Q$5))</f>
        <v/>
      </c>
    </row>
    <row r="17184" spans="15:15" x14ac:dyDescent="0.25">
      <c r="O17184" s="20" t="str">
        <f>IF(N17184="","",COUNTIFS(RawData[[Date ]],N17184,RawData[Month List],$Q$6,RawData[Tour/Site],$Q$2,RawData[[Picker ID ]],$Q$3,RawData[Checker ID],$Q$4,RawData[[Error Type ]],$Q$5))</f>
        <v/>
      </c>
    </row>
    <row r="17185" spans="15:15" x14ac:dyDescent="0.25">
      <c r="O17185" s="20" t="str">
        <f>IF(N17185="","",COUNTIFS(RawData[[Date ]],N17185,RawData[Month List],$Q$6,RawData[Tour/Site],$Q$2,RawData[[Picker ID ]],$Q$3,RawData[Checker ID],$Q$4,RawData[[Error Type ]],$Q$5))</f>
        <v/>
      </c>
    </row>
    <row r="17186" spans="15:15" x14ac:dyDescent="0.25">
      <c r="O17186" s="20" t="str">
        <f>IF(N17186="","",COUNTIFS(RawData[[Date ]],N17186,RawData[Month List],$Q$6,RawData[Tour/Site],$Q$2,RawData[[Picker ID ]],$Q$3,RawData[Checker ID],$Q$4,RawData[[Error Type ]],$Q$5))</f>
        <v/>
      </c>
    </row>
    <row r="17187" spans="15:15" x14ac:dyDescent="0.25">
      <c r="O17187" s="20" t="str">
        <f>IF(N17187="","",COUNTIFS(RawData[[Date ]],N17187,RawData[Month List],$Q$6,RawData[Tour/Site],$Q$2,RawData[[Picker ID ]],$Q$3,RawData[Checker ID],$Q$4,RawData[[Error Type ]],$Q$5))</f>
        <v/>
      </c>
    </row>
    <row r="17188" spans="15:15" x14ac:dyDescent="0.25">
      <c r="O17188" s="20" t="str">
        <f>IF(N17188="","",COUNTIFS(RawData[[Date ]],N17188,RawData[Month List],$Q$6,RawData[Tour/Site],$Q$2,RawData[[Picker ID ]],$Q$3,RawData[Checker ID],$Q$4,RawData[[Error Type ]],$Q$5))</f>
        <v/>
      </c>
    </row>
    <row r="17189" spans="15:15" x14ac:dyDescent="0.25">
      <c r="O17189" s="20" t="str">
        <f>IF(N17189="","",COUNTIFS(RawData[[Date ]],N17189,RawData[Month List],$Q$6,RawData[Tour/Site],$Q$2,RawData[[Picker ID ]],$Q$3,RawData[Checker ID],$Q$4,RawData[[Error Type ]],$Q$5))</f>
        <v/>
      </c>
    </row>
    <row r="17190" spans="15:15" x14ac:dyDescent="0.25">
      <c r="O17190" s="20" t="str">
        <f>IF(N17190="","",COUNTIFS(RawData[[Date ]],N17190,RawData[Month List],$Q$6,RawData[Tour/Site],$Q$2,RawData[[Picker ID ]],$Q$3,RawData[Checker ID],$Q$4,RawData[[Error Type ]],$Q$5))</f>
        <v/>
      </c>
    </row>
    <row r="17191" spans="15:15" x14ac:dyDescent="0.25">
      <c r="O17191" s="20" t="str">
        <f>IF(N17191="","",COUNTIFS(RawData[[Date ]],N17191,RawData[Month List],$Q$6,RawData[Tour/Site],$Q$2,RawData[[Picker ID ]],$Q$3,RawData[Checker ID],$Q$4,RawData[[Error Type ]],$Q$5))</f>
        <v/>
      </c>
    </row>
    <row r="17192" spans="15:15" x14ac:dyDescent="0.25">
      <c r="O17192" s="20" t="str">
        <f>IF(N17192="","",COUNTIFS(RawData[[Date ]],N17192,RawData[Month List],$Q$6,RawData[Tour/Site],$Q$2,RawData[[Picker ID ]],$Q$3,RawData[Checker ID],$Q$4,RawData[[Error Type ]],$Q$5))</f>
        <v/>
      </c>
    </row>
    <row r="17193" spans="15:15" x14ac:dyDescent="0.25">
      <c r="O17193" s="20" t="str">
        <f>IF(N17193="","",COUNTIFS(RawData[[Date ]],N17193,RawData[Month List],$Q$6,RawData[Tour/Site],$Q$2,RawData[[Picker ID ]],$Q$3,RawData[Checker ID],$Q$4,RawData[[Error Type ]],$Q$5))</f>
        <v/>
      </c>
    </row>
    <row r="17194" spans="15:15" x14ac:dyDescent="0.25">
      <c r="O17194" s="20" t="str">
        <f>IF(N17194="","",COUNTIFS(RawData[[Date ]],N17194,RawData[Month List],$Q$6,RawData[Tour/Site],$Q$2,RawData[[Picker ID ]],$Q$3,RawData[Checker ID],$Q$4,RawData[[Error Type ]],$Q$5))</f>
        <v/>
      </c>
    </row>
    <row r="17195" spans="15:15" x14ac:dyDescent="0.25">
      <c r="O17195" s="20" t="str">
        <f>IF(N17195="","",COUNTIFS(RawData[[Date ]],N17195,RawData[Month List],$Q$6,RawData[Tour/Site],$Q$2,RawData[[Picker ID ]],$Q$3,RawData[Checker ID],$Q$4,RawData[[Error Type ]],$Q$5))</f>
        <v/>
      </c>
    </row>
    <row r="17196" spans="15:15" x14ac:dyDescent="0.25">
      <c r="O17196" s="20" t="str">
        <f>IF(N17196="","",COUNTIFS(RawData[[Date ]],N17196,RawData[Month List],$Q$6,RawData[Tour/Site],$Q$2,RawData[[Picker ID ]],$Q$3,RawData[Checker ID],$Q$4,RawData[[Error Type ]],$Q$5))</f>
        <v/>
      </c>
    </row>
    <row r="17197" spans="15:15" x14ac:dyDescent="0.25">
      <c r="O17197" s="20" t="str">
        <f>IF(N17197="","",COUNTIFS(RawData[[Date ]],N17197,RawData[Month List],$Q$6,RawData[Tour/Site],$Q$2,RawData[[Picker ID ]],$Q$3,RawData[Checker ID],$Q$4,RawData[[Error Type ]],$Q$5))</f>
        <v/>
      </c>
    </row>
    <row r="17198" spans="15:15" x14ac:dyDescent="0.25">
      <c r="O17198" s="20" t="str">
        <f>IF(N17198="","",COUNTIFS(RawData[[Date ]],N17198,RawData[Month List],$Q$6,RawData[Tour/Site],$Q$2,RawData[[Picker ID ]],$Q$3,RawData[Checker ID],$Q$4,RawData[[Error Type ]],$Q$5))</f>
        <v/>
      </c>
    </row>
    <row r="17199" spans="15:15" x14ac:dyDescent="0.25">
      <c r="O17199" s="20" t="str">
        <f>IF(N17199="","",COUNTIFS(RawData[[Date ]],N17199,RawData[Month List],$Q$6,RawData[Tour/Site],$Q$2,RawData[[Picker ID ]],$Q$3,RawData[Checker ID],$Q$4,RawData[[Error Type ]],$Q$5))</f>
        <v/>
      </c>
    </row>
    <row r="17200" spans="15:15" x14ac:dyDescent="0.25">
      <c r="O17200" s="20" t="str">
        <f>IF(N17200="","",COUNTIFS(RawData[[Date ]],N17200,RawData[Month List],$Q$6,RawData[Tour/Site],$Q$2,RawData[[Picker ID ]],$Q$3,RawData[Checker ID],$Q$4,RawData[[Error Type ]],$Q$5))</f>
        <v/>
      </c>
    </row>
    <row r="17201" spans="15:15" x14ac:dyDescent="0.25">
      <c r="O17201" s="20" t="str">
        <f>IF(N17201="","",COUNTIFS(RawData[[Date ]],N17201,RawData[Month List],$Q$6,RawData[Tour/Site],$Q$2,RawData[[Picker ID ]],$Q$3,RawData[Checker ID],$Q$4,RawData[[Error Type ]],$Q$5))</f>
        <v/>
      </c>
    </row>
    <row r="17202" spans="15:15" x14ac:dyDescent="0.25">
      <c r="O17202" s="20" t="str">
        <f>IF(N17202="","",COUNTIFS(RawData[[Date ]],N17202,RawData[Month List],$Q$6,RawData[Tour/Site],$Q$2,RawData[[Picker ID ]],$Q$3,RawData[Checker ID],$Q$4,RawData[[Error Type ]],$Q$5))</f>
        <v/>
      </c>
    </row>
    <row r="17203" spans="15:15" x14ac:dyDescent="0.25">
      <c r="O17203" s="20" t="str">
        <f>IF(N17203="","",COUNTIFS(RawData[[Date ]],N17203,RawData[Month List],$Q$6,RawData[Tour/Site],$Q$2,RawData[[Picker ID ]],$Q$3,RawData[Checker ID],$Q$4,RawData[[Error Type ]],$Q$5))</f>
        <v/>
      </c>
    </row>
    <row r="17204" spans="15:15" x14ac:dyDescent="0.25">
      <c r="O17204" s="20" t="str">
        <f>IF(N17204="","",COUNTIFS(RawData[[Date ]],N17204,RawData[Month List],$Q$6,RawData[Tour/Site],$Q$2,RawData[[Picker ID ]],$Q$3,RawData[Checker ID],$Q$4,RawData[[Error Type ]],$Q$5))</f>
        <v/>
      </c>
    </row>
    <row r="17205" spans="15:15" x14ac:dyDescent="0.25">
      <c r="O17205" s="20" t="str">
        <f>IF(N17205="","",COUNTIFS(RawData[[Date ]],N17205,RawData[Month List],$Q$6,RawData[Tour/Site],$Q$2,RawData[[Picker ID ]],$Q$3,RawData[Checker ID],$Q$4,RawData[[Error Type ]],$Q$5))</f>
        <v/>
      </c>
    </row>
    <row r="17206" spans="15:15" x14ac:dyDescent="0.25">
      <c r="O17206" s="20" t="str">
        <f>IF(N17206="","",COUNTIFS(RawData[[Date ]],N17206,RawData[Month List],$Q$6,RawData[Tour/Site],$Q$2,RawData[[Picker ID ]],$Q$3,RawData[Checker ID],$Q$4,RawData[[Error Type ]],$Q$5))</f>
        <v/>
      </c>
    </row>
    <row r="17207" spans="15:15" x14ac:dyDescent="0.25">
      <c r="O17207" s="20" t="str">
        <f>IF(N17207="","",COUNTIFS(RawData[[Date ]],N17207,RawData[Month List],$Q$6,RawData[Tour/Site],$Q$2,RawData[[Picker ID ]],$Q$3,RawData[Checker ID],$Q$4,RawData[[Error Type ]],$Q$5))</f>
        <v/>
      </c>
    </row>
    <row r="17208" spans="15:15" x14ac:dyDescent="0.25">
      <c r="O17208" s="20" t="str">
        <f>IF(N17208="","",COUNTIFS(RawData[[Date ]],N17208,RawData[Month List],$Q$6,RawData[Tour/Site],$Q$2,RawData[[Picker ID ]],$Q$3,RawData[Checker ID],$Q$4,RawData[[Error Type ]],$Q$5))</f>
        <v/>
      </c>
    </row>
    <row r="17209" spans="15:15" x14ac:dyDescent="0.25">
      <c r="O17209" s="20" t="str">
        <f>IF(N17209="","",COUNTIFS(RawData[[Date ]],N17209,RawData[Month List],$Q$6,RawData[Tour/Site],$Q$2,RawData[[Picker ID ]],$Q$3,RawData[Checker ID],$Q$4,RawData[[Error Type ]],$Q$5))</f>
        <v/>
      </c>
    </row>
    <row r="17210" spans="15:15" x14ac:dyDescent="0.25">
      <c r="O17210" s="20" t="str">
        <f>IF(N17210="","",COUNTIFS(RawData[[Date ]],N17210,RawData[Month List],$Q$6,RawData[Tour/Site],$Q$2,RawData[[Picker ID ]],$Q$3,RawData[Checker ID],$Q$4,RawData[[Error Type ]],$Q$5))</f>
        <v/>
      </c>
    </row>
    <row r="17211" spans="15:15" x14ac:dyDescent="0.25">
      <c r="O17211" s="20" t="str">
        <f>IF(N17211="","",COUNTIFS(RawData[[Date ]],N17211,RawData[Month List],$Q$6,RawData[Tour/Site],$Q$2,RawData[[Picker ID ]],$Q$3,RawData[Checker ID],$Q$4,RawData[[Error Type ]],$Q$5))</f>
        <v/>
      </c>
    </row>
    <row r="17212" spans="15:15" x14ac:dyDescent="0.25">
      <c r="O17212" s="20" t="str">
        <f>IF(N17212="","",COUNTIFS(RawData[[Date ]],N17212,RawData[Month List],$Q$6,RawData[Tour/Site],$Q$2,RawData[[Picker ID ]],$Q$3,RawData[Checker ID],$Q$4,RawData[[Error Type ]],$Q$5))</f>
        <v/>
      </c>
    </row>
    <row r="17213" spans="15:15" x14ac:dyDescent="0.25">
      <c r="O17213" s="20" t="str">
        <f>IF(N17213="","",COUNTIFS(RawData[[Date ]],N17213,RawData[Month List],$Q$6,RawData[Tour/Site],$Q$2,RawData[[Picker ID ]],$Q$3,RawData[Checker ID],$Q$4,RawData[[Error Type ]],$Q$5))</f>
        <v/>
      </c>
    </row>
    <row r="17214" spans="15:15" x14ac:dyDescent="0.25">
      <c r="O17214" s="20" t="str">
        <f>IF(N17214="","",COUNTIFS(RawData[[Date ]],N17214,RawData[Month List],$Q$6,RawData[Tour/Site],$Q$2,RawData[[Picker ID ]],$Q$3,RawData[Checker ID],$Q$4,RawData[[Error Type ]],$Q$5))</f>
        <v/>
      </c>
    </row>
    <row r="17215" spans="15:15" x14ac:dyDescent="0.25">
      <c r="O17215" s="20" t="str">
        <f>IF(N17215="","",COUNTIFS(RawData[[Date ]],N17215,RawData[Month List],$Q$6,RawData[Tour/Site],$Q$2,RawData[[Picker ID ]],$Q$3,RawData[Checker ID],$Q$4,RawData[[Error Type ]],$Q$5))</f>
        <v/>
      </c>
    </row>
    <row r="17216" spans="15:15" x14ac:dyDescent="0.25">
      <c r="O17216" s="20" t="str">
        <f>IF(N17216="","",COUNTIFS(RawData[[Date ]],N17216,RawData[Month List],$Q$6,RawData[Tour/Site],$Q$2,RawData[[Picker ID ]],$Q$3,RawData[Checker ID],$Q$4,RawData[[Error Type ]],$Q$5))</f>
        <v/>
      </c>
    </row>
    <row r="17217" spans="15:15" x14ac:dyDescent="0.25">
      <c r="O17217" s="20" t="str">
        <f>IF(N17217="","",COUNTIFS(RawData[[Date ]],N17217,RawData[Month List],$Q$6,RawData[Tour/Site],$Q$2,RawData[[Picker ID ]],$Q$3,RawData[Checker ID],$Q$4,RawData[[Error Type ]],$Q$5))</f>
        <v/>
      </c>
    </row>
    <row r="17218" spans="15:15" x14ac:dyDescent="0.25">
      <c r="O17218" s="20" t="str">
        <f>IF(N17218="","",COUNTIFS(RawData[[Date ]],N17218,RawData[Month List],$Q$6,RawData[Tour/Site],$Q$2,RawData[[Picker ID ]],$Q$3,RawData[Checker ID],$Q$4,RawData[[Error Type ]],$Q$5))</f>
        <v/>
      </c>
    </row>
    <row r="17219" spans="15:15" x14ac:dyDescent="0.25">
      <c r="O17219" s="20" t="str">
        <f>IF(N17219="","",COUNTIFS(RawData[[Date ]],N17219,RawData[Month List],$Q$6,RawData[Tour/Site],$Q$2,RawData[[Picker ID ]],$Q$3,RawData[Checker ID],$Q$4,RawData[[Error Type ]],$Q$5))</f>
        <v/>
      </c>
    </row>
    <row r="17220" spans="15:15" x14ac:dyDescent="0.25">
      <c r="O17220" s="20" t="str">
        <f>IF(N17220="","",COUNTIFS(RawData[[Date ]],N17220,RawData[Month List],$Q$6,RawData[Tour/Site],$Q$2,RawData[[Picker ID ]],$Q$3,RawData[Checker ID],$Q$4,RawData[[Error Type ]],$Q$5))</f>
        <v/>
      </c>
    </row>
    <row r="17221" spans="15:15" x14ac:dyDescent="0.25">
      <c r="O17221" s="20" t="str">
        <f>IF(N17221="","",COUNTIFS(RawData[[Date ]],N17221,RawData[Month List],$Q$6,RawData[Tour/Site],$Q$2,RawData[[Picker ID ]],$Q$3,RawData[Checker ID],$Q$4,RawData[[Error Type ]],$Q$5))</f>
        <v/>
      </c>
    </row>
    <row r="17222" spans="15:15" x14ac:dyDescent="0.25">
      <c r="O17222" s="20" t="str">
        <f>IF(N17222="","",COUNTIFS(RawData[[Date ]],N17222,RawData[Month List],$Q$6,RawData[Tour/Site],$Q$2,RawData[[Picker ID ]],$Q$3,RawData[Checker ID],$Q$4,RawData[[Error Type ]],$Q$5))</f>
        <v/>
      </c>
    </row>
    <row r="17223" spans="15:15" x14ac:dyDescent="0.25">
      <c r="O17223" s="20" t="str">
        <f>IF(N17223="","",COUNTIFS(RawData[[Date ]],N17223,RawData[Month List],$Q$6,RawData[Tour/Site],$Q$2,RawData[[Picker ID ]],$Q$3,RawData[Checker ID],$Q$4,RawData[[Error Type ]],$Q$5))</f>
        <v/>
      </c>
    </row>
    <row r="17224" spans="15:15" x14ac:dyDescent="0.25">
      <c r="O17224" s="20" t="str">
        <f>IF(N17224="","",COUNTIFS(RawData[[Date ]],N17224,RawData[Month List],$Q$6,RawData[Tour/Site],$Q$2,RawData[[Picker ID ]],$Q$3,RawData[Checker ID],$Q$4,RawData[[Error Type ]],$Q$5))</f>
        <v/>
      </c>
    </row>
    <row r="17225" spans="15:15" x14ac:dyDescent="0.25">
      <c r="O17225" s="20" t="str">
        <f>IF(N17225="","",COUNTIFS(RawData[[Date ]],N17225,RawData[Month List],$Q$6,RawData[Tour/Site],$Q$2,RawData[[Picker ID ]],$Q$3,RawData[Checker ID],$Q$4,RawData[[Error Type ]],$Q$5))</f>
        <v/>
      </c>
    </row>
    <row r="17226" spans="15:15" x14ac:dyDescent="0.25">
      <c r="O17226" s="20" t="str">
        <f>IF(N17226="","",COUNTIFS(RawData[[Date ]],N17226,RawData[Month List],$Q$6,RawData[Tour/Site],$Q$2,RawData[[Picker ID ]],$Q$3,RawData[Checker ID],$Q$4,RawData[[Error Type ]],$Q$5))</f>
        <v/>
      </c>
    </row>
    <row r="17227" spans="15:15" x14ac:dyDescent="0.25">
      <c r="O17227" s="20" t="str">
        <f>IF(N17227="","",COUNTIFS(RawData[[Date ]],N17227,RawData[Month List],$Q$6,RawData[Tour/Site],$Q$2,RawData[[Picker ID ]],$Q$3,RawData[Checker ID],$Q$4,RawData[[Error Type ]],$Q$5))</f>
        <v/>
      </c>
    </row>
    <row r="17228" spans="15:15" x14ac:dyDescent="0.25">
      <c r="O17228" s="20" t="str">
        <f>IF(N17228="","",COUNTIFS(RawData[[Date ]],N17228,RawData[Month List],$Q$6,RawData[Tour/Site],$Q$2,RawData[[Picker ID ]],$Q$3,RawData[Checker ID],$Q$4,RawData[[Error Type ]],$Q$5))</f>
        <v/>
      </c>
    </row>
    <row r="17229" spans="15:15" x14ac:dyDescent="0.25">
      <c r="O17229" s="20" t="str">
        <f>IF(N17229="","",COUNTIFS(RawData[[Date ]],N17229,RawData[Month List],$Q$6,RawData[Tour/Site],$Q$2,RawData[[Picker ID ]],$Q$3,RawData[Checker ID],$Q$4,RawData[[Error Type ]],$Q$5))</f>
        <v/>
      </c>
    </row>
    <row r="17230" spans="15:15" x14ac:dyDescent="0.25">
      <c r="O17230" s="20" t="str">
        <f>IF(N17230="","",COUNTIFS(RawData[[Date ]],N17230,RawData[Month List],$Q$6,RawData[Tour/Site],$Q$2,RawData[[Picker ID ]],$Q$3,RawData[Checker ID],$Q$4,RawData[[Error Type ]],$Q$5))</f>
        <v/>
      </c>
    </row>
    <row r="17231" spans="15:15" x14ac:dyDescent="0.25">
      <c r="O17231" s="20" t="str">
        <f>IF(N17231="","",COUNTIFS(RawData[[Date ]],N17231,RawData[Month List],$Q$6,RawData[Tour/Site],$Q$2,RawData[[Picker ID ]],$Q$3,RawData[Checker ID],$Q$4,RawData[[Error Type ]],$Q$5))</f>
        <v/>
      </c>
    </row>
    <row r="17232" spans="15:15" x14ac:dyDescent="0.25">
      <c r="O17232" s="20" t="str">
        <f>IF(N17232="","",COUNTIFS(RawData[[Date ]],N17232,RawData[Month List],$Q$6,RawData[Tour/Site],$Q$2,RawData[[Picker ID ]],$Q$3,RawData[Checker ID],$Q$4,RawData[[Error Type ]],$Q$5))</f>
        <v/>
      </c>
    </row>
    <row r="17233" spans="15:15" x14ac:dyDescent="0.25">
      <c r="O17233" s="20" t="str">
        <f>IF(N17233="","",COUNTIFS(RawData[[Date ]],N17233,RawData[Month List],$Q$6,RawData[Tour/Site],$Q$2,RawData[[Picker ID ]],$Q$3,RawData[Checker ID],$Q$4,RawData[[Error Type ]],$Q$5))</f>
        <v/>
      </c>
    </row>
    <row r="17234" spans="15:15" x14ac:dyDescent="0.25">
      <c r="O17234" s="20" t="str">
        <f>IF(N17234="","",COUNTIFS(RawData[[Date ]],N17234,RawData[Month List],$Q$6,RawData[Tour/Site],$Q$2,RawData[[Picker ID ]],$Q$3,RawData[Checker ID],$Q$4,RawData[[Error Type ]],$Q$5))</f>
        <v/>
      </c>
    </row>
    <row r="17235" spans="15:15" x14ac:dyDescent="0.25">
      <c r="O17235" s="20" t="str">
        <f>IF(N17235="","",COUNTIFS(RawData[[Date ]],N17235,RawData[Month List],$Q$6,RawData[Tour/Site],$Q$2,RawData[[Picker ID ]],$Q$3,RawData[Checker ID],$Q$4,RawData[[Error Type ]],$Q$5))</f>
        <v/>
      </c>
    </row>
    <row r="17236" spans="15:15" x14ac:dyDescent="0.25">
      <c r="O17236" s="20" t="str">
        <f>IF(N17236="","",COUNTIFS(RawData[[Date ]],N17236,RawData[Month List],$Q$6,RawData[Tour/Site],$Q$2,RawData[[Picker ID ]],$Q$3,RawData[Checker ID],$Q$4,RawData[[Error Type ]],$Q$5))</f>
        <v/>
      </c>
    </row>
    <row r="17237" spans="15:15" x14ac:dyDescent="0.25">
      <c r="O17237" s="20" t="str">
        <f>IF(N17237="","",COUNTIFS(RawData[[Date ]],N17237,RawData[Month List],$Q$6,RawData[Tour/Site],$Q$2,RawData[[Picker ID ]],$Q$3,RawData[Checker ID],$Q$4,RawData[[Error Type ]],$Q$5))</f>
        <v/>
      </c>
    </row>
    <row r="17238" spans="15:15" x14ac:dyDescent="0.25">
      <c r="O17238" s="20" t="str">
        <f>IF(N17238="","",COUNTIFS(RawData[[Date ]],N17238,RawData[Month List],$Q$6,RawData[Tour/Site],$Q$2,RawData[[Picker ID ]],$Q$3,RawData[Checker ID],$Q$4,RawData[[Error Type ]],$Q$5))</f>
        <v/>
      </c>
    </row>
    <row r="17239" spans="15:15" x14ac:dyDescent="0.25">
      <c r="O17239" s="20" t="str">
        <f>IF(N17239="","",COUNTIFS(RawData[[Date ]],N17239,RawData[Month List],$Q$6,RawData[Tour/Site],$Q$2,RawData[[Picker ID ]],$Q$3,RawData[Checker ID],$Q$4,RawData[[Error Type ]],$Q$5))</f>
        <v/>
      </c>
    </row>
    <row r="17240" spans="15:15" x14ac:dyDescent="0.25">
      <c r="O17240" s="20" t="str">
        <f>IF(N17240="","",COUNTIFS(RawData[[Date ]],N17240,RawData[Month List],$Q$6,RawData[Tour/Site],$Q$2,RawData[[Picker ID ]],$Q$3,RawData[Checker ID],$Q$4,RawData[[Error Type ]],$Q$5))</f>
        <v/>
      </c>
    </row>
    <row r="17241" spans="15:15" x14ac:dyDescent="0.25">
      <c r="O17241" s="20" t="str">
        <f>IF(N17241="","",COUNTIFS(RawData[[Date ]],N17241,RawData[Month List],$Q$6,RawData[Tour/Site],$Q$2,RawData[[Picker ID ]],$Q$3,RawData[Checker ID],$Q$4,RawData[[Error Type ]],$Q$5))</f>
        <v/>
      </c>
    </row>
    <row r="17242" spans="15:15" x14ac:dyDescent="0.25">
      <c r="O17242" s="20" t="str">
        <f>IF(N17242="","",COUNTIFS(RawData[[Date ]],N17242,RawData[Month List],$Q$6,RawData[Tour/Site],$Q$2,RawData[[Picker ID ]],$Q$3,RawData[Checker ID],$Q$4,RawData[[Error Type ]],$Q$5))</f>
        <v/>
      </c>
    </row>
    <row r="17243" spans="15:15" x14ac:dyDescent="0.25">
      <c r="O17243" s="20" t="str">
        <f>IF(N17243="","",COUNTIFS(RawData[[Date ]],N17243,RawData[Month List],$Q$6,RawData[Tour/Site],$Q$2,RawData[[Picker ID ]],$Q$3,RawData[Checker ID],$Q$4,RawData[[Error Type ]],$Q$5))</f>
        <v/>
      </c>
    </row>
    <row r="17244" spans="15:15" x14ac:dyDescent="0.25">
      <c r="O17244" s="20" t="str">
        <f>IF(N17244="","",COUNTIFS(RawData[[Date ]],N17244,RawData[Month List],$Q$6,RawData[Tour/Site],$Q$2,RawData[[Picker ID ]],$Q$3,RawData[Checker ID],$Q$4,RawData[[Error Type ]],$Q$5))</f>
        <v/>
      </c>
    </row>
    <row r="17245" spans="15:15" x14ac:dyDescent="0.25">
      <c r="O17245" s="20" t="str">
        <f>IF(N17245="","",COUNTIFS(RawData[[Date ]],N17245,RawData[Month List],$Q$6,RawData[Tour/Site],$Q$2,RawData[[Picker ID ]],$Q$3,RawData[Checker ID],$Q$4,RawData[[Error Type ]],$Q$5))</f>
        <v/>
      </c>
    </row>
    <row r="17246" spans="15:15" x14ac:dyDescent="0.25">
      <c r="O17246" s="20" t="str">
        <f>IF(N17246="","",COUNTIFS(RawData[[Date ]],N17246,RawData[Month List],$Q$6,RawData[Tour/Site],$Q$2,RawData[[Picker ID ]],$Q$3,RawData[Checker ID],$Q$4,RawData[[Error Type ]],$Q$5))</f>
        <v/>
      </c>
    </row>
    <row r="17247" spans="15:15" x14ac:dyDescent="0.25">
      <c r="O17247" s="20" t="str">
        <f>IF(N17247="","",COUNTIFS(RawData[[Date ]],N17247,RawData[Month List],$Q$6,RawData[Tour/Site],$Q$2,RawData[[Picker ID ]],$Q$3,RawData[Checker ID],$Q$4,RawData[[Error Type ]],$Q$5))</f>
        <v/>
      </c>
    </row>
    <row r="17248" spans="15:15" x14ac:dyDescent="0.25">
      <c r="O17248" s="20" t="str">
        <f>IF(N17248="","",COUNTIFS(RawData[[Date ]],N17248,RawData[Month List],$Q$6,RawData[Tour/Site],$Q$2,RawData[[Picker ID ]],$Q$3,RawData[Checker ID],$Q$4,RawData[[Error Type ]],$Q$5))</f>
        <v/>
      </c>
    </row>
    <row r="17249" spans="15:15" x14ac:dyDescent="0.25">
      <c r="O17249" s="20" t="str">
        <f>IF(N17249="","",COUNTIFS(RawData[[Date ]],N17249,RawData[Month List],$Q$6,RawData[Tour/Site],$Q$2,RawData[[Picker ID ]],$Q$3,RawData[Checker ID],$Q$4,RawData[[Error Type ]],$Q$5))</f>
        <v/>
      </c>
    </row>
    <row r="17250" spans="15:15" x14ac:dyDescent="0.25">
      <c r="O17250" s="20" t="str">
        <f>IF(N17250="","",COUNTIFS(RawData[[Date ]],N17250,RawData[Month List],$Q$6,RawData[Tour/Site],$Q$2,RawData[[Picker ID ]],$Q$3,RawData[Checker ID],$Q$4,RawData[[Error Type ]],$Q$5))</f>
        <v/>
      </c>
    </row>
    <row r="17251" spans="15:15" x14ac:dyDescent="0.25">
      <c r="O17251" s="20" t="str">
        <f>IF(N17251="","",COUNTIFS(RawData[[Date ]],N17251,RawData[Month List],$Q$6,RawData[Tour/Site],$Q$2,RawData[[Picker ID ]],$Q$3,RawData[Checker ID],$Q$4,RawData[[Error Type ]],$Q$5))</f>
        <v/>
      </c>
    </row>
    <row r="17252" spans="15:15" x14ac:dyDescent="0.25">
      <c r="O17252" s="20" t="str">
        <f>IF(N17252="","",COUNTIFS(RawData[[Date ]],N17252,RawData[Month List],$Q$6,RawData[Tour/Site],$Q$2,RawData[[Picker ID ]],$Q$3,RawData[Checker ID],$Q$4,RawData[[Error Type ]],$Q$5))</f>
        <v/>
      </c>
    </row>
    <row r="17253" spans="15:15" x14ac:dyDescent="0.25">
      <c r="O17253" s="20" t="str">
        <f>IF(N17253="","",COUNTIFS(RawData[[Date ]],N17253,RawData[Month List],$Q$6,RawData[Tour/Site],$Q$2,RawData[[Picker ID ]],$Q$3,RawData[Checker ID],$Q$4,RawData[[Error Type ]],$Q$5))</f>
        <v/>
      </c>
    </row>
    <row r="17254" spans="15:15" x14ac:dyDescent="0.25">
      <c r="O17254" s="20" t="str">
        <f>IF(N17254="","",COUNTIFS(RawData[[Date ]],N17254,RawData[Month List],$Q$6,RawData[Tour/Site],$Q$2,RawData[[Picker ID ]],$Q$3,RawData[Checker ID],$Q$4,RawData[[Error Type ]],$Q$5))</f>
        <v/>
      </c>
    </row>
    <row r="17255" spans="15:15" x14ac:dyDescent="0.25">
      <c r="O17255" s="20" t="str">
        <f>IF(N17255="","",COUNTIFS(RawData[[Date ]],N17255,RawData[Month List],$Q$6,RawData[Tour/Site],$Q$2,RawData[[Picker ID ]],$Q$3,RawData[Checker ID],$Q$4,RawData[[Error Type ]],$Q$5))</f>
        <v/>
      </c>
    </row>
    <row r="17256" spans="15:15" x14ac:dyDescent="0.25">
      <c r="O17256" s="20" t="str">
        <f>IF(N17256="","",COUNTIFS(RawData[[Date ]],N17256,RawData[Month List],$Q$6,RawData[Tour/Site],$Q$2,RawData[[Picker ID ]],$Q$3,RawData[Checker ID],$Q$4,RawData[[Error Type ]],$Q$5))</f>
        <v/>
      </c>
    </row>
    <row r="17257" spans="15:15" x14ac:dyDescent="0.25">
      <c r="O17257" s="20" t="str">
        <f>IF(N17257="","",COUNTIFS(RawData[[Date ]],N17257,RawData[Month List],$Q$6,RawData[Tour/Site],$Q$2,RawData[[Picker ID ]],$Q$3,RawData[Checker ID],$Q$4,RawData[[Error Type ]],$Q$5))</f>
        <v/>
      </c>
    </row>
    <row r="17258" spans="15:15" x14ac:dyDescent="0.25">
      <c r="O17258" s="20" t="str">
        <f>IF(N17258="","",COUNTIFS(RawData[[Date ]],N17258,RawData[Month List],$Q$6,RawData[Tour/Site],$Q$2,RawData[[Picker ID ]],$Q$3,RawData[Checker ID],$Q$4,RawData[[Error Type ]],$Q$5))</f>
        <v/>
      </c>
    </row>
    <row r="17259" spans="15:15" x14ac:dyDescent="0.25">
      <c r="O17259" s="20" t="str">
        <f>IF(N17259="","",COUNTIFS(RawData[[Date ]],N17259,RawData[Month List],$Q$6,RawData[Tour/Site],$Q$2,RawData[[Picker ID ]],$Q$3,RawData[Checker ID],$Q$4,RawData[[Error Type ]],$Q$5))</f>
        <v/>
      </c>
    </row>
    <row r="17260" spans="15:15" x14ac:dyDescent="0.25">
      <c r="O17260" s="20" t="str">
        <f>IF(N17260="","",COUNTIFS(RawData[[Date ]],N17260,RawData[Month List],$Q$6,RawData[Tour/Site],$Q$2,RawData[[Picker ID ]],$Q$3,RawData[Checker ID],$Q$4,RawData[[Error Type ]],$Q$5))</f>
        <v/>
      </c>
    </row>
    <row r="17261" spans="15:15" x14ac:dyDescent="0.25">
      <c r="O17261" s="20" t="str">
        <f>IF(N17261="","",COUNTIFS(RawData[[Date ]],N17261,RawData[Month List],$Q$6,RawData[Tour/Site],$Q$2,RawData[[Picker ID ]],$Q$3,RawData[Checker ID],$Q$4,RawData[[Error Type ]],$Q$5))</f>
        <v/>
      </c>
    </row>
    <row r="17262" spans="15:15" x14ac:dyDescent="0.25">
      <c r="O17262" s="20" t="str">
        <f>IF(N17262="","",COUNTIFS(RawData[[Date ]],N17262,RawData[Month List],$Q$6,RawData[Tour/Site],$Q$2,RawData[[Picker ID ]],$Q$3,RawData[Checker ID],$Q$4,RawData[[Error Type ]],$Q$5))</f>
        <v/>
      </c>
    </row>
    <row r="17263" spans="15:15" x14ac:dyDescent="0.25">
      <c r="O17263" s="20" t="str">
        <f>IF(N17263="","",COUNTIFS(RawData[[Date ]],N17263,RawData[Month List],$Q$6,RawData[Tour/Site],$Q$2,RawData[[Picker ID ]],$Q$3,RawData[Checker ID],$Q$4,RawData[[Error Type ]],$Q$5))</f>
        <v/>
      </c>
    </row>
    <row r="17264" spans="15:15" x14ac:dyDescent="0.25">
      <c r="O17264" s="20" t="str">
        <f>IF(N17264="","",COUNTIFS(RawData[[Date ]],N17264,RawData[Month List],$Q$6,RawData[Tour/Site],$Q$2,RawData[[Picker ID ]],$Q$3,RawData[Checker ID],$Q$4,RawData[[Error Type ]],$Q$5))</f>
        <v/>
      </c>
    </row>
    <row r="17265" spans="15:15" x14ac:dyDescent="0.25">
      <c r="O17265" s="20" t="str">
        <f>IF(N17265="","",COUNTIFS(RawData[[Date ]],N17265,RawData[Month List],$Q$6,RawData[Tour/Site],$Q$2,RawData[[Picker ID ]],$Q$3,RawData[Checker ID],$Q$4,RawData[[Error Type ]],$Q$5))</f>
        <v/>
      </c>
    </row>
    <row r="17266" spans="15:15" x14ac:dyDescent="0.25">
      <c r="O17266" s="20" t="str">
        <f>IF(N17266="","",COUNTIFS(RawData[[Date ]],N17266,RawData[Month List],$Q$6,RawData[Tour/Site],$Q$2,RawData[[Picker ID ]],$Q$3,RawData[Checker ID],$Q$4,RawData[[Error Type ]],$Q$5))</f>
        <v/>
      </c>
    </row>
    <row r="17267" spans="15:15" x14ac:dyDescent="0.25">
      <c r="O17267" s="20" t="str">
        <f>IF(N17267="","",COUNTIFS(RawData[[Date ]],N17267,RawData[Month List],$Q$6,RawData[Tour/Site],$Q$2,RawData[[Picker ID ]],$Q$3,RawData[Checker ID],$Q$4,RawData[[Error Type ]],$Q$5))</f>
        <v/>
      </c>
    </row>
    <row r="17268" spans="15:15" x14ac:dyDescent="0.25">
      <c r="O17268" s="20" t="str">
        <f>IF(N17268="","",COUNTIFS(RawData[[Date ]],N17268,RawData[Month List],$Q$6,RawData[Tour/Site],$Q$2,RawData[[Picker ID ]],$Q$3,RawData[Checker ID],$Q$4,RawData[[Error Type ]],$Q$5))</f>
        <v/>
      </c>
    </row>
    <row r="17269" spans="15:15" x14ac:dyDescent="0.25">
      <c r="O17269" s="20" t="str">
        <f>IF(N17269="","",COUNTIFS(RawData[[Date ]],N17269,RawData[Month List],$Q$6,RawData[Tour/Site],$Q$2,RawData[[Picker ID ]],$Q$3,RawData[Checker ID],$Q$4,RawData[[Error Type ]],$Q$5))</f>
        <v/>
      </c>
    </row>
    <row r="17270" spans="15:15" x14ac:dyDescent="0.25">
      <c r="O17270" s="20" t="str">
        <f>IF(N17270="","",COUNTIFS(RawData[[Date ]],N17270,RawData[Month List],$Q$6,RawData[Tour/Site],$Q$2,RawData[[Picker ID ]],$Q$3,RawData[Checker ID],$Q$4,RawData[[Error Type ]],$Q$5))</f>
        <v/>
      </c>
    </row>
    <row r="17271" spans="15:15" x14ac:dyDescent="0.25">
      <c r="O17271" s="20" t="str">
        <f>IF(N17271="","",COUNTIFS(RawData[[Date ]],N17271,RawData[Month List],$Q$6,RawData[Tour/Site],$Q$2,RawData[[Picker ID ]],$Q$3,RawData[Checker ID],$Q$4,RawData[[Error Type ]],$Q$5))</f>
        <v/>
      </c>
    </row>
    <row r="17272" spans="15:15" x14ac:dyDescent="0.25">
      <c r="O17272" s="20" t="str">
        <f>IF(N17272="","",COUNTIFS(RawData[[Date ]],N17272,RawData[Month List],$Q$6,RawData[Tour/Site],$Q$2,RawData[[Picker ID ]],$Q$3,RawData[Checker ID],$Q$4,RawData[[Error Type ]],$Q$5))</f>
        <v/>
      </c>
    </row>
    <row r="17273" spans="15:15" x14ac:dyDescent="0.25">
      <c r="O17273" s="20" t="str">
        <f>IF(N17273="","",COUNTIFS(RawData[[Date ]],N17273,RawData[Month List],$Q$6,RawData[Tour/Site],$Q$2,RawData[[Picker ID ]],$Q$3,RawData[Checker ID],$Q$4,RawData[[Error Type ]],$Q$5))</f>
        <v/>
      </c>
    </row>
    <row r="17274" spans="15:15" x14ac:dyDescent="0.25">
      <c r="O17274" s="20" t="str">
        <f>IF(N17274="","",COUNTIFS(RawData[[Date ]],N17274,RawData[Month List],$Q$6,RawData[Tour/Site],$Q$2,RawData[[Picker ID ]],$Q$3,RawData[Checker ID],$Q$4,RawData[[Error Type ]],$Q$5))</f>
        <v/>
      </c>
    </row>
    <row r="17275" spans="15:15" x14ac:dyDescent="0.25">
      <c r="O17275" s="20" t="str">
        <f>IF(N17275="","",COUNTIFS(RawData[[Date ]],N17275,RawData[Month List],$Q$6,RawData[Tour/Site],$Q$2,RawData[[Picker ID ]],$Q$3,RawData[Checker ID],$Q$4,RawData[[Error Type ]],$Q$5))</f>
        <v/>
      </c>
    </row>
    <row r="17276" spans="15:15" x14ac:dyDescent="0.25">
      <c r="O17276" s="20" t="str">
        <f>IF(N17276="","",COUNTIFS(RawData[[Date ]],N17276,RawData[Month List],$Q$6,RawData[Tour/Site],$Q$2,RawData[[Picker ID ]],$Q$3,RawData[Checker ID],$Q$4,RawData[[Error Type ]],$Q$5))</f>
        <v/>
      </c>
    </row>
    <row r="17277" spans="15:15" x14ac:dyDescent="0.25">
      <c r="O17277" s="20" t="str">
        <f>IF(N17277="","",COUNTIFS(RawData[[Date ]],N17277,RawData[Month List],$Q$6,RawData[Tour/Site],$Q$2,RawData[[Picker ID ]],$Q$3,RawData[Checker ID],$Q$4,RawData[[Error Type ]],$Q$5))</f>
        <v/>
      </c>
    </row>
    <row r="17278" spans="15:15" x14ac:dyDescent="0.25">
      <c r="O17278" s="20" t="str">
        <f>IF(N17278="","",COUNTIFS(RawData[[Date ]],N17278,RawData[Month List],$Q$6,RawData[Tour/Site],$Q$2,RawData[[Picker ID ]],$Q$3,RawData[Checker ID],$Q$4,RawData[[Error Type ]],$Q$5))</f>
        <v/>
      </c>
    </row>
    <row r="17279" spans="15:15" x14ac:dyDescent="0.25">
      <c r="O17279" s="20" t="str">
        <f>IF(N17279="","",COUNTIFS(RawData[[Date ]],N17279,RawData[Month List],$Q$6,RawData[Tour/Site],$Q$2,RawData[[Picker ID ]],$Q$3,RawData[Checker ID],$Q$4,RawData[[Error Type ]],$Q$5))</f>
        <v/>
      </c>
    </row>
    <row r="17280" spans="15:15" x14ac:dyDescent="0.25">
      <c r="O17280" s="20" t="str">
        <f>IF(N17280="","",COUNTIFS(RawData[[Date ]],N17280,RawData[Month List],$Q$6,RawData[Tour/Site],$Q$2,RawData[[Picker ID ]],$Q$3,RawData[Checker ID],$Q$4,RawData[[Error Type ]],$Q$5))</f>
        <v/>
      </c>
    </row>
    <row r="17281" spans="15:15" x14ac:dyDescent="0.25">
      <c r="O17281" s="20" t="str">
        <f>IF(N17281="","",COUNTIFS(RawData[[Date ]],N17281,RawData[Month List],$Q$6,RawData[Tour/Site],$Q$2,RawData[[Picker ID ]],$Q$3,RawData[Checker ID],$Q$4,RawData[[Error Type ]],$Q$5))</f>
        <v/>
      </c>
    </row>
    <row r="17282" spans="15:15" x14ac:dyDescent="0.25">
      <c r="O17282" s="20" t="str">
        <f>IF(N17282="","",COUNTIFS(RawData[[Date ]],N17282,RawData[Month List],$Q$6,RawData[Tour/Site],$Q$2,RawData[[Picker ID ]],$Q$3,RawData[Checker ID],$Q$4,RawData[[Error Type ]],$Q$5))</f>
        <v/>
      </c>
    </row>
    <row r="17283" spans="15:15" x14ac:dyDescent="0.25">
      <c r="O17283" s="20" t="str">
        <f>IF(N17283="","",COUNTIFS(RawData[[Date ]],N17283,RawData[Month List],$Q$6,RawData[Tour/Site],$Q$2,RawData[[Picker ID ]],$Q$3,RawData[Checker ID],$Q$4,RawData[[Error Type ]],$Q$5))</f>
        <v/>
      </c>
    </row>
    <row r="17284" spans="15:15" x14ac:dyDescent="0.25">
      <c r="O17284" s="20" t="str">
        <f>IF(N17284="","",COUNTIFS(RawData[[Date ]],N17284,RawData[Month List],$Q$6,RawData[Tour/Site],$Q$2,RawData[[Picker ID ]],$Q$3,RawData[Checker ID],$Q$4,RawData[[Error Type ]],$Q$5))</f>
        <v/>
      </c>
    </row>
    <row r="17285" spans="15:15" x14ac:dyDescent="0.25">
      <c r="O17285" s="20" t="str">
        <f>IF(N17285="","",COUNTIFS(RawData[[Date ]],N17285,RawData[Month List],$Q$6,RawData[Tour/Site],$Q$2,RawData[[Picker ID ]],$Q$3,RawData[Checker ID],$Q$4,RawData[[Error Type ]],$Q$5))</f>
        <v/>
      </c>
    </row>
    <row r="17286" spans="15:15" x14ac:dyDescent="0.25">
      <c r="O17286" s="20" t="str">
        <f>IF(N17286="","",COUNTIFS(RawData[[Date ]],N17286,RawData[Month List],$Q$6,RawData[Tour/Site],$Q$2,RawData[[Picker ID ]],$Q$3,RawData[Checker ID],$Q$4,RawData[[Error Type ]],$Q$5))</f>
        <v/>
      </c>
    </row>
    <row r="17287" spans="15:15" x14ac:dyDescent="0.25">
      <c r="O17287" s="20" t="str">
        <f>IF(N17287="","",COUNTIFS(RawData[[Date ]],N17287,RawData[Month List],$Q$6,RawData[Tour/Site],$Q$2,RawData[[Picker ID ]],$Q$3,RawData[Checker ID],$Q$4,RawData[[Error Type ]],$Q$5))</f>
        <v/>
      </c>
    </row>
    <row r="17288" spans="15:15" x14ac:dyDescent="0.25">
      <c r="O17288" s="20" t="str">
        <f>IF(N17288="","",COUNTIFS(RawData[[Date ]],N17288,RawData[Month List],$Q$6,RawData[Tour/Site],$Q$2,RawData[[Picker ID ]],$Q$3,RawData[Checker ID],$Q$4,RawData[[Error Type ]],$Q$5))</f>
        <v/>
      </c>
    </row>
    <row r="17289" spans="15:15" x14ac:dyDescent="0.25">
      <c r="O17289" s="20" t="str">
        <f>IF(N17289="","",COUNTIFS(RawData[[Date ]],N17289,RawData[Month List],$Q$6,RawData[Tour/Site],$Q$2,RawData[[Picker ID ]],$Q$3,RawData[Checker ID],$Q$4,RawData[[Error Type ]],$Q$5))</f>
        <v/>
      </c>
    </row>
    <row r="17290" spans="15:15" x14ac:dyDescent="0.25">
      <c r="O17290" s="20" t="str">
        <f>IF(N17290="","",COUNTIFS(RawData[[Date ]],N17290,RawData[Month List],$Q$6,RawData[Tour/Site],$Q$2,RawData[[Picker ID ]],$Q$3,RawData[Checker ID],$Q$4,RawData[[Error Type ]],$Q$5))</f>
        <v/>
      </c>
    </row>
    <row r="17291" spans="15:15" x14ac:dyDescent="0.25">
      <c r="O17291" s="20" t="str">
        <f>IF(N17291="","",COUNTIFS(RawData[[Date ]],N17291,RawData[Month List],$Q$6,RawData[Tour/Site],$Q$2,RawData[[Picker ID ]],$Q$3,RawData[Checker ID],$Q$4,RawData[[Error Type ]],$Q$5))</f>
        <v/>
      </c>
    </row>
    <row r="17292" spans="15:15" x14ac:dyDescent="0.25">
      <c r="O17292" s="20" t="str">
        <f>IF(N17292="","",COUNTIFS(RawData[[Date ]],N17292,RawData[Month List],$Q$6,RawData[Tour/Site],$Q$2,RawData[[Picker ID ]],$Q$3,RawData[Checker ID],$Q$4,RawData[[Error Type ]],$Q$5))</f>
        <v/>
      </c>
    </row>
    <row r="17293" spans="15:15" x14ac:dyDescent="0.25">
      <c r="O17293" s="20" t="str">
        <f>IF(N17293="","",COUNTIFS(RawData[[Date ]],N17293,RawData[Month List],$Q$6,RawData[Tour/Site],$Q$2,RawData[[Picker ID ]],$Q$3,RawData[Checker ID],$Q$4,RawData[[Error Type ]],$Q$5))</f>
        <v/>
      </c>
    </row>
    <row r="17294" spans="15:15" x14ac:dyDescent="0.25">
      <c r="O17294" s="20" t="str">
        <f>IF(N17294="","",COUNTIFS(RawData[[Date ]],N17294,RawData[Month List],$Q$6,RawData[Tour/Site],$Q$2,RawData[[Picker ID ]],$Q$3,RawData[Checker ID],$Q$4,RawData[[Error Type ]],$Q$5))</f>
        <v/>
      </c>
    </row>
    <row r="17295" spans="15:15" x14ac:dyDescent="0.25">
      <c r="O17295" s="20" t="str">
        <f>IF(N17295="","",COUNTIFS(RawData[[Date ]],N17295,RawData[Month List],$Q$6,RawData[Tour/Site],$Q$2,RawData[[Picker ID ]],$Q$3,RawData[Checker ID],$Q$4,RawData[[Error Type ]],$Q$5))</f>
        <v/>
      </c>
    </row>
    <row r="17296" spans="15:15" x14ac:dyDescent="0.25">
      <c r="O17296" s="20" t="str">
        <f>IF(N17296="","",COUNTIFS(RawData[[Date ]],N17296,RawData[Month List],$Q$6,RawData[Tour/Site],$Q$2,RawData[[Picker ID ]],$Q$3,RawData[Checker ID],$Q$4,RawData[[Error Type ]],$Q$5))</f>
        <v/>
      </c>
    </row>
    <row r="17297" spans="15:15" x14ac:dyDescent="0.25">
      <c r="O17297" s="20" t="str">
        <f>IF(N17297="","",COUNTIFS(RawData[[Date ]],N17297,RawData[Month List],$Q$6,RawData[Tour/Site],$Q$2,RawData[[Picker ID ]],$Q$3,RawData[Checker ID],$Q$4,RawData[[Error Type ]],$Q$5))</f>
        <v/>
      </c>
    </row>
    <row r="17298" spans="15:15" x14ac:dyDescent="0.25">
      <c r="O17298" s="20" t="str">
        <f>IF(N17298="","",COUNTIFS(RawData[[Date ]],N17298,RawData[Month List],$Q$6,RawData[Tour/Site],$Q$2,RawData[[Picker ID ]],$Q$3,RawData[Checker ID],$Q$4,RawData[[Error Type ]],$Q$5))</f>
        <v/>
      </c>
    </row>
    <row r="17299" spans="15:15" x14ac:dyDescent="0.25">
      <c r="O17299" s="20" t="str">
        <f>IF(N17299="","",COUNTIFS(RawData[[Date ]],N17299,RawData[Month List],$Q$6,RawData[Tour/Site],$Q$2,RawData[[Picker ID ]],$Q$3,RawData[Checker ID],$Q$4,RawData[[Error Type ]],$Q$5))</f>
        <v/>
      </c>
    </row>
    <row r="17300" spans="15:15" x14ac:dyDescent="0.25">
      <c r="O17300" s="20" t="str">
        <f>IF(N17300="","",COUNTIFS(RawData[[Date ]],N17300,RawData[Month List],$Q$6,RawData[Tour/Site],$Q$2,RawData[[Picker ID ]],$Q$3,RawData[Checker ID],$Q$4,RawData[[Error Type ]],$Q$5))</f>
        <v/>
      </c>
    </row>
    <row r="17301" spans="15:15" x14ac:dyDescent="0.25">
      <c r="O17301" s="20" t="str">
        <f>IF(N17301="","",COUNTIFS(RawData[[Date ]],N17301,RawData[Month List],$Q$6,RawData[Tour/Site],$Q$2,RawData[[Picker ID ]],$Q$3,RawData[Checker ID],$Q$4,RawData[[Error Type ]],$Q$5))</f>
        <v/>
      </c>
    </row>
    <row r="17302" spans="15:15" x14ac:dyDescent="0.25">
      <c r="O17302" s="20" t="str">
        <f>IF(N17302="","",COUNTIFS(RawData[[Date ]],N17302,RawData[Month List],$Q$6,RawData[Tour/Site],$Q$2,RawData[[Picker ID ]],$Q$3,RawData[Checker ID],$Q$4,RawData[[Error Type ]],$Q$5))</f>
        <v/>
      </c>
    </row>
    <row r="17303" spans="15:15" x14ac:dyDescent="0.25">
      <c r="O17303" s="20" t="str">
        <f>IF(N17303="","",COUNTIFS(RawData[[Date ]],N17303,RawData[Month List],$Q$6,RawData[Tour/Site],$Q$2,RawData[[Picker ID ]],$Q$3,RawData[Checker ID],$Q$4,RawData[[Error Type ]],$Q$5))</f>
        <v/>
      </c>
    </row>
    <row r="17304" spans="15:15" x14ac:dyDescent="0.25">
      <c r="O17304" s="20" t="str">
        <f>IF(N17304="","",COUNTIFS(RawData[[Date ]],N17304,RawData[Month List],$Q$6,RawData[Tour/Site],$Q$2,RawData[[Picker ID ]],$Q$3,RawData[Checker ID],$Q$4,RawData[[Error Type ]],$Q$5))</f>
        <v/>
      </c>
    </row>
    <row r="17305" spans="15:15" x14ac:dyDescent="0.25">
      <c r="O17305" s="20" t="str">
        <f>IF(N17305="","",COUNTIFS(RawData[[Date ]],N17305,RawData[Month List],$Q$6,RawData[Tour/Site],$Q$2,RawData[[Picker ID ]],$Q$3,RawData[Checker ID],$Q$4,RawData[[Error Type ]],$Q$5))</f>
        <v/>
      </c>
    </row>
    <row r="17306" spans="15:15" x14ac:dyDescent="0.25">
      <c r="O17306" s="20" t="str">
        <f>IF(N17306="","",COUNTIFS(RawData[[Date ]],N17306,RawData[Month List],$Q$6,RawData[Tour/Site],$Q$2,RawData[[Picker ID ]],$Q$3,RawData[Checker ID],$Q$4,RawData[[Error Type ]],$Q$5))</f>
        <v/>
      </c>
    </row>
    <row r="17307" spans="15:15" x14ac:dyDescent="0.25">
      <c r="O17307" s="20" t="str">
        <f>IF(N17307="","",COUNTIFS(RawData[[Date ]],N17307,RawData[Month List],$Q$6,RawData[Tour/Site],$Q$2,RawData[[Picker ID ]],$Q$3,RawData[Checker ID],$Q$4,RawData[[Error Type ]],$Q$5))</f>
        <v/>
      </c>
    </row>
    <row r="17308" spans="15:15" x14ac:dyDescent="0.25">
      <c r="O17308" s="20" t="str">
        <f>IF(N17308="","",COUNTIFS(RawData[[Date ]],N17308,RawData[Month List],$Q$6,RawData[Tour/Site],$Q$2,RawData[[Picker ID ]],$Q$3,RawData[Checker ID],$Q$4,RawData[[Error Type ]],$Q$5))</f>
        <v/>
      </c>
    </row>
    <row r="17309" spans="15:15" x14ac:dyDescent="0.25">
      <c r="O17309" s="20" t="str">
        <f>IF(N17309="","",COUNTIFS(RawData[[Date ]],N17309,RawData[Month List],$Q$6,RawData[Tour/Site],$Q$2,RawData[[Picker ID ]],$Q$3,RawData[Checker ID],$Q$4,RawData[[Error Type ]],$Q$5))</f>
        <v/>
      </c>
    </row>
    <row r="17310" spans="15:15" x14ac:dyDescent="0.25">
      <c r="O17310" s="20" t="str">
        <f>IF(N17310="","",COUNTIFS(RawData[[Date ]],N17310,RawData[Month List],$Q$6,RawData[Tour/Site],$Q$2,RawData[[Picker ID ]],$Q$3,RawData[Checker ID],$Q$4,RawData[[Error Type ]],$Q$5))</f>
        <v/>
      </c>
    </row>
    <row r="17311" spans="15:15" x14ac:dyDescent="0.25">
      <c r="O17311" s="20" t="str">
        <f>IF(N17311="","",COUNTIFS(RawData[[Date ]],N17311,RawData[Month List],$Q$6,RawData[Tour/Site],$Q$2,RawData[[Picker ID ]],$Q$3,RawData[Checker ID],$Q$4,RawData[[Error Type ]],$Q$5))</f>
        <v/>
      </c>
    </row>
    <row r="17312" spans="15:15" x14ac:dyDescent="0.25">
      <c r="O17312" s="20" t="str">
        <f>IF(N17312="","",COUNTIFS(RawData[[Date ]],N17312,RawData[Month List],$Q$6,RawData[Tour/Site],$Q$2,RawData[[Picker ID ]],$Q$3,RawData[Checker ID],$Q$4,RawData[[Error Type ]],$Q$5))</f>
        <v/>
      </c>
    </row>
    <row r="17313" spans="15:15" x14ac:dyDescent="0.25">
      <c r="O17313" s="20" t="str">
        <f>IF(N17313="","",COUNTIFS(RawData[[Date ]],N17313,RawData[Month List],$Q$6,RawData[Tour/Site],$Q$2,RawData[[Picker ID ]],$Q$3,RawData[Checker ID],$Q$4,RawData[[Error Type ]],$Q$5))</f>
        <v/>
      </c>
    </row>
    <row r="17314" spans="15:15" x14ac:dyDescent="0.25">
      <c r="O17314" s="20" t="str">
        <f>IF(N17314="","",COUNTIFS(RawData[[Date ]],N17314,RawData[Month List],$Q$6,RawData[Tour/Site],$Q$2,RawData[[Picker ID ]],$Q$3,RawData[Checker ID],$Q$4,RawData[[Error Type ]],$Q$5))</f>
        <v/>
      </c>
    </row>
    <row r="17315" spans="15:15" x14ac:dyDescent="0.25">
      <c r="O17315" s="20" t="str">
        <f>IF(N17315="","",COUNTIFS(RawData[[Date ]],N17315,RawData[Month List],$Q$6,RawData[Tour/Site],$Q$2,RawData[[Picker ID ]],$Q$3,RawData[Checker ID],$Q$4,RawData[[Error Type ]],$Q$5))</f>
        <v/>
      </c>
    </row>
    <row r="17316" spans="15:15" x14ac:dyDescent="0.25">
      <c r="O17316" s="20" t="str">
        <f>IF(N17316="","",COUNTIFS(RawData[[Date ]],N17316,RawData[Month List],$Q$6,RawData[Tour/Site],$Q$2,RawData[[Picker ID ]],$Q$3,RawData[Checker ID],$Q$4,RawData[[Error Type ]],$Q$5))</f>
        <v/>
      </c>
    </row>
    <row r="17317" spans="15:15" x14ac:dyDescent="0.25">
      <c r="O17317" s="20" t="str">
        <f>IF(N17317="","",COUNTIFS(RawData[[Date ]],N17317,RawData[Month List],$Q$6,RawData[Tour/Site],$Q$2,RawData[[Picker ID ]],$Q$3,RawData[Checker ID],$Q$4,RawData[[Error Type ]],$Q$5))</f>
        <v/>
      </c>
    </row>
    <row r="17318" spans="15:15" x14ac:dyDescent="0.25">
      <c r="O17318" s="20" t="str">
        <f>IF(N17318="","",COUNTIFS(RawData[[Date ]],N17318,RawData[Month List],$Q$6,RawData[Tour/Site],$Q$2,RawData[[Picker ID ]],$Q$3,RawData[Checker ID],$Q$4,RawData[[Error Type ]],$Q$5))</f>
        <v/>
      </c>
    </row>
    <row r="17319" spans="15:15" x14ac:dyDescent="0.25">
      <c r="O17319" s="20" t="str">
        <f>IF(N17319="","",COUNTIFS(RawData[[Date ]],N17319,RawData[Month List],$Q$6,RawData[Tour/Site],$Q$2,RawData[[Picker ID ]],$Q$3,RawData[Checker ID],$Q$4,RawData[[Error Type ]],$Q$5))</f>
        <v/>
      </c>
    </row>
    <row r="17320" spans="15:15" x14ac:dyDescent="0.25">
      <c r="O17320" s="20" t="str">
        <f>IF(N17320="","",COUNTIFS(RawData[[Date ]],N17320,RawData[Month List],$Q$6,RawData[Tour/Site],$Q$2,RawData[[Picker ID ]],$Q$3,RawData[Checker ID],$Q$4,RawData[[Error Type ]],$Q$5))</f>
        <v/>
      </c>
    </row>
    <row r="17321" spans="15:15" x14ac:dyDescent="0.25">
      <c r="O17321" s="20" t="str">
        <f>IF(N17321="","",COUNTIFS(RawData[[Date ]],N17321,RawData[Month List],$Q$6,RawData[Tour/Site],$Q$2,RawData[[Picker ID ]],$Q$3,RawData[Checker ID],$Q$4,RawData[[Error Type ]],$Q$5))</f>
        <v/>
      </c>
    </row>
    <row r="17322" spans="15:15" x14ac:dyDescent="0.25">
      <c r="O17322" s="20" t="str">
        <f>IF(N17322="","",COUNTIFS(RawData[[Date ]],N17322,RawData[Month List],$Q$6,RawData[Tour/Site],$Q$2,RawData[[Picker ID ]],$Q$3,RawData[Checker ID],$Q$4,RawData[[Error Type ]],$Q$5))</f>
        <v/>
      </c>
    </row>
    <row r="17323" spans="15:15" x14ac:dyDescent="0.25">
      <c r="O17323" s="20" t="str">
        <f>IF(N17323="","",COUNTIFS(RawData[[Date ]],N17323,RawData[Month List],$Q$6,RawData[Tour/Site],$Q$2,RawData[[Picker ID ]],$Q$3,RawData[Checker ID],$Q$4,RawData[[Error Type ]],$Q$5))</f>
        <v/>
      </c>
    </row>
    <row r="17324" spans="15:15" x14ac:dyDescent="0.25">
      <c r="O17324" s="20" t="str">
        <f>IF(N17324="","",COUNTIFS(RawData[[Date ]],N17324,RawData[Month List],$Q$6,RawData[Tour/Site],$Q$2,RawData[[Picker ID ]],$Q$3,RawData[Checker ID],$Q$4,RawData[[Error Type ]],$Q$5))</f>
        <v/>
      </c>
    </row>
    <row r="17325" spans="15:15" x14ac:dyDescent="0.25">
      <c r="O17325" s="20" t="str">
        <f>IF(N17325="","",COUNTIFS(RawData[[Date ]],N17325,RawData[Month List],$Q$6,RawData[Tour/Site],$Q$2,RawData[[Picker ID ]],$Q$3,RawData[Checker ID],$Q$4,RawData[[Error Type ]],$Q$5))</f>
        <v/>
      </c>
    </row>
    <row r="17326" spans="15:15" x14ac:dyDescent="0.25">
      <c r="O17326" s="20" t="str">
        <f>IF(N17326="","",COUNTIFS(RawData[[Date ]],N17326,RawData[Month List],$Q$6,RawData[Tour/Site],$Q$2,RawData[[Picker ID ]],$Q$3,RawData[Checker ID],$Q$4,RawData[[Error Type ]],$Q$5))</f>
        <v/>
      </c>
    </row>
    <row r="17327" spans="15:15" x14ac:dyDescent="0.25">
      <c r="O17327" s="20" t="str">
        <f>IF(N17327="","",COUNTIFS(RawData[[Date ]],N17327,RawData[Month List],$Q$6,RawData[Tour/Site],$Q$2,RawData[[Picker ID ]],$Q$3,RawData[Checker ID],$Q$4,RawData[[Error Type ]],$Q$5))</f>
        <v/>
      </c>
    </row>
    <row r="17328" spans="15:15" x14ac:dyDescent="0.25">
      <c r="O17328" s="20" t="str">
        <f>IF(N17328="","",COUNTIFS(RawData[[Date ]],N17328,RawData[Month List],$Q$6,RawData[Tour/Site],$Q$2,RawData[[Picker ID ]],$Q$3,RawData[Checker ID],$Q$4,RawData[[Error Type ]],$Q$5))</f>
        <v/>
      </c>
    </row>
    <row r="17329" spans="15:15" x14ac:dyDescent="0.25">
      <c r="O17329" s="20" t="str">
        <f>IF(N17329="","",COUNTIFS(RawData[[Date ]],N17329,RawData[Month List],$Q$6,RawData[Tour/Site],$Q$2,RawData[[Picker ID ]],$Q$3,RawData[Checker ID],$Q$4,RawData[[Error Type ]],$Q$5))</f>
        <v/>
      </c>
    </row>
    <row r="17330" spans="15:15" x14ac:dyDescent="0.25">
      <c r="O17330" s="20" t="str">
        <f>IF(N17330="","",COUNTIFS(RawData[[Date ]],N17330,RawData[Month List],$Q$6,RawData[Tour/Site],$Q$2,RawData[[Picker ID ]],$Q$3,RawData[Checker ID],$Q$4,RawData[[Error Type ]],$Q$5))</f>
        <v/>
      </c>
    </row>
    <row r="17331" spans="15:15" x14ac:dyDescent="0.25">
      <c r="O17331" s="20" t="str">
        <f>IF(N17331="","",COUNTIFS(RawData[[Date ]],N17331,RawData[Month List],$Q$6,RawData[Tour/Site],$Q$2,RawData[[Picker ID ]],$Q$3,RawData[Checker ID],$Q$4,RawData[[Error Type ]],$Q$5))</f>
        <v/>
      </c>
    </row>
    <row r="17332" spans="15:15" x14ac:dyDescent="0.25">
      <c r="O17332" s="20" t="str">
        <f>IF(N17332="","",COUNTIFS(RawData[[Date ]],N17332,RawData[Month List],$Q$6,RawData[Tour/Site],$Q$2,RawData[[Picker ID ]],$Q$3,RawData[Checker ID],$Q$4,RawData[[Error Type ]],$Q$5))</f>
        <v/>
      </c>
    </row>
    <row r="17333" spans="15:15" x14ac:dyDescent="0.25">
      <c r="O17333" s="20" t="str">
        <f>IF(N17333="","",COUNTIFS(RawData[[Date ]],N17333,RawData[Month List],$Q$6,RawData[Tour/Site],$Q$2,RawData[[Picker ID ]],$Q$3,RawData[Checker ID],$Q$4,RawData[[Error Type ]],$Q$5))</f>
        <v/>
      </c>
    </row>
    <row r="17334" spans="15:15" x14ac:dyDescent="0.25">
      <c r="O17334" s="20" t="str">
        <f>IF(N17334="","",COUNTIFS(RawData[[Date ]],N17334,RawData[Month List],$Q$6,RawData[Tour/Site],$Q$2,RawData[[Picker ID ]],$Q$3,RawData[Checker ID],$Q$4,RawData[[Error Type ]],$Q$5))</f>
        <v/>
      </c>
    </row>
    <row r="17335" spans="15:15" x14ac:dyDescent="0.25">
      <c r="O17335" s="20" t="str">
        <f>IF(N17335="","",COUNTIFS(RawData[[Date ]],N17335,RawData[Month List],$Q$6,RawData[Tour/Site],$Q$2,RawData[[Picker ID ]],$Q$3,RawData[Checker ID],$Q$4,RawData[[Error Type ]],$Q$5))</f>
        <v/>
      </c>
    </row>
    <row r="17336" spans="15:15" x14ac:dyDescent="0.25">
      <c r="O17336" s="20" t="str">
        <f>IF(N17336="","",COUNTIFS(RawData[[Date ]],N17336,RawData[Month List],$Q$6,RawData[Tour/Site],$Q$2,RawData[[Picker ID ]],$Q$3,RawData[Checker ID],$Q$4,RawData[[Error Type ]],$Q$5))</f>
        <v/>
      </c>
    </row>
    <row r="17337" spans="15:15" x14ac:dyDescent="0.25">
      <c r="O17337" s="20" t="str">
        <f>IF(N17337="","",COUNTIFS(RawData[[Date ]],N17337,RawData[Month List],$Q$6,RawData[Tour/Site],$Q$2,RawData[[Picker ID ]],$Q$3,RawData[Checker ID],$Q$4,RawData[[Error Type ]],$Q$5))</f>
        <v/>
      </c>
    </row>
    <row r="17338" spans="15:15" x14ac:dyDescent="0.25">
      <c r="O17338" s="20" t="str">
        <f>IF(N17338="","",COUNTIFS(RawData[[Date ]],N17338,RawData[Month List],$Q$6,RawData[Tour/Site],$Q$2,RawData[[Picker ID ]],$Q$3,RawData[Checker ID],$Q$4,RawData[[Error Type ]],$Q$5))</f>
        <v/>
      </c>
    </row>
    <row r="17339" spans="15:15" x14ac:dyDescent="0.25">
      <c r="O17339" s="20" t="str">
        <f>IF(N17339="","",COUNTIFS(RawData[[Date ]],N17339,RawData[Month List],$Q$6,RawData[Tour/Site],$Q$2,RawData[[Picker ID ]],$Q$3,RawData[Checker ID],$Q$4,RawData[[Error Type ]],$Q$5))</f>
        <v/>
      </c>
    </row>
    <row r="17340" spans="15:15" x14ac:dyDescent="0.25">
      <c r="O17340" s="20" t="str">
        <f>IF(N17340="","",COUNTIFS(RawData[[Date ]],N17340,RawData[Month List],$Q$6,RawData[Tour/Site],$Q$2,RawData[[Picker ID ]],$Q$3,RawData[Checker ID],$Q$4,RawData[[Error Type ]],$Q$5))</f>
        <v/>
      </c>
    </row>
    <row r="17341" spans="15:15" x14ac:dyDescent="0.25">
      <c r="O17341" s="20" t="str">
        <f>IF(N17341="","",COUNTIFS(RawData[[Date ]],N17341,RawData[Month List],$Q$6,RawData[Tour/Site],$Q$2,RawData[[Picker ID ]],$Q$3,RawData[Checker ID],$Q$4,RawData[[Error Type ]],$Q$5))</f>
        <v/>
      </c>
    </row>
    <row r="17342" spans="15:15" x14ac:dyDescent="0.25">
      <c r="O17342" s="20" t="str">
        <f>IF(N17342="","",COUNTIFS(RawData[[Date ]],N17342,RawData[Month List],$Q$6,RawData[Tour/Site],$Q$2,RawData[[Picker ID ]],$Q$3,RawData[Checker ID],$Q$4,RawData[[Error Type ]],$Q$5))</f>
        <v/>
      </c>
    </row>
    <row r="17343" spans="15:15" x14ac:dyDescent="0.25">
      <c r="O17343" s="20" t="str">
        <f>IF(N17343="","",COUNTIFS(RawData[[Date ]],N17343,RawData[Month List],$Q$6,RawData[Tour/Site],$Q$2,RawData[[Picker ID ]],$Q$3,RawData[Checker ID],$Q$4,RawData[[Error Type ]],$Q$5))</f>
        <v/>
      </c>
    </row>
    <row r="17344" spans="15:15" x14ac:dyDescent="0.25">
      <c r="O17344" s="20" t="str">
        <f>IF(N17344="","",COUNTIFS(RawData[[Date ]],N17344,RawData[Month List],$Q$6,RawData[Tour/Site],$Q$2,RawData[[Picker ID ]],$Q$3,RawData[Checker ID],$Q$4,RawData[[Error Type ]],$Q$5))</f>
        <v/>
      </c>
    </row>
    <row r="17345" spans="15:15" x14ac:dyDescent="0.25">
      <c r="O17345" s="20" t="str">
        <f>IF(N17345="","",COUNTIFS(RawData[[Date ]],N17345,RawData[Month List],$Q$6,RawData[Tour/Site],$Q$2,RawData[[Picker ID ]],$Q$3,RawData[Checker ID],$Q$4,RawData[[Error Type ]],$Q$5))</f>
        <v/>
      </c>
    </row>
    <row r="17346" spans="15:15" x14ac:dyDescent="0.25">
      <c r="O17346" s="20" t="str">
        <f>IF(N17346="","",COUNTIFS(RawData[[Date ]],N17346,RawData[Month List],$Q$6,RawData[Tour/Site],$Q$2,RawData[[Picker ID ]],$Q$3,RawData[Checker ID],$Q$4,RawData[[Error Type ]],$Q$5))</f>
        <v/>
      </c>
    </row>
    <row r="17347" spans="15:15" x14ac:dyDescent="0.25">
      <c r="O17347" s="20" t="str">
        <f>IF(N17347="","",COUNTIFS(RawData[[Date ]],N17347,RawData[Month List],$Q$6,RawData[Tour/Site],$Q$2,RawData[[Picker ID ]],$Q$3,RawData[Checker ID],$Q$4,RawData[[Error Type ]],$Q$5))</f>
        <v/>
      </c>
    </row>
    <row r="17348" spans="15:15" x14ac:dyDescent="0.25">
      <c r="O17348" s="20" t="str">
        <f>IF(N17348="","",COUNTIFS(RawData[[Date ]],N17348,RawData[Month List],$Q$6,RawData[Tour/Site],$Q$2,RawData[[Picker ID ]],$Q$3,RawData[Checker ID],$Q$4,RawData[[Error Type ]],$Q$5))</f>
        <v/>
      </c>
    </row>
    <row r="17349" spans="15:15" x14ac:dyDescent="0.25">
      <c r="O17349" s="20" t="str">
        <f>IF(N17349="","",COUNTIFS(RawData[[Date ]],N17349,RawData[Month List],$Q$6,RawData[Tour/Site],$Q$2,RawData[[Picker ID ]],$Q$3,RawData[Checker ID],$Q$4,RawData[[Error Type ]],$Q$5))</f>
        <v/>
      </c>
    </row>
    <row r="17350" spans="15:15" x14ac:dyDescent="0.25">
      <c r="O17350" s="20" t="str">
        <f>IF(N17350="","",COUNTIFS(RawData[[Date ]],N17350,RawData[Month List],$Q$6,RawData[Tour/Site],$Q$2,RawData[[Picker ID ]],$Q$3,RawData[Checker ID],$Q$4,RawData[[Error Type ]],$Q$5))</f>
        <v/>
      </c>
    </row>
    <row r="17351" spans="15:15" x14ac:dyDescent="0.25">
      <c r="O17351" s="20" t="str">
        <f>IF(N17351="","",COUNTIFS(RawData[[Date ]],N17351,RawData[Month List],$Q$6,RawData[Tour/Site],$Q$2,RawData[[Picker ID ]],$Q$3,RawData[Checker ID],$Q$4,RawData[[Error Type ]],$Q$5))</f>
        <v/>
      </c>
    </row>
    <row r="17352" spans="15:15" x14ac:dyDescent="0.25">
      <c r="O17352" s="20" t="str">
        <f>IF(N17352="","",COUNTIFS(RawData[[Date ]],N17352,RawData[Month List],$Q$6,RawData[Tour/Site],$Q$2,RawData[[Picker ID ]],$Q$3,RawData[Checker ID],$Q$4,RawData[[Error Type ]],$Q$5))</f>
        <v/>
      </c>
    </row>
    <row r="17353" spans="15:15" x14ac:dyDescent="0.25">
      <c r="O17353" s="20" t="str">
        <f>IF(N17353="","",COUNTIFS(RawData[[Date ]],N17353,RawData[Month List],$Q$6,RawData[Tour/Site],$Q$2,RawData[[Picker ID ]],$Q$3,RawData[Checker ID],$Q$4,RawData[[Error Type ]],$Q$5))</f>
        <v/>
      </c>
    </row>
    <row r="17354" spans="15:15" x14ac:dyDescent="0.25">
      <c r="O17354" s="20" t="str">
        <f>IF(N17354="","",COUNTIFS(RawData[[Date ]],N17354,RawData[Month List],$Q$6,RawData[Tour/Site],$Q$2,RawData[[Picker ID ]],$Q$3,RawData[Checker ID],$Q$4,RawData[[Error Type ]],$Q$5))</f>
        <v/>
      </c>
    </row>
    <row r="17355" spans="15:15" x14ac:dyDescent="0.25">
      <c r="O17355" s="20" t="str">
        <f>IF(N17355="","",COUNTIFS(RawData[[Date ]],N17355,RawData[Month List],$Q$6,RawData[Tour/Site],$Q$2,RawData[[Picker ID ]],$Q$3,RawData[Checker ID],$Q$4,RawData[[Error Type ]],$Q$5))</f>
        <v/>
      </c>
    </row>
    <row r="17356" spans="15:15" x14ac:dyDescent="0.25">
      <c r="O17356" s="20" t="str">
        <f>IF(N17356="","",COUNTIFS(RawData[[Date ]],N17356,RawData[Month List],$Q$6,RawData[Tour/Site],$Q$2,RawData[[Picker ID ]],$Q$3,RawData[Checker ID],$Q$4,RawData[[Error Type ]],$Q$5))</f>
        <v/>
      </c>
    </row>
    <row r="17357" spans="15:15" x14ac:dyDescent="0.25">
      <c r="O17357" s="20" t="str">
        <f>IF(N17357="","",COUNTIFS(RawData[[Date ]],N17357,RawData[Month List],$Q$6,RawData[Tour/Site],$Q$2,RawData[[Picker ID ]],$Q$3,RawData[Checker ID],$Q$4,RawData[[Error Type ]],$Q$5))</f>
        <v/>
      </c>
    </row>
    <row r="17358" spans="15:15" x14ac:dyDescent="0.25">
      <c r="O17358" s="20" t="str">
        <f>IF(N17358="","",COUNTIFS(RawData[[Date ]],N17358,RawData[Month List],$Q$6,RawData[Tour/Site],$Q$2,RawData[[Picker ID ]],$Q$3,RawData[Checker ID],$Q$4,RawData[[Error Type ]],$Q$5))</f>
        <v/>
      </c>
    </row>
    <row r="17359" spans="15:15" x14ac:dyDescent="0.25">
      <c r="O17359" s="20" t="str">
        <f>IF(N17359="","",COUNTIFS(RawData[[Date ]],N17359,RawData[Month List],$Q$6,RawData[Tour/Site],$Q$2,RawData[[Picker ID ]],$Q$3,RawData[Checker ID],$Q$4,RawData[[Error Type ]],$Q$5))</f>
        <v/>
      </c>
    </row>
    <row r="17360" spans="15:15" x14ac:dyDescent="0.25">
      <c r="O17360" s="20" t="str">
        <f>IF(N17360="","",COUNTIFS(RawData[[Date ]],N17360,RawData[Month List],$Q$6,RawData[Tour/Site],$Q$2,RawData[[Picker ID ]],$Q$3,RawData[Checker ID],$Q$4,RawData[[Error Type ]],$Q$5))</f>
        <v/>
      </c>
    </row>
    <row r="17361" spans="15:15" x14ac:dyDescent="0.25">
      <c r="O17361" s="20" t="str">
        <f>IF(N17361="","",COUNTIFS(RawData[[Date ]],N17361,RawData[Month List],$Q$6,RawData[Tour/Site],$Q$2,RawData[[Picker ID ]],$Q$3,RawData[Checker ID],$Q$4,RawData[[Error Type ]],$Q$5))</f>
        <v/>
      </c>
    </row>
    <row r="17362" spans="15:15" x14ac:dyDescent="0.25">
      <c r="O17362" s="20" t="str">
        <f>IF(N17362="","",COUNTIFS(RawData[[Date ]],N17362,RawData[Month List],$Q$6,RawData[Tour/Site],$Q$2,RawData[[Picker ID ]],$Q$3,RawData[Checker ID],$Q$4,RawData[[Error Type ]],$Q$5))</f>
        <v/>
      </c>
    </row>
    <row r="17363" spans="15:15" x14ac:dyDescent="0.25">
      <c r="O17363" s="20" t="str">
        <f>IF(N17363="","",COUNTIFS(RawData[[Date ]],N17363,RawData[Month List],$Q$6,RawData[Tour/Site],$Q$2,RawData[[Picker ID ]],$Q$3,RawData[Checker ID],$Q$4,RawData[[Error Type ]],$Q$5))</f>
        <v/>
      </c>
    </row>
    <row r="17364" spans="15:15" x14ac:dyDescent="0.25">
      <c r="O17364" s="20" t="str">
        <f>IF(N17364="","",COUNTIFS(RawData[[Date ]],N17364,RawData[Month List],$Q$6,RawData[Tour/Site],$Q$2,RawData[[Picker ID ]],$Q$3,RawData[Checker ID],$Q$4,RawData[[Error Type ]],$Q$5))</f>
        <v/>
      </c>
    </row>
    <row r="17365" spans="15:15" x14ac:dyDescent="0.25">
      <c r="O17365" s="20" t="str">
        <f>IF(N17365="","",COUNTIFS(RawData[[Date ]],N17365,RawData[Month List],$Q$6,RawData[Tour/Site],$Q$2,RawData[[Picker ID ]],$Q$3,RawData[Checker ID],$Q$4,RawData[[Error Type ]],$Q$5))</f>
        <v/>
      </c>
    </row>
    <row r="17366" spans="15:15" x14ac:dyDescent="0.25">
      <c r="O17366" s="20" t="str">
        <f>IF(N17366="","",COUNTIFS(RawData[[Date ]],N17366,RawData[Month List],$Q$6,RawData[Tour/Site],$Q$2,RawData[[Picker ID ]],$Q$3,RawData[Checker ID],$Q$4,RawData[[Error Type ]],$Q$5))</f>
        <v/>
      </c>
    </row>
    <row r="17367" spans="15:15" x14ac:dyDescent="0.25">
      <c r="O17367" s="20" t="str">
        <f>IF(N17367="","",COUNTIFS(RawData[[Date ]],N17367,RawData[Month List],$Q$6,RawData[Tour/Site],$Q$2,RawData[[Picker ID ]],$Q$3,RawData[Checker ID],$Q$4,RawData[[Error Type ]],$Q$5))</f>
        <v/>
      </c>
    </row>
    <row r="17368" spans="15:15" x14ac:dyDescent="0.25">
      <c r="O17368" s="20" t="str">
        <f>IF(N17368="","",COUNTIFS(RawData[[Date ]],N17368,RawData[Month List],$Q$6,RawData[Tour/Site],$Q$2,RawData[[Picker ID ]],$Q$3,RawData[Checker ID],$Q$4,RawData[[Error Type ]],$Q$5))</f>
        <v/>
      </c>
    </row>
    <row r="17369" spans="15:15" x14ac:dyDescent="0.25">
      <c r="O17369" s="20" t="str">
        <f>IF(N17369="","",COUNTIFS(RawData[[Date ]],N17369,RawData[Month List],$Q$6,RawData[Tour/Site],$Q$2,RawData[[Picker ID ]],$Q$3,RawData[Checker ID],$Q$4,RawData[[Error Type ]],$Q$5))</f>
        <v/>
      </c>
    </row>
    <row r="17370" spans="15:15" x14ac:dyDescent="0.25">
      <c r="O17370" s="20" t="str">
        <f>IF(N17370="","",COUNTIFS(RawData[[Date ]],N17370,RawData[Month List],$Q$6,RawData[Tour/Site],$Q$2,RawData[[Picker ID ]],$Q$3,RawData[Checker ID],$Q$4,RawData[[Error Type ]],$Q$5))</f>
        <v/>
      </c>
    </row>
    <row r="17371" spans="15:15" x14ac:dyDescent="0.25">
      <c r="O17371" s="20" t="str">
        <f>IF(N17371="","",COUNTIFS(RawData[[Date ]],N17371,RawData[Month List],$Q$6,RawData[Tour/Site],$Q$2,RawData[[Picker ID ]],$Q$3,RawData[Checker ID],$Q$4,RawData[[Error Type ]],$Q$5))</f>
        <v/>
      </c>
    </row>
    <row r="17372" spans="15:15" x14ac:dyDescent="0.25">
      <c r="O17372" s="20" t="str">
        <f>IF(N17372="","",COUNTIFS(RawData[[Date ]],N17372,RawData[Month List],$Q$6,RawData[Tour/Site],$Q$2,RawData[[Picker ID ]],$Q$3,RawData[Checker ID],$Q$4,RawData[[Error Type ]],$Q$5))</f>
        <v/>
      </c>
    </row>
    <row r="17373" spans="15:15" x14ac:dyDescent="0.25">
      <c r="O17373" s="20" t="str">
        <f>IF(N17373="","",COUNTIFS(RawData[[Date ]],N17373,RawData[Month List],$Q$6,RawData[Tour/Site],$Q$2,RawData[[Picker ID ]],$Q$3,RawData[Checker ID],$Q$4,RawData[[Error Type ]],$Q$5))</f>
        <v/>
      </c>
    </row>
    <row r="17374" spans="15:15" x14ac:dyDescent="0.25">
      <c r="O17374" s="20" t="str">
        <f>IF(N17374="","",COUNTIFS(RawData[[Date ]],N17374,RawData[Month List],$Q$6,RawData[Tour/Site],$Q$2,RawData[[Picker ID ]],$Q$3,RawData[Checker ID],$Q$4,RawData[[Error Type ]],$Q$5))</f>
        <v/>
      </c>
    </row>
    <row r="17375" spans="15:15" x14ac:dyDescent="0.25">
      <c r="O17375" s="20" t="str">
        <f>IF(N17375="","",COUNTIFS(RawData[[Date ]],N17375,RawData[Month List],$Q$6,RawData[Tour/Site],$Q$2,RawData[[Picker ID ]],$Q$3,RawData[Checker ID],$Q$4,RawData[[Error Type ]],$Q$5))</f>
        <v/>
      </c>
    </row>
    <row r="17376" spans="15:15" x14ac:dyDescent="0.25">
      <c r="O17376" s="20" t="str">
        <f>IF(N17376="","",COUNTIFS(RawData[[Date ]],N17376,RawData[Month List],$Q$6,RawData[Tour/Site],$Q$2,RawData[[Picker ID ]],$Q$3,RawData[Checker ID],$Q$4,RawData[[Error Type ]],$Q$5))</f>
        <v/>
      </c>
    </row>
    <row r="17377" spans="15:15" x14ac:dyDescent="0.25">
      <c r="O17377" s="20" t="str">
        <f>IF(N17377="","",COUNTIFS(RawData[[Date ]],N17377,RawData[Month List],$Q$6,RawData[Tour/Site],$Q$2,RawData[[Picker ID ]],$Q$3,RawData[Checker ID],$Q$4,RawData[[Error Type ]],$Q$5))</f>
        <v/>
      </c>
    </row>
    <row r="17378" spans="15:15" x14ac:dyDescent="0.25">
      <c r="O17378" s="20" t="str">
        <f>IF(N17378="","",COUNTIFS(RawData[[Date ]],N17378,RawData[Month List],$Q$6,RawData[Tour/Site],$Q$2,RawData[[Picker ID ]],$Q$3,RawData[Checker ID],$Q$4,RawData[[Error Type ]],$Q$5))</f>
        <v/>
      </c>
    </row>
    <row r="17379" spans="15:15" x14ac:dyDescent="0.25">
      <c r="O17379" s="20" t="str">
        <f>IF(N17379="","",COUNTIFS(RawData[[Date ]],N17379,RawData[Month List],$Q$6,RawData[Tour/Site],$Q$2,RawData[[Picker ID ]],$Q$3,RawData[Checker ID],$Q$4,RawData[[Error Type ]],$Q$5))</f>
        <v/>
      </c>
    </row>
    <row r="17380" spans="15:15" x14ac:dyDescent="0.25">
      <c r="O17380" s="20" t="str">
        <f>IF(N17380="","",COUNTIFS(RawData[[Date ]],N17380,RawData[Month List],$Q$6,RawData[Tour/Site],$Q$2,RawData[[Picker ID ]],$Q$3,RawData[Checker ID],$Q$4,RawData[[Error Type ]],$Q$5))</f>
        <v/>
      </c>
    </row>
    <row r="17381" spans="15:15" x14ac:dyDescent="0.25">
      <c r="O17381" s="20" t="str">
        <f>IF(N17381="","",COUNTIFS(RawData[[Date ]],N17381,RawData[Month List],$Q$6,RawData[Tour/Site],$Q$2,RawData[[Picker ID ]],$Q$3,RawData[Checker ID],$Q$4,RawData[[Error Type ]],$Q$5))</f>
        <v/>
      </c>
    </row>
    <row r="17382" spans="15:15" x14ac:dyDescent="0.25">
      <c r="O17382" s="20" t="str">
        <f>IF(N17382="","",COUNTIFS(RawData[[Date ]],N17382,RawData[Month List],$Q$6,RawData[Tour/Site],$Q$2,RawData[[Picker ID ]],$Q$3,RawData[Checker ID],$Q$4,RawData[[Error Type ]],$Q$5))</f>
        <v/>
      </c>
    </row>
    <row r="17383" spans="15:15" x14ac:dyDescent="0.25">
      <c r="O17383" s="20" t="str">
        <f>IF(N17383="","",COUNTIFS(RawData[[Date ]],N17383,RawData[Month List],$Q$6,RawData[Tour/Site],$Q$2,RawData[[Picker ID ]],$Q$3,RawData[Checker ID],$Q$4,RawData[[Error Type ]],$Q$5))</f>
        <v/>
      </c>
    </row>
    <row r="17384" spans="15:15" x14ac:dyDescent="0.25">
      <c r="O17384" s="20" t="str">
        <f>IF(N17384="","",COUNTIFS(RawData[[Date ]],N17384,RawData[Month List],$Q$6,RawData[Tour/Site],$Q$2,RawData[[Picker ID ]],$Q$3,RawData[Checker ID],$Q$4,RawData[[Error Type ]],$Q$5))</f>
        <v/>
      </c>
    </row>
    <row r="17385" spans="15:15" x14ac:dyDescent="0.25">
      <c r="O17385" s="20" t="str">
        <f>IF(N17385="","",COUNTIFS(RawData[[Date ]],N17385,RawData[Month List],$Q$6,RawData[Tour/Site],$Q$2,RawData[[Picker ID ]],$Q$3,RawData[Checker ID],$Q$4,RawData[[Error Type ]],$Q$5))</f>
        <v/>
      </c>
    </row>
    <row r="17386" spans="15:15" x14ac:dyDescent="0.25">
      <c r="O17386" s="20" t="str">
        <f>IF(N17386="","",COUNTIFS(RawData[[Date ]],N17386,RawData[Month List],$Q$6,RawData[Tour/Site],$Q$2,RawData[[Picker ID ]],$Q$3,RawData[Checker ID],$Q$4,RawData[[Error Type ]],$Q$5))</f>
        <v/>
      </c>
    </row>
    <row r="17387" spans="15:15" x14ac:dyDescent="0.25">
      <c r="O17387" s="20" t="str">
        <f>IF(N17387="","",COUNTIFS(RawData[[Date ]],N17387,RawData[Month List],$Q$6,RawData[Tour/Site],$Q$2,RawData[[Picker ID ]],$Q$3,RawData[Checker ID],$Q$4,RawData[[Error Type ]],$Q$5))</f>
        <v/>
      </c>
    </row>
    <row r="17388" spans="15:15" x14ac:dyDescent="0.25">
      <c r="O17388" s="20" t="str">
        <f>IF(N17388="","",COUNTIFS(RawData[[Date ]],N17388,RawData[Month List],$Q$6,RawData[Tour/Site],$Q$2,RawData[[Picker ID ]],$Q$3,RawData[Checker ID],$Q$4,RawData[[Error Type ]],$Q$5))</f>
        <v/>
      </c>
    </row>
    <row r="17389" spans="15:15" x14ac:dyDescent="0.25">
      <c r="O17389" s="20" t="str">
        <f>IF(N17389="","",COUNTIFS(RawData[[Date ]],N17389,RawData[Month List],$Q$6,RawData[Tour/Site],$Q$2,RawData[[Picker ID ]],$Q$3,RawData[Checker ID],$Q$4,RawData[[Error Type ]],$Q$5))</f>
        <v/>
      </c>
    </row>
    <row r="17390" spans="15:15" x14ac:dyDescent="0.25">
      <c r="O17390" s="20" t="str">
        <f>IF(N17390="","",COUNTIFS(RawData[[Date ]],N17390,RawData[Month List],$Q$6,RawData[Tour/Site],$Q$2,RawData[[Picker ID ]],$Q$3,RawData[Checker ID],$Q$4,RawData[[Error Type ]],$Q$5))</f>
        <v/>
      </c>
    </row>
    <row r="17391" spans="15:15" x14ac:dyDescent="0.25">
      <c r="O17391" s="20" t="str">
        <f>IF(N17391="","",COUNTIFS(RawData[[Date ]],N17391,RawData[Month List],$Q$6,RawData[Tour/Site],$Q$2,RawData[[Picker ID ]],$Q$3,RawData[Checker ID],$Q$4,RawData[[Error Type ]],$Q$5))</f>
        <v/>
      </c>
    </row>
    <row r="17392" spans="15:15" x14ac:dyDescent="0.25">
      <c r="O17392" s="20" t="str">
        <f>IF(N17392="","",COUNTIFS(RawData[[Date ]],N17392,RawData[Month List],$Q$6,RawData[Tour/Site],$Q$2,RawData[[Picker ID ]],$Q$3,RawData[Checker ID],$Q$4,RawData[[Error Type ]],$Q$5))</f>
        <v/>
      </c>
    </row>
    <row r="17393" spans="15:15" x14ac:dyDescent="0.25">
      <c r="O17393" s="20" t="str">
        <f>IF(N17393="","",COUNTIFS(RawData[[Date ]],N17393,RawData[Month List],$Q$6,RawData[Tour/Site],$Q$2,RawData[[Picker ID ]],$Q$3,RawData[Checker ID],$Q$4,RawData[[Error Type ]],$Q$5))</f>
        <v/>
      </c>
    </row>
    <row r="17394" spans="15:15" x14ac:dyDescent="0.25">
      <c r="O17394" s="20" t="str">
        <f>IF(N17394="","",COUNTIFS(RawData[[Date ]],N17394,RawData[Month List],$Q$6,RawData[Tour/Site],$Q$2,RawData[[Picker ID ]],$Q$3,RawData[Checker ID],$Q$4,RawData[[Error Type ]],$Q$5))</f>
        <v/>
      </c>
    </row>
    <row r="17395" spans="15:15" x14ac:dyDescent="0.25">
      <c r="O17395" s="20" t="str">
        <f>IF(N17395="","",COUNTIFS(RawData[[Date ]],N17395,RawData[Month List],$Q$6,RawData[Tour/Site],$Q$2,RawData[[Picker ID ]],$Q$3,RawData[Checker ID],$Q$4,RawData[[Error Type ]],$Q$5))</f>
        <v/>
      </c>
    </row>
    <row r="17396" spans="15:15" x14ac:dyDescent="0.25">
      <c r="O17396" s="20" t="str">
        <f>IF(N17396="","",COUNTIFS(RawData[[Date ]],N17396,RawData[Month List],$Q$6,RawData[Tour/Site],$Q$2,RawData[[Picker ID ]],$Q$3,RawData[Checker ID],$Q$4,RawData[[Error Type ]],$Q$5))</f>
        <v/>
      </c>
    </row>
    <row r="17397" spans="15:15" x14ac:dyDescent="0.25">
      <c r="O17397" s="20" t="str">
        <f>IF(N17397="","",COUNTIFS(RawData[[Date ]],N17397,RawData[Month List],$Q$6,RawData[Tour/Site],$Q$2,RawData[[Picker ID ]],$Q$3,RawData[Checker ID],$Q$4,RawData[[Error Type ]],$Q$5))</f>
        <v/>
      </c>
    </row>
    <row r="17398" spans="15:15" x14ac:dyDescent="0.25">
      <c r="O17398" s="20" t="str">
        <f>IF(N17398="","",COUNTIFS(RawData[[Date ]],N17398,RawData[Month List],$Q$6,RawData[Tour/Site],$Q$2,RawData[[Picker ID ]],$Q$3,RawData[Checker ID],$Q$4,RawData[[Error Type ]],$Q$5))</f>
        <v/>
      </c>
    </row>
    <row r="17399" spans="15:15" x14ac:dyDescent="0.25">
      <c r="O17399" s="20" t="str">
        <f>IF(N17399="","",COUNTIFS(RawData[[Date ]],N17399,RawData[Month List],$Q$6,RawData[Tour/Site],$Q$2,RawData[[Picker ID ]],$Q$3,RawData[Checker ID],$Q$4,RawData[[Error Type ]],$Q$5))</f>
        <v/>
      </c>
    </row>
    <row r="17400" spans="15:15" x14ac:dyDescent="0.25">
      <c r="O17400" s="20" t="str">
        <f>IF(N17400="","",COUNTIFS(RawData[[Date ]],N17400,RawData[Month List],$Q$6,RawData[Tour/Site],$Q$2,RawData[[Picker ID ]],$Q$3,RawData[Checker ID],$Q$4,RawData[[Error Type ]],$Q$5))</f>
        <v/>
      </c>
    </row>
    <row r="17401" spans="15:15" x14ac:dyDescent="0.25">
      <c r="O17401" s="20" t="str">
        <f>IF(N17401="","",COUNTIFS(RawData[[Date ]],N17401,RawData[Month List],$Q$6,RawData[Tour/Site],$Q$2,RawData[[Picker ID ]],$Q$3,RawData[Checker ID],$Q$4,RawData[[Error Type ]],$Q$5))</f>
        <v/>
      </c>
    </row>
    <row r="17402" spans="15:15" x14ac:dyDescent="0.25">
      <c r="O17402" s="20" t="str">
        <f>IF(N17402="","",COUNTIFS(RawData[[Date ]],N17402,RawData[Month List],$Q$6,RawData[Tour/Site],$Q$2,RawData[[Picker ID ]],$Q$3,RawData[Checker ID],$Q$4,RawData[[Error Type ]],$Q$5))</f>
        <v/>
      </c>
    </row>
    <row r="17403" spans="15:15" x14ac:dyDescent="0.25">
      <c r="O17403" s="20" t="str">
        <f>IF(N17403="","",COUNTIFS(RawData[[Date ]],N17403,RawData[Month List],$Q$6,RawData[Tour/Site],$Q$2,RawData[[Picker ID ]],$Q$3,RawData[Checker ID],$Q$4,RawData[[Error Type ]],$Q$5))</f>
        <v/>
      </c>
    </row>
    <row r="17404" spans="15:15" x14ac:dyDescent="0.25">
      <c r="O17404" s="20" t="str">
        <f>IF(N17404="","",COUNTIFS(RawData[[Date ]],N17404,RawData[Month List],$Q$6,RawData[Tour/Site],$Q$2,RawData[[Picker ID ]],$Q$3,RawData[Checker ID],$Q$4,RawData[[Error Type ]],$Q$5))</f>
        <v/>
      </c>
    </row>
    <row r="17405" spans="15:15" x14ac:dyDescent="0.25">
      <c r="O17405" s="20" t="str">
        <f>IF(N17405="","",COUNTIFS(RawData[[Date ]],N17405,RawData[Month List],$Q$6,RawData[Tour/Site],$Q$2,RawData[[Picker ID ]],$Q$3,RawData[Checker ID],$Q$4,RawData[[Error Type ]],$Q$5))</f>
        <v/>
      </c>
    </row>
    <row r="17406" spans="15:15" x14ac:dyDescent="0.25">
      <c r="O17406" s="20" t="str">
        <f>IF(N17406="","",COUNTIFS(RawData[[Date ]],N17406,RawData[Month List],$Q$6,RawData[Tour/Site],$Q$2,RawData[[Picker ID ]],$Q$3,RawData[Checker ID],$Q$4,RawData[[Error Type ]],$Q$5))</f>
        <v/>
      </c>
    </row>
    <row r="17407" spans="15:15" x14ac:dyDescent="0.25">
      <c r="O17407" s="20" t="str">
        <f>IF(N17407="","",COUNTIFS(RawData[[Date ]],N17407,RawData[Month List],$Q$6,RawData[Tour/Site],$Q$2,RawData[[Picker ID ]],$Q$3,RawData[Checker ID],$Q$4,RawData[[Error Type ]],$Q$5))</f>
        <v/>
      </c>
    </row>
    <row r="17408" spans="15:15" x14ac:dyDescent="0.25">
      <c r="O17408" s="20" t="str">
        <f>IF(N17408="","",COUNTIFS(RawData[[Date ]],N17408,RawData[Month List],$Q$6,RawData[Tour/Site],$Q$2,RawData[[Picker ID ]],$Q$3,RawData[Checker ID],$Q$4,RawData[[Error Type ]],$Q$5))</f>
        <v/>
      </c>
    </row>
    <row r="17409" spans="15:15" x14ac:dyDescent="0.25">
      <c r="O17409" s="20" t="str">
        <f>IF(N17409="","",COUNTIFS(RawData[[Date ]],N17409,RawData[Month List],$Q$6,RawData[Tour/Site],$Q$2,RawData[[Picker ID ]],$Q$3,RawData[Checker ID],$Q$4,RawData[[Error Type ]],$Q$5))</f>
        <v/>
      </c>
    </row>
    <row r="17410" spans="15:15" x14ac:dyDescent="0.25">
      <c r="O17410" s="20" t="str">
        <f>IF(N17410="","",COUNTIFS(RawData[[Date ]],N17410,RawData[Month List],$Q$6,RawData[Tour/Site],$Q$2,RawData[[Picker ID ]],$Q$3,RawData[Checker ID],$Q$4,RawData[[Error Type ]],$Q$5))</f>
        <v/>
      </c>
    </row>
    <row r="17411" spans="15:15" x14ac:dyDescent="0.25">
      <c r="O17411" s="20" t="str">
        <f>IF(N17411="","",COUNTIFS(RawData[[Date ]],N17411,RawData[Month List],$Q$6,RawData[Tour/Site],$Q$2,RawData[[Picker ID ]],$Q$3,RawData[Checker ID],$Q$4,RawData[[Error Type ]],$Q$5))</f>
        <v/>
      </c>
    </row>
    <row r="17412" spans="15:15" x14ac:dyDescent="0.25">
      <c r="O17412" s="20" t="str">
        <f>IF(N17412="","",COUNTIFS(RawData[[Date ]],N17412,RawData[Month List],$Q$6,RawData[Tour/Site],$Q$2,RawData[[Picker ID ]],$Q$3,RawData[Checker ID],$Q$4,RawData[[Error Type ]],$Q$5))</f>
        <v/>
      </c>
    </row>
    <row r="17413" spans="15:15" x14ac:dyDescent="0.25">
      <c r="O17413" s="20" t="str">
        <f>IF(N17413="","",COUNTIFS(RawData[[Date ]],N17413,RawData[Month List],$Q$6,RawData[Tour/Site],$Q$2,RawData[[Picker ID ]],$Q$3,RawData[Checker ID],$Q$4,RawData[[Error Type ]],$Q$5))</f>
        <v/>
      </c>
    </row>
    <row r="17414" spans="15:15" x14ac:dyDescent="0.25">
      <c r="O17414" s="20" t="str">
        <f>IF(N17414="","",COUNTIFS(RawData[[Date ]],N17414,RawData[Month List],$Q$6,RawData[Tour/Site],$Q$2,RawData[[Picker ID ]],$Q$3,RawData[Checker ID],$Q$4,RawData[[Error Type ]],$Q$5))</f>
        <v/>
      </c>
    </row>
    <row r="17415" spans="15:15" x14ac:dyDescent="0.25">
      <c r="O17415" s="20" t="str">
        <f>IF(N17415="","",COUNTIFS(RawData[[Date ]],N17415,RawData[Month List],$Q$6,RawData[Tour/Site],$Q$2,RawData[[Picker ID ]],$Q$3,RawData[Checker ID],$Q$4,RawData[[Error Type ]],$Q$5))</f>
        <v/>
      </c>
    </row>
    <row r="17416" spans="15:15" x14ac:dyDescent="0.25">
      <c r="O17416" s="20" t="str">
        <f>IF(N17416="","",COUNTIFS(RawData[[Date ]],N17416,RawData[Month List],$Q$6,RawData[Tour/Site],$Q$2,RawData[[Picker ID ]],$Q$3,RawData[Checker ID],$Q$4,RawData[[Error Type ]],$Q$5))</f>
        <v/>
      </c>
    </row>
    <row r="17417" spans="15:15" x14ac:dyDescent="0.25">
      <c r="O17417" s="20" t="str">
        <f>IF(N17417="","",COUNTIFS(RawData[[Date ]],N17417,RawData[Month List],$Q$6,RawData[Tour/Site],$Q$2,RawData[[Picker ID ]],$Q$3,RawData[Checker ID],$Q$4,RawData[[Error Type ]],$Q$5))</f>
        <v/>
      </c>
    </row>
    <row r="17418" spans="15:15" x14ac:dyDescent="0.25">
      <c r="O17418" s="20" t="str">
        <f>IF(N17418="","",COUNTIFS(RawData[[Date ]],N17418,RawData[Month List],$Q$6,RawData[Tour/Site],$Q$2,RawData[[Picker ID ]],$Q$3,RawData[Checker ID],$Q$4,RawData[[Error Type ]],$Q$5))</f>
        <v/>
      </c>
    </row>
    <row r="17419" spans="15:15" x14ac:dyDescent="0.25">
      <c r="O17419" s="20" t="str">
        <f>IF(N17419="","",COUNTIFS(RawData[[Date ]],N17419,RawData[Month List],$Q$6,RawData[Tour/Site],$Q$2,RawData[[Picker ID ]],$Q$3,RawData[Checker ID],$Q$4,RawData[[Error Type ]],$Q$5))</f>
        <v/>
      </c>
    </row>
    <row r="17420" spans="15:15" x14ac:dyDescent="0.25">
      <c r="O17420" s="20" t="str">
        <f>IF(N17420="","",COUNTIFS(RawData[[Date ]],N17420,RawData[Month List],$Q$6,RawData[Tour/Site],$Q$2,RawData[[Picker ID ]],$Q$3,RawData[Checker ID],$Q$4,RawData[[Error Type ]],$Q$5))</f>
        <v/>
      </c>
    </row>
    <row r="17421" spans="15:15" x14ac:dyDescent="0.25">
      <c r="O17421" s="20" t="str">
        <f>IF(N17421="","",COUNTIFS(RawData[[Date ]],N17421,RawData[Month List],$Q$6,RawData[Tour/Site],$Q$2,RawData[[Picker ID ]],$Q$3,RawData[Checker ID],$Q$4,RawData[[Error Type ]],$Q$5))</f>
        <v/>
      </c>
    </row>
    <row r="17422" spans="15:15" x14ac:dyDescent="0.25">
      <c r="O17422" s="20" t="str">
        <f>IF(N17422="","",COUNTIFS(RawData[[Date ]],N17422,RawData[Month List],$Q$6,RawData[Tour/Site],$Q$2,RawData[[Picker ID ]],$Q$3,RawData[Checker ID],$Q$4,RawData[[Error Type ]],$Q$5))</f>
        <v/>
      </c>
    </row>
    <row r="17423" spans="15:15" x14ac:dyDescent="0.25">
      <c r="O17423" s="20" t="str">
        <f>IF(N17423="","",COUNTIFS(RawData[[Date ]],N17423,RawData[Month List],$Q$6,RawData[Tour/Site],$Q$2,RawData[[Picker ID ]],$Q$3,RawData[Checker ID],$Q$4,RawData[[Error Type ]],$Q$5))</f>
        <v/>
      </c>
    </row>
    <row r="17424" spans="15:15" x14ac:dyDescent="0.25">
      <c r="O17424" s="20" t="str">
        <f>IF(N17424="","",COUNTIFS(RawData[[Date ]],N17424,RawData[Month List],$Q$6,RawData[Tour/Site],$Q$2,RawData[[Picker ID ]],$Q$3,RawData[Checker ID],$Q$4,RawData[[Error Type ]],$Q$5))</f>
        <v/>
      </c>
    </row>
    <row r="17425" spans="15:15" x14ac:dyDescent="0.25">
      <c r="O17425" s="20" t="str">
        <f>IF(N17425="","",COUNTIFS(RawData[[Date ]],N17425,RawData[Month List],$Q$6,RawData[Tour/Site],$Q$2,RawData[[Picker ID ]],$Q$3,RawData[Checker ID],$Q$4,RawData[[Error Type ]],$Q$5))</f>
        <v/>
      </c>
    </row>
    <row r="17426" spans="15:15" x14ac:dyDescent="0.25">
      <c r="O17426" s="20" t="str">
        <f>IF(N17426="","",COUNTIFS(RawData[[Date ]],N17426,RawData[Month List],$Q$6,RawData[Tour/Site],$Q$2,RawData[[Picker ID ]],$Q$3,RawData[Checker ID],$Q$4,RawData[[Error Type ]],$Q$5))</f>
        <v/>
      </c>
    </row>
    <row r="17427" spans="15:15" x14ac:dyDescent="0.25">
      <c r="O17427" s="20" t="str">
        <f>IF(N17427="","",COUNTIFS(RawData[[Date ]],N17427,RawData[Month List],$Q$6,RawData[Tour/Site],$Q$2,RawData[[Picker ID ]],$Q$3,RawData[Checker ID],$Q$4,RawData[[Error Type ]],$Q$5))</f>
        <v/>
      </c>
    </row>
    <row r="17428" spans="15:15" x14ac:dyDescent="0.25">
      <c r="O17428" s="20" t="str">
        <f>IF(N17428="","",COUNTIFS(RawData[[Date ]],N17428,RawData[Month List],$Q$6,RawData[Tour/Site],$Q$2,RawData[[Picker ID ]],$Q$3,RawData[Checker ID],$Q$4,RawData[[Error Type ]],$Q$5))</f>
        <v/>
      </c>
    </row>
    <row r="17429" spans="15:15" x14ac:dyDescent="0.25">
      <c r="O17429" s="20" t="str">
        <f>IF(N17429="","",COUNTIFS(RawData[[Date ]],N17429,RawData[Month List],$Q$6,RawData[Tour/Site],$Q$2,RawData[[Picker ID ]],$Q$3,RawData[Checker ID],$Q$4,RawData[[Error Type ]],$Q$5))</f>
        <v/>
      </c>
    </row>
    <row r="17430" spans="15:15" x14ac:dyDescent="0.25">
      <c r="O17430" s="20" t="str">
        <f>IF(N17430="","",COUNTIFS(RawData[[Date ]],N17430,RawData[Month List],$Q$6,RawData[Tour/Site],$Q$2,RawData[[Picker ID ]],$Q$3,RawData[Checker ID],$Q$4,RawData[[Error Type ]],$Q$5))</f>
        <v/>
      </c>
    </row>
    <row r="17431" spans="15:15" x14ac:dyDescent="0.25">
      <c r="O17431" s="20" t="str">
        <f>IF(N17431="","",COUNTIFS(RawData[[Date ]],N17431,RawData[Month List],$Q$6,RawData[Tour/Site],$Q$2,RawData[[Picker ID ]],$Q$3,RawData[Checker ID],$Q$4,RawData[[Error Type ]],$Q$5))</f>
        <v/>
      </c>
    </row>
    <row r="17432" spans="15:15" x14ac:dyDescent="0.25">
      <c r="O17432" s="20" t="str">
        <f>IF(N17432="","",COUNTIFS(RawData[[Date ]],N17432,RawData[Month List],$Q$6,RawData[Tour/Site],$Q$2,RawData[[Picker ID ]],$Q$3,RawData[Checker ID],$Q$4,RawData[[Error Type ]],$Q$5))</f>
        <v/>
      </c>
    </row>
    <row r="17433" spans="15:15" x14ac:dyDescent="0.25">
      <c r="O17433" s="20" t="str">
        <f>IF(N17433="","",COUNTIFS(RawData[[Date ]],N17433,RawData[Month List],$Q$6,RawData[Tour/Site],$Q$2,RawData[[Picker ID ]],$Q$3,RawData[Checker ID],$Q$4,RawData[[Error Type ]],$Q$5))</f>
        <v/>
      </c>
    </row>
    <row r="17434" spans="15:15" x14ac:dyDescent="0.25">
      <c r="O17434" s="20" t="str">
        <f>IF(N17434="","",COUNTIFS(RawData[[Date ]],N17434,RawData[Month List],$Q$6,RawData[Tour/Site],$Q$2,RawData[[Picker ID ]],$Q$3,RawData[Checker ID],$Q$4,RawData[[Error Type ]],$Q$5))</f>
        <v/>
      </c>
    </row>
    <row r="17435" spans="15:15" x14ac:dyDescent="0.25">
      <c r="O17435" s="20" t="str">
        <f>IF(N17435="","",COUNTIFS(RawData[[Date ]],N17435,RawData[Month List],$Q$6,RawData[Tour/Site],$Q$2,RawData[[Picker ID ]],$Q$3,RawData[Checker ID],$Q$4,RawData[[Error Type ]],$Q$5))</f>
        <v/>
      </c>
    </row>
    <row r="17436" spans="15:15" x14ac:dyDescent="0.25">
      <c r="O17436" s="20" t="str">
        <f>IF(N17436="","",COUNTIFS(RawData[[Date ]],N17436,RawData[Month List],$Q$6,RawData[Tour/Site],$Q$2,RawData[[Picker ID ]],$Q$3,RawData[Checker ID],$Q$4,RawData[[Error Type ]],$Q$5))</f>
        <v/>
      </c>
    </row>
    <row r="17437" spans="15:15" x14ac:dyDescent="0.25">
      <c r="O17437" s="20" t="str">
        <f>IF(N17437="","",COUNTIFS(RawData[[Date ]],N17437,RawData[Month List],$Q$6,RawData[Tour/Site],$Q$2,RawData[[Picker ID ]],$Q$3,RawData[Checker ID],$Q$4,RawData[[Error Type ]],$Q$5))</f>
        <v/>
      </c>
    </row>
    <row r="17438" spans="15:15" x14ac:dyDescent="0.25">
      <c r="O17438" s="20" t="str">
        <f>IF(N17438="","",COUNTIFS(RawData[[Date ]],N17438,RawData[Month List],$Q$6,RawData[Tour/Site],$Q$2,RawData[[Picker ID ]],$Q$3,RawData[Checker ID],$Q$4,RawData[[Error Type ]],$Q$5))</f>
        <v/>
      </c>
    </row>
    <row r="17439" spans="15:15" x14ac:dyDescent="0.25">
      <c r="O17439" s="20" t="str">
        <f>IF(N17439="","",COUNTIFS(RawData[[Date ]],N17439,RawData[Month List],$Q$6,RawData[Tour/Site],$Q$2,RawData[[Picker ID ]],$Q$3,RawData[Checker ID],$Q$4,RawData[[Error Type ]],$Q$5))</f>
        <v/>
      </c>
    </row>
    <row r="17440" spans="15:15" x14ac:dyDescent="0.25">
      <c r="O17440" s="20" t="str">
        <f>IF(N17440="","",COUNTIFS(RawData[[Date ]],N17440,RawData[Month List],$Q$6,RawData[Tour/Site],$Q$2,RawData[[Picker ID ]],$Q$3,RawData[Checker ID],$Q$4,RawData[[Error Type ]],$Q$5))</f>
        <v/>
      </c>
    </row>
    <row r="17441" spans="15:15" x14ac:dyDescent="0.25">
      <c r="O17441" s="20" t="str">
        <f>IF(N17441="","",COUNTIFS(RawData[[Date ]],N17441,RawData[Month List],$Q$6,RawData[Tour/Site],$Q$2,RawData[[Picker ID ]],$Q$3,RawData[Checker ID],$Q$4,RawData[[Error Type ]],$Q$5))</f>
        <v/>
      </c>
    </row>
    <row r="17442" spans="15:15" x14ac:dyDescent="0.25">
      <c r="O17442" s="20" t="str">
        <f>IF(N17442="","",COUNTIFS(RawData[[Date ]],N17442,RawData[Month List],$Q$6,RawData[Tour/Site],$Q$2,RawData[[Picker ID ]],$Q$3,RawData[Checker ID],$Q$4,RawData[[Error Type ]],$Q$5))</f>
        <v/>
      </c>
    </row>
    <row r="17443" spans="15:15" x14ac:dyDescent="0.25">
      <c r="O17443" s="20" t="str">
        <f>IF(N17443="","",COUNTIFS(RawData[[Date ]],N17443,RawData[Month List],$Q$6,RawData[Tour/Site],$Q$2,RawData[[Picker ID ]],$Q$3,RawData[Checker ID],$Q$4,RawData[[Error Type ]],$Q$5))</f>
        <v/>
      </c>
    </row>
    <row r="17444" spans="15:15" x14ac:dyDescent="0.25">
      <c r="O17444" s="20" t="str">
        <f>IF(N17444="","",COUNTIFS(RawData[[Date ]],N17444,RawData[Month List],$Q$6,RawData[Tour/Site],$Q$2,RawData[[Picker ID ]],$Q$3,RawData[Checker ID],$Q$4,RawData[[Error Type ]],$Q$5))</f>
        <v/>
      </c>
    </row>
    <row r="17445" spans="15:15" x14ac:dyDescent="0.25">
      <c r="O17445" s="20" t="str">
        <f>IF(N17445="","",COUNTIFS(RawData[[Date ]],N17445,RawData[Month List],$Q$6,RawData[Tour/Site],$Q$2,RawData[[Picker ID ]],$Q$3,RawData[Checker ID],$Q$4,RawData[[Error Type ]],$Q$5))</f>
        <v/>
      </c>
    </row>
    <row r="17446" spans="15:15" x14ac:dyDescent="0.25">
      <c r="O17446" s="20" t="str">
        <f>IF(N17446="","",COUNTIFS(RawData[[Date ]],N17446,RawData[Month List],$Q$6,RawData[Tour/Site],$Q$2,RawData[[Picker ID ]],$Q$3,RawData[Checker ID],$Q$4,RawData[[Error Type ]],$Q$5))</f>
        <v/>
      </c>
    </row>
    <row r="17447" spans="15:15" x14ac:dyDescent="0.25">
      <c r="O17447" s="20" t="str">
        <f>IF(N17447="","",COUNTIFS(RawData[[Date ]],N17447,RawData[Month List],$Q$6,RawData[Tour/Site],$Q$2,RawData[[Picker ID ]],$Q$3,RawData[Checker ID],$Q$4,RawData[[Error Type ]],$Q$5))</f>
        <v/>
      </c>
    </row>
    <row r="17448" spans="15:15" x14ac:dyDescent="0.25">
      <c r="O17448" s="20" t="str">
        <f>IF(N17448="","",COUNTIFS(RawData[[Date ]],N17448,RawData[Month List],$Q$6,RawData[Tour/Site],$Q$2,RawData[[Picker ID ]],$Q$3,RawData[Checker ID],$Q$4,RawData[[Error Type ]],$Q$5))</f>
        <v/>
      </c>
    </row>
    <row r="17449" spans="15:15" x14ac:dyDescent="0.25">
      <c r="O17449" s="20" t="str">
        <f>IF(N17449="","",COUNTIFS(RawData[[Date ]],N17449,RawData[Month List],$Q$6,RawData[Tour/Site],$Q$2,RawData[[Picker ID ]],$Q$3,RawData[Checker ID],$Q$4,RawData[[Error Type ]],$Q$5))</f>
        <v/>
      </c>
    </row>
    <row r="17450" spans="15:15" x14ac:dyDescent="0.25">
      <c r="O17450" s="20" t="str">
        <f>IF(N17450="","",COUNTIFS(RawData[[Date ]],N17450,RawData[Month List],$Q$6,RawData[Tour/Site],$Q$2,RawData[[Picker ID ]],$Q$3,RawData[Checker ID],$Q$4,RawData[[Error Type ]],$Q$5))</f>
        <v/>
      </c>
    </row>
    <row r="17451" spans="15:15" x14ac:dyDescent="0.25">
      <c r="O17451" s="20" t="str">
        <f>IF(N17451="","",COUNTIFS(RawData[[Date ]],N17451,RawData[Month List],$Q$6,RawData[Tour/Site],$Q$2,RawData[[Picker ID ]],$Q$3,RawData[Checker ID],$Q$4,RawData[[Error Type ]],$Q$5))</f>
        <v/>
      </c>
    </row>
    <row r="17452" spans="15:15" x14ac:dyDescent="0.25">
      <c r="O17452" s="20" t="str">
        <f>IF(N17452="","",COUNTIFS(RawData[[Date ]],N17452,RawData[Month List],$Q$6,RawData[Tour/Site],$Q$2,RawData[[Picker ID ]],$Q$3,RawData[Checker ID],$Q$4,RawData[[Error Type ]],$Q$5))</f>
        <v/>
      </c>
    </row>
    <row r="17453" spans="15:15" x14ac:dyDescent="0.25">
      <c r="O17453" s="20" t="str">
        <f>IF(N17453="","",COUNTIFS(RawData[[Date ]],N17453,RawData[Month List],$Q$6,RawData[Tour/Site],$Q$2,RawData[[Picker ID ]],$Q$3,RawData[Checker ID],$Q$4,RawData[[Error Type ]],$Q$5))</f>
        <v/>
      </c>
    </row>
    <row r="17454" spans="15:15" x14ac:dyDescent="0.25">
      <c r="O17454" s="20" t="str">
        <f>IF(N17454="","",COUNTIFS(RawData[[Date ]],N17454,RawData[Month List],$Q$6,RawData[Tour/Site],$Q$2,RawData[[Picker ID ]],$Q$3,RawData[Checker ID],$Q$4,RawData[[Error Type ]],$Q$5))</f>
        <v/>
      </c>
    </row>
    <row r="17455" spans="15:15" x14ac:dyDescent="0.25">
      <c r="O17455" s="20" t="str">
        <f>IF(N17455="","",COUNTIFS(RawData[[Date ]],N17455,RawData[Month List],$Q$6,RawData[Tour/Site],$Q$2,RawData[[Picker ID ]],$Q$3,RawData[Checker ID],$Q$4,RawData[[Error Type ]],$Q$5))</f>
        <v/>
      </c>
    </row>
    <row r="17456" spans="15:15" x14ac:dyDescent="0.25">
      <c r="O17456" s="20" t="str">
        <f>IF(N17456="","",COUNTIFS(RawData[[Date ]],N17456,RawData[Month List],$Q$6,RawData[Tour/Site],$Q$2,RawData[[Picker ID ]],$Q$3,RawData[Checker ID],$Q$4,RawData[[Error Type ]],$Q$5))</f>
        <v/>
      </c>
    </row>
    <row r="17457" spans="15:15" x14ac:dyDescent="0.25">
      <c r="O17457" s="20" t="str">
        <f>IF(N17457="","",COUNTIFS(RawData[[Date ]],N17457,RawData[Month List],$Q$6,RawData[Tour/Site],$Q$2,RawData[[Picker ID ]],$Q$3,RawData[Checker ID],$Q$4,RawData[[Error Type ]],$Q$5))</f>
        <v/>
      </c>
    </row>
    <row r="17458" spans="15:15" x14ac:dyDescent="0.25">
      <c r="O17458" s="20" t="str">
        <f>IF(N17458="","",COUNTIFS(RawData[[Date ]],N17458,RawData[Month List],$Q$6,RawData[Tour/Site],$Q$2,RawData[[Picker ID ]],$Q$3,RawData[Checker ID],$Q$4,RawData[[Error Type ]],$Q$5))</f>
        <v/>
      </c>
    </row>
    <row r="17459" spans="15:15" x14ac:dyDescent="0.25">
      <c r="O17459" s="20" t="str">
        <f>IF(N17459="","",COUNTIFS(RawData[[Date ]],N17459,RawData[Month List],$Q$6,RawData[Tour/Site],$Q$2,RawData[[Picker ID ]],$Q$3,RawData[Checker ID],$Q$4,RawData[[Error Type ]],$Q$5))</f>
        <v/>
      </c>
    </row>
    <row r="17460" spans="15:15" x14ac:dyDescent="0.25">
      <c r="O17460" s="20" t="str">
        <f>IF(N17460="","",COUNTIFS(RawData[[Date ]],N17460,RawData[Month List],$Q$6,RawData[Tour/Site],$Q$2,RawData[[Picker ID ]],$Q$3,RawData[Checker ID],$Q$4,RawData[[Error Type ]],$Q$5))</f>
        <v/>
      </c>
    </row>
    <row r="17461" spans="15:15" x14ac:dyDescent="0.25">
      <c r="O17461" s="20" t="str">
        <f>IF(N17461="","",COUNTIFS(RawData[[Date ]],N17461,RawData[Month List],$Q$6,RawData[Tour/Site],$Q$2,RawData[[Picker ID ]],$Q$3,RawData[Checker ID],$Q$4,RawData[[Error Type ]],$Q$5))</f>
        <v/>
      </c>
    </row>
    <row r="17462" spans="15:15" x14ac:dyDescent="0.25">
      <c r="O17462" s="20" t="str">
        <f>IF(N17462="","",COUNTIFS(RawData[[Date ]],N17462,RawData[Month List],$Q$6,RawData[Tour/Site],$Q$2,RawData[[Picker ID ]],$Q$3,RawData[Checker ID],$Q$4,RawData[[Error Type ]],$Q$5))</f>
        <v/>
      </c>
    </row>
    <row r="17463" spans="15:15" x14ac:dyDescent="0.25">
      <c r="O17463" s="20" t="str">
        <f>IF(N17463="","",COUNTIFS(RawData[[Date ]],N17463,RawData[Month List],$Q$6,RawData[Tour/Site],$Q$2,RawData[[Picker ID ]],$Q$3,RawData[Checker ID],$Q$4,RawData[[Error Type ]],$Q$5))</f>
        <v/>
      </c>
    </row>
    <row r="17464" spans="15:15" x14ac:dyDescent="0.25">
      <c r="O17464" s="20" t="str">
        <f>IF(N17464="","",COUNTIFS(RawData[[Date ]],N17464,RawData[Month List],$Q$6,RawData[Tour/Site],$Q$2,RawData[[Picker ID ]],$Q$3,RawData[Checker ID],$Q$4,RawData[[Error Type ]],$Q$5))</f>
        <v/>
      </c>
    </row>
    <row r="17465" spans="15:15" x14ac:dyDescent="0.25">
      <c r="O17465" s="20" t="str">
        <f>IF(N17465="","",COUNTIFS(RawData[[Date ]],N17465,RawData[Month List],$Q$6,RawData[Tour/Site],$Q$2,RawData[[Picker ID ]],$Q$3,RawData[Checker ID],$Q$4,RawData[[Error Type ]],$Q$5))</f>
        <v/>
      </c>
    </row>
    <row r="17466" spans="15:15" x14ac:dyDescent="0.25">
      <c r="O17466" s="20" t="str">
        <f>IF(N17466="","",COUNTIFS(RawData[[Date ]],N17466,RawData[Month List],$Q$6,RawData[Tour/Site],$Q$2,RawData[[Picker ID ]],$Q$3,RawData[Checker ID],$Q$4,RawData[[Error Type ]],$Q$5))</f>
        <v/>
      </c>
    </row>
    <row r="17467" spans="15:15" x14ac:dyDescent="0.25">
      <c r="O17467" s="20" t="str">
        <f>IF(N17467="","",COUNTIFS(RawData[[Date ]],N17467,RawData[Month List],$Q$6,RawData[Tour/Site],$Q$2,RawData[[Picker ID ]],$Q$3,RawData[Checker ID],$Q$4,RawData[[Error Type ]],$Q$5))</f>
        <v/>
      </c>
    </row>
    <row r="17468" spans="15:15" x14ac:dyDescent="0.25">
      <c r="O17468" s="20" t="str">
        <f>IF(N17468="","",COUNTIFS(RawData[[Date ]],N17468,RawData[Month List],$Q$6,RawData[Tour/Site],$Q$2,RawData[[Picker ID ]],$Q$3,RawData[Checker ID],$Q$4,RawData[[Error Type ]],$Q$5))</f>
        <v/>
      </c>
    </row>
    <row r="17469" spans="15:15" x14ac:dyDescent="0.25">
      <c r="O17469" s="20" t="str">
        <f>IF(N17469="","",COUNTIFS(RawData[[Date ]],N17469,RawData[Month List],$Q$6,RawData[Tour/Site],$Q$2,RawData[[Picker ID ]],$Q$3,RawData[Checker ID],$Q$4,RawData[[Error Type ]],$Q$5))</f>
        <v/>
      </c>
    </row>
    <row r="17470" spans="15:15" x14ac:dyDescent="0.25">
      <c r="O17470" s="20" t="str">
        <f>IF(N17470="","",COUNTIFS(RawData[[Date ]],N17470,RawData[Month List],$Q$6,RawData[Tour/Site],$Q$2,RawData[[Picker ID ]],$Q$3,RawData[Checker ID],$Q$4,RawData[[Error Type ]],$Q$5))</f>
        <v/>
      </c>
    </row>
    <row r="17471" spans="15:15" x14ac:dyDescent="0.25">
      <c r="O17471" s="20" t="str">
        <f>IF(N17471="","",COUNTIFS(RawData[[Date ]],N17471,RawData[Month List],$Q$6,RawData[Tour/Site],$Q$2,RawData[[Picker ID ]],$Q$3,RawData[Checker ID],$Q$4,RawData[[Error Type ]],$Q$5))</f>
        <v/>
      </c>
    </row>
    <row r="17472" spans="15:15" x14ac:dyDescent="0.25">
      <c r="O17472" s="20" t="str">
        <f>IF(N17472="","",COUNTIFS(RawData[[Date ]],N17472,RawData[Month List],$Q$6,RawData[Tour/Site],$Q$2,RawData[[Picker ID ]],$Q$3,RawData[Checker ID],$Q$4,RawData[[Error Type ]],$Q$5))</f>
        <v/>
      </c>
    </row>
    <row r="17473" spans="15:15" x14ac:dyDescent="0.25">
      <c r="O17473" s="20" t="str">
        <f>IF(N17473="","",COUNTIFS(RawData[[Date ]],N17473,RawData[Month List],$Q$6,RawData[Tour/Site],$Q$2,RawData[[Picker ID ]],$Q$3,RawData[Checker ID],$Q$4,RawData[[Error Type ]],$Q$5))</f>
        <v/>
      </c>
    </row>
    <row r="17474" spans="15:15" x14ac:dyDescent="0.25">
      <c r="O17474" s="20" t="str">
        <f>IF(N17474="","",COUNTIFS(RawData[[Date ]],N17474,RawData[Month List],$Q$6,RawData[Tour/Site],$Q$2,RawData[[Picker ID ]],$Q$3,RawData[Checker ID],$Q$4,RawData[[Error Type ]],$Q$5))</f>
        <v/>
      </c>
    </row>
    <row r="17475" spans="15:15" x14ac:dyDescent="0.25">
      <c r="O17475" s="20" t="str">
        <f>IF(N17475="","",COUNTIFS(RawData[[Date ]],N17475,RawData[Month List],$Q$6,RawData[Tour/Site],$Q$2,RawData[[Picker ID ]],$Q$3,RawData[Checker ID],$Q$4,RawData[[Error Type ]],$Q$5))</f>
        <v/>
      </c>
    </row>
    <row r="17476" spans="15:15" x14ac:dyDescent="0.25">
      <c r="O17476" s="20" t="str">
        <f>IF(N17476="","",COUNTIFS(RawData[[Date ]],N17476,RawData[Month List],$Q$6,RawData[Tour/Site],$Q$2,RawData[[Picker ID ]],$Q$3,RawData[Checker ID],$Q$4,RawData[[Error Type ]],$Q$5))</f>
        <v/>
      </c>
    </row>
    <row r="17477" spans="15:15" x14ac:dyDescent="0.25">
      <c r="O17477" s="20" t="str">
        <f>IF(N17477="","",COUNTIFS(RawData[[Date ]],N17477,RawData[Month List],$Q$6,RawData[Tour/Site],$Q$2,RawData[[Picker ID ]],$Q$3,RawData[Checker ID],$Q$4,RawData[[Error Type ]],$Q$5))</f>
        <v/>
      </c>
    </row>
    <row r="17478" spans="15:15" x14ac:dyDescent="0.25">
      <c r="O17478" s="20" t="str">
        <f>IF(N17478="","",COUNTIFS(RawData[[Date ]],N17478,RawData[Month List],$Q$6,RawData[Tour/Site],$Q$2,RawData[[Picker ID ]],$Q$3,RawData[Checker ID],$Q$4,RawData[[Error Type ]],$Q$5))</f>
        <v/>
      </c>
    </row>
    <row r="17479" spans="15:15" x14ac:dyDescent="0.25">
      <c r="O17479" s="20" t="str">
        <f>IF(N17479="","",COUNTIFS(RawData[[Date ]],N17479,RawData[Month List],$Q$6,RawData[Tour/Site],$Q$2,RawData[[Picker ID ]],$Q$3,RawData[Checker ID],$Q$4,RawData[[Error Type ]],$Q$5))</f>
        <v/>
      </c>
    </row>
    <row r="17480" spans="15:15" x14ac:dyDescent="0.25">
      <c r="O17480" s="20" t="str">
        <f>IF(N17480="","",COUNTIFS(RawData[[Date ]],N17480,RawData[Month List],$Q$6,RawData[Tour/Site],$Q$2,RawData[[Picker ID ]],$Q$3,RawData[Checker ID],$Q$4,RawData[[Error Type ]],$Q$5))</f>
        <v/>
      </c>
    </row>
    <row r="17481" spans="15:15" x14ac:dyDescent="0.25">
      <c r="O17481" s="20" t="str">
        <f>IF(N17481="","",COUNTIFS(RawData[[Date ]],N17481,RawData[Month List],$Q$6,RawData[Tour/Site],$Q$2,RawData[[Picker ID ]],$Q$3,RawData[Checker ID],$Q$4,RawData[[Error Type ]],$Q$5))</f>
        <v/>
      </c>
    </row>
    <row r="17482" spans="15:15" x14ac:dyDescent="0.25">
      <c r="O17482" s="20" t="str">
        <f>IF(N17482="","",COUNTIFS(RawData[[Date ]],N17482,RawData[Month List],$Q$6,RawData[Tour/Site],$Q$2,RawData[[Picker ID ]],$Q$3,RawData[Checker ID],$Q$4,RawData[[Error Type ]],$Q$5))</f>
        <v/>
      </c>
    </row>
    <row r="17483" spans="15:15" x14ac:dyDescent="0.25">
      <c r="O17483" s="20" t="str">
        <f>IF(N17483="","",COUNTIFS(RawData[[Date ]],N17483,RawData[Month List],$Q$6,RawData[Tour/Site],$Q$2,RawData[[Picker ID ]],$Q$3,RawData[Checker ID],$Q$4,RawData[[Error Type ]],$Q$5))</f>
        <v/>
      </c>
    </row>
    <row r="17484" spans="15:15" x14ac:dyDescent="0.25">
      <c r="O17484" s="20" t="str">
        <f>IF(N17484="","",COUNTIFS(RawData[[Date ]],N17484,RawData[Month List],$Q$6,RawData[Tour/Site],$Q$2,RawData[[Picker ID ]],$Q$3,RawData[Checker ID],$Q$4,RawData[[Error Type ]],$Q$5))</f>
        <v/>
      </c>
    </row>
    <row r="17485" spans="15:15" x14ac:dyDescent="0.25">
      <c r="O17485" s="20" t="str">
        <f>IF(N17485="","",COUNTIFS(RawData[[Date ]],N17485,RawData[Month List],$Q$6,RawData[Tour/Site],$Q$2,RawData[[Picker ID ]],$Q$3,RawData[Checker ID],$Q$4,RawData[[Error Type ]],$Q$5))</f>
        <v/>
      </c>
    </row>
    <row r="17486" spans="15:15" x14ac:dyDescent="0.25">
      <c r="O17486" s="20" t="str">
        <f>IF(N17486="","",COUNTIFS(RawData[[Date ]],N17486,RawData[Month List],$Q$6,RawData[Tour/Site],$Q$2,RawData[[Picker ID ]],$Q$3,RawData[Checker ID],$Q$4,RawData[[Error Type ]],$Q$5))</f>
        <v/>
      </c>
    </row>
    <row r="17487" spans="15:15" x14ac:dyDescent="0.25">
      <c r="O17487" s="20" t="str">
        <f>IF(N17487="","",COUNTIFS(RawData[[Date ]],N17487,RawData[Month List],$Q$6,RawData[Tour/Site],$Q$2,RawData[[Picker ID ]],$Q$3,RawData[Checker ID],$Q$4,RawData[[Error Type ]],$Q$5))</f>
        <v/>
      </c>
    </row>
    <row r="17488" spans="15:15" x14ac:dyDescent="0.25">
      <c r="O17488" s="20" t="str">
        <f>IF(N17488="","",COUNTIFS(RawData[[Date ]],N17488,RawData[Month List],$Q$6,RawData[Tour/Site],$Q$2,RawData[[Picker ID ]],$Q$3,RawData[Checker ID],$Q$4,RawData[[Error Type ]],$Q$5))</f>
        <v/>
      </c>
    </row>
    <row r="17489" spans="15:15" x14ac:dyDescent="0.25">
      <c r="O17489" s="20" t="str">
        <f>IF(N17489="","",COUNTIFS(RawData[[Date ]],N17489,RawData[Month List],$Q$6,RawData[Tour/Site],$Q$2,RawData[[Picker ID ]],$Q$3,RawData[Checker ID],$Q$4,RawData[[Error Type ]],$Q$5))</f>
        <v/>
      </c>
    </row>
    <row r="17490" spans="15:15" x14ac:dyDescent="0.25">
      <c r="O17490" s="20" t="str">
        <f>IF(N17490="","",COUNTIFS(RawData[[Date ]],N17490,RawData[Month List],$Q$6,RawData[Tour/Site],$Q$2,RawData[[Picker ID ]],$Q$3,RawData[Checker ID],$Q$4,RawData[[Error Type ]],$Q$5))</f>
        <v/>
      </c>
    </row>
    <row r="17491" spans="15:15" x14ac:dyDescent="0.25">
      <c r="O17491" s="20" t="str">
        <f>IF(N17491="","",COUNTIFS(RawData[[Date ]],N17491,RawData[Month List],$Q$6,RawData[Tour/Site],$Q$2,RawData[[Picker ID ]],$Q$3,RawData[Checker ID],$Q$4,RawData[[Error Type ]],$Q$5))</f>
        <v/>
      </c>
    </row>
    <row r="17492" spans="15:15" x14ac:dyDescent="0.25">
      <c r="O17492" s="20" t="str">
        <f>IF(N17492="","",COUNTIFS(RawData[[Date ]],N17492,RawData[Month List],$Q$6,RawData[Tour/Site],$Q$2,RawData[[Picker ID ]],$Q$3,RawData[Checker ID],$Q$4,RawData[[Error Type ]],$Q$5))</f>
        <v/>
      </c>
    </row>
    <row r="17493" spans="15:15" x14ac:dyDescent="0.25">
      <c r="O17493" s="20" t="str">
        <f>IF(N17493="","",COUNTIFS(RawData[[Date ]],N17493,RawData[Month List],$Q$6,RawData[Tour/Site],$Q$2,RawData[[Picker ID ]],$Q$3,RawData[Checker ID],$Q$4,RawData[[Error Type ]],$Q$5))</f>
        <v/>
      </c>
    </row>
    <row r="17494" spans="15:15" x14ac:dyDescent="0.25">
      <c r="O17494" s="20" t="str">
        <f>IF(N17494="","",COUNTIFS(RawData[[Date ]],N17494,RawData[Month List],$Q$6,RawData[Tour/Site],$Q$2,RawData[[Picker ID ]],$Q$3,RawData[Checker ID],$Q$4,RawData[[Error Type ]],$Q$5))</f>
        <v/>
      </c>
    </row>
    <row r="17495" spans="15:15" x14ac:dyDescent="0.25">
      <c r="O17495" s="20" t="str">
        <f>IF(N17495="","",COUNTIFS(RawData[[Date ]],N17495,RawData[Month List],$Q$6,RawData[Tour/Site],$Q$2,RawData[[Picker ID ]],$Q$3,RawData[Checker ID],$Q$4,RawData[[Error Type ]],$Q$5))</f>
        <v/>
      </c>
    </row>
    <row r="17496" spans="15:15" x14ac:dyDescent="0.25">
      <c r="O17496" s="20" t="str">
        <f>IF(N17496="","",COUNTIFS(RawData[[Date ]],N17496,RawData[Month List],$Q$6,RawData[Tour/Site],$Q$2,RawData[[Picker ID ]],$Q$3,RawData[Checker ID],$Q$4,RawData[[Error Type ]],$Q$5))</f>
        <v/>
      </c>
    </row>
    <row r="17497" spans="15:15" x14ac:dyDescent="0.25">
      <c r="O17497" s="20" t="str">
        <f>IF(N17497="","",COUNTIFS(RawData[[Date ]],N17497,RawData[Month List],$Q$6,RawData[Tour/Site],$Q$2,RawData[[Picker ID ]],$Q$3,RawData[Checker ID],$Q$4,RawData[[Error Type ]],$Q$5))</f>
        <v/>
      </c>
    </row>
    <row r="17498" spans="15:15" x14ac:dyDescent="0.25">
      <c r="O17498" s="20" t="str">
        <f>IF(N17498="","",COUNTIFS(RawData[[Date ]],N17498,RawData[Month List],$Q$6,RawData[Tour/Site],$Q$2,RawData[[Picker ID ]],$Q$3,RawData[Checker ID],$Q$4,RawData[[Error Type ]],$Q$5))</f>
        <v/>
      </c>
    </row>
    <row r="17499" spans="15:15" x14ac:dyDescent="0.25">
      <c r="O17499" s="20" t="str">
        <f>IF(N17499="","",COUNTIFS(RawData[[Date ]],N17499,RawData[Month List],$Q$6,RawData[Tour/Site],$Q$2,RawData[[Picker ID ]],$Q$3,RawData[Checker ID],$Q$4,RawData[[Error Type ]],$Q$5))</f>
        <v/>
      </c>
    </row>
    <row r="17500" spans="15:15" x14ac:dyDescent="0.25">
      <c r="O17500" s="20" t="str">
        <f>IF(N17500="","",COUNTIFS(RawData[[Date ]],N17500,RawData[Month List],$Q$6,RawData[Tour/Site],$Q$2,RawData[[Picker ID ]],$Q$3,RawData[Checker ID],$Q$4,RawData[[Error Type ]],$Q$5))</f>
        <v/>
      </c>
    </row>
    <row r="17501" spans="15:15" x14ac:dyDescent="0.25">
      <c r="O17501" s="20" t="str">
        <f>IF(N17501="","",COUNTIFS(RawData[[Date ]],N17501,RawData[Month List],$Q$6,RawData[Tour/Site],$Q$2,RawData[[Picker ID ]],$Q$3,RawData[Checker ID],$Q$4,RawData[[Error Type ]],$Q$5))</f>
        <v/>
      </c>
    </row>
    <row r="17502" spans="15:15" x14ac:dyDescent="0.25">
      <c r="O17502" s="20" t="str">
        <f>IF(N17502="","",COUNTIFS(RawData[[Date ]],N17502,RawData[Month List],$Q$6,RawData[Tour/Site],$Q$2,RawData[[Picker ID ]],$Q$3,RawData[Checker ID],$Q$4,RawData[[Error Type ]],$Q$5))</f>
        <v/>
      </c>
    </row>
    <row r="17503" spans="15:15" x14ac:dyDescent="0.25">
      <c r="O17503" s="20" t="str">
        <f>IF(N17503="","",COUNTIFS(RawData[[Date ]],N17503,RawData[Month List],$Q$6,RawData[Tour/Site],$Q$2,RawData[[Picker ID ]],$Q$3,RawData[Checker ID],$Q$4,RawData[[Error Type ]],$Q$5))</f>
        <v/>
      </c>
    </row>
    <row r="17504" spans="15:15" x14ac:dyDescent="0.25">
      <c r="O17504" s="20" t="str">
        <f>IF(N17504="","",COUNTIFS(RawData[[Date ]],N17504,RawData[Month List],$Q$6,RawData[Tour/Site],$Q$2,RawData[[Picker ID ]],$Q$3,RawData[Checker ID],$Q$4,RawData[[Error Type ]],$Q$5))</f>
        <v/>
      </c>
    </row>
    <row r="17505" spans="15:15" x14ac:dyDescent="0.25">
      <c r="O17505" s="20" t="str">
        <f>IF(N17505="","",COUNTIFS(RawData[[Date ]],N17505,RawData[Month List],$Q$6,RawData[Tour/Site],$Q$2,RawData[[Picker ID ]],$Q$3,RawData[Checker ID],$Q$4,RawData[[Error Type ]],$Q$5))</f>
        <v/>
      </c>
    </row>
    <row r="17506" spans="15:15" x14ac:dyDescent="0.25">
      <c r="O17506" s="20" t="str">
        <f>IF(N17506="","",COUNTIFS(RawData[[Date ]],N17506,RawData[Month List],$Q$6,RawData[Tour/Site],$Q$2,RawData[[Picker ID ]],$Q$3,RawData[Checker ID],$Q$4,RawData[[Error Type ]],$Q$5))</f>
        <v/>
      </c>
    </row>
    <row r="17507" spans="15:15" x14ac:dyDescent="0.25">
      <c r="O17507" s="20" t="str">
        <f>IF(N17507="","",COUNTIFS(RawData[[Date ]],N17507,RawData[Month List],$Q$6,RawData[Tour/Site],$Q$2,RawData[[Picker ID ]],$Q$3,RawData[Checker ID],$Q$4,RawData[[Error Type ]],$Q$5))</f>
        <v/>
      </c>
    </row>
    <row r="17508" spans="15:15" x14ac:dyDescent="0.25">
      <c r="O17508" s="20" t="str">
        <f>IF(N17508="","",COUNTIFS(RawData[[Date ]],N17508,RawData[Month List],$Q$6,RawData[Tour/Site],$Q$2,RawData[[Picker ID ]],$Q$3,RawData[Checker ID],$Q$4,RawData[[Error Type ]],$Q$5))</f>
        <v/>
      </c>
    </row>
    <row r="17509" spans="15:15" x14ac:dyDescent="0.25">
      <c r="O17509" s="20" t="str">
        <f>IF(N17509="","",COUNTIFS(RawData[[Date ]],N17509,RawData[Month List],$Q$6,RawData[Tour/Site],$Q$2,RawData[[Picker ID ]],$Q$3,RawData[Checker ID],$Q$4,RawData[[Error Type ]],$Q$5))</f>
        <v/>
      </c>
    </row>
    <row r="17510" spans="15:15" x14ac:dyDescent="0.25">
      <c r="O17510" s="20" t="str">
        <f>IF(N17510="","",COUNTIFS(RawData[[Date ]],N17510,RawData[Month List],$Q$6,RawData[Tour/Site],$Q$2,RawData[[Picker ID ]],$Q$3,RawData[Checker ID],$Q$4,RawData[[Error Type ]],$Q$5))</f>
        <v/>
      </c>
    </row>
    <row r="17511" spans="15:15" x14ac:dyDescent="0.25">
      <c r="O17511" s="20" t="str">
        <f>IF(N17511="","",COUNTIFS(RawData[[Date ]],N17511,RawData[Month List],$Q$6,RawData[Tour/Site],$Q$2,RawData[[Picker ID ]],$Q$3,RawData[Checker ID],$Q$4,RawData[[Error Type ]],$Q$5))</f>
        <v/>
      </c>
    </row>
    <row r="17512" spans="15:15" x14ac:dyDescent="0.25">
      <c r="O17512" s="20" t="str">
        <f>IF(N17512="","",COUNTIFS(RawData[[Date ]],N17512,RawData[Month List],$Q$6,RawData[Tour/Site],$Q$2,RawData[[Picker ID ]],$Q$3,RawData[Checker ID],$Q$4,RawData[[Error Type ]],$Q$5))</f>
        <v/>
      </c>
    </row>
    <row r="17513" spans="15:15" x14ac:dyDescent="0.25">
      <c r="O17513" s="20" t="str">
        <f>IF(N17513="","",COUNTIFS(RawData[[Date ]],N17513,RawData[Month List],$Q$6,RawData[Tour/Site],$Q$2,RawData[[Picker ID ]],$Q$3,RawData[Checker ID],$Q$4,RawData[[Error Type ]],$Q$5))</f>
        <v/>
      </c>
    </row>
    <row r="17514" spans="15:15" x14ac:dyDescent="0.25">
      <c r="O17514" s="20" t="str">
        <f>IF(N17514="","",COUNTIFS(RawData[[Date ]],N17514,RawData[Month List],$Q$6,RawData[Tour/Site],$Q$2,RawData[[Picker ID ]],$Q$3,RawData[Checker ID],$Q$4,RawData[[Error Type ]],$Q$5))</f>
        <v/>
      </c>
    </row>
    <row r="17515" spans="15:15" x14ac:dyDescent="0.25">
      <c r="O17515" s="20" t="str">
        <f>IF(N17515="","",COUNTIFS(RawData[[Date ]],N17515,RawData[Month List],$Q$6,RawData[Tour/Site],$Q$2,RawData[[Picker ID ]],$Q$3,RawData[Checker ID],$Q$4,RawData[[Error Type ]],$Q$5))</f>
        <v/>
      </c>
    </row>
    <row r="17516" spans="15:15" x14ac:dyDescent="0.25">
      <c r="O17516" s="20" t="str">
        <f>IF(N17516="","",COUNTIFS(RawData[[Date ]],N17516,RawData[Month List],$Q$6,RawData[Tour/Site],$Q$2,RawData[[Picker ID ]],$Q$3,RawData[Checker ID],$Q$4,RawData[[Error Type ]],$Q$5))</f>
        <v/>
      </c>
    </row>
    <row r="17517" spans="15:15" x14ac:dyDescent="0.25">
      <c r="O17517" s="20" t="str">
        <f>IF(N17517="","",COUNTIFS(RawData[[Date ]],N17517,RawData[Month List],$Q$6,RawData[Tour/Site],$Q$2,RawData[[Picker ID ]],$Q$3,RawData[Checker ID],$Q$4,RawData[[Error Type ]],$Q$5))</f>
        <v/>
      </c>
    </row>
    <row r="17518" spans="15:15" x14ac:dyDescent="0.25">
      <c r="O17518" s="20" t="str">
        <f>IF(N17518="","",COUNTIFS(RawData[[Date ]],N17518,RawData[Month List],$Q$6,RawData[Tour/Site],$Q$2,RawData[[Picker ID ]],$Q$3,RawData[Checker ID],$Q$4,RawData[[Error Type ]],$Q$5))</f>
        <v/>
      </c>
    </row>
    <row r="17519" spans="15:15" x14ac:dyDescent="0.25">
      <c r="O17519" s="20" t="str">
        <f>IF(N17519="","",COUNTIFS(RawData[[Date ]],N17519,RawData[Month List],$Q$6,RawData[Tour/Site],$Q$2,RawData[[Picker ID ]],$Q$3,RawData[Checker ID],$Q$4,RawData[[Error Type ]],$Q$5))</f>
        <v/>
      </c>
    </row>
    <row r="17520" spans="15:15" x14ac:dyDescent="0.25">
      <c r="O17520" s="20" t="str">
        <f>IF(N17520="","",COUNTIFS(RawData[[Date ]],N17520,RawData[Month List],$Q$6,RawData[Tour/Site],$Q$2,RawData[[Picker ID ]],$Q$3,RawData[Checker ID],$Q$4,RawData[[Error Type ]],$Q$5))</f>
        <v/>
      </c>
    </row>
    <row r="17521" spans="15:15" x14ac:dyDescent="0.25">
      <c r="O17521" s="20" t="str">
        <f>IF(N17521="","",COUNTIFS(RawData[[Date ]],N17521,RawData[Month List],$Q$6,RawData[Tour/Site],$Q$2,RawData[[Picker ID ]],$Q$3,RawData[Checker ID],$Q$4,RawData[[Error Type ]],$Q$5))</f>
        <v/>
      </c>
    </row>
    <row r="17522" spans="15:15" x14ac:dyDescent="0.25">
      <c r="O17522" s="20" t="str">
        <f>IF(N17522="","",COUNTIFS(RawData[[Date ]],N17522,RawData[Month List],$Q$6,RawData[Tour/Site],$Q$2,RawData[[Picker ID ]],$Q$3,RawData[Checker ID],$Q$4,RawData[[Error Type ]],$Q$5))</f>
        <v/>
      </c>
    </row>
    <row r="17523" spans="15:15" x14ac:dyDescent="0.25">
      <c r="O17523" s="20" t="str">
        <f>IF(N17523="","",COUNTIFS(RawData[[Date ]],N17523,RawData[Month List],$Q$6,RawData[Tour/Site],$Q$2,RawData[[Picker ID ]],$Q$3,RawData[Checker ID],$Q$4,RawData[[Error Type ]],$Q$5))</f>
        <v/>
      </c>
    </row>
    <row r="17524" spans="15:15" x14ac:dyDescent="0.25">
      <c r="O17524" s="20" t="str">
        <f>IF(N17524="","",COUNTIFS(RawData[[Date ]],N17524,RawData[Month List],$Q$6,RawData[Tour/Site],$Q$2,RawData[[Picker ID ]],$Q$3,RawData[Checker ID],$Q$4,RawData[[Error Type ]],$Q$5))</f>
        <v/>
      </c>
    </row>
    <row r="17525" spans="15:15" x14ac:dyDescent="0.25">
      <c r="O17525" s="20" t="str">
        <f>IF(N17525="","",COUNTIFS(RawData[[Date ]],N17525,RawData[Month List],$Q$6,RawData[Tour/Site],$Q$2,RawData[[Picker ID ]],$Q$3,RawData[Checker ID],$Q$4,RawData[[Error Type ]],$Q$5))</f>
        <v/>
      </c>
    </row>
    <row r="17526" spans="15:15" x14ac:dyDescent="0.25">
      <c r="O17526" s="20" t="str">
        <f>IF(N17526="","",COUNTIFS(RawData[[Date ]],N17526,RawData[Month List],$Q$6,RawData[Tour/Site],$Q$2,RawData[[Picker ID ]],$Q$3,RawData[Checker ID],$Q$4,RawData[[Error Type ]],$Q$5))</f>
        <v/>
      </c>
    </row>
    <row r="17527" spans="15:15" x14ac:dyDescent="0.25">
      <c r="O17527" s="20" t="str">
        <f>IF(N17527="","",COUNTIFS(RawData[[Date ]],N17527,RawData[Month List],$Q$6,RawData[Tour/Site],$Q$2,RawData[[Picker ID ]],$Q$3,RawData[Checker ID],$Q$4,RawData[[Error Type ]],$Q$5))</f>
        <v/>
      </c>
    </row>
    <row r="17528" spans="15:15" x14ac:dyDescent="0.25">
      <c r="O17528" s="20" t="str">
        <f>IF(N17528="","",COUNTIFS(RawData[[Date ]],N17528,RawData[Month List],$Q$6,RawData[Tour/Site],$Q$2,RawData[[Picker ID ]],$Q$3,RawData[Checker ID],$Q$4,RawData[[Error Type ]],$Q$5))</f>
        <v/>
      </c>
    </row>
    <row r="17529" spans="15:15" x14ac:dyDescent="0.25">
      <c r="O17529" s="20" t="str">
        <f>IF(N17529="","",COUNTIFS(RawData[[Date ]],N17529,RawData[Month List],$Q$6,RawData[Tour/Site],$Q$2,RawData[[Picker ID ]],$Q$3,RawData[Checker ID],$Q$4,RawData[[Error Type ]],$Q$5))</f>
        <v/>
      </c>
    </row>
    <row r="17530" spans="15:15" x14ac:dyDescent="0.25">
      <c r="O17530" s="20" t="str">
        <f>IF(N17530="","",COUNTIFS(RawData[[Date ]],N17530,RawData[Month List],$Q$6,RawData[Tour/Site],$Q$2,RawData[[Picker ID ]],$Q$3,RawData[Checker ID],$Q$4,RawData[[Error Type ]],$Q$5))</f>
        <v/>
      </c>
    </row>
    <row r="17531" spans="15:15" x14ac:dyDescent="0.25">
      <c r="O17531" s="20" t="str">
        <f>IF(N17531="","",COUNTIFS(RawData[[Date ]],N17531,RawData[Month List],$Q$6,RawData[Tour/Site],$Q$2,RawData[[Picker ID ]],$Q$3,RawData[Checker ID],$Q$4,RawData[[Error Type ]],$Q$5))</f>
        <v/>
      </c>
    </row>
    <row r="17532" spans="15:15" x14ac:dyDescent="0.25">
      <c r="O17532" s="20" t="str">
        <f>IF(N17532="","",COUNTIFS(RawData[[Date ]],N17532,RawData[Month List],$Q$6,RawData[Tour/Site],$Q$2,RawData[[Picker ID ]],$Q$3,RawData[Checker ID],$Q$4,RawData[[Error Type ]],$Q$5))</f>
        <v/>
      </c>
    </row>
    <row r="17533" spans="15:15" x14ac:dyDescent="0.25">
      <c r="O17533" s="20" t="str">
        <f>IF(N17533="","",COUNTIFS(RawData[[Date ]],N17533,RawData[Month List],$Q$6,RawData[Tour/Site],$Q$2,RawData[[Picker ID ]],$Q$3,RawData[Checker ID],$Q$4,RawData[[Error Type ]],$Q$5))</f>
        <v/>
      </c>
    </row>
    <row r="17534" spans="15:15" x14ac:dyDescent="0.25">
      <c r="O17534" s="20" t="str">
        <f>IF(N17534="","",COUNTIFS(RawData[[Date ]],N17534,RawData[Month List],$Q$6,RawData[Tour/Site],$Q$2,RawData[[Picker ID ]],$Q$3,RawData[Checker ID],$Q$4,RawData[[Error Type ]],$Q$5))</f>
        <v/>
      </c>
    </row>
    <row r="17535" spans="15:15" x14ac:dyDescent="0.25">
      <c r="O17535" s="20" t="str">
        <f>IF(N17535="","",COUNTIFS(RawData[[Date ]],N17535,RawData[Month List],$Q$6,RawData[Tour/Site],$Q$2,RawData[[Picker ID ]],$Q$3,RawData[Checker ID],$Q$4,RawData[[Error Type ]],$Q$5))</f>
        <v/>
      </c>
    </row>
    <row r="17536" spans="15:15" x14ac:dyDescent="0.25">
      <c r="O17536" s="20" t="str">
        <f>IF(N17536="","",COUNTIFS(RawData[[Date ]],N17536,RawData[Month List],$Q$6,RawData[Tour/Site],$Q$2,RawData[[Picker ID ]],$Q$3,RawData[Checker ID],$Q$4,RawData[[Error Type ]],$Q$5))</f>
        <v/>
      </c>
    </row>
    <row r="17537" spans="15:15" x14ac:dyDescent="0.25">
      <c r="O17537" s="20" t="str">
        <f>IF(N17537="","",COUNTIFS(RawData[[Date ]],N17537,RawData[Month List],$Q$6,RawData[Tour/Site],$Q$2,RawData[[Picker ID ]],$Q$3,RawData[Checker ID],$Q$4,RawData[[Error Type ]],$Q$5))</f>
        <v/>
      </c>
    </row>
    <row r="17538" spans="15:15" x14ac:dyDescent="0.25">
      <c r="O17538" s="20" t="str">
        <f>IF(N17538="","",COUNTIFS(RawData[[Date ]],N17538,RawData[Month List],$Q$6,RawData[Tour/Site],$Q$2,RawData[[Picker ID ]],$Q$3,RawData[Checker ID],$Q$4,RawData[[Error Type ]],$Q$5))</f>
        <v/>
      </c>
    </row>
    <row r="17539" spans="15:15" x14ac:dyDescent="0.25">
      <c r="O17539" s="20" t="str">
        <f>IF(N17539="","",COUNTIFS(RawData[[Date ]],N17539,RawData[Month List],$Q$6,RawData[Tour/Site],$Q$2,RawData[[Picker ID ]],$Q$3,RawData[Checker ID],$Q$4,RawData[[Error Type ]],$Q$5))</f>
        <v/>
      </c>
    </row>
    <row r="17540" spans="15:15" x14ac:dyDescent="0.25">
      <c r="O17540" s="20" t="str">
        <f>IF(N17540="","",COUNTIFS(RawData[[Date ]],N17540,RawData[Month List],$Q$6,RawData[Tour/Site],$Q$2,RawData[[Picker ID ]],$Q$3,RawData[Checker ID],$Q$4,RawData[[Error Type ]],$Q$5))</f>
        <v/>
      </c>
    </row>
    <row r="17541" spans="15:15" x14ac:dyDescent="0.25">
      <c r="O17541" s="20" t="str">
        <f>IF(N17541="","",COUNTIFS(RawData[[Date ]],N17541,RawData[Month List],$Q$6,RawData[Tour/Site],$Q$2,RawData[[Picker ID ]],$Q$3,RawData[Checker ID],$Q$4,RawData[[Error Type ]],$Q$5))</f>
        <v/>
      </c>
    </row>
    <row r="17542" spans="15:15" x14ac:dyDescent="0.25">
      <c r="O17542" s="20" t="str">
        <f>IF(N17542="","",COUNTIFS(RawData[[Date ]],N17542,RawData[Month List],$Q$6,RawData[Tour/Site],$Q$2,RawData[[Picker ID ]],$Q$3,RawData[Checker ID],$Q$4,RawData[[Error Type ]],$Q$5))</f>
        <v/>
      </c>
    </row>
    <row r="17543" spans="15:15" x14ac:dyDescent="0.25">
      <c r="O17543" s="20" t="str">
        <f>IF(N17543="","",COUNTIFS(RawData[[Date ]],N17543,RawData[Month List],$Q$6,RawData[Tour/Site],$Q$2,RawData[[Picker ID ]],$Q$3,RawData[Checker ID],$Q$4,RawData[[Error Type ]],$Q$5))</f>
        <v/>
      </c>
    </row>
    <row r="17544" spans="15:15" x14ac:dyDescent="0.25">
      <c r="O17544" s="20" t="str">
        <f>IF(N17544="","",COUNTIFS(RawData[[Date ]],N17544,RawData[Month List],$Q$6,RawData[Tour/Site],$Q$2,RawData[[Picker ID ]],$Q$3,RawData[Checker ID],$Q$4,RawData[[Error Type ]],$Q$5))</f>
        <v/>
      </c>
    </row>
    <row r="17545" spans="15:15" x14ac:dyDescent="0.25">
      <c r="O17545" s="20" t="str">
        <f>IF(N17545="","",COUNTIFS(RawData[[Date ]],N17545,RawData[Month List],$Q$6,RawData[Tour/Site],$Q$2,RawData[[Picker ID ]],$Q$3,RawData[Checker ID],$Q$4,RawData[[Error Type ]],$Q$5))</f>
        <v/>
      </c>
    </row>
    <row r="17546" spans="15:15" x14ac:dyDescent="0.25">
      <c r="O17546" s="20" t="str">
        <f>IF(N17546="","",COUNTIFS(RawData[[Date ]],N17546,RawData[Month List],$Q$6,RawData[Tour/Site],$Q$2,RawData[[Picker ID ]],$Q$3,RawData[Checker ID],$Q$4,RawData[[Error Type ]],$Q$5))</f>
        <v/>
      </c>
    </row>
    <row r="17547" spans="15:15" x14ac:dyDescent="0.25">
      <c r="O17547" s="20" t="str">
        <f>IF(N17547="","",COUNTIFS(RawData[[Date ]],N17547,RawData[Month List],$Q$6,RawData[Tour/Site],$Q$2,RawData[[Picker ID ]],$Q$3,RawData[Checker ID],$Q$4,RawData[[Error Type ]],$Q$5))</f>
        <v/>
      </c>
    </row>
    <row r="17548" spans="15:15" x14ac:dyDescent="0.25">
      <c r="O17548" s="20" t="str">
        <f>IF(N17548="","",COUNTIFS(RawData[[Date ]],N17548,RawData[Month List],$Q$6,RawData[Tour/Site],$Q$2,RawData[[Picker ID ]],$Q$3,RawData[Checker ID],$Q$4,RawData[[Error Type ]],$Q$5))</f>
        <v/>
      </c>
    </row>
    <row r="17549" spans="15:15" x14ac:dyDescent="0.25">
      <c r="O17549" s="20" t="str">
        <f>IF(N17549="","",COUNTIFS(RawData[[Date ]],N17549,RawData[Month List],$Q$6,RawData[Tour/Site],$Q$2,RawData[[Picker ID ]],$Q$3,RawData[Checker ID],$Q$4,RawData[[Error Type ]],$Q$5))</f>
        <v/>
      </c>
    </row>
    <row r="17550" spans="15:15" x14ac:dyDescent="0.25">
      <c r="O17550" s="20" t="str">
        <f>IF(N17550="","",COUNTIFS(RawData[[Date ]],N17550,RawData[Month List],$Q$6,RawData[Tour/Site],$Q$2,RawData[[Picker ID ]],$Q$3,RawData[Checker ID],$Q$4,RawData[[Error Type ]],$Q$5))</f>
        <v/>
      </c>
    </row>
    <row r="17551" spans="15:15" x14ac:dyDescent="0.25">
      <c r="O17551" s="20" t="str">
        <f>IF(N17551="","",COUNTIFS(RawData[[Date ]],N17551,RawData[Month List],$Q$6,RawData[Tour/Site],$Q$2,RawData[[Picker ID ]],$Q$3,RawData[Checker ID],$Q$4,RawData[[Error Type ]],$Q$5))</f>
        <v/>
      </c>
    </row>
    <row r="17552" spans="15:15" x14ac:dyDescent="0.25">
      <c r="O17552" s="20" t="str">
        <f>IF(N17552="","",COUNTIFS(RawData[[Date ]],N17552,RawData[Month List],$Q$6,RawData[Tour/Site],$Q$2,RawData[[Picker ID ]],$Q$3,RawData[Checker ID],$Q$4,RawData[[Error Type ]],$Q$5))</f>
        <v/>
      </c>
    </row>
    <row r="17553" spans="15:15" x14ac:dyDescent="0.25">
      <c r="O17553" s="20" t="str">
        <f>IF(N17553="","",COUNTIFS(RawData[[Date ]],N17553,RawData[Month List],$Q$6,RawData[Tour/Site],$Q$2,RawData[[Picker ID ]],$Q$3,RawData[Checker ID],$Q$4,RawData[[Error Type ]],$Q$5))</f>
        <v/>
      </c>
    </row>
    <row r="17554" spans="15:15" x14ac:dyDescent="0.25">
      <c r="O17554" s="20" t="str">
        <f>IF(N17554="","",COUNTIFS(RawData[[Date ]],N17554,RawData[Month List],$Q$6,RawData[Tour/Site],$Q$2,RawData[[Picker ID ]],$Q$3,RawData[Checker ID],$Q$4,RawData[[Error Type ]],$Q$5))</f>
        <v/>
      </c>
    </row>
    <row r="17555" spans="15:15" x14ac:dyDescent="0.25">
      <c r="O17555" s="20" t="str">
        <f>IF(N17555="","",COUNTIFS(RawData[[Date ]],N17555,RawData[Month List],$Q$6,RawData[Tour/Site],$Q$2,RawData[[Picker ID ]],$Q$3,RawData[Checker ID],$Q$4,RawData[[Error Type ]],$Q$5))</f>
        <v/>
      </c>
    </row>
    <row r="17556" spans="15:15" x14ac:dyDescent="0.25">
      <c r="O17556" s="20" t="str">
        <f>IF(N17556="","",COUNTIFS(RawData[[Date ]],N17556,RawData[Month List],$Q$6,RawData[Tour/Site],$Q$2,RawData[[Picker ID ]],$Q$3,RawData[Checker ID],$Q$4,RawData[[Error Type ]],$Q$5))</f>
        <v/>
      </c>
    </row>
    <row r="17557" spans="15:15" x14ac:dyDescent="0.25">
      <c r="O17557" s="20" t="str">
        <f>IF(N17557="","",COUNTIFS(RawData[[Date ]],N17557,RawData[Month List],$Q$6,RawData[Tour/Site],$Q$2,RawData[[Picker ID ]],$Q$3,RawData[Checker ID],$Q$4,RawData[[Error Type ]],$Q$5))</f>
        <v/>
      </c>
    </row>
    <row r="17558" spans="15:15" x14ac:dyDescent="0.25">
      <c r="O17558" s="20" t="str">
        <f>IF(N17558="","",COUNTIFS(RawData[[Date ]],N17558,RawData[Month List],$Q$6,RawData[Tour/Site],$Q$2,RawData[[Picker ID ]],$Q$3,RawData[Checker ID],$Q$4,RawData[[Error Type ]],$Q$5))</f>
        <v/>
      </c>
    </row>
    <row r="17559" spans="15:15" x14ac:dyDescent="0.25">
      <c r="O17559" s="20" t="str">
        <f>IF(N17559="","",COUNTIFS(RawData[[Date ]],N17559,RawData[Month List],$Q$6,RawData[Tour/Site],$Q$2,RawData[[Picker ID ]],$Q$3,RawData[Checker ID],$Q$4,RawData[[Error Type ]],$Q$5))</f>
        <v/>
      </c>
    </row>
    <row r="17560" spans="15:15" x14ac:dyDescent="0.25">
      <c r="O17560" s="20" t="str">
        <f>IF(N17560="","",COUNTIFS(RawData[[Date ]],N17560,RawData[Month List],$Q$6,RawData[Tour/Site],$Q$2,RawData[[Picker ID ]],$Q$3,RawData[Checker ID],$Q$4,RawData[[Error Type ]],$Q$5))</f>
        <v/>
      </c>
    </row>
    <row r="17561" spans="15:15" x14ac:dyDescent="0.25">
      <c r="O17561" s="20" t="str">
        <f>IF(N17561="","",COUNTIFS(RawData[[Date ]],N17561,RawData[Month List],$Q$6,RawData[Tour/Site],$Q$2,RawData[[Picker ID ]],$Q$3,RawData[Checker ID],$Q$4,RawData[[Error Type ]],$Q$5))</f>
        <v/>
      </c>
    </row>
    <row r="17562" spans="15:15" x14ac:dyDescent="0.25">
      <c r="O17562" s="20" t="str">
        <f>IF(N17562="","",COUNTIFS(RawData[[Date ]],N17562,RawData[Month List],$Q$6,RawData[Tour/Site],$Q$2,RawData[[Picker ID ]],$Q$3,RawData[Checker ID],$Q$4,RawData[[Error Type ]],$Q$5))</f>
        <v/>
      </c>
    </row>
    <row r="17563" spans="15:15" x14ac:dyDescent="0.25">
      <c r="O17563" s="20" t="str">
        <f>IF(N17563="","",COUNTIFS(RawData[[Date ]],N17563,RawData[Month List],$Q$6,RawData[Tour/Site],$Q$2,RawData[[Picker ID ]],$Q$3,RawData[Checker ID],$Q$4,RawData[[Error Type ]],$Q$5))</f>
        <v/>
      </c>
    </row>
    <row r="17564" spans="15:15" x14ac:dyDescent="0.25">
      <c r="O17564" s="20" t="str">
        <f>IF(N17564="","",COUNTIFS(RawData[[Date ]],N17564,RawData[Month List],$Q$6,RawData[Tour/Site],$Q$2,RawData[[Picker ID ]],$Q$3,RawData[Checker ID],$Q$4,RawData[[Error Type ]],$Q$5))</f>
        <v/>
      </c>
    </row>
    <row r="17565" spans="15:15" x14ac:dyDescent="0.25">
      <c r="O17565" s="20" t="str">
        <f>IF(N17565="","",COUNTIFS(RawData[[Date ]],N17565,RawData[Month List],$Q$6,RawData[Tour/Site],$Q$2,RawData[[Picker ID ]],$Q$3,RawData[Checker ID],$Q$4,RawData[[Error Type ]],$Q$5))</f>
        <v/>
      </c>
    </row>
    <row r="17566" spans="15:15" x14ac:dyDescent="0.25">
      <c r="O17566" s="20" t="str">
        <f>IF(N17566="","",COUNTIFS(RawData[[Date ]],N17566,RawData[Month List],$Q$6,RawData[Tour/Site],$Q$2,RawData[[Picker ID ]],$Q$3,RawData[Checker ID],$Q$4,RawData[[Error Type ]],$Q$5))</f>
        <v/>
      </c>
    </row>
    <row r="17567" spans="15:15" x14ac:dyDescent="0.25">
      <c r="O17567" s="20" t="str">
        <f>IF(N17567="","",COUNTIFS(RawData[[Date ]],N17567,RawData[Month List],$Q$6,RawData[Tour/Site],$Q$2,RawData[[Picker ID ]],$Q$3,RawData[Checker ID],$Q$4,RawData[[Error Type ]],$Q$5))</f>
        <v/>
      </c>
    </row>
    <row r="17568" spans="15:15" x14ac:dyDescent="0.25">
      <c r="O17568" s="20" t="str">
        <f>IF(N17568="","",COUNTIFS(RawData[[Date ]],N17568,RawData[Month List],$Q$6,RawData[Tour/Site],$Q$2,RawData[[Picker ID ]],$Q$3,RawData[Checker ID],$Q$4,RawData[[Error Type ]],$Q$5))</f>
        <v/>
      </c>
    </row>
    <row r="17569" spans="15:15" x14ac:dyDescent="0.25">
      <c r="O17569" s="20" t="str">
        <f>IF(N17569="","",COUNTIFS(RawData[[Date ]],N17569,RawData[Month List],$Q$6,RawData[Tour/Site],$Q$2,RawData[[Picker ID ]],$Q$3,RawData[Checker ID],$Q$4,RawData[[Error Type ]],$Q$5))</f>
        <v/>
      </c>
    </row>
    <row r="17570" spans="15:15" x14ac:dyDescent="0.25">
      <c r="O17570" s="20" t="str">
        <f>IF(N17570="","",COUNTIFS(RawData[[Date ]],N17570,RawData[Month List],$Q$6,RawData[Tour/Site],$Q$2,RawData[[Picker ID ]],$Q$3,RawData[Checker ID],$Q$4,RawData[[Error Type ]],$Q$5))</f>
        <v/>
      </c>
    </row>
    <row r="17571" spans="15:15" x14ac:dyDescent="0.25">
      <c r="O17571" s="20" t="str">
        <f>IF(N17571="","",COUNTIFS(RawData[[Date ]],N17571,RawData[Month List],$Q$6,RawData[Tour/Site],$Q$2,RawData[[Picker ID ]],$Q$3,RawData[Checker ID],$Q$4,RawData[[Error Type ]],$Q$5))</f>
        <v/>
      </c>
    </row>
    <row r="17572" spans="15:15" x14ac:dyDescent="0.25">
      <c r="O17572" s="20" t="str">
        <f>IF(N17572="","",COUNTIFS(RawData[[Date ]],N17572,RawData[Month List],$Q$6,RawData[Tour/Site],$Q$2,RawData[[Picker ID ]],$Q$3,RawData[Checker ID],$Q$4,RawData[[Error Type ]],$Q$5))</f>
        <v/>
      </c>
    </row>
    <row r="17573" spans="15:15" x14ac:dyDescent="0.25">
      <c r="O17573" s="20" t="str">
        <f>IF(N17573="","",COUNTIFS(RawData[[Date ]],N17573,RawData[Month List],$Q$6,RawData[Tour/Site],$Q$2,RawData[[Picker ID ]],$Q$3,RawData[Checker ID],$Q$4,RawData[[Error Type ]],$Q$5))</f>
        <v/>
      </c>
    </row>
    <row r="17574" spans="15:15" x14ac:dyDescent="0.25">
      <c r="O17574" s="20" t="str">
        <f>IF(N17574="","",COUNTIFS(RawData[[Date ]],N17574,RawData[Month List],$Q$6,RawData[Tour/Site],$Q$2,RawData[[Picker ID ]],$Q$3,RawData[Checker ID],$Q$4,RawData[[Error Type ]],$Q$5))</f>
        <v/>
      </c>
    </row>
    <row r="17575" spans="15:15" x14ac:dyDescent="0.25">
      <c r="O17575" s="20" t="str">
        <f>IF(N17575="","",COUNTIFS(RawData[[Date ]],N17575,RawData[Month List],$Q$6,RawData[Tour/Site],$Q$2,RawData[[Picker ID ]],$Q$3,RawData[Checker ID],$Q$4,RawData[[Error Type ]],$Q$5))</f>
        <v/>
      </c>
    </row>
    <row r="17576" spans="15:15" x14ac:dyDescent="0.25">
      <c r="O17576" s="20" t="str">
        <f>IF(N17576="","",COUNTIFS(RawData[[Date ]],N17576,RawData[Month List],$Q$6,RawData[Tour/Site],$Q$2,RawData[[Picker ID ]],$Q$3,RawData[Checker ID],$Q$4,RawData[[Error Type ]],$Q$5))</f>
        <v/>
      </c>
    </row>
    <row r="17577" spans="15:15" x14ac:dyDescent="0.25">
      <c r="O17577" s="20" t="str">
        <f>IF(N17577="","",COUNTIFS(RawData[[Date ]],N17577,RawData[Month List],$Q$6,RawData[Tour/Site],$Q$2,RawData[[Picker ID ]],$Q$3,RawData[Checker ID],$Q$4,RawData[[Error Type ]],$Q$5))</f>
        <v/>
      </c>
    </row>
    <row r="17578" spans="15:15" x14ac:dyDescent="0.25">
      <c r="O17578" s="20" t="str">
        <f>IF(N17578="","",COUNTIFS(RawData[[Date ]],N17578,RawData[Month List],$Q$6,RawData[Tour/Site],$Q$2,RawData[[Picker ID ]],$Q$3,RawData[Checker ID],$Q$4,RawData[[Error Type ]],$Q$5))</f>
        <v/>
      </c>
    </row>
    <row r="17579" spans="15:15" x14ac:dyDescent="0.25">
      <c r="O17579" s="20" t="str">
        <f>IF(N17579="","",COUNTIFS(RawData[[Date ]],N17579,RawData[Month List],$Q$6,RawData[Tour/Site],$Q$2,RawData[[Picker ID ]],$Q$3,RawData[Checker ID],$Q$4,RawData[[Error Type ]],$Q$5))</f>
        <v/>
      </c>
    </row>
    <row r="17580" spans="15:15" x14ac:dyDescent="0.25">
      <c r="O17580" s="20" t="str">
        <f>IF(N17580="","",COUNTIFS(RawData[[Date ]],N17580,RawData[Month List],$Q$6,RawData[Tour/Site],$Q$2,RawData[[Picker ID ]],$Q$3,RawData[Checker ID],$Q$4,RawData[[Error Type ]],$Q$5))</f>
        <v/>
      </c>
    </row>
    <row r="17581" spans="15:15" x14ac:dyDescent="0.25">
      <c r="O17581" s="20" t="str">
        <f>IF(N17581="","",COUNTIFS(RawData[[Date ]],N17581,RawData[Month List],$Q$6,RawData[Tour/Site],$Q$2,RawData[[Picker ID ]],$Q$3,RawData[Checker ID],$Q$4,RawData[[Error Type ]],$Q$5))</f>
        <v/>
      </c>
    </row>
    <row r="17582" spans="15:15" x14ac:dyDescent="0.25">
      <c r="O17582" s="20" t="str">
        <f>IF(N17582="","",COUNTIFS(RawData[[Date ]],N17582,RawData[Month List],$Q$6,RawData[Tour/Site],$Q$2,RawData[[Picker ID ]],$Q$3,RawData[Checker ID],$Q$4,RawData[[Error Type ]],$Q$5))</f>
        <v/>
      </c>
    </row>
    <row r="17583" spans="15:15" x14ac:dyDescent="0.25">
      <c r="O17583" s="20" t="str">
        <f>IF(N17583="","",COUNTIFS(RawData[[Date ]],N17583,RawData[Month List],$Q$6,RawData[Tour/Site],$Q$2,RawData[[Picker ID ]],$Q$3,RawData[Checker ID],$Q$4,RawData[[Error Type ]],$Q$5))</f>
        <v/>
      </c>
    </row>
    <row r="17584" spans="15:15" x14ac:dyDescent="0.25">
      <c r="O17584" s="20" t="str">
        <f>IF(N17584="","",COUNTIFS(RawData[[Date ]],N17584,RawData[Month List],$Q$6,RawData[Tour/Site],$Q$2,RawData[[Picker ID ]],$Q$3,RawData[Checker ID],$Q$4,RawData[[Error Type ]],$Q$5))</f>
        <v/>
      </c>
    </row>
    <row r="17585" spans="15:15" x14ac:dyDescent="0.25">
      <c r="O17585" s="20" t="str">
        <f>IF(N17585="","",COUNTIFS(RawData[[Date ]],N17585,RawData[Month List],$Q$6,RawData[Tour/Site],$Q$2,RawData[[Picker ID ]],$Q$3,RawData[Checker ID],$Q$4,RawData[[Error Type ]],$Q$5))</f>
        <v/>
      </c>
    </row>
    <row r="17586" spans="15:15" x14ac:dyDescent="0.25">
      <c r="O17586" s="20" t="str">
        <f>IF(N17586="","",COUNTIFS(RawData[[Date ]],N17586,RawData[Month List],$Q$6,RawData[Tour/Site],$Q$2,RawData[[Picker ID ]],$Q$3,RawData[Checker ID],$Q$4,RawData[[Error Type ]],$Q$5))</f>
        <v/>
      </c>
    </row>
    <row r="17587" spans="15:15" x14ac:dyDescent="0.25">
      <c r="O17587" s="20" t="str">
        <f>IF(N17587="","",COUNTIFS(RawData[[Date ]],N17587,RawData[Month List],$Q$6,RawData[Tour/Site],$Q$2,RawData[[Picker ID ]],$Q$3,RawData[Checker ID],$Q$4,RawData[[Error Type ]],$Q$5))</f>
        <v/>
      </c>
    </row>
    <row r="17588" spans="15:15" x14ac:dyDescent="0.25">
      <c r="O17588" s="20" t="str">
        <f>IF(N17588="","",COUNTIFS(RawData[[Date ]],N17588,RawData[Month List],$Q$6,RawData[Tour/Site],$Q$2,RawData[[Picker ID ]],$Q$3,RawData[Checker ID],$Q$4,RawData[[Error Type ]],$Q$5))</f>
        <v/>
      </c>
    </row>
    <row r="17589" spans="15:15" x14ac:dyDescent="0.25">
      <c r="O17589" s="20" t="str">
        <f>IF(N17589="","",COUNTIFS(RawData[[Date ]],N17589,RawData[Month List],$Q$6,RawData[Tour/Site],$Q$2,RawData[[Picker ID ]],$Q$3,RawData[Checker ID],$Q$4,RawData[[Error Type ]],$Q$5))</f>
        <v/>
      </c>
    </row>
    <row r="17590" spans="15:15" x14ac:dyDescent="0.25">
      <c r="O17590" s="20" t="str">
        <f>IF(N17590="","",COUNTIFS(RawData[[Date ]],N17590,RawData[Month List],$Q$6,RawData[Tour/Site],$Q$2,RawData[[Picker ID ]],$Q$3,RawData[Checker ID],$Q$4,RawData[[Error Type ]],$Q$5))</f>
        <v/>
      </c>
    </row>
    <row r="17591" spans="15:15" x14ac:dyDescent="0.25">
      <c r="O17591" s="20" t="str">
        <f>IF(N17591="","",COUNTIFS(RawData[[Date ]],N17591,RawData[Month List],$Q$6,RawData[Tour/Site],$Q$2,RawData[[Picker ID ]],$Q$3,RawData[Checker ID],$Q$4,RawData[[Error Type ]],$Q$5))</f>
        <v/>
      </c>
    </row>
    <row r="17592" spans="15:15" x14ac:dyDescent="0.25">
      <c r="O17592" s="20" t="str">
        <f>IF(N17592="","",COUNTIFS(RawData[[Date ]],N17592,RawData[Month List],$Q$6,RawData[Tour/Site],$Q$2,RawData[[Picker ID ]],$Q$3,RawData[Checker ID],$Q$4,RawData[[Error Type ]],$Q$5))</f>
        <v/>
      </c>
    </row>
    <row r="17593" spans="15:15" x14ac:dyDescent="0.25">
      <c r="O17593" s="20" t="str">
        <f>IF(N17593="","",COUNTIFS(RawData[[Date ]],N17593,RawData[Month List],$Q$6,RawData[Tour/Site],$Q$2,RawData[[Picker ID ]],$Q$3,RawData[Checker ID],$Q$4,RawData[[Error Type ]],$Q$5))</f>
        <v/>
      </c>
    </row>
    <row r="17594" spans="15:15" x14ac:dyDescent="0.25">
      <c r="O17594" s="20" t="str">
        <f>IF(N17594="","",COUNTIFS(RawData[[Date ]],N17594,RawData[Month List],$Q$6,RawData[Tour/Site],$Q$2,RawData[[Picker ID ]],$Q$3,RawData[Checker ID],$Q$4,RawData[[Error Type ]],$Q$5))</f>
        <v/>
      </c>
    </row>
    <row r="17595" spans="15:15" x14ac:dyDescent="0.25">
      <c r="O17595" s="20" t="str">
        <f>IF(N17595="","",COUNTIFS(RawData[[Date ]],N17595,RawData[Month List],$Q$6,RawData[Tour/Site],$Q$2,RawData[[Picker ID ]],$Q$3,RawData[Checker ID],$Q$4,RawData[[Error Type ]],$Q$5))</f>
        <v/>
      </c>
    </row>
    <row r="17596" spans="15:15" x14ac:dyDescent="0.25">
      <c r="O17596" s="20" t="str">
        <f>IF(N17596="","",COUNTIFS(RawData[[Date ]],N17596,RawData[Month List],$Q$6,RawData[Tour/Site],$Q$2,RawData[[Picker ID ]],$Q$3,RawData[Checker ID],$Q$4,RawData[[Error Type ]],$Q$5))</f>
        <v/>
      </c>
    </row>
    <row r="17597" spans="15:15" x14ac:dyDescent="0.25">
      <c r="O17597" s="20" t="str">
        <f>IF(N17597="","",COUNTIFS(RawData[[Date ]],N17597,RawData[Month List],$Q$6,RawData[Tour/Site],$Q$2,RawData[[Picker ID ]],$Q$3,RawData[Checker ID],$Q$4,RawData[[Error Type ]],$Q$5))</f>
        <v/>
      </c>
    </row>
    <row r="17598" spans="15:15" x14ac:dyDescent="0.25">
      <c r="O17598" s="20" t="str">
        <f>IF(N17598="","",COUNTIFS(RawData[[Date ]],N17598,RawData[Month List],$Q$6,RawData[Tour/Site],$Q$2,RawData[[Picker ID ]],$Q$3,RawData[Checker ID],$Q$4,RawData[[Error Type ]],$Q$5))</f>
        <v/>
      </c>
    </row>
    <row r="17599" spans="15:15" x14ac:dyDescent="0.25">
      <c r="O17599" s="20" t="str">
        <f>IF(N17599="","",COUNTIFS(RawData[[Date ]],N17599,RawData[Month List],$Q$6,RawData[Tour/Site],$Q$2,RawData[[Picker ID ]],$Q$3,RawData[Checker ID],$Q$4,RawData[[Error Type ]],$Q$5))</f>
        <v/>
      </c>
    </row>
    <row r="17600" spans="15:15" x14ac:dyDescent="0.25">
      <c r="O17600" s="20" t="str">
        <f>IF(N17600="","",COUNTIFS(RawData[[Date ]],N17600,RawData[Month List],$Q$6,RawData[Tour/Site],$Q$2,RawData[[Picker ID ]],$Q$3,RawData[Checker ID],$Q$4,RawData[[Error Type ]],$Q$5))</f>
        <v/>
      </c>
    </row>
    <row r="17601" spans="15:15" x14ac:dyDescent="0.25">
      <c r="O17601" s="20" t="str">
        <f>IF(N17601="","",COUNTIFS(RawData[[Date ]],N17601,RawData[Month List],$Q$6,RawData[Tour/Site],$Q$2,RawData[[Picker ID ]],$Q$3,RawData[Checker ID],$Q$4,RawData[[Error Type ]],$Q$5))</f>
        <v/>
      </c>
    </row>
    <row r="17602" spans="15:15" x14ac:dyDescent="0.25">
      <c r="O17602" s="20" t="str">
        <f>IF(N17602="","",COUNTIFS(RawData[[Date ]],N17602,RawData[Month List],$Q$6,RawData[Tour/Site],$Q$2,RawData[[Picker ID ]],$Q$3,RawData[Checker ID],$Q$4,RawData[[Error Type ]],$Q$5))</f>
        <v/>
      </c>
    </row>
    <row r="17603" spans="15:15" x14ac:dyDescent="0.25">
      <c r="O17603" s="20" t="str">
        <f>IF(N17603="","",COUNTIFS(RawData[[Date ]],N17603,RawData[Month List],$Q$6,RawData[Tour/Site],$Q$2,RawData[[Picker ID ]],$Q$3,RawData[Checker ID],$Q$4,RawData[[Error Type ]],$Q$5))</f>
        <v/>
      </c>
    </row>
    <row r="17604" spans="15:15" x14ac:dyDescent="0.25">
      <c r="O17604" s="20" t="str">
        <f>IF(N17604="","",COUNTIFS(RawData[[Date ]],N17604,RawData[Month List],$Q$6,RawData[Tour/Site],$Q$2,RawData[[Picker ID ]],$Q$3,RawData[Checker ID],$Q$4,RawData[[Error Type ]],$Q$5))</f>
        <v/>
      </c>
    </row>
    <row r="17605" spans="15:15" x14ac:dyDescent="0.25">
      <c r="O17605" s="20" t="str">
        <f>IF(N17605="","",COUNTIFS(RawData[[Date ]],N17605,RawData[Month List],$Q$6,RawData[Tour/Site],$Q$2,RawData[[Picker ID ]],$Q$3,RawData[Checker ID],$Q$4,RawData[[Error Type ]],$Q$5))</f>
        <v/>
      </c>
    </row>
    <row r="17606" spans="15:15" x14ac:dyDescent="0.25">
      <c r="O17606" s="20" t="str">
        <f>IF(N17606="","",COUNTIFS(RawData[[Date ]],N17606,RawData[Month List],$Q$6,RawData[Tour/Site],$Q$2,RawData[[Picker ID ]],$Q$3,RawData[Checker ID],$Q$4,RawData[[Error Type ]],$Q$5))</f>
        <v/>
      </c>
    </row>
    <row r="17607" spans="15:15" x14ac:dyDescent="0.25">
      <c r="O17607" s="20" t="str">
        <f>IF(N17607="","",COUNTIFS(RawData[[Date ]],N17607,RawData[Month List],$Q$6,RawData[Tour/Site],$Q$2,RawData[[Picker ID ]],$Q$3,RawData[Checker ID],$Q$4,RawData[[Error Type ]],$Q$5))</f>
        <v/>
      </c>
    </row>
    <row r="17608" spans="15:15" x14ac:dyDescent="0.25">
      <c r="O17608" s="20" t="str">
        <f>IF(N17608="","",COUNTIFS(RawData[[Date ]],N17608,RawData[Month List],$Q$6,RawData[Tour/Site],$Q$2,RawData[[Picker ID ]],$Q$3,RawData[Checker ID],$Q$4,RawData[[Error Type ]],$Q$5))</f>
        <v/>
      </c>
    </row>
    <row r="17609" spans="15:15" x14ac:dyDescent="0.25">
      <c r="O17609" s="20" t="str">
        <f>IF(N17609="","",COUNTIFS(RawData[[Date ]],N17609,RawData[Month List],$Q$6,RawData[Tour/Site],$Q$2,RawData[[Picker ID ]],$Q$3,RawData[Checker ID],$Q$4,RawData[[Error Type ]],$Q$5))</f>
        <v/>
      </c>
    </row>
    <row r="17610" spans="15:15" x14ac:dyDescent="0.25">
      <c r="O17610" s="20" t="str">
        <f>IF(N17610="","",COUNTIFS(RawData[[Date ]],N17610,RawData[Month List],$Q$6,RawData[Tour/Site],$Q$2,RawData[[Picker ID ]],$Q$3,RawData[Checker ID],$Q$4,RawData[[Error Type ]],$Q$5))</f>
        <v/>
      </c>
    </row>
    <row r="17611" spans="15:15" x14ac:dyDescent="0.25">
      <c r="O17611" s="20" t="str">
        <f>IF(N17611="","",COUNTIFS(RawData[[Date ]],N17611,RawData[Month List],$Q$6,RawData[Tour/Site],$Q$2,RawData[[Picker ID ]],$Q$3,RawData[Checker ID],$Q$4,RawData[[Error Type ]],$Q$5))</f>
        <v/>
      </c>
    </row>
    <row r="17612" spans="15:15" x14ac:dyDescent="0.25">
      <c r="O17612" s="20" t="str">
        <f>IF(N17612="","",COUNTIFS(RawData[[Date ]],N17612,RawData[Month List],$Q$6,RawData[Tour/Site],$Q$2,RawData[[Picker ID ]],$Q$3,RawData[Checker ID],$Q$4,RawData[[Error Type ]],$Q$5))</f>
        <v/>
      </c>
    </row>
    <row r="17613" spans="15:15" x14ac:dyDescent="0.25">
      <c r="O17613" s="20" t="str">
        <f>IF(N17613="","",COUNTIFS(RawData[[Date ]],N17613,RawData[Month List],$Q$6,RawData[Tour/Site],$Q$2,RawData[[Picker ID ]],$Q$3,RawData[Checker ID],$Q$4,RawData[[Error Type ]],$Q$5))</f>
        <v/>
      </c>
    </row>
    <row r="17614" spans="15:15" x14ac:dyDescent="0.25">
      <c r="O17614" s="20" t="str">
        <f>IF(N17614="","",COUNTIFS(RawData[[Date ]],N17614,RawData[Month List],$Q$6,RawData[Tour/Site],$Q$2,RawData[[Picker ID ]],$Q$3,RawData[Checker ID],$Q$4,RawData[[Error Type ]],$Q$5))</f>
        <v/>
      </c>
    </row>
    <row r="17615" spans="15:15" x14ac:dyDescent="0.25">
      <c r="O17615" s="20" t="str">
        <f>IF(N17615="","",COUNTIFS(RawData[[Date ]],N17615,RawData[Month List],$Q$6,RawData[Tour/Site],$Q$2,RawData[[Picker ID ]],$Q$3,RawData[Checker ID],$Q$4,RawData[[Error Type ]],$Q$5))</f>
        <v/>
      </c>
    </row>
    <row r="17616" spans="15:15" x14ac:dyDescent="0.25">
      <c r="O17616" s="20" t="str">
        <f>IF(N17616="","",COUNTIFS(RawData[[Date ]],N17616,RawData[Month List],$Q$6,RawData[Tour/Site],$Q$2,RawData[[Picker ID ]],$Q$3,RawData[Checker ID],$Q$4,RawData[[Error Type ]],$Q$5))</f>
        <v/>
      </c>
    </row>
    <row r="17617" spans="15:15" x14ac:dyDescent="0.25">
      <c r="O17617" s="20" t="str">
        <f>IF(N17617="","",COUNTIFS(RawData[[Date ]],N17617,RawData[Month List],$Q$6,RawData[Tour/Site],$Q$2,RawData[[Picker ID ]],$Q$3,RawData[Checker ID],$Q$4,RawData[[Error Type ]],$Q$5))</f>
        <v/>
      </c>
    </row>
    <row r="17618" spans="15:15" x14ac:dyDescent="0.25">
      <c r="O17618" s="20" t="str">
        <f>IF(N17618="","",COUNTIFS(RawData[[Date ]],N17618,RawData[Month List],$Q$6,RawData[Tour/Site],$Q$2,RawData[[Picker ID ]],$Q$3,RawData[Checker ID],$Q$4,RawData[[Error Type ]],$Q$5))</f>
        <v/>
      </c>
    </row>
    <row r="17619" spans="15:15" x14ac:dyDescent="0.25">
      <c r="O17619" s="20" t="str">
        <f>IF(N17619="","",COUNTIFS(RawData[[Date ]],N17619,RawData[Month List],$Q$6,RawData[Tour/Site],$Q$2,RawData[[Picker ID ]],$Q$3,RawData[Checker ID],$Q$4,RawData[[Error Type ]],$Q$5))</f>
        <v/>
      </c>
    </row>
    <row r="17620" spans="15:15" x14ac:dyDescent="0.25">
      <c r="O17620" s="20" t="str">
        <f>IF(N17620="","",COUNTIFS(RawData[[Date ]],N17620,RawData[Month List],$Q$6,RawData[Tour/Site],$Q$2,RawData[[Picker ID ]],$Q$3,RawData[Checker ID],$Q$4,RawData[[Error Type ]],$Q$5))</f>
        <v/>
      </c>
    </row>
    <row r="17621" spans="15:15" x14ac:dyDescent="0.25">
      <c r="O17621" s="20" t="str">
        <f>IF(N17621="","",COUNTIFS(RawData[[Date ]],N17621,RawData[Month List],$Q$6,RawData[Tour/Site],$Q$2,RawData[[Picker ID ]],$Q$3,RawData[Checker ID],$Q$4,RawData[[Error Type ]],$Q$5))</f>
        <v/>
      </c>
    </row>
    <row r="17622" spans="15:15" x14ac:dyDescent="0.25">
      <c r="O17622" s="20" t="str">
        <f>IF(N17622="","",COUNTIFS(RawData[[Date ]],N17622,RawData[Month List],$Q$6,RawData[Tour/Site],$Q$2,RawData[[Picker ID ]],$Q$3,RawData[Checker ID],$Q$4,RawData[[Error Type ]],$Q$5))</f>
        <v/>
      </c>
    </row>
    <row r="17623" spans="15:15" x14ac:dyDescent="0.25">
      <c r="O17623" s="20" t="str">
        <f>IF(N17623="","",COUNTIFS(RawData[[Date ]],N17623,RawData[Month List],$Q$6,RawData[Tour/Site],$Q$2,RawData[[Picker ID ]],$Q$3,RawData[Checker ID],$Q$4,RawData[[Error Type ]],$Q$5))</f>
        <v/>
      </c>
    </row>
    <row r="17624" spans="15:15" x14ac:dyDescent="0.25">
      <c r="O17624" s="20" t="str">
        <f>IF(N17624="","",COUNTIFS(RawData[[Date ]],N17624,RawData[Month List],$Q$6,RawData[Tour/Site],$Q$2,RawData[[Picker ID ]],$Q$3,RawData[Checker ID],$Q$4,RawData[[Error Type ]],$Q$5))</f>
        <v/>
      </c>
    </row>
    <row r="17625" spans="15:15" x14ac:dyDescent="0.25">
      <c r="O17625" s="20" t="str">
        <f>IF(N17625="","",COUNTIFS(RawData[[Date ]],N17625,RawData[Month List],$Q$6,RawData[Tour/Site],$Q$2,RawData[[Picker ID ]],$Q$3,RawData[Checker ID],$Q$4,RawData[[Error Type ]],$Q$5))</f>
        <v/>
      </c>
    </row>
    <row r="17626" spans="15:15" x14ac:dyDescent="0.25">
      <c r="O17626" s="20" t="str">
        <f>IF(N17626="","",COUNTIFS(RawData[[Date ]],N17626,RawData[Month List],$Q$6,RawData[Tour/Site],$Q$2,RawData[[Picker ID ]],$Q$3,RawData[Checker ID],$Q$4,RawData[[Error Type ]],$Q$5))</f>
        <v/>
      </c>
    </row>
    <row r="17627" spans="15:15" x14ac:dyDescent="0.25">
      <c r="O17627" s="20" t="str">
        <f>IF(N17627="","",COUNTIFS(RawData[[Date ]],N17627,RawData[Month List],$Q$6,RawData[Tour/Site],$Q$2,RawData[[Picker ID ]],$Q$3,RawData[Checker ID],$Q$4,RawData[[Error Type ]],$Q$5))</f>
        <v/>
      </c>
    </row>
    <row r="17628" spans="15:15" x14ac:dyDescent="0.25">
      <c r="O17628" s="20" t="str">
        <f>IF(N17628="","",COUNTIFS(RawData[[Date ]],N17628,RawData[Month List],$Q$6,RawData[Tour/Site],$Q$2,RawData[[Picker ID ]],$Q$3,RawData[Checker ID],$Q$4,RawData[[Error Type ]],$Q$5))</f>
        <v/>
      </c>
    </row>
    <row r="17629" spans="15:15" x14ac:dyDescent="0.25">
      <c r="O17629" s="20" t="str">
        <f>IF(N17629="","",COUNTIFS(RawData[[Date ]],N17629,RawData[Month List],$Q$6,RawData[Tour/Site],$Q$2,RawData[[Picker ID ]],$Q$3,RawData[Checker ID],$Q$4,RawData[[Error Type ]],$Q$5))</f>
        <v/>
      </c>
    </row>
    <row r="17630" spans="15:15" x14ac:dyDescent="0.25">
      <c r="O17630" s="20" t="str">
        <f>IF(N17630="","",COUNTIFS(RawData[[Date ]],N17630,RawData[Month List],$Q$6,RawData[Tour/Site],$Q$2,RawData[[Picker ID ]],$Q$3,RawData[Checker ID],$Q$4,RawData[[Error Type ]],$Q$5))</f>
        <v/>
      </c>
    </row>
    <row r="17631" spans="15:15" x14ac:dyDescent="0.25">
      <c r="O17631" s="20" t="str">
        <f>IF(N17631="","",COUNTIFS(RawData[[Date ]],N17631,RawData[Month List],$Q$6,RawData[Tour/Site],$Q$2,RawData[[Picker ID ]],$Q$3,RawData[Checker ID],$Q$4,RawData[[Error Type ]],$Q$5))</f>
        <v/>
      </c>
    </row>
    <row r="17632" spans="15:15" x14ac:dyDescent="0.25">
      <c r="O17632" s="20" t="str">
        <f>IF(N17632="","",COUNTIFS(RawData[[Date ]],N17632,RawData[Month List],$Q$6,RawData[Tour/Site],$Q$2,RawData[[Picker ID ]],$Q$3,RawData[Checker ID],$Q$4,RawData[[Error Type ]],$Q$5))</f>
        <v/>
      </c>
    </row>
    <row r="17633" spans="15:15" x14ac:dyDescent="0.25">
      <c r="O17633" s="20" t="str">
        <f>IF(N17633="","",COUNTIFS(RawData[[Date ]],N17633,RawData[Month List],$Q$6,RawData[Tour/Site],$Q$2,RawData[[Picker ID ]],$Q$3,RawData[Checker ID],$Q$4,RawData[[Error Type ]],$Q$5))</f>
        <v/>
      </c>
    </row>
    <row r="17634" spans="15:15" x14ac:dyDescent="0.25">
      <c r="O17634" s="20" t="str">
        <f>IF(N17634="","",COUNTIFS(RawData[[Date ]],N17634,RawData[Month List],$Q$6,RawData[Tour/Site],$Q$2,RawData[[Picker ID ]],$Q$3,RawData[Checker ID],$Q$4,RawData[[Error Type ]],$Q$5))</f>
        <v/>
      </c>
    </row>
    <row r="17635" spans="15:15" x14ac:dyDescent="0.25">
      <c r="O17635" s="20" t="str">
        <f>IF(N17635="","",COUNTIFS(RawData[[Date ]],N17635,RawData[Month List],$Q$6,RawData[Tour/Site],$Q$2,RawData[[Picker ID ]],$Q$3,RawData[Checker ID],$Q$4,RawData[[Error Type ]],$Q$5))</f>
        <v/>
      </c>
    </row>
    <row r="17636" spans="15:15" x14ac:dyDescent="0.25">
      <c r="O17636" s="20" t="str">
        <f>IF(N17636="","",COUNTIFS(RawData[[Date ]],N17636,RawData[Month List],$Q$6,RawData[Tour/Site],$Q$2,RawData[[Picker ID ]],$Q$3,RawData[Checker ID],$Q$4,RawData[[Error Type ]],$Q$5))</f>
        <v/>
      </c>
    </row>
    <row r="17637" spans="15:15" x14ac:dyDescent="0.25">
      <c r="O17637" s="20" t="str">
        <f>IF(N17637="","",COUNTIFS(RawData[[Date ]],N17637,RawData[Month List],$Q$6,RawData[Tour/Site],$Q$2,RawData[[Picker ID ]],$Q$3,RawData[Checker ID],$Q$4,RawData[[Error Type ]],$Q$5))</f>
        <v/>
      </c>
    </row>
    <row r="17638" spans="15:15" x14ac:dyDescent="0.25">
      <c r="O17638" s="20" t="str">
        <f>IF(N17638="","",COUNTIFS(RawData[[Date ]],N17638,RawData[Month List],$Q$6,RawData[Tour/Site],$Q$2,RawData[[Picker ID ]],$Q$3,RawData[Checker ID],$Q$4,RawData[[Error Type ]],$Q$5))</f>
        <v/>
      </c>
    </row>
    <row r="17639" spans="15:15" x14ac:dyDescent="0.25">
      <c r="O17639" s="20" t="str">
        <f>IF(N17639="","",COUNTIFS(RawData[[Date ]],N17639,RawData[Month List],$Q$6,RawData[Tour/Site],$Q$2,RawData[[Picker ID ]],$Q$3,RawData[Checker ID],$Q$4,RawData[[Error Type ]],$Q$5))</f>
        <v/>
      </c>
    </row>
    <row r="17640" spans="15:15" x14ac:dyDescent="0.25">
      <c r="O17640" s="20" t="str">
        <f>IF(N17640="","",COUNTIFS(RawData[[Date ]],N17640,RawData[Month List],$Q$6,RawData[Tour/Site],$Q$2,RawData[[Picker ID ]],$Q$3,RawData[Checker ID],$Q$4,RawData[[Error Type ]],$Q$5))</f>
        <v/>
      </c>
    </row>
    <row r="17641" spans="15:15" x14ac:dyDescent="0.25">
      <c r="O17641" s="20" t="str">
        <f>IF(N17641="","",COUNTIFS(RawData[[Date ]],N17641,RawData[Month List],$Q$6,RawData[Tour/Site],$Q$2,RawData[[Picker ID ]],$Q$3,RawData[Checker ID],$Q$4,RawData[[Error Type ]],$Q$5))</f>
        <v/>
      </c>
    </row>
    <row r="17642" spans="15:15" x14ac:dyDescent="0.25">
      <c r="O17642" s="20" t="str">
        <f>IF(N17642="","",COUNTIFS(RawData[[Date ]],N17642,RawData[Month List],$Q$6,RawData[Tour/Site],$Q$2,RawData[[Picker ID ]],$Q$3,RawData[Checker ID],$Q$4,RawData[[Error Type ]],$Q$5))</f>
        <v/>
      </c>
    </row>
    <row r="17643" spans="15:15" x14ac:dyDescent="0.25">
      <c r="O17643" s="20" t="str">
        <f>IF(N17643="","",COUNTIFS(RawData[[Date ]],N17643,RawData[Month List],$Q$6,RawData[Tour/Site],$Q$2,RawData[[Picker ID ]],$Q$3,RawData[Checker ID],$Q$4,RawData[[Error Type ]],$Q$5))</f>
        <v/>
      </c>
    </row>
    <row r="17644" spans="15:15" x14ac:dyDescent="0.25">
      <c r="O17644" s="20" t="str">
        <f>IF(N17644="","",COUNTIFS(RawData[[Date ]],N17644,RawData[Month List],$Q$6,RawData[Tour/Site],$Q$2,RawData[[Picker ID ]],$Q$3,RawData[Checker ID],$Q$4,RawData[[Error Type ]],$Q$5))</f>
        <v/>
      </c>
    </row>
    <row r="17645" spans="15:15" x14ac:dyDescent="0.25">
      <c r="O17645" s="20" t="str">
        <f>IF(N17645="","",COUNTIFS(RawData[[Date ]],N17645,RawData[Month List],$Q$6,RawData[Tour/Site],$Q$2,RawData[[Picker ID ]],$Q$3,RawData[Checker ID],$Q$4,RawData[[Error Type ]],$Q$5))</f>
        <v/>
      </c>
    </row>
    <row r="17646" spans="15:15" x14ac:dyDescent="0.25">
      <c r="O17646" s="20" t="str">
        <f>IF(N17646="","",COUNTIFS(RawData[[Date ]],N17646,RawData[Month List],$Q$6,RawData[Tour/Site],$Q$2,RawData[[Picker ID ]],$Q$3,RawData[Checker ID],$Q$4,RawData[[Error Type ]],$Q$5))</f>
        <v/>
      </c>
    </row>
    <row r="17647" spans="15:15" x14ac:dyDescent="0.25">
      <c r="O17647" s="20" t="str">
        <f>IF(N17647="","",COUNTIFS(RawData[[Date ]],N17647,RawData[Month List],$Q$6,RawData[Tour/Site],$Q$2,RawData[[Picker ID ]],$Q$3,RawData[Checker ID],$Q$4,RawData[[Error Type ]],$Q$5))</f>
        <v/>
      </c>
    </row>
    <row r="17648" spans="15:15" x14ac:dyDescent="0.25">
      <c r="O17648" s="20" t="str">
        <f>IF(N17648="","",COUNTIFS(RawData[[Date ]],N17648,RawData[Month List],$Q$6,RawData[Tour/Site],$Q$2,RawData[[Picker ID ]],$Q$3,RawData[Checker ID],$Q$4,RawData[[Error Type ]],$Q$5))</f>
        <v/>
      </c>
    </row>
    <row r="17649" spans="15:15" x14ac:dyDescent="0.25">
      <c r="O17649" s="20" t="str">
        <f>IF(N17649="","",COUNTIFS(RawData[[Date ]],N17649,RawData[Month List],$Q$6,RawData[Tour/Site],$Q$2,RawData[[Picker ID ]],$Q$3,RawData[Checker ID],$Q$4,RawData[[Error Type ]],$Q$5))</f>
        <v/>
      </c>
    </row>
    <row r="17650" spans="15:15" x14ac:dyDescent="0.25">
      <c r="O17650" s="20" t="str">
        <f>IF(N17650="","",COUNTIFS(RawData[[Date ]],N17650,RawData[Month List],$Q$6,RawData[Tour/Site],$Q$2,RawData[[Picker ID ]],$Q$3,RawData[Checker ID],$Q$4,RawData[[Error Type ]],$Q$5))</f>
        <v/>
      </c>
    </row>
    <row r="17651" spans="15:15" x14ac:dyDescent="0.25">
      <c r="O17651" s="20" t="str">
        <f>IF(N17651="","",COUNTIFS(RawData[[Date ]],N17651,RawData[Month List],$Q$6,RawData[Tour/Site],$Q$2,RawData[[Picker ID ]],$Q$3,RawData[Checker ID],$Q$4,RawData[[Error Type ]],$Q$5))</f>
        <v/>
      </c>
    </row>
    <row r="17652" spans="15:15" x14ac:dyDescent="0.25">
      <c r="O17652" s="20" t="str">
        <f>IF(N17652="","",COUNTIFS(RawData[[Date ]],N17652,RawData[Month List],$Q$6,RawData[Tour/Site],$Q$2,RawData[[Picker ID ]],$Q$3,RawData[Checker ID],$Q$4,RawData[[Error Type ]],$Q$5))</f>
        <v/>
      </c>
    </row>
    <row r="17653" spans="15:15" x14ac:dyDescent="0.25">
      <c r="O17653" s="20" t="str">
        <f>IF(N17653="","",COUNTIFS(RawData[[Date ]],N17653,RawData[Month List],$Q$6,RawData[Tour/Site],$Q$2,RawData[[Picker ID ]],$Q$3,RawData[Checker ID],$Q$4,RawData[[Error Type ]],$Q$5))</f>
        <v/>
      </c>
    </row>
    <row r="17654" spans="15:15" x14ac:dyDescent="0.25">
      <c r="O17654" s="20" t="str">
        <f>IF(N17654="","",COUNTIFS(RawData[[Date ]],N17654,RawData[Month List],$Q$6,RawData[Tour/Site],$Q$2,RawData[[Picker ID ]],$Q$3,RawData[Checker ID],$Q$4,RawData[[Error Type ]],$Q$5))</f>
        <v/>
      </c>
    </row>
    <row r="17655" spans="15:15" x14ac:dyDescent="0.25">
      <c r="O17655" s="20" t="str">
        <f>IF(N17655="","",COUNTIFS(RawData[[Date ]],N17655,RawData[Month List],$Q$6,RawData[Tour/Site],$Q$2,RawData[[Picker ID ]],$Q$3,RawData[Checker ID],$Q$4,RawData[[Error Type ]],$Q$5))</f>
        <v/>
      </c>
    </row>
    <row r="17656" spans="15:15" x14ac:dyDescent="0.25">
      <c r="O17656" s="20" t="str">
        <f>IF(N17656="","",COUNTIFS(RawData[[Date ]],N17656,RawData[Month List],$Q$6,RawData[Tour/Site],$Q$2,RawData[[Picker ID ]],$Q$3,RawData[Checker ID],$Q$4,RawData[[Error Type ]],$Q$5))</f>
        <v/>
      </c>
    </row>
    <row r="17657" spans="15:15" x14ac:dyDescent="0.25">
      <c r="O17657" s="20" t="str">
        <f>IF(N17657="","",COUNTIFS(RawData[[Date ]],N17657,RawData[Month List],$Q$6,RawData[Tour/Site],$Q$2,RawData[[Picker ID ]],$Q$3,RawData[Checker ID],$Q$4,RawData[[Error Type ]],$Q$5))</f>
        <v/>
      </c>
    </row>
    <row r="17658" spans="15:15" x14ac:dyDescent="0.25">
      <c r="O17658" s="20" t="str">
        <f>IF(N17658="","",COUNTIFS(RawData[[Date ]],N17658,RawData[Month List],$Q$6,RawData[Tour/Site],$Q$2,RawData[[Picker ID ]],$Q$3,RawData[Checker ID],$Q$4,RawData[[Error Type ]],$Q$5))</f>
        <v/>
      </c>
    </row>
    <row r="17659" spans="15:15" x14ac:dyDescent="0.25">
      <c r="O17659" s="20" t="str">
        <f>IF(N17659="","",COUNTIFS(RawData[[Date ]],N17659,RawData[Month List],$Q$6,RawData[Tour/Site],$Q$2,RawData[[Picker ID ]],$Q$3,RawData[Checker ID],$Q$4,RawData[[Error Type ]],$Q$5))</f>
        <v/>
      </c>
    </row>
    <row r="17660" spans="15:15" x14ac:dyDescent="0.25">
      <c r="O17660" s="20" t="str">
        <f>IF(N17660="","",COUNTIFS(RawData[[Date ]],N17660,RawData[Month List],$Q$6,RawData[Tour/Site],$Q$2,RawData[[Picker ID ]],$Q$3,RawData[Checker ID],$Q$4,RawData[[Error Type ]],$Q$5))</f>
        <v/>
      </c>
    </row>
    <row r="17661" spans="15:15" x14ac:dyDescent="0.25">
      <c r="O17661" s="20" t="str">
        <f>IF(N17661="","",COUNTIFS(RawData[[Date ]],N17661,RawData[Month List],$Q$6,RawData[Tour/Site],$Q$2,RawData[[Picker ID ]],$Q$3,RawData[Checker ID],$Q$4,RawData[[Error Type ]],$Q$5))</f>
        <v/>
      </c>
    </row>
    <row r="17662" spans="15:15" x14ac:dyDescent="0.25">
      <c r="O17662" s="20" t="str">
        <f>IF(N17662="","",COUNTIFS(RawData[[Date ]],N17662,RawData[Month List],$Q$6,RawData[Tour/Site],$Q$2,RawData[[Picker ID ]],$Q$3,RawData[Checker ID],$Q$4,RawData[[Error Type ]],$Q$5))</f>
        <v/>
      </c>
    </row>
    <row r="17663" spans="15:15" x14ac:dyDescent="0.25">
      <c r="O17663" s="20" t="str">
        <f>IF(N17663="","",COUNTIFS(RawData[[Date ]],N17663,RawData[Month List],$Q$6,RawData[Tour/Site],$Q$2,RawData[[Picker ID ]],$Q$3,RawData[Checker ID],$Q$4,RawData[[Error Type ]],$Q$5))</f>
        <v/>
      </c>
    </row>
    <row r="17664" spans="15:15" x14ac:dyDescent="0.25">
      <c r="O17664" s="20" t="str">
        <f>IF(N17664="","",COUNTIFS(RawData[[Date ]],N17664,RawData[Month List],$Q$6,RawData[Tour/Site],$Q$2,RawData[[Picker ID ]],$Q$3,RawData[Checker ID],$Q$4,RawData[[Error Type ]],$Q$5))</f>
        <v/>
      </c>
    </row>
    <row r="17665" spans="15:15" x14ac:dyDescent="0.25">
      <c r="O17665" s="20" t="str">
        <f>IF(N17665="","",COUNTIFS(RawData[[Date ]],N17665,RawData[Month List],$Q$6,RawData[Tour/Site],$Q$2,RawData[[Picker ID ]],$Q$3,RawData[Checker ID],$Q$4,RawData[[Error Type ]],$Q$5))</f>
        <v/>
      </c>
    </row>
    <row r="17666" spans="15:15" x14ac:dyDescent="0.25">
      <c r="O17666" s="20" t="str">
        <f>IF(N17666="","",COUNTIFS(RawData[[Date ]],N17666,RawData[Month List],$Q$6,RawData[Tour/Site],$Q$2,RawData[[Picker ID ]],$Q$3,RawData[Checker ID],$Q$4,RawData[[Error Type ]],$Q$5))</f>
        <v/>
      </c>
    </row>
    <row r="17667" spans="15:15" x14ac:dyDescent="0.25">
      <c r="O17667" s="20" t="str">
        <f>IF(N17667="","",COUNTIFS(RawData[[Date ]],N17667,RawData[Month List],$Q$6,RawData[Tour/Site],$Q$2,RawData[[Picker ID ]],$Q$3,RawData[Checker ID],$Q$4,RawData[[Error Type ]],$Q$5))</f>
        <v/>
      </c>
    </row>
    <row r="17668" spans="15:15" x14ac:dyDescent="0.25">
      <c r="O17668" s="20" t="str">
        <f>IF(N17668="","",COUNTIFS(RawData[[Date ]],N17668,RawData[Month List],$Q$6,RawData[Tour/Site],$Q$2,RawData[[Picker ID ]],$Q$3,RawData[Checker ID],$Q$4,RawData[[Error Type ]],$Q$5))</f>
        <v/>
      </c>
    </row>
    <row r="17669" spans="15:15" x14ac:dyDescent="0.25">
      <c r="O17669" s="20" t="str">
        <f>IF(N17669="","",COUNTIFS(RawData[[Date ]],N17669,RawData[Month List],$Q$6,RawData[Tour/Site],$Q$2,RawData[[Picker ID ]],$Q$3,RawData[Checker ID],$Q$4,RawData[[Error Type ]],$Q$5))</f>
        <v/>
      </c>
    </row>
    <row r="17670" spans="15:15" x14ac:dyDescent="0.25">
      <c r="O17670" s="20" t="str">
        <f>IF(N17670="","",COUNTIFS(RawData[[Date ]],N17670,RawData[Month List],$Q$6,RawData[Tour/Site],$Q$2,RawData[[Picker ID ]],$Q$3,RawData[Checker ID],$Q$4,RawData[[Error Type ]],$Q$5))</f>
        <v/>
      </c>
    </row>
    <row r="17671" spans="15:15" x14ac:dyDescent="0.25">
      <c r="O17671" s="20" t="str">
        <f>IF(N17671="","",COUNTIFS(RawData[[Date ]],N17671,RawData[Month List],$Q$6,RawData[Tour/Site],$Q$2,RawData[[Picker ID ]],$Q$3,RawData[Checker ID],$Q$4,RawData[[Error Type ]],$Q$5))</f>
        <v/>
      </c>
    </row>
    <row r="17672" spans="15:15" x14ac:dyDescent="0.25">
      <c r="O17672" s="20" t="str">
        <f>IF(N17672="","",COUNTIFS(RawData[[Date ]],N17672,RawData[Month List],$Q$6,RawData[Tour/Site],$Q$2,RawData[[Picker ID ]],$Q$3,RawData[Checker ID],$Q$4,RawData[[Error Type ]],$Q$5))</f>
        <v/>
      </c>
    </row>
    <row r="17673" spans="15:15" x14ac:dyDescent="0.25">
      <c r="O17673" s="20" t="str">
        <f>IF(N17673="","",COUNTIFS(RawData[[Date ]],N17673,RawData[Month List],$Q$6,RawData[Tour/Site],$Q$2,RawData[[Picker ID ]],$Q$3,RawData[Checker ID],$Q$4,RawData[[Error Type ]],$Q$5))</f>
        <v/>
      </c>
    </row>
    <row r="17674" spans="15:15" x14ac:dyDescent="0.25">
      <c r="O17674" s="20" t="str">
        <f>IF(N17674="","",COUNTIFS(RawData[[Date ]],N17674,RawData[Month List],$Q$6,RawData[Tour/Site],$Q$2,RawData[[Picker ID ]],$Q$3,RawData[Checker ID],$Q$4,RawData[[Error Type ]],$Q$5))</f>
        <v/>
      </c>
    </row>
    <row r="17675" spans="15:15" x14ac:dyDescent="0.25">
      <c r="O17675" s="20" t="str">
        <f>IF(N17675="","",COUNTIFS(RawData[[Date ]],N17675,RawData[Month List],$Q$6,RawData[Tour/Site],$Q$2,RawData[[Picker ID ]],$Q$3,RawData[Checker ID],$Q$4,RawData[[Error Type ]],$Q$5))</f>
        <v/>
      </c>
    </row>
    <row r="17676" spans="15:15" x14ac:dyDescent="0.25">
      <c r="O17676" s="20" t="str">
        <f>IF(N17676="","",COUNTIFS(RawData[[Date ]],N17676,RawData[Month List],$Q$6,RawData[Tour/Site],$Q$2,RawData[[Picker ID ]],$Q$3,RawData[Checker ID],$Q$4,RawData[[Error Type ]],$Q$5))</f>
        <v/>
      </c>
    </row>
    <row r="17677" spans="15:15" x14ac:dyDescent="0.25">
      <c r="O17677" s="20" t="str">
        <f>IF(N17677="","",COUNTIFS(RawData[[Date ]],N17677,RawData[Month List],$Q$6,RawData[Tour/Site],$Q$2,RawData[[Picker ID ]],$Q$3,RawData[Checker ID],$Q$4,RawData[[Error Type ]],$Q$5))</f>
        <v/>
      </c>
    </row>
    <row r="17678" spans="15:15" x14ac:dyDescent="0.25">
      <c r="O17678" s="20" t="str">
        <f>IF(N17678="","",COUNTIFS(RawData[[Date ]],N17678,RawData[Month List],$Q$6,RawData[Tour/Site],$Q$2,RawData[[Picker ID ]],$Q$3,RawData[Checker ID],$Q$4,RawData[[Error Type ]],$Q$5))</f>
        <v/>
      </c>
    </row>
    <row r="17679" spans="15:15" x14ac:dyDescent="0.25">
      <c r="O17679" s="20" t="str">
        <f>IF(N17679="","",COUNTIFS(RawData[[Date ]],N17679,RawData[Month List],$Q$6,RawData[Tour/Site],$Q$2,RawData[[Picker ID ]],$Q$3,RawData[Checker ID],$Q$4,RawData[[Error Type ]],$Q$5))</f>
        <v/>
      </c>
    </row>
    <row r="17680" spans="15:15" x14ac:dyDescent="0.25">
      <c r="O17680" s="20" t="str">
        <f>IF(N17680="","",COUNTIFS(RawData[[Date ]],N17680,RawData[Month List],$Q$6,RawData[Tour/Site],$Q$2,RawData[[Picker ID ]],$Q$3,RawData[Checker ID],$Q$4,RawData[[Error Type ]],$Q$5))</f>
        <v/>
      </c>
    </row>
    <row r="17681" spans="15:15" x14ac:dyDescent="0.25">
      <c r="O17681" s="20" t="str">
        <f>IF(N17681="","",COUNTIFS(RawData[[Date ]],N17681,RawData[Month List],$Q$6,RawData[Tour/Site],$Q$2,RawData[[Picker ID ]],$Q$3,RawData[Checker ID],$Q$4,RawData[[Error Type ]],$Q$5))</f>
        <v/>
      </c>
    </row>
    <row r="17682" spans="15:15" x14ac:dyDescent="0.25">
      <c r="O17682" s="20" t="str">
        <f>IF(N17682="","",COUNTIFS(RawData[[Date ]],N17682,RawData[Month List],$Q$6,RawData[Tour/Site],$Q$2,RawData[[Picker ID ]],$Q$3,RawData[Checker ID],$Q$4,RawData[[Error Type ]],$Q$5))</f>
        <v/>
      </c>
    </row>
    <row r="17683" spans="15:15" x14ac:dyDescent="0.25">
      <c r="O17683" s="20" t="str">
        <f>IF(N17683="","",COUNTIFS(RawData[[Date ]],N17683,RawData[Month List],$Q$6,RawData[Tour/Site],$Q$2,RawData[[Picker ID ]],$Q$3,RawData[Checker ID],$Q$4,RawData[[Error Type ]],$Q$5))</f>
        <v/>
      </c>
    </row>
    <row r="17684" spans="15:15" x14ac:dyDescent="0.25">
      <c r="O17684" s="20" t="str">
        <f>IF(N17684="","",COUNTIFS(RawData[[Date ]],N17684,RawData[Month List],$Q$6,RawData[Tour/Site],$Q$2,RawData[[Picker ID ]],$Q$3,RawData[Checker ID],$Q$4,RawData[[Error Type ]],$Q$5))</f>
        <v/>
      </c>
    </row>
    <row r="17685" spans="15:15" x14ac:dyDescent="0.25">
      <c r="O17685" s="20" t="str">
        <f>IF(N17685="","",COUNTIFS(RawData[[Date ]],N17685,RawData[Month List],$Q$6,RawData[Tour/Site],$Q$2,RawData[[Picker ID ]],$Q$3,RawData[Checker ID],$Q$4,RawData[[Error Type ]],$Q$5))</f>
        <v/>
      </c>
    </row>
    <row r="17686" spans="15:15" x14ac:dyDescent="0.25">
      <c r="O17686" s="20" t="str">
        <f>IF(N17686="","",COUNTIFS(RawData[[Date ]],N17686,RawData[Month List],$Q$6,RawData[Tour/Site],$Q$2,RawData[[Picker ID ]],$Q$3,RawData[Checker ID],$Q$4,RawData[[Error Type ]],$Q$5))</f>
        <v/>
      </c>
    </row>
    <row r="17687" spans="15:15" x14ac:dyDescent="0.25">
      <c r="O17687" s="20" t="str">
        <f>IF(N17687="","",COUNTIFS(RawData[[Date ]],N17687,RawData[Month List],$Q$6,RawData[Tour/Site],$Q$2,RawData[[Picker ID ]],$Q$3,RawData[Checker ID],$Q$4,RawData[[Error Type ]],$Q$5))</f>
        <v/>
      </c>
    </row>
    <row r="17688" spans="15:15" x14ac:dyDescent="0.25">
      <c r="O17688" s="20" t="str">
        <f>IF(N17688="","",COUNTIFS(RawData[[Date ]],N17688,RawData[Month List],$Q$6,RawData[Tour/Site],$Q$2,RawData[[Picker ID ]],$Q$3,RawData[Checker ID],$Q$4,RawData[[Error Type ]],$Q$5))</f>
        <v/>
      </c>
    </row>
    <row r="17689" spans="15:15" x14ac:dyDescent="0.25">
      <c r="O17689" s="20" t="str">
        <f>IF(N17689="","",COUNTIFS(RawData[[Date ]],N17689,RawData[Month List],$Q$6,RawData[Tour/Site],$Q$2,RawData[[Picker ID ]],$Q$3,RawData[Checker ID],$Q$4,RawData[[Error Type ]],$Q$5))</f>
        <v/>
      </c>
    </row>
    <row r="17690" spans="15:15" x14ac:dyDescent="0.25">
      <c r="O17690" s="20" t="str">
        <f>IF(N17690="","",COUNTIFS(RawData[[Date ]],N17690,RawData[Month List],$Q$6,RawData[Tour/Site],$Q$2,RawData[[Picker ID ]],$Q$3,RawData[Checker ID],$Q$4,RawData[[Error Type ]],$Q$5))</f>
        <v/>
      </c>
    </row>
    <row r="17691" spans="15:15" x14ac:dyDescent="0.25">
      <c r="O17691" s="20" t="str">
        <f>IF(N17691="","",COUNTIFS(RawData[[Date ]],N17691,RawData[Month List],$Q$6,RawData[Tour/Site],$Q$2,RawData[[Picker ID ]],$Q$3,RawData[Checker ID],$Q$4,RawData[[Error Type ]],$Q$5))</f>
        <v/>
      </c>
    </row>
    <row r="17692" spans="15:15" x14ac:dyDescent="0.25">
      <c r="O17692" s="20" t="str">
        <f>IF(N17692="","",COUNTIFS(RawData[[Date ]],N17692,RawData[Month List],$Q$6,RawData[Tour/Site],$Q$2,RawData[[Picker ID ]],$Q$3,RawData[Checker ID],$Q$4,RawData[[Error Type ]],$Q$5))</f>
        <v/>
      </c>
    </row>
    <row r="17693" spans="15:15" x14ac:dyDescent="0.25">
      <c r="O17693" s="20" t="str">
        <f>IF(N17693="","",COUNTIFS(RawData[[Date ]],N17693,RawData[Month List],$Q$6,RawData[Tour/Site],$Q$2,RawData[[Picker ID ]],$Q$3,RawData[Checker ID],$Q$4,RawData[[Error Type ]],$Q$5))</f>
        <v/>
      </c>
    </row>
    <row r="17694" spans="15:15" x14ac:dyDescent="0.25">
      <c r="O17694" s="20" t="str">
        <f>IF(N17694="","",COUNTIFS(RawData[[Date ]],N17694,RawData[Month List],$Q$6,RawData[Tour/Site],$Q$2,RawData[[Picker ID ]],$Q$3,RawData[Checker ID],$Q$4,RawData[[Error Type ]],$Q$5))</f>
        <v/>
      </c>
    </row>
    <row r="17695" spans="15:15" x14ac:dyDescent="0.25">
      <c r="O17695" s="20" t="str">
        <f>IF(N17695="","",COUNTIFS(RawData[[Date ]],N17695,RawData[Month List],$Q$6,RawData[Tour/Site],$Q$2,RawData[[Picker ID ]],$Q$3,RawData[Checker ID],$Q$4,RawData[[Error Type ]],$Q$5))</f>
        <v/>
      </c>
    </row>
    <row r="17696" spans="15:15" x14ac:dyDescent="0.25">
      <c r="O17696" s="20" t="str">
        <f>IF(N17696="","",COUNTIFS(RawData[[Date ]],N17696,RawData[Month List],$Q$6,RawData[Tour/Site],$Q$2,RawData[[Picker ID ]],$Q$3,RawData[Checker ID],$Q$4,RawData[[Error Type ]],$Q$5))</f>
        <v/>
      </c>
    </row>
    <row r="17697" spans="15:15" x14ac:dyDescent="0.25">
      <c r="O17697" s="20" t="str">
        <f>IF(N17697="","",COUNTIFS(RawData[[Date ]],N17697,RawData[Month List],$Q$6,RawData[Tour/Site],$Q$2,RawData[[Picker ID ]],$Q$3,RawData[Checker ID],$Q$4,RawData[[Error Type ]],$Q$5))</f>
        <v/>
      </c>
    </row>
    <row r="17698" spans="15:15" x14ac:dyDescent="0.25">
      <c r="O17698" s="20" t="str">
        <f>IF(N17698="","",COUNTIFS(RawData[[Date ]],N17698,RawData[Month List],$Q$6,RawData[Tour/Site],$Q$2,RawData[[Picker ID ]],$Q$3,RawData[Checker ID],$Q$4,RawData[[Error Type ]],$Q$5))</f>
        <v/>
      </c>
    </row>
    <row r="17699" spans="15:15" x14ac:dyDescent="0.25">
      <c r="O17699" s="20" t="str">
        <f>IF(N17699="","",COUNTIFS(RawData[[Date ]],N17699,RawData[Month List],$Q$6,RawData[Tour/Site],$Q$2,RawData[[Picker ID ]],$Q$3,RawData[Checker ID],$Q$4,RawData[[Error Type ]],$Q$5))</f>
        <v/>
      </c>
    </row>
    <row r="17700" spans="15:15" x14ac:dyDescent="0.25">
      <c r="O17700" s="20" t="str">
        <f>IF(N17700="","",COUNTIFS(RawData[[Date ]],N17700,RawData[Month List],$Q$6,RawData[Tour/Site],$Q$2,RawData[[Picker ID ]],$Q$3,RawData[Checker ID],$Q$4,RawData[[Error Type ]],$Q$5))</f>
        <v/>
      </c>
    </row>
    <row r="17701" spans="15:15" x14ac:dyDescent="0.25">
      <c r="O17701" s="20" t="str">
        <f>IF(N17701="","",COUNTIFS(RawData[[Date ]],N17701,RawData[Month List],$Q$6,RawData[Tour/Site],$Q$2,RawData[[Picker ID ]],$Q$3,RawData[Checker ID],$Q$4,RawData[[Error Type ]],$Q$5))</f>
        <v/>
      </c>
    </row>
    <row r="17702" spans="15:15" x14ac:dyDescent="0.25">
      <c r="O17702" s="20" t="str">
        <f>IF(N17702="","",COUNTIFS(RawData[[Date ]],N17702,RawData[Month List],$Q$6,RawData[Tour/Site],$Q$2,RawData[[Picker ID ]],$Q$3,RawData[Checker ID],$Q$4,RawData[[Error Type ]],$Q$5))</f>
        <v/>
      </c>
    </row>
    <row r="17703" spans="15:15" x14ac:dyDescent="0.25">
      <c r="O17703" s="20" t="str">
        <f>IF(N17703="","",COUNTIFS(RawData[[Date ]],N17703,RawData[Month List],$Q$6,RawData[Tour/Site],$Q$2,RawData[[Picker ID ]],$Q$3,RawData[Checker ID],$Q$4,RawData[[Error Type ]],$Q$5))</f>
        <v/>
      </c>
    </row>
    <row r="17704" spans="15:15" x14ac:dyDescent="0.25">
      <c r="O17704" s="20" t="str">
        <f>IF(N17704="","",COUNTIFS(RawData[[Date ]],N17704,RawData[Month List],$Q$6,RawData[Tour/Site],$Q$2,RawData[[Picker ID ]],$Q$3,RawData[Checker ID],$Q$4,RawData[[Error Type ]],$Q$5))</f>
        <v/>
      </c>
    </row>
    <row r="17705" spans="15:15" x14ac:dyDescent="0.25">
      <c r="O17705" s="20" t="str">
        <f>IF(N17705="","",COUNTIFS(RawData[[Date ]],N17705,RawData[Month List],$Q$6,RawData[Tour/Site],$Q$2,RawData[[Picker ID ]],$Q$3,RawData[Checker ID],$Q$4,RawData[[Error Type ]],$Q$5))</f>
        <v/>
      </c>
    </row>
    <row r="17706" spans="15:15" x14ac:dyDescent="0.25">
      <c r="O17706" s="20" t="str">
        <f>IF(N17706="","",COUNTIFS(RawData[[Date ]],N17706,RawData[Month List],$Q$6,RawData[Tour/Site],$Q$2,RawData[[Picker ID ]],$Q$3,RawData[Checker ID],$Q$4,RawData[[Error Type ]],$Q$5))</f>
        <v/>
      </c>
    </row>
    <row r="17707" spans="15:15" x14ac:dyDescent="0.25">
      <c r="O17707" s="20" t="str">
        <f>IF(N17707="","",COUNTIFS(RawData[[Date ]],N17707,RawData[Month List],$Q$6,RawData[Tour/Site],$Q$2,RawData[[Picker ID ]],$Q$3,RawData[Checker ID],$Q$4,RawData[[Error Type ]],$Q$5))</f>
        <v/>
      </c>
    </row>
    <row r="17708" spans="15:15" x14ac:dyDescent="0.25">
      <c r="O17708" s="20" t="str">
        <f>IF(N17708="","",COUNTIFS(RawData[[Date ]],N17708,RawData[Month List],$Q$6,RawData[Tour/Site],$Q$2,RawData[[Picker ID ]],$Q$3,RawData[Checker ID],$Q$4,RawData[[Error Type ]],$Q$5))</f>
        <v/>
      </c>
    </row>
    <row r="17709" spans="15:15" x14ac:dyDescent="0.25">
      <c r="O17709" s="20" t="str">
        <f>IF(N17709="","",COUNTIFS(RawData[[Date ]],N17709,RawData[Month List],$Q$6,RawData[Tour/Site],$Q$2,RawData[[Picker ID ]],$Q$3,RawData[Checker ID],$Q$4,RawData[[Error Type ]],$Q$5))</f>
        <v/>
      </c>
    </row>
    <row r="17710" spans="15:15" x14ac:dyDescent="0.25">
      <c r="O17710" s="20" t="str">
        <f>IF(N17710="","",COUNTIFS(RawData[[Date ]],N17710,RawData[Month List],$Q$6,RawData[Tour/Site],$Q$2,RawData[[Picker ID ]],$Q$3,RawData[Checker ID],$Q$4,RawData[[Error Type ]],$Q$5))</f>
        <v/>
      </c>
    </row>
    <row r="17711" spans="15:15" x14ac:dyDescent="0.25">
      <c r="O17711" s="20" t="str">
        <f>IF(N17711="","",COUNTIFS(RawData[[Date ]],N17711,RawData[Month List],$Q$6,RawData[Tour/Site],$Q$2,RawData[[Picker ID ]],$Q$3,RawData[Checker ID],$Q$4,RawData[[Error Type ]],$Q$5))</f>
        <v/>
      </c>
    </row>
    <row r="17712" spans="15:15" x14ac:dyDescent="0.25">
      <c r="O17712" s="20" t="str">
        <f>IF(N17712="","",COUNTIFS(RawData[[Date ]],N17712,RawData[Month List],$Q$6,RawData[Tour/Site],$Q$2,RawData[[Picker ID ]],$Q$3,RawData[Checker ID],$Q$4,RawData[[Error Type ]],$Q$5))</f>
        <v/>
      </c>
    </row>
    <row r="17713" spans="15:15" x14ac:dyDescent="0.25">
      <c r="O17713" s="20" t="str">
        <f>IF(N17713="","",COUNTIFS(RawData[[Date ]],N17713,RawData[Month List],$Q$6,RawData[Tour/Site],$Q$2,RawData[[Picker ID ]],$Q$3,RawData[Checker ID],$Q$4,RawData[[Error Type ]],$Q$5))</f>
        <v/>
      </c>
    </row>
    <row r="17714" spans="15:15" x14ac:dyDescent="0.25">
      <c r="O17714" s="20" t="str">
        <f>IF(N17714="","",COUNTIFS(RawData[[Date ]],N17714,RawData[Month List],$Q$6,RawData[Tour/Site],$Q$2,RawData[[Picker ID ]],$Q$3,RawData[Checker ID],$Q$4,RawData[[Error Type ]],$Q$5))</f>
        <v/>
      </c>
    </row>
    <row r="17715" spans="15:15" x14ac:dyDescent="0.25">
      <c r="O17715" s="20" t="str">
        <f>IF(N17715="","",COUNTIFS(RawData[[Date ]],N17715,RawData[Month List],$Q$6,RawData[Tour/Site],$Q$2,RawData[[Picker ID ]],$Q$3,RawData[Checker ID],$Q$4,RawData[[Error Type ]],$Q$5))</f>
        <v/>
      </c>
    </row>
    <row r="17716" spans="15:15" x14ac:dyDescent="0.25">
      <c r="O17716" s="20" t="str">
        <f>IF(N17716="","",COUNTIFS(RawData[[Date ]],N17716,RawData[Month List],$Q$6,RawData[Tour/Site],$Q$2,RawData[[Picker ID ]],$Q$3,RawData[Checker ID],$Q$4,RawData[[Error Type ]],$Q$5))</f>
        <v/>
      </c>
    </row>
    <row r="17717" spans="15:15" x14ac:dyDescent="0.25">
      <c r="O17717" s="20" t="str">
        <f>IF(N17717="","",COUNTIFS(RawData[[Date ]],N17717,RawData[Month List],$Q$6,RawData[Tour/Site],$Q$2,RawData[[Picker ID ]],$Q$3,RawData[Checker ID],$Q$4,RawData[[Error Type ]],$Q$5))</f>
        <v/>
      </c>
    </row>
    <row r="17718" spans="15:15" x14ac:dyDescent="0.25">
      <c r="O17718" s="20" t="str">
        <f>IF(N17718="","",COUNTIFS(RawData[[Date ]],N17718,RawData[Month List],$Q$6,RawData[Tour/Site],$Q$2,RawData[[Picker ID ]],$Q$3,RawData[Checker ID],$Q$4,RawData[[Error Type ]],$Q$5))</f>
        <v/>
      </c>
    </row>
    <row r="17719" spans="15:15" x14ac:dyDescent="0.25">
      <c r="O17719" s="20" t="str">
        <f>IF(N17719="","",COUNTIFS(RawData[[Date ]],N17719,RawData[Month List],$Q$6,RawData[Tour/Site],$Q$2,RawData[[Picker ID ]],$Q$3,RawData[Checker ID],$Q$4,RawData[[Error Type ]],$Q$5))</f>
        <v/>
      </c>
    </row>
    <row r="17720" spans="15:15" x14ac:dyDescent="0.25">
      <c r="O17720" s="20" t="str">
        <f>IF(N17720="","",COUNTIFS(RawData[[Date ]],N17720,RawData[Month List],$Q$6,RawData[Tour/Site],$Q$2,RawData[[Picker ID ]],$Q$3,RawData[Checker ID],$Q$4,RawData[[Error Type ]],$Q$5))</f>
        <v/>
      </c>
    </row>
    <row r="17721" spans="15:15" x14ac:dyDescent="0.25">
      <c r="O17721" s="20" t="str">
        <f>IF(N17721="","",COUNTIFS(RawData[[Date ]],N17721,RawData[Month List],$Q$6,RawData[Tour/Site],$Q$2,RawData[[Picker ID ]],$Q$3,RawData[Checker ID],$Q$4,RawData[[Error Type ]],$Q$5))</f>
        <v/>
      </c>
    </row>
    <row r="17722" spans="15:15" x14ac:dyDescent="0.25">
      <c r="O17722" s="20" t="str">
        <f>IF(N17722="","",COUNTIFS(RawData[[Date ]],N17722,RawData[Month List],$Q$6,RawData[Tour/Site],$Q$2,RawData[[Picker ID ]],$Q$3,RawData[Checker ID],$Q$4,RawData[[Error Type ]],$Q$5))</f>
        <v/>
      </c>
    </row>
    <row r="17723" spans="15:15" x14ac:dyDescent="0.25">
      <c r="O17723" s="20" t="str">
        <f>IF(N17723="","",COUNTIFS(RawData[[Date ]],N17723,RawData[Month List],$Q$6,RawData[Tour/Site],$Q$2,RawData[[Picker ID ]],$Q$3,RawData[Checker ID],$Q$4,RawData[[Error Type ]],$Q$5))</f>
        <v/>
      </c>
    </row>
    <row r="17724" spans="15:15" x14ac:dyDescent="0.25">
      <c r="O17724" s="20" t="str">
        <f>IF(N17724="","",COUNTIFS(RawData[[Date ]],N17724,RawData[Month List],$Q$6,RawData[Tour/Site],$Q$2,RawData[[Picker ID ]],$Q$3,RawData[Checker ID],$Q$4,RawData[[Error Type ]],$Q$5))</f>
        <v/>
      </c>
    </row>
    <row r="17725" spans="15:15" x14ac:dyDescent="0.25">
      <c r="O17725" s="20" t="str">
        <f>IF(N17725="","",COUNTIFS(RawData[[Date ]],N17725,RawData[Month List],$Q$6,RawData[Tour/Site],$Q$2,RawData[[Picker ID ]],$Q$3,RawData[Checker ID],$Q$4,RawData[[Error Type ]],$Q$5))</f>
        <v/>
      </c>
    </row>
    <row r="17726" spans="15:15" x14ac:dyDescent="0.25">
      <c r="O17726" s="20" t="str">
        <f>IF(N17726="","",COUNTIFS(RawData[[Date ]],N17726,RawData[Month List],$Q$6,RawData[Tour/Site],$Q$2,RawData[[Picker ID ]],$Q$3,RawData[Checker ID],$Q$4,RawData[[Error Type ]],$Q$5))</f>
        <v/>
      </c>
    </row>
    <row r="17727" spans="15:15" x14ac:dyDescent="0.25">
      <c r="O17727" s="20" t="str">
        <f>IF(N17727="","",COUNTIFS(RawData[[Date ]],N17727,RawData[Month List],$Q$6,RawData[Tour/Site],$Q$2,RawData[[Picker ID ]],$Q$3,RawData[Checker ID],$Q$4,RawData[[Error Type ]],$Q$5))</f>
        <v/>
      </c>
    </row>
    <row r="17728" spans="15:15" x14ac:dyDescent="0.25">
      <c r="O17728" s="20" t="str">
        <f>IF(N17728="","",COUNTIFS(RawData[[Date ]],N17728,RawData[Month List],$Q$6,RawData[Tour/Site],$Q$2,RawData[[Picker ID ]],$Q$3,RawData[Checker ID],$Q$4,RawData[[Error Type ]],$Q$5))</f>
        <v/>
      </c>
    </row>
    <row r="17729" spans="15:15" x14ac:dyDescent="0.25">
      <c r="O17729" s="20" t="str">
        <f>IF(N17729="","",COUNTIFS(RawData[[Date ]],N17729,RawData[Month List],$Q$6,RawData[Tour/Site],$Q$2,RawData[[Picker ID ]],$Q$3,RawData[Checker ID],$Q$4,RawData[[Error Type ]],$Q$5))</f>
        <v/>
      </c>
    </row>
    <row r="17730" spans="15:15" x14ac:dyDescent="0.25">
      <c r="O17730" s="20" t="str">
        <f>IF(N17730="","",COUNTIFS(RawData[[Date ]],N17730,RawData[Month List],$Q$6,RawData[Tour/Site],$Q$2,RawData[[Picker ID ]],$Q$3,RawData[Checker ID],$Q$4,RawData[[Error Type ]],$Q$5))</f>
        <v/>
      </c>
    </row>
    <row r="17731" spans="15:15" x14ac:dyDescent="0.25">
      <c r="O17731" s="20" t="str">
        <f>IF(N17731="","",COUNTIFS(RawData[[Date ]],N17731,RawData[Month List],$Q$6,RawData[Tour/Site],$Q$2,RawData[[Picker ID ]],$Q$3,RawData[Checker ID],$Q$4,RawData[[Error Type ]],$Q$5))</f>
        <v/>
      </c>
    </row>
    <row r="17732" spans="15:15" x14ac:dyDescent="0.25">
      <c r="O17732" s="20" t="str">
        <f>IF(N17732="","",COUNTIFS(RawData[[Date ]],N17732,RawData[Month List],$Q$6,RawData[Tour/Site],$Q$2,RawData[[Picker ID ]],$Q$3,RawData[Checker ID],$Q$4,RawData[[Error Type ]],$Q$5))</f>
        <v/>
      </c>
    </row>
    <row r="17733" spans="15:15" x14ac:dyDescent="0.25">
      <c r="O17733" s="20" t="str">
        <f>IF(N17733="","",COUNTIFS(RawData[[Date ]],N17733,RawData[Month List],$Q$6,RawData[Tour/Site],$Q$2,RawData[[Picker ID ]],$Q$3,RawData[Checker ID],$Q$4,RawData[[Error Type ]],$Q$5))</f>
        <v/>
      </c>
    </row>
    <row r="17734" spans="15:15" x14ac:dyDescent="0.25">
      <c r="O17734" s="20" t="str">
        <f>IF(N17734="","",COUNTIFS(RawData[[Date ]],N17734,RawData[Month List],$Q$6,RawData[Tour/Site],$Q$2,RawData[[Picker ID ]],$Q$3,RawData[Checker ID],$Q$4,RawData[[Error Type ]],$Q$5))</f>
        <v/>
      </c>
    </row>
    <row r="17735" spans="15:15" x14ac:dyDescent="0.25">
      <c r="O17735" s="20" t="str">
        <f>IF(N17735="","",COUNTIFS(RawData[[Date ]],N17735,RawData[Month List],$Q$6,RawData[Tour/Site],$Q$2,RawData[[Picker ID ]],$Q$3,RawData[Checker ID],$Q$4,RawData[[Error Type ]],$Q$5))</f>
        <v/>
      </c>
    </row>
    <row r="17736" spans="15:15" x14ac:dyDescent="0.25">
      <c r="O17736" s="20" t="str">
        <f>IF(N17736="","",COUNTIFS(RawData[[Date ]],N17736,RawData[Month List],$Q$6,RawData[Tour/Site],$Q$2,RawData[[Picker ID ]],$Q$3,RawData[Checker ID],$Q$4,RawData[[Error Type ]],$Q$5))</f>
        <v/>
      </c>
    </row>
    <row r="17737" spans="15:15" x14ac:dyDescent="0.25">
      <c r="O17737" s="20" t="str">
        <f>IF(N17737="","",COUNTIFS(RawData[[Date ]],N17737,RawData[Month List],$Q$6,RawData[Tour/Site],$Q$2,RawData[[Picker ID ]],$Q$3,RawData[Checker ID],$Q$4,RawData[[Error Type ]],$Q$5))</f>
        <v/>
      </c>
    </row>
    <row r="17738" spans="15:15" x14ac:dyDescent="0.25">
      <c r="O17738" s="20" t="str">
        <f>IF(N17738="","",COUNTIFS(RawData[[Date ]],N17738,RawData[Month List],$Q$6,RawData[Tour/Site],$Q$2,RawData[[Picker ID ]],$Q$3,RawData[Checker ID],$Q$4,RawData[[Error Type ]],$Q$5))</f>
        <v/>
      </c>
    </row>
    <row r="17739" spans="15:15" x14ac:dyDescent="0.25">
      <c r="O17739" s="20" t="str">
        <f>IF(N17739="","",COUNTIFS(RawData[[Date ]],N17739,RawData[Month List],$Q$6,RawData[Tour/Site],$Q$2,RawData[[Picker ID ]],$Q$3,RawData[Checker ID],$Q$4,RawData[[Error Type ]],$Q$5))</f>
        <v/>
      </c>
    </row>
    <row r="17740" spans="15:15" x14ac:dyDescent="0.25">
      <c r="O17740" s="20" t="str">
        <f>IF(N17740="","",COUNTIFS(RawData[[Date ]],N17740,RawData[Month List],$Q$6,RawData[Tour/Site],$Q$2,RawData[[Picker ID ]],$Q$3,RawData[Checker ID],$Q$4,RawData[[Error Type ]],$Q$5))</f>
        <v/>
      </c>
    </row>
    <row r="17741" spans="15:15" x14ac:dyDescent="0.25">
      <c r="O17741" s="20" t="str">
        <f>IF(N17741="","",COUNTIFS(RawData[[Date ]],N17741,RawData[Month List],$Q$6,RawData[Tour/Site],$Q$2,RawData[[Picker ID ]],$Q$3,RawData[Checker ID],$Q$4,RawData[[Error Type ]],$Q$5))</f>
        <v/>
      </c>
    </row>
    <row r="17742" spans="15:15" x14ac:dyDescent="0.25">
      <c r="O17742" s="20" t="str">
        <f>IF(N17742="","",COUNTIFS(RawData[[Date ]],N17742,RawData[Month List],$Q$6,RawData[Tour/Site],$Q$2,RawData[[Picker ID ]],$Q$3,RawData[Checker ID],$Q$4,RawData[[Error Type ]],$Q$5))</f>
        <v/>
      </c>
    </row>
    <row r="17743" spans="15:15" x14ac:dyDescent="0.25">
      <c r="O17743" s="20" t="str">
        <f>IF(N17743="","",COUNTIFS(RawData[[Date ]],N17743,RawData[Month List],$Q$6,RawData[Tour/Site],$Q$2,RawData[[Picker ID ]],$Q$3,RawData[Checker ID],$Q$4,RawData[[Error Type ]],$Q$5))</f>
        <v/>
      </c>
    </row>
    <row r="17744" spans="15:15" x14ac:dyDescent="0.25">
      <c r="O17744" s="20" t="str">
        <f>IF(N17744="","",COUNTIFS(RawData[[Date ]],N17744,RawData[Month List],$Q$6,RawData[Tour/Site],$Q$2,RawData[[Picker ID ]],$Q$3,RawData[Checker ID],$Q$4,RawData[[Error Type ]],$Q$5))</f>
        <v/>
      </c>
    </row>
    <row r="17745" spans="15:15" x14ac:dyDescent="0.25">
      <c r="O17745" s="20" t="str">
        <f>IF(N17745="","",COUNTIFS(RawData[[Date ]],N17745,RawData[Month List],$Q$6,RawData[Tour/Site],$Q$2,RawData[[Picker ID ]],$Q$3,RawData[Checker ID],$Q$4,RawData[[Error Type ]],$Q$5))</f>
        <v/>
      </c>
    </row>
    <row r="17746" spans="15:15" x14ac:dyDescent="0.25">
      <c r="O17746" s="20" t="str">
        <f>IF(N17746="","",COUNTIFS(RawData[[Date ]],N17746,RawData[Month List],$Q$6,RawData[Tour/Site],$Q$2,RawData[[Picker ID ]],$Q$3,RawData[Checker ID],$Q$4,RawData[[Error Type ]],$Q$5))</f>
        <v/>
      </c>
    </row>
    <row r="17747" spans="15:15" x14ac:dyDescent="0.25">
      <c r="O17747" s="20" t="str">
        <f>IF(N17747="","",COUNTIFS(RawData[[Date ]],N17747,RawData[Month List],$Q$6,RawData[Tour/Site],$Q$2,RawData[[Picker ID ]],$Q$3,RawData[Checker ID],$Q$4,RawData[[Error Type ]],$Q$5))</f>
        <v/>
      </c>
    </row>
    <row r="17748" spans="15:15" x14ac:dyDescent="0.25">
      <c r="O17748" s="20" t="str">
        <f>IF(N17748="","",COUNTIFS(RawData[[Date ]],N17748,RawData[Month List],$Q$6,RawData[Tour/Site],$Q$2,RawData[[Picker ID ]],$Q$3,RawData[Checker ID],$Q$4,RawData[[Error Type ]],$Q$5))</f>
        <v/>
      </c>
    </row>
    <row r="17749" spans="15:15" x14ac:dyDescent="0.25">
      <c r="O17749" s="20" t="str">
        <f>IF(N17749="","",COUNTIFS(RawData[[Date ]],N17749,RawData[Month List],$Q$6,RawData[Tour/Site],$Q$2,RawData[[Picker ID ]],$Q$3,RawData[Checker ID],$Q$4,RawData[[Error Type ]],$Q$5))</f>
        <v/>
      </c>
    </row>
    <row r="17750" spans="15:15" x14ac:dyDescent="0.25">
      <c r="O17750" s="20" t="str">
        <f>IF(N17750="","",COUNTIFS(RawData[[Date ]],N17750,RawData[Month List],$Q$6,RawData[Tour/Site],$Q$2,RawData[[Picker ID ]],$Q$3,RawData[Checker ID],$Q$4,RawData[[Error Type ]],$Q$5))</f>
        <v/>
      </c>
    </row>
    <row r="17751" spans="15:15" x14ac:dyDescent="0.25">
      <c r="O17751" s="20" t="str">
        <f>IF(N17751="","",COUNTIFS(RawData[[Date ]],N17751,RawData[Month List],$Q$6,RawData[Tour/Site],$Q$2,RawData[[Picker ID ]],$Q$3,RawData[Checker ID],$Q$4,RawData[[Error Type ]],$Q$5))</f>
        <v/>
      </c>
    </row>
    <row r="17752" spans="15:15" x14ac:dyDescent="0.25">
      <c r="O17752" s="20" t="str">
        <f>IF(N17752="","",COUNTIFS(RawData[[Date ]],N17752,RawData[Month List],$Q$6,RawData[Tour/Site],$Q$2,RawData[[Picker ID ]],$Q$3,RawData[Checker ID],$Q$4,RawData[[Error Type ]],$Q$5))</f>
        <v/>
      </c>
    </row>
    <row r="17753" spans="15:15" x14ac:dyDescent="0.25">
      <c r="O17753" s="20" t="str">
        <f>IF(N17753="","",COUNTIFS(RawData[[Date ]],N17753,RawData[Month List],$Q$6,RawData[Tour/Site],$Q$2,RawData[[Picker ID ]],$Q$3,RawData[Checker ID],$Q$4,RawData[[Error Type ]],$Q$5))</f>
        <v/>
      </c>
    </row>
    <row r="17754" spans="15:15" x14ac:dyDescent="0.25">
      <c r="O17754" s="20" t="str">
        <f>IF(N17754="","",COUNTIFS(RawData[[Date ]],N17754,RawData[Month List],$Q$6,RawData[Tour/Site],$Q$2,RawData[[Picker ID ]],$Q$3,RawData[Checker ID],$Q$4,RawData[[Error Type ]],$Q$5))</f>
        <v/>
      </c>
    </row>
    <row r="17755" spans="15:15" x14ac:dyDescent="0.25">
      <c r="O17755" s="20" t="str">
        <f>IF(N17755="","",COUNTIFS(RawData[[Date ]],N17755,RawData[Month List],$Q$6,RawData[Tour/Site],$Q$2,RawData[[Picker ID ]],$Q$3,RawData[Checker ID],$Q$4,RawData[[Error Type ]],$Q$5))</f>
        <v/>
      </c>
    </row>
    <row r="17756" spans="15:15" x14ac:dyDescent="0.25">
      <c r="O17756" s="20" t="str">
        <f>IF(N17756="","",COUNTIFS(RawData[[Date ]],N17756,RawData[Month List],$Q$6,RawData[Tour/Site],$Q$2,RawData[[Picker ID ]],$Q$3,RawData[Checker ID],$Q$4,RawData[[Error Type ]],$Q$5))</f>
        <v/>
      </c>
    </row>
    <row r="17757" spans="15:15" x14ac:dyDescent="0.25">
      <c r="O17757" s="20" t="str">
        <f>IF(N17757="","",COUNTIFS(RawData[[Date ]],N17757,RawData[Month List],$Q$6,RawData[Tour/Site],$Q$2,RawData[[Picker ID ]],$Q$3,RawData[Checker ID],$Q$4,RawData[[Error Type ]],$Q$5))</f>
        <v/>
      </c>
    </row>
    <row r="17758" spans="15:15" x14ac:dyDescent="0.25">
      <c r="O17758" s="20" t="str">
        <f>IF(N17758="","",COUNTIFS(RawData[[Date ]],N17758,RawData[Month List],$Q$6,RawData[Tour/Site],$Q$2,RawData[[Picker ID ]],$Q$3,RawData[Checker ID],$Q$4,RawData[[Error Type ]],$Q$5))</f>
        <v/>
      </c>
    </row>
    <row r="17759" spans="15:15" x14ac:dyDescent="0.25">
      <c r="O17759" s="20" t="str">
        <f>IF(N17759="","",COUNTIFS(RawData[[Date ]],N17759,RawData[Month List],$Q$6,RawData[Tour/Site],$Q$2,RawData[[Picker ID ]],$Q$3,RawData[Checker ID],$Q$4,RawData[[Error Type ]],$Q$5))</f>
        <v/>
      </c>
    </row>
    <row r="17760" spans="15:15" x14ac:dyDescent="0.25">
      <c r="O17760" s="20" t="str">
        <f>IF(N17760="","",COUNTIFS(RawData[[Date ]],N17760,RawData[Month List],$Q$6,RawData[Tour/Site],$Q$2,RawData[[Picker ID ]],$Q$3,RawData[Checker ID],$Q$4,RawData[[Error Type ]],$Q$5))</f>
        <v/>
      </c>
    </row>
    <row r="17761" spans="15:15" x14ac:dyDescent="0.25">
      <c r="O17761" s="20" t="str">
        <f>IF(N17761="","",COUNTIFS(RawData[[Date ]],N17761,RawData[Month List],$Q$6,RawData[Tour/Site],$Q$2,RawData[[Picker ID ]],$Q$3,RawData[Checker ID],$Q$4,RawData[[Error Type ]],$Q$5))</f>
        <v/>
      </c>
    </row>
    <row r="17762" spans="15:15" x14ac:dyDescent="0.25">
      <c r="O17762" s="20" t="str">
        <f>IF(N17762="","",COUNTIFS(RawData[[Date ]],N17762,RawData[Month List],$Q$6,RawData[Tour/Site],$Q$2,RawData[[Picker ID ]],$Q$3,RawData[Checker ID],$Q$4,RawData[[Error Type ]],$Q$5))</f>
        <v/>
      </c>
    </row>
    <row r="17763" spans="15:15" x14ac:dyDescent="0.25">
      <c r="O17763" s="20" t="str">
        <f>IF(N17763="","",COUNTIFS(RawData[[Date ]],N17763,RawData[Month List],$Q$6,RawData[Tour/Site],$Q$2,RawData[[Picker ID ]],$Q$3,RawData[Checker ID],$Q$4,RawData[[Error Type ]],$Q$5))</f>
        <v/>
      </c>
    </row>
    <row r="17764" spans="15:15" x14ac:dyDescent="0.25">
      <c r="O17764" s="20" t="str">
        <f>IF(N17764="","",COUNTIFS(RawData[[Date ]],N17764,RawData[Month List],$Q$6,RawData[Tour/Site],$Q$2,RawData[[Picker ID ]],$Q$3,RawData[Checker ID],$Q$4,RawData[[Error Type ]],$Q$5))</f>
        <v/>
      </c>
    </row>
    <row r="17765" spans="15:15" x14ac:dyDescent="0.25">
      <c r="O17765" s="20" t="str">
        <f>IF(N17765="","",COUNTIFS(RawData[[Date ]],N17765,RawData[Month List],$Q$6,RawData[Tour/Site],$Q$2,RawData[[Picker ID ]],$Q$3,RawData[Checker ID],$Q$4,RawData[[Error Type ]],$Q$5))</f>
        <v/>
      </c>
    </row>
    <row r="17766" spans="15:15" x14ac:dyDescent="0.25">
      <c r="O17766" s="20" t="str">
        <f>IF(N17766="","",COUNTIFS(RawData[[Date ]],N17766,RawData[Month List],$Q$6,RawData[Tour/Site],$Q$2,RawData[[Picker ID ]],$Q$3,RawData[Checker ID],$Q$4,RawData[[Error Type ]],$Q$5))</f>
        <v/>
      </c>
    </row>
    <row r="17767" spans="15:15" x14ac:dyDescent="0.25">
      <c r="O17767" s="20" t="str">
        <f>IF(N17767="","",COUNTIFS(RawData[[Date ]],N17767,RawData[Month List],$Q$6,RawData[Tour/Site],$Q$2,RawData[[Picker ID ]],$Q$3,RawData[Checker ID],$Q$4,RawData[[Error Type ]],$Q$5))</f>
        <v/>
      </c>
    </row>
    <row r="17768" spans="15:15" x14ac:dyDescent="0.25">
      <c r="O17768" s="20" t="str">
        <f>IF(N17768="","",COUNTIFS(RawData[[Date ]],N17768,RawData[Month List],$Q$6,RawData[Tour/Site],$Q$2,RawData[[Picker ID ]],$Q$3,RawData[Checker ID],$Q$4,RawData[[Error Type ]],$Q$5))</f>
        <v/>
      </c>
    </row>
    <row r="17769" spans="15:15" x14ac:dyDescent="0.25">
      <c r="O17769" s="20" t="str">
        <f>IF(N17769="","",COUNTIFS(RawData[[Date ]],N17769,RawData[Month List],$Q$6,RawData[Tour/Site],$Q$2,RawData[[Picker ID ]],$Q$3,RawData[Checker ID],$Q$4,RawData[[Error Type ]],$Q$5))</f>
        <v/>
      </c>
    </row>
    <row r="17770" spans="15:15" x14ac:dyDescent="0.25">
      <c r="O17770" s="20" t="str">
        <f>IF(N17770="","",COUNTIFS(RawData[[Date ]],N17770,RawData[Month List],$Q$6,RawData[Tour/Site],$Q$2,RawData[[Picker ID ]],$Q$3,RawData[Checker ID],$Q$4,RawData[[Error Type ]],$Q$5))</f>
        <v/>
      </c>
    </row>
    <row r="17771" spans="15:15" x14ac:dyDescent="0.25">
      <c r="O17771" s="20" t="str">
        <f>IF(N17771="","",COUNTIFS(RawData[[Date ]],N17771,RawData[Month List],$Q$6,RawData[Tour/Site],$Q$2,RawData[[Picker ID ]],$Q$3,RawData[Checker ID],$Q$4,RawData[[Error Type ]],$Q$5))</f>
        <v/>
      </c>
    </row>
    <row r="17772" spans="15:15" x14ac:dyDescent="0.25">
      <c r="O17772" s="20" t="str">
        <f>IF(N17772="","",COUNTIFS(RawData[[Date ]],N17772,RawData[Month List],$Q$6,RawData[Tour/Site],$Q$2,RawData[[Picker ID ]],$Q$3,RawData[Checker ID],$Q$4,RawData[[Error Type ]],$Q$5))</f>
        <v/>
      </c>
    </row>
    <row r="17773" spans="15:15" x14ac:dyDescent="0.25">
      <c r="O17773" s="20" t="str">
        <f>IF(N17773="","",COUNTIFS(RawData[[Date ]],N17773,RawData[Month List],$Q$6,RawData[Tour/Site],$Q$2,RawData[[Picker ID ]],$Q$3,RawData[Checker ID],$Q$4,RawData[[Error Type ]],$Q$5))</f>
        <v/>
      </c>
    </row>
    <row r="17774" spans="15:15" x14ac:dyDescent="0.25">
      <c r="O17774" s="20" t="str">
        <f>IF(N17774="","",COUNTIFS(RawData[[Date ]],N17774,RawData[Month List],$Q$6,RawData[Tour/Site],$Q$2,RawData[[Picker ID ]],$Q$3,RawData[Checker ID],$Q$4,RawData[[Error Type ]],$Q$5))</f>
        <v/>
      </c>
    </row>
    <row r="17775" spans="15:15" x14ac:dyDescent="0.25">
      <c r="O17775" s="20" t="str">
        <f>IF(N17775="","",COUNTIFS(RawData[[Date ]],N17775,RawData[Month List],$Q$6,RawData[Tour/Site],$Q$2,RawData[[Picker ID ]],$Q$3,RawData[Checker ID],$Q$4,RawData[[Error Type ]],$Q$5))</f>
        <v/>
      </c>
    </row>
    <row r="17776" spans="15:15" x14ac:dyDescent="0.25">
      <c r="O17776" s="20" t="str">
        <f>IF(N17776="","",COUNTIFS(RawData[[Date ]],N17776,RawData[Month List],$Q$6,RawData[Tour/Site],$Q$2,RawData[[Picker ID ]],$Q$3,RawData[Checker ID],$Q$4,RawData[[Error Type ]],$Q$5))</f>
        <v/>
      </c>
    </row>
    <row r="17777" spans="15:15" x14ac:dyDescent="0.25">
      <c r="O17777" s="20" t="str">
        <f>IF(N17777="","",COUNTIFS(RawData[[Date ]],N17777,RawData[Month List],$Q$6,RawData[Tour/Site],$Q$2,RawData[[Picker ID ]],$Q$3,RawData[Checker ID],$Q$4,RawData[[Error Type ]],$Q$5))</f>
        <v/>
      </c>
    </row>
    <row r="17778" spans="15:15" x14ac:dyDescent="0.25">
      <c r="O17778" s="20" t="str">
        <f>IF(N17778="","",COUNTIFS(RawData[[Date ]],N17778,RawData[Month List],$Q$6,RawData[Tour/Site],$Q$2,RawData[[Picker ID ]],$Q$3,RawData[Checker ID],$Q$4,RawData[[Error Type ]],$Q$5))</f>
        <v/>
      </c>
    </row>
    <row r="17779" spans="15:15" x14ac:dyDescent="0.25">
      <c r="O17779" s="20" t="str">
        <f>IF(N17779="","",COUNTIFS(RawData[[Date ]],N17779,RawData[Month List],$Q$6,RawData[Tour/Site],$Q$2,RawData[[Picker ID ]],$Q$3,RawData[Checker ID],$Q$4,RawData[[Error Type ]],$Q$5))</f>
        <v/>
      </c>
    </row>
    <row r="17780" spans="15:15" x14ac:dyDescent="0.25">
      <c r="O17780" s="20" t="str">
        <f>IF(N17780="","",COUNTIFS(RawData[[Date ]],N17780,RawData[Month List],$Q$6,RawData[Tour/Site],$Q$2,RawData[[Picker ID ]],$Q$3,RawData[Checker ID],$Q$4,RawData[[Error Type ]],$Q$5))</f>
        <v/>
      </c>
    </row>
    <row r="17781" spans="15:15" x14ac:dyDescent="0.25">
      <c r="O17781" s="20" t="str">
        <f>IF(N17781="","",COUNTIFS(RawData[[Date ]],N17781,RawData[Month List],$Q$6,RawData[Tour/Site],$Q$2,RawData[[Picker ID ]],$Q$3,RawData[Checker ID],$Q$4,RawData[[Error Type ]],$Q$5))</f>
        <v/>
      </c>
    </row>
    <row r="17782" spans="15:15" x14ac:dyDescent="0.25">
      <c r="O17782" s="20" t="str">
        <f>IF(N17782="","",COUNTIFS(RawData[[Date ]],N17782,RawData[Month List],$Q$6,RawData[Tour/Site],$Q$2,RawData[[Picker ID ]],$Q$3,RawData[Checker ID],$Q$4,RawData[[Error Type ]],$Q$5))</f>
        <v/>
      </c>
    </row>
    <row r="17783" spans="15:15" x14ac:dyDescent="0.25">
      <c r="O17783" s="20" t="str">
        <f>IF(N17783="","",COUNTIFS(RawData[[Date ]],N17783,RawData[Month List],$Q$6,RawData[Tour/Site],$Q$2,RawData[[Picker ID ]],$Q$3,RawData[Checker ID],$Q$4,RawData[[Error Type ]],$Q$5))</f>
        <v/>
      </c>
    </row>
    <row r="17784" spans="15:15" x14ac:dyDescent="0.25">
      <c r="O17784" s="20" t="str">
        <f>IF(N17784="","",COUNTIFS(RawData[[Date ]],N17784,RawData[Month List],$Q$6,RawData[Tour/Site],$Q$2,RawData[[Picker ID ]],$Q$3,RawData[Checker ID],$Q$4,RawData[[Error Type ]],$Q$5))</f>
        <v/>
      </c>
    </row>
    <row r="17785" spans="15:15" x14ac:dyDescent="0.25">
      <c r="O17785" s="20" t="str">
        <f>IF(N17785="","",COUNTIFS(RawData[[Date ]],N17785,RawData[Month List],$Q$6,RawData[Tour/Site],$Q$2,RawData[[Picker ID ]],$Q$3,RawData[Checker ID],$Q$4,RawData[[Error Type ]],$Q$5))</f>
        <v/>
      </c>
    </row>
    <row r="17786" spans="15:15" x14ac:dyDescent="0.25">
      <c r="O17786" s="20" t="str">
        <f>IF(N17786="","",COUNTIFS(RawData[[Date ]],N17786,RawData[Month List],$Q$6,RawData[Tour/Site],$Q$2,RawData[[Picker ID ]],$Q$3,RawData[Checker ID],$Q$4,RawData[[Error Type ]],$Q$5))</f>
        <v/>
      </c>
    </row>
    <row r="17787" spans="15:15" x14ac:dyDescent="0.25">
      <c r="O17787" s="20" t="str">
        <f>IF(N17787="","",COUNTIFS(RawData[[Date ]],N17787,RawData[Month List],$Q$6,RawData[Tour/Site],$Q$2,RawData[[Picker ID ]],$Q$3,RawData[Checker ID],$Q$4,RawData[[Error Type ]],$Q$5))</f>
        <v/>
      </c>
    </row>
    <row r="17788" spans="15:15" x14ac:dyDescent="0.25">
      <c r="O17788" s="20" t="str">
        <f>IF(N17788="","",COUNTIFS(RawData[[Date ]],N17788,RawData[Month List],$Q$6,RawData[Tour/Site],$Q$2,RawData[[Picker ID ]],$Q$3,RawData[Checker ID],$Q$4,RawData[[Error Type ]],$Q$5))</f>
        <v/>
      </c>
    </row>
    <row r="17789" spans="15:15" x14ac:dyDescent="0.25">
      <c r="O17789" s="20" t="str">
        <f>IF(N17789="","",COUNTIFS(RawData[[Date ]],N17789,RawData[Month List],$Q$6,RawData[Tour/Site],$Q$2,RawData[[Picker ID ]],$Q$3,RawData[Checker ID],$Q$4,RawData[[Error Type ]],$Q$5))</f>
        <v/>
      </c>
    </row>
    <row r="17790" spans="15:15" x14ac:dyDescent="0.25">
      <c r="O17790" s="20" t="str">
        <f>IF(N17790="","",COUNTIFS(RawData[[Date ]],N17790,RawData[Month List],$Q$6,RawData[Tour/Site],$Q$2,RawData[[Picker ID ]],$Q$3,RawData[Checker ID],$Q$4,RawData[[Error Type ]],$Q$5))</f>
        <v/>
      </c>
    </row>
    <row r="17791" spans="15:15" x14ac:dyDescent="0.25">
      <c r="O17791" s="20" t="str">
        <f>IF(N17791="","",COUNTIFS(RawData[[Date ]],N17791,RawData[Month List],$Q$6,RawData[Tour/Site],$Q$2,RawData[[Picker ID ]],$Q$3,RawData[Checker ID],$Q$4,RawData[[Error Type ]],$Q$5))</f>
        <v/>
      </c>
    </row>
    <row r="17792" spans="15:15" x14ac:dyDescent="0.25">
      <c r="O17792" s="20" t="str">
        <f>IF(N17792="","",COUNTIFS(RawData[[Date ]],N17792,RawData[Month List],$Q$6,RawData[Tour/Site],$Q$2,RawData[[Picker ID ]],$Q$3,RawData[Checker ID],$Q$4,RawData[[Error Type ]],$Q$5))</f>
        <v/>
      </c>
    </row>
    <row r="17793" spans="15:15" x14ac:dyDescent="0.25">
      <c r="O17793" s="20" t="str">
        <f>IF(N17793="","",COUNTIFS(RawData[[Date ]],N17793,RawData[Month List],$Q$6,RawData[Tour/Site],$Q$2,RawData[[Picker ID ]],$Q$3,RawData[Checker ID],$Q$4,RawData[[Error Type ]],$Q$5))</f>
        <v/>
      </c>
    </row>
    <row r="17794" spans="15:15" x14ac:dyDescent="0.25">
      <c r="O17794" s="20" t="str">
        <f>IF(N17794="","",COUNTIFS(RawData[[Date ]],N17794,RawData[Month List],$Q$6,RawData[Tour/Site],$Q$2,RawData[[Picker ID ]],$Q$3,RawData[Checker ID],$Q$4,RawData[[Error Type ]],$Q$5))</f>
        <v/>
      </c>
    </row>
    <row r="17795" spans="15:15" x14ac:dyDescent="0.25">
      <c r="O17795" s="20" t="str">
        <f>IF(N17795="","",COUNTIFS(RawData[[Date ]],N17795,RawData[Month List],$Q$6,RawData[Tour/Site],$Q$2,RawData[[Picker ID ]],$Q$3,RawData[Checker ID],$Q$4,RawData[[Error Type ]],$Q$5))</f>
        <v/>
      </c>
    </row>
    <row r="17796" spans="15:15" x14ac:dyDescent="0.25">
      <c r="O17796" s="20" t="str">
        <f>IF(N17796="","",COUNTIFS(RawData[[Date ]],N17796,RawData[Month List],$Q$6,RawData[Tour/Site],$Q$2,RawData[[Picker ID ]],$Q$3,RawData[Checker ID],$Q$4,RawData[[Error Type ]],$Q$5))</f>
        <v/>
      </c>
    </row>
    <row r="17797" spans="15:15" x14ac:dyDescent="0.25">
      <c r="O17797" s="20" t="str">
        <f>IF(N17797="","",COUNTIFS(RawData[[Date ]],N17797,RawData[Month List],$Q$6,RawData[Tour/Site],$Q$2,RawData[[Picker ID ]],$Q$3,RawData[Checker ID],$Q$4,RawData[[Error Type ]],$Q$5))</f>
        <v/>
      </c>
    </row>
    <row r="17798" spans="15:15" x14ac:dyDescent="0.25">
      <c r="O17798" s="20" t="str">
        <f>IF(N17798="","",COUNTIFS(RawData[[Date ]],N17798,RawData[Month List],$Q$6,RawData[Tour/Site],$Q$2,RawData[[Picker ID ]],$Q$3,RawData[Checker ID],$Q$4,RawData[[Error Type ]],$Q$5))</f>
        <v/>
      </c>
    </row>
    <row r="17799" spans="15:15" x14ac:dyDescent="0.25">
      <c r="O17799" s="20" t="str">
        <f>IF(N17799="","",COUNTIFS(RawData[[Date ]],N17799,RawData[Month List],$Q$6,RawData[Tour/Site],$Q$2,RawData[[Picker ID ]],$Q$3,RawData[Checker ID],$Q$4,RawData[[Error Type ]],$Q$5))</f>
        <v/>
      </c>
    </row>
    <row r="17800" spans="15:15" x14ac:dyDescent="0.25">
      <c r="O17800" s="20" t="str">
        <f>IF(N17800="","",COUNTIFS(RawData[[Date ]],N17800,RawData[Month List],$Q$6,RawData[Tour/Site],$Q$2,RawData[[Picker ID ]],$Q$3,RawData[Checker ID],$Q$4,RawData[[Error Type ]],$Q$5))</f>
        <v/>
      </c>
    </row>
    <row r="17801" spans="15:15" x14ac:dyDescent="0.25">
      <c r="O17801" s="20" t="str">
        <f>IF(N17801="","",COUNTIFS(RawData[[Date ]],N17801,RawData[Month List],$Q$6,RawData[Tour/Site],$Q$2,RawData[[Picker ID ]],$Q$3,RawData[Checker ID],$Q$4,RawData[[Error Type ]],$Q$5))</f>
        <v/>
      </c>
    </row>
    <row r="17802" spans="15:15" x14ac:dyDescent="0.25">
      <c r="O17802" s="20" t="str">
        <f>IF(N17802="","",COUNTIFS(RawData[[Date ]],N17802,RawData[Month List],$Q$6,RawData[Tour/Site],$Q$2,RawData[[Picker ID ]],$Q$3,RawData[Checker ID],$Q$4,RawData[[Error Type ]],$Q$5))</f>
        <v/>
      </c>
    </row>
    <row r="17803" spans="15:15" x14ac:dyDescent="0.25">
      <c r="O17803" s="20" t="str">
        <f>IF(N17803="","",COUNTIFS(RawData[[Date ]],N17803,RawData[Month List],$Q$6,RawData[Tour/Site],$Q$2,RawData[[Picker ID ]],$Q$3,RawData[Checker ID],$Q$4,RawData[[Error Type ]],$Q$5))</f>
        <v/>
      </c>
    </row>
    <row r="17804" spans="15:15" x14ac:dyDescent="0.25">
      <c r="O17804" s="20" t="str">
        <f>IF(N17804="","",COUNTIFS(RawData[[Date ]],N17804,RawData[Month List],$Q$6,RawData[Tour/Site],$Q$2,RawData[[Picker ID ]],$Q$3,RawData[Checker ID],$Q$4,RawData[[Error Type ]],$Q$5))</f>
        <v/>
      </c>
    </row>
    <row r="17805" spans="15:15" x14ac:dyDescent="0.25">
      <c r="O17805" s="20" t="str">
        <f>IF(N17805="","",COUNTIFS(RawData[[Date ]],N17805,RawData[Month List],$Q$6,RawData[Tour/Site],$Q$2,RawData[[Picker ID ]],$Q$3,RawData[Checker ID],$Q$4,RawData[[Error Type ]],$Q$5))</f>
        <v/>
      </c>
    </row>
    <row r="17806" spans="15:15" x14ac:dyDescent="0.25">
      <c r="O17806" s="20" t="str">
        <f>IF(N17806="","",COUNTIFS(RawData[[Date ]],N17806,RawData[Month List],$Q$6,RawData[Tour/Site],$Q$2,RawData[[Picker ID ]],$Q$3,RawData[Checker ID],$Q$4,RawData[[Error Type ]],$Q$5))</f>
        <v/>
      </c>
    </row>
    <row r="17807" spans="15:15" x14ac:dyDescent="0.25">
      <c r="O17807" s="20" t="str">
        <f>IF(N17807="","",COUNTIFS(RawData[[Date ]],N17807,RawData[Month List],$Q$6,RawData[Tour/Site],$Q$2,RawData[[Picker ID ]],$Q$3,RawData[Checker ID],$Q$4,RawData[[Error Type ]],$Q$5))</f>
        <v/>
      </c>
    </row>
    <row r="17808" spans="15:15" x14ac:dyDescent="0.25">
      <c r="O17808" s="20" t="str">
        <f>IF(N17808="","",COUNTIFS(RawData[[Date ]],N17808,RawData[Month List],$Q$6,RawData[Tour/Site],$Q$2,RawData[[Picker ID ]],$Q$3,RawData[Checker ID],$Q$4,RawData[[Error Type ]],$Q$5))</f>
        <v/>
      </c>
    </row>
    <row r="17809" spans="15:15" x14ac:dyDescent="0.25">
      <c r="O17809" s="20" t="str">
        <f>IF(N17809="","",COUNTIFS(RawData[[Date ]],N17809,RawData[Month List],$Q$6,RawData[Tour/Site],$Q$2,RawData[[Picker ID ]],$Q$3,RawData[Checker ID],$Q$4,RawData[[Error Type ]],$Q$5))</f>
        <v/>
      </c>
    </row>
    <row r="17810" spans="15:15" x14ac:dyDescent="0.25">
      <c r="O17810" s="20" t="str">
        <f>IF(N17810="","",COUNTIFS(RawData[[Date ]],N17810,RawData[Month List],$Q$6,RawData[Tour/Site],$Q$2,RawData[[Picker ID ]],$Q$3,RawData[Checker ID],$Q$4,RawData[[Error Type ]],$Q$5))</f>
        <v/>
      </c>
    </row>
    <row r="17811" spans="15:15" x14ac:dyDescent="0.25">
      <c r="O17811" s="20" t="str">
        <f>IF(N17811="","",COUNTIFS(RawData[[Date ]],N17811,RawData[Month List],$Q$6,RawData[Tour/Site],$Q$2,RawData[[Picker ID ]],$Q$3,RawData[Checker ID],$Q$4,RawData[[Error Type ]],$Q$5))</f>
        <v/>
      </c>
    </row>
    <row r="17812" spans="15:15" x14ac:dyDescent="0.25">
      <c r="O17812" s="20" t="str">
        <f>IF(N17812="","",COUNTIFS(RawData[[Date ]],N17812,RawData[Month List],$Q$6,RawData[Tour/Site],$Q$2,RawData[[Picker ID ]],$Q$3,RawData[Checker ID],$Q$4,RawData[[Error Type ]],$Q$5))</f>
        <v/>
      </c>
    </row>
    <row r="17813" spans="15:15" x14ac:dyDescent="0.25">
      <c r="O17813" s="20" t="str">
        <f>IF(N17813="","",COUNTIFS(RawData[[Date ]],N17813,RawData[Month List],$Q$6,RawData[Tour/Site],$Q$2,RawData[[Picker ID ]],$Q$3,RawData[Checker ID],$Q$4,RawData[[Error Type ]],$Q$5))</f>
        <v/>
      </c>
    </row>
    <row r="17814" spans="15:15" x14ac:dyDescent="0.25">
      <c r="O17814" s="20" t="str">
        <f>IF(N17814="","",COUNTIFS(RawData[[Date ]],N17814,RawData[Month List],$Q$6,RawData[Tour/Site],$Q$2,RawData[[Picker ID ]],$Q$3,RawData[Checker ID],$Q$4,RawData[[Error Type ]],$Q$5))</f>
        <v/>
      </c>
    </row>
    <row r="17815" spans="15:15" x14ac:dyDescent="0.25">
      <c r="O17815" s="20" t="str">
        <f>IF(N17815="","",COUNTIFS(RawData[[Date ]],N17815,RawData[Month List],$Q$6,RawData[Tour/Site],$Q$2,RawData[[Picker ID ]],$Q$3,RawData[Checker ID],$Q$4,RawData[[Error Type ]],$Q$5))</f>
        <v/>
      </c>
    </row>
    <row r="17816" spans="15:15" x14ac:dyDescent="0.25">
      <c r="O17816" s="20" t="str">
        <f>IF(N17816="","",COUNTIFS(RawData[[Date ]],N17816,RawData[Month List],$Q$6,RawData[Tour/Site],$Q$2,RawData[[Picker ID ]],$Q$3,RawData[Checker ID],$Q$4,RawData[[Error Type ]],$Q$5))</f>
        <v/>
      </c>
    </row>
    <row r="17817" spans="15:15" x14ac:dyDescent="0.25">
      <c r="O17817" s="20" t="str">
        <f>IF(N17817="","",COUNTIFS(RawData[[Date ]],N17817,RawData[Month List],$Q$6,RawData[Tour/Site],$Q$2,RawData[[Picker ID ]],$Q$3,RawData[Checker ID],$Q$4,RawData[[Error Type ]],$Q$5))</f>
        <v/>
      </c>
    </row>
    <row r="17818" spans="15:15" x14ac:dyDescent="0.25">
      <c r="O17818" s="20" t="str">
        <f>IF(N17818="","",COUNTIFS(RawData[[Date ]],N17818,RawData[Month List],$Q$6,RawData[Tour/Site],$Q$2,RawData[[Picker ID ]],$Q$3,RawData[Checker ID],$Q$4,RawData[[Error Type ]],$Q$5))</f>
        <v/>
      </c>
    </row>
    <row r="17819" spans="15:15" x14ac:dyDescent="0.25">
      <c r="O17819" s="20" t="str">
        <f>IF(N17819="","",COUNTIFS(RawData[[Date ]],N17819,RawData[Month List],$Q$6,RawData[Tour/Site],$Q$2,RawData[[Picker ID ]],$Q$3,RawData[Checker ID],$Q$4,RawData[[Error Type ]],$Q$5))</f>
        <v/>
      </c>
    </row>
    <row r="17820" spans="15:15" x14ac:dyDescent="0.25">
      <c r="O17820" s="20" t="str">
        <f>IF(N17820="","",COUNTIFS(RawData[[Date ]],N17820,RawData[Month List],$Q$6,RawData[Tour/Site],$Q$2,RawData[[Picker ID ]],$Q$3,RawData[Checker ID],$Q$4,RawData[[Error Type ]],$Q$5))</f>
        <v/>
      </c>
    </row>
    <row r="17821" spans="15:15" x14ac:dyDescent="0.25">
      <c r="O17821" s="20" t="str">
        <f>IF(N17821="","",COUNTIFS(RawData[[Date ]],N17821,RawData[Month List],$Q$6,RawData[Tour/Site],$Q$2,RawData[[Picker ID ]],$Q$3,RawData[Checker ID],$Q$4,RawData[[Error Type ]],$Q$5))</f>
        <v/>
      </c>
    </row>
    <row r="17822" spans="15:15" x14ac:dyDescent="0.25">
      <c r="O17822" s="20" t="str">
        <f>IF(N17822="","",COUNTIFS(RawData[[Date ]],N17822,RawData[Month List],$Q$6,RawData[Tour/Site],$Q$2,RawData[[Picker ID ]],$Q$3,RawData[Checker ID],$Q$4,RawData[[Error Type ]],$Q$5))</f>
        <v/>
      </c>
    </row>
    <row r="17823" spans="15:15" x14ac:dyDescent="0.25">
      <c r="O17823" s="20" t="str">
        <f>IF(N17823="","",COUNTIFS(RawData[[Date ]],N17823,RawData[Month List],$Q$6,RawData[Tour/Site],$Q$2,RawData[[Picker ID ]],$Q$3,RawData[Checker ID],$Q$4,RawData[[Error Type ]],$Q$5))</f>
        <v/>
      </c>
    </row>
    <row r="17824" spans="15:15" x14ac:dyDescent="0.25">
      <c r="O17824" s="20" t="str">
        <f>IF(N17824="","",COUNTIFS(RawData[[Date ]],N17824,RawData[Month List],$Q$6,RawData[Tour/Site],$Q$2,RawData[[Picker ID ]],$Q$3,RawData[Checker ID],$Q$4,RawData[[Error Type ]],$Q$5))</f>
        <v/>
      </c>
    </row>
    <row r="17825" spans="15:15" x14ac:dyDescent="0.25">
      <c r="O17825" s="20" t="str">
        <f>IF(N17825="","",COUNTIFS(RawData[[Date ]],N17825,RawData[Month List],$Q$6,RawData[Tour/Site],$Q$2,RawData[[Picker ID ]],$Q$3,RawData[Checker ID],$Q$4,RawData[[Error Type ]],$Q$5))</f>
        <v/>
      </c>
    </row>
    <row r="17826" spans="15:15" x14ac:dyDescent="0.25">
      <c r="O17826" s="20" t="str">
        <f>IF(N17826="","",COUNTIFS(RawData[[Date ]],N17826,RawData[Month List],$Q$6,RawData[Tour/Site],$Q$2,RawData[[Picker ID ]],$Q$3,RawData[Checker ID],$Q$4,RawData[[Error Type ]],$Q$5))</f>
        <v/>
      </c>
    </row>
    <row r="17827" spans="15:15" x14ac:dyDescent="0.25">
      <c r="O17827" s="20" t="str">
        <f>IF(N17827="","",COUNTIFS(RawData[[Date ]],N17827,RawData[Month List],$Q$6,RawData[Tour/Site],$Q$2,RawData[[Picker ID ]],$Q$3,RawData[Checker ID],$Q$4,RawData[[Error Type ]],$Q$5))</f>
        <v/>
      </c>
    </row>
    <row r="17828" spans="15:15" x14ac:dyDescent="0.25">
      <c r="O17828" s="20" t="str">
        <f>IF(N17828="","",COUNTIFS(RawData[[Date ]],N17828,RawData[Month List],$Q$6,RawData[Tour/Site],$Q$2,RawData[[Picker ID ]],$Q$3,RawData[Checker ID],$Q$4,RawData[[Error Type ]],$Q$5))</f>
        <v/>
      </c>
    </row>
    <row r="17829" spans="15:15" x14ac:dyDescent="0.25">
      <c r="O17829" s="20" t="str">
        <f>IF(N17829="","",COUNTIFS(RawData[[Date ]],N17829,RawData[Month List],$Q$6,RawData[Tour/Site],$Q$2,RawData[[Picker ID ]],$Q$3,RawData[Checker ID],$Q$4,RawData[[Error Type ]],$Q$5))</f>
        <v/>
      </c>
    </row>
    <row r="17830" spans="15:15" x14ac:dyDescent="0.25">
      <c r="O17830" s="20" t="str">
        <f>IF(N17830="","",COUNTIFS(RawData[[Date ]],N17830,RawData[Month List],$Q$6,RawData[Tour/Site],$Q$2,RawData[[Picker ID ]],$Q$3,RawData[Checker ID],$Q$4,RawData[[Error Type ]],$Q$5))</f>
        <v/>
      </c>
    </row>
    <row r="17831" spans="15:15" x14ac:dyDescent="0.25">
      <c r="O17831" s="20" t="str">
        <f>IF(N17831="","",COUNTIFS(RawData[[Date ]],N17831,RawData[Month List],$Q$6,RawData[Tour/Site],$Q$2,RawData[[Picker ID ]],$Q$3,RawData[Checker ID],$Q$4,RawData[[Error Type ]],$Q$5))</f>
        <v/>
      </c>
    </row>
    <row r="17832" spans="15:15" x14ac:dyDescent="0.25">
      <c r="O17832" s="20" t="str">
        <f>IF(N17832="","",COUNTIFS(RawData[[Date ]],N17832,RawData[Month List],$Q$6,RawData[Tour/Site],$Q$2,RawData[[Picker ID ]],$Q$3,RawData[Checker ID],$Q$4,RawData[[Error Type ]],$Q$5))</f>
        <v/>
      </c>
    </row>
    <row r="17833" spans="15:15" x14ac:dyDescent="0.25">
      <c r="O17833" s="20" t="str">
        <f>IF(N17833="","",COUNTIFS(RawData[[Date ]],N17833,RawData[Month List],$Q$6,RawData[Tour/Site],$Q$2,RawData[[Picker ID ]],$Q$3,RawData[Checker ID],$Q$4,RawData[[Error Type ]],$Q$5))</f>
        <v/>
      </c>
    </row>
    <row r="17834" spans="15:15" x14ac:dyDescent="0.25">
      <c r="O17834" s="20" t="str">
        <f>IF(N17834="","",COUNTIFS(RawData[[Date ]],N17834,RawData[Month List],$Q$6,RawData[Tour/Site],$Q$2,RawData[[Picker ID ]],$Q$3,RawData[Checker ID],$Q$4,RawData[[Error Type ]],$Q$5))</f>
        <v/>
      </c>
    </row>
    <row r="17835" spans="15:15" x14ac:dyDescent="0.25">
      <c r="O17835" s="20" t="str">
        <f>IF(N17835="","",COUNTIFS(RawData[[Date ]],N17835,RawData[Month List],$Q$6,RawData[Tour/Site],$Q$2,RawData[[Picker ID ]],$Q$3,RawData[Checker ID],$Q$4,RawData[[Error Type ]],$Q$5))</f>
        <v/>
      </c>
    </row>
    <row r="17836" spans="15:15" x14ac:dyDescent="0.25">
      <c r="O17836" s="20" t="str">
        <f>IF(N17836="","",COUNTIFS(RawData[[Date ]],N17836,RawData[Month List],$Q$6,RawData[Tour/Site],$Q$2,RawData[[Picker ID ]],$Q$3,RawData[Checker ID],$Q$4,RawData[[Error Type ]],$Q$5))</f>
        <v/>
      </c>
    </row>
    <row r="17837" spans="15:15" x14ac:dyDescent="0.25">
      <c r="O17837" s="20" t="str">
        <f>IF(N17837="","",COUNTIFS(RawData[[Date ]],N17837,RawData[Month List],$Q$6,RawData[Tour/Site],$Q$2,RawData[[Picker ID ]],$Q$3,RawData[Checker ID],$Q$4,RawData[[Error Type ]],$Q$5))</f>
        <v/>
      </c>
    </row>
    <row r="17838" spans="15:15" x14ac:dyDescent="0.25">
      <c r="O17838" s="20" t="str">
        <f>IF(N17838="","",COUNTIFS(RawData[[Date ]],N17838,RawData[Month List],$Q$6,RawData[Tour/Site],$Q$2,RawData[[Picker ID ]],$Q$3,RawData[Checker ID],$Q$4,RawData[[Error Type ]],$Q$5))</f>
        <v/>
      </c>
    </row>
    <row r="17839" spans="15:15" x14ac:dyDescent="0.25">
      <c r="O17839" s="20" t="str">
        <f>IF(N17839="","",COUNTIFS(RawData[[Date ]],N17839,RawData[Month List],$Q$6,RawData[Tour/Site],$Q$2,RawData[[Picker ID ]],$Q$3,RawData[Checker ID],$Q$4,RawData[[Error Type ]],$Q$5))</f>
        <v/>
      </c>
    </row>
    <row r="17840" spans="15:15" x14ac:dyDescent="0.25">
      <c r="O17840" s="20" t="str">
        <f>IF(N17840="","",COUNTIFS(RawData[[Date ]],N17840,RawData[Month List],$Q$6,RawData[Tour/Site],$Q$2,RawData[[Picker ID ]],$Q$3,RawData[Checker ID],$Q$4,RawData[[Error Type ]],$Q$5))</f>
        <v/>
      </c>
    </row>
    <row r="17841" spans="15:15" x14ac:dyDescent="0.25">
      <c r="O17841" s="20" t="str">
        <f>IF(N17841="","",COUNTIFS(RawData[[Date ]],N17841,RawData[Month List],$Q$6,RawData[Tour/Site],$Q$2,RawData[[Picker ID ]],$Q$3,RawData[Checker ID],$Q$4,RawData[[Error Type ]],$Q$5))</f>
        <v/>
      </c>
    </row>
    <row r="17842" spans="15:15" x14ac:dyDescent="0.25">
      <c r="O17842" s="20" t="str">
        <f>IF(N17842="","",COUNTIFS(RawData[[Date ]],N17842,RawData[Month List],$Q$6,RawData[Tour/Site],$Q$2,RawData[[Picker ID ]],$Q$3,RawData[Checker ID],$Q$4,RawData[[Error Type ]],$Q$5))</f>
        <v/>
      </c>
    </row>
    <row r="17843" spans="15:15" x14ac:dyDescent="0.25">
      <c r="O17843" s="20" t="str">
        <f>IF(N17843="","",COUNTIFS(RawData[[Date ]],N17843,RawData[Month List],$Q$6,RawData[Tour/Site],$Q$2,RawData[[Picker ID ]],$Q$3,RawData[Checker ID],$Q$4,RawData[[Error Type ]],$Q$5))</f>
        <v/>
      </c>
    </row>
    <row r="17844" spans="15:15" x14ac:dyDescent="0.25">
      <c r="O17844" s="20" t="str">
        <f>IF(N17844="","",COUNTIFS(RawData[[Date ]],N17844,RawData[Month List],$Q$6,RawData[Tour/Site],$Q$2,RawData[[Picker ID ]],$Q$3,RawData[Checker ID],$Q$4,RawData[[Error Type ]],$Q$5))</f>
        <v/>
      </c>
    </row>
    <row r="17845" spans="15:15" x14ac:dyDescent="0.25">
      <c r="O17845" s="20" t="str">
        <f>IF(N17845="","",COUNTIFS(RawData[[Date ]],N17845,RawData[Month List],$Q$6,RawData[Tour/Site],$Q$2,RawData[[Picker ID ]],$Q$3,RawData[Checker ID],$Q$4,RawData[[Error Type ]],$Q$5))</f>
        <v/>
      </c>
    </row>
    <row r="17846" spans="15:15" x14ac:dyDescent="0.25">
      <c r="O17846" s="20" t="str">
        <f>IF(N17846="","",COUNTIFS(RawData[[Date ]],N17846,RawData[Month List],$Q$6,RawData[Tour/Site],$Q$2,RawData[[Picker ID ]],$Q$3,RawData[Checker ID],$Q$4,RawData[[Error Type ]],$Q$5))</f>
        <v/>
      </c>
    </row>
    <row r="17847" spans="15:15" x14ac:dyDescent="0.25">
      <c r="O17847" s="20" t="str">
        <f>IF(N17847="","",COUNTIFS(RawData[[Date ]],N17847,RawData[Month List],$Q$6,RawData[Tour/Site],$Q$2,RawData[[Picker ID ]],$Q$3,RawData[Checker ID],$Q$4,RawData[[Error Type ]],$Q$5))</f>
        <v/>
      </c>
    </row>
    <row r="17848" spans="15:15" x14ac:dyDescent="0.25">
      <c r="O17848" s="20" t="str">
        <f>IF(N17848="","",COUNTIFS(RawData[[Date ]],N17848,RawData[Month List],$Q$6,RawData[Tour/Site],$Q$2,RawData[[Picker ID ]],$Q$3,RawData[Checker ID],$Q$4,RawData[[Error Type ]],$Q$5))</f>
        <v/>
      </c>
    </row>
    <row r="17849" spans="15:15" x14ac:dyDescent="0.25">
      <c r="O17849" s="20" t="str">
        <f>IF(N17849="","",COUNTIFS(RawData[[Date ]],N17849,RawData[Month List],$Q$6,RawData[Tour/Site],$Q$2,RawData[[Picker ID ]],$Q$3,RawData[Checker ID],$Q$4,RawData[[Error Type ]],$Q$5))</f>
        <v/>
      </c>
    </row>
    <row r="17850" spans="15:15" x14ac:dyDescent="0.25">
      <c r="O17850" s="20" t="str">
        <f>IF(N17850="","",COUNTIFS(RawData[[Date ]],N17850,RawData[Month List],$Q$6,RawData[Tour/Site],$Q$2,RawData[[Picker ID ]],$Q$3,RawData[Checker ID],$Q$4,RawData[[Error Type ]],$Q$5))</f>
        <v/>
      </c>
    </row>
    <row r="17851" spans="15:15" x14ac:dyDescent="0.25">
      <c r="O17851" s="20" t="str">
        <f>IF(N17851="","",COUNTIFS(RawData[[Date ]],N17851,RawData[Month List],$Q$6,RawData[Tour/Site],$Q$2,RawData[[Picker ID ]],$Q$3,RawData[Checker ID],$Q$4,RawData[[Error Type ]],$Q$5))</f>
        <v/>
      </c>
    </row>
    <row r="17852" spans="15:15" x14ac:dyDescent="0.25">
      <c r="O17852" s="20" t="str">
        <f>IF(N17852="","",COUNTIFS(RawData[[Date ]],N17852,RawData[Month List],$Q$6,RawData[Tour/Site],$Q$2,RawData[[Picker ID ]],$Q$3,RawData[Checker ID],$Q$4,RawData[[Error Type ]],$Q$5))</f>
        <v/>
      </c>
    </row>
    <row r="17853" spans="15:15" x14ac:dyDescent="0.25">
      <c r="O17853" s="20" t="str">
        <f>IF(N17853="","",COUNTIFS(RawData[[Date ]],N17853,RawData[Month List],$Q$6,RawData[Tour/Site],$Q$2,RawData[[Picker ID ]],$Q$3,RawData[Checker ID],$Q$4,RawData[[Error Type ]],$Q$5))</f>
        <v/>
      </c>
    </row>
    <row r="17854" spans="15:15" x14ac:dyDescent="0.25">
      <c r="O17854" s="20" t="str">
        <f>IF(N17854="","",COUNTIFS(RawData[[Date ]],N17854,RawData[Month List],$Q$6,RawData[Tour/Site],$Q$2,RawData[[Picker ID ]],$Q$3,RawData[Checker ID],$Q$4,RawData[[Error Type ]],$Q$5))</f>
        <v/>
      </c>
    </row>
    <row r="17855" spans="15:15" x14ac:dyDescent="0.25">
      <c r="O17855" s="20" t="str">
        <f>IF(N17855="","",COUNTIFS(RawData[[Date ]],N17855,RawData[Month List],$Q$6,RawData[Tour/Site],$Q$2,RawData[[Picker ID ]],$Q$3,RawData[Checker ID],$Q$4,RawData[[Error Type ]],$Q$5))</f>
        <v/>
      </c>
    </row>
    <row r="17856" spans="15:15" x14ac:dyDescent="0.25">
      <c r="O17856" s="20" t="str">
        <f>IF(N17856="","",COUNTIFS(RawData[[Date ]],N17856,RawData[Month List],$Q$6,RawData[Tour/Site],$Q$2,RawData[[Picker ID ]],$Q$3,RawData[Checker ID],$Q$4,RawData[[Error Type ]],$Q$5))</f>
        <v/>
      </c>
    </row>
    <row r="17857" spans="15:15" x14ac:dyDescent="0.25">
      <c r="O17857" s="20" t="str">
        <f>IF(N17857="","",COUNTIFS(RawData[[Date ]],N17857,RawData[Month List],$Q$6,RawData[Tour/Site],$Q$2,RawData[[Picker ID ]],$Q$3,RawData[Checker ID],$Q$4,RawData[[Error Type ]],$Q$5))</f>
        <v/>
      </c>
    </row>
    <row r="17858" spans="15:15" x14ac:dyDescent="0.25">
      <c r="O17858" s="20" t="str">
        <f>IF(N17858="","",COUNTIFS(RawData[[Date ]],N17858,RawData[Month List],$Q$6,RawData[Tour/Site],$Q$2,RawData[[Picker ID ]],$Q$3,RawData[Checker ID],$Q$4,RawData[[Error Type ]],$Q$5))</f>
        <v/>
      </c>
    </row>
    <row r="17859" spans="15:15" x14ac:dyDescent="0.25">
      <c r="O17859" s="20" t="str">
        <f>IF(N17859="","",COUNTIFS(RawData[[Date ]],N17859,RawData[Month List],$Q$6,RawData[Tour/Site],$Q$2,RawData[[Picker ID ]],$Q$3,RawData[Checker ID],$Q$4,RawData[[Error Type ]],$Q$5))</f>
        <v/>
      </c>
    </row>
    <row r="17860" spans="15:15" x14ac:dyDescent="0.25">
      <c r="O17860" s="20" t="str">
        <f>IF(N17860="","",COUNTIFS(RawData[[Date ]],N17860,RawData[Month List],$Q$6,RawData[Tour/Site],$Q$2,RawData[[Picker ID ]],$Q$3,RawData[Checker ID],$Q$4,RawData[[Error Type ]],$Q$5))</f>
        <v/>
      </c>
    </row>
    <row r="17861" spans="15:15" x14ac:dyDescent="0.25">
      <c r="O17861" s="20" t="str">
        <f>IF(N17861="","",COUNTIFS(RawData[[Date ]],N17861,RawData[Month List],$Q$6,RawData[Tour/Site],$Q$2,RawData[[Picker ID ]],$Q$3,RawData[Checker ID],$Q$4,RawData[[Error Type ]],$Q$5))</f>
        <v/>
      </c>
    </row>
    <row r="17862" spans="15:15" x14ac:dyDescent="0.25">
      <c r="O17862" s="20" t="str">
        <f>IF(N17862="","",COUNTIFS(RawData[[Date ]],N17862,RawData[Month List],$Q$6,RawData[Tour/Site],$Q$2,RawData[[Picker ID ]],$Q$3,RawData[Checker ID],$Q$4,RawData[[Error Type ]],$Q$5))</f>
        <v/>
      </c>
    </row>
    <row r="17863" spans="15:15" x14ac:dyDescent="0.25">
      <c r="O17863" s="20" t="str">
        <f>IF(N17863="","",COUNTIFS(RawData[[Date ]],N17863,RawData[Month List],$Q$6,RawData[Tour/Site],$Q$2,RawData[[Picker ID ]],$Q$3,RawData[Checker ID],$Q$4,RawData[[Error Type ]],$Q$5))</f>
        <v/>
      </c>
    </row>
    <row r="17864" spans="15:15" x14ac:dyDescent="0.25">
      <c r="O17864" s="20" t="str">
        <f>IF(N17864="","",COUNTIFS(RawData[[Date ]],N17864,RawData[Month List],$Q$6,RawData[Tour/Site],$Q$2,RawData[[Picker ID ]],$Q$3,RawData[Checker ID],$Q$4,RawData[[Error Type ]],$Q$5))</f>
        <v/>
      </c>
    </row>
    <row r="17865" spans="15:15" x14ac:dyDescent="0.25">
      <c r="O17865" s="20" t="str">
        <f>IF(N17865="","",COUNTIFS(RawData[[Date ]],N17865,RawData[Month List],$Q$6,RawData[Tour/Site],$Q$2,RawData[[Picker ID ]],$Q$3,RawData[Checker ID],$Q$4,RawData[[Error Type ]],$Q$5))</f>
        <v/>
      </c>
    </row>
    <row r="17866" spans="15:15" x14ac:dyDescent="0.25">
      <c r="O17866" s="20" t="str">
        <f>IF(N17866="","",COUNTIFS(RawData[[Date ]],N17866,RawData[Month List],$Q$6,RawData[Tour/Site],$Q$2,RawData[[Picker ID ]],$Q$3,RawData[Checker ID],$Q$4,RawData[[Error Type ]],$Q$5))</f>
        <v/>
      </c>
    </row>
    <row r="17867" spans="15:15" x14ac:dyDescent="0.25">
      <c r="O17867" s="20" t="str">
        <f>IF(N17867="","",COUNTIFS(RawData[[Date ]],N17867,RawData[Month List],$Q$6,RawData[Tour/Site],$Q$2,RawData[[Picker ID ]],$Q$3,RawData[Checker ID],$Q$4,RawData[[Error Type ]],$Q$5))</f>
        <v/>
      </c>
    </row>
    <row r="17868" spans="15:15" x14ac:dyDescent="0.25">
      <c r="O17868" s="20" t="str">
        <f>IF(N17868="","",COUNTIFS(RawData[[Date ]],N17868,RawData[Month List],$Q$6,RawData[Tour/Site],$Q$2,RawData[[Picker ID ]],$Q$3,RawData[Checker ID],$Q$4,RawData[[Error Type ]],$Q$5))</f>
        <v/>
      </c>
    </row>
    <row r="17869" spans="15:15" x14ac:dyDescent="0.25">
      <c r="O17869" s="20" t="str">
        <f>IF(N17869="","",COUNTIFS(RawData[[Date ]],N17869,RawData[Month List],$Q$6,RawData[Tour/Site],$Q$2,RawData[[Picker ID ]],$Q$3,RawData[Checker ID],$Q$4,RawData[[Error Type ]],$Q$5))</f>
        <v/>
      </c>
    </row>
    <row r="17870" spans="15:15" x14ac:dyDescent="0.25">
      <c r="O17870" s="20" t="str">
        <f>IF(N17870="","",COUNTIFS(RawData[[Date ]],N17870,RawData[Month List],$Q$6,RawData[Tour/Site],$Q$2,RawData[[Picker ID ]],$Q$3,RawData[Checker ID],$Q$4,RawData[[Error Type ]],$Q$5))</f>
        <v/>
      </c>
    </row>
    <row r="17871" spans="15:15" x14ac:dyDescent="0.25">
      <c r="O17871" s="20" t="str">
        <f>IF(N17871="","",COUNTIFS(RawData[[Date ]],N17871,RawData[Month List],$Q$6,RawData[Tour/Site],$Q$2,RawData[[Picker ID ]],$Q$3,RawData[Checker ID],$Q$4,RawData[[Error Type ]],$Q$5))</f>
        <v/>
      </c>
    </row>
    <row r="17872" spans="15:15" x14ac:dyDescent="0.25">
      <c r="O17872" s="20" t="str">
        <f>IF(N17872="","",COUNTIFS(RawData[[Date ]],N17872,RawData[Month List],$Q$6,RawData[Tour/Site],$Q$2,RawData[[Picker ID ]],$Q$3,RawData[Checker ID],$Q$4,RawData[[Error Type ]],$Q$5))</f>
        <v/>
      </c>
    </row>
    <row r="17873" spans="15:15" x14ac:dyDescent="0.25">
      <c r="O17873" s="20" t="str">
        <f>IF(N17873="","",COUNTIFS(RawData[[Date ]],N17873,RawData[Month List],$Q$6,RawData[Tour/Site],$Q$2,RawData[[Picker ID ]],$Q$3,RawData[Checker ID],$Q$4,RawData[[Error Type ]],$Q$5))</f>
        <v/>
      </c>
    </row>
    <row r="17874" spans="15:15" x14ac:dyDescent="0.25">
      <c r="O17874" s="20" t="str">
        <f>IF(N17874="","",COUNTIFS(RawData[[Date ]],N17874,RawData[Month List],$Q$6,RawData[Tour/Site],$Q$2,RawData[[Picker ID ]],$Q$3,RawData[Checker ID],$Q$4,RawData[[Error Type ]],$Q$5))</f>
        <v/>
      </c>
    </row>
    <row r="17875" spans="15:15" x14ac:dyDescent="0.25">
      <c r="O17875" s="20" t="str">
        <f>IF(N17875="","",COUNTIFS(RawData[[Date ]],N17875,RawData[Month List],$Q$6,RawData[Tour/Site],$Q$2,RawData[[Picker ID ]],$Q$3,RawData[Checker ID],$Q$4,RawData[[Error Type ]],$Q$5))</f>
        <v/>
      </c>
    </row>
    <row r="17876" spans="15:15" x14ac:dyDescent="0.25">
      <c r="O17876" s="20" t="str">
        <f>IF(N17876="","",COUNTIFS(RawData[[Date ]],N17876,RawData[Month List],$Q$6,RawData[Tour/Site],$Q$2,RawData[[Picker ID ]],$Q$3,RawData[Checker ID],$Q$4,RawData[[Error Type ]],$Q$5))</f>
        <v/>
      </c>
    </row>
    <row r="17877" spans="15:15" x14ac:dyDescent="0.25">
      <c r="O17877" s="20" t="str">
        <f>IF(N17877="","",COUNTIFS(RawData[[Date ]],N17877,RawData[Month List],$Q$6,RawData[Tour/Site],$Q$2,RawData[[Picker ID ]],$Q$3,RawData[Checker ID],$Q$4,RawData[[Error Type ]],$Q$5))</f>
        <v/>
      </c>
    </row>
    <row r="17878" spans="15:15" x14ac:dyDescent="0.25">
      <c r="O17878" s="20" t="str">
        <f>IF(N17878="","",COUNTIFS(RawData[[Date ]],N17878,RawData[Month List],$Q$6,RawData[Tour/Site],$Q$2,RawData[[Picker ID ]],$Q$3,RawData[Checker ID],$Q$4,RawData[[Error Type ]],$Q$5))</f>
        <v/>
      </c>
    </row>
    <row r="17879" spans="15:15" x14ac:dyDescent="0.25">
      <c r="O17879" s="20" t="str">
        <f>IF(N17879="","",COUNTIFS(RawData[[Date ]],N17879,RawData[Month List],$Q$6,RawData[Tour/Site],$Q$2,RawData[[Picker ID ]],$Q$3,RawData[Checker ID],$Q$4,RawData[[Error Type ]],$Q$5))</f>
        <v/>
      </c>
    </row>
    <row r="17880" spans="15:15" x14ac:dyDescent="0.25">
      <c r="O17880" s="20" t="str">
        <f>IF(N17880="","",COUNTIFS(RawData[[Date ]],N17880,RawData[Month List],$Q$6,RawData[Tour/Site],$Q$2,RawData[[Picker ID ]],$Q$3,RawData[Checker ID],$Q$4,RawData[[Error Type ]],$Q$5))</f>
        <v/>
      </c>
    </row>
    <row r="17881" spans="15:15" x14ac:dyDescent="0.25">
      <c r="O17881" s="20" t="str">
        <f>IF(N17881="","",COUNTIFS(RawData[[Date ]],N17881,RawData[Month List],$Q$6,RawData[Tour/Site],$Q$2,RawData[[Picker ID ]],$Q$3,RawData[Checker ID],$Q$4,RawData[[Error Type ]],$Q$5))</f>
        <v/>
      </c>
    </row>
    <row r="17882" spans="15:15" x14ac:dyDescent="0.25">
      <c r="O17882" s="20" t="str">
        <f>IF(N17882="","",COUNTIFS(RawData[[Date ]],N17882,RawData[Month List],$Q$6,RawData[Tour/Site],$Q$2,RawData[[Picker ID ]],$Q$3,RawData[Checker ID],$Q$4,RawData[[Error Type ]],$Q$5))</f>
        <v/>
      </c>
    </row>
    <row r="17883" spans="15:15" x14ac:dyDescent="0.25">
      <c r="O17883" s="20" t="str">
        <f>IF(N17883="","",COUNTIFS(RawData[[Date ]],N17883,RawData[Month List],$Q$6,RawData[Tour/Site],$Q$2,RawData[[Picker ID ]],$Q$3,RawData[Checker ID],$Q$4,RawData[[Error Type ]],$Q$5))</f>
        <v/>
      </c>
    </row>
    <row r="17884" spans="15:15" x14ac:dyDescent="0.25">
      <c r="O17884" s="20" t="str">
        <f>IF(N17884="","",COUNTIFS(RawData[[Date ]],N17884,RawData[Month List],$Q$6,RawData[Tour/Site],$Q$2,RawData[[Picker ID ]],$Q$3,RawData[Checker ID],$Q$4,RawData[[Error Type ]],$Q$5))</f>
        <v/>
      </c>
    </row>
    <row r="17885" spans="15:15" x14ac:dyDescent="0.25">
      <c r="O17885" s="20" t="str">
        <f>IF(N17885="","",COUNTIFS(RawData[[Date ]],N17885,RawData[Month List],$Q$6,RawData[Tour/Site],$Q$2,RawData[[Picker ID ]],$Q$3,RawData[Checker ID],$Q$4,RawData[[Error Type ]],$Q$5))</f>
        <v/>
      </c>
    </row>
    <row r="17886" spans="15:15" x14ac:dyDescent="0.25">
      <c r="O17886" s="20" t="str">
        <f>IF(N17886="","",COUNTIFS(RawData[[Date ]],N17886,RawData[Month List],$Q$6,RawData[Tour/Site],$Q$2,RawData[[Picker ID ]],$Q$3,RawData[Checker ID],$Q$4,RawData[[Error Type ]],$Q$5))</f>
        <v/>
      </c>
    </row>
    <row r="17887" spans="15:15" x14ac:dyDescent="0.25">
      <c r="O17887" s="20" t="str">
        <f>IF(N17887="","",COUNTIFS(RawData[[Date ]],N17887,RawData[Month List],$Q$6,RawData[Tour/Site],$Q$2,RawData[[Picker ID ]],$Q$3,RawData[Checker ID],$Q$4,RawData[[Error Type ]],$Q$5))</f>
        <v/>
      </c>
    </row>
    <row r="17888" spans="15:15" x14ac:dyDescent="0.25">
      <c r="O17888" s="20" t="str">
        <f>IF(N17888="","",COUNTIFS(RawData[[Date ]],N17888,RawData[Month List],$Q$6,RawData[Tour/Site],$Q$2,RawData[[Picker ID ]],$Q$3,RawData[Checker ID],$Q$4,RawData[[Error Type ]],$Q$5))</f>
        <v/>
      </c>
    </row>
    <row r="17889" spans="15:15" x14ac:dyDescent="0.25">
      <c r="O17889" s="20" t="str">
        <f>IF(N17889="","",COUNTIFS(RawData[[Date ]],N17889,RawData[Month List],$Q$6,RawData[Tour/Site],$Q$2,RawData[[Picker ID ]],$Q$3,RawData[Checker ID],$Q$4,RawData[[Error Type ]],$Q$5))</f>
        <v/>
      </c>
    </row>
    <row r="17890" spans="15:15" x14ac:dyDescent="0.25">
      <c r="O17890" s="20" t="str">
        <f>IF(N17890="","",COUNTIFS(RawData[[Date ]],N17890,RawData[Month List],$Q$6,RawData[Tour/Site],$Q$2,RawData[[Picker ID ]],$Q$3,RawData[Checker ID],$Q$4,RawData[[Error Type ]],$Q$5))</f>
        <v/>
      </c>
    </row>
    <row r="17891" spans="15:15" x14ac:dyDescent="0.25">
      <c r="O17891" s="20" t="str">
        <f>IF(N17891="","",COUNTIFS(RawData[[Date ]],N17891,RawData[Month List],$Q$6,RawData[Tour/Site],$Q$2,RawData[[Picker ID ]],$Q$3,RawData[Checker ID],$Q$4,RawData[[Error Type ]],$Q$5))</f>
        <v/>
      </c>
    </row>
    <row r="17892" spans="15:15" x14ac:dyDescent="0.25">
      <c r="O17892" s="20" t="str">
        <f>IF(N17892="","",COUNTIFS(RawData[[Date ]],N17892,RawData[Month List],$Q$6,RawData[Tour/Site],$Q$2,RawData[[Picker ID ]],$Q$3,RawData[Checker ID],$Q$4,RawData[[Error Type ]],$Q$5))</f>
        <v/>
      </c>
    </row>
    <row r="17893" spans="15:15" x14ac:dyDescent="0.25">
      <c r="O17893" s="20" t="str">
        <f>IF(N17893="","",COUNTIFS(RawData[[Date ]],N17893,RawData[Month List],$Q$6,RawData[Tour/Site],$Q$2,RawData[[Picker ID ]],$Q$3,RawData[Checker ID],$Q$4,RawData[[Error Type ]],$Q$5))</f>
        <v/>
      </c>
    </row>
    <row r="17894" spans="15:15" x14ac:dyDescent="0.25">
      <c r="O17894" s="20" t="str">
        <f>IF(N17894="","",COUNTIFS(RawData[[Date ]],N17894,RawData[Month List],$Q$6,RawData[Tour/Site],$Q$2,RawData[[Picker ID ]],$Q$3,RawData[Checker ID],$Q$4,RawData[[Error Type ]],$Q$5))</f>
        <v/>
      </c>
    </row>
    <row r="17895" spans="15:15" x14ac:dyDescent="0.25">
      <c r="O17895" s="20" t="str">
        <f>IF(N17895="","",COUNTIFS(RawData[[Date ]],N17895,RawData[Month List],$Q$6,RawData[Tour/Site],$Q$2,RawData[[Picker ID ]],$Q$3,RawData[Checker ID],$Q$4,RawData[[Error Type ]],$Q$5))</f>
        <v/>
      </c>
    </row>
    <row r="17896" spans="15:15" x14ac:dyDescent="0.25">
      <c r="O17896" s="20" t="str">
        <f>IF(N17896="","",COUNTIFS(RawData[[Date ]],N17896,RawData[Month List],$Q$6,RawData[Tour/Site],$Q$2,RawData[[Picker ID ]],$Q$3,RawData[Checker ID],$Q$4,RawData[[Error Type ]],$Q$5))</f>
        <v/>
      </c>
    </row>
    <row r="17897" spans="15:15" x14ac:dyDescent="0.25">
      <c r="O17897" s="20" t="str">
        <f>IF(N17897="","",COUNTIFS(RawData[[Date ]],N17897,RawData[Month List],$Q$6,RawData[Tour/Site],$Q$2,RawData[[Picker ID ]],$Q$3,RawData[Checker ID],$Q$4,RawData[[Error Type ]],$Q$5))</f>
        <v/>
      </c>
    </row>
    <row r="17898" spans="15:15" x14ac:dyDescent="0.25">
      <c r="O17898" s="20" t="str">
        <f>IF(N17898="","",COUNTIFS(RawData[[Date ]],N17898,RawData[Month List],$Q$6,RawData[Tour/Site],$Q$2,RawData[[Picker ID ]],$Q$3,RawData[Checker ID],$Q$4,RawData[[Error Type ]],$Q$5))</f>
        <v/>
      </c>
    </row>
    <row r="17899" spans="15:15" x14ac:dyDescent="0.25">
      <c r="O17899" s="20" t="str">
        <f>IF(N17899="","",COUNTIFS(RawData[[Date ]],N17899,RawData[Month List],$Q$6,RawData[Tour/Site],$Q$2,RawData[[Picker ID ]],$Q$3,RawData[Checker ID],$Q$4,RawData[[Error Type ]],$Q$5))</f>
        <v/>
      </c>
    </row>
    <row r="17900" spans="15:15" x14ac:dyDescent="0.25">
      <c r="O17900" s="20" t="str">
        <f>IF(N17900="","",COUNTIFS(RawData[[Date ]],N17900,RawData[Month List],$Q$6,RawData[Tour/Site],$Q$2,RawData[[Picker ID ]],$Q$3,RawData[Checker ID],$Q$4,RawData[[Error Type ]],$Q$5))</f>
        <v/>
      </c>
    </row>
    <row r="17901" spans="15:15" x14ac:dyDescent="0.25">
      <c r="O17901" s="20" t="str">
        <f>IF(N17901="","",COUNTIFS(RawData[[Date ]],N17901,RawData[Month List],$Q$6,RawData[Tour/Site],$Q$2,RawData[[Picker ID ]],$Q$3,RawData[Checker ID],$Q$4,RawData[[Error Type ]],$Q$5))</f>
        <v/>
      </c>
    </row>
    <row r="17902" spans="15:15" x14ac:dyDescent="0.25">
      <c r="O17902" s="20" t="str">
        <f>IF(N17902="","",COUNTIFS(RawData[[Date ]],N17902,RawData[Month List],$Q$6,RawData[Tour/Site],$Q$2,RawData[[Picker ID ]],$Q$3,RawData[Checker ID],$Q$4,RawData[[Error Type ]],$Q$5))</f>
        <v/>
      </c>
    </row>
    <row r="17903" spans="15:15" x14ac:dyDescent="0.25">
      <c r="O17903" s="20" t="str">
        <f>IF(N17903="","",COUNTIFS(RawData[[Date ]],N17903,RawData[Month List],$Q$6,RawData[Tour/Site],$Q$2,RawData[[Picker ID ]],$Q$3,RawData[Checker ID],$Q$4,RawData[[Error Type ]],$Q$5))</f>
        <v/>
      </c>
    </row>
    <row r="17904" spans="15:15" x14ac:dyDescent="0.25">
      <c r="O17904" s="20" t="str">
        <f>IF(N17904="","",COUNTIFS(RawData[[Date ]],N17904,RawData[Month List],$Q$6,RawData[Tour/Site],$Q$2,RawData[[Picker ID ]],$Q$3,RawData[Checker ID],$Q$4,RawData[[Error Type ]],$Q$5))</f>
        <v/>
      </c>
    </row>
    <row r="17905" spans="15:15" x14ac:dyDescent="0.25">
      <c r="O17905" s="20" t="str">
        <f>IF(N17905="","",COUNTIFS(RawData[[Date ]],N17905,RawData[Month List],$Q$6,RawData[Tour/Site],$Q$2,RawData[[Picker ID ]],$Q$3,RawData[Checker ID],$Q$4,RawData[[Error Type ]],$Q$5))</f>
        <v/>
      </c>
    </row>
    <row r="17906" spans="15:15" x14ac:dyDescent="0.25">
      <c r="O17906" s="20" t="str">
        <f>IF(N17906="","",COUNTIFS(RawData[[Date ]],N17906,RawData[Month List],$Q$6,RawData[Tour/Site],$Q$2,RawData[[Picker ID ]],$Q$3,RawData[Checker ID],$Q$4,RawData[[Error Type ]],$Q$5))</f>
        <v/>
      </c>
    </row>
    <row r="17907" spans="15:15" x14ac:dyDescent="0.25">
      <c r="O17907" s="20" t="str">
        <f>IF(N17907="","",COUNTIFS(RawData[[Date ]],N17907,RawData[Month List],$Q$6,RawData[Tour/Site],$Q$2,RawData[[Picker ID ]],$Q$3,RawData[Checker ID],$Q$4,RawData[[Error Type ]],$Q$5))</f>
        <v/>
      </c>
    </row>
    <row r="17908" spans="15:15" x14ac:dyDescent="0.25">
      <c r="O17908" s="20" t="str">
        <f>IF(N17908="","",COUNTIFS(RawData[[Date ]],N17908,RawData[Month List],$Q$6,RawData[Tour/Site],$Q$2,RawData[[Picker ID ]],$Q$3,RawData[Checker ID],$Q$4,RawData[[Error Type ]],$Q$5))</f>
        <v/>
      </c>
    </row>
    <row r="17909" spans="15:15" x14ac:dyDescent="0.25">
      <c r="O17909" s="20" t="str">
        <f>IF(N17909="","",COUNTIFS(RawData[[Date ]],N17909,RawData[Month List],$Q$6,RawData[Tour/Site],$Q$2,RawData[[Picker ID ]],$Q$3,RawData[Checker ID],$Q$4,RawData[[Error Type ]],$Q$5))</f>
        <v/>
      </c>
    </row>
    <row r="17910" spans="15:15" x14ac:dyDescent="0.25">
      <c r="O17910" s="20" t="str">
        <f>IF(N17910="","",COUNTIFS(RawData[[Date ]],N17910,RawData[Month List],$Q$6,RawData[Tour/Site],$Q$2,RawData[[Picker ID ]],$Q$3,RawData[Checker ID],$Q$4,RawData[[Error Type ]],$Q$5))</f>
        <v/>
      </c>
    </row>
    <row r="17911" spans="15:15" x14ac:dyDescent="0.25">
      <c r="O17911" s="20" t="str">
        <f>IF(N17911="","",COUNTIFS(RawData[[Date ]],N17911,RawData[Month List],$Q$6,RawData[Tour/Site],$Q$2,RawData[[Picker ID ]],$Q$3,RawData[Checker ID],$Q$4,RawData[[Error Type ]],$Q$5))</f>
        <v/>
      </c>
    </row>
    <row r="17912" spans="15:15" x14ac:dyDescent="0.25">
      <c r="O17912" s="20" t="str">
        <f>IF(N17912="","",COUNTIFS(RawData[[Date ]],N17912,RawData[Month List],$Q$6,RawData[Tour/Site],$Q$2,RawData[[Picker ID ]],$Q$3,RawData[Checker ID],$Q$4,RawData[[Error Type ]],$Q$5))</f>
        <v/>
      </c>
    </row>
    <row r="17913" spans="15:15" x14ac:dyDescent="0.25">
      <c r="O17913" s="20" t="str">
        <f>IF(N17913="","",COUNTIFS(RawData[[Date ]],N17913,RawData[Month List],$Q$6,RawData[Tour/Site],$Q$2,RawData[[Picker ID ]],$Q$3,RawData[Checker ID],$Q$4,RawData[[Error Type ]],$Q$5))</f>
        <v/>
      </c>
    </row>
    <row r="17914" spans="15:15" x14ac:dyDescent="0.25">
      <c r="O17914" s="20" t="str">
        <f>IF(N17914="","",COUNTIFS(RawData[[Date ]],N17914,RawData[Month List],$Q$6,RawData[Tour/Site],$Q$2,RawData[[Picker ID ]],$Q$3,RawData[Checker ID],$Q$4,RawData[[Error Type ]],$Q$5))</f>
        <v/>
      </c>
    </row>
    <row r="17915" spans="15:15" x14ac:dyDescent="0.25">
      <c r="O17915" s="20" t="str">
        <f>IF(N17915="","",COUNTIFS(RawData[[Date ]],N17915,RawData[Month List],$Q$6,RawData[Tour/Site],$Q$2,RawData[[Picker ID ]],$Q$3,RawData[Checker ID],$Q$4,RawData[[Error Type ]],$Q$5))</f>
        <v/>
      </c>
    </row>
    <row r="17916" spans="15:15" x14ac:dyDescent="0.25">
      <c r="O17916" s="20" t="str">
        <f>IF(N17916="","",COUNTIFS(RawData[[Date ]],N17916,RawData[Month List],$Q$6,RawData[Tour/Site],$Q$2,RawData[[Picker ID ]],$Q$3,RawData[Checker ID],$Q$4,RawData[[Error Type ]],$Q$5))</f>
        <v/>
      </c>
    </row>
    <row r="17917" spans="15:15" x14ac:dyDescent="0.25">
      <c r="O17917" s="20" t="str">
        <f>IF(N17917="","",COUNTIFS(RawData[[Date ]],N17917,RawData[Month List],$Q$6,RawData[Tour/Site],$Q$2,RawData[[Picker ID ]],$Q$3,RawData[Checker ID],$Q$4,RawData[[Error Type ]],$Q$5))</f>
        <v/>
      </c>
    </row>
    <row r="17918" spans="15:15" x14ac:dyDescent="0.25">
      <c r="O17918" s="20" t="str">
        <f>IF(N17918="","",COUNTIFS(RawData[[Date ]],N17918,RawData[Month List],$Q$6,RawData[Tour/Site],$Q$2,RawData[[Picker ID ]],$Q$3,RawData[Checker ID],$Q$4,RawData[[Error Type ]],$Q$5))</f>
        <v/>
      </c>
    </row>
    <row r="17919" spans="15:15" x14ac:dyDescent="0.25">
      <c r="O17919" s="20" t="str">
        <f>IF(N17919="","",COUNTIFS(RawData[[Date ]],N17919,RawData[Month List],$Q$6,RawData[Tour/Site],$Q$2,RawData[[Picker ID ]],$Q$3,RawData[Checker ID],$Q$4,RawData[[Error Type ]],$Q$5))</f>
        <v/>
      </c>
    </row>
    <row r="17920" spans="15:15" x14ac:dyDescent="0.25">
      <c r="O17920" s="20" t="str">
        <f>IF(N17920="","",COUNTIFS(RawData[[Date ]],N17920,RawData[Month List],$Q$6,RawData[Tour/Site],$Q$2,RawData[[Picker ID ]],$Q$3,RawData[Checker ID],$Q$4,RawData[[Error Type ]],$Q$5))</f>
        <v/>
      </c>
    </row>
    <row r="17921" spans="15:15" x14ac:dyDescent="0.25">
      <c r="O17921" s="20" t="str">
        <f>IF(N17921="","",COUNTIFS(RawData[[Date ]],N17921,RawData[Month List],$Q$6,RawData[Tour/Site],$Q$2,RawData[[Picker ID ]],$Q$3,RawData[Checker ID],$Q$4,RawData[[Error Type ]],$Q$5))</f>
        <v/>
      </c>
    </row>
    <row r="17922" spans="15:15" x14ac:dyDescent="0.25">
      <c r="O17922" s="20" t="str">
        <f>IF(N17922="","",COUNTIFS(RawData[[Date ]],N17922,RawData[Month List],$Q$6,RawData[Tour/Site],$Q$2,RawData[[Picker ID ]],$Q$3,RawData[Checker ID],$Q$4,RawData[[Error Type ]],$Q$5))</f>
        <v/>
      </c>
    </row>
    <row r="17923" spans="15:15" x14ac:dyDescent="0.25">
      <c r="O17923" s="20" t="str">
        <f>IF(N17923="","",COUNTIFS(RawData[[Date ]],N17923,RawData[Month List],$Q$6,RawData[Tour/Site],$Q$2,RawData[[Picker ID ]],$Q$3,RawData[Checker ID],$Q$4,RawData[[Error Type ]],$Q$5))</f>
        <v/>
      </c>
    </row>
    <row r="17924" spans="15:15" x14ac:dyDescent="0.25">
      <c r="O17924" s="20" t="str">
        <f>IF(N17924="","",COUNTIFS(RawData[[Date ]],N17924,RawData[Month List],$Q$6,RawData[Tour/Site],$Q$2,RawData[[Picker ID ]],$Q$3,RawData[Checker ID],$Q$4,RawData[[Error Type ]],$Q$5))</f>
        <v/>
      </c>
    </row>
    <row r="17925" spans="15:15" x14ac:dyDescent="0.25">
      <c r="O17925" s="20" t="str">
        <f>IF(N17925="","",COUNTIFS(RawData[[Date ]],N17925,RawData[Month List],$Q$6,RawData[Tour/Site],$Q$2,RawData[[Picker ID ]],$Q$3,RawData[Checker ID],$Q$4,RawData[[Error Type ]],$Q$5))</f>
        <v/>
      </c>
    </row>
    <row r="17926" spans="15:15" x14ac:dyDescent="0.25">
      <c r="O17926" s="20" t="str">
        <f>IF(N17926="","",COUNTIFS(RawData[[Date ]],N17926,RawData[Month List],$Q$6,RawData[Tour/Site],$Q$2,RawData[[Picker ID ]],$Q$3,RawData[Checker ID],$Q$4,RawData[[Error Type ]],$Q$5))</f>
        <v/>
      </c>
    </row>
    <row r="17927" spans="15:15" x14ac:dyDescent="0.25">
      <c r="O17927" s="20" t="str">
        <f>IF(N17927="","",COUNTIFS(RawData[[Date ]],N17927,RawData[Month List],$Q$6,RawData[Tour/Site],$Q$2,RawData[[Picker ID ]],$Q$3,RawData[Checker ID],$Q$4,RawData[[Error Type ]],$Q$5))</f>
        <v/>
      </c>
    </row>
    <row r="17928" spans="15:15" x14ac:dyDescent="0.25">
      <c r="O17928" s="20" t="str">
        <f>IF(N17928="","",COUNTIFS(RawData[[Date ]],N17928,RawData[Month List],$Q$6,RawData[Tour/Site],$Q$2,RawData[[Picker ID ]],$Q$3,RawData[Checker ID],$Q$4,RawData[[Error Type ]],$Q$5))</f>
        <v/>
      </c>
    </row>
    <row r="17929" spans="15:15" x14ac:dyDescent="0.25">
      <c r="O17929" s="20" t="str">
        <f>IF(N17929="","",COUNTIFS(RawData[[Date ]],N17929,RawData[Month List],$Q$6,RawData[Tour/Site],$Q$2,RawData[[Picker ID ]],$Q$3,RawData[Checker ID],$Q$4,RawData[[Error Type ]],$Q$5))</f>
        <v/>
      </c>
    </row>
    <row r="17930" spans="15:15" x14ac:dyDescent="0.25">
      <c r="O17930" s="20" t="str">
        <f>IF(N17930="","",COUNTIFS(RawData[[Date ]],N17930,RawData[Month List],$Q$6,RawData[Tour/Site],$Q$2,RawData[[Picker ID ]],$Q$3,RawData[Checker ID],$Q$4,RawData[[Error Type ]],$Q$5))</f>
        <v/>
      </c>
    </row>
    <row r="17931" spans="15:15" x14ac:dyDescent="0.25">
      <c r="O17931" s="20" t="str">
        <f>IF(N17931="","",COUNTIFS(RawData[[Date ]],N17931,RawData[Month List],$Q$6,RawData[Tour/Site],$Q$2,RawData[[Picker ID ]],$Q$3,RawData[Checker ID],$Q$4,RawData[[Error Type ]],$Q$5))</f>
        <v/>
      </c>
    </row>
    <row r="17932" spans="15:15" x14ac:dyDescent="0.25">
      <c r="O17932" s="20" t="str">
        <f>IF(N17932="","",COUNTIFS(RawData[[Date ]],N17932,RawData[Month List],$Q$6,RawData[Tour/Site],$Q$2,RawData[[Picker ID ]],$Q$3,RawData[Checker ID],$Q$4,RawData[[Error Type ]],$Q$5))</f>
        <v/>
      </c>
    </row>
    <row r="17933" spans="15:15" x14ac:dyDescent="0.25">
      <c r="O17933" s="20" t="str">
        <f>IF(N17933="","",COUNTIFS(RawData[[Date ]],N17933,RawData[Month List],$Q$6,RawData[Tour/Site],$Q$2,RawData[[Picker ID ]],$Q$3,RawData[Checker ID],$Q$4,RawData[[Error Type ]],$Q$5))</f>
        <v/>
      </c>
    </row>
    <row r="17934" spans="15:15" x14ac:dyDescent="0.25">
      <c r="O17934" s="20" t="str">
        <f>IF(N17934="","",COUNTIFS(RawData[[Date ]],N17934,RawData[Month List],$Q$6,RawData[Tour/Site],$Q$2,RawData[[Picker ID ]],$Q$3,RawData[Checker ID],$Q$4,RawData[[Error Type ]],$Q$5))</f>
        <v/>
      </c>
    </row>
    <row r="17935" spans="15:15" x14ac:dyDescent="0.25">
      <c r="O17935" s="20" t="str">
        <f>IF(N17935="","",COUNTIFS(RawData[[Date ]],N17935,RawData[Month List],$Q$6,RawData[Tour/Site],$Q$2,RawData[[Picker ID ]],$Q$3,RawData[Checker ID],$Q$4,RawData[[Error Type ]],$Q$5))</f>
        <v/>
      </c>
    </row>
    <row r="17936" spans="15:15" x14ac:dyDescent="0.25">
      <c r="O17936" s="20" t="str">
        <f>IF(N17936="","",COUNTIFS(RawData[[Date ]],N17936,RawData[Month List],$Q$6,RawData[Tour/Site],$Q$2,RawData[[Picker ID ]],$Q$3,RawData[Checker ID],$Q$4,RawData[[Error Type ]],$Q$5))</f>
        <v/>
      </c>
    </row>
    <row r="17937" spans="15:15" x14ac:dyDescent="0.25">
      <c r="O17937" s="20" t="str">
        <f>IF(N17937="","",COUNTIFS(RawData[[Date ]],N17937,RawData[Month List],$Q$6,RawData[Tour/Site],$Q$2,RawData[[Picker ID ]],$Q$3,RawData[Checker ID],$Q$4,RawData[[Error Type ]],$Q$5))</f>
        <v/>
      </c>
    </row>
    <row r="17938" spans="15:15" x14ac:dyDescent="0.25">
      <c r="O17938" s="20" t="str">
        <f>IF(N17938="","",COUNTIFS(RawData[[Date ]],N17938,RawData[Month List],$Q$6,RawData[Tour/Site],$Q$2,RawData[[Picker ID ]],$Q$3,RawData[Checker ID],$Q$4,RawData[[Error Type ]],$Q$5))</f>
        <v/>
      </c>
    </row>
    <row r="17939" spans="15:15" x14ac:dyDescent="0.25">
      <c r="O17939" s="20" t="str">
        <f>IF(N17939="","",COUNTIFS(RawData[[Date ]],N17939,RawData[Month List],$Q$6,RawData[Tour/Site],$Q$2,RawData[[Picker ID ]],$Q$3,RawData[Checker ID],$Q$4,RawData[[Error Type ]],$Q$5))</f>
        <v/>
      </c>
    </row>
    <row r="17940" spans="15:15" x14ac:dyDescent="0.25">
      <c r="O17940" s="20" t="str">
        <f>IF(N17940="","",COUNTIFS(RawData[[Date ]],N17940,RawData[Month List],$Q$6,RawData[Tour/Site],$Q$2,RawData[[Picker ID ]],$Q$3,RawData[Checker ID],$Q$4,RawData[[Error Type ]],$Q$5))</f>
        <v/>
      </c>
    </row>
    <row r="17941" spans="15:15" x14ac:dyDescent="0.25">
      <c r="O17941" s="20" t="str">
        <f>IF(N17941="","",COUNTIFS(RawData[[Date ]],N17941,RawData[Month List],$Q$6,RawData[Tour/Site],$Q$2,RawData[[Picker ID ]],$Q$3,RawData[Checker ID],$Q$4,RawData[[Error Type ]],$Q$5))</f>
        <v/>
      </c>
    </row>
    <row r="17942" spans="15:15" x14ac:dyDescent="0.25">
      <c r="O17942" s="20" t="str">
        <f>IF(N17942="","",COUNTIFS(RawData[[Date ]],N17942,RawData[Month List],$Q$6,RawData[Tour/Site],$Q$2,RawData[[Picker ID ]],$Q$3,RawData[Checker ID],$Q$4,RawData[[Error Type ]],$Q$5))</f>
        <v/>
      </c>
    </row>
    <row r="17943" spans="15:15" x14ac:dyDescent="0.25">
      <c r="O17943" s="20" t="str">
        <f>IF(N17943="","",COUNTIFS(RawData[[Date ]],N17943,RawData[Month List],$Q$6,RawData[Tour/Site],$Q$2,RawData[[Picker ID ]],$Q$3,RawData[Checker ID],$Q$4,RawData[[Error Type ]],$Q$5))</f>
        <v/>
      </c>
    </row>
    <row r="17944" spans="15:15" x14ac:dyDescent="0.25">
      <c r="O17944" s="20" t="str">
        <f>IF(N17944="","",COUNTIFS(RawData[[Date ]],N17944,RawData[Month List],$Q$6,RawData[Tour/Site],$Q$2,RawData[[Picker ID ]],$Q$3,RawData[Checker ID],$Q$4,RawData[[Error Type ]],$Q$5))</f>
        <v/>
      </c>
    </row>
    <row r="17945" spans="15:15" x14ac:dyDescent="0.25">
      <c r="O17945" s="20" t="str">
        <f>IF(N17945="","",COUNTIFS(RawData[[Date ]],N17945,RawData[Month List],$Q$6,RawData[Tour/Site],$Q$2,RawData[[Picker ID ]],$Q$3,RawData[Checker ID],$Q$4,RawData[[Error Type ]],$Q$5))</f>
        <v/>
      </c>
    </row>
    <row r="17946" spans="15:15" x14ac:dyDescent="0.25">
      <c r="O17946" s="20" t="str">
        <f>IF(N17946="","",COUNTIFS(RawData[[Date ]],N17946,RawData[Month List],$Q$6,RawData[Tour/Site],$Q$2,RawData[[Picker ID ]],$Q$3,RawData[Checker ID],$Q$4,RawData[[Error Type ]],$Q$5))</f>
        <v/>
      </c>
    </row>
    <row r="17947" spans="15:15" x14ac:dyDescent="0.25">
      <c r="O17947" s="20" t="str">
        <f>IF(N17947="","",COUNTIFS(RawData[[Date ]],N17947,RawData[Month List],$Q$6,RawData[Tour/Site],$Q$2,RawData[[Picker ID ]],$Q$3,RawData[Checker ID],$Q$4,RawData[[Error Type ]],$Q$5))</f>
        <v/>
      </c>
    </row>
    <row r="17948" spans="15:15" x14ac:dyDescent="0.25">
      <c r="O17948" s="20" t="str">
        <f>IF(N17948="","",COUNTIFS(RawData[[Date ]],N17948,RawData[Month List],$Q$6,RawData[Tour/Site],$Q$2,RawData[[Picker ID ]],$Q$3,RawData[Checker ID],$Q$4,RawData[[Error Type ]],$Q$5))</f>
        <v/>
      </c>
    </row>
    <row r="17949" spans="15:15" x14ac:dyDescent="0.25">
      <c r="O17949" s="20" t="str">
        <f>IF(N17949="","",COUNTIFS(RawData[[Date ]],N17949,RawData[Month List],$Q$6,RawData[Tour/Site],$Q$2,RawData[[Picker ID ]],$Q$3,RawData[Checker ID],$Q$4,RawData[[Error Type ]],$Q$5))</f>
        <v/>
      </c>
    </row>
    <row r="17950" spans="15:15" x14ac:dyDescent="0.25">
      <c r="O17950" s="20" t="str">
        <f>IF(N17950="","",COUNTIFS(RawData[[Date ]],N17950,RawData[Month List],$Q$6,RawData[Tour/Site],$Q$2,RawData[[Picker ID ]],$Q$3,RawData[Checker ID],$Q$4,RawData[[Error Type ]],$Q$5))</f>
        <v/>
      </c>
    </row>
    <row r="17951" spans="15:15" x14ac:dyDescent="0.25">
      <c r="O17951" s="20" t="str">
        <f>IF(N17951="","",COUNTIFS(RawData[[Date ]],N17951,RawData[Month List],$Q$6,RawData[Tour/Site],$Q$2,RawData[[Picker ID ]],$Q$3,RawData[Checker ID],$Q$4,RawData[[Error Type ]],$Q$5))</f>
        <v/>
      </c>
    </row>
    <row r="17952" spans="15:15" x14ac:dyDescent="0.25">
      <c r="O17952" s="20" t="str">
        <f>IF(N17952="","",COUNTIFS(RawData[[Date ]],N17952,RawData[Month List],$Q$6,RawData[Tour/Site],$Q$2,RawData[[Picker ID ]],$Q$3,RawData[Checker ID],$Q$4,RawData[[Error Type ]],$Q$5))</f>
        <v/>
      </c>
    </row>
    <row r="17953" spans="15:15" x14ac:dyDescent="0.25">
      <c r="O17953" s="20" t="str">
        <f>IF(N17953="","",COUNTIFS(RawData[[Date ]],N17953,RawData[Month List],$Q$6,RawData[Tour/Site],$Q$2,RawData[[Picker ID ]],$Q$3,RawData[Checker ID],$Q$4,RawData[[Error Type ]],$Q$5))</f>
        <v/>
      </c>
    </row>
    <row r="17954" spans="15:15" x14ac:dyDescent="0.25">
      <c r="O17954" s="20" t="str">
        <f>IF(N17954="","",COUNTIFS(RawData[[Date ]],N17954,RawData[Month List],$Q$6,RawData[Tour/Site],$Q$2,RawData[[Picker ID ]],$Q$3,RawData[Checker ID],$Q$4,RawData[[Error Type ]],$Q$5))</f>
        <v/>
      </c>
    </row>
    <row r="17955" spans="15:15" x14ac:dyDescent="0.25">
      <c r="O17955" s="20" t="str">
        <f>IF(N17955="","",COUNTIFS(RawData[[Date ]],N17955,RawData[Month List],$Q$6,RawData[Tour/Site],$Q$2,RawData[[Picker ID ]],$Q$3,RawData[Checker ID],$Q$4,RawData[[Error Type ]],$Q$5))</f>
        <v/>
      </c>
    </row>
    <row r="17956" spans="15:15" x14ac:dyDescent="0.25">
      <c r="O17956" s="20" t="str">
        <f>IF(N17956="","",COUNTIFS(RawData[[Date ]],N17956,RawData[Month List],$Q$6,RawData[Tour/Site],$Q$2,RawData[[Picker ID ]],$Q$3,RawData[Checker ID],$Q$4,RawData[[Error Type ]],$Q$5))</f>
        <v/>
      </c>
    </row>
    <row r="17957" spans="15:15" x14ac:dyDescent="0.25">
      <c r="O17957" s="20" t="str">
        <f>IF(N17957="","",COUNTIFS(RawData[[Date ]],N17957,RawData[Month List],$Q$6,RawData[Tour/Site],$Q$2,RawData[[Picker ID ]],$Q$3,RawData[Checker ID],$Q$4,RawData[[Error Type ]],$Q$5))</f>
        <v/>
      </c>
    </row>
    <row r="17958" spans="15:15" x14ac:dyDescent="0.25">
      <c r="O17958" s="20" t="str">
        <f>IF(N17958="","",COUNTIFS(RawData[[Date ]],N17958,RawData[Month List],$Q$6,RawData[Tour/Site],$Q$2,RawData[[Picker ID ]],$Q$3,RawData[Checker ID],$Q$4,RawData[[Error Type ]],$Q$5))</f>
        <v/>
      </c>
    </row>
    <row r="17959" spans="15:15" x14ac:dyDescent="0.25">
      <c r="O17959" s="20" t="str">
        <f>IF(N17959="","",COUNTIFS(RawData[[Date ]],N17959,RawData[Month List],$Q$6,RawData[Tour/Site],$Q$2,RawData[[Picker ID ]],$Q$3,RawData[Checker ID],$Q$4,RawData[[Error Type ]],$Q$5))</f>
        <v/>
      </c>
    </row>
    <row r="17960" spans="15:15" x14ac:dyDescent="0.25">
      <c r="O17960" s="20" t="str">
        <f>IF(N17960="","",COUNTIFS(RawData[[Date ]],N17960,RawData[Month List],$Q$6,RawData[Tour/Site],$Q$2,RawData[[Picker ID ]],$Q$3,RawData[Checker ID],$Q$4,RawData[[Error Type ]],$Q$5))</f>
        <v/>
      </c>
    </row>
    <row r="17961" spans="15:15" x14ac:dyDescent="0.25">
      <c r="O17961" s="20" t="str">
        <f>IF(N17961="","",COUNTIFS(RawData[[Date ]],N17961,RawData[Month List],$Q$6,RawData[Tour/Site],$Q$2,RawData[[Picker ID ]],$Q$3,RawData[Checker ID],$Q$4,RawData[[Error Type ]],$Q$5))</f>
        <v/>
      </c>
    </row>
    <row r="17962" spans="15:15" x14ac:dyDescent="0.25">
      <c r="O17962" s="20" t="str">
        <f>IF(N17962="","",COUNTIFS(RawData[[Date ]],N17962,RawData[Month List],$Q$6,RawData[Tour/Site],$Q$2,RawData[[Picker ID ]],$Q$3,RawData[Checker ID],$Q$4,RawData[[Error Type ]],$Q$5))</f>
        <v/>
      </c>
    </row>
    <row r="17963" spans="15:15" x14ac:dyDescent="0.25">
      <c r="O17963" s="20" t="str">
        <f>IF(N17963="","",COUNTIFS(RawData[[Date ]],N17963,RawData[Month List],$Q$6,RawData[Tour/Site],$Q$2,RawData[[Picker ID ]],$Q$3,RawData[Checker ID],$Q$4,RawData[[Error Type ]],$Q$5))</f>
        <v/>
      </c>
    </row>
    <row r="17964" spans="15:15" x14ac:dyDescent="0.25">
      <c r="O17964" s="20" t="str">
        <f>IF(N17964="","",COUNTIFS(RawData[[Date ]],N17964,RawData[Month List],$Q$6,RawData[Tour/Site],$Q$2,RawData[[Picker ID ]],$Q$3,RawData[Checker ID],$Q$4,RawData[[Error Type ]],$Q$5))</f>
        <v/>
      </c>
    </row>
    <row r="17965" spans="15:15" x14ac:dyDescent="0.25">
      <c r="O17965" s="20" t="str">
        <f>IF(N17965="","",COUNTIFS(RawData[[Date ]],N17965,RawData[Month List],$Q$6,RawData[Tour/Site],$Q$2,RawData[[Picker ID ]],$Q$3,RawData[Checker ID],$Q$4,RawData[[Error Type ]],$Q$5))</f>
        <v/>
      </c>
    </row>
    <row r="17966" spans="15:15" x14ac:dyDescent="0.25">
      <c r="O17966" s="20" t="str">
        <f>IF(N17966="","",COUNTIFS(RawData[[Date ]],N17966,RawData[Month List],$Q$6,RawData[Tour/Site],$Q$2,RawData[[Picker ID ]],$Q$3,RawData[Checker ID],$Q$4,RawData[[Error Type ]],$Q$5))</f>
        <v/>
      </c>
    </row>
    <row r="17967" spans="15:15" x14ac:dyDescent="0.25">
      <c r="O17967" s="20" t="str">
        <f>IF(N17967="","",COUNTIFS(RawData[[Date ]],N17967,RawData[Month List],$Q$6,RawData[Tour/Site],$Q$2,RawData[[Picker ID ]],$Q$3,RawData[Checker ID],$Q$4,RawData[[Error Type ]],$Q$5))</f>
        <v/>
      </c>
    </row>
    <row r="17968" spans="15:15" x14ac:dyDescent="0.25">
      <c r="O17968" s="20" t="str">
        <f>IF(N17968="","",COUNTIFS(RawData[[Date ]],N17968,RawData[Month List],$Q$6,RawData[Tour/Site],$Q$2,RawData[[Picker ID ]],$Q$3,RawData[Checker ID],$Q$4,RawData[[Error Type ]],$Q$5))</f>
        <v/>
      </c>
    </row>
    <row r="17969" spans="15:15" x14ac:dyDescent="0.25">
      <c r="O17969" s="20" t="str">
        <f>IF(N17969="","",COUNTIFS(RawData[[Date ]],N17969,RawData[Month List],$Q$6,RawData[Tour/Site],$Q$2,RawData[[Picker ID ]],$Q$3,RawData[Checker ID],$Q$4,RawData[[Error Type ]],$Q$5))</f>
        <v/>
      </c>
    </row>
    <row r="17970" spans="15:15" x14ac:dyDescent="0.25">
      <c r="O17970" s="20" t="str">
        <f>IF(N17970="","",COUNTIFS(RawData[[Date ]],N17970,RawData[Month List],$Q$6,RawData[Tour/Site],$Q$2,RawData[[Picker ID ]],$Q$3,RawData[Checker ID],$Q$4,RawData[[Error Type ]],$Q$5))</f>
        <v/>
      </c>
    </row>
    <row r="17971" spans="15:15" x14ac:dyDescent="0.25">
      <c r="O17971" s="20" t="str">
        <f>IF(N17971="","",COUNTIFS(RawData[[Date ]],N17971,RawData[Month List],$Q$6,RawData[Tour/Site],$Q$2,RawData[[Picker ID ]],$Q$3,RawData[Checker ID],$Q$4,RawData[[Error Type ]],$Q$5))</f>
        <v/>
      </c>
    </row>
    <row r="17972" spans="15:15" x14ac:dyDescent="0.25">
      <c r="O17972" s="20" t="str">
        <f>IF(N17972="","",COUNTIFS(RawData[[Date ]],N17972,RawData[Month List],$Q$6,RawData[Tour/Site],$Q$2,RawData[[Picker ID ]],$Q$3,RawData[Checker ID],$Q$4,RawData[[Error Type ]],$Q$5))</f>
        <v/>
      </c>
    </row>
    <row r="17973" spans="15:15" x14ac:dyDescent="0.25">
      <c r="O17973" s="20" t="str">
        <f>IF(N17973="","",COUNTIFS(RawData[[Date ]],N17973,RawData[Month List],$Q$6,RawData[Tour/Site],$Q$2,RawData[[Picker ID ]],$Q$3,RawData[Checker ID],$Q$4,RawData[[Error Type ]],$Q$5))</f>
        <v/>
      </c>
    </row>
    <row r="17974" spans="15:15" x14ac:dyDescent="0.25">
      <c r="O17974" s="20" t="str">
        <f>IF(N17974="","",COUNTIFS(RawData[[Date ]],N17974,RawData[Month List],$Q$6,RawData[Tour/Site],$Q$2,RawData[[Picker ID ]],$Q$3,RawData[Checker ID],$Q$4,RawData[[Error Type ]],$Q$5))</f>
        <v/>
      </c>
    </row>
    <row r="17975" spans="15:15" x14ac:dyDescent="0.25">
      <c r="O17975" s="20" t="str">
        <f>IF(N17975="","",COUNTIFS(RawData[[Date ]],N17975,RawData[Month List],$Q$6,RawData[Tour/Site],$Q$2,RawData[[Picker ID ]],$Q$3,RawData[Checker ID],$Q$4,RawData[[Error Type ]],$Q$5))</f>
        <v/>
      </c>
    </row>
    <row r="17976" spans="15:15" x14ac:dyDescent="0.25">
      <c r="O17976" s="20" t="str">
        <f>IF(N17976="","",COUNTIFS(RawData[[Date ]],N17976,RawData[Month List],$Q$6,RawData[Tour/Site],$Q$2,RawData[[Picker ID ]],$Q$3,RawData[Checker ID],$Q$4,RawData[[Error Type ]],$Q$5))</f>
        <v/>
      </c>
    </row>
    <row r="17977" spans="15:15" x14ac:dyDescent="0.25">
      <c r="O17977" s="20" t="str">
        <f>IF(N17977="","",COUNTIFS(RawData[[Date ]],N17977,RawData[Month List],$Q$6,RawData[Tour/Site],$Q$2,RawData[[Picker ID ]],$Q$3,RawData[Checker ID],$Q$4,RawData[[Error Type ]],$Q$5))</f>
        <v/>
      </c>
    </row>
    <row r="17978" spans="15:15" x14ac:dyDescent="0.25">
      <c r="O17978" s="20" t="str">
        <f>IF(N17978="","",COUNTIFS(RawData[[Date ]],N17978,RawData[Month List],$Q$6,RawData[Tour/Site],$Q$2,RawData[[Picker ID ]],$Q$3,RawData[Checker ID],$Q$4,RawData[[Error Type ]],$Q$5))</f>
        <v/>
      </c>
    </row>
    <row r="17979" spans="15:15" x14ac:dyDescent="0.25">
      <c r="O17979" s="20" t="str">
        <f>IF(N17979="","",COUNTIFS(RawData[[Date ]],N17979,RawData[Month List],$Q$6,RawData[Tour/Site],$Q$2,RawData[[Picker ID ]],$Q$3,RawData[Checker ID],$Q$4,RawData[[Error Type ]],$Q$5))</f>
        <v/>
      </c>
    </row>
    <row r="17980" spans="15:15" x14ac:dyDescent="0.25">
      <c r="O17980" s="20" t="str">
        <f>IF(N17980="","",COUNTIFS(RawData[[Date ]],N17980,RawData[Month List],$Q$6,RawData[Tour/Site],$Q$2,RawData[[Picker ID ]],$Q$3,RawData[Checker ID],$Q$4,RawData[[Error Type ]],$Q$5))</f>
        <v/>
      </c>
    </row>
    <row r="17981" spans="15:15" x14ac:dyDescent="0.25">
      <c r="O17981" s="20" t="str">
        <f>IF(N17981="","",COUNTIFS(RawData[[Date ]],N17981,RawData[Month List],$Q$6,RawData[Tour/Site],$Q$2,RawData[[Picker ID ]],$Q$3,RawData[Checker ID],$Q$4,RawData[[Error Type ]],$Q$5))</f>
        <v/>
      </c>
    </row>
    <row r="17982" spans="15:15" x14ac:dyDescent="0.25">
      <c r="O17982" s="20" t="str">
        <f>IF(N17982="","",COUNTIFS(RawData[[Date ]],N17982,RawData[Month List],$Q$6,RawData[Tour/Site],$Q$2,RawData[[Picker ID ]],$Q$3,RawData[Checker ID],$Q$4,RawData[[Error Type ]],$Q$5))</f>
        <v/>
      </c>
    </row>
    <row r="17983" spans="15:15" x14ac:dyDescent="0.25">
      <c r="O17983" s="20" t="str">
        <f>IF(N17983="","",COUNTIFS(RawData[[Date ]],N17983,RawData[Month List],$Q$6,RawData[Tour/Site],$Q$2,RawData[[Picker ID ]],$Q$3,RawData[Checker ID],$Q$4,RawData[[Error Type ]],$Q$5))</f>
        <v/>
      </c>
    </row>
    <row r="17984" spans="15:15" x14ac:dyDescent="0.25">
      <c r="O17984" s="20" t="str">
        <f>IF(N17984="","",COUNTIFS(RawData[[Date ]],N17984,RawData[Month List],$Q$6,RawData[Tour/Site],$Q$2,RawData[[Picker ID ]],$Q$3,RawData[Checker ID],$Q$4,RawData[[Error Type ]],$Q$5))</f>
        <v/>
      </c>
    </row>
    <row r="17985" spans="15:15" x14ac:dyDescent="0.25">
      <c r="O17985" s="20" t="str">
        <f>IF(N17985="","",COUNTIFS(RawData[[Date ]],N17985,RawData[Month List],$Q$6,RawData[Tour/Site],$Q$2,RawData[[Picker ID ]],$Q$3,RawData[Checker ID],$Q$4,RawData[[Error Type ]],$Q$5))</f>
        <v/>
      </c>
    </row>
    <row r="17986" spans="15:15" x14ac:dyDescent="0.25">
      <c r="O17986" s="20" t="str">
        <f>IF(N17986="","",COUNTIFS(RawData[[Date ]],N17986,RawData[Month List],$Q$6,RawData[Tour/Site],$Q$2,RawData[[Picker ID ]],$Q$3,RawData[Checker ID],$Q$4,RawData[[Error Type ]],$Q$5))</f>
        <v/>
      </c>
    </row>
    <row r="17987" spans="15:15" x14ac:dyDescent="0.25">
      <c r="O17987" s="20" t="str">
        <f>IF(N17987="","",COUNTIFS(RawData[[Date ]],N17987,RawData[Month List],$Q$6,RawData[Tour/Site],$Q$2,RawData[[Picker ID ]],$Q$3,RawData[Checker ID],$Q$4,RawData[[Error Type ]],$Q$5))</f>
        <v/>
      </c>
    </row>
    <row r="17988" spans="15:15" x14ac:dyDescent="0.25">
      <c r="O17988" s="20" t="str">
        <f>IF(N17988="","",COUNTIFS(RawData[[Date ]],N17988,RawData[Month List],$Q$6,RawData[Tour/Site],$Q$2,RawData[[Picker ID ]],$Q$3,RawData[Checker ID],$Q$4,RawData[[Error Type ]],$Q$5))</f>
        <v/>
      </c>
    </row>
    <row r="17989" spans="15:15" x14ac:dyDescent="0.25">
      <c r="O17989" s="20" t="str">
        <f>IF(N17989="","",COUNTIFS(RawData[[Date ]],N17989,RawData[Month List],$Q$6,RawData[Tour/Site],$Q$2,RawData[[Picker ID ]],$Q$3,RawData[Checker ID],$Q$4,RawData[[Error Type ]],$Q$5))</f>
        <v/>
      </c>
    </row>
    <row r="17990" spans="15:15" x14ac:dyDescent="0.25">
      <c r="O17990" s="20" t="str">
        <f>IF(N17990="","",COUNTIFS(RawData[[Date ]],N17990,RawData[Month List],$Q$6,RawData[Tour/Site],$Q$2,RawData[[Picker ID ]],$Q$3,RawData[Checker ID],$Q$4,RawData[[Error Type ]],$Q$5))</f>
        <v/>
      </c>
    </row>
    <row r="17991" spans="15:15" x14ac:dyDescent="0.25">
      <c r="O17991" s="20" t="str">
        <f>IF(N17991="","",COUNTIFS(RawData[[Date ]],N17991,RawData[Month List],$Q$6,RawData[Tour/Site],$Q$2,RawData[[Picker ID ]],$Q$3,RawData[Checker ID],$Q$4,RawData[[Error Type ]],$Q$5))</f>
        <v/>
      </c>
    </row>
    <row r="17992" spans="15:15" x14ac:dyDescent="0.25">
      <c r="O17992" s="20" t="str">
        <f>IF(N17992="","",COUNTIFS(RawData[[Date ]],N17992,RawData[Month List],$Q$6,RawData[Tour/Site],$Q$2,RawData[[Picker ID ]],$Q$3,RawData[Checker ID],$Q$4,RawData[[Error Type ]],$Q$5))</f>
        <v/>
      </c>
    </row>
    <row r="17993" spans="15:15" x14ac:dyDescent="0.25">
      <c r="O17993" s="20" t="str">
        <f>IF(N17993="","",COUNTIFS(RawData[[Date ]],N17993,RawData[Month List],$Q$6,RawData[Tour/Site],$Q$2,RawData[[Picker ID ]],$Q$3,RawData[Checker ID],$Q$4,RawData[[Error Type ]],$Q$5))</f>
        <v/>
      </c>
    </row>
    <row r="17994" spans="15:15" x14ac:dyDescent="0.25">
      <c r="O17994" s="20" t="str">
        <f>IF(N17994="","",COUNTIFS(RawData[[Date ]],N17994,RawData[Month List],$Q$6,RawData[Tour/Site],$Q$2,RawData[[Picker ID ]],$Q$3,RawData[Checker ID],$Q$4,RawData[[Error Type ]],$Q$5))</f>
        <v/>
      </c>
    </row>
    <row r="17995" spans="15:15" x14ac:dyDescent="0.25">
      <c r="O17995" s="20" t="str">
        <f>IF(N17995="","",COUNTIFS(RawData[[Date ]],N17995,RawData[Month List],$Q$6,RawData[Tour/Site],$Q$2,RawData[[Picker ID ]],$Q$3,RawData[Checker ID],$Q$4,RawData[[Error Type ]],$Q$5))</f>
        <v/>
      </c>
    </row>
    <row r="17996" spans="15:15" x14ac:dyDescent="0.25">
      <c r="O17996" s="20" t="str">
        <f>IF(N17996="","",COUNTIFS(RawData[[Date ]],N17996,RawData[Month List],$Q$6,RawData[Tour/Site],$Q$2,RawData[[Picker ID ]],$Q$3,RawData[Checker ID],$Q$4,RawData[[Error Type ]],$Q$5))</f>
        <v/>
      </c>
    </row>
    <row r="17997" spans="15:15" x14ac:dyDescent="0.25">
      <c r="O17997" s="20" t="str">
        <f>IF(N17997="","",COUNTIFS(RawData[[Date ]],N17997,RawData[Month List],$Q$6,RawData[Tour/Site],$Q$2,RawData[[Picker ID ]],$Q$3,RawData[Checker ID],$Q$4,RawData[[Error Type ]],$Q$5))</f>
        <v/>
      </c>
    </row>
    <row r="17998" spans="15:15" x14ac:dyDescent="0.25">
      <c r="O17998" s="20" t="str">
        <f>IF(N17998="","",COUNTIFS(RawData[[Date ]],N17998,RawData[Month List],$Q$6,RawData[Tour/Site],$Q$2,RawData[[Picker ID ]],$Q$3,RawData[Checker ID],$Q$4,RawData[[Error Type ]],$Q$5))</f>
        <v/>
      </c>
    </row>
    <row r="17999" spans="15:15" x14ac:dyDescent="0.25">
      <c r="O17999" s="20" t="str">
        <f>IF(N17999="","",COUNTIFS(RawData[[Date ]],N17999,RawData[Month List],$Q$6,RawData[Tour/Site],$Q$2,RawData[[Picker ID ]],$Q$3,RawData[Checker ID],$Q$4,RawData[[Error Type ]],$Q$5))</f>
        <v/>
      </c>
    </row>
    <row r="18000" spans="15:15" x14ac:dyDescent="0.25">
      <c r="O18000" s="20" t="str">
        <f>IF(N18000="","",COUNTIFS(RawData[[Date ]],N18000,RawData[Month List],$Q$6,RawData[Tour/Site],$Q$2,RawData[[Picker ID ]],$Q$3,RawData[Checker ID],$Q$4,RawData[[Error Type ]],$Q$5))</f>
        <v/>
      </c>
    </row>
    <row r="18001" spans="15:15" x14ac:dyDescent="0.25">
      <c r="O18001" s="20" t="str">
        <f>IF(N18001="","",COUNTIFS(RawData[[Date ]],N18001,RawData[Month List],$Q$6,RawData[Tour/Site],$Q$2,RawData[[Picker ID ]],$Q$3,RawData[Checker ID],$Q$4,RawData[[Error Type ]],$Q$5))</f>
        <v/>
      </c>
    </row>
    <row r="18002" spans="15:15" x14ac:dyDescent="0.25">
      <c r="O18002" s="20" t="str">
        <f>IF(N18002="","",COUNTIFS(RawData[[Date ]],N18002,RawData[Month List],$Q$6,RawData[Tour/Site],$Q$2,RawData[[Picker ID ]],$Q$3,RawData[Checker ID],$Q$4,RawData[[Error Type ]],$Q$5))</f>
        <v/>
      </c>
    </row>
    <row r="18003" spans="15:15" x14ac:dyDescent="0.25">
      <c r="O18003" s="20" t="str">
        <f>IF(N18003="","",COUNTIFS(RawData[[Date ]],N18003,RawData[Month List],$Q$6,RawData[Tour/Site],$Q$2,RawData[[Picker ID ]],$Q$3,RawData[Checker ID],$Q$4,RawData[[Error Type ]],$Q$5))</f>
        <v/>
      </c>
    </row>
    <row r="18004" spans="15:15" x14ac:dyDescent="0.25">
      <c r="O18004" s="20" t="str">
        <f>IF(N18004="","",COUNTIFS(RawData[[Date ]],N18004,RawData[Month List],$Q$6,RawData[Tour/Site],$Q$2,RawData[[Picker ID ]],$Q$3,RawData[Checker ID],$Q$4,RawData[[Error Type ]],$Q$5))</f>
        <v/>
      </c>
    </row>
    <row r="18005" spans="15:15" x14ac:dyDescent="0.25">
      <c r="O18005" s="20" t="str">
        <f>IF(N18005="","",COUNTIFS(RawData[[Date ]],N18005,RawData[Month List],$Q$6,RawData[Tour/Site],$Q$2,RawData[[Picker ID ]],$Q$3,RawData[Checker ID],$Q$4,RawData[[Error Type ]],$Q$5))</f>
        <v/>
      </c>
    </row>
    <row r="18006" spans="15:15" x14ac:dyDescent="0.25">
      <c r="O18006" s="20" t="str">
        <f>IF(N18006="","",COUNTIFS(RawData[[Date ]],N18006,RawData[Month List],$Q$6,RawData[Tour/Site],$Q$2,RawData[[Picker ID ]],$Q$3,RawData[Checker ID],$Q$4,RawData[[Error Type ]],$Q$5))</f>
        <v/>
      </c>
    </row>
    <row r="18007" spans="15:15" x14ac:dyDescent="0.25">
      <c r="O18007" s="20" t="str">
        <f>IF(N18007="","",COUNTIFS(RawData[[Date ]],N18007,RawData[Month List],$Q$6,RawData[Tour/Site],$Q$2,RawData[[Picker ID ]],$Q$3,RawData[Checker ID],$Q$4,RawData[[Error Type ]],$Q$5))</f>
        <v/>
      </c>
    </row>
    <row r="18008" spans="15:15" x14ac:dyDescent="0.25">
      <c r="O18008" s="20" t="str">
        <f>IF(N18008="","",COUNTIFS(RawData[[Date ]],N18008,RawData[Month List],$Q$6,RawData[Tour/Site],$Q$2,RawData[[Picker ID ]],$Q$3,RawData[Checker ID],$Q$4,RawData[[Error Type ]],$Q$5))</f>
        <v/>
      </c>
    </row>
    <row r="18009" spans="15:15" x14ac:dyDescent="0.25">
      <c r="O18009" s="20" t="str">
        <f>IF(N18009="","",COUNTIFS(RawData[[Date ]],N18009,RawData[Month List],$Q$6,RawData[Tour/Site],$Q$2,RawData[[Picker ID ]],$Q$3,RawData[Checker ID],$Q$4,RawData[[Error Type ]],$Q$5))</f>
        <v/>
      </c>
    </row>
    <row r="18010" spans="15:15" x14ac:dyDescent="0.25">
      <c r="O18010" s="20" t="str">
        <f>IF(N18010="","",COUNTIFS(RawData[[Date ]],N18010,RawData[Month List],$Q$6,RawData[Tour/Site],$Q$2,RawData[[Picker ID ]],$Q$3,RawData[Checker ID],$Q$4,RawData[[Error Type ]],$Q$5))</f>
        <v/>
      </c>
    </row>
    <row r="18011" spans="15:15" x14ac:dyDescent="0.25">
      <c r="O18011" s="20" t="str">
        <f>IF(N18011="","",COUNTIFS(RawData[[Date ]],N18011,RawData[Month List],$Q$6,RawData[Tour/Site],$Q$2,RawData[[Picker ID ]],$Q$3,RawData[Checker ID],$Q$4,RawData[[Error Type ]],$Q$5))</f>
        <v/>
      </c>
    </row>
    <row r="18012" spans="15:15" x14ac:dyDescent="0.25">
      <c r="O18012" s="20" t="str">
        <f>IF(N18012="","",COUNTIFS(RawData[[Date ]],N18012,RawData[Month List],$Q$6,RawData[Tour/Site],$Q$2,RawData[[Picker ID ]],$Q$3,RawData[Checker ID],$Q$4,RawData[[Error Type ]],$Q$5))</f>
        <v/>
      </c>
    </row>
    <row r="18013" spans="15:15" x14ac:dyDescent="0.25">
      <c r="O18013" s="20" t="str">
        <f>IF(N18013="","",COUNTIFS(RawData[[Date ]],N18013,RawData[Month List],$Q$6,RawData[Tour/Site],$Q$2,RawData[[Picker ID ]],$Q$3,RawData[Checker ID],$Q$4,RawData[[Error Type ]],$Q$5))</f>
        <v/>
      </c>
    </row>
    <row r="18014" spans="15:15" x14ac:dyDescent="0.25">
      <c r="O18014" s="20" t="str">
        <f>IF(N18014="","",COUNTIFS(RawData[[Date ]],N18014,RawData[Month List],$Q$6,RawData[Tour/Site],$Q$2,RawData[[Picker ID ]],$Q$3,RawData[Checker ID],$Q$4,RawData[[Error Type ]],$Q$5))</f>
        <v/>
      </c>
    </row>
    <row r="18015" spans="15:15" x14ac:dyDescent="0.25">
      <c r="O18015" s="20" t="str">
        <f>IF(N18015="","",COUNTIFS(RawData[[Date ]],N18015,RawData[Month List],$Q$6,RawData[Tour/Site],$Q$2,RawData[[Picker ID ]],$Q$3,RawData[Checker ID],$Q$4,RawData[[Error Type ]],$Q$5))</f>
        <v/>
      </c>
    </row>
    <row r="18016" spans="15:15" x14ac:dyDescent="0.25">
      <c r="O18016" s="20" t="str">
        <f>IF(N18016="","",COUNTIFS(RawData[[Date ]],N18016,RawData[Month List],$Q$6,RawData[Tour/Site],$Q$2,RawData[[Picker ID ]],$Q$3,RawData[Checker ID],$Q$4,RawData[[Error Type ]],$Q$5))</f>
        <v/>
      </c>
    </row>
    <row r="18017" spans="15:15" x14ac:dyDescent="0.25">
      <c r="O18017" s="20" t="str">
        <f>IF(N18017="","",COUNTIFS(RawData[[Date ]],N18017,RawData[Month List],$Q$6,RawData[Tour/Site],$Q$2,RawData[[Picker ID ]],$Q$3,RawData[Checker ID],$Q$4,RawData[[Error Type ]],$Q$5))</f>
        <v/>
      </c>
    </row>
    <row r="18018" spans="15:15" x14ac:dyDescent="0.25">
      <c r="O18018" s="20" t="str">
        <f>IF(N18018="","",COUNTIFS(RawData[[Date ]],N18018,RawData[Month List],$Q$6,RawData[Tour/Site],$Q$2,RawData[[Picker ID ]],$Q$3,RawData[Checker ID],$Q$4,RawData[[Error Type ]],$Q$5))</f>
        <v/>
      </c>
    </row>
    <row r="18019" spans="15:15" x14ac:dyDescent="0.25">
      <c r="O18019" s="20" t="str">
        <f>IF(N18019="","",COUNTIFS(RawData[[Date ]],N18019,RawData[Month List],$Q$6,RawData[Tour/Site],$Q$2,RawData[[Picker ID ]],$Q$3,RawData[Checker ID],$Q$4,RawData[[Error Type ]],$Q$5))</f>
        <v/>
      </c>
    </row>
    <row r="18020" spans="15:15" x14ac:dyDescent="0.25">
      <c r="O18020" s="20" t="str">
        <f>IF(N18020="","",COUNTIFS(RawData[[Date ]],N18020,RawData[Month List],$Q$6,RawData[Tour/Site],$Q$2,RawData[[Picker ID ]],$Q$3,RawData[Checker ID],$Q$4,RawData[[Error Type ]],$Q$5))</f>
        <v/>
      </c>
    </row>
    <row r="18021" spans="15:15" x14ac:dyDescent="0.25">
      <c r="O18021" s="20" t="str">
        <f>IF(N18021="","",COUNTIFS(RawData[[Date ]],N18021,RawData[Month List],$Q$6,RawData[Tour/Site],$Q$2,RawData[[Picker ID ]],$Q$3,RawData[Checker ID],$Q$4,RawData[[Error Type ]],$Q$5))</f>
        <v/>
      </c>
    </row>
    <row r="18022" spans="15:15" x14ac:dyDescent="0.25">
      <c r="O18022" s="20" t="str">
        <f>IF(N18022="","",COUNTIFS(RawData[[Date ]],N18022,RawData[Month List],$Q$6,RawData[Tour/Site],$Q$2,RawData[[Picker ID ]],$Q$3,RawData[Checker ID],$Q$4,RawData[[Error Type ]],$Q$5))</f>
        <v/>
      </c>
    </row>
    <row r="18023" spans="15:15" x14ac:dyDescent="0.25">
      <c r="O18023" s="20" t="str">
        <f>IF(N18023="","",COUNTIFS(RawData[[Date ]],N18023,RawData[Month List],$Q$6,RawData[Tour/Site],$Q$2,RawData[[Picker ID ]],$Q$3,RawData[Checker ID],$Q$4,RawData[[Error Type ]],$Q$5))</f>
        <v/>
      </c>
    </row>
    <row r="18024" spans="15:15" x14ac:dyDescent="0.25">
      <c r="O18024" s="20" t="str">
        <f>IF(N18024="","",COUNTIFS(RawData[[Date ]],N18024,RawData[Month List],$Q$6,RawData[Tour/Site],$Q$2,RawData[[Picker ID ]],$Q$3,RawData[Checker ID],$Q$4,RawData[[Error Type ]],$Q$5))</f>
        <v/>
      </c>
    </row>
    <row r="18025" spans="15:15" x14ac:dyDescent="0.25">
      <c r="O18025" s="20" t="str">
        <f>IF(N18025="","",COUNTIFS(RawData[[Date ]],N18025,RawData[Month List],$Q$6,RawData[Tour/Site],$Q$2,RawData[[Picker ID ]],$Q$3,RawData[Checker ID],$Q$4,RawData[[Error Type ]],$Q$5))</f>
        <v/>
      </c>
    </row>
    <row r="18026" spans="15:15" x14ac:dyDescent="0.25">
      <c r="O18026" s="20" t="str">
        <f>IF(N18026="","",COUNTIFS(RawData[[Date ]],N18026,RawData[Month List],$Q$6,RawData[Tour/Site],$Q$2,RawData[[Picker ID ]],$Q$3,RawData[Checker ID],$Q$4,RawData[[Error Type ]],$Q$5))</f>
        <v/>
      </c>
    </row>
    <row r="18027" spans="15:15" x14ac:dyDescent="0.25">
      <c r="O18027" s="20" t="str">
        <f>IF(N18027="","",COUNTIFS(RawData[[Date ]],N18027,RawData[Month List],$Q$6,RawData[Tour/Site],$Q$2,RawData[[Picker ID ]],$Q$3,RawData[Checker ID],$Q$4,RawData[[Error Type ]],$Q$5))</f>
        <v/>
      </c>
    </row>
    <row r="18028" spans="15:15" x14ac:dyDescent="0.25">
      <c r="O18028" s="20" t="str">
        <f>IF(N18028="","",COUNTIFS(RawData[[Date ]],N18028,RawData[Month List],$Q$6,RawData[Tour/Site],$Q$2,RawData[[Picker ID ]],$Q$3,RawData[Checker ID],$Q$4,RawData[[Error Type ]],$Q$5))</f>
        <v/>
      </c>
    </row>
    <row r="18029" spans="15:15" x14ac:dyDescent="0.25">
      <c r="O18029" s="20" t="str">
        <f>IF(N18029="","",COUNTIFS(RawData[[Date ]],N18029,RawData[Month List],$Q$6,RawData[Tour/Site],$Q$2,RawData[[Picker ID ]],$Q$3,RawData[Checker ID],$Q$4,RawData[[Error Type ]],$Q$5))</f>
        <v/>
      </c>
    </row>
    <row r="18030" spans="15:15" x14ac:dyDescent="0.25">
      <c r="O18030" s="20" t="str">
        <f>IF(N18030="","",COUNTIFS(RawData[[Date ]],N18030,RawData[Month List],$Q$6,RawData[Tour/Site],$Q$2,RawData[[Picker ID ]],$Q$3,RawData[Checker ID],$Q$4,RawData[[Error Type ]],$Q$5))</f>
        <v/>
      </c>
    </row>
    <row r="18031" spans="15:15" x14ac:dyDescent="0.25">
      <c r="O18031" s="20" t="str">
        <f>IF(N18031="","",COUNTIFS(RawData[[Date ]],N18031,RawData[Month List],$Q$6,RawData[Tour/Site],$Q$2,RawData[[Picker ID ]],$Q$3,RawData[Checker ID],$Q$4,RawData[[Error Type ]],$Q$5))</f>
        <v/>
      </c>
    </row>
    <row r="18032" spans="15:15" x14ac:dyDescent="0.25">
      <c r="O18032" s="20" t="str">
        <f>IF(N18032="","",COUNTIFS(RawData[[Date ]],N18032,RawData[Month List],$Q$6,RawData[Tour/Site],$Q$2,RawData[[Picker ID ]],$Q$3,RawData[Checker ID],$Q$4,RawData[[Error Type ]],$Q$5))</f>
        <v/>
      </c>
    </row>
    <row r="18033" spans="15:15" x14ac:dyDescent="0.25">
      <c r="O18033" s="20" t="str">
        <f>IF(N18033="","",COUNTIFS(RawData[[Date ]],N18033,RawData[Month List],$Q$6,RawData[Tour/Site],$Q$2,RawData[[Picker ID ]],$Q$3,RawData[Checker ID],$Q$4,RawData[[Error Type ]],$Q$5))</f>
        <v/>
      </c>
    </row>
    <row r="18034" spans="15:15" x14ac:dyDescent="0.25">
      <c r="O18034" s="20" t="str">
        <f>IF(N18034="","",COUNTIFS(RawData[[Date ]],N18034,RawData[Month List],$Q$6,RawData[Tour/Site],$Q$2,RawData[[Picker ID ]],$Q$3,RawData[Checker ID],$Q$4,RawData[[Error Type ]],$Q$5))</f>
        <v/>
      </c>
    </row>
    <row r="18035" spans="15:15" x14ac:dyDescent="0.25">
      <c r="O18035" s="20" t="str">
        <f>IF(N18035="","",COUNTIFS(RawData[[Date ]],N18035,RawData[Month List],$Q$6,RawData[Tour/Site],$Q$2,RawData[[Picker ID ]],$Q$3,RawData[Checker ID],$Q$4,RawData[[Error Type ]],$Q$5))</f>
        <v/>
      </c>
    </row>
    <row r="18036" spans="15:15" x14ac:dyDescent="0.25">
      <c r="O18036" s="20" t="str">
        <f>IF(N18036="","",COUNTIFS(RawData[[Date ]],N18036,RawData[Month List],$Q$6,RawData[Tour/Site],$Q$2,RawData[[Picker ID ]],$Q$3,RawData[Checker ID],$Q$4,RawData[[Error Type ]],$Q$5))</f>
        <v/>
      </c>
    </row>
    <row r="18037" spans="15:15" x14ac:dyDescent="0.25">
      <c r="O18037" s="20" t="str">
        <f>IF(N18037="","",COUNTIFS(RawData[[Date ]],N18037,RawData[Month List],$Q$6,RawData[Tour/Site],$Q$2,RawData[[Picker ID ]],$Q$3,RawData[Checker ID],$Q$4,RawData[[Error Type ]],$Q$5))</f>
        <v/>
      </c>
    </row>
    <row r="18038" spans="15:15" x14ac:dyDescent="0.25">
      <c r="O18038" s="20" t="str">
        <f>IF(N18038="","",COUNTIFS(RawData[[Date ]],N18038,RawData[Month List],$Q$6,RawData[Tour/Site],$Q$2,RawData[[Picker ID ]],$Q$3,RawData[Checker ID],$Q$4,RawData[[Error Type ]],$Q$5))</f>
        <v/>
      </c>
    </row>
    <row r="18039" spans="15:15" x14ac:dyDescent="0.25">
      <c r="O18039" s="20" t="str">
        <f>IF(N18039="","",COUNTIFS(RawData[[Date ]],N18039,RawData[Month List],$Q$6,RawData[Tour/Site],$Q$2,RawData[[Picker ID ]],$Q$3,RawData[Checker ID],$Q$4,RawData[[Error Type ]],$Q$5))</f>
        <v/>
      </c>
    </row>
    <row r="18040" spans="15:15" x14ac:dyDescent="0.25">
      <c r="O18040" s="20" t="str">
        <f>IF(N18040="","",COUNTIFS(RawData[[Date ]],N18040,RawData[Month List],$Q$6,RawData[Tour/Site],$Q$2,RawData[[Picker ID ]],$Q$3,RawData[Checker ID],$Q$4,RawData[[Error Type ]],$Q$5))</f>
        <v/>
      </c>
    </row>
    <row r="18041" spans="15:15" x14ac:dyDescent="0.25">
      <c r="O18041" s="20" t="str">
        <f>IF(N18041="","",COUNTIFS(RawData[[Date ]],N18041,RawData[Month List],$Q$6,RawData[Tour/Site],$Q$2,RawData[[Picker ID ]],$Q$3,RawData[Checker ID],$Q$4,RawData[[Error Type ]],$Q$5))</f>
        <v/>
      </c>
    </row>
    <row r="18042" spans="15:15" x14ac:dyDescent="0.25">
      <c r="O18042" s="20" t="str">
        <f>IF(N18042="","",COUNTIFS(RawData[[Date ]],N18042,RawData[Month List],$Q$6,RawData[Tour/Site],$Q$2,RawData[[Picker ID ]],$Q$3,RawData[Checker ID],$Q$4,RawData[[Error Type ]],$Q$5))</f>
        <v/>
      </c>
    </row>
    <row r="18043" spans="15:15" x14ac:dyDescent="0.25">
      <c r="O18043" s="20" t="str">
        <f>IF(N18043="","",COUNTIFS(RawData[[Date ]],N18043,RawData[Month List],$Q$6,RawData[Tour/Site],$Q$2,RawData[[Picker ID ]],$Q$3,RawData[Checker ID],$Q$4,RawData[[Error Type ]],$Q$5))</f>
        <v/>
      </c>
    </row>
    <row r="18044" spans="15:15" x14ac:dyDescent="0.25">
      <c r="O18044" s="20" t="str">
        <f>IF(N18044="","",COUNTIFS(RawData[[Date ]],N18044,RawData[Month List],$Q$6,RawData[Tour/Site],$Q$2,RawData[[Picker ID ]],$Q$3,RawData[Checker ID],$Q$4,RawData[[Error Type ]],$Q$5))</f>
        <v/>
      </c>
    </row>
    <row r="18045" spans="15:15" x14ac:dyDescent="0.25">
      <c r="O18045" s="20" t="str">
        <f>IF(N18045="","",COUNTIFS(RawData[[Date ]],N18045,RawData[Month List],$Q$6,RawData[Tour/Site],$Q$2,RawData[[Picker ID ]],$Q$3,RawData[Checker ID],$Q$4,RawData[[Error Type ]],$Q$5))</f>
        <v/>
      </c>
    </row>
    <row r="18046" spans="15:15" x14ac:dyDescent="0.25">
      <c r="O18046" s="20" t="str">
        <f>IF(N18046="","",COUNTIFS(RawData[[Date ]],N18046,RawData[Month List],$Q$6,RawData[Tour/Site],$Q$2,RawData[[Picker ID ]],$Q$3,RawData[Checker ID],$Q$4,RawData[[Error Type ]],$Q$5))</f>
        <v/>
      </c>
    </row>
    <row r="18047" spans="15:15" x14ac:dyDescent="0.25">
      <c r="O18047" s="20" t="str">
        <f>IF(N18047="","",COUNTIFS(RawData[[Date ]],N18047,RawData[Month List],$Q$6,RawData[Tour/Site],$Q$2,RawData[[Picker ID ]],$Q$3,RawData[Checker ID],$Q$4,RawData[[Error Type ]],$Q$5))</f>
        <v/>
      </c>
    </row>
    <row r="18048" spans="15:15" x14ac:dyDescent="0.25">
      <c r="O18048" s="20" t="str">
        <f>IF(N18048="","",COUNTIFS(RawData[[Date ]],N18048,RawData[Month List],$Q$6,RawData[Tour/Site],$Q$2,RawData[[Picker ID ]],$Q$3,RawData[Checker ID],$Q$4,RawData[[Error Type ]],$Q$5))</f>
        <v/>
      </c>
    </row>
    <row r="18049" spans="15:15" x14ac:dyDescent="0.25">
      <c r="O18049" s="20" t="str">
        <f>IF(N18049="","",COUNTIFS(RawData[[Date ]],N18049,RawData[Month List],$Q$6,RawData[Tour/Site],$Q$2,RawData[[Picker ID ]],$Q$3,RawData[Checker ID],$Q$4,RawData[[Error Type ]],$Q$5))</f>
        <v/>
      </c>
    </row>
    <row r="18050" spans="15:15" x14ac:dyDescent="0.25">
      <c r="O18050" s="20" t="str">
        <f>IF(N18050="","",COUNTIFS(RawData[[Date ]],N18050,RawData[Month List],$Q$6,RawData[Tour/Site],$Q$2,RawData[[Picker ID ]],$Q$3,RawData[Checker ID],$Q$4,RawData[[Error Type ]],$Q$5))</f>
        <v/>
      </c>
    </row>
    <row r="18051" spans="15:15" x14ac:dyDescent="0.25">
      <c r="O18051" s="20" t="str">
        <f>IF(N18051="","",COUNTIFS(RawData[[Date ]],N18051,RawData[Month List],$Q$6,RawData[Tour/Site],$Q$2,RawData[[Picker ID ]],$Q$3,RawData[Checker ID],$Q$4,RawData[[Error Type ]],$Q$5))</f>
        <v/>
      </c>
    </row>
    <row r="18052" spans="15:15" x14ac:dyDescent="0.25">
      <c r="O18052" s="20" t="str">
        <f>IF(N18052="","",COUNTIFS(RawData[[Date ]],N18052,RawData[Month List],$Q$6,RawData[Tour/Site],$Q$2,RawData[[Picker ID ]],$Q$3,RawData[Checker ID],$Q$4,RawData[[Error Type ]],$Q$5))</f>
        <v/>
      </c>
    </row>
    <row r="18053" spans="15:15" x14ac:dyDescent="0.25">
      <c r="O18053" s="20" t="str">
        <f>IF(N18053="","",COUNTIFS(RawData[[Date ]],N18053,RawData[Month List],$Q$6,RawData[Tour/Site],$Q$2,RawData[[Picker ID ]],$Q$3,RawData[Checker ID],$Q$4,RawData[[Error Type ]],$Q$5))</f>
        <v/>
      </c>
    </row>
    <row r="18054" spans="15:15" x14ac:dyDescent="0.25">
      <c r="O18054" s="20" t="str">
        <f>IF(N18054="","",COUNTIFS(RawData[[Date ]],N18054,RawData[Month List],$Q$6,RawData[Tour/Site],$Q$2,RawData[[Picker ID ]],$Q$3,RawData[Checker ID],$Q$4,RawData[[Error Type ]],$Q$5))</f>
        <v/>
      </c>
    </row>
    <row r="18055" spans="15:15" x14ac:dyDescent="0.25">
      <c r="O18055" s="20" t="str">
        <f>IF(N18055="","",COUNTIFS(RawData[[Date ]],N18055,RawData[Month List],$Q$6,RawData[Tour/Site],$Q$2,RawData[[Picker ID ]],$Q$3,RawData[Checker ID],$Q$4,RawData[[Error Type ]],$Q$5))</f>
        <v/>
      </c>
    </row>
    <row r="18056" spans="15:15" x14ac:dyDescent="0.25">
      <c r="O18056" s="20" t="str">
        <f>IF(N18056="","",COUNTIFS(RawData[[Date ]],N18056,RawData[Month List],$Q$6,RawData[Tour/Site],$Q$2,RawData[[Picker ID ]],$Q$3,RawData[Checker ID],$Q$4,RawData[[Error Type ]],$Q$5))</f>
        <v/>
      </c>
    </row>
    <row r="18057" spans="15:15" x14ac:dyDescent="0.25">
      <c r="O18057" s="20" t="str">
        <f>IF(N18057="","",COUNTIFS(RawData[[Date ]],N18057,RawData[Month List],$Q$6,RawData[Tour/Site],$Q$2,RawData[[Picker ID ]],$Q$3,RawData[Checker ID],$Q$4,RawData[[Error Type ]],$Q$5))</f>
        <v/>
      </c>
    </row>
    <row r="18058" spans="15:15" x14ac:dyDescent="0.25">
      <c r="O18058" s="20" t="str">
        <f>IF(N18058="","",COUNTIFS(RawData[[Date ]],N18058,RawData[Month List],$Q$6,RawData[Tour/Site],$Q$2,RawData[[Picker ID ]],$Q$3,RawData[Checker ID],$Q$4,RawData[[Error Type ]],$Q$5))</f>
        <v/>
      </c>
    </row>
    <row r="18059" spans="15:15" x14ac:dyDescent="0.25">
      <c r="O18059" s="20" t="str">
        <f>IF(N18059="","",COUNTIFS(RawData[[Date ]],N18059,RawData[Month List],$Q$6,RawData[Tour/Site],$Q$2,RawData[[Picker ID ]],$Q$3,RawData[Checker ID],$Q$4,RawData[[Error Type ]],$Q$5))</f>
        <v/>
      </c>
    </row>
    <row r="18060" spans="15:15" x14ac:dyDescent="0.25">
      <c r="O18060" s="20" t="str">
        <f>IF(N18060="","",COUNTIFS(RawData[[Date ]],N18060,RawData[Month List],$Q$6,RawData[Tour/Site],$Q$2,RawData[[Picker ID ]],$Q$3,RawData[Checker ID],$Q$4,RawData[[Error Type ]],$Q$5))</f>
        <v/>
      </c>
    </row>
    <row r="18061" spans="15:15" x14ac:dyDescent="0.25">
      <c r="O18061" s="20" t="str">
        <f>IF(N18061="","",COUNTIFS(RawData[[Date ]],N18061,RawData[Month List],$Q$6,RawData[Tour/Site],$Q$2,RawData[[Picker ID ]],$Q$3,RawData[Checker ID],$Q$4,RawData[[Error Type ]],$Q$5))</f>
        <v/>
      </c>
    </row>
    <row r="18062" spans="15:15" x14ac:dyDescent="0.25">
      <c r="O18062" s="20" t="str">
        <f>IF(N18062="","",COUNTIFS(RawData[[Date ]],N18062,RawData[Month List],$Q$6,RawData[Tour/Site],$Q$2,RawData[[Picker ID ]],$Q$3,RawData[Checker ID],$Q$4,RawData[[Error Type ]],$Q$5))</f>
        <v/>
      </c>
    </row>
    <row r="18063" spans="15:15" x14ac:dyDescent="0.25">
      <c r="O18063" s="20" t="str">
        <f>IF(N18063="","",COUNTIFS(RawData[[Date ]],N18063,RawData[Month List],$Q$6,RawData[Tour/Site],$Q$2,RawData[[Picker ID ]],$Q$3,RawData[Checker ID],$Q$4,RawData[[Error Type ]],$Q$5))</f>
        <v/>
      </c>
    </row>
    <row r="18064" spans="15:15" x14ac:dyDescent="0.25">
      <c r="O18064" s="20" t="str">
        <f>IF(N18064="","",COUNTIFS(RawData[[Date ]],N18064,RawData[Month List],$Q$6,RawData[Tour/Site],$Q$2,RawData[[Picker ID ]],$Q$3,RawData[Checker ID],$Q$4,RawData[[Error Type ]],$Q$5))</f>
        <v/>
      </c>
    </row>
    <row r="18065" spans="15:15" x14ac:dyDescent="0.25">
      <c r="O18065" s="20" t="str">
        <f>IF(N18065="","",COUNTIFS(RawData[[Date ]],N18065,RawData[Month List],$Q$6,RawData[Tour/Site],$Q$2,RawData[[Picker ID ]],$Q$3,RawData[Checker ID],$Q$4,RawData[[Error Type ]],$Q$5))</f>
        <v/>
      </c>
    </row>
    <row r="18066" spans="15:15" x14ac:dyDescent="0.25">
      <c r="O18066" s="20" t="str">
        <f>IF(N18066="","",COUNTIFS(RawData[[Date ]],N18066,RawData[Month List],$Q$6,RawData[Tour/Site],$Q$2,RawData[[Picker ID ]],$Q$3,RawData[Checker ID],$Q$4,RawData[[Error Type ]],$Q$5))</f>
        <v/>
      </c>
    </row>
    <row r="18067" spans="15:15" x14ac:dyDescent="0.25">
      <c r="O18067" s="20" t="str">
        <f>IF(N18067="","",COUNTIFS(RawData[[Date ]],N18067,RawData[Month List],$Q$6,RawData[Tour/Site],$Q$2,RawData[[Picker ID ]],$Q$3,RawData[Checker ID],$Q$4,RawData[[Error Type ]],$Q$5))</f>
        <v/>
      </c>
    </row>
    <row r="18068" spans="15:15" x14ac:dyDescent="0.25">
      <c r="O18068" s="20" t="str">
        <f>IF(N18068="","",COUNTIFS(RawData[[Date ]],N18068,RawData[Month List],$Q$6,RawData[Tour/Site],$Q$2,RawData[[Picker ID ]],$Q$3,RawData[Checker ID],$Q$4,RawData[[Error Type ]],$Q$5))</f>
        <v/>
      </c>
    </row>
    <row r="18069" spans="15:15" x14ac:dyDescent="0.25">
      <c r="O18069" s="20" t="str">
        <f>IF(N18069="","",COUNTIFS(RawData[[Date ]],N18069,RawData[Month List],$Q$6,RawData[Tour/Site],$Q$2,RawData[[Picker ID ]],$Q$3,RawData[Checker ID],$Q$4,RawData[[Error Type ]],$Q$5))</f>
        <v/>
      </c>
    </row>
    <row r="18070" spans="15:15" x14ac:dyDescent="0.25">
      <c r="O18070" s="20" t="str">
        <f>IF(N18070="","",COUNTIFS(RawData[[Date ]],N18070,RawData[Month List],$Q$6,RawData[Tour/Site],$Q$2,RawData[[Picker ID ]],$Q$3,RawData[Checker ID],$Q$4,RawData[[Error Type ]],$Q$5))</f>
        <v/>
      </c>
    </row>
    <row r="18071" spans="15:15" x14ac:dyDescent="0.25">
      <c r="O18071" s="20" t="str">
        <f>IF(N18071="","",COUNTIFS(RawData[[Date ]],N18071,RawData[Month List],$Q$6,RawData[Tour/Site],$Q$2,RawData[[Picker ID ]],$Q$3,RawData[Checker ID],$Q$4,RawData[[Error Type ]],$Q$5))</f>
        <v/>
      </c>
    </row>
    <row r="18072" spans="15:15" x14ac:dyDescent="0.25">
      <c r="O18072" s="20" t="str">
        <f>IF(N18072="","",COUNTIFS(RawData[[Date ]],N18072,RawData[Month List],$Q$6,RawData[Tour/Site],$Q$2,RawData[[Picker ID ]],$Q$3,RawData[Checker ID],$Q$4,RawData[[Error Type ]],$Q$5))</f>
        <v/>
      </c>
    </row>
    <row r="18073" spans="15:15" x14ac:dyDescent="0.25">
      <c r="O18073" s="20" t="str">
        <f>IF(N18073="","",COUNTIFS(RawData[[Date ]],N18073,RawData[Month List],$Q$6,RawData[Tour/Site],$Q$2,RawData[[Picker ID ]],$Q$3,RawData[Checker ID],$Q$4,RawData[[Error Type ]],$Q$5))</f>
        <v/>
      </c>
    </row>
    <row r="18074" spans="15:15" x14ac:dyDescent="0.25">
      <c r="O18074" s="20" t="str">
        <f>IF(N18074="","",COUNTIFS(RawData[[Date ]],N18074,RawData[Month List],$Q$6,RawData[Tour/Site],$Q$2,RawData[[Picker ID ]],$Q$3,RawData[Checker ID],$Q$4,RawData[[Error Type ]],$Q$5))</f>
        <v/>
      </c>
    </row>
    <row r="18075" spans="15:15" x14ac:dyDescent="0.25">
      <c r="O18075" s="20" t="str">
        <f>IF(N18075="","",COUNTIFS(RawData[[Date ]],N18075,RawData[Month List],$Q$6,RawData[Tour/Site],$Q$2,RawData[[Picker ID ]],$Q$3,RawData[Checker ID],$Q$4,RawData[[Error Type ]],$Q$5))</f>
        <v/>
      </c>
    </row>
    <row r="18076" spans="15:15" x14ac:dyDescent="0.25">
      <c r="O18076" s="20" t="str">
        <f>IF(N18076="","",COUNTIFS(RawData[[Date ]],N18076,RawData[Month List],$Q$6,RawData[Tour/Site],$Q$2,RawData[[Picker ID ]],$Q$3,RawData[Checker ID],$Q$4,RawData[[Error Type ]],$Q$5))</f>
        <v/>
      </c>
    </row>
    <row r="18077" spans="15:15" x14ac:dyDescent="0.25">
      <c r="O18077" s="20" t="str">
        <f>IF(N18077="","",COUNTIFS(RawData[[Date ]],N18077,RawData[Month List],$Q$6,RawData[Tour/Site],$Q$2,RawData[[Picker ID ]],$Q$3,RawData[Checker ID],$Q$4,RawData[[Error Type ]],$Q$5))</f>
        <v/>
      </c>
    </row>
    <row r="18078" spans="15:15" x14ac:dyDescent="0.25">
      <c r="O18078" s="20" t="str">
        <f>IF(N18078="","",COUNTIFS(RawData[[Date ]],N18078,RawData[Month List],$Q$6,RawData[Tour/Site],$Q$2,RawData[[Picker ID ]],$Q$3,RawData[Checker ID],$Q$4,RawData[[Error Type ]],$Q$5))</f>
        <v/>
      </c>
    </row>
    <row r="18079" spans="15:15" x14ac:dyDescent="0.25">
      <c r="O18079" s="20" t="str">
        <f>IF(N18079="","",COUNTIFS(RawData[[Date ]],N18079,RawData[Month List],$Q$6,RawData[Tour/Site],$Q$2,RawData[[Picker ID ]],$Q$3,RawData[Checker ID],$Q$4,RawData[[Error Type ]],$Q$5))</f>
        <v/>
      </c>
    </row>
    <row r="18080" spans="15:15" x14ac:dyDescent="0.25">
      <c r="O18080" s="20" t="str">
        <f>IF(N18080="","",COUNTIFS(RawData[[Date ]],N18080,RawData[Month List],$Q$6,RawData[Tour/Site],$Q$2,RawData[[Picker ID ]],$Q$3,RawData[Checker ID],$Q$4,RawData[[Error Type ]],$Q$5))</f>
        <v/>
      </c>
    </row>
    <row r="18081" spans="15:15" x14ac:dyDescent="0.25">
      <c r="O18081" s="20" t="str">
        <f>IF(N18081="","",COUNTIFS(RawData[[Date ]],N18081,RawData[Month List],$Q$6,RawData[Tour/Site],$Q$2,RawData[[Picker ID ]],$Q$3,RawData[Checker ID],$Q$4,RawData[[Error Type ]],$Q$5))</f>
        <v/>
      </c>
    </row>
    <row r="18082" spans="15:15" x14ac:dyDescent="0.25">
      <c r="O18082" s="20" t="str">
        <f>IF(N18082="","",COUNTIFS(RawData[[Date ]],N18082,RawData[Month List],$Q$6,RawData[Tour/Site],$Q$2,RawData[[Picker ID ]],$Q$3,RawData[Checker ID],$Q$4,RawData[[Error Type ]],$Q$5))</f>
        <v/>
      </c>
    </row>
    <row r="18083" spans="15:15" x14ac:dyDescent="0.25">
      <c r="O18083" s="20" t="str">
        <f>IF(N18083="","",COUNTIFS(RawData[[Date ]],N18083,RawData[Month List],$Q$6,RawData[Tour/Site],$Q$2,RawData[[Picker ID ]],$Q$3,RawData[Checker ID],$Q$4,RawData[[Error Type ]],$Q$5))</f>
        <v/>
      </c>
    </row>
    <row r="18084" spans="15:15" x14ac:dyDescent="0.25">
      <c r="O18084" s="20" t="str">
        <f>IF(N18084="","",COUNTIFS(RawData[[Date ]],N18084,RawData[Month List],$Q$6,RawData[Tour/Site],$Q$2,RawData[[Picker ID ]],$Q$3,RawData[Checker ID],$Q$4,RawData[[Error Type ]],$Q$5))</f>
        <v/>
      </c>
    </row>
    <row r="18085" spans="15:15" x14ac:dyDescent="0.25">
      <c r="O18085" s="20" t="str">
        <f>IF(N18085="","",COUNTIFS(RawData[[Date ]],N18085,RawData[Month List],$Q$6,RawData[Tour/Site],$Q$2,RawData[[Picker ID ]],$Q$3,RawData[Checker ID],$Q$4,RawData[[Error Type ]],$Q$5))</f>
        <v/>
      </c>
    </row>
    <row r="18086" spans="15:15" x14ac:dyDescent="0.25">
      <c r="O18086" s="20" t="str">
        <f>IF(N18086="","",COUNTIFS(RawData[[Date ]],N18086,RawData[Month List],$Q$6,RawData[Tour/Site],$Q$2,RawData[[Picker ID ]],$Q$3,RawData[Checker ID],$Q$4,RawData[[Error Type ]],$Q$5))</f>
        <v/>
      </c>
    </row>
    <row r="18087" spans="15:15" x14ac:dyDescent="0.25">
      <c r="O18087" s="20" t="str">
        <f>IF(N18087="","",COUNTIFS(RawData[[Date ]],N18087,RawData[Month List],$Q$6,RawData[Tour/Site],$Q$2,RawData[[Picker ID ]],$Q$3,RawData[Checker ID],$Q$4,RawData[[Error Type ]],$Q$5))</f>
        <v/>
      </c>
    </row>
    <row r="18088" spans="15:15" x14ac:dyDescent="0.25">
      <c r="O18088" s="20" t="str">
        <f>IF(N18088="","",COUNTIFS(RawData[[Date ]],N18088,RawData[Month List],$Q$6,RawData[Tour/Site],$Q$2,RawData[[Picker ID ]],$Q$3,RawData[Checker ID],$Q$4,RawData[[Error Type ]],$Q$5))</f>
        <v/>
      </c>
    </row>
    <row r="18089" spans="15:15" x14ac:dyDescent="0.25">
      <c r="O18089" s="20" t="str">
        <f>IF(N18089="","",COUNTIFS(RawData[[Date ]],N18089,RawData[Month List],$Q$6,RawData[Tour/Site],$Q$2,RawData[[Picker ID ]],$Q$3,RawData[Checker ID],$Q$4,RawData[[Error Type ]],$Q$5))</f>
        <v/>
      </c>
    </row>
    <row r="18090" spans="15:15" x14ac:dyDescent="0.25">
      <c r="O18090" s="20" t="str">
        <f>IF(N18090="","",COUNTIFS(RawData[[Date ]],N18090,RawData[Month List],$Q$6,RawData[Tour/Site],$Q$2,RawData[[Picker ID ]],$Q$3,RawData[Checker ID],$Q$4,RawData[[Error Type ]],$Q$5))</f>
        <v/>
      </c>
    </row>
    <row r="18091" spans="15:15" x14ac:dyDescent="0.25">
      <c r="O18091" s="20" t="str">
        <f>IF(N18091="","",COUNTIFS(RawData[[Date ]],N18091,RawData[Month List],$Q$6,RawData[Tour/Site],$Q$2,RawData[[Picker ID ]],$Q$3,RawData[Checker ID],$Q$4,RawData[[Error Type ]],$Q$5))</f>
        <v/>
      </c>
    </row>
    <row r="18092" spans="15:15" x14ac:dyDescent="0.25">
      <c r="O18092" s="20" t="str">
        <f>IF(N18092="","",COUNTIFS(RawData[[Date ]],N18092,RawData[Month List],$Q$6,RawData[Tour/Site],$Q$2,RawData[[Picker ID ]],$Q$3,RawData[Checker ID],$Q$4,RawData[[Error Type ]],$Q$5))</f>
        <v/>
      </c>
    </row>
    <row r="18093" spans="15:15" x14ac:dyDescent="0.25">
      <c r="O18093" s="20" t="str">
        <f>IF(N18093="","",COUNTIFS(RawData[[Date ]],N18093,RawData[Month List],$Q$6,RawData[Tour/Site],$Q$2,RawData[[Picker ID ]],$Q$3,RawData[Checker ID],$Q$4,RawData[[Error Type ]],$Q$5))</f>
        <v/>
      </c>
    </row>
    <row r="18094" spans="15:15" x14ac:dyDescent="0.25">
      <c r="O18094" s="20" t="str">
        <f>IF(N18094="","",COUNTIFS(RawData[[Date ]],N18094,RawData[Month List],$Q$6,RawData[Tour/Site],$Q$2,RawData[[Picker ID ]],$Q$3,RawData[Checker ID],$Q$4,RawData[[Error Type ]],$Q$5))</f>
        <v/>
      </c>
    </row>
    <row r="18095" spans="15:15" x14ac:dyDescent="0.25">
      <c r="O18095" s="20" t="str">
        <f>IF(N18095="","",COUNTIFS(RawData[[Date ]],N18095,RawData[Month List],$Q$6,RawData[Tour/Site],$Q$2,RawData[[Picker ID ]],$Q$3,RawData[Checker ID],$Q$4,RawData[[Error Type ]],$Q$5))</f>
        <v/>
      </c>
    </row>
    <row r="18096" spans="15:15" x14ac:dyDescent="0.25">
      <c r="O18096" s="20" t="str">
        <f>IF(N18096="","",COUNTIFS(RawData[[Date ]],N18096,RawData[Month List],$Q$6,RawData[Tour/Site],$Q$2,RawData[[Picker ID ]],$Q$3,RawData[Checker ID],$Q$4,RawData[[Error Type ]],$Q$5))</f>
        <v/>
      </c>
    </row>
    <row r="18097" spans="15:15" x14ac:dyDescent="0.25">
      <c r="O18097" s="20" t="str">
        <f>IF(N18097="","",COUNTIFS(RawData[[Date ]],N18097,RawData[Month List],$Q$6,RawData[Tour/Site],$Q$2,RawData[[Picker ID ]],$Q$3,RawData[Checker ID],$Q$4,RawData[[Error Type ]],$Q$5))</f>
        <v/>
      </c>
    </row>
    <row r="18098" spans="15:15" x14ac:dyDescent="0.25">
      <c r="O18098" s="20" t="str">
        <f>IF(N18098="","",COUNTIFS(RawData[[Date ]],N18098,RawData[Month List],$Q$6,RawData[Tour/Site],$Q$2,RawData[[Picker ID ]],$Q$3,RawData[Checker ID],$Q$4,RawData[[Error Type ]],$Q$5))</f>
        <v/>
      </c>
    </row>
    <row r="18099" spans="15:15" x14ac:dyDescent="0.25">
      <c r="O18099" s="20" t="str">
        <f>IF(N18099="","",COUNTIFS(RawData[[Date ]],N18099,RawData[Month List],$Q$6,RawData[Tour/Site],$Q$2,RawData[[Picker ID ]],$Q$3,RawData[Checker ID],$Q$4,RawData[[Error Type ]],$Q$5))</f>
        <v/>
      </c>
    </row>
    <row r="18100" spans="15:15" x14ac:dyDescent="0.25">
      <c r="O18100" s="20" t="str">
        <f>IF(N18100="","",COUNTIFS(RawData[[Date ]],N18100,RawData[Month List],$Q$6,RawData[Tour/Site],$Q$2,RawData[[Picker ID ]],$Q$3,RawData[Checker ID],$Q$4,RawData[[Error Type ]],$Q$5))</f>
        <v/>
      </c>
    </row>
    <row r="18101" spans="15:15" x14ac:dyDescent="0.25">
      <c r="O18101" s="20" t="str">
        <f>IF(N18101="","",COUNTIFS(RawData[[Date ]],N18101,RawData[Month List],$Q$6,RawData[Tour/Site],$Q$2,RawData[[Picker ID ]],$Q$3,RawData[Checker ID],$Q$4,RawData[[Error Type ]],$Q$5))</f>
        <v/>
      </c>
    </row>
    <row r="18102" spans="15:15" x14ac:dyDescent="0.25">
      <c r="O18102" s="20" t="str">
        <f>IF(N18102="","",COUNTIFS(RawData[[Date ]],N18102,RawData[Month List],$Q$6,RawData[Tour/Site],$Q$2,RawData[[Picker ID ]],$Q$3,RawData[Checker ID],$Q$4,RawData[[Error Type ]],$Q$5))</f>
        <v/>
      </c>
    </row>
    <row r="18103" spans="15:15" x14ac:dyDescent="0.25">
      <c r="O18103" s="20" t="str">
        <f>IF(N18103="","",COUNTIFS(RawData[[Date ]],N18103,RawData[Month List],$Q$6,RawData[Tour/Site],$Q$2,RawData[[Picker ID ]],$Q$3,RawData[Checker ID],$Q$4,RawData[[Error Type ]],$Q$5))</f>
        <v/>
      </c>
    </row>
    <row r="18104" spans="15:15" x14ac:dyDescent="0.25">
      <c r="O18104" s="20" t="str">
        <f>IF(N18104="","",COUNTIFS(RawData[[Date ]],N18104,RawData[Month List],$Q$6,RawData[Tour/Site],$Q$2,RawData[[Picker ID ]],$Q$3,RawData[Checker ID],$Q$4,RawData[[Error Type ]],$Q$5))</f>
        <v/>
      </c>
    </row>
    <row r="18105" spans="15:15" x14ac:dyDescent="0.25">
      <c r="O18105" s="20" t="str">
        <f>IF(N18105="","",COUNTIFS(RawData[[Date ]],N18105,RawData[Month List],$Q$6,RawData[Tour/Site],$Q$2,RawData[[Picker ID ]],$Q$3,RawData[Checker ID],$Q$4,RawData[[Error Type ]],$Q$5))</f>
        <v/>
      </c>
    </row>
    <row r="18106" spans="15:15" x14ac:dyDescent="0.25">
      <c r="O18106" s="20" t="str">
        <f>IF(N18106="","",COUNTIFS(RawData[[Date ]],N18106,RawData[Month List],$Q$6,RawData[Tour/Site],$Q$2,RawData[[Picker ID ]],$Q$3,RawData[Checker ID],$Q$4,RawData[[Error Type ]],$Q$5))</f>
        <v/>
      </c>
    </row>
    <row r="18107" spans="15:15" x14ac:dyDescent="0.25">
      <c r="O18107" s="20" t="str">
        <f>IF(N18107="","",COUNTIFS(RawData[[Date ]],N18107,RawData[Month List],$Q$6,RawData[Tour/Site],$Q$2,RawData[[Picker ID ]],$Q$3,RawData[Checker ID],$Q$4,RawData[[Error Type ]],$Q$5))</f>
        <v/>
      </c>
    </row>
    <row r="18108" spans="15:15" x14ac:dyDescent="0.25">
      <c r="O18108" s="20" t="str">
        <f>IF(N18108="","",COUNTIFS(RawData[[Date ]],N18108,RawData[Month List],$Q$6,RawData[Tour/Site],$Q$2,RawData[[Picker ID ]],$Q$3,RawData[Checker ID],$Q$4,RawData[[Error Type ]],$Q$5))</f>
        <v/>
      </c>
    </row>
    <row r="18109" spans="15:15" x14ac:dyDescent="0.25">
      <c r="O18109" s="20" t="str">
        <f>IF(N18109="","",COUNTIFS(RawData[[Date ]],N18109,RawData[Month List],$Q$6,RawData[Tour/Site],$Q$2,RawData[[Picker ID ]],$Q$3,RawData[Checker ID],$Q$4,RawData[[Error Type ]],$Q$5))</f>
        <v/>
      </c>
    </row>
    <row r="18110" spans="15:15" x14ac:dyDescent="0.25">
      <c r="O18110" s="20" t="str">
        <f>IF(N18110="","",COUNTIFS(RawData[[Date ]],N18110,RawData[Month List],$Q$6,RawData[Tour/Site],$Q$2,RawData[[Picker ID ]],$Q$3,RawData[Checker ID],$Q$4,RawData[[Error Type ]],$Q$5))</f>
        <v/>
      </c>
    </row>
    <row r="18111" spans="15:15" x14ac:dyDescent="0.25">
      <c r="O18111" s="20" t="str">
        <f>IF(N18111="","",COUNTIFS(RawData[[Date ]],N18111,RawData[Month List],$Q$6,RawData[Tour/Site],$Q$2,RawData[[Picker ID ]],$Q$3,RawData[Checker ID],$Q$4,RawData[[Error Type ]],$Q$5))</f>
        <v/>
      </c>
    </row>
    <row r="18112" spans="15:15" x14ac:dyDescent="0.25">
      <c r="O18112" s="20" t="str">
        <f>IF(N18112="","",COUNTIFS(RawData[[Date ]],N18112,RawData[Month List],$Q$6,RawData[Tour/Site],$Q$2,RawData[[Picker ID ]],$Q$3,RawData[Checker ID],$Q$4,RawData[[Error Type ]],$Q$5))</f>
        <v/>
      </c>
    </row>
    <row r="18113" spans="15:15" x14ac:dyDescent="0.25">
      <c r="O18113" s="20" t="str">
        <f>IF(N18113="","",COUNTIFS(RawData[[Date ]],N18113,RawData[Month List],$Q$6,RawData[Tour/Site],$Q$2,RawData[[Picker ID ]],$Q$3,RawData[Checker ID],$Q$4,RawData[[Error Type ]],$Q$5))</f>
        <v/>
      </c>
    </row>
    <row r="18114" spans="15:15" x14ac:dyDescent="0.25">
      <c r="O18114" s="20" t="str">
        <f>IF(N18114="","",COUNTIFS(RawData[[Date ]],N18114,RawData[Month List],$Q$6,RawData[Tour/Site],$Q$2,RawData[[Picker ID ]],$Q$3,RawData[Checker ID],$Q$4,RawData[[Error Type ]],$Q$5))</f>
        <v/>
      </c>
    </row>
    <row r="18115" spans="15:15" x14ac:dyDescent="0.25">
      <c r="O18115" s="20" t="str">
        <f>IF(N18115="","",COUNTIFS(RawData[[Date ]],N18115,RawData[Month List],$Q$6,RawData[Tour/Site],$Q$2,RawData[[Picker ID ]],$Q$3,RawData[Checker ID],$Q$4,RawData[[Error Type ]],$Q$5))</f>
        <v/>
      </c>
    </row>
    <row r="18116" spans="15:15" x14ac:dyDescent="0.25">
      <c r="O18116" s="20" t="str">
        <f>IF(N18116="","",COUNTIFS(RawData[[Date ]],N18116,RawData[Month List],$Q$6,RawData[Tour/Site],$Q$2,RawData[[Picker ID ]],$Q$3,RawData[Checker ID],$Q$4,RawData[[Error Type ]],$Q$5))</f>
        <v/>
      </c>
    </row>
    <row r="18117" spans="15:15" x14ac:dyDescent="0.25">
      <c r="O18117" s="20" t="str">
        <f>IF(N18117="","",COUNTIFS(RawData[[Date ]],N18117,RawData[Month List],$Q$6,RawData[Tour/Site],$Q$2,RawData[[Picker ID ]],$Q$3,RawData[Checker ID],$Q$4,RawData[[Error Type ]],$Q$5))</f>
        <v/>
      </c>
    </row>
    <row r="18118" spans="15:15" x14ac:dyDescent="0.25">
      <c r="O18118" s="20" t="str">
        <f>IF(N18118="","",COUNTIFS(RawData[[Date ]],N18118,RawData[Month List],$Q$6,RawData[Tour/Site],$Q$2,RawData[[Picker ID ]],$Q$3,RawData[Checker ID],$Q$4,RawData[[Error Type ]],$Q$5))</f>
        <v/>
      </c>
    </row>
    <row r="18119" spans="15:15" x14ac:dyDescent="0.25">
      <c r="O18119" s="20" t="str">
        <f>IF(N18119="","",COUNTIFS(RawData[[Date ]],N18119,RawData[Month List],$Q$6,RawData[Tour/Site],$Q$2,RawData[[Picker ID ]],$Q$3,RawData[Checker ID],$Q$4,RawData[[Error Type ]],$Q$5))</f>
        <v/>
      </c>
    </row>
    <row r="18120" spans="15:15" x14ac:dyDescent="0.25">
      <c r="O18120" s="20" t="str">
        <f>IF(N18120="","",COUNTIFS(RawData[[Date ]],N18120,RawData[Month List],$Q$6,RawData[Tour/Site],$Q$2,RawData[[Picker ID ]],$Q$3,RawData[Checker ID],$Q$4,RawData[[Error Type ]],$Q$5))</f>
        <v/>
      </c>
    </row>
    <row r="18121" spans="15:15" x14ac:dyDescent="0.25">
      <c r="O18121" s="20" t="str">
        <f>IF(N18121="","",COUNTIFS(RawData[[Date ]],N18121,RawData[Month List],$Q$6,RawData[Tour/Site],$Q$2,RawData[[Picker ID ]],$Q$3,RawData[Checker ID],$Q$4,RawData[[Error Type ]],$Q$5))</f>
        <v/>
      </c>
    </row>
    <row r="18122" spans="15:15" x14ac:dyDescent="0.25">
      <c r="O18122" s="20" t="str">
        <f>IF(N18122="","",COUNTIFS(RawData[[Date ]],N18122,RawData[Month List],$Q$6,RawData[Tour/Site],$Q$2,RawData[[Picker ID ]],$Q$3,RawData[Checker ID],$Q$4,RawData[[Error Type ]],$Q$5))</f>
        <v/>
      </c>
    </row>
    <row r="18123" spans="15:15" x14ac:dyDescent="0.25">
      <c r="O18123" s="20" t="str">
        <f>IF(N18123="","",COUNTIFS(RawData[[Date ]],N18123,RawData[Month List],$Q$6,RawData[Tour/Site],$Q$2,RawData[[Picker ID ]],$Q$3,RawData[Checker ID],$Q$4,RawData[[Error Type ]],$Q$5))</f>
        <v/>
      </c>
    </row>
    <row r="18124" spans="15:15" x14ac:dyDescent="0.25">
      <c r="O18124" s="20" t="str">
        <f>IF(N18124="","",COUNTIFS(RawData[[Date ]],N18124,RawData[Month List],$Q$6,RawData[Tour/Site],$Q$2,RawData[[Picker ID ]],$Q$3,RawData[Checker ID],$Q$4,RawData[[Error Type ]],$Q$5))</f>
        <v/>
      </c>
    </row>
    <row r="18125" spans="15:15" x14ac:dyDescent="0.25">
      <c r="O18125" s="20" t="str">
        <f>IF(N18125="","",COUNTIFS(RawData[[Date ]],N18125,RawData[Month List],$Q$6,RawData[Tour/Site],$Q$2,RawData[[Picker ID ]],$Q$3,RawData[Checker ID],$Q$4,RawData[[Error Type ]],$Q$5))</f>
        <v/>
      </c>
    </row>
    <row r="18126" spans="15:15" x14ac:dyDescent="0.25">
      <c r="O18126" s="20" t="str">
        <f>IF(N18126="","",COUNTIFS(RawData[[Date ]],N18126,RawData[Month List],$Q$6,RawData[Tour/Site],$Q$2,RawData[[Picker ID ]],$Q$3,RawData[Checker ID],$Q$4,RawData[[Error Type ]],$Q$5))</f>
        <v/>
      </c>
    </row>
    <row r="18127" spans="15:15" x14ac:dyDescent="0.25">
      <c r="O18127" s="20" t="str">
        <f>IF(N18127="","",COUNTIFS(RawData[[Date ]],N18127,RawData[Month List],$Q$6,RawData[Tour/Site],$Q$2,RawData[[Picker ID ]],$Q$3,RawData[Checker ID],$Q$4,RawData[[Error Type ]],$Q$5))</f>
        <v/>
      </c>
    </row>
    <row r="18128" spans="15:15" x14ac:dyDescent="0.25">
      <c r="O18128" s="20" t="str">
        <f>IF(N18128="","",COUNTIFS(RawData[[Date ]],N18128,RawData[Month List],$Q$6,RawData[Tour/Site],$Q$2,RawData[[Picker ID ]],$Q$3,RawData[Checker ID],$Q$4,RawData[[Error Type ]],$Q$5))</f>
        <v/>
      </c>
    </row>
    <row r="18129" spans="15:15" x14ac:dyDescent="0.25">
      <c r="O18129" s="20" t="str">
        <f>IF(N18129="","",COUNTIFS(RawData[[Date ]],N18129,RawData[Month List],$Q$6,RawData[Tour/Site],$Q$2,RawData[[Picker ID ]],$Q$3,RawData[Checker ID],$Q$4,RawData[[Error Type ]],$Q$5))</f>
        <v/>
      </c>
    </row>
    <row r="18130" spans="15:15" x14ac:dyDescent="0.25">
      <c r="O18130" s="20" t="str">
        <f>IF(N18130="","",COUNTIFS(RawData[[Date ]],N18130,RawData[Month List],$Q$6,RawData[Tour/Site],$Q$2,RawData[[Picker ID ]],$Q$3,RawData[Checker ID],$Q$4,RawData[[Error Type ]],$Q$5))</f>
        <v/>
      </c>
    </row>
    <row r="18131" spans="15:15" x14ac:dyDescent="0.25">
      <c r="O18131" s="20" t="str">
        <f>IF(N18131="","",COUNTIFS(RawData[[Date ]],N18131,RawData[Month List],$Q$6,RawData[Tour/Site],$Q$2,RawData[[Picker ID ]],$Q$3,RawData[Checker ID],$Q$4,RawData[[Error Type ]],$Q$5))</f>
        <v/>
      </c>
    </row>
    <row r="18132" spans="15:15" x14ac:dyDescent="0.25">
      <c r="O18132" s="20" t="str">
        <f>IF(N18132="","",COUNTIFS(RawData[[Date ]],N18132,RawData[Month List],$Q$6,RawData[Tour/Site],$Q$2,RawData[[Picker ID ]],$Q$3,RawData[Checker ID],$Q$4,RawData[[Error Type ]],$Q$5))</f>
        <v/>
      </c>
    </row>
    <row r="18133" spans="15:15" x14ac:dyDescent="0.25">
      <c r="O18133" s="20" t="str">
        <f>IF(N18133="","",COUNTIFS(RawData[[Date ]],N18133,RawData[Month List],$Q$6,RawData[Tour/Site],$Q$2,RawData[[Picker ID ]],$Q$3,RawData[Checker ID],$Q$4,RawData[[Error Type ]],$Q$5))</f>
        <v/>
      </c>
    </row>
    <row r="18134" spans="15:15" x14ac:dyDescent="0.25">
      <c r="O18134" s="20" t="str">
        <f>IF(N18134="","",COUNTIFS(RawData[[Date ]],N18134,RawData[Month List],$Q$6,RawData[Tour/Site],$Q$2,RawData[[Picker ID ]],$Q$3,RawData[Checker ID],$Q$4,RawData[[Error Type ]],$Q$5))</f>
        <v/>
      </c>
    </row>
    <row r="18135" spans="15:15" x14ac:dyDescent="0.25">
      <c r="O18135" s="20" t="str">
        <f>IF(N18135="","",COUNTIFS(RawData[[Date ]],N18135,RawData[Month List],$Q$6,RawData[Tour/Site],$Q$2,RawData[[Picker ID ]],$Q$3,RawData[Checker ID],$Q$4,RawData[[Error Type ]],$Q$5))</f>
        <v/>
      </c>
    </row>
    <row r="18136" spans="15:15" x14ac:dyDescent="0.25">
      <c r="O18136" s="20" t="str">
        <f>IF(N18136="","",COUNTIFS(RawData[[Date ]],N18136,RawData[Month List],$Q$6,RawData[Tour/Site],$Q$2,RawData[[Picker ID ]],$Q$3,RawData[Checker ID],$Q$4,RawData[[Error Type ]],$Q$5))</f>
        <v/>
      </c>
    </row>
    <row r="18137" spans="15:15" x14ac:dyDescent="0.25">
      <c r="O18137" s="20" t="str">
        <f>IF(N18137="","",COUNTIFS(RawData[[Date ]],N18137,RawData[Month List],$Q$6,RawData[Tour/Site],$Q$2,RawData[[Picker ID ]],$Q$3,RawData[Checker ID],$Q$4,RawData[[Error Type ]],$Q$5))</f>
        <v/>
      </c>
    </row>
    <row r="18138" spans="15:15" x14ac:dyDescent="0.25">
      <c r="O18138" s="20" t="str">
        <f>IF(N18138="","",COUNTIFS(RawData[[Date ]],N18138,RawData[Month List],$Q$6,RawData[Tour/Site],$Q$2,RawData[[Picker ID ]],$Q$3,RawData[Checker ID],$Q$4,RawData[[Error Type ]],$Q$5))</f>
        <v/>
      </c>
    </row>
    <row r="18139" spans="15:15" x14ac:dyDescent="0.25">
      <c r="O18139" s="20" t="str">
        <f>IF(N18139="","",COUNTIFS(RawData[[Date ]],N18139,RawData[Month List],$Q$6,RawData[Tour/Site],$Q$2,RawData[[Picker ID ]],$Q$3,RawData[Checker ID],$Q$4,RawData[[Error Type ]],$Q$5))</f>
        <v/>
      </c>
    </row>
    <row r="18140" spans="15:15" x14ac:dyDescent="0.25">
      <c r="O18140" s="20" t="str">
        <f>IF(N18140="","",COUNTIFS(RawData[[Date ]],N18140,RawData[Month List],$Q$6,RawData[Tour/Site],$Q$2,RawData[[Picker ID ]],$Q$3,RawData[Checker ID],$Q$4,RawData[[Error Type ]],$Q$5))</f>
        <v/>
      </c>
    </row>
    <row r="18141" spans="15:15" x14ac:dyDescent="0.25">
      <c r="O18141" s="20" t="str">
        <f>IF(N18141="","",COUNTIFS(RawData[[Date ]],N18141,RawData[Month List],$Q$6,RawData[Tour/Site],$Q$2,RawData[[Picker ID ]],$Q$3,RawData[Checker ID],$Q$4,RawData[[Error Type ]],$Q$5))</f>
        <v/>
      </c>
    </row>
    <row r="18142" spans="15:15" x14ac:dyDescent="0.25">
      <c r="O18142" s="20" t="str">
        <f>IF(N18142="","",COUNTIFS(RawData[[Date ]],N18142,RawData[Month List],$Q$6,RawData[Tour/Site],$Q$2,RawData[[Picker ID ]],$Q$3,RawData[Checker ID],$Q$4,RawData[[Error Type ]],$Q$5))</f>
        <v/>
      </c>
    </row>
    <row r="18143" spans="15:15" x14ac:dyDescent="0.25">
      <c r="O18143" s="20" t="str">
        <f>IF(N18143="","",COUNTIFS(RawData[[Date ]],N18143,RawData[Month List],$Q$6,RawData[Tour/Site],$Q$2,RawData[[Picker ID ]],$Q$3,RawData[Checker ID],$Q$4,RawData[[Error Type ]],$Q$5))</f>
        <v/>
      </c>
    </row>
    <row r="18144" spans="15:15" x14ac:dyDescent="0.25">
      <c r="O18144" s="20" t="str">
        <f>IF(N18144="","",COUNTIFS(RawData[[Date ]],N18144,RawData[Month List],$Q$6,RawData[Tour/Site],$Q$2,RawData[[Picker ID ]],$Q$3,RawData[Checker ID],$Q$4,RawData[[Error Type ]],$Q$5))</f>
        <v/>
      </c>
    </row>
    <row r="18145" spans="15:15" x14ac:dyDescent="0.25">
      <c r="O18145" s="20" t="str">
        <f>IF(N18145="","",COUNTIFS(RawData[[Date ]],N18145,RawData[Month List],$Q$6,RawData[Tour/Site],$Q$2,RawData[[Picker ID ]],$Q$3,RawData[Checker ID],$Q$4,RawData[[Error Type ]],$Q$5))</f>
        <v/>
      </c>
    </row>
    <row r="18146" spans="15:15" x14ac:dyDescent="0.25">
      <c r="O18146" s="20" t="str">
        <f>IF(N18146="","",COUNTIFS(RawData[[Date ]],N18146,RawData[Month List],$Q$6,RawData[Tour/Site],$Q$2,RawData[[Picker ID ]],$Q$3,RawData[Checker ID],$Q$4,RawData[[Error Type ]],$Q$5))</f>
        <v/>
      </c>
    </row>
    <row r="18147" spans="15:15" x14ac:dyDescent="0.25">
      <c r="O18147" s="20" t="str">
        <f>IF(N18147="","",COUNTIFS(RawData[[Date ]],N18147,RawData[Month List],$Q$6,RawData[Tour/Site],$Q$2,RawData[[Picker ID ]],$Q$3,RawData[Checker ID],$Q$4,RawData[[Error Type ]],$Q$5))</f>
        <v/>
      </c>
    </row>
    <row r="18148" spans="15:15" x14ac:dyDescent="0.25">
      <c r="O18148" s="20" t="str">
        <f>IF(N18148="","",COUNTIFS(RawData[[Date ]],N18148,RawData[Month List],$Q$6,RawData[Tour/Site],$Q$2,RawData[[Picker ID ]],$Q$3,RawData[Checker ID],$Q$4,RawData[[Error Type ]],$Q$5))</f>
        <v/>
      </c>
    </row>
    <row r="18149" spans="15:15" x14ac:dyDescent="0.25">
      <c r="O18149" s="20" t="str">
        <f>IF(N18149="","",COUNTIFS(RawData[[Date ]],N18149,RawData[Month List],$Q$6,RawData[Tour/Site],$Q$2,RawData[[Picker ID ]],$Q$3,RawData[Checker ID],$Q$4,RawData[[Error Type ]],$Q$5))</f>
        <v/>
      </c>
    </row>
    <row r="18150" spans="15:15" x14ac:dyDescent="0.25">
      <c r="O18150" s="20" t="str">
        <f>IF(N18150="","",COUNTIFS(RawData[[Date ]],N18150,RawData[Month List],$Q$6,RawData[Tour/Site],$Q$2,RawData[[Picker ID ]],$Q$3,RawData[Checker ID],$Q$4,RawData[[Error Type ]],$Q$5))</f>
        <v/>
      </c>
    </row>
    <row r="18151" spans="15:15" x14ac:dyDescent="0.25">
      <c r="O18151" s="20" t="str">
        <f>IF(N18151="","",COUNTIFS(RawData[[Date ]],N18151,RawData[Month List],$Q$6,RawData[Tour/Site],$Q$2,RawData[[Picker ID ]],$Q$3,RawData[Checker ID],$Q$4,RawData[[Error Type ]],$Q$5))</f>
        <v/>
      </c>
    </row>
    <row r="18152" spans="15:15" x14ac:dyDescent="0.25">
      <c r="O18152" s="20" t="str">
        <f>IF(N18152="","",COUNTIFS(RawData[[Date ]],N18152,RawData[Month List],$Q$6,RawData[Tour/Site],$Q$2,RawData[[Picker ID ]],$Q$3,RawData[Checker ID],$Q$4,RawData[[Error Type ]],$Q$5))</f>
        <v/>
      </c>
    </row>
    <row r="18153" spans="15:15" x14ac:dyDescent="0.25">
      <c r="O18153" s="20" t="str">
        <f>IF(N18153="","",COUNTIFS(RawData[[Date ]],N18153,RawData[Month List],$Q$6,RawData[Tour/Site],$Q$2,RawData[[Picker ID ]],$Q$3,RawData[Checker ID],$Q$4,RawData[[Error Type ]],$Q$5))</f>
        <v/>
      </c>
    </row>
    <row r="18154" spans="15:15" x14ac:dyDescent="0.25">
      <c r="O18154" s="20" t="str">
        <f>IF(N18154="","",COUNTIFS(RawData[[Date ]],N18154,RawData[Month List],$Q$6,RawData[Tour/Site],$Q$2,RawData[[Picker ID ]],$Q$3,RawData[Checker ID],$Q$4,RawData[[Error Type ]],$Q$5))</f>
        <v/>
      </c>
    </row>
    <row r="18155" spans="15:15" x14ac:dyDescent="0.25">
      <c r="O18155" s="20" t="str">
        <f>IF(N18155="","",COUNTIFS(RawData[[Date ]],N18155,RawData[Month List],$Q$6,RawData[Tour/Site],$Q$2,RawData[[Picker ID ]],$Q$3,RawData[Checker ID],$Q$4,RawData[[Error Type ]],$Q$5))</f>
        <v/>
      </c>
    </row>
    <row r="18156" spans="15:15" x14ac:dyDescent="0.25">
      <c r="O18156" s="20" t="str">
        <f>IF(N18156="","",COUNTIFS(RawData[[Date ]],N18156,RawData[Month List],$Q$6,RawData[Tour/Site],$Q$2,RawData[[Picker ID ]],$Q$3,RawData[Checker ID],$Q$4,RawData[[Error Type ]],$Q$5))</f>
        <v/>
      </c>
    </row>
    <row r="18157" spans="15:15" x14ac:dyDescent="0.25">
      <c r="O18157" s="20" t="str">
        <f>IF(N18157="","",COUNTIFS(RawData[[Date ]],N18157,RawData[Month List],$Q$6,RawData[Tour/Site],$Q$2,RawData[[Picker ID ]],$Q$3,RawData[Checker ID],$Q$4,RawData[[Error Type ]],$Q$5))</f>
        <v/>
      </c>
    </row>
    <row r="18158" spans="15:15" x14ac:dyDescent="0.25">
      <c r="O18158" s="20" t="str">
        <f>IF(N18158="","",COUNTIFS(RawData[[Date ]],N18158,RawData[Month List],$Q$6,RawData[Tour/Site],$Q$2,RawData[[Picker ID ]],$Q$3,RawData[Checker ID],$Q$4,RawData[[Error Type ]],$Q$5))</f>
        <v/>
      </c>
    </row>
    <row r="18159" spans="15:15" x14ac:dyDescent="0.25">
      <c r="O18159" s="20" t="str">
        <f>IF(N18159="","",COUNTIFS(RawData[[Date ]],N18159,RawData[Month List],$Q$6,RawData[Tour/Site],$Q$2,RawData[[Picker ID ]],$Q$3,RawData[Checker ID],$Q$4,RawData[[Error Type ]],$Q$5))</f>
        <v/>
      </c>
    </row>
    <row r="18160" spans="15:15" x14ac:dyDescent="0.25">
      <c r="O18160" s="20" t="str">
        <f>IF(N18160="","",COUNTIFS(RawData[[Date ]],N18160,RawData[Month List],$Q$6,RawData[Tour/Site],$Q$2,RawData[[Picker ID ]],$Q$3,RawData[Checker ID],$Q$4,RawData[[Error Type ]],$Q$5))</f>
        <v/>
      </c>
    </row>
    <row r="18161" spans="15:15" x14ac:dyDescent="0.25">
      <c r="O18161" s="20" t="str">
        <f>IF(N18161="","",COUNTIFS(RawData[[Date ]],N18161,RawData[Month List],$Q$6,RawData[Tour/Site],$Q$2,RawData[[Picker ID ]],$Q$3,RawData[Checker ID],$Q$4,RawData[[Error Type ]],$Q$5))</f>
        <v/>
      </c>
    </row>
    <row r="18162" spans="15:15" x14ac:dyDescent="0.25">
      <c r="O18162" s="20" t="str">
        <f>IF(N18162="","",COUNTIFS(RawData[[Date ]],N18162,RawData[Month List],$Q$6,RawData[Tour/Site],$Q$2,RawData[[Picker ID ]],$Q$3,RawData[Checker ID],$Q$4,RawData[[Error Type ]],$Q$5))</f>
        <v/>
      </c>
    </row>
    <row r="18163" spans="15:15" x14ac:dyDescent="0.25">
      <c r="O18163" s="20" t="str">
        <f>IF(N18163="","",COUNTIFS(RawData[[Date ]],N18163,RawData[Month List],$Q$6,RawData[Tour/Site],$Q$2,RawData[[Picker ID ]],$Q$3,RawData[Checker ID],$Q$4,RawData[[Error Type ]],$Q$5))</f>
        <v/>
      </c>
    </row>
    <row r="18164" spans="15:15" x14ac:dyDescent="0.25">
      <c r="O18164" s="20" t="str">
        <f>IF(N18164="","",COUNTIFS(RawData[[Date ]],N18164,RawData[Month List],$Q$6,RawData[Tour/Site],$Q$2,RawData[[Picker ID ]],$Q$3,RawData[Checker ID],$Q$4,RawData[[Error Type ]],$Q$5))</f>
        <v/>
      </c>
    </row>
    <row r="18165" spans="15:15" x14ac:dyDescent="0.25">
      <c r="O18165" s="20" t="str">
        <f>IF(N18165="","",COUNTIFS(RawData[[Date ]],N18165,RawData[Month List],$Q$6,RawData[Tour/Site],$Q$2,RawData[[Picker ID ]],$Q$3,RawData[Checker ID],$Q$4,RawData[[Error Type ]],$Q$5))</f>
        <v/>
      </c>
    </row>
    <row r="18166" spans="15:15" x14ac:dyDescent="0.25">
      <c r="O18166" s="20" t="str">
        <f>IF(N18166="","",COUNTIFS(RawData[[Date ]],N18166,RawData[Month List],$Q$6,RawData[Tour/Site],$Q$2,RawData[[Picker ID ]],$Q$3,RawData[Checker ID],$Q$4,RawData[[Error Type ]],$Q$5))</f>
        <v/>
      </c>
    </row>
    <row r="18167" spans="15:15" x14ac:dyDescent="0.25">
      <c r="O18167" s="20" t="str">
        <f>IF(N18167="","",COUNTIFS(RawData[[Date ]],N18167,RawData[Month List],$Q$6,RawData[Tour/Site],$Q$2,RawData[[Picker ID ]],$Q$3,RawData[Checker ID],$Q$4,RawData[[Error Type ]],$Q$5))</f>
        <v/>
      </c>
    </row>
    <row r="18168" spans="15:15" x14ac:dyDescent="0.25">
      <c r="O18168" s="20" t="str">
        <f>IF(N18168="","",COUNTIFS(RawData[[Date ]],N18168,RawData[Month List],$Q$6,RawData[Tour/Site],$Q$2,RawData[[Picker ID ]],$Q$3,RawData[Checker ID],$Q$4,RawData[[Error Type ]],$Q$5))</f>
        <v/>
      </c>
    </row>
    <row r="18169" spans="15:15" x14ac:dyDescent="0.25">
      <c r="O18169" s="20" t="str">
        <f>IF(N18169="","",COUNTIFS(RawData[[Date ]],N18169,RawData[Month List],$Q$6,RawData[Tour/Site],$Q$2,RawData[[Picker ID ]],$Q$3,RawData[Checker ID],$Q$4,RawData[[Error Type ]],$Q$5))</f>
        <v/>
      </c>
    </row>
    <row r="18170" spans="15:15" x14ac:dyDescent="0.25">
      <c r="O18170" s="20" t="str">
        <f>IF(N18170="","",COUNTIFS(RawData[[Date ]],N18170,RawData[Month List],$Q$6,RawData[Tour/Site],$Q$2,RawData[[Picker ID ]],$Q$3,RawData[Checker ID],$Q$4,RawData[[Error Type ]],$Q$5))</f>
        <v/>
      </c>
    </row>
    <row r="18171" spans="15:15" x14ac:dyDescent="0.25">
      <c r="O18171" s="20" t="str">
        <f>IF(N18171="","",COUNTIFS(RawData[[Date ]],N18171,RawData[Month List],$Q$6,RawData[Tour/Site],$Q$2,RawData[[Picker ID ]],$Q$3,RawData[Checker ID],$Q$4,RawData[[Error Type ]],$Q$5))</f>
        <v/>
      </c>
    </row>
    <row r="18172" spans="15:15" x14ac:dyDescent="0.25">
      <c r="O18172" s="20" t="str">
        <f>IF(N18172="","",COUNTIFS(RawData[[Date ]],N18172,RawData[Month List],$Q$6,RawData[Tour/Site],$Q$2,RawData[[Picker ID ]],$Q$3,RawData[Checker ID],$Q$4,RawData[[Error Type ]],$Q$5))</f>
        <v/>
      </c>
    </row>
    <row r="18173" spans="15:15" x14ac:dyDescent="0.25">
      <c r="O18173" s="20" t="str">
        <f>IF(N18173="","",COUNTIFS(RawData[[Date ]],N18173,RawData[Month List],$Q$6,RawData[Tour/Site],$Q$2,RawData[[Picker ID ]],$Q$3,RawData[Checker ID],$Q$4,RawData[[Error Type ]],$Q$5))</f>
        <v/>
      </c>
    </row>
    <row r="18174" spans="15:15" x14ac:dyDescent="0.25">
      <c r="O18174" s="20" t="str">
        <f>IF(N18174="","",COUNTIFS(RawData[[Date ]],N18174,RawData[Month List],$Q$6,RawData[Tour/Site],$Q$2,RawData[[Picker ID ]],$Q$3,RawData[Checker ID],$Q$4,RawData[[Error Type ]],$Q$5))</f>
        <v/>
      </c>
    </row>
    <row r="18175" spans="15:15" x14ac:dyDescent="0.25">
      <c r="O18175" s="20" t="str">
        <f>IF(N18175="","",COUNTIFS(RawData[[Date ]],N18175,RawData[Month List],$Q$6,RawData[Tour/Site],$Q$2,RawData[[Picker ID ]],$Q$3,RawData[Checker ID],$Q$4,RawData[[Error Type ]],$Q$5))</f>
        <v/>
      </c>
    </row>
    <row r="18176" spans="15:15" x14ac:dyDescent="0.25">
      <c r="O18176" s="20" t="str">
        <f>IF(N18176="","",COUNTIFS(RawData[[Date ]],N18176,RawData[Month List],$Q$6,RawData[Tour/Site],$Q$2,RawData[[Picker ID ]],$Q$3,RawData[Checker ID],$Q$4,RawData[[Error Type ]],$Q$5))</f>
        <v/>
      </c>
    </row>
    <row r="18177" spans="15:15" x14ac:dyDescent="0.25">
      <c r="O18177" s="20" t="str">
        <f>IF(N18177="","",COUNTIFS(RawData[[Date ]],N18177,RawData[Month List],$Q$6,RawData[Tour/Site],$Q$2,RawData[[Picker ID ]],$Q$3,RawData[Checker ID],$Q$4,RawData[[Error Type ]],$Q$5))</f>
        <v/>
      </c>
    </row>
    <row r="18178" spans="15:15" x14ac:dyDescent="0.25">
      <c r="O18178" s="20" t="str">
        <f>IF(N18178="","",COUNTIFS(RawData[[Date ]],N18178,RawData[Month List],$Q$6,RawData[Tour/Site],$Q$2,RawData[[Picker ID ]],$Q$3,RawData[Checker ID],$Q$4,RawData[[Error Type ]],$Q$5))</f>
        <v/>
      </c>
    </row>
    <row r="18179" spans="15:15" x14ac:dyDescent="0.25">
      <c r="O18179" s="20" t="str">
        <f>IF(N18179="","",COUNTIFS(RawData[[Date ]],N18179,RawData[Month List],$Q$6,RawData[Tour/Site],$Q$2,RawData[[Picker ID ]],$Q$3,RawData[Checker ID],$Q$4,RawData[[Error Type ]],$Q$5))</f>
        <v/>
      </c>
    </row>
    <row r="18180" spans="15:15" x14ac:dyDescent="0.25">
      <c r="O18180" s="20" t="str">
        <f>IF(N18180="","",COUNTIFS(RawData[[Date ]],N18180,RawData[Month List],$Q$6,RawData[Tour/Site],$Q$2,RawData[[Picker ID ]],$Q$3,RawData[Checker ID],$Q$4,RawData[[Error Type ]],$Q$5))</f>
        <v/>
      </c>
    </row>
    <row r="18181" spans="15:15" x14ac:dyDescent="0.25">
      <c r="O18181" s="20" t="str">
        <f>IF(N18181="","",COUNTIFS(RawData[[Date ]],N18181,RawData[Month List],$Q$6,RawData[Tour/Site],$Q$2,RawData[[Picker ID ]],$Q$3,RawData[Checker ID],$Q$4,RawData[[Error Type ]],$Q$5))</f>
        <v/>
      </c>
    </row>
    <row r="18182" spans="15:15" x14ac:dyDescent="0.25">
      <c r="O18182" s="20" t="str">
        <f>IF(N18182="","",COUNTIFS(RawData[[Date ]],N18182,RawData[Month List],$Q$6,RawData[Tour/Site],$Q$2,RawData[[Picker ID ]],$Q$3,RawData[Checker ID],$Q$4,RawData[[Error Type ]],$Q$5))</f>
        <v/>
      </c>
    </row>
    <row r="18183" spans="15:15" x14ac:dyDescent="0.25">
      <c r="O18183" s="20" t="str">
        <f>IF(N18183="","",COUNTIFS(RawData[[Date ]],N18183,RawData[Month List],$Q$6,RawData[Tour/Site],$Q$2,RawData[[Picker ID ]],$Q$3,RawData[Checker ID],$Q$4,RawData[[Error Type ]],$Q$5))</f>
        <v/>
      </c>
    </row>
    <row r="18184" spans="15:15" x14ac:dyDescent="0.25">
      <c r="O18184" s="20" t="str">
        <f>IF(N18184="","",COUNTIFS(RawData[[Date ]],N18184,RawData[Month List],$Q$6,RawData[Tour/Site],$Q$2,RawData[[Picker ID ]],$Q$3,RawData[Checker ID],$Q$4,RawData[[Error Type ]],$Q$5))</f>
        <v/>
      </c>
    </row>
    <row r="18185" spans="15:15" x14ac:dyDescent="0.25">
      <c r="O18185" s="20" t="str">
        <f>IF(N18185="","",COUNTIFS(RawData[[Date ]],N18185,RawData[Month List],$Q$6,RawData[Tour/Site],$Q$2,RawData[[Picker ID ]],$Q$3,RawData[Checker ID],$Q$4,RawData[[Error Type ]],$Q$5))</f>
        <v/>
      </c>
    </row>
    <row r="18186" spans="15:15" x14ac:dyDescent="0.25">
      <c r="O18186" s="20" t="str">
        <f>IF(N18186="","",COUNTIFS(RawData[[Date ]],N18186,RawData[Month List],$Q$6,RawData[Tour/Site],$Q$2,RawData[[Picker ID ]],$Q$3,RawData[Checker ID],$Q$4,RawData[[Error Type ]],$Q$5))</f>
        <v/>
      </c>
    </row>
    <row r="18187" spans="15:15" x14ac:dyDescent="0.25">
      <c r="O18187" s="20" t="str">
        <f>IF(N18187="","",COUNTIFS(RawData[[Date ]],N18187,RawData[Month List],$Q$6,RawData[Tour/Site],$Q$2,RawData[[Picker ID ]],$Q$3,RawData[Checker ID],$Q$4,RawData[[Error Type ]],$Q$5))</f>
        <v/>
      </c>
    </row>
    <row r="18188" spans="15:15" x14ac:dyDescent="0.25">
      <c r="O18188" s="20" t="str">
        <f>IF(N18188="","",COUNTIFS(RawData[[Date ]],N18188,RawData[Month List],$Q$6,RawData[Tour/Site],$Q$2,RawData[[Picker ID ]],$Q$3,RawData[Checker ID],$Q$4,RawData[[Error Type ]],$Q$5))</f>
        <v/>
      </c>
    </row>
    <row r="18189" spans="15:15" x14ac:dyDescent="0.25">
      <c r="O18189" s="20" t="str">
        <f>IF(N18189="","",COUNTIFS(RawData[[Date ]],N18189,RawData[Month List],$Q$6,RawData[Tour/Site],$Q$2,RawData[[Picker ID ]],$Q$3,RawData[Checker ID],$Q$4,RawData[[Error Type ]],$Q$5))</f>
        <v/>
      </c>
    </row>
    <row r="18190" spans="15:15" x14ac:dyDescent="0.25">
      <c r="O18190" s="20" t="str">
        <f>IF(N18190="","",COUNTIFS(RawData[[Date ]],N18190,RawData[Month List],$Q$6,RawData[Tour/Site],$Q$2,RawData[[Picker ID ]],$Q$3,RawData[Checker ID],$Q$4,RawData[[Error Type ]],$Q$5))</f>
        <v/>
      </c>
    </row>
    <row r="18191" spans="15:15" x14ac:dyDescent="0.25">
      <c r="O18191" s="20" t="str">
        <f>IF(N18191="","",COUNTIFS(RawData[[Date ]],N18191,RawData[Month List],$Q$6,RawData[Tour/Site],$Q$2,RawData[[Picker ID ]],$Q$3,RawData[Checker ID],$Q$4,RawData[[Error Type ]],$Q$5))</f>
        <v/>
      </c>
    </row>
    <row r="18192" spans="15:15" x14ac:dyDescent="0.25">
      <c r="O18192" s="20" t="str">
        <f>IF(N18192="","",COUNTIFS(RawData[[Date ]],N18192,RawData[Month List],$Q$6,RawData[Tour/Site],$Q$2,RawData[[Picker ID ]],$Q$3,RawData[Checker ID],$Q$4,RawData[[Error Type ]],$Q$5))</f>
        <v/>
      </c>
    </row>
    <row r="18193" spans="15:15" x14ac:dyDescent="0.25">
      <c r="O18193" s="20" t="str">
        <f>IF(N18193="","",COUNTIFS(RawData[[Date ]],N18193,RawData[Month List],$Q$6,RawData[Tour/Site],$Q$2,RawData[[Picker ID ]],$Q$3,RawData[Checker ID],$Q$4,RawData[[Error Type ]],$Q$5))</f>
        <v/>
      </c>
    </row>
    <row r="18194" spans="15:15" x14ac:dyDescent="0.25">
      <c r="O18194" s="20" t="str">
        <f>IF(N18194="","",COUNTIFS(RawData[[Date ]],N18194,RawData[Month List],$Q$6,RawData[Tour/Site],$Q$2,RawData[[Picker ID ]],$Q$3,RawData[Checker ID],$Q$4,RawData[[Error Type ]],$Q$5))</f>
        <v/>
      </c>
    </row>
    <row r="18195" spans="15:15" x14ac:dyDescent="0.25">
      <c r="O18195" s="20" t="str">
        <f>IF(N18195="","",COUNTIFS(RawData[[Date ]],N18195,RawData[Month List],$Q$6,RawData[Tour/Site],$Q$2,RawData[[Picker ID ]],$Q$3,RawData[Checker ID],$Q$4,RawData[[Error Type ]],$Q$5))</f>
        <v/>
      </c>
    </row>
    <row r="18196" spans="15:15" x14ac:dyDescent="0.25">
      <c r="O18196" s="20" t="str">
        <f>IF(N18196="","",COUNTIFS(RawData[[Date ]],N18196,RawData[Month List],$Q$6,RawData[Tour/Site],$Q$2,RawData[[Picker ID ]],$Q$3,RawData[Checker ID],$Q$4,RawData[[Error Type ]],$Q$5))</f>
        <v/>
      </c>
    </row>
    <row r="18197" spans="15:15" x14ac:dyDescent="0.25">
      <c r="O18197" s="20" t="str">
        <f>IF(N18197="","",COUNTIFS(RawData[[Date ]],N18197,RawData[Month List],$Q$6,RawData[Tour/Site],$Q$2,RawData[[Picker ID ]],$Q$3,RawData[Checker ID],$Q$4,RawData[[Error Type ]],$Q$5))</f>
        <v/>
      </c>
    </row>
    <row r="18198" spans="15:15" x14ac:dyDescent="0.25">
      <c r="O18198" s="20" t="str">
        <f>IF(N18198="","",COUNTIFS(RawData[[Date ]],N18198,RawData[Month List],$Q$6,RawData[Tour/Site],$Q$2,RawData[[Picker ID ]],$Q$3,RawData[Checker ID],$Q$4,RawData[[Error Type ]],$Q$5))</f>
        <v/>
      </c>
    </row>
    <row r="18199" spans="15:15" x14ac:dyDescent="0.25">
      <c r="O18199" s="20" t="str">
        <f>IF(N18199="","",COUNTIFS(RawData[[Date ]],N18199,RawData[Month List],$Q$6,RawData[Tour/Site],$Q$2,RawData[[Picker ID ]],$Q$3,RawData[Checker ID],$Q$4,RawData[[Error Type ]],$Q$5))</f>
        <v/>
      </c>
    </row>
    <row r="18200" spans="15:15" x14ac:dyDescent="0.25">
      <c r="O18200" s="20" t="str">
        <f>IF(N18200="","",COUNTIFS(RawData[[Date ]],N18200,RawData[Month List],$Q$6,RawData[Tour/Site],$Q$2,RawData[[Picker ID ]],$Q$3,RawData[Checker ID],$Q$4,RawData[[Error Type ]],$Q$5))</f>
        <v/>
      </c>
    </row>
    <row r="18201" spans="15:15" x14ac:dyDescent="0.25">
      <c r="O18201" s="20" t="str">
        <f>IF(N18201="","",COUNTIFS(RawData[[Date ]],N18201,RawData[Month List],$Q$6,RawData[Tour/Site],$Q$2,RawData[[Picker ID ]],$Q$3,RawData[Checker ID],$Q$4,RawData[[Error Type ]],$Q$5))</f>
        <v/>
      </c>
    </row>
    <row r="18202" spans="15:15" x14ac:dyDescent="0.25">
      <c r="O18202" s="20" t="str">
        <f>IF(N18202="","",COUNTIFS(RawData[[Date ]],N18202,RawData[Month List],$Q$6,RawData[Tour/Site],$Q$2,RawData[[Picker ID ]],$Q$3,RawData[Checker ID],$Q$4,RawData[[Error Type ]],$Q$5))</f>
        <v/>
      </c>
    </row>
    <row r="18203" spans="15:15" x14ac:dyDescent="0.25">
      <c r="O18203" s="20" t="str">
        <f>IF(N18203="","",COUNTIFS(RawData[[Date ]],N18203,RawData[Month List],$Q$6,RawData[Tour/Site],$Q$2,RawData[[Picker ID ]],$Q$3,RawData[Checker ID],$Q$4,RawData[[Error Type ]],$Q$5))</f>
        <v/>
      </c>
    </row>
    <row r="18204" spans="15:15" x14ac:dyDescent="0.25">
      <c r="O18204" s="20" t="str">
        <f>IF(N18204="","",COUNTIFS(RawData[[Date ]],N18204,RawData[Month List],$Q$6,RawData[Tour/Site],$Q$2,RawData[[Picker ID ]],$Q$3,RawData[Checker ID],$Q$4,RawData[[Error Type ]],$Q$5))</f>
        <v/>
      </c>
    </row>
    <row r="18205" spans="15:15" x14ac:dyDescent="0.25">
      <c r="O18205" s="20" t="str">
        <f>IF(N18205="","",COUNTIFS(RawData[[Date ]],N18205,RawData[Month List],$Q$6,RawData[Tour/Site],$Q$2,RawData[[Picker ID ]],$Q$3,RawData[Checker ID],$Q$4,RawData[[Error Type ]],$Q$5))</f>
        <v/>
      </c>
    </row>
    <row r="18206" spans="15:15" x14ac:dyDescent="0.25">
      <c r="O18206" s="20" t="str">
        <f>IF(N18206="","",COUNTIFS(RawData[[Date ]],N18206,RawData[Month List],$Q$6,RawData[Tour/Site],$Q$2,RawData[[Picker ID ]],$Q$3,RawData[Checker ID],$Q$4,RawData[[Error Type ]],$Q$5))</f>
        <v/>
      </c>
    </row>
    <row r="18207" spans="15:15" x14ac:dyDescent="0.25">
      <c r="O18207" s="20" t="str">
        <f>IF(N18207="","",COUNTIFS(RawData[[Date ]],N18207,RawData[Month List],$Q$6,RawData[Tour/Site],$Q$2,RawData[[Picker ID ]],$Q$3,RawData[Checker ID],$Q$4,RawData[[Error Type ]],$Q$5))</f>
        <v/>
      </c>
    </row>
    <row r="18208" spans="15:15" x14ac:dyDescent="0.25">
      <c r="O18208" s="20" t="str">
        <f>IF(N18208="","",COUNTIFS(RawData[[Date ]],N18208,RawData[Month List],$Q$6,RawData[Tour/Site],$Q$2,RawData[[Picker ID ]],$Q$3,RawData[Checker ID],$Q$4,RawData[[Error Type ]],$Q$5))</f>
        <v/>
      </c>
    </row>
    <row r="18209" spans="15:15" x14ac:dyDescent="0.25">
      <c r="O18209" s="20" t="str">
        <f>IF(N18209="","",COUNTIFS(RawData[[Date ]],N18209,RawData[Month List],$Q$6,RawData[Tour/Site],$Q$2,RawData[[Picker ID ]],$Q$3,RawData[Checker ID],$Q$4,RawData[[Error Type ]],$Q$5))</f>
        <v/>
      </c>
    </row>
    <row r="18210" spans="15:15" x14ac:dyDescent="0.25">
      <c r="O18210" s="20" t="str">
        <f>IF(N18210="","",COUNTIFS(RawData[[Date ]],N18210,RawData[Month List],$Q$6,RawData[Tour/Site],$Q$2,RawData[[Picker ID ]],$Q$3,RawData[Checker ID],$Q$4,RawData[[Error Type ]],$Q$5))</f>
        <v/>
      </c>
    </row>
    <row r="18211" spans="15:15" x14ac:dyDescent="0.25">
      <c r="O18211" s="20" t="str">
        <f>IF(N18211="","",COUNTIFS(RawData[[Date ]],N18211,RawData[Month List],$Q$6,RawData[Tour/Site],$Q$2,RawData[[Picker ID ]],$Q$3,RawData[Checker ID],$Q$4,RawData[[Error Type ]],$Q$5))</f>
        <v/>
      </c>
    </row>
    <row r="18212" spans="15:15" x14ac:dyDescent="0.25">
      <c r="O18212" s="20" t="str">
        <f>IF(N18212="","",COUNTIFS(RawData[[Date ]],N18212,RawData[Month List],$Q$6,RawData[Tour/Site],$Q$2,RawData[[Picker ID ]],$Q$3,RawData[Checker ID],$Q$4,RawData[[Error Type ]],$Q$5))</f>
        <v/>
      </c>
    </row>
    <row r="18213" spans="15:15" x14ac:dyDescent="0.25">
      <c r="O18213" s="20" t="str">
        <f>IF(N18213="","",COUNTIFS(RawData[[Date ]],N18213,RawData[Month List],$Q$6,RawData[Tour/Site],$Q$2,RawData[[Picker ID ]],$Q$3,RawData[Checker ID],$Q$4,RawData[[Error Type ]],$Q$5))</f>
        <v/>
      </c>
    </row>
    <row r="18214" spans="15:15" x14ac:dyDescent="0.25">
      <c r="O18214" s="20" t="str">
        <f>IF(N18214="","",COUNTIFS(RawData[[Date ]],N18214,RawData[Month List],$Q$6,RawData[Tour/Site],$Q$2,RawData[[Picker ID ]],$Q$3,RawData[Checker ID],$Q$4,RawData[[Error Type ]],$Q$5))</f>
        <v/>
      </c>
    </row>
    <row r="18215" spans="15:15" x14ac:dyDescent="0.25">
      <c r="O18215" s="20" t="str">
        <f>IF(N18215="","",COUNTIFS(RawData[[Date ]],N18215,RawData[Month List],$Q$6,RawData[Tour/Site],$Q$2,RawData[[Picker ID ]],$Q$3,RawData[Checker ID],$Q$4,RawData[[Error Type ]],$Q$5))</f>
        <v/>
      </c>
    </row>
    <row r="18216" spans="15:15" x14ac:dyDescent="0.25">
      <c r="O18216" s="20" t="str">
        <f>IF(N18216="","",COUNTIFS(RawData[[Date ]],N18216,RawData[Month List],$Q$6,RawData[Tour/Site],$Q$2,RawData[[Picker ID ]],$Q$3,RawData[Checker ID],$Q$4,RawData[[Error Type ]],$Q$5))</f>
        <v/>
      </c>
    </row>
    <row r="18217" spans="15:15" x14ac:dyDescent="0.25">
      <c r="O18217" s="20" t="str">
        <f>IF(N18217="","",COUNTIFS(RawData[[Date ]],N18217,RawData[Month List],$Q$6,RawData[Tour/Site],$Q$2,RawData[[Picker ID ]],$Q$3,RawData[Checker ID],$Q$4,RawData[[Error Type ]],$Q$5))</f>
        <v/>
      </c>
    </row>
    <row r="18218" spans="15:15" x14ac:dyDescent="0.25">
      <c r="O18218" s="20" t="str">
        <f>IF(N18218="","",COUNTIFS(RawData[[Date ]],N18218,RawData[Month List],$Q$6,RawData[Tour/Site],$Q$2,RawData[[Picker ID ]],$Q$3,RawData[Checker ID],$Q$4,RawData[[Error Type ]],$Q$5))</f>
        <v/>
      </c>
    </row>
    <row r="18219" spans="15:15" x14ac:dyDescent="0.25">
      <c r="O18219" s="20" t="str">
        <f>IF(N18219="","",COUNTIFS(RawData[[Date ]],N18219,RawData[Month List],$Q$6,RawData[Tour/Site],$Q$2,RawData[[Picker ID ]],$Q$3,RawData[Checker ID],$Q$4,RawData[[Error Type ]],$Q$5))</f>
        <v/>
      </c>
    </row>
    <row r="18220" spans="15:15" x14ac:dyDescent="0.25">
      <c r="O18220" s="20" t="str">
        <f>IF(N18220="","",COUNTIFS(RawData[[Date ]],N18220,RawData[Month List],$Q$6,RawData[Tour/Site],$Q$2,RawData[[Picker ID ]],$Q$3,RawData[Checker ID],$Q$4,RawData[[Error Type ]],$Q$5))</f>
        <v/>
      </c>
    </row>
    <row r="18221" spans="15:15" x14ac:dyDescent="0.25">
      <c r="O18221" s="20" t="str">
        <f>IF(N18221="","",COUNTIFS(RawData[[Date ]],N18221,RawData[Month List],$Q$6,RawData[Tour/Site],$Q$2,RawData[[Picker ID ]],$Q$3,RawData[Checker ID],$Q$4,RawData[[Error Type ]],$Q$5))</f>
        <v/>
      </c>
    </row>
    <row r="18222" spans="15:15" x14ac:dyDescent="0.25">
      <c r="O18222" s="20" t="str">
        <f>IF(N18222="","",COUNTIFS(RawData[[Date ]],N18222,RawData[Month List],$Q$6,RawData[Tour/Site],$Q$2,RawData[[Picker ID ]],$Q$3,RawData[Checker ID],$Q$4,RawData[[Error Type ]],$Q$5))</f>
        <v/>
      </c>
    </row>
    <row r="18223" spans="15:15" x14ac:dyDescent="0.25">
      <c r="O18223" s="20" t="str">
        <f>IF(N18223="","",COUNTIFS(RawData[[Date ]],N18223,RawData[Month List],$Q$6,RawData[Tour/Site],$Q$2,RawData[[Picker ID ]],$Q$3,RawData[Checker ID],$Q$4,RawData[[Error Type ]],$Q$5))</f>
        <v/>
      </c>
    </row>
    <row r="18224" spans="15:15" x14ac:dyDescent="0.25">
      <c r="O18224" s="20" t="str">
        <f>IF(N18224="","",COUNTIFS(RawData[[Date ]],N18224,RawData[Month List],$Q$6,RawData[Tour/Site],$Q$2,RawData[[Picker ID ]],$Q$3,RawData[Checker ID],$Q$4,RawData[[Error Type ]],$Q$5))</f>
        <v/>
      </c>
    </row>
    <row r="18225" spans="15:15" x14ac:dyDescent="0.25">
      <c r="O18225" s="20" t="str">
        <f>IF(N18225="","",COUNTIFS(RawData[[Date ]],N18225,RawData[Month List],$Q$6,RawData[Tour/Site],$Q$2,RawData[[Picker ID ]],$Q$3,RawData[Checker ID],$Q$4,RawData[[Error Type ]],$Q$5))</f>
        <v/>
      </c>
    </row>
    <row r="18226" spans="15:15" x14ac:dyDescent="0.25">
      <c r="O18226" s="20" t="str">
        <f>IF(N18226="","",COUNTIFS(RawData[[Date ]],N18226,RawData[Month List],$Q$6,RawData[Tour/Site],$Q$2,RawData[[Picker ID ]],$Q$3,RawData[Checker ID],$Q$4,RawData[[Error Type ]],$Q$5))</f>
        <v/>
      </c>
    </row>
    <row r="18227" spans="15:15" x14ac:dyDescent="0.25">
      <c r="O18227" s="20" t="str">
        <f>IF(N18227="","",COUNTIFS(RawData[[Date ]],N18227,RawData[Month List],$Q$6,RawData[Tour/Site],$Q$2,RawData[[Picker ID ]],$Q$3,RawData[Checker ID],$Q$4,RawData[[Error Type ]],$Q$5))</f>
        <v/>
      </c>
    </row>
    <row r="18228" spans="15:15" x14ac:dyDescent="0.25">
      <c r="O18228" s="20" t="str">
        <f>IF(N18228="","",COUNTIFS(RawData[[Date ]],N18228,RawData[Month List],$Q$6,RawData[Tour/Site],$Q$2,RawData[[Picker ID ]],$Q$3,RawData[Checker ID],$Q$4,RawData[[Error Type ]],$Q$5))</f>
        <v/>
      </c>
    </row>
    <row r="18229" spans="15:15" x14ac:dyDescent="0.25">
      <c r="O18229" s="20" t="str">
        <f>IF(N18229="","",COUNTIFS(RawData[[Date ]],N18229,RawData[Month List],$Q$6,RawData[Tour/Site],$Q$2,RawData[[Picker ID ]],$Q$3,RawData[Checker ID],$Q$4,RawData[[Error Type ]],$Q$5))</f>
        <v/>
      </c>
    </row>
    <row r="18230" spans="15:15" x14ac:dyDescent="0.25">
      <c r="O18230" s="20" t="str">
        <f>IF(N18230="","",COUNTIFS(RawData[[Date ]],N18230,RawData[Month List],$Q$6,RawData[Tour/Site],$Q$2,RawData[[Picker ID ]],$Q$3,RawData[Checker ID],$Q$4,RawData[[Error Type ]],$Q$5))</f>
        <v/>
      </c>
    </row>
    <row r="18231" spans="15:15" x14ac:dyDescent="0.25">
      <c r="O18231" s="20" t="str">
        <f>IF(N18231="","",COUNTIFS(RawData[[Date ]],N18231,RawData[Month List],$Q$6,RawData[Tour/Site],$Q$2,RawData[[Picker ID ]],$Q$3,RawData[Checker ID],$Q$4,RawData[[Error Type ]],$Q$5))</f>
        <v/>
      </c>
    </row>
    <row r="18232" spans="15:15" x14ac:dyDescent="0.25">
      <c r="O18232" s="20" t="str">
        <f>IF(N18232="","",COUNTIFS(RawData[[Date ]],N18232,RawData[Month List],$Q$6,RawData[Tour/Site],$Q$2,RawData[[Picker ID ]],$Q$3,RawData[Checker ID],$Q$4,RawData[[Error Type ]],$Q$5))</f>
        <v/>
      </c>
    </row>
    <row r="18233" spans="15:15" x14ac:dyDescent="0.25">
      <c r="O18233" s="20" t="str">
        <f>IF(N18233="","",COUNTIFS(RawData[[Date ]],N18233,RawData[Month List],$Q$6,RawData[Tour/Site],$Q$2,RawData[[Picker ID ]],$Q$3,RawData[Checker ID],$Q$4,RawData[[Error Type ]],$Q$5))</f>
        <v/>
      </c>
    </row>
    <row r="18234" spans="15:15" x14ac:dyDescent="0.25">
      <c r="O18234" s="20" t="str">
        <f>IF(N18234="","",COUNTIFS(RawData[[Date ]],N18234,RawData[Month List],$Q$6,RawData[Tour/Site],$Q$2,RawData[[Picker ID ]],$Q$3,RawData[Checker ID],$Q$4,RawData[[Error Type ]],$Q$5))</f>
        <v/>
      </c>
    </row>
    <row r="18235" spans="15:15" x14ac:dyDescent="0.25">
      <c r="O18235" s="20" t="str">
        <f>IF(N18235="","",COUNTIFS(RawData[[Date ]],N18235,RawData[Month List],$Q$6,RawData[Tour/Site],$Q$2,RawData[[Picker ID ]],$Q$3,RawData[Checker ID],$Q$4,RawData[[Error Type ]],$Q$5))</f>
        <v/>
      </c>
    </row>
    <row r="18236" spans="15:15" x14ac:dyDescent="0.25">
      <c r="O18236" s="20" t="str">
        <f>IF(N18236="","",COUNTIFS(RawData[[Date ]],N18236,RawData[Month List],$Q$6,RawData[Tour/Site],$Q$2,RawData[[Picker ID ]],$Q$3,RawData[Checker ID],$Q$4,RawData[[Error Type ]],$Q$5))</f>
        <v/>
      </c>
    </row>
    <row r="18237" spans="15:15" x14ac:dyDescent="0.25">
      <c r="O18237" s="20" t="str">
        <f>IF(N18237="","",COUNTIFS(RawData[[Date ]],N18237,RawData[Month List],$Q$6,RawData[Tour/Site],$Q$2,RawData[[Picker ID ]],$Q$3,RawData[Checker ID],$Q$4,RawData[[Error Type ]],$Q$5))</f>
        <v/>
      </c>
    </row>
    <row r="18238" spans="15:15" x14ac:dyDescent="0.25">
      <c r="O18238" s="20" t="str">
        <f>IF(N18238="","",COUNTIFS(RawData[[Date ]],N18238,RawData[Month List],$Q$6,RawData[Tour/Site],$Q$2,RawData[[Picker ID ]],$Q$3,RawData[Checker ID],$Q$4,RawData[[Error Type ]],$Q$5))</f>
        <v/>
      </c>
    </row>
    <row r="18239" spans="15:15" x14ac:dyDescent="0.25">
      <c r="O18239" s="20" t="str">
        <f>IF(N18239="","",COUNTIFS(RawData[[Date ]],N18239,RawData[Month List],$Q$6,RawData[Tour/Site],$Q$2,RawData[[Picker ID ]],$Q$3,RawData[Checker ID],$Q$4,RawData[[Error Type ]],$Q$5))</f>
        <v/>
      </c>
    </row>
    <row r="18240" spans="15:15" x14ac:dyDescent="0.25">
      <c r="O18240" s="20" t="str">
        <f>IF(N18240="","",COUNTIFS(RawData[[Date ]],N18240,RawData[Month List],$Q$6,RawData[Tour/Site],$Q$2,RawData[[Picker ID ]],$Q$3,RawData[Checker ID],$Q$4,RawData[[Error Type ]],$Q$5))</f>
        <v/>
      </c>
    </row>
    <row r="18241" spans="15:15" x14ac:dyDescent="0.25">
      <c r="O18241" s="20" t="str">
        <f>IF(N18241="","",COUNTIFS(RawData[[Date ]],N18241,RawData[Month List],$Q$6,RawData[Tour/Site],$Q$2,RawData[[Picker ID ]],$Q$3,RawData[Checker ID],$Q$4,RawData[[Error Type ]],$Q$5))</f>
        <v/>
      </c>
    </row>
    <row r="18242" spans="15:15" x14ac:dyDescent="0.25">
      <c r="O18242" s="20" t="str">
        <f>IF(N18242="","",COUNTIFS(RawData[[Date ]],N18242,RawData[Month List],$Q$6,RawData[Tour/Site],$Q$2,RawData[[Picker ID ]],$Q$3,RawData[Checker ID],$Q$4,RawData[[Error Type ]],$Q$5))</f>
        <v/>
      </c>
    </row>
    <row r="18243" spans="15:15" x14ac:dyDescent="0.25">
      <c r="O18243" s="20" t="str">
        <f>IF(N18243="","",COUNTIFS(RawData[[Date ]],N18243,RawData[Month List],$Q$6,RawData[Tour/Site],$Q$2,RawData[[Picker ID ]],$Q$3,RawData[Checker ID],$Q$4,RawData[[Error Type ]],$Q$5))</f>
        <v/>
      </c>
    </row>
    <row r="18244" spans="15:15" x14ac:dyDescent="0.25">
      <c r="O18244" s="20" t="str">
        <f>IF(N18244="","",COUNTIFS(RawData[[Date ]],N18244,RawData[Month List],$Q$6,RawData[Tour/Site],$Q$2,RawData[[Picker ID ]],$Q$3,RawData[Checker ID],$Q$4,RawData[[Error Type ]],$Q$5))</f>
        <v/>
      </c>
    </row>
    <row r="18245" spans="15:15" x14ac:dyDescent="0.25">
      <c r="O18245" s="20" t="str">
        <f>IF(N18245="","",COUNTIFS(RawData[[Date ]],N18245,RawData[Month List],$Q$6,RawData[Tour/Site],$Q$2,RawData[[Picker ID ]],$Q$3,RawData[Checker ID],$Q$4,RawData[[Error Type ]],$Q$5))</f>
        <v/>
      </c>
    </row>
    <row r="18246" spans="15:15" x14ac:dyDescent="0.25">
      <c r="O18246" s="20" t="str">
        <f>IF(N18246="","",COUNTIFS(RawData[[Date ]],N18246,RawData[Month List],$Q$6,RawData[Tour/Site],$Q$2,RawData[[Picker ID ]],$Q$3,RawData[Checker ID],$Q$4,RawData[[Error Type ]],$Q$5))</f>
        <v/>
      </c>
    </row>
    <row r="18247" spans="15:15" x14ac:dyDescent="0.25">
      <c r="O18247" s="20" t="str">
        <f>IF(N18247="","",COUNTIFS(RawData[[Date ]],N18247,RawData[Month List],$Q$6,RawData[Tour/Site],$Q$2,RawData[[Picker ID ]],$Q$3,RawData[Checker ID],$Q$4,RawData[[Error Type ]],$Q$5))</f>
        <v/>
      </c>
    </row>
    <row r="18248" spans="15:15" x14ac:dyDescent="0.25">
      <c r="O18248" s="20" t="str">
        <f>IF(N18248="","",COUNTIFS(RawData[[Date ]],N18248,RawData[Month List],$Q$6,RawData[Tour/Site],$Q$2,RawData[[Picker ID ]],$Q$3,RawData[Checker ID],$Q$4,RawData[[Error Type ]],$Q$5))</f>
        <v/>
      </c>
    </row>
    <row r="18249" spans="15:15" x14ac:dyDescent="0.25">
      <c r="O18249" s="20" t="str">
        <f>IF(N18249="","",COUNTIFS(RawData[[Date ]],N18249,RawData[Month List],$Q$6,RawData[Tour/Site],$Q$2,RawData[[Picker ID ]],$Q$3,RawData[Checker ID],$Q$4,RawData[[Error Type ]],$Q$5))</f>
        <v/>
      </c>
    </row>
    <row r="18250" spans="15:15" x14ac:dyDescent="0.25">
      <c r="O18250" s="20" t="str">
        <f>IF(N18250="","",COUNTIFS(RawData[[Date ]],N18250,RawData[Month List],$Q$6,RawData[Tour/Site],$Q$2,RawData[[Picker ID ]],$Q$3,RawData[Checker ID],$Q$4,RawData[[Error Type ]],$Q$5))</f>
        <v/>
      </c>
    </row>
    <row r="18251" spans="15:15" x14ac:dyDescent="0.25">
      <c r="O18251" s="20" t="str">
        <f>IF(N18251="","",COUNTIFS(RawData[[Date ]],N18251,RawData[Month List],$Q$6,RawData[Tour/Site],$Q$2,RawData[[Picker ID ]],$Q$3,RawData[Checker ID],$Q$4,RawData[[Error Type ]],$Q$5))</f>
        <v/>
      </c>
    </row>
    <row r="18252" spans="15:15" x14ac:dyDescent="0.25">
      <c r="O18252" s="20" t="str">
        <f>IF(N18252="","",COUNTIFS(RawData[[Date ]],N18252,RawData[Month List],$Q$6,RawData[Tour/Site],$Q$2,RawData[[Picker ID ]],$Q$3,RawData[Checker ID],$Q$4,RawData[[Error Type ]],$Q$5))</f>
        <v/>
      </c>
    </row>
    <row r="18253" spans="15:15" x14ac:dyDescent="0.25">
      <c r="O18253" s="20" t="str">
        <f>IF(N18253="","",COUNTIFS(RawData[[Date ]],N18253,RawData[Month List],$Q$6,RawData[Tour/Site],$Q$2,RawData[[Picker ID ]],$Q$3,RawData[Checker ID],$Q$4,RawData[[Error Type ]],$Q$5))</f>
        <v/>
      </c>
    </row>
    <row r="18254" spans="15:15" x14ac:dyDescent="0.25">
      <c r="O18254" s="20" t="str">
        <f>IF(N18254="","",COUNTIFS(RawData[[Date ]],N18254,RawData[Month List],$Q$6,RawData[Tour/Site],$Q$2,RawData[[Picker ID ]],$Q$3,RawData[Checker ID],$Q$4,RawData[[Error Type ]],$Q$5))</f>
        <v/>
      </c>
    </row>
    <row r="18255" spans="15:15" x14ac:dyDescent="0.25">
      <c r="O18255" s="20" t="str">
        <f>IF(N18255="","",COUNTIFS(RawData[[Date ]],N18255,RawData[Month List],$Q$6,RawData[Tour/Site],$Q$2,RawData[[Picker ID ]],$Q$3,RawData[Checker ID],$Q$4,RawData[[Error Type ]],$Q$5))</f>
        <v/>
      </c>
    </row>
    <row r="18256" spans="15:15" x14ac:dyDescent="0.25">
      <c r="O18256" s="20" t="str">
        <f>IF(N18256="","",COUNTIFS(RawData[[Date ]],N18256,RawData[Month List],$Q$6,RawData[Tour/Site],$Q$2,RawData[[Picker ID ]],$Q$3,RawData[Checker ID],$Q$4,RawData[[Error Type ]],$Q$5))</f>
        <v/>
      </c>
    </row>
    <row r="18257" spans="15:15" x14ac:dyDescent="0.25">
      <c r="O18257" s="20" t="str">
        <f>IF(N18257="","",COUNTIFS(RawData[[Date ]],N18257,RawData[Month List],$Q$6,RawData[Tour/Site],$Q$2,RawData[[Picker ID ]],$Q$3,RawData[Checker ID],$Q$4,RawData[[Error Type ]],$Q$5))</f>
        <v/>
      </c>
    </row>
    <row r="18258" spans="15:15" x14ac:dyDescent="0.25">
      <c r="O18258" s="20" t="str">
        <f>IF(N18258="","",COUNTIFS(RawData[[Date ]],N18258,RawData[Month List],$Q$6,RawData[Tour/Site],$Q$2,RawData[[Picker ID ]],$Q$3,RawData[Checker ID],$Q$4,RawData[[Error Type ]],$Q$5))</f>
        <v/>
      </c>
    </row>
    <row r="18259" spans="15:15" x14ac:dyDescent="0.25">
      <c r="O18259" s="20" t="str">
        <f>IF(N18259="","",COUNTIFS(RawData[[Date ]],N18259,RawData[Month List],$Q$6,RawData[Tour/Site],$Q$2,RawData[[Picker ID ]],$Q$3,RawData[Checker ID],$Q$4,RawData[[Error Type ]],$Q$5))</f>
        <v/>
      </c>
    </row>
    <row r="18260" spans="15:15" x14ac:dyDescent="0.25">
      <c r="O18260" s="20" t="str">
        <f>IF(N18260="","",COUNTIFS(RawData[[Date ]],N18260,RawData[Month List],$Q$6,RawData[Tour/Site],$Q$2,RawData[[Picker ID ]],$Q$3,RawData[Checker ID],$Q$4,RawData[[Error Type ]],$Q$5))</f>
        <v/>
      </c>
    </row>
    <row r="18261" spans="15:15" x14ac:dyDescent="0.25">
      <c r="O18261" s="20" t="str">
        <f>IF(N18261="","",COUNTIFS(RawData[[Date ]],N18261,RawData[Month List],$Q$6,RawData[Tour/Site],$Q$2,RawData[[Picker ID ]],$Q$3,RawData[Checker ID],$Q$4,RawData[[Error Type ]],$Q$5))</f>
        <v/>
      </c>
    </row>
    <row r="18262" spans="15:15" x14ac:dyDescent="0.25">
      <c r="O18262" s="20" t="str">
        <f>IF(N18262="","",COUNTIFS(RawData[[Date ]],N18262,RawData[Month List],$Q$6,RawData[Tour/Site],$Q$2,RawData[[Picker ID ]],$Q$3,RawData[Checker ID],$Q$4,RawData[[Error Type ]],$Q$5))</f>
        <v/>
      </c>
    </row>
    <row r="18263" spans="15:15" x14ac:dyDescent="0.25">
      <c r="O18263" s="20" t="str">
        <f>IF(N18263="","",COUNTIFS(RawData[[Date ]],N18263,RawData[Month List],$Q$6,RawData[Tour/Site],$Q$2,RawData[[Picker ID ]],$Q$3,RawData[Checker ID],$Q$4,RawData[[Error Type ]],$Q$5))</f>
        <v/>
      </c>
    </row>
    <row r="18264" spans="15:15" x14ac:dyDescent="0.25">
      <c r="O18264" s="20" t="str">
        <f>IF(N18264="","",COUNTIFS(RawData[[Date ]],N18264,RawData[Month List],$Q$6,RawData[Tour/Site],$Q$2,RawData[[Picker ID ]],$Q$3,RawData[Checker ID],$Q$4,RawData[[Error Type ]],$Q$5))</f>
        <v/>
      </c>
    </row>
    <row r="18265" spans="15:15" x14ac:dyDescent="0.25">
      <c r="O18265" s="20" t="str">
        <f>IF(N18265="","",COUNTIFS(RawData[[Date ]],N18265,RawData[Month List],$Q$6,RawData[Tour/Site],$Q$2,RawData[[Picker ID ]],$Q$3,RawData[Checker ID],$Q$4,RawData[[Error Type ]],$Q$5))</f>
        <v/>
      </c>
    </row>
    <row r="18266" spans="15:15" x14ac:dyDescent="0.25">
      <c r="O18266" s="20" t="str">
        <f>IF(N18266="","",COUNTIFS(RawData[[Date ]],N18266,RawData[Month List],$Q$6,RawData[Tour/Site],$Q$2,RawData[[Picker ID ]],$Q$3,RawData[Checker ID],$Q$4,RawData[[Error Type ]],$Q$5))</f>
        <v/>
      </c>
    </row>
    <row r="18267" spans="15:15" x14ac:dyDescent="0.25">
      <c r="O18267" s="20" t="str">
        <f>IF(N18267="","",COUNTIFS(RawData[[Date ]],N18267,RawData[Month List],$Q$6,RawData[Tour/Site],$Q$2,RawData[[Picker ID ]],$Q$3,RawData[Checker ID],$Q$4,RawData[[Error Type ]],$Q$5))</f>
        <v/>
      </c>
    </row>
    <row r="18268" spans="15:15" x14ac:dyDescent="0.25">
      <c r="O18268" s="20" t="str">
        <f>IF(N18268="","",COUNTIFS(RawData[[Date ]],N18268,RawData[Month List],$Q$6,RawData[Tour/Site],$Q$2,RawData[[Picker ID ]],$Q$3,RawData[Checker ID],$Q$4,RawData[[Error Type ]],$Q$5))</f>
        <v/>
      </c>
    </row>
    <row r="18269" spans="15:15" x14ac:dyDescent="0.25">
      <c r="O18269" s="20" t="str">
        <f>IF(N18269="","",COUNTIFS(RawData[[Date ]],N18269,RawData[Month List],$Q$6,RawData[Tour/Site],$Q$2,RawData[[Picker ID ]],$Q$3,RawData[Checker ID],$Q$4,RawData[[Error Type ]],$Q$5))</f>
        <v/>
      </c>
    </row>
    <row r="18270" spans="15:15" x14ac:dyDescent="0.25">
      <c r="O18270" s="20" t="str">
        <f>IF(N18270="","",COUNTIFS(RawData[[Date ]],N18270,RawData[Month List],$Q$6,RawData[Tour/Site],$Q$2,RawData[[Picker ID ]],$Q$3,RawData[Checker ID],$Q$4,RawData[[Error Type ]],$Q$5))</f>
        <v/>
      </c>
    </row>
    <row r="18271" spans="15:15" x14ac:dyDescent="0.25">
      <c r="O18271" s="20" t="str">
        <f>IF(N18271="","",COUNTIFS(RawData[[Date ]],N18271,RawData[Month List],$Q$6,RawData[Tour/Site],$Q$2,RawData[[Picker ID ]],$Q$3,RawData[Checker ID],$Q$4,RawData[[Error Type ]],$Q$5))</f>
        <v/>
      </c>
    </row>
    <row r="18272" spans="15:15" x14ac:dyDescent="0.25">
      <c r="O18272" s="20" t="str">
        <f>IF(N18272="","",COUNTIFS(RawData[[Date ]],N18272,RawData[Month List],$Q$6,RawData[Tour/Site],$Q$2,RawData[[Picker ID ]],$Q$3,RawData[Checker ID],$Q$4,RawData[[Error Type ]],$Q$5))</f>
        <v/>
      </c>
    </row>
    <row r="18273" spans="15:15" x14ac:dyDescent="0.25">
      <c r="O18273" s="20" t="str">
        <f>IF(N18273="","",COUNTIFS(RawData[[Date ]],N18273,RawData[Month List],$Q$6,RawData[Tour/Site],$Q$2,RawData[[Picker ID ]],$Q$3,RawData[Checker ID],$Q$4,RawData[[Error Type ]],$Q$5))</f>
        <v/>
      </c>
    </row>
    <row r="18274" spans="15:15" x14ac:dyDescent="0.25">
      <c r="O18274" s="20" t="str">
        <f>IF(N18274="","",COUNTIFS(RawData[[Date ]],N18274,RawData[Month List],$Q$6,RawData[Tour/Site],$Q$2,RawData[[Picker ID ]],$Q$3,RawData[Checker ID],$Q$4,RawData[[Error Type ]],$Q$5))</f>
        <v/>
      </c>
    </row>
    <row r="18275" spans="15:15" x14ac:dyDescent="0.25">
      <c r="O18275" s="20" t="str">
        <f>IF(N18275="","",COUNTIFS(RawData[[Date ]],N18275,RawData[Month List],$Q$6,RawData[Tour/Site],$Q$2,RawData[[Picker ID ]],$Q$3,RawData[Checker ID],$Q$4,RawData[[Error Type ]],$Q$5))</f>
        <v/>
      </c>
    </row>
    <row r="18276" spans="15:15" x14ac:dyDescent="0.25">
      <c r="O18276" s="20" t="str">
        <f>IF(N18276="","",COUNTIFS(RawData[[Date ]],N18276,RawData[Month List],$Q$6,RawData[Tour/Site],$Q$2,RawData[[Picker ID ]],$Q$3,RawData[Checker ID],$Q$4,RawData[[Error Type ]],$Q$5))</f>
        <v/>
      </c>
    </row>
    <row r="18277" spans="15:15" x14ac:dyDescent="0.25">
      <c r="O18277" s="20" t="str">
        <f>IF(N18277="","",COUNTIFS(RawData[[Date ]],N18277,RawData[Month List],$Q$6,RawData[Tour/Site],$Q$2,RawData[[Picker ID ]],$Q$3,RawData[Checker ID],$Q$4,RawData[[Error Type ]],$Q$5))</f>
        <v/>
      </c>
    </row>
    <row r="18278" spans="15:15" x14ac:dyDescent="0.25">
      <c r="O18278" s="20" t="str">
        <f>IF(N18278="","",COUNTIFS(RawData[[Date ]],N18278,RawData[Month List],$Q$6,RawData[Tour/Site],$Q$2,RawData[[Picker ID ]],$Q$3,RawData[Checker ID],$Q$4,RawData[[Error Type ]],$Q$5))</f>
        <v/>
      </c>
    </row>
    <row r="18279" spans="15:15" x14ac:dyDescent="0.25">
      <c r="O18279" s="20" t="str">
        <f>IF(N18279="","",COUNTIFS(RawData[[Date ]],N18279,RawData[Month List],$Q$6,RawData[Tour/Site],$Q$2,RawData[[Picker ID ]],$Q$3,RawData[Checker ID],$Q$4,RawData[[Error Type ]],$Q$5))</f>
        <v/>
      </c>
    </row>
    <row r="18280" spans="15:15" x14ac:dyDescent="0.25">
      <c r="O18280" s="20" t="str">
        <f>IF(N18280="","",COUNTIFS(RawData[[Date ]],N18280,RawData[Month List],$Q$6,RawData[Tour/Site],$Q$2,RawData[[Picker ID ]],$Q$3,RawData[Checker ID],$Q$4,RawData[[Error Type ]],$Q$5))</f>
        <v/>
      </c>
    </row>
    <row r="18281" spans="15:15" x14ac:dyDescent="0.25">
      <c r="O18281" s="20" t="str">
        <f>IF(N18281="","",COUNTIFS(RawData[[Date ]],N18281,RawData[Month List],$Q$6,RawData[Tour/Site],$Q$2,RawData[[Picker ID ]],$Q$3,RawData[Checker ID],$Q$4,RawData[[Error Type ]],$Q$5))</f>
        <v/>
      </c>
    </row>
    <row r="18282" spans="15:15" x14ac:dyDescent="0.25">
      <c r="O18282" s="20" t="str">
        <f>IF(N18282="","",COUNTIFS(RawData[[Date ]],N18282,RawData[Month List],$Q$6,RawData[Tour/Site],$Q$2,RawData[[Picker ID ]],$Q$3,RawData[Checker ID],$Q$4,RawData[[Error Type ]],$Q$5))</f>
        <v/>
      </c>
    </row>
    <row r="18283" spans="15:15" x14ac:dyDescent="0.25">
      <c r="O18283" s="20" t="str">
        <f>IF(N18283="","",COUNTIFS(RawData[[Date ]],N18283,RawData[Month List],$Q$6,RawData[Tour/Site],$Q$2,RawData[[Picker ID ]],$Q$3,RawData[Checker ID],$Q$4,RawData[[Error Type ]],$Q$5))</f>
        <v/>
      </c>
    </row>
    <row r="18284" spans="15:15" x14ac:dyDescent="0.25">
      <c r="O18284" s="20" t="str">
        <f>IF(N18284="","",COUNTIFS(RawData[[Date ]],N18284,RawData[Month List],$Q$6,RawData[Tour/Site],$Q$2,RawData[[Picker ID ]],$Q$3,RawData[Checker ID],$Q$4,RawData[[Error Type ]],$Q$5))</f>
        <v/>
      </c>
    </row>
    <row r="18285" spans="15:15" x14ac:dyDescent="0.25">
      <c r="O18285" s="20" t="str">
        <f>IF(N18285="","",COUNTIFS(RawData[[Date ]],N18285,RawData[Month List],$Q$6,RawData[Tour/Site],$Q$2,RawData[[Picker ID ]],$Q$3,RawData[Checker ID],$Q$4,RawData[[Error Type ]],$Q$5))</f>
        <v/>
      </c>
    </row>
    <row r="18286" spans="15:15" x14ac:dyDescent="0.25">
      <c r="O18286" s="20" t="str">
        <f>IF(N18286="","",COUNTIFS(RawData[[Date ]],N18286,RawData[Month List],$Q$6,RawData[Tour/Site],$Q$2,RawData[[Picker ID ]],$Q$3,RawData[Checker ID],$Q$4,RawData[[Error Type ]],$Q$5))</f>
        <v/>
      </c>
    </row>
    <row r="18287" spans="15:15" x14ac:dyDescent="0.25">
      <c r="O18287" s="20" t="str">
        <f>IF(N18287="","",COUNTIFS(RawData[[Date ]],N18287,RawData[Month List],$Q$6,RawData[Tour/Site],$Q$2,RawData[[Picker ID ]],$Q$3,RawData[Checker ID],$Q$4,RawData[[Error Type ]],$Q$5))</f>
        <v/>
      </c>
    </row>
    <row r="18288" spans="15:15" x14ac:dyDescent="0.25">
      <c r="O18288" s="20" t="str">
        <f>IF(N18288="","",COUNTIFS(RawData[[Date ]],N18288,RawData[Month List],$Q$6,RawData[Tour/Site],$Q$2,RawData[[Picker ID ]],$Q$3,RawData[Checker ID],$Q$4,RawData[[Error Type ]],$Q$5))</f>
        <v/>
      </c>
    </row>
    <row r="18289" spans="15:15" x14ac:dyDescent="0.25">
      <c r="O18289" s="20" t="str">
        <f>IF(N18289="","",COUNTIFS(RawData[[Date ]],N18289,RawData[Month List],$Q$6,RawData[Tour/Site],$Q$2,RawData[[Picker ID ]],$Q$3,RawData[Checker ID],$Q$4,RawData[[Error Type ]],$Q$5))</f>
        <v/>
      </c>
    </row>
    <row r="18290" spans="15:15" x14ac:dyDescent="0.25">
      <c r="O18290" s="20" t="str">
        <f>IF(N18290="","",COUNTIFS(RawData[[Date ]],N18290,RawData[Month List],$Q$6,RawData[Tour/Site],$Q$2,RawData[[Picker ID ]],$Q$3,RawData[Checker ID],$Q$4,RawData[[Error Type ]],$Q$5))</f>
        <v/>
      </c>
    </row>
    <row r="18291" spans="15:15" x14ac:dyDescent="0.25">
      <c r="O18291" s="20" t="str">
        <f>IF(N18291="","",COUNTIFS(RawData[[Date ]],N18291,RawData[Month List],$Q$6,RawData[Tour/Site],$Q$2,RawData[[Picker ID ]],$Q$3,RawData[Checker ID],$Q$4,RawData[[Error Type ]],$Q$5))</f>
        <v/>
      </c>
    </row>
    <row r="18292" spans="15:15" x14ac:dyDescent="0.25">
      <c r="O18292" s="20" t="str">
        <f>IF(N18292="","",COUNTIFS(RawData[[Date ]],N18292,RawData[Month List],$Q$6,RawData[Tour/Site],$Q$2,RawData[[Picker ID ]],$Q$3,RawData[Checker ID],$Q$4,RawData[[Error Type ]],$Q$5))</f>
        <v/>
      </c>
    </row>
    <row r="18293" spans="15:15" x14ac:dyDescent="0.25">
      <c r="O18293" s="20" t="str">
        <f>IF(N18293="","",COUNTIFS(RawData[[Date ]],N18293,RawData[Month List],$Q$6,RawData[Tour/Site],$Q$2,RawData[[Picker ID ]],$Q$3,RawData[Checker ID],$Q$4,RawData[[Error Type ]],$Q$5))</f>
        <v/>
      </c>
    </row>
    <row r="18294" spans="15:15" x14ac:dyDescent="0.25">
      <c r="O18294" s="20" t="str">
        <f>IF(N18294="","",COUNTIFS(RawData[[Date ]],N18294,RawData[Month List],$Q$6,RawData[Tour/Site],$Q$2,RawData[[Picker ID ]],$Q$3,RawData[Checker ID],$Q$4,RawData[[Error Type ]],$Q$5))</f>
        <v/>
      </c>
    </row>
    <row r="18295" spans="15:15" x14ac:dyDescent="0.25">
      <c r="O18295" s="20" t="str">
        <f>IF(N18295="","",COUNTIFS(RawData[[Date ]],N18295,RawData[Month List],$Q$6,RawData[Tour/Site],$Q$2,RawData[[Picker ID ]],$Q$3,RawData[Checker ID],$Q$4,RawData[[Error Type ]],$Q$5))</f>
        <v/>
      </c>
    </row>
    <row r="18296" spans="15:15" x14ac:dyDescent="0.25">
      <c r="O18296" s="20" t="str">
        <f>IF(N18296="","",COUNTIFS(RawData[[Date ]],N18296,RawData[Month List],$Q$6,RawData[Tour/Site],$Q$2,RawData[[Picker ID ]],$Q$3,RawData[Checker ID],$Q$4,RawData[[Error Type ]],$Q$5))</f>
        <v/>
      </c>
    </row>
    <row r="18297" spans="15:15" x14ac:dyDescent="0.25">
      <c r="O18297" s="20" t="str">
        <f>IF(N18297="","",COUNTIFS(RawData[[Date ]],N18297,RawData[Month List],$Q$6,RawData[Tour/Site],$Q$2,RawData[[Picker ID ]],$Q$3,RawData[Checker ID],$Q$4,RawData[[Error Type ]],$Q$5))</f>
        <v/>
      </c>
    </row>
    <row r="18298" spans="15:15" x14ac:dyDescent="0.25">
      <c r="O18298" s="20" t="str">
        <f>IF(N18298="","",COUNTIFS(RawData[[Date ]],N18298,RawData[Month List],$Q$6,RawData[Tour/Site],$Q$2,RawData[[Picker ID ]],$Q$3,RawData[Checker ID],$Q$4,RawData[[Error Type ]],$Q$5))</f>
        <v/>
      </c>
    </row>
    <row r="18299" spans="15:15" x14ac:dyDescent="0.25">
      <c r="O18299" s="20" t="str">
        <f>IF(N18299="","",COUNTIFS(RawData[[Date ]],N18299,RawData[Month List],$Q$6,RawData[Tour/Site],$Q$2,RawData[[Picker ID ]],$Q$3,RawData[Checker ID],$Q$4,RawData[[Error Type ]],$Q$5))</f>
        <v/>
      </c>
    </row>
    <row r="18300" spans="15:15" x14ac:dyDescent="0.25">
      <c r="O18300" s="20" t="str">
        <f>IF(N18300="","",COUNTIFS(RawData[[Date ]],N18300,RawData[Month List],$Q$6,RawData[Tour/Site],$Q$2,RawData[[Picker ID ]],$Q$3,RawData[Checker ID],$Q$4,RawData[[Error Type ]],$Q$5))</f>
        <v/>
      </c>
    </row>
    <row r="18301" spans="15:15" x14ac:dyDescent="0.25">
      <c r="O18301" s="20" t="str">
        <f>IF(N18301="","",COUNTIFS(RawData[[Date ]],N18301,RawData[Month List],$Q$6,RawData[Tour/Site],$Q$2,RawData[[Picker ID ]],$Q$3,RawData[Checker ID],$Q$4,RawData[[Error Type ]],$Q$5))</f>
        <v/>
      </c>
    </row>
    <row r="18302" spans="15:15" x14ac:dyDescent="0.25">
      <c r="O18302" s="20" t="str">
        <f>IF(N18302="","",COUNTIFS(RawData[[Date ]],N18302,RawData[Month List],$Q$6,RawData[Tour/Site],$Q$2,RawData[[Picker ID ]],$Q$3,RawData[Checker ID],$Q$4,RawData[[Error Type ]],$Q$5))</f>
        <v/>
      </c>
    </row>
    <row r="18303" spans="15:15" x14ac:dyDescent="0.25">
      <c r="O18303" s="20" t="str">
        <f>IF(N18303="","",COUNTIFS(RawData[[Date ]],N18303,RawData[Month List],$Q$6,RawData[Tour/Site],$Q$2,RawData[[Picker ID ]],$Q$3,RawData[Checker ID],$Q$4,RawData[[Error Type ]],$Q$5))</f>
        <v/>
      </c>
    </row>
    <row r="18304" spans="15:15" x14ac:dyDescent="0.25">
      <c r="O18304" s="20" t="str">
        <f>IF(N18304="","",COUNTIFS(RawData[[Date ]],N18304,RawData[Month List],$Q$6,RawData[Tour/Site],$Q$2,RawData[[Picker ID ]],$Q$3,RawData[Checker ID],$Q$4,RawData[[Error Type ]],$Q$5))</f>
        <v/>
      </c>
    </row>
    <row r="18305" spans="15:15" x14ac:dyDescent="0.25">
      <c r="O18305" s="20" t="str">
        <f>IF(N18305="","",COUNTIFS(RawData[[Date ]],N18305,RawData[Month List],$Q$6,RawData[Tour/Site],$Q$2,RawData[[Picker ID ]],$Q$3,RawData[Checker ID],$Q$4,RawData[[Error Type ]],$Q$5))</f>
        <v/>
      </c>
    </row>
    <row r="18306" spans="15:15" x14ac:dyDescent="0.25">
      <c r="O18306" s="20" t="str">
        <f>IF(N18306="","",COUNTIFS(RawData[[Date ]],N18306,RawData[Month List],$Q$6,RawData[Tour/Site],$Q$2,RawData[[Picker ID ]],$Q$3,RawData[Checker ID],$Q$4,RawData[[Error Type ]],$Q$5))</f>
        <v/>
      </c>
    </row>
    <row r="18307" spans="15:15" x14ac:dyDescent="0.25">
      <c r="O18307" s="20" t="str">
        <f>IF(N18307="","",COUNTIFS(RawData[[Date ]],N18307,RawData[Month List],$Q$6,RawData[Tour/Site],$Q$2,RawData[[Picker ID ]],$Q$3,RawData[Checker ID],$Q$4,RawData[[Error Type ]],$Q$5))</f>
        <v/>
      </c>
    </row>
    <row r="18308" spans="15:15" x14ac:dyDescent="0.25">
      <c r="O18308" s="20" t="str">
        <f>IF(N18308="","",COUNTIFS(RawData[[Date ]],N18308,RawData[Month List],$Q$6,RawData[Tour/Site],$Q$2,RawData[[Picker ID ]],$Q$3,RawData[Checker ID],$Q$4,RawData[[Error Type ]],$Q$5))</f>
        <v/>
      </c>
    </row>
    <row r="18309" spans="15:15" x14ac:dyDescent="0.25">
      <c r="O18309" s="20" t="str">
        <f>IF(N18309="","",COUNTIFS(RawData[[Date ]],N18309,RawData[Month List],$Q$6,RawData[Tour/Site],$Q$2,RawData[[Picker ID ]],$Q$3,RawData[Checker ID],$Q$4,RawData[[Error Type ]],$Q$5))</f>
        <v/>
      </c>
    </row>
    <row r="18310" spans="15:15" x14ac:dyDescent="0.25">
      <c r="O18310" s="20" t="str">
        <f>IF(N18310="","",COUNTIFS(RawData[[Date ]],N18310,RawData[Month List],$Q$6,RawData[Tour/Site],$Q$2,RawData[[Picker ID ]],$Q$3,RawData[Checker ID],$Q$4,RawData[[Error Type ]],$Q$5))</f>
        <v/>
      </c>
    </row>
    <row r="18311" spans="15:15" x14ac:dyDescent="0.25">
      <c r="O18311" s="20" t="str">
        <f>IF(N18311="","",COUNTIFS(RawData[[Date ]],N18311,RawData[Month List],$Q$6,RawData[Tour/Site],$Q$2,RawData[[Picker ID ]],$Q$3,RawData[Checker ID],$Q$4,RawData[[Error Type ]],$Q$5))</f>
        <v/>
      </c>
    </row>
    <row r="18312" spans="15:15" x14ac:dyDescent="0.25">
      <c r="O18312" s="20" t="str">
        <f>IF(N18312="","",COUNTIFS(RawData[[Date ]],N18312,RawData[Month List],$Q$6,RawData[Tour/Site],$Q$2,RawData[[Picker ID ]],$Q$3,RawData[Checker ID],$Q$4,RawData[[Error Type ]],$Q$5))</f>
        <v/>
      </c>
    </row>
    <row r="18313" spans="15:15" x14ac:dyDescent="0.25">
      <c r="O18313" s="20" t="str">
        <f>IF(N18313="","",COUNTIFS(RawData[[Date ]],N18313,RawData[Month List],$Q$6,RawData[Tour/Site],$Q$2,RawData[[Picker ID ]],$Q$3,RawData[Checker ID],$Q$4,RawData[[Error Type ]],$Q$5))</f>
        <v/>
      </c>
    </row>
    <row r="18314" spans="15:15" x14ac:dyDescent="0.25">
      <c r="O18314" s="20" t="str">
        <f>IF(N18314="","",COUNTIFS(RawData[[Date ]],N18314,RawData[Month List],$Q$6,RawData[Tour/Site],$Q$2,RawData[[Picker ID ]],$Q$3,RawData[Checker ID],$Q$4,RawData[[Error Type ]],$Q$5))</f>
        <v/>
      </c>
    </row>
    <row r="18315" spans="15:15" x14ac:dyDescent="0.25">
      <c r="O18315" s="20" t="str">
        <f>IF(N18315="","",COUNTIFS(RawData[[Date ]],N18315,RawData[Month List],$Q$6,RawData[Tour/Site],$Q$2,RawData[[Picker ID ]],$Q$3,RawData[Checker ID],$Q$4,RawData[[Error Type ]],$Q$5))</f>
        <v/>
      </c>
    </row>
    <row r="18316" spans="15:15" x14ac:dyDescent="0.25">
      <c r="O18316" s="20" t="str">
        <f>IF(N18316="","",COUNTIFS(RawData[[Date ]],N18316,RawData[Month List],$Q$6,RawData[Tour/Site],$Q$2,RawData[[Picker ID ]],$Q$3,RawData[Checker ID],$Q$4,RawData[[Error Type ]],$Q$5))</f>
        <v/>
      </c>
    </row>
    <row r="18317" spans="15:15" x14ac:dyDescent="0.25">
      <c r="O18317" s="20" t="str">
        <f>IF(N18317="","",COUNTIFS(RawData[[Date ]],N18317,RawData[Month List],$Q$6,RawData[Tour/Site],$Q$2,RawData[[Picker ID ]],$Q$3,RawData[Checker ID],$Q$4,RawData[[Error Type ]],$Q$5))</f>
        <v/>
      </c>
    </row>
    <row r="18318" spans="15:15" x14ac:dyDescent="0.25">
      <c r="O18318" s="20" t="str">
        <f>IF(N18318="","",COUNTIFS(RawData[[Date ]],N18318,RawData[Month List],$Q$6,RawData[Tour/Site],$Q$2,RawData[[Picker ID ]],$Q$3,RawData[Checker ID],$Q$4,RawData[[Error Type ]],$Q$5))</f>
        <v/>
      </c>
    </row>
    <row r="18319" spans="15:15" x14ac:dyDescent="0.25">
      <c r="O18319" s="20" t="str">
        <f>IF(N18319="","",COUNTIFS(RawData[[Date ]],N18319,RawData[Month List],$Q$6,RawData[Tour/Site],$Q$2,RawData[[Picker ID ]],$Q$3,RawData[Checker ID],$Q$4,RawData[[Error Type ]],$Q$5))</f>
        <v/>
      </c>
    </row>
    <row r="18320" spans="15:15" x14ac:dyDescent="0.25">
      <c r="O18320" s="20" t="str">
        <f>IF(N18320="","",COUNTIFS(RawData[[Date ]],N18320,RawData[Month List],$Q$6,RawData[Tour/Site],$Q$2,RawData[[Picker ID ]],$Q$3,RawData[Checker ID],$Q$4,RawData[[Error Type ]],$Q$5))</f>
        <v/>
      </c>
    </row>
    <row r="18321" spans="15:15" x14ac:dyDescent="0.25">
      <c r="O18321" s="20" t="str">
        <f>IF(N18321="","",COUNTIFS(RawData[[Date ]],N18321,RawData[Month List],$Q$6,RawData[Tour/Site],$Q$2,RawData[[Picker ID ]],$Q$3,RawData[Checker ID],$Q$4,RawData[[Error Type ]],$Q$5))</f>
        <v/>
      </c>
    </row>
    <row r="18322" spans="15:15" x14ac:dyDescent="0.25">
      <c r="O18322" s="20" t="str">
        <f>IF(N18322="","",COUNTIFS(RawData[[Date ]],N18322,RawData[Month List],$Q$6,RawData[Tour/Site],$Q$2,RawData[[Picker ID ]],$Q$3,RawData[Checker ID],$Q$4,RawData[[Error Type ]],$Q$5))</f>
        <v/>
      </c>
    </row>
    <row r="18323" spans="15:15" x14ac:dyDescent="0.25">
      <c r="O18323" s="20" t="str">
        <f>IF(N18323="","",COUNTIFS(RawData[[Date ]],N18323,RawData[Month List],$Q$6,RawData[Tour/Site],$Q$2,RawData[[Picker ID ]],$Q$3,RawData[Checker ID],$Q$4,RawData[[Error Type ]],$Q$5))</f>
        <v/>
      </c>
    </row>
    <row r="18324" spans="15:15" x14ac:dyDescent="0.25">
      <c r="O18324" s="20" t="str">
        <f>IF(N18324="","",COUNTIFS(RawData[[Date ]],N18324,RawData[Month List],$Q$6,RawData[Tour/Site],$Q$2,RawData[[Picker ID ]],$Q$3,RawData[Checker ID],$Q$4,RawData[[Error Type ]],$Q$5))</f>
        <v/>
      </c>
    </row>
    <row r="18325" spans="15:15" x14ac:dyDescent="0.25">
      <c r="O18325" s="20" t="str">
        <f>IF(N18325="","",COUNTIFS(RawData[[Date ]],N18325,RawData[Month List],$Q$6,RawData[Tour/Site],$Q$2,RawData[[Picker ID ]],$Q$3,RawData[Checker ID],$Q$4,RawData[[Error Type ]],$Q$5))</f>
        <v/>
      </c>
    </row>
    <row r="18326" spans="15:15" x14ac:dyDescent="0.25">
      <c r="O18326" s="20" t="str">
        <f>IF(N18326="","",COUNTIFS(RawData[[Date ]],N18326,RawData[Month List],$Q$6,RawData[Tour/Site],$Q$2,RawData[[Picker ID ]],$Q$3,RawData[Checker ID],$Q$4,RawData[[Error Type ]],$Q$5))</f>
        <v/>
      </c>
    </row>
    <row r="18327" spans="15:15" x14ac:dyDescent="0.25">
      <c r="O18327" s="20" t="str">
        <f>IF(N18327="","",COUNTIFS(RawData[[Date ]],N18327,RawData[Month List],$Q$6,RawData[Tour/Site],$Q$2,RawData[[Picker ID ]],$Q$3,RawData[Checker ID],$Q$4,RawData[[Error Type ]],$Q$5))</f>
        <v/>
      </c>
    </row>
    <row r="18328" spans="15:15" x14ac:dyDescent="0.25">
      <c r="O18328" s="20" t="str">
        <f>IF(N18328="","",COUNTIFS(RawData[[Date ]],N18328,RawData[Month List],$Q$6,RawData[Tour/Site],$Q$2,RawData[[Picker ID ]],$Q$3,RawData[Checker ID],$Q$4,RawData[[Error Type ]],$Q$5))</f>
        <v/>
      </c>
    </row>
    <row r="18329" spans="15:15" x14ac:dyDescent="0.25">
      <c r="O18329" s="20" t="str">
        <f>IF(N18329="","",COUNTIFS(RawData[[Date ]],N18329,RawData[Month List],$Q$6,RawData[Tour/Site],$Q$2,RawData[[Picker ID ]],$Q$3,RawData[Checker ID],$Q$4,RawData[[Error Type ]],$Q$5))</f>
        <v/>
      </c>
    </row>
    <row r="18330" spans="15:15" x14ac:dyDescent="0.25">
      <c r="O18330" s="20" t="str">
        <f>IF(N18330="","",COUNTIFS(RawData[[Date ]],N18330,RawData[Month List],$Q$6,RawData[Tour/Site],$Q$2,RawData[[Picker ID ]],$Q$3,RawData[Checker ID],$Q$4,RawData[[Error Type ]],$Q$5))</f>
        <v/>
      </c>
    </row>
    <row r="18331" spans="15:15" x14ac:dyDescent="0.25">
      <c r="O18331" s="20" t="str">
        <f>IF(N18331="","",COUNTIFS(RawData[[Date ]],N18331,RawData[Month List],$Q$6,RawData[Tour/Site],$Q$2,RawData[[Picker ID ]],$Q$3,RawData[Checker ID],$Q$4,RawData[[Error Type ]],$Q$5))</f>
        <v/>
      </c>
    </row>
    <row r="18332" spans="15:15" x14ac:dyDescent="0.25">
      <c r="O18332" s="20" t="str">
        <f>IF(N18332="","",COUNTIFS(RawData[[Date ]],N18332,RawData[Month List],$Q$6,RawData[Tour/Site],$Q$2,RawData[[Picker ID ]],$Q$3,RawData[Checker ID],$Q$4,RawData[[Error Type ]],$Q$5))</f>
        <v/>
      </c>
    </row>
    <row r="18333" spans="15:15" x14ac:dyDescent="0.25">
      <c r="O18333" s="20" t="str">
        <f>IF(N18333="","",COUNTIFS(RawData[[Date ]],N18333,RawData[Month List],$Q$6,RawData[Tour/Site],$Q$2,RawData[[Picker ID ]],$Q$3,RawData[Checker ID],$Q$4,RawData[[Error Type ]],$Q$5))</f>
        <v/>
      </c>
    </row>
    <row r="18334" spans="15:15" x14ac:dyDescent="0.25">
      <c r="O18334" s="20" t="str">
        <f>IF(N18334="","",COUNTIFS(RawData[[Date ]],N18334,RawData[Month List],$Q$6,RawData[Tour/Site],$Q$2,RawData[[Picker ID ]],$Q$3,RawData[Checker ID],$Q$4,RawData[[Error Type ]],$Q$5))</f>
        <v/>
      </c>
    </row>
    <row r="18335" spans="15:15" x14ac:dyDescent="0.25">
      <c r="O18335" s="20" t="str">
        <f>IF(N18335="","",COUNTIFS(RawData[[Date ]],N18335,RawData[Month List],$Q$6,RawData[Tour/Site],$Q$2,RawData[[Picker ID ]],$Q$3,RawData[Checker ID],$Q$4,RawData[[Error Type ]],$Q$5))</f>
        <v/>
      </c>
    </row>
    <row r="18336" spans="15:15" x14ac:dyDescent="0.25">
      <c r="O18336" s="20" t="str">
        <f>IF(N18336="","",COUNTIFS(RawData[[Date ]],N18336,RawData[Month List],$Q$6,RawData[Tour/Site],$Q$2,RawData[[Picker ID ]],$Q$3,RawData[Checker ID],$Q$4,RawData[[Error Type ]],$Q$5))</f>
        <v/>
      </c>
    </row>
    <row r="18337" spans="15:15" x14ac:dyDescent="0.25">
      <c r="O18337" s="20" t="str">
        <f>IF(N18337="","",COUNTIFS(RawData[[Date ]],N18337,RawData[Month List],$Q$6,RawData[Tour/Site],$Q$2,RawData[[Picker ID ]],$Q$3,RawData[Checker ID],$Q$4,RawData[[Error Type ]],$Q$5))</f>
        <v/>
      </c>
    </row>
    <row r="18338" spans="15:15" x14ac:dyDescent="0.25">
      <c r="O18338" s="20" t="str">
        <f>IF(N18338="","",COUNTIFS(RawData[[Date ]],N18338,RawData[Month List],$Q$6,RawData[Tour/Site],$Q$2,RawData[[Picker ID ]],$Q$3,RawData[Checker ID],$Q$4,RawData[[Error Type ]],$Q$5))</f>
        <v/>
      </c>
    </row>
    <row r="18339" spans="15:15" x14ac:dyDescent="0.25">
      <c r="O18339" s="20" t="str">
        <f>IF(N18339="","",COUNTIFS(RawData[[Date ]],N18339,RawData[Month List],$Q$6,RawData[Tour/Site],$Q$2,RawData[[Picker ID ]],$Q$3,RawData[Checker ID],$Q$4,RawData[[Error Type ]],$Q$5))</f>
        <v/>
      </c>
    </row>
    <row r="18340" spans="15:15" x14ac:dyDescent="0.25">
      <c r="O18340" s="20" t="str">
        <f>IF(N18340="","",COUNTIFS(RawData[[Date ]],N18340,RawData[Month List],$Q$6,RawData[Tour/Site],$Q$2,RawData[[Picker ID ]],$Q$3,RawData[Checker ID],$Q$4,RawData[[Error Type ]],$Q$5))</f>
        <v/>
      </c>
    </row>
    <row r="18341" spans="15:15" x14ac:dyDescent="0.25">
      <c r="O18341" s="20" t="str">
        <f>IF(N18341="","",COUNTIFS(RawData[[Date ]],N18341,RawData[Month List],$Q$6,RawData[Tour/Site],$Q$2,RawData[[Picker ID ]],$Q$3,RawData[Checker ID],$Q$4,RawData[[Error Type ]],$Q$5))</f>
        <v/>
      </c>
    </row>
    <row r="18342" spans="15:15" x14ac:dyDescent="0.25">
      <c r="O18342" s="20" t="str">
        <f>IF(N18342="","",COUNTIFS(RawData[[Date ]],N18342,RawData[Month List],$Q$6,RawData[Tour/Site],$Q$2,RawData[[Picker ID ]],$Q$3,RawData[Checker ID],$Q$4,RawData[[Error Type ]],$Q$5))</f>
        <v/>
      </c>
    </row>
    <row r="18343" spans="15:15" x14ac:dyDescent="0.25">
      <c r="O18343" s="20" t="str">
        <f>IF(N18343="","",COUNTIFS(RawData[[Date ]],N18343,RawData[Month List],$Q$6,RawData[Tour/Site],$Q$2,RawData[[Picker ID ]],$Q$3,RawData[Checker ID],$Q$4,RawData[[Error Type ]],$Q$5))</f>
        <v/>
      </c>
    </row>
    <row r="18344" spans="15:15" x14ac:dyDescent="0.25">
      <c r="O18344" s="20" t="str">
        <f>IF(N18344="","",COUNTIFS(RawData[[Date ]],N18344,RawData[Month List],$Q$6,RawData[Tour/Site],$Q$2,RawData[[Picker ID ]],$Q$3,RawData[Checker ID],$Q$4,RawData[[Error Type ]],$Q$5))</f>
        <v/>
      </c>
    </row>
    <row r="18345" spans="15:15" x14ac:dyDescent="0.25">
      <c r="O18345" s="20" t="str">
        <f>IF(N18345="","",COUNTIFS(RawData[[Date ]],N18345,RawData[Month List],$Q$6,RawData[Tour/Site],$Q$2,RawData[[Picker ID ]],$Q$3,RawData[Checker ID],$Q$4,RawData[[Error Type ]],$Q$5))</f>
        <v/>
      </c>
    </row>
    <row r="18346" spans="15:15" x14ac:dyDescent="0.25">
      <c r="O18346" s="20" t="str">
        <f>IF(N18346="","",COUNTIFS(RawData[[Date ]],N18346,RawData[Month List],$Q$6,RawData[Tour/Site],$Q$2,RawData[[Picker ID ]],$Q$3,RawData[Checker ID],$Q$4,RawData[[Error Type ]],$Q$5))</f>
        <v/>
      </c>
    </row>
    <row r="18347" spans="15:15" x14ac:dyDescent="0.25">
      <c r="O18347" s="20" t="str">
        <f>IF(N18347="","",COUNTIFS(RawData[[Date ]],N18347,RawData[Month List],$Q$6,RawData[Tour/Site],$Q$2,RawData[[Picker ID ]],$Q$3,RawData[Checker ID],$Q$4,RawData[[Error Type ]],$Q$5))</f>
        <v/>
      </c>
    </row>
    <row r="18348" spans="15:15" x14ac:dyDescent="0.25">
      <c r="O18348" s="20" t="str">
        <f>IF(N18348="","",COUNTIFS(RawData[[Date ]],N18348,RawData[Month List],$Q$6,RawData[Tour/Site],$Q$2,RawData[[Picker ID ]],$Q$3,RawData[Checker ID],$Q$4,RawData[[Error Type ]],$Q$5))</f>
        <v/>
      </c>
    </row>
    <row r="18349" spans="15:15" x14ac:dyDescent="0.25">
      <c r="O18349" s="20" t="str">
        <f>IF(N18349="","",COUNTIFS(RawData[[Date ]],N18349,RawData[Month List],$Q$6,RawData[Tour/Site],$Q$2,RawData[[Picker ID ]],$Q$3,RawData[Checker ID],$Q$4,RawData[[Error Type ]],$Q$5))</f>
        <v/>
      </c>
    </row>
    <row r="18350" spans="15:15" x14ac:dyDescent="0.25">
      <c r="O18350" s="20" t="str">
        <f>IF(N18350="","",COUNTIFS(RawData[[Date ]],N18350,RawData[Month List],$Q$6,RawData[Tour/Site],$Q$2,RawData[[Picker ID ]],$Q$3,RawData[Checker ID],$Q$4,RawData[[Error Type ]],$Q$5))</f>
        <v/>
      </c>
    </row>
    <row r="18351" spans="15:15" x14ac:dyDescent="0.25">
      <c r="O18351" s="20" t="str">
        <f>IF(N18351="","",COUNTIFS(RawData[[Date ]],N18351,RawData[Month List],$Q$6,RawData[Tour/Site],$Q$2,RawData[[Picker ID ]],$Q$3,RawData[Checker ID],$Q$4,RawData[[Error Type ]],$Q$5))</f>
        <v/>
      </c>
    </row>
    <row r="18352" spans="15:15" x14ac:dyDescent="0.25">
      <c r="O18352" s="20" t="str">
        <f>IF(N18352="","",COUNTIFS(RawData[[Date ]],N18352,RawData[Month List],$Q$6,RawData[Tour/Site],$Q$2,RawData[[Picker ID ]],$Q$3,RawData[Checker ID],$Q$4,RawData[[Error Type ]],$Q$5))</f>
        <v/>
      </c>
    </row>
    <row r="18353" spans="15:15" x14ac:dyDescent="0.25">
      <c r="O18353" s="20" t="str">
        <f>IF(N18353="","",COUNTIFS(RawData[[Date ]],N18353,RawData[Month List],$Q$6,RawData[Tour/Site],$Q$2,RawData[[Picker ID ]],$Q$3,RawData[Checker ID],$Q$4,RawData[[Error Type ]],$Q$5))</f>
        <v/>
      </c>
    </row>
    <row r="18354" spans="15:15" x14ac:dyDescent="0.25">
      <c r="O18354" s="20" t="str">
        <f>IF(N18354="","",COUNTIFS(RawData[[Date ]],N18354,RawData[Month List],$Q$6,RawData[Tour/Site],$Q$2,RawData[[Picker ID ]],$Q$3,RawData[Checker ID],$Q$4,RawData[[Error Type ]],$Q$5))</f>
        <v/>
      </c>
    </row>
    <row r="18355" spans="15:15" x14ac:dyDescent="0.25">
      <c r="O18355" s="20" t="str">
        <f>IF(N18355="","",COUNTIFS(RawData[[Date ]],N18355,RawData[Month List],$Q$6,RawData[Tour/Site],$Q$2,RawData[[Picker ID ]],$Q$3,RawData[Checker ID],$Q$4,RawData[[Error Type ]],$Q$5))</f>
        <v/>
      </c>
    </row>
    <row r="18356" spans="15:15" x14ac:dyDescent="0.25">
      <c r="O18356" s="20" t="str">
        <f>IF(N18356="","",COUNTIFS(RawData[[Date ]],N18356,RawData[Month List],$Q$6,RawData[Tour/Site],$Q$2,RawData[[Picker ID ]],$Q$3,RawData[Checker ID],$Q$4,RawData[[Error Type ]],$Q$5))</f>
        <v/>
      </c>
    </row>
    <row r="18357" spans="15:15" x14ac:dyDescent="0.25">
      <c r="O18357" s="20" t="str">
        <f>IF(N18357="","",COUNTIFS(RawData[[Date ]],N18357,RawData[Month List],$Q$6,RawData[Tour/Site],$Q$2,RawData[[Picker ID ]],$Q$3,RawData[Checker ID],$Q$4,RawData[[Error Type ]],$Q$5))</f>
        <v/>
      </c>
    </row>
    <row r="18358" spans="15:15" x14ac:dyDescent="0.25">
      <c r="O18358" s="20" t="str">
        <f>IF(N18358="","",COUNTIFS(RawData[[Date ]],N18358,RawData[Month List],$Q$6,RawData[Tour/Site],$Q$2,RawData[[Picker ID ]],$Q$3,RawData[Checker ID],$Q$4,RawData[[Error Type ]],$Q$5))</f>
        <v/>
      </c>
    </row>
    <row r="18359" spans="15:15" x14ac:dyDescent="0.25">
      <c r="O18359" s="20" t="str">
        <f>IF(N18359="","",COUNTIFS(RawData[[Date ]],N18359,RawData[Month List],$Q$6,RawData[Tour/Site],$Q$2,RawData[[Picker ID ]],$Q$3,RawData[Checker ID],$Q$4,RawData[[Error Type ]],$Q$5))</f>
        <v/>
      </c>
    </row>
    <row r="18360" spans="15:15" x14ac:dyDescent="0.25">
      <c r="O18360" s="20" t="str">
        <f>IF(N18360="","",COUNTIFS(RawData[[Date ]],N18360,RawData[Month List],$Q$6,RawData[Tour/Site],$Q$2,RawData[[Picker ID ]],$Q$3,RawData[Checker ID],$Q$4,RawData[[Error Type ]],$Q$5))</f>
        <v/>
      </c>
    </row>
    <row r="18361" spans="15:15" x14ac:dyDescent="0.25">
      <c r="O18361" s="20" t="str">
        <f>IF(N18361="","",COUNTIFS(RawData[[Date ]],N18361,RawData[Month List],$Q$6,RawData[Tour/Site],$Q$2,RawData[[Picker ID ]],$Q$3,RawData[Checker ID],$Q$4,RawData[[Error Type ]],$Q$5))</f>
        <v/>
      </c>
    </row>
    <row r="18362" spans="15:15" x14ac:dyDescent="0.25">
      <c r="O18362" s="20" t="str">
        <f>IF(N18362="","",COUNTIFS(RawData[[Date ]],N18362,RawData[Month List],$Q$6,RawData[Tour/Site],$Q$2,RawData[[Picker ID ]],$Q$3,RawData[Checker ID],$Q$4,RawData[[Error Type ]],$Q$5))</f>
        <v/>
      </c>
    </row>
    <row r="18363" spans="15:15" x14ac:dyDescent="0.25">
      <c r="O18363" s="20" t="str">
        <f>IF(N18363="","",COUNTIFS(RawData[[Date ]],N18363,RawData[Month List],$Q$6,RawData[Tour/Site],$Q$2,RawData[[Picker ID ]],$Q$3,RawData[Checker ID],$Q$4,RawData[[Error Type ]],$Q$5))</f>
        <v/>
      </c>
    </row>
    <row r="18364" spans="15:15" x14ac:dyDescent="0.25">
      <c r="O18364" s="20" t="str">
        <f>IF(N18364="","",COUNTIFS(RawData[[Date ]],N18364,RawData[Month List],$Q$6,RawData[Tour/Site],$Q$2,RawData[[Picker ID ]],$Q$3,RawData[Checker ID],$Q$4,RawData[[Error Type ]],$Q$5))</f>
        <v/>
      </c>
    </row>
    <row r="18365" spans="15:15" x14ac:dyDescent="0.25">
      <c r="O18365" s="20" t="str">
        <f>IF(N18365="","",COUNTIFS(RawData[[Date ]],N18365,RawData[Month List],$Q$6,RawData[Tour/Site],$Q$2,RawData[[Picker ID ]],$Q$3,RawData[Checker ID],$Q$4,RawData[[Error Type ]],$Q$5))</f>
        <v/>
      </c>
    </row>
    <row r="18366" spans="15:15" x14ac:dyDescent="0.25">
      <c r="O18366" s="20" t="str">
        <f>IF(N18366="","",COUNTIFS(RawData[[Date ]],N18366,RawData[Month List],$Q$6,RawData[Tour/Site],$Q$2,RawData[[Picker ID ]],$Q$3,RawData[Checker ID],$Q$4,RawData[[Error Type ]],$Q$5))</f>
        <v/>
      </c>
    </row>
    <row r="18367" spans="15:15" x14ac:dyDescent="0.25">
      <c r="O18367" s="20" t="str">
        <f>IF(N18367="","",COUNTIFS(RawData[[Date ]],N18367,RawData[Month List],$Q$6,RawData[Tour/Site],$Q$2,RawData[[Picker ID ]],$Q$3,RawData[Checker ID],$Q$4,RawData[[Error Type ]],$Q$5))</f>
        <v/>
      </c>
    </row>
    <row r="18368" spans="15:15" x14ac:dyDescent="0.25">
      <c r="O18368" s="20" t="str">
        <f>IF(N18368="","",COUNTIFS(RawData[[Date ]],N18368,RawData[Month List],$Q$6,RawData[Tour/Site],$Q$2,RawData[[Picker ID ]],$Q$3,RawData[Checker ID],$Q$4,RawData[[Error Type ]],$Q$5))</f>
        <v/>
      </c>
    </row>
    <row r="18369" spans="15:15" x14ac:dyDescent="0.25">
      <c r="O18369" s="20" t="str">
        <f>IF(N18369="","",COUNTIFS(RawData[[Date ]],N18369,RawData[Month List],$Q$6,RawData[Tour/Site],$Q$2,RawData[[Picker ID ]],$Q$3,RawData[Checker ID],$Q$4,RawData[[Error Type ]],$Q$5))</f>
        <v/>
      </c>
    </row>
    <row r="18370" spans="15:15" x14ac:dyDescent="0.25">
      <c r="O18370" s="20" t="str">
        <f>IF(N18370="","",COUNTIFS(RawData[[Date ]],N18370,RawData[Month List],$Q$6,RawData[Tour/Site],$Q$2,RawData[[Picker ID ]],$Q$3,RawData[Checker ID],$Q$4,RawData[[Error Type ]],$Q$5))</f>
        <v/>
      </c>
    </row>
    <row r="18371" spans="15:15" x14ac:dyDescent="0.25">
      <c r="O18371" s="20" t="str">
        <f>IF(N18371="","",COUNTIFS(RawData[[Date ]],N18371,RawData[Month List],$Q$6,RawData[Tour/Site],$Q$2,RawData[[Picker ID ]],$Q$3,RawData[Checker ID],$Q$4,RawData[[Error Type ]],$Q$5))</f>
        <v/>
      </c>
    </row>
    <row r="18372" spans="15:15" x14ac:dyDescent="0.25">
      <c r="O18372" s="20" t="str">
        <f>IF(N18372="","",COUNTIFS(RawData[[Date ]],N18372,RawData[Month List],$Q$6,RawData[Tour/Site],$Q$2,RawData[[Picker ID ]],$Q$3,RawData[Checker ID],$Q$4,RawData[[Error Type ]],$Q$5))</f>
        <v/>
      </c>
    </row>
    <row r="18373" spans="15:15" x14ac:dyDescent="0.25">
      <c r="O18373" s="20" t="str">
        <f>IF(N18373="","",COUNTIFS(RawData[[Date ]],N18373,RawData[Month List],$Q$6,RawData[Tour/Site],$Q$2,RawData[[Picker ID ]],$Q$3,RawData[Checker ID],$Q$4,RawData[[Error Type ]],$Q$5))</f>
        <v/>
      </c>
    </row>
    <row r="18374" spans="15:15" x14ac:dyDescent="0.25">
      <c r="O18374" s="20" t="str">
        <f>IF(N18374="","",COUNTIFS(RawData[[Date ]],N18374,RawData[Month List],$Q$6,RawData[Tour/Site],$Q$2,RawData[[Picker ID ]],$Q$3,RawData[Checker ID],$Q$4,RawData[[Error Type ]],$Q$5))</f>
        <v/>
      </c>
    </row>
    <row r="18375" spans="15:15" x14ac:dyDescent="0.25">
      <c r="O18375" s="20" t="str">
        <f>IF(N18375="","",COUNTIFS(RawData[[Date ]],N18375,RawData[Month List],$Q$6,RawData[Tour/Site],$Q$2,RawData[[Picker ID ]],$Q$3,RawData[Checker ID],$Q$4,RawData[[Error Type ]],$Q$5))</f>
        <v/>
      </c>
    </row>
    <row r="18376" spans="15:15" x14ac:dyDescent="0.25">
      <c r="O18376" s="20" t="str">
        <f>IF(N18376="","",COUNTIFS(RawData[[Date ]],N18376,RawData[Month List],$Q$6,RawData[Tour/Site],$Q$2,RawData[[Picker ID ]],$Q$3,RawData[Checker ID],$Q$4,RawData[[Error Type ]],$Q$5))</f>
        <v/>
      </c>
    </row>
    <row r="18377" spans="15:15" x14ac:dyDescent="0.25">
      <c r="O18377" s="20" t="str">
        <f>IF(N18377="","",COUNTIFS(RawData[[Date ]],N18377,RawData[Month List],$Q$6,RawData[Tour/Site],$Q$2,RawData[[Picker ID ]],$Q$3,RawData[Checker ID],$Q$4,RawData[[Error Type ]],$Q$5))</f>
        <v/>
      </c>
    </row>
    <row r="18378" spans="15:15" x14ac:dyDescent="0.25">
      <c r="O18378" s="20" t="str">
        <f>IF(N18378="","",COUNTIFS(RawData[[Date ]],N18378,RawData[Month List],$Q$6,RawData[Tour/Site],$Q$2,RawData[[Picker ID ]],$Q$3,RawData[Checker ID],$Q$4,RawData[[Error Type ]],$Q$5))</f>
        <v/>
      </c>
    </row>
    <row r="18379" spans="15:15" x14ac:dyDescent="0.25">
      <c r="O18379" s="20" t="str">
        <f>IF(N18379="","",COUNTIFS(RawData[[Date ]],N18379,RawData[Month List],$Q$6,RawData[Tour/Site],$Q$2,RawData[[Picker ID ]],$Q$3,RawData[Checker ID],$Q$4,RawData[[Error Type ]],$Q$5))</f>
        <v/>
      </c>
    </row>
    <row r="18380" spans="15:15" x14ac:dyDescent="0.25">
      <c r="O18380" s="20" t="str">
        <f>IF(N18380="","",COUNTIFS(RawData[[Date ]],N18380,RawData[Month List],$Q$6,RawData[Tour/Site],$Q$2,RawData[[Picker ID ]],$Q$3,RawData[Checker ID],$Q$4,RawData[[Error Type ]],$Q$5))</f>
        <v/>
      </c>
    </row>
    <row r="18381" spans="15:15" x14ac:dyDescent="0.25">
      <c r="O18381" s="20" t="str">
        <f>IF(N18381="","",COUNTIFS(RawData[[Date ]],N18381,RawData[Month List],$Q$6,RawData[Tour/Site],$Q$2,RawData[[Picker ID ]],$Q$3,RawData[Checker ID],$Q$4,RawData[[Error Type ]],$Q$5))</f>
        <v/>
      </c>
    </row>
    <row r="18382" spans="15:15" x14ac:dyDescent="0.25">
      <c r="O18382" s="20" t="str">
        <f>IF(N18382="","",COUNTIFS(RawData[[Date ]],N18382,RawData[Month List],$Q$6,RawData[Tour/Site],$Q$2,RawData[[Picker ID ]],$Q$3,RawData[Checker ID],$Q$4,RawData[[Error Type ]],$Q$5))</f>
        <v/>
      </c>
    </row>
    <row r="18383" spans="15:15" x14ac:dyDescent="0.25">
      <c r="O18383" s="20" t="str">
        <f>IF(N18383="","",COUNTIFS(RawData[[Date ]],N18383,RawData[Month List],$Q$6,RawData[Tour/Site],$Q$2,RawData[[Picker ID ]],$Q$3,RawData[Checker ID],$Q$4,RawData[[Error Type ]],$Q$5))</f>
        <v/>
      </c>
    </row>
    <row r="18384" spans="15:15" x14ac:dyDescent="0.25">
      <c r="O18384" s="20" t="str">
        <f>IF(N18384="","",COUNTIFS(RawData[[Date ]],N18384,RawData[Month List],$Q$6,RawData[Tour/Site],$Q$2,RawData[[Picker ID ]],$Q$3,RawData[Checker ID],$Q$4,RawData[[Error Type ]],$Q$5))</f>
        <v/>
      </c>
    </row>
    <row r="18385" spans="15:15" x14ac:dyDescent="0.25">
      <c r="O18385" s="20" t="str">
        <f>IF(N18385="","",COUNTIFS(RawData[[Date ]],N18385,RawData[Month List],$Q$6,RawData[Tour/Site],$Q$2,RawData[[Picker ID ]],$Q$3,RawData[Checker ID],$Q$4,RawData[[Error Type ]],$Q$5))</f>
        <v/>
      </c>
    </row>
    <row r="18386" spans="15:15" x14ac:dyDescent="0.25">
      <c r="O18386" s="20" t="str">
        <f>IF(N18386="","",COUNTIFS(RawData[[Date ]],N18386,RawData[Month List],$Q$6,RawData[Tour/Site],$Q$2,RawData[[Picker ID ]],$Q$3,RawData[Checker ID],$Q$4,RawData[[Error Type ]],$Q$5))</f>
        <v/>
      </c>
    </row>
    <row r="18387" spans="15:15" x14ac:dyDescent="0.25">
      <c r="O18387" s="20" t="str">
        <f>IF(N18387="","",COUNTIFS(RawData[[Date ]],N18387,RawData[Month List],$Q$6,RawData[Tour/Site],$Q$2,RawData[[Picker ID ]],$Q$3,RawData[Checker ID],$Q$4,RawData[[Error Type ]],$Q$5))</f>
        <v/>
      </c>
    </row>
    <row r="18388" spans="15:15" x14ac:dyDescent="0.25">
      <c r="O18388" s="20" t="str">
        <f>IF(N18388="","",COUNTIFS(RawData[[Date ]],N18388,RawData[Month List],$Q$6,RawData[Tour/Site],$Q$2,RawData[[Picker ID ]],$Q$3,RawData[Checker ID],$Q$4,RawData[[Error Type ]],$Q$5))</f>
        <v/>
      </c>
    </row>
    <row r="18389" spans="15:15" x14ac:dyDescent="0.25">
      <c r="O18389" s="20" t="str">
        <f>IF(N18389="","",COUNTIFS(RawData[[Date ]],N18389,RawData[Month List],$Q$6,RawData[Tour/Site],$Q$2,RawData[[Picker ID ]],$Q$3,RawData[Checker ID],$Q$4,RawData[[Error Type ]],$Q$5))</f>
        <v/>
      </c>
    </row>
    <row r="18390" spans="15:15" x14ac:dyDescent="0.25">
      <c r="O18390" s="20" t="str">
        <f>IF(N18390="","",COUNTIFS(RawData[[Date ]],N18390,RawData[Month List],$Q$6,RawData[Tour/Site],$Q$2,RawData[[Picker ID ]],$Q$3,RawData[Checker ID],$Q$4,RawData[[Error Type ]],$Q$5))</f>
        <v/>
      </c>
    </row>
    <row r="18391" spans="15:15" x14ac:dyDescent="0.25">
      <c r="O18391" s="20" t="str">
        <f>IF(N18391="","",COUNTIFS(RawData[[Date ]],N18391,RawData[Month List],$Q$6,RawData[Tour/Site],$Q$2,RawData[[Picker ID ]],$Q$3,RawData[Checker ID],$Q$4,RawData[[Error Type ]],$Q$5))</f>
        <v/>
      </c>
    </row>
    <row r="18392" spans="15:15" x14ac:dyDescent="0.25">
      <c r="O18392" s="20" t="str">
        <f>IF(N18392="","",COUNTIFS(RawData[[Date ]],N18392,RawData[Month List],$Q$6,RawData[Tour/Site],$Q$2,RawData[[Picker ID ]],$Q$3,RawData[Checker ID],$Q$4,RawData[[Error Type ]],$Q$5))</f>
        <v/>
      </c>
    </row>
    <row r="18393" spans="15:15" x14ac:dyDescent="0.25">
      <c r="O18393" s="20" t="str">
        <f>IF(N18393="","",COUNTIFS(RawData[[Date ]],N18393,RawData[Month List],$Q$6,RawData[Tour/Site],$Q$2,RawData[[Picker ID ]],$Q$3,RawData[Checker ID],$Q$4,RawData[[Error Type ]],$Q$5))</f>
        <v/>
      </c>
    </row>
    <row r="18394" spans="15:15" x14ac:dyDescent="0.25">
      <c r="O18394" s="20" t="str">
        <f>IF(N18394="","",COUNTIFS(RawData[[Date ]],N18394,RawData[Month List],$Q$6,RawData[Tour/Site],$Q$2,RawData[[Picker ID ]],$Q$3,RawData[Checker ID],$Q$4,RawData[[Error Type ]],$Q$5))</f>
        <v/>
      </c>
    </row>
    <row r="18395" spans="15:15" x14ac:dyDescent="0.25">
      <c r="O18395" s="20" t="str">
        <f>IF(N18395="","",COUNTIFS(RawData[[Date ]],N18395,RawData[Month List],$Q$6,RawData[Tour/Site],$Q$2,RawData[[Picker ID ]],$Q$3,RawData[Checker ID],$Q$4,RawData[[Error Type ]],$Q$5))</f>
        <v/>
      </c>
    </row>
    <row r="18396" spans="15:15" x14ac:dyDescent="0.25">
      <c r="O18396" s="20" t="str">
        <f>IF(N18396="","",COUNTIFS(RawData[[Date ]],N18396,RawData[Month List],$Q$6,RawData[Tour/Site],$Q$2,RawData[[Picker ID ]],$Q$3,RawData[Checker ID],$Q$4,RawData[[Error Type ]],$Q$5))</f>
        <v/>
      </c>
    </row>
    <row r="18397" spans="15:15" x14ac:dyDescent="0.25">
      <c r="O18397" s="20" t="str">
        <f>IF(N18397="","",COUNTIFS(RawData[[Date ]],N18397,RawData[Month List],$Q$6,RawData[Tour/Site],$Q$2,RawData[[Picker ID ]],$Q$3,RawData[Checker ID],$Q$4,RawData[[Error Type ]],$Q$5))</f>
        <v/>
      </c>
    </row>
    <row r="18398" spans="15:15" x14ac:dyDescent="0.25">
      <c r="O18398" s="20" t="str">
        <f>IF(N18398="","",COUNTIFS(RawData[[Date ]],N18398,RawData[Month List],$Q$6,RawData[Tour/Site],$Q$2,RawData[[Picker ID ]],$Q$3,RawData[Checker ID],$Q$4,RawData[[Error Type ]],$Q$5))</f>
        <v/>
      </c>
    </row>
    <row r="18399" spans="15:15" x14ac:dyDescent="0.25">
      <c r="O18399" s="20" t="str">
        <f>IF(N18399="","",COUNTIFS(RawData[[Date ]],N18399,RawData[Month List],$Q$6,RawData[Tour/Site],$Q$2,RawData[[Picker ID ]],$Q$3,RawData[Checker ID],$Q$4,RawData[[Error Type ]],$Q$5))</f>
        <v/>
      </c>
    </row>
    <row r="18400" spans="15:15" x14ac:dyDescent="0.25">
      <c r="O18400" s="20" t="str">
        <f>IF(N18400="","",COUNTIFS(RawData[[Date ]],N18400,RawData[Month List],$Q$6,RawData[Tour/Site],$Q$2,RawData[[Picker ID ]],$Q$3,RawData[Checker ID],$Q$4,RawData[[Error Type ]],$Q$5))</f>
        <v/>
      </c>
    </row>
    <row r="18401" spans="15:15" x14ac:dyDescent="0.25">
      <c r="O18401" s="20" t="str">
        <f>IF(N18401="","",COUNTIFS(RawData[[Date ]],N18401,RawData[Month List],$Q$6,RawData[Tour/Site],$Q$2,RawData[[Picker ID ]],$Q$3,RawData[Checker ID],$Q$4,RawData[[Error Type ]],$Q$5))</f>
        <v/>
      </c>
    </row>
    <row r="18402" spans="15:15" x14ac:dyDescent="0.25">
      <c r="O18402" s="20" t="str">
        <f>IF(N18402="","",COUNTIFS(RawData[[Date ]],N18402,RawData[Month List],$Q$6,RawData[Tour/Site],$Q$2,RawData[[Picker ID ]],$Q$3,RawData[Checker ID],$Q$4,RawData[[Error Type ]],$Q$5))</f>
        <v/>
      </c>
    </row>
    <row r="18403" spans="15:15" x14ac:dyDescent="0.25">
      <c r="O18403" s="20" t="str">
        <f>IF(N18403="","",COUNTIFS(RawData[[Date ]],N18403,RawData[Month List],$Q$6,RawData[Tour/Site],$Q$2,RawData[[Picker ID ]],$Q$3,RawData[Checker ID],$Q$4,RawData[[Error Type ]],$Q$5))</f>
        <v/>
      </c>
    </row>
    <row r="18404" spans="15:15" x14ac:dyDescent="0.25">
      <c r="O18404" s="20" t="str">
        <f>IF(N18404="","",COUNTIFS(RawData[[Date ]],N18404,RawData[Month List],$Q$6,RawData[Tour/Site],$Q$2,RawData[[Picker ID ]],$Q$3,RawData[Checker ID],$Q$4,RawData[[Error Type ]],$Q$5))</f>
        <v/>
      </c>
    </row>
    <row r="18405" spans="15:15" x14ac:dyDescent="0.25">
      <c r="O18405" s="20" t="str">
        <f>IF(N18405="","",COUNTIFS(RawData[[Date ]],N18405,RawData[Month List],$Q$6,RawData[Tour/Site],$Q$2,RawData[[Picker ID ]],$Q$3,RawData[Checker ID],$Q$4,RawData[[Error Type ]],$Q$5))</f>
        <v/>
      </c>
    </row>
    <row r="18406" spans="15:15" x14ac:dyDescent="0.25">
      <c r="O18406" s="20" t="str">
        <f>IF(N18406="","",COUNTIFS(RawData[[Date ]],N18406,RawData[Month List],$Q$6,RawData[Tour/Site],$Q$2,RawData[[Picker ID ]],$Q$3,RawData[Checker ID],$Q$4,RawData[[Error Type ]],$Q$5))</f>
        <v/>
      </c>
    </row>
    <row r="18407" spans="15:15" x14ac:dyDescent="0.25">
      <c r="O18407" s="20" t="str">
        <f>IF(N18407="","",COUNTIFS(RawData[[Date ]],N18407,RawData[Month List],$Q$6,RawData[Tour/Site],$Q$2,RawData[[Picker ID ]],$Q$3,RawData[Checker ID],$Q$4,RawData[[Error Type ]],$Q$5))</f>
        <v/>
      </c>
    </row>
    <row r="18408" spans="15:15" x14ac:dyDescent="0.25">
      <c r="O18408" s="20" t="str">
        <f>IF(N18408="","",COUNTIFS(RawData[[Date ]],N18408,RawData[Month List],$Q$6,RawData[Tour/Site],$Q$2,RawData[[Picker ID ]],$Q$3,RawData[Checker ID],$Q$4,RawData[[Error Type ]],$Q$5))</f>
        <v/>
      </c>
    </row>
    <row r="18409" spans="15:15" x14ac:dyDescent="0.25">
      <c r="O18409" s="20" t="str">
        <f>IF(N18409="","",COUNTIFS(RawData[[Date ]],N18409,RawData[Month List],$Q$6,RawData[Tour/Site],$Q$2,RawData[[Picker ID ]],$Q$3,RawData[Checker ID],$Q$4,RawData[[Error Type ]],$Q$5))</f>
        <v/>
      </c>
    </row>
    <row r="18410" spans="15:15" x14ac:dyDescent="0.25">
      <c r="O18410" s="20" t="str">
        <f>IF(N18410="","",COUNTIFS(RawData[[Date ]],N18410,RawData[Month List],$Q$6,RawData[Tour/Site],$Q$2,RawData[[Picker ID ]],$Q$3,RawData[Checker ID],$Q$4,RawData[[Error Type ]],$Q$5))</f>
        <v/>
      </c>
    </row>
    <row r="18411" spans="15:15" x14ac:dyDescent="0.25">
      <c r="O18411" s="20" t="str">
        <f>IF(N18411="","",COUNTIFS(RawData[[Date ]],N18411,RawData[Month List],$Q$6,RawData[Tour/Site],$Q$2,RawData[[Picker ID ]],$Q$3,RawData[Checker ID],$Q$4,RawData[[Error Type ]],$Q$5))</f>
        <v/>
      </c>
    </row>
    <row r="18412" spans="15:15" x14ac:dyDescent="0.25">
      <c r="O18412" s="20" t="str">
        <f>IF(N18412="","",COUNTIFS(RawData[[Date ]],N18412,RawData[Month List],$Q$6,RawData[Tour/Site],$Q$2,RawData[[Picker ID ]],$Q$3,RawData[Checker ID],$Q$4,RawData[[Error Type ]],$Q$5))</f>
        <v/>
      </c>
    </row>
    <row r="18413" spans="15:15" x14ac:dyDescent="0.25">
      <c r="O18413" s="20" t="str">
        <f>IF(N18413="","",COUNTIFS(RawData[[Date ]],N18413,RawData[Month List],$Q$6,RawData[Tour/Site],$Q$2,RawData[[Picker ID ]],$Q$3,RawData[Checker ID],$Q$4,RawData[[Error Type ]],$Q$5))</f>
        <v/>
      </c>
    </row>
    <row r="18414" spans="15:15" x14ac:dyDescent="0.25">
      <c r="O18414" s="20" t="str">
        <f>IF(N18414="","",COUNTIFS(RawData[[Date ]],N18414,RawData[Month List],$Q$6,RawData[Tour/Site],$Q$2,RawData[[Picker ID ]],$Q$3,RawData[Checker ID],$Q$4,RawData[[Error Type ]],$Q$5))</f>
        <v/>
      </c>
    </row>
    <row r="18415" spans="15:15" x14ac:dyDescent="0.25">
      <c r="O18415" s="20" t="str">
        <f>IF(N18415="","",COUNTIFS(RawData[[Date ]],N18415,RawData[Month List],$Q$6,RawData[Tour/Site],$Q$2,RawData[[Picker ID ]],$Q$3,RawData[Checker ID],$Q$4,RawData[[Error Type ]],$Q$5))</f>
        <v/>
      </c>
    </row>
    <row r="18416" spans="15:15" x14ac:dyDescent="0.25">
      <c r="O18416" s="20" t="str">
        <f>IF(N18416="","",COUNTIFS(RawData[[Date ]],N18416,RawData[Month List],$Q$6,RawData[Tour/Site],$Q$2,RawData[[Picker ID ]],$Q$3,RawData[Checker ID],$Q$4,RawData[[Error Type ]],$Q$5))</f>
        <v/>
      </c>
    </row>
    <row r="18417" spans="15:15" x14ac:dyDescent="0.25">
      <c r="O18417" s="20" t="str">
        <f>IF(N18417="","",COUNTIFS(RawData[[Date ]],N18417,RawData[Month List],$Q$6,RawData[Tour/Site],$Q$2,RawData[[Picker ID ]],$Q$3,RawData[Checker ID],$Q$4,RawData[[Error Type ]],$Q$5))</f>
        <v/>
      </c>
    </row>
    <row r="18418" spans="15:15" x14ac:dyDescent="0.25">
      <c r="O18418" s="20" t="str">
        <f>IF(N18418="","",COUNTIFS(RawData[[Date ]],N18418,RawData[Month List],$Q$6,RawData[Tour/Site],$Q$2,RawData[[Picker ID ]],$Q$3,RawData[Checker ID],$Q$4,RawData[[Error Type ]],$Q$5))</f>
        <v/>
      </c>
    </row>
    <row r="18419" spans="15:15" x14ac:dyDescent="0.25">
      <c r="O18419" s="20" t="str">
        <f>IF(N18419="","",COUNTIFS(RawData[[Date ]],N18419,RawData[Month List],$Q$6,RawData[Tour/Site],$Q$2,RawData[[Picker ID ]],$Q$3,RawData[Checker ID],$Q$4,RawData[[Error Type ]],$Q$5))</f>
        <v/>
      </c>
    </row>
    <row r="18420" spans="15:15" x14ac:dyDescent="0.25">
      <c r="O18420" s="20" t="str">
        <f>IF(N18420="","",COUNTIFS(RawData[[Date ]],N18420,RawData[Month List],$Q$6,RawData[Tour/Site],$Q$2,RawData[[Picker ID ]],$Q$3,RawData[Checker ID],$Q$4,RawData[[Error Type ]],$Q$5))</f>
        <v/>
      </c>
    </row>
    <row r="18421" spans="15:15" x14ac:dyDescent="0.25">
      <c r="O18421" s="20" t="str">
        <f>IF(N18421="","",COUNTIFS(RawData[[Date ]],N18421,RawData[Month List],$Q$6,RawData[Tour/Site],$Q$2,RawData[[Picker ID ]],$Q$3,RawData[Checker ID],$Q$4,RawData[[Error Type ]],$Q$5))</f>
        <v/>
      </c>
    </row>
    <row r="18422" spans="15:15" x14ac:dyDescent="0.25">
      <c r="O18422" s="20" t="str">
        <f>IF(N18422="","",COUNTIFS(RawData[[Date ]],N18422,RawData[Month List],$Q$6,RawData[Tour/Site],$Q$2,RawData[[Picker ID ]],$Q$3,RawData[Checker ID],$Q$4,RawData[[Error Type ]],$Q$5))</f>
        <v/>
      </c>
    </row>
    <row r="18423" spans="15:15" x14ac:dyDescent="0.25">
      <c r="O18423" s="20" t="str">
        <f>IF(N18423="","",COUNTIFS(RawData[[Date ]],N18423,RawData[Month List],$Q$6,RawData[Tour/Site],$Q$2,RawData[[Picker ID ]],$Q$3,RawData[Checker ID],$Q$4,RawData[[Error Type ]],$Q$5))</f>
        <v/>
      </c>
    </row>
    <row r="18424" spans="15:15" x14ac:dyDescent="0.25">
      <c r="O18424" s="20" t="str">
        <f>IF(N18424="","",COUNTIFS(RawData[[Date ]],N18424,RawData[Month List],$Q$6,RawData[Tour/Site],$Q$2,RawData[[Picker ID ]],$Q$3,RawData[Checker ID],$Q$4,RawData[[Error Type ]],$Q$5))</f>
        <v/>
      </c>
    </row>
    <row r="18425" spans="15:15" x14ac:dyDescent="0.25">
      <c r="O18425" s="20" t="str">
        <f>IF(N18425="","",COUNTIFS(RawData[[Date ]],N18425,RawData[Month List],$Q$6,RawData[Tour/Site],$Q$2,RawData[[Picker ID ]],$Q$3,RawData[Checker ID],$Q$4,RawData[[Error Type ]],$Q$5))</f>
        <v/>
      </c>
    </row>
    <row r="18426" spans="15:15" x14ac:dyDescent="0.25">
      <c r="O18426" s="20" t="str">
        <f>IF(N18426="","",COUNTIFS(RawData[[Date ]],N18426,RawData[Month List],$Q$6,RawData[Tour/Site],$Q$2,RawData[[Picker ID ]],$Q$3,RawData[Checker ID],$Q$4,RawData[[Error Type ]],$Q$5))</f>
        <v/>
      </c>
    </row>
    <row r="18427" spans="15:15" x14ac:dyDescent="0.25">
      <c r="O18427" s="20" t="str">
        <f>IF(N18427="","",COUNTIFS(RawData[[Date ]],N18427,RawData[Month List],$Q$6,RawData[Tour/Site],$Q$2,RawData[[Picker ID ]],$Q$3,RawData[Checker ID],$Q$4,RawData[[Error Type ]],$Q$5))</f>
        <v/>
      </c>
    </row>
    <row r="18428" spans="15:15" x14ac:dyDescent="0.25">
      <c r="O18428" s="20" t="str">
        <f>IF(N18428="","",COUNTIFS(RawData[[Date ]],N18428,RawData[Month List],$Q$6,RawData[Tour/Site],$Q$2,RawData[[Picker ID ]],$Q$3,RawData[Checker ID],$Q$4,RawData[[Error Type ]],$Q$5))</f>
        <v/>
      </c>
    </row>
    <row r="18429" spans="15:15" x14ac:dyDescent="0.25">
      <c r="O18429" s="20" t="str">
        <f>IF(N18429="","",COUNTIFS(RawData[[Date ]],N18429,RawData[Month List],$Q$6,RawData[Tour/Site],$Q$2,RawData[[Picker ID ]],$Q$3,RawData[Checker ID],$Q$4,RawData[[Error Type ]],$Q$5))</f>
        <v/>
      </c>
    </row>
    <row r="18430" spans="15:15" x14ac:dyDescent="0.25">
      <c r="O18430" s="20" t="str">
        <f>IF(N18430="","",COUNTIFS(RawData[[Date ]],N18430,RawData[Month List],$Q$6,RawData[Tour/Site],$Q$2,RawData[[Picker ID ]],$Q$3,RawData[Checker ID],$Q$4,RawData[[Error Type ]],$Q$5))</f>
        <v/>
      </c>
    </row>
    <row r="18431" spans="15:15" x14ac:dyDescent="0.25">
      <c r="O18431" s="20" t="str">
        <f>IF(N18431="","",COUNTIFS(RawData[[Date ]],N18431,RawData[Month List],$Q$6,RawData[Tour/Site],$Q$2,RawData[[Picker ID ]],$Q$3,RawData[Checker ID],$Q$4,RawData[[Error Type ]],$Q$5))</f>
        <v/>
      </c>
    </row>
    <row r="18432" spans="15:15" x14ac:dyDescent="0.25">
      <c r="O18432" s="20" t="str">
        <f>IF(N18432="","",COUNTIFS(RawData[[Date ]],N18432,RawData[Month List],$Q$6,RawData[Tour/Site],$Q$2,RawData[[Picker ID ]],$Q$3,RawData[Checker ID],$Q$4,RawData[[Error Type ]],$Q$5))</f>
        <v/>
      </c>
    </row>
    <row r="18433" spans="15:15" x14ac:dyDescent="0.25">
      <c r="O18433" s="20" t="str">
        <f>IF(N18433="","",COUNTIFS(RawData[[Date ]],N18433,RawData[Month List],$Q$6,RawData[Tour/Site],$Q$2,RawData[[Picker ID ]],$Q$3,RawData[Checker ID],$Q$4,RawData[[Error Type ]],$Q$5))</f>
        <v/>
      </c>
    </row>
    <row r="18434" spans="15:15" x14ac:dyDescent="0.25">
      <c r="O18434" s="20" t="str">
        <f>IF(N18434="","",COUNTIFS(RawData[[Date ]],N18434,RawData[Month List],$Q$6,RawData[Tour/Site],$Q$2,RawData[[Picker ID ]],$Q$3,RawData[Checker ID],$Q$4,RawData[[Error Type ]],$Q$5))</f>
        <v/>
      </c>
    </row>
    <row r="18435" spans="15:15" x14ac:dyDescent="0.25">
      <c r="O18435" s="20" t="str">
        <f>IF(N18435="","",COUNTIFS(RawData[[Date ]],N18435,RawData[Month List],$Q$6,RawData[Tour/Site],$Q$2,RawData[[Picker ID ]],$Q$3,RawData[Checker ID],$Q$4,RawData[[Error Type ]],$Q$5))</f>
        <v/>
      </c>
    </row>
    <row r="18436" spans="15:15" x14ac:dyDescent="0.25">
      <c r="O18436" s="20" t="str">
        <f>IF(N18436="","",COUNTIFS(RawData[[Date ]],N18436,RawData[Month List],$Q$6,RawData[Tour/Site],$Q$2,RawData[[Picker ID ]],$Q$3,RawData[Checker ID],$Q$4,RawData[[Error Type ]],$Q$5))</f>
        <v/>
      </c>
    </row>
    <row r="18437" spans="15:15" x14ac:dyDescent="0.25">
      <c r="O18437" s="20" t="str">
        <f>IF(N18437="","",COUNTIFS(RawData[[Date ]],N18437,RawData[Month List],$Q$6,RawData[Tour/Site],$Q$2,RawData[[Picker ID ]],$Q$3,RawData[Checker ID],$Q$4,RawData[[Error Type ]],$Q$5))</f>
        <v/>
      </c>
    </row>
    <row r="18438" spans="15:15" x14ac:dyDescent="0.25">
      <c r="O18438" s="20" t="str">
        <f>IF(N18438="","",COUNTIFS(RawData[[Date ]],N18438,RawData[Month List],$Q$6,RawData[Tour/Site],$Q$2,RawData[[Picker ID ]],$Q$3,RawData[Checker ID],$Q$4,RawData[[Error Type ]],$Q$5))</f>
        <v/>
      </c>
    </row>
    <row r="18439" spans="15:15" x14ac:dyDescent="0.25">
      <c r="O18439" s="20" t="str">
        <f>IF(N18439="","",COUNTIFS(RawData[[Date ]],N18439,RawData[Month List],$Q$6,RawData[Tour/Site],$Q$2,RawData[[Picker ID ]],$Q$3,RawData[Checker ID],$Q$4,RawData[[Error Type ]],$Q$5))</f>
        <v/>
      </c>
    </row>
    <row r="18440" spans="15:15" x14ac:dyDescent="0.25">
      <c r="O18440" s="20" t="str">
        <f>IF(N18440="","",COUNTIFS(RawData[[Date ]],N18440,RawData[Month List],$Q$6,RawData[Tour/Site],$Q$2,RawData[[Picker ID ]],$Q$3,RawData[Checker ID],$Q$4,RawData[[Error Type ]],$Q$5))</f>
        <v/>
      </c>
    </row>
    <row r="18441" spans="15:15" x14ac:dyDescent="0.25">
      <c r="O18441" s="20" t="str">
        <f>IF(N18441="","",COUNTIFS(RawData[[Date ]],N18441,RawData[Month List],$Q$6,RawData[Tour/Site],$Q$2,RawData[[Picker ID ]],$Q$3,RawData[Checker ID],$Q$4,RawData[[Error Type ]],$Q$5))</f>
        <v/>
      </c>
    </row>
    <row r="18442" spans="15:15" x14ac:dyDescent="0.25">
      <c r="O18442" s="20" t="str">
        <f>IF(N18442="","",COUNTIFS(RawData[[Date ]],N18442,RawData[Month List],$Q$6,RawData[Tour/Site],$Q$2,RawData[[Picker ID ]],$Q$3,RawData[Checker ID],$Q$4,RawData[[Error Type ]],$Q$5))</f>
        <v/>
      </c>
    </row>
    <row r="18443" spans="15:15" x14ac:dyDescent="0.25">
      <c r="O18443" s="20" t="str">
        <f>IF(N18443="","",COUNTIFS(RawData[[Date ]],N18443,RawData[Month List],$Q$6,RawData[Tour/Site],$Q$2,RawData[[Picker ID ]],$Q$3,RawData[Checker ID],$Q$4,RawData[[Error Type ]],$Q$5))</f>
        <v/>
      </c>
    </row>
    <row r="18444" spans="15:15" x14ac:dyDescent="0.25">
      <c r="O18444" s="20" t="str">
        <f>IF(N18444="","",COUNTIFS(RawData[[Date ]],N18444,RawData[Month List],$Q$6,RawData[Tour/Site],$Q$2,RawData[[Picker ID ]],$Q$3,RawData[Checker ID],$Q$4,RawData[[Error Type ]],$Q$5))</f>
        <v/>
      </c>
    </row>
    <row r="18445" spans="15:15" x14ac:dyDescent="0.25">
      <c r="O18445" s="20" t="str">
        <f>IF(N18445="","",COUNTIFS(RawData[[Date ]],N18445,RawData[Month List],$Q$6,RawData[Tour/Site],$Q$2,RawData[[Picker ID ]],$Q$3,RawData[Checker ID],$Q$4,RawData[[Error Type ]],$Q$5))</f>
        <v/>
      </c>
    </row>
    <row r="18446" spans="15:15" x14ac:dyDescent="0.25">
      <c r="O18446" s="20" t="str">
        <f>IF(N18446="","",COUNTIFS(RawData[[Date ]],N18446,RawData[Month List],$Q$6,RawData[Tour/Site],$Q$2,RawData[[Picker ID ]],$Q$3,RawData[Checker ID],$Q$4,RawData[[Error Type ]],$Q$5))</f>
        <v/>
      </c>
    </row>
    <row r="18447" spans="15:15" x14ac:dyDescent="0.25">
      <c r="O18447" s="20" t="str">
        <f>IF(N18447="","",COUNTIFS(RawData[[Date ]],N18447,RawData[Month List],$Q$6,RawData[Tour/Site],$Q$2,RawData[[Picker ID ]],$Q$3,RawData[Checker ID],$Q$4,RawData[[Error Type ]],$Q$5))</f>
        <v/>
      </c>
    </row>
    <row r="18448" spans="15:15" x14ac:dyDescent="0.25">
      <c r="O18448" s="20" t="str">
        <f>IF(N18448="","",COUNTIFS(RawData[[Date ]],N18448,RawData[Month List],$Q$6,RawData[Tour/Site],$Q$2,RawData[[Picker ID ]],$Q$3,RawData[Checker ID],$Q$4,RawData[[Error Type ]],$Q$5))</f>
        <v/>
      </c>
    </row>
    <row r="18449" spans="15:15" x14ac:dyDescent="0.25">
      <c r="O18449" s="20" t="str">
        <f>IF(N18449="","",COUNTIFS(RawData[[Date ]],N18449,RawData[Month List],$Q$6,RawData[Tour/Site],$Q$2,RawData[[Picker ID ]],$Q$3,RawData[Checker ID],$Q$4,RawData[[Error Type ]],$Q$5))</f>
        <v/>
      </c>
    </row>
    <row r="18450" spans="15:15" x14ac:dyDescent="0.25">
      <c r="O18450" s="20" t="str">
        <f>IF(N18450="","",COUNTIFS(RawData[[Date ]],N18450,RawData[Month List],$Q$6,RawData[Tour/Site],$Q$2,RawData[[Picker ID ]],$Q$3,RawData[Checker ID],$Q$4,RawData[[Error Type ]],$Q$5))</f>
        <v/>
      </c>
    </row>
    <row r="18451" spans="15:15" x14ac:dyDescent="0.25">
      <c r="O18451" s="20" t="str">
        <f>IF(N18451="","",COUNTIFS(RawData[[Date ]],N18451,RawData[Month List],$Q$6,RawData[Tour/Site],$Q$2,RawData[[Picker ID ]],$Q$3,RawData[Checker ID],$Q$4,RawData[[Error Type ]],$Q$5))</f>
        <v/>
      </c>
    </row>
    <row r="18452" spans="15:15" x14ac:dyDescent="0.25">
      <c r="O18452" s="20" t="str">
        <f>IF(N18452="","",COUNTIFS(RawData[[Date ]],N18452,RawData[Month List],$Q$6,RawData[Tour/Site],$Q$2,RawData[[Picker ID ]],$Q$3,RawData[Checker ID],$Q$4,RawData[[Error Type ]],$Q$5))</f>
        <v/>
      </c>
    </row>
    <row r="18453" spans="15:15" x14ac:dyDescent="0.25">
      <c r="O18453" s="20" t="str">
        <f>IF(N18453="","",COUNTIFS(RawData[[Date ]],N18453,RawData[Month List],$Q$6,RawData[Tour/Site],$Q$2,RawData[[Picker ID ]],$Q$3,RawData[Checker ID],$Q$4,RawData[[Error Type ]],$Q$5))</f>
        <v/>
      </c>
    </row>
    <row r="18454" spans="15:15" x14ac:dyDescent="0.25">
      <c r="O18454" s="20" t="str">
        <f>IF(N18454="","",COUNTIFS(RawData[[Date ]],N18454,RawData[Month List],$Q$6,RawData[Tour/Site],$Q$2,RawData[[Picker ID ]],$Q$3,RawData[Checker ID],$Q$4,RawData[[Error Type ]],$Q$5))</f>
        <v/>
      </c>
    </row>
    <row r="18455" spans="15:15" x14ac:dyDescent="0.25">
      <c r="O18455" s="20" t="str">
        <f>IF(N18455="","",COUNTIFS(RawData[[Date ]],N18455,RawData[Month List],$Q$6,RawData[Tour/Site],$Q$2,RawData[[Picker ID ]],$Q$3,RawData[Checker ID],$Q$4,RawData[[Error Type ]],$Q$5))</f>
        <v/>
      </c>
    </row>
    <row r="18456" spans="15:15" x14ac:dyDescent="0.25">
      <c r="O18456" s="20" t="str">
        <f>IF(N18456="","",COUNTIFS(RawData[[Date ]],N18456,RawData[Month List],$Q$6,RawData[Tour/Site],$Q$2,RawData[[Picker ID ]],$Q$3,RawData[Checker ID],$Q$4,RawData[[Error Type ]],$Q$5))</f>
        <v/>
      </c>
    </row>
    <row r="18457" spans="15:15" x14ac:dyDescent="0.25">
      <c r="O18457" s="20" t="str">
        <f>IF(N18457="","",COUNTIFS(RawData[[Date ]],N18457,RawData[Month List],$Q$6,RawData[Tour/Site],$Q$2,RawData[[Picker ID ]],$Q$3,RawData[Checker ID],$Q$4,RawData[[Error Type ]],$Q$5))</f>
        <v/>
      </c>
    </row>
    <row r="18458" spans="15:15" x14ac:dyDescent="0.25">
      <c r="O18458" s="20" t="str">
        <f>IF(N18458="","",COUNTIFS(RawData[[Date ]],N18458,RawData[Month List],$Q$6,RawData[Tour/Site],$Q$2,RawData[[Picker ID ]],$Q$3,RawData[Checker ID],$Q$4,RawData[[Error Type ]],$Q$5))</f>
        <v/>
      </c>
    </row>
    <row r="18459" spans="15:15" x14ac:dyDescent="0.25">
      <c r="O18459" s="20" t="str">
        <f>IF(N18459="","",COUNTIFS(RawData[[Date ]],N18459,RawData[Month List],$Q$6,RawData[Tour/Site],$Q$2,RawData[[Picker ID ]],$Q$3,RawData[Checker ID],$Q$4,RawData[[Error Type ]],$Q$5))</f>
        <v/>
      </c>
    </row>
    <row r="18460" spans="15:15" x14ac:dyDescent="0.25">
      <c r="O18460" s="20" t="str">
        <f>IF(N18460="","",COUNTIFS(RawData[[Date ]],N18460,RawData[Month List],$Q$6,RawData[Tour/Site],$Q$2,RawData[[Picker ID ]],$Q$3,RawData[Checker ID],$Q$4,RawData[[Error Type ]],$Q$5))</f>
        <v/>
      </c>
    </row>
    <row r="18461" spans="15:15" x14ac:dyDescent="0.25">
      <c r="O18461" s="20" t="str">
        <f>IF(N18461="","",COUNTIFS(RawData[[Date ]],N18461,RawData[Month List],$Q$6,RawData[Tour/Site],$Q$2,RawData[[Picker ID ]],$Q$3,RawData[Checker ID],$Q$4,RawData[[Error Type ]],$Q$5))</f>
        <v/>
      </c>
    </row>
    <row r="18462" spans="15:15" x14ac:dyDescent="0.25">
      <c r="O18462" s="20" t="str">
        <f>IF(N18462="","",COUNTIFS(RawData[[Date ]],N18462,RawData[Month List],$Q$6,RawData[Tour/Site],$Q$2,RawData[[Picker ID ]],$Q$3,RawData[Checker ID],$Q$4,RawData[[Error Type ]],$Q$5))</f>
        <v/>
      </c>
    </row>
    <row r="18463" spans="15:15" x14ac:dyDescent="0.25">
      <c r="O18463" s="20" t="str">
        <f>IF(N18463="","",COUNTIFS(RawData[[Date ]],N18463,RawData[Month List],$Q$6,RawData[Tour/Site],$Q$2,RawData[[Picker ID ]],$Q$3,RawData[Checker ID],$Q$4,RawData[[Error Type ]],$Q$5))</f>
        <v/>
      </c>
    </row>
    <row r="18464" spans="15:15" x14ac:dyDescent="0.25">
      <c r="O18464" s="20" t="str">
        <f>IF(N18464="","",COUNTIFS(RawData[[Date ]],N18464,RawData[Month List],$Q$6,RawData[Tour/Site],$Q$2,RawData[[Picker ID ]],$Q$3,RawData[Checker ID],$Q$4,RawData[[Error Type ]],$Q$5))</f>
        <v/>
      </c>
    </row>
    <row r="18465" spans="15:15" x14ac:dyDescent="0.25">
      <c r="O18465" s="20" t="str">
        <f>IF(N18465="","",COUNTIFS(RawData[[Date ]],N18465,RawData[Month List],$Q$6,RawData[Tour/Site],$Q$2,RawData[[Picker ID ]],$Q$3,RawData[Checker ID],$Q$4,RawData[[Error Type ]],$Q$5))</f>
        <v/>
      </c>
    </row>
    <row r="18466" spans="15:15" x14ac:dyDescent="0.25">
      <c r="O18466" s="20" t="str">
        <f>IF(N18466="","",COUNTIFS(RawData[[Date ]],N18466,RawData[Month List],$Q$6,RawData[Tour/Site],$Q$2,RawData[[Picker ID ]],$Q$3,RawData[Checker ID],$Q$4,RawData[[Error Type ]],$Q$5))</f>
        <v/>
      </c>
    </row>
    <row r="18467" spans="15:15" x14ac:dyDescent="0.25">
      <c r="O18467" s="20" t="str">
        <f>IF(N18467="","",COUNTIFS(RawData[[Date ]],N18467,RawData[Month List],$Q$6,RawData[Tour/Site],$Q$2,RawData[[Picker ID ]],$Q$3,RawData[Checker ID],$Q$4,RawData[[Error Type ]],$Q$5))</f>
        <v/>
      </c>
    </row>
    <row r="18468" spans="15:15" x14ac:dyDescent="0.25">
      <c r="O18468" s="20" t="str">
        <f>IF(N18468="","",COUNTIFS(RawData[[Date ]],N18468,RawData[Month List],$Q$6,RawData[Tour/Site],$Q$2,RawData[[Picker ID ]],$Q$3,RawData[Checker ID],$Q$4,RawData[[Error Type ]],$Q$5))</f>
        <v/>
      </c>
    </row>
    <row r="18469" spans="15:15" x14ac:dyDescent="0.25">
      <c r="O18469" s="20" t="str">
        <f>IF(N18469="","",COUNTIFS(RawData[[Date ]],N18469,RawData[Month List],$Q$6,RawData[Tour/Site],$Q$2,RawData[[Picker ID ]],$Q$3,RawData[Checker ID],$Q$4,RawData[[Error Type ]],$Q$5))</f>
        <v/>
      </c>
    </row>
    <row r="18470" spans="15:15" x14ac:dyDescent="0.25">
      <c r="O18470" s="20" t="str">
        <f>IF(N18470="","",COUNTIFS(RawData[[Date ]],N18470,RawData[Month List],$Q$6,RawData[Tour/Site],$Q$2,RawData[[Picker ID ]],$Q$3,RawData[Checker ID],$Q$4,RawData[[Error Type ]],$Q$5))</f>
        <v/>
      </c>
    </row>
    <row r="18471" spans="15:15" x14ac:dyDescent="0.25">
      <c r="O18471" s="20" t="str">
        <f>IF(N18471="","",COUNTIFS(RawData[[Date ]],N18471,RawData[Month List],$Q$6,RawData[Tour/Site],$Q$2,RawData[[Picker ID ]],$Q$3,RawData[Checker ID],$Q$4,RawData[[Error Type ]],$Q$5))</f>
        <v/>
      </c>
    </row>
    <row r="18472" spans="15:15" x14ac:dyDescent="0.25">
      <c r="O18472" s="20" t="str">
        <f>IF(N18472="","",COUNTIFS(RawData[[Date ]],N18472,RawData[Month List],$Q$6,RawData[Tour/Site],$Q$2,RawData[[Picker ID ]],$Q$3,RawData[Checker ID],$Q$4,RawData[[Error Type ]],$Q$5))</f>
        <v/>
      </c>
    </row>
    <row r="18473" spans="15:15" x14ac:dyDescent="0.25">
      <c r="O18473" s="20" t="str">
        <f>IF(N18473="","",COUNTIFS(RawData[[Date ]],N18473,RawData[Month List],$Q$6,RawData[Tour/Site],$Q$2,RawData[[Picker ID ]],$Q$3,RawData[Checker ID],$Q$4,RawData[[Error Type ]],$Q$5))</f>
        <v/>
      </c>
    </row>
    <row r="18474" spans="15:15" x14ac:dyDescent="0.25">
      <c r="O18474" s="20" t="str">
        <f>IF(N18474="","",COUNTIFS(RawData[[Date ]],N18474,RawData[Month List],$Q$6,RawData[Tour/Site],$Q$2,RawData[[Picker ID ]],$Q$3,RawData[Checker ID],$Q$4,RawData[[Error Type ]],$Q$5))</f>
        <v/>
      </c>
    </row>
    <row r="18475" spans="15:15" x14ac:dyDescent="0.25">
      <c r="O18475" s="20" t="str">
        <f>IF(N18475="","",COUNTIFS(RawData[[Date ]],N18475,RawData[Month List],$Q$6,RawData[Tour/Site],$Q$2,RawData[[Picker ID ]],$Q$3,RawData[Checker ID],$Q$4,RawData[[Error Type ]],$Q$5))</f>
        <v/>
      </c>
    </row>
    <row r="18476" spans="15:15" x14ac:dyDescent="0.25">
      <c r="O18476" s="20" t="str">
        <f>IF(N18476="","",COUNTIFS(RawData[[Date ]],N18476,RawData[Month List],$Q$6,RawData[Tour/Site],$Q$2,RawData[[Picker ID ]],$Q$3,RawData[Checker ID],$Q$4,RawData[[Error Type ]],$Q$5))</f>
        <v/>
      </c>
    </row>
    <row r="18477" spans="15:15" x14ac:dyDescent="0.25">
      <c r="O18477" s="20" t="str">
        <f>IF(N18477="","",COUNTIFS(RawData[[Date ]],N18477,RawData[Month List],$Q$6,RawData[Tour/Site],$Q$2,RawData[[Picker ID ]],$Q$3,RawData[Checker ID],$Q$4,RawData[[Error Type ]],$Q$5))</f>
        <v/>
      </c>
    </row>
    <row r="18478" spans="15:15" x14ac:dyDescent="0.25">
      <c r="O18478" s="20" t="str">
        <f>IF(N18478="","",COUNTIFS(RawData[[Date ]],N18478,RawData[Month List],$Q$6,RawData[Tour/Site],$Q$2,RawData[[Picker ID ]],$Q$3,RawData[Checker ID],$Q$4,RawData[[Error Type ]],$Q$5))</f>
        <v/>
      </c>
    </row>
    <row r="18479" spans="15:15" x14ac:dyDescent="0.25">
      <c r="O18479" s="20" t="str">
        <f>IF(N18479="","",COUNTIFS(RawData[[Date ]],N18479,RawData[Month List],$Q$6,RawData[Tour/Site],$Q$2,RawData[[Picker ID ]],$Q$3,RawData[Checker ID],$Q$4,RawData[[Error Type ]],$Q$5))</f>
        <v/>
      </c>
    </row>
    <row r="18480" spans="15:15" x14ac:dyDescent="0.25">
      <c r="O18480" s="20" t="str">
        <f>IF(N18480="","",COUNTIFS(RawData[[Date ]],N18480,RawData[Month List],$Q$6,RawData[Tour/Site],$Q$2,RawData[[Picker ID ]],$Q$3,RawData[Checker ID],$Q$4,RawData[[Error Type ]],$Q$5))</f>
        <v/>
      </c>
    </row>
    <row r="18481" spans="15:15" x14ac:dyDescent="0.25">
      <c r="O18481" s="20" t="str">
        <f>IF(N18481="","",COUNTIFS(RawData[[Date ]],N18481,RawData[Month List],$Q$6,RawData[Tour/Site],$Q$2,RawData[[Picker ID ]],$Q$3,RawData[Checker ID],$Q$4,RawData[[Error Type ]],$Q$5))</f>
        <v/>
      </c>
    </row>
    <row r="18482" spans="15:15" x14ac:dyDescent="0.25">
      <c r="O18482" s="20" t="str">
        <f>IF(N18482="","",COUNTIFS(RawData[[Date ]],N18482,RawData[Month List],$Q$6,RawData[Tour/Site],$Q$2,RawData[[Picker ID ]],$Q$3,RawData[Checker ID],$Q$4,RawData[[Error Type ]],$Q$5))</f>
        <v/>
      </c>
    </row>
    <row r="18483" spans="15:15" x14ac:dyDescent="0.25">
      <c r="O18483" s="20" t="str">
        <f>IF(N18483="","",COUNTIFS(RawData[[Date ]],N18483,RawData[Month List],$Q$6,RawData[Tour/Site],$Q$2,RawData[[Picker ID ]],$Q$3,RawData[Checker ID],$Q$4,RawData[[Error Type ]],$Q$5))</f>
        <v/>
      </c>
    </row>
    <row r="18484" spans="15:15" x14ac:dyDescent="0.25">
      <c r="O18484" s="20" t="str">
        <f>IF(N18484="","",COUNTIFS(RawData[[Date ]],N18484,RawData[Month List],$Q$6,RawData[Tour/Site],$Q$2,RawData[[Picker ID ]],$Q$3,RawData[Checker ID],$Q$4,RawData[[Error Type ]],$Q$5))</f>
        <v/>
      </c>
    </row>
    <row r="18485" spans="15:15" x14ac:dyDescent="0.25">
      <c r="O18485" s="20" t="str">
        <f>IF(N18485="","",COUNTIFS(RawData[[Date ]],N18485,RawData[Month List],$Q$6,RawData[Tour/Site],$Q$2,RawData[[Picker ID ]],$Q$3,RawData[Checker ID],$Q$4,RawData[[Error Type ]],$Q$5))</f>
        <v/>
      </c>
    </row>
    <row r="18486" spans="15:15" x14ac:dyDescent="0.25">
      <c r="O18486" s="20" t="str">
        <f>IF(N18486="","",COUNTIFS(RawData[[Date ]],N18486,RawData[Month List],$Q$6,RawData[Tour/Site],$Q$2,RawData[[Picker ID ]],$Q$3,RawData[Checker ID],$Q$4,RawData[[Error Type ]],$Q$5))</f>
        <v/>
      </c>
    </row>
    <row r="18487" spans="15:15" x14ac:dyDescent="0.25">
      <c r="O18487" s="20" t="str">
        <f>IF(N18487="","",COUNTIFS(RawData[[Date ]],N18487,RawData[Month List],$Q$6,RawData[Tour/Site],$Q$2,RawData[[Picker ID ]],$Q$3,RawData[Checker ID],$Q$4,RawData[[Error Type ]],$Q$5))</f>
        <v/>
      </c>
    </row>
    <row r="18488" spans="15:15" x14ac:dyDescent="0.25">
      <c r="O18488" s="20" t="str">
        <f>IF(N18488="","",COUNTIFS(RawData[[Date ]],N18488,RawData[Month List],$Q$6,RawData[Tour/Site],$Q$2,RawData[[Picker ID ]],$Q$3,RawData[Checker ID],$Q$4,RawData[[Error Type ]],$Q$5))</f>
        <v/>
      </c>
    </row>
    <row r="18489" spans="15:15" x14ac:dyDescent="0.25">
      <c r="O18489" s="20" t="str">
        <f>IF(N18489="","",COUNTIFS(RawData[[Date ]],N18489,RawData[Month List],$Q$6,RawData[Tour/Site],$Q$2,RawData[[Picker ID ]],$Q$3,RawData[Checker ID],$Q$4,RawData[[Error Type ]],$Q$5))</f>
        <v/>
      </c>
    </row>
    <row r="18490" spans="15:15" x14ac:dyDescent="0.25">
      <c r="O18490" s="20" t="str">
        <f>IF(N18490="","",COUNTIFS(RawData[[Date ]],N18490,RawData[Month List],$Q$6,RawData[Tour/Site],$Q$2,RawData[[Picker ID ]],$Q$3,RawData[Checker ID],$Q$4,RawData[[Error Type ]],$Q$5))</f>
        <v/>
      </c>
    </row>
    <row r="18491" spans="15:15" x14ac:dyDescent="0.25">
      <c r="O18491" s="20" t="str">
        <f>IF(N18491="","",COUNTIFS(RawData[[Date ]],N18491,RawData[Month List],$Q$6,RawData[Tour/Site],$Q$2,RawData[[Picker ID ]],$Q$3,RawData[Checker ID],$Q$4,RawData[[Error Type ]],$Q$5))</f>
        <v/>
      </c>
    </row>
    <row r="18492" spans="15:15" x14ac:dyDescent="0.25">
      <c r="O18492" s="20" t="str">
        <f>IF(N18492="","",COUNTIFS(RawData[[Date ]],N18492,RawData[Month List],$Q$6,RawData[Tour/Site],$Q$2,RawData[[Picker ID ]],$Q$3,RawData[Checker ID],$Q$4,RawData[[Error Type ]],$Q$5))</f>
        <v/>
      </c>
    </row>
    <row r="18493" spans="15:15" x14ac:dyDescent="0.25">
      <c r="O18493" s="20" t="str">
        <f>IF(N18493="","",COUNTIFS(RawData[[Date ]],N18493,RawData[Month List],$Q$6,RawData[Tour/Site],$Q$2,RawData[[Picker ID ]],$Q$3,RawData[Checker ID],$Q$4,RawData[[Error Type ]],$Q$5))</f>
        <v/>
      </c>
    </row>
    <row r="18494" spans="15:15" x14ac:dyDescent="0.25">
      <c r="O18494" s="20" t="str">
        <f>IF(N18494="","",COUNTIFS(RawData[[Date ]],N18494,RawData[Month List],$Q$6,RawData[Tour/Site],$Q$2,RawData[[Picker ID ]],$Q$3,RawData[Checker ID],$Q$4,RawData[[Error Type ]],$Q$5))</f>
        <v/>
      </c>
    </row>
    <row r="18495" spans="15:15" x14ac:dyDescent="0.25">
      <c r="O18495" s="20" t="str">
        <f>IF(N18495="","",COUNTIFS(RawData[[Date ]],N18495,RawData[Month List],$Q$6,RawData[Tour/Site],$Q$2,RawData[[Picker ID ]],$Q$3,RawData[Checker ID],$Q$4,RawData[[Error Type ]],$Q$5))</f>
        <v/>
      </c>
    </row>
    <row r="18496" spans="15:15" x14ac:dyDescent="0.25">
      <c r="O18496" s="20" t="str">
        <f>IF(N18496="","",COUNTIFS(RawData[[Date ]],N18496,RawData[Month List],$Q$6,RawData[Tour/Site],$Q$2,RawData[[Picker ID ]],$Q$3,RawData[Checker ID],$Q$4,RawData[[Error Type ]],$Q$5))</f>
        <v/>
      </c>
    </row>
    <row r="18497" spans="15:15" x14ac:dyDescent="0.25">
      <c r="O18497" s="20" t="str">
        <f>IF(N18497="","",COUNTIFS(RawData[[Date ]],N18497,RawData[Month List],$Q$6,RawData[Tour/Site],$Q$2,RawData[[Picker ID ]],$Q$3,RawData[Checker ID],$Q$4,RawData[[Error Type ]],$Q$5))</f>
        <v/>
      </c>
    </row>
    <row r="18498" spans="15:15" x14ac:dyDescent="0.25">
      <c r="O18498" s="20" t="str">
        <f>IF(N18498="","",COUNTIFS(RawData[[Date ]],N18498,RawData[Month List],$Q$6,RawData[Tour/Site],$Q$2,RawData[[Picker ID ]],$Q$3,RawData[Checker ID],$Q$4,RawData[[Error Type ]],$Q$5))</f>
        <v/>
      </c>
    </row>
    <row r="18499" spans="15:15" x14ac:dyDescent="0.25">
      <c r="O18499" s="20" t="str">
        <f>IF(N18499="","",COUNTIFS(RawData[[Date ]],N18499,RawData[Month List],$Q$6,RawData[Tour/Site],$Q$2,RawData[[Picker ID ]],$Q$3,RawData[Checker ID],$Q$4,RawData[[Error Type ]],$Q$5))</f>
        <v/>
      </c>
    </row>
    <row r="18500" spans="15:15" x14ac:dyDescent="0.25">
      <c r="O18500" s="20" t="str">
        <f>IF(N18500="","",COUNTIFS(RawData[[Date ]],N18500,RawData[Month List],$Q$6,RawData[Tour/Site],$Q$2,RawData[[Picker ID ]],$Q$3,RawData[Checker ID],$Q$4,RawData[[Error Type ]],$Q$5))</f>
        <v/>
      </c>
    </row>
    <row r="18501" spans="15:15" x14ac:dyDescent="0.25">
      <c r="O18501" s="20" t="str">
        <f>IF(N18501="","",COUNTIFS(RawData[[Date ]],N18501,RawData[Month List],$Q$6,RawData[Tour/Site],$Q$2,RawData[[Picker ID ]],$Q$3,RawData[Checker ID],$Q$4,RawData[[Error Type ]],$Q$5))</f>
        <v/>
      </c>
    </row>
    <row r="18502" spans="15:15" x14ac:dyDescent="0.25">
      <c r="O18502" s="20" t="str">
        <f>IF(N18502="","",COUNTIFS(RawData[[Date ]],N18502,RawData[Month List],$Q$6,RawData[Tour/Site],$Q$2,RawData[[Picker ID ]],$Q$3,RawData[Checker ID],$Q$4,RawData[[Error Type ]],$Q$5))</f>
        <v/>
      </c>
    </row>
    <row r="18503" spans="15:15" x14ac:dyDescent="0.25">
      <c r="O18503" s="20" t="str">
        <f>IF(N18503="","",COUNTIFS(RawData[[Date ]],N18503,RawData[Month List],$Q$6,RawData[Tour/Site],$Q$2,RawData[[Picker ID ]],$Q$3,RawData[Checker ID],$Q$4,RawData[[Error Type ]],$Q$5))</f>
        <v/>
      </c>
    </row>
    <row r="18504" spans="15:15" x14ac:dyDescent="0.25">
      <c r="O18504" s="20" t="str">
        <f>IF(N18504="","",COUNTIFS(RawData[[Date ]],N18504,RawData[Month List],$Q$6,RawData[Tour/Site],$Q$2,RawData[[Picker ID ]],$Q$3,RawData[Checker ID],$Q$4,RawData[[Error Type ]],$Q$5))</f>
        <v/>
      </c>
    </row>
    <row r="18505" spans="15:15" x14ac:dyDescent="0.25">
      <c r="O18505" s="20" t="str">
        <f>IF(N18505="","",COUNTIFS(RawData[[Date ]],N18505,RawData[Month List],$Q$6,RawData[Tour/Site],$Q$2,RawData[[Picker ID ]],$Q$3,RawData[Checker ID],$Q$4,RawData[[Error Type ]],$Q$5))</f>
        <v/>
      </c>
    </row>
    <row r="18506" spans="15:15" x14ac:dyDescent="0.25">
      <c r="O18506" s="20" t="str">
        <f>IF(N18506="","",COUNTIFS(RawData[[Date ]],N18506,RawData[Month List],$Q$6,RawData[Tour/Site],$Q$2,RawData[[Picker ID ]],$Q$3,RawData[Checker ID],$Q$4,RawData[[Error Type ]],$Q$5))</f>
        <v/>
      </c>
    </row>
    <row r="18507" spans="15:15" x14ac:dyDescent="0.25">
      <c r="O18507" s="20" t="str">
        <f>IF(N18507="","",COUNTIFS(RawData[[Date ]],N18507,RawData[Month List],$Q$6,RawData[Tour/Site],$Q$2,RawData[[Picker ID ]],$Q$3,RawData[Checker ID],$Q$4,RawData[[Error Type ]],$Q$5))</f>
        <v/>
      </c>
    </row>
    <row r="18508" spans="15:15" x14ac:dyDescent="0.25">
      <c r="O18508" s="20" t="str">
        <f>IF(N18508="","",COUNTIFS(RawData[[Date ]],N18508,RawData[Month List],$Q$6,RawData[Tour/Site],$Q$2,RawData[[Picker ID ]],$Q$3,RawData[Checker ID],$Q$4,RawData[[Error Type ]],$Q$5))</f>
        <v/>
      </c>
    </row>
    <row r="18509" spans="15:15" x14ac:dyDescent="0.25">
      <c r="O18509" s="20" t="str">
        <f>IF(N18509="","",COUNTIFS(RawData[[Date ]],N18509,RawData[Month List],$Q$6,RawData[Tour/Site],$Q$2,RawData[[Picker ID ]],$Q$3,RawData[Checker ID],$Q$4,RawData[[Error Type ]],$Q$5))</f>
        <v/>
      </c>
    </row>
    <row r="18510" spans="15:15" x14ac:dyDescent="0.25">
      <c r="O18510" s="20" t="str">
        <f>IF(N18510="","",COUNTIFS(RawData[[Date ]],N18510,RawData[Month List],$Q$6,RawData[Tour/Site],$Q$2,RawData[[Picker ID ]],$Q$3,RawData[Checker ID],$Q$4,RawData[[Error Type ]],$Q$5))</f>
        <v/>
      </c>
    </row>
    <row r="18511" spans="15:15" x14ac:dyDescent="0.25">
      <c r="O18511" s="20" t="str">
        <f>IF(N18511="","",COUNTIFS(RawData[[Date ]],N18511,RawData[Month List],$Q$6,RawData[Tour/Site],$Q$2,RawData[[Picker ID ]],$Q$3,RawData[Checker ID],$Q$4,RawData[[Error Type ]],$Q$5))</f>
        <v/>
      </c>
    </row>
    <row r="18512" spans="15:15" x14ac:dyDescent="0.25">
      <c r="O18512" s="20" t="str">
        <f>IF(N18512="","",COUNTIFS(RawData[[Date ]],N18512,RawData[Month List],$Q$6,RawData[Tour/Site],$Q$2,RawData[[Picker ID ]],$Q$3,RawData[Checker ID],$Q$4,RawData[[Error Type ]],$Q$5))</f>
        <v/>
      </c>
    </row>
    <row r="18513" spans="15:15" x14ac:dyDescent="0.25">
      <c r="O18513" s="20" t="str">
        <f>IF(N18513="","",COUNTIFS(RawData[[Date ]],N18513,RawData[Month List],$Q$6,RawData[Tour/Site],$Q$2,RawData[[Picker ID ]],$Q$3,RawData[Checker ID],$Q$4,RawData[[Error Type ]],$Q$5))</f>
        <v/>
      </c>
    </row>
    <row r="18514" spans="15:15" x14ac:dyDescent="0.25">
      <c r="O18514" s="20" t="str">
        <f>IF(N18514="","",COUNTIFS(RawData[[Date ]],N18514,RawData[Month List],$Q$6,RawData[Tour/Site],$Q$2,RawData[[Picker ID ]],$Q$3,RawData[Checker ID],$Q$4,RawData[[Error Type ]],$Q$5))</f>
        <v/>
      </c>
    </row>
    <row r="18515" spans="15:15" x14ac:dyDescent="0.25">
      <c r="O18515" s="20" t="str">
        <f>IF(N18515="","",COUNTIFS(RawData[[Date ]],N18515,RawData[Month List],$Q$6,RawData[Tour/Site],$Q$2,RawData[[Picker ID ]],$Q$3,RawData[Checker ID],$Q$4,RawData[[Error Type ]],$Q$5))</f>
        <v/>
      </c>
    </row>
    <row r="18516" spans="15:15" x14ac:dyDescent="0.25">
      <c r="O18516" s="20" t="str">
        <f>IF(N18516="","",COUNTIFS(RawData[[Date ]],N18516,RawData[Month List],$Q$6,RawData[Tour/Site],$Q$2,RawData[[Picker ID ]],$Q$3,RawData[Checker ID],$Q$4,RawData[[Error Type ]],$Q$5))</f>
        <v/>
      </c>
    </row>
    <row r="18517" spans="15:15" x14ac:dyDescent="0.25">
      <c r="O18517" s="20" t="str">
        <f>IF(N18517="","",COUNTIFS(RawData[[Date ]],N18517,RawData[Month List],$Q$6,RawData[Tour/Site],$Q$2,RawData[[Picker ID ]],$Q$3,RawData[Checker ID],$Q$4,RawData[[Error Type ]],$Q$5))</f>
        <v/>
      </c>
    </row>
    <row r="18518" spans="15:15" x14ac:dyDescent="0.25">
      <c r="O18518" s="20" t="str">
        <f>IF(N18518="","",COUNTIFS(RawData[[Date ]],N18518,RawData[Month List],$Q$6,RawData[Tour/Site],$Q$2,RawData[[Picker ID ]],$Q$3,RawData[Checker ID],$Q$4,RawData[[Error Type ]],$Q$5))</f>
        <v/>
      </c>
    </row>
    <row r="18519" spans="15:15" x14ac:dyDescent="0.25">
      <c r="O18519" s="20" t="str">
        <f>IF(N18519="","",COUNTIFS(RawData[[Date ]],N18519,RawData[Month List],$Q$6,RawData[Tour/Site],$Q$2,RawData[[Picker ID ]],$Q$3,RawData[Checker ID],$Q$4,RawData[[Error Type ]],$Q$5))</f>
        <v/>
      </c>
    </row>
    <row r="18520" spans="15:15" x14ac:dyDescent="0.25">
      <c r="O18520" s="20" t="str">
        <f>IF(N18520="","",COUNTIFS(RawData[[Date ]],N18520,RawData[Month List],$Q$6,RawData[Tour/Site],$Q$2,RawData[[Picker ID ]],$Q$3,RawData[Checker ID],$Q$4,RawData[[Error Type ]],$Q$5))</f>
        <v/>
      </c>
    </row>
    <row r="18521" spans="15:15" x14ac:dyDescent="0.25">
      <c r="O18521" s="20" t="str">
        <f>IF(N18521="","",COUNTIFS(RawData[[Date ]],N18521,RawData[Month List],$Q$6,RawData[Tour/Site],$Q$2,RawData[[Picker ID ]],$Q$3,RawData[Checker ID],$Q$4,RawData[[Error Type ]],$Q$5))</f>
        <v/>
      </c>
    </row>
    <row r="18522" spans="15:15" x14ac:dyDescent="0.25">
      <c r="O18522" s="20" t="str">
        <f>IF(N18522="","",COUNTIFS(RawData[[Date ]],N18522,RawData[Month List],$Q$6,RawData[Tour/Site],$Q$2,RawData[[Picker ID ]],$Q$3,RawData[Checker ID],$Q$4,RawData[[Error Type ]],$Q$5))</f>
        <v/>
      </c>
    </row>
    <row r="18523" spans="15:15" x14ac:dyDescent="0.25">
      <c r="O18523" s="20" t="str">
        <f>IF(N18523="","",COUNTIFS(RawData[[Date ]],N18523,RawData[Month List],$Q$6,RawData[Tour/Site],$Q$2,RawData[[Picker ID ]],$Q$3,RawData[Checker ID],$Q$4,RawData[[Error Type ]],$Q$5))</f>
        <v/>
      </c>
    </row>
    <row r="18524" spans="15:15" x14ac:dyDescent="0.25">
      <c r="O18524" s="20" t="str">
        <f>IF(N18524="","",COUNTIFS(RawData[[Date ]],N18524,RawData[Month List],$Q$6,RawData[Tour/Site],$Q$2,RawData[[Picker ID ]],$Q$3,RawData[Checker ID],$Q$4,RawData[[Error Type ]],$Q$5))</f>
        <v/>
      </c>
    </row>
    <row r="18525" spans="15:15" x14ac:dyDescent="0.25">
      <c r="O18525" s="20" t="str">
        <f>IF(N18525="","",COUNTIFS(RawData[[Date ]],N18525,RawData[Month List],$Q$6,RawData[Tour/Site],$Q$2,RawData[[Picker ID ]],$Q$3,RawData[Checker ID],$Q$4,RawData[[Error Type ]],$Q$5))</f>
        <v/>
      </c>
    </row>
    <row r="18526" spans="15:15" x14ac:dyDescent="0.25">
      <c r="O18526" s="20" t="str">
        <f>IF(N18526="","",COUNTIFS(RawData[[Date ]],N18526,RawData[Month List],$Q$6,RawData[Tour/Site],$Q$2,RawData[[Picker ID ]],$Q$3,RawData[Checker ID],$Q$4,RawData[[Error Type ]],$Q$5))</f>
        <v/>
      </c>
    </row>
    <row r="18527" spans="15:15" x14ac:dyDescent="0.25">
      <c r="O18527" s="20" t="str">
        <f>IF(N18527="","",COUNTIFS(RawData[[Date ]],N18527,RawData[Month List],$Q$6,RawData[Tour/Site],$Q$2,RawData[[Picker ID ]],$Q$3,RawData[Checker ID],$Q$4,RawData[[Error Type ]],$Q$5))</f>
        <v/>
      </c>
    </row>
    <row r="18528" spans="15:15" x14ac:dyDescent="0.25">
      <c r="O18528" s="20" t="str">
        <f>IF(N18528="","",COUNTIFS(RawData[[Date ]],N18528,RawData[Month List],$Q$6,RawData[Tour/Site],$Q$2,RawData[[Picker ID ]],$Q$3,RawData[Checker ID],$Q$4,RawData[[Error Type ]],$Q$5))</f>
        <v/>
      </c>
    </row>
    <row r="18529" spans="15:15" x14ac:dyDescent="0.25">
      <c r="O18529" s="20" t="str">
        <f>IF(N18529="","",COUNTIFS(RawData[[Date ]],N18529,RawData[Month List],$Q$6,RawData[Tour/Site],$Q$2,RawData[[Picker ID ]],$Q$3,RawData[Checker ID],$Q$4,RawData[[Error Type ]],$Q$5))</f>
        <v/>
      </c>
    </row>
    <row r="18530" spans="15:15" x14ac:dyDescent="0.25">
      <c r="O18530" s="20" t="str">
        <f>IF(N18530="","",COUNTIFS(RawData[[Date ]],N18530,RawData[Month List],$Q$6,RawData[Tour/Site],$Q$2,RawData[[Picker ID ]],$Q$3,RawData[Checker ID],$Q$4,RawData[[Error Type ]],$Q$5))</f>
        <v/>
      </c>
    </row>
    <row r="18531" spans="15:15" x14ac:dyDescent="0.25">
      <c r="O18531" s="20" t="str">
        <f>IF(N18531="","",COUNTIFS(RawData[[Date ]],N18531,RawData[Month List],$Q$6,RawData[Tour/Site],$Q$2,RawData[[Picker ID ]],$Q$3,RawData[Checker ID],$Q$4,RawData[[Error Type ]],$Q$5))</f>
        <v/>
      </c>
    </row>
    <row r="18532" spans="15:15" x14ac:dyDescent="0.25">
      <c r="O18532" s="20" t="str">
        <f>IF(N18532="","",COUNTIFS(RawData[[Date ]],N18532,RawData[Month List],$Q$6,RawData[Tour/Site],$Q$2,RawData[[Picker ID ]],$Q$3,RawData[Checker ID],$Q$4,RawData[[Error Type ]],$Q$5))</f>
        <v/>
      </c>
    </row>
    <row r="18533" spans="15:15" x14ac:dyDescent="0.25">
      <c r="O18533" s="20" t="str">
        <f>IF(N18533="","",COUNTIFS(RawData[[Date ]],N18533,RawData[Month List],$Q$6,RawData[Tour/Site],$Q$2,RawData[[Picker ID ]],$Q$3,RawData[Checker ID],$Q$4,RawData[[Error Type ]],$Q$5))</f>
        <v/>
      </c>
    </row>
    <row r="18534" spans="15:15" x14ac:dyDescent="0.25">
      <c r="O18534" s="20" t="str">
        <f>IF(N18534="","",COUNTIFS(RawData[[Date ]],N18534,RawData[Month List],$Q$6,RawData[Tour/Site],$Q$2,RawData[[Picker ID ]],$Q$3,RawData[Checker ID],$Q$4,RawData[[Error Type ]],$Q$5))</f>
        <v/>
      </c>
    </row>
    <row r="18535" spans="15:15" x14ac:dyDescent="0.25">
      <c r="O18535" s="20" t="str">
        <f>IF(N18535="","",COUNTIFS(RawData[[Date ]],N18535,RawData[Month List],$Q$6,RawData[Tour/Site],$Q$2,RawData[[Picker ID ]],$Q$3,RawData[Checker ID],$Q$4,RawData[[Error Type ]],$Q$5))</f>
        <v/>
      </c>
    </row>
    <row r="18536" spans="15:15" x14ac:dyDescent="0.25">
      <c r="O18536" s="20" t="str">
        <f>IF(N18536="","",COUNTIFS(RawData[[Date ]],N18536,RawData[Month List],$Q$6,RawData[Tour/Site],$Q$2,RawData[[Picker ID ]],$Q$3,RawData[Checker ID],$Q$4,RawData[[Error Type ]],$Q$5))</f>
        <v/>
      </c>
    </row>
    <row r="18537" spans="15:15" x14ac:dyDescent="0.25">
      <c r="O18537" s="20" t="str">
        <f>IF(N18537="","",COUNTIFS(RawData[[Date ]],N18537,RawData[Month List],$Q$6,RawData[Tour/Site],$Q$2,RawData[[Picker ID ]],$Q$3,RawData[Checker ID],$Q$4,RawData[[Error Type ]],$Q$5))</f>
        <v/>
      </c>
    </row>
    <row r="18538" spans="15:15" x14ac:dyDescent="0.25">
      <c r="O18538" s="20" t="str">
        <f>IF(N18538="","",COUNTIFS(RawData[[Date ]],N18538,RawData[Month List],$Q$6,RawData[Tour/Site],$Q$2,RawData[[Picker ID ]],$Q$3,RawData[Checker ID],$Q$4,RawData[[Error Type ]],$Q$5))</f>
        <v/>
      </c>
    </row>
    <row r="18539" spans="15:15" x14ac:dyDescent="0.25">
      <c r="O18539" s="20" t="str">
        <f>IF(N18539="","",COUNTIFS(RawData[[Date ]],N18539,RawData[Month List],$Q$6,RawData[Tour/Site],$Q$2,RawData[[Picker ID ]],$Q$3,RawData[Checker ID],$Q$4,RawData[[Error Type ]],$Q$5))</f>
        <v/>
      </c>
    </row>
    <row r="18540" spans="15:15" x14ac:dyDescent="0.25">
      <c r="O18540" s="20" t="str">
        <f>IF(N18540="","",COUNTIFS(RawData[[Date ]],N18540,RawData[Month List],$Q$6,RawData[Tour/Site],$Q$2,RawData[[Picker ID ]],$Q$3,RawData[Checker ID],$Q$4,RawData[[Error Type ]],$Q$5))</f>
        <v/>
      </c>
    </row>
    <row r="18541" spans="15:15" x14ac:dyDescent="0.25">
      <c r="O18541" s="20" t="str">
        <f>IF(N18541="","",COUNTIFS(RawData[[Date ]],N18541,RawData[Month List],$Q$6,RawData[Tour/Site],$Q$2,RawData[[Picker ID ]],$Q$3,RawData[Checker ID],$Q$4,RawData[[Error Type ]],$Q$5))</f>
        <v/>
      </c>
    </row>
    <row r="18542" spans="15:15" x14ac:dyDescent="0.25">
      <c r="O18542" s="20" t="str">
        <f>IF(N18542="","",COUNTIFS(RawData[[Date ]],N18542,RawData[Month List],$Q$6,RawData[Tour/Site],$Q$2,RawData[[Picker ID ]],$Q$3,RawData[Checker ID],$Q$4,RawData[[Error Type ]],$Q$5))</f>
        <v/>
      </c>
    </row>
    <row r="18543" spans="15:15" x14ac:dyDescent="0.25">
      <c r="O18543" s="20" t="str">
        <f>IF(N18543="","",COUNTIFS(RawData[[Date ]],N18543,RawData[Month List],$Q$6,RawData[Tour/Site],$Q$2,RawData[[Picker ID ]],$Q$3,RawData[Checker ID],$Q$4,RawData[[Error Type ]],$Q$5))</f>
        <v/>
      </c>
    </row>
    <row r="18544" spans="15:15" x14ac:dyDescent="0.25">
      <c r="O18544" s="20" t="str">
        <f>IF(N18544="","",COUNTIFS(RawData[[Date ]],N18544,RawData[Month List],$Q$6,RawData[Tour/Site],$Q$2,RawData[[Picker ID ]],$Q$3,RawData[Checker ID],$Q$4,RawData[[Error Type ]],$Q$5))</f>
        <v/>
      </c>
    </row>
    <row r="18545" spans="15:15" x14ac:dyDescent="0.25">
      <c r="O18545" s="20" t="str">
        <f>IF(N18545="","",COUNTIFS(RawData[[Date ]],N18545,RawData[Month List],$Q$6,RawData[Tour/Site],$Q$2,RawData[[Picker ID ]],$Q$3,RawData[Checker ID],$Q$4,RawData[[Error Type ]],$Q$5))</f>
        <v/>
      </c>
    </row>
    <row r="18546" spans="15:15" x14ac:dyDescent="0.25">
      <c r="O18546" s="20" t="str">
        <f>IF(N18546="","",COUNTIFS(RawData[[Date ]],N18546,RawData[Month List],$Q$6,RawData[Tour/Site],$Q$2,RawData[[Picker ID ]],$Q$3,RawData[Checker ID],$Q$4,RawData[[Error Type ]],$Q$5))</f>
        <v/>
      </c>
    </row>
    <row r="18547" spans="15:15" x14ac:dyDescent="0.25">
      <c r="O18547" s="20" t="str">
        <f>IF(N18547="","",COUNTIFS(RawData[[Date ]],N18547,RawData[Month List],$Q$6,RawData[Tour/Site],$Q$2,RawData[[Picker ID ]],$Q$3,RawData[Checker ID],$Q$4,RawData[[Error Type ]],$Q$5))</f>
        <v/>
      </c>
    </row>
    <row r="18548" spans="15:15" x14ac:dyDescent="0.25">
      <c r="O18548" s="20" t="str">
        <f>IF(N18548="","",COUNTIFS(RawData[[Date ]],N18548,RawData[Month List],$Q$6,RawData[Tour/Site],$Q$2,RawData[[Picker ID ]],$Q$3,RawData[Checker ID],$Q$4,RawData[[Error Type ]],$Q$5))</f>
        <v/>
      </c>
    </row>
    <row r="18549" spans="15:15" x14ac:dyDescent="0.25">
      <c r="O18549" s="20" t="str">
        <f>IF(N18549="","",COUNTIFS(RawData[[Date ]],N18549,RawData[Month List],$Q$6,RawData[Tour/Site],$Q$2,RawData[[Picker ID ]],$Q$3,RawData[Checker ID],$Q$4,RawData[[Error Type ]],$Q$5))</f>
        <v/>
      </c>
    </row>
    <row r="18550" spans="15:15" x14ac:dyDescent="0.25">
      <c r="O18550" s="20" t="str">
        <f>IF(N18550="","",COUNTIFS(RawData[[Date ]],N18550,RawData[Month List],$Q$6,RawData[Tour/Site],$Q$2,RawData[[Picker ID ]],$Q$3,RawData[Checker ID],$Q$4,RawData[[Error Type ]],$Q$5))</f>
        <v/>
      </c>
    </row>
    <row r="18551" spans="15:15" x14ac:dyDescent="0.25">
      <c r="O18551" s="20" t="str">
        <f>IF(N18551="","",COUNTIFS(RawData[[Date ]],N18551,RawData[Month List],$Q$6,RawData[Tour/Site],$Q$2,RawData[[Picker ID ]],$Q$3,RawData[Checker ID],$Q$4,RawData[[Error Type ]],$Q$5))</f>
        <v/>
      </c>
    </row>
    <row r="18552" spans="15:15" x14ac:dyDescent="0.25">
      <c r="O18552" s="20" t="str">
        <f>IF(N18552="","",COUNTIFS(RawData[[Date ]],N18552,RawData[Month List],$Q$6,RawData[Tour/Site],$Q$2,RawData[[Picker ID ]],$Q$3,RawData[Checker ID],$Q$4,RawData[[Error Type ]],$Q$5))</f>
        <v/>
      </c>
    </row>
    <row r="18553" spans="15:15" x14ac:dyDescent="0.25">
      <c r="O18553" s="20" t="str">
        <f>IF(N18553="","",COUNTIFS(RawData[[Date ]],N18553,RawData[Month List],$Q$6,RawData[Tour/Site],$Q$2,RawData[[Picker ID ]],$Q$3,RawData[Checker ID],$Q$4,RawData[[Error Type ]],$Q$5))</f>
        <v/>
      </c>
    </row>
    <row r="18554" spans="15:15" x14ac:dyDescent="0.25">
      <c r="O18554" s="20" t="str">
        <f>IF(N18554="","",COUNTIFS(RawData[[Date ]],N18554,RawData[Month List],$Q$6,RawData[Tour/Site],$Q$2,RawData[[Picker ID ]],$Q$3,RawData[Checker ID],$Q$4,RawData[[Error Type ]],$Q$5))</f>
        <v/>
      </c>
    </row>
    <row r="18555" spans="15:15" x14ac:dyDescent="0.25">
      <c r="O18555" s="20" t="str">
        <f>IF(N18555="","",COUNTIFS(RawData[[Date ]],N18555,RawData[Month List],$Q$6,RawData[Tour/Site],$Q$2,RawData[[Picker ID ]],$Q$3,RawData[Checker ID],$Q$4,RawData[[Error Type ]],$Q$5))</f>
        <v/>
      </c>
    </row>
    <row r="18556" spans="15:15" x14ac:dyDescent="0.25">
      <c r="O18556" s="20" t="str">
        <f>IF(N18556="","",COUNTIFS(RawData[[Date ]],N18556,RawData[Month List],$Q$6,RawData[Tour/Site],$Q$2,RawData[[Picker ID ]],$Q$3,RawData[Checker ID],$Q$4,RawData[[Error Type ]],$Q$5))</f>
        <v/>
      </c>
    </row>
    <row r="18557" spans="15:15" x14ac:dyDescent="0.25">
      <c r="O18557" s="20" t="str">
        <f>IF(N18557="","",COUNTIFS(RawData[[Date ]],N18557,RawData[Month List],$Q$6,RawData[Tour/Site],$Q$2,RawData[[Picker ID ]],$Q$3,RawData[Checker ID],$Q$4,RawData[[Error Type ]],$Q$5))</f>
        <v/>
      </c>
    </row>
    <row r="18558" spans="15:15" x14ac:dyDescent="0.25">
      <c r="O18558" s="20" t="str">
        <f>IF(N18558="","",COUNTIFS(RawData[[Date ]],N18558,RawData[Month List],$Q$6,RawData[Tour/Site],$Q$2,RawData[[Picker ID ]],$Q$3,RawData[Checker ID],$Q$4,RawData[[Error Type ]],$Q$5))</f>
        <v/>
      </c>
    </row>
    <row r="18559" spans="15:15" x14ac:dyDescent="0.25">
      <c r="O18559" s="20" t="str">
        <f>IF(N18559="","",COUNTIFS(RawData[[Date ]],N18559,RawData[Month List],$Q$6,RawData[Tour/Site],$Q$2,RawData[[Picker ID ]],$Q$3,RawData[Checker ID],$Q$4,RawData[[Error Type ]],$Q$5))</f>
        <v/>
      </c>
    </row>
    <row r="18560" spans="15:15" x14ac:dyDescent="0.25">
      <c r="O18560" s="20" t="str">
        <f>IF(N18560="","",COUNTIFS(RawData[[Date ]],N18560,RawData[Month List],$Q$6,RawData[Tour/Site],$Q$2,RawData[[Picker ID ]],$Q$3,RawData[Checker ID],$Q$4,RawData[[Error Type ]],$Q$5))</f>
        <v/>
      </c>
    </row>
    <row r="18561" spans="15:15" x14ac:dyDescent="0.25">
      <c r="O18561" s="20" t="str">
        <f>IF(N18561="","",COUNTIFS(RawData[[Date ]],N18561,RawData[Month List],$Q$6,RawData[Tour/Site],$Q$2,RawData[[Picker ID ]],$Q$3,RawData[Checker ID],$Q$4,RawData[[Error Type ]],$Q$5))</f>
        <v/>
      </c>
    </row>
    <row r="18562" spans="15:15" x14ac:dyDescent="0.25">
      <c r="O18562" s="20" t="str">
        <f>IF(N18562="","",COUNTIFS(RawData[[Date ]],N18562,RawData[Month List],$Q$6,RawData[Tour/Site],$Q$2,RawData[[Picker ID ]],$Q$3,RawData[Checker ID],$Q$4,RawData[[Error Type ]],$Q$5))</f>
        <v/>
      </c>
    </row>
    <row r="18563" spans="15:15" x14ac:dyDescent="0.25">
      <c r="O18563" s="20" t="str">
        <f>IF(N18563="","",COUNTIFS(RawData[[Date ]],N18563,RawData[Month List],$Q$6,RawData[Tour/Site],$Q$2,RawData[[Picker ID ]],$Q$3,RawData[Checker ID],$Q$4,RawData[[Error Type ]],$Q$5))</f>
        <v/>
      </c>
    </row>
    <row r="18564" spans="15:15" x14ac:dyDescent="0.25">
      <c r="O18564" s="20" t="str">
        <f>IF(N18564="","",COUNTIFS(RawData[[Date ]],N18564,RawData[Month List],$Q$6,RawData[Tour/Site],$Q$2,RawData[[Picker ID ]],$Q$3,RawData[Checker ID],$Q$4,RawData[[Error Type ]],$Q$5))</f>
        <v/>
      </c>
    </row>
    <row r="18565" spans="15:15" x14ac:dyDescent="0.25">
      <c r="O18565" s="20" t="str">
        <f>IF(N18565="","",COUNTIFS(RawData[[Date ]],N18565,RawData[Month List],$Q$6,RawData[Tour/Site],$Q$2,RawData[[Picker ID ]],$Q$3,RawData[Checker ID],$Q$4,RawData[[Error Type ]],$Q$5))</f>
        <v/>
      </c>
    </row>
    <row r="18566" spans="15:15" x14ac:dyDescent="0.25">
      <c r="O18566" s="20" t="str">
        <f>IF(N18566="","",COUNTIFS(RawData[[Date ]],N18566,RawData[Month List],$Q$6,RawData[Tour/Site],$Q$2,RawData[[Picker ID ]],$Q$3,RawData[Checker ID],$Q$4,RawData[[Error Type ]],$Q$5))</f>
        <v/>
      </c>
    </row>
    <row r="18567" spans="15:15" x14ac:dyDescent="0.25">
      <c r="O18567" s="20" t="str">
        <f>IF(N18567="","",COUNTIFS(RawData[[Date ]],N18567,RawData[Month List],$Q$6,RawData[Tour/Site],$Q$2,RawData[[Picker ID ]],$Q$3,RawData[Checker ID],$Q$4,RawData[[Error Type ]],$Q$5))</f>
        <v/>
      </c>
    </row>
    <row r="18568" spans="15:15" x14ac:dyDescent="0.25">
      <c r="O18568" s="20" t="str">
        <f>IF(N18568="","",COUNTIFS(RawData[[Date ]],N18568,RawData[Month List],$Q$6,RawData[Tour/Site],$Q$2,RawData[[Picker ID ]],$Q$3,RawData[Checker ID],$Q$4,RawData[[Error Type ]],$Q$5))</f>
        <v/>
      </c>
    </row>
    <row r="18569" spans="15:15" x14ac:dyDescent="0.25">
      <c r="O18569" s="20" t="str">
        <f>IF(N18569="","",COUNTIFS(RawData[[Date ]],N18569,RawData[Month List],$Q$6,RawData[Tour/Site],$Q$2,RawData[[Picker ID ]],$Q$3,RawData[Checker ID],$Q$4,RawData[[Error Type ]],$Q$5))</f>
        <v/>
      </c>
    </row>
    <row r="18570" spans="15:15" x14ac:dyDescent="0.25">
      <c r="O18570" s="20" t="str">
        <f>IF(N18570="","",COUNTIFS(RawData[[Date ]],N18570,RawData[Month List],$Q$6,RawData[Tour/Site],$Q$2,RawData[[Picker ID ]],$Q$3,RawData[Checker ID],$Q$4,RawData[[Error Type ]],$Q$5))</f>
        <v/>
      </c>
    </row>
    <row r="18571" spans="15:15" x14ac:dyDescent="0.25">
      <c r="O18571" s="20" t="str">
        <f>IF(N18571="","",COUNTIFS(RawData[[Date ]],N18571,RawData[Month List],$Q$6,RawData[Tour/Site],$Q$2,RawData[[Picker ID ]],$Q$3,RawData[Checker ID],$Q$4,RawData[[Error Type ]],$Q$5))</f>
        <v/>
      </c>
    </row>
    <row r="18572" spans="15:15" x14ac:dyDescent="0.25">
      <c r="O18572" s="20" t="str">
        <f>IF(N18572="","",COUNTIFS(RawData[[Date ]],N18572,RawData[Month List],$Q$6,RawData[Tour/Site],$Q$2,RawData[[Picker ID ]],$Q$3,RawData[Checker ID],$Q$4,RawData[[Error Type ]],$Q$5))</f>
        <v/>
      </c>
    </row>
    <row r="18573" spans="15:15" x14ac:dyDescent="0.25">
      <c r="O18573" s="20" t="str">
        <f>IF(N18573="","",COUNTIFS(RawData[[Date ]],N18573,RawData[Month List],$Q$6,RawData[Tour/Site],$Q$2,RawData[[Picker ID ]],$Q$3,RawData[Checker ID],$Q$4,RawData[[Error Type ]],$Q$5))</f>
        <v/>
      </c>
    </row>
    <row r="18574" spans="15:15" x14ac:dyDescent="0.25">
      <c r="O18574" s="20" t="str">
        <f>IF(N18574="","",COUNTIFS(RawData[[Date ]],N18574,RawData[Month List],$Q$6,RawData[Tour/Site],$Q$2,RawData[[Picker ID ]],$Q$3,RawData[Checker ID],$Q$4,RawData[[Error Type ]],$Q$5))</f>
        <v/>
      </c>
    </row>
    <row r="18575" spans="15:15" x14ac:dyDescent="0.25">
      <c r="O18575" s="20" t="str">
        <f>IF(N18575="","",COUNTIFS(RawData[[Date ]],N18575,RawData[Month List],$Q$6,RawData[Tour/Site],$Q$2,RawData[[Picker ID ]],$Q$3,RawData[Checker ID],$Q$4,RawData[[Error Type ]],$Q$5))</f>
        <v/>
      </c>
    </row>
    <row r="18576" spans="15:15" x14ac:dyDescent="0.25">
      <c r="O18576" s="20" t="str">
        <f>IF(N18576="","",COUNTIFS(RawData[[Date ]],N18576,RawData[Month List],$Q$6,RawData[Tour/Site],$Q$2,RawData[[Picker ID ]],$Q$3,RawData[Checker ID],$Q$4,RawData[[Error Type ]],$Q$5))</f>
        <v/>
      </c>
    </row>
    <row r="18577" spans="15:15" x14ac:dyDescent="0.25">
      <c r="O18577" s="20" t="str">
        <f>IF(N18577="","",COUNTIFS(RawData[[Date ]],N18577,RawData[Month List],$Q$6,RawData[Tour/Site],$Q$2,RawData[[Picker ID ]],$Q$3,RawData[Checker ID],$Q$4,RawData[[Error Type ]],$Q$5))</f>
        <v/>
      </c>
    </row>
    <row r="18578" spans="15:15" x14ac:dyDescent="0.25">
      <c r="O18578" s="20" t="str">
        <f>IF(N18578="","",COUNTIFS(RawData[[Date ]],N18578,RawData[Month List],$Q$6,RawData[Tour/Site],$Q$2,RawData[[Picker ID ]],$Q$3,RawData[Checker ID],$Q$4,RawData[[Error Type ]],$Q$5))</f>
        <v/>
      </c>
    </row>
    <row r="18579" spans="15:15" x14ac:dyDescent="0.25">
      <c r="O18579" s="20" t="str">
        <f>IF(N18579="","",COUNTIFS(RawData[[Date ]],N18579,RawData[Month List],$Q$6,RawData[Tour/Site],$Q$2,RawData[[Picker ID ]],$Q$3,RawData[Checker ID],$Q$4,RawData[[Error Type ]],$Q$5))</f>
        <v/>
      </c>
    </row>
    <row r="18580" spans="15:15" x14ac:dyDescent="0.25">
      <c r="O18580" s="20" t="str">
        <f>IF(N18580="","",COUNTIFS(RawData[[Date ]],N18580,RawData[Month List],$Q$6,RawData[Tour/Site],$Q$2,RawData[[Picker ID ]],$Q$3,RawData[Checker ID],$Q$4,RawData[[Error Type ]],$Q$5))</f>
        <v/>
      </c>
    </row>
    <row r="18581" spans="15:15" x14ac:dyDescent="0.25">
      <c r="O18581" s="20" t="str">
        <f>IF(N18581="","",COUNTIFS(RawData[[Date ]],N18581,RawData[Month List],$Q$6,RawData[Tour/Site],$Q$2,RawData[[Picker ID ]],$Q$3,RawData[Checker ID],$Q$4,RawData[[Error Type ]],$Q$5))</f>
        <v/>
      </c>
    </row>
    <row r="18582" spans="15:15" x14ac:dyDescent="0.25">
      <c r="O18582" s="20" t="str">
        <f>IF(N18582="","",COUNTIFS(RawData[[Date ]],N18582,RawData[Month List],$Q$6,RawData[Tour/Site],$Q$2,RawData[[Picker ID ]],$Q$3,RawData[Checker ID],$Q$4,RawData[[Error Type ]],$Q$5))</f>
        <v/>
      </c>
    </row>
    <row r="18583" spans="15:15" x14ac:dyDescent="0.25">
      <c r="O18583" s="20" t="str">
        <f>IF(N18583="","",COUNTIFS(RawData[[Date ]],N18583,RawData[Month List],$Q$6,RawData[Tour/Site],$Q$2,RawData[[Picker ID ]],$Q$3,RawData[Checker ID],$Q$4,RawData[[Error Type ]],$Q$5))</f>
        <v/>
      </c>
    </row>
    <row r="18584" spans="15:15" x14ac:dyDescent="0.25">
      <c r="O18584" s="20" t="str">
        <f>IF(N18584="","",COUNTIFS(RawData[[Date ]],N18584,RawData[Month List],$Q$6,RawData[Tour/Site],$Q$2,RawData[[Picker ID ]],$Q$3,RawData[Checker ID],$Q$4,RawData[[Error Type ]],$Q$5))</f>
        <v/>
      </c>
    </row>
    <row r="18585" spans="15:15" x14ac:dyDescent="0.25">
      <c r="O18585" s="20" t="str">
        <f>IF(N18585="","",COUNTIFS(RawData[[Date ]],N18585,RawData[Month List],$Q$6,RawData[Tour/Site],$Q$2,RawData[[Picker ID ]],$Q$3,RawData[Checker ID],$Q$4,RawData[[Error Type ]],$Q$5))</f>
        <v/>
      </c>
    </row>
    <row r="18586" spans="15:15" x14ac:dyDescent="0.25">
      <c r="O18586" s="20" t="str">
        <f>IF(N18586="","",COUNTIFS(RawData[[Date ]],N18586,RawData[Month List],$Q$6,RawData[Tour/Site],$Q$2,RawData[[Picker ID ]],$Q$3,RawData[Checker ID],$Q$4,RawData[[Error Type ]],$Q$5))</f>
        <v/>
      </c>
    </row>
    <row r="18587" spans="15:15" x14ac:dyDescent="0.25">
      <c r="O18587" s="20" t="str">
        <f>IF(N18587="","",COUNTIFS(RawData[[Date ]],N18587,RawData[Month List],$Q$6,RawData[Tour/Site],$Q$2,RawData[[Picker ID ]],$Q$3,RawData[Checker ID],$Q$4,RawData[[Error Type ]],$Q$5))</f>
        <v/>
      </c>
    </row>
    <row r="18588" spans="15:15" x14ac:dyDescent="0.25">
      <c r="O18588" s="20" t="str">
        <f>IF(N18588="","",COUNTIFS(RawData[[Date ]],N18588,RawData[Month List],$Q$6,RawData[Tour/Site],$Q$2,RawData[[Picker ID ]],$Q$3,RawData[Checker ID],$Q$4,RawData[[Error Type ]],$Q$5))</f>
        <v/>
      </c>
    </row>
    <row r="18589" spans="15:15" x14ac:dyDescent="0.25">
      <c r="O18589" s="20" t="str">
        <f>IF(N18589="","",COUNTIFS(RawData[[Date ]],N18589,RawData[Month List],$Q$6,RawData[Tour/Site],$Q$2,RawData[[Picker ID ]],$Q$3,RawData[Checker ID],$Q$4,RawData[[Error Type ]],$Q$5))</f>
        <v/>
      </c>
    </row>
    <row r="18590" spans="15:15" x14ac:dyDescent="0.25">
      <c r="O18590" s="20" t="str">
        <f>IF(N18590="","",COUNTIFS(RawData[[Date ]],N18590,RawData[Month List],$Q$6,RawData[Tour/Site],$Q$2,RawData[[Picker ID ]],$Q$3,RawData[Checker ID],$Q$4,RawData[[Error Type ]],$Q$5))</f>
        <v/>
      </c>
    </row>
    <row r="18591" spans="15:15" x14ac:dyDescent="0.25">
      <c r="O18591" s="20" t="str">
        <f>IF(N18591="","",COUNTIFS(RawData[[Date ]],N18591,RawData[Month List],$Q$6,RawData[Tour/Site],$Q$2,RawData[[Picker ID ]],$Q$3,RawData[Checker ID],$Q$4,RawData[[Error Type ]],$Q$5))</f>
        <v/>
      </c>
    </row>
    <row r="18592" spans="15:15" x14ac:dyDescent="0.25">
      <c r="O18592" s="20" t="str">
        <f>IF(N18592="","",COUNTIFS(RawData[[Date ]],N18592,RawData[Month List],$Q$6,RawData[Tour/Site],$Q$2,RawData[[Picker ID ]],$Q$3,RawData[Checker ID],$Q$4,RawData[[Error Type ]],$Q$5))</f>
        <v/>
      </c>
    </row>
    <row r="18593" spans="15:15" x14ac:dyDescent="0.25">
      <c r="O18593" s="20" t="str">
        <f>IF(N18593="","",COUNTIFS(RawData[[Date ]],N18593,RawData[Month List],$Q$6,RawData[Tour/Site],$Q$2,RawData[[Picker ID ]],$Q$3,RawData[Checker ID],$Q$4,RawData[[Error Type ]],$Q$5))</f>
        <v/>
      </c>
    </row>
    <row r="18594" spans="15:15" x14ac:dyDescent="0.25">
      <c r="O18594" s="20" t="str">
        <f>IF(N18594="","",COUNTIFS(RawData[[Date ]],N18594,RawData[Month List],$Q$6,RawData[Tour/Site],$Q$2,RawData[[Picker ID ]],$Q$3,RawData[Checker ID],$Q$4,RawData[[Error Type ]],$Q$5))</f>
        <v/>
      </c>
    </row>
    <row r="18595" spans="15:15" x14ac:dyDescent="0.25">
      <c r="O18595" s="20" t="str">
        <f>IF(N18595="","",COUNTIFS(RawData[[Date ]],N18595,RawData[Month List],$Q$6,RawData[Tour/Site],$Q$2,RawData[[Picker ID ]],$Q$3,RawData[Checker ID],$Q$4,RawData[[Error Type ]],$Q$5))</f>
        <v/>
      </c>
    </row>
    <row r="18596" spans="15:15" x14ac:dyDescent="0.25">
      <c r="O18596" s="20" t="str">
        <f>IF(N18596="","",COUNTIFS(RawData[[Date ]],N18596,RawData[Month List],$Q$6,RawData[Tour/Site],$Q$2,RawData[[Picker ID ]],$Q$3,RawData[Checker ID],$Q$4,RawData[[Error Type ]],$Q$5))</f>
        <v/>
      </c>
    </row>
    <row r="18597" spans="15:15" x14ac:dyDescent="0.25">
      <c r="O18597" s="20" t="str">
        <f>IF(N18597="","",COUNTIFS(RawData[[Date ]],N18597,RawData[Month List],$Q$6,RawData[Tour/Site],$Q$2,RawData[[Picker ID ]],$Q$3,RawData[Checker ID],$Q$4,RawData[[Error Type ]],$Q$5))</f>
        <v/>
      </c>
    </row>
    <row r="18598" spans="15:15" x14ac:dyDescent="0.25">
      <c r="O18598" s="20" t="str">
        <f>IF(N18598="","",COUNTIFS(RawData[[Date ]],N18598,RawData[Month List],$Q$6,RawData[Tour/Site],$Q$2,RawData[[Picker ID ]],$Q$3,RawData[Checker ID],$Q$4,RawData[[Error Type ]],$Q$5))</f>
        <v/>
      </c>
    </row>
    <row r="18599" spans="15:15" x14ac:dyDescent="0.25">
      <c r="O18599" s="20" t="str">
        <f>IF(N18599="","",COUNTIFS(RawData[[Date ]],N18599,RawData[Month List],$Q$6,RawData[Tour/Site],$Q$2,RawData[[Picker ID ]],$Q$3,RawData[Checker ID],$Q$4,RawData[[Error Type ]],$Q$5))</f>
        <v/>
      </c>
    </row>
    <row r="18600" spans="15:15" x14ac:dyDescent="0.25">
      <c r="O18600" s="20" t="str">
        <f>IF(N18600="","",COUNTIFS(RawData[[Date ]],N18600,RawData[Month List],$Q$6,RawData[Tour/Site],$Q$2,RawData[[Picker ID ]],$Q$3,RawData[Checker ID],$Q$4,RawData[[Error Type ]],$Q$5))</f>
        <v/>
      </c>
    </row>
    <row r="18601" spans="15:15" x14ac:dyDescent="0.25">
      <c r="O18601" s="20" t="str">
        <f>IF(N18601="","",COUNTIFS(RawData[[Date ]],N18601,RawData[Month List],$Q$6,RawData[Tour/Site],$Q$2,RawData[[Picker ID ]],$Q$3,RawData[Checker ID],$Q$4,RawData[[Error Type ]],$Q$5))</f>
        <v/>
      </c>
    </row>
    <row r="18602" spans="15:15" x14ac:dyDescent="0.25">
      <c r="O18602" s="20" t="str">
        <f>IF(N18602="","",COUNTIFS(RawData[[Date ]],N18602,RawData[Month List],$Q$6,RawData[Tour/Site],$Q$2,RawData[[Picker ID ]],$Q$3,RawData[Checker ID],$Q$4,RawData[[Error Type ]],$Q$5))</f>
        <v/>
      </c>
    </row>
    <row r="18603" spans="15:15" x14ac:dyDescent="0.25">
      <c r="O18603" s="20" t="str">
        <f>IF(N18603="","",COUNTIFS(RawData[[Date ]],N18603,RawData[Month List],$Q$6,RawData[Tour/Site],$Q$2,RawData[[Picker ID ]],$Q$3,RawData[Checker ID],$Q$4,RawData[[Error Type ]],$Q$5))</f>
        <v/>
      </c>
    </row>
    <row r="18604" spans="15:15" x14ac:dyDescent="0.25">
      <c r="O18604" s="20" t="str">
        <f>IF(N18604="","",COUNTIFS(RawData[[Date ]],N18604,RawData[Month List],$Q$6,RawData[Tour/Site],$Q$2,RawData[[Picker ID ]],$Q$3,RawData[Checker ID],$Q$4,RawData[[Error Type ]],$Q$5))</f>
        <v/>
      </c>
    </row>
    <row r="18605" spans="15:15" x14ac:dyDescent="0.25">
      <c r="O18605" s="20" t="str">
        <f>IF(N18605="","",COUNTIFS(RawData[[Date ]],N18605,RawData[Month List],$Q$6,RawData[Tour/Site],$Q$2,RawData[[Picker ID ]],$Q$3,RawData[Checker ID],$Q$4,RawData[[Error Type ]],$Q$5))</f>
        <v/>
      </c>
    </row>
    <row r="18606" spans="15:15" x14ac:dyDescent="0.25">
      <c r="O18606" s="20" t="str">
        <f>IF(N18606="","",COUNTIFS(RawData[[Date ]],N18606,RawData[Month List],$Q$6,RawData[Tour/Site],$Q$2,RawData[[Picker ID ]],$Q$3,RawData[Checker ID],$Q$4,RawData[[Error Type ]],$Q$5))</f>
        <v/>
      </c>
    </row>
    <row r="18607" spans="15:15" x14ac:dyDescent="0.25">
      <c r="O18607" s="20" t="str">
        <f>IF(N18607="","",COUNTIFS(RawData[[Date ]],N18607,RawData[Month List],$Q$6,RawData[Tour/Site],$Q$2,RawData[[Picker ID ]],$Q$3,RawData[Checker ID],$Q$4,RawData[[Error Type ]],$Q$5))</f>
        <v/>
      </c>
    </row>
    <row r="18608" spans="15:15" x14ac:dyDescent="0.25">
      <c r="O18608" s="20" t="str">
        <f>IF(N18608="","",COUNTIFS(RawData[[Date ]],N18608,RawData[Month List],$Q$6,RawData[Tour/Site],$Q$2,RawData[[Picker ID ]],$Q$3,RawData[Checker ID],$Q$4,RawData[[Error Type ]],$Q$5))</f>
        <v/>
      </c>
    </row>
    <row r="18609" spans="15:15" x14ac:dyDescent="0.25">
      <c r="O18609" s="20" t="str">
        <f>IF(N18609="","",COUNTIFS(RawData[[Date ]],N18609,RawData[Month List],$Q$6,RawData[Tour/Site],$Q$2,RawData[[Picker ID ]],$Q$3,RawData[Checker ID],$Q$4,RawData[[Error Type ]],$Q$5))</f>
        <v/>
      </c>
    </row>
    <row r="18610" spans="15:15" x14ac:dyDescent="0.25">
      <c r="O18610" s="20" t="str">
        <f>IF(N18610="","",COUNTIFS(RawData[[Date ]],N18610,RawData[Month List],$Q$6,RawData[Tour/Site],$Q$2,RawData[[Picker ID ]],$Q$3,RawData[Checker ID],$Q$4,RawData[[Error Type ]],$Q$5))</f>
        <v/>
      </c>
    </row>
    <row r="18611" spans="15:15" x14ac:dyDescent="0.25">
      <c r="O18611" s="20" t="str">
        <f>IF(N18611="","",COUNTIFS(RawData[[Date ]],N18611,RawData[Month List],$Q$6,RawData[Tour/Site],$Q$2,RawData[[Picker ID ]],$Q$3,RawData[Checker ID],$Q$4,RawData[[Error Type ]],$Q$5))</f>
        <v/>
      </c>
    </row>
    <row r="18612" spans="15:15" x14ac:dyDescent="0.25">
      <c r="O18612" s="20" t="str">
        <f>IF(N18612="","",COUNTIFS(RawData[[Date ]],N18612,RawData[Month List],$Q$6,RawData[Tour/Site],$Q$2,RawData[[Picker ID ]],$Q$3,RawData[Checker ID],$Q$4,RawData[[Error Type ]],$Q$5))</f>
        <v/>
      </c>
    </row>
    <row r="18613" spans="15:15" x14ac:dyDescent="0.25">
      <c r="O18613" s="20" t="str">
        <f>IF(N18613="","",COUNTIFS(RawData[[Date ]],N18613,RawData[Month List],$Q$6,RawData[Tour/Site],$Q$2,RawData[[Picker ID ]],$Q$3,RawData[Checker ID],$Q$4,RawData[[Error Type ]],$Q$5))</f>
        <v/>
      </c>
    </row>
    <row r="18614" spans="15:15" x14ac:dyDescent="0.25">
      <c r="O18614" s="20" t="str">
        <f>IF(N18614="","",COUNTIFS(RawData[[Date ]],N18614,RawData[Month List],$Q$6,RawData[Tour/Site],$Q$2,RawData[[Picker ID ]],$Q$3,RawData[Checker ID],$Q$4,RawData[[Error Type ]],$Q$5))</f>
        <v/>
      </c>
    </row>
    <row r="18615" spans="15:15" x14ac:dyDescent="0.25">
      <c r="O18615" s="20" t="str">
        <f>IF(N18615="","",COUNTIFS(RawData[[Date ]],N18615,RawData[Month List],$Q$6,RawData[Tour/Site],$Q$2,RawData[[Picker ID ]],$Q$3,RawData[Checker ID],$Q$4,RawData[[Error Type ]],$Q$5))</f>
        <v/>
      </c>
    </row>
    <row r="18616" spans="15:15" x14ac:dyDescent="0.25">
      <c r="O18616" s="20" t="str">
        <f>IF(N18616="","",COUNTIFS(RawData[[Date ]],N18616,RawData[Month List],$Q$6,RawData[Tour/Site],$Q$2,RawData[[Picker ID ]],$Q$3,RawData[Checker ID],$Q$4,RawData[[Error Type ]],$Q$5))</f>
        <v/>
      </c>
    </row>
    <row r="18617" spans="15:15" x14ac:dyDescent="0.25">
      <c r="O18617" s="20" t="str">
        <f>IF(N18617="","",COUNTIFS(RawData[[Date ]],N18617,RawData[Month List],$Q$6,RawData[Tour/Site],$Q$2,RawData[[Picker ID ]],$Q$3,RawData[Checker ID],$Q$4,RawData[[Error Type ]],$Q$5))</f>
        <v/>
      </c>
    </row>
    <row r="18618" spans="15:15" x14ac:dyDescent="0.25">
      <c r="O18618" s="20" t="str">
        <f>IF(N18618="","",COUNTIFS(RawData[[Date ]],N18618,RawData[Month List],$Q$6,RawData[Tour/Site],$Q$2,RawData[[Picker ID ]],$Q$3,RawData[Checker ID],$Q$4,RawData[[Error Type ]],$Q$5))</f>
        <v/>
      </c>
    </row>
    <row r="18619" spans="15:15" x14ac:dyDescent="0.25">
      <c r="O18619" s="20" t="str">
        <f>IF(N18619="","",COUNTIFS(RawData[[Date ]],N18619,RawData[Month List],$Q$6,RawData[Tour/Site],$Q$2,RawData[[Picker ID ]],$Q$3,RawData[Checker ID],$Q$4,RawData[[Error Type ]],$Q$5))</f>
        <v/>
      </c>
    </row>
    <row r="18620" spans="15:15" x14ac:dyDescent="0.25">
      <c r="O18620" s="20" t="str">
        <f>IF(N18620="","",COUNTIFS(RawData[[Date ]],N18620,RawData[Month List],$Q$6,RawData[Tour/Site],$Q$2,RawData[[Picker ID ]],$Q$3,RawData[Checker ID],$Q$4,RawData[[Error Type ]],$Q$5))</f>
        <v/>
      </c>
    </row>
    <row r="18621" spans="15:15" x14ac:dyDescent="0.25">
      <c r="O18621" s="20" t="str">
        <f>IF(N18621="","",COUNTIFS(RawData[[Date ]],N18621,RawData[Month List],$Q$6,RawData[Tour/Site],$Q$2,RawData[[Picker ID ]],$Q$3,RawData[Checker ID],$Q$4,RawData[[Error Type ]],$Q$5))</f>
        <v/>
      </c>
    </row>
    <row r="18622" spans="15:15" x14ac:dyDescent="0.25">
      <c r="O18622" s="20" t="str">
        <f>IF(N18622="","",COUNTIFS(RawData[[Date ]],N18622,RawData[Month List],$Q$6,RawData[Tour/Site],$Q$2,RawData[[Picker ID ]],$Q$3,RawData[Checker ID],$Q$4,RawData[[Error Type ]],$Q$5))</f>
        <v/>
      </c>
    </row>
    <row r="18623" spans="15:15" x14ac:dyDescent="0.25">
      <c r="O18623" s="20" t="str">
        <f>IF(N18623="","",COUNTIFS(RawData[[Date ]],N18623,RawData[Month List],$Q$6,RawData[Tour/Site],$Q$2,RawData[[Picker ID ]],$Q$3,RawData[Checker ID],$Q$4,RawData[[Error Type ]],$Q$5))</f>
        <v/>
      </c>
    </row>
    <row r="18624" spans="15:15" x14ac:dyDescent="0.25">
      <c r="O18624" s="20" t="str">
        <f>IF(N18624="","",COUNTIFS(RawData[[Date ]],N18624,RawData[Month List],$Q$6,RawData[Tour/Site],$Q$2,RawData[[Picker ID ]],$Q$3,RawData[Checker ID],$Q$4,RawData[[Error Type ]],$Q$5))</f>
        <v/>
      </c>
    </row>
    <row r="18625" spans="15:15" x14ac:dyDescent="0.25">
      <c r="O18625" s="20" t="str">
        <f>IF(N18625="","",COUNTIFS(RawData[[Date ]],N18625,RawData[Month List],$Q$6,RawData[Tour/Site],$Q$2,RawData[[Picker ID ]],$Q$3,RawData[Checker ID],$Q$4,RawData[[Error Type ]],$Q$5))</f>
        <v/>
      </c>
    </row>
    <row r="18626" spans="15:15" x14ac:dyDescent="0.25">
      <c r="O18626" s="20" t="str">
        <f>IF(N18626="","",COUNTIFS(RawData[[Date ]],N18626,RawData[Month List],$Q$6,RawData[Tour/Site],$Q$2,RawData[[Picker ID ]],$Q$3,RawData[Checker ID],$Q$4,RawData[[Error Type ]],$Q$5))</f>
        <v/>
      </c>
    </row>
    <row r="18627" spans="15:15" x14ac:dyDescent="0.25">
      <c r="O18627" s="20" t="str">
        <f>IF(N18627="","",COUNTIFS(RawData[[Date ]],N18627,RawData[Month List],$Q$6,RawData[Tour/Site],$Q$2,RawData[[Picker ID ]],$Q$3,RawData[Checker ID],$Q$4,RawData[[Error Type ]],$Q$5))</f>
        <v/>
      </c>
    </row>
    <row r="18628" spans="15:15" x14ac:dyDescent="0.25">
      <c r="O18628" s="20" t="str">
        <f>IF(N18628="","",COUNTIFS(RawData[[Date ]],N18628,RawData[Month List],$Q$6,RawData[Tour/Site],$Q$2,RawData[[Picker ID ]],$Q$3,RawData[Checker ID],$Q$4,RawData[[Error Type ]],$Q$5))</f>
        <v/>
      </c>
    </row>
    <row r="18629" spans="15:15" x14ac:dyDescent="0.25">
      <c r="O18629" s="20" t="str">
        <f>IF(N18629="","",COUNTIFS(RawData[[Date ]],N18629,RawData[Month List],$Q$6,RawData[Tour/Site],$Q$2,RawData[[Picker ID ]],$Q$3,RawData[Checker ID],$Q$4,RawData[[Error Type ]],$Q$5))</f>
        <v/>
      </c>
    </row>
    <row r="18630" spans="15:15" x14ac:dyDescent="0.25">
      <c r="O18630" s="20" t="str">
        <f>IF(N18630="","",COUNTIFS(RawData[[Date ]],N18630,RawData[Month List],$Q$6,RawData[Tour/Site],$Q$2,RawData[[Picker ID ]],$Q$3,RawData[Checker ID],$Q$4,RawData[[Error Type ]],$Q$5))</f>
        <v/>
      </c>
    </row>
    <row r="18631" spans="15:15" x14ac:dyDescent="0.25">
      <c r="O18631" s="20" t="str">
        <f>IF(N18631="","",COUNTIFS(RawData[[Date ]],N18631,RawData[Month List],$Q$6,RawData[Tour/Site],$Q$2,RawData[[Picker ID ]],$Q$3,RawData[Checker ID],$Q$4,RawData[[Error Type ]],$Q$5))</f>
        <v/>
      </c>
    </row>
    <row r="18632" spans="15:15" x14ac:dyDescent="0.25">
      <c r="O18632" s="20" t="str">
        <f>IF(N18632="","",COUNTIFS(RawData[[Date ]],N18632,RawData[Month List],$Q$6,RawData[Tour/Site],$Q$2,RawData[[Picker ID ]],$Q$3,RawData[Checker ID],$Q$4,RawData[[Error Type ]],$Q$5))</f>
        <v/>
      </c>
    </row>
    <row r="18633" spans="15:15" x14ac:dyDescent="0.25">
      <c r="O18633" s="20" t="str">
        <f>IF(N18633="","",COUNTIFS(RawData[[Date ]],N18633,RawData[Month List],$Q$6,RawData[Tour/Site],$Q$2,RawData[[Picker ID ]],$Q$3,RawData[Checker ID],$Q$4,RawData[[Error Type ]],$Q$5))</f>
        <v/>
      </c>
    </row>
    <row r="18634" spans="15:15" x14ac:dyDescent="0.25">
      <c r="O18634" s="20" t="str">
        <f>IF(N18634="","",COUNTIFS(RawData[[Date ]],N18634,RawData[Month List],$Q$6,RawData[Tour/Site],$Q$2,RawData[[Picker ID ]],$Q$3,RawData[Checker ID],$Q$4,RawData[[Error Type ]],$Q$5))</f>
        <v/>
      </c>
    </row>
    <row r="18635" spans="15:15" x14ac:dyDescent="0.25">
      <c r="O18635" s="20" t="str">
        <f>IF(N18635="","",COUNTIFS(RawData[[Date ]],N18635,RawData[Month List],$Q$6,RawData[Tour/Site],$Q$2,RawData[[Picker ID ]],$Q$3,RawData[Checker ID],$Q$4,RawData[[Error Type ]],$Q$5))</f>
        <v/>
      </c>
    </row>
    <row r="18636" spans="15:15" x14ac:dyDescent="0.25">
      <c r="O18636" s="20" t="str">
        <f>IF(N18636="","",COUNTIFS(RawData[[Date ]],N18636,RawData[Month List],$Q$6,RawData[Tour/Site],$Q$2,RawData[[Picker ID ]],$Q$3,RawData[Checker ID],$Q$4,RawData[[Error Type ]],$Q$5))</f>
        <v/>
      </c>
    </row>
    <row r="18637" spans="15:15" x14ac:dyDescent="0.25">
      <c r="O18637" s="20" t="str">
        <f>IF(N18637="","",COUNTIFS(RawData[[Date ]],N18637,RawData[Month List],$Q$6,RawData[Tour/Site],$Q$2,RawData[[Picker ID ]],$Q$3,RawData[Checker ID],$Q$4,RawData[[Error Type ]],$Q$5))</f>
        <v/>
      </c>
    </row>
    <row r="18638" spans="15:15" x14ac:dyDescent="0.25">
      <c r="O18638" s="20" t="str">
        <f>IF(N18638="","",COUNTIFS(RawData[[Date ]],N18638,RawData[Month List],$Q$6,RawData[Tour/Site],$Q$2,RawData[[Picker ID ]],$Q$3,RawData[Checker ID],$Q$4,RawData[[Error Type ]],$Q$5))</f>
        <v/>
      </c>
    </row>
    <row r="18639" spans="15:15" x14ac:dyDescent="0.25">
      <c r="O18639" s="20" t="str">
        <f>IF(N18639="","",COUNTIFS(RawData[[Date ]],N18639,RawData[Month List],$Q$6,RawData[Tour/Site],$Q$2,RawData[[Picker ID ]],$Q$3,RawData[Checker ID],$Q$4,RawData[[Error Type ]],$Q$5))</f>
        <v/>
      </c>
    </row>
    <row r="18640" spans="15:15" x14ac:dyDescent="0.25">
      <c r="O18640" s="20" t="str">
        <f>IF(N18640="","",COUNTIFS(RawData[[Date ]],N18640,RawData[Month List],$Q$6,RawData[Tour/Site],$Q$2,RawData[[Picker ID ]],$Q$3,RawData[Checker ID],$Q$4,RawData[[Error Type ]],$Q$5))</f>
        <v/>
      </c>
    </row>
    <row r="18641" spans="15:15" x14ac:dyDescent="0.25">
      <c r="O18641" s="20" t="str">
        <f>IF(N18641="","",COUNTIFS(RawData[[Date ]],N18641,RawData[Month List],$Q$6,RawData[Tour/Site],$Q$2,RawData[[Picker ID ]],$Q$3,RawData[Checker ID],$Q$4,RawData[[Error Type ]],$Q$5))</f>
        <v/>
      </c>
    </row>
    <row r="18642" spans="15:15" x14ac:dyDescent="0.25">
      <c r="O18642" s="20" t="str">
        <f>IF(N18642="","",COUNTIFS(RawData[[Date ]],N18642,RawData[Month List],$Q$6,RawData[Tour/Site],$Q$2,RawData[[Picker ID ]],$Q$3,RawData[Checker ID],$Q$4,RawData[[Error Type ]],$Q$5))</f>
        <v/>
      </c>
    </row>
    <row r="18643" spans="15:15" x14ac:dyDescent="0.25">
      <c r="O18643" s="20" t="str">
        <f>IF(N18643="","",COUNTIFS(RawData[[Date ]],N18643,RawData[Month List],$Q$6,RawData[Tour/Site],$Q$2,RawData[[Picker ID ]],$Q$3,RawData[Checker ID],$Q$4,RawData[[Error Type ]],$Q$5))</f>
        <v/>
      </c>
    </row>
    <row r="18644" spans="15:15" x14ac:dyDescent="0.25">
      <c r="O18644" s="20" t="str">
        <f>IF(N18644="","",COUNTIFS(RawData[[Date ]],N18644,RawData[Month List],$Q$6,RawData[Tour/Site],$Q$2,RawData[[Picker ID ]],$Q$3,RawData[Checker ID],$Q$4,RawData[[Error Type ]],$Q$5))</f>
        <v/>
      </c>
    </row>
    <row r="18645" spans="15:15" x14ac:dyDescent="0.25">
      <c r="O18645" s="20" t="str">
        <f>IF(N18645="","",COUNTIFS(RawData[[Date ]],N18645,RawData[Month List],$Q$6,RawData[Tour/Site],$Q$2,RawData[[Picker ID ]],$Q$3,RawData[Checker ID],$Q$4,RawData[[Error Type ]],$Q$5))</f>
        <v/>
      </c>
    </row>
    <row r="18646" spans="15:15" x14ac:dyDescent="0.25">
      <c r="O18646" s="20" t="str">
        <f>IF(N18646="","",COUNTIFS(RawData[[Date ]],N18646,RawData[Month List],$Q$6,RawData[Tour/Site],$Q$2,RawData[[Picker ID ]],$Q$3,RawData[Checker ID],$Q$4,RawData[[Error Type ]],$Q$5))</f>
        <v/>
      </c>
    </row>
    <row r="18647" spans="15:15" x14ac:dyDescent="0.25">
      <c r="O18647" s="20" t="str">
        <f>IF(N18647="","",COUNTIFS(RawData[[Date ]],N18647,RawData[Month List],$Q$6,RawData[Tour/Site],$Q$2,RawData[[Picker ID ]],$Q$3,RawData[Checker ID],$Q$4,RawData[[Error Type ]],$Q$5))</f>
        <v/>
      </c>
    </row>
    <row r="18648" spans="15:15" x14ac:dyDescent="0.25">
      <c r="O18648" s="20" t="str">
        <f>IF(N18648="","",COUNTIFS(RawData[[Date ]],N18648,RawData[Month List],$Q$6,RawData[Tour/Site],$Q$2,RawData[[Picker ID ]],$Q$3,RawData[Checker ID],$Q$4,RawData[[Error Type ]],$Q$5))</f>
        <v/>
      </c>
    </row>
    <row r="18649" spans="15:15" x14ac:dyDescent="0.25">
      <c r="O18649" s="20" t="str">
        <f>IF(N18649="","",COUNTIFS(RawData[[Date ]],N18649,RawData[Month List],$Q$6,RawData[Tour/Site],$Q$2,RawData[[Picker ID ]],$Q$3,RawData[Checker ID],$Q$4,RawData[[Error Type ]],$Q$5))</f>
        <v/>
      </c>
    </row>
    <row r="18650" spans="15:15" x14ac:dyDescent="0.25">
      <c r="O18650" s="20" t="str">
        <f>IF(N18650="","",COUNTIFS(RawData[[Date ]],N18650,RawData[Month List],$Q$6,RawData[Tour/Site],$Q$2,RawData[[Picker ID ]],$Q$3,RawData[Checker ID],$Q$4,RawData[[Error Type ]],$Q$5))</f>
        <v/>
      </c>
    </row>
    <row r="18651" spans="15:15" x14ac:dyDescent="0.25">
      <c r="O18651" s="20" t="str">
        <f>IF(N18651="","",COUNTIFS(RawData[[Date ]],N18651,RawData[Month List],$Q$6,RawData[Tour/Site],$Q$2,RawData[[Picker ID ]],$Q$3,RawData[Checker ID],$Q$4,RawData[[Error Type ]],$Q$5))</f>
        <v/>
      </c>
    </row>
    <row r="18652" spans="15:15" x14ac:dyDescent="0.25">
      <c r="O18652" s="20" t="str">
        <f>IF(N18652="","",COUNTIFS(RawData[[Date ]],N18652,RawData[Month List],$Q$6,RawData[Tour/Site],$Q$2,RawData[[Picker ID ]],$Q$3,RawData[Checker ID],$Q$4,RawData[[Error Type ]],$Q$5))</f>
        <v/>
      </c>
    </row>
    <row r="18653" spans="15:15" x14ac:dyDescent="0.25">
      <c r="O18653" s="20" t="str">
        <f>IF(N18653="","",COUNTIFS(RawData[[Date ]],N18653,RawData[Month List],$Q$6,RawData[Tour/Site],$Q$2,RawData[[Picker ID ]],$Q$3,RawData[Checker ID],$Q$4,RawData[[Error Type ]],$Q$5))</f>
        <v/>
      </c>
    </row>
    <row r="18654" spans="15:15" x14ac:dyDescent="0.25">
      <c r="O18654" s="20" t="str">
        <f>IF(N18654="","",COUNTIFS(RawData[[Date ]],N18654,RawData[Month List],$Q$6,RawData[Tour/Site],$Q$2,RawData[[Picker ID ]],$Q$3,RawData[Checker ID],$Q$4,RawData[[Error Type ]],$Q$5))</f>
        <v/>
      </c>
    </row>
    <row r="18655" spans="15:15" x14ac:dyDescent="0.25">
      <c r="O18655" s="20" t="str">
        <f>IF(N18655="","",COUNTIFS(RawData[[Date ]],N18655,RawData[Month List],$Q$6,RawData[Tour/Site],$Q$2,RawData[[Picker ID ]],$Q$3,RawData[Checker ID],$Q$4,RawData[[Error Type ]],$Q$5))</f>
        <v/>
      </c>
    </row>
    <row r="18656" spans="15:15" x14ac:dyDescent="0.25">
      <c r="O18656" s="20" t="str">
        <f>IF(N18656="","",COUNTIFS(RawData[[Date ]],N18656,RawData[Month List],$Q$6,RawData[Tour/Site],$Q$2,RawData[[Picker ID ]],$Q$3,RawData[Checker ID],$Q$4,RawData[[Error Type ]],$Q$5))</f>
        <v/>
      </c>
    </row>
    <row r="18657" spans="15:15" x14ac:dyDescent="0.25">
      <c r="O18657" s="20" t="str">
        <f>IF(N18657="","",COUNTIFS(RawData[[Date ]],N18657,RawData[Month List],$Q$6,RawData[Tour/Site],$Q$2,RawData[[Picker ID ]],$Q$3,RawData[Checker ID],$Q$4,RawData[[Error Type ]],$Q$5))</f>
        <v/>
      </c>
    </row>
    <row r="18658" spans="15:15" x14ac:dyDescent="0.25">
      <c r="O18658" s="20" t="str">
        <f>IF(N18658="","",COUNTIFS(RawData[[Date ]],N18658,RawData[Month List],$Q$6,RawData[Tour/Site],$Q$2,RawData[[Picker ID ]],$Q$3,RawData[Checker ID],$Q$4,RawData[[Error Type ]],$Q$5))</f>
        <v/>
      </c>
    </row>
    <row r="18659" spans="15:15" x14ac:dyDescent="0.25">
      <c r="O18659" s="20" t="str">
        <f>IF(N18659="","",COUNTIFS(RawData[[Date ]],N18659,RawData[Month List],$Q$6,RawData[Tour/Site],$Q$2,RawData[[Picker ID ]],$Q$3,RawData[Checker ID],$Q$4,RawData[[Error Type ]],$Q$5))</f>
        <v/>
      </c>
    </row>
    <row r="18660" spans="15:15" x14ac:dyDescent="0.25">
      <c r="O18660" s="20" t="str">
        <f>IF(N18660="","",COUNTIFS(RawData[[Date ]],N18660,RawData[Month List],$Q$6,RawData[Tour/Site],$Q$2,RawData[[Picker ID ]],$Q$3,RawData[Checker ID],$Q$4,RawData[[Error Type ]],$Q$5))</f>
        <v/>
      </c>
    </row>
    <row r="18661" spans="15:15" x14ac:dyDescent="0.25">
      <c r="O18661" s="20" t="str">
        <f>IF(N18661="","",COUNTIFS(RawData[[Date ]],N18661,RawData[Month List],$Q$6,RawData[Tour/Site],$Q$2,RawData[[Picker ID ]],$Q$3,RawData[Checker ID],$Q$4,RawData[[Error Type ]],$Q$5))</f>
        <v/>
      </c>
    </row>
    <row r="18662" spans="15:15" x14ac:dyDescent="0.25">
      <c r="O18662" s="20" t="str">
        <f>IF(N18662="","",COUNTIFS(RawData[[Date ]],N18662,RawData[Month List],$Q$6,RawData[Tour/Site],$Q$2,RawData[[Picker ID ]],$Q$3,RawData[Checker ID],$Q$4,RawData[[Error Type ]],$Q$5))</f>
        <v/>
      </c>
    </row>
    <row r="18663" spans="15:15" x14ac:dyDescent="0.25">
      <c r="O18663" s="20" t="str">
        <f>IF(N18663="","",COUNTIFS(RawData[[Date ]],N18663,RawData[Month List],$Q$6,RawData[Tour/Site],$Q$2,RawData[[Picker ID ]],$Q$3,RawData[Checker ID],$Q$4,RawData[[Error Type ]],$Q$5))</f>
        <v/>
      </c>
    </row>
    <row r="18664" spans="15:15" x14ac:dyDescent="0.25">
      <c r="O18664" s="20" t="str">
        <f>IF(N18664="","",COUNTIFS(RawData[[Date ]],N18664,RawData[Month List],$Q$6,RawData[Tour/Site],$Q$2,RawData[[Picker ID ]],$Q$3,RawData[Checker ID],$Q$4,RawData[[Error Type ]],$Q$5))</f>
        <v/>
      </c>
    </row>
    <row r="18665" spans="15:15" x14ac:dyDescent="0.25">
      <c r="O18665" s="20" t="str">
        <f>IF(N18665="","",COUNTIFS(RawData[[Date ]],N18665,RawData[Month List],$Q$6,RawData[Tour/Site],$Q$2,RawData[[Picker ID ]],$Q$3,RawData[Checker ID],$Q$4,RawData[[Error Type ]],$Q$5))</f>
        <v/>
      </c>
    </row>
    <row r="18666" spans="15:15" x14ac:dyDescent="0.25">
      <c r="O18666" s="20" t="str">
        <f>IF(N18666="","",COUNTIFS(RawData[[Date ]],N18666,RawData[Month List],$Q$6,RawData[Tour/Site],$Q$2,RawData[[Picker ID ]],$Q$3,RawData[Checker ID],$Q$4,RawData[[Error Type ]],$Q$5))</f>
        <v/>
      </c>
    </row>
    <row r="18667" spans="15:15" x14ac:dyDescent="0.25">
      <c r="O18667" s="20" t="str">
        <f>IF(N18667="","",COUNTIFS(RawData[[Date ]],N18667,RawData[Month List],$Q$6,RawData[Tour/Site],$Q$2,RawData[[Picker ID ]],$Q$3,RawData[Checker ID],$Q$4,RawData[[Error Type ]],$Q$5))</f>
        <v/>
      </c>
    </row>
    <row r="18668" spans="15:15" x14ac:dyDescent="0.25">
      <c r="O18668" s="20" t="str">
        <f>IF(N18668="","",COUNTIFS(RawData[[Date ]],N18668,RawData[Month List],$Q$6,RawData[Tour/Site],$Q$2,RawData[[Picker ID ]],$Q$3,RawData[Checker ID],$Q$4,RawData[[Error Type ]],$Q$5))</f>
        <v/>
      </c>
    </row>
    <row r="18669" spans="15:15" x14ac:dyDescent="0.25">
      <c r="O18669" s="20" t="str">
        <f>IF(N18669="","",COUNTIFS(RawData[[Date ]],N18669,RawData[Month List],$Q$6,RawData[Tour/Site],$Q$2,RawData[[Picker ID ]],$Q$3,RawData[Checker ID],$Q$4,RawData[[Error Type ]],$Q$5))</f>
        <v/>
      </c>
    </row>
    <row r="18670" spans="15:15" x14ac:dyDescent="0.25">
      <c r="O18670" s="20" t="str">
        <f>IF(N18670="","",COUNTIFS(RawData[[Date ]],N18670,RawData[Month List],$Q$6,RawData[Tour/Site],$Q$2,RawData[[Picker ID ]],$Q$3,RawData[Checker ID],$Q$4,RawData[[Error Type ]],$Q$5))</f>
        <v/>
      </c>
    </row>
    <row r="18671" spans="15:15" x14ac:dyDescent="0.25">
      <c r="O18671" s="20" t="str">
        <f>IF(N18671="","",COUNTIFS(RawData[[Date ]],N18671,RawData[Month List],$Q$6,RawData[Tour/Site],$Q$2,RawData[[Picker ID ]],$Q$3,RawData[Checker ID],$Q$4,RawData[[Error Type ]],$Q$5))</f>
        <v/>
      </c>
    </row>
    <row r="18672" spans="15:15" x14ac:dyDescent="0.25">
      <c r="O18672" s="20" t="str">
        <f>IF(N18672="","",COUNTIFS(RawData[[Date ]],N18672,RawData[Month List],$Q$6,RawData[Tour/Site],$Q$2,RawData[[Picker ID ]],$Q$3,RawData[Checker ID],$Q$4,RawData[[Error Type ]],$Q$5))</f>
        <v/>
      </c>
    </row>
    <row r="18673" spans="15:15" x14ac:dyDescent="0.25">
      <c r="O18673" s="20" t="str">
        <f>IF(N18673="","",COUNTIFS(RawData[[Date ]],N18673,RawData[Month List],$Q$6,RawData[Tour/Site],$Q$2,RawData[[Picker ID ]],$Q$3,RawData[Checker ID],$Q$4,RawData[[Error Type ]],$Q$5))</f>
        <v/>
      </c>
    </row>
    <row r="18674" spans="15:15" x14ac:dyDescent="0.25">
      <c r="O18674" s="20" t="str">
        <f>IF(N18674="","",COUNTIFS(RawData[[Date ]],N18674,RawData[Month List],$Q$6,RawData[Tour/Site],$Q$2,RawData[[Picker ID ]],$Q$3,RawData[Checker ID],$Q$4,RawData[[Error Type ]],$Q$5))</f>
        <v/>
      </c>
    </row>
    <row r="18675" spans="15:15" x14ac:dyDescent="0.25">
      <c r="O18675" s="20" t="str">
        <f>IF(N18675="","",COUNTIFS(RawData[[Date ]],N18675,RawData[Month List],$Q$6,RawData[Tour/Site],$Q$2,RawData[[Picker ID ]],$Q$3,RawData[Checker ID],$Q$4,RawData[[Error Type ]],$Q$5))</f>
        <v/>
      </c>
    </row>
    <row r="18676" spans="15:15" x14ac:dyDescent="0.25">
      <c r="O18676" s="20" t="str">
        <f>IF(N18676="","",COUNTIFS(RawData[[Date ]],N18676,RawData[Month List],$Q$6,RawData[Tour/Site],$Q$2,RawData[[Picker ID ]],$Q$3,RawData[Checker ID],$Q$4,RawData[[Error Type ]],$Q$5))</f>
        <v/>
      </c>
    </row>
    <row r="18677" spans="15:15" x14ac:dyDescent="0.25">
      <c r="O18677" s="20" t="str">
        <f>IF(N18677="","",COUNTIFS(RawData[[Date ]],N18677,RawData[Month List],$Q$6,RawData[Tour/Site],$Q$2,RawData[[Picker ID ]],$Q$3,RawData[Checker ID],$Q$4,RawData[[Error Type ]],$Q$5))</f>
        <v/>
      </c>
    </row>
    <row r="18678" spans="15:15" x14ac:dyDescent="0.25">
      <c r="O18678" s="20" t="str">
        <f>IF(N18678="","",COUNTIFS(RawData[[Date ]],N18678,RawData[Month List],$Q$6,RawData[Tour/Site],$Q$2,RawData[[Picker ID ]],$Q$3,RawData[Checker ID],$Q$4,RawData[[Error Type ]],$Q$5))</f>
        <v/>
      </c>
    </row>
    <row r="18679" spans="15:15" x14ac:dyDescent="0.25">
      <c r="O18679" s="20" t="str">
        <f>IF(N18679="","",COUNTIFS(RawData[[Date ]],N18679,RawData[Month List],$Q$6,RawData[Tour/Site],$Q$2,RawData[[Picker ID ]],$Q$3,RawData[Checker ID],$Q$4,RawData[[Error Type ]],$Q$5))</f>
        <v/>
      </c>
    </row>
    <row r="18680" spans="15:15" x14ac:dyDescent="0.25">
      <c r="O18680" s="20" t="str">
        <f>IF(N18680="","",COUNTIFS(RawData[[Date ]],N18680,RawData[Month List],$Q$6,RawData[Tour/Site],$Q$2,RawData[[Picker ID ]],$Q$3,RawData[Checker ID],$Q$4,RawData[[Error Type ]],$Q$5))</f>
        <v/>
      </c>
    </row>
    <row r="18681" spans="15:15" x14ac:dyDescent="0.25">
      <c r="O18681" s="20" t="str">
        <f>IF(N18681="","",COUNTIFS(RawData[[Date ]],N18681,RawData[Month List],$Q$6,RawData[Tour/Site],$Q$2,RawData[[Picker ID ]],$Q$3,RawData[Checker ID],$Q$4,RawData[[Error Type ]],$Q$5))</f>
        <v/>
      </c>
    </row>
    <row r="18682" spans="15:15" x14ac:dyDescent="0.25">
      <c r="O18682" s="20" t="str">
        <f>IF(N18682="","",COUNTIFS(RawData[[Date ]],N18682,RawData[Month List],$Q$6,RawData[Tour/Site],$Q$2,RawData[[Picker ID ]],$Q$3,RawData[Checker ID],$Q$4,RawData[[Error Type ]],$Q$5))</f>
        <v/>
      </c>
    </row>
    <row r="18683" spans="15:15" x14ac:dyDescent="0.25">
      <c r="O18683" s="20" t="str">
        <f>IF(N18683="","",COUNTIFS(RawData[[Date ]],N18683,RawData[Month List],$Q$6,RawData[Tour/Site],$Q$2,RawData[[Picker ID ]],$Q$3,RawData[Checker ID],$Q$4,RawData[[Error Type ]],$Q$5))</f>
        <v/>
      </c>
    </row>
    <row r="18684" spans="15:15" x14ac:dyDescent="0.25">
      <c r="O18684" s="20" t="str">
        <f>IF(N18684="","",COUNTIFS(RawData[[Date ]],N18684,RawData[Month List],$Q$6,RawData[Tour/Site],$Q$2,RawData[[Picker ID ]],$Q$3,RawData[Checker ID],$Q$4,RawData[[Error Type ]],$Q$5))</f>
        <v/>
      </c>
    </row>
    <row r="18685" spans="15:15" x14ac:dyDescent="0.25">
      <c r="O18685" s="20" t="str">
        <f>IF(N18685="","",COUNTIFS(RawData[[Date ]],N18685,RawData[Month List],$Q$6,RawData[Tour/Site],$Q$2,RawData[[Picker ID ]],$Q$3,RawData[Checker ID],$Q$4,RawData[[Error Type ]],$Q$5))</f>
        <v/>
      </c>
    </row>
    <row r="18686" spans="15:15" x14ac:dyDescent="0.25">
      <c r="O18686" s="20" t="str">
        <f>IF(N18686="","",COUNTIFS(RawData[[Date ]],N18686,RawData[Month List],$Q$6,RawData[Tour/Site],$Q$2,RawData[[Picker ID ]],$Q$3,RawData[Checker ID],$Q$4,RawData[[Error Type ]],$Q$5))</f>
        <v/>
      </c>
    </row>
    <row r="18687" spans="15:15" x14ac:dyDescent="0.25">
      <c r="O18687" s="20" t="str">
        <f>IF(N18687="","",COUNTIFS(RawData[[Date ]],N18687,RawData[Month List],$Q$6,RawData[Tour/Site],$Q$2,RawData[[Picker ID ]],$Q$3,RawData[Checker ID],$Q$4,RawData[[Error Type ]],$Q$5))</f>
        <v/>
      </c>
    </row>
    <row r="18688" spans="15:15" x14ac:dyDescent="0.25">
      <c r="O18688" s="20" t="str">
        <f>IF(N18688="","",COUNTIFS(RawData[[Date ]],N18688,RawData[Month List],$Q$6,RawData[Tour/Site],$Q$2,RawData[[Picker ID ]],$Q$3,RawData[Checker ID],$Q$4,RawData[[Error Type ]],$Q$5))</f>
        <v/>
      </c>
    </row>
    <row r="18689" spans="15:15" x14ac:dyDescent="0.25">
      <c r="O18689" s="20" t="str">
        <f>IF(N18689="","",COUNTIFS(RawData[[Date ]],N18689,RawData[Month List],$Q$6,RawData[Tour/Site],$Q$2,RawData[[Picker ID ]],$Q$3,RawData[Checker ID],$Q$4,RawData[[Error Type ]],$Q$5))</f>
        <v/>
      </c>
    </row>
    <row r="18690" spans="15:15" x14ac:dyDescent="0.25">
      <c r="O18690" s="20" t="str">
        <f>IF(N18690="","",COUNTIFS(RawData[[Date ]],N18690,RawData[Month List],$Q$6,RawData[Tour/Site],$Q$2,RawData[[Picker ID ]],$Q$3,RawData[Checker ID],$Q$4,RawData[[Error Type ]],$Q$5))</f>
        <v/>
      </c>
    </row>
    <row r="18691" spans="15:15" x14ac:dyDescent="0.25">
      <c r="O18691" s="20" t="str">
        <f>IF(N18691="","",COUNTIFS(RawData[[Date ]],N18691,RawData[Month List],$Q$6,RawData[Tour/Site],$Q$2,RawData[[Picker ID ]],$Q$3,RawData[Checker ID],$Q$4,RawData[[Error Type ]],$Q$5))</f>
        <v/>
      </c>
    </row>
    <row r="18692" spans="15:15" x14ac:dyDescent="0.25">
      <c r="O18692" s="20" t="str">
        <f>IF(N18692="","",COUNTIFS(RawData[[Date ]],N18692,RawData[Month List],$Q$6,RawData[Tour/Site],$Q$2,RawData[[Picker ID ]],$Q$3,RawData[Checker ID],$Q$4,RawData[[Error Type ]],$Q$5))</f>
        <v/>
      </c>
    </row>
    <row r="18693" spans="15:15" x14ac:dyDescent="0.25">
      <c r="O18693" s="20" t="str">
        <f>IF(N18693="","",COUNTIFS(RawData[[Date ]],N18693,RawData[Month List],$Q$6,RawData[Tour/Site],$Q$2,RawData[[Picker ID ]],$Q$3,RawData[Checker ID],$Q$4,RawData[[Error Type ]],$Q$5))</f>
        <v/>
      </c>
    </row>
    <row r="18694" spans="15:15" x14ac:dyDescent="0.25">
      <c r="O18694" s="20" t="str">
        <f>IF(N18694="","",COUNTIFS(RawData[[Date ]],N18694,RawData[Month List],$Q$6,RawData[Tour/Site],$Q$2,RawData[[Picker ID ]],$Q$3,RawData[Checker ID],$Q$4,RawData[[Error Type ]],$Q$5))</f>
        <v/>
      </c>
    </row>
    <row r="18695" spans="15:15" x14ac:dyDescent="0.25">
      <c r="O18695" s="20" t="str">
        <f>IF(N18695="","",COUNTIFS(RawData[[Date ]],N18695,RawData[Month List],$Q$6,RawData[Tour/Site],$Q$2,RawData[[Picker ID ]],$Q$3,RawData[Checker ID],$Q$4,RawData[[Error Type ]],$Q$5))</f>
        <v/>
      </c>
    </row>
    <row r="18696" spans="15:15" x14ac:dyDescent="0.25">
      <c r="O18696" s="20" t="str">
        <f>IF(N18696="","",COUNTIFS(RawData[[Date ]],N18696,RawData[Month List],$Q$6,RawData[Tour/Site],$Q$2,RawData[[Picker ID ]],$Q$3,RawData[Checker ID],$Q$4,RawData[[Error Type ]],$Q$5))</f>
        <v/>
      </c>
    </row>
    <row r="18697" spans="15:15" x14ac:dyDescent="0.25">
      <c r="O18697" s="20" t="str">
        <f>IF(N18697="","",COUNTIFS(RawData[[Date ]],N18697,RawData[Month List],$Q$6,RawData[Tour/Site],$Q$2,RawData[[Picker ID ]],$Q$3,RawData[Checker ID],$Q$4,RawData[[Error Type ]],$Q$5))</f>
        <v/>
      </c>
    </row>
    <row r="18698" spans="15:15" x14ac:dyDescent="0.25">
      <c r="O18698" s="20" t="str">
        <f>IF(N18698="","",COUNTIFS(RawData[[Date ]],N18698,RawData[Month List],$Q$6,RawData[Tour/Site],$Q$2,RawData[[Picker ID ]],$Q$3,RawData[Checker ID],$Q$4,RawData[[Error Type ]],$Q$5))</f>
        <v/>
      </c>
    </row>
    <row r="18699" spans="15:15" x14ac:dyDescent="0.25">
      <c r="O18699" s="20" t="str">
        <f>IF(N18699="","",COUNTIFS(RawData[[Date ]],N18699,RawData[Month List],$Q$6,RawData[Tour/Site],$Q$2,RawData[[Picker ID ]],$Q$3,RawData[Checker ID],$Q$4,RawData[[Error Type ]],$Q$5))</f>
        <v/>
      </c>
    </row>
    <row r="18700" spans="15:15" x14ac:dyDescent="0.25">
      <c r="O18700" s="20" t="str">
        <f>IF(N18700="","",COUNTIFS(RawData[[Date ]],N18700,RawData[Month List],$Q$6,RawData[Tour/Site],$Q$2,RawData[[Picker ID ]],$Q$3,RawData[Checker ID],$Q$4,RawData[[Error Type ]],$Q$5))</f>
        <v/>
      </c>
    </row>
    <row r="18701" spans="15:15" x14ac:dyDescent="0.25">
      <c r="O18701" s="20" t="str">
        <f>IF(N18701="","",COUNTIFS(RawData[[Date ]],N18701,RawData[Month List],$Q$6,RawData[Tour/Site],$Q$2,RawData[[Picker ID ]],$Q$3,RawData[Checker ID],$Q$4,RawData[[Error Type ]],$Q$5))</f>
        <v/>
      </c>
    </row>
    <row r="18702" spans="15:15" x14ac:dyDescent="0.25">
      <c r="O18702" s="20" t="str">
        <f>IF(N18702="","",COUNTIFS(RawData[[Date ]],N18702,RawData[Month List],$Q$6,RawData[Tour/Site],$Q$2,RawData[[Picker ID ]],$Q$3,RawData[Checker ID],$Q$4,RawData[[Error Type ]],$Q$5))</f>
        <v/>
      </c>
    </row>
    <row r="18703" spans="15:15" x14ac:dyDescent="0.25">
      <c r="O18703" s="20" t="str">
        <f>IF(N18703="","",COUNTIFS(RawData[[Date ]],N18703,RawData[Month List],$Q$6,RawData[Tour/Site],$Q$2,RawData[[Picker ID ]],$Q$3,RawData[Checker ID],$Q$4,RawData[[Error Type ]],$Q$5))</f>
        <v/>
      </c>
    </row>
    <row r="18704" spans="15:15" x14ac:dyDescent="0.25">
      <c r="O18704" s="20" t="str">
        <f>IF(N18704="","",COUNTIFS(RawData[[Date ]],N18704,RawData[Month List],$Q$6,RawData[Tour/Site],$Q$2,RawData[[Picker ID ]],$Q$3,RawData[Checker ID],$Q$4,RawData[[Error Type ]],$Q$5))</f>
        <v/>
      </c>
    </row>
    <row r="18705" spans="15:15" x14ac:dyDescent="0.25">
      <c r="O18705" s="20" t="str">
        <f>IF(N18705="","",COUNTIFS(RawData[[Date ]],N18705,RawData[Month List],$Q$6,RawData[Tour/Site],$Q$2,RawData[[Picker ID ]],$Q$3,RawData[Checker ID],$Q$4,RawData[[Error Type ]],$Q$5))</f>
        <v/>
      </c>
    </row>
    <row r="18706" spans="15:15" x14ac:dyDescent="0.25">
      <c r="O18706" s="20" t="str">
        <f>IF(N18706="","",COUNTIFS(RawData[[Date ]],N18706,RawData[Month List],$Q$6,RawData[Tour/Site],$Q$2,RawData[[Picker ID ]],$Q$3,RawData[Checker ID],$Q$4,RawData[[Error Type ]],$Q$5))</f>
        <v/>
      </c>
    </row>
    <row r="18707" spans="15:15" x14ac:dyDescent="0.25">
      <c r="O18707" s="20" t="str">
        <f>IF(N18707="","",COUNTIFS(RawData[[Date ]],N18707,RawData[Month List],$Q$6,RawData[Tour/Site],$Q$2,RawData[[Picker ID ]],$Q$3,RawData[Checker ID],$Q$4,RawData[[Error Type ]],$Q$5))</f>
        <v/>
      </c>
    </row>
    <row r="18708" spans="15:15" x14ac:dyDescent="0.25">
      <c r="O18708" s="20" t="str">
        <f>IF(N18708="","",COUNTIFS(RawData[[Date ]],N18708,RawData[Month List],$Q$6,RawData[Tour/Site],$Q$2,RawData[[Picker ID ]],$Q$3,RawData[Checker ID],$Q$4,RawData[[Error Type ]],$Q$5))</f>
        <v/>
      </c>
    </row>
    <row r="18709" spans="15:15" x14ac:dyDescent="0.25">
      <c r="O18709" s="20" t="str">
        <f>IF(N18709="","",COUNTIFS(RawData[[Date ]],N18709,RawData[Month List],$Q$6,RawData[Tour/Site],$Q$2,RawData[[Picker ID ]],$Q$3,RawData[Checker ID],$Q$4,RawData[[Error Type ]],$Q$5))</f>
        <v/>
      </c>
    </row>
    <row r="18710" spans="15:15" x14ac:dyDescent="0.25">
      <c r="O18710" s="20" t="str">
        <f>IF(N18710="","",COUNTIFS(RawData[[Date ]],N18710,RawData[Month List],$Q$6,RawData[Tour/Site],$Q$2,RawData[[Picker ID ]],$Q$3,RawData[Checker ID],$Q$4,RawData[[Error Type ]],$Q$5))</f>
        <v/>
      </c>
    </row>
    <row r="18711" spans="15:15" x14ac:dyDescent="0.25">
      <c r="O18711" s="20" t="str">
        <f>IF(N18711="","",COUNTIFS(RawData[[Date ]],N18711,RawData[Month List],$Q$6,RawData[Tour/Site],$Q$2,RawData[[Picker ID ]],$Q$3,RawData[Checker ID],$Q$4,RawData[[Error Type ]],$Q$5))</f>
        <v/>
      </c>
    </row>
    <row r="18712" spans="15:15" x14ac:dyDescent="0.25">
      <c r="O18712" s="20" t="str">
        <f>IF(N18712="","",COUNTIFS(RawData[[Date ]],N18712,RawData[Month List],$Q$6,RawData[Tour/Site],$Q$2,RawData[[Picker ID ]],$Q$3,RawData[Checker ID],$Q$4,RawData[[Error Type ]],$Q$5))</f>
        <v/>
      </c>
    </row>
    <row r="18713" spans="15:15" x14ac:dyDescent="0.25">
      <c r="O18713" s="20" t="str">
        <f>IF(N18713="","",COUNTIFS(RawData[[Date ]],N18713,RawData[Month List],$Q$6,RawData[Tour/Site],$Q$2,RawData[[Picker ID ]],$Q$3,RawData[Checker ID],$Q$4,RawData[[Error Type ]],$Q$5))</f>
        <v/>
      </c>
    </row>
    <row r="18714" spans="15:15" x14ac:dyDescent="0.25">
      <c r="O18714" s="20" t="str">
        <f>IF(N18714="","",COUNTIFS(RawData[[Date ]],N18714,RawData[Month List],$Q$6,RawData[Tour/Site],$Q$2,RawData[[Picker ID ]],$Q$3,RawData[Checker ID],$Q$4,RawData[[Error Type ]],$Q$5))</f>
        <v/>
      </c>
    </row>
    <row r="18715" spans="15:15" x14ac:dyDescent="0.25">
      <c r="O18715" s="20" t="str">
        <f>IF(N18715="","",COUNTIFS(RawData[[Date ]],N18715,RawData[Month List],$Q$6,RawData[Tour/Site],$Q$2,RawData[[Picker ID ]],$Q$3,RawData[Checker ID],$Q$4,RawData[[Error Type ]],$Q$5))</f>
        <v/>
      </c>
    </row>
    <row r="18716" spans="15:15" x14ac:dyDescent="0.25">
      <c r="O18716" s="20" t="str">
        <f>IF(N18716="","",COUNTIFS(RawData[[Date ]],N18716,RawData[Month List],$Q$6,RawData[Tour/Site],$Q$2,RawData[[Picker ID ]],$Q$3,RawData[Checker ID],$Q$4,RawData[[Error Type ]],$Q$5))</f>
        <v/>
      </c>
    </row>
    <row r="18717" spans="15:15" x14ac:dyDescent="0.25">
      <c r="O18717" s="20" t="str">
        <f>IF(N18717="","",COUNTIFS(RawData[[Date ]],N18717,RawData[Month List],$Q$6,RawData[Tour/Site],$Q$2,RawData[[Picker ID ]],$Q$3,RawData[Checker ID],$Q$4,RawData[[Error Type ]],$Q$5))</f>
        <v/>
      </c>
    </row>
    <row r="18718" spans="15:15" x14ac:dyDescent="0.25">
      <c r="O18718" s="20" t="str">
        <f>IF(N18718="","",COUNTIFS(RawData[[Date ]],N18718,RawData[Month List],$Q$6,RawData[Tour/Site],$Q$2,RawData[[Picker ID ]],$Q$3,RawData[Checker ID],$Q$4,RawData[[Error Type ]],$Q$5))</f>
        <v/>
      </c>
    </row>
    <row r="18719" spans="15:15" x14ac:dyDescent="0.25">
      <c r="O18719" s="20" t="str">
        <f>IF(N18719="","",COUNTIFS(RawData[[Date ]],N18719,RawData[Month List],$Q$6,RawData[Tour/Site],$Q$2,RawData[[Picker ID ]],$Q$3,RawData[Checker ID],$Q$4,RawData[[Error Type ]],$Q$5))</f>
        <v/>
      </c>
    </row>
    <row r="18720" spans="15:15" x14ac:dyDescent="0.25">
      <c r="O18720" s="20" t="str">
        <f>IF(N18720="","",COUNTIFS(RawData[[Date ]],N18720,RawData[Month List],$Q$6,RawData[Tour/Site],$Q$2,RawData[[Picker ID ]],$Q$3,RawData[Checker ID],$Q$4,RawData[[Error Type ]],$Q$5))</f>
        <v/>
      </c>
    </row>
    <row r="18721" spans="15:15" x14ac:dyDescent="0.25">
      <c r="O18721" s="20" t="str">
        <f>IF(N18721="","",COUNTIFS(RawData[[Date ]],N18721,RawData[Month List],$Q$6,RawData[Tour/Site],$Q$2,RawData[[Picker ID ]],$Q$3,RawData[Checker ID],$Q$4,RawData[[Error Type ]],$Q$5))</f>
        <v/>
      </c>
    </row>
    <row r="18722" spans="15:15" x14ac:dyDescent="0.25">
      <c r="O18722" s="20" t="str">
        <f>IF(N18722="","",COUNTIFS(RawData[[Date ]],N18722,RawData[Month List],$Q$6,RawData[Tour/Site],$Q$2,RawData[[Picker ID ]],$Q$3,RawData[Checker ID],$Q$4,RawData[[Error Type ]],$Q$5))</f>
        <v/>
      </c>
    </row>
    <row r="18723" spans="15:15" x14ac:dyDescent="0.25">
      <c r="O18723" s="20" t="str">
        <f>IF(N18723="","",COUNTIFS(RawData[[Date ]],N18723,RawData[Month List],$Q$6,RawData[Tour/Site],$Q$2,RawData[[Picker ID ]],$Q$3,RawData[Checker ID],$Q$4,RawData[[Error Type ]],$Q$5))</f>
        <v/>
      </c>
    </row>
    <row r="18724" spans="15:15" x14ac:dyDescent="0.25">
      <c r="O18724" s="20" t="str">
        <f>IF(N18724="","",COUNTIFS(RawData[[Date ]],N18724,RawData[Month List],$Q$6,RawData[Tour/Site],$Q$2,RawData[[Picker ID ]],$Q$3,RawData[Checker ID],$Q$4,RawData[[Error Type ]],$Q$5))</f>
        <v/>
      </c>
    </row>
    <row r="18725" spans="15:15" x14ac:dyDescent="0.25">
      <c r="O18725" s="20" t="str">
        <f>IF(N18725="","",COUNTIFS(RawData[[Date ]],N18725,RawData[Month List],$Q$6,RawData[Tour/Site],$Q$2,RawData[[Picker ID ]],$Q$3,RawData[Checker ID],$Q$4,RawData[[Error Type ]],$Q$5))</f>
        <v/>
      </c>
    </row>
    <row r="18726" spans="15:15" x14ac:dyDescent="0.25">
      <c r="O18726" s="20" t="str">
        <f>IF(N18726="","",COUNTIFS(RawData[[Date ]],N18726,RawData[Month List],$Q$6,RawData[Tour/Site],$Q$2,RawData[[Picker ID ]],$Q$3,RawData[Checker ID],$Q$4,RawData[[Error Type ]],$Q$5))</f>
        <v/>
      </c>
    </row>
    <row r="18727" spans="15:15" x14ac:dyDescent="0.25">
      <c r="O18727" s="20" t="str">
        <f>IF(N18727="","",COUNTIFS(RawData[[Date ]],N18727,RawData[Month List],$Q$6,RawData[Tour/Site],$Q$2,RawData[[Picker ID ]],$Q$3,RawData[Checker ID],$Q$4,RawData[[Error Type ]],$Q$5))</f>
        <v/>
      </c>
    </row>
    <row r="18728" spans="15:15" x14ac:dyDescent="0.25">
      <c r="O18728" s="20" t="str">
        <f>IF(N18728="","",COUNTIFS(RawData[[Date ]],N18728,RawData[Month List],$Q$6,RawData[Tour/Site],$Q$2,RawData[[Picker ID ]],$Q$3,RawData[Checker ID],$Q$4,RawData[[Error Type ]],$Q$5))</f>
        <v/>
      </c>
    </row>
    <row r="18729" spans="15:15" x14ac:dyDescent="0.25">
      <c r="O18729" s="20" t="str">
        <f>IF(N18729="","",COUNTIFS(RawData[[Date ]],N18729,RawData[Month List],$Q$6,RawData[Tour/Site],$Q$2,RawData[[Picker ID ]],$Q$3,RawData[Checker ID],$Q$4,RawData[[Error Type ]],$Q$5))</f>
        <v/>
      </c>
    </row>
    <row r="18730" spans="15:15" x14ac:dyDescent="0.25">
      <c r="O18730" s="20" t="str">
        <f>IF(N18730="","",COUNTIFS(RawData[[Date ]],N18730,RawData[Month List],$Q$6,RawData[Tour/Site],$Q$2,RawData[[Picker ID ]],$Q$3,RawData[Checker ID],$Q$4,RawData[[Error Type ]],$Q$5))</f>
        <v/>
      </c>
    </row>
    <row r="18731" spans="15:15" x14ac:dyDescent="0.25">
      <c r="O18731" s="20" t="str">
        <f>IF(N18731="","",COUNTIFS(RawData[[Date ]],N18731,RawData[Month List],$Q$6,RawData[Tour/Site],$Q$2,RawData[[Picker ID ]],$Q$3,RawData[Checker ID],$Q$4,RawData[[Error Type ]],$Q$5))</f>
        <v/>
      </c>
    </row>
    <row r="18732" spans="15:15" x14ac:dyDescent="0.25">
      <c r="O18732" s="20" t="str">
        <f>IF(N18732="","",COUNTIFS(RawData[[Date ]],N18732,RawData[Month List],$Q$6,RawData[Tour/Site],$Q$2,RawData[[Picker ID ]],$Q$3,RawData[Checker ID],$Q$4,RawData[[Error Type ]],$Q$5))</f>
        <v/>
      </c>
    </row>
    <row r="18733" spans="15:15" x14ac:dyDescent="0.25">
      <c r="O18733" s="20" t="str">
        <f>IF(N18733="","",COUNTIFS(RawData[[Date ]],N18733,RawData[Month List],$Q$6,RawData[Tour/Site],$Q$2,RawData[[Picker ID ]],$Q$3,RawData[Checker ID],$Q$4,RawData[[Error Type ]],$Q$5))</f>
        <v/>
      </c>
    </row>
    <row r="18734" spans="15:15" x14ac:dyDescent="0.25">
      <c r="O18734" s="20" t="str">
        <f>IF(N18734="","",COUNTIFS(RawData[[Date ]],N18734,RawData[Month List],$Q$6,RawData[Tour/Site],$Q$2,RawData[[Picker ID ]],$Q$3,RawData[Checker ID],$Q$4,RawData[[Error Type ]],$Q$5))</f>
        <v/>
      </c>
    </row>
    <row r="18735" spans="15:15" x14ac:dyDescent="0.25">
      <c r="O18735" s="20" t="str">
        <f>IF(N18735="","",COUNTIFS(RawData[[Date ]],N18735,RawData[Month List],$Q$6,RawData[Tour/Site],$Q$2,RawData[[Picker ID ]],$Q$3,RawData[Checker ID],$Q$4,RawData[[Error Type ]],$Q$5))</f>
        <v/>
      </c>
    </row>
    <row r="18736" spans="15:15" x14ac:dyDescent="0.25">
      <c r="O18736" s="20" t="str">
        <f>IF(N18736="","",COUNTIFS(RawData[[Date ]],N18736,RawData[Month List],$Q$6,RawData[Tour/Site],$Q$2,RawData[[Picker ID ]],$Q$3,RawData[Checker ID],$Q$4,RawData[[Error Type ]],$Q$5))</f>
        <v/>
      </c>
    </row>
    <row r="18737" spans="15:15" x14ac:dyDescent="0.25">
      <c r="O18737" s="20" t="str">
        <f>IF(N18737="","",COUNTIFS(RawData[[Date ]],N18737,RawData[Month List],$Q$6,RawData[Tour/Site],$Q$2,RawData[[Picker ID ]],$Q$3,RawData[Checker ID],$Q$4,RawData[[Error Type ]],$Q$5))</f>
        <v/>
      </c>
    </row>
    <row r="18738" spans="15:15" x14ac:dyDescent="0.25">
      <c r="O18738" s="20" t="str">
        <f>IF(N18738="","",COUNTIFS(RawData[[Date ]],N18738,RawData[Month List],$Q$6,RawData[Tour/Site],$Q$2,RawData[[Picker ID ]],$Q$3,RawData[Checker ID],$Q$4,RawData[[Error Type ]],$Q$5))</f>
        <v/>
      </c>
    </row>
    <row r="18739" spans="15:15" x14ac:dyDescent="0.25">
      <c r="O18739" s="20" t="str">
        <f>IF(N18739="","",COUNTIFS(RawData[[Date ]],N18739,RawData[Month List],$Q$6,RawData[Tour/Site],$Q$2,RawData[[Picker ID ]],$Q$3,RawData[Checker ID],$Q$4,RawData[[Error Type ]],$Q$5))</f>
        <v/>
      </c>
    </row>
    <row r="18740" spans="15:15" x14ac:dyDescent="0.25">
      <c r="O18740" s="20" t="str">
        <f>IF(N18740="","",COUNTIFS(RawData[[Date ]],N18740,RawData[Month List],$Q$6,RawData[Tour/Site],$Q$2,RawData[[Picker ID ]],$Q$3,RawData[Checker ID],$Q$4,RawData[[Error Type ]],$Q$5))</f>
        <v/>
      </c>
    </row>
    <row r="18741" spans="15:15" x14ac:dyDescent="0.25">
      <c r="O18741" s="20" t="str">
        <f>IF(N18741="","",COUNTIFS(RawData[[Date ]],N18741,RawData[Month List],$Q$6,RawData[Tour/Site],$Q$2,RawData[[Picker ID ]],$Q$3,RawData[Checker ID],$Q$4,RawData[[Error Type ]],$Q$5))</f>
        <v/>
      </c>
    </row>
    <row r="18742" spans="15:15" x14ac:dyDescent="0.25">
      <c r="O18742" s="20" t="str">
        <f>IF(N18742="","",COUNTIFS(RawData[[Date ]],N18742,RawData[Month List],$Q$6,RawData[Tour/Site],$Q$2,RawData[[Picker ID ]],$Q$3,RawData[Checker ID],$Q$4,RawData[[Error Type ]],$Q$5))</f>
        <v/>
      </c>
    </row>
    <row r="18743" spans="15:15" x14ac:dyDescent="0.25">
      <c r="O18743" s="20" t="str">
        <f>IF(N18743="","",COUNTIFS(RawData[[Date ]],N18743,RawData[Month List],$Q$6,RawData[Tour/Site],$Q$2,RawData[[Picker ID ]],$Q$3,RawData[Checker ID],$Q$4,RawData[[Error Type ]],$Q$5))</f>
        <v/>
      </c>
    </row>
    <row r="18744" spans="15:15" x14ac:dyDescent="0.25">
      <c r="O18744" s="20" t="str">
        <f>IF(N18744="","",COUNTIFS(RawData[[Date ]],N18744,RawData[Month List],$Q$6,RawData[Tour/Site],$Q$2,RawData[[Picker ID ]],$Q$3,RawData[Checker ID],$Q$4,RawData[[Error Type ]],$Q$5))</f>
        <v/>
      </c>
    </row>
    <row r="18745" spans="15:15" x14ac:dyDescent="0.25">
      <c r="O18745" s="20" t="str">
        <f>IF(N18745="","",COUNTIFS(RawData[[Date ]],N18745,RawData[Month List],$Q$6,RawData[Tour/Site],$Q$2,RawData[[Picker ID ]],$Q$3,RawData[Checker ID],$Q$4,RawData[[Error Type ]],$Q$5))</f>
        <v/>
      </c>
    </row>
    <row r="18746" spans="15:15" x14ac:dyDescent="0.25">
      <c r="O18746" s="20" t="str">
        <f>IF(N18746="","",COUNTIFS(RawData[[Date ]],N18746,RawData[Month List],$Q$6,RawData[Tour/Site],$Q$2,RawData[[Picker ID ]],$Q$3,RawData[Checker ID],$Q$4,RawData[[Error Type ]],$Q$5))</f>
        <v/>
      </c>
    </row>
    <row r="18747" spans="15:15" x14ac:dyDescent="0.25">
      <c r="O18747" s="20" t="str">
        <f>IF(N18747="","",COUNTIFS(RawData[[Date ]],N18747,RawData[Month List],$Q$6,RawData[Tour/Site],$Q$2,RawData[[Picker ID ]],$Q$3,RawData[Checker ID],$Q$4,RawData[[Error Type ]],$Q$5))</f>
        <v/>
      </c>
    </row>
    <row r="18748" spans="15:15" x14ac:dyDescent="0.25">
      <c r="O18748" s="20" t="str">
        <f>IF(N18748="","",COUNTIFS(RawData[[Date ]],N18748,RawData[Month List],$Q$6,RawData[Tour/Site],$Q$2,RawData[[Picker ID ]],$Q$3,RawData[Checker ID],$Q$4,RawData[[Error Type ]],$Q$5))</f>
        <v/>
      </c>
    </row>
    <row r="18749" spans="15:15" x14ac:dyDescent="0.25">
      <c r="O18749" s="20" t="str">
        <f>IF(N18749="","",COUNTIFS(RawData[[Date ]],N18749,RawData[Month List],$Q$6,RawData[Tour/Site],$Q$2,RawData[[Picker ID ]],$Q$3,RawData[Checker ID],$Q$4,RawData[[Error Type ]],$Q$5))</f>
        <v/>
      </c>
    </row>
    <row r="18750" spans="15:15" x14ac:dyDescent="0.25">
      <c r="O18750" s="20" t="str">
        <f>IF(N18750="","",COUNTIFS(RawData[[Date ]],N18750,RawData[Month List],$Q$6,RawData[Tour/Site],$Q$2,RawData[[Picker ID ]],$Q$3,RawData[Checker ID],$Q$4,RawData[[Error Type ]],$Q$5))</f>
        <v/>
      </c>
    </row>
    <row r="18751" spans="15:15" x14ac:dyDescent="0.25">
      <c r="O18751" s="20" t="str">
        <f>IF(N18751="","",COUNTIFS(RawData[[Date ]],N18751,RawData[Month List],$Q$6,RawData[Tour/Site],$Q$2,RawData[[Picker ID ]],$Q$3,RawData[Checker ID],$Q$4,RawData[[Error Type ]],$Q$5))</f>
        <v/>
      </c>
    </row>
    <row r="18752" spans="15:15" x14ac:dyDescent="0.25">
      <c r="O18752" s="20" t="str">
        <f>IF(N18752="","",COUNTIFS(RawData[[Date ]],N18752,RawData[Month List],$Q$6,RawData[Tour/Site],$Q$2,RawData[[Picker ID ]],$Q$3,RawData[Checker ID],$Q$4,RawData[[Error Type ]],$Q$5))</f>
        <v/>
      </c>
    </row>
    <row r="18753" spans="15:15" x14ac:dyDescent="0.25">
      <c r="O18753" s="20" t="str">
        <f>IF(N18753="","",COUNTIFS(RawData[[Date ]],N18753,RawData[Month List],$Q$6,RawData[Tour/Site],$Q$2,RawData[[Picker ID ]],$Q$3,RawData[Checker ID],$Q$4,RawData[[Error Type ]],$Q$5))</f>
        <v/>
      </c>
    </row>
    <row r="18754" spans="15:15" x14ac:dyDescent="0.25">
      <c r="O18754" s="20" t="str">
        <f>IF(N18754="","",COUNTIFS(RawData[[Date ]],N18754,RawData[Month List],$Q$6,RawData[Tour/Site],$Q$2,RawData[[Picker ID ]],$Q$3,RawData[Checker ID],$Q$4,RawData[[Error Type ]],$Q$5))</f>
        <v/>
      </c>
    </row>
    <row r="18755" spans="15:15" x14ac:dyDescent="0.25">
      <c r="O18755" s="20" t="str">
        <f>IF(N18755="","",COUNTIFS(RawData[[Date ]],N18755,RawData[Month List],$Q$6,RawData[Tour/Site],$Q$2,RawData[[Picker ID ]],$Q$3,RawData[Checker ID],$Q$4,RawData[[Error Type ]],$Q$5))</f>
        <v/>
      </c>
    </row>
    <row r="18756" spans="15:15" x14ac:dyDescent="0.25">
      <c r="O18756" s="20" t="str">
        <f>IF(N18756="","",COUNTIFS(RawData[[Date ]],N18756,RawData[Month List],$Q$6,RawData[Tour/Site],$Q$2,RawData[[Picker ID ]],$Q$3,RawData[Checker ID],$Q$4,RawData[[Error Type ]],$Q$5))</f>
        <v/>
      </c>
    </row>
    <row r="18757" spans="15:15" x14ac:dyDescent="0.25">
      <c r="O18757" s="20" t="str">
        <f>IF(N18757="","",COUNTIFS(RawData[[Date ]],N18757,RawData[Month List],$Q$6,RawData[Tour/Site],$Q$2,RawData[[Picker ID ]],$Q$3,RawData[Checker ID],$Q$4,RawData[[Error Type ]],$Q$5))</f>
        <v/>
      </c>
    </row>
    <row r="18758" spans="15:15" x14ac:dyDescent="0.25">
      <c r="O18758" s="20" t="str">
        <f>IF(N18758="","",COUNTIFS(RawData[[Date ]],N18758,RawData[Month List],$Q$6,RawData[Tour/Site],$Q$2,RawData[[Picker ID ]],$Q$3,RawData[Checker ID],$Q$4,RawData[[Error Type ]],$Q$5))</f>
        <v/>
      </c>
    </row>
    <row r="18759" spans="15:15" x14ac:dyDescent="0.25">
      <c r="O18759" s="20" t="str">
        <f>IF(N18759="","",COUNTIFS(RawData[[Date ]],N18759,RawData[Month List],$Q$6,RawData[Tour/Site],$Q$2,RawData[[Picker ID ]],$Q$3,RawData[Checker ID],$Q$4,RawData[[Error Type ]],$Q$5))</f>
        <v/>
      </c>
    </row>
    <row r="18760" spans="15:15" x14ac:dyDescent="0.25">
      <c r="O18760" s="20" t="str">
        <f>IF(N18760="","",COUNTIFS(RawData[[Date ]],N18760,RawData[Month List],$Q$6,RawData[Tour/Site],$Q$2,RawData[[Picker ID ]],$Q$3,RawData[Checker ID],$Q$4,RawData[[Error Type ]],$Q$5))</f>
        <v/>
      </c>
    </row>
    <row r="18761" spans="15:15" x14ac:dyDescent="0.25">
      <c r="O18761" s="20" t="str">
        <f>IF(N18761="","",COUNTIFS(RawData[[Date ]],N18761,RawData[Month List],$Q$6,RawData[Tour/Site],$Q$2,RawData[[Picker ID ]],$Q$3,RawData[Checker ID],$Q$4,RawData[[Error Type ]],$Q$5))</f>
        <v/>
      </c>
    </row>
    <row r="18762" spans="15:15" x14ac:dyDescent="0.25">
      <c r="O18762" s="20" t="str">
        <f>IF(N18762="","",COUNTIFS(RawData[[Date ]],N18762,RawData[Month List],$Q$6,RawData[Tour/Site],$Q$2,RawData[[Picker ID ]],$Q$3,RawData[Checker ID],$Q$4,RawData[[Error Type ]],$Q$5))</f>
        <v/>
      </c>
    </row>
    <row r="18763" spans="15:15" x14ac:dyDescent="0.25">
      <c r="O18763" s="20" t="str">
        <f>IF(N18763="","",COUNTIFS(RawData[[Date ]],N18763,RawData[Month List],$Q$6,RawData[Tour/Site],$Q$2,RawData[[Picker ID ]],$Q$3,RawData[Checker ID],$Q$4,RawData[[Error Type ]],$Q$5))</f>
        <v/>
      </c>
    </row>
    <row r="18764" spans="15:15" x14ac:dyDescent="0.25">
      <c r="O18764" s="20" t="str">
        <f>IF(N18764="","",COUNTIFS(RawData[[Date ]],N18764,RawData[Month List],$Q$6,RawData[Tour/Site],$Q$2,RawData[[Picker ID ]],$Q$3,RawData[Checker ID],$Q$4,RawData[[Error Type ]],$Q$5))</f>
        <v/>
      </c>
    </row>
    <row r="18765" spans="15:15" x14ac:dyDescent="0.25">
      <c r="O18765" s="20" t="str">
        <f>IF(N18765="","",COUNTIFS(RawData[[Date ]],N18765,RawData[Month List],$Q$6,RawData[Tour/Site],$Q$2,RawData[[Picker ID ]],$Q$3,RawData[Checker ID],$Q$4,RawData[[Error Type ]],$Q$5))</f>
        <v/>
      </c>
    </row>
    <row r="18766" spans="15:15" x14ac:dyDescent="0.25">
      <c r="O18766" s="20" t="str">
        <f>IF(N18766="","",COUNTIFS(RawData[[Date ]],N18766,RawData[Month List],$Q$6,RawData[Tour/Site],$Q$2,RawData[[Picker ID ]],$Q$3,RawData[Checker ID],$Q$4,RawData[[Error Type ]],$Q$5))</f>
        <v/>
      </c>
    </row>
    <row r="18767" spans="15:15" x14ac:dyDescent="0.25">
      <c r="O18767" s="20" t="str">
        <f>IF(N18767="","",COUNTIFS(RawData[[Date ]],N18767,RawData[Month List],$Q$6,RawData[Tour/Site],$Q$2,RawData[[Picker ID ]],$Q$3,RawData[Checker ID],$Q$4,RawData[[Error Type ]],$Q$5))</f>
        <v/>
      </c>
    </row>
    <row r="18768" spans="15:15" x14ac:dyDescent="0.25">
      <c r="O18768" s="20" t="str">
        <f>IF(N18768="","",COUNTIFS(RawData[[Date ]],N18768,RawData[Month List],$Q$6,RawData[Tour/Site],$Q$2,RawData[[Picker ID ]],$Q$3,RawData[Checker ID],$Q$4,RawData[[Error Type ]],$Q$5))</f>
        <v/>
      </c>
    </row>
    <row r="18769" spans="15:15" x14ac:dyDescent="0.25">
      <c r="O18769" s="20" t="str">
        <f>IF(N18769="","",COUNTIFS(RawData[[Date ]],N18769,RawData[Month List],$Q$6,RawData[Tour/Site],$Q$2,RawData[[Picker ID ]],$Q$3,RawData[Checker ID],$Q$4,RawData[[Error Type ]],$Q$5))</f>
        <v/>
      </c>
    </row>
    <row r="18770" spans="15:15" x14ac:dyDescent="0.25">
      <c r="O18770" s="20" t="str">
        <f>IF(N18770="","",COUNTIFS(RawData[[Date ]],N18770,RawData[Month List],$Q$6,RawData[Tour/Site],$Q$2,RawData[[Picker ID ]],$Q$3,RawData[Checker ID],$Q$4,RawData[[Error Type ]],$Q$5))</f>
        <v/>
      </c>
    </row>
    <row r="18771" spans="15:15" x14ac:dyDescent="0.25">
      <c r="O18771" s="20" t="str">
        <f>IF(N18771="","",COUNTIFS(RawData[[Date ]],N18771,RawData[Month List],$Q$6,RawData[Tour/Site],$Q$2,RawData[[Picker ID ]],$Q$3,RawData[Checker ID],$Q$4,RawData[[Error Type ]],$Q$5))</f>
        <v/>
      </c>
    </row>
    <row r="18772" spans="15:15" x14ac:dyDescent="0.25">
      <c r="O18772" s="20" t="str">
        <f>IF(N18772="","",COUNTIFS(RawData[[Date ]],N18772,RawData[Month List],$Q$6,RawData[Tour/Site],$Q$2,RawData[[Picker ID ]],$Q$3,RawData[Checker ID],$Q$4,RawData[[Error Type ]],$Q$5))</f>
        <v/>
      </c>
    </row>
    <row r="18773" spans="15:15" x14ac:dyDescent="0.25">
      <c r="O18773" s="20" t="str">
        <f>IF(N18773="","",COUNTIFS(RawData[[Date ]],N18773,RawData[Month List],$Q$6,RawData[Tour/Site],$Q$2,RawData[[Picker ID ]],$Q$3,RawData[Checker ID],$Q$4,RawData[[Error Type ]],$Q$5))</f>
        <v/>
      </c>
    </row>
    <row r="18774" spans="15:15" x14ac:dyDescent="0.25">
      <c r="O18774" s="20" t="str">
        <f>IF(N18774="","",COUNTIFS(RawData[[Date ]],N18774,RawData[Month List],$Q$6,RawData[Tour/Site],$Q$2,RawData[[Picker ID ]],$Q$3,RawData[Checker ID],$Q$4,RawData[[Error Type ]],$Q$5))</f>
        <v/>
      </c>
    </row>
    <row r="18775" spans="15:15" x14ac:dyDescent="0.25">
      <c r="O18775" s="20" t="str">
        <f>IF(N18775="","",COUNTIFS(RawData[[Date ]],N18775,RawData[Month List],$Q$6,RawData[Tour/Site],$Q$2,RawData[[Picker ID ]],$Q$3,RawData[Checker ID],$Q$4,RawData[[Error Type ]],$Q$5))</f>
        <v/>
      </c>
    </row>
    <row r="18776" spans="15:15" x14ac:dyDescent="0.25">
      <c r="O18776" s="20" t="str">
        <f>IF(N18776="","",COUNTIFS(RawData[[Date ]],N18776,RawData[Month List],$Q$6,RawData[Tour/Site],$Q$2,RawData[[Picker ID ]],$Q$3,RawData[Checker ID],$Q$4,RawData[[Error Type ]],$Q$5))</f>
        <v/>
      </c>
    </row>
    <row r="18777" spans="15:15" x14ac:dyDescent="0.25">
      <c r="O18777" s="20" t="str">
        <f>IF(N18777="","",COUNTIFS(RawData[[Date ]],N18777,RawData[Month List],$Q$6,RawData[Tour/Site],$Q$2,RawData[[Picker ID ]],$Q$3,RawData[Checker ID],$Q$4,RawData[[Error Type ]],$Q$5))</f>
        <v/>
      </c>
    </row>
    <row r="18778" spans="15:15" x14ac:dyDescent="0.25">
      <c r="O18778" s="20" t="str">
        <f>IF(N18778="","",COUNTIFS(RawData[[Date ]],N18778,RawData[Month List],$Q$6,RawData[Tour/Site],$Q$2,RawData[[Picker ID ]],$Q$3,RawData[Checker ID],$Q$4,RawData[[Error Type ]],$Q$5))</f>
        <v/>
      </c>
    </row>
    <row r="18779" spans="15:15" x14ac:dyDescent="0.25">
      <c r="O18779" s="20" t="str">
        <f>IF(N18779="","",COUNTIFS(RawData[[Date ]],N18779,RawData[Month List],$Q$6,RawData[Tour/Site],$Q$2,RawData[[Picker ID ]],$Q$3,RawData[Checker ID],$Q$4,RawData[[Error Type ]],$Q$5))</f>
        <v/>
      </c>
    </row>
    <row r="18780" spans="15:15" x14ac:dyDescent="0.25">
      <c r="O18780" s="20" t="str">
        <f>IF(N18780="","",COUNTIFS(RawData[[Date ]],N18780,RawData[Month List],$Q$6,RawData[Tour/Site],$Q$2,RawData[[Picker ID ]],$Q$3,RawData[Checker ID],$Q$4,RawData[[Error Type ]],$Q$5))</f>
        <v/>
      </c>
    </row>
    <row r="18781" spans="15:15" x14ac:dyDescent="0.25">
      <c r="O18781" s="20" t="str">
        <f>IF(N18781="","",COUNTIFS(RawData[[Date ]],N18781,RawData[Month List],$Q$6,RawData[Tour/Site],$Q$2,RawData[[Picker ID ]],$Q$3,RawData[Checker ID],$Q$4,RawData[[Error Type ]],$Q$5))</f>
        <v/>
      </c>
    </row>
    <row r="18782" spans="15:15" x14ac:dyDescent="0.25">
      <c r="O18782" s="20" t="str">
        <f>IF(N18782="","",COUNTIFS(RawData[[Date ]],N18782,RawData[Month List],$Q$6,RawData[Tour/Site],$Q$2,RawData[[Picker ID ]],$Q$3,RawData[Checker ID],$Q$4,RawData[[Error Type ]],$Q$5))</f>
        <v/>
      </c>
    </row>
    <row r="18783" spans="15:15" x14ac:dyDescent="0.25">
      <c r="O18783" s="20" t="str">
        <f>IF(N18783="","",COUNTIFS(RawData[[Date ]],N18783,RawData[Month List],$Q$6,RawData[Tour/Site],$Q$2,RawData[[Picker ID ]],$Q$3,RawData[Checker ID],$Q$4,RawData[[Error Type ]],$Q$5))</f>
        <v/>
      </c>
    </row>
    <row r="18784" spans="15:15" x14ac:dyDescent="0.25">
      <c r="O18784" s="20" t="str">
        <f>IF(N18784="","",COUNTIFS(RawData[[Date ]],N18784,RawData[Month List],$Q$6,RawData[Tour/Site],$Q$2,RawData[[Picker ID ]],$Q$3,RawData[Checker ID],$Q$4,RawData[[Error Type ]],$Q$5))</f>
        <v/>
      </c>
    </row>
    <row r="18785" spans="15:15" x14ac:dyDescent="0.25">
      <c r="O18785" s="20" t="str">
        <f>IF(N18785="","",COUNTIFS(RawData[[Date ]],N18785,RawData[Month List],$Q$6,RawData[Tour/Site],$Q$2,RawData[[Picker ID ]],$Q$3,RawData[Checker ID],$Q$4,RawData[[Error Type ]],$Q$5))</f>
        <v/>
      </c>
    </row>
    <row r="18786" spans="15:15" x14ac:dyDescent="0.25">
      <c r="O18786" s="20" t="str">
        <f>IF(N18786="","",COUNTIFS(RawData[[Date ]],N18786,RawData[Month List],$Q$6,RawData[Tour/Site],$Q$2,RawData[[Picker ID ]],$Q$3,RawData[Checker ID],$Q$4,RawData[[Error Type ]],$Q$5))</f>
        <v/>
      </c>
    </row>
    <row r="18787" spans="15:15" x14ac:dyDescent="0.25">
      <c r="O18787" s="20" t="str">
        <f>IF(N18787="","",COUNTIFS(RawData[[Date ]],N18787,RawData[Month List],$Q$6,RawData[Tour/Site],$Q$2,RawData[[Picker ID ]],$Q$3,RawData[Checker ID],$Q$4,RawData[[Error Type ]],$Q$5))</f>
        <v/>
      </c>
    </row>
    <row r="18788" spans="15:15" x14ac:dyDescent="0.25">
      <c r="O18788" s="20" t="str">
        <f>IF(N18788="","",COUNTIFS(RawData[[Date ]],N18788,RawData[Month List],$Q$6,RawData[Tour/Site],$Q$2,RawData[[Picker ID ]],$Q$3,RawData[Checker ID],$Q$4,RawData[[Error Type ]],$Q$5))</f>
        <v/>
      </c>
    </row>
    <row r="18789" spans="15:15" x14ac:dyDescent="0.25">
      <c r="O18789" s="20" t="str">
        <f>IF(N18789="","",COUNTIFS(RawData[[Date ]],N18789,RawData[Month List],$Q$6,RawData[Tour/Site],$Q$2,RawData[[Picker ID ]],$Q$3,RawData[Checker ID],$Q$4,RawData[[Error Type ]],$Q$5))</f>
        <v/>
      </c>
    </row>
    <row r="18790" spans="15:15" x14ac:dyDescent="0.25">
      <c r="O18790" s="20" t="str">
        <f>IF(N18790="","",COUNTIFS(RawData[[Date ]],N18790,RawData[Month List],$Q$6,RawData[Tour/Site],$Q$2,RawData[[Picker ID ]],$Q$3,RawData[Checker ID],$Q$4,RawData[[Error Type ]],$Q$5))</f>
        <v/>
      </c>
    </row>
    <row r="18791" spans="15:15" x14ac:dyDescent="0.25">
      <c r="O18791" s="20" t="str">
        <f>IF(N18791="","",COUNTIFS(RawData[[Date ]],N18791,RawData[Month List],$Q$6,RawData[Tour/Site],$Q$2,RawData[[Picker ID ]],$Q$3,RawData[Checker ID],$Q$4,RawData[[Error Type ]],$Q$5))</f>
        <v/>
      </c>
    </row>
    <row r="18792" spans="15:15" x14ac:dyDescent="0.25">
      <c r="O18792" s="20" t="str">
        <f>IF(N18792="","",COUNTIFS(RawData[[Date ]],N18792,RawData[Month List],$Q$6,RawData[Tour/Site],$Q$2,RawData[[Picker ID ]],$Q$3,RawData[Checker ID],$Q$4,RawData[[Error Type ]],$Q$5))</f>
        <v/>
      </c>
    </row>
    <row r="18793" spans="15:15" x14ac:dyDescent="0.25">
      <c r="O18793" s="20" t="str">
        <f>IF(N18793="","",COUNTIFS(RawData[[Date ]],N18793,RawData[Month List],$Q$6,RawData[Tour/Site],$Q$2,RawData[[Picker ID ]],$Q$3,RawData[Checker ID],$Q$4,RawData[[Error Type ]],$Q$5))</f>
        <v/>
      </c>
    </row>
    <row r="18794" spans="15:15" x14ac:dyDescent="0.25">
      <c r="O18794" s="20" t="str">
        <f>IF(N18794="","",COUNTIFS(RawData[[Date ]],N18794,RawData[Month List],$Q$6,RawData[Tour/Site],$Q$2,RawData[[Picker ID ]],$Q$3,RawData[Checker ID],$Q$4,RawData[[Error Type ]],$Q$5))</f>
        <v/>
      </c>
    </row>
    <row r="18795" spans="15:15" x14ac:dyDescent="0.25">
      <c r="O18795" s="20" t="str">
        <f>IF(N18795="","",COUNTIFS(RawData[[Date ]],N18795,RawData[Month List],$Q$6,RawData[Tour/Site],$Q$2,RawData[[Picker ID ]],$Q$3,RawData[Checker ID],$Q$4,RawData[[Error Type ]],$Q$5))</f>
        <v/>
      </c>
    </row>
    <row r="18796" spans="15:15" x14ac:dyDescent="0.25">
      <c r="O18796" s="20" t="str">
        <f>IF(N18796="","",COUNTIFS(RawData[[Date ]],N18796,RawData[Month List],$Q$6,RawData[Tour/Site],$Q$2,RawData[[Picker ID ]],$Q$3,RawData[Checker ID],$Q$4,RawData[[Error Type ]],$Q$5))</f>
        <v/>
      </c>
    </row>
    <row r="18797" spans="15:15" x14ac:dyDescent="0.25">
      <c r="O18797" s="20" t="str">
        <f>IF(N18797="","",COUNTIFS(RawData[[Date ]],N18797,RawData[Month List],$Q$6,RawData[Tour/Site],$Q$2,RawData[[Picker ID ]],$Q$3,RawData[Checker ID],$Q$4,RawData[[Error Type ]],$Q$5))</f>
        <v/>
      </c>
    </row>
    <row r="18798" spans="15:15" x14ac:dyDescent="0.25">
      <c r="O18798" s="20" t="str">
        <f>IF(N18798="","",COUNTIFS(RawData[[Date ]],N18798,RawData[Month List],$Q$6,RawData[Tour/Site],$Q$2,RawData[[Picker ID ]],$Q$3,RawData[Checker ID],$Q$4,RawData[[Error Type ]],$Q$5))</f>
        <v/>
      </c>
    </row>
    <row r="18799" spans="15:15" x14ac:dyDescent="0.25">
      <c r="O18799" s="20" t="str">
        <f>IF(N18799="","",COUNTIFS(RawData[[Date ]],N18799,RawData[Month List],$Q$6,RawData[Tour/Site],$Q$2,RawData[[Picker ID ]],$Q$3,RawData[Checker ID],$Q$4,RawData[[Error Type ]],$Q$5))</f>
        <v/>
      </c>
    </row>
    <row r="18800" spans="15:15" x14ac:dyDescent="0.25">
      <c r="O18800" s="20" t="str">
        <f>IF(N18800="","",COUNTIFS(RawData[[Date ]],N18800,RawData[Month List],$Q$6,RawData[Tour/Site],$Q$2,RawData[[Picker ID ]],$Q$3,RawData[Checker ID],$Q$4,RawData[[Error Type ]],$Q$5))</f>
        <v/>
      </c>
    </row>
    <row r="18801" spans="15:15" x14ac:dyDescent="0.25">
      <c r="O18801" s="20" t="str">
        <f>IF(N18801="","",COUNTIFS(RawData[[Date ]],N18801,RawData[Month List],$Q$6,RawData[Tour/Site],$Q$2,RawData[[Picker ID ]],$Q$3,RawData[Checker ID],$Q$4,RawData[[Error Type ]],$Q$5))</f>
        <v/>
      </c>
    </row>
    <row r="18802" spans="15:15" x14ac:dyDescent="0.25">
      <c r="O18802" s="20" t="str">
        <f>IF(N18802="","",COUNTIFS(RawData[[Date ]],N18802,RawData[Month List],$Q$6,RawData[Tour/Site],$Q$2,RawData[[Picker ID ]],$Q$3,RawData[Checker ID],$Q$4,RawData[[Error Type ]],$Q$5))</f>
        <v/>
      </c>
    </row>
    <row r="18803" spans="15:15" x14ac:dyDescent="0.25">
      <c r="O18803" s="20" t="str">
        <f>IF(N18803="","",COUNTIFS(RawData[[Date ]],N18803,RawData[Month List],$Q$6,RawData[Tour/Site],$Q$2,RawData[[Picker ID ]],$Q$3,RawData[Checker ID],$Q$4,RawData[[Error Type ]],$Q$5))</f>
        <v/>
      </c>
    </row>
    <row r="18804" spans="15:15" x14ac:dyDescent="0.25">
      <c r="O18804" s="20" t="str">
        <f>IF(N18804="","",COUNTIFS(RawData[[Date ]],N18804,RawData[Month List],$Q$6,RawData[Tour/Site],$Q$2,RawData[[Picker ID ]],$Q$3,RawData[Checker ID],$Q$4,RawData[[Error Type ]],$Q$5))</f>
        <v/>
      </c>
    </row>
    <row r="18805" spans="15:15" x14ac:dyDescent="0.25">
      <c r="O18805" s="20" t="str">
        <f>IF(N18805="","",COUNTIFS(RawData[[Date ]],N18805,RawData[Month List],$Q$6,RawData[Tour/Site],$Q$2,RawData[[Picker ID ]],$Q$3,RawData[Checker ID],$Q$4,RawData[[Error Type ]],$Q$5))</f>
        <v/>
      </c>
    </row>
    <row r="18806" spans="15:15" x14ac:dyDescent="0.25">
      <c r="O18806" s="20" t="str">
        <f>IF(N18806="","",COUNTIFS(RawData[[Date ]],N18806,RawData[Month List],$Q$6,RawData[Tour/Site],$Q$2,RawData[[Picker ID ]],$Q$3,RawData[Checker ID],$Q$4,RawData[[Error Type ]],$Q$5))</f>
        <v/>
      </c>
    </row>
    <row r="18807" spans="15:15" x14ac:dyDescent="0.25">
      <c r="O18807" s="20" t="str">
        <f>IF(N18807="","",COUNTIFS(RawData[[Date ]],N18807,RawData[Month List],$Q$6,RawData[Tour/Site],$Q$2,RawData[[Picker ID ]],$Q$3,RawData[Checker ID],$Q$4,RawData[[Error Type ]],$Q$5))</f>
        <v/>
      </c>
    </row>
    <row r="18808" spans="15:15" x14ac:dyDescent="0.25">
      <c r="O18808" s="20" t="str">
        <f>IF(N18808="","",COUNTIFS(RawData[[Date ]],N18808,RawData[Month List],$Q$6,RawData[Tour/Site],$Q$2,RawData[[Picker ID ]],$Q$3,RawData[Checker ID],$Q$4,RawData[[Error Type ]],$Q$5))</f>
        <v/>
      </c>
    </row>
    <row r="18809" spans="15:15" x14ac:dyDescent="0.25">
      <c r="O18809" s="20" t="str">
        <f>IF(N18809="","",COUNTIFS(RawData[[Date ]],N18809,RawData[Month List],$Q$6,RawData[Tour/Site],$Q$2,RawData[[Picker ID ]],$Q$3,RawData[Checker ID],$Q$4,RawData[[Error Type ]],$Q$5))</f>
        <v/>
      </c>
    </row>
    <row r="18810" spans="15:15" x14ac:dyDescent="0.25">
      <c r="O18810" s="20" t="str">
        <f>IF(N18810="","",COUNTIFS(RawData[[Date ]],N18810,RawData[Month List],$Q$6,RawData[Tour/Site],$Q$2,RawData[[Picker ID ]],$Q$3,RawData[Checker ID],$Q$4,RawData[[Error Type ]],$Q$5))</f>
        <v/>
      </c>
    </row>
    <row r="18811" spans="15:15" x14ac:dyDescent="0.25">
      <c r="O18811" s="20" t="str">
        <f>IF(N18811="","",COUNTIFS(RawData[[Date ]],N18811,RawData[Month List],$Q$6,RawData[Tour/Site],$Q$2,RawData[[Picker ID ]],$Q$3,RawData[Checker ID],$Q$4,RawData[[Error Type ]],$Q$5))</f>
        <v/>
      </c>
    </row>
    <row r="18812" spans="15:15" x14ac:dyDescent="0.25">
      <c r="O18812" s="20" t="str">
        <f>IF(N18812="","",COUNTIFS(RawData[[Date ]],N18812,RawData[Month List],$Q$6,RawData[Tour/Site],$Q$2,RawData[[Picker ID ]],$Q$3,RawData[Checker ID],$Q$4,RawData[[Error Type ]],$Q$5))</f>
        <v/>
      </c>
    </row>
    <row r="18813" spans="15:15" x14ac:dyDescent="0.25">
      <c r="O18813" s="20" t="str">
        <f>IF(N18813="","",COUNTIFS(RawData[[Date ]],N18813,RawData[Month List],$Q$6,RawData[Tour/Site],$Q$2,RawData[[Picker ID ]],$Q$3,RawData[Checker ID],$Q$4,RawData[[Error Type ]],$Q$5))</f>
        <v/>
      </c>
    </row>
    <row r="18814" spans="15:15" x14ac:dyDescent="0.25">
      <c r="O18814" s="20" t="str">
        <f>IF(N18814="","",COUNTIFS(RawData[[Date ]],N18814,RawData[Month List],$Q$6,RawData[Tour/Site],$Q$2,RawData[[Picker ID ]],$Q$3,RawData[Checker ID],$Q$4,RawData[[Error Type ]],$Q$5))</f>
        <v/>
      </c>
    </row>
    <row r="18815" spans="15:15" x14ac:dyDescent="0.25">
      <c r="O18815" s="20" t="str">
        <f>IF(N18815="","",COUNTIFS(RawData[[Date ]],N18815,RawData[Month List],$Q$6,RawData[Tour/Site],$Q$2,RawData[[Picker ID ]],$Q$3,RawData[Checker ID],$Q$4,RawData[[Error Type ]],$Q$5))</f>
        <v/>
      </c>
    </row>
    <row r="18816" spans="15:15" x14ac:dyDescent="0.25">
      <c r="O18816" s="20" t="str">
        <f>IF(N18816="","",COUNTIFS(RawData[[Date ]],N18816,RawData[Month List],$Q$6,RawData[Tour/Site],$Q$2,RawData[[Picker ID ]],$Q$3,RawData[Checker ID],$Q$4,RawData[[Error Type ]],$Q$5))</f>
        <v/>
      </c>
    </row>
    <row r="18817" spans="15:15" x14ac:dyDescent="0.25">
      <c r="O18817" s="20" t="str">
        <f>IF(N18817="","",COUNTIFS(RawData[[Date ]],N18817,RawData[Month List],$Q$6,RawData[Tour/Site],$Q$2,RawData[[Picker ID ]],$Q$3,RawData[Checker ID],$Q$4,RawData[[Error Type ]],$Q$5))</f>
        <v/>
      </c>
    </row>
    <row r="18818" spans="15:15" x14ac:dyDescent="0.25">
      <c r="O18818" s="20" t="str">
        <f>IF(N18818="","",COUNTIFS(RawData[[Date ]],N18818,RawData[Month List],$Q$6,RawData[Tour/Site],$Q$2,RawData[[Picker ID ]],$Q$3,RawData[Checker ID],$Q$4,RawData[[Error Type ]],$Q$5))</f>
        <v/>
      </c>
    </row>
    <row r="18819" spans="15:15" x14ac:dyDescent="0.25">
      <c r="O18819" s="20" t="str">
        <f>IF(N18819="","",COUNTIFS(RawData[[Date ]],N18819,RawData[Month List],$Q$6,RawData[Tour/Site],$Q$2,RawData[[Picker ID ]],$Q$3,RawData[Checker ID],$Q$4,RawData[[Error Type ]],$Q$5))</f>
        <v/>
      </c>
    </row>
    <row r="18820" spans="15:15" x14ac:dyDescent="0.25">
      <c r="O18820" s="20" t="str">
        <f>IF(N18820="","",COUNTIFS(RawData[[Date ]],N18820,RawData[Month List],$Q$6,RawData[Tour/Site],$Q$2,RawData[[Picker ID ]],$Q$3,RawData[Checker ID],$Q$4,RawData[[Error Type ]],$Q$5))</f>
        <v/>
      </c>
    </row>
    <row r="18821" spans="15:15" x14ac:dyDescent="0.25">
      <c r="O18821" s="20" t="str">
        <f>IF(N18821="","",COUNTIFS(RawData[[Date ]],N18821,RawData[Month List],$Q$6,RawData[Tour/Site],$Q$2,RawData[[Picker ID ]],$Q$3,RawData[Checker ID],$Q$4,RawData[[Error Type ]],$Q$5))</f>
        <v/>
      </c>
    </row>
    <row r="18822" spans="15:15" x14ac:dyDescent="0.25">
      <c r="O18822" s="20" t="str">
        <f>IF(N18822="","",COUNTIFS(RawData[[Date ]],N18822,RawData[Month List],$Q$6,RawData[Tour/Site],$Q$2,RawData[[Picker ID ]],$Q$3,RawData[Checker ID],$Q$4,RawData[[Error Type ]],$Q$5))</f>
        <v/>
      </c>
    </row>
    <row r="18823" spans="15:15" x14ac:dyDescent="0.25">
      <c r="O18823" s="20" t="str">
        <f>IF(N18823="","",COUNTIFS(RawData[[Date ]],N18823,RawData[Month List],$Q$6,RawData[Tour/Site],$Q$2,RawData[[Picker ID ]],$Q$3,RawData[Checker ID],$Q$4,RawData[[Error Type ]],$Q$5))</f>
        <v/>
      </c>
    </row>
    <row r="18824" spans="15:15" x14ac:dyDescent="0.25">
      <c r="O18824" s="20" t="str">
        <f>IF(N18824="","",COUNTIFS(RawData[[Date ]],N18824,RawData[Month List],$Q$6,RawData[Tour/Site],$Q$2,RawData[[Picker ID ]],$Q$3,RawData[Checker ID],$Q$4,RawData[[Error Type ]],$Q$5))</f>
        <v/>
      </c>
    </row>
    <row r="18825" spans="15:15" x14ac:dyDescent="0.25">
      <c r="O18825" s="20" t="str">
        <f>IF(N18825="","",COUNTIFS(RawData[[Date ]],N18825,RawData[Month List],$Q$6,RawData[Tour/Site],$Q$2,RawData[[Picker ID ]],$Q$3,RawData[Checker ID],$Q$4,RawData[[Error Type ]],$Q$5))</f>
        <v/>
      </c>
    </row>
    <row r="18826" spans="15:15" x14ac:dyDescent="0.25">
      <c r="O18826" s="20" t="str">
        <f>IF(N18826="","",COUNTIFS(RawData[[Date ]],N18826,RawData[Month List],$Q$6,RawData[Tour/Site],$Q$2,RawData[[Picker ID ]],$Q$3,RawData[Checker ID],$Q$4,RawData[[Error Type ]],$Q$5))</f>
        <v/>
      </c>
    </row>
    <row r="18827" spans="15:15" x14ac:dyDescent="0.25">
      <c r="O18827" s="20" t="str">
        <f>IF(N18827="","",COUNTIFS(RawData[[Date ]],N18827,RawData[Month List],$Q$6,RawData[Tour/Site],$Q$2,RawData[[Picker ID ]],$Q$3,RawData[Checker ID],$Q$4,RawData[[Error Type ]],$Q$5))</f>
        <v/>
      </c>
    </row>
    <row r="18828" spans="15:15" x14ac:dyDescent="0.25">
      <c r="O18828" s="20" t="str">
        <f>IF(N18828="","",COUNTIFS(RawData[[Date ]],N18828,RawData[Month List],$Q$6,RawData[Tour/Site],$Q$2,RawData[[Picker ID ]],$Q$3,RawData[Checker ID],$Q$4,RawData[[Error Type ]],$Q$5))</f>
        <v/>
      </c>
    </row>
    <row r="18829" spans="15:15" x14ac:dyDescent="0.25">
      <c r="O18829" s="20" t="str">
        <f>IF(N18829="","",COUNTIFS(RawData[[Date ]],N18829,RawData[Month List],$Q$6,RawData[Tour/Site],$Q$2,RawData[[Picker ID ]],$Q$3,RawData[Checker ID],$Q$4,RawData[[Error Type ]],$Q$5))</f>
        <v/>
      </c>
    </row>
    <row r="18830" spans="15:15" x14ac:dyDescent="0.25">
      <c r="O18830" s="20" t="str">
        <f>IF(N18830="","",COUNTIFS(RawData[[Date ]],N18830,RawData[Month List],$Q$6,RawData[Tour/Site],$Q$2,RawData[[Picker ID ]],$Q$3,RawData[Checker ID],$Q$4,RawData[[Error Type ]],$Q$5))</f>
        <v/>
      </c>
    </row>
    <row r="18831" spans="15:15" x14ac:dyDescent="0.25">
      <c r="O18831" s="20" t="str">
        <f>IF(N18831="","",COUNTIFS(RawData[[Date ]],N18831,RawData[Month List],$Q$6,RawData[Tour/Site],$Q$2,RawData[[Picker ID ]],$Q$3,RawData[Checker ID],$Q$4,RawData[[Error Type ]],$Q$5))</f>
        <v/>
      </c>
    </row>
    <row r="18832" spans="15:15" x14ac:dyDescent="0.25">
      <c r="O18832" s="20" t="str">
        <f>IF(N18832="","",COUNTIFS(RawData[[Date ]],N18832,RawData[Month List],$Q$6,RawData[Tour/Site],$Q$2,RawData[[Picker ID ]],$Q$3,RawData[Checker ID],$Q$4,RawData[[Error Type ]],$Q$5))</f>
        <v/>
      </c>
    </row>
    <row r="18833" spans="15:15" x14ac:dyDescent="0.25">
      <c r="O18833" s="20" t="str">
        <f>IF(N18833="","",COUNTIFS(RawData[[Date ]],N18833,RawData[Month List],$Q$6,RawData[Tour/Site],$Q$2,RawData[[Picker ID ]],$Q$3,RawData[Checker ID],$Q$4,RawData[[Error Type ]],$Q$5))</f>
        <v/>
      </c>
    </row>
    <row r="18834" spans="15:15" x14ac:dyDescent="0.25">
      <c r="O18834" s="20" t="str">
        <f>IF(N18834="","",COUNTIFS(RawData[[Date ]],N18834,RawData[Month List],$Q$6,RawData[Tour/Site],$Q$2,RawData[[Picker ID ]],$Q$3,RawData[Checker ID],$Q$4,RawData[[Error Type ]],$Q$5))</f>
        <v/>
      </c>
    </row>
    <row r="18835" spans="15:15" x14ac:dyDescent="0.25">
      <c r="O18835" s="20" t="str">
        <f>IF(N18835="","",COUNTIFS(RawData[[Date ]],N18835,RawData[Month List],$Q$6,RawData[Tour/Site],$Q$2,RawData[[Picker ID ]],$Q$3,RawData[Checker ID],$Q$4,RawData[[Error Type ]],$Q$5))</f>
        <v/>
      </c>
    </row>
    <row r="18836" spans="15:15" x14ac:dyDescent="0.25">
      <c r="O18836" s="20" t="str">
        <f>IF(N18836="","",COUNTIFS(RawData[[Date ]],N18836,RawData[Month List],$Q$6,RawData[Tour/Site],$Q$2,RawData[[Picker ID ]],$Q$3,RawData[Checker ID],$Q$4,RawData[[Error Type ]],$Q$5))</f>
        <v/>
      </c>
    </row>
    <row r="18837" spans="15:15" x14ac:dyDescent="0.25">
      <c r="O18837" s="20" t="str">
        <f>IF(N18837="","",COUNTIFS(RawData[[Date ]],N18837,RawData[Month List],$Q$6,RawData[Tour/Site],$Q$2,RawData[[Picker ID ]],$Q$3,RawData[Checker ID],$Q$4,RawData[[Error Type ]],$Q$5))</f>
        <v/>
      </c>
    </row>
    <row r="18838" spans="15:15" x14ac:dyDescent="0.25">
      <c r="O18838" s="20" t="str">
        <f>IF(N18838="","",COUNTIFS(RawData[[Date ]],N18838,RawData[Month List],$Q$6,RawData[Tour/Site],$Q$2,RawData[[Picker ID ]],$Q$3,RawData[Checker ID],$Q$4,RawData[[Error Type ]],$Q$5))</f>
        <v/>
      </c>
    </row>
    <row r="18839" spans="15:15" x14ac:dyDescent="0.25">
      <c r="O18839" s="20" t="str">
        <f>IF(N18839="","",COUNTIFS(RawData[[Date ]],N18839,RawData[Month List],$Q$6,RawData[Tour/Site],$Q$2,RawData[[Picker ID ]],$Q$3,RawData[Checker ID],$Q$4,RawData[[Error Type ]],$Q$5))</f>
        <v/>
      </c>
    </row>
    <row r="18840" spans="15:15" x14ac:dyDescent="0.25">
      <c r="O18840" s="20" t="str">
        <f>IF(N18840="","",COUNTIFS(RawData[[Date ]],N18840,RawData[Month List],$Q$6,RawData[Tour/Site],$Q$2,RawData[[Picker ID ]],$Q$3,RawData[Checker ID],$Q$4,RawData[[Error Type ]],$Q$5))</f>
        <v/>
      </c>
    </row>
    <row r="18841" spans="15:15" x14ac:dyDescent="0.25">
      <c r="O18841" s="20" t="str">
        <f>IF(N18841="","",COUNTIFS(RawData[[Date ]],N18841,RawData[Month List],$Q$6,RawData[Tour/Site],$Q$2,RawData[[Picker ID ]],$Q$3,RawData[Checker ID],$Q$4,RawData[[Error Type ]],$Q$5))</f>
        <v/>
      </c>
    </row>
    <row r="18842" spans="15:15" x14ac:dyDescent="0.25">
      <c r="O18842" s="20" t="str">
        <f>IF(N18842="","",COUNTIFS(RawData[[Date ]],N18842,RawData[Month List],$Q$6,RawData[Tour/Site],$Q$2,RawData[[Picker ID ]],$Q$3,RawData[Checker ID],$Q$4,RawData[[Error Type ]],$Q$5))</f>
        <v/>
      </c>
    </row>
    <row r="18843" spans="15:15" x14ac:dyDescent="0.25">
      <c r="O18843" s="20" t="str">
        <f>IF(N18843="","",COUNTIFS(RawData[[Date ]],N18843,RawData[Month List],$Q$6,RawData[Tour/Site],$Q$2,RawData[[Picker ID ]],$Q$3,RawData[Checker ID],$Q$4,RawData[[Error Type ]],$Q$5))</f>
        <v/>
      </c>
    </row>
    <row r="18844" spans="15:15" x14ac:dyDescent="0.25">
      <c r="O18844" s="20" t="str">
        <f>IF(N18844="","",COUNTIFS(RawData[[Date ]],N18844,RawData[Month List],$Q$6,RawData[Tour/Site],$Q$2,RawData[[Picker ID ]],$Q$3,RawData[Checker ID],$Q$4,RawData[[Error Type ]],$Q$5))</f>
        <v/>
      </c>
    </row>
    <row r="18845" spans="15:15" x14ac:dyDescent="0.25">
      <c r="O18845" s="20" t="str">
        <f>IF(N18845="","",COUNTIFS(RawData[[Date ]],N18845,RawData[Month List],$Q$6,RawData[Tour/Site],$Q$2,RawData[[Picker ID ]],$Q$3,RawData[Checker ID],$Q$4,RawData[[Error Type ]],$Q$5))</f>
        <v/>
      </c>
    </row>
    <row r="18846" spans="15:15" x14ac:dyDescent="0.25">
      <c r="O18846" s="20" t="str">
        <f>IF(N18846="","",COUNTIFS(RawData[[Date ]],N18846,RawData[Month List],$Q$6,RawData[Tour/Site],$Q$2,RawData[[Picker ID ]],$Q$3,RawData[Checker ID],$Q$4,RawData[[Error Type ]],$Q$5))</f>
        <v/>
      </c>
    </row>
    <row r="18847" spans="15:15" x14ac:dyDescent="0.25">
      <c r="O18847" s="20" t="str">
        <f>IF(N18847="","",COUNTIFS(RawData[[Date ]],N18847,RawData[Month List],$Q$6,RawData[Tour/Site],$Q$2,RawData[[Picker ID ]],$Q$3,RawData[Checker ID],$Q$4,RawData[[Error Type ]],$Q$5))</f>
        <v/>
      </c>
    </row>
    <row r="18848" spans="15:15" x14ac:dyDescent="0.25">
      <c r="O18848" s="20" t="str">
        <f>IF(N18848="","",COUNTIFS(RawData[[Date ]],N18848,RawData[Month List],$Q$6,RawData[Tour/Site],$Q$2,RawData[[Picker ID ]],$Q$3,RawData[Checker ID],$Q$4,RawData[[Error Type ]],$Q$5))</f>
        <v/>
      </c>
    </row>
    <row r="18849" spans="15:15" x14ac:dyDescent="0.25">
      <c r="O18849" s="20" t="str">
        <f>IF(N18849="","",COUNTIFS(RawData[[Date ]],N18849,RawData[Month List],$Q$6,RawData[Tour/Site],$Q$2,RawData[[Picker ID ]],$Q$3,RawData[Checker ID],$Q$4,RawData[[Error Type ]],$Q$5))</f>
        <v/>
      </c>
    </row>
    <row r="18850" spans="15:15" x14ac:dyDescent="0.25">
      <c r="O18850" s="20" t="str">
        <f>IF(N18850="","",COUNTIFS(RawData[[Date ]],N18850,RawData[Month List],$Q$6,RawData[Tour/Site],$Q$2,RawData[[Picker ID ]],$Q$3,RawData[Checker ID],$Q$4,RawData[[Error Type ]],$Q$5))</f>
        <v/>
      </c>
    </row>
    <row r="18851" spans="15:15" x14ac:dyDescent="0.25">
      <c r="O18851" s="20" t="str">
        <f>IF(N18851="","",COUNTIFS(RawData[[Date ]],N18851,RawData[Month List],$Q$6,RawData[Tour/Site],$Q$2,RawData[[Picker ID ]],$Q$3,RawData[Checker ID],$Q$4,RawData[[Error Type ]],$Q$5))</f>
        <v/>
      </c>
    </row>
    <row r="18852" spans="15:15" x14ac:dyDescent="0.25">
      <c r="O18852" s="20" t="str">
        <f>IF(N18852="","",COUNTIFS(RawData[[Date ]],N18852,RawData[Month List],$Q$6,RawData[Tour/Site],$Q$2,RawData[[Picker ID ]],$Q$3,RawData[Checker ID],$Q$4,RawData[[Error Type ]],$Q$5))</f>
        <v/>
      </c>
    </row>
    <row r="18853" spans="15:15" x14ac:dyDescent="0.25">
      <c r="O18853" s="20" t="str">
        <f>IF(N18853="","",COUNTIFS(RawData[[Date ]],N18853,RawData[Month List],$Q$6,RawData[Tour/Site],$Q$2,RawData[[Picker ID ]],$Q$3,RawData[Checker ID],$Q$4,RawData[[Error Type ]],$Q$5))</f>
        <v/>
      </c>
    </row>
    <row r="18854" spans="15:15" x14ac:dyDescent="0.25">
      <c r="O18854" s="20" t="str">
        <f>IF(N18854="","",COUNTIFS(RawData[[Date ]],N18854,RawData[Month List],$Q$6,RawData[Tour/Site],$Q$2,RawData[[Picker ID ]],$Q$3,RawData[Checker ID],$Q$4,RawData[[Error Type ]],$Q$5))</f>
        <v/>
      </c>
    </row>
    <row r="18855" spans="15:15" x14ac:dyDescent="0.25">
      <c r="O18855" s="20" t="str">
        <f>IF(N18855="","",COUNTIFS(RawData[[Date ]],N18855,RawData[Month List],$Q$6,RawData[Tour/Site],$Q$2,RawData[[Picker ID ]],$Q$3,RawData[Checker ID],$Q$4,RawData[[Error Type ]],$Q$5))</f>
        <v/>
      </c>
    </row>
    <row r="18856" spans="15:15" x14ac:dyDescent="0.25">
      <c r="O18856" s="20" t="str">
        <f>IF(N18856="","",COUNTIFS(RawData[[Date ]],N18856,RawData[Month List],$Q$6,RawData[Tour/Site],$Q$2,RawData[[Picker ID ]],$Q$3,RawData[Checker ID],$Q$4,RawData[[Error Type ]],$Q$5))</f>
        <v/>
      </c>
    </row>
    <row r="18857" spans="15:15" x14ac:dyDescent="0.25">
      <c r="O18857" s="20" t="str">
        <f>IF(N18857="","",COUNTIFS(RawData[[Date ]],N18857,RawData[Month List],$Q$6,RawData[Tour/Site],$Q$2,RawData[[Picker ID ]],$Q$3,RawData[Checker ID],$Q$4,RawData[[Error Type ]],$Q$5))</f>
        <v/>
      </c>
    </row>
    <row r="18858" spans="15:15" x14ac:dyDescent="0.25">
      <c r="O18858" s="20" t="str">
        <f>IF(N18858="","",COUNTIFS(RawData[[Date ]],N18858,RawData[Month List],$Q$6,RawData[Tour/Site],$Q$2,RawData[[Picker ID ]],$Q$3,RawData[Checker ID],$Q$4,RawData[[Error Type ]],$Q$5))</f>
        <v/>
      </c>
    </row>
    <row r="18859" spans="15:15" x14ac:dyDescent="0.25">
      <c r="O18859" s="20" t="str">
        <f>IF(N18859="","",COUNTIFS(RawData[[Date ]],N18859,RawData[Month List],$Q$6,RawData[Tour/Site],$Q$2,RawData[[Picker ID ]],$Q$3,RawData[Checker ID],$Q$4,RawData[[Error Type ]],$Q$5))</f>
        <v/>
      </c>
    </row>
    <row r="18860" spans="15:15" x14ac:dyDescent="0.25">
      <c r="O18860" s="20" t="str">
        <f>IF(N18860="","",COUNTIFS(RawData[[Date ]],N18860,RawData[Month List],$Q$6,RawData[Tour/Site],$Q$2,RawData[[Picker ID ]],$Q$3,RawData[Checker ID],$Q$4,RawData[[Error Type ]],$Q$5))</f>
        <v/>
      </c>
    </row>
    <row r="18861" spans="15:15" x14ac:dyDescent="0.25">
      <c r="O18861" s="20" t="str">
        <f>IF(N18861="","",COUNTIFS(RawData[[Date ]],N18861,RawData[Month List],$Q$6,RawData[Tour/Site],$Q$2,RawData[[Picker ID ]],$Q$3,RawData[Checker ID],$Q$4,RawData[[Error Type ]],$Q$5))</f>
        <v/>
      </c>
    </row>
    <row r="18862" spans="15:15" x14ac:dyDescent="0.25">
      <c r="O18862" s="20" t="str">
        <f>IF(N18862="","",COUNTIFS(RawData[[Date ]],N18862,RawData[Month List],$Q$6,RawData[Tour/Site],$Q$2,RawData[[Picker ID ]],$Q$3,RawData[Checker ID],$Q$4,RawData[[Error Type ]],$Q$5))</f>
        <v/>
      </c>
    </row>
    <row r="18863" spans="15:15" x14ac:dyDescent="0.25">
      <c r="O18863" s="20" t="str">
        <f>IF(N18863="","",COUNTIFS(RawData[[Date ]],N18863,RawData[Month List],$Q$6,RawData[Tour/Site],$Q$2,RawData[[Picker ID ]],$Q$3,RawData[Checker ID],$Q$4,RawData[[Error Type ]],$Q$5))</f>
        <v/>
      </c>
    </row>
    <row r="18864" spans="15:15" x14ac:dyDescent="0.25">
      <c r="O18864" s="20" t="str">
        <f>IF(N18864="","",COUNTIFS(RawData[[Date ]],N18864,RawData[Month List],$Q$6,RawData[Tour/Site],$Q$2,RawData[[Picker ID ]],$Q$3,RawData[Checker ID],$Q$4,RawData[[Error Type ]],$Q$5))</f>
        <v/>
      </c>
    </row>
    <row r="18865" spans="15:15" x14ac:dyDescent="0.25">
      <c r="O18865" s="20" t="str">
        <f>IF(N18865="","",COUNTIFS(RawData[[Date ]],N18865,RawData[Month List],$Q$6,RawData[Tour/Site],$Q$2,RawData[[Picker ID ]],$Q$3,RawData[Checker ID],$Q$4,RawData[[Error Type ]],$Q$5))</f>
        <v/>
      </c>
    </row>
    <row r="18866" spans="15:15" x14ac:dyDescent="0.25">
      <c r="O18866" s="20" t="str">
        <f>IF(N18866="","",COUNTIFS(RawData[[Date ]],N18866,RawData[Month List],$Q$6,RawData[Tour/Site],$Q$2,RawData[[Picker ID ]],$Q$3,RawData[Checker ID],$Q$4,RawData[[Error Type ]],$Q$5))</f>
        <v/>
      </c>
    </row>
    <row r="18867" spans="15:15" x14ac:dyDescent="0.25">
      <c r="O18867" s="20" t="str">
        <f>IF(N18867="","",COUNTIFS(RawData[[Date ]],N18867,RawData[Month List],$Q$6,RawData[Tour/Site],$Q$2,RawData[[Picker ID ]],$Q$3,RawData[Checker ID],$Q$4,RawData[[Error Type ]],$Q$5))</f>
        <v/>
      </c>
    </row>
    <row r="18868" spans="15:15" x14ac:dyDescent="0.25">
      <c r="O18868" s="20" t="str">
        <f>IF(N18868="","",COUNTIFS(RawData[[Date ]],N18868,RawData[Month List],$Q$6,RawData[Tour/Site],$Q$2,RawData[[Picker ID ]],$Q$3,RawData[Checker ID],$Q$4,RawData[[Error Type ]],$Q$5))</f>
        <v/>
      </c>
    </row>
    <row r="18869" spans="15:15" x14ac:dyDescent="0.25">
      <c r="O18869" s="20" t="str">
        <f>IF(N18869="","",COUNTIFS(RawData[[Date ]],N18869,RawData[Month List],$Q$6,RawData[Tour/Site],$Q$2,RawData[[Picker ID ]],$Q$3,RawData[Checker ID],$Q$4,RawData[[Error Type ]],$Q$5))</f>
        <v/>
      </c>
    </row>
    <row r="18870" spans="15:15" x14ac:dyDescent="0.25">
      <c r="O18870" s="20" t="str">
        <f>IF(N18870="","",COUNTIFS(RawData[[Date ]],N18870,RawData[Month List],$Q$6,RawData[Tour/Site],$Q$2,RawData[[Picker ID ]],$Q$3,RawData[Checker ID],$Q$4,RawData[[Error Type ]],$Q$5))</f>
        <v/>
      </c>
    </row>
    <row r="18871" spans="15:15" x14ac:dyDescent="0.25">
      <c r="O18871" s="20" t="str">
        <f>IF(N18871="","",COUNTIFS(RawData[[Date ]],N18871,RawData[Month List],$Q$6,RawData[Tour/Site],$Q$2,RawData[[Picker ID ]],$Q$3,RawData[Checker ID],$Q$4,RawData[[Error Type ]],$Q$5))</f>
        <v/>
      </c>
    </row>
    <row r="18872" spans="15:15" x14ac:dyDescent="0.25">
      <c r="O18872" s="20" t="str">
        <f>IF(N18872="","",COUNTIFS(RawData[[Date ]],N18872,RawData[Month List],$Q$6,RawData[Tour/Site],$Q$2,RawData[[Picker ID ]],$Q$3,RawData[Checker ID],$Q$4,RawData[[Error Type ]],$Q$5))</f>
        <v/>
      </c>
    </row>
    <row r="18873" spans="15:15" x14ac:dyDescent="0.25">
      <c r="O18873" s="20" t="str">
        <f>IF(N18873="","",COUNTIFS(RawData[[Date ]],N18873,RawData[Month List],$Q$6,RawData[Tour/Site],$Q$2,RawData[[Picker ID ]],$Q$3,RawData[Checker ID],$Q$4,RawData[[Error Type ]],$Q$5))</f>
        <v/>
      </c>
    </row>
    <row r="18874" spans="15:15" x14ac:dyDescent="0.25">
      <c r="O18874" s="20" t="str">
        <f>IF(N18874="","",COUNTIFS(RawData[[Date ]],N18874,RawData[Month List],$Q$6,RawData[Tour/Site],$Q$2,RawData[[Picker ID ]],$Q$3,RawData[Checker ID],$Q$4,RawData[[Error Type ]],$Q$5))</f>
        <v/>
      </c>
    </row>
    <row r="18875" spans="15:15" x14ac:dyDescent="0.25">
      <c r="O18875" s="20" t="str">
        <f>IF(N18875="","",COUNTIFS(RawData[[Date ]],N18875,RawData[Month List],$Q$6,RawData[Tour/Site],$Q$2,RawData[[Picker ID ]],$Q$3,RawData[Checker ID],$Q$4,RawData[[Error Type ]],$Q$5))</f>
        <v/>
      </c>
    </row>
    <row r="18876" spans="15:15" x14ac:dyDescent="0.25">
      <c r="O18876" s="20" t="str">
        <f>IF(N18876="","",COUNTIFS(RawData[[Date ]],N18876,RawData[Month List],$Q$6,RawData[Tour/Site],$Q$2,RawData[[Picker ID ]],$Q$3,RawData[Checker ID],$Q$4,RawData[[Error Type ]],$Q$5))</f>
        <v/>
      </c>
    </row>
    <row r="18877" spans="15:15" x14ac:dyDescent="0.25">
      <c r="O18877" s="20" t="str">
        <f>IF(N18877="","",COUNTIFS(RawData[[Date ]],N18877,RawData[Month List],$Q$6,RawData[Tour/Site],$Q$2,RawData[[Picker ID ]],$Q$3,RawData[Checker ID],$Q$4,RawData[[Error Type ]],$Q$5))</f>
        <v/>
      </c>
    </row>
    <row r="18878" spans="15:15" x14ac:dyDescent="0.25">
      <c r="O18878" s="20" t="str">
        <f>IF(N18878="","",COUNTIFS(RawData[[Date ]],N18878,RawData[Month List],$Q$6,RawData[Tour/Site],$Q$2,RawData[[Picker ID ]],$Q$3,RawData[Checker ID],$Q$4,RawData[[Error Type ]],$Q$5))</f>
        <v/>
      </c>
    </row>
    <row r="18879" spans="15:15" x14ac:dyDescent="0.25">
      <c r="O18879" s="20" t="str">
        <f>IF(N18879="","",COUNTIFS(RawData[[Date ]],N18879,RawData[Month List],$Q$6,RawData[Tour/Site],$Q$2,RawData[[Picker ID ]],$Q$3,RawData[Checker ID],$Q$4,RawData[[Error Type ]],$Q$5))</f>
        <v/>
      </c>
    </row>
    <row r="18880" spans="15:15" x14ac:dyDescent="0.25">
      <c r="O18880" s="20" t="str">
        <f>IF(N18880="","",COUNTIFS(RawData[[Date ]],N18880,RawData[Month List],$Q$6,RawData[Tour/Site],$Q$2,RawData[[Picker ID ]],$Q$3,RawData[Checker ID],$Q$4,RawData[[Error Type ]],$Q$5))</f>
        <v/>
      </c>
    </row>
    <row r="18881" spans="15:15" x14ac:dyDescent="0.25">
      <c r="O18881" s="20" t="str">
        <f>IF(N18881="","",COUNTIFS(RawData[[Date ]],N18881,RawData[Month List],$Q$6,RawData[Tour/Site],$Q$2,RawData[[Picker ID ]],$Q$3,RawData[Checker ID],$Q$4,RawData[[Error Type ]],$Q$5))</f>
        <v/>
      </c>
    </row>
    <row r="18882" spans="15:15" x14ac:dyDescent="0.25">
      <c r="O18882" s="20" t="str">
        <f>IF(N18882="","",COUNTIFS(RawData[[Date ]],N18882,RawData[Month List],$Q$6,RawData[Tour/Site],$Q$2,RawData[[Picker ID ]],$Q$3,RawData[Checker ID],$Q$4,RawData[[Error Type ]],$Q$5))</f>
        <v/>
      </c>
    </row>
    <row r="18883" spans="15:15" x14ac:dyDescent="0.25">
      <c r="O18883" s="20" t="str">
        <f>IF(N18883="","",COUNTIFS(RawData[[Date ]],N18883,RawData[Month List],$Q$6,RawData[Tour/Site],$Q$2,RawData[[Picker ID ]],$Q$3,RawData[Checker ID],$Q$4,RawData[[Error Type ]],$Q$5))</f>
        <v/>
      </c>
    </row>
    <row r="18884" spans="15:15" x14ac:dyDescent="0.25">
      <c r="O18884" s="20" t="str">
        <f>IF(N18884="","",COUNTIFS(RawData[[Date ]],N18884,RawData[Month List],$Q$6,RawData[Tour/Site],$Q$2,RawData[[Picker ID ]],$Q$3,RawData[Checker ID],$Q$4,RawData[[Error Type ]],$Q$5))</f>
        <v/>
      </c>
    </row>
    <row r="18885" spans="15:15" x14ac:dyDescent="0.25">
      <c r="O18885" s="20" t="str">
        <f>IF(N18885="","",COUNTIFS(RawData[[Date ]],N18885,RawData[Month List],$Q$6,RawData[Tour/Site],$Q$2,RawData[[Picker ID ]],$Q$3,RawData[Checker ID],$Q$4,RawData[[Error Type ]],$Q$5))</f>
        <v/>
      </c>
    </row>
    <row r="18886" spans="15:15" x14ac:dyDescent="0.25">
      <c r="O18886" s="20" t="str">
        <f>IF(N18886="","",COUNTIFS(RawData[[Date ]],N18886,RawData[Month List],$Q$6,RawData[Tour/Site],$Q$2,RawData[[Picker ID ]],$Q$3,RawData[Checker ID],$Q$4,RawData[[Error Type ]],$Q$5))</f>
        <v/>
      </c>
    </row>
    <row r="18887" spans="15:15" x14ac:dyDescent="0.25">
      <c r="O18887" s="20" t="str">
        <f>IF(N18887="","",COUNTIFS(RawData[[Date ]],N18887,RawData[Month List],$Q$6,RawData[Tour/Site],$Q$2,RawData[[Picker ID ]],$Q$3,RawData[Checker ID],$Q$4,RawData[[Error Type ]],$Q$5))</f>
        <v/>
      </c>
    </row>
    <row r="18888" spans="15:15" x14ac:dyDescent="0.25">
      <c r="O18888" s="20" t="str">
        <f>IF(N18888="","",COUNTIFS(RawData[[Date ]],N18888,RawData[Month List],$Q$6,RawData[Tour/Site],$Q$2,RawData[[Picker ID ]],$Q$3,RawData[Checker ID],$Q$4,RawData[[Error Type ]],$Q$5))</f>
        <v/>
      </c>
    </row>
    <row r="18889" spans="15:15" x14ac:dyDescent="0.25">
      <c r="O18889" s="20" t="str">
        <f>IF(N18889="","",COUNTIFS(RawData[[Date ]],N18889,RawData[Month List],$Q$6,RawData[Tour/Site],$Q$2,RawData[[Picker ID ]],$Q$3,RawData[Checker ID],$Q$4,RawData[[Error Type ]],$Q$5))</f>
        <v/>
      </c>
    </row>
    <row r="18890" spans="15:15" x14ac:dyDescent="0.25">
      <c r="O18890" s="20" t="str">
        <f>IF(N18890="","",COUNTIFS(RawData[[Date ]],N18890,RawData[Month List],$Q$6,RawData[Tour/Site],$Q$2,RawData[[Picker ID ]],$Q$3,RawData[Checker ID],$Q$4,RawData[[Error Type ]],$Q$5))</f>
        <v/>
      </c>
    </row>
    <row r="18891" spans="15:15" x14ac:dyDescent="0.25">
      <c r="O18891" s="20" t="str">
        <f>IF(N18891="","",COUNTIFS(RawData[[Date ]],N18891,RawData[Month List],$Q$6,RawData[Tour/Site],$Q$2,RawData[[Picker ID ]],$Q$3,RawData[Checker ID],$Q$4,RawData[[Error Type ]],$Q$5))</f>
        <v/>
      </c>
    </row>
    <row r="18892" spans="15:15" x14ac:dyDescent="0.25">
      <c r="O18892" s="20" t="str">
        <f>IF(N18892="","",COUNTIFS(RawData[[Date ]],N18892,RawData[Month List],$Q$6,RawData[Tour/Site],$Q$2,RawData[[Picker ID ]],$Q$3,RawData[Checker ID],$Q$4,RawData[[Error Type ]],$Q$5))</f>
        <v/>
      </c>
    </row>
    <row r="18893" spans="15:15" x14ac:dyDescent="0.25">
      <c r="O18893" s="20" t="str">
        <f>IF(N18893="","",COUNTIFS(RawData[[Date ]],N18893,RawData[Month List],$Q$6,RawData[Tour/Site],$Q$2,RawData[[Picker ID ]],$Q$3,RawData[Checker ID],$Q$4,RawData[[Error Type ]],$Q$5))</f>
        <v/>
      </c>
    </row>
    <row r="18894" spans="15:15" x14ac:dyDescent="0.25">
      <c r="O18894" s="20" t="str">
        <f>IF(N18894="","",COUNTIFS(RawData[[Date ]],N18894,RawData[Month List],$Q$6,RawData[Tour/Site],$Q$2,RawData[[Picker ID ]],$Q$3,RawData[Checker ID],$Q$4,RawData[[Error Type ]],$Q$5))</f>
        <v/>
      </c>
    </row>
    <row r="18895" spans="15:15" x14ac:dyDescent="0.25">
      <c r="O18895" s="20" t="str">
        <f>IF(N18895="","",COUNTIFS(RawData[[Date ]],N18895,RawData[Month List],$Q$6,RawData[Tour/Site],$Q$2,RawData[[Picker ID ]],$Q$3,RawData[Checker ID],$Q$4,RawData[[Error Type ]],$Q$5))</f>
        <v/>
      </c>
    </row>
    <row r="18896" spans="15:15" x14ac:dyDescent="0.25">
      <c r="O18896" s="20" t="str">
        <f>IF(N18896="","",COUNTIFS(RawData[[Date ]],N18896,RawData[Month List],$Q$6,RawData[Tour/Site],$Q$2,RawData[[Picker ID ]],$Q$3,RawData[Checker ID],$Q$4,RawData[[Error Type ]],$Q$5))</f>
        <v/>
      </c>
    </row>
    <row r="18897" spans="15:15" x14ac:dyDescent="0.25">
      <c r="O18897" s="20" t="str">
        <f>IF(N18897="","",COUNTIFS(RawData[[Date ]],N18897,RawData[Month List],$Q$6,RawData[Tour/Site],$Q$2,RawData[[Picker ID ]],$Q$3,RawData[Checker ID],$Q$4,RawData[[Error Type ]],$Q$5))</f>
        <v/>
      </c>
    </row>
    <row r="18898" spans="15:15" x14ac:dyDescent="0.25">
      <c r="O18898" s="20" t="str">
        <f>IF(N18898="","",COUNTIFS(RawData[[Date ]],N18898,RawData[Month List],$Q$6,RawData[Tour/Site],$Q$2,RawData[[Picker ID ]],$Q$3,RawData[Checker ID],$Q$4,RawData[[Error Type ]],$Q$5))</f>
        <v/>
      </c>
    </row>
    <row r="18899" spans="15:15" x14ac:dyDescent="0.25">
      <c r="O18899" s="20" t="str">
        <f>IF(N18899="","",COUNTIFS(RawData[[Date ]],N18899,RawData[Month List],$Q$6,RawData[Tour/Site],$Q$2,RawData[[Picker ID ]],$Q$3,RawData[Checker ID],$Q$4,RawData[[Error Type ]],$Q$5))</f>
        <v/>
      </c>
    </row>
    <row r="18900" spans="15:15" x14ac:dyDescent="0.25">
      <c r="O18900" s="20" t="str">
        <f>IF(N18900="","",COUNTIFS(RawData[[Date ]],N18900,RawData[Month List],$Q$6,RawData[Tour/Site],$Q$2,RawData[[Picker ID ]],$Q$3,RawData[Checker ID],$Q$4,RawData[[Error Type ]],$Q$5))</f>
        <v/>
      </c>
    </row>
    <row r="18901" spans="15:15" x14ac:dyDescent="0.25">
      <c r="O18901" s="20" t="str">
        <f>IF(N18901="","",COUNTIFS(RawData[[Date ]],N18901,RawData[Month List],$Q$6,RawData[Tour/Site],$Q$2,RawData[[Picker ID ]],$Q$3,RawData[Checker ID],$Q$4,RawData[[Error Type ]],$Q$5))</f>
        <v/>
      </c>
    </row>
    <row r="18902" spans="15:15" x14ac:dyDescent="0.25">
      <c r="O18902" s="20" t="str">
        <f>IF(N18902="","",COUNTIFS(RawData[[Date ]],N18902,RawData[Month List],$Q$6,RawData[Tour/Site],$Q$2,RawData[[Picker ID ]],$Q$3,RawData[Checker ID],$Q$4,RawData[[Error Type ]],$Q$5))</f>
        <v/>
      </c>
    </row>
    <row r="18903" spans="15:15" x14ac:dyDescent="0.25">
      <c r="O18903" s="20" t="str">
        <f>IF(N18903="","",COUNTIFS(RawData[[Date ]],N18903,RawData[Month List],$Q$6,RawData[Tour/Site],$Q$2,RawData[[Picker ID ]],$Q$3,RawData[Checker ID],$Q$4,RawData[[Error Type ]],$Q$5))</f>
        <v/>
      </c>
    </row>
    <row r="18904" spans="15:15" x14ac:dyDescent="0.25">
      <c r="O18904" s="20" t="str">
        <f>IF(N18904="","",COUNTIFS(RawData[[Date ]],N18904,RawData[Month List],$Q$6,RawData[Tour/Site],$Q$2,RawData[[Picker ID ]],$Q$3,RawData[Checker ID],$Q$4,RawData[[Error Type ]],$Q$5))</f>
        <v/>
      </c>
    </row>
    <row r="18905" spans="15:15" x14ac:dyDescent="0.25">
      <c r="O18905" s="20" t="str">
        <f>IF(N18905="","",COUNTIFS(RawData[[Date ]],N18905,RawData[Month List],$Q$6,RawData[Tour/Site],$Q$2,RawData[[Picker ID ]],$Q$3,RawData[Checker ID],$Q$4,RawData[[Error Type ]],$Q$5))</f>
        <v/>
      </c>
    </row>
    <row r="18906" spans="15:15" x14ac:dyDescent="0.25">
      <c r="O18906" s="20" t="str">
        <f>IF(N18906="","",COUNTIFS(RawData[[Date ]],N18906,RawData[Month List],$Q$6,RawData[Tour/Site],$Q$2,RawData[[Picker ID ]],$Q$3,RawData[Checker ID],$Q$4,RawData[[Error Type ]],$Q$5))</f>
        <v/>
      </c>
    </row>
    <row r="18907" spans="15:15" x14ac:dyDescent="0.25">
      <c r="O18907" s="20" t="str">
        <f>IF(N18907="","",COUNTIFS(RawData[[Date ]],N18907,RawData[Month List],$Q$6,RawData[Tour/Site],$Q$2,RawData[[Picker ID ]],$Q$3,RawData[Checker ID],$Q$4,RawData[[Error Type ]],$Q$5))</f>
        <v/>
      </c>
    </row>
    <row r="18908" spans="15:15" x14ac:dyDescent="0.25">
      <c r="O18908" s="20" t="str">
        <f>IF(N18908="","",COUNTIFS(RawData[[Date ]],N18908,RawData[Month List],$Q$6,RawData[Tour/Site],$Q$2,RawData[[Picker ID ]],$Q$3,RawData[Checker ID],$Q$4,RawData[[Error Type ]],$Q$5))</f>
        <v/>
      </c>
    </row>
    <row r="18909" spans="15:15" x14ac:dyDescent="0.25">
      <c r="O18909" s="20" t="str">
        <f>IF(N18909="","",COUNTIFS(RawData[[Date ]],N18909,RawData[Month List],$Q$6,RawData[Tour/Site],$Q$2,RawData[[Picker ID ]],$Q$3,RawData[Checker ID],$Q$4,RawData[[Error Type ]],$Q$5))</f>
        <v/>
      </c>
    </row>
    <row r="18910" spans="15:15" x14ac:dyDescent="0.25">
      <c r="O18910" s="20" t="str">
        <f>IF(N18910="","",COUNTIFS(RawData[[Date ]],N18910,RawData[Month List],$Q$6,RawData[Tour/Site],$Q$2,RawData[[Picker ID ]],$Q$3,RawData[Checker ID],$Q$4,RawData[[Error Type ]],$Q$5))</f>
        <v/>
      </c>
    </row>
    <row r="18911" spans="15:15" x14ac:dyDescent="0.25">
      <c r="O18911" s="20" t="str">
        <f>IF(N18911="","",COUNTIFS(RawData[[Date ]],N18911,RawData[Month List],$Q$6,RawData[Tour/Site],$Q$2,RawData[[Picker ID ]],$Q$3,RawData[Checker ID],$Q$4,RawData[[Error Type ]],$Q$5))</f>
        <v/>
      </c>
    </row>
    <row r="18912" spans="15:15" x14ac:dyDescent="0.25">
      <c r="O18912" s="20" t="str">
        <f>IF(N18912="","",COUNTIFS(RawData[[Date ]],N18912,RawData[Month List],$Q$6,RawData[Tour/Site],$Q$2,RawData[[Picker ID ]],$Q$3,RawData[Checker ID],$Q$4,RawData[[Error Type ]],$Q$5))</f>
        <v/>
      </c>
    </row>
    <row r="18913" spans="15:15" x14ac:dyDescent="0.25">
      <c r="O18913" s="20" t="str">
        <f>IF(N18913="","",COUNTIFS(RawData[[Date ]],N18913,RawData[Month List],$Q$6,RawData[Tour/Site],$Q$2,RawData[[Picker ID ]],$Q$3,RawData[Checker ID],$Q$4,RawData[[Error Type ]],$Q$5))</f>
        <v/>
      </c>
    </row>
    <row r="18914" spans="15:15" x14ac:dyDescent="0.25">
      <c r="O18914" s="20" t="str">
        <f>IF(N18914="","",COUNTIFS(RawData[[Date ]],N18914,RawData[Month List],$Q$6,RawData[Tour/Site],$Q$2,RawData[[Picker ID ]],$Q$3,RawData[Checker ID],$Q$4,RawData[[Error Type ]],$Q$5))</f>
        <v/>
      </c>
    </row>
    <row r="18915" spans="15:15" x14ac:dyDescent="0.25">
      <c r="O18915" s="20" t="str">
        <f>IF(N18915="","",COUNTIFS(RawData[[Date ]],N18915,RawData[Month List],$Q$6,RawData[Tour/Site],$Q$2,RawData[[Picker ID ]],$Q$3,RawData[Checker ID],$Q$4,RawData[[Error Type ]],$Q$5))</f>
        <v/>
      </c>
    </row>
    <row r="18916" spans="15:15" x14ac:dyDescent="0.25">
      <c r="O18916" s="20" t="str">
        <f>IF(N18916="","",COUNTIFS(RawData[[Date ]],N18916,RawData[Month List],$Q$6,RawData[Tour/Site],$Q$2,RawData[[Picker ID ]],$Q$3,RawData[Checker ID],$Q$4,RawData[[Error Type ]],$Q$5))</f>
        <v/>
      </c>
    </row>
    <row r="18917" spans="15:15" x14ac:dyDescent="0.25">
      <c r="O18917" s="20" t="str">
        <f>IF(N18917="","",COUNTIFS(RawData[[Date ]],N18917,RawData[Month List],$Q$6,RawData[Tour/Site],$Q$2,RawData[[Picker ID ]],$Q$3,RawData[Checker ID],$Q$4,RawData[[Error Type ]],$Q$5))</f>
        <v/>
      </c>
    </row>
    <row r="18918" spans="15:15" x14ac:dyDescent="0.25">
      <c r="O18918" s="20" t="str">
        <f>IF(N18918="","",COUNTIFS(RawData[[Date ]],N18918,RawData[Month List],$Q$6,RawData[Tour/Site],$Q$2,RawData[[Picker ID ]],$Q$3,RawData[Checker ID],$Q$4,RawData[[Error Type ]],$Q$5))</f>
        <v/>
      </c>
    </row>
    <row r="18919" spans="15:15" x14ac:dyDescent="0.25">
      <c r="O18919" s="20" t="str">
        <f>IF(N18919="","",COUNTIFS(RawData[[Date ]],N18919,RawData[Month List],$Q$6,RawData[Tour/Site],$Q$2,RawData[[Picker ID ]],$Q$3,RawData[Checker ID],$Q$4,RawData[[Error Type ]],$Q$5))</f>
        <v/>
      </c>
    </row>
    <row r="18920" spans="15:15" x14ac:dyDescent="0.25">
      <c r="O18920" s="20" t="str">
        <f>IF(N18920="","",COUNTIFS(RawData[[Date ]],N18920,RawData[Month List],$Q$6,RawData[Tour/Site],$Q$2,RawData[[Picker ID ]],$Q$3,RawData[Checker ID],$Q$4,RawData[[Error Type ]],$Q$5))</f>
        <v/>
      </c>
    </row>
    <row r="18921" spans="15:15" x14ac:dyDescent="0.25">
      <c r="O18921" s="20" t="str">
        <f>IF(N18921="","",COUNTIFS(RawData[[Date ]],N18921,RawData[Month List],$Q$6,RawData[Tour/Site],$Q$2,RawData[[Picker ID ]],$Q$3,RawData[Checker ID],$Q$4,RawData[[Error Type ]],$Q$5))</f>
        <v/>
      </c>
    </row>
    <row r="18922" spans="15:15" x14ac:dyDescent="0.25">
      <c r="O18922" s="20" t="str">
        <f>IF(N18922="","",COUNTIFS(RawData[[Date ]],N18922,RawData[Month List],$Q$6,RawData[Tour/Site],$Q$2,RawData[[Picker ID ]],$Q$3,RawData[Checker ID],$Q$4,RawData[[Error Type ]],$Q$5))</f>
        <v/>
      </c>
    </row>
    <row r="18923" spans="15:15" x14ac:dyDescent="0.25">
      <c r="O18923" s="20" t="str">
        <f>IF(N18923="","",COUNTIFS(RawData[[Date ]],N18923,RawData[Month List],$Q$6,RawData[Tour/Site],$Q$2,RawData[[Picker ID ]],$Q$3,RawData[Checker ID],$Q$4,RawData[[Error Type ]],$Q$5))</f>
        <v/>
      </c>
    </row>
    <row r="18924" spans="15:15" x14ac:dyDescent="0.25">
      <c r="O18924" s="20" t="str">
        <f>IF(N18924="","",COUNTIFS(RawData[[Date ]],N18924,RawData[Month List],$Q$6,RawData[Tour/Site],$Q$2,RawData[[Picker ID ]],$Q$3,RawData[Checker ID],$Q$4,RawData[[Error Type ]],$Q$5))</f>
        <v/>
      </c>
    </row>
    <row r="18925" spans="15:15" x14ac:dyDescent="0.25">
      <c r="O18925" s="20" t="str">
        <f>IF(N18925="","",COUNTIFS(RawData[[Date ]],N18925,RawData[Month List],$Q$6,RawData[Tour/Site],$Q$2,RawData[[Picker ID ]],$Q$3,RawData[Checker ID],$Q$4,RawData[[Error Type ]],$Q$5))</f>
        <v/>
      </c>
    </row>
    <row r="18926" spans="15:15" x14ac:dyDescent="0.25">
      <c r="O18926" s="20" t="str">
        <f>IF(N18926="","",COUNTIFS(RawData[[Date ]],N18926,RawData[Month List],$Q$6,RawData[Tour/Site],$Q$2,RawData[[Picker ID ]],$Q$3,RawData[Checker ID],$Q$4,RawData[[Error Type ]],$Q$5))</f>
        <v/>
      </c>
    </row>
    <row r="18927" spans="15:15" x14ac:dyDescent="0.25">
      <c r="O18927" s="20" t="str">
        <f>IF(N18927="","",COUNTIFS(RawData[[Date ]],N18927,RawData[Month List],$Q$6,RawData[Tour/Site],$Q$2,RawData[[Picker ID ]],$Q$3,RawData[Checker ID],$Q$4,RawData[[Error Type ]],$Q$5))</f>
        <v/>
      </c>
    </row>
    <row r="18928" spans="15:15" x14ac:dyDescent="0.25">
      <c r="O18928" s="20" t="str">
        <f>IF(N18928="","",COUNTIFS(RawData[[Date ]],N18928,RawData[Month List],$Q$6,RawData[Tour/Site],$Q$2,RawData[[Picker ID ]],$Q$3,RawData[Checker ID],$Q$4,RawData[[Error Type ]],$Q$5))</f>
        <v/>
      </c>
    </row>
    <row r="18929" spans="15:15" x14ac:dyDescent="0.25">
      <c r="O18929" s="20" t="str">
        <f>IF(N18929="","",COUNTIFS(RawData[[Date ]],N18929,RawData[Month List],$Q$6,RawData[Tour/Site],$Q$2,RawData[[Picker ID ]],$Q$3,RawData[Checker ID],$Q$4,RawData[[Error Type ]],$Q$5))</f>
        <v/>
      </c>
    </row>
    <row r="18930" spans="15:15" x14ac:dyDescent="0.25">
      <c r="O18930" s="20" t="str">
        <f>IF(N18930="","",COUNTIFS(RawData[[Date ]],N18930,RawData[Month List],$Q$6,RawData[Tour/Site],$Q$2,RawData[[Picker ID ]],$Q$3,RawData[Checker ID],$Q$4,RawData[[Error Type ]],$Q$5))</f>
        <v/>
      </c>
    </row>
    <row r="18931" spans="15:15" x14ac:dyDescent="0.25">
      <c r="O18931" s="20" t="str">
        <f>IF(N18931="","",COUNTIFS(RawData[[Date ]],N18931,RawData[Month List],$Q$6,RawData[Tour/Site],$Q$2,RawData[[Picker ID ]],$Q$3,RawData[Checker ID],$Q$4,RawData[[Error Type ]],$Q$5))</f>
        <v/>
      </c>
    </row>
    <row r="18932" spans="15:15" x14ac:dyDescent="0.25">
      <c r="O18932" s="20" t="str">
        <f>IF(N18932="","",COUNTIFS(RawData[[Date ]],N18932,RawData[Month List],$Q$6,RawData[Tour/Site],$Q$2,RawData[[Picker ID ]],$Q$3,RawData[Checker ID],$Q$4,RawData[[Error Type ]],$Q$5))</f>
        <v/>
      </c>
    </row>
    <row r="18933" spans="15:15" x14ac:dyDescent="0.25">
      <c r="O18933" s="20" t="str">
        <f>IF(N18933="","",COUNTIFS(RawData[[Date ]],N18933,RawData[Month List],$Q$6,RawData[Tour/Site],$Q$2,RawData[[Picker ID ]],$Q$3,RawData[Checker ID],$Q$4,RawData[[Error Type ]],$Q$5))</f>
        <v/>
      </c>
    </row>
    <row r="18934" spans="15:15" x14ac:dyDescent="0.25">
      <c r="O18934" s="20" t="str">
        <f>IF(N18934="","",COUNTIFS(RawData[[Date ]],N18934,RawData[Month List],$Q$6,RawData[Tour/Site],$Q$2,RawData[[Picker ID ]],$Q$3,RawData[Checker ID],$Q$4,RawData[[Error Type ]],$Q$5))</f>
        <v/>
      </c>
    </row>
    <row r="18935" spans="15:15" x14ac:dyDescent="0.25">
      <c r="O18935" s="20" t="str">
        <f>IF(N18935="","",COUNTIFS(RawData[[Date ]],N18935,RawData[Month List],$Q$6,RawData[Tour/Site],$Q$2,RawData[[Picker ID ]],$Q$3,RawData[Checker ID],$Q$4,RawData[[Error Type ]],$Q$5))</f>
        <v/>
      </c>
    </row>
    <row r="18936" spans="15:15" x14ac:dyDescent="0.25">
      <c r="O18936" s="20" t="str">
        <f>IF(N18936="","",COUNTIFS(RawData[[Date ]],N18936,RawData[Month List],$Q$6,RawData[Tour/Site],$Q$2,RawData[[Picker ID ]],$Q$3,RawData[Checker ID],$Q$4,RawData[[Error Type ]],$Q$5))</f>
        <v/>
      </c>
    </row>
    <row r="18937" spans="15:15" x14ac:dyDescent="0.25">
      <c r="O18937" s="20" t="str">
        <f>IF(N18937="","",COUNTIFS(RawData[[Date ]],N18937,RawData[Month List],$Q$6,RawData[Tour/Site],$Q$2,RawData[[Picker ID ]],$Q$3,RawData[Checker ID],$Q$4,RawData[[Error Type ]],$Q$5))</f>
        <v/>
      </c>
    </row>
    <row r="18938" spans="15:15" x14ac:dyDescent="0.25">
      <c r="O18938" s="20" t="str">
        <f>IF(N18938="","",COUNTIFS(RawData[[Date ]],N18938,RawData[Month List],$Q$6,RawData[Tour/Site],$Q$2,RawData[[Picker ID ]],$Q$3,RawData[Checker ID],$Q$4,RawData[[Error Type ]],$Q$5))</f>
        <v/>
      </c>
    </row>
    <row r="18939" spans="15:15" x14ac:dyDescent="0.25">
      <c r="O18939" s="20" t="str">
        <f>IF(N18939="","",COUNTIFS(RawData[[Date ]],N18939,RawData[Month List],$Q$6,RawData[Tour/Site],$Q$2,RawData[[Picker ID ]],$Q$3,RawData[Checker ID],$Q$4,RawData[[Error Type ]],$Q$5))</f>
        <v/>
      </c>
    </row>
    <row r="18940" spans="15:15" x14ac:dyDescent="0.25">
      <c r="O18940" s="20" t="str">
        <f>IF(N18940="","",COUNTIFS(RawData[[Date ]],N18940,RawData[Month List],$Q$6,RawData[Tour/Site],$Q$2,RawData[[Picker ID ]],$Q$3,RawData[Checker ID],$Q$4,RawData[[Error Type ]],$Q$5))</f>
        <v/>
      </c>
    </row>
    <row r="18941" spans="15:15" x14ac:dyDescent="0.25">
      <c r="O18941" s="20" t="str">
        <f>IF(N18941="","",COUNTIFS(RawData[[Date ]],N18941,RawData[Month List],$Q$6,RawData[Tour/Site],$Q$2,RawData[[Picker ID ]],$Q$3,RawData[Checker ID],$Q$4,RawData[[Error Type ]],$Q$5))</f>
        <v/>
      </c>
    </row>
    <row r="18942" spans="15:15" x14ac:dyDescent="0.25">
      <c r="O18942" s="20" t="str">
        <f>IF(N18942="","",COUNTIFS(RawData[[Date ]],N18942,RawData[Month List],$Q$6,RawData[Tour/Site],$Q$2,RawData[[Picker ID ]],$Q$3,RawData[Checker ID],$Q$4,RawData[[Error Type ]],$Q$5))</f>
        <v/>
      </c>
    </row>
    <row r="18943" spans="15:15" x14ac:dyDescent="0.25">
      <c r="O18943" s="20" t="str">
        <f>IF(N18943="","",COUNTIFS(RawData[[Date ]],N18943,RawData[Month List],$Q$6,RawData[Tour/Site],$Q$2,RawData[[Picker ID ]],$Q$3,RawData[Checker ID],$Q$4,RawData[[Error Type ]],$Q$5))</f>
        <v/>
      </c>
    </row>
    <row r="18944" spans="15:15" x14ac:dyDescent="0.25">
      <c r="O18944" s="20" t="str">
        <f>IF(N18944="","",COUNTIFS(RawData[[Date ]],N18944,RawData[Month List],$Q$6,RawData[Tour/Site],$Q$2,RawData[[Picker ID ]],$Q$3,RawData[Checker ID],$Q$4,RawData[[Error Type ]],$Q$5))</f>
        <v/>
      </c>
    </row>
    <row r="18945" spans="15:15" x14ac:dyDescent="0.25">
      <c r="O18945" s="20" t="str">
        <f>IF(N18945="","",COUNTIFS(RawData[[Date ]],N18945,RawData[Month List],$Q$6,RawData[Tour/Site],$Q$2,RawData[[Picker ID ]],$Q$3,RawData[Checker ID],$Q$4,RawData[[Error Type ]],$Q$5))</f>
        <v/>
      </c>
    </row>
    <row r="18946" spans="15:15" x14ac:dyDescent="0.25">
      <c r="O18946" s="20" t="str">
        <f>IF(N18946="","",COUNTIFS(RawData[[Date ]],N18946,RawData[Month List],$Q$6,RawData[Tour/Site],$Q$2,RawData[[Picker ID ]],$Q$3,RawData[Checker ID],$Q$4,RawData[[Error Type ]],$Q$5))</f>
        <v/>
      </c>
    </row>
    <row r="18947" spans="15:15" x14ac:dyDescent="0.25">
      <c r="O18947" s="20" t="str">
        <f>IF(N18947="","",COUNTIFS(RawData[[Date ]],N18947,RawData[Month List],$Q$6,RawData[Tour/Site],$Q$2,RawData[[Picker ID ]],$Q$3,RawData[Checker ID],$Q$4,RawData[[Error Type ]],$Q$5))</f>
        <v/>
      </c>
    </row>
    <row r="18948" spans="15:15" x14ac:dyDescent="0.25">
      <c r="O18948" s="20" t="str">
        <f>IF(N18948="","",COUNTIFS(RawData[[Date ]],N18948,RawData[Month List],$Q$6,RawData[Tour/Site],$Q$2,RawData[[Picker ID ]],$Q$3,RawData[Checker ID],$Q$4,RawData[[Error Type ]],$Q$5))</f>
        <v/>
      </c>
    </row>
    <row r="18949" spans="15:15" x14ac:dyDescent="0.25">
      <c r="O18949" s="20" t="str">
        <f>IF(N18949="","",COUNTIFS(RawData[[Date ]],N18949,RawData[Month List],$Q$6,RawData[Tour/Site],$Q$2,RawData[[Picker ID ]],$Q$3,RawData[Checker ID],$Q$4,RawData[[Error Type ]],$Q$5))</f>
        <v/>
      </c>
    </row>
    <row r="18950" spans="15:15" x14ac:dyDescent="0.25">
      <c r="O18950" s="20" t="str">
        <f>IF(N18950="","",COUNTIFS(RawData[[Date ]],N18950,RawData[Month List],$Q$6,RawData[Tour/Site],$Q$2,RawData[[Picker ID ]],$Q$3,RawData[Checker ID],$Q$4,RawData[[Error Type ]],$Q$5))</f>
        <v/>
      </c>
    </row>
    <row r="18951" spans="15:15" x14ac:dyDescent="0.25">
      <c r="O18951" s="20" t="str">
        <f>IF(N18951="","",COUNTIFS(RawData[[Date ]],N18951,RawData[Month List],$Q$6,RawData[Tour/Site],$Q$2,RawData[[Picker ID ]],$Q$3,RawData[Checker ID],$Q$4,RawData[[Error Type ]],$Q$5))</f>
        <v/>
      </c>
    </row>
    <row r="18952" spans="15:15" x14ac:dyDescent="0.25">
      <c r="O18952" s="20" t="str">
        <f>IF(N18952="","",COUNTIFS(RawData[[Date ]],N18952,RawData[Month List],$Q$6,RawData[Tour/Site],$Q$2,RawData[[Picker ID ]],$Q$3,RawData[Checker ID],$Q$4,RawData[[Error Type ]],$Q$5))</f>
        <v/>
      </c>
    </row>
    <row r="18953" spans="15:15" x14ac:dyDescent="0.25">
      <c r="O18953" s="20" t="str">
        <f>IF(N18953="","",COUNTIFS(RawData[[Date ]],N18953,RawData[Month List],$Q$6,RawData[Tour/Site],$Q$2,RawData[[Picker ID ]],$Q$3,RawData[Checker ID],$Q$4,RawData[[Error Type ]],$Q$5))</f>
        <v/>
      </c>
    </row>
    <row r="18954" spans="15:15" x14ac:dyDescent="0.25">
      <c r="O18954" s="20" t="str">
        <f>IF(N18954="","",COUNTIFS(RawData[[Date ]],N18954,RawData[Month List],$Q$6,RawData[Tour/Site],$Q$2,RawData[[Picker ID ]],$Q$3,RawData[Checker ID],$Q$4,RawData[[Error Type ]],$Q$5))</f>
        <v/>
      </c>
    </row>
    <row r="18955" spans="15:15" x14ac:dyDescent="0.25">
      <c r="O18955" s="20" t="str">
        <f>IF(N18955="","",COUNTIFS(RawData[[Date ]],N18955,RawData[Month List],$Q$6,RawData[Tour/Site],$Q$2,RawData[[Picker ID ]],$Q$3,RawData[Checker ID],$Q$4,RawData[[Error Type ]],$Q$5))</f>
        <v/>
      </c>
    </row>
    <row r="18956" spans="15:15" x14ac:dyDescent="0.25">
      <c r="O18956" s="20" t="str">
        <f>IF(N18956="","",COUNTIFS(RawData[[Date ]],N18956,RawData[Month List],$Q$6,RawData[Tour/Site],$Q$2,RawData[[Picker ID ]],$Q$3,RawData[Checker ID],$Q$4,RawData[[Error Type ]],$Q$5))</f>
        <v/>
      </c>
    </row>
    <row r="18957" spans="15:15" x14ac:dyDescent="0.25">
      <c r="O18957" s="20" t="str">
        <f>IF(N18957="","",COUNTIFS(RawData[[Date ]],N18957,RawData[Month List],$Q$6,RawData[Tour/Site],$Q$2,RawData[[Picker ID ]],$Q$3,RawData[Checker ID],$Q$4,RawData[[Error Type ]],$Q$5))</f>
        <v/>
      </c>
    </row>
    <row r="18958" spans="15:15" x14ac:dyDescent="0.25">
      <c r="O18958" s="20" t="str">
        <f>IF(N18958="","",COUNTIFS(RawData[[Date ]],N18958,RawData[Month List],$Q$6,RawData[Tour/Site],$Q$2,RawData[[Picker ID ]],$Q$3,RawData[Checker ID],$Q$4,RawData[[Error Type ]],$Q$5))</f>
        <v/>
      </c>
    </row>
    <row r="18959" spans="15:15" x14ac:dyDescent="0.25">
      <c r="O18959" s="20" t="str">
        <f>IF(N18959="","",COUNTIFS(RawData[[Date ]],N18959,RawData[Month List],$Q$6,RawData[Tour/Site],$Q$2,RawData[[Picker ID ]],$Q$3,RawData[Checker ID],$Q$4,RawData[[Error Type ]],$Q$5))</f>
        <v/>
      </c>
    </row>
    <row r="18960" spans="15:15" x14ac:dyDescent="0.25">
      <c r="O18960" s="20" t="str">
        <f>IF(N18960="","",COUNTIFS(RawData[[Date ]],N18960,RawData[Month List],$Q$6,RawData[Tour/Site],$Q$2,RawData[[Picker ID ]],$Q$3,RawData[Checker ID],$Q$4,RawData[[Error Type ]],$Q$5))</f>
        <v/>
      </c>
    </row>
    <row r="18961" spans="15:15" x14ac:dyDescent="0.25">
      <c r="O18961" s="20" t="str">
        <f>IF(N18961="","",COUNTIFS(RawData[[Date ]],N18961,RawData[Month List],$Q$6,RawData[Tour/Site],$Q$2,RawData[[Picker ID ]],$Q$3,RawData[Checker ID],$Q$4,RawData[[Error Type ]],$Q$5))</f>
        <v/>
      </c>
    </row>
    <row r="18962" spans="15:15" x14ac:dyDescent="0.25">
      <c r="O18962" s="20" t="str">
        <f>IF(N18962="","",COUNTIFS(RawData[[Date ]],N18962,RawData[Month List],$Q$6,RawData[Tour/Site],$Q$2,RawData[[Picker ID ]],$Q$3,RawData[Checker ID],$Q$4,RawData[[Error Type ]],$Q$5))</f>
        <v/>
      </c>
    </row>
    <row r="18963" spans="15:15" x14ac:dyDescent="0.25">
      <c r="O18963" s="20" t="str">
        <f>IF(N18963="","",COUNTIFS(RawData[[Date ]],N18963,RawData[Month List],$Q$6,RawData[Tour/Site],$Q$2,RawData[[Picker ID ]],$Q$3,RawData[Checker ID],$Q$4,RawData[[Error Type ]],$Q$5))</f>
        <v/>
      </c>
    </row>
    <row r="18964" spans="15:15" x14ac:dyDescent="0.25">
      <c r="O18964" s="20" t="str">
        <f>IF(N18964="","",COUNTIFS(RawData[[Date ]],N18964,RawData[Month List],$Q$6,RawData[Tour/Site],$Q$2,RawData[[Picker ID ]],$Q$3,RawData[Checker ID],$Q$4,RawData[[Error Type ]],$Q$5))</f>
        <v/>
      </c>
    </row>
    <row r="18965" spans="15:15" x14ac:dyDescent="0.25">
      <c r="O18965" s="20" t="str">
        <f>IF(N18965="","",COUNTIFS(RawData[[Date ]],N18965,RawData[Month List],$Q$6,RawData[Tour/Site],$Q$2,RawData[[Picker ID ]],$Q$3,RawData[Checker ID],$Q$4,RawData[[Error Type ]],$Q$5))</f>
        <v/>
      </c>
    </row>
    <row r="18966" spans="15:15" x14ac:dyDescent="0.25">
      <c r="O18966" s="20" t="str">
        <f>IF(N18966="","",COUNTIFS(RawData[[Date ]],N18966,RawData[Month List],$Q$6,RawData[Tour/Site],$Q$2,RawData[[Picker ID ]],$Q$3,RawData[Checker ID],$Q$4,RawData[[Error Type ]],$Q$5))</f>
        <v/>
      </c>
    </row>
    <row r="18967" spans="15:15" x14ac:dyDescent="0.25">
      <c r="O18967" s="20" t="str">
        <f>IF(N18967="","",COUNTIFS(RawData[[Date ]],N18967,RawData[Month List],$Q$6,RawData[Tour/Site],$Q$2,RawData[[Picker ID ]],$Q$3,RawData[Checker ID],$Q$4,RawData[[Error Type ]],$Q$5))</f>
        <v/>
      </c>
    </row>
    <row r="18968" spans="15:15" x14ac:dyDescent="0.25">
      <c r="O18968" s="20" t="str">
        <f>IF(N18968="","",COUNTIFS(RawData[[Date ]],N18968,RawData[Month List],$Q$6,RawData[Tour/Site],$Q$2,RawData[[Picker ID ]],$Q$3,RawData[Checker ID],$Q$4,RawData[[Error Type ]],$Q$5))</f>
        <v/>
      </c>
    </row>
    <row r="18969" spans="15:15" x14ac:dyDescent="0.25">
      <c r="O18969" s="20" t="str">
        <f>IF(N18969="","",COUNTIFS(RawData[[Date ]],N18969,RawData[Month List],$Q$6,RawData[Tour/Site],$Q$2,RawData[[Picker ID ]],$Q$3,RawData[Checker ID],$Q$4,RawData[[Error Type ]],$Q$5))</f>
        <v/>
      </c>
    </row>
    <row r="18970" spans="15:15" x14ac:dyDescent="0.25">
      <c r="O18970" s="20" t="str">
        <f>IF(N18970="","",COUNTIFS(RawData[[Date ]],N18970,RawData[Month List],$Q$6,RawData[Tour/Site],$Q$2,RawData[[Picker ID ]],$Q$3,RawData[Checker ID],$Q$4,RawData[[Error Type ]],$Q$5))</f>
        <v/>
      </c>
    </row>
    <row r="18971" spans="15:15" x14ac:dyDescent="0.25">
      <c r="O18971" s="20" t="str">
        <f>IF(N18971="","",COUNTIFS(RawData[[Date ]],N18971,RawData[Month List],$Q$6,RawData[Tour/Site],$Q$2,RawData[[Picker ID ]],$Q$3,RawData[Checker ID],$Q$4,RawData[[Error Type ]],$Q$5))</f>
        <v/>
      </c>
    </row>
    <row r="18972" spans="15:15" x14ac:dyDescent="0.25">
      <c r="O18972" s="20" t="str">
        <f>IF(N18972="","",COUNTIFS(RawData[[Date ]],N18972,RawData[Month List],$Q$6,RawData[Tour/Site],$Q$2,RawData[[Picker ID ]],$Q$3,RawData[Checker ID],$Q$4,RawData[[Error Type ]],$Q$5))</f>
        <v/>
      </c>
    </row>
    <row r="18973" spans="15:15" x14ac:dyDescent="0.25">
      <c r="O18973" s="20" t="str">
        <f>IF(N18973="","",COUNTIFS(RawData[[Date ]],N18973,RawData[Month List],$Q$6,RawData[Tour/Site],$Q$2,RawData[[Picker ID ]],$Q$3,RawData[Checker ID],$Q$4,RawData[[Error Type ]],$Q$5))</f>
        <v/>
      </c>
    </row>
    <row r="18974" spans="15:15" x14ac:dyDescent="0.25">
      <c r="O18974" s="20" t="str">
        <f>IF(N18974="","",COUNTIFS(RawData[[Date ]],N18974,RawData[Month List],$Q$6,RawData[Tour/Site],$Q$2,RawData[[Picker ID ]],$Q$3,RawData[Checker ID],$Q$4,RawData[[Error Type ]],$Q$5))</f>
        <v/>
      </c>
    </row>
    <row r="18975" spans="15:15" x14ac:dyDescent="0.25">
      <c r="O18975" s="20" t="str">
        <f>IF(N18975="","",COUNTIFS(RawData[[Date ]],N18975,RawData[Month List],$Q$6,RawData[Tour/Site],$Q$2,RawData[[Picker ID ]],$Q$3,RawData[Checker ID],$Q$4,RawData[[Error Type ]],$Q$5))</f>
        <v/>
      </c>
    </row>
    <row r="18976" spans="15:15" x14ac:dyDescent="0.25">
      <c r="O18976" s="20" t="str">
        <f>IF(N18976="","",COUNTIFS(RawData[[Date ]],N18976,RawData[Month List],$Q$6,RawData[Tour/Site],$Q$2,RawData[[Picker ID ]],$Q$3,RawData[Checker ID],$Q$4,RawData[[Error Type ]],$Q$5))</f>
        <v/>
      </c>
    </row>
    <row r="18977" spans="15:15" x14ac:dyDescent="0.25">
      <c r="O18977" s="20" t="str">
        <f>IF(N18977="","",COUNTIFS(RawData[[Date ]],N18977,RawData[Month List],$Q$6,RawData[Tour/Site],$Q$2,RawData[[Picker ID ]],$Q$3,RawData[Checker ID],$Q$4,RawData[[Error Type ]],$Q$5))</f>
        <v/>
      </c>
    </row>
    <row r="18978" spans="15:15" x14ac:dyDescent="0.25">
      <c r="O18978" s="20" t="str">
        <f>IF(N18978="","",COUNTIFS(RawData[[Date ]],N18978,RawData[Month List],$Q$6,RawData[Tour/Site],$Q$2,RawData[[Picker ID ]],$Q$3,RawData[Checker ID],$Q$4,RawData[[Error Type ]],$Q$5))</f>
        <v/>
      </c>
    </row>
    <row r="18979" spans="15:15" x14ac:dyDescent="0.25">
      <c r="O18979" s="20" t="str">
        <f>IF(N18979="","",COUNTIFS(RawData[[Date ]],N18979,RawData[Month List],$Q$6,RawData[Tour/Site],$Q$2,RawData[[Picker ID ]],$Q$3,RawData[Checker ID],$Q$4,RawData[[Error Type ]],$Q$5))</f>
        <v/>
      </c>
    </row>
    <row r="18980" spans="15:15" x14ac:dyDescent="0.25">
      <c r="O18980" s="20" t="str">
        <f>IF(N18980="","",COUNTIFS(RawData[[Date ]],N18980,RawData[Month List],$Q$6,RawData[Tour/Site],$Q$2,RawData[[Picker ID ]],$Q$3,RawData[Checker ID],$Q$4,RawData[[Error Type ]],$Q$5))</f>
        <v/>
      </c>
    </row>
    <row r="18981" spans="15:15" x14ac:dyDescent="0.25">
      <c r="O18981" s="20" t="str">
        <f>IF(N18981="","",COUNTIFS(RawData[[Date ]],N18981,RawData[Month List],$Q$6,RawData[Tour/Site],$Q$2,RawData[[Picker ID ]],$Q$3,RawData[Checker ID],$Q$4,RawData[[Error Type ]],$Q$5))</f>
        <v/>
      </c>
    </row>
    <row r="18982" spans="15:15" x14ac:dyDescent="0.25">
      <c r="O18982" s="20" t="str">
        <f>IF(N18982="","",COUNTIFS(RawData[[Date ]],N18982,RawData[Month List],$Q$6,RawData[Tour/Site],$Q$2,RawData[[Picker ID ]],$Q$3,RawData[Checker ID],$Q$4,RawData[[Error Type ]],$Q$5))</f>
        <v/>
      </c>
    </row>
    <row r="18983" spans="15:15" x14ac:dyDescent="0.25">
      <c r="O18983" s="20" t="str">
        <f>IF(N18983="","",COUNTIFS(RawData[[Date ]],N18983,RawData[Month List],$Q$6,RawData[Tour/Site],$Q$2,RawData[[Picker ID ]],$Q$3,RawData[Checker ID],$Q$4,RawData[[Error Type ]],$Q$5))</f>
        <v/>
      </c>
    </row>
    <row r="18984" spans="15:15" x14ac:dyDescent="0.25">
      <c r="O18984" s="20" t="str">
        <f>IF(N18984="","",COUNTIFS(RawData[[Date ]],N18984,RawData[Month List],$Q$6,RawData[Tour/Site],$Q$2,RawData[[Picker ID ]],$Q$3,RawData[Checker ID],$Q$4,RawData[[Error Type ]],$Q$5))</f>
        <v/>
      </c>
    </row>
    <row r="18985" spans="15:15" x14ac:dyDescent="0.25">
      <c r="O18985" s="20" t="str">
        <f>IF(N18985="","",COUNTIFS(RawData[[Date ]],N18985,RawData[Month List],$Q$6,RawData[Tour/Site],$Q$2,RawData[[Picker ID ]],$Q$3,RawData[Checker ID],$Q$4,RawData[[Error Type ]],$Q$5))</f>
        <v/>
      </c>
    </row>
    <row r="18986" spans="15:15" x14ac:dyDescent="0.25">
      <c r="O18986" s="20" t="str">
        <f>IF(N18986="","",COUNTIFS(RawData[[Date ]],N18986,RawData[Month List],$Q$6,RawData[Tour/Site],$Q$2,RawData[[Picker ID ]],$Q$3,RawData[Checker ID],$Q$4,RawData[[Error Type ]],$Q$5))</f>
        <v/>
      </c>
    </row>
    <row r="18987" spans="15:15" x14ac:dyDescent="0.25">
      <c r="O18987" s="20" t="str">
        <f>IF(N18987="","",COUNTIFS(RawData[[Date ]],N18987,RawData[Month List],$Q$6,RawData[Tour/Site],$Q$2,RawData[[Picker ID ]],$Q$3,RawData[Checker ID],$Q$4,RawData[[Error Type ]],$Q$5))</f>
        <v/>
      </c>
    </row>
    <row r="18988" spans="15:15" x14ac:dyDescent="0.25">
      <c r="O18988" s="20" t="str">
        <f>IF(N18988="","",COUNTIFS(RawData[[Date ]],N18988,RawData[Month List],$Q$6,RawData[Tour/Site],$Q$2,RawData[[Picker ID ]],$Q$3,RawData[Checker ID],$Q$4,RawData[[Error Type ]],$Q$5))</f>
        <v/>
      </c>
    </row>
    <row r="18989" spans="15:15" x14ac:dyDescent="0.25">
      <c r="O18989" s="20" t="str">
        <f>IF(N18989="","",COUNTIFS(RawData[[Date ]],N18989,RawData[Month List],$Q$6,RawData[Tour/Site],$Q$2,RawData[[Picker ID ]],$Q$3,RawData[Checker ID],$Q$4,RawData[[Error Type ]],$Q$5))</f>
        <v/>
      </c>
    </row>
    <row r="18990" spans="15:15" x14ac:dyDescent="0.25">
      <c r="O18990" s="20" t="str">
        <f>IF(N18990="","",COUNTIFS(RawData[[Date ]],N18990,RawData[Month List],$Q$6,RawData[Tour/Site],$Q$2,RawData[[Picker ID ]],$Q$3,RawData[Checker ID],$Q$4,RawData[[Error Type ]],$Q$5))</f>
        <v/>
      </c>
    </row>
    <row r="18991" spans="15:15" x14ac:dyDescent="0.25">
      <c r="O18991" s="20" t="str">
        <f>IF(N18991="","",COUNTIFS(RawData[[Date ]],N18991,RawData[Month List],$Q$6,RawData[Tour/Site],$Q$2,RawData[[Picker ID ]],$Q$3,RawData[Checker ID],$Q$4,RawData[[Error Type ]],$Q$5))</f>
        <v/>
      </c>
    </row>
    <row r="18992" spans="15:15" x14ac:dyDescent="0.25">
      <c r="O18992" s="20" t="str">
        <f>IF(N18992="","",COUNTIFS(RawData[[Date ]],N18992,RawData[Month List],$Q$6,RawData[Tour/Site],$Q$2,RawData[[Picker ID ]],$Q$3,RawData[Checker ID],$Q$4,RawData[[Error Type ]],$Q$5))</f>
        <v/>
      </c>
    </row>
    <row r="18993" spans="15:15" x14ac:dyDescent="0.25">
      <c r="O18993" s="20" t="str">
        <f>IF(N18993="","",COUNTIFS(RawData[[Date ]],N18993,RawData[Month List],$Q$6,RawData[Tour/Site],$Q$2,RawData[[Picker ID ]],$Q$3,RawData[Checker ID],$Q$4,RawData[[Error Type ]],$Q$5))</f>
        <v/>
      </c>
    </row>
    <row r="18994" spans="15:15" x14ac:dyDescent="0.25">
      <c r="O18994" s="20" t="str">
        <f>IF(N18994="","",COUNTIFS(RawData[[Date ]],N18994,RawData[Month List],$Q$6,RawData[Tour/Site],$Q$2,RawData[[Picker ID ]],$Q$3,RawData[Checker ID],$Q$4,RawData[[Error Type ]],$Q$5))</f>
        <v/>
      </c>
    </row>
    <row r="18995" spans="15:15" x14ac:dyDescent="0.25">
      <c r="O18995" s="20" t="str">
        <f>IF(N18995="","",COUNTIFS(RawData[[Date ]],N18995,RawData[Month List],$Q$6,RawData[Tour/Site],$Q$2,RawData[[Picker ID ]],$Q$3,RawData[Checker ID],$Q$4,RawData[[Error Type ]],$Q$5))</f>
        <v/>
      </c>
    </row>
    <row r="18996" spans="15:15" x14ac:dyDescent="0.25">
      <c r="O18996" s="20" t="str">
        <f>IF(N18996="","",COUNTIFS(RawData[[Date ]],N18996,RawData[Month List],$Q$6,RawData[Tour/Site],$Q$2,RawData[[Picker ID ]],$Q$3,RawData[Checker ID],$Q$4,RawData[[Error Type ]],$Q$5))</f>
        <v/>
      </c>
    </row>
    <row r="18997" spans="15:15" x14ac:dyDescent="0.25">
      <c r="O18997" s="20" t="str">
        <f>IF(N18997="","",COUNTIFS(RawData[[Date ]],N18997,RawData[Month List],$Q$6,RawData[Tour/Site],$Q$2,RawData[[Picker ID ]],$Q$3,RawData[Checker ID],$Q$4,RawData[[Error Type ]],$Q$5))</f>
        <v/>
      </c>
    </row>
    <row r="18998" spans="15:15" x14ac:dyDescent="0.25">
      <c r="O18998" s="20" t="str">
        <f>IF(N18998="","",COUNTIFS(RawData[[Date ]],N18998,RawData[Month List],$Q$6,RawData[Tour/Site],$Q$2,RawData[[Picker ID ]],$Q$3,RawData[Checker ID],$Q$4,RawData[[Error Type ]],$Q$5))</f>
        <v/>
      </c>
    </row>
    <row r="18999" spans="15:15" x14ac:dyDescent="0.25">
      <c r="O18999" s="20" t="str">
        <f>IF(N18999="","",COUNTIFS(RawData[[Date ]],N18999,RawData[Month List],$Q$6,RawData[Tour/Site],$Q$2,RawData[[Picker ID ]],$Q$3,RawData[Checker ID],$Q$4,RawData[[Error Type ]],$Q$5))</f>
        <v/>
      </c>
    </row>
    <row r="19000" spans="15:15" x14ac:dyDescent="0.25">
      <c r="O19000" s="20" t="str">
        <f>IF(N19000="","",COUNTIFS(RawData[[Date ]],N19000,RawData[Month List],$Q$6,RawData[Tour/Site],$Q$2,RawData[[Picker ID ]],$Q$3,RawData[Checker ID],$Q$4,RawData[[Error Type ]],$Q$5))</f>
        <v/>
      </c>
    </row>
    <row r="19001" spans="15:15" x14ac:dyDescent="0.25">
      <c r="O19001" s="20" t="str">
        <f>IF(N19001="","",COUNTIFS(RawData[[Date ]],N19001,RawData[Month List],$Q$6,RawData[Tour/Site],$Q$2,RawData[[Picker ID ]],$Q$3,RawData[Checker ID],$Q$4,RawData[[Error Type ]],$Q$5))</f>
        <v/>
      </c>
    </row>
    <row r="19002" spans="15:15" x14ac:dyDescent="0.25">
      <c r="O19002" s="20" t="str">
        <f>IF(N19002="","",COUNTIFS(RawData[[Date ]],N19002,RawData[Month List],$Q$6,RawData[Tour/Site],$Q$2,RawData[[Picker ID ]],$Q$3,RawData[Checker ID],$Q$4,RawData[[Error Type ]],$Q$5))</f>
        <v/>
      </c>
    </row>
    <row r="19003" spans="15:15" x14ac:dyDescent="0.25">
      <c r="O19003" s="20" t="str">
        <f>IF(N19003="","",COUNTIFS(RawData[[Date ]],N19003,RawData[Month List],$Q$6,RawData[Tour/Site],$Q$2,RawData[[Picker ID ]],$Q$3,RawData[Checker ID],$Q$4,RawData[[Error Type ]],$Q$5))</f>
        <v/>
      </c>
    </row>
    <row r="19004" spans="15:15" x14ac:dyDescent="0.25">
      <c r="O19004" s="20" t="str">
        <f>IF(N19004="","",COUNTIFS(RawData[[Date ]],N19004,RawData[Month List],$Q$6,RawData[Tour/Site],$Q$2,RawData[[Picker ID ]],$Q$3,RawData[Checker ID],$Q$4,RawData[[Error Type ]],$Q$5))</f>
        <v/>
      </c>
    </row>
    <row r="19005" spans="15:15" x14ac:dyDescent="0.25">
      <c r="O19005" s="20" t="str">
        <f>IF(N19005="","",COUNTIFS(RawData[[Date ]],N19005,RawData[Month List],$Q$6,RawData[Tour/Site],$Q$2,RawData[[Picker ID ]],$Q$3,RawData[Checker ID],$Q$4,RawData[[Error Type ]],$Q$5))</f>
        <v/>
      </c>
    </row>
    <row r="19006" spans="15:15" x14ac:dyDescent="0.25">
      <c r="O19006" s="20" t="str">
        <f>IF(N19006="","",COUNTIFS(RawData[[Date ]],N19006,RawData[Month List],$Q$6,RawData[Tour/Site],$Q$2,RawData[[Picker ID ]],$Q$3,RawData[Checker ID],$Q$4,RawData[[Error Type ]],$Q$5))</f>
        <v/>
      </c>
    </row>
    <row r="19007" spans="15:15" x14ac:dyDescent="0.25">
      <c r="O19007" s="20" t="str">
        <f>IF(N19007="","",COUNTIFS(RawData[[Date ]],N19007,RawData[Month List],$Q$6,RawData[Tour/Site],$Q$2,RawData[[Picker ID ]],$Q$3,RawData[Checker ID],$Q$4,RawData[[Error Type ]],$Q$5))</f>
        <v/>
      </c>
    </row>
    <row r="19008" spans="15:15" x14ac:dyDescent="0.25">
      <c r="O19008" s="20" t="str">
        <f>IF(N19008="","",COUNTIFS(RawData[[Date ]],N19008,RawData[Month List],$Q$6,RawData[Tour/Site],$Q$2,RawData[[Picker ID ]],$Q$3,RawData[Checker ID],$Q$4,RawData[[Error Type ]],$Q$5))</f>
        <v/>
      </c>
    </row>
    <row r="19009" spans="15:15" x14ac:dyDescent="0.25">
      <c r="O19009" s="20" t="str">
        <f>IF(N19009="","",COUNTIFS(RawData[[Date ]],N19009,RawData[Month List],$Q$6,RawData[Tour/Site],$Q$2,RawData[[Picker ID ]],$Q$3,RawData[Checker ID],$Q$4,RawData[[Error Type ]],$Q$5))</f>
        <v/>
      </c>
    </row>
    <row r="19010" spans="15:15" x14ac:dyDescent="0.25">
      <c r="O19010" s="20" t="str">
        <f>IF(N19010="","",COUNTIFS(RawData[[Date ]],N19010,RawData[Month List],$Q$6,RawData[Tour/Site],$Q$2,RawData[[Picker ID ]],$Q$3,RawData[Checker ID],$Q$4,RawData[[Error Type ]],$Q$5))</f>
        <v/>
      </c>
    </row>
    <row r="19011" spans="15:15" x14ac:dyDescent="0.25">
      <c r="O19011" s="20" t="str">
        <f>IF(N19011="","",COUNTIFS(RawData[[Date ]],N19011,RawData[Month List],$Q$6,RawData[Tour/Site],$Q$2,RawData[[Picker ID ]],$Q$3,RawData[Checker ID],$Q$4,RawData[[Error Type ]],$Q$5))</f>
        <v/>
      </c>
    </row>
    <row r="19012" spans="15:15" x14ac:dyDescent="0.25">
      <c r="O19012" s="20" t="str">
        <f>IF(N19012="","",COUNTIFS(RawData[[Date ]],N19012,RawData[Month List],$Q$6,RawData[Tour/Site],$Q$2,RawData[[Picker ID ]],$Q$3,RawData[Checker ID],$Q$4,RawData[[Error Type ]],$Q$5))</f>
        <v/>
      </c>
    </row>
    <row r="19013" spans="15:15" x14ac:dyDescent="0.25">
      <c r="O19013" s="20" t="str">
        <f>IF(N19013="","",COUNTIFS(RawData[[Date ]],N19013,RawData[Month List],$Q$6,RawData[Tour/Site],$Q$2,RawData[[Picker ID ]],$Q$3,RawData[Checker ID],$Q$4,RawData[[Error Type ]],$Q$5))</f>
        <v/>
      </c>
    </row>
    <row r="19014" spans="15:15" x14ac:dyDescent="0.25">
      <c r="O19014" s="20" t="str">
        <f>IF(N19014="","",COUNTIFS(RawData[[Date ]],N19014,RawData[Month List],$Q$6,RawData[Tour/Site],$Q$2,RawData[[Picker ID ]],$Q$3,RawData[Checker ID],$Q$4,RawData[[Error Type ]],$Q$5))</f>
        <v/>
      </c>
    </row>
    <row r="19015" spans="15:15" x14ac:dyDescent="0.25">
      <c r="O19015" s="20" t="str">
        <f>IF(N19015="","",COUNTIFS(RawData[[Date ]],N19015,RawData[Month List],$Q$6,RawData[Tour/Site],$Q$2,RawData[[Picker ID ]],$Q$3,RawData[Checker ID],$Q$4,RawData[[Error Type ]],$Q$5))</f>
        <v/>
      </c>
    </row>
    <row r="19016" spans="15:15" x14ac:dyDescent="0.25">
      <c r="O19016" s="20" t="str">
        <f>IF(N19016="","",COUNTIFS(RawData[[Date ]],N19016,RawData[Month List],$Q$6,RawData[Tour/Site],$Q$2,RawData[[Picker ID ]],$Q$3,RawData[Checker ID],$Q$4,RawData[[Error Type ]],$Q$5))</f>
        <v/>
      </c>
    </row>
    <row r="19017" spans="15:15" x14ac:dyDescent="0.25">
      <c r="O19017" s="20" t="str">
        <f>IF(N19017="","",COUNTIFS(RawData[[Date ]],N19017,RawData[Month List],$Q$6,RawData[Tour/Site],$Q$2,RawData[[Picker ID ]],$Q$3,RawData[Checker ID],$Q$4,RawData[[Error Type ]],$Q$5))</f>
        <v/>
      </c>
    </row>
    <row r="19018" spans="15:15" x14ac:dyDescent="0.25">
      <c r="O19018" s="20" t="str">
        <f>IF(N19018="","",COUNTIFS(RawData[[Date ]],N19018,RawData[Month List],$Q$6,RawData[Tour/Site],$Q$2,RawData[[Picker ID ]],$Q$3,RawData[Checker ID],$Q$4,RawData[[Error Type ]],$Q$5))</f>
        <v/>
      </c>
    </row>
    <row r="19019" spans="15:15" x14ac:dyDescent="0.25">
      <c r="O19019" s="20" t="str">
        <f>IF(N19019="","",COUNTIFS(RawData[[Date ]],N19019,RawData[Month List],$Q$6,RawData[Tour/Site],$Q$2,RawData[[Picker ID ]],$Q$3,RawData[Checker ID],$Q$4,RawData[[Error Type ]],$Q$5))</f>
        <v/>
      </c>
    </row>
    <row r="19020" spans="15:15" x14ac:dyDescent="0.25">
      <c r="O19020" s="20" t="str">
        <f>IF(N19020="","",COUNTIFS(RawData[[Date ]],N19020,RawData[Month List],$Q$6,RawData[Tour/Site],$Q$2,RawData[[Picker ID ]],$Q$3,RawData[Checker ID],$Q$4,RawData[[Error Type ]],$Q$5))</f>
        <v/>
      </c>
    </row>
    <row r="19021" spans="15:15" x14ac:dyDescent="0.25">
      <c r="O19021" s="20" t="str">
        <f>IF(N19021="","",COUNTIFS(RawData[[Date ]],N19021,RawData[Month List],$Q$6,RawData[Tour/Site],$Q$2,RawData[[Picker ID ]],$Q$3,RawData[Checker ID],$Q$4,RawData[[Error Type ]],$Q$5))</f>
        <v/>
      </c>
    </row>
    <row r="19022" spans="15:15" x14ac:dyDescent="0.25">
      <c r="O19022" s="20" t="str">
        <f>IF(N19022="","",COUNTIFS(RawData[[Date ]],N19022,RawData[Month List],$Q$6,RawData[Tour/Site],$Q$2,RawData[[Picker ID ]],$Q$3,RawData[Checker ID],$Q$4,RawData[[Error Type ]],$Q$5))</f>
        <v/>
      </c>
    </row>
    <row r="19023" spans="15:15" x14ac:dyDescent="0.25">
      <c r="O19023" s="20" t="str">
        <f>IF(N19023="","",COUNTIFS(RawData[[Date ]],N19023,RawData[Month List],$Q$6,RawData[Tour/Site],$Q$2,RawData[[Picker ID ]],$Q$3,RawData[Checker ID],$Q$4,RawData[[Error Type ]],$Q$5))</f>
        <v/>
      </c>
    </row>
    <row r="19024" spans="15:15" x14ac:dyDescent="0.25">
      <c r="O19024" s="20" t="str">
        <f>IF(N19024="","",COUNTIFS(RawData[[Date ]],N19024,RawData[Month List],$Q$6,RawData[Tour/Site],$Q$2,RawData[[Picker ID ]],$Q$3,RawData[Checker ID],$Q$4,RawData[[Error Type ]],$Q$5))</f>
        <v/>
      </c>
    </row>
    <row r="19025" spans="15:15" x14ac:dyDescent="0.25">
      <c r="O19025" s="20" t="str">
        <f>IF(N19025="","",COUNTIFS(RawData[[Date ]],N19025,RawData[Month List],$Q$6,RawData[Tour/Site],$Q$2,RawData[[Picker ID ]],$Q$3,RawData[Checker ID],$Q$4,RawData[[Error Type ]],$Q$5))</f>
        <v/>
      </c>
    </row>
    <row r="19026" spans="15:15" x14ac:dyDescent="0.25">
      <c r="O19026" s="20" t="str">
        <f>IF(N19026="","",COUNTIFS(RawData[[Date ]],N19026,RawData[Month List],$Q$6,RawData[Tour/Site],$Q$2,RawData[[Picker ID ]],$Q$3,RawData[Checker ID],$Q$4,RawData[[Error Type ]],$Q$5))</f>
        <v/>
      </c>
    </row>
    <row r="19027" spans="15:15" x14ac:dyDescent="0.25">
      <c r="O19027" s="20" t="str">
        <f>IF(N19027="","",COUNTIFS(RawData[[Date ]],N19027,RawData[Month List],$Q$6,RawData[Tour/Site],$Q$2,RawData[[Picker ID ]],$Q$3,RawData[Checker ID],$Q$4,RawData[[Error Type ]],$Q$5))</f>
        <v/>
      </c>
    </row>
    <row r="19028" spans="15:15" x14ac:dyDescent="0.25">
      <c r="O19028" s="20" t="str">
        <f>IF(N19028="","",COUNTIFS(RawData[[Date ]],N19028,RawData[Month List],$Q$6,RawData[Tour/Site],$Q$2,RawData[[Picker ID ]],$Q$3,RawData[Checker ID],$Q$4,RawData[[Error Type ]],$Q$5))</f>
        <v/>
      </c>
    </row>
    <row r="19029" spans="15:15" x14ac:dyDescent="0.25">
      <c r="O19029" s="20" t="str">
        <f>IF(N19029="","",COUNTIFS(RawData[[Date ]],N19029,RawData[Month List],$Q$6,RawData[Tour/Site],$Q$2,RawData[[Picker ID ]],$Q$3,RawData[Checker ID],$Q$4,RawData[[Error Type ]],$Q$5))</f>
        <v/>
      </c>
    </row>
    <row r="19030" spans="15:15" x14ac:dyDescent="0.25">
      <c r="O19030" s="20" t="str">
        <f>IF(N19030="","",COUNTIFS(RawData[[Date ]],N19030,RawData[Month List],$Q$6,RawData[Tour/Site],$Q$2,RawData[[Picker ID ]],$Q$3,RawData[Checker ID],$Q$4,RawData[[Error Type ]],$Q$5))</f>
        <v/>
      </c>
    </row>
    <row r="19031" spans="15:15" x14ac:dyDescent="0.25">
      <c r="O19031" s="20" t="str">
        <f>IF(N19031="","",COUNTIFS(RawData[[Date ]],N19031,RawData[Month List],$Q$6,RawData[Tour/Site],$Q$2,RawData[[Picker ID ]],$Q$3,RawData[Checker ID],$Q$4,RawData[[Error Type ]],$Q$5))</f>
        <v/>
      </c>
    </row>
    <row r="19032" spans="15:15" x14ac:dyDescent="0.25">
      <c r="O19032" s="20" t="str">
        <f>IF(N19032="","",COUNTIFS(RawData[[Date ]],N19032,RawData[Month List],$Q$6,RawData[Tour/Site],$Q$2,RawData[[Picker ID ]],$Q$3,RawData[Checker ID],$Q$4,RawData[[Error Type ]],$Q$5))</f>
        <v/>
      </c>
    </row>
    <row r="19033" spans="15:15" x14ac:dyDescent="0.25">
      <c r="O19033" s="20" t="str">
        <f>IF(N19033="","",COUNTIFS(RawData[[Date ]],N19033,RawData[Month List],$Q$6,RawData[Tour/Site],$Q$2,RawData[[Picker ID ]],$Q$3,RawData[Checker ID],$Q$4,RawData[[Error Type ]],$Q$5))</f>
        <v/>
      </c>
    </row>
    <row r="19034" spans="15:15" x14ac:dyDescent="0.25">
      <c r="O19034" s="20" t="str">
        <f>IF(N19034="","",COUNTIFS(RawData[[Date ]],N19034,RawData[Month List],$Q$6,RawData[Tour/Site],$Q$2,RawData[[Picker ID ]],$Q$3,RawData[Checker ID],$Q$4,RawData[[Error Type ]],$Q$5))</f>
        <v/>
      </c>
    </row>
    <row r="19035" spans="15:15" x14ac:dyDescent="0.25">
      <c r="O19035" s="20" t="str">
        <f>IF(N19035="","",COUNTIFS(RawData[[Date ]],N19035,RawData[Month List],$Q$6,RawData[Tour/Site],$Q$2,RawData[[Picker ID ]],$Q$3,RawData[Checker ID],$Q$4,RawData[[Error Type ]],$Q$5))</f>
        <v/>
      </c>
    </row>
    <row r="19036" spans="15:15" x14ac:dyDescent="0.25">
      <c r="O19036" s="20" t="str">
        <f>IF(N19036="","",COUNTIFS(RawData[[Date ]],N19036,RawData[Month List],$Q$6,RawData[Tour/Site],$Q$2,RawData[[Picker ID ]],$Q$3,RawData[Checker ID],$Q$4,RawData[[Error Type ]],$Q$5))</f>
        <v/>
      </c>
    </row>
    <row r="19037" spans="15:15" x14ac:dyDescent="0.25">
      <c r="O19037" s="20" t="str">
        <f>IF(N19037="","",COUNTIFS(RawData[[Date ]],N19037,RawData[Month List],$Q$6,RawData[Tour/Site],$Q$2,RawData[[Picker ID ]],$Q$3,RawData[Checker ID],$Q$4,RawData[[Error Type ]],$Q$5))</f>
        <v/>
      </c>
    </row>
    <row r="19038" spans="15:15" x14ac:dyDescent="0.25">
      <c r="O19038" s="20" t="str">
        <f>IF(N19038="","",COUNTIFS(RawData[[Date ]],N19038,RawData[Month List],$Q$6,RawData[Tour/Site],$Q$2,RawData[[Picker ID ]],$Q$3,RawData[Checker ID],$Q$4,RawData[[Error Type ]],$Q$5))</f>
        <v/>
      </c>
    </row>
    <row r="19039" spans="15:15" x14ac:dyDescent="0.25">
      <c r="O19039" s="20" t="str">
        <f>IF(N19039="","",COUNTIFS(RawData[[Date ]],N19039,RawData[Month List],$Q$6,RawData[Tour/Site],$Q$2,RawData[[Picker ID ]],$Q$3,RawData[Checker ID],$Q$4,RawData[[Error Type ]],$Q$5))</f>
        <v/>
      </c>
    </row>
    <row r="19040" spans="15:15" x14ac:dyDescent="0.25">
      <c r="O19040" s="20" t="str">
        <f>IF(N19040="","",COUNTIFS(RawData[[Date ]],N19040,RawData[Month List],$Q$6,RawData[Tour/Site],$Q$2,RawData[[Picker ID ]],$Q$3,RawData[Checker ID],$Q$4,RawData[[Error Type ]],$Q$5))</f>
        <v/>
      </c>
    </row>
    <row r="19041" spans="15:15" x14ac:dyDescent="0.25">
      <c r="O19041" s="20" t="str">
        <f>IF(N19041="","",COUNTIFS(RawData[[Date ]],N19041,RawData[Month List],$Q$6,RawData[Tour/Site],$Q$2,RawData[[Picker ID ]],$Q$3,RawData[Checker ID],$Q$4,RawData[[Error Type ]],$Q$5))</f>
        <v/>
      </c>
    </row>
    <row r="19042" spans="15:15" x14ac:dyDescent="0.25">
      <c r="O19042" s="20" t="str">
        <f>IF(N19042="","",COUNTIFS(RawData[[Date ]],N19042,RawData[Month List],$Q$6,RawData[Tour/Site],$Q$2,RawData[[Picker ID ]],$Q$3,RawData[Checker ID],$Q$4,RawData[[Error Type ]],$Q$5))</f>
        <v/>
      </c>
    </row>
    <row r="19043" spans="15:15" x14ac:dyDescent="0.25">
      <c r="O19043" s="20" t="str">
        <f>IF(N19043="","",COUNTIFS(RawData[[Date ]],N19043,RawData[Month List],$Q$6,RawData[Tour/Site],$Q$2,RawData[[Picker ID ]],$Q$3,RawData[Checker ID],$Q$4,RawData[[Error Type ]],$Q$5))</f>
        <v/>
      </c>
    </row>
    <row r="19044" spans="15:15" x14ac:dyDescent="0.25">
      <c r="O19044" s="20" t="str">
        <f>IF(N19044="","",COUNTIFS(RawData[[Date ]],N19044,RawData[Month List],$Q$6,RawData[Tour/Site],$Q$2,RawData[[Picker ID ]],$Q$3,RawData[Checker ID],$Q$4,RawData[[Error Type ]],$Q$5))</f>
        <v/>
      </c>
    </row>
    <row r="19045" spans="15:15" x14ac:dyDescent="0.25">
      <c r="O19045" s="20" t="str">
        <f>IF(N19045="","",COUNTIFS(RawData[[Date ]],N19045,RawData[Month List],$Q$6,RawData[Tour/Site],$Q$2,RawData[[Picker ID ]],$Q$3,RawData[Checker ID],$Q$4,RawData[[Error Type ]],$Q$5))</f>
        <v/>
      </c>
    </row>
    <row r="19046" spans="15:15" x14ac:dyDescent="0.25">
      <c r="O19046" s="20" t="str">
        <f>IF(N19046="","",COUNTIFS(RawData[[Date ]],N19046,RawData[Month List],$Q$6,RawData[Tour/Site],$Q$2,RawData[[Picker ID ]],$Q$3,RawData[Checker ID],$Q$4,RawData[[Error Type ]],$Q$5))</f>
        <v/>
      </c>
    </row>
    <row r="19047" spans="15:15" x14ac:dyDescent="0.25">
      <c r="O19047" s="20" t="str">
        <f>IF(N19047="","",COUNTIFS(RawData[[Date ]],N19047,RawData[Month List],$Q$6,RawData[Tour/Site],$Q$2,RawData[[Picker ID ]],$Q$3,RawData[Checker ID],$Q$4,RawData[[Error Type ]],$Q$5))</f>
        <v/>
      </c>
    </row>
    <row r="19048" spans="15:15" x14ac:dyDescent="0.25">
      <c r="O19048" s="20" t="str">
        <f>IF(N19048="","",COUNTIFS(RawData[[Date ]],N19048,RawData[Month List],$Q$6,RawData[Tour/Site],$Q$2,RawData[[Picker ID ]],$Q$3,RawData[Checker ID],$Q$4,RawData[[Error Type ]],$Q$5))</f>
        <v/>
      </c>
    </row>
    <row r="19049" spans="15:15" x14ac:dyDescent="0.25">
      <c r="O19049" s="20" t="str">
        <f>IF(N19049="","",COUNTIFS(RawData[[Date ]],N19049,RawData[Month List],$Q$6,RawData[Tour/Site],$Q$2,RawData[[Picker ID ]],$Q$3,RawData[Checker ID],$Q$4,RawData[[Error Type ]],$Q$5))</f>
        <v/>
      </c>
    </row>
    <row r="19050" spans="15:15" x14ac:dyDescent="0.25">
      <c r="O19050" s="20" t="str">
        <f>IF(N19050="","",COUNTIFS(RawData[[Date ]],N19050,RawData[Month List],$Q$6,RawData[Tour/Site],$Q$2,RawData[[Picker ID ]],$Q$3,RawData[Checker ID],$Q$4,RawData[[Error Type ]],$Q$5))</f>
        <v/>
      </c>
    </row>
    <row r="19051" spans="15:15" x14ac:dyDescent="0.25">
      <c r="O19051" s="20" t="str">
        <f>IF(N19051="","",COUNTIFS(RawData[[Date ]],N19051,RawData[Month List],$Q$6,RawData[Tour/Site],$Q$2,RawData[[Picker ID ]],$Q$3,RawData[Checker ID],$Q$4,RawData[[Error Type ]],$Q$5))</f>
        <v/>
      </c>
    </row>
    <row r="19052" spans="15:15" x14ac:dyDescent="0.25">
      <c r="O19052" s="20" t="str">
        <f>IF(N19052="","",COUNTIFS(RawData[[Date ]],N19052,RawData[Month List],$Q$6,RawData[Tour/Site],$Q$2,RawData[[Picker ID ]],$Q$3,RawData[Checker ID],$Q$4,RawData[[Error Type ]],$Q$5))</f>
        <v/>
      </c>
    </row>
    <row r="19053" spans="15:15" x14ac:dyDescent="0.25">
      <c r="O19053" s="20" t="str">
        <f>IF(N19053="","",COUNTIFS(RawData[[Date ]],N19053,RawData[Month List],$Q$6,RawData[Tour/Site],$Q$2,RawData[[Picker ID ]],$Q$3,RawData[Checker ID],$Q$4,RawData[[Error Type ]],$Q$5))</f>
        <v/>
      </c>
    </row>
    <row r="19054" spans="15:15" x14ac:dyDescent="0.25">
      <c r="O19054" s="20" t="str">
        <f>IF(N19054="","",COUNTIFS(RawData[[Date ]],N19054,RawData[Month List],$Q$6,RawData[Tour/Site],$Q$2,RawData[[Picker ID ]],$Q$3,RawData[Checker ID],$Q$4,RawData[[Error Type ]],$Q$5))</f>
        <v/>
      </c>
    </row>
    <row r="19055" spans="15:15" x14ac:dyDescent="0.25">
      <c r="O19055" s="20" t="str">
        <f>IF(N19055="","",COUNTIFS(RawData[[Date ]],N19055,RawData[Month List],$Q$6,RawData[Tour/Site],$Q$2,RawData[[Picker ID ]],$Q$3,RawData[Checker ID],$Q$4,RawData[[Error Type ]],$Q$5))</f>
        <v/>
      </c>
    </row>
    <row r="19056" spans="15:15" x14ac:dyDescent="0.25">
      <c r="O19056" s="20" t="str">
        <f>IF(N19056="","",COUNTIFS(RawData[[Date ]],N19056,RawData[Month List],$Q$6,RawData[Tour/Site],$Q$2,RawData[[Picker ID ]],$Q$3,RawData[Checker ID],$Q$4,RawData[[Error Type ]],$Q$5))</f>
        <v/>
      </c>
    </row>
    <row r="19057" spans="15:15" x14ac:dyDescent="0.25">
      <c r="O19057" s="20" t="str">
        <f>IF(N19057="","",COUNTIFS(RawData[[Date ]],N19057,RawData[Month List],$Q$6,RawData[Tour/Site],$Q$2,RawData[[Picker ID ]],$Q$3,RawData[Checker ID],$Q$4,RawData[[Error Type ]],$Q$5))</f>
        <v/>
      </c>
    </row>
    <row r="19058" spans="15:15" x14ac:dyDescent="0.25">
      <c r="O19058" s="20" t="str">
        <f>IF(N19058="","",COUNTIFS(RawData[[Date ]],N19058,RawData[Month List],$Q$6,RawData[Tour/Site],$Q$2,RawData[[Picker ID ]],$Q$3,RawData[Checker ID],$Q$4,RawData[[Error Type ]],$Q$5))</f>
        <v/>
      </c>
    </row>
    <row r="19059" spans="15:15" x14ac:dyDescent="0.25">
      <c r="O19059" s="20" t="str">
        <f>IF(N19059="","",COUNTIFS(RawData[[Date ]],N19059,RawData[Month List],$Q$6,RawData[Tour/Site],$Q$2,RawData[[Picker ID ]],$Q$3,RawData[Checker ID],$Q$4,RawData[[Error Type ]],$Q$5))</f>
        <v/>
      </c>
    </row>
    <row r="19060" spans="15:15" x14ac:dyDescent="0.25">
      <c r="O19060" s="20" t="str">
        <f>IF(N19060="","",COUNTIFS(RawData[[Date ]],N19060,RawData[Month List],$Q$6,RawData[Tour/Site],$Q$2,RawData[[Picker ID ]],$Q$3,RawData[Checker ID],$Q$4,RawData[[Error Type ]],$Q$5))</f>
        <v/>
      </c>
    </row>
    <row r="19061" spans="15:15" x14ac:dyDescent="0.25">
      <c r="O19061" s="20" t="str">
        <f>IF(N19061="","",COUNTIFS(RawData[[Date ]],N19061,RawData[Month List],$Q$6,RawData[Tour/Site],$Q$2,RawData[[Picker ID ]],$Q$3,RawData[Checker ID],$Q$4,RawData[[Error Type ]],$Q$5))</f>
        <v/>
      </c>
    </row>
    <row r="19062" spans="15:15" x14ac:dyDescent="0.25">
      <c r="O19062" s="20" t="str">
        <f>IF(N19062="","",COUNTIFS(RawData[[Date ]],N19062,RawData[Month List],$Q$6,RawData[Tour/Site],$Q$2,RawData[[Picker ID ]],$Q$3,RawData[Checker ID],$Q$4,RawData[[Error Type ]],$Q$5))</f>
        <v/>
      </c>
    </row>
    <row r="19063" spans="15:15" x14ac:dyDescent="0.25">
      <c r="O19063" s="20" t="str">
        <f>IF(N19063="","",COUNTIFS(RawData[[Date ]],N19063,RawData[Month List],$Q$6,RawData[Tour/Site],$Q$2,RawData[[Picker ID ]],$Q$3,RawData[Checker ID],$Q$4,RawData[[Error Type ]],$Q$5))</f>
        <v/>
      </c>
    </row>
    <row r="19064" spans="15:15" x14ac:dyDescent="0.25">
      <c r="O19064" s="20" t="str">
        <f>IF(N19064="","",COUNTIFS(RawData[[Date ]],N19064,RawData[Month List],$Q$6,RawData[Tour/Site],$Q$2,RawData[[Picker ID ]],$Q$3,RawData[Checker ID],$Q$4,RawData[[Error Type ]],$Q$5))</f>
        <v/>
      </c>
    </row>
    <row r="19065" spans="15:15" x14ac:dyDescent="0.25">
      <c r="O19065" s="20" t="str">
        <f>IF(N19065="","",COUNTIFS(RawData[[Date ]],N19065,RawData[Month List],$Q$6,RawData[Tour/Site],$Q$2,RawData[[Picker ID ]],$Q$3,RawData[Checker ID],$Q$4,RawData[[Error Type ]],$Q$5))</f>
        <v/>
      </c>
    </row>
    <row r="19066" spans="15:15" x14ac:dyDescent="0.25">
      <c r="O19066" s="20" t="str">
        <f>IF(N19066="","",COUNTIFS(RawData[[Date ]],N19066,RawData[Month List],$Q$6,RawData[Tour/Site],$Q$2,RawData[[Picker ID ]],$Q$3,RawData[Checker ID],$Q$4,RawData[[Error Type ]],$Q$5))</f>
        <v/>
      </c>
    </row>
    <row r="19067" spans="15:15" x14ac:dyDescent="0.25">
      <c r="O19067" s="20" t="str">
        <f>IF(N19067="","",COUNTIFS(RawData[[Date ]],N19067,RawData[Month List],$Q$6,RawData[Tour/Site],$Q$2,RawData[[Picker ID ]],$Q$3,RawData[Checker ID],$Q$4,RawData[[Error Type ]],$Q$5))</f>
        <v/>
      </c>
    </row>
    <row r="19068" spans="15:15" x14ac:dyDescent="0.25">
      <c r="O19068" s="20" t="str">
        <f>IF(N19068="","",COUNTIFS(RawData[[Date ]],N19068,RawData[Month List],$Q$6,RawData[Tour/Site],$Q$2,RawData[[Picker ID ]],$Q$3,RawData[Checker ID],$Q$4,RawData[[Error Type ]],$Q$5))</f>
        <v/>
      </c>
    </row>
    <row r="19069" spans="15:15" x14ac:dyDescent="0.25">
      <c r="O19069" s="20" t="str">
        <f>IF(N19069="","",COUNTIFS(RawData[[Date ]],N19069,RawData[Month List],$Q$6,RawData[Tour/Site],$Q$2,RawData[[Picker ID ]],$Q$3,RawData[Checker ID],$Q$4,RawData[[Error Type ]],$Q$5))</f>
        <v/>
      </c>
    </row>
    <row r="19070" spans="15:15" x14ac:dyDescent="0.25">
      <c r="O19070" s="20" t="str">
        <f>IF(N19070="","",COUNTIFS(RawData[[Date ]],N19070,RawData[Month List],$Q$6,RawData[Tour/Site],$Q$2,RawData[[Picker ID ]],$Q$3,RawData[Checker ID],$Q$4,RawData[[Error Type ]],$Q$5))</f>
        <v/>
      </c>
    </row>
    <row r="19071" spans="15:15" x14ac:dyDescent="0.25">
      <c r="O19071" s="20" t="str">
        <f>IF(N19071="","",COUNTIFS(RawData[[Date ]],N19071,RawData[Month List],$Q$6,RawData[Tour/Site],$Q$2,RawData[[Picker ID ]],$Q$3,RawData[Checker ID],$Q$4,RawData[[Error Type ]],$Q$5))</f>
        <v/>
      </c>
    </row>
    <row r="19072" spans="15:15" x14ac:dyDescent="0.25">
      <c r="O19072" s="20" t="str">
        <f>IF(N19072="","",COUNTIFS(RawData[[Date ]],N19072,RawData[Month List],$Q$6,RawData[Tour/Site],$Q$2,RawData[[Picker ID ]],$Q$3,RawData[Checker ID],$Q$4,RawData[[Error Type ]],$Q$5))</f>
        <v/>
      </c>
    </row>
    <row r="19073" spans="15:15" x14ac:dyDescent="0.25">
      <c r="O19073" s="20" t="str">
        <f>IF(N19073="","",COUNTIFS(RawData[[Date ]],N19073,RawData[Month List],$Q$6,RawData[Tour/Site],$Q$2,RawData[[Picker ID ]],$Q$3,RawData[Checker ID],$Q$4,RawData[[Error Type ]],$Q$5))</f>
        <v/>
      </c>
    </row>
    <row r="19074" spans="15:15" x14ac:dyDescent="0.25">
      <c r="O19074" s="20" t="str">
        <f>IF(N19074="","",COUNTIFS(RawData[[Date ]],N19074,RawData[Month List],$Q$6,RawData[Tour/Site],$Q$2,RawData[[Picker ID ]],$Q$3,RawData[Checker ID],$Q$4,RawData[[Error Type ]],$Q$5))</f>
        <v/>
      </c>
    </row>
    <row r="19075" spans="15:15" x14ac:dyDescent="0.25">
      <c r="O19075" s="20" t="str">
        <f>IF(N19075="","",COUNTIFS(RawData[[Date ]],N19075,RawData[Month List],$Q$6,RawData[Tour/Site],$Q$2,RawData[[Picker ID ]],$Q$3,RawData[Checker ID],$Q$4,RawData[[Error Type ]],$Q$5))</f>
        <v/>
      </c>
    </row>
    <row r="19076" spans="15:15" x14ac:dyDescent="0.25">
      <c r="O19076" s="20" t="str">
        <f>IF(N19076="","",COUNTIFS(RawData[[Date ]],N19076,RawData[Month List],$Q$6,RawData[Tour/Site],$Q$2,RawData[[Picker ID ]],$Q$3,RawData[Checker ID],$Q$4,RawData[[Error Type ]],$Q$5))</f>
        <v/>
      </c>
    </row>
    <row r="19077" spans="15:15" x14ac:dyDescent="0.25">
      <c r="O19077" s="20" t="str">
        <f>IF(N19077="","",COUNTIFS(RawData[[Date ]],N19077,RawData[Month List],$Q$6,RawData[Tour/Site],$Q$2,RawData[[Picker ID ]],$Q$3,RawData[Checker ID],$Q$4,RawData[[Error Type ]],$Q$5))</f>
        <v/>
      </c>
    </row>
    <row r="19078" spans="15:15" x14ac:dyDescent="0.25">
      <c r="O19078" s="20" t="str">
        <f>IF(N19078="","",COUNTIFS(RawData[[Date ]],N19078,RawData[Month List],$Q$6,RawData[Tour/Site],$Q$2,RawData[[Picker ID ]],$Q$3,RawData[Checker ID],$Q$4,RawData[[Error Type ]],$Q$5))</f>
        <v/>
      </c>
    </row>
    <row r="19079" spans="15:15" x14ac:dyDescent="0.25">
      <c r="O19079" s="20" t="str">
        <f>IF(N19079="","",COUNTIFS(RawData[[Date ]],N19079,RawData[Month List],$Q$6,RawData[Tour/Site],$Q$2,RawData[[Picker ID ]],$Q$3,RawData[Checker ID],$Q$4,RawData[[Error Type ]],$Q$5))</f>
        <v/>
      </c>
    </row>
    <row r="19080" spans="15:15" x14ac:dyDescent="0.25">
      <c r="O19080" s="20" t="str">
        <f>IF(N19080="","",COUNTIFS(RawData[[Date ]],N19080,RawData[Month List],$Q$6,RawData[Tour/Site],$Q$2,RawData[[Picker ID ]],$Q$3,RawData[Checker ID],$Q$4,RawData[[Error Type ]],$Q$5))</f>
        <v/>
      </c>
    </row>
    <row r="19081" spans="15:15" x14ac:dyDescent="0.25">
      <c r="O19081" s="20" t="str">
        <f>IF(N19081="","",COUNTIFS(RawData[[Date ]],N19081,RawData[Month List],$Q$6,RawData[Tour/Site],$Q$2,RawData[[Picker ID ]],$Q$3,RawData[Checker ID],$Q$4,RawData[[Error Type ]],$Q$5))</f>
        <v/>
      </c>
    </row>
    <row r="19082" spans="15:15" x14ac:dyDescent="0.25">
      <c r="O19082" s="20" t="str">
        <f>IF(N19082="","",COUNTIFS(RawData[[Date ]],N19082,RawData[Month List],$Q$6,RawData[Tour/Site],$Q$2,RawData[[Picker ID ]],$Q$3,RawData[Checker ID],$Q$4,RawData[[Error Type ]],$Q$5))</f>
        <v/>
      </c>
    </row>
    <row r="19083" spans="15:15" x14ac:dyDescent="0.25">
      <c r="O19083" s="20" t="str">
        <f>IF(N19083="","",COUNTIFS(RawData[[Date ]],N19083,RawData[Month List],$Q$6,RawData[Tour/Site],$Q$2,RawData[[Picker ID ]],$Q$3,RawData[Checker ID],$Q$4,RawData[[Error Type ]],$Q$5))</f>
        <v/>
      </c>
    </row>
    <row r="19084" spans="15:15" x14ac:dyDescent="0.25">
      <c r="O19084" s="20" t="str">
        <f>IF(N19084="","",COUNTIFS(RawData[[Date ]],N19084,RawData[Month List],$Q$6,RawData[Tour/Site],$Q$2,RawData[[Picker ID ]],$Q$3,RawData[Checker ID],$Q$4,RawData[[Error Type ]],$Q$5))</f>
        <v/>
      </c>
    </row>
    <row r="19085" spans="15:15" x14ac:dyDescent="0.25">
      <c r="O19085" s="20" t="str">
        <f>IF(N19085="","",COUNTIFS(RawData[[Date ]],N19085,RawData[Month List],$Q$6,RawData[Tour/Site],$Q$2,RawData[[Picker ID ]],$Q$3,RawData[Checker ID],$Q$4,RawData[[Error Type ]],$Q$5))</f>
        <v/>
      </c>
    </row>
    <row r="19086" spans="15:15" x14ac:dyDescent="0.25">
      <c r="O19086" s="20" t="str">
        <f>IF(N19086="","",COUNTIFS(RawData[[Date ]],N19086,RawData[Month List],$Q$6,RawData[Tour/Site],$Q$2,RawData[[Picker ID ]],$Q$3,RawData[Checker ID],$Q$4,RawData[[Error Type ]],$Q$5))</f>
        <v/>
      </c>
    </row>
    <row r="19087" spans="15:15" x14ac:dyDescent="0.25">
      <c r="O19087" s="20" t="str">
        <f>IF(N19087="","",COUNTIFS(RawData[[Date ]],N19087,RawData[Month List],$Q$6,RawData[Tour/Site],$Q$2,RawData[[Picker ID ]],$Q$3,RawData[Checker ID],$Q$4,RawData[[Error Type ]],$Q$5))</f>
        <v/>
      </c>
    </row>
    <row r="19088" spans="15:15" x14ac:dyDescent="0.25">
      <c r="O19088" s="20" t="str">
        <f>IF(N19088="","",COUNTIFS(RawData[[Date ]],N19088,RawData[Month List],$Q$6,RawData[Tour/Site],$Q$2,RawData[[Picker ID ]],$Q$3,RawData[Checker ID],$Q$4,RawData[[Error Type ]],$Q$5))</f>
        <v/>
      </c>
    </row>
    <row r="19089" spans="15:15" x14ac:dyDescent="0.25">
      <c r="O19089" s="20" t="str">
        <f>IF(N19089="","",COUNTIFS(RawData[[Date ]],N19089,RawData[Month List],$Q$6,RawData[Tour/Site],$Q$2,RawData[[Picker ID ]],$Q$3,RawData[Checker ID],$Q$4,RawData[[Error Type ]],$Q$5))</f>
        <v/>
      </c>
    </row>
    <row r="19090" spans="15:15" x14ac:dyDescent="0.25">
      <c r="O19090" s="20" t="str">
        <f>IF(N19090="","",COUNTIFS(RawData[[Date ]],N19090,RawData[Month List],$Q$6,RawData[Tour/Site],$Q$2,RawData[[Picker ID ]],$Q$3,RawData[Checker ID],$Q$4,RawData[[Error Type ]],$Q$5))</f>
        <v/>
      </c>
    </row>
    <row r="19091" spans="15:15" x14ac:dyDescent="0.25">
      <c r="O19091" s="20" t="str">
        <f>IF(N19091="","",COUNTIFS(RawData[[Date ]],N19091,RawData[Month List],$Q$6,RawData[Tour/Site],$Q$2,RawData[[Picker ID ]],$Q$3,RawData[Checker ID],$Q$4,RawData[[Error Type ]],$Q$5))</f>
        <v/>
      </c>
    </row>
    <row r="19092" spans="15:15" x14ac:dyDescent="0.25">
      <c r="O19092" s="20" t="str">
        <f>IF(N19092="","",COUNTIFS(RawData[[Date ]],N19092,RawData[Month List],$Q$6,RawData[Tour/Site],$Q$2,RawData[[Picker ID ]],$Q$3,RawData[Checker ID],$Q$4,RawData[[Error Type ]],$Q$5))</f>
        <v/>
      </c>
    </row>
    <row r="19093" spans="15:15" x14ac:dyDescent="0.25">
      <c r="O19093" s="20" t="str">
        <f>IF(N19093="","",COUNTIFS(RawData[[Date ]],N19093,RawData[Month List],$Q$6,RawData[Tour/Site],$Q$2,RawData[[Picker ID ]],$Q$3,RawData[Checker ID],$Q$4,RawData[[Error Type ]],$Q$5))</f>
        <v/>
      </c>
    </row>
    <row r="19094" spans="15:15" x14ac:dyDescent="0.25">
      <c r="O19094" s="20" t="str">
        <f>IF(N19094="","",COUNTIFS(RawData[[Date ]],N19094,RawData[Month List],$Q$6,RawData[Tour/Site],$Q$2,RawData[[Picker ID ]],$Q$3,RawData[Checker ID],$Q$4,RawData[[Error Type ]],$Q$5))</f>
        <v/>
      </c>
    </row>
    <row r="19095" spans="15:15" x14ac:dyDescent="0.25">
      <c r="O19095" s="20" t="str">
        <f>IF(N19095="","",COUNTIFS(RawData[[Date ]],N19095,RawData[Month List],$Q$6,RawData[Tour/Site],$Q$2,RawData[[Picker ID ]],$Q$3,RawData[Checker ID],$Q$4,RawData[[Error Type ]],$Q$5))</f>
        <v/>
      </c>
    </row>
    <row r="19096" spans="15:15" x14ac:dyDescent="0.25">
      <c r="O19096" s="20" t="str">
        <f>IF(N19096="","",COUNTIFS(RawData[[Date ]],N19096,RawData[Month List],$Q$6,RawData[Tour/Site],$Q$2,RawData[[Picker ID ]],$Q$3,RawData[Checker ID],$Q$4,RawData[[Error Type ]],$Q$5))</f>
        <v/>
      </c>
    </row>
    <row r="19097" spans="15:15" x14ac:dyDescent="0.25">
      <c r="O19097" s="20" t="str">
        <f>IF(N19097="","",COUNTIFS(RawData[[Date ]],N19097,RawData[Month List],$Q$6,RawData[Tour/Site],$Q$2,RawData[[Picker ID ]],$Q$3,RawData[Checker ID],$Q$4,RawData[[Error Type ]],$Q$5))</f>
        <v/>
      </c>
    </row>
    <row r="19098" spans="15:15" x14ac:dyDescent="0.25">
      <c r="O19098" s="20" t="str">
        <f>IF(N19098="","",COUNTIFS(RawData[[Date ]],N19098,RawData[Month List],$Q$6,RawData[Tour/Site],$Q$2,RawData[[Picker ID ]],$Q$3,RawData[Checker ID],$Q$4,RawData[[Error Type ]],$Q$5))</f>
        <v/>
      </c>
    </row>
    <row r="19099" spans="15:15" x14ac:dyDescent="0.25">
      <c r="O19099" s="20" t="str">
        <f>IF(N19099="","",COUNTIFS(RawData[[Date ]],N19099,RawData[Month List],$Q$6,RawData[Tour/Site],$Q$2,RawData[[Picker ID ]],$Q$3,RawData[Checker ID],$Q$4,RawData[[Error Type ]],$Q$5))</f>
        <v/>
      </c>
    </row>
    <row r="19100" spans="15:15" x14ac:dyDescent="0.25">
      <c r="O19100" s="20" t="str">
        <f>IF(N19100="","",COUNTIFS(RawData[[Date ]],N19100,RawData[Month List],$Q$6,RawData[Tour/Site],$Q$2,RawData[[Picker ID ]],$Q$3,RawData[Checker ID],$Q$4,RawData[[Error Type ]],$Q$5))</f>
        <v/>
      </c>
    </row>
    <row r="19101" spans="15:15" x14ac:dyDescent="0.25">
      <c r="O19101" s="20" t="str">
        <f>IF(N19101="","",COUNTIFS(RawData[[Date ]],N19101,RawData[Month List],$Q$6,RawData[Tour/Site],$Q$2,RawData[[Picker ID ]],$Q$3,RawData[Checker ID],$Q$4,RawData[[Error Type ]],$Q$5))</f>
        <v/>
      </c>
    </row>
    <row r="19102" spans="15:15" x14ac:dyDescent="0.25">
      <c r="O19102" s="20" t="str">
        <f>IF(N19102="","",COUNTIFS(RawData[[Date ]],N19102,RawData[Month List],$Q$6,RawData[Tour/Site],$Q$2,RawData[[Picker ID ]],$Q$3,RawData[Checker ID],$Q$4,RawData[[Error Type ]],$Q$5))</f>
        <v/>
      </c>
    </row>
    <row r="19103" spans="15:15" x14ac:dyDescent="0.25">
      <c r="O19103" s="20" t="str">
        <f>IF(N19103="","",COUNTIFS(RawData[[Date ]],N19103,RawData[Month List],$Q$6,RawData[Tour/Site],$Q$2,RawData[[Picker ID ]],$Q$3,RawData[Checker ID],$Q$4,RawData[[Error Type ]],$Q$5))</f>
        <v/>
      </c>
    </row>
    <row r="19104" spans="15:15" x14ac:dyDescent="0.25">
      <c r="O19104" s="20" t="str">
        <f>IF(N19104="","",COUNTIFS(RawData[[Date ]],N19104,RawData[Month List],$Q$6,RawData[Tour/Site],$Q$2,RawData[[Picker ID ]],$Q$3,RawData[Checker ID],$Q$4,RawData[[Error Type ]],$Q$5))</f>
        <v/>
      </c>
    </row>
    <row r="19105" spans="15:15" x14ac:dyDescent="0.25">
      <c r="O19105" s="20" t="str">
        <f>IF(N19105="","",COUNTIFS(RawData[[Date ]],N19105,RawData[Month List],$Q$6,RawData[Tour/Site],$Q$2,RawData[[Picker ID ]],$Q$3,RawData[Checker ID],$Q$4,RawData[[Error Type ]],$Q$5))</f>
        <v/>
      </c>
    </row>
    <row r="19106" spans="15:15" x14ac:dyDescent="0.25">
      <c r="O19106" s="20" t="str">
        <f>IF(N19106="","",COUNTIFS(RawData[[Date ]],N19106,RawData[Month List],$Q$6,RawData[Tour/Site],$Q$2,RawData[[Picker ID ]],$Q$3,RawData[Checker ID],$Q$4,RawData[[Error Type ]],$Q$5))</f>
        <v/>
      </c>
    </row>
    <row r="19107" spans="15:15" x14ac:dyDescent="0.25">
      <c r="O19107" s="20" t="str">
        <f>IF(N19107="","",COUNTIFS(RawData[[Date ]],N19107,RawData[Month List],$Q$6,RawData[Tour/Site],$Q$2,RawData[[Picker ID ]],$Q$3,RawData[Checker ID],$Q$4,RawData[[Error Type ]],$Q$5))</f>
        <v/>
      </c>
    </row>
    <row r="19108" spans="15:15" x14ac:dyDescent="0.25">
      <c r="O19108" s="20" t="str">
        <f>IF(N19108="","",COUNTIFS(RawData[[Date ]],N19108,RawData[Month List],$Q$6,RawData[Tour/Site],$Q$2,RawData[[Picker ID ]],$Q$3,RawData[Checker ID],$Q$4,RawData[[Error Type ]],$Q$5))</f>
        <v/>
      </c>
    </row>
    <row r="19109" spans="15:15" x14ac:dyDescent="0.25">
      <c r="O19109" s="20" t="str">
        <f>IF(N19109="","",COUNTIFS(RawData[[Date ]],N19109,RawData[Month List],$Q$6,RawData[Tour/Site],$Q$2,RawData[[Picker ID ]],$Q$3,RawData[Checker ID],$Q$4,RawData[[Error Type ]],$Q$5))</f>
        <v/>
      </c>
    </row>
    <row r="19110" spans="15:15" x14ac:dyDescent="0.25">
      <c r="O19110" s="20" t="str">
        <f>IF(N19110="","",COUNTIFS(RawData[[Date ]],N19110,RawData[Month List],$Q$6,RawData[Tour/Site],$Q$2,RawData[[Picker ID ]],$Q$3,RawData[Checker ID],$Q$4,RawData[[Error Type ]],$Q$5))</f>
        <v/>
      </c>
    </row>
    <row r="19111" spans="15:15" x14ac:dyDescent="0.25">
      <c r="O19111" s="20" t="str">
        <f>IF(N19111="","",COUNTIFS(RawData[[Date ]],N19111,RawData[Month List],$Q$6,RawData[Tour/Site],$Q$2,RawData[[Picker ID ]],$Q$3,RawData[Checker ID],$Q$4,RawData[[Error Type ]],$Q$5))</f>
        <v/>
      </c>
    </row>
    <row r="19112" spans="15:15" x14ac:dyDescent="0.25">
      <c r="O19112" s="20" t="str">
        <f>IF(N19112="","",COUNTIFS(RawData[[Date ]],N19112,RawData[Month List],$Q$6,RawData[Tour/Site],$Q$2,RawData[[Picker ID ]],$Q$3,RawData[Checker ID],$Q$4,RawData[[Error Type ]],$Q$5))</f>
        <v/>
      </c>
    </row>
    <row r="19113" spans="15:15" x14ac:dyDescent="0.25">
      <c r="O19113" s="20" t="str">
        <f>IF(N19113="","",COUNTIFS(RawData[[Date ]],N19113,RawData[Month List],$Q$6,RawData[Tour/Site],$Q$2,RawData[[Picker ID ]],$Q$3,RawData[Checker ID],$Q$4,RawData[[Error Type ]],$Q$5))</f>
        <v/>
      </c>
    </row>
    <row r="19114" spans="15:15" x14ac:dyDescent="0.25">
      <c r="O19114" s="20" t="str">
        <f>IF(N19114="","",COUNTIFS(RawData[[Date ]],N19114,RawData[Month List],$Q$6,RawData[Tour/Site],$Q$2,RawData[[Picker ID ]],$Q$3,RawData[Checker ID],$Q$4,RawData[[Error Type ]],$Q$5))</f>
        <v/>
      </c>
    </row>
    <row r="19115" spans="15:15" x14ac:dyDescent="0.25">
      <c r="O19115" s="20" t="str">
        <f>IF(N19115="","",COUNTIFS(RawData[[Date ]],N19115,RawData[Month List],$Q$6,RawData[Tour/Site],$Q$2,RawData[[Picker ID ]],$Q$3,RawData[Checker ID],$Q$4,RawData[[Error Type ]],$Q$5))</f>
        <v/>
      </c>
    </row>
    <row r="19116" spans="15:15" x14ac:dyDescent="0.25">
      <c r="O19116" s="20" t="str">
        <f>IF(N19116="","",COUNTIFS(RawData[[Date ]],N19116,RawData[Month List],$Q$6,RawData[Tour/Site],$Q$2,RawData[[Picker ID ]],$Q$3,RawData[Checker ID],$Q$4,RawData[[Error Type ]],$Q$5))</f>
        <v/>
      </c>
    </row>
    <row r="19117" spans="15:15" x14ac:dyDescent="0.25">
      <c r="O19117" s="20" t="str">
        <f>IF(N19117="","",COUNTIFS(RawData[[Date ]],N19117,RawData[Month List],$Q$6,RawData[Tour/Site],$Q$2,RawData[[Picker ID ]],$Q$3,RawData[Checker ID],$Q$4,RawData[[Error Type ]],$Q$5))</f>
        <v/>
      </c>
    </row>
    <row r="19118" spans="15:15" x14ac:dyDescent="0.25">
      <c r="O19118" s="20" t="str">
        <f>IF(N19118="","",COUNTIFS(RawData[[Date ]],N19118,RawData[Month List],$Q$6,RawData[Tour/Site],$Q$2,RawData[[Picker ID ]],$Q$3,RawData[Checker ID],$Q$4,RawData[[Error Type ]],$Q$5))</f>
        <v/>
      </c>
    </row>
    <row r="19119" spans="15:15" x14ac:dyDescent="0.25">
      <c r="O19119" s="20" t="str">
        <f>IF(N19119="","",COUNTIFS(RawData[[Date ]],N19119,RawData[Month List],$Q$6,RawData[Tour/Site],$Q$2,RawData[[Picker ID ]],$Q$3,RawData[Checker ID],$Q$4,RawData[[Error Type ]],$Q$5))</f>
        <v/>
      </c>
    </row>
    <row r="19120" spans="15:15" x14ac:dyDescent="0.25">
      <c r="O19120" s="20" t="str">
        <f>IF(N19120="","",COUNTIFS(RawData[[Date ]],N19120,RawData[Month List],$Q$6,RawData[Tour/Site],$Q$2,RawData[[Picker ID ]],$Q$3,RawData[Checker ID],$Q$4,RawData[[Error Type ]],$Q$5))</f>
        <v/>
      </c>
    </row>
    <row r="19121" spans="15:15" x14ac:dyDescent="0.25">
      <c r="O19121" s="20" t="str">
        <f>IF(N19121="","",COUNTIFS(RawData[[Date ]],N19121,RawData[Month List],$Q$6,RawData[Tour/Site],$Q$2,RawData[[Picker ID ]],$Q$3,RawData[Checker ID],$Q$4,RawData[[Error Type ]],$Q$5))</f>
        <v/>
      </c>
    </row>
    <row r="19122" spans="15:15" x14ac:dyDescent="0.25">
      <c r="O19122" s="20" t="str">
        <f>IF(N19122="","",COUNTIFS(RawData[[Date ]],N19122,RawData[Month List],$Q$6,RawData[Tour/Site],$Q$2,RawData[[Picker ID ]],$Q$3,RawData[Checker ID],$Q$4,RawData[[Error Type ]],$Q$5))</f>
        <v/>
      </c>
    </row>
    <row r="19123" spans="15:15" x14ac:dyDescent="0.25">
      <c r="O19123" s="20" t="str">
        <f>IF(N19123="","",COUNTIFS(RawData[[Date ]],N19123,RawData[Month List],$Q$6,RawData[Tour/Site],$Q$2,RawData[[Picker ID ]],$Q$3,RawData[Checker ID],$Q$4,RawData[[Error Type ]],$Q$5))</f>
        <v/>
      </c>
    </row>
    <row r="19124" spans="15:15" x14ac:dyDescent="0.25">
      <c r="O19124" s="20" t="str">
        <f>IF(N19124="","",COUNTIFS(RawData[[Date ]],N19124,RawData[Month List],$Q$6,RawData[Tour/Site],$Q$2,RawData[[Picker ID ]],$Q$3,RawData[Checker ID],$Q$4,RawData[[Error Type ]],$Q$5))</f>
        <v/>
      </c>
    </row>
    <row r="19125" spans="15:15" x14ac:dyDescent="0.25">
      <c r="O19125" s="20" t="str">
        <f>IF(N19125="","",COUNTIFS(RawData[[Date ]],N19125,RawData[Month List],$Q$6,RawData[Tour/Site],$Q$2,RawData[[Picker ID ]],$Q$3,RawData[Checker ID],$Q$4,RawData[[Error Type ]],$Q$5))</f>
        <v/>
      </c>
    </row>
    <row r="19126" spans="15:15" x14ac:dyDescent="0.25">
      <c r="O19126" s="20" t="str">
        <f>IF(N19126="","",COUNTIFS(RawData[[Date ]],N19126,RawData[Month List],$Q$6,RawData[Tour/Site],$Q$2,RawData[[Picker ID ]],$Q$3,RawData[Checker ID],$Q$4,RawData[[Error Type ]],$Q$5))</f>
        <v/>
      </c>
    </row>
    <row r="19127" spans="15:15" x14ac:dyDescent="0.25">
      <c r="O19127" s="20" t="str">
        <f>IF(N19127="","",COUNTIFS(RawData[[Date ]],N19127,RawData[Month List],$Q$6,RawData[Tour/Site],$Q$2,RawData[[Picker ID ]],$Q$3,RawData[Checker ID],$Q$4,RawData[[Error Type ]],$Q$5))</f>
        <v/>
      </c>
    </row>
    <row r="19128" spans="15:15" x14ac:dyDescent="0.25">
      <c r="O19128" s="20" t="str">
        <f>IF(N19128="","",COUNTIFS(RawData[[Date ]],N19128,RawData[Month List],$Q$6,RawData[Tour/Site],$Q$2,RawData[[Picker ID ]],$Q$3,RawData[Checker ID],$Q$4,RawData[[Error Type ]],$Q$5))</f>
        <v/>
      </c>
    </row>
    <row r="19129" spans="15:15" x14ac:dyDescent="0.25">
      <c r="O19129" s="20" t="str">
        <f>IF(N19129="","",COUNTIFS(RawData[[Date ]],N19129,RawData[Month List],$Q$6,RawData[Tour/Site],$Q$2,RawData[[Picker ID ]],$Q$3,RawData[Checker ID],$Q$4,RawData[[Error Type ]],$Q$5))</f>
        <v/>
      </c>
    </row>
    <row r="19130" spans="15:15" x14ac:dyDescent="0.25">
      <c r="O19130" s="20" t="str">
        <f>IF(N19130="","",COUNTIFS(RawData[[Date ]],N19130,RawData[Month List],$Q$6,RawData[Tour/Site],$Q$2,RawData[[Picker ID ]],$Q$3,RawData[Checker ID],$Q$4,RawData[[Error Type ]],$Q$5))</f>
        <v/>
      </c>
    </row>
    <row r="19131" spans="15:15" x14ac:dyDescent="0.25">
      <c r="O19131" s="20" t="str">
        <f>IF(N19131="","",COUNTIFS(RawData[[Date ]],N19131,RawData[Month List],$Q$6,RawData[Tour/Site],$Q$2,RawData[[Picker ID ]],$Q$3,RawData[Checker ID],$Q$4,RawData[[Error Type ]],$Q$5))</f>
        <v/>
      </c>
    </row>
    <row r="19132" spans="15:15" x14ac:dyDescent="0.25">
      <c r="O19132" s="20" t="str">
        <f>IF(N19132="","",COUNTIFS(RawData[[Date ]],N19132,RawData[Month List],$Q$6,RawData[Tour/Site],$Q$2,RawData[[Picker ID ]],$Q$3,RawData[Checker ID],$Q$4,RawData[[Error Type ]],$Q$5))</f>
        <v/>
      </c>
    </row>
    <row r="19133" spans="15:15" x14ac:dyDescent="0.25">
      <c r="O19133" s="20" t="str">
        <f>IF(N19133="","",COUNTIFS(RawData[[Date ]],N19133,RawData[Month List],$Q$6,RawData[Tour/Site],$Q$2,RawData[[Picker ID ]],$Q$3,RawData[Checker ID],$Q$4,RawData[[Error Type ]],$Q$5))</f>
        <v/>
      </c>
    </row>
    <row r="19134" spans="15:15" x14ac:dyDescent="0.25">
      <c r="O19134" s="20" t="str">
        <f>IF(N19134="","",COUNTIFS(RawData[[Date ]],N19134,RawData[Month List],$Q$6,RawData[Tour/Site],$Q$2,RawData[[Picker ID ]],$Q$3,RawData[Checker ID],$Q$4,RawData[[Error Type ]],$Q$5))</f>
        <v/>
      </c>
    </row>
    <row r="19135" spans="15:15" x14ac:dyDescent="0.25">
      <c r="O19135" s="20" t="str">
        <f>IF(N19135="","",COUNTIFS(RawData[[Date ]],N19135,RawData[Month List],$Q$6,RawData[Tour/Site],$Q$2,RawData[[Picker ID ]],$Q$3,RawData[Checker ID],$Q$4,RawData[[Error Type ]],$Q$5))</f>
        <v/>
      </c>
    </row>
    <row r="19136" spans="15:15" x14ac:dyDescent="0.25">
      <c r="O19136" s="20" t="str">
        <f>IF(N19136="","",COUNTIFS(RawData[[Date ]],N19136,RawData[Month List],$Q$6,RawData[Tour/Site],$Q$2,RawData[[Picker ID ]],$Q$3,RawData[Checker ID],$Q$4,RawData[[Error Type ]],$Q$5))</f>
        <v/>
      </c>
    </row>
    <row r="19137" spans="15:15" x14ac:dyDescent="0.25">
      <c r="O19137" s="20" t="str">
        <f>IF(N19137="","",COUNTIFS(RawData[[Date ]],N19137,RawData[Month List],$Q$6,RawData[Tour/Site],$Q$2,RawData[[Picker ID ]],$Q$3,RawData[Checker ID],$Q$4,RawData[[Error Type ]],$Q$5))</f>
        <v/>
      </c>
    </row>
    <row r="19138" spans="15:15" x14ac:dyDescent="0.25">
      <c r="O19138" s="20" t="str">
        <f>IF(N19138="","",COUNTIFS(RawData[[Date ]],N19138,RawData[Month List],$Q$6,RawData[Tour/Site],$Q$2,RawData[[Picker ID ]],$Q$3,RawData[Checker ID],$Q$4,RawData[[Error Type ]],$Q$5))</f>
        <v/>
      </c>
    </row>
    <row r="19139" spans="15:15" x14ac:dyDescent="0.25">
      <c r="O19139" s="20" t="str">
        <f>IF(N19139="","",COUNTIFS(RawData[[Date ]],N19139,RawData[Month List],$Q$6,RawData[Tour/Site],$Q$2,RawData[[Picker ID ]],$Q$3,RawData[Checker ID],$Q$4,RawData[[Error Type ]],$Q$5))</f>
        <v/>
      </c>
    </row>
    <row r="19140" spans="15:15" x14ac:dyDescent="0.25">
      <c r="O19140" s="20" t="str">
        <f>IF(N19140="","",COUNTIFS(RawData[[Date ]],N19140,RawData[Month List],$Q$6,RawData[Tour/Site],$Q$2,RawData[[Picker ID ]],$Q$3,RawData[Checker ID],$Q$4,RawData[[Error Type ]],$Q$5))</f>
        <v/>
      </c>
    </row>
    <row r="19141" spans="15:15" x14ac:dyDescent="0.25">
      <c r="O19141" s="20" t="str">
        <f>IF(N19141="","",COUNTIFS(RawData[[Date ]],N19141,RawData[Month List],$Q$6,RawData[Tour/Site],$Q$2,RawData[[Picker ID ]],$Q$3,RawData[Checker ID],$Q$4,RawData[[Error Type ]],$Q$5))</f>
        <v/>
      </c>
    </row>
    <row r="19142" spans="15:15" x14ac:dyDescent="0.25">
      <c r="O19142" s="20" t="str">
        <f>IF(N19142="","",COUNTIFS(RawData[[Date ]],N19142,RawData[Month List],$Q$6,RawData[Tour/Site],$Q$2,RawData[[Picker ID ]],$Q$3,RawData[Checker ID],$Q$4,RawData[[Error Type ]],$Q$5))</f>
        <v/>
      </c>
    </row>
    <row r="19143" spans="15:15" x14ac:dyDescent="0.25">
      <c r="O19143" s="20" t="str">
        <f>IF(N19143="","",COUNTIFS(RawData[[Date ]],N19143,RawData[Month List],$Q$6,RawData[Tour/Site],$Q$2,RawData[[Picker ID ]],$Q$3,RawData[Checker ID],$Q$4,RawData[[Error Type ]],$Q$5))</f>
        <v/>
      </c>
    </row>
    <row r="19144" spans="15:15" x14ac:dyDescent="0.25">
      <c r="O19144" s="20" t="str">
        <f>IF(N19144="","",COUNTIFS(RawData[[Date ]],N19144,RawData[Month List],$Q$6,RawData[Tour/Site],$Q$2,RawData[[Picker ID ]],$Q$3,RawData[Checker ID],$Q$4,RawData[[Error Type ]],$Q$5))</f>
        <v/>
      </c>
    </row>
    <row r="19145" spans="15:15" x14ac:dyDescent="0.25">
      <c r="O19145" s="20" t="str">
        <f>IF(N19145="","",COUNTIFS(RawData[[Date ]],N19145,RawData[Month List],$Q$6,RawData[Tour/Site],$Q$2,RawData[[Picker ID ]],$Q$3,RawData[Checker ID],$Q$4,RawData[[Error Type ]],$Q$5))</f>
        <v/>
      </c>
    </row>
    <row r="19146" spans="15:15" x14ac:dyDescent="0.25">
      <c r="O19146" s="20" t="str">
        <f>IF(N19146="","",COUNTIFS(RawData[[Date ]],N19146,RawData[Month List],$Q$6,RawData[Tour/Site],$Q$2,RawData[[Picker ID ]],$Q$3,RawData[Checker ID],$Q$4,RawData[[Error Type ]],$Q$5))</f>
        <v/>
      </c>
    </row>
    <row r="19147" spans="15:15" x14ac:dyDescent="0.25">
      <c r="O19147" s="20" t="str">
        <f>IF(N19147="","",COUNTIFS(RawData[[Date ]],N19147,RawData[Month List],$Q$6,RawData[Tour/Site],$Q$2,RawData[[Picker ID ]],$Q$3,RawData[Checker ID],$Q$4,RawData[[Error Type ]],$Q$5))</f>
        <v/>
      </c>
    </row>
    <row r="19148" spans="15:15" x14ac:dyDescent="0.25">
      <c r="O19148" s="20" t="str">
        <f>IF(N19148="","",COUNTIFS(RawData[[Date ]],N19148,RawData[Month List],$Q$6,RawData[Tour/Site],$Q$2,RawData[[Picker ID ]],$Q$3,RawData[Checker ID],$Q$4,RawData[[Error Type ]],$Q$5))</f>
        <v/>
      </c>
    </row>
    <row r="19149" spans="15:15" x14ac:dyDescent="0.25">
      <c r="O19149" s="20" t="str">
        <f>IF(N19149="","",COUNTIFS(RawData[[Date ]],N19149,RawData[Month List],$Q$6,RawData[Tour/Site],$Q$2,RawData[[Picker ID ]],$Q$3,RawData[Checker ID],$Q$4,RawData[[Error Type ]],$Q$5))</f>
        <v/>
      </c>
    </row>
    <row r="19150" spans="15:15" x14ac:dyDescent="0.25">
      <c r="O19150" s="20" t="str">
        <f>IF(N19150="","",COUNTIFS(RawData[[Date ]],N19150,RawData[Month List],$Q$6,RawData[Tour/Site],$Q$2,RawData[[Picker ID ]],$Q$3,RawData[Checker ID],$Q$4,RawData[[Error Type ]],$Q$5))</f>
        <v/>
      </c>
    </row>
    <row r="19151" spans="15:15" x14ac:dyDescent="0.25">
      <c r="O19151" s="20" t="str">
        <f>IF(N19151="","",COUNTIFS(RawData[[Date ]],N19151,RawData[Month List],$Q$6,RawData[Tour/Site],$Q$2,RawData[[Picker ID ]],$Q$3,RawData[Checker ID],$Q$4,RawData[[Error Type ]],$Q$5))</f>
        <v/>
      </c>
    </row>
    <row r="19152" spans="15:15" x14ac:dyDescent="0.25">
      <c r="O19152" s="20" t="str">
        <f>IF(N19152="","",COUNTIFS(RawData[[Date ]],N19152,RawData[Month List],$Q$6,RawData[Tour/Site],$Q$2,RawData[[Picker ID ]],$Q$3,RawData[Checker ID],$Q$4,RawData[[Error Type ]],$Q$5))</f>
        <v/>
      </c>
    </row>
    <row r="19153" spans="15:15" x14ac:dyDescent="0.25">
      <c r="O19153" s="20" t="str">
        <f>IF(N19153="","",COUNTIFS(RawData[[Date ]],N19153,RawData[Month List],$Q$6,RawData[Tour/Site],$Q$2,RawData[[Picker ID ]],$Q$3,RawData[Checker ID],$Q$4,RawData[[Error Type ]],$Q$5))</f>
        <v/>
      </c>
    </row>
    <row r="19154" spans="15:15" x14ac:dyDescent="0.25">
      <c r="O19154" s="20" t="str">
        <f>IF(N19154="","",COUNTIFS(RawData[[Date ]],N19154,RawData[Month List],$Q$6,RawData[Tour/Site],$Q$2,RawData[[Picker ID ]],$Q$3,RawData[Checker ID],$Q$4,RawData[[Error Type ]],$Q$5))</f>
        <v/>
      </c>
    </row>
    <row r="19155" spans="15:15" x14ac:dyDescent="0.25">
      <c r="O19155" s="20" t="str">
        <f>IF(N19155="","",COUNTIFS(RawData[[Date ]],N19155,RawData[Month List],$Q$6,RawData[Tour/Site],$Q$2,RawData[[Picker ID ]],$Q$3,RawData[Checker ID],$Q$4,RawData[[Error Type ]],$Q$5))</f>
        <v/>
      </c>
    </row>
    <row r="19156" spans="15:15" x14ac:dyDescent="0.25">
      <c r="O19156" s="20" t="str">
        <f>IF(N19156="","",COUNTIFS(RawData[[Date ]],N19156,RawData[Month List],$Q$6,RawData[Tour/Site],$Q$2,RawData[[Picker ID ]],$Q$3,RawData[Checker ID],$Q$4,RawData[[Error Type ]],$Q$5))</f>
        <v/>
      </c>
    </row>
    <row r="19157" spans="15:15" x14ac:dyDescent="0.25">
      <c r="O19157" s="20" t="str">
        <f>IF(N19157="","",COUNTIFS(RawData[[Date ]],N19157,RawData[Month List],$Q$6,RawData[Tour/Site],$Q$2,RawData[[Picker ID ]],$Q$3,RawData[Checker ID],$Q$4,RawData[[Error Type ]],$Q$5))</f>
        <v/>
      </c>
    </row>
    <row r="19158" spans="15:15" x14ac:dyDescent="0.25">
      <c r="O19158" s="20" t="str">
        <f>IF(N19158="","",COUNTIFS(RawData[[Date ]],N19158,RawData[Month List],$Q$6,RawData[Tour/Site],$Q$2,RawData[[Picker ID ]],$Q$3,RawData[Checker ID],$Q$4,RawData[[Error Type ]],$Q$5))</f>
        <v/>
      </c>
    </row>
    <row r="19159" spans="15:15" x14ac:dyDescent="0.25">
      <c r="O19159" s="20" t="str">
        <f>IF(N19159="","",COUNTIFS(RawData[[Date ]],N19159,RawData[Month List],$Q$6,RawData[Tour/Site],$Q$2,RawData[[Picker ID ]],$Q$3,RawData[Checker ID],$Q$4,RawData[[Error Type ]],$Q$5))</f>
        <v/>
      </c>
    </row>
    <row r="19160" spans="15:15" x14ac:dyDescent="0.25">
      <c r="O19160" s="20" t="str">
        <f>IF(N19160="","",COUNTIFS(RawData[[Date ]],N19160,RawData[Month List],$Q$6,RawData[Tour/Site],$Q$2,RawData[[Picker ID ]],$Q$3,RawData[Checker ID],$Q$4,RawData[[Error Type ]],$Q$5))</f>
        <v/>
      </c>
    </row>
    <row r="19161" spans="15:15" x14ac:dyDescent="0.25">
      <c r="O19161" s="20" t="str">
        <f>IF(N19161="","",COUNTIFS(RawData[[Date ]],N19161,RawData[Month List],$Q$6,RawData[Tour/Site],$Q$2,RawData[[Picker ID ]],$Q$3,RawData[Checker ID],$Q$4,RawData[[Error Type ]],$Q$5))</f>
        <v/>
      </c>
    </row>
    <row r="19162" spans="15:15" x14ac:dyDescent="0.25">
      <c r="O19162" s="20" t="str">
        <f>IF(N19162="","",COUNTIFS(RawData[[Date ]],N19162,RawData[Month List],$Q$6,RawData[Tour/Site],$Q$2,RawData[[Picker ID ]],$Q$3,RawData[Checker ID],$Q$4,RawData[[Error Type ]],$Q$5))</f>
        <v/>
      </c>
    </row>
    <row r="19163" spans="15:15" x14ac:dyDescent="0.25">
      <c r="O19163" s="20" t="str">
        <f>IF(N19163="","",COUNTIFS(RawData[[Date ]],N19163,RawData[Month List],$Q$6,RawData[Tour/Site],$Q$2,RawData[[Picker ID ]],$Q$3,RawData[Checker ID],$Q$4,RawData[[Error Type ]],$Q$5))</f>
        <v/>
      </c>
    </row>
    <row r="19164" spans="15:15" x14ac:dyDescent="0.25">
      <c r="O19164" s="20" t="str">
        <f>IF(N19164="","",COUNTIFS(RawData[[Date ]],N19164,RawData[Month List],$Q$6,RawData[Tour/Site],$Q$2,RawData[[Picker ID ]],$Q$3,RawData[Checker ID],$Q$4,RawData[[Error Type ]],$Q$5))</f>
        <v/>
      </c>
    </row>
    <row r="19165" spans="15:15" x14ac:dyDescent="0.25">
      <c r="O19165" s="20" t="str">
        <f>IF(N19165="","",COUNTIFS(RawData[[Date ]],N19165,RawData[Month List],$Q$6,RawData[Tour/Site],$Q$2,RawData[[Picker ID ]],$Q$3,RawData[Checker ID],$Q$4,RawData[[Error Type ]],$Q$5))</f>
        <v/>
      </c>
    </row>
    <row r="19166" spans="15:15" x14ac:dyDescent="0.25">
      <c r="O19166" s="20" t="str">
        <f>IF(N19166="","",COUNTIFS(RawData[[Date ]],N19166,RawData[Month List],$Q$6,RawData[Tour/Site],$Q$2,RawData[[Picker ID ]],$Q$3,RawData[Checker ID],$Q$4,RawData[[Error Type ]],$Q$5))</f>
        <v/>
      </c>
    </row>
    <row r="19167" spans="15:15" x14ac:dyDescent="0.25">
      <c r="O19167" s="20" t="str">
        <f>IF(N19167="","",COUNTIFS(RawData[[Date ]],N19167,RawData[Month List],$Q$6,RawData[Tour/Site],$Q$2,RawData[[Picker ID ]],$Q$3,RawData[Checker ID],$Q$4,RawData[[Error Type ]],$Q$5))</f>
        <v/>
      </c>
    </row>
    <row r="19168" spans="15:15" x14ac:dyDescent="0.25">
      <c r="O19168" s="20" t="str">
        <f>IF(N19168="","",COUNTIFS(RawData[[Date ]],N19168,RawData[Month List],$Q$6,RawData[Tour/Site],$Q$2,RawData[[Picker ID ]],$Q$3,RawData[Checker ID],$Q$4,RawData[[Error Type ]],$Q$5))</f>
        <v/>
      </c>
    </row>
    <row r="19169" spans="15:15" x14ac:dyDescent="0.25">
      <c r="O19169" s="20" t="str">
        <f>IF(N19169="","",COUNTIFS(RawData[[Date ]],N19169,RawData[Month List],$Q$6,RawData[Tour/Site],$Q$2,RawData[[Picker ID ]],$Q$3,RawData[Checker ID],$Q$4,RawData[[Error Type ]],$Q$5))</f>
        <v/>
      </c>
    </row>
    <row r="19170" spans="15:15" x14ac:dyDescent="0.25">
      <c r="O19170" s="20" t="str">
        <f>IF(N19170="","",COUNTIFS(RawData[[Date ]],N19170,RawData[Month List],$Q$6,RawData[Tour/Site],$Q$2,RawData[[Picker ID ]],$Q$3,RawData[Checker ID],$Q$4,RawData[[Error Type ]],$Q$5))</f>
        <v/>
      </c>
    </row>
    <row r="19171" spans="15:15" x14ac:dyDescent="0.25">
      <c r="O19171" s="20" t="str">
        <f>IF(N19171="","",COUNTIFS(RawData[[Date ]],N19171,RawData[Month List],$Q$6,RawData[Tour/Site],$Q$2,RawData[[Picker ID ]],$Q$3,RawData[Checker ID],$Q$4,RawData[[Error Type ]],$Q$5))</f>
        <v/>
      </c>
    </row>
    <row r="19172" spans="15:15" x14ac:dyDescent="0.25">
      <c r="O19172" s="20" t="str">
        <f>IF(N19172="","",COUNTIFS(RawData[[Date ]],N19172,RawData[Month List],$Q$6,RawData[Tour/Site],$Q$2,RawData[[Picker ID ]],$Q$3,RawData[Checker ID],$Q$4,RawData[[Error Type ]],$Q$5))</f>
        <v/>
      </c>
    </row>
    <row r="19173" spans="15:15" x14ac:dyDescent="0.25">
      <c r="O19173" s="20" t="str">
        <f>IF(N19173="","",COUNTIFS(RawData[[Date ]],N19173,RawData[Month List],$Q$6,RawData[Tour/Site],$Q$2,RawData[[Picker ID ]],$Q$3,RawData[Checker ID],$Q$4,RawData[[Error Type ]],$Q$5))</f>
        <v/>
      </c>
    </row>
    <row r="19174" spans="15:15" x14ac:dyDescent="0.25">
      <c r="O19174" s="20" t="str">
        <f>IF(N19174="","",COUNTIFS(RawData[[Date ]],N19174,RawData[Month List],$Q$6,RawData[Tour/Site],$Q$2,RawData[[Picker ID ]],$Q$3,RawData[Checker ID],$Q$4,RawData[[Error Type ]],$Q$5))</f>
        <v/>
      </c>
    </row>
    <row r="19175" spans="15:15" x14ac:dyDescent="0.25">
      <c r="O19175" s="20" t="str">
        <f>IF(N19175="","",COUNTIFS(RawData[[Date ]],N19175,RawData[Month List],$Q$6,RawData[Tour/Site],$Q$2,RawData[[Picker ID ]],$Q$3,RawData[Checker ID],$Q$4,RawData[[Error Type ]],$Q$5))</f>
        <v/>
      </c>
    </row>
    <row r="19176" spans="15:15" x14ac:dyDescent="0.25">
      <c r="O19176" s="20" t="str">
        <f>IF(N19176="","",COUNTIFS(RawData[[Date ]],N19176,RawData[Month List],$Q$6,RawData[Tour/Site],$Q$2,RawData[[Picker ID ]],$Q$3,RawData[Checker ID],$Q$4,RawData[[Error Type ]],$Q$5))</f>
        <v/>
      </c>
    </row>
    <row r="19177" spans="15:15" x14ac:dyDescent="0.25">
      <c r="O19177" s="20" t="str">
        <f>IF(N19177="","",COUNTIFS(RawData[[Date ]],N19177,RawData[Month List],$Q$6,RawData[Tour/Site],$Q$2,RawData[[Picker ID ]],$Q$3,RawData[Checker ID],$Q$4,RawData[[Error Type ]],$Q$5))</f>
        <v/>
      </c>
    </row>
    <row r="19178" spans="15:15" x14ac:dyDescent="0.25">
      <c r="O19178" s="20" t="str">
        <f>IF(N19178="","",COUNTIFS(RawData[[Date ]],N19178,RawData[Month List],$Q$6,RawData[Tour/Site],$Q$2,RawData[[Picker ID ]],$Q$3,RawData[Checker ID],$Q$4,RawData[[Error Type ]],$Q$5))</f>
        <v/>
      </c>
    </row>
    <row r="19179" spans="15:15" x14ac:dyDescent="0.25">
      <c r="O19179" s="20" t="str">
        <f>IF(N19179="","",COUNTIFS(RawData[[Date ]],N19179,RawData[Month List],$Q$6,RawData[Tour/Site],$Q$2,RawData[[Picker ID ]],$Q$3,RawData[Checker ID],$Q$4,RawData[[Error Type ]],$Q$5))</f>
        <v/>
      </c>
    </row>
    <row r="19180" spans="15:15" x14ac:dyDescent="0.25">
      <c r="O19180" s="20" t="str">
        <f>IF(N19180="","",COUNTIFS(RawData[[Date ]],N19180,RawData[Month List],$Q$6,RawData[Tour/Site],$Q$2,RawData[[Picker ID ]],$Q$3,RawData[Checker ID],$Q$4,RawData[[Error Type ]],$Q$5))</f>
        <v/>
      </c>
    </row>
    <row r="19181" spans="15:15" x14ac:dyDescent="0.25">
      <c r="O19181" s="20" t="str">
        <f>IF(N19181="","",COUNTIFS(RawData[[Date ]],N19181,RawData[Month List],$Q$6,RawData[Tour/Site],$Q$2,RawData[[Picker ID ]],$Q$3,RawData[Checker ID],$Q$4,RawData[[Error Type ]],$Q$5))</f>
        <v/>
      </c>
    </row>
    <row r="19182" spans="15:15" x14ac:dyDescent="0.25">
      <c r="O19182" s="20" t="str">
        <f>IF(N19182="","",COUNTIFS(RawData[[Date ]],N19182,RawData[Month List],$Q$6,RawData[Tour/Site],$Q$2,RawData[[Picker ID ]],$Q$3,RawData[Checker ID],$Q$4,RawData[[Error Type ]],$Q$5))</f>
        <v/>
      </c>
    </row>
    <row r="19183" spans="15:15" x14ac:dyDescent="0.25">
      <c r="O19183" s="20" t="str">
        <f>IF(N19183="","",COUNTIFS(RawData[[Date ]],N19183,RawData[Month List],$Q$6,RawData[Tour/Site],$Q$2,RawData[[Picker ID ]],$Q$3,RawData[Checker ID],$Q$4,RawData[[Error Type ]],$Q$5))</f>
        <v/>
      </c>
    </row>
    <row r="19184" spans="15:15" x14ac:dyDescent="0.25">
      <c r="O19184" s="20" t="str">
        <f>IF(N19184="","",COUNTIFS(RawData[[Date ]],N19184,RawData[Month List],$Q$6,RawData[Tour/Site],$Q$2,RawData[[Picker ID ]],$Q$3,RawData[Checker ID],$Q$4,RawData[[Error Type ]],$Q$5))</f>
        <v/>
      </c>
    </row>
    <row r="19185" spans="15:15" x14ac:dyDescent="0.25">
      <c r="O19185" s="20" t="str">
        <f>IF(N19185="","",COUNTIFS(RawData[[Date ]],N19185,RawData[Month List],$Q$6,RawData[Tour/Site],$Q$2,RawData[[Picker ID ]],$Q$3,RawData[Checker ID],$Q$4,RawData[[Error Type ]],$Q$5))</f>
        <v/>
      </c>
    </row>
    <row r="19186" spans="15:15" x14ac:dyDescent="0.25">
      <c r="O19186" s="20" t="str">
        <f>IF(N19186="","",COUNTIFS(RawData[[Date ]],N19186,RawData[Month List],$Q$6,RawData[Tour/Site],$Q$2,RawData[[Picker ID ]],$Q$3,RawData[Checker ID],$Q$4,RawData[[Error Type ]],$Q$5))</f>
        <v/>
      </c>
    </row>
    <row r="19187" spans="15:15" x14ac:dyDescent="0.25">
      <c r="O19187" s="20" t="str">
        <f>IF(N19187="","",COUNTIFS(RawData[[Date ]],N19187,RawData[Month List],$Q$6,RawData[Tour/Site],$Q$2,RawData[[Picker ID ]],$Q$3,RawData[Checker ID],$Q$4,RawData[[Error Type ]],$Q$5))</f>
        <v/>
      </c>
    </row>
    <row r="19188" spans="15:15" x14ac:dyDescent="0.25">
      <c r="O19188" s="20" t="str">
        <f>IF(N19188="","",COUNTIFS(RawData[[Date ]],N19188,RawData[Month List],$Q$6,RawData[Tour/Site],$Q$2,RawData[[Picker ID ]],$Q$3,RawData[Checker ID],$Q$4,RawData[[Error Type ]],$Q$5))</f>
        <v/>
      </c>
    </row>
    <row r="19189" spans="15:15" x14ac:dyDescent="0.25">
      <c r="O19189" s="20" t="str">
        <f>IF(N19189="","",COUNTIFS(RawData[[Date ]],N19189,RawData[Month List],$Q$6,RawData[Tour/Site],$Q$2,RawData[[Picker ID ]],$Q$3,RawData[Checker ID],$Q$4,RawData[[Error Type ]],$Q$5))</f>
        <v/>
      </c>
    </row>
    <row r="19190" spans="15:15" x14ac:dyDescent="0.25">
      <c r="O19190" s="20" t="str">
        <f>IF(N19190="","",COUNTIFS(RawData[[Date ]],N19190,RawData[Month List],$Q$6,RawData[Tour/Site],$Q$2,RawData[[Picker ID ]],$Q$3,RawData[Checker ID],$Q$4,RawData[[Error Type ]],$Q$5))</f>
        <v/>
      </c>
    </row>
    <row r="19191" spans="15:15" x14ac:dyDescent="0.25">
      <c r="O19191" s="20" t="str">
        <f>IF(N19191="","",COUNTIFS(RawData[[Date ]],N19191,RawData[Month List],$Q$6,RawData[Tour/Site],$Q$2,RawData[[Picker ID ]],$Q$3,RawData[Checker ID],$Q$4,RawData[[Error Type ]],$Q$5))</f>
        <v/>
      </c>
    </row>
    <row r="19192" spans="15:15" x14ac:dyDescent="0.25">
      <c r="O19192" s="20" t="str">
        <f>IF(N19192="","",COUNTIFS(RawData[[Date ]],N19192,RawData[Month List],$Q$6,RawData[Tour/Site],$Q$2,RawData[[Picker ID ]],$Q$3,RawData[Checker ID],$Q$4,RawData[[Error Type ]],$Q$5))</f>
        <v/>
      </c>
    </row>
    <row r="19193" spans="15:15" x14ac:dyDescent="0.25">
      <c r="O19193" s="20" t="str">
        <f>IF(N19193="","",COUNTIFS(RawData[[Date ]],N19193,RawData[Month List],$Q$6,RawData[Tour/Site],$Q$2,RawData[[Picker ID ]],$Q$3,RawData[Checker ID],$Q$4,RawData[[Error Type ]],$Q$5))</f>
        <v/>
      </c>
    </row>
    <row r="19194" spans="15:15" x14ac:dyDescent="0.25">
      <c r="O19194" s="20" t="str">
        <f>IF(N19194="","",COUNTIFS(RawData[[Date ]],N19194,RawData[Month List],$Q$6,RawData[Tour/Site],$Q$2,RawData[[Picker ID ]],$Q$3,RawData[Checker ID],$Q$4,RawData[[Error Type ]],$Q$5))</f>
        <v/>
      </c>
    </row>
    <row r="19195" spans="15:15" x14ac:dyDescent="0.25">
      <c r="O19195" s="20" t="str">
        <f>IF(N19195="","",COUNTIFS(RawData[[Date ]],N19195,RawData[Month List],$Q$6,RawData[Tour/Site],$Q$2,RawData[[Picker ID ]],$Q$3,RawData[Checker ID],$Q$4,RawData[[Error Type ]],$Q$5))</f>
        <v/>
      </c>
    </row>
    <row r="19196" spans="15:15" x14ac:dyDescent="0.25">
      <c r="O19196" s="20" t="str">
        <f>IF(N19196="","",COUNTIFS(RawData[[Date ]],N19196,RawData[Month List],$Q$6,RawData[Tour/Site],$Q$2,RawData[[Picker ID ]],$Q$3,RawData[Checker ID],$Q$4,RawData[[Error Type ]],$Q$5))</f>
        <v/>
      </c>
    </row>
    <row r="19197" spans="15:15" x14ac:dyDescent="0.25">
      <c r="O19197" s="20" t="str">
        <f>IF(N19197="","",COUNTIFS(RawData[[Date ]],N19197,RawData[Month List],$Q$6,RawData[Tour/Site],$Q$2,RawData[[Picker ID ]],$Q$3,RawData[Checker ID],$Q$4,RawData[[Error Type ]],$Q$5))</f>
        <v/>
      </c>
    </row>
    <row r="19198" spans="15:15" x14ac:dyDescent="0.25">
      <c r="O19198" s="20" t="str">
        <f>IF(N19198="","",COUNTIFS(RawData[[Date ]],N19198,RawData[Month List],$Q$6,RawData[Tour/Site],$Q$2,RawData[[Picker ID ]],$Q$3,RawData[Checker ID],$Q$4,RawData[[Error Type ]],$Q$5))</f>
        <v/>
      </c>
    </row>
    <row r="19199" spans="15:15" x14ac:dyDescent="0.25">
      <c r="O19199" s="20" t="str">
        <f>IF(N19199="","",COUNTIFS(RawData[[Date ]],N19199,RawData[Month List],$Q$6,RawData[Tour/Site],$Q$2,RawData[[Picker ID ]],$Q$3,RawData[Checker ID],$Q$4,RawData[[Error Type ]],$Q$5))</f>
        <v/>
      </c>
    </row>
    <row r="19200" spans="15:15" x14ac:dyDescent="0.25">
      <c r="O19200" s="20" t="str">
        <f>IF(N19200="","",COUNTIFS(RawData[[Date ]],N19200,RawData[Month List],$Q$6,RawData[Tour/Site],$Q$2,RawData[[Picker ID ]],$Q$3,RawData[Checker ID],$Q$4,RawData[[Error Type ]],$Q$5))</f>
        <v/>
      </c>
    </row>
    <row r="19201" spans="15:15" x14ac:dyDescent="0.25">
      <c r="O19201" s="20" t="str">
        <f>IF(N19201="","",COUNTIFS(RawData[[Date ]],N19201,RawData[Month List],$Q$6,RawData[Tour/Site],$Q$2,RawData[[Picker ID ]],$Q$3,RawData[Checker ID],$Q$4,RawData[[Error Type ]],$Q$5))</f>
        <v/>
      </c>
    </row>
    <row r="19202" spans="15:15" x14ac:dyDescent="0.25">
      <c r="O19202" s="20" t="str">
        <f>IF(N19202="","",COUNTIFS(RawData[[Date ]],N19202,RawData[Month List],$Q$6,RawData[Tour/Site],$Q$2,RawData[[Picker ID ]],$Q$3,RawData[Checker ID],$Q$4,RawData[[Error Type ]],$Q$5))</f>
        <v/>
      </c>
    </row>
    <row r="19203" spans="15:15" x14ac:dyDescent="0.25">
      <c r="O19203" s="20" t="str">
        <f>IF(N19203="","",COUNTIFS(RawData[[Date ]],N19203,RawData[Month List],$Q$6,RawData[Tour/Site],$Q$2,RawData[[Picker ID ]],$Q$3,RawData[Checker ID],$Q$4,RawData[[Error Type ]],$Q$5))</f>
        <v/>
      </c>
    </row>
    <row r="19204" spans="15:15" x14ac:dyDescent="0.25">
      <c r="O19204" s="20" t="str">
        <f>IF(N19204="","",COUNTIFS(RawData[[Date ]],N19204,RawData[Month List],$Q$6,RawData[Tour/Site],$Q$2,RawData[[Picker ID ]],$Q$3,RawData[Checker ID],$Q$4,RawData[[Error Type ]],$Q$5))</f>
        <v/>
      </c>
    </row>
    <row r="19205" spans="15:15" x14ac:dyDescent="0.25">
      <c r="O19205" s="20" t="str">
        <f>IF(N19205="","",COUNTIFS(RawData[[Date ]],N19205,RawData[Month List],$Q$6,RawData[Tour/Site],$Q$2,RawData[[Picker ID ]],$Q$3,RawData[Checker ID],$Q$4,RawData[[Error Type ]],$Q$5))</f>
        <v/>
      </c>
    </row>
    <row r="19206" spans="15:15" x14ac:dyDescent="0.25">
      <c r="O19206" s="20" t="str">
        <f>IF(N19206="","",COUNTIFS(RawData[[Date ]],N19206,RawData[Month List],$Q$6,RawData[Tour/Site],$Q$2,RawData[[Picker ID ]],$Q$3,RawData[Checker ID],$Q$4,RawData[[Error Type ]],$Q$5))</f>
        <v/>
      </c>
    </row>
    <row r="19207" spans="15:15" x14ac:dyDescent="0.25">
      <c r="O19207" s="20" t="str">
        <f>IF(N19207="","",COUNTIFS(RawData[[Date ]],N19207,RawData[Month List],$Q$6,RawData[Tour/Site],$Q$2,RawData[[Picker ID ]],$Q$3,RawData[Checker ID],$Q$4,RawData[[Error Type ]],$Q$5))</f>
        <v/>
      </c>
    </row>
    <row r="19208" spans="15:15" x14ac:dyDescent="0.25">
      <c r="O19208" s="20" t="str">
        <f>IF(N19208="","",COUNTIFS(RawData[[Date ]],N19208,RawData[Month List],$Q$6,RawData[Tour/Site],$Q$2,RawData[[Picker ID ]],$Q$3,RawData[Checker ID],$Q$4,RawData[[Error Type ]],$Q$5))</f>
        <v/>
      </c>
    </row>
    <row r="19209" spans="15:15" x14ac:dyDescent="0.25">
      <c r="O19209" s="20" t="str">
        <f>IF(N19209="","",COUNTIFS(RawData[[Date ]],N19209,RawData[Month List],$Q$6,RawData[Tour/Site],$Q$2,RawData[[Picker ID ]],$Q$3,RawData[Checker ID],$Q$4,RawData[[Error Type ]],$Q$5))</f>
        <v/>
      </c>
    </row>
    <row r="19210" spans="15:15" x14ac:dyDescent="0.25">
      <c r="O19210" s="20" t="str">
        <f>IF(N19210="","",COUNTIFS(RawData[[Date ]],N19210,RawData[Month List],$Q$6,RawData[Tour/Site],$Q$2,RawData[[Picker ID ]],$Q$3,RawData[Checker ID],$Q$4,RawData[[Error Type ]],$Q$5))</f>
        <v/>
      </c>
    </row>
    <row r="19211" spans="15:15" x14ac:dyDescent="0.25">
      <c r="O19211" s="20" t="str">
        <f>IF(N19211="","",COUNTIFS(RawData[[Date ]],N19211,RawData[Month List],$Q$6,RawData[Tour/Site],$Q$2,RawData[[Picker ID ]],$Q$3,RawData[Checker ID],$Q$4,RawData[[Error Type ]],$Q$5))</f>
        <v/>
      </c>
    </row>
    <row r="19212" spans="15:15" x14ac:dyDescent="0.25">
      <c r="O19212" s="20" t="str">
        <f>IF(N19212="","",COUNTIFS(RawData[[Date ]],N19212,RawData[Month List],$Q$6,RawData[Tour/Site],$Q$2,RawData[[Picker ID ]],$Q$3,RawData[Checker ID],$Q$4,RawData[[Error Type ]],$Q$5))</f>
        <v/>
      </c>
    </row>
    <row r="19213" spans="15:15" x14ac:dyDescent="0.25">
      <c r="O19213" s="20" t="str">
        <f>IF(N19213="","",COUNTIFS(RawData[[Date ]],N19213,RawData[Month List],$Q$6,RawData[Tour/Site],$Q$2,RawData[[Picker ID ]],$Q$3,RawData[Checker ID],$Q$4,RawData[[Error Type ]],$Q$5))</f>
        <v/>
      </c>
    </row>
    <row r="19214" spans="15:15" x14ac:dyDescent="0.25">
      <c r="O19214" s="20" t="str">
        <f>IF(N19214="","",COUNTIFS(RawData[[Date ]],N19214,RawData[Month List],$Q$6,RawData[Tour/Site],$Q$2,RawData[[Picker ID ]],$Q$3,RawData[Checker ID],$Q$4,RawData[[Error Type ]],$Q$5))</f>
        <v/>
      </c>
    </row>
    <row r="19215" spans="15:15" x14ac:dyDescent="0.25">
      <c r="O19215" s="20" t="str">
        <f>IF(N19215="","",COUNTIFS(RawData[[Date ]],N19215,RawData[Month List],$Q$6,RawData[Tour/Site],$Q$2,RawData[[Picker ID ]],$Q$3,RawData[Checker ID],$Q$4,RawData[[Error Type ]],$Q$5))</f>
        <v/>
      </c>
    </row>
    <row r="19216" spans="15:15" x14ac:dyDescent="0.25">
      <c r="O19216" s="20" t="str">
        <f>IF(N19216="","",COUNTIFS(RawData[[Date ]],N19216,RawData[Month List],$Q$6,RawData[Tour/Site],$Q$2,RawData[[Picker ID ]],$Q$3,RawData[Checker ID],$Q$4,RawData[[Error Type ]],$Q$5))</f>
        <v/>
      </c>
    </row>
    <row r="19217" spans="15:15" x14ac:dyDescent="0.25">
      <c r="O19217" s="20" t="str">
        <f>IF(N19217="","",COUNTIFS(RawData[[Date ]],N19217,RawData[Month List],$Q$6,RawData[Tour/Site],$Q$2,RawData[[Picker ID ]],$Q$3,RawData[Checker ID],$Q$4,RawData[[Error Type ]],$Q$5))</f>
        <v/>
      </c>
    </row>
    <row r="19218" spans="15:15" x14ac:dyDescent="0.25">
      <c r="O19218" s="20" t="str">
        <f>IF(N19218="","",COUNTIFS(RawData[[Date ]],N19218,RawData[Month List],$Q$6,RawData[Tour/Site],$Q$2,RawData[[Picker ID ]],$Q$3,RawData[Checker ID],$Q$4,RawData[[Error Type ]],$Q$5))</f>
        <v/>
      </c>
    </row>
    <row r="19219" spans="15:15" x14ac:dyDescent="0.25">
      <c r="O19219" s="20" t="str">
        <f>IF(N19219="","",COUNTIFS(RawData[[Date ]],N19219,RawData[Month List],$Q$6,RawData[Tour/Site],$Q$2,RawData[[Picker ID ]],$Q$3,RawData[Checker ID],$Q$4,RawData[[Error Type ]],$Q$5))</f>
        <v/>
      </c>
    </row>
    <row r="19220" spans="15:15" x14ac:dyDescent="0.25">
      <c r="O19220" s="20" t="str">
        <f>IF(N19220="","",COUNTIFS(RawData[[Date ]],N19220,RawData[Month List],$Q$6,RawData[Tour/Site],$Q$2,RawData[[Picker ID ]],$Q$3,RawData[Checker ID],$Q$4,RawData[[Error Type ]],$Q$5))</f>
        <v/>
      </c>
    </row>
    <row r="19221" spans="15:15" x14ac:dyDescent="0.25">
      <c r="O19221" s="20" t="str">
        <f>IF(N19221="","",COUNTIFS(RawData[[Date ]],N19221,RawData[Month List],$Q$6,RawData[Tour/Site],$Q$2,RawData[[Picker ID ]],$Q$3,RawData[Checker ID],$Q$4,RawData[[Error Type ]],$Q$5))</f>
        <v/>
      </c>
    </row>
    <row r="19222" spans="15:15" x14ac:dyDescent="0.25">
      <c r="O19222" s="20" t="str">
        <f>IF(N19222="","",COUNTIFS(RawData[[Date ]],N19222,RawData[Month List],$Q$6,RawData[Tour/Site],$Q$2,RawData[[Picker ID ]],$Q$3,RawData[Checker ID],$Q$4,RawData[[Error Type ]],$Q$5))</f>
        <v/>
      </c>
    </row>
    <row r="19223" spans="15:15" x14ac:dyDescent="0.25">
      <c r="O19223" s="20" t="str">
        <f>IF(N19223="","",COUNTIFS(RawData[[Date ]],N19223,RawData[Month List],$Q$6,RawData[Tour/Site],$Q$2,RawData[[Picker ID ]],$Q$3,RawData[Checker ID],$Q$4,RawData[[Error Type ]],$Q$5))</f>
        <v/>
      </c>
    </row>
    <row r="19224" spans="15:15" x14ac:dyDescent="0.25">
      <c r="O19224" s="20" t="str">
        <f>IF(N19224="","",COUNTIFS(RawData[[Date ]],N19224,RawData[Month List],$Q$6,RawData[Tour/Site],$Q$2,RawData[[Picker ID ]],$Q$3,RawData[Checker ID],$Q$4,RawData[[Error Type ]],$Q$5))</f>
        <v/>
      </c>
    </row>
    <row r="19225" spans="15:15" x14ac:dyDescent="0.25">
      <c r="O19225" s="20" t="str">
        <f>IF(N19225="","",COUNTIFS(RawData[[Date ]],N19225,RawData[Month List],$Q$6,RawData[Tour/Site],$Q$2,RawData[[Picker ID ]],$Q$3,RawData[Checker ID],$Q$4,RawData[[Error Type ]],$Q$5))</f>
        <v/>
      </c>
    </row>
    <row r="19226" spans="15:15" x14ac:dyDescent="0.25">
      <c r="O19226" s="20" t="str">
        <f>IF(N19226="","",COUNTIFS(RawData[[Date ]],N19226,RawData[Month List],$Q$6,RawData[Tour/Site],$Q$2,RawData[[Picker ID ]],$Q$3,RawData[Checker ID],$Q$4,RawData[[Error Type ]],$Q$5))</f>
        <v/>
      </c>
    </row>
    <row r="19227" spans="15:15" x14ac:dyDescent="0.25">
      <c r="O19227" s="20" t="str">
        <f>IF(N19227="","",COUNTIFS(RawData[[Date ]],N19227,RawData[Month List],$Q$6,RawData[Tour/Site],$Q$2,RawData[[Picker ID ]],$Q$3,RawData[Checker ID],$Q$4,RawData[[Error Type ]],$Q$5))</f>
        <v/>
      </c>
    </row>
    <row r="19228" spans="15:15" x14ac:dyDescent="0.25">
      <c r="O19228" s="20" t="str">
        <f>IF(N19228="","",COUNTIFS(RawData[[Date ]],N19228,RawData[Month List],$Q$6,RawData[Tour/Site],$Q$2,RawData[[Picker ID ]],$Q$3,RawData[Checker ID],$Q$4,RawData[[Error Type ]],$Q$5))</f>
        <v/>
      </c>
    </row>
    <row r="19229" spans="15:15" x14ac:dyDescent="0.25">
      <c r="O19229" s="20" t="str">
        <f>IF(N19229="","",COUNTIFS(RawData[[Date ]],N19229,RawData[Month List],$Q$6,RawData[Tour/Site],$Q$2,RawData[[Picker ID ]],$Q$3,RawData[Checker ID],$Q$4,RawData[[Error Type ]],$Q$5))</f>
        <v/>
      </c>
    </row>
    <row r="19230" spans="15:15" x14ac:dyDescent="0.25">
      <c r="O19230" s="20" t="str">
        <f>IF(N19230="","",COUNTIFS(RawData[[Date ]],N19230,RawData[Month List],$Q$6,RawData[Tour/Site],$Q$2,RawData[[Picker ID ]],$Q$3,RawData[Checker ID],$Q$4,RawData[[Error Type ]],$Q$5))</f>
        <v/>
      </c>
    </row>
    <row r="19231" spans="15:15" x14ac:dyDescent="0.25">
      <c r="O19231" s="20" t="str">
        <f>IF(N19231="","",COUNTIFS(RawData[[Date ]],N19231,RawData[Month List],$Q$6,RawData[Tour/Site],$Q$2,RawData[[Picker ID ]],$Q$3,RawData[Checker ID],$Q$4,RawData[[Error Type ]],$Q$5))</f>
        <v/>
      </c>
    </row>
    <row r="19232" spans="15:15" x14ac:dyDescent="0.25">
      <c r="O19232" s="20" t="str">
        <f>IF(N19232="","",COUNTIFS(RawData[[Date ]],N19232,RawData[Month List],$Q$6,RawData[Tour/Site],$Q$2,RawData[[Picker ID ]],$Q$3,RawData[Checker ID],$Q$4,RawData[[Error Type ]],$Q$5))</f>
        <v/>
      </c>
    </row>
    <row r="19233" spans="15:15" x14ac:dyDescent="0.25">
      <c r="O19233" s="20" t="str">
        <f>IF(N19233="","",COUNTIFS(RawData[[Date ]],N19233,RawData[Month List],$Q$6,RawData[Tour/Site],$Q$2,RawData[[Picker ID ]],$Q$3,RawData[Checker ID],$Q$4,RawData[[Error Type ]],$Q$5))</f>
        <v/>
      </c>
    </row>
    <row r="19234" spans="15:15" x14ac:dyDescent="0.25">
      <c r="O19234" s="20" t="str">
        <f>IF(N19234="","",COUNTIFS(RawData[[Date ]],N19234,RawData[Month List],$Q$6,RawData[Tour/Site],$Q$2,RawData[[Picker ID ]],$Q$3,RawData[Checker ID],$Q$4,RawData[[Error Type ]],$Q$5))</f>
        <v/>
      </c>
    </row>
    <row r="19235" spans="15:15" x14ac:dyDescent="0.25">
      <c r="O19235" s="20" t="str">
        <f>IF(N19235="","",COUNTIFS(RawData[[Date ]],N19235,RawData[Month List],$Q$6,RawData[Tour/Site],$Q$2,RawData[[Picker ID ]],$Q$3,RawData[Checker ID],$Q$4,RawData[[Error Type ]],$Q$5))</f>
        <v/>
      </c>
    </row>
    <row r="19236" spans="15:15" x14ac:dyDescent="0.25">
      <c r="O19236" s="20" t="str">
        <f>IF(N19236="","",COUNTIFS(RawData[[Date ]],N19236,RawData[Month List],$Q$6,RawData[Tour/Site],$Q$2,RawData[[Picker ID ]],$Q$3,RawData[Checker ID],$Q$4,RawData[[Error Type ]],$Q$5))</f>
        <v/>
      </c>
    </row>
    <row r="19237" spans="15:15" x14ac:dyDescent="0.25">
      <c r="O19237" s="20" t="str">
        <f>IF(N19237="","",COUNTIFS(RawData[[Date ]],N19237,RawData[Month List],$Q$6,RawData[Tour/Site],$Q$2,RawData[[Picker ID ]],$Q$3,RawData[Checker ID],$Q$4,RawData[[Error Type ]],$Q$5))</f>
        <v/>
      </c>
    </row>
    <row r="19238" spans="15:15" x14ac:dyDescent="0.25">
      <c r="O19238" s="20" t="str">
        <f>IF(N19238="","",COUNTIFS(RawData[[Date ]],N19238,RawData[Month List],$Q$6,RawData[Tour/Site],$Q$2,RawData[[Picker ID ]],$Q$3,RawData[Checker ID],$Q$4,RawData[[Error Type ]],$Q$5))</f>
        <v/>
      </c>
    </row>
    <row r="19239" spans="15:15" x14ac:dyDescent="0.25">
      <c r="O19239" s="20" t="str">
        <f>IF(N19239="","",COUNTIFS(RawData[[Date ]],N19239,RawData[Month List],$Q$6,RawData[Tour/Site],$Q$2,RawData[[Picker ID ]],$Q$3,RawData[Checker ID],$Q$4,RawData[[Error Type ]],$Q$5))</f>
        <v/>
      </c>
    </row>
    <row r="19240" spans="15:15" x14ac:dyDescent="0.25">
      <c r="O19240" s="20" t="str">
        <f>IF(N19240="","",COUNTIFS(RawData[[Date ]],N19240,RawData[Month List],$Q$6,RawData[Tour/Site],$Q$2,RawData[[Picker ID ]],$Q$3,RawData[Checker ID],$Q$4,RawData[[Error Type ]],$Q$5))</f>
        <v/>
      </c>
    </row>
    <row r="19241" spans="15:15" x14ac:dyDescent="0.25">
      <c r="O19241" s="20" t="str">
        <f>IF(N19241="","",COUNTIFS(RawData[[Date ]],N19241,RawData[Month List],$Q$6,RawData[Tour/Site],$Q$2,RawData[[Picker ID ]],$Q$3,RawData[Checker ID],$Q$4,RawData[[Error Type ]],$Q$5))</f>
        <v/>
      </c>
    </row>
    <row r="19242" spans="15:15" x14ac:dyDescent="0.25">
      <c r="O19242" s="20" t="str">
        <f>IF(N19242="","",COUNTIFS(RawData[[Date ]],N19242,RawData[Month List],$Q$6,RawData[Tour/Site],$Q$2,RawData[[Picker ID ]],$Q$3,RawData[Checker ID],$Q$4,RawData[[Error Type ]],$Q$5))</f>
        <v/>
      </c>
    </row>
    <row r="19243" spans="15:15" x14ac:dyDescent="0.25">
      <c r="O19243" s="20" t="str">
        <f>IF(N19243="","",COUNTIFS(RawData[[Date ]],N19243,RawData[Month List],$Q$6,RawData[Tour/Site],$Q$2,RawData[[Picker ID ]],$Q$3,RawData[Checker ID],$Q$4,RawData[[Error Type ]],$Q$5))</f>
        <v/>
      </c>
    </row>
    <row r="19244" spans="15:15" x14ac:dyDescent="0.25">
      <c r="O19244" s="20" t="str">
        <f>IF(N19244="","",COUNTIFS(RawData[[Date ]],N19244,RawData[Month List],$Q$6,RawData[Tour/Site],$Q$2,RawData[[Picker ID ]],$Q$3,RawData[Checker ID],$Q$4,RawData[[Error Type ]],$Q$5))</f>
        <v/>
      </c>
    </row>
    <row r="19245" spans="15:15" x14ac:dyDescent="0.25">
      <c r="O19245" s="20" t="str">
        <f>IF(N19245="","",COUNTIFS(RawData[[Date ]],N19245,RawData[Month List],$Q$6,RawData[Tour/Site],$Q$2,RawData[[Picker ID ]],$Q$3,RawData[Checker ID],$Q$4,RawData[[Error Type ]],$Q$5))</f>
        <v/>
      </c>
    </row>
    <row r="19246" spans="15:15" x14ac:dyDescent="0.25">
      <c r="O19246" s="20" t="str">
        <f>IF(N19246="","",COUNTIFS(RawData[[Date ]],N19246,RawData[Month List],$Q$6,RawData[Tour/Site],$Q$2,RawData[[Picker ID ]],$Q$3,RawData[Checker ID],$Q$4,RawData[[Error Type ]],$Q$5))</f>
        <v/>
      </c>
    </row>
    <row r="19247" spans="15:15" x14ac:dyDescent="0.25">
      <c r="O19247" s="20" t="str">
        <f>IF(N19247="","",COUNTIFS(RawData[[Date ]],N19247,RawData[Month List],$Q$6,RawData[Tour/Site],$Q$2,RawData[[Picker ID ]],$Q$3,RawData[Checker ID],$Q$4,RawData[[Error Type ]],$Q$5))</f>
        <v/>
      </c>
    </row>
    <row r="19248" spans="15:15" x14ac:dyDescent="0.25">
      <c r="O19248" s="20" t="str">
        <f>IF(N19248="","",COUNTIFS(RawData[[Date ]],N19248,RawData[Month List],$Q$6,RawData[Tour/Site],$Q$2,RawData[[Picker ID ]],$Q$3,RawData[Checker ID],$Q$4,RawData[[Error Type ]],$Q$5))</f>
        <v/>
      </c>
    </row>
    <row r="19249" spans="15:15" x14ac:dyDescent="0.25">
      <c r="O19249" s="20" t="str">
        <f>IF(N19249="","",COUNTIFS(RawData[[Date ]],N19249,RawData[Month List],$Q$6,RawData[Tour/Site],$Q$2,RawData[[Picker ID ]],$Q$3,RawData[Checker ID],$Q$4,RawData[[Error Type ]],$Q$5))</f>
        <v/>
      </c>
    </row>
    <row r="19250" spans="15:15" x14ac:dyDescent="0.25">
      <c r="O19250" s="20" t="str">
        <f>IF(N19250="","",COUNTIFS(RawData[[Date ]],N19250,RawData[Month List],$Q$6,RawData[Tour/Site],$Q$2,RawData[[Picker ID ]],$Q$3,RawData[Checker ID],$Q$4,RawData[[Error Type ]],$Q$5))</f>
        <v/>
      </c>
    </row>
    <row r="19251" spans="15:15" x14ac:dyDescent="0.25">
      <c r="O19251" s="20" t="str">
        <f>IF(N19251="","",COUNTIFS(RawData[[Date ]],N19251,RawData[Month List],$Q$6,RawData[Tour/Site],$Q$2,RawData[[Picker ID ]],$Q$3,RawData[Checker ID],$Q$4,RawData[[Error Type ]],$Q$5))</f>
        <v/>
      </c>
    </row>
    <row r="19252" spans="15:15" x14ac:dyDescent="0.25">
      <c r="O19252" s="20" t="str">
        <f>IF(N19252="","",COUNTIFS(RawData[[Date ]],N19252,RawData[Month List],$Q$6,RawData[Tour/Site],$Q$2,RawData[[Picker ID ]],$Q$3,RawData[Checker ID],$Q$4,RawData[[Error Type ]],$Q$5))</f>
        <v/>
      </c>
    </row>
    <row r="19253" spans="15:15" x14ac:dyDescent="0.25">
      <c r="O19253" s="20" t="str">
        <f>IF(N19253="","",COUNTIFS(RawData[[Date ]],N19253,RawData[Month List],$Q$6,RawData[Tour/Site],$Q$2,RawData[[Picker ID ]],$Q$3,RawData[Checker ID],$Q$4,RawData[[Error Type ]],$Q$5))</f>
        <v/>
      </c>
    </row>
    <row r="19254" spans="15:15" x14ac:dyDescent="0.25">
      <c r="O19254" s="20" t="str">
        <f>IF(N19254="","",COUNTIFS(RawData[[Date ]],N19254,RawData[Month List],$Q$6,RawData[Tour/Site],$Q$2,RawData[[Picker ID ]],$Q$3,RawData[Checker ID],$Q$4,RawData[[Error Type ]],$Q$5))</f>
        <v/>
      </c>
    </row>
    <row r="19255" spans="15:15" x14ac:dyDescent="0.25">
      <c r="O19255" s="20" t="str">
        <f>IF(N19255="","",COUNTIFS(RawData[[Date ]],N19255,RawData[Month List],$Q$6,RawData[Tour/Site],$Q$2,RawData[[Picker ID ]],$Q$3,RawData[Checker ID],$Q$4,RawData[[Error Type ]],$Q$5))</f>
        <v/>
      </c>
    </row>
    <row r="19256" spans="15:15" x14ac:dyDescent="0.25">
      <c r="O19256" s="20" t="str">
        <f>IF(N19256="","",COUNTIFS(RawData[[Date ]],N19256,RawData[Month List],$Q$6,RawData[Tour/Site],$Q$2,RawData[[Picker ID ]],$Q$3,RawData[Checker ID],$Q$4,RawData[[Error Type ]],$Q$5))</f>
        <v/>
      </c>
    </row>
    <row r="19257" spans="15:15" x14ac:dyDescent="0.25">
      <c r="O19257" s="20" t="str">
        <f>IF(N19257="","",COUNTIFS(RawData[[Date ]],N19257,RawData[Month List],$Q$6,RawData[Tour/Site],$Q$2,RawData[[Picker ID ]],$Q$3,RawData[Checker ID],$Q$4,RawData[[Error Type ]],$Q$5))</f>
        <v/>
      </c>
    </row>
    <row r="19258" spans="15:15" x14ac:dyDescent="0.25">
      <c r="O19258" s="20" t="str">
        <f>IF(N19258="","",COUNTIFS(RawData[[Date ]],N19258,RawData[Month List],$Q$6,RawData[Tour/Site],$Q$2,RawData[[Picker ID ]],$Q$3,RawData[Checker ID],$Q$4,RawData[[Error Type ]],$Q$5))</f>
        <v/>
      </c>
    </row>
    <row r="19259" spans="15:15" x14ac:dyDescent="0.25">
      <c r="O19259" s="20" t="str">
        <f>IF(N19259="","",COUNTIFS(RawData[[Date ]],N19259,RawData[Month List],$Q$6,RawData[Tour/Site],$Q$2,RawData[[Picker ID ]],$Q$3,RawData[Checker ID],$Q$4,RawData[[Error Type ]],$Q$5))</f>
        <v/>
      </c>
    </row>
    <row r="19260" spans="15:15" x14ac:dyDescent="0.25">
      <c r="O19260" s="20" t="str">
        <f>IF(N19260="","",COUNTIFS(RawData[[Date ]],N19260,RawData[Month List],$Q$6,RawData[Tour/Site],$Q$2,RawData[[Picker ID ]],$Q$3,RawData[Checker ID],$Q$4,RawData[[Error Type ]],$Q$5))</f>
        <v/>
      </c>
    </row>
    <row r="19261" spans="15:15" x14ac:dyDescent="0.25">
      <c r="O19261" s="20" t="str">
        <f>IF(N19261="","",COUNTIFS(RawData[[Date ]],N19261,RawData[Month List],$Q$6,RawData[Tour/Site],$Q$2,RawData[[Picker ID ]],$Q$3,RawData[Checker ID],$Q$4,RawData[[Error Type ]],$Q$5))</f>
        <v/>
      </c>
    </row>
    <row r="19262" spans="15:15" x14ac:dyDescent="0.25">
      <c r="O19262" s="20" t="str">
        <f>IF(N19262="","",COUNTIFS(RawData[[Date ]],N19262,RawData[Month List],$Q$6,RawData[Tour/Site],$Q$2,RawData[[Picker ID ]],$Q$3,RawData[Checker ID],$Q$4,RawData[[Error Type ]],$Q$5))</f>
        <v/>
      </c>
    </row>
    <row r="19263" spans="15:15" x14ac:dyDescent="0.25">
      <c r="O19263" s="20" t="str">
        <f>IF(N19263="","",COUNTIFS(RawData[[Date ]],N19263,RawData[Month List],$Q$6,RawData[Tour/Site],$Q$2,RawData[[Picker ID ]],$Q$3,RawData[Checker ID],$Q$4,RawData[[Error Type ]],$Q$5))</f>
        <v/>
      </c>
    </row>
    <row r="19264" spans="15:15" x14ac:dyDescent="0.25">
      <c r="O19264" s="20" t="str">
        <f>IF(N19264="","",COUNTIFS(RawData[[Date ]],N19264,RawData[Month List],$Q$6,RawData[Tour/Site],$Q$2,RawData[[Picker ID ]],$Q$3,RawData[Checker ID],$Q$4,RawData[[Error Type ]],$Q$5))</f>
        <v/>
      </c>
    </row>
    <row r="19265" spans="15:15" x14ac:dyDescent="0.25">
      <c r="O19265" s="20" t="str">
        <f>IF(N19265="","",COUNTIFS(RawData[[Date ]],N19265,RawData[Month List],$Q$6,RawData[Tour/Site],$Q$2,RawData[[Picker ID ]],$Q$3,RawData[Checker ID],$Q$4,RawData[[Error Type ]],$Q$5))</f>
        <v/>
      </c>
    </row>
    <row r="19266" spans="15:15" x14ac:dyDescent="0.25">
      <c r="O19266" s="20" t="str">
        <f>IF(N19266="","",COUNTIFS(RawData[[Date ]],N19266,RawData[Month List],$Q$6,RawData[Tour/Site],$Q$2,RawData[[Picker ID ]],$Q$3,RawData[Checker ID],$Q$4,RawData[[Error Type ]],$Q$5))</f>
        <v/>
      </c>
    </row>
    <row r="19267" spans="15:15" x14ac:dyDescent="0.25">
      <c r="O19267" s="20" t="str">
        <f>IF(N19267="","",COUNTIFS(RawData[[Date ]],N19267,RawData[Month List],$Q$6,RawData[Tour/Site],$Q$2,RawData[[Picker ID ]],$Q$3,RawData[Checker ID],$Q$4,RawData[[Error Type ]],$Q$5))</f>
        <v/>
      </c>
    </row>
    <row r="19268" spans="15:15" x14ac:dyDescent="0.25">
      <c r="O19268" s="20" t="str">
        <f>IF(N19268="","",COUNTIFS(RawData[[Date ]],N19268,RawData[Month List],$Q$6,RawData[Tour/Site],$Q$2,RawData[[Picker ID ]],$Q$3,RawData[Checker ID],$Q$4,RawData[[Error Type ]],$Q$5))</f>
        <v/>
      </c>
    </row>
    <row r="19269" spans="15:15" x14ac:dyDescent="0.25">
      <c r="O19269" s="20" t="str">
        <f>IF(N19269="","",COUNTIFS(RawData[[Date ]],N19269,RawData[Month List],$Q$6,RawData[Tour/Site],$Q$2,RawData[[Picker ID ]],$Q$3,RawData[Checker ID],$Q$4,RawData[[Error Type ]],$Q$5))</f>
        <v/>
      </c>
    </row>
    <row r="19270" spans="15:15" x14ac:dyDescent="0.25">
      <c r="O19270" s="20" t="str">
        <f>IF(N19270="","",COUNTIFS(RawData[[Date ]],N19270,RawData[Month List],$Q$6,RawData[Tour/Site],$Q$2,RawData[[Picker ID ]],$Q$3,RawData[Checker ID],$Q$4,RawData[[Error Type ]],$Q$5))</f>
        <v/>
      </c>
    </row>
    <row r="19271" spans="15:15" x14ac:dyDescent="0.25">
      <c r="O19271" s="20" t="str">
        <f>IF(N19271="","",COUNTIFS(RawData[[Date ]],N19271,RawData[Month List],$Q$6,RawData[Tour/Site],$Q$2,RawData[[Picker ID ]],$Q$3,RawData[Checker ID],$Q$4,RawData[[Error Type ]],$Q$5))</f>
        <v/>
      </c>
    </row>
    <row r="19272" spans="15:15" x14ac:dyDescent="0.25">
      <c r="O19272" s="20" t="str">
        <f>IF(N19272="","",COUNTIFS(RawData[[Date ]],N19272,RawData[Month List],$Q$6,RawData[Tour/Site],$Q$2,RawData[[Picker ID ]],$Q$3,RawData[Checker ID],$Q$4,RawData[[Error Type ]],$Q$5))</f>
        <v/>
      </c>
    </row>
    <row r="19273" spans="15:15" x14ac:dyDescent="0.25">
      <c r="O19273" s="20" t="str">
        <f>IF(N19273="","",COUNTIFS(RawData[[Date ]],N19273,RawData[Month List],$Q$6,RawData[Tour/Site],$Q$2,RawData[[Picker ID ]],$Q$3,RawData[Checker ID],$Q$4,RawData[[Error Type ]],$Q$5))</f>
        <v/>
      </c>
    </row>
    <row r="19274" spans="15:15" x14ac:dyDescent="0.25">
      <c r="O19274" s="20" t="str">
        <f>IF(N19274="","",COUNTIFS(RawData[[Date ]],N19274,RawData[Month List],$Q$6,RawData[Tour/Site],$Q$2,RawData[[Picker ID ]],$Q$3,RawData[Checker ID],$Q$4,RawData[[Error Type ]],$Q$5))</f>
        <v/>
      </c>
    </row>
    <row r="19275" spans="15:15" x14ac:dyDescent="0.25">
      <c r="O19275" s="20" t="str">
        <f>IF(N19275="","",COUNTIFS(RawData[[Date ]],N19275,RawData[Month List],$Q$6,RawData[Tour/Site],$Q$2,RawData[[Picker ID ]],$Q$3,RawData[Checker ID],$Q$4,RawData[[Error Type ]],$Q$5))</f>
        <v/>
      </c>
    </row>
    <row r="19276" spans="15:15" x14ac:dyDescent="0.25">
      <c r="O19276" s="20" t="str">
        <f>IF(N19276="","",COUNTIFS(RawData[[Date ]],N19276,RawData[Month List],$Q$6,RawData[Tour/Site],$Q$2,RawData[[Picker ID ]],$Q$3,RawData[Checker ID],$Q$4,RawData[[Error Type ]],$Q$5))</f>
        <v/>
      </c>
    </row>
    <row r="19277" spans="15:15" x14ac:dyDescent="0.25">
      <c r="O19277" s="20" t="str">
        <f>IF(N19277="","",COUNTIFS(RawData[[Date ]],N19277,RawData[Month List],$Q$6,RawData[Tour/Site],$Q$2,RawData[[Picker ID ]],$Q$3,RawData[Checker ID],$Q$4,RawData[[Error Type ]],$Q$5))</f>
        <v/>
      </c>
    </row>
    <row r="19278" spans="15:15" x14ac:dyDescent="0.25">
      <c r="O19278" s="20" t="str">
        <f>IF(N19278="","",COUNTIFS(RawData[[Date ]],N19278,RawData[Month List],$Q$6,RawData[Tour/Site],$Q$2,RawData[[Picker ID ]],$Q$3,RawData[Checker ID],$Q$4,RawData[[Error Type ]],$Q$5))</f>
        <v/>
      </c>
    </row>
    <row r="19279" spans="15:15" x14ac:dyDescent="0.25">
      <c r="O19279" s="20" t="str">
        <f>IF(N19279="","",COUNTIFS(RawData[[Date ]],N19279,RawData[Month List],$Q$6,RawData[Tour/Site],$Q$2,RawData[[Picker ID ]],$Q$3,RawData[Checker ID],$Q$4,RawData[[Error Type ]],$Q$5))</f>
        <v/>
      </c>
    </row>
    <row r="19280" spans="15:15" x14ac:dyDescent="0.25">
      <c r="O19280" s="20" t="str">
        <f>IF(N19280="","",COUNTIFS(RawData[[Date ]],N19280,RawData[Month List],$Q$6,RawData[Tour/Site],$Q$2,RawData[[Picker ID ]],$Q$3,RawData[Checker ID],$Q$4,RawData[[Error Type ]],$Q$5))</f>
        <v/>
      </c>
    </row>
    <row r="19281" spans="15:15" x14ac:dyDescent="0.25">
      <c r="O19281" s="20" t="str">
        <f>IF(N19281="","",COUNTIFS(RawData[[Date ]],N19281,RawData[Month List],$Q$6,RawData[Tour/Site],$Q$2,RawData[[Picker ID ]],$Q$3,RawData[Checker ID],$Q$4,RawData[[Error Type ]],$Q$5))</f>
        <v/>
      </c>
    </row>
    <row r="19282" spans="15:15" x14ac:dyDescent="0.25">
      <c r="O19282" s="20" t="str">
        <f>IF(N19282="","",COUNTIFS(RawData[[Date ]],N19282,RawData[Month List],$Q$6,RawData[Tour/Site],$Q$2,RawData[[Picker ID ]],$Q$3,RawData[Checker ID],$Q$4,RawData[[Error Type ]],$Q$5))</f>
        <v/>
      </c>
    </row>
    <row r="19283" spans="15:15" x14ac:dyDescent="0.25">
      <c r="O19283" s="20" t="str">
        <f>IF(N19283="","",COUNTIFS(RawData[[Date ]],N19283,RawData[Month List],$Q$6,RawData[Tour/Site],$Q$2,RawData[[Picker ID ]],$Q$3,RawData[Checker ID],$Q$4,RawData[[Error Type ]],$Q$5))</f>
        <v/>
      </c>
    </row>
    <row r="19284" spans="15:15" x14ac:dyDescent="0.25">
      <c r="O19284" s="20" t="str">
        <f>IF(N19284="","",COUNTIFS(RawData[[Date ]],N19284,RawData[Month List],$Q$6,RawData[Tour/Site],$Q$2,RawData[[Picker ID ]],$Q$3,RawData[Checker ID],$Q$4,RawData[[Error Type ]],$Q$5))</f>
        <v/>
      </c>
    </row>
    <row r="19285" spans="15:15" x14ac:dyDescent="0.25">
      <c r="O19285" s="20" t="str">
        <f>IF(N19285="","",COUNTIFS(RawData[[Date ]],N19285,RawData[Month List],$Q$6,RawData[Tour/Site],$Q$2,RawData[[Picker ID ]],$Q$3,RawData[Checker ID],$Q$4,RawData[[Error Type ]],$Q$5))</f>
        <v/>
      </c>
    </row>
    <row r="19286" spans="15:15" x14ac:dyDescent="0.25">
      <c r="O19286" s="20" t="str">
        <f>IF(N19286="","",COUNTIFS(RawData[[Date ]],N19286,RawData[Month List],$Q$6,RawData[Tour/Site],$Q$2,RawData[[Picker ID ]],$Q$3,RawData[Checker ID],$Q$4,RawData[[Error Type ]],$Q$5))</f>
        <v/>
      </c>
    </row>
    <row r="19287" spans="15:15" x14ac:dyDescent="0.25">
      <c r="O19287" s="20" t="str">
        <f>IF(N19287="","",COUNTIFS(RawData[[Date ]],N19287,RawData[Month List],$Q$6,RawData[Tour/Site],$Q$2,RawData[[Picker ID ]],$Q$3,RawData[Checker ID],$Q$4,RawData[[Error Type ]],$Q$5))</f>
        <v/>
      </c>
    </row>
    <row r="19288" spans="15:15" x14ac:dyDescent="0.25">
      <c r="O19288" s="20" t="str">
        <f>IF(N19288="","",COUNTIFS(RawData[[Date ]],N19288,RawData[Month List],$Q$6,RawData[Tour/Site],$Q$2,RawData[[Picker ID ]],$Q$3,RawData[Checker ID],$Q$4,RawData[[Error Type ]],$Q$5))</f>
        <v/>
      </c>
    </row>
    <row r="19289" spans="15:15" x14ac:dyDescent="0.25">
      <c r="O19289" s="20" t="str">
        <f>IF(N19289="","",COUNTIFS(RawData[[Date ]],N19289,RawData[Month List],$Q$6,RawData[Tour/Site],$Q$2,RawData[[Picker ID ]],$Q$3,RawData[Checker ID],$Q$4,RawData[[Error Type ]],$Q$5))</f>
        <v/>
      </c>
    </row>
    <row r="19290" spans="15:15" x14ac:dyDescent="0.25">
      <c r="O19290" s="20" t="str">
        <f>IF(N19290="","",COUNTIFS(RawData[[Date ]],N19290,RawData[Month List],$Q$6,RawData[Tour/Site],$Q$2,RawData[[Picker ID ]],$Q$3,RawData[Checker ID],$Q$4,RawData[[Error Type ]],$Q$5))</f>
        <v/>
      </c>
    </row>
    <row r="19291" spans="15:15" x14ac:dyDescent="0.25">
      <c r="O19291" s="20" t="str">
        <f>IF(N19291="","",COUNTIFS(RawData[[Date ]],N19291,RawData[Month List],$Q$6,RawData[Tour/Site],$Q$2,RawData[[Picker ID ]],$Q$3,RawData[Checker ID],$Q$4,RawData[[Error Type ]],$Q$5))</f>
        <v/>
      </c>
    </row>
    <row r="19292" spans="15:15" x14ac:dyDescent="0.25">
      <c r="O19292" s="20" t="str">
        <f>IF(N19292="","",COUNTIFS(RawData[[Date ]],N19292,RawData[Month List],$Q$6,RawData[Tour/Site],$Q$2,RawData[[Picker ID ]],$Q$3,RawData[Checker ID],$Q$4,RawData[[Error Type ]],$Q$5))</f>
        <v/>
      </c>
    </row>
    <row r="19293" spans="15:15" x14ac:dyDescent="0.25">
      <c r="O19293" s="20" t="str">
        <f>IF(N19293="","",COUNTIFS(RawData[[Date ]],N19293,RawData[Month List],$Q$6,RawData[Tour/Site],$Q$2,RawData[[Picker ID ]],$Q$3,RawData[Checker ID],$Q$4,RawData[[Error Type ]],$Q$5))</f>
        <v/>
      </c>
    </row>
    <row r="19294" spans="15:15" x14ac:dyDescent="0.25">
      <c r="O19294" s="20" t="str">
        <f>IF(N19294="","",COUNTIFS(RawData[[Date ]],N19294,RawData[Month List],$Q$6,RawData[Tour/Site],$Q$2,RawData[[Picker ID ]],$Q$3,RawData[Checker ID],$Q$4,RawData[[Error Type ]],$Q$5))</f>
        <v/>
      </c>
    </row>
    <row r="19295" spans="15:15" x14ac:dyDescent="0.25">
      <c r="O19295" s="20" t="str">
        <f>IF(N19295="","",COUNTIFS(RawData[[Date ]],N19295,RawData[Month List],$Q$6,RawData[Tour/Site],$Q$2,RawData[[Picker ID ]],$Q$3,RawData[Checker ID],$Q$4,RawData[[Error Type ]],$Q$5))</f>
        <v/>
      </c>
    </row>
    <row r="19296" spans="15:15" x14ac:dyDescent="0.25">
      <c r="O19296" s="20" t="str">
        <f>IF(N19296="","",COUNTIFS(RawData[[Date ]],N19296,RawData[Month List],$Q$6,RawData[Tour/Site],$Q$2,RawData[[Picker ID ]],$Q$3,RawData[Checker ID],$Q$4,RawData[[Error Type ]],$Q$5))</f>
        <v/>
      </c>
    </row>
    <row r="19297" spans="15:15" x14ac:dyDescent="0.25">
      <c r="O19297" s="20" t="str">
        <f>IF(N19297="","",COUNTIFS(RawData[[Date ]],N19297,RawData[Month List],$Q$6,RawData[Tour/Site],$Q$2,RawData[[Picker ID ]],$Q$3,RawData[Checker ID],$Q$4,RawData[[Error Type ]],$Q$5))</f>
        <v/>
      </c>
    </row>
    <row r="19298" spans="15:15" x14ac:dyDescent="0.25">
      <c r="O19298" s="20" t="str">
        <f>IF(N19298="","",COUNTIFS(RawData[[Date ]],N19298,RawData[Month List],$Q$6,RawData[Tour/Site],$Q$2,RawData[[Picker ID ]],$Q$3,RawData[Checker ID],$Q$4,RawData[[Error Type ]],$Q$5))</f>
        <v/>
      </c>
    </row>
    <row r="19299" spans="15:15" x14ac:dyDescent="0.25">
      <c r="O19299" s="20" t="str">
        <f>IF(N19299="","",COUNTIFS(RawData[[Date ]],N19299,RawData[Month List],$Q$6,RawData[Tour/Site],$Q$2,RawData[[Picker ID ]],$Q$3,RawData[Checker ID],$Q$4,RawData[[Error Type ]],$Q$5))</f>
        <v/>
      </c>
    </row>
    <row r="19300" spans="15:15" x14ac:dyDescent="0.25">
      <c r="O19300" s="20" t="str">
        <f>IF(N19300="","",COUNTIFS(RawData[[Date ]],N19300,RawData[Month List],$Q$6,RawData[Tour/Site],$Q$2,RawData[[Picker ID ]],$Q$3,RawData[Checker ID],$Q$4,RawData[[Error Type ]],$Q$5))</f>
        <v/>
      </c>
    </row>
    <row r="19301" spans="15:15" x14ac:dyDescent="0.25">
      <c r="O19301" s="20" t="str">
        <f>IF(N19301="","",COUNTIFS(RawData[[Date ]],N19301,RawData[Month List],$Q$6,RawData[Tour/Site],$Q$2,RawData[[Picker ID ]],$Q$3,RawData[Checker ID],$Q$4,RawData[[Error Type ]],$Q$5))</f>
        <v/>
      </c>
    </row>
    <row r="19302" spans="15:15" x14ac:dyDescent="0.25">
      <c r="O19302" s="20" t="str">
        <f>IF(N19302="","",COUNTIFS(RawData[[Date ]],N19302,RawData[Month List],$Q$6,RawData[Tour/Site],$Q$2,RawData[[Picker ID ]],$Q$3,RawData[Checker ID],$Q$4,RawData[[Error Type ]],$Q$5))</f>
        <v/>
      </c>
    </row>
    <row r="19303" spans="15:15" x14ac:dyDescent="0.25">
      <c r="O19303" s="20" t="str">
        <f>IF(N19303="","",COUNTIFS(RawData[[Date ]],N19303,RawData[Month List],$Q$6,RawData[Tour/Site],$Q$2,RawData[[Picker ID ]],$Q$3,RawData[Checker ID],$Q$4,RawData[[Error Type ]],$Q$5))</f>
        <v/>
      </c>
    </row>
    <row r="19304" spans="15:15" x14ac:dyDescent="0.25">
      <c r="O19304" s="20" t="str">
        <f>IF(N19304="","",COUNTIFS(RawData[[Date ]],N19304,RawData[Month List],$Q$6,RawData[Tour/Site],$Q$2,RawData[[Picker ID ]],$Q$3,RawData[Checker ID],$Q$4,RawData[[Error Type ]],$Q$5))</f>
        <v/>
      </c>
    </row>
    <row r="19305" spans="15:15" x14ac:dyDescent="0.25">
      <c r="O19305" s="20" t="str">
        <f>IF(N19305="","",COUNTIFS(RawData[[Date ]],N19305,RawData[Month List],$Q$6,RawData[Tour/Site],$Q$2,RawData[[Picker ID ]],$Q$3,RawData[Checker ID],$Q$4,RawData[[Error Type ]],$Q$5))</f>
        <v/>
      </c>
    </row>
    <row r="19306" spans="15:15" x14ac:dyDescent="0.25">
      <c r="O19306" s="20" t="str">
        <f>IF(N19306="","",COUNTIFS(RawData[[Date ]],N19306,RawData[Month List],$Q$6,RawData[Tour/Site],$Q$2,RawData[[Picker ID ]],$Q$3,RawData[Checker ID],$Q$4,RawData[[Error Type ]],$Q$5))</f>
        <v/>
      </c>
    </row>
    <row r="19307" spans="15:15" x14ac:dyDescent="0.25">
      <c r="O19307" s="20" t="str">
        <f>IF(N19307="","",COUNTIFS(RawData[[Date ]],N19307,RawData[Month List],$Q$6,RawData[Tour/Site],$Q$2,RawData[[Picker ID ]],$Q$3,RawData[Checker ID],$Q$4,RawData[[Error Type ]],$Q$5))</f>
        <v/>
      </c>
    </row>
    <row r="19308" spans="15:15" x14ac:dyDescent="0.25">
      <c r="O19308" s="20" t="str">
        <f>IF(N19308="","",COUNTIFS(RawData[[Date ]],N19308,RawData[Month List],$Q$6,RawData[Tour/Site],$Q$2,RawData[[Picker ID ]],$Q$3,RawData[Checker ID],$Q$4,RawData[[Error Type ]],$Q$5))</f>
        <v/>
      </c>
    </row>
    <row r="19309" spans="15:15" x14ac:dyDescent="0.25">
      <c r="O19309" s="20" t="str">
        <f>IF(N19309="","",COUNTIFS(RawData[[Date ]],N19309,RawData[Month List],$Q$6,RawData[Tour/Site],$Q$2,RawData[[Picker ID ]],$Q$3,RawData[Checker ID],$Q$4,RawData[[Error Type ]],$Q$5))</f>
        <v/>
      </c>
    </row>
    <row r="19310" spans="15:15" x14ac:dyDescent="0.25">
      <c r="O19310" s="20" t="str">
        <f>IF(N19310="","",COUNTIFS(RawData[[Date ]],N19310,RawData[Month List],$Q$6,RawData[Tour/Site],$Q$2,RawData[[Picker ID ]],$Q$3,RawData[Checker ID],$Q$4,RawData[[Error Type ]],$Q$5))</f>
        <v/>
      </c>
    </row>
    <row r="19311" spans="15:15" x14ac:dyDescent="0.25">
      <c r="O19311" s="20" t="str">
        <f>IF(N19311="","",COUNTIFS(RawData[[Date ]],N19311,RawData[Month List],$Q$6,RawData[Tour/Site],$Q$2,RawData[[Picker ID ]],$Q$3,RawData[Checker ID],$Q$4,RawData[[Error Type ]],$Q$5))</f>
        <v/>
      </c>
    </row>
    <row r="19312" spans="15:15" x14ac:dyDescent="0.25">
      <c r="O19312" s="20" t="str">
        <f>IF(N19312="","",COUNTIFS(RawData[[Date ]],N19312,RawData[Month List],$Q$6,RawData[Tour/Site],$Q$2,RawData[[Picker ID ]],$Q$3,RawData[Checker ID],$Q$4,RawData[[Error Type ]],$Q$5))</f>
        <v/>
      </c>
    </row>
    <row r="19313" spans="15:15" x14ac:dyDescent="0.25">
      <c r="O19313" s="20" t="str">
        <f>IF(N19313="","",COUNTIFS(RawData[[Date ]],N19313,RawData[Month List],$Q$6,RawData[Tour/Site],$Q$2,RawData[[Picker ID ]],$Q$3,RawData[Checker ID],$Q$4,RawData[[Error Type ]],$Q$5))</f>
        <v/>
      </c>
    </row>
    <row r="19314" spans="15:15" x14ac:dyDescent="0.25">
      <c r="O19314" s="20" t="str">
        <f>IF(N19314="","",COUNTIFS(RawData[[Date ]],N19314,RawData[Month List],$Q$6,RawData[Tour/Site],$Q$2,RawData[[Picker ID ]],$Q$3,RawData[Checker ID],$Q$4,RawData[[Error Type ]],$Q$5))</f>
        <v/>
      </c>
    </row>
    <row r="19315" spans="15:15" x14ac:dyDescent="0.25">
      <c r="O19315" s="20" t="str">
        <f>IF(N19315="","",COUNTIFS(RawData[[Date ]],N19315,RawData[Month List],$Q$6,RawData[Tour/Site],$Q$2,RawData[[Picker ID ]],$Q$3,RawData[Checker ID],$Q$4,RawData[[Error Type ]],$Q$5))</f>
        <v/>
      </c>
    </row>
    <row r="19316" spans="15:15" x14ac:dyDescent="0.25">
      <c r="O19316" s="20" t="str">
        <f>IF(N19316="","",COUNTIFS(RawData[[Date ]],N19316,RawData[Month List],$Q$6,RawData[Tour/Site],$Q$2,RawData[[Picker ID ]],$Q$3,RawData[Checker ID],$Q$4,RawData[[Error Type ]],$Q$5))</f>
        <v/>
      </c>
    </row>
    <row r="19317" spans="15:15" x14ac:dyDescent="0.25">
      <c r="O19317" s="20" t="str">
        <f>IF(N19317="","",COUNTIFS(RawData[[Date ]],N19317,RawData[Month List],$Q$6,RawData[Tour/Site],$Q$2,RawData[[Picker ID ]],$Q$3,RawData[Checker ID],$Q$4,RawData[[Error Type ]],$Q$5))</f>
        <v/>
      </c>
    </row>
    <row r="19318" spans="15:15" x14ac:dyDescent="0.25">
      <c r="O19318" s="20" t="str">
        <f>IF(N19318="","",COUNTIFS(RawData[[Date ]],N19318,RawData[Month List],$Q$6,RawData[Tour/Site],$Q$2,RawData[[Picker ID ]],$Q$3,RawData[Checker ID],$Q$4,RawData[[Error Type ]],$Q$5))</f>
        <v/>
      </c>
    </row>
    <row r="19319" spans="15:15" x14ac:dyDescent="0.25">
      <c r="O19319" s="20" t="str">
        <f>IF(N19319="","",COUNTIFS(RawData[[Date ]],N19319,RawData[Month List],$Q$6,RawData[Tour/Site],$Q$2,RawData[[Picker ID ]],$Q$3,RawData[Checker ID],$Q$4,RawData[[Error Type ]],$Q$5))</f>
        <v/>
      </c>
    </row>
    <row r="19320" spans="15:15" x14ac:dyDescent="0.25">
      <c r="O19320" s="20" t="str">
        <f>IF(N19320="","",COUNTIFS(RawData[[Date ]],N19320,RawData[Month List],$Q$6,RawData[Tour/Site],$Q$2,RawData[[Picker ID ]],$Q$3,RawData[Checker ID],$Q$4,RawData[[Error Type ]],$Q$5))</f>
        <v/>
      </c>
    </row>
    <row r="19321" spans="15:15" x14ac:dyDescent="0.25">
      <c r="O19321" s="20" t="str">
        <f>IF(N19321="","",COUNTIFS(RawData[[Date ]],N19321,RawData[Month List],$Q$6,RawData[Tour/Site],$Q$2,RawData[[Picker ID ]],$Q$3,RawData[Checker ID],$Q$4,RawData[[Error Type ]],$Q$5))</f>
        <v/>
      </c>
    </row>
    <row r="19322" spans="15:15" x14ac:dyDescent="0.25">
      <c r="O19322" s="20" t="str">
        <f>IF(N19322="","",COUNTIFS(RawData[[Date ]],N19322,RawData[Month List],$Q$6,RawData[Tour/Site],$Q$2,RawData[[Picker ID ]],$Q$3,RawData[Checker ID],$Q$4,RawData[[Error Type ]],$Q$5))</f>
        <v/>
      </c>
    </row>
    <row r="19323" spans="15:15" x14ac:dyDescent="0.25">
      <c r="O19323" s="20" t="str">
        <f>IF(N19323="","",COUNTIFS(RawData[[Date ]],N19323,RawData[Month List],$Q$6,RawData[Tour/Site],$Q$2,RawData[[Picker ID ]],$Q$3,RawData[Checker ID],$Q$4,RawData[[Error Type ]],$Q$5))</f>
        <v/>
      </c>
    </row>
    <row r="19324" spans="15:15" x14ac:dyDescent="0.25">
      <c r="O19324" s="20" t="str">
        <f>IF(N19324="","",COUNTIFS(RawData[[Date ]],N19324,RawData[Month List],$Q$6,RawData[Tour/Site],$Q$2,RawData[[Picker ID ]],$Q$3,RawData[Checker ID],$Q$4,RawData[[Error Type ]],$Q$5))</f>
        <v/>
      </c>
    </row>
    <row r="19325" spans="15:15" x14ac:dyDescent="0.25">
      <c r="O19325" s="20" t="str">
        <f>IF(N19325="","",COUNTIFS(RawData[[Date ]],N19325,RawData[Month List],$Q$6,RawData[Tour/Site],$Q$2,RawData[[Picker ID ]],$Q$3,RawData[Checker ID],$Q$4,RawData[[Error Type ]],$Q$5))</f>
        <v/>
      </c>
    </row>
    <row r="19326" spans="15:15" x14ac:dyDescent="0.25">
      <c r="O19326" s="20" t="str">
        <f>IF(N19326="","",COUNTIFS(RawData[[Date ]],N19326,RawData[Month List],$Q$6,RawData[Tour/Site],$Q$2,RawData[[Picker ID ]],$Q$3,RawData[Checker ID],$Q$4,RawData[[Error Type ]],$Q$5))</f>
        <v/>
      </c>
    </row>
    <row r="19327" spans="15:15" x14ac:dyDescent="0.25">
      <c r="O19327" s="20" t="str">
        <f>IF(N19327="","",COUNTIFS(RawData[[Date ]],N19327,RawData[Month List],$Q$6,RawData[Tour/Site],$Q$2,RawData[[Picker ID ]],$Q$3,RawData[Checker ID],$Q$4,RawData[[Error Type ]],$Q$5))</f>
        <v/>
      </c>
    </row>
    <row r="19328" spans="15:15" x14ac:dyDescent="0.25">
      <c r="O19328" s="20" t="str">
        <f>IF(N19328="","",COUNTIFS(RawData[[Date ]],N19328,RawData[Month List],$Q$6,RawData[Tour/Site],$Q$2,RawData[[Picker ID ]],$Q$3,RawData[Checker ID],$Q$4,RawData[[Error Type ]],$Q$5))</f>
        <v/>
      </c>
    </row>
    <row r="19329" spans="15:15" x14ac:dyDescent="0.25">
      <c r="O19329" s="20" t="str">
        <f>IF(N19329="","",COUNTIFS(RawData[[Date ]],N19329,RawData[Month List],$Q$6,RawData[Tour/Site],$Q$2,RawData[[Picker ID ]],$Q$3,RawData[Checker ID],$Q$4,RawData[[Error Type ]],$Q$5))</f>
        <v/>
      </c>
    </row>
    <row r="19330" spans="15:15" x14ac:dyDescent="0.25">
      <c r="O19330" s="20" t="str">
        <f>IF(N19330="","",COUNTIFS(RawData[[Date ]],N19330,RawData[Month List],$Q$6,RawData[Tour/Site],$Q$2,RawData[[Picker ID ]],$Q$3,RawData[Checker ID],$Q$4,RawData[[Error Type ]],$Q$5))</f>
        <v/>
      </c>
    </row>
    <row r="19331" spans="15:15" x14ac:dyDescent="0.25">
      <c r="O19331" s="20" t="str">
        <f>IF(N19331="","",COUNTIFS(RawData[[Date ]],N19331,RawData[Month List],$Q$6,RawData[Tour/Site],$Q$2,RawData[[Picker ID ]],$Q$3,RawData[Checker ID],$Q$4,RawData[[Error Type ]],$Q$5))</f>
        <v/>
      </c>
    </row>
    <row r="19332" spans="15:15" x14ac:dyDescent="0.25">
      <c r="O19332" s="20" t="str">
        <f>IF(N19332="","",COUNTIFS(RawData[[Date ]],N19332,RawData[Month List],$Q$6,RawData[Tour/Site],$Q$2,RawData[[Picker ID ]],$Q$3,RawData[Checker ID],$Q$4,RawData[[Error Type ]],$Q$5))</f>
        <v/>
      </c>
    </row>
    <row r="19333" spans="15:15" x14ac:dyDescent="0.25">
      <c r="O19333" s="20" t="str">
        <f>IF(N19333="","",COUNTIFS(RawData[[Date ]],N19333,RawData[Month List],$Q$6,RawData[Tour/Site],$Q$2,RawData[[Picker ID ]],$Q$3,RawData[Checker ID],$Q$4,RawData[[Error Type ]],$Q$5))</f>
        <v/>
      </c>
    </row>
    <row r="19334" spans="15:15" x14ac:dyDescent="0.25">
      <c r="O19334" s="20" t="str">
        <f>IF(N19334="","",COUNTIFS(RawData[[Date ]],N19334,RawData[Month List],$Q$6,RawData[Tour/Site],$Q$2,RawData[[Picker ID ]],$Q$3,RawData[Checker ID],$Q$4,RawData[[Error Type ]],$Q$5))</f>
        <v/>
      </c>
    </row>
    <row r="19335" spans="15:15" x14ac:dyDescent="0.25">
      <c r="O19335" s="20" t="str">
        <f>IF(N19335="","",COUNTIFS(RawData[[Date ]],N19335,RawData[Month List],$Q$6,RawData[Tour/Site],$Q$2,RawData[[Picker ID ]],$Q$3,RawData[Checker ID],$Q$4,RawData[[Error Type ]],$Q$5))</f>
        <v/>
      </c>
    </row>
    <row r="19336" spans="15:15" x14ac:dyDescent="0.25">
      <c r="O19336" s="20" t="str">
        <f>IF(N19336="","",COUNTIFS(RawData[[Date ]],N19336,RawData[Month List],$Q$6,RawData[Tour/Site],$Q$2,RawData[[Picker ID ]],$Q$3,RawData[Checker ID],$Q$4,RawData[[Error Type ]],$Q$5))</f>
        <v/>
      </c>
    </row>
    <row r="19337" spans="15:15" x14ac:dyDescent="0.25">
      <c r="O19337" s="20" t="str">
        <f>IF(N19337="","",COUNTIFS(RawData[[Date ]],N19337,RawData[Month List],$Q$6,RawData[Tour/Site],$Q$2,RawData[[Picker ID ]],$Q$3,RawData[Checker ID],$Q$4,RawData[[Error Type ]],$Q$5))</f>
        <v/>
      </c>
    </row>
    <row r="19338" spans="15:15" x14ac:dyDescent="0.25">
      <c r="O19338" s="20" t="str">
        <f>IF(N19338="","",COUNTIFS(RawData[[Date ]],N19338,RawData[Month List],$Q$6,RawData[Tour/Site],$Q$2,RawData[[Picker ID ]],$Q$3,RawData[Checker ID],$Q$4,RawData[[Error Type ]],$Q$5))</f>
        <v/>
      </c>
    </row>
    <row r="19339" spans="15:15" x14ac:dyDescent="0.25">
      <c r="O19339" s="20" t="str">
        <f>IF(N19339="","",COUNTIFS(RawData[[Date ]],N19339,RawData[Month List],$Q$6,RawData[Tour/Site],$Q$2,RawData[[Picker ID ]],$Q$3,RawData[Checker ID],$Q$4,RawData[[Error Type ]],$Q$5))</f>
        <v/>
      </c>
    </row>
    <row r="19340" spans="15:15" x14ac:dyDescent="0.25">
      <c r="O19340" s="20" t="str">
        <f>IF(N19340="","",COUNTIFS(RawData[[Date ]],N19340,RawData[Month List],$Q$6,RawData[Tour/Site],$Q$2,RawData[[Picker ID ]],$Q$3,RawData[Checker ID],$Q$4,RawData[[Error Type ]],$Q$5))</f>
        <v/>
      </c>
    </row>
    <row r="19341" spans="15:15" x14ac:dyDescent="0.25">
      <c r="O19341" s="20" t="str">
        <f>IF(N19341="","",COUNTIFS(RawData[[Date ]],N19341,RawData[Month List],$Q$6,RawData[Tour/Site],$Q$2,RawData[[Picker ID ]],$Q$3,RawData[Checker ID],$Q$4,RawData[[Error Type ]],$Q$5))</f>
        <v/>
      </c>
    </row>
    <row r="19342" spans="15:15" x14ac:dyDescent="0.25">
      <c r="O19342" s="20" t="str">
        <f>IF(N19342="","",COUNTIFS(RawData[[Date ]],N19342,RawData[Month List],$Q$6,RawData[Tour/Site],$Q$2,RawData[[Picker ID ]],$Q$3,RawData[Checker ID],$Q$4,RawData[[Error Type ]],$Q$5))</f>
        <v/>
      </c>
    </row>
    <row r="19343" spans="15:15" x14ac:dyDescent="0.25">
      <c r="O19343" s="20" t="str">
        <f>IF(N19343="","",COUNTIFS(RawData[[Date ]],N19343,RawData[Month List],$Q$6,RawData[Tour/Site],$Q$2,RawData[[Picker ID ]],$Q$3,RawData[Checker ID],$Q$4,RawData[[Error Type ]],$Q$5))</f>
        <v/>
      </c>
    </row>
    <row r="19344" spans="15:15" x14ac:dyDescent="0.25">
      <c r="O19344" s="20" t="str">
        <f>IF(N19344="","",COUNTIFS(RawData[[Date ]],N19344,RawData[Month List],$Q$6,RawData[Tour/Site],$Q$2,RawData[[Picker ID ]],$Q$3,RawData[Checker ID],$Q$4,RawData[[Error Type ]],$Q$5))</f>
        <v/>
      </c>
    </row>
    <row r="19345" spans="15:15" x14ac:dyDescent="0.25">
      <c r="O19345" s="20" t="str">
        <f>IF(N19345="","",COUNTIFS(RawData[[Date ]],N19345,RawData[Month List],$Q$6,RawData[Tour/Site],$Q$2,RawData[[Picker ID ]],$Q$3,RawData[Checker ID],$Q$4,RawData[[Error Type ]],$Q$5))</f>
        <v/>
      </c>
    </row>
    <row r="19346" spans="15:15" x14ac:dyDescent="0.25">
      <c r="O19346" s="20" t="str">
        <f>IF(N19346="","",COUNTIFS(RawData[[Date ]],N19346,RawData[Month List],$Q$6,RawData[Tour/Site],$Q$2,RawData[[Picker ID ]],$Q$3,RawData[Checker ID],$Q$4,RawData[[Error Type ]],$Q$5))</f>
        <v/>
      </c>
    </row>
    <row r="19347" spans="15:15" x14ac:dyDescent="0.25">
      <c r="O19347" s="20" t="str">
        <f>IF(N19347="","",COUNTIFS(RawData[[Date ]],N19347,RawData[Month List],$Q$6,RawData[Tour/Site],$Q$2,RawData[[Picker ID ]],$Q$3,RawData[Checker ID],$Q$4,RawData[[Error Type ]],$Q$5))</f>
        <v/>
      </c>
    </row>
    <row r="19348" spans="15:15" x14ac:dyDescent="0.25">
      <c r="O19348" s="20" t="str">
        <f>IF(N19348="","",COUNTIFS(RawData[[Date ]],N19348,RawData[Month List],$Q$6,RawData[Tour/Site],$Q$2,RawData[[Picker ID ]],$Q$3,RawData[Checker ID],$Q$4,RawData[[Error Type ]],$Q$5))</f>
        <v/>
      </c>
    </row>
    <row r="19349" spans="15:15" x14ac:dyDescent="0.25">
      <c r="O19349" s="20" t="str">
        <f>IF(N19349="","",COUNTIFS(RawData[[Date ]],N19349,RawData[Month List],$Q$6,RawData[Tour/Site],$Q$2,RawData[[Picker ID ]],$Q$3,RawData[Checker ID],$Q$4,RawData[[Error Type ]],$Q$5))</f>
        <v/>
      </c>
    </row>
    <row r="19350" spans="15:15" x14ac:dyDescent="0.25">
      <c r="O19350" s="20" t="str">
        <f>IF(N19350="","",COUNTIFS(RawData[[Date ]],N19350,RawData[Month List],$Q$6,RawData[Tour/Site],$Q$2,RawData[[Picker ID ]],$Q$3,RawData[Checker ID],$Q$4,RawData[[Error Type ]],$Q$5))</f>
        <v/>
      </c>
    </row>
    <row r="19351" spans="15:15" x14ac:dyDescent="0.25">
      <c r="O19351" s="20" t="str">
        <f>IF(N19351="","",COUNTIFS(RawData[[Date ]],N19351,RawData[Month List],$Q$6,RawData[Tour/Site],$Q$2,RawData[[Picker ID ]],$Q$3,RawData[Checker ID],$Q$4,RawData[[Error Type ]],$Q$5))</f>
        <v/>
      </c>
    </row>
    <row r="19352" spans="15:15" x14ac:dyDescent="0.25">
      <c r="O19352" s="20" t="str">
        <f>IF(N19352="","",COUNTIFS(RawData[[Date ]],N19352,RawData[Month List],$Q$6,RawData[Tour/Site],$Q$2,RawData[[Picker ID ]],$Q$3,RawData[Checker ID],$Q$4,RawData[[Error Type ]],$Q$5))</f>
        <v/>
      </c>
    </row>
    <row r="19353" spans="15:15" x14ac:dyDescent="0.25">
      <c r="O19353" s="20" t="str">
        <f>IF(N19353="","",COUNTIFS(RawData[[Date ]],N19353,RawData[Month List],$Q$6,RawData[Tour/Site],$Q$2,RawData[[Picker ID ]],$Q$3,RawData[Checker ID],$Q$4,RawData[[Error Type ]],$Q$5))</f>
        <v/>
      </c>
    </row>
    <row r="19354" spans="15:15" x14ac:dyDescent="0.25">
      <c r="O19354" s="20" t="str">
        <f>IF(N19354="","",COUNTIFS(RawData[[Date ]],N19354,RawData[Month List],$Q$6,RawData[Tour/Site],$Q$2,RawData[[Picker ID ]],$Q$3,RawData[Checker ID],$Q$4,RawData[[Error Type ]],$Q$5))</f>
        <v/>
      </c>
    </row>
    <row r="19355" spans="15:15" x14ac:dyDescent="0.25">
      <c r="O19355" s="20" t="str">
        <f>IF(N19355="","",COUNTIFS(RawData[[Date ]],N19355,RawData[Month List],$Q$6,RawData[Tour/Site],$Q$2,RawData[[Picker ID ]],$Q$3,RawData[Checker ID],$Q$4,RawData[[Error Type ]],$Q$5))</f>
        <v/>
      </c>
    </row>
    <row r="19356" spans="15:15" x14ac:dyDescent="0.25">
      <c r="O19356" s="20" t="str">
        <f>IF(N19356="","",COUNTIFS(RawData[[Date ]],N19356,RawData[Month List],$Q$6,RawData[Tour/Site],$Q$2,RawData[[Picker ID ]],$Q$3,RawData[Checker ID],$Q$4,RawData[[Error Type ]],$Q$5))</f>
        <v/>
      </c>
    </row>
    <row r="19357" spans="15:15" x14ac:dyDescent="0.25">
      <c r="O19357" s="20" t="str">
        <f>IF(N19357="","",COUNTIFS(RawData[[Date ]],N19357,RawData[Month List],$Q$6,RawData[Tour/Site],$Q$2,RawData[[Picker ID ]],$Q$3,RawData[Checker ID],$Q$4,RawData[[Error Type ]],$Q$5))</f>
        <v/>
      </c>
    </row>
    <row r="19358" spans="15:15" x14ac:dyDescent="0.25">
      <c r="O19358" s="20" t="str">
        <f>IF(N19358="","",COUNTIFS(RawData[[Date ]],N19358,RawData[Month List],$Q$6,RawData[Tour/Site],$Q$2,RawData[[Picker ID ]],$Q$3,RawData[Checker ID],$Q$4,RawData[[Error Type ]],$Q$5))</f>
        <v/>
      </c>
    </row>
    <row r="19359" spans="15:15" x14ac:dyDescent="0.25">
      <c r="O19359" s="20" t="str">
        <f>IF(N19359="","",COUNTIFS(RawData[[Date ]],N19359,RawData[Month List],$Q$6,RawData[Tour/Site],$Q$2,RawData[[Picker ID ]],$Q$3,RawData[Checker ID],$Q$4,RawData[[Error Type ]],$Q$5))</f>
        <v/>
      </c>
    </row>
    <row r="19360" spans="15:15" x14ac:dyDescent="0.25">
      <c r="O19360" s="20" t="str">
        <f>IF(N19360="","",COUNTIFS(RawData[[Date ]],N19360,RawData[Month List],$Q$6,RawData[Tour/Site],$Q$2,RawData[[Picker ID ]],$Q$3,RawData[Checker ID],$Q$4,RawData[[Error Type ]],$Q$5))</f>
        <v/>
      </c>
    </row>
    <row r="19361" spans="15:15" x14ac:dyDescent="0.25">
      <c r="O19361" s="20" t="str">
        <f>IF(N19361="","",COUNTIFS(RawData[[Date ]],N19361,RawData[Month List],$Q$6,RawData[Tour/Site],$Q$2,RawData[[Picker ID ]],$Q$3,RawData[Checker ID],$Q$4,RawData[[Error Type ]],$Q$5))</f>
        <v/>
      </c>
    </row>
    <row r="19362" spans="15:15" x14ac:dyDescent="0.25">
      <c r="O19362" s="20" t="str">
        <f>IF(N19362="","",COUNTIFS(RawData[[Date ]],N19362,RawData[Month List],$Q$6,RawData[Tour/Site],$Q$2,RawData[[Picker ID ]],$Q$3,RawData[Checker ID],$Q$4,RawData[[Error Type ]],$Q$5))</f>
        <v/>
      </c>
    </row>
    <row r="19363" spans="15:15" x14ac:dyDescent="0.25">
      <c r="O19363" s="20" t="str">
        <f>IF(N19363="","",COUNTIFS(RawData[[Date ]],N19363,RawData[Month List],$Q$6,RawData[Tour/Site],$Q$2,RawData[[Picker ID ]],$Q$3,RawData[Checker ID],$Q$4,RawData[[Error Type ]],$Q$5))</f>
        <v/>
      </c>
    </row>
    <row r="19364" spans="15:15" x14ac:dyDescent="0.25">
      <c r="O19364" s="20" t="str">
        <f>IF(N19364="","",COUNTIFS(RawData[[Date ]],N19364,RawData[Month List],$Q$6,RawData[Tour/Site],$Q$2,RawData[[Picker ID ]],$Q$3,RawData[Checker ID],$Q$4,RawData[[Error Type ]],$Q$5))</f>
        <v/>
      </c>
    </row>
    <row r="19365" spans="15:15" x14ac:dyDescent="0.25">
      <c r="O19365" s="20" t="str">
        <f>IF(N19365="","",COUNTIFS(RawData[[Date ]],N19365,RawData[Month List],$Q$6,RawData[Tour/Site],$Q$2,RawData[[Picker ID ]],$Q$3,RawData[Checker ID],$Q$4,RawData[[Error Type ]],$Q$5))</f>
        <v/>
      </c>
    </row>
    <row r="19366" spans="15:15" x14ac:dyDescent="0.25">
      <c r="O19366" s="20" t="str">
        <f>IF(N19366="","",COUNTIFS(RawData[[Date ]],N19366,RawData[Month List],$Q$6,RawData[Tour/Site],$Q$2,RawData[[Picker ID ]],$Q$3,RawData[Checker ID],$Q$4,RawData[[Error Type ]],$Q$5))</f>
        <v/>
      </c>
    </row>
    <row r="19367" spans="15:15" x14ac:dyDescent="0.25">
      <c r="O19367" s="20" t="str">
        <f>IF(N19367="","",COUNTIFS(RawData[[Date ]],N19367,RawData[Month List],$Q$6,RawData[Tour/Site],$Q$2,RawData[[Picker ID ]],$Q$3,RawData[Checker ID],$Q$4,RawData[[Error Type ]],$Q$5))</f>
        <v/>
      </c>
    </row>
    <row r="19368" spans="15:15" x14ac:dyDescent="0.25">
      <c r="O19368" s="20" t="str">
        <f>IF(N19368="","",COUNTIFS(RawData[[Date ]],N19368,RawData[Month List],$Q$6,RawData[Tour/Site],$Q$2,RawData[[Picker ID ]],$Q$3,RawData[Checker ID],$Q$4,RawData[[Error Type ]],$Q$5))</f>
        <v/>
      </c>
    </row>
    <row r="19369" spans="15:15" x14ac:dyDescent="0.25">
      <c r="O19369" s="20" t="str">
        <f>IF(N19369="","",COUNTIFS(RawData[[Date ]],N19369,RawData[Month List],$Q$6,RawData[Tour/Site],$Q$2,RawData[[Picker ID ]],$Q$3,RawData[Checker ID],$Q$4,RawData[[Error Type ]],$Q$5))</f>
        <v/>
      </c>
    </row>
    <row r="19370" spans="15:15" x14ac:dyDescent="0.25">
      <c r="O19370" s="20" t="str">
        <f>IF(N19370="","",COUNTIFS(RawData[[Date ]],N19370,RawData[Month List],$Q$6,RawData[Tour/Site],$Q$2,RawData[[Picker ID ]],$Q$3,RawData[Checker ID],$Q$4,RawData[[Error Type ]],$Q$5))</f>
        <v/>
      </c>
    </row>
    <row r="19371" spans="15:15" x14ac:dyDescent="0.25">
      <c r="O19371" s="20" t="str">
        <f>IF(N19371="","",COUNTIFS(RawData[[Date ]],N19371,RawData[Month List],$Q$6,RawData[Tour/Site],$Q$2,RawData[[Picker ID ]],$Q$3,RawData[Checker ID],$Q$4,RawData[[Error Type ]],$Q$5))</f>
        <v/>
      </c>
    </row>
    <row r="19372" spans="15:15" x14ac:dyDescent="0.25">
      <c r="O19372" s="20" t="str">
        <f>IF(N19372="","",COUNTIFS(RawData[[Date ]],N19372,RawData[Month List],$Q$6,RawData[Tour/Site],$Q$2,RawData[[Picker ID ]],$Q$3,RawData[Checker ID],$Q$4,RawData[[Error Type ]],$Q$5))</f>
        <v/>
      </c>
    </row>
    <row r="19373" spans="15:15" x14ac:dyDescent="0.25">
      <c r="O19373" s="20" t="str">
        <f>IF(N19373="","",COUNTIFS(RawData[[Date ]],N19373,RawData[Month List],$Q$6,RawData[Tour/Site],$Q$2,RawData[[Picker ID ]],$Q$3,RawData[Checker ID],$Q$4,RawData[[Error Type ]],$Q$5))</f>
        <v/>
      </c>
    </row>
    <row r="19374" spans="15:15" x14ac:dyDescent="0.25">
      <c r="O19374" s="20" t="str">
        <f>IF(N19374="","",COUNTIFS(RawData[[Date ]],N19374,RawData[Month List],$Q$6,RawData[Tour/Site],$Q$2,RawData[[Picker ID ]],$Q$3,RawData[Checker ID],$Q$4,RawData[[Error Type ]],$Q$5))</f>
        <v/>
      </c>
    </row>
    <row r="19375" spans="15:15" x14ac:dyDescent="0.25">
      <c r="O19375" s="20" t="str">
        <f>IF(N19375="","",COUNTIFS(RawData[[Date ]],N19375,RawData[Month List],$Q$6,RawData[Tour/Site],$Q$2,RawData[[Picker ID ]],$Q$3,RawData[Checker ID],$Q$4,RawData[[Error Type ]],$Q$5))</f>
        <v/>
      </c>
    </row>
    <row r="19376" spans="15:15" x14ac:dyDescent="0.25">
      <c r="O19376" s="20" t="str">
        <f>IF(N19376="","",COUNTIFS(RawData[[Date ]],N19376,RawData[Month List],$Q$6,RawData[Tour/Site],$Q$2,RawData[[Picker ID ]],$Q$3,RawData[Checker ID],$Q$4,RawData[[Error Type ]],$Q$5))</f>
        <v/>
      </c>
    </row>
    <row r="19377" spans="15:15" x14ac:dyDescent="0.25">
      <c r="O19377" s="20" t="str">
        <f>IF(N19377="","",COUNTIFS(RawData[[Date ]],N19377,RawData[Month List],$Q$6,RawData[Tour/Site],$Q$2,RawData[[Picker ID ]],$Q$3,RawData[Checker ID],$Q$4,RawData[[Error Type ]],$Q$5))</f>
        <v/>
      </c>
    </row>
    <row r="19378" spans="15:15" x14ac:dyDescent="0.25">
      <c r="O19378" s="20" t="str">
        <f>IF(N19378="","",COUNTIFS(RawData[[Date ]],N19378,RawData[Month List],$Q$6,RawData[Tour/Site],$Q$2,RawData[[Picker ID ]],$Q$3,RawData[Checker ID],$Q$4,RawData[[Error Type ]],$Q$5))</f>
        <v/>
      </c>
    </row>
    <row r="19379" spans="15:15" x14ac:dyDescent="0.25">
      <c r="O19379" s="20" t="str">
        <f>IF(N19379="","",COUNTIFS(RawData[[Date ]],N19379,RawData[Month List],$Q$6,RawData[Tour/Site],$Q$2,RawData[[Picker ID ]],$Q$3,RawData[Checker ID],$Q$4,RawData[[Error Type ]],$Q$5))</f>
        <v/>
      </c>
    </row>
    <row r="19380" spans="15:15" x14ac:dyDescent="0.25">
      <c r="O19380" s="20" t="str">
        <f>IF(N19380="","",COUNTIFS(RawData[[Date ]],N19380,RawData[Month List],$Q$6,RawData[Tour/Site],$Q$2,RawData[[Picker ID ]],$Q$3,RawData[Checker ID],$Q$4,RawData[[Error Type ]],$Q$5))</f>
        <v/>
      </c>
    </row>
    <row r="19381" spans="15:15" x14ac:dyDescent="0.25">
      <c r="O19381" s="20" t="str">
        <f>IF(N19381="","",COUNTIFS(RawData[[Date ]],N19381,RawData[Month List],$Q$6,RawData[Tour/Site],$Q$2,RawData[[Picker ID ]],$Q$3,RawData[Checker ID],$Q$4,RawData[[Error Type ]],$Q$5))</f>
        <v/>
      </c>
    </row>
    <row r="19382" spans="15:15" x14ac:dyDescent="0.25">
      <c r="O19382" s="20" t="str">
        <f>IF(N19382="","",COUNTIFS(RawData[[Date ]],N19382,RawData[Month List],$Q$6,RawData[Tour/Site],$Q$2,RawData[[Picker ID ]],$Q$3,RawData[Checker ID],$Q$4,RawData[[Error Type ]],$Q$5))</f>
        <v/>
      </c>
    </row>
    <row r="19383" spans="15:15" x14ac:dyDescent="0.25">
      <c r="O19383" s="20" t="str">
        <f>IF(N19383="","",COUNTIFS(RawData[[Date ]],N19383,RawData[Month List],$Q$6,RawData[Tour/Site],$Q$2,RawData[[Picker ID ]],$Q$3,RawData[Checker ID],$Q$4,RawData[[Error Type ]],$Q$5))</f>
        <v/>
      </c>
    </row>
    <row r="19384" spans="15:15" x14ac:dyDescent="0.25">
      <c r="O19384" s="20" t="str">
        <f>IF(N19384="","",COUNTIFS(RawData[[Date ]],N19384,RawData[Month List],$Q$6,RawData[Tour/Site],$Q$2,RawData[[Picker ID ]],$Q$3,RawData[Checker ID],$Q$4,RawData[[Error Type ]],$Q$5))</f>
        <v/>
      </c>
    </row>
    <row r="19385" spans="15:15" x14ac:dyDescent="0.25">
      <c r="O19385" s="20" t="str">
        <f>IF(N19385="","",COUNTIFS(RawData[[Date ]],N19385,RawData[Month List],$Q$6,RawData[Tour/Site],$Q$2,RawData[[Picker ID ]],$Q$3,RawData[Checker ID],$Q$4,RawData[[Error Type ]],$Q$5))</f>
        <v/>
      </c>
    </row>
    <row r="19386" spans="15:15" x14ac:dyDescent="0.25">
      <c r="O19386" s="20" t="str">
        <f>IF(N19386="","",COUNTIFS(RawData[[Date ]],N19386,RawData[Month List],$Q$6,RawData[Tour/Site],$Q$2,RawData[[Picker ID ]],$Q$3,RawData[Checker ID],$Q$4,RawData[[Error Type ]],$Q$5))</f>
        <v/>
      </c>
    </row>
    <row r="19387" spans="15:15" x14ac:dyDescent="0.25">
      <c r="O19387" s="20" t="str">
        <f>IF(N19387="","",COUNTIFS(RawData[[Date ]],N19387,RawData[Month List],$Q$6,RawData[Tour/Site],$Q$2,RawData[[Picker ID ]],$Q$3,RawData[Checker ID],$Q$4,RawData[[Error Type ]],$Q$5))</f>
        <v/>
      </c>
    </row>
    <row r="19388" spans="15:15" x14ac:dyDescent="0.25">
      <c r="O19388" s="20" t="str">
        <f>IF(N19388="","",COUNTIFS(RawData[[Date ]],N19388,RawData[Month List],$Q$6,RawData[Tour/Site],$Q$2,RawData[[Picker ID ]],$Q$3,RawData[Checker ID],$Q$4,RawData[[Error Type ]],$Q$5))</f>
        <v/>
      </c>
    </row>
    <row r="19389" spans="15:15" x14ac:dyDescent="0.25">
      <c r="O19389" s="20" t="str">
        <f>IF(N19389="","",COUNTIFS(RawData[[Date ]],N19389,RawData[Month List],$Q$6,RawData[Tour/Site],$Q$2,RawData[[Picker ID ]],$Q$3,RawData[Checker ID],$Q$4,RawData[[Error Type ]],$Q$5))</f>
        <v/>
      </c>
    </row>
    <row r="19390" spans="15:15" x14ac:dyDescent="0.25">
      <c r="O19390" s="20" t="str">
        <f>IF(N19390="","",COUNTIFS(RawData[[Date ]],N19390,RawData[Month List],$Q$6,RawData[Tour/Site],$Q$2,RawData[[Picker ID ]],$Q$3,RawData[Checker ID],$Q$4,RawData[[Error Type ]],$Q$5))</f>
        <v/>
      </c>
    </row>
    <row r="19391" spans="15:15" x14ac:dyDescent="0.25">
      <c r="O19391" s="20" t="str">
        <f>IF(N19391="","",COUNTIFS(RawData[[Date ]],N19391,RawData[Month List],$Q$6,RawData[Tour/Site],$Q$2,RawData[[Picker ID ]],$Q$3,RawData[Checker ID],$Q$4,RawData[[Error Type ]],$Q$5))</f>
        <v/>
      </c>
    </row>
    <row r="19392" spans="15:15" x14ac:dyDescent="0.25">
      <c r="O19392" s="20" t="str">
        <f>IF(N19392="","",COUNTIFS(RawData[[Date ]],N19392,RawData[Month List],$Q$6,RawData[Tour/Site],$Q$2,RawData[[Picker ID ]],$Q$3,RawData[Checker ID],$Q$4,RawData[[Error Type ]],$Q$5))</f>
        <v/>
      </c>
    </row>
    <row r="19393" spans="15:15" x14ac:dyDescent="0.25">
      <c r="O19393" s="20" t="str">
        <f>IF(N19393="","",COUNTIFS(RawData[[Date ]],N19393,RawData[Month List],$Q$6,RawData[Tour/Site],$Q$2,RawData[[Picker ID ]],$Q$3,RawData[Checker ID],$Q$4,RawData[[Error Type ]],$Q$5))</f>
        <v/>
      </c>
    </row>
    <row r="19394" spans="15:15" x14ac:dyDescent="0.25">
      <c r="O19394" s="20" t="str">
        <f>IF(N19394="","",COUNTIFS(RawData[[Date ]],N19394,RawData[Month List],$Q$6,RawData[Tour/Site],$Q$2,RawData[[Picker ID ]],$Q$3,RawData[Checker ID],$Q$4,RawData[[Error Type ]],$Q$5))</f>
        <v/>
      </c>
    </row>
    <row r="19395" spans="15:15" x14ac:dyDescent="0.25">
      <c r="O19395" s="20" t="str">
        <f>IF(N19395="","",COUNTIFS(RawData[[Date ]],N19395,RawData[Month List],$Q$6,RawData[Tour/Site],$Q$2,RawData[[Picker ID ]],$Q$3,RawData[Checker ID],$Q$4,RawData[[Error Type ]],$Q$5))</f>
        <v/>
      </c>
    </row>
    <row r="19396" spans="15:15" x14ac:dyDescent="0.25">
      <c r="O19396" s="20" t="str">
        <f>IF(N19396="","",COUNTIFS(RawData[[Date ]],N19396,RawData[Month List],$Q$6,RawData[Tour/Site],$Q$2,RawData[[Picker ID ]],$Q$3,RawData[Checker ID],$Q$4,RawData[[Error Type ]],$Q$5))</f>
        <v/>
      </c>
    </row>
    <row r="19397" spans="15:15" x14ac:dyDescent="0.25">
      <c r="O19397" s="20" t="str">
        <f>IF(N19397="","",COUNTIFS(RawData[[Date ]],N19397,RawData[Month List],$Q$6,RawData[Tour/Site],$Q$2,RawData[[Picker ID ]],$Q$3,RawData[Checker ID],$Q$4,RawData[[Error Type ]],$Q$5))</f>
        <v/>
      </c>
    </row>
    <row r="19398" spans="15:15" x14ac:dyDescent="0.25">
      <c r="O19398" s="20" t="str">
        <f>IF(N19398="","",COUNTIFS(RawData[[Date ]],N19398,RawData[Month List],$Q$6,RawData[Tour/Site],$Q$2,RawData[[Picker ID ]],$Q$3,RawData[Checker ID],$Q$4,RawData[[Error Type ]],$Q$5))</f>
        <v/>
      </c>
    </row>
    <row r="19399" spans="15:15" x14ac:dyDescent="0.25">
      <c r="O19399" s="20" t="str">
        <f>IF(N19399="","",COUNTIFS(RawData[[Date ]],N19399,RawData[Month List],$Q$6,RawData[Tour/Site],$Q$2,RawData[[Picker ID ]],$Q$3,RawData[Checker ID],$Q$4,RawData[[Error Type ]],$Q$5))</f>
        <v/>
      </c>
    </row>
    <row r="19400" spans="15:15" x14ac:dyDescent="0.25">
      <c r="O19400" s="20" t="str">
        <f>IF(N19400="","",COUNTIFS(RawData[[Date ]],N19400,RawData[Month List],$Q$6,RawData[Tour/Site],$Q$2,RawData[[Picker ID ]],$Q$3,RawData[Checker ID],$Q$4,RawData[[Error Type ]],$Q$5))</f>
        <v/>
      </c>
    </row>
    <row r="19401" spans="15:15" x14ac:dyDescent="0.25">
      <c r="O19401" s="20" t="str">
        <f>IF(N19401="","",COUNTIFS(RawData[[Date ]],N19401,RawData[Month List],$Q$6,RawData[Tour/Site],$Q$2,RawData[[Picker ID ]],$Q$3,RawData[Checker ID],$Q$4,RawData[[Error Type ]],$Q$5))</f>
        <v/>
      </c>
    </row>
    <row r="19402" spans="15:15" x14ac:dyDescent="0.25">
      <c r="O19402" s="20" t="str">
        <f>IF(N19402="","",COUNTIFS(RawData[[Date ]],N19402,RawData[Month List],$Q$6,RawData[Tour/Site],$Q$2,RawData[[Picker ID ]],$Q$3,RawData[Checker ID],$Q$4,RawData[[Error Type ]],$Q$5))</f>
        <v/>
      </c>
    </row>
    <row r="19403" spans="15:15" x14ac:dyDescent="0.25">
      <c r="O19403" s="20" t="str">
        <f>IF(N19403="","",COUNTIFS(RawData[[Date ]],N19403,RawData[Month List],$Q$6,RawData[Tour/Site],$Q$2,RawData[[Picker ID ]],$Q$3,RawData[Checker ID],$Q$4,RawData[[Error Type ]],$Q$5))</f>
        <v/>
      </c>
    </row>
    <row r="19404" spans="15:15" x14ac:dyDescent="0.25">
      <c r="O19404" s="20" t="str">
        <f>IF(N19404="","",COUNTIFS(RawData[[Date ]],N19404,RawData[Month List],$Q$6,RawData[Tour/Site],$Q$2,RawData[[Picker ID ]],$Q$3,RawData[Checker ID],$Q$4,RawData[[Error Type ]],$Q$5))</f>
        <v/>
      </c>
    </row>
    <row r="19405" spans="15:15" x14ac:dyDescent="0.25">
      <c r="O19405" s="20" t="str">
        <f>IF(N19405="","",COUNTIFS(RawData[[Date ]],N19405,RawData[Month List],$Q$6,RawData[Tour/Site],$Q$2,RawData[[Picker ID ]],$Q$3,RawData[Checker ID],$Q$4,RawData[[Error Type ]],$Q$5))</f>
        <v/>
      </c>
    </row>
    <row r="19406" spans="15:15" x14ac:dyDescent="0.25">
      <c r="O19406" s="20" t="str">
        <f>IF(N19406="","",COUNTIFS(RawData[[Date ]],N19406,RawData[Month List],$Q$6,RawData[Tour/Site],$Q$2,RawData[[Picker ID ]],$Q$3,RawData[Checker ID],$Q$4,RawData[[Error Type ]],$Q$5))</f>
        <v/>
      </c>
    </row>
    <row r="19407" spans="15:15" x14ac:dyDescent="0.25">
      <c r="O19407" s="20" t="str">
        <f>IF(N19407="","",COUNTIFS(RawData[[Date ]],N19407,RawData[Month List],$Q$6,RawData[Tour/Site],$Q$2,RawData[[Picker ID ]],$Q$3,RawData[Checker ID],$Q$4,RawData[[Error Type ]],$Q$5))</f>
        <v/>
      </c>
    </row>
    <row r="19408" spans="15:15" x14ac:dyDescent="0.25">
      <c r="O19408" s="20" t="str">
        <f>IF(N19408="","",COUNTIFS(RawData[[Date ]],N19408,RawData[Month List],$Q$6,RawData[Tour/Site],$Q$2,RawData[[Picker ID ]],$Q$3,RawData[Checker ID],$Q$4,RawData[[Error Type ]],$Q$5))</f>
        <v/>
      </c>
    </row>
    <row r="19409" spans="15:15" x14ac:dyDescent="0.25">
      <c r="O19409" s="20" t="str">
        <f>IF(N19409="","",COUNTIFS(RawData[[Date ]],N19409,RawData[Month List],$Q$6,RawData[Tour/Site],$Q$2,RawData[[Picker ID ]],$Q$3,RawData[Checker ID],$Q$4,RawData[[Error Type ]],$Q$5))</f>
        <v/>
      </c>
    </row>
    <row r="19410" spans="15:15" x14ac:dyDescent="0.25">
      <c r="O19410" s="20" t="str">
        <f>IF(N19410="","",COUNTIFS(RawData[[Date ]],N19410,RawData[Month List],$Q$6,RawData[Tour/Site],$Q$2,RawData[[Picker ID ]],$Q$3,RawData[Checker ID],$Q$4,RawData[[Error Type ]],$Q$5))</f>
        <v/>
      </c>
    </row>
    <row r="19411" spans="15:15" x14ac:dyDescent="0.25">
      <c r="O19411" s="20" t="str">
        <f>IF(N19411="","",COUNTIFS(RawData[[Date ]],N19411,RawData[Month List],$Q$6,RawData[Tour/Site],$Q$2,RawData[[Picker ID ]],$Q$3,RawData[Checker ID],$Q$4,RawData[[Error Type ]],$Q$5))</f>
        <v/>
      </c>
    </row>
    <row r="19412" spans="15:15" x14ac:dyDescent="0.25">
      <c r="O19412" s="20" t="str">
        <f>IF(N19412="","",COUNTIFS(RawData[[Date ]],N19412,RawData[Month List],$Q$6,RawData[Tour/Site],$Q$2,RawData[[Picker ID ]],$Q$3,RawData[Checker ID],$Q$4,RawData[[Error Type ]],$Q$5))</f>
        <v/>
      </c>
    </row>
    <row r="19413" spans="15:15" x14ac:dyDescent="0.25">
      <c r="O19413" s="20" t="str">
        <f>IF(N19413="","",COUNTIFS(RawData[[Date ]],N19413,RawData[Month List],$Q$6,RawData[Tour/Site],$Q$2,RawData[[Picker ID ]],$Q$3,RawData[Checker ID],$Q$4,RawData[[Error Type ]],$Q$5))</f>
        <v/>
      </c>
    </row>
    <row r="19414" spans="15:15" x14ac:dyDescent="0.25">
      <c r="O19414" s="20" t="str">
        <f>IF(N19414="","",COUNTIFS(RawData[[Date ]],N19414,RawData[Month List],$Q$6,RawData[Tour/Site],$Q$2,RawData[[Picker ID ]],$Q$3,RawData[Checker ID],$Q$4,RawData[[Error Type ]],$Q$5))</f>
        <v/>
      </c>
    </row>
    <row r="19415" spans="15:15" x14ac:dyDescent="0.25">
      <c r="O19415" s="20" t="str">
        <f>IF(N19415="","",COUNTIFS(RawData[[Date ]],N19415,RawData[Month List],$Q$6,RawData[Tour/Site],$Q$2,RawData[[Picker ID ]],$Q$3,RawData[Checker ID],$Q$4,RawData[[Error Type ]],$Q$5))</f>
        <v/>
      </c>
    </row>
    <row r="19416" spans="15:15" x14ac:dyDescent="0.25">
      <c r="O19416" s="20" t="str">
        <f>IF(N19416="","",COUNTIFS(RawData[[Date ]],N19416,RawData[Month List],$Q$6,RawData[Tour/Site],$Q$2,RawData[[Picker ID ]],$Q$3,RawData[Checker ID],$Q$4,RawData[[Error Type ]],$Q$5))</f>
        <v/>
      </c>
    </row>
    <row r="19417" spans="15:15" x14ac:dyDescent="0.25">
      <c r="O19417" s="20" t="str">
        <f>IF(N19417="","",COUNTIFS(RawData[[Date ]],N19417,RawData[Month List],$Q$6,RawData[Tour/Site],$Q$2,RawData[[Picker ID ]],$Q$3,RawData[Checker ID],$Q$4,RawData[[Error Type ]],$Q$5))</f>
        <v/>
      </c>
    </row>
    <row r="19418" spans="15:15" x14ac:dyDescent="0.25">
      <c r="O19418" s="20" t="str">
        <f>IF(N19418="","",COUNTIFS(RawData[[Date ]],N19418,RawData[Month List],$Q$6,RawData[Tour/Site],$Q$2,RawData[[Picker ID ]],$Q$3,RawData[Checker ID],$Q$4,RawData[[Error Type ]],$Q$5))</f>
        <v/>
      </c>
    </row>
    <row r="19419" spans="15:15" x14ac:dyDescent="0.25">
      <c r="O19419" s="20" t="str">
        <f>IF(N19419="","",COUNTIFS(RawData[[Date ]],N19419,RawData[Month List],$Q$6,RawData[Tour/Site],$Q$2,RawData[[Picker ID ]],$Q$3,RawData[Checker ID],$Q$4,RawData[[Error Type ]],$Q$5))</f>
        <v/>
      </c>
    </row>
    <row r="19420" spans="15:15" x14ac:dyDescent="0.25">
      <c r="O19420" s="20" t="str">
        <f>IF(N19420="","",COUNTIFS(RawData[[Date ]],N19420,RawData[Month List],$Q$6,RawData[Tour/Site],$Q$2,RawData[[Picker ID ]],$Q$3,RawData[Checker ID],$Q$4,RawData[[Error Type ]],$Q$5))</f>
        <v/>
      </c>
    </row>
    <row r="19421" spans="15:15" x14ac:dyDescent="0.25">
      <c r="O19421" s="20" t="str">
        <f>IF(N19421="","",COUNTIFS(RawData[[Date ]],N19421,RawData[Month List],$Q$6,RawData[Tour/Site],$Q$2,RawData[[Picker ID ]],$Q$3,RawData[Checker ID],$Q$4,RawData[[Error Type ]],$Q$5))</f>
        <v/>
      </c>
    </row>
    <row r="19422" spans="15:15" x14ac:dyDescent="0.25">
      <c r="O19422" s="20" t="str">
        <f>IF(N19422="","",COUNTIFS(RawData[[Date ]],N19422,RawData[Month List],$Q$6,RawData[Tour/Site],$Q$2,RawData[[Picker ID ]],$Q$3,RawData[Checker ID],$Q$4,RawData[[Error Type ]],$Q$5))</f>
        <v/>
      </c>
    </row>
    <row r="19423" spans="15:15" x14ac:dyDescent="0.25">
      <c r="O19423" s="20" t="str">
        <f>IF(N19423="","",COUNTIFS(RawData[[Date ]],N19423,RawData[Month List],$Q$6,RawData[Tour/Site],$Q$2,RawData[[Picker ID ]],$Q$3,RawData[Checker ID],$Q$4,RawData[[Error Type ]],$Q$5))</f>
        <v/>
      </c>
    </row>
    <row r="19424" spans="15:15" x14ac:dyDescent="0.25">
      <c r="O19424" s="20" t="str">
        <f>IF(N19424="","",COUNTIFS(RawData[[Date ]],N19424,RawData[Month List],$Q$6,RawData[Tour/Site],$Q$2,RawData[[Picker ID ]],$Q$3,RawData[Checker ID],$Q$4,RawData[[Error Type ]],$Q$5))</f>
        <v/>
      </c>
    </row>
    <row r="19425" spans="15:15" x14ac:dyDescent="0.25">
      <c r="O19425" s="20" t="str">
        <f>IF(N19425="","",COUNTIFS(RawData[[Date ]],N19425,RawData[Month List],$Q$6,RawData[Tour/Site],$Q$2,RawData[[Picker ID ]],$Q$3,RawData[Checker ID],$Q$4,RawData[[Error Type ]],$Q$5))</f>
        <v/>
      </c>
    </row>
    <row r="19426" spans="15:15" x14ac:dyDescent="0.25">
      <c r="O19426" s="20" t="str">
        <f>IF(N19426="","",COUNTIFS(RawData[[Date ]],N19426,RawData[Month List],$Q$6,RawData[Tour/Site],$Q$2,RawData[[Picker ID ]],$Q$3,RawData[Checker ID],$Q$4,RawData[[Error Type ]],$Q$5))</f>
        <v/>
      </c>
    </row>
    <row r="19427" spans="15:15" x14ac:dyDescent="0.25">
      <c r="O19427" s="20" t="str">
        <f>IF(N19427="","",COUNTIFS(RawData[[Date ]],N19427,RawData[Month List],$Q$6,RawData[Tour/Site],$Q$2,RawData[[Picker ID ]],$Q$3,RawData[Checker ID],$Q$4,RawData[[Error Type ]],$Q$5))</f>
        <v/>
      </c>
    </row>
    <row r="19428" spans="15:15" x14ac:dyDescent="0.25">
      <c r="O19428" s="20" t="str">
        <f>IF(N19428="","",COUNTIFS(RawData[[Date ]],N19428,RawData[Month List],$Q$6,RawData[Tour/Site],$Q$2,RawData[[Picker ID ]],$Q$3,RawData[Checker ID],$Q$4,RawData[[Error Type ]],$Q$5))</f>
        <v/>
      </c>
    </row>
    <row r="19429" spans="15:15" x14ac:dyDescent="0.25">
      <c r="O19429" s="20" t="str">
        <f>IF(N19429="","",COUNTIFS(RawData[[Date ]],N19429,RawData[Month List],$Q$6,RawData[Tour/Site],$Q$2,RawData[[Picker ID ]],$Q$3,RawData[Checker ID],$Q$4,RawData[[Error Type ]],$Q$5))</f>
        <v/>
      </c>
    </row>
    <row r="19430" spans="15:15" x14ac:dyDescent="0.25">
      <c r="O19430" s="20" t="str">
        <f>IF(N19430="","",COUNTIFS(RawData[[Date ]],N19430,RawData[Month List],$Q$6,RawData[Tour/Site],$Q$2,RawData[[Picker ID ]],$Q$3,RawData[Checker ID],$Q$4,RawData[[Error Type ]],$Q$5))</f>
        <v/>
      </c>
    </row>
    <row r="19431" spans="15:15" x14ac:dyDescent="0.25">
      <c r="O19431" s="20" t="str">
        <f>IF(N19431="","",COUNTIFS(RawData[[Date ]],N19431,RawData[Month List],$Q$6,RawData[Tour/Site],$Q$2,RawData[[Picker ID ]],$Q$3,RawData[Checker ID],$Q$4,RawData[[Error Type ]],$Q$5))</f>
        <v/>
      </c>
    </row>
    <row r="19432" spans="15:15" x14ac:dyDescent="0.25">
      <c r="O19432" s="20" t="str">
        <f>IF(N19432="","",COUNTIFS(RawData[[Date ]],N19432,RawData[Month List],$Q$6,RawData[Tour/Site],$Q$2,RawData[[Picker ID ]],$Q$3,RawData[Checker ID],$Q$4,RawData[[Error Type ]],$Q$5))</f>
        <v/>
      </c>
    </row>
    <row r="19433" spans="15:15" x14ac:dyDescent="0.25">
      <c r="O19433" s="20" t="str">
        <f>IF(N19433="","",COUNTIFS(RawData[[Date ]],N19433,RawData[Month List],$Q$6,RawData[Tour/Site],$Q$2,RawData[[Picker ID ]],$Q$3,RawData[Checker ID],$Q$4,RawData[[Error Type ]],$Q$5))</f>
        <v/>
      </c>
    </row>
    <row r="19434" spans="15:15" x14ac:dyDescent="0.25">
      <c r="O19434" s="20" t="str">
        <f>IF(N19434="","",COUNTIFS(RawData[[Date ]],N19434,RawData[Month List],$Q$6,RawData[Tour/Site],$Q$2,RawData[[Picker ID ]],$Q$3,RawData[Checker ID],$Q$4,RawData[[Error Type ]],$Q$5))</f>
        <v/>
      </c>
    </row>
    <row r="19435" spans="15:15" x14ac:dyDescent="0.25">
      <c r="O19435" s="20" t="str">
        <f>IF(N19435="","",COUNTIFS(RawData[[Date ]],N19435,RawData[Month List],$Q$6,RawData[Tour/Site],$Q$2,RawData[[Picker ID ]],$Q$3,RawData[Checker ID],$Q$4,RawData[[Error Type ]],$Q$5))</f>
        <v/>
      </c>
    </row>
    <row r="19436" spans="15:15" x14ac:dyDescent="0.25">
      <c r="O19436" s="20" t="str">
        <f>IF(N19436="","",COUNTIFS(RawData[[Date ]],N19436,RawData[Month List],$Q$6,RawData[Tour/Site],$Q$2,RawData[[Picker ID ]],$Q$3,RawData[Checker ID],$Q$4,RawData[[Error Type ]],$Q$5))</f>
        <v/>
      </c>
    </row>
    <row r="19437" spans="15:15" x14ac:dyDescent="0.25">
      <c r="O19437" s="20" t="str">
        <f>IF(N19437="","",COUNTIFS(RawData[[Date ]],N19437,RawData[Month List],$Q$6,RawData[Tour/Site],$Q$2,RawData[[Picker ID ]],$Q$3,RawData[Checker ID],$Q$4,RawData[[Error Type ]],$Q$5))</f>
        <v/>
      </c>
    </row>
    <row r="19438" spans="15:15" x14ac:dyDescent="0.25">
      <c r="O19438" s="20" t="str">
        <f>IF(N19438="","",COUNTIFS(RawData[[Date ]],N19438,RawData[Month List],$Q$6,RawData[Tour/Site],$Q$2,RawData[[Picker ID ]],$Q$3,RawData[Checker ID],$Q$4,RawData[[Error Type ]],$Q$5))</f>
        <v/>
      </c>
    </row>
    <row r="19439" spans="15:15" x14ac:dyDescent="0.25">
      <c r="O19439" s="20" t="str">
        <f>IF(N19439="","",COUNTIFS(RawData[[Date ]],N19439,RawData[Month List],$Q$6,RawData[Tour/Site],$Q$2,RawData[[Picker ID ]],$Q$3,RawData[Checker ID],$Q$4,RawData[[Error Type ]],$Q$5))</f>
        <v/>
      </c>
    </row>
    <row r="19440" spans="15:15" x14ac:dyDescent="0.25">
      <c r="O19440" s="20" t="str">
        <f>IF(N19440="","",COUNTIFS(RawData[[Date ]],N19440,RawData[Month List],$Q$6,RawData[Tour/Site],$Q$2,RawData[[Picker ID ]],$Q$3,RawData[Checker ID],$Q$4,RawData[[Error Type ]],$Q$5))</f>
        <v/>
      </c>
    </row>
    <row r="19441" spans="15:15" x14ac:dyDescent="0.25">
      <c r="O19441" s="20" t="str">
        <f>IF(N19441="","",COUNTIFS(RawData[[Date ]],N19441,RawData[Month List],$Q$6,RawData[Tour/Site],$Q$2,RawData[[Picker ID ]],$Q$3,RawData[Checker ID],$Q$4,RawData[[Error Type ]],$Q$5))</f>
        <v/>
      </c>
    </row>
    <row r="19442" spans="15:15" x14ac:dyDescent="0.25">
      <c r="O19442" s="20" t="str">
        <f>IF(N19442="","",COUNTIFS(RawData[[Date ]],N19442,RawData[Month List],$Q$6,RawData[Tour/Site],$Q$2,RawData[[Picker ID ]],$Q$3,RawData[Checker ID],$Q$4,RawData[[Error Type ]],$Q$5))</f>
        <v/>
      </c>
    </row>
    <row r="19443" spans="15:15" x14ac:dyDescent="0.25">
      <c r="O19443" s="20" t="str">
        <f>IF(N19443="","",COUNTIFS(RawData[[Date ]],N19443,RawData[Month List],$Q$6,RawData[Tour/Site],$Q$2,RawData[[Picker ID ]],$Q$3,RawData[Checker ID],$Q$4,RawData[[Error Type ]],$Q$5))</f>
        <v/>
      </c>
    </row>
    <row r="19444" spans="15:15" x14ac:dyDescent="0.25">
      <c r="O19444" s="20" t="str">
        <f>IF(N19444="","",COUNTIFS(RawData[[Date ]],N19444,RawData[Month List],$Q$6,RawData[Tour/Site],$Q$2,RawData[[Picker ID ]],$Q$3,RawData[Checker ID],$Q$4,RawData[[Error Type ]],$Q$5))</f>
        <v/>
      </c>
    </row>
    <row r="19445" spans="15:15" x14ac:dyDescent="0.25">
      <c r="O19445" s="20" t="str">
        <f>IF(N19445="","",COUNTIFS(RawData[[Date ]],N19445,RawData[Month List],$Q$6,RawData[Tour/Site],$Q$2,RawData[[Picker ID ]],$Q$3,RawData[Checker ID],$Q$4,RawData[[Error Type ]],$Q$5))</f>
        <v/>
      </c>
    </row>
    <row r="19446" spans="15:15" x14ac:dyDescent="0.25">
      <c r="O19446" s="20" t="str">
        <f>IF(N19446="","",COUNTIFS(RawData[[Date ]],N19446,RawData[Month List],$Q$6,RawData[Tour/Site],$Q$2,RawData[[Picker ID ]],$Q$3,RawData[Checker ID],$Q$4,RawData[[Error Type ]],$Q$5))</f>
        <v/>
      </c>
    </row>
    <row r="19447" spans="15:15" x14ac:dyDescent="0.25">
      <c r="O19447" s="20" t="str">
        <f>IF(N19447="","",COUNTIFS(RawData[[Date ]],N19447,RawData[Month List],$Q$6,RawData[Tour/Site],$Q$2,RawData[[Picker ID ]],$Q$3,RawData[Checker ID],$Q$4,RawData[[Error Type ]],$Q$5))</f>
        <v/>
      </c>
    </row>
    <row r="19448" spans="15:15" x14ac:dyDescent="0.25">
      <c r="O19448" s="20" t="str">
        <f>IF(N19448="","",COUNTIFS(RawData[[Date ]],N19448,RawData[Month List],$Q$6,RawData[Tour/Site],$Q$2,RawData[[Picker ID ]],$Q$3,RawData[Checker ID],$Q$4,RawData[[Error Type ]],$Q$5))</f>
        <v/>
      </c>
    </row>
    <row r="19449" spans="15:15" x14ac:dyDescent="0.25">
      <c r="O19449" s="20" t="str">
        <f>IF(N19449="","",COUNTIFS(RawData[[Date ]],N19449,RawData[Month List],$Q$6,RawData[Tour/Site],$Q$2,RawData[[Picker ID ]],$Q$3,RawData[Checker ID],$Q$4,RawData[[Error Type ]],$Q$5))</f>
        <v/>
      </c>
    </row>
    <row r="19450" spans="15:15" x14ac:dyDescent="0.25">
      <c r="O19450" s="20" t="str">
        <f>IF(N19450="","",COUNTIFS(RawData[[Date ]],N19450,RawData[Month List],$Q$6,RawData[Tour/Site],$Q$2,RawData[[Picker ID ]],$Q$3,RawData[Checker ID],$Q$4,RawData[[Error Type ]],$Q$5))</f>
        <v/>
      </c>
    </row>
    <row r="19451" spans="15:15" x14ac:dyDescent="0.25">
      <c r="O19451" s="20" t="str">
        <f>IF(N19451="","",COUNTIFS(RawData[[Date ]],N19451,RawData[Month List],$Q$6,RawData[Tour/Site],$Q$2,RawData[[Picker ID ]],$Q$3,RawData[Checker ID],$Q$4,RawData[[Error Type ]],$Q$5))</f>
        <v/>
      </c>
    </row>
    <row r="19452" spans="15:15" x14ac:dyDescent="0.25">
      <c r="O19452" s="20" t="str">
        <f>IF(N19452="","",COUNTIFS(RawData[[Date ]],N19452,RawData[Month List],$Q$6,RawData[Tour/Site],$Q$2,RawData[[Picker ID ]],$Q$3,RawData[Checker ID],$Q$4,RawData[[Error Type ]],$Q$5))</f>
        <v/>
      </c>
    </row>
    <row r="19453" spans="15:15" x14ac:dyDescent="0.25">
      <c r="O19453" s="20" t="str">
        <f>IF(N19453="","",COUNTIFS(RawData[[Date ]],N19453,RawData[Month List],$Q$6,RawData[Tour/Site],$Q$2,RawData[[Picker ID ]],$Q$3,RawData[Checker ID],$Q$4,RawData[[Error Type ]],$Q$5))</f>
        <v/>
      </c>
    </row>
    <row r="19454" spans="15:15" x14ac:dyDescent="0.25">
      <c r="O19454" s="20" t="str">
        <f>IF(N19454="","",COUNTIFS(RawData[[Date ]],N19454,RawData[Month List],$Q$6,RawData[Tour/Site],$Q$2,RawData[[Picker ID ]],$Q$3,RawData[Checker ID],$Q$4,RawData[[Error Type ]],$Q$5))</f>
        <v/>
      </c>
    </row>
    <row r="19455" spans="15:15" x14ac:dyDescent="0.25">
      <c r="O19455" s="20" t="str">
        <f>IF(N19455="","",COUNTIFS(RawData[[Date ]],N19455,RawData[Month List],$Q$6,RawData[Tour/Site],$Q$2,RawData[[Picker ID ]],$Q$3,RawData[Checker ID],$Q$4,RawData[[Error Type ]],$Q$5))</f>
        <v/>
      </c>
    </row>
    <row r="19456" spans="15:15" x14ac:dyDescent="0.25">
      <c r="O19456" s="20" t="str">
        <f>IF(N19456="","",COUNTIFS(RawData[[Date ]],N19456,RawData[Month List],$Q$6,RawData[Tour/Site],$Q$2,RawData[[Picker ID ]],$Q$3,RawData[Checker ID],$Q$4,RawData[[Error Type ]],$Q$5))</f>
        <v/>
      </c>
    </row>
    <row r="19457" spans="15:15" x14ac:dyDescent="0.25">
      <c r="O19457" s="20" t="str">
        <f>IF(N19457="","",COUNTIFS(RawData[[Date ]],N19457,RawData[Month List],$Q$6,RawData[Tour/Site],$Q$2,RawData[[Picker ID ]],$Q$3,RawData[Checker ID],$Q$4,RawData[[Error Type ]],$Q$5))</f>
        <v/>
      </c>
    </row>
    <row r="19458" spans="15:15" x14ac:dyDescent="0.25">
      <c r="O19458" s="20" t="str">
        <f>IF(N19458="","",COUNTIFS(RawData[[Date ]],N19458,RawData[Month List],$Q$6,RawData[Tour/Site],$Q$2,RawData[[Picker ID ]],$Q$3,RawData[Checker ID],$Q$4,RawData[[Error Type ]],$Q$5))</f>
        <v/>
      </c>
    </row>
    <row r="19459" spans="15:15" x14ac:dyDescent="0.25">
      <c r="O19459" s="20" t="str">
        <f>IF(N19459="","",COUNTIFS(RawData[[Date ]],N19459,RawData[Month List],$Q$6,RawData[Tour/Site],$Q$2,RawData[[Picker ID ]],$Q$3,RawData[Checker ID],$Q$4,RawData[[Error Type ]],$Q$5))</f>
        <v/>
      </c>
    </row>
    <row r="19460" spans="15:15" x14ac:dyDescent="0.25">
      <c r="O19460" s="20" t="str">
        <f>IF(N19460="","",COUNTIFS(RawData[[Date ]],N19460,RawData[Month List],$Q$6,RawData[Tour/Site],$Q$2,RawData[[Picker ID ]],$Q$3,RawData[Checker ID],$Q$4,RawData[[Error Type ]],$Q$5))</f>
        <v/>
      </c>
    </row>
    <row r="19461" spans="15:15" x14ac:dyDescent="0.25">
      <c r="O19461" s="20" t="str">
        <f>IF(N19461="","",COUNTIFS(RawData[[Date ]],N19461,RawData[Month List],$Q$6,RawData[Tour/Site],$Q$2,RawData[[Picker ID ]],$Q$3,RawData[Checker ID],$Q$4,RawData[[Error Type ]],$Q$5))</f>
        <v/>
      </c>
    </row>
    <row r="19462" spans="15:15" x14ac:dyDescent="0.25">
      <c r="O19462" s="20" t="str">
        <f>IF(N19462="","",COUNTIFS(RawData[[Date ]],N19462,RawData[Month List],$Q$6,RawData[Tour/Site],$Q$2,RawData[[Picker ID ]],$Q$3,RawData[Checker ID],$Q$4,RawData[[Error Type ]],$Q$5))</f>
        <v/>
      </c>
    </row>
    <row r="19463" spans="15:15" x14ac:dyDescent="0.25">
      <c r="O19463" s="20" t="str">
        <f>IF(N19463="","",COUNTIFS(RawData[[Date ]],N19463,RawData[Month List],$Q$6,RawData[Tour/Site],$Q$2,RawData[[Picker ID ]],$Q$3,RawData[Checker ID],$Q$4,RawData[[Error Type ]],$Q$5))</f>
        <v/>
      </c>
    </row>
    <row r="19464" spans="15:15" x14ac:dyDescent="0.25">
      <c r="O19464" s="20" t="str">
        <f>IF(N19464="","",COUNTIFS(RawData[[Date ]],N19464,RawData[Month List],$Q$6,RawData[Tour/Site],$Q$2,RawData[[Picker ID ]],$Q$3,RawData[Checker ID],$Q$4,RawData[[Error Type ]],$Q$5))</f>
        <v/>
      </c>
    </row>
    <row r="19465" spans="15:15" x14ac:dyDescent="0.25">
      <c r="O19465" s="20" t="str">
        <f>IF(N19465="","",COUNTIFS(RawData[[Date ]],N19465,RawData[Month List],$Q$6,RawData[Tour/Site],$Q$2,RawData[[Picker ID ]],$Q$3,RawData[Checker ID],$Q$4,RawData[[Error Type ]],$Q$5))</f>
        <v/>
      </c>
    </row>
    <row r="19466" spans="15:15" x14ac:dyDescent="0.25">
      <c r="O19466" s="20" t="str">
        <f>IF(N19466="","",COUNTIFS(RawData[[Date ]],N19466,RawData[Month List],$Q$6,RawData[Tour/Site],$Q$2,RawData[[Picker ID ]],$Q$3,RawData[Checker ID],$Q$4,RawData[[Error Type ]],$Q$5))</f>
        <v/>
      </c>
    </row>
    <row r="19467" spans="15:15" x14ac:dyDescent="0.25">
      <c r="O19467" s="20" t="str">
        <f>IF(N19467="","",COUNTIFS(RawData[[Date ]],N19467,RawData[Month List],$Q$6,RawData[Tour/Site],$Q$2,RawData[[Picker ID ]],$Q$3,RawData[Checker ID],$Q$4,RawData[[Error Type ]],$Q$5))</f>
        <v/>
      </c>
    </row>
    <row r="19468" spans="15:15" x14ac:dyDescent="0.25">
      <c r="O19468" s="20" t="str">
        <f>IF(N19468="","",COUNTIFS(RawData[[Date ]],N19468,RawData[Month List],$Q$6,RawData[Tour/Site],$Q$2,RawData[[Picker ID ]],$Q$3,RawData[Checker ID],$Q$4,RawData[[Error Type ]],$Q$5))</f>
        <v/>
      </c>
    </row>
    <row r="19469" spans="15:15" x14ac:dyDescent="0.25">
      <c r="O19469" s="20" t="str">
        <f>IF(N19469="","",COUNTIFS(RawData[[Date ]],N19469,RawData[Month List],$Q$6,RawData[Tour/Site],$Q$2,RawData[[Picker ID ]],$Q$3,RawData[Checker ID],$Q$4,RawData[[Error Type ]],$Q$5))</f>
        <v/>
      </c>
    </row>
    <row r="19470" spans="15:15" x14ac:dyDescent="0.25">
      <c r="O19470" s="20" t="str">
        <f>IF(N19470="","",COUNTIFS(RawData[[Date ]],N19470,RawData[Month List],$Q$6,RawData[Tour/Site],$Q$2,RawData[[Picker ID ]],$Q$3,RawData[Checker ID],$Q$4,RawData[[Error Type ]],$Q$5))</f>
        <v/>
      </c>
    </row>
    <row r="19471" spans="15:15" x14ac:dyDescent="0.25">
      <c r="O19471" s="20" t="str">
        <f>IF(N19471="","",COUNTIFS(RawData[[Date ]],N19471,RawData[Month List],$Q$6,RawData[Tour/Site],$Q$2,RawData[[Picker ID ]],$Q$3,RawData[Checker ID],$Q$4,RawData[[Error Type ]],$Q$5))</f>
        <v/>
      </c>
    </row>
    <row r="19472" spans="15:15" x14ac:dyDescent="0.25">
      <c r="O19472" s="20" t="str">
        <f>IF(N19472="","",COUNTIFS(RawData[[Date ]],N19472,RawData[Month List],$Q$6,RawData[Tour/Site],$Q$2,RawData[[Picker ID ]],$Q$3,RawData[Checker ID],$Q$4,RawData[[Error Type ]],$Q$5))</f>
        <v/>
      </c>
    </row>
    <row r="19473" spans="15:15" x14ac:dyDescent="0.25">
      <c r="O19473" s="20" t="str">
        <f>IF(N19473="","",COUNTIFS(RawData[[Date ]],N19473,RawData[Month List],$Q$6,RawData[Tour/Site],$Q$2,RawData[[Picker ID ]],$Q$3,RawData[Checker ID],$Q$4,RawData[[Error Type ]],$Q$5))</f>
        <v/>
      </c>
    </row>
    <row r="19474" spans="15:15" x14ac:dyDescent="0.25">
      <c r="O19474" s="20" t="str">
        <f>IF(N19474="","",COUNTIFS(RawData[[Date ]],N19474,RawData[Month List],$Q$6,RawData[Tour/Site],$Q$2,RawData[[Picker ID ]],$Q$3,RawData[Checker ID],$Q$4,RawData[[Error Type ]],$Q$5))</f>
        <v/>
      </c>
    </row>
    <row r="19475" spans="15:15" x14ac:dyDescent="0.25">
      <c r="O19475" s="20" t="str">
        <f>IF(N19475="","",COUNTIFS(RawData[[Date ]],N19475,RawData[Month List],$Q$6,RawData[Tour/Site],$Q$2,RawData[[Picker ID ]],$Q$3,RawData[Checker ID],$Q$4,RawData[[Error Type ]],$Q$5))</f>
        <v/>
      </c>
    </row>
    <row r="19476" spans="15:15" x14ac:dyDescent="0.25">
      <c r="O19476" s="20" t="str">
        <f>IF(N19476="","",COUNTIFS(RawData[[Date ]],N19476,RawData[Month List],$Q$6,RawData[Tour/Site],$Q$2,RawData[[Picker ID ]],$Q$3,RawData[Checker ID],$Q$4,RawData[[Error Type ]],$Q$5))</f>
        <v/>
      </c>
    </row>
    <row r="19477" spans="15:15" x14ac:dyDescent="0.25">
      <c r="O19477" s="20" t="str">
        <f>IF(N19477="","",COUNTIFS(RawData[[Date ]],N19477,RawData[Month List],$Q$6,RawData[Tour/Site],$Q$2,RawData[[Picker ID ]],$Q$3,RawData[Checker ID],$Q$4,RawData[[Error Type ]],$Q$5))</f>
        <v/>
      </c>
    </row>
    <row r="19478" spans="15:15" x14ac:dyDescent="0.25">
      <c r="O19478" s="20" t="str">
        <f>IF(N19478="","",COUNTIFS(RawData[[Date ]],N19478,RawData[Month List],$Q$6,RawData[Tour/Site],$Q$2,RawData[[Picker ID ]],$Q$3,RawData[Checker ID],$Q$4,RawData[[Error Type ]],$Q$5))</f>
        <v/>
      </c>
    </row>
    <row r="19479" spans="15:15" x14ac:dyDescent="0.25">
      <c r="O19479" s="20" t="str">
        <f>IF(N19479="","",COUNTIFS(RawData[[Date ]],N19479,RawData[Month List],$Q$6,RawData[Tour/Site],$Q$2,RawData[[Picker ID ]],$Q$3,RawData[Checker ID],$Q$4,RawData[[Error Type ]],$Q$5))</f>
        <v/>
      </c>
    </row>
    <row r="19480" spans="15:15" x14ac:dyDescent="0.25">
      <c r="O19480" s="20" t="str">
        <f>IF(N19480="","",COUNTIFS(RawData[[Date ]],N19480,RawData[Month List],$Q$6,RawData[Tour/Site],$Q$2,RawData[[Picker ID ]],$Q$3,RawData[Checker ID],$Q$4,RawData[[Error Type ]],$Q$5))</f>
        <v/>
      </c>
    </row>
    <row r="19481" spans="15:15" x14ac:dyDescent="0.25">
      <c r="O19481" s="20" t="str">
        <f>IF(N19481="","",COUNTIFS(RawData[[Date ]],N19481,RawData[Month List],$Q$6,RawData[Tour/Site],$Q$2,RawData[[Picker ID ]],$Q$3,RawData[Checker ID],$Q$4,RawData[[Error Type ]],$Q$5))</f>
        <v/>
      </c>
    </row>
    <row r="19482" spans="15:15" x14ac:dyDescent="0.25">
      <c r="O19482" s="20" t="str">
        <f>IF(N19482="","",COUNTIFS(RawData[[Date ]],N19482,RawData[Month List],$Q$6,RawData[Tour/Site],$Q$2,RawData[[Picker ID ]],$Q$3,RawData[Checker ID],$Q$4,RawData[[Error Type ]],$Q$5))</f>
        <v/>
      </c>
    </row>
    <row r="19483" spans="15:15" x14ac:dyDescent="0.25">
      <c r="O19483" s="20" t="str">
        <f>IF(N19483="","",COUNTIFS(RawData[[Date ]],N19483,RawData[Month List],$Q$6,RawData[Tour/Site],$Q$2,RawData[[Picker ID ]],$Q$3,RawData[Checker ID],$Q$4,RawData[[Error Type ]],$Q$5))</f>
        <v/>
      </c>
    </row>
    <row r="19484" spans="15:15" x14ac:dyDescent="0.25">
      <c r="O19484" s="20" t="str">
        <f>IF(N19484="","",COUNTIFS(RawData[[Date ]],N19484,RawData[Month List],$Q$6,RawData[Tour/Site],$Q$2,RawData[[Picker ID ]],$Q$3,RawData[Checker ID],$Q$4,RawData[[Error Type ]],$Q$5))</f>
        <v/>
      </c>
    </row>
    <row r="19485" spans="15:15" x14ac:dyDescent="0.25">
      <c r="O19485" s="20" t="str">
        <f>IF(N19485="","",COUNTIFS(RawData[[Date ]],N19485,RawData[Month List],$Q$6,RawData[Tour/Site],$Q$2,RawData[[Picker ID ]],$Q$3,RawData[Checker ID],$Q$4,RawData[[Error Type ]],$Q$5))</f>
        <v/>
      </c>
    </row>
    <row r="19486" spans="15:15" x14ac:dyDescent="0.25">
      <c r="O19486" s="20" t="str">
        <f>IF(N19486="","",COUNTIFS(RawData[[Date ]],N19486,RawData[Month List],$Q$6,RawData[Tour/Site],$Q$2,RawData[[Picker ID ]],$Q$3,RawData[Checker ID],$Q$4,RawData[[Error Type ]],$Q$5))</f>
        <v/>
      </c>
    </row>
    <row r="19487" spans="15:15" x14ac:dyDescent="0.25">
      <c r="O19487" s="20" t="str">
        <f>IF(N19487="","",COUNTIFS(RawData[[Date ]],N19487,RawData[Month List],$Q$6,RawData[Tour/Site],$Q$2,RawData[[Picker ID ]],$Q$3,RawData[Checker ID],$Q$4,RawData[[Error Type ]],$Q$5))</f>
        <v/>
      </c>
    </row>
    <row r="19488" spans="15:15" x14ac:dyDescent="0.25">
      <c r="O19488" s="20" t="str">
        <f>IF(N19488="","",COUNTIFS(RawData[[Date ]],N19488,RawData[Month List],$Q$6,RawData[Tour/Site],$Q$2,RawData[[Picker ID ]],$Q$3,RawData[Checker ID],$Q$4,RawData[[Error Type ]],$Q$5))</f>
        <v/>
      </c>
    </row>
    <row r="19489" spans="15:15" x14ac:dyDescent="0.25">
      <c r="O19489" s="20" t="str">
        <f>IF(N19489="","",COUNTIFS(RawData[[Date ]],N19489,RawData[Month List],$Q$6,RawData[Tour/Site],$Q$2,RawData[[Picker ID ]],$Q$3,RawData[Checker ID],$Q$4,RawData[[Error Type ]],$Q$5))</f>
        <v/>
      </c>
    </row>
    <row r="19490" spans="15:15" x14ac:dyDescent="0.25">
      <c r="O19490" s="20" t="str">
        <f>IF(N19490="","",COUNTIFS(RawData[[Date ]],N19490,RawData[Month List],$Q$6,RawData[Tour/Site],$Q$2,RawData[[Picker ID ]],$Q$3,RawData[Checker ID],$Q$4,RawData[[Error Type ]],$Q$5))</f>
        <v/>
      </c>
    </row>
    <row r="19491" spans="15:15" x14ac:dyDescent="0.25">
      <c r="O19491" s="20" t="str">
        <f>IF(N19491="","",COUNTIFS(RawData[[Date ]],N19491,RawData[Month List],$Q$6,RawData[Tour/Site],$Q$2,RawData[[Picker ID ]],$Q$3,RawData[Checker ID],$Q$4,RawData[[Error Type ]],$Q$5))</f>
        <v/>
      </c>
    </row>
    <row r="19492" spans="15:15" x14ac:dyDescent="0.25">
      <c r="O19492" s="20" t="str">
        <f>IF(N19492="","",COUNTIFS(RawData[[Date ]],N19492,RawData[Month List],$Q$6,RawData[Tour/Site],$Q$2,RawData[[Picker ID ]],$Q$3,RawData[Checker ID],$Q$4,RawData[[Error Type ]],$Q$5))</f>
        <v/>
      </c>
    </row>
    <row r="19493" spans="15:15" x14ac:dyDescent="0.25">
      <c r="O19493" s="20" t="str">
        <f>IF(N19493="","",COUNTIFS(RawData[[Date ]],N19493,RawData[Month List],$Q$6,RawData[Tour/Site],$Q$2,RawData[[Picker ID ]],$Q$3,RawData[Checker ID],$Q$4,RawData[[Error Type ]],$Q$5))</f>
        <v/>
      </c>
    </row>
    <row r="19494" spans="15:15" x14ac:dyDescent="0.25">
      <c r="O19494" s="20" t="str">
        <f>IF(N19494="","",COUNTIFS(RawData[[Date ]],N19494,RawData[Month List],$Q$6,RawData[Tour/Site],$Q$2,RawData[[Picker ID ]],$Q$3,RawData[Checker ID],$Q$4,RawData[[Error Type ]],$Q$5))</f>
        <v/>
      </c>
    </row>
    <row r="19495" spans="15:15" x14ac:dyDescent="0.25">
      <c r="O19495" s="20" t="str">
        <f>IF(N19495="","",COUNTIFS(RawData[[Date ]],N19495,RawData[Month List],$Q$6,RawData[Tour/Site],$Q$2,RawData[[Picker ID ]],$Q$3,RawData[Checker ID],$Q$4,RawData[[Error Type ]],$Q$5))</f>
        <v/>
      </c>
    </row>
    <row r="19496" spans="15:15" x14ac:dyDescent="0.25">
      <c r="O19496" s="20" t="str">
        <f>IF(N19496="","",COUNTIFS(RawData[[Date ]],N19496,RawData[Month List],$Q$6,RawData[Tour/Site],$Q$2,RawData[[Picker ID ]],$Q$3,RawData[Checker ID],$Q$4,RawData[[Error Type ]],$Q$5))</f>
        <v/>
      </c>
    </row>
    <row r="19497" spans="15:15" x14ac:dyDescent="0.25">
      <c r="O19497" s="20" t="str">
        <f>IF(N19497="","",COUNTIFS(RawData[[Date ]],N19497,RawData[Month List],$Q$6,RawData[Tour/Site],$Q$2,RawData[[Picker ID ]],$Q$3,RawData[Checker ID],$Q$4,RawData[[Error Type ]],$Q$5))</f>
        <v/>
      </c>
    </row>
    <row r="19498" spans="15:15" x14ac:dyDescent="0.25">
      <c r="O19498" s="20" t="str">
        <f>IF(N19498="","",COUNTIFS(RawData[[Date ]],N19498,RawData[Month List],$Q$6,RawData[Tour/Site],$Q$2,RawData[[Picker ID ]],$Q$3,RawData[Checker ID],$Q$4,RawData[[Error Type ]],$Q$5))</f>
        <v/>
      </c>
    </row>
    <row r="19499" spans="15:15" x14ac:dyDescent="0.25">
      <c r="O19499" s="20" t="str">
        <f>IF(N19499="","",COUNTIFS(RawData[[Date ]],N19499,RawData[Month List],$Q$6,RawData[Tour/Site],$Q$2,RawData[[Picker ID ]],$Q$3,RawData[Checker ID],$Q$4,RawData[[Error Type ]],$Q$5))</f>
        <v/>
      </c>
    </row>
    <row r="19500" spans="15:15" x14ac:dyDescent="0.25">
      <c r="O19500" s="20" t="str">
        <f>IF(N19500="","",COUNTIFS(RawData[[Date ]],N19500,RawData[Month List],$Q$6,RawData[Tour/Site],$Q$2,RawData[[Picker ID ]],$Q$3,RawData[Checker ID],$Q$4,RawData[[Error Type ]],$Q$5))</f>
        <v/>
      </c>
    </row>
    <row r="19501" spans="15:15" x14ac:dyDescent="0.25">
      <c r="O19501" s="20" t="str">
        <f>IF(N19501="","",COUNTIFS(RawData[[Date ]],N19501,RawData[Month List],$Q$6,RawData[Tour/Site],$Q$2,RawData[[Picker ID ]],$Q$3,RawData[Checker ID],$Q$4,RawData[[Error Type ]],$Q$5))</f>
        <v/>
      </c>
    </row>
    <row r="19502" spans="15:15" x14ac:dyDescent="0.25">
      <c r="O19502" s="20" t="str">
        <f>IF(N19502="","",COUNTIFS(RawData[[Date ]],N19502,RawData[Month List],$Q$6,RawData[Tour/Site],$Q$2,RawData[[Picker ID ]],$Q$3,RawData[Checker ID],$Q$4,RawData[[Error Type ]],$Q$5))</f>
        <v/>
      </c>
    </row>
    <row r="19503" spans="15:15" x14ac:dyDescent="0.25">
      <c r="O19503" s="20" t="str">
        <f>IF(N19503="","",COUNTIFS(RawData[[Date ]],N19503,RawData[Month List],$Q$6,RawData[Tour/Site],$Q$2,RawData[[Picker ID ]],$Q$3,RawData[Checker ID],$Q$4,RawData[[Error Type ]],$Q$5))</f>
        <v/>
      </c>
    </row>
    <row r="19504" spans="15:15" x14ac:dyDescent="0.25">
      <c r="O19504" s="20" t="str">
        <f>IF(N19504="","",COUNTIFS(RawData[[Date ]],N19504,RawData[Month List],$Q$6,RawData[Tour/Site],$Q$2,RawData[[Picker ID ]],$Q$3,RawData[Checker ID],$Q$4,RawData[[Error Type ]],$Q$5))</f>
        <v/>
      </c>
    </row>
    <row r="19505" spans="15:15" x14ac:dyDescent="0.25">
      <c r="O19505" s="20" t="str">
        <f>IF(N19505="","",COUNTIFS(RawData[[Date ]],N19505,RawData[Month List],$Q$6,RawData[Tour/Site],$Q$2,RawData[[Picker ID ]],$Q$3,RawData[Checker ID],$Q$4,RawData[[Error Type ]],$Q$5))</f>
        <v/>
      </c>
    </row>
    <row r="19506" spans="15:15" x14ac:dyDescent="0.25">
      <c r="O19506" s="20" t="str">
        <f>IF(N19506="","",COUNTIFS(RawData[[Date ]],N19506,RawData[Month List],$Q$6,RawData[Tour/Site],$Q$2,RawData[[Picker ID ]],$Q$3,RawData[Checker ID],$Q$4,RawData[[Error Type ]],$Q$5))</f>
        <v/>
      </c>
    </row>
    <row r="19507" spans="15:15" x14ac:dyDescent="0.25">
      <c r="O19507" s="20" t="str">
        <f>IF(N19507="","",COUNTIFS(RawData[[Date ]],N19507,RawData[Month List],$Q$6,RawData[Tour/Site],$Q$2,RawData[[Picker ID ]],$Q$3,RawData[Checker ID],$Q$4,RawData[[Error Type ]],$Q$5))</f>
        <v/>
      </c>
    </row>
    <row r="19508" spans="15:15" x14ac:dyDescent="0.25">
      <c r="O19508" s="20" t="str">
        <f>IF(N19508="","",COUNTIFS(RawData[[Date ]],N19508,RawData[Month List],$Q$6,RawData[Tour/Site],$Q$2,RawData[[Picker ID ]],$Q$3,RawData[Checker ID],$Q$4,RawData[[Error Type ]],$Q$5))</f>
        <v/>
      </c>
    </row>
    <row r="19509" spans="15:15" x14ac:dyDescent="0.25">
      <c r="O19509" s="20" t="str">
        <f>IF(N19509="","",COUNTIFS(RawData[[Date ]],N19509,RawData[Month List],$Q$6,RawData[Tour/Site],$Q$2,RawData[[Picker ID ]],$Q$3,RawData[Checker ID],$Q$4,RawData[[Error Type ]],$Q$5))</f>
        <v/>
      </c>
    </row>
    <row r="19510" spans="15:15" x14ac:dyDescent="0.25">
      <c r="O19510" s="20" t="str">
        <f>IF(N19510="","",COUNTIFS(RawData[[Date ]],N19510,RawData[Month List],$Q$6,RawData[Tour/Site],$Q$2,RawData[[Picker ID ]],$Q$3,RawData[Checker ID],$Q$4,RawData[[Error Type ]],$Q$5))</f>
        <v/>
      </c>
    </row>
    <row r="19511" spans="15:15" x14ac:dyDescent="0.25">
      <c r="O19511" s="20" t="str">
        <f>IF(N19511="","",COUNTIFS(RawData[[Date ]],N19511,RawData[Month List],$Q$6,RawData[Tour/Site],$Q$2,RawData[[Picker ID ]],$Q$3,RawData[Checker ID],$Q$4,RawData[[Error Type ]],$Q$5))</f>
        <v/>
      </c>
    </row>
    <row r="19512" spans="15:15" x14ac:dyDescent="0.25">
      <c r="O19512" s="20" t="str">
        <f>IF(N19512="","",COUNTIFS(RawData[[Date ]],N19512,RawData[Month List],$Q$6,RawData[Tour/Site],$Q$2,RawData[[Picker ID ]],$Q$3,RawData[Checker ID],$Q$4,RawData[[Error Type ]],$Q$5))</f>
        <v/>
      </c>
    </row>
    <row r="19513" spans="15:15" x14ac:dyDescent="0.25">
      <c r="O19513" s="20" t="str">
        <f>IF(N19513="","",COUNTIFS(RawData[[Date ]],N19513,RawData[Month List],$Q$6,RawData[Tour/Site],$Q$2,RawData[[Picker ID ]],$Q$3,RawData[Checker ID],$Q$4,RawData[[Error Type ]],$Q$5))</f>
        <v/>
      </c>
    </row>
    <row r="19514" spans="15:15" x14ac:dyDescent="0.25">
      <c r="O19514" s="20" t="str">
        <f>IF(N19514="","",COUNTIFS(RawData[[Date ]],N19514,RawData[Month List],$Q$6,RawData[Tour/Site],$Q$2,RawData[[Picker ID ]],$Q$3,RawData[Checker ID],$Q$4,RawData[[Error Type ]],$Q$5))</f>
        <v/>
      </c>
    </row>
    <row r="19515" spans="15:15" x14ac:dyDescent="0.25">
      <c r="O19515" s="20" t="str">
        <f>IF(N19515="","",COUNTIFS(RawData[[Date ]],N19515,RawData[Month List],$Q$6,RawData[Tour/Site],$Q$2,RawData[[Picker ID ]],$Q$3,RawData[Checker ID],$Q$4,RawData[[Error Type ]],$Q$5))</f>
        <v/>
      </c>
    </row>
    <row r="19516" spans="15:15" x14ac:dyDescent="0.25">
      <c r="O19516" s="20" t="str">
        <f>IF(N19516="","",COUNTIFS(RawData[[Date ]],N19516,RawData[Month List],$Q$6,RawData[Tour/Site],$Q$2,RawData[[Picker ID ]],$Q$3,RawData[Checker ID],$Q$4,RawData[[Error Type ]],$Q$5))</f>
        <v/>
      </c>
    </row>
    <row r="19517" spans="15:15" x14ac:dyDescent="0.25">
      <c r="O19517" s="20" t="str">
        <f>IF(N19517="","",COUNTIFS(RawData[[Date ]],N19517,RawData[Month List],$Q$6,RawData[Tour/Site],$Q$2,RawData[[Picker ID ]],$Q$3,RawData[Checker ID],$Q$4,RawData[[Error Type ]],$Q$5))</f>
        <v/>
      </c>
    </row>
    <row r="19518" spans="15:15" x14ac:dyDescent="0.25">
      <c r="O19518" s="20" t="str">
        <f>IF(N19518="","",COUNTIFS(RawData[[Date ]],N19518,RawData[Month List],$Q$6,RawData[Tour/Site],$Q$2,RawData[[Picker ID ]],$Q$3,RawData[Checker ID],$Q$4,RawData[[Error Type ]],$Q$5))</f>
        <v/>
      </c>
    </row>
    <row r="19519" spans="15:15" x14ac:dyDescent="0.25">
      <c r="O19519" s="20" t="str">
        <f>IF(N19519="","",COUNTIFS(RawData[[Date ]],N19519,RawData[Month List],$Q$6,RawData[Tour/Site],$Q$2,RawData[[Picker ID ]],$Q$3,RawData[Checker ID],$Q$4,RawData[[Error Type ]],$Q$5))</f>
        <v/>
      </c>
    </row>
    <row r="19520" spans="15:15" x14ac:dyDescent="0.25">
      <c r="O19520" s="20" t="str">
        <f>IF(N19520="","",COUNTIFS(RawData[[Date ]],N19520,RawData[Month List],$Q$6,RawData[Tour/Site],$Q$2,RawData[[Picker ID ]],$Q$3,RawData[Checker ID],$Q$4,RawData[[Error Type ]],$Q$5))</f>
        <v/>
      </c>
    </row>
    <row r="19521" spans="15:15" x14ac:dyDescent="0.25">
      <c r="O19521" s="20" t="str">
        <f>IF(N19521="","",COUNTIFS(RawData[[Date ]],N19521,RawData[Month List],$Q$6,RawData[Tour/Site],$Q$2,RawData[[Picker ID ]],$Q$3,RawData[Checker ID],$Q$4,RawData[[Error Type ]],$Q$5))</f>
        <v/>
      </c>
    </row>
    <row r="19522" spans="15:15" x14ac:dyDescent="0.25">
      <c r="O19522" s="20" t="str">
        <f>IF(N19522="","",COUNTIFS(RawData[[Date ]],N19522,RawData[Month List],$Q$6,RawData[Tour/Site],$Q$2,RawData[[Picker ID ]],$Q$3,RawData[Checker ID],$Q$4,RawData[[Error Type ]],$Q$5))</f>
        <v/>
      </c>
    </row>
    <row r="19523" spans="15:15" x14ac:dyDescent="0.25">
      <c r="O19523" s="20" t="str">
        <f>IF(N19523="","",COUNTIFS(RawData[[Date ]],N19523,RawData[Month List],$Q$6,RawData[Tour/Site],$Q$2,RawData[[Picker ID ]],$Q$3,RawData[Checker ID],$Q$4,RawData[[Error Type ]],$Q$5))</f>
        <v/>
      </c>
    </row>
    <row r="19524" spans="15:15" x14ac:dyDescent="0.25">
      <c r="O19524" s="20" t="str">
        <f>IF(N19524="","",COUNTIFS(RawData[[Date ]],N19524,RawData[Month List],$Q$6,RawData[Tour/Site],$Q$2,RawData[[Picker ID ]],$Q$3,RawData[Checker ID],$Q$4,RawData[[Error Type ]],$Q$5))</f>
        <v/>
      </c>
    </row>
    <row r="19525" spans="15:15" x14ac:dyDescent="0.25">
      <c r="O19525" s="20" t="str">
        <f>IF(N19525="","",COUNTIFS(RawData[[Date ]],N19525,RawData[Month List],$Q$6,RawData[Tour/Site],$Q$2,RawData[[Picker ID ]],$Q$3,RawData[Checker ID],$Q$4,RawData[[Error Type ]],$Q$5))</f>
        <v/>
      </c>
    </row>
    <row r="19526" spans="15:15" x14ac:dyDescent="0.25">
      <c r="O19526" s="20" t="str">
        <f>IF(N19526="","",COUNTIFS(RawData[[Date ]],N19526,RawData[Month List],$Q$6,RawData[Tour/Site],$Q$2,RawData[[Picker ID ]],$Q$3,RawData[Checker ID],$Q$4,RawData[[Error Type ]],$Q$5))</f>
        <v/>
      </c>
    </row>
    <row r="19527" spans="15:15" x14ac:dyDescent="0.25">
      <c r="O19527" s="20" t="str">
        <f>IF(N19527="","",COUNTIFS(RawData[[Date ]],N19527,RawData[Month List],$Q$6,RawData[Tour/Site],$Q$2,RawData[[Picker ID ]],$Q$3,RawData[Checker ID],$Q$4,RawData[[Error Type ]],$Q$5))</f>
        <v/>
      </c>
    </row>
    <row r="19528" spans="15:15" x14ac:dyDescent="0.25">
      <c r="O19528" s="20" t="str">
        <f>IF(N19528="","",COUNTIFS(RawData[[Date ]],N19528,RawData[Month List],$Q$6,RawData[Tour/Site],$Q$2,RawData[[Picker ID ]],$Q$3,RawData[Checker ID],$Q$4,RawData[[Error Type ]],$Q$5))</f>
        <v/>
      </c>
    </row>
    <row r="19529" spans="15:15" x14ac:dyDescent="0.25">
      <c r="O19529" s="20" t="str">
        <f>IF(N19529="","",COUNTIFS(RawData[[Date ]],N19529,RawData[Month List],$Q$6,RawData[Tour/Site],$Q$2,RawData[[Picker ID ]],$Q$3,RawData[Checker ID],$Q$4,RawData[[Error Type ]],$Q$5))</f>
        <v/>
      </c>
    </row>
    <row r="19530" spans="15:15" x14ac:dyDescent="0.25">
      <c r="O19530" s="20" t="str">
        <f>IF(N19530="","",COUNTIFS(RawData[[Date ]],N19530,RawData[Month List],$Q$6,RawData[Tour/Site],$Q$2,RawData[[Picker ID ]],$Q$3,RawData[Checker ID],$Q$4,RawData[[Error Type ]],$Q$5))</f>
        <v/>
      </c>
    </row>
    <row r="19531" spans="15:15" x14ac:dyDescent="0.25">
      <c r="O19531" s="20" t="str">
        <f>IF(N19531="","",COUNTIFS(RawData[[Date ]],N19531,RawData[Month List],$Q$6,RawData[Tour/Site],$Q$2,RawData[[Picker ID ]],$Q$3,RawData[Checker ID],$Q$4,RawData[[Error Type ]],$Q$5))</f>
        <v/>
      </c>
    </row>
    <row r="19532" spans="15:15" x14ac:dyDescent="0.25">
      <c r="O19532" s="20" t="str">
        <f>IF(N19532="","",COUNTIFS(RawData[[Date ]],N19532,RawData[Month List],$Q$6,RawData[Tour/Site],$Q$2,RawData[[Picker ID ]],$Q$3,RawData[Checker ID],$Q$4,RawData[[Error Type ]],$Q$5))</f>
        <v/>
      </c>
    </row>
    <row r="19533" spans="15:15" x14ac:dyDescent="0.25">
      <c r="O19533" s="20" t="str">
        <f>IF(N19533="","",COUNTIFS(RawData[[Date ]],N19533,RawData[Month List],$Q$6,RawData[Tour/Site],$Q$2,RawData[[Picker ID ]],$Q$3,RawData[Checker ID],$Q$4,RawData[[Error Type ]],$Q$5))</f>
        <v/>
      </c>
    </row>
    <row r="19534" spans="15:15" x14ac:dyDescent="0.25">
      <c r="O19534" s="20" t="str">
        <f>IF(N19534="","",COUNTIFS(RawData[[Date ]],N19534,RawData[Month List],$Q$6,RawData[Tour/Site],$Q$2,RawData[[Picker ID ]],$Q$3,RawData[Checker ID],$Q$4,RawData[[Error Type ]],$Q$5))</f>
        <v/>
      </c>
    </row>
    <row r="19535" spans="15:15" x14ac:dyDescent="0.25">
      <c r="O19535" s="20" t="str">
        <f>IF(N19535="","",COUNTIFS(RawData[[Date ]],N19535,RawData[Month List],$Q$6,RawData[Tour/Site],$Q$2,RawData[[Picker ID ]],$Q$3,RawData[Checker ID],$Q$4,RawData[[Error Type ]],$Q$5))</f>
        <v/>
      </c>
    </row>
    <row r="19536" spans="15:15" x14ac:dyDescent="0.25">
      <c r="O19536" s="20" t="str">
        <f>IF(N19536="","",COUNTIFS(RawData[[Date ]],N19536,RawData[Month List],$Q$6,RawData[Tour/Site],$Q$2,RawData[[Picker ID ]],$Q$3,RawData[Checker ID],$Q$4,RawData[[Error Type ]],$Q$5))</f>
        <v/>
      </c>
    </row>
    <row r="19537" spans="15:15" x14ac:dyDescent="0.25">
      <c r="O19537" s="20" t="str">
        <f>IF(N19537="","",COUNTIFS(RawData[[Date ]],N19537,RawData[Month List],$Q$6,RawData[Tour/Site],$Q$2,RawData[[Picker ID ]],$Q$3,RawData[Checker ID],$Q$4,RawData[[Error Type ]],$Q$5))</f>
        <v/>
      </c>
    </row>
    <row r="19538" spans="15:15" x14ac:dyDescent="0.25">
      <c r="O19538" s="20" t="str">
        <f>IF(N19538="","",COUNTIFS(RawData[[Date ]],N19538,RawData[Month List],$Q$6,RawData[Tour/Site],$Q$2,RawData[[Picker ID ]],$Q$3,RawData[Checker ID],$Q$4,RawData[[Error Type ]],$Q$5))</f>
        <v/>
      </c>
    </row>
    <row r="19539" spans="15:15" x14ac:dyDescent="0.25">
      <c r="O19539" s="20" t="str">
        <f>IF(N19539="","",COUNTIFS(RawData[[Date ]],N19539,RawData[Month List],$Q$6,RawData[Tour/Site],$Q$2,RawData[[Picker ID ]],$Q$3,RawData[Checker ID],$Q$4,RawData[[Error Type ]],$Q$5))</f>
        <v/>
      </c>
    </row>
    <row r="19540" spans="15:15" x14ac:dyDescent="0.25">
      <c r="O19540" s="20" t="str">
        <f>IF(N19540="","",COUNTIFS(RawData[[Date ]],N19540,RawData[Month List],$Q$6,RawData[Tour/Site],$Q$2,RawData[[Picker ID ]],$Q$3,RawData[Checker ID],$Q$4,RawData[[Error Type ]],$Q$5))</f>
        <v/>
      </c>
    </row>
    <row r="19541" spans="15:15" x14ac:dyDescent="0.25">
      <c r="O19541" s="20" t="str">
        <f>IF(N19541="","",COUNTIFS(RawData[[Date ]],N19541,RawData[Month List],$Q$6,RawData[Tour/Site],$Q$2,RawData[[Picker ID ]],$Q$3,RawData[Checker ID],$Q$4,RawData[[Error Type ]],$Q$5))</f>
        <v/>
      </c>
    </row>
    <row r="19542" spans="15:15" x14ac:dyDescent="0.25">
      <c r="O19542" s="20" t="str">
        <f>IF(N19542="","",COUNTIFS(RawData[[Date ]],N19542,RawData[Month List],$Q$6,RawData[Tour/Site],$Q$2,RawData[[Picker ID ]],$Q$3,RawData[Checker ID],$Q$4,RawData[[Error Type ]],$Q$5))</f>
        <v/>
      </c>
    </row>
    <row r="19543" spans="15:15" x14ac:dyDescent="0.25">
      <c r="O19543" s="20" t="str">
        <f>IF(N19543="","",COUNTIFS(RawData[[Date ]],N19543,RawData[Month List],$Q$6,RawData[Tour/Site],$Q$2,RawData[[Picker ID ]],$Q$3,RawData[Checker ID],$Q$4,RawData[[Error Type ]],$Q$5))</f>
        <v/>
      </c>
    </row>
    <row r="19544" spans="15:15" x14ac:dyDescent="0.25">
      <c r="O19544" s="20" t="str">
        <f>IF(N19544="","",COUNTIFS(RawData[[Date ]],N19544,RawData[Month List],$Q$6,RawData[Tour/Site],$Q$2,RawData[[Picker ID ]],$Q$3,RawData[Checker ID],$Q$4,RawData[[Error Type ]],$Q$5))</f>
        <v/>
      </c>
    </row>
    <row r="19545" spans="15:15" x14ac:dyDescent="0.25">
      <c r="O19545" s="20" t="str">
        <f>IF(N19545="","",COUNTIFS(RawData[[Date ]],N19545,RawData[Month List],$Q$6,RawData[Tour/Site],$Q$2,RawData[[Picker ID ]],$Q$3,RawData[Checker ID],$Q$4,RawData[[Error Type ]],$Q$5))</f>
        <v/>
      </c>
    </row>
    <row r="19546" spans="15:15" x14ac:dyDescent="0.25">
      <c r="O19546" s="20" t="str">
        <f>IF(N19546="","",COUNTIFS(RawData[[Date ]],N19546,RawData[Month List],$Q$6,RawData[Tour/Site],$Q$2,RawData[[Picker ID ]],$Q$3,RawData[Checker ID],$Q$4,RawData[[Error Type ]],$Q$5))</f>
        <v/>
      </c>
    </row>
    <row r="19547" spans="15:15" x14ac:dyDescent="0.25">
      <c r="O19547" s="20" t="str">
        <f>IF(N19547="","",COUNTIFS(RawData[[Date ]],N19547,RawData[Month List],$Q$6,RawData[Tour/Site],$Q$2,RawData[[Picker ID ]],$Q$3,RawData[Checker ID],$Q$4,RawData[[Error Type ]],$Q$5))</f>
        <v/>
      </c>
    </row>
    <row r="19548" spans="15:15" x14ac:dyDescent="0.25">
      <c r="O19548" s="20" t="str">
        <f>IF(N19548="","",COUNTIFS(RawData[[Date ]],N19548,RawData[Month List],$Q$6,RawData[Tour/Site],$Q$2,RawData[[Picker ID ]],$Q$3,RawData[Checker ID],$Q$4,RawData[[Error Type ]],$Q$5))</f>
        <v/>
      </c>
    </row>
    <row r="19549" spans="15:15" x14ac:dyDescent="0.25">
      <c r="O19549" s="20" t="str">
        <f>IF(N19549="","",COUNTIFS(RawData[[Date ]],N19549,RawData[Month List],$Q$6,RawData[Tour/Site],$Q$2,RawData[[Picker ID ]],$Q$3,RawData[Checker ID],$Q$4,RawData[[Error Type ]],$Q$5))</f>
        <v/>
      </c>
    </row>
    <row r="19550" spans="15:15" x14ac:dyDescent="0.25">
      <c r="O19550" s="20" t="str">
        <f>IF(N19550="","",COUNTIFS(RawData[[Date ]],N19550,RawData[Month List],$Q$6,RawData[Tour/Site],$Q$2,RawData[[Picker ID ]],$Q$3,RawData[Checker ID],$Q$4,RawData[[Error Type ]],$Q$5))</f>
        <v/>
      </c>
    </row>
    <row r="19551" spans="15:15" x14ac:dyDescent="0.25">
      <c r="O19551" s="20" t="str">
        <f>IF(N19551="","",COUNTIFS(RawData[[Date ]],N19551,RawData[Month List],$Q$6,RawData[Tour/Site],$Q$2,RawData[[Picker ID ]],$Q$3,RawData[Checker ID],$Q$4,RawData[[Error Type ]],$Q$5))</f>
        <v/>
      </c>
    </row>
    <row r="19552" spans="15:15" x14ac:dyDescent="0.25">
      <c r="O19552" s="20" t="str">
        <f>IF(N19552="","",COUNTIFS(RawData[[Date ]],N19552,RawData[Month List],$Q$6,RawData[Tour/Site],$Q$2,RawData[[Picker ID ]],$Q$3,RawData[Checker ID],$Q$4,RawData[[Error Type ]],$Q$5))</f>
        <v/>
      </c>
    </row>
    <row r="19553" spans="15:15" x14ac:dyDescent="0.25">
      <c r="O19553" s="20" t="str">
        <f>IF(N19553="","",COUNTIFS(RawData[[Date ]],N19553,RawData[Month List],$Q$6,RawData[Tour/Site],$Q$2,RawData[[Picker ID ]],$Q$3,RawData[Checker ID],$Q$4,RawData[[Error Type ]],$Q$5))</f>
        <v/>
      </c>
    </row>
    <row r="19554" spans="15:15" x14ac:dyDescent="0.25">
      <c r="O19554" s="20" t="str">
        <f>IF(N19554="","",COUNTIFS(RawData[[Date ]],N19554,RawData[Month List],$Q$6,RawData[Tour/Site],$Q$2,RawData[[Picker ID ]],$Q$3,RawData[Checker ID],$Q$4,RawData[[Error Type ]],$Q$5))</f>
        <v/>
      </c>
    </row>
    <row r="19555" spans="15:15" x14ac:dyDescent="0.25">
      <c r="O19555" s="20" t="str">
        <f>IF(N19555="","",COUNTIFS(RawData[[Date ]],N19555,RawData[Month List],$Q$6,RawData[Tour/Site],$Q$2,RawData[[Picker ID ]],$Q$3,RawData[Checker ID],$Q$4,RawData[[Error Type ]],$Q$5))</f>
        <v/>
      </c>
    </row>
    <row r="19556" spans="15:15" x14ac:dyDescent="0.25">
      <c r="O19556" s="20" t="str">
        <f>IF(N19556="","",COUNTIFS(RawData[[Date ]],N19556,RawData[Month List],$Q$6,RawData[Tour/Site],$Q$2,RawData[[Picker ID ]],$Q$3,RawData[Checker ID],$Q$4,RawData[[Error Type ]],$Q$5))</f>
        <v/>
      </c>
    </row>
    <row r="19557" spans="15:15" x14ac:dyDescent="0.25">
      <c r="O19557" s="20" t="str">
        <f>IF(N19557="","",COUNTIFS(RawData[[Date ]],N19557,RawData[Month List],$Q$6,RawData[Tour/Site],$Q$2,RawData[[Picker ID ]],$Q$3,RawData[Checker ID],$Q$4,RawData[[Error Type ]],$Q$5))</f>
        <v/>
      </c>
    </row>
    <row r="19558" spans="15:15" x14ac:dyDescent="0.25">
      <c r="O19558" s="20" t="str">
        <f>IF(N19558="","",COUNTIFS(RawData[[Date ]],N19558,RawData[Month List],$Q$6,RawData[Tour/Site],$Q$2,RawData[[Picker ID ]],$Q$3,RawData[Checker ID],$Q$4,RawData[[Error Type ]],$Q$5))</f>
        <v/>
      </c>
    </row>
    <row r="19559" spans="15:15" x14ac:dyDescent="0.25">
      <c r="O19559" s="20" t="str">
        <f>IF(N19559="","",COUNTIFS(RawData[[Date ]],N19559,RawData[Month List],$Q$6,RawData[Tour/Site],$Q$2,RawData[[Picker ID ]],$Q$3,RawData[Checker ID],$Q$4,RawData[[Error Type ]],$Q$5))</f>
        <v/>
      </c>
    </row>
    <row r="19560" spans="15:15" x14ac:dyDescent="0.25">
      <c r="O19560" s="20" t="str">
        <f>IF(N19560="","",COUNTIFS(RawData[[Date ]],N19560,RawData[Month List],$Q$6,RawData[Tour/Site],$Q$2,RawData[[Picker ID ]],$Q$3,RawData[Checker ID],$Q$4,RawData[[Error Type ]],$Q$5))</f>
        <v/>
      </c>
    </row>
    <row r="19561" spans="15:15" x14ac:dyDescent="0.25">
      <c r="O19561" s="20" t="str">
        <f>IF(N19561="","",COUNTIFS(RawData[[Date ]],N19561,RawData[Month List],$Q$6,RawData[Tour/Site],$Q$2,RawData[[Picker ID ]],$Q$3,RawData[Checker ID],$Q$4,RawData[[Error Type ]],$Q$5))</f>
        <v/>
      </c>
    </row>
    <row r="19562" spans="15:15" x14ac:dyDescent="0.25">
      <c r="O19562" s="20" t="str">
        <f>IF(N19562="","",COUNTIFS(RawData[[Date ]],N19562,RawData[Month List],$Q$6,RawData[Tour/Site],$Q$2,RawData[[Picker ID ]],$Q$3,RawData[Checker ID],$Q$4,RawData[[Error Type ]],$Q$5))</f>
        <v/>
      </c>
    </row>
    <row r="19563" spans="15:15" x14ac:dyDescent="0.25">
      <c r="O19563" s="20" t="str">
        <f>IF(N19563="","",COUNTIFS(RawData[[Date ]],N19563,RawData[Month List],$Q$6,RawData[Tour/Site],$Q$2,RawData[[Picker ID ]],$Q$3,RawData[Checker ID],$Q$4,RawData[[Error Type ]],$Q$5))</f>
        <v/>
      </c>
    </row>
    <row r="19564" spans="15:15" x14ac:dyDescent="0.25">
      <c r="O19564" s="20" t="str">
        <f>IF(N19564="","",COUNTIFS(RawData[[Date ]],N19564,RawData[Month List],$Q$6,RawData[Tour/Site],$Q$2,RawData[[Picker ID ]],$Q$3,RawData[Checker ID],$Q$4,RawData[[Error Type ]],$Q$5))</f>
        <v/>
      </c>
    </row>
    <row r="19565" spans="15:15" x14ac:dyDescent="0.25">
      <c r="O19565" s="20" t="str">
        <f>IF(N19565="","",COUNTIFS(RawData[[Date ]],N19565,RawData[Month List],$Q$6,RawData[Tour/Site],$Q$2,RawData[[Picker ID ]],$Q$3,RawData[Checker ID],$Q$4,RawData[[Error Type ]],$Q$5))</f>
        <v/>
      </c>
    </row>
    <row r="19566" spans="15:15" x14ac:dyDescent="0.25">
      <c r="O19566" s="20" t="str">
        <f>IF(N19566="","",COUNTIFS(RawData[[Date ]],N19566,RawData[Month List],$Q$6,RawData[Tour/Site],$Q$2,RawData[[Picker ID ]],$Q$3,RawData[Checker ID],$Q$4,RawData[[Error Type ]],$Q$5))</f>
        <v/>
      </c>
    </row>
    <row r="19567" spans="15:15" x14ac:dyDescent="0.25">
      <c r="O19567" s="20" t="str">
        <f>IF(N19567="","",COUNTIFS(RawData[[Date ]],N19567,RawData[Month List],$Q$6,RawData[Tour/Site],$Q$2,RawData[[Picker ID ]],$Q$3,RawData[Checker ID],$Q$4,RawData[[Error Type ]],$Q$5))</f>
        <v/>
      </c>
    </row>
    <row r="19568" spans="15:15" x14ac:dyDescent="0.25">
      <c r="O19568" s="20" t="str">
        <f>IF(N19568="","",COUNTIFS(RawData[[Date ]],N19568,RawData[Month List],$Q$6,RawData[Tour/Site],$Q$2,RawData[[Picker ID ]],$Q$3,RawData[Checker ID],$Q$4,RawData[[Error Type ]],$Q$5))</f>
        <v/>
      </c>
    </row>
    <row r="19569" spans="15:15" x14ac:dyDescent="0.25">
      <c r="O19569" s="20" t="str">
        <f>IF(N19569="","",COUNTIFS(RawData[[Date ]],N19569,RawData[Month List],$Q$6,RawData[Tour/Site],$Q$2,RawData[[Picker ID ]],$Q$3,RawData[Checker ID],$Q$4,RawData[[Error Type ]],$Q$5))</f>
        <v/>
      </c>
    </row>
    <row r="19570" spans="15:15" x14ac:dyDescent="0.25">
      <c r="O19570" s="20" t="str">
        <f>IF(N19570="","",COUNTIFS(RawData[[Date ]],N19570,RawData[Month List],$Q$6,RawData[Tour/Site],$Q$2,RawData[[Picker ID ]],$Q$3,RawData[Checker ID],$Q$4,RawData[[Error Type ]],$Q$5))</f>
        <v/>
      </c>
    </row>
    <row r="19571" spans="15:15" x14ac:dyDescent="0.25">
      <c r="O19571" s="20" t="str">
        <f>IF(N19571="","",COUNTIFS(RawData[[Date ]],N19571,RawData[Month List],$Q$6,RawData[Tour/Site],$Q$2,RawData[[Picker ID ]],$Q$3,RawData[Checker ID],$Q$4,RawData[[Error Type ]],$Q$5))</f>
        <v/>
      </c>
    </row>
    <row r="19572" spans="15:15" x14ac:dyDescent="0.25">
      <c r="O19572" s="20" t="str">
        <f>IF(N19572="","",COUNTIFS(RawData[[Date ]],N19572,RawData[Month List],$Q$6,RawData[Tour/Site],$Q$2,RawData[[Picker ID ]],$Q$3,RawData[Checker ID],$Q$4,RawData[[Error Type ]],$Q$5))</f>
        <v/>
      </c>
    </row>
    <row r="19573" spans="15:15" x14ac:dyDescent="0.25">
      <c r="O19573" s="20" t="str">
        <f>IF(N19573="","",COUNTIFS(RawData[[Date ]],N19573,RawData[Month List],$Q$6,RawData[Tour/Site],$Q$2,RawData[[Picker ID ]],$Q$3,RawData[Checker ID],$Q$4,RawData[[Error Type ]],$Q$5))</f>
        <v/>
      </c>
    </row>
    <row r="19574" spans="15:15" x14ac:dyDescent="0.25">
      <c r="O19574" s="20" t="str">
        <f>IF(N19574="","",COUNTIFS(RawData[[Date ]],N19574,RawData[Month List],$Q$6,RawData[Tour/Site],$Q$2,RawData[[Picker ID ]],$Q$3,RawData[Checker ID],$Q$4,RawData[[Error Type ]],$Q$5))</f>
        <v/>
      </c>
    </row>
    <row r="19575" spans="15:15" x14ac:dyDescent="0.25">
      <c r="O19575" s="20" t="str">
        <f>IF(N19575="","",COUNTIFS(RawData[[Date ]],N19575,RawData[Month List],$Q$6,RawData[Tour/Site],$Q$2,RawData[[Picker ID ]],$Q$3,RawData[Checker ID],$Q$4,RawData[[Error Type ]],$Q$5))</f>
        <v/>
      </c>
    </row>
    <row r="19576" spans="15:15" x14ac:dyDescent="0.25">
      <c r="O19576" s="20" t="str">
        <f>IF(N19576="","",COUNTIFS(RawData[[Date ]],N19576,RawData[Month List],$Q$6,RawData[Tour/Site],$Q$2,RawData[[Picker ID ]],$Q$3,RawData[Checker ID],$Q$4,RawData[[Error Type ]],$Q$5))</f>
        <v/>
      </c>
    </row>
    <row r="19577" spans="15:15" x14ac:dyDescent="0.25">
      <c r="O19577" s="20" t="str">
        <f>IF(N19577="","",COUNTIFS(RawData[[Date ]],N19577,RawData[Month List],$Q$6,RawData[Tour/Site],$Q$2,RawData[[Picker ID ]],$Q$3,RawData[Checker ID],$Q$4,RawData[[Error Type ]],$Q$5))</f>
        <v/>
      </c>
    </row>
    <row r="19578" spans="15:15" x14ac:dyDescent="0.25">
      <c r="O19578" s="20" t="str">
        <f>IF(N19578="","",COUNTIFS(RawData[[Date ]],N19578,RawData[Month List],$Q$6,RawData[Tour/Site],$Q$2,RawData[[Picker ID ]],$Q$3,RawData[Checker ID],$Q$4,RawData[[Error Type ]],$Q$5))</f>
        <v/>
      </c>
    </row>
    <row r="19579" spans="15:15" x14ac:dyDescent="0.25">
      <c r="O19579" s="20" t="str">
        <f>IF(N19579="","",COUNTIFS(RawData[[Date ]],N19579,RawData[Month List],$Q$6,RawData[Tour/Site],$Q$2,RawData[[Picker ID ]],$Q$3,RawData[Checker ID],$Q$4,RawData[[Error Type ]],$Q$5))</f>
        <v/>
      </c>
    </row>
    <row r="19580" spans="15:15" x14ac:dyDescent="0.25">
      <c r="O19580" s="20" t="str">
        <f>IF(N19580="","",COUNTIFS(RawData[[Date ]],N19580,RawData[Month List],$Q$6,RawData[Tour/Site],$Q$2,RawData[[Picker ID ]],$Q$3,RawData[Checker ID],$Q$4,RawData[[Error Type ]],$Q$5))</f>
        <v/>
      </c>
    </row>
    <row r="19581" spans="15:15" x14ac:dyDescent="0.25">
      <c r="O19581" s="20" t="str">
        <f>IF(N19581="","",COUNTIFS(RawData[[Date ]],N19581,RawData[Month List],$Q$6,RawData[Tour/Site],$Q$2,RawData[[Picker ID ]],$Q$3,RawData[Checker ID],$Q$4,RawData[[Error Type ]],$Q$5))</f>
        <v/>
      </c>
    </row>
    <row r="19582" spans="15:15" x14ac:dyDescent="0.25">
      <c r="O19582" s="20" t="str">
        <f>IF(N19582="","",COUNTIFS(RawData[[Date ]],N19582,RawData[Month List],$Q$6,RawData[Tour/Site],$Q$2,RawData[[Picker ID ]],$Q$3,RawData[Checker ID],$Q$4,RawData[[Error Type ]],$Q$5))</f>
        <v/>
      </c>
    </row>
    <row r="19583" spans="15:15" x14ac:dyDescent="0.25">
      <c r="O19583" s="20" t="str">
        <f>IF(N19583="","",COUNTIFS(RawData[[Date ]],N19583,RawData[Month List],$Q$6,RawData[Tour/Site],$Q$2,RawData[[Picker ID ]],$Q$3,RawData[Checker ID],$Q$4,RawData[[Error Type ]],$Q$5))</f>
        <v/>
      </c>
    </row>
    <row r="19584" spans="15:15" x14ac:dyDescent="0.25">
      <c r="O19584" s="20" t="str">
        <f>IF(N19584="","",COUNTIFS(RawData[[Date ]],N19584,RawData[Month List],$Q$6,RawData[Tour/Site],$Q$2,RawData[[Picker ID ]],$Q$3,RawData[Checker ID],$Q$4,RawData[[Error Type ]],$Q$5))</f>
        <v/>
      </c>
    </row>
    <row r="19585" spans="15:15" x14ac:dyDescent="0.25">
      <c r="O19585" s="20" t="str">
        <f>IF(N19585="","",COUNTIFS(RawData[[Date ]],N19585,RawData[Month List],$Q$6,RawData[Tour/Site],$Q$2,RawData[[Picker ID ]],$Q$3,RawData[Checker ID],$Q$4,RawData[[Error Type ]],$Q$5))</f>
        <v/>
      </c>
    </row>
    <row r="19586" spans="15:15" x14ac:dyDescent="0.25">
      <c r="O19586" s="20" t="str">
        <f>IF(N19586="","",COUNTIFS(RawData[[Date ]],N19586,RawData[Month List],$Q$6,RawData[Tour/Site],$Q$2,RawData[[Picker ID ]],$Q$3,RawData[Checker ID],$Q$4,RawData[[Error Type ]],$Q$5))</f>
        <v/>
      </c>
    </row>
    <row r="19587" spans="15:15" x14ac:dyDescent="0.25">
      <c r="O19587" s="20" t="str">
        <f>IF(N19587="","",COUNTIFS(RawData[[Date ]],N19587,RawData[Month List],$Q$6,RawData[Tour/Site],$Q$2,RawData[[Picker ID ]],$Q$3,RawData[Checker ID],$Q$4,RawData[[Error Type ]],$Q$5))</f>
        <v/>
      </c>
    </row>
    <row r="19588" spans="15:15" x14ac:dyDescent="0.25">
      <c r="O19588" s="20" t="str">
        <f>IF(N19588="","",COUNTIFS(RawData[[Date ]],N19588,RawData[Month List],$Q$6,RawData[Tour/Site],$Q$2,RawData[[Picker ID ]],$Q$3,RawData[Checker ID],$Q$4,RawData[[Error Type ]],$Q$5))</f>
        <v/>
      </c>
    </row>
    <row r="19589" spans="15:15" x14ac:dyDescent="0.25">
      <c r="O19589" s="20" t="str">
        <f>IF(N19589="","",COUNTIFS(RawData[[Date ]],N19589,RawData[Month List],$Q$6,RawData[Tour/Site],$Q$2,RawData[[Picker ID ]],$Q$3,RawData[Checker ID],$Q$4,RawData[[Error Type ]],$Q$5))</f>
        <v/>
      </c>
    </row>
    <row r="19590" spans="15:15" x14ac:dyDescent="0.25">
      <c r="O19590" s="20" t="str">
        <f>IF(N19590="","",COUNTIFS(RawData[[Date ]],N19590,RawData[Month List],$Q$6,RawData[Tour/Site],$Q$2,RawData[[Picker ID ]],$Q$3,RawData[Checker ID],$Q$4,RawData[[Error Type ]],$Q$5))</f>
        <v/>
      </c>
    </row>
    <row r="19591" spans="15:15" x14ac:dyDescent="0.25">
      <c r="O19591" s="20" t="str">
        <f>IF(N19591="","",COUNTIFS(RawData[[Date ]],N19591,RawData[Month List],$Q$6,RawData[Tour/Site],$Q$2,RawData[[Picker ID ]],$Q$3,RawData[Checker ID],$Q$4,RawData[[Error Type ]],$Q$5))</f>
        <v/>
      </c>
    </row>
    <row r="19592" spans="15:15" x14ac:dyDescent="0.25">
      <c r="O19592" s="20" t="str">
        <f>IF(N19592="","",COUNTIFS(RawData[[Date ]],N19592,RawData[Month List],$Q$6,RawData[Tour/Site],$Q$2,RawData[[Picker ID ]],$Q$3,RawData[Checker ID],$Q$4,RawData[[Error Type ]],$Q$5))</f>
        <v/>
      </c>
    </row>
    <row r="19593" spans="15:15" x14ac:dyDescent="0.25">
      <c r="O19593" s="20" t="str">
        <f>IF(N19593="","",COUNTIFS(RawData[[Date ]],N19593,RawData[Month List],$Q$6,RawData[Tour/Site],$Q$2,RawData[[Picker ID ]],$Q$3,RawData[Checker ID],$Q$4,RawData[[Error Type ]],$Q$5))</f>
        <v/>
      </c>
    </row>
    <row r="19594" spans="15:15" x14ac:dyDescent="0.25">
      <c r="O19594" s="20" t="str">
        <f>IF(N19594="","",COUNTIFS(RawData[[Date ]],N19594,RawData[Month List],$Q$6,RawData[Tour/Site],$Q$2,RawData[[Picker ID ]],$Q$3,RawData[Checker ID],$Q$4,RawData[[Error Type ]],$Q$5))</f>
        <v/>
      </c>
    </row>
    <row r="19595" spans="15:15" x14ac:dyDescent="0.25">
      <c r="O19595" s="20" t="str">
        <f>IF(N19595="","",COUNTIFS(RawData[[Date ]],N19595,RawData[Month List],$Q$6,RawData[Tour/Site],$Q$2,RawData[[Picker ID ]],$Q$3,RawData[Checker ID],$Q$4,RawData[[Error Type ]],$Q$5))</f>
        <v/>
      </c>
    </row>
    <row r="19596" spans="15:15" x14ac:dyDescent="0.25">
      <c r="O19596" s="20" t="str">
        <f>IF(N19596="","",COUNTIFS(RawData[[Date ]],N19596,RawData[Month List],$Q$6,RawData[Tour/Site],$Q$2,RawData[[Picker ID ]],$Q$3,RawData[Checker ID],$Q$4,RawData[[Error Type ]],$Q$5))</f>
        <v/>
      </c>
    </row>
    <row r="19597" spans="15:15" x14ac:dyDescent="0.25">
      <c r="O19597" s="20" t="str">
        <f>IF(N19597="","",COUNTIFS(RawData[[Date ]],N19597,RawData[Month List],$Q$6,RawData[Tour/Site],$Q$2,RawData[[Picker ID ]],$Q$3,RawData[Checker ID],$Q$4,RawData[[Error Type ]],$Q$5))</f>
        <v/>
      </c>
    </row>
    <row r="19598" spans="15:15" x14ac:dyDescent="0.25">
      <c r="O19598" s="20" t="str">
        <f>IF(N19598="","",COUNTIFS(RawData[[Date ]],N19598,RawData[Month List],$Q$6,RawData[Tour/Site],$Q$2,RawData[[Picker ID ]],$Q$3,RawData[Checker ID],$Q$4,RawData[[Error Type ]],$Q$5))</f>
        <v/>
      </c>
    </row>
    <row r="19599" spans="15:15" x14ac:dyDescent="0.25">
      <c r="O19599" s="20" t="str">
        <f>IF(N19599="","",COUNTIFS(RawData[[Date ]],N19599,RawData[Month List],$Q$6,RawData[Tour/Site],$Q$2,RawData[[Picker ID ]],$Q$3,RawData[Checker ID],$Q$4,RawData[[Error Type ]],$Q$5))</f>
        <v/>
      </c>
    </row>
    <row r="19600" spans="15:15" x14ac:dyDescent="0.25">
      <c r="O19600" s="20" t="str">
        <f>IF(N19600="","",COUNTIFS(RawData[[Date ]],N19600,RawData[Month List],$Q$6,RawData[Tour/Site],$Q$2,RawData[[Picker ID ]],$Q$3,RawData[Checker ID],$Q$4,RawData[[Error Type ]],$Q$5))</f>
        <v/>
      </c>
    </row>
    <row r="19601" spans="15:15" x14ac:dyDescent="0.25">
      <c r="O19601" s="20" t="str">
        <f>IF(N19601="","",COUNTIFS(RawData[[Date ]],N19601,RawData[Month List],$Q$6,RawData[Tour/Site],$Q$2,RawData[[Picker ID ]],$Q$3,RawData[Checker ID],$Q$4,RawData[[Error Type ]],$Q$5))</f>
        <v/>
      </c>
    </row>
    <row r="19602" spans="15:15" x14ac:dyDescent="0.25">
      <c r="O19602" s="20" t="str">
        <f>IF(N19602="","",COUNTIFS(RawData[[Date ]],N19602,RawData[Month List],$Q$6,RawData[Tour/Site],$Q$2,RawData[[Picker ID ]],$Q$3,RawData[Checker ID],$Q$4,RawData[[Error Type ]],$Q$5))</f>
        <v/>
      </c>
    </row>
    <row r="19603" spans="15:15" x14ac:dyDescent="0.25">
      <c r="O19603" s="20" t="str">
        <f>IF(N19603="","",COUNTIFS(RawData[[Date ]],N19603,RawData[Month List],$Q$6,RawData[Tour/Site],$Q$2,RawData[[Picker ID ]],$Q$3,RawData[Checker ID],$Q$4,RawData[[Error Type ]],$Q$5))</f>
        <v/>
      </c>
    </row>
    <row r="19604" spans="15:15" x14ac:dyDescent="0.25">
      <c r="O19604" s="20" t="str">
        <f>IF(N19604="","",COUNTIFS(RawData[[Date ]],N19604,RawData[Month List],$Q$6,RawData[Tour/Site],$Q$2,RawData[[Picker ID ]],$Q$3,RawData[Checker ID],$Q$4,RawData[[Error Type ]],$Q$5))</f>
        <v/>
      </c>
    </row>
    <row r="19605" spans="15:15" x14ac:dyDescent="0.25">
      <c r="O19605" s="20" t="str">
        <f>IF(N19605="","",COUNTIFS(RawData[[Date ]],N19605,RawData[Month List],$Q$6,RawData[Tour/Site],$Q$2,RawData[[Picker ID ]],$Q$3,RawData[Checker ID],$Q$4,RawData[[Error Type ]],$Q$5))</f>
        <v/>
      </c>
    </row>
    <row r="19606" spans="15:15" x14ac:dyDescent="0.25">
      <c r="O19606" s="20" t="str">
        <f>IF(N19606="","",COUNTIFS(RawData[[Date ]],N19606,RawData[Month List],$Q$6,RawData[Tour/Site],$Q$2,RawData[[Picker ID ]],$Q$3,RawData[Checker ID],$Q$4,RawData[[Error Type ]],$Q$5))</f>
        <v/>
      </c>
    </row>
    <row r="19607" spans="15:15" x14ac:dyDescent="0.25">
      <c r="O19607" s="20" t="str">
        <f>IF(N19607="","",COUNTIFS(RawData[[Date ]],N19607,RawData[Month List],$Q$6,RawData[Tour/Site],$Q$2,RawData[[Picker ID ]],$Q$3,RawData[Checker ID],$Q$4,RawData[[Error Type ]],$Q$5))</f>
        <v/>
      </c>
    </row>
    <row r="19608" spans="15:15" x14ac:dyDescent="0.25">
      <c r="O19608" s="20" t="str">
        <f>IF(N19608="","",COUNTIFS(RawData[[Date ]],N19608,RawData[Month List],$Q$6,RawData[Tour/Site],$Q$2,RawData[[Picker ID ]],$Q$3,RawData[Checker ID],$Q$4,RawData[[Error Type ]],$Q$5))</f>
        <v/>
      </c>
    </row>
    <row r="19609" spans="15:15" x14ac:dyDescent="0.25">
      <c r="O19609" s="20" t="str">
        <f>IF(N19609="","",COUNTIFS(RawData[[Date ]],N19609,RawData[Month List],$Q$6,RawData[Tour/Site],$Q$2,RawData[[Picker ID ]],$Q$3,RawData[Checker ID],$Q$4,RawData[[Error Type ]],$Q$5))</f>
        <v/>
      </c>
    </row>
    <row r="19610" spans="15:15" x14ac:dyDescent="0.25">
      <c r="O19610" s="20" t="str">
        <f>IF(N19610="","",COUNTIFS(RawData[[Date ]],N19610,RawData[Month List],$Q$6,RawData[Tour/Site],$Q$2,RawData[[Picker ID ]],$Q$3,RawData[Checker ID],$Q$4,RawData[[Error Type ]],$Q$5))</f>
        <v/>
      </c>
    </row>
    <row r="19611" spans="15:15" x14ac:dyDescent="0.25">
      <c r="O19611" s="20" t="str">
        <f>IF(N19611="","",COUNTIFS(RawData[[Date ]],N19611,RawData[Month List],$Q$6,RawData[Tour/Site],$Q$2,RawData[[Picker ID ]],$Q$3,RawData[Checker ID],$Q$4,RawData[[Error Type ]],$Q$5))</f>
        <v/>
      </c>
    </row>
    <row r="19612" spans="15:15" x14ac:dyDescent="0.25">
      <c r="O19612" s="20" t="str">
        <f>IF(N19612="","",COUNTIFS(RawData[[Date ]],N19612,RawData[Month List],$Q$6,RawData[Tour/Site],$Q$2,RawData[[Picker ID ]],$Q$3,RawData[Checker ID],$Q$4,RawData[[Error Type ]],$Q$5))</f>
        <v/>
      </c>
    </row>
    <row r="19613" spans="15:15" x14ac:dyDescent="0.25">
      <c r="O19613" s="20" t="str">
        <f>IF(N19613="","",COUNTIFS(RawData[[Date ]],N19613,RawData[Month List],$Q$6,RawData[Tour/Site],$Q$2,RawData[[Picker ID ]],$Q$3,RawData[Checker ID],$Q$4,RawData[[Error Type ]],$Q$5))</f>
        <v/>
      </c>
    </row>
    <row r="19614" spans="15:15" x14ac:dyDescent="0.25">
      <c r="O19614" s="20" t="str">
        <f>IF(N19614="","",COUNTIFS(RawData[[Date ]],N19614,RawData[Month List],$Q$6,RawData[Tour/Site],$Q$2,RawData[[Picker ID ]],$Q$3,RawData[Checker ID],$Q$4,RawData[[Error Type ]],$Q$5))</f>
        <v/>
      </c>
    </row>
    <row r="19615" spans="15:15" x14ac:dyDescent="0.25">
      <c r="O19615" s="20" t="str">
        <f>IF(N19615="","",COUNTIFS(RawData[[Date ]],N19615,RawData[Month List],$Q$6,RawData[Tour/Site],$Q$2,RawData[[Picker ID ]],$Q$3,RawData[Checker ID],$Q$4,RawData[[Error Type ]],$Q$5))</f>
        <v/>
      </c>
    </row>
    <row r="19616" spans="15:15" x14ac:dyDescent="0.25">
      <c r="O19616" s="20" t="str">
        <f>IF(N19616="","",COUNTIFS(RawData[[Date ]],N19616,RawData[Month List],$Q$6,RawData[Tour/Site],$Q$2,RawData[[Picker ID ]],$Q$3,RawData[Checker ID],$Q$4,RawData[[Error Type ]],$Q$5))</f>
        <v/>
      </c>
    </row>
    <row r="19617" spans="15:15" x14ac:dyDescent="0.25">
      <c r="O19617" s="20" t="str">
        <f>IF(N19617="","",COUNTIFS(RawData[[Date ]],N19617,RawData[Month List],$Q$6,RawData[Tour/Site],$Q$2,RawData[[Picker ID ]],$Q$3,RawData[Checker ID],$Q$4,RawData[[Error Type ]],$Q$5))</f>
        <v/>
      </c>
    </row>
    <row r="19618" spans="15:15" x14ac:dyDescent="0.25">
      <c r="O19618" s="20" t="str">
        <f>IF(N19618="","",COUNTIFS(RawData[[Date ]],N19618,RawData[Month List],$Q$6,RawData[Tour/Site],$Q$2,RawData[[Picker ID ]],$Q$3,RawData[Checker ID],$Q$4,RawData[[Error Type ]],$Q$5))</f>
        <v/>
      </c>
    </row>
    <row r="19619" spans="15:15" x14ac:dyDescent="0.25">
      <c r="O19619" s="20" t="str">
        <f>IF(N19619="","",COUNTIFS(RawData[[Date ]],N19619,RawData[Month List],$Q$6,RawData[Tour/Site],$Q$2,RawData[[Picker ID ]],$Q$3,RawData[Checker ID],$Q$4,RawData[[Error Type ]],$Q$5))</f>
        <v/>
      </c>
    </row>
    <row r="19620" spans="15:15" x14ac:dyDescent="0.25">
      <c r="O19620" s="20" t="str">
        <f>IF(N19620="","",COUNTIFS(RawData[[Date ]],N19620,RawData[Month List],$Q$6,RawData[Tour/Site],$Q$2,RawData[[Picker ID ]],$Q$3,RawData[Checker ID],$Q$4,RawData[[Error Type ]],$Q$5))</f>
        <v/>
      </c>
    </row>
    <row r="19621" spans="15:15" x14ac:dyDescent="0.25">
      <c r="O19621" s="20" t="str">
        <f>IF(N19621="","",COUNTIFS(RawData[[Date ]],N19621,RawData[Month List],$Q$6,RawData[Tour/Site],$Q$2,RawData[[Picker ID ]],$Q$3,RawData[Checker ID],$Q$4,RawData[[Error Type ]],$Q$5))</f>
        <v/>
      </c>
    </row>
    <row r="19622" spans="15:15" x14ac:dyDescent="0.25">
      <c r="O19622" s="20" t="str">
        <f>IF(N19622="","",COUNTIFS(RawData[[Date ]],N19622,RawData[Month List],$Q$6,RawData[Tour/Site],$Q$2,RawData[[Picker ID ]],$Q$3,RawData[Checker ID],$Q$4,RawData[[Error Type ]],$Q$5))</f>
        <v/>
      </c>
    </row>
    <row r="19623" spans="15:15" x14ac:dyDescent="0.25">
      <c r="O19623" s="20" t="str">
        <f>IF(N19623="","",COUNTIFS(RawData[[Date ]],N19623,RawData[Month List],$Q$6,RawData[Tour/Site],$Q$2,RawData[[Picker ID ]],$Q$3,RawData[Checker ID],$Q$4,RawData[[Error Type ]],$Q$5))</f>
        <v/>
      </c>
    </row>
    <row r="19624" spans="15:15" x14ac:dyDescent="0.25">
      <c r="O19624" s="20" t="str">
        <f>IF(N19624="","",COUNTIFS(RawData[[Date ]],N19624,RawData[Month List],$Q$6,RawData[Tour/Site],$Q$2,RawData[[Picker ID ]],$Q$3,RawData[Checker ID],$Q$4,RawData[[Error Type ]],$Q$5))</f>
        <v/>
      </c>
    </row>
    <row r="19625" spans="15:15" x14ac:dyDescent="0.25">
      <c r="O19625" s="20" t="str">
        <f>IF(N19625="","",COUNTIFS(RawData[[Date ]],N19625,RawData[Month List],$Q$6,RawData[Tour/Site],$Q$2,RawData[[Picker ID ]],$Q$3,RawData[Checker ID],$Q$4,RawData[[Error Type ]],$Q$5))</f>
        <v/>
      </c>
    </row>
    <row r="19626" spans="15:15" x14ac:dyDescent="0.25">
      <c r="O19626" s="20" t="str">
        <f>IF(N19626="","",COUNTIFS(RawData[[Date ]],N19626,RawData[Month List],$Q$6,RawData[Tour/Site],$Q$2,RawData[[Picker ID ]],$Q$3,RawData[Checker ID],$Q$4,RawData[[Error Type ]],$Q$5))</f>
        <v/>
      </c>
    </row>
    <row r="19627" spans="15:15" x14ac:dyDescent="0.25">
      <c r="O19627" s="20" t="str">
        <f>IF(N19627="","",COUNTIFS(RawData[[Date ]],N19627,RawData[Month List],$Q$6,RawData[Tour/Site],$Q$2,RawData[[Picker ID ]],$Q$3,RawData[Checker ID],$Q$4,RawData[[Error Type ]],$Q$5))</f>
        <v/>
      </c>
    </row>
    <row r="19628" spans="15:15" x14ac:dyDescent="0.25">
      <c r="O19628" s="20" t="str">
        <f>IF(N19628="","",COUNTIFS(RawData[[Date ]],N19628,RawData[Month List],$Q$6,RawData[Tour/Site],$Q$2,RawData[[Picker ID ]],$Q$3,RawData[Checker ID],$Q$4,RawData[[Error Type ]],$Q$5))</f>
        <v/>
      </c>
    </row>
    <row r="19629" spans="15:15" x14ac:dyDescent="0.25">
      <c r="O19629" s="20" t="str">
        <f>IF(N19629="","",COUNTIFS(RawData[[Date ]],N19629,RawData[Month List],$Q$6,RawData[Tour/Site],$Q$2,RawData[[Picker ID ]],$Q$3,RawData[Checker ID],$Q$4,RawData[[Error Type ]],$Q$5))</f>
        <v/>
      </c>
    </row>
    <row r="19630" spans="15:15" x14ac:dyDescent="0.25">
      <c r="O19630" s="20" t="str">
        <f>IF(N19630="","",COUNTIFS(RawData[[Date ]],N19630,RawData[Month List],$Q$6,RawData[Tour/Site],$Q$2,RawData[[Picker ID ]],$Q$3,RawData[Checker ID],$Q$4,RawData[[Error Type ]],$Q$5))</f>
        <v/>
      </c>
    </row>
    <row r="19631" spans="15:15" x14ac:dyDescent="0.25">
      <c r="O19631" s="20" t="str">
        <f>IF(N19631="","",COUNTIFS(RawData[[Date ]],N19631,RawData[Month List],$Q$6,RawData[Tour/Site],$Q$2,RawData[[Picker ID ]],$Q$3,RawData[Checker ID],$Q$4,RawData[[Error Type ]],$Q$5))</f>
        <v/>
      </c>
    </row>
    <row r="19632" spans="15:15" x14ac:dyDescent="0.25">
      <c r="O19632" s="20" t="str">
        <f>IF(N19632="","",COUNTIFS(RawData[[Date ]],N19632,RawData[Month List],$Q$6,RawData[Tour/Site],$Q$2,RawData[[Picker ID ]],$Q$3,RawData[Checker ID],$Q$4,RawData[[Error Type ]],$Q$5))</f>
        <v/>
      </c>
    </row>
    <row r="19633" spans="15:15" x14ac:dyDescent="0.25">
      <c r="O19633" s="20" t="str">
        <f>IF(N19633="","",COUNTIFS(RawData[[Date ]],N19633,RawData[Month List],$Q$6,RawData[Tour/Site],$Q$2,RawData[[Picker ID ]],$Q$3,RawData[Checker ID],$Q$4,RawData[[Error Type ]],$Q$5))</f>
        <v/>
      </c>
    </row>
    <row r="19634" spans="15:15" x14ac:dyDescent="0.25">
      <c r="O19634" s="20" t="str">
        <f>IF(N19634="","",COUNTIFS(RawData[[Date ]],N19634,RawData[Month List],$Q$6,RawData[Tour/Site],$Q$2,RawData[[Picker ID ]],$Q$3,RawData[Checker ID],$Q$4,RawData[[Error Type ]],$Q$5))</f>
        <v/>
      </c>
    </row>
    <row r="19635" spans="15:15" x14ac:dyDescent="0.25">
      <c r="O19635" s="20" t="str">
        <f>IF(N19635="","",COUNTIFS(RawData[[Date ]],N19635,RawData[Month List],$Q$6,RawData[Tour/Site],$Q$2,RawData[[Picker ID ]],$Q$3,RawData[Checker ID],$Q$4,RawData[[Error Type ]],$Q$5))</f>
        <v/>
      </c>
    </row>
    <row r="19636" spans="15:15" x14ac:dyDescent="0.25">
      <c r="O19636" s="20" t="str">
        <f>IF(N19636="","",COUNTIFS(RawData[[Date ]],N19636,RawData[Month List],$Q$6,RawData[Tour/Site],$Q$2,RawData[[Picker ID ]],$Q$3,RawData[Checker ID],$Q$4,RawData[[Error Type ]],$Q$5))</f>
        <v/>
      </c>
    </row>
    <row r="19637" spans="15:15" x14ac:dyDescent="0.25">
      <c r="O19637" s="20" t="str">
        <f>IF(N19637="","",COUNTIFS(RawData[[Date ]],N19637,RawData[Month List],$Q$6,RawData[Tour/Site],$Q$2,RawData[[Picker ID ]],$Q$3,RawData[Checker ID],$Q$4,RawData[[Error Type ]],$Q$5))</f>
        <v/>
      </c>
    </row>
    <row r="19638" spans="15:15" x14ac:dyDescent="0.25">
      <c r="O19638" s="20" t="str">
        <f>IF(N19638="","",COUNTIFS(RawData[[Date ]],N19638,RawData[Month List],$Q$6,RawData[Tour/Site],$Q$2,RawData[[Picker ID ]],$Q$3,RawData[Checker ID],$Q$4,RawData[[Error Type ]],$Q$5))</f>
        <v/>
      </c>
    </row>
    <row r="19639" spans="15:15" x14ac:dyDescent="0.25">
      <c r="O19639" s="20" t="str">
        <f>IF(N19639="","",COUNTIFS(RawData[[Date ]],N19639,RawData[Month List],$Q$6,RawData[Tour/Site],$Q$2,RawData[[Picker ID ]],$Q$3,RawData[Checker ID],$Q$4,RawData[[Error Type ]],$Q$5))</f>
        <v/>
      </c>
    </row>
    <row r="19640" spans="15:15" x14ac:dyDescent="0.25">
      <c r="O19640" s="20" t="str">
        <f>IF(N19640="","",COUNTIFS(RawData[[Date ]],N19640,RawData[Month List],$Q$6,RawData[Tour/Site],$Q$2,RawData[[Picker ID ]],$Q$3,RawData[Checker ID],$Q$4,RawData[[Error Type ]],$Q$5))</f>
        <v/>
      </c>
    </row>
    <row r="19641" spans="15:15" x14ac:dyDescent="0.25">
      <c r="O19641" s="20" t="str">
        <f>IF(N19641="","",COUNTIFS(RawData[[Date ]],N19641,RawData[Month List],$Q$6,RawData[Tour/Site],$Q$2,RawData[[Picker ID ]],$Q$3,RawData[Checker ID],$Q$4,RawData[[Error Type ]],$Q$5))</f>
        <v/>
      </c>
    </row>
    <row r="19642" spans="15:15" x14ac:dyDescent="0.25">
      <c r="O19642" s="20" t="str">
        <f>IF(N19642="","",COUNTIFS(RawData[[Date ]],N19642,RawData[Month List],$Q$6,RawData[Tour/Site],$Q$2,RawData[[Picker ID ]],$Q$3,RawData[Checker ID],$Q$4,RawData[[Error Type ]],$Q$5))</f>
        <v/>
      </c>
    </row>
    <row r="19643" spans="15:15" x14ac:dyDescent="0.25">
      <c r="O19643" s="20" t="str">
        <f>IF(N19643="","",COUNTIFS(RawData[[Date ]],N19643,RawData[Month List],$Q$6,RawData[Tour/Site],$Q$2,RawData[[Picker ID ]],$Q$3,RawData[Checker ID],$Q$4,RawData[[Error Type ]],$Q$5))</f>
        <v/>
      </c>
    </row>
    <row r="19644" spans="15:15" x14ac:dyDescent="0.25">
      <c r="O19644" s="20" t="str">
        <f>IF(N19644="","",COUNTIFS(RawData[[Date ]],N19644,RawData[Month List],$Q$6,RawData[Tour/Site],$Q$2,RawData[[Picker ID ]],$Q$3,RawData[Checker ID],$Q$4,RawData[[Error Type ]],$Q$5))</f>
        <v/>
      </c>
    </row>
    <row r="19645" spans="15:15" x14ac:dyDescent="0.25">
      <c r="O19645" s="20" t="str">
        <f>IF(N19645="","",COUNTIFS(RawData[[Date ]],N19645,RawData[Month List],$Q$6,RawData[Tour/Site],$Q$2,RawData[[Picker ID ]],$Q$3,RawData[Checker ID],$Q$4,RawData[[Error Type ]],$Q$5))</f>
        <v/>
      </c>
    </row>
    <row r="19646" spans="15:15" x14ac:dyDescent="0.25">
      <c r="O19646" s="20" t="str">
        <f>IF(N19646="","",COUNTIFS(RawData[[Date ]],N19646,RawData[Month List],$Q$6,RawData[Tour/Site],$Q$2,RawData[[Picker ID ]],$Q$3,RawData[Checker ID],$Q$4,RawData[[Error Type ]],$Q$5))</f>
        <v/>
      </c>
    </row>
    <row r="19647" spans="15:15" x14ac:dyDescent="0.25">
      <c r="O19647" s="20" t="str">
        <f>IF(N19647="","",COUNTIFS(RawData[[Date ]],N19647,RawData[Month List],$Q$6,RawData[Tour/Site],$Q$2,RawData[[Picker ID ]],$Q$3,RawData[Checker ID],$Q$4,RawData[[Error Type ]],$Q$5))</f>
        <v/>
      </c>
    </row>
    <row r="19648" spans="15:15" x14ac:dyDescent="0.25">
      <c r="O19648" s="20" t="str">
        <f>IF(N19648="","",COUNTIFS(RawData[[Date ]],N19648,RawData[Month List],$Q$6,RawData[Tour/Site],$Q$2,RawData[[Picker ID ]],$Q$3,RawData[Checker ID],$Q$4,RawData[[Error Type ]],$Q$5))</f>
        <v/>
      </c>
    </row>
    <row r="19649" spans="15:15" x14ac:dyDescent="0.25">
      <c r="O19649" s="20" t="str">
        <f>IF(N19649="","",COUNTIFS(RawData[[Date ]],N19649,RawData[Month List],$Q$6,RawData[Tour/Site],$Q$2,RawData[[Picker ID ]],$Q$3,RawData[Checker ID],$Q$4,RawData[[Error Type ]],$Q$5))</f>
        <v/>
      </c>
    </row>
    <row r="19650" spans="15:15" x14ac:dyDescent="0.25">
      <c r="O19650" s="20" t="str">
        <f>IF(N19650="","",COUNTIFS(RawData[[Date ]],N19650,RawData[Month List],$Q$6,RawData[Tour/Site],$Q$2,RawData[[Picker ID ]],$Q$3,RawData[Checker ID],$Q$4,RawData[[Error Type ]],$Q$5))</f>
        <v/>
      </c>
    </row>
    <row r="19651" spans="15:15" x14ac:dyDescent="0.25">
      <c r="O19651" s="20" t="str">
        <f>IF(N19651="","",COUNTIFS(RawData[[Date ]],N19651,RawData[Month List],$Q$6,RawData[Tour/Site],$Q$2,RawData[[Picker ID ]],$Q$3,RawData[Checker ID],$Q$4,RawData[[Error Type ]],$Q$5))</f>
        <v/>
      </c>
    </row>
    <row r="19652" spans="15:15" x14ac:dyDescent="0.25">
      <c r="O19652" s="20" t="str">
        <f>IF(N19652="","",COUNTIFS(RawData[[Date ]],N19652,RawData[Month List],$Q$6,RawData[Tour/Site],$Q$2,RawData[[Picker ID ]],$Q$3,RawData[Checker ID],$Q$4,RawData[[Error Type ]],$Q$5))</f>
        <v/>
      </c>
    </row>
    <row r="19653" spans="15:15" x14ac:dyDescent="0.25">
      <c r="O19653" s="20" t="str">
        <f>IF(N19653="","",COUNTIFS(RawData[[Date ]],N19653,RawData[Month List],$Q$6,RawData[Tour/Site],$Q$2,RawData[[Picker ID ]],$Q$3,RawData[Checker ID],$Q$4,RawData[[Error Type ]],$Q$5))</f>
        <v/>
      </c>
    </row>
    <row r="19654" spans="15:15" x14ac:dyDescent="0.25">
      <c r="O19654" s="20" t="str">
        <f>IF(N19654="","",COUNTIFS(RawData[[Date ]],N19654,RawData[Month List],$Q$6,RawData[Tour/Site],$Q$2,RawData[[Picker ID ]],$Q$3,RawData[Checker ID],$Q$4,RawData[[Error Type ]],$Q$5))</f>
        <v/>
      </c>
    </row>
    <row r="19655" spans="15:15" x14ac:dyDescent="0.25">
      <c r="O19655" s="20" t="str">
        <f>IF(N19655="","",COUNTIFS(RawData[[Date ]],N19655,RawData[Month List],$Q$6,RawData[Tour/Site],$Q$2,RawData[[Picker ID ]],$Q$3,RawData[Checker ID],$Q$4,RawData[[Error Type ]],$Q$5))</f>
        <v/>
      </c>
    </row>
    <row r="19656" spans="15:15" x14ac:dyDescent="0.25">
      <c r="O19656" s="20" t="str">
        <f>IF(N19656="","",COUNTIFS(RawData[[Date ]],N19656,RawData[Month List],$Q$6,RawData[Tour/Site],$Q$2,RawData[[Picker ID ]],$Q$3,RawData[Checker ID],$Q$4,RawData[[Error Type ]],$Q$5))</f>
        <v/>
      </c>
    </row>
    <row r="19657" spans="15:15" x14ac:dyDescent="0.25">
      <c r="O19657" s="20" t="str">
        <f>IF(N19657="","",COUNTIFS(RawData[[Date ]],N19657,RawData[Month List],$Q$6,RawData[Tour/Site],$Q$2,RawData[[Picker ID ]],$Q$3,RawData[Checker ID],$Q$4,RawData[[Error Type ]],$Q$5))</f>
        <v/>
      </c>
    </row>
    <row r="19658" spans="15:15" x14ac:dyDescent="0.25">
      <c r="O19658" s="20" t="str">
        <f>IF(N19658="","",COUNTIFS(RawData[[Date ]],N19658,RawData[Month List],$Q$6,RawData[Tour/Site],$Q$2,RawData[[Picker ID ]],$Q$3,RawData[Checker ID],$Q$4,RawData[[Error Type ]],$Q$5))</f>
        <v/>
      </c>
    </row>
    <row r="19659" spans="15:15" x14ac:dyDescent="0.25">
      <c r="O19659" s="20" t="str">
        <f>IF(N19659="","",COUNTIFS(RawData[[Date ]],N19659,RawData[Month List],$Q$6,RawData[Tour/Site],$Q$2,RawData[[Picker ID ]],$Q$3,RawData[Checker ID],$Q$4,RawData[[Error Type ]],$Q$5))</f>
        <v/>
      </c>
    </row>
    <row r="19660" spans="15:15" x14ac:dyDescent="0.25">
      <c r="O19660" s="20" t="str">
        <f>IF(N19660="","",COUNTIFS(RawData[[Date ]],N19660,RawData[Month List],$Q$6,RawData[Tour/Site],$Q$2,RawData[[Picker ID ]],$Q$3,RawData[Checker ID],$Q$4,RawData[[Error Type ]],$Q$5))</f>
        <v/>
      </c>
    </row>
    <row r="19661" spans="15:15" x14ac:dyDescent="0.25">
      <c r="O19661" s="20" t="str">
        <f>IF(N19661="","",COUNTIFS(RawData[[Date ]],N19661,RawData[Month List],$Q$6,RawData[Tour/Site],$Q$2,RawData[[Picker ID ]],$Q$3,RawData[Checker ID],$Q$4,RawData[[Error Type ]],$Q$5))</f>
        <v/>
      </c>
    </row>
    <row r="19662" spans="15:15" x14ac:dyDescent="0.25">
      <c r="O19662" s="20" t="str">
        <f>IF(N19662="","",COUNTIFS(RawData[[Date ]],N19662,RawData[Month List],$Q$6,RawData[Tour/Site],$Q$2,RawData[[Picker ID ]],$Q$3,RawData[Checker ID],$Q$4,RawData[[Error Type ]],$Q$5))</f>
        <v/>
      </c>
    </row>
    <row r="19663" spans="15:15" x14ac:dyDescent="0.25">
      <c r="O19663" s="20" t="str">
        <f>IF(N19663="","",COUNTIFS(RawData[[Date ]],N19663,RawData[Month List],$Q$6,RawData[Tour/Site],$Q$2,RawData[[Picker ID ]],$Q$3,RawData[Checker ID],$Q$4,RawData[[Error Type ]],$Q$5))</f>
        <v/>
      </c>
    </row>
    <row r="19664" spans="15:15" x14ac:dyDescent="0.25">
      <c r="O19664" s="20" t="str">
        <f>IF(N19664="","",COUNTIFS(RawData[[Date ]],N19664,RawData[Month List],$Q$6,RawData[Tour/Site],$Q$2,RawData[[Picker ID ]],$Q$3,RawData[Checker ID],$Q$4,RawData[[Error Type ]],$Q$5))</f>
        <v/>
      </c>
    </row>
    <row r="19665" spans="15:15" x14ac:dyDescent="0.25">
      <c r="O19665" s="20" t="str">
        <f>IF(N19665="","",COUNTIFS(RawData[[Date ]],N19665,RawData[Month List],$Q$6,RawData[Tour/Site],$Q$2,RawData[[Picker ID ]],$Q$3,RawData[Checker ID],$Q$4,RawData[[Error Type ]],$Q$5))</f>
        <v/>
      </c>
    </row>
    <row r="19666" spans="15:15" x14ac:dyDescent="0.25">
      <c r="O19666" s="20" t="str">
        <f>IF(N19666="","",COUNTIFS(RawData[[Date ]],N19666,RawData[Month List],$Q$6,RawData[Tour/Site],$Q$2,RawData[[Picker ID ]],$Q$3,RawData[Checker ID],$Q$4,RawData[[Error Type ]],$Q$5))</f>
        <v/>
      </c>
    </row>
    <row r="19667" spans="15:15" x14ac:dyDescent="0.25">
      <c r="O19667" s="20" t="str">
        <f>IF(N19667="","",COUNTIFS(RawData[[Date ]],N19667,RawData[Month List],$Q$6,RawData[Tour/Site],$Q$2,RawData[[Picker ID ]],$Q$3,RawData[Checker ID],$Q$4,RawData[[Error Type ]],$Q$5))</f>
        <v/>
      </c>
    </row>
    <row r="19668" spans="15:15" x14ac:dyDescent="0.25">
      <c r="O19668" s="20" t="str">
        <f>IF(N19668="","",COUNTIFS(RawData[[Date ]],N19668,RawData[Month List],$Q$6,RawData[Tour/Site],$Q$2,RawData[[Picker ID ]],$Q$3,RawData[Checker ID],$Q$4,RawData[[Error Type ]],$Q$5))</f>
        <v/>
      </c>
    </row>
    <row r="19669" spans="15:15" x14ac:dyDescent="0.25">
      <c r="O19669" s="20" t="str">
        <f>IF(N19669="","",COUNTIFS(RawData[[Date ]],N19669,RawData[Month List],$Q$6,RawData[Tour/Site],$Q$2,RawData[[Picker ID ]],$Q$3,RawData[Checker ID],$Q$4,RawData[[Error Type ]],$Q$5))</f>
        <v/>
      </c>
    </row>
    <row r="19670" spans="15:15" x14ac:dyDescent="0.25">
      <c r="O19670" s="20" t="str">
        <f>IF(N19670="","",COUNTIFS(RawData[[Date ]],N19670,RawData[Month List],$Q$6,RawData[Tour/Site],$Q$2,RawData[[Picker ID ]],$Q$3,RawData[Checker ID],$Q$4,RawData[[Error Type ]],$Q$5))</f>
        <v/>
      </c>
    </row>
    <row r="19671" spans="15:15" x14ac:dyDescent="0.25">
      <c r="O19671" s="20" t="str">
        <f>IF(N19671="","",COUNTIFS(RawData[[Date ]],N19671,RawData[Month List],$Q$6,RawData[Tour/Site],$Q$2,RawData[[Picker ID ]],$Q$3,RawData[Checker ID],$Q$4,RawData[[Error Type ]],$Q$5))</f>
        <v/>
      </c>
    </row>
    <row r="19672" spans="15:15" x14ac:dyDescent="0.25">
      <c r="O19672" s="20" t="str">
        <f>IF(N19672="","",COUNTIFS(RawData[[Date ]],N19672,RawData[Month List],$Q$6,RawData[Tour/Site],$Q$2,RawData[[Picker ID ]],$Q$3,RawData[Checker ID],$Q$4,RawData[[Error Type ]],$Q$5))</f>
        <v/>
      </c>
    </row>
    <row r="19673" spans="15:15" x14ac:dyDescent="0.25">
      <c r="O19673" s="20" t="str">
        <f>IF(N19673="","",COUNTIFS(RawData[[Date ]],N19673,RawData[Month List],$Q$6,RawData[Tour/Site],$Q$2,RawData[[Picker ID ]],$Q$3,RawData[Checker ID],$Q$4,RawData[[Error Type ]],$Q$5))</f>
        <v/>
      </c>
    </row>
    <row r="19674" spans="15:15" x14ac:dyDescent="0.25">
      <c r="O19674" s="20" t="str">
        <f>IF(N19674="","",COUNTIFS(RawData[[Date ]],N19674,RawData[Month List],$Q$6,RawData[Tour/Site],$Q$2,RawData[[Picker ID ]],$Q$3,RawData[Checker ID],$Q$4,RawData[[Error Type ]],$Q$5))</f>
        <v/>
      </c>
    </row>
    <row r="19675" spans="15:15" x14ac:dyDescent="0.25">
      <c r="O19675" s="20" t="str">
        <f>IF(N19675="","",COUNTIFS(RawData[[Date ]],N19675,RawData[Month List],$Q$6,RawData[Tour/Site],$Q$2,RawData[[Picker ID ]],$Q$3,RawData[Checker ID],$Q$4,RawData[[Error Type ]],$Q$5))</f>
        <v/>
      </c>
    </row>
    <row r="19676" spans="15:15" x14ac:dyDescent="0.25">
      <c r="O19676" s="20" t="str">
        <f>IF(N19676="","",COUNTIFS(RawData[[Date ]],N19676,RawData[Month List],$Q$6,RawData[Tour/Site],$Q$2,RawData[[Picker ID ]],$Q$3,RawData[Checker ID],$Q$4,RawData[[Error Type ]],$Q$5))</f>
        <v/>
      </c>
    </row>
    <row r="19677" spans="15:15" x14ac:dyDescent="0.25">
      <c r="O19677" s="20" t="str">
        <f>IF(N19677="","",COUNTIFS(RawData[[Date ]],N19677,RawData[Month List],$Q$6,RawData[Tour/Site],$Q$2,RawData[[Picker ID ]],$Q$3,RawData[Checker ID],$Q$4,RawData[[Error Type ]],$Q$5))</f>
        <v/>
      </c>
    </row>
    <row r="19678" spans="15:15" x14ac:dyDescent="0.25">
      <c r="O19678" s="20" t="str">
        <f>IF(N19678="","",COUNTIFS(RawData[[Date ]],N19678,RawData[Month List],$Q$6,RawData[Tour/Site],$Q$2,RawData[[Picker ID ]],$Q$3,RawData[Checker ID],$Q$4,RawData[[Error Type ]],$Q$5))</f>
        <v/>
      </c>
    </row>
    <row r="19679" spans="15:15" x14ac:dyDescent="0.25">
      <c r="O19679" s="20" t="str">
        <f>IF(N19679="","",COUNTIFS(RawData[[Date ]],N19679,RawData[Month List],$Q$6,RawData[Tour/Site],$Q$2,RawData[[Picker ID ]],$Q$3,RawData[Checker ID],$Q$4,RawData[[Error Type ]],$Q$5))</f>
        <v/>
      </c>
    </row>
    <row r="19680" spans="15:15" x14ac:dyDescent="0.25">
      <c r="O19680" s="20" t="str">
        <f>IF(N19680="","",COUNTIFS(RawData[[Date ]],N19680,RawData[Month List],$Q$6,RawData[Tour/Site],$Q$2,RawData[[Picker ID ]],$Q$3,RawData[Checker ID],$Q$4,RawData[[Error Type ]],$Q$5))</f>
        <v/>
      </c>
    </row>
    <row r="19681" spans="15:15" x14ac:dyDescent="0.25">
      <c r="O19681" s="20" t="str">
        <f>IF(N19681="","",COUNTIFS(RawData[[Date ]],N19681,RawData[Month List],$Q$6,RawData[Tour/Site],$Q$2,RawData[[Picker ID ]],$Q$3,RawData[Checker ID],$Q$4,RawData[[Error Type ]],$Q$5))</f>
        <v/>
      </c>
    </row>
    <row r="19682" spans="15:15" x14ac:dyDescent="0.25">
      <c r="O19682" s="20" t="str">
        <f>IF(N19682="","",COUNTIFS(RawData[[Date ]],N19682,RawData[Month List],$Q$6,RawData[Tour/Site],$Q$2,RawData[[Picker ID ]],$Q$3,RawData[Checker ID],$Q$4,RawData[[Error Type ]],$Q$5))</f>
        <v/>
      </c>
    </row>
    <row r="19683" spans="15:15" x14ac:dyDescent="0.25">
      <c r="O19683" s="20" t="str">
        <f>IF(N19683="","",COUNTIFS(RawData[[Date ]],N19683,RawData[Month List],$Q$6,RawData[Tour/Site],$Q$2,RawData[[Picker ID ]],$Q$3,RawData[Checker ID],$Q$4,RawData[[Error Type ]],$Q$5))</f>
        <v/>
      </c>
    </row>
    <row r="19684" spans="15:15" x14ac:dyDescent="0.25">
      <c r="O19684" s="20" t="str">
        <f>IF(N19684="","",COUNTIFS(RawData[[Date ]],N19684,RawData[Month List],$Q$6,RawData[Tour/Site],$Q$2,RawData[[Picker ID ]],$Q$3,RawData[Checker ID],$Q$4,RawData[[Error Type ]],$Q$5))</f>
        <v/>
      </c>
    </row>
    <row r="19685" spans="15:15" x14ac:dyDescent="0.25">
      <c r="O19685" s="20" t="str">
        <f>IF(N19685="","",COUNTIFS(RawData[[Date ]],N19685,RawData[Month List],$Q$6,RawData[Tour/Site],$Q$2,RawData[[Picker ID ]],$Q$3,RawData[Checker ID],$Q$4,RawData[[Error Type ]],$Q$5))</f>
        <v/>
      </c>
    </row>
    <row r="19686" spans="15:15" x14ac:dyDescent="0.25">
      <c r="O19686" s="20" t="str">
        <f>IF(N19686="","",COUNTIFS(RawData[[Date ]],N19686,RawData[Month List],$Q$6,RawData[Tour/Site],$Q$2,RawData[[Picker ID ]],$Q$3,RawData[Checker ID],$Q$4,RawData[[Error Type ]],$Q$5))</f>
        <v/>
      </c>
    </row>
    <row r="19687" spans="15:15" x14ac:dyDescent="0.25">
      <c r="O19687" s="20" t="str">
        <f>IF(N19687="","",COUNTIFS(RawData[[Date ]],N19687,RawData[Month List],$Q$6,RawData[Tour/Site],$Q$2,RawData[[Picker ID ]],$Q$3,RawData[Checker ID],$Q$4,RawData[[Error Type ]],$Q$5))</f>
        <v/>
      </c>
    </row>
    <row r="19688" spans="15:15" x14ac:dyDescent="0.25">
      <c r="O19688" s="20" t="str">
        <f>IF(N19688="","",COUNTIFS(RawData[[Date ]],N19688,RawData[Month List],$Q$6,RawData[Tour/Site],$Q$2,RawData[[Picker ID ]],$Q$3,RawData[Checker ID],$Q$4,RawData[[Error Type ]],$Q$5))</f>
        <v/>
      </c>
    </row>
    <row r="19689" spans="15:15" x14ac:dyDescent="0.25">
      <c r="O19689" s="20" t="str">
        <f>IF(N19689="","",COUNTIFS(RawData[[Date ]],N19689,RawData[Month List],$Q$6,RawData[Tour/Site],$Q$2,RawData[[Picker ID ]],$Q$3,RawData[Checker ID],$Q$4,RawData[[Error Type ]],$Q$5))</f>
        <v/>
      </c>
    </row>
    <row r="19690" spans="15:15" x14ac:dyDescent="0.25">
      <c r="O19690" s="20" t="str">
        <f>IF(N19690="","",COUNTIFS(RawData[[Date ]],N19690,RawData[Month List],$Q$6,RawData[Tour/Site],$Q$2,RawData[[Picker ID ]],$Q$3,RawData[Checker ID],$Q$4,RawData[[Error Type ]],$Q$5))</f>
        <v/>
      </c>
    </row>
    <row r="19691" spans="15:15" x14ac:dyDescent="0.25">
      <c r="O19691" s="20" t="str">
        <f>IF(N19691="","",COUNTIFS(RawData[[Date ]],N19691,RawData[Month List],$Q$6,RawData[Tour/Site],$Q$2,RawData[[Picker ID ]],$Q$3,RawData[Checker ID],$Q$4,RawData[[Error Type ]],$Q$5))</f>
        <v/>
      </c>
    </row>
    <row r="19692" spans="15:15" x14ac:dyDescent="0.25">
      <c r="O19692" s="20" t="str">
        <f>IF(N19692="","",COUNTIFS(RawData[[Date ]],N19692,RawData[Month List],$Q$6,RawData[Tour/Site],$Q$2,RawData[[Picker ID ]],$Q$3,RawData[Checker ID],$Q$4,RawData[[Error Type ]],$Q$5))</f>
        <v/>
      </c>
    </row>
    <row r="19693" spans="15:15" x14ac:dyDescent="0.25">
      <c r="O19693" s="20" t="str">
        <f>IF(N19693="","",COUNTIFS(RawData[[Date ]],N19693,RawData[Month List],$Q$6,RawData[Tour/Site],$Q$2,RawData[[Picker ID ]],$Q$3,RawData[Checker ID],$Q$4,RawData[[Error Type ]],$Q$5))</f>
        <v/>
      </c>
    </row>
    <row r="19694" spans="15:15" x14ac:dyDescent="0.25">
      <c r="O19694" s="20" t="str">
        <f>IF(N19694="","",COUNTIFS(RawData[[Date ]],N19694,RawData[Month List],$Q$6,RawData[Tour/Site],$Q$2,RawData[[Picker ID ]],$Q$3,RawData[Checker ID],$Q$4,RawData[[Error Type ]],$Q$5))</f>
        <v/>
      </c>
    </row>
    <row r="19695" spans="15:15" x14ac:dyDescent="0.25">
      <c r="O19695" s="20" t="str">
        <f>IF(N19695="","",COUNTIFS(RawData[[Date ]],N19695,RawData[Month List],$Q$6,RawData[Tour/Site],$Q$2,RawData[[Picker ID ]],$Q$3,RawData[Checker ID],$Q$4,RawData[[Error Type ]],$Q$5))</f>
        <v/>
      </c>
    </row>
    <row r="19696" spans="15:15" x14ac:dyDescent="0.25">
      <c r="O19696" s="20" t="str">
        <f>IF(N19696="","",COUNTIFS(RawData[[Date ]],N19696,RawData[Month List],$Q$6,RawData[Tour/Site],$Q$2,RawData[[Picker ID ]],$Q$3,RawData[Checker ID],$Q$4,RawData[[Error Type ]],$Q$5))</f>
        <v/>
      </c>
    </row>
    <row r="19697" spans="15:15" x14ac:dyDescent="0.25">
      <c r="O19697" s="20" t="str">
        <f>IF(N19697="","",COUNTIFS(RawData[[Date ]],N19697,RawData[Month List],$Q$6,RawData[Tour/Site],$Q$2,RawData[[Picker ID ]],$Q$3,RawData[Checker ID],$Q$4,RawData[[Error Type ]],$Q$5))</f>
        <v/>
      </c>
    </row>
    <row r="19698" spans="15:15" x14ac:dyDescent="0.25">
      <c r="O19698" s="20" t="str">
        <f>IF(N19698="","",COUNTIFS(RawData[[Date ]],N19698,RawData[Month List],$Q$6,RawData[Tour/Site],$Q$2,RawData[[Picker ID ]],$Q$3,RawData[Checker ID],$Q$4,RawData[[Error Type ]],$Q$5))</f>
        <v/>
      </c>
    </row>
    <row r="19699" spans="15:15" x14ac:dyDescent="0.25">
      <c r="O19699" s="20" t="str">
        <f>IF(N19699="","",COUNTIFS(RawData[[Date ]],N19699,RawData[Month List],$Q$6,RawData[Tour/Site],$Q$2,RawData[[Picker ID ]],$Q$3,RawData[Checker ID],$Q$4,RawData[[Error Type ]],$Q$5))</f>
        <v/>
      </c>
    </row>
    <row r="19700" spans="15:15" x14ac:dyDescent="0.25">
      <c r="O19700" s="20" t="str">
        <f>IF(N19700="","",COUNTIFS(RawData[[Date ]],N19700,RawData[Month List],$Q$6,RawData[Tour/Site],$Q$2,RawData[[Picker ID ]],$Q$3,RawData[Checker ID],$Q$4,RawData[[Error Type ]],$Q$5))</f>
        <v/>
      </c>
    </row>
    <row r="19701" spans="15:15" x14ac:dyDescent="0.25">
      <c r="O19701" s="20" t="str">
        <f>IF(N19701="","",COUNTIFS(RawData[[Date ]],N19701,RawData[Month List],$Q$6,RawData[Tour/Site],$Q$2,RawData[[Picker ID ]],$Q$3,RawData[Checker ID],$Q$4,RawData[[Error Type ]],$Q$5))</f>
        <v/>
      </c>
    </row>
    <row r="19702" spans="15:15" x14ac:dyDescent="0.25">
      <c r="O19702" s="20" t="str">
        <f>IF(N19702="","",COUNTIFS(RawData[[Date ]],N19702,RawData[Month List],$Q$6,RawData[Tour/Site],$Q$2,RawData[[Picker ID ]],$Q$3,RawData[Checker ID],$Q$4,RawData[[Error Type ]],$Q$5))</f>
        <v/>
      </c>
    </row>
    <row r="19703" spans="15:15" x14ac:dyDescent="0.25">
      <c r="O19703" s="20" t="str">
        <f>IF(N19703="","",COUNTIFS(RawData[[Date ]],N19703,RawData[Month List],$Q$6,RawData[Tour/Site],$Q$2,RawData[[Picker ID ]],$Q$3,RawData[Checker ID],$Q$4,RawData[[Error Type ]],$Q$5))</f>
        <v/>
      </c>
    </row>
    <row r="19704" spans="15:15" x14ac:dyDescent="0.25">
      <c r="O19704" s="20" t="str">
        <f>IF(N19704="","",COUNTIFS(RawData[[Date ]],N19704,RawData[Month List],$Q$6,RawData[Tour/Site],$Q$2,RawData[[Picker ID ]],$Q$3,RawData[Checker ID],$Q$4,RawData[[Error Type ]],$Q$5))</f>
        <v/>
      </c>
    </row>
    <row r="19705" spans="15:15" x14ac:dyDescent="0.25">
      <c r="O19705" s="20" t="str">
        <f>IF(N19705="","",COUNTIFS(RawData[[Date ]],N19705,RawData[Month List],$Q$6,RawData[Tour/Site],$Q$2,RawData[[Picker ID ]],$Q$3,RawData[Checker ID],$Q$4,RawData[[Error Type ]],$Q$5))</f>
        <v/>
      </c>
    </row>
    <row r="19706" spans="15:15" x14ac:dyDescent="0.25">
      <c r="O19706" s="20" t="str">
        <f>IF(N19706="","",COUNTIFS(RawData[[Date ]],N19706,RawData[Month List],$Q$6,RawData[Tour/Site],$Q$2,RawData[[Picker ID ]],$Q$3,RawData[Checker ID],$Q$4,RawData[[Error Type ]],$Q$5))</f>
        <v/>
      </c>
    </row>
    <row r="19707" spans="15:15" x14ac:dyDescent="0.25">
      <c r="O19707" s="20" t="str">
        <f>IF(N19707="","",COUNTIFS(RawData[[Date ]],N19707,RawData[Month List],$Q$6,RawData[Tour/Site],$Q$2,RawData[[Picker ID ]],$Q$3,RawData[Checker ID],$Q$4,RawData[[Error Type ]],$Q$5))</f>
        <v/>
      </c>
    </row>
    <row r="19708" spans="15:15" x14ac:dyDescent="0.25">
      <c r="O19708" s="20" t="str">
        <f>IF(N19708="","",COUNTIFS(RawData[[Date ]],N19708,RawData[Month List],$Q$6,RawData[Tour/Site],$Q$2,RawData[[Picker ID ]],$Q$3,RawData[Checker ID],$Q$4,RawData[[Error Type ]],$Q$5))</f>
        <v/>
      </c>
    </row>
    <row r="19709" spans="15:15" x14ac:dyDescent="0.25">
      <c r="O19709" s="20" t="str">
        <f>IF(N19709="","",COUNTIFS(RawData[[Date ]],N19709,RawData[Month List],$Q$6,RawData[Tour/Site],$Q$2,RawData[[Picker ID ]],$Q$3,RawData[Checker ID],$Q$4,RawData[[Error Type ]],$Q$5))</f>
        <v/>
      </c>
    </row>
    <row r="19710" spans="15:15" x14ac:dyDescent="0.25">
      <c r="O19710" s="20" t="str">
        <f>IF(N19710="","",COUNTIFS(RawData[[Date ]],N19710,RawData[Month List],$Q$6,RawData[Tour/Site],$Q$2,RawData[[Picker ID ]],$Q$3,RawData[Checker ID],$Q$4,RawData[[Error Type ]],$Q$5))</f>
        <v/>
      </c>
    </row>
    <row r="19711" spans="15:15" x14ac:dyDescent="0.25">
      <c r="O19711" s="20" t="str">
        <f>IF(N19711="","",COUNTIFS(RawData[[Date ]],N19711,RawData[Month List],$Q$6,RawData[Tour/Site],$Q$2,RawData[[Picker ID ]],$Q$3,RawData[Checker ID],$Q$4,RawData[[Error Type ]],$Q$5))</f>
        <v/>
      </c>
    </row>
    <row r="19712" spans="15:15" x14ac:dyDescent="0.25">
      <c r="O19712" s="20" t="str">
        <f>IF(N19712="","",COUNTIFS(RawData[[Date ]],N19712,RawData[Month List],$Q$6,RawData[Tour/Site],$Q$2,RawData[[Picker ID ]],$Q$3,RawData[Checker ID],$Q$4,RawData[[Error Type ]],$Q$5))</f>
        <v/>
      </c>
    </row>
    <row r="19713" spans="15:15" x14ac:dyDescent="0.25">
      <c r="O19713" s="20" t="str">
        <f>IF(N19713="","",COUNTIFS(RawData[[Date ]],N19713,RawData[Month List],$Q$6,RawData[Tour/Site],$Q$2,RawData[[Picker ID ]],$Q$3,RawData[Checker ID],$Q$4,RawData[[Error Type ]],$Q$5))</f>
        <v/>
      </c>
    </row>
    <row r="19714" spans="15:15" x14ac:dyDescent="0.25">
      <c r="O19714" s="20" t="str">
        <f>IF(N19714="","",COUNTIFS(RawData[[Date ]],N19714,RawData[Month List],$Q$6,RawData[Tour/Site],$Q$2,RawData[[Picker ID ]],$Q$3,RawData[Checker ID],$Q$4,RawData[[Error Type ]],$Q$5))</f>
        <v/>
      </c>
    </row>
    <row r="19715" spans="15:15" x14ac:dyDescent="0.25">
      <c r="O19715" s="20" t="str">
        <f>IF(N19715="","",COUNTIFS(RawData[[Date ]],N19715,RawData[Month List],$Q$6,RawData[Tour/Site],$Q$2,RawData[[Picker ID ]],$Q$3,RawData[Checker ID],$Q$4,RawData[[Error Type ]],$Q$5))</f>
        <v/>
      </c>
    </row>
    <row r="19716" spans="15:15" x14ac:dyDescent="0.25">
      <c r="O19716" s="20" t="str">
        <f>IF(N19716="","",COUNTIFS(RawData[[Date ]],N19716,RawData[Month List],$Q$6,RawData[Tour/Site],$Q$2,RawData[[Picker ID ]],$Q$3,RawData[Checker ID],$Q$4,RawData[[Error Type ]],$Q$5))</f>
        <v/>
      </c>
    </row>
    <row r="19717" spans="15:15" x14ac:dyDescent="0.25">
      <c r="O19717" s="20" t="str">
        <f>IF(N19717="","",COUNTIFS(RawData[[Date ]],N19717,RawData[Month List],$Q$6,RawData[Tour/Site],$Q$2,RawData[[Picker ID ]],$Q$3,RawData[Checker ID],$Q$4,RawData[[Error Type ]],$Q$5))</f>
        <v/>
      </c>
    </row>
    <row r="19718" spans="15:15" x14ac:dyDescent="0.25">
      <c r="O19718" s="20" t="str">
        <f>IF(N19718="","",COUNTIFS(RawData[[Date ]],N19718,RawData[Month List],$Q$6,RawData[Tour/Site],$Q$2,RawData[[Picker ID ]],$Q$3,RawData[Checker ID],$Q$4,RawData[[Error Type ]],$Q$5))</f>
        <v/>
      </c>
    </row>
    <row r="19719" spans="15:15" x14ac:dyDescent="0.25">
      <c r="O19719" s="20" t="str">
        <f>IF(N19719="","",COUNTIFS(RawData[[Date ]],N19719,RawData[Month List],$Q$6,RawData[Tour/Site],$Q$2,RawData[[Picker ID ]],$Q$3,RawData[Checker ID],$Q$4,RawData[[Error Type ]],$Q$5))</f>
        <v/>
      </c>
    </row>
    <row r="19720" spans="15:15" x14ac:dyDescent="0.25">
      <c r="O19720" s="20" t="str">
        <f>IF(N19720="","",COUNTIFS(RawData[[Date ]],N19720,RawData[Month List],$Q$6,RawData[Tour/Site],$Q$2,RawData[[Picker ID ]],$Q$3,RawData[Checker ID],$Q$4,RawData[[Error Type ]],$Q$5))</f>
        <v/>
      </c>
    </row>
    <row r="19721" spans="15:15" x14ac:dyDescent="0.25">
      <c r="O19721" s="20" t="str">
        <f>IF(N19721="","",COUNTIFS(RawData[[Date ]],N19721,RawData[Month List],$Q$6,RawData[Tour/Site],$Q$2,RawData[[Picker ID ]],$Q$3,RawData[Checker ID],$Q$4,RawData[[Error Type ]],$Q$5))</f>
        <v/>
      </c>
    </row>
    <row r="19722" spans="15:15" x14ac:dyDescent="0.25">
      <c r="O19722" s="20" t="str">
        <f>IF(N19722="","",COUNTIFS(RawData[[Date ]],N19722,RawData[Month List],$Q$6,RawData[Tour/Site],$Q$2,RawData[[Picker ID ]],$Q$3,RawData[Checker ID],$Q$4,RawData[[Error Type ]],$Q$5))</f>
        <v/>
      </c>
    </row>
    <row r="19723" spans="15:15" x14ac:dyDescent="0.25">
      <c r="O19723" s="20" t="str">
        <f>IF(N19723="","",COUNTIFS(RawData[[Date ]],N19723,RawData[Month List],$Q$6,RawData[Tour/Site],$Q$2,RawData[[Picker ID ]],$Q$3,RawData[Checker ID],$Q$4,RawData[[Error Type ]],$Q$5))</f>
        <v/>
      </c>
    </row>
    <row r="19724" spans="15:15" x14ac:dyDescent="0.25">
      <c r="O19724" s="20" t="str">
        <f>IF(N19724="","",COUNTIFS(RawData[[Date ]],N19724,RawData[Month List],$Q$6,RawData[Tour/Site],$Q$2,RawData[[Picker ID ]],$Q$3,RawData[Checker ID],$Q$4,RawData[[Error Type ]],$Q$5))</f>
        <v/>
      </c>
    </row>
    <row r="19725" spans="15:15" x14ac:dyDescent="0.25">
      <c r="O19725" s="20" t="str">
        <f>IF(N19725="","",COUNTIFS(RawData[[Date ]],N19725,RawData[Month List],$Q$6,RawData[Tour/Site],$Q$2,RawData[[Picker ID ]],$Q$3,RawData[Checker ID],$Q$4,RawData[[Error Type ]],$Q$5))</f>
        <v/>
      </c>
    </row>
    <row r="19726" spans="15:15" x14ac:dyDescent="0.25">
      <c r="O19726" s="20" t="str">
        <f>IF(N19726="","",COUNTIFS(RawData[[Date ]],N19726,RawData[Month List],$Q$6,RawData[Tour/Site],$Q$2,RawData[[Picker ID ]],$Q$3,RawData[Checker ID],$Q$4,RawData[[Error Type ]],$Q$5))</f>
        <v/>
      </c>
    </row>
    <row r="19727" spans="15:15" x14ac:dyDescent="0.25">
      <c r="O19727" s="20" t="str">
        <f>IF(N19727="","",COUNTIFS(RawData[[Date ]],N19727,RawData[Month List],$Q$6,RawData[Tour/Site],$Q$2,RawData[[Picker ID ]],$Q$3,RawData[Checker ID],$Q$4,RawData[[Error Type ]],$Q$5))</f>
        <v/>
      </c>
    </row>
    <row r="19728" spans="15:15" x14ac:dyDescent="0.25">
      <c r="O19728" s="20" t="str">
        <f>IF(N19728="","",COUNTIFS(RawData[[Date ]],N19728,RawData[Month List],$Q$6,RawData[Tour/Site],$Q$2,RawData[[Picker ID ]],$Q$3,RawData[Checker ID],$Q$4,RawData[[Error Type ]],$Q$5))</f>
        <v/>
      </c>
    </row>
    <row r="19729" spans="15:15" x14ac:dyDescent="0.25">
      <c r="O19729" s="20" t="str">
        <f>IF(N19729="","",COUNTIFS(RawData[[Date ]],N19729,RawData[Month List],$Q$6,RawData[Tour/Site],$Q$2,RawData[[Picker ID ]],$Q$3,RawData[Checker ID],$Q$4,RawData[[Error Type ]],$Q$5))</f>
        <v/>
      </c>
    </row>
    <row r="19730" spans="15:15" x14ac:dyDescent="0.25">
      <c r="O19730" s="20" t="str">
        <f>IF(N19730="","",COUNTIFS(RawData[[Date ]],N19730,RawData[Month List],$Q$6,RawData[Tour/Site],$Q$2,RawData[[Picker ID ]],$Q$3,RawData[Checker ID],$Q$4,RawData[[Error Type ]],$Q$5))</f>
        <v/>
      </c>
    </row>
    <row r="19731" spans="15:15" x14ac:dyDescent="0.25">
      <c r="O19731" s="20" t="str">
        <f>IF(N19731="","",COUNTIFS(RawData[[Date ]],N19731,RawData[Month List],$Q$6,RawData[Tour/Site],$Q$2,RawData[[Picker ID ]],$Q$3,RawData[Checker ID],$Q$4,RawData[[Error Type ]],$Q$5))</f>
        <v/>
      </c>
    </row>
    <row r="19732" spans="15:15" x14ac:dyDescent="0.25">
      <c r="O19732" s="20" t="str">
        <f>IF(N19732="","",COUNTIFS(RawData[[Date ]],N19732,RawData[Month List],$Q$6,RawData[Tour/Site],$Q$2,RawData[[Picker ID ]],$Q$3,RawData[Checker ID],$Q$4,RawData[[Error Type ]],$Q$5))</f>
        <v/>
      </c>
    </row>
    <row r="19733" spans="15:15" x14ac:dyDescent="0.25">
      <c r="O19733" s="20" t="str">
        <f>IF(N19733="","",COUNTIFS(RawData[[Date ]],N19733,RawData[Month List],$Q$6,RawData[Tour/Site],$Q$2,RawData[[Picker ID ]],$Q$3,RawData[Checker ID],$Q$4,RawData[[Error Type ]],$Q$5))</f>
        <v/>
      </c>
    </row>
    <row r="19734" spans="15:15" x14ac:dyDescent="0.25">
      <c r="O19734" s="20" t="str">
        <f>IF(N19734="","",COUNTIFS(RawData[[Date ]],N19734,RawData[Month List],$Q$6,RawData[Tour/Site],$Q$2,RawData[[Picker ID ]],$Q$3,RawData[Checker ID],$Q$4,RawData[[Error Type ]],$Q$5))</f>
        <v/>
      </c>
    </row>
    <row r="19735" spans="15:15" x14ac:dyDescent="0.25">
      <c r="O19735" s="20" t="str">
        <f>IF(N19735="","",COUNTIFS(RawData[[Date ]],N19735,RawData[Month List],$Q$6,RawData[Tour/Site],$Q$2,RawData[[Picker ID ]],$Q$3,RawData[Checker ID],$Q$4,RawData[[Error Type ]],$Q$5))</f>
        <v/>
      </c>
    </row>
    <row r="19736" spans="15:15" x14ac:dyDescent="0.25">
      <c r="O19736" s="20" t="str">
        <f>IF(N19736="","",COUNTIFS(RawData[[Date ]],N19736,RawData[Month List],$Q$6,RawData[Tour/Site],$Q$2,RawData[[Picker ID ]],$Q$3,RawData[Checker ID],$Q$4,RawData[[Error Type ]],$Q$5))</f>
        <v/>
      </c>
    </row>
    <row r="19737" spans="15:15" x14ac:dyDescent="0.25">
      <c r="O19737" s="20" t="str">
        <f>IF(N19737="","",COUNTIFS(RawData[[Date ]],N19737,RawData[Month List],$Q$6,RawData[Tour/Site],$Q$2,RawData[[Picker ID ]],$Q$3,RawData[Checker ID],$Q$4,RawData[[Error Type ]],$Q$5))</f>
        <v/>
      </c>
    </row>
    <row r="19738" spans="15:15" x14ac:dyDescent="0.25">
      <c r="O19738" s="20" t="str">
        <f>IF(N19738="","",COUNTIFS(RawData[[Date ]],N19738,RawData[Month List],$Q$6,RawData[Tour/Site],$Q$2,RawData[[Picker ID ]],$Q$3,RawData[Checker ID],$Q$4,RawData[[Error Type ]],$Q$5))</f>
        <v/>
      </c>
    </row>
    <row r="19739" spans="15:15" x14ac:dyDescent="0.25">
      <c r="O19739" s="20" t="str">
        <f>IF(N19739="","",COUNTIFS(RawData[[Date ]],N19739,RawData[Month List],$Q$6,RawData[Tour/Site],$Q$2,RawData[[Picker ID ]],$Q$3,RawData[Checker ID],$Q$4,RawData[[Error Type ]],$Q$5))</f>
        <v/>
      </c>
    </row>
    <row r="19740" spans="15:15" x14ac:dyDescent="0.25">
      <c r="O19740" s="20" t="str">
        <f>IF(N19740="","",COUNTIFS(RawData[[Date ]],N19740,RawData[Month List],$Q$6,RawData[Tour/Site],$Q$2,RawData[[Picker ID ]],$Q$3,RawData[Checker ID],$Q$4,RawData[[Error Type ]],$Q$5))</f>
        <v/>
      </c>
    </row>
    <row r="19741" spans="15:15" x14ac:dyDescent="0.25">
      <c r="O19741" s="20" t="str">
        <f>IF(N19741="","",COUNTIFS(RawData[[Date ]],N19741,RawData[Month List],$Q$6,RawData[Tour/Site],$Q$2,RawData[[Picker ID ]],$Q$3,RawData[Checker ID],$Q$4,RawData[[Error Type ]],$Q$5))</f>
        <v/>
      </c>
    </row>
    <row r="19742" spans="15:15" x14ac:dyDescent="0.25">
      <c r="O19742" s="20" t="str">
        <f>IF(N19742="","",COUNTIFS(RawData[[Date ]],N19742,RawData[Month List],$Q$6,RawData[Tour/Site],$Q$2,RawData[[Picker ID ]],$Q$3,RawData[Checker ID],$Q$4,RawData[[Error Type ]],$Q$5))</f>
        <v/>
      </c>
    </row>
    <row r="19743" spans="15:15" x14ac:dyDescent="0.25">
      <c r="O19743" s="20" t="str">
        <f>IF(N19743="","",COUNTIFS(RawData[[Date ]],N19743,RawData[Month List],$Q$6,RawData[Tour/Site],$Q$2,RawData[[Picker ID ]],$Q$3,RawData[Checker ID],$Q$4,RawData[[Error Type ]],$Q$5))</f>
        <v/>
      </c>
    </row>
    <row r="19744" spans="15:15" x14ac:dyDescent="0.25">
      <c r="O19744" s="20" t="str">
        <f>IF(N19744="","",COUNTIFS(RawData[[Date ]],N19744,RawData[Month List],$Q$6,RawData[Tour/Site],$Q$2,RawData[[Picker ID ]],$Q$3,RawData[Checker ID],$Q$4,RawData[[Error Type ]],$Q$5))</f>
        <v/>
      </c>
    </row>
    <row r="19745" spans="15:15" x14ac:dyDescent="0.25">
      <c r="O19745" s="20" t="str">
        <f>IF(N19745="","",COUNTIFS(RawData[[Date ]],N19745,RawData[Month List],$Q$6,RawData[Tour/Site],$Q$2,RawData[[Picker ID ]],$Q$3,RawData[Checker ID],$Q$4,RawData[[Error Type ]],$Q$5))</f>
        <v/>
      </c>
    </row>
    <row r="19746" spans="15:15" x14ac:dyDescent="0.25">
      <c r="O19746" s="20" t="str">
        <f>IF(N19746="","",COUNTIFS(RawData[[Date ]],N19746,RawData[Month List],$Q$6,RawData[Tour/Site],$Q$2,RawData[[Picker ID ]],$Q$3,RawData[Checker ID],$Q$4,RawData[[Error Type ]],$Q$5))</f>
        <v/>
      </c>
    </row>
    <row r="19747" spans="15:15" x14ac:dyDescent="0.25">
      <c r="O19747" s="20" t="str">
        <f>IF(N19747="","",COUNTIFS(RawData[[Date ]],N19747,RawData[Month List],$Q$6,RawData[Tour/Site],$Q$2,RawData[[Picker ID ]],$Q$3,RawData[Checker ID],$Q$4,RawData[[Error Type ]],$Q$5))</f>
        <v/>
      </c>
    </row>
    <row r="19748" spans="15:15" x14ac:dyDescent="0.25">
      <c r="O19748" s="20" t="str">
        <f>IF(N19748="","",COUNTIFS(RawData[[Date ]],N19748,RawData[Month List],$Q$6,RawData[Tour/Site],$Q$2,RawData[[Picker ID ]],$Q$3,RawData[Checker ID],$Q$4,RawData[[Error Type ]],$Q$5))</f>
        <v/>
      </c>
    </row>
    <row r="19749" spans="15:15" x14ac:dyDescent="0.25">
      <c r="O19749" s="20" t="str">
        <f>IF(N19749="","",COUNTIFS(RawData[[Date ]],N19749,RawData[Month List],$Q$6,RawData[Tour/Site],$Q$2,RawData[[Picker ID ]],$Q$3,RawData[Checker ID],$Q$4,RawData[[Error Type ]],$Q$5))</f>
        <v/>
      </c>
    </row>
    <row r="19750" spans="15:15" x14ac:dyDescent="0.25">
      <c r="O19750" s="20" t="str">
        <f>IF(N19750="","",COUNTIFS(RawData[[Date ]],N19750,RawData[Month List],$Q$6,RawData[Tour/Site],$Q$2,RawData[[Picker ID ]],$Q$3,RawData[Checker ID],$Q$4,RawData[[Error Type ]],$Q$5))</f>
        <v/>
      </c>
    </row>
    <row r="19751" spans="15:15" x14ac:dyDescent="0.25">
      <c r="O19751" s="20" t="str">
        <f>IF(N19751="","",COUNTIFS(RawData[[Date ]],N19751,RawData[Month List],$Q$6,RawData[Tour/Site],$Q$2,RawData[[Picker ID ]],$Q$3,RawData[Checker ID],$Q$4,RawData[[Error Type ]],$Q$5))</f>
        <v/>
      </c>
    </row>
    <row r="19752" spans="15:15" x14ac:dyDescent="0.25">
      <c r="O19752" s="20" t="str">
        <f>IF(N19752="","",COUNTIFS(RawData[[Date ]],N19752,RawData[Month List],$Q$6,RawData[Tour/Site],$Q$2,RawData[[Picker ID ]],$Q$3,RawData[Checker ID],$Q$4,RawData[[Error Type ]],$Q$5))</f>
        <v/>
      </c>
    </row>
    <row r="19753" spans="15:15" x14ac:dyDescent="0.25">
      <c r="O19753" s="20" t="str">
        <f>IF(N19753="","",COUNTIFS(RawData[[Date ]],N19753,RawData[Month List],$Q$6,RawData[Tour/Site],$Q$2,RawData[[Picker ID ]],$Q$3,RawData[Checker ID],$Q$4,RawData[[Error Type ]],$Q$5))</f>
        <v/>
      </c>
    </row>
    <row r="19754" spans="15:15" x14ac:dyDescent="0.25">
      <c r="O19754" s="20" t="str">
        <f>IF(N19754="","",COUNTIFS(RawData[[Date ]],N19754,RawData[Month List],$Q$6,RawData[Tour/Site],$Q$2,RawData[[Picker ID ]],$Q$3,RawData[Checker ID],$Q$4,RawData[[Error Type ]],$Q$5))</f>
        <v/>
      </c>
    </row>
    <row r="19755" spans="15:15" x14ac:dyDescent="0.25">
      <c r="O19755" s="20" t="str">
        <f>IF(N19755="","",COUNTIFS(RawData[[Date ]],N19755,RawData[Month List],$Q$6,RawData[Tour/Site],$Q$2,RawData[[Picker ID ]],$Q$3,RawData[Checker ID],$Q$4,RawData[[Error Type ]],$Q$5))</f>
        <v/>
      </c>
    </row>
    <row r="19756" spans="15:15" x14ac:dyDescent="0.25">
      <c r="O19756" s="20" t="str">
        <f>IF(N19756="","",COUNTIFS(RawData[[Date ]],N19756,RawData[Month List],$Q$6,RawData[Tour/Site],$Q$2,RawData[[Picker ID ]],$Q$3,RawData[Checker ID],$Q$4,RawData[[Error Type ]],$Q$5))</f>
        <v/>
      </c>
    </row>
    <row r="19757" spans="15:15" x14ac:dyDescent="0.25">
      <c r="O19757" s="20" t="str">
        <f>IF(N19757="","",COUNTIFS(RawData[[Date ]],N19757,RawData[Month List],$Q$6,RawData[Tour/Site],$Q$2,RawData[[Picker ID ]],$Q$3,RawData[Checker ID],$Q$4,RawData[[Error Type ]],$Q$5))</f>
        <v/>
      </c>
    </row>
    <row r="19758" spans="15:15" x14ac:dyDescent="0.25">
      <c r="O19758" s="20" t="str">
        <f>IF(N19758="","",COUNTIFS(RawData[[Date ]],N19758,RawData[Month List],$Q$6,RawData[Tour/Site],$Q$2,RawData[[Picker ID ]],$Q$3,RawData[Checker ID],$Q$4,RawData[[Error Type ]],$Q$5))</f>
        <v/>
      </c>
    </row>
    <row r="19759" spans="15:15" x14ac:dyDescent="0.25">
      <c r="O19759" s="20" t="str">
        <f>IF(N19759="","",COUNTIFS(RawData[[Date ]],N19759,RawData[Month List],$Q$6,RawData[Tour/Site],$Q$2,RawData[[Picker ID ]],$Q$3,RawData[Checker ID],$Q$4,RawData[[Error Type ]],$Q$5))</f>
        <v/>
      </c>
    </row>
    <row r="19760" spans="15:15" x14ac:dyDescent="0.25">
      <c r="O19760" s="20" t="str">
        <f>IF(N19760="","",COUNTIFS(RawData[[Date ]],N19760,RawData[Month List],$Q$6,RawData[Tour/Site],$Q$2,RawData[[Picker ID ]],$Q$3,RawData[Checker ID],$Q$4,RawData[[Error Type ]],$Q$5))</f>
        <v/>
      </c>
    </row>
    <row r="19761" spans="15:15" x14ac:dyDescent="0.25">
      <c r="O19761" s="20" t="str">
        <f>IF(N19761="","",COUNTIFS(RawData[[Date ]],N19761,RawData[Month List],$Q$6,RawData[Tour/Site],$Q$2,RawData[[Picker ID ]],$Q$3,RawData[Checker ID],$Q$4,RawData[[Error Type ]],$Q$5))</f>
        <v/>
      </c>
    </row>
    <row r="19762" spans="15:15" x14ac:dyDescent="0.25">
      <c r="O19762" s="20" t="str">
        <f>IF(N19762="","",COUNTIFS(RawData[[Date ]],N19762,RawData[Month List],$Q$6,RawData[Tour/Site],$Q$2,RawData[[Picker ID ]],$Q$3,RawData[Checker ID],$Q$4,RawData[[Error Type ]],$Q$5))</f>
        <v/>
      </c>
    </row>
    <row r="19763" spans="15:15" x14ac:dyDescent="0.25">
      <c r="O19763" s="20" t="str">
        <f>IF(N19763="","",COUNTIFS(RawData[[Date ]],N19763,RawData[Month List],$Q$6,RawData[Tour/Site],$Q$2,RawData[[Picker ID ]],$Q$3,RawData[Checker ID],$Q$4,RawData[[Error Type ]],$Q$5))</f>
        <v/>
      </c>
    </row>
    <row r="19764" spans="15:15" x14ac:dyDescent="0.25">
      <c r="O19764" s="20" t="str">
        <f>IF(N19764="","",COUNTIFS(RawData[[Date ]],N19764,RawData[Month List],$Q$6,RawData[Tour/Site],$Q$2,RawData[[Picker ID ]],$Q$3,RawData[Checker ID],$Q$4,RawData[[Error Type ]],$Q$5))</f>
        <v/>
      </c>
    </row>
    <row r="19765" spans="15:15" x14ac:dyDescent="0.25">
      <c r="O19765" s="20" t="str">
        <f>IF(N19765="","",COUNTIFS(RawData[[Date ]],N19765,RawData[Month List],$Q$6,RawData[Tour/Site],$Q$2,RawData[[Picker ID ]],$Q$3,RawData[Checker ID],$Q$4,RawData[[Error Type ]],$Q$5))</f>
        <v/>
      </c>
    </row>
    <row r="19766" spans="15:15" x14ac:dyDescent="0.25">
      <c r="O19766" s="20" t="str">
        <f>IF(N19766="","",COUNTIFS(RawData[[Date ]],N19766,RawData[Month List],$Q$6,RawData[Tour/Site],$Q$2,RawData[[Picker ID ]],$Q$3,RawData[Checker ID],$Q$4,RawData[[Error Type ]],$Q$5))</f>
        <v/>
      </c>
    </row>
    <row r="19767" spans="15:15" x14ac:dyDescent="0.25">
      <c r="O19767" s="20" t="str">
        <f>IF(N19767="","",COUNTIFS(RawData[[Date ]],N19767,RawData[Month List],$Q$6,RawData[Tour/Site],$Q$2,RawData[[Picker ID ]],$Q$3,RawData[Checker ID],$Q$4,RawData[[Error Type ]],$Q$5))</f>
        <v/>
      </c>
    </row>
    <row r="19768" spans="15:15" x14ac:dyDescent="0.25">
      <c r="O19768" s="20" t="str">
        <f>IF(N19768="","",COUNTIFS(RawData[[Date ]],N19768,RawData[Month List],$Q$6,RawData[Tour/Site],$Q$2,RawData[[Picker ID ]],$Q$3,RawData[Checker ID],$Q$4,RawData[[Error Type ]],$Q$5))</f>
        <v/>
      </c>
    </row>
    <row r="19769" spans="15:15" x14ac:dyDescent="0.25">
      <c r="O19769" s="20" t="str">
        <f>IF(N19769="","",COUNTIFS(RawData[[Date ]],N19769,RawData[Month List],$Q$6,RawData[Tour/Site],$Q$2,RawData[[Picker ID ]],$Q$3,RawData[Checker ID],$Q$4,RawData[[Error Type ]],$Q$5))</f>
        <v/>
      </c>
    </row>
    <row r="19770" spans="15:15" x14ac:dyDescent="0.25">
      <c r="O19770" s="20" t="str">
        <f>IF(N19770="","",COUNTIFS(RawData[[Date ]],N19770,RawData[Month List],$Q$6,RawData[Tour/Site],$Q$2,RawData[[Picker ID ]],$Q$3,RawData[Checker ID],$Q$4,RawData[[Error Type ]],$Q$5))</f>
        <v/>
      </c>
    </row>
    <row r="19771" spans="15:15" x14ac:dyDescent="0.25">
      <c r="O19771" s="20" t="str">
        <f>IF(N19771="","",COUNTIFS(RawData[[Date ]],N19771,RawData[Month List],$Q$6,RawData[Tour/Site],$Q$2,RawData[[Picker ID ]],$Q$3,RawData[Checker ID],$Q$4,RawData[[Error Type ]],$Q$5))</f>
        <v/>
      </c>
    </row>
    <row r="19772" spans="15:15" x14ac:dyDescent="0.25">
      <c r="O19772" s="20" t="str">
        <f>IF(N19772="","",COUNTIFS(RawData[[Date ]],N19772,RawData[Month List],$Q$6,RawData[Tour/Site],$Q$2,RawData[[Picker ID ]],$Q$3,RawData[Checker ID],$Q$4,RawData[[Error Type ]],$Q$5))</f>
        <v/>
      </c>
    </row>
    <row r="19773" spans="15:15" x14ac:dyDescent="0.25">
      <c r="O19773" s="20" t="str">
        <f>IF(N19773="","",COUNTIFS(RawData[[Date ]],N19773,RawData[Month List],$Q$6,RawData[Tour/Site],$Q$2,RawData[[Picker ID ]],$Q$3,RawData[Checker ID],$Q$4,RawData[[Error Type ]],$Q$5))</f>
        <v/>
      </c>
    </row>
    <row r="19774" spans="15:15" x14ac:dyDescent="0.25">
      <c r="O19774" s="20" t="str">
        <f>IF(N19774="","",COUNTIFS(RawData[[Date ]],N19774,RawData[Month List],$Q$6,RawData[Tour/Site],$Q$2,RawData[[Picker ID ]],$Q$3,RawData[Checker ID],$Q$4,RawData[[Error Type ]],$Q$5))</f>
        <v/>
      </c>
    </row>
    <row r="19775" spans="15:15" x14ac:dyDescent="0.25">
      <c r="O19775" s="20" t="str">
        <f>IF(N19775="","",COUNTIFS(RawData[[Date ]],N19775,RawData[Month List],$Q$6,RawData[Tour/Site],$Q$2,RawData[[Picker ID ]],$Q$3,RawData[Checker ID],$Q$4,RawData[[Error Type ]],$Q$5))</f>
        <v/>
      </c>
    </row>
    <row r="19776" spans="15:15" x14ac:dyDescent="0.25">
      <c r="O19776" s="20" t="str">
        <f>IF(N19776="","",COUNTIFS(RawData[[Date ]],N19776,RawData[Month List],$Q$6,RawData[Tour/Site],$Q$2,RawData[[Picker ID ]],$Q$3,RawData[Checker ID],$Q$4,RawData[[Error Type ]],$Q$5))</f>
        <v/>
      </c>
    </row>
    <row r="19777" spans="15:15" x14ac:dyDescent="0.25">
      <c r="O19777" s="20" t="str">
        <f>IF(N19777="","",COUNTIFS(RawData[[Date ]],N19777,RawData[Month List],$Q$6,RawData[Tour/Site],$Q$2,RawData[[Picker ID ]],$Q$3,RawData[Checker ID],$Q$4,RawData[[Error Type ]],$Q$5))</f>
        <v/>
      </c>
    </row>
    <row r="19778" spans="15:15" x14ac:dyDescent="0.25">
      <c r="O19778" s="20" t="str">
        <f>IF(N19778="","",COUNTIFS(RawData[[Date ]],N19778,RawData[Month List],$Q$6,RawData[Tour/Site],$Q$2,RawData[[Picker ID ]],$Q$3,RawData[Checker ID],$Q$4,RawData[[Error Type ]],$Q$5))</f>
        <v/>
      </c>
    </row>
    <row r="19779" spans="15:15" x14ac:dyDescent="0.25">
      <c r="O19779" s="20" t="str">
        <f>IF(N19779="","",COUNTIFS(RawData[[Date ]],N19779,RawData[Month List],$Q$6,RawData[Tour/Site],$Q$2,RawData[[Picker ID ]],$Q$3,RawData[Checker ID],$Q$4,RawData[[Error Type ]],$Q$5))</f>
        <v/>
      </c>
    </row>
    <row r="19780" spans="15:15" x14ac:dyDescent="0.25">
      <c r="O19780" s="20" t="str">
        <f>IF(N19780="","",COUNTIFS(RawData[[Date ]],N19780,RawData[Month List],$Q$6,RawData[Tour/Site],$Q$2,RawData[[Picker ID ]],$Q$3,RawData[Checker ID],$Q$4,RawData[[Error Type ]],$Q$5))</f>
        <v/>
      </c>
    </row>
    <row r="19781" spans="15:15" x14ac:dyDescent="0.25">
      <c r="O19781" s="20" t="str">
        <f>IF(N19781="","",COUNTIFS(RawData[[Date ]],N19781,RawData[Month List],$Q$6,RawData[Tour/Site],$Q$2,RawData[[Picker ID ]],$Q$3,RawData[Checker ID],$Q$4,RawData[[Error Type ]],$Q$5))</f>
        <v/>
      </c>
    </row>
    <row r="19782" spans="15:15" x14ac:dyDescent="0.25">
      <c r="O19782" s="20" t="str">
        <f>IF(N19782="","",COUNTIFS(RawData[[Date ]],N19782,RawData[Month List],$Q$6,RawData[Tour/Site],$Q$2,RawData[[Picker ID ]],$Q$3,RawData[Checker ID],$Q$4,RawData[[Error Type ]],$Q$5))</f>
        <v/>
      </c>
    </row>
    <row r="19783" spans="15:15" x14ac:dyDescent="0.25">
      <c r="O19783" s="20" t="str">
        <f>IF(N19783="","",COUNTIFS(RawData[[Date ]],N19783,RawData[Month List],$Q$6,RawData[Tour/Site],$Q$2,RawData[[Picker ID ]],$Q$3,RawData[Checker ID],$Q$4,RawData[[Error Type ]],$Q$5))</f>
        <v/>
      </c>
    </row>
    <row r="19784" spans="15:15" x14ac:dyDescent="0.25">
      <c r="O19784" s="20" t="str">
        <f>IF(N19784="","",COUNTIFS(RawData[[Date ]],N19784,RawData[Month List],$Q$6,RawData[Tour/Site],$Q$2,RawData[[Picker ID ]],$Q$3,RawData[Checker ID],$Q$4,RawData[[Error Type ]],$Q$5))</f>
        <v/>
      </c>
    </row>
    <row r="19785" spans="15:15" x14ac:dyDescent="0.25">
      <c r="O19785" s="20" t="str">
        <f>IF(N19785="","",COUNTIFS(RawData[[Date ]],N19785,RawData[Month List],$Q$6,RawData[Tour/Site],$Q$2,RawData[[Picker ID ]],$Q$3,RawData[Checker ID],$Q$4,RawData[[Error Type ]],$Q$5))</f>
        <v/>
      </c>
    </row>
    <row r="19786" spans="15:15" x14ac:dyDescent="0.25">
      <c r="O19786" s="20" t="str">
        <f>IF(N19786="","",COUNTIFS(RawData[[Date ]],N19786,RawData[Month List],$Q$6,RawData[Tour/Site],$Q$2,RawData[[Picker ID ]],$Q$3,RawData[Checker ID],$Q$4,RawData[[Error Type ]],$Q$5))</f>
        <v/>
      </c>
    </row>
    <row r="19787" spans="15:15" x14ac:dyDescent="0.25">
      <c r="O19787" s="20" t="str">
        <f>IF(N19787="","",COUNTIFS(RawData[[Date ]],N19787,RawData[Month List],$Q$6,RawData[Tour/Site],$Q$2,RawData[[Picker ID ]],$Q$3,RawData[Checker ID],$Q$4,RawData[[Error Type ]],$Q$5))</f>
        <v/>
      </c>
    </row>
    <row r="19788" spans="15:15" x14ac:dyDescent="0.25">
      <c r="O19788" s="20" t="str">
        <f>IF(N19788="","",COUNTIFS(RawData[[Date ]],N19788,RawData[Month List],$Q$6,RawData[Tour/Site],$Q$2,RawData[[Picker ID ]],$Q$3,RawData[Checker ID],$Q$4,RawData[[Error Type ]],$Q$5))</f>
        <v/>
      </c>
    </row>
    <row r="19789" spans="15:15" x14ac:dyDescent="0.25">
      <c r="O19789" s="20" t="str">
        <f>IF(N19789="","",COUNTIFS(RawData[[Date ]],N19789,RawData[Month List],$Q$6,RawData[Tour/Site],$Q$2,RawData[[Picker ID ]],$Q$3,RawData[Checker ID],$Q$4,RawData[[Error Type ]],$Q$5))</f>
        <v/>
      </c>
    </row>
    <row r="19790" spans="15:15" x14ac:dyDescent="0.25">
      <c r="O19790" s="20" t="str">
        <f>IF(N19790="","",COUNTIFS(RawData[[Date ]],N19790,RawData[Month List],$Q$6,RawData[Tour/Site],$Q$2,RawData[[Picker ID ]],$Q$3,RawData[Checker ID],$Q$4,RawData[[Error Type ]],$Q$5))</f>
        <v/>
      </c>
    </row>
    <row r="19791" spans="15:15" x14ac:dyDescent="0.25">
      <c r="O19791" s="20" t="str">
        <f>IF(N19791="","",COUNTIFS(RawData[[Date ]],N19791,RawData[Month List],$Q$6,RawData[Tour/Site],$Q$2,RawData[[Picker ID ]],$Q$3,RawData[Checker ID],$Q$4,RawData[[Error Type ]],$Q$5))</f>
        <v/>
      </c>
    </row>
    <row r="19792" spans="15:15" x14ac:dyDescent="0.25">
      <c r="O19792" s="20" t="str">
        <f>IF(N19792="","",COUNTIFS(RawData[[Date ]],N19792,RawData[Month List],$Q$6,RawData[Tour/Site],$Q$2,RawData[[Picker ID ]],$Q$3,RawData[Checker ID],$Q$4,RawData[[Error Type ]],$Q$5))</f>
        <v/>
      </c>
    </row>
    <row r="19793" spans="15:15" x14ac:dyDescent="0.25">
      <c r="O19793" s="20" t="str">
        <f>IF(N19793="","",COUNTIFS(RawData[[Date ]],N19793,RawData[Month List],$Q$6,RawData[Tour/Site],$Q$2,RawData[[Picker ID ]],$Q$3,RawData[Checker ID],$Q$4,RawData[[Error Type ]],$Q$5))</f>
        <v/>
      </c>
    </row>
    <row r="19794" spans="15:15" x14ac:dyDescent="0.25">
      <c r="O19794" s="20" t="str">
        <f>IF(N19794="","",COUNTIFS(RawData[[Date ]],N19794,RawData[Month List],$Q$6,RawData[Tour/Site],$Q$2,RawData[[Picker ID ]],$Q$3,RawData[Checker ID],$Q$4,RawData[[Error Type ]],$Q$5))</f>
        <v/>
      </c>
    </row>
    <row r="19795" spans="15:15" x14ac:dyDescent="0.25">
      <c r="O19795" s="20" t="str">
        <f>IF(N19795="","",COUNTIFS(RawData[[Date ]],N19795,RawData[Month List],$Q$6,RawData[Tour/Site],$Q$2,RawData[[Picker ID ]],$Q$3,RawData[Checker ID],$Q$4,RawData[[Error Type ]],$Q$5))</f>
        <v/>
      </c>
    </row>
    <row r="19796" spans="15:15" x14ac:dyDescent="0.25">
      <c r="O19796" s="20" t="str">
        <f>IF(N19796="","",COUNTIFS(RawData[[Date ]],N19796,RawData[Month List],$Q$6,RawData[Tour/Site],$Q$2,RawData[[Picker ID ]],$Q$3,RawData[Checker ID],$Q$4,RawData[[Error Type ]],$Q$5))</f>
        <v/>
      </c>
    </row>
    <row r="19797" spans="15:15" x14ac:dyDescent="0.25">
      <c r="O19797" s="20" t="str">
        <f>IF(N19797="","",COUNTIFS(RawData[[Date ]],N19797,RawData[Month List],$Q$6,RawData[Tour/Site],$Q$2,RawData[[Picker ID ]],$Q$3,RawData[Checker ID],$Q$4,RawData[[Error Type ]],$Q$5))</f>
        <v/>
      </c>
    </row>
    <row r="19798" spans="15:15" x14ac:dyDescent="0.25">
      <c r="O19798" s="20" t="str">
        <f>IF(N19798="","",COUNTIFS(RawData[[Date ]],N19798,RawData[Month List],$Q$6,RawData[Tour/Site],$Q$2,RawData[[Picker ID ]],$Q$3,RawData[Checker ID],$Q$4,RawData[[Error Type ]],$Q$5))</f>
        <v/>
      </c>
    </row>
    <row r="19799" spans="15:15" x14ac:dyDescent="0.25">
      <c r="O19799" s="20" t="str">
        <f>IF(N19799="","",COUNTIFS(RawData[[Date ]],N19799,RawData[Month List],$Q$6,RawData[Tour/Site],$Q$2,RawData[[Picker ID ]],$Q$3,RawData[Checker ID],$Q$4,RawData[[Error Type ]],$Q$5))</f>
        <v/>
      </c>
    </row>
    <row r="19800" spans="15:15" x14ac:dyDescent="0.25">
      <c r="O19800" s="20" t="str">
        <f>IF(N19800="","",COUNTIFS(RawData[[Date ]],N19800,RawData[Month List],$Q$6,RawData[Tour/Site],$Q$2,RawData[[Picker ID ]],$Q$3,RawData[Checker ID],$Q$4,RawData[[Error Type ]],$Q$5))</f>
        <v/>
      </c>
    </row>
    <row r="19801" spans="15:15" x14ac:dyDescent="0.25">
      <c r="O19801" s="20" t="str">
        <f>IF(N19801="","",COUNTIFS(RawData[[Date ]],N19801,RawData[Month List],$Q$6,RawData[Tour/Site],$Q$2,RawData[[Picker ID ]],$Q$3,RawData[Checker ID],$Q$4,RawData[[Error Type ]],$Q$5))</f>
        <v/>
      </c>
    </row>
    <row r="19802" spans="15:15" x14ac:dyDescent="0.25">
      <c r="O19802" s="20" t="str">
        <f>IF(N19802="","",COUNTIFS(RawData[[Date ]],N19802,RawData[Month List],$Q$6,RawData[Tour/Site],$Q$2,RawData[[Picker ID ]],$Q$3,RawData[Checker ID],$Q$4,RawData[[Error Type ]],$Q$5))</f>
        <v/>
      </c>
    </row>
    <row r="19803" spans="15:15" x14ac:dyDescent="0.25">
      <c r="O19803" s="20" t="str">
        <f>IF(N19803="","",COUNTIFS(RawData[[Date ]],N19803,RawData[Month List],$Q$6,RawData[Tour/Site],$Q$2,RawData[[Picker ID ]],$Q$3,RawData[Checker ID],$Q$4,RawData[[Error Type ]],$Q$5))</f>
        <v/>
      </c>
    </row>
    <row r="19804" spans="15:15" x14ac:dyDescent="0.25">
      <c r="O19804" s="20" t="str">
        <f>IF(N19804="","",COUNTIFS(RawData[[Date ]],N19804,RawData[Month List],$Q$6,RawData[Tour/Site],$Q$2,RawData[[Picker ID ]],$Q$3,RawData[Checker ID],$Q$4,RawData[[Error Type ]],$Q$5))</f>
        <v/>
      </c>
    </row>
    <row r="19805" spans="15:15" x14ac:dyDescent="0.25">
      <c r="O19805" s="20" t="str">
        <f>IF(N19805="","",COUNTIFS(RawData[[Date ]],N19805,RawData[Month List],$Q$6,RawData[Tour/Site],$Q$2,RawData[[Picker ID ]],$Q$3,RawData[Checker ID],$Q$4,RawData[[Error Type ]],$Q$5))</f>
        <v/>
      </c>
    </row>
    <row r="19806" spans="15:15" x14ac:dyDescent="0.25">
      <c r="O19806" s="20" t="str">
        <f>IF(N19806="","",COUNTIFS(RawData[[Date ]],N19806,RawData[Month List],$Q$6,RawData[Tour/Site],$Q$2,RawData[[Picker ID ]],$Q$3,RawData[Checker ID],$Q$4,RawData[[Error Type ]],$Q$5))</f>
        <v/>
      </c>
    </row>
    <row r="19807" spans="15:15" x14ac:dyDescent="0.25">
      <c r="O19807" s="20" t="str">
        <f>IF(N19807="","",COUNTIFS(RawData[[Date ]],N19807,RawData[Month List],$Q$6,RawData[Tour/Site],$Q$2,RawData[[Picker ID ]],$Q$3,RawData[Checker ID],$Q$4,RawData[[Error Type ]],$Q$5))</f>
        <v/>
      </c>
    </row>
    <row r="19808" spans="15:15" x14ac:dyDescent="0.25">
      <c r="O19808" s="20" t="str">
        <f>IF(N19808="","",COUNTIFS(RawData[[Date ]],N19808,RawData[Month List],$Q$6,RawData[Tour/Site],$Q$2,RawData[[Picker ID ]],$Q$3,RawData[Checker ID],$Q$4,RawData[[Error Type ]],$Q$5))</f>
        <v/>
      </c>
    </row>
    <row r="19809" spans="15:15" x14ac:dyDescent="0.25">
      <c r="O19809" s="20" t="str">
        <f>IF(N19809="","",COUNTIFS(RawData[[Date ]],N19809,RawData[Month List],$Q$6,RawData[Tour/Site],$Q$2,RawData[[Picker ID ]],$Q$3,RawData[Checker ID],$Q$4,RawData[[Error Type ]],$Q$5))</f>
        <v/>
      </c>
    </row>
    <row r="19810" spans="15:15" x14ac:dyDescent="0.25">
      <c r="O19810" s="20" t="str">
        <f>IF(N19810="","",COUNTIFS(RawData[[Date ]],N19810,RawData[Month List],$Q$6,RawData[Tour/Site],$Q$2,RawData[[Picker ID ]],$Q$3,RawData[Checker ID],$Q$4,RawData[[Error Type ]],$Q$5))</f>
        <v/>
      </c>
    </row>
    <row r="19811" spans="15:15" x14ac:dyDescent="0.25">
      <c r="O19811" s="20" t="str">
        <f>IF(N19811="","",COUNTIFS(RawData[[Date ]],N19811,RawData[Month List],$Q$6,RawData[Tour/Site],$Q$2,RawData[[Picker ID ]],$Q$3,RawData[Checker ID],$Q$4,RawData[[Error Type ]],$Q$5))</f>
        <v/>
      </c>
    </row>
    <row r="19812" spans="15:15" x14ac:dyDescent="0.25">
      <c r="O19812" s="20" t="str">
        <f>IF(N19812="","",COUNTIFS(RawData[[Date ]],N19812,RawData[Month List],$Q$6,RawData[Tour/Site],$Q$2,RawData[[Picker ID ]],$Q$3,RawData[Checker ID],$Q$4,RawData[[Error Type ]],$Q$5))</f>
        <v/>
      </c>
    </row>
    <row r="19813" spans="15:15" x14ac:dyDescent="0.25">
      <c r="O19813" s="20" t="str">
        <f>IF(N19813="","",COUNTIFS(RawData[[Date ]],N19813,RawData[Month List],$Q$6,RawData[Tour/Site],$Q$2,RawData[[Picker ID ]],$Q$3,RawData[Checker ID],$Q$4,RawData[[Error Type ]],$Q$5))</f>
        <v/>
      </c>
    </row>
    <row r="19814" spans="15:15" x14ac:dyDescent="0.25">
      <c r="O19814" s="20" t="str">
        <f>IF(N19814="","",COUNTIFS(RawData[[Date ]],N19814,RawData[Month List],$Q$6,RawData[Tour/Site],$Q$2,RawData[[Picker ID ]],$Q$3,RawData[Checker ID],$Q$4,RawData[[Error Type ]],$Q$5))</f>
        <v/>
      </c>
    </row>
    <row r="19815" spans="15:15" x14ac:dyDescent="0.25">
      <c r="O19815" s="20" t="str">
        <f>IF(N19815="","",COUNTIFS(RawData[[Date ]],N19815,RawData[Month List],$Q$6,RawData[Tour/Site],$Q$2,RawData[[Picker ID ]],$Q$3,RawData[Checker ID],$Q$4,RawData[[Error Type ]],$Q$5))</f>
        <v/>
      </c>
    </row>
    <row r="19816" spans="15:15" x14ac:dyDescent="0.25">
      <c r="O19816" s="20" t="str">
        <f>IF(N19816="","",COUNTIFS(RawData[[Date ]],N19816,RawData[Month List],$Q$6,RawData[Tour/Site],$Q$2,RawData[[Picker ID ]],$Q$3,RawData[Checker ID],$Q$4,RawData[[Error Type ]],$Q$5))</f>
        <v/>
      </c>
    </row>
    <row r="19817" spans="15:15" x14ac:dyDescent="0.25">
      <c r="O19817" s="20" t="str">
        <f>IF(N19817="","",COUNTIFS(RawData[[Date ]],N19817,RawData[Month List],$Q$6,RawData[Tour/Site],$Q$2,RawData[[Picker ID ]],$Q$3,RawData[Checker ID],$Q$4,RawData[[Error Type ]],$Q$5))</f>
        <v/>
      </c>
    </row>
    <row r="19818" spans="15:15" x14ac:dyDescent="0.25">
      <c r="O19818" s="20" t="str">
        <f>IF(N19818="","",COUNTIFS(RawData[[Date ]],N19818,RawData[Month List],$Q$6,RawData[Tour/Site],$Q$2,RawData[[Picker ID ]],$Q$3,RawData[Checker ID],$Q$4,RawData[[Error Type ]],$Q$5))</f>
        <v/>
      </c>
    </row>
    <row r="19819" spans="15:15" x14ac:dyDescent="0.25">
      <c r="O19819" s="20" t="str">
        <f>IF(N19819="","",COUNTIFS(RawData[[Date ]],N19819,RawData[Month List],$Q$6,RawData[Tour/Site],$Q$2,RawData[[Picker ID ]],$Q$3,RawData[Checker ID],$Q$4,RawData[[Error Type ]],$Q$5))</f>
        <v/>
      </c>
    </row>
    <row r="19820" spans="15:15" x14ac:dyDescent="0.25">
      <c r="O19820" s="20" t="str">
        <f>IF(N19820="","",COUNTIFS(RawData[[Date ]],N19820,RawData[Month List],$Q$6,RawData[Tour/Site],$Q$2,RawData[[Picker ID ]],$Q$3,RawData[Checker ID],$Q$4,RawData[[Error Type ]],$Q$5))</f>
        <v/>
      </c>
    </row>
    <row r="19821" spans="15:15" x14ac:dyDescent="0.25">
      <c r="O19821" s="20" t="str">
        <f>IF(N19821="","",COUNTIFS(RawData[[Date ]],N19821,RawData[Month List],$Q$6,RawData[Tour/Site],$Q$2,RawData[[Picker ID ]],$Q$3,RawData[Checker ID],$Q$4,RawData[[Error Type ]],$Q$5))</f>
        <v/>
      </c>
    </row>
    <row r="19822" spans="15:15" x14ac:dyDescent="0.25">
      <c r="O19822" s="20" t="str">
        <f>IF(N19822="","",COUNTIFS(RawData[[Date ]],N19822,RawData[Month List],$Q$6,RawData[Tour/Site],$Q$2,RawData[[Picker ID ]],$Q$3,RawData[Checker ID],$Q$4,RawData[[Error Type ]],$Q$5))</f>
        <v/>
      </c>
    </row>
    <row r="19823" spans="15:15" x14ac:dyDescent="0.25">
      <c r="O19823" s="20" t="str">
        <f>IF(N19823="","",COUNTIFS(RawData[[Date ]],N19823,RawData[Month List],$Q$6,RawData[Tour/Site],$Q$2,RawData[[Picker ID ]],$Q$3,RawData[Checker ID],$Q$4,RawData[[Error Type ]],$Q$5))</f>
        <v/>
      </c>
    </row>
    <row r="19824" spans="15:15" x14ac:dyDescent="0.25">
      <c r="O19824" s="20" t="str">
        <f>IF(N19824="","",COUNTIFS(RawData[[Date ]],N19824,RawData[Month List],$Q$6,RawData[Tour/Site],$Q$2,RawData[[Picker ID ]],$Q$3,RawData[Checker ID],$Q$4,RawData[[Error Type ]],$Q$5))</f>
        <v/>
      </c>
    </row>
    <row r="19825" spans="15:15" x14ac:dyDescent="0.25">
      <c r="O19825" s="20" t="str">
        <f>IF(N19825="","",COUNTIFS(RawData[[Date ]],N19825,RawData[Month List],$Q$6,RawData[Tour/Site],$Q$2,RawData[[Picker ID ]],$Q$3,RawData[Checker ID],$Q$4,RawData[[Error Type ]],$Q$5))</f>
        <v/>
      </c>
    </row>
    <row r="19826" spans="15:15" x14ac:dyDescent="0.25">
      <c r="O19826" s="20" t="str">
        <f>IF(N19826="","",COUNTIFS(RawData[[Date ]],N19826,RawData[Month List],$Q$6,RawData[Tour/Site],$Q$2,RawData[[Picker ID ]],$Q$3,RawData[Checker ID],$Q$4,RawData[[Error Type ]],$Q$5))</f>
        <v/>
      </c>
    </row>
    <row r="19827" spans="15:15" x14ac:dyDescent="0.25">
      <c r="O19827" s="20" t="str">
        <f>IF(N19827="","",COUNTIFS(RawData[[Date ]],N19827,RawData[Month List],$Q$6,RawData[Tour/Site],$Q$2,RawData[[Picker ID ]],$Q$3,RawData[Checker ID],$Q$4,RawData[[Error Type ]],$Q$5))</f>
        <v/>
      </c>
    </row>
    <row r="19828" spans="15:15" x14ac:dyDescent="0.25">
      <c r="O19828" s="20" t="str">
        <f>IF(N19828="","",COUNTIFS(RawData[[Date ]],N19828,RawData[Month List],$Q$6,RawData[Tour/Site],$Q$2,RawData[[Picker ID ]],$Q$3,RawData[Checker ID],$Q$4,RawData[[Error Type ]],$Q$5))</f>
        <v/>
      </c>
    </row>
    <row r="19829" spans="15:15" x14ac:dyDescent="0.25">
      <c r="O19829" s="20" t="str">
        <f>IF(N19829="","",COUNTIFS(RawData[[Date ]],N19829,RawData[Month List],$Q$6,RawData[Tour/Site],$Q$2,RawData[[Picker ID ]],$Q$3,RawData[Checker ID],$Q$4,RawData[[Error Type ]],$Q$5))</f>
        <v/>
      </c>
    </row>
    <row r="19830" spans="15:15" x14ac:dyDescent="0.25">
      <c r="O19830" s="20" t="str">
        <f>IF(N19830="","",COUNTIFS(RawData[[Date ]],N19830,RawData[Month List],$Q$6,RawData[Tour/Site],$Q$2,RawData[[Picker ID ]],$Q$3,RawData[Checker ID],$Q$4,RawData[[Error Type ]],$Q$5))</f>
        <v/>
      </c>
    </row>
    <row r="19831" spans="15:15" x14ac:dyDescent="0.25">
      <c r="O19831" s="20" t="str">
        <f>IF(N19831="","",COUNTIFS(RawData[[Date ]],N19831,RawData[Month List],$Q$6,RawData[Tour/Site],$Q$2,RawData[[Picker ID ]],$Q$3,RawData[Checker ID],$Q$4,RawData[[Error Type ]],$Q$5))</f>
        <v/>
      </c>
    </row>
    <row r="19832" spans="15:15" x14ac:dyDescent="0.25">
      <c r="O19832" s="20" t="str">
        <f>IF(N19832="","",COUNTIFS(RawData[[Date ]],N19832,RawData[Month List],$Q$6,RawData[Tour/Site],$Q$2,RawData[[Picker ID ]],$Q$3,RawData[Checker ID],$Q$4,RawData[[Error Type ]],$Q$5))</f>
        <v/>
      </c>
    </row>
    <row r="19833" spans="15:15" x14ac:dyDescent="0.25">
      <c r="O19833" s="20" t="str">
        <f>IF(N19833="","",COUNTIFS(RawData[[Date ]],N19833,RawData[Month List],$Q$6,RawData[Tour/Site],$Q$2,RawData[[Picker ID ]],$Q$3,RawData[Checker ID],$Q$4,RawData[[Error Type ]],$Q$5))</f>
        <v/>
      </c>
    </row>
    <row r="19834" spans="15:15" x14ac:dyDescent="0.25">
      <c r="O19834" s="20" t="str">
        <f>IF(N19834="","",COUNTIFS(RawData[[Date ]],N19834,RawData[Month List],$Q$6,RawData[Tour/Site],$Q$2,RawData[[Picker ID ]],$Q$3,RawData[Checker ID],$Q$4,RawData[[Error Type ]],$Q$5))</f>
        <v/>
      </c>
    </row>
    <row r="19835" spans="15:15" x14ac:dyDescent="0.25">
      <c r="O19835" s="20" t="str">
        <f>IF(N19835="","",COUNTIFS(RawData[[Date ]],N19835,RawData[Month List],$Q$6,RawData[Tour/Site],$Q$2,RawData[[Picker ID ]],$Q$3,RawData[Checker ID],$Q$4,RawData[[Error Type ]],$Q$5))</f>
        <v/>
      </c>
    </row>
    <row r="19836" spans="15:15" x14ac:dyDescent="0.25">
      <c r="O19836" s="20" t="str">
        <f>IF(N19836="","",COUNTIFS(RawData[[Date ]],N19836,RawData[Month List],$Q$6,RawData[Tour/Site],$Q$2,RawData[[Picker ID ]],$Q$3,RawData[Checker ID],$Q$4,RawData[[Error Type ]],$Q$5))</f>
        <v/>
      </c>
    </row>
    <row r="19837" spans="15:15" x14ac:dyDescent="0.25">
      <c r="O19837" s="20" t="str">
        <f>IF(N19837="","",COUNTIFS(RawData[[Date ]],N19837,RawData[Month List],$Q$6,RawData[Tour/Site],$Q$2,RawData[[Picker ID ]],$Q$3,RawData[Checker ID],$Q$4,RawData[[Error Type ]],$Q$5))</f>
        <v/>
      </c>
    </row>
    <row r="19838" spans="15:15" x14ac:dyDescent="0.25">
      <c r="O19838" s="20" t="str">
        <f>IF(N19838="","",COUNTIFS(RawData[[Date ]],N19838,RawData[Month List],$Q$6,RawData[Tour/Site],$Q$2,RawData[[Picker ID ]],$Q$3,RawData[Checker ID],$Q$4,RawData[[Error Type ]],$Q$5))</f>
        <v/>
      </c>
    </row>
    <row r="19839" spans="15:15" x14ac:dyDescent="0.25">
      <c r="O19839" s="20" t="str">
        <f>IF(N19839="","",COUNTIFS(RawData[[Date ]],N19839,RawData[Month List],$Q$6,RawData[Tour/Site],$Q$2,RawData[[Picker ID ]],$Q$3,RawData[Checker ID],$Q$4,RawData[[Error Type ]],$Q$5))</f>
        <v/>
      </c>
    </row>
    <row r="19840" spans="15:15" x14ac:dyDescent="0.25">
      <c r="O19840" s="20" t="str">
        <f>IF(N19840="","",COUNTIFS(RawData[[Date ]],N19840,RawData[Month List],$Q$6,RawData[Tour/Site],$Q$2,RawData[[Picker ID ]],$Q$3,RawData[Checker ID],$Q$4,RawData[[Error Type ]],$Q$5))</f>
        <v/>
      </c>
    </row>
    <row r="19841" spans="15:15" x14ac:dyDescent="0.25">
      <c r="O19841" s="20" t="str">
        <f>IF(N19841="","",COUNTIFS(RawData[[Date ]],N19841,RawData[Month List],$Q$6,RawData[Tour/Site],$Q$2,RawData[[Picker ID ]],$Q$3,RawData[Checker ID],$Q$4,RawData[[Error Type ]],$Q$5))</f>
        <v/>
      </c>
    </row>
    <row r="19842" spans="15:15" x14ac:dyDescent="0.25">
      <c r="O19842" s="20" t="str">
        <f>IF(N19842="","",COUNTIFS(RawData[[Date ]],N19842,RawData[Month List],$Q$6,RawData[Tour/Site],$Q$2,RawData[[Picker ID ]],$Q$3,RawData[Checker ID],$Q$4,RawData[[Error Type ]],$Q$5))</f>
        <v/>
      </c>
    </row>
    <row r="19843" spans="15:15" x14ac:dyDescent="0.25">
      <c r="O19843" s="20" t="str">
        <f>IF(N19843="","",COUNTIFS(RawData[[Date ]],N19843,RawData[Month List],$Q$6,RawData[Tour/Site],$Q$2,RawData[[Picker ID ]],$Q$3,RawData[Checker ID],$Q$4,RawData[[Error Type ]],$Q$5))</f>
        <v/>
      </c>
    </row>
    <row r="19844" spans="15:15" x14ac:dyDescent="0.25">
      <c r="O19844" s="20" t="str">
        <f>IF(N19844="","",COUNTIFS(RawData[[Date ]],N19844,RawData[Month List],$Q$6,RawData[Tour/Site],$Q$2,RawData[[Picker ID ]],$Q$3,RawData[Checker ID],$Q$4,RawData[[Error Type ]],$Q$5))</f>
        <v/>
      </c>
    </row>
    <row r="19845" spans="15:15" x14ac:dyDescent="0.25">
      <c r="O19845" s="20" t="str">
        <f>IF(N19845="","",COUNTIFS(RawData[[Date ]],N19845,RawData[Month List],$Q$6,RawData[Tour/Site],$Q$2,RawData[[Picker ID ]],$Q$3,RawData[Checker ID],$Q$4,RawData[[Error Type ]],$Q$5))</f>
        <v/>
      </c>
    </row>
    <row r="19846" spans="15:15" x14ac:dyDescent="0.25">
      <c r="O19846" s="20" t="str">
        <f>IF(N19846="","",COUNTIFS(RawData[[Date ]],N19846,RawData[Month List],$Q$6,RawData[Tour/Site],$Q$2,RawData[[Picker ID ]],$Q$3,RawData[Checker ID],$Q$4,RawData[[Error Type ]],$Q$5))</f>
        <v/>
      </c>
    </row>
    <row r="19847" spans="15:15" x14ac:dyDescent="0.25">
      <c r="O19847" s="20" t="str">
        <f>IF(N19847="","",COUNTIFS(RawData[[Date ]],N19847,RawData[Month List],$Q$6,RawData[Tour/Site],$Q$2,RawData[[Picker ID ]],$Q$3,RawData[Checker ID],$Q$4,RawData[[Error Type ]],$Q$5))</f>
        <v/>
      </c>
    </row>
    <row r="19848" spans="15:15" x14ac:dyDescent="0.25">
      <c r="O19848" s="20" t="str">
        <f>IF(N19848="","",COUNTIFS(RawData[[Date ]],N19848,RawData[Month List],$Q$6,RawData[Tour/Site],$Q$2,RawData[[Picker ID ]],$Q$3,RawData[Checker ID],$Q$4,RawData[[Error Type ]],$Q$5))</f>
        <v/>
      </c>
    </row>
    <row r="19849" spans="15:15" x14ac:dyDescent="0.25">
      <c r="O19849" s="20" t="str">
        <f>IF(N19849="","",COUNTIFS(RawData[[Date ]],N19849,RawData[Month List],$Q$6,RawData[Tour/Site],$Q$2,RawData[[Picker ID ]],$Q$3,RawData[Checker ID],$Q$4,RawData[[Error Type ]],$Q$5))</f>
        <v/>
      </c>
    </row>
    <row r="19850" spans="15:15" x14ac:dyDescent="0.25">
      <c r="O19850" s="20" t="str">
        <f>IF(N19850="","",COUNTIFS(RawData[[Date ]],N19850,RawData[Month List],$Q$6,RawData[Tour/Site],$Q$2,RawData[[Picker ID ]],$Q$3,RawData[Checker ID],$Q$4,RawData[[Error Type ]],$Q$5))</f>
        <v/>
      </c>
    </row>
    <row r="19851" spans="15:15" x14ac:dyDescent="0.25">
      <c r="O19851" s="20" t="str">
        <f>IF(N19851="","",COUNTIFS(RawData[[Date ]],N19851,RawData[Month List],$Q$6,RawData[Tour/Site],$Q$2,RawData[[Picker ID ]],$Q$3,RawData[Checker ID],$Q$4,RawData[[Error Type ]],$Q$5))</f>
        <v/>
      </c>
    </row>
    <row r="19852" spans="15:15" x14ac:dyDescent="0.25">
      <c r="O19852" s="20" t="str">
        <f>IF(N19852="","",COUNTIFS(RawData[[Date ]],N19852,RawData[Month List],$Q$6,RawData[Tour/Site],$Q$2,RawData[[Picker ID ]],$Q$3,RawData[Checker ID],$Q$4,RawData[[Error Type ]],$Q$5))</f>
        <v/>
      </c>
    </row>
    <row r="19853" spans="15:15" x14ac:dyDescent="0.25">
      <c r="O19853" s="20" t="str">
        <f>IF(N19853="","",COUNTIFS(RawData[[Date ]],N19853,RawData[Month List],$Q$6,RawData[Tour/Site],$Q$2,RawData[[Picker ID ]],$Q$3,RawData[Checker ID],$Q$4,RawData[[Error Type ]],$Q$5))</f>
        <v/>
      </c>
    </row>
    <row r="19854" spans="15:15" x14ac:dyDescent="0.25">
      <c r="O19854" s="20" t="str">
        <f>IF(N19854="","",COUNTIFS(RawData[[Date ]],N19854,RawData[Month List],$Q$6,RawData[Tour/Site],$Q$2,RawData[[Picker ID ]],$Q$3,RawData[Checker ID],$Q$4,RawData[[Error Type ]],$Q$5))</f>
        <v/>
      </c>
    </row>
    <row r="19855" spans="15:15" x14ac:dyDescent="0.25">
      <c r="O19855" s="20" t="str">
        <f>IF(N19855="","",COUNTIFS(RawData[[Date ]],N19855,RawData[Month List],$Q$6,RawData[Tour/Site],$Q$2,RawData[[Picker ID ]],$Q$3,RawData[Checker ID],$Q$4,RawData[[Error Type ]],$Q$5))</f>
        <v/>
      </c>
    </row>
    <row r="19856" spans="15:15" x14ac:dyDescent="0.25">
      <c r="O19856" s="20" t="str">
        <f>IF(N19856="","",COUNTIFS(RawData[[Date ]],N19856,RawData[Month List],$Q$6,RawData[Tour/Site],$Q$2,RawData[[Picker ID ]],$Q$3,RawData[Checker ID],$Q$4,RawData[[Error Type ]],$Q$5))</f>
        <v/>
      </c>
    </row>
    <row r="19857" spans="15:15" x14ac:dyDescent="0.25">
      <c r="O19857" s="20" t="str">
        <f>IF(N19857="","",COUNTIFS(RawData[[Date ]],N19857,RawData[Month List],$Q$6,RawData[Tour/Site],$Q$2,RawData[[Picker ID ]],$Q$3,RawData[Checker ID],$Q$4,RawData[[Error Type ]],$Q$5))</f>
        <v/>
      </c>
    </row>
    <row r="19858" spans="15:15" x14ac:dyDescent="0.25">
      <c r="O19858" s="20" t="str">
        <f>IF(N19858="","",COUNTIFS(RawData[[Date ]],N19858,RawData[Month List],$Q$6,RawData[Tour/Site],$Q$2,RawData[[Picker ID ]],$Q$3,RawData[Checker ID],$Q$4,RawData[[Error Type ]],$Q$5))</f>
        <v/>
      </c>
    </row>
    <row r="19859" spans="15:15" x14ac:dyDescent="0.25">
      <c r="O19859" s="20" t="str">
        <f>IF(N19859="","",COUNTIFS(RawData[[Date ]],N19859,RawData[Month List],$Q$6,RawData[Tour/Site],$Q$2,RawData[[Picker ID ]],$Q$3,RawData[Checker ID],$Q$4,RawData[[Error Type ]],$Q$5))</f>
        <v/>
      </c>
    </row>
    <row r="19860" spans="15:15" x14ac:dyDescent="0.25">
      <c r="O19860" s="20" t="str">
        <f>IF(N19860="","",COUNTIFS(RawData[[Date ]],N19860,RawData[Month List],$Q$6,RawData[Tour/Site],$Q$2,RawData[[Picker ID ]],$Q$3,RawData[Checker ID],$Q$4,RawData[[Error Type ]],$Q$5))</f>
        <v/>
      </c>
    </row>
    <row r="19861" spans="15:15" x14ac:dyDescent="0.25">
      <c r="O19861" s="20" t="str">
        <f>IF(N19861="","",COUNTIFS(RawData[[Date ]],N19861,RawData[Month List],$Q$6,RawData[Tour/Site],$Q$2,RawData[[Picker ID ]],$Q$3,RawData[Checker ID],$Q$4,RawData[[Error Type ]],$Q$5))</f>
        <v/>
      </c>
    </row>
    <row r="19862" spans="15:15" x14ac:dyDescent="0.25">
      <c r="O19862" s="20" t="str">
        <f>IF(N19862="","",COUNTIFS(RawData[[Date ]],N19862,RawData[Month List],$Q$6,RawData[Tour/Site],$Q$2,RawData[[Picker ID ]],$Q$3,RawData[Checker ID],$Q$4,RawData[[Error Type ]],$Q$5))</f>
        <v/>
      </c>
    </row>
    <row r="19863" spans="15:15" x14ac:dyDescent="0.25">
      <c r="O19863" s="20" t="str">
        <f>IF(N19863="","",COUNTIFS(RawData[[Date ]],N19863,RawData[Month List],$Q$6,RawData[Tour/Site],$Q$2,RawData[[Picker ID ]],$Q$3,RawData[Checker ID],$Q$4,RawData[[Error Type ]],$Q$5))</f>
        <v/>
      </c>
    </row>
    <row r="19864" spans="15:15" x14ac:dyDescent="0.25">
      <c r="O19864" s="20" t="str">
        <f>IF(N19864="","",COUNTIFS(RawData[[Date ]],N19864,RawData[Month List],$Q$6,RawData[Tour/Site],$Q$2,RawData[[Picker ID ]],$Q$3,RawData[Checker ID],$Q$4,RawData[[Error Type ]],$Q$5))</f>
        <v/>
      </c>
    </row>
    <row r="19865" spans="15:15" x14ac:dyDescent="0.25">
      <c r="O19865" s="20" t="str">
        <f>IF(N19865="","",COUNTIFS(RawData[[Date ]],N19865,RawData[Month List],$Q$6,RawData[Tour/Site],$Q$2,RawData[[Picker ID ]],$Q$3,RawData[Checker ID],$Q$4,RawData[[Error Type ]],$Q$5))</f>
        <v/>
      </c>
    </row>
    <row r="19866" spans="15:15" x14ac:dyDescent="0.25">
      <c r="O19866" s="20" t="str">
        <f>IF(N19866="","",COUNTIFS(RawData[[Date ]],N19866,RawData[Month List],$Q$6,RawData[Tour/Site],$Q$2,RawData[[Picker ID ]],$Q$3,RawData[Checker ID],$Q$4,RawData[[Error Type ]],$Q$5))</f>
        <v/>
      </c>
    </row>
    <row r="19867" spans="15:15" x14ac:dyDescent="0.25">
      <c r="O19867" s="20" t="str">
        <f>IF(N19867="","",COUNTIFS(RawData[[Date ]],N19867,RawData[Month List],$Q$6,RawData[Tour/Site],$Q$2,RawData[[Picker ID ]],$Q$3,RawData[Checker ID],$Q$4,RawData[[Error Type ]],$Q$5))</f>
        <v/>
      </c>
    </row>
    <row r="19868" spans="15:15" x14ac:dyDescent="0.25">
      <c r="O19868" s="20" t="str">
        <f>IF(N19868="","",COUNTIFS(RawData[[Date ]],N19868,RawData[Month List],$Q$6,RawData[Tour/Site],$Q$2,RawData[[Picker ID ]],$Q$3,RawData[Checker ID],$Q$4,RawData[[Error Type ]],$Q$5))</f>
        <v/>
      </c>
    </row>
    <row r="19869" spans="15:15" x14ac:dyDescent="0.25">
      <c r="O19869" s="20" t="str">
        <f>IF(N19869="","",COUNTIFS(RawData[[Date ]],N19869,RawData[Month List],$Q$6,RawData[Tour/Site],$Q$2,RawData[[Picker ID ]],$Q$3,RawData[Checker ID],$Q$4,RawData[[Error Type ]],$Q$5))</f>
        <v/>
      </c>
    </row>
    <row r="19870" spans="15:15" x14ac:dyDescent="0.25">
      <c r="O19870" s="20" t="str">
        <f>IF(N19870="","",COUNTIFS(RawData[[Date ]],N19870,RawData[Month List],$Q$6,RawData[Tour/Site],$Q$2,RawData[[Picker ID ]],$Q$3,RawData[Checker ID],$Q$4,RawData[[Error Type ]],$Q$5))</f>
        <v/>
      </c>
    </row>
    <row r="19871" spans="15:15" x14ac:dyDescent="0.25">
      <c r="O19871" s="20" t="str">
        <f>IF(N19871="","",COUNTIFS(RawData[[Date ]],N19871,RawData[Month List],$Q$6,RawData[Tour/Site],$Q$2,RawData[[Picker ID ]],$Q$3,RawData[Checker ID],$Q$4,RawData[[Error Type ]],$Q$5))</f>
        <v/>
      </c>
    </row>
    <row r="19872" spans="15:15" x14ac:dyDescent="0.25">
      <c r="O19872" s="20" t="str">
        <f>IF(N19872="","",COUNTIFS(RawData[[Date ]],N19872,RawData[Month List],$Q$6,RawData[Tour/Site],$Q$2,RawData[[Picker ID ]],$Q$3,RawData[Checker ID],$Q$4,RawData[[Error Type ]],$Q$5))</f>
        <v/>
      </c>
    </row>
    <row r="19873" spans="15:15" x14ac:dyDescent="0.25">
      <c r="O19873" s="20" t="str">
        <f>IF(N19873="","",COUNTIFS(RawData[[Date ]],N19873,RawData[Month List],$Q$6,RawData[Tour/Site],$Q$2,RawData[[Picker ID ]],$Q$3,RawData[Checker ID],$Q$4,RawData[[Error Type ]],$Q$5))</f>
        <v/>
      </c>
    </row>
    <row r="19874" spans="15:15" x14ac:dyDescent="0.25">
      <c r="O19874" s="20" t="str">
        <f>IF(N19874="","",COUNTIFS(RawData[[Date ]],N19874,RawData[Month List],$Q$6,RawData[Tour/Site],$Q$2,RawData[[Picker ID ]],$Q$3,RawData[Checker ID],$Q$4,RawData[[Error Type ]],$Q$5))</f>
        <v/>
      </c>
    </row>
    <row r="19875" spans="15:15" x14ac:dyDescent="0.25">
      <c r="O19875" s="20" t="str">
        <f>IF(N19875="","",COUNTIFS(RawData[[Date ]],N19875,RawData[Month List],$Q$6,RawData[Tour/Site],$Q$2,RawData[[Picker ID ]],$Q$3,RawData[Checker ID],$Q$4,RawData[[Error Type ]],$Q$5))</f>
        <v/>
      </c>
    </row>
    <row r="19876" spans="15:15" x14ac:dyDescent="0.25">
      <c r="O19876" s="20" t="str">
        <f>IF(N19876="","",COUNTIFS(RawData[[Date ]],N19876,RawData[Month List],$Q$6,RawData[Tour/Site],$Q$2,RawData[[Picker ID ]],$Q$3,RawData[Checker ID],$Q$4,RawData[[Error Type ]],$Q$5))</f>
        <v/>
      </c>
    </row>
    <row r="19877" spans="15:15" x14ac:dyDescent="0.25">
      <c r="O19877" s="20" t="str">
        <f>IF(N19877="","",COUNTIFS(RawData[[Date ]],N19877,RawData[Month List],$Q$6,RawData[Tour/Site],$Q$2,RawData[[Picker ID ]],$Q$3,RawData[Checker ID],$Q$4,RawData[[Error Type ]],$Q$5))</f>
        <v/>
      </c>
    </row>
    <row r="19878" spans="15:15" x14ac:dyDescent="0.25">
      <c r="O19878" s="20" t="str">
        <f>IF(N19878="","",COUNTIFS(RawData[[Date ]],N19878,RawData[Month List],$Q$6,RawData[Tour/Site],$Q$2,RawData[[Picker ID ]],$Q$3,RawData[Checker ID],$Q$4,RawData[[Error Type ]],$Q$5))</f>
        <v/>
      </c>
    </row>
    <row r="19879" spans="15:15" x14ac:dyDescent="0.25">
      <c r="O19879" s="20" t="str">
        <f>IF(N19879="","",COUNTIFS(RawData[[Date ]],N19879,RawData[Month List],$Q$6,RawData[Tour/Site],$Q$2,RawData[[Picker ID ]],$Q$3,RawData[Checker ID],$Q$4,RawData[[Error Type ]],$Q$5))</f>
        <v/>
      </c>
    </row>
    <row r="19880" spans="15:15" x14ac:dyDescent="0.25">
      <c r="O19880" s="20" t="str">
        <f>IF(N19880="","",COUNTIFS(RawData[[Date ]],N19880,RawData[Month List],$Q$6,RawData[Tour/Site],$Q$2,RawData[[Picker ID ]],$Q$3,RawData[Checker ID],$Q$4,RawData[[Error Type ]],$Q$5))</f>
        <v/>
      </c>
    </row>
    <row r="19881" spans="15:15" x14ac:dyDescent="0.25">
      <c r="O19881" s="20" t="str">
        <f>IF(N19881="","",COUNTIFS(RawData[[Date ]],N19881,RawData[Month List],$Q$6,RawData[Tour/Site],$Q$2,RawData[[Picker ID ]],$Q$3,RawData[Checker ID],$Q$4,RawData[[Error Type ]],$Q$5))</f>
        <v/>
      </c>
    </row>
    <row r="19882" spans="15:15" x14ac:dyDescent="0.25">
      <c r="O19882" s="20" t="str">
        <f>IF(N19882="","",COUNTIFS(RawData[[Date ]],N19882,RawData[Month List],$Q$6,RawData[Tour/Site],$Q$2,RawData[[Picker ID ]],$Q$3,RawData[Checker ID],$Q$4,RawData[[Error Type ]],$Q$5))</f>
        <v/>
      </c>
    </row>
    <row r="19883" spans="15:15" x14ac:dyDescent="0.25">
      <c r="O19883" s="20" t="str">
        <f>IF(N19883="","",COUNTIFS(RawData[[Date ]],N19883,RawData[Month List],$Q$6,RawData[Tour/Site],$Q$2,RawData[[Picker ID ]],$Q$3,RawData[Checker ID],$Q$4,RawData[[Error Type ]],$Q$5))</f>
        <v/>
      </c>
    </row>
    <row r="19884" spans="15:15" x14ac:dyDescent="0.25">
      <c r="O19884" s="20" t="str">
        <f>IF(N19884="","",COUNTIFS(RawData[[Date ]],N19884,RawData[Month List],$Q$6,RawData[Tour/Site],$Q$2,RawData[[Picker ID ]],$Q$3,RawData[Checker ID],$Q$4,RawData[[Error Type ]],$Q$5))</f>
        <v/>
      </c>
    </row>
    <row r="19885" spans="15:15" x14ac:dyDescent="0.25">
      <c r="O19885" s="20" t="str">
        <f>IF(N19885="","",COUNTIFS(RawData[[Date ]],N19885,RawData[Month List],$Q$6,RawData[Tour/Site],$Q$2,RawData[[Picker ID ]],$Q$3,RawData[Checker ID],$Q$4,RawData[[Error Type ]],$Q$5))</f>
        <v/>
      </c>
    </row>
    <row r="19886" spans="15:15" x14ac:dyDescent="0.25">
      <c r="O19886" s="20" t="str">
        <f>IF(N19886="","",COUNTIFS(RawData[[Date ]],N19886,RawData[Month List],$Q$6,RawData[Tour/Site],$Q$2,RawData[[Picker ID ]],$Q$3,RawData[Checker ID],$Q$4,RawData[[Error Type ]],$Q$5))</f>
        <v/>
      </c>
    </row>
    <row r="19887" spans="15:15" x14ac:dyDescent="0.25">
      <c r="O19887" s="20" t="str">
        <f>IF(N19887="","",COUNTIFS(RawData[[Date ]],N19887,RawData[Month List],$Q$6,RawData[Tour/Site],$Q$2,RawData[[Picker ID ]],$Q$3,RawData[Checker ID],$Q$4,RawData[[Error Type ]],$Q$5))</f>
        <v/>
      </c>
    </row>
    <row r="19888" spans="15:15" x14ac:dyDescent="0.25">
      <c r="O19888" s="20" t="str">
        <f>IF(N19888="","",COUNTIFS(RawData[[Date ]],N19888,RawData[Month List],$Q$6,RawData[Tour/Site],$Q$2,RawData[[Picker ID ]],$Q$3,RawData[Checker ID],$Q$4,RawData[[Error Type ]],$Q$5))</f>
        <v/>
      </c>
    </row>
    <row r="19889" spans="15:15" x14ac:dyDescent="0.25">
      <c r="O19889" s="20" t="str">
        <f>IF(N19889="","",COUNTIFS(RawData[[Date ]],N19889,RawData[Month List],$Q$6,RawData[Tour/Site],$Q$2,RawData[[Picker ID ]],$Q$3,RawData[Checker ID],$Q$4,RawData[[Error Type ]],$Q$5))</f>
        <v/>
      </c>
    </row>
    <row r="19890" spans="15:15" x14ac:dyDescent="0.25">
      <c r="O19890" s="20" t="str">
        <f>IF(N19890="","",COUNTIFS(RawData[[Date ]],N19890,RawData[Month List],$Q$6,RawData[Tour/Site],$Q$2,RawData[[Picker ID ]],$Q$3,RawData[Checker ID],$Q$4,RawData[[Error Type ]],$Q$5))</f>
        <v/>
      </c>
    </row>
    <row r="19891" spans="15:15" x14ac:dyDescent="0.25">
      <c r="O19891" s="20" t="str">
        <f>IF(N19891="","",COUNTIFS(RawData[[Date ]],N19891,RawData[Month List],$Q$6,RawData[Tour/Site],$Q$2,RawData[[Picker ID ]],$Q$3,RawData[Checker ID],$Q$4,RawData[[Error Type ]],$Q$5))</f>
        <v/>
      </c>
    </row>
    <row r="19892" spans="15:15" x14ac:dyDescent="0.25">
      <c r="O19892" s="20" t="str">
        <f>IF(N19892="","",COUNTIFS(RawData[[Date ]],N19892,RawData[Month List],$Q$6,RawData[Tour/Site],$Q$2,RawData[[Picker ID ]],$Q$3,RawData[Checker ID],$Q$4,RawData[[Error Type ]],$Q$5))</f>
        <v/>
      </c>
    </row>
    <row r="19893" spans="15:15" x14ac:dyDescent="0.25">
      <c r="O19893" s="20" t="str">
        <f>IF(N19893="","",COUNTIFS(RawData[[Date ]],N19893,RawData[Month List],$Q$6,RawData[Tour/Site],$Q$2,RawData[[Picker ID ]],$Q$3,RawData[Checker ID],$Q$4,RawData[[Error Type ]],$Q$5))</f>
        <v/>
      </c>
    </row>
    <row r="19894" spans="15:15" x14ac:dyDescent="0.25">
      <c r="O19894" s="20" t="str">
        <f>IF(N19894="","",COUNTIFS(RawData[[Date ]],N19894,RawData[Month List],$Q$6,RawData[Tour/Site],$Q$2,RawData[[Picker ID ]],$Q$3,RawData[Checker ID],$Q$4,RawData[[Error Type ]],$Q$5))</f>
        <v/>
      </c>
    </row>
    <row r="19895" spans="15:15" x14ac:dyDescent="0.25">
      <c r="O19895" s="20" t="str">
        <f>IF(N19895="","",COUNTIFS(RawData[[Date ]],N19895,RawData[Month List],$Q$6,RawData[Tour/Site],$Q$2,RawData[[Picker ID ]],$Q$3,RawData[Checker ID],$Q$4,RawData[[Error Type ]],$Q$5))</f>
        <v/>
      </c>
    </row>
    <row r="19896" spans="15:15" x14ac:dyDescent="0.25">
      <c r="O19896" s="20" t="str">
        <f>IF(N19896="","",COUNTIFS(RawData[[Date ]],N19896,RawData[Month List],$Q$6,RawData[Tour/Site],$Q$2,RawData[[Picker ID ]],$Q$3,RawData[Checker ID],$Q$4,RawData[[Error Type ]],$Q$5))</f>
        <v/>
      </c>
    </row>
    <row r="19897" spans="15:15" x14ac:dyDescent="0.25">
      <c r="O19897" s="20" t="str">
        <f>IF(N19897="","",COUNTIFS(RawData[[Date ]],N19897,RawData[Month List],$Q$6,RawData[Tour/Site],$Q$2,RawData[[Picker ID ]],$Q$3,RawData[Checker ID],$Q$4,RawData[[Error Type ]],$Q$5))</f>
        <v/>
      </c>
    </row>
    <row r="19898" spans="15:15" x14ac:dyDescent="0.25">
      <c r="O19898" s="20" t="str">
        <f>IF(N19898="","",COUNTIFS(RawData[[Date ]],N19898,RawData[Month List],$Q$6,RawData[Tour/Site],$Q$2,RawData[[Picker ID ]],$Q$3,RawData[Checker ID],$Q$4,RawData[[Error Type ]],$Q$5))</f>
        <v/>
      </c>
    </row>
    <row r="19899" spans="15:15" x14ac:dyDescent="0.25">
      <c r="O19899" s="20" t="str">
        <f>IF(N19899="","",COUNTIFS(RawData[[Date ]],N19899,RawData[Month List],$Q$6,RawData[Tour/Site],$Q$2,RawData[[Picker ID ]],$Q$3,RawData[Checker ID],$Q$4,RawData[[Error Type ]],$Q$5))</f>
        <v/>
      </c>
    </row>
    <row r="19900" spans="15:15" x14ac:dyDescent="0.25">
      <c r="O19900" s="20" t="str">
        <f>IF(N19900="","",COUNTIFS(RawData[[Date ]],N19900,RawData[Month List],$Q$6,RawData[Tour/Site],$Q$2,RawData[[Picker ID ]],$Q$3,RawData[Checker ID],$Q$4,RawData[[Error Type ]],$Q$5))</f>
        <v/>
      </c>
    </row>
    <row r="19901" spans="15:15" x14ac:dyDescent="0.25">
      <c r="O19901" s="20" t="str">
        <f>IF(N19901="","",COUNTIFS(RawData[[Date ]],N19901,RawData[Month List],$Q$6,RawData[Tour/Site],$Q$2,RawData[[Picker ID ]],$Q$3,RawData[Checker ID],$Q$4,RawData[[Error Type ]],$Q$5))</f>
        <v/>
      </c>
    </row>
    <row r="19902" spans="15:15" x14ac:dyDescent="0.25">
      <c r="O19902" s="20" t="str">
        <f>IF(N19902="","",COUNTIFS(RawData[[Date ]],N19902,RawData[Month List],$Q$6,RawData[Tour/Site],$Q$2,RawData[[Picker ID ]],$Q$3,RawData[Checker ID],$Q$4,RawData[[Error Type ]],$Q$5))</f>
        <v/>
      </c>
    </row>
    <row r="19903" spans="15:15" x14ac:dyDescent="0.25">
      <c r="O19903" s="20" t="str">
        <f>IF(N19903="","",COUNTIFS(RawData[[Date ]],N19903,RawData[Month List],$Q$6,RawData[Tour/Site],$Q$2,RawData[[Picker ID ]],$Q$3,RawData[Checker ID],$Q$4,RawData[[Error Type ]],$Q$5))</f>
        <v/>
      </c>
    </row>
    <row r="19904" spans="15:15" x14ac:dyDescent="0.25">
      <c r="O19904" s="20" t="str">
        <f>IF(N19904="","",COUNTIFS(RawData[[Date ]],N19904,RawData[Month List],$Q$6,RawData[Tour/Site],$Q$2,RawData[[Picker ID ]],$Q$3,RawData[Checker ID],$Q$4,RawData[[Error Type ]],$Q$5))</f>
        <v/>
      </c>
    </row>
    <row r="19905" spans="15:15" x14ac:dyDescent="0.25">
      <c r="O19905" s="20" t="str">
        <f>IF(N19905="","",COUNTIFS(RawData[[Date ]],N19905,RawData[Month List],$Q$6,RawData[Tour/Site],$Q$2,RawData[[Picker ID ]],$Q$3,RawData[Checker ID],$Q$4,RawData[[Error Type ]],$Q$5))</f>
        <v/>
      </c>
    </row>
    <row r="19906" spans="15:15" x14ac:dyDescent="0.25">
      <c r="O19906" s="20" t="str">
        <f>IF(N19906="","",COUNTIFS(RawData[[Date ]],N19906,RawData[Month List],$Q$6,RawData[Tour/Site],$Q$2,RawData[[Picker ID ]],$Q$3,RawData[Checker ID],$Q$4,RawData[[Error Type ]],$Q$5))</f>
        <v/>
      </c>
    </row>
    <row r="19907" spans="15:15" x14ac:dyDescent="0.25">
      <c r="O19907" s="20" t="str">
        <f>IF(N19907="","",COUNTIFS(RawData[[Date ]],N19907,RawData[Month List],$Q$6,RawData[Tour/Site],$Q$2,RawData[[Picker ID ]],$Q$3,RawData[Checker ID],$Q$4,RawData[[Error Type ]],$Q$5))</f>
        <v/>
      </c>
    </row>
    <row r="19908" spans="15:15" x14ac:dyDescent="0.25">
      <c r="O19908" s="20" t="str">
        <f>IF(N19908="","",COUNTIFS(RawData[[Date ]],N19908,RawData[Month List],$Q$6,RawData[Tour/Site],$Q$2,RawData[[Picker ID ]],$Q$3,RawData[Checker ID],$Q$4,RawData[[Error Type ]],$Q$5))</f>
        <v/>
      </c>
    </row>
    <row r="19909" spans="15:15" x14ac:dyDescent="0.25">
      <c r="O19909" s="20" t="str">
        <f>IF(N19909="","",COUNTIFS(RawData[[Date ]],N19909,RawData[Month List],$Q$6,RawData[Tour/Site],$Q$2,RawData[[Picker ID ]],$Q$3,RawData[Checker ID],$Q$4,RawData[[Error Type ]],$Q$5))</f>
        <v/>
      </c>
    </row>
    <row r="19910" spans="15:15" x14ac:dyDescent="0.25">
      <c r="O19910" s="20" t="str">
        <f>IF(N19910="","",COUNTIFS(RawData[[Date ]],N19910,RawData[Month List],$Q$6,RawData[Tour/Site],$Q$2,RawData[[Picker ID ]],$Q$3,RawData[Checker ID],$Q$4,RawData[[Error Type ]],$Q$5))</f>
        <v/>
      </c>
    </row>
    <row r="19911" spans="15:15" x14ac:dyDescent="0.25">
      <c r="O19911" s="20" t="str">
        <f>IF(N19911="","",COUNTIFS(RawData[[Date ]],N19911,RawData[Month List],$Q$6,RawData[Tour/Site],$Q$2,RawData[[Picker ID ]],$Q$3,RawData[Checker ID],$Q$4,RawData[[Error Type ]],$Q$5))</f>
        <v/>
      </c>
    </row>
    <row r="19912" spans="15:15" x14ac:dyDescent="0.25">
      <c r="O19912" s="20" t="str">
        <f>IF(N19912="","",COUNTIFS(RawData[[Date ]],N19912,RawData[Month List],$Q$6,RawData[Tour/Site],$Q$2,RawData[[Picker ID ]],$Q$3,RawData[Checker ID],$Q$4,RawData[[Error Type ]],$Q$5))</f>
        <v/>
      </c>
    </row>
    <row r="19913" spans="15:15" x14ac:dyDescent="0.25">
      <c r="O19913" s="20" t="str">
        <f>IF(N19913="","",COUNTIFS(RawData[[Date ]],N19913,RawData[Month List],$Q$6,RawData[Tour/Site],$Q$2,RawData[[Picker ID ]],$Q$3,RawData[Checker ID],$Q$4,RawData[[Error Type ]],$Q$5))</f>
        <v/>
      </c>
    </row>
    <row r="19914" spans="15:15" x14ac:dyDescent="0.25">
      <c r="O19914" s="20" t="str">
        <f>IF(N19914="","",COUNTIFS(RawData[[Date ]],N19914,RawData[Month List],$Q$6,RawData[Tour/Site],$Q$2,RawData[[Picker ID ]],$Q$3,RawData[Checker ID],$Q$4,RawData[[Error Type ]],$Q$5))</f>
        <v/>
      </c>
    </row>
    <row r="19915" spans="15:15" x14ac:dyDescent="0.25">
      <c r="O19915" s="20" t="str">
        <f>IF(N19915="","",COUNTIFS(RawData[[Date ]],N19915,RawData[Month List],$Q$6,RawData[Tour/Site],$Q$2,RawData[[Picker ID ]],$Q$3,RawData[Checker ID],$Q$4,RawData[[Error Type ]],$Q$5))</f>
        <v/>
      </c>
    </row>
    <row r="19916" spans="15:15" x14ac:dyDescent="0.25">
      <c r="O19916" s="20" t="str">
        <f>IF(N19916="","",COUNTIFS(RawData[[Date ]],N19916,RawData[Month List],$Q$6,RawData[Tour/Site],$Q$2,RawData[[Picker ID ]],$Q$3,RawData[Checker ID],$Q$4,RawData[[Error Type ]],$Q$5))</f>
        <v/>
      </c>
    </row>
    <row r="19917" spans="15:15" x14ac:dyDescent="0.25">
      <c r="O19917" s="20" t="str">
        <f>IF(N19917="","",COUNTIFS(RawData[[Date ]],N19917,RawData[Month List],$Q$6,RawData[Tour/Site],$Q$2,RawData[[Picker ID ]],$Q$3,RawData[Checker ID],$Q$4,RawData[[Error Type ]],$Q$5))</f>
        <v/>
      </c>
    </row>
    <row r="19918" spans="15:15" x14ac:dyDescent="0.25">
      <c r="O19918" s="20" t="str">
        <f>IF(N19918="","",COUNTIFS(RawData[[Date ]],N19918,RawData[Month List],$Q$6,RawData[Tour/Site],$Q$2,RawData[[Picker ID ]],$Q$3,RawData[Checker ID],$Q$4,RawData[[Error Type ]],$Q$5))</f>
        <v/>
      </c>
    </row>
    <row r="19919" spans="15:15" x14ac:dyDescent="0.25">
      <c r="O19919" s="20" t="str">
        <f>IF(N19919="","",COUNTIFS(RawData[[Date ]],N19919,RawData[Month List],$Q$6,RawData[Tour/Site],$Q$2,RawData[[Picker ID ]],$Q$3,RawData[Checker ID],$Q$4,RawData[[Error Type ]],$Q$5))</f>
        <v/>
      </c>
    </row>
    <row r="19920" spans="15:15" x14ac:dyDescent="0.25">
      <c r="O19920" s="20" t="str">
        <f>IF(N19920="","",COUNTIFS(RawData[[Date ]],N19920,RawData[Month List],$Q$6,RawData[Tour/Site],$Q$2,RawData[[Picker ID ]],$Q$3,RawData[Checker ID],$Q$4,RawData[[Error Type ]],$Q$5))</f>
        <v/>
      </c>
    </row>
    <row r="19921" spans="15:15" x14ac:dyDescent="0.25">
      <c r="O19921" s="20" t="str">
        <f>IF(N19921="","",COUNTIFS(RawData[[Date ]],N19921,RawData[Month List],$Q$6,RawData[Tour/Site],$Q$2,RawData[[Picker ID ]],$Q$3,RawData[Checker ID],$Q$4,RawData[[Error Type ]],$Q$5))</f>
        <v/>
      </c>
    </row>
    <row r="19922" spans="15:15" x14ac:dyDescent="0.25">
      <c r="O19922" s="20" t="str">
        <f>IF(N19922="","",COUNTIFS(RawData[[Date ]],N19922,RawData[Month List],$Q$6,RawData[Tour/Site],$Q$2,RawData[[Picker ID ]],$Q$3,RawData[Checker ID],$Q$4,RawData[[Error Type ]],$Q$5))</f>
        <v/>
      </c>
    </row>
    <row r="19923" spans="15:15" x14ac:dyDescent="0.25">
      <c r="O19923" s="20" t="str">
        <f>IF(N19923="","",COUNTIFS(RawData[[Date ]],N19923,RawData[Month List],$Q$6,RawData[Tour/Site],$Q$2,RawData[[Picker ID ]],$Q$3,RawData[Checker ID],$Q$4,RawData[[Error Type ]],$Q$5))</f>
        <v/>
      </c>
    </row>
    <row r="19924" spans="15:15" x14ac:dyDescent="0.25">
      <c r="O19924" s="20" t="str">
        <f>IF(N19924="","",COUNTIFS(RawData[[Date ]],N19924,RawData[Month List],$Q$6,RawData[Tour/Site],$Q$2,RawData[[Picker ID ]],$Q$3,RawData[Checker ID],$Q$4,RawData[[Error Type ]],$Q$5))</f>
        <v/>
      </c>
    </row>
    <row r="19925" spans="15:15" x14ac:dyDescent="0.25">
      <c r="O19925" s="20" t="str">
        <f>IF(N19925="","",COUNTIFS(RawData[[Date ]],N19925,RawData[Month List],$Q$6,RawData[Tour/Site],$Q$2,RawData[[Picker ID ]],$Q$3,RawData[Checker ID],$Q$4,RawData[[Error Type ]],$Q$5))</f>
        <v/>
      </c>
    </row>
    <row r="19926" spans="15:15" x14ac:dyDescent="0.25">
      <c r="O19926" s="20" t="str">
        <f>IF(N19926="","",COUNTIFS(RawData[[Date ]],N19926,RawData[Month List],$Q$6,RawData[Tour/Site],$Q$2,RawData[[Picker ID ]],$Q$3,RawData[Checker ID],$Q$4,RawData[[Error Type ]],$Q$5))</f>
        <v/>
      </c>
    </row>
    <row r="19927" spans="15:15" x14ac:dyDescent="0.25">
      <c r="O19927" s="20" t="str">
        <f>IF(N19927="","",COUNTIFS(RawData[[Date ]],N19927,RawData[Month List],$Q$6,RawData[Tour/Site],$Q$2,RawData[[Picker ID ]],$Q$3,RawData[Checker ID],$Q$4,RawData[[Error Type ]],$Q$5))</f>
        <v/>
      </c>
    </row>
    <row r="19928" spans="15:15" x14ac:dyDescent="0.25">
      <c r="O19928" s="20" t="str">
        <f>IF(N19928="","",COUNTIFS(RawData[[Date ]],N19928,RawData[Month List],$Q$6,RawData[Tour/Site],$Q$2,RawData[[Picker ID ]],$Q$3,RawData[Checker ID],$Q$4,RawData[[Error Type ]],$Q$5))</f>
        <v/>
      </c>
    </row>
    <row r="19929" spans="15:15" x14ac:dyDescent="0.25">
      <c r="O19929" s="20" t="str">
        <f>IF(N19929="","",COUNTIFS(RawData[[Date ]],N19929,RawData[Month List],$Q$6,RawData[Tour/Site],$Q$2,RawData[[Picker ID ]],$Q$3,RawData[Checker ID],$Q$4,RawData[[Error Type ]],$Q$5))</f>
        <v/>
      </c>
    </row>
    <row r="19930" spans="15:15" x14ac:dyDescent="0.25">
      <c r="O19930" s="20" t="str">
        <f>IF(N19930="","",COUNTIFS(RawData[[Date ]],N19930,RawData[Month List],$Q$6,RawData[Tour/Site],$Q$2,RawData[[Picker ID ]],$Q$3,RawData[Checker ID],$Q$4,RawData[[Error Type ]],$Q$5))</f>
        <v/>
      </c>
    </row>
    <row r="19931" spans="15:15" x14ac:dyDescent="0.25">
      <c r="O19931" s="20" t="str">
        <f>IF(N19931="","",COUNTIFS(RawData[[Date ]],N19931,RawData[Month List],$Q$6,RawData[Tour/Site],$Q$2,RawData[[Picker ID ]],$Q$3,RawData[Checker ID],$Q$4,RawData[[Error Type ]],$Q$5))</f>
        <v/>
      </c>
    </row>
    <row r="19932" spans="15:15" x14ac:dyDescent="0.25">
      <c r="O19932" s="20" t="str">
        <f>IF(N19932="","",COUNTIFS(RawData[[Date ]],N19932,RawData[Month List],$Q$6,RawData[Tour/Site],$Q$2,RawData[[Picker ID ]],$Q$3,RawData[Checker ID],$Q$4,RawData[[Error Type ]],$Q$5))</f>
        <v/>
      </c>
    </row>
    <row r="19933" spans="15:15" x14ac:dyDescent="0.25">
      <c r="O19933" s="20" t="str">
        <f>IF(N19933="","",COUNTIFS(RawData[[Date ]],N19933,RawData[Month List],$Q$6,RawData[Tour/Site],$Q$2,RawData[[Picker ID ]],$Q$3,RawData[Checker ID],$Q$4,RawData[[Error Type ]],$Q$5))</f>
        <v/>
      </c>
    </row>
    <row r="19934" spans="15:15" x14ac:dyDescent="0.25">
      <c r="O19934" s="20" t="str">
        <f>IF(N19934="","",COUNTIFS(RawData[[Date ]],N19934,RawData[Month List],$Q$6,RawData[Tour/Site],$Q$2,RawData[[Picker ID ]],$Q$3,RawData[Checker ID],$Q$4,RawData[[Error Type ]],$Q$5))</f>
        <v/>
      </c>
    </row>
    <row r="19935" spans="15:15" x14ac:dyDescent="0.25">
      <c r="O19935" s="20" t="str">
        <f>IF(N19935="","",COUNTIFS(RawData[[Date ]],N19935,RawData[Month List],$Q$6,RawData[Tour/Site],$Q$2,RawData[[Picker ID ]],$Q$3,RawData[Checker ID],$Q$4,RawData[[Error Type ]],$Q$5))</f>
        <v/>
      </c>
    </row>
    <row r="19936" spans="15:15" x14ac:dyDescent="0.25">
      <c r="O19936" s="20" t="str">
        <f>IF(N19936="","",COUNTIFS(RawData[[Date ]],N19936,RawData[Month List],$Q$6,RawData[Tour/Site],$Q$2,RawData[[Picker ID ]],$Q$3,RawData[Checker ID],$Q$4,RawData[[Error Type ]],$Q$5))</f>
        <v/>
      </c>
    </row>
    <row r="19937" spans="15:15" x14ac:dyDescent="0.25">
      <c r="O19937" s="20" t="str">
        <f>IF(N19937="","",COUNTIFS(RawData[[Date ]],N19937,RawData[Month List],$Q$6,RawData[Tour/Site],$Q$2,RawData[[Picker ID ]],$Q$3,RawData[Checker ID],$Q$4,RawData[[Error Type ]],$Q$5))</f>
        <v/>
      </c>
    </row>
    <row r="19938" spans="15:15" x14ac:dyDescent="0.25">
      <c r="O19938" s="20" t="str">
        <f>IF(N19938="","",COUNTIFS(RawData[[Date ]],N19938,RawData[Month List],$Q$6,RawData[Tour/Site],$Q$2,RawData[[Picker ID ]],$Q$3,RawData[Checker ID],$Q$4,RawData[[Error Type ]],$Q$5))</f>
        <v/>
      </c>
    </row>
    <row r="19939" spans="15:15" x14ac:dyDescent="0.25">
      <c r="O19939" s="20" t="str">
        <f>IF(N19939="","",COUNTIFS(RawData[[Date ]],N19939,RawData[Month List],$Q$6,RawData[Tour/Site],$Q$2,RawData[[Picker ID ]],$Q$3,RawData[Checker ID],$Q$4,RawData[[Error Type ]],$Q$5))</f>
        <v/>
      </c>
    </row>
    <row r="19940" spans="15:15" x14ac:dyDescent="0.25">
      <c r="O19940" s="20" t="str">
        <f>IF(N19940="","",COUNTIFS(RawData[[Date ]],N19940,RawData[Month List],$Q$6,RawData[Tour/Site],$Q$2,RawData[[Picker ID ]],$Q$3,RawData[Checker ID],$Q$4,RawData[[Error Type ]],$Q$5))</f>
        <v/>
      </c>
    </row>
    <row r="19941" spans="15:15" x14ac:dyDescent="0.25">
      <c r="O19941" s="20" t="str">
        <f>IF(N19941="","",COUNTIFS(RawData[[Date ]],N19941,RawData[Month List],$Q$6,RawData[Tour/Site],$Q$2,RawData[[Picker ID ]],$Q$3,RawData[Checker ID],$Q$4,RawData[[Error Type ]],$Q$5))</f>
        <v/>
      </c>
    </row>
    <row r="19942" spans="15:15" x14ac:dyDescent="0.25">
      <c r="O19942" s="20" t="str">
        <f>IF(N19942="","",COUNTIFS(RawData[[Date ]],N19942,RawData[Month List],$Q$6,RawData[Tour/Site],$Q$2,RawData[[Picker ID ]],$Q$3,RawData[Checker ID],$Q$4,RawData[[Error Type ]],$Q$5))</f>
        <v/>
      </c>
    </row>
    <row r="19943" spans="15:15" x14ac:dyDescent="0.25">
      <c r="O19943" s="20" t="str">
        <f>IF(N19943="","",COUNTIFS(RawData[[Date ]],N19943,RawData[Month List],$Q$6,RawData[Tour/Site],$Q$2,RawData[[Picker ID ]],$Q$3,RawData[Checker ID],$Q$4,RawData[[Error Type ]],$Q$5))</f>
        <v/>
      </c>
    </row>
    <row r="19944" spans="15:15" x14ac:dyDescent="0.25">
      <c r="O19944" s="20" t="str">
        <f>IF(N19944="","",COUNTIFS(RawData[[Date ]],N19944,RawData[Month List],$Q$6,RawData[Tour/Site],$Q$2,RawData[[Picker ID ]],$Q$3,RawData[Checker ID],$Q$4,RawData[[Error Type ]],$Q$5))</f>
        <v/>
      </c>
    </row>
    <row r="19945" spans="15:15" x14ac:dyDescent="0.25">
      <c r="O19945" s="20" t="str">
        <f>IF(N19945="","",COUNTIFS(RawData[[Date ]],N19945,RawData[Month List],$Q$6,RawData[Tour/Site],$Q$2,RawData[[Picker ID ]],$Q$3,RawData[Checker ID],$Q$4,RawData[[Error Type ]],$Q$5))</f>
        <v/>
      </c>
    </row>
    <row r="19946" spans="15:15" x14ac:dyDescent="0.25">
      <c r="O19946" s="20" t="str">
        <f>IF(N19946="","",COUNTIFS(RawData[[Date ]],N19946,RawData[Month List],$Q$6,RawData[Tour/Site],$Q$2,RawData[[Picker ID ]],$Q$3,RawData[Checker ID],$Q$4,RawData[[Error Type ]],$Q$5))</f>
        <v/>
      </c>
    </row>
    <row r="19947" spans="15:15" x14ac:dyDescent="0.25">
      <c r="O19947" s="20" t="str">
        <f>IF(N19947="","",COUNTIFS(RawData[[Date ]],N19947,RawData[Month List],$Q$6,RawData[Tour/Site],$Q$2,RawData[[Picker ID ]],$Q$3,RawData[Checker ID],$Q$4,RawData[[Error Type ]],$Q$5))</f>
        <v/>
      </c>
    </row>
    <row r="19948" spans="15:15" x14ac:dyDescent="0.25">
      <c r="O19948" s="20" t="str">
        <f>IF(N19948="","",COUNTIFS(RawData[[Date ]],N19948,RawData[Month List],$Q$6,RawData[Tour/Site],$Q$2,RawData[[Picker ID ]],$Q$3,RawData[Checker ID],$Q$4,RawData[[Error Type ]],$Q$5))</f>
        <v/>
      </c>
    </row>
    <row r="19949" spans="15:15" x14ac:dyDescent="0.25">
      <c r="O19949" s="20" t="str">
        <f>IF(N19949="","",COUNTIFS(RawData[[Date ]],N19949,RawData[Month List],$Q$6,RawData[Tour/Site],$Q$2,RawData[[Picker ID ]],$Q$3,RawData[Checker ID],$Q$4,RawData[[Error Type ]],$Q$5))</f>
        <v/>
      </c>
    </row>
    <row r="19950" spans="15:15" x14ac:dyDescent="0.25">
      <c r="O19950" s="20" t="str">
        <f>IF(N19950="","",COUNTIFS(RawData[[Date ]],N19950,RawData[Month List],$Q$6,RawData[Tour/Site],$Q$2,RawData[[Picker ID ]],$Q$3,RawData[Checker ID],$Q$4,RawData[[Error Type ]],$Q$5))</f>
        <v/>
      </c>
    </row>
    <row r="19951" spans="15:15" x14ac:dyDescent="0.25">
      <c r="O19951" s="20" t="str">
        <f>IF(N19951="","",COUNTIFS(RawData[[Date ]],N19951,RawData[Month List],$Q$6,RawData[Tour/Site],$Q$2,RawData[[Picker ID ]],$Q$3,RawData[Checker ID],$Q$4,RawData[[Error Type ]],$Q$5))</f>
        <v/>
      </c>
    </row>
    <row r="19952" spans="15:15" x14ac:dyDescent="0.25">
      <c r="O19952" s="20" t="str">
        <f>IF(N19952="","",COUNTIFS(RawData[[Date ]],N19952,RawData[Month List],$Q$6,RawData[Tour/Site],$Q$2,RawData[[Picker ID ]],$Q$3,RawData[Checker ID],$Q$4,RawData[[Error Type ]],$Q$5))</f>
        <v/>
      </c>
    </row>
    <row r="19953" spans="15:15" x14ac:dyDescent="0.25">
      <c r="O19953" s="20" t="str">
        <f>IF(N19953="","",COUNTIFS(RawData[[Date ]],N19953,RawData[Month List],$Q$6,RawData[Tour/Site],$Q$2,RawData[[Picker ID ]],$Q$3,RawData[Checker ID],$Q$4,RawData[[Error Type ]],$Q$5))</f>
        <v/>
      </c>
    </row>
    <row r="19954" spans="15:15" x14ac:dyDescent="0.25">
      <c r="O19954" s="20" t="str">
        <f>IF(N19954="","",COUNTIFS(RawData[[Date ]],N19954,RawData[Month List],$Q$6,RawData[Tour/Site],$Q$2,RawData[[Picker ID ]],$Q$3,RawData[Checker ID],$Q$4,RawData[[Error Type ]],$Q$5))</f>
        <v/>
      </c>
    </row>
    <row r="19955" spans="15:15" x14ac:dyDescent="0.25">
      <c r="O19955" s="20" t="str">
        <f>IF(N19955="","",COUNTIFS(RawData[[Date ]],N19955,RawData[Month List],$Q$6,RawData[Tour/Site],$Q$2,RawData[[Picker ID ]],$Q$3,RawData[Checker ID],$Q$4,RawData[[Error Type ]],$Q$5))</f>
        <v/>
      </c>
    </row>
    <row r="19956" spans="15:15" x14ac:dyDescent="0.25">
      <c r="O19956" s="20" t="str">
        <f>IF(N19956="","",COUNTIFS(RawData[[Date ]],N19956,RawData[Month List],$Q$6,RawData[Tour/Site],$Q$2,RawData[[Picker ID ]],$Q$3,RawData[Checker ID],$Q$4,RawData[[Error Type ]],$Q$5))</f>
        <v/>
      </c>
    </row>
    <row r="19957" spans="15:15" x14ac:dyDescent="0.25">
      <c r="O19957" s="20" t="str">
        <f>IF(N19957="","",COUNTIFS(RawData[[Date ]],N19957,RawData[Month List],$Q$6,RawData[Tour/Site],$Q$2,RawData[[Picker ID ]],$Q$3,RawData[Checker ID],$Q$4,RawData[[Error Type ]],$Q$5))</f>
        <v/>
      </c>
    </row>
    <row r="19958" spans="15:15" x14ac:dyDescent="0.25">
      <c r="O19958" s="20" t="str">
        <f>IF(N19958="","",COUNTIFS(RawData[[Date ]],N19958,RawData[Month List],$Q$6,RawData[Tour/Site],$Q$2,RawData[[Picker ID ]],$Q$3,RawData[Checker ID],$Q$4,RawData[[Error Type ]],$Q$5))</f>
        <v/>
      </c>
    </row>
    <row r="19959" spans="15:15" x14ac:dyDescent="0.25">
      <c r="O19959" s="20" t="str">
        <f>IF(N19959="","",COUNTIFS(RawData[[Date ]],N19959,RawData[Month List],$Q$6,RawData[Tour/Site],$Q$2,RawData[[Picker ID ]],$Q$3,RawData[Checker ID],$Q$4,RawData[[Error Type ]],$Q$5))</f>
        <v/>
      </c>
    </row>
    <row r="19960" spans="15:15" x14ac:dyDescent="0.25">
      <c r="O19960" s="20" t="str">
        <f>IF(N19960="","",COUNTIFS(RawData[[Date ]],N19960,RawData[Month List],$Q$6,RawData[Tour/Site],$Q$2,RawData[[Picker ID ]],$Q$3,RawData[Checker ID],$Q$4,RawData[[Error Type ]],$Q$5))</f>
        <v/>
      </c>
    </row>
    <row r="19961" spans="15:15" x14ac:dyDescent="0.25">
      <c r="O19961" s="20" t="str">
        <f>IF(N19961="","",COUNTIFS(RawData[[Date ]],N19961,RawData[Month List],$Q$6,RawData[Tour/Site],$Q$2,RawData[[Picker ID ]],$Q$3,RawData[Checker ID],$Q$4,RawData[[Error Type ]],$Q$5))</f>
        <v/>
      </c>
    </row>
    <row r="19962" spans="15:15" x14ac:dyDescent="0.25">
      <c r="O19962" s="20" t="str">
        <f>IF(N19962="","",COUNTIFS(RawData[[Date ]],N19962,RawData[Month List],$Q$6,RawData[Tour/Site],$Q$2,RawData[[Picker ID ]],$Q$3,RawData[Checker ID],$Q$4,RawData[[Error Type ]],$Q$5))</f>
        <v/>
      </c>
    </row>
    <row r="19963" spans="15:15" x14ac:dyDescent="0.25">
      <c r="O19963" s="20" t="str">
        <f>IF(N19963="","",COUNTIFS(RawData[[Date ]],N19963,RawData[Month List],$Q$6,RawData[Tour/Site],$Q$2,RawData[[Picker ID ]],$Q$3,RawData[Checker ID],$Q$4,RawData[[Error Type ]],$Q$5))</f>
        <v/>
      </c>
    </row>
    <row r="19964" spans="15:15" x14ac:dyDescent="0.25">
      <c r="O19964" s="20" t="str">
        <f>IF(N19964="","",COUNTIFS(RawData[[Date ]],N19964,RawData[Month List],$Q$6,RawData[Tour/Site],$Q$2,RawData[[Picker ID ]],$Q$3,RawData[Checker ID],$Q$4,RawData[[Error Type ]],$Q$5))</f>
        <v/>
      </c>
    </row>
    <row r="19965" spans="15:15" x14ac:dyDescent="0.25">
      <c r="O19965" s="20" t="str">
        <f>IF(N19965="","",COUNTIFS(RawData[[Date ]],N19965,RawData[Month List],$Q$6,RawData[Tour/Site],$Q$2,RawData[[Picker ID ]],$Q$3,RawData[Checker ID],$Q$4,RawData[[Error Type ]],$Q$5))</f>
        <v/>
      </c>
    </row>
    <row r="19966" spans="15:15" x14ac:dyDescent="0.25">
      <c r="O19966" s="20" t="str">
        <f>IF(N19966="","",COUNTIFS(RawData[[Date ]],N19966,RawData[Month List],$Q$6,RawData[Tour/Site],$Q$2,RawData[[Picker ID ]],$Q$3,RawData[Checker ID],$Q$4,RawData[[Error Type ]],$Q$5))</f>
        <v/>
      </c>
    </row>
    <row r="19967" spans="15:15" x14ac:dyDescent="0.25">
      <c r="O19967" s="20" t="str">
        <f>IF(N19967="","",COUNTIFS(RawData[[Date ]],N19967,RawData[Month List],$Q$6,RawData[Tour/Site],$Q$2,RawData[[Picker ID ]],$Q$3,RawData[Checker ID],$Q$4,RawData[[Error Type ]],$Q$5))</f>
        <v/>
      </c>
    </row>
    <row r="19968" spans="15:15" x14ac:dyDescent="0.25">
      <c r="O19968" s="20" t="str">
        <f>IF(N19968="","",COUNTIFS(RawData[[Date ]],N19968,RawData[Month List],$Q$6,RawData[Tour/Site],$Q$2,RawData[[Picker ID ]],$Q$3,RawData[Checker ID],$Q$4,RawData[[Error Type ]],$Q$5))</f>
        <v/>
      </c>
    </row>
    <row r="19969" spans="15:15" x14ac:dyDescent="0.25">
      <c r="O19969" s="20" t="str">
        <f>IF(N19969="","",COUNTIFS(RawData[[Date ]],N19969,RawData[Month List],$Q$6,RawData[Tour/Site],$Q$2,RawData[[Picker ID ]],$Q$3,RawData[Checker ID],$Q$4,RawData[[Error Type ]],$Q$5))</f>
        <v/>
      </c>
    </row>
    <row r="19970" spans="15:15" x14ac:dyDescent="0.25">
      <c r="O19970" s="20" t="str">
        <f>IF(N19970="","",COUNTIFS(RawData[[Date ]],N19970,RawData[Month List],$Q$6,RawData[Tour/Site],$Q$2,RawData[[Picker ID ]],$Q$3,RawData[Checker ID],$Q$4,RawData[[Error Type ]],$Q$5))</f>
        <v/>
      </c>
    </row>
    <row r="19971" spans="15:15" x14ac:dyDescent="0.25">
      <c r="O19971" s="20" t="str">
        <f>IF(N19971="","",COUNTIFS(RawData[[Date ]],N19971,RawData[Month List],$Q$6,RawData[Tour/Site],$Q$2,RawData[[Picker ID ]],$Q$3,RawData[Checker ID],$Q$4,RawData[[Error Type ]],$Q$5))</f>
        <v/>
      </c>
    </row>
    <row r="19972" spans="15:15" x14ac:dyDescent="0.25">
      <c r="O19972" s="20" t="str">
        <f>IF(N19972="","",COUNTIFS(RawData[[Date ]],N19972,RawData[Month List],$Q$6,RawData[Tour/Site],$Q$2,RawData[[Picker ID ]],$Q$3,RawData[Checker ID],$Q$4,RawData[[Error Type ]],$Q$5))</f>
        <v/>
      </c>
    </row>
    <row r="19973" spans="15:15" x14ac:dyDescent="0.25">
      <c r="O19973" s="20" t="str">
        <f>IF(N19973="","",COUNTIFS(RawData[[Date ]],N19973,RawData[Month List],$Q$6,RawData[Tour/Site],$Q$2,RawData[[Picker ID ]],$Q$3,RawData[Checker ID],$Q$4,RawData[[Error Type ]],$Q$5))</f>
        <v/>
      </c>
    </row>
    <row r="19974" spans="15:15" x14ac:dyDescent="0.25">
      <c r="O19974" s="20" t="str">
        <f>IF(N19974="","",COUNTIFS(RawData[[Date ]],N19974,RawData[Month List],$Q$6,RawData[Tour/Site],$Q$2,RawData[[Picker ID ]],$Q$3,RawData[Checker ID],$Q$4,RawData[[Error Type ]],$Q$5))</f>
        <v/>
      </c>
    </row>
    <row r="19975" spans="15:15" x14ac:dyDescent="0.25">
      <c r="O19975" s="20" t="str">
        <f>IF(N19975="","",COUNTIFS(RawData[[Date ]],N19975,RawData[Month List],$Q$6,RawData[Tour/Site],$Q$2,RawData[[Picker ID ]],$Q$3,RawData[Checker ID],$Q$4,RawData[[Error Type ]],$Q$5))</f>
        <v/>
      </c>
    </row>
    <row r="19976" spans="15:15" x14ac:dyDescent="0.25">
      <c r="O19976" s="20" t="str">
        <f>IF(N19976="","",COUNTIFS(RawData[[Date ]],N19976,RawData[Month List],$Q$6,RawData[Tour/Site],$Q$2,RawData[[Picker ID ]],$Q$3,RawData[Checker ID],$Q$4,RawData[[Error Type ]],$Q$5))</f>
        <v/>
      </c>
    </row>
    <row r="19977" spans="15:15" x14ac:dyDescent="0.25">
      <c r="O19977" s="20" t="str">
        <f>IF(N19977="","",COUNTIFS(RawData[[Date ]],N19977,RawData[Month List],$Q$6,RawData[Tour/Site],$Q$2,RawData[[Picker ID ]],$Q$3,RawData[Checker ID],$Q$4,RawData[[Error Type ]],$Q$5))</f>
        <v/>
      </c>
    </row>
    <row r="19978" spans="15:15" x14ac:dyDescent="0.25">
      <c r="O19978" s="20" t="str">
        <f>IF(N19978="","",COUNTIFS(RawData[[Date ]],N19978,RawData[Month List],$Q$6,RawData[Tour/Site],$Q$2,RawData[[Picker ID ]],$Q$3,RawData[Checker ID],$Q$4,RawData[[Error Type ]],$Q$5))</f>
        <v/>
      </c>
    </row>
    <row r="19979" spans="15:15" x14ac:dyDescent="0.25">
      <c r="O19979" s="20" t="str">
        <f>IF(N19979="","",COUNTIFS(RawData[[Date ]],N19979,RawData[Month List],$Q$6,RawData[Tour/Site],$Q$2,RawData[[Picker ID ]],$Q$3,RawData[Checker ID],$Q$4,RawData[[Error Type ]],$Q$5))</f>
        <v/>
      </c>
    </row>
    <row r="19980" spans="15:15" x14ac:dyDescent="0.25">
      <c r="O19980" s="20" t="str">
        <f>IF(N19980="","",COUNTIFS(RawData[[Date ]],N19980,RawData[Month List],$Q$6,RawData[Tour/Site],$Q$2,RawData[[Picker ID ]],$Q$3,RawData[Checker ID],$Q$4,RawData[[Error Type ]],$Q$5))</f>
        <v/>
      </c>
    </row>
    <row r="19981" spans="15:15" x14ac:dyDescent="0.25">
      <c r="O19981" s="20" t="str">
        <f>IF(N19981="","",COUNTIFS(RawData[[Date ]],N19981,RawData[Month List],$Q$6,RawData[Tour/Site],$Q$2,RawData[[Picker ID ]],$Q$3,RawData[Checker ID],$Q$4,RawData[[Error Type ]],$Q$5))</f>
        <v/>
      </c>
    </row>
    <row r="19982" spans="15:15" x14ac:dyDescent="0.25">
      <c r="O19982" s="20" t="str">
        <f>IF(N19982="","",COUNTIFS(RawData[[Date ]],N19982,RawData[Month List],$Q$6,RawData[Tour/Site],$Q$2,RawData[[Picker ID ]],$Q$3,RawData[Checker ID],$Q$4,RawData[[Error Type ]],$Q$5))</f>
        <v/>
      </c>
    </row>
    <row r="19983" spans="15:15" x14ac:dyDescent="0.25">
      <c r="O19983" s="20" t="str">
        <f>IF(N19983="","",COUNTIFS(RawData[[Date ]],N19983,RawData[Month List],$Q$6,RawData[Tour/Site],$Q$2,RawData[[Picker ID ]],$Q$3,RawData[Checker ID],$Q$4,RawData[[Error Type ]],$Q$5))</f>
        <v/>
      </c>
    </row>
    <row r="19984" spans="15:15" x14ac:dyDescent="0.25">
      <c r="O19984" s="20" t="str">
        <f>IF(N19984="","",COUNTIFS(RawData[[Date ]],N19984,RawData[Month List],$Q$6,RawData[Tour/Site],$Q$2,RawData[[Picker ID ]],$Q$3,RawData[Checker ID],$Q$4,RawData[[Error Type ]],$Q$5))</f>
        <v/>
      </c>
    </row>
    <row r="19985" spans="15:15" x14ac:dyDescent="0.25">
      <c r="O19985" s="20" t="str">
        <f>IF(N19985="","",COUNTIFS(RawData[[Date ]],N19985,RawData[Month List],$Q$6,RawData[Tour/Site],$Q$2,RawData[[Picker ID ]],$Q$3,RawData[Checker ID],$Q$4,RawData[[Error Type ]],$Q$5))</f>
        <v/>
      </c>
    </row>
    <row r="19986" spans="15:15" x14ac:dyDescent="0.25">
      <c r="O19986" s="20" t="str">
        <f>IF(N19986="","",COUNTIFS(RawData[[Date ]],N19986,RawData[Month List],$Q$6,RawData[Tour/Site],$Q$2,RawData[[Picker ID ]],$Q$3,RawData[Checker ID],$Q$4,RawData[[Error Type ]],$Q$5))</f>
        <v/>
      </c>
    </row>
    <row r="19987" spans="15:15" x14ac:dyDescent="0.25">
      <c r="O19987" s="20" t="str">
        <f>IF(N19987="","",COUNTIFS(RawData[[Date ]],N19987,RawData[Month List],$Q$6,RawData[Tour/Site],$Q$2,RawData[[Picker ID ]],$Q$3,RawData[Checker ID],$Q$4,RawData[[Error Type ]],$Q$5))</f>
        <v/>
      </c>
    </row>
    <row r="19988" spans="15:15" x14ac:dyDescent="0.25">
      <c r="O19988" s="20" t="str">
        <f>IF(N19988="","",COUNTIFS(RawData[[Date ]],N19988,RawData[Month List],$Q$6,RawData[Tour/Site],$Q$2,RawData[[Picker ID ]],$Q$3,RawData[Checker ID],$Q$4,RawData[[Error Type ]],$Q$5))</f>
        <v/>
      </c>
    </row>
    <row r="19989" spans="15:15" x14ac:dyDescent="0.25">
      <c r="O19989" s="20" t="str">
        <f>IF(N19989="","",COUNTIFS(RawData[[Date ]],N19989,RawData[Month List],$Q$6,RawData[Tour/Site],$Q$2,RawData[[Picker ID ]],$Q$3,RawData[Checker ID],$Q$4,RawData[[Error Type ]],$Q$5))</f>
        <v/>
      </c>
    </row>
    <row r="19990" spans="15:15" x14ac:dyDescent="0.25">
      <c r="O19990" s="20" t="str">
        <f>IF(N19990="","",COUNTIFS(RawData[[Date ]],N19990,RawData[Month List],$Q$6,RawData[Tour/Site],$Q$2,RawData[[Picker ID ]],$Q$3,RawData[Checker ID],$Q$4,RawData[[Error Type ]],$Q$5))</f>
        <v/>
      </c>
    </row>
    <row r="19991" spans="15:15" x14ac:dyDescent="0.25">
      <c r="O19991" s="20" t="str">
        <f>IF(N19991="","",COUNTIFS(RawData[[Date ]],N19991,RawData[Month List],$Q$6,RawData[Tour/Site],$Q$2,RawData[[Picker ID ]],$Q$3,RawData[Checker ID],$Q$4,RawData[[Error Type ]],$Q$5))</f>
        <v/>
      </c>
    </row>
    <row r="19992" spans="15:15" x14ac:dyDescent="0.25">
      <c r="O19992" s="20" t="str">
        <f>IF(N19992="","",COUNTIFS(RawData[[Date ]],N19992,RawData[Month List],$Q$6,RawData[Tour/Site],$Q$2,RawData[[Picker ID ]],$Q$3,RawData[Checker ID],$Q$4,RawData[[Error Type ]],$Q$5))</f>
        <v/>
      </c>
    </row>
    <row r="19993" spans="15:15" x14ac:dyDescent="0.25">
      <c r="O19993" s="20" t="str">
        <f>IF(N19993="","",COUNTIFS(RawData[[Date ]],N19993,RawData[Month List],$Q$6,RawData[Tour/Site],$Q$2,RawData[[Picker ID ]],$Q$3,RawData[Checker ID],$Q$4,RawData[[Error Type ]],$Q$5))</f>
        <v/>
      </c>
    </row>
    <row r="19994" spans="15:15" x14ac:dyDescent="0.25">
      <c r="O19994" s="20" t="str">
        <f>IF(N19994="","",COUNTIFS(RawData[[Date ]],N19994,RawData[Month List],$Q$6,RawData[Tour/Site],$Q$2,RawData[[Picker ID ]],$Q$3,RawData[Checker ID],$Q$4,RawData[[Error Type ]],$Q$5))</f>
        <v/>
      </c>
    </row>
    <row r="19995" spans="15:15" x14ac:dyDescent="0.25">
      <c r="O19995" s="20" t="str">
        <f>IF(N19995="","",COUNTIFS(RawData[[Date ]],N19995,RawData[Month List],$Q$6,RawData[Tour/Site],$Q$2,RawData[[Picker ID ]],$Q$3,RawData[Checker ID],$Q$4,RawData[[Error Type ]],$Q$5))</f>
        <v/>
      </c>
    </row>
    <row r="19996" spans="15:15" x14ac:dyDescent="0.25">
      <c r="O19996" s="20" t="str">
        <f>IF(N19996="","",COUNTIFS(RawData[[Date ]],N19996,RawData[Month List],$Q$6,RawData[Tour/Site],$Q$2,RawData[[Picker ID ]],$Q$3,RawData[Checker ID],$Q$4,RawData[[Error Type ]],$Q$5))</f>
        <v/>
      </c>
    </row>
    <row r="19997" spans="15:15" x14ac:dyDescent="0.25">
      <c r="O19997" s="20" t="str">
        <f>IF(N19997="","",COUNTIFS(RawData[[Date ]],N19997,RawData[Month List],$Q$6,RawData[Tour/Site],$Q$2,RawData[[Picker ID ]],$Q$3,RawData[Checker ID],$Q$4,RawData[[Error Type ]],$Q$5))</f>
        <v/>
      </c>
    </row>
    <row r="19998" spans="15:15" x14ac:dyDescent="0.25">
      <c r="O19998" s="20" t="str">
        <f>IF(N19998="","",COUNTIFS(RawData[[Date ]],N19998,RawData[Month List],$Q$6,RawData[Tour/Site],$Q$2,RawData[[Picker ID ]],$Q$3,RawData[Checker ID],$Q$4,RawData[[Error Type ]],$Q$5))</f>
        <v/>
      </c>
    </row>
    <row r="19999" spans="15:15" x14ac:dyDescent="0.25">
      <c r="O19999" s="20" t="str">
        <f>IF(N19999="","",COUNTIFS(RawData[[Date ]],N19999,RawData[Month List],$Q$6,RawData[Tour/Site],$Q$2,RawData[[Picker ID ]],$Q$3,RawData[Checker ID],$Q$4,RawData[[Error Type ]],$Q$5))</f>
        <v/>
      </c>
    </row>
    <row r="20000" spans="15:15" x14ac:dyDescent="0.25">
      <c r="O20000" s="20" t="str">
        <f>IF(N20000="","",COUNTIFS(RawData[[Date ]],N20000,RawData[Month List],$Q$6,RawData[Tour/Site],$Q$2,RawData[[Picker ID ]],$Q$3,RawData[Checker ID],$Q$4,RawData[[Error Type ]],$Q$5))</f>
        <v/>
      </c>
    </row>
    <row r="20001" spans="15:15" x14ac:dyDescent="0.25">
      <c r="O20001" s="20" t="str">
        <f>IF(N20001="","",COUNTIFS(RawData[[Date ]],N20001,RawData[Month List],$Q$6,RawData[Tour/Site],$Q$2,RawData[[Picker ID ]],$Q$3,RawData[Checker ID],$Q$4,RawData[[Error Type ]],$Q$5))</f>
        <v/>
      </c>
    </row>
    <row r="20002" spans="15:15" x14ac:dyDescent="0.25">
      <c r="O20002" s="20" t="str">
        <f>IF(N20002="","",COUNTIFS(RawData[[Date ]],N20002,RawData[Month List],$Q$6,RawData[Tour/Site],$Q$2,RawData[[Picker ID ]],$Q$3,RawData[Checker ID],$Q$4,RawData[[Error Type ]],$Q$5))</f>
        <v/>
      </c>
    </row>
    <row r="20003" spans="15:15" x14ac:dyDescent="0.25">
      <c r="O20003" s="20" t="str">
        <f>IF(N20003="","",COUNTIFS(RawData[[Date ]],N20003,RawData[Month List],$Q$6,RawData[Tour/Site],$Q$2,RawData[[Picker ID ]],$Q$3,RawData[Checker ID],$Q$4,RawData[[Error Type ]],$Q$5))</f>
        <v/>
      </c>
    </row>
    <row r="20004" spans="15:15" x14ac:dyDescent="0.25">
      <c r="O20004" s="20" t="str">
        <f>IF(N20004="","",COUNTIFS(RawData[[Date ]],N20004,RawData[Month List],$Q$6,RawData[Tour/Site],$Q$2,RawData[[Picker ID ]],$Q$3,RawData[Checker ID],$Q$4,RawData[[Error Type ]],$Q$5))</f>
        <v/>
      </c>
    </row>
    <row r="20005" spans="15:15" x14ac:dyDescent="0.25">
      <c r="O20005" s="20" t="str">
        <f>IF(N20005="","",COUNTIFS(RawData[[Date ]],N20005,RawData[Month List],$Q$6,RawData[Tour/Site],$Q$2,RawData[[Picker ID ]],$Q$3,RawData[Checker ID],$Q$4,RawData[[Error Type ]],$Q$5))</f>
        <v/>
      </c>
    </row>
    <row r="20006" spans="15:15" x14ac:dyDescent="0.25">
      <c r="O20006" s="20" t="str">
        <f>IF(N20006="","",COUNTIFS(RawData[[Date ]],N20006,RawData[Month List],$Q$6,RawData[Tour/Site],$Q$2,RawData[[Picker ID ]],$Q$3,RawData[Checker ID],$Q$4,RawData[[Error Type ]],$Q$5))</f>
        <v/>
      </c>
    </row>
    <row r="20007" spans="15:15" x14ac:dyDescent="0.25">
      <c r="O20007" s="20" t="str">
        <f>IF(N20007="","",COUNTIFS(RawData[[Date ]],N20007,RawData[Month List],$Q$6,RawData[Tour/Site],$Q$2,RawData[[Picker ID ]],$Q$3,RawData[Checker ID],$Q$4,RawData[[Error Type ]],$Q$5))</f>
        <v/>
      </c>
    </row>
    <row r="20008" spans="15:15" x14ac:dyDescent="0.25">
      <c r="O20008" s="20" t="str">
        <f>IF(N20008="","",COUNTIFS(RawData[[Date ]],N20008,RawData[Month List],$Q$6,RawData[Tour/Site],$Q$2,RawData[[Picker ID ]],$Q$3,RawData[Checker ID],$Q$4,RawData[[Error Type ]],$Q$5))</f>
        <v/>
      </c>
    </row>
    <row r="20009" spans="15:15" x14ac:dyDescent="0.25">
      <c r="O20009" s="20" t="str">
        <f>IF(N20009="","",COUNTIFS(RawData[[Date ]],N20009,RawData[Month List],$Q$6,RawData[Tour/Site],$Q$2,RawData[[Picker ID ]],$Q$3,RawData[Checker ID],$Q$4,RawData[[Error Type ]],$Q$5))</f>
        <v/>
      </c>
    </row>
    <row r="20010" spans="15:15" x14ac:dyDescent="0.25">
      <c r="O20010" s="20" t="str">
        <f>IF(N20010="","",COUNTIFS(RawData[[Date ]],N20010,RawData[Month List],$Q$6,RawData[Tour/Site],$Q$2,RawData[[Picker ID ]],$Q$3,RawData[Checker ID],$Q$4,RawData[[Error Type ]],$Q$5))</f>
        <v/>
      </c>
    </row>
    <row r="20011" spans="15:15" x14ac:dyDescent="0.25">
      <c r="O20011" s="20" t="str">
        <f>IF(N20011="","",COUNTIFS(RawData[[Date ]],N20011,RawData[Month List],$Q$6,RawData[Tour/Site],$Q$2,RawData[[Picker ID ]],$Q$3,RawData[Checker ID],$Q$4,RawData[[Error Type ]],$Q$5))</f>
        <v/>
      </c>
    </row>
    <row r="20012" spans="15:15" x14ac:dyDescent="0.25">
      <c r="O20012" s="20" t="str">
        <f>IF(N20012="","",COUNTIFS(RawData[[Date ]],N20012,RawData[Month List],$Q$6,RawData[Tour/Site],$Q$2,RawData[[Picker ID ]],$Q$3,RawData[Checker ID],$Q$4,RawData[[Error Type ]],$Q$5))</f>
        <v/>
      </c>
    </row>
    <row r="20013" spans="15:15" x14ac:dyDescent="0.25">
      <c r="O20013" s="20" t="str">
        <f>IF(N20013="","",COUNTIFS(RawData[[Date ]],N20013,RawData[Month List],$Q$6,RawData[Tour/Site],$Q$2,RawData[[Picker ID ]],$Q$3,RawData[Checker ID],$Q$4,RawData[[Error Type ]],$Q$5))</f>
        <v/>
      </c>
    </row>
    <row r="20014" spans="15:15" x14ac:dyDescent="0.25">
      <c r="O20014" s="20" t="str">
        <f>IF(N20014="","",COUNTIFS(RawData[[Date ]],N20014,RawData[Month List],$Q$6,RawData[Tour/Site],$Q$2,RawData[[Picker ID ]],$Q$3,RawData[Checker ID],$Q$4,RawData[[Error Type ]],$Q$5))</f>
        <v/>
      </c>
    </row>
    <row r="20015" spans="15:15" x14ac:dyDescent="0.25">
      <c r="O20015" s="20" t="str">
        <f>IF(N20015="","",COUNTIFS(RawData[[Date ]],N20015,RawData[Month List],$Q$6,RawData[Tour/Site],$Q$2,RawData[[Picker ID ]],$Q$3,RawData[Checker ID],$Q$4,RawData[[Error Type ]],$Q$5))</f>
        <v/>
      </c>
    </row>
    <row r="20016" spans="15:15" x14ac:dyDescent="0.25">
      <c r="O20016" s="20" t="str">
        <f>IF(N20016="","",COUNTIFS(RawData[[Date ]],N20016,RawData[Month List],$Q$6,RawData[Tour/Site],$Q$2,RawData[[Picker ID ]],$Q$3,RawData[Checker ID],$Q$4,RawData[[Error Type ]],$Q$5))</f>
        <v/>
      </c>
    </row>
    <row r="20017" spans="15:15" x14ac:dyDescent="0.25">
      <c r="O20017" s="20" t="str">
        <f>IF(N20017="","",COUNTIFS(RawData[[Date ]],N20017,RawData[Month List],$Q$6,RawData[Tour/Site],$Q$2,RawData[[Picker ID ]],$Q$3,RawData[Checker ID],$Q$4,RawData[[Error Type ]],$Q$5))</f>
        <v/>
      </c>
    </row>
    <row r="20018" spans="15:15" x14ac:dyDescent="0.25">
      <c r="O20018" s="20" t="str">
        <f>IF(N20018="","",COUNTIFS(RawData[[Date ]],N20018,RawData[Month List],$Q$6,RawData[Tour/Site],$Q$2,RawData[[Picker ID ]],$Q$3,RawData[Checker ID],$Q$4,RawData[[Error Type ]],$Q$5))</f>
        <v/>
      </c>
    </row>
    <row r="20019" spans="15:15" x14ac:dyDescent="0.25">
      <c r="O20019" s="20" t="str">
        <f>IF(N20019="","",COUNTIFS(RawData[[Date ]],N20019,RawData[Month List],$Q$6,RawData[Tour/Site],$Q$2,RawData[[Picker ID ]],$Q$3,RawData[Checker ID],$Q$4,RawData[[Error Type ]],$Q$5))</f>
        <v/>
      </c>
    </row>
    <row r="20020" spans="15:15" x14ac:dyDescent="0.25">
      <c r="O20020" s="20" t="str">
        <f>IF(N20020="","",COUNTIFS(RawData[[Date ]],N20020,RawData[Month List],$Q$6,RawData[Tour/Site],$Q$2,RawData[[Picker ID ]],$Q$3,RawData[Checker ID],$Q$4,RawData[[Error Type ]],$Q$5))</f>
        <v/>
      </c>
    </row>
    <row r="20021" spans="15:15" x14ac:dyDescent="0.25">
      <c r="O20021" s="20" t="str">
        <f>IF(N20021="","",COUNTIFS(RawData[[Date ]],N20021,RawData[Month List],$Q$6,RawData[Tour/Site],$Q$2,RawData[[Picker ID ]],$Q$3,RawData[Checker ID],$Q$4,RawData[[Error Type ]],$Q$5))</f>
        <v/>
      </c>
    </row>
    <row r="20022" spans="15:15" x14ac:dyDescent="0.25">
      <c r="O20022" s="20" t="str">
        <f>IF(N20022="","",COUNTIFS(RawData[[Date ]],N20022,RawData[Month List],$Q$6,RawData[Tour/Site],$Q$2,RawData[[Picker ID ]],$Q$3,RawData[Checker ID],$Q$4,RawData[[Error Type ]],$Q$5))</f>
        <v/>
      </c>
    </row>
    <row r="20023" spans="15:15" x14ac:dyDescent="0.25">
      <c r="O20023" s="20" t="str">
        <f>IF(N20023="","",COUNTIFS(RawData[[Date ]],N20023,RawData[Month List],$Q$6,RawData[Tour/Site],$Q$2,RawData[[Picker ID ]],$Q$3,RawData[Checker ID],$Q$4,RawData[[Error Type ]],$Q$5))</f>
        <v/>
      </c>
    </row>
    <row r="20024" spans="15:15" x14ac:dyDescent="0.25">
      <c r="O20024" s="20" t="str">
        <f>IF(N20024="","",COUNTIFS(RawData[[Date ]],N20024,RawData[Month List],$Q$6,RawData[Tour/Site],$Q$2,RawData[[Picker ID ]],$Q$3,RawData[Checker ID],$Q$4,RawData[[Error Type ]],$Q$5))</f>
        <v/>
      </c>
    </row>
    <row r="20025" spans="15:15" x14ac:dyDescent="0.25">
      <c r="O20025" s="20" t="str">
        <f>IF(N20025="","",COUNTIFS(RawData[[Date ]],N20025,RawData[Month List],$Q$6,RawData[Tour/Site],$Q$2,RawData[[Picker ID ]],$Q$3,RawData[Checker ID],$Q$4,RawData[[Error Type ]],$Q$5))</f>
        <v/>
      </c>
    </row>
    <row r="20026" spans="15:15" x14ac:dyDescent="0.25">
      <c r="O20026" s="20" t="str">
        <f>IF(N20026="","",COUNTIFS(RawData[[Date ]],N20026,RawData[Month List],$Q$6,RawData[Tour/Site],$Q$2,RawData[[Picker ID ]],$Q$3,RawData[Checker ID],$Q$4,RawData[[Error Type ]],$Q$5))</f>
        <v/>
      </c>
    </row>
    <row r="20027" spans="15:15" x14ac:dyDescent="0.25">
      <c r="O20027" s="20" t="str">
        <f>IF(N20027="","",COUNTIFS(RawData[[Date ]],N20027,RawData[Month List],$Q$6,RawData[Tour/Site],$Q$2,RawData[[Picker ID ]],$Q$3,RawData[Checker ID],$Q$4,RawData[[Error Type ]],$Q$5))</f>
        <v/>
      </c>
    </row>
    <row r="20028" spans="15:15" x14ac:dyDescent="0.25">
      <c r="O20028" s="20" t="str">
        <f>IF(N20028="","",COUNTIFS(RawData[[Date ]],N20028,RawData[Month List],$Q$6,RawData[Tour/Site],$Q$2,RawData[[Picker ID ]],$Q$3,RawData[Checker ID],$Q$4,RawData[[Error Type ]],$Q$5))</f>
        <v/>
      </c>
    </row>
    <row r="20029" spans="15:15" x14ac:dyDescent="0.25">
      <c r="O20029" s="20" t="str">
        <f>IF(N20029="","",COUNTIFS(RawData[[Date ]],N20029,RawData[Month List],$Q$6,RawData[Tour/Site],$Q$2,RawData[[Picker ID ]],$Q$3,RawData[Checker ID],$Q$4,RawData[[Error Type ]],$Q$5))</f>
        <v/>
      </c>
    </row>
    <row r="20030" spans="15:15" x14ac:dyDescent="0.25">
      <c r="O20030" s="20" t="str">
        <f>IF(N20030="","",COUNTIFS(RawData[[Date ]],N20030,RawData[Month List],$Q$6,RawData[Tour/Site],$Q$2,RawData[[Picker ID ]],$Q$3,RawData[Checker ID],$Q$4,RawData[[Error Type ]],$Q$5))</f>
        <v/>
      </c>
    </row>
    <row r="20031" spans="15:15" x14ac:dyDescent="0.25">
      <c r="O20031" s="20" t="str">
        <f>IF(N20031="","",COUNTIFS(RawData[[Date ]],N20031,RawData[Month List],$Q$6,RawData[Tour/Site],$Q$2,RawData[[Picker ID ]],$Q$3,RawData[Checker ID],$Q$4,RawData[[Error Type ]],$Q$5))</f>
        <v/>
      </c>
    </row>
    <row r="20032" spans="15:15" x14ac:dyDescent="0.25">
      <c r="O20032" s="20" t="str">
        <f>IF(N20032="","",COUNTIFS(RawData[[Date ]],N20032,RawData[Month List],$Q$6,RawData[Tour/Site],$Q$2,RawData[[Picker ID ]],$Q$3,RawData[Checker ID],$Q$4,RawData[[Error Type ]],$Q$5))</f>
        <v/>
      </c>
    </row>
    <row r="20033" spans="15:15" x14ac:dyDescent="0.25">
      <c r="O20033" s="20" t="str">
        <f>IF(N20033="","",COUNTIFS(RawData[[Date ]],N20033,RawData[Month List],$Q$6,RawData[Tour/Site],$Q$2,RawData[[Picker ID ]],$Q$3,RawData[Checker ID],$Q$4,RawData[[Error Type ]],$Q$5))</f>
        <v/>
      </c>
    </row>
    <row r="20034" spans="15:15" x14ac:dyDescent="0.25">
      <c r="O20034" s="20" t="str">
        <f>IF(N20034="","",COUNTIFS(RawData[[Date ]],N20034,RawData[Month List],$Q$6,RawData[Tour/Site],$Q$2,RawData[[Picker ID ]],$Q$3,RawData[Checker ID],$Q$4,RawData[[Error Type ]],$Q$5))</f>
        <v/>
      </c>
    </row>
    <row r="20035" spans="15:15" x14ac:dyDescent="0.25">
      <c r="O20035" s="20" t="str">
        <f>IF(N20035="","",COUNTIFS(RawData[[Date ]],N20035,RawData[Month List],$Q$6,RawData[Tour/Site],$Q$2,RawData[[Picker ID ]],$Q$3,RawData[Checker ID],$Q$4,RawData[[Error Type ]],$Q$5))</f>
        <v/>
      </c>
    </row>
    <row r="20036" spans="15:15" x14ac:dyDescent="0.25">
      <c r="O20036" s="20" t="str">
        <f>IF(N20036="","",COUNTIFS(RawData[[Date ]],N20036,RawData[Month List],$Q$6,RawData[Tour/Site],$Q$2,RawData[[Picker ID ]],$Q$3,RawData[Checker ID],$Q$4,RawData[[Error Type ]],$Q$5))</f>
        <v/>
      </c>
    </row>
    <row r="20037" spans="15:15" x14ac:dyDescent="0.25">
      <c r="O20037" s="20" t="str">
        <f>IF(N20037="","",COUNTIFS(RawData[[Date ]],N20037,RawData[Month List],$Q$6,RawData[Tour/Site],$Q$2,RawData[[Picker ID ]],$Q$3,RawData[Checker ID],$Q$4,RawData[[Error Type ]],$Q$5))</f>
        <v/>
      </c>
    </row>
    <row r="20038" spans="15:15" x14ac:dyDescent="0.25">
      <c r="O20038" s="20" t="str">
        <f>IF(N20038="","",COUNTIFS(RawData[[Date ]],N20038,RawData[Month List],$Q$6,RawData[Tour/Site],$Q$2,RawData[[Picker ID ]],$Q$3,RawData[Checker ID],$Q$4,RawData[[Error Type ]],$Q$5))</f>
        <v/>
      </c>
    </row>
    <row r="20039" spans="15:15" x14ac:dyDescent="0.25">
      <c r="O20039" s="20" t="str">
        <f>IF(N20039="","",COUNTIFS(RawData[[Date ]],N20039,RawData[Month List],$Q$6,RawData[Tour/Site],$Q$2,RawData[[Picker ID ]],$Q$3,RawData[Checker ID],$Q$4,RawData[[Error Type ]],$Q$5))</f>
        <v/>
      </c>
    </row>
    <row r="20040" spans="15:15" x14ac:dyDescent="0.25">
      <c r="O20040" s="20" t="str">
        <f>IF(N20040="","",COUNTIFS(RawData[[Date ]],N20040,RawData[Month List],$Q$6,RawData[Tour/Site],$Q$2,RawData[[Picker ID ]],$Q$3,RawData[Checker ID],$Q$4,RawData[[Error Type ]],$Q$5))</f>
        <v/>
      </c>
    </row>
    <row r="20041" spans="15:15" x14ac:dyDescent="0.25">
      <c r="O20041" s="20" t="str">
        <f>IF(N20041="","",COUNTIFS(RawData[[Date ]],N20041,RawData[Month List],$Q$6,RawData[Tour/Site],$Q$2,RawData[[Picker ID ]],$Q$3,RawData[Checker ID],$Q$4,RawData[[Error Type ]],$Q$5))</f>
        <v/>
      </c>
    </row>
    <row r="20042" spans="15:15" x14ac:dyDescent="0.25">
      <c r="O20042" s="20" t="str">
        <f>IF(N20042="","",COUNTIFS(RawData[[Date ]],N20042,RawData[Month List],$Q$6,RawData[Tour/Site],$Q$2,RawData[[Picker ID ]],$Q$3,RawData[Checker ID],$Q$4,RawData[[Error Type ]],$Q$5))</f>
        <v/>
      </c>
    </row>
    <row r="20043" spans="15:15" x14ac:dyDescent="0.25">
      <c r="O20043" s="20" t="str">
        <f>IF(N20043="","",COUNTIFS(RawData[[Date ]],N20043,RawData[Month List],$Q$6,RawData[Tour/Site],$Q$2,RawData[[Picker ID ]],$Q$3,RawData[Checker ID],$Q$4,RawData[[Error Type ]],$Q$5))</f>
        <v/>
      </c>
    </row>
    <row r="20044" spans="15:15" x14ac:dyDescent="0.25">
      <c r="O20044" s="20" t="str">
        <f>IF(N20044="","",COUNTIFS(RawData[[Date ]],N20044,RawData[Month List],$Q$6,RawData[Tour/Site],$Q$2,RawData[[Picker ID ]],$Q$3,RawData[Checker ID],$Q$4,RawData[[Error Type ]],$Q$5))</f>
        <v/>
      </c>
    </row>
    <row r="20045" spans="15:15" x14ac:dyDescent="0.25">
      <c r="O20045" s="20" t="str">
        <f>IF(N20045="","",COUNTIFS(RawData[[Date ]],N20045,RawData[Month List],$Q$6,RawData[Tour/Site],$Q$2,RawData[[Picker ID ]],$Q$3,RawData[Checker ID],$Q$4,RawData[[Error Type ]],$Q$5))</f>
        <v/>
      </c>
    </row>
    <row r="20046" spans="15:15" x14ac:dyDescent="0.25">
      <c r="O20046" s="20" t="str">
        <f>IF(N20046="","",COUNTIFS(RawData[[Date ]],N20046,RawData[Month List],$Q$6,RawData[Tour/Site],$Q$2,RawData[[Picker ID ]],$Q$3,RawData[Checker ID],$Q$4,RawData[[Error Type ]],$Q$5))</f>
        <v/>
      </c>
    </row>
    <row r="20047" spans="15:15" x14ac:dyDescent="0.25">
      <c r="O20047" s="20" t="str">
        <f>IF(N20047="","",COUNTIFS(RawData[[Date ]],N20047,RawData[Month List],$Q$6,RawData[Tour/Site],$Q$2,RawData[[Picker ID ]],$Q$3,RawData[Checker ID],$Q$4,RawData[[Error Type ]],$Q$5))</f>
        <v/>
      </c>
    </row>
    <row r="20048" spans="15:15" x14ac:dyDescent="0.25">
      <c r="O20048" s="20" t="str">
        <f>IF(N20048="","",COUNTIFS(RawData[[Date ]],N20048,RawData[Month List],$Q$6,RawData[Tour/Site],$Q$2,RawData[[Picker ID ]],$Q$3,RawData[Checker ID],$Q$4,RawData[[Error Type ]],$Q$5))</f>
        <v/>
      </c>
    </row>
    <row r="20049" spans="15:15" x14ac:dyDescent="0.25">
      <c r="O20049" s="20" t="str">
        <f>IF(N20049="","",COUNTIFS(RawData[[Date ]],N20049,RawData[Month List],$Q$6,RawData[Tour/Site],$Q$2,RawData[[Picker ID ]],$Q$3,RawData[Checker ID],$Q$4,RawData[[Error Type ]],$Q$5))</f>
        <v/>
      </c>
    </row>
    <row r="20050" spans="15:15" x14ac:dyDescent="0.25">
      <c r="O20050" s="20" t="str">
        <f>IF(N20050="","",COUNTIFS(RawData[[Date ]],N20050,RawData[Month List],$Q$6,RawData[Tour/Site],$Q$2,RawData[[Picker ID ]],$Q$3,RawData[Checker ID],$Q$4,RawData[[Error Type ]],$Q$5))</f>
        <v/>
      </c>
    </row>
    <row r="20051" spans="15:15" x14ac:dyDescent="0.25">
      <c r="O20051" s="20" t="str">
        <f>IF(N20051="","",COUNTIFS(RawData[[Date ]],N20051,RawData[Month List],$Q$6,RawData[Tour/Site],$Q$2,RawData[[Picker ID ]],$Q$3,RawData[Checker ID],$Q$4,RawData[[Error Type ]],$Q$5))</f>
        <v/>
      </c>
    </row>
    <row r="20052" spans="15:15" x14ac:dyDescent="0.25">
      <c r="O20052" s="20" t="str">
        <f>IF(N20052="","",COUNTIFS(RawData[[Date ]],N20052,RawData[Month List],$Q$6,RawData[Tour/Site],$Q$2,RawData[[Picker ID ]],$Q$3,RawData[Checker ID],$Q$4,RawData[[Error Type ]],$Q$5))</f>
        <v/>
      </c>
    </row>
    <row r="20053" spans="15:15" x14ac:dyDescent="0.25">
      <c r="O20053" s="20" t="str">
        <f>IF(N20053="","",COUNTIFS(RawData[[Date ]],N20053,RawData[Month List],$Q$6,RawData[Tour/Site],$Q$2,RawData[[Picker ID ]],$Q$3,RawData[Checker ID],$Q$4,RawData[[Error Type ]],$Q$5))</f>
        <v/>
      </c>
    </row>
    <row r="20054" spans="15:15" x14ac:dyDescent="0.25">
      <c r="O20054" s="20" t="str">
        <f>IF(N20054="","",COUNTIFS(RawData[[Date ]],N20054,RawData[Month List],$Q$6,RawData[Tour/Site],$Q$2,RawData[[Picker ID ]],$Q$3,RawData[Checker ID],$Q$4,RawData[[Error Type ]],$Q$5))</f>
        <v/>
      </c>
    </row>
    <row r="20055" spans="15:15" x14ac:dyDescent="0.25">
      <c r="O20055" s="20" t="str">
        <f>IF(N20055="","",COUNTIFS(RawData[[Date ]],N20055,RawData[Month List],$Q$6,RawData[Tour/Site],$Q$2,RawData[[Picker ID ]],$Q$3,RawData[Checker ID],$Q$4,RawData[[Error Type ]],$Q$5))</f>
        <v/>
      </c>
    </row>
    <row r="20056" spans="15:15" x14ac:dyDescent="0.25">
      <c r="O20056" s="20" t="str">
        <f>IF(N20056="","",COUNTIFS(RawData[[Date ]],N20056,RawData[Month List],$Q$6,RawData[Tour/Site],$Q$2,RawData[[Picker ID ]],$Q$3,RawData[Checker ID],$Q$4,RawData[[Error Type ]],$Q$5))</f>
        <v/>
      </c>
    </row>
    <row r="20057" spans="15:15" x14ac:dyDescent="0.25">
      <c r="O20057" s="20" t="str">
        <f>IF(N20057="","",COUNTIFS(RawData[[Date ]],N20057,RawData[Month List],$Q$6,RawData[Tour/Site],$Q$2,RawData[[Picker ID ]],$Q$3,RawData[Checker ID],$Q$4,RawData[[Error Type ]],$Q$5))</f>
        <v/>
      </c>
    </row>
    <row r="20058" spans="15:15" x14ac:dyDescent="0.25">
      <c r="O20058" s="20" t="str">
        <f>IF(N20058="","",COUNTIFS(RawData[[Date ]],N20058,RawData[Month List],$Q$6,RawData[Tour/Site],$Q$2,RawData[[Picker ID ]],$Q$3,RawData[Checker ID],$Q$4,RawData[[Error Type ]],$Q$5))</f>
        <v/>
      </c>
    </row>
    <row r="20059" spans="15:15" x14ac:dyDescent="0.25">
      <c r="O20059" s="20" t="str">
        <f>IF(N20059="","",COUNTIFS(RawData[[Date ]],N20059,RawData[Month List],$Q$6,RawData[Tour/Site],$Q$2,RawData[[Picker ID ]],$Q$3,RawData[Checker ID],$Q$4,RawData[[Error Type ]],$Q$5))</f>
        <v/>
      </c>
    </row>
    <row r="20060" spans="15:15" x14ac:dyDescent="0.25">
      <c r="O20060" s="20" t="str">
        <f>IF(N20060="","",COUNTIFS(RawData[[Date ]],N20060,RawData[Month List],$Q$6,RawData[Tour/Site],$Q$2,RawData[[Picker ID ]],$Q$3,RawData[Checker ID],$Q$4,RawData[[Error Type ]],$Q$5))</f>
        <v/>
      </c>
    </row>
    <row r="20061" spans="15:15" x14ac:dyDescent="0.25">
      <c r="O20061" s="20" t="str">
        <f>IF(N20061="","",COUNTIFS(RawData[[Date ]],N20061,RawData[Month List],$Q$6,RawData[Tour/Site],$Q$2,RawData[[Picker ID ]],$Q$3,RawData[Checker ID],$Q$4,RawData[[Error Type ]],$Q$5))</f>
        <v/>
      </c>
    </row>
    <row r="20062" spans="15:15" x14ac:dyDescent="0.25">
      <c r="O20062" s="20" t="str">
        <f>IF(N20062="","",COUNTIFS(RawData[[Date ]],N20062,RawData[Month List],$Q$6,RawData[Tour/Site],$Q$2,RawData[[Picker ID ]],$Q$3,RawData[Checker ID],$Q$4,RawData[[Error Type ]],$Q$5))</f>
        <v/>
      </c>
    </row>
    <row r="20063" spans="15:15" x14ac:dyDescent="0.25">
      <c r="O20063" s="20" t="str">
        <f>IF(N20063="","",COUNTIFS(RawData[[Date ]],N20063,RawData[Month List],$Q$6,RawData[Tour/Site],$Q$2,RawData[[Picker ID ]],$Q$3,RawData[Checker ID],$Q$4,RawData[[Error Type ]],$Q$5))</f>
        <v/>
      </c>
    </row>
    <row r="20064" spans="15:15" x14ac:dyDescent="0.25">
      <c r="O20064" s="20" t="str">
        <f>IF(N20064="","",COUNTIFS(RawData[[Date ]],N20064,RawData[Month List],$Q$6,RawData[Tour/Site],$Q$2,RawData[[Picker ID ]],$Q$3,RawData[Checker ID],$Q$4,RawData[[Error Type ]],$Q$5))</f>
        <v/>
      </c>
    </row>
    <row r="20065" spans="15:15" x14ac:dyDescent="0.25">
      <c r="O20065" s="20" t="str">
        <f>IF(N20065="","",COUNTIFS(RawData[[Date ]],N20065,RawData[Month List],$Q$6,RawData[Tour/Site],$Q$2,RawData[[Picker ID ]],$Q$3,RawData[Checker ID],$Q$4,RawData[[Error Type ]],$Q$5))</f>
        <v/>
      </c>
    </row>
    <row r="20066" spans="15:15" x14ac:dyDescent="0.25">
      <c r="O20066" s="20" t="str">
        <f>IF(N20066="","",COUNTIFS(RawData[[Date ]],N20066,RawData[Month List],$Q$6,RawData[Tour/Site],$Q$2,RawData[[Picker ID ]],$Q$3,RawData[Checker ID],$Q$4,RawData[[Error Type ]],$Q$5))</f>
        <v/>
      </c>
    </row>
    <row r="20067" spans="15:15" x14ac:dyDescent="0.25">
      <c r="O20067" s="20" t="str">
        <f>IF(N20067="","",COUNTIFS(RawData[[Date ]],N20067,RawData[Month List],$Q$6,RawData[Tour/Site],$Q$2,RawData[[Picker ID ]],$Q$3,RawData[Checker ID],$Q$4,RawData[[Error Type ]],$Q$5))</f>
        <v/>
      </c>
    </row>
    <row r="20068" spans="15:15" x14ac:dyDescent="0.25">
      <c r="O20068" s="20" t="str">
        <f>IF(N20068="","",COUNTIFS(RawData[[Date ]],N20068,RawData[Month List],$Q$6,RawData[Tour/Site],$Q$2,RawData[[Picker ID ]],$Q$3,RawData[Checker ID],$Q$4,RawData[[Error Type ]],$Q$5))</f>
        <v/>
      </c>
    </row>
    <row r="20069" spans="15:15" x14ac:dyDescent="0.25">
      <c r="O20069" s="20" t="str">
        <f>IF(N20069="","",COUNTIFS(RawData[[Date ]],N20069,RawData[Month List],$Q$6,RawData[Tour/Site],$Q$2,RawData[[Picker ID ]],$Q$3,RawData[Checker ID],$Q$4,RawData[[Error Type ]],$Q$5))</f>
        <v/>
      </c>
    </row>
    <row r="20070" spans="15:15" x14ac:dyDescent="0.25">
      <c r="O20070" s="20" t="str">
        <f>IF(N20070="","",COUNTIFS(RawData[[Date ]],N20070,RawData[Month List],$Q$6,RawData[Tour/Site],$Q$2,RawData[[Picker ID ]],$Q$3,RawData[Checker ID],$Q$4,RawData[[Error Type ]],$Q$5))</f>
        <v/>
      </c>
    </row>
    <row r="20071" spans="15:15" x14ac:dyDescent="0.25">
      <c r="O20071" s="20" t="str">
        <f>IF(N20071="","",COUNTIFS(RawData[[Date ]],N20071,RawData[Month List],$Q$6,RawData[Tour/Site],$Q$2,RawData[[Picker ID ]],$Q$3,RawData[Checker ID],$Q$4,RawData[[Error Type ]],$Q$5))</f>
        <v/>
      </c>
    </row>
    <row r="20072" spans="15:15" x14ac:dyDescent="0.25">
      <c r="O20072" s="20" t="str">
        <f>IF(N20072="","",COUNTIFS(RawData[[Date ]],N20072,RawData[Month List],$Q$6,RawData[Tour/Site],$Q$2,RawData[[Picker ID ]],$Q$3,RawData[Checker ID],$Q$4,RawData[[Error Type ]],$Q$5))</f>
        <v/>
      </c>
    </row>
    <row r="20073" spans="15:15" x14ac:dyDescent="0.25">
      <c r="O20073" s="20" t="str">
        <f>IF(N20073="","",COUNTIFS(RawData[[Date ]],N20073,RawData[Month List],$Q$6,RawData[Tour/Site],$Q$2,RawData[[Picker ID ]],$Q$3,RawData[Checker ID],$Q$4,RawData[[Error Type ]],$Q$5))</f>
        <v/>
      </c>
    </row>
    <row r="20074" spans="15:15" x14ac:dyDescent="0.25">
      <c r="O20074" s="20" t="str">
        <f>IF(N20074="","",COUNTIFS(RawData[[Date ]],N20074,RawData[Month List],$Q$6,RawData[Tour/Site],$Q$2,RawData[[Picker ID ]],$Q$3,RawData[Checker ID],$Q$4,RawData[[Error Type ]],$Q$5))</f>
        <v/>
      </c>
    </row>
    <row r="20075" spans="15:15" x14ac:dyDescent="0.25">
      <c r="O20075" s="20" t="str">
        <f>IF(N20075="","",COUNTIFS(RawData[[Date ]],N20075,RawData[Month List],$Q$6,RawData[Tour/Site],$Q$2,RawData[[Picker ID ]],$Q$3,RawData[Checker ID],$Q$4,RawData[[Error Type ]],$Q$5))</f>
        <v/>
      </c>
    </row>
    <row r="20076" spans="15:15" x14ac:dyDescent="0.25">
      <c r="O20076" s="20" t="str">
        <f>IF(N20076="","",COUNTIFS(RawData[[Date ]],N20076,RawData[Month List],$Q$6,RawData[Tour/Site],$Q$2,RawData[[Picker ID ]],$Q$3,RawData[Checker ID],$Q$4,RawData[[Error Type ]],$Q$5))</f>
        <v/>
      </c>
    </row>
    <row r="20077" spans="15:15" x14ac:dyDescent="0.25">
      <c r="O20077" s="20" t="str">
        <f>IF(N20077="","",COUNTIFS(RawData[[Date ]],N20077,RawData[Month List],$Q$6,RawData[Tour/Site],$Q$2,RawData[[Picker ID ]],$Q$3,RawData[Checker ID],$Q$4,RawData[[Error Type ]],$Q$5))</f>
        <v/>
      </c>
    </row>
    <row r="20078" spans="15:15" x14ac:dyDescent="0.25">
      <c r="O20078" s="20" t="str">
        <f>IF(N20078="","",COUNTIFS(RawData[[Date ]],N20078,RawData[Month List],$Q$6,RawData[Tour/Site],$Q$2,RawData[[Picker ID ]],$Q$3,RawData[Checker ID],$Q$4,RawData[[Error Type ]],$Q$5))</f>
        <v/>
      </c>
    </row>
    <row r="20079" spans="15:15" x14ac:dyDescent="0.25">
      <c r="O20079" s="20" t="str">
        <f>IF(N20079="","",COUNTIFS(RawData[[Date ]],N20079,RawData[Month List],$Q$6,RawData[Tour/Site],$Q$2,RawData[[Picker ID ]],$Q$3,RawData[Checker ID],$Q$4,RawData[[Error Type ]],$Q$5))</f>
        <v/>
      </c>
    </row>
    <row r="20080" spans="15:15" x14ac:dyDescent="0.25">
      <c r="O20080" s="20" t="str">
        <f>IF(N20080="","",COUNTIFS(RawData[[Date ]],N20080,RawData[Month List],$Q$6,RawData[Tour/Site],$Q$2,RawData[[Picker ID ]],$Q$3,RawData[Checker ID],$Q$4,RawData[[Error Type ]],$Q$5))</f>
        <v/>
      </c>
    </row>
    <row r="20081" spans="15:15" x14ac:dyDescent="0.25">
      <c r="O20081" s="20" t="str">
        <f>IF(N20081="","",COUNTIFS(RawData[[Date ]],N20081,RawData[Month List],$Q$6,RawData[Tour/Site],$Q$2,RawData[[Picker ID ]],$Q$3,RawData[Checker ID],$Q$4,RawData[[Error Type ]],$Q$5))</f>
        <v/>
      </c>
    </row>
    <row r="20082" spans="15:15" x14ac:dyDescent="0.25">
      <c r="O20082" s="20" t="str">
        <f>IF(N20082="","",COUNTIFS(RawData[[Date ]],N20082,RawData[Month List],$Q$6,RawData[Tour/Site],$Q$2,RawData[[Picker ID ]],$Q$3,RawData[Checker ID],$Q$4,RawData[[Error Type ]],$Q$5))</f>
        <v/>
      </c>
    </row>
    <row r="20083" spans="15:15" x14ac:dyDescent="0.25">
      <c r="O20083" s="20" t="str">
        <f>IF(N20083="","",COUNTIFS(RawData[[Date ]],N20083,RawData[Month List],$Q$6,RawData[Tour/Site],$Q$2,RawData[[Picker ID ]],$Q$3,RawData[Checker ID],$Q$4,RawData[[Error Type ]],$Q$5))</f>
        <v/>
      </c>
    </row>
    <row r="20084" spans="15:15" x14ac:dyDescent="0.25">
      <c r="O20084" s="20" t="str">
        <f>IF(N20084="","",COUNTIFS(RawData[[Date ]],N20084,RawData[Month List],$Q$6,RawData[Tour/Site],$Q$2,RawData[[Picker ID ]],$Q$3,RawData[Checker ID],$Q$4,RawData[[Error Type ]],$Q$5))</f>
        <v/>
      </c>
    </row>
    <row r="20085" spans="15:15" x14ac:dyDescent="0.25">
      <c r="O20085" s="20" t="str">
        <f>IF(N20085="","",COUNTIFS(RawData[[Date ]],N20085,RawData[Month List],$Q$6,RawData[Tour/Site],$Q$2,RawData[[Picker ID ]],$Q$3,RawData[Checker ID],$Q$4,RawData[[Error Type ]],$Q$5))</f>
        <v/>
      </c>
    </row>
    <row r="20086" spans="15:15" x14ac:dyDescent="0.25">
      <c r="O20086" s="20" t="str">
        <f>IF(N20086="","",COUNTIFS(RawData[[Date ]],N20086,RawData[Month List],$Q$6,RawData[Tour/Site],$Q$2,RawData[[Picker ID ]],$Q$3,RawData[Checker ID],$Q$4,RawData[[Error Type ]],$Q$5))</f>
        <v/>
      </c>
    </row>
    <row r="20087" spans="15:15" x14ac:dyDescent="0.25">
      <c r="O20087" s="20" t="str">
        <f>IF(N20087="","",COUNTIFS(RawData[[Date ]],N20087,RawData[Month List],$Q$6,RawData[Tour/Site],$Q$2,RawData[[Picker ID ]],$Q$3,RawData[Checker ID],$Q$4,RawData[[Error Type ]],$Q$5))</f>
        <v/>
      </c>
    </row>
    <row r="20088" spans="15:15" x14ac:dyDescent="0.25">
      <c r="O20088" s="20" t="str">
        <f>IF(N20088="","",COUNTIFS(RawData[[Date ]],N20088,RawData[Month List],$Q$6,RawData[Tour/Site],$Q$2,RawData[[Picker ID ]],$Q$3,RawData[Checker ID],$Q$4,RawData[[Error Type ]],$Q$5))</f>
        <v/>
      </c>
    </row>
    <row r="20089" spans="15:15" x14ac:dyDescent="0.25">
      <c r="O20089" s="20" t="str">
        <f>IF(N20089="","",COUNTIFS(RawData[[Date ]],N20089,RawData[Month List],$Q$6,RawData[Tour/Site],$Q$2,RawData[[Picker ID ]],$Q$3,RawData[Checker ID],$Q$4,RawData[[Error Type ]],$Q$5))</f>
        <v/>
      </c>
    </row>
    <row r="20090" spans="15:15" x14ac:dyDescent="0.25">
      <c r="O20090" s="20" t="str">
        <f>IF(N20090="","",COUNTIFS(RawData[[Date ]],N20090,RawData[Month List],$Q$6,RawData[Tour/Site],$Q$2,RawData[[Picker ID ]],$Q$3,RawData[Checker ID],$Q$4,RawData[[Error Type ]],$Q$5))</f>
        <v/>
      </c>
    </row>
    <row r="20091" spans="15:15" x14ac:dyDescent="0.25">
      <c r="O20091" s="20" t="str">
        <f>IF(N20091="","",COUNTIFS(RawData[[Date ]],N20091,RawData[Month List],$Q$6,RawData[Tour/Site],$Q$2,RawData[[Picker ID ]],$Q$3,RawData[Checker ID],$Q$4,RawData[[Error Type ]],$Q$5))</f>
        <v/>
      </c>
    </row>
    <row r="20092" spans="15:15" x14ac:dyDescent="0.25">
      <c r="O20092" s="20" t="str">
        <f>IF(N20092="","",COUNTIFS(RawData[[Date ]],N20092,RawData[Month List],$Q$6,RawData[Tour/Site],$Q$2,RawData[[Picker ID ]],$Q$3,RawData[Checker ID],$Q$4,RawData[[Error Type ]],$Q$5))</f>
        <v/>
      </c>
    </row>
    <row r="20093" spans="15:15" x14ac:dyDescent="0.25">
      <c r="O20093" s="20" t="str">
        <f>IF(N20093="","",COUNTIFS(RawData[[Date ]],N20093,RawData[Month List],$Q$6,RawData[Tour/Site],$Q$2,RawData[[Picker ID ]],$Q$3,RawData[Checker ID],$Q$4,RawData[[Error Type ]],$Q$5))</f>
        <v/>
      </c>
    </row>
    <row r="20094" spans="15:15" x14ac:dyDescent="0.25">
      <c r="O20094" s="20" t="str">
        <f>IF(N20094="","",COUNTIFS(RawData[[Date ]],N20094,RawData[Month List],$Q$6,RawData[Tour/Site],$Q$2,RawData[[Picker ID ]],$Q$3,RawData[Checker ID],$Q$4,RawData[[Error Type ]],$Q$5))</f>
        <v/>
      </c>
    </row>
    <row r="20095" spans="15:15" x14ac:dyDescent="0.25">
      <c r="O20095" s="20" t="str">
        <f>IF(N20095="","",COUNTIFS(RawData[[Date ]],N20095,RawData[Month List],$Q$6,RawData[Tour/Site],$Q$2,RawData[[Picker ID ]],$Q$3,RawData[Checker ID],$Q$4,RawData[[Error Type ]],$Q$5))</f>
        <v/>
      </c>
    </row>
    <row r="20096" spans="15:15" x14ac:dyDescent="0.25">
      <c r="O20096" s="20" t="str">
        <f>IF(N20096="","",COUNTIFS(RawData[[Date ]],N20096,RawData[Month List],$Q$6,RawData[Tour/Site],$Q$2,RawData[[Picker ID ]],$Q$3,RawData[Checker ID],$Q$4,RawData[[Error Type ]],$Q$5))</f>
        <v/>
      </c>
    </row>
    <row r="20097" spans="15:15" x14ac:dyDescent="0.25">
      <c r="O20097" s="20" t="str">
        <f>IF(N20097="","",COUNTIFS(RawData[[Date ]],N20097,RawData[Month List],$Q$6,RawData[Tour/Site],$Q$2,RawData[[Picker ID ]],$Q$3,RawData[Checker ID],$Q$4,RawData[[Error Type ]],$Q$5))</f>
        <v/>
      </c>
    </row>
    <row r="20098" spans="15:15" x14ac:dyDescent="0.25">
      <c r="O20098" s="20" t="str">
        <f>IF(N20098="","",COUNTIFS(RawData[[Date ]],N20098,RawData[Month List],$Q$6,RawData[Tour/Site],$Q$2,RawData[[Picker ID ]],$Q$3,RawData[Checker ID],$Q$4,RawData[[Error Type ]],$Q$5))</f>
        <v/>
      </c>
    </row>
    <row r="20099" spans="15:15" x14ac:dyDescent="0.25">
      <c r="O20099" s="20" t="str">
        <f>IF(N20099="","",COUNTIFS(RawData[[Date ]],N20099,RawData[Month List],$Q$6,RawData[Tour/Site],$Q$2,RawData[[Picker ID ]],$Q$3,RawData[Checker ID],$Q$4,RawData[[Error Type ]],$Q$5))</f>
        <v/>
      </c>
    </row>
    <row r="20100" spans="15:15" x14ac:dyDescent="0.25">
      <c r="O20100" s="20" t="str">
        <f>IF(N20100="","",COUNTIFS(RawData[[Date ]],N20100,RawData[Month List],$Q$6,RawData[Tour/Site],$Q$2,RawData[[Picker ID ]],$Q$3,RawData[Checker ID],$Q$4,RawData[[Error Type ]],$Q$5))</f>
        <v/>
      </c>
    </row>
    <row r="20101" spans="15:15" x14ac:dyDescent="0.25">
      <c r="O20101" s="20" t="str">
        <f>IF(N20101="","",COUNTIFS(RawData[[Date ]],N20101,RawData[Month List],$Q$6,RawData[Tour/Site],$Q$2,RawData[[Picker ID ]],$Q$3,RawData[Checker ID],$Q$4,RawData[[Error Type ]],$Q$5))</f>
        <v/>
      </c>
    </row>
    <row r="20102" spans="15:15" x14ac:dyDescent="0.25">
      <c r="O20102" s="20" t="str">
        <f>IF(N20102="","",COUNTIFS(RawData[[Date ]],N20102,RawData[Month List],$Q$6,RawData[Tour/Site],$Q$2,RawData[[Picker ID ]],$Q$3,RawData[Checker ID],$Q$4,RawData[[Error Type ]],$Q$5))</f>
        <v/>
      </c>
    </row>
    <row r="20103" spans="15:15" x14ac:dyDescent="0.25">
      <c r="O20103" s="20" t="str">
        <f>IF(N20103="","",COUNTIFS(RawData[[Date ]],N20103,RawData[Month List],$Q$6,RawData[Tour/Site],$Q$2,RawData[[Picker ID ]],$Q$3,RawData[Checker ID],$Q$4,RawData[[Error Type ]],$Q$5))</f>
        <v/>
      </c>
    </row>
    <row r="20104" spans="15:15" x14ac:dyDescent="0.25">
      <c r="O20104" s="20" t="str">
        <f>IF(N20104="","",COUNTIFS(RawData[[Date ]],N20104,RawData[Month List],$Q$6,RawData[Tour/Site],$Q$2,RawData[[Picker ID ]],$Q$3,RawData[Checker ID],$Q$4,RawData[[Error Type ]],$Q$5))</f>
        <v/>
      </c>
    </row>
    <row r="20105" spans="15:15" x14ac:dyDescent="0.25">
      <c r="O20105" s="20" t="str">
        <f>IF(N20105="","",COUNTIFS(RawData[[Date ]],N20105,RawData[Month List],$Q$6,RawData[Tour/Site],$Q$2,RawData[[Picker ID ]],$Q$3,RawData[Checker ID],$Q$4,RawData[[Error Type ]],$Q$5))</f>
        <v/>
      </c>
    </row>
    <row r="20106" spans="15:15" x14ac:dyDescent="0.25">
      <c r="O20106" s="20" t="str">
        <f>IF(N20106="","",COUNTIFS(RawData[[Date ]],N20106,RawData[Month List],$Q$6,RawData[Tour/Site],$Q$2,RawData[[Picker ID ]],$Q$3,RawData[Checker ID],$Q$4,RawData[[Error Type ]],$Q$5))</f>
        <v/>
      </c>
    </row>
    <row r="20107" spans="15:15" x14ac:dyDescent="0.25">
      <c r="O20107" s="20" t="str">
        <f>IF(N20107="","",COUNTIFS(RawData[[Date ]],N20107,RawData[Month List],$Q$6,RawData[Tour/Site],$Q$2,RawData[[Picker ID ]],$Q$3,RawData[Checker ID],$Q$4,RawData[[Error Type ]],$Q$5))</f>
        <v/>
      </c>
    </row>
    <row r="20108" spans="15:15" x14ac:dyDescent="0.25">
      <c r="O20108" s="20" t="str">
        <f>IF(N20108="","",COUNTIFS(RawData[[Date ]],N20108,RawData[Month List],$Q$6,RawData[Tour/Site],$Q$2,RawData[[Picker ID ]],$Q$3,RawData[Checker ID],$Q$4,RawData[[Error Type ]],$Q$5))</f>
        <v/>
      </c>
    </row>
    <row r="20109" spans="15:15" x14ac:dyDescent="0.25">
      <c r="O20109" s="20" t="str">
        <f>IF(N20109="","",COUNTIFS(RawData[[Date ]],N20109,RawData[Month List],$Q$6,RawData[Tour/Site],$Q$2,RawData[[Picker ID ]],$Q$3,RawData[Checker ID],$Q$4,RawData[[Error Type ]],$Q$5))</f>
        <v/>
      </c>
    </row>
    <row r="20110" spans="15:15" x14ac:dyDescent="0.25">
      <c r="O20110" s="20" t="str">
        <f>IF(N20110="","",COUNTIFS(RawData[[Date ]],N20110,RawData[Month List],$Q$6,RawData[Tour/Site],$Q$2,RawData[[Picker ID ]],$Q$3,RawData[Checker ID],$Q$4,RawData[[Error Type ]],$Q$5))</f>
        <v/>
      </c>
    </row>
    <row r="20111" spans="15:15" x14ac:dyDescent="0.25">
      <c r="O20111" s="20" t="str">
        <f>IF(N20111="","",COUNTIFS(RawData[[Date ]],N20111,RawData[Month List],$Q$6,RawData[Tour/Site],$Q$2,RawData[[Picker ID ]],$Q$3,RawData[Checker ID],$Q$4,RawData[[Error Type ]],$Q$5))</f>
        <v/>
      </c>
    </row>
    <row r="20112" spans="15:15" x14ac:dyDescent="0.25">
      <c r="O20112" s="20" t="str">
        <f>IF(N20112="","",COUNTIFS(RawData[[Date ]],N20112,RawData[Month List],$Q$6,RawData[Tour/Site],$Q$2,RawData[[Picker ID ]],$Q$3,RawData[Checker ID],$Q$4,RawData[[Error Type ]],$Q$5))</f>
        <v/>
      </c>
    </row>
    <row r="20113" spans="15:15" x14ac:dyDescent="0.25">
      <c r="O20113" s="20" t="str">
        <f>IF(N20113="","",COUNTIFS(RawData[[Date ]],N20113,RawData[Month List],$Q$6,RawData[Tour/Site],$Q$2,RawData[[Picker ID ]],$Q$3,RawData[Checker ID],$Q$4,RawData[[Error Type ]],$Q$5))</f>
        <v/>
      </c>
    </row>
    <row r="20114" spans="15:15" x14ac:dyDescent="0.25">
      <c r="O20114" s="20" t="str">
        <f>IF(N20114="","",COUNTIFS(RawData[[Date ]],N20114,RawData[Month List],$Q$6,RawData[Tour/Site],$Q$2,RawData[[Picker ID ]],$Q$3,RawData[Checker ID],$Q$4,RawData[[Error Type ]],$Q$5))</f>
        <v/>
      </c>
    </row>
    <row r="20115" spans="15:15" x14ac:dyDescent="0.25">
      <c r="O20115" s="20" t="str">
        <f>IF(N20115="","",COUNTIFS(RawData[[Date ]],N20115,RawData[Month List],$Q$6,RawData[Tour/Site],$Q$2,RawData[[Picker ID ]],$Q$3,RawData[Checker ID],$Q$4,RawData[[Error Type ]],$Q$5))</f>
        <v/>
      </c>
    </row>
    <row r="20116" spans="15:15" x14ac:dyDescent="0.25">
      <c r="O20116" s="20" t="str">
        <f>IF(N20116="","",COUNTIFS(RawData[[Date ]],N20116,RawData[Month List],$Q$6,RawData[Tour/Site],$Q$2,RawData[[Picker ID ]],$Q$3,RawData[Checker ID],$Q$4,RawData[[Error Type ]],$Q$5))</f>
        <v/>
      </c>
    </row>
    <row r="20117" spans="15:15" x14ac:dyDescent="0.25">
      <c r="O20117" s="20" t="str">
        <f>IF(N20117="","",COUNTIFS(RawData[[Date ]],N20117,RawData[Month List],$Q$6,RawData[Tour/Site],$Q$2,RawData[[Picker ID ]],$Q$3,RawData[Checker ID],$Q$4,RawData[[Error Type ]],$Q$5))</f>
        <v/>
      </c>
    </row>
    <row r="20118" spans="15:15" x14ac:dyDescent="0.25">
      <c r="O20118" s="20" t="str">
        <f>IF(N20118="","",COUNTIFS(RawData[[Date ]],N20118,RawData[Month List],$Q$6,RawData[Tour/Site],$Q$2,RawData[[Picker ID ]],$Q$3,RawData[Checker ID],$Q$4,RawData[[Error Type ]],$Q$5))</f>
        <v/>
      </c>
    </row>
    <row r="20119" spans="15:15" x14ac:dyDescent="0.25">
      <c r="O20119" s="20" t="str">
        <f>IF(N20119="","",COUNTIFS(RawData[[Date ]],N20119,RawData[Month List],$Q$6,RawData[Tour/Site],$Q$2,RawData[[Picker ID ]],$Q$3,RawData[Checker ID],$Q$4,RawData[[Error Type ]],$Q$5))</f>
        <v/>
      </c>
    </row>
    <row r="20120" spans="15:15" x14ac:dyDescent="0.25">
      <c r="O20120" s="20" t="str">
        <f>IF(N20120="","",COUNTIFS(RawData[[Date ]],N20120,RawData[Month List],$Q$6,RawData[Tour/Site],$Q$2,RawData[[Picker ID ]],$Q$3,RawData[Checker ID],$Q$4,RawData[[Error Type ]],$Q$5))</f>
        <v/>
      </c>
    </row>
    <row r="20121" spans="15:15" x14ac:dyDescent="0.25">
      <c r="O20121" s="20" t="str">
        <f>IF(N20121="","",COUNTIFS(RawData[[Date ]],N20121,RawData[Month List],$Q$6,RawData[Tour/Site],$Q$2,RawData[[Picker ID ]],$Q$3,RawData[Checker ID],$Q$4,RawData[[Error Type ]],$Q$5))</f>
        <v/>
      </c>
    </row>
    <row r="20122" spans="15:15" x14ac:dyDescent="0.25">
      <c r="O20122" s="20" t="str">
        <f>IF(N20122="","",COUNTIFS(RawData[[Date ]],N20122,RawData[Month List],$Q$6,RawData[Tour/Site],$Q$2,RawData[[Picker ID ]],$Q$3,RawData[Checker ID],$Q$4,RawData[[Error Type ]],$Q$5))</f>
        <v/>
      </c>
    </row>
    <row r="20123" spans="15:15" x14ac:dyDescent="0.25">
      <c r="O20123" s="20" t="str">
        <f>IF(N20123="","",COUNTIFS(RawData[[Date ]],N20123,RawData[Month List],$Q$6,RawData[Tour/Site],$Q$2,RawData[[Picker ID ]],$Q$3,RawData[Checker ID],$Q$4,RawData[[Error Type ]],$Q$5))</f>
        <v/>
      </c>
    </row>
    <row r="20124" spans="15:15" x14ac:dyDescent="0.25">
      <c r="O20124" s="20" t="str">
        <f>IF(N20124="","",COUNTIFS(RawData[[Date ]],N20124,RawData[Month List],$Q$6,RawData[Tour/Site],$Q$2,RawData[[Picker ID ]],$Q$3,RawData[Checker ID],$Q$4,RawData[[Error Type ]],$Q$5))</f>
        <v/>
      </c>
    </row>
    <row r="20125" spans="15:15" x14ac:dyDescent="0.25">
      <c r="O20125" s="20" t="str">
        <f>IF(N20125="","",COUNTIFS(RawData[[Date ]],N20125,RawData[Month List],$Q$6,RawData[Tour/Site],$Q$2,RawData[[Picker ID ]],$Q$3,RawData[Checker ID],$Q$4,RawData[[Error Type ]],$Q$5))</f>
        <v/>
      </c>
    </row>
    <row r="20126" spans="15:15" x14ac:dyDescent="0.25">
      <c r="O20126" s="20" t="str">
        <f>IF(N20126="","",COUNTIFS(RawData[[Date ]],N20126,RawData[Month List],$Q$6,RawData[Tour/Site],$Q$2,RawData[[Picker ID ]],$Q$3,RawData[Checker ID],$Q$4,RawData[[Error Type ]],$Q$5))</f>
        <v/>
      </c>
    </row>
    <row r="20127" spans="15:15" x14ac:dyDescent="0.25">
      <c r="O20127" s="20" t="str">
        <f>IF(N20127="","",COUNTIFS(RawData[[Date ]],N20127,RawData[Month List],$Q$6,RawData[Tour/Site],$Q$2,RawData[[Picker ID ]],$Q$3,RawData[Checker ID],$Q$4,RawData[[Error Type ]],$Q$5))</f>
        <v/>
      </c>
    </row>
    <row r="20128" spans="15:15" x14ac:dyDescent="0.25">
      <c r="O20128" s="20" t="str">
        <f>IF(N20128="","",COUNTIFS(RawData[[Date ]],N20128,RawData[Month List],$Q$6,RawData[Tour/Site],$Q$2,RawData[[Picker ID ]],$Q$3,RawData[Checker ID],$Q$4,RawData[[Error Type ]],$Q$5))</f>
        <v/>
      </c>
    </row>
    <row r="20129" spans="15:15" x14ac:dyDescent="0.25">
      <c r="O20129" s="20" t="str">
        <f>IF(N20129="","",COUNTIFS(RawData[[Date ]],N20129,RawData[Month List],$Q$6,RawData[Tour/Site],$Q$2,RawData[[Picker ID ]],$Q$3,RawData[Checker ID],$Q$4,RawData[[Error Type ]],$Q$5))</f>
        <v/>
      </c>
    </row>
    <row r="20130" spans="15:15" x14ac:dyDescent="0.25">
      <c r="O20130" s="20" t="str">
        <f>IF(N20130="","",COUNTIFS(RawData[[Date ]],N20130,RawData[Month List],$Q$6,RawData[Tour/Site],$Q$2,RawData[[Picker ID ]],$Q$3,RawData[Checker ID],$Q$4,RawData[[Error Type ]],$Q$5))</f>
        <v/>
      </c>
    </row>
    <row r="20131" spans="15:15" x14ac:dyDescent="0.25">
      <c r="O20131" s="20" t="str">
        <f>IF(N20131="","",COUNTIFS(RawData[[Date ]],N20131,RawData[Month List],$Q$6,RawData[Tour/Site],$Q$2,RawData[[Picker ID ]],$Q$3,RawData[Checker ID],$Q$4,RawData[[Error Type ]],$Q$5))</f>
        <v/>
      </c>
    </row>
    <row r="20132" spans="15:15" x14ac:dyDescent="0.25">
      <c r="O20132" s="20" t="str">
        <f>IF(N20132="","",COUNTIFS(RawData[[Date ]],N20132,RawData[Month List],$Q$6,RawData[Tour/Site],$Q$2,RawData[[Picker ID ]],$Q$3,RawData[Checker ID],$Q$4,RawData[[Error Type ]],$Q$5))</f>
        <v/>
      </c>
    </row>
    <row r="20133" spans="15:15" x14ac:dyDescent="0.25">
      <c r="O20133" s="20" t="str">
        <f>IF(N20133="","",COUNTIFS(RawData[[Date ]],N20133,RawData[Month List],$Q$6,RawData[Tour/Site],$Q$2,RawData[[Picker ID ]],$Q$3,RawData[Checker ID],$Q$4,RawData[[Error Type ]],$Q$5))</f>
        <v/>
      </c>
    </row>
    <row r="20134" spans="15:15" x14ac:dyDescent="0.25">
      <c r="O20134" s="20" t="str">
        <f>IF(N20134="","",COUNTIFS(RawData[[Date ]],N20134,RawData[Month List],$Q$6,RawData[Tour/Site],$Q$2,RawData[[Picker ID ]],$Q$3,RawData[Checker ID],$Q$4,RawData[[Error Type ]],$Q$5))</f>
        <v/>
      </c>
    </row>
    <row r="20135" spans="15:15" x14ac:dyDescent="0.25">
      <c r="O20135" s="20" t="str">
        <f>IF(N20135="","",COUNTIFS(RawData[[Date ]],N20135,RawData[Month List],$Q$6,RawData[Tour/Site],$Q$2,RawData[[Picker ID ]],$Q$3,RawData[Checker ID],$Q$4,RawData[[Error Type ]],$Q$5))</f>
        <v/>
      </c>
    </row>
    <row r="20136" spans="15:15" x14ac:dyDescent="0.25">
      <c r="O20136" s="20" t="str">
        <f>IF(N20136="","",COUNTIFS(RawData[[Date ]],N20136,RawData[Month List],$Q$6,RawData[Tour/Site],$Q$2,RawData[[Picker ID ]],$Q$3,RawData[Checker ID],$Q$4,RawData[[Error Type ]],$Q$5))</f>
        <v/>
      </c>
    </row>
    <row r="20137" spans="15:15" x14ac:dyDescent="0.25">
      <c r="O20137" s="20" t="str">
        <f>IF(N20137="","",COUNTIFS(RawData[[Date ]],N20137,RawData[Month List],$Q$6,RawData[Tour/Site],$Q$2,RawData[[Picker ID ]],$Q$3,RawData[Checker ID],$Q$4,RawData[[Error Type ]],$Q$5))</f>
        <v/>
      </c>
    </row>
    <row r="20138" spans="15:15" x14ac:dyDescent="0.25">
      <c r="O20138" s="20" t="str">
        <f>IF(N20138="","",COUNTIFS(RawData[[Date ]],N20138,RawData[Month List],$Q$6,RawData[Tour/Site],$Q$2,RawData[[Picker ID ]],$Q$3,RawData[Checker ID],$Q$4,RawData[[Error Type ]],$Q$5))</f>
        <v/>
      </c>
    </row>
    <row r="20139" spans="15:15" x14ac:dyDescent="0.25">
      <c r="O20139" s="20" t="str">
        <f>IF(N20139="","",COUNTIFS(RawData[[Date ]],N20139,RawData[Month List],$Q$6,RawData[Tour/Site],$Q$2,RawData[[Picker ID ]],$Q$3,RawData[Checker ID],$Q$4,RawData[[Error Type ]],$Q$5))</f>
        <v/>
      </c>
    </row>
    <row r="20140" spans="15:15" x14ac:dyDescent="0.25">
      <c r="O20140" s="20" t="str">
        <f>IF(N20140="","",COUNTIFS(RawData[[Date ]],N20140,RawData[Month List],$Q$6,RawData[Tour/Site],$Q$2,RawData[[Picker ID ]],$Q$3,RawData[Checker ID],$Q$4,RawData[[Error Type ]],$Q$5))</f>
        <v/>
      </c>
    </row>
    <row r="20141" spans="15:15" x14ac:dyDescent="0.25">
      <c r="O20141" s="20" t="str">
        <f>IF(N20141="","",COUNTIFS(RawData[[Date ]],N20141,RawData[Month List],$Q$6,RawData[Tour/Site],$Q$2,RawData[[Picker ID ]],$Q$3,RawData[Checker ID],$Q$4,RawData[[Error Type ]],$Q$5))</f>
        <v/>
      </c>
    </row>
    <row r="20142" spans="15:15" x14ac:dyDescent="0.25">
      <c r="O20142" s="20" t="str">
        <f>IF(N20142="","",COUNTIFS(RawData[[Date ]],N20142,RawData[Month List],$Q$6,RawData[Tour/Site],$Q$2,RawData[[Picker ID ]],$Q$3,RawData[Checker ID],$Q$4,RawData[[Error Type ]],$Q$5))</f>
        <v/>
      </c>
    </row>
    <row r="20143" spans="15:15" x14ac:dyDescent="0.25">
      <c r="O20143" s="20" t="str">
        <f>IF(N20143="","",COUNTIFS(RawData[[Date ]],N20143,RawData[Month List],$Q$6,RawData[Tour/Site],$Q$2,RawData[[Picker ID ]],$Q$3,RawData[Checker ID],$Q$4,RawData[[Error Type ]],$Q$5))</f>
        <v/>
      </c>
    </row>
    <row r="20144" spans="15:15" x14ac:dyDescent="0.25">
      <c r="O20144" s="20" t="str">
        <f>IF(N20144="","",COUNTIFS(RawData[[Date ]],N20144,RawData[Month List],$Q$6,RawData[Tour/Site],$Q$2,RawData[[Picker ID ]],$Q$3,RawData[Checker ID],$Q$4,RawData[[Error Type ]],$Q$5))</f>
        <v/>
      </c>
    </row>
    <row r="20145" spans="15:15" x14ac:dyDescent="0.25">
      <c r="O20145" s="20" t="str">
        <f>IF(N20145="","",COUNTIFS(RawData[[Date ]],N20145,RawData[Month List],$Q$6,RawData[Tour/Site],$Q$2,RawData[[Picker ID ]],$Q$3,RawData[Checker ID],$Q$4,RawData[[Error Type ]],$Q$5))</f>
        <v/>
      </c>
    </row>
    <row r="20146" spans="15:15" x14ac:dyDescent="0.25">
      <c r="O20146" s="20" t="str">
        <f>IF(N20146="","",COUNTIFS(RawData[[Date ]],N20146,RawData[Month List],$Q$6,RawData[Tour/Site],$Q$2,RawData[[Picker ID ]],$Q$3,RawData[Checker ID],$Q$4,RawData[[Error Type ]],$Q$5))</f>
        <v/>
      </c>
    </row>
    <row r="20147" spans="15:15" x14ac:dyDescent="0.25">
      <c r="O20147" s="20" t="str">
        <f>IF(N20147="","",COUNTIFS(RawData[[Date ]],N20147,RawData[Month List],$Q$6,RawData[Tour/Site],$Q$2,RawData[[Picker ID ]],$Q$3,RawData[Checker ID],$Q$4,RawData[[Error Type ]],$Q$5))</f>
        <v/>
      </c>
    </row>
    <row r="20148" spans="15:15" x14ac:dyDescent="0.25">
      <c r="O20148" s="20" t="str">
        <f>IF(N20148="","",COUNTIFS(RawData[[Date ]],N20148,RawData[Month List],$Q$6,RawData[Tour/Site],$Q$2,RawData[[Picker ID ]],$Q$3,RawData[Checker ID],$Q$4,RawData[[Error Type ]],$Q$5))</f>
        <v/>
      </c>
    </row>
    <row r="20149" spans="15:15" x14ac:dyDescent="0.25">
      <c r="O20149" s="20" t="str">
        <f>IF(N20149="","",COUNTIFS(RawData[[Date ]],N20149,RawData[Month List],$Q$6,RawData[Tour/Site],$Q$2,RawData[[Picker ID ]],$Q$3,RawData[Checker ID],$Q$4,RawData[[Error Type ]],$Q$5))</f>
        <v/>
      </c>
    </row>
    <row r="20150" spans="15:15" x14ac:dyDescent="0.25">
      <c r="O20150" s="20" t="str">
        <f>IF(N20150="","",COUNTIFS(RawData[[Date ]],N20150,RawData[Month List],$Q$6,RawData[Tour/Site],$Q$2,RawData[[Picker ID ]],$Q$3,RawData[Checker ID],$Q$4,RawData[[Error Type ]],$Q$5))</f>
        <v/>
      </c>
    </row>
    <row r="20151" spans="15:15" x14ac:dyDescent="0.25">
      <c r="O20151" s="20" t="str">
        <f>IF(N20151="","",COUNTIFS(RawData[[Date ]],N20151,RawData[Month List],$Q$6,RawData[Tour/Site],$Q$2,RawData[[Picker ID ]],$Q$3,RawData[Checker ID],$Q$4,RawData[[Error Type ]],$Q$5))</f>
        <v/>
      </c>
    </row>
    <row r="20152" spans="15:15" x14ac:dyDescent="0.25">
      <c r="O20152" s="20" t="str">
        <f>IF(N20152="","",COUNTIFS(RawData[[Date ]],N20152,RawData[Month List],$Q$6,RawData[Tour/Site],$Q$2,RawData[[Picker ID ]],$Q$3,RawData[Checker ID],$Q$4,RawData[[Error Type ]],$Q$5))</f>
        <v/>
      </c>
    </row>
    <row r="20153" spans="15:15" x14ac:dyDescent="0.25">
      <c r="O20153" s="20" t="str">
        <f>IF(N20153="","",COUNTIFS(RawData[[Date ]],N20153,RawData[Month List],$Q$6,RawData[Tour/Site],$Q$2,RawData[[Picker ID ]],$Q$3,RawData[Checker ID],$Q$4,RawData[[Error Type ]],$Q$5))</f>
        <v/>
      </c>
    </row>
    <row r="20154" spans="15:15" x14ac:dyDescent="0.25">
      <c r="O20154" s="20" t="str">
        <f>IF(N20154="","",COUNTIFS(RawData[[Date ]],N20154,RawData[Month List],$Q$6,RawData[Tour/Site],$Q$2,RawData[[Picker ID ]],$Q$3,RawData[Checker ID],$Q$4,RawData[[Error Type ]],$Q$5))</f>
        <v/>
      </c>
    </row>
    <row r="20155" spans="15:15" x14ac:dyDescent="0.25">
      <c r="O20155" s="20" t="str">
        <f>IF(N20155="","",COUNTIFS(RawData[[Date ]],N20155,RawData[Month List],$Q$6,RawData[Tour/Site],$Q$2,RawData[[Picker ID ]],$Q$3,RawData[Checker ID],$Q$4,RawData[[Error Type ]],$Q$5))</f>
        <v/>
      </c>
    </row>
    <row r="20156" spans="15:15" x14ac:dyDescent="0.25">
      <c r="O20156" s="20" t="str">
        <f>IF(N20156="","",COUNTIFS(RawData[[Date ]],N20156,RawData[Month List],$Q$6,RawData[Tour/Site],$Q$2,RawData[[Picker ID ]],$Q$3,RawData[Checker ID],$Q$4,RawData[[Error Type ]],$Q$5))</f>
        <v/>
      </c>
    </row>
    <row r="20157" spans="15:15" x14ac:dyDescent="0.25">
      <c r="O20157" s="20" t="str">
        <f>IF(N20157="","",COUNTIFS(RawData[[Date ]],N20157,RawData[Month List],$Q$6,RawData[Tour/Site],$Q$2,RawData[[Picker ID ]],$Q$3,RawData[Checker ID],$Q$4,RawData[[Error Type ]],$Q$5))</f>
        <v/>
      </c>
    </row>
    <row r="20158" spans="15:15" x14ac:dyDescent="0.25">
      <c r="O20158" s="20" t="str">
        <f>IF(N20158="","",COUNTIFS(RawData[[Date ]],N20158,RawData[Month List],$Q$6,RawData[Tour/Site],$Q$2,RawData[[Picker ID ]],$Q$3,RawData[Checker ID],$Q$4,RawData[[Error Type ]],$Q$5))</f>
        <v/>
      </c>
    </row>
    <row r="20159" spans="15:15" x14ac:dyDescent="0.25">
      <c r="O20159" s="20" t="str">
        <f>IF(N20159="","",COUNTIFS(RawData[[Date ]],N20159,RawData[Month List],$Q$6,RawData[Tour/Site],$Q$2,RawData[[Picker ID ]],$Q$3,RawData[Checker ID],$Q$4,RawData[[Error Type ]],$Q$5))</f>
        <v/>
      </c>
    </row>
    <row r="20160" spans="15:15" x14ac:dyDescent="0.25">
      <c r="O20160" s="20" t="str">
        <f>IF(N20160="","",COUNTIFS(RawData[[Date ]],N20160,RawData[Month List],$Q$6,RawData[Tour/Site],$Q$2,RawData[[Picker ID ]],$Q$3,RawData[Checker ID],$Q$4,RawData[[Error Type ]],$Q$5))</f>
        <v/>
      </c>
    </row>
    <row r="20161" spans="15:15" x14ac:dyDescent="0.25">
      <c r="O20161" s="20" t="str">
        <f>IF(N20161="","",COUNTIFS(RawData[[Date ]],N20161,RawData[Month List],$Q$6,RawData[Tour/Site],$Q$2,RawData[[Picker ID ]],$Q$3,RawData[Checker ID],$Q$4,RawData[[Error Type ]],$Q$5))</f>
        <v/>
      </c>
    </row>
    <row r="20162" spans="15:15" x14ac:dyDescent="0.25">
      <c r="O20162" s="20" t="str">
        <f>IF(N20162="","",COUNTIFS(RawData[[Date ]],N20162,RawData[Month List],$Q$6,RawData[Tour/Site],$Q$2,RawData[[Picker ID ]],$Q$3,RawData[Checker ID],$Q$4,RawData[[Error Type ]],$Q$5))</f>
        <v/>
      </c>
    </row>
    <row r="20163" spans="15:15" x14ac:dyDescent="0.25">
      <c r="O20163" s="20" t="str">
        <f>IF(N20163="","",COUNTIFS(RawData[[Date ]],N20163,RawData[Month List],$Q$6,RawData[Tour/Site],$Q$2,RawData[[Picker ID ]],$Q$3,RawData[Checker ID],$Q$4,RawData[[Error Type ]],$Q$5))</f>
        <v/>
      </c>
    </row>
    <row r="20164" spans="15:15" x14ac:dyDescent="0.25">
      <c r="O20164" s="20" t="str">
        <f>IF(N20164="","",COUNTIFS(RawData[[Date ]],N20164,RawData[Month List],$Q$6,RawData[Tour/Site],$Q$2,RawData[[Picker ID ]],$Q$3,RawData[Checker ID],$Q$4,RawData[[Error Type ]],$Q$5))</f>
        <v/>
      </c>
    </row>
    <row r="20165" spans="15:15" x14ac:dyDescent="0.25">
      <c r="O20165" s="20" t="str">
        <f>IF(N20165="","",COUNTIFS(RawData[[Date ]],N20165,RawData[Month List],$Q$6,RawData[Tour/Site],$Q$2,RawData[[Picker ID ]],$Q$3,RawData[Checker ID],$Q$4,RawData[[Error Type ]],$Q$5))</f>
        <v/>
      </c>
    </row>
    <row r="20166" spans="15:15" x14ac:dyDescent="0.25">
      <c r="O20166" s="20" t="str">
        <f>IF(N20166="","",COUNTIFS(RawData[[Date ]],N20166,RawData[Month List],$Q$6,RawData[Tour/Site],$Q$2,RawData[[Picker ID ]],$Q$3,RawData[Checker ID],$Q$4,RawData[[Error Type ]],$Q$5))</f>
        <v/>
      </c>
    </row>
    <row r="20167" spans="15:15" x14ac:dyDescent="0.25">
      <c r="O20167" s="20" t="str">
        <f>IF(N20167="","",COUNTIFS(RawData[[Date ]],N20167,RawData[Month List],$Q$6,RawData[Tour/Site],$Q$2,RawData[[Picker ID ]],$Q$3,RawData[Checker ID],$Q$4,RawData[[Error Type ]],$Q$5))</f>
        <v/>
      </c>
    </row>
    <row r="20168" spans="15:15" x14ac:dyDescent="0.25">
      <c r="O20168" s="20" t="str">
        <f>IF(N20168="","",COUNTIFS(RawData[[Date ]],N20168,RawData[Month List],$Q$6,RawData[Tour/Site],$Q$2,RawData[[Picker ID ]],$Q$3,RawData[Checker ID],$Q$4,RawData[[Error Type ]],$Q$5))</f>
        <v/>
      </c>
    </row>
    <row r="20169" spans="15:15" x14ac:dyDescent="0.25">
      <c r="O20169" s="20" t="str">
        <f>IF(N20169="","",COUNTIFS(RawData[[Date ]],N20169,RawData[Month List],$Q$6,RawData[Tour/Site],$Q$2,RawData[[Picker ID ]],$Q$3,RawData[Checker ID],$Q$4,RawData[[Error Type ]],$Q$5))</f>
        <v/>
      </c>
    </row>
    <row r="20170" spans="15:15" x14ac:dyDescent="0.25">
      <c r="O20170" s="20" t="str">
        <f>IF(N20170="","",COUNTIFS(RawData[[Date ]],N20170,RawData[Month List],$Q$6,RawData[Tour/Site],$Q$2,RawData[[Picker ID ]],$Q$3,RawData[Checker ID],$Q$4,RawData[[Error Type ]],$Q$5))</f>
        <v/>
      </c>
    </row>
    <row r="20171" spans="15:15" x14ac:dyDescent="0.25">
      <c r="O20171" s="20" t="str">
        <f>IF(N20171="","",COUNTIFS(RawData[[Date ]],N20171,RawData[Month List],$Q$6,RawData[Tour/Site],$Q$2,RawData[[Picker ID ]],$Q$3,RawData[Checker ID],$Q$4,RawData[[Error Type ]],$Q$5))</f>
        <v/>
      </c>
    </row>
    <row r="20172" spans="15:15" x14ac:dyDescent="0.25">
      <c r="O20172" s="20" t="str">
        <f>IF(N20172="","",COUNTIFS(RawData[[Date ]],N20172,RawData[Month List],$Q$6,RawData[Tour/Site],$Q$2,RawData[[Picker ID ]],$Q$3,RawData[Checker ID],$Q$4,RawData[[Error Type ]],$Q$5))</f>
        <v/>
      </c>
    </row>
    <row r="20173" spans="15:15" x14ac:dyDescent="0.25">
      <c r="O20173" s="20" t="str">
        <f>IF(N20173="","",COUNTIFS(RawData[[Date ]],N20173,RawData[Month List],$Q$6,RawData[Tour/Site],$Q$2,RawData[[Picker ID ]],$Q$3,RawData[Checker ID],$Q$4,RawData[[Error Type ]],$Q$5))</f>
        <v/>
      </c>
    </row>
    <row r="20174" spans="15:15" x14ac:dyDescent="0.25">
      <c r="O20174" s="20" t="str">
        <f>IF(N20174="","",COUNTIFS(RawData[[Date ]],N20174,RawData[Month List],$Q$6,RawData[Tour/Site],$Q$2,RawData[[Picker ID ]],$Q$3,RawData[Checker ID],$Q$4,RawData[[Error Type ]],$Q$5))</f>
        <v/>
      </c>
    </row>
    <row r="20175" spans="15:15" x14ac:dyDescent="0.25">
      <c r="O20175" s="20" t="str">
        <f>IF(N20175="","",COUNTIFS(RawData[[Date ]],N20175,RawData[Month List],$Q$6,RawData[Tour/Site],$Q$2,RawData[[Picker ID ]],$Q$3,RawData[Checker ID],$Q$4,RawData[[Error Type ]],$Q$5))</f>
        <v/>
      </c>
    </row>
    <row r="20176" spans="15:15" x14ac:dyDescent="0.25">
      <c r="O20176" s="20" t="str">
        <f>IF(N20176="","",COUNTIFS(RawData[[Date ]],N20176,RawData[Month List],$Q$6,RawData[Tour/Site],$Q$2,RawData[[Picker ID ]],$Q$3,RawData[Checker ID],$Q$4,RawData[[Error Type ]],$Q$5))</f>
        <v/>
      </c>
    </row>
    <row r="20177" spans="15:15" x14ac:dyDescent="0.25">
      <c r="O20177" s="20" t="str">
        <f>IF(N20177="","",COUNTIFS(RawData[[Date ]],N20177,RawData[Month List],$Q$6,RawData[Tour/Site],$Q$2,RawData[[Picker ID ]],$Q$3,RawData[Checker ID],$Q$4,RawData[[Error Type ]],$Q$5))</f>
        <v/>
      </c>
    </row>
    <row r="20178" spans="15:15" x14ac:dyDescent="0.25">
      <c r="O20178" s="20" t="str">
        <f>IF(N20178="","",COUNTIFS(RawData[[Date ]],N20178,RawData[Month List],$Q$6,RawData[Tour/Site],$Q$2,RawData[[Picker ID ]],$Q$3,RawData[Checker ID],$Q$4,RawData[[Error Type ]],$Q$5))</f>
        <v/>
      </c>
    </row>
    <row r="20179" spans="15:15" x14ac:dyDescent="0.25">
      <c r="O20179" s="20" t="str">
        <f>IF(N20179="","",COUNTIFS(RawData[[Date ]],N20179,RawData[Month List],$Q$6,RawData[Tour/Site],$Q$2,RawData[[Picker ID ]],$Q$3,RawData[Checker ID],$Q$4,RawData[[Error Type ]],$Q$5))</f>
        <v/>
      </c>
    </row>
    <row r="20180" spans="15:15" x14ac:dyDescent="0.25">
      <c r="O20180" s="20" t="str">
        <f>IF(N20180="","",COUNTIFS(RawData[[Date ]],N20180,RawData[Month List],$Q$6,RawData[Tour/Site],$Q$2,RawData[[Picker ID ]],$Q$3,RawData[Checker ID],$Q$4,RawData[[Error Type ]],$Q$5))</f>
        <v/>
      </c>
    </row>
    <row r="20181" spans="15:15" x14ac:dyDescent="0.25">
      <c r="O20181" s="20" t="str">
        <f>IF(N20181="","",COUNTIFS(RawData[[Date ]],N20181,RawData[Month List],$Q$6,RawData[Tour/Site],$Q$2,RawData[[Picker ID ]],$Q$3,RawData[Checker ID],$Q$4,RawData[[Error Type ]],$Q$5))</f>
        <v/>
      </c>
    </row>
    <row r="20182" spans="15:15" x14ac:dyDescent="0.25">
      <c r="O20182" s="20" t="str">
        <f>IF(N20182="","",COUNTIFS(RawData[[Date ]],N20182,RawData[Month List],$Q$6,RawData[Tour/Site],$Q$2,RawData[[Picker ID ]],$Q$3,RawData[Checker ID],$Q$4,RawData[[Error Type ]],$Q$5))</f>
        <v/>
      </c>
    </row>
    <row r="20183" spans="15:15" x14ac:dyDescent="0.25">
      <c r="O20183" s="20" t="str">
        <f>IF(N20183="","",COUNTIFS(RawData[[Date ]],N20183,RawData[Month List],$Q$6,RawData[Tour/Site],$Q$2,RawData[[Picker ID ]],$Q$3,RawData[Checker ID],$Q$4,RawData[[Error Type ]],$Q$5))</f>
        <v/>
      </c>
    </row>
    <row r="20184" spans="15:15" x14ac:dyDescent="0.25">
      <c r="O20184" s="20" t="str">
        <f>IF(N20184="","",COUNTIFS(RawData[[Date ]],N20184,RawData[Month List],$Q$6,RawData[Tour/Site],$Q$2,RawData[[Picker ID ]],$Q$3,RawData[Checker ID],$Q$4,RawData[[Error Type ]],$Q$5))</f>
        <v/>
      </c>
    </row>
    <row r="20185" spans="15:15" x14ac:dyDescent="0.25">
      <c r="O20185" s="20" t="str">
        <f>IF(N20185="","",COUNTIFS(RawData[[Date ]],N20185,RawData[Month List],$Q$6,RawData[Tour/Site],$Q$2,RawData[[Picker ID ]],$Q$3,RawData[Checker ID],$Q$4,RawData[[Error Type ]],$Q$5))</f>
        <v/>
      </c>
    </row>
    <row r="20186" spans="15:15" x14ac:dyDescent="0.25">
      <c r="O20186" s="20" t="str">
        <f>IF(N20186="","",COUNTIFS(RawData[[Date ]],N20186,RawData[Month List],$Q$6,RawData[Tour/Site],$Q$2,RawData[[Picker ID ]],$Q$3,RawData[Checker ID],$Q$4,RawData[[Error Type ]],$Q$5))</f>
        <v/>
      </c>
    </row>
    <row r="20187" spans="15:15" x14ac:dyDescent="0.25">
      <c r="O20187" s="20" t="str">
        <f>IF(N20187="","",COUNTIFS(RawData[[Date ]],N20187,RawData[Month List],$Q$6,RawData[Tour/Site],$Q$2,RawData[[Picker ID ]],$Q$3,RawData[Checker ID],$Q$4,RawData[[Error Type ]],$Q$5))</f>
        <v/>
      </c>
    </row>
    <row r="20188" spans="15:15" x14ac:dyDescent="0.25">
      <c r="O20188" s="20" t="str">
        <f>IF(N20188="","",COUNTIFS(RawData[[Date ]],N20188,RawData[Month List],$Q$6,RawData[Tour/Site],$Q$2,RawData[[Picker ID ]],$Q$3,RawData[Checker ID],$Q$4,RawData[[Error Type ]],$Q$5))</f>
        <v/>
      </c>
    </row>
    <row r="20189" spans="15:15" x14ac:dyDescent="0.25">
      <c r="O20189" s="20" t="str">
        <f>IF(N20189="","",COUNTIFS(RawData[[Date ]],N20189,RawData[Month List],$Q$6,RawData[Tour/Site],$Q$2,RawData[[Picker ID ]],$Q$3,RawData[Checker ID],$Q$4,RawData[[Error Type ]],$Q$5))</f>
        <v/>
      </c>
    </row>
    <row r="20190" spans="15:15" x14ac:dyDescent="0.25">
      <c r="O20190" s="20" t="str">
        <f>IF(N20190="","",COUNTIFS(RawData[[Date ]],N20190,RawData[Month List],$Q$6,RawData[Tour/Site],$Q$2,RawData[[Picker ID ]],$Q$3,RawData[Checker ID],$Q$4,RawData[[Error Type ]],$Q$5))</f>
        <v/>
      </c>
    </row>
    <row r="20191" spans="15:15" x14ac:dyDescent="0.25">
      <c r="O20191" s="20" t="str">
        <f>IF(N20191="","",COUNTIFS(RawData[[Date ]],N20191,RawData[Month List],$Q$6,RawData[Tour/Site],$Q$2,RawData[[Picker ID ]],$Q$3,RawData[Checker ID],$Q$4,RawData[[Error Type ]],$Q$5))</f>
        <v/>
      </c>
    </row>
    <row r="20192" spans="15:15" x14ac:dyDescent="0.25">
      <c r="O20192" s="20" t="str">
        <f>IF(N20192="","",COUNTIFS(RawData[[Date ]],N20192,RawData[Month List],$Q$6,RawData[Tour/Site],$Q$2,RawData[[Picker ID ]],$Q$3,RawData[Checker ID],$Q$4,RawData[[Error Type ]],$Q$5))</f>
        <v/>
      </c>
    </row>
    <row r="20193" spans="15:15" x14ac:dyDescent="0.25">
      <c r="O20193" s="20" t="str">
        <f>IF(N20193="","",COUNTIFS(RawData[[Date ]],N20193,RawData[Month List],$Q$6,RawData[Tour/Site],$Q$2,RawData[[Picker ID ]],$Q$3,RawData[Checker ID],$Q$4,RawData[[Error Type ]],$Q$5))</f>
        <v/>
      </c>
    </row>
    <row r="20194" spans="15:15" x14ac:dyDescent="0.25">
      <c r="O20194" s="20" t="str">
        <f>IF(N20194="","",COUNTIFS(RawData[[Date ]],N20194,RawData[Month List],$Q$6,RawData[Tour/Site],$Q$2,RawData[[Picker ID ]],$Q$3,RawData[Checker ID],$Q$4,RawData[[Error Type ]],$Q$5))</f>
        <v/>
      </c>
    </row>
    <row r="20195" spans="15:15" x14ac:dyDescent="0.25">
      <c r="O20195" s="20" t="str">
        <f>IF(N20195="","",COUNTIFS(RawData[[Date ]],N20195,RawData[Month List],$Q$6,RawData[Tour/Site],$Q$2,RawData[[Picker ID ]],$Q$3,RawData[Checker ID],$Q$4,RawData[[Error Type ]],$Q$5))</f>
        <v/>
      </c>
    </row>
    <row r="20196" spans="15:15" x14ac:dyDescent="0.25">
      <c r="O20196" s="20" t="str">
        <f>IF(N20196="","",COUNTIFS(RawData[[Date ]],N20196,RawData[Month List],$Q$6,RawData[Tour/Site],$Q$2,RawData[[Picker ID ]],$Q$3,RawData[Checker ID],$Q$4,RawData[[Error Type ]],$Q$5))</f>
        <v/>
      </c>
    </row>
    <row r="20197" spans="15:15" x14ac:dyDescent="0.25">
      <c r="O20197" s="20" t="str">
        <f>IF(N20197="","",COUNTIFS(RawData[[Date ]],N20197,RawData[Month List],$Q$6,RawData[Tour/Site],$Q$2,RawData[[Picker ID ]],$Q$3,RawData[Checker ID],$Q$4,RawData[[Error Type ]],$Q$5))</f>
        <v/>
      </c>
    </row>
    <row r="20198" spans="15:15" x14ac:dyDescent="0.25">
      <c r="O20198" s="20" t="str">
        <f>IF(N20198="","",COUNTIFS(RawData[[Date ]],N20198,RawData[Month List],$Q$6,RawData[Tour/Site],$Q$2,RawData[[Picker ID ]],$Q$3,RawData[Checker ID],$Q$4,RawData[[Error Type ]],$Q$5))</f>
        <v/>
      </c>
    </row>
    <row r="20199" spans="15:15" x14ac:dyDescent="0.25">
      <c r="O20199" s="20" t="str">
        <f>IF(N20199="","",COUNTIFS(RawData[[Date ]],N20199,RawData[Month List],$Q$6,RawData[Tour/Site],$Q$2,RawData[[Picker ID ]],$Q$3,RawData[Checker ID],$Q$4,RawData[[Error Type ]],$Q$5))</f>
        <v/>
      </c>
    </row>
    <row r="20200" spans="15:15" x14ac:dyDescent="0.25">
      <c r="O20200" s="20" t="str">
        <f>IF(N20200="","",COUNTIFS(RawData[[Date ]],N20200,RawData[Month List],$Q$6,RawData[Tour/Site],$Q$2,RawData[[Picker ID ]],$Q$3,RawData[Checker ID],$Q$4,RawData[[Error Type ]],$Q$5))</f>
        <v/>
      </c>
    </row>
    <row r="20201" spans="15:15" x14ac:dyDescent="0.25">
      <c r="O20201" s="20" t="str">
        <f>IF(N20201="","",COUNTIFS(RawData[[Date ]],N20201,RawData[Month List],$Q$6,RawData[Tour/Site],$Q$2,RawData[[Picker ID ]],$Q$3,RawData[Checker ID],$Q$4,RawData[[Error Type ]],$Q$5))</f>
        <v/>
      </c>
    </row>
    <row r="20202" spans="15:15" x14ac:dyDescent="0.25">
      <c r="O20202" s="20" t="str">
        <f>IF(N20202="","",COUNTIFS(RawData[[Date ]],N20202,RawData[Month List],$Q$6,RawData[Tour/Site],$Q$2,RawData[[Picker ID ]],$Q$3,RawData[Checker ID],$Q$4,RawData[[Error Type ]],$Q$5))</f>
        <v/>
      </c>
    </row>
    <row r="20203" spans="15:15" x14ac:dyDescent="0.25">
      <c r="O20203" s="20" t="str">
        <f>IF(N20203="","",COUNTIFS(RawData[[Date ]],N20203,RawData[Month List],$Q$6,RawData[Tour/Site],$Q$2,RawData[[Picker ID ]],$Q$3,RawData[Checker ID],$Q$4,RawData[[Error Type ]],$Q$5))</f>
        <v/>
      </c>
    </row>
    <row r="20204" spans="15:15" x14ac:dyDescent="0.25">
      <c r="O20204" s="20" t="str">
        <f>IF(N20204="","",COUNTIFS(RawData[[Date ]],N20204,RawData[Month List],$Q$6,RawData[Tour/Site],$Q$2,RawData[[Picker ID ]],$Q$3,RawData[Checker ID],$Q$4,RawData[[Error Type ]],$Q$5))</f>
        <v/>
      </c>
    </row>
    <row r="20205" spans="15:15" x14ac:dyDescent="0.25">
      <c r="O20205" s="20" t="str">
        <f>IF(N20205="","",COUNTIFS(RawData[[Date ]],N20205,RawData[Month List],$Q$6,RawData[Tour/Site],$Q$2,RawData[[Picker ID ]],$Q$3,RawData[Checker ID],$Q$4,RawData[[Error Type ]],$Q$5))</f>
        <v/>
      </c>
    </row>
    <row r="20206" spans="15:15" x14ac:dyDescent="0.25">
      <c r="O20206" s="20" t="str">
        <f>IF(N20206="","",COUNTIFS(RawData[[Date ]],N20206,RawData[Month List],$Q$6,RawData[Tour/Site],$Q$2,RawData[[Picker ID ]],$Q$3,RawData[Checker ID],$Q$4,RawData[[Error Type ]],$Q$5))</f>
        <v/>
      </c>
    </row>
    <row r="20207" spans="15:15" x14ac:dyDescent="0.25">
      <c r="O20207" s="20" t="str">
        <f>IF(N20207="","",COUNTIFS(RawData[[Date ]],N20207,RawData[Month List],$Q$6,RawData[Tour/Site],$Q$2,RawData[[Picker ID ]],$Q$3,RawData[Checker ID],$Q$4,RawData[[Error Type ]],$Q$5))</f>
        <v/>
      </c>
    </row>
    <row r="20208" spans="15:15" x14ac:dyDescent="0.25">
      <c r="O20208" s="20" t="str">
        <f>IF(N20208="","",COUNTIFS(RawData[[Date ]],N20208,RawData[Month List],$Q$6,RawData[Tour/Site],$Q$2,RawData[[Picker ID ]],$Q$3,RawData[Checker ID],$Q$4,RawData[[Error Type ]],$Q$5))</f>
        <v/>
      </c>
    </row>
    <row r="20209" spans="15:15" x14ac:dyDescent="0.25">
      <c r="O20209" s="20" t="str">
        <f>IF(N20209="","",COUNTIFS(RawData[[Date ]],N20209,RawData[Month List],$Q$6,RawData[Tour/Site],$Q$2,RawData[[Picker ID ]],$Q$3,RawData[Checker ID],$Q$4,RawData[[Error Type ]],$Q$5))</f>
        <v/>
      </c>
    </row>
    <row r="20210" spans="15:15" x14ac:dyDescent="0.25">
      <c r="O20210" s="20" t="str">
        <f>IF(N20210="","",COUNTIFS(RawData[[Date ]],N20210,RawData[Month List],$Q$6,RawData[Tour/Site],$Q$2,RawData[[Picker ID ]],$Q$3,RawData[Checker ID],$Q$4,RawData[[Error Type ]],$Q$5))</f>
        <v/>
      </c>
    </row>
    <row r="20211" spans="15:15" x14ac:dyDescent="0.25">
      <c r="O20211" s="20" t="str">
        <f>IF(N20211="","",COUNTIFS(RawData[[Date ]],N20211,RawData[Month List],$Q$6,RawData[Tour/Site],$Q$2,RawData[[Picker ID ]],$Q$3,RawData[Checker ID],$Q$4,RawData[[Error Type ]],$Q$5))</f>
        <v/>
      </c>
    </row>
    <row r="20212" spans="15:15" x14ac:dyDescent="0.25">
      <c r="O20212" s="20" t="str">
        <f>IF(N20212="","",COUNTIFS(RawData[[Date ]],N20212,RawData[Month List],$Q$6,RawData[Tour/Site],$Q$2,RawData[[Picker ID ]],$Q$3,RawData[Checker ID],$Q$4,RawData[[Error Type ]],$Q$5))</f>
        <v/>
      </c>
    </row>
    <row r="20213" spans="15:15" x14ac:dyDescent="0.25">
      <c r="O20213" s="20" t="str">
        <f>IF(N20213="","",COUNTIFS(RawData[[Date ]],N20213,RawData[Month List],$Q$6,RawData[Tour/Site],$Q$2,RawData[[Picker ID ]],$Q$3,RawData[Checker ID],$Q$4,RawData[[Error Type ]],$Q$5))</f>
        <v/>
      </c>
    </row>
    <row r="20214" spans="15:15" x14ac:dyDescent="0.25">
      <c r="O20214" s="20" t="str">
        <f>IF(N20214="","",COUNTIFS(RawData[[Date ]],N20214,RawData[Month List],$Q$6,RawData[Tour/Site],$Q$2,RawData[[Picker ID ]],$Q$3,RawData[Checker ID],$Q$4,RawData[[Error Type ]],$Q$5))</f>
        <v/>
      </c>
    </row>
    <row r="20215" spans="15:15" x14ac:dyDescent="0.25">
      <c r="O20215" s="20" t="str">
        <f>IF(N20215="","",COUNTIFS(RawData[[Date ]],N20215,RawData[Month List],$Q$6,RawData[Tour/Site],$Q$2,RawData[[Picker ID ]],$Q$3,RawData[Checker ID],$Q$4,RawData[[Error Type ]],$Q$5))</f>
        <v/>
      </c>
    </row>
    <row r="20216" spans="15:15" x14ac:dyDescent="0.25">
      <c r="O20216" s="20" t="str">
        <f>IF(N20216="","",COUNTIFS(RawData[[Date ]],N20216,RawData[Month List],$Q$6,RawData[Tour/Site],$Q$2,RawData[[Picker ID ]],$Q$3,RawData[Checker ID],$Q$4,RawData[[Error Type ]],$Q$5))</f>
        <v/>
      </c>
    </row>
    <row r="20217" spans="15:15" x14ac:dyDescent="0.25">
      <c r="O20217" s="20" t="str">
        <f>IF(N20217="","",COUNTIFS(RawData[[Date ]],N20217,RawData[Month List],$Q$6,RawData[Tour/Site],$Q$2,RawData[[Picker ID ]],$Q$3,RawData[Checker ID],$Q$4,RawData[[Error Type ]],$Q$5))</f>
        <v/>
      </c>
    </row>
    <row r="20218" spans="15:15" x14ac:dyDescent="0.25">
      <c r="O20218" s="20" t="str">
        <f>IF(N20218="","",COUNTIFS(RawData[[Date ]],N20218,RawData[Month List],$Q$6,RawData[Tour/Site],$Q$2,RawData[[Picker ID ]],$Q$3,RawData[Checker ID],$Q$4,RawData[[Error Type ]],$Q$5))</f>
        <v/>
      </c>
    </row>
    <row r="20219" spans="15:15" x14ac:dyDescent="0.25">
      <c r="O20219" s="20" t="str">
        <f>IF(N20219="","",COUNTIFS(RawData[[Date ]],N20219,RawData[Month List],$Q$6,RawData[Tour/Site],$Q$2,RawData[[Picker ID ]],$Q$3,RawData[Checker ID],$Q$4,RawData[[Error Type ]],$Q$5))</f>
        <v/>
      </c>
    </row>
    <row r="20220" spans="15:15" x14ac:dyDescent="0.25">
      <c r="O20220" s="20" t="str">
        <f>IF(N20220="","",COUNTIFS(RawData[[Date ]],N20220,RawData[Month List],$Q$6,RawData[Tour/Site],$Q$2,RawData[[Picker ID ]],$Q$3,RawData[Checker ID],$Q$4,RawData[[Error Type ]],$Q$5))</f>
        <v/>
      </c>
    </row>
    <row r="20221" spans="15:15" x14ac:dyDescent="0.25">
      <c r="O20221" s="20" t="str">
        <f>IF(N20221="","",COUNTIFS(RawData[[Date ]],N20221,RawData[Month List],$Q$6,RawData[Tour/Site],$Q$2,RawData[[Picker ID ]],$Q$3,RawData[Checker ID],$Q$4,RawData[[Error Type ]],$Q$5))</f>
        <v/>
      </c>
    </row>
    <row r="20222" spans="15:15" x14ac:dyDescent="0.25">
      <c r="O20222" s="20" t="str">
        <f>IF(N20222="","",COUNTIFS(RawData[[Date ]],N20222,RawData[Month List],$Q$6,RawData[Tour/Site],$Q$2,RawData[[Picker ID ]],$Q$3,RawData[Checker ID],$Q$4,RawData[[Error Type ]],$Q$5))</f>
        <v/>
      </c>
    </row>
    <row r="20223" spans="15:15" x14ac:dyDescent="0.25">
      <c r="O20223" s="20" t="str">
        <f>IF(N20223="","",COUNTIFS(RawData[[Date ]],N20223,RawData[Month List],$Q$6,RawData[Tour/Site],$Q$2,RawData[[Picker ID ]],$Q$3,RawData[Checker ID],$Q$4,RawData[[Error Type ]],$Q$5))</f>
        <v/>
      </c>
    </row>
    <row r="20224" spans="15:15" x14ac:dyDescent="0.25">
      <c r="O20224" s="20" t="str">
        <f>IF(N20224="","",COUNTIFS(RawData[[Date ]],N20224,RawData[Month List],$Q$6,RawData[Tour/Site],$Q$2,RawData[[Picker ID ]],$Q$3,RawData[Checker ID],$Q$4,RawData[[Error Type ]],$Q$5))</f>
        <v/>
      </c>
    </row>
    <row r="20225" spans="15:15" x14ac:dyDescent="0.25">
      <c r="O20225" s="20" t="str">
        <f>IF(N20225="","",COUNTIFS(RawData[[Date ]],N20225,RawData[Month List],$Q$6,RawData[Tour/Site],$Q$2,RawData[[Picker ID ]],$Q$3,RawData[Checker ID],$Q$4,RawData[[Error Type ]],$Q$5))</f>
        <v/>
      </c>
    </row>
    <row r="20226" spans="15:15" x14ac:dyDescent="0.25">
      <c r="O20226" s="20" t="str">
        <f>IF(N20226="","",COUNTIFS(RawData[[Date ]],N20226,RawData[Month List],$Q$6,RawData[Tour/Site],$Q$2,RawData[[Picker ID ]],$Q$3,RawData[Checker ID],$Q$4,RawData[[Error Type ]],$Q$5))</f>
        <v/>
      </c>
    </row>
    <row r="20227" spans="15:15" x14ac:dyDescent="0.25">
      <c r="O20227" s="20" t="str">
        <f>IF(N20227="","",COUNTIFS(RawData[[Date ]],N20227,RawData[Month List],$Q$6,RawData[Tour/Site],$Q$2,RawData[[Picker ID ]],$Q$3,RawData[Checker ID],$Q$4,RawData[[Error Type ]],$Q$5))</f>
        <v/>
      </c>
    </row>
    <row r="20228" spans="15:15" x14ac:dyDescent="0.25">
      <c r="O20228" s="20" t="str">
        <f>IF(N20228="","",COUNTIFS(RawData[[Date ]],N20228,RawData[Month List],$Q$6,RawData[Tour/Site],$Q$2,RawData[[Picker ID ]],$Q$3,RawData[Checker ID],$Q$4,RawData[[Error Type ]],$Q$5))</f>
        <v/>
      </c>
    </row>
    <row r="20229" spans="15:15" x14ac:dyDescent="0.25">
      <c r="O20229" s="20" t="str">
        <f>IF(N20229="","",COUNTIFS(RawData[[Date ]],N20229,RawData[Month List],$Q$6,RawData[Tour/Site],$Q$2,RawData[[Picker ID ]],$Q$3,RawData[Checker ID],$Q$4,RawData[[Error Type ]],$Q$5))</f>
        <v/>
      </c>
    </row>
    <row r="20230" spans="15:15" x14ac:dyDescent="0.25">
      <c r="O20230" s="20" t="str">
        <f>IF(N20230="","",COUNTIFS(RawData[[Date ]],N20230,RawData[Month List],$Q$6,RawData[Tour/Site],$Q$2,RawData[[Picker ID ]],$Q$3,RawData[Checker ID],$Q$4,RawData[[Error Type ]],$Q$5))</f>
        <v/>
      </c>
    </row>
    <row r="20231" spans="15:15" x14ac:dyDescent="0.25">
      <c r="O20231" s="20" t="str">
        <f>IF(N20231="","",COUNTIFS(RawData[[Date ]],N20231,RawData[Month List],$Q$6,RawData[Tour/Site],$Q$2,RawData[[Picker ID ]],$Q$3,RawData[Checker ID],$Q$4,RawData[[Error Type ]],$Q$5))</f>
        <v/>
      </c>
    </row>
    <row r="20232" spans="15:15" x14ac:dyDescent="0.25">
      <c r="O20232" s="20" t="str">
        <f>IF(N20232="","",COUNTIFS(RawData[[Date ]],N20232,RawData[Month List],$Q$6,RawData[Tour/Site],$Q$2,RawData[[Picker ID ]],$Q$3,RawData[Checker ID],$Q$4,RawData[[Error Type ]],$Q$5))</f>
        <v/>
      </c>
    </row>
    <row r="20233" spans="15:15" x14ac:dyDescent="0.25">
      <c r="O20233" s="20" t="str">
        <f>IF(N20233="","",COUNTIFS(RawData[[Date ]],N20233,RawData[Month List],$Q$6,RawData[Tour/Site],$Q$2,RawData[[Picker ID ]],$Q$3,RawData[Checker ID],$Q$4,RawData[[Error Type ]],$Q$5))</f>
        <v/>
      </c>
    </row>
    <row r="20234" spans="15:15" x14ac:dyDescent="0.25">
      <c r="O20234" s="20" t="str">
        <f>IF(N20234="","",COUNTIFS(RawData[[Date ]],N20234,RawData[Month List],$Q$6,RawData[Tour/Site],$Q$2,RawData[[Picker ID ]],$Q$3,RawData[Checker ID],$Q$4,RawData[[Error Type ]],$Q$5))</f>
        <v/>
      </c>
    </row>
    <row r="20235" spans="15:15" x14ac:dyDescent="0.25">
      <c r="O20235" s="20" t="str">
        <f>IF(N20235="","",COUNTIFS(RawData[[Date ]],N20235,RawData[Month List],$Q$6,RawData[Tour/Site],$Q$2,RawData[[Picker ID ]],$Q$3,RawData[Checker ID],$Q$4,RawData[[Error Type ]],$Q$5))</f>
        <v/>
      </c>
    </row>
    <row r="20236" spans="15:15" x14ac:dyDescent="0.25">
      <c r="O20236" s="20" t="str">
        <f>IF(N20236="","",COUNTIFS(RawData[[Date ]],N20236,RawData[Month List],$Q$6,RawData[Tour/Site],$Q$2,RawData[[Picker ID ]],$Q$3,RawData[Checker ID],$Q$4,RawData[[Error Type ]],$Q$5))</f>
        <v/>
      </c>
    </row>
    <row r="20237" spans="15:15" x14ac:dyDescent="0.25">
      <c r="O20237" s="20" t="str">
        <f>IF(N20237="","",COUNTIFS(RawData[[Date ]],N20237,RawData[Month List],$Q$6,RawData[Tour/Site],$Q$2,RawData[[Picker ID ]],$Q$3,RawData[Checker ID],$Q$4,RawData[[Error Type ]],$Q$5))</f>
        <v/>
      </c>
    </row>
    <row r="20238" spans="15:15" x14ac:dyDescent="0.25">
      <c r="O20238" s="20" t="str">
        <f>IF(N20238="","",COUNTIFS(RawData[[Date ]],N20238,RawData[Month List],$Q$6,RawData[Tour/Site],$Q$2,RawData[[Picker ID ]],$Q$3,RawData[Checker ID],$Q$4,RawData[[Error Type ]],$Q$5))</f>
        <v/>
      </c>
    </row>
    <row r="20239" spans="15:15" x14ac:dyDescent="0.25">
      <c r="O20239" s="20" t="str">
        <f>IF(N20239="","",COUNTIFS(RawData[[Date ]],N20239,RawData[Month List],$Q$6,RawData[Tour/Site],$Q$2,RawData[[Picker ID ]],$Q$3,RawData[Checker ID],$Q$4,RawData[[Error Type ]],$Q$5))</f>
        <v/>
      </c>
    </row>
    <row r="20240" spans="15:15" x14ac:dyDescent="0.25">
      <c r="O20240" s="20" t="str">
        <f>IF(N20240="","",COUNTIFS(RawData[[Date ]],N20240,RawData[Month List],$Q$6,RawData[Tour/Site],$Q$2,RawData[[Picker ID ]],$Q$3,RawData[Checker ID],$Q$4,RawData[[Error Type ]],$Q$5))</f>
        <v/>
      </c>
    </row>
    <row r="20241" spans="15:15" x14ac:dyDescent="0.25">
      <c r="O20241" s="20" t="str">
        <f>IF(N20241="","",COUNTIFS(RawData[[Date ]],N20241,RawData[Month List],$Q$6,RawData[Tour/Site],$Q$2,RawData[[Picker ID ]],$Q$3,RawData[Checker ID],$Q$4,RawData[[Error Type ]],$Q$5))</f>
        <v/>
      </c>
    </row>
    <row r="20242" spans="15:15" x14ac:dyDescent="0.25">
      <c r="O20242" s="20" t="str">
        <f>IF(N20242="","",COUNTIFS(RawData[[Date ]],N20242,RawData[Month List],$Q$6,RawData[Tour/Site],$Q$2,RawData[[Picker ID ]],$Q$3,RawData[Checker ID],$Q$4,RawData[[Error Type ]],$Q$5))</f>
        <v/>
      </c>
    </row>
    <row r="20243" spans="15:15" x14ac:dyDescent="0.25">
      <c r="O20243" s="20" t="str">
        <f>IF(N20243="","",COUNTIFS(RawData[[Date ]],N20243,RawData[Month List],$Q$6,RawData[Tour/Site],$Q$2,RawData[[Picker ID ]],$Q$3,RawData[Checker ID],$Q$4,RawData[[Error Type ]],$Q$5))</f>
        <v/>
      </c>
    </row>
    <row r="20244" spans="15:15" x14ac:dyDescent="0.25">
      <c r="O20244" s="20" t="str">
        <f>IF(N20244="","",COUNTIFS(RawData[[Date ]],N20244,RawData[Month List],$Q$6,RawData[Tour/Site],$Q$2,RawData[[Picker ID ]],$Q$3,RawData[Checker ID],$Q$4,RawData[[Error Type ]],$Q$5))</f>
        <v/>
      </c>
    </row>
    <row r="20245" spans="15:15" x14ac:dyDescent="0.25">
      <c r="O20245" s="20" t="str">
        <f>IF(N20245="","",COUNTIFS(RawData[[Date ]],N20245,RawData[Month List],$Q$6,RawData[Tour/Site],$Q$2,RawData[[Picker ID ]],$Q$3,RawData[Checker ID],$Q$4,RawData[[Error Type ]],$Q$5))</f>
        <v/>
      </c>
    </row>
    <row r="20246" spans="15:15" x14ac:dyDescent="0.25">
      <c r="O20246" s="20" t="str">
        <f>IF(N20246="","",COUNTIFS(RawData[[Date ]],N20246,RawData[Month List],$Q$6,RawData[Tour/Site],$Q$2,RawData[[Picker ID ]],$Q$3,RawData[Checker ID],$Q$4,RawData[[Error Type ]],$Q$5))</f>
        <v/>
      </c>
    </row>
    <row r="20247" spans="15:15" x14ac:dyDescent="0.25">
      <c r="O20247" s="20" t="str">
        <f>IF(N20247="","",COUNTIFS(RawData[[Date ]],N20247,RawData[Month List],$Q$6,RawData[Tour/Site],$Q$2,RawData[[Picker ID ]],$Q$3,RawData[Checker ID],$Q$4,RawData[[Error Type ]],$Q$5))</f>
        <v/>
      </c>
    </row>
    <row r="20248" spans="15:15" x14ac:dyDescent="0.25">
      <c r="O20248" s="20" t="str">
        <f>IF(N20248="","",COUNTIFS(RawData[[Date ]],N20248,RawData[Month List],$Q$6,RawData[Tour/Site],$Q$2,RawData[[Picker ID ]],$Q$3,RawData[Checker ID],$Q$4,RawData[[Error Type ]],$Q$5))</f>
        <v/>
      </c>
    </row>
    <row r="20249" spans="15:15" x14ac:dyDescent="0.25">
      <c r="O20249" s="20" t="str">
        <f>IF(N20249="","",COUNTIFS(RawData[[Date ]],N20249,RawData[Month List],$Q$6,RawData[Tour/Site],$Q$2,RawData[[Picker ID ]],$Q$3,RawData[Checker ID],$Q$4,RawData[[Error Type ]],$Q$5))</f>
        <v/>
      </c>
    </row>
    <row r="20250" spans="15:15" x14ac:dyDescent="0.25">
      <c r="O20250" s="20" t="str">
        <f>IF(N20250="","",COUNTIFS(RawData[[Date ]],N20250,RawData[Month List],$Q$6,RawData[Tour/Site],$Q$2,RawData[[Picker ID ]],$Q$3,RawData[Checker ID],$Q$4,RawData[[Error Type ]],$Q$5))</f>
        <v/>
      </c>
    </row>
    <row r="20251" spans="15:15" x14ac:dyDescent="0.25">
      <c r="O20251" s="20" t="str">
        <f>IF(N20251="","",COUNTIFS(RawData[[Date ]],N20251,RawData[Month List],$Q$6,RawData[Tour/Site],$Q$2,RawData[[Picker ID ]],$Q$3,RawData[Checker ID],$Q$4,RawData[[Error Type ]],$Q$5))</f>
        <v/>
      </c>
    </row>
    <row r="20252" spans="15:15" x14ac:dyDescent="0.25">
      <c r="O20252" s="20" t="str">
        <f>IF(N20252="","",COUNTIFS(RawData[[Date ]],N20252,RawData[Month List],$Q$6,RawData[Tour/Site],$Q$2,RawData[[Picker ID ]],$Q$3,RawData[Checker ID],$Q$4,RawData[[Error Type ]],$Q$5))</f>
        <v/>
      </c>
    </row>
    <row r="20253" spans="15:15" x14ac:dyDescent="0.25">
      <c r="O20253" s="20" t="str">
        <f>IF(N20253="","",COUNTIFS(RawData[[Date ]],N20253,RawData[Month List],$Q$6,RawData[Tour/Site],$Q$2,RawData[[Picker ID ]],$Q$3,RawData[Checker ID],$Q$4,RawData[[Error Type ]],$Q$5))</f>
        <v/>
      </c>
    </row>
    <row r="20254" spans="15:15" x14ac:dyDescent="0.25">
      <c r="O20254" s="20" t="str">
        <f>IF(N20254="","",COUNTIFS(RawData[[Date ]],N20254,RawData[Month List],$Q$6,RawData[Tour/Site],$Q$2,RawData[[Picker ID ]],$Q$3,RawData[Checker ID],$Q$4,RawData[[Error Type ]],$Q$5))</f>
        <v/>
      </c>
    </row>
    <row r="20255" spans="15:15" x14ac:dyDescent="0.25">
      <c r="O20255" s="20" t="str">
        <f>IF(N20255="","",COUNTIFS(RawData[[Date ]],N20255,RawData[Month List],$Q$6,RawData[Tour/Site],$Q$2,RawData[[Picker ID ]],$Q$3,RawData[Checker ID],$Q$4,RawData[[Error Type ]],$Q$5))</f>
        <v/>
      </c>
    </row>
    <row r="20256" spans="15:15" x14ac:dyDescent="0.25">
      <c r="O20256" s="20" t="str">
        <f>IF(N20256="","",COUNTIFS(RawData[[Date ]],N20256,RawData[Month List],$Q$6,RawData[Tour/Site],$Q$2,RawData[[Picker ID ]],$Q$3,RawData[Checker ID],$Q$4,RawData[[Error Type ]],$Q$5))</f>
        <v/>
      </c>
    </row>
    <row r="20257" spans="15:15" x14ac:dyDescent="0.25">
      <c r="O20257" s="20" t="str">
        <f>IF(N20257="","",COUNTIFS(RawData[[Date ]],N20257,RawData[Month List],$Q$6,RawData[Tour/Site],$Q$2,RawData[[Picker ID ]],$Q$3,RawData[Checker ID],$Q$4,RawData[[Error Type ]],$Q$5))</f>
        <v/>
      </c>
    </row>
    <row r="20258" spans="15:15" x14ac:dyDescent="0.25">
      <c r="O20258" s="20" t="str">
        <f>IF(N20258="","",COUNTIFS(RawData[[Date ]],N20258,RawData[Month List],$Q$6,RawData[Tour/Site],$Q$2,RawData[[Picker ID ]],$Q$3,RawData[Checker ID],$Q$4,RawData[[Error Type ]],$Q$5))</f>
        <v/>
      </c>
    </row>
    <row r="20259" spans="15:15" x14ac:dyDescent="0.25">
      <c r="O20259" s="20" t="str">
        <f>IF(N20259="","",COUNTIFS(RawData[[Date ]],N20259,RawData[Month List],$Q$6,RawData[Tour/Site],$Q$2,RawData[[Picker ID ]],$Q$3,RawData[Checker ID],$Q$4,RawData[[Error Type ]],$Q$5))</f>
        <v/>
      </c>
    </row>
    <row r="20260" spans="15:15" x14ac:dyDescent="0.25">
      <c r="O20260" s="20" t="str">
        <f>IF(N20260="","",COUNTIFS(RawData[[Date ]],N20260,RawData[Month List],$Q$6,RawData[Tour/Site],$Q$2,RawData[[Picker ID ]],$Q$3,RawData[Checker ID],$Q$4,RawData[[Error Type ]],$Q$5))</f>
        <v/>
      </c>
    </row>
    <row r="20261" spans="15:15" x14ac:dyDescent="0.25">
      <c r="O20261" s="20" t="str">
        <f>IF(N20261="","",COUNTIFS(RawData[[Date ]],N20261,RawData[Month List],$Q$6,RawData[Tour/Site],$Q$2,RawData[[Picker ID ]],$Q$3,RawData[Checker ID],$Q$4,RawData[[Error Type ]],$Q$5))</f>
        <v/>
      </c>
    </row>
    <row r="20262" spans="15:15" x14ac:dyDescent="0.25">
      <c r="O20262" s="20" t="str">
        <f>IF(N20262="","",COUNTIFS(RawData[[Date ]],N20262,RawData[Month List],$Q$6,RawData[Tour/Site],$Q$2,RawData[[Picker ID ]],$Q$3,RawData[Checker ID],$Q$4,RawData[[Error Type ]],$Q$5))</f>
        <v/>
      </c>
    </row>
    <row r="20263" spans="15:15" x14ac:dyDescent="0.25">
      <c r="O20263" s="20" t="str">
        <f>IF(N20263="","",COUNTIFS(RawData[[Date ]],N20263,RawData[Month List],$Q$6,RawData[Tour/Site],$Q$2,RawData[[Picker ID ]],$Q$3,RawData[Checker ID],$Q$4,RawData[[Error Type ]],$Q$5))</f>
        <v/>
      </c>
    </row>
    <row r="20264" spans="15:15" x14ac:dyDescent="0.25">
      <c r="O20264" s="20" t="str">
        <f>IF(N20264="","",COUNTIFS(RawData[[Date ]],N20264,RawData[Month List],$Q$6,RawData[Tour/Site],$Q$2,RawData[[Picker ID ]],$Q$3,RawData[Checker ID],$Q$4,RawData[[Error Type ]],$Q$5))</f>
        <v/>
      </c>
    </row>
    <row r="20265" spans="15:15" x14ac:dyDescent="0.25">
      <c r="O20265" s="20" t="str">
        <f>IF(N20265="","",COUNTIFS(RawData[[Date ]],N20265,RawData[Month List],$Q$6,RawData[Tour/Site],$Q$2,RawData[[Picker ID ]],$Q$3,RawData[Checker ID],$Q$4,RawData[[Error Type ]],$Q$5))</f>
        <v/>
      </c>
    </row>
    <row r="20266" spans="15:15" x14ac:dyDescent="0.25">
      <c r="O20266" s="20" t="str">
        <f>IF(N20266="","",COUNTIFS(RawData[[Date ]],N20266,RawData[Month List],$Q$6,RawData[Tour/Site],$Q$2,RawData[[Picker ID ]],$Q$3,RawData[Checker ID],$Q$4,RawData[[Error Type ]],$Q$5))</f>
        <v/>
      </c>
    </row>
    <row r="20267" spans="15:15" x14ac:dyDescent="0.25">
      <c r="O20267" s="20" t="str">
        <f>IF(N20267="","",COUNTIFS(RawData[[Date ]],N20267,RawData[Month List],$Q$6,RawData[Tour/Site],$Q$2,RawData[[Picker ID ]],$Q$3,RawData[Checker ID],$Q$4,RawData[[Error Type ]],$Q$5))</f>
        <v/>
      </c>
    </row>
    <row r="20268" spans="15:15" x14ac:dyDescent="0.25">
      <c r="O20268" s="20" t="str">
        <f>IF(N20268="","",COUNTIFS(RawData[[Date ]],N20268,RawData[Month List],$Q$6,RawData[Tour/Site],$Q$2,RawData[[Picker ID ]],$Q$3,RawData[Checker ID],$Q$4,RawData[[Error Type ]],$Q$5))</f>
        <v/>
      </c>
    </row>
    <row r="20269" spans="15:15" x14ac:dyDescent="0.25">
      <c r="O20269" s="20" t="str">
        <f>IF(N20269="","",COUNTIFS(RawData[[Date ]],N20269,RawData[Month List],$Q$6,RawData[Tour/Site],$Q$2,RawData[[Picker ID ]],$Q$3,RawData[Checker ID],$Q$4,RawData[[Error Type ]],$Q$5))</f>
        <v/>
      </c>
    </row>
    <row r="20270" spans="15:15" x14ac:dyDescent="0.25">
      <c r="O20270" s="20" t="str">
        <f>IF(N20270="","",COUNTIFS(RawData[[Date ]],N20270,RawData[Month List],$Q$6,RawData[Tour/Site],$Q$2,RawData[[Picker ID ]],$Q$3,RawData[Checker ID],$Q$4,RawData[[Error Type ]],$Q$5))</f>
        <v/>
      </c>
    </row>
    <row r="20271" spans="15:15" x14ac:dyDescent="0.25">
      <c r="O20271" s="20" t="str">
        <f>IF(N20271="","",COUNTIFS(RawData[[Date ]],N20271,RawData[Month List],$Q$6,RawData[Tour/Site],$Q$2,RawData[[Picker ID ]],$Q$3,RawData[Checker ID],$Q$4,RawData[[Error Type ]],$Q$5))</f>
        <v/>
      </c>
    </row>
    <row r="20272" spans="15:15" x14ac:dyDescent="0.25">
      <c r="O20272" s="20" t="str">
        <f>IF(N20272="","",COUNTIFS(RawData[[Date ]],N20272,RawData[Month List],$Q$6,RawData[Tour/Site],$Q$2,RawData[[Picker ID ]],$Q$3,RawData[Checker ID],$Q$4,RawData[[Error Type ]],$Q$5))</f>
        <v/>
      </c>
    </row>
    <row r="20273" spans="15:15" x14ac:dyDescent="0.25">
      <c r="O20273" s="20" t="str">
        <f>IF(N20273="","",COUNTIFS(RawData[[Date ]],N20273,RawData[Month List],$Q$6,RawData[Tour/Site],$Q$2,RawData[[Picker ID ]],$Q$3,RawData[Checker ID],$Q$4,RawData[[Error Type ]],$Q$5))</f>
        <v/>
      </c>
    </row>
    <row r="20274" spans="15:15" x14ac:dyDescent="0.25">
      <c r="O20274" s="20" t="str">
        <f>IF(N20274="","",COUNTIFS(RawData[[Date ]],N20274,RawData[Month List],$Q$6,RawData[Tour/Site],$Q$2,RawData[[Picker ID ]],$Q$3,RawData[Checker ID],$Q$4,RawData[[Error Type ]],$Q$5))</f>
        <v/>
      </c>
    </row>
    <row r="20275" spans="15:15" x14ac:dyDescent="0.25">
      <c r="O20275" s="20" t="str">
        <f>IF(N20275="","",COUNTIFS(RawData[[Date ]],N20275,RawData[Month List],$Q$6,RawData[Tour/Site],$Q$2,RawData[[Picker ID ]],$Q$3,RawData[Checker ID],$Q$4,RawData[[Error Type ]],$Q$5))</f>
        <v/>
      </c>
    </row>
    <row r="20276" spans="15:15" x14ac:dyDescent="0.25">
      <c r="O20276" s="20" t="str">
        <f>IF(N20276="","",COUNTIFS(RawData[[Date ]],N20276,RawData[Month List],$Q$6,RawData[Tour/Site],$Q$2,RawData[[Picker ID ]],$Q$3,RawData[Checker ID],$Q$4,RawData[[Error Type ]],$Q$5))</f>
        <v/>
      </c>
    </row>
    <row r="20277" spans="15:15" x14ac:dyDescent="0.25">
      <c r="O20277" s="20" t="str">
        <f>IF(N20277="","",COUNTIFS(RawData[[Date ]],N20277,RawData[Month List],$Q$6,RawData[Tour/Site],$Q$2,RawData[[Picker ID ]],$Q$3,RawData[Checker ID],$Q$4,RawData[[Error Type ]],$Q$5))</f>
        <v/>
      </c>
    </row>
    <row r="20278" spans="15:15" x14ac:dyDescent="0.25">
      <c r="O20278" s="20" t="str">
        <f>IF(N20278="","",COUNTIFS(RawData[[Date ]],N20278,RawData[Month List],$Q$6,RawData[Tour/Site],$Q$2,RawData[[Picker ID ]],$Q$3,RawData[Checker ID],$Q$4,RawData[[Error Type ]],$Q$5))</f>
        <v/>
      </c>
    </row>
    <row r="20279" spans="15:15" x14ac:dyDescent="0.25">
      <c r="O20279" s="20" t="str">
        <f>IF(N20279="","",COUNTIFS(RawData[[Date ]],N20279,RawData[Month List],$Q$6,RawData[Tour/Site],$Q$2,RawData[[Picker ID ]],$Q$3,RawData[Checker ID],$Q$4,RawData[[Error Type ]],$Q$5))</f>
        <v/>
      </c>
    </row>
    <row r="20280" spans="15:15" x14ac:dyDescent="0.25">
      <c r="O20280" s="20" t="str">
        <f>IF(N20280="","",COUNTIFS(RawData[[Date ]],N20280,RawData[Month List],$Q$6,RawData[Tour/Site],$Q$2,RawData[[Picker ID ]],$Q$3,RawData[Checker ID],$Q$4,RawData[[Error Type ]],$Q$5))</f>
        <v/>
      </c>
    </row>
    <row r="20281" spans="15:15" x14ac:dyDescent="0.25">
      <c r="O20281" s="20" t="str">
        <f>IF(N20281="","",COUNTIFS(RawData[[Date ]],N20281,RawData[Month List],$Q$6,RawData[Tour/Site],$Q$2,RawData[[Picker ID ]],$Q$3,RawData[Checker ID],$Q$4,RawData[[Error Type ]],$Q$5))</f>
        <v/>
      </c>
    </row>
    <row r="20282" spans="15:15" x14ac:dyDescent="0.25">
      <c r="O20282" s="20" t="str">
        <f>IF(N20282="","",COUNTIFS(RawData[[Date ]],N20282,RawData[Month List],$Q$6,RawData[Tour/Site],$Q$2,RawData[[Picker ID ]],$Q$3,RawData[Checker ID],$Q$4,RawData[[Error Type ]],$Q$5))</f>
        <v/>
      </c>
    </row>
    <row r="20283" spans="15:15" x14ac:dyDescent="0.25">
      <c r="O20283" s="20" t="str">
        <f>IF(N20283="","",COUNTIFS(RawData[[Date ]],N20283,RawData[Month List],$Q$6,RawData[Tour/Site],$Q$2,RawData[[Picker ID ]],$Q$3,RawData[Checker ID],$Q$4,RawData[[Error Type ]],$Q$5))</f>
        <v/>
      </c>
    </row>
    <row r="20284" spans="15:15" x14ac:dyDescent="0.25">
      <c r="O20284" s="20" t="str">
        <f>IF(N20284="","",COUNTIFS(RawData[[Date ]],N20284,RawData[Month List],$Q$6,RawData[Tour/Site],$Q$2,RawData[[Picker ID ]],$Q$3,RawData[Checker ID],$Q$4,RawData[[Error Type ]],$Q$5))</f>
        <v/>
      </c>
    </row>
    <row r="20285" spans="15:15" x14ac:dyDescent="0.25">
      <c r="O20285" s="20" t="str">
        <f>IF(N20285="","",COUNTIFS(RawData[[Date ]],N20285,RawData[Month List],$Q$6,RawData[Tour/Site],$Q$2,RawData[[Picker ID ]],$Q$3,RawData[Checker ID],$Q$4,RawData[[Error Type ]],$Q$5))</f>
        <v/>
      </c>
    </row>
    <row r="20286" spans="15:15" x14ac:dyDescent="0.25">
      <c r="O20286" s="20" t="str">
        <f>IF(N20286="","",COUNTIFS(RawData[[Date ]],N20286,RawData[Month List],$Q$6,RawData[Tour/Site],$Q$2,RawData[[Picker ID ]],$Q$3,RawData[Checker ID],$Q$4,RawData[[Error Type ]],$Q$5))</f>
        <v/>
      </c>
    </row>
    <row r="20287" spans="15:15" x14ac:dyDescent="0.25">
      <c r="O20287" s="20" t="str">
        <f>IF(N20287="","",COUNTIFS(RawData[[Date ]],N20287,RawData[Month List],$Q$6,RawData[Tour/Site],$Q$2,RawData[[Picker ID ]],$Q$3,RawData[Checker ID],$Q$4,RawData[[Error Type ]],$Q$5))</f>
        <v/>
      </c>
    </row>
    <row r="20288" spans="15:15" x14ac:dyDescent="0.25">
      <c r="O20288" s="20" t="str">
        <f>IF(N20288="","",COUNTIFS(RawData[[Date ]],N20288,RawData[Month List],$Q$6,RawData[Tour/Site],$Q$2,RawData[[Picker ID ]],$Q$3,RawData[Checker ID],$Q$4,RawData[[Error Type ]],$Q$5))</f>
        <v/>
      </c>
    </row>
    <row r="20289" spans="15:15" x14ac:dyDescent="0.25">
      <c r="O20289" s="20" t="str">
        <f>IF(N20289="","",COUNTIFS(RawData[[Date ]],N20289,RawData[Month List],$Q$6,RawData[Tour/Site],$Q$2,RawData[[Picker ID ]],$Q$3,RawData[Checker ID],$Q$4,RawData[[Error Type ]],$Q$5))</f>
        <v/>
      </c>
    </row>
    <row r="20290" spans="15:15" x14ac:dyDescent="0.25">
      <c r="O20290" s="20" t="str">
        <f>IF(N20290="","",COUNTIFS(RawData[[Date ]],N20290,RawData[Month List],$Q$6,RawData[Tour/Site],$Q$2,RawData[[Picker ID ]],$Q$3,RawData[Checker ID],$Q$4,RawData[[Error Type ]],$Q$5))</f>
        <v/>
      </c>
    </row>
    <row r="20291" spans="15:15" x14ac:dyDescent="0.25">
      <c r="O20291" s="20" t="str">
        <f>IF(N20291="","",COUNTIFS(RawData[[Date ]],N20291,RawData[Month List],$Q$6,RawData[Tour/Site],$Q$2,RawData[[Picker ID ]],$Q$3,RawData[Checker ID],$Q$4,RawData[[Error Type ]],$Q$5))</f>
        <v/>
      </c>
    </row>
    <row r="20292" spans="15:15" x14ac:dyDescent="0.25">
      <c r="O20292" s="20" t="str">
        <f>IF(N20292="","",COUNTIFS(RawData[[Date ]],N20292,RawData[Month List],$Q$6,RawData[Tour/Site],$Q$2,RawData[[Picker ID ]],$Q$3,RawData[Checker ID],$Q$4,RawData[[Error Type ]],$Q$5))</f>
        <v/>
      </c>
    </row>
    <row r="20293" spans="15:15" x14ac:dyDescent="0.25">
      <c r="O20293" s="20" t="str">
        <f>IF(N20293="","",COUNTIFS(RawData[[Date ]],N20293,RawData[Month List],$Q$6,RawData[Tour/Site],$Q$2,RawData[[Picker ID ]],$Q$3,RawData[Checker ID],$Q$4,RawData[[Error Type ]],$Q$5))</f>
        <v/>
      </c>
    </row>
    <row r="20294" spans="15:15" x14ac:dyDescent="0.25">
      <c r="O20294" s="20" t="str">
        <f>IF(N20294="","",COUNTIFS(RawData[[Date ]],N20294,RawData[Month List],$Q$6,RawData[Tour/Site],$Q$2,RawData[[Picker ID ]],$Q$3,RawData[Checker ID],$Q$4,RawData[[Error Type ]],$Q$5))</f>
        <v/>
      </c>
    </row>
    <row r="20295" spans="15:15" x14ac:dyDescent="0.25">
      <c r="O20295" s="20" t="str">
        <f>IF(N20295="","",COUNTIFS(RawData[[Date ]],N20295,RawData[Month List],$Q$6,RawData[Tour/Site],$Q$2,RawData[[Picker ID ]],$Q$3,RawData[Checker ID],$Q$4,RawData[[Error Type ]],$Q$5))</f>
        <v/>
      </c>
    </row>
    <row r="20296" spans="15:15" x14ac:dyDescent="0.25">
      <c r="O20296" s="20" t="str">
        <f>IF(N20296="","",COUNTIFS(RawData[[Date ]],N20296,RawData[Month List],$Q$6,RawData[Tour/Site],$Q$2,RawData[[Picker ID ]],$Q$3,RawData[Checker ID],$Q$4,RawData[[Error Type ]],$Q$5))</f>
        <v/>
      </c>
    </row>
    <row r="20297" spans="15:15" x14ac:dyDescent="0.25">
      <c r="O20297" s="20" t="str">
        <f>IF(N20297="","",COUNTIFS(RawData[[Date ]],N20297,RawData[Month List],$Q$6,RawData[Tour/Site],$Q$2,RawData[[Picker ID ]],$Q$3,RawData[Checker ID],$Q$4,RawData[[Error Type ]],$Q$5))</f>
        <v/>
      </c>
    </row>
    <row r="20298" spans="15:15" x14ac:dyDescent="0.25">
      <c r="O20298" s="20" t="str">
        <f>IF(N20298="","",COUNTIFS(RawData[[Date ]],N20298,RawData[Month List],$Q$6,RawData[Tour/Site],$Q$2,RawData[[Picker ID ]],$Q$3,RawData[Checker ID],$Q$4,RawData[[Error Type ]],$Q$5))</f>
        <v/>
      </c>
    </row>
    <row r="20299" spans="15:15" x14ac:dyDescent="0.25">
      <c r="O20299" s="20" t="str">
        <f>IF(N20299="","",COUNTIFS(RawData[[Date ]],N20299,RawData[Month List],$Q$6,RawData[Tour/Site],$Q$2,RawData[[Picker ID ]],$Q$3,RawData[Checker ID],$Q$4,RawData[[Error Type ]],$Q$5))</f>
        <v/>
      </c>
    </row>
    <row r="20300" spans="15:15" x14ac:dyDescent="0.25">
      <c r="O20300" s="20" t="str">
        <f>IF(N20300="","",COUNTIFS(RawData[[Date ]],N20300,RawData[Month List],$Q$6,RawData[Tour/Site],$Q$2,RawData[[Picker ID ]],$Q$3,RawData[Checker ID],$Q$4,RawData[[Error Type ]],$Q$5))</f>
        <v/>
      </c>
    </row>
    <row r="20301" spans="15:15" x14ac:dyDescent="0.25">
      <c r="O20301" s="20" t="str">
        <f>IF(N20301="","",COUNTIFS(RawData[[Date ]],N20301,RawData[Month List],$Q$6,RawData[Tour/Site],$Q$2,RawData[[Picker ID ]],$Q$3,RawData[Checker ID],$Q$4,RawData[[Error Type ]],$Q$5))</f>
        <v/>
      </c>
    </row>
    <row r="20302" spans="15:15" x14ac:dyDescent="0.25">
      <c r="O20302" s="20" t="str">
        <f>IF(N20302="","",COUNTIFS(RawData[[Date ]],N20302,RawData[Month List],$Q$6,RawData[Tour/Site],$Q$2,RawData[[Picker ID ]],$Q$3,RawData[Checker ID],$Q$4,RawData[[Error Type ]],$Q$5))</f>
        <v/>
      </c>
    </row>
    <row r="20303" spans="15:15" x14ac:dyDescent="0.25">
      <c r="O20303" s="20" t="str">
        <f>IF(N20303="","",COUNTIFS(RawData[[Date ]],N20303,RawData[Month List],$Q$6,RawData[Tour/Site],$Q$2,RawData[[Picker ID ]],$Q$3,RawData[Checker ID],$Q$4,RawData[[Error Type ]],$Q$5))</f>
        <v/>
      </c>
    </row>
    <row r="20304" spans="15:15" x14ac:dyDescent="0.25">
      <c r="O20304" s="20" t="str">
        <f>IF(N20304="","",COUNTIFS(RawData[[Date ]],N20304,RawData[Month List],$Q$6,RawData[Tour/Site],$Q$2,RawData[[Picker ID ]],$Q$3,RawData[Checker ID],$Q$4,RawData[[Error Type ]],$Q$5))</f>
        <v/>
      </c>
    </row>
    <row r="20305" spans="15:15" x14ac:dyDescent="0.25">
      <c r="O20305" s="20" t="str">
        <f>IF(N20305="","",COUNTIFS(RawData[[Date ]],N20305,RawData[Month List],$Q$6,RawData[Tour/Site],$Q$2,RawData[[Picker ID ]],$Q$3,RawData[Checker ID],$Q$4,RawData[[Error Type ]],$Q$5))</f>
        <v/>
      </c>
    </row>
    <row r="20306" spans="15:15" x14ac:dyDescent="0.25">
      <c r="O20306" s="20" t="str">
        <f>IF(N20306="","",COUNTIFS(RawData[[Date ]],N20306,RawData[Month List],$Q$6,RawData[Tour/Site],$Q$2,RawData[[Picker ID ]],$Q$3,RawData[Checker ID],$Q$4,RawData[[Error Type ]],$Q$5))</f>
        <v/>
      </c>
    </row>
    <row r="20307" spans="15:15" x14ac:dyDescent="0.25">
      <c r="O20307" s="20" t="str">
        <f>IF(N20307="","",COUNTIFS(RawData[[Date ]],N20307,RawData[Month List],$Q$6,RawData[Tour/Site],$Q$2,RawData[[Picker ID ]],$Q$3,RawData[Checker ID],$Q$4,RawData[[Error Type ]],$Q$5))</f>
        <v/>
      </c>
    </row>
    <row r="20308" spans="15:15" x14ac:dyDescent="0.25">
      <c r="O20308" s="20" t="str">
        <f>IF(N20308="","",COUNTIFS(RawData[[Date ]],N20308,RawData[Month List],$Q$6,RawData[Tour/Site],$Q$2,RawData[[Picker ID ]],$Q$3,RawData[Checker ID],$Q$4,RawData[[Error Type ]],$Q$5))</f>
        <v/>
      </c>
    </row>
    <row r="20309" spans="15:15" x14ac:dyDescent="0.25">
      <c r="O20309" s="20" t="str">
        <f>IF(N20309="","",COUNTIFS(RawData[[Date ]],N20309,RawData[Month List],$Q$6,RawData[Tour/Site],$Q$2,RawData[[Picker ID ]],$Q$3,RawData[Checker ID],$Q$4,RawData[[Error Type ]],$Q$5))</f>
        <v/>
      </c>
    </row>
    <row r="20310" spans="15:15" x14ac:dyDescent="0.25">
      <c r="O20310" s="20" t="str">
        <f>IF(N20310="","",COUNTIFS(RawData[[Date ]],N20310,RawData[Month List],$Q$6,RawData[Tour/Site],$Q$2,RawData[[Picker ID ]],$Q$3,RawData[Checker ID],$Q$4,RawData[[Error Type ]],$Q$5))</f>
        <v/>
      </c>
    </row>
    <row r="20311" spans="15:15" x14ac:dyDescent="0.25">
      <c r="O20311" s="20" t="str">
        <f>IF(N20311="","",COUNTIFS(RawData[[Date ]],N20311,RawData[Month List],$Q$6,RawData[Tour/Site],$Q$2,RawData[[Picker ID ]],$Q$3,RawData[Checker ID],$Q$4,RawData[[Error Type ]],$Q$5))</f>
        <v/>
      </c>
    </row>
    <row r="20312" spans="15:15" x14ac:dyDescent="0.25">
      <c r="O20312" s="20" t="str">
        <f>IF(N20312="","",COUNTIFS(RawData[[Date ]],N20312,RawData[Month List],$Q$6,RawData[Tour/Site],$Q$2,RawData[[Picker ID ]],$Q$3,RawData[Checker ID],$Q$4,RawData[[Error Type ]],$Q$5))</f>
        <v/>
      </c>
    </row>
    <row r="20313" spans="15:15" x14ac:dyDescent="0.25">
      <c r="O20313" s="20" t="str">
        <f>IF(N20313="","",COUNTIFS(RawData[[Date ]],N20313,RawData[Month List],$Q$6,RawData[Tour/Site],$Q$2,RawData[[Picker ID ]],$Q$3,RawData[Checker ID],$Q$4,RawData[[Error Type ]],$Q$5))</f>
        <v/>
      </c>
    </row>
    <row r="20314" spans="15:15" x14ac:dyDescent="0.25">
      <c r="O20314" s="20" t="str">
        <f>IF(N20314="","",COUNTIFS(RawData[[Date ]],N20314,RawData[Month List],$Q$6,RawData[Tour/Site],$Q$2,RawData[[Picker ID ]],$Q$3,RawData[Checker ID],$Q$4,RawData[[Error Type ]],$Q$5))</f>
        <v/>
      </c>
    </row>
    <row r="20315" spans="15:15" x14ac:dyDescent="0.25">
      <c r="O20315" s="20" t="str">
        <f>IF(N20315="","",COUNTIFS(RawData[[Date ]],N20315,RawData[Month List],$Q$6,RawData[Tour/Site],$Q$2,RawData[[Picker ID ]],$Q$3,RawData[Checker ID],$Q$4,RawData[[Error Type ]],$Q$5))</f>
        <v/>
      </c>
    </row>
    <row r="20316" spans="15:15" x14ac:dyDescent="0.25">
      <c r="O20316" s="20" t="str">
        <f>IF(N20316="","",COUNTIFS(RawData[[Date ]],N20316,RawData[Month List],$Q$6,RawData[Tour/Site],$Q$2,RawData[[Picker ID ]],$Q$3,RawData[Checker ID],$Q$4,RawData[[Error Type ]],$Q$5))</f>
        <v/>
      </c>
    </row>
    <row r="20317" spans="15:15" x14ac:dyDescent="0.25">
      <c r="O20317" s="20" t="str">
        <f>IF(N20317="","",COUNTIFS(RawData[[Date ]],N20317,RawData[Month List],$Q$6,RawData[Tour/Site],$Q$2,RawData[[Picker ID ]],$Q$3,RawData[Checker ID],$Q$4,RawData[[Error Type ]],$Q$5))</f>
        <v/>
      </c>
    </row>
    <row r="20318" spans="15:15" x14ac:dyDescent="0.25">
      <c r="O20318" s="20" t="str">
        <f>IF(N20318="","",COUNTIFS(RawData[[Date ]],N20318,RawData[Month List],$Q$6,RawData[Tour/Site],$Q$2,RawData[[Picker ID ]],$Q$3,RawData[Checker ID],$Q$4,RawData[[Error Type ]],$Q$5))</f>
        <v/>
      </c>
    </row>
    <row r="20319" spans="15:15" x14ac:dyDescent="0.25">
      <c r="O20319" s="20" t="str">
        <f>IF(N20319="","",COUNTIFS(RawData[[Date ]],N20319,RawData[Month List],$Q$6,RawData[Tour/Site],$Q$2,RawData[[Picker ID ]],$Q$3,RawData[Checker ID],$Q$4,RawData[[Error Type ]],$Q$5))</f>
        <v/>
      </c>
    </row>
    <row r="20320" spans="15:15" x14ac:dyDescent="0.25">
      <c r="O20320" s="20" t="str">
        <f>IF(N20320="","",COUNTIFS(RawData[[Date ]],N20320,RawData[Month List],$Q$6,RawData[Tour/Site],$Q$2,RawData[[Picker ID ]],$Q$3,RawData[Checker ID],$Q$4,RawData[[Error Type ]],$Q$5))</f>
        <v/>
      </c>
    </row>
    <row r="20321" spans="15:15" x14ac:dyDescent="0.25">
      <c r="O20321" s="20" t="str">
        <f>IF(N20321="","",COUNTIFS(RawData[[Date ]],N20321,RawData[Month List],$Q$6,RawData[Tour/Site],$Q$2,RawData[[Picker ID ]],$Q$3,RawData[Checker ID],$Q$4,RawData[[Error Type ]],$Q$5))</f>
        <v/>
      </c>
    </row>
    <row r="20322" spans="15:15" x14ac:dyDescent="0.25">
      <c r="O20322" s="20" t="str">
        <f>IF(N20322="","",COUNTIFS(RawData[[Date ]],N20322,RawData[Month List],$Q$6,RawData[Tour/Site],$Q$2,RawData[[Picker ID ]],$Q$3,RawData[Checker ID],$Q$4,RawData[[Error Type ]],$Q$5))</f>
        <v/>
      </c>
    </row>
    <row r="20323" spans="15:15" x14ac:dyDescent="0.25">
      <c r="O20323" s="20" t="str">
        <f>IF(N20323="","",COUNTIFS(RawData[[Date ]],N20323,RawData[Month List],$Q$6,RawData[Tour/Site],$Q$2,RawData[[Picker ID ]],$Q$3,RawData[Checker ID],$Q$4,RawData[[Error Type ]],$Q$5))</f>
        <v/>
      </c>
    </row>
    <row r="20324" spans="15:15" x14ac:dyDescent="0.25">
      <c r="O20324" s="20" t="str">
        <f>IF(N20324="","",COUNTIFS(RawData[[Date ]],N20324,RawData[Month List],$Q$6,RawData[Tour/Site],$Q$2,RawData[[Picker ID ]],$Q$3,RawData[Checker ID],$Q$4,RawData[[Error Type ]],$Q$5))</f>
        <v/>
      </c>
    </row>
    <row r="20325" spans="15:15" x14ac:dyDescent="0.25">
      <c r="O20325" s="20" t="str">
        <f>IF(N20325="","",COUNTIFS(RawData[[Date ]],N20325,RawData[Month List],$Q$6,RawData[Tour/Site],$Q$2,RawData[[Picker ID ]],$Q$3,RawData[Checker ID],$Q$4,RawData[[Error Type ]],$Q$5))</f>
        <v/>
      </c>
    </row>
    <row r="20326" spans="15:15" x14ac:dyDescent="0.25">
      <c r="O20326" s="20" t="str">
        <f>IF(N20326="","",COUNTIFS(RawData[[Date ]],N20326,RawData[Month List],$Q$6,RawData[Tour/Site],$Q$2,RawData[[Picker ID ]],$Q$3,RawData[Checker ID],$Q$4,RawData[[Error Type ]],$Q$5))</f>
        <v/>
      </c>
    </row>
    <row r="20327" spans="15:15" x14ac:dyDescent="0.25">
      <c r="O20327" s="20" t="str">
        <f>IF(N20327="","",COUNTIFS(RawData[[Date ]],N20327,RawData[Month List],$Q$6,RawData[Tour/Site],$Q$2,RawData[[Picker ID ]],$Q$3,RawData[Checker ID],$Q$4,RawData[[Error Type ]],$Q$5))</f>
        <v/>
      </c>
    </row>
    <row r="20328" spans="15:15" x14ac:dyDescent="0.25">
      <c r="O20328" s="20" t="str">
        <f>IF(N20328="","",COUNTIFS(RawData[[Date ]],N20328,RawData[Month List],$Q$6,RawData[Tour/Site],$Q$2,RawData[[Picker ID ]],$Q$3,RawData[Checker ID],$Q$4,RawData[[Error Type ]],$Q$5))</f>
        <v/>
      </c>
    </row>
    <row r="20329" spans="15:15" x14ac:dyDescent="0.25">
      <c r="O20329" s="20" t="str">
        <f>IF(N20329="","",COUNTIFS(RawData[[Date ]],N20329,RawData[Month List],$Q$6,RawData[Tour/Site],$Q$2,RawData[[Picker ID ]],$Q$3,RawData[Checker ID],$Q$4,RawData[[Error Type ]],$Q$5))</f>
        <v/>
      </c>
    </row>
    <row r="20330" spans="15:15" x14ac:dyDescent="0.25">
      <c r="O20330" s="20" t="str">
        <f>IF(N20330="","",COUNTIFS(RawData[[Date ]],N20330,RawData[Month List],$Q$6,RawData[Tour/Site],$Q$2,RawData[[Picker ID ]],$Q$3,RawData[Checker ID],$Q$4,RawData[[Error Type ]],$Q$5))</f>
        <v/>
      </c>
    </row>
    <row r="20331" spans="15:15" x14ac:dyDescent="0.25">
      <c r="O20331" s="20" t="str">
        <f>IF(N20331="","",COUNTIFS(RawData[[Date ]],N20331,RawData[Month List],$Q$6,RawData[Tour/Site],$Q$2,RawData[[Picker ID ]],$Q$3,RawData[Checker ID],$Q$4,RawData[[Error Type ]],$Q$5))</f>
        <v/>
      </c>
    </row>
    <row r="20332" spans="15:15" x14ac:dyDescent="0.25">
      <c r="O20332" s="20" t="str">
        <f>IF(N20332="","",COUNTIFS(RawData[[Date ]],N20332,RawData[Month List],$Q$6,RawData[Tour/Site],$Q$2,RawData[[Picker ID ]],$Q$3,RawData[Checker ID],$Q$4,RawData[[Error Type ]],$Q$5))</f>
        <v/>
      </c>
    </row>
    <row r="20333" spans="15:15" x14ac:dyDescent="0.25">
      <c r="O20333" s="20" t="str">
        <f>IF(N20333="","",COUNTIFS(RawData[[Date ]],N20333,RawData[Month List],$Q$6,RawData[Tour/Site],$Q$2,RawData[[Picker ID ]],$Q$3,RawData[Checker ID],$Q$4,RawData[[Error Type ]],$Q$5))</f>
        <v/>
      </c>
    </row>
    <row r="20334" spans="15:15" x14ac:dyDescent="0.25">
      <c r="O20334" s="20" t="str">
        <f>IF(N20334="","",COUNTIFS(RawData[[Date ]],N20334,RawData[Month List],$Q$6,RawData[Tour/Site],$Q$2,RawData[[Picker ID ]],$Q$3,RawData[Checker ID],$Q$4,RawData[[Error Type ]],$Q$5))</f>
        <v/>
      </c>
    </row>
    <row r="20335" spans="15:15" x14ac:dyDescent="0.25">
      <c r="O20335" s="20" t="str">
        <f>IF(N20335="","",COUNTIFS(RawData[[Date ]],N20335,RawData[Month List],$Q$6,RawData[Tour/Site],$Q$2,RawData[[Picker ID ]],$Q$3,RawData[Checker ID],$Q$4,RawData[[Error Type ]],$Q$5))</f>
        <v/>
      </c>
    </row>
    <row r="20336" spans="15:15" x14ac:dyDescent="0.25">
      <c r="O20336" s="20" t="str">
        <f>IF(N20336="","",COUNTIFS(RawData[[Date ]],N20336,RawData[Month List],$Q$6,RawData[Tour/Site],$Q$2,RawData[[Picker ID ]],$Q$3,RawData[Checker ID],$Q$4,RawData[[Error Type ]],$Q$5))</f>
        <v/>
      </c>
    </row>
    <row r="20337" spans="15:15" x14ac:dyDescent="0.25">
      <c r="O20337" s="20" t="str">
        <f>IF(N20337="","",COUNTIFS(RawData[[Date ]],N20337,RawData[Month List],$Q$6,RawData[Tour/Site],$Q$2,RawData[[Picker ID ]],$Q$3,RawData[Checker ID],$Q$4,RawData[[Error Type ]],$Q$5))</f>
        <v/>
      </c>
    </row>
    <row r="20338" spans="15:15" x14ac:dyDescent="0.25">
      <c r="O20338" s="20" t="str">
        <f>IF(N20338="","",COUNTIFS(RawData[[Date ]],N20338,RawData[Month List],$Q$6,RawData[Tour/Site],$Q$2,RawData[[Picker ID ]],$Q$3,RawData[Checker ID],$Q$4,RawData[[Error Type ]],$Q$5))</f>
        <v/>
      </c>
    </row>
    <row r="20339" spans="15:15" x14ac:dyDescent="0.25">
      <c r="O20339" s="20" t="str">
        <f>IF(N20339="","",COUNTIFS(RawData[[Date ]],N20339,RawData[Month List],$Q$6,RawData[Tour/Site],$Q$2,RawData[[Picker ID ]],$Q$3,RawData[Checker ID],$Q$4,RawData[[Error Type ]],$Q$5))</f>
        <v/>
      </c>
    </row>
    <row r="20340" spans="15:15" x14ac:dyDescent="0.25">
      <c r="O20340" s="20" t="str">
        <f>IF(N20340="","",COUNTIFS(RawData[[Date ]],N20340,RawData[Month List],$Q$6,RawData[Tour/Site],$Q$2,RawData[[Picker ID ]],$Q$3,RawData[Checker ID],$Q$4,RawData[[Error Type ]],$Q$5))</f>
        <v/>
      </c>
    </row>
    <row r="20341" spans="15:15" x14ac:dyDescent="0.25">
      <c r="O20341" s="20" t="str">
        <f>IF(N20341="","",COUNTIFS(RawData[[Date ]],N20341,RawData[Month List],$Q$6,RawData[Tour/Site],$Q$2,RawData[[Picker ID ]],$Q$3,RawData[Checker ID],$Q$4,RawData[[Error Type ]],$Q$5))</f>
        <v/>
      </c>
    </row>
    <row r="20342" spans="15:15" x14ac:dyDescent="0.25">
      <c r="O20342" s="20" t="str">
        <f>IF(N20342="","",COUNTIFS(RawData[[Date ]],N20342,RawData[Month List],$Q$6,RawData[Tour/Site],$Q$2,RawData[[Picker ID ]],$Q$3,RawData[Checker ID],$Q$4,RawData[[Error Type ]],$Q$5))</f>
        <v/>
      </c>
    </row>
    <row r="20343" spans="15:15" x14ac:dyDescent="0.25">
      <c r="O20343" s="20" t="str">
        <f>IF(N20343="","",COUNTIFS(RawData[[Date ]],N20343,RawData[Month List],$Q$6,RawData[Tour/Site],$Q$2,RawData[[Picker ID ]],$Q$3,RawData[Checker ID],$Q$4,RawData[[Error Type ]],$Q$5))</f>
        <v/>
      </c>
    </row>
    <row r="20344" spans="15:15" x14ac:dyDescent="0.25">
      <c r="O20344" s="20" t="str">
        <f>IF(N20344="","",COUNTIFS(RawData[[Date ]],N20344,RawData[Month List],$Q$6,RawData[Tour/Site],$Q$2,RawData[[Picker ID ]],$Q$3,RawData[Checker ID],$Q$4,RawData[[Error Type ]],$Q$5))</f>
        <v/>
      </c>
    </row>
    <row r="20345" spans="15:15" x14ac:dyDescent="0.25">
      <c r="O20345" s="20" t="str">
        <f>IF(N20345="","",COUNTIFS(RawData[[Date ]],N20345,RawData[Month List],$Q$6,RawData[Tour/Site],$Q$2,RawData[[Picker ID ]],$Q$3,RawData[Checker ID],$Q$4,RawData[[Error Type ]],$Q$5))</f>
        <v/>
      </c>
    </row>
    <row r="20346" spans="15:15" x14ac:dyDescent="0.25">
      <c r="O20346" s="20" t="str">
        <f>IF(N20346="","",COUNTIFS(RawData[[Date ]],N20346,RawData[Month List],$Q$6,RawData[Tour/Site],$Q$2,RawData[[Picker ID ]],$Q$3,RawData[Checker ID],$Q$4,RawData[[Error Type ]],$Q$5))</f>
        <v/>
      </c>
    </row>
    <row r="20347" spans="15:15" x14ac:dyDescent="0.25">
      <c r="O20347" s="20" t="str">
        <f>IF(N20347="","",COUNTIFS(RawData[[Date ]],N20347,RawData[Month List],$Q$6,RawData[Tour/Site],$Q$2,RawData[[Picker ID ]],$Q$3,RawData[Checker ID],$Q$4,RawData[[Error Type ]],$Q$5))</f>
        <v/>
      </c>
    </row>
    <row r="20348" spans="15:15" x14ac:dyDescent="0.25">
      <c r="O20348" s="20" t="str">
        <f>IF(N20348="","",COUNTIFS(RawData[[Date ]],N20348,RawData[Month List],$Q$6,RawData[Tour/Site],$Q$2,RawData[[Picker ID ]],$Q$3,RawData[Checker ID],$Q$4,RawData[[Error Type ]],$Q$5))</f>
        <v/>
      </c>
    </row>
    <row r="20349" spans="15:15" x14ac:dyDescent="0.25">
      <c r="O20349" s="20" t="str">
        <f>IF(N20349="","",COUNTIFS(RawData[[Date ]],N20349,RawData[Month List],$Q$6,RawData[Tour/Site],$Q$2,RawData[[Picker ID ]],$Q$3,RawData[Checker ID],$Q$4,RawData[[Error Type ]],$Q$5))</f>
        <v/>
      </c>
    </row>
    <row r="20350" spans="15:15" x14ac:dyDescent="0.25">
      <c r="O20350" s="20" t="str">
        <f>IF(N20350="","",COUNTIFS(RawData[[Date ]],N20350,RawData[Month List],$Q$6,RawData[Tour/Site],$Q$2,RawData[[Picker ID ]],$Q$3,RawData[Checker ID],$Q$4,RawData[[Error Type ]],$Q$5))</f>
        <v/>
      </c>
    </row>
    <row r="20351" spans="15:15" x14ac:dyDescent="0.25">
      <c r="O20351" s="20" t="str">
        <f>IF(N20351="","",COUNTIFS(RawData[[Date ]],N20351,RawData[Month List],$Q$6,RawData[Tour/Site],$Q$2,RawData[[Picker ID ]],$Q$3,RawData[Checker ID],$Q$4,RawData[[Error Type ]],$Q$5))</f>
        <v/>
      </c>
    </row>
    <row r="20352" spans="15:15" x14ac:dyDescent="0.25">
      <c r="O20352" s="20" t="str">
        <f>IF(N20352="","",COUNTIFS(RawData[[Date ]],N20352,RawData[Month List],$Q$6,RawData[Tour/Site],$Q$2,RawData[[Picker ID ]],$Q$3,RawData[Checker ID],$Q$4,RawData[[Error Type ]],$Q$5))</f>
        <v/>
      </c>
    </row>
    <row r="20353" spans="15:15" x14ac:dyDescent="0.25">
      <c r="O20353" s="20" t="str">
        <f>IF(N20353="","",COUNTIFS(RawData[[Date ]],N20353,RawData[Month List],$Q$6,RawData[Tour/Site],$Q$2,RawData[[Picker ID ]],$Q$3,RawData[Checker ID],$Q$4,RawData[[Error Type ]],$Q$5))</f>
        <v/>
      </c>
    </row>
    <row r="20354" spans="15:15" x14ac:dyDescent="0.25">
      <c r="O20354" s="20" t="str">
        <f>IF(N20354="","",COUNTIFS(RawData[[Date ]],N20354,RawData[Month List],$Q$6,RawData[Tour/Site],$Q$2,RawData[[Picker ID ]],$Q$3,RawData[Checker ID],$Q$4,RawData[[Error Type ]],$Q$5))</f>
        <v/>
      </c>
    </row>
    <row r="20355" spans="15:15" x14ac:dyDescent="0.25">
      <c r="O20355" s="20" t="str">
        <f>IF(N20355="","",COUNTIFS(RawData[[Date ]],N20355,RawData[Month List],$Q$6,RawData[Tour/Site],$Q$2,RawData[[Picker ID ]],$Q$3,RawData[Checker ID],$Q$4,RawData[[Error Type ]],$Q$5))</f>
        <v/>
      </c>
    </row>
    <row r="20356" spans="15:15" x14ac:dyDescent="0.25">
      <c r="O20356" s="20" t="str">
        <f>IF(N20356="","",COUNTIFS(RawData[[Date ]],N20356,RawData[Month List],$Q$6,RawData[Tour/Site],$Q$2,RawData[[Picker ID ]],$Q$3,RawData[Checker ID],$Q$4,RawData[[Error Type ]],$Q$5))</f>
        <v/>
      </c>
    </row>
    <row r="20357" spans="15:15" x14ac:dyDescent="0.25">
      <c r="O20357" s="20" t="str">
        <f>IF(N20357="","",COUNTIFS(RawData[[Date ]],N20357,RawData[Month List],$Q$6,RawData[Tour/Site],$Q$2,RawData[[Picker ID ]],$Q$3,RawData[Checker ID],$Q$4,RawData[[Error Type ]],$Q$5))</f>
        <v/>
      </c>
    </row>
    <row r="20358" spans="15:15" x14ac:dyDescent="0.25">
      <c r="O20358" s="20" t="str">
        <f>IF(N20358="","",COUNTIFS(RawData[[Date ]],N20358,RawData[Month List],$Q$6,RawData[Tour/Site],$Q$2,RawData[[Picker ID ]],$Q$3,RawData[Checker ID],$Q$4,RawData[[Error Type ]],$Q$5))</f>
        <v/>
      </c>
    </row>
    <row r="20359" spans="15:15" x14ac:dyDescent="0.25">
      <c r="O20359" s="20" t="str">
        <f>IF(N20359="","",COUNTIFS(RawData[[Date ]],N20359,RawData[Month List],$Q$6,RawData[Tour/Site],$Q$2,RawData[[Picker ID ]],$Q$3,RawData[Checker ID],$Q$4,RawData[[Error Type ]],$Q$5))</f>
        <v/>
      </c>
    </row>
    <row r="20360" spans="15:15" x14ac:dyDescent="0.25">
      <c r="O20360" s="20" t="str">
        <f>IF(N20360="","",COUNTIFS(RawData[[Date ]],N20360,RawData[Month List],$Q$6,RawData[Tour/Site],$Q$2,RawData[[Picker ID ]],$Q$3,RawData[Checker ID],$Q$4,RawData[[Error Type ]],$Q$5))</f>
        <v/>
      </c>
    </row>
    <row r="20361" spans="15:15" x14ac:dyDescent="0.25">
      <c r="O20361" s="20" t="str">
        <f>IF(N20361="","",COUNTIFS(RawData[[Date ]],N20361,RawData[Month List],$Q$6,RawData[Tour/Site],$Q$2,RawData[[Picker ID ]],$Q$3,RawData[Checker ID],$Q$4,RawData[[Error Type ]],$Q$5))</f>
        <v/>
      </c>
    </row>
    <row r="20362" spans="15:15" x14ac:dyDescent="0.25">
      <c r="O20362" s="20" t="str">
        <f>IF(N20362="","",COUNTIFS(RawData[[Date ]],N20362,RawData[Month List],$Q$6,RawData[Tour/Site],$Q$2,RawData[[Picker ID ]],$Q$3,RawData[Checker ID],$Q$4,RawData[[Error Type ]],$Q$5))</f>
        <v/>
      </c>
    </row>
    <row r="20363" spans="15:15" x14ac:dyDescent="0.25">
      <c r="O20363" s="20" t="str">
        <f>IF(N20363="","",COUNTIFS(RawData[[Date ]],N20363,RawData[Month List],$Q$6,RawData[Tour/Site],$Q$2,RawData[[Picker ID ]],$Q$3,RawData[Checker ID],$Q$4,RawData[[Error Type ]],$Q$5))</f>
        <v/>
      </c>
    </row>
    <row r="20364" spans="15:15" x14ac:dyDescent="0.25">
      <c r="O20364" s="20" t="str">
        <f>IF(N20364="","",COUNTIFS(RawData[[Date ]],N20364,RawData[Month List],$Q$6,RawData[Tour/Site],$Q$2,RawData[[Picker ID ]],$Q$3,RawData[Checker ID],$Q$4,RawData[[Error Type ]],$Q$5))</f>
        <v/>
      </c>
    </row>
    <row r="20365" spans="15:15" x14ac:dyDescent="0.25">
      <c r="O20365" s="20" t="str">
        <f>IF(N20365="","",COUNTIFS(RawData[[Date ]],N20365,RawData[Month List],$Q$6,RawData[Tour/Site],$Q$2,RawData[[Picker ID ]],$Q$3,RawData[Checker ID],$Q$4,RawData[[Error Type ]],$Q$5))</f>
        <v/>
      </c>
    </row>
    <row r="20366" spans="15:15" x14ac:dyDescent="0.25">
      <c r="O20366" s="20" t="str">
        <f>IF(N20366="","",COUNTIFS(RawData[[Date ]],N20366,RawData[Month List],$Q$6,RawData[Tour/Site],$Q$2,RawData[[Picker ID ]],$Q$3,RawData[Checker ID],$Q$4,RawData[[Error Type ]],$Q$5))</f>
        <v/>
      </c>
    </row>
    <row r="20367" spans="15:15" x14ac:dyDescent="0.25">
      <c r="O20367" s="20" t="str">
        <f>IF(N20367="","",COUNTIFS(RawData[[Date ]],N20367,RawData[Month List],$Q$6,RawData[Tour/Site],$Q$2,RawData[[Picker ID ]],$Q$3,RawData[Checker ID],$Q$4,RawData[[Error Type ]],$Q$5))</f>
        <v/>
      </c>
    </row>
    <row r="20368" spans="15:15" x14ac:dyDescent="0.25">
      <c r="O20368" s="20" t="str">
        <f>IF(N20368="","",COUNTIFS(RawData[[Date ]],N20368,RawData[Month List],$Q$6,RawData[Tour/Site],$Q$2,RawData[[Picker ID ]],$Q$3,RawData[Checker ID],$Q$4,RawData[[Error Type ]],$Q$5))</f>
        <v/>
      </c>
    </row>
    <row r="20369" spans="15:15" x14ac:dyDescent="0.25">
      <c r="O20369" s="20" t="str">
        <f>IF(N20369="","",COUNTIFS(RawData[[Date ]],N20369,RawData[Month List],$Q$6,RawData[Tour/Site],$Q$2,RawData[[Picker ID ]],$Q$3,RawData[Checker ID],$Q$4,RawData[[Error Type ]],$Q$5))</f>
        <v/>
      </c>
    </row>
    <row r="20370" spans="15:15" x14ac:dyDescent="0.25">
      <c r="O20370" s="20" t="str">
        <f>IF(N20370="","",COUNTIFS(RawData[[Date ]],N20370,RawData[Month List],$Q$6,RawData[Tour/Site],$Q$2,RawData[[Picker ID ]],$Q$3,RawData[Checker ID],$Q$4,RawData[[Error Type ]],$Q$5))</f>
        <v/>
      </c>
    </row>
    <row r="20371" spans="15:15" x14ac:dyDescent="0.25">
      <c r="O20371" s="20" t="str">
        <f>IF(N20371="","",COUNTIFS(RawData[[Date ]],N20371,RawData[Month List],$Q$6,RawData[Tour/Site],$Q$2,RawData[[Picker ID ]],$Q$3,RawData[Checker ID],$Q$4,RawData[[Error Type ]],$Q$5))</f>
        <v/>
      </c>
    </row>
    <row r="20372" spans="15:15" x14ac:dyDescent="0.25">
      <c r="O20372" s="20" t="str">
        <f>IF(N20372="","",COUNTIFS(RawData[[Date ]],N20372,RawData[Month List],$Q$6,RawData[Tour/Site],$Q$2,RawData[[Picker ID ]],$Q$3,RawData[Checker ID],$Q$4,RawData[[Error Type ]],$Q$5))</f>
        <v/>
      </c>
    </row>
    <row r="20373" spans="15:15" x14ac:dyDescent="0.25">
      <c r="O20373" s="20" t="str">
        <f>IF(N20373="","",COUNTIFS(RawData[[Date ]],N20373,RawData[Month List],$Q$6,RawData[Tour/Site],$Q$2,RawData[[Picker ID ]],$Q$3,RawData[Checker ID],$Q$4,RawData[[Error Type ]],$Q$5))</f>
        <v/>
      </c>
    </row>
    <row r="20374" spans="15:15" x14ac:dyDescent="0.25">
      <c r="O20374" s="20" t="str">
        <f>IF(N20374="","",COUNTIFS(RawData[[Date ]],N20374,RawData[Month List],$Q$6,RawData[Tour/Site],$Q$2,RawData[[Picker ID ]],$Q$3,RawData[Checker ID],$Q$4,RawData[[Error Type ]],$Q$5))</f>
        <v/>
      </c>
    </row>
    <row r="20375" spans="15:15" x14ac:dyDescent="0.25">
      <c r="O20375" s="20" t="str">
        <f>IF(N20375="","",COUNTIFS(RawData[[Date ]],N20375,RawData[Month List],$Q$6,RawData[Tour/Site],$Q$2,RawData[[Picker ID ]],$Q$3,RawData[Checker ID],$Q$4,RawData[[Error Type ]],$Q$5))</f>
        <v/>
      </c>
    </row>
    <row r="20376" spans="15:15" x14ac:dyDescent="0.25">
      <c r="O20376" s="20" t="str">
        <f>IF(N20376="","",COUNTIFS(RawData[[Date ]],N20376,RawData[Month List],$Q$6,RawData[Tour/Site],$Q$2,RawData[[Picker ID ]],$Q$3,RawData[Checker ID],$Q$4,RawData[[Error Type ]],$Q$5))</f>
        <v/>
      </c>
    </row>
    <row r="20377" spans="15:15" x14ac:dyDescent="0.25">
      <c r="O20377" s="20" t="str">
        <f>IF(N20377="","",COUNTIFS(RawData[[Date ]],N20377,RawData[Month List],$Q$6,RawData[Tour/Site],$Q$2,RawData[[Picker ID ]],$Q$3,RawData[Checker ID],$Q$4,RawData[[Error Type ]],$Q$5))</f>
        <v/>
      </c>
    </row>
    <row r="20378" spans="15:15" x14ac:dyDescent="0.25">
      <c r="O20378" s="20" t="str">
        <f>IF(N20378="","",COUNTIFS(RawData[[Date ]],N20378,RawData[Month List],$Q$6,RawData[Tour/Site],$Q$2,RawData[[Picker ID ]],$Q$3,RawData[Checker ID],$Q$4,RawData[[Error Type ]],$Q$5))</f>
        <v/>
      </c>
    </row>
    <row r="20379" spans="15:15" x14ac:dyDescent="0.25">
      <c r="O20379" s="20" t="str">
        <f>IF(N20379="","",COUNTIFS(RawData[[Date ]],N20379,RawData[Month List],$Q$6,RawData[Tour/Site],$Q$2,RawData[[Picker ID ]],$Q$3,RawData[Checker ID],$Q$4,RawData[[Error Type ]],$Q$5))</f>
        <v/>
      </c>
    </row>
    <row r="20380" spans="15:15" x14ac:dyDescent="0.25">
      <c r="O20380" s="20" t="str">
        <f>IF(N20380="","",COUNTIFS(RawData[[Date ]],N20380,RawData[Month List],$Q$6,RawData[Tour/Site],$Q$2,RawData[[Picker ID ]],$Q$3,RawData[Checker ID],$Q$4,RawData[[Error Type ]],$Q$5))</f>
        <v/>
      </c>
    </row>
    <row r="20381" spans="15:15" x14ac:dyDescent="0.25">
      <c r="O20381" s="20" t="str">
        <f>IF(N20381="","",COUNTIFS(RawData[[Date ]],N20381,RawData[Month List],$Q$6,RawData[Tour/Site],$Q$2,RawData[[Picker ID ]],$Q$3,RawData[Checker ID],$Q$4,RawData[[Error Type ]],$Q$5))</f>
        <v/>
      </c>
    </row>
    <row r="20382" spans="15:15" x14ac:dyDescent="0.25">
      <c r="O20382" s="20" t="str">
        <f>IF(N20382="","",COUNTIFS(RawData[[Date ]],N20382,RawData[Month List],$Q$6,RawData[Tour/Site],$Q$2,RawData[[Picker ID ]],$Q$3,RawData[Checker ID],$Q$4,RawData[[Error Type ]],$Q$5))</f>
        <v/>
      </c>
    </row>
    <row r="20383" spans="15:15" x14ac:dyDescent="0.25">
      <c r="O20383" s="20" t="str">
        <f>IF(N20383="","",COUNTIFS(RawData[[Date ]],N20383,RawData[Month List],$Q$6,RawData[Tour/Site],$Q$2,RawData[[Picker ID ]],$Q$3,RawData[Checker ID],$Q$4,RawData[[Error Type ]],$Q$5))</f>
        <v/>
      </c>
    </row>
    <row r="20384" spans="15:15" x14ac:dyDescent="0.25">
      <c r="O20384" s="20" t="str">
        <f>IF(N20384="","",COUNTIFS(RawData[[Date ]],N20384,RawData[Month List],$Q$6,RawData[Tour/Site],$Q$2,RawData[[Picker ID ]],$Q$3,RawData[Checker ID],$Q$4,RawData[[Error Type ]],$Q$5))</f>
        <v/>
      </c>
    </row>
    <row r="20385" spans="15:15" x14ac:dyDescent="0.25">
      <c r="O20385" s="20" t="str">
        <f>IF(N20385="","",COUNTIFS(RawData[[Date ]],N20385,RawData[Month List],$Q$6,RawData[Tour/Site],$Q$2,RawData[[Picker ID ]],$Q$3,RawData[Checker ID],$Q$4,RawData[[Error Type ]],$Q$5))</f>
        <v/>
      </c>
    </row>
    <row r="20386" spans="15:15" x14ac:dyDescent="0.25">
      <c r="O20386" s="20" t="str">
        <f>IF(N20386="","",COUNTIFS(RawData[[Date ]],N20386,RawData[Month List],$Q$6,RawData[Tour/Site],$Q$2,RawData[[Picker ID ]],$Q$3,RawData[Checker ID],$Q$4,RawData[[Error Type ]],$Q$5))</f>
        <v/>
      </c>
    </row>
    <row r="20387" spans="15:15" x14ac:dyDescent="0.25">
      <c r="O20387" s="20" t="str">
        <f>IF(N20387="","",COUNTIFS(RawData[[Date ]],N20387,RawData[Month List],$Q$6,RawData[Tour/Site],$Q$2,RawData[[Picker ID ]],$Q$3,RawData[Checker ID],$Q$4,RawData[[Error Type ]],$Q$5))</f>
        <v/>
      </c>
    </row>
    <row r="20388" spans="15:15" x14ac:dyDescent="0.25">
      <c r="O20388" s="20" t="str">
        <f>IF(N20388="","",COUNTIFS(RawData[[Date ]],N20388,RawData[Month List],$Q$6,RawData[Tour/Site],$Q$2,RawData[[Picker ID ]],$Q$3,RawData[Checker ID],$Q$4,RawData[[Error Type ]],$Q$5))</f>
        <v/>
      </c>
    </row>
    <row r="20389" spans="15:15" x14ac:dyDescent="0.25">
      <c r="O20389" s="20" t="str">
        <f>IF(N20389="","",COUNTIFS(RawData[[Date ]],N20389,RawData[Month List],$Q$6,RawData[Tour/Site],$Q$2,RawData[[Picker ID ]],$Q$3,RawData[Checker ID],$Q$4,RawData[[Error Type ]],$Q$5))</f>
        <v/>
      </c>
    </row>
    <row r="20390" spans="15:15" x14ac:dyDescent="0.25">
      <c r="O20390" s="20" t="str">
        <f>IF(N20390="","",COUNTIFS(RawData[[Date ]],N20390,RawData[Month List],$Q$6,RawData[Tour/Site],$Q$2,RawData[[Picker ID ]],$Q$3,RawData[Checker ID],$Q$4,RawData[[Error Type ]],$Q$5))</f>
        <v/>
      </c>
    </row>
    <row r="20391" spans="15:15" x14ac:dyDescent="0.25">
      <c r="O20391" s="20" t="str">
        <f>IF(N20391="","",COUNTIFS(RawData[[Date ]],N20391,RawData[Month List],$Q$6,RawData[Tour/Site],$Q$2,RawData[[Picker ID ]],$Q$3,RawData[Checker ID],$Q$4,RawData[[Error Type ]],$Q$5))</f>
        <v/>
      </c>
    </row>
    <row r="20392" spans="15:15" x14ac:dyDescent="0.25">
      <c r="O20392" s="20" t="str">
        <f>IF(N20392="","",COUNTIFS(RawData[[Date ]],N20392,RawData[Month List],$Q$6,RawData[Tour/Site],$Q$2,RawData[[Picker ID ]],$Q$3,RawData[Checker ID],$Q$4,RawData[[Error Type ]],$Q$5))</f>
        <v/>
      </c>
    </row>
    <row r="20393" spans="15:15" x14ac:dyDescent="0.25">
      <c r="O20393" s="20" t="str">
        <f>IF(N20393="","",COUNTIFS(RawData[[Date ]],N20393,RawData[Month List],$Q$6,RawData[Tour/Site],$Q$2,RawData[[Picker ID ]],$Q$3,RawData[Checker ID],$Q$4,RawData[[Error Type ]],$Q$5))</f>
        <v/>
      </c>
    </row>
    <row r="20394" spans="15:15" x14ac:dyDescent="0.25">
      <c r="O20394" s="20" t="str">
        <f>IF(N20394="","",COUNTIFS(RawData[[Date ]],N20394,RawData[Month List],$Q$6,RawData[Tour/Site],$Q$2,RawData[[Picker ID ]],$Q$3,RawData[Checker ID],$Q$4,RawData[[Error Type ]],$Q$5))</f>
        <v/>
      </c>
    </row>
    <row r="20395" spans="15:15" x14ac:dyDescent="0.25">
      <c r="O20395" s="20" t="str">
        <f>IF(N20395="","",COUNTIFS(RawData[[Date ]],N20395,RawData[Month List],$Q$6,RawData[Tour/Site],$Q$2,RawData[[Picker ID ]],$Q$3,RawData[Checker ID],$Q$4,RawData[[Error Type ]],$Q$5))</f>
        <v/>
      </c>
    </row>
    <row r="20396" spans="15:15" x14ac:dyDescent="0.25">
      <c r="O20396" s="20" t="str">
        <f>IF(N20396="","",COUNTIFS(RawData[[Date ]],N20396,RawData[Month List],$Q$6,RawData[Tour/Site],$Q$2,RawData[[Picker ID ]],$Q$3,RawData[Checker ID],$Q$4,RawData[[Error Type ]],$Q$5))</f>
        <v/>
      </c>
    </row>
    <row r="20397" spans="15:15" x14ac:dyDescent="0.25">
      <c r="O20397" s="20" t="str">
        <f>IF(N20397="","",COUNTIFS(RawData[[Date ]],N20397,RawData[Month List],$Q$6,RawData[Tour/Site],$Q$2,RawData[[Picker ID ]],$Q$3,RawData[Checker ID],$Q$4,RawData[[Error Type ]],$Q$5))</f>
        <v/>
      </c>
    </row>
    <row r="20398" spans="15:15" x14ac:dyDescent="0.25">
      <c r="O20398" s="20" t="str">
        <f>IF(N20398="","",COUNTIFS(RawData[[Date ]],N20398,RawData[Month List],$Q$6,RawData[Tour/Site],$Q$2,RawData[[Picker ID ]],$Q$3,RawData[Checker ID],$Q$4,RawData[[Error Type ]],$Q$5))</f>
        <v/>
      </c>
    </row>
    <row r="20399" spans="15:15" x14ac:dyDescent="0.25">
      <c r="O20399" s="20" t="str">
        <f>IF(N20399="","",COUNTIFS(RawData[[Date ]],N20399,RawData[Month List],$Q$6,RawData[Tour/Site],$Q$2,RawData[[Picker ID ]],$Q$3,RawData[Checker ID],$Q$4,RawData[[Error Type ]],$Q$5))</f>
        <v/>
      </c>
    </row>
    <row r="20400" spans="15:15" x14ac:dyDescent="0.25">
      <c r="O20400" s="20" t="str">
        <f>IF(N20400="","",COUNTIFS(RawData[[Date ]],N20400,RawData[Month List],$Q$6,RawData[Tour/Site],$Q$2,RawData[[Picker ID ]],$Q$3,RawData[Checker ID],$Q$4,RawData[[Error Type ]],$Q$5))</f>
        <v/>
      </c>
    </row>
    <row r="20401" spans="15:15" x14ac:dyDescent="0.25">
      <c r="O20401" s="20" t="str">
        <f>IF(N20401="","",COUNTIFS(RawData[[Date ]],N20401,RawData[Month List],$Q$6,RawData[Tour/Site],$Q$2,RawData[[Picker ID ]],$Q$3,RawData[Checker ID],$Q$4,RawData[[Error Type ]],$Q$5))</f>
        <v/>
      </c>
    </row>
    <row r="20402" spans="15:15" x14ac:dyDescent="0.25">
      <c r="O20402" s="20" t="str">
        <f>IF(N20402="","",COUNTIFS(RawData[[Date ]],N20402,RawData[Month List],$Q$6,RawData[Tour/Site],$Q$2,RawData[[Picker ID ]],$Q$3,RawData[Checker ID],$Q$4,RawData[[Error Type ]],$Q$5))</f>
        <v/>
      </c>
    </row>
    <row r="20403" spans="15:15" x14ac:dyDescent="0.25">
      <c r="O20403" s="20" t="str">
        <f>IF(N20403="","",COUNTIFS(RawData[[Date ]],N20403,RawData[Month List],$Q$6,RawData[Tour/Site],$Q$2,RawData[[Picker ID ]],$Q$3,RawData[Checker ID],$Q$4,RawData[[Error Type ]],$Q$5))</f>
        <v/>
      </c>
    </row>
    <row r="20404" spans="15:15" x14ac:dyDescent="0.25">
      <c r="O20404" s="20" t="str">
        <f>IF(N20404="","",COUNTIFS(RawData[[Date ]],N20404,RawData[Month List],$Q$6,RawData[Tour/Site],$Q$2,RawData[[Picker ID ]],$Q$3,RawData[Checker ID],$Q$4,RawData[[Error Type ]],$Q$5))</f>
        <v/>
      </c>
    </row>
    <row r="20405" spans="15:15" x14ac:dyDescent="0.25">
      <c r="O20405" s="20" t="str">
        <f>IF(N20405="","",COUNTIFS(RawData[[Date ]],N20405,RawData[Month List],$Q$6,RawData[Tour/Site],$Q$2,RawData[[Picker ID ]],$Q$3,RawData[Checker ID],$Q$4,RawData[[Error Type ]],$Q$5))</f>
        <v/>
      </c>
    </row>
    <row r="20406" spans="15:15" x14ac:dyDescent="0.25">
      <c r="O20406" s="20" t="str">
        <f>IF(N20406="","",COUNTIFS(RawData[[Date ]],N20406,RawData[Month List],$Q$6,RawData[Tour/Site],$Q$2,RawData[[Picker ID ]],$Q$3,RawData[Checker ID],$Q$4,RawData[[Error Type ]],$Q$5))</f>
        <v/>
      </c>
    </row>
    <row r="20407" spans="15:15" x14ac:dyDescent="0.25">
      <c r="O20407" s="20" t="str">
        <f>IF(N20407="","",COUNTIFS(RawData[[Date ]],N20407,RawData[Month List],$Q$6,RawData[Tour/Site],$Q$2,RawData[[Picker ID ]],$Q$3,RawData[Checker ID],$Q$4,RawData[[Error Type ]],$Q$5))</f>
        <v/>
      </c>
    </row>
    <row r="20408" spans="15:15" x14ac:dyDescent="0.25">
      <c r="O20408" s="20" t="str">
        <f>IF(N20408="","",COUNTIFS(RawData[[Date ]],N20408,RawData[Month List],$Q$6,RawData[Tour/Site],$Q$2,RawData[[Picker ID ]],$Q$3,RawData[Checker ID],$Q$4,RawData[[Error Type ]],$Q$5))</f>
        <v/>
      </c>
    </row>
    <row r="20409" spans="15:15" x14ac:dyDescent="0.25">
      <c r="O20409" s="20" t="str">
        <f>IF(N20409="","",COUNTIFS(RawData[[Date ]],N20409,RawData[Month List],$Q$6,RawData[Tour/Site],$Q$2,RawData[[Picker ID ]],$Q$3,RawData[Checker ID],$Q$4,RawData[[Error Type ]],$Q$5))</f>
        <v/>
      </c>
    </row>
    <row r="20410" spans="15:15" x14ac:dyDescent="0.25">
      <c r="O20410" s="20" t="str">
        <f>IF(N20410="","",COUNTIFS(RawData[[Date ]],N20410,RawData[Month List],$Q$6,RawData[Tour/Site],$Q$2,RawData[[Picker ID ]],$Q$3,RawData[Checker ID],$Q$4,RawData[[Error Type ]],$Q$5))</f>
        <v/>
      </c>
    </row>
    <row r="20411" spans="15:15" x14ac:dyDescent="0.25">
      <c r="O20411" s="20" t="str">
        <f>IF(N20411="","",COUNTIFS(RawData[[Date ]],N20411,RawData[Month List],$Q$6,RawData[Tour/Site],$Q$2,RawData[[Picker ID ]],$Q$3,RawData[Checker ID],$Q$4,RawData[[Error Type ]],$Q$5))</f>
        <v/>
      </c>
    </row>
    <row r="20412" spans="15:15" x14ac:dyDescent="0.25">
      <c r="O20412" s="20" t="str">
        <f>IF(N20412="","",COUNTIFS(RawData[[Date ]],N20412,RawData[Month List],$Q$6,RawData[Tour/Site],$Q$2,RawData[[Picker ID ]],$Q$3,RawData[Checker ID],$Q$4,RawData[[Error Type ]],$Q$5))</f>
        <v/>
      </c>
    </row>
    <row r="20413" spans="15:15" x14ac:dyDescent="0.25">
      <c r="O20413" s="20" t="str">
        <f>IF(N20413="","",COUNTIFS(RawData[[Date ]],N20413,RawData[Month List],$Q$6,RawData[Tour/Site],$Q$2,RawData[[Picker ID ]],$Q$3,RawData[Checker ID],$Q$4,RawData[[Error Type ]],$Q$5))</f>
        <v/>
      </c>
    </row>
    <row r="20414" spans="15:15" x14ac:dyDescent="0.25">
      <c r="O20414" s="20" t="str">
        <f>IF(N20414="","",COUNTIFS(RawData[[Date ]],N20414,RawData[Month List],$Q$6,RawData[Tour/Site],$Q$2,RawData[[Picker ID ]],$Q$3,RawData[Checker ID],$Q$4,RawData[[Error Type ]],$Q$5))</f>
        <v/>
      </c>
    </row>
    <row r="20415" spans="15:15" x14ac:dyDescent="0.25">
      <c r="O20415" s="20" t="str">
        <f>IF(N20415="","",COUNTIFS(RawData[[Date ]],N20415,RawData[Month List],$Q$6,RawData[Tour/Site],$Q$2,RawData[[Picker ID ]],$Q$3,RawData[Checker ID],$Q$4,RawData[[Error Type ]],$Q$5))</f>
        <v/>
      </c>
    </row>
    <row r="20416" spans="15:15" x14ac:dyDescent="0.25">
      <c r="O20416" s="20" t="str">
        <f>IF(N20416="","",COUNTIFS(RawData[[Date ]],N20416,RawData[Month List],$Q$6,RawData[Tour/Site],$Q$2,RawData[[Picker ID ]],$Q$3,RawData[Checker ID],$Q$4,RawData[[Error Type ]],$Q$5))</f>
        <v/>
      </c>
    </row>
    <row r="20417" spans="15:15" x14ac:dyDescent="0.25">
      <c r="O20417" s="20" t="str">
        <f>IF(N20417="","",COUNTIFS(RawData[[Date ]],N20417,RawData[Month List],$Q$6,RawData[Tour/Site],$Q$2,RawData[[Picker ID ]],$Q$3,RawData[Checker ID],$Q$4,RawData[[Error Type ]],$Q$5))</f>
        <v/>
      </c>
    </row>
    <row r="20418" spans="15:15" x14ac:dyDescent="0.25">
      <c r="O20418" s="20" t="str">
        <f>IF(N20418="","",COUNTIFS(RawData[[Date ]],N20418,RawData[Month List],$Q$6,RawData[Tour/Site],$Q$2,RawData[[Picker ID ]],$Q$3,RawData[Checker ID],$Q$4,RawData[[Error Type ]],$Q$5))</f>
        <v/>
      </c>
    </row>
    <row r="20419" spans="15:15" x14ac:dyDescent="0.25">
      <c r="O20419" s="20" t="str">
        <f>IF(N20419="","",COUNTIFS(RawData[[Date ]],N20419,RawData[Month List],$Q$6,RawData[Tour/Site],$Q$2,RawData[[Picker ID ]],$Q$3,RawData[Checker ID],$Q$4,RawData[[Error Type ]],$Q$5))</f>
        <v/>
      </c>
    </row>
    <row r="20420" spans="15:15" x14ac:dyDescent="0.25">
      <c r="O20420" s="20" t="str">
        <f>IF(N20420="","",COUNTIFS(RawData[[Date ]],N20420,RawData[Month List],$Q$6,RawData[Tour/Site],$Q$2,RawData[[Picker ID ]],$Q$3,RawData[Checker ID],$Q$4,RawData[[Error Type ]],$Q$5))</f>
        <v/>
      </c>
    </row>
    <row r="20421" spans="15:15" x14ac:dyDescent="0.25">
      <c r="O20421" s="20" t="str">
        <f>IF(N20421="","",COUNTIFS(RawData[[Date ]],N20421,RawData[Month List],$Q$6,RawData[Tour/Site],$Q$2,RawData[[Picker ID ]],$Q$3,RawData[Checker ID],$Q$4,RawData[[Error Type ]],$Q$5))</f>
        <v/>
      </c>
    </row>
    <row r="20422" spans="15:15" x14ac:dyDescent="0.25">
      <c r="O20422" s="20" t="str">
        <f>IF(N20422="","",COUNTIFS(RawData[[Date ]],N20422,RawData[Month List],$Q$6,RawData[Tour/Site],$Q$2,RawData[[Picker ID ]],$Q$3,RawData[Checker ID],$Q$4,RawData[[Error Type ]],$Q$5))</f>
        <v/>
      </c>
    </row>
    <row r="20423" spans="15:15" x14ac:dyDescent="0.25">
      <c r="O20423" s="20" t="str">
        <f>IF(N20423="","",COUNTIFS(RawData[[Date ]],N20423,RawData[Month List],$Q$6,RawData[Tour/Site],$Q$2,RawData[[Picker ID ]],$Q$3,RawData[Checker ID],$Q$4,RawData[[Error Type ]],$Q$5))</f>
        <v/>
      </c>
    </row>
    <row r="20424" spans="15:15" x14ac:dyDescent="0.25">
      <c r="O20424" s="20" t="str">
        <f>IF(N20424="","",COUNTIFS(RawData[[Date ]],N20424,RawData[Month List],$Q$6,RawData[Tour/Site],$Q$2,RawData[[Picker ID ]],$Q$3,RawData[Checker ID],$Q$4,RawData[[Error Type ]],$Q$5))</f>
        <v/>
      </c>
    </row>
    <row r="20425" spans="15:15" x14ac:dyDescent="0.25">
      <c r="O20425" s="20" t="str">
        <f>IF(N20425="","",COUNTIFS(RawData[[Date ]],N20425,RawData[Month List],$Q$6,RawData[Tour/Site],$Q$2,RawData[[Picker ID ]],$Q$3,RawData[Checker ID],$Q$4,RawData[[Error Type ]],$Q$5))</f>
        <v/>
      </c>
    </row>
    <row r="20426" spans="15:15" x14ac:dyDescent="0.25">
      <c r="O20426" s="20" t="str">
        <f>IF(N20426="","",COUNTIFS(RawData[[Date ]],N20426,RawData[Month List],$Q$6,RawData[Tour/Site],$Q$2,RawData[[Picker ID ]],$Q$3,RawData[Checker ID],$Q$4,RawData[[Error Type ]],$Q$5))</f>
        <v/>
      </c>
    </row>
    <row r="20427" spans="15:15" x14ac:dyDescent="0.25">
      <c r="O20427" s="20" t="str">
        <f>IF(N20427="","",COUNTIFS(RawData[[Date ]],N20427,RawData[Month List],$Q$6,RawData[Tour/Site],$Q$2,RawData[[Picker ID ]],$Q$3,RawData[Checker ID],$Q$4,RawData[[Error Type ]],$Q$5))</f>
        <v/>
      </c>
    </row>
    <row r="20428" spans="15:15" x14ac:dyDescent="0.25">
      <c r="O20428" s="20" t="str">
        <f>IF(N20428="","",COUNTIFS(RawData[[Date ]],N20428,RawData[Month List],$Q$6,RawData[Tour/Site],$Q$2,RawData[[Picker ID ]],$Q$3,RawData[Checker ID],$Q$4,RawData[[Error Type ]],$Q$5))</f>
        <v/>
      </c>
    </row>
    <row r="20429" spans="15:15" x14ac:dyDescent="0.25">
      <c r="O20429" s="20" t="str">
        <f>IF(N20429="","",COUNTIFS(RawData[[Date ]],N20429,RawData[Month List],$Q$6,RawData[Tour/Site],$Q$2,RawData[[Picker ID ]],$Q$3,RawData[Checker ID],$Q$4,RawData[[Error Type ]],$Q$5))</f>
        <v/>
      </c>
    </row>
    <row r="20430" spans="15:15" x14ac:dyDescent="0.25">
      <c r="O20430" s="20" t="str">
        <f>IF(N20430="","",COUNTIFS(RawData[[Date ]],N20430,RawData[Month List],$Q$6,RawData[Tour/Site],$Q$2,RawData[[Picker ID ]],$Q$3,RawData[Checker ID],$Q$4,RawData[[Error Type ]],$Q$5))</f>
        <v/>
      </c>
    </row>
    <row r="20431" spans="15:15" x14ac:dyDescent="0.25">
      <c r="O20431" s="20" t="str">
        <f>IF(N20431="","",COUNTIFS(RawData[[Date ]],N20431,RawData[Month List],$Q$6,RawData[Tour/Site],$Q$2,RawData[[Picker ID ]],$Q$3,RawData[Checker ID],$Q$4,RawData[[Error Type ]],$Q$5))</f>
        <v/>
      </c>
    </row>
    <row r="20432" spans="15:15" x14ac:dyDescent="0.25">
      <c r="O20432" s="20" t="str">
        <f>IF(N20432="","",COUNTIFS(RawData[[Date ]],N20432,RawData[Month List],$Q$6,RawData[Tour/Site],$Q$2,RawData[[Picker ID ]],$Q$3,RawData[Checker ID],$Q$4,RawData[[Error Type ]],$Q$5))</f>
        <v/>
      </c>
    </row>
    <row r="20433" spans="15:15" x14ac:dyDescent="0.25">
      <c r="O20433" s="20" t="str">
        <f>IF(N20433="","",COUNTIFS(RawData[[Date ]],N20433,RawData[Month List],$Q$6,RawData[Tour/Site],$Q$2,RawData[[Picker ID ]],$Q$3,RawData[Checker ID],$Q$4,RawData[[Error Type ]],$Q$5))</f>
        <v/>
      </c>
    </row>
    <row r="20434" spans="15:15" x14ac:dyDescent="0.25">
      <c r="O20434" s="20" t="str">
        <f>IF(N20434="","",COUNTIFS(RawData[[Date ]],N20434,RawData[Month List],$Q$6,RawData[Tour/Site],$Q$2,RawData[[Picker ID ]],$Q$3,RawData[Checker ID],$Q$4,RawData[[Error Type ]],$Q$5))</f>
        <v/>
      </c>
    </row>
    <row r="20435" spans="15:15" x14ac:dyDescent="0.25">
      <c r="O20435" s="20" t="str">
        <f>IF(N20435="","",COUNTIFS(RawData[[Date ]],N20435,RawData[Month List],$Q$6,RawData[Tour/Site],$Q$2,RawData[[Picker ID ]],$Q$3,RawData[Checker ID],$Q$4,RawData[[Error Type ]],$Q$5))</f>
        <v/>
      </c>
    </row>
    <row r="20436" spans="15:15" x14ac:dyDescent="0.25">
      <c r="O20436" s="20" t="str">
        <f>IF(N20436="","",COUNTIFS(RawData[[Date ]],N20436,RawData[Month List],$Q$6,RawData[Tour/Site],$Q$2,RawData[[Picker ID ]],$Q$3,RawData[Checker ID],$Q$4,RawData[[Error Type ]],$Q$5))</f>
        <v/>
      </c>
    </row>
    <row r="20437" spans="15:15" x14ac:dyDescent="0.25">
      <c r="O20437" s="20" t="str">
        <f>IF(N20437="","",COUNTIFS(RawData[[Date ]],N20437,RawData[Month List],$Q$6,RawData[Tour/Site],$Q$2,RawData[[Picker ID ]],$Q$3,RawData[Checker ID],$Q$4,RawData[[Error Type ]],$Q$5))</f>
        <v/>
      </c>
    </row>
    <row r="20438" spans="15:15" x14ac:dyDescent="0.25">
      <c r="O20438" s="20" t="str">
        <f>IF(N20438="","",COUNTIFS(RawData[[Date ]],N20438,RawData[Month List],$Q$6,RawData[Tour/Site],$Q$2,RawData[[Picker ID ]],$Q$3,RawData[Checker ID],$Q$4,RawData[[Error Type ]],$Q$5))</f>
        <v/>
      </c>
    </row>
    <row r="20439" spans="15:15" x14ac:dyDescent="0.25">
      <c r="O20439" s="20" t="str">
        <f>IF(N20439="","",COUNTIFS(RawData[[Date ]],N20439,RawData[Month List],$Q$6,RawData[Tour/Site],$Q$2,RawData[[Picker ID ]],$Q$3,RawData[Checker ID],$Q$4,RawData[[Error Type ]],$Q$5))</f>
        <v/>
      </c>
    </row>
    <row r="20440" spans="15:15" x14ac:dyDescent="0.25">
      <c r="O20440" s="20" t="str">
        <f>IF(N20440="","",COUNTIFS(RawData[[Date ]],N20440,RawData[Month List],$Q$6,RawData[Tour/Site],$Q$2,RawData[[Picker ID ]],$Q$3,RawData[Checker ID],$Q$4,RawData[[Error Type ]],$Q$5))</f>
        <v/>
      </c>
    </row>
    <row r="20441" spans="15:15" x14ac:dyDescent="0.25">
      <c r="O20441" s="20" t="str">
        <f>IF(N20441="","",COUNTIFS(RawData[[Date ]],N20441,RawData[Month List],$Q$6,RawData[Tour/Site],$Q$2,RawData[[Picker ID ]],$Q$3,RawData[Checker ID],$Q$4,RawData[[Error Type ]],$Q$5))</f>
        <v/>
      </c>
    </row>
    <row r="20442" spans="15:15" x14ac:dyDescent="0.25">
      <c r="O20442" s="20" t="str">
        <f>IF(N20442="","",COUNTIFS(RawData[[Date ]],N20442,RawData[Month List],$Q$6,RawData[Tour/Site],$Q$2,RawData[[Picker ID ]],$Q$3,RawData[Checker ID],$Q$4,RawData[[Error Type ]],$Q$5))</f>
        <v/>
      </c>
    </row>
    <row r="20443" spans="15:15" x14ac:dyDescent="0.25">
      <c r="O20443" s="20" t="str">
        <f>IF(N20443="","",COUNTIFS(RawData[[Date ]],N20443,RawData[Month List],$Q$6,RawData[Tour/Site],$Q$2,RawData[[Picker ID ]],$Q$3,RawData[Checker ID],$Q$4,RawData[[Error Type ]],$Q$5))</f>
        <v/>
      </c>
    </row>
    <row r="20444" spans="15:15" x14ac:dyDescent="0.25">
      <c r="O20444" s="20" t="str">
        <f>IF(N20444="","",COUNTIFS(RawData[[Date ]],N20444,RawData[Month List],$Q$6,RawData[Tour/Site],$Q$2,RawData[[Picker ID ]],$Q$3,RawData[Checker ID],$Q$4,RawData[[Error Type ]],$Q$5))</f>
        <v/>
      </c>
    </row>
    <row r="20445" spans="15:15" x14ac:dyDescent="0.25">
      <c r="O20445" s="20" t="str">
        <f>IF(N20445="","",COUNTIFS(RawData[[Date ]],N20445,RawData[Month List],$Q$6,RawData[Tour/Site],$Q$2,RawData[[Picker ID ]],$Q$3,RawData[Checker ID],$Q$4,RawData[[Error Type ]],$Q$5))</f>
        <v/>
      </c>
    </row>
    <row r="20446" spans="15:15" x14ac:dyDescent="0.25">
      <c r="O20446" s="20" t="str">
        <f>IF(N20446="","",COUNTIFS(RawData[[Date ]],N20446,RawData[Month List],$Q$6,RawData[Tour/Site],$Q$2,RawData[[Picker ID ]],$Q$3,RawData[Checker ID],$Q$4,RawData[[Error Type ]],$Q$5))</f>
        <v/>
      </c>
    </row>
    <row r="20447" spans="15:15" x14ac:dyDescent="0.25">
      <c r="O20447" s="20" t="str">
        <f>IF(N20447="","",COUNTIFS(RawData[[Date ]],N20447,RawData[Month List],$Q$6,RawData[Tour/Site],$Q$2,RawData[[Picker ID ]],$Q$3,RawData[Checker ID],$Q$4,RawData[[Error Type ]],$Q$5))</f>
        <v/>
      </c>
    </row>
    <row r="20448" spans="15:15" x14ac:dyDescent="0.25">
      <c r="O20448" s="20" t="str">
        <f>IF(N20448="","",COUNTIFS(RawData[[Date ]],N20448,RawData[Month List],$Q$6,RawData[Tour/Site],$Q$2,RawData[[Picker ID ]],$Q$3,RawData[Checker ID],$Q$4,RawData[[Error Type ]],$Q$5))</f>
        <v/>
      </c>
    </row>
    <row r="20449" spans="15:15" x14ac:dyDescent="0.25">
      <c r="O20449" s="20" t="str">
        <f>IF(N20449="","",COUNTIFS(RawData[[Date ]],N20449,RawData[Month List],$Q$6,RawData[Tour/Site],$Q$2,RawData[[Picker ID ]],$Q$3,RawData[Checker ID],$Q$4,RawData[[Error Type ]],$Q$5))</f>
        <v/>
      </c>
    </row>
    <row r="20450" spans="15:15" x14ac:dyDescent="0.25">
      <c r="O20450" s="20" t="str">
        <f>IF(N20450="","",COUNTIFS(RawData[[Date ]],N20450,RawData[Month List],$Q$6,RawData[Tour/Site],$Q$2,RawData[[Picker ID ]],$Q$3,RawData[Checker ID],$Q$4,RawData[[Error Type ]],$Q$5))</f>
        <v/>
      </c>
    </row>
    <row r="20451" spans="15:15" x14ac:dyDescent="0.25">
      <c r="O20451" s="20" t="str">
        <f>IF(N20451="","",COUNTIFS(RawData[[Date ]],N20451,RawData[Month List],$Q$6,RawData[Tour/Site],$Q$2,RawData[[Picker ID ]],$Q$3,RawData[Checker ID],$Q$4,RawData[[Error Type ]],$Q$5))</f>
        <v/>
      </c>
    </row>
    <row r="20452" spans="15:15" x14ac:dyDescent="0.25">
      <c r="O20452" s="20" t="str">
        <f>IF(N20452="","",COUNTIFS(RawData[[Date ]],N20452,RawData[Month List],$Q$6,RawData[Tour/Site],$Q$2,RawData[[Picker ID ]],$Q$3,RawData[Checker ID],$Q$4,RawData[[Error Type ]],$Q$5))</f>
        <v/>
      </c>
    </row>
    <row r="20453" spans="15:15" x14ac:dyDescent="0.25">
      <c r="O20453" s="20" t="str">
        <f>IF(N20453="","",COUNTIFS(RawData[[Date ]],N20453,RawData[Month List],$Q$6,RawData[Tour/Site],$Q$2,RawData[[Picker ID ]],$Q$3,RawData[Checker ID],$Q$4,RawData[[Error Type ]],$Q$5))</f>
        <v/>
      </c>
    </row>
    <row r="20454" spans="15:15" x14ac:dyDescent="0.25">
      <c r="O20454" s="20" t="str">
        <f>IF(N20454="","",COUNTIFS(RawData[[Date ]],N20454,RawData[Month List],$Q$6,RawData[Tour/Site],$Q$2,RawData[[Picker ID ]],$Q$3,RawData[Checker ID],$Q$4,RawData[[Error Type ]],$Q$5))</f>
        <v/>
      </c>
    </row>
    <row r="20455" spans="15:15" x14ac:dyDescent="0.25">
      <c r="O20455" s="20" t="str">
        <f>IF(N20455="","",COUNTIFS(RawData[[Date ]],N20455,RawData[Month List],$Q$6,RawData[Tour/Site],$Q$2,RawData[[Picker ID ]],$Q$3,RawData[Checker ID],$Q$4,RawData[[Error Type ]],$Q$5))</f>
        <v/>
      </c>
    </row>
    <row r="20456" spans="15:15" x14ac:dyDescent="0.25">
      <c r="O20456" s="20" t="str">
        <f>IF(N20456="","",COUNTIFS(RawData[[Date ]],N20456,RawData[Month List],$Q$6,RawData[Tour/Site],$Q$2,RawData[[Picker ID ]],$Q$3,RawData[Checker ID],$Q$4,RawData[[Error Type ]],$Q$5))</f>
        <v/>
      </c>
    </row>
    <row r="20457" spans="15:15" x14ac:dyDescent="0.25">
      <c r="O20457" s="20" t="str">
        <f>IF(N20457="","",COUNTIFS(RawData[[Date ]],N20457,RawData[Month List],$Q$6,RawData[Tour/Site],$Q$2,RawData[[Picker ID ]],$Q$3,RawData[Checker ID],$Q$4,RawData[[Error Type ]],$Q$5))</f>
        <v/>
      </c>
    </row>
    <row r="20458" spans="15:15" x14ac:dyDescent="0.25">
      <c r="O20458" s="20" t="str">
        <f>IF(N20458="","",COUNTIFS(RawData[[Date ]],N20458,RawData[Month List],$Q$6,RawData[Tour/Site],$Q$2,RawData[[Picker ID ]],$Q$3,RawData[Checker ID],$Q$4,RawData[[Error Type ]],$Q$5))</f>
        <v/>
      </c>
    </row>
    <row r="20459" spans="15:15" x14ac:dyDescent="0.25">
      <c r="O20459" s="20" t="str">
        <f>IF(N20459="","",COUNTIFS(RawData[[Date ]],N20459,RawData[Month List],$Q$6,RawData[Tour/Site],$Q$2,RawData[[Picker ID ]],$Q$3,RawData[Checker ID],$Q$4,RawData[[Error Type ]],$Q$5))</f>
        <v/>
      </c>
    </row>
    <row r="20460" spans="15:15" x14ac:dyDescent="0.25">
      <c r="O20460" s="20" t="str">
        <f>IF(N20460="","",COUNTIFS(RawData[[Date ]],N20460,RawData[Month List],$Q$6,RawData[Tour/Site],$Q$2,RawData[[Picker ID ]],$Q$3,RawData[Checker ID],$Q$4,RawData[[Error Type ]],$Q$5))</f>
        <v/>
      </c>
    </row>
    <row r="20461" spans="15:15" x14ac:dyDescent="0.25">
      <c r="O20461" s="20" t="str">
        <f>IF(N20461="","",COUNTIFS(RawData[[Date ]],N20461,RawData[Month List],$Q$6,RawData[Tour/Site],$Q$2,RawData[[Picker ID ]],$Q$3,RawData[Checker ID],$Q$4,RawData[[Error Type ]],$Q$5))</f>
        <v/>
      </c>
    </row>
    <row r="20462" spans="15:15" x14ac:dyDescent="0.25">
      <c r="O20462" s="20" t="str">
        <f>IF(N20462="","",COUNTIFS(RawData[[Date ]],N20462,RawData[Month List],$Q$6,RawData[Tour/Site],$Q$2,RawData[[Picker ID ]],$Q$3,RawData[Checker ID],$Q$4,RawData[[Error Type ]],$Q$5))</f>
        <v/>
      </c>
    </row>
    <row r="20463" spans="15:15" x14ac:dyDescent="0.25">
      <c r="O20463" s="20" t="str">
        <f>IF(N20463="","",COUNTIFS(RawData[[Date ]],N20463,RawData[Month List],$Q$6,RawData[Tour/Site],$Q$2,RawData[[Picker ID ]],$Q$3,RawData[Checker ID],$Q$4,RawData[[Error Type ]],$Q$5))</f>
        <v/>
      </c>
    </row>
    <row r="20464" spans="15:15" x14ac:dyDescent="0.25">
      <c r="O20464" s="20" t="str">
        <f>IF(N20464="","",COUNTIFS(RawData[[Date ]],N20464,RawData[Month List],$Q$6,RawData[Tour/Site],$Q$2,RawData[[Picker ID ]],$Q$3,RawData[Checker ID],$Q$4,RawData[[Error Type ]],$Q$5))</f>
        <v/>
      </c>
    </row>
    <row r="20465" spans="15:15" x14ac:dyDescent="0.25">
      <c r="O20465" s="20" t="str">
        <f>IF(N20465="","",COUNTIFS(RawData[[Date ]],N20465,RawData[Month List],$Q$6,RawData[Tour/Site],$Q$2,RawData[[Picker ID ]],$Q$3,RawData[Checker ID],$Q$4,RawData[[Error Type ]],$Q$5))</f>
        <v/>
      </c>
    </row>
    <row r="20466" spans="15:15" x14ac:dyDescent="0.25">
      <c r="O20466" s="20" t="str">
        <f>IF(N20466="","",COUNTIFS(RawData[[Date ]],N20466,RawData[Month List],$Q$6,RawData[Tour/Site],$Q$2,RawData[[Picker ID ]],$Q$3,RawData[Checker ID],$Q$4,RawData[[Error Type ]],$Q$5))</f>
        <v/>
      </c>
    </row>
    <row r="20467" spans="15:15" x14ac:dyDescent="0.25">
      <c r="O20467" s="20" t="str">
        <f>IF(N20467="","",COUNTIFS(RawData[[Date ]],N20467,RawData[Month List],$Q$6,RawData[Tour/Site],$Q$2,RawData[[Picker ID ]],$Q$3,RawData[Checker ID],$Q$4,RawData[[Error Type ]],$Q$5))</f>
        <v/>
      </c>
    </row>
    <row r="20468" spans="15:15" x14ac:dyDescent="0.25">
      <c r="O20468" s="20" t="str">
        <f>IF(N20468="","",COUNTIFS(RawData[[Date ]],N20468,RawData[Month List],$Q$6,RawData[Tour/Site],$Q$2,RawData[[Picker ID ]],$Q$3,RawData[Checker ID],$Q$4,RawData[[Error Type ]],$Q$5))</f>
        <v/>
      </c>
    </row>
    <row r="20469" spans="15:15" x14ac:dyDescent="0.25">
      <c r="O20469" s="20" t="str">
        <f>IF(N20469="","",COUNTIFS(RawData[[Date ]],N20469,RawData[Month List],$Q$6,RawData[Tour/Site],$Q$2,RawData[[Picker ID ]],$Q$3,RawData[Checker ID],$Q$4,RawData[[Error Type ]],$Q$5))</f>
        <v/>
      </c>
    </row>
    <row r="20470" spans="15:15" x14ac:dyDescent="0.25">
      <c r="O20470" s="20" t="str">
        <f>IF(N20470="","",COUNTIFS(RawData[[Date ]],N20470,RawData[Month List],$Q$6,RawData[Tour/Site],$Q$2,RawData[[Picker ID ]],$Q$3,RawData[Checker ID],$Q$4,RawData[[Error Type ]],$Q$5))</f>
        <v/>
      </c>
    </row>
    <row r="20471" spans="15:15" x14ac:dyDescent="0.25">
      <c r="O20471" s="20" t="str">
        <f>IF(N20471="","",COUNTIFS(RawData[[Date ]],N20471,RawData[Month List],$Q$6,RawData[Tour/Site],$Q$2,RawData[[Picker ID ]],$Q$3,RawData[Checker ID],$Q$4,RawData[[Error Type ]],$Q$5))</f>
        <v/>
      </c>
    </row>
    <row r="20472" spans="15:15" x14ac:dyDescent="0.25">
      <c r="O20472" s="20" t="str">
        <f>IF(N20472="","",COUNTIFS(RawData[[Date ]],N20472,RawData[Month List],$Q$6,RawData[Tour/Site],$Q$2,RawData[[Picker ID ]],$Q$3,RawData[Checker ID],$Q$4,RawData[[Error Type ]],$Q$5))</f>
        <v/>
      </c>
    </row>
    <row r="20473" spans="15:15" x14ac:dyDescent="0.25">
      <c r="O20473" s="20" t="str">
        <f>IF(N20473="","",COUNTIFS(RawData[[Date ]],N20473,RawData[Month List],$Q$6,RawData[Tour/Site],$Q$2,RawData[[Picker ID ]],$Q$3,RawData[Checker ID],$Q$4,RawData[[Error Type ]],$Q$5))</f>
        <v/>
      </c>
    </row>
    <row r="20474" spans="15:15" x14ac:dyDescent="0.25">
      <c r="O20474" s="20" t="str">
        <f>IF(N20474="","",COUNTIFS(RawData[[Date ]],N20474,RawData[Month List],$Q$6,RawData[Tour/Site],$Q$2,RawData[[Picker ID ]],$Q$3,RawData[Checker ID],$Q$4,RawData[[Error Type ]],$Q$5))</f>
        <v/>
      </c>
    </row>
    <row r="20475" spans="15:15" x14ac:dyDescent="0.25">
      <c r="O20475" s="20" t="str">
        <f>IF(N20475="","",COUNTIFS(RawData[[Date ]],N20475,RawData[Month List],$Q$6,RawData[Tour/Site],$Q$2,RawData[[Picker ID ]],$Q$3,RawData[Checker ID],$Q$4,RawData[[Error Type ]],$Q$5))</f>
        <v/>
      </c>
    </row>
    <row r="20476" spans="15:15" x14ac:dyDescent="0.25">
      <c r="O20476" s="20" t="str">
        <f>IF(N20476="","",COUNTIFS(RawData[[Date ]],N20476,RawData[Month List],$Q$6,RawData[Tour/Site],$Q$2,RawData[[Picker ID ]],$Q$3,RawData[Checker ID],$Q$4,RawData[[Error Type ]],$Q$5))</f>
        <v/>
      </c>
    </row>
    <row r="20477" spans="15:15" x14ac:dyDescent="0.25">
      <c r="O20477" s="20" t="str">
        <f>IF(N20477="","",COUNTIFS(RawData[[Date ]],N20477,RawData[Month List],$Q$6,RawData[Tour/Site],$Q$2,RawData[[Picker ID ]],$Q$3,RawData[Checker ID],$Q$4,RawData[[Error Type ]],$Q$5))</f>
        <v/>
      </c>
    </row>
    <row r="20478" spans="15:15" x14ac:dyDescent="0.25">
      <c r="O20478" s="20" t="str">
        <f>IF(N20478="","",COUNTIFS(RawData[[Date ]],N20478,RawData[Month List],$Q$6,RawData[Tour/Site],$Q$2,RawData[[Picker ID ]],$Q$3,RawData[Checker ID],$Q$4,RawData[[Error Type ]],$Q$5))</f>
        <v/>
      </c>
    </row>
    <row r="20479" spans="15:15" x14ac:dyDescent="0.25">
      <c r="O20479" s="20" t="str">
        <f>IF(N20479="","",COUNTIFS(RawData[[Date ]],N20479,RawData[Month List],$Q$6,RawData[Tour/Site],$Q$2,RawData[[Picker ID ]],$Q$3,RawData[Checker ID],$Q$4,RawData[[Error Type ]],$Q$5))</f>
        <v/>
      </c>
    </row>
    <row r="20480" spans="15:15" x14ac:dyDescent="0.25">
      <c r="O20480" s="20" t="str">
        <f>IF(N20480="","",COUNTIFS(RawData[[Date ]],N20480,RawData[Month List],$Q$6,RawData[Tour/Site],$Q$2,RawData[[Picker ID ]],$Q$3,RawData[Checker ID],$Q$4,RawData[[Error Type ]],$Q$5))</f>
        <v/>
      </c>
    </row>
    <row r="20481" spans="15:15" x14ac:dyDescent="0.25">
      <c r="O20481" s="20" t="str">
        <f>IF(N20481="","",COUNTIFS(RawData[[Date ]],N20481,RawData[Month List],$Q$6,RawData[Tour/Site],$Q$2,RawData[[Picker ID ]],$Q$3,RawData[Checker ID],$Q$4,RawData[[Error Type ]],$Q$5))</f>
        <v/>
      </c>
    </row>
    <row r="20482" spans="15:15" x14ac:dyDescent="0.25">
      <c r="O20482" s="20" t="str">
        <f>IF(N20482="","",COUNTIFS(RawData[[Date ]],N20482,RawData[Month List],$Q$6,RawData[Tour/Site],$Q$2,RawData[[Picker ID ]],$Q$3,RawData[Checker ID],$Q$4,RawData[[Error Type ]],$Q$5))</f>
        <v/>
      </c>
    </row>
    <row r="20483" spans="15:15" x14ac:dyDescent="0.25">
      <c r="O20483" s="20" t="str">
        <f>IF(N20483="","",COUNTIFS(RawData[[Date ]],N20483,RawData[Month List],$Q$6,RawData[Tour/Site],$Q$2,RawData[[Picker ID ]],$Q$3,RawData[Checker ID],$Q$4,RawData[[Error Type ]],$Q$5))</f>
        <v/>
      </c>
    </row>
    <row r="20484" spans="15:15" x14ac:dyDescent="0.25">
      <c r="O20484" s="20" t="str">
        <f>IF(N20484="","",COUNTIFS(RawData[[Date ]],N20484,RawData[Month List],$Q$6,RawData[Tour/Site],$Q$2,RawData[[Picker ID ]],$Q$3,RawData[Checker ID],$Q$4,RawData[[Error Type ]],$Q$5))</f>
        <v/>
      </c>
    </row>
    <row r="20485" spans="15:15" x14ac:dyDescent="0.25">
      <c r="O20485" s="20" t="str">
        <f>IF(N20485="","",COUNTIFS(RawData[[Date ]],N20485,RawData[Month List],$Q$6,RawData[Tour/Site],$Q$2,RawData[[Picker ID ]],$Q$3,RawData[Checker ID],$Q$4,RawData[[Error Type ]],$Q$5))</f>
        <v/>
      </c>
    </row>
    <row r="20486" spans="15:15" x14ac:dyDescent="0.25">
      <c r="O20486" s="20" t="str">
        <f>IF(N20486="","",COUNTIFS(RawData[[Date ]],N20486,RawData[Month List],$Q$6,RawData[Tour/Site],$Q$2,RawData[[Picker ID ]],$Q$3,RawData[Checker ID],$Q$4,RawData[[Error Type ]],$Q$5))</f>
        <v/>
      </c>
    </row>
    <row r="20487" spans="15:15" x14ac:dyDescent="0.25">
      <c r="O20487" s="20" t="str">
        <f>IF(N20487="","",COUNTIFS(RawData[[Date ]],N20487,RawData[Month List],$Q$6,RawData[Tour/Site],$Q$2,RawData[[Picker ID ]],$Q$3,RawData[Checker ID],$Q$4,RawData[[Error Type ]],$Q$5))</f>
        <v/>
      </c>
    </row>
    <row r="20488" spans="15:15" x14ac:dyDescent="0.25">
      <c r="O20488" s="20" t="str">
        <f>IF(N20488="","",COUNTIFS(RawData[[Date ]],N20488,RawData[Month List],$Q$6,RawData[Tour/Site],$Q$2,RawData[[Picker ID ]],$Q$3,RawData[Checker ID],$Q$4,RawData[[Error Type ]],$Q$5))</f>
        <v/>
      </c>
    </row>
    <row r="20489" spans="15:15" x14ac:dyDescent="0.25">
      <c r="O20489" s="20" t="str">
        <f>IF(N20489="","",COUNTIFS(RawData[[Date ]],N20489,RawData[Month List],$Q$6,RawData[Tour/Site],$Q$2,RawData[[Picker ID ]],$Q$3,RawData[Checker ID],$Q$4,RawData[[Error Type ]],$Q$5))</f>
        <v/>
      </c>
    </row>
    <row r="20490" spans="15:15" x14ac:dyDescent="0.25">
      <c r="O20490" s="20" t="str">
        <f>IF(N20490="","",COUNTIFS(RawData[[Date ]],N20490,RawData[Month List],$Q$6,RawData[Tour/Site],$Q$2,RawData[[Picker ID ]],$Q$3,RawData[Checker ID],$Q$4,RawData[[Error Type ]],$Q$5))</f>
        <v/>
      </c>
    </row>
    <row r="20491" spans="15:15" x14ac:dyDescent="0.25">
      <c r="O20491" s="20" t="str">
        <f>IF(N20491="","",COUNTIFS(RawData[[Date ]],N20491,RawData[Month List],$Q$6,RawData[Tour/Site],$Q$2,RawData[[Picker ID ]],$Q$3,RawData[Checker ID],$Q$4,RawData[[Error Type ]],$Q$5))</f>
        <v/>
      </c>
    </row>
    <row r="20492" spans="15:15" x14ac:dyDescent="0.25">
      <c r="O20492" s="20" t="str">
        <f>IF(N20492="","",COUNTIFS(RawData[[Date ]],N20492,RawData[Month List],$Q$6,RawData[Tour/Site],$Q$2,RawData[[Picker ID ]],$Q$3,RawData[Checker ID],$Q$4,RawData[[Error Type ]],$Q$5))</f>
        <v/>
      </c>
    </row>
    <row r="20493" spans="15:15" x14ac:dyDescent="0.25">
      <c r="O20493" s="20" t="str">
        <f>IF(N20493="","",COUNTIFS(RawData[[Date ]],N20493,RawData[Month List],$Q$6,RawData[Tour/Site],$Q$2,RawData[[Picker ID ]],$Q$3,RawData[Checker ID],$Q$4,RawData[[Error Type ]],$Q$5))</f>
        <v/>
      </c>
    </row>
    <row r="20494" spans="15:15" x14ac:dyDescent="0.25">
      <c r="O20494" s="20" t="str">
        <f>IF(N20494="","",COUNTIFS(RawData[[Date ]],N20494,RawData[Month List],$Q$6,RawData[Tour/Site],$Q$2,RawData[[Picker ID ]],$Q$3,RawData[Checker ID],$Q$4,RawData[[Error Type ]],$Q$5))</f>
        <v/>
      </c>
    </row>
    <row r="20495" spans="15:15" x14ac:dyDescent="0.25">
      <c r="O20495" s="20" t="str">
        <f>IF(N20495="","",COUNTIFS(RawData[[Date ]],N20495,RawData[Month List],$Q$6,RawData[Tour/Site],$Q$2,RawData[[Picker ID ]],$Q$3,RawData[Checker ID],$Q$4,RawData[[Error Type ]],$Q$5))</f>
        <v/>
      </c>
    </row>
    <row r="20496" spans="15:15" x14ac:dyDescent="0.25">
      <c r="O20496" s="20" t="str">
        <f>IF(N20496="","",COUNTIFS(RawData[[Date ]],N20496,RawData[Month List],$Q$6,RawData[Tour/Site],$Q$2,RawData[[Picker ID ]],$Q$3,RawData[Checker ID],$Q$4,RawData[[Error Type ]],$Q$5))</f>
        <v/>
      </c>
    </row>
    <row r="20497" spans="15:15" x14ac:dyDescent="0.25">
      <c r="O20497" s="20" t="str">
        <f>IF(N20497="","",COUNTIFS(RawData[[Date ]],N20497,RawData[Month List],$Q$6,RawData[Tour/Site],$Q$2,RawData[[Picker ID ]],$Q$3,RawData[Checker ID],$Q$4,RawData[[Error Type ]],$Q$5))</f>
        <v/>
      </c>
    </row>
    <row r="20498" spans="15:15" x14ac:dyDescent="0.25">
      <c r="O20498" s="20" t="str">
        <f>IF(N20498="","",COUNTIFS(RawData[[Date ]],N20498,RawData[Month List],$Q$6,RawData[Tour/Site],$Q$2,RawData[[Picker ID ]],$Q$3,RawData[Checker ID],$Q$4,RawData[[Error Type ]],$Q$5))</f>
        <v/>
      </c>
    </row>
    <row r="20499" spans="15:15" x14ac:dyDescent="0.25">
      <c r="O20499" s="20" t="str">
        <f>IF(N20499="","",COUNTIFS(RawData[[Date ]],N20499,RawData[Month List],$Q$6,RawData[Tour/Site],$Q$2,RawData[[Picker ID ]],$Q$3,RawData[Checker ID],$Q$4,RawData[[Error Type ]],$Q$5))</f>
        <v/>
      </c>
    </row>
    <row r="20500" spans="15:15" x14ac:dyDescent="0.25">
      <c r="O20500" s="20" t="str">
        <f>IF(N20500="","",COUNTIFS(RawData[[Date ]],N20500,RawData[Month List],$Q$6,RawData[Tour/Site],$Q$2,RawData[[Picker ID ]],$Q$3,RawData[Checker ID],$Q$4,RawData[[Error Type ]],$Q$5))</f>
        <v/>
      </c>
    </row>
    <row r="20501" spans="15:15" x14ac:dyDescent="0.25">
      <c r="O20501" s="20" t="str">
        <f>IF(N20501="","",COUNTIFS(RawData[[Date ]],N20501,RawData[Month List],$Q$6,RawData[Tour/Site],$Q$2,RawData[[Picker ID ]],$Q$3,RawData[Checker ID],$Q$4,RawData[[Error Type ]],$Q$5))</f>
        <v/>
      </c>
    </row>
    <row r="20502" spans="15:15" x14ac:dyDescent="0.25">
      <c r="O20502" s="20" t="str">
        <f>IF(N20502="","",COUNTIFS(RawData[[Date ]],N20502,RawData[Month List],$Q$6,RawData[Tour/Site],$Q$2,RawData[[Picker ID ]],$Q$3,RawData[Checker ID],$Q$4,RawData[[Error Type ]],$Q$5))</f>
        <v/>
      </c>
    </row>
    <row r="20503" spans="15:15" x14ac:dyDescent="0.25">
      <c r="O20503" s="20" t="str">
        <f>IF(N20503="","",COUNTIFS(RawData[[Date ]],N20503,RawData[Month List],$Q$6,RawData[Tour/Site],$Q$2,RawData[[Picker ID ]],$Q$3,RawData[Checker ID],$Q$4,RawData[[Error Type ]],$Q$5))</f>
        <v/>
      </c>
    </row>
    <row r="20504" spans="15:15" x14ac:dyDescent="0.25">
      <c r="O20504" s="20" t="str">
        <f>IF(N20504="","",COUNTIFS(RawData[[Date ]],N20504,RawData[Month List],$Q$6,RawData[Tour/Site],$Q$2,RawData[[Picker ID ]],$Q$3,RawData[Checker ID],$Q$4,RawData[[Error Type ]],$Q$5))</f>
        <v/>
      </c>
    </row>
    <row r="20505" spans="15:15" x14ac:dyDescent="0.25">
      <c r="O20505" s="20" t="str">
        <f>IF(N20505="","",COUNTIFS(RawData[[Date ]],N20505,RawData[Month List],$Q$6,RawData[Tour/Site],$Q$2,RawData[[Picker ID ]],$Q$3,RawData[Checker ID],$Q$4,RawData[[Error Type ]],$Q$5))</f>
        <v/>
      </c>
    </row>
    <row r="20506" spans="15:15" x14ac:dyDescent="0.25">
      <c r="O20506" s="20" t="str">
        <f>IF(N20506="","",COUNTIFS(RawData[[Date ]],N20506,RawData[Month List],$Q$6,RawData[Tour/Site],$Q$2,RawData[[Picker ID ]],$Q$3,RawData[Checker ID],$Q$4,RawData[[Error Type ]],$Q$5))</f>
        <v/>
      </c>
    </row>
    <row r="20507" spans="15:15" x14ac:dyDescent="0.25">
      <c r="O20507" s="20" t="str">
        <f>IF(N20507="","",COUNTIFS(RawData[[Date ]],N20507,RawData[Month List],$Q$6,RawData[Tour/Site],$Q$2,RawData[[Picker ID ]],$Q$3,RawData[Checker ID],$Q$4,RawData[[Error Type ]],$Q$5))</f>
        <v/>
      </c>
    </row>
    <row r="20508" spans="15:15" x14ac:dyDescent="0.25">
      <c r="O20508" s="20" t="str">
        <f>IF(N20508="","",COUNTIFS(RawData[[Date ]],N20508,RawData[Month List],$Q$6,RawData[Tour/Site],$Q$2,RawData[[Picker ID ]],$Q$3,RawData[Checker ID],$Q$4,RawData[[Error Type ]],$Q$5))</f>
        <v/>
      </c>
    </row>
    <row r="20509" spans="15:15" x14ac:dyDescent="0.25">
      <c r="O20509" s="20" t="str">
        <f>IF(N20509="","",COUNTIFS(RawData[[Date ]],N20509,RawData[Month List],$Q$6,RawData[Tour/Site],$Q$2,RawData[[Picker ID ]],$Q$3,RawData[Checker ID],$Q$4,RawData[[Error Type ]],$Q$5))</f>
        <v/>
      </c>
    </row>
    <row r="20510" spans="15:15" x14ac:dyDescent="0.25">
      <c r="O20510" s="20" t="str">
        <f>IF(N20510="","",COUNTIFS(RawData[[Date ]],N20510,RawData[Month List],$Q$6,RawData[Tour/Site],$Q$2,RawData[[Picker ID ]],$Q$3,RawData[Checker ID],$Q$4,RawData[[Error Type ]],$Q$5))</f>
        <v/>
      </c>
    </row>
    <row r="20511" spans="15:15" x14ac:dyDescent="0.25">
      <c r="O20511" s="20" t="str">
        <f>IF(N20511="","",COUNTIFS(RawData[[Date ]],N20511,RawData[Month List],$Q$6,RawData[Tour/Site],$Q$2,RawData[[Picker ID ]],$Q$3,RawData[Checker ID],$Q$4,RawData[[Error Type ]],$Q$5))</f>
        <v/>
      </c>
    </row>
    <row r="20512" spans="15:15" x14ac:dyDescent="0.25">
      <c r="O20512" s="20" t="str">
        <f>IF(N20512="","",COUNTIFS(RawData[[Date ]],N20512,RawData[Month List],$Q$6,RawData[Tour/Site],$Q$2,RawData[[Picker ID ]],$Q$3,RawData[Checker ID],$Q$4,RawData[[Error Type ]],$Q$5))</f>
        <v/>
      </c>
    </row>
    <row r="20513" spans="15:15" x14ac:dyDescent="0.25">
      <c r="O20513" s="20" t="str">
        <f>IF(N20513="","",COUNTIFS(RawData[[Date ]],N20513,RawData[Month List],$Q$6,RawData[Tour/Site],$Q$2,RawData[[Picker ID ]],$Q$3,RawData[Checker ID],$Q$4,RawData[[Error Type ]],$Q$5))</f>
        <v/>
      </c>
    </row>
    <row r="20514" spans="15:15" x14ac:dyDescent="0.25">
      <c r="O20514" s="20" t="str">
        <f>IF(N20514="","",COUNTIFS(RawData[[Date ]],N20514,RawData[Month List],$Q$6,RawData[Tour/Site],$Q$2,RawData[[Picker ID ]],$Q$3,RawData[Checker ID],$Q$4,RawData[[Error Type ]],$Q$5))</f>
        <v/>
      </c>
    </row>
    <row r="20515" spans="15:15" x14ac:dyDescent="0.25">
      <c r="O20515" s="20" t="str">
        <f>IF(N20515="","",COUNTIFS(RawData[[Date ]],N20515,RawData[Month List],$Q$6,RawData[Tour/Site],$Q$2,RawData[[Picker ID ]],$Q$3,RawData[Checker ID],$Q$4,RawData[[Error Type ]],$Q$5))</f>
        <v/>
      </c>
    </row>
    <row r="20516" spans="15:15" x14ac:dyDescent="0.25">
      <c r="O20516" s="20" t="str">
        <f>IF(N20516="","",COUNTIFS(RawData[[Date ]],N20516,RawData[Month List],$Q$6,RawData[Tour/Site],$Q$2,RawData[[Picker ID ]],$Q$3,RawData[Checker ID],$Q$4,RawData[[Error Type ]],$Q$5))</f>
        <v/>
      </c>
    </row>
    <row r="20517" spans="15:15" x14ac:dyDescent="0.25">
      <c r="O20517" s="20" t="str">
        <f>IF(N20517="","",COUNTIFS(RawData[[Date ]],N20517,RawData[Month List],$Q$6,RawData[Tour/Site],$Q$2,RawData[[Picker ID ]],$Q$3,RawData[Checker ID],$Q$4,RawData[[Error Type ]],$Q$5))</f>
        <v/>
      </c>
    </row>
    <row r="20518" spans="15:15" x14ac:dyDescent="0.25">
      <c r="O20518" s="20" t="str">
        <f>IF(N20518="","",COUNTIFS(RawData[[Date ]],N20518,RawData[Month List],$Q$6,RawData[Tour/Site],$Q$2,RawData[[Picker ID ]],$Q$3,RawData[Checker ID],$Q$4,RawData[[Error Type ]],$Q$5))</f>
        <v/>
      </c>
    </row>
    <row r="20519" spans="15:15" x14ac:dyDescent="0.25">
      <c r="O20519" s="20" t="str">
        <f>IF(N20519="","",COUNTIFS(RawData[[Date ]],N20519,RawData[Month List],$Q$6,RawData[Tour/Site],$Q$2,RawData[[Picker ID ]],$Q$3,RawData[Checker ID],$Q$4,RawData[[Error Type ]],$Q$5))</f>
        <v/>
      </c>
    </row>
    <row r="20520" spans="15:15" x14ac:dyDescent="0.25">
      <c r="O20520" s="20" t="str">
        <f>IF(N20520="","",COUNTIFS(RawData[[Date ]],N20520,RawData[Month List],$Q$6,RawData[Tour/Site],$Q$2,RawData[[Picker ID ]],$Q$3,RawData[Checker ID],$Q$4,RawData[[Error Type ]],$Q$5))</f>
        <v/>
      </c>
    </row>
    <row r="20521" spans="15:15" x14ac:dyDescent="0.25">
      <c r="O20521" s="20" t="str">
        <f>IF(N20521="","",COUNTIFS(RawData[[Date ]],N20521,RawData[Month List],$Q$6,RawData[Tour/Site],$Q$2,RawData[[Picker ID ]],$Q$3,RawData[Checker ID],$Q$4,RawData[[Error Type ]],$Q$5))</f>
        <v/>
      </c>
    </row>
    <row r="20522" spans="15:15" x14ac:dyDescent="0.25">
      <c r="O20522" s="20" t="str">
        <f>IF(N20522="","",COUNTIFS(RawData[[Date ]],N20522,RawData[Month List],$Q$6,RawData[Tour/Site],$Q$2,RawData[[Picker ID ]],$Q$3,RawData[Checker ID],$Q$4,RawData[[Error Type ]],$Q$5))</f>
        <v/>
      </c>
    </row>
    <row r="20523" spans="15:15" x14ac:dyDescent="0.25">
      <c r="O20523" s="20" t="str">
        <f>IF(N20523="","",COUNTIFS(RawData[[Date ]],N20523,RawData[Month List],$Q$6,RawData[Tour/Site],$Q$2,RawData[[Picker ID ]],$Q$3,RawData[Checker ID],$Q$4,RawData[[Error Type ]],$Q$5))</f>
        <v/>
      </c>
    </row>
    <row r="20524" spans="15:15" x14ac:dyDescent="0.25">
      <c r="O20524" s="20" t="str">
        <f>IF(N20524="","",COUNTIFS(RawData[[Date ]],N20524,RawData[Month List],$Q$6,RawData[Tour/Site],$Q$2,RawData[[Picker ID ]],$Q$3,RawData[Checker ID],$Q$4,RawData[[Error Type ]],$Q$5))</f>
        <v/>
      </c>
    </row>
    <row r="20525" spans="15:15" x14ac:dyDescent="0.25">
      <c r="O20525" s="20" t="str">
        <f>IF(N20525="","",COUNTIFS(RawData[[Date ]],N20525,RawData[Month List],$Q$6,RawData[Tour/Site],$Q$2,RawData[[Picker ID ]],$Q$3,RawData[Checker ID],$Q$4,RawData[[Error Type ]],$Q$5))</f>
        <v/>
      </c>
    </row>
    <row r="20526" spans="15:15" x14ac:dyDescent="0.25">
      <c r="O20526" s="20" t="str">
        <f>IF(N20526="","",COUNTIFS(RawData[[Date ]],N20526,RawData[Month List],$Q$6,RawData[Tour/Site],$Q$2,RawData[[Picker ID ]],$Q$3,RawData[Checker ID],$Q$4,RawData[[Error Type ]],$Q$5))</f>
        <v/>
      </c>
    </row>
    <row r="20527" spans="15:15" x14ac:dyDescent="0.25">
      <c r="O20527" s="20" t="str">
        <f>IF(N20527="","",COUNTIFS(RawData[[Date ]],N20527,RawData[Month List],$Q$6,RawData[Tour/Site],$Q$2,RawData[[Picker ID ]],$Q$3,RawData[Checker ID],$Q$4,RawData[[Error Type ]],$Q$5))</f>
        <v/>
      </c>
    </row>
    <row r="20528" spans="15:15" x14ac:dyDescent="0.25">
      <c r="O20528" s="20" t="str">
        <f>IF(N20528="","",COUNTIFS(RawData[[Date ]],N20528,RawData[Month List],$Q$6,RawData[Tour/Site],$Q$2,RawData[[Picker ID ]],$Q$3,RawData[Checker ID],$Q$4,RawData[[Error Type ]],$Q$5))</f>
        <v/>
      </c>
    </row>
    <row r="20529" spans="15:15" x14ac:dyDescent="0.25">
      <c r="O20529" s="20" t="str">
        <f>IF(N20529="","",COUNTIFS(RawData[[Date ]],N20529,RawData[Month List],$Q$6,RawData[Tour/Site],$Q$2,RawData[[Picker ID ]],$Q$3,RawData[Checker ID],$Q$4,RawData[[Error Type ]],$Q$5))</f>
        <v/>
      </c>
    </row>
    <row r="20530" spans="15:15" x14ac:dyDescent="0.25">
      <c r="O20530" s="20" t="str">
        <f>IF(N20530="","",COUNTIFS(RawData[[Date ]],N20530,RawData[Month List],$Q$6,RawData[Tour/Site],$Q$2,RawData[[Picker ID ]],$Q$3,RawData[Checker ID],$Q$4,RawData[[Error Type ]],$Q$5))</f>
        <v/>
      </c>
    </row>
    <row r="20531" spans="15:15" x14ac:dyDescent="0.25">
      <c r="O20531" s="20" t="str">
        <f>IF(N20531="","",COUNTIFS(RawData[[Date ]],N20531,RawData[Month List],$Q$6,RawData[Tour/Site],$Q$2,RawData[[Picker ID ]],$Q$3,RawData[Checker ID],$Q$4,RawData[[Error Type ]],$Q$5))</f>
        <v/>
      </c>
    </row>
    <row r="20532" spans="15:15" x14ac:dyDescent="0.25">
      <c r="O20532" s="20" t="str">
        <f>IF(N20532="","",COUNTIFS(RawData[[Date ]],N20532,RawData[Month List],$Q$6,RawData[Tour/Site],$Q$2,RawData[[Picker ID ]],$Q$3,RawData[Checker ID],$Q$4,RawData[[Error Type ]],$Q$5))</f>
        <v/>
      </c>
    </row>
    <row r="20533" spans="15:15" x14ac:dyDescent="0.25">
      <c r="O20533" s="20" t="str">
        <f>IF(N20533="","",COUNTIFS(RawData[[Date ]],N20533,RawData[Month List],$Q$6,RawData[Tour/Site],$Q$2,RawData[[Picker ID ]],$Q$3,RawData[Checker ID],$Q$4,RawData[[Error Type ]],$Q$5))</f>
        <v/>
      </c>
    </row>
    <row r="20534" spans="15:15" x14ac:dyDescent="0.25">
      <c r="O20534" s="20" t="str">
        <f>IF(N20534="","",COUNTIFS(RawData[[Date ]],N20534,RawData[Month List],$Q$6,RawData[Tour/Site],$Q$2,RawData[[Picker ID ]],$Q$3,RawData[Checker ID],$Q$4,RawData[[Error Type ]],$Q$5))</f>
        <v/>
      </c>
    </row>
    <row r="20535" spans="15:15" x14ac:dyDescent="0.25">
      <c r="O20535" s="20" t="str">
        <f>IF(N20535="","",COUNTIFS(RawData[[Date ]],N20535,RawData[Month List],$Q$6,RawData[Tour/Site],$Q$2,RawData[[Picker ID ]],$Q$3,RawData[Checker ID],$Q$4,RawData[[Error Type ]],$Q$5))</f>
        <v/>
      </c>
    </row>
    <row r="20536" spans="15:15" x14ac:dyDescent="0.25">
      <c r="O20536" s="20" t="str">
        <f>IF(N20536="","",COUNTIFS(RawData[[Date ]],N20536,RawData[Month List],$Q$6,RawData[Tour/Site],$Q$2,RawData[[Picker ID ]],$Q$3,RawData[Checker ID],$Q$4,RawData[[Error Type ]],$Q$5))</f>
        <v/>
      </c>
    </row>
    <row r="20537" spans="15:15" x14ac:dyDescent="0.25">
      <c r="O20537" s="20" t="str">
        <f>IF(N20537="","",COUNTIFS(RawData[[Date ]],N20537,RawData[Month List],$Q$6,RawData[Tour/Site],$Q$2,RawData[[Picker ID ]],$Q$3,RawData[Checker ID],$Q$4,RawData[[Error Type ]],$Q$5))</f>
        <v/>
      </c>
    </row>
    <row r="20538" spans="15:15" x14ac:dyDescent="0.25">
      <c r="O20538" s="20" t="str">
        <f>IF(N20538="","",COUNTIFS(RawData[[Date ]],N20538,RawData[Month List],$Q$6,RawData[Tour/Site],$Q$2,RawData[[Picker ID ]],$Q$3,RawData[Checker ID],$Q$4,RawData[[Error Type ]],$Q$5))</f>
        <v/>
      </c>
    </row>
    <row r="20539" spans="15:15" x14ac:dyDescent="0.25">
      <c r="O20539" s="20" t="str">
        <f>IF(N20539="","",COUNTIFS(RawData[[Date ]],N20539,RawData[Month List],$Q$6,RawData[Tour/Site],$Q$2,RawData[[Picker ID ]],$Q$3,RawData[Checker ID],$Q$4,RawData[[Error Type ]],$Q$5))</f>
        <v/>
      </c>
    </row>
    <row r="20540" spans="15:15" x14ac:dyDescent="0.25">
      <c r="O20540" s="20" t="str">
        <f>IF(N20540="","",COUNTIFS(RawData[[Date ]],N20540,RawData[Month List],$Q$6,RawData[Tour/Site],$Q$2,RawData[[Picker ID ]],$Q$3,RawData[Checker ID],$Q$4,RawData[[Error Type ]],$Q$5))</f>
        <v/>
      </c>
    </row>
    <row r="20541" spans="15:15" x14ac:dyDescent="0.25">
      <c r="O20541" s="20" t="str">
        <f>IF(N20541="","",COUNTIFS(RawData[[Date ]],N20541,RawData[Month List],$Q$6,RawData[Tour/Site],$Q$2,RawData[[Picker ID ]],$Q$3,RawData[Checker ID],$Q$4,RawData[[Error Type ]],$Q$5))</f>
        <v/>
      </c>
    </row>
    <row r="20542" spans="15:15" x14ac:dyDescent="0.25">
      <c r="O20542" s="20" t="str">
        <f>IF(N20542="","",COUNTIFS(RawData[[Date ]],N20542,RawData[Month List],$Q$6,RawData[Tour/Site],$Q$2,RawData[[Picker ID ]],$Q$3,RawData[Checker ID],$Q$4,RawData[[Error Type ]],$Q$5))</f>
        <v/>
      </c>
    </row>
    <row r="20543" spans="15:15" x14ac:dyDescent="0.25">
      <c r="O20543" s="20" t="str">
        <f>IF(N20543="","",COUNTIFS(RawData[[Date ]],N20543,RawData[Month List],$Q$6,RawData[Tour/Site],$Q$2,RawData[[Picker ID ]],$Q$3,RawData[Checker ID],$Q$4,RawData[[Error Type ]],$Q$5))</f>
        <v/>
      </c>
    </row>
    <row r="20544" spans="15:15" x14ac:dyDescent="0.25">
      <c r="O20544" s="20" t="str">
        <f>IF(N20544="","",COUNTIFS(RawData[[Date ]],N20544,RawData[Month List],$Q$6,RawData[Tour/Site],$Q$2,RawData[[Picker ID ]],$Q$3,RawData[Checker ID],$Q$4,RawData[[Error Type ]],$Q$5))</f>
        <v/>
      </c>
    </row>
    <row r="20545" spans="15:15" x14ac:dyDescent="0.25">
      <c r="O20545" s="20" t="str">
        <f>IF(N20545="","",COUNTIFS(RawData[[Date ]],N20545,RawData[Month List],$Q$6,RawData[Tour/Site],$Q$2,RawData[[Picker ID ]],$Q$3,RawData[Checker ID],$Q$4,RawData[[Error Type ]],$Q$5))</f>
        <v/>
      </c>
    </row>
    <row r="20546" spans="15:15" x14ac:dyDescent="0.25">
      <c r="O20546" s="20" t="str">
        <f>IF(N20546="","",COUNTIFS(RawData[[Date ]],N20546,RawData[Month List],$Q$6,RawData[Tour/Site],$Q$2,RawData[[Picker ID ]],$Q$3,RawData[Checker ID],$Q$4,RawData[[Error Type ]],$Q$5))</f>
        <v/>
      </c>
    </row>
    <row r="20547" spans="15:15" x14ac:dyDescent="0.25">
      <c r="O20547" s="20" t="str">
        <f>IF(N20547="","",COUNTIFS(RawData[[Date ]],N20547,RawData[Month List],$Q$6,RawData[Tour/Site],$Q$2,RawData[[Picker ID ]],$Q$3,RawData[Checker ID],$Q$4,RawData[[Error Type ]],$Q$5))</f>
        <v/>
      </c>
    </row>
    <row r="20548" spans="15:15" x14ac:dyDescent="0.25">
      <c r="O20548" s="20" t="str">
        <f>IF(N20548="","",COUNTIFS(RawData[[Date ]],N20548,RawData[Month List],$Q$6,RawData[Tour/Site],$Q$2,RawData[[Picker ID ]],$Q$3,RawData[Checker ID],$Q$4,RawData[[Error Type ]],$Q$5))</f>
        <v/>
      </c>
    </row>
    <row r="20549" spans="15:15" x14ac:dyDescent="0.25">
      <c r="O20549" s="20" t="str">
        <f>IF(N20549="","",COUNTIFS(RawData[[Date ]],N20549,RawData[Month List],$Q$6,RawData[Tour/Site],$Q$2,RawData[[Picker ID ]],$Q$3,RawData[Checker ID],$Q$4,RawData[[Error Type ]],$Q$5))</f>
        <v/>
      </c>
    </row>
    <row r="20550" spans="15:15" x14ac:dyDescent="0.25">
      <c r="O20550" s="20" t="str">
        <f>IF(N20550="","",COUNTIFS(RawData[[Date ]],N20550,RawData[Month List],$Q$6,RawData[Tour/Site],$Q$2,RawData[[Picker ID ]],$Q$3,RawData[Checker ID],$Q$4,RawData[[Error Type ]],$Q$5))</f>
        <v/>
      </c>
    </row>
    <row r="20551" spans="15:15" x14ac:dyDescent="0.25">
      <c r="O20551" s="20" t="str">
        <f>IF(N20551="","",COUNTIFS(RawData[[Date ]],N20551,RawData[Month List],$Q$6,RawData[Tour/Site],$Q$2,RawData[[Picker ID ]],$Q$3,RawData[Checker ID],$Q$4,RawData[[Error Type ]],$Q$5))</f>
        <v/>
      </c>
    </row>
    <row r="20552" spans="15:15" x14ac:dyDescent="0.25">
      <c r="O20552" s="20" t="str">
        <f>IF(N20552="","",COUNTIFS(RawData[[Date ]],N20552,RawData[Month List],$Q$6,RawData[Tour/Site],$Q$2,RawData[[Picker ID ]],$Q$3,RawData[Checker ID],$Q$4,RawData[[Error Type ]],$Q$5))</f>
        <v/>
      </c>
    </row>
    <row r="20553" spans="15:15" x14ac:dyDescent="0.25">
      <c r="O20553" s="20" t="str">
        <f>IF(N20553="","",COUNTIFS(RawData[[Date ]],N20553,RawData[Month List],$Q$6,RawData[Tour/Site],$Q$2,RawData[[Picker ID ]],$Q$3,RawData[Checker ID],$Q$4,RawData[[Error Type ]],$Q$5))</f>
        <v/>
      </c>
    </row>
    <row r="20554" spans="15:15" x14ac:dyDescent="0.25">
      <c r="O20554" s="20" t="str">
        <f>IF(N20554="","",COUNTIFS(RawData[[Date ]],N20554,RawData[Month List],$Q$6,RawData[Tour/Site],$Q$2,RawData[[Picker ID ]],$Q$3,RawData[Checker ID],$Q$4,RawData[[Error Type ]],$Q$5))</f>
        <v/>
      </c>
    </row>
    <row r="20555" spans="15:15" x14ac:dyDescent="0.25">
      <c r="O20555" s="20" t="str">
        <f>IF(N20555="","",COUNTIFS(RawData[[Date ]],N20555,RawData[Month List],$Q$6,RawData[Tour/Site],$Q$2,RawData[[Picker ID ]],$Q$3,RawData[Checker ID],$Q$4,RawData[[Error Type ]],$Q$5))</f>
        <v/>
      </c>
    </row>
    <row r="20556" spans="15:15" x14ac:dyDescent="0.25">
      <c r="O20556" s="20" t="str">
        <f>IF(N20556="","",COUNTIFS(RawData[[Date ]],N20556,RawData[Month List],$Q$6,RawData[Tour/Site],$Q$2,RawData[[Picker ID ]],$Q$3,RawData[Checker ID],$Q$4,RawData[[Error Type ]],$Q$5))</f>
        <v/>
      </c>
    </row>
    <row r="20557" spans="15:15" x14ac:dyDescent="0.25">
      <c r="O20557" s="20" t="str">
        <f>IF(N20557="","",COUNTIFS(RawData[[Date ]],N20557,RawData[Month List],$Q$6,RawData[Tour/Site],$Q$2,RawData[[Picker ID ]],$Q$3,RawData[Checker ID],$Q$4,RawData[[Error Type ]],$Q$5))</f>
        <v/>
      </c>
    </row>
    <row r="20558" spans="15:15" x14ac:dyDescent="0.25">
      <c r="O20558" s="20" t="str">
        <f>IF(N20558="","",COUNTIFS(RawData[[Date ]],N20558,RawData[Month List],$Q$6,RawData[Tour/Site],$Q$2,RawData[[Picker ID ]],$Q$3,RawData[Checker ID],$Q$4,RawData[[Error Type ]],$Q$5))</f>
        <v/>
      </c>
    </row>
    <row r="20559" spans="15:15" x14ac:dyDescent="0.25">
      <c r="O20559" s="20" t="str">
        <f>IF(N20559="","",COUNTIFS(RawData[[Date ]],N20559,RawData[Month List],$Q$6,RawData[Tour/Site],$Q$2,RawData[[Picker ID ]],$Q$3,RawData[Checker ID],$Q$4,RawData[[Error Type ]],$Q$5))</f>
        <v/>
      </c>
    </row>
    <row r="20560" spans="15:15" x14ac:dyDescent="0.25">
      <c r="O20560" s="20" t="str">
        <f>IF(N20560="","",COUNTIFS(RawData[[Date ]],N20560,RawData[Month List],$Q$6,RawData[Tour/Site],$Q$2,RawData[[Picker ID ]],$Q$3,RawData[Checker ID],$Q$4,RawData[[Error Type ]],$Q$5))</f>
        <v/>
      </c>
    </row>
    <row r="20561" spans="15:15" x14ac:dyDescent="0.25">
      <c r="O20561" s="20" t="str">
        <f>IF(N20561="","",COUNTIFS(RawData[[Date ]],N20561,RawData[Month List],$Q$6,RawData[Tour/Site],$Q$2,RawData[[Picker ID ]],$Q$3,RawData[Checker ID],$Q$4,RawData[[Error Type ]],$Q$5))</f>
        <v/>
      </c>
    </row>
    <row r="20562" spans="15:15" x14ac:dyDescent="0.25">
      <c r="O20562" s="20" t="str">
        <f>IF(N20562="","",COUNTIFS(RawData[[Date ]],N20562,RawData[Month List],$Q$6,RawData[Tour/Site],$Q$2,RawData[[Picker ID ]],$Q$3,RawData[Checker ID],$Q$4,RawData[[Error Type ]],$Q$5))</f>
        <v/>
      </c>
    </row>
    <row r="20563" spans="15:15" x14ac:dyDescent="0.25">
      <c r="O20563" s="20" t="str">
        <f>IF(N20563="","",COUNTIFS(RawData[[Date ]],N20563,RawData[Month List],$Q$6,RawData[Tour/Site],$Q$2,RawData[[Picker ID ]],$Q$3,RawData[Checker ID],$Q$4,RawData[[Error Type ]],$Q$5))</f>
        <v/>
      </c>
    </row>
    <row r="20564" spans="15:15" x14ac:dyDescent="0.25">
      <c r="O20564" s="20" t="str">
        <f>IF(N20564="","",COUNTIFS(RawData[[Date ]],N20564,RawData[Month List],$Q$6,RawData[Tour/Site],$Q$2,RawData[[Picker ID ]],$Q$3,RawData[Checker ID],$Q$4,RawData[[Error Type ]],$Q$5))</f>
        <v/>
      </c>
    </row>
    <row r="20565" spans="15:15" x14ac:dyDescent="0.25">
      <c r="O20565" s="20" t="str">
        <f>IF(N20565="","",COUNTIFS(RawData[[Date ]],N20565,RawData[Month List],$Q$6,RawData[Tour/Site],$Q$2,RawData[[Picker ID ]],$Q$3,RawData[Checker ID],$Q$4,RawData[[Error Type ]],$Q$5))</f>
        <v/>
      </c>
    </row>
    <row r="20566" spans="15:15" x14ac:dyDescent="0.25">
      <c r="O20566" s="20" t="str">
        <f>IF(N20566="","",COUNTIFS(RawData[[Date ]],N20566,RawData[Month List],$Q$6,RawData[Tour/Site],$Q$2,RawData[[Picker ID ]],$Q$3,RawData[Checker ID],$Q$4,RawData[[Error Type ]],$Q$5))</f>
        <v/>
      </c>
    </row>
    <row r="20567" spans="15:15" x14ac:dyDescent="0.25">
      <c r="O20567" s="20" t="str">
        <f>IF(N20567="","",COUNTIFS(RawData[[Date ]],N20567,RawData[Month List],$Q$6,RawData[Tour/Site],$Q$2,RawData[[Picker ID ]],$Q$3,RawData[Checker ID],$Q$4,RawData[[Error Type ]],$Q$5))</f>
        <v/>
      </c>
    </row>
    <row r="20568" spans="15:15" x14ac:dyDescent="0.25">
      <c r="O20568" s="20" t="str">
        <f>IF(N20568="","",COUNTIFS(RawData[[Date ]],N20568,RawData[Month List],$Q$6,RawData[Tour/Site],$Q$2,RawData[[Picker ID ]],$Q$3,RawData[Checker ID],$Q$4,RawData[[Error Type ]],$Q$5))</f>
        <v/>
      </c>
    </row>
    <row r="20569" spans="15:15" x14ac:dyDescent="0.25">
      <c r="O20569" s="20" t="str">
        <f>IF(N20569="","",COUNTIFS(RawData[[Date ]],N20569,RawData[Month List],$Q$6,RawData[Tour/Site],$Q$2,RawData[[Picker ID ]],$Q$3,RawData[Checker ID],$Q$4,RawData[[Error Type ]],$Q$5))</f>
        <v/>
      </c>
    </row>
    <row r="20570" spans="15:15" x14ac:dyDescent="0.25">
      <c r="O20570" s="20" t="str">
        <f>IF(N20570="","",COUNTIFS(RawData[[Date ]],N20570,RawData[Month List],$Q$6,RawData[Tour/Site],$Q$2,RawData[[Picker ID ]],$Q$3,RawData[Checker ID],$Q$4,RawData[[Error Type ]],$Q$5))</f>
        <v/>
      </c>
    </row>
    <row r="20571" spans="15:15" x14ac:dyDescent="0.25">
      <c r="O20571" s="20" t="str">
        <f>IF(N20571="","",COUNTIFS(RawData[[Date ]],N20571,RawData[Month List],$Q$6,RawData[Tour/Site],$Q$2,RawData[[Picker ID ]],$Q$3,RawData[Checker ID],$Q$4,RawData[[Error Type ]],$Q$5))</f>
        <v/>
      </c>
    </row>
    <row r="20572" spans="15:15" x14ac:dyDescent="0.25">
      <c r="O20572" s="20" t="str">
        <f>IF(N20572="","",COUNTIFS(RawData[[Date ]],N20572,RawData[Month List],$Q$6,RawData[Tour/Site],$Q$2,RawData[[Picker ID ]],$Q$3,RawData[Checker ID],$Q$4,RawData[[Error Type ]],$Q$5))</f>
        <v/>
      </c>
    </row>
    <row r="20573" spans="15:15" x14ac:dyDescent="0.25">
      <c r="O20573" s="20" t="str">
        <f>IF(N20573="","",COUNTIFS(RawData[[Date ]],N20573,RawData[Month List],$Q$6,RawData[Tour/Site],$Q$2,RawData[[Picker ID ]],$Q$3,RawData[Checker ID],$Q$4,RawData[[Error Type ]],$Q$5))</f>
        <v/>
      </c>
    </row>
    <row r="20574" spans="15:15" x14ac:dyDescent="0.25">
      <c r="O20574" s="20" t="str">
        <f>IF(N20574="","",COUNTIFS(RawData[[Date ]],N20574,RawData[Month List],$Q$6,RawData[Tour/Site],$Q$2,RawData[[Picker ID ]],$Q$3,RawData[Checker ID],$Q$4,RawData[[Error Type ]],$Q$5))</f>
        <v/>
      </c>
    </row>
    <row r="20575" spans="15:15" x14ac:dyDescent="0.25">
      <c r="O20575" s="20" t="str">
        <f>IF(N20575="","",COUNTIFS(RawData[[Date ]],N20575,RawData[Month List],$Q$6,RawData[Tour/Site],$Q$2,RawData[[Picker ID ]],$Q$3,RawData[Checker ID],$Q$4,RawData[[Error Type ]],$Q$5))</f>
        <v/>
      </c>
    </row>
    <row r="20576" spans="15:15" x14ac:dyDescent="0.25">
      <c r="O20576" s="20" t="str">
        <f>IF(N20576="","",COUNTIFS(RawData[[Date ]],N20576,RawData[Month List],$Q$6,RawData[Tour/Site],$Q$2,RawData[[Picker ID ]],$Q$3,RawData[Checker ID],$Q$4,RawData[[Error Type ]],$Q$5))</f>
        <v/>
      </c>
    </row>
    <row r="20577" spans="15:15" x14ac:dyDescent="0.25">
      <c r="O20577" s="20" t="str">
        <f>IF(N20577="","",COUNTIFS(RawData[[Date ]],N20577,RawData[Month List],$Q$6,RawData[Tour/Site],$Q$2,RawData[[Picker ID ]],$Q$3,RawData[Checker ID],$Q$4,RawData[[Error Type ]],$Q$5))</f>
        <v/>
      </c>
    </row>
    <row r="20578" spans="15:15" x14ac:dyDescent="0.25">
      <c r="O20578" s="20" t="str">
        <f>IF(N20578="","",COUNTIFS(RawData[[Date ]],N20578,RawData[Month List],$Q$6,RawData[Tour/Site],$Q$2,RawData[[Picker ID ]],$Q$3,RawData[Checker ID],$Q$4,RawData[[Error Type ]],$Q$5))</f>
        <v/>
      </c>
    </row>
    <row r="20579" spans="15:15" x14ac:dyDescent="0.25">
      <c r="O20579" s="20" t="str">
        <f>IF(N20579="","",COUNTIFS(RawData[[Date ]],N20579,RawData[Month List],$Q$6,RawData[Tour/Site],$Q$2,RawData[[Picker ID ]],$Q$3,RawData[Checker ID],$Q$4,RawData[[Error Type ]],$Q$5))</f>
        <v/>
      </c>
    </row>
    <row r="20580" spans="15:15" x14ac:dyDescent="0.25">
      <c r="O20580" s="20" t="str">
        <f>IF(N20580="","",COUNTIFS(RawData[[Date ]],N20580,RawData[Month List],$Q$6,RawData[Tour/Site],$Q$2,RawData[[Picker ID ]],$Q$3,RawData[Checker ID],$Q$4,RawData[[Error Type ]],$Q$5))</f>
        <v/>
      </c>
    </row>
    <row r="20581" spans="15:15" x14ac:dyDescent="0.25">
      <c r="O20581" s="20" t="str">
        <f>IF(N20581="","",COUNTIFS(RawData[[Date ]],N20581,RawData[Month List],$Q$6,RawData[Tour/Site],$Q$2,RawData[[Picker ID ]],$Q$3,RawData[Checker ID],$Q$4,RawData[[Error Type ]],$Q$5))</f>
        <v/>
      </c>
    </row>
    <row r="20582" spans="15:15" x14ac:dyDescent="0.25">
      <c r="O20582" s="20" t="str">
        <f>IF(N20582="","",COUNTIFS(RawData[[Date ]],N20582,RawData[Month List],$Q$6,RawData[Tour/Site],$Q$2,RawData[[Picker ID ]],$Q$3,RawData[Checker ID],$Q$4,RawData[[Error Type ]],$Q$5))</f>
        <v/>
      </c>
    </row>
    <row r="20583" spans="15:15" x14ac:dyDescent="0.25">
      <c r="O20583" s="20" t="str">
        <f>IF(N20583="","",COUNTIFS(RawData[[Date ]],N20583,RawData[Month List],$Q$6,RawData[Tour/Site],$Q$2,RawData[[Picker ID ]],$Q$3,RawData[Checker ID],$Q$4,RawData[[Error Type ]],$Q$5))</f>
        <v/>
      </c>
    </row>
    <row r="20584" spans="15:15" x14ac:dyDescent="0.25">
      <c r="O20584" s="20" t="str">
        <f>IF(N20584="","",COUNTIFS(RawData[[Date ]],N20584,RawData[Month List],$Q$6,RawData[Tour/Site],$Q$2,RawData[[Picker ID ]],$Q$3,RawData[Checker ID],$Q$4,RawData[[Error Type ]],$Q$5))</f>
        <v/>
      </c>
    </row>
    <row r="20585" spans="15:15" x14ac:dyDescent="0.25">
      <c r="O20585" s="20" t="str">
        <f>IF(N20585="","",COUNTIFS(RawData[[Date ]],N20585,RawData[Month List],$Q$6,RawData[Tour/Site],$Q$2,RawData[[Picker ID ]],$Q$3,RawData[Checker ID],$Q$4,RawData[[Error Type ]],$Q$5))</f>
        <v/>
      </c>
    </row>
    <row r="20586" spans="15:15" x14ac:dyDescent="0.25">
      <c r="O20586" s="20" t="str">
        <f>IF(N20586="","",COUNTIFS(RawData[[Date ]],N20586,RawData[Month List],$Q$6,RawData[Tour/Site],$Q$2,RawData[[Picker ID ]],$Q$3,RawData[Checker ID],$Q$4,RawData[[Error Type ]],$Q$5))</f>
        <v/>
      </c>
    </row>
    <row r="20587" spans="15:15" x14ac:dyDescent="0.25">
      <c r="O20587" s="20" t="str">
        <f>IF(N20587="","",COUNTIFS(RawData[[Date ]],N20587,RawData[Month List],$Q$6,RawData[Tour/Site],$Q$2,RawData[[Picker ID ]],$Q$3,RawData[Checker ID],$Q$4,RawData[[Error Type ]],$Q$5))</f>
        <v/>
      </c>
    </row>
    <row r="20588" spans="15:15" x14ac:dyDescent="0.25">
      <c r="O20588" s="20" t="str">
        <f>IF(N20588="","",COUNTIFS(RawData[[Date ]],N20588,RawData[Month List],$Q$6,RawData[Tour/Site],$Q$2,RawData[[Picker ID ]],$Q$3,RawData[Checker ID],$Q$4,RawData[[Error Type ]],$Q$5))</f>
        <v/>
      </c>
    </row>
    <row r="20589" spans="15:15" x14ac:dyDescent="0.25">
      <c r="O20589" s="20" t="str">
        <f>IF(N20589="","",COUNTIFS(RawData[[Date ]],N20589,RawData[Month List],$Q$6,RawData[Tour/Site],$Q$2,RawData[[Picker ID ]],$Q$3,RawData[Checker ID],$Q$4,RawData[[Error Type ]],$Q$5))</f>
        <v/>
      </c>
    </row>
    <row r="20590" spans="15:15" x14ac:dyDescent="0.25">
      <c r="O20590" s="20" t="str">
        <f>IF(N20590="","",COUNTIFS(RawData[[Date ]],N20590,RawData[Month List],$Q$6,RawData[Tour/Site],$Q$2,RawData[[Picker ID ]],$Q$3,RawData[Checker ID],$Q$4,RawData[[Error Type ]],$Q$5))</f>
        <v/>
      </c>
    </row>
    <row r="20591" spans="15:15" x14ac:dyDescent="0.25">
      <c r="O20591" s="20" t="str">
        <f>IF(N20591="","",COUNTIFS(RawData[[Date ]],N20591,RawData[Month List],$Q$6,RawData[Tour/Site],$Q$2,RawData[[Picker ID ]],$Q$3,RawData[Checker ID],$Q$4,RawData[[Error Type ]],$Q$5))</f>
        <v/>
      </c>
    </row>
    <row r="20592" spans="15:15" x14ac:dyDescent="0.25">
      <c r="O20592" s="20" t="str">
        <f>IF(N20592="","",COUNTIFS(RawData[[Date ]],N20592,RawData[Month List],$Q$6,RawData[Tour/Site],$Q$2,RawData[[Picker ID ]],$Q$3,RawData[Checker ID],$Q$4,RawData[[Error Type ]],$Q$5))</f>
        <v/>
      </c>
    </row>
    <row r="20593" spans="15:15" x14ac:dyDescent="0.25">
      <c r="O20593" s="20" t="str">
        <f>IF(N20593="","",COUNTIFS(RawData[[Date ]],N20593,RawData[Month List],$Q$6,RawData[Tour/Site],$Q$2,RawData[[Picker ID ]],$Q$3,RawData[Checker ID],$Q$4,RawData[[Error Type ]],$Q$5))</f>
        <v/>
      </c>
    </row>
    <row r="20594" spans="15:15" x14ac:dyDescent="0.25">
      <c r="O20594" s="20" t="str">
        <f>IF(N20594="","",COUNTIFS(RawData[[Date ]],N20594,RawData[Month List],$Q$6,RawData[Tour/Site],$Q$2,RawData[[Picker ID ]],$Q$3,RawData[Checker ID],$Q$4,RawData[[Error Type ]],$Q$5))</f>
        <v/>
      </c>
    </row>
    <row r="20595" spans="15:15" x14ac:dyDescent="0.25">
      <c r="O20595" s="20" t="str">
        <f>IF(N20595="","",COUNTIFS(RawData[[Date ]],N20595,RawData[Month List],$Q$6,RawData[Tour/Site],$Q$2,RawData[[Picker ID ]],$Q$3,RawData[Checker ID],$Q$4,RawData[[Error Type ]],$Q$5))</f>
        <v/>
      </c>
    </row>
    <row r="20596" spans="15:15" x14ac:dyDescent="0.25">
      <c r="O20596" s="20" t="str">
        <f>IF(N20596="","",COUNTIFS(RawData[[Date ]],N20596,RawData[Month List],$Q$6,RawData[Tour/Site],$Q$2,RawData[[Picker ID ]],$Q$3,RawData[Checker ID],$Q$4,RawData[[Error Type ]],$Q$5))</f>
        <v/>
      </c>
    </row>
    <row r="20597" spans="15:15" x14ac:dyDescent="0.25">
      <c r="O20597" s="20" t="str">
        <f>IF(N20597="","",COUNTIFS(RawData[[Date ]],N20597,RawData[Month List],$Q$6,RawData[Tour/Site],$Q$2,RawData[[Picker ID ]],$Q$3,RawData[Checker ID],$Q$4,RawData[[Error Type ]],$Q$5))</f>
        <v/>
      </c>
    </row>
    <row r="20598" spans="15:15" x14ac:dyDescent="0.25">
      <c r="O20598" s="20" t="str">
        <f>IF(N20598="","",COUNTIFS(RawData[[Date ]],N20598,RawData[Month List],$Q$6,RawData[Tour/Site],$Q$2,RawData[[Picker ID ]],$Q$3,RawData[Checker ID],$Q$4,RawData[[Error Type ]],$Q$5))</f>
        <v/>
      </c>
    </row>
    <row r="20599" spans="15:15" x14ac:dyDescent="0.25">
      <c r="O20599" s="20" t="str">
        <f>IF(N20599="","",COUNTIFS(RawData[[Date ]],N20599,RawData[Month List],$Q$6,RawData[Tour/Site],$Q$2,RawData[[Picker ID ]],$Q$3,RawData[Checker ID],$Q$4,RawData[[Error Type ]],$Q$5))</f>
        <v/>
      </c>
    </row>
    <row r="20600" spans="15:15" x14ac:dyDescent="0.25">
      <c r="O20600" s="20" t="str">
        <f>IF(N20600="","",COUNTIFS(RawData[[Date ]],N20600,RawData[Month List],$Q$6,RawData[Tour/Site],$Q$2,RawData[[Picker ID ]],$Q$3,RawData[Checker ID],$Q$4,RawData[[Error Type ]],$Q$5))</f>
        <v/>
      </c>
    </row>
    <row r="20601" spans="15:15" x14ac:dyDescent="0.25">
      <c r="O20601" s="20" t="str">
        <f>IF(N20601="","",COUNTIFS(RawData[[Date ]],N20601,RawData[Month List],$Q$6,RawData[Tour/Site],$Q$2,RawData[[Picker ID ]],$Q$3,RawData[Checker ID],$Q$4,RawData[[Error Type ]],$Q$5))</f>
        <v/>
      </c>
    </row>
    <row r="20602" spans="15:15" x14ac:dyDescent="0.25">
      <c r="O20602" s="20" t="str">
        <f>IF(N20602="","",COUNTIFS(RawData[[Date ]],N20602,RawData[Month List],$Q$6,RawData[Tour/Site],$Q$2,RawData[[Picker ID ]],$Q$3,RawData[Checker ID],$Q$4,RawData[[Error Type ]],$Q$5))</f>
        <v/>
      </c>
    </row>
    <row r="20603" spans="15:15" x14ac:dyDescent="0.25">
      <c r="O20603" s="20" t="str">
        <f>IF(N20603="","",COUNTIFS(RawData[[Date ]],N20603,RawData[Month List],$Q$6,RawData[Tour/Site],$Q$2,RawData[[Picker ID ]],$Q$3,RawData[Checker ID],$Q$4,RawData[[Error Type ]],$Q$5))</f>
        <v/>
      </c>
    </row>
    <row r="20604" spans="15:15" x14ac:dyDescent="0.25">
      <c r="O20604" s="20" t="str">
        <f>IF(N20604="","",COUNTIFS(RawData[[Date ]],N20604,RawData[Month List],$Q$6,RawData[Tour/Site],$Q$2,RawData[[Picker ID ]],$Q$3,RawData[Checker ID],$Q$4,RawData[[Error Type ]],$Q$5))</f>
        <v/>
      </c>
    </row>
    <row r="20605" spans="15:15" x14ac:dyDescent="0.25">
      <c r="O20605" s="20" t="str">
        <f>IF(N20605="","",COUNTIFS(RawData[[Date ]],N20605,RawData[Month List],$Q$6,RawData[Tour/Site],$Q$2,RawData[[Picker ID ]],$Q$3,RawData[Checker ID],$Q$4,RawData[[Error Type ]],$Q$5))</f>
        <v/>
      </c>
    </row>
    <row r="20606" spans="15:15" x14ac:dyDescent="0.25">
      <c r="O20606" s="20" t="str">
        <f>IF(N20606="","",COUNTIFS(RawData[[Date ]],N20606,RawData[Month List],$Q$6,RawData[Tour/Site],$Q$2,RawData[[Picker ID ]],$Q$3,RawData[Checker ID],$Q$4,RawData[[Error Type ]],$Q$5))</f>
        <v/>
      </c>
    </row>
    <row r="20607" spans="15:15" x14ac:dyDescent="0.25">
      <c r="O20607" s="20" t="str">
        <f>IF(N20607="","",COUNTIFS(RawData[[Date ]],N20607,RawData[Month List],$Q$6,RawData[Tour/Site],$Q$2,RawData[[Picker ID ]],$Q$3,RawData[Checker ID],$Q$4,RawData[[Error Type ]],$Q$5))</f>
        <v/>
      </c>
    </row>
    <row r="20608" spans="15:15" x14ac:dyDescent="0.25">
      <c r="O20608" s="20" t="str">
        <f>IF(N20608="","",COUNTIFS(RawData[[Date ]],N20608,RawData[Month List],$Q$6,RawData[Tour/Site],$Q$2,RawData[[Picker ID ]],$Q$3,RawData[Checker ID],$Q$4,RawData[[Error Type ]],$Q$5))</f>
        <v/>
      </c>
    </row>
    <row r="20609" spans="15:15" x14ac:dyDescent="0.25">
      <c r="O20609" s="20" t="str">
        <f>IF(N20609="","",COUNTIFS(RawData[[Date ]],N20609,RawData[Month List],$Q$6,RawData[Tour/Site],$Q$2,RawData[[Picker ID ]],$Q$3,RawData[Checker ID],$Q$4,RawData[[Error Type ]],$Q$5))</f>
        <v/>
      </c>
    </row>
    <row r="20610" spans="15:15" x14ac:dyDescent="0.25">
      <c r="O20610" s="20" t="str">
        <f>IF(N20610="","",COUNTIFS(RawData[[Date ]],N20610,RawData[Month List],$Q$6,RawData[Tour/Site],$Q$2,RawData[[Picker ID ]],$Q$3,RawData[Checker ID],$Q$4,RawData[[Error Type ]],$Q$5))</f>
        <v/>
      </c>
    </row>
    <row r="20611" spans="15:15" x14ac:dyDescent="0.25">
      <c r="O20611" s="20" t="str">
        <f>IF(N20611="","",COUNTIFS(RawData[[Date ]],N20611,RawData[Month List],$Q$6,RawData[Tour/Site],$Q$2,RawData[[Picker ID ]],$Q$3,RawData[Checker ID],$Q$4,RawData[[Error Type ]],$Q$5))</f>
        <v/>
      </c>
    </row>
    <row r="20612" spans="15:15" x14ac:dyDescent="0.25">
      <c r="O20612" s="20" t="str">
        <f>IF(N20612="","",COUNTIFS(RawData[[Date ]],N20612,RawData[Month List],$Q$6,RawData[Tour/Site],$Q$2,RawData[[Picker ID ]],$Q$3,RawData[Checker ID],$Q$4,RawData[[Error Type ]],$Q$5))</f>
        <v/>
      </c>
    </row>
    <row r="20613" spans="15:15" x14ac:dyDescent="0.25">
      <c r="O20613" s="20" t="str">
        <f>IF(N20613="","",COUNTIFS(RawData[[Date ]],N20613,RawData[Month List],$Q$6,RawData[Tour/Site],$Q$2,RawData[[Picker ID ]],$Q$3,RawData[Checker ID],$Q$4,RawData[[Error Type ]],$Q$5))</f>
        <v/>
      </c>
    </row>
    <row r="20614" spans="15:15" x14ac:dyDescent="0.25">
      <c r="O20614" s="20" t="str">
        <f>IF(N20614="","",COUNTIFS(RawData[[Date ]],N20614,RawData[Month List],$Q$6,RawData[Tour/Site],$Q$2,RawData[[Picker ID ]],$Q$3,RawData[Checker ID],$Q$4,RawData[[Error Type ]],$Q$5))</f>
        <v/>
      </c>
    </row>
    <row r="20615" spans="15:15" x14ac:dyDescent="0.25">
      <c r="O20615" s="20" t="str">
        <f>IF(N20615="","",COUNTIFS(RawData[[Date ]],N20615,RawData[Month List],$Q$6,RawData[Tour/Site],$Q$2,RawData[[Picker ID ]],$Q$3,RawData[Checker ID],$Q$4,RawData[[Error Type ]],$Q$5))</f>
        <v/>
      </c>
    </row>
    <row r="20616" spans="15:15" x14ac:dyDescent="0.25">
      <c r="O20616" s="20" t="str">
        <f>IF(N20616="","",COUNTIFS(RawData[[Date ]],N20616,RawData[Month List],$Q$6,RawData[Tour/Site],$Q$2,RawData[[Picker ID ]],$Q$3,RawData[Checker ID],$Q$4,RawData[[Error Type ]],$Q$5))</f>
        <v/>
      </c>
    </row>
    <row r="20617" spans="15:15" x14ac:dyDescent="0.25">
      <c r="O20617" s="20" t="str">
        <f>IF(N20617="","",COUNTIFS(RawData[[Date ]],N20617,RawData[Month List],$Q$6,RawData[Tour/Site],$Q$2,RawData[[Picker ID ]],$Q$3,RawData[Checker ID],$Q$4,RawData[[Error Type ]],$Q$5))</f>
        <v/>
      </c>
    </row>
    <row r="20618" spans="15:15" x14ac:dyDescent="0.25">
      <c r="O20618" s="20" t="str">
        <f>IF(N20618="","",COUNTIFS(RawData[[Date ]],N20618,RawData[Month List],$Q$6,RawData[Tour/Site],$Q$2,RawData[[Picker ID ]],$Q$3,RawData[Checker ID],$Q$4,RawData[[Error Type ]],$Q$5))</f>
        <v/>
      </c>
    </row>
    <row r="20619" spans="15:15" x14ac:dyDescent="0.25">
      <c r="O20619" s="20" t="str">
        <f>IF(N20619="","",COUNTIFS(RawData[[Date ]],N20619,RawData[Month List],$Q$6,RawData[Tour/Site],$Q$2,RawData[[Picker ID ]],$Q$3,RawData[Checker ID],$Q$4,RawData[[Error Type ]],$Q$5))</f>
        <v/>
      </c>
    </row>
    <row r="20620" spans="15:15" x14ac:dyDescent="0.25">
      <c r="O20620" s="20" t="str">
        <f>IF(N20620="","",COUNTIFS(RawData[[Date ]],N20620,RawData[Month List],$Q$6,RawData[Tour/Site],$Q$2,RawData[[Picker ID ]],$Q$3,RawData[Checker ID],$Q$4,RawData[[Error Type ]],$Q$5))</f>
        <v/>
      </c>
    </row>
    <row r="20621" spans="15:15" x14ac:dyDescent="0.25">
      <c r="O20621" s="20" t="str">
        <f>IF(N20621="","",COUNTIFS(RawData[[Date ]],N20621,RawData[Month List],$Q$6,RawData[Tour/Site],$Q$2,RawData[[Picker ID ]],$Q$3,RawData[Checker ID],$Q$4,RawData[[Error Type ]],$Q$5))</f>
        <v/>
      </c>
    </row>
    <row r="20622" spans="15:15" x14ac:dyDescent="0.25">
      <c r="O20622" s="20" t="str">
        <f>IF(N20622="","",COUNTIFS(RawData[[Date ]],N20622,RawData[Month List],$Q$6,RawData[Tour/Site],$Q$2,RawData[[Picker ID ]],$Q$3,RawData[Checker ID],$Q$4,RawData[[Error Type ]],$Q$5))</f>
        <v/>
      </c>
    </row>
    <row r="20623" spans="15:15" x14ac:dyDescent="0.25">
      <c r="O20623" s="20" t="str">
        <f>IF(N20623="","",COUNTIFS(RawData[[Date ]],N20623,RawData[Month List],$Q$6,RawData[Tour/Site],$Q$2,RawData[[Picker ID ]],$Q$3,RawData[Checker ID],$Q$4,RawData[[Error Type ]],$Q$5))</f>
        <v/>
      </c>
    </row>
    <row r="20624" spans="15:15" x14ac:dyDescent="0.25">
      <c r="O20624" s="20" t="str">
        <f>IF(N20624="","",COUNTIFS(RawData[[Date ]],N20624,RawData[Month List],$Q$6,RawData[Tour/Site],$Q$2,RawData[[Picker ID ]],$Q$3,RawData[Checker ID],$Q$4,RawData[[Error Type ]],$Q$5))</f>
        <v/>
      </c>
    </row>
    <row r="20625" spans="15:15" x14ac:dyDescent="0.25">
      <c r="O20625" s="20" t="str">
        <f>IF(N20625="","",COUNTIFS(RawData[[Date ]],N20625,RawData[Month List],$Q$6,RawData[Tour/Site],$Q$2,RawData[[Picker ID ]],$Q$3,RawData[Checker ID],$Q$4,RawData[[Error Type ]],$Q$5))</f>
        <v/>
      </c>
    </row>
    <row r="20626" spans="15:15" x14ac:dyDescent="0.25">
      <c r="O20626" s="20" t="str">
        <f>IF(N20626="","",COUNTIFS(RawData[[Date ]],N20626,RawData[Month List],$Q$6,RawData[Tour/Site],$Q$2,RawData[[Picker ID ]],$Q$3,RawData[Checker ID],$Q$4,RawData[[Error Type ]],$Q$5))</f>
        <v/>
      </c>
    </row>
    <row r="20627" spans="15:15" x14ac:dyDescent="0.25">
      <c r="O20627" s="20" t="str">
        <f>IF(N20627="","",COUNTIFS(RawData[[Date ]],N20627,RawData[Month List],$Q$6,RawData[Tour/Site],$Q$2,RawData[[Picker ID ]],$Q$3,RawData[Checker ID],$Q$4,RawData[[Error Type ]],$Q$5))</f>
        <v/>
      </c>
    </row>
    <row r="20628" spans="15:15" x14ac:dyDescent="0.25">
      <c r="O20628" s="20" t="str">
        <f>IF(N20628="","",COUNTIFS(RawData[[Date ]],N20628,RawData[Month List],$Q$6,RawData[Tour/Site],$Q$2,RawData[[Picker ID ]],$Q$3,RawData[Checker ID],$Q$4,RawData[[Error Type ]],$Q$5))</f>
        <v/>
      </c>
    </row>
    <row r="20629" spans="15:15" x14ac:dyDescent="0.25">
      <c r="O20629" s="20" t="str">
        <f>IF(N20629="","",COUNTIFS(RawData[[Date ]],N20629,RawData[Month List],$Q$6,RawData[Tour/Site],$Q$2,RawData[[Picker ID ]],$Q$3,RawData[Checker ID],$Q$4,RawData[[Error Type ]],$Q$5))</f>
        <v/>
      </c>
    </row>
    <row r="20630" spans="15:15" x14ac:dyDescent="0.25">
      <c r="O20630" s="20" t="str">
        <f>IF(N20630="","",COUNTIFS(RawData[[Date ]],N20630,RawData[Month List],$Q$6,RawData[Tour/Site],$Q$2,RawData[[Picker ID ]],$Q$3,RawData[Checker ID],$Q$4,RawData[[Error Type ]],$Q$5))</f>
        <v/>
      </c>
    </row>
    <row r="20631" spans="15:15" x14ac:dyDescent="0.25">
      <c r="O20631" s="20" t="str">
        <f>IF(N20631="","",COUNTIFS(RawData[[Date ]],N20631,RawData[Month List],$Q$6,RawData[Tour/Site],$Q$2,RawData[[Picker ID ]],$Q$3,RawData[Checker ID],$Q$4,RawData[[Error Type ]],$Q$5))</f>
        <v/>
      </c>
    </row>
    <row r="20632" spans="15:15" x14ac:dyDescent="0.25">
      <c r="O20632" s="20" t="str">
        <f>IF(N20632="","",COUNTIFS(RawData[[Date ]],N20632,RawData[Month List],$Q$6,RawData[Tour/Site],$Q$2,RawData[[Picker ID ]],$Q$3,RawData[Checker ID],$Q$4,RawData[[Error Type ]],$Q$5))</f>
        <v/>
      </c>
    </row>
    <row r="20633" spans="15:15" x14ac:dyDescent="0.25">
      <c r="O20633" s="20" t="str">
        <f>IF(N20633="","",COUNTIFS(RawData[[Date ]],N20633,RawData[Month List],$Q$6,RawData[Tour/Site],$Q$2,RawData[[Picker ID ]],$Q$3,RawData[Checker ID],$Q$4,RawData[[Error Type ]],$Q$5))</f>
        <v/>
      </c>
    </row>
    <row r="20634" spans="15:15" x14ac:dyDescent="0.25">
      <c r="O20634" s="20" t="str">
        <f>IF(N20634="","",COUNTIFS(RawData[[Date ]],N20634,RawData[Month List],$Q$6,RawData[Tour/Site],$Q$2,RawData[[Picker ID ]],$Q$3,RawData[Checker ID],$Q$4,RawData[[Error Type ]],$Q$5))</f>
        <v/>
      </c>
    </row>
    <row r="20635" spans="15:15" x14ac:dyDescent="0.25">
      <c r="O20635" s="20" t="str">
        <f>IF(N20635="","",COUNTIFS(RawData[[Date ]],N20635,RawData[Month List],$Q$6,RawData[Tour/Site],$Q$2,RawData[[Picker ID ]],$Q$3,RawData[Checker ID],$Q$4,RawData[[Error Type ]],$Q$5))</f>
        <v/>
      </c>
    </row>
    <row r="20636" spans="15:15" x14ac:dyDescent="0.25">
      <c r="O20636" s="20" t="str">
        <f>IF(N20636="","",COUNTIFS(RawData[[Date ]],N20636,RawData[Month List],$Q$6,RawData[Tour/Site],$Q$2,RawData[[Picker ID ]],$Q$3,RawData[Checker ID],$Q$4,RawData[[Error Type ]],$Q$5))</f>
        <v/>
      </c>
    </row>
    <row r="20637" spans="15:15" x14ac:dyDescent="0.25">
      <c r="O20637" s="20" t="str">
        <f>IF(N20637="","",COUNTIFS(RawData[[Date ]],N20637,RawData[Month List],$Q$6,RawData[Tour/Site],$Q$2,RawData[[Picker ID ]],$Q$3,RawData[Checker ID],$Q$4,RawData[[Error Type ]],$Q$5))</f>
        <v/>
      </c>
    </row>
    <row r="20638" spans="15:15" x14ac:dyDescent="0.25">
      <c r="O20638" s="20" t="str">
        <f>IF(N20638="","",COUNTIFS(RawData[[Date ]],N20638,RawData[Month List],$Q$6,RawData[Tour/Site],$Q$2,RawData[[Picker ID ]],$Q$3,RawData[Checker ID],$Q$4,RawData[[Error Type ]],$Q$5))</f>
        <v/>
      </c>
    </row>
    <row r="20639" spans="15:15" x14ac:dyDescent="0.25">
      <c r="O20639" s="20" t="str">
        <f>IF(N20639="","",COUNTIFS(RawData[[Date ]],N20639,RawData[Month List],$Q$6,RawData[Tour/Site],$Q$2,RawData[[Picker ID ]],$Q$3,RawData[Checker ID],$Q$4,RawData[[Error Type ]],$Q$5))</f>
        <v/>
      </c>
    </row>
    <row r="20640" spans="15:15" x14ac:dyDescent="0.25">
      <c r="O20640" s="20" t="str">
        <f>IF(N20640="","",COUNTIFS(RawData[[Date ]],N20640,RawData[Month List],$Q$6,RawData[Tour/Site],$Q$2,RawData[[Picker ID ]],$Q$3,RawData[Checker ID],$Q$4,RawData[[Error Type ]],$Q$5))</f>
        <v/>
      </c>
    </row>
    <row r="20641" spans="15:15" x14ac:dyDescent="0.25">
      <c r="O20641" s="20" t="str">
        <f>IF(N20641="","",COUNTIFS(RawData[[Date ]],N20641,RawData[Month List],$Q$6,RawData[Tour/Site],$Q$2,RawData[[Picker ID ]],$Q$3,RawData[Checker ID],$Q$4,RawData[[Error Type ]],$Q$5))</f>
        <v/>
      </c>
    </row>
    <row r="20642" spans="15:15" x14ac:dyDescent="0.25">
      <c r="O20642" s="20" t="str">
        <f>IF(N20642="","",COUNTIFS(RawData[[Date ]],N20642,RawData[Month List],$Q$6,RawData[Tour/Site],$Q$2,RawData[[Picker ID ]],$Q$3,RawData[Checker ID],$Q$4,RawData[[Error Type ]],$Q$5))</f>
        <v/>
      </c>
    </row>
    <row r="20643" spans="15:15" x14ac:dyDescent="0.25">
      <c r="O20643" s="20" t="str">
        <f>IF(N20643="","",COUNTIFS(RawData[[Date ]],N20643,RawData[Month List],$Q$6,RawData[Tour/Site],$Q$2,RawData[[Picker ID ]],$Q$3,RawData[Checker ID],$Q$4,RawData[[Error Type ]],$Q$5))</f>
        <v/>
      </c>
    </row>
    <row r="20644" spans="15:15" x14ac:dyDescent="0.25">
      <c r="O20644" s="20" t="str">
        <f>IF(N20644="","",COUNTIFS(RawData[[Date ]],N20644,RawData[Month List],$Q$6,RawData[Tour/Site],$Q$2,RawData[[Picker ID ]],$Q$3,RawData[Checker ID],$Q$4,RawData[[Error Type ]],$Q$5))</f>
        <v/>
      </c>
    </row>
    <row r="20645" spans="15:15" x14ac:dyDescent="0.25">
      <c r="O20645" s="20" t="str">
        <f>IF(N20645="","",COUNTIFS(RawData[[Date ]],N20645,RawData[Month List],$Q$6,RawData[Tour/Site],$Q$2,RawData[[Picker ID ]],$Q$3,RawData[Checker ID],$Q$4,RawData[[Error Type ]],$Q$5))</f>
        <v/>
      </c>
    </row>
    <row r="20646" spans="15:15" x14ac:dyDescent="0.25">
      <c r="O20646" s="20" t="str">
        <f>IF(N20646="","",COUNTIFS(RawData[[Date ]],N20646,RawData[Month List],$Q$6,RawData[Tour/Site],$Q$2,RawData[[Picker ID ]],$Q$3,RawData[Checker ID],$Q$4,RawData[[Error Type ]],$Q$5))</f>
        <v/>
      </c>
    </row>
    <row r="20647" spans="15:15" x14ac:dyDescent="0.25">
      <c r="O20647" s="20" t="str">
        <f>IF(N20647="","",COUNTIFS(RawData[[Date ]],N20647,RawData[Month List],$Q$6,RawData[Tour/Site],$Q$2,RawData[[Picker ID ]],$Q$3,RawData[Checker ID],$Q$4,RawData[[Error Type ]],$Q$5))</f>
        <v/>
      </c>
    </row>
    <row r="20648" spans="15:15" x14ac:dyDescent="0.25">
      <c r="O20648" s="20" t="str">
        <f>IF(N20648="","",COUNTIFS(RawData[[Date ]],N20648,RawData[Month List],$Q$6,RawData[Tour/Site],$Q$2,RawData[[Picker ID ]],$Q$3,RawData[Checker ID],$Q$4,RawData[[Error Type ]],$Q$5))</f>
        <v/>
      </c>
    </row>
    <row r="20649" spans="15:15" x14ac:dyDescent="0.25">
      <c r="O20649" s="20" t="str">
        <f>IF(N20649="","",COUNTIFS(RawData[[Date ]],N20649,RawData[Month List],$Q$6,RawData[Tour/Site],$Q$2,RawData[[Picker ID ]],$Q$3,RawData[Checker ID],$Q$4,RawData[[Error Type ]],$Q$5))</f>
        <v/>
      </c>
    </row>
    <row r="20650" spans="15:15" x14ac:dyDescent="0.25">
      <c r="O20650" s="20" t="str">
        <f>IF(N20650="","",COUNTIFS(RawData[[Date ]],N20650,RawData[Month List],$Q$6,RawData[Tour/Site],$Q$2,RawData[[Picker ID ]],$Q$3,RawData[Checker ID],$Q$4,RawData[[Error Type ]],$Q$5))</f>
        <v/>
      </c>
    </row>
    <row r="20651" spans="15:15" x14ac:dyDescent="0.25">
      <c r="O20651" s="20" t="str">
        <f>IF(N20651="","",COUNTIFS(RawData[[Date ]],N20651,RawData[Month List],$Q$6,RawData[Tour/Site],$Q$2,RawData[[Picker ID ]],$Q$3,RawData[Checker ID],$Q$4,RawData[[Error Type ]],$Q$5))</f>
        <v/>
      </c>
    </row>
    <row r="20652" spans="15:15" x14ac:dyDescent="0.25">
      <c r="O20652" s="20" t="str">
        <f>IF(N20652="","",COUNTIFS(RawData[[Date ]],N20652,RawData[Month List],$Q$6,RawData[Tour/Site],$Q$2,RawData[[Picker ID ]],$Q$3,RawData[Checker ID],$Q$4,RawData[[Error Type ]],$Q$5))</f>
        <v/>
      </c>
    </row>
    <row r="20653" spans="15:15" x14ac:dyDescent="0.25">
      <c r="O20653" s="20" t="str">
        <f>IF(N20653="","",COUNTIFS(RawData[[Date ]],N20653,RawData[Month List],$Q$6,RawData[Tour/Site],$Q$2,RawData[[Picker ID ]],$Q$3,RawData[Checker ID],$Q$4,RawData[[Error Type ]],$Q$5))</f>
        <v/>
      </c>
    </row>
    <row r="20654" spans="15:15" x14ac:dyDescent="0.25">
      <c r="O20654" s="20" t="str">
        <f>IF(N20654="","",COUNTIFS(RawData[[Date ]],N20654,RawData[Month List],$Q$6,RawData[Tour/Site],$Q$2,RawData[[Picker ID ]],$Q$3,RawData[Checker ID],$Q$4,RawData[[Error Type ]],$Q$5))</f>
        <v/>
      </c>
    </row>
    <row r="20655" spans="15:15" x14ac:dyDescent="0.25">
      <c r="O20655" s="20" t="str">
        <f>IF(N20655="","",COUNTIFS(RawData[[Date ]],N20655,RawData[Month List],$Q$6,RawData[Tour/Site],$Q$2,RawData[[Picker ID ]],$Q$3,RawData[Checker ID],$Q$4,RawData[[Error Type ]],$Q$5))</f>
        <v/>
      </c>
    </row>
    <row r="20656" spans="15:15" x14ac:dyDescent="0.25">
      <c r="O20656" s="20" t="str">
        <f>IF(N20656="","",COUNTIFS(RawData[[Date ]],N20656,RawData[Month List],$Q$6,RawData[Tour/Site],$Q$2,RawData[[Picker ID ]],$Q$3,RawData[Checker ID],$Q$4,RawData[[Error Type ]],$Q$5))</f>
        <v/>
      </c>
    </row>
    <row r="20657" spans="15:15" x14ac:dyDescent="0.25">
      <c r="O20657" s="20" t="str">
        <f>IF(N20657="","",COUNTIFS(RawData[[Date ]],N20657,RawData[Month List],$Q$6,RawData[Tour/Site],$Q$2,RawData[[Picker ID ]],$Q$3,RawData[Checker ID],$Q$4,RawData[[Error Type ]],$Q$5))</f>
        <v/>
      </c>
    </row>
    <row r="20658" spans="15:15" x14ac:dyDescent="0.25">
      <c r="O20658" s="20" t="str">
        <f>IF(N20658="","",COUNTIFS(RawData[[Date ]],N20658,RawData[Month List],$Q$6,RawData[Tour/Site],$Q$2,RawData[[Picker ID ]],$Q$3,RawData[Checker ID],$Q$4,RawData[[Error Type ]],$Q$5))</f>
        <v/>
      </c>
    </row>
    <row r="20659" spans="15:15" x14ac:dyDescent="0.25">
      <c r="O20659" s="20" t="str">
        <f>IF(N20659="","",COUNTIFS(RawData[[Date ]],N20659,RawData[Month List],$Q$6,RawData[Tour/Site],$Q$2,RawData[[Picker ID ]],$Q$3,RawData[Checker ID],$Q$4,RawData[[Error Type ]],$Q$5))</f>
        <v/>
      </c>
    </row>
    <row r="20660" spans="15:15" x14ac:dyDescent="0.25">
      <c r="O20660" s="20" t="str">
        <f>IF(N20660="","",COUNTIFS(RawData[[Date ]],N20660,RawData[Month List],$Q$6,RawData[Tour/Site],$Q$2,RawData[[Picker ID ]],$Q$3,RawData[Checker ID],$Q$4,RawData[[Error Type ]],$Q$5))</f>
        <v/>
      </c>
    </row>
    <row r="20661" spans="15:15" x14ac:dyDescent="0.25">
      <c r="O20661" s="20" t="str">
        <f>IF(N20661="","",COUNTIFS(RawData[[Date ]],N20661,RawData[Month List],$Q$6,RawData[Tour/Site],$Q$2,RawData[[Picker ID ]],$Q$3,RawData[Checker ID],$Q$4,RawData[[Error Type ]],$Q$5))</f>
        <v/>
      </c>
    </row>
    <row r="20662" spans="15:15" x14ac:dyDescent="0.25">
      <c r="O20662" s="20" t="str">
        <f>IF(N20662="","",COUNTIFS(RawData[[Date ]],N20662,RawData[Month List],$Q$6,RawData[Tour/Site],$Q$2,RawData[[Picker ID ]],$Q$3,RawData[Checker ID],$Q$4,RawData[[Error Type ]],$Q$5))</f>
        <v/>
      </c>
    </row>
    <row r="20663" spans="15:15" x14ac:dyDescent="0.25">
      <c r="O20663" s="20" t="str">
        <f>IF(N20663="","",COUNTIFS(RawData[[Date ]],N20663,RawData[Month List],$Q$6,RawData[Tour/Site],$Q$2,RawData[[Picker ID ]],$Q$3,RawData[Checker ID],$Q$4,RawData[[Error Type ]],$Q$5))</f>
        <v/>
      </c>
    </row>
    <row r="20664" spans="15:15" x14ac:dyDescent="0.25">
      <c r="O20664" s="20" t="str">
        <f>IF(N20664="","",COUNTIFS(RawData[[Date ]],N20664,RawData[Month List],$Q$6,RawData[Tour/Site],$Q$2,RawData[[Picker ID ]],$Q$3,RawData[Checker ID],$Q$4,RawData[[Error Type ]],$Q$5))</f>
        <v/>
      </c>
    </row>
    <row r="20665" spans="15:15" x14ac:dyDescent="0.25">
      <c r="O20665" s="20" t="str">
        <f>IF(N20665="","",COUNTIFS(RawData[[Date ]],N20665,RawData[Month List],$Q$6,RawData[Tour/Site],$Q$2,RawData[[Picker ID ]],$Q$3,RawData[Checker ID],$Q$4,RawData[[Error Type ]],$Q$5))</f>
        <v/>
      </c>
    </row>
    <row r="20666" spans="15:15" x14ac:dyDescent="0.25">
      <c r="O20666" s="20" t="str">
        <f>IF(N20666="","",COUNTIFS(RawData[[Date ]],N20666,RawData[Month List],$Q$6,RawData[Tour/Site],$Q$2,RawData[[Picker ID ]],$Q$3,RawData[Checker ID],$Q$4,RawData[[Error Type ]],$Q$5))</f>
        <v/>
      </c>
    </row>
    <row r="20667" spans="15:15" x14ac:dyDescent="0.25">
      <c r="O20667" s="20" t="str">
        <f>IF(N20667="","",COUNTIFS(RawData[[Date ]],N20667,RawData[Month List],$Q$6,RawData[Tour/Site],$Q$2,RawData[[Picker ID ]],$Q$3,RawData[Checker ID],$Q$4,RawData[[Error Type ]],$Q$5))</f>
        <v/>
      </c>
    </row>
    <row r="20668" spans="15:15" x14ac:dyDescent="0.25">
      <c r="O20668" s="20" t="str">
        <f>IF(N20668="","",COUNTIFS(RawData[[Date ]],N20668,RawData[Month List],$Q$6,RawData[Tour/Site],$Q$2,RawData[[Picker ID ]],$Q$3,RawData[Checker ID],$Q$4,RawData[[Error Type ]],$Q$5))</f>
        <v/>
      </c>
    </row>
    <row r="20669" spans="15:15" x14ac:dyDescent="0.25">
      <c r="O20669" s="20" t="str">
        <f>IF(N20669="","",COUNTIFS(RawData[[Date ]],N20669,RawData[Month List],$Q$6,RawData[Tour/Site],$Q$2,RawData[[Picker ID ]],$Q$3,RawData[Checker ID],$Q$4,RawData[[Error Type ]],$Q$5))</f>
        <v/>
      </c>
    </row>
    <row r="20670" spans="15:15" x14ac:dyDescent="0.25">
      <c r="O20670" s="20" t="str">
        <f>IF(N20670="","",COUNTIFS(RawData[[Date ]],N20670,RawData[Month List],$Q$6,RawData[Tour/Site],$Q$2,RawData[[Picker ID ]],$Q$3,RawData[Checker ID],$Q$4,RawData[[Error Type ]],$Q$5))</f>
        <v/>
      </c>
    </row>
    <row r="20671" spans="15:15" x14ac:dyDescent="0.25">
      <c r="O20671" s="20" t="str">
        <f>IF(N20671="","",COUNTIFS(RawData[[Date ]],N20671,RawData[Month List],$Q$6,RawData[Tour/Site],$Q$2,RawData[[Picker ID ]],$Q$3,RawData[Checker ID],$Q$4,RawData[[Error Type ]],$Q$5))</f>
        <v/>
      </c>
    </row>
    <row r="20672" spans="15:15" x14ac:dyDescent="0.25">
      <c r="O20672" s="20" t="str">
        <f>IF(N20672="","",COUNTIFS(RawData[[Date ]],N20672,RawData[Month List],$Q$6,RawData[Tour/Site],$Q$2,RawData[[Picker ID ]],$Q$3,RawData[Checker ID],$Q$4,RawData[[Error Type ]],$Q$5))</f>
        <v/>
      </c>
    </row>
    <row r="20673" spans="15:15" x14ac:dyDescent="0.25">
      <c r="O20673" s="20" t="str">
        <f>IF(N20673="","",COUNTIFS(RawData[[Date ]],N20673,RawData[Month List],$Q$6,RawData[Tour/Site],$Q$2,RawData[[Picker ID ]],$Q$3,RawData[Checker ID],$Q$4,RawData[[Error Type ]],$Q$5))</f>
        <v/>
      </c>
    </row>
    <row r="20674" spans="15:15" x14ac:dyDescent="0.25">
      <c r="O20674" s="20" t="str">
        <f>IF(N20674="","",COUNTIFS(RawData[[Date ]],N20674,RawData[Month List],$Q$6,RawData[Tour/Site],$Q$2,RawData[[Picker ID ]],$Q$3,RawData[Checker ID],$Q$4,RawData[[Error Type ]],$Q$5))</f>
        <v/>
      </c>
    </row>
    <row r="20675" spans="15:15" x14ac:dyDescent="0.25">
      <c r="O20675" s="20" t="str">
        <f>IF(N20675="","",COUNTIFS(RawData[[Date ]],N20675,RawData[Month List],$Q$6,RawData[Tour/Site],$Q$2,RawData[[Picker ID ]],$Q$3,RawData[Checker ID],$Q$4,RawData[[Error Type ]],$Q$5))</f>
        <v/>
      </c>
    </row>
    <row r="20676" spans="15:15" x14ac:dyDescent="0.25">
      <c r="O20676" s="20" t="str">
        <f>IF(N20676="","",COUNTIFS(RawData[[Date ]],N20676,RawData[Month List],$Q$6,RawData[Tour/Site],$Q$2,RawData[[Picker ID ]],$Q$3,RawData[Checker ID],$Q$4,RawData[[Error Type ]],$Q$5))</f>
        <v/>
      </c>
    </row>
    <row r="20677" spans="15:15" x14ac:dyDescent="0.25">
      <c r="O20677" s="20" t="str">
        <f>IF(N20677="","",COUNTIFS(RawData[[Date ]],N20677,RawData[Month List],$Q$6,RawData[Tour/Site],$Q$2,RawData[[Picker ID ]],$Q$3,RawData[Checker ID],$Q$4,RawData[[Error Type ]],$Q$5))</f>
        <v/>
      </c>
    </row>
    <row r="20678" spans="15:15" x14ac:dyDescent="0.25">
      <c r="O20678" s="20" t="str">
        <f>IF(N20678="","",COUNTIFS(RawData[[Date ]],N20678,RawData[Month List],$Q$6,RawData[Tour/Site],$Q$2,RawData[[Picker ID ]],$Q$3,RawData[Checker ID],$Q$4,RawData[[Error Type ]],$Q$5))</f>
        <v/>
      </c>
    </row>
    <row r="20679" spans="15:15" x14ac:dyDescent="0.25">
      <c r="O20679" s="20" t="str">
        <f>IF(N20679="","",COUNTIFS(RawData[[Date ]],N20679,RawData[Month List],$Q$6,RawData[Tour/Site],$Q$2,RawData[[Picker ID ]],$Q$3,RawData[Checker ID],$Q$4,RawData[[Error Type ]],$Q$5))</f>
        <v/>
      </c>
    </row>
    <row r="20680" spans="15:15" x14ac:dyDescent="0.25">
      <c r="O20680" s="20" t="str">
        <f>IF(N20680="","",COUNTIFS(RawData[[Date ]],N20680,RawData[Month List],$Q$6,RawData[Tour/Site],$Q$2,RawData[[Picker ID ]],$Q$3,RawData[Checker ID],$Q$4,RawData[[Error Type ]],$Q$5))</f>
        <v/>
      </c>
    </row>
    <row r="20681" spans="15:15" x14ac:dyDescent="0.25">
      <c r="O20681" s="20" t="str">
        <f>IF(N20681="","",COUNTIFS(RawData[[Date ]],N20681,RawData[Month List],$Q$6,RawData[Tour/Site],$Q$2,RawData[[Picker ID ]],$Q$3,RawData[Checker ID],$Q$4,RawData[[Error Type ]],$Q$5))</f>
        <v/>
      </c>
    </row>
    <row r="20682" spans="15:15" x14ac:dyDescent="0.25">
      <c r="O20682" s="20" t="str">
        <f>IF(N20682="","",COUNTIFS(RawData[[Date ]],N20682,RawData[Month List],$Q$6,RawData[Tour/Site],$Q$2,RawData[[Picker ID ]],$Q$3,RawData[Checker ID],$Q$4,RawData[[Error Type ]],$Q$5))</f>
        <v/>
      </c>
    </row>
    <row r="20683" spans="15:15" x14ac:dyDescent="0.25">
      <c r="O20683" s="20" t="str">
        <f>IF(N20683="","",COUNTIFS(RawData[[Date ]],N20683,RawData[Month List],$Q$6,RawData[Tour/Site],$Q$2,RawData[[Picker ID ]],$Q$3,RawData[Checker ID],$Q$4,RawData[[Error Type ]],$Q$5))</f>
        <v/>
      </c>
    </row>
    <row r="20684" spans="15:15" x14ac:dyDescent="0.25">
      <c r="O20684" s="20" t="str">
        <f>IF(N20684="","",COUNTIFS(RawData[[Date ]],N20684,RawData[Month List],$Q$6,RawData[Tour/Site],$Q$2,RawData[[Picker ID ]],$Q$3,RawData[Checker ID],$Q$4,RawData[[Error Type ]],$Q$5))</f>
        <v/>
      </c>
    </row>
    <row r="20685" spans="15:15" x14ac:dyDescent="0.25">
      <c r="O20685" s="20" t="str">
        <f>IF(N20685="","",COUNTIFS(RawData[[Date ]],N20685,RawData[Month List],$Q$6,RawData[Tour/Site],$Q$2,RawData[[Picker ID ]],$Q$3,RawData[Checker ID],$Q$4,RawData[[Error Type ]],$Q$5))</f>
        <v/>
      </c>
    </row>
    <row r="20686" spans="15:15" x14ac:dyDescent="0.25">
      <c r="O20686" s="20" t="str">
        <f>IF(N20686="","",COUNTIFS(RawData[[Date ]],N20686,RawData[Month List],$Q$6,RawData[Tour/Site],$Q$2,RawData[[Picker ID ]],$Q$3,RawData[Checker ID],$Q$4,RawData[[Error Type ]],$Q$5))</f>
        <v/>
      </c>
    </row>
    <row r="20687" spans="15:15" x14ac:dyDescent="0.25">
      <c r="O20687" s="20" t="str">
        <f>IF(N20687="","",COUNTIFS(RawData[[Date ]],N20687,RawData[Month List],$Q$6,RawData[Tour/Site],$Q$2,RawData[[Picker ID ]],$Q$3,RawData[Checker ID],$Q$4,RawData[[Error Type ]],$Q$5))</f>
        <v/>
      </c>
    </row>
    <row r="20688" spans="15:15" x14ac:dyDescent="0.25">
      <c r="O20688" s="20" t="str">
        <f>IF(N20688="","",COUNTIFS(RawData[[Date ]],N20688,RawData[Month List],$Q$6,RawData[Tour/Site],$Q$2,RawData[[Picker ID ]],$Q$3,RawData[Checker ID],$Q$4,RawData[[Error Type ]],$Q$5))</f>
        <v/>
      </c>
    </row>
    <row r="20689" spans="15:15" x14ac:dyDescent="0.25">
      <c r="O20689" s="20" t="str">
        <f>IF(N20689="","",COUNTIFS(RawData[[Date ]],N20689,RawData[Month List],$Q$6,RawData[Tour/Site],$Q$2,RawData[[Picker ID ]],$Q$3,RawData[Checker ID],$Q$4,RawData[[Error Type ]],$Q$5))</f>
        <v/>
      </c>
    </row>
    <row r="20690" spans="15:15" x14ac:dyDescent="0.25">
      <c r="O20690" s="20" t="str">
        <f>IF(N20690="","",COUNTIFS(RawData[[Date ]],N20690,RawData[Month List],$Q$6,RawData[Tour/Site],$Q$2,RawData[[Picker ID ]],$Q$3,RawData[Checker ID],$Q$4,RawData[[Error Type ]],$Q$5))</f>
        <v/>
      </c>
    </row>
    <row r="20691" spans="15:15" x14ac:dyDescent="0.25">
      <c r="O20691" s="20" t="str">
        <f>IF(N20691="","",COUNTIFS(RawData[[Date ]],N20691,RawData[Month List],$Q$6,RawData[Tour/Site],$Q$2,RawData[[Picker ID ]],$Q$3,RawData[Checker ID],$Q$4,RawData[[Error Type ]],$Q$5))</f>
        <v/>
      </c>
    </row>
    <row r="20692" spans="15:15" x14ac:dyDescent="0.25">
      <c r="O20692" s="20" t="str">
        <f>IF(N20692="","",COUNTIFS(RawData[[Date ]],N20692,RawData[Month List],$Q$6,RawData[Tour/Site],$Q$2,RawData[[Picker ID ]],$Q$3,RawData[Checker ID],$Q$4,RawData[[Error Type ]],$Q$5))</f>
        <v/>
      </c>
    </row>
    <row r="20693" spans="15:15" x14ac:dyDescent="0.25">
      <c r="O20693" s="20" t="str">
        <f>IF(N20693="","",COUNTIFS(RawData[[Date ]],N20693,RawData[Month List],$Q$6,RawData[Tour/Site],$Q$2,RawData[[Picker ID ]],$Q$3,RawData[Checker ID],$Q$4,RawData[[Error Type ]],$Q$5))</f>
        <v/>
      </c>
    </row>
    <row r="20694" spans="15:15" x14ac:dyDescent="0.25">
      <c r="O20694" s="20" t="str">
        <f>IF(N20694="","",COUNTIFS(RawData[[Date ]],N20694,RawData[Month List],$Q$6,RawData[Tour/Site],$Q$2,RawData[[Picker ID ]],$Q$3,RawData[Checker ID],$Q$4,RawData[[Error Type ]],$Q$5))</f>
        <v/>
      </c>
    </row>
    <row r="20695" spans="15:15" x14ac:dyDescent="0.25">
      <c r="O20695" s="20" t="str">
        <f>IF(N20695="","",COUNTIFS(RawData[[Date ]],N20695,RawData[Month List],$Q$6,RawData[Tour/Site],$Q$2,RawData[[Picker ID ]],$Q$3,RawData[Checker ID],$Q$4,RawData[[Error Type ]],$Q$5))</f>
        <v/>
      </c>
    </row>
    <row r="20696" spans="15:15" x14ac:dyDescent="0.25">
      <c r="O20696" s="20" t="str">
        <f>IF(N20696="","",COUNTIFS(RawData[[Date ]],N20696,RawData[Month List],$Q$6,RawData[Tour/Site],$Q$2,RawData[[Picker ID ]],$Q$3,RawData[Checker ID],$Q$4,RawData[[Error Type ]],$Q$5))</f>
        <v/>
      </c>
    </row>
    <row r="20697" spans="15:15" x14ac:dyDescent="0.25">
      <c r="O20697" s="20" t="str">
        <f>IF(N20697="","",COUNTIFS(RawData[[Date ]],N20697,RawData[Month List],$Q$6,RawData[Tour/Site],$Q$2,RawData[[Picker ID ]],$Q$3,RawData[Checker ID],$Q$4,RawData[[Error Type ]],$Q$5))</f>
        <v/>
      </c>
    </row>
    <row r="20698" spans="15:15" x14ac:dyDescent="0.25">
      <c r="O20698" s="20" t="str">
        <f>IF(N20698="","",COUNTIFS(RawData[[Date ]],N20698,RawData[Month List],$Q$6,RawData[Tour/Site],$Q$2,RawData[[Picker ID ]],$Q$3,RawData[Checker ID],$Q$4,RawData[[Error Type ]],$Q$5))</f>
        <v/>
      </c>
    </row>
    <row r="20699" spans="15:15" x14ac:dyDescent="0.25">
      <c r="O20699" s="20" t="str">
        <f>IF(N20699="","",COUNTIFS(RawData[[Date ]],N20699,RawData[Month List],$Q$6,RawData[Tour/Site],$Q$2,RawData[[Picker ID ]],$Q$3,RawData[Checker ID],$Q$4,RawData[[Error Type ]],$Q$5))</f>
        <v/>
      </c>
    </row>
    <row r="20700" spans="15:15" x14ac:dyDescent="0.25">
      <c r="O20700" s="20" t="str">
        <f>IF(N20700="","",COUNTIFS(RawData[[Date ]],N20700,RawData[Month List],$Q$6,RawData[Tour/Site],$Q$2,RawData[[Picker ID ]],$Q$3,RawData[Checker ID],$Q$4,RawData[[Error Type ]],$Q$5))</f>
        <v/>
      </c>
    </row>
    <row r="20701" spans="15:15" x14ac:dyDescent="0.25">
      <c r="O20701" s="20" t="str">
        <f>IF(N20701="","",COUNTIFS(RawData[[Date ]],N20701,RawData[Month List],$Q$6,RawData[Tour/Site],$Q$2,RawData[[Picker ID ]],$Q$3,RawData[Checker ID],$Q$4,RawData[[Error Type ]],$Q$5))</f>
        <v/>
      </c>
    </row>
    <row r="20702" spans="15:15" x14ac:dyDescent="0.25">
      <c r="O20702" s="20" t="str">
        <f>IF(N20702="","",COUNTIFS(RawData[[Date ]],N20702,RawData[Month List],$Q$6,RawData[Tour/Site],$Q$2,RawData[[Picker ID ]],$Q$3,RawData[Checker ID],$Q$4,RawData[[Error Type ]],$Q$5))</f>
        <v/>
      </c>
    </row>
    <row r="20703" spans="15:15" x14ac:dyDescent="0.25">
      <c r="O20703" s="20" t="str">
        <f>IF(N20703="","",COUNTIFS(RawData[[Date ]],N20703,RawData[Month List],$Q$6,RawData[Tour/Site],$Q$2,RawData[[Picker ID ]],$Q$3,RawData[Checker ID],$Q$4,RawData[[Error Type ]],$Q$5))</f>
        <v/>
      </c>
    </row>
    <row r="20704" spans="15:15" x14ac:dyDescent="0.25">
      <c r="O20704" s="20" t="str">
        <f>IF(N20704="","",COUNTIFS(RawData[[Date ]],N20704,RawData[Month List],$Q$6,RawData[Tour/Site],$Q$2,RawData[[Picker ID ]],$Q$3,RawData[Checker ID],$Q$4,RawData[[Error Type ]],$Q$5))</f>
        <v/>
      </c>
    </row>
    <row r="20705" spans="15:15" x14ac:dyDescent="0.25">
      <c r="O20705" s="20" t="str">
        <f>IF(N20705="","",COUNTIFS(RawData[[Date ]],N20705,RawData[Month List],$Q$6,RawData[Tour/Site],$Q$2,RawData[[Picker ID ]],$Q$3,RawData[Checker ID],$Q$4,RawData[[Error Type ]],$Q$5))</f>
        <v/>
      </c>
    </row>
    <row r="20706" spans="15:15" x14ac:dyDescent="0.25">
      <c r="O20706" s="20" t="str">
        <f>IF(N20706="","",COUNTIFS(RawData[[Date ]],N20706,RawData[Month List],$Q$6,RawData[Tour/Site],$Q$2,RawData[[Picker ID ]],$Q$3,RawData[Checker ID],$Q$4,RawData[[Error Type ]],$Q$5))</f>
        <v/>
      </c>
    </row>
    <row r="20707" spans="15:15" x14ac:dyDescent="0.25">
      <c r="O20707" s="20" t="str">
        <f>IF(N20707="","",COUNTIFS(RawData[[Date ]],N20707,RawData[Month List],$Q$6,RawData[Tour/Site],$Q$2,RawData[[Picker ID ]],$Q$3,RawData[Checker ID],$Q$4,RawData[[Error Type ]],$Q$5))</f>
        <v/>
      </c>
    </row>
    <row r="20708" spans="15:15" x14ac:dyDescent="0.25">
      <c r="O20708" s="20" t="str">
        <f>IF(N20708="","",COUNTIFS(RawData[[Date ]],N20708,RawData[Month List],$Q$6,RawData[Tour/Site],$Q$2,RawData[[Picker ID ]],$Q$3,RawData[Checker ID],$Q$4,RawData[[Error Type ]],$Q$5))</f>
        <v/>
      </c>
    </row>
    <row r="20709" spans="15:15" x14ac:dyDescent="0.25">
      <c r="O20709" s="20" t="str">
        <f>IF(N20709="","",COUNTIFS(RawData[[Date ]],N20709,RawData[Month List],$Q$6,RawData[Tour/Site],$Q$2,RawData[[Picker ID ]],$Q$3,RawData[Checker ID],$Q$4,RawData[[Error Type ]],$Q$5))</f>
        <v/>
      </c>
    </row>
    <row r="20710" spans="15:15" x14ac:dyDescent="0.25">
      <c r="O20710" s="20" t="str">
        <f>IF(N20710="","",COUNTIFS(RawData[[Date ]],N20710,RawData[Month List],$Q$6,RawData[Tour/Site],$Q$2,RawData[[Picker ID ]],$Q$3,RawData[Checker ID],$Q$4,RawData[[Error Type ]],$Q$5))</f>
        <v/>
      </c>
    </row>
    <row r="20711" spans="15:15" x14ac:dyDescent="0.25">
      <c r="O20711" s="20" t="str">
        <f>IF(N20711="","",COUNTIFS(RawData[[Date ]],N20711,RawData[Month List],$Q$6,RawData[Tour/Site],$Q$2,RawData[[Picker ID ]],$Q$3,RawData[Checker ID],$Q$4,RawData[[Error Type ]],$Q$5))</f>
        <v/>
      </c>
    </row>
    <row r="20712" spans="15:15" x14ac:dyDescent="0.25">
      <c r="O20712" s="20" t="str">
        <f>IF(N20712="","",COUNTIFS(RawData[[Date ]],N20712,RawData[Month List],$Q$6,RawData[Tour/Site],$Q$2,RawData[[Picker ID ]],$Q$3,RawData[Checker ID],$Q$4,RawData[[Error Type ]],$Q$5))</f>
        <v/>
      </c>
    </row>
    <row r="20713" spans="15:15" x14ac:dyDescent="0.25">
      <c r="O20713" s="20" t="str">
        <f>IF(N20713="","",COUNTIFS(RawData[[Date ]],N20713,RawData[Month List],$Q$6,RawData[Tour/Site],$Q$2,RawData[[Picker ID ]],$Q$3,RawData[Checker ID],$Q$4,RawData[[Error Type ]],$Q$5))</f>
        <v/>
      </c>
    </row>
    <row r="20714" spans="15:15" x14ac:dyDescent="0.25">
      <c r="O20714" s="20" t="str">
        <f>IF(N20714="","",COUNTIFS(RawData[[Date ]],N20714,RawData[Month List],$Q$6,RawData[Tour/Site],$Q$2,RawData[[Picker ID ]],$Q$3,RawData[Checker ID],$Q$4,RawData[[Error Type ]],$Q$5))</f>
        <v/>
      </c>
    </row>
    <row r="20715" spans="15:15" x14ac:dyDescent="0.25">
      <c r="O20715" s="20" t="str">
        <f>IF(N20715="","",COUNTIFS(RawData[[Date ]],N20715,RawData[Month List],$Q$6,RawData[Tour/Site],$Q$2,RawData[[Picker ID ]],$Q$3,RawData[Checker ID],$Q$4,RawData[[Error Type ]],$Q$5))</f>
        <v/>
      </c>
    </row>
    <row r="20716" spans="15:15" x14ac:dyDescent="0.25">
      <c r="O20716" s="20" t="str">
        <f>IF(N20716="","",COUNTIFS(RawData[[Date ]],N20716,RawData[Month List],$Q$6,RawData[Tour/Site],$Q$2,RawData[[Picker ID ]],$Q$3,RawData[Checker ID],$Q$4,RawData[[Error Type ]],$Q$5))</f>
        <v/>
      </c>
    </row>
    <row r="20717" spans="15:15" x14ac:dyDescent="0.25">
      <c r="O20717" s="20" t="str">
        <f>IF(N20717="","",COUNTIFS(RawData[[Date ]],N20717,RawData[Month List],$Q$6,RawData[Tour/Site],$Q$2,RawData[[Picker ID ]],$Q$3,RawData[Checker ID],$Q$4,RawData[[Error Type ]],$Q$5))</f>
        <v/>
      </c>
    </row>
    <row r="20718" spans="15:15" x14ac:dyDescent="0.25">
      <c r="O20718" s="20" t="str">
        <f>IF(N20718="","",COUNTIFS(RawData[[Date ]],N20718,RawData[Month List],$Q$6,RawData[Tour/Site],$Q$2,RawData[[Picker ID ]],$Q$3,RawData[Checker ID],$Q$4,RawData[[Error Type ]],$Q$5))</f>
        <v/>
      </c>
    </row>
    <row r="20719" spans="15:15" x14ac:dyDescent="0.25">
      <c r="O20719" s="20" t="str">
        <f>IF(N20719="","",COUNTIFS(RawData[[Date ]],N20719,RawData[Month List],$Q$6,RawData[Tour/Site],$Q$2,RawData[[Picker ID ]],$Q$3,RawData[Checker ID],$Q$4,RawData[[Error Type ]],$Q$5))</f>
        <v/>
      </c>
    </row>
    <row r="20720" spans="15:15" x14ac:dyDescent="0.25">
      <c r="O20720" s="20" t="str">
        <f>IF(N20720="","",COUNTIFS(RawData[[Date ]],N20720,RawData[Month List],$Q$6,RawData[Tour/Site],$Q$2,RawData[[Picker ID ]],$Q$3,RawData[Checker ID],$Q$4,RawData[[Error Type ]],$Q$5))</f>
        <v/>
      </c>
    </row>
    <row r="20721" spans="15:15" x14ac:dyDescent="0.25">
      <c r="O20721" s="20" t="str">
        <f>IF(N20721="","",COUNTIFS(RawData[[Date ]],N20721,RawData[Month List],$Q$6,RawData[Tour/Site],$Q$2,RawData[[Picker ID ]],$Q$3,RawData[Checker ID],$Q$4,RawData[[Error Type ]],$Q$5))</f>
        <v/>
      </c>
    </row>
    <row r="20722" spans="15:15" x14ac:dyDescent="0.25">
      <c r="O20722" s="20" t="str">
        <f>IF(N20722="","",COUNTIFS(RawData[[Date ]],N20722,RawData[Month List],$Q$6,RawData[Tour/Site],$Q$2,RawData[[Picker ID ]],$Q$3,RawData[Checker ID],$Q$4,RawData[[Error Type ]],$Q$5))</f>
        <v/>
      </c>
    </row>
    <row r="20723" spans="15:15" x14ac:dyDescent="0.25">
      <c r="O20723" s="20" t="str">
        <f>IF(N20723="","",COUNTIFS(RawData[[Date ]],N20723,RawData[Month List],$Q$6,RawData[Tour/Site],$Q$2,RawData[[Picker ID ]],$Q$3,RawData[Checker ID],$Q$4,RawData[[Error Type ]],$Q$5))</f>
        <v/>
      </c>
    </row>
    <row r="20724" spans="15:15" x14ac:dyDescent="0.25">
      <c r="O20724" s="20" t="str">
        <f>IF(N20724="","",COUNTIFS(RawData[[Date ]],N20724,RawData[Month List],$Q$6,RawData[Tour/Site],$Q$2,RawData[[Picker ID ]],$Q$3,RawData[Checker ID],$Q$4,RawData[[Error Type ]],$Q$5))</f>
        <v/>
      </c>
    </row>
    <row r="20725" spans="15:15" x14ac:dyDescent="0.25">
      <c r="O20725" s="20" t="str">
        <f>IF(N20725="","",COUNTIFS(RawData[[Date ]],N20725,RawData[Month List],$Q$6,RawData[Tour/Site],$Q$2,RawData[[Picker ID ]],$Q$3,RawData[Checker ID],$Q$4,RawData[[Error Type ]],$Q$5))</f>
        <v/>
      </c>
    </row>
    <row r="20726" spans="15:15" x14ac:dyDescent="0.25">
      <c r="O20726" s="20" t="str">
        <f>IF(N20726="","",COUNTIFS(RawData[[Date ]],N20726,RawData[Month List],$Q$6,RawData[Tour/Site],$Q$2,RawData[[Picker ID ]],$Q$3,RawData[Checker ID],$Q$4,RawData[[Error Type ]],$Q$5))</f>
        <v/>
      </c>
    </row>
    <row r="20727" spans="15:15" x14ac:dyDescent="0.25">
      <c r="O20727" s="20" t="str">
        <f>IF(N20727="","",COUNTIFS(RawData[[Date ]],N20727,RawData[Month List],$Q$6,RawData[Tour/Site],$Q$2,RawData[[Picker ID ]],$Q$3,RawData[Checker ID],$Q$4,RawData[[Error Type ]],$Q$5))</f>
        <v/>
      </c>
    </row>
    <row r="20728" spans="15:15" x14ac:dyDescent="0.25">
      <c r="O20728" s="20" t="str">
        <f>IF(N20728="","",COUNTIFS(RawData[[Date ]],N20728,RawData[Month List],$Q$6,RawData[Tour/Site],$Q$2,RawData[[Picker ID ]],$Q$3,RawData[Checker ID],$Q$4,RawData[[Error Type ]],$Q$5))</f>
        <v/>
      </c>
    </row>
    <row r="20729" spans="15:15" x14ac:dyDescent="0.25">
      <c r="O20729" s="20" t="str">
        <f>IF(N20729="","",COUNTIFS(RawData[[Date ]],N20729,RawData[Month List],$Q$6,RawData[Tour/Site],$Q$2,RawData[[Picker ID ]],$Q$3,RawData[Checker ID],$Q$4,RawData[[Error Type ]],$Q$5))</f>
        <v/>
      </c>
    </row>
    <row r="20730" spans="15:15" x14ac:dyDescent="0.25">
      <c r="O20730" s="20" t="str">
        <f>IF(N20730="","",COUNTIFS(RawData[[Date ]],N20730,RawData[Month List],$Q$6,RawData[Tour/Site],$Q$2,RawData[[Picker ID ]],$Q$3,RawData[Checker ID],$Q$4,RawData[[Error Type ]],$Q$5))</f>
        <v/>
      </c>
    </row>
    <row r="20731" spans="15:15" x14ac:dyDescent="0.25">
      <c r="O20731" s="20" t="str">
        <f>IF(N20731="","",COUNTIFS(RawData[[Date ]],N20731,RawData[Month List],$Q$6,RawData[Tour/Site],$Q$2,RawData[[Picker ID ]],$Q$3,RawData[Checker ID],$Q$4,RawData[[Error Type ]],$Q$5))</f>
        <v/>
      </c>
    </row>
    <row r="20732" spans="15:15" x14ac:dyDescent="0.25">
      <c r="O20732" s="20" t="str">
        <f>IF(N20732="","",COUNTIFS(RawData[[Date ]],N20732,RawData[Month List],$Q$6,RawData[Tour/Site],$Q$2,RawData[[Picker ID ]],$Q$3,RawData[Checker ID],$Q$4,RawData[[Error Type ]],$Q$5))</f>
        <v/>
      </c>
    </row>
    <row r="20733" spans="15:15" x14ac:dyDescent="0.25">
      <c r="O20733" s="20" t="str">
        <f>IF(N20733="","",COUNTIFS(RawData[[Date ]],N20733,RawData[Month List],$Q$6,RawData[Tour/Site],$Q$2,RawData[[Picker ID ]],$Q$3,RawData[Checker ID],$Q$4,RawData[[Error Type ]],$Q$5))</f>
        <v/>
      </c>
    </row>
    <row r="20734" spans="15:15" x14ac:dyDescent="0.25">
      <c r="O20734" s="20" t="str">
        <f>IF(N20734="","",COUNTIFS(RawData[[Date ]],N20734,RawData[Month List],$Q$6,RawData[Tour/Site],$Q$2,RawData[[Picker ID ]],$Q$3,RawData[Checker ID],$Q$4,RawData[[Error Type ]],$Q$5))</f>
        <v/>
      </c>
    </row>
    <row r="20735" spans="15:15" x14ac:dyDescent="0.25">
      <c r="O20735" s="20" t="str">
        <f>IF(N20735="","",COUNTIFS(RawData[[Date ]],N20735,RawData[Month List],$Q$6,RawData[Tour/Site],$Q$2,RawData[[Picker ID ]],$Q$3,RawData[Checker ID],$Q$4,RawData[[Error Type ]],$Q$5))</f>
        <v/>
      </c>
    </row>
    <row r="20736" spans="15:15" x14ac:dyDescent="0.25">
      <c r="O20736" s="20" t="str">
        <f>IF(N20736="","",COUNTIFS(RawData[[Date ]],N20736,RawData[Month List],$Q$6,RawData[Tour/Site],$Q$2,RawData[[Picker ID ]],$Q$3,RawData[Checker ID],$Q$4,RawData[[Error Type ]],$Q$5))</f>
        <v/>
      </c>
    </row>
    <row r="20737" spans="15:15" x14ac:dyDescent="0.25">
      <c r="O20737" s="20" t="str">
        <f>IF(N20737="","",COUNTIFS(RawData[[Date ]],N20737,RawData[Month List],$Q$6,RawData[Tour/Site],$Q$2,RawData[[Picker ID ]],$Q$3,RawData[Checker ID],$Q$4,RawData[[Error Type ]],$Q$5))</f>
        <v/>
      </c>
    </row>
    <row r="20738" spans="15:15" x14ac:dyDescent="0.25">
      <c r="O20738" s="20" t="str">
        <f>IF(N20738="","",COUNTIFS(RawData[[Date ]],N20738,RawData[Month List],$Q$6,RawData[Tour/Site],$Q$2,RawData[[Picker ID ]],$Q$3,RawData[Checker ID],$Q$4,RawData[[Error Type ]],$Q$5))</f>
        <v/>
      </c>
    </row>
    <row r="20739" spans="15:15" x14ac:dyDescent="0.25">
      <c r="O20739" s="20" t="str">
        <f>IF(N20739="","",COUNTIFS(RawData[[Date ]],N20739,RawData[Month List],$Q$6,RawData[Tour/Site],$Q$2,RawData[[Picker ID ]],$Q$3,RawData[Checker ID],$Q$4,RawData[[Error Type ]],$Q$5))</f>
        <v/>
      </c>
    </row>
    <row r="20740" spans="15:15" x14ac:dyDescent="0.25">
      <c r="O20740" s="20" t="str">
        <f>IF(N20740="","",COUNTIFS(RawData[[Date ]],N20740,RawData[Month List],$Q$6,RawData[Tour/Site],$Q$2,RawData[[Picker ID ]],$Q$3,RawData[Checker ID],$Q$4,RawData[[Error Type ]],$Q$5))</f>
        <v/>
      </c>
    </row>
    <row r="20741" spans="15:15" x14ac:dyDescent="0.25">
      <c r="O20741" s="20" t="str">
        <f>IF(N20741="","",COUNTIFS(RawData[[Date ]],N20741,RawData[Month List],$Q$6,RawData[Tour/Site],$Q$2,RawData[[Picker ID ]],$Q$3,RawData[Checker ID],$Q$4,RawData[[Error Type ]],$Q$5))</f>
        <v/>
      </c>
    </row>
    <row r="20742" spans="15:15" x14ac:dyDescent="0.25">
      <c r="O20742" s="20" t="str">
        <f>IF(N20742="","",COUNTIFS(RawData[[Date ]],N20742,RawData[Month List],$Q$6,RawData[Tour/Site],$Q$2,RawData[[Picker ID ]],$Q$3,RawData[Checker ID],$Q$4,RawData[[Error Type ]],$Q$5))</f>
        <v/>
      </c>
    </row>
    <row r="20743" spans="15:15" x14ac:dyDescent="0.25">
      <c r="O20743" s="20" t="str">
        <f>IF(N20743="","",COUNTIFS(RawData[[Date ]],N20743,RawData[Month List],$Q$6,RawData[Tour/Site],$Q$2,RawData[[Picker ID ]],$Q$3,RawData[Checker ID],$Q$4,RawData[[Error Type ]],$Q$5))</f>
        <v/>
      </c>
    </row>
    <row r="20744" spans="15:15" x14ac:dyDescent="0.25">
      <c r="O20744" s="20" t="str">
        <f>IF(N20744="","",COUNTIFS(RawData[[Date ]],N20744,RawData[Month List],$Q$6,RawData[Tour/Site],$Q$2,RawData[[Picker ID ]],$Q$3,RawData[Checker ID],$Q$4,RawData[[Error Type ]],$Q$5))</f>
        <v/>
      </c>
    </row>
    <row r="20745" spans="15:15" x14ac:dyDescent="0.25">
      <c r="O20745" s="20" t="str">
        <f>IF(N20745="","",COUNTIFS(RawData[[Date ]],N20745,RawData[Month List],$Q$6,RawData[Tour/Site],$Q$2,RawData[[Picker ID ]],$Q$3,RawData[Checker ID],$Q$4,RawData[[Error Type ]],$Q$5))</f>
        <v/>
      </c>
    </row>
    <row r="20746" spans="15:15" x14ac:dyDescent="0.25">
      <c r="O20746" s="20" t="str">
        <f>IF(N20746="","",COUNTIFS(RawData[[Date ]],N20746,RawData[Month List],$Q$6,RawData[Tour/Site],$Q$2,RawData[[Picker ID ]],$Q$3,RawData[Checker ID],$Q$4,RawData[[Error Type ]],$Q$5))</f>
        <v/>
      </c>
    </row>
    <row r="20747" spans="15:15" x14ac:dyDescent="0.25">
      <c r="O20747" s="20" t="str">
        <f>IF(N20747="","",COUNTIFS(RawData[[Date ]],N20747,RawData[Month List],$Q$6,RawData[Tour/Site],$Q$2,RawData[[Picker ID ]],$Q$3,RawData[Checker ID],$Q$4,RawData[[Error Type ]],$Q$5))</f>
        <v/>
      </c>
    </row>
    <row r="20748" spans="15:15" x14ac:dyDescent="0.25">
      <c r="O20748" s="20" t="str">
        <f>IF(N20748="","",COUNTIFS(RawData[[Date ]],N20748,RawData[Month List],$Q$6,RawData[Tour/Site],$Q$2,RawData[[Picker ID ]],$Q$3,RawData[Checker ID],$Q$4,RawData[[Error Type ]],$Q$5))</f>
        <v/>
      </c>
    </row>
    <row r="20749" spans="15:15" x14ac:dyDescent="0.25">
      <c r="O20749" s="20" t="str">
        <f>IF(N20749="","",COUNTIFS(RawData[[Date ]],N20749,RawData[Month List],$Q$6,RawData[Tour/Site],$Q$2,RawData[[Picker ID ]],$Q$3,RawData[Checker ID],$Q$4,RawData[[Error Type ]],$Q$5))</f>
        <v/>
      </c>
    </row>
    <row r="20750" spans="15:15" x14ac:dyDescent="0.25">
      <c r="O20750" s="20" t="str">
        <f>IF(N20750="","",COUNTIFS(RawData[[Date ]],N20750,RawData[Month List],$Q$6,RawData[Tour/Site],$Q$2,RawData[[Picker ID ]],$Q$3,RawData[Checker ID],$Q$4,RawData[[Error Type ]],$Q$5))</f>
        <v/>
      </c>
    </row>
    <row r="20751" spans="15:15" x14ac:dyDescent="0.25">
      <c r="O20751" s="20" t="str">
        <f>IF(N20751="","",COUNTIFS(RawData[[Date ]],N20751,RawData[Month List],$Q$6,RawData[Tour/Site],$Q$2,RawData[[Picker ID ]],$Q$3,RawData[Checker ID],$Q$4,RawData[[Error Type ]],$Q$5))</f>
        <v/>
      </c>
    </row>
    <row r="20752" spans="15:15" x14ac:dyDescent="0.25">
      <c r="O20752" s="20" t="str">
        <f>IF(N20752="","",COUNTIFS(RawData[[Date ]],N20752,RawData[Month List],$Q$6,RawData[Tour/Site],$Q$2,RawData[[Picker ID ]],$Q$3,RawData[Checker ID],$Q$4,RawData[[Error Type ]],$Q$5))</f>
        <v/>
      </c>
    </row>
    <row r="20753" spans="15:15" x14ac:dyDescent="0.25">
      <c r="O20753" s="20" t="str">
        <f>IF(N20753="","",COUNTIFS(RawData[[Date ]],N20753,RawData[Month List],$Q$6,RawData[Tour/Site],$Q$2,RawData[[Picker ID ]],$Q$3,RawData[Checker ID],$Q$4,RawData[[Error Type ]],$Q$5))</f>
        <v/>
      </c>
    </row>
    <row r="20754" spans="15:15" x14ac:dyDescent="0.25">
      <c r="O20754" s="20" t="str">
        <f>IF(N20754="","",COUNTIFS(RawData[[Date ]],N20754,RawData[Month List],$Q$6,RawData[Tour/Site],$Q$2,RawData[[Picker ID ]],$Q$3,RawData[Checker ID],$Q$4,RawData[[Error Type ]],$Q$5))</f>
        <v/>
      </c>
    </row>
    <row r="20755" spans="15:15" x14ac:dyDescent="0.25">
      <c r="O20755" s="20" t="str">
        <f>IF(N20755="","",COUNTIFS(RawData[[Date ]],N20755,RawData[Month List],$Q$6,RawData[Tour/Site],$Q$2,RawData[[Picker ID ]],$Q$3,RawData[Checker ID],$Q$4,RawData[[Error Type ]],$Q$5))</f>
        <v/>
      </c>
    </row>
    <row r="20756" spans="15:15" x14ac:dyDescent="0.25">
      <c r="O20756" s="20" t="str">
        <f>IF(N20756="","",COUNTIFS(RawData[[Date ]],N20756,RawData[Month List],$Q$6,RawData[Tour/Site],$Q$2,RawData[[Picker ID ]],$Q$3,RawData[Checker ID],$Q$4,RawData[[Error Type ]],$Q$5))</f>
        <v/>
      </c>
    </row>
    <row r="20757" spans="15:15" x14ac:dyDescent="0.25">
      <c r="O20757" s="20" t="str">
        <f>IF(N20757="","",COUNTIFS(RawData[[Date ]],N20757,RawData[Month List],$Q$6,RawData[Tour/Site],$Q$2,RawData[[Picker ID ]],$Q$3,RawData[Checker ID],$Q$4,RawData[[Error Type ]],$Q$5))</f>
        <v/>
      </c>
    </row>
    <row r="20758" spans="15:15" x14ac:dyDescent="0.25">
      <c r="O20758" s="20" t="str">
        <f>IF(N20758="","",COUNTIFS(RawData[[Date ]],N20758,RawData[Month List],$Q$6,RawData[Tour/Site],$Q$2,RawData[[Picker ID ]],$Q$3,RawData[Checker ID],$Q$4,RawData[[Error Type ]],$Q$5))</f>
        <v/>
      </c>
    </row>
    <row r="20759" spans="15:15" x14ac:dyDescent="0.25">
      <c r="O20759" s="20" t="str">
        <f>IF(N20759="","",COUNTIFS(RawData[[Date ]],N20759,RawData[Month List],$Q$6,RawData[Tour/Site],$Q$2,RawData[[Picker ID ]],$Q$3,RawData[Checker ID],$Q$4,RawData[[Error Type ]],$Q$5))</f>
        <v/>
      </c>
    </row>
    <row r="20760" spans="15:15" x14ac:dyDescent="0.25">
      <c r="O20760" s="20" t="str">
        <f>IF(N20760="","",COUNTIFS(RawData[[Date ]],N20760,RawData[Month List],$Q$6,RawData[Tour/Site],$Q$2,RawData[[Picker ID ]],$Q$3,RawData[Checker ID],$Q$4,RawData[[Error Type ]],$Q$5))</f>
        <v/>
      </c>
    </row>
    <row r="20761" spans="15:15" x14ac:dyDescent="0.25">
      <c r="O20761" s="20" t="str">
        <f>IF(N20761="","",COUNTIFS(RawData[[Date ]],N20761,RawData[Month List],$Q$6,RawData[Tour/Site],$Q$2,RawData[[Picker ID ]],$Q$3,RawData[Checker ID],$Q$4,RawData[[Error Type ]],$Q$5))</f>
        <v/>
      </c>
    </row>
    <row r="20762" spans="15:15" x14ac:dyDescent="0.25">
      <c r="O20762" s="20" t="str">
        <f>IF(N20762="","",COUNTIFS(RawData[[Date ]],N20762,RawData[Month List],$Q$6,RawData[Tour/Site],$Q$2,RawData[[Picker ID ]],$Q$3,RawData[Checker ID],$Q$4,RawData[[Error Type ]],$Q$5))</f>
        <v/>
      </c>
    </row>
    <row r="20763" spans="15:15" x14ac:dyDescent="0.25">
      <c r="O20763" s="20" t="str">
        <f>IF(N20763="","",COUNTIFS(RawData[[Date ]],N20763,RawData[Month List],$Q$6,RawData[Tour/Site],$Q$2,RawData[[Picker ID ]],$Q$3,RawData[Checker ID],$Q$4,RawData[[Error Type ]],$Q$5))</f>
        <v/>
      </c>
    </row>
    <row r="20764" spans="15:15" x14ac:dyDescent="0.25">
      <c r="O20764" s="20" t="str">
        <f>IF(N20764="","",COUNTIFS(RawData[[Date ]],N20764,RawData[Month List],$Q$6,RawData[Tour/Site],$Q$2,RawData[[Picker ID ]],$Q$3,RawData[Checker ID],$Q$4,RawData[[Error Type ]],$Q$5))</f>
        <v/>
      </c>
    </row>
    <row r="20765" spans="15:15" x14ac:dyDescent="0.25">
      <c r="O20765" s="20" t="str">
        <f>IF(N20765="","",COUNTIFS(RawData[[Date ]],N20765,RawData[Month List],$Q$6,RawData[Tour/Site],$Q$2,RawData[[Picker ID ]],$Q$3,RawData[Checker ID],$Q$4,RawData[[Error Type ]],$Q$5))</f>
        <v/>
      </c>
    </row>
    <row r="20766" spans="15:15" x14ac:dyDescent="0.25">
      <c r="O20766" s="20" t="str">
        <f>IF(N20766="","",COUNTIFS(RawData[[Date ]],N20766,RawData[Month List],$Q$6,RawData[Tour/Site],$Q$2,RawData[[Picker ID ]],$Q$3,RawData[Checker ID],$Q$4,RawData[[Error Type ]],$Q$5))</f>
        <v/>
      </c>
    </row>
    <row r="20767" spans="15:15" x14ac:dyDescent="0.25">
      <c r="O20767" s="20" t="str">
        <f>IF(N20767="","",COUNTIFS(RawData[[Date ]],N20767,RawData[Month List],$Q$6,RawData[Tour/Site],$Q$2,RawData[[Picker ID ]],$Q$3,RawData[Checker ID],$Q$4,RawData[[Error Type ]],$Q$5))</f>
        <v/>
      </c>
    </row>
    <row r="20768" spans="15:15" x14ac:dyDescent="0.25">
      <c r="O20768" s="20" t="str">
        <f>IF(N20768="","",COUNTIFS(RawData[[Date ]],N20768,RawData[Month List],$Q$6,RawData[Tour/Site],$Q$2,RawData[[Picker ID ]],$Q$3,RawData[Checker ID],$Q$4,RawData[[Error Type ]],$Q$5))</f>
        <v/>
      </c>
    </row>
    <row r="20769" spans="15:15" x14ac:dyDescent="0.25">
      <c r="O20769" s="20" t="str">
        <f>IF(N20769="","",COUNTIFS(RawData[[Date ]],N20769,RawData[Month List],$Q$6,RawData[Tour/Site],$Q$2,RawData[[Picker ID ]],$Q$3,RawData[Checker ID],$Q$4,RawData[[Error Type ]],$Q$5))</f>
        <v/>
      </c>
    </row>
    <row r="20770" spans="15:15" x14ac:dyDescent="0.25">
      <c r="O20770" s="20" t="str">
        <f>IF(N20770="","",COUNTIFS(RawData[[Date ]],N20770,RawData[Month List],$Q$6,RawData[Tour/Site],$Q$2,RawData[[Picker ID ]],$Q$3,RawData[Checker ID],$Q$4,RawData[[Error Type ]],$Q$5))</f>
        <v/>
      </c>
    </row>
    <row r="20771" spans="15:15" x14ac:dyDescent="0.25">
      <c r="O20771" s="20" t="str">
        <f>IF(N20771="","",COUNTIFS(RawData[[Date ]],N20771,RawData[Month List],$Q$6,RawData[Tour/Site],$Q$2,RawData[[Picker ID ]],$Q$3,RawData[Checker ID],$Q$4,RawData[[Error Type ]],$Q$5))</f>
        <v/>
      </c>
    </row>
    <row r="20772" spans="15:15" x14ac:dyDescent="0.25">
      <c r="O20772" s="20" t="str">
        <f>IF(N20772="","",COUNTIFS(RawData[[Date ]],N20772,RawData[Month List],$Q$6,RawData[Tour/Site],$Q$2,RawData[[Picker ID ]],$Q$3,RawData[Checker ID],$Q$4,RawData[[Error Type ]],$Q$5))</f>
        <v/>
      </c>
    </row>
    <row r="20773" spans="15:15" x14ac:dyDescent="0.25">
      <c r="O20773" s="20" t="str">
        <f>IF(N20773="","",COUNTIFS(RawData[[Date ]],N20773,RawData[Month List],$Q$6,RawData[Tour/Site],$Q$2,RawData[[Picker ID ]],$Q$3,RawData[Checker ID],$Q$4,RawData[[Error Type ]],$Q$5))</f>
        <v/>
      </c>
    </row>
    <row r="20774" spans="15:15" x14ac:dyDescent="0.25">
      <c r="O20774" s="20" t="str">
        <f>IF(N20774="","",COUNTIFS(RawData[[Date ]],N20774,RawData[Month List],$Q$6,RawData[Tour/Site],$Q$2,RawData[[Picker ID ]],$Q$3,RawData[Checker ID],$Q$4,RawData[[Error Type ]],$Q$5))</f>
        <v/>
      </c>
    </row>
    <row r="20775" spans="15:15" x14ac:dyDescent="0.25">
      <c r="O20775" s="20" t="str">
        <f>IF(N20775="","",COUNTIFS(RawData[[Date ]],N20775,RawData[Month List],$Q$6,RawData[Tour/Site],$Q$2,RawData[[Picker ID ]],$Q$3,RawData[Checker ID],$Q$4,RawData[[Error Type ]],$Q$5))</f>
        <v/>
      </c>
    </row>
    <row r="20776" spans="15:15" x14ac:dyDescent="0.25">
      <c r="O20776" s="20" t="str">
        <f>IF(N20776="","",COUNTIFS(RawData[[Date ]],N20776,RawData[Month List],$Q$6,RawData[Tour/Site],$Q$2,RawData[[Picker ID ]],$Q$3,RawData[Checker ID],$Q$4,RawData[[Error Type ]],$Q$5))</f>
        <v/>
      </c>
    </row>
    <row r="20777" spans="15:15" x14ac:dyDescent="0.25">
      <c r="O20777" s="20" t="str">
        <f>IF(N20777="","",COUNTIFS(RawData[[Date ]],N20777,RawData[Month List],$Q$6,RawData[Tour/Site],$Q$2,RawData[[Picker ID ]],$Q$3,RawData[Checker ID],$Q$4,RawData[[Error Type ]],$Q$5))</f>
        <v/>
      </c>
    </row>
    <row r="20778" spans="15:15" x14ac:dyDescent="0.25">
      <c r="O20778" s="20" t="str">
        <f>IF(N20778="","",COUNTIFS(RawData[[Date ]],N20778,RawData[Month List],$Q$6,RawData[Tour/Site],$Q$2,RawData[[Picker ID ]],$Q$3,RawData[Checker ID],$Q$4,RawData[[Error Type ]],$Q$5))</f>
        <v/>
      </c>
    </row>
    <row r="20779" spans="15:15" x14ac:dyDescent="0.25">
      <c r="O20779" s="20" t="str">
        <f>IF(N20779="","",COUNTIFS(RawData[[Date ]],N20779,RawData[Month List],$Q$6,RawData[Tour/Site],$Q$2,RawData[[Picker ID ]],$Q$3,RawData[Checker ID],$Q$4,RawData[[Error Type ]],$Q$5))</f>
        <v/>
      </c>
    </row>
    <row r="20780" spans="15:15" x14ac:dyDescent="0.25">
      <c r="O20780" s="20" t="str">
        <f>IF(N20780="","",COUNTIFS(RawData[[Date ]],N20780,RawData[Month List],$Q$6,RawData[Tour/Site],$Q$2,RawData[[Picker ID ]],$Q$3,RawData[Checker ID],$Q$4,RawData[[Error Type ]],$Q$5))</f>
        <v/>
      </c>
    </row>
    <row r="20781" spans="15:15" x14ac:dyDescent="0.25">
      <c r="O20781" s="20" t="str">
        <f>IF(N20781="","",COUNTIFS(RawData[[Date ]],N20781,RawData[Month List],$Q$6,RawData[Tour/Site],$Q$2,RawData[[Picker ID ]],$Q$3,RawData[Checker ID],$Q$4,RawData[[Error Type ]],$Q$5))</f>
        <v/>
      </c>
    </row>
    <row r="20782" spans="15:15" x14ac:dyDescent="0.25">
      <c r="O20782" s="20" t="str">
        <f>IF(N20782="","",COUNTIFS(RawData[[Date ]],N20782,RawData[Month List],$Q$6,RawData[Tour/Site],$Q$2,RawData[[Picker ID ]],$Q$3,RawData[Checker ID],$Q$4,RawData[[Error Type ]],$Q$5))</f>
        <v/>
      </c>
    </row>
    <row r="20783" spans="15:15" x14ac:dyDescent="0.25">
      <c r="O20783" s="20" t="str">
        <f>IF(N20783="","",COUNTIFS(RawData[[Date ]],N20783,RawData[Month List],$Q$6,RawData[Tour/Site],$Q$2,RawData[[Picker ID ]],$Q$3,RawData[Checker ID],$Q$4,RawData[[Error Type ]],$Q$5))</f>
        <v/>
      </c>
    </row>
    <row r="20784" spans="15:15" x14ac:dyDescent="0.25">
      <c r="O20784" s="20" t="str">
        <f>IF(N20784="","",COUNTIFS(RawData[[Date ]],N20784,RawData[Month List],$Q$6,RawData[Tour/Site],$Q$2,RawData[[Picker ID ]],$Q$3,RawData[Checker ID],$Q$4,RawData[[Error Type ]],$Q$5))</f>
        <v/>
      </c>
    </row>
    <row r="20785" spans="15:15" x14ac:dyDescent="0.25">
      <c r="O20785" s="20" t="str">
        <f>IF(N20785="","",COUNTIFS(RawData[[Date ]],N20785,RawData[Month List],$Q$6,RawData[Tour/Site],$Q$2,RawData[[Picker ID ]],$Q$3,RawData[Checker ID],$Q$4,RawData[[Error Type ]],$Q$5))</f>
        <v/>
      </c>
    </row>
    <row r="20786" spans="15:15" x14ac:dyDescent="0.25">
      <c r="O20786" s="20" t="str">
        <f>IF(N20786="","",COUNTIFS(RawData[[Date ]],N20786,RawData[Month List],$Q$6,RawData[Tour/Site],$Q$2,RawData[[Picker ID ]],$Q$3,RawData[Checker ID],$Q$4,RawData[[Error Type ]],$Q$5))</f>
        <v/>
      </c>
    </row>
    <row r="20787" spans="15:15" x14ac:dyDescent="0.25">
      <c r="O20787" s="20" t="str">
        <f>IF(N20787="","",COUNTIFS(RawData[[Date ]],N20787,RawData[Month List],$Q$6,RawData[Tour/Site],$Q$2,RawData[[Picker ID ]],$Q$3,RawData[Checker ID],$Q$4,RawData[[Error Type ]],$Q$5))</f>
        <v/>
      </c>
    </row>
    <row r="20788" spans="15:15" x14ac:dyDescent="0.25">
      <c r="O20788" s="20" t="str">
        <f>IF(N20788="","",COUNTIFS(RawData[[Date ]],N20788,RawData[Month List],$Q$6,RawData[Tour/Site],$Q$2,RawData[[Picker ID ]],$Q$3,RawData[Checker ID],$Q$4,RawData[[Error Type ]],$Q$5))</f>
        <v/>
      </c>
    </row>
    <row r="20789" spans="15:15" x14ac:dyDescent="0.25">
      <c r="O20789" s="20" t="str">
        <f>IF(N20789="","",COUNTIFS(RawData[[Date ]],N20789,RawData[Month List],$Q$6,RawData[Tour/Site],$Q$2,RawData[[Picker ID ]],$Q$3,RawData[Checker ID],$Q$4,RawData[[Error Type ]],$Q$5))</f>
        <v/>
      </c>
    </row>
    <row r="20790" spans="15:15" x14ac:dyDescent="0.25">
      <c r="O20790" s="20" t="str">
        <f>IF(N20790="","",COUNTIFS(RawData[[Date ]],N20790,RawData[Month List],$Q$6,RawData[Tour/Site],$Q$2,RawData[[Picker ID ]],$Q$3,RawData[Checker ID],$Q$4,RawData[[Error Type ]],$Q$5))</f>
        <v/>
      </c>
    </row>
    <row r="20791" spans="15:15" x14ac:dyDescent="0.25">
      <c r="O20791" s="20" t="str">
        <f>IF(N20791="","",COUNTIFS(RawData[[Date ]],N20791,RawData[Month List],$Q$6,RawData[Tour/Site],$Q$2,RawData[[Picker ID ]],$Q$3,RawData[Checker ID],$Q$4,RawData[[Error Type ]],$Q$5))</f>
        <v/>
      </c>
    </row>
    <row r="20792" spans="15:15" x14ac:dyDescent="0.25">
      <c r="O20792" s="20" t="str">
        <f>IF(N20792="","",COUNTIFS(RawData[[Date ]],N20792,RawData[Month List],$Q$6,RawData[Tour/Site],$Q$2,RawData[[Picker ID ]],$Q$3,RawData[Checker ID],$Q$4,RawData[[Error Type ]],$Q$5))</f>
        <v/>
      </c>
    </row>
    <row r="20793" spans="15:15" x14ac:dyDescent="0.25">
      <c r="O20793" s="20" t="str">
        <f>IF(N20793="","",COUNTIFS(RawData[[Date ]],N20793,RawData[Month List],$Q$6,RawData[Tour/Site],$Q$2,RawData[[Picker ID ]],$Q$3,RawData[Checker ID],$Q$4,RawData[[Error Type ]],$Q$5))</f>
        <v/>
      </c>
    </row>
    <row r="20794" spans="15:15" x14ac:dyDescent="0.25">
      <c r="O20794" s="20" t="str">
        <f>IF(N20794="","",COUNTIFS(RawData[[Date ]],N20794,RawData[Month List],$Q$6,RawData[Tour/Site],$Q$2,RawData[[Picker ID ]],$Q$3,RawData[Checker ID],$Q$4,RawData[[Error Type ]],$Q$5))</f>
        <v/>
      </c>
    </row>
    <row r="20795" spans="15:15" x14ac:dyDescent="0.25">
      <c r="O20795" s="20" t="str">
        <f>IF(N20795="","",COUNTIFS(RawData[[Date ]],N20795,RawData[Month List],$Q$6,RawData[Tour/Site],$Q$2,RawData[[Picker ID ]],$Q$3,RawData[Checker ID],$Q$4,RawData[[Error Type ]],$Q$5))</f>
        <v/>
      </c>
    </row>
    <row r="20796" spans="15:15" x14ac:dyDescent="0.25">
      <c r="O20796" s="20" t="str">
        <f>IF(N20796="","",COUNTIFS(RawData[[Date ]],N20796,RawData[Month List],$Q$6,RawData[Tour/Site],$Q$2,RawData[[Picker ID ]],$Q$3,RawData[Checker ID],$Q$4,RawData[[Error Type ]],$Q$5))</f>
        <v/>
      </c>
    </row>
    <row r="20797" spans="15:15" x14ac:dyDescent="0.25">
      <c r="O20797" s="20" t="str">
        <f>IF(N20797="","",COUNTIFS(RawData[[Date ]],N20797,RawData[Month List],$Q$6,RawData[Tour/Site],$Q$2,RawData[[Picker ID ]],$Q$3,RawData[Checker ID],$Q$4,RawData[[Error Type ]],$Q$5))</f>
        <v/>
      </c>
    </row>
    <row r="20798" spans="15:15" x14ac:dyDescent="0.25">
      <c r="O20798" s="20" t="str">
        <f>IF(N20798="","",COUNTIFS(RawData[[Date ]],N20798,RawData[Month List],$Q$6,RawData[Tour/Site],$Q$2,RawData[[Picker ID ]],$Q$3,RawData[Checker ID],$Q$4,RawData[[Error Type ]],$Q$5))</f>
        <v/>
      </c>
    </row>
    <row r="20799" spans="15:15" x14ac:dyDescent="0.25">
      <c r="O20799" s="20" t="str">
        <f>IF(N20799="","",COUNTIFS(RawData[[Date ]],N20799,RawData[Month List],$Q$6,RawData[Tour/Site],$Q$2,RawData[[Picker ID ]],$Q$3,RawData[Checker ID],$Q$4,RawData[[Error Type ]],$Q$5))</f>
        <v/>
      </c>
    </row>
    <row r="20800" spans="15:15" x14ac:dyDescent="0.25">
      <c r="O20800" s="20" t="str">
        <f>IF(N20800="","",COUNTIFS(RawData[[Date ]],N20800,RawData[Month List],$Q$6,RawData[Tour/Site],$Q$2,RawData[[Picker ID ]],$Q$3,RawData[Checker ID],$Q$4,RawData[[Error Type ]],$Q$5))</f>
        <v/>
      </c>
    </row>
    <row r="20801" spans="15:15" x14ac:dyDescent="0.25">
      <c r="O20801" s="20" t="str">
        <f>IF(N20801="","",COUNTIFS(RawData[[Date ]],N20801,RawData[Month List],$Q$6,RawData[Tour/Site],$Q$2,RawData[[Picker ID ]],$Q$3,RawData[Checker ID],$Q$4,RawData[[Error Type ]],$Q$5))</f>
        <v/>
      </c>
    </row>
    <row r="20802" spans="15:15" x14ac:dyDescent="0.25">
      <c r="O20802" s="20" t="str">
        <f>IF(N20802="","",COUNTIFS(RawData[[Date ]],N20802,RawData[Month List],$Q$6,RawData[Tour/Site],$Q$2,RawData[[Picker ID ]],$Q$3,RawData[Checker ID],$Q$4,RawData[[Error Type ]],$Q$5))</f>
        <v/>
      </c>
    </row>
    <row r="20803" spans="15:15" x14ac:dyDescent="0.25">
      <c r="O20803" s="20" t="str">
        <f>IF(N20803="","",COUNTIFS(RawData[[Date ]],N20803,RawData[Month List],$Q$6,RawData[Tour/Site],$Q$2,RawData[[Picker ID ]],$Q$3,RawData[Checker ID],$Q$4,RawData[[Error Type ]],$Q$5))</f>
        <v/>
      </c>
    </row>
    <row r="20804" spans="15:15" x14ac:dyDescent="0.25">
      <c r="O20804" s="20" t="str">
        <f>IF(N20804="","",COUNTIFS(RawData[[Date ]],N20804,RawData[Month List],$Q$6,RawData[Tour/Site],$Q$2,RawData[[Picker ID ]],$Q$3,RawData[Checker ID],$Q$4,RawData[[Error Type ]],$Q$5))</f>
        <v/>
      </c>
    </row>
    <row r="20805" spans="15:15" x14ac:dyDescent="0.25">
      <c r="O20805" s="20" t="str">
        <f>IF(N20805="","",COUNTIFS(RawData[[Date ]],N20805,RawData[Month List],$Q$6,RawData[Tour/Site],$Q$2,RawData[[Picker ID ]],$Q$3,RawData[Checker ID],$Q$4,RawData[[Error Type ]],$Q$5))</f>
        <v/>
      </c>
    </row>
    <row r="20806" spans="15:15" x14ac:dyDescent="0.25">
      <c r="O20806" s="20" t="str">
        <f>IF(N20806="","",COUNTIFS(RawData[[Date ]],N20806,RawData[Month List],$Q$6,RawData[Tour/Site],$Q$2,RawData[[Picker ID ]],$Q$3,RawData[Checker ID],$Q$4,RawData[[Error Type ]],$Q$5))</f>
        <v/>
      </c>
    </row>
    <row r="20807" spans="15:15" x14ac:dyDescent="0.25">
      <c r="O20807" s="20" t="str">
        <f>IF(N20807="","",COUNTIFS(RawData[[Date ]],N20807,RawData[Month List],$Q$6,RawData[Tour/Site],$Q$2,RawData[[Picker ID ]],$Q$3,RawData[Checker ID],$Q$4,RawData[[Error Type ]],$Q$5))</f>
        <v/>
      </c>
    </row>
    <row r="20808" spans="15:15" x14ac:dyDescent="0.25">
      <c r="O20808" s="20" t="str">
        <f>IF(N20808="","",COUNTIFS(RawData[[Date ]],N20808,RawData[Month List],$Q$6,RawData[Tour/Site],$Q$2,RawData[[Picker ID ]],$Q$3,RawData[Checker ID],$Q$4,RawData[[Error Type ]],$Q$5))</f>
        <v/>
      </c>
    </row>
    <row r="20809" spans="15:15" x14ac:dyDescent="0.25">
      <c r="O20809" s="20" t="str">
        <f>IF(N20809="","",COUNTIFS(RawData[[Date ]],N20809,RawData[Month List],$Q$6,RawData[Tour/Site],$Q$2,RawData[[Picker ID ]],$Q$3,RawData[Checker ID],$Q$4,RawData[[Error Type ]],$Q$5))</f>
        <v/>
      </c>
    </row>
    <row r="20810" spans="15:15" x14ac:dyDescent="0.25">
      <c r="O20810" s="20" t="str">
        <f>IF(N20810="","",COUNTIFS(RawData[[Date ]],N20810,RawData[Month List],$Q$6,RawData[Tour/Site],$Q$2,RawData[[Picker ID ]],$Q$3,RawData[Checker ID],$Q$4,RawData[[Error Type ]],$Q$5))</f>
        <v/>
      </c>
    </row>
    <row r="20811" spans="15:15" x14ac:dyDescent="0.25">
      <c r="O20811" s="20" t="str">
        <f>IF(N20811="","",COUNTIFS(RawData[[Date ]],N20811,RawData[Month List],$Q$6,RawData[Tour/Site],$Q$2,RawData[[Picker ID ]],$Q$3,RawData[Checker ID],$Q$4,RawData[[Error Type ]],$Q$5))</f>
        <v/>
      </c>
    </row>
    <row r="20812" spans="15:15" x14ac:dyDescent="0.25">
      <c r="O20812" s="20" t="str">
        <f>IF(N20812="","",COUNTIFS(RawData[[Date ]],N20812,RawData[Month List],$Q$6,RawData[Tour/Site],$Q$2,RawData[[Picker ID ]],$Q$3,RawData[Checker ID],$Q$4,RawData[[Error Type ]],$Q$5))</f>
        <v/>
      </c>
    </row>
    <row r="20813" spans="15:15" x14ac:dyDescent="0.25">
      <c r="O20813" s="20" t="str">
        <f>IF(N20813="","",COUNTIFS(RawData[[Date ]],N20813,RawData[Month List],$Q$6,RawData[Tour/Site],$Q$2,RawData[[Picker ID ]],$Q$3,RawData[Checker ID],$Q$4,RawData[[Error Type ]],$Q$5))</f>
        <v/>
      </c>
    </row>
    <row r="20814" spans="15:15" x14ac:dyDescent="0.25">
      <c r="O20814" s="20" t="str">
        <f>IF(N20814="","",COUNTIFS(RawData[[Date ]],N20814,RawData[Month List],$Q$6,RawData[Tour/Site],$Q$2,RawData[[Picker ID ]],$Q$3,RawData[Checker ID],$Q$4,RawData[[Error Type ]],$Q$5))</f>
        <v/>
      </c>
    </row>
    <row r="20815" spans="15:15" x14ac:dyDescent="0.25">
      <c r="O20815" s="20" t="str">
        <f>IF(N20815="","",COUNTIFS(RawData[[Date ]],N20815,RawData[Month List],$Q$6,RawData[Tour/Site],$Q$2,RawData[[Picker ID ]],$Q$3,RawData[Checker ID],$Q$4,RawData[[Error Type ]],$Q$5))</f>
        <v/>
      </c>
    </row>
    <row r="20816" spans="15:15" x14ac:dyDescent="0.25">
      <c r="O20816" s="20" t="str">
        <f>IF(N20816="","",COUNTIFS(RawData[[Date ]],N20816,RawData[Month List],$Q$6,RawData[Tour/Site],$Q$2,RawData[[Picker ID ]],$Q$3,RawData[Checker ID],$Q$4,RawData[[Error Type ]],$Q$5))</f>
        <v/>
      </c>
    </row>
    <row r="20817" spans="15:15" x14ac:dyDescent="0.25">
      <c r="O20817" s="20" t="str">
        <f>IF(N20817="","",COUNTIFS(RawData[[Date ]],N20817,RawData[Month List],$Q$6,RawData[Tour/Site],$Q$2,RawData[[Picker ID ]],$Q$3,RawData[Checker ID],$Q$4,RawData[[Error Type ]],$Q$5))</f>
        <v/>
      </c>
    </row>
    <row r="20818" spans="15:15" x14ac:dyDescent="0.25">
      <c r="O20818" s="20" t="str">
        <f>IF(N20818="","",COUNTIFS(RawData[[Date ]],N20818,RawData[Month List],$Q$6,RawData[Tour/Site],$Q$2,RawData[[Picker ID ]],$Q$3,RawData[Checker ID],$Q$4,RawData[[Error Type ]],$Q$5))</f>
        <v/>
      </c>
    </row>
    <row r="20819" spans="15:15" x14ac:dyDescent="0.25">
      <c r="O20819" s="20" t="str">
        <f>IF(N20819="","",COUNTIFS(RawData[[Date ]],N20819,RawData[Month List],$Q$6,RawData[Tour/Site],$Q$2,RawData[[Picker ID ]],$Q$3,RawData[Checker ID],$Q$4,RawData[[Error Type ]],$Q$5))</f>
        <v/>
      </c>
    </row>
    <row r="20820" spans="15:15" x14ac:dyDescent="0.25">
      <c r="O20820" s="20" t="str">
        <f>IF(N20820="","",COUNTIFS(RawData[[Date ]],N20820,RawData[Month List],$Q$6,RawData[Tour/Site],$Q$2,RawData[[Picker ID ]],$Q$3,RawData[Checker ID],$Q$4,RawData[[Error Type ]],$Q$5))</f>
        <v/>
      </c>
    </row>
    <row r="20821" spans="15:15" x14ac:dyDescent="0.25">
      <c r="O20821" s="20" t="str">
        <f>IF(N20821="","",COUNTIFS(RawData[[Date ]],N20821,RawData[Month List],$Q$6,RawData[Tour/Site],$Q$2,RawData[[Picker ID ]],$Q$3,RawData[Checker ID],$Q$4,RawData[[Error Type ]],$Q$5))</f>
        <v/>
      </c>
    </row>
    <row r="20822" spans="15:15" x14ac:dyDescent="0.25">
      <c r="O20822" s="20" t="str">
        <f>IF(N20822="","",COUNTIFS(RawData[[Date ]],N20822,RawData[Month List],$Q$6,RawData[Tour/Site],$Q$2,RawData[[Picker ID ]],$Q$3,RawData[Checker ID],$Q$4,RawData[[Error Type ]],$Q$5))</f>
        <v/>
      </c>
    </row>
    <row r="20823" spans="15:15" x14ac:dyDescent="0.25">
      <c r="O20823" s="20" t="str">
        <f>IF(N20823="","",COUNTIFS(RawData[[Date ]],N20823,RawData[Month List],$Q$6,RawData[Tour/Site],$Q$2,RawData[[Picker ID ]],$Q$3,RawData[Checker ID],$Q$4,RawData[[Error Type ]],$Q$5))</f>
        <v/>
      </c>
    </row>
    <row r="20824" spans="15:15" x14ac:dyDescent="0.25">
      <c r="O20824" s="20" t="str">
        <f>IF(N20824="","",COUNTIFS(RawData[[Date ]],N20824,RawData[Month List],$Q$6,RawData[Tour/Site],$Q$2,RawData[[Picker ID ]],$Q$3,RawData[Checker ID],$Q$4,RawData[[Error Type ]],$Q$5))</f>
        <v/>
      </c>
    </row>
    <row r="20825" spans="15:15" x14ac:dyDescent="0.25">
      <c r="O20825" s="20" t="str">
        <f>IF(N20825="","",COUNTIFS(RawData[[Date ]],N20825,RawData[Month List],$Q$6,RawData[Tour/Site],$Q$2,RawData[[Picker ID ]],$Q$3,RawData[Checker ID],$Q$4,RawData[[Error Type ]],$Q$5))</f>
        <v/>
      </c>
    </row>
    <row r="20826" spans="15:15" x14ac:dyDescent="0.25">
      <c r="O20826" s="20" t="str">
        <f>IF(N20826="","",COUNTIFS(RawData[[Date ]],N20826,RawData[Month List],$Q$6,RawData[Tour/Site],$Q$2,RawData[[Picker ID ]],$Q$3,RawData[Checker ID],$Q$4,RawData[[Error Type ]],$Q$5))</f>
        <v/>
      </c>
    </row>
    <row r="20827" spans="15:15" x14ac:dyDescent="0.25">
      <c r="O20827" s="20" t="str">
        <f>IF(N20827="","",COUNTIFS(RawData[[Date ]],N20827,RawData[Month List],$Q$6,RawData[Tour/Site],$Q$2,RawData[[Picker ID ]],$Q$3,RawData[Checker ID],$Q$4,RawData[[Error Type ]],$Q$5))</f>
        <v/>
      </c>
    </row>
    <row r="20828" spans="15:15" x14ac:dyDescent="0.25">
      <c r="O20828" s="20" t="str">
        <f>IF(N20828="","",COUNTIFS(RawData[[Date ]],N20828,RawData[Month List],$Q$6,RawData[Tour/Site],$Q$2,RawData[[Picker ID ]],$Q$3,RawData[Checker ID],$Q$4,RawData[[Error Type ]],$Q$5))</f>
        <v/>
      </c>
    </row>
    <row r="20829" spans="15:15" x14ac:dyDescent="0.25">
      <c r="O20829" s="20" t="str">
        <f>IF(N20829="","",COUNTIFS(RawData[[Date ]],N20829,RawData[Month List],$Q$6,RawData[Tour/Site],$Q$2,RawData[[Picker ID ]],$Q$3,RawData[Checker ID],$Q$4,RawData[[Error Type ]],$Q$5))</f>
        <v/>
      </c>
    </row>
    <row r="20830" spans="15:15" x14ac:dyDescent="0.25">
      <c r="O20830" s="20" t="str">
        <f>IF(N20830="","",COUNTIFS(RawData[[Date ]],N20830,RawData[Month List],$Q$6,RawData[Tour/Site],$Q$2,RawData[[Picker ID ]],$Q$3,RawData[Checker ID],$Q$4,RawData[[Error Type ]],$Q$5))</f>
        <v/>
      </c>
    </row>
    <row r="20831" spans="15:15" x14ac:dyDescent="0.25">
      <c r="O20831" s="20" t="str">
        <f>IF(N20831="","",COUNTIFS(RawData[[Date ]],N20831,RawData[Month List],$Q$6,RawData[Tour/Site],$Q$2,RawData[[Picker ID ]],$Q$3,RawData[Checker ID],$Q$4,RawData[[Error Type ]],$Q$5))</f>
        <v/>
      </c>
    </row>
    <row r="20832" spans="15:15" x14ac:dyDescent="0.25">
      <c r="O20832" s="20" t="str">
        <f>IF(N20832="","",COUNTIFS(RawData[[Date ]],N20832,RawData[Month List],$Q$6,RawData[Tour/Site],$Q$2,RawData[[Picker ID ]],$Q$3,RawData[Checker ID],$Q$4,RawData[[Error Type ]],$Q$5))</f>
        <v/>
      </c>
    </row>
    <row r="20833" spans="15:15" x14ac:dyDescent="0.25">
      <c r="O20833" s="20" t="str">
        <f>IF(N20833="","",COUNTIFS(RawData[[Date ]],N20833,RawData[Month List],$Q$6,RawData[Tour/Site],$Q$2,RawData[[Picker ID ]],$Q$3,RawData[Checker ID],$Q$4,RawData[[Error Type ]],$Q$5))</f>
        <v/>
      </c>
    </row>
    <row r="20834" spans="15:15" x14ac:dyDescent="0.25">
      <c r="O20834" s="20" t="str">
        <f>IF(N20834="","",COUNTIFS(RawData[[Date ]],N20834,RawData[Month List],$Q$6,RawData[Tour/Site],$Q$2,RawData[[Picker ID ]],$Q$3,RawData[Checker ID],$Q$4,RawData[[Error Type ]],$Q$5))</f>
        <v/>
      </c>
    </row>
    <row r="20835" spans="15:15" x14ac:dyDescent="0.25">
      <c r="O20835" s="20" t="str">
        <f>IF(N20835="","",COUNTIFS(RawData[[Date ]],N20835,RawData[Month List],$Q$6,RawData[Tour/Site],$Q$2,RawData[[Picker ID ]],$Q$3,RawData[Checker ID],$Q$4,RawData[[Error Type ]],$Q$5))</f>
        <v/>
      </c>
    </row>
    <row r="20836" spans="15:15" x14ac:dyDescent="0.25">
      <c r="O20836" s="20" t="str">
        <f>IF(N20836="","",COUNTIFS(RawData[[Date ]],N20836,RawData[Month List],$Q$6,RawData[Tour/Site],$Q$2,RawData[[Picker ID ]],$Q$3,RawData[Checker ID],$Q$4,RawData[[Error Type ]],$Q$5))</f>
        <v/>
      </c>
    </row>
    <row r="20837" spans="15:15" x14ac:dyDescent="0.25">
      <c r="O20837" s="20" t="str">
        <f>IF(N20837="","",COUNTIFS(RawData[[Date ]],N20837,RawData[Month List],$Q$6,RawData[Tour/Site],$Q$2,RawData[[Picker ID ]],$Q$3,RawData[Checker ID],$Q$4,RawData[[Error Type ]],$Q$5))</f>
        <v/>
      </c>
    </row>
    <row r="20838" spans="15:15" x14ac:dyDescent="0.25">
      <c r="O20838" s="20" t="str">
        <f>IF(N20838="","",COUNTIFS(RawData[[Date ]],N20838,RawData[Month List],$Q$6,RawData[Tour/Site],$Q$2,RawData[[Picker ID ]],$Q$3,RawData[Checker ID],$Q$4,RawData[[Error Type ]],$Q$5))</f>
        <v/>
      </c>
    </row>
    <row r="20839" spans="15:15" x14ac:dyDescent="0.25">
      <c r="O20839" s="20" t="str">
        <f>IF(N20839="","",COUNTIFS(RawData[[Date ]],N20839,RawData[Month List],$Q$6,RawData[Tour/Site],$Q$2,RawData[[Picker ID ]],$Q$3,RawData[Checker ID],$Q$4,RawData[[Error Type ]],$Q$5))</f>
        <v/>
      </c>
    </row>
    <row r="20840" spans="15:15" x14ac:dyDescent="0.25">
      <c r="O20840" s="20" t="str">
        <f>IF(N20840="","",COUNTIFS(RawData[[Date ]],N20840,RawData[Month List],$Q$6,RawData[Tour/Site],$Q$2,RawData[[Picker ID ]],$Q$3,RawData[Checker ID],$Q$4,RawData[[Error Type ]],$Q$5))</f>
        <v/>
      </c>
    </row>
    <row r="20841" spans="15:15" x14ac:dyDescent="0.25">
      <c r="O20841" s="20" t="str">
        <f>IF(N20841="","",COUNTIFS(RawData[[Date ]],N20841,RawData[Month List],$Q$6,RawData[Tour/Site],$Q$2,RawData[[Picker ID ]],$Q$3,RawData[Checker ID],$Q$4,RawData[[Error Type ]],$Q$5))</f>
        <v/>
      </c>
    </row>
    <row r="20842" spans="15:15" x14ac:dyDescent="0.25">
      <c r="O20842" s="20" t="str">
        <f>IF(N20842="","",COUNTIFS(RawData[[Date ]],N20842,RawData[Month List],$Q$6,RawData[Tour/Site],$Q$2,RawData[[Picker ID ]],$Q$3,RawData[Checker ID],$Q$4,RawData[[Error Type ]],$Q$5))</f>
        <v/>
      </c>
    </row>
    <row r="20843" spans="15:15" x14ac:dyDescent="0.25">
      <c r="O20843" s="20" t="str">
        <f>IF(N20843="","",COUNTIFS(RawData[[Date ]],N20843,RawData[Month List],$Q$6,RawData[Tour/Site],$Q$2,RawData[[Picker ID ]],$Q$3,RawData[Checker ID],$Q$4,RawData[[Error Type ]],$Q$5))</f>
        <v/>
      </c>
    </row>
    <row r="20844" spans="15:15" x14ac:dyDescent="0.25">
      <c r="O20844" s="20" t="str">
        <f>IF(N20844="","",COUNTIFS(RawData[[Date ]],N20844,RawData[Month List],$Q$6,RawData[Tour/Site],$Q$2,RawData[[Picker ID ]],$Q$3,RawData[Checker ID],$Q$4,RawData[[Error Type ]],$Q$5))</f>
        <v/>
      </c>
    </row>
    <row r="20845" spans="15:15" x14ac:dyDescent="0.25">
      <c r="O20845" s="20" t="str">
        <f>IF(N20845="","",COUNTIFS(RawData[[Date ]],N20845,RawData[Month List],$Q$6,RawData[Tour/Site],$Q$2,RawData[[Picker ID ]],$Q$3,RawData[Checker ID],$Q$4,RawData[[Error Type ]],$Q$5))</f>
        <v/>
      </c>
    </row>
    <row r="20846" spans="15:15" x14ac:dyDescent="0.25">
      <c r="O20846" s="20" t="str">
        <f>IF(N20846="","",COUNTIFS(RawData[[Date ]],N20846,RawData[Month List],$Q$6,RawData[Tour/Site],$Q$2,RawData[[Picker ID ]],$Q$3,RawData[Checker ID],$Q$4,RawData[[Error Type ]],$Q$5))</f>
        <v/>
      </c>
    </row>
    <row r="20847" spans="15:15" x14ac:dyDescent="0.25">
      <c r="O20847" s="20" t="str">
        <f>IF(N20847="","",COUNTIFS(RawData[[Date ]],N20847,RawData[Month List],$Q$6,RawData[Tour/Site],$Q$2,RawData[[Picker ID ]],$Q$3,RawData[Checker ID],$Q$4,RawData[[Error Type ]],$Q$5))</f>
        <v/>
      </c>
    </row>
    <row r="20848" spans="15:15" x14ac:dyDescent="0.25">
      <c r="O20848" s="20" t="str">
        <f>IF(N20848="","",COUNTIFS(RawData[[Date ]],N20848,RawData[Month List],$Q$6,RawData[Tour/Site],$Q$2,RawData[[Picker ID ]],$Q$3,RawData[Checker ID],$Q$4,RawData[[Error Type ]],$Q$5))</f>
        <v/>
      </c>
    </row>
    <row r="20849" spans="15:15" x14ac:dyDescent="0.25">
      <c r="O20849" s="20" t="str">
        <f>IF(N20849="","",COUNTIFS(RawData[[Date ]],N20849,RawData[Month List],$Q$6,RawData[Tour/Site],$Q$2,RawData[[Picker ID ]],$Q$3,RawData[Checker ID],$Q$4,RawData[[Error Type ]],$Q$5))</f>
        <v/>
      </c>
    </row>
    <row r="20850" spans="15:15" x14ac:dyDescent="0.25">
      <c r="O20850" s="20" t="str">
        <f>IF(N20850="","",COUNTIFS(RawData[[Date ]],N20850,RawData[Month List],$Q$6,RawData[Tour/Site],$Q$2,RawData[[Picker ID ]],$Q$3,RawData[Checker ID],$Q$4,RawData[[Error Type ]],$Q$5))</f>
        <v/>
      </c>
    </row>
    <row r="20851" spans="15:15" x14ac:dyDescent="0.25">
      <c r="O20851" s="20" t="str">
        <f>IF(N20851="","",COUNTIFS(RawData[[Date ]],N20851,RawData[Month List],$Q$6,RawData[Tour/Site],$Q$2,RawData[[Picker ID ]],$Q$3,RawData[Checker ID],$Q$4,RawData[[Error Type ]],$Q$5))</f>
        <v/>
      </c>
    </row>
    <row r="20852" spans="15:15" x14ac:dyDescent="0.25">
      <c r="O20852" s="20" t="str">
        <f>IF(N20852="","",COUNTIFS(RawData[[Date ]],N20852,RawData[Month List],$Q$6,RawData[Tour/Site],$Q$2,RawData[[Picker ID ]],$Q$3,RawData[Checker ID],$Q$4,RawData[[Error Type ]],$Q$5))</f>
        <v/>
      </c>
    </row>
    <row r="20853" spans="15:15" x14ac:dyDescent="0.25">
      <c r="O20853" s="20" t="str">
        <f>IF(N20853="","",COUNTIFS(RawData[[Date ]],N20853,RawData[Month List],$Q$6,RawData[Tour/Site],$Q$2,RawData[[Picker ID ]],$Q$3,RawData[Checker ID],$Q$4,RawData[[Error Type ]],$Q$5))</f>
        <v/>
      </c>
    </row>
    <row r="20854" spans="15:15" x14ac:dyDescent="0.25">
      <c r="O20854" s="20" t="str">
        <f>IF(N20854="","",COUNTIFS(RawData[[Date ]],N20854,RawData[Month List],$Q$6,RawData[Tour/Site],$Q$2,RawData[[Picker ID ]],$Q$3,RawData[Checker ID],$Q$4,RawData[[Error Type ]],$Q$5))</f>
        <v/>
      </c>
    </row>
    <row r="20855" spans="15:15" x14ac:dyDescent="0.25">
      <c r="O20855" s="20" t="str">
        <f>IF(N20855="","",COUNTIFS(RawData[[Date ]],N20855,RawData[Month List],$Q$6,RawData[Tour/Site],$Q$2,RawData[[Picker ID ]],$Q$3,RawData[Checker ID],$Q$4,RawData[[Error Type ]],$Q$5))</f>
        <v/>
      </c>
    </row>
    <row r="20856" spans="15:15" x14ac:dyDescent="0.25">
      <c r="O20856" s="20" t="str">
        <f>IF(N20856="","",COUNTIFS(RawData[[Date ]],N20856,RawData[Month List],$Q$6,RawData[Tour/Site],$Q$2,RawData[[Picker ID ]],$Q$3,RawData[Checker ID],$Q$4,RawData[[Error Type ]],$Q$5))</f>
        <v/>
      </c>
    </row>
    <row r="20857" spans="15:15" x14ac:dyDescent="0.25">
      <c r="O20857" s="20" t="str">
        <f>IF(N20857="","",COUNTIFS(RawData[[Date ]],N20857,RawData[Month List],$Q$6,RawData[Tour/Site],$Q$2,RawData[[Picker ID ]],$Q$3,RawData[Checker ID],$Q$4,RawData[[Error Type ]],$Q$5))</f>
        <v/>
      </c>
    </row>
    <row r="20858" spans="15:15" x14ac:dyDescent="0.25">
      <c r="O20858" s="20" t="str">
        <f>IF(N20858="","",COUNTIFS(RawData[[Date ]],N20858,RawData[Month List],$Q$6,RawData[Tour/Site],$Q$2,RawData[[Picker ID ]],$Q$3,RawData[Checker ID],$Q$4,RawData[[Error Type ]],$Q$5))</f>
        <v/>
      </c>
    </row>
    <row r="20859" spans="15:15" x14ac:dyDescent="0.25">
      <c r="O20859" s="20" t="str">
        <f>IF(N20859="","",COUNTIFS(RawData[[Date ]],N20859,RawData[Month List],$Q$6,RawData[Tour/Site],$Q$2,RawData[[Picker ID ]],$Q$3,RawData[Checker ID],$Q$4,RawData[[Error Type ]],$Q$5))</f>
        <v/>
      </c>
    </row>
    <row r="20860" spans="15:15" x14ac:dyDescent="0.25">
      <c r="O20860" s="20" t="str">
        <f>IF(N20860="","",COUNTIFS(RawData[[Date ]],N20860,RawData[Month List],$Q$6,RawData[Tour/Site],$Q$2,RawData[[Picker ID ]],$Q$3,RawData[Checker ID],$Q$4,RawData[[Error Type ]],$Q$5))</f>
        <v/>
      </c>
    </row>
    <row r="20861" spans="15:15" x14ac:dyDescent="0.25">
      <c r="O20861" s="20" t="str">
        <f>IF(N20861="","",COUNTIFS(RawData[[Date ]],N20861,RawData[Month List],$Q$6,RawData[Tour/Site],$Q$2,RawData[[Picker ID ]],$Q$3,RawData[Checker ID],$Q$4,RawData[[Error Type ]],$Q$5))</f>
        <v/>
      </c>
    </row>
    <row r="20862" spans="15:15" x14ac:dyDescent="0.25">
      <c r="O20862" s="20" t="str">
        <f>IF(N20862="","",COUNTIFS(RawData[[Date ]],N20862,RawData[Month List],$Q$6,RawData[Tour/Site],$Q$2,RawData[[Picker ID ]],$Q$3,RawData[Checker ID],$Q$4,RawData[[Error Type ]],$Q$5))</f>
        <v/>
      </c>
    </row>
    <row r="20863" spans="15:15" x14ac:dyDescent="0.25">
      <c r="O20863" s="20" t="str">
        <f>IF(N20863="","",COUNTIFS(RawData[[Date ]],N20863,RawData[Month List],$Q$6,RawData[Tour/Site],$Q$2,RawData[[Picker ID ]],$Q$3,RawData[Checker ID],$Q$4,RawData[[Error Type ]],$Q$5))</f>
        <v/>
      </c>
    </row>
    <row r="20864" spans="15:15" x14ac:dyDescent="0.25">
      <c r="O20864" s="20" t="str">
        <f>IF(N20864="","",COUNTIFS(RawData[[Date ]],N20864,RawData[Month List],$Q$6,RawData[Tour/Site],$Q$2,RawData[[Picker ID ]],$Q$3,RawData[Checker ID],$Q$4,RawData[[Error Type ]],$Q$5))</f>
        <v/>
      </c>
    </row>
    <row r="20865" spans="15:15" x14ac:dyDescent="0.25">
      <c r="O20865" s="20" t="str">
        <f>IF(N20865="","",COUNTIFS(RawData[[Date ]],N20865,RawData[Month List],$Q$6,RawData[Tour/Site],$Q$2,RawData[[Picker ID ]],$Q$3,RawData[Checker ID],$Q$4,RawData[[Error Type ]],$Q$5))</f>
        <v/>
      </c>
    </row>
    <row r="20866" spans="15:15" x14ac:dyDescent="0.25">
      <c r="O20866" s="20" t="str">
        <f>IF(N20866="","",COUNTIFS(RawData[[Date ]],N20866,RawData[Month List],$Q$6,RawData[Tour/Site],$Q$2,RawData[[Picker ID ]],$Q$3,RawData[Checker ID],$Q$4,RawData[[Error Type ]],$Q$5))</f>
        <v/>
      </c>
    </row>
    <row r="20867" spans="15:15" x14ac:dyDescent="0.25">
      <c r="O20867" s="20" t="str">
        <f>IF(N20867="","",COUNTIFS(RawData[[Date ]],N20867,RawData[Month List],$Q$6,RawData[Tour/Site],$Q$2,RawData[[Picker ID ]],$Q$3,RawData[Checker ID],$Q$4,RawData[[Error Type ]],$Q$5))</f>
        <v/>
      </c>
    </row>
    <row r="20868" spans="15:15" x14ac:dyDescent="0.25">
      <c r="O20868" s="20" t="str">
        <f>IF(N20868="","",COUNTIFS(RawData[[Date ]],N20868,RawData[Month List],$Q$6,RawData[Tour/Site],$Q$2,RawData[[Picker ID ]],$Q$3,RawData[Checker ID],$Q$4,RawData[[Error Type ]],$Q$5))</f>
        <v/>
      </c>
    </row>
    <row r="20869" spans="15:15" x14ac:dyDescent="0.25">
      <c r="O20869" s="20" t="str">
        <f>IF(N20869="","",COUNTIFS(RawData[[Date ]],N20869,RawData[Month List],$Q$6,RawData[Tour/Site],$Q$2,RawData[[Picker ID ]],$Q$3,RawData[Checker ID],$Q$4,RawData[[Error Type ]],$Q$5))</f>
        <v/>
      </c>
    </row>
    <row r="20870" spans="15:15" x14ac:dyDescent="0.25">
      <c r="O20870" s="20" t="str">
        <f>IF(N20870="","",COUNTIFS(RawData[[Date ]],N20870,RawData[Month List],$Q$6,RawData[Tour/Site],$Q$2,RawData[[Picker ID ]],$Q$3,RawData[Checker ID],$Q$4,RawData[[Error Type ]],$Q$5))</f>
        <v/>
      </c>
    </row>
    <row r="20871" spans="15:15" x14ac:dyDescent="0.25">
      <c r="O20871" s="20" t="str">
        <f>IF(N20871="","",COUNTIFS(RawData[[Date ]],N20871,RawData[Month List],$Q$6,RawData[Tour/Site],$Q$2,RawData[[Picker ID ]],$Q$3,RawData[Checker ID],$Q$4,RawData[[Error Type ]],$Q$5))</f>
        <v/>
      </c>
    </row>
    <row r="20872" spans="15:15" x14ac:dyDescent="0.25">
      <c r="O20872" s="20" t="str">
        <f>IF(N20872="","",COUNTIFS(RawData[[Date ]],N20872,RawData[Month List],$Q$6,RawData[Tour/Site],$Q$2,RawData[[Picker ID ]],$Q$3,RawData[Checker ID],$Q$4,RawData[[Error Type ]],$Q$5))</f>
        <v/>
      </c>
    </row>
    <row r="20873" spans="15:15" x14ac:dyDescent="0.25">
      <c r="O20873" s="20" t="str">
        <f>IF(N20873="","",COUNTIFS(RawData[[Date ]],N20873,RawData[Month List],$Q$6,RawData[Tour/Site],$Q$2,RawData[[Picker ID ]],$Q$3,RawData[Checker ID],$Q$4,RawData[[Error Type ]],$Q$5))</f>
        <v/>
      </c>
    </row>
    <row r="20874" spans="15:15" x14ac:dyDescent="0.25">
      <c r="O20874" s="20" t="str">
        <f>IF(N20874="","",COUNTIFS(RawData[[Date ]],N20874,RawData[Month List],$Q$6,RawData[Tour/Site],$Q$2,RawData[[Picker ID ]],$Q$3,RawData[Checker ID],$Q$4,RawData[[Error Type ]],$Q$5))</f>
        <v/>
      </c>
    </row>
    <row r="20875" spans="15:15" x14ac:dyDescent="0.25">
      <c r="O20875" s="20" t="str">
        <f>IF(N20875="","",COUNTIFS(RawData[[Date ]],N20875,RawData[Month List],$Q$6,RawData[Tour/Site],$Q$2,RawData[[Picker ID ]],$Q$3,RawData[Checker ID],$Q$4,RawData[[Error Type ]],$Q$5))</f>
        <v/>
      </c>
    </row>
    <row r="20876" spans="15:15" x14ac:dyDescent="0.25">
      <c r="O20876" s="20" t="str">
        <f>IF(N20876="","",COUNTIFS(RawData[[Date ]],N20876,RawData[Month List],$Q$6,RawData[Tour/Site],$Q$2,RawData[[Picker ID ]],$Q$3,RawData[Checker ID],$Q$4,RawData[[Error Type ]],$Q$5))</f>
        <v/>
      </c>
    </row>
    <row r="20877" spans="15:15" x14ac:dyDescent="0.25">
      <c r="O20877" s="20" t="str">
        <f>IF(N20877="","",COUNTIFS(RawData[[Date ]],N20877,RawData[Month List],$Q$6,RawData[Tour/Site],$Q$2,RawData[[Picker ID ]],$Q$3,RawData[Checker ID],$Q$4,RawData[[Error Type ]],$Q$5))</f>
        <v/>
      </c>
    </row>
    <row r="20878" spans="15:15" x14ac:dyDescent="0.25">
      <c r="O20878" s="20" t="str">
        <f>IF(N20878="","",COUNTIFS(RawData[[Date ]],N20878,RawData[Month List],$Q$6,RawData[Tour/Site],$Q$2,RawData[[Picker ID ]],$Q$3,RawData[Checker ID],$Q$4,RawData[[Error Type ]],$Q$5))</f>
        <v/>
      </c>
    </row>
    <row r="20879" spans="15:15" x14ac:dyDescent="0.25">
      <c r="O20879" s="20" t="str">
        <f>IF(N20879="","",COUNTIFS(RawData[[Date ]],N20879,RawData[Month List],$Q$6,RawData[Tour/Site],$Q$2,RawData[[Picker ID ]],$Q$3,RawData[Checker ID],$Q$4,RawData[[Error Type ]],$Q$5))</f>
        <v/>
      </c>
    </row>
    <row r="20880" spans="15:15" x14ac:dyDescent="0.25">
      <c r="O20880" s="20" t="str">
        <f>IF(N20880="","",COUNTIFS(RawData[[Date ]],N20880,RawData[Month List],$Q$6,RawData[Tour/Site],$Q$2,RawData[[Picker ID ]],$Q$3,RawData[Checker ID],$Q$4,RawData[[Error Type ]],$Q$5))</f>
        <v/>
      </c>
    </row>
    <row r="20881" spans="15:15" x14ac:dyDescent="0.25">
      <c r="O20881" s="20" t="str">
        <f>IF(N20881="","",COUNTIFS(RawData[[Date ]],N20881,RawData[Month List],$Q$6,RawData[Tour/Site],$Q$2,RawData[[Picker ID ]],$Q$3,RawData[Checker ID],$Q$4,RawData[[Error Type ]],$Q$5))</f>
        <v/>
      </c>
    </row>
    <row r="20882" spans="15:15" x14ac:dyDescent="0.25">
      <c r="O20882" s="20" t="str">
        <f>IF(N20882="","",COUNTIFS(RawData[[Date ]],N20882,RawData[Month List],$Q$6,RawData[Tour/Site],$Q$2,RawData[[Picker ID ]],$Q$3,RawData[Checker ID],$Q$4,RawData[[Error Type ]],$Q$5))</f>
        <v/>
      </c>
    </row>
    <row r="20883" spans="15:15" x14ac:dyDescent="0.25">
      <c r="O20883" s="20" t="str">
        <f>IF(N20883="","",COUNTIFS(RawData[[Date ]],N20883,RawData[Month List],$Q$6,RawData[Tour/Site],$Q$2,RawData[[Picker ID ]],$Q$3,RawData[Checker ID],$Q$4,RawData[[Error Type ]],$Q$5))</f>
        <v/>
      </c>
    </row>
    <row r="20884" spans="15:15" x14ac:dyDescent="0.25">
      <c r="O20884" s="20" t="str">
        <f>IF(N20884="","",COUNTIFS(RawData[[Date ]],N20884,RawData[Month List],$Q$6,RawData[Tour/Site],$Q$2,RawData[[Picker ID ]],$Q$3,RawData[Checker ID],$Q$4,RawData[[Error Type ]],$Q$5))</f>
        <v/>
      </c>
    </row>
    <row r="20885" spans="15:15" x14ac:dyDescent="0.25">
      <c r="O20885" s="20" t="str">
        <f>IF(N20885="","",COUNTIFS(RawData[[Date ]],N20885,RawData[Month List],$Q$6,RawData[Tour/Site],$Q$2,RawData[[Picker ID ]],$Q$3,RawData[Checker ID],$Q$4,RawData[[Error Type ]],$Q$5))</f>
        <v/>
      </c>
    </row>
    <row r="20886" spans="15:15" x14ac:dyDescent="0.25">
      <c r="O20886" s="20" t="str">
        <f>IF(N20886="","",COUNTIFS(RawData[[Date ]],N20886,RawData[Month List],$Q$6,RawData[Tour/Site],$Q$2,RawData[[Picker ID ]],$Q$3,RawData[Checker ID],$Q$4,RawData[[Error Type ]],$Q$5))</f>
        <v/>
      </c>
    </row>
    <row r="20887" spans="15:15" x14ac:dyDescent="0.25">
      <c r="O20887" s="20" t="str">
        <f>IF(N20887="","",COUNTIFS(RawData[[Date ]],N20887,RawData[Month List],$Q$6,RawData[Tour/Site],$Q$2,RawData[[Picker ID ]],$Q$3,RawData[Checker ID],$Q$4,RawData[[Error Type ]],$Q$5))</f>
        <v/>
      </c>
    </row>
    <row r="20888" spans="15:15" x14ac:dyDescent="0.25">
      <c r="O20888" s="20" t="str">
        <f>IF(N20888="","",COUNTIFS(RawData[[Date ]],N20888,RawData[Month List],$Q$6,RawData[Tour/Site],$Q$2,RawData[[Picker ID ]],$Q$3,RawData[Checker ID],$Q$4,RawData[[Error Type ]],$Q$5))</f>
        <v/>
      </c>
    </row>
    <row r="20889" spans="15:15" x14ac:dyDescent="0.25">
      <c r="O20889" s="20" t="str">
        <f>IF(N20889="","",COUNTIFS(RawData[[Date ]],N20889,RawData[Month List],$Q$6,RawData[Tour/Site],$Q$2,RawData[[Picker ID ]],$Q$3,RawData[Checker ID],$Q$4,RawData[[Error Type ]],$Q$5))</f>
        <v/>
      </c>
    </row>
    <row r="20890" spans="15:15" x14ac:dyDescent="0.25">
      <c r="O20890" s="20" t="str">
        <f>IF(N20890="","",COUNTIFS(RawData[[Date ]],N20890,RawData[Month List],$Q$6,RawData[Tour/Site],$Q$2,RawData[[Picker ID ]],$Q$3,RawData[Checker ID],$Q$4,RawData[[Error Type ]],$Q$5))</f>
        <v/>
      </c>
    </row>
    <row r="20891" spans="15:15" x14ac:dyDescent="0.25">
      <c r="O20891" s="20" t="str">
        <f>IF(N20891="","",COUNTIFS(RawData[[Date ]],N20891,RawData[Month List],$Q$6,RawData[Tour/Site],$Q$2,RawData[[Picker ID ]],$Q$3,RawData[Checker ID],$Q$4,RawData[[Error Type ]],$Q$5))</f>
        <v/>
      </c>
    </row>
    <row r="20892" spans="15:15" x14ac:dyDescent="0.25">
      <c r="O20892" s="20" t="str">
        <f>IF(N20892="","",COUNTIFS(RawData[[Date ]],N20892,RawData[Month List],$Q$6,RawData[Tour/Site],$Q$2,RawData[[Picker ID ]],$Q$3,RawData[Checker ID],$Q$4,RawData[[Error Type ]],$Q$5))</f>
        <v/>
      </c>
    </row>
    <row r="20893" spans="15:15" x14ac:dyDescent="0.25">
      <c r="O20893" s="20" t="str">
        <f>IF(N20893="","",COUNTIFS(RawData[[Date ]],N20893,RawData[Month List],$Q$6,RawData[Tour/Site],$Q$2,RawData[[Picker ID ]],$Q$3,RawData[Checker ID],$Q$4,RawData[[Error Type ]],$Q$5))</f>
        <v/>
      </c>
    </row>
    <row r="20894" spans="15:15" x14ac:dyDescent="0.25">
      <c r="O20894" s="20" t="str">
        <f>IF(N20894="","",COUNTIFS(RawData[[Date ]],N20894,RawData[Month List],$Q$6,RawData[Tour/Site],$Q$2,RawData[[Picker ID ]],$Q$3,RawData[Checker ID],$Q$4,RawData[[Error Type ]],$Q$5))</f>
        <v/>
      </c>
    </row>
    <row r="20895" spans="15:15" x14ac:dyDescent="0.25">
      <c r="O20895" s="20" t="str">
        <f>IF(N20895="","",COUNTIFS(RawData[[Date ]],N20895,RawData[Month List],$Q$6,RawData[Tour/Site],$Q$2,RawData[[Picker ID ]],$Q$3,RawData[Checker ID],$Q$4,RawData[[Error Type ]],$Q$5))</f>
        <v/>
      </c>
    </row>
    <row r="20896" spans="15:15" x14ac:dyDescent="0.25">
      <c r="O20896" s="20" t="str">
        <f>IF(N20896="","",COUNTIFS(RawData[[Date ]],N20896,RawData[Month List],$Q$6,RawData[Tour/Site],$Q$2,RawData[[Picker ID ]],$Q$3,RawData[Checker ID],$Q$4,RawData[[Error Type ]],$Q$5))</f>
        <v/>
      </c>
    </row>
    <row r="20897" spans="15:15" x14ac:dyDescent="0.25">
      <c r="O20897" s="20" t="str">
        <f>IF(N20897="","",COUNTIFS(RawData[[Date ]],N20897,RawData[Month List],$Q$6,RawData[Tour/Site],$Q$2,RawData[[Picker ID ]],$Q$3,RawData[Checker ID],$Q$4,RawData[[Error Type ]],$Q$5))</f>
        <v/>
      </c>
    </row>
    <row r="20898" spans="15:15" x14ac:dyDescent="0.25">
      <c r="O20898" s="20" t="str">
        <f>IF(N20898="","",COUNTIFS(RawData[[Date ]],N20898,RawData[Month List],$Q$6,RawData[Tour/Site],$Q$2,RawData[[Picker ID ]],$Q$3,RawData[Checker ID],$Q$4,RawData[[Error Type ]],$Q$5))</f>
        <v/>
      </c>
    </row>
    <row r="20899" spans="15:15" x14ac:dyDescent="0.25">
      <c r="O20899" s="20" t="str">
        <f>IF(N20899="","",COUNTIFS(RawData[[Date ]],N20899,RawData[Month List],$Q$6,RawData[Tour/Site],$Q$2,RawData[[Picker ID ]],$Q$3,RawData[Checker ID],$Q$4,RawData[[Error Type ]],$Q$5))</f>
        <v/>
      </c>
    </row>
    <row r="20900" spans="15:15" x14ac:dyDescent="0.25">
      <c r="O20900" s="20" t="str">
        <f>IF(N20900="","",COUNTIFS(RawData[[Date ]],N20900,RawData[Month List],$Q$6,RawData[Tour/Site],$Q$2,RawData[[Picker ID ]],$Q$3,RawData[Checker ID],$Q$4,RawData[[Error Type ]],$Q$5))</f>
        <v/>
      </c>
    </row>
    <row r="20901" spans="15:15" x14ac:dyDescent="0.25">
      <c r="O20901" s="20" t="str">
        <f>IF(N20901="","",COUNTIFS(RawData[[Date ]],N20901,RawData[Month List],$Q$6,RawData[Tour/Site],$Q$2,RawData[[Picker ID ]],$Q$3,RawData[Checker ID],$Q$4,RawData[[Error Type ]],$Q$5))</f>
        <v/>
      </c>
    </row>
    <row r="20902" spans="15:15" x14ac:dyDescent="0.25">
      <c r="O20902" s="20" t="str">
        <f>IF(N20902="","",COUNTIFS(RawData[[Date ]],N20902,RawData[Month List],$Q$6,RawData[Tour/Site],$Q$2,RawData[[Picker ID ]],$Q$3,RawData[Checker ID],$Q$4,RawData[[Error Type ]],$Q$5))</f>
        <v/>
      </c>
    </row>
    <row r="20903" spans="15:15" x14ac:dyDescent="0.25">
      <c r="O20903" s="20" t="str">
        <f>IF(N20903="","",COUNTIFS(RawData[[Date ]],N20903,RawData[Month List],$Q$6,RawData[Tour/Site],$Q$2,RawData[[Picker ID ]],$Q$3,RawData[Checker ID],$Q$4,RawData[[Error Type ]],$Q$5))</f>
        <v/>
      </c>
    </row>
    <row r="20904" spans="15:15" x14ac:dyDescent="0.25">
      <c r="O20904" s="20" t="str">
        <f>IF(N20904="","",COUNTIFS(RawData[[Date ]],N20904,RawData[Month List],$Q$6,RawData[Tour/Site],$Q$2,RawData[[Picker ID ]],$Q$3,RawData[Checker ID],$Q$4,RawData[[Error Type ]],$Q$5))</f>
        <v/>
      </c>
    </row>
    <row r="20905" spans="15:15" x14ac:dyDescent="0.25">
      <c r="O20905" s="20" t="str">
        <f>IF(N20905="","",COUNTIFS(RawData[[Date ]],N20905,RawData[Month List],$Q$6,RawData[Tour/Site],$Q$2,RawData[[Picker ID ]],$Q$3,RawData[Checker ID],$Q$4,RawData[[Error Type ]],$Q$5))</f>
        <v/>
      </c>
    </row>
    <row r="20906" spans="15:15" x14ac:dyDescent="0.25">
      <c r="O20906" s="20" t="str">
        <f>IF(N20906="","",COUNTIFS(RawData[[Date ]],N20906,RawData[Month List],$Q$6,RawData[Tour/Site],$Q$2,RawData[[Picker ID ]],$Q$3,RawData[Checker ID],$Q$4,RawData[[Error Type ]],$Q$5))</f>
        <v/>
      </c>
    </row>
    <row r="20907" spans="15:15" x14ac:dyDescent="0.25">
      <c r="O20907" s="20" t="str">
        <f>IF(N20907="","",COUNTIFS(RawData[[Date ]],N20907,RawData[Month List],$Q$6,RawData[Tour/Site],$Q$2,RawData[[Picker ID ]],$Q$3,RawData[Checker ID],$Q$4,RawData[[Error Type ]],$Q$5))</f>
        <v/>
      </c>
    </row>
    <row r="20908" spans="15:15" x14ac:dyDescent="0.25">
      <c r="O20908" s="20" t="str">
        <f>IF(N20908="","",COUNTIFS(RawData[[Date ]],N20908,RawData[Month List],$Q$6,RawData[Tour/Site],$Q$2,RawData[[Picker ID ]],$Q$3,RawData[Checker ID],$Q$4,RawData[[Error Type ]],$Q$5))</f>
        <v/>
      </c>
    </row>
    <row r="20909" spans="15:15" x14ac:dyDescent="0.25">
      <c r="O20909" s="20" t="str">
        <f>IF(N20909="","",COUNTIFS(RawData[[Date ]],N20909,RawData[Month List],$Q$6,RawData[Tour/Site],$Q$2,RawData[[Picker ID ]],$Q$3,RawData[Checker ID],$Q$4,RawData[[Error Type ]],$Q$5))</f>
        <v/>
      </c>
    </row>
    <row r="20910" spans="15:15" x14ac:dyDescent="0.25">
      <c r="O20910" s="20" t="str">
        <f>IF(N20910="","",COUNTIFS(RawData[[Date ]],N20910,RawData[Month List],$Q$6,RawData[Tour/Site],$Q$2,RawData[[Picker ID ]],$Q$3,RawData[Checker ID],$Q$4,RawData[[Error Type ]],$Q$5))</f>
        <v/>
      </c>
    </row>
    <row r="20911" spans="15:15" x14ac:dyDescent="0.25">
      <c r="O20911" s="20" t="str">
        <f>IF(N20911="","",COUNTIFS(RawData[[Date ]],N20911,RawData[Month List],$Q$6,RawData[Tour/Site],$Q$2,RawData[[Picker ID ]],$Q$3,RawData[Checker ID],$Q$4,RawData[[Error Type ]],$Q$5))</f>
        <v/>
      </c>
    </row>
    <row r="20912" spans="15:15" x14ac:dyDescent="0.25">
      <c r="O20912" s="20" t="str">
        <f>IF(N20912="","",COUNTIFS(RawData[[Date ]],N20912,RawData[Month List],$Q$6,RawData[Tour/Site],$Q$2,RawData[[Picker ID ]],$Q$3,RawData[Checker ID],$Q$4,RawData[[Error Type ]],$Q$5))</f>
        <v/>
      </c>
    </row>
    <row r="20913" spans="15:15" x14ac:dyDescent="0.25">
      <c r="O20913" s="20" t="str">
        <f>IF(N20913="","",COUNTIFS(RawData[[Date ]],N20913,RawData[Month List],$Q$6,RawData[Tour/Site],$Q$2,RawData[[Picker ID ]],$Q$3,RawData[Checker ID],$Q$4,RawData[[Error Type ]],$Q$5))</f>
        <v/>
      </c>
    </row>
    <row r="20914" spans="15:15" x14ac:dyDescent="0.25">
      <c r="O20914" s="20" t="str">
        <f>IF(N20914="","",COUNTIFS(RawData[[Date ]],N20914,RawData[Month List],$Q$6,RawData[Tour/Site],$Q$2,RawData[[Picker ID ]],$Q$3,RawData[Checker ID],$Q$4,RawData[[Error Type ]],$Q$5))</f>
        <v/>
      </c>
    </row>
    <row r="20915" spans="15:15" x14ac:dyDescent="0.25">
      <c r="O20915" s="20" t="str">
        <f>IF(N20915="","",COUNTIFS(RawData[[Date ]],N20915,RawData[Month List],$Q$6,RawData[Tour/Site],$Q$2,RawData[[Picker ID ]],$Q$3,RawData[Checker ID],$Q$4,RawData[[Error Type ]],$Q$5))</f>
        <v/>
      </c>
    </row>
    <row r="20916" spans="15:15" x14ac:dyDescent="0.25">
      <c r="O20916" s="20" t="str">
        <f>IF(N20916="","",COUNTIFS(RawData[[Date ]],N20916,RawData[Month List],$Q$6,RawData[Tour/Site],$Q$2,RawData[[Picker ID ]],$Q$3,RawData[Checker ID],$Q$4,RawData[[Error Type ]],$Q$5))</f>
        <v/>
      </c>
    </row>
    <row r="20917" spans="15:15" x14ac:dyDescent="0.25">
      <c r="O20917" s="20" t="str">
        <f>IF(N20917="","",COUNTIFS(RawData[[Date ]],N20917,RawData[Month List],$Q$6,RawData[Tour/Site],$Q$2,RawData[[Picker ID ]],$Q$3,RawData[Checker ID],$Q$4,RawData[[Error Type ]],$Q$5))</f>
        <v/>
      </c>
    </row>
    <row r="20918" spans="15:15" x14ac:dyDescent="0.25">
      <c r="O20918" s="20" t="str">
        <f>IF(N20918="","",COUNTIFS(RawData[[Date ]],N20918,RawData[Month List],$Q$6,RawData[Tour/Site],$Q$2,RawData[[Picker ID ]],$Q$3,RawData[Checker ID],$Q$4,RawData[[Error Type ]],$Q$5))</f>
        <v/>
      </c>
    </row>
    <row r="20919" spans="15:15" x14ac:dyDescent="0.25">
      <c r="O20919" s="20" t="str">
        <f>IF(N20919="","",COUNTIFS(RawData[[Date ]],N20919,RawData[Month List],$Q$6,RawData[Tour/Site],$Q$2,RawData[[Picker ID ]],$Q$3,RawData[Checker ID],$Q$4,RawData[[Error Type ]],$Q$5))</f>
        <v/>
      </c>
    </row>
    <row r="20920" spans="15:15" x14ac:dyDescent="0.25">
      <c r="O20920" s="20" t="str">
        <f>IF(N20920="","",COUNTIFS(RawData[[Date ]],N20920,RawData[Month List],$Q$6,RawData[Tour/Site],$Q$2,RawData[[Picker ID ]],$Q$3,RawData[Checker ID],$Q$4,RawData[[Error Type ]],$Q$5))</f>
        <v/>
      </c>
    </row>
    <row r="20921" spans="15:15" x14ac:dyDescent="0.25">
      <c r="O20921" s="20" t="str">
        <f>IF(N20921="","",COUNTIFS(RawData[[Date ]],N20921,RawData[Month List],$Q$6,RawData[Tour/Site],$Q$2,RawData[[Picker ID ]],$Q$3,RawData[Checker ID],$Q$4,RawData[[Error Type ]],$Q$5))</f>
        <v/>
      </c>
    </row>
    <row r="20922" spans="15:15" x14ac:dyDescent="0.25">
      <c r="O20922" s="20" t="str">
        <f>IF(N20922="","",COUNTIFS(RawData[[Date ]],N20922,RawData[Month List],$Q$6,RawData[Tour/Site],$Q$2,RawData[[Picker ID ]],$Q$3,RawData[Checker ID],$Q$4,RawData[[Error Type ]],$Q$5))</f>
        <v/>
      </c>
    </row>
    <row r="20923" spans="15:15" x14ac:dyDescent="0.25">
      <c r="O20923" s="20" t="str">
        <f>IF(N20923="","",COUNTIFS(RawData[[Date ]],N20923,RawData[Month List],$Q$6,RawData[Tour/Site],$Q$2,RawData[[Picker ID ]],$Q$3,RawData[Checker ID],$Q$4,RawData[[Error Type ]],$Q$5))</f>
        <v/>
      </c>
    </row>
    <row r="20924" spans="15:15" x14ac:dyDescent="0.25">
      <c r="O20924" s="20" t="str">
        <f>IF(N20924="","",COUNTIFS(RawData[[Date ]],N20924,RawData[Month List],$Q$6,RawData[Tour/Site],$Q$2,RawData[[Picker ID ]],$Q$3,RawData[Checker ID],$Q$4,RawData[[Error Type ]],$Q$5))</f>
        <v/>
      </c>
    </row>
    <row r="20925" spans="15:15" x14ac:dyDescent="0.25">
      <c r="O20925" s="20" t="str">
        <f>IF(N20925="","",COUNTIFS(RawData[[Date ]],N20925,RawData[Month List],$Q$6,RawData[Tour/Site],$Q$2,RawData[[Picker ID ]],$Q$3,RawData[Checker ID],$Q$4,RawData[[Error Type ]],$Q$5))</f>
        <v/>
      </c>
    </row>
    <row r="20926" spans="15:15" x14ac:dyDescent="0.25">
      <c r="O20926" s="20" t="str">
        <f>IF(N20926="","",COUNTIFS(RawData[[Date ]],N20926,RawData[Month List],$Q$6,RawData[Tour/Site],$Q$2,RawData[[Picker ID ]],$Q$3,RawData[Checker ID],$Q$4,RawData[[Error Type ]],$Q$5))</f>
        <v/>
      </c>
    </row>
    <row r="20927" spans="15:15" x14ac:dyDescent="0.25">
      <c r="O20927" s="20" t="str">
        <f>IF(N20927="","",COUNTIFS(RawData[[Date ]],N20927,RawData[Month List],$Q$6,RawData[Tour/Site],$Q$2,RawData[[Picker ID ]],$Q$3,RawData[Checker ID],$Q$4,RawData[[Error Type ]],$Q$5))</f>
        <v/>
      </c>
    </row>
    <row r="20928" spans="15:15" x14ac:dyDescent="0.25">
      <c r="O20928" s="20" t="str">
        <f>IF(N20928="","",COUNTIFS(RawData[[Date ]],N20928,RawData[Month List],$Q$6,RawData[Tour/Site],$Q$2,RawData[[Picker ID ]],$Q$3,RawData[Checker ID],$Q$4,RawData[[Error Type ]],$Q$5))</f>
        <v/>
      </c>
    </row>
    <row r="20929" spans="15:15" x14ac:dyDescent="0.25">
      <c r="O20929" s="20" t="str">
        <f>IF(N20929="","",COUNTIFS(RawData[[Date ]],N20929,RawData[Month List],$Q$6,RawData[Tour/Site],$Q$2,RawData[[Picker ID ]],$Q$3,RawData[Checker ID],$Q$4,RawData[[Error Type ]],$Q$5))</f>
        <v/>
      </c>
    </row>
    <row r="20930" spans="15:15" x14ac:dyDescent="0.25">
      <c r="O20930" s="20" t="str">
        <f>IF(N20930="","",COUNTIFS(RawData[[Date ]],N20930,RawData[Month List],$Q$6,RawData[Tour/Site],$Q$2,RawData[[Picker ID ]],$Q$3,RawData[Checker ID],$Q$4,RawData[[Error Type ]],$Q$5))</f>
        <v/>
      </c>
    </row>
    <row r="20931" spans="15:15" x14ac:dyDescent="0.25">
      <c r="O20931" s="20" t="str">
        <f>IF(N20931="","",COUNTIFS(RawData[[Date ]],N20931,RawData[Month List],$Q$6,RawData[Tour/Site],$Q$2,RawData[[Picker ID ]],$Q$3,RawData[Checker ID],$Q$4,RawData[[Error Type ]],$Q$5))</f>
        <v/>
      </c>
    </row>
    <row r="20932" spans="15:15" x14ac:dyDescent="0.25">
      <c r="O20932" s="20" t="str">
        <f>IF(N20932="","",COUNTIFS(RawData[[Date ]],N20932,RawData[Month List],$Q$6,RawData[Tour/Site],$Q$2,RawData[[Picker ID ]],$Q$3,RawData[Checker ID],$Q$4,RawData[[Error Type ]],$Q$5))</f>
        <v/>
      </c>
    </row>
    <row r="20933" spans="15:15" x14ac:dyDescent="0.25">
      <c r="O20933" s="20" t="str">
        <f>IF(N20933="","",COUNTIFS(RawData[[Date ]],N20933,RawData[Month List],$Q$6,RawData[Tour/Site],$Q$2,RawData[[Picker ID ]],$Q$3,RawData[Checker ID],$Q$4,RawData[[Error Type ]],$Q$5))</f>
        <v/>
      </c>
    </row>
    <row r="20934" spans="15:15" x14ac:dyDescent="0.25">
      <c r="O20934" s="20" t="str">
        <f>IF(N20934="","",COUNTIFS(RawData[[Date ]],N20934,RawData[Month List],$Q$6,RawData[Tour/Site],$Q$2,RawData[[Picker ID ]],$Q$3,RawData[Checker ID],$Q$4,RawData[[Error Type ]],$Q$5))</f>
        <v/>
      </c>
    </row>
    <row r="20935" spans="15:15" x14ac:dyDescent="0.25">
      <c r="O20935" s="20" t="str">
        <f>IF(N20935="","",COUNTIFS(RawData[[Date ]],N20935,RawData[Month List],$Q$6,RawData[Tour/Site],$Q$2,RawData[[Picker ID ]],$Q$3,RawData[Checker ID],$Q$4,RawData[[Error Type ]],$Q$5))</f>
        <v/>
      </c>
    </row>
    <row r="20936" spans="15:15" x14ac:dyDescent="0.25">
      <c r="O20936" s="20" t="str">
        <f>IF(N20936="","",COUNTIFS(RawData[[Date ]],N20936,RawData[Month List],$Q$6,RawData[Tour/Site],$Q$2,RawData[[Picker ID ]],$Q$3,RawData[Checker ID],$Q$4,RawData[[Error Type ]],$Q$5))</f>
        <v/>
      </c>
    </row>
    <row r="20937" spans="15:15" x14ac:dyDescent="0.25">
      <c r="O20937" s="20" t="str">
        <f>IF(N20937="","",COUNTIFS(RawData[[Date ]],N20937,RawData[Month List],$Q$6,RawData[Tour/Site],$Q$2,RawData[[Picker ID ]],$Q$3,RawData[Checker ID],$Q$4,RawData[[Error Type ]],$Q$5))</f>
        <v/>
      </c>
    </row>
    <row r="20938" spans="15:15" x14ac:dyDescent="0.25">
      <c r="O20938" s="20" t="str">
        <f>IF(N20938="","",COUNTIFS(RawData[[Date ]],N20938,RawData[Month List],$Q$6,RawData[Tour/Site],$Q$2,RawData[[Picker ID ]],$Q$3,RawData[Checker ID],$Q$4,RawData[[Error Type ]],$Q$5))</f>
        <v/>
      </c>
    </row>
    <row r="20939" spans="15:15" x14ac:dyDescent="0.25">
      <c r="O20939" s="20" t="str">
        <f>IF(N20939="","",COUNTIFS(RawData[[Date ]],N20939,RawData[Month List],$Q$6,RawData[Tour/Site],$Q$2,RawData[[Picker ID ]],$Q$3,RawData[Checker ID],$Q$4,RawData[[Error Type ]],$Q$5))</f>
        <v/>
      </c>
    </row>
    <row r="20940" spans="15:15" x14ac:dyDescent="0.25">
      <c r="O20940" s="20" t="str">
        <f>IF(N20940="","",COUNTIFS(RawData[[Date ]],N20940,RawData[Month List],$Q$6,RawData[Tour/Site],$Q$2,RawData[[Picker ID ]],$Q$3,RawData[Checker ID],$Q$4,RawData[[Error Type ]],$Q$5))</f>
        <v/>
      </c>
    </row>
    <row r="20941" spans="15:15" x14ac:dyDescent="0.25">
      <c r="O20941" s="20" t="str">
        <f>IF(N20941="","",COUNTIFS(RawData[[Date ]],N20941,RawData[Month List],$Q$6,RawData[Tour/Site],$Q$2,RawData[[Picker ID ]],$Q$3,RawData[Checker ID],$Q$4,RawData[[Error Type ]],$Q$5))</f>
        <v/>
      </c>
    </row>
    <row r="20942" spans="15:15" x14ac:dyDescent="0.25">
      <c r="O20942" s="20" t="str">
        <f>IF(N20942="","",COUNTIFS(RawData[[Date ]],N20942,RawData[Month List],$Q$6,RawData[Tour/Site],$Q$2,RawData[[Picker ID ]],$Q$3,RawData[Checker ID],$Q$4,RawData[[Error Type ]],$Q$5))</f>
        <v/>
      </c>
    </row>
    <row r="20943" spans="15:15" x14ac:dyDescent="0.25">
      <c r="O20943" s="20" t="str">
        <f>IF(N20943="","",COUNTIFS(RawData[[Date ]],N20943,RawData[Month List],$Q$6,RawData[Tour/Site],$Q$2,RawData[[Picker ID ]],$Q$3,RawData[Checker ID],$Q$4,RawData[[Error Type ]],$Q$5))</f>
        <v/>
      </c>
    </row>
    <row r="20944" spans="15:15" x14ac:dyDescent="0.25">
      <c r="O20944" s="20" t="str">
        <f>IF(N20944="","",COUNTIFS(RawData[[Date ]],N20944,RawData[Month List],$Q$6,RawData[Tour/Site],$Q$2,RawData[[Picker ID ]],$Q$3,RawData[Checker ID],$Q$4,RawData[[Error Type ]],$Q$5))</f>
        <v/>
      </c>
    </row>
    <row r="20945" spans="15:15" x14ac:dyDescent="0.25">
      <c r="O20945" s="20" t="str">
        <f>IF(N20945="","",COUNTIFS(RawData[[Date ]],N20945,RawData[Month List],$Q$6,RawData[Tour/Site],$Q$2,RawData[[Picker ID ]],$Q$3,RawData[Checker ID],$Q$4,RawData[[Error Type ]],$Q$5))</f>
        <v/>
      </c>
    </row>
    <row r="20946" spans="15:15" x14ac:dyDescent="0.25">
      <c r="O20946" s="20" t="str">
        <f>IF(N20946="","",COUNTIFS(RawData[[Date ]],N20946,RawData[Month List],$Q$6,RawData[Tour/Site],$Q$2,RawData[[Picker ID ]],$Q$3,RawData[Checker ID],$Q$4,RawData[[Error Type ]],$Q$5))</f>
        <v/>
      </c>
    </row>
    <row r="20947" spans="15:15" x14ac:dyDescent="0.25">
      <c r="O20947" s="20" t="str">
        <f>IF(N20947="","",COUNTIFS(RawData[[Date ]],N20947,RawData[Month List],$Q$6,RawData[Tour/Site],$Q$2,RawData[[Picker ID ]],$Q$3,RawData[Checker ID],$Q$4,RawData[[Error Type ]],$Q$5))</f>
        <v/>
      </c>
    </row>
    <row r="20948" spans="15:15" x14ac:dyDescent="0.25">
      <c r="O20948" s="20" t="str">
        <f>IF(N20948="","",COUNTIFS(RawData[[Date ]],N20948,RawData[Month List],$Q$6,RawData[Tour/Site],$Q$2,RawData[[Picker ID ]],$Q$3,RawData[Checker ID],$Q$4,RawData[[Error Type ]],$Q$5))</f>
        <v/>
      </c>
    </row>
    <row r="20949" spans="15:15" x14ac:dyDescent="0.25">
      <c r="O20949" s="20" t="str">
        <f>IF(N20949="","",COUNTIFS(RawData[[Date ]],N20949,RawData[Month List],$Q$6,RawData[Tour/Site],$Q$2,RawData[[Picker ID ]],$Q$3,RawData[Checker ID],$Q$4,RawData[[Error Type ]],$Q$5))</f>
        <v/>
      </c>
    </row>
    <row r="20950" spans="15:15" x14ac:dyDescent="0.25">
      <c r="O20950" s="20" t="str">
        <f>IF(N20950="","",COUNTIFS(RawData[[Date ]],N20950,RawData[Month List],$Q$6,RawData[Tour/Site],$Q$2,RawData[[Picker ID ]],$Q$3,RawData[Checker ID],$Q$4,RawData[[Error Type ]],$Q$5))</f>
        <v/>
      </c>
    </row>
    <row r="20951" spans="15:15" x14ac:dyDescent="0.25">
      <c r="O20951" s="20" t="str">
        <f>IF(N20951="","",COUNTIFS(RawData[[Date ]],N20951,RawData[Month List],$Q$6,RawData[Tour/Site],$Q$2,RawData[[Picker ID ]],$Q$3,RawData[Checker ID],$Q$4,RawData[[Error Type ]],$Q$5))</f>
        <v/>
      </c>
    </row>
    <row r="20952" spans="15:15" x14ac:dyDescent="0.25">
      <c r="O20952" s="20" t="str">
        <f>IF(N20952="","",COUNTIFS(RawData[[Date ]],N20952,RawData[Month List],$Q$6,RawData[Tour/Site],$Q$2,RawData[[Picker ID ]],$Q$3,RawData[Checker ID],$Q$4,RawData[[Error Type ]],$Q$5))</f>
        <v/>
      </c>
    </row>
    <row r="20953" spans="15:15" x14ac:dyDescent="0.25">
      <c r="O20953" s="20" t="str">
        <f>IF(N20953="","",COUNTIFS(RawData[[Date ]],N20953,RawData[Month List],$Q$6,RawData[Tour/Site],$Q$2,RawData[[Picker ID ]],$Q$3,RawData[Checker ID],$Q$4,RawData[[Error Type ]],$Q$5))</f>
        <v/>
      </c>
    </row>
    <row r="20954" spans="15:15" x14ac:dyDescent="0.25">
      <c r="O20954" s="20" t="str">
        <f>IF(N20954="","",COUNTIFS(RawData[[Date ]],N20954,RawData[Month List],$Q$6,RawData[Tour/Site],$Q$2,RawData[[Picker ID ]],$Q$3,RawData[Checker ID],$Q$4,RawData[[Error Type ]],$Q$5))</f>
        <v/>
      </c>
    </row>
    <row r="20955" spans="15:15" x14ac:dyDescent="0.25">
      <c r="O20955" s="20" t="str">
        <f>IF(N20955="","",COUNTIFS(RawData[[Date ]],N20955,RawData[Month List],$Q$6,RawData[Tour/Site],$Q$2,RawData[[Picker ID ]],$Q$3,RawData[Checker ID],$Q$4,RawData[[Error Type ]],$Q$5))</f>
        <v/>
      </c>
    </row>
    <row r="20956" spans="15:15" x14ac:dyDescent="0.25">
      <c r="O20956" s="20" t="str">
        <f>IF(N20956="","",COUNTIFS(RawData[[Date ]],N20956,RawData[Month List],$Q$6,RawData[Tour/Site],$Q$2,RawData[[Picker ID ]],$Q$3,RawData[Checker ID],$Q$4,RawData[[Error Type ]],$Q$5))</f>
        <v/>
      </c>
    </row>
    <row r="20957" spans="15:15" x14ac:dyDescent="0.25">
      <c r="O20957" s="20" t="str">
        <f>IF(N20957="","",COUNTIFS(RawData[[Date ]],N20957,RawData[Month List],$Q$6,RawData[Tour/Site],$Q$2,RawData[[Picker ID ]],$Q$3,RawData[Checker ID],$Q$4,RawData[[Error Type ]],$Q$5))</f>
        <v/>
      </c>
    </row>
    <row r="20958" spans="15:15" x14ac:dyDescent="0.25">
      <c r="O20958" s="20" t="str">
        <f>IF(N20958="","",COUNTIFS(RawData[[Date ]],N20958,RawData[Month List],$Q$6,RawData[Tour/Site],$Q$2,RawData[[Picker ID ]],$Q$3,RawData[Checker ID],$Q$4,RawData[[Error Type ]],$Q$5))</f>
        <v/>
      </c>
    </row>
    <row r="20959" spans="15:15" x14ac:dyDescent="0.25">
      <c r="O20959" s="20" t="str">
        <f>IF(N20959="","",COUNTIFS(RawData[[Date ]],N20959,RawData[Month List],$Q$6,RawData[Tour/Site],$Q$2,RawData[[Picker ID ]],$Q$3,RawData[Checker ID],$Q$4,RawData[[Error Type ]],$Q$5))</f>
        <v/>
      </c>
    </row>
    <row r="20960" spans="15:15" x14ac:dyDescent="0.25">
      <c r="O20960" s="20" t="str">
        <f>IF(N20960="","",COUNTIFS(RawData[[Date ]],N20960,RawData[Month List],$Q$6,RawData[Tour/Site],$Q$2,RawData[[Picker ID ]],$Q$3,RawData[Checker ID],$Q$4,RawData[[Error Type ]],$Q$5))</f>
        <v/>
      </c>
    </row>
    <row r="20961" spans="15:15" x14ac:dyDescent="0.25">
      <c r="O20961" s="20" t="str">
        <f>IF(N20961="","",COUNTIFS(RawData[[Date ]],N20961,RawData[Month List],$Q$6,RawData[Tour/Site],$Q$2,RawData[[Picker ID ]],$Q$3,RawData[Checker ID],$Q$4,RawData[[Error Type ]],$Q$5))</f>
        <v/>
      </c>
    </row>
    <row r="20962" spans="15:15" x14ac:dyDescent="0.25">
      <c r="O20962" s="20" t="str">
        <f>IF(N20962="","",COUNTIFS(RawData[[Date ]],N20962,RawData[Month List],$Q$6,RawData[Tour/Site],$Q$2,RawData[[Picker ID ]],$Q$3,RawData[Checker ID],$Q$4,RawData[[Error Type ]],$Q$5))</f>
        <v/>
      </c>
    </row>
    <row r="20963" spans="15:15" x14ac:dyDescent="0.25">
      <c r="O20963" s="20" t="str">
        <f>IF(N20963="","",COUNTIFS(RawData[[Date ]],N20963,RawData[Month List],$Q$6,RawData[Tour/Site],$Q$2,RawData[[Picker ID ]],$Q$3,RawData[Checker ID],$Q$4,RawData[[Error Type ]],$Q$5))</f>
        <v/>
      </c>
    </row>
    <row r="20964" spans="15:15" x14ac:dyDescent="0.25">
      <c r="O20964" s="20" t="str">
        <f>IF(N20964="","",COUNTIFS(RawData[[Date ]],N20964,RawData[Month List],$Q$6,RawData[Tour/Site],$Q$2,RawData[[Picker ID ]],$Q$3,RawData[Checker ID],$Q$4,RawData[[Error Type ]],$Q$5))</f>
        <v/>
      </c>
    </row>
    <row r="20965" spans="15:15" x14ac:dyDescent="0.25">
      <c r="O20965" s="20" t="str">
        <f>IF(N20965="","",COUNTIFS(RawData[[Date ]],N20965,RawData[Month List],$Q$6,RawData[Tour/Site],$Q$2,RawData[[Picker ID ]],$Q$3,RawData[Checker ID],$Q$4,RawData[[Error Type ]],$Q$5))</f>
        <v/>
      </c>
    </row>
    <row r="20966" spans="15:15" x14ac:dyDescent="0.25">
      <c r="O20966" s="20" t="str">
        <f>IF(N20966="","",COUNTIFS(RawData[[Date ]],N20966,RawData[Month List],$Q$6,RawData[Tour/Site],$Q$2,RawData[[Picker ID ]],$Q$3,RawData[Checker ID],$Q$4,RawData[[Error Type ]],$Q$5))</f>
        <v/>
      </c>
    </row>
    <row r="20967" spans="15:15" x14ac:dyDescent="0.25">
      <c r="O20967" s="20" t="str">
        <f>IF(N20967="","",COUNTIFS(RawData[[Date ]],N20967,RawData[Month List],$Q$6,RawData[Tour/Site],$Q$2,RawData[[Picker ID ]],$Q$3,RawData[Checker ID],$Q$4,RawData[[Error Type ]],$Q$5))</f>
        <v/>
      </c>
    </row>
    <row r="20968" spans="15:15" x14ac:dyDescent="0.25">
      <c r="O20968" s="20" t="str">
        <f>IF(N20968="","",COUNTIFS(RawData[[Date ]],N20968,RawData[Month List],$Q$6,RawData[Tour/Site],$Q$2,RawData[[Picker ID ]],$Q$3,RawData[Checker ID],$Q$4,RawData[[Error Type ]],$Q$5))</f>
        <v/>
      </c>
    </row>
    <row r="20969" spans="15:15" x14ac:dyDescent="0.25">
      <c r="O20969" s="20" t="str">
        <f>IF(N20969="","",COUNTIFS(RawData[[Date ]],N20969,RawData[Month List],$Q$6,RawData[Tour/Site],$Q$2,RawData[[Picker ID ]],$Q$3,RawData[Checker ID],$Q$4,RawData[[Error Type ]],$Q$5))</f>
        <v/>
      </c>
    </row>
    <row r="20970" spans="15:15" x14ac:dyDescent="0.25">
      <c r="O20970" s="20" t="str">
        <f>IF(N20970="","",COUNTIFS(RawData[[Date ]],N20970,RawData[Month List],$Q$6,RawData[Tour/Site],$Q$2,RawData[[Picker ID ]],$Q$3,RawData[Checker ID],$Q$4,RawData[[Error Type ]],$Q$5))</f>
        <v/>
      </c>
    </row>
    <row r="20971" spans="15:15" x14ac:dyDescent="0.25">
      <c r="O20971" s="20" t="str">
        <f>IF(N20971="","",COUNTIFS(RawData[[Date ]],N20971,RawData[Month List],$Q$6,RawData[Tour/Site],$Q$2,RawData[[Picker ID ]],$Q$3,RawData[Checker ID],$Q$4,RawData[[Error Type ]],$Q$5))</f>
        <v/>
      </c>
    </row>
    <row r="20972" spans="15:15" x14ac:dyDescent="0.25">
      <c r="O20972" s="20" t="str">
        <f>IF(N20972="","",COUNTIFS(RawData[[Date ]],N20972,RawData[Month List],$Q$6,RawData[Tour/Site],$Q$2,RawData[[Picker ID ]],$Q$3,RawData[Checker ID],$Q$4,RawData[[Error Type ]],$Q$5))</f>
        <v/>
      </c>
    </row>
    <row r="20973" spans="15:15" x14ac:dyDescent="0.25">
      <c r="O20973" s="20" t="str">
        <f>IF(N20973="","",COUNTIFS(RawData[[Date ]],N20973,RawData[Month List],$Q$6,RawData[Tour/Site],$Q$2,RawData[[Picker ID ]],$Q$3,RawData[Checker ID],$Q$4,RawData[[Error Type ]],$Q$5))</f>
        <v/>
      </c>
    </row>
    <row r="20974" spans="15:15" x14ac:dyDescent="0.25">
      <c r="O20974" s="20" t="str">
        <f>IF(N20974="","",COUNTIFS(RawData[[Date ]],N20974,RawData[Month List],$Q$6,RawData[Tour/Site],$Q$2,RawData[[Picker ID ]],$Q$3,RawData[Checker ID],$Q$4,RawData[[Error Type ]],$Q$5))</f>
        <v/>
      </c>
    </row>
    <row r="20975" spans="15:15" x14ac:dyDescent="0.25">
      <c r="O20975" s="20" t="str">
        <f>IF(N20975="","",COUNTIFS(RawData[[Date ]],N20975,RawData[Month List],$Q$6,RawData[Tour/Site],$Q$2,RawData[[Picker ID ]],$Q$3,RawData[Checker ID],$Q$4,RawData[[Error Type ]],$Q$5))</f>
        <v/>
      </c>
    </row>
    <row r="20976" spans="15:15" x14ac:dyDescent="0.25">
      <c r="O20976" s="20" t="str">
        <f>IF(N20976="","",COUNTIFS(RawData[[Date ]],N20976,RawData[Month List],$Q$6,RawData[Tour/Site],$Q$2,RawData[[Picker ID ]],$Q$3,RawData[Checker ID],$Q$4,RawData[[Error Type ]],$Q$5))</f>
        <v/>
      </c>
    </row>
    <row r="20977" spans="15:15" x14ac:dyDescent="0.25">
      <c r="O20977" s="20" t="str">
        <f>IF(N20977="","",COUNTIFS(RawData[[Date ]],N20977,RawData[Month List],$Q$6,RawData[Tour/Site],$Q$2,RawData[[Picker ID ]],$Q$3,RawData[Checker ID],$Q$4,RawData[[Error Type ]],$Q$5))</f>
        <v/>
      </c>
    </row>
    <row r="20978" spans="15:15" x14ac:dyDescent="0.25">
      <c r="O20978" s="20" t="str">
        <f>IF(N20978="","",COUNTIFS(RawData[[Date ]],N20978,RawData[Month List],$Q$6,RawData[Tour/Site],$Q$2,RawData[[Picker ID ]],$Q$3,RawData[Checker ID],$Q$4,RawData[[Error Type ]],$Q$5))</f>
        <v/>
      </c>
    </row>
    <row r="20979" spans="15:15" x14ac:dyDescent="0.25">
      <c r="O20979" s="20" t="str">
        <f>IF(N20979="","",COUNTIFS(RawData[[Date ]],N20979,RawData[Month List],$Q$6,RawData[Tour/Site],$Q$2,RawData[[Picker ID ]],$Q$3,RawData[Checker ID],$Q$4,RawData[[Error Type ]],$Q$5))</f>
        <v/>
      </c>
    </row>
    <row r="20980" spans="15:15" x14ac:dyDescent="0.25">
      <c r="O20980" s="20" t="str">
        <f>IF(N20980="","",COUNTIFS(RawData[[Date ]],N20980,RawData[Month List],$Q$6,RawData[Tour/Site],$Q$2,RawData[[Picker ID ]],$Q$3,RawData[Checker ID],$Q$4,RawData[[Error Type ]],$Q$5))</f>
        <v/>
      </c>
    </row>
    <row r="20981" spans="15:15" x14ac:dyDescent="0.25">
      <c r="O20981" s="20" t="str">
        <f>IF(N20981="","",COUNTIFS(RawData[[Date ]],N20981,RawData[Month List],$Q$6,RawData[Tour/Site],$Q$2,RawData[[Picker ID ]],$Q$3,RawData[Checker ID],$Q$4,RawData[[Error Type ]],$Q$5))</f>
        <v/>
      </c>
    </row>
    <row r="20982" spans="15:15" x14ac:dyDescent="0.25">
      <c r="O20982" s="20" t="str">
        <f>IF(N20982="","",COUNTIFS(RawData[[Date ]],N20982,RawData[Month List],$Q$6,RawData[Tour/Site],$Q$2,RawData[[Picker ID ]],$Q$3,RawData[Checker ID],$Q$4,RawData[[Error Type ]],$Q$5))</f>
        <v/>
      </c>
    </row>
    <row r="20983" spans="15:15" x14ac:dyDescent="0.25">
      <c r="O20983" s="20" t="str">
        <f>IF(N20983="","",COUNTIFS(RawData[[Date ]],N20983,RawData[Month List],$Q$6,RawData[Tour/Site],$Q$2,RawData[[Picker ID ]],$Q$3,RawData[Checker ID],$Q$4,RawData[[Error Type ]],$Q$5))</f>
        <v/>
      </c>
    </row>
    <row r="20984" spans="15:15" x14ac:dyDescent="0.25">
      <c r="O20984" s="20" t="str">
        <f>IF(N20984="","",COUNTIFS(RawData[[Date ]],N20984,RawData[Month List],$Q$6,RawData[Tour/Site],$Q$2,RawData[[Picker ID ]],$Q$3,RawData[Checker ID],$Q$4,RawData[[Error Type ]],$Q$5))</f>
        <v/>
      </c>
    </row>
    <row r="20985" spans="15:15" x14ac:dyDescent="0.25">
      <c r="O20985" s="20" t="str">
        <f>IF(N20985="","",COUNTIFS(RawData[[Date ]],N20985,RawData[Month List],$Q$6,RawData[Tour/Site],$Q$2,RawData[[Picker ID ]],$Q$3,RawData[Checker ID],$Q$4,RawData[[Error Type ]],$Q$5))</f>
        <v/>
      </c>
    </row>
    <row r="20986" spans="15:15" x14ac:dyDescent="0.25">
      <c r="O20986" s="20" t="str">
        <f>IF(N20986="","",COUNTIFS(RawData[[Date ]],N20986,RawData[Month List],$Q$6,RawData[Tour/Site],$Q$2,RawData[[Picker ID ]],$Q$3,RawData[Checker ID],$Q$4,RawData[[Error Type ]],$Q$5))</f>
        <v/>
      </c>
    </row>
    <row r="20987" spans="15:15" x14ac:dyDescent="0.25">
      <c r="O20987" s="20" t="str">
        <f>IF(N20987="","",COUNTIFS(RawData[[Date ]],N20987,RawData[Month List],$Q$6,RawData[Tour/Site],$Q$2,RawData[[Picker ID ]],$Q$3,RawData[Checker ID],$Q$4,RawData[[Error Type ]],$Q$5))</f>
        <v/>
      </c>
    </row>
    <row r="20988" spans="15:15" x14ac:dyDescent="0.25">
      <c r="O20988" s="20" t="str">
        <f>IF(N20988="","",COUNTIFS(RawData[[Date ]],N20988,RawData[Month List],$Q$6,RawData[Tour/Site],$Q$2,RawData[[Picker ID ]],$Q$3,RawData[Checker ID],$Q$4,RawData[[Error Type ]],$Q$5))</f>
        <v/>
      </c>
    </row>
    <row r="20989" spans="15:15" x14ac:dyDescent="0.25">
      <c r="O20989" s="20" t="str">
        <f>IF(N20989="","",COUNTIFS(RawData[[Date ]],N20989,RawData[Month List],$Q$6,RawData[Tour/Site],$Q$2,RawData[[Picker ID ]],$Q$3,RawData[Checker ID],$Q$4,RawData[[Error Type ]],$Q$5))</f>
        <v/>
      </c>
    </row>
    <row r="20990" spans="15:15" x14ac:dyDescent="0.25">
      <c r="O20990" s="20" t="str">
        <f>IF(N20990="","",COUNTIFS(RawData[[Date ]],N20990,RawData[Month List],$Q$6,RawData[Tour/Site],$Q$2,RawData[[Picker ID ]],$Q$3,RawData[Checker ID],$Q$4,RawData[[Error Type ]],$Q$5))</f>
        <v/>
      </c>
    </row>
    <row r="20991" spans="15:15" x14ac:dyDescent="0.25">
      <c r="O20991" s="20" t="str">
        <f>IF(N20991="","",COUNTIFS(RawData[[Date ]],N20991,RawData[Month List],$Q$6,RawData[Tour/Site],$Q$2,RawData[[Picker ID ]],$Q$3,RawData[Checker ID],$Q$4,RawData[[Error Type ]],$Q$5))</f>
        <v/>
      </c>
    </row>
    <row r="20992" spans="15:15" x14ac:dyDescent="0.25">
      <c r="O20992" s="20" t="str">
        <f>IF(N20992="","",COUNTIFS(RawData[[Date ]],N20992,RawData[Month List],$Q$6,RawData[Tour/Site],$Q$2,RawData[[Picker ID ]],$Q$3,RawData[Checker ID],$Q$4,RawData[[Error Type ]],$Q$5))</f>
        <v/>
      </c>
    </row>
    <row r="20993" spans="15:15" x14ac:dyDescent="0.25">
      <c r="O20993" s="20" t="str">
        <f>IF(N20993="","",COUNTIFS(RawData[[Date ]],N20993,RawData[Month List],$Q$6,RawData[Tour/Site],$Q$2,RawData[[Picker ID ]],$Q$3,RawData[Checker ID],$Q$4,RawData[[Error Type ]],$Q$5))</f>
        <v/>
      </c>
    </row>
    <row r="20994" spans="15:15" x14ac:dyDescent="0.25">
      <c r="O20994" s="20" t="str">
        <f>IF(N20994="","",COUNTIFS(RawData[[Date ]],N20994,RawData[Month List],$Q$6,RawData[Tour/Site],$Q$2,RawData[[Picker ID ]],$Q$3,RawData[Checker ID],$Q$4,RawData[[Error Type ]],$Q$5))</f>
        <v/>
      </c>
    </row>
    <row r="20995" spans="15:15" x14ac:dyDescent="0.25">
      <c r="O20995" s="20" t="str">
        <f>IF(N20995="","",COUNTIFS(RawData[[Date ]],N20995,RawData[Month List],$Q$6,RawData[Tour/Site],$Q$2,RawData[[Picker ID ]],$Q$3,RawData[Checker ID],$Q$4,RawData[[Error Type ]],$Q$5))</f>
        <v/>
      </c>
    </row>
    <row r="20996" spans="15:15" x14ac:dyDescent="0.25">
      <c r="O20996" s="20" t="str">
        <f>IF(N20996="","",COUNTIFS(RawData[[Date ]],N20996,RawData[Month List],$Q$6,RawData[Tour/Site],$Q$2,RawData[[Picker ID ]],$Q$3,RawData[Checker ID],$Q$4,RawData[[Error Type ]],$Q$5))</f>
        <v/>
      </c>
    </row>
    <row r="20997" spans="15:15" x14ac:dyDescent="0.25">
      <c r="O20997" s="20" t="str">
        <f>IF(N20997="","",COUNTIFS(RawData[[Date ]],N20997,RawData[Month List],$Q$6,RawData[Tour/Site],$Q$2,RawData[[Picker ID ]],$Q$3,RawData[Checker ID],$Q$4,RawData[[Error Type ]],$Q$5))</f>
        <v/>
      </c>
    </row>
    <row r="20998" spans="15:15" x14ac:dyDescent="0.25">
      <c r="O20998" s="20" t="str">
        <f>IF(N20998="","",COUNTIFS(RawData[[Date ]],N20998,RawData[Month List],$Q$6,RawData[Tour/Site],$Q$2,RawData[[Picker ID ]],$Q$3,RawData[Checker ID],$Q$4,RawData[[Error Type ]],$Q$5))</f>
        <v/>
      </c>
    </row>
    <row r="20999" spans="15:15" x14ac:dyDescent="0.25">
      <c r="O20999" s="20" t="str">
        <f>IF(N20999="","",COUNTIFS(RawData[[Date ]],N20999,RawData[Month List],$Q$6,RawData[Tour/Site],$Q$2,RawData[[Picker ID ]],$Q$3,RawData[Checker ID],$Q$4,RawData[[Error Type ]],$Q$5))</f>
        <v/>
      </c>
    </row>
    <row r="21000" spans="15:15" x14ac:dyDescent="0.25">
      <c r="O21000" s="20" t="str">
        <f>IF(N21000="","",COUNTIFS(RawData[[Date ]],N21000,RawData[Month List],$Q$6,RawData[Tour/Site],$Q$2,RawData[[Picker ID ]],$Q$3,RawData[Checker ID],$Q$4,RawData[[Error Type ]],$Q$5))</f>
        <v/>
      </c>
    </row>
    <row r="21001" spans="15:15" x14ac:dyDescent="0.25">
      <c r="O21001" s="20" t="str">
        <f>IF(N21001="","",COUNTIFS(RawData[[Date ]],N21001,RawData[Month List],$Q$6,RawData[Tour/Site],$Q$2,RawData[[Picker ID ]],$Q$3,RawData[Checker ID],$Q$4,RawData[[Error Type ]],$Q$5))</f>
        <v/>
      </c>
    </row>
    <row r="21002" spans="15:15" x14ac:dyDescent="0.25">
      <c r="O21002" s="20" t="str">
        <f>IF(N21002="","",COUNTIFS(RawData[[Date ]],N21002,RawData[Month List],$Q$6,RawData[Tour/Site],$Q$2,RawData[[Picker ID ]],$Q$3,RawData[Checker ID],$Q$4,RawData[[Error Type ]],$Q$5))</f>
        <v/>
      </c>
    </row>
    <row r="21003" spans="15:15" x14ac:dyDescent="0.25">
      <c r="O21003" s="20" t="str">
        <f>IF(N21003="","",COUNTIFS(RawData[[Date ]],N21003,RawData[Month List],$Q$6,RawData[Tour/Site],$Q$2,RawData[[Picker ID ]],$Q$3,RawData[Checker ID],$Q$4,RawData[[Error Type ]],$Q$5))</f>
        <v/>
      </c>
    </row>
    <row r="21004" spans="15:15" x14ac:dyDescent="0.25">
      <c r="O21004" s="20" t="str">
        <f>IF(N21004="","",COUNTIFS(RawData[[Date ]],N21004,RawData[Month List],$Q$6,RawData[Tour/Site],$Q$2,RawData[[Picker ID ]],$Q$3,RawData[Checker ID],$Q$4,RawData[[Error Type ]],$Q$5))</f>
        <v/>
      </c>
    </row>
    <row r="21005" spans="15:15" x14ac:dyDescent="0.25">
      <c r="O21005" s="20" t="str">
        <f>IF(N21005="","",COUNTIFS(RawData[[Date ]],N21005,RawData[Month List],$Q$6,RawData[Tour/Site],$Q$2,RawData[[Picker ID ]],$Q$3,RawData[Checker ID],$Q$4,RawData[[Error Type ]],$Q$5))</f>
        <v/>
      </c>
    </row>
    <row r="21006" spans="15:15" x14ac:dyDescent="0.25">
      <c r="O21006" s="20" t="str">
        <f>IF(N21006="","",COUNTIFS(RawData[[Date ]],N21006,RawData[Month List],$Q$6,RawData[Tour/Site],$Q$2,RawData[[Picker ID ]],$Q$3,RawData[Checker ID],$Q$4,RawData[[Error Type ]],$Q$5))</f>
        <v/>
      </c>
    </row>
    <row r="21007" spans="15:15" x14ac:dyDescent="0.25">
      <c r="O21007" s="20" t="str">
        <f>IF(N21007="","",COUNTIFS(RawData[[Date ]],N21007,RawData[Month List],$Q$6,RawData[Tour/Site],$Q$2,RawData[[Picker ID ]],$Q$3,RawData[Checker ID],$Q$4,RawData[[Error Type ]],$Q$5))</f>
        <v/>
      </c>
    </row>
    <row r="21008" spans="15:15" x14ac:dyDescent="0.25">
      <c r="O21008" s="20" t="str">
        <f>IF(N21008="","",COUNTIFS(RawData[[Date ]],N21008,RawData[Month List],$Q$6,RawData[Tour/Site],$Q$2,RawData[[Picker ID ]],$Q$3,RawData[Checker ID],$Q$4,RawData[[Error Type ]],$Q$5))</f>
        <v/>
      </c>
    </row>
    <row r="21009" spans="15:15" x14ac:dyDescent="0.25">
      <c r="O21009" s="20" t="str">
        <f>IF(N21009="","",COUNTIFS(RawData[[Date ]],N21009,RawData[Month List],$Q$6,RawData[Tour/Site],$Q$2,RawData[[Picker ID ]],$Q$3,RawData[Checker ID],$Q$4,RawData[[Error Type ]],$Q$5))</f>
        <v/>
      </c>
    </row>
    <row r="21010" spans="15:15" x14ac:dyDescent="0.25">
      <c r="O21010" s="20" t="str">
        <f>IF(N21010="","",COUNTIFS(RawData[[Date ]],N21010,RawData[Month List],$Q$6,RawData[Tour/Site],$Q$2,RawData[[Picker ID ]],$Q$3,RawData[Checker ID],$Q$4,RawData[[Error Type ]],$Q$5))</f>
        <v/>
      </c>
    </row>
    <row r="21011" spans="15:15" x14ac:dyDescent="0.25">
      <c r="O21011" s="20" t="str">
        <f>IF(N21011="","",COUNTIFS(RawData[[Date ]],N21011,RawData[Month List],$Q$6,RawData[Tour/Site],$Q$2,RawData[[Picker ID ]],$Q$3,RawData[Checker ID],$Q$4,RawData[[Error Type ]],$Q$5))</f>
        <v/>
      </c>
    </row>
    <row r="21012" spans="15:15" x14ac:dyDescent="0.25">
      <c r="O21012" s="20" t="str">
        <f>IF(N21012="","",COUNTIFS(RawData[[Date ]],N21012,RawData[Month List],$Q$6,RawData[Tour/Site],$Q$2,RawData[[Picker ID ]],$Q$3,RawData[Checker ID],$Q$4,RawData[[Error Type ]],$Q$5))</f>
        <v/>
      </c>
    </row>
    <row r="21013" spans="15:15" x14ac:dyDescent="0.25">
      <c r="O21013" s="20" t="str">
        <f>IF(N21013="","",COUNTIFS(RawData[[Date ]],N21013,RawData[Month List],$Q$6,RawData[Tour/Site],$Q$2,RawData[[Picker ID ]],$Q$3,RawData[Checker ID],$Q$4,RawData[[Error Type ]],$Q$5))</f>
        <v/>
      </c>
    </row>
    <row r="21014" spans="15:15" x14ac:dyDescent="0.25">
      <c r="O21014" s="20" t="str">
        <f>IF(N21014="","",COUNTIFS(RawData[[Date ]],N21014,RawData[Month List],$Q$6,RawData[Tour/Site],$Q$2,RawData[[Picker ID ]],$Q$3,RawData[Checker ID],$Q$4,RawData[[Error Type ]],$Q$5))</f>
        <v/>
      </c>
    </row>
    <row r="21015" spans="15:15" x14ac:dyDescent="0.25">
      <c r="O21015" s="20" t="str">
        <f>IF(N21015="","",COUNTIFS(RawData[[Date ]],N21015,RawData[Month List],$Q$6,RawData[Tour/Site],$Q$2,RawData[[Picker ID ]],$Q$3,RawData[Checker ID],$Q$4,RawData[[Error Type ]],$Q$5))</f>
        <v/>
      </c>
    </row>
    <row r="21016" spans="15:15" x14ac:dyDescent="0.25">
      <c r="O21016" s="20" t="str">
        <f>IF(N21016="","",COUNTIFS(RawData[[Date ]],N21016,RawData[Month List],$Q$6,RawData[Tour/Site],$Q$2,RawData[[Picker ID ]],$Q$3,RawData[Checker ID],$Q$4,RawData[[Error Type ]],$Q$5))</f>
        <v/>
      </c>
    </row>
    <row r="21017" spans="15:15" x14ac:dyDescent="0.25">
      <c r="O21017" s="20" t="str">
        <f>IF(N21017="","",COUNTIFS(RawData[[Date ]],N21017,RawData[Month List],$Q$6,RawData[Tour/Site],$Q$2,RawData[[Picker ID ]],$Q$3,RawData[Checker ID],$Q$4,RawData[[Error Type ]],$Q$5))</f>
        <v/>
      </c>
    </row>
    <row r="21018" spans="15:15" x14ac:dyDescent="0.25">
      <c r="O21018" s="20" t="str">
        <f>IF(N21018="","",COUNTIFS(RawData[[Date ]],N21018,RawData[Month List],$Q$6,RawData[Tour/Site],$Q$2,RawData[[Picker ID ]],$Q$3,RawData[Checker ID],$Q$4,RawData[[Error Type ]],$Q$5))</f>
        <v/>
      </c>
    </row>
    <row r="21019" spans="15:15" x14ac:dyDescent="0.25">
      <c r="O21019" s="20" t="str">
        <f>IF(N21019="","",COUNTIFS(RawData[[Date ]],N21019,RawData[Month List],$Q$6,RawData[Tour/Site],$Q$2,RawData[[Picker ID ]],$Q$3,RawData[Checker ID],$Q$4,RawData[[Error Type ]],$Q$5))</f>
        <v/>
      </c>
    </row>
    <row r="21020" spans="15:15" x14ac:dyDescent="0.25">
      <c r="O21020" s="20" t="str">
        <f>IF(N21020="","",COUNTIFS(RawData[[Date ]],N21020,RawData[Month List],$Q$6,RawData[Tour/Site],$Q$2,RawData[[Picker ID ]],$Q$3,RawData[Checker ID],$Q$4,RawData[[Error Type ]],$Q$5))</f>
        <v/>
      </c>
    </row>
    <row r="21021" spans="15:15" x14ac:dyDescent="0.25">
      <c r="O21021" s="20" t="str">
        <f>IF(N21021="","",COUNTIFS(RawData[[Date ]],N21021,RawData[Month List],$Q$6,RawData[Tour/Site],$Q$2,RawData[[Picker ID ]],$Q$3,RawData[Checker ID],$Q$4,RawData[[Error Type ]],$Q$5))</f>
        <v/>
      </c>
    </row>
    <row r="21022" spans="15:15" x14ac:dyDescent="0.25">
      <c r="O21022" s="20" t="str">
        <f>IF(N21022="","",COUNTIFS(RawData[[Date ]],N21022,RawData[Month List],$Q$6,RawData[Tour/Site],$Q$2,RawData[[Picker ID ]],$Q$3,RawData[Checker ID],$Q$4,RawData[[Error Type ]],$Q$5))</f>
        <v/>
      </c>
    </row>
    <row r="21023" spans="15:15" x14ac:dyDescent="0.25">
      <c r="O21023" s="20" t="str">
        <f>IF(N21023="","",COUNTIFS(RawData[[Date ]],N21023,RawData[Month List],$Q$6,RawData[Tour/Site],$Q$2,RawData[[Picker ID ]],$Q$3,RawData[Checker ID],$Q$4,RawData[[Error Type ]],$Q$5))</f>
        <v/>
      </c>
    </row>
    <row r="21024" spans="15:15" x14ac:dyDescent="0.25">
      <c r="O21024" s="20" t="str">
        <f>IF(N21024="","",COUNTIFS(RawData[[Date ]],N21024,RawData[Month List],$Q$6,RawData[Tour/Site],$Q$2,RawData[[Picker ID ]],$Q$3,RawData[Checker ID],$Q$4,RawData[[Error Type ]],$Q$5))</f>
        <v/>
      </c>
    </row>
    <row r="21025" spans="15:15" x14ac:dyDescent="0.25">
      <c r="O21025" s="20" t="str">
        <f>IF(N21025="","",COUNTIFS(RawData[[Date ]],N21025,RawData[Month List],$Q$6,RawData[Tour/Site],$Q$2,RawData[[Picker ID ]],$Q$3,RawData[Checker ID],$Q$4,RawData[[Error Type ]],$Q$5))</f>
        <v/>
      </c>
    </row>
    <row r="21026" spans="15:15" x14ac:dyDescent="0.25">
      <c r="O21026" s="20" t="str">
        <f>IF(N21026="","",COUNTIFS(RawData[[Date ]],N21026,RawData[Month List],$Q$6,RawData[Tour/Site],$Q$2,RawData[[Picker ID ]],$Q$3,RawData[Checker ID],$Q$4,RawData[[Error Type ]],$Q$5))</f>
        <v/>
      </c>
    </row>
    <row r="21027" spans="15:15" x14ac:dyDescent="0.25">
      <c r="O21027" s="20" t="str">
        <f>IF(N21027="","",COUNTIFS(RawData[[Date ]],N21027,RawData[Month List],$Q$6,RawData[Tour/Site],$Q$2,RawData[[Picker ID ]],$Q$3,RawData[Checker ID],$Q$4,RawData[[Error Type ]],$Q$5))</f>
        <v/>
      </c>
    </row>
    <row r="21028" spans="15:15" x14ac:dyDescent="0.25">
      <c r="O21028" s="20" t="str">
        <f>IF(N21028="","",COUNTIFS(RawData[[Date ]],N21028,RawData[Month List],$Q$6,RawData[Tour/Site],$Q$2,RawData[[Picker ID ]],$Q$3,RawData[Checker ID],$Q$4,RawData[[Error Type ]],$Q$5))</f>
        <v/>
      </c>
    </row>
    <row r="21029" spans="15:15" x14ac:dyDescent="0.25">
      <c r="O21029" s="20" t="str">
        <f>IF(N21029="","",COUNTIFS(RawData[[Date ]],N21029,RawData[Month List],$Q$6,RawData[Tour/Site],$Q$2,RawData[[Picker ID ]],$Q$3,RawData[Checker ID],$Q$4,RawData[[Error Type ]],$Q$5))</f>
        <v/>
      </c>
    </row>
    <row r="21030" spans="15:15" x14ac:dyDescent="0.25">
      <c r="O21030" s="20" t="str">
        <f>IF(N21030="","",COUNTIFS(RawData[[Date ]],N21030,RawData[Month List],$Q$6,RawData[Tour/Site],$Q$2,RawData[[Picker ID ]],$Q$3,RawData[Checker ID],$Q$4,RawData[[Error Type ]],$Q$5))</f>
        <v/>
      </c>
    </row>
    <row r="21031" spans="15:15" x14ac:dyDescent="0.25">
      <c r="O21031" s="20" t="str">
        <f>IF(N21031="","",COUNTIFS(RawData[[Date ]],N21031,RawData[Month List],$Q$6,RawData[Tour/Site],$Q$2,RawData[[Picker ID ]],$Q$3,RawData[Checker ID],$Q$4,RawData[[Error Type ]],$Q$5))</f>
        <v/>
      </c>
    </row>
    <row r="21032" spans="15:15" x14ac:dyDescent="0.25">
      <c r="O21032" s="20" t="str">
        <f>IF(N21032="","",COUNTIFS(RawData[[Date ]],N21032,RawData[Month List],$Q$6,RawData[Tour/Site],$Q$2,RawData[[Picker ID ]],$Q$3,RawData[Checker ID],$Q$4,RawData[[Error Type ]],$Q$5))</f>
        <v/>
      </c>
    </row>
    <row r="21033" spans="15:15" x14ac:dyDescent="0.25">
      <c r="O21033" s="20" t="str">
        <f>IF(N21033="","",COUNTIFS(RawData[[Date ]],N21033,RawData[Month List],$Q$6,RawData[Tour/Site],$Q$2,RawData[[Picker ID ]],$Q$3,RawData[Checker ID],$Q$4,RawData[[Error Type ]],$Q$5))</f>
        <v/>
      </c>
    </row>
    <row r="21034" spans="15:15" x14ac:dyDescent="0.25">
      <c r="O21034" s="20" t="str">
        <f>IF(N21034="","",COUNTIFS(RawData[[Date ]],N21034,RawData[Month List],$Q$6,RawData[Tour/Site],$Q$2,RawData[[Picker ID ]],$Q$3,RawData[Checker ID],$Q$4,RawData[[Error Type ]],$Q$5))</f>
        <v/>
      </c>
    </row>
    <row r="21035" spans="15:15" x14ac:dyDescent="0.25">
      <c r="O21035" s="20" t="str">
        <f>IF(N21035="","",COUNTIFS(RawData[[Date ]],N21035,RawData[Month List],$Q$6,RawData[Tour/Site],$Q$2,RawData[[Picker ID ]],$Q$3,RawData[Checker ID],$Q$4,RawData[[Error Type ]],$Q$5))</f>
        <v/>
      </c>
    </row>
    <row r="21036" spans="15:15" x14ac:dyDescent="0.25">
      <c r="O21036" s="20" t="str">
        <f>IF(N21036="","",COUNTIFS(RawData[[Date ]],N21036,RawData[Month List],$Q$6,RawData[Tour/Site],$Q$2,RawData[[Picker ID ]],$Q$3,RawData[Checker ID],$Q$4,RawData[[Error Type ]],$Q$5))</f>
        <v/>
      </c>
    </row>
    <row r="21037" spans="15:15" x14ac:dyDescent="0.25">
      <c r="O21037" s="20" t="str">
        <f>IF(N21037="","",COUNTIFS(RawData[[Date ]],N21037,RawData[Month List],$Q$6,RawData[Tour/Site],$Q$2,RawData[[Picker ID ]],$Q$3,RawData[Checker ID],$Q$4,RawData[[Error Type ]],$Q$5))</f>
        <v/>
      </c>
    </row>
    <row r="21038" spans="15:15" x14ac:dyDescent="0.25">
      <c r="O21038" s="20" t="str">
        <f>IF(N21038="","",COUNTIFS(RawData[[Date ]],N21038,RawData[Month List],$Q$6,RawData[Tour/Site],$Q$2,RawData[[Picker ID ]],$Q$3,RawData[Checker ID],$Q$4,RawData[[Error Type ]],$Q$5))</f>
        <v/>
      </c>
    </row>
    <row r="21039" spans="15:15" x14ac:dyDescent="0.25">
      <c r="O21039" s="20" t="str">
        <f>IF(N21039="","",COUNTIFS(RawData[[Date ]],N21039,RawData[Month List],$Q$6,RawData[Tour/Site],$Q$2,RawData[[Picker ID ]],$Q$3,RawData[Checker ID],$Q$4,RawData[[Error Type ]],$Q$5))</f>
        <v/>
      </c>
    </row>
    <row r="21040" spans="15:15" x14ac:dyDescent="0.25">
      <c r="O21040" s="20" t="str">
        <f>IF(N21040="","",COUNTIFS(RawData[[Date ]],N21040,RawData[Month List],$Q$6,RawData[Tour/Site],$Q$2,RawData[[Picker ID ]],$Q$3,RawData[Checker ID],$Q$4,RawData[[Error Type ]],$Q$5))</f>
        <v/>
      </c>
    </row>
    <row r="21041" spans="15:15" x14ac:dyDescent="0.25">
      <c r="O21041" s="20" t="str">
        <f>IF(N21041="","",COUNTIFS(RawData[[Date ]],N21041,RawData[Month List],$Q$6,RawData[Tour/Site],$Q$2,RawData[[Picker ID ]],$Q$3,RawData[Checker ID],$Q$4,RawData[[Error Type ]],$Q$5))</f>
        <v/>
      </c>
    </row>
    <row r="21042" spans="15:15" x14ac:dyDescent="0.25">
      <c r="O21042" s="20" t="str">
        <f>IF(N21042="","",COUNTIFS(RawData[[Date ]],N21042,RawData[Month List],$Q$6,RawData[Tour/Site],$Q$2,RawData[[Picker ID ]],$Q$3,RawData[Checker ID],$Q$4,RawData[[Error Type ]],$Q$5))</f>
        <v/>
      </c>
    </row>
    <row r="21043" spans="15:15" x14ac:dyDescent="0.25">
      <c r="O21043" s="20" t="str">
        <f>IF(N21043="","",COUNTIFS(RawData[[Date ]],N21043,RawData[Month List],$Q$6,RawData[Tour/Site],$Q$2,RawData[[Picker ID ]],$Q$3,RawData[Checker ID],$Q$4,RawData[[Error Type ]],$Q$5))</f>
        <v/>
      </c>
    </row>
    <row r="21044" spans="15:15" x14ac:dyDescent="0.25">
      <c r="O21044" s="20" t="str">
        <f>IF(N21044="","",COUNTIFS(RawData[[Date ]],N21044,RawData[Month List],$Q$6,RawData[Tour/Site],$Q$2,RawData[[Picker ID ]],$Q$3,RawData[Checker ID],$Q$4,RawData[[Error Type ]],$Q$5))</f>
        <v/>
      </c>
    </row>
    <row r="21045" spans="15:15" x14ac:dyDescent="0.25">
      <c r="O21045" s="20" t="str">
        <f>IF(N21045="","",COUNTIFS(RawData[[Date ]],N21045,RawData[Month List],$Q$6,RawData[Tour/Site],$Q$2,RawData[[Picker ID ]],$Q$3,RawData[Checker ID],$Q$4,RawData[[Error Type ]],$Q$5))</f>
        <v/>
      </c>
    </row>
    <row r="21046" spans="15:15" x14ac:dyDescent="0.25">
      <c r="O21046" s="20" t="str">
        <f>IF(N21046="","",COUNTIFS(RawData[[Date ]],N21046,RawData[Month List],$Q$6,RawData[Tour/Site],$Q$2,RawData[[Picker ID ]],$Q$3,RawData[Checker ID],$Q$4,RawData[[Error Type ]],$Q$5))</f>
        <v/>
      </c>
    </row>
    <row r="21047" spans="15:15" x14ac:dyDescent="0.25">
      <c r="O21047" s="20" t="str">
        <f>IF(N21047="","",COUNTIFS(RawData[[Date ]],N21047,RawData[Month List],$Q$6,RawData[Tour/Site],$Q$2,RawData[[Picker ID ]],$Q$3,RawData[Checker ID],$Q$4,RawData[[Error Type ]],$Q$5))</f>
        <v/>
      </c>
    </row>
    <row r="21048" spans="15:15" x14ac:dyDescent="0.25">
      <c r="O21048" s="20" t="str">
        <f>IF(N21048="","",COUNTIFS(RawData[[Date ]],N21048,RawData[Month List],$Q$6,RawData[Tour/Site],$Q$2,RawData[[Picker ID ]],$Q$3,RawData[Checker ID],$Q$4,RawData[[Error Type ]],$Q$5))</f>
        <v/>
      </c>
    </row>
    <row r="21049" spans="15:15" x14ac:dyDescent="0.25">
      <c r="O21049" s="20" t="str">
        <f>IF(N21049="","",COUNTIFS(RawData[[Date ]],N21049,RawData[Month List],$Q$6,RawData[Tour/Site],$Q$2,RawData[[Picker ID ]],$Q$3,RawData[Checker ID],$Q$4,RawData[[Error Type ]],$Q$5))</f>
        <v/>
      </c>
    </row>
    <row r="21050" spans="15:15" x14ac:dyDescent="0.25">
      <c r="O21050" s="20" t="str">
        <f>IF(N21050="","",COUNTIFS(RawData[[Date ]],N21050,RawData[Month List],$Q$6,RawData[Tour/Site],$Q$2,RawData[[Picker ID ]],$Q$3,RawData[Checker ID],$Q$4,RawData[[Error Type ]],$Q$5))</f>
        <v/>
      </c>
    </row>
    <row r="21051" spans="15:15" x14ac:dyDescent="0.25">
      <c r="O21051" s="20" t="str">
        <f>IF(N21051="","",COUNTIFS(RawData[[Date ]],N21051,RawData[Month List],$Q$6,RawData[Tour/Site],$Q$2,RawData[[Picker ID ]],$Q$3,RawData[Checker ID],$Q$4,RawData[[Error Type ]],$Q$5))</f>
        <v/>
      </c>
    </row>
    <row r="21052" spans="15:15" x14ac:dyDescent="0.25">
      <c r="O21052" s="20" t="str">
        <f>IF(N21052="","",COUNTIFS(RawData[[Date ]],N21052,RawData[Month List],$Q$6,RawData[Tour/Site],$Q$2,RawData[[Picker ID ]],$Q$3,RawData[Checker ID],$Q$4,RawData[[Error Type ]],$Q$5))</f>
        <v/>
      </c>
    </row>
    <row r="21053" spans="15:15" x14ac:dyDescent="0.25">
      <c r="O21053" s="20" t="str">
        <f>IF(N21053="","",COUNTIFS(RawData[[Date ]],N21053,RawData[Month List],$Q$6,RawData[Tour/Site],$Q$2,RawData[[Picker ID ]],$Q$3,RawData[Checker ID],$Q$4,RawData[[Error Type ]],$Q$5))</f>
        <v/>
      </c>
    </row>
    <row r="21054" spans="15:15" x14ac:dyDescent="0.25">
      <c r="O21054" s="20" t="str">
        <f>IF(N21054="","",COUNTIFS(RawData[[Date ]],N21054,RawData[Month List],$Q$6,RawData[Tour/Site],$Q$2,RawData[[Picker ID ]],$Q$3,RawData[Checker ID],$Q$4,RawData[[Error Type ]],$Q$5))</f>
        <v/>
      </c>
    </row>
    <row r="21055" spans="15:15" x14ac:dyDescent="0.25">
      <c r="O21055" s="20" t="str">
        <f>IF(N21055="","",COUNTIFS(RawData[[Date ]],N21055,RawData[Month List],$Q$6,RawData[Tour/Site],$Q$2,RawData[[Picker ID ]],$Q$3,RawData[Checker ID],$Q$4,RawData[[Error Type ]],$Q$5))</f>
        <v/>
      </c>
    </row>
    <row r="21056" spans="15:15" x14ac:dyDescent="0.25">
      <c r="O21056" s="20" t="str">
        <f>IF(N21056="","",COUNTIFS(RawData[[Date ]],N21056,RawData[Month List],$Q$6,RawData[Tour/Site],$Q$2,RawData[[Picker ID ]],$Q$3,RawData[Checker ID],$Q$4,RawData[[Error Type ]],$Q$5))</f>
        <v/>
      </c>
    </row>
    <row r="21057" spans="15:15" x14ac:dyDescent="0.25">
      <c r="O21057" s="20" t="str">
        <f>IF(N21057="","",COUNTIFS(RawData[[Date ]],N21057,RawData[Month List],$Q$6,RawData[Tour/Site],$Q$2,RawData[[Picker ID ]],$Q$3,RawData[Checker ID],$Q$4,RawData[[Error Type ]],$Q$5))</f>
        <v/>
      </c>
    </row>
    <row r="21058" spans="15:15" x14ac:dyDescent="0.25">
      <c r="O21058" s="20" t="str">
        <f>IF(N21058="","",COUNTIFS(RawData[[Date ]],N21058,RawData[Month List],$Q$6,RawData[Tour/Site],$Q$2,RawData[[Picker ID ]],$Q$3,RawData[Checker ID],$Q$4,RawData[[Error Type ]],$Q$5))</f>
        <v/>
      </c>
    </row>
    <row r="21059" spans="15:15" x14ac:dyDescent="0.25">
      <c r="O21059" s="20" t="str">
        <f>IF(N21059="","",COUNTIFS(RawData[[Date ]],N21059,RawData[Month List],$Q$6,RawData[Tour/Site],$Q$2,RawData[[Picker ID ]],$Q$3,RawData[Checker ID],$Q$4,RawData[[Error Type ]],$Q$5))</f>
        <v/>
      </c>
    </row>
    <row r="21060" spans="15:15" x14ac:dyDescent="0.25">
      <c r="O21060" s="20" t="str">
        <f>IF(N21060="","",COUNTIFS(RawData[[Date ]],N21060,RawData[Month List],$Q$6,RawData[Tour/Site],$Q$2,RawData[[Picker ID ]],$Q$3,RawData[Checker ID],$Q$4,RawData[[Error Type ]],$Q$5))</f>
        <v/>
      </c>
    </row>
    <row r="21061" spans="15:15" x14ac:dyDescent="0.25">
      <c r="O21061" s="20" t="str">
        <f>IF(N21061="","",COUNTIFS(RawData[[Date ]],N21061,RawData[Month List],$Q$6,RawData[Tour/Site],$Q$2,RawData[[Picker ID ]],$Q$3,RawData[Checker ID],$Q$4,RawData[[Error Type ]],$Q$5))</f>
        <v/>
      </c>
    </row>
    <row r="21062" spans="15:15" x14ac:dyDescent="0.25">
      <c r="O21062" s="20" t="str">
        <f>IF(N21062="","",COUNTIFS(RawData[[Date ]],N21062,RawData[Month List],$Q$6,RawData[Tour/Site],$Q$2,RawData[[Picker ID ]],$Q$3,RawData[Checker ID],$Q$4,RawData[[Error Type ]],$Q$5))</f>
        <v/>
      </c>
    </row>
    <row r="21063" spans="15:15" x14ac:dyDescent="0.25">
      <c r="O21063" s="20" t="str">
        <f>IF(N21063="","",COUNTIFS(RawData[[Date ]],N21063,RawData[Month List],$Q$6,RawData[Tour/Site],$Q$2,RawData[[Picker ID ]],$Q$3,RawData[Checker ID],$Q$4,RawData[[Error Type ]],$Q$5))</f>
        <v/>
      </c>
    </row>
    <row r="21064" spans="15:15" x14ac:dyDescent="0.25">
      <c r="O21064" s="20" t="str">
        <f>IF(N21064="","",COUNTIFS(RawData[[Date ]],N21064,RawData[Month List],$Q$6,RawData[Tour/Site],$Q$2,RawData[[Picker ID ]],$Q$3,RawData[Checker ID],$Q$4,RawData[[Error Type ]],$Q$5))</f>
        <v/>
      </c>
    </row>
    <row r="21065" spans="15:15" x14ac:dyDescent="0.25">
      <c r="O21065" s="20" t="str">
        <f>IF(N21065="","",COUNTIFS(RawData[[Date ]],N21065,RawData[Month List],$Q$6,RawData[Tour/Site],$Q$2,RawData[[Picker ID ]],$Q$3,RawData[Checker ID],$Q$4,RawData[[Error Type ]],$Q$5))</f>
        <v/>
      </c>
    </row>
    <row r="21066" spans="15:15" x14ac:dyDescent="0.25">
      <c r="O21066" s="20" t="str">
        <f>IF(N21066="","",COUNTIFS(RawData[[Date ]],N21066,RawData[Month List],$Q$6,RawData[Tour/Site],$Q$2,RawData[[Picker ID ]],$Q$3,RawData[Checker ID],$Q$4,RawData[[Error Type ]],$Q$5))</f>
        <v/>
      </c>
    </row>
    <row r="21067" spans="15:15" x14ac:dyDescent="0.25">
      <c r="O21067" s="20" t="str">
        <f>IF(N21067="","",COUNTIFS(RawData[[Date ]],N21067,RawData[Month List],$Q$6,RawData[Tour/Site],$Q$2,RawData[[Picker ID ]],$Q$3,RawData[Checker ID],$Q$4,RawData[[Error Type ]],$Q$5))</f>
        <v/>
      </c>
    </row>
    <row r="21068" spans="15:15" x14ac:dyDescent="0.25">
      <c r="O21068" s="20" t="str">
        <f>IF(N21068="","",COUNTIFS(RawData[[Date ]],N21068,RawData[Month List],$Q$6,RawData[Tour/Site],$Q$2,RawData[[Picker ID ]],$Q$3,RawData[Checker ID],$Q$4,RawData[[Error Type ]],$Q$5))</f>
        <v/>
      </c>
    </row>
    <row r="21069" spans="15:15" x14ac:dyDescent="0.25">
      <c r="O21069" s="20" t="str">
        <f>IF(N21069="","",COUNTIFS(RawData[[Date ]],N21069,RawData[Month List],$Q$6,RawData[Tour/Site],$Q$2,RawData[[Picker ID ]],$Q$3,RawData[Checker ID],$Q$4,RawData[[Error Type ]],$Q$5))</f>
        <v/>
      </c>
    </row>
    <row r="21070" spans="15:15" x14ac:dyDescent="0.25">
      <c r="O21070" s="20" t="str">
        <f>IF(N21070="","",COUNTIFS(RawData[[Date ]],N21070,RawData[Month List],$Q$6,RawData[Tour/Site],$Q$2,RawData[[Picker ID ]],$Q$3,RawData[Checker ID],$Q$4,RawData[[Error Type ]],$Q$5))</f>
        <v/>
      </c>
    </row>
    <row r="21071" spans="15:15" x14ac:dyDescent="0.25">
      <c r="O21071" s="20" t="str">
        <f>IF(N21071="","",COUNTIFS(RawData[[Date ]],N21071,RawData[Month List],$Q$6,RawData[Tour/Site],$Q$2,RawData[[Picker ID ]],$Q$3,RawData[Checker ID],$Q$4,RawData[[Error Type ]],$Q$5))</f>
        <v/>
      </c>
    </row>
    <row r="21072" spans="15:15" x14ac:dyDescent="0.25">
      <c r="O21072" s="20" t="str">
        <f>IF(N21072="","",COUNTIFS(RawData[[Date ]],N21072,RawData[Month List],$Q$6,RawData[Tour/Site],$Q$2,RawData[[Picker ID ]],$Q$3,RawData[Checker ID],$Q$4,RawData[[Error Type ]],$Q$5))</f>
        <v/>
      </c>
    </row>
    <row r="21073" spans="15:15" x14ac:dyDescent="0.25">
      <c r="O21073" s="20" t="str">
        <f>IF(N21073="","",COUNTIFS(RawData[[Date ]],N21073,RawData[Month List],$Q$6,RawData[Tour/Site],$Q$2,RawData[[Picker ID ]],$Q$3,RawData[Checker ID],$Q$4,RawData[[Error Type ]],$Q$5))</f>
        <v/>
      </c>
    </row>
    <row r="21074" spans="15:15" x14ac:dyDescent="0.25">
      <c r="O21074" s="20" t="str">
        <f>IF(N21074="","",COUNTIFS(RawData[[Date ]],N21074,RawData[Month List],$Q$6,RawData[Tour/Site],$Q$2,RawData[[Picker ID ]],$Q$3,RawData[Checker ID],$Q$4,RawData[[Error Type ]],$Q$5))</f>
        <v/>
      </c>
    </row>
    <row r="21075" spans="15:15" x14ac:dyDescent="0.25">
      <c r="O21075" s="20" t="str">
        <f>IF(N21075="","",COUNTIFS(RawData[[Date ]],N21075,RawData[Month List],$Q$6,RawData[Tour/Site],$Q$2,RawData[[Picker ID ]],$Q$3,RawData[Checker ID],$Q$4,RawData[[Error Type ]],$Q$5))</f>
        <v/>
      </c>
    </row>
    <row r="21076" spans="15:15" x14ac:dyDescent="0.25">
      <c r="O21076" s="20" t="str">
        <f>IF(N21076="","",COUNTIFS(RawData[[Date ]],N21076,RawData[Month List],$Q$6,RawData[Tour/Site],$Q$2,RawData[[Picker ID ]],$Q$3,RawData[Checker ID],$Q$4,RawData[[Error Type ]],$Q$5))</f>
        <v/>
      </c>
    </row>
    <row r="21077" spans="15:15" x14ac:dyDescent="0.25">
      <c r="O21077" s="20" t="str">
        <f>IF(N21077="","",COUNTIFS(RawData[[Date ]],N21077,RawData[Month List],$Q$6,RawData[Tour/Site],$Q$2,RawData[[Picker ID ]],$Q$3,RawData[Checker ID],$Q$4,RawData[[Error Type ]],$Q$5))</f>
        <v/>
      </c>
    </row>
    <row r="21078" spans="15:15" x14ac:dyDescent="0.25">
      <c r="O21078" s="20" t="str">
        <f>IF(N21078="","",COUNTIFS(RawData[[Date ]],N21078,RawData[Month List],$Q$6,RawData[Tour/Site],$Q$2,RawData[[Picker ID ]],$Q$3,RawData[Checker ID],$Q$4,RawData[[Error Type ]],$Q$5))</f>
        <v/>
      </c>
    </row>
    <row r="21079" spans="15:15" x14ac:dyDescent="0.25">
      <c r="O21079" s="20" t="str">
        <f>IF(N21079="","",COUNTIFS(RawData[[Date ]],N21079,RawData[Month List],$Q$6,RawData[Tour/Site],$Q$2,RawData[[Picker ID ]],$Q$3,RawData[Checker ID],$Q$4,RawData[[Error Type ]],$Q$5))</f>
        <v/>
      </c>
    </row>
    <row r="21080" spans="15:15" x14ac:dyDescent="0.25">
      <c r="O21080" s="20" t="str">
        <f>IF(N21080="","",COUNTIFS(RawData[[Date ]],N21080,RawData[Month List],$Q$6,RawData[Tour/Site],$Q$2,RawData[[Picker ID ]],$Q$3,RawData[Checker ID],$Q$4,RawData[[Error Type ]],$Q$5))</f>
        <v/>
      </c>
    </row>
    <row r="21081" spans="15:15" x14ac:dyDescent="0.25">
      <c r="O21081" s="20" t="str">
        <f>IF(N21081="","",COUNTIFS(RawData[[Date ]],N21081,RawData[Month List],$Q$6,RawData[Tour/Site],$Q$2,RawData[[Picker ID ]],$Q$3,RawData[Checker ID],$Q$4,RawData[[Error Type ]],$Q$5))</f>
        <v/>
      </c>
    </row>
    <row r="21082" spans="15:15" x14ac:dyDescent="0.25">
      <c r="O21082" s="20" t="str">
        <f>IF(N21082="","",COUNTIFS(RawData[[Date ]],N21082,RawData[Month List],$Q$6,RawData[Tour/Site],$Q$2,RawData[[Picker ID ]],$Q$3,RawData[Checker ID],$Q$4,RawData[[Error Type ]],$Q$5))</f>
        <v/>
      </c>
    </row>
    <row r="21083" spans="15:15" x14ac:dyDescent="0.25">
      <c r="O21083" s="20" t="str">
        <f>IF(N21083="","",COUNTIFS(RawData[[Date ]],N21083,RawData[Month List],$Q$6,RawData[Tour/Site],$Q$2,RawData[[Picker ID ]],$Q$3,RawData[Checker ID],$Q$4,RawData[[Error Type ]],$Q$5))</f>
        <v/>
      </c>
    </row>
    <row r="21084" spans="15:15" x14ac:dyDescent="0.25">
      <c r="O21084" s="20" t="str">
        <f>IF(N21084="","",COUNTIFS(RawData[[Date ]],N21084,RawData[Month List],$Q$6,RawData[Tour/Site],$Q$2,RawData[[Picker ID ]],$Q$3,RawData[Checker ID],$Q$4,RawData[[Error Type ]],$Q$5))</f>
        <v/>
      </c>
    </row>
    <row r="21085" spans="15:15" x14ac:dyDescent="0.25">
      <c r="O21085" s="20" t="str">
        <f>IF(N21085="","",COUNTIFS(RawData[[Date ]],N21085,RawData[Month List],$Q$6,RawData[Tour/Site],$Q$2,RawData[[Picker ID ]],$Q$3,RawData[Checker ID],$Q$4,RawData[[Error Type ]],$Q$5))</f>
        <v/>
      </c>
    </row>
    <row r="21086" spans="15:15" x14ac:dyDescent="0.25">
      <c r="O21086" s="20" t="str">
        <f>IF(N21086="","",COUNTIFS(RawData[[Date ]],N21086,RawData[Month List],$Q$6,RawData[Tour/Site],$Q$2,RawData[[Picker ID ]],$Q$3,RawData[Checker ID],$Q$4,RawData[[Error Type ]],$Q$5))</f>
        <v/>
      </c>
    </row>
    <row r="21087" spans="15:15" x14ac:dyDescent="0.25">
      <c r="O21087" s="20" t="str">
        <f>IF(N21087="","",COUNTIFS(RawData[[Date ]],N21087,RawData[Month List],$Q$6,RawData[Tour/Site],$Q$2,RawData[[Picker ID ]],$Q$3,RawData[Checker ID],$Q$4,RawData[[Error Type ]],$Q$5))</f>
        <v/>
      </c>
    </row>
    <row r="21088" spans="15:15" x14ac:dyDescent="0.25">
      <c r="O21088" s="20" t="str">
        <f>IF(N21088="","",COUNTIFS(RawData[[Date ]],N21088,RawData[Month List],$Q$6,RawData[Tour/Site],$Q$2,RawData[[Picker ID ]],$Q$3,RawData[Checker ID],$Q$4,RawData[[Error Type ]],$Q$5))</f>
        <v/>
      </c>
    </row>
    <row r="21089" spans="15:15" x14ac:dyDescent="0.25">
      <c r="O21089" s="20" t="str">
        <f>IF(N21089="","",COUNTIFS(RawData[[Date ]],N21089,RawData[Month List],$Q$6,RawData[Tour/Site],$Q$2,RawData[[Picker ID ]],$Q$3,RawData[Checker ID],$Q$4,RawData[[Error Type ]],$Q$5))</f>
        <v/>
      </c>
    </row>
    <row r="21090" spans="15:15" x14ac:dyDescent="0.25">
      <c r="O21090" s="20" t="str">
        <f>IF(N21090="","",COUNTIFS(RawData[[Date ]],N21090,RawData[Month List],$Q$6,RawData[Tour/Site],$Q$2,RawData[[Picker ID ]],$Q$3,RawData[Checker ID],$Q$4,RawData[[Error Type ]],$Q$5))</f>
        <v/>
      </c>
    </row>
    <row r="21091" spans="15:15" x14ac:dyDescent="0.25">
      <c r="O21091" s="20" t="str">
        <f>IF(N21091="","",COUNTIFS(RawData[[Date ]],N21091,RawData[Month List],$Q$6,RawData[Tour/Site],$Q$2,RawData[[Picker ID ]],$Q$3,RawData[Checker ID],$Q$4,RawData[[Error Type ]],$Q$5))</f>
        <v/>
      </c>
    </row>
    <row r="21092" spans="15:15" x14ac:dyDescent="0.25">
      <c r="O21092" s="20" t="str">
        <f>IF(N21092="","",COUNTIFS(RawData[[Date ]],N21092,RawData[Month List],$Q$6,RawData[Tour/Site],$Q$2,RawData[[Picker ID ]],$Q$3,RawData[Checker ID],$Q$4,RawData[[Error Type ]],$Q$5))</f>
        <v/>
      </c>
    </row>
    <row r="21093" spans="15:15" x14ac:dyDescent="0.25">
      <c r="O21093" s="20" t="str">
        <f>IF(N21093="","",COUNTIFS(RawData[[Date ]],N21093,RawData[Month List],$Q$6,RawData[Tour/Site],$Q$2,RawData[[Picker ID ]],$Q$3,RawData[Checker ID],$Q$4,RawData[[Error Type ]],$Q$5))</f>
        <v/>
      </c>
    </row>
    <row r="21094" spans="15:15" x14ac:dyDescent="0.25">
      <c r="O21094" s="20" t="str">
        <f>IF(N21094="","",COUNTIFS(RawData[[Date ]],N21094,RawData[Month List],$Q$6,RawData[Tour/Site],$Q$2,RawData[[Picker ID ]],$Q$3,RawData[Checker ID],$Q$4,RawData[[Error Type ]],$Q$5))</f>
        <v/>
      </c>
    </row>
    <row r="21095" spans="15:15" x14ac:dyDescent="0.25">
      <c r="O21095" s="20" t="str">
        <f>IF(N21095="","",COUNTIFS(RawData[[Date ]],N21095,RawData[Month List],$Q$6,RawData[Tour/Site],$Q$2,RawData[[Picker ID ]],$Q$3,RawData[Checker ID],$Q$4,RawData[[Error Type ]],$Q$5))</f>
        <v/>
      </c>
    </row>
    <row r="21096" spans="15:15" x14ac:dyDescent="0.25">
      <c r="O21096" s="20" t="str">
        <f>IF(N21096="","",COUNTIFS(RawData[[Date ]],N21096,RawData[Month List],$Q$6,RawData[Tour/Site],$Q$2,RawData[[Picker ID ]],$Q$3,RawData[Checker ID],$Q$4,RawData[[Error Type ]],$Q$5))</f>
        <v/>
      </c>
    </row>
    <row r="21097" spans="15:15" x14ac:dyDescent="0.25">
      <c r="O21097" s="20" t="str">
        <f>IF(N21097="","",COUNTIFS(RawData[[Date ]],N21097,RawData[Month List],$Q$6,RawData[Tour/Site],$Q$2,RawData[[Picker ID ]],$Q$3,RawData[Checker ID],$Q$4,RawData[[Error Type ]],$Q$5))</f>
        <v/>
      </c>
    </row>
    <row r="21098" spans="15:15" x14ac:dyDescent="0.25">
      <c r="O21098" s="20" t="str">
        <f>IF(N21098="","",COUNTIFS(RawData[[Date ]],N21098,RawData[Month List],$Q$6,RawData[Tour/Site],$Q$2,RawData[[Picker ID ]],$Q$3,RawData[Checker ID],$Q$4,RawData[[Error Type ]],$Q$5))</f>
        <v/>
      </c>
    </row>
    <row r="21099" spans="15:15" x14ac:dyDescent="0.25">
      <c r="O21099" s="20" t="str">
        <f>IF(N21099="","",COUNTIFS(RawData[[Date ]],N21099,RawData[Month List],$Q$6,RawData[Tour/Site],$Q$2,RawData[[Picker ID ]],$Q$3,RawData[Checker ID],$Q$4,RawData[[Error Type ]],$Q$5))</f>
        <v/>
      </c>
    </row>
    <row r="21100" spans="15:15" x14ac:dyDescent="0.25">
      <c r="O21100" s="20" t="str">
        <f>IF(N21100="","",COUNTIFS(RawData[[Date ]],N21100,RawData[Month List],$Q$6,RawData[Tour/Site],$Q$2,RawData[[Picker ID ]],$Q$3,RawData[Checker ID],$Q$4,RawData[[Error Type ]],$Q$5))</f>
        <v/>
      </c>
    </row>
    <row r="21101" spans="15:15" x14ac:dyDescent="0.25">
      <c r="O21101" s="20" t="str">
        <f>IF(N21101="","",COUNTIFS(RawData[[Date ]],N21101,RawData[Month List],$Q$6,RawData[Tour/Site],$Q$2,RawData[[Picker ID ]],$Q$3,RawData[Checker ID],$Q$4,RawData[[Error Type ]],$Q$5))</f>
        <v/>
      </c>
    </row>
    <row r="21102" spans="15:15" x14ac:dyDescent="0.25">
      <c r="O21102" s="20" t="str">
        <f>IF(N21102="","",COUNTIFS(RawData[[Date ]],N21102,RawData[Month List],$Q$6,RawData[Tour/Site],$Q$2,RawData[[Picker ID ]],$Q$3,RawData[Checker ID],$Q$4,RawData[[Error Type ]],$Q$5))</f>
        <v/>
      </c>
    </row>
    <row r="21103" spans="15:15" x14ac:dyDescent="0.25">
      <c r="O21103" s="20" t="str">
        <f>IF(N21103="","",COUNTIFS(RawData[[Date ]],N21103,RawData[Month List],$Q$6,RawData[Tour/Site],$Q$2,RawData[[Picker ID ]],$Q$3,RawData[Checker ID],$Q$4,RawData[[Error Type ]],$Q$5))</f>
        <v/>
      </c>
    </row>
    <row r="21104" spans="15:15" x14ac:dyDescent="0.25">
      <c r="O21104" s="20" t="str">
        <f>IF(N21104="","",COUNTIFS(RawData[[Date ]],N21104,RawData[Month List],$Q$6,RawData[Tour/Site],$Q$2,RawData[[Picker ID ]],$Q$3,RawData[Checker ID],$Q$4,RawData[[Error Type ]],$Q$5))</f>
        <v/>
      </c>
    </row>
    <row r="21105" spans="15:15" x14ac:dyDescent="0.25">
      <c r="O21105" s="20" t="str">
        <f>IF(N21105="","",COUNTIFS(RawData[[Date ]],N21105,RawData[Month List],$Q$6,RawData[Tour/Site],$Q$2,RawData[[Picker ID ]],$Q$3,RawData[Checker ID],$Q$4,RawData[[Error Type ]],$Q$5))</f>
        <v/>
      </c>
    </row>
    <row r="21106" spans="15:15" x14ac:dyDescent="0.25">
      <c r="O21106" s="20" t="str">
        <f>IF(N21106="","",COUNTIFS(RawData[[Date ]],N21106,RawData[Month List],$Q$6,RawData[Tour/Site],$Q$2,RawData[[Picker ID ]],$Q$3,RawData[Checker ID],$Q$4,RawData[[Error Type ]],$Q$5))</f>
        <v/>
      </c>
    </row>
    <row r="21107" spans="15:15" x14ac:dyDescent="0.25">
      <c r="O21107" s="20" t="str">
        <f>IF(N21107="","",COUNTIFS(RawData[[Date ]],N21107,RawData[Month List],$Q$6,RawData[Tour/Site],$Q$2,RawData[[Picker ID ]],$Q$3,RawData[Checker ID],$Q$4,RawData[[Error Type ]],$Q$5))</f>
        <v/>
      </c>
    </row>
    <row r="21108" spans="15:15" x14ac:dyDescent="0.25">
      <c r="O21108" s="20" t="str">
        <f>IF(N21108="","",COUNTIFS(RawData[[Date ]],N21108,RawData[Month List],$Q$6,RawData[Tour/Site],$Q$2,RawData[[Picker ID ]],$Q$3,RawData[Checker ID],$Q$4,RawData[[Error Type ]],$Q$5))</f>
        <v/>
      </c>
    </row>
    <row r="21109" spans="15:15" x14ac:dyDescent="0.25">
      <c r="O21109" s="20" t="str">
        <f>IF(N21109="","",COUNTIFS(RawData[[Date ]],N21109,RawData[Month List],$Q$6,RawData[Tour/Site],$Q$2,RawData[[Picker ID ]],$Q$3,RawData[Checker ID],$Q$4,RawData[[Error Type ]],$Q$5))</f>
        <v/>
      </c>
    </row>
    <row r="21110" spans="15:15" x14ac:dyDescent="0.25">
      <c r="O21110" s="20" t="str">
        <f>IF(N21110="","",COUNTIFS(RawData[[Date ]],N21110,RawData[Month List],$Q$6,RawData[Tour/Site],$Q$2,RawData[[Picker ID ]],$Q$3,RawData[Checker ID],$Q$4,RawData[[Error Type ]],$Q$5))</f>
        <v/>
      </c>
    </row>
    <row r="21111" spans="15:15" x14ac:dyDescent="0.25">
      <c r="O21111" s="20" t="str">
        <f>IF(N21111="","",COUNTIFS(RawData[[Date ]],N21111,RawData[Month List],$Q$6,RawData[Tour/Site],$Q$2,RawData[[Picker ID ]],$Q$3,RawData[Checker ID],$Q$4,RawData[[Error Type ]],$Q$5))</f>
        <v/>
      </c>
    </row>
    <row r="21112" spans="15:15" x14ac:dyDescent="0.25">
      <c r="O21112" s="20" t="str">
        <f>IF(N21112="","",COUNTIFS(RawData[[Date ]],N21112,RawData[Month List],$Q$6,RawData[Tour/Site],$Q$2,RawData[[Picker ID ]],$Q$3,RawData[Checker ID],$Q$4,RawData[[Error Type ]],$Q$5))</f>
        <v/>
      </c>
    </row>
    <row r="21113" spans="15:15" x14ac:dyDescent="0.25">
      <c r="O21113" s="20" t="str">
        <f>IF(N21113="","",COUNTIFS(RawData[[Date ]],N21113,RawData[Month List],$Q$6,RawData[Tour/Site],$Q$2,RawData[[Picker ID ]],$Q$3,RawData[Checker ID],$Q$4,RawData[[Error Type ]],$Q$5))</f>
        <v/>
      </c>
    </row>
    <row r="21114" spans="15:15" x14ac:dyDescent="0.25">
      <c r="O21114" s="20" t="str">
        <f>IF(N21114="","",COUNTIFS(RawData[[Date ]],N21114,RawData[Month List],$Q$6,RawData[Tour/Site],$Q$2,RawData[[Picker ID ]],$Q$3,RawData[Checker ID],$Q$4,RawData[[Error Type ]],$Q$5))</f>
        <v/>
      </c>
    </row>
    <row r="21115" spans="15:15" x14ac:dyDescent="0.25">
      <c r="O21115" s="20" t="str">
        <f>IF(N21115="","",COUNTIFS(RawData[[Date ]],N21115,RawData[Month List],$Q$6,RawData[Tour/Site],$Q$2,RawData[[Picker ID ]],$Q$3,RawData[Checker ID],$Q$4,RawData[[Error Type ]],$Q$5))</f>
        <v/>
      </c>
    </row>
    <row r="21116" spans="15:15" x14ac:dyDescent="0.25">
      <c r="O21116" s="20" t="str">
        <f>IF(N21116="","",COUNTIFS(RawData[[Date ]],N21116,RawData[Month List],$Q$6,RawData[Tour/Site],$Q$2,RawData[[Picker ID ]],$Q$3,RawData[Checker ID],$Q$4,RawData[[Error Type ]],$Q$5))</f>
        <v/>
      </c>
    </row>
    <row r="21117" spans="15:15" x14ac:dyDescent="0.25">
      <c r="O21117" s="20" t="str">
        <f>IF(N21117="","",COUNTIFS(RawData[[Date ]],N21117,RawData[Month List],$Q$6,RawData[Tour/Site],$Q$2,RawData[[Picker ID ]],$Q$3,RawData[Checker ID],$Q$4,RawData[[Error Type ]],$Q$5))</f>
        <v/>
      </c>
    </row>
    <row r="21118" spans="15:15" x14ac:dyDescent="0.25">
      <c r="O21118" s="20" t="str">
        <f>IF(N21118="","",COUNTIFS(RawData[[Date ]],N21118,RawData[Month List],$Q$6,RawData[Tour/Site],$Q$2,RawData[[Picker ID ]],$Q$3,RawData[Checker ID],$Q$4,RawData[[Error Type ]],$Q$5))</f>
        <v/>
      </c>
    </row>
    <row r="21119" spans="15:15" x14ac:dyDescent="0.25">
      <c r="O21119" s="20" t="str">
        <f>IF(N21119="","",COUNTIFS(RawData[[Date ]],N21119,RawData[Month List],$Q$6,RawData[Tour/Site],$Q$2,RawData[[Picker ID ]],$Q$3,RawData[Checker ID],$Q$4,RawData[[Error Type ]],$Q$5))</f>
        <v/>
      </c>
    </row>
    <row r="21120" spans="15:15" x14ac:dyDescent="0.25">
      <c r="O21120" s="20" t="str">
        <f>IF(N21120="","",COUNTIFS(RawData[[Date ]],N21120,RawData[Month List],$Q$6,RawData[Tour/Site],$Q$2,RawData[[Picker ID ]],$Q$3,RawData[Checker ID],$Q$4,RawData[[Error Type ]],$Q$5))</f>
        <v/>
      </c>
    </row>
    <row r="21121" spans="15:15" x14ac:dyDescent="0.25">
      <c r="O21121" s="20" t="str">
        <f>IF(N21121="","",COUNTIFS(RawData[[Date ]],N21121,RawData[Month List],$Q$6,RawData[Tour/Site],$Q$2,RawData[[Picker ID ]],$Q$3,RawData[Checker ID],$Q$4,RawData[[Error Type ]],$Q$5))</f>
        <v/>
      </c>
    </row>
    <row r="21122" spans="15:15" x14ac:dyDescent="0.25">
      <c r="O21122" s="20" t="str">
        <f>IF(N21122="","",COUNTIFS(RawData[[Date ]],N21122,RawData[Month List],$Q$6,RawData[Tour/Site],$Q$2,RawData[[Picker ID ]],$Q$3,RawData[Checker ID],$Q$4,RawData[[Error Type ]],$Q$5))</f>
        <v/>
      </c>
    </row>
    <row r="21123" spans="15:15" x14ac:dyDescent="0.25">
      <c r="O21123" s="20" t="str">
        <f>IF(N21123="","",COUNTIFS(RawData[[Date ]],N21123,RawData[Month List],$Q$6,RawData[Tour/Site],$Q$2,RawData[[Picker ID ]],$Q$3,RawData[Checker ID],$Q$4,RawData[[Error Type ]],$Q$5))</f>
        <v/>
      </c>
    </row>
    <row r="21124" spans="15:15" x14ac:dyDescent="0.25">
      <c r="O21124" s="20" t="str">
        <f>IF(N21124="","",COUNTIFS(RawData[[Date ]],N21124,RawData[Month List],$Q$6,RawData[Tour/Site],$Q$2,RawData[[Picker ID ]],$Q$3,RawData[Checker ID],$Q$4,RawData[[Error Type ]],$Q$5))</f>
        <v/>
      </c>
    </row>
    <row r="21125" spans="15:15" x14ac:dyDescent="0.25">
      <c r="O21125" s="20" t="str">
        <f>IF(N21125="","",COUNTIFS(RawData[[Date ]],N21125,RawData[Month List],$Q$6,RawData[Tour/Site],$Q$2,RawData[[Picker ID ]],$Q$3,RawData[Checker ID],$Q$4,RawData[[Error Type ]],$Q$5))</f>
        <v/>
      </c>
    </row>
    <row r="21126" spans="15:15" x14ac:dyDescent="0.25">
      <c r="O21126" s="20" t="str">
        <f>IF(N21126="","",COUNTIFS(RawData[[Date ]],N21126,RawData[Month List],$Q$6,RawData[Tour/Site],$Q$2,RawData[[Picker ID ]],$Q$3,RawData[Checker ID],$Q$4,RawData[[Error Type ]],$Q$5))</f>
        <v/>
      </c>
    </row>
    <row r="21127" spans="15:15" x14ac:dyDescent="0.25">
      <c r="O21127" s="20" t="str">
        <f>IF(N21127="","",COUNTIFS(RawData[[Date ]],N21127,RawData[Month List],$Q$6,RawData[Tour/Site],$Q$2,RawData[[Picker ID ]],$Q$3,RawData[Checker ID],$Q$4,RawData[[Error Type ]],$Q$5))</f>
        <v/>
      </c>
    </row>
    <row r="21128" spans="15:15" x14ac:dyDescent="0.25">
      <c r="O21128" s="20" t="str">
        <f>IF(N21128="","",COUNTIFS(RawData[[Date ]],N21128,RawData[Month List],$Q$6,RawData[Tour/Site],$Q$2,RawData[[Picker ID ]],$Q$3,RawData[Checker ID],$Q$4,RawData[[Error Type ]],$Q$5))</f>
        <v/>
      </c>
    </row>
    <row r="21129" spans="15:15" x14ac:dyDescent="0.25">
      <c r="O21129" s="20" t="str">
        <f>IF(N21129="","",COUNTIFS(RawData[[Date ]],N21129,RawData[Month List],$Q$6,RawData[Tour/Site],$Q$2,RawData[[Picker ID ]],$Q$3,RawData[Checker ID],$Q$4,RawData[[Error Type ]],$Q$5))</f>
        <v/>
      </c>
    </row>
    <row r="21130" spans="15:15" x14ac:dyDescent="0.25">
      <c r="O21130" s="20" t="str">
        <f>IF(N21130="","",COUNTIFS(RawData[[Date ]],N21130,RawData[Month List],$Q$6,RawData[Tour/Site],$Q$2,RawData[[Picker ID ]],$Q$3,RawData[Checker ID],$Q$4,RawData[[Error Type ]],$Q$5))</f>
        <v/>
      </c>
    </row>
    <row r="21131" spans="15:15" x14ac:dyDescent="0.25">
      <c r="O21131" s="20" t="str">
        <f>IF(N21131="","",COUNTIFS(RawData[[Date ]],N21131,RawData[Month List],$Q$6,RawData[Tour/Site],$Q$2,RawData[[Picker ID ]],$Q$3,RawData[Checker ID],$Q$4,RawData[[Error Type ]],$Q$5))</f>
        <v/>
      </c>
    </row>
    <row r="21132" spans="15:15" x14ac:dyDescent="0.25">
      <c r="O21132" s="20" t="str">
        <f>IF(N21132="","",COUNTIFS(RawData[[Date ]],N21132,RawData[Month List],$Q$6,RawData[Tour/Site],$Q$2,RawData[[Picker ID ]],$Q$3,RawData[Checker ID],$Q$4,RawData[[Error Type ]],$Q$5))</f>
        <v/>
      </c>
    </row>
    <row r="21133" spans="15:15" x14ac:dyDescent="0.25">
      <c r="O21133" s="20" t="str">
        <f>IF(N21133="","",COUNTIFS(RawData[[Date ]],N21133,RawData[Month List],$Q$6,RawData[Tour/Site],$Q$2,RawData[[Picker ID ]],$Q$3,RawData[Checker ID],$Q$4,RawData[[Error Type ]],$Q$5))</f>
        <v/>
      </c>
    </row>
    <row r="21134" spans="15:15" x14ac:dyDescent="0.25">
      <c r="O21134" s="20" t="str">
        <f>IF(N21134="","",COUNTIFS(RawData[[Date ]],N21134,RawData[Month List],$Q$6,RawData[Tour/Site],$Q$2,RawData[[Picker ID ]],$Q$3,RawData[Checker ID],$Q$4,RawData[[Error Type ]],$Q$5))</f>
        <v/>
      </c>
    </row>
    <row r="21135" spans="15:15" x14ac:dyDescent="0.25">
      <c r="O21135" s="20" t="str">
        <f>IF(N21135="","",COUNTIFS(RawData[[Date ]],N21135,RawData[Month List],$Q$6,RawData[Tour/Site],$Q$2,RawData[[Picker ID ]],$Q$3,RawData[Checker ID],$Q$4,RawData[[Error Type ]],$Q$5))</f>
        <v/>
      </c>
    </row>
    <row r="21136" spans="15:15" x14ac:dyDescent="0.25">
      <c r="O21136" s="20" t="str">
        <f>IF(N21136="","",COUNTIFS(RawData[[Date ]],N21136,RawData[Month List],$Q$6,RawData[Tour/Site],$Q$2,RawData[[Picker ID ]],$Q$3,RawData[Checker ID],$Q$4,RawData[[Error Type ]],$Q$5))</f>
        <v/>
      </c>
    </row>
    <row r="21137" spans="15:15" x14ac:dyDescent="0.25">
      <c r="O21137" s="20" t="str">
        <f>IF(N21137="","",COUNTIFS(RawData[[Date ]],N21137,RawData[Month List],$Q$6,RawData[Tour/Site],$Q$2,RawData[[Picker ID ]],$Q$3,RawData[Checker ID],$Q$4,RawData[[Error Type ]],$Q$5))</f>
        <v/>
      </c>
    </row>
    <row r="21138" spans="15:15" x14ac:dyDescent="0.25">
      <c r="O21138" s="20" t="str">
        <f>IF(N21138="","",COUNTIFS(RawData[[Date ]],N21138,RawData[Month List],$Q$6,RawData[Tour/Site],$Q$2,RawData[[Picker ID ]],$Q$3,RawData[Checker ID],$Q$4,RawData[[Error Type ]],$Q$5))</f>
        <v/>
      </c>
    </row>
    <row r="21139" spans="15:15" x14ac:dyDescent="0.25">
      <c r="O21139" s="20" t="str">
        <f>IF(N21139="","",COUNTIFS(RawData[[Date ]],N21139,RawData[Month List],$Q$6,RawData[Tour/Site],$Q$2,RawData[[Picker ID ]],$Q$3,RawData[Checker ID],$Q$4,RawData[[Error Type ]],$Q$5))</f>
        <v/>
      </c>
    </row>
    <row r="21140" spans="15:15" x14ac:dyDescent="0.25">
      <c r="O21140" s="20" t="str">
        <f>IF(N21140="","",COUNTIFS(RawData[[Date ]],N21140,RawData[Month List],$Q$6,RawData[Tour/Site],$Q$2,RawData[[Picker ID ]],$Q$3,RawData[Checker ID],$Q$4,RawData[[Error Type ]],$Q$5))</f>
        <v/>
      </c>
    </row>
    <row r="21141" spans="15:15" x14ac:dyDescent="0.25">
      <c r="O21141" s="20" t="str">
        <f>IF(N21141="","",COUNTIFS(RawData[[Date ]],N21141,RawData[Month List],$Q$6,RawData[Tour/Site],$Q$2,RawData[[Picker ID ]],$Q$3,RawData[Checker ID],$Q$4,RawData[[Error Type ]],$Q$5))</f>
        <v/>
      </c>
    </row>
    <row r="21142" spans="15:15" x14ac:dyDescent="0.25">
      <c r="O21142" s="20" t="str">
        <f>IF(N21142="","",COUNTIFS(RawData[[Date ]],N21142,RawData[Month List],$Q$6,RawData[Tour/Site],$Q$2,RawData[[Picker ID ]],$Q$3,RawData[Checker ID],$Q$4,RawData[[Error Type ]],$Q$5))</f>
        <v/>
      </c>
    </row>
    <row r="21143" spans="15:15" x14ac:dyDescent="0.25">
      <c r="O21143" s="20" t="str">
        <f>IF(N21143="","",COUNTIFS(RawData[[Date ]],N21143,RawData[Month List],$Q$6,RawData[Tour/Site],$Q$2,RawData[[Picker ID ]],$Q$3,RawData[Checker ID],$Q$4,RawData[[Error Type ]],$Q$5))</f>
        <v/>
      </c>
    </row>
    <row r="21144" spans="15:15" x14ac:dyDescent="0.25">
      <c r="O21144" s="20" t="str">
        <f>IF(N21144="","",COUNTIFS(RawData[[Date ]],N21144,RawData[Month List],$Q$6,RawData[Tour/Site],$Q$2,RawData[[Picker ID ]],$Q$3,RawData[Checker ID],$Q$4,RawData[[Error Type ]],$Q$5))</f>
        <v/>
      </c>
    </row>
    <row r="21145" spans="15:15" x14ac:dyDescent="0.25">
      <c r="O21145" s="20" t="str">
        <f>IF(N21145="","",COUNTIFS(RawData[[Date ]],N21145,RawData[Month List],$Q$6,RawData[Tour/Site],$Q$2,RawData[[Picker ID ]],$Q$3,RawData[Checker ID],$Q$4,RawData[[Error Type ]],$Q$5))</f>
        <v/>
      </c>
    </row>
    <row r="21146" spans="15:15" x14ac:dyDescent="0.25">
      <c r="O21146" s="20" t="str">
        <f>IF(N21146="","",COUNTIFS(RawData[[Date ]],N21146,RawData[Month List],$Q$6,RawData[Tour/Site],$Q$2,RawData[[Picker ID ]],$Q$3,RawData[Checker ID],$Q$4,RawData[[Error Type ]],$Q$5))</f>
        <v/>
      </c>
    </row>
    <row r="21147" spans="15:15" x14ac:dyDescent="0.25">
      <c r="O21147" s="20" t="str">
        <f>IF(N21147="","",COUNTIFS(RawData[[Date ]],N21147,RawData[Month List],$Q$6,RawData[Tour/Site],$Q$2,RawData[[Picker ID ]],$Q$3,RawData[Checker ID],$Q$4,RawData[[Error Type ]],$Q$5))</f>
        <v/>
      </c>
    </row>
    <row r="21148" spans="15:15" x14ac:dyDescent="0.25">
      <c r="O21148" s="20" t="str">
        <f>IF(N21148="","",COUNTIFS(RawData[[Date ]],N21148,RawData[Month List],$Q$6,RawData[Tour/Site],$Q$2,RawData[[Picker ID ]],$Q$3,RawData[Checker ID],$Q$4,RawData[[Error Type ]],$Q$5))</f>
        <v/>
      </c>
    </row>
    <row r="21149" spans="15:15" x14ac:dyDescent="0.25">
      <c r="O21149" s="20" t="str">
        <f>IF(N21149="","",COUNTIFS(RawData[[Date ]],N21149,RawData[Month List],$Q$6,RawData[Tour/Site],$Q$2,RawData[[Picker ID ]],$Q$3,RawData[Checker ID],$Q$4,RawData[[Error Type ]],$Q$5))</f>
        <v/>
      </c>
    </row>
    <row r="21150" spans="15:15" x14ac:dyDescent="0.25">
      <c r="O21150" s="20" t="str">
        <f>IF(N21150="","",COUNTIFS(RawData[[Date ]],N21150,RawData[Month List],$Q$6,RawData[Tour/Site],$Q$2,RawData[[Picker ID ]],$Q$3,RawData[Checker ID],$Q$4,RawData[[Error Type ]],$Q$5))</f>
        <v/>
      </c>
    </row>
    <row r="21151" spans="15:15" x14ac:dyDescent="0.25">
      <c r="O21151" s="20" t="str">
        <f>IF(N21151="","",COUNTIFS(RawData[[Date ]],N21151,RawData[Month List],$Q$6,RawData[Tour/Site],$Q$2,RawData[[Picker ID ]],$Q$3,RawData[Checker ID],$Q$4,RawData[[Error Type ]],$Q$5))</f>
        <v/>
      </c>
    </row>
    <row r="21152" spans="15:15" x14ac:dyDescent="0.25">
      <c r="O21152" s="20" t="str">
        <f>IF(N21152="","",COUNTIFS(RawData[[Date ]],N21152,RawData[Month List],$Q$6,RawData[Tour/Site],$Q$2,RawData[[Picker ID ]],$Q$3,RawData[Checker ID],$Q$4,RawData[[Error Type ]],$Q$5))</f>
        <v/>
      </c>
    </row>
    <row r="21153" spans="15:15" x14ac:dyDescent="0.25">
      <c r="O21153" s="20" t="str">
        <f>IF(N21153="","",COUNTIFS(RawData[[Date ]],N21153,RawData[Month List],$Q$6,RawData[Tour/Site],$Q$2,RawData[[Picker ID ]],$Q$3,RawData[Checker ID],$Q$4,RawData[[Error Type ]],$Q$5))</f>
        <v/>
      </c>
    </row>
    <row r="21154" spans="15:15" x14ac:dyDescent="0.25">
      <c r="O21154" s="20" t="str">
        <f>IF(N21154="","",COUNTIFS(RawData[[Date ]],N21154,RawData[Month List],$Q$6,RawData[Tour/Site],$Q$2,RawData[[Picker ID ]],$Q$3,RawData[Checker ID],$Q$4,RawData[[Error Type ]],$Q$5))</f>
        <v/>
      </c>
    </row>
    <row r="21155" spans="15:15" x14ac:dyDescent="0.25">
      <c r="O21155" s="20" t="str">
        <f>IF(N21155="","",COUNTIFS(RawData[[Date ]],N21155,RawData[Month List],$Q$6,RawData[Tour/Site],$Q$2,RawData[[Picker ID ]],$Q$3,RawData[Checker ID],$Q$4,RawData[[Error Type ]],$Q$5))</f>
        <v/>
      </c>
    </row>
    <row r="21156" spans="15:15" x14ac:dyDescent="0.25">
      <c r="O21156" s="20" t="str">
        <f>IF(N21156="","",COUNTIFS(RawData[[Date ]],N21156,RawData[Month List],$Q$6,RawData[Tour/Site],$Q$2,RawData[[Picker ID ]],$Q$3,RawData[Checker ID],$Q$4,RawData[[Error Type ]],$Q$5))</f>
        <v/>
      </c>
    </row>
    <row r="21157" spans="15:15" x14ac:dyDescent="0.25">
      <c r="O21157" s="20" t="str">
        <f>IF(N21157="","",COUNTIFS(RawData[[Date ]],N21157,RawData[Month List],$Q$6,RawData[Tour/Site],$Q$2,RawData[[Picker ID ]],$Q$3,RawData[Checker ID],$Q$4,RawData[[Error Type ]],$Q$5))</f>
        <v/>
      </c>
    </row>
    <row r="21158" spans="15:15" x14ac:dyDescent="0.25">
      <c r="O21158" s="20" t="str">
        <f>IF(N21158="","",COUNTIFS(RawData[[Date ]],N21158,RawData[Month List],$Q$6,RawData[Tour/Site],$Q$2,RawData[[Picker ID ]],$Q$3,RawData[Checker ID],$Q$4,RawData[[Error Type ]],$Q$5))</f>
        <v/>
      </c>
    </row>
    <row r="21159" spans="15:15" x14ac:dyDescent="0.25">
      <c r="O21159" s="20" t="str">
        <f>IF(N21159="","",COUNTIFS(RawData[[Date ]],N21159,RawData[Month List],$Q$6,RawData[Tour/Site],$Q$2,RawData[[Picker ID ]],$Q$3,RawData[Checker ID],$Q$4,RawData[[Error Type ]],$Q$5))</f>
        <v/>
      </c>
    </row>
    <row r="21160" spans="15:15" x14ac:dyDescent="0.25">
      <c r="O21160" s="20" t="str">
        <f>IF(N21160="","",COUNTIFS(RawData[[Date ]],N21160,RawData[Month List],$Q$6,RawData[Tour/Site],$Q$2,RawData[[Picker ID ]],$Q$3,RawData[Checker ID],$Q$4,RawData[[Error Type ]],$Q$5))</f>
        <v/>
      </c>
    </row>
    <row r="21161" spans="15:15" x14ac:dyDescent="0.25">
      <c r="O21161" s="20" t="str">
        <f>IF(N21161="","",COUNTIFS(RawData[[Date ]],N21161,RawData[Month List],$Q$6,RawData[Tour/Site],$Q$2,RawData[[Picker ID ]],$Q$3,RawData[Checker ID],$Q$4,RawData[[Error Type ]],$Q$5))</f>
        <v/>
      </c>
    </row>
    <row r="21162" spans="15:15" x14ac:dyDescent="0.25">
      <c r="O21162" s="20" t="str">
        <f>IF(N21162="","",COUNTIFS(RawData[[Date ]],N21162,RawData[Month List],$Q$6,RawData[Tour/Site],$Q$2,RawData[[Picker ID ]],$Q$3,RawData[Checker ID],$Q$4,RawData[[Error Type ]],$Q$5))</f>
        <v/>
      </c>
    </row>
    <row r="21163" spans="15:15" x14ac:dyDescent="0.25">
      <c r="O21163" s="20" t="str">
        <f>IF(N21163="","",COUNTIFS(RawData[[Date ]],N21163,RawData[Month List],$Q$6,RawData[Tour/Site],$Q$2,RawData[[Picker ID ]],$Q$3,RawData[Checker ID],$Q$4,RawData[[Error Type ]],$Q$5))</f>
        <v/>
      </c>
    </row>
    <row r="21164" spans="15:15" x14ac:dyDescent="0.25">
      <c r="O21164" s="20" t="str">
        <f>IF(N21164="","",COUNTIFS(RawData[[Date ]],N21164,RawData[Month List],$Q$6,RawData[Tour/Site],$Q$2,RawData[[Picker ID ]],$Q$3,RawData[Checker ID],$Q$4,RawData[[Error Type ]],$Q$5))</f>
        <v/>
      </c>
    </row>
    <row r="21165" spans="15:15" x14ac:dyDescent="0.25">
      <c r="O21165" s="20" t="str">
        <f>IF(N21165="","",COUNTIFS(RawData[[Date ]],N21165,RawData[Month List],$Q$6,RawData[Tour/Site],$Q$2,RawData[[Picker ID ]],$Q$3,RawData[Checker ID],$Q$4,RawData[[Error Type ]],$Q$5))</f>
        <v/>
      </c>
    </row>
    <row r="21166" spans="15:15" x14ac:dyDescent="0.25">
      <c r="O21166" s="20" t="str">
        <f>IF(N21166="","",COUNTIFS(RawData[[Date ]],N21166,RawData[Month List],$Q$6,RawData[Tour/Site],$Q$2,RawData[[Picker ID ]],$Q$3,RawData[Checker ID],$Q$4,RawData[[Error Type ]],$Q$5))</f>
        <v/>
      </c>
    </row>
    <row r="21167" spans="15:15" x14ac:dyDescent="0.25">
      <c r="O21167" s="20" t="str">
        <f>IF(N21167="","",COUNTIFS(RawData[[Date ]],N21167,RawData[Month List],$Q$6,RawData[Tour/Site],$Q$2,RawData[[Picker ID ]],$Q$3,RawData[Checker ID],$Q$4,RawData[[Error Type ]],$Q$5))</f>
        <v/>
      </c>
    </row>
    <row r="21168" spans="15:15" x14ac:dyDescent="0.25">
      <c r="O21168" s="20" t="str">
        <f>IF(N21168="","",COUNTIFS(RawData[[Date ]],N21168,RawData[Month List],$Q$6,RawData[Tour/Site],$Q$2,RawData[[Picker ID ]],$Q$3,RawData[Checker ID],$Q$4,RawData[[Error Type ]],$Q$5))</f>
        <v/>
      </c>
    </row>
    <row r="21169" spans="15:15" x14ac:dyDescent="0.25">
      <c r="O21169" s="20" t="str">
        <f>IF(N21169="","",COUNTIFS(RawData[[Date ]],N21169,RawData[Month List],$Q$6,RawData[Tour/Site],$Q$2,RawData[[Picker ID ]],$Q$3,RawData[Checker ID],$Q$4,RawData[[Error Type ]],$Q$5))</f>
        <v/>
      </c>
    </row>
    <row r="21170" spans="15:15" x14ac:dyDescent="0.25">
      <c r="O21170" s="20" t="str">
        <f>IF(N21170="","",COUNTIFS(RawData[[Date ]],N21170,RawData[Month List],$Q$6,RawData[Tour/Site],$Q$2,RawData[[Picker ID ]],$Q$3,RawData[Checker ID],$Q$4,RawData[[Error Type ]],$Q$5))</f>
        <v/>
      </c>
    </row>
    <row r="21171" spans="15:15" x14ac:dyDescent="0.25">
      <c r="O21171" s="20" t="str">
        <f>IF(N21171="","",COUNTIFS(RawData[[Date ]],N21171,RawData[Month List],$Q$6,RawData[Tour/Site],$Q$2,RawData[[Picker ID ]],$Q$3,RawData[Checker ID],$Q$4,RawData[[Error Type ]],$Q$5))</f>
        <v/>
      </c>
    </row>
    <row r="21172" spans="15:15" x14ac:dyDescent="0.25">
      <c r="O21172" s="20" t="str">
        <f>IF(N21172="","",COUNTIFS(RawData[[Date ]],N21172,RawData[Month List],$Q$6,RawData[Tour/Site],$Q$2,RawData[[Picker ID ]],$Q$3,RawData[Checker ID],$Q$4,RawData[[Error Type ]],$Q$5))</f>
        <v/>
      </c>
    </row>
    <row r="21173" spans="15:15" x14ac:dyDescent="0.25">
      <c r="O21173" s="20" t="str">
        <f>IF(N21173="","",COUNTIFS(RawData[[Date ]],N21173,RawData[Month List],$Q$6,RawData[Tour/Site],$Q$2,RawData[[Picker ID ]],$Q$3,RawData[Checker ID],$Q$4,RawData[[Error Type ]],$Q$5))</f>
        <v/>
      </c>
    </row>
    <row r="21174" spans="15:15" x14ac:dyDescent="0.25">
      <c r="O21174" s="20" t="str">
        <f>IF(N21174="","",COUNTIFS(RawData[[Date ]],N21174,RawData[Month List],$Q$6,RawData[Tour/Site],$Q$2,RawData[[Picker ID ]],$Q$3,RawData[Checker ID],$Q$4,RawData[[Error Type ]],$Q$5))</f>
        <v/>
      </c>
    </row>
    <row r="21175" spans="15:15" x14ac:dyDescent="0.25">
      <c r="O21175" s="20" t="str">
        <f>IF(N21175="","",COUNTIFS(RawData[[Date ]],N21175,RawData[Month List],$Q$6,RawData[Tour/Site],$Q$2,RawData[[Picker ID ]],$Q$3,RawData[Checker ID],$Q$4,RawData[[Error Type ]],$Q$5))</f>
        <v/>
      </c>
    </row>
    <row r="21176" spans="15:15" x14ac:dyDescent="0.25">
      <c r="O21176" s="20" t="str">
        <f>IF(N21176="","",COUNTIFS(RawData[[Date ]],N21176,RawData[Month List],$Q$6,RawData[Tour/Site],$Q$2,RawData[[Picker ID ]],$Q$3,RawData[Checker ID],$Q$4,RawData[[Error Type ]],$Q$5))</f>
        <v/>
      </c>
    </row>
    <row r="21177" spans="15:15" x14ac:dyDescent="0.25">
      <c r="O21177" s="20" t="str">
        <f>IF(N21177="","",COUNTIFS(RawData[[Date ]],N21177,RawData[Month List],$Q$6,RawData[Tour/Site],$Q$2,RawData[[Picker ID ]],$Q$3,RawData[Checker ID],$Q$4,RawData[[Error Type ]],$Q$5))</f>
        <v/>
      </c>
    </row>
    <row r="21178" spans="15:15" x14ac:dyDescent="0.25">
      <c r="O21178" s="20" t="str">
        <f>IF(N21178="","",COUNTIFS(RawData[[Date ]],N21178,RawData[Month List],$Q$6,RawData[Tour/Site],$Q$2,RawData[[Picker ID ]],$Q$3,RawData[Checker ID],$Q$4,RawData[[Error Type ]],$Q$5))</f>
        <v/>
      </c>
    </row>
    <row r="21179" spans="15:15" x14ac:dyDescent="0.25">
      <c r="O21179" s="20" t="str">
        <f>IF(N21179="","",COUNTIFS(RawData[[Date ]],N21179,RawData[Month List],$Q$6,RawData[Tour/Site],$Q$2,RawData[[Picker ID ]],$Q$3,RawData[Checker ID],$Q$4,RawData[[Error Type ]],$Q$5))</f>
        <v/>
      </c>
    </row>
    <row r="21180" spans="15:15" x14ac:dyDescent="0.25">
      <c r="O21180" s="20" t="str">
        <f>IF(N21180="","",COUNTIFS(RawData[[Date ]],N21180,RawData[Month List],$Q$6,RawData[Tour/Site],$Q$2,RawData[[Picker ID ]],$Q$3,RawData[Checker ID],$Q$4,RawData[[Error Type ]],$Q$5))</f>
        <v/>
      </c>
    </row>
    <row r="21181" spans="15:15" x14ac:dyDescent="0.25">
      <c r="O21181" s="20" t="str">
        <f>IF(N21181="","",COUNTIFS(RawData[[Date ]],N21181,RawData[Month List],$Q$6,RawData[Tour/Site],$Q$2,RawData[[Picker ID ]],$Q$3,RawData[Checker ID],$Q$4,RawData[[Error Type ]],$Q$5))</f>
        <v/>
      </c>
    </row>
    <row r="21182" spans="15:15" x14ac:dyDescent="0.25">
      <c r="O21182" s="20" t="str">
        <f>IF(N21182="","",COUNTIFS(RawData[[Date ]],N21182,RawData[Month List],$Q$6,RawData[Tour/Site],$Q$2,RawData[[Picker ID ]],$Q$3,RawData[Checker ID],$Q$4,RawData[[Error Type ]],$Q$5))</f>
        <v/>
      </c>
    </row>
    <row r="21183" spans="15:15" x14ac:dyDescent="0.25">
      <c r="O21183" s="20" t="str">
        <f>IF(N21183="","",COUNTIFS(RawData[[Date ]],N21183,RawData[Month List],$Q$6,RawData[Tour/Site],$Q$2,RawData[[Picker ID ]],$Q$3,RawData[Checker ID],$Q$4,RawData[[Error Type ]],$Q$5))</f>
        <v/>
      </c>
    </row>
    <row r="21184" spans="15:15" x14ac:dyDescent="0.25">
      <c r="O21184" s="20" t="str">
        <f>IF(N21184="","",COUNTIFS(RawData[[Date ]],N21184,RawData[Month List],$Q$6,RawData[Tour/Site],$Q$2,RawData[[Picker ID ]],$Q$3,RawData[Checker ID],$Q$4,RawData[[Error Type ]],$Q$5))</f>
        <v/>
      </c>
    </row>
    <row r="21185" spans="15:15" x14ac:dyDescent="0.25">
      <c r="O21185" s="20" t="str">
        <f>IF(N21185="","",COUNTIFS(RawData[[Date ]],N21185,RawData[Month List],$Q$6,RawData[Tour/Site],$Q$2,RawData[[Picker ID ]],$Q$3,RawData[Checker ID],$Q$4,RawData[[Error Type ]],$Q$5))</f>
        <v/>
      </c>
    </row>
    <row r="21186" spans="15:15" x14ac:dyDescent="0.25">
      <c r="O21186" s="20" t="str">
        <f>IF(N21186="","",COUNTIFS(RawData[[Date ]],N21186,RawData[Month List],$Q$6,RawData[Tour/Site],$Q$2,RawData[[Picker ID ]],$Q$3,RawData[Checker ID],$Q$4,RawData[[Error Type ]],$Q$5))</f>
        <v/>
      </c>
    </row>
    <row r="21187" spans="15:15" x14ac:dyDescent="0.25">
      <c r="O21187" s="20" t="str">
        <f>IF(N21187="","",COUNTIFS(RawData[[Date ]],N21187,RawData[Month List],$Q$6,RawData[Tour/Site],$Q$2,RawData[[Picker ID ]],$Q$3,RawData[Checker ID],$Q$4,RawData[[Error Type ]],$Q$5))</f>
        <v/>
      </c>
    </row>
    <row r="21188" spans="15:15" x14ac:dyDescent="0.25">
      <c r="O21188" s="20" t="str">
        <f>IF(N21188="","",COUNTIFS(RawData[[Date ]],N21188,RawData[Month List],$Q$6,RawData[Tour/Site],$Q$2,RawData[[Picker ID ]],$Q$3,RawData[Checker ID],$Q$4,RawData[[Error Type ]],$Q$5))</f>
        <v/>
      </c>
    </row>
    <row r="21189" spans="15:15" x14ac:dyDescent="0.25">
      <c r="O21189" s="20" t="str">
        <f>IF(N21189="","",COUNTIFS(RawData[[Date ]],N21189,RawData[Month List],$Q$6,RawData[Tour/Site],$Q$2,RawData[[Picker ID ]],$Q$3,RawData[Checker ID],$Q$4,RawData[[Error Type ]],$Q$5))</f>
        <v/>
      </c>
    </row>
    <row r="21190" spans="15:15" x14ac:dyDescent="0.25">
      <c r="O21190" s="20" t="str">
        <f>IF(N21190="","",COUNTIFS(RawData[[Date ]],N21190,RawData[Month List],$Q$6,RawData[Tour/Site],$Q$2,RawData[[Picker ID ]],$Q$3,RawData[Checker ID],$Q$4,RawData[[Error Type ]],$Q$5))</f>
        <v/>
      </c>
    </row>
    <row r="21191" spans="15:15" x14ac:dyDescent="0.25">
      <c r="O21191" s="20" t="str">
        <f>IF(N21191="","",COUNTIFS(RawData[[Date ]],N21191,RawData[Month List],$Q$6,RawData[Tour/Site],$Q$2,RawData[[Picker ID ]],$Q$3,RawData[Checker ID],$Q$4,RawData[[Error Type ]],$Q$5))</f>
        <v/>
      </c>
    </row>
    <row r="21192" spans="15:15" x14ac:dyDescent="0.25">
      <c r="O21192" s="20" t="str">
        <f>IF(N21192="","",COUNTIFS(RawData[[Date ]],N21192,RawData[Month List],$Q$6,RawData[Tour/Site],$Q$2,RawData[[Picker ID ]],$Q$3,RawData[Checker ID],$Q$4,RawData[[Error Type ]],$Q$5))</f>
        <v/>
      </c>
    </row>
    <row r="21193" spans="15:15" x14ac:dyDescent="0.25">
      <c r="O21193" s="20" t="str">
        <f>IF(N21193="","",COUNTIFS(RawData[[Date ]],N21193,RawData[Month List],$Q$6,RawData[Tour/Site],$Q$2,RawData[[Picker ID ]],$Q$3,RawData[Checker ID],$Q$4,RawData[[Error Type ]],$Q$5))</f>
        <v/>
      </c>
    </row>
    <row r="21194" spans="15:15" x14ac:dyDescent="0.25">
      <c r="O21194" s="20" t="str">
        <f>IF(N21194="","",COUNTIFS(RawData[[Date ]],N21194,RawData[Month List],$Q$6,RawData[Tour/Site],$Q$2,RawData[[Picker ID ]],$Q$3,RawData[Checker ID],$Q$4,RawData[[Error Type ]],$Q$5))</f>
        <v/>
      </c>
    </row>
    <row r="21195" spans="15:15" x14ac:dyDescent="0.25">
      <c r="O21195" s="20" t="str">
        <f>IF(N21195="","",COUNTIFS(RawData[[Date ]],N21195,RawData[Month List],$Q$6,RawData[Tour/Site],$Q$2,RawData[[Picker ID ]],$Q$3,RawData[Checker ID],$Q$4,RawData[[Error Type ]],$Q$5))</f>
        <v/>
      </c>
    </row>
    <row r="21196" spans="15:15" x14ac:dyDescent="0.25">
      <c r="O21196" s="20" t="str">
        <f>IF(N21196="","",COUNTIFS(RawData[[Date ]],N21196,RawData[Month List],$Q$6,RawData[Tour/Site],$Q$2,RawData[[Picker ID ]],$Q$3,RawData[Checker ID],$Q$4,RawData[[Error Type ]],$Q$5))</f>
        <v/>
      </c>
    </row>
    <row r="21197" spans="15:15" x14ac:dyDescent="0.25">
      <c r="O21197" s="20" t="str">
        <f>IF(N21197="","",COUNTIFS(RawData[[Date ]],N21197,RawData[Month List],$Q$6,RawData[Tour/Site],$Q$2,RawData[[Picker ID ]],$Q$3,RawData[Checker ID],$Q$4,RawData[[Error Type ]],$Q$5))</f>
        <v/>
      </c>
    </row>
    <row r="21198" spans="15:15" x14ac:dyDescent="0.25">
      <c r="O21198" s="20" t="str">
        <f>IF(N21198="","",COUNTIFS(RawData[[Date ]],N21198,RawData[Month List],$Q$6,RawData[Tour/Site],$Q$2,RawData[[Picker ID ]],$Q$3,RawData[Checker ID],$Q$4,RawData[[Error Type ]],$Q$5))</f>
        <v/>
      </c>
    </row>
    <row r="21199" spans="15:15" x14ac:dyDescent="0.25">
      <c r="O21199" s="20" t="str">
        <f>IF(N21199="","",COUNTIFS(RawData[[Date ]],N21199,RawData[Month List],$Q$6,RawData[Tour/Site],$Q$2,RawData[[Picker ID ]],$Q$3,RawData[Checker ID],$Q$4,RawData[[Error Type ]],$Q$5))</f>
        <v/>
      </c>
    </row>
    <row r="21200" spans="15:15" x14ac:dyDescent="0.25">
      <c r="O21200" s="20" t="str">
        <f>IF(N21200="","",COUNTIFS(RawData[[Date ]],N21200,RawData[Month List],$Q$6,RawData[Tour/Site],$Q$2,RawData[[Picker ID ]],$Q$3,RawData[Checker ID],$Q$4,RawData[[Error Type ]],$Q$5))</f>
        <v/>
      </c>
    </row>
    <row r="21201" spans="15:15" x14ac:dyDescent="0.25">
      <c r="O21201" s="20" t="str">
        <f>IF(N21201="","",COUNTIFS(RawData[[Date ]],N21201,RawData[Month List],$Q$6,RawData[Tour/Site],$Q$2,RawData[[Picker ID ]],$Q$3,RawData[Checker ID],$Q$4,RawData[[Error Type ]],$Q$5))</f>
        <v/>
      </c>
    </row>
    <row r="21202" spans="15:15" x14ac:dyDescent="0.25">
      <c r="O21202" s="20" t="str">
        <f>IF(N21202="","",COUNTIFS(RawData[[Date ]],N21202,RawData[Month List],$Q$6,RawData[Tour/Site],$Q$2,RawData[[Picker ID ]],$Q$3,RawData[Checker ID],$Q$4,RawData[[Error Type ]],$Q$5))</f>
        <v/>
      </c>
    </row>
    <row r="21203" spans="15:15" x14ac:dyDescent="0.25">
      <c r="O21203" s="20" t="str">
        <f>IF(N21203="","",COUNTIFS(RawData[[Date ]],N21203,RawData[Month List],$Q$6,RawData[Tour/Site],$Q$2,RawData[[Picker ID ]],$Q$3,RawData[Checker ID],$Q$4,RawData[[Error Type ]],$Q$5))</f>
        <v/>
      </c>
    </row>
    <row r="21204" spans="15:15" x14ac:dyDescent="0.25">
      <c r="O21204" s="20" t="str">
        <f>IF(N21204="","",COUNTIFS(RawData[[Date ]],N21204,RawData[Month List],$Q$6,RawData[Tour/Site],$Q$2,RawData[[Picker ID ]],$Q$3,RawData[Checker ID],$Q$4,RawData[[Error Type ]],$Q$5))</f>
        <v/>
      </c>
    </row>
    <row r="21205" spans="15:15" x14ac:dyDescent="0.25">
      <c r="O21205" s="20" t="str">
        <f>IF(N21205="","",COUNTIFS(RawData[[Date ]],N21205,RawData[Month List],$Q$6,RawData[Tour/Site],$Q$2,RawData[[Picker ID ]],$Q$3,RawData[Checker ID],$Q$4,RawData[[Error Type ]],$Q$5))</f>
        <v/>
      </c>
    </row>
    <row r="21206" spans="15:15" x14ac:dyDescent="0.25">
      <c r="O21206" s="20" t="str">
        <f>IF(N21206="","",COUNTIFS(RawData[[Date ]],N21206,RawData[Month List],$Q$6,RawData[Tour/Site],$Q$2,RawData[[Picker ID ]],$Q$3,RawData[Checker ID],$Q$4,RawData[[Error Type ]],$Q$5))</f>
        <v/>
      </c>
    </row>
    <row r="21207" spans="15:15" x14ac:dyDescent="0.25">
      <c r="O21207" s="20" t="str">
        <f>IF(N21207="","",COUNTIFS(RawData[[Date ]],N21207,RawData[Month List],$Q$6,RawData[Tour/Site],$Q$2,RawData[[Picker ID ]],$Q$3,RawData[Checker ID],$Q$4,RawData[[Error Type ]],$Q$5))</f>
        <v/>
      </c>
    </row>
    <row r="21208" spans="15:15" x14ac:dyDescent="0.25">
      <c r="O21208" s="20" t="str">
        <f>IF(N21208="","",COUNTIFS(RawData[[Date ]],N21208,RawData[Month List],$Q$6,RawData[Tour/Site],$Q$2,RawData[[Picker ID ]],$Q$3,RawData[Checker ID],$Q$4,RawData[[Error Type ]],$Q$5))</f>
        <v/>
      </c>
    </row>
    <row r="21209" spans="15:15" x14ac:dyDescent="0.25">
      <c r="O21209" s="20" t="str">
        <f>IF(N21209="","",COUNTIFS(RawData[[Date ]],N21209,RawData[Month List],$Q$6,RawData[Tour/Site],$Q$2,RawData[[Picker ID ]],$Q$3,RawData[Checker ID],$Q$4,RawData[[Error Type ]],$Q$5))</f>
        <v/>
      </c>
    </row>
    <row r="21210" spans="15:15" x14ac:dyDescent="0.25">
      <c r="O21210" s="20" t="str">
        <f>IF(N21210="","",COUNTIFS(RawData[[Date ]],N21210,RawData[Month List],$Q$6,RawData[Tour/Site],$Q$2,RawData[[Picker ID ]],$Q$3,RawData[Checker ID],$Q$4,RawData[[Error Type ]],$Q$5))</f>
        <v/>
      </c>
    </row>
    <row r="21211" spans="15:15" x14ac:dyDescent="0.25">
      <c r="O21211" s="20" t="str">
        <f>IF(N21211="","",COUNTIFS(RawData[[Date ]],N21211,RawData[Month List],$Q$6,RawData[Tour/Site],$Q$2,RawData[[Picker ID ]],$Q$3,RawData[Checker ID],$Q$4,RawData[[Error Type ]],$Q$5))</f>
        <v/>
      </c>
    </row>
    <row r="21212" spans="15:15" x14ac:dyDescent="0.25">
      <c r="O21212" s="20" t="str">
        <f>IF(N21212="","",COUNTIFS(RawData[[Date ]],N21212,RawData[Month List],$Q$6,RawData[Tour/Site],$Q$2,RawData[[Picker ID ]],$Q$3,RawData[Checker ID],$Q$4,RawData[[Error Type ]],$Q$5))</f>
        <v/>
      </c>
    </row>
    <row r="21213" spans="15:15" x14ac:dyDescent="0.25">
      <c r="O21213" s="20" t="str">
        <f>IF(N21213="","",COUNTIFS(RawData[[Date ]],N21213,RawData[Month List],$Q$6,RawData[Tour/Site],$Q$2,RawData[[Picker ID ]],$Q$3,RawData[Checker ID],$Q$4,RawData[[Error Type ]],$Q$5))</f>
        <v/>
      </c>
    </row>
    <row r="21214" spans="15:15" x14ac:dyDescent="0.25">
      <c r="O21214" s="20" t="str">
        <f>IF(N21214="","",COUNTIFS(RawData[[Date ]],N21214,RawData[Month List],$Q$6,RawData[Tour/Site],$Q$2,RawData[[Picker ID ]],$Q$3,RawData[Checker ID],$Q$4,RawData[[Error Type ]],$Q$5))</f>
        <v/>
      </c>
    </row>
    <row r="21215" spans="15:15" x14ac:dyDescent="0.25">
      <c r="O21215" s="20" t="str">
        <f>IF(N21215="","",COUNTIFS(RawData[[Date ]],N21215,RawData[Month List],$Q$6,RawData[Tour/Site],$Q$2,RawData[[Picker ID ]],$Q$3,RawData[Checker ID],$Q$4,RawData[[Error Type ]],$Q$5))</f>
        <v/>
      </c>
    </row>
    <row r="21216" spans="15:15" x14ac:dyDescent="0.25">
      <c r="O21216" s="20" t="str">
        <f>IF(N21216="","",COUNTIFS(RawData[[Date ]],N21216,RawData[Month List],$Q$6,RawData[Tour/Site],$Q$2,RawData[[Picker ID ]],$Q$3,RawData[Checker ID],$Q$4,RawData[[Error Type ]],$Q$5))</f>
        <v/>
      </c>
    </row>
    <row r="21217" spans="15:15" x14ac:dyDescent="0.25">
      <c r="O21217" s="20" t="str">
        <f>IF(N21217="","",COUNTIFS(RawData[[Date ]],N21217,RawData[Month List],$Q$6,RawData[Tour/Site],$Q$2,RawData[[Picker ID ]],$Q$3,RawData[Checker ID],$Q$4,RawData[[Error Type ]],$Q$5))</f>
        <v/>
      </c>
    </row>
    <row r="21218" spans="15:15" x14ac:dyDescent="0.25">
      <c r="O21218" s="20" t="str">
        <f>IF(N21218="","",COUNTIFS(RawData[[Date ]],N21218,RawData[Month List],$Q$6,RawData[Tour/Site],$Q$2,RawData[[Picker ID ]],$Q$3,RawData[Checker ID],$Q$4,RawData[[Error Type ]],$Q$5))</f>
        <v/>
      </c>
    </row>
    <row r="21219" spans="15:15" x14ac:dyDescent="0.25">
      <c r="O21219" s="20" t="str">
        <f>IF(N21219="","",COUNTIFS(RawData[[Date ]],N21219,RawData[Month List],$Q$6,RawData[Tour/Site],$Q$2,RawData[[Picker ID ]],$Q$3,RawData[Checker ID],$Q$4,RawData[[Error Type ]],$Q$5))</f>
        <v/>
      </c>
    </row>
    <row r="21220" spans="15:15" x14ac:dyDescent="0.25">
      <c r="O21220" s="20" t="str">
        <f>IF(N21220="","",COUNTIFS(RawData[[Date ]],N21220,RawData[Month List],$Q$6,RawData[Tour/Site],$Q$2,RawData[[Picker ID ]],$Q$3,RawData[Checker ID],$Q$4,RawData[[Error Type ]],$Q$5))</f>
        <v/>
      </c>
    </row>
    <row r="21221" spans="15:15" x14ac:dyDescent="0.25">
      <c r="O21221" s="20" t="str">
        <f>IF(N21221="","",COUNTIFS(RawData[[Date ]],N21221,RawData[Month List],$Q$6,RawData[Tour/Site],$Q$2,RawData[[Picker ID ]],$Q$3,RawData[Checker ID],$Q$4,RawData[[Error Type ]],$Q$5))</f>
        <v/>
      </c>
    </row>
    <row r="21222" spans="15:15" x14ac:dyDescent="0.25">
      <c r="O21222" s="20" t="str">
        <f>IF(N21222="","",COUNTIFS(RawData[[Date ]],N21222,RawData[Month List],$Q$6,RawData[Tour/Site],$Q$2,RawData[[Picker ID ]],$Q$3,RawData[Checker ID],$Q$4,RawData[[Error Type ]],$Q$5))</f>
        <v/>
      </c>
    </row>
    <row r="21223" spans="15:15" x14ac:dyDescent="0.25">
      <c r="O21223" s="20" t="str">
        <f>IF(N21223="","",COUNTIFS(RawData[[Date ]],N21223,RawData[Month List],$Q$6,RawData[Tour/Site],$Q$2,RawData[[Picker ID ]],$Q$3,RawData[Checker ID],$Q$4,RawData[[Error Type ]],$Q$5))</f>
        <v/>
      </c>
    </row>
    <row r="21224" spans="15:15" x14ac:dyDescent="0.25">
      <c r="O21224" s="20" t="str">
        <f>IF(N21224="","",COUNTIFS(RawData[[Date ]],N21224,RawData[Month List],$Q$6,RawData[Tour/Site],$Q$2,RawData[[Picker ID ]],$Q$3,RawData[Checker ID],$Q$4,RawData[[Error Type ]],$Q$5))</f>
        <v/>
      </c>
    </row>
    <row r="21225" spans="15:15" x14ac:dyDescent="0.25">
      <c r="O21225" s="20" t="str">
        <f>IF(N21225="","",COUNTIFS(RawData[[Date ]],N21225,RawData[Month List],$Q$6,RawData[Tour/Site],$Q$2,RawData[[Picker ID ]],$Q$3,RawData[Checker ID],$Q$4,RawData[[Error Type ]],$Q$5))</f>
        <v/>
      </c>
    </row>
    <row r="21226" spans="15:15" x14ac:dyDescent="0.25">
      <c r="O21226" s="20" t="str">
        <f>IF(N21226="","",COUNTIFS(RawData[[Date ]],N21226,RawData[Month List],$Q$6,RawData[Tour/Site],$Q$2,RawData[[Picker ID ]],$Q$3,RawData[Checker ID],$Q$4,RawData[[Error Type ]],$Q$5))</f>
        <v/>
      </c>
    </row>
    <row r="21227" spans="15:15" x14ac:dyDescent="0.25">
      <c r="O21227" s="20" t="str">
        <f>IF(N21227="","",COUNTIFS(RawData[[Date ]],N21227,RawData[Month List],$Q$6,RawData[Tour/Site],$Q$2,RawData[[Picker ID ]],$Q$3,RawData[Checker ID],$Q$4,RawData[[Error Type ]],$Q$5))</f>
        <v/>
      </c>
    </row>
    <row r="21228" spans="15:15" x14ac:dyDescent="0.25">
      <c r="O21228" s="20" t="str">
        <f>IF(N21228="","",COUNTIFS(RawData[[Date ]],N21228,RawData[Month List],$Q$6,RawData[Tour/Site],$Q$2,RawData[[Picker ID ]],$Q$3,RawData[Checker ID],$Q$4,RawData[[Error Type ]],$Q$5))</f>
        <v/>
      </c>
    </row>
    <row r="21229" spans="15:15" x14ac:dyDescent="0.25">
      <c r="O21229" s="20" t="str">
        <f>IF(N21229="","",COUNTIFS(RawData[[Date ]],N21229,RawData[Month List],$Q$6,RawData[Tour/Site],$Q$2,RawData[[Picker ID ]],$Q$3,RawData[Checker ID],$Q$4,RawData[[Error Type ]],$Q$5))</f>
        <v/>
      </c>
    </row>
    <row r="21230" spans="15:15" x14ac:dyDescent="0.25">
      <c r="O21230" s="20" t="str">
        <f>IF(N21230="","",COUNTIFS(RawData[[Date ]],N21230,RawData[Month List],$Q$6,RawData[Tour/Site],$Q$2,RawData[[Picker ID ]],$Q$3,RawData[Checker ID],$Q$4,RawData[[Error Type ]],$Q$5))</f>
        <v/>
      </c>
    </row>
    <row r="21231" spans="15:15" x14ac:dyDescent="0.25">
      <c r="O21231" s="20" t="str">
        <f>IF(N21231="","",COUNTIFS(RawData[[Date ]],N21231,RawData[Month List],$Q$6,RawData[Tour/Site],$Q$2,RawData[[Picker ID ]],$Q$3,RawData[Checker ID],$Q$4,RawData[[Error Type ]],$Q$5))</f>
        <v/>
      </c>
    </row>
    <row r="21232" spans="15:15" x14ac:dyDescent="0.25">
      <c r="O21232" s="20" t="str">
        <f>IF(N21232="","",COUNTIFS(RawData[[Date ]],N21232,RawData[Month List],$Q$6,RawData[Tour/Site],$Q$2,RawData[[Picker ID ]],$Q$3,RawData[Checker ID],$Q$4,RawData[[Error Type ]],$Q$5))</f>
        <v/>
      </c>
    </row>
    <row r="21233" spans="15:15" x14ac:dyDescent="0.25">
      <c r="O21233" s="20" t="str">
        <f>IF(N21233="","",COUNTIFS(RawData[[Date ]],N21233,RawData[Month List],$Q$6,RawData[Tour/Site],$Q$2,RawData[[Picker ID ]],$Q$3,RawData[Checker ID],$Q$4,RawData[[Error Type ]],$Q$5))</f>
        <v/>
      </c>
    </row>
    <row r="21234" spans="15:15" x14ac:dyDescent="0.25">
      <c r="O21234" s="20" t="str">
        <f>IF(N21234="","",COUNTIFS(RawData[[Date ]],N21234,RawData[Month List],$Q$6,RawData[Tour/Site],$Q$2,RawData[[Picker ID ]],$Q$3,RawData[Checker ID],$Q$4,RawData[[Error Type ]],$Q$5))</f>
        <v/>
      </c>
    </row>
    <row r="21235" spans="15:15" x14ac:dyDescent="0.25">
      <c r="O21235" s="20" t="str">
        <f>IF(N21235="","",COUNTIFS(RawData[[Date ]],N21235,RawData[Month List],$Q$6,RawData[Tour/Site],$Q$2,RawData[[Picker ID ]],$Q$3,RawData[Checker ID],$Q$4,RawData[[Error Type ]],$Q$5))</f>
        <v/>
      </c>
    </row>
    <row r="21236" spans="15:15" x14ac:dyDescent="0.25">
      <c r="O21236" s="20" t="str">
        <f>IF(N21236="","",COUNTIFS(RawData[[Date ]],N21236,RawData[Month List],$Q$6,RawData[Tour/Site],$Q$2,RawData[[Picker ID ]],$Q$3,RawData[Checker ID],$Q$4,RawData[[Error Type ]],$Q$5))</f>
        <v/>
      </c>
    </row>
    <row r="21237" spans="15:15" x14ac:dyDescent="0.25">
      <c r="O21237" s="20" t="str">
        <f>IF(N21237="","",COUNTIFS(RawData[[Date ]],N21237,RawData[Month List],$Q$6,RawData[Tour/Site],$Q$2,RawData[[Picker ID ]],$Q$3,RawData[Checker ID],$Q$4,RawData[[Error Type ]],$Q$5))</f>
        <v/>
      </c>
    </row>
    <row r="21238" spans="15:15" x14ac:dyDescent="0.25">
      <c r="O21238" s="20" t="str">
        <f>IF(N21238="","",COUNTIFS(RawData[[Date ]],N21238,RawData[Month List],$Q$6,RawData[Tour/Site],$Q$2,RawData[[Picker ID ]],$Q$3,RawData[Checker ID],$Q$4,RawData[[Error Type ]],$Q$5))</f>
        <v/>
      </c>
    </row>
    <row r="21239" spans="15:15" x14ac:dyDescent="0.25">
      <c r="O21239" s="20" t="str">
        <f>IF(N21239="","",COUNTIFS(RawData[[Date ]],N21239,RawData[Month List],$Q$6,RawData[Tour/Site],$Q$2,RawData[[Picker ID ]],$Q$3,RawData[Checker ID],$Q$4,RawData[[Error Type ]],$Q$5))</f>
        <v/>
      </c>
    </row>
    <row r="21240" spans="15:15" x14ac:dyDescent="0.25">
      <c r="O21240" s="20" t="str">
        <f>IF(N21240="","",COUNTIFS(RawData[[Date ]],N21240,RawData[Month List],$Q$6,RawData[Tour/Site],$Q$2,RawData[[Picker ID ]],$Q$3,RawData[Checker ID],$Q$4,RawData[[Error Type ]],$Q$5))</f>
        <v/>
      </c>
    </row>
    <row r="21241" spans="15:15" x14ac:dyDescent="0.25">
      <c r="O21241" s="20" t="str">
        <f>IF(N21241="","",COUNTIFS(RawData[[Date ]],N21241,RawData[Month List],$Q$6,RawData[Tour/Site],$Q$2,RawData[[Picker ID ]],$Q$3,RawData[Checker ID],$Q$4,RawData[[Error Type ]],$Q$5))</f>
        <v/>
      </c>
    </row>
    <row r="21242" spans="15:15" x14ac:dyDescent="0.25">
      <c r="O21242" s="20" t="str">
        <f>IF(N21242="","",COUNTIFS(RawData[[Date ]],N21242,RawData[Month List],$Q$6,RawData[Tour/Site],$Q$2,RawData[[Picker ID ]],$Q$3,RawData[Checker ID],$Q$4,RawData[[Error Type ]],$Q$5))</f>
        <v/>
      </c>
    </row>
    <row r="21243" spans="15:15" x14ac:dyDescent="0.25">
      <c r="O21243" s="20" t="str">
        <f>IF(N21243="","",COUNTIFS(RawData[[Date ]],N21243,RawData[Month List],$Q$6,RawData[Tour/Site],$Q$2,RawData[[Picker ID ]],$Q$3,RawData[Checker ID],$Q$4,RawData[[Error Type ]],$Q$5))</f>
        <v/>
      </c>
    </row>
    <row r="21244" spans="15:15" x14ac:dyDescent="0.25">
      <c r="O21244" s="20" t="str">
        <f>IF(N21244="","",COUNTIFS(RawData[[Date ]],N21244,RawData[Month List],$Q$6,RawData[Tour/Site],$Q$2,RawData[[Picker ID ]],$Q$3,RawData[Checker ID],$Q$4,RawData[[Error Type ]],$Q$5))</f>
        <v/>
      </c>
    </row>
    <row r="21245" spans="15:15" x14ac:dyDescent="0.25">
      <c r="O21245" s="20" t="str">
        <f>IF(N21245="","",COUNTIFS(RawData[[Date ]],N21245,RawData[Month List],$Q$6,RawData[Tour/Site],$Q$2,RawData[[Picker ID ]],$Q$3,RawData[Checker ID],$Q$4,RawData[[Error Type ]],$Q$5))</f>
        <v/>
      </c>
    </row>
    <row r="21246" spans="15:15" x14ac:dyDescent="0.25">
      <c r="O21246" s="20" t="str">
        <f>IF(N21246="","",COUNTIFS(RawData[[Date ]],N21246,RawData[Month List],$Q$6,RawData[Tour/Site],$Q$2,RawData[[Picker ID ]],$Q$3,RawData[Checker ID],$Q$4,RawData[[Error Type ]],$Q$5))</f>
        <v/>
      </c>
    </row>
    <row r="21247" spans="15:15" x14ac:dyDescent="0.25">
      <c r="O21247" s="20" t="str">
        <f>IF(N21247="","",COUNTIFS(RawData[[Date ]],N21247,RawData[Month List],$Q$6,RawData[Tour/Site],$Q$2,RawData[[Picker ID ]],$Q$3,RawData[Checker ID],$Q$4,RawData[[Error Type ]],$Q$5))</f>
        <v/>
      </c>
    </row>
    <row r="21248" spans="15:15" x14ac:dyDescent="0.25">
      <c r="O21248" s="20" t="str">
        <f>IF(N21248="","",COUNTIFS(RawData[[Date ]],N21248,RawData[Month List],$Q$6,RawData[Tour/Site],$Q$2,RawData[[Picker ID ]],$Q$3,RawData[Checker ID],$Q$4,RawData[[Error Type ]],$Q$5))</f>
        <v/>
      </c>
    </row>
    <row r="21249" spans="15:15" x14ac:dyDescent="0.25">
      <c r="O21249" s="20" t="str">
        <f>IF(N21249="","",COUNTIFS(RawData[[Date ]],N21249,RawData[Month List],$Q$6,RawData[Tour/Site],$Q$2,RawData[[Picker ID ]],$Q$3,RawData[Checker ID],$Q$4,RawData[[Error Type ]],$Q$5))</f>
        <v/>
      </c>
    </row>
    <row r="21250" spans="15:15" x14ac:dyDescent="0.25">
      <c r="O21250" s="20" t="str">
        <f>IF(N21250="","",COUNTIFS(RawData[[Date ]],N21250,RawData[Month List],$Q$6,RawData[Tour/Site],$Q$2,RawData[[Picker ID ]],$Q$3,RawData[Checker ID],$Q$4,RawData[[Error Type ]],$Q$5))</f>
        <v/>
      </c>
    </row>
    <row r="21251" spans="15:15" x14ac:dyDescent="0.25">
      <c r="O21251" s="20" t="str">
        <f>IF(N21251="","",COUNTIFS(RawData[[Date ]],N21251,RawData[Month List],$Q$6,RawData[Tour/Site],$Q$2,RawData[[Picker ID ]],$Q$3,RawData[Checker ID],$Q$4,RawData[[Error Type ]],$Q$5))</f>
        <v/>
      </c>
    </row>
    <row r="21252" spans="15:15" x14ac:dyDescent="0.25">
      <c r="O21252" s="20" t="str">
        <f>IF(N21252="","",COUNTIFS(RawData[[Date ]],N21252,RawData[Month List],$Q$6,RawData[Tour/Site],$Q$2,RawData[[Picker ID ]],$Q$3,RawData[Checker ID],$Q$4,RawData[[Error Type ]],$Q$5))</f>
        <v/>
      </c>
    </row>
    <row r="21253" spans="15:15" x14ac:dyDescent="0.25">
      <c r="O21253" s="20" t="str">
        <f>IF(N21253="","",COUNTIFS(RawData[[Date ]],N21253,RawData[Month List],$Q$6,RawData[Tour/Site],$Q$2,RawData[[Picker ID ]],$Q$3,RawData[Checker ID],$Q$4,RawData[[Error Type ]],$Q$5))</f>
        <v/>
      </c>
    </row>
    <row r="21254" spans="15:15" x14ac:dyDescent="0.25">
      <c r="O21254" s="20" t="str">
        <f>IF(N21254="","",COUNTIFS(RawData[[Date ]],N21254,RawData[Month List],$Q$6,RawData[Tour/Site],$Q$2,RawData[[Picker ID ]],$Q$3,RawData[Checker ID],$Q$4,RawData[[Error Type ]],$Q$5))</f>
        <v/>
      </c>
    </row>
    <row r="21255" spans="15:15" x14ac:dyDescent="0.25">
      <c r="O21255" s="20" t="str">
        <f>IF(N21255="","",COUNTIFS(RawData[[Date ]],N21255,RawData[Month List],$Q$6,RawData[Tour/Site],$Q$2,RawData[[Picker ID ]],$Q$3,RawData[Checker ID],$Q$4,RawData[[Error Type ]],$Q$5))</f>
        <v/>
      </c>
    </row>
    <row r="21256" spans="15:15" x14ac:dyDescent="0.25">
      <c r="O21256" s="20" t="str">
        <f>IF(N21256="","",COUNTIFS(RawData[[Date ]],N21256,RawData[Month List],$Q$6,RawData[Tour/Site],$Q$2,RawData[[Picker ID ]],$Q$3,RawData[Checker ID],$Q$4,RawData[[Error Type ]],$Q$5))</f>
        <v/>
      </c>
    </row>
    <row r="21257" spans="15:15" x14ac:dyDescent="0.25">
      <c r="O21257" s="20" t="str">
        <f>IF(N21257="","",COUNTIFS(RawData[[Date ]],N21257,RawData[Month List],$Q$6,RawData[Tour/Site],$Q$2,RawData[[Picker ID ]],$Q$3,RawData[Checker ID],$Q$4,RawData[[Error Type ]],$Q$5))</f>
        <v/>
      </c>
    </row>
    <row r="21258" spans="15:15" x14ac:dyDescent="0.25">
      <c r="O21258" s="20" t="str">
        <f>IF(N21258="","",COUNTIFS(RawData[[Date ]],N21258,RawData[Month List],$Q$6,RawData[Tour/Site],$Q$2,RawData[[Picker ID ]],$Q$3,RawData[Checker ID],$Q$4,RawData[[Error Type ]],$Q$5))</f>
        <v/>
      </c>
    </row>
    <row r="21259" spans="15:15" x14ac:dyDescent="0.25">
      <c r="O21259" s="20" t="str">
        <f>IF(N21259="","",COUNTIFS(RawData[[Date ]],N21259,RawData[Month List],$Q$6,RawData[Tour/Site],$Q$2,RawData[[Picker ID ]],$Q$3,RawData[Checker ID],$Q$4,RawData[[Error Type ]],$Q$5))</f>
        <v/>
      </c>
    </row>
    <row r="21260" spans="15:15" x14ac:dyDescent="0.25">
      <c r="O21260" s="20" t="str">
        <f>IF(N21260="","",COUNTIFS(RawData[[Date ]],N21260,RawData[Month List],$Q$6,RawData[Tour/Site],$Q$2,RawData[[Picker ID ]],$Q$3,RawData[Checker ID],$Q$4,RawData[[Error Type ]],$Q$5))</f>
        <v/>
      </c>
    </row>
    <row r="21261" spans="15:15" x14ac:dyDescent="0.25">
      <c r="O21261" s="20" t="str">
        <f>IF(N21261="","",COUNTIFS(RawData[[Date ]],N21261,RawData[Month List],$Q$6,RawData[Tour/Site],$Q$2,RawData[[Picker ID ]],$Q$3,RawData[Checker ID],$Q$4,RawData[[Error Type ]],$Q$5))</f>
        <v/>
      </c>
    </row>
    <row r="21262" spans="15:15" x14ac:dyDescent="0.25">
      <c r="O21262" s="20" t="str">
        <f>IF(N21262="","",COUNTIFS(RawData[[Date ]],N21262,RawData[Month List],$Q$6,RawData[Tour/Site],$Q$2,RawData[[Picker ID ]],$Q$3,RawData[Checker ID],$Q$4,RawData[[Error Type ]],$Q$5))</f>
        <v/>
      </c>
    </row>
    <row r="21263" spans="15:15" x14ac:dyDescent="0.25">
      <c r="O21263" s="20" t="str">
        <f>IF(N21263="","",COUNTIFS(RawData[[Date ]],N21263,RawData[Month List],$Q$6,RawData[Tour/Site],$Q$2,RawData[[Picker ID ]],$Q$3,RawData[Checker ID],$Q$4,RawData[[Error Type ]],$Q$5))</f>
        <v/>
      </c>
    </row>
    <row r="21264" spans="15:15" x14ac:dyDescent="0.25">
      <c r="O21264" s="20" t="str">
        <f>IF(N21264="","",COUNTIFS(RawData[[Date ]],N21264,RawData[Month List],$Q$6,RawData[Tour/Site],$Q$2,RawData[[Picker ID ]],$Q$3,RawData[Checker ID],$Q$4,RawData[[Error Type ]],$Q$5))</f>
        <v/>
      </c>
    </row>
    <row r="21265" spans="15:15" x14ac:dyDescent="0.25">
      <c r="O21265" s="20" t="str">
        <f>IF(N21265="","",COUNTIFS(RawData[[Date ]],N21265,RawData[Month List],$Q$6,RawData[Tour/Site],$Q$2,RawData[[Picker ID ]],$Q$3,RawData[Checker ID],$Q$4,RawData[[Error Type ]],$Q$5))</f>
        <v/>
      </c>
    </row>
    <row r="21266" spans="15:15" x14ac:dyDescent="0.25">
      <c r="O21266" s="20" t="str">
        <f>IF(N21266="","",COUNTIFS(RawData[[Date ]],N21266,RawData[Month List],$Q$6,RawData[Tour/Site],$Q$2,RawData[[Picker ID ]],$Q$3,RawData[Checker ID],$Q$4,RawData[[Error Type ]],$Q$5))</f>
        <v/>
      </c>
    </row>
    <row r="21267" spans="15:15" x14ac:dyDescent="0.25">
      <c r="O21267" s="20" t="str">
        <f>IF(N21267="","",COUNTIFS(RawData[[Date ]],N21267,RawData[Month List],$Q$6,RawData[Tour/Site],$Q$2,RawData[[Picker ID ]],$Q$3,RawData[Checker ID],$Q$4,RawData[[Error Type ]],$Q$5))</f>
        <v/>
      </c>
    </row>
    <row r="21268" spans="15:15" x14ac:dyDescent="0.25">
      <c r="O21268" s="20" t="str">
        <f>IF(N21268="","",COUNTIFS(RawData[[Date ]],N21268,RawData[Month List],$Q$6,RawData[Tour/Site],$Q$2,RawData[[Picker ID ]],$Q$3,RawData[Checker ID],$Q$4,RawData[[Error Type ]],$Q$5))</f>
        <v/>
      </c>
    </row>
    <row r="21269" spans="15:15" x14ac:dyDescent="0.25">
      <c r="O21269" s="20" t="str">
        <f>IF(N21269="","",COUNTIFS(RawData[[Date ]],N21269,RawData[Month List],$Q$6,RawData[Tour/Site],$Q$2,RawData[[Picker ID ]],$Q$3,RawData[Checker ID],$Q$4,RawData[[Error Type ]],$Q$5))</f>
        <v/>
      </c>
    </row>
    <row r="21270" spans="15:15" x14ac:dyDescent="0.25">
      <c r="O21270" s="20" t="str">
        <f>IF(N21270="","",COUNTIFS(RawData[[Date ]],N21270,RawData[Month List],$Q$6,RawData[Tour/Site],$Q$2,RawData[[Picker ID ]],$Q$3,RawData[Checker ID],$Q$4,RawData[[Error Type ]],$Q$5))</f>
        <v/>
      </c>
    </row>
    <row r="21271" spans="15:15" x14ac:dyDescent="0.25">
      <c r="O21271" s="20" t="str">
        <f>IF(N21271="","",COUNTIFS(RawData[[Date ]],N21271,RawData[Month List],$Q$6,RawData[Tour/Site],$Q$2,RawData[[Picker ID ]],$Q$3,RawData[Checker ID],$Q$4,RawData[[Error Type ]],$Q$5))</f>
        <v/>
      </c>
    </row>
    <row r="21272" spans="15:15" x14ac:dyDescent="0.25">
      <c r="O21272" s="20" t="str">
        <f>IF(N21272="","",COUNTIFS(RawData[[Date ]],N21272,RawData[Month List],$Q$6,RawData[Tour/Site],$Q$2,RawData[[Picker ID ]],$Q$3,RawData[Checker ID],$Q$4,RawData[[Error Type ]],$Q$5))</f>
        <v/>
      </c>
    </row>
    <row r="21273" spans="15:15" x14ac:dyDescent="0.25">
      <c r="O21273" s="20" t="str">
        <f>IF(N21273="","",COUNTIFS(RawData[[Date ]],N21273,RawData[Month List],$Q$6,RawData[Tour/Site],$Q$2,RawData[[Picker ID ]],$Q$3,RawData[Checker ID],$Q$4,RawData[[Error Type ]],$Q$5))</f>
        <v/>
      </c>
    </row>
    <row r="21274" spans="15:15" x14ac:dyDescent="0.25">
      <c r="O21274" s="20" t="str">
        <f>IF(N21274="","",COUNTIFS(RawData[[Date ]],N21274,RawData[Month List],$Q$6,RawData[Tour/Site],$Q$2,RawData[[Picker ID ]],$Q$3,RawData[Checker ID],$Q$4,RawData[[Error Type ]],$Q$5))</f>
        <v/>
      </c>
    </row>
    <row r="21275" spans="15:15" x14ac:dyDescent="0.25">
      <c r="O21275" s="20" t="str">
        <f>IF(N21275="","",COUNTIFS(RawData[[Date ]],N21275,RawData[Month List],$Q$6,RawData[Tour/Site],$Q$2,RawData[[Picker ID ]],$Q$3,RawData[Checker ID],$Q$4,RawData[[Error Type ]],$Q$5))</f>
        <v/>
      </c>
    </row>
    <row r="21276" spans="15:15" x14ac:dyDescent="0.25">
      <c r="O21276" s="20" t="str">
        <f>IF(N21276="","",COUNTIFS(RawData[[Date ]],N21276,RawData[Month List],$Q$6,RawData[Tour/Site],$Q$2,RawData[[Picker ID ]],$Q$3,RawData[Checker ID],$Q$4,RawData[[Error Type ]],$Q$5))</f>
        <v/>
      </c>
    </row>
    <row r="21277" spans="15:15" x14ac:dyDescent="0.25">
      <c r="O21277" s="20" t="str">
        <f>IF(N21277="","",COUNTIFS(RawData[[Date ]],N21277,RawData[Month List],$Q$6,RawData[Tour/Site],$Q$2,RawData[[Picker ID ]],$Q$3,RawData[Checker ID],$Q$4,RawData[[Error Type ]],$Q$5))</f>
        <v/>
      </c>
    </row>
    <row r="21278" spans="15:15" x14ac:dyDescent="0.25">
      <c r="O21278" s="20" t="str">
        <f>IF(N21278="","",COUNTIFS(RawData[[Date ]],N21278,RawData[Month List],$Q$6,RawData[Tour/Site],$Q$2,RawData[[Picker ID ]],$Q$3,RawData[Checker ID],$Q$4,RawData[[Error Type ]],$Q$5))</f>
        <v/>
      </c>
    </row>
    <row r="21279" spans="15:15" x14ac:dyDescent="0.25">
      <c r="O21279" s="20" t="str">
        <f>IF(N21279="","",COUNTIFS(RawData[[Date ]],N21279,RawData[Month List],$Q$6,RawData[Tour/Site],$Q$2,RawData[[Picker ID ]],$Q$3,RawData[Checker ID],$Q$4,RawData[[Error Type ]],$Q$5))</f>
        <v/>
      </c>
    </row>
    <row r="21280" spans="15:15" x14ac:dyDescent="0.25">
      <c r="O21280" s="20" t="str">
        <f>IF(N21280="","",COUNTIFS(RawData[[Date ]],N21280,RawData[Month List],$Q$6,RawData[Tour/Site],$Q$2,RawData[[Picker ID ]],$Q$3,RawData[Checker ID],$Q$4,RawData[[Error Type ]],$Q$5))</f>
        <v/>
      </c>
    </row>
    <row r="21281" spans="15:15" x14ac:dyDescent="0.25">
      <c r="O21281" s="20" t="str">
        <f>IF(N21281="","",COUNTIFS(RawData[[Date ]],N21281,RawData[Month List],$Q$6,RawData[Tour/Site],$Q$2,RawData[[Picker ID ]],$Q$3,RawData[Checker ID],$Q$4,RawData[[Error Type ]],$Q$5))</f>
        <v/>
      </c>
    </row>
    <row r="21282" spans="15:15" x14ac:dyDescent="0.25">
      <c r="O21282" s="20" t="str">
        <f>IF(N21282="","",COUNTIFS(RawData[[Date ]],N21282,RawData[Month List],$Q$6,RawData[Tour/Site],$Q$2,RawData[[Picker ID ]],$Q$3,RawData[Checker ID],$Q$4,RawData[[Error Type ]],$Q$5))</f>
        <v/>
      </c>
    </row>
    <row r="21283" spans="15:15" x14ac:dyDescent="0.25">
      <c r="O21283" s="20" t="str">
        <f>IF(N21283="","",COUNTIFS(RawData[[Date ]],N21283,RawData[Month List],$Q$6,RawData[Tour/Site],$Q$2,RawData[[Picker ID ]],$Q$3,RawData[Checker ID],$Q$4,RawData[[Error Type ]],$Q$5))</f>
        <v/>
      </c>
    </row>
    <row r="21284" spans="15:15" x14ac:dyDescent="0.25">
      <c r="O21284" s="20" t="str">
        <f>IF(N21284="","",COUNTIFS(RawData[[Date ]],N21284,RawData[Month List],$Q$6,RawData[Tour/Site],$Q$2,RawData[[Picker ID ]],$Q$3,RawData[Checker ID],$Q$4,RawData[[Error Type ]],$Q$5))</f>
        <v/>
      </c>
    </row>
    <row r="21285" spans="15:15" x14ac:dyDescent="0.25">
      <c r="O21285" s="20" t="str">
        <f>IF(N21285="","",COUNTIFS(RawData[[Date ]],N21285,RawData[Month List],$Q$6,RawData[Tour/Site],$Q$2,RawData[[Picker ID ]],$Q$3,RawData[Checker ID],$Q$4,RawData[[Error Type ]],$Q$5))</f>
        <v/>
      </c>
    </row>
    <row r="21286" spans="15:15" x14ac:dyDescent="0.25">
      <c r="O21286" s="20" t="str">
        <f>IF(N21286="","",COUNTIFS(RawData[[Date ]],N21286,RawData[Month List],$Q$6,RawData[Tour/Site],$Q$2,RawData[[Picker ID ]],$Q$3,RawData[Checker ID],$Q$4,RawData[[Error Type ]],$Q$5))</f>
        <v/>
      </c>
    </row>
    <row r="21287" spans="15:15" x14ac:dyDescent="0.25">
      <c r="O21287" s="20" t="str">
        <f>IF(N21287="","",COUNTIFS(RawData[[Date ]],N21287,RawData[Month List],$Q$6,RawData[Tour/Site],$Q$2,RawData[[Picker ID ]],$Q$3,RawData[Checker ID],$Q$4,RawData[[Error Type ]],$Q$5))</f>
        <v/>
      </c>
    </row>
    <row r="21288" spans="15:15" x14ac:dyDescent="0.25">
      <c r="O21288" s="20" t="str">
        <f>IF(N21288="","",COUNTIFS(RawData[[Date ]],N21288,RawData[Month List],$Q$6,RawData[Tour/Site],$Q$2,RawData[[Picker ID ]],$Q$3,RawData[Checker ID],$Q$4,RawData[[Error Type ]],$Q$5))</f>
        <v/>
      </c>
    </row>
    <row r="21289" spans="15:15" x14ac:dyDescent="0.25">
      <c r="O21289" s="20" t="str">
        <f>IF(N21289="","",COUNTIFS(RawData[[Date ]],N21289,RawData[Month List],$Q$6,RawData[Tour/Site],$Q$2,RawData[[Picker ID ]],$Q$3,RawData[Checker ID],$Q$4,RawData[[Error Type ]],$Q$5))</f>
        <v/>
      </c>
    </row>
    <row r="21290" spans="15:15" x14ac:dyDescent="0.25">
      <c r="O21290" s="20" t="str">
        <f>IF(N21290="","",COUNTIFS(RawData[[Date ]],N21290,RawData[Month List],$Q$6,RawData[Tour/Site],$Q$2,RawData[[Picker ID ]],$Q$3,RawData[Checker ID],$Q$4,RawData[[Error Type ]],$Q$5))</f>
        <v/>
      </c>
    </row>
    <row r="21291" spans="15:15" x14ac:dyDescent="0.25">
      <c r="O21291" s="20" t="str">
        <f>IF(N21291="","",COUNTIFS(RawData[[Date ]],N21291,RawData[Month List],$Q$6,RawData[Tour/Site],$Q$2,RawData[[Picker ID ]],$Q$3,RawData[Checker ID],$Q$4,RawData[[Error Type ]],$Q$5))</f>
        <v/>
      </c>
    </row>
    <row r="21292" spans="15:15" x14ac:dyDescent="0.25">
      <c r="O21292" s="20" t="str">
        <f>IF(N21292="","",COUNTIFS(RawData[[Date ]],N21292,RawData[Month List],$Q$6,RawData[Tour/Site],$Q$2,RawData[[Picker ID ]],$Q$3,RawData[Checker ID],$Q$4,RawData[[Error Type ]],$Q$5))</f>
        <v/>
      </c>
    </row>
    <row r="21293" spans="15:15" x14ac:dyDescent="0.25">
      <c r="O21293" s="20" t="str">
        <f>IF(N21293="","",COUNTIFS(RawData[[Date ]],N21293,RawData[Month List],$Q$6,RawData[Tour/Site],$Q$2,RawData[[Picker ID ]],$Q$3,RawData[Checker ID],$Q$4,RawData[[Error Type ]],$Q$5))</f>
        <v/>
      </c>
    </row>
    <row r="21294" spans="15:15" x14ac:dyDescent="0.25">
      <c r="O21294" s="20" t="str">
        <f>IF(N21294="","",COUNTIFS(RawData[[Date ]],N21294,RawData[Month List],$Q$6,RawData[Tour/Site],$Q$2,RawData[[Picker ID ]],$Q$3,RawData[Checker ID],$Q$4,RawData[[Error Type ]],$Q$5))</f>
        <v/>
      </c>
    </row>
    <row r="21295" spans="15:15" x14ac:dyDescent="0.25">
      <c r="O21295" s="20" t="str">
        <f>IF(N21295="","",COUNTIFS(RawData[[Date ]],N21295,RawData[Month List],$Q$6,RawData[Tour/Site],$Q$2,RawData[[Picker ID ]],$Q$3,RawData[Checker ID],$Q$4,RawData[[Error Type ]],$Q$5))</f>
        <v/>
      </c>
    </row>
    <row r="21296" spans="15:15" x14ac:dyDescent="0.25">
      <c r="O21296" s="20" t="str">
        <f>IF(N21296="","",COUNTIFS(RawData[[Date ]],N21296,RawData[Month List],$Q$6,RawData[Tour/Site],$Q$2,RawData[[Picker ID ]],$Q$3,RawData[Checker ID],$Q$4,RawData[[Error Type ]],$Q$5))</f>
        <v/>
      </c>
    </row>
    <row r="21297" spans="15:15" x14ac:dyDescent="0.25">
      <c r="O21297" s="20" t="str">
        <f>IF(N21297="","",COUNTIFS(RawData[[Date ]],N21297,RawData[Month List],$Q$6,RawData[Tour/Site],$Q$2,RawData[[Picker ID ]],$Q$3,RawData[Checker ID],$Q$4,RawData[[Error Type ]],$Q$5))</f>
        <v/>
      </c>
    </row>
    <row r="21298" spans="15:15" x14ac:dyDescent="0.25">
      <c r="O21298" s="20" t="str">
        <f>IF(N21298="","",COUNTIFS(RawData[[Date ]],N21298,RawData[Month List],$Q$6,RawData[Tour/Site],$Q$2,RawData[[Picker ID ]],$Q$3,RawData[Checker ID],$Q$4,RawData[[Error Type ]],$Q$5))</f>
        <v/>
      </c>
    </row>
    <row r="21299" spans="15:15" x14ac:dyDescent="0.25">
      <c r="O21299" s="20" t="str">
        <f>IF(N21299="","",COUNTIFS(RawData[[Date ]],N21299,RawData[Month List],$Q$6,RawData[Tour/Site],$Q$2,RawData[[Picker ID ]],$Q$3,RawData[Checker ID],$Q$4,RawData[[Error Type ]],$Q$5))</f>
        <v/>
      </c>
    </row>
    <row r="21300" spans="15:15" x14ac:dyDescent="0.25">
      <c r="O21300" s="20" t="str">
        <f>IF(N21300="","",COUNTIFS(RawData[[Date ]],N21300,RawData[Month List],$Q$6,RawData[Tour/Site],$Q$2,RawData[[Picker ID ]],$Q$3,RawData[Checker ID],$Q$4,RawData[[Error Type ]],$Q$5))</f>
        <v/>
      </c>
    </row>
    <row r="21301" spans="15:15" x14ac:dyDescent="0.25">
      <c r="O21301" s="20" t="str">
        <f>IF(N21301="","",COUNTIFS(RawData[[Date ]],N21301,RawData[Month List],$Q$6,RawData[Tour/Site],$Q$2,RawData[[Picker ID ]],$Q$3,RawData[Checker ID],$Q$4,RawData[[Error Type ]],$Q$5))</f>
        <v/>
      </c>
    </row>
    <row r="21302" spans="15:15" x14ac:dyDescent="0.25">
      <c r="O21302" s="20" t="str">
        <f>IF(N21302="","",COUNTIFS(RawData[[Date ]],N21302,RawData[Month List],$Q$6,RawData[Tour/Site],$Q$2,RawData[[Picker ID ]],$Q$3,RawData[Checker ID],$Q$4,RawData[[Error Type ]],$Q$5))</f>
        <v/>
      </c>
    </row>
    <row r="21303" spans="15:15" x14ac:dyDescent="0.25">
      <c r="O21303" s="20" t="str">
        <f>IF(N21303="","",COUNTIFS(RawData[[Date ]],N21303,RawData[Month List],$Q$6,RawData[Tour/Site],$Q$2,RawData[[Picker ID ]],$Q$3,RawData[Checker ID],$Q$4,RawData[[Error Type ]],$Q$5))</f>
        <v/>
      </c>
    </row>
    <row r="21304" spans="15:15" x14ac:dyDescent="0.25">
      <c r="O21304" s="20" t="str">
        <f>IF(N21304="","",COUNTIFS(RawData[[Date ]],N21304,RawData[Month List],$Q$6,RawData[Tour/Site],$Q$2,RawData[[Picker ID ]],$Q$3,RawData[Checker ID],$Q$4,RawData[[Error Type ]],$Q$5))</f>
        <v/>
      </c>
    </row>
    <row r="21305" spans="15:15" x14ac:dyDescent="0.25">
      <c r="O21305" s="20" t="str">
        <f>IF(N21305="","",COUNTIFS(RawData[[Date ]],N21305,RawData[Month List],$Q$6,RawData[Tour/Site],$Q$2,RawData[[Picker ID ]],$Q$3,RawData[Checker ID],$Q$4,RawData[[Error Type ]],$Q$5))</f>
        <v/>
      </c>
    </row>
    <row r="21306" spans="15:15" x14ac:dyDescent="0.25">
      <c r="O21306" s="20" t="str">
        <f>IF(N21306="","",COUNTIFS(RawData[[Date ]],N21306,RawData[Month List],$Q$6,RawData[Tour/Site],$Q$2,RawData[[Picker ID ]],$Q$3,RawData[Checker ID],$Q$4,RawData[[Error Type ]],$Q$5))</f>
        <v/>
      </c>
    </row>
    <row r="21307" spans="15:15" x14ac:dyDescent="0.25">
      <c r="O21307" s="20" t="str">
        <f>IF(N21307="","",COUNTIFS(RawData[[Date ]],N21307,RawData[Month List],$Q$6,RawData[Tour/Site],$Q$2,RawData[[Picker ID ]],$Q$3,RawData[Checker ID],$Q$4,RawData[[Error Type ]],$Q$5))</f>
        <v/>
      </c>
    </row>
    <row r="21308" spans="15:15" x14ac:dyDescent="0.25">
      <c r="O21308" s="20" t="str">
        <f>IF(N21308="","",COUNTIFS(RawData[[Date ]],N21308,RawData[Month List],$Q$6,RawData[Tour/Site],$Q$2,RawData[[Picker ID ]],$Q$3,RawData[Checker ID],$Q$4,RawData[[Error Type ]],$Q$5))</f>
        <v/>
      </c>
    </row>
    <row r="21309" spans="15:15" x14ac:dyDescent="0.25">
      <c r="O21309" s="20" t="str">
        <f>IF(N21309="","",COUNTIFS(RawData[[Date ]],N21309,RawData[Month List],$Q$6,RawData[Tour/Site],$Q$2,RawData[[Picker ID ]],$Q$3,RawData[Checker ID],$Q$4,RawData[[Error Type ]],$Q$5))</f>
        <v/>
      </c>
    </row>
    <row r="21310" spans="15:15" x14ac:dyDescent="0.25">
      <c r="O21310" s="20" t="str">
        <f>IF(N21310="","",COUNTIFS(RawData[[Date ]],N21310,RawData[Month List],$Q$6,RawData[Tour/Site],$Q$2,RawData[[Picker ID ]],$Q$3,RawData[Checker ID],$Q$4,RawData[[Error Type ]],$Q$5))</f>
        <v/>
      </c>
    </row>
    <row r="21311" spans="15:15" x14ac:dyDescent="0.25">
      <c r="O21311" s="20" t="str">
        <f>IF(N21311="","",COUNTIFS(RawData[[Date ]],N21311,RawData[Month List],$Q$6,RawData[Tour/Site],$Q$2,RawData[[Picker ID ]],$Q$3,RawData[Checker ID],$Q$4,RawData[[Error Type ]],$Q$5))</f>
        <v/>
      </c>
    </row>
    <row r="21312" spans="15:15" x14ac:dyDescent="0.25">
      <c r="O21312" s="20" t="str">
        <f>IF(N21312="","",COUNTIFS(RawData[[Date ]],N21312,RawData[Month List],$Q$6,RawData[Tour/Site],$Q$2,RawData[[Picker ID ]],$Q$3,RawData[Checker ID],$Q$4,RawData[[Error Type ]],$Q$5))</f>
        <v/>
      </c>
    </row>
    <row r="21313" spans="15:15" x14ac:dyDescent="0.25">
      <c r="O21313" s="20" t="str">
        <f>IF(N21313="","",COUNTIFS(RawData[[Date ]],N21313,RawData[Month List],$Q$6,RawData[Tour/Site],$Q$2,RawData[[Picker ID ]],$Q$3,RawData[Checker ID],$Q$4,RawData[[Error Type ]],$Q$5))</f>
        <v/>
      </c>
    </row>
    <row r="21314" spans="15:15" x14ac:dyDescent="0.25">
      <c r="O21314" s="20" t="str">
        <f>IF(N21314="","",COUNTIFS(RawData[[Date ]],N21314,RawData[Month List],$Q$6,RawData[Tour/Site],$Q$2,RawData[[Picker ID ]],$Q$3,RawData[Checker ID],$Q$4,RawData[[Error Type ]],$Q$5))</f>
        <v/>
      </c>
    </row>
    <row r="21315" spans="15:15" x14ac:dyDescent="0.25">
      <c r="O21315" s="20" t="str">
        <f>IF(N21315="","",COUNTIFS(RawData[[Date ]],N21315,RawData[Month List],$Q$6,RawData[Tour/Site],$Q$2,RawData[[Picker ID ]],$Q$3,RawData[Checker ID],$Q$4,RawData[[Error Type ]],$Q$5))</f>
        <v/>
      </c>
    </row>
    <row r="21316" spans="15:15" x14ac:dyDescent="0.25">
      <c r="O21316" s="20" t="str">
        <f>IF(N21316="","",COUNTIFS(RawData[[Date ]],N21316,RawData[Month List],$Q$6,RawData[Tour/Site],$Q$2,RawData[[Picker ID ]],$Q$3,RawData[Checker ID],$Q$4,RawData[[Error Type ]],$Q$5))</f>
        <v/>
      </c>
    </row>
    <row r="21317" spans="15:15" x14ac:dyDescent="0.25">
      <c r="O21317" s="20" t="str">
        <f>IF(N21317="","",COUNTIFS(RawData[[Date ]],N21317,RawData[Month List],$Q$6,RawData[Tour/Site],$Q$2,RawData[[Picker ID ]],$Q$3,RawData[Checker ID],$Q$4,RawData[[Error Type ]],$Q$5))</f>
        <v/>
      </c>
    </row>
    <row r="21318" spans="15:15" x14ac:dyDescent="0.25">
      <c r="O21318" s="20" t="str">
        <f>IF(N21318="","",COUNTIFS(RawData[[Date ]],N21318,RawData[Month List],$Q$6,RawData[Tour/Site],$Q$2,RawData[[Picker ID ]],$Q$3,RawData[Checker ID],$Q$4,RawData[[Error Type ]],$Q$5))</f>
        <v/>
      </c>
    </row>
    <row r="21319" spans="15:15" x14ac:dyDescent="0.25">
      <c r="O21319" s="20" t="str">
        <f>IF(N21319="","",COUNTIFS(RawData[[Date ]],N21319,RawData[Month List],$Q$6,RawData[Tour/Site],$Q$2,RawData[[Picker ID ]],$Q$3,RawData[Checker ID],$Q$4,RawData[[Error Type ]],$Q$5))</f>
        <v/>
      </c>
    </row>
    <row r="21320" spans="15:15" x14ac:dyDescent="0.25">
      <c r="O21320" s="20" t="str">
        <f>IF(N21320="","",COUNTIFS(RawData[[Date ]],N21320,RawData[Month List],$Q$6,RawData[Tour/Site],$Q$2,RawData[[Picker ID ]],$Q$3,RawData[Checker ID],$Q$4,RawData[[Error Type ]],$Q$5))</f>
        <v/>
      </c>
    </row>
    <row r="21321" spans="15:15" x14ac:dyDescent="0.25">
      <c r="O21321" s="20" t="str">
        <f>IF(N21321="","",COUNTIFS(RawData[[Date ]],N21321,RawData[Month List],$Q$6,RawData[Tour/Site],$Q$2,RawData[[Picker ID ]],$Q$3,RawData[Checker ID],$Q$4,RawData[[Error Type ]],$Q$5))</f>
        <v/>
      </c>
    </row>
    <row r="21322" spans="15:15" x14ac:dyDescent="0.25">
      <c r="O21322" s="20" t="str">
        <f>IF(N21322="","",COUNTIFS(RawData[[Date ]],N21322,RawData[Month List],$Q$6,RawData[Tour/Site],$Q$2,RawData[[Picker ID ]],$Q$3,RawData[Checker ID],$Q$4,RawData[[Error Type ]],$Q$5))</f>
        <v/>
      </c>
    </row>
    <row r="21323" spans="15:15" x14ac:dyDescent="0.25">
      <c r="O21323" s="20" t="str">
        <f>IF(N21323="","",COUNTIFS(RawData[[Date ]],N21323,RawData[Month List],$Q$6,RawData[Tour/Site],$Q$2,RawData[[Picker ID ]],$Q$3,RawData[Checker ID],$Q$4,RawData[[Error Type ]],$Q$5))</f>
        <v/>
      </c>
    </row>
    <row r="21324" spans="15:15" x14ac:dyDescent="0.25">
      <c r="O21324" s="20" t="str">
        <f>IF(N21324="","",COUNTIFS(RawData[[Date ]],N21324,RawData[Month List],$Q$6,RawData[Tour/Site],$Q$2,RawData[[Picker ID ]],$Q$3,RawData[Checker ID],$Q$4,RawData[[Error Type ]],$Q$5))</f>
        <v/>
      </c>
    </row>
    <row r="21325" spans="15:15" x14ac:dyDescent="0.25">
      <c r="O21325" s="20" t="str">
        <f>IF(N21325="","",COUNTIFS(RawData[[Date ]],N21325,RawData[Month List],$Q$6,RawData[Tour/Site],$Q$2,RawData[[Picker ID ]],$Q$3,RawData[Checker ID],$Q$4,RawData[[Error Type ]],$Q$5))</f>
        <v/>
      </c>
    </row>
    <row r="21326" spans="15:15" x14ac:dyDescent="0.25">
      <c r="O21326" s="20" t="str">
        <f>IF(N21326="","",COUNTIFS(RawData[[Date ]],N21326,RawData[Month List],$Q$6,RawData[Tour/Site],$Q$2,RawData[[Picker ID ]],$Q$3,RawData[Checker ID],$Q$4,RawData[[Error Type ]],$Q$5))</f>
        <v/>
      </c>
    </row>
    <row r="21327" spans="15:15" x14ac:dyDescent="0.25">
      <c r="O21327" s="20" t="str">
        <f>IF(N21327="","",COUNTIFS(RawData[[Date ]],N21327,RawData[Month List],$Q$6,RawData[Tour/Site],$Q$2,RawData[[Picker ID ]],$Q$3,RawData[Checker ID],$Q$4,RawData[[Error Type ]],$Q$5))</f>
        <v/>
      </c>
    </row>
    <row r="21328" spans="15:15" x14ac:dyDescent="0.25">
      <c r="O21328" s="20" t="str">
        <f>IF(N21328="","",COUNTIFS(RawData[[Date ]],N21328,RawData[Month List],$Q$6,RawData[Tour/Site],$Q$2,RawData[[Picker ID ]],$Q$3,RawData[Checker ID],$Q$4,RawData[[Error Type ]],$Q$5))</f>
        <v/>
      </c>
    </row>
    <row r="21329" spans="15:15" x14ac:dyDescent="0.25">
      <c r="O21329" s="20" t="str">
        <f>IF(N21329="","",COUNTIFS(RawData[[Date ]],N21329,RawData[Month List],$Q$6,RawData[Tour/Site],$Q$2,RawData[[Picker ID ]],$Q$3,RawData[Checker ID],$Q$4,RawData[[Error Type ]],$Q$5))</f>
        <v/>
      </c>
    </row>
    <row r="21330" spans="15:15" x14ac:dyDescent="0.25">
      <c r="O21330" s="20" t="str">
        <f>IF(N21330="","",COUNTIFS(RawData[[Date ]],N21330,RawData[Month List],$Q$6,RawData[Tour/Site],$Q$2,RawData[[Picker ID ]],$Q$3,RawData[Checker ID],$Q$4,RawData[[Error Type ]],$Q$5))</f>
        <v/>
      </c>
    </row>
    <row r="21331" spans="15:15" x14ac:dyDescent="0.25">
      <c r="O21331" s="20" t="str">
        <f>IF(N21331="","",COUNTIFS(RawData[[Date ]],N21331,RawData[Month List],$Q$6,RawData[Tour/Site],$Q$2,RawData[[Picker ID ]],$Q$3,RawData[Checker ID],$Q$4,RawData[[Error Type ]],$Q$5))</f>
        <v/>
      </c>
    </row>
    <row r="21332" spans="15:15" x14ac:dyDescent="0.25">
      <c r="O21332" s="20" t="str">
        <f>IF(N21332="","",COUNTIFS(RawData[[Date ]],N21332,RawData[Month List],$Q$6,RawData[Tour/Site],$Q$2,RawData[[Picker ID ]],$Q$3,RawData[Checker ID],$Q$4,RawData[[Error Type ]],$Q$5))</f>
        <v/>
      </c>
    </row>
    <row r="21333" spans="15:15" x14ac:dyDescent="0.25">
      <c r="O21333" s="20" t="str">
        <f>IF(N21333="","",COUNTIFS(RawData[[Date ]],N21333,RawData[Month List],$Q$6,RawData[Tour/Site],$Q$2,RawData[[Picker ID ]],$Q$3,RawData[Checker ID],$Q$4,RawData[[Error Type ]],$Q$5))</f>
        <v/>
      </c>
    </row>
    <row r="21334" spans="15:15" x14ac:dyDescent="0.25">
      <c r="O21334" s="20" t="str">
        <f>IF(N21334="","",COUNTIFS(RawData[[Date ]],N21334,RawData[Month List],$Q$6,RawData[Tour/Site],$Q$2,RawData[[Picker ID ]],$Q$3,RawData[Checker ID],$Q$4,RawData[[Error Type ]],$Q$5))</f>
        <v/>
      </c>
    </row>
    <row r="21335" spans="15:15" x14ac:dyDescent="0.25">
      <c r="O21335" s="20" t="str">
        <f>IF(N21335="","",COUNTIFS(RawData[[Date ]],N21335,RawData[Month List],$Q$6,RawData[Tour/Site],$Q$2,RawData[[Picker ID ]],$Q$3,RawData[Checker ID],$Q$4,RawData[[Error Type ]],$Q$5))</f>
        <v/>
      </c>
    </row>
    <row r="21336" spans="15:15" x14ac:dyDescent="0.25">
      <c r="O21336" s="20" t="str">
        <f>IF(N21336="","",COUNTIFS(RawData[[Date ]],N21336,RawData[Month List],$Q$6,RawData[Tour/Site],$Q$2,RawData[[Picker ID ]],$Q$3,RawData[Checker ID],$Q$4,RawData[[Error Type ]],$Q$5))</f>
        <v/>
      </c>
    </row>
    <row r="21337" spans="15:15" x14ac:dyDescent="0.25">
      <c r="O21337" s="20" t="str">
        <f>IF(N21337="","",COUNTIFS(RawData[[Date ]],N21337,RawData[Month List],$Q$6,RawData[Tour/Site],$Q$2,RawData[[Picker ID ]],$Q$3,RawData[Checker ID],$Q$4,RawData[[Error Type ]],$Q$5))</f>
        <v/>
      </c>
    </row>
    <row r="21338" spans="15:15" x14ac:dyDescent="0.25">
      <c r="O21338" s="20" t="str">
        <f>IF(N21338="","",COUNTIFS(RawData[[Date ]],N21338,RawData[Month List],$Q$6,RawData[Tour/Site],$Q$2,RawData[[Picker ID ]],$Q$3,RawData[Checker ID],$Q$4,RawData[[Error Type ]],$Q$5))</f>
        <v/>
      </c>
    </row>
    <row r="21339" spans="15:15" x14ac:dyDescent="0.25">
      <c r="O21339" s="20" t="str">
        <f>IF(N21339="","",COUNTIFS(RawData[[Date ]],N21339,RawData[Month List],$Q$6,RawData[Tour/Site],$Q$2,RawData[[Picker ID ]],$Q$3,RawData[Checker ID],$Q$4,RawData[[Error Type ]],$Q$5))</f>
        <v/>
      </c>
    </row>
    <row r="21340" spans="15:15" x14ac:dyDescent="0.25">
      <c r="O21340" s="20" t="str">
        <f>IF(N21340="","",COUNTIFS(RawData[[Date ]],N21340,RawData[Month List],$Q$6,RawData[Tour/Site],$Q$2,RawData[[Picker ID ]],$Q$3,RawData[Checker ID],$Q$4,RawData[[Error Type ]],$Q$5))</f>
        <v/>
      </c>
    </row>
    <row r="21341" spans="15:15" x14ac:dyDescent="0.25">
      <c r="O21341" s="20" t="str">
        <f>IF(N21341="","",COUNTIFS(RawData[[Date ]],N21341,RawData[Month List],$Q$6,RawData[Tour/Site],$Q$2,RawData[[Picker ID ]],$Q$3,RawData[Checker ID],$Q$4,RawData[[Error Type ]],$Q$5))</f>
        <v/>
      </c>
    </row>
    <row r="21342" spans="15:15" x14ac:dyDescent="0.25">
      <c r="O21342" s="20" t="str">
        <f>IF(N21342="","",COUNTIFS(RawData[[Date ]],N21342,RawData[Month List],$Q$6,RawData[Tour/Site],$Q$2,RawData[[Picker ID ]],$Q$3,RawData[Checker ID],$Q$4,RawData[[Error Type ]],$Q$5))</f>
        <v/>
      </c>
    </row>
    <row r="21343" spans="15:15" x14ac:dyDescent="0.25">
      <c r="O21343" s="20" t="str">
        <f>IF(N21343="","",COUNTIFS(RawData[[Date ]],N21343,RawData[Month List],$Q$6,RawData[Tour/Site],$Q$2,RawData[[Picker ID ]],$Q$3,RawData[Checker ID],$Q$4,RawData[[Error Type ]],$Q$5))</f>
        <v/>
      </c>
    </row>
    <row r="21344" spans="15:15" x14ac:dyDescent="0.25">
      <c r="O21344" s="20" t="str">
        <f>IF(N21344="","",COUNTIFS(RawData[[Date ]],N21344,RawData[Month List],$Q$6,RawData[Tour/Site],$Q$2,RawData[[Picker ID ]],$Q$3,RawData[Checker ID],$Q$4,RawData[[Error Type ]],$Q$5))</f>
        <v/>
      </c>
    </row>
    <row r="21345" spans="15:15" x14ac:dyDescent="0.25">
      <c r="O21345" s="20" t="str">
        <f>IF(N21345="","",COUNTIFS(RawData[[Date ]],N21345,RawData[Month List],$Q$6,RawData[Tour/Site],$Q$2,RawData[[Picker ID ]],$Q$3,RawData[Checker ID],$Q$4,RawData[[Error Type ]],$Q$5))</f>
        <v/>
      </c>
    </row>
    <row r="21346" spans="15:15" x14ac:dyDescent="0.25">
      <c r="O21346" s="20" t="str">
        <f>IF(N21346="","",COUNTIFS(RawData[[Date ]],N21346,RawData[Month List],$Q$6,RawData[Tour/Site],$Q$2,RawData[[Picker ID ]],$Q$3,RawData[Checker ID],$Q$4,RawData[[Error Type ]],$Q$5))</f>
        <v/>
      </c>
    </row>
    <row r="21347" spans="15:15" x14ac:dyDescent="0.25">
      <c r="O21347" s="20" t="str">
        <f>IF(N21347="","",COUNTIFS(RawData[[Date ]],N21347,RawData[Month List],$Q$6,RawData[Tour/Site],$Q$2,RawData[[Picker ID ]],$Q$3,RawData[Checker ID],$Q$4,RawData[[Error Type ]],$Q$5))</f>
        <v/>
      </c>
    </row>
    <row r="21348" spans="15:15" x14ac:dyDescent="0.25">
      <c r="O21348" s="20" t="str">
        <f>IF(N21348="","",COUNTIFS(RawData[[Date ]],N21348,RawData[Month List],$Q$6,RawData[Tour/Site],$Q$2,RawData[[Picker ID ]],$Q$3,RawData[Checker ID],$Q$4,RawData[[Error Type ]],$Q$5))</f>
        <v/>
      </c>
    </row>
    <row r="21349" spans="15:15" x14ac:dyDescent="0.25">
      <c r="O21349" s="20" t="str">
        <f>IF(N21349="","",COUNTIFS(RawData[[Date ]],N21349,RawData[Month List],$Q$6,RawData[Tour/Site],$Q$2,RawData[[Picker ID ]],$Q$3,RawData[Checker ID],$Q$4,RawData[[Error Type ]],$Q$5))</f>
        <v/>
      </c>
    </row>
    <row r="21350" spans="15:15" x14ac:dyDescent="0.25">
      <c r="O21350" s="20" t="str">
        <f>IF(N21350="","",COUNTIFS(RawData[[Date ]],N21350,RawData[Month List],$Q$6,RawData[Tour/Site],$Q$2,RawData[[Picker ID ]],$Q$3,RawData[Checker ID],$Q$4,RawData[[Error Type ]],$Q$5))</f>
        <v/>
      </c>
    </row>
    <row r="21351" spans="15:15" x14ac:dyDescent="0.25">
      <c r="O21351" s="20" t="str">
        <f>IF(N21351="","",COUNTIFS(RawData[[Date ]],N21351,RawData[Month List],$Q$6,RawData[Tour/Site],$Q$2,RawData[[Picker ID ]],$Q$3,RawData[Checker ID],$Q$4,RawData[[Error Type ]],$Q$5))</f>
        <v/>
      </c>
    </row>
    <row r="21352" spans="15:15" x14ac:dyDescent="0.25">
      <c r="O21352" s="20" t="str">
        <f>IF(N21352="","",COUNTIFS(RawData[[Date ]],N21352,RawData[Month List],$Q$6,RawData[Tour/Site],$Q$2,RawData[[Picker ID ]],$Q$3,RawData[Checker ID],$Q$4,RawData[[Error Type ]],$Q$5))</f>
        <v/>
      </c>
    </row>
    <row r="21353" spans="15:15" x14ac:dyDescent="0.25">
      <c r="O21353" s="20" t="str">
        <f>IF(N21353="","",COUNTIFS(RawData[[Date ]],N21353,RawData[Month List],$Q$6,RawData[Tour/Site],$Q$2,RawData[[Picker ID ]],$Q$3,RawData[Checker ID],$Q$4,RawData[[Error Type ]],$Q$5))</f>
        <v/>
      </c>
    </row>
    <row r="21354" spans="15:15" x14ac:dyDescent="0.25">
      <c r="O21354" s="20" t="str">
        <f>IF(N21354="","",COUNTIFS(RawData[[Date ]],N21354,RawData[Month List],$Q$6,RawData[Tour/Site],$Q$2,RawData[[Picker ID ]],$Q$3,RawData[Checker ID],$Q$4,RawData[[Error Type ]],$Q$5))</f>
        <v/>
      </c>
    </row>
    <row r="21355" spans="15:15" x14ac:dyDescent="0.25">
      <c r="O21355" s="20" t="str">
        <f>IF(N21355="","",COUNTIFS(RawData[[Date ]],N21355,RawData[Month List],$Q$6,RawData[Tour/Site],$Q$2,RawData[[Picker ID ]],$Q$3,RawData[Checker ID],$Q$4,RawData[[Error Type ]],$Q$5))</f>
        <v/>
      </c>
    </row>
    <row r="21356" spans="15:15" x14ac:dyDescent="0.25">
      <c r="O21356" s="20" t="str">
        <f>IF(N21356="","",COUNTIFS(RawData[[Date ]],N21356,RawData[Month List],$Q$6,RawData[Tour/Site],$Q$2,RawData[[Picker ID ]],$Q$3,RawData[Checker ID],$Q$4,RawData[[Error Type ]],$Q$5))</f>
        <v/>
      </c>
    </row>
    <row r="21357" spans="15:15" x14ac:dyDescent="0.25">
      <c r="O21357" s="20" t="str">
        <f>IF(N21357="","",COUNTIFS(RawData[[Date ]],N21357,RawData[Month List],$Q$6,RawData[Tour/Site],$Q$2,RawData[[Picker ID ]],$Q$3,RawData[Checker ID],$Q$4,RawData[[Error Type ]],$Q$5))</f>
        <v/>
      </c>
    </row>
    <row r="21358" spans="15:15" x14ac:dyDescent="0.25">
      <c r="O21358" s="20" t="str">
        <f>IF(N21358="","",COUNTIFS(RawData[[Date ]],N21358,RawData[Month List],$Q$6,RawData[Tour/Site],$Q$2,RawData[[Picker ID ]],$Q$3,RawData[Checker ID],$Q$4,RawData[[Error Type ]],$Q$5))</f>
        <v/>
      </c>
    </row>
    <row r="21359" spans="15:15" x14ac:dyDescent="0.25">
      <c r="O21359" s="20" t="str">
        <f>IF(N21359="","",COUNTIFS(RawData[[Date ]],N21359,RawData[Month List],$Q$6,RawData[Tour/Site],$Q$2,RawData[[Picker ID ]],$Q$3,RawData[Checker ID],$Q$4,RawData[[Error Type ]],$Q$5))</f>
        <v/>
      </c>
    </row>
    <row r="21360" spans="15:15" x14ac:dyDescent="0.25">
      <c r="O21360" s="20" t="str">
        <f>IF(N21360="","",COUNTIFS(RawData[[Date ]],N21360,RawData[Month List],$Q$6,RawData[Tour/Site],$Q$2,RawData[[Picker ID ]],$Q$3,RawData[Checker ID],$Q$4,RawData[[Error Type ]],$Q$5))</f>
        <v/>
      </c>
    </row>
    <row r="21361" spans="15:15" x14ac:dyDescent="0.25">
      <c r="O21361" s="20" t="str">
        <f>IF(N21361="","",COUNTIFS(RawData[[Date ]],N21361,RawData[Month List],$Q$6,RawData[Tour/Site],$Q$2,RawData[[Picker ID ]],$Q$3,RawData[Checker ID],$Q$4,RawData[[Error Type ]],$Q$5))</f>
        <v/>
      </c>
    </row>
    <row r="21362" spans="15:15" x14ac:dyDescent="0.25">
      <c r="O21362" s="20" t="str">
        <f>IF(N21362="","",COUNTIFS(RawData[[Date ]],N21362,RawData[Month List],$Q$6,RawData[Tour/Site],$Q$2,RawData[[Picker ID ]],$Q$3,RawData[Checker ID],$Q$4,RawData[[Error Type ]],$Q$5))</f>
        <v/>
      </c>
    </row>
    <row r="21363" spans="15:15" x14ac:dyDescent="0.25">
      <c r="O21363" s="20" t="str">
        <f>IF(N21363="","",COUNTIFS(RawData[[Date ]],N21363,RawData[Month List],$Q$6,RawData[Tour/Site],$Q$2,RawData[[Picker ID ]],$Q$3,RawData[Checker ID],$Q$4,RawData[[Error Type ]],$Q$5))</f>
        <v/>
      </c>
    </row>
    <row r="21364" spans="15:15" x14ac:dyDescent="0.25">
      <c r="O21364" s="20" t="str">
        <f>IF(N21364="","",COUNTIFS(RawData[[Date ]],N21364,RawData[Month List],$Q$6,RawData[Tour/Site],$Q$2,RawData[[Picker ID ]],$Q$3,RawData[Checker ID],$Q$4,RawData[[Error Type ]],$Q$5))</f>
        <v/>
      </c>
    </row>
    <row r="21365" spans="15:15" x14ac:dyDescent="0.25">
      <c r="O21365" s="20" t="str">
        <f>IF(N21365="","",COUNTIFS(RawData[[Date ]],N21365,RawData[Month List],$Q$6,RawData[Tour/Site],$Q$2,RawData[[Picker ID ]],$Q$3,RawData[Checker ID],$Q$4,RawData[[Error Type ]],$Q$5))</f>
        <v/>
      </c>
    </row>
    <row r="21366" spans="15:15" x14ac:dyDescent="0.25">
      <c r="O21366" s="20" t="str">
        <f>IF(N21366="","",COUNTIFS(RawData[[Date ]],N21366,RawData[Month List],$Q$6,RawData[Tour/Site],$Q$2,RawData[[Picker ID ]],$Q$3,RawData[Checker ID],$Q$4,RawData[[Error Type ]],$Q$5))</f>
        <v/>
      </c>
    </row>
    <row r="21367" spans="15:15" x14ac:dyDescent="0.25">
      <c r="O21367" s="20" t="str">
        <f>IF(N21367="","",COUNTIFS(RawData[[Date ]],N21367,RawData[Month List],$Q$6,RawData[Tour/Site],$Q$2,RawData[[Picker ID ]],$Q$3,RawData[Checker ID],$Q$4,RawData[[Error Type ]],$Q$5))</f>
        <v/>
      </c>
    </row>
    <row r="21368" spans="15:15" x14ac:dyDescent="0.25">
      <c r="O21368" s="20" t="str">
        <f>IF(N21368="","",COUNTIFS(RawData[[Date ]],N21368,RawData[Month List],$Q$6,RawData[Tour/Site],$Q$2,RawData[[Picker ID ]],$Q$3,RawData[Checker ID],$Q$4,RawData[[Error Type ]],$Q$5))</f>
        <v/>
      </c>
    </row>
    <row r="21369" spans="15:15" x14ac:dyDescent="0.25">
      <c r="O21369" s="20" t="str">
        <f>IF(N21369="","",COUNTIFS(RawData[[Date ]],N21369,RawData[Month List],$Q$6,RawData[Tour/Site],$Q$2,RawData[[Picker ID ]],$Q$3,RawData[Checker ID],$Q$4,RawData[[Error Type ]],$Q$5))</f>
        <v/>
      </c>
    </row>
    <row r="21370" spans="15:15" x14ac:dyDescent="0.25">
      <c r="O21370" s="20" t="str">
        <f>IF(N21370="","",COUNTIFS(RawData[[Date ]],N21370,RawData[Month List],$Q$6,RawData[Tour/Site],$Q$2,RawData[[Picker ID ]],$Q$3,RawData[Checker ID],$Q$4,RawData[[Error Type ]],$Q$5))</f>
        <v/>
      </c>
    </row>
    <row r="21371" spans="15:15" x14ac:dyDescent="0.25">
      <c r="O21371" s="20" t="str">
        <f>IF(N21371="","",COUNTIFS(RawData[[Date ]],N21371,RawData[Month List],$Q$6,RawData[Tour/Site],$Q$2,RawData[[Picker ID ]],$Q$3,RawData[Checker ID],$Q$4,RawData[[Error Type ]],$Q$5))</f>
        <v/>
      </c>
    </row>
    <row r="21372" spans="15:15" x14ac:dyDescent="0.25">
      <c r="O21372" s="20" t="str">
        <f>IF(N21372="","",COUNTIFS(RawData[[Date ]],N21372,RawData[Month List],$Q$6,RawData[Tour/Site],$Q$2,RawData[[Picker ID ]],$Q$3,RawData[Checker ID],$Q$4,RawData[[Error Type ]],$Q$5))</f>
        <v/>
      </c>
    </row>
    <row r="21373" spans="15:15" x14ac:dyDescent="0.25">
      <c r="O21373" s="20" t="str">
        <f>IF(N21373="","",COUNTIFS(RawData[[Date ]],N21373,RawData[Month List],$Q$6,RawData[Tour/Site],$Q$2,RawData[[Picker ID ]],$Q$3,RawData[Checker ID],$Q$4,RawData[[Error Type ]],$Q$5))</f>
        <v/>
      </c>
    </row>
    <row r="21374" spans="15:15" x14ac:dyDescent="0.25">
      <c r="O21374" s="20" t="str">
        <f>IF(N21374="","",COUNTIFS(RawData[[Date ]],N21374,RawData[Month List],$Q$6,RawData[Tour/Site],$Q$2,RawData[[Picker ID ]],$Q$3,RawData[Checker ID],$Q$4,RawData[[Error Type ]],$Q$5))</f>
        <v/>
      </c>
    </row>
    <row r="21375" spans="15:15" x14ac:dyDescent="0.25">
      <c r="O21375" s="20" t="str">
        <f>IF(N21375="","",COUNTIFS(RawData[[Date ]],N21375,RawData[Month List],$Q$6,RawData[Tour/Site],$Q$2,RawData[[Picker ID ]],$Q$3,RawData[Checker ID],$Q$4,RawData[[Error Type ]],$Q$5))</f>
        <v/>
      </c>
    </row>
    <row r="21376" spans="15:15" x14ac:dyDescent="0.25">
      <c r="O21376" s="20" t="str">
        <f>IF(N21376="","",COUNTIFS(RawData[[Date ]],N21376,RawData[Month List],$Q$6,RawData[Tour/Site],$Q$2,RawData[[Picker ID ]],$Q$3,RawData[Checker ID],$Q$4,RawData[[Error Type ]],$Q$5))</f>
        <v/>
      </c>
    </row>
    <row r="21377" spans="15:15" x14ac:dyDescent="0.25">
      <c r="O21377" s="20" t="str">
        <f>IF(N21377="","",COUNTIFS(RawData[[Date ]],N21377,RawData[Month List],$Q$6,RawData[Tour/Site],$Q$2,RawData[[Picker ID ]],$Q$3,RawData[Checker ID],$Q$4,RawData[[Error Type ]],$Q$5))</f>
        <v/>
      </c>
    </row>
    <row r="21378" spans="15:15" x14ac:dyDescent="0.25">
      <c r="O21378" s="20" t="str">
        <f>IF(N21378="","",COUNTIFS(RawData[[Date ]],N21378,RawData[Month List],$Q$6,RawData[Tour/Site],$Q$2,RawData[[Picker ID ]],$Q$3,RawData[Checker ID],$Q$4,RawData[[Error Type ]],$Q$5))</f>
        <v/>
      </c>
    </row>
    <row r="21379" spans="15:15" x14ac:dyDescent="0.25">
      <c r="O21379" s="20" t="str">
        <f>IF(N21379="","",COUNTIFS(RawData[[Date ]],N21379,RawData[Month List],$Q$6,RawData[Tour/Site],$Q$2,RawData[[Picker ID ]],$Q$3,RawData[Checker ID],$Q$4,RawData[[Error Type ]],$Q$5))</f>
        <v/>
      </c>
    </row>
    <row r="21380" spans="15:15" x14ac:dyDescent="0.25">
      <c r="O21380" s="20" t="str">
        <f>IF(N21380="","",COUNTIFS(RawData[[Date ]],N21380,RawData[Month List],$Q$6,RawData[Tour/Site],$Q$2,RawData[[Picker ID ]],$Q$3,RawData[Checker ID],$Q$4,RawData[[Error Type ]],$Q$5))</f>
        <v/>
      </c>
    </row>
    <row r="21381" spans="15:15" x14ac:dyDescent="0.25">
      <c r="O21381" s="20" t="str">
        <f>IF(N21381="","",COUNTIFS(RawData[[Date ]],N21381,RawData[Month List],$Q$6,RawData[Tour/Site],$Q$2,RawData[[Picker ID ]],$Q$3,RawData[Checker ID],$Q$4,RawData[[Error Type ]],$Q$5))</f>
        <v/>
      </c>
    </row>
    <row r="21382" spans="15:15" x14ac:dyDescent="0.25">
      <c r="O21382" s="20" t="str">
        <f>IF(N21382="","",COUNTIFS(RawData[[Date ]],N21382,RawData[Month List],$Q$6,RawData[Tour/Site],$Q$2,RawData[[Picker ID ]],$Q$3,RawData[Checker ID],$Q$4,RawData[[Error Type ]],$Q$5))</f>
        <v/>
      </c>
    </row>
    <row r="21383" spans="15:15" x14ac:dyDescent="0.25">
      <c r="O21383" s="20" t="str">
        <f>IF(N21383="","",COUNTIFS(RawData[[Date ]],N21383,RawData[Month List],$Q$6,RawData[Tour/Site],$Q$2,RawData[[Picker ID ]],$Q$3,RawData[Checker ID],$Q$4,RawData[[Error Type ]],$Q$5))</f>
        <v/>
      </c>
    </row>
    <row r="21384" spans="15:15" x14ac:dyDescent="0.25">
      <c r="O21384" s="20" t="str">
        <f>IF(N21384="","",COUNTIFS(RawData[[Date ]],N21384,RawData[Month List],$Q$6,RawData[Tour/Site],$Q$2,RawData[[Picker ID ]],$Q$3,RawData[Checker ID],$Q$4,RawData[[Error Type ]],$Q$5))</f>
        <v/>
      </c>
    </row>
    <row r="21385" spans="15:15" x14ac:dyDescent="0.25">
      <c r="O21385" s="20" t="str">
        <f>IF(N21385="","",COUNTIFS(RawData[[Date ]],N21385,RawData[Month List],$Q$6,RawData[Tour/Site],$Q$2,RawData[[Picker ID ]],$Q$3,RawData[Checker ID],$Q$4,RawData[[Error Type ]],$Q$5))</f>
        <v/>
      </c>
    </row>
    <row r="21386" spans="15:15" x14ac:dyDescent="0.25">
      <c r="O21386" s="20" t="str">
        <f>IF(N21386="","",COUNTIFS(RawData[[Date ]],N21386,RawData[Month List],$Q$6,RawData[Tour/Site],$Q$2,RawData[[Picker ID ]],$Q$3,RawData[Checker ID],$Q$4,RawData[[Error Type ]],$Q$5))</f>
        <v/>
      </c>
    </row>
    <row r="21387" spans="15:15" x14ac:dyDescent="0.25">
      <c r="O21387" s="20" t="str">
        <f>IF(N21387="","",COUNTIFS(RawData[[Date ]],N21387,RawData[Month List],$Q$6,RawData[Tour/Site],$Q$2,RawData[[Picker ID ]],$Q$3,RawData[Checker ID],$Q$4,RawData[[Error Type ]],$Q$5))</f>
        <v/>
      </c>
    </row>
    <row r="21388" spans="15:15" x14ac:dyDescent="0.25">
      <c r="O21388" s="20" t="str">
        <f>IF(N21388="","",COUNTIFS(RawData[[Date ]],N21388,RawData[Month List],$Q$6,RawData[Tour/Site],$Q$2,RawData[[Picker ID ]],$Q$3,RawData[Checker ID],$Q$4,RawData[[Error Type ]],$Q$5))</f>
        <v/>
      </c>
    </row>
    <row r="21389" spans="15:15" x14ac:dyDescent="0.25">
      <c r="O21389" s="20" t="str">
        <f>IF(N21389="","",COUNTIFS(RawData[[Date ]],N21389,RawData[Month List],$Q$6,RawData[Tour/Site],$Q$2,RawData[[Picker ID ]],$Q$3,RawData[Checker ID],$Q$4,RawData[[Error Type ]],$Q$5))</f>
        <v/>
      </c>
    </row>
    <row r="21390" spans="15:15" x14ac:dyDescent="0.25">
      <c r="O21390" s="20" t="str">
        <f>IF(N21390="","",COUNTIFS(RawData[[Date ]],N21390,RawData[Month List],$Q$6,RawData[Tour/Site],$Q$2,RawData[[Picker ID ]],$Q$3,RawData[Checker ID],$Q$4,RawData[[Error Type ]],$Q$5))</f>
        <v/>
      </c>
    </row>
    <row r="21391" spans="15:15" x14ac:dyDescent="0.25">
      <c r="O21391" s="20" t="str">
        <f>IF(N21391="","",COUNTIFS(RawData[[Date ]],N21391,RawData[Month List],$Q$6,RawData[Tour/Site],$Q$2,RawData[[Picker ID ]],$Q$3,RawData[Checker ID],$Q$4,RawData[[Error Type ]],$Q$5))</f>
        <v/>
      </c>
    </row>
    <row r="21392" spans="15:15" x14ac:dyDescent="0.25">
      <c r="O21392" s="20" t="str">
        <f>IF(N21392="","",COUNTIFS(RawData[[Date ]],N21392,RawData[Month List],$Q$6,RawData[Tour/Site],$Q$2,RawData[[Picker ID ]],$Q$3,RawData[Checker ID],$Q$4,RawData[[Error Type ]],$Q$5))</f>
        <v/>
      </c>
    </row>
    <row r="21393" spans="15:15" x14ac:dyDescent="0.25">
      <c r="O21393" s="20" t="str">
        <f>IF(N21393="","",COUNTIFS(RawData[[Date ]],N21393,RawData[Month List],$Q$6,RawData[Tour/Site],$Q$2,RawData[[Picker ID ]],$Q$3,RawData[Checker ID],$Q$4,RawData[[Error Type ]],$Q$5))</f>
        <v/>
      </c>
    </row>
    <row r="21394" spans="15:15" x14ac:dyDescent="0.25">
      <c r="O21394" s="20" t="str">
        <f>IF(N21394="","",COUNTIFS(RawData[[Date ]],N21394,RawData[Month List],$Q$6,RawData[Tour/Site],$Q$2,RawData[[Picker ID ]],$Q$3,RawData[Checker ID],$Q$4,RawData[[Error Type ]],$Q$5))</f>
        <v/>
      </c>
    </row>
    <row r="21395" spans="15:15" x14ac:dyDescent="0.25">
      <c r="O21395" s="20" t="str">
        <f>IF(N21395="","",COUNTIFS(RawData[[Date ]],N21395,RawData[Month List],$Q$6,RawData[Tour/Site],$Q$2,RawData[[Picker ID ]],$Q$3,RawData[Checker ID],$Q$4,RawData[[Error Type ]],$Q$5))</f>
        <v/>
      </c>
    </row>
    <row r="21396" spans="15:15" x14ac:dyDescent="0.25">
      <c r="O21396" s="20" t="str">
        <f>IF(N21396="","",COUNTIFS(RawData[[Date ]],N21396,RawData[Month List],$Q$6,RawData[Tour/Site],$Q$2,RawData[[Picker ID ]],$Q$3,RawData[Checker ID],$Q$4,RawData[[Error Type ]],$Q$5))</f>
        <v/>
      </c>
    </row>
    <row r="21397" spans="15:15" x14ac:dyDescent="0.25">
      <c r="O21397" s="20" t="str">
        <f>IF(N21397="","",COUNTIFS(RawData[[Date ]],N21397,RawData[Month List],$Q$6,RawData[Tour/Site],$Q$2,RawData[[Picker ID ]],$Q$3,RawData[Checker ID],$Q$4,RawData[[Error Type ]],$Q$5))</f>
        <v/>
      </c>
    </row>
    <row r="21398" spans="15:15" x14ac:dyDescent="0.25">
      <c r="O21398" s="20" t="str">
        <f>IF(N21398="","",COUNTIFS(RawData[[Date ]],N21398,RawData[Month List],$Q$6,RawData[Tour/Site],$Q$2,RawData[[Picker ID ]],$Q$3,RawData[Checker ID],$Q$4,RawData[[Error Type ]],$Q$5))</f>
        <v/>
      </c>
    </row>
    <row r="21399" spans="15:15" x14ac:dyDescent="0.25">
      <c r="O21399" s="20" t="str">
        <f>IF(N21399="","",COUNTIFS(RawData[[Date ]],N21399,RawData[Month List],$Q$6,RawData[Tour/Site],$Q$2,RawData[[Picker ID ]],$Q$3,RawData[Checker ID],$Q$4,RawData[[Error Type ]],$Q$5))</f>
        <v/>
      </c>
    </row>
    <row r="21400" spans="15:15" x14ac:dyDescent="0.25">
      <c r="O21400" s="20" t="str">
        <f>IF(N21400="","",COUNTIFS(RawData[[Date ]],N21400,RawData[Month List],$Q$6,RawData[Tour/Site],$Q$2,RawData[[Picker ID ]],$Q$3,RawData[Checker ID],$Q$4,RawData[[Error Type ]],$Q$5))</f>
        <v/>
      </c>
    </row>
    <row r="21401" spans="15:15" x14ac:dyDescent="0.25">
      <c r="O21401" s="20" t="str">
        <f>IF(N21401="","",COUNTIFS(RawData[[Date ]],N21401,RawData[Month List],$Q$6,RawData[Tour/Site],$Q$2,RawData[[Picker ID ]],$Q$3,RawData[Checker ID],$Q$4,RawData[[Error Type ]],$Q$5))</f>
        <v/>
      </c>
    </row>
    <row r="21402" spans="15:15" x14ac:dyDescent="0.25">
      <c r="O21402" s="20" t="str">
        <f>IF(N21402="","",COUNTIFS(RawData[[Date ]],N21402,RawData[Month List],$Q$6,RawData[Tour/Site],$Q$2,RawData[[Picker ID ]],$Q$3,RawData[Checker ID],$Q$4,RawData[[Error Type ]],$Q$5))</f>
        <v/>
      </c>
    </row>
    <row r="21403" spans="15:15" x14ac:dyDescent="0.25">
      <c r="O21403" s="20" t="str">
        <f>IF(N21403="","",COUNTIFS(RawData[[Date ]],N21403,RawData[Month List],$Q$6,RawData[Tour/Site],$Q$2,RawData[[Picker ID ]],$Q$3,RawData[Checker ID],$Q$4,RawData[[Error Type ]],$Q$5))</f>
        <v/>
      </c>
    </row>
    <row r="21404" spans="15:15" x14ac:dyDescent="0.25">
      <c r="O21404" s="20" t="str">
        <f>IF(N21404="","",COUNTIFS(RawData[[Date ]],N21404,RawData[Month List],$Q$6,RawData[Tour/Site],$Q$2,RawData[[Picker ID ]],$Q$3,RawData[Checker ID],$Q$4,RawData[[Error Type ]],$Q$5))</f>
        <v/>
      </c>
    </row>
    <row r="21405" spans="15:15" x14ac:dyDescent="0.25">
      <c r="O21405" s="20" t="str">
        <f>IF(N21405="","",COUNTIFS(RawData[[Date ]],N21405,RawData[Month List],$Q$6,RawData[Tour/Site],$Q$2,RawData[[Picker ID ]],$Q$3,RawData[Checker ID],$Q$4,RawData[[Error Type ]],$Q$5))</f>
        <v/>
      </c>
    </row>
    <row r="21406" spans="15:15" x14ac:dyDescent="0.25">
      <c r="O21406" s="20" t="str">
        <f>IF(N21406="","",COUNTIFS(RawData[[Date ]],N21406,RawData[Month List],$Q$6,RawData[Tour/Site],$Q$2,RawData[[Picker ID ]],$Q$3,RawData[Checker ID],$Q$4,RawData[[Error Type ]],$Q$5))</f>
        <v/>
      </c>
    </row>
    <row r="21407" spans="15:15" x14ac:dyDescent="0.25">
      <c r="O21407" s="20" t="str">
        <f>IF(N21407="","",COUNTIFS(RawData[[Date ]],N21407,RawData[Month List],$Q$6,RawData[Tour/Site],$Q$2,RawData[[Picker ID ]],$Q$3,RawData[Checker ID],$Q$4,RawData[[Error Type ]],$Q$5))</f>
        <v/>
      </c>
    </row>
    <row r="21408" spans="15:15" x14ac:dyDescent="0.25">
      <c r="O21408" s="20" t="str">
        <f>IF(N21408="","",COUNTIFS(RawData[[Date ]],N21408,RawData[Month List],$Q$6,RawData[Tour/Site],$Q$2,RawData[[Picker ID ]],$Q$3,RawData[Checker ID],$Q$4,RawData[[Error Type ]],$Q$5))</f>
        <v/>
      </c>
    </row>
    <row r="21409" spans="15:15" x14ac:dyDescent="0.25">
      <c r="O21409" s="20" t="str">
        <f>IF(N21409="","",COUNTIFS(RawData[[Date ]],N21409,RawData[Month List],$Q$6,RawData[Tour/Site],$Q$2,RawData[[Picker ID ]],$Q$3,RawData[Checker ID],$Q$4,RawData[[Error Type ]],$Q$5))</f>
        <v/>
      </c>
    </row>
    <row r="21410" spans="15:15" x14ac:dyDescent="0.25">
      <c r="O21410" s="20" t="str">
        <f>IF(N21410="","",COUNTIFS(RawData[[Date ]],N21410,RawData[Month List],$Q$6,RawData[Tour/Site],$Q$2,RawData[[Picker ID ]],$Q$3,RawData[Checker ID],$Q$4,RawData[[Error Type ]],$Q$5))</f>
        <v/>
      </c>
    </row>
    <row r="21411" spans="15:15" x14ac:dyDescent="0.25">
      <c r="O21411" s="20" t="str">
        <f>IF(N21411="","",COUNTIFS(RawData[[Date ]],N21411,RawData[Month List],$Q$6,RawData[Tour/Site],$Q$2,RawData[[Picker ID ]],$Q$3,RawData[Checker ID],$Q$4,RawData[[Error Type ]],$Q$5))</f>
        <v/>
      </c>
    </row>
    <row r="21412" spans="15:15" x14ac:dyDescent="0.25">
      <c r="O21412" s="20" t="str">
        <f>IF(N21412="","",COUNTIFS(RawData[[Date ]],N21412,RawData[Month List],$Q$6,RawData[Tour/Site],$Q$2,RawData[[Picker ID ]],$Q$3,RawData[Checker ID],$Q$4,RawData[[Error Type ]],$Q$5))</f>
        <v/>
      </c>
    </row>
    <row r="21413" spans="15:15" x14ac:dyDescent="0.25">
      <c r="O21413" s="20" t="str">
        <f>IF(N21413="","",COUNTIFS(RawData[[Date ]],N21413,RawData[Month List],$Q$6,RawData[Tour/Site],$Q$2,RawData[[Picker ID ]],$Q$3,RawData[Checker ID],$Q$4,RawData[[Error Type ]],$Q$5))</f>
        <v/>
      </c>
    </row>
    <row r="21414" spans="15:15" x14ac:dyDescent="0.25">
      <c r="O21414" s="20" t="str">
        <f>IF(N21414="","",COUNTIFS(RawData[[Date ]],N21414,RawData[Month List],$Q$6,RawData[Tour/Site],$Q$2,RawData[[Picker ID ]],$Q$3,RawData[Checker ID],$Q$4,RawData[[Error Type ]],$Q$5))</f>
        <v/>
      </c>
    </row>
    <row r="21415" spans="15:15" x14ac:dyDescent="0.25">
      <c r="O21415" s="20" t="str">
        <f>IF(N21415="","",COUNTIFS(RawData[[Date ]],N21415,RawData[Month List],$Q$6,RawData[Tour/Site],$Q$2,RawData[[Picker ID ]],$Q$3,RawData[Checker ID],$Q$4,RawData[[Error Type ]],$Q$5))</f>
        <v/>
      </c>
    </row>
    <row r="21416" spans="15:15" x14ac:dyDescent="0.25">
      <c r="O21416" s="20" t="str">
        <f>IF(N21416="","",COUNTIFS(RawData[[Date ]],N21416,RawData[Month List],$Q$6,RawData[Tour/Site],$Q$2,RawData[[Picker ID ]],$Q$3,RawData[Checker ID],$Q$4,RawData[[Error Type ]],$Q$5))</f>
        <v/>
      </c>
    </row>
    <row r="21417" spans="15:15" x14ac:dyDescent="0.25">
      <c r="O21417" s="20" t="str">
        <f>IF(N21417="","",COUNTIFS(RawData[[Date ]],N21417,RawData[Month List],$Q$6,RawData[Tour/Site],$Q$2,RawData[[Picker ID ]],$Q$3,RawData[Checker ID],$Q$4,RawData[[Error Type ]],$Q$5))</f>
        <v/>
      </c>
    </row>
    <row r="21418" spans="15:15" x14ac:dyDescent="0.25">
      <c r="O21418" s="20" t="str">
        <f>IF(N21418="","",COUNTIFS(RawData[[Date ]],N21418,RawData[Month List],$Q$6,RawData[Tour/Site],$Q$2,RawData[[Picker ID ]],$Q$3,RawData[Checker ID],$Q$4,RawData[[Error Type ]],$Q$5))</f>
        <v/>
      </c>
    </row>
    <row r="21419" spans="15:15" x14ac:dyDescent="0.25">
      <c r="O21419" s="20" t="str">
        <f>IF(N21419="","",COUNTIFS(RawData[[Date ]],N21419,RawData[Month List],$Q$6,RawData[Tour/Site],$Q$2,RawData[[Picker ID ]],$Q$3,RawData[Checker ID],$Q$4,RawData[[Error Type ]],$Q$5))</f>
        <v/>
      </c>
    </row>
    <row r="21420" spans="15:15" x14ac:dyDescent="0.25">
      <c r="O21420" s="20" t="str">
        <f>IF(N21420="","",COUNTIFS(RawData[[Date ]],N21420,RawData[Month List],$Q$6,RawData[Tour/Site],$Q$2,RawData[[Picker ID ]],$Q$3,RawData[Checker ID],$Q$4,RawData[[Error Type ]],$Q$5))</f>
        <v/>
      </c>
    </row>
    <row r="21421" spans="15:15" x14ac:dyDescent="0.25">
      <c r="O21421" s="20" t="str">
        <f>IF(N21421="","",COUNTIFS(RawData[[Date ]],N21421,RawData[Month List],$Q$6,RawData[Tour/Site],$Q$2,RawData[[Picker ID ]],$Q$3,RawData[Checker ID],$Q$4,RawData[[Error Type ]],$Q$5))</f>
        <v/>
      </c>
    </row>
    <row r="21422" spans="15:15" x14ac:dyDescent="0.25">
      <c r="O21422" s="20" t="str">
        <f>IF(N21422="","",COUNTIFS(RawData[[Date ]],N21422,RawData[Month List],$Q$6,RawData[Tour/Site],$Q$2,RawData[[Picker ID ]],$Q$3,RawData[Checker ID],$Q$4,RawData[[Error Type ]],$Q$5))</f>
        <v/>
      </c>
    </row>
    <row r="21423" spans="15:15" x14ac:dyDescent="0.25">
      <c r="O21423" s="20" t="str">
        <f>IF(N21423="","",COUNTIFS(RawData[[Date ]],N21423,RawData[Month List],$Q$6,RawData[Tour/Site],$Q$2,RawData[[Picker ID ]],$Q$3,RawData[Checker ID],$Q$4,RawData[[Error Type ]],$Q$5))</f>
        <v/>
      </c>
    </row>
    <row r="21424" spans="15:15" x14ac:dyDescent="0.25">
      <c r="O21424" s="20" t="str">
        <f>IF(N21424="","",COUNTIFS(RawData[[Date ]],N21424,RawData[Month List],$Q$6,RawData[Tour/Site],$Q$2,RawData[[Picker ID ]],$Q$3,RawData[Checker ID],$Q$4,RawData[[Error Type ]],$Q$5))</f>
        <v/>
      </c>
    </row>
    <row r="21425" spans="15:15" x14ac:dyDescent="0.25">
      <c r="O21425" s="20" t="str">
        <f>IF(N21425="","",COUNTIFS(RawData[[Date ]],N21425,RawData[Month List],$Q$6,RawData[Tour/Site],$Q$2,RawData[[Picker ID ]],$Q$3,RawData[Checker ID],$Q$4,RawData[[Error Type ]],$Q$5))</f>
        <v/>
      </c>
    </row>
    <row r="21426" spans="15:15" x14ac:dyDescent="0.25">
      <c r="O21426" s="20" t="str">
        <f>IF(N21426="","",COUNTIFS(RawData[[Date ]],N21426,RawData[Month List],$Q$6,RawData[Tour/Site],$Q$2,RawData[[Picker ID ]],$Q$3,RawData[Checker ID],$Q$4,RawData[[Error Type ]],$Q$5))</f>
        <v/>
      </c>
    </row>
    <row r="21427" spans="15:15" x14ac:dyDescent="0.25">
      <c r="O21427" s="20" t="str">
        <f>IF(N21427="","",COUNTIFS(RawData[[Date ]],N21427,RawData[Month List],$Q$6,RawData[Tour/Site],$Q$2,RawData[[Picker ID ]],$Q$3,RawData[Checker ID],$Q$4,RawData[[Error Type ]],$Q$5))</f>
        <v/>
      </c>
    </row>
    <row r="21428" spans="15:15" x14ac:dyDescent="0.25">
      <c r="O21428" s="20" t="str">
        <f>IF(N21428="","",COUNTIFS(RawData[[Date ]],N21428,RawData[Month List],$Q$6,RawData[Tour/Site],$Q$2,RawData[[Picker ID ]],$Q$3,RawData[Checker ID],$Q$4,RawData[[Error Type ]],$Q$5))</f>
        <v/>
      </c>
    </row>
    <row r="21429" spans="15:15" x14ac:dyDescent="0.25">
      <c r="O21429" s="20" t="str">
        <f>IF(N21429="","",COUNTIFS(RawData[[Date ]],N21429,RawData[Month List],$Q$6,RawData[Tour/Site],$Q$2,RawData[[Picker ID ]],$Q$3,RawData[Checker ID],$Q$4,RawData[[Error Type ]],$Q$5))</f>
        <v/>
      </c>
    </row>
    <row r="21430" spans="15:15" x14ac:dyDescent="0.25">
      <c r="O21430" s="20" t="str">
        <f>IF(N21430="","",COUNTIFS(RawData[[Date ]],N21430,RawData[Month List],$Q$6,RawData[Tour/Site],$Q$2,RawData[[Picker ID ]],$Q$3,RawData[Checker ID],$Q$4,RawData[[Error Type ]],$Q$5))</f>
        <v/>
      </c>
    </row>
    <row r="21431" spans="15:15" x14ac:dyDescent="0.25">
      <c r="O21431" s="20" t="str">
        <f>IF(N21431="","",COUNTIFS(RawData[[Date ]],N21431,RawData[Month List],$Q$6,RawData[Tour/Site],$Q$2,RawData[[Picker ID ]],$Q$3,RawData[Checker ID],$Q$4,RawData[[Error Type ]],$Q$5))</f>
        <v/>
      </c>
    </row>
    <row r="21432" spans="15:15" x14ac:dyDescent="0.25">
      <c r="O21432" s="20" t="str">
        <f>IF(N21432="","",COUNTIFS(RawData[[Date ]],N21432,RawData[Month List],$Q$6,RawData[Tour/Site],$Q$2,RawData[[Picker ID ]],$Q$3,RawData[Checker ID],$Q$4,RawData[[Error Type ]],$Q$5))</f>
        <v/>
      </c>
    </row>
    <row r="21433" spans="15:15" x14ac:dyDescent="0.25">
      <c r="O21433" s="20" t="str">
        <f>IF(N21433="","",COUNTIFS(RawData[[Date ]],N21433,RawData[Month List],$Q$6,RawData[Tour/Site],$Q$2,RawData[[Picker ID ]],$Q$3,RawData[Checker ID],$Q$4,RawData[[Error Type ]],$Q$5))</f>
        <v/>
      </c>
    </row>
    <row r="21434" spans="15:15" x14ac:dyDescent="0.25">
      <c r="O21434" s="20" t="str">
        <f>IF(N21434="","",COUNTIFS(RawData[[Date ]],N21434,RawData[Month List],$Q$6,RawData[Tour/Site],$Q$2,RawData[[Picker ID ]],$Q$3,RawData[Checker ID],$Q$4,RawData[[Error Type ]],$Q$5))</f>
        <v/>
      </c>
    </row>
    <row r="21435" spans="15:15" x14ac:dyDescent="0.25">
      <c r="O21435" s="20" t="str">
        <f>IF(N21435="","",COUNTIFS(RawData[[Date ]],N21435,RawData[Month List],$Q$6,RawData[Tour/Site],$Q$2,RawData[[Picker ID ]],$Q$3,RawData[Checker ID],$Q$4,RawData[[Error Type ]],$Q$5))</f>
        <v/>
      </c>
    </row>
    <row r="21436" spans="15:15" x14ac:dyDescent="0.25">
      <c r="O21436" s="20" t="str">
        <f>IF(N21436="","",COUNTIFS(RawData[[Date ]],N21436,RawData[Month List],$Q$6,RawData[Tour/Site],$Q$2,RawData[[Picker ID ]],$Q$3,RawData[Checker ID],$Q$4,RawData[[Error Type ]],$Q$5))</f>
        <v/>
      </c>
    </row>
    <row r="21437" spans="15:15" x14ac:dyDescent="0.25">
      <c r="O21437" s="20" t="str">
        <f>IF(N21437="","",COUNTIFS(RawData[[Date ]],N21437,RawData[Month List],$Q$6,RawData[Tour/Site],$Q$2,RawData[[Picker ID ]],$Q$3,RawData[Checker ID],$Q$4,RawData[[Error Type ]],$Q$5))</f>
        <v/>
      </c>
    </row>
    <row r="21438" spans="15:15" x14ac:dyDescent="0.25">
      <c r="O21438" s="20" t="str">
        <f>IF(N21438="","",COUNTIFS(RawData[[Date ]],N21438,RawData[Month List],$Q$6,RawData[Tour/Site],$Q$2,RawData[[Picker ID ]],$Q$3,RawData[Checker ID],$Q$4,RawData[[Error Type ]],$Q$5))</f>
        <v/>
      </c>
    </row>
    <row r="21439" spans="15:15" x14ac:dyDescent="0.25">
      <c r="O21439" s="20" t="str">
        <f>IF(N21439="","",COUNTIFS(RawData[[Date ]],N21439,RawData[Month List],$Q$6,RawData[Tour/Site],$Q$2,RawData[[Picker ID ]],$Q$3,RawData[Checker ID],$Q$4,RawData[[Error Type ]],$Q$5))</f>
        <v/>
      </c>
    </row>
    <row r="21440" spans="15:15" x14ac:dyDescent="0.25">
      <c r="O21440" s="20" t="str">
        <f>IF(N21440="","",COUNTIFS(RawData[[Date ]],N21440,RawData[Month List],$Q$6,RawData[Tour/Site],$Q$2,RawData[[Picker ID ]],$Q$3,RawData[Checker ID],$Q$4,RawData[[Error Type ]],$Q$5))</f>
        <v/>
      </c>
    </row>
    <row r="21441" spans="15:15" x14ac:dyDescent="0.25">
      <c r="O21441" s="20" t="str">
        <f>IF(N21441="","",COUNTIFS(RawData[[Date ]],N21441,RawData[Month List],$Q$6,RawData[Tour/Site],$Q$2,RawData[[Picker ID ]],$Q$3,RawData[Checker ID],$Q$4,RawData[[Error Type ]],$Q$5))</f>
        <v/>
      </c>
    </row>
    <row r="21442" spans="15:15" x14ac:dyDescent="0.25">
      <c r="O21442" s="20" t="str">
        <f>IF(N21442="","",COUNTIFS(RawData[[Date ]],N21442,RawData[Month List],$Q$6,RawData[Tour/Site],$Q$2,RawData[[Picker ID ]],$Q$3,RawData[Checker ID],$Q$4,RawData[[Error Type ]],$Q$5))</f>
        <v/>
      </c>
    </row>
    <row r="21443" spans="15:15" x14ac:dyDescent="0.25">
      <c r="O21443" s="20" t="str">
        <f>IF(N21443="","",COUNTIFS(RawData[[Date ]],N21443,RawData[Month List],$Q$6,RawData[Tour/Site],$Q$2,RawData[[Picker ID ]],$Q$3,RawData[Checker ID],$Q$4,RawData[[Error Type ]],$Q$5))</f>
        <v/>
      </c>
    </row>
    <row r="21444" spans="15:15" x14ac:dyDescent="0.25">
      <c r="O21444" s="20" t="str">
        <f>IF(N21444="","",COUNTIFS(RawData[[Date ]],N21444,RawData[Month List],$Q$6,RawData[Tour/Site],$Q$2,RawData[[Picker ID ]],$Q$3,RawData[Checker ID],$Q$4,RawData[[Error Type ]],$Q$5))</f>
        <v/>
      </c>
    </row>
    <row r="21445" spans="15:15" x14ac:dyDescent="0.25">
      <c r="O21445" s="20" t="str">
        <f>IF(N21445="","",COUNTIFS(RawData[[Date ]],N21445,RawData[Month List],$Q$6,RawData[Tour/Site],$Q$2,RawData[[Picker ID ]],$Q$3,RawData[Checker ID],$Q$4,RawData[[Error Type ]],$Q$5))</f>
        <v/>
      </c>
    </row>
    <row r="21446" spans="15:15" x14ac:dyDescent="0.25">
      <c r="O21446" s="20" t="str">
        <f>IF(N21446="","",COUNTIFS(RawData[[Date ]],N21446,RawData[Month List],$Q$6,RawData[Tour/Site],$Q$2,RawData[[Picker ID ]],$Q$3,RawData[Checker ID],$Q$4,RawData[[Error Type ]],$Q$5))</f>
        <v/>
      </c>
    </row>
    <row r="21447" spans="15:15" x14ac:dyDescent="0.25">
      <c r="O21447" s="20" t="str">
        <f>IF(N21447="","",COUNTIFS(RawData[[Date ]],N21447,RawData[Month List],$Q$6,RawData[Tour/Site],$Q$2,RawData[[Picker ID ]],$Q$3,RawData[Checker ID],$Q$4,RawData[[Error Type ]],$Q$5))</f>
        <v/>
      </c>
    </row>
    <row r="21448" spans="15:15" x14ac:dyDescent="0.25">
      <c r="O21448" s="20" t="str">
        <f>IF(N21448="","",COUNTIFS(RawData[[Date ]],N21448,RawData[Month List],$Q$6,RawData[Tour/Site],$Q$2,RawData[[Picker ID ]],$Q$3,RawData[Checker ID],$Q$4,RawData[[Error Type ]],$Q$5))</f>
        <v/>
      </c>
    </row>
    <row r="21449" spans="15:15" x14ac:dyDescent="0.25">
      <c r="O21449" s="20" t="str">
        <f>IF(N21449="","",COUNTIFS(RawData[[Date ]],N21449,RawData[Month List],$Q$6,RawData[Tour/Site],$Q$2,RawData[[Picker ID ]],$Q$3,RawData[Checker ID],$Q$4,RawData[[Error Type ]],$Q$5))</f>
        <v/>
      </c>
    </row>
    <row r="21450" spans="15:15" x14ac:dyDescent="0.25">
      <c r="O21450" s="20" t="str">
        <f>IF(N21450="","",COUNTIFS(RawData[[Date ]],N21450,RawData[Month List],$Q$6,RawData[Tour/Site],$Q$2,RawData[[Picker ID ]],$Q$3,RawData[Checker ID],$Q$4,RawData[[Error Type ]],$Q$5))</f>
        <v/>
      </c>
    </row>
    <row r="21451" spans="15:15" x14ac:dyDescent="0.25">
      <c r="O21451" s="20" t="str">
        <f>IF(N21451="","",COUNTIFS(RawData[[Date ]],N21451,RawData[Month List],$Q$6,RawData[Tour/Site],$Q$2,RawData[[Picker ID ]],$Q$3,RawData[Checker ID],$Q$4,RawData[[Error Type ]],$Q$5))</f>
        <v/>
      </c>
    </row>
    <row r="21452" spans="15:15" x14ac:dyDescent="0.25">
      <c r="O21452" s="20" t="str">
        <f>IF(N21452="","",COUNTIFS(RawData[[Date ]],N21452,RawData[Month List],$Q$6,RawData[Tour/Site],$Q$2,RawData[[Picker ID ]],$Q$3,RawData[Checker ID],$Q$4,RawData[[Error Type ]],$Q$5))</f>
        <v/>
      </c>
    </row>
    <row r="21453" spans="15:15" x14ac:dyDescent="0.25">
      <c r="O21453" s="20" t="str">
        <f>IF(N21453="","",COUNTIFS(RawData[[Date ]],N21453,RawData[Month List],$Q$6,RawData[Tour/Site],$Q$2,RawData[[Picker ID ]],$Q$3,RawData[Checker ID],$Q$4,RawData[[Error Type ]],$Q$5))</f>
        <v/>
      </c>
    </row>
    <row r="21454" spans="15:15" x14ac:dyDescent="0.25">
      <c r="O21454" s="20" t="str">
        <f>IF(N21454="","",COUNTIFS(RawData[[Date ]],N21454,RawData[Month List],$Q$6,RawData[Tour/Site],$Q$2,RawData[[Picker ID ]],$Q$3,RawData[Checker ID],$Q$4,RawData[[Error Type ]],$Q$5))</f>
        <v/>
      </c>
    </row>
    <row r="21455" spans="15:15" x14ac:dyDescent="0.25">
      <c r="O21455" s="20" t="str">
        <f>IF(N21455="","",COUNTIFS(RawData[[Date ]],N21455,RawData[Month List],$Q$6,RawData[Tour/Site],$Q$2,RawData[[Picker ID ]],$Q$3,RawData[Checker ID],$Q$4,RawData[[Error Type ]],$Q$5))</f>
        <v/>
      </c>
    </row>
    <row r="21456" spans="15:15" x14ac:dyDescent="0.25">
      <c r="O21456" s="20" t="str">
        <f>IF(N21456="","",COUNTIFS(RawData[[Date ]],N21456,RawData[Month List],$Q$6,RawData[Tour/Site],$Q$2,RawData[[Picker ID ]],$Q$3,RawData[Checker ID],$Q$4,RawData[[Error Type ]],$Q$5))</f>
        <v/>
      </c>
    </row>
    <row r="21457" spans="15:15" x14ac:dyDescent="0.25">
      <c r="O21457" s="20" t="str">
        <f>IF(N21457="","",COUNTIFS(RawData[[Date ]],N21457,RawData[Month List],$Q$6,RawData[Tour/Site],$Q$2,RawData[[Picker ID ]],$Q$3,RawData[Checker ID],$Q$4,RawData[[Error Type ]],$Q$5))</f>
        <v/>
      </c>
    </row>
    <row r="21458" spans="15:15" x14ac:dyDescent="0.25">
      <c r="O21458" s="20" t="str">
        <f>IF(N21458="","",COUNTIFS(RawData[[Date ]],N21458,RawData[Month List],$Q$6,RawData[Tour/Site],$Q$2,RawData[[Picker ID ]],$Q$3,RawData[Checker ID],$Q$4,RawData[[Error Type ]],$Q$5))</f>
        <v/>
      </c>
    </row>
    <row r="21459" spans="15:15" x14ac:dyDescent="0.25">
      <c r="O21459" s="20" t="str">
        <f>IF(N21459="","",COUNTIFS(RawData[[Date ]],N21459,RawData[Month List],$Q$6,RawData[Tour/Site],$Q$2,RawData[[Picker ID ]],$Q$3,RawData[Checker ID],$Q$4,RawData[[Error Type ]],$Q$5))</f>
        <v/>
      </c>
    </row>
    <row r="21460" spans="15:15" x14ac:dyDescent="0.25">
      <c r="O21460" s="20" t="str">
        <f>IF(N21460="","",COUNTIFS(RawData[[Date ]],N21460,RawData[Month List],$Q$6,RawData[Tour/Site],$Q$2,RawData[[Picker ID ]],$Q$3,RawData[Checker ID],$Q$4,RawData[[Error Type ]],$Q$5))</f>
        <v/>
      </c>
    </row>
    <row r="21461" spans="15:15" x14ac:dyDescent="0.25">
      <c r="O21461" s="20" t="str">
        <f>IF(N21461="","",COUNTIFS(RawData[[Date ]],N21461,RawData[Month List],$Q$6,RawData[Tour/Site],$Q$2,RawData[[Picker ID ]],$Q$3,RawData[Checker ID],$Q$4,RawData[[Error Type ]],$Q$5))</f>
        <v/>
      </c>
    </row>
    <row r="21462" spans="15:15" x14ac:dyDescent="0.25">
      <c r="O21462" s="20" t="str">
        <f>IF(N21462="","",COUNTIFS(RawData[[Date ]],N21462,RawData[Month List],$Q$6,RawData[Tour/Site],$Q$2,RawData[[Picker ID ]],$Q$3,RawData[Checker ID],$Q$4,RawData[[Error Type ]],$Q$5))</f>
        <v/>
      </c>
    </row>
    <row r="21463" spans="15:15" x14ac:dyDescent="0.25">
      <c r="O21463" s="20" t="str">
        <f>IF(N21463="","",COUNTIFS(RawData[[Date ]],N21463,RawData[Month List],$Q$6,RawData[Tour/Site],$Q$2,RawData[[Picker ID ]],$Q$3,RawData[Checker ID],$Q$4,RawData[[Error Type ]],$Q$5))</f>
        <v/>
      </c>
    </row>
    <row r="21464" spans="15:15" x14ac:dyDescent="0.25">
      <c r="O21464" s="20" t="str">
        <f>IF(N21464="","",COUNTIFS(RawData[[Date ]],N21464,RawData[Month List],$Q$6,RawData[Tour/Site],$Q$2,RawData[[Picker ID ]],$Q$3,RawData[Checker ID],$Q$4,RawData[[Error Type ]],$Q$5))</f>
        <v/>
      </c>
    </row>
    <row r="21465" spans="15:15" x14ac:dyDescent="0.25">
      <c r="O21465" s="20" t="str">
        <f>IF(N21465="","",COUNTIFS(RawData[[Date ]],N21465,RawData[Month List],$Q$6,RawData[Tour/Site],$Q$2,RawData[[Picker ID ]],$Q$3,RawData[Checker ID],$Q$4,RawData[[Error Type ]],$Q$5))</f>
        <v/>
      </c>
    </row>
    <row r="21466" spans="15:15" x14ac:dyDescent="0.25">
      <c r="O21466" s="20" t="str">
        <f>IF(N21466="","",COUNTIFS(RawData[[Date ]],N21466,RawData[Month List],$Q$6,RawData[Tour/Site],$Q$2,RawData[[Picker ID ]],$Q$3,RawData[Checker ID],$Q$4,RawData[[Error Type ]],$Q$5))</f>
        <v/>
      </c>
    </row>
    <row r="21467" spans="15:15" x14ac:dyDescent="0.25">
      <c r="O21467" s="20" t="str">
        <f>IF(N21467="","",COUNTIFS(RawData[[Date ]],N21467,RawData[Month List],$Q$6,RawData[Tour/Site],$Q$2,RawData[[Picker ID ]],$Q$3,RawData[Checker ID],$Q$4,RawData[[Error Type ]],$Q$5))</f>
        <v/>
      </c>
    </row>
    <row r="21468" spans="15:15" x14ac:dyDescent="0.25">
      <c r="O21468" s="20" t="str">
        <f>IF(N21468="","",COUNTIFS(RawData[[Date ]],N21468,RawData[Month List],$Q$6,RawData[Tour/Site],$Q$2,RawData[[Picker ID ]],$Q$3,RawData[Checker ID],$Q$4,RawData[[Error Type ]],$Q$5))</f>
        <v/>
      </c>
    </row>
    <row r="21469" spans="15:15" x14ac:dyDescent="0.25">
      <c r="O21469" s="20" t="str">
        <f>IF(N21469="","",COUNTIFS(RawData[[Date ]],N21469,RawData[Month List],$Q$6,RawData[Tour/Site],$Q$2,RawData[[Picker ID ]],$Q$3,RawData[Checker ID],$Q$4,RawData[[Error Type ]],$Q$5))</f>
        <v/>
      </c>
    </row>
    <row r="21470" spans="15:15" x14ac:dyDescent="0.25">
      <c r="O21470" s="20" t="str">
        <f>IF(N21470="","",COUNTIFS(RawData[[Date ]],N21470,RawData[Month List],$Q$6,RawData[Tour/Site],$Q$2,RawData[[Picker ID ]],$Q$3,RawData[Checker ID],$Q$4,RawData[[Error Type ]],$Q$5))</f>
        <v/>
      </c>
    </row>
    <row r="21471" spans="15:15" x14ac:dyDescent="0.25">
      <c r="O21471" s="20" t="str">
        <f>IF(N21471="","",COUNTIFS(RawData[[Date ]],N21471,RawData[Month List],$Q$6,RawData[Tour/Site],$Q$2,RawData[[Picker ID ]],$Q$3,RawData[Checker ID],$Q$4,RawData[[Error Type ]],$Q$5))</f>
        <v/>
      </c>
    </row>
    <row r="21472" spans="15:15" x14ac:dyDescent="0.25">
      <c r="O21472" s="20" t="str">
        <f>IF(N21472="","",COUNTIFS(RawData[[Date ]],N21472,RawData[Month List],$Q$6,RawData[Tour/Site],$Q$2,RawData[[Picker ID ]],$Q$3,RawData[Checker ID],$Q$4,RawData[[Error Type ]],$Q$5))</f>
        <v/>
      </c>
    </row>
    <row r="21473" spans="15:15" x14ac:dyDescent="0.25">
      <c r="O21473" s="20" t="str">
        <f>IF(N21473="","",COUNTIFS(RawData[[Date ]],N21473,RawData[Month List],$Q$6,RawData[Tour/Site],$Q$2,RawData[[Picker ID ]],$Q$3,RawData[Checker ID],$Q$4,RawData[[Error Type ]],$Q$5))</f>
        <v/>
      </c>
    </row>
    <row r="21474" spans="15:15" x14ac:dyDescent="0.25">
      <c r="O21474" s="20" t="str">
        <f>IF(N21474="","",COUNTIFS(RawData[[Date ]],N21474,RawData[Month List],$Q$6,RawData[Tour/Site],$Q$2,RawData[[Picker ID ]],$Q$3,RawData[Checker ID],$Q$4,RawData[[Error Type ]],$Q$5))</f>
        <v/>
      </c>
    </row>
    <row r="21475" spans="15:15" x14ac:dyDescent="0.25">
      <c r="O21475" s="20" t="str">
        <f>IF(N21475="","",COUNTIFS(RawData[[Date ]],N21475,RawData[Month List],$Q$6,RawData[Tour/Site],$Q$2,RawData[[Picker ID ]],$Q$3,RawData[Checker ID],$Q$4,RawData[[Error Type ]],$Q$5))</f>
        <v/>
      </c>
    </row>
    <row r="21476" spans="15:15" x14ac:dyDescent="0.25">
      <c r="O21476" s="20" t="str">
        <f>IF(N21476="","",COUNTIFS(RawData[[Date ]],N21476,RawData[Month List],$Q$6,RawData[Tour/Site],$Q$2,RawData[[Picker ID ]],$Q$3,RawData[Checker ID],$Q$4,RawData[[Error Type ]],$Q$5))</f>
        <v/>
      </c>
    </row>
    <row r="21477" spans="15:15" x14ac:dyDescent="0.25">
      <c r="O21477" s="20" t="str">
        <f>IF(N21477="","",COUNTIFS(RawData[[Date ]],N21477,RawData[Month List],$Q$6,RawData[Tour/Site],$Q$2,RawData[[Picker ID ]],$Q$3,RawData[Checker ID],$Q$4,RawData[[Error Type ]],$Q$5))</f>
        <v/>
      </c>
    </row>
    <row r="21478" spans="15:15" x14ac:dyDescent="0.25">
      <c r="O21478" s="20" t="str">
        <f>IF(N21478="","",COUNTIFS(RawData[[Date ]],N21478,RawData[Month List],$Q$6,RawData[Tour/Site],$Q$2,RawData[[Picker ID ]],$Q$3,RawData[Checker ID],$Q$4,RawData[[Error Type ]],$Q$5))</f>
        <v/>
      </c>
    </row>
    <row r="21479" spans="15:15" x14ac:dyDescent="0.25">
      <c r="O21479" s="20" t="str">
        <f>IF(N21479="","",COUNTIFS(RawData[[Date ]],N21479,RawData[Month List],$Q$6,RawData[Tour/Site],$Q$2,RawData[[Picker ID ]],$Q$3,RawData[Checker ID],$Q$4,RawData[[Error Type ]],$Q$5))</f>
        <v/>
      </c>
    </row>
    <row r="21480" spans="15:15" x14ac:dyDescent="0.25">
      <c r="O21480" s="20" t="str">
        <f>IF(N21480="","",COUNTIFS(RawData[[Date ]],N21480,RawData[Month List],$Q$6,RawData[Tour/Site],$Q$2,RawData[[Picker ID ]],$Q$3,RawData[Checker ID],$Q$4,RawData[[Error Type ]],$Q$5))</f>
        <v/>
      </c>
    </row>
    <row r="21481" spans="15:15" x14ac:dyDescent="0.25">
      <c r="O21481" s="20" t="str">
        <f>IF(N21481="","",COUNTIFS(RawData[[Date ]],N21481,RawData[Month List],$Q$6,RawData[Tour/Site],$Q$2,RawData[[Picker ID ]],$Q$3,RawData[Checker ID],$Q$4,RawData[[Error Type ]],$Q$5))</f>
        <v/>
      </c>
    </row>
    <row r="21482" spans="15:15" x14ac:dyDescent="0.25">
      <c r="O21482" s="20" t="str">
        <f>IF(N21482="","",COUNTIFS(RawData[[Date ]],N21482,RawData[Month List],$Q$6,RawData[Tour/Site],$Q$2,RawData[[Picker ID ]],$Q$3,RawData[Checker ID],$Q$4,RawData[[Error Type ]],$Q$5))</f>
        <v/>
      </c>
    </row>
    <row r="21483" spans="15:15" x14ac:dyDescent="0.25">
      <c r="O21483" s="20" t="str">
        <f>IF(N21483="","",COUNTIFS(RawData[[Date ]],N21483,RawData[Month List],$Q$6,RawData[Tour/Site],$Q$2,RawData[[Picker ID ]],$Q$3,RawData[Checker ID],$Q$4,RawData[[Error Type ]],$Q$5))</f>
        <v/>
      </c>
    </row>
    <row r="21484" spans="15:15" x14ac:dyDescent="0.25">
      <c r="O21484" s="20" t="str">
        <f>IF(N21484="","",COUNTIFS(RawData[[Date ]],N21484,RawData[Month List],$Q$6,RawData[Tour/Site],$Q$2,RawData[[Picker ID ]],$Q$3,RawData[Checker ID],$Q$4,RawData[[Error Type ]],$Q$5))</f>
        <v/>
      </c>
    </row>
    <row r="21485" spans="15:15" x14ac:dyDescent="0.25">
      <c r="O21485" s="20" t="str">
        <f>IF(N21485="","",COUNTIFS(RawData[[Date ]],N21485,RawData[Month List],$Q$6,RawData[Tour/Site],$Q$2,RawData[[Picker ID ]],$Q$3,RawData[Checker ID],$Q$4,RawData[[Error Type ]],$Q$5))</f>
        <v/>
      </c>
    </row>
    <row r="21486" spans="15:15" x14ac:dyDescent="0.25">
      <c r="O21486" s="20" t="str">
        <f>IF(N21486="","",COUNTIFS(RawData[[Date ]],N21486,RawData[Month List],$Q$6,RawData[Tour/Site],$Q$2,RawData[[Picker ID ]],$Q$3,RawData[Checker ID],$Q$4,RawData[[Error Type ]],$Q$5))</f>
        <v/>
      </c>
    </row>
    <row r="21487" spans="15:15" x14ac:dyDescent="0.25">
      <c r="O21487" s="20" t="str">
        <f>IF(N21487="","",COUNTIFS(RawData[[Date ]],N21487,RawData[Month List],$Q$6,RawData[Tour/Site],$Q$2,RawData[[Picker ID ]],$Q$3,RawData[Checker ID],$Q$4,RawData[[Error Type ]],$Q$5))</f>
        <v/>
      </c>
    </row>
    <row r="21488" spans="15:15" x14ac:dyDescent="0.25">
      <c r="O21488" s="20" t="str">
        <f>IF(N21488="","",COUNTIFS(RawData[[Date ]],N21488,RawData[Month List],$Q$6,RawData[Tour/Site],$Q$2,RawData[[Picker ID ]],$Q$3,RawData[Checker ID],$Q$4,RawData[[Error Type ]],$Q$5))</f>
        <v/>
      </c>
    </row>
    <row r="21489" spans="15:15" x14ac:dyDescent="0.25">
      <c r="O21489" s="20" t="str">
        <f>IF(N21489="","",COUNTIFS(RawData[[Date ]],N21489,RawData[Month List],$Q$6,RawData[Tour/Site],$Q$2,RawData[[Picker ID ]],$Q$3,RawData[Checker ID],$Q$4,RawData[[Error Type ]],$Q$5))</f>
        <v/>
      </c>
    </row>
    <row r="21490" spans="15:15" x14ac:dyDescent="0.25">
      <c r="O21490" s="20" t="str">
        <f>IF(N21490="","",COUNTIFS(RawData[[Date ]],N21490,RawData[Month List],$Q$6,RawData[Tour/Site],$Q$2,RawData[[Picker ID ]],$Q$3,RawData[Checker ID],$Q$4,RawData[[Error Type ]],$Q$5))</f>
        <v/>
      </c>
    </row>
    <row r="21491" spans="15:15" x14ac:dyDescent="0.25">
      <c r="O21491" s="20" t="str">
        <f>IF(N21491="","",COUNTIFS(RawData[[Date ]],N21491,RawData[Month List],$Q$6,RawData[Tour/Site],$Q$2,RawData[[Picker ID ]],$Q$3,RawData[Checker ID],$Q$4,RawData[[Error Type ]],$Q$5))</f>
        <v/>
      </c>
    </row>
    <row r="21492" spans="15:15" x14ac:dyDescent="0.25">
      <c r="O21492" s="20" t="str">
        <f>IF(N21492="","",COUNTIFS(RawData[[Date ]],N21492,RawData[Month List],$Q$6,RawData[Tour/Site],$Q$2,RawData[[Picker ID ]],$Q$3,RawData[Checker ID],$Q$4,RawData[[Error Type ]],$Q$5))</f>
        <v/>
      </c>
    </row>
    <row r="21493" spans="15:15" x14ac:dyDescent="0.25">
      <c r="O21493" s="20" t="str">
        <f>IF(N21493="","",COUNTIFS(RawData[[Date ]],N21493,RawData[Month List],$Q$6,RawData[Tour/Site],$Q$2,RawData[[Picker ID ]],$Q$3,RawData[Checker ID],$Q$4,RawData[[Error Type ]],$Q$5))</f>
        <v/>
      </c>
    </row>
    <row r="21494" spans="15:15" x14ac:dyDescent="0.25">
      <c r="O21494" s="20" t="str">
        <f>IF(N21494="","",COUNTIFS(RawData[[Date ]],N21494,RawData[Month List],$Q$6,RawData[Tour/Site],$Q$2,RawData[[Picker ID ]],$Q$3,RawData[Checker ID],$Q$4,RawData[[Error Type ]],$Q$5))</f>
        <v/>
      </c>
    </row>
    <row r="21495" spans="15:15" x14ac:dyDescent="0.25">
      <c r="O21495" s="20" t="str">
        <f>IF(N21495="","",COUNTIFS(RawData[[Date ]],N21495,RawData[Month List],$Q$6,RawData[Tour/Site],$Q$2,RawData[[Picker ID ]],$Q$3,RawData[Checker ID],$Q$4,RawData[[Error Type ]],$Q$5))</f>
        <v/>
      </c>
    </row>
    <row r="21496" spans="15:15" x14ac:dyDescent="0.25">
      <c r="O21496" s="20" t="str">
        <f>IF(N21496="","",COUNTIFS(RawData[[Date ]],N21496,RawData[Month List],$Q$6,RawData[Tour/Site],$Q$2,RawData[[Picker ID ]],$Q$3,RawData[Checker ID],$Q$4,RawData[[Error Type ]],$Q$5))</f>
        <v/>
      </c>
    </row>
    <row r="21497" spans="15:15" x14ac:dyDescent="0.25">
      <c r="O21497" s="20" t="str">
        <f>IF(N21497="","",COUNTIFS(RawData[[Date ]],N21497,RawData[Month List],$Q$6,RawData[Tour/Site],$Q$2,RawData[[Picker ID ]],$Q$3,RawData[Checker ID],$Q$4,RawData[[Error Type ]],$Q$5))</f>
        <v/>
      </c>
    </row>
    <row r="21498" spans="15:15" x14ac:dyDescent="0.25">
      <c r="O21498" s="20" t="str">
        <f>IF(N21498="","",COUNTIFS(RawData[[Date ]],N21498,RawData[Month List],$Q$6,RawData[Tour/Site],$Q$2,RawData[[Picker ID ]],$Q$3,RawData[Checker ID],$Q$4,RawData[[Error Type ]],$Q$5))</f>
        <v/>
      </c>
    </row>
    <row r="21499" spans="15:15" x14ac:dyDescent="0.25">
      <c r="O21499" s="20" t="str">
        <f>IF(N21499="","",COUNTIFS(RawData[[Date ]],N21499,RawData[Month List],$Q$6,RawData[Tour/Site],$Q$2,RawData[[Picker ID ]],$Q$3,RawData[Checker ID],$Q$4,RawData[[Error Type ]],$Q$5))</f>
        <v/>
      </c>
    </row>
    <row r="21500" spans="15:15" x14ac:dyDescent="0.25">
      <c r="O21500" s="20" t="str">
        <f>IF(N21500="","",COUNTIFS(RawData[[Date ]],N21500,RawData[Month List],$Q$6,RawData[Tour/Site],$Q$2,RawData[[Picker ID ]],$Q$3,RawData[Checker ID],$Q$4,RawData[[Error Type ]],$Q$5))</f>
        <v/>
      </c>
    </row>
    <row r="21501" spans="15:15" x14ac:dyDescent="0.25">
      <c r="O21501" s="20" t="str">
        <f>IF(N21501="","",COUNTIFS(RawData[[Date ]],N21501,RawData[Month List],$Q$6,RawData[Tour/Site],$Q$2,RawData[[Picker ID ]],$Q$3,RawData[Checker ID],$Q$4,RawData[[Error Type ]],$Q$5))</f>
        <v/>
      </c>
    </row>
    <row r="21502" spans="15:15" x14ac:dyDescent="0.25">
      <c r="O21502" s="20" t="str">
        <f>IF(N21502="","",COUNTIFS(RawData[[Date ]],N21502,RawData[Month List],$Q$6,RawData[Tour/Site],$Q$2,RawData[[Picker ID ]],$Q$3,RawData[Checker ID],$Q$4,RawData[[Error Type ]],$Q$5))</f>
        <v/>
      </c>
    </row>
    <row r="21503" spans="15:15" x14ac:dyDescent="0.25">
      <c r="O21503" s="20" t="str">
        <f>IF(N21503="","",COUNTIFS(RawData[[Date ]],N21503,RawData[Month List],$Q$6,RawData[Tour/Site],$Q$2,RawData[[Picker ID ]],$Q$3,RawData[Checker ID],$Q$4,RawData[[Error Type ]],$Q$5))</f>
        <v/>
      </c>
    </row>
    <row r="21504" spans="15:15" x14ac:dyDescent="0.25">
      <c r="O21504" s="20" t="str">
        <f>IF(N21504="","",COUNTIFS(RawData[[Date ]],N21504,RawData[Month List],$Q$6,RawData[Tour/Site],$Q$2,RawData[[Picker ID ]],$Q$3,RawData[Checker ID],$Q$4,RawData[[Error Type ]],$Q$5))</f>
        <v/>
      </c>
    </row>
    <row r="21505" spans="15:15" x14ac:dyDescent="0.25">
      <c r="O21505" s="20" t="str">
        <f>IF(N21505="","",COUNTIFS(RawData[[Date ]],N21505,RawData[Month List],$Q$6,RawData[Tour/Site],$Q$2,RawData[[Picker ID ]],$Q$3,RawData[Checker ID],$Q$4,RawData[[Error Type ]],$Q$5))</f>
        <v/>
      </c>
    </row>
    <row r="21506" spans="15:15" x14ac:dyDescent="0.25">
      <c r="O21506" s="20" t="str">
        <f>IF(N21506="","",COUNTIFS(RawData[[Date ]],N21506,RawData[Month List],$Q$6,RawData[Tour/Site],$Q$2,RawData[[Picker ID ]],$Q$3,RawData[Checker ID],$Q$4,RawData[[Error Type ]],$Q$5))</f>
        <v/>
      </c>
    </row>
    <row r="21507" spans="15:15" x14ac:dyDescent="0.25">
      <c r="O21507" s="20" t="str">
        <f>IF(N21507="","",COUNTIFS(RawData[[Date ]],N21507,RawData[Month List],$Q$6,RawData[Tour/Site],$Q$2,RawData[[Picker ID ]],$Q$3,RawData[Checker ID],$Q$4,RawData[[Error Type ]],$Q$5))</f>
        <v/>
      </c>
    </row>
    <row r="21508" spans="15:15" x14ac:dyDescent="0.25">
      <c r="O21508" s="20" t="str">
        <f>IF(N21508="","",COUNTIFS(RawData[[Date ]],N21508,RawData[Month List],$Q$6,RawData[Tour/Site],$Q$2,RawData[[Picker ID ]],$Q$3,RawData[Checker ID],$Q$4,RawData[[Error Type ]],$Q$5))</f>
        <v/>
      </c>
    </row>
    <row r="21509" spans="15:15" x14ac:dyDescent="0.25">
      <c r="O21509" s="20" t="str">
        <f>IF(N21509="","",COUNTIFS(RawData[[Date ]],N21509,RawData[Month List],$Q$6,RawData[Tour/Site],$Q$2,RawData[[Picker ID ]],$Q$3,RawData[Checker ID],$Q$4,RawData[[Error Type ]],$Q$5))</f>
        <v/>
      </c>
    </row>
    <row r="21510" spans="15:15" x14ac:dyDescent="0.25">
      <c r="O21510" s="20" t="str">
        <f>IF(N21510="","",COUNTIFS(RawData[[Date ]],N21510,RawData[Month List],$Q$6,RawData[Tour/Site],$Q$2,RawData[[Picker ID ]],$Q$3,RawData[Checker ID],$Q$4,RawData[[Error Type ]],$Q$5))</f>
        <v/>
      </c>
    </row>
    <row r="21511" spans="15:15" x14ac:dyDescent="0.25">
      <c r="O21511" s="20" t="str">
        <f>IF(N21511="","",COUNTIFS(RawData[[Date ]],N21511,RawData[Month List],$Q$6,RawData[Tour/Site],$Q$2,RawData[[Picker ID ]],$Q$3,RawData[Checker ID],$Q$4,RawData[[Error Type ]],$Q$5))</f>
        <v/>
      </c>
    </row>
    <row r="21512" spans="15:15" x14ac:dyDescent="0.25">
      <c r="O21512" s="20" t="str">
        <f>IF(N21512="","",COUNTIFS(RawData[[Date ]],N21512,RawData[Month List],$Q$6,RawData[Tour/Site],$Q$2,RawData[[Picker ID ]],$Q$3,RawData[Checker ID],$Q$4,RawData[[Error Type ]],$Q$5))</f>
        <v/>
      </c>
    </row>
    <row r="21513" spans="15:15" x14ac:dyDescent="0.25">
      <c r="O21513" s="20" t="str">
        <f>IF(N21513="","",COUNTIFS(RawData[[Date ]],N21513,RawData[Month List],$Q$6,RawData[Tour/Site],$Q$2,RawData[[Picker ID ]],$Q$3,RawData[Checker ID],$Q$4,RawData[[Error Type ]],$Q$5))</f>
        <v/>
      </c>
    </row>
    <row r="21514" spans="15:15" x14ac:dyDescent="0.25">
      <c r="O21514" s="20" t="str">
        <f>IF(N21514="","",COUNTIFS(RawData[[Date ]],N21514,RawData[Month List],$Q$6,RawData[Tour/Site],$Q$2,RawData[[Picker ID ]],$Q$3,RawData[Checker ID],$Q$4,RawData[[Error Type ]],$Q$5))</f>
        <v/>
      </c>
    </row>
    <row r="21515" spans="15:15" x14ac:dyDescent="0.25">
      <c r="O21515" s="20" t="str">
        <f>IF(N21515="","",COUNTIFS(RawData[[Date ]],N21515,RawData[Month List],$Q$6,RawData[Tour/Site],$Q$2,RawData[[Picker ID ]],$Q$3,RawData[Checker ID],$Q$4,RawData[[Error Type ]],$Q$5))</f>
        <v/>
      </c>
    </row>
    <row r="21516" spans="15:15" x14ac:dyDescent="0.25">
      <c r="O21516" s="20" t="str">
        <f>IF(N21516="","",COUNTIFS(RawData[[Date ]],N21516,RawData[Month List],$Q$6,RawData[Tour/Site],$Q$2,RawData[[Picker ID ]],$Q$3,RawData[Checker ID],$Q$4,RawData[[Error Type ]],$Q$5))</f>
        <v/>
      </c>
    </row>
    <row r="21517" spans="15:15" x14ac:dyDescent="0.25">
      <c r="O21517" s="20" t="str">
        <f>IF(N21517="","",COUNTIFS(RawData[[Date ]],N21517,RawData[Month List],$Q$6,RawData[Tour/Site],$Q$2,RawData[[Picker ID ]],$Q$3,RawData[Checker ID],$Q$4,RawData[[Error Type ]],$Q$5))</f>
        <v/>
      </c>
    </row>
    <row r="21518" spans="15:15" x14ac:dyDescent="0.25">
      <c r="O21518" s="20" t="str">
        <f>IF(N21518="","",COUNTIFS(RawData[[Date ]],N21518,RawData[Month List],$Q$6,RawData[Tour/Site],$Q$2,RawData[[Picker ID ]],$Q$3,RawData[Checker ID],$Q$4,RawData[[Error Type ]],$Q$5))</f>
        <v/>
      </c>
    </row>
    <row r="21519" spans="15:15" x14ac:dyDescent="0.25">
      <c r="O21519" s="20" t="str">
        <f>IF(N21519="","",COUNTIFS(RawData[[Date ]],N21519,RawData[Month List],$Q$6,RawData[Tour/Site],$Q$2,RawData[[Picker ID ]],$Q$3,RawData[Checker ID],$Q$4,RawData[[Error Type ]],$Q$5))</f>
        <v/>
      </c>
    </row>
    <row r="21520" spans="15:15" x14ac:dyDescent="0.25">
      <c r="O21520" s="20" t="str">
        <f>IF(N21520="","",COUNTIFS(RawData[[Date ]],N21520,RawData[Month List],$Q$6,RawData[Tour/Site],$Q$2,RawData[[Picker ID ]],$Q$3,RawData[Checker ID],$Q$4,RawData[[Error Type ]],$Q$5))</f>
        <v/>
      </c>
    </row>
    <row r="21521" spans="15:15" x14ac:dyDescent="0.25">
      <c r="O21521" s="20" t="str">
        <f>IF(N21521="","",COUNTIFS(RawData[[Date ]],N21521,RawData[Month List],$Q$6,RawData[Tour/Site],$Q$2,RawData[[Picker ID ]],$Q$3,RawData[Checker ID],$Q$4,RawData[[Error Type ]],$Q$5))</f>
        <v/>
      </c>
    </row>
    <row r="21522" spans="15:15" x14ac:dyDescent="0.25">
      <c r="O21522" s="20" t="str">
        <f>IF(N21522="","",COUNTIFS(RawData[[Date ]],N21522,RawData[Month List],$Q$6,RawData[Tour/Site],$Q$2,RawData[[Picker ID ]],$Q$3,RawData[Checker ID],$Q$4,RawData[[Error Type ]],$Q$5))</f>
        <v/>
      </c>
    </row>
    <row r="21523" spans="15:15" x14ac:dyDescent="0.25">
      <c r="O21523" s="20" t="str">
        <f>IF(N21523="","",COUNTIFS(RawData[[Date ]],N21523,RawData[Month List],$Q$6,RawData[Tour/Site],$Q$2,RawData[[Picker ID ]],$Q$3,RawData[Checker ID],$Q$4,RawData[[Error Type ]],$Q$5))</f>
        <v/>
      </c>
    </row>
    <row r="21524" spans="15:15" x14ac:dyDescent="0.25">
      <c r="O21524" s="20" t="str">
        <f>IF(N21524="","",COUNTIFS(RawData[[Date ]],N21524,RawData[Month List],$Q$6,RawData[Tour/Site],$Q$2,RawData[[Picker ID ]],$Q$3,RawData[Checker ID],$Q$4,RawData[[Error Type ]],$Q$5))</f>
        <v/>
      </c>
    </row>
    <row r="21525" spans="15:15" x14ac:dyDescent="0.25">
      <c r="O21525" s="20" t="str">
        <f>IF(N21525="","",COUNTIFS(RawData[[Date ]],N21525,RawData[Month List],$Q$6,RawData[Tour/Site],$Q$2,RawData[[Picker ID ]],$Q$3,RawData[Checker ID],$Q$4,RawData[[Error Type ]],$Q$5))</f>
        <v/>
      </c>
    </row>
    <row r="21526" spans="15:15" x14ac:dyDescent="0.25">
      <c r="O21526" s="20" t="str">
        <f>IF(N21526="","",COUNTIFS(RawData[[Date ]],N21526,RawData[Month List],$Q$6,RawData[Tour/Site],$Q$2,RawData[[Picker ID ]],$Q$3,RawData[Checker ID],$Q$4,RawData[[Error Type ]],$Q$5))</f>
        <v/>
      </c>
    </row>
    <row r="21527" spans="15:15" x14ac:dyDescent="0.25">
      <c r="O21527" s="20" t="str">
        <f>IF(N21527="","",COUNTIFS(RawData[[Date ]],N21527,RawData[Month List],$Q$6,RawData[Tour/Site],$Q$2,RawData[[Picker ID ]],$Q$3,RawData[Checker ID],$Q$4,RawData[[Error Type ]],$Q$5))</f>
        <v/>
      </c>
    </row>
    <row r="21528" spans="15:15" x14ac:dyDescent="0.25">
      <c r="O21528" s="20" t="str">
        <f>IF(N21528="","",COUNTIFS(RawData[[Date ]],N21528,RawData[Month List],$Q$6,RawData[Tour/Site],$Q$2,RawData[[Picker ID ]],$Q$3,RawData[Checker ID],$Q$4,RawData[[Error Type ]],$Q$5))</f>
        <v/>
      </c>
    </row>
    <row r="21529" spans="15:15" x14ac:dyDescent="0.25">
      <c r="O21529" s="20" t="str">
        <f>IF(N21529="","",COUNTIFS(RawData[[Date ]],N21529,RawData[Month List],$Q$6,RawData[Tour/Site],$Q$2,RawData[[Picker ID ]],$Q$3,RawData[Checker ID],$Q$4,RawData[[Error Type ]],$Q$5))</f>
        <v/>
      </c>
    </row>
    <row r="21530" spans="15:15" x14ac:dyDescent="0.25">
      <c r="O21530" s="20" t="str">
        <f>IF(N21530="","",COUNTIFS(RawData[[Date ]],N21530,RawData[Month List],$Q$6,RawData[Tour/Site],$Q$2,RawData[[Picker ID ]],$Q$3,RawData[Checker ID],$Q$4,RawData[[Error Type ]],$Q$5))</f>
        <v/>
      </c>
    </row>
    <row r="21531" spans="15:15" x14ac:dyDescent="0.25">
      <c r="O21531" s="20" t="str">
        <f>IF(N21531="","",COUNTIFS(RawData[[Date ]],N21531,RawData[Month List],$Q$6,RawData[Tour/Site],$Q$2,RawData[[Picker ID ]],$Q$3,RawData[Checker ID],$Q$4,RawData[[Error Type ]],$Q$5))</f>
        <v/>
      </c>
    </row>
    <row r="21532" spans="15:15" x14ac:dyDescent="0.25">
      <c r="O21532" s="20" t="str">
        <f>IF(N21532="","",COUNTIFS(RawData[[Date ]],N21532,RawData[Month List],$Q$6,RawData[Tour/Site],$Q$2,RawData[[Picker ID ]],$Q$3,RawData[Checker ID],$Q$4,RawData[[Error Type ]],$Q$5))</f>
        <v/>
      </c>
    </row>
    <row r="21533" spans="15:15" x14ac:dyDescent="0.25">
      <c r="O21533" s="20" t="str">
        <f>IF(N21533="","",COUNTIFS(RawData[[Date ]],N21533,RawData[Month List],$Q$6,RawData[Tour/Site],$Q$2,RawData[[Picker ID ]],$Q$3,RawData[Checker ID],$Q$4,RawData[[Error Type ]],$Q$5))</f>
        <v/>
      </c>
    </row>
    <row r="21534" spans="15:15" x14ac:dyDescent="0.25">
      <c r="O21534" s="20" t="str">
        <f>IF(N21534="","",COUNTIFS(RawData[[Date ]],N21534,RawData[Month List],$Q$6,RawData[Tour/Site],$Q$2,RawData[[Picker ID ]],$Q$3,RawData[Checker ID],$Q$4,RawData[[Error Type ]],$Q$5))</f>
        <v/>
      </c>
    </row>
    <row r="21535" spans="15:15" x14ac:dyDescent="0.25">
      <c r="O21535" s="20" t="str">
        <f>IF(N21535="","",COUNTIFS(RawData[[Date ]],N21535,RawData[Month List],$Q$6,RawData[Tour/Site],$Q$2,RawData[[Picker ID ]],$Q$3,RawData[Checker ID],$Q$4,RawData[[Error Type ]],$Q$5))</f>
        <v/>
      </c>
    </row>
    <row r="21536" spans="15:15" x14ac:dyDescent="0.25">
      <c r="O21536" s="20" t="str">
        <f>IF(N21536="","",COUNTIFS(RawData[[Date ]],N21536,RawData[Month List],$Q$6,RawData[Tour/Site],$Q$2,RawData[[Picker ID ]],$Q$3,RawData[Checker ID],$Q$4,RawData[[Error Type ]],$Q$5))</f>
        <v/>
      </c>
    </row>
    <row r="21537" spans="15:15" x14ac:dyDescent="0.25">
      <c r="O21537" s="20" t="str">
        <f>IF(N21537="","",COUNTIFS(RawData[[Date ]],N21537,RawData[Month List],$Q$6,RawData[Tour/Site],$Q$2,RawData[[Picker ID ]],$Q$3,RawData[Checker ID],$Q$4,RawData[[Error Type ]],$Q$5))</f>
        <v/>
      </c>
    </row>
    <row r="21538" spans="15:15" x14ac:dyDescent="0.25">
      <c r="O21538" s="20" t="str">
        <f>IF(N21538="","",COUNTIFS(RawData[[Date ]],N21538,RawData[Month List],$Q$6,RawData[Tour/Site],$Q$2,RawData[[Picker ID ]],$Q$3,RawData[Checker ID],$Q$4,RawData[[Error Type ]],$Q$5))</f>
        <v/>
      </c>
    </row>
    <row r="21539" spans="15:15" x14ac:dyDescent="0.25">
      <c r="O21539" s="20" t="str">
        <f>IF(N21539="","",COUNTIFS(RawData[[Date ]],N21539,RawData[Month List],$Q$6,RawData[Tour/Site],$Q$2,RawData[[Picker ID ]],$Q$3,RawData[Checker ID],$Q$4,RawData[[Error Type ]],$Q$5))</f>
        <v/>
      </c>
    </row>
    <row r="21540" spans="15:15" x14ac:dyDescent="0.25">
      <c r="O21540" s="20" t="str">
        <f>IF(N21540="","",COUNTIFS(RawData[[Date ]],N21540,RawData[Month List],$Q$6,RawData[Tour/Site],$Q$2,RawData[[Picker ID ]],$Q$3,RawData[Checker ID],$Q$4,RawData[[Error Type ]],$Q$5))</f>
        <v/>
      </c>
    </row>
    <row r="21541" spans="15:15" x14ac:dyDescent="0.25">
      <c r="O21541" s="20" t="str">
        <f>IF(N21541="","",COUNTIFS(RawData[[Date ]],N21541,RawData[Month List],$Q$6,RawData[Tour/Site],$Q$2,RawData[[Picker ID ]],$Q$3,RawData[Checker ID],$Q$4,RawData[[Error Type ]],$Q$5))</f>
        <v/>
      </c>
    </row>
    <row r="21542" spans="15:15" x14ac:dyDescent="0.25">
      <c r="O21542" s="20" t="str">
        <f>IF(N21542="","",COUNTIFS(RawData[[Date ]],N21542,RawData[Month List],$Q$6,RawData[Tour/Site],$Q$2,RawData[[Picker ID ]],$Q$3,RawData[Checker ID],$Q$4,RawData[[Error Type ]],$Q$5))</f>
        <v/>
      </c>
    </row>
    <row r="21543" spans="15:15" x14ac:dyDescent="0.25">
      <c r="O21543" s="20" t="str">
        <f>IF(N21543="","",COUNTIFS(RawData[[Date ]],N21543,RawData[Month List],$Q$6,RawData[Tour/Site],$Q$2,RawData[[Picker ID ]],$Q$3,RawData[Checker ID],$Q$4,RawData[[Error Type ]],$Q$5))</f>
        <v/>
      </c>
    </row>
    <row r="21544" spans="15:15" x14ac:dyDescent="0.25">
      <c r="O21544" s="20" t="str">
        <f>IF(N21544="","",COUNTIFS(RawData[[Date ]],N21544,RawData[Month List],$Q$6,RawData[Tour/Site],$Q$2,RawData[[Picker ID ]],$Q$3,RawData[Checker ID],$Q$4,RawData[[Error Type ]],$Q$5))</f>
        <v/>
      </c>
    </row>
    <row r="21545" spans="15:15" x14ac:dyDescent="0.25">
      <c r="O21545" s="20" t="str">
        <f>IF(N21545="","",COUNTIFS(RawData[[Date ]],N21545,RawData[Month List],$Q$6,RawData[Tour/Site],$Q$2,RawData[[Picker ID ]],$Q$3,RawData[Checker ID],$Q$4,RawData[[Error Type ]],$Q$5))</f>
        <v/>
      </c>
    </row>
    <row r="21546" spans="15:15" x14ac:dyDescent="0.25">
      <c r="O21546" s="20" t="str">
        <f>IF(N21546="","",COUNTIFS(RawData[[Date ]],N21546,RawData[Month List],$Q$6,RawData[Tour/Site],$Q$2,RawData[[Picker ID ]],$Q$3,RawData[Checker ID],$Q$4,RawData[[Error Type ]],$Q$5))</f>
        <v/>
      </c>
    </row>
    <row r="21547" spans="15:15" x14ac:dyDescent="0.25">
      <c r="O21547" s="20" t="str">
        <f>IF(N21547="","",COUNTIFS(RawData[[Date ]],N21547,RawData[Month List],$Q$6,RawData[Tour/Site],$Q$2,RawData[[Picker ID ]],$Q$3,RawData[Checker ID],$Q$4,RawData[[Error Type ]],$Q$5))</f>
        <v/>
      </c>
    </row>
    <row r="21548" spans="15:15" x14ac:dyDescent="0.25">
      <c r="O21548" s="20" t="str">
        <f>IF(N21548="","",COUNTIFS(RawData[[Date ]],N21548,RawData[Month List],$Q$6,RawData[Tour/Site],$Q$2,RawData[[Picker ID ]],$Q$3,RawData[Checker ID],$Q$4,RawData[[Error Type ]],$Q$5))</f>
        <v/>
      </c>
    </row>
    <row r="21549" spans="15:15" x14ac:dyDescent="0.25">
      <c r="O21549" s="20" t="str">
        <f>IF(N21549="","",COUNTIFS(RawData[[Date ]],N21549,RawData[Month List],$Q$6,RawData[Tour/Site],$Q$2,RawData[[Picker ID ]],$Q$3,RawData[Checker ID],$Q$4,RawData[[Error Type ]],$Q$5))</f>
        <v/>
      </c>
    </row>
    <row r="21550" spans="15:15" x14ac:dyDescent="0.25">
      <c r="O21550" s="20" t="str">
        <f>IF(N21550="","",COUNTIFS(RawData[[Date ]],N21550,RawData[Month List],$Q$6,RawData[Tour/Site],$Q$2,RawData[[Picker ID ]],$Q$3,RawData[Checker ID],$Q$4,RawData[[Error Type ]],$Q$5))</f>
        <v/>
      </c>
    </row>
    <row r="21551" spans="15:15" x14ac:dyDescent="0.25">
      <c r="O21551" s="20" t="str">
        <f>IF(N21551="","",COUNTIFS(RawData[[Date ]],N21551,RawData[Month List],$Q$6,RawData[Tour/Site],$Q$2,RawData[[Picker ID ]],$Q$3,RawData[Checker ID],$Q$4,RawData[[Error Type ]],$Q$5))</f>
        <v/>
      </c>
    </row>
    <row r="21552" spans="15:15" x14ac:dyDescent="0.25">
      <c r="O21552" s="20" t="str">
        <f>IF(N21552="","",COUNTIFS(RawData[[Date ]],N21552,RawData[Month List],$Q$6,RawData[Tour/Site],$Q$2,RawData[[Picker ID ]],$Q$3,RawData[Checker ID],$Q$4,RawData[[Error Type ]],$Q$5))</f>
        <v/>
      </c>
    </row>
    <row r="21553" spans="15:15" x14ac:dyDescent="0.25">
      <c r="O21553" s="20" t="str">
        <f>IF(N21553="","",COUNTIFS(RawData[[Date ]],N21553,RawData[Month List],$Q$6,RawData[Tour/Site],$Q$2,RawData[[Picker ID ]],$Q$3,RawData[Checker ID],$Q$4,RawData[[Error Type ]],$Q$5))</f>
        <v/>
      </c>
    </row>
    <row r="21554" spans="15:15" x14ac:dyDescent="0.25">
      <c r="O21554" s="20" t="str">
        <f>IF(N21554="","",COUNTIFS(RawData[[Date ]],N21554,RawData[Month List],$Q$6,RawData[Tour/Site],$Q$2,RawData[[Picker ID ]],$Q$3,RawData[Checker ID],$Q$4,RawData[[Error Type ]],$Q$5))</f>
        <v/>
      </c>
    </row>
    <row r="21555" spans="15:15" x14ac:dyDescent="0.25">
      <c r="O21555" s="20" t="str">
        <f>IF(N21555="","",COUNTIFS(RawData[[Date ]],N21555,RawData[Month List],$Q$6,RawData[Tour/Site],$Q$2,RawData[[Picker ID ]],$Q$3,RawData[Checker ID],$Q$4,RawData[[Error Type ]],$Q$5))</f>
        <v/>
      </c>
    </row>
    <row r="21556" spans="15:15" x14ac:dyDescent="0.25">
      <c r="O21556" s="20" t="str">
        <f>IF(N21556="","",COUNTIFS(RawData[[Date ]],N21556,RawData[Month List],$Q$6,RawData[Tour/Site],$Q$2,RawData[[Picker ID ]],$Q$3,RawData[Checker ID],$Q$4,RawData[[Error Type ]],$Q$5))</f>
        <v/>
      </c>
    </row>
    <row r="21557" spans="15:15" x14ac:dyDescent="0.25">
      <c r="O21557" s="20" t="str">
        <f>IF(N21557="","",COUNTIFS(RawData[[Date ]],N21557,RawData[Month List],$Q$6,RawData[Tour/Site],$Q$2,RawData[[Picker ID ]],$Q$3,RawData[Checker ID],$Q$4,RawData[[Error Type ]],$Q$5))</f>
        <v/>
      </c>
    </row>
    <row r="21558" spans="15:15" x14ac:dyDescent="0.25">
      <c r="O21558" s="20" t="str">
        <f>IF(N21558="","",COUNTIFS(RawData[[Date ]],N21558,RawData[Month List],$Q$6,RawData[Tour/Site],$Q$2,RawData[[Picker ID ]],$Q$3,RawData[Checker ID],$Q$4,RawData[[Error Type ]],$Q$5))</f>
        <v/>
      </c>
    </row>
    <row r="21559" spans="15:15" x14ac:dyDescent="0.25">
      <c r="O21559" s="20" t="str">
        <f>IF(N21559="","",COUNTIFS(RawData[[Date ]],N21559,RawData[Month List],$Q$6,RawData[Tour/Site],$Q$2,RawData[[Picker ID ]],$Q$3,RawData[Checker ID],$Q$4,RawData[[Error Type ]],$Q$5))</f>
        <v/>
      </c>
    </row>
    <row r="21560" spans="15:15" x14ac:dyDescent="0.25">
      <c r="O21560" s="20" t="str">
        <f>IF(N21560="","",COUNTIFS(RawData[[Date ]],N21560,RawData[Month List],$Q$6,RawData[Tour/Site],$Q$2,RawData[[Picker ID ]],$Q$3,RawData[Checker ID],$Q$4,RawData[[Error Type ]],$Q$5))</f>
        <v/>
      </c>
    </row>
    <row r="21561" spans="15:15" x14ac:dyDescent="0.25">
      <c r="O21561" s="20" t="str">
        <f>IF(N21561="","",COUNTIFS(RawData[[Date ]],N21561,RawData[Month List],$Q$6,RawData[Tour/Site],$Q$2,RawData[[Picker ID ]],$Q$3,RawData[Checker ID],$Q$4,RawData[[Error Type ]],$Q$5))</f>
        <v/>
      </c>
    </row>
    <row r="21562" spans="15:15" x14ac:dyDescent="0.25">
      <c r="O21562" s="20" t="str">
        <f>IF(N21562="","",COUNTIFS(RawData[[Date ]],N21562,RawData[Month List],$Q$6,RawData[Tour/Site],$Q$2,RawData[[Picker ID ]],$Q$3,RawData[Checker ID],$Q$4,RawData[[Error Type ]],$Q$5))</f>
        <v/>
      </c>
    </row>
    <row r="21563" spans="15:15" x14ac:dyDescent="0.25">
      <c r="O21563" s="20" t="str">
        <f>IF(N21563="","",COUNTIFS(RawData[[Date ]],N21563,RawData[Month List],$Q$6,RawData[Tour/Site],$Q$2,RawData[[Picker ID ]],$Q$3,RawData[Checker ID],$Q$4,RawData[[Error Type ]],$Q$5))</f>
        <v/>
      </c>
    </row>
    <row r="21564" spans="15:15" x14ac:dyDescent="0.25">
      <c r="O21564" s="20" t="str">
        <f>IF(N21564="","",COUNTIFS(RawData[[Date ]],N21564,RawData[Month List],$Q$6,RawData[Tour/Site],$Q$2,RawData[[Picker ID ]],$Q$3,RawData[Checker ID],$Q$4,RawData[[Error Type ]],$Q$5))</f>
        <v/>
      </c>
    </row>
    <row r="21565" spans="15:15" x14ac:dyDescent="0.25">
      <c r="O21565" s="20" t="str">
        <f>IF(N21565="","",COUNTIFS(RawData[[Date ]],N21565,RawData[Month List],$Q$6,RawData[Tour/Site],$Q$2,RawData[[Picker ID ]],$Q$3,RawData[Checker ID],$Q$4,RawData[[Error Type ]],$Q$5))</f>
        <v/>
      </c>
    </row>
    <row r="21566" spans="15:15" x14ac:dyDescent="0.25">
      <c r="O21566" s="20" t="str">
        <f>IF(N21566="","",COUNTIFS(RawData[[Date ]],N21566,RawData[Month List],$Q$6,RawData[Tour/Site],$Q$2,RawData[[Picker ID ]],$Q$3,RawData[Checker ID],$Q$4,RawData[[Error Type ]],$Q$5))</f>
        <v/>
      </c>
    </row>
    <row r="21567" spans="15:15" x14ac:dyDescent="0.25">
      <c r="O21567" s="20" t="str">
        <f>IF(N21567="","",COUNTIFS(RawData[[Date ]],N21567,RawData[Month List],$Q$6,RawData[Tour/Site],$Q$2,RawData[[Picker ID ]],$Q$3,RawData[Checker ID],$Q$4,RawData[[Error Type ]],$Q$5))</f>
        <v/>
      </c>
    </row>
    <row r="21568" spans="15:15" x14ac:dyDescent="0.25">
      <c r="O21568" s="20" t="str">
        <f>IF(N21568="","",COUNTIFS(RawData[[Date ]],N21568,RawData[Month List],$Q$6,RawData[Tour/Site],$Q$2,RawData[[Picker ID ]],$Q$3,RawData[Checker ID],$Q$4,RawData[[Error Type ]],$Q$5))</f>
        <v/>
      </c>
    </row>
    <row r="21569" spans="15:15" x14ac:dyDescent="0.25">
      <c r="O21569" s="20" t="str">
        <f>IF(N21569="","",COUNTIFS(RawData[[Date ]],N21569,RawData[Month List],$Q$6,RawData[Tour/Site],$Q$2,RawData[[Picker ID ]],$Q$3,RawData[Checker ID],$Q$4,RawData[[Error Type ]],$Q$5))</f>
        <v/>
      </c>
    </row>
    <row r="21570" spans="15:15" x14ac:dyDescent="0.25">
      <c r="O21570" s="20" t="str">
        <f>IF(N21570="","",COUNTIFS(RawData[[Date ]],N21570,RawData[Month List],$Q$6,RawData[Tour/Site],$Q$2,RawData[[Picker ID ]],$Q$3,RawData[Checker ID],$Q$4,RawData[[Error Type ]],$Q$5))</f>
        <v/>
      </c>
    </row>
    <row r="21571" spans="15:15" x14ac:dyDescent="0.25">
      <c r="O21571" s="20" t="str">
        <f>IF(N21571="","",COUNTIFS(RawData[[Date ]],N21571,RawData[Month List],$Q$6,RawData[Tour/Site],$Q$2,RawData[[Picker ID ]],$Q$3,RawData[Checker ID],$Q$4,RawData[[Error Type ]],$Q$5))</f>
        <v/>
      </c>
    </row>
    <row r="21572" spans="15:15" x14ac:dyDescent="0.25">
      <c r="O21572" s="20" t="str">
        <f>IF(N21572="","",COUNTIFS(RawData[[Date ]],N21572,RawData[Month List],$Q$6,RawData[Tour/Site],$Q$2,RawData[[Picker ID ]],$Q$3,RawData[Checker ID],$Q$4,RawData[[Error Type ]],$Q$5))</f>
        <v/>
      </c>
    </row>
    <row r="21573" spans="15:15" x14ac:dyDescent="0.25">
      <c r="O21573" s="20" t="str">
        <f>IF(N21573="","",COUNTIFS(RawData[[Date ]],N21573,RawData[Month List],$Q$6,RawData[Tour/Site],$Q$2,RawData[[Picker ID ]],$Q$3,RawData[Checker ID],$Q$4,RawData[[Error Type ]],$Q$5))</f>
        <v/>
      </c>
    </row>
    <row r="21574" spans="15:15" x14ac:dyDescent="0.25">
      <c r="O21574" s="20" t="str">
        <f>IF(N21574="","",COUNTIFS(RawData[[Date ]],N21574,RawData[Month List],$Q$6,RawData[Tour/Site],$Q$2,RawData[[Picker ID ]],$Q$3,RawData[Checker ID],$Q$4,RawData[[Error Type ]],$Q$5))</f>
        <v/>
      </c>
    </row>
    <row r="21575" spans="15:15" x14ac:dyDescent="0.25">
      <c r="O21575" s="20" t="str">
        <f>IF(N21575="","",COUNTIFS(RawData[[Date ]],N21575,RawData[Month List],$Q$6,RawData[Tour/Site],$Q$2,RawData[[Picker ID ]],$Q$3,RawData[Checker ID],$Q$4,RawData[[Error Type ]],$Q$5))</f>
        <v/>
      </c>
    </row>
    <row r="21576" spans="15:15" x14ac:dyDescent="0.25">
      <c r="O21576" s="20" t="str">
        <f>IF(N21576="","",COUNTIFS(RawData[[Date ]],N21576,RawData[Month List],$Q$6,RawData[Tour/Site],$Q$2,RawData[[Picker ID ]],$Q$3,RawData[Checker ID],$Q$4,RawData[[Error Type ]],$Q$5))</f>
        <v/>
      </c>
    </row>
    <row r="21577" spans="15:15" x14ac:dyDescent="0.25">
      <c r="O21577" s="20" t="str">
        <f>IF(N21577="","",COUNTIFS(RawData[[Date ]],N21577,RawData[Month List],$Q$6,RawData[Tour/Site],$Q$2,RawData[[Picker ID ]],$Q$3,RawData[Checker ID],$Q$4,RawData[[Error Type ]],$Q$5))</f>
        <v/>
      </c>
    </row>
    <row r="21578" spans="15:15" x14ac:dyDescent="0.25">
      <c r="O21578" s="20" t="str">
        <f>IF(N21578="","",COUNTIFS(RawData[[Date ]],N21578,RawData[Month List],$Q$6,RawData[Tour/Site],$Q$2,RawData[[Picker ID ]],$Q$3,RawData[Checker ID],$Q$4,RawData[[Error Type ]],$Q$5))</f>
        <v/>
      </c>
    </row>
    <row r="21579" spans="15:15" x14ac:dyDescent="0.25">
      <c r="O21579" s="20" t="str">
        <f>IF(N21579="","",COUNTIFS(RawData[[Date ]],N21579,RawData[Month List],$Q$6,RawData[Tour/Site],$Q$2,RawData[[Picker ID ]],$Q$3,RawData[Checker ID],$Q$4,RawData[[Error Type ]],$Q$5))</f>
        <v/>
      </c>
    </row>
    <row r="21580" spans="15:15" x14ac:dyDescent="0.25">
      <c r="O21580" s="20" t="str">
        <f>IF(N21580="","",COUNTIFS(RawData[[Date ]],N21580,RawData[Month List],$Q$6,RawData[Tour/Site],$Q$2,RawData[[Picker ID ]],$Q$3,RawData[Checker ID],$Q$4,RawData[[Error Type ]],$Q$5))</f>
        <v/>
      </c>
    </row>
    <row r="21581" spans="15:15" x14ac:dyDescent="0.25">
      <c r="O21581" s="20" t="str">
        <f>IF(N21581="","",COUNTIFS(RawData[[Date ]],N21581,RawData[Month List],$Q$6,RawData[Tour/Site],$Q$2,RawData[[Picker ID ]],$Q$3,RawData[Checker ID],$Q$4,RawData[[Error Type ]],$Q$5))</f>
        <v/>
      </c>
    </row>
    <row r="21582" spans="15:15" x14ac:dyDescent="0.25">
      <c r="O21582" s="20" t="str">
        <f>IF(N21582="","",COUNTIFS(RawData[[Date ]],N21582,RawData[Month List],$Q$6,RawData[Tour/Site],$Q$2,RawData[[Picker ID ]],$Q$3,RawData[Checker ID],$Q$4,RawData[[Error Type ]],$Q$5))</f>
        <v/>
      </c>
    </row>
    <row r="21583" spans="15:15" x14ac:dyDescent="0.25">
      <c r="O21583" s="20" t="str">
        <f>IF(N21583="","",COUNTIFS(RawData[[Date ]],N21583,RawData[Month List],$Q$6,RawData[Tour/Site],$Q$2,RawData[[Picker ID ]],$Q$3,RawData[Checker ID],$Q$4,RawData[[Error Type ]],$Q$5))</f>
        <v/>
      </c>
    </row>
    <row r="21584" spans="15:15" x14ac:dyDescent="0.25">
      <c r="O21584" s="20" t="str">
        <f>IF(N21584="","",COUNTIFS(RawData[[Date ]],N21584,RawData[Month List],$Q$6,RawData[Tour/Site],$Q$2,RawData[[Picker ID ]],$Q$3,RawData[Checker ID],$Q$4,RawData[[Error Type ]],$Q$5))</f>
        <v/>
      </c>
    </row>
    <row r="21585" spans="15:15" x14ac:dyDescent="0.25">
      <c r="O21585" s="20" t="str">
        <f>IF(N21585="","",COUNTIFS(RawData[[Date ]],N21585,RawData[Month List],$Q$6,RawData[Tour/Site],$Q$2,RawData[[Picker ID ]],$Q$3,RawData[Checker ID],$Q$4,RawData[[Error Type ]],$Q$5))</f>
        <v/>
      </c>
    </row>
    <row r="21586" spans="15:15" x14ac:dyDescent="0.25">
      <c r="O21586" s="20" t="str">
        <f>IF(N21586="","",COUNTIFS(RawData[[Date ]],N21586,RawData[Month List],$Q$6,RawData[Tour/Site],$Q$2,RawData[[Picker ID ]],$Q$3,RawData[Checker ID],$Q$4,RawData[[Error Type ]],$Q$5))</f>
        <v/>
      </c>
    </row>
    <row r="21587" spans="15:15" x14ac:dyDescent="0.25">
      <c r="O21587" s="20" t="str">
        <f>IF(N21587="","",COUNTIFS(RawData[[Date ]],N21587,RawData[Month List],$Q$6,RawData[Tour/Site],$Q$2,RawData[[Picker ID ]],$Q$3,RawData[Checker ID],$Q$4,RawData[[Error Type ]],$Q$5))</f>
        <v/>
      </c>
    </row>
    <row r="21588" spans="15:15" x14ac:dyDescent="0.25">
      <c r="O21588" s="20" t="str">
        <f>IF(N21588="","",COUNTIFS(RawData[[Date ]],N21588,RawData[Month List],$Q$6,RawData[Tour/Site],$Q$2,RawData[[Picker ID ]],$Q$3,RawData[Checker ID],$Q$4,RawData[[Error Type ]],$Q$5))</f>
        <v/>
      </c>
    </row>
    <row r="21589" spans="15:15" x14ac:dyDescent="0.25">
      <c r="O21589" s="20" t="str">
        <f>IF(N21589="","",COUNTIFS(RawData[[Date ]],N21589,RawData[Month List],$Q$6,RawData[Tour/Site],$Q$2,RawData[[Picker ID ]],$Q$3,RawData[Checker ID],$Q$4,RawData[[Error Type ]],$Q$5))</f>
        <v/>
      </c>
    </row>
    <row r="21590" spans="15:15" x14ac:dyDescent="0.25">
      <c r="O21590" s="20" t="str">
        <f>IF(N21590="","",COUNTIFS(RawData[[Date ]],N21590,RawData[Month List],$Q$6,RawData[Tour/Site],$Q$2,RawData[[Picker ID ]],$Q$3,RawData[Checker ID],$Q$4,RawData[[Error Type ]],$Q$5))</f>
        <v/>
      </c>
    </row>
    <row r="21591" spans="15:15" x14ac:dyDescent="0.25">
      <c r="O21591" s="20" t="str">
        <f>IF(N21591="","",COUNTIFS(RawData[[Date ]],N21591,RawData[Month List],$Q$6,RawData[Tour/Site],$Q$2,RawData[[Picker ID ]],$Q$3,RawData[Checker ID],$Q$4,RawData[[Error Type ]],$Q$5))</f>
        <v/>
      </c>
    </row>
    <row r="21592" spans="15:15" x14ac:dyDescent="0.25">
      <c r="O21592" s="20" t="str">
        <f>IF(N21592="","",COUNTIFS(RawData[[Date ]],N21592,RawData[Month List],$Q$6,RawData[Tour/Site],$Q$2,RawData[[Picker ID ]],$Q$3,RawData[Checker ID],$Q$4,RawData[[Error Type ]],$Q$5))</f>
        <v/>
      </c>
    </row>
    <row r="21593" spans="15:15" x14ac:dyDescent="0.25">
      <c r="O21593" s="20" t="str">
        <f>IF(N21593="","",COUNTIFS(RawData[[Date ]],N21593,RawData[Month List],$Q$6,RawData[Tour/Site],$Q$2,RawData[[Picker ID ]],$Q$3,RawData[Checker ID],$Q$4,RawData[[Error Type ]],$Q$5))</f>
        <v/>
      </c>
    </row>
    <row r="21594" spans="15:15" x14ac:dyDescent="0.25">
      <c r="O21594" s="20" t="str">
        <f>IF(N21594="","",COUNTIFS(RawData[[Date ]],N21594,RawData[Month List],$Q$6,RawData[Tour/Site],$Q$2,RawData[[Picker ID ]],$Q$3,RawData[Checker ID],$Q$4,RawData[[Error Type ]],$Q$5))</f>
        <v/>
      </c>
    </row>
    <row r="21595" spans="15:15" x14ac:dyDescent="0.25">
      <c r="O21595" s="20" t="str">
        <f>IF(N21595="","",COUNTIFS(RawData[[Date ]],N21595,RawData[Month List],$Q$6,RawData[Tour/Site],$Q$2,RawData[[Picker ID ]],$Q$3,RawData[Checker ID],$Q$4,RawData[[Error Type ]],$Q$5))</f>
        <v/>
      </c>
    </row>
    <row r="21596" spans="15:15" x14ac:dyDescent="0.25">
      <c r="O21596" s="20" t="str">
        <f>IF(N21596="","",COUNTIFS(RawData[[Date ]],N21596,RawData[Month List],$Q$6,RawData[Tour/Site],$Q$2,RawData[[Picker ID ]],$Q$3,RawData[Checker ID],$Q$4,RawData[[Error Type ]],$Q$5))</f>
        <v/>
      </c>
    </row>
    <row r="21597" spans="15:15" x14ac:dyDescent="0.25">
      <c r="O21597" s="20" t="str">
        <f>IF(N21597="","",COUNTIFS(RawData[[Date ]],N21597,RawData[Month List],$Q$6,RawData[Tour/Site],$Q$2,RawData[[Picker ID ]],$Q$3,RawData[Checker ID],$Q$4,RawData[[Error Type ]],$Q$5))</f>
        <v/>
      </c>
    </row>
    <row r="21598" spans="15:15" x14ac:dyDescent="0.25">
      <c r="O21598" s="20" t="str">
        <f>IF(N21598="","",COUNTIFS(RawData[[Date ]],N21598,RawData[Month List],$Q$6,RawData[Tour/Site],$Q$2,RawData[[Picker ID ]],$Q$3,RawData[Checker ID],$Q$4,RawData[[Error Type ]],$Q$5))</f>
        <v/>
      </c>
    </row>
    <row r="21599" spans="15:15" x14ac:dyDescent="0.25">
      <c r="O21599" s="20" t="str">
        <f>IF(N21599="","",COUNTIFS(RawData[[Date ]],N21599,RawData[Month List],$Q$6,RawData[Tour/Site],$Q$2,RawData[[Picker ID ]],$Q$3,RawData[Checker ID],$Q$4,RawData[[Error Type ]],$Q$5))</f>
        <v/>
      </c>
    </row>
    <row r="21600" spans="15:15" x14ac:dyDescent="0.25">
      <c r="O21600" s="20" t="str">
        <f>IF(N21600="","",COUNTIFS(RawData[[Date ]],N21600,RawData[Month List],$Q$6,RawData[Tour/Site],$Q$2,RawData[[Picker ID ]],$Q$3,RawData[Checker ID],$Q$4,RawData[[Error Type ]],$Q$5))</f>
        <v/>
      </c>
    </row>
    <row r="21601" spans="15:15" x14ac:dyDescent="0.25">
      <c r="O21601" s="20" t="str">
        <f>IF(N21601="","",COUNTIFS(RawData[[Date ]],N21601,RawData[Month List],$Q$6,RawData[Tour/Site],$Q$2,RawData[[Picker ID ]],$Q$3,RawData[Checker ID],$Q$4,RawData[[Error Type ]],$Q$5))</f>
        <v/>
      </c>
    </row>
    <row r="21602" spans="15:15" x14ac:dyDescent="0.25">
      <c r="O21602" s="20" t="str">
        <f>IF(N21602="","",COUNTIFS(RawData[[Date ]],N21602,RawData[Month List],$Q$6,RawData[Tour/Site],$Q$2,RawData[[Picker ID ]],$Q$3,RawData[Checker ID],$Q$4,RawData[[Error Type ]],$Q$5))</f>
        <v/>
      </c>
    </row>
    <row r="21603" spans="15:15" x14ac:dyDescent="0.25">
      <c r="O21603" s="20" t="str">
        <f>IF(N21603="","",COUNTIFS(RawData[[Date ]],N21603,RawData[Month List],$Q$6,RawData[Tour/Site],$Q$2,RawData[[Picker ID ]],$Q$3,RawData[Checker ID],$Q$4,RawData[[Error Type ]],$Q$5))</f>
        <v/>
      </c>
    </row>
    <row r="21604" spans="15:15" x14ac:dyDescent="0.25">
      <c r="O21604" s="20" t="str">
        <f>IF(N21604="","",COUNTIFS(RawData[[Date ]],N21604,RawData[Month List],$Q$6,RawData[Tour/Site],$Q$2,RawData[[Picker ID ]],$Q$3,RawData[Checker ID],$Q$4,RawData[[Error Type ]],$Q$5))</f>
        <v/>
      </c>
    </row>
    <row r="21605" spans="15:15" x14ac:dyDescent="0.25">
      <c r="O21605" s="20" t="str">
        <f>IF(N21605="","",COUNTIFS(RawData[[Date ]],N21605,RawData[Month List],$Q$6,RawData[Tour/Site],$Q$2,RawData[[Picker ID ]],$Q$3,RawData[Checker ID],$Q$4,RawData[[Error Type ]],$Q$5))</f>
        <v/>
      </c>
    </row>
    <row r="21606" spans="15:15" x14ac:dyDescent="0.25">
      <c r="O21606" s="20" t="str">
        <f>IF(N21606="","",COUNTIFS(RawData[[Date ]],N21606,RawData[Month List],$Q$6,RawData[Tour/Site],$Q$2,RawData[[Picker ID ]],$Q$3,RawData[Checker ID],$Q$4,RawData[[Error Type ]],$Q$5))</f>
        <v/>
      </c>
    </row>
    <row r="21607" spans="15:15" x14ac:dyDescent="0.25">
      <c r="O21607" s="20" t="str">
        <f>IF(N21607="","",COUNTIFS(RawData[[Date ]],N21607,RawData[Month List],$Q$6,RawData[Tour/Site],$Q$2,RawData[[Picker ID ]],$Q$3,RawData[Checker ID],$Q$4,RawData[[Error Type ]],$Q$5))</f>
        <v/>
      </c>
    </row>
    <row r="21608" spans="15:15" x14ac:dyDescent="0.25">
      <c r="O21608" s="20" t="str">
        <f>IF(N21608="","",COUNTIFS(RawData[[Date ]],N21608,RawData[Month List],$Q$6,RawData[Tour/Site],$Q$2,RawData[[Picker ID ]],$Q$3,RawData[Checker ID],$Q$4,RawData[[Error Type ]],$Q$5))</f>
        <v/>
      </c>
    </row>
    <row r="21609" spans="15:15" x14ac:dyDescent="0.25">
      <c r="O21609" s="20" t="str">
        <f>IF(N21609="","",COUNTIFS(RawData[[Date ]],N21609,RawData[Month List],$Q$6,RawData[Tour/Site],$Q$2,RawData[[Picker ID ]],$Q$3,RawData[Checker ID],$Q$4,RawData[[Error Type ]],$Q$5))</f>
        <v/>
      </c>
    </row>
    <row r="21610" spans="15:15" x14ac:dyDescent="0.25">
      <c r="O21610" s="20" t="str">
        <f>IF(N21610="","",COUNTIFS(RawData[[Date ]],N21610,RawData[Month List],$Q$6,RawData[Tour/Site],$Q$2,RawData[[Picker ID ]],$Q$3,RawData[Checker ID],$Q$4,RawData[[Error Type ]],$Q$5))</f>
        <v/>
      </c>
    </row>
    <row r="21611" spans="15:15" x14ac:dyDescent="0.25">
      <c r="O21611" s="20" t="str">
        <f>IF(N21611="","",COUNTIFS(RawData[[Date ]],N21611,RawData[Month List],$Q$6,RawData[Tour/Site],$Q$2,RawData[[Picker ID ]],$Q$3,RawData[Checker ID],$Q$4,RawData[[Error Type ]],$Q$5))</f>
        <v/>
      </c>
    </row>
    <row r="21612" spans="15:15" x14ac:dyDescent="0.25">
      <c r="O21612" s="20" t="str">
        <f>IF(N21612="","",COUNTIFS(RawData[[Date ]],N21612,RawData[Month List],$Q$6,RawData[Tour/Site],$Q$2,RawData[[Picker ID ]],$Q$3,RawData[Checker ID],$Q$4,RawData[[Error Type ]],$Q$5))</f>
        <v/>
      </c>
    </row>
    <row r="21613" spans="15:15" x14ac:dyDescent="0.25">
      <c r="O21613" s="20" t="str">
        <f>IF(N21613="","",COUNTIFS(RawData[[Date ]],N21613,RawData[Month List],$Q$6,RawData[Tour/Site],$Q$2,RawData[[Picker ID ]],$Q$3,RawData[Checker ID],$Q$4,RawData[[Error Type ]],$Q$5))</f>
        <v/>
      </c>
    </row>
    <row r="21614" spans="15:15" x14ac:dyDescent="0.25">
      <c r="O21614" s="20" t="str">
        <f>IF(N21614="","",COUNTIFS(RawData[[Date ]],N21614,RawData[Month List],$Q$6,RawData[Tour/Site],$Q$2,RawData[[Picker ID ]],$Q$3,RawData[Checker ID],$Q$4,RawData[[Error Type ]],$Q$5))</f>
        <v/>
      </c>
    </row>
    <row r="21615" spans="15:15" x14ac:dyDescent="0.25">
      <c r="O21615" s="20" t="str">
        <f>IF(N21615="","",COUNTIFS(RawData[[Date ]],N21615,RawData[Month List],$Q$6,RawData[Tour/Site],$Q$2,RawData[[Picker ID ]],$Q$3,RawData[Checker ID],$Q$4,RawData[[Error Type ]],$Q$5))</f>
        <v/>
      </c>
    </row>
    <row r="21616" spans="15:15" x14ac:dyDescent="0.25">
      <c r="O21616" s="20" t="str">
        <f>IF(N21616="","",COUNTIFS(RawData[[Date ]],N21616,RawData[Month List],$Q$6,RawData[Tour/Site],$Q$2,RawData[[Picker ID ]],$Q$3,RawData[Checker ID],$Q$4,RawData[[Error Type ]],$Q$5))</f>
        <v/>
      </c>
    </row>
    <row r="21617" spans="15:15" x14ac:dyDescent="0.25">
      <c r="O21617" s="20" t="str">
        <f>IF(N21617="","",COUNTIFS(RawData[[Date ]],N21617,RawData[Month List],$Q$6,RawData[Tour/Site],$Q$2,RawData[[Picker ID ]],$Q$3,RawData[Checker ID],$Q$4,RawData[[Error Type ]],$Q$5))</f>
        <v/>
      </c>
    </row>
    <row r="21618" spans="15:15" x14ac:dyDescent="0.25">
      <c r="O21618" s="20" t="str">
        <f>IF(N21618="","",COUNTIFS(RawData[[Date ]],N21618,RawData[Month List],$Q$6,RawData[Tour/Site],$Q$2,RawData[[Picker ID ]],$Q$3,RawData[Checker ID],$Q$4,RawData[[Error Type ]],$Q$5))</f>
        <v/>
      </c>
    </row>
    <row r="21619" spans="15:15" x14ac:dyDescent="0.25">
      <c r="O21619" s="20" t="str">
        <f>IF(N21619="","",COUNTIFS(RawData[[Date ]],N21619,RawData[Month List],$Q$6,RawData[Tour/Site],$Q$2,RawData[[Picker ID ]],$Q$3,RawData[Checker ID],$Q$4,RawData[[Error Type ]],$Q$5))</f>
        <v/>
      </c>
    </row>
    <row r="21620" spans="15:15" x14ac:dyDescent="0.25">
      <c r="O21620" s="20" t="str">
        <f>IF(N21620="","",COUNTIFS(RawData[[Date ]],N21620,RawData[Month List],$Q$6,RawData[Tour/Site],$Q$2,RawData[[Picker ID ]],$Q$3,RawData[Checker ID],$Q$4,RawData[[Error Type ]],$Q$5))</f>
        <v/>
      </c>
    </row>
    <row r="21621" spans="15:15" x14ac:dyDescent="0.25">
      <c r="O21621" s="20" t="str">
        <f>IF(N21621="","",COUNTIFS(RawData[[Date ]],N21621,RawData[Month List],$Q$6,RawData[Tour/Site],$Q$2,RawData[[Picker ID ]],$Q$3,RawData[Checker ID],$Q$4,RawData[[Error Type ]],$Q$5))</f>
        <v/>
      </c>
    </row>
    <row r="21622" spans="15:15" x14ac:dyDescent="0.25">
      <c r="O21622" s="20" t="str">
        <f>IF(N21622="","",COUNTIFS(RawData[[Date ]],N21622,RawData[Month List],$Q$6,RawData[Tour/Site],$Q$2,RawData[[Picker ID ]],$Q$3,RawData[Checker ID],$Q$4,RawData[[Error Type ]],$Q$5))</f>
        <v/>
      </c>
    </row>
    <row r="21623" spans="15:15" x14ac:dyDescent="0.25">
      <c r="O21623" s="20" t="str">
        <f>IF(N21623="","",COUNTIFS(RawData[[Date ]],N21623,RawData[Month List],$Q$6,RawData[Tour/Site],$Q$2,RawData[[Picker ID ]],$Q$3,RawData[Checker ID],$Q$4,RawData[[Error Type ]],$Q$5))</f>
        <v/>
      </c>
    </row>
    <row r="21624" spans="15:15" x14ac:dyDescent="0.25">
      <c r="O21624" s="20" t="str">
        <f>IF(N21624="","",COUNTIFS(RawData[[Date ]],N21624,RawData[Month List],$Q$6,RawData[Tour/Site],$Q$2,RawData[[Picker ID ]],$Q$3,RawData[Checker ID],$Q$4,RawData[[Error Type ]],$Q$5))</f>
        <v/>
      </c>
    </row>
    <row r="21625" spans="15:15" x14ac:dyDescent="0.25">
      <c r="O21625" s="20" t="str">
        <f>IF(N21625="","",COUNTIFS(RawData[[Date ]],N21625,RawData[Month List],$Q$6,RawData[Tour/Site],$Q$2,RawData[[Picker ID ]],$Q$3,RawData[Checker ID],$Q$4,RawData[[Error Type ]],$Q$5))</f>
        <v/>
      </c>
    </row>
    <row r="21626" spans="15:15" x14ac:dyDescent="0.25">
      <c r="O21626" s="20" t="str">
        <f>IF(N21626="","",COUNTIFS(RawData[[Date ]],N21626,RawData[Month List],$Q$6,RawData[Tour/Site],$Q$2,RawData[[Picker ID ]],$Q$3,RawData[Checker ID],$Q$4,RawData[[Error Type ]],$Q$5))</f>
        <v/>
      </c>
    </row>
    <row r="21627" spans="15:15" x14ac:dyDescent="0.25">
      <c r="O21627" s="20" t="str">
        <f>IF(N21627="","",COUNTIFS(RawData[[Date ]],N21627,RawData[Month List],$Q$6,RawData[Tour/Site],$Q$2,RawData[[Picker ID ]],$Q$3,RawData[Checker ID],$Q$4,RawData[[Error Type ]],$Q$5))</f>
        <v/>
      </c>
    </row>
    <row r="21628" spans="15:15" x14ac:dyDescent="0.25">
      <c r="O21628" s="20" t="str">
        <f>IF(N21628="","",COUNTIFS(RawData[[Date ]],N21628,RawData[Month List],$Q$6,RawData[Tour/Site],$Q$2,RawData[[Picker ID ]],$Q$3,RawData[Checker ID],$Q$4,RawData[[Error Type ]],$Q$5))</f>
        <v/>
      </c>
    </row>
    <row r="21629" spans="15:15" x14ac:dyDescent="0.25">
      <c r="O21629" s="20" t="str">
        <f>IF(N21629="","",COUNTIFS(RawData[[Date ]],N21629,RawData[Month List],$Q$6,RawData[Tour/Site],$Q$2,RawData[[Picker ID ]],$Q$3,RawData[Checker ID],$Q$4,RawData[[Error Type ]],$Q$5))</f>
        <v/>
      </c>
    </row>
    <row r="21630" spans="15:15" x14ac:dyDescent="0.25">
      <c r="O21630" s="20" t="str">
        <f>IF(N21630="","",COUNTIFS(RawData[[Date ]],N21630,RawData[Month List],$Q$6,RawData[Tour/Site],$Q$2,RawData[[Picker ID ]],$Q$3,RawData[Checker ID],$Q$4,RawData[[Error Type ]],$Q$5))</f>
        <v/>
      </c>
    </row>
    <row r="21631" spans="15:15" x14ac:dyDescent="0.25">
      <c r="O21631" s="20" t="str">
        <f>IF(N21631="","",COUNTIFS(RawData[[Date ]],N21631,RawData[Month List],$Q$6,RawData[Tour/Site],$Q$2,RawData[[Picker ID ]],$Q$3,RawData[Checker ID],$Q$4,RawData[[Error Type ]],$Q$5))</f>
        <v/>
      </c>
    </row>
    <row r="21632" spans="15:15" x14ac:dyDescent="0.25">
      <c r="O21632" s="20" t="str">
        <f>IF(N21632="","",COUNTIFS(RawData[[Date ]],N21632,RawData[Month List],$Q$6,RawData[Tour/Site],$Q$2,RawData[[Picker ID ]],$Q$3,RawData[Checker ID],$Q$4,RawData[[Error Type ]],$Q$5))</f>
        <v/>
      </c>
    </row>
    <row r="21633" spans="15:15" x14ac:dyDescent="0.25">
      <c r="O21633" s="20" t="str">
        <f>IF(N21633="","",COUNTIFS(RawData[[Date ]],N21633,RawData[Month List],$Q$6,RawData[Tour/Site],$Q$2,RawData[[Picker ID ]],$Q$3,RawData[Checker ID],$Q$4,RawData[[Error Type ]],$Q$5))</f>
        <v/>
      </c>
    </row>
    <row r="21634" spans="15:15" x14ac:dyDescent="0.25">
      <c r="O21634" s="20" t="str">
        <f>IF(N21634="","",COUNTIFS(RawData[[Date ]],N21634,RawData[Month List],$Q$6,RawData[Tour/Site],$Q$2,RawData[[Picker ID ]],$Q$3,RawData[Checker ID],$Q$4,RawData[[Error Type ]],$Q$5))</f>
        <v/>
      </c>
    </row>
    <row r="21635" spans="15:15" x14ac:dyDescent="0.25">
      <c r="O21635" s="20" t="str">
        <f>IF(N21635="","",COUNTIFS(RawData[[Date ]],N21635,RawData[Month List],$Q$6,RawData[Tour/Site],$Q$2,RawData[[Picker ID ]],$Q$3,RawData[Checker ID],$Q$4,RawData[[Error Type ]],$Q$5))</f>
        <v/>
      </c>
    </row>
    <row r="21636" spans="15:15" x14ac:dyDescent="0.25">
      <c r="O21636" s="20" t="str">
        <f>IF(N21636="","",COUNTIFS(RawData[[Date ]],N21636,RawData[Month List],$Q$6,RawData[Tour/Site],$Q$2,RawData[[Picker ID ]],$Q$3,RawData[Checker ID],$Q$4,RawData[[Error Type ]],$Q$5))</f>
        <v/>
      </c>
    </row>
    <row r="21637" spans="15:15" x14ac:dyDescent="0.25">
      <c r="O21637" s="20" t="str">
        <f>IF(N21637="","",COUNTIFS(RawData[[Date ]],N21637,RawData[Month List],$Q$6,RawData[Tour/Site],$Q$2,RawData[[Picker ID ]],$Q$3,RawData[Checker ID],$Q$4,RawData[[Error Type ]],$Q$5))</f>
        <v/>
      </c>
    </row>
    <row r="21638" spans="15:15" x14ac:dyDescent="0.25">
      <c r="O21638" s="20" t="str">
        <f>IF(N21638="","",COUNTIFS(RawData[[Date ]],N21638,RawData[Month List],$Q$6,RawData[Tour/Site],$Q$2,RawData[[Picker ID ]],$Q$3,RawData[Checker ID],$Q$4,RawData[[Error Type ]],$Q$5))</f>
        <v/>
      </c>
    </row>
    <row r="21639" spans="15:15" x14ac:dyDescent="0.25">
      <c r="O21639" s="20" t="str">
        <f>IF(N21639="","",COUNTIFS(RawData[[Date ]],N21639,RawData[Month List],$Q$6,RawData[Tour/Site],$Q$2,RawData[[Picker ID ]],$Q$3,RawData[Checker ID],$Q$4,RawData[[Error Type ]],$Q$5))</f>
        <v/>
      </c>
    </row>
    <row r="21640" spans="15:15" x14ac:dyDescent="0.25">
      <c r="O21640" s="20" t="str">
        <f>IF(N21640="","",COUNTIFS(RawData[[Date ]],N21640,RawData[Month List],$Q$6,RawData[Tour/Site],$Q$2,RawData[[Picker ID ]],$Q$3,RawData[Checker ID],$Q$4,RawData[[Error Type ]],$Q$5))</f>
        <v/>
      </c>
    </row>
    <row r="21641" spans="15:15" x14ac:dyDescent="0.25">
      <c r="O21641" s="20" t="str">
        <f>IF(N21641="","",COUNTIFS(RawData[[Date ]],N21641,RawData[Month List],$Q$6,RawData[Tour/Site],$Q$2,RawData[[Picker ID ]],$Q$3,RawData[Checker ID],$Q$4,RawData[[Error Type ]],$Q$5))</f>
        <v/>
      </c>
    </row>
    <row r="21642" spans="15:15" x14ac:dyDescent="0.25">
      <c r="O21642" s="20" t="str">
        <f>IF(N21642="","",COUNTIFS(RawData[[Date ]],N21642,RawData[Month List],$Q$6,RawData[Tour/Site],$Q$2,RawData[[Picker ID ]],$Q$3,RawData[Checker ID],$Q$4,RawData[[Error Type ]],$Q$5))</f>
        <v/>
      </c>
    </row>
    <row r="21643" spans="15:15" x14ac:dyDescent="0.25">
      <c r="O21643" s="20" t="str">
        <f>IF(N21643="","",COUNTIFS(RawData[[Date ]],N21643,RawData[Month List],$Q$6,RawData[Tour/Site],$Q$2,RawData[[Picker ID ]],$Q$3,RawData[Checker ID],$Q$4,RawData[[Error Type ]],$Q$5))</f>
        <v/>
      </c>
    </row>
    <row r="21644" spans="15:15" x14ac:dyDescent="0.25">
      <c r="O21644" s="20" t="str">
        <f>IF(N21644="","",COUNTIFS(RawData[[Date ]],N21644,RawData[Month List],$Q$6,RawData[Tour/Site],$Q$2,RawData[[Picker ID ]],$Q$3,RawData[Checker ID],$Q$4,RawData[[Error Type ]],$Q$5))</f>
        <v/>
      </c>
    </row>
    <row r="21645" spans="15:15" x14ac:dyDescent="0.25">
      <c r="O21645" s="20" t="str">
        <f>IF(N21645="","",COUNTIFS(RawData[[Date ]],N21645,RawData[Month List],$Q$6,RawData[Tour/Site],$Q$2,RawData[[Picker ID ]],$Q$3,RawData[Checker ID],$Q$4,RawData[[Error Type ]],$Q$5))</f>
        <v/>
      </c>
    </row>
    <row r="21646" spans="15:15" x14ac:dyDescent="0.25">
      <c r="O21646" s="20" t="str">
        <f>IF(N21646="","",COUNTIFS(RawData[[Date ]],N21646,RawData[Month List],$Q$6,RawData[Tour/Site],$Q$2,RawData[[Picker ID ]],$Q$3,RawData[Checker ID],$Q$4,RawData[[Error Type ]],$Q$5))</f>
        <v/>
      </c>
    </row>
    <row r="21647" spans="15:15" x14ac:dyDescent="0.25">
      <c r="O21647" s="20" t="str">
        <f>IF(N21647="","",COUNTIFS(RawData[[Date ]],N21647,RawData[Month List],$Q$6,RawData[Tour/Site],$Q$2,RawData[[Picker ID ]],$Q$3,RawData[Checker ID],$Q$4,RawData[[Error Type ]],$Q$5))</f>
        <v/>
      </c>
    </row>
    <row r="21648" spans="15:15" x14ac:dyDescent="0.25">
      <c r="O21648" s="20" t="str">
        <f>IF(N21648="","",COUNTIFS(RawData[[Date ]],N21648,RawData[Month List],$Q$6,RawData[Tour/Site],$Q$2,RawData[[Picker ID ]],$Q$3,RawData[Checker ID],$Q$4,RawData[[Error Type ]],$Q$5))</f>
        <v/>
      </c>
    </row>
    <row r="21649" spans="15:15" x14ac:dyDescent="0.25">
      <c r="O21649" s="20" t="str">
        <f>IF(N21649="","",COUNTIFS(RawData[[Date ]],N21649,RawData[Month List],$Q$6,RawData[Tour/Site],$Q$2,RawData[[Picker ID ]],$Q$3,RawData[Checker ID],$Q$4,RawData[[Error Type ]],$Q$5))</f>
        <v/>
      </c>
    </row>
    <row r="21650" spans="15:15" x14ac:dyDescent="0.25">
      <c r="O21650" s="20" t="str">
        <f>IF(N21650="","",COUNTIFS(RawData[[Date ]],N21650,RawData[Month List],$Q$6,RawData[Tour/Site],$Q$2,RawData[[Picker ID ]],$Q$3,RawData[Checker ID],$Q$4,RawData[[Error Type ]],$Q$5))</f>
        <v/>
      </c>
    </row>
    <row r="21651" spans="15:15" x14ac:dyDescent="0.25">
      <c r="O21651" s="20" t="str">
        <f>IF(N21651="","",COUNTIFS(RawData[[Date ]],N21651,RawData[Month List],$Q$6,RawData[Tour/Site],$Q$2,RawData[[Picker ID ]],$Q$3,RawData[Checker ID],$Q$4,RawData[[Error Type ]],$Q$5))</f>
        <v/>
      </c>
    </row>
    <row r="21652" spans="15:15" x14ac:dyDescent="0.25">
      <c r="O21652" s="20" t="str">
        <f>IF(N21652="","",COUNTIFS(RawData[[Date ]],N21652,RawData[Month List],$Q$6,RawData[Tour/Site],$Q$2,RawData[[Picker ID ]],$Q$3,RawData[Checker ID],$Q$4,RawData[[Error Type ]],$Q$5))</f>
        <v/>
      </c>
    </row>
    <row r="21653" spans="15:15" x14ac:dyDescent="0.25">
      <c r="O21653" s="20" t="str">
        <f>IF(N21653="","",COUNTIFS(RawData[[Date ]],N21653,RawData[Month List],$Q$6,RawData[Tour/Site],$Q$2,RawData[[Picker ID ]],$Q$3,RawData[Checker ID],$Q$4,RawData[[Error Type ]],$Q$5))</f>
        <v/>
      </c>
    </row>
    <row r="21654" spans="15:15" x14ac:dyDescent="0.25">
      <c r="O21654" s="20" t="str">
        <f>IF(N21654="","",COUNTIFS(RawData[[Date ]],N21654,RawData[Month List],$Q$6,RawData[Tour/Site],$Q$2,RawData[[Picker ID ]],$Q$3,RawData[Checker ID],$Q$4,RawData[[Error Type ]],$Q$5))</f>
        <v/>
      </c>
    </row>
    <row r="21655" spans="15:15" x14ac:dyDescent="0.25">
      <c r="O21655" s="20" t="str">
        <f>IF(N21655="","",COUNTIFS(RawData[[Date ]],N21655,RawData[Month List],$Q$6,RawData[Tour/Site],$Q$2,RawData[[Picker ID ]],$Q$3,RawData[Checker ID],$Q$4,RawData[[Error Type ]],$Q$5))</f>
        <v/>
      </c>
    </row>
    <row r="21656" spans="15:15" x14ac:dyDescent="0.25">
      <c r="O21656" s="20" t="str">
        <f>IF(N21656="","",COUNTIFS(RawData[[Date ]],N21656,RawData[Month List],$Q$6,RawData[Tour/Site],$Q$2,RawData[[Picker ID ]],$Q$3,RawData[Checker ID],$Q$4,RawData[[Error Type ]],$Q$5))</f>
        <v/>
      </c>
    </row>
    <row r="21657" spans="15:15" x14ac:dyDescent="0.25">
      <c r="O21657" s="20" t="str">
        <f>IF(N21657="","",COUNTIFS(RawData[[Date ]],N21657,RawData[Month List],$Q$6,RawData[Tour/Site],$Q$2,RawData[[Picker ID ]],$Q$3,RawData[Checker ID],$Q$4,RawData[[Error Type ]],$Q$5))</f>
        <v/>
      </c>
    </row>
    <row r="21658" spans="15:15" x14ac:dyDescent="0.25">
      <c r="O21658" s="20" t="str">
        <f>IF(N21658="","",COUNTIFS(RawData[[Date ]],N21658,RawData[Month List],$Q$6,RawData[Tour/Site],$Q$2,RawData[[Picker ID ]],$Q$3,RawData[Checker ID],$Q$4,RawData[[Error Type ]],$Q$5))</f>
        <v/>
      </c>
    </row>
    <row r="21659" spans="15:15" x14ac:dyDescent="0.25">
      <c r="O21659" s="20" t="str">
        <f>IF(N21659="","",COUNTIFS(RawData[[Date ]],N21659,RawData[Month List],$Q$6,RawData[Tour/Site],$Q$2,RawData[[Picker ID ]],$Q$3,RawData[Checker ID],$Q$4,RawData[[Error Type ]],$Q$5))</f>
        <v/>
      </c>
    </row>
    <row r="21660" spans="15:15" x14ac:dyDescent="0.25">
      <c r="O21660" s="20" t="str">
        <f>IF(N21660="","",COUNTIFS(RawData[[Date ]],N21660,RawData[Month List],$Q$6,RawData[Tour/Site],$Q$2,RawData[[Picker ID ]],$Q$3,RawData[Checker ID],$Q$4,RawData[[Error Type ]],$Q$5))</f>
        <v/>
      </c>
    </row>
    <row r="21661" spans="15:15" x14ac:dyDescent="0.25">
      <c r="O21661" s="20" t="str">
        <f>IF(N21661="","",COUNTIFS(RawData[[Date ]],N21661,RawData[Month List],$Q$6,RawData[Tour/Site],$Q$2,RawData[[Picker ID ]],$Q$3,RawData[Checker ID],$Q$4,RawData[[Error Type ]],$Q$5))</f>
        <v/>
      </c>
    </row>
    <row r="21662" spans="15:15" x14ac:dyDescent="0.25">
      <c r="O21662" s="20" t="str">
        <f>IF(N21662="","",COUNTIFS(RawData[[Date ]],N21662,RawData[Month List],$Q$6,RawData[Tour/Site],$Q$2,RawData[[Picker ID ]],$Q$3,RawData[Checker ID],$Q$4,RawData[[Error Type ]],$Q$5))</f>
        <v/>
      </c>
    </row>
    <row r="21663" spans="15:15" x14ac:dyDescent="0.25">
      <c r="O21663" s="20" t="str">
        <f>IF(N21663="","",COUNTIFS(RawData[[Date ]],N21663,RawData[Month List],$Q$6,RawData[Tour/Site],$Q$2,RawData[[Picker ID ]],$Q$3,RawData[Checker ID],$Q$4,RawData[[Error Type ]],$Q$5))</f>
        <v/>
      </c>
    </row>
    <row r="21664" spans="15:15" x14ac:dyDescent="0.25">
      <c r="O21664" s="20" t="str">
        <f>IF(N21664="","",COUNTIFS(RawData[[Date ]],N21664,RawData[Month List],$Q$6,RawData[Tour/Site],$Q$2,RawData[[Picker ID ]],$Q$3,RawData[Checker ID],$Q$4,RawData[[Error Type ]],$Q$5))</f>
        <v/>
      </c>
    </row>
    <row r="21665" spans="15:15" x14ac:dyDescent="0.25">
      <c r="O21665" s="20" t="str">
        <f>IF(N21665="","",COUNTIFS(RawData[[Date ]],N21665,RawData[Month List],$Q$6,RawData[Tour/Site],$Q$2,RawData[[Picker ID ]],$Q$3,RawData[Checker ID],$Q$4,RawData[[Error Type ]],$Q$5))</f>
        <v/>
      </c>
    </row>
    <row r="21666" spans="15:15" x14ac:dyDescent="0.25">
      <c r="O21666" s="20" t="str">
        <f>IF(N21666="","",COUNTIFS(RawData[[Date ]],N21666,RawData[Month List],$Q$6,RawData[Tour/Site],$Q$2,RawData[[Picker ID ]],$Q$3,RawData[Checker ID],$Q$4,RawData[[Error Type ]],$Q$5))</f>
        <v/>
      </c>
    </row>
    <row r="21667" spans="15:15" x14ac:dyDescent="0.25">
      <c r="O21667" s="20" t="str">
        <f>IF(N21667="","",COUNTIFS(RawData[[Date ]],N21667,RawData[Month List],$Q$6,RawData[Tour/Site],$Q$2,RawData[[Picker ID ]],$Q$3,RawData[Checker ID],$Q$4,RawData[[Error Type ]],$Q$5))</f>
        <v/>
      </c>
    </row>
    <row r="21668" spans="15:15" x14ac:dyDescent="0.25">
      <c r="O21668" s="20" t="str">
        <f>IF(N21668="","",COUNTIFS(RawData[[Date ]],N21668,RawData[Month List],$Q$6,RawData[Tour/Site],$Q$2,RawData[[Picker ID ]],$Q$3,RawData[Checker ID],$Q$4,RawData[[Error Type ]],$Q$5))</f>
        <v/>
      </c>
    </row>
    <row r="21669" spans="15:15" x14ac:dyDescent="0.25">
      <c r="O21669" s="20" t="str">
        <f>IF(N21669="","",COUNTIFS(RawData[[Date ]],N21669,RawData[Month List],$Q$6,RawData[Tour/Site],$Q$2,RawData[[Picker ID ]],$Q$3,RawData[Checker ID],$Q$4,RawData[[Error Type ]],$Q$5))</f>
        <v/>
      </c>
    </row>
    <row r="21670" spans="15:15" x14ac:dyDescent="0.25">
      <c r="O21670" s="20" t="str">
        <f>IF(N21670="","",COUNTIFS(RawData[[Date ]],N21670,RawData[Month List],$Q$6,RawData[Tour/Site],$Q$2,RawData[[Picker ID ]],$Q$3,RawData[Checker ID],$Q$4,RawData[[Error Type ]],$Q$5))</f>
        <v/>
      </c>
    </row>
    <row r="21671" spans="15:15" x14ac:dyDescent="0.25">
      <c r="O21671" s="20" t="str">
        <f>IF(N21671="","",COUNTIFS(RawData[[Date ]],N21671,RawData[Month List],$Q$6,RawData[Tour/Site],$Q$2,RawData[[Picker ID ]],$Q$3,RawData[Checker ID],$Q$4,RawData[[Error Type ]],$Q$5))</f>
        <v/>
      </c>
    </row>
    <row r="21672" spans="15:15" x14ac:dyDescent="0.25">
      <c r="O21672" s="20" t="str">
        <f>IF(N21672="","",COUNTIFS(RawData[[Date ]],N21672,RawData[Month List],$Q$6,RawData[Tour/Site],$Q$2,RawData[[Picker ID ]],$Q$3,RawData[Checker ID],$Q$4,RawData[[Error Type ]],$Q$5))</f>
        <v/>
      </c>
    </row>
    <row r="21673" spans="15:15" x14ac:dyDescent="0.25">
      <c r="O21673" s="20" t="str">
        <f>IF(N21673="","",COUNTIFS(RawData[[Date ]],N21673,RawData[Month List],$Q$6,RawData[Tour/Site],$Q$2,RawData[[Picker ID ]],$Q$3,RawData[Checker ID],$Q$4,RawData[[Error Type ]],$Q$5))</f>
        <v/>
      </c>
    </row>
    <row r="21674" spans="15:15" x14ac:dyDescent="0.25">
      <c r="O21674" s="20" t="str">
        <f>IF(N21674="","",COUNTIFS(RawData[[Date ]],N21674,RawData[Month List],$Q$6,RawData[Tour/Site],$Q$2,RawData[[Picker ID ]],$Q$3,RawData[Checker ID],$Q$4,RawData[[Error Type ]],$Q$5))</f>
        <v/>
      </c>
    </row>
    <row r="21675" spans="15:15" x14ac:dyDescent="0.25">
      <c r="O21675" s="20" t="str">
        <f>IF(N21675="","",COUNTIFS(RawData[[Date ]],N21675,RawData[Month List],$Q$6,RawData[Tour/Site],$Q$2,RawData[[Picker ID ]],$Q$3,RawData[Checker ID],$Q$4,RawData[[Error Type ]],$Q$5))</f>
        <v/>
      </c>
    </row>
    <row r="21676" spans="15:15" x14ac:dyDescent="0.25">
      <c r="O21676" s="20" t="str">
        <f>IF(N21676="","",COUNTIFS(RawData[[Date ]],N21676,RawData[Month List],$Q$6,RawData[Tour/Site],$Q$2,RawData[[Picker ID ]],$Q$3,RawData[Checker ID],$Q$4,RawData[[Error Type ]],$Q$5))</f>
        <v/>
      </c>
    </row>
    <row r="21677" spans="15:15" x14ac:dyDescent="0.25">
      <c r="O21677" s="20" t="str">
        <f>IF(N21677="","",COUNTIFS(RawData[[Date ]],N21677,RawData[Month List],$Q$6,RawData[Tour/Site],$Q$2,RawData[[Picker ID ]],$Q$3,RawData[Checker ID],$Q$4,RawData[[Error Type ]],$Q$5))</f>
        <v/>
      </c>
    </row>
    <row r="21678" spans="15:15" x14ac:dyDescent="0.25">
      <c r="O21678" s="20" t="str">
        <f>IF(N21678="","",COUNTIFS(RawData[[Date ]],N21678,RawData[Month List],$Q$6,RawData[Tour/Site],$Q$2,RawData[[Picker ID ]],$Q$3,RawData[Checker ID],$Q$4,RawData[[Error Type ]],$Q$5))</f>
        <v/>
      </c>
    </row>
    <row r="21679" spans="15:15" x14ac:dyDescent="0.25">
      <c r="O21679" s="20" t="str">
        <f>IF(N21679="","",COUNTIFS(RawData[[Date ]],N21679,RawData[Month List],$Q$6,RawData[Tour/Site],$Q$2,RawData[[Picker ID ]],$Q$3,RawData[Checker ID],$Q$4,RawData[[Error Type ]],$Q$5))</f>
        <v/>
      </c>
    </row>
    <row r="21680" spans="15:15" x14ac:dyDescent="0.25">
      <c r="O21680" s="20" t="str">
        <f>IF(N21680="","",COUNTIFS(RawData[[Date ]],N21680,RawData[Month List],$Q$6,RawData[Tour/Site],$Q$2,RawData[[Picker ID ]],$Q$3,RawData[Checker ID],$Q$4,RawData[[Error Type ]],$Q$5))</f>
        <v/>
      </c>
    </row>
    <row r="21681" spans="15:15" x14ac:dyDescent="0.25">
      <c r="O21681" s="20" t="str">
        <f>IF(N21681="","",COUNTIFS(RawData[[Date ]],N21681,RawData[Month List],$Q$6,RawData[Tour/Site],$Q$2,RawData[[Picker ID ]],$Q$3,RawData[Checker ID],$Q$4,RawData[[Error Type ]],$Q$5))</f>
        <v/>
      </c>
    </row>
    <row r="21682" spans="15:15" x14ac:dyDescent="0.25">
      <c r="O21682" s="20" t="str">
        <f>IF(N21682="","",COUNTIFS(RawData[[Date ]],N21682,RawData[Month List],$Q$6,RawData[Tour/Site],$Q$2,RawData[[Picker ID ]],$Q$3,RawData[Checker ID],$Q$4,RawData[[Error Type ]],$Q$5))</f>
        <v/>
      </c>
    </row>
    <row r="21683" spans="15:15" x14ac:dyDescent="0.25">
      <c r="O21683" s="20" t="str">
        <f>IF(N21683="","",COUNTIFS(RawData[[Date ]],N21683,RawData[Month List],$Q$6,RawData[Tour/Site],$Q$2,RawData[[Picker ID ]],$Q$3,RawData[Checker ID],$Q$4,RawData[[Error Type ]],$Q$5))</f>
        <v/>
      </c>
    </row>
    <row r="21684" spans="15:15" x14ac:dyDescent="0.25">
      <c r="O21684" s="20" t="str">
        <f>IF(N21684="","",COUNTIFS(RawData[[Date ]],N21684,RawData[Month List],$Q$6,RawData[Tour/Site],$Q$2,RawData[[Picker ID ]],$Q$3,RawData[Checker ID],$Q$4,RawData[[Error Type ]],$Q$5))</f>
        <v/>
      </c>
    </row>
    <row r="21685" spans="15:15" x14ac:dyDescent="0.25">
      <c r="O21685" s="20" t="str">
        <f>IF(N21685="","",COUNTIFS(RawData[[Date ]],N21685,RawData[Month List],$Q$6,RawData[Tour/Site],$Q$2,RawData[[Picker ID ]],$Q$3,RawData[Checker ID],$Q$4,RawData[[Error Type ]],$Q$5))</f>
        <v/>
      </c>
    </row>
    <row r="21686" spans="15:15" x14ac:dyDescent="0.25">
      <c r="O21686" s="20" t="str">
        <f>IF(N21686="","",COUNTIFS(RawData[[Date ]],N21686,RawData[Month List],$Q$6,RawData[Tour/Site],$Q$2,RawData[[Picker ID ]],$Q$3,RawData[Checker ID],$Q$4,RawData[[Error Type ]],$Q$5))</f>
        <v/>
      </c>
    </row>
    <row r="21687" spans="15:15" x14ac:dyDescent="0.25">
      <c r="O21687" s="20" t="str">
        <f>IF(N21687="","",COUNTIFS(RawData[[Date ]],N21687,RawData[Month List],$Q$6,RawData[Tour/Site],$Q$2,RawData[[Picker ID ]],$Q$3,RawData[Checker ID],$Q$4,RawData[[Error Type ]],$Q$5))</f>
        <v/>
      </c>
    </row>
    <row r="21688" spans="15:15" x14ac:dyDescent="0.25">
      <c r="O21688" s="20" t="str">
        <f>IF(N21688="","",COUNTIFS(RawData[[Date ]],N21688,RawData[Month List],$Q$6,RawData[Tour/Site],$Q$2,RawData[[Picker ID ]],$Q$3,RawData[Checker ID],$Q$4,RawData[[Error Type ]],$Q$5))</f>
        <v/>
      </c>
    </row>
    <row r="21689" spans="15:15" x14ac:dyDescent="0.25">
      <c r="O21689" s="20" t="str">
        <f>IF(N21689="","",COUNTIFS(RawData[[Date ]],N21689,RawData[Month List],$Q$6,RawData[Tour/Site],$Q$2,RawData[[Picker ID ]],$Q$3,RawData[Checker ID],$Q$4,RawData[[Error Type ]],$Q$5))</f>
        <v/>
      </c>
    </row>
    <row r="21690" spans="15:15" x14ac:dyDescent="0.25">
      <c r="O21690" s="20" t="str">
        <f>IF(N21690="","",COUNTIFS(RawData[[Date ]],N21690,RawData[Month List],$Q$6,RawData[Tour/Site],$Q$2,RawData[[Picker ID ]],$Q$3,RawData[Checker ID],$Q$4,RawData[[Error Type ]],$Q$5))</f>
        <v/>
      </c>
    </row>
    <row r="21691" spans="15:15" x14ac:dyDescent="0.25">
      <c r="O21691" s="20" t="str">
        <f>IF(N21691="","",COUNTIFS(RawData[[Date ]],N21691,RawData[Month List],$Q$6,RawData[Tour/Site],$Q$2,RawData[[Picker ID ]],$Q$3,RawData[Checker ID],$Q$4,RawData[[Error Type ]],$Q$5))</f>
        <v/>
      </c>
    </row>
    <row r="21692" spans="15:15" x14ac:dyDescent="0.25">
      <c r="O21692" s="20" t="str">
        <f>IF(N21692="","",COUNTIFS(RawData[[Date ]],N21692,RawData[Month List],$Q$6,RawData[Tour/Site],$Q$2,RawData[[Picker ID ]],$Q$3,RawData[Checker ID],$Q$4,RawData[[Error Type ]],$Q$5))</f>
        <v/>
      </c>
    </row>
    <row r="21693" spans="15:15" x14ac:dyDescent="0.25">
      <c r="O21693" s="20" t="str">
        <f>IF(N21693="","",COUNTIFS(RawData[[Date ]],N21693,RawData[Month List],$Q$6,RawData[Tour/Site],$Q$2,RawData[[Picker ID ]],$Q$3,RawData[Checker ID],$Q$4,RawData[[Error Type ]],$Q$5))</f>
        <v/>
      </c>
    </row>
    <row r="21694" spans="15:15" x14ac:dyDescent="0.25">
      <c r="O21694" s="20" t="str">
        <f>IF(N21694="","",COUNTIFS(RawData[[Date ]],N21694,RawData[Month List],$Q$6,RawData[Tour/Site],$Q$2,RawData[[Picker ID ]],$Q$3,RawData[Checker ID],$Q$4,RawData[[Error Type ]],$Q$5))</f>
        <v/>
      </c>
    </row>
    <row r="21695" spans="15:15" x14ac:dyDescent="0.25">
      <c r="O21695" s="20" t="str">
        <f>IF(N21695="","",COUNTIFS(RawData[[Date ]],N21695,RawData[Month List],$Q$6,RawData[Tour/Site],$Q$2,RawData[[Picker ID ]],$Q$3,RawData[Checker ID],$Q$4,RawData[[Error Type ]],$Q$5))</f>
        <v/>
      </c>
    </row>
    <row r="21696" spans="15:15" x14ac:dyDescent="0.25">
      <c r="O21696" s="20" t="str">
        <f>IF(N21696="","",COUNTIFS(RawData[[Date ]],N21696,RawData[Month List],$Q$6,RawData[Tour/Site],$Q$2,RawData[[Picker ID ]],$Q$3,RawData[Checker ID],$Q$4,RawData[[Error Type ]],$Q$5))</f>
        <v/>
      </c>
    </row>
    <row r="21697" spans="15:15" x14ac:dyDescent="0.25">
      <c r="O21697" s="20" t="str">
        <f>IF(N21697="","",COUNTIFS(RawData[[Date ]],N21697,RawData[Month List],$Q$6,RawData[Tour/Site],$Q$2,RawData[[Picker ID ]],$Q$3,RawData[Checker ID],$Q$4,RawData[[Error Type ]],$Q$5))</f>
        <v/>
      </c>
    </row>
    <row r="21698" spans="15:15" x14ac:dyDescent="0.25">
      <c r="O21698" s="20" t="str">
        <f>IF(N21698="","",COUNTIFS(RawData[[Date ]],N21698,RawData[Month List],$Q$6,RawData[Tour/Site],$Q$2,RawData[[Picker ID ]],$Q$3,RawData[Checker ID],$Q$4,RawData[[Error Type ]],$Q$5))</f>
        <v/>
      </c>
    </row>
    <row r="21699" spans="15:15" x14ac:dyDescent="0.25">
      <c r="O21699" s="20" t="str">
        <f>IF(N21699="","",COUNTIFS(RawData[[Date ]],N21699,RawData[Month List],$Q$6,RawData[Tour/Site],$Q$2,RawData[[Picker ID ]],$Q$3,RawData[Checker ID],$Q$4,RawData[[Error Type ]],$Q$5))</f>
        <v/>
      </c>
    </row>
    <row r="21700" spans="15:15" x14ac:dyDescent="0.25">
      <c r="O21700" s="20" t="str">
        <f>IF(N21700="","",COUNTIFS(RawData[[Date ]],N21700,RawData[Month List],$Q$6,RawData[Tour/Site],$Q$2,RawData[[Picker ID ]],$Q$3,RawData[Checker ID],$Q$4,RawData[[Error Type ]],$Q$5))</f>
        <v/>
      </c>
    </row>
    <row r="21701" spans="15:15" x14ac:dyDescent="0.25">
      <c r="O21701" s="20" t="str">
        <f>IF(N21701="","",COUNTIFS(RawData[[Date ]],N21701,RawData[Month List],$Q$6,RawData[Tour/Site],$Q$2,RawData[[Picker ID ]],$Q$3,RawData[Checker ID],$Q$4,RawData[[Error Type ]],$Q$5))</f>
        <v/>
      </c>
    </row>
    <row r="21702" spans="15:15" x14ac:dyDescent="0.25">
      <c r="O21702" s="20" t="str">
        <f>IF(N21702="","",COUNTIFS(RawData[[Date ]],N21702,RawData[Month List],$Q$6,RawData[Tour/Site],$Q$2,RawData[[Picker ID ]],$Q$3,RawData[Checker ID],$Q$4,RawData[[Error Type ]],$Q$5))</f>
        <v/>
      </c>
    </row>
    <row r="21703" spans="15:15" x14ac:dyDescent="0.25">
      <c r="O21703" s="20" t="str">
        <f>IF(N21703="","",COUNTIFS(RawData[[Date ]],N21703,RawData[Month List],$Q$6,RawData[Tour/Site],$Q$2,RawData[[Picker ID ]],$Q$3,RawData[Checker ID],$Q$4,RawData[[Error Type ]],$Q$5))</f>
        <v/>
      </c>
    </row>
    <row r="21704" spans="15:15" x14ac:dyDescent="0.25">
      <c r="O21704" s="20" t="str">
        <f>IF(N21704="","",COUNTIFS(RawData[[Date ]],N21704,RawData[Month List],$Q$6,RawData[Tour/Site],$Q$2,RawData[[Picker ID ]],$Q$3,RawData[Checker ID],$Q$4,RawData[[Error Type ]],$Q$5))</f>
        <v/>
      </c>
    </row>
    <row r="21705" spans="15:15" x14ac:dyDescent="0.25">
      <c r="O21705" s="20" t="str">
        <f>IF(N21705="","",COUNTIFS(RawData[[Date ]],N21705,RawData[Month List],$Q$6,RawData[Tour/Site],$Q$2,RawData[[Picker ID ]],$Q$3,RawData[Checker ID],$Q$4,RawData[[Error Type ]],$Q$5))</f>
        <v/>
      </c>
    </row>
    <row r="21706" spans="15:15" x14ac:dyDescent="0.25">
      <c r="O21706" s="20" t="str">
        <f>IF(N21706="","",COUNTIFS(RawData[[Date ]],N21706,RawData[Month List],$Q$6,RawData[Tour/Site],$Q$2,RawData[[Picker ID ]],$Q$3,RawData[Checker ID],$Q$4,RawData[[Error Type ]],$Q$5))</f>
        <v/>
      </c>
    </row>
    <row r="21707" spans="15:15" x14ac:dyDescent="0.25">
      <c r="O21707" s="20" t="str">
        <f>IF(N21707="","",COUNTIFS(RawData[[Date ]],N21707,RawData[Month List],$Q$6,RawData[Tour/Site],$Q$2,RawData[[Picker ID ]],$Q$3,RawData[Checker ID],$Q$4,RawData[[Error Type ]],$Q$5))</f>
        <v/>
      </c>
    </row>
    <row r="21708" spans="15:15" x14ac:dyDescent="0.25">
      <c r="O21708" s="20" t="str">
        <f>IF(N21708="","",COUNTIFS(RawData[[Date ]],N21708,RawData[Month List],$Q$6,RawData[Tour/Site],$Q$2,RawData[[Picker ID ]],$Q$3,RawData[Checker ID],$Q$4,RawData[[Error Type ]],$Q$5))</f>
        <v/>
      </c>
    </row>
    <row r="21709" spans="15:15" x14ac:dyDescent="0.25">
      <c r="O21709" s="20" t="str">
        <f>IF(N21709="","",COUNTIFS(RawData[[Date ]],N21709,RawData[Month List],$Q$6,RawData[Tour/Site],$Q$2,RawData[[Picker ID ]],$Q$3,RawData[Checker ID],$Q$4,RawData[[Error Type ]],$Q$5))</f>
        <v/>
      </c>
    </row>
    <row r="21710" spans="15:15" x14ac:dyDescent="0.25">
      <c r="O21710" s="20" t="str">
        <f>IF(N21710="","",COUNTIFS(RawData[[Date ]],N21710,RawData[Month List],$Q$6,RawData[Tour/Site],$Q$2,RawData[[Picker ID ]],$Q$3,RawData[Checker ID],$Q$4,RawData[[Error Type ]],$Q$5))</f>
        <v/>
      </c>
    </row>
    <row r="21711" spans="15:15" x14ac:dyDescent="0.25">
      <c r="O21711" s="20" t="str">
        <f>IF(N21711="","",COUNTIFS(RawData[[Date ]],N21711,RawData[Month List],$Q$6,RawData[Tour/Site],$Q$2,RawData[[Picker ID ]],$Q$3,RawData[Checker ID],$Q$4,RawData[[Error Type ]],$Q$5))</f>
        <v/>
      </c>
    </row>
    <row r="21712" spans="15:15" x14ac:dyDescent="0.25">
      <c r="O21712" s="20" t="str">
        <f>IF(N21712="","",COUNTIFS(RawData[[Date ]],N21712,RawData[Month List],$Q$6,RawData[Tour/Site],$Q$2,RawData[[Picker ID ]],$Q$3,RawData[Checker ID],$Q$4,RawData[[Error Type ]],$Q$5))</f>
        <v/>
      </c>
    </row>
    <row r="21713" spans="15:15" x14ac:dyDescent="0.25">
      <c r="O21713" s="20" t="str">
        <f>IF(N21713="","",COUNTIFS(RawData[[Date ]],N21713,RawData[Month List],$Q$6,RawData[Tour/Site],$Q$2,RawData[[Picker ID ]],$Q$3,RawData[Checker ID],$Q$4,RawData[[Error Type ]],$Q$5))</f>
        <v/>
      </c>
    </row>
    <row r="21714" spans="15:15" x14ac:dyDescent="0.25">
      <c r="O21714" s="20" t="str">
        <f>IF(N21714="","",COUNTIFS(RawData[[Date ]],N21714,RawData[Month List],$Q$6,RawData[Tour/Site],$Q$2,RawData[[Picker ID ]],$Q$3,RawData[Checker ID],$Q$4,RawData[[Error Type ]],$Q$5))</f>
        <v/>
      </c>
    </row>
    <row r="21715" spans="15:15" x14ac:dyDescent="0.25">
      <c r="O21715" s="20" t="str">
        <f>IF(N21715="","",COUNTIFS(RawData[[Date ]],N21715,RawData[Month List],$Q$6,RawData[Tour/Site],$Q$2,RawData[[Picker ID ]],$Q$3,RawData[Checker ID],$Q$4,RawData[[Error Type ]],$Q$5))</f>
        <v/>
      </c>
    </row>
    <row r="21716" spans="15:15" x14ac:dyDescent="0.25">
      <c r="O21716" s="20" t="str">
        <f>IF(N21716="","",COUNTIFS(RawData[[Date ]],N21716,RawData[Month List],$Q$6,RawData[Tour/Site],$Q$2,RawData[[Picker ID ]],$Q$3,RawData[Checker ID],$Q$4,RawData[[Error Type ]],$Q$5))</f>
        <v/>
      </c>
    </row>
    <row r="21717" spans="15:15" x14ac:dyDescent="0.25">
      <c r="O21717" s="20" t="str">
        <f>IF(N21717="","",COUNTIFS(RawData[[Date ]],N21717,RawData[Month List],$Q$6,RawData[Tour/Site],$Q$2,RawData[[Picker ID ]],$Q$3,RawData[Checker ID],$Q$4,RawData[[Error Type ]],$Q$5))</f>
        <v/>
      </c>
    </row>
    <row r="21718" spans="15:15" x14ac:dyDescent="0.25">
      <c r="O21718" s="20" t="str">
        <f>IF(N21718="","",COUNTIFS(RawData[[Date ]],N21718,RawData[Month List],$Q$6,RawData[Tour/Site],$Q$2,RawData[[Picker ID ]],$Q$3,RawData[Checker ID],$Q$4,RawData[[Error Type ]],$Q$5))</f>
        <v/>
      </c>
    </row>
    <row r="21719" spans="15:15" x14ac:dyDescent="0.25">
      <c r="O21719" s="20" t="str">
        <f>IF(N21719="","",COUNTIFS(RawData[[Date ]],N21719,RawData[Month List],$Q$6,RawData[Tour/Site],$Q$2,RawData[[Picker ID ]],$Q$3,RawData[Checker ID],$Q$4,RawData[[Error Type ]],$Q$5))</f>
        <v/>
      </c>
    </row>
    <row r="21720" spans="15:15" x14ac:dyDescent="0.25">
      <c r="O21720" s="20" t="str">
        <f>IF(N21720="","",COUNTIFS(RawData[[Date ]],N21720,RawData[Month List],$Q$6,RawData[Tour/Site],$Q$2,RawData[[Picker ID ]],$Q$3,RawData[Checker ID],$Q$4,RawData[[Error Type ]],$Q$5))</f>
        <v/>
      </c>
    </row>
    <row r="21721" spans="15:15" x14ac:dyDescent="0.25">
      <c r="O21721" s="20" t="str">
        <f>IF(N21721="","",COUNTIFS(RawData[[Date ]],N21721,RawData[Month List],$Q$6,RawData[Tour/Site],$Q$2,RawData[[Picker ID ]],$Q$3,RawData[Checker ID],$Q$4,RawData[[Error Type ]],$Q$5))</f>
        <v/>
      </c>
    </row>
    <row r="21722" spans="15:15" x14ac:dyDescent="0.25">
      <c r="O21722" s="20" t="str">
        <f>IF(N21722="","",COUNTIFS(RawData[[Date ]],N21722,RawData[Month List],$Q$6,RawData[Tour/Site],$Q$2,RawData[[Picker ID ]],$Q$3,RawData[Checker ID],$Q$4,RawData[[Error Type ]],$Q$5))</f>
        <v/>
      </c>
    </row>
    <row r="21723" spans="15:15" x14ac:dyDescent="0.25">
      <c r="O21723" s="20" t="str">
        <f>IF(N21723="","",COUNTIFS(RawData[[Date ]],N21723,RawData[Month List],$Q$6,RawData[Tour/Site],$Q$2,RawData[[Picker ID ]],$Q$3,RawData[Checker ID],$Q$4,RawData[[Error Type ]],$Q$5))</f>
        <v/>
      </c>
    </row>
    <row r="21724" spans="15:15" x14ac:dyDescent="0.25">
      <c r="O21724" s="20" t="str">
        <f>IF(N21724="","",COUNTIFS(RawData[[Date ]],N21724,RawData[Month List],$Q$6,RawData[Tour/Site],$Q$2,RawData[[Picker ID ]],$Q$3,RawData[Checker ID],$Q$4,RawData[[Error Type ]],$Q$5))</f>
        <v/>
      </c>
    </row>
    <row r="21725" spans="15:15" x14ac:dyDescent="0.25">
      <c r="O21725" s="20" t="str">
        <f>IF(N21725="","",COUNTIFS(RawData[[Date ]],N21725,RawData[Month List],$Q$6,RawData[Tour/Site],$Q$2,RawData[[Picker ID ]],$Q$3,RawData[Checker ID],$Q$4,RawData[[Error Type ]],$Q$5))</f>
        <v/>
      </c>
    </row>
    <row r="21726" spans="15:15" x14ac:dyDescent="0.25">
      <c r="O21726" s="20" t="str">
        <f>IF(N21726="","",COUNTIFS(RawData[[Date ]],N21726,RawData[Month List],$Q$6,RawData[Tour/Site],$Q$2,RawData[[Picker ID ]],$Q$3,RawData[Checker ID],$Q$4,RawData[[Error Type ]],$Q$5))</f>
        <v/>
      </c>
    </row>
    <row r="21727" spans="15:15" x14ac:dyDescent="0.25">
      <c r="O21727" s="20" t="str">
        <f>IF(N21727="","",COUNTIFS(RawData[[Date ]],N21727,RawData[Month List],$Q$6,RawData[Tour/Site],$Q$2,RawData[[Picker ID ]],$Q$3,RawData[Checker ID],$Q$4,RawData[[Error Type ]],$Q$5))</f>
        <v/>
      </c>
    </row>
    <row r="21728" spans="15:15" x14ac:dyDescent="0.25">
      <c r="O21728" s="20" t="str">
        <f>IF(N21728="","",COUNTIFS(RawData[[Date ]],N21728,RawData[Month List],$Q$6,RawData[Tour/Site],$Q$2,RawData[[Picker ID ]],$Q$3,RawData[Checker ID],$Q$4,RawData[[Error Type ]],$Q$5))</f>
        <v/>
      </c>
    </row>
    <row r="21729" spans="15:15" x14ac:dyDescent="0.25">
      <c r="O21729" s="20" t="str">
        <f>IF(N21729="","",COUNTIFS(RawData[[Date ]],N21729,RawData[Month List],$Q$6,RawData[Tour/Site],$Q$2,RawData[[Picker ID ]],$Q$3,RawData[Checker ID],$Q$4,RawData[[Error Type ]],$Q$5))</f>
        <v/>
      </c>
    </row>
    <row r="21730" spans="15:15" x14ac:dyDescent="0.25">
      <c r="O21730" s="20" t="str">
        <f>IF(N21730="","",COUNTIFS(RawData[[Date ]],N21730,RawData[Month List],$Q$6,RawData[Tour/Site],$Q$2,RawData[[Picker ID ]],$Q$3,RawData[Checker ID],$Q$4,RawData[[Error Type ]],$Q$5))</f>
        <v/>
      </c>
    </row>
    <row r="21731" spans="15:15" x14ac:dyDescent="0.25">
      <c r="O21731" s="20" t="str">
        <f>IF(N21731="","",COUNTIFS(RawData[[Date ]],N21731,RawData[Month List],$Q$6,RawData[Tour/Site],$Q$2,RawData[[Picker ID ]],$Q$3,RawData[Checker ID],$Q$4,RawData[[Error Type ]],$Q$5))</f>
        <v/>
      </c>
    </row>
    <row r="21732" spans="15:15" x14ac:dyDescent="0.25">
      <c r="O21732" s="20" t="str">
        <f>IF(N21732="","",COUNTIFS(RawData[[Date ]],N21732,RawData[Month List],$Q$6,RawData[Tour/Site],$Q$2,RawData[[Picker ID ]],$Q$3,RawData[Checker ID],$Q$4,RawData[[Error Type ]],$Q$5))</f>
        <v/>
      </c>
    </row>
    <row r="21733" spans="15:15" x14ac:dyDescent="0.25">
      <c r="O21733" s="20" t="str">
        <f>IF(N21733="","",COUNTIFS(RawData[[Date ]],N21733,RawData[Month List],$Q$6,RawData[Tour/Site],$Q$2,RawData[[Picker ID ]],$Q$3,RawData[Checker ID],$Q$4,RawData[[Error Type ]],$Q$5))</f>
        <v/>
      </c>
    </row>
    <row r="21734" spans="15:15" x14ac:dyDescent="0.25">
      <c r="O21734" s="20" t="str">
        <f>IF(N21734="","",COUNTIFS(RawData[[Date ]],N21734,RawData[Month List],$Q$6,RawData[Tour/Site],$Q$2,RawData[[Picker ID ]],$Q$3,RawData[Checker ID],$Q$4,RawData[[Error Type ]],$Q$5))</f>
        <v/>
      </c>
    </row>
    <row r="21735" spans="15:15" x14ac:dyDescent="0.25">
      <c r="O21735" s="20" t="str">
        <f>IF(N21735="","",COUNTIFS(RawData[[Date ]],N21735,RawData[Month List],$Q$6,RawData[Tour/Site],$Q$2,RawData[[Picker ID ]],$Q$3,RawData[Checker ID],$Q$4,RawData[[Error Type ]],$Q$5))</f>
        <v/>
      </c>
    </row>
    <row r="21736" spans="15:15" x14ac:dyDescent="0.25">
      <c r="O21736" s="20" t="str">
        <f>IF(N21736="","",COUNTIFS(RawData[[Date ]],N21736,RawData[Month List],$Q$6,RawData[Tour/Site],$Q$2,RawData[[Picker ID ]],$Q$3,RawData[Checker ID],$Q$4,RawData[[Error Type ]],$Q$5))</f>
        <v/>
      </c>
    </row>
    <row r="21737" spans="15:15" x14ac:dyDescent="0.25">
      <c r="O21737" s="20" t="str">
        <f>IF(N21737="","",COUNTIFS(RawData[[Date ]],N21737,RawData[Month List],$Q$6,RawData[Tour/Site],$Q$2,RawData[[Picker ID ]],$Q$3,RawData[Checker ID],$Q$4,RawData[[Error Type ]],$Q$5))</f>
        <v/>
      </c>
    </row>
    <row r="21738" spans="15:15" x14ac:dyDescent="0.25">
      <c r="O21738" s="20" t="str">
        <f>IF(N21738="","",COUNTIFS(RawData[[Date ]],N21738,RawData[Month List],$Q$6,RawData[Tour/Site],$Q$2,RawData[[Picker ID ]],$Q$3,RawData[Checker ID],$Q$4,RawData[[Error Type ]],$Q$5))</f>
        <v/>
      </c>
    </row>
    <row r="21739" spans="15:15" x14ac:dyDescent="0.25">
      <c r="O21739" s="20" t="str">
        <f>IF(N21739="","",COUNTIFS(RawData[[Date ]],N21739,RawData[Month List],$Q$6,RawData[Tour/Site],$Q$2,RawData[[Picker ID ]],$Q$3,RawData[Checker ID],$Q$4,RawData[[Error Type ]],$Q$5))</f>
        <v/>
      </c>
    </row>
    <row r="21740" spans="15:15" x14ac:dyDescent="0.25">
      <c r="O21740" s="20" t="str">
        <f>IF(N21740="","",COUNTIFS(RawData[[Date ]],N21740,RawData[Month List],$Q$6,RawData[Tour/Site],$Q$2,RawData[[Picker ID ]],$Q$3,RawData[Checker ID],$Q$4,RawData[[Error Type ]],$Q$5))</f>
        <v/>
      </c>
    </row>
    <row r="21741" spans="15:15" x14ac:dyDescent="0.25">
      <c r="O21741" s="20" t="str">
        <f>IF(N21741="","",COUNTIFS(RawData[[Date ]],N21741,RawData[Month List],$Q$6,RawData[Tour/Site],$Q$2,RawData[[Picker ID ]],$Q$3,RawData[Checker ID],$Q$4,RawData[[Error Type ]],$Q$5))</f>
        <v/>
      </c>
    </row>
    <row r="21742" spans="15:15" x14ac:dyDescent="0.25">
      <c r="O21742" s="20" t="str">
        <f>IF(N21742="","",COUNTIFS(RawData[[Date ]],N21742,RawData[Month List],$Q$6,RawData[Tour/Site],$Q$2,RawData[[Picker ID ]],$Q$3,RawData[Checker ID],$Q$4,RawData[[Error Type ]],$Q$5))</f>
        <v/>
      </c>
    </row>
    <row r="21743" spans="15:15" x14ac:dyDescent="0.25">
      <c r="O21743" s="20" t="str">
        <f>IF(N21743="","",COUNTIFS(RawData[[Date ]],N21743,RawData[Month List],$Q$6,RawData[Tour/Site],$Q$2,RawData[[Picker ID ]],$Q$3,RawData[Checker ID],$Q$4,RawData[[Error Type ]],$Q$5))</f>
        <v/>
      </c>
    </row>
    <row r="21744" spans="15:15" x14ac:dyDescent="0.25">
      <c r="O21744" s="20" t="str">
        <f>IF(N21744="","",COUNTIFS(RawData[[Date ]],N21744,RawData[Month List],$Q$6,RawData[Tour/Site],$Q$2,RawData[[Picker ID ]],$Q$3,RawData[Checker ID],$Q$4,RawData[[Error Type ]],$Q$5))</f>
        <v/>
      </c>
    </row>
    <row r="21745" spans="15:15" x14ac:dyDescent="0.25">
      <c r="O21745" s="20" t="str">
        <f>IF(N21745="","",COUNTIFS(RawData[[Date ]],N21745,RawData[Month List],$Q$6,RawData[Tour/Site],$Q$2,RawData[[Picker ID ]],$Q$3,RawData[Checker ID],$Q$4,RawData[[Error Type ]],$Q$5))</f>
        <v/>
      </c>
    </row>
    <row r="21746" spans="15:15" x14ac:dyDescent="0.25">
      <c r="O21746" s="20" t="str">
        <f>IF(N21746="","",COUNTIFS(RawData[[Date ]],N21746,RawData[Month List],$Q$6,RawData[Tour/Site],$Q$2,RawData[[Picker ID ]],$Q$3,RawData[Checker ID],$Q$4,RawData[[Error Type ]],$Q$5))</f>
        <v/>
      </c>
    </row>
    <row r="21747" spans="15:15" x14ac:dyDescent="0.25">
      <c r="O21747" s="20" t="str">
        <f>IF(N21747="","",COUNTIFS(RawData[[Date ]],N21747,RawData[Month List],$Q$6,RawData[Tour/Site],$Q$2,RawData[[Picker ID ]],$Q$3,RawData[Checker ID],$Q$4,RawData[[Error Type ]],$Q$5))</f>
        <v/>
      </c>
    </row>
    <row r="21748" spans="15:15" x14ac:dyDescent="0.25">
      <c r="O21748" s="20" t="str">
        <f>IF(N21748="","",COUNTIFS(RawData[[Date ]],N21748,RawData[Month List],$Q$6,RawData[Tour/Site],$Q$2,RawData[[Picker ID ]],$Q$3,RawData[Checker ID],$Q$4,RawData[[Error Type ]],$Q$5))</f>
        <v/>
      </c>
    </row>
    <row r="21749" spans="15:15" x14ac:dyDescent="0.25">
      <c r="O21749" s="20" t="str">
        <f>IF(N21749="","",COUNTIFS(RawData[[Date ]],N21749,RawData[Month List],$Q$6,RawData[Tour/Site],$Q$2,RawData[[Picker ID ]],$Q$3,RawData[Checker ID],$Q$4,RawData[[Error Type ]],$Q$5))</f>
        <v/>
      </c>
    </row>
    <row r="21750" spans="15:15" x14ac:dyDescent="0.25">
      <c r="O21750" s="20" t="str">
        <f>IF(N21750="","",COUNTIFS(RawData[[Date ]],N21750,RawData[Month List],$Q$6,RawData[Tour/Site],$Q$2,RawData[[Picker ID ]],$Q$3,RawData[Checker ID],$Q$4,RawData[[Error Type ]],$Q$5))</f>
        <v/>
      </c>
    </row>
    <row r="21751" spans="15:15" x14ac:dyDescent="0.25">
      <c r="O21751" s="20" t="str">
        <f>IF(N21751="","",COUNTIFS(RawData[[Date ]],N21751,RawData[Month List],$Q$6,RawData[Tour/Site],$Q$2,RawData[[Picker ID ]],$Q$3,RawData[Checker ID],$Q$4,RawData[[Error Type ]],$Q$5))</f>
        <v/>
      </c>
    </row>
    <row r="21752" spans="15:15" x14ac:dyDescent="0.25">
      <c r="O21752" s="20" t="str">
        <f>IF(N21752="","",COUNTIFS(RawData[[Date ]],N21752,RawData[Month List],$Q$6,RawData[Tour/Site],$Q$2,RawData[[Picker ID ]],$Q$3,RawData[Checker ID],$Q$4,RawData[[Error Type ]],$Q$5))</f>
        <v/>
      </c>
    </row>
    <row r="21753" spans="15:15" x14ac:dyDescent="0.25">
      <c r="O21753" s="20" t="str">
        <f>IF(N21753="","",COUNTIFS(RawData[[Date ]],N21753,RawData[Month List],$Q$6,RawData[Tour/Site],$Q$2,RawData[[Picker ID ]],$Q$3,RawData[Checker ID],$Q$4,RawData[[Error Type ]],$Q$5))</f>
        <v/>
      </c>
    </row>
    <row r="21754" spans="15:15" x14ac:dyDescent="0.25">
      <c r="O21754" s="20" t="str">
        <f>IF(N21754="","",COUNTIFS(RawData[[Date ]],N21754,RawData[Month List],$Q$6,RawData[Tour/Site],$Q$2,RawData[[Picker ID ]],$Q$3,RawData[Checker ID],$Q$4,RawData[[Error Type ]],$Q$5))</f>
        <v/>
      </c>
    </row>
    <row r="21755" spans="15:15" x14ac:dyDescent="0.25">
      <c r="O21755" s="20" t="str">
        <f>IF(N21755="","",COUNTIFS(RawData[[Date ]],N21755,RawData[Month List],$Q$6,RawData[Tour/Site],$Q$2,RawData[[Picker ID ]],$Q$3,RawData[Checker ID],$Q$4,RawData[[Error Type ]],$Q$5))</f>
        <v/>
      </c>
    </row>
    <row r="21756" spans="15:15" x14ac:dyDescent="0.25">
      <c r="O21756" s="20" t="str">
        <f>IF(N21756="","",COUNTIFS(RawData[[Date ]],N21756,RawData[Month List],$Q$6,RawData[Tour/Site],$Q$2,RawData[[Picker ID ]],$Q$3,RawData[Checker ID],$Q$4,RawData[[Error Type ]],$Q$5))</f>
        <v/>
      </c>
    </row>
    <row r="21757" spans="15:15" x14ac:dyDescent="0.25">
      <c r="O21757" s="20" t="str">
        <f>IF(N21757="","",COUNTIFS(RawData[[Date ]],N21757,RawData[Month List],$Q$6,RawData[Tour/Site],$Q$2,RawData[[Picker ID ]],$Q$3,RawData[Checker ID],$Q$4,RawData[[Error Type ]],$Q$5))</f>
        <v/>
      </c>
    </row>
    <row r="21758" spans="15:15" x14ac:dyDescent="0.25">
      <c r="O21758" s="20" t="str">
        <f>IF(N21758="","",COUNTIFS(RawData[[Date ]],N21758,RawData[Month List],$Q$6,RawData[Tour/Site],$Q$2,RawData[[Picker ID ]],$Q$3,RawData[Checker ID],$Q$4,RawData[[Error Type ]],$Q$5))</f>
        <v/>
      </c>
    </row>
    <row r="21759" spans="15:15" x14ac:dyDescent="0.25">
      <c r="O21759" s="20" t="str">
        <f>IF(N21759="","",COUNTIFS(RawData[[Date ]],N21759,RawData[Month List],$Q$6,RawData[Tour/Site],$Q$2,RawData[[Picker ID ]],$Q$3,RawData[Checker ID],$Q$4,RawData[[Error Type ]],$Q$5))</f>
        <v/>
      </c>
    </row>
    <row r="21760" spans="15:15" x14ac:dyDescent="0.25">
      <c r="O21760" s="20" t="str">
        <f>IF(N21760="","",COUNTIFS(RawData[[Date ]],N21760,RawData[Month List],$Q$6,RawData[Tour/Site],$Q$2,RawData[[Picker ID ]],$Q$3,RawData[Checker ID],$Q$4,RawData[[Error Type ]],$Q$5))</f>
        <v/>
      </c>
    </row>
    <row r="21761" spans="15:15" x14ac:dyDescent="0.25">
      <c r="O21761" s="20" t="str">
        <f>IF(N21761="","",COUNTIFS(RawData[[Date ]],N21761,RawData[Month List],$Q$6,RawData[Tour/Site],$Q$2,RawData[[Picker ID ]],$Q$3,RawData[Checker ID],$Q$4,RawData[[Error Type ]],$Q$5))</f>
        <v/>
      </c>
    </row>
    <row r="21762" spans="15:15" x14ac:dyDescent="0.25">
      <c r="O21762" s="20" t="str">
        <f>IF(N21762="","",COUNTIFS(RawData[[Date ]],N21762,RawData[Month List],$Q$6,RawData[Tour/Site],$Q$2,RawData[[Picker ID ]],$Q$3,RawData[Checker ID],$Q$4,RawData[[Error Type ]],$Q$5))</f>
        <v/>
      </c>
    </row>
    <row r="21763" spans="15:15" x14ac:dyDescent="0.25">
      <c r="O21763" s="20" t="str">
        <f>IF(N21763="","",COUNTIFS(RawData[[Date ]],N21763,RawData[Month List],$Q$6,RawData[Tour/Site],$Q$2,RawData[[Picker ID ]],$Q$3,RawData[Checker ID],$Q$4,RawData[[Error Type ]],$Q$5))</f>
        <v/>
      </c>
    </row>
    <row r="21764" spans="15:15" x14ac:dyDescent="0.25">
      <c r="O21764" s="20" t="str">
        <f>IF(N21764="","",COUNTIFS(RawData[[Date ]],N21764,RawData[Month List],$Q$6,RawData[Tour/Site],$Q$2,RawData[[Picker ID ]],$Q$3,RawData[Checker ID],$Q$4,RawData[[Error Type ]],$Q$5))</f>
        <v/>
      </c>
    </row>
    <row r="21765" spans="15:15" x14ac:dyDescent="0.25">
      <c r="O21765" s="20" t="str">
        <f>IF(N21765="","",COUNTIFS(RawData[[Date ]],N21765,RawData[Month List],$Q$6,RawData[Tour/Site],$Q$2,RawData[[Picker ID ]],$Q$3,RawData[Checker ID],$Q$4,RawData[[Error Type ]],$Q$5))</f>
        <v/>
      </c>
    </row>
    <row r="21766" spans="15:15" x14ac:dyDescent="0.25">
      <c r="O21766" s="20" t="str">
        <f>IF(N21766="","",COUNTIFS(RawData[[Date ]],N21766,RawData[Month List],$Q$6,RawData[Tour/Site],$Q$2,RawData[[Picker ID ]],$Q$3,RawData[Checker ID],$Q$4,RawData[[Error Type ]],$Q$5))</f>
        <v/>
      </c>
    </row>
    <row r="21767" spans="15:15" x14ac:dyDescent="0.25">
      <c r="O21767" s="20" t="str">
        <f>IF(N21767="","",COUNTIFS(RawData[[Date ]],N21767,RawData[Month List],$Q$6,RawData[Tour/Site],$Q$2,RawData[[Picker ID ]],$Q$3,RawData[Checker ID],$Q$4,RawData[[Error Type ]],$Q$5))</f>
        <v/>
      </c>
    </row>
    <row r="21768" spans="15:15" x14ac:dyDescent="0.25">
      <c r="O21768" s="20" t="str">
        <f>IF(N21768="","",COUNTIFS(RawData[[Date ]],N21768,RawData[Month List],$Q$6,RawData[Tour/Site],$Q$2,RawData[[Picker ID ]],$Q$3,RawData[Checker ID],$Q$4,RawData[[Error Type ]],$Q$5))</f>
        <v/>
      </c>
    </row>
    <row r="21769" spans="15:15" x14ac:dyDescent="0.25">
      <c r="O21769" s="20" t="str">
        <f>IF(N21769="","",COUNTIFS(RawData[[Date ]],N21769,RawData[Month List],$Q$6,RawData[Tour/Site],$Q$2,RawData[[Picker ID ]],$Q$3,RawData[Checker ID],$Q$4,RawData[[Error Type ]],$Q$5))</f>
        <v/>
      </c>
    </row>
    <row r="21770" spans="15:15" x14ac:dyDescent="0.25">
      <c r="O21770" s="20" t="str">
        <f>IF(N21770="","",COUNTIFS(RawData[[Date ]],N21770,RawData[Month List],$Q$6,RawData[Tour/Site],$Q$2,RawData[[Picker ID ]],$Q$3,RawData[Checker ID],$Q$4,RawData[[Error Type ]],$Q$5))</f>
        <v/>
      </c>
    </row>
    <row r="21771" spans="15:15" x14ac:dyDescent="0.25">
      <c r="O21771" s="20" t="str">
        <f>IF(N21771="","",COUNTIFS(RawData[[Date ]],N21771,RawData[Month List],$Q$6,RawData[Tour/Site],$Q$2,RawData[[Picker ID ]],$Q$3,RawData[Checker ID],$Q$4,RawData[[Error Type ]],$Q$5))</f>
        <v/>
      </c>
    </row>
    <row r="21772" spans="15:15" x14ac:dyDescent="0.25">
      <c r="O21772" s="20" t="str">
        <f>IF(N21772="","",COUNTIFS(RawData[[Date ]],N21772,RawData[Month List],$Q$6,RawData[Tour/Site],$Q$2,RawData[[Picker ID ]],$Q$3,RawData[Checker ID],$Q$4,RawData[[Error Type ]],$Q$5))</f>
        <v/>
      </c>
    </row>
    <row r="21773" spans="15:15" x14ac:dyDescent="0.25">
      <c r="O21773" s="20" t="str">
        <f>IF(N21773="","",COUNTIFS(RawData[[Date ]],N21773,RawData[Month List],$Q$6,RawData[Tour/Site],$Q$2,RawData[[Picker ID ]],$Q$3,RawData[Checker ID],$Q$4,RawData[[Error Type ]],$Q$5))</f>
        <v/>
      </c>
    </row>
    <row r="21774" spans="15:15" x14ac:dyDescent="0.25">
      <c r="O21774" s="20" t="str">
        <f>IF(N21774="","",COUNTIFS(RawData[[Date ]],N21774,RawData[Month List],$Q$6,RawData[Tour/Site],$Q$2,RawData[[Picker ID ]],$Q$3,RawData[Checker ID],$Q$4,RawData[[Error Type ]],$Q$5))</f>
        <v/>
      </c>
    </row>
    <row r="21775" spans="15:15" x14ac:dyDescent="0.25">
      <c r="O21775" s="20" t="str">
        <f>IF(N21775="","",COUNTIFS(RawData[[Date ]],N21775,RawData[Month List],$Q$6,RawData[Tour/Site],$Q$2,RawData[[Picker ID ]],$Q$3,RawData[Checker ID],$Q$4,RawData[[Error Type ]],$Q$5))</f>
        <v/>
      </c>
    </row>
    <row r="21776" spans="15:15" x14ac:dyDescent="0.25">
      <c r="O21776" s="20" t="str">
        <f>IF(N21776="","",COUNTIFS(RawData[[Date ]],N21776,RawData[Month List],$Q$6,RawData[Tour/Site],$Q$2,RawData[[Picker ID ]],$Q$3,RawData[Checker ID],$Q$4,RawData[[Error Type ]],$Q$5))</f>
        <v/>
      </c>
    </row>
    <row r="21777" spans="15:15" x14ac:dyDescent="0.25">
      <c r="O21777" s="20" t="str">
        <f>IF(N21777="","",COUNTIFS(RawData[[Date ]],N21777,RawData[Month List],$Q$6,RawData[Tour/Site],$Q$2,RawData[[Picker ID ]],$Q$3,RawData[Checker ID],$Q$4,RawData[[Error Type ]],$Q$5))</f>
        <v/>
      </c>
    </row>
    <row r="21778" spans="15:15" x14ac:dyDescent="0.25">
      <c r="O21778" s="20" t="str">
        <f>IF(N21778="","",COUNTIFS(RawData[[Date ]],N21778,RawData[Month List],$Q$6,RawData[Tour/Site],$Q$2,RawData[[Picker ID ]],$Q$3,RawData[Checker ID],$Q$4,RawData[[Error Type ]],$Q$5))</f>
        <v/>
      </c>
    </row>
    <row r="21779" spans="15:15" x14ac:dyDescent="0.25">
      <c r="O21779" s="20" t="str">
        <f>IF(N21779="","",COUNTIFS(RawData[[Date ]],N21779,RawData[Month List],$Q$6,RawData[Tour/Site],$Q$2,RawData[[Picker ID ]],$Q$3,RawData[Checker ID],$Q$4,RawData[[Error Type ]],$Q$5))</f>
        <v/>
      </c>
    </row>
    <row r="21780" spans="15:15" x14ac:dyDescent="0.25">
      <c r="O21780" s="20" t="str">
        <f>IF(N21780="","",COUNTIFS(RawData[[Date ]],N21780,RawData[Month List],$Q$6,RawData[Tour/Site],$Q$2,RawData[[Picker ID ]],$Q$3,RawData[Checker ID],$Q$4,RawData[[Error Type ]],$Q$5))</f>
        <v/>
      </c>
    </row>
    <row r="21781" spans="15:15" x14ac:dyDescent="0.25">
      <c r="O21781" s="20" t="str">
        <f>IF(N21781="","",COUNTIFS(RawData[[Date ]],N21781,RawData[Month List],$Q$6,RawData[Tour/Site],$Q$2,RawData[[Picker ID ]],$Q$3,RawData[Checker ID],$Q$4,RawData[[Error Type ]],$Q$5))</f>
        <v/>
      </c>
    </row>
    <row r="21782" spans="15:15" x14ac:dyDescent="0.25">
      <c r="O21782" s="20" t="str">
        <f>IF(N21782="","",COUNTIFS(RawData[[Date ]],N21782,RawData[Month List],$Q$6,RawData[Tour/Site],$Q$2,RawData[[Picker ID ]],$Q$3,RawData[Checker ID],$Q$4,RawData[[Error Type ]],$Q$5))</f>
        <v/>
      </c>
    </row>
    <row r="21783" spans="15:15" x14ac:dyDescent="0.25">
      <c r="O21783" s="20" t="str">
        <f>IF(N21783="","",COUNTIFS(RawData[[Date ]],N21783,RawData[Month List],$Q$6,RawData[Tour/Site],$Q$2,RawData[[Picker ID ]],$Q$3,RawData[Checker ID],$Q$4,RawData[[Error Type ]],$Q$5))</f>
        <v/>
      </c>
    </row>
    <row r="21784" spans="15:15" x14ac:dyDescent="0.25">
      <c r="O21784" s="20" t="str">
        <f>IF(N21784="","",COUNTIFS(RawData[[Date ]],N21784,RawData[Month List],$Q$6,RawData[Tour/Site],$Q$2,RawData[[Picker ID ]],$Q$3,RawData[Checker ID],$Q$4,RawData[[Error Type ]],$Q$5))</f>
        <v/>
      </c>
    </row>
    <row r="21785" spans="15:15" x14ac:dyDescent="0.25">
      <c r="O21785" s="20" t="str">
        <f>IF(N21785="","",COUNTIFS(RawData[[Date ]],N21785,RawData[Month List],$Q$6,RawData[Tour/Site],$Q$2,RawData[[Picker ID ]],$Q$3,RawData[Checker ID],$Q$4,RawData[[Error Type ]],$Q$5))</f>
        <v/>
      </c>
    </row>
    <row r="21786" spans="15:15" x14ac:dyDescent="0.25">
      <c r="O21786" s="20" t="str">
        <f>IF(N21786="","",COUNTIFS(RawData[[Date ]],N21786,RawData[Month List],$Q$6,RawData[Tour/Site],$Q$2,RawData[[Picker ID ]],$Q$3,RawData[Checker ID],$Q$4,RawData[[Error Type ]],$Q$5))</f>
        <v/>
      </c>
    </row>
    <row r="21787" spans="15:15" x14ac:dyDescent="0.25">
      <c r="O21787" s="20" t="str">
        <f>IF(N21787="","",COUNTIFS(RawData[[Date ]],N21787,RawData[Month List],$Q$6,RawData[Tour/Site],$Q$2,RawData[[Picker ID ]],$Q$3,RawData[Checker ID],$Q$4,RawData[[Error Type ]],$Q$5))</f>
        <v/>
      </c>
    </row>
    <row r="21788" spans="15:15" x14ac:dyDescent="0.25">
      <c r="O21788" s="20" t="str">
        <f>IF(N21788="","",COUNTIFS(RawData[[Date ]],N21788,RawData[Month List],$Q$6,RawData[Tour/Site],$Q$2,RawData[[Picker ID ]],$Q$3,RawData[Checker ID],$Q$4,RawData[[Error Type ]],$Q$5))</f>
        <v/>
      </c>
    </row>
    <row r="21789" spans="15:15" x14ac:dyDescent="0.25">
      <c r="O21789" s="20" t="str">
        <f>IF(N21789="","",COUNTIFS(RawData[[Date ]],N21789,RawData[Month List],$Q$6,RawData[Tour/Site],$Q$2,RawData[[Picker ID ]],$Q$3,RawData[Checker ID],$Q$4,RawData[[Error Type ]],$Q$5))</f>
        <v/>
      </c>
    </row>
    <row r="21790" spans="15:15" x14ac:dyDescent="0.25">
      <c r="O21790" s="20" t="str">
        <f>IF(N21790="","",COUNTIFS(RawData[[Date ]],N21790,RawData[Month List],$Q$6,RawData[Tour/Site],$Q$2,RawData[[Picker ID ]],$Q$3,RawData[Checker ID],$Q$4,RawData[[Error Type ]],$Q$5))</f>
        <v/>
      </c>
    </row>
    <row r="21791" spans="15:15" x14ac:dyDescent="0.25">
      <c r="O21791" s="20" t="str">
        <f>IF(N21791="","",COUNTIFS(RawData[[Date ]],N21791,RawData[Month List],$Q$6,RawData[Tour/Site],$Q$2,RawData[[Picker ID ]],$Q$3,RawData[Checker ID],$Q$4,RawData[[Error Type ]],$Q$5))</f>
        <v/>
      </c>
    </row>
    <row r="21792" spans="15:15" x14ac:dyDescent="0.25">
      <c r="O21792" s="20" t="str">
        <f>IF(N21792="","",COUNTIFS(RawData[[Date ]],N21792,RawData[Month List],$Q$6,RawData[Tour/Site],$Q$2,RawData[[Picker ID ]],$Q$3,RawData[Checker ID],$Q$4,RawData[[Error Type ]],$Q$5))</f>
        <v/>
      </c>
    </row>
    <row r="21793" spans="15:15" x14ac:dyDescent="0.25">
      <c r="O21793" s="20" t="str">
        <f>IF(N21793="","",COUNTIFS(RawData[[Date ]],N21793,RawData[Month List],$Q$6,RawData[Tour/Site],$Q$2,RawData[[Picker ID ]],$Q$3,RawData[Checker ID],$Q$4,RawData[[Error Type ]],$Q$5))</f>
        <v/>
      </c>
    </row>
    <row r="21794" spans="15:15" x14ac:dyDescent="0.25">
      <c r="O21794" s="20" t="str">
        <f>IF(N21794="","",COUNTIFS(RawData[[Date ]],N21794,RawData[Month List],$Q$6,RawData[Tour/Site],$Q$2,RawData[[Picker ID ]],$Q$3,RawData[Checker ID],$Q$4,RawData[[Error Type ]],$Q$5))</f>
        <v/>
      </c>
    </row>
    <row r="21795" spans="15:15" x14ac:dyDescent="0.25">
      <c r="O21795" s="20" t="str">
        <f>IF(N21795="","",COUNTIFS(RawData[[Date ]],N21795,RawData[Month List],$Q$6,RawData[Tour/Site],$Q$2,RawData[[Picker ID ]],$Q$3,RawData[Checker ID],$Q$4,RawData[[Error Type ]],$Q$5))</f>
        <v/>
      </c>
    </row>
    <row r="21796" spans="15:15" x14ac:dyDescent="0.25">
      <c r="O21796" s="20" t="str">
        <f>IF(N21796="","",COUNTIFS(RawData[[Date ]],N21796,RawData[Month List],$Q$6,RawData[Tour/Site],$Q$2,RawData[[Picker ID ]],$Q$3,RawData[Checker ID],$Q$4,RawData[[Error Type ]],$Q$5))</f>
        <v/>
      </c>
    </row>
    <row r="21797" spans="15:15" x14ac:dyDescent="0.25">
      <c r="O21797" s="20" t="str">
        <f>IF(N21797="","",COUNTIFS(RawData[[Date ]],N21797,RawData[Month List],$Q$6,RawData[Tour/Site],$Q$2,RawData[[Picker ID ]],$Q$3,RawData[Checker ID],$Q$4,RawData[[Error Type ]],$Q$5))</f>
        <v/>
      </c>
    </row>
    <row r="21798" spans="15:15" x14ac:dyDescent="0.25">
      <c r="O21798" s="20" t="str">
        <f>IF(N21798="","",COUNTIFS(RawData[[Date ]],N21798,RawData[Month List],$Q$6,RawData[Tour/Site],$Q$2,RawData[[Picker ID ]],$Q$3,RawData[Checker ID],$Q$4,RawData[[Error Type ]],$Q$5))</f>
        <v/>
      </c>
    </row>
    <row r="21799" spans="15:15" x14ac:dyDescent="0.25">
      <c r="O21799" s="20" t="str">
        <f>IF(N21799="","",COUNTIFS(RawData[[Date ]],N21799,RawData[Month List],$Q$6,RawData[Tour/Site],$Q$2,RawData[[Picker ID ]],$Q$3,RawData[Checker ID],$Q$4,RawData[[Error Type ]],$Q$5))</f>
        <v/>
      </c>
    </row>
    <row r="21800" spans="15:15" x14ac:dyDescent="0.25">
      <c r="O21800" s="20" t="str">
        <f>IF(N21800="","",COUNTIFS(RawData[[Date ]],N21800,RawData[Month List],$Q$6,RawData[Tour/Site],$Q$2,RawData[[Picker ID ]],$Q$3,RawData[Checker ID],$Q$4,RawData[[Error Type ]],$Q$5))</f>
        <v/>
      </c>
    </row>
    <row r="21801" spans="15:15" x14ac:dyDescent="0.25">
      <c r="O21801" s="20" t="str">
        <f>IF(N21801="","",COUNTIFS(RawData[[Date ]],N21801,RawData[Month List],$Q$6,RawData[Tour/Site],$Q$2,RawData[[Picker ID ]],$Q$3,RawData[Checker ID],$Q$4,RawData[[Error Type ]],$Q$5))</f>
        <v/>
      </c>
    </row>
    <row r="21802" spans="15:15" x14ac:dyDescent="0.25">
      <c r="O21802" s="20" t="str">
        <f>IF(N21802="","",COUNTIFS(RawData[[Date ]],N21802,RawData[Month List],$Q$6,RawData[Tour/Site],$Q$2,RawData[[Picker ID ]],$Q$3,RawData[Checker ID],$Q$4,RawData[[Error Type ]],$Q$5))</f>
        <v/>
      </c>
    </row>
    <row r="21803" spans="15:15" x14ac:dyDescent="0.25">
      <c r="O21803" s="20" t="str">
        <f>IF(N21803="","",COUNTIFS(RawData[[Date ]],N21803,RawData[Month List],$Q$6,RawData[Tour/Site],$Q$2,RawData[[Picker ID ]],$Q$3,RawData[Checker ID],$Q$4,RawData[[Error Type ]],$Q$5))</f>
        <v/>
      </c>
    </row>
    <row r="21804" spans="15:15" x14ac:dyDescent="0.25">
      <c r="O21804" s="20" t="str">
        <f>IF(N21804="","",COUNTIFS(RawData[[Date ]],N21804,RawData[Month List],$Q$6,RawData[Tour/Site],$Q$2,RawData[[Picker ID ]],$Q$3,RawData[Checker ID],$Q$4,RawData[[Error Type ]],$Q$5))</f>
        <v/>
      </c>
    </row>
    <row r="21805" spans="15:15" x14ac:dyDescent="0.25">
      <c r="O21805" s="20" t="str">
        <f>IF(N21805="","",COUNTIFS(RawData[[Date ]],N21805,RawData[Month List],$Q$6,RawData[Tour/Site],$Q$2,RawData[[Picker ID ]],$Q$3,RawData[Checker ID],$Q$4,RawData[[Error Type ]],$Q$5))</f>
        <v/>
      </c>
    </row>
    <row r="21806" spans="15:15" x14ac:dyDescent="0.25">
      <c r="O21806" s="20" t="str">
        <f>IF(N21806="","",COUNTIFS(RawData[[Date ]],N21806,RawData[Month List],$Q$6,RawData[Tour/Site],$Q$2,RawData[[Picker ID ]],$Q$3,RawData[Checker ID],$Q$4,RawData[[Error Type ]],$Q$5))</f>
        <v/>
      </c>
    </row>
    <row r="21807" spans="15:15" x14ac:dyDescent="0.25">
      <c r="O21807" s="20" t="str">
        <f>IF(N21807="","",COUNTIFS(RawData[[Date ]],N21807,RawData[Month List],$Q$6,RawData[Tour/Site],$Q$2,RawData[[Picker ID ]],$Q$3,RawData[Checker ID],$Q$4,RawData[[Error Type ]],$Q$5))</f>
        <v/>
      </c>
    </row>
    <row r="21808" spans="15:15" x14ac:dyDescent="0.25">
      <c r="O21808" s="20" t="str">
        <f>IF(N21808="","",COUNTIFS(RawData[[Date ]],N21808,RawData[Month List],$Q$6,RawData[Tour/Site],$Q$2,RawData[[Picker ID ]],$Q$3,RawData[Checker ID],$Q$4,RawData[[Error Type ]],$Q$5))</f>
        <v/>
      </c>
    </row>
    <row r="21809" spans="15:15" x14ac:dyDescent="0.25">
      <c r="O21809" s="20" t="str">
        <f>IF(N21809="","",COUNTIFS(RawData[[Date ]],N21809,RawData[Month List],$Q$6,RawData[Tour/Site],$Q$2,RawData[[Picker ID ]],$Q$3,RawData[Checker ID],$Q$4,RawData[[Error Type ]],$Q$5))</f>
        <v/>
      </c>
    </row>
    <row r="21810" spans="15:15" x14ac:dyDescent="0.25">
      <c r="O21810" s="20" t="str">
        <f>IF(N21810="","",COUNTIFS(RawData[[Date ]],N21810,RawData[Month List],$Q$6,RawData[Tour/Site],$Q$2,RawData[[Picker ID ]],$Q$3,RawData[Checker ID],$Q$4,RawData[[Error Type ]],$Q$5))</f>
        <v/>
      </c>
    </row>
    <row r="21811" spans="15:15" x14ac:dyDescent="0.25">
      <c r="O21811" s="20" t="str">
        <f>IF(N21811="","",COUNTIFS(RawData[[Date ]],N21811,RawData[Month List],$Q$6,RawData[Tour/Site],$Q$2,RawData[[Picker ID ]],$Q$3,RawData[Checker ID],$Q$4,RawData[[Error Type ]],$Q$5))</f>
        <v/>
      </c>
    </row>
    <row r="21812" spans="15:15" x14ac:dyDescent="0.25">
      <c r="O21812" s="20" t="str">
        <f>IF(N21812="","",COUNTIFS(RawData[[Date ]],N21812,RawData[Month List],$Q$6,RawData[Tour/Site],$Q$2,RawData[[Picker ID ]],$Q$3,RawData[Checker ID],$Q$4,RawData[[Error Type ]],$Q$5))</f>
        <v/>
      </c>
    </row>
    <row r="21813" spans="15:15" x14ac:dyDescent="0.25">
      <c r="O21813" s="20" t="str">
        <f>IF(N21813="","",COUNTIFS(RawData[[Date ]],N21813,RawData[Month List],$Q$6,RawData[Tour/Site],$Q$2,RawData[[Picker ID ]],$Q$3,RawData[Checker ID],$Q$4,RawData[[Error Type ]],$Q$5))</f>
        <v/>
      </c>
    </row>
    <row r="21814" spans="15:15" x14ac:dyDescent="0.25">
      <c r="O21814" s="20" t="str">
        <f>IF(N21814="","",COUNTIFS(RawData[[Date ]],N21814,RawData[Month List],$Q$6,RawData[Tour/Site],$Q$2,RawData[[Picker ID ]],$Q$3,RawData[Checker ID],$Q$4,RawData[[Error Type ]],$Q$5))</f>
        <v/>
      </c>
    </row>
    <row r="21815" spans="15:15" x14ac:dyDescent="0.25">
      <c r="O21815" s="20" t="str">
        <f>IF(N21815="","",COUNTIFS(RawData[[Date ]],N21815,RawData[Month List],$Q$6,RawData[Tour/Site],$Q$2,RawData[[Picker ID ]],$Q$3,RawData[Checker ID],$Q$4,RawData[[Error Type ]],$Q$5))</f>
        <v/>
      </c>
    </row>
    <row r="21816" spans="15:15" x14ac:dyDescent="0.25">
      <c r="O21816" s="20" t="str">
        <f>IF(N21816="","",COUNTIFS(RawData[[Date ]],N21816,RawData[Month List],$Q$6,RawData[Tour/Site],$Q$2,RawData[[Picker ID ]],$Q$3,RawData[Checker ID],$Q$4,RawData[[Error Type ]],$Q$5))</f>
        <v/>
      </c>
    </row>
    <row r="21817" spans="15:15" x14ac:dyDescent="0.25">
      <c r="O21817" s="20" t="str">
        <f>IF(N21817="","",COUNTIFS(RawData[[Date ]],N21817,RawData[Month List],$Q$6,RawData[Tour/Site],$Q$2,RawData[[Picker ID ]],$Q$3,RawData[Checker ID],$Q$4,RawData[[Error Type ]],$Q$5))</f>
        <v/>
      </c>
    </row>
    <row r="21818" spans="15:15" x14ac:dyDescent="0.25">
      <c r="O21818" s="20" t="str">
        <f>IF(N21818="","",COUNTIFS(RawData[[Date ]],N21818,RawData[Month List],$Q$6,RawData[Tour/Site],$Q$2,RawData[[Picker ID ]],$Q$3,RawData[Checker ID],$Q$4,RawData[[Error Type ]],$Q$5))</f>
        <v/>
      </c>
    </row>
    <row r="21819" spans="15:15" x14ac:dyDescent="0.25">
      <c r="O21819" s="20" t="str">
        <f>IF(N21819="","",COUNTIFS(RawData[[Date ]],N21819,RawData[Month List],$Q$6,RawData[Tour/Site],$Q$2,RawData[[Picker ID ]],$Q$3,RawData[Checker ID],$Q$4,RawData[[Error Type ]],$Q$5))</f>
        <v/>
      </c>
    </row>
    <row r="21820" spans="15:15" x14ac:dyDescent="0.25">
      <c r="O21820" s="20" t="str">
        <f>IF(N21820="","",COUNTIFS(RawData[[Date ]],N21820,RawData[Month List],$Q$6,RawData[Tour/Site],$Q$2,RawData[[Picker ID ]],$Q$3,RawData[Checker ID],$Q$4,RawData[[Error Type ]],$Q$5))</f>
        <v/>
      </c>
    </row>
    <row r="21821" spans="15:15" x14ac:dyDescent="0.25">
      <c r="O21821" s="20" t="str">
        <f>IF(N21821="","",COUNTIFS(RawData[[Date ]],N21821,RawData[Month List],$Q$6,RawData[Tour/Site],$Q$2,RawData[[Picker ID ]],$Q$3,RawData[Checker ID],$Q$4,RawData[[Error Type ]],$Q$5))</f>
        <v/>
      </c>
    </row>
    <row r="21822" spans="15:15" x14ac:dyDescent="0.25">
      <c r="O21822" s="20" t="str">
        <f>IF(N21822="","",COUNTIFS(RawData[[Date ]],N21822,RawData[Month List],$Q$6,RawData[Tour/Site],$Q$2,RawData[[Picker ID ]],$Q$3,RawData[Checker ID],$Q$4,RawData[[Error Type ]],$Q$5))</f>
        <v/>
      </c>
    </row>
    <row r="21823" spans="15:15" x14ac:dyDescent="0.25">
      <c r="O21823" s="20" t="str">
        <f>IF(N21823="","",COUNTIFS(RawData[[Date ]],N21823,RawData[Month List],$Q$6,RawData[Tour/Site],$Q$2,RawData[[Picker ID ]],$Q$3,RawData[Checker ID],$Q$4,RawData[[Error Type ]],$Q$5))</f>
        <v/>
      </c>
    </row>
    <row r="21824" spans="15:15" x14ac:dyDescent="0.25">
      <c r="O21824" s="20" t="str">
        <f>IF(N21824="","",COUNTIFS(RawData[[Date ]],N21824,RawData[Month List],$Q$6,RawData[Tour/Site],$Q$2,RawData[[Picker ID ]],$Q$3,RawData[Checker ID],$Q$4,RawData[[Error Type ]],$Q$5))</f>
        <v/>
      </c>
    </row>
    <row r="21825" spans="15:15" x14ac:dyDescent="0.25">
      <c r="O21825" s="20" t="str">
        <f>IF(N21825="","",COUNTIFS(RawData[[Date ]],N21825,RawData[Month List],$Q$6,RawData[Tour/Site],$Q$2,RawData[[Picker ID ]],$Q$3,RawData[Checker ID],$Q$4,RawData[[Error Type ]],$Q$5))</f>
        <v/>
      </c>
    </row>
    <row r="21826" spans="15:15" x14ac:dyDescent="0.25">
      <c r="O21826" s="20" t="str">
        <f>IF(N21826="","",COUNTIFS(RawData[[Date ]],N21826,RawData[Month List],$Q$6,RawData[Tour/Site],$Q$2,RawData[[Picker ID ]],$Q$3,RawData[Checker ID],$Q$4,RawData[[Error Type ]],$Q$5))</f>
        <v/>
      </c>
    </row>
    <row r="21827" spans="15:15" x14ac:dyDescent="0.25">
      <c r="O21827" s="20" t="str">
        <f>IF(N21827="","",COUNTIFS(RawData[[Date ]],N21827,RawData[Month List],$Q$6,RawData[Tour/Site],$Q$2,RawData[[Picker ID ]],$Q$3,RawData[Checker ID],$Q$4,RawData[[Error Type ]],$Q$5))</f>
        <v/>
      </c>
    </row>
    <row r="21828" spans="15:15" x14ac:dyDescent="0.25">
      <c r="O21828" s="20" t="str">
        <f>IF(N21828="","",COUNTIFS(RawData[[Date ]],N21828,RawData[Month List],$Q$6,RawData[Tour/Site],$Q$2,RawData[[Picker ID ]],$Q$3,RawData[Checker ID],$Q$4,RawData[[Error Type ]],$Q$5))</f>
        <v/>
      </c>
    </row>
    <row r="21829" spans="15:15" x14ac:dyDescent="0.25">
      <c r="O21829" s="20" t="str">
        <f>IF(N21829="","",COUNTIFS(RawData[[Date ]],N21829,RawData[Month List],$Q$6,RawData[Tour/Site],$Q$2,RawData[[Picker ID ]],$Q$3,RawData[Checker ID],$Q$4,RawData[[Error Type ]],$Q$5))</f>
        <v/>
      </c>
    </row>
    <row r="21830" spans="15:15" x14ac:dyDescent="0.25">
      <c r="O21830" s="20" t="str">
        <f>IF(N21830="","",COUNTIFS(RawData[[Date ]],N21830,RawData[Month List],$Q$6,RawData[Tour/Site],$Q$2,RawData[[Picker ID ]],$Q$3,RawData[Checker ID],$Q$4,RawData[[Error Type ]],$Q$5))</f>
        <v/>
      </c>
    </row>
    <row r="21831" spans="15:15" x14ac:dyDescent="0.25">
      <c r="O21831" s="20" t="str">
        <f>IF(N21831="","",COUNTIFS(RawData[[Date ]],N21831,RawData[Month List],$Q$6,RawData[Tour/Site],$Q$2,RawData[[Picker ID ]],$Q$3,RawData[Checker ID],$Q$4,RawData[[Error Type ]],$Q$5))</f>
        <v/>
      </c>
    </row>
    <row r="21832" spans="15:15" x14ac:dyDescent="0.25">
      <c r="O21832" s="20" t="str">
        <f>IF(N21832="","",COUNTIFS(RawData[[Date ]],N21832,RawData[Month List],$Q$6,RawData[Tour/Site],$Q$2,RawData[[Picker ID ]],$Q$3,RawData[Checker ID],$Q$4,RawData[[Error Type ]],$Q$5))</f>
        <v/>
      </c>
    </row>
    <row r="21833" spans="15:15" x14ac:dyDescent="0.25">
      <c r="O21833" s="20" t="str">
        <f>IF(N21833="","",COUNTIFS(RawData[[Date ]],N21833,RawData[Month List],$Q$6,RawData[Tour/Site],$Q$2,RawData[[Picker ID ]],$Q$3,RawData[Checker ID],$Q$4,RawData[[Error Type ]],$Q$5))</f>
        <v/>
      </c>
    </row>
    <row r="21834" spans="15:15" x14ac:dyDescent="0.25">
      <c r="O21834" s="20" t="str">
        <f>IF(N21834="","",COUNTIFS(RawData[[Date ]],N21834,RawData[Month List],$Q$6,RawData[Tour/Site],$Q$2,RawData[[Picker ID ]],$Q$3,RawData[Checker ID],$Q$4,RawData[[Error Type ]],$Q$5))</f>
        <v/>
      </c>
    </row>
    <row r="21835" spans="15:15" x14ac:dyDescent="0.25">
      <c r="O21835" s="20" t="str">
        <f>IF(N21835="","",COUNTIFS(RawData[[Date ]],N21835,RawData[Month List],$Q$6,RawData[Tour/Site],$Q$2,RawData[[Picker ID ]],$Q$3,RawData[Checker ID],$Q$4,RawData[[Error Type ]],$Q$5))</f>
        <v/>
      </c>
    </row>
    <row r="21836" spans="15:15" x14ac:dyDescent="0.25">
      <c r="O21836" s="20" t="str">
        <f>IF(N21836="","",COUNTIFS(RawData[[Date ]],N21836,RawData[Month List],$Q$6,RawData[Tour/Site],$Q$2,RawData[[Picker ID ]],$Q$3,RawData[Checker ID],$Q$4,RawData[[Error Type ]],$Q$5))</f>
        <v/>
      </c>
    </row>
    <row r="21837" spans="15:15" x14ac:dyDescent="0.25">
      <c r="O21837" s="20" t="str">
        <f>IF(N21837="","",COUNTIFS(RawData[[Date ]],N21837,RawData[Month List],$Q$6,RawData[Tour/Site],$Q$2,RawData[[Picker ID ]],$Q$3,RawData[Checker ID],$Q$4,RawData[[Error Type ]],$Q$5))</f>
        <v/>
      </c>
    </row>
    <row r="21838" spans="15:15" x14ac:dyDescent="0.25">
      <c r="O21838" s="20" t="str">
        <f>IF(N21838="","",COUNTIFS(RawData[[Date ]],N21838,RawData[Month List],$Q$6,RawData[Tour/Site],$Q$2,RawData[[Picker ID ]],$Q$3,RawData[Checker ID],$Q$4,RawData[[Error Type ]],$Q$5))</f>
        <v/>
      </c>
    </row>
    <row r="21839" spans="15:15" x14ac:dyDescent="0.25">
      <c r="O21839" s="20" t="str">
        <f>IF(N21839="","",COUNTIFS(RawData[[Date ]],N21839,RawData[Month List],$Q$6,RawData[Tour/Site],$Q$2,RawData[[Picker ID ]],$Q$3,RawData[Checker ID],$Q$4,RawData[[Error Type ]],$Q$5))</f>
        <v/>
      </c>
    </row>
    <row r="21840" spans="15:15" x14ac:dyDescent="0.25">
      <c r="O21840" s="20" t="str">
        <f>IF(N21840="","",COUNTIFS(RawData[[Date ]],N21840,RawData[Month List],$Q$6,RawData[Tour/Site],$Q$2,RawData[[Picker ID ]],$Q$3,RawData[Checker ID],$Q$4,RawData[[Error Type ]],$Q$5))</f>
        <v/>
      </c>
    </row>
    <row r="21841" spans="15:15" x14ac:dyDescent="0.25">
      <c r="O21841" s="20" t="str">
        <f>IF(N21841="","",COUNTIFS(RawData[[Date ]],N21841,RawData[Month List],$Q$6,RawData[Tour/Site],$Q$2,RawData[[Picker ID ]],$Q$3,RawData[Checker ID],$Q$4,RawData[[Error Type ]],$Q$5))</f>
        <v/>
      </c>
    </row>
    <row r="21842" spans="15:15" x14ac:dyDescent="0.25">
      <c r="O21842" s="20" t="str">
        <f>IF(N21842="","",COUNTIFS(RawData[[Date ]],N21842,RawData[Month List],$Q$6,RawData[Tour/Site],$Q$2,RawData[[Picker ID ]],$Q$3,RawData[Checker ID],$Q$4,RawData[[Error Type ]],$Q$5))</f>
        <v/>
      </c>
    </row>
    <row r="21843" spans="15:15" x14ac:dyDescent="0.25">
      <c r="O21843" s="20" t="str">
        <f>IF(N21843="","",COUNTIFS(RawData[[Date ]],N21843,RawData[Month List],$Q$6,RawData[Tour/Site],$Q$2,RawData[[Picker ID ]],$Q$3,RawData[Checker ID],$Q$4,RawData[[Error Type ]],$Q$5))</f>
        <v/>
      </c>
    </row>
    <row r="21844" spans="15:15" x14ac:dyDescent="0.25">
      <c r="O21844" s="20" t="str">
        <f>IF(N21844="","",COUNTIFS(RawData[[Date ]],N21844,RawData[Month List],$Q$6,RawData[Tour/Site],$Q$2,RawData[[Picker ID ]],$Q$3,RawData[Checker ID],$Q$4,RawData[[Error Type ]],$Q$5))</f>
        <v/>
      </c>
    </row>
    <row r="21845" spans="15:15" x14ac:dyDescent="0.25">
      <c r="O21845" s="20" t="str">
        <f>IF(N21845="","",COUNTIFS(RawData[[Date ]],N21845,RawData[Month List],$Q$6,RawData[Tour/Site],$Q$2,RawData[[Picker ID ]],$Q$3,RawData[Checker ID],$Q$4,RawData[[Error Type ]],$Q$5))</f>
        <v/>
      </c>
    </row>
    <row r="21846" spans="15:15" x14ac:dyDescent="0.25">
      <c r="O21846" s="20" t="str">
        <f>IF(N21846="","",COUNTIFS(RawData[[Date ]],N21846,RawData[Month List],$Q$6,RawData[Tour/Site],$Q$2,RawData[[Picker ID ]],$Q$3,RawData[Checker ID],$Q$4,RawData[[Error Type ]],$Q$5))</f>
        <v/>
      </c>
    </row>
    <row r="21847" spans="15:15" x14ac:dyDescent="0.25">
      <c r="O21847" s="20" t="str">
        <f>IF(N21847="","",COUNTIFS(RawData[[Date ]],N21847,RawData[Month List],$Q$6,RawData[Tour/Site],$Q$2,RawData[[Picker ID ]],$Q$3,RawData[Checker ID],$Q$4,RawData[[Error Type ]],$Q$5))</f>
        <v/>
      </c>
    </row>
    <row r="21848" spans="15:15" x14ac:dyDescent="0.25">
      <c r="O21848" s="20" t="str">
        <f>IF(N21848="","",COUNTIFS(RawData[[Date ]],N21848,RawData[Month List],$Q$6,RawData[Tour/Site],$Q$2,RawData[[Picker ID ]],$Q$3,RawData[Checker ID],$Q$4,RawData[[Error Type ]],$Q$5))</f>
        <v/>
      </c>
    </row>
    <row r="21849" spans="15:15" x14ac:dyDescent="0.25">
      <c r="O21849" s="20" t="str">
        <f>IF(N21849="","",COUNTIFS(RawData[[Date ]],N21849,RawData[Month List],$Q$6,RawData[Tour/Site],$Q$2,RawData[[Picker ID ]],$Q$3,RawData[Checker ID],$Q$4,RawData[[Error Type ]],$Q$5))</f>
        <v/>
      </c>
    </row>
    <row r="21850" spans="15:15" x14ac:dyDescent="0.25">
      <c r="O21850" s="20" t="str">
        <f>IF(N21850="","",COUNTIFS(RawData[[Date ]],N21850,RawData[Month List],$Q$6,RawData[Tour/Site],$Q$2,RawData[[Picker ID ]],$Q$3,RawData[Checker ID],$Q$4,RawData[[Error Type ]],$Q$5))</f>
        <v/>
      </c>
    </row>
    <row r="21851" spans="15:15" x14ac:dyDescent="0.25">
      <c r="O21851" s="20" t="str">
        <f>IF(N21851="","",COUNTIFS(RawData[[Date ]],N21851,RawData[Month List],$Q$6,RawData[Tour/Site],$Q$2,RawData[[Picker ID ]],$Q$3,RawData[Checker ID],$Q$4,RawData[[Error Type ]],$Q$5))</f>
        <v/>
      </c>
    </row>
    <row r="21852" spans="15:15" x14ac:dyDescent="0.25">
      <c r="O21852" s="20" t="str">
        <f>IF(N21852="","",COUNTIFS(RawData[[Date ]],N21852,RawData[Month List],$Q$6,RawData[Tour/Site],$Q$2,RawData[[Picker ID ]],$Q$3,RawData[Checker ID],$Q$4,RawData[[Error Type ]],$Q$5))</f>
        <v/>
      </c>
    </row>
    <row r="21853" spans="15:15" x14ac:dyDescent="0.25">
      <c r="O21853" s="20" t="str">
        <f>IF(N21853="","",COUNTIFS(RawData[[Date ]],N21853,RawData[Month List],$Q$6,RawData[Tour/Site],$Q$2,RawData[[Picker ID ]],$Q$3,RawData[Checker ID],$Q$4,RawData[[Error Type ]],$Q$5))</f>
        <v/>
      </c>
    </row>
    <row r="21854" spans="15:15" x14ac:dyDescent="0.25">
      <c r="O21854" s="20" t="str">
        <f>IF(N21854="","",COUNTIFS(RawData[[Date ]],N21854,RawData[Month List],$Q$6,RawData[Tour/Site],$Q$2,RawData[[Picker ID ]],$Q$3,RawData[Checker ID],$Q$4,RawData[[Error Type ]],$Q$5))</f>
        <v/>
      </c>
    </row>
    <row r="21855" spans="15:15" x14ac:dyDescent="0.25">
      <c r="O21855" s="20" t="str">
        <f>IF(N21855="","",COUNTIFS(RawData[[Date ]],N21855,RawData[Month List],$Q$6,RawData[Tour/Site],$Q$2,RawData[[Picker ID ]],$Q$3,RawData[Checker ID],$Q$4,RawData[[Error Type ]],$Q$5))</f>
        <v/>
      </c>
    </row>
    <row r="21856" spans="15:15" x14ac:dyDescent="0.25">
      <c r="O21856" s="20" t="str">
        <f>IF(N21856="","",COUNTIFS(RawData[[Date ]],N21856,RawData[Month List],$Q$6,RawData[Tour/Site],$Q$2,RawData[[Picker ID ]],$Q$3,RawData[Checker ID],$Q$4,RawData[[Error Type ]],$Q$5))</f>
        <v/>
      </c>
    </row>
    <row r="21857" spans="15:15" x14ac:dyDescent="0.25">
      <c r="O21857" s="20" t="str">
        <f>IF(N21857="","",COUNTIFS(RawData[[Date ]],N21857,RawData[Month List],$Q$6,RawData[Tour/Site],$Q$2,RawData[[Picker ID ]],$Q$3,RawData[Checker ID],$Q$4,RawData[[Error Type ]],$Q$5))</f>
        <v/>
      </c>
    </row>
    <row r="21858" spans="15:15" x14ac:dyDescent="0.25">
      <c r="O21858" s="20" t="str">
        <f>IF(N21858="","",COUNTIFS(RawData[[Date ]],N21858,RawData[Month List],$Q$6,RawData[Tour/Site],$Q$2,RawData[[Picker ID ]],$Q$3,RawData[Checker ID],$Q$4,RawData[[Error Type ]],$Q$5))</f>
        <v/>
      </c>
    </row>
    <row r="21859" spans="15:15" x14ac:dyDescent="0.25">
      <c r="O21859" s="20" t="str">
        <f>IF(N21859="","",COUNTIFS(RawData[[Date ]],N21859,RawData[Month List],$Q$6,RawData[Tour/Site],$Q$2,RawData[[Picker ID ]],$Q$3,RawData[Checker ID],$Q$4,RawData[[Error Type ]],$Q$5))</f>
        <v/>
      </c>
    </row>
    <row r="21860" spans="15:15" x14ac:dyDescent="0.25">
      <c r="O21860" s="20" t="str">
        <f>IF(N21860="","",COUNTIFS(RawData[[Date ]],N21860,RawData[Month List],$Q$6,RawData[Tour/Site],$Q$2,RawData[[Picker ID ]],$Q$3,RawData[Checker ID],$Q$4,RawData[[Error Type ]],$Q$5))</f>
        <v/>
      </c>
    </row>
    <row r="21861" spans="15:15" x14ac:dyDescent="0.25">
      <c r="O21861" s="20" t="str">
        <f>IF(N21861="","",COUNTIFS(RawData[[Date ]],N21861,RawData[Month List],$Q$6,RawData[Tour/Site],$Q$2,RawData[[Picker ID ]],$Q$3,RawData[Checker ID],$Q$4,RawData[[Error Type ]],$Q$5))</f>
        <v/>
      </c>
    </row>
    <row r="21862" spans="15:15" x14ac:dyDescent="0.25">
      <c r="O21862" s="20" t="str">
        <f>IF(N21862="","",COUNTIFS(RawData[[Date ]],N21862,RawData[Month List],$Q$6,RawData[Tour/Site],$Q$2,RawData[[Picker ID ]],$Q$3,RawData[Checker ID],$Q$4,RawData[[Error Type ]],$Q$5))</f>
        <v/>
      </c>
    </row>
    <row r="21863" spans="15:15" x14ac:dyDescent="0.25">
      <c r="O21863" s="20" t="str">
        <f>IF(N21863="","",COUNTIFS(RawData[[Date ]],N21863,RawData[Month List],$Q$6,RawData[Tour/Site],$Q$2,RawData[[Picker ID ]],$Q$3,RawData[Checker ID],$Q$4,RawData[[Error Type ]],$Q$5))</f>
        <v/>
      </c>
    </row>
    <row r="21864" spans="15:15" x14ac:dyDescent="0.25">
      <c r="O21864" s="20" t="str">
        <f>IF(N21864="","",COUNTIFS(RawData[[Date ]],N21864,RawData[Month List],$Q$6,RawData[Tour/Site],$Q$2,RawData[[Picker ID ]],$Q$3,RawData[Checker ID],$Q$4,RawData[[Error Type ]],$Q$5))</f>
        <v/>
      </c>
    </row>
    <row r="21865" spans="15:15" x14ac:dyDescent="0.25">
      <c r="O21865" s="20" t="str">
        <f>IF(N21865="","",COUNTIFS(RawData[[Date ]],N21865,RawData[Month List],$Q$6,RawData[Tour/Site],$Q$2,RawData[[Picker ID ]],$Q$3,RawData[Checker ID],$Q$4,RawData[[Error Type ]],$Q$5))</f>
        <v/>
      </c>
    </row>
    <row r="21866" spans="15:15" x14ac:dyDescent="0.25">
      <c r="O21866" s="20" t="str">
        <f>IF(N21866="","",COUNTIFS(RawData[[Date ]],N21866,RawData[Month List],$Q$6,RawData[Tour/Site],$Q$2,RawData[[Picker ID ]],$Q$3,RawData[Checker ID],$Q$4,RawData[[Error Type ]],$Q$5))</f>
        <v/>
      </c>
    </row>
    <row r="21867" spans="15:15" x14ac:dyDescent="0.25">
      <c r="O21867" s="20" t="str">
        <f>IF(N21867="","",COUNTIFS(RawData[[Date ]],N21867,RawData[Month List],$Q$6,RawData[Tour/Site],$Q$2,RawData[[Picker ID ]],$Q$3,RawData[Checker ID],$Q$4,RawData[[Error Type ]],$Q$5))</f>
        <v/>
      </c>
    </row>
    <row r="21868" spans="15:15" x14ac:dyDescent="0.25">
      <c r="O21868" s="20" t="str">
        <f>IF(N21868="","",COUNTIFS(RawData[[Date ]],N21868,RawData[Month List],$Q$6,RawData[Tour/Site],$Q$2,RawData[[Picker ID ]],$Q$3,RawData[Checker ID],$Q$4,RawData[[Error Type ]],$Q$5))</f>
        <v/>
      </c>
    </row>
    <row r="21869" spans="15:15" x14ac:dyDescent="0.25">
      <c r="O21869" s="20" t="str">
        <f>IF(N21869="","",COUNTIFS(RawData[[Date ]],N21869,RawData[Month List],$Q$6,RawData[Tour/Site],$Q$2,RawData[[Picker ID ]],$Q$3,RawData[Checker ID],$Q$4,RawData[[Error Type ]],$Q$5))</f>
        <v/>
      </c>
    </row>
    <row r="21870" spans="15:15" x14ac:dyDescent="0.25">
      <c r="O21870" s="20" t="str">
        <f>IF(N21870="","",COUNTIFS(RawData[[Date ]],N21870,RawData[Month List],$Q$6,RawData[Tour/Site],$Q$2,RawData[[Picker ID ]],$Q$3,RawData[Checker ID],$Q$4,RawData[[Error Type ]],$Q$5))</f>
        <v/>
      </c>
    </row>
    <row r="21871" spans="15:15" x14ac:dyDescent="0.25">
      <c r="O21871" s="20" t="str">
        <f>IF(N21871="","",COUNTIFS(RawData[[Date ]],N21871,RawData[Month List],$Q$6,RawData[Tour/Site],$Q$2,RawData[[Picker ID ]],$Q$3,RawData[Checker ID],$Q$4,RawData[[Error Type ]],$Q$5))</f>
        <v/>
      </c>
    </row>
    <row r="21872" spans="15:15" x14ac:dyDescent="0.25">
      <c r="O21872" s="20" t="str">
        <f>IF(N21872="","",COUNTIFS(RawData[[Date ]],N21872,RawData[Month List],$Q$6,RawData[Tour/Site],$Q$2,RawData[[Picker ID ]],$Q$3,RawData[Checker ID],$Q$4,RawData[[Error Type ]],$Q$5))</f>
        <v/>
      </c>
    </row>
    <row r="21873" spans="15:15" x14ac:dyDescent="0.25">
      <c r="O21873" s="20" t="str">
        <f>IF(N21873="","",COUNTIFS(RawData[[Date ]],N21873,RawData[Month List],$Q$6,RawData[Tour/Site],$Q$2,RawData[[Picker ID ]],$Q$3,RawData[Checker ID],$Q$4,RawData[[Error Type ]],$Q$5))</f>
        <v/>
      </c>
    </row>
    <row r="21874" spans="15:15" x14ac:dyDescent="0.25">
      <c r="O21874" s="20" t="str">
        <f>IF(N21874="","",COUNTIFS(RawData[[Date ]],N21874,RawData[Month List],$Q$6,RawData[Tour/Site],$Q$2,RawData[[Picker ID ]],$Q$3,RawData[Checker ID],$Q$4,RawData[[Error Type ]],$Q$5))</f>
        <v/>
      </c>
    </row>
    <row r="21875" spans="15:15" x14ac:dyDescent="0.25">
      <c r="O21875" s="20" t="str">
        <f>IF(N21875="","",COUNTIFS(RawData[[Date ]],N21875,RawData[Month List],$Q$6,RawData[Tour/Site],$Q$2,RawData[[Picker ID ]],$Q$3,RawData[Checker ID],$Q$4,RawData[[Error Type ]],$Q$5))</f>
        <v/>
      </c>
    </row>
    <row r="21876" spans="15:15" x14ac:dyDescent="0.25">
      <c r="O21876" s="20" t="str">
        <f>IF(N21876="","",COUNTIFS(RawData[[Date ]],N21876,RawData[Month List],$Q$6,RawData[Tour/Site],$Q$2,RawData[[Picker ID ]],$Q$3,RawData[Checker ID],$Q$4,RawData[[Error Type ]],$Q$5))</f>
        <v/>
      </c>
    </row>
    <row r="21877" spans="15:15" x14ac:dyDescent="0.25">
      <c r="O21877" s="20" t="str">
        <f>IF(N21877="","",COUNTIFS(RawData[[Date ]],N21877,RawData[Month List],$Q$6,RawData[Tour/Site],$Q$2,RawData[[Picker ID ]],$Q$3,RawData[Checker ID],$Q$4,RawData[[Error Type ]],$Q$5))</f>
        <v/>
      </c>
    </row>
    <row r="21878" spans="15:15" x14ac:dyDescent="0.25">
      <c r="O21878" s="20" t="str">
        <f>IF(N21878="","",COUNTIFS(RawData[[Date ]],N21878,RawData[Month List],$Q$6,RawData[Tour/Site],$Q$2,RawData[[Picker ID ]],$Q$3,RawData[Checker ID],$Q$4,RawData[[Error Type ]],$Q$5))</f>
        <v/>
      </c>
    </row>
    <row r="21879" spans="15:15" x14ac:dyDescent="0.25">
      <c r="O21879" s="20" t="str">
        <f>IF(N21879="","",COUNTIFS(RawData[[Date ]],N21879,RawData[Month List],$Q$6,RawData[Tour/Site],$Q$2,RawData[[Picker ID ]],$Q$3,RawData[Checker ID],$Q$4,RawData[[Error Type ]],$Q$5))</f>
        <v/>
      </c>
    </row>
    <row r="21880" spans="15:15" x14ac:dyDescent="0.25">
      <c r="O21880" s="20" t="str">
        <f>IF(N21880="","",COUNTIFS(RawData[[Date ]],N21880,RawData[Month List],$Q$6,RawData[Tour/Site],$Q$2,RawData[[Picker ID ]],$Q$3,RawData[Checker ID],$Q$4,RawData[[Error Type ]],$Q$5))</f>
        <v/>
      </c>
    </row>
    <row r="21881" spans="15:15" x14ac:dyDescent="0.25">
      <c r="O21881" s="20" t="str">
        <f>IF(N21881="","",COUNTIFS(RawData[[Date ]],N21881,RawData[Month List],$Q$6,RawData[Tour/Site],$Q$2,RawData[[Picker ID ]],$Q$3,RawData[Checker ID],$Q$4,RawData[[Error Type ]],$Q$5))</f>
        <v/>
      </c>
    </row>
    <row r="21882" spans="15:15" x14ac:dyDescent="0.25">
      <c r="O21882" s="20" t="str">
        <f>IF(N21882="","",COUNTIFS(RawData[[Date ]],N21882,RawData[Month List],$Q$6,RawData[Tour/Site],$Q$2,RawData[[Picker ID ]],$Q$3,RawData[Checker ID],$Q$4,RawData[[Error Type ]],$Q$5))</f>
        <v/>
      </c>
    </row>
    <row r="21883" spans="15:15" x14ac:dyDescent="0.25">
      <c r="O21883" s="20" t="str">
        <f>IF(N21883="","",COUNTIFS(RawData[[Date ]],N21883,RawData[Month List],$Q$6,RawData[Tour/Site],$Q$2,RawData[[Picker ID ]],$Q$3,RawData[Checker ID],$Q$4,RawData[[Error Type ]],$Q$5))</f>
        <v/>
      </c>
    </row>
    <row r="21884" spans="15:15" x14ac:dyDescent="0.25">
      <c r="O21884" s="20" t="str">
        <f>IF(N21884="","",COUNTIFS(RawData[[Date ]],N21884,RawData[Month List],$Q$6,RawData[Tour/Site],$Q$2,RawData[[Picker ID ]],$Q$3,RawData[Checker ID],$Q$4,RawData[[Error Type ]],$Q$5))</f>
        <v/>
      </c>
    </row>
    <row r="21885" spans="15:15" x14ac:dyDescent="0.25">
      <c r="O21885" s="20" t="str">
        <f>IF(N21885="","",COUNTIFS(RawData[[Date ]],N21885,RawData[Month List],$Q$6,RawData[Tour/Site],$Q$2,RawData[[Picker ID ]],$Q$3,RawData[Checker ID],$Q$4,RawData[[Error Type ]],$Q$5))</f>
        <v/>
      </c>
    </row>
    <row r="21886" spans="15:15" x14ac:dyDescent="0.25">
      <c r="O21886" s="20" t="str">
        <f>IF(N21886="","",COUNTIFS(RawData[[Date ]],N21886,RawData[Month List],$Q$6,RawData[Tour/Site],$Q$2,RawData[[Picker ID ]],$Q$3,RawData[Checker ID],$Q$4,RawData[[Error Type ]],$Q$5))</f>
        <v/>
      </c>
    </row>
    <row r="21887" spans="15:15" x14ac:dyDescent="0.25">
      <c r="O21887" s="20" t="str">
        <f>IF(N21887="","",COUNTIFS(RawData[[Date ]],N21887,RawData[Month List],$Q$6,RawData[Tour/Site],$Q$2,RawData[[Picker ID ]],$Q$3,RawData[Checker ID],$Q$4,RawData[[Error Type ]],$Q$5))</f>
        <v/>
      </c>
    </row>
    <row r="21888" spans="15:15" x14ac:dyDescent="0.25">
      <c r="O21888" s="20" t="str">
        <f>IF(N21888="","",COUNTIFS(RawData[[Date ]],N21888,RawData[Month List],$Q$6,RawData[Tour/Site],$Q$2,RawData[[Picker ID ]],$Q$3,RawData[Checker ID],$Q$4,RawData[[Error Type ]],$Q$5))</f>
        <v/>
      </c>
    </row>
    <row r="21889" spans="15:15" x14ac:dyDescent="0.25">
      <c r="O21889" s="20" t="str">
        <f>IF(N21889="","",COUNTIFS(RawData[[Date ]],N21889,RawData[Month List],$Q$6,RawData[Tour/Site],$Q$2,RawData[[Picker ID ]],$Q$3,RawData[Checker ID],$Q$4,RawData[[Error Type ]],$Q$5))</f>
        <v/>
      </c>
    </row>
    <row r="21890" spans="15:15" x14ac:dyDescent="0.25">
      <c r="O21890" s="20" t="str">
        <f>IF(N21890="","",COUNTIFS(RawData[[Date ]],N21890,RawData[Month List],$Q$6,RawData[Tour/Site],$Q$2,RawData[[Picker ID ]],$Q$3,RawData[Checker ID],$Q$4,RawData[[Error Type ]],$Q$5))</f>
        <v/>
      </c>
    </row>
    <row r="21891" spans="15:15" x14ac:dyDescent="0.25">
      <c r="O21891" s="20" t="str">
        <f>IF(N21891="","",COUNTIFS(RawData[[Date ]],N21891,RawData[Month List],$Q$6,RawData[Tour/Site],$Q$2,RawData[[Picker ID ]],$Q$3,RawData[Checker ID],$Q$4,RawData[[Error Type ]],$Q$5))</f>
        <v/>
      </c>
    </row>
    <row r="21892" spans="15:15" x14ac:dyDescent="0.25">
      <c r="O21892" s="20" t="str">
        <f>IF(N21892="","",COUNTIFS(RawData[[Date ]],N21892,RawData[Month List],$Q$6,RawData[Tour/Site],$Q$2,RawData[[Picker ID ]],$Q$3,RawData[Checker ID],$Q$4,RawData[[Error Type ]],$Q$5))</f>
        <v/>
      </c>
    </row>
    <row r="21893" spans="15:15" x14ac:dyDescent="0.25">
      <c r="O21893" s="20" t="str">
        <f>IF(N21893="","",COUNTIFS(RawData[[Date ]],N21893,RawData[Month List],$Q$6,RawData[Tour/Site],$Q$2,RawData[[Picker ID ]],$Q$3,RawData[Checker ID],$Q$4,RawData[[Error Type ]],$Q$5))</f>
        <v/>
      </c>
    </row>
    <row r="21894" spans="15:15" x14ac:dyDescent="0.25">
      <c r="O21894" s="20" t="str">
        <f>IF(N21894="","",COUNTIFS(RawData[[Date ]],N21894,RawData[Month List],$Q$6,RawData[Tour/Site],$Q$2,RawData[[Picker ID ]],$Q$3,RawData[Checker ID],$Q$4,RawData[[Error Type ]],$Q$5))</f>
        <v/>
      </c>
    </row>
    <row r="21895" spans="15:15" x14ac:dyDescent="0.25">
      <c r="O21895" s="20" t="str">
        <f>IF(N21895="","",COUNTIFS(RawData[[Date ]],N21895,RawData[Month List],$Q$6,RawData[Tour/Site],$Q$2,RawData[[Picker ID ]],$Q$3,RawData[Checker ID],$Q$4,RawData[[Error Type ]],$Q$5))</f>
        <v/>
      </c>
    </row>
    <row r="21896" spans="15:15" x14ac:dyDescent="0.25">
      <c r="O21896" s="20" t="str">
        <f>IF(N21896="","",COUNTIFS(RawData[[Date ]],N21896,RawData[Month List],$Q$6,RawData[Tour/Site],$Q$2,RawData[[Picker ID ]],$Q$3,RawData[Checker ID],$Q$4,RawData[[Error Type ]],$Q$5))</f>
        <v/>
      </c>
    </row>
    <row r="21897" spans="15:15" x14ac:dyDescent="0.25">
      <c r="O21897" s="20" t="str">
        <f>IF(N21897="","",COUNTIFS(RawData[[Date ]],N21897,RawData[Month List],$Q$6,RawData[Tour/Site],$Q$2,RawData[[Picker ID ]],$Q$3,RawData[Checker ID],$Q$4,RawData[[Error Type ]],$Q$5))</f>
        <v/>
      </c>
    </row>
    <row r="21898" spans="15:15" x14ac:dyDescent="0.25">
      <c r="O21898" s="20" t="str">
        <f>IF(N21898="","",COUNTIFS(RawData[[Date ]],N21898,RawData[Month List],$Q$6,RawData[Tour/Site],$Q$2,RawData[[Picker ID ]],$Q$3,RawData[Checker ID],$Q$4,RawData[[Error Type ]],$Q$5))</f>
        <v/>
      </c>
    </row>
    <row r="21899" spans="15:15" x14ac:dyDescent="0.25">
      <c r="O21899" s="20" t="str">
        <f>IF(N21899="","",COUNTIFS(RawData[[Date ]],N21899,RawData[Month List],$Q$6,RawData[Tour/Site],$Q$2,RawData[[Picker ID ]],$Q$3,RawData[Checker ID],$Q$4,RawData[[Error Type ]],$Q$5))</f>
        <v/>
      </c>
    </row>
    <row r="21900" spans="15:15" x14ac:dyDescent="0.25">
      <c r="O21900" s="20" t="str">
        <f>IF(N21900="","",COUNTIFS(RawData[[Date ]],N21900,RawData[Month List],$Q$6,RawData[Tour/Site],$Q$2,RawData[[Picker ID ]],$Q$3,RawData[Checker ID],$Q$4,RawData[[Error Type ]],$Q$5))</f>
        <v/>
      </c>
    </row>
    <row r="21901" spans="15:15" x14ac:dyDescent="0.25">
      <c r="O21901" s="20" t="str">
        <f>IF(N21901="","",COUNTIFS(RawData[[Date ]],N21901,RawData[Month List],$Q$6,RawData[Tour/Site],$Q$2,RawData[[Picker ID ]],$Q$3,RawData[Checker ID],$Q$4,RawData[[Error Type ]],$Q$5))</f>
        <v/>
      </c>
    </row>
    <row r="21902" spans="15:15" x14ac:dyDescent="0.25">
      <c r="O21902" s="20" t="str">
        <f>IF(N21902="","",COUNTIFS(RawData[[Date ]],N21902,RawData[Month List],$Q$6,RawData[Tour/Site],$Q$2,RawData[[Picker ID ]],$Q$3,RawData[Checker ID],$Q$4,RawData[[Error Type ]],$Q$5))</f>
        <v/>
      </c>
    </row>
    <row r="21903" spans="15:15" x14ac:dyDescent="0.25">
      <c r="O21903" s="20" t="str">
        <f>IF(N21903="","",COUNTIFS(RawData[[Date ]],N21903,RawData[Month List],$Q$6,RawData[Tour/Site],$Q$2,RawData[[Picker ID ]],$Q$3,RawData[Checker ID],$Q$4,RawData[[Error Type ]],$Q$5))</f>
        <v/>
      </c>
    </row>
    <row r="21904" spans="15:15" x14ac:dyDescent="0.25">
      <c r="O21904" s="20" t="str">
        <f>IF(N21904="","",COUNTIFS(RawData[[Date ]],N21904,RawData[Month List],$Q$6,RawData[Tour/Site],$Q$2,RawData[[Picker ID ]],$Q$3,RawData[Checker ID],$Q$4,RawData[[Error Type ]],$Q$5))</f>
        <v/>
      </c>
    </row>
    <row r="21905" spans="15:15" x14ac:dyDescent="0.25">
      <c r="O21905" s="20" t="str">
        <f>IF(N21905="","",COUNTIFS(RawData[[Date ]],N21905,RawData[Month List],$Q$6,RawData[Tour/Site],$Q$2,RawData[[Picker ID ]],$Q$3,RawData[Checker ID],$Q$4,RawData[[Error Type ]],$Q$5))</f>
        <v/>
      </c>
    </row>
    <row r="21906" spans="15:15" x14ac:dyDescent="0.25">
      <c r="O21906" s="20" t="str">
        <f>IF(N21906="","",COUNTIFS(RawData[[Date ]],N21906,RawData[Month List],$Q$6,RawData[Tour/Site],$Q$2,RawData[[Picker ID ]],$Q$3,RawData[Checker ID],$Q$4,RawData[[Error Type ]],$Q$5))</f>
        <v/>
      </c>
    </row>
    <row r="21907" spans="15:15" x14ac:dyDescent="0.25">
      <c r="O21907" s="20" t="str">
        <f>IF(N21907="","",COUNTIFS(RawData[[Date ]],N21907,RawData[Month List],$Q$6,RawData[Tour/Site],$Q$2,RawData[[Picker ID ]],$Q$3,RawData[Checker ID],$Q$4,RawData[[Error Type ]],$Q$5))</f>
        <v/>
      </c>
    </row>
    <row r="21908" spans="15:15" x14ac:dyDescent="0.25">
      <c r="O21908" s="20" t="str">
        <f>IF(N21908="","",COUNTIFS(RawData[[Date ]],N21908,RawData[Month List],$Q$6,RawData[Tour/Site],$Q$2,RawData[[Picker ID ]],$Q$3,RawData[Checker ID],$Q$4,RawData[[Error Type ]],$Q$5))</f>
        <v/>
      </c>
    </row>
    <row r="21909" spans="15:15" x14ac:dyDescent="0.25">
      <c r="O21909" s="20" t="str">
        <f>IF(N21909="","",COUNTIFS(RawData[[Date ]],N21909,RawData[Month List],$Q$6,RawData[Tour/Site],$Q$2,RawData[[Picker ID ]],$Q$3,RawData[Checker ID],$Q$4,RawData[[Error Type ]],$Q$5))</f>
        <v/>
      </c>
    </row>
    <row r="21910" spans="15:15" x14ac:dyDescent="0.25">
      <c r="O21910" s="20" t="str">
        <f>IF(N21910="","",COUNTIFS(RawData[[Date ]],N21910,RawData[Month List],$Q$6,RawData[Tour/Site],$Q$2,RawData[[Picker ID ]],$Q$3,RawData[Checker ID],$Q$4,RawData[[Error Type ]],$Q$5))</f>
        <v/>
      </c>
    </row>
    <row r="21911" spans="15:15" x14ac:dyDescent="0.25">
      <c r="O21911" s="20" t="str">
        <f>IF(N21911="","",COUNTIFS(RawData[[Date ]],N21911,RawData[Month List],$Q$6,RawData[Tour/Site],$Q$2,RawData[[Picker ID ]],$Q$3,RawData[Checker ID],$Q$4,RawData[[Error Type ]],$Q$5))</f>
        <v/>
      </c>
    </row>
    <row r="21912" spans="15:15" x14ac:dyDescent="0.25">
      <c r="O21912" s="20" t="str">
        <f>IF(N21912="","",COUNTIFS(RawData[[Date ]],N21912,RawData[Month List],$Q$6,RawData[Tour/Site],$Q$2,RawData[[Picker ID ]],$Q$3,RawData[Checker ID],$Q$4,RawData[[Error Type ]],$Q$5))</f>
        <v/>
      </c>
    </row>
    <row r="21913" spans="15:15" x14ac:dyDescent="0.25">
      <c r="O21913" s="20" t="str">
        <f>IF(N21913="","",COUNTIFS(RawData[[Date ]],N21913,RawData[Month List],$Q$6,RawData[Tour/Site],$Q$2,RawData[[Picker ID ]],$Q$3,RawData[Checker ID],$Q$4,RawData[[Error Type ]],$Q$5))</f>
        <v/>
      </c>
    </row>
    <row r="21914" spans="15:15" x14ac:dyDescent="0.25">
      <c r="O21914" s="20" t="str">
        <f>IF(N21914="","",COUNTIFS(RawData[[Date ]],N21914,RawData[Month List],$Q$6,RawData[Tour/Site],$Q$2,RawData[[Picker ID ]],$Q$3,RawData[Checker ID],$Q$4,RawData[[Error Type ]],$Q$5))</f>
        <v/>
      </c>
    </row>
    <row r="21915" spans="15:15" x14ac:dyDescent="0.25">
      <c r="O21915" s="20" t="str">
        <f>IF(N21915="","",COUNTIFS(RawData[[Date ]],N21915,RawData[Month List],$Q$6,RawData[Tour/Site],$Q$2,RawData[[Picker ID ]],$Q$3,RawData[Checker ID],$Q$4,RawData[[Error Type ]],$Q$5))</f>
        <v/>
      </c>
    </row>
    <row r="21916" spans="15:15" x14ac:dyDescent="0.25">
      <c r="O21916" s="20" t="str">
        <f>IF(N21916="","",COUNTIFS(RawData[[Date ]],N21916,RawData[Month List],$Q$6,RawData[Tour/Site],$Q$2,RawData[[Picker ID ]],$Q$3,RawData[Checker ID],$Q$4,RawData[[Error Type ]],$Q$5))</f>
        <v/>
      </c>
    </row>
    <row r="21917" spans="15:15" x14ac:dyDescent="0.25">
      <c r="O21917" s="20" t="str">
        <f>IF(N21917="","",COUNTIFS(RawData[[Date ]],N21917,RawData[Month List],$Q$6,RawData[Tour/Site],$Q$2,RawData[[Picker ID ]],$Q$3,RawData[Checker ID],$Q$4,RawData[[Error Type ]],$Q$5))</f>
        <v/>
      </c>
    </row>
    <row r="21918" spans="15:15" x14ac:dyDescent="0.25">
      <c r="O21918" s="20" t="str">
        <f>IF(N21918="","",COUNTIFS(RawData[[Date ]],N21918,RawData[Month List],$Q$6,RawData[Tour/Site],$Q$2,RawData[[Picker ID ]],$Q$3,RawData[Checker ID],$Q$4,RawData[[Error Type ]],$Q$5))</f>
        <v/>
      </c>
    </row>
    <row r="21919" spans="15:15" x14ac:dyDescent="0.25">
      <c r="O21919" s="20" t="str">
        <f>IF(N21919="","",COUNTIFS(RawData[[Date ]],N21919,RawData[Month List],$Q$6,RawData[Tour/Site],$Q$2,RawData[[Picker ID ]],$Q$3,RawData[Checker ID],$Q$4,RawData[[Error Type ]],$Q$5))</f>
        <v/>
      </c>
    </row>
    <row r="21920" spans="15:15" x14ac:dyDescent="0.25">
      <c r="O21920" s="20" t="str">
        <f>IF(N21920="","",COUNTIFS(RawData[[Date ]],N21920,RawData[Month List],$Q$6,RawData[Tour/Site],$Q$2,RawData[[Picker ID ]],$Q$3,RawData[Checker ID],$Q$4,RawData[[Error Type ]],$Q$5))</f>
        <v/>
      </c>
    </row>
    <row r="21921" spans="15:15" x14ac:dyDescent="0.25">
      <c r="O21921" s="20" t="str">
        <f>IF(N21921="","",COUNTIFS(RawData[[Date ]],N21921,RawData[Month List],$Q$6,RawData[Tour/Site],$Q$2,RawData[[Picker ID ]],$Q$3,RawData[Checker ID],$Q$4,RawData[[Error Type ]],$Q$5))</f>
        <v/>
      </c>
    </row>
    <row r="21922" spans="15:15" x14ac:dyDescent="0.25">
      <c r="O21922" s="20" t="str">
        <f>IF(N21922="","",COUNTIFS(RawData[[Date ]],N21922,RawData[Month List],$Q$6,RawData[Tour/Site],$Q$2,RawData[[Picker ID ]],$Q$3,RawData[Checker ID],$Q$4,RawData[[Error Type ]],$Q$5))</f>
        <v/>
      </c>
    </row>
    <row r="21923" spans="15:15" x14ac:dyDescent="0.25">
      <c r="O21923" s="20" t="str">
        <f>IF(N21923="","",COUNTIFS(RawData[[Date ]],N21923,RawData[Month List],$Q$6,RawData[Tour/Site],$Q$2,RawData[[Picker ID ]],$Q$3,RawData[Checker ID],$Q$4,RawData[[Error Type ]],$Q$5))</f>
        <v/>
      </c>
    </row>
    <row r="21924" spans="15:15" x14ac:dyDescent="0.25">
      <c r="O21924" s="20" t="str">
        <f>IF(N21924="","",COUNTIFS(RawData[[Date ]],N21924,RawData[Month List],$Q$6,RawData[Tour/Site],$Q$2,RawData[[Picker ID ]],$Q$3,RawData[Checker ID],$Q$4,RawData[[Error Type ]],$Q$5))</f>
        <v/>
      </c>
    </row>
    <row r="21925" spans="15:15" x14ac:dyDescent="0.25">
      <c r="O21925" s="20" t="str">
        <f>IF(N21925="","",COUNTIFS(RawData[[Date ]],N21925,RawData[Month List],$Q$6,RawData[Tour/Site],$Q$2,RawData[[Picker ID ]],$Q$3,RawData[Checker ID],$Q$4,RawData[[Error Type ]],$Q$5))</f>
        <v/>
      </c>
    </row>
    <row r="21926" spans="15:15" x14ac:dyDescent="0.25">
      <c r="O21926" s="20" t="str">
        <f>IF(N21926="","",COUNTIFS(RawData[[Date ]],N21926,RawData[Month List],$Q$6,RawData[Tour/Site],$Q$2,RawData[[Picker ID ]],$Q$3,RawData[Checker ID],$Q$4,RawData[[Error Type ]],$Q$5))</f>
        <v/>
      </c>
    </row>
    <row r="21927" spans="15:15" x14ac:dyDescent="0.25">
      <c r="O21927" s="20" t="str">
        <f>IF(N21927="","",COUNTIFS(RawData[[Date ]],N21927,RawData[Month List],$Q$6,RawData[Tour/Site],$Q$2,RawData[[Picker ID ]],$Q$3,RawData[Checker ID],$Q$4,RawData[[Error Type ]],$Q$5))</f>
        <v/>
      </c>
    </row>
    <row r="21928" spans="15:15" x14ac:dyDescent="0.25">
      <c r="O21928" s="20" t="str">
        <f>IF(N21928="","",COUNTIFS(RawData[[Date ]],N21928,RawData[Month List],$Q$6,RawData[Tour/Site],$Q$2,RawData[[Picker ID ]],$Q$3,RawData[Checker ID],$Q$4,RawData[[Error Type ]],$Q$5))</f>
        <v/>
      </c>
    </row>
    <row r="21929" spans="15:15" x14ac:dyDescent="0.25">
      <c r="O21929" s="20" t="str">
        <f>IF(N21929="","",COUNTIFS(RawData[[Date ]],N21929,RawData[Month List],$Q$6,RawData[Tour/Site],$Q$2,RawData[[Picker ID ]],$Q$3,RawData[Checker ID],$Q$4,RawData[[Error Type ]],$Q$5))</f>
        <v/>
      </c>
    </row>
    <row r="21930" spans="15:15" x14ac:dyDescent="0.25">
      <c r="O21930" s="20" t="str">
        <f>IF(N21930="","",COUNTIFS(RawData[[Date ]],N21930,RawData[Month List],$Q$6,RawData[Tour/Site],$Q$2,RawData[[Picker ID ]],$Q$3,RawData[Checker ID],$Q$4,RawData[[Error Type ]],$Q$5))</f>
        <v/>
      </c>
    </row>
    <row r="21931" spans="15:15" x14ac:dyDescent="0.25">
      <c r="O21931" s="20" t="str">
        <f>IF(N21931="","",COUNTIFS(RawData[[Date ]],N21931,RawData[Month List],$Q$6,RawData[Tour/Site],$Q$2,RawData[[Picker ID ]],$Q$3,RawData[Checker ID],$Q$4,RawData[[Error Type ]],$Q$5))</f>
        <v/>
      </c>
    </row>
    <row r="21932" spans="15:15" x14ac:dyDescent="0.25">
      <c r="O21932" s="20" t="str">
        <f>IF(N21932="","",COUNTIFS(RawData[[Date ]],N21932,RawData[Month List],$Q$6,RawData[Tour/Site],$Q$2,RawData[[Picker ID ]],$Q$3,RawData[Checker ID],$Q$4,RawData[[Error Type ]],$Q$5))</f>
        <v/>
      </c>
    </row>
    <row r="21933" spans="15:15" x14ac:dyDescent="0.25">
      <c r="O21933" s="20" t="str">
        <f>IF(N21933="","",COUNTIFS(RawData[[Date ]],N21933,RawData[Month List],$Q$6,RawData[Tour/Site],$Q$2,RawData[[Picker ID ]],$Q$3,RawData[Checker ID],$Q$4,RawData[[Error Type ]],$Q$5))</f>
        <v/>
      </c>
    </row>
    <row r="21934" spans="15:15" x14ac:dyDescent="0.25">
      <c r="O21934" s="20" t="str">
        <f>IF(N21934="","",COUNTIFS(RawData[[Date ]],N21934,RawData[Month List],$Q$6,RawData[Tour/Site],$Q$2,RawData[[Picker ID ]],$Q$3,RawData[Checker ID],$Q$4,RawData[[Error Type ]],$Q$5))</f>
        <v/>
      </c>
    </row>
    <row r="21935" spans="15:15" x14ac:dyDescent="0.25">
      <c r="O21935" s="20" t="str">
        <f>IF(N21935="","",COUNTIFS(RawData[[Date ]],N21935,RawData[Month List],$Q$6,RawData[Tour/Site],$Q$2,RawData[[Picker ID ]],$Q$3,RawData[Checker ID],$Q$4,RawData[[Error Type ]],$Q$5))</f>
        <v/>
      </c>
    </row>
    <row r="21936" spans="15:15" x14ac:dyDescent="0.25">
      <c r="O21936" s="20" t="str">
        <f>IF(N21936="","",COUNTIFS(RawData[[Date ]],N21936,RawData[Month List],$Q$6,RawData[Tour/Site],$Q$2,RawData[[Picker ID ]],$Q$3,RawData[Checker ID],$Q$4,RawData[[Error Type ]],$Q$5))</f>
        <v/>
      </c>
    </row>
    <row r="21937" spans="15:15" x14ac:dyDescent="0.25">
      <c r="O21937" s="20" t="str">
        <f>IF(N21937="","",COUNTIFS(RawData[[Date ]],N21937,RawData[Month List],$Q$6,RawData[Tour/Site],$Q$2,RawData[[Picker ID ]],$Q$3,RawData[Checker ID],$Q$4,RawData[[Error Type ]],$Q$5))</f>
        <v/>
      </c>
    </row>
    <row r="21938" spans="15:15" x14ac:dyDescent="0.25">
      <c r="O21938" s="20" t="str">
        <f>IF(N21938="","",COUNTIFS(RawData[[Date ]],N21938,RawData[Month List],$Q$6,RawData[Tour/Site],$Q$2,RawData[[Picker ID ]],$Q$3,RawData[Checker ID],$Q$4,RawData[[Error Type ]],$Q$5))</f>
        <v/>
      </c>
    </row>
    <row r="21939" spans="15:15" x14ac:dyDescent="0.25">
      <c r="O21939" s="20" t="str">
        <f>IF(N21939="","",COUNTIFS(RawData[[Date ]],N21939,RawData[Month List],$Q$6,RawData[Tour/Site],$Q$2,RawData[[Picker ID ]],$Q$3,RawData[Checker ID],$Q$4,RawData[[Error Type ]],$Q$5))</f>
        <v/>
      </c>
    </row>
    <row r="21940" spans="15:15" x14ac:dyDescent="0.25">
      <c r="O21940" s="20" t="str">
        <f>IF(N21940="","",COUNTIFS(RawData[[Date ]],N21940,RawData[Month List],$Q$6,RawData[Tour/Site],$Q$2,RawData[[Picker ID ]],$Q$3,RawData[Checker ID],$Q$4,RawData[[Error Type ]],$Q$5))</f>
        <v/>
      </c>
    </row>
    <row r="21941" spans="15:15" x14ac:dyDescent="0.25">
      <c r="O21941" s="20" t="str">
        <f>IF(N21941="","",COUNTIFS(RawData[[Date ]],N21941,RawData[Month List],$Q$6,RawData[Tour/Site],$Q$2,RawData[[Picker ID ]],$Q$3,RawData[Checker ID],$Q$4,RawData[[Error Type ]],$Q$5))</f>
        <v/>
      </c>
    </row>
    <row r="21942" spans="15:15" x14ac:dyDescent="0.25">
      <c r="O21942" s="20" t="str">
        <f>IF(N21942="","",COUNTIFS(RawData[[Date ]],N21942,RawData[Month List],$Q$6,RawData[Tour/Site],$Q$2,RawData[[Picker ID ]],$Q$3,RawData[Checker ID],$Q$4,RawData[[Error Type ]],$Q$5))</f>
        <v/>
      </c>
    </row>
    <row r="21943" spans="15:15" x14ac:dyDescent="0.25">
      <c r="O21943" s="20" t="str">
        <f>IF(N21943="","",COUNTIFS(RawData[[Date ]],N21943,RawData[Month List],$Q$6,RawData[Tour/Site],$Q$2,RawData[[Picker ID ]],$Q$3,RawData[Checker ID],$Q$4,RawData[[Error Type ]],$Q$5))</f>
        <v/>
      </c>
    </row>
    <row r="21944" spans="15:15" x14ac:dyDescent="0.25">
      <c r="O21944" s="20" t="str">
        <f>IF(N21944="","",COUNTIFS(RawData[[Date ]],N21944,RawData[Month List],$Q$6,RawData[Tour/Site],$Q$2,RawData[[Picker ID ]],$Q$3,RawData[Checker ID],$Q$4,RawData[[Error Type ]],$Q$5))</f>
        <v/>
      </c>
    </row>
    <row r="21945" spans="15:15" x14ac:dyDescent="0.25">
      <c r="O21945" s="20" t="str">
        <f>IF(N21945="","",COUNTIFS(RawData[[Date ]],N21945,RawData[Month List],$Q$6,RawData[Tour/Site],$Q$2,RawData[[Picker ID ]],$Q$3,RawData[Checker ID],$Q$4,RawData[[Error Type ]],$Q$5))</f>
        <v/>
      </c>
    </row>
    <row r="21946" spans="15:15" x14ac:dyDescent="0.25">
      <c r="O21946" s="20" t="str">
        <f>IF(N21946="","",COUNTIFS(RawData[[Date ]],N21946,RawData[Month List],$Q$6,RawData[Tour/Site],$Q$2,RawData[[Picker ID ]],$Q$3,RawData[Checker ID],$Q$4,RawData[[Error Type ]],$Q$5))</f>
        <v/>
      </c>
    </row>
    <row r="21947" spans="15:15" x14ac:dyDescent="0.25">
      <c r="O21947" s="20" t="str">
        <f>IF(N21947="","",COUNTIFS(RawData[[Date ]],N21947,RawData[Month List],$Q$6,RawData[Tour/Site],$Q$2,RawData[[Picker ID ]],$Q$3,RawData[Checker ID],$Q$4,RawData[[Error Type ]],$Q$5))</f>
        <v/>
      </c>
    </row>
    <row r="21948" spans="15:15" x14ac:dyDescent="0.25">
      <c r="O21948" s="20" t="str">
        <f>IF(N21948="","",COUNTIFS(RawData[[Date ]],N21948,RawData[Month List],$Q$6,RawData[Tour/Site],$Q$2,RawData[[Picker ID ]],$Q$3,RawData[Checker ID],$Q$4,RawData[[Error Type ]],$Q$5))</f>
        <v/>
      </c>
    </row>
    <row r="21949" spans="15:15" x14ac:dyDescent="0.25">
      <c r="O21949" s="20" t="str">
        <f>IF(N21949="","",COUNTIFS(RawData[[Date ]],N21949,RawData[Month List],$Q$6,RawData[Tour/Site],$Q$2,RawData[[Picker ID ]],$Q$3,RawData[Checker ID],$Q$4,RawData[[Error Type ]],$Q$5))</f>
        <v/>
      </c>
    </row>
    <row r="21950" spans="15:15" x14ac:dyDescent="0.25">
      <c r="O21950" s="20" t="str">
        <f>IF(N21950="","",COUNTIFS(RawData[[Date ]],N21950,RawData[Month List],$Q$6,RawData[Tour/Site],$Q$2,RawData[[Picker ID ]],$Q$3,RawData[Checker ID],$Q$4,RawData[[Error Type ]],$Q$5))</f>
        <v/>
      </c>
    </row>
    <row r="21951" spans="15:15" x14ac:dyDescent="0.25">
      <c r="O21951" s="20" t="str">
        <f>IF(N21951="","",COUNTIFS(RawData[[Date ]],N21951,RawData[Month List],$Q$6,RawData[Tour/Site],$Q$2,RawData[[Picker ID ]],$Q$3,RawData[Checker ID],$Q$4,RawData[[Error Type ]],$Q$5))</f>
        <v/>
      </c>
    </row>
    <row r="21952" spans="15:15" x14ac:dyDescent="0.25">
      <c r="O21952" s="20" t="str">
        <f>IF(N21952="","",COUNTIFS(RawData[[Date ]],N21952,RawData[Month List],$Q$6,RawData[Tour/Site],$Q$2,RawData[[Picker ID ]],$Q$3,RawData[Checker ID],$Q$4,RawData[[Error Type ]],$Q$5))</f>
        <v/>
      </c>
    </row>
    <row r="21953" spans="15:15" x14ac:dyDescent="0.25">
      <c r="O21953" s="20" t="str">
        <f>IF(N21953="","",COUNTIFS(RawData[[Date ]],N21953,RawData[Month List],$Q$6,RawData[Tour/Site],$Q$2,RawData[[Picker ID ]],$Q$3,RawData[Checker ID],$Q$4,RawData[[Error Type ]],$Q$5))</f>
        <v/>
      </c>
    </row>
    <row r="21954" spans="15:15" x14ac:dyDescent="0.25">
      <c r="O21954" s="20" t="str">
        <f>IF(N21954="","",COUNTIFS(RawData[[Date ]],N21954,RawData[Month List],$Q$6,RawData[Tour/Site],$Q$2,RawData[[Picker ID ]],$Q$3,RawData[Checker ID],$Q$4,RawData[[Error Type ]],$Q$5))</f>
        <v/>
      </c>
    </row>
    <row r="21955" spans="15:15" x14ac:dyDescent="0.25">
      <c r="O21955" s="20" t="str">
        <f>IF(N21955="","",COUNTIFS(RawData[[Date ]],N21955,RawData[Month List],$Q$6,RawData[Tour/Site],$Q$2,RawData[[Picker ID ]],$Q$3,RawData[Checker ID],$Q$4,RawData[[Error Type ]],$Q$5))</f>
        <v/>
      </c>
    </row>
    <row r="21956" spans="15:15" x14ac:dyDescent="0.25">
      <c r="O21956" s="20" t="str">
        <f>IF(N21956="","",COUNTIFS(RawData[[Date ]],N21956,RawData[Month List],$Q$6,RawData[Tour/Site],$Q$2,RawData[[Picker ID ]],$Q$3,RawData[Checker ID],$Q$4,RawData[[Error Type ]],$Q$5))</f>
        <v/>
      </c>
    </row>
    <row r="21957" spans="15:15" x14ac:dyDescent="0.25">
      <c r="O21957" s="20" t="str">
        <f>IF(N21957="","",COUNTIFS(RawData[[Date ]],N21957,RawData[Month List],$Q$6,RawData[Tour/Site],$Q$2,RawData[[Picker ID ]],$Q$3,RawData[Checker ID],$Q$4,RawData[[Error Type ]],$Q$5))</f>
        <v/>
      </c>
    </row>
    <row r="21958" spans="15:15" x14ac:dyDescent="0.25">
      <c r="O21958" s="20" t="str">
        <f>IF(N21958="","",COUNTIFS(RawData[[Date ]],N21958,RawData[Month List],$Q$6,RawData[Tour/Site],$Q$2,RawData[[Picker ID ]],$Q$3,RawData[Checker ID],$Q$4,RawData[[Error Type ]],$Q$5))</f>
        <v/>
      </c>
    </row>
    <row r="21959" spans="15:15" x14ac:dyDescent="0.25">
      <c r="O21959" s="20" t="str">
        <f>IF(N21959="","",COUNTIFS(RawData[[Date ]],N21959,RawData[Month List],$Q$6,RawData[Tour/Site],$Q$2,RawData[[Picker ID ]],$Q$3,RawData[Checker ID],$Q$4,RawData[[Error Type ]],$Q$5))</f>
        <v/>
      </c>
    </row>
    <row r="21960" spans="15:15" x14ac:dyDescent="0.25">
      <c r="O21960" s="20" t="str">
        <f>IF(N21960="","",COUNTIFS(RawData[[Date ]],N21960,RawData[Month List],$Q$6,RawData[Tour/Site],$Q$2,RawData[[Picker ID ]],$Q$3,RawData[Checker ID],$Q$4,RawData[[Error Type ]],$Q$5))</f>
        <v/>
      </c>
    </row>
    <row r="21961" spans="15:15" x14ac:dyDescent="0.25">
      <c r="O21961" s="20" t="str">
        <f>IF(N21961="","",COUNTIFS(RawData[[Date ]],N21961,RawData[Month List],$Q$6,RawData[Tour/Site],$Q$2,RawData[[Picker ID ]],$Q$3,RawData[Checker ID],$Q$4,RawData[[Error Type ]],$Q$5))</f>
        <v/>
      </c>
    </row>
    <row r="21962" spans="15:15" x14ac:dyDescent="0.25">
      <c r="O21962" s="20" t="str">
        <f>IF(N21962="","",COUNTIFS(RawData[[Date ]],N21962,RawData[Month List],$Q$6,RawData[Tour/Site],$Q$2,RawData[[Picker ID ]],$Q$3,RawData[Checker ID],$Q$4,RawData[[Error Type ]],$Q$5))</f>
        <v/>
      </c>
    </row>
    <row r="21963" spans="15:15" x14ac:dyDescent="0.25">
      <c r="O21963" s="20" t="str">
        <f>IF(N21963="","",COUNTIFS(RawData[[Date ]],N21963,RawData[Month List],$Q$6,RawData[Tour/Site],$Q$2,RawData[[Picker ID ]],$Q$3,RawData[Checker ID],$Q$4,RawData[[Error Type ]],$Q$5))</f>
        <v/>
      </c>
    </row>
    <row r="21964" spans="15:15" x14ac:dyDescent="0.25">
      <c r="O21964" s="20" t="str">
        <f>IF(N21964="","",COUNTIFS(RawData[[Date ]],N21964,RawData[Month List],$Q$6,RawData[Tour/Site],$Q$2,RawData[[Picker ID ]],$Q$3,RawData[Checker ID],$Q$4,RawData[[Error Type ]],$Q$5))</f>
        <v/>
      </c>
    </row>
    <row r="21965" spans="15:15" x14ac:dyDescent="0.25">
      <c r="O21965" s="20" t="str">
        <f>IF(N21965="","",COUNTIFS(RawData[[Date ]],N21965,RawData[Month List],$Q$6,RawData[Tour/Site],$Q$2,RawData[[Picker ID ]],$Q$3,RawData[Checker ID],$Q$4,RawData[[Error Type ]],$Q$5))</f>
        <v/>
      </c>
    </row>
    <row r="21966" spans="15:15" x14ac:dyDescent="0.25">
      <c r="O21966" s="20" t="str">
        <f>IF(N21966="","",COUNTIFS(RawData[[Date ]],N21966,RawData[Month List],$Q$6,RawData[Tour/Site],$Q$2,RawData[[Picker ID ]],$Q$3,RawData[Checker ID],$Q$4,RawData[[Error Type ]],$Q$5))</f>
        <v/>
      </c>
    </row>
    <row r="21967" spans="15:15" x14ac:dyDescent="0.25">
      <c r="O21967" s="20" t="str">
        <f>IF(N21967="","",COUNTIFS(RawData[[Date ]],N21967,RawData[Month List],$Q$6,RawData[Tour/Site],$Q$2,RawData[[Picker ID ]],$Q$3,RawData[Checker ID],$Q$4,RawData[[Error Type ]],$Q$5))</f>
        <v/>
      </c>
    </row>
    <row r="21968" spans="15:15" x14ac:dyDescent="0.25">
      <c r="O21968" s="20" t="str">
        <f>IF(N21968="","",COUNTIFS(RawData[[Date ]],N21968,RawData[Month List],$Q$6,RawData[Tour/Site],$Q$2,RawData[[Picker ID ]],$Q$3,RawData[Checker ID],$Q$4,RawData[[Error Type ]],$Q$5))</f>
        <v/>
      </c>
    </row>
    <row r="21969" spans="15:15" x14ac:dyDescent="0.25">
      <c r="O21969" s="20" t="str">
        <f>IF(N21969="","",COUNTIFS(RawData[[Date ]],N21969,RawData[Month List],$Q$6,RawData[Tour/Site],$Q$2,RawData[[Picker ID ]],$Q$3,RawData[Checker ID],$Q$4,RawData[[Error Type ]],$Q$5))</f>
        <v/>
      </c>
    </row>
    <row r="21970" spans="15:15" x14ac:dyDescent="0.25">
      <c r="O21970" s="20" t="str">
        <f>IF(N21970="","",COUNTIFS(RawData[[Date ]],N21970,RawData[Month List],$Q$6,RawData[Tour/Site],$Q$2,RawData[[Picker ID ]],$Q$3,RawData[Checker ID],$Q$4,RawData[[Error Type ]],$Q$5))</f>
        <v/>
      </c>
    </row>
    <row r="21971" spans="15:15" x14ac:dyDescent="0.25">
      <c r="O21971" s="20" t="str">
        <f>IF(N21971="","",COUNTIFS(RawData[[Date ]],N21971,RawData[Month List],$Q$6,RawData[Tour/Site],$Q$2,RawData[[Picker ID ]],$Q$3,RawData[Checker ID],$Q$4,RawData[[Error Type ]],$Q$5))</f>
        <v/>
      </c>
    </row>
    <row r="21972" spans="15:15" x14ac:dyDescent="0.25">
      <c r="O21972" s="20" t="str">
        <f>IF(N21972="","",COUNTIFS(RawData[[Date ]],N21972,RawData[Month List],$Q$6,RawData[Tour/Site],$Q$2,RawData[[Picker ID ]],$Q$3,RawData[Checker ID],$Q$4,RawData[[Error Type ]],$Q$5))</f>
        <v/>
      </c>
    </row>
    <row r="21973" spans="15:15" x14ac:dyDescent="0.25">
      <c r="O21973" s="20" t="str">
        <f>IF(N21973="","",COUNTIFS(RawData[[Date ]],N21973,RawData[Month List],$Q$6,RawData[Tour/Site],$Q$2,RawData[[Picker ID ]],$Q$3,RawData[Checker ID],$Q$4,RawData[[Error Type ]],$Q$5))</f>
        <v/>
      </c>
    </row>
    <row r="21974" spans="15:15" x14ac:dyDescent="0.25">
      <c r="O21974" s="20" t="str">
        <f>IF(N21974="","",COUNTIFS(RawData[[Date ]],N21974,RawData[Month List],$Q$6,RawData[Tour/Site],$Q$2,RawData[[Picker ID ]],$Q$3,RawData[Checker ID],$Q$4,RawData[[Error Type ]],$Q$5))</f>
        <v/>
      </c>
    </row>
    <row r="21975" spans="15:15" x14ac:dyDescent="0.25">
      <c r="O21975" s="20" t="str">
        <f>IF(N21975="","",COUNTIFS(RawData[[Date ]],N21975,RawData[Month List],$Q$6,RawData[Tour/Site],$Q$2,RawData[[Picker ID ]],$Q$3,RawData[Checker ID],$Q$4,RawData[[Error Type ]],$Q$5))</f>
        <v/>
      </c>
    </row>
    <row r="21976" spans="15:15" x14ac:dyDescent="0.25">
      <c r="O21976" s="20" t="str">
        <f>IF(N21976="","",COUNTIFS(RawData[[Date ]],N21976,RawData[Month List],$Q$6,RawData[Tour/Site],$Q$2,RawData[[Picker ID ]],$Q$3,RawData[Checker ID],$Q$4,RawData[[Error Type ]],$Q$5))</f>
        <v/>
      </c>
    </row>
    <row r="21977" spans="15:15" x14ac:dyDescent="0.25">
      <c r="O21977" s="20" t="str">
        <f>IF(N21977="","",COUNTIFS(RawData[[Date ]],N21977,RawData[Month List],$Q$6,RawData[Tour/Site],$Q$2,RawData[[Picker ID ]],$Q$3,RawData[Checker ID],$Q$4,RawData[[Error Type ]],$Q$5))</f>
        <v/>
      </c>
    </row>
    <row r="21978" spans="15:15" x14ac:dyDescent="0.25">
      <c r="O21978" s="20" t="str">
        <f>IF(N21978="","",COUNTIFS(RawData[[Date ]],N21978,RawData[Month List],$Q$6,RawData[Tour/Site],$Q$2,RawData[[Picker ID ]],$Q$3,RawData[Checker ID],$Q$4,RawData[[Error Type ]],$Q$5))</f>
        <v/>
      </c>
    </row>
    <row r="21979" spans="15:15" x14ac:dyDescent="0.25">
      <c r="O21979" s="20" t="str">
        <f>IF(N21979="","",COUNTIFS(RawData[[Date ]],N21979,RawData[Month List],$Q$6,RawData[Tour/Site],$Q$2,RawData[[Picker ID ]],$Q$3,RawData[Checker ID],$Q$4,RawData[[Error Type ]],$Q$5))</f>
        <v/>
      </c>
    </row>
    <row r="21980" spans="15:15" x14ac:dyDescent="0.25">
      <c r="O21980" s="20" t="str">
        <f>IF(N21980="","",COUNTIFS(RawData[[Date ]],N21980,RawData[Month List],$Q$6,RawData[Tour/Site],$Q$2,RawData[[Picker ID ]],$Q$3,RawData[Checker ID],$Q$4,RawData[[Error Type ]],$Q$5))</f>
        <v/>
      </c>
    </row>
    <row r="21981" spans="15:15" x14ac:dyDescent="0.25">
      <c r="O21981" s="20" t="str">
        <f>IF(N21981="","",COUNTIFS(RawData[[Date ]],N21981,RawData[Month List],$Q$6,RawData[Tour/Site],$Q$2,RawData[[Picker ID ]],$Q$3,RawData[Checker ID],$Q$4,RawData[[Error Type ]],$Q$5))</f>
        <v/>
      </c>
    </row>
    <row r="21982" spans="15:15" x14ac:dyDescent="0.25">
      <c r="O21982" s="20" t="str">
        <f>IF(N21982="","",COUNTIFS(RawData[[Date ]],N21982,RawData[Month List],$Q$6,RawData[Tour/Site],$Q$2,RawData[[Picker ID ]],$Q$3,RawData[Checker ID],$Q$4,RawData[[Error Type ]],$Q$5))</f>
        <v/>
      </c>
    </row>
    <row r="21983" spans="15:15" x14ac:dyDescent="0.25">
      <c r="O21983" s="20" t="str">
        <f>IF(N21983="","",COUNTIFS(RawData[[Date ]],N21983,RawData[Month List],$Q$6,RawData[Tour/Site],$Q$2,RawData[[Picker ID ]],$Q$3,RawData[Checker ID],$Q$4,RawData[[Error Type ]],$Q$5))</f>
        <v/>
      </c>
    </row>
    <row r="21984" spans="15:15" x14ac:dyDescent="0.25">
      <c r="O21984" s="20" t="str">
        <f>IF(N21984="","",COUNTIFS(RawData[[Date ]],N21984,RawData[Month List],$Q$6,RawData[Tour/Site],$Q$2,RawData[[Picker ID ]],$Q$3,RawData[Checker ID],$Q$4,RawData[[Error Type ]],$Q$5))</f>
        <v/>
      </c>
    </row>
    <row r="21985" spans="15:15" x14ac:dyDescent="0.25">
      <c r="O21985" s="20" t="str">
        <f>IF(N21985="","",COUNTIFS(RawData[[Date ]],N21985,RawData[Month List],$Q$6,RawData[Tour/Site],$Q$2,RawData[[Picker ID ]],$Q$3,RawData[Checker ID],$Q$4,RawData[[Error Type ]],$Q$5))</f>
        <v/>
      </c>
    </row>
    <row r="21986" spans="15:15" x14ac:dyDescent="0.25">
      <c r="O21986" s="20" t="str">
        <f>IF(N21986="","",COUNTIFS(RawData[[Date ]],N21986,RawData[Month List],$Q$6,RawData[Tour/Site],$Q$2,RawData[[Picker ID ]],$Q$3,RawData[Checker ID],$Q$4,RawData[[Error Type ]],$Q$5))</f>
        <v/>
      </c>
    </row>
    <row r="21987" spans="15:15" x14ac:dyDescent="0.25">
      <c r="O21987" s="20" t="str">
        <f>IF(N21987="","",COUNTIFS(RawData[[Date ]],N21987,RawData[Month List],$Q$6,RawData[Tour/Site],$Q$2,RawData[[Picker ID ]],$Q$3,RawData[Checker ID],$Q$4,RawData[[Error Type ]],$Q$5))</f>
        <v/>
      </c>
    </row>
    <row r="21988" spans="15:15" x14ac:dyDescent="0.25">
      <c r="O21988" s="20" t="str">
        <f>IF(N21988="","",COUNTIFS(RawData[[Date ]],N21988,RawData[Month List],$Q$6,RawData[Tour/Site],$Q$2,RawData[[Picker ID ]],$Q$3,RawData[Checker ID],$Q$4,RawData[[Error Type ]],$Q$5))</f>
        <v/>
      </c>
    </row>
    <row r="21989" spans="15:15" x14ac:dyDescent="0.25">
      <c r="O21989" s="20" t="str">
        <f>IF(N21989="","",COUNTIFS(RawData[[Date ]],N21989,RawData[Month List],$Q$6,RawData[Tour/Site],$Q$2,RawData[[Picker ID ]],$Q$3,RawData[Checker ID],$Q$4,RawData[[Error Type ]],$Q$5))</f>
        <v/>
      </c>
    </row>
    <row r="21990" spans="15:15" x14ac:dyDescent="0.25">
      <c r="O21990" s="20" t="str">
        <f>IF(N21990="","",COUNTIFS(RawData[[Date ]],N21990,RawData[Month List],$Q$6,RawData[Tour/Site],$Q$2,RawData[[Picker ID ]],$Q$3,RawData[Checker ID],$Q$4,RawData[[Error Type ]],$Q$5))</f>
        <v/>
      </c>
    </row>
    <row r="21991" spans="15:15" x14ac:dyDescent="0.25">
      <c r="O21991" s="20" t="str">
        <f>IF(N21991="","",COUNTIFS(RawData[[Date ]],N21991,RawData[Month List],$Q$6,RawData[Tour/Site],$Q$2,RawData[[Picker ID ]],$Q$3,RawData[Checker ID],$Q$4,RawData[[Error Type ]],$Q$5))</f>
        <v/>
      </c>
    </row>
    <row r="21992" spans="15:15" x14ac:dyDescent="0.25">
      <c r="O21992" s="20" t="str">
        <f>IF(N21992="","",COUNTIFS(RawData[[Date ]],N21992,RawData[Month List],$Q$6,RawData[Tour/Site],$Q$2,RawData[[Picker ID ]],$Q$3,RawData[Checker ID],$Q$4,RawData[[Error Type ]],$Q$5))</f>
        <v/>
      </c>
    </row>
    <row r="21993" spans="15:15" x14ac:dyDescent="0.25">
      <c r="O21993" s="20" t="str">
        <f>IF(N21993="","",COUNTIFS(RawData[[Date ]],N21993,RawData[Month List],$Q$6,RawData[Tour/Site],$Q$2,RawData[[Picker ID ]],$Q$3,RawData[Checker ID],$Q$4,RawData[[Error Type ]],$Q$5))</f>
        <v/>
      </c>
    </row>
    <row r="21994" spans="15:15" x14ac:dyDescent="0.25">
      <c r="O21994" s="20" t="str">
        <f>IF(N21994="","",COUNTIFS(RawData[[Date ]],N21994,RawData[Month List],$Q$6,RawData[Tour/Site],$Q$2,RawData[[Picker ID ]],$Q$3,RawData[Checker ID],$Q$4,RawData[[Error Type ]],$Q$5))</f>
        <v/>
      </c>
    </row>
    <row r="21995" spans="15:15" x14ac:dyDescent="0.25">
      <c r="O21995" s="20" t="str">
        <f>IF(N21995="","",COUNTIFS(RawData[[Date ]],N21995,RawData[Month List],$Q$6,RawData[Tour/Site],$Q$2,RawData[[Picker ID ]],$Q$3,RawData[Checker ID],$Q$4,RawData[[Error Type ]],$Q$5))</f>
        <v/>
      </c>
    </row>
    <row r="21996" spans="15:15" x14ac:dyDescent="0.25">
      <c r="O21996" s="20" t="str">
        <f>IF(N21996="","",COUNTIFS(RawData[[Date ]],N21996,RawData[Month List],$Q$6,RawData[Tour/Site],$Q$2,RawData[[Picker ID ]],$Q$3,RawData[Checker ID],$Q$4,RawData[[Error Type ]],$Q$5))</f>
        <v/>
      </c>
    </row>
    <row r="21997" spans="15:15" x14ac:dyDescent="0.25">
      <c r="O21997" s="20" t="str">
        <f>IF(N21997="","",COUNTIFS(RawData[[Date ]],N21997,RawData[Month List],$Q$6,RawData[Tour/Site],$Q$2,RawData[[Picker ID ]],$Q$3,RawData[Checker ID],$Q$4,RawData[[Error Type ]],$Q$5))</f>
        <v/>
      </c>
    </row>
    <row r="21998" spans="15:15" x14ac:dyDescent="0.25">
      <c r="O21998" s="20" t="str">
        <f>IF(N21998="","",COUNTIFS(RawData[[Date ]],N21998,RawData[Month List],$Q$6,RawData[Tour/Site],$Q$2,RawData[[Picker ID ]],$Q$3,RawData[Checker ID],$Q$4,RawData[[Error Type ]],$Q$5))</f>
        <v/>
      </c>
    </row>
    <row r="21999" spans="15:15" x14ac:dyDescent="0.25">
      <c r="O21999" s="20" t="str">
        <f>IF(N21999="","",COUNTIFS(RawData[[Date ]],N21999,RawData[Month List],$Q$6,RawData[Tour/Site],$Q$2,RawData[[Picker ID ]],$Q$3,RawData[Checker ID],$Q$4,RawData[[Error Type ]],$Q$5))</f>
        <v/>
      </c>
    </row>
    <row r="22000" spans="15:15" x14ac:dyDescent="0.25">
      <c r="O22000" s="20" t="str">
        <f>IF(N22000="","",COUNTIFS(RawData[[Date ]],N22000,RawData[Month List],$Q$6,RawData[Tour/Site],$Q$2,RawData[[Picker ID ]],$Q$3,RawData[Checker ID],$Q$4,RawData[[Error Type ]],$Q$5))</f>
        <v/>
      </c>
    </row>
    <row r="22001" spans="15:15" x14ac:dyDescent="0.25">
      <c r="O22001" s="20" t="str">
        <f>IF(N22001="","",COUNTIFS(RawData[[Date ]],N22001,RawData[Month List],$Q$6,RawData[Tour/Site],$Q$2,RawData[[Picker ID ]],$Q$3,RawData[Checker ID],$Q$4,RawData[[Error Type ]],$Q$5))</f>
        <v/>
      </c>
    </row>
    <row r="22002" spans="15:15" x14ac:dyDescent="0.25">
      <c r="O22002" s="20" t="str">
        <f>IF(N22002="","",COUNTIFS(RawData[[Date ]],N22002,RawData[Month List],$Q$6,RawData[Tour/Site],$Q$2,RawData[[Picker ID ]],$Q$3,RawData[Checker ID],$Q$4,RawData[[Error Type ]],$Q$5))</f>
        <v/>
      </c>
    </row>
    <row r="22003" spans="15:15" x14ac:dyDescent="0.25">
      <c r="O22003" s="20" t="str">
        <f>IF(N22003="","",COUNTIFS(RawData[[Date ]],N22003,RawData[Month List],$Q$6,RawData[Tour/Site],$Q$2,RawData[[Picker ID ]],$Q$3,RawData[Checker ID],$Q$4,RawData[[Error Type ]],$Q$5))</f>
        <v/>
      </c>
    </row>
    <row r="22004" spans="15:15" x14ac:dyDescent="0.25">
      <c r="O22004" s="20" t="str">
        <f>IF(N22004="","",COUNTIFS(RawData[[Date ]],N22004,RawData[Month List],$Q$6,RawData[Tour/Site],$Q$2,RawData[[Picker ID ]],$Q$3,RawData[Checker ID],$Q$4,RawData[[Error Type ]],$Q$5))</f>
        <v/>
      </c>
    </row>
    <row r="22005" spans="15:15" x14ac:dyDescent="0.25">
      <c r="O22005" s="20" t="str">
        <f>IF(N22005="","",COUNTIFS(RawData[[Date ]],N22005,RawData[Month List],$Q$6,RawData[Tour/Site],$Q$2,RawData[[Picker ID ]],$Q$3,RawData[Checker ID],$Q$4,RawData[[Error Type ]],$Q$5))</f>
        <v/>
      </c>
    </row>
    <row r="22006" spans="15:15" x14ac:dyDescent="0.25">
      <c r="O22006" s="20" t="str">
        <f>IF(N22006="","",COUNTIFS(RawData[[Date ]],N22006,RawData[Month List],$Q$6,RawData[Tour/Site],$Q$2,RawData[[Picker ID ]],$Q$3,RawData[Checker ID],$Q$4,RawData[[Error Type ]],$Q$5))</f>
        <v/>
      </c>
    </row>
    <row r="22007" spans="15:15" x14ac:dyDescent="0.25">
      <c r="O22007" s="20" t="str">
        <f>IF(N22007="","",COUNTIFS(RawData[[Date ]],N22007,RawData[Month List],$Q$6,RawData[Tour/Site],$Q$2,RawData[[Picker ID ]],$Q$3,RawData[Checker ID],$Q$4,RawData[[Error Type ]],$Q$5))</f>
        <v/>
      </c>
    </row>
    <row r="22008" spans="15:15" x14ac:dyDescent="0.25">
      <c r="O22008" s="20" t="str">
        <f>IF(N22008="","",COUNTIFS(RawData[[Date ]],N22008,RawData[Month List],$Q$6,RawData[Tour/Site],$Q$2,RawData[[Picker ID ]],$Q$3,RawData[Checker ID],$Q$4,RawData[[Error Type ]],$Q$5))</f>
        <v/>
      </c>
    </row>
    <row r="22009" spans="15:15" x14ac:dyDescent="0.25">
      <c r="O22009" s="20" t="str">
        <f>IF(N22009="","",COUNTIFS(RawData[[Date ]],N22009,RawData[Month List],$Q$6,RawData[Tour/Site],$Q$2,RawData[[Picker ID ]],$Q$3,RawData[Checker ID],$Q$4,RawData[[Error Type ]],$Q$5))</f>
        <v/>
      </c>
    </row>
    <row r="22010" spans="15:15" x14ac:dyDescent="0.25">
      <c r="O22010" s="20" t="str">
        <f>IF(N22010="","",COUNTIFS(RawData[[Date ]],N22010,RawData[Month List],$Q$6,RawData[Tour/Site],$Q$2,RawData[[Picker ID ]],$Q$3,RawData[Checker ID],$Q$4,RawData[[Error Type ]],$Q$5))</f>
        <v/>
      </c>
    </row>
    <row r="22011" spans="15:15" x14ac:dyDescent="0.25">
      <c r="O22011" s="20" t="str">
        <f>IF(N22011="","",COUNTIFS(RawData[[Date ]],N22011,RawData[Month List],$Q$6,RawData[Tour/Site],$Q$2,RawData[[Picker ID ]],$Q$3,RawData[Checker ID],$Q$4,RawData[[Error Type ]],$Q$5))</f>
        <v/>
      </c>
    </row>
    <row r="22012" spans="15:15" x14ac:dyDescent="0.25">
      <c r="O22012" s="20" t="str">
        <f>IF(N22012="","",COUNTIFS(RawData[[Date ]],N22012,RawData[Month List],$Q$6,RawData[Tour/Site],$Q$2,RawData[[Picker ID ]],$Q$3,RawData[Checker ID],$Q$4,RawData[[Error Type ]],$Q$5))</f>
        <v/>
      </c>
    </row>
    <row r="22013" spans="15:15" x14ac:dyDescent="0.25">
      <c r="O22013" s="20" t="str">
        <f>IF(N22013="","",COUNTIFS(RawData[[Date ]],N22013,RawData[Month List],$Q$6,RawData[Tour/Site],$Q$2,RawData[[Picker ID ]],$Q$3,RawData[Checker ID],$Q$4,RawData[[Error Type ]],$Q$5))</f>
        <v/>
      </c>
    </row>
    <row r="22014" spans="15:15" x14ac:dyDescent="0.25">
      <c r="O22014" s="20" t="str">
        <f>IF(N22014="","",COUNTIFS(RawData[[Date ]],N22014,RawData[Month List],$Q$6,RawData[Tour/Site],$Q$2,RawData[[Picker ID ]],$Q$3,RawData[Checker ID],$Q$4,RawData[[Error Type ]],$Q$5))</f>
        <v/>
      </c>
    </row>
    <row r="22015" spans="15:15" x14ac:dyDescent="0.25">
      <c r="O22015" s="20" t="str">
        <f>IF(N22015="","",COUNTIFS(RawData[[Date ]],N22015,RawData[Month List],$Q$6,RawData[Tour/Site],$Q$2,RawData[[Picker ID ]],$Q$3,RawData[Checker ID],$Q$4,RawData[[Error Type ]],$Q$5))</f>
        <v/>
      </c>
    </row>
    <row r="22016" spans="15:15" x14ac:dyDescent="0.25">
      <c r="O22016" s="20" t="str">
        <f>IF(N22016="","",COUNTIFS(RawData[[Date ]],N22016,RawData[Month List],$Q$6,RawData[Tour/Site],$Q$2,RawData[[Picker ID ]],$Q$3,RawData[Checker ID],$Q$4,RawData[[Error Type ]],$Q$5))</f>
        <v/>
      </c>
    </row>
    <row r="22017" spans="15:15" x14ac:dyDescent="0.25">
      <c r="O22017" s="20" t="str">
        <f>IF(N22017="","",COUNTIFS(RawData[[Date ]],N22017,RawData[Month List],$Q$6,RawData[Tour/Site],$Q$2,RawData[[Picker ID ]],$Q$3,RawData[Checker ID],$Q$4,RawData[[Error Type ]],$Q$5))</f>
        <v/>
      </c>
    </row>
    <row r="22018" spans="15:15" x14ac:dyDescent="0.25">
      <c r="O22018" s="20" t="str">
        <f>IF(N22018="","",COUNTIFS(RawData[[Date ]],N22018,RawData[Month List],$Q$6,RawData[Tour/Site],$Q$2,RawData[[Picker ID ]],$Q$3,RawData[Checker ID],$Q$4,RawData[[Error Type ]],$Q$5))</f>
        <v/>
      </c>
    </row>
    <row r="22019" spans="15:15" x14ac:dyDescent="0.25">
      <c r="O22019" s="20" t="str">
        <f>IF(N22019="","",COUNTIFS(RawData[[Date ]],N22019,RawData[Month List],$Q$6,RawData[Tour/Site],$Q$2,RawData[[Picker ID ]],$Q$3,RawData[Checker ID],$Q$4,RawData[[Error Type ]],$Q$5))</f>
        <v/>
      </c>
    </row>
    <row r="22020" spans="15:15" x14ac:dyDescent="0.25">
      <c r="O22020" s="20" t="str">
        <f>IF(N22020="","",COUNTIFS(RawData[[Date ]],N22020,RawData[Month List],$Q$6,RawData[Tour/Site],$Q$2,RawData[[Picker ID ]],$Q$3,RawData[Checker ID],$Q$4,RawData[[Error Type ]],$Q$5))</f>
        <v/>
      </c>
    </row>
    <row r="22021" spans="15:15" x14ac:dyDescent="0.25">
      <c r="O22021" s="20" t="str">
        <f>IF(N22021="","",COUNTIFS(RawData[[Date ]],N22021,RawData[Month List],$Q$6,RawData[Tour/Site],$Q$2,RawData[[Picker ID ]],$Q$3,RawData[Checker ID],$Q$4,RawData[[Error Type ]],$Q$5))</f>
        <v/>
      </c>
    </row>
    <row r="22022" spans="15:15" x14ac:dyDescent="0.25">
      <c r="O22022" s="20" t="str">
        <f>IF(N22022="","",COUNTIFS(RawData[[Date ]],N22022,RawData[Month List],$Q$6,RawData[Tour/Site],$Q$2,RawData[[Picker ID ]],$Q$3,RawData[Checker ID],$Q$4,RawData[[Error Type ]],$Q$5))</f>
        <v/>
      </c>
    </row>
    <row r="22023" spans="15:15" x14ac:dyDescent="0.25">
      <c r="O22023" s="20" t="str">
        <f>IF(N22023="","",COUNTIFS(RawData[[Date ]],N22023,RawData[Month List],$Q$6,RawData[Tour/Site],$Q$2,RawData[[Picker ID ]],$Q$3,RawData[Checker ID],$Q$4,RawData[[Error Type ]],$Q$5))</f>
        <v/>
      </c>
    </row>
    <row r="22024" spans="15:15" x14ac:dyDescent="0.25">
      <c r="O22024" s="20" t="str">
        <f>IF(N22024="","",COUNTIFS(RawData[[Date ]],N22024,RawData[Month List],$Q$6,RawData[Tour/Site],$Q$2,RawData[[Picker ID ]],$Q$3,RawData[Checker ID],$Q$4,RawData[[Error Type ]],$Q$5))</f>
        <v/>
      </c>
    </row>
    <row r="22025" spans="15:15" x14ac:dyDescent="0.25">
      <c r="O22025" s="20" t="str">
        <f>IF(N22025="","",COUNTIFS(RawData[[Date ]],N22025,RawData[Month List],$Q$6,RawData[Tour/Site],$Q$2,RawData[[Picker ID ]],$Q$3,RawData[Checker ID],$Q$4,RawData[[Error Type ]],$Q$5))</f>
        <v/>
      </c>
    </row>
    <row r="22026" spans="15:15" x14ac:dyDescent="0.25">
      <c r="O22026" s="20" t="str">
        <f>IF(N22026="","",COUNTIFS(RawData[[Date ]],N22026,RawData[Month List],$Q$6,RawData[Tour/Site],$Q$2,RawData[[Picker ID ]],$Q$3,RawData[Checker ID],$Q$4,RawData[[Error Type ]],$Q$5))</f>
        <v/>
      </c>
    </row>
    <row r="22027" spans="15:15" x14ac:dyDescent="0.25">
      <c r="O22027" s="20" t="str">
        <f>IF(N22027="","",COUNTIFS(RawData[[Date ]],N22027,RawData[Month List],$Q$6,RawData[Tour/Site],$Q$2,RawData[[Picker ID ]],$Q$3,RawData[Checker ID],$Q$4,RawData[[Error Type ]],$Q$5))</f>
        <v/>
      </c>
    </row>
    <row r="22028" spans="15:15" x14ac:dyDescent="0.25">
      <c r="O22028" s="20" t="str">
        <f>IF(N22028="","",COUNTIFS(RawData[[Date ]],N22028,RawData[Month List],$Q$6,RawData[Tour/Site],$Q$2,RawData[[Picker ID ]],$Q$3,RawData[Checker ID],$Q$4,RawData[[Error Type ]],$Q$5))</f>
        <v/>
      </c>
    </row>
    <row r="22029" spans="15:15" x14ac:dyDescent="0.25">
      <c r="O22029" s="20" t="str">
        <f>IF(N22029="","",COUNTIFS(RawData[[Date ]],N22029,RawData[Month List],$Q$6,RawData[Tour/Site],$Q$2,RawData[[Picker ID ]],$Q$3,RawData[Checker ID],$Q$4,RawData[[Error Type ]],$Q$5))</f>
        <v/>
      </c>
    </row>
    <row r="22030" spans="15:15" x14ac:dyDescent="0.25">
      <c r="O22030" s="20" t="str">
        <f>IF(N22030="","",COUNTIFS(RawData[[Date ]],N22030,RawData[Month List],$Q$6,RawData[Tour/Site],$Q$2,RawData[[Picker ID ]],$Q$3,RawData[Checker ID],$Q$4,RawData[[Error Type ]],$Q$5))</f>
        <v/>
      </c>
    </row>
    <row r="22031" spans="15:15" x14ac:dyDescent="0.25">
      <c r="O22031" s="20" t="str">
        <f>IF(N22031="","",COUNTIFS(RawData[[Date ]],N22031,RawData[Month List],$Q$6,RawData[Tour/Site],$Q$2,RawData[[Picker ID ]],$Q$3,RawData[Checker ID],$Q$4,RawData[[Error Type ]],$Q$5))</f>
        <v/>
      </c>
    </row>
    <row r="22032" spans="15:15" x14ac:dyDescent="0.25">
      <c r="O22032" s="20" t="str">
        <f>IF(N22032="","",COUNTIFS(RawData[[Date ]],N22032,RawData[Month List],$Q$6,RawData[Tour/Site],$Q$2,RawData[[Picker ID ]],$Q$3,RawData[Checker ID],$Q$4,RawData[[Error Type ]],$Q$5))</f>
        <v/>
      </c>
    </row>
    <row r="22033" spans="15:15" x14ac:dyDescent="0.25">
      <c r="O22033" s="20" t="str">
        <f>IF(N22033="","",COUNTIFS(RawData[[Date ]],N22033,RawData[Month List],$Q$6,RawData[Tour/Site],$Q$2,RawData[[Picker ID ]],$Q$3,RawData[Checker ID],$Q$4,RawData[[Error Type ]],$Q$5))</f>
        <v/>
      </c>
    </row>
    <row r="22034" spans="15:15" x14ac:dyDescent="0.25">
      <c r="O22034" s="20" t="str">
        <f>IF(N22034="","",COUNTIFS(RawData[[Date ]],N22034,RawData[Month List],$Q$6,RawData[Tour/Site],$Q$2,RawData[[Picker ID ]],$Q$3,RawData[Checker ID],$Q$4,RawData[[Error Type ]],$Q$5))</f>
        <v/>
      </c>
    </row>
    <row r="22035" spans="15:15" x14ac:dyDescent="0.25">
      <c r="O22035" s="20" t="str">
        <f>IF(N22035="","",COUNTIFS(RawData[[Date ]],N22035,RawData[Month List],$Q$6,RawData[Tour/Site],$Q$2,RawData[[Picker ID ]],$Q$3,RawData[Checker ID],$Q$4,RawData[[Error Type ]],$Q$5))</f>
        <v/>
      </c>
    </row>
    <row r="22036" spans="15:15" x14ac:dyDescent="0.25">
      <c r="O22036" s="20" t="str">
        <f>IF(N22036="","",COUNTIFS(RawData[[Date ]],N22036,RawData[Month List],$Q$6,RawData[Tour/Site],$Q$2,RawData[[Picker ID ]],$Q$3,RawData[Checker ID],$Q$4,RawData[[Error Type ]],$Q$5))</f>
        <v/>
      </c>
    </row>
    <row r="22037" spans="15:15" x14ac:dyDescent="0.25">
      <c r="O22037" s="20" t="str">
        <f>IF(N22037="","",COUNTIFS(RawData[[Date ]],N22037,RawData[Month List],$Q$6,RawData[Tour/Site],$Q$2,RawData[[Picker ID ]],$Q$3,RawData[Checker ID],$Q$4,RawData[[Error Type ]],$Q$5))</f>
        <v/>
      </c>
    </row>
    <row r="22038" spans="15:15" x14ac:dyDescent="0.25">
      <c r="O22038" s="20" t="str">
        <f>IF(N22038="","",COUNTIFS(RawData[[Date ]],N22038,RawData[Month List],$Q$6,RawData[Tour/Site],$Q$2,RawData[[Picker ID ]],$Q$3,RawData[Checker ID],$Q$4,RawData[[Error Type ]],$Q$5))</f>
        <v/>
      </c>
    </row>
    <row r="22039" spans="15:15" x14ac:dyDescent="0.25">
      <c r="O22039" s="20" t="str">
        <f>IF(N22039="","",COUNTIFS(RawData[[Date ]],N22039,RawData[Month List],$Q$6,RawData[Tour/Site],$Q$2,RawData[[Picker ID ]],$Q$3,RawData[Checker ID],$Q$4,RawData[[Error Type ]],$Q$5))</f>
        <v/>
      </c>
    </row>
    <row r="22040" spans="15:15" x14ac:dyDescent="0.25">
      <c r="O22040" s="20" t="str">
        <f>IF(N22040="","",COUNTIFS(RawData[[Date ]],N22040,RawData[Month List],$Q$6,RawData[Tour/Site],$Q$2,RawData[[Picker ID ]],$Q$3,RawData[Checker ID],$Q$4,RawData[[Error Type ]],$Q$5))</f>
        <v/>
      </c>
    </row>
    <row r="22041" spans="15:15" x14ac:dyDescent="0.25">
      <c r="O22041" s="20" t="str">
        <f>IF(N22041="","",COUNTIFS(RawData[[Date ]],N22041,RawData[Month List],$Q$6,RawData[Tour/Site],$Q$2,RawData[[Picker ID ]],$Q$3,RawData[Checker ID],$Q$4,RawData[[Error Type ]],$Q$5))</f>
        <v/>
      </c>
    </row>
    <row r="22042" spans="15:15" x14ac:dyDescent="0.25">
      <c r="O22042" s="20" t="str">
        <f>IF(N22042="","",COUNTIFS(RawData[[Date ]],N22042,RawData[Month List],$Q$6,RawData[Tour/Site],$Q$2,RawData[[Picker ID ]],$Q$3,RawData[Checker ID],$Q$4,RawData[[Error Type ]],$Q$5))</f>
        <v/>
      </c>
    </row>
    <row r="22043" spans="15:15" x14ac:dyDescent="0.25">
      <c r="O22043" s="20" t="str">
        <f>IF(N22043="","",COUNTIFS(RawData[[Date ]],N22043,RawData[Month List],$Q$6,RawData[Tour/Site],$Q$2,RawData[[Picker ID ]],$Q$3,RawData[Checker ID],$Q$4,RawData[[Error Type ]],$Q$5))</f>
        <v/>
      </c>
    </row>
    <row r="22044" spans="15:15" x14ac:dyDescent="0.25">
      <c r="O22044" s="20" t="str">
        <f>IF(N22044="","",COUNTIFS(RawData[[Date ]],N22044,RawData[Month List],$Q$6,RawData[Tour/Site],$Q$2,RawData[[Picker ID ]],$Q$3,RawData[Checker ID],$Q$4,RawData[[Error Type ]],$Q$5))</f>
        <v/>
      </c>
    </row>
    <row r="22045" spans="15:15" x14ac:dyDescent="0.25">
      <c r="O22045" s="20" t="str">
        <f>IF(N22045="","",COUNTIFS(RawData[[Date ]],N22045,RawData[Month List],$Q$6,RawData[Tour/Site],$Q$2,RawData[[Picker ID ]],$Q$3,RawData[Checker ID],$Q$4,RawData[[Error Type ]],$Q$5))</f>
        <v/>
      </c>
    </row>
    <row r="22046" spans="15:15" x14ac:dyDescent="0.25">
      <c r="O22046" s="20" t="str">
        <f>IF(N22046="","",COUNTIFS(RawData[[Date ]],N22046,RawData[Month List],$Q$6,RawData[Tour/Site],$Q$2,RawData[[Picker ID ]],$Q$3,RawData[Checker ID],$Q$4,RawData[[Error Type ]],$Q$5))</f>
        <v/>
      </c>
    </row>
    <row r="22047" spans="15:15" x14ac:dyDescent="0.25">
      <c r="O22047" s="20" t="str">
        <f>IF(N22047="","",COUNTIFS(RawData[[Date ]],N22047,RawData[Month List],$Q$6,RawData[Tour/Site],$Q$2,RawData[[Picker ID ]],$Q$3,RawData[Checker ID],$Q$4,RawData[[Error Type ]],$Q$5))</f>
        <v/>
      </c>
    </row>
    <row r="22048" spans="15:15" x14ac:dyDescent="0.25">
      <c r="O22048" s="20" t="str">
        <f>IF(N22048="","",COUNTIFS(RawData[[Date ]],N22048,RawData[Month List],$Q$6,RawData[Tour/Site],$Q$2,RawData[[Picker ID ]],$Q$3,RawData[Checker ID],$Q$4,RawData[[Error Type ]],$Q$5))</f>
        <v/>
      </c>
    </row>
    <row r="22049" spans="15:15" x14ac:dyDescent="0.25">
      <c r="O22049" s="20" t="str">
        <f>IF(N22049="","",COUNTIFS(RawData[[Date ]],N22049,RawData[Month List],$Q$6,RawData[Tour/Site],$Q$2,RawData[[Picker ID ]],$Q$3,RawData[Checker ID],$Q$4,RawData[[Error Type ]],$Q$5))</f>
        <v/>
      </c>
    </row>
    <row r="22050" spans="15:15" x14ac:dyDescent="0.25">
      <c r="O22050" s="20" t="str">
        <f>IF(N22050="","",COUNTIFS(RawData[[Date ]],N22050,RawData[Month List],$Q$6,RawData[Tour/Site],$Q$2,RawData[[Picker ID ]],$Q$3,RawData[Checker ID],$Q$4,RawData[[Error Type ]],$Q$5))</f>
        <v/>
      </c>
    </row>
    <row r="22051" spans="15:15" x14ac:dyDescent="0.25">
      <c r="O22051" s="20" t="str">
        <f>IF(N22051="","",COUNTIFS(RawData[[Date ]],N22051,RawData[Month List],$Q$6,RawData[Tour/Site],$Q$2,RawData[[Picker ID ]],$Q$3,RawData[Checker ID],$Q$4,RawData[[Error Type ]],$Q$5))</f>
        <v/>
      </c>
    </row>
    <row r="22052" spans="15:15" x14ac:dyDescent="0.25">
      <c r="O22052" s="20" t="str">
        <f>IF(N22052="","",COUNTIFS(RawData[[Date ]],N22052,RawData[Month List],$Q$6,RawData[Tour/Site],$Q$2,RawData[[Picker ID ]],$Q$3,RawData[Checker ID],$Q$4,RawData[[Error Type ]],$Q$5))</f>
        <v/>
      </c>
    </row>
    <row r="22053" spans="15:15" x14ac:dyDescent="0.25">
      <c r="O22053" s="20" t="str">
        <f>IF(N22053="","",COUNTIFS(RawData[[Date ]],N22053,RawData[Month List],$Q$6,RawData[Tour/Site],$Q$2,RawData[[Picker ID ]],$Q$3,RawData[Checker ID],$Q$4,RawData[[Error Type ]],$Q$5))</f>
        <v/>
      </c>
    </row>
    <row r="22054" spans="15:15" x14ac:dyDescent="0.25">
      <c r="O22054" s="20" t="str">
        <f>IF(N22054="","",COUNTIFS(RawData[[Date ]],N22054,RawData[Month List],$Q$6,RawData[Tour/Site],$Q$2,RawData[[Picker ID ]],$Q$3,RawData[Checker ID],$Q$4,RawData[[Error Type ]],$Q$5))</f>
        <v/>
      </c>
    </row>
    <row r="22055" spans="15:15" x14ac:dyDescent="0.25">
      <c r="O22055" s="20" t="str">
        <f>IF(N22055="","",COUNTIFS(RawData[[Date ]],N22055,RawData[Month List],$Q$6,RawData[Tour/Site],$Q$2,RawData[[Picker ID ]],$Q$3,RawData[Checker ID],$Q$4,RawData[[Error Type ]],$Q$5))</f>
        <v/>
      </c>
    </row>
    <row r="22056" spans="15:15" x14ac:dyDescent="0.25">
      <c r="O22056" s="20" t="str">
        <f>IF(N22056="","",COUNTIFS(RawData[[Date ]],N22056,RawData[Month List],$Q$6,RawData[Tour/Site],$Q$2,RawData[[Picker ID ]],$Q$3,RawData[Checker ID],$Q$4,RawData[[Error Type ]],$Q$5))</f>
        <v/>
      </c>
    </row>
    <row r="22057" spans="15:15" x14ac:dyDescent="0.25">
      <c r="O22057" s="20" t="str">
        <f>IF(N22057="","",COUNTIFS(RawData[[Date ]],N22057,RawData[Month List],$Q$6,RawData[Tour/Site],$Q$2,RawData[[Picker ID ]],$Q$3,RawData[Checker ID],$Q$4,RawData[[Error Type ]],$Q$5))</f>
        <v/>
      </c>
    </row>
    <row r="22058" spans="15:15" x14ac:dyDescent="0.25">
      <c r="O22058" s="20" t="str">
        <f>IF(N22058="","",COUNTIFS(RawData[[Date ]],N22058,RawData[Month List],$Q$6,RawData[Tour/Site],$Q$2,RawData[[Picker ID ]],$Q$3,RawData[Checker ID],$Q$4,RawData[[Error Type ]],$Q$5))</f>
        <v/>
      </c>
    </row>
    <row r="22059" spans="15:15" x14ac:dyDescent="0.25">
      <c r="O22059" s="20" t="str">
        <f>IF(N22059="","",COUNTIFS(RawData[[Date ]],N22059,RawData[Month List],$Q$6,RawData[Tour/Site],$Q$2,RawData[[Picker ID ]],$Q$3,RawData[Checker ID],$Q$4,RawData[[Error Type ]],$Q$5))</f>
        <v/>
      </c>
    </row>
    <row r="22060" spans="15:15" x14ac:dyDescent="0.25">
      <c r="O22060" s="20" t="str">
        <f>IF(N22060="","",COUNTIFS(RawData[[Date ]],N22060,RawData[Month List],$Q$6,RawData[Tour/Site],$Q$2,RawData[[Picker ID ]],$Q$3,RawData[Checker ID],$Q$4,RawData[[Error Type ]],$Q$5))</f>
        <v/>
      </c>
    </row>
    <row r="22061" spans="15:15" x14ac:dyDescent="0.25">
      <c r="O22061" s="20" t="str">
        <f>IF(N22061="","",COUNTIFS(RawData[[Date ]],N22061,RawData[Month List],$Q$6,RawData[Tour/Site],$Q$2,RawData[[Picker ID ]],$Q$3,RawData[Checker ID],$Q$4,RawData[[Error Type ]],$Q$5))</f>
        <v/>
      </c>
    </row>
    <row r="22062" spans="15:15" x14ac:dyDescent="0.25">
      <c r="O22062" s="20" t="str">
        <f>IF(N22062="","",COUNTIFS(RawData[[Date ]],N22062,RawData[Month List],$Q$6,RawData[Tour/Site],$Q$2,RawData[[Picker ID ]],$Q$3,RawData[Checker ID],$Q$4,RawData[[Error Type ]],$Q$5))</f>
        <v/>
      </c>
    </row>
    <row r="22063" spans="15:15" x14ac:dyDescent="0.25">
      <c r="O22063" s="20" t="str">
        <f>IF(N22063="","",COUNTIFS(RawData[[Date ]],N22063,RawData[Month List],$Q$6,RawData[Tour/Site],$Q$2,RawData[[Picker ID ]],$Q$3,RawData[Checker ID],$Q$4,RawData[[Error Type ]],$Q$5))</f>
        <v/>
      </c>
    </row>
    <row r="22064" spans="15:15" x14ac:dyDescent="0.25">
      <c r="O22064" s="20" t="str">
        <f>IF(N22064="","",COUNTIFS(RawData[[Date ]],N22064,RawData[Month List],$Q$6,RawData[Tour/Site],$Q$2,RawData[[Picker ID ]],$Q$3,RawData[Checker ID],$Q$4,RawData[[Error Type ]],$Q$5))</f>
        <v/>
      </c>
    </row>
    <row r="22065" spans="15:15" x14ac:dyDescent="0.25">
      <c r="O22065" s="20" t="str">
        <f>IF(N22065="","",COUNTIFS(RawData[[Date ]],N22065,RawData[Month List],$Q$6,RawData[Tour/Site],$Q$2,RawData[[Picker ID ]],$Q$3,RawData[Checker ID],$Q$4,RawData[[Error Type ]],$Q$5))</f>
        <v/>
      </c>
    </row>
    <row r="22066" spans="15:15" x14ac:dyDescent="0.25">
      <c r="O22066" s="20" t="str">
        <f>IF(N22066="","",COUNTIFS(RawData[[Date ]],N22066,RawData[Month List],$Q$6,RawData[Tour/Site],$Q$2,RawData[[Picker ID ]],$Q$3,RawData[Checker ID],$Q$4,RawData[[Error Type ]],$Q$5))</f>
        <v/>
      </c>
    </row>
    <row r="22067" spans="15:15" x14ac:dyDescent="0.25">
      <c r="O22067" s="20" t="str">
        <f>IF(N22067="","",COUNTIFS(RawData[[Date ]],N22067,RawData[Month List],$Q$6,RawData[Tour/Site],$Q$2,RawData[[Picker ID ]],$Q$3,RawData[Checker ID],$Q$4,RawData[[Error Type ]],$Q$5))</f>
        <v/>
      </c>
    </row>
    <row r="22068" spans="15:15" x14ac:dyDescent="0.25">
      <c r="O22068" s="20" t="str">
        <f>IF(N22068="","",COUNTIFS(RawData[[Date ]],N22068,RawData[Month List],$Q$6,RawData[Tour/Site],$Q$2,RawData[[Picker ID ]],$Q$3,RawData[Checker ID],$Q$4,RawData[[Error Type ]],$Q$5))</f>
        <v/>
      </c>
    </row>
    <row r="22069" spans="15:15" x14ac:dyDescent="0.25">
      <c r="O22069" s="20" t="str">
        <f>IF(N22069="","",COUNTIFS(RawData[[Date ]],N22069,RawData[Month List],$Q$6,RawData[Tour/Site],$Q$2,RawData[[Picker ID ]],$Q$3,RawData[Checker ID],$Q$4,RawData[[Error Type ]],$Q$5))</f>
        <v/>
      </c>
    </row>
    <row r="22070" spans="15:15" x14ac:dyDescent="0.25">
      <c r="O22070" s="20" t="str">
        <f>IF(N22070="","",COUNTIFS(RawData[[Date ]],N22070,RawData[Month List],$Q$6,RawData[Tour/Site],$Q$2,RawData[[Picker ID ]],$Q$3,RawData[Checker ID],$Q$4,RawData[[Error Type ]],$Q$5))</f>
        <v/>
      </c>
    </row>
    <row r="22071" spans="15:15" x14ac:dyDescent="0.25">
      <c r="O22071" s="20" t="str">
        <f>IF(N22071="","",COUNTIFS(RawData[[Date ]],N22071,RawData[Month List],$Q$6,RawData[Tour/Site],$Q$2,RawData[[Picker ID ]],$Q$3,RawData[Checker ID],$Q$4,RawData[[Error Type ]],$Q$5))</f>
        <v/>
      </c>
    </row>
    <row r="22072" spans="15:15" x14ac:dyDescent="0.25">
      <c r="O22072" s="20" t="str">
        <f>IF(N22072="","",COUNTIFS(RawData[[Date ]],N22072,RawData[Month List],$Q$6,RawData[Tour/Site],$Q$2,RawData[[Picker ID ]],$Q$3,RawData[Checker ID],$Q$4,RawData[[Error Type ]],$Q$5))</f>
        <v/>
      </c>
    </row>
    <row r="22073" spans="15:15" x14ac:dyDescent="0.25">
      <c r="O22073" s="20" t="str">
        <f>IF(N22073="","",COUNTIFS(RawData[[Date ]],N22073,RawData[Month List],$Q$6,RawData[Tour/Site],$Q$2,RawData[[Picker ID ]],$Q$3,RawData[Checker ID],$Q$4,RawData[[Error Type ]],$Q$5))</f>
        <v/>
      </c>
    </row>
    <row r="22074" spans="15:15" x14ac:dyDescent="0.25">
      <c r="O22074" s="20" t="str">
        <f>IF(N22074="","",COUNTIFS(RawData[[Date ]],N22074,RawData[Month List],$Q$6,RawData[Tour/Site],$Q$2,RawData[[Picker ID ]],$Q$3,RawData[Checker ID],$Q$4,RawData[[Error Type ]],$Q$5))</f>
        <v/>
      </c>
    </row>
    <row r="22075" spans="15:15" x14ac:dyDescent="0.25">
      <c r="O22075" s="20" t="str">
        <f>IF(N22075="","",COUNTIFS(RawData[[Date ]],N22075,RawData[Month List],$Q$6,RawData[Tour/Site],$Q$2,RawData[[Picker ID ]],$Q$3,RawData[Checker ID],$Q$4,RawData[[Error Type ]],$Q$5))</f>
        <v/>
      </c>
    </row>
    <row r="22076" spans="15:15" x14ac:dyDescent="0.25">
      <c r="O22076" s="20" t="str">
        <f>IF(N22076="","",COUNTIFS(RawData[[Date ]],N22076,RawData[Month List],$Q$6,RawData[Tour/Site],$Q$2,RawData[[Picker ID ]],$Q$3,RawData[Checker ID],$Q$4,RawData[[Error Type ]],$Q$5))</f>
        <v/>
      </c>
    </row>
    <row r="22077" spans="15:15" x14ac:dyDescent="0.25">
      <c r="O22077" s="20" t="str">
        <f>IF(N22077="","",COUNTIFS(RawData[[Date ]],N22077,RawData[Month List],$Q$6,RawData[Tour/Site],$Q$2,RawData[[Picker ID ]],$Q$3,RawData[Checker ID],$Q$4,RawData[[Error Type ]],$Q$5))</f>
        <v/>
      </c>
    </row>
    <row r="22078" spans="15:15" x14ac:dyDescent="0.25">
      <c r="O22078" s="20" t="str">
        <f>IF(N22078="","",COUNTIFS(RawData[[Date ]],N22078,RawData[Month List],$Q$6,RawData[Tour/Site],$Q$2,RawData[[Picker ID ]],$Q$3,RawData[Checker ID],$Q$4,RawData[[Error Type ]],$Q$5))</f>
        <v/>
      </c>
    </row>
    <row r="22079" spans="15:15" x14ac:dyDescent="0.25">
      <c r="O22079" s="20" t="str">
        <f>IF(N22079="","",COUNTIFS(RawData[[Date ]],N22079,RawData[Month List],$Q$6,RawData[Tour/Site],$Q$2,RawData[[Picker ID ]],$Q$3,RawData[Checker ID],$Q$4,RawData[[Error Type ]],$Q$5))</f>
        <v/>
      </c>
    </row>
    <row r="22080" spans="15:15" x14ac:dyDescent="0.25">
      <c r="O22080" s="20" t="str">
        <f>IF(N22080="","",COUNTIFS(RawData[[Date ]],N22080,RawData[Month List],$Q$6,RawData[Tour/Site],$Q$2,RawData[[Picker ID ]],$Q$3,RawData[Checker ID],$Q$4,RawData[[Error Type ]],$Q$5))</f>
        <v/>
      </c>
    </row>
    <row r="22081" spans="15:15" x14ac:dyDescent="0.25">
      <c r="O22081" s="20" t="str">
        <f>IF(N22081="","",COUNTIFS(RawData[[Date ]],N22081,RawData[Month List],$Q$6,RawData[Tour/Site],$Q$2,RawData[[Picker ID ]],$Q$3,RawData[Checker ID],$Q$4,RawData[[Error Type ]],$Q$5))</f>
        <v/>
      </c>
    </row>
    <row r="22082" spans="15:15" x14ac:dyDescent="0.25">
      <c r="O22082" s="20" t="str">
        <f>IF(N22082="","",COUNTIFS(RawData[[Date ]],N22082,RawData[Month List],$Q$6,RawData[Tour/Site],$Q$2,RawData[[Picker ID ]],$Q$3,RawData[Checker ID],$Q$4,RawData[[Error Type ]],$Q$5))</f>
        <v/>
      </c>
    </row>
    <row r="22083" spans="15:15" x14ac:dyDescent="0.25">
      <c r="O22083" s="20" t="str">
        <f>IF(N22083="","",COUNTIFS(RawData[[Date ]],N22083,RawData[Month List],$Q$6,RawData[Tour/Site],$Q$2,RawData[[Picker ID ]],$Q$3,RawData[Checker ID],$Q$4,RawData[[Error Type ]],$Q$5))</f>
        <v/>
      </c>
    </row>
    <row r="22084" spans="15:15" x14ac:dyDescent="0.25">
      <c r="O22084" s="20" t="str">
        <f>IF(N22084="","",COUNTIFS(RawData[[Date ]],N22084,RawData[Month List],$Q$6,RawData[Tour/Site],$Q$2,RawData[[Picker ID ]],$Q$3,RawData[Checker ID],$Q$4,RawData[[Error Type ]],$Q$5))</f>
        <v/>
      </c>
    </row>
    <row r="22085" spans="15:15" x14ac:dyDescent="0.25">
      <c r="O22085" s="20" t="str">
        <f>IF(N22085="","",COUNTIFS(RawData[[Date ]],N22085,RawData[Month List],$Q$6,RawData[Tour/Site],$Q$2,RawData[[Picker ID ]],$Q$3,RawData[Checker ID],$Q$4,RawData[[Error Type ]],$Q$5))</f>
        <v/>
      </c>
    </row>
    <row r="22086" spans="15:15" x14ac:dyDescent="0.25">
      <c r="O22086" s="20" t="str">
        <f>IF(N22086="","",COUNTIFS(RawData[[Date ]],N22086,RawData[Month List],$Q$6,RawData[Tour/Site],$Q$2,RawData[[Picker ID ]],$Q$3,RawData[Checker ID],$Q$4,RawData[[Error Type ]],$Q$5))</f>
        <v/>
      </c>
    </row>
    <row r="22087" spans="15:15" x14ac:dyDescent="0.25">
      <c r="O22087" s="20" t="str">
        <f>IF(N22087="","",COUNTIFS(RawData[[Date ]],N22087,RawData[Month List],$Q$6,RawData[Tour/Site],$Q$2,RawData[[Picker ID ]],$Q$3,RawData[Checker ID],$Q$4,RawData[[Error Type ]],$Q$5))</f>
        <v/>
      </c>
    </row>
    <row r="22088" spans="15:15" x14ac:dyDescent="0.25">
      <c r="O22088" s="20" t="str">
        <f>IF(N22088="","",COUNTIFS(RawData[[Date ]],N22088,RawData[Month List],$Q$6,RawData[Tour/Site],$Q$2,RawData[[Picker ID ]],$Q$3,RawData[Checker ID],$Q$4,RawData[[Error Type ]],$Q$5))</f>
        <v/>
      </c>
    </row>
    <row r="22089" spans="15:15" x14ac:dyDescent="0.25">
      <c r="O22089" s="20" t="str">
        <f>IF(N22089="","",COUNTIFS(RawData[[Date ]],N22089,RawData[Month List],$Q$6,RawData[Tour/Site],$Q$2,RawData[[Picker ID ]],$Q$3,RawData[Checker ID],$Q$4,RawData[[Error Type ]],$Q$5))</f>
        <v/>
      </c>
    </row>
    <row r="22090" spans="15:15" x14ac:dyDescent="0.25">
      <c r="O22090" s="20" t="str">
        <f>IF(N22090="","",COUNTIFS(RawData[[Date ]],N22090,RawData[Month List],$Q$6,RawData[Tour/Site],$Q$2,RawData[[Picker ID ]],$Q$3,RawData[Checker ID],$Q$4,RawData[[Error Type ]],$Q$5))</f>
        <v/>
      </c>
    </row>
    <row r="22091" spans="15:15" x14ac:dyDescent="0.25">
      <c r="O22091" s="20" t="str">
        <f>IF(N22091="","",COUNTIFS(RawData[[Date ]],N22091,RawData[Month List],$Q$6,RawData[Tour/Site],$Q$2,RawData[[Picker ID ]],$Q$3,RawData[Checker ID],$Q$4,RawData[[Error Type ]],$Q$5))</f>
        <v/>
      </c>
    </row>
    <row r="22092" spans="15:15" x14ac:dyDescent="0.25">
      <c r="O22092" s="20" t="str">
        <f>IF(N22092="","",COUNTIFS(RawData[[Date ]],N22092,RawData[Month List],$Q$6,RawData[Tour/Site],$Q$2,RawData[[Picker ID ]],$Q$3,RawData[Checker ID],$Q$4,RawData[[Error Type ]],$Q$5))</f>
        <v/>
      </c>
    </row>
    <row r="22093" spans="15:15" x14ac:dyDescent="0.25">
      <c r="O22093" s="20" t="str">
        <f>IF(N22093="","",COUNTIFS(RawData[[Date ]],N22093,RawData[Month List],$Q$6,RawData[Tour/Site],$Q$2,RawData[[Picker ID ]],$Q$3,RawData[Checker ID],$Q$4,RawData[[Error Type ]],$Q$5))</f>
        <v/>
      </c>
    </row>
    <row r="22094" spans="15:15" x14ac:dyDescent="0.25">
      <c r="O22094" s="20" t="str">
        <f>IF(N22094="","",COUNTIFS(RawData[[Date ]],N22094,RawData[Month List],$Q$6,RawData[Tour/Site],$Q$2,RawData[[Picker ID ]],$Q$3,RawData[Checker ID],$Q$4,RawData[[Error Type ]],$Q$5))</f>
        <v/>
      </c>
    </row>
    <row r="22095" spans="15:15" x14ac:dyDescent="0.25">
      <c r="O22095" s="20" t="str">
        <f>IF(N22095="","",COUNTIFS(RawData[[Date ]],N22095,RawData[Month List],$Q$6,RawData[Tour/Site],$Q$2,RawData[[Picker ID ]],$Q$3,RawData[Checker ID],$Q$4,RawData[[Error Type ]],$Q$5))</f>
        <v/>
      </c>
    </row>
    <row r="22096" spans="15:15" x14ac:dyDescent="0.25">
      <c r="O22096" s="20" t="str">
        <f>IF(N22096="","",COUNTIFS(RawData[[Date ]],N22096,RawData[Month List],$Q$6,RawData[Tour/Site],$Q$2,RawData[[Picker ID ]],$Q$3,RawData[Checker ID],$Q$4,RawData[[Error Type ]],$Q$5))</f>
        <v/>
      </c>
    </row>
    <row r="22097" spans="15:15" x14ac:dyDescent="0.25">
      <c r="O22097" s="20" t="str">
        <f>IF(N22097="","",COUNTIFS(RawData[[Date ]],N22097,RawData[Month List],$Q$6,RawData[Tour/Site],$Q$2,RawData[[Picker ID ]],$Q$3,RawData[Checker ID],$Q$4,RawData[[Error Type ]],$Q$5))</f>
        <v/>
      </c>
    </row>
    <row r="22098" spans="15:15" x14ac:dyDescent="0.25">
      <c r="O22098" s="20" t="str">
        <f>IF(N22098="","",COUNTIFS(RawData[[Date ]],N22098,RawData[Month List],$Q$6,RawData[Tour/Site],$Q$2,RawData[[Picker ID ]],$Q$3,RawData[Checker ID],$Q$4,RawData[[Error Type ]],$Q$5))</f>
        <v/>
      </c>
    </row>
    <row r="22099" spans="15:15" x14ac:dyDescent="0.25">
      <c r="O22099" s="20" t="str">
        <f>IF(N22099="","",COUNTIFS(RawData[[Date ]],N22099,RawData[Month List],$Q$6,RawData[Tour/Site],$Q$2,RawData[[Picker ID ]],$Q$3,RawData[Checker ID],$Q$4,RawData[[Error Type ]],$Q$5))</f>
        <v/>
      </c>
    </row>
    <row r="22100" spans="15:15" x14ac:dyDescent="0.25">
      <c r="O22100" s="20" t="str">
        <f>IF(N22100="","",COUNTIFS(RawData[[Date ]],N22100,RawData[Month List],$Q$6,RawData[Tour/Site],$Q$2,RawData[[Picker ID ]],$Q$3,RawData[Checker ID],$Q$4,RawData[[Error Type ]],$Q$5))</f>
        <v/>
      </c>
    </row>
    <row r="22101" spans="15:15" x14ac:dyDescent="0.25">
      <c r="O22101" s="20" t="str">
        <f>IF(N22101="","",COUNTIFS(RawData[[Date ]],N22101,RawData[Month List],$Q$6,RawData[Tour/Site],$Q$2,RawData[[Picker ID ]],$Q$3,RawData[Checker ID],$Q$4,RawData[[Error Type ]],$Q$5))</f>
        <v/>
      </c>
    </row>
    <row r="22102" spans="15:15" x14ac:dyDescent="0.25">
      <c r="O22102" s="20" t="str">
        <f>IF(N22102="","",COUNTIFS(RawData[[Date ]],N22102,RawData[Month List],$Q$6,RawData[Tour/Site],$Q$2,RawData[[Picker ID ]],$Q$3,RawData[Checker ID],$Q$4,RawData[[Error Type ]],$Q$5))</f>
        <v/>
      </c>
    </row>
    <row r="22103" spans="15:15" x14ac:dyDescent="0.25">
      <c r="O22103" s="20" t="str">
        <f>IF(N22103="","",COUNTIFS(RawData[[Date ]],N22103,RawData[Month List],$Q$6,RawData[Tour/Site],$Q$2,RawData[[Picker ID ]],$Q$3,RawData[Checker ID],$Q$4,RawData[[Error Type ]],$Q$5))</f>
        <v/>
      </c>
    </row>
    <row r="22104" spans="15:15" x14ac:dyDescent="0.25">
      <c r="O22104" s="20" t="str">
        <f>IF(N22104="","",COUNTIFS(RawData[[Date ]],N22104,RawData[Month List],$Q$6,RawData[Tour/Site],$Q$2,RawData[[Picker ID ]],$Q$3,RawData[Checker ID],$Q$4,RawData[[Error Type ]],$Q$5))</f>
        <v/>
      </c>
    </row>
    <row r="22105" spans="15:15" x14ac:dyDescent="0.25">
      <c r="O22105" s="20" t="str">
        <f>IF(N22105="","",COUNTIFS(RawData[[Date ]],N22105,RawData[Month List],$Q$6,RawData[Tour/Site],$Q$2,RawData[[Picker ID ]],$Q$3,RawData[Checker ID],$Q$4,RawData[[Error Type ]],$Q$5))</f>
        <v/>
      </c>
    </row>
    <row r="22106" spans="15:15" x14ac:dyDescent="0.25">
      <c r="O22106" s="20" t="str">
        <f>IF(N22106="","",COUNTIFS(RawData[[Date ]],N22106,RawData[Month List],$Q$6,RawData[Tour/Site],$Q$2,RawData[[Picker ID ]],$Q$3,RawData[Checker ID],$Q$4,RawData[[Error Type ]],$Q$5))</f>
        <v/>
      </c>
    </row>
    <row r="22107" spans="15:15" x14ac:dyDescent="0.25">
      <c r="O22107" s="20" t="str">
        <f>IF(N22107="","",COUNTIFS(RawData[[Date ]],N22107,RawData[Month List],$Q$6,RawData[Tour/Site],$Q$2,RawData[[Picker ID ]],$Q$3,RawData[Checker ID],$Q$4,RawData[[Error Type ]],$Q$5))</f>
        <v/>
      </c>
    </row>
    <row r="22108" spans="15:15" x14ac:dyDescent="0.25">
      <c r="O22108" s="20" t="str">
        <f>IF(N22108="","",COUNTIFS(RawData[[Date ]],N22108,RawData[Month List],$Q$6,RawData[Tour/Site],$Q$2,RawData[[Picker ID ]],$Q$3,RawData[Checker ID],$Q$4,RawData[[Error Type ]],$Q$5))</f>
        <v/>
      </c>
    </row>
    <row r="22109" spans="15:15" x14ac:dyDescent="0.25">
      <c r="O22109" s="20" t="str">
        <f>IF(N22109="","",COUNTIFS(RawData[[Date ]],N22109,RawData[Month List],$Q$6,RawData[Tour/Site],$Q$2,RawData[[Picker ID ]],$Q$3,RawData[Checker ID],$Q$4,RawData[[Error Type ]],$Q$5))</f>
        <v/>
      </c>
    </row>
    <row r="22110" spans="15:15" x14ac:dyDescent="0.25">
      <c r="O22110" s="20" t="str">
        <f>IF(N22110="","",COUNTIFS(RawData[[Date ]],N22110,RawData[Month List],$Q$6,RawData[Tour/Site],$Q$2,RawData[[Picker ID ]],$Q$3,RawData[Checker ID],$Q$4,RawData[[Error Type ]],$Q$5))</f>
        <v/>
      </c>
    </row>
    <row r="22111" spans="15:15" x14ac:dyDescent="0.25">
      <c r="O22111" s="20" t="str">
        <f>IF(N22111="","",COUNTIFS(RawData[[Date ]],N22111,RawData[Month List],$Q$6,RawData[Tour/Site],$Q$2,RawData[[Picker ID ]],$Q$3,RawData[Checker ID],$Q$4,RawData[[Error Type ]],$Q$5))</f>
        <v/>
      </c>
    </row>
    <row r="22112" spans="15:15" x14ac:dyDescent="0.25">
      <c r="O22112" s="20" t="str">
        <f>IF(N22112="","",COUNTIFS(RawData[[Date ]],N22112,RawData[Month List],$Q$6,RawData[Tour/Site],$Q$2,RawData[[Picker ID ]],$Q$3,RawData[Checker ID],$Q$4,RawData[[Error Type ]],$Q$5))</f>
        <v/>
      </c>
    </row>
    <row r="22113" spans="15:15" x14ac:dyDescent="0.25">
      <c r="O22113" s="20" t="str">
        <f>IF(N22113="","",COUNTIFS(RawData[[Date ]],N22113,RawData[Month List],$Q$6,RawData[Tour/Site],$Q$2,RawData[[Picker ID ]],$Q$3,RawData[Checker ID],$Q$4,RawData[[Error Type ]],$Q$5))</f>
        <v/>
      </c>
    </row>
    <row r="22114" spans="15:15" x14ac:dyDescent="0.25">
      <c r="O22114" s="20" t="str">
        <f>IF(N22114="","",COUNTIFS(RawData[[Date ]],N22114,RawData[Month List],$Q$6,RawData[Tour/Site],$Q$2,RawData[[Picker ID ]],$Q$3,RawData[Checker ID],$Q$4,RawData[[Error Type ]],$Q$5))</f>
        <v/>
      </c>
    </row>
    <row r="22115" spans="15:15" x14ac:dyDescent="0.25">
      <c r="O22115" s="20" t="str">
        <f>IF(N22115="","",COUNTIFS(RawData[[Date ]],N22115,RawData[Month List],$Q$6,RawData[Tour/Site],$Q$2,RawData[[Picker ID ]],$Q$3,RawData[Checker ID],$Q$4,RawData[[Error Type ]],$Q$5))</f>
        <v/>
      </c>
    </row>
    <row r="22116" spans="15:15" x14ac:dyDescent="0.25">
      <c r="O22116" s="20" t="str">
        <f>IF(N22116="","",COUNTIFS(RawData[[Date ]],N22116,RawData[Month List],$Q$6,RawData[Tour/Site],$Q$2,RawData[[Picker ID ]],$Q$3,RawData[Checker ID],$Q$4,RawData[[Error Type ]],$Q$5))</f>
        <v/>
      </c>
    </row>
    <row r="22117" spans="15:15" x14ac:dyDescent="0.25">
      <c r="O22117" s="20" t="str">
        <f>IF(N22117="","",COUNTIFS(RawData[[Date ]],N22117,RawData[Month List],$Q$6,RawData[Tour/Site],$Q$2,RawData[[Picker ID ]],$Q$3,RawData[Checker ID],$Q$4,RawData[[Error Type ]],$Q$5))</f>
        <v/>
      </c>
    </row>
    <row r="22118" spans="15:15" x14ac:dyDescent="0.25">
      <c r="O22118" s="20" t="str">
        <f>IF(N22118="","",COUNTIFS(RawData[[Date ]],N22118,RawData[Month List],$Q$6,RawData[Tour/Site],$Q$2,RawData[[Picker ID ]],$Q$3,RawData[Checker ID],$Q$4,RawData[[Error Type ]],$Q$5))</f>
        <v/>
      </c>
    </row>
    <row r="22119" spans="15:15" x14ac:dyDescent="0.25">
      <c r="O22119" s="20" t="str">
        <f>IF(N22119="","",COUNTIFS(RawData[[Date ]],N22119,RawData[Month List],$Q$6,RawData[Tour/Site],$Q$2,RawData[[Picker ID ]],$Q$3,RawData[Checker ID],$Q$4,RawData[[Error Type ]],$Q$5))</f>
        <v/>
      </c>
    </row>
    <row r="22120" spans="15:15" x14ac:dyDescent="0.25">
      <c r="O22120" s="20" t="str">
        <f>IF(N22120="","",COUNTIFS(RawData[[Date ]],N22120,RawData[Month List],$Q$6,RawData[Tour/Site],$Q$2,RawData[[Picker ID ]],$Q$3,RawData[Checker ID],$Q$4,RawData[[Error Type ]],$Q$5))</f>
        <v/>
      </c>
    </row>
    <row r="22121" spans="15:15" x14ac:dyDescent="0.25">
      <c r="O22121" s="20" t="str">
        <f>IF(N22121="","",COUNTIFS(RawData[[Date ]],N22121,RawData[Month List],$Q$6,RawData[Tour/Site],$Q$2,RawData[[Picker ID ]],$Q$3,RawData[Checker ID],$Q$4,RawData[[Error Type ]],$Q$5))</f>
        <v/>
      </c>
    </row>
    <row r="22122" spans="15:15" x14ac:dyDescent="0.25">
      <c r="O22122" s="20" t="str">
        <f>IF(N22122="","",COUNTIFS(RawData[[Date ]],N22122,RawData[Month List],$Q$6,RawData[Tour/Site],$Q$2,RawData[[Picker ID ]],$Q$3,RawData[Checker ID],$Q$4,RawData[[Error Type ]],$Q$5))</f>
        <v/>
      </c>
    </row>
    <row r="22123" spans="15:15" x14ac:dyDescent="0.25">
      <c r="O22123" s="20" t="str">
        <f>IF(N22123="","",COUNTIFS(RawData[[Date ]],N22123,RawData[Month List],$Q$6,RawData[Tour/Site],$Q$2,RawData[[Picker ID ]],$Q$3,RawData[Checker ID],$Q$4,RawData[[Error Type ]],$Q$5))</f>
        <v/>
      </c>
    </row>
    <row r="22124" spans="15:15" x14ac:dyDescent="0.25">
      <c r="O22124" s="20" t="str">
        <f>IF(N22124="","",COUNTIFS(RawData[[Date ]],N22124,RawData[Month List],$Q$6,RawData[Tour/Site],$Q$2,RawData[[Picker ID ]],$Q$3,RawData[Checker ID],$Q$4,RawData[[Error Type ]],$Q$5))</f>
        <v/>
      </c>
    </row>
    <row r="22125" spans="15:15" x14ac:dyDescent="0.25">
      <c r="O22125" s="20" t="str">
        <f>IF(N22125="","",COUNTIFS(RawData[[Date ]],N22125,RawData[Month List],$Q$6,RawData[Tour/Site],$Q$2,RawData[[Picker ID ]],$Q$3,RawData[Checker ID],$Q$4,RawData[[Error Type ]],$Q$5))</f>
        <v/>
      </c>
    </row>
    <row r="22126" spans="15:15" x14ac:dyDescent="0.25">
      <c r="O22126" s="20" t="str">
        <f>IF(N22126="","",COUNTIFS(RawData[[Date ]],N22126,RawData[Month List],$Q$6,RawData[Tour/Site],$Q$2,RawData[[Picker ID ]],$Q$3,RawData[Checker ID],$Q$4,RawData[[Error Type ]],$Q$5))</f>
        <v/>
      </c>
    </row>
    <row r="22127" spans="15:15" x14ac:dyDescent="0.25">
      <c r="O22127" s="20" t="str">
        <f>IF(N22127="","",COUNTIFS(RawData[[Date ]],N22127,RawData[Month List],$Q$6,RawData[Tour/Site],$Q$2,RawData[[Picker ID ]],$Q$3,RawData[Checker ID],$Q$4,RawData[[Error Type ]],$Q$5))</f>
        <v/>
      </c>
    </row>
    <row r="22128" spans="15:15" x14ac:dyDescent="0.25">
      <c r="O22128" s="20" t="str">
        <f>IF(N22128="","",COUNTIFS(RawData[[Date ]],N22128,RawData[Month List],$Q$6,RawData[Tour/Site],$Q$2,RawData[[Picker ID ]],$Q$3,RawData[Checker ID],$Q$4,RawData[[Error Type ]],$Q$5))</f>
        <v/>
      </c>
    </row>
    <row r="22129" spans="15:15" x14ac:dyDescent="0.25">
      <c r="O22129" s="20" t="str">
        <f>IF(N22129="","",COUNTIFS(RawData[[Date ]],N22129,RawData[Month List],$Q$6,RawData[Tour/Site],$Q$2,RawData[[Picker ID ]],$Q$3,RawData[Checker ID],$Q$4,RawData[[Error Type ]],$Q$5))</f>
        <v/>
      </c>
    </row>
    <row r="22130" spans="15:15" x14ac:dyDescent="0.25">
      <c r="O22130" s="20" t="str">
        <f>IF(N22130="","",COUNTIFS(RawData[[Date ]],N22130,RawData[Month List],$Q$6,RawData[Tour/Site],$Q$2,RawData[[Picker ID ]],$Q$3,RawData[Checker ID],$Q$4,RawData[[Error Type ]],$Q$5))</f>
        <v/>
      </c>
    </row>
    <row r="22131" spans="15:15" x14ac:dyDescent="0.25">
      <c r="O22131" s="20" t="str">
        <f>IF(N22131="","",COUNTIFS(RawData[[Date ]],N22131,RawData[Month List],$Q$6,RawData[Tour/Site],$Q$2,RawData[[Picker ID ]],$Q$3,RawData[Checker ID],$Q$4,RawData[[Error Type ]],$Q$5))</f>
        <v/>
      </c>
    </row>
    <row r="22132" spans="15:15" x14ac:dyDescent="0.25">
      <c r="O22132" s="20" t="str">
        <f>IF(N22132="","",COUNTIFS(RawData[[Date ]],N22132,RawData[Month List],$Q$6,RawData[Tour/Site],$Q$2,RawData[[Picker ID ]],$Q$3,RawData[Checker ID],$Q$4,RawData[[Error Type ]],$Q$5))</f>
        <v/>
      </c>
    </row>
    <row r="22133" spans="15:15" x14ac:dyDescent="0.25">
      <c r="O22133" s="20" t="str">
        <f>IF(N22133="","",COUNTIFS(RawData[[Date ]],N22133,RawData[Month List],$Q$6,RawData[Tour/Site],$Q$2,RawData[[Picker ID ]],$Q$3,RawData[Checker ID],$Q$4,RawData[[Error Type ]],$Q$5))</f>
        <v/>
      </c>
    </row>
    <row r="22134" spans="15:15" x14ac:dyDescent="0.25">
      <c r="O22134" s="20" t="str">
        <f>IF(N22134="","",COUNTIFS(RawData[[Date ]],N22134,RawData[Month List],$Q$6,RawData[Tour/Site],$Q$2,RawData[[Picker ID ]],$Q$3,RawData[Checker ID],$Q$4,RawData[[Error Type ]],$Q$5))</f>
        <v/>
      </c>
    </row>
    <row r="22135" spans="15:15" x14ac:dyDescent="0.25">
      <c r="O22135" s="20" t="str">
        <f>IF(N22135="","",COUNTIFS(RawData[[Date ]],N22135,RawData[Month List],$Q$6,RawData[Tour/Site],$Q$2,RawData[[Picker ID ]],$Q$3,RawData[Checker ID],$Q$4,RawData[[Error Type ]],$Q$5))</f>
        <v/>
      </c>
    </row>
    <row r="22136" spans="15:15" x14ac:dyDescent="0.25">
      <c r="O22136" s="20" t="str">
        <f>IF(N22136="","",COUNTIFS(RawData[[Date ]],N22136,RawData[Month List],$Q$6,RawData[Tour/Site],$Q$2,RawData[[Picker ID ]],$Q$3,RawData[Checker ID],$Q$4,RawData[[Error Type ]],$Q$5))</f>
        <v/>
      </c>
    </row>
    <row r="22137" spans="15:15" x14ac:dyDescent="0.25">
      <c r="O22137" s="20" t="str">
        <f>IF(N22137="","",COUNTIFS(RawData[[Date ]],N22137,RawData[Month List],$Q$6,RawData[Tour/Site],$Q$2,RawData[[Picker ID ]],$Q$3,RawData[Checker ID],$Q$4,RawData[[Error Type ]],$Q$5))</f>
        <v/>
      </c>
    </row>
    <row r="22138" spans="15:15" x14ac:dyDescent="0.25">
      <c r="O22138" s="20" t="str">
        <f>IF(N22138="","",COUNTIFS(RawData[[Date ]],N22138,RawData[Month List],$Q$6,RawData[Tour/Site],$Q$2,RawData[[Picker ID ]],$Q$3,RawData[Checker ID],$Q$4,RawData[[Error Type ]],$Q$5))</f>
        <v/>
      </c>
    </row>
    <row r="22139" spans="15:15" x14ac:dyDescent="0.25">
      <c r="O22139" s="20" t="str">
        <f>IF(N22139="","",COUNTIFS(RawData[[Date ]],N22139,RawData[Month List],$Q$6,RawData[Tour/Site],$Q$2,RawData[[Picker ID ]],$Q$3,RawData[Checker ID],$Q$4,RawData[[Error Type ]],$Q$5))</f>
        <v/>
      </c>
    </row>
    <row r="22140" spans="15:15" x14ac:dyDescent="0.25">
      <c r="O22140" s="20" t="str">
        <f>IF(N22140="","",COUNTIFS(RawData[[Date ]],N22140,RawData[Month List],$Q$6,RawData[Tour/Site],$Q$2,RawData[[Picker ID ]],$Q$3,RawData[Checker ID],$Q$4,RawData[[Error Type ]],$Q$5))</f>
        <v/>
      </c>
    </row>
    <row r="22141" spans="15:15" x14ac:dyDescent="0.25">
      <c r="O22141" s="20" t="str">
        <f>IF(N22141="","",COUNTIFS(RawData[[Date ]],N22141,RawData[Month List],$Q$6,RawData[Tour/Site],$Q$2,RawData[[Picker ID ]],$Q$3,RawData[Checker ID],$Q$4,RawData[[Error Type ]],$Q$5))</f>
        <v/>
      </c>
    </row>
    <row r="22142" spans="15:15" x14ac:dyDescent="0.25">
      <c r="O22142" s="20" t="str">
        <f>IF(N22142="","",COUNTIFS(RawData[[Date ]],N22142,RawData[Month List],$Q$6,RawData[Tour/Site],$Q$2,RawData[[Picker ID ]],$Q$3,RawData[Checker ID],$Q$4,RawData[[Error Type ]],$Q$5))</f>
        <v/>
      </c>
    </row>
    <row r="22143" spans="15:15" x14ac:dyDescent="0.25">
      <c r="O22143" s="20" t="str">
        <f>IF(N22143="","",COUNTIFS(RawData[[Date ]],N22143,RawData[Month List],$Q$6,RawData[Tour/Site],$Q$2,RawData[[Picker ID ]],$Q$3,RawData[Checker ID],$Q$4,RawData[[Error Type ]],$Q$5))</f>
        <v/>
      </c>
    </row>
    <row r="22144" spans="15:15" x14ac:dyDescent="0.25">
      <c r="O22144" s="20" t="str">
        <f>IF(N22144="","",COUNTIFS(RawData[[Date ]],N22144,RawData[Month List],$Q$6,RawData[Tour/Site],$Q$2,RawData[[Picker ID ]],$Q$3,RawData[Checker ID],$Q$4,RawData[[Error Type ]],$Q$5))</f>
        <v/>
      </c>
    </row>
    <row r="22145" spans="15:15" x14ac:dyDescent="0.25">
      <c r="O22145" s="20" t="str">
        <f>IF(N22145="","",COUNTIFS(RawData[[Date ]],N22145,RawData[Month List],$Q$6,RawData[Tour/Site],$Q$2,RawData[[Picker ID ]],$Q$3,RawData[Checker ID],$Q$4,RawData[[Error Type ]],$Q$5))</f>
        <v/>
      </c>
    </row>
    <row r="22146" spans="15:15" x14ac:dyDescent="0.25">
      <c r="O22146" s="20" t="str">
        <f>IF(N22146="","",COUNTIFS(RawData[[Date ]],N22146,RawData[Month List],$Q$6,RawData[Tour/Site],$Q$2,RawData[[Picker ID ]],$Q$3,RawData[Checker ID],$Q$4,RawData[[Error Type ]],$Q$5))</f>
        <v/>
      </c>
    </row>
    <row r="22147" spans="15:15" x14ac:dyDescent="0.25">
      <c r="O22147" s="20" t="str">
        <f>IF(N22147="","",COUNTIFS(RawData[[Date ]],N22147,RawData[Month List],$Q$6,RawData[Tour/Site],$Q$2,RawData[[Picker ID ]],$Q$3,RawData[Checker ID],$Q$4,RawData[[Error Type ]],$Q$5))</f>
        <v/>
      </c>
    </row>
    <row r="22148" spans="15:15" x14ac:dyDescent="0.25">
      <c r="O22148" s="20" t="str">
        <f>IF(N22148="","",COUNTIFS(RawData[[Date ]],N22148,RawData[Month List],$Q$6,RawData[Tour/Site],$Q$2,RawData[[Picker ID ]],$Q$3,RawData[Checker ID],$Q$4,RawData[[Error Type ]],$Q$5))</f>
        <v/>
      </c>
    </row>
    <row r="22149" spans="15:15" x14ac:dyDescent="0.25">
      <c r="O22149" s="20" t="str">
        <f>IF(N22149="","",COUNTIFS(RawData[[Date ]],N22149,RawData[Month List],$Q$6,RawData[Tour/Site],$Q$2,RawData[[Picker ID ]],$Q$3,RawData[Checker ID],$Q$4,RawData[[Error Type ]],$Q$5))</f>
        <v/>
      </c>
    </row>
    <row r="22150" spans="15:15" x14ac:dyDescent="0.25">
      <c r="O22150" s="20" t="str">
        <f>IF(N22150="","",COUNTIFS(RawData[[Date ]],N22150,RawData[Month List],$Q$6,RawData[Tour/Site],$Q$2,RawData[[Picker ID ]],$Q$3,RawData[Checker ID],$Q$4,RawData[[Error Type ]],$Q$5))</f>
        <v/>
      </c>
    </row>
    <row r="22151" spans="15:15" x14ac:dyDescent="0.25">
      <c r="O22151" s="20" t="str">
        <f>IF(N22151="","",COUNTIFS(RawData[[Date ]],N22151,RawData[Month List],$Q$6,RawData[Tour/Site],$Q$2,RawData[[Picker ID ]],$Q$3,RawData[Checker ID],$Q$4,RawData[[Error Type ]],$Q$5))</f>
        <v/>
      </c>
    </row>
    <row r="22152" spans="15:15" x14ac:dyDescent="0.25">
      <c r="O22152" s="20" t="str">
        <f>IF(N22152="","",COUNTIFS(RawData[[Date ]],N22152,RawData[Month List],$Q$6,RawData[Tour/Site],$Q$2,RawData[[Picker ID ]],$Q$3,RawData[Checker ID],$Q$4,RawData[[Error Type ]],$Q$5))</f>
        <v/>
      </c>
    </row>
    <row r="22153" spans="15:15" x14ac:dyDescent="0.25">
      <c r="O22153" s="20" t="str">
        <f>IF(N22153="","",COUNTIFS(RawData[[Date ]],N22153,RawData[Month List],$Q$6,RawData[Tour/Site],$Q$2,RawData[[Picker ID ]],$Q$3,RawData[Checker ID],$Q$4,RawData[[Error Type ]],$Q$5))</f>
        <v/>
      </c>
    </row>
    <row r="22154" spans="15:15" x14ac:dyDescent="0.25">
      <c r="O22154" s="20" t="str">
        <f>IF(N22154="","",COUNTIFS(RawData[[Date ]],N22154,RawData[Month List],$Q$6,RawData[Tour/Site],$Q$2,RawData[[Picker ID ]],$Q$3,RawData[Checker ID],$Q$4,RawData[[Error Type ]],$Q$5))</f>
        <v/>
      </c>
    </row>
    <row r="22155" spans="15:15" x14ac:dyDescent="0.25">
      <c r="O22155" s="20" t="str">
        <f>IF(N22155="","",COUNTIFS(RawData[[Date ]],N22155,RawData[Month List],$Q$6,RawData[Tour/Site],$Q$2,RawData[[Picker ID ]],$Q$3,RawData[Checker ID],$Q$4,RawData[[Error Type ]],$Q$5))</f>
        <v/>
      </c>
    </row>
    <row r="22156" spans="15:15" x14ac:dyDescent="0.25">
      <c r="O22156" s="20" t="str">
        <f>IF(N22156="","",COUNTIFS(RawData[[Date ]],N22156,RawData[Month List],$Q$6,RawData[Tour/Site],$Q$2,RawData[[Picker ID ]],$Q$3,RawData[Checker ID],$Q$4,RawData[[Error Type ]],$Q$5))</f>
        <v/>
      </c>
    </row>
    <row r="22157" spans="15:15" x14ac:dyDescent="0.25">
      <c r="O22157" s="20" t="str">
        <f>IF(N22157="","",COUNTIFS(RawData[[Date ]],N22157,RawData[Month List],$Q$6,RawData[Tour/Site],$Q$2,RawData[[Picker ID ]],$Q$3,RawData[Checker ID],$Q$4,RawData[[Error Type ]],$Q$5))</f>
        <v/>
      </c>
    </row>
    <row r="22158" spans="15:15" x14ac:dyDescent="0.25">
      <c r="O22158" s="20" t="str">
        <f>IF(N22158="","",COUNTIFS(RawData[[Date ]],N22158,RawData[Month List],$Q$6,RawData[Tour/Site],$Q$2,RawData[[Picker ID ]],$Q$3,RawData[Checker ID],$Q$4,RawData[[Error Type ]],$Q$5))</f>
        <v/>
      </c>
    </row>
    <row r="22159" spans="15:15" x14ac:dyDescent="0.25">
      <c r="O22159" s="20" t="str">
        <f>IF(N22159="","",COUNTIFS(RawData[[Date ]],N22159,RawData[Month List],$Q$6,RawData[Tour/Site],$Q$2,RawData[[Picker ID ]],$Q$3,RawData[Checker ID],$Q$4,RawData[[Error Type ]],$Q$5))</f>
        <v/>
      </c>
    </row>
    <row r="22160" spans="15:15" x14ac:dyDescent="0.25">
      <c r="O22160" s="20" t="str">
        <f>IF(N22160="","",COUNTIFS(RawData[[Date ]],N22160,RawData[Month List],$Q$6,RawData[Tour/Site],$Q$2,RawData[[Picker ID ]],$Q$3,RawData[Checker ID],$Q$4,RawData[[Error Type ]],$Q$5))</f>
        <v/>
      </c>
    </row>
    <row r="22161" spans="15:15" x14ac:dyDescent="0.25">
      <c r="O22161" s="20" t="str">
        <f>IF(N22161="","",COUNTIFS(RawData[[Date ]],N22161,RawData[Month List],$Q$6,RawData[Tour/Site],$Q$2,RawData[[Picker ID ]],$Q$3,RawData[Checker ID],$Q$4,RawData[[Error Type ]],$Q$5))</f>
        <v/>
      </c>
    </row>
    <row r="22162" spans="15:15" x14ac:dyDescent="0.25">
      <c r="O22162" s="20" t="str">
        <f>IF(N22162="","",COUNTIFS(RawData[[Date ]],N22162,RawData[Month List],$Q$6,RawData[Tour/Site],$Q$2,RawData[[Picker ID ]],$Q$3,RawData[Checker ID],$Q$4,RawData[[Error Type ]],$Q$5))</f>
        <v/>
      </c>
    </row>
    <row r="22163" spans="15:15" x14ac:dyDescent="0.25">
      <c r="O22163" s="20" t="str">
        <f>IF(N22163="","",COUNTIFS(RawData[[Date ]],N22163,RawData[Month List],$Q$6,RawData[Tour/Site],$Q$2,RawData[[Picker ID ]],$Q$3,RawData[Checker ID],$Q$4,RawData[[Error Type ]],$Q$5))</f>
        <v/>
      </c>
    </row>
    <row r="22164" spans="15:15" x14ac:dyDescent="0.25">
      <c r="O22164" s="20" t="str">
        <f>IF(N22164="","",COUNTIFS(RawData[[Date ]],N22164,RawData[Month List],$Q$6,RawData[Tour/Site],$Q$2,RawData[[Picker ID ]],$Q$3,RawData[Checker ID],$Q$4,RawData[[Error Type ]],$Q$5))</f>
        <v/>
      </c>
    </row>
    <row r="22165" spans="15:15" x14ac:dyDescent="0.25">
      <c r="O22165" s="20" t="str">
        <f>IF(N22165="","",COUNTIFS(RawData[[Date ]],N22165,RawData[Month List],$Q$6,RawData[Tour/Site],$Q$2,RawData[[Picker ID ]],$Q$3,RawData[Checker ID],$Q$4,RawData[[Error Type ]],$Q$5))</f>
        <v/>
      </c>
    </row>
    <row r="22166" spans="15:15" x14ac:dyDescent="0.25">
      <c r="O22166" s="20" t="str">
        <f>IF(N22166="","",COUNTIFS(RawData[[Date ]],N22166,RawData[Month List],$Q$6,RawData[Tour/Site],$Q$2,RawData[[Picker ID ]],$Q$3,RawData[Checker ID],$Q$4,RawData[[Error Type ]],$Q$5))</f>
        <v/>
      </c>
    </row>
    <row r="22167" spans="15:15" x14ac:dyDescent="0.25">
      <c r="O22167" s="20" t="str">
        <f>IF(N22167="","",COUNTIFS(RawData[[Date ]],N22167,RawData[Month List],$Q$6,RawData[Tour/Site],$Q$2,RawData[[Picker ID ]],$Q$3,RawData[Checker ID],$Q$4,RawData[[Error Type ]],$Q$5))</f>
        <v/>
      </c>
    </row>
    <row r="22168" spans="15:15" x14ac:dyDescent="0.25">
      <c r="O22168" s="20" t="str">
        <f>IF(N22168="","",COUNTIFS(RawData[[Date ]],N22168,RawData[Month List],$Q$6,RawData[Tour/Site],$Q$2,RawData[[Picker ID ]],$Q$3,RawData[Checker ID],$Q$4,RawData[[Error Type ]],$Q$5))</f>
        <v/>
      </c>
    </row>
    <row r="22169" spans="15:15" x14ac:dyDescent="0.25">
      <c r="O22169" s="20" t="str">
        <f>IF(N22169="","",COUNTIFS(RawData[[Date ]],N22169,RawData[Month List],$Q$6,RawData[Tour/Site],$Q$2,RawData[[Picker ID ]],$Q$3,RawData[Checker ID],$Q$4,RawData[[Error Type ]],$Q$5))</f>
        <v/>
      </c>
    </row>
    <row r="22170" spans="15:15" x14ac:dyDescent="0.25">
      <c r="O22170" s="20" t="str">
        <f>IF(N22170="","",COUNTIFS(RawData[[Date ]],N22170,RawData[Month List],$Q$6,RawData[Tour/Site],$Q$2,RawData[[Picker ID ]],$Q$3,RawData[Checker ID],$Q$4,RawData[[Error Type ]],$Q$5))</f>
        <v/>
      </c>
    </row>
    <row r="22171" spans="15:15" x14ac:dyDescent="0.25">
      <c r="O22171" s="20" t="str">
        <f>IF(N22171="","",COUNTIFS(RawData[[Date ]],N22171,RawData[Month List],$Q$6,RawData[Tour/Site],$Q$2,RawData[[Picker ID ]],$Q$3,RawData[Checker ID],$Q$4,RawData[[Error Type ]],$Q$5))</f>
        <v/>
      </c>
    </row>
    <row r="22172" spans="15:15" x14ac:dyDescent="0.25">
      <c r="O22172" s="20" t="str">
        <f>IF(N22172="","",COUNTIFS(RawData[[Date ]],N22172,RawData[Month List],$Q$6,RawData[Tour/Site],$Q$2,RawData[[Picker ID ]],$Q$3,RawData[Checker ID],$Q$4,RawData[[Error Type ]],$Q$5))</f>
        <v/>
      </c>
    </row>
    <row r="22173" spans="15:15" x14ac:dyDescent="0.25">
      <c r="O22173" s="20" t="str">
        <f>IF(N22173="","",COUNTIFS(RawData[[Date ]],N22173,RawData[Month List],$Q$6,RawData[Tour/Site],$Q$2,RawData[[Picker ID ]],$Q$3,RawData[Checker ID],$Q$4,RawData[[Error Type ]],$Q$5))</f>
        <v/>
      </c>
    </row>
    <row r="22174" spans="15:15" x14ac:dyDescent="0.25">
      <c r="O22174" s="20" t="str">
        <f>IF(N22174="","",COUNTIFS(RawData[[Date ]],N22174,RawData[Month List],$Q$6,RawData[Tour/Site],$Q$2,RawData[[Picker ID ]],$Q$3,RawData[Checker ID],$Q$4,RawData[[Error Type ]],$Q$5))</f>
        <v/>
      </c>
    </row>
    <row r="22175" spans="15:15" x14ac:dyDescent="0.25">
      <c r="O22175" s="20" t="str">
        <f>IF(N22175="","",COUNTIFS(RawData[[Date ]],N22175,RawData[Month List],$Q$6,RawData[Tour/Site],$Q$2,RawData[[Picker ID ]],$Q$3,RawData[Checker ID],$Q$4,RawData[[Error Type ]],$Q$5))</f>
        <v/>
      </c>
    </row>
    <row r="22176" spans="15:15" x14ac:dyDescent="0.25">
      <c r="O22176" s="20" t="str">
        <f>IF(N22176="","",COUNTIFS(RawData[[Date ]],N22176,RawData[Month List],$Q$6,RawData[Tour/Site],$Q$2,RawData[[Picker ID ]],$Q$3,RawData[Checker ID],$Q$4,RawData[[Error Type ]],$Q$5))</f>
        <v/>
      </c>
    </row>
    <row r="22177" spans="15:15" x14ac:dyDescent="0.25">
      <c r="O22177" s="20" t="str">
        <f>IF(N22177="","",COUNTIFS(RawData[[Date ]],N22177,RawData[Month List],$Q$6,RawData[Tour/Site],$Q$2,RawData[[Picker ID ]],$Q$3,RawData[Checker ID],$Q$4,RawData[[Error Type ]],$Q$5))</f>
        <v/>
      </c>
    </row>
    <row r="22178" spans="15:15" x14ac:dyDescent="0.25">
      <c r="O22178" s="20" t="str">
        <f>IF(N22178="","",COUNTIFS(RawData[[Date ]],N22178,RawData[Month List],$Q$6,RawData[Tour/Site],$Q$2,RawData[[Picker ID ]],$Q$3,RawData[Checker ID],$Q$4,RawData[[Error Type ]],$Q$5))</f>
        <v/>
      </c>
    </row>
    <row r="22179" spans="15:15" x14ac:dyDescent="0.25">
      <c r="O22179" s="20" t="str">
        <f>IF(N22179="","",COUNTIFS(RawData[[Date ]],N22179,RawData[Month List],$Q$6,RawData[Tour/Site],$Q$2,RawData[[Picker ID ]],$Q$3,RawData[Checker ID],$Q$4,RawData[[Error Type ]],$Q$5))</f>
        <v/>
      </c>
    </row>
    <row r="22180" spans="15:15" x14ac:dyDescent="0.25">
      <c r="O22180" s="20" t="str">
        <f>IF(N22180="","",COUNTIFS(RawData[[Date ]],N22180,RawData[Month List],$Q$6,RawData[Tour/Site],$Q$2,RawData[[Picker ID ]],$Q$3,RawData[Checker ID],$Q$4,RawData[[Error Type ]],$Q$5))</f>
        <v/>
      </c>
    </row>
    <row r="22181" spans="15:15" x14ac:dyDescent="0.25">
      <c r="O22181" s="20" t="str">
        <f>IF(N22181="","",COUNTIFS(RawData[[Date ]],N22181,RawData[Month List],$Q$6,RawData[Tour/Site],$Q$2,RawData[[Picker ID ]],$Q$3,RawData[Checker ID],$Q$4,RawData[[Error Type ]],$Q$5))</f>
        <v/>
      </c>
    </row>
    <row r="22182" spans="15:15" x14ac:dyDescent="0.25">
      <c r="O22182" s="20" t="str">
        <f>IF(N22182="","",COUNTIFS(RawData[[Date ]],N22182,RawData[Month List],$Q$6,RawData[Tour/Site],$Q$2,RawData[[Picker ID ]],$Q$3,RawData[Checker ID],$Q$4,RawData[[Error Type ]],$Q$5))</f>
        <v/>
      </c>
    </row>
    <row r="22183" spans="15:15" x14ac:dyDescent="0.25">
      <c r="O22183" s="20" t="str">
        <f>IF(N22183="","",COUNTIFS(RawData[[Date ]],N22183,RawData[Month List],$Q$6,RawData[Tour/Site],$Q$2,RawData[[Picker ID ]],$Q$3,RawData[Checker ID],$Q$4,RawData[[Error Type ]],$Q$5))</f>
        <v/>
      </c>
    </row>
    <row r="22184" spans="15:15" x14ac:dyDescent="0.25">
      <c r="O22184" s="20" t="str">
        <f>IF(N22184="","",COUNTIFS(RawData[[Date ]],N22184,RawData[Month List],$Q$6,RawData[Tour/Site],$Q$2,RawData[[Picker ID ]],$Q$3,RawData[Checker ID],$Q$4,RawData[[Error Type ]],$Q$5))</f>
        <v/>
      </c>
    </row>
    <row r="22185" spans="15:15" x14ac:dyDescent="0.25">
      <c r="O22185" s="20" t="str">
        <f>IF(N22185="","",COUNTIFS(RawData[[Date ]],N22185,RawData[Month List],$Q$6,RawData[Tour/Site],$Q$2,RawData[[Picker ID ]],$Q$3,RawData[Checker ID],$Q$4,RawData[[Error Type ]],$Q$5))</f>
        <v/>
      </c>
    </row>
    <row r="22186" spans="15:15" x14ac:dyDescent="0.25">
      <c r="O22186" s="20" t="str">
        <f>IF(N22186="","",COUNTIFS(RawData[[Date ]],N22186,RawData[Month List],$Q$6,RawData[Tour/Site],$Q$2,RawData[[Picker ID ]],$Q$3,RawData[Checker ID],$Q$4,RawData[[Error Type ]],$Q$5))</f>
        <v/>
      </c>
    </row>
    <row r="22187" spans="15:15" x14ac:dyDescent="0.25">
      <c r="O22187" s="20" t="str">
        <f>IF(N22187="","",COUNTIFS(RawData[[Date ]],N22187,RawData[Month List],$Q$6,RawData[Tour/Site],$Q$2,RawData[[Picker ID ]],$Q$3,RawData[Checker ID],$Q$4,RawData[[Error Type ]],$Q$5))</f>
        <v/>
      </c>
    </row>
    <row r="22188" spans="15:15" x14ac:dyDescent="0.25">
      <c r="O22188" s="20" t="str">
        <f>IF(N22188="","",COUNTIFS(RawData[[Date ]],N22188,RawData[Month List],$Q$6,RawData[Tour/Site],$Q$2,RawData[[Picker ID ]],$Q$3,RawData[Checker ID],$Q$4,RawData[[Error Type ]],$Q$5))</f>
        <v/>
      </c>
    </row>
    <row r="22189" spans="15:15" x14ac:dyDescent="0.25">
      <c r="O22189" s="20" t="str">
        <f>IF(N22189="","",COUNTIFS(RawData[[Date ]],N22189,RawData[Month List],$Q$6,RawData[Tour/Site],$Q$2,RawData[[Picker ID ]],$Q$3,RawData[Checker ID],$Q$4,RawData[[Error Type ]],$Q$5))</f>
        <v/>
      </c>
    </row>
    <row r="22190" spans="15:15" x14ac:dyDescent="0.25">
      <c r="O22190" s="20" t="str">
        <f>IF(N22190="","",COUNTIFS(RawData[[Date ]],N22190,RawData[Month List],$Q$6,RawData[Tour/Site],$Q$2,RawData[[Picker ID ]],$Q$3,RawData[Checker ID],$Q$4,RawData[[Error Type ]],$Q$5))</f>
        <v/>
      </c>
    </row>
    <row r="22191" spans="15:15" x14ac:dyDescent="0.25">
      <c r="O22191" s="20" t="str">
        <f>IF(N22191="","",COUNTIFS(RawData[[Date ]],N22191,RawData[Month List],$Q$6,RawData[Tour/Site],$Q$2,RawData[[Picker ID ]],$Q$3,RawData[Checker ID],$Q$4,RawData[[Error Type ]],$Q$5))</f>
        <v/>
      </c>
    </row>
    <row r="22192" spans="15:15" x14ac:dyDescent="0.25">
      <c r="O22192" s="20" t="str">
        <f>IF(N22192="","",COUNTIFS(RawData[[Date ]],N22192,RawData[Month List],$Q$6,RawData[Tour/Site],$Q$2,RawData[[Picker ID ]],$Q$3,RawData[Checker ID],$Q$4,RawData[[Error Type ]],$Q$5))</f>
        <v/>
      </c>
    </row>
    <row r="22193" spans="15:15" x14ac:dyDescent="0.25">
      <c r="O22193" s="20" t="str">
        <f>IF(N22193="","",COUNTIFS(RawData[[Date ]],N22193,RawData[Month List],$Q$6,RawData[Tour/Site],$Q$2,RawData[[Picker ID ]],$Q$3,RawData[Checker ID],$Q$4,RawData[[Error Type ]],$Q$5))</f>
        <v/>
      </c>
    </row>
    <row r="22194" spans="15:15" x14ac:dyDescent="0.25">
      <c r="O22194" s="20" t="str">
        <f>IF(N22194="","",COUNTIFS(RawData[[Date ]],N22194,RawData[Month List],$Q$6,RawData[Tour/Site],$Q$2,RawData[[Picker ID ]],$Q$3,RawData[Checker ID],$Q$4,RawData[[Error Type ]],$Q$5))</f>
        <v/>
      </c>
    </row>
    <row r="22195" spans="15:15" x14ac:dyDescent="0.25">
      <c r="O22195" s="20" t="str">
        <f>IF(N22195="","",COUNTIFS(RawData[[Date ]],N22195,RawData[Month List],$Q$6,RawData[Tour/Site],$Q$2,RawData[[Picker ID ]],$Q$3,RawData[Checker ID],$Q$4,RawData[[Error Type ]],$Q$5))</f>
        <v/>
      </c>
    </row>
    <row r="22196" spans="15:15" x14ac:dyDescent="0.25">
      <c r="O22196" s="20" t="str">
        <f>IF(N22196="","",COUNTIFS(RawData[[Date ]],N22196,RawData[Month List],$Q$6,RawData[Tour/Site],$Q$2,RawData[[Picker ID ]],$Q$3,RawData[Checker ID],$Q$4,RawData[[Error Type ]],$Q$5))</f>
        <v/>
      </c>
    </row>
    <row r="22197" spans="15:15" x14ac:dyDescent="0.25">
      <c r="O22197" s="20" t="str">
        <f>IF(N22197="","",COUNTIFS(RawData[[Date ]],N22197,RawData[Month List],$Q$6,RawData[Tour/Site],$Q$2,RawData[[Picker ID ]],$Q$3,RawData[Checker ID],$Q$4,RawData[[Error Type ]],$Q$5))</f>
        <v/>
      </c>
    </row>
    <row r="22198" spans="15:15" x14ac:dyDescent="0.25">
      <c r="O22198" s="20" t="str">
        <f>IF(N22198="","",COUNTIFS(RawData[[Date ]],N22198,RawData[Month List],$Q$6,RawData[Tour/Site],$Q$2,RawData[[Picker ID ]],$Q$3,RawData[Checker ID],$Q$4,RawData[[Error Type ]],$Q$5))</f>
        <v/>
      </c>
    </row>
    <row r="22199" spans="15:15" x14ac:dyDescent="0.25">
      <c r="O22199" s="20" t="str">
        <f>IF(N22199="","",COUNTIFS(RawData[[Date ]],N22199,RawData[Month List],$Q$6,RawData[Tour/Site],$Q$2,RawData[[Picker ID ]],$Q$3,RawData[Checker ID],$Q$4,RawData[[Error Type ]],$Q$5))</f>
        <v/>
      </c>
    </row>
    <row r="22200" spans="15:15" x14ac:dyDescent="0.25">
      <c r="O22200" s="20" t="str">
        <f>IF(N22200="","",COUNTIFS(RawData[[Date ]],N22200,RawData[Month List],$Q$6,RawData[Tour/Site],$Q$2,RawData[[Picker ID ]],$Q$3,RawData[Checker ID],$Q$4,RawData[[Error Type ]],$Q$5))</f>
        <v/>
      </c>
    </row>
    <row r="22201" spans="15:15" x14ac:dyDescent="0.25">
      <c r="O22201" s="20" t="str">
        <f>IF(N22201="","",COUNTIFS(RawData[[Date ]],N22201,RawData[Month List],$Q$6,RawData[Tour/Site],$Q$2,RawData[[Picker ID ]],$Q$3,RawData[Checker ID],$Q$4,RawData[[Error Type ]],$Q$5))</f>
        <v/>
      </c>
    </row>
    <row r="22202" spans="15:15" x14ac:dyDescent="0.25">
      <c r="O22202" s="20" t="str">
        <f>IF(N22202="","",COUNTIFS(RawData[[Date ]],N22202,RawData[Month List],$Q$6,RawData[Tour/Site],$Q$2,RawData[[Picker ID ]],$Q$3,RawData[Checker ID],$Q$4,RawData[[Error Type ]],$Q$5))</f>
        <v/>
      </c>
    </row>
    <row r="22203" spans="15:15" x14ac:dyDescent="0.25">
      <c r="O22203" s="20" t="str">
        <f>IF(N22203="","",COUNTIFS(RawData[[Date ]],N22203,RawData[Month List],$Q$6,RawData[Tour/Site],$Q$2,RawData[[Picker ID ]],$Q$3,RawData[Checker ID],$Q$4,RawData[[Error Type ]],$Q$5))</f>
        <v/>
      </c>
    </row>
    <row r="22204" spans="15:15" x14ac:dyDescent="0.25">
      <c r="O22204" s="20" t="str">
        <f>IF(N22204="","",COUNTIFS(RawData[[Date ]],N22204,RawData[Month List],$Q$6,RawData[Tour/Site],$Q$2,RawData[[Picker ID ]],$Q$3,RawData[Checker ID],$Q$4,RawData[[Error Type ]],$Q$5))</f>
        <v/>
      </c>
    </row>
    <row r="22205" spans="15:15" x14ac:dyDescent="0.25">
      <c r="O22205" s="20" t="str">
        <f>IF(N22205="","",COUNTIFS(RawData[[Date ]],N22205,RawData[Month List],$Q$6,RawData[Tour/Site],$Q$2,RawData[[Picker ID ]],$Q$3,RawData[Checker ID],$Q$4,RawData[[Error Type ]],$Q$5))</f>
        <v/>
      </c>
    </row>
    <row r="22206" spans="15:15" x14ac:dyDescent="0.25">
      <c r="O22206" s="20" t="str">
        <f>IF(N22206="","",COUNTIFS(RawData[[Date ]],N22206,RawData[Month List],$Q$6,RawData[Tour/Site],$Q$2,RawData[[Picker ID ]],$Q$3,RawData[Checker ID],$Q$4,RawData[[Error Type ]],$Q$5))</f>
        <v/>
      </c>
    </row>
    <row r="22207" spans="15:15" x14ac:dyDescent="0.25">
      <c r="O22207" s="20" t="str">
        <f>IF(N22207="","",COUNTIFS(RawData[[Date ]],N22207,RawData[Month List],$Q$6,RawData[Tour/Site],$Q$2,RawData[[Picker ID ]],$Q$3,RawData[Checker ID],$Q$4,RawData[[Error Type ]],$Q$5))</f>
        <v/>
      </c>
    </row>
    <row r="22208" spans="15:15" x14ac:dyDescent="0.25">
      <c r="O22208" s="20" t="str">
        <f>IF(N22208="","",COUNTIFS(RawData[[Date ]],N22208,RawData[Month List],$Q$6,RawData[Tour/Site],$Q$2,RawData[[Picker ID ]],$Q$3,RawData[Checker ID],$Q$4,RawData[[Error Type ]],$Q$5))</f>
        <v/>
      </c>
    </row>
    <row r="22209" spans="15:15" x14ac:dyDescent="0.25">
      <c r="O22209" s="20" t="str">
        <f>IF(N22209="","",COUNTIFS(RawData[[Date ]],N22209,RawData[Month List],$Q$6,RawData[Tour/Site],$Q$2,RawData[[Picker ID ]],$Q$3,RawData[Checker ID],$Q$4,RawData[[Error Type ]],$Q$5))</f>
        <v/>
      </c>
    </row>
    <row r="22210" spans="15:15" x14ac:dyDescent="0.25">
      <c r="O22210" s="20" t="str">
        <f>IF(N22210="","",COUNTIFS(RawData[[Date ]],N22210,RawData[Month List],$Q$6,RawData[Tour/Site],$Q$2,RawData[[Picker ID ]],$Q$3,RawData[Checker ID],$Q$4,RawData[[Error Type ]],$Q$5))</f>
        <v/>
      </c>
    </row>
    <row r="22211" spans="15:15" x14ac:dyDescent="0.25">
      <c r="O22211" s="20" t="str">
        <f>IF(N22211="","",COUNTIFS(RawData[[Date ]],N22211,RawData[Month List],$Q$6,RawData[Tour/Site],$Q$2,RawData[[Picker ID ]],$Q$3,RawData[Checker ID],$Q$4,RawData[[Error Type ]],$Q$5))</f>
        <v/>
      </c>
    </row>
    <row r="22212" spans="15:15" x14ac:dyDescent="0.25">
      <c r="O22212" s="20" t="str">
        <f>IF(N22212="","",COUNTIFS(RawData[[Date ]],N22212,RawData[Month List],$Q$6,RawData[Tour/Site],$Q$2,RawData[[Picker ID ]],$Q$3,RawData[Checker ID],$Q$4,RawData[[Error Type ]],$Q$5))</f>
        <v/>
      </c>
    </row>
    <row r="22213" spans="15:15" x14ac:dyDescent="0.25">
      <c r="O22213" s="20" t="str">
        <f>IF(N22213="","",COUNTIFS(RawData[[Date ]],N22213,RawData[Month List],$Q$6,RawData[Tour/Site],$Q$2,RawData[[Picker ID ]],$Q$3,RawData[Checker ID],$Q$4,RawData[[Error Type ]],$Q$5))</f>
        <v/>
      </c>
    </row>
    <row r="22214" spans="15:15" x14ac:dyDescent="0.25">
      <c r="O22214" s="20" t="str">
        <f>IF(N22214="","",COUNTIFS(RawData[[Date ]],N22214,RawData[Month List],$Q$6,RawData[Tour/Site],$Q$2,RawData[[Picker ID ]],$Q$3,RawData[Checker ID],$Q$4,RawData[[Error Type ]],$Q$5))</f>
        <v/>
      </c>
    </row>
    <row r="22215" spans="15:15" x14ac:dyDescent="0.25">
      <c r="O22215" s="20" t="str">
        <f>IF(N22215="","",COUNTIFS(RawData[[Date ]],N22215,RawData[Month List],$Q$6,RawData[Tour/Site],$Q$2,RawData[[Picker ID ]],$Q$3,RawData[Checker ID],$Q$4,RawData[[Error Type ]],$Q$5))</f>
        <v/>
      </c>
    </row>
    <row r="22216" spans="15:15" x14ac:dyDescent="0.25">
      <c r="O22216" s="20" t="str">
        <f>IF(N22216="","",COUNTIFS(RawData[[Date ]],N22216,RawData[Month List],$Q$6,RawData[Tour/Site],$Q$2,RawData[[Picker ID ]],$Q$3,RawData[Checker ID],$Q$4,RawData[[Error Type ]],$Q$5))</f>
        <v/>
      </c>
    </row>
    <row r="22217" spans="15:15" x14ac:dyDescent="0.25">
      <c r="O22217" s="20" t="str">
        <f>IF(N22217="","",COUNTIFS(RawData[[Date ]],N22217,RawData[Month List],$Q$6,RawData[Tour/Site],$Q$2,RawData[[Picker ID ]],$Q$3,RawData[Checker ID],$Q$4,RawData[[Error Type ]],$Q$5))</f>
        <v/>
      </c>
    </row>
    <row r="22218" spans="15:15" x14ac:dyDescent="0.25">
      <c r="O22218" s="20" t="str">
        <f>IF(N22218="","",COUNTIFS(RawData[[Date ]],N22218,RawData[Month List],$Q$6,RawData[Tour/Site],$Q$2,RawData[[Picker ID ]],$Q$3,RawData[Checker ID],$Q$4,RawData[[Error Type ]],$Q$5))</f>
        <v/>
      </c>
    </row>
    <row r="22219" spans="15:15" x14ac:dyDescent="0.25">
      <c r="O22219" s="20" t="str">
        <f>IF(N22219="","",COUNTIFS(RawData[[Date ]],N22219,RawData[Month List],$Q$6,RawData[Tour/Site],$Q$2,RawData[[Picker ID ]],$Q$3,RawData[Checker ID],$Q$4,RawData[[Error Type ]],$Q$5))</f>
        <v/>
      </c>
    </row>
    <row r="22220" spans="15:15" x14ac:dyDescent="0.25">
      <c r="O22220" s="20" t="str">
        <f>IF(N22220="","",COUNTIFS(RawData[[Date ]],N22220,RawData[Month List],$Q$6,RawData[Tour/Site],$Q$2,RawData[[Picker ID ]],$Q$3,RawData[Checker ID],$Q$4,RawData[[Error Type ]],$Q$5))</f>
        <v/>
      </c>
    </row>
    <row r="22221" spans="15:15" x14ac:dyDescent="0.25">
      <c r="O22221" s="20" t="str">
        <f>IF(N22221="","",COUNTIFS(RawData[[Date ]],N22221,RawData[Month List],$Q$6,RawData[Tour/Site],$Q$2,RawData[[Picker ID ]],$Q$3,RawData[Checker ID],$Q$4,RawData[[Error Type ]],$Q$5))</f>
        <v/>
      </c>
    </row>
    <row r="22222" spans="15:15" x14ac:dyDescent="0.25">
      <c r="O22222" s="20" t="str">
        <f>IF(N22222="","",COUNTIFS(RawData[[Date ]],N22222,RawData[Month List],$Q$6,RawData[Tour/Site],$Q$2,RawData[[Picker ID ]],$Q$3,RawData[Checker ID],$Q$4,RawData[[Error Type ]],$Q$5))</f>
        <v/>
      </c>
    </row>
    <row r="22223" spans="15:15" x14ac:dyDescent="0.25">
      <c r="O22223" s="20" t="str">
        <f>IF(N22223="","",COUNTIFS(RawData[[Date ]],N22223,RawData[Month List],$Q$6,RawData[Tour/Site],$Q$2,RawData[[Picker ID ]],$Q$3,RawData[Checker ID],$Q$4,RawData[[Error Type ]],$Q$5))</f>
        <v/>
      </c>
    </row>
    <row r="22224" spans="15:15" x14ac:dyDescent="0.25">
      <c r="O22224" s="20" t="str">
        <f>IF(N22224="","",COUNTIFS(RawData[[Date ]],N22224,RawData[Month List],$Q$6,RawData[Tour/Site],$Q$2,RawData[[Picker ID ]],$Q$3,RawData[Checker ID],$Q$4,RawData[[Error Type ]],$Q$5))</f>
        <v/>
      </c>
    </row>
    <row r="22225" spans="15:15" x14ac:dyDescent="0.25">
      <c r="O22225" s="20" t="str">
        <f>IF(N22225="","",COUNTIFS(RawData[[Date ]],N22225,RawData[Month List],$Q$6,RawData[Tour/Site],$Q$2,RawData[[Picker ID ]],$Q$3,RawData[Checker ID],$Q$4,RawData[[Error Type ]],$Q$5))</f>
        <v/>
      </c>
    </row>
    <row r="22226" spans="15:15" x14ac:dyDescent="0.25">
      <c r="O22226" s="20" t="str">
        <f>IF(N22226="","",COUNTIFS(RawData[[Date ]],N22226,RawData[Month List],$Q$6,RawData[Tour/Site],$Q$2,RawData[[Picker ID ]],$Q$3,RawData[Checker ID],$Q$4,RawData[[Error Type ]],$Q$5))</f>
        <v/>
      </c>
    </row>
    <row r="22227" spans="15:15" x14ac:dyDescent="0.25">
      <c r="O22227" s="20" t="str">
        <f>IF(N22227="","",COUNTIFS(RawData[[Date ]],N22227,RawData[Month List],$Q$6,RawData[Tour/Site],$Q$2,RawData[[Picker ID ]],$Q$3,RawData[Checker ID],$Q$4,RawData[[Error Type ]],$Q$5))</f>
        <v/>
      </c>
    </row>
    <row r="22228" spans="15:15" x14ac:dyDescent="0.25">
      <c r="O22228" s="20" t="str">
        <f>IF(N22228="","",COUNTIFS(RawData[[Date ]],N22228,RawData[Month List],$Q$6,RawData[Tour/Site],$Q$2,RawData[[Picker ID ]],$Q$3,RawData[Checker ID],$Q$4,RawData[[Error Type ]],$Q$5))</f>
        <v/>
      </c>
    </row>
    <row r="22229" spans="15:15" x14ac:dyDescent="0.25">
      <c r="O22229" s="20" t="str">
        <f>IF(N22229="","",COUNTIFS(RawData[[Date ]],N22229,RawData[Month List],$Q$6,RawData[Tour/Site],$Q$2,RawData[[Picker ID ]],$Q$3,RawData[Checker ID],$Q$4,RawData[[Error Type ]],$Q$5))</f>
        <v/>
      </c>
    </row>
    <row r="22230" spans="15:15" x14ac:dyDescent="0.25">
      <c r="O22230" s="20" t="str">
        <f>IF(N22230="","",COUNTIFS(RawData[[Date ]],N22230,RawData[Month List],$Q$6,RawData[Tour/Site],$Q$2,RawData[[Picker ID ]],$Q$3,RawData[Checker ID],$Q$4,RawData[[Error Type ]],$Q$5))</f>
        <v/>
      </c>
    </row>
    <row r="22231" spans="15:15" x14ac:dyDescent="0.25">
      <c r="O22231" s="20" t="str">
        <f>IF(N22231="","",COUNTIFS(RawData[[Date ]],N22231,RawData[Month List],$Q$6,RawData[Tour/Site],$Q$2,RawData[[Picker ID ]],$Q$3,RawData[Checker ID],$Q$4,RawData[[Error Type ]],$Q$5))</f>
        <v/>
      </c>
    </row>
    <row r="22232" spans="15:15" x14ac:dyDescent="0.25">
      <c r="O22232" s="20" t="str">
        <f>IF(N22232="","",COUNTIFS(RawData[[Date ]],N22232,RawData[Month List],$Q$6,RawData[Tour/Site],$Q$2,RawData[[Picker ID ]],$Q$3,RawData[Checker ID],$Q$4,RawData[[Error Type ]],$Q$5))</f>
        <v/>
      </c>
    </row>
    <row r="22233" spans="15:15" x14ac:dyDescent="0.25">
      <c r="O22233" s="20" t="str">
        <f>IF(N22233="","",COUNTIFS(RawData[[Date ]],N22233,RawData[Month List],$Q$6,RawData[Tour/Site],$Q$2,RawData[[Picker ID ]],$Q$3,RawData[Checker ID],$Q$4,RawData[[Error Type ]],$Q$5))</f>
        <v/>
      </c>
    </row>
    <row r="22234" spans="15:15" x14ac:dyDescent="0.25">
      <c r="O22234" s="20" t="str">
        <f>IF(N22234="","",COUNTIFS(RawData[[Date ]],N22234,RawData[Month List],$Q$6,RawData[Tour/Site],$Q$2,RawData[[Picker ID ]],$Q$3,RawData[Checker ID],$Q$4,RawData[[Error Type ]],$Q$5))</f>
        <v/>
      </c>
    </row>
    <row r="22235" spans="15:15" x14ac:dyDescent="0.25">
      <c r="O22235" s="20" t="str">
        <f>IF(N22235="","",COUNTIFS(RawData[[Date ]],N22235,RawData[Month List],$Q$6,RawData[Tour/Site],$Q$2,RawData[[Picker ID ]],$Q$3,RawData[Checker ID],$Q$4,RawData[[Error Type ]],$Q$5))</f>
        <v/>
      </c>
    </row>
    <row r="22236" spans="15:15" x14ac:dyDescent="0.25">
      <c r="O22236" s="20" t="str">
        <f>IF(N22236="","",COUNTIFS(RawData[[Date ]],N22236,RawData[Month List],$Q$6,RawData[Tour/Site],$Q$2,RawData[[Picker ID ]],$Q$3,RawData[Checker ID],$Q$4,RawData[[Error Type ]],$Q$5))</f>
        <v/>
      </c>
    </row>
    <row r="22237" spans="15:15" x14ac:dyDescent="0.25">
      <c r="O22237" s="20" t="str">
        <f>IF(N22237="","",COUNTIFS(RawData[[Date ]],N22237,RawData[Month List],$Q$6,RawData[Tour/Site],$Q$2,RawData[[Picker ID ]],$Q$3,RawData[Checker ID],$Q$4,RawData[[Error Type ]],$Q$5))</f>
        <v/>
      </c>
    </row>
    <row r="22238" spans="15:15" x14ac:dyDescent="0.25">
      <c r="O22238" s="20" t="str">
        <f>IF(N22238="","",COUNTIFS(RawData[[Date ]],N22238,RawData[Month List],$Q$6,RawData[Tour/Site],$Q$2,RawData[[Picker ID ]],$Q$3,RawData[Checker ID],$Q$4,RawData[[Error Type ]],$Q$5))</f>
        <v/>
      </c>
    </row>
    <row r="22239" spans="15:15" x14ac:dyDescent="0.25">
      <c r="O22239" s="20" t="str">
        <f>IF(N22239="","",COUNTIFS(RawData[[Date ]],N22239,RawData[Month List],$Q$6,RawData[Tour/Site],$Q$2,RawData[[Picker ID ]],$Q$3,RawData[Checker ID],$Q$4,RawData[[Error Type ]],$Q$5))</f>
        <v/>
      </c>
    </row>
    <row r="22240" spans="15:15" x14ac:dyDescent="0.25">
      <c r="O22240" s="20" t="str">
        <f>IF(N22240="","",COUNTIFS(RawData[[Date ]],N22240,RawData[Month List],$Q$6,RawData[Tour/Site],$Q$2,RawData[[Picker ID ]],$Q$3,RawData[Checker ID],$Q$4,RawData[[Error Type ]],$Q$5))</f>
        <v/>
      </c>
    </row>
    <row r="22241" spans="15:15" x14ac:dyDescent="0.25">
      <c r="O22241" s="20" t="str">
        <f>IF(N22241="","",COUNTIFS(RawData[[Date ]],N22241,RawData[Month List],$Q$6,RawData[Tour/Site],$Q$2,RawData[[Picker ID ]],$Q$3,RawData[Checker ID],$Q$4,RawData[[Error Type ]],$Q$5))</f>
        <v/>
      </c>
    </row>
    <row r="22242" spans="15:15" x14ac:dyDescent="0.25">
      <c r="O22242" s="20" t="str">
        <f>IF(N22242="","",COUNTIFS(RawData[[Date ]],N22242,RawData[Month List],$Q$6,RawData[Tour/Site],$Q$2,RawData[[Picker ID ]],$Q$3,RawData[Checker ID],$Q$4,RawData[[Error Type ]],$Q$5))</f>
        <v/>
      </c>
    </row>
    <row r="22243" spans="15:15" x14ac:dyDescent="0.25">
      <c r="O22243" s="20" t="str">
        <f>IF(N22243="","",COUNTIFS(RawData[[Date ]],N22243,RawData[Month List],$Q$6,RawData[Tour/Site],$Q$2,RawData[[Picker ID ]],$Q$3,RawData[Checker ID],$Q$4,RawData[[Error Type ]],$Q$5))</f>
        <v/>
      </c>
    </row>
    <row r="22244" spans="15:15" x14ac:dyDescent="0.25">
      <c r="O22244" s="20" t="str">
        <f>IF(N22244="","",COUNTIFS(RawData[[Date ]],N22244,RawData[Month List],$Q$6,RawData[Tour/Site],$Q$2,RawData[[Picker ID ]],$Q$3,RawData[Checker ID],$Q$4,RawData[[Error Type ]],$Q$5))</f>
        <v/>
      </c>
    </row>
    <row r="22245" spans="15:15" x14ac:dyDescent="0.25">
      <c r="O22245" s="20" t="str">
        <f>IF(N22245="","",COUNTIFS(RawData[[Date ]],N22245,RawData[Month List],$Q$6,RawData[Tour/Site],$Q$2,RawData[[Picker ID ]],$Q$3,RawData[Checker ID],$Q$4,RawData[[Error Type ]],$Q$5))</f>
        <v/>
      </c>
    </row>
    <row r="22246" spans="15:15" x14ac:dyDescent="0.25">
      <c r="O22246" s="20" t="str">
        <f>IF(N22246="","",COUNTIFS(RawData[[Date ]],N22246,RawData[Month List],$Q$6,RawData[Tour/Site],$Q$2,RawData[[Picker ID ]],$Q$3,RawData[Checker ID],$Q$4,RawData[[Error Type ]],$Q$5))</f>
        <v/>
      </c>
    </row>
    <row r="22247" spans="15:15" x14ac:dyDescent="0.25">
      <c r="O22247" s="20" t="str">
        <f>IF(N22247="","",COUNTIFS(RawData[[Date ]],N22247,RawData[Month List],$Q$6,RawData[Tour/Site],$Q$2,RawData[[Picker ID ]],$Q$3,RawData[Checker ID],$Q$4,RawData[[Error Type ]],$Q$5))</f>
        <v/>
      </c>
    </row>
    <row r="22248" spans="15:15" x14ac:dyDescent="0.25">
      <c r="O22248" s="20" t="str">
        <f>IF(N22248="","",COUNTIFS(RawData[[Date ]],N22248,RawData[Month List],$Q$6,RawData[Tour/Site],$Q$2,RawData[[Picker ID ]],$Q$3,RawData[Checker ID],$Q$4,RawData[[Error Type ]],$Q$5))</f>
        <v/>
      </c>
    </row>
    <row r="22249" spans="15:15" x14ac:dyDescent="0.25">
      <c r="O22249" s="20" t="str">
        <f>IF(N22249="","",COUNTIFS(RawData[[Date ]],N22249,RawData[Month List],$Q$6,RawData[Tour/Site],$Q$2,RawData[[Picker ID ]],$Q$3,RawData[Checker ID],$Q$4,RawData[[Error Type ]],$Q$5))</f>
        <v/>
      </c>
    </row>
    <row r="22250" spans="15:15" x14ac:dyDescent="0.25">
      <c r="O22250" s="20" t="str">
        <f>IF(N22250="","",COUNTIFS(RawData[[Date ]],N22250,RawData[Month List],$Q$6,RawData[Tour/Site],$Q$2,RawData[[Picker ID ]],$Q$3,RawData[Checker ID],$Q$4,RawData[[Error Type ]],$Q$5))</f>
        <v/>
      </c>
    </row>
    <row r="22251" spans="15:15" x14ac:dyDescent="0.25">
      <c r="O22251" s="20" t="str">
        <f>IF(N22251="","",COUNTIFS(RawData[[Date ]],N22251,RawData[Month List],$Q$6,RawData[Tour/Site],$Q$2,RawData[[Picker ID ]],$Q$3,RawData[Checker ID],$Q$4,RawData[[Error Type ]],$Q$5))</f>
        <v/>
      </c>
    </row>
    <row r="22252" spans="15:15" x14ac:dyDescent="0.25">
      <c r="O22252" s="20" t="str">
        <f>IF(N22252="","",COUNTIFS(RawData[[Date ]],N22252,RawData[Month List],$Q$6,RawData[Tour/Site],$Q$2,RawData[[Picker ID ]],$Q$3,RawData[Checker ID],$Q$4,RawData[[Error Type ]],$Q$5))</f>
        <v/>
      </c>
    </row>
    <row r="22253" spans="15:15" x14ac:dyDescent="0.25">
      <c r="O22253" s="20" t="str">
        <f>IF(N22253="","",COUNTIFS(RawData[[Date ]],N22253,RawData[Month List],$Q$6,RawData[Tour/Site],$Q$2,RawData[[Picker ID ]],$Q$3,RawData[Checker ID],$Q$4,RawData[[Error Type ]],$Q$5))</f>
        <v/>
      </c>
    </row>
    <row r="22254" spans="15:15" x14ac:dyDescent="0.25">
      <c r="O22254" s="20" t="str">
        <f>IF(N22254="","",COUNTIFS(RawData[[Date ]],N22254,RawData[Month List],$Q$6,RawData[Tour/Site],$Q$2,RawData[[Picker ID ]],$Q$3,RawData[Checker ID],$Q$4,RawData[[Error Type ]],$Q$5))</f>
        <v/>
      </c>
    </row>
    <row r="22255" spans="15:15" x14ac:dyDescent="0.25">
      <c r="O22255" s="20" t="str">
        <f>IF(N22255="","",COUNTIFS(RawData[[Date ]],N22255,RawData[Month List],$Q$6,RawData[Tour/Site],$Q$2,RawData[[Picker ID ]],$Q$3,RawData[Checker ID],$Q$4,RawData[[Error Type ]],$Q$5))</f>
        <v/>
      </c>
    </row>
    <row r="22256" spans="15:15" x14ac:dyDescent="0.25">
      <c r="O22256" s="20" t="str">
        <f>IF(N22256="","",COUNTIFS(RawData[[Date ]],N22256,RawData[Month List],$Q$6,RawData[Tour/Site],$Q$2,RawData[[Picker ID ]],$Q$3,RawData[Checker ID],$Q$4,RawData[[Error Type ]],$Q$5))</f>
        <v/>
      </c>
    </row>
    <row r="22257" spans="15:15" x14ac:dyDescent="0.25">
      <c r="O22257" s="20" t="str">
        <f>IF(N22257="","",COUNTIFS(RawData[[Date ]],N22257,RawData[Month List],$Q$6,RawData[Tour/Site],$Q$2,RawData[[Picker ID ]],$Q$3,RawData[Checker ID],$Q$4,RawData[[Error Type ]],$Q$5))</f>
        <v/>
      </c>
    </row>
    <row r="22258" spans="15:15" x14ac:dyDescent="0.25">
      <c r="O22258" s="20" t="str">
        <f>IF(N22258="","",COUNTIFS(RawData[[Date ]],N22258,RawData[Month List],$Q$6,RawData[Tour/Site],$Q$2,RawData[[Picker ID ]],$Q$3,RawData[Checker ID],$Q$4,RawData[[Error Type ]],$Q$5))</f>
        <v/>
      </c>
    </row>
    <row r="22259" spans="15:15" x14ac:dyDescent="0.25">
      <c r="O22259" s="20" t="str">
        <f>IF(N22259="","",COUNTIFS(RawData[[Date ]],N22259,RawData[Month List],$Q$6,RawData[Tour/Site],$Q$2,RawData[[Picker ID ]],$Q$3,RawData[Checker ID],$Q$4,RawData[[Error Type ]],$Q$5))</f>
        <v/>
      </c>
    </row>
    <row r="22260" spans="15:15" x14ac:dyDescent="0.25">
      <c r="O22260" s="20" t="str">
        <f>IF(N22260="","",COUNTIFS(RawData[[Date ]],N22260,RawData[Month List],$Q$6,RawData[Tour/Site],$Q$2,RawData[[Picker ID ]],$Q$3,RawData[Checker ID],$Q$4,RawData[[Error Type ]],$Q$5))</f>
        <v/>
      </c>
    </row>
    <row r="22261" spans="15:15" x14ac:dyDescent="0.25">
      <c r="O22261" s="20" t="str">
        <f>IF(N22261="","",COUNTIFS(RawData[[Date ]],N22261,RawData[Month List],$Q$6,RawData[Tour/Site],$Q$2,RawData[[Picker ID ]],$Q$3,RawData[Checker ID],$Q$4,RawData[[Error Type ]],$Q$5))</f>
        <v/>
      </c>
    </row>
    <row r="22262" spans="15:15" x14ac:dyDescent="0.25">
      <c r="O22262" s="20" t="str">
        <f>IF(N22262="","",COUNTIFS(RawData[[Date ]],N22262,RawData[Month List],$Q$6,RawData[Tour/Site],$Q$2,RawData[[Picker ID ]],$Q$3,RawData[Checker ID],$Q$4,RawData[[Error Type ]],$Q$5))</f>
        <v/>
      </c>
    </row>
    <row r="22263" spans="15:15" x14ac:dyDescent="0.25">
      <c r="O22263" s="20" t="str">
        <f>IF(N22263="","",COUNTIFS(RawData[[Date ]],N22263,RawData[Month List],$Q$6,RawData[Tour/Site],$Q$2,RawData[[Picker ID ]],$Q$3,RawData[Checker ID],$Q$4,RawData[[Error Type ]],$Q$5))</f>
        <v/>
      </c>
    </row>
    <row r="22264" spans="15:15" x14ac:dyDescent="0.25">
      <c r="O22264" s="20" t="str">
        <f>IF(N22264="","",COUNTIFS(RawData[[Date ]],N22264,RawData[Month List],$Q$6,RawData[Tour/Site],$Q$2,RawData[[Picker ID ]],$Q$3,RawData[Checker ID],$Q$4,RawData[[Error Type ]],$Q$5))</f>
        <v/>
      </c>
    </row>
    <row r="22265" spans="15:15" x14ac:dyDescent="0.25">
      <c r="O22265" s="20" t="str">
        <f>IF(N22265="","",COUNTIFS(RawData[[Date ]],N22265,RawData[Month List],$Q$6,RawData[Tour/Site],$Q$2,RawData[[Picker ID ]],$Q$3,RawData[Checker ID],$Q$4,RawData[[Error Type ]],$Q$5))</f>
        <v/>
      </c>
    </row>
    <row r="22266" spans="15:15" x14ac:dyDescent="0.25">
      <c r="O22266" s="20" t="str">
        <f>IF(N22266="","",COUNTIFS(RawData[[Date ]],N22266,RawData[Month List],$Q$6,RawData[Tour/Site],$Q$2,RawData[[Picker ID ]],$Q$3,RawData[Checker ID],$Q$4,RawData[[Error Type ]],$Q$5))</f>
        <v/>
      </c>
    </row>
    <row r="22267" spans="15:15" x14ac:dyDescent="0.25">
      <c r="O22267" s="20" t="str">
        <f>IF(N22267="","",COUNTIFS(RawData[[Date ]],N22267,RawData[Month List],$Q$6,RawData[Tour/Site],$Q$2,RawData[[Picker ID ]],$Q$3,RawData[Checker ID],$Q$4,RawData[[Error Type ]],$Q$5))</f>
        <v/>
      </c>
    </row>
    <row r="22268" spans="15:15" x14ac:dyDescent="0.25">
      <c r="O22268" s="20" t="str">
        <f>IF(N22268="","",COUNTIFS(RawData[[Date ]],N22268,RawData[Month List],$Q$6,RawData[Tour/Site],$Q$2,RawData[[Picker ID ]],$Q$3,RawData[Checker ID],$Q$4,RawData[[Error Type ]],$Q$5))</f>
        <v/>
      </c>
    </row>
    <row r="22269" spans="15:15" x14ac:dyDescent="0.25">
      <c r="O22269" s="20" t="str">
        <f>IF(N22269="","",COUNTIFS(RawData[[Date ]],N22269,RawData[Month List],$Q$6,RawData[Tour/Site],$Q$2,RawData[[Picker ID ]],$Q$3,RawData[Checker ID],$Q$4,RawData[[Error Type ]],$Q$5))</f>
        <v/>
      </c>
    </row>
    <row r="22270" spans="15:15" x14ac:dyDescent="0.25">
      <c r="O22270" s="20" t="str">
        <f>IF(N22270="","",COUNTIFS(RawData[[Date ]],N22270,RawData[Month List],$Q$6,RawData[Tour/Site],$Q$2,RawData[[Picker ID ]],$Q$3,RawData[Checker ID],$Q$4,RawData[[Error Type ]],$Q$5))</f>
        <v/>
      </c>
    </row>
    <row r="22271" spans="15:15" x14ac:dyDescent="0.25">
      <c r="O22271" s="20" t="str">
        <f>IF(N22271="","",COUNTIFS(RawData[[Date ]],N22271,RawData[Month List],$Q$6,RawData[Tour/Site],$Q$2,RawData[[Picker ID ]],$Q$3,RawData[Checker ID],$Q$4,RawData[[Error Type ]],$Q$5))</f>
        <v/>
      </c>
    </row>
    <row r="22272" spans="15:15" x14ac:dyDescent="0.25">
      <c r="O22272" s="20" t="str">
        <f>IF(N22272="","",COUNTIFS(RawData[[Date ]],N22272,RawData[Month List],$Q$6,RawData[Tour/Site],$Q$2,RawData[[Picker ID ]],$Q$3,RawData[Checker ID],$Q$4,RawData[[Error Type ]],$Q$5))</f>
        <v/>
      </c>
    </row>
    <row r="22273" spans="15:15" x14ac:dyDescent="0.25">
      <c r="O22273" s="20" t="str">
        <f>IF(N22273="","",COUNTIFS(RawData[[Date ]],N22273,RawData[Month List],$Q$6,RawData[Tour/Site],$Q$2,RawData[[Picker ID ]],$Q$3,RawData[Checker ID],$Q$4,RawData[[Error Type ]],$Q$5))</f>
        <v/>
      </c>
    </row>
    <row r="22274" spans="15:15" x14ac:dyDescent="0.25">
      <c r="O22274" s="20" t="str">
        <f>IF(N22274="","",COUNTIFS(RawData[[Date ]],N22274,RawData[Month List],$Q$6,RawData[Tour/Site],$Q$2,RawData[[Picker ID ]],$Q$3,RawData[Checker ID],$Q$4,RawData[[Error Type ]],$Q$5))</f>
        <v/>
      </c>
    </row>
    <row r="22275" spans="15:15" x14ac:dyDescent="0.25">
      <c r="O22275" s="20" t="str">
        <f>IF(N22275="","",COUNTIFS(RawData[[Date ]],N22275,RawData[Month List],$Q$6,RawData[Tour/Site],$Q$2,RawData[[Picker ID ]],$Q$3,RawData[Checker ID],$Q$4,RawData[[Error Type ]],$Q$5))</f>
        <v/>
      </c>
    </row>
    <row r="22276" spans="15:15" x14ac:dyDescent="0.25">
      <c r="O22276" s="20" t="str">
        <f>IF(N22276="","",COUNTIFS(RawData[[Date ]],N22276,RawData[Month List],$Q$6,RawData[Tour/Site],$Q$2,RawData[[Picker ID ]],$Q$3,RawData[Checker ID],$Q$4,RawData[[Error Type ]],$Q$5))</f>
        <v/>
      </c>
    </row>
    <row r="22277" spans="15:15" x14ac:dyDescent="0.25">
      <c r="O22277" s="20" t="str">
        <f>IF(N22277="","",COUNTIFS(RawData[[Date ]],N22277,RawData[Month List],$Q$6,RawData[Tour/Site],$Q$2,RawData[[Picker ID ]],$Q$3,RawData[Checker ID],$Q$4,RawData[[Error Type ]],$Q$5))</f>
        <v/>
      </c>
    </row>
    <row r="22278" spans="15:15" x14ac:dyDescent="0.25">
      <c r="O22278" s="20" t="str">
        <f>IF(N22278="","",COUNTIFS(RawData[[Date ]],N22278,RawData[Month List],$Q$6,RawData[Tour/Site],$Q$2,RawData[[Picker ID ]],$Q$3,RawData[Checker ID],$Q$4,RawData[[Error Type ]],$Q$5))</f>
        <v/>
      </c>
    </row>
    <row r="22279" spans="15:15" x14ac:dyDescent="0.25">
      <c r="O22279" s="20" t="str">
        <f>IF(N22279="","",COUNTIFS(RawData[[Date ]],N22279,RawData[Month List],$Q$6,RawData[Tour/Site],$Q$2,RawData[[Picker ID ]],$Q$3,RawData[Checker ID],$Q$4,RawData[[Error Type ]],$Q$5))</f>
        <v/>
      </c>
    </row>
    <row r="22280" spans="15:15" x14ac:dyDescent="0.25">
      <c r="O22280" s="20" t="str">
        <f>IF(N22280="","",COUNTIFS(RawData[[Date ]],N22280,RawData[Month List],$Q$6,RawData[Tour/Site],$Q$2,RawData[[Picker ID ]],$Q$3,RawData[Checker ID],$Q$4,RawData[[Error Type ]],$Q$5))</f>
        <v/>
      </c>
    </row>
    <row r="22281" spans="15:15" x14ac:dyDescent="0.25">
      <c r="O22281" s="20" t="str">
        <f>IF(N22281="","",COUNTIFS(RawData[[Date ]],N22281,RawData[Month List],$Q$6,RawData[Tour/Site],$Q$2,RawData[[Picker ID ]],$Q$3,RawData[Checker ID],$Q$4,RawData[[Error Type ]],$Q$5))</f>
        <v/>
      </c>
    </row>
    <row r="22282" spans="15:15" x14ac:dyDescent="0.25">
      <c r="O22282" s="20" t="str">
        <f>IF(N22282="","",COUNTIFS(RawData[[Date ]],N22282,RawData[Month List],$Q$6,RawData[Tour/Site],$Q$2,RawData[[Picker ID ]],$Q$3,RawData[Checker ID],$Q$4,RawData[[Error Type ]],$Q$5))</f>
        <v/>
      </c>
    </row>
    <row r="22283" spans="15:15" x14ac:dyDescent="0.25">
      <c r="O22283" s="20" t="str">
        <f>IF(N22283="","",COUNTIFS(RawData[[Date ]],N22283,RawData[Month List],$Q$6,RawData[Tour/Site],$Q$2,RawData[[Picker ID ]],$Q$3,RawData[Checker ID],$Q$4,RawData[[Error Type ]],$Q$5))</f>
        <v/>
      </c>
    </row>
    <row r="22284" spans="15:15" x14ac:dyDescent="0.25">
      <c r="O22284" s="20" t="str">
        <f>IF(N22284="","",COUNTIFS(RawData[[Date ]],N22284,RawData[Month List],$Q$6,RawData[Tour/Site],$Q$2,RawData[[Picker ID ]],$Q$3,RawData[Checker ID],$Q$4,RawData[[Error Type ]],$Q$5))</f>
        <v/>
      </c>
    </row>
    <row r="22285" spans="15:15" x14ac:dyDescent="0.25">
      <c r="O22285" s="20" t="str">
        <f>IF(N22285="","",COUNTIFS(RawData[[Date ]],N22285,RawData[Month List],$Q$6,RawData[Tour/Site],$Q$2,RawData[[Picker ID ]],$Q$3,RawData[Checker ID],$Q$4,RawData[[Error Type ]],$Q$5))</f>
        <v/>
      </c>
    </row>
    <row r="22286" spans="15:15" x14ac:dyDescent="0.25">
      <c r="O22286" s="20" t="str">
        <f>IF(N22286="","",COUNTIFS(RawData[[Date ]],N22286,RawData[Month List],$Q$6,RawData[Tour/Site],$Q$2,RawData[[Picker ID ]],$Q$3,RawData[Checker ID],$Q$4,RawData[[Error Type ]],$Q$5))</f>
        <v/>
      </c>
    </row>
    <row r="22287" spans="15:15" x14ac:dyDescent="0.25">
      <c r="O22287" s="20" t="str">
        <f>IF(N22287="","",COUNTIFS(RawData[[Date ]],N22287,RawData[Month List],$Q$6,RawData[Tour/Site],$Q$2,RawData[[Picker ID ]],$Q$3,RawData[Checker ID],$Q$4,RawData[[Error Type ]],$Q$5))</f>
        <v/>
      </c>
    </row>
    <row r="22288" spans="15:15" x14ac:dyDescent="0.25">
      <c r="O22288" s="20" t="str">
        <f>IF(N22288="","",COUNTIFS(RawData[[Date ]],N22288,RawData[Month List],$Q$6,RawData[Tour/Site],$Q$2,RawData[[Picker ID ]],$Q$3,RawData[Checker ID],$Q$4,RawData[[Error Type ]],$Q$5))</f>
        <v/>
      </c>
    </row>
    <row r="22289" spans="15:15" x14ac:dyDescent="0.25">
      <c r="O22289" s="20" t="str">
        <f>IF(N22289="","",COUNTIFS(RawData[[Date ]],N22289,RawData[Month List],$Q$6,RawData[Tour/Site],$Q$2,RawData[[Picker ID ]],$Q$3,RawData[Checker ID],$Q$4,RawData[[Error Type ]],$Q$5))</f>
        <v/>
      </c>
    </row>
    <row r="22290" spans="15:15" x14ac:dyDescent="0.25">
      <c r="O22290" s="20" t="str">
        <f>IF(N22290="","",COUNTIFS(RawData[[Date ]],N22290,RawData[Month List],$Q$6,RawData[Tour/Site],$Q$2,RawData[[Picker ID ]],$Q$3,RawData[Checker ID],$Q$4,RawData[[Error Type ]],$Q$5))</f>
        <v/>
      </c>
    </row>
    <row r="22291" spans="15:15" x14ac:dyDescent="0.25">
      <c r="O22291" s="20" t="str">
        <f>IF(N22291="","",COUNTIFS(RawData[[Date ]],N22291,RawData[Month List],$Q$6,RawData[Tour/Site],$Q$2,RawData[[Picker ID ]],$Q$3,RawData[Checker ID],$Q$4,RawData[[Error Type ]],$Q$5))</f>
        <v/>
      </c>
    </row>
    <row r="22292" spans="15:15" x14ac:dyDescent="0.25">
      <c r="O22292" s="20" t="str">
        <f>IF(N22292="","",COUNTIFS(RawData[[Date ]],N22292,RawData[Month List],$Q$6,RawData[Tour/Site],$Q$2,RawData[[Picker ID ]],$Q$3,RawData[Checker ID],$Q$4,RawData[[Error Type ]],$Q$5))</f>
        <v/>
      </c>
    </row>
    <row r="22293" spans="15:15" x14ac:dyDescent="0.25">
      <c r="O22293" s="20" t="str">
        <f>IF(N22293="","",COUNTIFS(RawData[[Date ]],N22293,RawData[Month List],$Q$6,RawData[Tour/Site],$Q$2,RawData[[Picker ID ]],$Q$3,RawData[Checker ID],$Q$4,RawData[[Error Type ]],$Q$5))</f>
        <v/>
      </c>
    </row>
    <row r="22294" spans="15:15" x14ac:dyDescent="0.25">
      <c r="O22294" s="20" t="str">
        <f>IF(N22294="","",COUNTIFS(RawData[[Date ]],N22294,RawData[Month List],$Q$6,RawData[Tour/Site],$Q$2,RawData[[Picker ID ]],$Q$3,RawData[Checker ID],$Q$4,RawData[[Error Type ]],$Q$5))</f>
        <v/>
      </c>
    </row>
    <row r="22295" spans="15:15" x14ac:dyDescent="0.25">
      <c r="O22295" s="20" t="str">
        <f>IF(N22295="","",COUNTIFS(RawData[[Date ]],N22295,RawData[Month List],$Q$6,RawData[Tour/Site],$Q$2,RawData[[Picker ID ]],$Q$3,RawData[Checker ID],$Q$4,RawData[[Error Type ]],$Q$5))</f>
        <v/>
      </c>
    </row>
    <row r="22296" spans="15:15" x14ac:dyDescent="0.25">
      <c r="O22296" s="20" t="str">
        <f>IF(N22296="","",COUNTIFS(RawData[[Date ]],N22296,RawData[Month List],$Q$6,RawData[Tour/Site],$Q$2,RawData[[Picker ID ]],$Q$3,RawData[Checker ID],$Q$4,RawData[[Error Type ]],$Q$5))</f>
        <v/>
      </c>
    </row>
    <row r="22297" spans="15:15" x14ac:dyDescent="0.25">
      <c r="O22297" s="20" t="str">
        <f>IF(N22297="","",COUNTIFS(RawData[[Date ]],N22297,RawData[Month List],$Q$6,RawData[Tour/Site],$Q$2,RawData[[Picker ID ]],$Q$3,RawData[Checker ID],$Q$4,RawData[[Error Type ]],$Q$5))</f>
        <v/>
      </c>
    </row>
    <row r="22298" spans="15:15" x14ac:dyDescent="0.25">
      <c r="O22298" s="20" t="str">
        <f>IF(N22298="","",COUNTIFS(RawData[[Date ]],N22298,RawData[Month List],$Q$6,RawData[Tour/Site],$Q$2,RawData[[Picker ID ]],$Q$3,RawData[Checker ID],$Q$4,RawData[[Error Type ]],$Q$5))</f>
        <v/>
      </c>
    </row>
    <row r="22299" spans="15:15" x14ac:dyDescent="0.25">
      <c r="O22299" s="20" t="str">
        <f>IF(N22299="","",COUNTIFS(RawData[[Date ]],N22299,RawData[Month List],$Q$6,RawData[Tour/Site],$Q$2,RawData[[Picker ID ]],$Q$3,RawData[Checker ID],$Q$4,RawData[[Error Type ]],$Q$5))</f>
        <v/>
      </c>
    </row>
    <row r="22300" spans="15:15" x14ac:dyDescent="0.25">
      <c r="O22300" s="20" t="str">
        <f>IF(N22300="","",COUNTIFS(RawData[[Date ]],N22300,RawData[Month List],$Q$6,RawData[Tour/Site],$Q$2,RawData[[Picker ID ]],$Q$3,RawData[Checker ID],$Q$4,RawData[[Error Type ]],$Q$5))</f>
        <v/>
      </c>
    </row>
    <row r="22301" spans="15:15" x14ac:dyDescent="0.25">
      <c r="O22301" s="20" t="str">
        <f>IF(N22301="","",COUNTIFS(RawData[[Date ]],N22301,RawData[Month List],$Q$6,RawData[Tour/Site],$Q$2,RawData[[Picker ID ]],$Q$3,RawData[Checker ID],$Q$4,RawData[[Error Type ]],$Q$5))</f>
        <v/>
      </c>
    </row>
    <row r="22302" spans="15:15" x14ac:dyDescent="0.25">
      <c r="O22302" s="20" t="str">
        <f>IF(N22302="","",COUNTIFS(RawData[[Date ]],N22302,RawData[Month List],$Q$6,RawData[Tour/Site],$Q$2,RawData[[Picker ID ]],$Q$3,RawData[Checker ID],$Q$4,RawData[[Error Type ]],$Q$5))</f>
        <v/>
      </c>
    </row>
    <row r="22303" spans="15:15" x14ac:dyDescent="0.25">
      <c r="O22303" s="20" t="str">
        <f>IF(N22303="","",COUNTIFS(RawData[[Date ]],N22303,RawData[Month List],$Q$6,RawData[Tour/Site],$Q$2,RawData[[Picker ID ]],$Q$3,RawData[Checker ID],$Q$4,RawData[[Error Type ]],$Q$5))</f>
        <v/>
      </c>
    </row>
    <row r="22304" spans="15:15" x14ac:dyDescent="0.25">
      <c r="O22304" s="20" t="str">
        <f>IF(N22304="","",COUNTIFS(RawData[[Date ]],N22304,RawData[Month List],$Q$6,RawData[Tour/Site],$Q$2,RawData[[Picker ID ]],$Q$3,RawData[Checker ID],$Q$4,RawData[[Error Type ]],$Q$5))</f>
        <v/>
      </c>
    </row>
    <row r="22305" spans="15:15" x14ac:dyDescent="0.25">
      <c r="O22305" s="20" t="str">
        <f>IF(N22305="","",COUNTIFS(RawData[[Date ]],N22305,RawData[Month List],$Q$6,RawData[Tour/Site],$Q$2,RawData[[Picker ID ]],$Q$3,RawData[Checker ID],$Q$4,RawData[[Error Type ]],$Q$5))</f>
        <v/>
      </c>
    </row>
    <row r="22306" spans="15:15" x14ac:dyDescent="0.25">
      <c r="O22306" s="20" t="str">
        <f>IF(N22306="","",COUNTIFS(RawData[[Date ]],N22306,RawData[Month List],$Q$6,RawData[Tour/Site],$Q$2,RawData[[Picker ID ]],$Q$3,RawData[Checker ID],$Q$4,RawData[[Error Type ]],$Q$5))</f>
        <v/>
      </c>
    </row>
    <row r="22307" spans="15:15" x14ac:dyDescent="0.25">
      <c r="O22307" s="20" t="str">
        <f>IF(N22307="","",COUNTIFS(RawData[[Date ]],N22307,RawData[Month List],$Q$6,RawData[Tour/Site],$Q$2,RawData[[Picker ID ]],$Q$3,RawData[Checker ID],$Q$4,RawData[[Error Type ]],$Q$5))</f>
        <v/>
      </c>
    </row>
    <row r="22308" spans="15:15" x14ac:dyDescent="0.25">
      <c r="O22308" s="20" t="str">
        <f>IF(N22308="","",COUNTIFS(RawData[[Date ]],N22308,RawData[Month List],$Q$6,RawData[Tour/Site],$Q$2,RawData[[Picker ID ]],$Q$3,RawData[Checker ID],$Q$4,RawData[[Error Type ]],$Q$5))</f>
        <v/>
      </c>
    </row>
    <row r="22309" spans="15:15" x14ac:dyDescent="0.25">
      <c r="O22309" s="20" t="str">
        <f>IF(N22309="","",COUNTIFS(RawData[[Date ]],N22309,RawData[Month List],$Q$6,RawData[Tour/Site],$Q$2,RawData[[Picker ID ]],$Q$3,RawData[Checker ID],$Q$4,RawData[[Error Type ]],$Q$5))</f>
        <v/>
      </c>
    </row>
    <row r="22310" spans="15:15" x14ac:dyDescent="0.25">
      <c r="O22310" s="20" t="str">
        <f>IF(N22310="","",COUNTIFS(RawData[[Date ]],N22310,RawData[Month List],$Q$6,RawData[Tour/Site],$Q$2,RawData[[Picker ID ]],$Q$3,RawData[Checker ID],$Q$4,RawData[[Error Type ]],$Q$5))</f>
        <v/>
      </c>
    </row>
    <row r="22311" spans="15:15" x14ac:dyDescent="0.25">
      <c r="O22311" s="20" t="str">
        <f>IF(N22311="","",COUNTIFS(RawData[[Date ]],N22311,RawData[Month List],$Q$6,RawData[Tour/Site],$Q$2,RawData[[Picker ID ]],$Q$3,RawData[Checker ID],$Q$4,RawData[[Error Type ]],$Q$5))</f>
        <v/>
      </c>
    </row>
    <row r="22312" spans="15:15" x14ac:dyDescent="0.25">
      <c r="O22312" s="20" t="str">
        <f>IF(N22312="","",COUNTIFS(RawData[[Date ]],N22312,RawData[Month List],$Q$6,RawData[Tour/Site],$Q$2,RawData[[Picker ID ]],$Q$3,RawData[Checker ID],$Q$4,RawData[[Error Type ]],$Q$5))</f>
        <v/>
      </c>
    </row>
    <row r="22313" spans="15:15" x14ac:dyDescent="0.25">
      <c r="O22313" s="20" t="str">
        <f>IF(N22313="","",COUNTIFS(RawData[[Date ]],N22313,RawData[Month List],$Q$6,RawData[Tour/Site],$Q$2,RawData[[Picker ID ]],$Q$3,RawData[Checker ID],$Q$4,RawData[[Error Type ]],$Q$5))</f>
        <v/>
      </c>
    </row>
    <row r="22314" spans="15:15" x14ac:dyDescent="0.25">
      <c r="O22314" s="20" t="str">
        <f>IF(N22314="","",COUNTIFS(RawData[[Date ]],N22314,RawData[Month List],$Q$6,RawData[Tour/Site],$Q$2,RawData[[Picker ID ]],$Q$3,RawData[Checker ID],$Q$4,RawData[[Error Type ]],$Q$5))</f>
        <v/>
      </c>
    </row>
    <row r="22315" spans="15:15" x14ac:dyDescent="0.25">
      <c r="O22315" s="20" t="str">
        <f>IF(N22315="","",COUNTIFS(RawData[[Date ]],N22315,RawData[Month List],$Q$6,RawData[Tour/Site],$Q$2,RawData[[Picker ID ]],$Q$3,RawData[Checker ID],$Q$4,RawData[[Error Type ]],$Q$5))</f>
        <v/>
      </c>
    </row>
    <row r="22316" spans="15:15" x14ac:dyDescent="0.25">
      <c r="O22316" s="20" t="str">
        <f>IF(N22316="","",COUNTIFS(RawData[[Date ]],N22316,RawData[Month List],$Q$6,RawData[Tour/Site],$Q$2,RawData[[Picker ID ]],$Q$3,RawData[Checker ID],$Q$4,RawData[[Error Type ]],$Q$5))</f>
        <v/>
      </c>
    </row>
    <row r="22317" spans="15:15" x14ac:dyDescent="0.25">
      <c r="O22317" s="20" t="str">
        <f>IF(N22317="","",COUNTIFS(RawData[[Date ]],N22317,RawData[Month List],$Q$6,RawData[Tour/Site],$Q$2,RawData[[Picker ID ]],$Q$3,RawData[Checker ID],$Q$4,RawData[[Error Type ]],$Q$5))</f>
        <v/>
      </c>
    </row>
    <row r="22318" spans="15:15" x14ac:dyDescent="0.25">
      <c r="O22318" s="20" t="str">
        <f>IF(N22318="","",COUNTIFS(RawData[[Date ]],N22318,RawData[Month List],$Q$6,RawData[Tour/Site],$Q$2,RawData[[Picker ID ]],$Q$3,RawData[Checker ID],$Q$4,RawData[[Error Type ]],$Q$5))</f>
        <v/>
      </c>
    </row>
    <row r="22319" spans="15:15" x14ac:dyDescent="0.25">
      <c r="O22319" s="20" t="str">
        <f>IF(N22319="","",COUNTIFS(RawData[[Date ]],N22319,RawData[Month List],$Q$6,RawData[Tour/Site],$Q$2,RawData[[Picker ID ]],$Q$3,RawData[Checker ID],$Q$4,RawData[[Error Type ]],$Q$5))</f>
        <v/>
      </c>
    </row>
    <row r="22320" spans="15:15" x14ac:dyDescent="0.25">
      <c r="O22320" s="20" t="str">
        <f>IF(N22320="","",COUNTIFS(RawData[[Date ]],N22320,RawData[Month List],$Q$6,RawData[Tour/Site],$Q$2,RawData[[Picker ID ]],$Q$3,RawData[Checker ID],$Q$4,RawData[[Error Type ]],$Q$5))</f>
        <v/>
      </c>
    </row>
    <row r="22321" spans="15:15" x14ac:dyDescent="0.25">
      <c r="O22321" s="20" t="str">
        <f>IF(N22321="","",COUNTIFS(RawData[[Date ]],N22321,RawData[Month List],$Q$6,RawData[Tour/Site],$Q$2,RawData[[Picker ID ]],$Q$3,RawData[Checker ID],$Q$4,RawData[[Error Type ]],$Q$5))</f>
        <v/>
      </c>
    </row>
    <row r="22322" spans="15:15" x14ac:dyDescent="0.25">
      <c r="O22322" s="20" t="str">
        <f>IF(N22322="","",COUNTIFS(RawData[[Date ]],N22322,RawData[Month List],$Q$6,RawData[Tour/Site],$Q$2,RawData[[Picker ID ]],$Q$3,RawData[Checker ID],$Q$4,RawData[[Error Type ]],$Q$5))</f>
        <v/>
      </c>
    </row>
    <row r="22323" spans="15:15" x14ac:dyDescent="0.25">
      <c r="O22323" s="20" t="str">
        <f>IF(N22323="","",COUNTIFS(RawData[[Date ]],N22323,RawData[Month List],$Q$6,RawData[Tour/Site],$Q$2,RawData[[Picker ID ]],$Q$3,RawData[Checker ID],$Q$4,RawData[[Error Type ]],$Q$5))</f>
        <v/>
      </c>
    </row>
    <row r="22324" spans="15:15" x14ac:dyDescent="0.25">
      <c r="O22324" s="20" t="str">
        <f>IF(N22324="","",COUNTIFS(RawData[[Date ]],N22324,RawData[Month List],$Q$6,RawData[Tour/Site],$Q$2,RawData[[Picker ID ]],$Q$3,RawData[Checker ID],$Q$4,RawData[[Error Type ]],$Q$5))</f>
        <v/>
      </c>
    </row>
    <row r="22325" spans="15:15" x14ac:dyDescent="0.25">
      <c r="O22325" s="20" t="str">
        <f>IF(N22325="","",COUNTIFS(RawData[[Date ]],N22325,RawData[Month List],$Q$6,RawData[Tour/Site],$Q$2,RawData[[Picker ID ]],$Q$3,RawData[Checker ID],$Q$4,RawData[[Error Type ]],$Q$5))</f>
        <v/>
      </c>
    </row>
    <row r="22326" spans="15:15" x14ac:dyDescent="0.25">
      <c r="O22326" s="20" t="str">
        <f>IF(N22326="","",COUNTIFS(RawData[[Date ]],N22326,RawData[Month List],$Q$6,RawData[Tour/Site],$Q$2,RawData[[Picker ID ]],$Q$3,RawData[Checker ID],$Q$4,RawData[[Error Type ]],$Q$5))</f>
        <v/>
      </c>
    </row>
    <row r="22327" spans="15:15" x14ac:dyDescent="0.25">
      <c r="O22327" s="20" t="str">
        <f>IF(N22327="","",COUNTIFS(RawData[[Date ]],N22327,RawData[Month List],$Q$6,RawData[Tour/Site],$Q$2,RawData[[Picker ID ]],$Q$3,RawData[Checker ID],$Q$4,RawData[[Error Type ]],$Q$5))</f>
        <v/>
      </c>
    </row>
    <row r="22328" spans="15:15" x14ac:dyDescent="0.25">
      <c r="O22328" s="20" t="str">
        <f>IF(N22328="","",COUNTIFS(RawData[[Date ]],N22328,RawData[Month List],$Q$6,RawData[Tour/Site],$Q$2,RawData[[Picker ID ]],$Q$3,RawData[Checker ID],$Q$4,RawData[[Error Type ]],$Q$5))</f>
        <v/>
      </c>
    </row>
    <row r="22329" spans="15:15" x14ac:dyDescent="0.25">
      <c r="O22329" s="20" t="str">
        <f>IF(N22329="","",COUNTIFS(RawData[[Date ]],N22329,RawData[Month List],$Q$6,RawData[Tour/Site],$Q$2,RawData[[Picker ID ]],$Q$3,RawData[Checker ID],$Q$4,RawData[[Error Type ]],$Q$5))</f>
        <v/>
      </c>
    </row>
    <row r="22330" spans="15:15" x14ac:dyDescent="0.25">
      <c r="O22330" s="20" t="str">
        <f>IF(N22330="","",COUNTIFS(RawData[[Date ]],N22330,RawData[Month List],$Q$6,RawData[Tour/Site],$Q$2,RawData[[Picker ID ]],$Q$3,RawData[Checker ID],$Q$4,RawData[[Error Type ]],$Q$5))</f>
        <v/>
      </c>
    </row>
    <row r="22331" spans="15:15" x14ac:dyDescent="0.25">
      <c r="O22331" s="20" t="str">
        <f>IF(N22331="","",COUNTIFS(RawData[[Date ]],N22331,RawData[Month List],$Q$6,RawData[Tour/Site],$Q$2,RawData[[Picker ID ]],$Q$3,RawData[Checker ID],$Q$4,RawData[[Error Type ]],$Q$5))</f>
        <v/>
      </c>
    </row>
    <row r="22332" spans="15:15" x14ac:dyDescent="0.25">
      <c r="O22332" s="20" t="str">
        <f>IF(N22332="","",COUNTIFS(RawData[[Date ]],N22332,RawData[Month List],$Q$6,RawData[Tour/Site],$Q$2,RawData[[Picker ID ]],$Q$3,RawData[Checker ID],$Q$4,RawData[[Error Type ]],$Q$5))</f>
        <v/>
      </c>
    </row>
    <row r="22333" spans="15:15" x14ac:dyDescent="0.25">
      <c r="O22333" s="20" t="str">
        <f>IF(N22333="","",COUNTIFS(RawData[[Date ]],N22333,RawData[Month List],$Q$6,RawData[Tour/Site],$Q$2,RawData[[Picker ID ]],$Q$3,RawData[Checker ID],$Q$4,RawData[[Error Type ]],$Q$5))</f>
        <v/>
      </c>
    </row>
    <row r="22334" spans="15:15" x14ac:dyDescent="0.25">
      <c r="O22334" s="20" t="str">
        <f>IF(N22334="","",COUNTIFS(RawData[[Date ]],N22334,RawData[Month List],$Q$6,RawData[Tour/Site],$Q$2,RawData[[Picker ID ]],$Q$3,RawData[Checker ID],$Q$4,RawData[[Error Type ]],$Q$5))</f>
        <v/>
      </c>
    </row>
    <row r="22335" spans="15:15" x14ac:dyDescent="0.25">
      <c r="O22335" s="20" t="str">
        <f>IF(N22335="","",COUNTIFS(RawData[[Date ]],N22335,RawData[Month List],$Q$6,RawData[Tour/Site],$Q$2,RawData[[Picker ID ]],$Q$3,RawData[Checker ID],$Q$4,RawData[[Error Type ]],$Q$5))</f>
        <v/>
      </c>
    </row>
    <row r="22336" spans="15:15" x14ac:dyDescent="0.25">
      <c r="O22336" s="20" t="str">
        <f>IF(N22336="","",COUNTIFS(RawData[[Date ]],N22336,RawData[Month List],$Q$6,RawData[Tour/Site],$Q$2,RawData[[Picker ID ]],$Q$3,RawData[Checker ID],$Q$4,RawData[[Error Type ]],$Q$5))</f>
        <v/>
      </c>
    </row>
    <row r="22337" spans="15:15" x14ac:dyDescent="0.25">
      <c r="O22337" s="20" t="str">
        <f>IF(N22337="","",COUNTIFS(RawData[[Date ]],N22337,RawData[Month List],$Q$6,RawData[Tour/Site],$Q$2,RawData[[Picker ID ]],$Q$3,RawData[Checker ID],$Q$4,RawData[[Error Type ]],$Q$5))</f>
        <v/>
      </c>
    </row>
    <row r="22338" spans="15:15" x14ac:dyDescent="0.25">
      <c r="O22338" s="20" t="str">
        <f>IF(N22338="","",COUNTIFS(RawData[[Date ]],N22338,RawData[Month List],$Q$6,RawData[Tour/Site],$Q$2,RawData[[Picker ID ]],$Q$3,RawData[Checker ID],$Q$4,RawData[[Error Type ]],$Q$5))</f>
        <v/>
      </c>
    </row>
    <row r="22339" spans="15:15" x14ac:dyDescent="0.25">
      <c r="O22339" s="20" t="str">
        <f>IF(N22339="","",COUNTIFS(RawData[[Date ]],N22339,RawData[Month List],$Q$6,RawData[Tour/Site],$Q$2,RawData[[Picker ID ]],$Q$3,RawData[Checker ID],$Q$4,RawData[[Error Type ]],$Q$5))</f>
        <v/>
      </c>
    </row>
    <row r="22340" spans="15:15" x14ac:dyDescent="0.25">
      <c r="O22340" s="20" t="str">
        <f>IF(N22340="","",COUNTIFS(RawData[[Date ]],N22340,RawData[Month List],$Q$6,RawData[Tour/Site],$Q$2,RawData[[Picker ID ]],$Q$3,RawData[Checker ID],$Q$4,RawData[[Error Type ]],$Q$5))</f>
        <v/>
      </c>
    </row>
    <row r="22341" spans="15:15" x14ac:dyDescent="0.25">
      <c r="O22341" s="20" t="str">
        <f>IF(N22341="","",COUNTIFS(RawData[[Date ]],N22341,RawData[Month List],$Q$6,RawData[Tour/Site],$Q$2,RawData[[Picker ID ]],$Q$3,RawData[Checker ID],$Q$4,RawData[[Error Type ]],$Q$5))</f>
        <v/>
      </c>
    </row>
    <row r="22342" spans="15:15" x14ac:dyDescent="0.25">
      <c r="O22342" s="20" t="str">
        <f>IF(N22342="","",COUNTIFS(RawData[[Date ]],N22342,RawData[Month List],$Q$6,RawData[Tour/Site],$Q$2,RawData[[Picker ID ]],$Q$3,RawData[Checker ID],$Q$4,RawData[[Error Type ]],$Q$5))</f>
        <v/>
      </c>
    </row>
    <row r="22343" spans="15:15" x14ac:dyDescent="0.25">
      <c r="O22343" s="20" t="str">
        <f>IF(N22343="","",COUNTIFS(RawData[[Date ]],N22343,RawData[Month List],$Q$6,RawData[Tour/Site],$Q$2,RawData[[Picker ID ]],$Q$3,RawData[Checker ID],$Q$4,RawData[[Error Type ]],$Q$5))</f>
        <v/>
      </c>
    </row>
    <row r="22344" spans="15:15" x14ac:dyDescent="0.25">
      <c r="O22344" s="20" t="str">
        <f>IF(N22344="","",COUNTIFS(RawData[[Date ]],N22344,RawData[Month List],$Q$6,RawData[Tour/Site],$Q$2,RawData[[Picker ID ]],$Q$3,RawData[Checker ID],$Q$4,RawData[[Error Type ]],$Q$5))</f>
        <v/>
      </c>
    </row>
    <row r="22345" spans="15:15" x14ac:dyDescent="0.25">
      <c r="O22345" s="20" t="str">
        <f>IF(N22345="","",COUNTIFS(RawData[[Date ]],N22345,RawData[Month List],$Q$6,RawData[Tour/Site],$Q$2,RawData[[Picker ID ]],$Q$3,RawData[Checker ID],$Q$4,RawData[[Error Type ]],$Q$5))</f>
        <v/>
      </c>
    </row>
    <row r="22346" spans="15:15" x14ac:dyDescent="0.25">
      <c r="O22346" s="20" t="str">
        <f>IF(N22346="","",COUNTIFS(RawData[[Date ]],N22346,RawData[Month List],$Q$6,RawData[Tour/Site],$Q$2,RawData[[Picker ID ]],$Q$3,RawData[Checker ID],$Q$4,RawData[[Error Type ]],$Q$5))</f>
        <v/>
      </c>
    </row>
    <row r="22347" spans="15:15" x14ac:dyDescent="0.25">
      <c r="O22347" s="20" t="str">
        <f>IF(N22347="","",COUNTIFS(RawData[[Date ]],N22347,RawData[Month List],$Q$6,RawData[Tour/Site],$Q$2,RawData[[Picker ID ]],$Q$3,RawData[Checker ID],$Q$4,RawData[[Error Type ]],$Q$5))</f>
        <v/>
      </c>
    </row>
    <row r="22348" spans="15:15" x14ac:dyDescent="0.25">
      <c r="O22348" s="20" t="str">
        <f>IF(N22348="","",COUNTIFS(RawData[[Date ]],N22348,RawData[Month List],$Q$6,RawData[Tour/Site],$Q$2,RawData[[Picker ID ]],$Q$3,RawData[Checker ID],$Q$4,RawData[[Error Type ]],$Q$5))</f>
        <v/>
      </c>
    </row>
    <row r="22349" spans="15:15" x14ac:dyDescent="0.25">
      <c r="O22349" s="20" t="str">
        <f>IF(N22349="","",COUNTIFS(RawData[[Date ]],N22349,RawData[Month List],$Q$6,RawData[Tour/Site],$Q$2,RawData[[Picker ID ]],$Q$3,RawData[Checker ID],$Q$4,RawData[[Error Type ]],$Q$5))</f>
        <v/>
      </c>
    </row>
    <row r="22350" spans="15:15" x14ac:dyDescent="0.25">
      <c r="O22350" s="20" t="str">
        <f>IF(N22350="","",COUNTIFS(RawData[[Date ]],N22350,RawData[Month List],$Q$6,RawData[Tour/Site],$Q$2,RawData[[Picker ID ]],$Q$3,RawData[Checker ID],$Q$4,RawData[[Error Type ]],$Q$5))</f>
        <v/>
      </c>
    </row>
    <row r="22351" spans="15:15" x14ac:dyDescent="0.25">
      <c r="O22351" s="20" t="str">
        <f>IF(N22351="","",COUNTIFS(RawData[[Date ]],N22351,RawData[Month List],$Q$6,RawData[Tour/Site],$Q$2,RawData[[Picker ID ]],$Q$3,RawData[Checker ID],$Q$4,RawData[[Error Type ]],$Q$5))</f>
        <v/>
      </c>
    </row>
    <row r="22352" spans="15:15" x14ac:dyDescent="0.25">
      <c r="O22352" s="20" t="str">
        <f>IF(N22352="","",COUNTIFS(RawData[[Date ]],N22352,RawData[Month List],$Q$6,RawData[Tour/Site],$Q$2,RawData[[Picker ID ]],$Q$3,RawData[Checker ID],$Q$4,RawData[[Error Type ]],$Q$5))</f>
        <v/>
      </c>
    </row>
    <row r="22353" spans="15:15" x14ac:dyDescent="0.25">
      <c r="O22353" s="20" t="str">
        <f>IF(N22353="","",COUNTIFS(RawData[[Date ]],N22353,RawData[Month List],$Q$6,RawData[Tour/Site],$Q$2,RawData[[Picker ID ]],$Q$3,RawData[Checker ID],$Q$4,RawData[[Error Type ]],$Q$5))</f>
        <v/>
      </c>
    </row>
    <row r="22354" spans="15:15" x14ac:dyDescent="0.25">
      <c r="O22354" s="20" t="str">
        <f>IF(N22354="","",COUNTIFS(RawData[[Date ]],N22354,RawData[Month List],$Q$6,RawData[Tour/Site],$Q$2,RawData[[Picker ID ]],$Q$3,RawData[Checker ID],$Q$4,RawData[[Error Type ]],$Q$5))</f>
        <v/>
      </c>
    </row>
    <row r="22355" spans="15:15" x14ac:dyDescent="0.25">
      <c r="O22355" s="20" t="str">
        <f>IF(N22355="","",COUNTIFS(RawData[[Date ]],N22355,RawData[Month List],$Q$6,RawData[Tour/Site],$Q$2,RawData[[Picker ID ]],$Q$3,RawData[Checker ID],$Q$4,RawData[[Error Type ]],$Q$5))</f>
        <v/>
      </c>
    </row>
    <row r="22356" spans="15:15" x14ac:dyDescent="0.25">
      <c r="O22356" s="20" t="str">
        <f>IF(N22356="","",COUNTIFS(RawData[[Date ]],N22356,RawData[Month List],$Q$6,RawData[Tour/Site],$Q$2,RawData[[Picker ID ]],$Q$3,RawData[Checker ID],$Q$4,RawData[[Error Type ]],$Q$5))</f>
        <v/>
      </c>
    </row>
    <row r="22357" spans="15:15" x14ac:dyDescent="0.25">
      <c r="O22357" s="20" t="str">
        <f>IF(N22357="","",COUNTIFS(RawData[[Date ]],N22357,RawData[Month List],$Q$6,RawData[Tour/Site],$Q$2,RawData[[Picker ID ]],$Q$3,RawData[Checker ID],$Q$4,RawData[[Error Type ]],$Q$5))</f>
        <v/>
      </c>
    </row>
    <row r="22358" spans="15:15" x14ac:dyDescent="0.25">
      <c r="O22358" s="20" t="str">
        <f>IF(N22358="","",COUNTIFS(RawData[[Date ]],N22358,RawData[Month List],$Q$6,RawData[Tour/Site],$Q$2,RawData[[Picker ID ]],$Q$3,RawData[Checker ID],$Q$4,RawData[[Error Type ]],$Q$5))</f>
        <v/>
      </c>
    </row>
    <row r="22359" spans="15:15" x14ac:dyDescent="0.25">
      <c r="O22359" s="20" t="str">
        <f>IF(N22359="","",COUNTIFS(RawData[[Date ]],N22359,RawData[Month List],$Q$6,RawData[Tour/Site],$Q$2,RawData[[Picker ID ]],$Q$3,RawData[Checker ID],$Q$4,RawData[[Error Type ]],$Q$5))</f>
        <v/>
      </c>
    </row>
    <row r="22360" spans="15:15" x14ac:dyDescent="0.25">
      <c r="O22360" s="20" t="str">
        <f>IF(N22360="","",COUNTIFS(RawData[[Date ]],N22360,RawData[Month List],$Q$6,RawData[Tour/Site],$Q$2,RawData[[Picker ID ]],$Q$3,RawData[Checker ID],$Q$4,RawData[[Error Type ]],$Q$5))</f>
        <v/>
      </c>
    </row>
    <row r="22361" spans="15:15" x14ac:dyDescent="0.25">
      <c r="O22361" s="20" t="str">
        <f>IF(N22361="","",COUNTIFS(RawData[[Date ]],N22361,RawData[Month List],$Q$6,RawData[Tour/Site],$Q$2,RawData[[Picker ID ]],$Q$3,RawData[Checker ID],$Q$4,RawData[[Error Type ]],$Q$5))</f>
        <v/>
      </c>
    </row>
    <row r="22362" spans="15:15" x14ac:dyDescent="0.25">
      <c r="O22362" s="20" t="str">
        <f>IF(N22362="","",COUNTIFS(RawData[[Date ]],N22362,RawData[Month List],$Q$6,RawData[Tour/Site],$Q$2,RawData[[Picker ID ]],$Q$3,RawData[Checker ID],$Q$4,RawData[[Error Type ]],$Q$5))</f>
        <v/>
      </c>
    </row>
    <row r="22363" spans="15:15" x14ac:dyDescent="0.25">
      <c r="O22363" s="20" t="str">
        <f>IF(N22363="","",COUNTIFS(RawData[[Date ]],N22363,RawData[Month List],$Q$6,RawData[Tour/Site],$Q$2,RawData[[Picker ID ]],$Q$3,RawData[Checker ID],$Q$4,RawData[[Error Type ]],$Q$5))</f>
        <v/>
      </c>
    </row>
    <row r="22364" spans="15:15" x14ac:dyDescent="0.25">
      <c r="O22364" s="20" t="str">
        <f>IF(N22364="","",COUNTIFS(RawData[[Date ]],N22364,RawData[Month List],$Q$6,RawData[Tour/Site],$Q$2,RawData[[Picker ID ]],$Q$3,RawData[Checker ID],$Q$4,RawData[[Error Type ]],$Q$5))</f>
        <v/>
      </c>
    </row>
    <row r="22365" spans="15:15" x14ac:dyDescent="0.25">
      <c r="O22365" s="20" t="str">
        <f>IF(N22365="","",COUNTIFS(RawData[[Date ]],N22365,RawData[Month List],$Q$6,RawData[Tour/Site],$Q$2,RawData[[Picker ID ]],$Q$3,RawData[Checker ID],$Q$4,RawData[[Error Type ]],$Q$5))</f>
        <v/>
      </c>
    </row>
    <row r="22366" spans="15:15" x14ac:dyDescent="0.25">
      <c r="O22366" s="20" t="str">
        <f>IF(N22366="","",COUNTIFS(RawData[[Date ]],N22366,RawData[Month List],$Q$6,RawData[Tour/Site],$Q$2,RawData[[Picker ID ]],$Q$3,RawData[Checker ID],$Q$4,RawData[[Error Type ]],$Q$5))</f>
        <v/>
      </c>
    </row>
    <row r="22367" spans="15:15" x14ac:dyDescent="0.25">
      <c r="O22367" s="20" t="str">
        <f>IF(N22367="","",COUNTIFS(RawData[[Date ]],N22367,RawData[Month List],$Q$6,RawData[Tour/Site],$Q$2,RawData[[Picker ID ]],$Q$3,RawData[Checker ID],$Q$4,RawData[[Error Type ]],$Q$5))</f>
        <v/>
      </c>
    </row>
    <row r="22368" spans="15:15" x14ac:dyDescent="0.25">
      <c r="O22368" s="20" t="str">
        <f>IF(N22368="","",COUNTIFS(RawData[[Date ]],N22368,RawData[Month List],$Q$6,RawData[Tour/Site],$Q$2,RawData[[Picker ID ]],$Q$3,RawData[Checker ID],$Q$4,RawData[[Error Type ]],$Q$5))</f>
        <v/>
      </c>
    </row>
    <row r="22369" spans="15:15" x14ac:dyDescent="0.25">
      <c r="O22369" s="20" t="str">
        <f>IF(N22369="","",COUNTIFS(RawData[[Date ]],N22369,RawData[Month List],$Q$6,RawData[Tour/Site],$Q$2,RawData[[Picker ID ]],$Q$3,RawData[Checker ID],$Q$4,RawData[[Error Type ]],$Q$5))</f>
        <v/>
      </c>
    </row>
    <row r="22370" spans="15:15" x14ac:dyDescent="0.25">
      <c r="O22370" s="20" t="str">
        <f>IF(N22370="","",COUNTIFS(RawData[[Date ]],N22370,RawData[Month List],$Q$6,RawData[Tour/Site],$Q$2,RawData[[Picker ID ]],$Q$3,RawData[Checker ID],$Q$4,RawData[[Error Type ]],$Q$5))</f>
        <v/>
      </c>
    </row>
    <row r="22371" spans="15:15" x14ac:dyDescent="0.25">
      <c r="O22371" s="20" t="str">
        <f>IF(N22371="","",COUNTIFS(RawData[[Date ]],N22371,RawData[Month List],$Q$6,RawData[Tour/Site],$Q$2,RawData[[Picker ID ]],$Q$3,RawData[Checker ID],$Q$4,RawData[[Error Type ]],$Q$5))</f>
        <v/>
      </c>
    </row>
    <row r="22372" spans="15:15" x14ac:dyDescent="0.25">
      <c r="O22372" s="20" t="str">
        <f>IF(N22372="","",COUNTIFS(RawData[[Date ]],N22372,RawData[Month List],$Q$6,RawData[Tour/Site],$Q$2,RawData[[Picker ID ]],$Q$3,RawData[Checker ID],$Q$4,RawData[[Error Type ]],$Q$5))</f>
        <v/>
      </c>
    </row>
    <row r="22373" spans="15:15" x14ac:dyDescent="0.25">
      <c r="O22373" s="20" t="str">
        <f>IF(N22373="","",COUNTIFS(RawData[[Date ]],N22373,RawData[Month List],$Q$6,RawData[Tour/Site],$Q$2,RawData[[Picker ID ]],$Q$3,RawData[Checker ID],$Q$4,RawData[[Error Type ]],$Q$5))</f>
        <v/>
      </c>
    </row>
    <row r="22374" spans="15:15" x14ac:dyDescent="0.25">
      <c r="O22374" s="20" t="str">
        <f>IF(N22374="","",COUNTIFS(RawData[[Date ]],N22374,RawData[Month List],$Q$6,RawData[Tour/Site],$Q$2,RawData[[Picker ID ]],$Q$3,RawData[Checker ID],$Q$4,RawData[[Error Type ]],$Q$5))</f>
        <v/>
      </c>
    </row>
    <row r="22375" spans="15:15" x14ac:dyDescent="0.25">
      <c r="O22375" s="20" t="str">
        <f>IF(N22375="","",COUNTIFS(RawData[[Date ]],N22375,RawData[Month List],$Q$6,RawData[Tour/Site],$Q$2,RawData[[Picker ID ]],$Q$3,RawData[Checker ID],$Q$4,RawData[[Error Type ]],$Q$5))</f>
        <v/>
      </c>
    </row>
    <row r="22376" spans="15:15" x14ac:dyDescent="0.25">
      <c r="O22376" s="20" t="str">
        <f>IF(N22376="","",COUNTIFS(RawData[[Date ]],N22376,RawData[Month List],$Q$6,RawData[Tour/Site],$Q$2,RawData[[Picker ID ]],$Q$3,RawData[Checker ID],$Q$4,RawData[[Error Type ]],$Q$5))</f>
        <v/>
      </c>
    </row>
    <row r="22377" spans="15:15" x14ac:dyDescent="0.25">
      <c r="O22377" s="20" t="str">
        <f>IF(N22377="","",COUNTIFS(RawData[[Date ]],N22377,RawData[Month List],$Q$6,RawData[Tour/Site],$Q$2,RawData[[Picker ID ]],$Q$3,RawData[Checker ID],$Q$4,RawData[[Error Type ]],$Q$5))</f>
        <v/>
      </c>
    </row>
    <row r="22378" spans="15:15" x14ac:dyDescent="0.25">
      <c r="O22378" s="20" t="str">
        <f>IF(N22378="","",COUNTIFS(RawData[[Date ]],N22378,RawData[Month List],$Q$6,RawData[Tour/Site],$Q$2,RawData[[Picker ID ]],$Q$3,RawData[Checker ID],$Q$4,RawData[[Error Type ]],$Q$5))</f>
        <v/>
      </c>
    </row>
    <row r="22379" spans="15:15" x14ac:dyDescent="0.25">
      <c r="O22379" s="20" t="str">
        <f>IF(N22379="","",COUNTIFS(RawData[[Date ]],N22379,RawData[Month List],$Q$6,RawData[Tour/Site],$Q$2,RawData[[Picker ID ]],$Q$3,RawData[Checker ID],$Q$4,RawData[[Error Type ]],$Q$5))</f>
        <v/>
      </c>
    </row>
    <row r="22380" spans="15:15" x14ac:dyDescent="0.25">
      <c r="O22380" s="20" t="str">
        <f>IF(N22380="","",COUNTIFS(RawData[[Date ]],N22380,RawData[Month List],$Q$6,RawData[Tour/Site],$Q$2,RawData[[Picker ID ]],$Q$3,RawData[Checker ID],$Q$4,RawData[[Error Type ]],$Q$5))</f>
        <v/>
      </c>
    </row>
    <row r="22381" spans="15:15" x14ac:dyDescent="0.25">
      <c r="O22381" s="20" t="str">
        <f>IF(N22381="","",COUNTIFS(RawData[[Date ]],N22381,RawData[Month List],$Q$6,RawData[Tour/Site],$Q$2,RawData[[Picker ID ]],$Q$3,RawData[Checker ID],$Q$4,RawData[[Error Type ]],$Q$5))</f>
        <v/>
      </c>
    </row>
    <row r="22382" spans="15:15" x14ac:dyDescent="0.25">
      <c r="O22382" s="20" t="str">
        <f>IF(N22382="","",COUNTIFS(RawData[[Date ]],N22382,RawData[Month List],$Q$6,RawData[Tour/Site],$Q$2,RawData[[Picker ID ]],$Q$3,RawData[Checker ID],$Q$4,RawData[[Error Type ]],$Q$5))</f>
        <v/>
      </c>
    </row>
    <row r="22383" spans="15:15" x14ac:dyDescent="0.25">
      <c r="O22383" s="20" t="str">
        <f>IF(N22383="","",COUNTIFS(RawData[[Date ]],N22383,RawData[Month List],$Q$6,RawData[Tour/Site],$Q$2,RawData[[Picker ID ]],$Q$3,RawData[Checker ID],$Q$4,RawData[[Error Type ]],$Q$5))</f>
        <v/>
      </c>
    </row>
    <row r="22384" spans="15:15" x14ac:dyDescent="0.25">
      <c r="O22384" s="20" t="str">
        <f>IF(N22384="","",COUNTIFS(RawData[[Date ]],N22384,RawData[Month List],$Q$6,RawData[Tour/Site],$Q$2,RawData[[Picker ID ]],$Q$3,RawData[Checker ID],$Q$4,RawData[[Error Type ]],$Q$5))</f>
        <v/>
      </c>
    </row>
    <row r="22385" spans="15:15" x14ac:dyDescent="0.25">
      <c r="O22385" s="20" t="str">
        <f>IF(N22385="","",COUNTIFS(RawData[[Date ]],N22385,RawData[Month List],$Q$6,RawData[Tour/Site],$Q$2,RawData[[Picker ID ]],$Q$3,RawData[Checker ID],$Q$4,RawData[[Error Type ]],$Q$5))</f>
        <v/>
      </c>
    </row>
    <row r="22386" spans="15:15" x14ac:dyDescent="0.25">
      <c r="O22386" s="20" t="str">
        <f>IF(N22386="","",COUNTIFS(RawData[[Date ]],N22386,RawData[Month List],$Q$6,RawData[Tour/Site],$Q$2,RawData[[Picker ID ]],$Q$3,RawData[Checker ID],$Q$4,RawData[[Error Type ]],$Q$5))</f>
        <v/>
      </c>
    </row>
    <row r="22387" spans="15:15" x14ac:dyDescent="0.25">
      <c r="O22387" s="20" t="str">
        <f>IF(N22387="","",COUNTIFS(RawData[[Date ]],N22387,RawData[Month List],$Q$6,RawData[Tour/Site],$Q$2,RawData[[Picker ID ]],$Q$3,RawData[Checker ID],$Q$4,RawData[[Error Type ]],$Q$5))</f>
        <v/>
      </c>
    </row>
    <row r="22388" spans="15:15" x14ac:dyDescent="0.25">
      <c r="O22388" s="20" t="str">
        <f>IF(N22388="","",COUNTIFS(RawData[[Date ]],N22388,RawData[Month List],$Q$6,RawData[Tour/Site],$Q$2,RawData[[Picker ID ]],$Q$3,RawData[Checker ID],$Q$4,RawData[[Error Type ]],$Q$5))</f>
        <v/>
      </c>
    </row>
    <row r="22389" spans="15:15" x14ac:dyDescent="0.25">
      <c r="O22389" s="20" t="str">
        <f>IF(N22389="","",COUNTIFS(RawData[[Date ]],N22389,RawData[Month List],$Q$6,RawData[Tour/Site],$Q$2,RawData[[Picker ID ]],$Q$3,RawData[Checker ID],$Q$4,RawData[[Error Type ]],$Q$5))</f>
        <v/>
      </c>
    </row>
    <row r="22390" spans="15:15" x14ac:dyDescent="0.25">
      <c r="O22390" s="20" t="str">
        <f>IF(N22390="","",COUNTIFS(RawData[[Date ]],N22390,RawData[Month List],$Q$6,RawData[Tour/Site],$Q$2,RawData[[Picker ID ]],$Q$3,RawData[Checker ID],$Q$4,RawData[[Error Type ]],$Q$5))</f>
        <v/>
      </c>
    </row>
    <row r="22391" spans="15:15" x14ac:dyDescent="0.25">
      <c r="O22391" s="20" t="str">
        <f>IF(N22391="","",COUNTIFS(RawData[[Date ]],N22391,RawData[Month List],$Q$6,RawData[Tour/Site],$Q$2,RawData[[Picker ID ]],$Q$3,RawData[Checker ID],$Q$4,RawData[[Error Type ]],$Q$5))</f>
        <v/>
      </c>
    </row>
    <row r="22392" spans="15:15" x14ac:dyDescent="0.25">
      <c r="O22392" s="20" t="str">
        <f>IF(N22392="","",COUNTIFS(RawData[[Date ]],N22392,RawData[Month List],$Q$6,RawData[Tour/Site],$Q$2,RawData[[Picker ID ]],$Q$3,RawData[Checker ID],$Q$4,RawData[[Error Type ]],$Q$5))</f>
        <v/>
      </c>
    </row>
    <row r="22393" spans="15:15" x14ac:dyDescent="0.25">
      <c r="O22393" s="20" t="str">
        <f>IF(N22393="","",COUNTIFS(RawData[[Date ]],N22393,RawData[Month List],$Q$6,RawData[Tour/Site],$Q$2,RawData[[Picker ID ]],$Q$3,RawData[Checker ID],$Q$4,RawData[[Error Type ]],$Q$5))</f>
        <v/>
      </c>
    </row>
    <row r="22394" spans="15:15" x14ac:dyDescent="0.25">
      <c r="O22394" s="20" t="str">
        <f>IF(N22394="","",COUNTIFS(RawData[[Date ]],N22394,RawData[Month List],$Q$6,RawData[Tour/Site],$Q$2,RawData[[Picker ID ]],$Q$3,RawData[Checker ID],$Q$4,RawData[[Error Type ]],$Q$5))</f>
        <v/>
      </c>
    </row>
    <row r="22395" spans="15:15" x14ac:dyDescent="0.25">
      <c r="O22395" s="20" t="str">
        <f>IF(N22395="","",COUNTIFS(RawData[[Date ]],N22395,RawData[Month List],$Q$6,RawData[Tour/Site],$Q$2,RawData[[Picker ID ]],$Q$3,RawData[Checker ID],$Q$4,RawData[[Error Type ]],$Q$5))</f>
        <v/>
      </c>
    </row>
    <row r="22396" spans="15:15" x14ac:dyDescent="0.25">
      <c r="O22396" s="20" t="str">
        <f>IF(N22396="","",COUNTIFS(RawData[[Date ]],N22396,RawData[Month List],$Q$6,RawData[Tour/Site],$Q$2,RawData[[Picker ID ]],$Q$3,RawData[Checker ID],$Q$4,RawData[[Error Type ]],$Q$5))</f>
        <v/>
      </c>
    </row>
    <row r="22397" spans="15:15" x14ac:dyDescent="0.25">
      <c r="O22397" s="20" t="str">
        <f>IF(N22397="","",COUNTIFS(RawData[[Date ]],N22397,RawData[Month List],$Q$6,RawData[Tour/Site],$Q$2,RawData[[Picker ID ]],$Q$3,RawData[Checker ID],$Q$4,RawData[[Error Type ]],$Q$5))</f>
        <v/>
      </c>
    </row>
    <row r="22398" spans="15:15" x14ac:dyDescent="0.25">
      <c r="O22398" s="20" t="str">
        <f>IF(N22398="","",COUNTIFS(RawData[[Date ]],N22398,RawData[Month List],$Q$6,RawData[Tour/Site],$Q$2,RawData[[Picker ID ]],$Q$3,RawData[Checker ID],$Q$4,RawData[[Error Type ]],$Q$5))</f>
        <v/>
      </c>
    </row>
    <row r="22399" spans="15:15" x14ac:dyDescent="0.25">
      <c r="O22399" s="20" t="str">
        <f>IF(N22399="","",COUNTIFS(RawData[[Date ]],N22399,RawData[Month List],$Q$6,RawData[Tour/Site],$Q$2,RawData[[Picker ID ]],$Q$3,RawData[Checker ID],$Q$4,RawData[[Error Type ]],$Q$5))</f>
        <v/>
      </c>
    </row>
    <row r="22400" spans="15:15" x14ac:dyDescent="0.25">
      <c r="O22400" s="20" t="str">
        <f>IF(N22400="","",COUNTIFS(RawData[[Date ]],N22400,RawData[Month List],$Q$6,RawData[Tour/Site],$Q$2,RawData[[Picker ID ]],$Q$3,RawData[Checker ID],$Q$4,RawData[[Error Type ]],$Q$5))</f>
        <v/>
      </c>
    </row>
    <row r="22401" spans="15:15" x14ac:dyDescent="0.25">
      <c r="O22401" s="20" t="str">
        <f>IF(N22401="","",COUNTIFS(RawData[[Date ]],N22401,RawData[Month List],$Q$6,RawData[Tour/Site],$Q$2,RawData[[Picker ID ]],$Q$3,RawData[Checker ID],$Q$4,RawData[[Error Type ]],$Q$5))</f>
        <v/>
      </c>
    </row>
    <row r="22402" spans="15:15" x14ac:dyDescent="0.25">
      <c r="O22402" s="20" t="str">
        <f>IF(N22402="","",COUNTIFS(RawData[[Date ]],N22402,RawData[Month List],$Q$6,RawData[Tour/Site],$Q$2,RawData[[Picker ID ]],$Q$3,RawData[Checker ID],$Q$4,RawData[[Error Type ]],$Q$5))</f>
        <v/>
      </c>
    </row>
    <row r="22403" spans="15:15" x14ac:dyDescent="0.25">
      <c r="O22403" s="20" t="str">
        <f>IF(N22403="","",COUNTIFS(RawData[[Date ]],N22403,RawData[Month List],$Q$6,RawData[Tour/Site],$Q$2,RawData[[Picker ID ]],$Q$3,RawData[Checker ID],$Q$4,RawData[[Error Type ]],$Q$5))</f>
        <v/>
      </c>
    </row>
    <row r="22404" spans="15:15" x14ac:dyDescent="0.25">
      <c r="O22404" s="20" t="str">
        <f>IF(N22404="","",COUNTIFS(RawData[[Date ]],N22404,RawData[Month List],$Q$6,RawData[Tour/Site],$Q$2,RawData[[Picker ID ]],$Q$3,RawData[Checker ID],$Q$4,RawData[[Error Type ]],$Q$5))</f>
        <v/>
      </c>
    </row>
    <row r="22405" spans="15:15" x14ac:dyDescent="0.25">
      <c r="O22405" s="20" t="str">
        <f>IF(N22405="","",COUNTIFS(RawData[[Date ]],N22405,RawData[Month List],$Q$6,RawData[Tour/Site],$Q$2,RawData[[Picker ID ]],$Q$3,RawData[Checker ID],$Q$4,RawData[[Error Type ]],$Q$5))</f>
        <v/>
      </c>
    </row>
    <row r="22406" spans="15:15" x14ac:dyDescent="0.25">
      <c r="O22406" s="20" t="str">
        <f>IF(N22406="","",COUNTIFS(RawData[[Date ]],N22406,RawData[Month List],$Q$6,RawData[Tour/Site],$Q$2,RawData[[Picker ID ]],$Q$3,RawData[Checker ID],$Q$4,RawData[[Error Type ]],$Q$5))</f>
        <v/>
      </c>
    </row>
    <row r="22407" spans="15:15" x14ac:dyDescent="0.25">
      <c r="O22407" s="20" t="str">
        <f>IF(N22407="","",COUNTIFS(RawData[[Date ]],N22407,RawData[Month List],$Q$6,RawData[Tour/Site],$Q$2,RawData[[Picker ID ]],$Q$3,RawData[Checker ID],$Q$4,RawData[[Error Type ]],$Q$5))</f>
        <v/>
      </c>
    </row>
    <row r="22408" spans="15:15" x14ac:dyDescent="0.25">
      <c r="O22408" s="20" t="str">
        <f>IF(N22408="","",COUNTIFS(RawData[[Date ]],N22408,RawData[Month List],$Q$6,RawData[Tour/Site],$Q$2,RawData[[Picker ID ]],$Q$3,RawData[Checker ID],$Q$4,RawData[[Error Type ]],$Q$5))</f>
        <v/>
      </c>
    </row>
    <row r="22409" spans="15:15" x14ac:dyDescent="0.25">
      <c r="O22409" s="20" t="str">
        <f>IF(N22409="","",COUNTIFS(RawData[[Date ]],N22409,RawData[Month List],$Q$6,RawData[Tour/Site],$Q$2,RawData[[Picker ID ]],$Q$3,RawData[Checker ID],$Q$4,RawData[[Error Type ]],$Q$5))</f>
        <v/>
      </c>
    </row>
    <row r="22410" spans="15:15" x14ac:dyDescent="0.25">
      <c r="O22410" s="20" t="str">
        <f>IF(N22410="","",COUNTIFS(RawData[[Date ]],N22410,RawData[Month List],$Q$6,RawData[Tour/Site],$Q$2,RawData[[Picker ID ]],$Q$3,RawData[Checker ID],$Q$4,RawData[[Error Type ]],$Q$5))</f>
        <v/>
      </c>
    </row>
    <row r="22411" spans="15:15" x14ac:dyDescent="0.25">
      <c r="O22411" s="20" t="str">
        <f>IF(N22411="","",COUNTIFS(RawData[[Date ]],N22411,RawData[Month List],$Q$6,RawData[Tour/Site],$Q$2,RawData[[Picker ID ]],$Q$3,RawData[Checker ID],$Q$4,RawData[[Error Type ]],$Q$5))</f>
        <v/>
      </c>
    </row>
    <row r="22412" spans="15:15" x14ac:dyDescent="0.25">
      <c r="O22412" s="20" t="str">
        <f>IF(N22412="","",COUNTIFS(RawData[[Date ]],N22412,RawData[Month List],$Q$6,RawData[Tour/Site],$Q$2,RawData[[Picker ID ]],$Q$3,RawData[Checker ID],$Q$4,RawData[[Error Type ]],$Q$5))</f>
        <v/>
      </c>
    </row>
    <row r="22413" spans="15:15" x14ac:dyDescent="0.25">
      <c r="O22413" s="20" t="str">
        <f>IF(N22413="","",COUNTIFS(RawData[[Date ]],N22413,RawData[Month List],$Q$6,RawData[Tour/Site],$Q$2,RawData[[Picker ID ]],$Q$3,RawData[Checker ID],$Q$4,RawData[[Error Type ]],$Q$5))</f>
        <v/>
      </c>
    </row>
    <row r="22414" spans="15:15" x14ac:dyDescent="0.25">
      <c r="O22414" s="20" t="str">
        <f>IF(N22414="","",COUNTIFS(RawData[[Date ]],N22414,RawData[Month List],$Q$6,RawData[Tour/Site],$Q$2,RawData[[Picker ID ]],$Q$3,RawData[Checker ID],$Q$4,RawData[[Error Type ]],$Q$5))</f>
        <v/>
      </c>
    </row>
    <row r="22415" spans="15:15" x14ac:dyDescent="0.25">
      <c r="O22415" s="20" t="str">
        <f>IF(N22415="","",COUNTIFS(RawData[[Date ]],N22415,RawData[Month List],$Q$6,RawData[Tour/Site],$Q$2,RawData[[Picker ID ]],$Q$3,RawData[Checker ID],$Q$4,RawData[[Error Type ]],$Q$5))</f>
        <v/>
      </c>
    </row>
    <row r="22416" spans="15:15" x14ac:dyDescent="0.25">
      <c r="O22416" s="20" t="str">
        <f>IF(N22416="","",COUNTIFS(RawData[[Date ]],N22416,RawData[Month List],$Q$6,RawData[Tour/Site],$Q$2,RawData[[Picker ID ]],$Q$3,RawData[Checker ID],$Q$4,RawData[[Error Type ]],$Q$5))</f>
        <v/>
      </c>
    </row>
    <row r="22417" spans="15:15" x14ac:dyDescent="0.25">
      <c r="O22417" s="20" t="str">
        <f>IF(N22417="","",COUNTIFS(RawData[[Date ]],N22417,RawData[Month List],$Q$6,RawData[Tour/Site],$Q$2,RawData[[Picker ID ]],$Q$3,RawData[Checker ID],$Q$4,RawData[[Error Type ]],$Q$5))</f>
        <v/>
      </c>
    </row>
    <row r="22418" spans="15:15" x14ac:dyDescent="0.25">
      <c r="O22418" s="20" t="str">
        <f>IF(N22418="","",COUNTIFS(RawData[[Date ]],N22418,RawData[Month List],$Q$6,RawData[Tour/Site],$Q$2,RawData[[Picker ID ]],$Q$3,RawData[Checker ID],$Q$4,RawData[[Error Type ]],$Q$5))</f>
        <v/>
      </c>
    </row>
    <row r="22419" spans="15:15" x14ac:dyDescent="0.25">
      <c r="O22419" s="20" t="str">
        <f>IF(N22419="","",COUNTIFS(RawData[[Date ]],N22419,RawData[Month List],$Q$6,RawData[Tour/Site],$Q$2,RawData[[Picker ID ]],$Q$3,RawData[Checker ID],$Q$4,RawData[[Error Type ]],$Q$5))</f>
        <v/>
      </c>
    </row>
    <row r="22420" spans="15:15" x14ac:dyDescent="0.25">
      <c r="O22420" s="20" t="str">
        <f>IF(N22420="","",COUNTIFS(RawData[[Date ]],N22420,RawData[Month List],$Q$6,RawData[Tour/Site],$Q$2,RawData[[Picker ID ]],$Q$3,RawData[Checker ID],$Q$4,RawData[[Error Type ]],$Q$5))</f>
        <v/>
      </c>
    </row>
    <row r="22421" spans="15:15" x14ac:dyDescent="0.25">
      <c r="O22421" s="20" t="str">
        <f>IF(N22421="","",COUNTIFS(RawData[[Date ]],N22421,RawData[Month List],$Q$6,RawData[Tour/Site],$Q$2,RawData[[Picker ID ]],$Q$3,RawData[Checker ID],$Q$4,RawData[[Error Type ]],$Q$5))</f>
        <v/>
      </c>
    </row>
    <row r="22422" spans="15:15" x14ac:dyDescent="0.25">
      <c r="O22422" s="20" t="str">
        <f>IF(N22422="","",COUNTIFS(RawData[[Date ]],N22422,RawData[Month List],$Q$6,RawData[Tour/Site],$Q$2,RawData[[Picker ID ]],$Q$3,RawData[Checker ID],$Q$4,RawData[[Error Type ]],$Q$5))</f>
        <v/>
      </c>
    </row>
    <row r="22423" spans="15:15" x14ac:dyDescent="0.25">
      <c r="O22423" s="20" t="str">
        <f>IF(N22423="","",COUNTIFS(RawData[[Date ]],N22423,RawData[Month List],$Q$6,RawData[Tour/Site],$Q$2,RawData[[Picker ID ]],$Q$3,RawData[Checker ID],$Q$4,RawData[[Error Type ]],$Q$5))</f>
        <v/>
      </c>
    </row>
    <row r="22424" spans="15:15" x14ac:dyDescent="0.25">
      <c r="O22424" s="20" t="str">
        <f>IF(N22424="","",COUNTIFS(RawData[[Date ]],N22424,RawData[Month List],$Q$6,RawData[Tour/Site],$Q$2,RawData[[Picker ID ]],$Q$3,RawData[Checker ID],$Q$4,RawData[[Error Type ]],$Q$5))</f>
        <v/>
      </c>
    </row>
    <row r="22425" spans="15:15" x14ac:dyDescent="0.25">
      <c r="O22425" s="20" t="str">
        <f>IF(N22425="","",COUNTIFS(RawData[[Date ]],N22425,RawData[Month List],$Q$6,RawData[Tour/Site],$Q$2,RawData[[Picker ID ]],$Q$3,RawData[Checker ID],$Q$4,RawData[[Error Type ]],$Q$5))</f>
        <v/>
      </c>
    </row>
    <row r="22426" spans="15:15" x14ac:dyDescent="0.25">
      <c r="O22426" s="20" t="str">
        <f>IF(N22426="","",COUNTIFS(RawData[[Date ]],N22426,RawData[Month List],$Q$6,RawData[Tour/Site],$Q$2,RawData[[Picker ID ]],$Q$3,RawData[Checker ID],$Q$4,RawData[[Error Type ]],$Q$5))</f>
        <v/>
      </c>
    </row>
    <row r="22427" spans="15:15" x14ac:dyDescent="0.25">
      <c r="O22427" s="20" t="str">
        <f>IF(N22427="","",COUNTIFS(RawData[[Date ]],N22427,RawData[Month List],$Q$6,RawData[Tour/Site],$Q$2,RawData[[Picker ID ]],$Q$3,RawData[Checker ID],$Q$4,RawData[[Error Type ]],$Q$5))</f>
        <v/>
      </c>
    </row>
    <row r="22428" spans="15:15" x14ac:dyDescent="0.25">
      <c r="O22428" s="20" t="str">
        <f>IF(N22428="","",COUNTIFS(RawData[[Date ]],N22428,RawData[Month List],$Q$6,RawData[Tour/Site],$Q$2,RawData[[Picker ID ]],$Q$3,RawData[Checker ID],$Q$4,RawData[[Error Type ]],$Q$5))</f>
        <v/>
      </c>
    </row>
    <row r="22429" spans="15:15" x14ac:dyDescent="0.25">
      <c r="O22429" s="20" t="str">
        <f>IF(N22429="","",COUNTIFS(RawData[[Date ]],N22429,RawData[Month List],$Q$6,RawData[Tour/Site],$Q$2,RawData[[Picker ID ]],$Q$3,RawData[Checker ID],$Q$4,RawData[[Error Type ]],$Q$5))</f>
        <v/>
      </c>
    </row>
    <row r="22430" spans="15:15" x14ac:dyDescent="0.25">
      <c r="O22430" s="20" t="str">
        <f>IF(N22430="","",COUNTIFS(RawData[[Date ]],N22430,RawData[Month List],$Q$6,RawData[Tour/Site],$Q$2,RawData[[Picker ID ]],$Q$3,RawData[Checker ID],$Q$4,RawData[[Error Type ]],$Q$5))</f>
        <v/>
      </c>
    </row>
    <row r="22431" spans="15:15" x14ac:dyDescent="0.25">
      <c r="O22431" s="20" t="str">
        <f>IF(N22431="","",COUNTIFS(RawData[[Date ]],N22431,RawData[Month List],$Q$6,RawData[Tour/Site],$Q$2,RawData[[Picker ID ]],$Q$3,RawData[Checker ID],$Q$4,RawData[[Error Type ]],$Q$5))</f>
        <v/>
      </c>
    </row>
    <row r="22432" spans="15:15" x14ac:dyDescent="0.25">
      <c r="O22432" s="20" t="str">
        <f>IF(N22432="","",COUNTIFS(RawData[[Date ]],N22432,RawData[Month List],$Q$6,RawData[Tour/Site],$Q$2,RawData[[Picker ID ]],$Q$3,RawData[Checker ID],$Q$4,RawData[[Error Type ]],$Q$5))</f>
        <v/>
      </c>
    </row>
    <row r="22433" spans="15:15" x14ac:dyDescent="0.25">
      <c r="O22433" s="20" t="str">
        <f>IF(N22433="","",COUNTIFS(RawData[[Date ]],N22433,RawData[Month List],$Q$6,RawData[Tour/Site],$Q$2,RawData[[Picker ID ]],$Q$3,RawData[Checker ID],$Q$4,RawData[[Error Type ]],$Q$5))</f>
        <v/>
      </c>
    </row>
    <row r="22434" spans="15:15" x14ac:dyDescent="0.25">
      <c r="O22434" s="20" t="str">
        <f>IF(N22434="","",COUNTIFS(RawData[[Date ]],N22434,RawData[Month List],$Q$6,RawData[Tour/Site],$Q$2,RawData[[Picker ID ]],$Q$3,RawData[Checker ID],$Q$4,RawData[[Error Type ]],$Q$5))</f>
        <v/>
      </c>
    </row>
    <row r="22435" spans="15:15" x14ac:dyDescent="0.25">
      <c r="O22435" s="20" t="str">
        <f>IF(N22435="","",COUNTIFS(RawData[[Date ]],N22435,RawData[Month List],$Q$6,RawData[Tour/Site],$Q$2,RawData[[Picker ID ]],$Q$3,RawData[Checker ID],$Q$4,RawData[[Error Type ]],$Q$5))</f>
        <v/>
      </c>
    </row>
    <row r="22436" spans="15:15" x14ac:dyDescent="0.25">
      <c r="O22436" s="20" t="str">
        <f>IF(N22436="","",COUNTIFS(RawData[[Date ]],N22436,RawData[Month List],$Q$6,RawData[Tour/Site],$Q$2,RawData[[Picker ID ]],$Q$3,RawData[Checker ID],$Q$4,RawData[[Error Type ]],$Q$5))</f>
        <v/>
      </c>
    </row>
    <row r="22437" spans="15:15" x14ac:dyDescent="0.25">
      <c r="O22437" s="20" t="str">
        <f>IF(N22437="","",COUNTIFS(RawData[[Date ]],N22437,RawData[Month List],$Q$6,RawData[Tour/Site],$Q$2,RawData[[Picker ID ]],$Q$3,RawData[Checker ID],$Q$4,RawData[[Error Type ]],$Q$5))</f>
        <v/>
      </c>
    </row>
    <row r="22438" spans="15:15" x14ac:dyDescent="0.25">
      <c r="O22438" s="20" t="str">
        <f>IF(N22438="","",COUNTIFS(RawData[[Date ]],N22438,RawData[Month List],$Q$6,RawData[Tour/Site],$Q$2,RawData[[Picker ID ]],$Q$3,RawData[Checker ID],$Q$4,RawData[[Error Type ]],$Q$5))</f>
        <v/>
      </c>
    </row>
    <row r="22439" spans="15:15" x14ac:dyDescent="0.25">
      <c r="O22439" s="20" t="str">
        <f>IF(N22439="","",COUNTIFS(RawData[[Date ]],N22439,RawData[Month List],$Q$6,RawData[Tour/Site],$Q$2,RawData[[Picker ID ]],$Q$3,RawData[Checker ID],$Q$4,RawData[[Error Type ]],$Q$5))</f>
        <v/>
      </c>
    </row>
    <row r="22440" spans="15:15" x14ac:dyDescent="0.25">
      <c r="O22440" s="20" t="str">
        <f>IF(N22440="","",COUNTIFS(RawData[[Date ]],N22440,RawData[Month List],$Q$6,RawData[Tour/Site],$Q$2,RawData[[Picker ID ]],$Q$3,RawData[Checker ID],$Q$4,RawData[[Error Type ]],$Q$5))</f>
        <v/>
      </c>
    </row>
    <row r="22441" spans="15:15" x14ac:dyDescent="0.25">
      <c r="O22441" s="20" t="str">
        <f>IF(N22441="","",COUNTIFS(RawData[[Date ]],N22441,RawData[Month List],$Q$6,RawData[Tour/Site],$Q$2,RawData[[Picker ID ]],$Q$3,RawData[Checker ID],$Q$4,RawData[[Error Type ]],$Q$5))</f>
        <v/>
      </c>
    </row>
    <row r="22442" spans="15:15" x14ac:dyDescent="0.25">
      <c r="O22442" s="20" t="str">
        <f>IF(N22442="","",COUNTIFS(RawData[[Date ]],N22442,RawData[Month List],$Q$6,RawData[Tour/Site],$Q$2,RawData[[Picker ID ]],$Q$3,RawData[Checker ID],$Q$4,RawData[[Error Type ]],$Q$5))</f>
        <v/>
      </c>
    </row>
    <row r="22443" spans="15:15" x14ac:dyDescent="0.25">
      <c r="O22443" s="20" t="str">
        <f>IF(N22443="","",COUNTIFS(RawData[[Date ]],N22443,RawData[Month List],$Q$6,RawData[Tour/Site],$Q$2,RawData[[Picker ID ]],$Q$3,RawData[Checker ID],$Q$4,RawData[[Error Type ]],$Q$5))</f>
        <v/>
      </c>
    </row>
    <row r="22444" spans="15:15" x14ac:dyDescent="0.25">
      <c r="O22444" s="20" t="str">
        <f>IF(N22444="","",COUNTIFS(RawData[[Date ]],N22444,RawData[Month List],$Q$6,RawData[Tour/Site],$Q$2,RawData[[Picker ID ]],$Q$3,RawData[Checker ID],$Q$4,RawData[[Error Type ]],$Q$5))</f>
        <v/>
      </c>
    </row>
    <row r="22445" spans="15:15" x14ac:dyDescent="0.25">
      <c r="O22445" s="20" t="str">
        <f>IF(N22445="","",COUNTIFS(RawData[[Date ]],N22445,RawData[Month List],$Q$6,RawData[Tour/Site],$Q$2,RawData[[Picker ID ]],$Q$3,RawData[Checker ID],$Q$4,RawData[[Error Type ]],$Q$5))</f>
        <v/>
      </c>
    </row>
    <row r="22446" spans="15:15" x14ac:dyDescent="0.25">
      <c r="O22446" s="20" t="str">
        <f>IF(N22446="","",COUNTIFS(RawData[[Date ]],N22446,RawData[Month List],$Q$6,RawData[Tour/Site],$Q$2,RawData[[Picker ID ]],$Q$3,RawData[Checker ID],$Q$4,RawData[[Error Type ]],$Q$5))</f>
        <v/>
      </c>
    </row>
    <row r="22447" spans="15:15" x14ac:dyDescent="0.25">
      <c r="O22447" s="20" t="str">
        <f>IF(N22447="","",COUNTIFS(RawData[[Date ]],N22447,RawData[Month List],$Q$6,RawData[Tour/Site],$Q$2,RawData[[Picker ID ]],$Q$3,RawData[Checker ID],$Q$4,RawData[[Error Type ]],$Q$5))</f>
        <v/>
      </c>
    </row>
    <row r="22448" spans="15:15" x14ac:dyDescent="0.25">
      <c r="O22448" s="20" t="str">
        <f>IF(N22448="","",COUNTIFS(RawData[[Date ]],N22448,RawData[Month List],$Q$6,RawData[Tour/Site],$Q$2,RawData[[Picker ID ]],$Q$3,RawData[Checker ID],$Q$4,RawData[[Error Type ]],$Q$5))</f>
        <v/>
      </c>
    </row>
    <row r="22449" spans="15:15" x14ac:dyDescent="0.25">
      <c r="O22449" s="20" t="str">
        <f>IF(N22449="","",COUNTIFS(RawData[[Date ]],N22449,RawData[Month List],$Q$6,RawData[Tour/Site],$Q$2,RawData[[Picker ID ]],$Q$3,RawData[Checker ID],$Q$4,RawData[[Error Type ]],$Q$5))</f>
        <v/>
      </c>
    </row>
    <row r="22450" spans="15:15" x14ac:dyDescent="0.25">
      <c r="O22450" s="20" t="str">
        <f>IF(N22450="","",COUNTIFS(RawData[[Date ]],N22450,RawData[Month List],$Q$6,RawData[Tour/Site],$Q$2,RawData[[Picker ID ]],$Q$3,RawData[Checker ID],$Q$4,RawData[[Error Type ]],$Q$5))</f>
        <v/>
      </c>
    </row>
    <row r="22451" spans="15:15" x14ac:dyDescent="0.25">
      <c r="O22451" s="20" t="str">
        <f>IF(N22451="","",COUNTIFS(RawData[[Date ]],N22451,RawData[Month List],$Q$6,RawData[Tour/Site],$Q$2,RawData[[Picker ID ]],$Q$3,RawData[Checker ID],$Q$4,RawData[[Error Type ]],$Q$5))</f>
        <v/>
      </c>
    </row>
    <row r="22452" spans="15:15" x14ac:dyDescent="0.25">
      <c r="O22452" s="20" t="str">
        <f>IF(N22452="","",COUNTIFS(RawData[[Date ]],N22452,RawData[Month List],$Q$6,RawData[Tour/Site],$Q$2,RawData[[Picker ID ]],$Q$3,RawData[Checker ID],$Q$4,RawData[[Error Type ]],$Q$5))</f>
        <v/>
      </c>
    </row>
    <row r="22453" spans="15:15" x14ac:dyDescent="0.25">
      <c r="O22453" s="20" t="str">
        <f>IF(N22453="","",COUNTIFS(RawData[[Date ]],N22453,RawData[Month List],$Q$6,RawData[Tour/Site],$Q$2,RawData[[Picker ID ]],$Q$3,RawData[Checker ID],$Q$4,RawData[[Error Type ]],$Q$5))</f>
        <v/>
      </c>
    </row>
    <row r="22454" spans="15:15" x14ac:dyDescent="0.25">
      <c r="O22454" s="20" t="str">
        <f>IF(N22454="","",COUNTIFS(RawData[[Date ]],N22454,RawData[Month List],$Q$6,RawData[Tour/Site],$Q$2,RawData[[Picker ID ]],$Q$3,RawData[Checker ID],$Q$4,RawData[[Error Type ]],$Q$5))</f>
        <v/>
      </c>
    </row>
    <row r="22455" spans="15:15" x14ac:dyDescent="0.25">
      <c r="O22455" s="20" t="str">
        <f>IF(N22455="","",COUNTIFS(RawData[[Date ]],N22455,RawData[Month List],$Q$6,RawData[Tour/Site],$Q$2,RawData[[Picker ID ]],$Q$3,RawData[Checker ID],$Q$4,RawData[[Error Type ]],$Q$5))</f>
        <v/>
      </c>
    </row>
    <row r="22456" spans="15:15" x14ac:dyDescent="0.25">
      <c r="O22456" s="20" t="str">
        <f>IF(N22456="","",COUNTIFS(RawData[[Date ]],N22456,RawData[Month List],$Q$6,RawData[Tour/Site],$Q$2,RawData[[Picker ID ]],$Q$3,RawData[Checker ID],$Q$4,RawData[[Error Type ]],$Q$5))</f>
        <v/>
      </c>
    </row>
    <row r="22457" spans="15:15" x14ac:dyDescent="0.25">
      <c r="O22457" s="20" t="str">
        <f>IF(N22457="","",COUNTIFS(RawData[[Date ]],N22457,RawData[Month List],$Q$6,RawData[Tour/Site],$Q$2,RawData[[Picker ID ]],$Q$3,RawData[Checker ID],$Q$4,RawData[[Error Type ]],$Q$5))</f>
        <v/>
      </c>
    </row>
    <row r="22458" spans="15:15" x14ac:dyDescent="0.25">
      <c r="O22458" s="20" t="str">
        <f>IF(N22458="","",COUNTIFS(RawData[[Date ]],N22458,RawData[Month List],$Q$6,RawData[Tour/Site],$Q$2,RawData[[Picker ID ]],$Q$3,RawData[Checker ID],$Q$4,RawData[[Error Type ]],$Q$5))</f>
        <v/>
      </c>
    </row>
    <row r="22459" spans="15:15" x14ac:dyDescent="0.25">
      <c r="O22459" s="20" t="str">
        <f>IF(N22459="","",COUNTIFS(RawData[[Date ]],N22459,RawData[Month List],$Q$6,RawData[Tour/Site],$Q$2,RawData[[Picker ID ]],$Q$3,RawData[Checker ID],$Q$4,RawData[[Error Type ]],$Q$5))</f>
        <v/>
      </c>
    </row>
    <row r="22460" spans="15:15" x14ac:dyDescent="0.25">
      <c r="O22460" s="20" t="str">
        <f>IF(N22460="","",COUNTIFS(RawData[[Date ]],N22460,RawData[Month List],$Q$6,RawData[Tour/Site],$Q$2,RawData[[Picker ID ]],$Q$3,RawData[Checker ID],$Q$4,RawData[[Error Type ]],$Q$5))</f>
        <v/>
      </c>
    </row>
    <row r="22461" spans="15:15" x14ac:dyDescent="0.25">
      <c r="O22461" s="20" t="str">
        <f>IF(N22461="","",COUNTIFS(RawData[[Date ]],N22461,RawData[Month List],$Q$6,RawData[Tour/Site],$Q$2,RawData[[Picker ID ]],$Q$3,RawData[Checker ID],$Q$4,RawData[[Error Type ]],$Q$5))</f>
        <v/>
      </c>
    </row>
    <row r="22462" spans="15:15" x14ac:dyDescent="0.25">
      <c r="O22462" s="20" t="str">
        <f>IF(N22462="","",COUNTIFS(RawData[[Date ]],N22462,RawData[Month List],$Q$6,RawData[Tour/Site],$Q$2,RawData[[Picker ID ]],$Q$3,RawData[Checker ID],$Q$4,RawData[[Error Type ]],$Q$5))</f>
        <v/>
      </c>
    </row>
    <row r="22463" spans="15:15" x14ac:dyDescent="0.25">
      <c r="O22463" s="20" t="str">
        <f>IF(N22463="","",COUNTIFS(RawData[[Date ]],N22463,RawData[Month List],$Q$6,RawData[Tour/Site],$Q$2,RawData[[Picker ID ]],$Q$3,RawData[Checker ID],$Q$4,RawData[[Error Type ]],$Q$5))</f>
        <v/>
      </c>
    </row>
    <row r="22464" spans="15:15" x14ac:dyDescent="0.25">
      <c r="O22464" s="20" t="str">
        <f>IF(N22464="","",COUNTIFS(RawData[[Date ]],N22464,RawData[Month List],$Q$6,RawData[Tour/Site],$Q$2,RawData[[Picker ID ]],$Q$3,RawData[Checker ID],$Q$4,RawData[[Error Type ]],$Q$5))</f>
        <v/>
      </c>
    </row>
    <row r="22465" spans="15:15" x14ac:dyDescent="0.25">
      <c r="O22465" s="20" t="str">
        <f>IF(N22465="","",COUNTIFS(RawData[[Date ]],N22465,RawData[Month List],$Q$6,RawData[Tour/Site],$Q$2,RawData[[Picker ID ]],$Q$3,RawData[Checker ID],$Q$4,RawData[[Error Type ]],$Q$5))</f>
        <v/>
      </c>
    </row>
    <row r="22466" spans="15:15" x14ac:dyDescent="0.25">
      <c r="O22466" s="20" t="str">
        <f>IF(N22466="","",COUNTIFS(RawData[[Date ]],N22466,RawData[Month List],$Q$6,RawData[Tour/Site],$Q$2,RawData[[Picker ID ]],$Q$3,RawData[Checker ID],$Q$4,RawData[[Error Type ]],$Q$5))</f>
        <v/>
      </c>
    </row>
    <row r="22467" spans="15:15" x14ac:dyDescent="0.25">
      <c r="O22467" s="20" t="str">
        <f>IF(N22467="","",COUNTIFS(RawData[[Date ]],N22467,RawData[Month List],$Q$6,RawData[Tour/Site],$Q$2,RawData[[Picker ID ]],$Q$3,RawData[Checker ID],$Q$4,RawData[[Error Type ]],$Q$5))</f>
        <v/>
      </c>
    </row>
    <row r="22468" spans="15:15" x14ac:dyDescent="0.25">
      <c r="O22468" s="20" t="str">
        <f>IF(N22468="","",COUNTIFS(RawData[[Date ]],N22468,RawData[Month List],$Q$6,RawData[Tour/Site],$Q$2,RawData[[Picker ID ]],$Q$3,RawData[Checker ID],$Q$4,RawData[[Error Type ]],$Q$5))</f>
        <v/>
      </c>
    </row>
    <row r="22469" spans="15:15" x14ac:dyDescent="0.25">
      <c r="O22469" s="20" t="str">
        <f>IF(N22469="","",COUNTIFS(RawData[[Date ]],N22469,RawData[Month List],$Q$6,RawData[Tour/Site],$Q$2,RawData[[Picker ID ]],$Q$3,RawData[Checker ID],$Q$4,RawData[[Error Type ]],$Q$5))</f>
        <v/>
      </c>
    </row>
    <row r="22470" spans="15:15" x14ac:dyDescent="0.25">
      <c r="O22470" s="20" t="str">
        <f>IF(N22470="","",COUNTIFS(RawData[[Date ]],N22470,RawData[Month List],$Q$6,RawData[Tour/Site],$Q$2,RawData[[Picker ID ]],$Q$3,RawData[Checker ID],$Q$4,RawData[[Error Type ]],$Q$5))</f>
        <v/>
      </c>
    </row>
    <row r="22471" spans="15:15" x14ac:dyDescent="0.25">
      <c r="O22471" s="20" t="str">
        <f>IF(N22471="","",COUNTIFS(RawData[[Date ]],N22471,RawData[Month List],$Q$6,RawData[Tour/Site],$Q$2,RawData[[Picker ID ]],$Q$3,RawData[Checker ID],$Q$4,RawData[[Error Type ]],$Q$5))</f>
        <v/>
      </c>
    </row>
    <row r="22472" spans="15:15" x14ac:dyDescent="0.25">
      <c r="O22472" s="20" t="str">
        <f>IF(N22472="","",COUNTIFS(RawData[[Date ]],N22472,RawData[Month List],$Q$6,RawData[Tour/Site],$Q$2,RawData[[Picker ID ]],$Q$3,RawData[Checker ID],$Q$4,RawData[[Error Type ]],$Q$5))</f>
        <v/>
      </c>
    </row>
    <row r="22473" spans="15:15" x14ac:dyDescent="0.25">
      <c r="O22473" s="20" t="str">
        <f>IF(N22473="","",COUNTIFS(RawData[[Date ]],N22473,RawData[Month List],$Q$6,RawData[Tour/Site],$Q$2,RawData[[Picker ID ]],$Q$3,RawData[Checker ID],$Q$4,RawData[[Error Type ]],$Q$5))</f>
        <v/>
      </c>
    </row>
    <row r="22474" spans="15:15" x14ac:dyDescent="0.25">
      <c r="O22474" s="20" t="str">
        <f>IF(N22474="","",COUNTIFS(RawData[[Date ]],N22474,RawData[Month List],$Q$6,RawData[Tour/Site],$Q$2,RawData[[Picker ID ]],$Q$3,RawData[Checker ID],$Q$4,RawData[[Error Type ]],$Q$5))</f>
        <v/>
      </c>
    </row>
    <row r="22475" spans="15:15" x14ac:dyDescent="0.25">
      <c r="O22475" s="20" t="str">
        <f>IF(N22475="","",COUNTIFS(RawData[[Date ]],N22475,RawData[Month List],$Q$6,RawData[Tour/Site],$Q$2,RawData[[Picker ID ]],$Q$3,RawData[Checker ID],$Q$4,RawData[[Error Type ]],$Q$5))</f>
        <v/>
      </c>
    </row>
    <row r="22476" spans="15:15" x14ac:dyDescent="0.25">
      <c r="O22476" s="20" t="str">
        <f>IF(N22476="","",COUNTIFS(RawData[[Date ]],N22476,RawData[Month List],$Q$6,RawData[Tour/Site],$Q$2,RawData[[Picker ID ]],$Q$3,RawData[Checker ID],$Q$4,RawData[[Error Type ]],$Q$5))</f>
        <v/>
      </c>
    </row>
    <row r="22477" spans="15:15" x14ac:dyDescent="0.25">
      <c r="O22477" s="20" t="str">
        <f>IF(N22477="","",COUNTIFS(RawData[[Date ]],N22477,RawData[Month List],$Q$6,RawData[Tour/Site],$Q$2,RawData[[Picker ID ]],$Q$3,RawData[Checker ID],$Q$4,RawData[[Error Type ]],$Q$5))</f>
        <v/>
      </c>
    </row>
    <row r="22478" spans="15:15" x14ac:dyDescent="0.25">
      <c r="O22478" s="20" t="str">
        <f>IF(N22478="","",COUNTIFS(RawData[[Date ]],N22478,RawData[Month List],$Q$6,RawData[Tour/Site],$Q$2,RawData[[Picker ID ]],$Q$3,RawData[Checker ID],$Q$4,RawData[[Error Type ]],$Q$5))</f>
        <v/>
      </c>
    </row>
    <row r="22479" spans="15:15" x14ac:dyDescent="0.25">
      <c r="O22479" s="20" t="str">
        <f>IF(N22479="","",COUNTIFS(RawData[[Date ]],N22479,RawData[Month List],$Q$6,RawData[Tour/Site],$Q$2,RawData[[Picker ID ]],$Q$3,RawData[Checker ID],$Q$4,RawData[[Error Type ]],$Q$5))</f>
        <v/>
      </c>
    </row>
    <row r="22480" spans="15:15" x14ac:dyDescent="0.25">
      <c r="O22480" s="20" t="str">
        <f>IF(N22480="","",COUNTIFS(RawData[[Date ]],N22480,RawData[Month List],$Q$6,RawData[Tour/Site],$Q$2,RawData[[Picker ID ]],$Q$3,RawData[Checker ID],$Q$4,RawData[[Error Type ]],$Q$5))</f>
        <v/>
      </c>
    </row>
    <row r="22481" spans="15:15" x14ac:dyDescent="0.25">
      <c r="O22481" s="20" t="str">
        <f>IF(N22481="","",COUNTIFS(RawData[[Date ]],N22481,RawData[Month List],$Q$6,RawData[Tour/Site],$Q$2,RawData[[Picker ID ]],$Q$3,RawData[Checker ID],$Q$4,RawData[[Error Type ]],$Q$5))</f>
        <v/>
      </c>
    </row>
    <row r="22482" spans="15:15" x14ac:dyDescent="0.25">
      <c r="O22482" s="20" t="str">
        <f>IF(N22482="","",COUNTIFS(RawData[[Date ]],N22482,RawData[Month List],$Q$6,RawData[Tour/Site],$Q$2,RawData[[Picker ID ]],$Q$3,RawData[Checker ID],$Q$4,RawData[[Error Type ]],$Q$5))</f>
        <v/>
      </c>
    </row>
    <row r="22483" spans="15:15" x14ac:dyDescent="0.25">
      <c r="O22483" s="20" t="str">
        <f>IF(N22483="","",COUNTIFS(RawData[[Date ]],N22483,RawData[Month List],$Q$6,RawData[Tour/Site],$Q$2,RawData[[Picker ID ]],$Q$3,RawData[Checker ID],$Q$4,RawData[[Error Type ]],$Q$5))</f>
        <v/>
      </c>
    </row>
    <row r="22484" spans="15:15" x14ac:dyDescent="0.25">
      <c r="O22484" s="20" t="str">
        <f>IF(N22484="","",COUNTIFS(RawData[[Date ]],N22484,RawData[Month List],$Q$6,RawData[Tour/Site],$Q$2,RawData[[Picker ID ]],$Q$3,RawData[Checker ID],$Q$4,RawData[[Error Type ]],$Q$5))</f>
        <v/>
      </c>
    </row>
    <row r="22485" spans="15:15" x14ac:dyDescent="0.25">
      <c r="O22485" s="20" t="str">
        <f>IF(N22485="","",COUNTIFS(RawData[[Date ]],N22485,RawData[Month List],$Q$6,RawData[Tour/Site],$Q$2,RawData[[Picker ID ]],$Q$3,RawData[Checker ID],$Q$4,RawData[[Error Type ]],$Q$5))</f>
        <v/>
      </c>
    </row>
    <row r="22486" spans="15:15" x14ac:dyDescent="0.25">
      <c r="O22486" s="20" t="str">
        <f>IF(N22486="","",COUNTIFS(RawData[[Date ]],N22486,RawData[Month List],$Q$6,RawData[Tour/Site],$Q$2,RawData[[Picker ID ]],$Q$3,RawData[Checker ID],$Q$4,RawData[[Error Type ]],$Q$5))</f>
        <v/>
      </c>
    </row>
    <row r="22487" spans="15:15" x14ac:dyDescent="0.25">
      <c r="O22487" s="20" t="str">
        <f>IF(N22487="","",COUNTIFS(RawData[[Date ]],N22487,RawData[Month List],$Q$6,RawData[Tour/Site],$Q$2,RawData[[Picker ID ]],$Q$3,RawData[Checker ID],$Q$4,RawData[[Error Type ]],$Q$5))</f>
        <v/>
      </c>
    </row>
    <row r="22488" spans="15:15" x14ac:dyDescent="0.25">
      <c r="O22488" s="20" t="str">
        <f>IF(N22488="","",COUNTIFS(RawData[[Date ]],N22488,RawData[Month List],$Q$6,RawData[Tour/Site],$Q$2,RawData[[Picker ID ]],$Q$3,RawData[Checker ID],$Q$4,RawData[[Error Type ]],$Q$5))</f>
        <v/>
      </c>
    </row>
    <row r="22489" spans="15:15" x14ac:dyDescent="0.25">
      <c r="O22489" s="20" t="str">
        <f>IF(N22489="","",COUNTIFS(RawData[[Date ]],N22489,RawData[Month List],$Q$6,RawData[Tour/Site],$Q$2,RawData[[Picker ID ]],$Q$3,RawData[Checker ID],$Q$4,RawData[[Error Type ]],$Q$5))</f>
        <v/>
      </c>
    </row>
    <row r="22490" spans="15:15" x14ac:dyDescent="0.25">
      <c r="O22490" s="20" t="str">
        <f>IF(N22490="","",COUNTIFS(RawData[[Date ]],N22490,RawData[Month List],$Q$6,RawData[Tour/Site],$Q$2,RawData[[Picker ID ]],$Q$3,RawData[Checker ID],$Q$4,RawData[[Error Type ]],$Q$5))</f>
        <v/>
      </c>
    </row>
    <row r="22491" spans="15:15" x14ac:dyDescent="0.25">
      <c r="O22491" s="20" t="str">
        <f>IF(N22491="","",COUNTIFS(RawData[[Date ]],N22491,RawData[Month List],$Q$6,RawData[Tour/Site],$Q$2,RawData[[Picker ID ]],$Q$3,RawData[Checker ID],$Q$4,RawData[[Error Type ]],$Q$5))</f>
        <v/>
      </c>
    </row>
    <row r="22492" spans="15:15" x14ac:dyDescent="0.25">
      <c r="O22492" s="20" t="str">
        <f>IF(N22492="","",COUNTIFS(RawData[[Date ]],N22492,RawData[Month List],$Q$6,RawData[Tour/Site],$Q$2,RawData[[Picker ID ]],$Q$3,RawData[Checker ID],$Q$4,RawData[[Error Type ]],$Q$5))</f>
        <v/>
      </c>
    </row>
    <row r="22493" spans="15:15" x14ac:dyDescent="0.25">
      <c r="O22493" s="20" t="str">
        <f>IF(N22493="","",COUNTIFS(RawData[[Date ]],N22493,RawData[Month List],$Q$6,RawData[Tour/Site],$Q$2,RawData[[Picker ID ]],$Q$3,RawData[Checker ID],$Q$4,RawData[[Error Type ]],$Q$5))</f>
        <v/>
      </c>
    </row>
    <row r="22494" spans="15:15" x14ac:dyDescent="0.25">
      <c r="O22494" s="20" t="str">
        <f>IF(N22494="","",COUNTIFS(RawData[[Date ]],N22494,RawData[Month List],$Q$6,RawData[Tour/Site],$Q$2,RawData[[Picker ID ]],$Q$3,RawData[Checker ID],$Q$4,RawData[[Error Type ]],$Q$5))</f>
        <v/>
      </c>
    </row>
    <row r="22495" spans="15:15" x14ac:dyDescent="0.25">
      <c r="O22495" s="20" t="str">
        <f>IF(N22495="","",COUNTIFS(RawData[[Date ]],N22495,RawData[Month List],$Q$6,RawData[Tour/Site],$Q$2,RawData[[Picker ID ]],$Q$3,RawData[Checker ID],$Q$4,RawData[[Error Type ]],$Q$5))</f>
        <v/>
      </c>
    </row>
    <row r="22496" spans="15:15" x14ac:dyDescent="0.25">
      <c r="O22496" s="20" t="str">
        <f>IF(N22496="","",COUNTIFS(RawData[[Date ]],N22496,RawData[Month List],$Q$6,RawData[Tour/Site],$Q$2,RawData[[Picker ID ]],$Q$3,RawData[Checker ID],$Q$4,RawData[[Error Type ]],$Q$5))</f>
        <v/>
      </c>
    </row>
    <row r="22497" spans="15:15" x14ac:dyDescent="0.25">
      <c r="O22497" s="20" t="str">
        <f>IF(N22497="","",COUNTIFS(RawData[[Date ]],N22497,RawData[Month List],$Q$6,RawData[Tour/Site],$Q$2,RawData[[Picker ID ]],$Q$3,RawData[Checker ID],$Q$4,RawData[[Error Type ]],$Q$5))</f>
        <v/>
      </c>
    </row>
    <row r="22498" spans="15:15" x14ac:dyDescent="0.25">
      <c r="O22498" s="20" t="str">
        <f>IF(N22498="","",COUNTIFS(RawData[[Date ]],N22498,RawData[Month List],$Q$6,RawData[Tour/Site],$Q$2,RawData[[Picker ID ]],$Q$3,RawData[Checker ID],$Q$4,RawData[[Error Type ]],$Q$5))</f>
        <v/>
      </c>
    </row>
    <row r="22499" spans="15:15" x14ac:dyDescent="0.25">
      <c r="O22499" s="20" t="str">
        <f>IF(N22499="","",COUNTIFS(RawData[[Date ]],N22499,RawData[Month List],$Q$6,RawData[Tour/Site],$Q$2,RawData[[Picker ID ]],$Q$3,RawData[Checker ID],$Q$4,RawData[[Error Type ]],$Q$5))</f>
        <v/>
      </c>
    </row>
    <row r="22500" spans="15:15" x14ac:dyDescent="0.25">
      <c r="O22500" s="20" t="str">
        <f>IF(N22500="","",COUNTIFS(RawData[[Date ]],N22500,RawData[Month List],$Q$6,RawData[Tour/Site],$Q$2,RawData[[Picker ID ]],$Q$3,RawData[Checker ID],$Q$4,RawData[[Error Type ]],$Q$5))</f>
        <v/>
      </c>
    </row>
    <row r="22501" spans="15:15" x14ac:dyDescent="0.25">
      <c r="O22501" s="20" t="str">
        <f>IF(N22501="","",COUNTIFS(RawData[[Date ]],N22501,RawData[Month List],$Q$6,RawData[Tour/Site],$Q$2,RawData[[Picker ID ]],$Q$3,RawData[Checker ID],$Q$4,RawData[[Error Type ]],$Q$5))</f>
        <v/>
      </c>
    </row>
    <row r="22502" spans="15:15" x14ac:dyDescent="0.25">
      <c r="O22502" s="20" t="str">
        <f>IF(N22502="","",COUNTIFS(RawData[[Date ]],N22502,RawData[Month List],$Q$6,RawData[Tour/Site],$Q$2,RawData[[Picker ID ]],$Q$3,RawData[Checker ID],$Q$4,RawData[[Error Type ]],$Q$5))</f>
        <v/>
      </c>
    </row>
    <row r="22503" spans="15:15" x14ac:dyDescent="0.25">
      <c r="O22503" s="20" t="str">
        <f>IF(N22503="","",COUNTIFS(RawData[[Date ]],N22503,RawData[Month List],$Q$6,RawData[Tour/Site],$Q$2,RawData[[Picker ID ]],$Q$3,RawData[Checker ID],$Q$4,RawData[[Error Type ]],$Q$5))</f>
        <v/>
      </c>
    </row>
    <row r="22504" spans="15:15" x14ac:dyDescent="0.25">
      <c r="O22504" s="20" t="str">
        <f>IF(N22504="","",COUNTIFS(RawData[[Date ]],N22504,RawData[Month List],$Q$6,RawData[Tour/Site],$Q$2,RawData[[Picker ID ]],$Q$3,RawData[Checker ID],$Q$4,RawData[[Error Type ]],$Q$5))</f>
        <v/>
      </c>
    </row>
    <row r="22505" spans="15:15" x14ac:dyDescent="0.25">
      <c r="O22505" s="20" t="str">
        <f>IF(N22505="","",COUNTIFS(RawData[[Date ]],N22505,RawData[Month List],$Q$6,RawData[Tour/Site],$Q$2,RawData[[Picker ID ]],$Q$3,RawData[Checker ID],$Q$4,RawData[[Error Type ]],$Q$5))</f>
        <v/>
      </c>
    </row>
    <row r="22506" spans="15:15" x14ac:dyDescent="0.25">
      <c r="O22506" s="20" t="str">
        <f>IF(N22506="","",COUNTIFS(RawData[[Date ]],N22506,RawData[Month List],$Q$6,RawData[Tour/Site],$Q$2,RawData[[Picker ID ]],$Q$3,RawData[Checker ID],$Q$4,RawData[[Error Type ]],$Q$5))</f>
        <v/>
      </c>
    </row>
    <row r="22507" spans="15:15" x14ac:dyDescent="0.25">
      <c r="O22507" s="20" t="str">
        <f>IF(N22507="","",COUNTIFS(RawData[[Date ]],N22507,RawData[Month List],$Q$6,RawData[Tour/Site],$Q$2,RawData[[Picker ID ]],$Q$3,RawData[Checker ID],$Q$4,RawData[[Error Type ]],$Q$5))</f>
        <v/>
      </c>
    </row>
    <row r="22508" spans="15:15" x14ac:dyDescent="0.25">
      <c r="O22508" s="20" t="str">
        <f>IF(N22508="","",COUNTIFS(RawData[[Date ]],N22508,RawData[Month List],$Q$6,RawData[Tour/Site],$Q$2,RawData[[Picker ID ]],$Q$3,RawData[Checker ID],$Q$4,RawData[[Error Type ]],$Q$5))</f>
        <v/>
      </c>
    </row>
    <row r="22509" spans="15:15" x14ac:dyDescent="0.25">
      <c r="O22509" s="20" t="str">
        <f>IF(N22509="","",COUNTIFS(RawData[[Date ]],N22509,RawData[Month List],$Q$6,RawData[Tour/Site],$Q$2,RawData[[Picker ID ]],$Q$3,RawData[Checker ID],$Q$4,RawData[[Error Type ]],$Q$5))</f>
        <v/>
      </c>
    </row>
    <row r="22510" spans="15:15" x14ac:dyDescent="0.25">
      <c r="O22510" s="20" t="str">
        <f>IF(N22510="","",COUNTIFS(RawData[[Date ]],N22510,RawData[Month List],$Q$6,RawData[Tour/Site],$Q$2,RawData[[Picker ID ]],$Q$3,RawData[Checker ID],$Q$4,RawData[[Error Type ]],$Q$5))</f>
        <v/>
      </c>
    </row>
    <row r="22511" spans="15:15" x14ac:dyDescent="0.25">
      <c r="O22511" s="20" t="str">
        <f>IF(N22511="","",COUNTIFS(RawData[[Date ]],N22511,RawData[Month List],$Q$6,RawData[Tour/Site],$Q$2,RawData[[Picker ID ]],$Q$3,RawData[Checker ID],$Q$4,RawData[[Error Type ]],$Q$5))</f>
        <v/>
      </c>
    </row>
    <row r="22512" spans="15:15" x14ac:dyDescent="0.25">
      <c r="O22512" s="20" t="str">
        <f>IF(N22512="","",COUNTIFS(RawData[[Date ]],N22512,RawData[Month List],$Q$6,RawData[Tour/Site],$Q$2,RawData[[Picker ID ]],$Q$3,RawData[Checker ID],$Q$4,RawData[[Error Type ]],$Q$5))</f>
        <v/>
      </c>
    </row>
    <row r="22513" spans="15:15" x14ac:dyDescent="0.25">
      <c r="O22513" s="20" t="str">
        <f>IF(N22513="","",COUNTIFS(RawData[[Date ]],N22513,RawData[Month List],$Q$6,RawData[Tour/Site],$Q$2,RawData[[Picker ID ]],$Q$3,RawData[Checker ID],$Q$4,RawData[[Error Type ]],$Q$5))</f>
        <v/>
      </c>
    </row>
    <row r="22514" spans="15:15" x14ac:dyDescent="0.25">
      <c r="O22514" s="20" t="str">
        <f>IF(N22514="","",COUNTIFS(RawData[[Date ]],N22514,RawData[Month List],$Q$6,RawData[Tour/Site],$Q$2,RawData[[Picker ID ]],$Q$3,RawData[Checker ID],$Q$4,RawData[[Error Type ]],$Q$5))</f>
        <v/>
      </c>
    </row>
    <row r="22515" spans="15:15" x14ac:dyDescent="0.25">
      <c r="O22515" s="20" t="str">
        <f>IF(N22515="","",COUNTIFS(RawData[[Date ]],N22515,RawData[Month List],$Q$6,RawData[Tour/Site],$Q$2,RawData[[Picker ID ]],$Q$3,RawData[Checker ID],$Q$4,RawData[[Error Type ]],$Q$5))</f>
        <v/>
      </c>
    </row>
    <row r="22516" spans="15:15" x14ac:dyDescent="0.25">
      <c r="O22516" s="20" t="str">
        <f>IF(N22516="","",COUNTIFS(RawData[[Date ]],N22516,RawData[Month List],$Q$6,RawData[Tour/Site],$Q$2,RawData[[Picker ID ]],$Q$3,RawData[Checker ID],$Q$4,RawData[[Error Type ]],$Q$5))</f>
        <v/>
      </c>
    </row>
    <row r="22517" spans="15:15" x14ac:dyDescent="0.25">
      <c r="O22517" s="20" t="str">
        <f>IF(N22517="","",COUNTIFS(RawData[[Date ]],N22517,RawData[Month List],$Q$6,RawData[Tour/Site],$Q$2,RawData[[Picker ID ]],$Q$3,RawData[Checker ID],$Q$4,RawData[[Error Type ]],$Q$5))</f>
        <v/>
      </c>
    </row>
    <row r="22518" spans="15:15" x14ac:dyDescent="0.25">
      <c r="O22518" s="20" t="str">
        <f>IF(N22518="","",COUNTIFS(RawData[[Date ]],N22518,RawData[Month List],$Q$6,RawData[Tour/Site],$Q$2,RawData[[Picker ID ]],$Q$3,RawData[Checker ID],$Q$4,RawData[[Error Type ]],$Q$5))</f>
        <v/>
      </c>
    </row>
    <row r="22519" spans="15:15" x14ac:dyDescent="0.25">
      <c r="O22519" s="20" t="str">
        <f>IF(N22519="","",COUNTIFS(RawData[[Date ]],N22519,RawData[Month List],$Q$6,RawData[Tour/Site],$Q$2,RawData[[Picker ID ]],$Q$3,RawData[Checker ID],$Q$4,RawData[[Error Type ]],$Q$5))</f>
        <v/>
      </c>
    </row>
    <row r="22520" spans="15:15" x14ac:dyDescent="0.25">
      <c r="O22520" s="20" t="str">
        <f>IF(N22520="","",COUNTIFS(RawData[[Date ]],N22520,RawData[Month List],$Q$6,RawData[Tour/Site],$Q$2,RawData[[Picker ID ]],$Q$3,RawData[Checker ID],$Q$4,RawData[[Error Type ]],$Q$5))</f>
        <v/>
      </c>
    </row>
    <row r="22521" spans="15:15" x14ac:dyDescent="0.25">
      <c r="O22521" s="20" t="str">
        <f>IF(N22521="","",COUNTIFS(RawData[[Date ]],N22521,RawData[Month List],$Q$6,RawData[Tour/Site],$Q$2,RawData[[Picker ID ]],$Q$3,RawData[Checker ID],$Q$4,RawData[[Error Type ]],$Q$5))</f>
        <v/>
      </c>
    </row>
    <row r="22522" spans="15:15" x14ac:dyDescent="0.25">
      <c r="O22522" s="20" t="str">
        <f>IF(N22522="","",COUNTIFS(RawData[[Date ]],N22522,RawData[Month List],$Q$6,RawData[Tour/Site],$Q$2,RawData[[Picker ID ]],$Q$3,RawData[Checker ID],$Q$4,RawData[[Error Type ]],$Q$5))</f>
        <v/>
      </c>
    </row>
    <row r="22523" spans="15:15" x14ac:dyDescent="0.25">
      <c r="O22523" s="20" t="str">
        <f>IF(N22523="","",COUNTIFS(RawData[[Date ]],N22523,RawData[Month List],$Q$6,RawData[Tour/Site],$Q$2,RawData[[Picker ID ]],$Q$3,RawData[Checker ID],$Q$4,RawData[[Error Type ]],$Q$5))</f>
        <v/>
      </c>
    </row>
    <row r="22524" spans="15:15" x14ac:dyDescent="0.25">
      <c r="O22524" s="20" t="str">
        <f>IF(N22524="","",COUNTIFS(RawData[[Date ]],N22524,RawData[Month List],$Q$6,RawData[Tour/Site],$Q$2,RawData[[Picker ID ]],$Q$3,RawData[Checker ID],$Q$4,RawData[[Error Type ]],$Q$5))</f>
        <v/>
      </c>
    </row>
    <row r="22525" spans="15:15" x14ac:dyDescent="0.25">
      <c r="O22525" s="20" t="str">
        <f>IF(N22525="","",COUNTIFS(RawData[[Date ]],N22525,RawData[Month List],$Q$6,RawData[Tour/Site],$Q$2,RawData[[Picker ID ]],$Q$3,RawData[Checker ID],$Q$4,RawData[[Error Type ]],$Q$5))</f>
        <v/>
      </c>
    </row>
    <row r="22526" spans="15:15" x14ac:dyDescent="0.25">
      <c r="O22526" s="20" t="str">
        <f>IF(N22526="","",COUNTIFS(RawData[[Date ]],N22526,RawData[Month List],$Q$6,RawData[Tour/Site],$Q$2,RawData[[Picker ID ]],$Q$3,RawData[Checker ID],$Q$4,RawData[[Error Type ]],$Q$5))</f>
        <v/>
      </c>
    </row>
    <row r="22527" spans="15:15" x14ac:dyDescent="0.25">
      <c r="O22527" s="20" t="str">
        <f>IF(N22527="","",COUNTIFS(RawData[[Date ]],N22527,RawData[Month List],$Q$6,RawData[Tour/Site],$Q$2,RawData[[Picker ID ]],$Q$3,RawData[Checker ID],$Q$4,RawData[[Error Type ]],$Q$5))</f>
        <v/>
      </c>
    </row>
    <row r="22528" spans="15:15" x14ac:dyDescent="0.25">
      <c r="O22528" s="20" t="str">
        <f>IF(N22528="","",COUNTIFS(RawData[[Date ]],N22528,RawData[Month List],$Q$6,RawData[Tour/Site],$Q$2,RawData[[Picker ID ]],$Q$3,RawData[Checker ID],$Q$4,RawData[[Error Type ]],$Q$5))</f>
        <v/>
      </c>
    </row>
    <row r="22529" spans="15:15" x14ac:dyDescent="0.25">
      <c r="O22529" s="20" t="str">
        <f>IF(N22529="","",COUNTIFS(RawData[[Date ]],N22529,RawData[Month List],$Q$6,RawData[Tour/Site],$Q$2,RawData[[Picker ID ]],$Q$3,RawData[Checker ID],$Q$4,RawData[[Error Type ]],$Q$5))</f>
        <v/>
      </c>
    </row>
    <row r="22530" spans="15:15" x14ac:dyDescent="0.25">
      <c r="O22530" s="20" t="str">
        <f>IF(N22530="","",COUNTIFS(RawData[[Date ]],N22530,RawData[Month List],$Q$6,RawData[Tour/Site],$Q$2,RawData[[Picker ID ]],$Q$3,RawData[Checker ID],$Q$4,RawData[[Error Type ]],$Q$5))</f>
        <v/>
      </c>
    </row>
    <row r="22531" spans="15:15" x14ac:dyDescent="0.25">
      <c r="O22531" s="20" t="str">
        <f>IF(N22531="","",COUNTIFS(RawData[[Date ]],N22531,RawData[Month List],$Q$6,RawData[Tour/Site],$Q$2,RawData[[Picker ID ]],$Q$3,RawData[Checker ID],$Q$4,RawData[[Error Type ]],$Q$5))</f>
        <v/>
      </c>
    </row>
    <row r="22532" spans="15:15" x14ac:dyDescent="0.25">
      <c r="O22532" s="20" t="str">
        <f>IF(N22532="","",COUNTIFS(RawData[[Date ]],N22532,RawData[Month List],$Q$6,RawData[Tour/Site],$Q$2,RawData[[Picker ID ]],$Q$3,RawData[Checker ID],$Q$4,RawData[[Error Type ]],$Q$5))</f>
        <v/>
      </c>
    </row>
    <row r="22533" spans="15:15" x14ac:dyDescent="0.25">
      <c r="O22533" s="20" t="str">
        <f>IF(N22533="","",COUNTIFS(RawData[[Date ]],N22533,RawData[Month List],$Q$6,RawData[Tour/Site],$Q$2,RawData[[Picker ID ]],$Q$3,RawData[Checker ID],$Q$4,RawData[[Error Type ]],$Q$5))</f>
        <v/>
      </c>
    </row>
    <row r="22534" spans="15:15" x14ac:dyDescent="0.25">
      <c r="O22534" s="20" t="str">
        <f>IF(N22534="","",COUNTIFS(RawData[[Date ]],N22534,RawData[Month List],$Q$6,RawData[Tour/Site],$Q$2,RawData[[Picker ID ]],$Q$3,RawData[Checker ID],$Q$4,RawData[[Error Type ]],$Q$5))</f>
        <v/>
      </c>
    </row>
    <row r="22535" spans="15:15" x14ac:dyDescent="0.25">
      <c r="O22535" s="20" t="str">
        <f>IF(N22535="","",COUNTIFS(RawData[[Date ]],N22535,RawData[Month List],$Q$6,RawData[Tour/Site],$Q$2,RawData[[Picker ID ]],$Q$3,RawData[Checker ID],$Q$4,RawData[[Error Type ]],$Q$5))</f>
        <v/>
      </c>
    </row>
    <row r="22536" spans="15:15" x14ac:dyDescent="0.25">
      <c r="O22536" s="20" t="str">
        <f>IF(N22536="","",COUNTIFS(RawData[[Date ]],N22536,RawData[Month List],$Q$6,RawData[Tour/Site],$Q$2,RawData[[Picker ID ]],$Q$3,RawData[Checker ID],$Q$4,RawData[[Error Type ]],$Q$5))</f>
        <v/>
      </c>
    </row>
    <row r="22537" spans="15:15" x14ac:dyDescent="0.25">
      <c r="O22537" s="20" t="str">
        <f>IF(N22537="","",COUNTIFS(RawData[[Date ]],N22537,RawData[Month List],$Q$6,RawData[Tour/Site],$Q$2,RawData[[Picker ID ]],$Q$3,RawData[Checker ID],$Q$4,RawData[[Error Type ]],$Q$5))</f>
        <v/>
      </c>
    </row>
    <row r="22538" spans="15:15" x14ac:dyDescent="0.25">
      <c r="O22538" s="20" t="str">
        <f>IF(N22538="","",COUNTIFS(RawData[[Date ]],N22538,RawData[Month List],$Q$6,RawData[Tour/Site],$Q$2,RawData[[Picker ID ]],$Q$3,RawData[Checker ID],$Q$4,RawData[[Error Type ]],$Q$5))</f>
        <v/>
      </c>
    </row>
    <row r="22539" spans="15:15" x14ac:dyDescent="0.25">
      <c r="O22539" s="20" t="str">
        <f>IF(N22539="","",COUNTIFS(RawData[[Date ]],N22539,RawData[Month List],$Q$6,RawData[Tour/Site],$Q$2,RawData[[Picker ID ]],$Q$3,RawData[Checker ID],$Q$4,RawData[[Error Type ]],$Q$5))</f>
        <v/>
      </c>
    </row>
    <row r="22540" spans="15:15" x14ac:dyDescent="0.25">
      <c r="O22540" s="20" t="str">
        <f>IF(N22540="","",COUNTIFS(RawData[[Date ]],N22540,RawData[Month List],$Q$6,RawData[Tour/Site],$Q$2,RawData[[Picker ID ]],$Q$3,RawData[Checker ID],$Q$4,RawData[[Error Type ]],$Q$5))</f>
        <v/>
      </c>
    </row>
    <row r="22541" spans="15:15" x14ac:dyDescent="0.25">
      <c r="O22541" s="20" t="str">
        <f>IF(N22541="","",COUNTIFS(RawData[[Date ]],N22541,RawData[Month List],$Q$6,RawData[Tour/Site],$Q$2,RawData[[Picker ID ]],$Q$3,RawData[Checker ID],$Q$4,RawData[[Error Type ]],$Q$5))</f>
        <v/>
      </c>
    </row>
    <row r="22542" spans="15:15" x14ac:dyDescent="0.25">
      <c r="O22542" s="20" t="str">
        <f>IF(N22542="","",COUNTIFS(RawData[[Date ]],N22542,RawData[Month List],$Q$6,RawData[Tour/Site],$Q$2,RawData[[Picker ID ]],$Q$3,RawData[Checker ID],$Q$4,RawData[[Error Type ]],$Q$5))</f>
        <v/>
      </c>
    </row>
    <row r="22543" spans="15:15" x14ac:dyDescent="0.25">
      <c r="O22543" s="20" t="str">
        <f>IF(N22543="","",COUNTIFS(RawData[[Date ]],N22543,RawData[Month List],$Q$6,RawData[Tour/Site],$Q$2,RawData[[Picker ID ]],$Q$3,RawData[Checker ID],$Q$4,RawData[[Error Type ]],$Q$5))</f>
        <v/>
      </c>
    </row>
    <row r="22544" spans="15:15" x14ac:dyDescent="0.25">
      <c r="O22544" s="20" t="str">
        <f>IF(N22544="","",COUNTIFS(RawData[[Date ]],N22544,RawData[Month List],$Q$6,RawData[Tour/Site],$Q$2,RawData[[Picker ID ]],$Q$3,RawData[Checker ID],$Q$4,RawData[[Error Type ]],$Q$5))</f>
        <v/>
      </c>
    </row>
    <row r="22545" spans="15:15" x14ac:dyDescent="0.25">
      <c r="O22545" s="20" t="str">
        <f>IF(N22545="","",COUNTIFS(RawData[[Date ]],N22545,RawData[Month List],$Q$6,RawData[Tour/Site],$Q$2,RawData[[Picker ID ]],$Q$3,RawData[Checker ID],$Q$4,RawData[[Error Type ]],$Q$5))</f>
        <v/>
      </c>
    </row>
    <row r="22546" spans="15:15" x14ac:dyDescent="0.25">
      <c r="O22546" s="20" t="str">
        <f>IF(N22546="","",COUNTIFS(RawData[[Date ]],N22546,RawData[Month List],$Q$6,RawData[Tour/Site],$Q$2,RawData[[Picker ID ]],$Q$3,RawData[Checker ID],$Q$4,RawData[[Error Type ]],$Q$5))</f>
        <v/>
      </c>
    </row>
    <row r="22547" spans="15:15" x14ac:dyDescent="0.25">
      <c r="O22547" s="20" t="str">
        <f>IF(N22547="","",COUNTIFS(RawData[[Date ]],N22547,RawData[Month List],$Q$6,RawData[Tour/Site],$Q$2,RawData[[Picker ID ]],$Q$3,RawData[Checker ID],$Q$4,RawData[[Error Type ]],$Q$5))</f>
        <v/>
      </c>
    </row>
    <row r="22548" spans="15:15" x14ac:dyDescent="0.25">
      <c r="O22548" s="20" t="str">
        <f>IF(N22548="","",COUNTIFS(RawData[[Date ]],N22548,RawData[Month List],$Q$6,RawData[Tour/Site],$Q$2,RawData[[Picker ID ]],$Q$3,RawData[Checker ID],$Q$4,RawData[[Error Type ]],$Q$5))</f>
        <v/>
      </c>
    </row>
    <row r="22549" spans="15:15" x14ac:dyDescent="0.25">
      <c r="O22549" s="20" t="str">
        <f>IF(N22549="","",COUNTIFS(RawData[[Date ]],N22549,RawData[Month List],$Q$6,RawData[Tour/Site],$Q$2,RawData[[Picker ID ]],$Q$3,RawData[Checker ID],$Q$4,RawData[[Error Type ]],$Q$5))</f>
        <v/>
      </c>
    </row>
    <row r="22550" spans="15:15" x14ac:dyDescent="0.25">
      <c r="O22550" s="20" t="str">
        <f>IF(N22550="","",COUNTIFS(RawData[[Date ]],N22550,RawData[Month List],$Q$6,RawData[Tour/Site],$Q$2,RawData[[Picker ID ]],$Q$3,RawData[Checker ID],$Q$4,RawData[[Error Type ]],$Q$5))</f>
        <v/>
      </c>
    </row>
    <row r="22551" spans="15:15" x14ac:dyDescent="0.25">
      <c r="O22551" s="20" t="str">
        <f>IF(N22551="","",COUNTIFS(RawData[[Date ]],N22551,RawData[Month List],$Q$6,RawData[Tour/Site],$Q$2,RawData[[Picker ID ]],$Q$3,RawData[Checker ID],$Q$4,RawData[[Error Type ]],$Q$5))</f>
        <v/>
      </c>
    </row>
    <row r="22552" spans="15:15" x14ac:dyDescent="0.25">
      <c r="O22552" s="20" t="str">
        <f>IF(N22552="","",COUNTIFS(RawData[[Date ]],N22552,RawData[Month List],$Q$6,RawData[Tour/Site],$Q$2,RawData[[Picker ID ]],$Q$3,RawData[Checker ID],$Q$4,RawData[[Error Type ]],$Q$5))</f>
        <v/>
      </c>
    </row>
    <row r="22553" spans="15:15" x14ac:dyDescent="0.25">
      <c r="O22553" s="20" t="str">
        <f>IF(N22553="","",COUNTIFS(RawData[[Date ]],N22553,RawData[Month List],$Q$6,RawData[Tour/Site],$Q$2,RawData[[Picker ID ]],$Q$3,RawData[Checker ID],$Q$4,RawData[[Error Type ]],$Q$5))</f>
        <v/>
      </c>
    </row>
    <row r="22554" spans="15:15" x14ac:dyDescent="0.25">
      <c r="O22554" s="20" t="str">
        <f>IF(N22554="","",COUNTIFS(RawData[[Date ]],N22554,RawData[Month List],$Q$6,RawData[Tour/Site],$Q$2,RawData[[Picker ID ]],$Q$3,RawData[Checker ID],$Q$4,RawData[[Error Type ]],$Q$5))</f>
        <v/>
      </c>
    </row>
    <row r="22555" spans="15:15" x14ac:dyDescent="0.25">
      <c r="O22555" s="20" t="str">
        <f>IF(N22555="","",COUNTIFS(RawData[[Date ]],N22555,RawData[Month List],$Q$6,RawData[Tour/Site],$Q$2,RawData[[Picker ID ]],$Q$3,RawData[Checker ID],$Q$4,RawData[[Error Type ]],$Q$5))</f>
        <v/>
      </c>
    </row>
    <row r="22556" spans="15:15" x14ac:dyDescent="0.25">
      <c r="O22556" s="20" t="str">
        <f>IF(N22556="","",COUNTIFS(RawData[[Date ]],N22556,RawData[Month List],$Q$6,RawData[Tour/Site],$Q$2,RawData[[Picker ID ]],$Q$3,RawData[Checker ID],$Q$4,RawData[[Error Type ]],$Q$5))</f>
        <v/>
      </c>
    </row>
    <row r="22557" spans="15:15" x14ac:dyDescent="0.25">
      <c r="O22557" s="20" t="str">
        <f>IF(N22557="","",COUNTIFS(RawData[[Date ]],N22557,RawData[Month List],$Q$6,RawData[Tour/Site],$Q$2,RawData[[Picker ID ]],$Q$3,RawData[Checker ID],$Q$4,RawData[[Error Type ]],$Q$5))</f>
        <v/>
      </c>
    </row>
    <row r="22558" spans="15:15" x14ac:dyDescent="0.25">
      <c r="O22558" s="20" t="str">
        <f>IF(N22558="","",COUNTIFS(RawData[[Date ]],N22558,RawData[Month List],$Q$6,RawData[Tour/Site],$Q$2,RawData[[Picker ID ]],$Q$3,RawData[Checker ID],$Q$4,RawData[[Error Type ]],$Q$5))</f>
        <v/>
      </c>
    </row>
    <row r="22559" spans="15:15" x14ac:dyDescent="0.25">
      <c r="O22559" s="20" t="str">
        <f>IF(N22559="","",COUNTIFS(RawData[[Date ]],N22559,RawData[Month List],$Q$6,RawData[Tour/Site],$Q$2,RawData[[Picker ID ]],$Q$3,RawData[Checker ID],$Q$4,RawData[[Error Type ]],$Q$5))</f>
        <v/>
      </c>
    </row>
    <row r="22560" spans="15:15" x14ac:dyDescent="0.25">
      <c r="O22560" s="20" t="str">
        <f>IF(N22560="","",COUNTIFS(RawData[[Date ]],N22560,RawData[Month List],$Q$6,RawData[Tour/Site],$Q$2,RawData[[Picker ID ]],$Q$3,RawData[Checker ID],$Q$4,RawData[[Error Type ]],$Q$5))</f>
        <v/>
      </c>
    </row>
    <row r="22561" spans="15:15" x14ac:dyDescent="0.25">
      <c r="O22561" s="20" t="str">
        <f>IF(N22561="","",COUNTIFS(RawData[[Date ]],N22561,RawData[Month List],$Q$6,RawData[Tour/Site],$Q$2,RawData[[Picker ID ]],$Q$3,RawData[Checker ID],$Q$4,RawData[[Error Type ]],$Q$5))</f>
        <v/>
      </c>
    </row>
    <row r="22562" spans="15:15" x14ac:dyDescent="0.25">
      <c r="O22562" s="20" t="str">
        <f>IF(N22562="","",COUNTIFS(RawData[[Date ]],N22562,RawData[Month List],$Q$6,RawData[Tour/Site],$Q$2,RawData[[Picker ID ]],$Q$3,RawData[Checker ID],$Q$4,RawData[[Error Type ]],$Q$5))</f>
        <v/>
      </c>
    </row>
    <row r="22563" spans="15:15" x14ac:dyDescent="0.25">
      <c r="O22563" s="20" t="str">
        <f>IF(N22563="","",COUNTIFS(RawData[[Date ]],N22563,RawData[Month List],$Q$6,RawData[Tour/Site],$Q$2,RawData[[Picker ID ]],$Q$3,RawData[Checker ID],$Q$4,RawData[[Error Type ]],$Q$5))</f>
        <v/>
      </c>
    </row>
    <row r="22564" spans="15:15" x14ac:dyDescent="0.25">
      <c r="O22564" s="20" t="str">
        <f>IF(N22564="","",COUNTIFS(RawData[[Date ]],N22564,RawData[Month List],$Q$6,RawData[Tour/Site],$Q$2,RawData[[Picker ID ]],$Q$3,RawData[Checker ID],$Q$4,RawData[[Error Type ]],$Q$5))</f>
        <v/>
      </c>
    </row>
    <row r="22565" spans="15:15" x14ac:dyDescent="0.25">
      <c r="O22565" s="20" t="str">
        <f>IF(N22565="","",COUNTIFS(RawData[[Date ]],N22565,RawData[Month List],$Q$6,RawData[Tour/Site],$Q$2,RawData[[Picker ID ]],$Q$3,RawData[Checker ID],$Q$4,RawData[[Error Type ]],$Q$5))</f>
        <v/>
      </c>
    </row>
    <row r="22566" spans="15:15" x14ac:dyDescent="0.25">
      <c r="O22566" s="20" t="str">
        <f>IF(N22566="","",COUNTIFS(RawData[[Date ]],N22566,RawData[Month List],$Q$6,RawData[Tour/Site],$Q$2,RawData[[Picker ID ]],$Q$3,RawData[Checker ID],$Q$4,RawData[[Error Type ]],$Q$5))</f>
        <v/>
      </c>
    </row>
    <row r="22567" spans="15:15" x14ac:dyDescent="0.25">
      <c r="O22567" s="20" t="str">
        <f>IF(N22567="","",COUNTIFS(RawData[[Date ]],N22567,RawData[Month List],$Q$6,RawData[Tour/Site],$Q$2,RawData[[Picker ID ]],$Q$3,RawData[Checker ID],$Q$4,RawData[[Error Type ]],$Q$5))</f>
        <v/>
      </c>
    </row>
    <row r="22568" spans="15:15" x14ac:dyDescent="0.25">
      <c r="O22568" s="20" t="str">
        <f>IF(N22568="","",COUNTIFS(RawData[[Date ]],N22568,RawData[Month List],$Q$6,RawData[Tour/Site],$Q$2,RawData[[Picker ID ]],$Q$3,RawData[Checker ID],$Q$4,RawData[[Error Type ]],$Q$5))</f>
        <v/>
      </c>
    </row>
    <row r="22569" spans="15:15" x14ac:dyDescent="0.25">
      <c r="O22569" s="20" t="str">
        <f>IF(N22569="","",COUNTIFS(RawData[[Date ]],N22569,RawData[Month List],$Q$6,RawData[Tour/Site],$Q$2,RawData[[Picker ID ]],$Q$3,RawData[Checker ID],$Q$4,RawData[[Error Type ]],$Q$5))</f>
        <v/>
      </c>
    </row>
    <row r="22570" spans="15:15" x14ac:dyDescent="0.25">
      <c r="O22570" s="20" t="str">
        <f>IF(N22570="","",COUNTIFS(RawData[[Date ]],N22570,RawData[Month List],$Q$6,RawData[Tour/Site],$Q$2,RawData[[Picker ID ]],$Q$3,RawData[Checker ID],$Q$4,RawData[[Error Type ]],$Q$5))</f>
        <v/>
      </c>
    </row>
    <row r="22571" spans="15:15" x14ac:dyDescent="0.25">
      <c r="O22571" s="20" t="str">
        <f>IF(N22571="","",COUNTIFS(RawData[[Date ]],N22571,RawData[Month List],$Q$6,RawData[Tour/Site],$Q$2,RawData[[Picker ID ]],$Q$3,RawData[Checker ID],$Q$4,RawData[[Error Type ]],$Q$5))</f>
        <v/>
      </c>
    </row>
    <row r="22572" spans="15:15" x14ac:dyDescent="0.25">
      <c r="O22572" s="20" t="str">
        <f>IF(N22572="","",COUNTIFS(RawData[[Date ]],N22572,RawData[Month List],$Q$6,RawData[Tour/Site],$Q$2,RawData[[Picker ID ]],$Q$3,RawData[Checker ID],$Q$4,RawData[[Error Type ]],$Q$5))</f>
        <v/>
      </c>
    </row>
    <row r="22573" spans="15:15" x14ac:dyDescent="0.25">
      <c r="O22573" s="20" t="str">
        <f>IF(N22573="","",COUNTIFS(RawData[[Date ]],N22573,RawData[Month List],$Q$6,RawData[Tour/Site],$Q$2,RawData[[Picker ID ]],$Q$3,RawData[Checker ID],$Q$4,RawData[[Error Type ]],$Q$5))</f>
        <v/>
      </c>
    </row>
    <row r="22574" spans="15:15" x14ac:dyDescent="0.25">
      <c r="O22574" s="20" t="str">
        <f>IF(N22574="","",COUNTIFS(RawData[[Date ]],N22574,RawData[Month List],$Q$6,RawData[Tour/Site],$Q$2,RawData[[Picker ID ]],$Q$3,RawData[Checker ID],$Q$4,RawData[[Error Type ]],$Q$5))</f>
        <v/>
      </c>
    </row>
    <row r="22575" spans="15:15" x14ac:dyDescent="0.25">
      <c r="O22575" s="20" t="str">
        <f>IF(N22575="","",COUNTIFS(RawData[[Date ]],N22575,RawData[Month List],$Q$6,RawData[Tour/Site],$Q$2,RawData[[Picker ID ]],$Q$3,RawData[Checker ID],$Q$4,RawData[[Error Type ]],$Q$5))</f>
        <v/>
      </c>
    </row>
    <row r="22576" spans="15:15" x14ac:dyDescent="0.25">
      <c r="O22576" s="20" t="str">
        <f>IF(N22576="","",COUNTIFS(RawData[[Date ]],N22576,RawData[Month List],$Q$6,RawData[Tour/Site],$Q$2,RawData[[Picker ID ]],$Q$3,RawData[Checker ID],$Q$4,RawData[[Error Type ]],$Q$5))</f>
        <v/>
      </c>
    </row>
    <row r="22577" spans="15:15" x14ac:dyDescent="0.25">
      <c r="O22577" s="20" t="str">
        <f>IF(N22577="","",COUNTIFS(RawData[[Date ]],N22577,RawData[Month List],$Q$6,RawData[Tour/Site],$Q$2,RawData[[Picker ID ]],$Q$3,RawData[Checker ID],$Q$4,RawData[[Error Type ]],$Q$5))</f>
        <v/>
      </c>
    </row>
    <row r="22578" spans="15:15" x14ac:dyDescent="0.25">
      <c r="O22578" s="20" t="str">
        <f>IF(N22578="","",COUNTIFS(RawData[[Date ]],N22578,RawData[Month List],$Q$6,RawData[Tour/Site],$Q$2,RawData[[Picker ID ]],$Q$3,RawData[Checker ID],$Q$4,RawData[[Error Type ]],$Q$5))</f>
        <v/>
      </c>
    </row>
    <row r="22579" spans="15:15" x14ac:dyDescent="0.25">
      <c r="O22579" s="20" t="str">
        <f>IF(N22579="","",COUNTIFS(RawData[[Date ]],N22579,RawData[Month List],$Q$6,RawData[Tour/Site],$Q$2,RawData[[Picker ID ]],$Q$3,RawData[Checker ID],$Q$4,RawData[[Error Type ]],$Q$5))</f>
        <v/>
      </c>
    </row>
    <row r="22580" spans="15:15" x14ac:dyDescent="0.25">
      <c r="O22580" s="20" t="str">
        <f>IF(N22580="","",COUNTIFS(RawData[[Date ]],N22580,RawData[Month List],$Q$6,RawData[Tour/Site],$Q$2,RawData[[Picker ID ]],$Q$3,RawData[Checker ID],$Q$4,RawData[[Error Type ]],$Q$5))</f>
        <v/>
      </c>
    </row>
    <row r="22581" spans="15:15" x14ac:dyDescent="0.25">
      <c r="O22581" s="20" t="str">
        <f>IF(N22581="","",COUNTIFS(RawData[[Date ]],N22581,RawData[Month List],$Q$6,RawData[Tour/Site],$Q$2,RawData[[Picker ID ]],$Q$3,RawData[Checker ID],$Q$4,RawData[[Error Type ]],$Q$5))</f>
        <v/>
      </c>
    </row>
    <row r="22582" spans="15:15" x14ac:dyDescent="0.25">
      <c r="O22582" s="20" t="str">
        <f>IF(N22582="","",COUNTIFS(RawData[[Date ]],N22582,RawData[Month List],$Q$6,RawData[Tour/Site],$Q$2,RawData[[Picker ID ]],$Q$3,RawData[Checker ID],$Q$4,RawData[[Error Type ]],$Q$5))</f>
        <v/>
      </c>
    </row>
    <row r="22583" spans="15:15" x14ac:dyDescent="0.25">
      <c r="O22583" s="20" t="str">
        <f>IF(N22583="","",COUNTIFS(RawData[[Date ]],N22583,RawData[Month List],$Q$6,RawData[Tour/Site],$Q$2,RawData[[Picker ID ]],$Q$3,RawData[Checker ID],$Q$4,RawData[[Error Type ]],$Q$5))</f>
        <v/>
      </c>
    </row>
    <row r="22584" spans="15:15" x14ac:dyDescent="0.25">
      <c r="O22584" s="20" t="str">
        <f>IF(N22584="","",COUNTIFS(RawData[[Date ]],N22584,RawData[Month List],$Q$6,RawData[Tour/Site],$Q$2,RawData[[Picker ID ]],$Q$3,RawData[Checker ID],$Q$4,RawData[[Error Type ]],$Q$5))</f>
        <v/>
      </c>
    </row>
    <row r="22585" spans="15:15" x14ac:dyDescent="0.25">
      <c r="O22585" s="20" t="str">
        <f>IF(N22585="","",COUNTIFS(RawData[[Date ]],N22585,RawData[Month List],$Q$6,RawData[Tour/Site],$Q$2,RawData[[Picker ID ]],$Q$3,RawData[Checker ID],$Q$4,RawData[[Error Type ]],$Q$5))</f>
        <v/>
      </c>
    </row>
    <row r="22586" spans="15:15" x14ac:dyDescent="0.25">
      <c r="O22586" s="20" t="str">
        <f>IF(N22586="","",COUNTIFS(RawData[[Date ]],N22586,RawData[Month List],$Q$6,RawData[Tour/Site],$Q$2,RawData[[Picker ID ]],$Q$3,RawData[Checker ID],$Q$4,RawData[[Error Type ]],$Q$5))</f>
        <v/>
      </c>
    </row>
    <row r="22587" spans="15:15" x14ac:dyDescent="0.25">
      <c r="O22587" s="20" t="str">
        <f>IF(N22587="","",COUNTIFS(RawData[[Date ]],N22587,RawData[Month List],$Q$6,RawData[Tour/Site],$Q$2,RawData[[Picker ID ]],$Q$3,RawData[Checker ID],$Q$4,RawData[[Error Type ]],$Q$5))</f>
        <v/>
      </c>
    </row>
    <row r="22588" spans="15:15" x14ac:dyDescent="0.25">
      <c r="O22588" s="20" t="str">
        <f>IF(N22588="","",COUNTIFS(RawData[[Date ]],N22588,RawData[Month List],$Q$6,RawData[Tour/Site],$Q$2,RawData[[Picker ID ]],$Q$3,RawData[Checker ID],$Q$4,RawData[[Error Type ]],$Q$5))</f>
        <v/>
      </c>
    </row>
    <row r="22589" spans="15:15" x14ac:dyDescent="0.25">
      <c r="O22589" s="20" t="str">
        <f>IF(N22589="","",COUNTIFS(RawData[[Date ]],N22589,RawData[Month List],$Q$6,RawData[Tour/Site],$Q$2,RawData[[Picker ID ]],$Q$3,RawData[Checker ID],$Q$4,RawData[[Error Type ]],$Q$5))</f>
        <v/>
      </c>
    </row>
    <row r="22590" spans="15:15" x14ac:dyDescent="0.25">
      <c r="O22590" s="20" t="str">
        <f>IF(N22590="","",COUNTIFS(RawData[[Date ]],N22590,RawData[Month List],$Q$6,RawData[Tour/Site],$Q$2,RawData[[Picker ID ]],$Q$3,RawData[Checker ID],$Q$4,RawData[[Error Type ]],$Q$5))</f>
        <v/>
      </c>
    </row>
    <row r="22591" spans="15:15" x14ac:dyDescent="0.25">
      <c r="O22591" s="20" t="str">
        <f>IF(N22591="","",COUNTIFS(RawData[[Date ]],N22591,RawData[Month List],$Q$6,RawData[Tour/Site],$Q$2,RawData[[Picker ID ]],$Q$3,RawData[Checker ID],$Q$4,RawData[[Error Type ]],$Q$5))</f>
        <v/>
      </c>
    </row>
    <row r="22592" spans="15:15" x14ac:dyDescent="0.25">
      <c r="O22592" s="20" t="str">
        <f>IF(N22592="","",COUNTIFS(RawData[[Date ]],N22592,RawData[Month List],$Q$6,RawData[Tour/Site],$Q$2,RawData[[Picker ID ]],$Q$3,RawData[Checker ID],$Q$4,RawData[[Error Type ]],$Q$5))</f>
        <v/>
      </c>
    </row>
    <row r="22593" spans="15:15" x14ac:dyDescent="0.25">
      <c r="O22593" s="20" t="str">
        <f>IF(N22593="","",COUNTIFS(RawData[[Date ]],N22593,RawData[Month List],$Q$6,RawData[Tour/Site],$Q$2,RawData[[Picker ID ]],$Q$3,RawData[Checker ID],$Q$4,RawData[[Error Type ]],$Q$5))</f>
        <v/>
      </c>
    </row>
    <row r="22594" spans="15:15" x14ac:dyDescent="0.25">
      <c r="O22594" s="20" t="str">
        <f>IF(N22594="","",COUNTIFS(RawData[[Date ]],N22594,RawData[Month List],$Q$6,RawData[Tour/Site],$Q$2,RawData[[Picker ID ]],$Q$3,RawData[Checker ID],$Q$4,RawData[[Error Type ]],$Q$5))</f>
        <v/>
      </c>
    </row>
    <row r="22595" spans="15:15" x14ac:dyDescent="0.25">
      <c r="O22595" s="20" t="str">
        <f>IF(N22595="","",COUNTIFS(RawData[[Date ]],N22595,RawData[Month List],$Q$6,RawData[Tour/Site],$Q$2,RawData[[Picker ID ]],$Q$3,RawData[Checker ID],$Q$4,RawData[[Error Type ]],$Q$5))</f>
        <v/>
      </c>
    </row>
    <row r="22596" spans="15:15" x14ac:dyDescent="0.25">
      <c r="O22596" s="20" t="str">
        <f>IF(N22596="","",COUNTIFS(RawData[[Date ]],N22596,RawData[Month List],$Q$6,RawData[Tour/Site],$Q$2,RawData[[Picker ID ]],$Q$3,RawData[Checker ID],$Q$4,RawData[[Error Type ]],$Q$5))</f>
        <v/>
      </c>
    </row>
    <row r="22597" spans="15:15" x14ac:dyDescent="0.25">
      <c r="O22597" s="20" t="str">
        <f>IF(N22597="","",COUNTIFS(RawData[[Date ]],N22597,RawData[Month List],$Q$6,RawData[Tour/Site],$Q$2,RawData[[Picker ID ]],$Q$3,RawData[Checker ID],$Q$4,RawData[[Error Type ]],$Q$5))</f>
        <v/>
      </c>
    </row>
    <row r="22598" spans="15:15" x14ac:dyDescent="0.25">
      <c r="O22598" s="20" t="str">
        <f>IF(N22598="","",COUNTIFS(RawData[[Date ]],N22598,RawData[Month List],$Q$6,RawData[Tour/Site],$Q$2,RawData[[Picker ID ]],$Q$3,RawData[Checker ID],$Q$4,RawData[[Error Type ]],$Q$5))</f>
        <v/>
      </c>
    </row>
    <row r="22599" spans="15:15" x14ac:dyDescent="0.25">
      <c r="O22599" s="20" t="str">
        <f>IF(N22599="","",COUNTIFS(RawData[[Date ]],N22599,RawData[Month List],$Q$6,RawData[Tour/Site],$Q$2,RawData[[Picker ID ]],$Q$3,RawData[Checker ID],$Q$4,RawData[[Error Type ]],$Q$5))</f>
        <v/>
      </c>
    </row>
    <row r="22600" spans="15:15" x14ac:dyDescent="0.25">
      <c r="O22600" s="20" t="str">
        <f>IF(N22600="","",COUNTIFS(RawData[[Date ]],N22600,RawData[Month List],$Q$6,RawData[Tour/Site],$Q$2,RawData[[Picker ID ]],$Q$3,RawData[Checker ID],$Q$4,RawData[[Error Type ]],$Q$5))</f>
        <v/>
      </c>
    </row>
    <row r="22601" spans="15:15" x14ac:dyDescent="0.25">
      <c r="O22601" s="20" t="str">
        <f>IF(N22601="","",COUNTIFS(RawData[[Date ]],N22601,RawData[Month List],$Q$6,RawData[Tour/Site],$Q$2,RawData[[Picker ID ]],$Q$3,RawData[Checker ID],$Q$4,RawData[[Error Type ]],$Q$5))</f>
        <v/>
      </c>
    </row>
    <row r="22602" spans="15:15" x14ac:dyDescent="0.25">
      <c r="O22602" s="20" t="str">
        <f>IF(N22602="","",COUNTIFS(RawData[[Date ]],N22602,RawData[Month List],$Q$6,RawData[Tour/Site],$Q$2,RawData[[Picker ID ]],$Q$3,RawData[Checker ID],$Q$4,RawData[[Error Type ]],$Q$5))</f>
        <v/>
      </c>
    </row>
    <row r="22603" spans="15:15" x14ac:dyDescent="0.25">
      <c r="O22603" s="20" t="str">
        <f>IF(N22603="","",COUNTIFS(RawData[[Date ]],N22603,RawData[Month List],$Q$6,RawData[Tour/Site],$Q$2,RawData[[Picker ID ]],$Q$3,RawData[Checker ID],$Q$4,RawData[[Error Type ]],$Q$5))</f>
        <v/>
      </c>
    </row>
    <row r="22604" spans="15:15" x14ac:dyDescent="0.25">
      <c r="O22604" s="20" t="str">
        <f>IF(N22604="","",COUNTIFS(RawData[[Date ]],N22604,RawData[Month List],$Q$6,RawData[Tour/Site],$Q$2,RawData[[Picker ID ]],$Q$3,RawData[Checker ID],$Q$4,RawData[[Error Type ]],$Q$5))</f>
        <v/>
      </c>
    </row>
    <row r="22605" spans="15:15" x14ac:dyDescent="0.25">
      <c r="O22605" s="20" t="str">
        <f>IF(N22605="","",COUNTIFS(RawData[[Date ]],N22605,RawData[Month List],$Q$6,RawData[Tour/Site],$Q$2,RawData[[Picker ID ]],$Q$3,RawData[Checker ID],$Q$4,RawData[[Error Type ]],$Q$5))</f>
        <v/>
      </c>
    </row>
    <row r="22606" spans="15:15" x14ac:dyDescent="0.25">
      <c r="O22606" s="20" t="str">
        <f>IF(N22606="","",COUNTIFS(RawData[[Date ]],N22606,RawData[Month List],$Q$6,RawData[Tour/Site],$Q$2,RawData[[Picker ID ]],$Q$3,RawData[Checker ID],$Q$4,RawData[[Error Type ]],$Q$5))</f>
        <v/>
      </c>
    </row>
    <row r="22607" spans="15:15" x14ac:dyDescent="0.25">
      <c r="O22607" s="20" t="str">
        <f>IF(N22607="","",COUNTIFS(RawData[[Date ]],N22607,RawData[Month List],$Q$6,RawData[Tour/Site],$Q$2,RawData[[Picker ID ]],$Q$3,RawData[Checker ID],$Q$4,RawData[[Error Type ]],$Q$5))</f>
        <v/>
      </c>
    </row>
    <row r="22608" spans="15:15" x14ac:dyDescent="0.25">
      <c r="O22608" s="20" t="str">
        <f>IF(N22608="","",COUNTIFS(RawData[[Date ]],N22608,RawData[Month List],$Q$6,RawData[Tour/Site],$Q$2,RawData[[Picker ID ]],$Q$3,RawData[Checker ID],$Q$4,RawData[[Error Type ]],$Q$5))</f>
        <v/>
      </c>
    </row>
    <row r="22609" spans="15:15" x14ac:dyDescent="0.25">
      <c r="O22609" s="20" t="str">
        <f>IF(N22609="","",COUNTIFS(RawData[[Date ]],N22609,RawData[Month List],$Q$6,RawData[Tour/Site],$Q$2,RawData[[Picker ID ]],$Q$3,RawData[Checker ID],$Q$4,RawData[[Error Type ]],$Q$5))</f>
        <v/>
      </c>
    </row>
    <row r="22610" spans="15:15" x14ac:dyDescent="0.25">
      <c r="O22610" s="20" t="str">
        <f>IF(N22610="","",COUNTIFS(RawData[[Date ]],N22610,RawData[Month List],$Q$6,RawData[Tour/Site],$Q$2,RawData[[Picker ID ]],$Q$3,RawData[Checker ID],$Q$4,RawData[[Error Type ]],$Q$5))</f>
        <v/>
      </c>
    </row>
    <row r="22611" spans="15:15" x14ac:dyDescent="0.25">
      <c r="O22611" s="20" t="str">
        <f>IF(N22611="","",COUNTIFS(RawData[[Date ]],N22611,RawData[Month List],$Q$6,RawData[Tour/Site],$Q$2,RawData[[Picker ID ]],$Q$3,RawData[Checker ID],$Q$4,RawData[[Error Type ]],$Q$5))</f>
        <v/>
      </c>
    </row>
    <row r="22612" spans="15:15" x14ac:dyDescent="0.25">
      <c r="O22612" s="20" t="str">
        <f>IF(N22612="","",COUNTIFS(RawData[[Date ]],N22612,RawData[Month List],$Q$6,RawData[Tour/Site],$Q$2,RawData[[Picker ID ]],$Q$3,RawData[Checker ID],$Q$4,RawData[[Error Type ]],$Q$5))</f>
        <v/>
      </c>
    </row>
    <row r="22613" spans="15:15" x14ac:dyDescent="0.25">
      <c r="O22613" s="20" t="str">
        <f>IF(N22613="","",COUNTIFS(RawData[[Date ]],N22613,RawData[Month List],$Q$6,RawData[Tour/Site],$Q$2,RawData[[Picker ID ]],$Q$3,RawData[Checker ID],$Q$4,RawData[[Error Type ]],$Q$5))</f>
        <v/>
      </c>
    </row>
    <row r="22614" spans="15:15" x14ac:dyDescent="0.25">
      <c r="O22614" s="20" t="str">
        <f>IF(N22614="","",COUNTIFS(RawData[[Date ]],N22614,RawData[Month List],$Q$6,RawData[Tour/Site],$Q$2,RawData[[Picker ID ]],$Q$3,RawData[Checker ID],$Q$4,RawData[[Error Type ]],$Q$5))</f>
        <v/>
      </c>
    </row>
    <row r="22615" spans="15:15" x14ac:dyDescent="0.25">
      <c r="O22615" s="20" t="str">
        <f>IF(N22615="","",COUNTIFS(RawData[[Date ]],N22615,RawData[Month List],$Q$6,RawData[Tour/Site],$Q$2,RawData[[Picker ID ]],$Q$3,RawData[Checker ID],$Q$4,RawData[[Error Type ]],$Q$5))</f>
        <v/>
      </c>
    </row>
    <row r="22616" spans="15:15" x14ac:dyDescent="0.25">
      <c r="O22616" s="20" t="str">
        <f>IF(N22616="","",COUNTIFS(RawData[[Date ]],N22616,RawData[Month List],$Q$6,RawData[Tour/Site],$Q$2,RawData[[Picker ID ]],$Q$3,RawData[Checker ID],$Q$4,RawData[[Error Type ]],$Q$5))</f>
        <v/>
      </c>
    </row>
    <row r="22617" spans="15:15" x14ac:dyDescent="0.25">
      <c r="O22617" s="20" t="str">
        <f>IF(N22617="","",COUNTIFS(RawData[[Date ]],N22617,RawData[Month List],$Q$6,RawData[Tour/Site],$Q$2,RawData[[Picker ID ]],$Q$3,RawData[Checker ID],$Q$4,RawData[[Error Type ]],$Q$5))</f>
        <v/>
      </c>
    </row>
    <row r="22618" spans="15:15" x14ac:dyDescent="0.25">
      <c r="O22618" s="20" t="str">
        <f>IF(N22618="","",COUNTIFS(RawData[[Date ]],N22618,RawData[Month List],$Q$6,RawData[Tour/Site],$Q$2,RawData[[Picker ID ]],$Q$3,RawData[Checker ID],$Q$4,RawData[[Error Type ]],$Q$5))</f>
        <v/>
      </c>
    </row>
    <row r="22619" spans="15:15" x14ac:dyDescent="0.25">
      <c r="O22619" s="20" t="str">
        <f>IF(N22619="","",COUNTIFS(RawData[[Date ]],N22619,RawData[Month List],$Q$6,RawData[Tour/Site],$Q$2,RawData[[Picker ID ]],$Q$3,RawData[Checker ID],$Q$4,RawData[[Error Type ]],$Q$5))</f>
        <v/>
      </c>
    </row>
    <row r="22620" spans="15:15" x14ac:dyDescent="0.25">
      <c r="O22620" s="20" t="str">
        <f>IF(N22620="","",COUNTIFS(RawData[[Date ]],N22620,RawData[Month List],$Q$6,RawData[Tour/Site],$Q$2,RawData[[Picker ID ]],$Q$3,RawData[Checker ID],$Q$4,RawData[[Error Type ]],$Q$5))</f>
        <v/>
      </c>
    </row>
    <row r="22621" spans="15:15" x14ac:dyDescent="0.25">
      <c r="O22621" s="20" t="str">
        <f>IF(N22621="","",COUNTIFS(RawData[[Date ]],N22621,RawData[Month List],$Q$6,RawData[Tour/Site],$Q$2,RawData[[Picker ID ]],$Q$3,RawData[Checker ID],$Q$4,RawData[[Error Type ]],$Q$5))</f>
        <v/>
      </c>
    </row>
    <row r="22622" spans="15:15" x14ac:dyDescent="0.25">
      <c r="O22622" s="20" t="str">
        <f>IF(N22622="","",COUNTIFS(RawData[[Date ]],N22622,RawData[Month List],$Q$6,RawData[Tour/Site],$Q$2,RawData[[Picker ID ]],$Q$3,RawData[Checker ID],$Q$4,RawData[[Error Type ]],$Q$5))</f>
        <v/>
      </c>
    </row>
    <row r="22623" spans="15:15" x14ac:dyDescent="0.25">
      <c r="O22623" s="20" t="str">
        <f>IF(N22623="","",COUNTIFS(RawData[[Date ]],N22623,RawData[Month List],$Q$6,RawData[Tour/Site],$Q$2,RawData[[Picker ID ]],$Q$3,RawData[Checker ID],$Q$4,RawData[[Error Type ]],$Q$5))</f>
        <v/>
      </c>
    </row>
    <row r="22624" spans="15:15" x14ac:dyDescent="0.25">
      <c r="O22624" s="20" t="str">
        <f>IF(N22624="","",COUNTIFS(RawData[[Date ]],N22624,RawData[Month List],$Q$6,RawData[Tour/Site],$Q$2,RawData[[Picker ID ]],$Q$3,RawData[Checker ID],$Q$4,RawData[[Error Type ]],$Q$5))</f>
        <v/>
      </c>
    </row>
    <row r="22625" spans="15:15" x14ac:dyDescent="0.25">
      <c r="O22625" s="20" t="str">
        <f>IF(N22625="","",COUNTIFS(RawData[[Date ]],N22625,RawData[Month List],$Q$6,RawData[Tour/Site],$Q$2,RawData[[Picker ID ]],$Q$3,RawData[Checker ID],$Q$4,RawData[[Error Type ]],$Q$5))</f>
        <v/>
      </c>
    </row>
    <row r="22626" spans="15:15" x14ac:dyDescent="0.25">
      <c r="O22626" s="20" t="str">
        <f>IF(N22626="","",COUNTIFS(RawData[[Date ]],N22626,RawData[Month List],$Q$6,RawData[Tour/Site],$Q$2,RawData[[Picker ID ]],$Q$3,RawData[Checker ID],$Q$4,RawData[[Error Type ]],$Q$5))</f>
        <v/>
      </c>
    </row>
    <row r="22627" spans="15:15" x14ac:dyDescent="0.25">
      <c r="O22627" s="20" t="str">
        <f>IF(N22627="","",COUNTIFS(RawData[[Date ]],N22627,RawData[Month List],$Q$6,RawData[Tour/Site],$Q$2,RawData[[Picker ID ]],$Q$3,RawData[Checker ID],$Q$4,RawData[[Error Type ]],$Q$5))</f>
        <v/>
      </c>
    </row>
    <row r="22628" spans="15:15" x14ac:dyDescent="0.25">
      <c r="O22628" s="20" t="str">
        <f>IF(N22628="","",COUNTIFS(RawData[[Date ]],N22628,RawData[Month List],$Q$6,RawData[Tour/Site],$Q$2,RawData[[Picker ID ]],$Q$3,RawData[Checker ID],$Q$4,RawData[[Error Type ]],$Q$5))</f>
        <v/>
      </c>
    </row>
    <row r="22629" spans="15:15" x14ac:dyDescent="0.25">
      <c r="O22629" s="20" t="str">
        <f>IF(N22629="","",COUNTIFS(RawData[[Date ]],N22629,RawData[Month List],$Q$6,RawData[Tour/Site],$Q$2,RawData[[Picker ID ]],$Q$3,RawData[Checker ID],$Q$4,RawData[[Error Type ]],$Q$5))</f>
        <v/>
      </c>
    </row>
    <row r="22630" spans="15:15" x14ac:dyDescent="0.25">
      <c r="O22630" s="20" t="str">
        <f>IF(N22630="","",COUNTIFS(RawData[[Date ]],N22630,RawData[Month List],$Q$6,RawData[Tour/Site],$Q$2,RawData[[Picker ID ]],$Q$3,RawData[Checker ID],$Q$4,RawData[[Error Type ]],$Q$5))</f>
        <v/>
      </c>
    </row>
    <row r="22631" spans="15:15" x14ac:dyDescent="0.25">
      <c r="O22631" s="20" t="str">
        <f>IF(N22631="","",COUNTIFS(RawData[[Date ]],N22631,RawData[Month List],$Q$6,RawData[Tour/Site],$Q$2,RawData[[Picker ID ]],$Q$3,RawData[Checker ID],$Q$4,RawData[[Error Type ]],$Q$5))</f>
        <v/>
      </c>
    </row>
    <row r="22632" spans="15:15" x14ac:dyDescent="0.25">
      <c r="O22632" s="20" t="str">
        <f>IF(N22632="","",COUNTIFS(RawData[[Date ]],N22632,RawData[Month List],$Q$6,RawData[Tour/Site],$Q$2,RawData[[Picker ID ]],$Q$3,RawData[Checker ID],$Q$4,RawData[[Error Type ]],$Q$5))</f>
        <v/>
      </c>
    </row>
    <row r="22633" spans="15:15" x14ac:dyDescent="0.25">
      <c r="O22633" s="20" t="str">
        <f>IF(N22633="","",COUNTIFS(RawData[[Date ]],N22633,RawData[Month List],$Q$6,RawData[Tour/Site],$Q$2,RawData[[Picker ID ]],$Q$3,RawData[Checker ID],$Q$4,RawData[[Error Type ]],$Q$5))</f>
        <v/>
      </c>
    </row>
    <row r="22634" spans="15:15" x14ac:dyDescent="0.25">
      <c r="O22634" s="20" t="str">
        <f>IF(N22634="","",COUNTIFS(RawData[[Date ]],N22634,RawData[Month List],$Q$6,RawData[Tour/Site],$Q$2,RawData[[Picker ID ]],$Q$3,RawData[Checker ID],$Q$4,RawData[[Error Type ]],$Q$5))</f>
        <v/>
      </c>
    </row>
    <row r="22635" spans="15:15" x14ac:dyDescent="0.25">
      <c r="O22635" s="20" t="str">
        <f>IF(N22635="","",COUNTIFS(RawData[[Date ]],N22635,RawData[Month List],$Q$6,RawData[Tour/Site],$Q$2,RawData[[Picker ID ]],$Q$3,RawData[Checker ID],$Q$4,RawData[[Error Type ]],$Q$5))</f>
        <v/>
      </c>
    </row>
    <row r="22636" spans="15:15" x14ac:dyDescent="0.25">
      <c r="O22636" s="20" t="str">
        <f>IF(N22636="","",COUNTIFS(RawData[[Date ]],N22636,RawData[Month List],$Q$6,RawData[Tour/Site],$Q$2,RawData[[Picker ID ]],$Q$3,RawData[Checker ID],$Q$4,RawData[[Error Type ]],$Q$5))</f>
        <v/>
      </c>
    </row>
    <row r="22637" spans="15:15" x14ac:dyDescent="0.25">
      <c r="O22637" s="20" t="str">
        <f>IF(N22637="","",COUNTIFS(RawData[[Date ]],N22637,RawData[Month List],$Q$6,RawData[Tour/Site],$Q$2,RawData[[Picker ID ]],$Q$3,RawData[Checker ID],$Q$4,RawData[[Error Type ]],$Q$5))</f>
        <v/>
      </c>
    </row>
    <row r="22638" spans="15:15" x14ac:dyDescent="0.25">
      <c r="O22638" s="20" t="str">
        <f>IF(N22638="","",COUNTIFS(RawData[[Date ]],N22638,RawData[Month List],$Q$6,RawData[Tour/Site],$Q$2,RawData[[Picker ID ]],$Q$3,RawData[Checker ID],$Q$4,RawData[[Error Type ]],$Q$5))</f>
        <v/>
      </c>
    </row>
    <row r="22639" spans="15:15" x14ac:dyDescent="0.25">
      <c r="O22639" s="20" t="str">
        <f>IF(N22639="","",COUNTIFS(RawData[[Date ]],N22639,RawData[Month List],$Q$6,RawData[Tour/Site],$Q$2,RawData[[Picker ID ]],$Q$3,RawData[Checker ID],$Q$4,RawData[[Error Type ]],$Q$5))</f>
        <v/>
      </c>
    </row>
    <row r="22640" spans="15:15" x14ac:dyDescent="0.25">
      <c r="O22640" s="20" t="str">
        <f>IF(N22640="","",COUNTIFS(RawData[[Date ]],N22640,RawData[Month List],$Q$6,RawData[Tour/Site],$Q$2,RawData[[Picker ID ]],$Q$3,RawData[Checker ID],$Q$4,RawData[[Error Type ]],$Q$5))</f>
        <v/>
      </c>
    </row>
    <row r="22641" spans="15:15" x14ac:dyDescent="0.25">
      <c r="O22641" s="20" t="str">
        <f>IF(N22641="","",COUNTIFS(RawData[[Date ]],N22641,RawData[Month List],$Q$6,RawData[Tour/Site],$Q$2,RawData[[Picker ID ]],$Q$3,RawData[Checker ID],$Q$4,RawData[[Error Type ]],$Q$5))</f>
        <v/>
      </c>
    </row>
    <row r="22642" spans="15:15" x14ac:dyDescent="0.25">
      <c r="O22642" s="20" t="str">
        <f>IF(N22642="","",COUNTIFS(RawData[[Date ]],N22642,RawData[Month List],$Q$6,RawData[Tour/Site],$Q$2,RawData[[Picker ID ]],$Q$3,RawData[Checker ID],$Q$4,RawData[[Error Type ]],$Q$5))</f>
        <v/>
      </c>
    </row>
    <row r="22643" spans="15:15" x14ac:dyDescent="0.25">
      <c r="O22643" s="20" t="str">
        <f>IF(N22643="","",COUNTIFS(RawData[[Date ]],N22643,RawData[Month List],$Q$6,RawData[Tour/Site],$Q$2,RawData[[Picker ID ]],$Q$3,RawData[Checker ID],$Q$4,RawData[[Error Type ]],$Q$5))</f>
        <v/>
      </c>
    </row>
    <row r="22644" spans="15:15" x14ac:dyDescent="0.25">
      <c r="O22644" s="20" t="str">
        <f>IF(N22644="","",COUNTIFS(RawData[[Date ]],N22644,RawData[Month List],$Q$6,RawData[Tour/Site],$Q$2,RawData[[Picker ID ]],$Q$3,RawData[Checker ID],$Q$4,RawData[[Error Type ]],$Q$5))</f>
        <v/>
      </c>
    </row>
    <row r="22645" spans="15:15" x14ac:dyDescent="0.25">
      <c r="O22645" s="20" t="str">
        <f>IF(N22645="","",COUNTIFS(RawData[[Date ]],N22645,RawData[Month List],$Q$6,RawData[Tour/Site],$Q$2,RawData[[Picker ID ]],$Q$3,RawData[Checker ID],$Q$4,RawData[[Error Type ]],$Q$5))</f>
        <v/>
      </c>
    </row>
    <row r="22646" spans="15:15" x14ac:dyDescent="0.25">
      <c r="O22646" s="20" t="str">
        <f>IF(N22646="","",COUNTIFS(RawData[[Date ]],N22646,RawData[Month List],$Q$6,RawData[Tour/Site],$Q$2,RawData[[Picker ID ]],$Q$3,RawData[Checker ID],$Q$4,RawData[[Error Type ]],$Q$5))</f>
        <v/>
      </c>
    </row>
    <row r="22647" spans="15:15" x14ac:dyDescent="0.25">
      <c r="O22647" s="20" t="str">
        <f>IF(N22647="","",COUNTIFS(RawData[[Date ]],N22647,RawData[Month List],$Q$6,RawData[Tour/Site],$Q$2,RawData[[Picker ID ]],$Q$3,RawData[Checker ID],$Q$4,RawData[[Error Type ]],$Q$5))</f>
        <v/>
      </c>
    </row>
    <row r="22648" spans="15:15" x14ac:dyDescent="0.25">
      <c r="O22648" s="20" t="str">
        <f>IF(N22648="","",COUNTIFS(RawData[[Date ]],N22648,RawData[Month List],$Q$6,RawData[Tour/Site],$Q$2,RawData[[Picker ID ]],$Q$3,RawData[Checker ID],$Q$4,RawData[[Error Type ]],$Q$5))</f>
        <v/>
      </c>
    </row>
    <row r="22649" spans="15:15" x14ac:dyDescent="0.25">
      <c r="O22649" s="20" t="str">
        <f>IF(N22649="","",COUNTIFS(RawData[[Date ]],N22649,RawData[Month List],$Q$6,RawData[Tour/Site],$Q$2,RawData[[Picker ID ]],$Q$3,RawData[Checker ID],$Q$4,RawData[[Error Type ]],$Q$5))</f>
        <v/>
      </c>
    </row>
    <row r="22650" spans="15:15" x14ac:dyDescent="0.25">
      <c r="O22650" s="20" t="str">
        <f>IF(N22650="","",COUNTIFS(RawData[[Date ]],N22650,RawData[Month List],$Q$6,RawData[Tour/Site],$Q$2,RawData[[Picker ID ]],$Q$3,RawData[Checker ID],$Q$4,RawData[[Error Type ]],$Q$5))</f>
        <v/>
      </c>
    </row>
    <row r="22651" spans="15:15" x14ac:dyDescent="0.25">
      <c r="O22651" s="20" t="str">
        <f>IF(N22651="","",COUNTIFS(RawData[[Date ]],N22651,RawData[Month List],$Q$6,RawData[Tour/Site],$Q$2,RawData[[Picker ID ]],$Q$3,RawData[Checker ID],$Q$4,RawData[[Error Type ]],$Q$5))</f>
        <v/>
      </c>
    </row>
    <row r="22652" spans="15:15" x14ac:dyDescent="0.25">
      <c r="O22652" s="20" t="str">
        <f>IF(N22652="","",COUNTIFS(RawData[[Date ]],N22652,RawData[Month List],$Q$6,RawData[Tour/Site],$Q$2,RawData[[Picker ID ]],$Q$3,RawData[Checker ID],$Q$4,RawData[[Error Type ]],$Q$5))</f>
        <v/>
      </c>
    </row>
    <row r="22653" spans="15:15" x14ac:dyDescent="0.25">
      <c r="O22653" s="20" t="str">
        <f>IF(N22653="","",COUNTIFS(RawData[[Date ]],N22653,RawData[Month List],$Q$6,RawData[Tour/Site],$Q$2,RawData[[Picker ID ]],$Q$3,RawData[Checker ID],$Q$4,RawData[[Error Type ]],$Q$5))</f>
        <v/>
      </c>
    </row>
    <row r="22654" spans="15:15" x14ac:dyDescent="0.25">
      <c r="O22654" s="20" t="str">
        <f>IF(N22654="","",COUNTIFS(RawData[[Date ]],N22654,RawData[Month List],$Q$6,RawData[Tour/Site],$Q$2,RawData[[Picker ID ]],$Q$3,RawData[Checker ID],$Q$4,RawData[[Error Type ]],$Q$5))</f>
        <v/>
      </c>
    </row>
    <row r="22655" spans="15:15" x14ac:dyDescent="0.25">
      <c r="O22655" s="20" t="str">
        <f>IF(N22655="","",COUNTIFS(RawData[[Date ]],N22655,RawData[Month List],$Q$6,RawData[Tour/Site],$Q$2,RawData[[Picker ID ]],$Q$3,RawData[Checker ID],$Q$4,RawData[[Error Type ]],$Q$5))</f>
        <v/>
      </c>
    </row>
    <row r="22656" spans="15:15" x14ac:dyDescent="0.25">
      <c r="O22656" s="20" t="str">
        <f>IF(N22656="","",COUNTIFS(RawData[[Date ]],N22656,RawData[Month List],$Q$6,RawData[Tour/Site],$Q$2,RawData[[Picker ID ]],$Q$3,RawData[Checker ID],$Q$4,RawData[[Error Type ]],$Q$5))</f>
        <v/>
      </c>
    </row>
    <row r="22657" spans="15:15" x14ac:dyDescent="0.25">
      <c r="O22657" s="20" t="str">
        <f>IF(N22657="","",COUNTIFS(RawData[[Date ]],N22657,RawData[Month List],$Q$6,RawData[Tour/Site],$Q$2,RawData[[Picker ID ]],$Q$3,RawData[Checker ID],$Q$4,RawData[[Error Type ]],$Q$5))</f>
        <v/>
      </c>
    </row>
    <row r="22658" spans="15:15" x14ac:dyDescent="0.25">
      <c r="O22658" s="20" t="str">
        <f>IF(N22658="","",COUNTIFS(RawData[[Date ]],N22658,RawData[Month List],$Q$6,RawData[Tour/Site],$Q$2,RawData[[Picker ID ]],$Q$3,RawData[Checker ID],$Q$4,RawData[[Error Type ]],$Q$5))</f>
        <v/>
      </c>
    </row>
    <row r="22659" spans="15:15" x14ac:dyDescent="0.25">
      <c r="O22659" s="20" t="str">
        <f>IF(N22659="","",COUNTIFS(RawData[[Date ]],N22659,RawData[Month List],$Q$6,RawData[Tour/Site],$Q$2,RawData[[Picker ID ]],$Q$3,RawData[Checker ID],$Q$4,RawData[[Error Type ]],$Q$5))</f>
        <v/>
      </c>
    </row>
    <row r="22660" spans="15:15" x14ac:dyDescent="0.25">
      <c r="O22660" s="20" t="str">
        <f>IF(N22660="","",COUNTIFS(RawData[[Date ]],N22660,RawData[Month List],$Q$6,RawData[Tour/Site],$Q$2,RawData[[Picker ID ]],$Q$3,RawData[Checker ID],$Q$4,RawData[[Error Type ]],$Q$5))</f>
        <v/>
      </c>
    </row>
    <row r="22661" spans="15:15" x14ac:dyDescent="0.25">
      <c r="O22661" s="20" t="str">
        <f>IF(N22661="","",COUNTIFS(RawData[[Date ]],N22661,RawData[Month List],$Q$6,RawData[Tour/Site],$Q$2,RawData[[Picker ID ]],$Q$3,RawData[Checker ID],$Q$4,RawData[[Error Type ]],$Q$5))</f>
        <v/>
      </c>
    </row>
    <row r="22662" spans="15:15" x14ac:dyDescent="0.25">
      <c r="O22662" s="20" t="str">
        <f>IF(N22662="","",COUNTIFS(RawData[[Date ]],N22662,RawData[Month List],$Q$6,RawData[Tour/Site],$Q$2,RawData[[Picker ID ]],$Q$3,RawData[Checker ID],$Q$4,RawData[[Error Type ]],$Q$5))</f>
        <v/>
      </c>
    </row>
    <row r="22663" spans="15:15" x14ac:dyDescent="0.25">
      <c r="O22663" s="20" t="str">
        <f>IF(N22663="","",COUNTIFS(RawData[[Date ]],N22663,RawData[Month List],$Q$6,RawData[Tour/Site],$Q$2,RawData[[Picker ID ]],$Q$3,RawData[Checker ID],$Q$4,RawData[[Error Type ]],$Q$5))</f>
        <v/>
      </c>
    </row>
    <row r="22664" spans="15:15" x14ac:dyDescent="0.25">
      <c r="O22664" s="20" t="str">
        <f>IF(N22664="","",COUNTIFS(RawData[[Date ]],N22664,RawData[Month List],$Q$6,RawData[Tour/Site],$Q$2,RawData[[Picker ID ]],$Q$3,RawData[Checker ID],$Q$4,RawData[[Error Type ]],$Q$5))</f>
        <v/>
      </c>
    </row>
    <row r="22665" spans="15:15" x14ac:dyDescent="0.25">
      <c r="O22665" s="20" t="str">
        <f>IF(N22665="","",COUNTIFS(RawData[[Date ]],N22665,RawData[Month List],$Q$6,RawData[Tour/Site],$Q$2,RawData[[Picker ID ]],$Q$3,RawData[Checker ID],$Q$4,RawData[[Error Type ]],$Q$5))</f>
        <v/>
      </c>
    </row>
    <row r="22666" spans="15:15" x14ac:dyDescent="0.25">
      <c r="O22666" s="20" t="str">
        <f>IF(N22666="","",COUNTIFS(RawData[[Date ]],N22666,RawData[Month List],$Q$6,RawData[Tour/Site],$Q$2,RawData[[Picker ID ]],$Q$3,RawData[Checker ID],$Q$4,RawData[[Error Type ]],$Q$5))</f>
        <v/>
      </c>
    </row>
    <row r="22667" spans="15:15" x14ac:dyDescent="0.25">
      <c r="O22667" s="20" t="str">
        <f>IF(N22667="","",COUNTIFS(RawData[[Date ]],N22667,RawData[Month List],$Q$6,RawData[Tour/Site],$Q$2,RawData[[Picker ID ]],$Q$3,RawData[Checker ID],$Q$4,RawData[[Error Type ]],$Q$5))</f>
        <v/>
      </c>
    </row>
    <row r="22668" spans="15:15" x14ac:dyDescent="0.25">
      <c r="O22668" s="20" t="str">
        <f>IF(N22668="","",COUNTIFS(RawData[[Date ]],N22668,RawData[Month List],$Q$6,RawData[Tour/Site],$Q$2,RawData[[Picker ID ]],$Q$3,RawData[Checker ID],$Q$4,RawData[[Error Type ]],$Q$5))</f>
        <v/>
      </c>
    </row>
    <row r="22669" spans="15:15" x14ac:dyDescent="0.25">
      <c r="O22669" s="20" t="str">
        <f>IF(N22669="","",COUNTIFS(RawData[[Date ]],N22669,RawData[Month List],$Q$6,RawData[Tour/Site],$Q$2,RawData[[Picker ID ]],$Q$3,RawData[Checker ID],$Q$4,RawData[[Error Type ]],$Q$5))</f>
        <v/>
      </c>
    </row>
    <row r="22670" spans="15:15" x14ac:dyDescent="0.25">
      <c r="O22670" s="20" t="str">
        <f>IF(N22670="","",COUNTIFS(RawData[[Date ]],N22670,RawData[Month List],$Q$6,RawData[Tour/Site],$Q$2,RawData[[Picker ID ]],$Q$3,RawData[Checker ID],$Q$4,RawData[[Error Type ]],$Q$5))</f>
        <v/>
      </c>
    </row>
    <row r="22671" spans="15:15" x14ac:dyDescent="0.25">
      <c r="O22671" s="20" t="str">
        <f>IF(N22671="","",COUNTIFS(RawData[[Date ]],N22671,RawData[Month List],$Q$6,RawData[Tour/Site],$Q$2,RawData[[Picker ID ]],$Q$3,RawData[Checker ID],$Q$4,RawData[[Error Type ]],$Q$5))</f>
        <v/>
      </c>
    </row>
    <row r="22672" spans="15:15" x14ac:dyDescent="0.25">
      <c r="O22672" s="20" t="str">
        <f>IF(N22672="","",COUNTIFS(RawData[[Date ]],N22672,RawData[Month List],$Q$6,RawData[Tour/Site],$Q$2,RawData[[Picker ID ]],$Q$3,RawData[Checker ID],$Q$4,RawData[[Error Type ]],$Q$5))</f>
        <v/>
      </c>
    </row>
    <row r="22673" spans="15:15" x14ac:dyDescent="0.25">
      <c r="O22673" s="20" t="str">
        <f>IF(N22673="","",COUNTIFS(RawData[[Date ]],N22673,RawData[Month List],$Q$6,RawData[Tour/Site],$Q$2,RawData[[Picker ID ]],$Q$3,RawData[Checker ID],$Q$4,RawData[[Error Type ]],$Q$5))</f>
        <v/>
      </c>
    </row>
    <row r="22674" spans="15:15" x14ac:dyDescent="0.25">
      <c r="O22674" s="20" t="str">
        <f>IF(N22674="","",COUNTIFS(RawData[[Date ]],N22674,RawData[Month List],$Q$6,RawData[Tour/Site],$Q$2,RawData[[Picker ID ]],$Q$3,RawData[Checker ID],$Q$4,RawData[[Error Type ]],$Q$5))</f>
        <v/>
      </c>
    </row>
    <row r="22675" spans="15:15" x14ac:dyDescent="0.25">
      <c r="O22675" s="20" t="str">
        <f>IF(N22675="","",COUNTIFS(RawData[[Date ]],N22675,RawData[Month List],$Q$6,RawData[Tour/Site],$Q$2,RawData[[Picker ID ]],$Q$3,RawData[Checker ID],$Q$4,RawData[[Error Type ]],$Q$5))</f>
        <v/>
      </c>
    </row>
    <row r="22676" spans="15:15" x14ac:dyDescent="0.25">
      <c r="O22676" s="20" t="str">
        <f>IF(N22676="","",COUNTIFS(RawData[[Date ]],N22676,RawData[Month List],$Q$6,RawData[Tour/Site],$Q$2,RawData[[Picker ID ]],$Q$3,RawData[Checker ID],$Q$4,RawData[[Error Type ]],$Q$5))</f>
        <v/>
      </c>
    </row>
    <row r="22677" spans="15:15" x14ac:dyDescent="0.25">
      <c r="O22677" s="20" t="str">
        <f>IF(N22677="","",COUNTIFS(RawData[[Date ]],N22677,RawData[Month List],$Q$6,RawData[Tour/Site],$Q$2,RawData[[Picker ID ]],$Q$3,RawData[Checker ID],$Q$4,RawData[[Error Type ]],$Q$5))</f>
        <v/>
      </c>
    </row>
    <row r="22678" spans="15:15" x14ac:dyDescent="0.25">
      <c r="O22678" s="20" t="str">
        <f>IF(N22678="","",COUNTIFS(RawData[[Date ]],N22678,RawData[Month List],$Q$6,RawData[Tour/Site],$Q$2,RawData[[Picker ID ]],$Q$3,RawData[Checker ID],$Q$4,RawData[[Error Type ]],$Q$5))</f>
        <v/>
      </c>
    </row>
    <row r="22679" spans="15:15" x14ac:dyDescent="0.25">
      <c r="O22679" s="20" t="str">
        <f>IF(N22679="","",COUNTIFS(RawData[[Date ]],N22679,RawData[Month List],$Q$6,RawData[Tour/Site],$Q$2,RawData[[Picker ID ]],$Q$3,RawData[Checker ID],$Q$4,RawData[[Error Type ]],$Q$5))</f>
        <v/>
      </c>
    </row>
    <row r="22680" spans="15:15" x14ac:dyDescent="0.25">
      <c r="O22680" s="20" t="str">
        <f>IF(N22680="","",COUNTIFS(RawData[[Date ]],N22680,RawData[Month List],$Q$6,RawData[Tour/Site],$Q$2,RawData[[Picker ID ]],$Q$3,RawData[Checker ID],$Q$4,RawData[[Error Type ]],$Q$5))</f>
        <v/>
      </c>
    </row>
    <row r="22681" spans="15:15" x14ac:dyDescent="0.25">
      <c r="O22681" s="20" t="str">
        <f>IF(N22681="","",COUNTIFS(RawData[[Date ]],N22681,RawData[Month List],$Q$6,RawData[Tour/Site],$Q$2,RawData[[Picker ID ]],$Q$3,RawData[Checker ID],$Q$4,RawData[[Error Type ]],$Q$5))</f>
        <v/>
      </c>
    </row>
    <row r="22682" spans="15:15" x14ac:dyDescent="0.25">
      <c r="O22682" s="20" t="str">
        <f>IF(N22682="","",COUNTIFS(RawData[[Date ]],N22682,RawData[Month List],$Q$6,RawData[Tour/Site],$Q$2,RawData[[Picker ID ]],$Q$3,RawData[Checker ID],$Q$4,RawData[[Error Type ]],$Q$5))</f>
        <v/>
      </c>
    </row>
    <row r="22683" spans="15:15" x14ac:dyDescent="0.25">
      <c r="O22683" s="20" t="str">
        <f>IF(N22683="","",COUNTIFS(RawData[[Date ]],N22683,RawData[Month List],$Q$6,RawData[Tour/Site],$Q$2,RawData[[Picker ID ]],$Q$3,RawData[Checker ID],$Q$4,RawData[[Error Type ]],$Q$5))</f>
        <v/>
      </c>
    </row>
    <row r="22684" spans="15:15" x14ac:dyDescent="0.25">
      <c r="O22684" s="20" t="str">
        <f>IF(N22684="","",COUNTIFS(RawData[[Date ]],N22684,RawData[Month List],$Q$6,RawData[Tour/Site],$Q$2,RawData[[Picker ID ]],$Q$3,RawData[Checker ID],$Q$4,RawData[[Error Type ]],$Q$5))</f>
        <v/>
      </c>
    </row>
    <row r="22685" spans="15:15" x14ac:dyDescent="0.25">
      <c r="O22685" s="20" t="str">
        <f>IF(N22685="","",COUNTIFS(RawData[[Date ]],N22685,RawData[Month List],$Q$6,RawData[Tour/Site],$Q$2,RawData[[Picker ID ]],$Q$3,RawData[Checker ID],$Q$4,RawData[[Error Type ]],$Q$5))</f>
        <v/>
      </c>
    </row>
    <row r="22686" spans="15:15" x14ac:dyDescent="0.25">
      <c r="O22686" s="20" t="str">
        <f>IF(N22686="","",COUNTIFS(RawData[[Date ]],N22686,RawData[Month List],$Q$6,RawData[Tour/Site],$Q$2,RawData[[Picker ID ]],$Q$3,RawData[Checker ID],$Q$4,RawData[[Error Type ]],$Q$5))</f>
        <v/>
      </c>
    </row>
    <row r="22687" spans="15:15" x14ac:dyDescent="0.25">
      <c r="O22687" s="20" t="str">
        <f>IF(N22687="","",COUNTIFS(RawData[[Date ]],N22687,RawData[Month List],$Q$6,RawData[Tour/Site],$Q$2,RawData[[Picker ID ]],$Q$3,RawData[Checker ID],$Q$4,RawData[[Error Type ]],$Q$5))</f>
        <v/>
      </c>
    </row>
    <row r="22688" spans="15:15" x14ac:dyDescent="0.25">
      <c r="O22688" s="20" t="str">
        <f>IF(N22688="","",COUNTIFS(RawData[[Date ]],N22688,RawData[Month List],$Q$6,RawData[Tour/Site],$Q$2,RawData[[Picker ID ]],$Q$3,RawData[Checker ID],$Q$4,RawData[[Error Type ]],$Q$5))</f>
        <v/>
      </c>
    </row>
    <row r="22689" spans="15:15" x14ac:dyDescent="0.25">
      <c r="O22689" s="20" t="str">
        <f>IF(N22689="","",COUNTIFS(RawData[[Date ]],N22689,RawData[Month List],$Q$6,RawData[Tour/Site],$Q$2,RawData[[Picker ID ]],$Q$3,RawData[Checker ID],$Q$4,RawData[[Error Type ]],$Q$5))</f>
        <v/>
      </c>
    </row>
    <row r="22690" spans="15:15" x14ac:dyDescent="0.25">
      <c r="O22690" s="20" t="str">
        <f>IF(N22690="","",COUNTIFS(RawData[[Date ]],N22690,RawData[Month List],$Q$6,RawData[Tour/Site],$Q$2,RawData[[Picker ID ]],$Q$3,RawData[Checker ID],$Q$4,RawData[[Error Type ]],$Q$5))</f>
        <v/>
      </c>
    </row>
    <row r="22691" spans="15:15" x14ac:dyDescent="0.25">
      <c r="O22691" s="20" t="str">
        <f>IF(N22691="","",COUNTIFS(RawData[[Date ]],N22691,RawData[Month List],$Q$6,RawData[Tour/Site],$Q$2,RawData[[Picker ID ]],$Q$3,RawData[Checker ID],$Q$4,RawData[[Error Type ]],$Q$5))</f>
        <v/>
      </c>
    </row>
    <row r="22692" spans="15:15" x14ac:dyDescent="0.25">
      <c r="O22692" s="20" t="str">
        <f>IF(N22692="","",COUNTIFS(RawData[[Date ]],N22692,RawData[Month List],$Q$6,RawData[Tour/Site],$Q$2,RawData[[Picker ID ]],$Q$3,RawData[Checker ID],$Q$4,RawData[[Error Type ]],$Q$5))</f>
        <v/>
      </c>
    </row>
    <row r="22693" spans="15:15" x14ac:dyDescent="0.25">
      <c r="O22693" s="20" t="str">
        <f>IF(N22693="","",COUNTIFS(RawData[[Date ]],N22693,RawData[Month List],$Q$6,RawData[Tour/Site],$Q$2,RawData[[Picker ID ]],$Q$3,RawData[Checker ID],$Q$4,RawData[[Error Type ]],$Q$5))</f>
        <v/>
      </c>
    </row>
    <row r="22694" spans="15:15" x14ac:dyDescent="0.25">
      <c r="O22694" s="20" t="str">
        <f>IF(N22694="","",COUNTIFS(RawData[[Date ]],N22694,RawData[Month List],$Q$6,RawData[Tour/Site],$Q$2,RawData[[Picker ID ]],$Q$3,RawData[Checker ID],$Q$4,RawData[[Error Type ]],$Q$5))</f>
        <v/>
      </c>
    </row>
    <row r="22695" spans="15:15" x14ac:dyDescent="0.25">
      <c r="O22695" s="20" t="str">
        <f>IF(N22695="","",COUNTIFS(RawData[[Date ]],N22695,RawData[Month List],$Q$6,RawData[Tour/Site],$Q$2,RawData[[Picker ID ]],$Q$3,RawData[Checker ID],$Q$4,RawData[[Error Type ]],$Q$5))</f>
        <v/>
      </c>
    </row>
    <row r="22696" spans="15:15" x14ac:dyDescent="0.25">
      <c r="O22696" s="20" t="str">
        <f>IF(N22696="","",COUNTIFS(RawData[[Date ]],N22696,RawData[Month List],$Q$6,RawData[Tour/Site],$Q$2,RawData[[Picker ID ]],$Q$3,RawData[Checker ID],$Q$4,RawData[[Error Type ]],$Q$5))</f>
        <v/>
      </c>
    </row>
    <row r="22697" spans="15:15" x14ac:dyDescent="0.25">
      <c r="O22697" s="20" t="str">
        <f>IF(N22697="","",COUNTIFS(RawData[[Date ]],N22697,RawData[Month List],$Q$6,RawData[Tour/Site],$Q$2,RawData[[Picker ID ]],$Q$3,RawData[Checker ID],$Q$4,RawData[[Error Type ]],$Q$5))</f>
        <v/>
      </c>
    </row>
    <row r="22698" spans="15:15" x14ac:dyDescent="0.25">
      <c r="O22698" s="20" t="str">
        <f>IF(N22698="","",COUNTIFS(RawData[[Date ]],N22698,RawData[Month List],$Q$6,RawData[Tour/Site],$Q$2,RawData[[Picker ID ]],$Q$3,RawData[Checker ID],$Q$4,RawData[[Error Type ]],$Q$5))</f>
        <v/>
      </c>
    </row>
    <row r="22699" spans="15:15" x14ac:dyDescent="0.25">
      <c r="O22699" s="20" t="str">
        <f>IF(N22699="","",COUNTIFS(RawData[[Date ]],N22699,RawData[Month List],$Q$6,RawData[Tour/Site],$Q$2,RawData[[Picker ID ]],$Q$3,RawData[Checker ID],$Q$4,RawData[[Error Type ]],$Q$5))</f>
        <v/>
      </c>
    </row>
    <row r="22700" spans="15:15" x14ac:dyDescent="0.25">
      <c r="O22700" s="20" t="str">
        <f>IF(N22700="","",COUNTIFS(RawData[[Date ]],N22700,RawData[Month List],$Q$6,RawData[Tour/Site],$Q$2,RawData[[Picker ID ]],$Q$3,RawData[Checker ID],$Q$4,RawData[[Error Type ]],$Q$5))</f>
        <v/>
      </c>
    </row>
    <row r="22701" spans="15:15" x14ac:dyDescent="0.25">
      <c r="O22701" s="20" t="str">
        <f>IF(N22701="","",COUNTIFS(RawData[[Date ]],N22701,RawData[Month List],$Q$6,RawData[Tour/Site],$Q$2,RawData[[Picker ID ]],$Q$3,RawData[Checker ID],$Q$4,RawData[[Error Type ]],$Q$5))</f>
        <v/>
      </c>
    </row>
    <row r="22702" spans="15:15" x14ac:dyDescent="0.25">
      <c r="O22702" s="20" t="str">
        <f>IF(N22702="","",COUNTIFS(RawData[[Date ]],N22702,RawData[Month List],$Q$6,RawData[Tour/Site],$Q$2,RawData[[Picker ID ]],$Q$3,RawData[Checker ID],$Q$4,RawData[[Error Type ]],$Q$5))</f>
        <v/>
      </c>
    </row>
    <row r="22703" spans="15:15" x14ac:dyDescent="0.25">
      <c r="O22703" s="20" t="str">
        <f>IF(N22703="","",COUNTIFS(RawData[[Date ]],N22703,RawData[Month List],$Q$6,RawData[Tour/Site],$Q$2,RawData[[Picker ID ]],$Q$3,RawData[Checker ID],$Q$4,RawData[[Error Type ]],$Q$5))</f>
        <v/>
      </c>
    </row>
    <row r="22704" spans="15:15" x14ac:dyDescent="0.25">
      <c r="O22704" s="20" t="str">
        <f>IF(N22704="","",COUNTIFS(RawData[[Date ]],N22704,RawData[Month List],$Q$6,RawData[Tour/Site],$Q$2,RawData[[Picker ID ]],$Q$3,RawData[Checker ID],$Q$4,RawData[[Error Type ]],$Q$5))</f>
        <v/>
      </c>
    </row>
    <row r="22705" spans="15:15" x14ac:dyDescent="0.25">
      <c r="O22705" s="20" t="str">
        <f>IF(N22705="","",COUNTIFS(RawData[[Date ]],N22705,RawData[Month List],$Q$6,RawData[Tour/Site],$Q$2,RawData[[Picker ID ]],$Q$3,RawData[Checker ID],$Q$4,RawData[[Error Type ]],$Q$5))</f>
        <v/>
      </c>
    </row>
    <row r="22706" spans="15:15" x14ac:dyDescent="0.25">
      <c r="O22706" s="20" t="str">
        <f>IF(N22706="","",COUNTIFS(RawData[[Date ]],N22706,RawData[Month List],$Q$6,RawData[Tour/Site],$Q$2,RawData[[Picker ID ]],$Q$3,RawData[Checker ID],$Q$4,RawData[[Error Type ]],$Q$5))</f>
        <v/>
      </c>
    </row>
    <row r="22707" spans="15:15" x14ac:dyDescent="0.25">
      <c r="O22707" s="20" t="str">
        <f>IF(N22707="","",COUNTIFS(RawData[[Date ]],N22707,RawData[Month List],$Q$6,RawData[Tour/Site],$Q$2,RawData[[Picker ID ]],$Q$3,RawData[Checker ID],$Q$4,RawData[[Error Type ]],$Q$5))</f>
        <v/>
      </c>
    </row>
    <row r="22708" spans="15:15" x14ac:dyDescent="0.25">
      <c r="O22708" s="20" t="str">
        <f>IF(N22708="","",COUNTIFS(RawData[[Date ]],N22708,RawData[Month List],$Q$6,RawData[Tour/Site],$Q$2,RawData[[Picker ID ]],$Q$3,RawData[Checker ID],$Q$4,RawData[[Error Type ]],$Q$5))</f>
        <v/>
      </c>
    </row>
    <row r="22709" spans="15:15" x14ac:dyDescent="0.25">
      <c r="O22709" s="20" t="str">
        <f>IF(N22709="","",COUNTIFS(RawData[[Date ]],N22709,RawData[Month List],$Q$6,RawData[Tour/Site],$Q$2,RawData[[Picker ID ]],$Q$3,RawData[Checker ID],$Q$4,RawData[[Error Type ]],$Q$5))</f>
        <v/>
      </c>
    </row>
    <row r="22710" spans="15:15" x14ac:dyDescent="0.25">
      <c r="O22710" s="20" t="str">
        <f>IF(N22710="","",COUNTIFS(RawData[[Date ]],N22710,RawData[Month List],$Q$6,RawData[Tour/Site],$Q$2,RawData[[Picker ID ]],$Q$3,RawData[Checker ID],$Q$4,RawData[[Error Type ]],$Q$5))</f>
        <v/>
      </c>
    </row>
    <row r="22711" spans="15:15" x14ac:dyDescent="0.25">
      <c r="O22711" s="20" t="str">
        <f>IF(N22711="","",COUNTIFS(RawData[[Date ]],N22711,RawData[Month List],$Q$6,RawData[Tour/Site],$Q$2,RawData[[Picker ID ]],$Q$3,RawData[Checker ID],$Q$4,RawData[[Error Type ]],$Q$5))</f>
        <v/>
      </c>
    </row>
    <row r="22712" spans="15:15" x14ac:dyDescent="0.25">
      <c r="O22712" s="20" t="str">
        <f>IF(N22712="","",COUNTIFS(RawData[[Date ]],N22712,RawData[Month List],$Q$6,RawData[Tour/Site],$Q$2,RawData[[Picker ID ]],$Q$3,RawData[Checker ID],$Q$4,RawData[[Error Type ]],$Q$5))</f>
        <v/>
      </c>
    </row>
    <row r="22713" spans="15:15" x14ac:dyDescent="0.25">
      <c r="O22713" s="20" t="str">
        <f>IF(N22713="","",COUNTIFS(RawData[[Date ]],N22713,RawData[Month List],$Q$6,RawData[Tour/Site],$Q$2,RawData[[Picker ID ]],$Q$3,RawData[Checker ID],$Q$4,RawData[[Error Type ]],$Q$5))</f>
        <v/>
      </c>
    </row>
    <row r="22714" spans="15:15" x14ac:dyDescent="0.25">
      <c r="O22714" s="20" t="str">
        <f>IF(N22714="","",COUNTIFS(RawData[[Date ]],N22714,RawData[Month List],$Q$6,RawData[Tour/Site],$Q$2,RawData[[Picker ID ]],$Q$3,RawData[Checker ID],$Q$4,RawData[[Error Type ]],$Q$5))</f>
        <v/>
      </c>
    </row>
    <row r="22715" spans="15:15" x14ac:dyDescent="0.25">
      <c r="O22715" s="20" t="str">
        <f>IF(N22715="","",COUNTIFS(RawData[[Date ]],N22715,RawData[Month List],$Q$6,RawData[Tour/Site],$Q$2,RawData[[Picker ID ]],$Q$3,RawData[Checker ID],$Q$4,RawData[[Error Type ]],$Q$5))</f>
        <v/>
      </c>
    </row>
    <row r="22716" spans="15:15" x14ac:dyDescent="0.25">
      <c r="O22716" s="20" t="str">
        <f>IF(N22716="","",COUNTIFS(RawData[[Date ]],N22716,RawData[Month List],$Q$6,RawData[Tour/Site],$Q$2,RawData[[Picker ID ]],$Q$3,RawData[Checker ID],$Q$4,RawData[[Error Type ]],$Q$5))</f>
        <v/>
      </c>
    </row>
    <row r="22717" spans="15:15" x14ac:dyDescent="0.25">
      <c r="O22717" s="20" t="str">
        <f>IF(N22717="","",COUNTIFS(RawData[[Date ]],N22717,RawData[Month List],$Q$6,RawData[Tour/Site],$Q$2,RawData[[Picker ID ]],$Q$3,RawData[Checker ID],$Q$4,RawData[[Error Type ]],$Q$5))</f>
        <v/>
      </c>
    </row>
    <row r="22718" spans="15:15" x14ac:dyDescent="0.25">
      <c r="O22718" s="20" t="str">
        <f>IF(N22718="","",COUNTIFS(RawData[[Date ]],N22718,RawData[Month List],$Q$6,RawData[Tour/Site],$Q$2,RawData[[Picker ID ]],$Q$3,RawData[Checker ID],$Q$4,RawData[[Error Type ]],$Q$5))</f>
        <v/>
      </c>
    </row>
    <row r="22719" spans="15:15" x14ac:dyDescent="0.25">
      <c r="O22719" s="20" t="str">
        <f>IF(N22719="","",COUNTIFS(RawData[[Date ]],N22719,RawData[Month List],$Q$6,RawData[Tour/Site],$Q$2,RawData[[Picker ID ]],$Q$3,RawData[Checker ID],$Q$4,RawData[[Error Type ]],$Q$5))</f>
        <v/>
      </c>
    </row>
    <row r="22720" spans="15:15" x14ac:dyDescent="0.25">
      <c r="O22720" s="20" t="str">
        <f>IF(N22720="","",COUNTIFS(RawData[[Date ]],N22720,RawData[Month List],$Q$6,RawData[Tour/Site],$Q$2,RawData[[Picker ID ]],$Q$3,RawData[Checker ID],$Q$4,RawData[[Error Type ]],$Q$5))</f>
        <v/>
      </c>
    </row>
    <row r="22721" spans="15:15" x14ac:dyDescent="0.25">
      <c r="O22721" s="20" t="str">
        <f>IF(N22721="","",COUNTIFS(RawData[[Date ]],N22721,RawData[Month List],$Q$6,RawData[Tour/Site],$Q$2,RawData[[Picker ID ]],$Q$3,RawData[Checker ID],$Q$4,RawData[[Error Type ]],$Q$5))</f>
        <v/>
      </c>
    </row>
    <row r="22722" spans="15:15" x14ac:dyDescent="0.25">
      <c r="O22722" s="20" t="str">
        <f>IF(N22722="","",COUNTIFS(RawData[[Date ]],N22722,RawData[Month List],$Q$6,RawData[Tour/Site],$Q$2,RawData[[Picker ID ]],$Q$3,RawData[Checker ID],$Q$4,RawData[[Error Type ]],$Q$5))</f>
        <v/>
      </c>
    </row>
    <row r="22723" spans="15:15" x14ac:dyDescent="0.25">
      <c r="O22723" s="20" t="str">
        <f>IF(N22723="","",COUNTIFS(RawData[[Date ]],N22723,RawData[Month List],$Q$6,RawData[Tour/Site],$Q$2,RawData[[Picker ID ]],$Q$3,RawData[Checker ID],$Q$4,RawData[[Error Type ]],$Q$5))</f>
        <v/>
      </c>
    </row>
    <row r="22724" spans="15:15" x14ac:dyDescent="0.25">
      <c r="O22724" s="20" t="str">
        <f>IF(N22724="","",COUNTIFS(RawData[[Date ]],N22724,RawData[Month List],$Q$6,RawData[Tour/Site],$Q$2,RawData[[Picker ID ]],$Q$3,RawData[Checker ID],$Q$4,RawData[[Error Type ]],$Q$5))</f>
        <v/>
      </c>
    </row>
    <row r="22725" spans="15:15" x14ac:dyDescent="0.25">
      <c r="O22725" s="20" t="str">
        <f>IF(N22725="","",COUNTIFS(RawData[[Date ]],N22725,RawData[Month List],$Q$6,RawData[Tour/Site],$Q$2,RawData[[Picker ID ]],$Q$3,RawData[Checker ID],$Q$4,RawData[[Error Type ]],$Q$5))</f>
        <v/>
      </c>
    </row>
    <row r="22726" spans="15:15" x14ac:dyDescent="0.25">
      <c r="O22726" s="20" t="str">
        <f>IF(N22726="","",COUNTIFS(RawData[[Date ]],N22726,RawData[Month List],$Q$6,RawData[Tour/Site],$Q$2,RawData[[Picker ID ]],$Q$3,RawData[Checker ID],$Q$4,RawData[[Error Type ]],$Q$5))</f>
        <v/>
      </c>
    </row>
    <row r="22727" spans="15:15" x14ac:dyDescent="0.25">
      <c r="O22727" s="20" t="str">
        <f>IF(N22727="","",COUNTIFS(RawData[[Date ]],N22727,RawData[Month List],$Q$6,RawData[Tour/Site],$Q$2,RawData[[Picker ID ]],$Q$3,RawData[Checker ID],$Q$4,RawData[[Error Type ]],$Q$5))</f>
        <v/>
      </c>
    </row>
    <row r="22728" spans="15:15" x14ac:dyDescent="0.25">
      <c r="O22728" s="20" t="str">
        <f>IF(N22728="","",COUNTIFS(RawData[[Date ]],N22728,RawData[Month List],$Q$6,RawData[Tour/Site],$Q$2,RawData[[Picker ID ]],$Q$3,RawData[Checker ID],$Q$4,RawData[[Error Type ]],$Q$5))</f>
        <v/>
      </c>
    </row>
    <row r="22729" spans="15:15" x14ac:dyDescent="0.25">
      <c r="O22729" s="20" t="str">
        <f>IF(N22729="","",COUNTIFS(RawData[[Date ]],N22729,RawData[Month List],$Q$6,RawData[Tour/Site],$Q$2,RawData[[Picker ID ]],$Q$3,RawData[Checker ID],$Q$4,RawData[[Error Type ]],$Q$5))</f>
        <v/>
      </c>
    </row>
    <row r="22730" spans="15:15" x14ac:dyDescent="0.25">
      <c r="O22730" s="20" t="str">
        <f>IF(N22730="","",COUNTIFS(RawData[[Date ]],N22730,RawData[Month List],$Q$6,RawData[Tour/Site],$Q$2,RawData[[Picker ID ]],$Q$3,RawData[Checker ID],$Q$4,RawData[[Error Type ]],$Q$5))</f>
        <v/>
      </c>
    </row>
    <row r="22731" spans="15:15" x14ac:dyDescent="0.25">
      <c r="O22731" s="20" t="str">
        <f>IF(N22731="","",COUNTIFS(RawData[[Date ]],N22731,RawData[Month List],$Q$6,RawData[Tour/Site],$Q$2,RawData[[Picker ID ]],$Q$3,RawData[Checker ID],$Q$4,RawData[[Error Type ]],$Q$5))</f>
        <v/>
      </c>
    </row>
    <row r="22732" spans="15:15" x14ac:dyDescent="0.25">
      <c r="O22732" s="20" t="str">
        <f>IF(N22732="","",COUNTIFS(RawData[[Date ]],N22732,RawData[Month List],$Q$6,RawData[Tour/Site],$Q$2,RawData[[Picker ID ]],$Q$3,RawData[Checker ID],$Q$4,RawData[[Error Type ]],$Q$5))</f>
        <v/>
      </c>
    </row>
    <row r="22733" spans="15:15" x14ac:dyDescent="0.25">
      <c r="O22733" s="20" t="str">
        <f>IF(N22733="","",COUNTIFS(RawData[[Date ]],N22733,RawData[Month List],$Q$6,RawData[Tour/Site],$Q$2,RawData[[Picker ID ]],$Q$3,RawData[Checker ID],$Q$4,RawData[[Error Type ]],$Q$5))</f>
        <v/>
      </c>
    </row>
    <row r="22734" spans="15:15" x14ac:dyDescent="0.25">
      <c r="O22734" s="20" t="str">
        <f>IF(N22734="","",COUNTIFS(RawData[[Date ]],N22734,RawData[Month List],$Q$6,RawData[Tour/Site],$Q$2,RawData[[Picker ID ]],$Q$3,RawData[Checker ID],$Q$4,RawData[[Error Type ]],$Q$5))</f>
        <v/>
      </c>
    </row>
    <row r="22735" spans="15:15" x14ac:dyDescent="0.25">
      <c r="O22735" s="20" t="str">
        <f>IF(N22735="","",COUNTIFS(RawData[[Date ]],N22735,RawData[Month List],$Q$6,RawData[Tour/Site],$Q$2,RawData[[Picker ID ]],$Q$3,RawData[Checker ID],$Q$4,RawData[[Error Type ]],$Q$5))</f>
        <v/>
      </c>
    </row>
    <row r="22736" spans="15:15" x14ac:dyDescent="0.25">
      <c r="O22736" s="20" t="str">
        <f>IF(N22736="","",COUNTIFS(RawData[[Date ]],N22736,RawData[Month List],$Q$6,RawData[Tour/Site],$Q$2,RawData[[Picker ID ]],$Q$3,RawData[Checker ID],$Q$4,RawData[[Error Type ]],$Q$5))</f>
        <v/>
      </c>
    </row>
    <row r="22737" spans="15:15" x14ac:dyDescent="0.25">
      <c r="O22737" s="20" t="str">
        <f>IF(N22737="","",COUNTIFS(RawData[[Date ]],N22737,RawData[Month List],$Q$6,RawData[Tour/Site],$Q$2,RawData[[Picker ID ]],$Q$3,RawData[Checker ID],$Q$4,RawData[[Error Type ]],$Q$5))</f>
        <v/>
      </c>
    </row>
    <row r="22738" spans="15:15" x14ac:dyDescent="0.25">
      <c r="O22738" s="20" t="str">
        <f>IF(N22738="","",COUNTIFS(RawData[[Date ]],N22738,RawData[Month List],$Q$6,RawData[Tour/Site],$Q$2,RawData[[Picker ID ]],$Q$3,RawData[Checker ID],$Q$4,RawData[[Error Type ]],$Q$5))</f>
        <v/>
      </c>
    </row>
    <row r="22739" spans="15:15" x14ac:dyDescent="0.25">
      <c r="O22739" s="20" t="str">
        <f>IF(N22739="","",COUNTIFS(RawData[[Date ]],N22739,RawData[Month List],$Q$6,RawData[Tour/Site],$Q$2,RawData[[Picker ID ]],$Q$3,RawData[Checker ID],$Q$4,RawData[[Error Type ]],$Q$5))</f>
        <v/>
      </c>
    </row>
    <row r="22740" spans="15:15" x14ac:dyDescent="0.25">
      <c r="O22740" s="20" t="str">
        <f>IF(N22740="","",COUNTIFS(RawData[[Date ]],N22740,RawData[Month List],$Q$6,RawData[Tour/Site],$Q$2,RawData[[Picker ID ]],$Q$3,RawData[Checker ID],$Q$4,RawData[[Error Type ]],$Q$5))</f>
        <v/>
      </c>
    </row>
    <row r="22741" spans="15:15" x14ac:dyDescent="0.25">
      <c r="O22741" s="20" t="str">
        <f>IF(N22741="","",COUNTIFS(RawData[[Date ]],N22741,RawData[Month List],$Q$6,RawData[Tour/Site],$Q$2,RawData[[Picker ID ]],$Q$3,RawData[Checker ID],$Q$4,RawData[[Error Type ]],$Q$5))</f>
        <v/>
      </c>
    </row>
    <row r="22742" spans="15:15" x14ac:dyDescent="0.25">
      <c r="O22742" s="20" t="str">
        <f>IF(N22742="","",COUNTIFS(RawData[[Date ]],N22742,RawData[Month List],$Q$6,RawData[Tour/Site],$Q$2,RawData[[Picker ID ]],$Q$3,RawData[Checker ID],$Q$4,RawData[[Error Type ]],$Q$5))</f>
        <v/>
      </c>
    </row>
    <row r="22743" spans="15:15" x14ac:dyDescent="0.25">
      <c r="O22743" s="20" t="str">
        <f>IF(N22743="","",COUNTIFS(RawData[[Date ]],N22743,RawData[Month List],$Q$6,RawData[Tour/Site],$Q$2,RawData[[Picker ID ]],$Q$3,RawData[Checker ID],$Q$4,RawData[[Error Type ]],$Q$5))</f>
        <v/>
      </c>
    </row>
    <row r="22744" spans="15:15" x14ac:dyDescent="0.25">
      <c r="O22744" s="20" t="str">
        <f>IF(N22744="","",COUNTIFS(RawData[[Date ]],N22744,RawData[Month List],$Q$6,RawData[Tour/Site],$Q$2,RawData[[Picker ID ]],$Q$3,RawData[Checker ID],$Q$4,RawData[[Error Type ]],$Q$5))</f>
        <v/>
      </c>
    </row>
    <row r="22745" spans="15:15" x14ac:dyDescent="0.25">
      <c r="O22745" s="20" t="str">
        <f>IF(N22745="","",COUNTIFS(RawData[[Date ]],N22745,RawData[Month List],$Q$6,RawData[Tour/Site],$Q$2,RawData[[Picker ID ]],$Q$3,RawData[Checker ID],$Q$4,RawData[[Error Type ]],$Q$5))</f>
        <v/>
      </c>
    </row>
    <row r="22746" spans="15:15" x14ac:dyDescent="0.25">
      <c r="O22746" s="20" t="str">
        <f>IF(N22746="","",COUNTIFS(RawData[[Date ]],N22746,RawData[Month List],$Q$6,RawData[Tour/Site],$Q$2,RawData[[Picker ID ]],$Q$3,RawData[Checker ID],$Q$4,RawData[[Error Type ]],$Q$5))</f>
        <v/>
      </c>
    </row>
    <row r="22747" spans="15:15" x14ac:dyDescent="0.25">
      <c r="O22747" s="20" t="str">
        <f>IF(N22747="","",COUNTIFS(RawData[[Date ]],N22747,RawData[Month List],$Q$6,RawData[Tour/Site],$Q$2,RawData[[Picker ID ]],$Q$3,RawData[Checker ID],$Q$4,RawData[[Error Type ]],$Q$5))</f>
        <v/>
      </c>
    </row>
    <row r="22748" spans="15:15" x14ac:dyDescent="0.25">
      <c r="O22748" s="20" t="str">
        <f>IF(N22748="","",COUNTIFS(RawData[[Date ]],N22748,RawData[Month List],$Q$6,RawData[Tour/Site],$Q$2,RawData[[Picker ID ]],$Q$3,RawData[Checker ID],$Q$4,RawData[[Error Type ]],$Q$5))</f>
        <v/>
      </c>
    </row>
    <row r="22749" spans="15:15" x14ac:dyDescent="0.25">
      <c r="O22749" s="20" t="str">
        <f>IF(N22749="","",COUNTIFS(RawData[[Date ]],N22749,RawData[Month List],$Q$6,RawData[Tour/Site],$Q$2,RawData[[Picker ID ]],$Q$3,RawData[Checker ID],$Q$4,RawData[[Error Type ]],$Q$5))</f>
        <v/>
      </c>
    </row>
    <row r="22750" spans="15:15" x14ac:dyDescent="0.25">
      <c r="O22750" s="20" t="str">
        <f>IF(N22750="","",COUNTIFS(RawData[[Date ]],N22750,RawData[Month List],$Q$6,RawData[Tour/Site],$Q$2,RawData[[Picker ID ]],$Q$3,RawData[Checker ID],$Q$4,RawData[[Error Type ]],$Q$5))</f>
        <v/>
      </c>
    </row>
    <row r="22751" spans="15:15" x14ac:dyDescent="0.25">
      <c r="O22751" s="20" t="str">
        <f>IF(N22751="","",COUNTIFS(RawData[[Date ]],N22751,RawData[Month List],$Q$6,RawData[Tour/Site],$Q$2,RawData[[Picker ID ]],$Q$3,RawData[Checker ID],$Q$4,RawData[[Error Type ]],$Q$5))</f>
        <v/>
      </c>
    </row>
    <row r="22752" spans="15:15" x14ac:dyDescent="0.25">
      <c r="O22752" s="20" t="str">
        <f>IF(N22752="","",COUNTIFS(RawData[[Date ]],N22752,RawData[Month List],$Q$6,RawData[Tour/Site],$Q$2,RawData[[Picker ID ]],$Q$3,RawData[Checker ID],$Q$4,RawData[[Error Type ]],$Q$5))</f>
        <v/>
      </c>
    </row>
    <row r="22753" spans="15:15" x14ac:dyDescent="0.25">
      <c r="O22753" s="20" t="str">
        <f>IF(N22753="","",COUNTIFS(RawData[[Date ]],N22753,RawData[Month List],$Q$6,RawData[Tour/Site],$Q$2,RawData[[Picker ID ]],$Q$3,RawData[Checker ID],$Q$4,RawData[[Error Type ]],$Q$5))</f>
        <v/>
      </c>
    </row>
    <row r="22754" spans="15:15" x14ac:dyDescent="0.25">
      <c r="O22754" s="20" t="str">
        <f>IF(N22754="","",COUNTIFS(RawData[[Date ]],N22754,RawData[Month List],$Q$6,RawData[Tour/Site],$Q$2,RawData[[Picker ID ]],$Q$3,RawData[Checker ID],$Q$4,RawData[[Error Type ]],$Q$5))</f>
        <v/>
      </c>
    </row>
    <row r="22755" spans="15:15" x14ac:dyDescent="0.25">
      <c r="O22755" s="20" t="str">
        <f>IF(N22755="","",COUNTIFS(RawData[[Date ]],N22755,RawData[Month List],$Q$6,RawData[Tour/Site],$Q$2,RawData[[Picker ID ]],$Q$3,RawData[Checker ID],$Q$4,RawData[[Error Type ]],$Q$5))</f>
        <v/>
      </c>
    </row>
    <row r="22756" spans="15:15" x14ac:dyDescent="0.25">
      <c r="O22756" s="20" t="str">
        <f>IF(N22756="","",COUNTIFS(RawData[[Date ]],N22756,RawData[Month List],$Q$6,RawData[Tour/Site],$Q$2,RawData[[Picker ID ]],$Q$3,RawData[Checker ID],$Q$4,RawData[[Error Type ]],$Q$5))</f>
        <v/>
      </c>
    </row>
    <row r="22757" spans="15:15" x14ac:dyDescent="0.25">
      <c r="O22757" s="20" t="str">
        <f>IF(N22757="","",COUNTIFS(RawData[[Date ]],N22757,RawData[Month List],$Q$6,RawData[Tour/Site],$Q$2,RawData[[Picker ID ]],$Q$3,RawData[Checker ID],$Q$4,RawData[[Error Type ]],$Q$5))</f>
        <v/>
      </c>
    </row>
    <row r="22758" spans="15:15" x14ac:dyDescent="0.25">
      <c r="O22758" s="20" t="str">
        <f>IF(N22758="","",COUNTIFS(RawData[[Date ]],N22758,RawData[Month List],$Q$6,RawData[Tour/Site],$Q$2,RawData[[Picker ID ]],$Q$3,RawData[Checker ID],$Q$4,RawData[[Error Type ]],$Q$5))</f>
        <v/>
      </c>
    </row>
    <row r="22759" spans="15:15" x14ac:dyDescent="0.25">
      <c r="O22759" s="20" t="str">
        <f>IF(N22759="","",COUNTIFS(RawData[[Date ]],N22759,RawData[Month List],$Q$6,RawData[Tour/Site],$Q$2,RawData[[Picker ID ]],$Q$3,RawData[Checker ID],$Q$4,RawData[[Error Type ]],$Q$5))</f>
        <v/>
      </c>
    </row>
    <row r="22760" spans="15:15" x14ac:dyDescent="0.25">
      <c r="O22760" s="20" t="str">
        <f>IF(N22760="","",COUNTIFS(RawData[[Date ]],N22760,RawData[Month List],$Q$6,RawData[Tour/Site],$Q$2,RawData[[Picker ID ]],$Q$3,RawData[Checker ID],$Q$4,RawData[[Error Type ]],$Q$5))</f>
        <v/>
      </c>
    </row>
    <row r="22761" spans="15:15" x14ac:dyDescent="0.25">
      <c r="O22761" s="20" t="str">
        <f>IF(N22761="","",COUNTIFS(RawData[[Date ]],N22761,RawData[Month List],$Q$6,RawData[Tour/Site],$Q$2,RawData[[Picker ID ]],$Q$3,RawData[Checker ID],$Q$4,RawData[[Error Type ]],$Q$5))</f>
        <v/>
      </c>
    </row>
    <row r="22762" spans="15:15" x14ac:dyDescent="0.25">
      <c r="O22762" s="20" t="str">
        <f>IF(N22762="","",COUNTIFS(RawData[[Date ]],N22762,RawData[Month List],$Q$6,RawData[Tour/Site],$Q$2,RawData[[Picker ID ]],$Q$3,RawData[Checker ID],$Q$4,RawData[[Error Type ]],$Q$5))</f>
        <v/>
      </c>
    </row>
    <row r="22763" spans="15:15" x14ac:dyDescent="0.25">
      <c r="O22763" s="20" t="str">
        <f>IF(N22763="","",COUNTIFS(RawData[[Date ]],N22763,RawData[Month List],$Q$6,RawData[Tour/Site],$Q$2,RawData[[Picker ID ]],$Q$3,RawData[Checker ID],$Q$4,RawData[[Error Type ]],$Q$5))</f>
        <v/>
      </c>
    </row>
    <row r="22764" spans="15:15" x14ac:dyDescent="0.25">
      <c r="O22764" s="20" t="str">
        <f>IF(N22764="","",COUNTIFS(RawData[[Date ]],N22764,RawData[Month List],$Q$6,RawData[Tour/Site],$Q$2,RawData[[Picker ID ]],$Q$3,RawData[Checker ID],$Q$4,RawData[[Error Type ]],$Q$5))</f>
        <v/>
      </c>
    </row>
    <row r="22765" spans="15:15" x14ac:dyDescent="0.25">
      <c r="O22765" s="20" t="str">
        <f>IF(N22765="","",COUNTIFS(RawData[[Date ]],N22765,RawData[Month List],$Q$6,RawData[Tour/Site],$Q$2,RawData[[Picker ID ]],$Q$3,RawData[Checker ID],$Q$4,RawData[[Error Type ]],$Q$5))</f>
        <v/>
      </c>
    </row>
    <row r="22766" spans="15:15" x14ac:dyDescent="0.25">
      <c r="O22766" s="20" t="str">
        <f>IF(N22766="","",COUNTIFS(RawData[[Date ]],N22766,RawData[Month List],$Q$6,RawData[Tour/Site],$Q$2,RawData[[Picker ID ]],$Q$3,RawData[Checker ID],$Q$4,RawData[[Error Type ]],$Q$5))</f>
        <v/>
      </c>
    </row>
    <row r="22767" spans="15:15" x14ac:dyDescent="0.25">
      <c r="O22767" s="20" t="str">
        <f>IF(N22767="","",COUNTIFS(RawData[[Date ]],N22767,RawData[Month List],$Q$6,RawData[Tour/Site],$Q$2,RawData[[Picker ID ]],$Q$3,RawData[Checker ID],$Q$4,RawData[[Error Type ]],$Q$5))</f>
        <v/>
      </c>
    </row>
    <row r="22768" spans="15:15" x14ac:dyDescent="0.25">
      <c r="O22768" s="20" t="str">
        <f>IF(N22768="","",COUNTIFS(RawData[[Date ]],N22768,RawData[Month List],$Q$6,RawData[Tour/Site],$Q$2,RawData[[Picker ID ]],$Q$3,RawData[Checker ID],$Q$4,RawData[[Error Type ]],$Q$5))</f>
        <v/>
      </c>
    </row>
    <row r="22769" spans="15:15" x14ac:dyDescent="0.25">
      <c r="O22769" s="20" t="str">
        <f>IF(N22769="","",COUNTIFS(RawData[[Date ]],N22769,RawData[Month List],$Q$6,RawData[Tour/Site],$Q$2,RawData[[Picker ID ]],$Q$3,RawData[Checker ID],$Q$4,RawData[[Error Type ]],$Q$5))</f>
        <v/>
      </c>
    </row>
    <row r="22770" spans="15:15" x14ac:dyDescent="0.25">
      <c r="O22770" s="20" t="str">
        <f>IF(N22770="","",COUNTIFS(RawData[[Date ]],N22770,RawData[Month List],$Q$6,RawData[Tour/Site],$Q$2,RawData[[Picker ID ]],$Q$3,RawData[Checker ID],$Q$4,RawData[[Error Type ]],$Q$5))</f>
        <v/>
      </c>
    </row>
    <row r="22771" spans="15:15" x14ac:dyDescent="0.25">
      <c r="O22771" s="20" t="str">
        <f>IF(N22771="","",COUNTIFS(RawData[[Date ]],N22771,RawData[Month List],$Q$6,RawData[Tour/Site],$Q$2,RawData[[Picker ID ]],$Q$3,RawData[Checker ID],$Q$4,RawData[[Error Type ]],$Q$5))</f>
        <v/>
      </c>
    </row>
    <row r="22772" spans="15:15" x14ac:dyDescent="0.25">
      <c r="O22772" s="20" t="str">
        <f>IF(N22772="","",COUNTIFS(RawData[[Date ]],N22772,RawData[Month List],$Q$6,RawData[Tour/Site],$Q$2,RawData[[Picker ID ]],$Q$3,RawData[Checker ID],$Q$4,RawData[[Error Type ]],$Q$5))</f>
        <v/>
      </c>
    </row>
    <row r="22773" spans="15:15" x14ac:dyDescent="0.25">
      <c r="O22773" s="20" t="str">
        <f>IF(N22773="","",COUNTIFS(RawData[[Date ]],N22773,RawData[Month List],$Q$6,RawData[Tour/Site],$Q$2,RawData[[Picker ID ]],$Q$3,RawData[Checker ID],$Q$4,RawData[[Error Type ]],$Q$5))</f>
        <v/>
      </c>
    </row>
    <row r="22774" spans="15:15" x14ac:dyDescent="0.25">
      <c r="O22774" s="20" t="str">
        <f>IF(N22774="","",COUNTIFS(RawData[[Date ]],N22774,RawData[Month List],$Q$6,RawData[Tour/Site],$Q$2,RawData[[Picker ID ]],$Q$3,RawData[Checker ID],$Q$4,RawData[[Error Type ]],$Q$5))</f>
        <v/>
      </c>
    </row>
    <row r="22775" spans="15:15" x14ac:dyDescent="0.25">
      <c r="O22775" s="20" t="str">
        <f>IF(N22775="","",COUNTIFS(RawData[[Date ]],N22775,RawData[Month List],$Q$6,RawData[Tour/Site],$Q$2,RawData[[Picker ID ]],$Q$3,RawData[Checker ID],$Q$4,RawData[[Error Type ]],$Q$5))</f>
        <v/>
      </c>
    </row>
    <row r="22776" spans="15:15" x14ac:dyDescent="0.25">
      <c r="O22776" s="20" t="str">
        <f>IF(N22776="","",COUNTIFS(RawData[[Date ]],N22776,RawData[Month List],$Q$6,RawData[Tour/Site],$Q$2,RawData[[Picker ID ]],$Q$3,RawData[Checker ID],$Q$4,RawData[[Error Type ]],$Q$5))</f>
        <v/>
      </c>
    </row>
    <row r="22777" spans="15:15" x14ac:dyDescent="0.25">
      <c r="O22777" s="20" t="str">
        <f>IF(N22777="","",COUNTIFS(RawData[[Date ]],N22777,RawData[Month List],$Q$6,RawData[Tour/Site],$Q$2,RawData[[Picker ID ]],$Q$3,RawData[Checker ID],$Q$4,RawData[[Error Type ]],$Q$5))</f>
        <v/>
      </c>
    </row>
    <row r="22778" spans="15:15" x14ac:dyDescent="0.25">
      <c r="O22778" s="20" t="str">
        <f>IF(N22778="","",COUNTIFS(RawData[[Date ]],N22778,RawData[Month List],$Q$6,RawData[Tour/Site],$Q$2,RawData[[Picker ID ]],$Q$3,RawData[Checker ID],$Q$4,RawData[[Error Type ]],$Q$5))</f>
        <v/>
      </c>
    </row>
    <row r="22779" spans="15:15" x14ac:dyDescent="0.25">
      <c r="O22779" s="20" t="str">
        <f>IF(N22779="","",COUNTIFS(RawData[[Date ]],N22779,RawData[Month List],$Q$6,RawData[Tour/Site],$Q$2,RawData[[Picker ID ]],$Q$3,RawData[Checker ID],$Q$4,RawData[[Error Type ]],$Q$5))</f>
        <v/>
      </c>
    </row>
    <row r="22780" spans="15:15" x14ac:dyDescent="0.25">
      <c r="O22780" s="20" t="str">
        <f>IF(N22780="","",COUNTIFS(RawData[[Date ]],N22780,RawData[Month List],$Q$6,RawData[Tour/Site],$Q$2,RawData[[Picker ID ]],$Q$3,RawData[Checker ID],$Q$4,RawData[[Error Type ]],$Q$5))</f>
        <v/>
      </c>
    </row>
    <row r="22781" spans="15:15" x14ac:dyDescent="0.25">
      <c r="O22781" s="20" t="str">
        <f>IF(N22781="","",COUNTIFS(RawData[[Date ]],N22781,RawData[Month List],$Q$6,RawData[Tour/Site],$Q$2,RawData[[Picker ID ]],$Q$3,RawData[Checker ID],$Q$4,RawData[[Error Type ]],$Q$5))</f>
        <v/>
      </c>
    </row>
    <row r="22782" spans="15:15" x14ac:dyDescent="0.25">
      <c r="O22782" s="20" t="str">
        <f>IF(N22782="","",COUNTIFS(RawData[[Date ]],N22782,RawData[Month List],$Q$6,RawData[Tour/Site],$Q$2,RawData[[Picker ID ]],$Q$3,RawData[Checker ID],$Q$4,RawData[[Error Type ]],$Q$5))</f>
        <v/>
      </c>
    </row>
    <row r="22783" spans="15:15" x14ac:dyDescent="0.25">
      <c r="O22783" s="20" t="str">
        <f>IF(N22783="","",COUNTIFS(RawData[[Date ]],N22783,RawData[Month List],$Q$6,RawData[Tour/Site],$Q$2,RawData[[Picker ID ]],$Q$3,RawData[Checker ID],$Q$4,RawData[[Error Type ]],$Q$5))</f>
        <v/>
      </c>
    </row>
    <row r="22784" spans="15:15" x14ac:dyDescent="0.25">
      <c r="O22784" s="20" t="str">
        <f>IF(N22784="","",COUNTIFS(RawData[[Date ]],N22784,RawData[Month List],$Q$6,RawData[Tour/Site],$Q$2,RawData[[Picker ID ]],$Q$3,RawData[Checker ID],$Q$4,RawData[[Error Type ]],$Q$5))</f>
        <v/>
      </c>
    </row>
    <row r="22785" spans="15:15" x14ac:dyDescent="0.25">
      <c r="O22785" s="20" t="str">
        <f>IF(N22785="","",COUNTIFS(RawData[[Date ]],N22785,RawData[Month List],$Q$6,RawData[Tour/Site],$Q$2,RawData[[Picker ID ]],$Q$3,RawData[Checker ID],$Q$4,RawData[[Error Type ]],$Q$5))</f>
        <v/>
      </c>
    </row>
    <row r="22786" spans="15:15" x14ac:dyDescent="0.25">
      <c r="O22786" s="20" t="str">
        <f>IF(N22786="","",COUNTIFS(RawData[[Date ]],N22786,RawData[Month List],$Q$6,RawData[Tour/Site],$Q$2,RawData[[Picker ID ]],$Q$3,RawData[Checker ID],$Q$4,RawData[[Error Type ]],$Q$5))</f>
        <v/>
      </c>
    </row>
    <row r="22787" spans="15:15" x14ac:dyDescent="0.25">
      <c r="O22787" s="20" t="str">
        <f>IF(N22787="","",COUNTIFS(RawData[[Date ]],N22787,RawData[Month List],$Q$6,RawData[Tour/Site],$Q$2,RawData[[Picker ID ]],$Q$3,RawData[Checker ID],$Q$4,RawData[[Error Type ]],$Q$5))</f>
        <v/>
      </c>
    </row>
    <row r="22788" spans="15:15" x14ac:dyDescent="0.25">
      <c r="O22788" s="20" t="str">
        <f>IF(N22788="","",COUNTIFS(RawData[[Date ]],N22788,RawData[Month List],$Q$6,RawData[Tour/Site],$Q$2,RawData[[Picker ID ]],$Q$3,RawData[Checker ID],$Q$4,RawData[[Error Type ]],$Q$5))</f>
        <v/>
      </c>
    </row>
    <row r="22789" spans="15:15" x14ac:dyDescent="0.25">
      <c r="O22789" s="20" t="str">
        <f>IF(N22789="","",COUNTIFS(RawData[[Date ]],N22789,RawData[Month List],$Q$6,RawData[Tour/Site],$Q$2,RawData[[Picker ID ]],$Q$3,RawData[Checker ID],$Q$4,RawData[[Error Type ]],$Q$5))</f>
        <v/>
      </c>
    </row>
    <row r="22790" spans="15:15" x14ac:dyDescent="0.25">
      <c r="O22790" s="20" t="str">
        <f>IF(N22790="","",COUNTIFS(RawData[[Date ]],N22790,RawData[Month List],$Q$6,RawData[Tour/Site],$Q$2,RawData[[Picker ID ]],$Q$3,RawData[Checker ID],$Q$4,RawData[[Error Type ]],$Q$5))</f>
        <v/>
      </c>
    </row>
    <row r="22791" spans="15:15" x14ac:dyDescent="0.25">
      <c r="O22791" s="20" t="str">
        <f>IF(N22791="","",COUNTIFS(RawData[[Date ]],N22791,RawData[Month List],$Q$6,RawData[Tour/Site],$Q$2,RawData[[Picker ID ]],$Q$3,RawData[Checker ID],$Q$4,RawData[[Error Type ]],$Q$5))</f>
        <v/>
      </c>
    </row>
    <row r="22792" spans="15:15" x14ac:dyDescent="0.25">
      <c r="O22792" s="20" t="str">
        <f>IF(N22792="","",COUNTIFS(RawData[[Date ]],N22792,RawData[Month List],$Q$6,RawData[Tour/Site],$Q$2,RawData[[Picker ID ]],$Q$3,RawData[Checker ID],$Q$4,RawData[[Error Type ]],$Q$5))</f>
        <v/>
      </c>
    </row>
    <row r="22793" spans="15:15" x14ac:dyDescent="0.25">
      <c r="O22793" s="20" t="str">
        <f>IF(N22793="","",COUNTIFS(RawData[[Date ]],N22793,RawData[Month List],$Q$6,RawData[Tour/Site],$Q$2,RawData[[Picker ID ]],$Q$3,RawData[Checker ID],$Q$4,RawData[[Error Type ]],$Q$5))</f>
        <v/>
      </c>
    </row>
    <row r="22794" spans="15:15" x14ac:dyDescent="0.25">
      <c r="O22794" s="20" t="str">
        <f>IF(N22794="","",COUNTIFS(RawData[[Date ]],N22794,RawData[Month List],$Q$6,RawData[Tour/Site],$Q$2,RawData[[Picker ID ]],$Q$3,RawData[Checker ID],$Q$4,RawData[[Error Type ]],$Q$5))</f>
        <v/>
      </c>
    </row>
    <row r="22795" spans="15:15" x14ac:dyDescent="0.25">
      <c r="O22795" s="20" t="str">
        <f>IF(N22795="","",COUNTIFS(RawData[[Date ]],N22795,RawData[Month List],$Q$6,RawData[Tour/Site],$Q$2,RawData[[Picker ID ]],$Q$3,RawData[Checker ID],$Q$4,RawData[[Error Type ]],$Q$5))</f>
        <v/>
      </c>
    </row>
    <row r="22796" spans="15:15" x14ac:dyDescent="0.25">
      <c r="O22796" s="20" t="str">
        <f>IF(N22796="","",COUNTIFS(RawData[[Date ]],N22796,RawData[Month List],$Q$6,RawData[Tour/Site],$Q$2,RawData[[Picker ID ]],$Q$3,RawData[Checker ID],$Q$4,RawData[[Error Type ]],$Q$5))</f>
        <v/>
      </c>
    </row>
    <row r="22797" spans="15:15" x14ac:dyDescent="0.25">
      <c r="O22797" s="20" t="str">
        <f>IF(N22797="","",COUNTIFS(RawData[[Date ]],N22797,RawData[Month List],$Q$6,RawData[Tour/Site],$Q$2,RawData[[Picker ID ]],$Q$3,RawData[Checker ID],$Q$4,RawData[[Error Type ]],$Q$5))</f>
        <v/>
      </c>
    </row>
    <row r="22798" spans="15:15" x14ac:dyDescent="0.25">
      <c r="O22798" s="20" t="str">
        <f>IF(N22798="","",COUNTIFS(RawData[[Date ]],N22798,RawData[Month List],$Q$6,RawData[Tour/Site],$Q$2,RawData[[Picker ID ]],$Q$3,RawData[Checker ID],$Q$4,RawData[[Error Type ]],$Q$5))</f>
        <v/>
      </c>
    </row>
    <row r="22799" spans="15:15" x14ac:dyDescent="0.25">
      <c r="O22799" s="20" t="str">
        <f>IF(N22799="","",COUNTIFS(RawData[[Date ]],N22799,RawData[Month List],$Q$6,RawData[Tour/Site],$Q$2,RawData[[Picker ID ]],$Q$3,RawData[Checker ID],$Q$4,RawData[[Error Type ]],$Q$5))</f>
        <v/>
      </c>
    </row>
    <row r="22800" spans="15:15" x14ac:dyDescent="0.25">
      <c r="O22800" s="20" t="str">
        <f>IF(N22800="","",COUNTIFS(RawData[[Date ]],N22800,RawData[Month List],$Q$6,RawData[Tour/Site],$Q$2,RawData[[Picker ID ]],$Q$3,RawData[Checker ID],$Q$4,RawData[[Error Type ]],$Q$5))</f>
        <v/>
      </c>
    </row>
    <row r="22801" spans="15:15" x14ac:dyDescent="0.25">
      <c r="O22801" s="20" t="str">
        <f>IF(N22801="","",COUNTIFS(RawData[[Date ]],N22801,RawData[Month List],$Q$6,RawData[Tour/Site],$Q$2,RawData[[Picker ID ]],$Q$3,RawData[Checker ID],$Q$4,RawData[[Error Type ]],$Q$5))</f>
        <v/>
      </c>
    </row>
    <row r="22802" spans="15:15" x14ac:dyDescent="0.25">
      <c r="O22802" s="20" t="str">
        <f>IF(N22802="","",COUNTIFS(RawData[[Date ]],N22802,RawData[Month List],$Q$6,RawData[Tour/Site],$Q$2,RawData[[Picker ID ]],$Q$3,RawData[Checker ID],$Q$4,RawData[[Error Type ]],$Q$5))</f>
        <v/>
      </c>
    </row>
    <row r="22803" spans="15:15" x14ac:dyDescent="0.25">
      <c r="O22803" s="20" t="str">
        <f>IF(N22803="","",COUNTIFS(RawData[[Date ]],N22803,RawData[Month List],$Q$6,RawData[Tour/Site],$Q$2,RawData[[Picker ID ]],$Q$3,RawData[Checker ID],$Q$4,RawData[[Error Type ]],$Q$5))</f>
        <v/>
      </c>
    </row>
    <row r="22804" spans="15:15" x14ac:dyDescent="0.25">
      <c r="O22804" s="20" t="str">
        <f>IF(N22804="","",COUNTIFS(RawData[[Date ]],N22804,RawData[Month List],$Q$6,RawData[Tour/Site],$Q$2,RawData[[Picker ID ]],$Q$3,RawData[Checker ID],$Q$4,RawData[[Error Type ]],$Q$5))</f>
        <v/>
      </c>
    </row>
    <row r="22805" spans="15:15" x14ac:dyDescent="0.25">
      <c r="O22805" s="20" t="str">
        <f>IF(N22805="","",COUNTIFS(RawData[[Date ]],N22805,RawData[Month List],$Q$6,RawData[Tour/Site],$Q$2,RawData[[Picker ID ]],$Q$3,RawData[Checker ID],$Q$4,RawData[[Error Type ]],$Q$5))</f>
        <v/>
      </c>
    </row>
    <row r="22806" spans="15:15" x14ac:dyDescent="0.25">
      <c r="O22806" s="20" t="str">
        <f>IF(N22806="","",COUNTIFS(RawData[[Date ]],N22806,RawData[Month List],$Q$6,RawData[Tour/Site],$Q$2,RawData[[Picker ID ]],$Q$3,RawData[Checker ID],$Q$4,RawData[[Error Type ]],$Q$5))</f>
        <v/>
      </c>
    </row>
    <row r="22807" spans="15:15" x14ac:dyDescent="0.25">
      <c r="O22807" s="20" t="str">
        <f>IF(N22807="","",COUNTIFS(RawData[[Date ]],N22807,RawData[Month List],$Q$6,RawData[Tour/Site],$Q$2,RawData[[Picker ID ]],$Q$3,RawData[Checker ID],$Q$4,RawData[[Error Type ]],$Q$5))</f>
        <v/>
      </c>
    </row>
    <row r="22808" spans="15:15" x14ac:dyDescent="0.25">
      <c r="O22808" s="20" t="str">
        <f>IF(N22808="","",COUNTIFS(RawData[[Date ]],N22808,RawData[Month List],$Q$6,RawData[Tour/Site],$Q$2,RawData[[Picker ID ]],$Q$3,RawData[Checker ID],$Q$4,RawData[[Error Type ]],$Q$5))</f>
        <v/>
      </c>
    </row>
    <row r="22809" spans="15:15" x14ac:dyDescent="0.25">
      <c r="O22809" s="20" t="str">
        <f>IF(N22809="","",COUNTIFS(RawData[[Date ]],N22809,RawData[Month List],$Q$6,RawData[Tour/Site],$Q$2,RawData[[Picker ID ]],$Q$3,RawData[Checker ID],$Q$4,RawData[[Error Type ]],$Q$5))</f>
        <v/>
      </c>
    </row>
    <row r="22810" spans="15:15" x14ac:dyDescent="0.25">
      <c r="O22810" s="20" t="str">
        <f>IF(N22810="","",COUNTIFS(RawData[[Date ]],N22810,RawData[Month List],$Q$6,RawData[Tour/Site],$Q$2,RawData[[Picker ID ]],$Q$3,RawData[Checker ID],$Q$4,RawData[[Error Type ]],$Q$5))</f>
        <v/>
      </c>
    </row>
    <row r="22811" spans="15:15" x14ac:dyDescent="0.25">
      <c r="O22811" s="20" t="str">
        <f>IF(N22811="","",COUNTIFS(RawData[[Date ]],N22811,RawData[Month List],$Q$6,RawData[Tour/Site],$Q$2,RawData[[Picker ID ]],$Q$3,RawData[Checker ID],$Q$4,RawData[[Error Type ]],$Q$5))</f>
        <v/>
      </c>
    </row>
    <row r="22812" spans="15:15" x14ac:dyDescent="0.25">
      <c r="O22812" s="20" t="str">
        <f>IF(N22812="","",COUNTIFS(RawData[[Date ]],N22812,RawData[Month List],$Q$6,RawData[Tour/Site],$Q$2,RawData[[Picker ID ]],$Q$3,RawData[Checker ID],$Q$4,RawData[[Error Type ]],$Q$5))</f>
        <v/>
      </c>
    </row>
    <row r="22813" spans="15:15" x14ac:dyDescent="0.25">
      <c r="O22813" s="20" t="str">
        <f>IF(N22813="","",COUNTIFS(RawData[[Date ]],N22813,RawData[Month List],$Q$6,RawData[Tour/Site],$Q$2,RawData[[Picker ID ]],$Q$3,RawData[Checker ID],$Q$4,RawData[[Error Type ]],$Q$5))</f>
        <v/>
      </c>
    </row>
    <row r="22814" spans="15:15" x14ac:dyDescent="0.25">
      <c r="O22814" s="20" t="str">
        <f>IF(N22814="","",COUNTIFS(RawData[[Date ]],N22814,RawData[Month List],$Q$6,RawData[Tour/Site],$Q$2,RawData[[Picker ID ]],$Q$3,RawData[Checker ID],$Q$4,RawData[[Error Type ]],$Q$5))</f>
        <v/>
      </c>
    </row>
    <row r="22815" spans="15:15" x14ac:dyDescent="0.25">
      <c r="O22815" s="20" t="str">
        <f>IF(N22815="","",COUNTIFS(RawData[[Date ]],N22815,RawData[Month List],$Q$6,RawData[Tour/Site],$Q$2,RawData[[Picker ID ]],$Q$3,RawData[Checker ID],$Q$4,RawData[[Error Type ]],$Q$5))</f>
        <v/>
      </c>
    </row>
    <row r="22816" spans="15:15" x14ac:dyDescent="0.25">
      <c r="O22816" s="20" t="str">
        <f>IF(N22816="","",COUNTIFS(RawData[[Date ]],N22816,RawData[Month List],$Q$6,RawData[Tour/Site],$Q$2,RawData[[Picker ID ]],$Q$3,RawData[Checker ID],$Q$4,RawData[[Error Type ]],$Q$5))</f>
        <v/>
      </c>
    </row>
    <row r="22817" spans="15:15" x14ac:dyDescent="0.25">
      <c r="O22817" s="20" t="str">
        <f>IF(N22817="","",COUNTIFS(RawData[[Date ]],N22817,RawData[Month List],$Q$6,RawData[Tour/Site],$Q$2,RawData[[Picker ID ]],$Q$3,RawData[Checker ID],$Q$4,RawData[[Error Type ]],$Q$5))</f>
        <v/>
      </c>
    </row>
    <row r="22818" spans="15:15" x14ac:dyDescent="0.25">
      <c r="O22818" s="20" t="str">
        <f>IF(N22818="","",COUNTIFS(RawData[[Date ]],N22818,RawData[Month List],$Q$6,RawData[Tour/Site],$Q$2,RawData[[Picker ID ]],$Q$3,RawData[Checker ID],$Q$4,RawData[[Error Type ]],$Q$5))</f>
        <v/>
      </c>
    </row>
    <row r="22819" spans="15:15" x14ac:dyDescent="0.25">
      <c r="O22819" s="20" t="str">
        <f>IF(N22819="","",COUNTIFS(RawData[[Date ]],N22819,RawData[Month List],$Q$6,RawData[Tour/Site],$Q$2,RawData[[Picker ID ]],$Q$3,RawData[Checker ID],$Q$4,RawData[[Error Type ]],$Q$5))</f>
        <v/>
      </c>
    </row>
    <row r="22820" spans="15:15" x14ac:dyDescent="0.25">
      <c r="O22820" s="20" t="str">
        <f>IF(N22820="","",COUNTIFS(RawData[[Date ]],N22820,RawData[Month List],$Q$6,RawData[Tour/Site],$Q$2,RawData[[Picker ID ]],$Q$3,RawData[Checker ID],$Q$4,RawData[[Error Type ]],$Q$5))</f>
        <v/>
      </c>
    </row>
    <row r="22821" spans="15:15" x14ac:dyDescent="0.25">
      <c r="O22821" s="20" t="str">
        <f>IF(N22821="","",COUNTIFS(RawData[[Date ]],N22821,RawData[Month List],$Q$6,RawData[Tour/Site],$Q$2,RawData[[Picker ID ]],$Q$3,RawData[Checker ID],$Q$4,RawData[[Error Type ]],$Q$5))</f>
        <v/>
      </c>
    </row>
    <row r="22822" spans="15:15" x14ac:dyDescent="0.25">
      <c r="O22822" s="20" t="str">
        <f>IF(N22822="","",COUNTIFS(RawData[[Date ]],N22822,RawData[Month List],$Q$6,RawData[Tour/Site],$Q$2,RawData[[Picker ID ]],$Q$3,RawData[Checker ID],$Q$4,RawData[[Error Type ]],$Q$5))</f>
        <v/>
      </c>
    </row>
    <row r="22823" spans="15:15" x14ac:dyDescent="0.25">
      <c r="O22823" s="20" t="str">
        <f>IF(N22823="","",COUNTIFS(RawData[[Date ]],N22823,RawData[Month List],$Q$6,RawData[Tour/Site],$Q$2,RawData[[Picker ID ]],$Q$3,RawData[Checker ID],$Q$4,RawData[[Error Type ]],$Q$5))</f>
        <v/>
      </c>
    </row>
    <row r="22824" spans="15:15" x14ac:dyDescent="0.25">
      <c r="O22824" s="20" t="str">
        <f>IF(N22824="","",COUNTIFS(RawData[[Date ]],N22824,RawData[Month List],$Q$6,RawData[Tour/Site],$Q$2,RawData[[Picker ID ]],$Q$3,RawData[Checker ID],$Q$4,RawData[[Error Type ]],$Q$5))</f>
        <v/>
      </c>
    </row>
    <row r="22825" spans="15:15" x14ac:dyDescent="0.25">
      <c r="O22825" s="20" t="str">
        <f>IF(N22825="","",COUNTIFS(RawData[[Date ]],N22825,RawData[Month List],$Q$6,RawData[Tour/Site],$Q$2,RawData[[Picker ID ]],$Q$3,RawData[Checker ID],$Q$4,RawData[[Error Type ]],$Q$5))</f>
        <v/>
      </c>
    </row>
    <row r="22826" spans="15:15" x14ac:dyDescent="0.25">
      <c r="O22826" s="20" t="str">
        <f>IF(N22826="","",COUNTIFS(RawData[[Date ]],N22826,RawData[Month List],$Q$6,RawData[Tour/Site],$Q$2,RawData[[Picker ID ]],$Q$3,RawData[Checker ID],$Q$4,RawData[[Error Type ]],$Q$5))</f>
        <v/>
      </c>
    </row>
    <row r="22827" spans="15:15" x14ac:dyDescent="0.25">
      <c r="O22827" s="20" t="str">
        <f>IF(N22827="","",COUNTIFS(RawData[[Date ]],N22827,RawData[Month List],$Q$6,RawData[Tour/Site],$Q$2,RawData[[Picker ID ]],$Q$3,RawData[Checker ID],$Q$4,RawData[[Error Type ]],$Q$5))</f>
        <v/>
      </c>
    </row>
    <row r="22828" spans="15:15" x14ac:dyDescent="0.25">
      <c r="O22828" s="20" t="str">
        <f>IF(N22828="","",COUNTIFS(RawData[[Date ]],N22828,RawData[Month List],$Q$6,RawData[Tour/Site],$Q$2,RawData[[Picker ID ]],$Q$3,RawData[Checker ID],$Q$4,RawData[[Error Type ]],$Q$5))</f>
        <v/>
      </c>
    </row>
    <row r="22829" spans="15:15" x14ac:dyDescent="0.25">
      <c r="O22829" s="20" t="str">
        <f>IF(N22829="","",COUNTIFS(RawData[[Date ]],N22829,RawData[Month List],$Q$6,RawData[Tour/Site],$Q$2,RawData[[Picker ID ]],$Q$3,RawData[Checker ID],$Q$4,RawData[[Error Type ]],$Q$5))</f>
        <v/>
      </c>
    </row>
    <row r="22830" spans="15:15" x14ac:dyDescent="0.25">
      <c r="O22830" s="20" t="str">
        <f>IF(N22830="","",COUNTIFS(RawData[[Date ]],N22830,RawData[Month List],$Q$6,RawData[Tour/Site],$Q$2,RawData[[Picker ID ]],$Q$3,RawData[Checker ID],$Q$4,RawData[[Error Type ]],$Q$5))</f>
        <v/>
      </c>
    </row>
    <row r="22831" spans="15:15" x14ac:dyDescent="0.25">
      <c r="O22831" s="20" t="str">
        <f>IF(N22831="","",COUNTIFS(RawData[[Date ]],N22831,RawData[Month List],$Q$6,RawData[Tour/Site],$Q$2,RawData[[Picker ID ]],$Q$3,RawData[Checker ID],$Q$4,RawData[[Error Type ]],$Q$5))</f>
        <v/>
      </c>
    </row>
    <row r="22832" spans="15:15" x14ac:dyDescent="0.25">
      <c r="O22832" s="20" t="str">
        <f>IF(N22832="","",COUNTIFS(RawData[[Date ]],N22832,RawData[Month List],$Q$6,RawData[Tour/Site],$Q$2,RawData[[Picker ID ]],$Q$3,RawData[Checker ID],$Q$4,RawData[[Error Type ]],$Q$5))</f>
        <v/>
      </c>
    </row>
    <row r="22833" spans="15:15" x14ac:dyDescent="0.25">
      <c r="O22833" s="20" t="str">
        <f>IF(N22833="","",COUNTIFS(RawData[[Date ]],N22833,RawData[Month List],$Q$6,RawData[Tour/Site],$Q$2,RawData[[Picker ID ]],$Q$3,RawData[Checker ID],$Q$4,RawData[[Error Type ]],$Q$5))</f>
        <v/>
      </c>
    </row>
    <row r="22834" spans="15:15" x14ac:dyDescent="0.25">
      <c r="O22834" s="20" t="str">
        <f>IF(N22834="","",COUNTIFS(RawData[[Date ]],N22834,RawData[Month List],$Q$6,RawData[Tour/Site],$Q$2,RawData[[Picker ID ]],$Q$3,RawData[Checker ID],$Q$4,RawData[[Error Type ]],$Q$5))</f>
        <v/>
      </c>
    </row>
    <row r="22835" spans="15:15" x14ac:dyDescent="0.25">
      <c r="O22835" s="20" t="str">
        <f>IF(N22835="","",COUNTIFS(RawData[[Date ]],N22835,RawData[Month List],$Q$6,RawData[Tour/Site],$Q$2,RawData[[Picker ID ]],$Q$3,RawData[Checker ID],$Q$4,RawData[[Error Type ]],$Q$5))</f>
        <v/>
      </c>
    </row>
    <row r="22836" spans="15:15" x14ac:dyDescent="0.25">
      <c r="O22836" s="20" t="str">
        <f>IF(N22836="","",COUNTIFS(RawData[[Date ]],N22836,RawData[Month List],$Q$6,RawData[Tour/Site],$Q$2,RawData[[Picker ID ]],$Q$3,RawData[Checker ID],$Q$4,RawData[[Error Type ]],$Q$5))</f>
        <v/>
      </c>
    </row>
    <row r="22837" spans="15:15" x14ac:dyDescent="0.25">
      <c r="O22837" s="20" t="str">
        <f>IF(N22837="","",COUNTIFS(RawData[[Date ]],N22837,RawData[Month List],$Q$6,RawData[Tour/Site],$Q$2,RawData[[Picker ID ]],$Q$3,RawData[Checker ID],$Q$4,RawData[[Error Type ]],$Q$5))</f>
        <v/>
      </c>
    </row>
    <row r="22838" spans="15:15" x14ac:dyDescent="0.25">
      <c r="O22838" s="20" t="str">
        <f>IF(N22838="","",COUNTIFS(RawData[[Date ]],N22838,RawData[Month List],$Q$6,RawData[Tour/Site],$Q$2,RawData[[Picker ID ]],$Q$3,RawData[Checker ID],$Q$4,RawData[[Error Type ]],$Q$5))</f>
        <v/>
      </c>
    </row>
    <row r="22839" spans="15:15" x14ac:dyDescent="0.25">
      <c r="O22839" s="20" t="str">
        <f>IF(N22839="","",COUNTIFS(RawData[[Date ]],N22839,RawData[Month List],$Q$6,RawData[Tour/Site],$Q$2,RawData[[Picker ID ]],$Q$3,RawData[Checker ID],$Q$4,RawData[[Error Type ]],$Q$5))</f>
        <v/>
      </c>
    </row>
    <row r="22840" spans="15:15" x14ac:dyDescent="0.25">
      <c r="O22840" s="20" t="str">
        <f>IF(N22840="","",COUNTIFS(RawData[[Date ]],N22840,RawData[Month List],$Q$6,RawData[Tour/Site],$Q$2,RawData[[Picker ID ]],$Q$3,RawData[Checker ID],$Q$4,RawData[[Error Type ]],$Q$5))</f>
        <v/>
      </c>
    </row>
    <row r="22841" spans="15:15" x14ac:dyDescent="0.25">
      <c r="O22841" s="20" t="str">
        <f>IF(N22841="","",COUNTIFS(RawData[[Date ]],N22841,RawData[Month List],$Q$6,RawData[Tour/Site],$Q$2,RawData[[Picker ID ]],$Q$3,RawData[Checker ID],$Q$4,RawData[[Error Type ]],$Q$5))</f>
        <v/>
      </c>
    </row>
    <row r="22842" spans="15:15" x14ac:dyDescent="0.25">
      <c r="O22842" s="20" t="str">
        <f>IF(N22842="","",COUNTIFS(RawData[[Date ]],N22842,RawData[Month List],$Q$6,RawData[Tour/Site],$Q$2,RawData[[Picker ID ]],$Q$3,RawData[Checker ID],$Q$4,RawData[[Error Type ]],$Q$5))</f>
        <v/>
      </c>
    </row>
    <row r="22843" spans="15:15" x14ac:dyDescent="0.25">
      <c r="O22843" s="20" t="str">
        <f>IF(N22843="","",COUNTIFS(RawData[[Date ]],N22843,RawData[Month List],$Q$6,RawData[Tour/Site],$Q$2,RawData[[Picker ID ]],$Q$3,RawData[Checker ID],$Q$4,RawData[[Error Type ]],$Q$5))</f>
        <v/>
      </c>
    </row>
    <row r="22844" spans="15:15" x14ac:dyDescent="0.25">
      <c r="O22844" s="20" t="str">
        <f>IF(N22844="","",COUNTIFS(RawData[[Date ]],N22844,RawData[Month List],$Q$6,RawData[Tour/Site],$Q$2,RawData[[Picker ID ]],$Q$3,RawData[Checker ID],$Q$4,RawData[[Error Type ]],$Q$5))</f>
        <v/>
      </c>
    </row>
    <row r="22845" spans="15:15" x14ac:dyDescent="0.25">
      <c r="O22845" s="20" t="str">
        <f>IF(N22845="","",COUNTIFS(RawData[[Date ]],N22845,RawData[Month List],$Q$6,RawData[Tour/Site],$Q$2,RawData[[Picker ID ]],$Q$3,RawData[Checker ID],$Q$4,RawData[[Error Type ]],$Q$5))</f>
        <v/>
      </c>
    </row>
    <row r="22846" spans="15:15" x14ac:dyDescent="0.25">
      <c r="O22846" s="20" t="str">
        <f>IF(N22846="","",COUNTIFS(RawData[[Date ]],N22846,RawData[Month List],$Q$6,RawData[Tour/Site],$Q$2,RawData[[Picker ID ]],$Q$3,RawData[Checker ID],$Q$4,RawData[[Error Type ]],$Q$5))</f>
        <v/>
      </c>
    </row>
    <row r="22847" spans="15:15" x14ac:dyDescent="0.25">
      <c r="O22847" s="20" t="str">
        <f>IF(N22847="","",COUNTIFS(RawData[[Date ]],N22847,RawData[Month List],$Q$6,RawData[Tour/Site],$Q$2,RawData[[Picker ID ]],$Q$3,RawData[Checker ID],$Q$4,RawData[[Error Type ]],$Q$5))</f>
        <v/>
      </c>
    </row>
    <row r="22848" spans="15:15" x14ac:dyDescent="0.25">
      <c r="O22848" s="20" t="str">
        <f>IF(N22848="","",COUNTIFS(RawData[[Date ]],N22848,RawData[Month List],$Q$6,RawData[Tour/Site],$Q$2,RawData[[Picker ID ]],$Q$3,RawData[Checker ID],$Q$4,RawData[[Error Type ]],$Q$5))</f>
        <v/>
      </c>
    </row>
    <row r="22849" spans="15:15" x14ac:dyDescent="0.25">
      <c r="O22849" s="20" t="str">
        <f>IF(N22849="","",COUNTIFS(RawData[[Date ]],N22849,RawData[Month List],$Q$6,RawData[Tour/Site],$Q$2,RawData[[Picker ID ]],$Q$3,RawData[Checker ID],$Q$4,RawData[[Error Type ]],$Q$5))</f>
        <v/>
      </c>
    </row>
    <row r="22850" spans="15:15" x14ac:dyDescent="0.25">
      <c r="O22850" s="20" t="str">
        <f>IF(N22850="","",COUNTIFS(RawData[[Date ]],N22850,RawData[Month List],$Q$6,RawData[Tour/Site],$Q$2,RawData[[Picker ID ]],$Q$3,RawData[Checker ID],$Q$4,RawData[[Error Type ]],$Q$5))</f>
        <v/>
      </c>
    </row>
    <row r="22851" spans="15:15" x14ac:dyDescent="0.25">
      <c r="O22851" s="20" t="str">
        <f>IF(N22851="","",COUNTIFS(RawData[[Date ]],N22851,RawData[Month List],$Q$6,RawData[Tour/Site],$Q$2,RawData[[Picker ID ]],$Q$3,RawData[Checker ID],$Q$4,RawData[[Error Type ]],$Q$5))</f>
        <v/>
      </c>
    </row>
    <row r="22852" spans="15:15" x14ac:dyDescent="0.25">
      <c r="O22852" s="20" t="str">
        <f>IF(N22852="","",COUNTIFS(RawData[[Date ]],N22852,RawData[Month List],$Q$6,RawData[Tour/Site],$Q$2,RawData[[Picker ID ]],$Q$3,RawData[Checker ID],$Q$4,RawData[[Error Type ]],$Q$5))</f>
        <v/>
      </c>
    </row>
    <row r="22853" spans="15:15" x14ac:dyDescent="0.25">
      <c r="O22853" s="20" t="str">
        <f>IF(N22853="","",COUNTIFS(RawData[[Date ]],N22853,RawData[Month List],$Q$6,RawData[Tour/Site],$Q$2,RawData[[Picker ID ]],$Q$3,RawData[Checker ID],$Q$4,RawData[[Error Type ]],$Q$5))</f>
        <v/>
      </c>
    </row>
    <row r="22854" spans="15:15" x14ac:dyDescent="0.25">
      <c r="O22854" s="20" t="str">
        <f>IF(N22854="","",COUNTIFS(RawData[[Date ]],N22854,RawData[Month List],$Q$6,RawData[Tour/Site],$Q$2,RawData[[Picker ID ]],$Q$3,RawData[Checker ID],$Q$4,RawData[[Error Type ]],$Q$5))</f>
        <v/>
      </c>
    </row>
    <row r="22855" spans="15:15" x14ac:dyDescent="0.25">
      <c r="O22855" s="20" t="str">
        <f>IF(N22855="","",COUNTIFS(RawData[[Date ]],N22855,RawData[Month List],$Q$6,RawData[Tour/Site],$Q$2,RawData[[Picker ID ]],$Q$3,RawData[Checker ID],$Q$4,RawData[[Error Type ]],$Q$5))</f>
        <v/>
      </c>
    </row>
    <row r="22856" spans="15:15" x14ac:dyDescent="0.25">
      <c r="O22856" s="20" t="str">
        <f>IF(N22856="","",COUNTIFS(RawData[[Date ]],N22856,RawData[Month List],$Q$6,RawData[Tour/Site],$Q$2,RawData[[Picker ID ]],$Q$3,RawData[Checker ID],$Q$4,RawData[[Error Type ]],$Q$5))</f>
        <v/>
      </c>
    </row>
    <row r="22857" spans="15:15" x14ac:dyDescent="0.25">
      <c r="O22857" s="20" t="str">
        <f>IF(N22857="","",COUNTIFS(RawData[[Date ]],N22857,RawData[Month List],$Q$6,RawData[Tour/Site],$Q$2,RawData[[Picker ID ]],$Q$3,RawData[Checker ID],$Q$4,RawData[[Error Type ]],$Q$5))</f>
        <v/>
      </c>
    </row>
    <row r="22858" spans="15:15" x14ac:dyDescent="0.25">
      <c r="O22858" s="20" t="str">
        <f>IF(N22858="","",COUNTIFS(RawData[[Date ]],N22858,RawData[Month List],$Q$6,RawData[Tour/Site],$Q$2,RawData[[Picker ID ]],$Q$3,RawData[Checker ID],$Q$4,RawData[[Error Type ]],$Q$5))</f>
        <v/>
      </c>
    </row>
    <row r="22859" spans="15:15" x14ac:dyDescent="0.25">
      <c r="O22859" s="20" t="str">
        <f>IF(N22859="","",COUNTIFS(RawData[[Date ]],N22859,RawData[Month List],$Q$6,RawData[Tour/Site],$Q$2,RawData[[Picker ID ]],$Q$3,RawData[Checker ID],$Q$4,RawData[[Error Type ]],$Q$5))</f>
        <v/>
      </c>
    </row>
    <row r="22860" spans="15:15" x14ac:dyDescent="0.25">
      <c r="O22860" s="20" t="str">
        <f>IF(N22860="","",COUNTIFS(RawData[[Date ]],N22860,RawData[Month List],$Q$6,RawData[Tour/Site],$Q$2,RawData[[Picker ID ]],$Q$3,RawData[Checker ID],$Q$4,RawData[[Error Type ]],$Q$5))</f>
        <v/>
      </c>
    </row>
    <row r="22861" spans="15:15" x14ac:dyDescent="0.25">
      <c r="O22861" s="20" t="str">
        <f>IF(N22861="","",COUNTIFS(RawData[[Date ]],N22861,RawData[Month List],$Q$6,RawData[Tour/Site],$Q$2,RawData[[Picker ID ]],$Q$3,RawData[Checker ID],$Q$4,RawData[[Error Type ]],$Q$5))</f>
        <v/>
      </c>
    </row>
    <row r="22862" spans="15:15" x14ac:dyDescent="0.25">
      <c r="O22862" s="20" t="str">
        <f>IF(N22862="","",COUNTIFS(RawData[[Date ]],N22862,RawData[Month List],$Q$6,RawData[Tour/Site],$Q$2,RawData[[Picker ID ]],$Q$3,RawData[Checker ID],$Q$4,RawData[[Error Type ]],$Q$5))</f>
        <v/>
      </c>
    </row>
    <row r="22863" spans="15:15" x14ac:dyDescent="0.25">
      <c r="O22863" s="20" t="str">
        <f>IF(N22863="","",COUNTIFS(RawData[[Date ]],N22863,RawData[Month List],$Q$6,RawData[Tour/Site],$Q$2,RawData[[Picker ID ]],$Q$3,RawData[Checker ID],$Q$4,RawData[[Error Type ]],$Q$5))</f>
        <v/>
      </c>
    </row>
    <row r="22864" spans="15:15" x14ac:dyDescent="0.25">
      <c r="O22864" s="20" t="str">
        <f>IF(N22864="","",COUNTIFS(RawData[[Date ]],N22864,RawData[Month List],$Q$6,RawData[Tour/Site],$Q$2,RawData[[Picker ID ]],$Q$3,RawData[Checker ID],$Q$4,RawData[[Error Type ]],$Q$5))</f>
        <v/>
      </c>
    </row>
    <row r="22865" spans="15:15" x14ac:dyDescent="0.25">
      <c r="O22865" s="20" t="str">
        <f>IF(N22865="","",COUNTIFS(RawData[[Date ]],N22865,RawData[Month List],$Q$6,RawData[Tour/Site],$Q$2,RawData[[Picker ID ]],$Q$3,RawData[Checker ID],$Q$4,RawData[[Error Type ]],$Q$5))</f>
        <v/>
      </c>
    </row>
    <row r="22866" spans="15:15" x14ac:dyDescent="0.25">
      <c r="O22866" s="20" t="str">
        <f>IF(N22866="","",COUNTIFS(RawData[[Date ]],N22866,RawData[Month List],$Q$6,RawData[Tour/Site],$Q$2,RawData[[Picker ID ]],$Q$3,RawData[Checker ID],$Q$4,RawData[[Error Type ]],$Q$5))</f>
        <v/>
      </c>
    </row>
    <row r="22867" spans="15:15" x14ac:dyDescent="0.25">
      <c r="O22867" s="20" t="str">
        <f>IF(N22867="","",COUNTIFS(RawData[[Date ]],N22867,RawData[Month List],$Q$6,RawData[Tour/Site],$Q$2,RawData[[Picker ID ]],$Q$3,RawData[Checker ID],$Q$4,RawData[[Error Type ]],$Q$5))</f>
        <v/>
      </c>
    </row>
    <row r="22868" spans="15:15" x14ac:dyDescent="0.25">
      <c r="O22868" s="20" t="str">
        <f>IF(N22868="","",COUNTIFS(RawData[[Date ]],N22868,RawData[Month List],$Q$6,RawData[Tour/Site],$Q$2,RawData[[Picker ID ]],$Q$3,RawData[Checker ID],$Q$4,RawData[[Error Type ]],$Q$5))</f>
        <v/>
      </c>
    </row>
    <row r="22869" spans="15:15" x14ac:dyDescent="0.25">
      <c r="O22869" s="20" t="str">
        <f>IF(N22869="","",COUNTIFS(RawData[[Date ]],N22869,RawData[Month List],$Q$6,RawData[Tour/Site],$Q$2,RawData[[Picker ID ]],$Q$3,RawData[Checker ID],$Q$4,RawData[[Error Type ]],$Q$5))</f>
        <v/>
      </c>
    </row>
    <row r="22870" spans="15:15" x14ac:dyDescent="0.25">
      <c r="O22870" s="20" t="str">
        <f>IF(N22870="","",COUNTIFS(RawData[[Date ]],N22870,RawData[Month List],$Q$6,RawData[Tour/Site],$Q$2,RawData[[Picker ID ]],$Q$3,RawData[Checker ID],$Q$4,RawData[[Error Type ]],$Q$5))</f>
        <v/>
      </c>
    </row>
    <row r="22871" spans="15:15" x14ac:dyDescent="0.25">
      <c r="O22871" s="20" t="str">
        <f>IF(N22871="","",COUNTIFS(RawData[[Date ]],N22871,RawData[Month List],$Q$6,RawData[Tour/Site],$Q$2,RawData[[Picker ID ]],$Q$3,RawData[Checker ID],$Q$4,RawData[[Error Type ]],$Q$5))</f>
        <v/>
      </c>
    </row>
    <row r="22872" spans="15:15" x14ac:dyDescent="0.25">
      <c r="O22872" s="20" t="str">
        <f>IF(N22872="","",COUNTIFS(RawData[[Date ]],N22872,RawData[Month List],$Q$6,RawData[Tour/Site],$Q$2,RawData[[Picker ID ]],$Q$3,RawData[Checker ID],$Q$4,RawData[[Error Type ]],$Q$5))</f>
        <v/>
      </c>
    </row>
    <row r="22873" spans="15:15" x14ac:dyDescent="0.25">
      <c r="O22873" s="20" t="str">
        <f>IF(N22873="","",COUNTIFS(RawData[[Date ]],N22873,RawData[Month List],$Q$6,RawData[Tour/Site],$Q$2,RawData[[Picker ID ]],$Q$3,RawData[Checker ID],$Q$4,RawData[[Error Type ]],$Q$5))</f>
        <v/>
      </c>
    </row>
    <row r="22874" spans="15:15" x14ac:dyDescent="0.25">
      <c r="O22874" s="20" t="str">
        <f>IF(N22874="","",COUNTIFS(RawData[[Date ]],N22874,RawData[Month List],$Q$6,RawData[Tour/Site],$Q$2,RawData[[Picker ID ]],$Q$3,RawData[Checker ID],$Q$4,RawData[[Error Type ]],$Q$5))</f>
        <v/>
      </c>
    </row>
    <row r="22875" spans="15:15" x14ac:dyDescent="0.25">
      <c r="O22875" s="20" t="str">
        <f>IF(N22875="","",COUNTIFS(RawData[[Date ]],N22875,RawData[Month List],$Q$6,RawData[Tour/Site],$Q$2,RawData[[Picker ID ]],$Q$3,RawData[Checker ID],$Q$4,RawData[[Error Type ]],$Q$5))</f>
        <v/>
      </c>
    </row>
    <row r="22876" spans="15:15" x14ac:dyDescent="0.25">
      <c r="O22876" s="20" t="str">
        <f>IF(N22876="","",COUNTIFS(RawData[[Date ]],N22876,RawData[Month List],$Q$6,RawData[Tour/Site],$Q$2,RawData[[Picker ID ]],$Q$3,RawData[Checker ID],$Q$4,RawData[[Error Type ]],$Q$5))</f>
        <v/>
      </c>
    </row>
    <row r="22877" spans="15:15" x14ac:dyDescent="0.25">
      <c r="O22877" s="20" t="str">
        <f>IF(N22877="","",COUNTIFS(RawData[[Date ]],N22877,RawData[Month List],$Q$6,RawData[Tour/Site],$Q$2,RawData[[Picker ID ]],$Q$3,RawData[Checker ID],$Q$4,RawData[[Error Type ]],$Q$5))</f>
        <v/>
      </c>
    </row>
    <row r="22878" spans="15:15" x14ac:dyDescent="0.25">
      <c r="O22878" s="20" t="str">
        <f>IF(N22878="","",COUNTIFS(RawData[[Date ]],N22878,RawData[Month List],$Q$6,RawData[Tour/Site],$Q$2,RawData[[Picker ID ]],$Q$3,RawData[Checker ID],$Q$4,RawData[[Error Type ]],$Q$5))</f>
        <v/>
      </c>
    </row>
    <row r="22879" spans="15:15" x14ac:dyDescent="0.25">
      <c r="O22879" s="20" t="str">
        <f>IF(N22879="","",COUNTIFS(RawData[[Date ]],N22879,RawData[Month List],$Q$6,RawData[Tour/Site],$Q$2,RawData[[Picker ID ]],$Q$3,RawData[Checker ID],$Q$4,RawData[[Error Type ]],$Q$5))</f>
        <v/>
      </c>
    </row>
    <row r="22880" spans="15:15" x14ac:dyDescent="0.25">
      <c r="O22880" s="20" t="str">
        <f>IF(N22880="","",COUNTIFS(RawData[[Date ]],N22880,RawData[Month List],$Q$6,RawData[Tour/Site],$Q$2,RawData[[Picker ID ]],$Q$3,RawData[Checker ID],$Q$4,RawData[[Error Type ]],$Q$5))</f>
        <v/>
      </c>
    </row>
    <row r="22881" spans="15:15" x14ac:dyDescent="0.25">
      <c r="O22881" s="20" t="str">
        <f>IF(N22881="","",COUNTIFS(RawData[[Date ]],N22881,RawData[Month List],$Q$6,RawData[Tour/Site],$Q$2,RawData[[Picker ID ]],$Q$3,RawData[Checker ID],$Q$4,RawData[[Error Type ]],$Q$5))</f>
        <v/>
      </c>
    </row>
    <row r="22882" spans="15:15" x14ac:dyDescent="0.25">
      <c r="O22882" s="20" t="str">
        <f>IF(N22882="","",COUNTIFS(RawData[[Date ]],N22882,RawData[Month List],$Q$6,RawData[Tour/Site],$Q$2,RawData[[Picker ID ]],$Q$3,RawData[Checker ID],$Q$4,RawData[[Error Type ]],$Q$5))</f>
        <v/>
      </c>
    </row>
    <row r="22883" spans="15:15" x14ac:dyDescent="0.25">
      <c r="O22883" s="20" t="str">
        <f>IF(N22883="","",COUNTIFS(RawData[[Date ]],N22883,RawData[Month List],$Q$6,RawData[Tour/Site],$Q$2,RawData[[Picker ID ]],$Q$3,RawData[Checker ID],$Q$4,RawData[[Error Type ]],$Q$5))</f>
        <v/>
      </c>
    </row>
    <row r="22884" spans="15:15" x14ac:dyDescent="0.25">
      <c r="O22884" s="20" t="str">
        <f>IF(N22884="","",COUNTIFS(RawData[[Date ]],N22884,RawData[Month List],$Q$6,RawData[Tour/Site],$Q$2,RawData[[Picker ID ]],$Q$3,RawData[Checker ID],$Q$4,RawData[[Error Type ]],$Q$5))</f>
        <v/>
      </c>
    </row>
    <row r="22885" spans="15:15" x14ac:dyDescent="0.25">
      <c r="O22885" s="20" t="str">
        <f>IF(N22885="","",COUNTIFS(RawData[[Date ]],N22885,RawData[Month List],$Q$6,RawData[Tour/Site],$Q$2,RawData[[Picker ID ]],$Q$3,RawData[Checker ID],$Q$4,RawData[[Error Type ]],$Q$5))</f>
        <v/>
      </c>
    </row>
    <row r="22886" spans="15:15" x14ac:dyDescent="0.25">
      <c r="O22886" s="20" t="str">
        <f>IF(N22886="","",COUNTIFS(RawData[[Date ]],N22886,RawData[Month List],$Q$6,RawData[Tour/Site],$Q$2,RawData[[Picker ID ]],$Q$3,RawData[Checker ID],$Q$4,RawData[[Error Type ]],$Q$5))</f>
        <v/>
      </c>
    </row>
    <row r="22887" spans="15:15" x14ac:dyDescent="0.25">
      <c r="O22887" s="20" t="str">
        <f>IF(N22887="","",COUNTIFS(RawData[[Date ]],N22887,RawData[Month List],$Q$6,RawData[Tour/Site],$Q$2,RawData[[Picker ID ]],$Q$3,RawData[Checker ID],$Q$4,RawData[[Error Type ]],$Q$5))</f>
        <v/>
      </c>
    </row>
    <row r="22888" spans="15:15" x14ac:dyDescent="0.25">
      <c r="O22888" s="20" t="str">
        <f>IF(N22888="","",COUNTIFS(RawData[[Date ]],N22888,RawData[Month List],$Q$6,RawData[Tour/Site],$Q$2,RawData[[Picker ID ]],$Q$3,RawData[Checker ID],$Q$4,RawData[[Error Type ]],$Q$5))</f>
        <v/>
      </c>
    </row>
    <row r="22889" spans="15:15" x14ac:dyDescent="0.25">
      <c r="O22889" s="20" t="str">
        <f>IF(N22889="","",COUNTIFS(RawData[[Date ]],N22889,RawData[Month List],$Q$6,RawData[Tour/Site],$Q$2,RawData[[Picker ID ]],$Q$3,RawData[Checker ID],$Q$4,RawData[[Error Type ]],$Q$5))</f>
        <v/>
      </c>
    </row>
    <row r="22890" spans="15:15" x14ac:dyDescent="0.25">
      <c r="O22890" s="20" t="str">
        <f>IF(N22890="","",COUNTIFS(RawData[[Date ]],N22890,RawData[Month List],$Q$6,RawData[Tour/Site],$Q$2,RawData[[Picker ID ]],$Q$3,RawData[Checker ID],$Q$4,RawData[[Error Type ]],$Q$5))</f>
        <v/>
      </c>
    </row>
    <row r="22891" spans="15:15" x14ac:dyDescent="0.25">
      <c r="O22891" s="20" t="str">
        <f>IF(N22891="","",COUNTIFS(RawData[[Date ]],N22891,RawData[Month List],$Q$6,RawData[Tour/Site],$Q$2,RawData[[Picker ID ]],$Q$3,RawData[Checker ID],$Q$4,RawData[[Error Type ]],$Q$5))</f>
        <v/>
      </c>
    </row>
    <row r="22892" spans="15:15" x14ac:dyDescent="0.25">
      <c r="O22892" s="20" t="str">
        <f>IF(N22892="","",COUNTIFS(RawData[[Date ]],N22892,RawData[Month List],$Q$6,RawData[Tour/Site],$Q$2,RawData[[Picker ID ]],$Q$3,RawData[Checker ID],$Q$4,RawData[[Error Type ]],$Q$5))</f>
        <v/>
      </c>
    </row>
    <row r="22893" spans="15:15" x14ac:dyDescent="0.25">
      <c r="O22893" s="20" t="str">
        <f>IF(N22893="","",COUNTIFS(RawData[[Date ]],N22893,RawData[Month List],$Q$6,RawData[Tour/Site],$Q$2,RawData[[Picker ID ]],$Q$3,RawData[Checker ID],$Q$4,RawData[[Error Type ]],$Q$5))</f>
        <v/>
      </c>
    </row>
    <row r="22894" spans="15:15" x14ac:dyDescent="0.25">
      <c r="O22894" s="20" t="str">
        <f>IF(N22894="","",COUNTIFS(RawData[[Date ]],N22894,RawData[Month List],$Q$6,RawData[Tour/Site],$Q$2,RawData[[Picker ID ]],$Q$3,RawData[Checker ID],$Q$4,RawData[[Error Type ]],$Q$5))</f>
        <v/>
      </c>
    </row>
    <row r="22895" spans="15:15" x14ac:dyDescent="0.25">
      <c r="O22895" s="20" t="str">
        <f>IF(N22895="","",COUNTIFS(RawData[[Date ]],N22895,RawData[Month List],$Q$6,RawData[Tour/Site],$Q$2,RawData[[Picker ID ]],$Q$3,RawData[Checker ID],$Q$4,RawData[[Error Type ]],$Q$5))</f>
        <v/>
      </c>
    </row>
    <row r="22896" spans="15:15" x14ac:dyDescent="0.25">
      <c r="O22896" s="20" t="str">
        <f>IF(N22896="","",COUNTIFS(RawData[[Date ]],N22896,RawData[Month List],$Q$6,RawData[Tour/Site],$Q$2,RawData[[Picker ID ]],$Q$3,RawData[Checker ID],$Q$4,RawData[[Error Type ]],$Q$5))</f>
        <v/>
      </c>
    </row>
    <row r="22897" spans="15:15" x14ac:dyDescent="0.25">
      <c r="O22897" s="20" t="str">
        <f>IF(N22897="","",COUNTIFS(RawData[[Date ]],N22897,RawData[Month List],$Q$6,RawData[Tour/Site],$Q$2,RawData[[Picker ID ]],$Q$3,RawData[Checker ID],$Q$4,RawData[[Error Type ]],$Q$5))</f>
        <v/>
      </c>
    </row>
    <row r="22898" spans="15:15" x14ac:dyDescent="0.25">
      <c r="O22898" s="20" t="str">
        <f>IF(N22898="","",COUNTIFS(RawData[[Date ]],N22898,RawData[Month List],$Q$6,RawData[Tour/Site],$Q$2,RawData[[Picker ID ]],$Q$3,RawData[Checker ID],$Q$4,RawData[[Error Type ]],$Q$5))</f>
        <v/>
      </c>
    </row>
    <row r="22899" spans="15:15" x14ac:dyDescent="0.25">
      <c r="O22899" s="20" t="str">
        <f>IF(N22899="","",COUNTIFS(RawData[[Date ]],N22899,RawData[Month List],$Q$6,RawData[Tour/Site],$Q$2,RawData[[Picker ID ]],$Q$3,RawData[Checker ID],$Q$4,RawData[[Error Type ]],$Q$5))</f>
        <v/>
      </c>
    </row>
    <row r="22900" spans="15:15" x14ac:dyDescent="0.25">
      <c r="O22900" s="20" t="str">
        <f>IF(N22900="","",COUNTIFS(RawData[[Date ]],N22900,RawData[Month List],$Q$6,RawData[Tour/Site],$Q$2,RawData[[Picker ID ]],$Q$3,RawData[Checker ID],$Q$4,RawData[[Error Type ]],$Q$5))</f>
        <v/>
      </c>
    </row>
    <row r="22901" spans="15:15" x14ac:dyDescent="0.25">
      <c r="O22901" s="20" t="str">
        <f>IF(N22901="","",COUNTIFS(RawData[[Date ]],N22901,RawData[Month List],$Q$6,RawData[Tour/Site],$Q$2,RawData[[Picker ID ]],$Q$3,RawData[Checker ID],$Q$4,RawData[[Error Type ]],$Q$5))</f>
        <v/>
      </c>
    </row>
    <row r="22902" spans="15:15" x14ac:dyDescent="0.25">
      <c r="O22902" s="20" t="str">
        <f>IF(N22902="","",COUNTIFS(RawData[[Date ]],N22902,RawData[Month List],$Q$6,RawData[Tour/Site],$Q$2,RawData[[Picker ID ]],$Q$3,RawData[Checker ID],$Q$4,RawData[[Error Type ]],$Q$5))</f>
        <v/>
      </c>
    </row>
    <row r="22903" spans="15:15" x14ac:dyDescent="0.25">
      <c r="O22903" s="20" t="str">
        <f>IF(N22903="","",COUNTIFS(RawData[[Date ]],N22903,RawData[Month List],$Q$6,RawData[Tour/Site],$Q$2,RawData[[Picker ID ]],$Q$3,RawData[Checker ID],$Q$4,RawData[[Error Type ]],$Q$5))</f>
        <v/>
      </c>
    </row>
    <row r="22904" spans="15:15" x14ac:dyDescent="0.25">
      <c r="O22904" s="20" t="str">
        <f>IF(N22904="","",COUNTIFS(RawData[[Date ]],N22904,RawData[Month List],$Q$6,RawData[Tour/Site],$Q$2,RawData[[Picker ID ]],$Q$3,RawData[Checker ID],$Q$4,RawData[[Error Type ]],$Q$5))</f>
        <v/>
      </c>
    </row>
    <row r="22905" spans="15:15" x14ac:dyDescent="0.25">
      <c r="O22905" s="20" t="str">
        <f>IF(N22905="","",COUNTIFS(RawData[[Date ]],N22905,RawData[Month List],$Q$6,RawData[Tour/Site],$Q$2,RawData[[Picker ID ]],$Q$3,RawData[Checker ID],$Q$4,RawData[[Error Type ]],$Q$5))</f>
        <v/>
      </c>
    </row>
    <row r="22906" spans="15:15" x14ac:dyDescent="0.25">
      <c r="O22906" s="20" t="str">
        <f>IF(N22906="","",COUNTIFS(RawData[[Date ]],N22906,RawData[Month List],$Q$6,RawData[Tour/Site],$Q$2,RawData[[Picker ID ]],$Q$3,RawData[Checker ID],$Q$4,RawData[[Error Type ]],$Q$5))</f>
        <v/>
      </c>
    </row>
    <row r="22907" spans="15:15" x14ac:dyDescent="0.25">
      <c r="O22907" s="20" t="str">
        <f>IF(N22907="","",COUNTIFS(RawData[[Date ]],N22907,RawData[Month List],$Q$6,RawData[Tour/Site],$Q$2,RawData[[Picker ID ]],$Q$3,RawData[Checker ID],$Q$4,RawData[[Error Type ]],$Q$5))</f>
        <v/>
      </c>
    </row>
    <row r="22908" spans="15:15" x14ac:dyDescent="0.25">
      <c r="O22908" s="20" t="str">
        <f>IF(N22908="","",COUNTIFS(RawData[[Date ]],N22908,RawData[Month List],$Q$6,RawData[Tour/Site],$Q$2,RawData[[Picker ID ]],$Q$3,RawData[Checker ID],$Q$4,RawData[[Error Type ]],$Q$5))</f>
        <v/>
      </c>
    </row>
    <row r="22909" spans="15:15" x14ac:dyDescent="0.25">
      <c r="O22909" s="20" t="str">
        <f>IF(N22909="","",COUNTIFS(RawData[[Date ]],N22909,RawData[Month List],$Q$6,RawData[Tour/Site],$Q$2,RawData[[Picker ID ]],$Q$3,RawData[Checker ID],$Q$4,RawData[[Error Type ]],$Q$5))</f>
        <v/>
      </c>
    </row>
    <row r="22910" spans="15:15" x14ac:dyDescent="0.25">
      <c r="O22910" s="20" t="str">
        <f>IF(N22910="","",COUNTIFS(RawData[[Date ]],N22910,RawData[Month List],$Q$6,RawData[Tour/Site],$Q$2,RawData[[Picker ID ]],$Q$3,RawData[Checker ID],$Q$4,RawData[[Error Type ]],$Q$5))</f>
        <v/>
      </c>
    </row>
    <row r="22911" spans="15:15" x14ac:dyDescent="0.25">
      <c r="O22911" s="20" t="str">
        <f>IF(N22911="","",COUNTIFS(RawData[[Date ]],N22911,RawData[Month List],$Q$6,RawData[Tour/Site],$Q$2,RawData[[Picker ID ]],$Q$3,RawData[Checker ID],$Q$4,RawData[[Error Type ]],$Q$5))</f>
        <v/>
      </c>
    </row>
    <row r="22912" spans="15:15" x14ac:dyDescent="0.25">
      <c r="O22912" s="20" t="str">
        <f>IF(N22912="","",COUNTIFS(RawData[[Date ]],N22912,RawData[Month List],$Q$6,RawData[Tour/Site],$Q$2,RawData[[Picker ID ]],$Q$3,RawData[Checker ID],$Q$4,RawData[[Error Type ]],$Q$5))</f>
        <v/>
      </c>
    </row>
    <row r="22913" spans="15:15" x14ac:dyDescent="0.25">
      <c r="O22913" s="20" t="str">
        <f>IF(N22913="","",COUNTIFS(RawData[[Date ]],N22913,RawData[Month List],$Q$6,RawData[Tour/Site],$Q$2,RawData[[Picker ID ]],$Q$3,RawData[Checker ID],$Q$4,RawData[[Error Type ]],$Q$5))</f>
        <v/>
      </c>
    </row>
    <row r="22914" spans="15:15" x14ac:dyDescent="0.25">
      <c r="O22914" s="20" t="str">
        <f>IF(N22914="","",COUNTIFS(RawData[[Date ]],N22914,RawData[Month List],$Q$6,RawData[Tour/Site],$Q$2,RawData[[Picker ID ]],$Q$3,RawData[Checker ID],$Q$4,RawData[[Error Type ]],$Q$5))</f>
        <v/>
      </c>
    </row>
    <row r="22915" spans="15:15" x14ac:dyDescent="0.25">
      <c r="O22915" s="20" t="str">
        <f>IF(N22915="","",COUNTIFS(RawData[[Date ]],N22915,RawData[Month List],$Q$6,RawData[Tour/Site],$Q$2,RawData[[Picker ID ]],$Q$3,RawData[Checker ID],$Q$4,RawData[[Error Type ]],$Q$5))</f>
        <v/>
      </c>
    </row>
    <row r="22916" spans="15:15" x14ac:dyDescent="0.25">
      <c r="O22916" s="20" t="str">
        <f>IF(N22916="","",COUNTIFS(RawData[[Date ]],N22916,RawData[Month List],$Q$6,RawData[Tour/Site],$Q$2,RawData[[Picker ID ]],$Q$3,RawData[Checker ID],$Q$4,RawData[[Error Type ]],$Q$5))</f>
        <v/>
      </c>
    </row>
    <row r="22917" spans="15:15" x14ac:dyDescent="0.25">
      <c r="O22917" s="20" t="str">
        <f>IF(N22917="","",COUNTIFS(RawData[[Date ]],N22917,RawData[Month List],$Q$6,RawData[Tour/Site],$Q$2,RawData[[Picker ID ]],$Q$3,RawData[Checker ID],$Q$4,RawData[[Error Type ]],$Q$5))</f>
        <v/>
      </c>
    </row>
    <row r="22918" spans="15:15" x14ac:dyDescent="0.25">
      <c r="O22918" s="20" t="str">
        <f>IF(N22918="","",COUNTIFS(RawData[[Date ]],N22918,RawData[Month List],$Q$6,RawData[Tour/Site],$Q$2,RawData[[Picker ID ]],$Q$3,RawData[Checker ID],$Q$4,RawData[[Error Type ]],$Q$5))</f>
        <v/>
      </c>
    </row>
    <row r="22919" spans="15:15" x14ac:dyDescent="0.25">
      <c r="O22919" s="20" t="str">
        <f>IF(N22919="","",COUNTIFS(RawData[[Date ]],N22919,RawData[Month List],$Q$6,RawData[Tour/Site],$Q$2,RawData[[Picker ID ]],$Q$3,RawData[Checker ID],$Q$4,RawData[[Error Type ]],$Q$5))</f>
        <v/>
      </c>
    </row>
    <row r="22920" spans="15:15" x14ac:dyDescent="0.25">
      <c r="O22920" s="20" t="str">
        <f>IF(N22920="","",COUNTIFS(RawData[[Date ]],N22920,RawData[Month List],$Q$6,RawData[Tour/Site],$Q$2,RawData[[Picker ID ]],$Q$3,RawData[Checker ID],$Q$4,RawData[[Error Type ]],$Q$5))</f>
        <v/>
      </c>
    </row>
    <row r="22921" spans="15:15" x14ac:dyDescent="0.25">
      <c r="O22921" s="20" t="str">
        <f>IF(N22921="","",COUNTIFS(RawData[[Date ]],N22921,RawData[Month List],$Q$6,RawData[Tour/Site],$Q$2,RawData[[Picker ID ]],$Q$3,RawData[Checker ID],$Q$4,RawData[[Error Type ]],$Q$5))</f>
        <v/>
      </c>
    </row>
    <row r="22922" spans="15:15" x14ac:dyDescent="0.25">
      <c r="O22922" s="20" t="str">
        <f>IF(N22922="","",COUNTIFS(RawData[[Date ]],N22922,RawData[Month List],$Q$6,RawData[Tour/Site],$Q$2,RawData[[Picker ID ]],$Q$3,RawData[Checker ID],$Q$4,RawData[[Error Type ]],$Q$5))</f>
        <v/>
      </c>
    </row>
    <row r="22923" spans="15:15" x14ac:dyDescent="0.25">
      <c r="O22923" s="20" t="str">
        <f>IF(N22923="","",COUNTIFS(RawData[[Date ]],N22923,RawData[Month List],$Q$6,RawData[Tour/Site],$Q$2,RawData[[Picker ID ]],$Q$3,RawData[Checker ID],$Q$4,RawData[[Error Type ]],$Q$5))</f>
        <v/>
      </c>
    </row>
    <row r="22924" spans="15:15" x14ac:dyDescent="0.25">
      <c r="O22924" s="20" t="str">
        <f>IF(N22924="","",COUNTIFS(RawData[[Date ]],N22924,RawData[Month List],$Q$6,RawData[Tour/Site],$Q$2,RawData[[Picker ID ]],$Q$3,RawData[Checker ID],$Q$4,RawData[[Error Type ]],$Q$5))</f>
        <v/>
      </c>
    </row>
    <row r="22925" spans="15:15" x14ac:dyDescent="0.25">
      <c r="O22925" s="20" t="str">
        <f>IF(N22925="","",COUNTIFS(RawData[[Date ]],N22925,RawData[Month List],$Q$6,RawData[Tour/Site],$Q$2,RawData[[Picker ID ]],$Q$3,RawData[Checker ID],$Q$4,RawData[[Error Type ]],$Q$5))</f>
        <v/>
      </c>
    </row>
    <row r="22926" spans="15:15" x14ac:dyDescent="0.25">
      <c r="O22926" s="20" t="str">
        <f>IF(N22926="","",COUNTIFS(RawData[[Date ]],N22926,RawData[Month List],$Q$6,RawData[Tour/Site],$Q$2,RawData[[Picker ID ]],$Q$3,RawData[Checker ID],$Q$4,RawData[[Error Type ]],$Q$5))</f>
        <v/>
      </c>
    </row>
    <row r="22927" spans="15:15" x14ac:dyDescent="0.25">
      <c r="O22927" s="20" t="str">
        <f>IF(N22927="","",COUNTIFS(RawData[[Date ]],N22927,RawData[Month List],$Q$6,RawData[Tour/Site],$Q$2,RawData[[Picker ID ]],$Q$3,RawData[Checker ID],$Q$4,RawData[[Error Type ]],$Q$5))</f>
        <v/>
      </c>
    </row>
    <row r="22928" spans="15:15" x14ac:dyDescent="0.25">
      <c r="O22928" s="20" t="str">
        <f>IF(N22928="","",COUNTIFS(RawData[[Date ]],N22928,RawData[Month List],$Q$6,RawData[Tour/Site],$Q$2,RawData[[Picker ID ]],$Q$3,RawData[Checker ID],$Q$4,RawData[[Error Type ]],$Q$5))</f>
        <v/>
      </c>
    </row>
    <row r="22929" spans="15:15" x14ac:dyDescent="0.25">
      <c r="O22929" s="20" t="str">
        <f>IF(N22929="","",COUNTIFS(RawData[[Date ]],N22929,RawData[Month List],$Q$6,RawData[Tour/Site],$Q$2,RawData[[Picker ID ]],$Q$3,RawData[Checker ID],$Q$4,RawData[[Error Type ]],$Q$5))</f>
        <v/>
      </c>
    </row>
    <row r="22930" spans="15:15" x14ac:dyDescent="0.25">
      <c r="O22930" s="20" t="str">
        <f>IF(N22930="","",COUNTIFS(RawData[[Date ]],N22930,RawData[Month List],$Q$6,RawData[Tour/Site],$Q$2,RawData[[Picker ID ]],$Q$3,RawData[Checker ID],$Q$4,RawData[[Error Type ]],$Q$5))</f>
        <v/>
      </c>
    </row>
    <row r="22931" spans="15:15" x14ac:dyDescent="0.25">
      <c r="O22931" s="20" t="str">
        <f>IF(N22931="","",COUNTIFS(RawData[[Date ]],N22931,RawData[Month List],$Q$6,RawData[Tour/Site],$Q$2,RawData[[Picker ID ]],$Q$3,RawData[Checker ID],$Q$4,RawData[[Error Type ]],$Q$5))</f>
        <v/>
      </c>
    </row>
    <row r="22932" spans="15:15" x14ac:dyDescent="0.25">
      <c r="O22932" s="20" t="str">
        <f>IF(N22932="","",COUNTIFS(RawData[[Date ]],N22932,RawData[Month List],$Q$6,RawData[Tour/Site],$Q$2,RawData[[Picker ID ]],$Q$3,RawData[Checker ID],$Q$4,RawData[[Error Type ]],$Q$5))</f>
        <v/>
      </c>
    </row>
    <row r="22933" spans="15:15" x14ac:dyDescent="0.25">
      <c r="O22933" s="20" t="str">
        <f>IF(N22933="","",COUNTIFS(RawData[[Date ]],N22933,RawData[Month List],$Q$6,RawData[Tour/Site],$Q$2,RawData[[Picker ID ]],$Q$3,RawData[Checker ID],$Q$4,RawData[[Error Type ]],$Q$5))</f>
        <v/>
      </c>
    </row>
    <row r="22934" spans="15:15" x14ac:dyDescent="0.25">
      <c r="O22934" s="20" t="str">
        <f>IF(N22934="","",COUNTIFS(RawData[[Date ]],N22934,RawData[Month List],$Q$6,RawData[Tour/Site],$Q$2,RawData[[Picker ID ]],$Q$3,RawData[Checker ID],$Q$4,RawData[[Error Type ]],$Q$5))</f>
        <v/>
      </c>
    </row>
    <row r="22935" spans="15:15" x14ac:dyDescent="0.25">
      <c r="O22935" s="20" t="str">
        <f>IF(N22935="","",COUNTIFS(RawData[[Date ]],N22935,RawData[Month List],$Q$6,RawData[Tour/Site],$Q$2,RawData[[Picker ID ]],$Q$3,RawData[Checker ID],$Q$4,RawData[[Error Type ]],$Q$5))</f>
        <v/>
      </c>
    </row>
    <row r="22936" spans="15:15" x14ac:dyDescent="0.25">
      <c r="O22936" s="20" t="str">
        <f>IF(N22936="","",COUNTIFS(RawData[[Date ]],N22936,RawData[Month List],$Q$6,RawData[Tour/Site],$Q$2,RawData[[Picker ID ]],$Q$3,RawData[Checker ID],$Q$4,RawData[[Error Type ]],$Q$5))</f>
        <v/>
      </c>
    </row>
    <row r="22937" spans="15:15" x14ac:dyDescent="0.25">
      <c r="O22937" s="20" t="str">
        <f>IF(N22937="","",COUNTIFS(RawData[[Date ]],N22937,RawData[Month List],$Q$6,RawData[Tour/Site],$Q$2,RawData[[Picker ID ]],$Q$3,RawData[Checker ID],$Q$4,RawData[[Error Type ]],$Q$5))</f>
        <v/>
      </c>
    </row>
    <row r="22938" spans="15:15" x14ac:dyDescent="0.25">
      <c r="O22938" s="20" t="str">
        <f>IF(N22938="","",COUNTIFS(RawData[[Date ]],N22938,RawData[Month List],$Q$6,RawData[Tour/Site],$Q$2,RawData[[Picker ID ]],$Q$3,RawData[Checker ID],$Q$4,RawData[[Error Type ]],$Q$5))</f>
        <v/>
      </c>
    </row>
    <row r="22939" spans="15:15" x14ac:dyDescent="0.25">
      <c r="O22939" s="20" t="str">
        <f>IF(N22939="","",COUNTIFS(RawData[[Date ]],N22939,RawData[Month List],$Q$6,RawData[Tour/Site],$Q$2,RawData[[Picker ID ]],$Q$3,RawData[Checker ID],$Q$4,RawData[[Error Type ]],$Q$5))</f>
        <v/>
      </c>
    </row>
    <row r="22940" spans="15:15" x14ac:dyDescent="0.25">
      <c r="O22940" s="20" t="str">
        <f>IF(N22940="","",COUNTIFS(RawData[[Date ]],N22940,RawData[Month List],$Q$6,RawData[Tour/Site],$Q$2,RawData[[Picker ID ]],$Q$3,RawData[Checker ID],$Q$4,RawData[[Error Type ]],$Q$5))</f>
        <v/>
      </c>
    </row>
    <row r="22941" spans="15:15" x14ac:dyDescent="0.25">
      <c r="O22941" s="20" t="str">
        <f>IF(N22941="","",COUNTIFS(RawData[[Date ]],N22941,RawData[Month List],$Q$6,RawData[Tour/Site],$Q$2,RawData[[Picker ID ]],$Q$3,RawData[Checker ID],$Q$4,RawData[[Error Type ]],$Q$5))</f>
        <v/>
      </c>
    </row>
    <row r="22942" spans="15:15" x14ac:dyDescent="0.25">
      <c r="O22942" s="20" t="str">
        <f>IF(N22942="","",COUNTIFS(RawData[[Date ]],N22942,RawData[Month List],$Q$6,RawData[Tour/Site],$Q$2,RawData[[Picker ID ]],$Q$3,RawData[Checker ID],$Q$4,RawData[[Error Type ]],$Q$5))</f>
        <v/>
      </c>
    </row>
    <row r="22943" spans="15:15" x14ac:dyDescent="0.25">
      <c r="O22943" s="20" t="str">
        <f>IF(N22943="","",COUNTIFS(RawData[[Date ]],N22943,RawData[Month List],$Q$6,RawData[Tour/Site],$Q$2,RawData[[Picker ID ]],$Q$3,RawData[Checker ID],$Q$4,RawData[[Error Type ]],$Q$5))</f>
        <v/>
      </c>
    </row>
    <row r="22944" spans="15:15" x14ac:dyDescent="0.25">
      <c r="O22944" s="20" t="str">
        <f>IF(N22944="","",COUNTIFS(RawData[[Date ]],N22944,RawData[Month List],$Q$6,RawData[Tour/Site],$Q$2,RawData[[Picker ID ]],$Q$3,RawData[Checker ID],$Q$4,RawData[[Error Type ]],$Q$5))</f>
        <v/>
      </c>
    </row>
    <row r="22945" spans="15:15" x14ac:dyDescent="0.25">
      <c r="O22945" s="20" t="str">
        <f>IF(N22945="","",COUNTIFS(RawData[[Date ]],N22945,RawData[Month List],$Q$6,RawData[Tour/Site],$Q$2,RawData[[Picker ID ]],$Q$3,RawData[Checker ID],$Q$4,RawData[[Error Type ]],$Q$5))</f>
        <v/>
      </c>
    </row>
    <row r="22946" spans="15:15" x14ac:dyDescent="0.25">
      <c r="O22946" s="20" t="str">
        <f>IF(N22946="","",COUNTIFS(RawData[[Date ]],N22946,RawData[Month List],$Q$6,RawData[Tour/Site],$Q$2,RawData[[Picker ID ]],$Q$3,RawData[Checker ID],$Q$4,RawData[[Error Type ]],$Q$5))</f>
        <v/>
      </c>
    </row>
    <row r="22947" spans="15:15" x14ac:dyDescent="0.25">
      <c r="O22947" s="20" t="str">
        <f>IF(N22947="","",COUNTIFS(RawData[[Date ]],N22947,RawData[Month List],$Q$6,RawData[Tour/Site],$Q$2,RawData[[Picker ID ]],$Q$3,RawData[Checker ID],$Q$4,RawData[[Error Type ]],$Q$5))</f>
        <v/>
      </c>
    </row>
    <row r="22948" spans="15:15" x14ac:dyDescent="0.25">
      <c r="O22948" s="20" t="str">
        <f>IF(N22948="","",COUNTIFS(RawData[[Date ]],N22948,RawData[Month List],$Q$6,RawData[Tour/Site],$Q$2,RawData[[Picker ID ]],$Q$3,RawData[Checker ID],$Q$4,RawData[[Error Type ]],$Q$5))</f>
        <v/>
      </c>
    </row>
    <row r="22949" spans="15:15" x14ac:dyDescent="0.25">
      <c r="O22949" s="20" t="str">
        <f>IF(N22949="","",COUNTIFS(RawData[[Date ]],N22949,RawData[Month List],$Q$6,RawData[Tour/Site],$Q$2,RawData[[Picker ID ]],$Q$3,RawData[Checker ID],$Q$4,RawData[[Error Type ]],$Q$5))</f>
        <v/>
      </c>
    </row>
    <row r="22950" spans="15:15" x14ac:dyDescent="0.25">
      <c r="O22950" s="20" t="str">
        <f>IF(N22950="","",COUNTIFS(RawData[[Date ]],N22950,RawData[Month List],$Q$6,RawData[Tour/Site],$Q$2,RawData[[Picker ID ]],$Q$3,RawData[Checker ID],$Q$4,RawData[[Error Type ]],$Q$5))</f>
        <v/>
      </c>
    </row>
    <row r="22951" spans="15:15" x14ac:dyDescent="0.25">
      <c r="O22951" s="20" t="str">
        <f>IF(N22951="","",COUNTIFS(RawData[[Date ]],N22951,RawData[Month List],$Q$6,RawData[Tour/Site],$Q$2,RawData[[Picker ID ]],$Q$3,RawData[Checker ID],$Q$4,RawData[[Error Type ]],$Q$5))</f>
        <v/>
      </c>
    </row>
    <row r="22952" spans="15:15" x14ac:dyDescent="0.25">
      <c r="O22952" s="20" t="str">
        <f>IF(N22952="","",COUNTIFS(RawData[[Date ]],N22952,RawData[Month List],$Q$6,RawData[Tour/Site],$Q$2,RawData[[Picker ID ]],$Q$3,RawData[Checker ID],$Q$4,RawData[[Error Type ]],$Q$5))</f>
        <v/>
      </c>
    </row>
    <row r="22953" spans="15:15" x14ac:dyDescent="0.25">
      <c r="O22953" s="20" t="str">
        <f>IF(N22953="","",COUNTIFS(RawData[[Date ]],N22953,RawData[Month List],$Q$6,RawData[Tour/Site],$Q$2,RawData[[Picker ID ]],$Q$3,RawData[Checker ID],$Q$4,RawData[[Error Type ]],$Q$5))</f>
        <v/>
      </c>
    </row>
    <row r="22954" spans="15:15" x14ac:dyDescent="0.25">
      <c r="O22954" s="20" t="str">
        <f>IF(N22954="","",COUNTIFS(RawData[[Date ]],N22954,RawData[Month List],$Q$6,RawData[Tour/Site],$Q$2,RawData[[Picker ID ]],$Q$3,RawData[Checker ID],$Q$4,RawData[[Error Type ]],$Q$5))</f>
        <v/>
      </c>
    </row>
    <row r="22955" spans="15:15" x14ac:dyDescent="0.25">
      <c r="O22955" s="20" t="str">
        <f>IF(N22955="","",COUNTIFS(RawData[[Date ]],N22955,RawData[Month List],$Q$6,RawData[Tour/Site],$Q$2,RawData[[Picker ID ]],$Q$3,RawData[Checker ID],$Q$4,RawData[[Error Type ]],$Q$5))</f>
        <v/>
      </c>
    </row>
    <row r="22956" spans="15:15" x14ac:dyDescent="0.25">
      <c r="O22956" s="20" t="str">
        <f>IF(N22956="","",COUNTIFS(RawData[[Date ]],N22956,RawData[Month List],$Q$6,RawData[Tour/Site],$Q$2,RawData[[Picker ID ]],$Q$3,RawData[Checker ID],$Q$4,RawData[[Error Type ]],$Q$5))</f>
        <v/>
      </c>
    </row>
    <row r="22957" spans="15:15" x14ac:dyDescent="0.25">
      <c r="O22957" s="20" t="str">
        <f>IF(N22957="","",COUNTIFS(RawData[[Date ]],N22957,RawData[Month List],$Q$6,RawData[Tour/Site],$Q$2,RawData[[Picker ID ]],$Q$3,RawData[Checker ID],$Q$4,RawData[[Error Type ]],$Q$5))</f>
        <v/>
      </c>
    </row>
    <row r="22958" spans="15:15" x14ac:dyDescent="0.25">
      <c r="O22958" s="20" t="str">
        <f>IF(N22958="","",COUNTIFS(RawData[[Date ]],N22958,RawData[Month List],$Q$6,RawData[Tour/Site],$Q$2,RawData[[Picker ID ]],$Q$3,RawData[Checker ID],$Q$4,RawData[[Error Type ]],$Q$5))</f>
        <v/>
      </c>
    </row>
    <row r="22959" spans="15:15" x14ac:dyDescent="0.25">
      <c r="O22959" s="20" t="str">
        <f>IF(N22959="","",COUNTIFS(RawData[[Date ]],N22959,RawData[Month List],$Q$6,RawData[Tour/Site],$Q$2,RawData[[Picker ID ]],$Q$3,RawData[Checker ID],$Q$4,RawData[[Error Type ]],$Q$5))</f>
        <v/>
      </c>
    </row>
    <row r="22960" spans="15:15" x14ac:dyDescent="0.25">
      <c r="O22960" s="20" t="str">
        <f>IF(N22960="","",COUNTIFS(RawData[[Date ]],N22960,RawData[Month List],$Q$6,RawData[Tour/Site],$Q$2,RawData[[Picker ID ]],$Q$3,RawData[Checker ID],$Q$4,RawData[[Error Type ]],$Q$5))</f>
        <v/>
      </c>
    </row>
    <row r="22961" spans="15:15" x14ac:dyDescent="0.25">
      <c r="O22961" s="20" t="str">
        <f>IF(N22961="","",COUNTIFS(RawData[[Date ]],N22961,RawData[Month List],$Q$6,RawData[Tour/Site],$Q$2,RawData[[Picker ID ]],$Q$3,RawData[Checker ID],$Q$4,RawData[[Error Type ]],$Q$5))</f>
        <v/>
      </c>
    </row>
    <row r="22962" spans="15:15" x14ac:dyDescent="0.25">
      <c r="O22962" s="20" t="str">
        <f>IF(N22962="","",COUNTIFS(RawData[[Date ]],N22962,RawData[Month List],$Q$6,RawData[Tour/Site],$Q$2,RawData[[Picker ID ]],$Q$3,RawData[Checker ID],$Q$4,RawData[[Error Type ]],$Q$5))</f>
        <v/>
      </c>
    </row>
    <row r="22963" spans="15:15" x14ac:dyDescent="0.25">
      <c r="O22963" s="20" t="str">
        <f>IF(N22963="","",COUNTIFS(RawData[[Date ]],N22963,RawData[Month List],$Q$6,RawData[Tour/Site],$Q$2,RawData[[Picker ID ]],$Q$3,RawData[Checker ID],$Q$4,RawData[[Error Type ]],$Q$5))</f>
        <v/>
      </c>
    </row>
    <row r="22964" spans="15:15" x14ac:dyDescent="0.25">
      <c r="O22964" s="20" t="str">
        <f>IF(N22964="","",COUNTIFS(RawData[[Date ]],N22964,RawData[Month List],$Q$6,RawData[Tour/Site],$Q$2,RawData[[Picker ID ]],$Q$3,RawData[Checker ID],$Q$4,RawData[[Error Type ]],$Q$5))</f>
        <v/>
      </c>
    </row>
    <row r="22965" spans="15:15" x14ac:dyDescent="0.25">
      <c r="O22965" s="20" t="str">
        <f>IF(N22965="","",COUNTIFS(RawData[[Date ]],N22965,RawData[Month List],$Q$6,RawData[Tour/Site],$Q$2,RawData[[Picker ID ]],$Q$3,RawData[Checker ID],$Q$4,RawData[[Error Type ]],$Q$5))</f>
        <v/>
      </c>
    </row>
    <row r="22966" spans="15:15" x14ac:dyDescent="0.25">
      <c r="O22966" s="20" t="str">
        <f>IF(N22966="","",COUNTIFS(RawData[[Date ]],N22966,RawData[Month List],$Q$6,RawData[Tour/Site],$Q$2,RawData[[Picker ID ]],$Q$3,RawData[Checker ID],$Q$4,RawData[[Error Type ]],$Q$5))</f>
        <v/>
      </c>
    </row>
    <row r="22967" spans="15:15" x14ac:dyDescent="0.25">
      <c r="O22967" s="20" t="str">
        <f>IF(N22967="","",COUNTIFS(RawData[[Date ]],N22967,RawData[Month List],$Q$6,RawData[Tour/Site],$Q$2,RawData[[Picker ID ]],$Q$3,RawData[Checker ID],$Q$4,RawData[[Error Type ]],$Q$5))</f>
        <v/>
      </c>
    </row>
    <row r="22968" spans="15:15" x14ac:dyDescent="0.25">
      <c r="O22968" s="20" t="str">
        <f>IF(N22968="","",COUNTIFS(RawData[[Date ]],N22968,RawData[Month List],$Q$6,RawData[Tour/Site],$Q$2,RawData[[Picker ID ]],$Q$3,RawData[Checker ID],$Q$4,RawData[[Error Type ]],$Q$5))</f>
        <v/>
      </c>
    </row>
    <row r="22969" spans="15:15" x14ac:dyDescent="0.25">
      <c r="O22969" s="20" t="str">
        <f>IF(N22969="","",COUNTIFS(RawData[[Date ]],N22969,RawData[Month List],$Q$6,RawData[Tour/Site],$Q$2,RawData[[Picker ID ]],$Q$3,RawData[Checker ID],$Q$4,RawData[[Error Type ]],$Q$5))</f>
        <v/>
      </c>
    </row>
    <row r="22970" spans="15:15" x14ac:dyDescent="0.25">
      <c r="O22970" s="20" t="str">
        <f>IF(N22970="","",COUNTIFS(RawData[[Date ]],N22970,RawData[Month List],$Q$6,RawData[Tour/Site],$Q$2,RawData[[Picker ID ]],$Q$3,RawData[Checker ID],$Q$4,RawData[[Error Type ]],$Q$5))</f>
        <v/>
      </c>
    </row>
    <row r="22971" spans="15:15" x14ac:dyDescent="0.25">
      <c r="O22971" s="20" t="str">
        <f>IF(N22971="","",COUNTIFS(RawData[[Date ]],N22971,RawData[Month List],$Q$6,RawData[Tour/Site],$Q$2,RawData[[Picker ID ]],$Q$3,RawData[Checker ID],$Q$4,RawData[[Error Type ]],$Q$5))</f>
        <v/>
      </c>
    </row>
    <row r="22972" spans="15:15" x14ac:dyDescent="0.25">
      <c r="O22972" s="20" t="str">
        <f>IF(N22972="","",COUNTIFS(RawData[[Date ]],N22972,RawData[Month List],$Q$6,RawData[Tour/Site],$Q$2,RawData[[Picker ID ]],$Q$3,RawData[Checker ID],$Q$4,RawData[[Error Type ]],$Q$5))</f>
        <v/>
      </c>
    </row>
    <row r="22973" spans="15:15" x14ac:dyDescent="0.25">
      <c r="O22973" s="20" t="str">
        <f>IF(N22973="","",COUNTIFS(RawData[[Date ]],N22973,RawData[Month List],$Q$6,RawData[Tour/Site],$Q$2,RawData[[Picker ID ]],$Q$3,RawData[Checker ID],$Q$4,RawData[[Error Type ]],$Q$5))</f>
        <v/>
      </c>
    </row>
    <row r="22974" spans="15:15" x14ac:dyDescent="0.25">
      <c r="O22974" s="20" t="str">
        <f>IF(N22974="","",COUNTIFS(RawData[[Date ]],N22974,RawData[Month List],$Q$6,RawData[Tour/Site],$Q$2,RawData[[Picker ID ]],$Q$3,RawData[Checker ID],$Q$4,RawData[[Error Type ]],$Q$5))</f>
        <v/>
      </c>
    </row>
    <row r="22975" spans="15:15" x14ac:dyDescent="0.25">
      <c r="O22975" s="20" t="str">
        <f>IF(N22975="","",COUNTIFS(RawData[[Date ]],N22975,RawData[Month List],$Q$6,RawData[Tour/Site],$Q$2,RawData[[Picker ID ]],$Q$3,RawData[Checker ID],$Q$4,RawData[[Error Type ]],$Q$5))</f>
        <v/>
      </c>
    </row>
    <row r="22976" spans="15:15" x14ac:dyDescent="0.25">
      <c r="O22976" s="20" t="str">
        <f>IF(N22976="","",COUNTIFS(RawData[[Date ]],N22976,RawData[Month List],$Q$6,RawData[Tour/Site],$Q$2,RawData[[Picker ID ]],$Q$3,RawData[Checker ID],$Q$4,RawData[[Error Type ]],$Q$5))</f>
        <v/>
      </c>
    </row>
    <row r="22977" spans="15:15" x14ac:dyDescent="0.25">
      <c r="O22977" s="20" t="str">
        <f>IF(N22977="","",COUNTIFS(RawData[[Date ]],N22977,RawData[Month List],$Q$6,RawData[Tour/Site],$Q$2,RawData[[Picker ID ]],$Q$3,RawData[Checker ID],$Q$4,RawData[[Error Type ]],$Q$5))</f>
        <v/>
      </c>
    </row>
    <row r="22978" spans="15:15" x14ac:dyDescent="0.25">
      <c r="O22978" s="20" t="str">
        <f>IF(N22978="","",COUNTIFS(RawData[[Date ]],N22978,RawData[Month List],$Q$6,RawData[Tour/Site],$Q$2,RawData[[Picker ID ]],$Q$3,RawData[Checker ID],$Q$4,RawData[[Error Type ]],$Q$5))</f>
        <v/>
      </c>
    </row>
    <row r="22979" spans="15:15" x14ac:dyDescent="0.25">
      <c r="O22979" s="20" t="str">
        <f>IF(N22979="","",COUNTIFS(RawData[[Date ]],N22979,RawData[Month List],$Q$6,RawData[Tour/Site],$Q$2,RawData[[Picker ID ]],$Q$3,RawData[Checker ID],$Q$4,RawData[[Error Type ]],$Q$5))</f>
        <v/>
      </c>
    </row>
    <row r="22980" spans="15:15" x14ac:dyDescent="0.25">
      <c r="O22980" s="20" t="str">
        <f>IF(N22980="","",COUNTIFS(RawData[[Date ]],N22980,RawData[Month List],$Q$6,RawData[Tour/Site],$Q$2,RawData[[Picker ID ]],$Q$3,RawData[Checker ID],$Q$4,RawData[[Error Type ]],$Q$5))</f>
        <v/>
      </c>
    </row>
    <row r="22981" spans="15:15" x14ac:dyDescent="0.25">
      <c r="O22981" s="20" t="str">
        <f>IF(N22981="","",COUNTIFS(RawData[[Date ]],N22981,RawData[Month List],$Q$6,RawData[Tour/Site],$Q$2,RawData[[Picker ID ]],$Q$3,RawData[Checker ID],$Q$4,RawData[[Error Type ]],$Q$5))</f>
        <v/>
      </c>
    </row>
    <row r="22982" spans="15:15" x14ac:dyDescent="0.25">
      <c r="O22982" s="20" t="str">
        <f>IF(N22982="","",COUNTIFS(RawData[[Date ]],N22982,RawData[Month List],$Q$6,RawData[Tour/Site],$Q$2,RawData[[Picker ID ]],$Q$3,RawData[Checker ID],$Q$4,RawData[[Error Type ]],$Q$5))</f>
        <v/>
      </c>
    </row>
    <row r="22983" spans="15:15" x14ac:dyDescent="0.25">
      <c r="O22983" s="20" t="str">
        <f>IF(N22983="","",COUNTIFS(RawData[[Date ]],N22983,RawData[Month List],$Q$6,RawData[Tour/Site],$Q$2,RawData[[Picker ID ]],$Q$3,RawData[Checker ID],$Q$4,RawData[[Error Type ]],$Q$5))</f>
        <v/>
      </c>
    </row>
    <row r="22984" spans="15:15" x14ac:dyDescent="0.25">
      <c r="O22984" s="20" t="str">
        <f>IF(N22984="","",COUNTIFS(RawData[[Date ]],N22984,RawData[Month List],$Q$6,RawData[Tour/Site],$Q$2,RawData[[Picker ID ]],$Q$3,RawData[Checker ID],$Q$4,RawData[[Error Type ]],$Q$5))</f>
        <v/>
      </c>
    </row>
    <row r="22985" spans="15:15" x14ac:dyDescent="0.25">
      <c r="O22985" s="20" t="str">
        <f>IF(N22985="","",COUNTIFS(RawData[[Date ]],N22985,RawData[Month List],$Q$6,RawData[Tour/Site],$Q$2,RawData[[Picker ID ]],$Q$3,RawData[Checker ID],$Q$4,RawData[[Error Type ]],$Q$5))</f>
        <v/>
      </c>
    </row>
    <row r="22986" spans="15:15" x14ac:dyDescent="0.25">
      <c r="O22986" s="20" t="str">
        <f>IF(N22986="","",COUNTIFS(RawData[[Date ]],N22986,RawData[Month List],$Q$6,RawData[Tour/Site],$Q$2,RawData[[Picker ID ]],$Q$3,RawData[Checker ID],$Q$4,RawData[[Error Type ]],$Q$5))</f>
        <v/>
      </c>
    </row>
    <row r="22987" spans="15:15" x14ac:dyDescent="0.25">
      <c r="O22987" s="20" t="str">
        <f>IF(N22987="","",COUNTIFS(RawData[[Date ]],N22987,RawData[Month List],$Q$6,RawData[Tour/Site],$Q$2,RawData[[Picker ID ]],$Q$3,RawData[Checker ID],$Q$4,RawData[[Error Type ]],$Q$5))</f>
        <v/>
      </c>
    </row>
    <row r="22988" spans="15:15" x14ac:dyDescent="0.25">
      <c r="O22988" s="20" t="str">
        <f>IF(N22988="","",COUNTIFS(RawData[[Date ]],N22988,RawData[Month List],$Q$6,RawData[Tour/Site],$Q$2,RawData[[Picker ID ]],$Q$3,RawData[Checker ID],$Q$4,RawData[[Error Type ]],$Q$5))</f>
        <v/>
      </c>
    </row>
    <row r="22989" spans="15:15" x14ac:dyDescent="0.25">
      <c r="O22989" s="20" t="str">
        <f>IF(N22989="","",COUNTIFS(RawData[[Date ]],N22989,RawData[Month List],$Q$6,RawData[Tour/Site],$Q$2,RawData[[Picker ID ]],$Q$3,RawData[Checker ID],$Q$4,RawData[[Error Type ]],$Q$5))</f>
        <v/>
      </c>
    </row>
    <row r="22990" spans="15:15" x14ac:dyDescent="0.25">
      <c r="O22990" s="20" t="str">
        <f>IF(N22990="","",COUNTIFS(RawData[[Date ]],N22990,RawData[Month List],$Q$6,RawData[Tour/Site],$Q$2,RawData[[Picker ID ]],$Q$3,RawData[Checker ID],$Q$4,RawData[[Error Type ]],$Q$5))</f>
        <v/>
      </c>
    </row>
    <row r="22991" spans="15:15" x14ac:dyDescent="0.25">
      <c r="O22991" s="20" t="str">
        <f>IF(N22991="","",COUNTIFS(RawData[[Date ]],N22991,RawData[Month List],$Q$6,RawData[Tour/Site],$Q$2,RawData[[Picker ID ]],$Q$3,RawData[Checker ID],$Q$4,RawData[[Error Type ]],$Q$5))</f>
        <v/>
      </c>
    </row>
    <row r="22992" spans="15:15" x14ac:dyDescent="0.25">
      <c r="O22992" s="20" t="str">
        <f>IF(N22992="","",COUNTIFS(RawData[[Date ]],N22992,RawData[Month List],$Q$6,RawData[Tour/Site],$Q$2,RawData[[Picker ID ]],$Q$3,RawData[Checker ID],$Q$4,RawData[[Error Type ]],$Q$5))</f>
        <v/>
      </c>
    </row>
    <row r="22993" spans="15:15" x14ac:dyDescent="0.25">
      <c r="O22993" s="20" t="str">
        <f>IF(N22993="","",COUNTIFS(RawData[[Date ]],N22993,RawData[Month List],$Q$6,RawData[Tour/Site],$Q$2,RawData[[Picker ID ]],$Q$3,RawData[Checker ID],$Q$4,RawData[[Error Type ]],$Q$5))</f>
        <v/>
      </c>
    </row>
    <row r="22994" spans="15:15" x14ac:dyDescent="0.25">
      <c r="O22994" s="20" t="str">
        <f>IF(N22994="","",COUNTIFS(RawData[[Date ]],N22994,RawData[Month List],$Q$6,RawData[Tour/Site],$Q$2,RawData[[Picker ID ]],$Q$3,RawData[Checker ID],$Q$4,RawData[[Error Type ]],$Q$5))</f>
        <v/>
      </c>
    </row>
    <row r="22995" spans="15:15" x14ac:dyDescent="0.25">
      <c r="O22995" s="20" t="str">
        <f>IF(N22995="","",COUNTIFS(RawData[[Date ]],N22995,RawData[Month List],$Q$6,RawData[Tour/Site],$Q$2,RawData[[Picker ID ]],$Q$3,RawData[Checker ID],$Q$4,RawData[[Error Type ]],$Q$5))</f>
        <v/>
      </c>
    </row>
    <row r="22996" spans="15:15" x14ac:dyDescent="0.25">
      <c r="O22996" s="20" t="str">
        <f>IF(N22996="","",COUNTIFS(RawData[[Date ]],N22996,RawData[Month List],$Q$6,RawData[Tour/Site],$Q$2,RawData[[Picker ID ]],$Q$3,RawData[Checker ID],$Q$4,RawData[[Error Type ]],$Q$5))</f>
        <v/>
      </c>
    </row>
    <row r="22997" spans="15:15" x14ac:dyDescent="0.25">
      <c r="O22997" s="20" t="str">
        <f>IF(N22997="","",COUNTIFS(RawData[[Date ]],N22997,RawData[Month List],$Q$6,RawData[Tour/Site],$Q$2,RawData[[Picker ID ]],$Q$3,RawData[Checker ID],$Q$4,RawData[[Error Type ]],$Q$5))</f>
        <v/>
      </c>
    </row>
    <row r="22998" spans="15:15" x14ac:dyDescent="0.25">
      <c r="O22998" s="20" t="str">
        <f>IF(N22998="","",COUNTIFS(RawData[[Date ]],N22998,RawData[Month List],$Q$6,RawData[Tour/Site],$Q$2,RawData[[Picker ID ]],$Q$3,RawData[Checker ID],$Q$4,RawData[[Error Type ]],$Q$5))</f>
        <v/>
      </c>
    </row>
    <row r="22999" spans="15:15" x14ac:dyDescent="0.25">
      <c r="O22999" s="20" t="str">
        <f>IF(N22999="","",COUNTIFS(RawData[[Date ]],N22999,RawData[Month List],$Q$6,RawData[Tour/Site],$Q$2,RawData[[Picker ID ]],$Q$3,RawData[Checker ID],$Q$4,RawData[[Error Type ]],$Q$5))</f>
        <v/>
      </c>
    </row>
    <row r="23000" spans="15:15" x14ac:dyDescent="0.25">
      <c r="O23000" s="20" t="str">
        <f>IF(N23000="","",COUNTIFS(RawData[[Date ]],N23000,RawData[Month List],$Q$6,RawData[Tour/Site],$Q$2,RawData[[Picker ID ]],$Q$3,RawData[Checker ID],$Q$4,RawData[[Error Type ]],$Q$5))</f>
        <v/>
      </c>
    </row>
    <row r="23001" spans="15:15" x14ac:dyDescent="0.25">
      <c r="O23001" s="20" t="str">
        <f>IF(N23001="","",COUNTIFS(RawData[[Date ]],N23001,RawData[Month List],$Q$6,RawData[Tour/Site],$Q$2,RawData[[Picker ID ]],$Q$3,RawData[Checker ID],$Q$4,RawData[[Error Type ]],$Q$5))</f>
        <v/>
      </c>
    </row>
    <row r="23002" spans="15:15" x14ac:dyDescent="0.25">
      <c r="O23002" s="20" t="str">
        <f>IF(N23002="","",COUNTIFS(RawData[[Date ]],N23002,RawData[Month List],$Q$6,RawData[Tour/Site],$Q$2,RawData[[Picker ID ]],$Q$3,RawData[Checker ID],$Q$4,RawData[[Error Type ]],$Q$5))</f>
        <v/>
      </c>
    </row>
    <row r="23003" spans="15:15" x14ac:dyDescent="0.25">
      <c r="O23003" s="20" t="str">
        <f>IF(N23003="","",COUNTIFS(RawData[[Date ]],N23003,RawData[Month List],$Q$6,RawData[Tour/Site],$Q$2,RawData[[Picker ID ]],$Q$3,RawData[Checker ID],$Q$4,RawData[[Error Type ]],$Q$5))</f>
        <v/>
      </c>
    </row>
    <row r="23004" spans="15:15" x14ac:dyDescent="0.25">
      <c r="O23004" s="20" t="str">
        <f>IF(N23004="","",COUNTIFS(RawData[[Date ]],N23004,RawData[Month List],$Q$6,RawData[Tour/Site],$Q$2,RawData[[Picker ID ]],$Q$3,RawData[Checker ID],$Q$4,RawData[[Error Type ]],$Q$5))</f>
        <v/>
      </c>
    </row>
    <row r="23005" spans="15:15" x14ac:dyDescent="0.25">
      <c r="O23005" s="20" t="str">
        <f>IF(N23005="","",COUNTIFS(RawData[[Date ]],N23005,RawData[Month List],$Q$6,RawData[Tour/Site],$Q$2,RawData[[Picker ID ]],$Q$3,RawData[Checker ID],$Q$4,RawData[[Error Type ]],$Q$5))</f>
        <v/>
      </c>
    </row>
    <row r="23006" spans="15:15" x14ac:dyDescent="0.25">
      <c r="O23006" s="20" t="str">
        <f>IF(N23006="","",COUNTIFS(RawData[[Date ]],N23006,RawData[Month List],$Q$6,RawData[Tour/Site],$Q$2,RawData[[Picker ID ]],$Q$3,RawData[Checker ID],$Q$4,RawData[[Error Type ]],$Q$5))</f>
        <v/>
      </c>
    </row>
    <row r="23007" spans="15:15" x14ac:dyDescent="0.25">
      <c r="O23007" s="20" t="str">
        <f>IF(N23007="","",COUNTIFS(RawData[[Date ]],N23007,RawData[Month List],$Q$6,RawData[Tour/Site],$Q$2,RawData[[Picker ID ]],$Q$3,RawData[Checker ID],$Q$4,RawData[[Error Type ]],$Q$5))</f>
        <v/>
      </c>
    </row>
    <row r="23008" spans="15:15" x14ac:dyDescent="0.25">
      <c r="O23008" s="20" t="str">
        <f>IF(N23008="","",COUNTIFS(RawData[[Date ]],N23008,RawData[Month List],$Q$6,RawData[Tour/Site],$Q$2,RawData[[Picker ID ]],$Q$3,RawData[Checker ID],$Q$4,RawData[[Error Type ]],$Q$5))</f>
        <v/>
      </c>
    </row>
    <row r="23009" spans="15:15" x14ac:dyDescent="0.25">
      <c r="O23009" s="20" t="str">
        <f>IF(N23009="","",COUNTIFS(RawData[[Date ]],N23009,RawData[Month List],$Q$6,RawData[Tour/Site],$Q$2,RawData[[Picker ID ]],$Q$3,RawData[Checker ID],$Q$4,RawData[[Error Type ]],$Q$5))</f>
        <v/>
      </c>
    </row>
    <row r="23010" spans="15:15" x14ac:dyDescent="0.25">
      <c r="O23010" s="20" t="str">
        <f>IF(N23010="","",COUNTIFS(RawData[[Date ]],N23010,RawData[Month List],$Q$6,RawData[Tour/Site],$Q$2,RawData[[Picker ID ]],$Q$3,RawData[Checker ID],$Q$4,RawData[[Error Type ]],$Q$5))</f>
        <v/>
      </c>
    </row>
    <row r="23011" spans="15:15" x14ac:dyDescent="0.25">
      <c r="O23011" s="20" t="str">
        <f>IF(N23011="","",COUNTIFS(RawData[[Date ]],N23011,RawData[Month List],$Q$6,RawData[Tour/Site],$Q$2,RawData[[Picker ID ]],$Q$3,RawData[Checker ID],$Q$4,RawData[[Error Type ]],$Q$5))</f>
        <v/>
      </c>
    </row>
    <row r="23012" spans="15:15" x14ac:dyDescent="0.25">
      <c r="O23012" s="20" t="str">
        <f>IF(N23012="","",COUNTIFS(RawData[[Date ]],N23012,RawData[Month List],$Q$6,RawData[Tour/Site],$Q$2,RawData[[Picker ID ]],$Q$3,RawData[Checker ID],$Q$4,RawData[[Error Type ]],$Q$5))</f>
        <v/>
      </c>
    </row>
    <row r="23013" spans="15:15" x14ac:dyDescent="0.25">
      <c r="O23013" s="20" t="str">
        <f>IF(N23013="","",COUNTIFS(RawData[[Date ]],N23013,RawData[Month List],$Q$6,RawData[Tour/Site],$Q$2,RawData[[Picker ID ]],$Q$3,RawData[Checker ID],$Q$4,RawData[[Error Type ]],$Q$5))</f>
        <v/>
      </c>
    </row>
    <row r="23014" spans="15:15" x14ac:dyDescent="0.25">
      <c r="O23014" s="20" t="str">
        <f>IF(N23014="","",COUNTIFS(RawData[[Date ]],N23014,RawData[Month List],$Q$6,RawData[Tour/Site],$Q$2,RawData[[Picker ID ]],$Q$3,RawData[Checker ID],$Q$4,RawData[[Error Type ]],$Q$5))</f>
        <v/>
      </c>
    </row>
    <row r="23015" spans="15:15" x14ac:dyDescent="0.25">
      <c r="O23015" s="20" t="str">
        <f>IF(N23015="","",COUNTIFS(RawData[[Date ]],N23015,RawData[Month List],$Q$6,RawData[Tour/Site],$Q$2,RawData[[Picker ID ]],$Q$3,RawData[Checker ID],$Q$4,RawData[[Error Type ]],$Q$5))</f>
        <v/>
      </c>
    </row>
    <row r="23016" spans="15:15" x14ac:dyDescent="0.25">
      <c r="O23016" s="20" t="str">
        <f>IF(N23016="","",COUNTIFS(RawData[[Date ]],N23016,RawData[Month List],$Q$6,RawData[Tour/Site],$Q$2,RawData[[Picker ID ]],$Q$3,RawData[Checker ID],$Q$4,RawData[[Error Type ]],$Q$5))</f>
        <v/>
      </c>
    </row>
    <row r="23017" spans="15:15" x14ac:dyDescent="0.25">
      <c r="O23017" s="20" t="str">
        <f>IF(N23017="","",COUNTIFS(RawData[[Date ]],N23017,RawData[Month List],$Q$6,RawData[Tour/Site],$Q$2,RawData[[Picker ID ]],$Q$3,RawData[Checker ID],$Q$4,RawData[[Error Type ]],$Q$5))</f>
        <v/>
      </c>
    </row>
    <row r="23018" spans="15:15" x14ac:dyDescent="0.25">
      <c r="O23018" s="20" t="str">
        <f>IF(N23018="","",COUNTIFS(RawData[[Date ]],N23018,RawData[Month List],$Q$6,RawData[Tour/Site],$Q$2,RawData[[Picker ID ]],$Q$3,RawData[Checker ID],$Q$4,RawData[[Error Type ]],$Q$5))</f>
        <v/>
      </c>
    </row>
    <row r="23019" spans="15:15" x14ac:dyDescent="0.25">
      <c r="O23019" s="20" t="str">
        <f>IF(N23019="","",COUNTIFS(RawData[[Date ]],N23019,RawData[Month List],$Q$6,RawData[Tour/Site],$Q$2,RawData[[Picker ID ]],$Q$3,RawData[Checker ID],$Q$4,RawData[[Error Type ]],$Q$5))</f>
        <v/>
      </c>
    </row>
    <row r="23020" spans="15:15" x14ac:dyDescent="0.25">
      <c r="O23020" s="20" t="str">
        <f>IF(N23020="","",COUNTIFS(RawData[[Date ]],N23020,RawData[Month List],$Q$6,RawData[Tour/Site],$Q$2,RawData[[Picker ID ]],$Q$3,RawData[Checker ID],$Q$4,RawData[[Error Type ]],$Q$5))</f>
        <v/>
      </c>
    </row>
    <row r="23021" spans="15:15" x14ac:dyDescent="0.25">
      <c r="O23021" s="20" t="str">
        <f>IF(N23021="","",COUNTIFS(RawData[[Date ]],N23021,RawData[Month List],$Q$6,RawData[Tour/Site],$Q$2,RawData[[Picker ID ]],$Q$3,RawData[Checker ID],$Q$4,RawData[[Error Type ]],$Q$5))</f>
        <v/>
      </c>
    </row>
    <row r="23022" spans="15:15" x14ac:dyDescent="0.25">
      <c r="O23022" s="20" t="str">
        <f>IF(N23022="","",COUNTIFS(RawData[[Date ]],N23022,RawData[Month List],$Q$6,RawData[Tour/Site],$Q$2,RawData[[Picker ID ]],$Q$3,RawData[Checker ID],$Q$4,RawData[[Error Type ]],$Q$5))</f>
        <v/>
      </c>
    </row>
    <row r="23023" spans="15:15" x14ac:dyDescent="0.25">
      <c r="O23023" s="20" t="str">
        <f>IF(N23023="","",COUNTIFS(RawData[[Date ]],N23023,RawData[Month List],$Q$6,RawData[Tour/Site],$Q$2,RawData[[Picker ID ]],$Q$3,RawData[Checker ID],$Q$4,RawData[[Error Type ]],$Q$5))</f>
        <v/>
      </c>
    </row>
    <row r="23024" spans="15:15" x14ac:dyDescent="0.25">
      <c r="O23024" s="20" t="str">
        <f>IF(N23024="","",COUNTIFS(RawData[[Date ]],N23024,RawData[Month List],$Q$6,RawData[Tour/Site],$Q$2,RawData[[Picker ID ]],$Q$3,RawData[Checker ID],$Q$4,RawData[[Error Type ]],$Q$5))</f>
        <v/>
      </c>
    </row>
    <row r="23025" spans="15:15" x14ac:dyDescent="0.25">
      <c r="O23025" s="20" t="str">
        <f>IF(N23025="","",COUNTIFS(RawData[[Date ]],N23025,RawData[Month List],$Q$6,RawData[Tour/Site],$Q$2,RawData[[Picker ID ]],$Q$3,RawData[Checker ID],$Q$4,RawData[[Error Type ]],$Q$5))</f>
        <v/>
      </c>
    </row>
    <row r="23026" spans="15:15" x14ac:dyDescent="0.25">
      <c r="O23026" s="20" t="str">
        <f>IF(N23026="","",COUNTIFS(RawData[[Date ]],N23026,RawData[Month List],$Q$6,RawData[Tour/Site],$Q$2,RawData[[Picker ID ]],$Q$3,RawData[Checker ID],$Q$4,RawData[[Error Type ]],$Q$5))</f>
        <v/>
      </c>
    </row>
    <row r="23027" spans="15:15" x14ac:dyDescent="0.25">
      <c r="O23027" s="20" t="str">
        <f>IF(N23027="","",COUNTIFS(RawData[[Date ]],N23027,RawData[Month List],$Q$6,RawData[Tour/Site],$Q$2,RawData[[Picker ID ]],$Q$3,RawData[Checker ID],$Q$4,RawData[[Error Type ]],$Q$5))</f>
        <v/>
      </c>
    </row>
    <row r="23028" spans="15:15" x14ac:dyDescent="0.25">
      <c r="O23028" s="20" t="str">
        <f>IF(N23028="","",COUNTIFS(RawData[[Date ]],N23028,RawData[Month List],$Q$6,RawData[Tour/Site],$Q$2,RawData[[Picker ID ]],$Q$3,RawData[Checker ID],$Q$4,RawData[[Error Type ]],$Q$5))</f>
        <v/>
      </c>
    </row>
    <row r="23029" spans="15:15" x14ac:dyDescent="0.25">
      <c r="O23029" s="20" t="str">
        <f>IF(N23029="","",COUNTIFS(RawData[[Date ]],N23029,RawData[Month List],$Q$6,RawData[Tour/Site],$Q$2,RawData[[Picker ID ]],$Q$3,RawData[Checker ID],$Q$4,RawData[[Error Type ]],$Q$5))</f>
        <v/>
      </c>
    </row>
    <row r="23030" spans="15:15" x14ac:dyDescent="0.25">
      <c r="O23030" s="20" t="str">
        <f>IF(N23030="","",COUNTIFS(RawData[[Date ]],N23030,RawData[Month List],$Q$6,RawData[Tour/Site],$Q$2,RawData[[Picker ID ]],$Q$3,RawData[Checker ID],$Q$4,RawData[[Error Type ]],$Q$5))</f>
        <v/>
      </c>
    </row>
    <row r="23031" spans="15:15" x14ac:dyDescent="0.25">
      <c r="O23031" s="20" t="str">
        <f>IF(N23031="","",COUNTIFS(RawData[[Date ]],N23031,RawData[Month List],$Q$6,RawData[Tour/Site],$Q$2,RawData[[Picker ID ]],$Q$3,RawData[Checker ID],$Q$4,RawData[[Error Type ]],$Q$5))</f>
        <v/>
      </c>
    </row>
    <row r="23032" spans="15:15" x14ac:dyDescent="0.25">
      <c r="O23032" s="20" t="str">
        <f>IF(N23032="","",COUNTIFS(RawData[[Date ]],N23032,RawData[Month List],$Q$6,RawData[Tour/Site],$Q$2,RawData[[Picker ID ]],$Q$3,RawData[Checker ID],$Q$4,RawData[[Error Type ]],$Q$5))</f>
        <v/>
      </c>
    </row>
    <row r="23033" spans="15:15" x14ac:dyDescent="0.25">
      <c r="O23033" s="20" t="str">
        <f>IF(N23033="","",COUNTIFS(RawData[[Date ]],N23033,RawData[Month List],$Q$6,RawData[Tour/Site],$Q$2,RawData[[Picker ID ]],$Q$3,RawData[Checker ID],$Q$4,RawData[[Error Type ]],$Q$5))</f>
        <v/>
      </c>
    </row>
    <row r="23034" spans="15:15" x14ac:dyDescent="0.25">
      <c r="O23034" s="20" t="str">
        <f>IF(N23034="","",COUNTIFS(RawData[[Date ]],N23034,RawData[Month List],$Q$6,RawData[Tour/Site],$Q$2,RawData[[Picker ID ]],$Q$3,RawData[Checker ID],$Q$4,RawData[[Error Type ]],$Q$5))</f>
        <v/>
      </c>
    </row>
    <row r="23035" spans="15:15" x14ac:dyDescent="0.25">
      <c r="O23035" s="20" t="str">
        <f>IF(N23035="","",COUNTIFS(RawData[[Date ]],N23035,RawData[Month List],$Q$6,RawData[Tour/Site],$Q$2,RawData[[Picker ID ]],$Q$3,RawData[Checker ID],$Q$4,RawData[[Error Type ]],$Q$5))</f>
        <v/>
      </c>
    </row>
    <row r="23036" spans="15:15" x14ac:dyDescent="0.25">
      <c r="O23036" s="20" t="str">
        <f>IF(N23036="","",COUNTIFS(RawData[[Date ]],N23036,RawData[Month List],$Q$6,RawData[Tour/Site],$Q$2,RawData[[Picker ID ]],$Q$3,RawData[Checker ID],$Q$4,RawData[[Error Type ]],$Q$5))</f>
        <v/>
      </c>
    </row>
    <row r="23037" spans="15:15" x14ac:dyDescent="0.25">
      <c r="O23037" s="20" t="str">
        <f>IF(N23037="","",COUNTIFS(RawData[[Date ]],N23037,RawData[Month List],$Q$6,RawData[Tour/Site],$Q$2,RawData[[Picker ID ]],$Q$3,RawData[Checker ID],$Q$4,RawData[[Error Type ]],$Q$5))</f>
        <v/>
      </c>
    </row>
    <row r="23038" spans="15:15" x14ac:dyDescent="0.25">
      <c r="O23038" s="20" t="str">
        <f>IF(N23038="","",COUNTIFS(RawData[[Date ]],N23038,RawData[Month List],$Q$6,RawData[Tour/Site],$Q$2,RawData[[Picker ID ]],$Q$3,RawData[Checker ID],$Q$4,RawData[[Error Type ]],$Q$5))</f>
        <v/>
      </c>
    </row>
    <row r="23039" spans="15:15" x14ac:dyDescent="0.25">
      <c r="O23039" s="20" t="str">
        <f>IF(N23039="","",COUNTIFS(RawData[[Date ]],N23039,RawData[Month List],$Q$6,RawData[Tour/Site],$Q$2,RawData[[Picker ID ]],$Q$3,RawData[Checker ID],$Q$4,RawData[[Error Type ]],$Q$5))</f>
        <v/>
      </c>
    </row>
    <row r="23040" spans="15:15" x14ac:dyDescent="0.25">
      <c r="O23040" s="20" t="str">
        <f>IF(N23040="","",COUNTIFS(RawData[[Date ]],N23040,RawData[Month List],$Q$6,RawData[Tour/Site],$Q$2,RawData[[Picker ID ]],$Q$3,RawData[Checker ID],$Q$4,RawData[[Error Type ]],$Q$5))</f>
        <v/>
      </c>
    </row>
    <row r="23041" spans="15:15" x14ac:dyDescent="0.25">
      <c r="O23041" s="20" t="str">
        <f>IF(N23041="","",COUNTIFS(RawData[[Date ]],N23041,RawData[Month List],$Q$6,RawData[Tour/Site],$Q$2,RawData[[Picker ID ]],$Q$3,RawData[Checker ID],$Q$4,RawData[[Error Type ]],$Q$5))</f>
        <v/>
      </c>
    </row>
    <row r="23042" spans="15:15" x14ac:dyDescent="0.25">
      <c r="O23042" s="20" t="str">
        <f>IF(N23042="","",COUNTIFS(RawData[[Date ]],N23042,RawData[Month List],$Q$6,RawData[Tour/Site],$Q$2,RawData[[Picker ID ]],$Q$3,RawData[Checker ID],$Q$4,RawData[[Error Type ]],$Q$5))</f>
        <v/>
      </c>
    </row>
    <row r="23043" spans="15:15" x14ac:dyDescent="0.25">
      <c r="O23043" s="20" t="str">
        <f>IF(N23043="","",COUNTIFS(RawData[[Date ]],N23043,RawData[Month List],$Q$6,RawData[Tour/Site],$Q$2,RawData[[Picker ID ]],$Q$3,RawData[Checker ID],$Q$4,RawData[[Error Type ]],$Q$5))</f>
        <v/>
      </c>
    </row>
    <row r="23044" spans="15:15" x14ac:dyDescent="0.25">
      <c r="O23044" s="20" t="str">
        <f>IF(N23044="","",COUNTIFS(RawData[[Date ]],N23044,RawData[Month List],$Q$6,RawData[Tour/Site],$Q$2,RawData[[Picker ID ]],$Q$3,RawData[Checker ID],$Q$4,RawData[[Error Type ]],$Q$5))</f>
        <v/>
      </c>
    </row>
    <row r="23045" spans="15:15" x14ac:dyDescent="0.25">
      <c r="O23045" s="20" t="str">
        <f>IF(N23045="","",COUNTIFS(RawData[[Date ]],N23045,RawData[Month List],$Q$6,RawData[Tour/Site],$Q$2,RawData[[Picker ID ]],$Q$3,RawData[Checker ID],$Q$4,RawData[[Error Type ]],$Q$5))</f>
        <v/>
      </c>
    </row>
    <row r="23046" spans="15:15" x14ac:dyDescent="0.25">
      <c r="O23046" s="20" t="str">
        <f>IF(N23046="","",COUNTIFS(RawData[[Date ]],N23046,RawData[Month List],$Q$6,RawData[Tour/Site],$Q$2,RawData[[Picker ID ]],$Q$3,RawData[Checker ID],$Q$4,RawData[[Error Type ]],$Q$5))</f>
        <v/>
      </c>
    </row>
    <row r="23047" spans="15:15" x14ac:dyDescent="0.25">
      <c r="O23047" s="20" t="str">
        <f>IF(N23047="","",COUNTIFS(RawData[[Date ]],N23047,RawData[Month List],$Q$6,RawData[Tour/Site],$Q$2,RawData[[Picker ID ]],$Q$3,RawData[Checker ID],$Q$4,RawData[[Error Type ]],$Q$5))</f>
        <v/>
      </c>
    </row>
    <row r="23048" spans="15:15" x14ac:dyDescent="0.25">
      <c r="O23048" s="20" t="str">
        <f>IF(N23048="","",COUNTIFS(RawData[[Date ]],N23048,RawData[Month List],$Q$6,RawData[Tour/Site],$Q$2,RawData[[Picker ID ]],$Q$3,RawData[Checker ID],$Q$4,RawData[[Error Type ]],$Q$5))</f>
        <v/>
      </c>
    </row>
    <row r="23049" spans="15:15" x14ac:dyDescent="0.25">
      <c r="O23049" s="20" t="str">
        <f>IF(N23049="","",COUNTIFS(RawData[[Date ]],N23049,RawData[Month List],$Q$6,RawData[Tour/Site],$Q$2,RawData[[Picker ID ]],$Q$3,RawData[Checker ID],$Q$4,RawData[[Error Type ]],$Q$5))</f>
        <v/>
      </c>
    </row>
    <row r="23050" spans="15:15" x14ac:dyDescent="0.25">
      <c r="O23050" s="20" t="str">
        <f>IF(N23050="","",COUNTIFS(RawData[[Date ]],N23050,RawData[Month List],$Q$6,RawData[Tour/Site],$Q$2,RawData[[Picker ID ]],$Q$3,RawData[Checker ID],$Q$4,RawData[[Error Type ]],$Q$5))</f>
        <v/>
      </c>
    </row>
    <row r="23051" spans="15:15" x14ac:dyDescent="0.25">
      <c r="O23051" s="20" t="str">
        <f>IF(N23051="","",COUNTIFS(RawData[[Date ]],N23051,RawData[Month List],$Q$6,RawData[Tour/Site],$Q$2,RawData[[Picker ID ]],$Q$3,RawData[Checker ID],$Q$4,RawData[[Error Type ]],$Q$5))</f>
        <v/>
      </c>
    </row>
    <row r="23052" spans="15:15" x14ac:dyDescent="0.25">
      <c r="O23052" s="20" t="str">
        <f>IF(N23052="","",COUNTIFS(RawData[[Date ]],N23052,RawData[Month List],$Q$6,RawData[Tour/Site],$Q$2,RawData[[Picker ID ]],$Q$3,RawData[Checker ID],$Q$4,RawData[[Error Type ]],$Q$5))</f>
        <v/>
      </c>
    </row>
    <row r="23053" spans="15:15" x14ac:dyDescent="0.25">
      <c r="O23053" s="20" t="str">
        <f>IF(N23053="","",COUNTIFS(RawData[[Date ]],N23053,RawData[Month List],$Q$6,RawData[Tour/Site],$Q$2,RawData[[Picker ID ]],$Q$3,RawData[Checker ID],$Q$4,RawData[[Error Type ]],$Q$5))</f>
        <v/>
      </c>
    </row>
    <row r="23054" spans="15:15" x14ac:dyDescent="0.25">
      <c r="O23054" s="20" t="str">
        <f>IF(N23054="","",COUNTIFS(RawData[[Date ]],N23054,RawData[Month List],$Q$6,RawData[Tour/Site],$Q$2,RawData[[Picker ID ]],$Q$3,RawData[Checker ID],$Q$4,RawData[[Error Type ]],$Q$5))</f>
        <v/>
      </c>
    </row>
    <row r="23055" spans="15:15" x14ac:dyDescent="0.25">
      <c r="O23055" s="20" t="str">
        <f>IF(N23055="","",COUNTIFS(RawData[[Date ]],N23055,RawData[Month List],$Q$6,RawData[Tour/Site],$Q$2,RawData[[Picker ID ]],$Q$3,RawData[Checker ID],$Q$4,RawData[[Error Type ]],$Q$5))</f>
        <v/>
      </c>
    </row>
    <row r="23056" spans="15:15" x14ac:dyDescent="0.25">
      <c r="O23056" s="20" t="str">
        <f>IF(N23056="","",COUNTIFS(RawData[[Date ]],N23056,RawData[Month List],$Q$6,RawData[Tour/Site],$Q$2,RawData[[Picker ID ]],$Q$3,RawData[Checker ID],$Q$4,RawData[[Error Type ]],$Q$5))</f>
        <v/>
      </c>
    </row>
    <row r="23057" spans="15:15" x14ac:dyDescent="0.25">
      <c r="O23057" s="20" t="str">
        <f>IF(N23057="","",COUNTIFS(RawData[[Date ]],N23057,RawData[Month List],$Q$6,RawData[Tour/Site],$Q$2,RawData[[Picker ID ]],$Q$3,RawData[Checker ID],$Q$4,RawData[[Error Type ]],$Q$5))</f>
        <v/>
      </c>
    </row>
    <row r="23058" spans="15:15" x14ac:dyDescent="0.25">
      <c r="O23058" s="20" t="str">
        <f>IF(N23058="","",COUNTIFS(RawData[[Date ]],N23058,RawData[Month List],$Q$6,RawData[Tour/Site],$Q$2,RawData[[Picker ID ]],$Q$3,RawData[Checker ID],$Q$4,RawData[[Error Type ]],$Q$5))</f>
        <v/>
      </c>
    </row>
    <row r="23059" spans="15:15" x14ac:dyDescent="0.25">
      <c r="O23059" s="20" t="str">
        <f>IF(N23059="","",COUNTIFS(RawData[[Date ]],N23059,RawData[Month List],$Q$6,RawData[Tour/Site],$Q$2,RawData[[Picker ID ]],$Q$3,RawData[Checker ID],$Q$4,RawData[[Error Type ]],$Q$5))</f>
        <v/>
      </c>
    </row>
    <row r="23060" spans="15:15" x14ac:dyDescent="0.25">
      <c r="O23060" s="20" t="str">
        <f>IF(N23060="","",COUNTIFS(RawData[[Date ]],N23060,RawData[Month List],$Q$6,RawData[Tour/Site],$Q$2,RawData[[Picker ID ]],$Q$3,RawData[Checker ID],$Q$4,RawData[[Error Type ]],$Q$5))</f>
        <v/>
      </c>
    </row>
    <row r="23061" spans="15:15" x14ac:dyDescent="0.25">
      <c r="O23061" s="20" t="str">
        <f>IF(N23061="","",COUNTIFS(RawData[[Date ]],N23061,RawData[Month List],$Q$6,RawData[Tour/Site],$Q$2,RawData[[Picker ID ]],$Q$3,RawData[Checker ID],$Q$4,RawData[[Error Type ]],$Q$5))</f>
        <v/>
      </c>
    </row>
    <row r="23062" spans="15:15" x14ac:dyDescent="0.25">
      <c r="O23062" s="20" t="str">
        <f>IF(N23062="","",COUNTIFS(RawData[[Date ]],N23062,RawData[Month List],$Q$6,RawData[Tour/Site],$Q$2,RawData[[Picker ID ]],$Q$3,RawData[Checker ID],$Q$4,RawData[[Error Type ]],$Q$5))</f>
        <v/>
      </c>
    </row>
    <row r="23063" spans="15:15" x14ac:dyDescent="0.25">
      <c r="O23063" s="20" t="str">
        <f>IF(N23063="","",COUNTIFS(RawData[[Date ]],N23063,RawData[Month List],$Q$6,RawData[Tour/Site],$Q$2,RawData[[Picker ID ]],$Q$3,RawData[Checker ID],$Q$4,RawData[[Error Type ]],$Q$5))</f>
        <v/>
      </c>
    </row>
    <row r="23064" spans="15:15" x14ac:dyDescent="0.25">
      <c r="O23064" s="20" t="str">
        <f>IF(N23064="","",COUNTIFS(RawData[[Date ]],N23064,RawData[Month List],$Q$6,RawData[Tour/Site],$Q$2,RawData[[Picker ID ]],$Q$3,RawData[Checker ID],$Q$4,RawData[[Error Type ]],$Q$5))</f>
        <v/>
      </c>
    </row>
    <row r="23065" spans="15:15" x14ac:dyDescent="0.25">
      <c r="O23065" s="20" t="str">
        <f>IF(N23065="","",COUNTIFS(RawData[[Date ]],N23065,RawData[Month List],$Q$6,RawData[Tour/Site],$Q$2,RawData[[Picker ID ]],$Q$3,RawData[Checker ID],$Q$4,RawData[[Error Type ]],$Q$5))</f>
        <v/>
      </c>
    </row>
    <row r="23066" spans="15:15" x14ac:dyDescent="0.25">
      <c r="O23066" s="20" t="str">
        <f>IF(N23066="","",COUNTIFS(RawData[[Date ]],N23066,RawData[Month List],$Q$6,RawData[Tour/Site],$Q$2,RawData[[Picker ID ]],$Q$3,RawData[Checker ID],$Q$4,RawData[[Error Type ]],$Q$5))</f>
        <v/>
      </c>
    </row>
    <row r="23067" spans="15:15" x14ac:dyDescent="0.25">
      <c r="O23067" s="20" t="str">
        <f>IF(N23067="","",COUNTIFS(RawData[[Date ]],N23067,RawData[Month List],$Q$6,RawData[Tour/Site],$Q$2,RawData[[Picker ID ]],$Q$3,RawData[Checker ID],$Q$4,RawData[[Error Type ]],$Q$5))</f>
        <v/>
      </c>
    </row>
    <row r="23068" spans="15:15" x14ac:dyDescent="0.25">
      <c r="O23068" s="20" t="str">
        <f>IF(N23068="","",COUNTIFS(RawData[[Date ]],N23068,RawData[Month List],$Q$6,RawData[Tour/Site],$Q$2,RawData[[Picker ID ]],$Q$3,RawData[Checker ID],$Q$4,RawData[[Error Type ]],$Q$5))</f>
        <v/>
      </c>
    </row>
    <row r="23069" spans="15:15" x14ac:dyDescent="0.25">
      <c r="O23069" s="20" t="str">
        <f>IF(N23069="","",COUNTIFS(RawData[[Date ]],N23069,RawData[Month List],$Q$6,RawData[Tour/Site],$Q$2,RawData[[Picker ID ]],$Q$3,RawData[Checker ID],$Q$4,RawData[[Error Type ]],$Q$5))</f>
        <v/>
      </c>
    </row>
    <row r="23070" spans="15:15" x14ac:dyDescent="0.25">
      <c r="O23070" s="20" t="str">
        <f>IF(N23070="","",COUNTIFS(RawData[[Date ]],N23070,RawData[Month List],$Q$6,RawData[Tour/Site],$Q$2,RawData[[Picker ID ]],$Q$3,RawData[Checker ID],$Q$4,RawData[[Error Type ]],$Q$5))</f>
        <v/>
      </c>
    </row>
    <row r="23071" spans="15:15" x14ac:dyDescent="0.25">
      <c r="O23071" s="20" t="str">
        <f>IF(N23071="","",COUNTIFS(RawData[[Date ]],N23071,RawData[Month List],$Q$6,RawData[Tour/Site],$Q$2,RawData[[Picker ID ]],$Q$3,RawData[Checker ID],$Q$4,RawData[[Error Type ]],$Q$5))</f>
        <v/>
      </c>
    </row>
    <row r="23072" spans="15:15" x14ac:dyDescent="0.25">
      <c r="O23072" s="20" t="str">
        <f>IF(N23072="","",COUNTIFS(RawData[[Date ]],N23072,RawData[Month List],$Q$6,RawData[Tour/Site],$Q$2,RawData[[Picker ID ]],$Q$3,RawData[Checker ID],$Q$4,RawData[[Error Type ]],$Q$5))</f>
        <v/>
      </c>
    </row>
    <row r="23073" spans="15:15" x14ac:dyDescent="0.25">
      <c r="O23073" s="20" t="str">
        <f>IF(N23073="","",COUNTIFS(RawData[[Date ]],N23073,RawData[Month List],$Q$6,RawData[Tour/Site],$Q$2,RawData[[Picker ID ]],$Q$3,RawData[Checker ID],$Q$4,RawData[[Error Type ]],$Q$5))</f>
        <v/>
      </c>
    </row>
    <row r="23074" spans="15:15" x14ac:dyDescent="0.25">
      <c r="O23074" s="20" t="str">
        <f>IF(N23074="","",COUNTIFS(RawData[[Date ]],N23074,RawData[Month List],$Q$6,RawData[Tour/Site],$Q$2,RawData[[Picker ID ]],$Q$3,RawData[Checker ID],$Q$4,RawData[[Error Type ]],$Q$5))</f>
        <v/>
      </c>
    </row>
    <row r="23075" spans="15:15" x14ac:dyDescent="0.25">
      <c r="O23075" s="20" t="str">
        <f>IF(N23075="","",COUNTIFS(RawData[[Date ]],N23075,RawData[Month List],$Q$6,RawData[Tour/Site],$Q$2,RawData[[Picker ID ]],$Q$3,RawData[Checker ID],$Q$4,RawData[[Error Type ]],$Q$5))</f>
        <v/>
      </c>
    </row>
    <row r="23076" spans="15:15" x14ac:dyDescent="0.25">
      <c r="O23076" s="20" t="str">
        <f>IF(N23076="","",COUNTIFS(RawData[[Date ]],N23076,RawData[Month List],$Q$6,RawData[Tour/Site],$Q$2,RawData[[Picker ID ]],$Q$3,RawData[Checker ID],$Q$4,RawData[[Error Type ]],$Q$5))</f>
        <v/>
      </c>
    </row>
    <row r="23077" spans="15:15" x14ac:dyDescent="0.25">
      <c r="O23077" s="20" t="str">
        <f>IF(N23077="","",COUNTIFS(RawData[[Date ]],N23077,RawData[Month List],$Q$6,RawData[Tour/Site],$Q$2,RawData[[Picker ID ]],$Q$3,RawData[Checker ID],$Q$4,RawData[[Error Type ]],$Q$5))</f>
        <v/>
      </c>
    </row>
    <row r="23078" spans="15:15" x14ac:dyDescent="0.25">
      <c r="O23078" s="20" t="str">
        <f>IF(N23078="","",COUNTIFS(RawData[[Date ]],N23078,RawData[Month List],$Q$6,RawData[Tour/Site],$Q$2,RawData[[Picker ID ]],$Q$3,RawData[Checker ID],$Q$4,RawData[[Error Type ]],$Q$5))</f>
        <v/>
      </c>
    </row>
    <row r="23079" spans="15:15" x14ac:dyDescent="0.25">
      <c r="O23079" s="20" t="str">
        <f>IF(N23079="","",COUNTIFS(RawData[[Date ]],N23079,RawData[Month List],$Q$6,RawData[Tour/Site],$Q$2,RawData[[Picker ID ]],$Q$3,RawData[Checker ID],$Q$4,RawData[[Error Type ]],$Q$5))</f>
        <v/>
      </c>
    </row>
    <row r="23080" spans="15:15" x14ac:dyDescent="0.25">
      <c r="O23080" s="20" t="str">
        <f>IF(N23080="","",COUNTIFS(RawData[[Date ]],N23080,RawData[Month List],$Q$6,RawData[Tour/Site],$Q$2,RawData[[Picker ID ]],$Q$3,RawData[Checker ID],$Q$4,RawData[[Error Type ]],$Q$5))</f>
        <v/>
      </c>
    </row>
    <row r="23081" spans="15:15" x14ac:dyDescent="0.25">
      <c r="O23081" s="20" t="str">
        <f>IF(N23081="","",COUNTIFS(RawData[[Date ]],N23081,RawData[Month List],$Q$6,RawData[Tour/Site],$Q$2,RawData[[Picker ID ]],$Q$3,RawData[Checker ID],$Q$4,RawData[[Error Type ]],$Q$5))</f>
        <v/>
      </c>
    </row>
    <row r="23082" spans="15:15" x14ac:dyDescent="0.25">
      <c r="O23082" s="20" t="str">
        <f>IF(N23082="","",COUNTIFS(RawData[[Date ]],N23082,RawData[Month List],$Q$6,RawData[Tour/Site],$Q$2,RawData[[Picker ID ]],$Q$3,RawData[Checker ID],$Q$4,RawData[[Error Type ]],$Q$5))</f>
        <v/>
      </c>
    </row>
    <row r="23083" spans="15:15" x14ac:dyDescent="0.25">
      <c r="O23083" s="20" t="str">
        <f>IF(N23083="","",COUNTIFS(RawData[[Date ]],N23083,RawData[Month List],$Q$6,RawData[Tour/Site],$Q$2,RawData[[Picker ID ]],$Q$3,RawData[Checker ID],$Q$4,RawData[[Error Type ]],$Q$5))</f>
        <v/>
      </c>
    </row>
    <row r="23084" spans="15:15" x14ac:dyDescent="0.25">
      <c r="O23084" s="20" t="str">
        <f>IF(N23084="","",COUNTIFS(RawData[[Date ]],N23084,RawData[Month List],$Q$6,RawData[Tour/Site],$Q$2,RawData[[Picker ID ]],$Q$3,RawData[Checker ID],$Q$4,RawData[[Error Type ]],$Q$5))</f>
        <v/>
      </c>
    </row>
    <row r="23085" spans="15:15" x14ac:dyDescent="0.25">
      <c r="O23085" s="20" t="str">
        <f>IF(N23085="","",COUNTIFS(RawData[[Date ]],N23085,RawData[Month List],$Q$6,RawData[Tour/Site],$Q$2,RawData[[Picker ID ]],$Q$3,RawData[Checker ID],$Q$4,RawData[[Error Type ]],$Q$5))</f>
        <v/>
      </c>
    </row>
    <row r="23086" spans="15:15" x14ac:dyDescent="0.25">
      <c r="O23086" s="20" t="str">
        <f>IF(N23086="","",COUNTIFS(RawData[[Date ]],N23086,RawData[Month List],$Q$6,RawData[Tour/Site],$Q$2,RawData[[Picker ID ]],$Q$3,RawData[Checker ID],$Q$4,RawData[[Error Type ]],$Q$5))</f>
        <v/>
      </c>
    </row>
    <row r="23087" spans="15:15" x14ac:dyDescent="0.25">
      <c r="O23087" s="20" t="str">
        <f>IF(N23087="","",COUNTIFS(RawData[[Date ]],N23087,RawData[Month List],$Q$6,RawData[Tour/Site],$Q$2,RawData[[Picker ID ]],$Q$3,RawData[Checker ID],$Q$4,RawData[[Error Type ]],$Q$5))</f>
        <v/>
      </c>
    </row>
    <row r="23088" spans="15:15" x14ac:dyDescent="0.25">
      <c r="O23088" s="20" t="str">
        <f>IF(N23088="","",COUNTIFS(RawData[[Date ]],N23088,RawData[Month List],$Q$6,RawData[Tour/Site],$Q$2,RawData[[Picker ID ]],$Q$3,RawData[Checker ID],$Q$4,RawData[[Error Type ]],$Q$5))</f>
        <v/>
      </c>
    </row>
    <row r="23089" spans="15:15" x14ac:dyDescent="0.25">
      <c r="O23089" s="20" t="str">
        <f>IF(N23089="","",COUNTIFS(RawData[[Date ]],N23089,RawData[Month List],$Q$6,RawData[Tour/Site],$Q$2,RawData[[Picker ID ]],$Q$3,RawData[Checker ID],$Q$4,RawData[[Error Type ]],$Q$5))</f>
        <v/>
      </c>
    </row>
    <row r="23090" spans="15:15" x14ac:dyDescent="0.25">
      <c r="O23090" s="20" t="str">
        <f>IF(N23090="","",COUNTIFS(RawData[[Date ]],N23090,RawData[Month List],$Q$6,RawData[Tour/Site],$Q$2,RawData[[Picker ID ]],$Q$3,RawData[Checker ID],$Q$4,RawData[[Error Type ]],$Q$5))</f>
        <v/>
      </c>
    </row>
    <row r="23091" spans="15:15" x14ac:dyDescent="0.25">
      <c r="O23091" s="20" t="str">
        <f>IF(N23091="","",COUNTIFS(RawData[[Date ]],N23091,RawData[Month List],$Q$6,RawData[Tour/Site],$Q$2,RawData[[Picker ID ]],$Q$3,RawData[Checker ID],$Q$4,RawData[[Error Type ]],$Q$5))</f>
        <v/>
      </c>
    </row>
    <row r="23092" spans="15:15" x14ac:dyDescent="0.25">
      <c r="O23092" s="20" t="str">
        <f>IF(N23092="","",COUNTIFS(RawData[[Date ]],N23092,RawData[Month List],$Q$6,RawData[Tour/Site],$Q$2,RawData[[Picker ID ]],$Q$3,RawData[Checker ID],$Q$4,RawData[[Error Type ]],$Q$5))</f>
        <v/>
      </c>
    </row>
    <row r="23093" spans="15:15" x14ac:dyDescent="0.25">
      <c r="O23093" s="20" t="str">
        <f>IF(N23093="","",COUNTIFS(RawData[[Date ]],N23093,RawData[Month List],$Q$6,RawData[Tour/Site],$Q$2,RawData[[Picker ID ]],$Q$3,RawData[Checker ID],$Q$4,RawData[[Error Type ]],$Q$5))</f>
        <v/>
      </c>
    </row>
    <row r="23094" spans="15:15" x14ac:dyDescent="0.25">
      <c r="O23094" s="20" t="str">
        <f>IF(N23094="","",COUNTIFS(RawData[[Date ]],N23094,RawData[Month List],$Q$6,RawData[Tour/Site],$Q$2,RawData[[Picker ID ]],$Q$3,RawData[Checker ID],$Q$4,RawData[[Error Type ]],$Q$5))</f>
        <v/>
      </c>
    </row>
    <row r="23095" spans="15:15" x14ac:dyDescent="0.25">
      <c r="O23095" s="20" t="str">
        <f>IF(N23095="","",COUNTIFS(RawData[[Date ]],N23095,RawData[Month List],$Q$6,RawData[Tour/Site],$Q$2,RawData[[Picker ID ]],$Q$3,RawData[Checker ID],$Q$4,RawData[[Error Type ]],$Q$5))</f>
        <v/>
      </c>
    </row>
    <row r="23096" spans="15:15" x14ac:dyDescent="0.25">
      <c r="O23096" s="20" t="str">
        <f>IF(N23096="","",COUNTIFS(RawData[[Date ]],N23096,RawData[Month List],$Q$6,RawData[Tour/Site],$Q$2,RawData[[Picker ID ]],$Q$3,RawData[Checker ID],$Q$4,RawData[[Error Type ]],$Q$5))</f>
        <v/>
      </c>
    </row>
    <row r="23097" spans="15:15" x14ac:dyDescent="0.25">
      <c r="O23097" s="20" t="str">
        <f>IF(N23097="","",COUNTIFS(RawData[[Date ]],N23097,RawData[Month List],$Q$6,RawData[Tour/Site],$Q$2,RawData[[Picker ID ]],$Q$3,RawData[Checker ID],$Q$4,RawData[[Error Type ]],$Q$5))</f>
        <v/>
      </c>
    </row>
    <row r="23098" spans="15:15" x14ac:dyDescent="0.25">
      <c r="O23098" s="20" t="str">
        <f>IF(N23098="","",COUNTIFS(RawData[[Date ]],N23098,RawData[Month List],$Q$6,RawData[Tour/Site],$Q$2,RawData[[Picker ID ]],$Q$3,RawData[Checker ID],$Q$4,RawData[[Error Type ]],$Q$5))</f>
        <v/>
      </c>
    </row>
    <row r="23099" spans="15:15" x14ac:dyDescent="0.25">
      <c r="O23099" s="20" t="str">
        <f>IF(N23099="","",COUNTIFS(RawData[[Date ]],N23099,RawData[Month List],$Q$6,RawData[Tour/Site],$Q$2,RawData[[Picker ID ]],$Q$3,RawData[Checker ID],$Q$4,RawData[[Error Type ]],$Q$5))</f>
        <v/>
      </c>
    </row>
    <row r="23100" spans="15:15" x14ac:dyDescent="0.25">
      <c r="O23100" s="20" t="str">
        <f>IF(N23100="","",COUNTIFS(RawData[[Date ]],N23100,RawData[Month List],$Q$6,RawData[Tour/Site],$Q$2,RawData[[Picker ID ]],$Q$3,RawData[Checker ID],$Q$4,RawData[[Error Type ]],$Q$5))</f>
        <v/>
      </c>
    </row>
    <row r="23101" spans="15:15" x14ac:dyDescent="0.25">
      <c r="O23101" s="20" t="str">
        <f>IF(N23101="","",COUNTIFS(RawData[[Date ]],N23101,RawData[Month List],$Q$6,RawData[Tour/Site],$Q$2,RawData[[Picker ID ]],$Q$3,RawData[Checker ID],$Q$4,RawData[[Error Type ]],$Q$5))</f>
        <v/>
      </c>
    </row>
    <row r="23102" spans="15:15" x14ac:dyDescent="0.25">
      <c r="O23102" s="20" t="str">
        <f>IF(N23102="","",COUNTIFS(RawData[[Date ]],N23102,RawData[Month List],$Q$6,RawData[Tour/Site],$Q$2,RawData[[Picker ID ]],$Q$3,RawData[Checker ID],$Q$4,RawData[[Error Type ]],$Q$5))</f>
        <v/>
      </c>
    </row>
    <row r="23103" spans="15:15" x14ac:dyDescent="0.25">
      <c r="O23103" s="20" t="str">
        <f>IF(N23103="","",COUNTIFS(RawData[[Date ]],N23103,RawData[Month List],$Q$6,RawData[Tour/Site],$Q$2,RawData[[Picker ID ]],$Q$3,RawData[Checker ID],$Q$4,RawData[[Error Type ]],$Q$5))</f>
        <v/>
      </c>
    </row>
    <row r="23104" spans="15:15" x14ac:dyDescent="0.25">
      <c r="O23104" s="20" t="str">
        <f>IF(N23104="","",COUNTIFS(RawData[[Date ]],N23104,RawData[Month List],$Q$6,RawData[Tour/Site],$Q$2,RawData[[Picker ID ]],$Q$3,RawData[Checker ID],$Q$4,RawData[[Error Type ]],$Q$5))</f>
        <v/>
      </c>
    </row>
    <row r="23105" spans="15:15" x14ac:dyDescent="0.25">
      <c r="O23105" s="20" t="str">
        <f>IF(N23105="","",COUNTIFS(RawData[[Date ]],N23105,RawData[Month List],$Q$6,RawData[Tour/Site],$Q$2,RawData[[Picker ID ]],$Q$3,RawData[Checker ID],$Q$4,RawData[[Error Type ]],$Q$5))</f>
        <v/>
      </c>
    </row>
    <row r="23106" spans="15:15" x14ac:dyDescent="0.25">
      <c r="O23106" s="20" t="str">
        <f>IF(N23106="","",COUNTIFS(RawData[[Date ]],N23106,RawData[Month List],$Q$6,RawData[Tour/Site],$Q$2,RawData[[Picker ID ]],$Q$3,RawData[Checker ID],$Q$4,RawData[[Error Type ]],$Q$5))</f>
        <v/>
      </c>
    </row>
    <row r="23107" spans="15:15" x14ac:dyDescent="0.25">
      <c r="O23107" s="20" t="str">
        <f>IF(N23107="","",COUNTIFS(RawData[[Date ]],N23107,RawData[Month List],$Q$6,RawData[Tour/Site],$Q$2,RawData[[Picker ID ]],$Q$3,RawData[Checker ID],$Q$4,RawData[[Error Type ]],$Q$5))</f>
        <v/>
      </c>
    </row>
    <row r="23108" spans="15:15" x14ac:dyDescent="0.25">
      <c r="O23108" s="20" t="str">
        <f>IF(N23108="","",COUNTIFS(RawData[[Date ]],N23108,RawData[Month List],$Q$6,RawData[Tour/Site],$Q$2,RawData[[Picker ID ]],$Q$3,RawData[Checker ID],$Q$4,RawData[[Error Type ]],$Q$5))</f>
        <v/>
      </c>
    </row>
    <row r="23109" spans="15:15" x14ac:dyDescent="0.25">
      <c r="O23109" s="20" t="str">
        <f>IF(N23109="","",COUNTIFS(RawData[[Date ]],N23109,RawData[Month List],$Q$6,RawData[Tour/Site],$Q$2,RawData[[Picker ID ]],$Q$3,RawData[Checker ID],$Q$4,RawData[[Error Type ]],$Q$5))</f>
        <v/>
      </c>
    </row>
    <row r="23110" spans="15:15" x14ac:dyDescent="0.25">
      <c r="O23110" s="20" t="str">
        <f>IF(N23110="","",COUNTIFS(RawData[[Date ]],N23110,RawData[Month List],$Q$6,RawData[Tour/Site],$Q$2,RawData[[Picker ID ]],$Q$3,RawData[Checker ID],$Q$4,RawData[[Error Type ]],$Q$5))</f>
        <v/>
      </c>
    </row>
    <row r="23111" spans="15:15" x14ac:dyDescent="0.25">
      <c r="O23111" s="20" t="str">
        <f>IF(N23111="","",COUNTIFS(RawData[[Date ]],N23111,RawData[Month List],$Q$6,RawData[Tour/Site],$Q$2,RawData[[Picker ID ]],$Q$3,RawData[Checker ID],$Q$4,RawData[[Error Type ]],$Q$5))</f>
        <v/>
      </c>
    </row>
    <row r="23112" spans="15:15" x14ac:dyDescent="0.25">
      <c r="O23112" s="20" t="str">
        <f>IF(N23112="","",COUNTIFS(RawData[[Date ]],N23112,RawData[Month List],$Q$6,RawData[Tour/Site],$Q$2,RawData[[Picker ID ]],$Q$3,RawData[Checker ID],$Q$4,RawData[[Error Type ]],$Q$5))</f>
        <v/>
      </c>
    </row>
    <row r="23113" spans="15:15" x14ac:dyDescent="0.25">
      <c r="O23113" s="20" t="str">
        <f>IF(N23113="","",COUNTIFS(RawData[[Date ]],N23113,RawData[Month List],$Q$6,RawData[Tour/Site],$Q$2,RawData[[Picker ID ]],$Q$3,RawData[Checker ID],$Q$4,RawData[[Error Type ]],$Q$5))</f>
        <v/>
      </c>
    </row>
    <row r="23114" spans="15:15" x14ac:dyDescent="0.25">
      <c r="O23114" s="20" t="str">
        <f>IF(N23114="","",COUNTIFS(RawData[[Date ]],N23114,RawData[Month List],$Q$6,RawData[Tour/Site],$Q$2,RawData[[Picker ID ]],$Q$3,RawData[Checker ID],$Q$4,RawData[[Error Type ]],$Q$5))</f>
        <v/>
      </c>
    </row>
    <row r="23115" spans="15:15" x14ac:dyDescent="0.25">
      <c r="O23115" s="20" t="str">
        <f>IF(N23115="","",COUNTIFS(RawData[[Date ]],N23115,RawData[Month List],$Q$6,RawData[Tour/Site],$Q$2,RawData[[Picker ID ]],$Q$3,RawData[Checker ID],$Q$4,RawData[[Error Type ]],$Q$5))</f>
        <v/>
      </c>
    </row>
    <row r="23116" spans="15:15" x14ac:dyDescent="0.25">
      <c r="O23116" s="20" t="str">
        <f>IF(N23116="","",COUNTIFS(RawData[[Date ]],N23116,RawData[Month List],$Q$6,RawData[Tour/Site],$Q$2,RawData[[Picker ID ]],$Q$3,RawData[Checker ID],$Q$4,RawData[[Error Type ]],$Q$5))</f>
        <v/>
      </c>
    </row>
    <row r="23117" spans="15:15" x14ac:dyDescent="0.25">
      <c r="O23117" s="20" t="str">
        <f>IF(N23117="","",COUNTIFS(RawData[[Date ]],N23117,RawData[Month List],$Q$6,RawData[Tour/Site],$Q$2,RawData[[Picker ID ]],$Q$3,RawData[Checker ID],$Q$4,RawData[[Error Type ]],$Q$5))</f>
        <v/>
      </c>
    </row>
    <row r="23118" spans="15:15" x14ac:dyDescent="0.25">
      <c r="O23118" s="20" t="str">
        <f>IF(N23118="","",COUNTIFS(RawData[[Date ]],N23118,RawData[Month List],$Q$6,RawData[Tour/Site],$Q$2,RawData[[Picker ID ]],$Q$3,RawData[Checker ID],$Q$4,RawData[[Error Type ]],$Q$5))</f>
        <v/>
      </c>
    </row>
    <row r="23119" spans="15:15" x14ac:dyDescent="0.25">
      <c r="O23119" s="20" t="str">
        <f>IF(N23119="","",COUNTIFS(RawData[[Date ]],N23119,RawData[Month List],$Q$6,RawData[Tour/Site],$Q$2,RawData[[Picker ID ]],$Q$3,RawData[Checker ID],$Q$4,RawData[[Error Type ]],$Q$5))</f>
        <v/>
      </c>
    </row>
    <row r="23120" spans="15:15" x14ac:dyDescent="0.25">
      <c r="O23120" s="20" t="str">
        <f>IF(N23120="","",COUNTIFS(RawData[[Date ]],N23120,RawData[Month List],$Q$6,RawData[Tour/Site],$Q$2,RawData[[Picker ID ]],$Q$3,RawData[Checker ID],$Q$4,RawData[[Error Type ]],$Q$5))</f>
        <v/>
      </c>
    </row>
    <row r="23121" spans="15:15" x14ac:dyDescent="0.25">
      <c r="O23121" s="20" t="str">
        <f>IF(N23121="","",COUNTIFS(RawData[[Date ]],N23121,RawData[Month List],$Q$6,RawData[Tour/Site],$Q$2,RawData[[Picker ID ]],$Q$3,RawData[Checker ID],$Q$4,RawData[[Error Type ]],$Q$5))</f>
        <v/>
      </c>
    </row>
    <row r="23122" spans="15:15" x14ac:dyDescent="0.25">
      <c r="O23122" s="20" t="str">
        <f>IF(N23122="","",COUNTIFS(RawData[[Date ]],N23122,RawData[Month List],$Q$6,RawData[Tour/Site],$Q$2,RawData[[Picker ID ]],$Q$3,RawData[Checker ID],$Q$4,RawData[[Error Type ]],$Q$5))</f>
        <v/>
      </c>
    </row>
    <row r="23123" spans="15:15" x14ac:dyDescent="0.25">
      <c r="O23123" s="20" t="str">
        <f>IF(N23123="","",COUNTIFS(RawData[[Date ]],N23123,RawData[Month List],$Q$6,RawData[Tour/Site],$Q$2,RawData[[Picker ID ]],$Q$3,RawData[Checker ID],$Q$4,RawData[[Error Type ]],$Q$5))</f>
        <v/>
      </c>
    </row>
    <row r="23124" spans="15:15" x14ac:dyDescent="0.25">
      <c r="O23124" s="20" t="str">
        <f>IF(N23124="","",COUNTIFS(RawData[[Date ]],N23124,RawData[Month List],$Q$6,RawData[Tour/Site],$Q$2,RawData[[Picker ID ]],$Q$3,RawData[Checker ID],$Q$4,RawData[[Error Type ]],$Q$5))</f>
        <v/>
      </c>
    </row>
    <row r="23125" spans="15:15" x14ac:dyDescent="0.25">
      <c r="O23125" s="20" t="str">
        <f>IF(N23125="","",COUNTIFS(RawData[[Date ]],N23125,RawData[Month List],$Q$6,RawData[Tour/Site],$Q$2,RawData[[Picker ID ]],$Q$3,RawData[Checker ID],$Q$4,RawData[[Error Type ]],$Q$5))</f>
        <v/>
      </c>
    </row>
    <row r="23126" spans="15:15" x14ac:dyDescent="0.25">
      <c r="O23126" s="20" t="str">
        <f>IF(N23126="","",COUNTIFS(RawData[[Date ]],N23126,RawData[Month List],$Q$6,RawData[Tour/Site],$Q$2,RawData[[Picker ID ]],$Q$3,RawData[Checker ID],$Q$4,RawData[[Error Type ]],$Q$5))</f>
        <v/>
      </c>
    </row>
    <row r="23127" spans="15:15" x14ac:dyDescent="0.25">
      <c r="O23127" s="20" t="str">
        <f>IF(N23127="","",COUNTIFS(RawData[[Date ]],N23127,RawData[Month List],$Q$6,RawData[Tour/Site],$Q$2,RawData[[Picker ID ]],$Q$3,RawData[Checker ID],$Q$4,RawData[[Error Type ]],$Q$5))</f>
        <v/>
      </c>
    </row>
    <row r="23128" spans="15:15" x14ac:dyDescent="0.25">
      <c r="O23128" s="20" t="str">
        <f>IF(N23128="","",COUNTIFS(RawData[[Date ]],N23128,RawData[Month List],$Q$6,RawData[Tour/Site],$Q$2,RawData[[Picker ID ]],$Q$3,RawData[Checker ID],$Q$4,RawData[[Error Type ]],$Q$5))</f>
        <v/>
      </c>
    </row>
    <row r="23129" spans="15:15" x14ac:dyDescent="0.25">
      <c r="O23129" s="20" t="str">
        <f>IF(N23129="","",COUNTIFS(RawData[[Date ]],N23129,RawData[Month List],$Q$6,RawData[Tour/Site],$Q$2,RawData[[Picker ID ]],$Q$3,RawData[Checker ID],$Q$4,RawData[[Error Type ]],$Q$5))</f>
        <v/>
      </c>
    </row>
    <row r="23130" spans="15:15" x14ac:dyDescent="0.25">
      <c r="O23130" s="20" t="str">
        <f>IF(N23130="","",COUNTIFS(RawData[[Date ]],N23130,RawData[Month List],$Q$6,RawData[Tour/Site],$Q$2,RawData[[Picker ID ]],$Q$3,RawData[Checker ID],$Q$4,RawData[[Error Type ]],$Q$5))</f>
        <v/>
      </c>
    </row>
    <row r="23131" spans="15:15" x14ac:dyDescent="0.25">
      <c r="O23131" s="20" t="str">
        <f>IF(N23131="","",COUNTIFS(RawData[[Date ]],N23131,RawData[Month List],$Q$6,RawData[Tour/Site],$Q$2,RawData[[Picker ID ]],$Q$3,RawData[Checker ID],$Q$4,RawData[[Error Type ]],$Q$5))</f>
        <v/>
      </c>
    </row>
    <row r="23132" spans="15:15" x14ac:dyDescent="0.25">
      <c r="O23132" s="20" t="str">
        <f>IF(N23132="","",COUNTIFS(RawData[[Date ]],N23132,RawData[Month List],$Q$6,RawData[Tour/Site],$Q$2,RawData[[Picker ID ]],$Q$3,RawData[Checker ID],$Q$4,RawData[[Error Type ]],$Q$5))</f>
        <v/>
      </c>
    </row>
    <row r="23133" spans="15:15" x14ac:dyDescent="0.25">
      <c r="O23133" s="20" t="str">
        <f>IF(N23133="","",COUNTIFS(RawData[[Date ]],N23133,RawData[Month List],$Q$6,RawData[Tour/Site],$Q$2,RawData[[Picker ID ]],$Q$3,RawData[Checker ID],$Q$4,RawData[[Error Type ]],$Q$5))</f>
        <v/>
      </c>
    </row>
    <row r="23134" spans="15:15" x14ac:dyDescent="0.25">
      <c r="O23134" s="20" t="str">
        <f>IF(N23134="","",COUNTIFS(RawData[[Date ]],N23134,RawData[Month List],$Q$6,RawData[Tour/Site],$Q$2,RawData[[Picker ID ]],$Q$3,RawData[Checker ID],$Q$4,RawData[[Error Type ]],$Q$5))</f>
        <v/>
      </c>
    </row>
    <row r="23135" spans="15:15" x14ac:dyDescent="0.25">
      <c r="O23135" s="20" t="str">
        <f>IF(N23135="","",COUNTIFS(RawData[[Date ]],N23135,RawData[Month List],$Q$6,RawData[Tour/Site],$Q$2,RawData[[Picker ID ]],$Q$3,RawData[Checker ID],$Q$4,RawData[[Error Type ]],$Q$5))</f>
        <v/>
      </c>
    </row>
    <row r="23136" spans="15:15" x14ac:dyDescent="0.25">
      <c r="O23136" s="20" t="str">
        <f>IF(N23136="","",COUNTIFS(RawData[[Date ]],N23136,RawData[Month List],$Q$6,RawData[Tour/Site],$Q$2,RawData[[Picker ID ]],$Q$3,RawData[Checker ID],$Q$4,RawData[[Error Type ]],$Q$5))</f>
        <v/>
      </c>
    </row>
    <row r="23137" spans="15:15" x14ac:dyDescent="0.25">
      <c r="O23137" s="20" t="str">
        <f>IF(N23137="","",COUNTIFS(RawData[[Date ]],N23137,RawData[Month List],$Q$6,RawData[Tour/Site],$Q$2,RawData[[Picker ID ]],$Q$3,RawData[Checker ID],$Q$4,RawData[[Error Type ]],$Q$5))</f>
        <v/>
      </c>
    </row>
    <row r="23138" spans="15:15" x14ac:dyDescent="0.25">
      <c r="O23138" s="20" t="str">
        <f>IF(N23138="","",COUNTIFS(RawData[[Date ]],N23138,RawData[Month List],$Q$6,RawData[Tour/Site],$Q$2,RawData[[Picker ID ]],$Q$3,RawData[Checker ID],$Q$4,RawData[[Error Type ]],$Q$5))</f>
        <v/>
      </c>
    </row>
    <row r="23139" spans="15:15" x14ac:dyDescent="0.25">
      <c r="O23139" s="20" t="str">
        <f>IF(N23139="","",COUNTIFS(RawData[[Date ]],N23139,RawData[Month List],$Q$6,RawData[Tour/Site],$Q$2,RawData[[Picker ID ]],$Q$3,RawData[Checker ID],$Q$4,RawData[[Error Type ]],$Q$5))</f>
        <v/>
      </c>
    </row>
    <row r="23140" spans="15:15" x14ac:dyDescent="0.25">
      <c r="O23140" s="20" t="str">
        <f>IF(N23140="","",COUNTIFS(RawData[[Date ]],N23140,RawData[Month List],$Q$6,RawData[Tour/Site],$Q$2,RawData[[Picker ID ]],$Q$3,RawData[Checker ID],$Q$4,RawData[[Error Type ]],$Q$5))</f>
        <v/>
      </c>
    </row>
    <row r="23141" spans="15:15" x14ac:dyDescent="0.25">
      <c r="O23141" s="20" t="str">
        <f>IF(N23141="","",COUNTIFS(RawData[[Date ]],N23141,RawData[Month List],$Q$6,RawData[Tour/Site],$Q$2,RawData[[Picker ID ]],$Q$3,RawData[Checker ID],$Q$4,RawData[[Error Type ]],$Q$5))</f>
        <v/>
      </c>
    </row>
    <row r="23142" spans="15:15" x14ac:dyDescent="0.25">
      <c r="O23142" s="20" t="str">
        <f>IF(N23142="","",COUNTIFS(RawData[[Date ]],N23142,RawData[Month List],$Q$6,RawData[Tour/Site],$Q$2,RawData[[Picker ID ]],$Q$3,RawData[Checker ID],$Q$4,RawData[[Error Type ]],$Q$5))</f>
        <v/>
      </c>
    </row>
    <row r="23143" spans="15:15" x14ac:dyDescent="0.25">
      <c r="O23143" s="20" t="str">
        <f>IF(N23143="","",COUNTIFS(RawData[[Date ]],N23143,RawData[Month List],$Q$6,RawData[Tour/Site],$Q$2,RawData[[Picker ID ]],$Q$3,RawData[Checker ID],$Q$4,RawData[[Error Type ]],$Q$5))</f>
        <v/>
      </c>
    </row>
    <row r="23144" spans="15:15" x14ac:dyDescent="0.25">
      <c r="O23144" s="20" t="str">
        <f>IF(N23144="","",COUNTIFS(RawData[[Date ]],N23144,RawData[Month List],$Q$6,RawData[Tour/Site],$Q$2,RawData[[Picker ID ]],$Q$3,RawData[Checker ID],$Q$4,RawData[[Error Type ]],$Q$5))</f>
        <v/>
      </c>
    </row>
    <row r="23145" spans="15:15" x14ac:dyDescent="0.25">
      <c r="O23145" s="20" t="str">
        <f>IF(N23145="","",COUNTIFS(RawData[[Date ]],N23145,RawData[Month List],$Q$6,RawData[Tour/Site],$Q$2,RawData[[Picker ID ]],$Q$3,RawData[Checker ID],$Q$4,RawData[[Error Type ]],$Q$5))</f>
        <v/>
      </c>
    </row>
    <row r="23146" spans="15:15" x14ac:dyDescent="0.25">
      <c r="O23146" s="20" t="str">
        <f>IF(N23146="","",COUNTIFS(RawData[[Date ]],N23146,RawData[Month List],$Q$6,RawData[Tour/Site],$Q$2,RawData[[Picker ID ]],$Q$3,RawData[Checker ID],$Q$4,RawData[[Error Type ]],$Q$5))</f>
        <v/>
      </c>
    </row>
    <row r="23147" spans="15:15" x14ac:dyDescent="0.25">
      <c r="O23147" s="20" t="str">
        <f>IF(N23147="","",COUNTIFS(RawData[[Date ]],N23147,RawData[Month List],$Q$6,RawData[Tour/Site],$Q$2,RawData[[Picker ID ]],$Q$3,RawData[Checker ID],$Q$4,RawData[[Error Type ]],$Q$5))</f>
        <v/>
      </c>
    </row>
    <row r="23148" spans="15:15" x14ac:dyDescent="0.25">
      <c r="O23148" s="20" t="str">
        <f>IF(N23148="","",COUNTIFS(RawData[[Date ]],N23148,RawData[Month List],$Q$6,RawData[Tour/Site],$Q$2,RawData[[Picker ID ]],$Q$3,RawData[Checker ID],$Q$4,RawData[[Error Type ]],$Q$5))</f>
        <v/>
      </c>
    </row>
    <row r="23149" spans="15:15" x14ac:dyDescent="0.25">
      <c r="O23149" s="20" t="str">
        <f>IF(N23149="","",COUNTIFS(RawData[[Date ]],N23149,RawData[Month List],$Q$6,RawData[Tour/Site],$Q$2,RawData[[Picker ID ]],$Q$3,RawData[Checker ID],$Q$4,RawData[[Error Type ]],$Q$5))</f>
        <v/>
      </c>
    </row>
    <row r="23150" spans="15:15" x14ac:dyDescent="0.25">
      <c r="O23150" s="20" t="str">
        <f>IF(N23150="","",COUNTIFS(RawData[[Date ]],N23150,RawData[Month List],$Q$6,RawData[Tour/Site],$Q$2,RawData[[Picker ID ]],$Q$3,RawData[Checker ID],$Q$4,RawData[[Error Type ]],$Q$5))</f>
        <v/>
      </c>
    </row>
    <row r="23151" spans="15:15" x14ac:dyDescent="0.25">
      <c r="O23151" s="20" t="str">
        <f>IF(N23151="","",COUNTIFS(RawData[[Date ]],N23151,RawData[Month List],$Q$6,RawData[Tour/Site],$Q$2,RawData[[Picker ID ]],$Q$3,RawData[Checker ID],$Q$4,RawData[[Error Type ]],$Q$5))</f>
        <v/>
      </c>
    </row>
    <row r="23152" spans="15:15" x14ac:dyDescent="0.25">
      <c r="O23152" s="20" t="str">
        <f>IF(N23152="","",COUNTIFS(RawData[[Date ]],N23152,RawData[Month List],$Q$6,RawData[Tour/Site],$Q$2,RawData[[Picker ID ]],$Q$3,RawData[Checker ID],$Q$4,RawData[[Error Type ]],$Q$5))</f>
        <v/>
      </c>
    </row>
    <row r="23153" spans="15:15" x14ac:dyDescent="0.25">
      <c r="O23153" s="20" t="str">
        <f>IF(N23153="","",COUNTIFS(RawData[[Date ]],N23153,RawData[Month List],$Q$6,RawData[Tour/Site],$Q$2,RawData[[Picker ID ]],$Q$3,RawData[Checker ID],$Q$4,RawData[[Error Type ]],$Q$5))</f>
        <v/>
      </c>
    </row>
    <row r="23154" spans="15:15" x14ac:dyDescent="0.25">
      <c r="O23154" s="20" t="str">
        <f>IF(N23154="","",COUNTIFS(RawData[[Date ]],N23154,RawData[Month List],$Q$6,RawData[Tour/Site],$Q$2,RawData[[Picker ID ]],$Q$3,RawData[Checker ID],$Q$4,RawData[[Error Type ]],$Q$5))</f>
        <v/>
      </c>
    </row>
    <row r="23155" spans="15:15" x14ac:dyDescent="0.25">
      <c r="O23155" s="20" t="str">
        <f>IF(N23155="","",COUNTIFS(RawData[[Date ]],N23155,RawData[Month List],$Q$6,RawData[Tour/Site],$Q$2,RawData[[Picker ID ]],$Q$3,RawData[Checker ID],$Q$4,RawData[[Error Type ]],$Q$5))</f>
        <v/>
      </c>
    </row>
    <row r="23156" spans="15:15" x14ac:dyDescent="0.25">
      <c r="O23156" s="20" t="str">
        <f>IF(N23156="","",COUNTIFS(RawData[[Date ]],N23156,RawData[Month List],$Q$6,RawData[Tour/Site],$Q$2,RawData[[Picker ID ]],$Q$3,RawData[Checker ID],$Q$4,RawData[[Error Type ]],$Q$5))</f>
        <v/>
      </c>
    </row>
    <row r="23157" spans="15:15" x14ac:dyDescent="0.25">
      <c r="O23157" s="20" t="str">
        <f>IF(N23157="","",COUNTIFS(RawData[[Date ]],N23157,RawData[Month List],$Q$6,RawData[Tour/Site],$Q$2,RawData[[Picker ID ]],$Q$3,RawData[Checker ID],$Q$4,RawData[[Error Type ]],$Q$5))</f>
        <v/>
      </c>
    </row>
    <row r="23158" spans="15:15" x14ac:dyDescent="0.25">
      <c r="O23158" s="20" t="str">
        <f>IF(N23158="","",COUNTIFS(RawData[[Date ]],N23158,RawData[Month List],$Q$6,RawData[Tour/Site],$Q$2,RawData[[Picker ID ]],$Q$3,RawData[Checker ID],$Q$4,RawData[[Error Type ]],$Q$5))</f>
        <v/>
      </c>
    </row>
    <row r="23159" spans="15:15" x14ac:dyDescent="0.25">
      <c r="O23159" s="20" t="str">
        <f>IF(N23159="","",COUNTIFS(RawData[[Date ]],N23159,RawData[Month List],$Q$6,RawData[Tour/Site],$Q$2,RawData[[Picker ID ]],$Q$3,RawData[Checker ID],$Q$4,RawData[[Error Type ]],$Q$5))</f>
        <v/>
      </c>
    </row>
    <row r="23160" spans="15:15" x14ac:dyDescent="0.25">
      <c r="O23160" s="20" t="str">
        <f>IF(N23160="","",COUNTIFS(RawData[[Date ]],N23160,RawData[Month List],$Q$6,RawData[Tour/Site],$Q$2,RawData[[Picker ID ]],$Q$3,RawData[Checker ID],$Q$4,RawData[[Error Type ]],$Q$5))</f>
        <v/>
      </c>
    </row>
    <row r="23161" spans="15:15" x14ac:dyDescent="0.25">
      <c r="O23161" s="20" t="str">
        <f>IF(N23161="","",COUNTIFS(RawData[[Date ]],N23161,RawData[Month List],$Q$6,RawData[Tour/Site],$Q$2,RawData[[Picker ID ]],$Q$3,RawData[Checker ID],$Q$4,RawData[[Error Type ]],$Q$5))</f>
        <v/>
      </c>
    </row>
    <row r="23162" spans="15:15" x14ac:dyDescent="0.25">
      <c r="O23162" s="20" t="str">
        <f>IF(N23162="","",COUNTIFS(RawData[[Date ]],N23162,RawData[Month List],$Q$6,RawData[Tour/Site],$Q$2,RawData[[Picker ID ]],$Q$3,RawData[Checker ID],$Q$4,RawData[[Error Type ]],$Q$5))</f>
        <v/>
      </c>
    </row>
    <row r="23163" spans="15:15" x14ac:dyDescent="0.25">
      <c r="O23163" s="20" t="str">
        <f>IF(N23163="","",COUNTIFS(RawData[[Date ]],N23163,RawData[Month List],$Q$6,RawData[Tour/Site],$Q$2,RawData[[Picker ID ]],$Q$3,RawData[Checker ID],$Q$4,RawData[[Error Type ]],$Q$5))</f>
        <v/>
      </c>
    </row>
    <row r="23164" spans="15:15" x14ac:dyDescent="0.25">
      <c r="O23164" s="20" t="str">
        <f>IF(N23164="","",COUNTIFS(RawData[[Date ]],N23164,RawData[Month List],$Q$6,RawData[Tour/Site],$Q$2,RawData[[Picker ID ]],$Q$3,RawData[Checker ID],$Q$4,RawData[[Error Type ]],$Q$5))</f>
        <v/>
      </c>
    </row>
    <row r="23165" spans="15:15" x14ac:dyDescent="0.25">
      <c r="O23165" s="20" t="str">
        <f>IF(N23165="","",COUNTIFS(RawData[[Date ]],N23165,RawData[Month List],$Q$6,RawData[Tour/Site],$Q$2,RawData[[Picker ID ]],$Q$3,RawData[Checker ID],$Q$4,RawData[[Error Type ]],$Q$5))</f>
        <v/>
      </c>
    </row>
    <row r="23166" spans="15:15" x14ac:dyDescent="0.25">
      <c r="O23166" s="20" t="str">
        <f>IF(N23166="","",COUNTIFS(RawData[[Date ]],N23166,RawData[Month List],$Q$6,RawData[Tour/Site],$Q$2,RawData[[Picker ID ]],$Q$3,RawData[Checker ID],$Q$4,RawData[[Error Type ]],$Q$5))</f>
        <v/>
      </c>
    </row>
    <row r="23167" spans="15:15" x14ac:dyDescent="0.25">
      <c r="O23167" s="20" t="str">
        <f>IF(N23167="","",COUNTIFS(RawData[[Date ]],N23167,RawData[Month List],$Q$6,RawData[Tour/Site],$Q$2,RawData[[Picker ID ]],$Q$3,RawData[Checker ID],$Q$4,RawData[[Error Type ]],$Q$5))</f>
        <v/>
      </c>
    </row>
    <row r="23168" spans="15:15" x14ac:dyDescent="0.25">
      <c r="O23168" s="20" t="str">
        <f>IF(N23168="","",COUNTIFS(RawData[[Date ]],N23168,RawData[Month List],$Q$6,RawData[Tour/Site],$Q$2,RawData[[Picker ID ]],$Q$3,RawData[Checker ID],$Q$4,RawData[[Error Type ]],$Q$5))</f>
        <v/>
      </c>
    </row>
    <row r="23169" spans="15:15" x14ac:dyDescent="0.25">
      <c r="O23169" s="20" t="str">
        <f>IF(N23169="","",COUNTIFS(RawData[[Date ]],N23169,RawData[Month List],$Q$6,RawData[Tour/Site],$Q$2,RawData[[Picker ID ]],$Q$3,RawData[Checker ID],$Q$4,RawData[[Error Type ]],$Q$5))</f>
        <v/>
      </c>
    </row>
    <row r="23170" spans="15:15" x14ac:dyDescent="0.25">
      <c r="O23170" s="20" t="str">
        <f>IF(N23170="","",COUNTIFS(RawData[[Date ]],N23170,RawData[Month List],$Q$6,RawData[Tour/Site],$Q$2,RawData[[Picker ID ]],$Q$3,RawData[Checker ID],$Q$4,RawData[[Error Type ]],$Q$5))</f>
        <v/>
      </c>
    </row>
    <row r="23171" spans="15:15" x14ac:dyDescent="0.25">
      <c r="O23171" s="20" t="str">
        <f>IF(N23171="","",COUNTIFS(RawData[[Date ]],N23171,RawData[Month List],$Q$6,RawData[Tour/Site],$Q$2,RawData[[Picker ID ]],$Q$3,RawData[Checker ID],$Q$4,RawData[[Error Type ]],$Q$5))</f>
        <v/>
      </c>
    </row>
    <row r="23172" spans="15:15" x14ac:dyDescent="0.25">
      <c r="O23172" s="20" t="str">
        <f>IF(N23172="","",COUNTIFS(RawData[[Date ]],N23172,RawData[Month List],$Q$6,RawData[Tour/Site],$Q$2,RawData[[Picker ID ]],$Q$3,RawData[Checker ID],$Q$4,RawData[[Error Type ]],$Q$5))</f>
        <v/>
      </c>
    </row>
    <row r="23173" spans="15:15" x14ac:dyDescent="0.25">
      <c r="O23173" s="20" t="str">
        <f>IF(N23173="","",COUNTIFS(RawData[[Date ]],N23173,RawData[Month List],$Q$6,RawData[Tour/Site],$Q$2,RawData[[Picker ID ]],$Q$3,RawData[Checker ID],$Q$4,RawData[[Error Type ]],$Q$5))</f>
        <v/>
      </c>
    </row>
    <row r="23174" spans="15:15" x14ac:dyDescent="0.25">
      <c r="O23174" s="20" t="str">
        <f>IF(N23174="","",COUNTIFS(RawData[[Date ]],N23174,RawData[Month List],$Q$6,RawData[Tour/Site],$Q$2,RawData[[Picker ID ]],$Q$3,RawData[Checker ID],$Q$4,RawData[[Error Type ]],$Q$5))</f>
        <v/>
      </c>
    </row>
    <row r="23175" spans="15:15" x14ac:dyDescent="0.25">
      <c r="O23175" s="20" t="str">
        <f>IF(N23175="","",COUNTIFS(RawData[[Date ]],N23175,RawData[Month List],$Q$6,RawData[Tour/Site],$Q$2,RawData[[Picker ID ]],$Q$3,RawData[Checker ID],$Q$4,RawData[[Error Type ]],$Q$5))</f>
        <v/>
      </c>
    </row>
    <row r="23176" spans="15:15" x14ac:dyDescent="0.25">
      <c r="O23176" s="20" t="str">
        <f>IF(N23176="","",COUNTIFS(RawData[[Date ]],N23176,RawData[Month List],$Q$6,RawData[Tour/Site],$Q$2,RawData[[Picker ID ]],$Q$3,RawData[Checker ID],$Q$4,RawData[[Error Type ]],$Q$5))</f>
        <v/>
      </c>
    </row>
    <row r="23177" spans="15:15" x14ac:dyDescent="0.25">
      <c r="O23177" s="20" t="str">
        <f>IF(N23177="","",COUNTIFS(RawData[[Date ]],N23177,RawData[Month List],$Q$6,RawData[Tour/Site],$Q$2,RawData[[Picker ID ]],$Q$3,RawData[Checker ID],$Q$4,RawData[[Error Type ]],$Q$5))</f>
        <v/>
      </c>
    </row>
    <row r="23178" spans="15:15" x14ac:dyDescent="0.25">
      <c r="O23178" s="20" t="str">
        <f>IF(N23178="","",COUNTIFS(RawData[[Date ]],N23178,RawData[Month List],$Q$6,RawData[Tour/Site],$Q$2,RawData[[Picker ID ]],$Q$3,RawData[Checker ID],$Q$4,RawData[[Error Type ]],$Q$5))</f>
        <v/>
      </c>
    </row>
    <row r="23179" spans="15:15" x14ac:dyDescent="0.25">
      <c r="O23179" s="20" t="str">
        <f>IF(N23179="","",COUNTIFS(RawData[[Date ]],N23179,RawData[Month List],$Q$6,RawData[Tour/Site],$Q$2,RawData[[Picker ID ]],$Q$3,RawData[Checker ID],$Q$4,RawData[[Error Type ]],$Q$5))</f>
        <v/>
      </c>
    </row>
    <row r="23180" spans="15:15" x14ac:dyDescent="0.25">
      <c r="O23180" s="20" t="str">
        <f>IF(N23180="","",COUNTIFS(RawData[[Date ]],N23180,RawData[Month List],$Q$6,RawData[Tour/Site],$Q$2,RawData[[Picker ID ]],$Q$3,RawData[Checker ID],$Q$4,RawData[[Error Type ]],$Q$5))</f>
        <v/>
      </c>
    </row>
    <row r="23181" spans="15:15" x14ac:dyDescent="0.25">
      <c r="O23181" s="20" t="str">
        <f>IF(N23181="","",COUNTIFS(RawData[[Date ]],N23181,RawData[Month List],$Q$6,RawData[Tour/Site],$Q$2,RawData[[Picker ID ]],$Q$3,RawData[Checker ID],$Q$4,RawData[[Error Type ]],$Q$5))</f>
        <v/>
      </c>
    </row>
    <row r="23182" spans="15:15" x14ac:dyDescent="0.25">
      <c r="O23182" s="20" t="str">
        <f>IF(N23182="","",COUNTIFS(RawData[[Date ]],N23182,RawData[Month List],$Q$6,RawData[Tour/Site],$Q$2,RawData[[Picker ID ]],$Q$3,RawData[Checker ID],$Q$4,RawData[[Error Type ]],$Q$5))</f>
        <v/>
      </c>
    </row>
    <row r="23183" spans="15:15" x14ac:dyDescent="0.25">
      <c r="O23183" s="20" t="str">
        <f>IF(N23183="","",COUNTIFS(RawData[[Date ]],N23183,RawData[Month List],$Q$6,RawData[Tour/Site],$Q$2,RawData[[Picker ID ]],$Q$3,RawData[Checker ID],$Q$4,RawData[[Error Type ]],$Q$5))</f>
        <v/>
      </c>
    </row>
    <row r="23184" spans="15:15" x14ac:dyDescent="0.25">
      <c r="O23184" s="20" t="str">
        <f>IF(N23184="","",COUNTIFS(RawData[[Date ]],N23184,RawData[Month List],$Q$6,RawData[Tour/Site],$Q$2,RawData[[Picker ID ]],$Q$3,RawData[Checker ID],$Q$4,RawData[[Error Type ]],$Q$5))</f>
        <v/>
      </c>
    </row>
    <row r="23185" spans="15:15" x14ac:dyDescent="0.25">
      <c r="O23185" s="20" t="str">
        <f>IF(N23185="","",COUNTIFS(RawData[[Date ]],N23185,RawData[Month List],$Q$6,RawData[Tour/Site],$Q$2,RawData[[Picker ID ]],$Q$3,RawData[Checker ID],$Q$4,RawData[[Error Type ]],$Q$5))</f>
        <v/>
      </c>
    </row>
    <row r="23186" spans="15:15" x14ac:dyDescent="0.25">
      <c r="O23186" s="20" t="str">
        <f>IF(N23186="","",COUNTIFS(RawData[[Date ]],N23186,RawData[Month List],$Q$6,RawData[Tour/Site],$Q$2,RawData[[Picker ID ]],$Q$3,RawData[Checker ID],$Q$4,RawData[[Error Type ]],$Q$5))</f>
        <v/>
      </c>
    </row>
    <row r="23187" spans="15:15" x14ac:dyDescent="0.25">
      <c r="O23187" s="20" t="str">
        <f>IF(N23187="","",COUNTIFS(RawData[[Date ]],N23187,RawData[Month List],$Q$6,RawData[Tour/Site],$Q$2,RawData[[Picker ID ]],$Q$3,RawData[Checker ID],$Q$4,RawData[[Error Type ]],$Q$5))</f>
        <v/>
      </c>
    </row>
    <row r="23188" spans="15:15" x14ac:dyDescent="0.25">
      <c r="O23188" s="20" t="str">
        <f>IF(N23188="","",COUNTIFS(RawData[[Date ]],N23188,RawData[Month List],$Q$6,RawData[Tour/Site],$Q$2,RawData[[Picker ID ]],$Q$3,RawData[Checker ID],$Q$4,RawData[[Error Type ]],$Q$5))</f>
        <v/>
      </c>
    </row>
    <row r="23189" spans="15:15" x14ac:dyDescent="0.25">
      <c r="O23189" s="20" t="str">
        <f>IF(N23189="","",COUNTIFS(RawData[[Date ]],N23189,RawData[Month List],$Q$6,RawData[Tour/Site],$Q$2,RawData[[Picker ID ]],$Q$3,RawData[Checker ID],$Q$4,RawData[[Error Type ]],$Q$5))</f>
        <v/>
      </c>
    </row>
    <row r="23190" spans="15:15" x14ac:dyDescent="0.25">
      <c r="O23190" s="20" t="str">
        <f>IF(N23190="","",COUNTIFS(RawData[[Date ]],N23190,RawData[Month List],$Q$6,RawData[Tour/Site],$Q$2,RawData[[Picker ID ]],$Q$3,RawData[Checker ID],$Q$4,RawData[[Error Type ]],$Q$5))</f>
        <v/>
      </c>
    </row>
    <row r="23191" spans="15:15" x14ac:dyDescent="0.25">
      <c r="O23191" s="20" t="str">
        <f>IF(N23191="","",COUNTIFS(RawData[[Date ]],N23191,RawData[Month List],$Q$6,RawData[Tour/Site],$Q$2,RawData[[Picker ID ]],$Q$3,RawData[Checker ID],$Q$4,RawData[[Error Type ]],$Q$5))</f>
        <v/>
      </c>
    </row>
    <row r="23192" spans="15:15" x14ac:dyDescent="0.25">
      <c r="O23192" s="20" t="str">
        <f>IF(N23192="","",COUNTIFS(RawData[[Date ]],N23192,RawData[Month List],$Q$6,RawData[Tour/Site],$Q$2,RawData[[Picker ID ]],$Q$3,RawData[Checker ID],$Q$4,RawData[[Error Type ]],$Q$5))</f>
        <v/>
      </c>
    </row>
    <row r="23193" spans="15:15" x14ac:dyDescent="0.25">
      <c r="O23193" s="20" t="str">
        <f>IF(N23193="","",COUNTIFS(RawData[[Date ]],N23193,RawData[Month List],$Q$6,RawData[Tour/Site],$Q$2,RawData[[Picker ID ]],$Q$3,RawData[Checker ID],$Q$4,RawData[[Error Type ]],$Q$5))</f>
        <v/>
      </c>
    </row>
    <row r="23194" spans="15:15" x14ac:dyDescent="0.25">
      <c r="O23194" s="20" t="str">
        <f>IF(N23194="","",COUNTIFS(RawData[[Date ]],N23194,RawData[Month List],$Q$6,RawData[Tour/Site],$Q$2,RawData[[Picker ID ]],$Q$3,RawData[Checker ID],$Q$4,RawData[[Error Type ]],$Q$5))</f>
        <v/>
      </c>
    </row>
    <row r="23195" spans="15:15" x14ac:dyDescent="0.25">
      <c r="O23195" s="20" t="str">
        <f>IF(N23195="","",COUNTIFS(RawData[[Date ]],N23195,RawData[Month List],$Q$6,RawData[Tour/Site],$Q$2,RawData[[Picker ID ]],$Q$3,RawData[Checker ID],$Q$4,RawData[[Error Type ]],$Q$5))</f>
        <v/>
      </c>
    </row>
    <row r="23196" spans="15:15" x14ac:dyDescent="0.25">
      <c r="O23196" s="20" t="str">
        <f>IF(N23196="","",COUNTIFS(RawData[[Date ]],N23196,RawData[Month List],$Q$6,RawData[Tour/Site],$Q$2,RawData[[Picker ID ]],$Q$3,RawData[Checker ID],$Q$4,RawData[[Error Type ]],$Q$5))</f>
        <v/>
      </c>
    </row>
    <row r="23197" spans="15:15" x14ac:dyDescent="0.25">
      <c r="O23197" s="20" t="str">
        <f>IF(N23197="","",COUNTIFS(RawData[[Date ]],N23197,RawData[Month List],$Q$6,RawData[Tour/Site],$Q$2,RawData[[Picker ID ]],$Q$3,RawData[Checker ID],$Q$4,RawData[[Error Type ]],$Q$5))</f>
        <v/>
      </c>
    </row>
    <row r="23198" spans="15:15" x14ac:dyDescent="0.25">
      <c r="O23198" s="20" t="str">
        <f>IF(N23198="","",COUNTIFS(RawData[[Date ]],N23198,RawData[Month List],$Q$6,RawData[Tour/Site],$Q$2,RawData[[Picker ID ]],$Q$3,RawData[Checker ID],$Q$4,RawData[[Error Type ]],$Q$5))</f>
        <v/>
      </c>
    </row>
    <row r="23199" spans="15:15" x14ac:dyDescent="0.25">
      <c r="O23199" s="20" t="str">
        <f>IF(N23199="","",COUNTIFS(RawData[[Date ]],N23199,RawData[Month List],$Q$6,RawData[Tour/Site],$Q$2,RawData[[Picker ID ]],$Q$3,RawData[Checker ID],$Q$4,RawData[[Error Type ]],$Q$5))</f>
        <v/>
      </c>
    </row>
    <row r="23200" spans="15:15" x14ac:dyDescent="0.25">
      <c r="O23200" s="20" t="str">
        <f>IF(N23200="","",COUNTIFS(RawData[[Date ]],N23200,RawData[Month List],$Q$6,RawData[Tour/Site],$Q$2,RawData[[Picker ID ]],$Q$3,RawData[Checker ID],$Q$4,RawData[[Error Type ]],$Q$5))</f>
        <v/>
      </c>
    </row>
    <row r="23201" spans="15:15" x14ac:dyDescent="0.25">
      <c r="O23201" s="20" t="str">
        <f>IF(N23201="","",COUNTIFS(RawData[[Date ]],N23201,RawData[Month List],$Q$6,RawData[Tour/Site],$Q$2,RawData[[Picker ID ]],$Q$3,RawData[Checker ID],$Q$4,RawData[[Error Type ]],$Q$5))</f>
        <v/>
      </c>
    </row>
    <row r="23202" spans="15:15" x14ac:dyDescent="0.25">
      <c r="O23202" s="20" t="str">
        <f>IF(N23202="","",COUNTIFS(RawData[[Date ]],N23202,RawData[Month List],$Q$6,RawData[Tour/Site],$Q$2,RawData[[Picker ID ]],$Q$3,RawData[Checker ID],$Q$4,RawData[[Error Type ]],$Q$5))</f>
        <v/>
      </c>
    </row>
    <row r="23203" spans="15:15" x14ac:dyDescent="0.25">
      <c r="O23203" s="20" t="str">
        <f>IF(N23203="","",COUNTIFS(RawData[[Date ]],N23203,RawData[Month List],$Q$6,RawData[Tour/Site],$Q$2,RawData[[Picker ID ]],$Q$3,RawData[Checker ID],$Q$4,RawData[[Error Type ]],$Q$5))</f>
        <v/>
      </c>
    </row>
    <row r="23204" spans="15:15" x14ac:dyDescent="0.25">
      <c r="O23204" s="20" t="str">
        <f>IF(N23204="","",COUNTIFS(RawData[[Date ]],N23204,RawData[Month List],$Q$6,RawData[Tour/Site],$Q$2,RawData[[Picker ID ]],$Q$3,RawData[Checker ID],$Q$4,RawData[[Error Type ]],$Q$5))</f>
        <v/>
      </c>
    </row>
    <row r="23205" spans="15:15" x14ac:dyDescent="0.25">
      <c r="O23205" s="20" t="str">
        <f>IF(N23205="","",COUNTIFS(RawData[[Date ]],N23205,RawData[Month List],$Q$6,RawData[Tour/Site],$Q$2,RawData[[Picker ID ]],$Q$3,RawData[Checker ID],$Q$4,RawData[[Error Type ]],$Q$5))</f>
        <v/>
      </c>
    </row>
    <row r="23206" spans="15:15" x14ac:dyDescent="0.25">
      <c r="O23206" s="20" t="str">
        <f>IF(N23206="","",COUNTIFS(RawData[[Date ]],N23206,RawData[Month List],$Q$6,RawData[Tour/Site],$Q$2,RawData[[Picker ID ]],$Q$3,RawData[Checker ID],$Q$4,RawData[[Error Type ]],$Q$5))</f>
        <v/>
      </c>
    </row>
    <row r="23207" spans="15:15" x14ac:dyDescent="0.25">
      <c r="O23207" s="20" t="str">
        <f>IF(N23207="","",COUNTIFS(RawData[[Date ]],N23207,RawData[Month List],$Q$6,RawData[Tour/Site],$Q$2,RawData[[Picker ID ]],$Q$3,RawData[Checker ID],$Q$4,RawData[[Error Type ]],$Q$5))</f>
        <v/>
      </c>
    </row>
    <row r="23208" spans="15:15" x14ac:dyDescent="0.25">
      <c r="O23208" s="20" t="str">
        <f>IF(N23208="","",COUNTIFS(RawData[[Date ]],N23208,RawData[Month List],$Q$6,RawData[Tour/Site],$Q$2,RawData[[Picker ID ]],$Q$3,RawData[Checker ID],$Q$4,RawData[[Error Type ]],$Q$5))</f>
        <v/>
      </c>
    </row>
    <row r="23209" spans="15:15" x14ac:dyDescent="0.25">
      <c r="O23209" s="20" t="str">
        <f>IF(N23209="","",COUNTIFS(RawData[[Date ]],N23209,RawData[Month List],$Q$6,RawData[Tour/Site],$Q$2,RawData[[Picker ID ]],$Q$3,RawData[Checker ID],$Q$4,RawData[[Error Type ]],$Q$5))</f>
        <v/>
      </c>
    </row>
    <row r="23210" spans="15:15" x14ac:dyDescent="0.25">
      <c r="O23210" s="20" t="str">
        <f>IF(N23210="","",COUNTIFS(RawData[[Date ]],N23210,RawData[Month List],$Q$6,RawData[Tour/Site],$Q$2,RawData[[Picker ID ]],$Q$3,RawData[Checker ID],$Q$4,RawData[[Error Type ]],$Q$5))</f>
        <v/>
      </c>
    </row>
    <row r="23211" spans="15:15" x14ac:dyDescent="0.25">
      <c r="O23211" s="20" t="str">
        <f>IF(N23211="","",COUNTIFS(RawData[[Date ]],N23211,RawData[Month List],$Q$6,RawData[Tour/Site],$Q$2,RawData[[Picker ID ]],$Q$3,RawData[Checker ID],$Q$4,RawData[[Error Type ]],$Q$5))</f>
        <v/>
      </c>
    </row>
    <row r="23212" spans="15:15" x14ac:dyDescent="0.25">
      <c r="O23212" s="20" t="str">
        <f>IF(N23212="","",COUNTIFS(RawData[[Date ]],N23212,RawData[Month List],$Q$6,RawData[Tour/Site],$Q$2,RawData[[Picker ID ]],$Q$3,RawData[Checker ID],$Q$4,RawData[[Error Type ]],$Q$5))</f>
        <v/>
      </c>
    </row>
    <row r="23213" spans="15:15" x14ac:dyDescent="0.25">
      <c r="O23213" s="20" t="str">
        <f>IF(N23213="","",COUNTIFS(RawData[[Date ]],N23213,RawData[Month List],$Q$6,RawData[Tour/Site],$Q$2,RawData[[Picker ID ]],$Q$3,RawData[Checker ID],$Q$4,RawData[[Error Type ]],$Q$5))</f>
        <v/>
      </c>
    </row>
    <row r="23214" spans="15:15" x14ac:dyDescent="0.25">
      <c r="O23214" s="20" t="str">
        <f>IF(N23214="","",COUNTIFS(RawData[[Date ]],N23214,RawData[Month List],$Q$6,RawData[Tour/Site],$Q$2,RawData[[Picker ID ]],$Q$3,RawData[Checker ID],$Q$4,RawData[[Error Type ]],$Q$5))</f>
        <v/>
      </c>
    </row>
    <row r="23215" spans="15:15" x14ac:dyDescent="0.25">
      <c r="O23215" s="20" t="str">
        <f>IF(N23215="","",COUNTIFS(RawData[[Date ]],N23215,RawData[Month List],$Q$6,RawData[Tour/Site],$Q$2,RawData[[Picker ID ]],$Q$3,RawData[Checker ID],$Q$4,RawData[[Error Type ]],$Q$5))</f>
        <v/>
      </c>
    </row>
    <row r="23216" spans="15:15" x14ac:dyDescent="0.25">
      <c r="O23216" s="20" t="str">
        <f>IF(N23216="","",COUNTIFS(RawData[[Date ]],N23216,RawData[Month List],$Q$6,RawData[Tour/Site],$Q$2,RawData[[Picker ID ]],$Q$3,RawData[Checker ID],$Q$4,RawData[[Error Type ]],$Q$5))</f>
        <v/>
      </c>
    </row>
    <row r="23217" spans="15:15" x14ac:dyDescent="0.25">
      <c r="O23217" s="20" t="str">
        <f>IF(N23217="","",COUNTIFS(RawData[[Date ]],N23217,RawData[Month List],$Q$6,RawData[Tour/Site],$Q$2,RawData[[Picker ID ]],$Q$3,RawData[Checker ID],$Q$4,RawData[[Error Type ]],$Q$5))</f>
        <v/>
      </c>
    </row>
    <row r="23218" spans="15:15" x14ac:dyDescent="0.25">
      <c r="O23218" s="20" t="str">
        <f>IF(N23218="","",COUNTIFS(RawData[[Date ]],N23218,RawData[Month List],$Q$6,RawData[Tour/Site],$Q$2,RawData[[Picker ID ]],$Q$3,RawData[Checker ID],$Q$4,RawData[[Error Type ]],$Q$5))</f>
        <v/>
      </c>
    </row>
    <row r="23219" spans="15:15" x14ac:dyDescent="0.25">
      <c r="O23219" s="20" t="str">
        <f>IF(N23219="","",COUNTIFS(RawData[[Date ]],N23219,RawData[Month List],$Q$6,RawData[Tour/Site],$Q$2,RawData[[Picker ID ]],$Q$3,RawData[Checker ID],$Q$4,RawData[[Error Type ]],$Q$5))</f>
        <v/>
      </c>
    </row>
    <row r="23220" spans="15:15" x14ac:dyDescent="0.25">
      <c r="O23220" s="20" t="str">
        <f>IF(N23220="","",COUNTIFS(RawData[[Date ]],N23220,RawData[Month List],$Q$6,RawData[Tour/Site],$Q$2,RawData[[Picker ID ]],$Q$3,RawData[Checker ID],$Q$4,RawData[[Error Type ]],$Q$5))</f>
        <v/>
      </c>
    </row>
    <row r="23221" spans="15:15" x14ac:dyDescent="0.25">
      <c r="O23221" s="20" t="str">
        <f>IF(N23221="","",COUNTIFS(RawData[[Date ]],N23221,RawData[Month List],$Q$6,RawData[Tour/Site],$Q$2,RawData[[Picker ID ]],$Q$3,RawData[Checker ID],$Q$4,RawData[[Error Type ]],$Q$5))</f>
        <v/>
      </c>
    </row>
    <row r="23222" spans="15:15" x14ac:dyDescent="0.25">
      <c r="O23222" s="20" t="str">
        <f>IF(N23222="","",COUNTIFS(RawData[[Date ]],N23222,RawData[Month List],$Q$6,RawData[Tour/Site],$Q$2,RawData[[Picker ID ]],$Q$3,RawData[Checker ID],$Q$4,RawData[[Error Type ]],$Q$5))</f>
        <v/>
      </c>
    </row>
    <row r="23223" spans="15:15" x14ac:dyDescent="0.25">
      <c r="O23223" s="20" t="str">
        <f>IF(N23223="","",COUNTIFS(RawData[[Date ]],N23223,RawData[Month List],$Q$6,RawData[Tour/Site],$Q$2,RawData[[Picker ID ]],$Q$3,RawData[Checker ID],$Q$4,RawData[[Error Type ]],$Q$5))</f>
        <v/>
      </c>
    </row>
    <row r="23224" spans="15:15" x14ac:dyDescent="0.25">
      <c r="O23224" s="20" t="str">
        <f>IF(N23224="","",COUNTIFS(RawData[[Date ]],N23224,RawData[Month List],$Q$6,RawData[Tour/Site],$Q$2,RawData[[Picker ID ]],$Q$3,RawData[Checker ID],$Q$4,RawData[[Error Type ]],$Q$5))</f>
        <v/>
      </c>
    </row>
    <row r="23225" spans="15:15" x14ac:dyDescent="0.25">
      <c r="O23225" s="20" t="str">
        <f>IF(N23225="","",COUNTIFS(RawData[[Date ]],N23225,RawData[Month List],$Q$6,RawData[Tour/Site],$Q$2,RawData[[Picker ID ]],$Q$3,RawData[Checker ID],$Q$4,RawData[[Error Type ]],$Q$5))</f>
        <v/>
      </c>
    </row>
    <row r="23226" spans="15:15" x14ac:dyDescent="0.25">
      <c r="O23226" s="20" t="str">
        <f>IF(N23226="","",COUNTIFS(RawData[[Date ]],N23226,RawData[Month List],$Q$6,RawData[Tour/Site],$Q$2,RawData[[Picker ID ]],$Q$3,RawData[Checker ID],$Q$4,RawData[[Error Type ]],$Q$5))</f>
        <v/>
      </c>
    </row>
    <row r="23227" spans="15:15" x14ac:dyDescent="0.25">
      <c r="O23227" s="20" t="str">
        <f>IF(N23227="","",COUNTIFS(RawData[[Date ]],N23227,RawData[Month List],$Q$6,RawData[Tour/Site],$Q$2,RawData[[Picker ID ]],$Q$3,RawData[Checker ID],$Q$4,RawData[[Error Type ]],$Q$5))</f>
        <v/>
      </c>
    </row>
    <row r="23228" spans="15:15" x14ac:dyDescent="0.25">
      <c r="O23228" s="20" t="str">
        <f>IF(N23228="","",COUNTIFS(RawData[[Date ]],N23228,RawData[Month List],$Q$6,RawData[Tour/Site],$Q$2,RawData[[Picker ID ]],$Q$3,RawData[Checker ID],$Q$4,RawData[[Error Type ]],$Q$5))</f>
        <v/>
      </c>
    </row>
    <row r="23229" spans="15:15" x14ac:dyDescent="0.25">
      <c r="O23229" s="20" t="str">
        <f>IF(N23229="","",COUNTIFS(RawData[[Date ]],N23229,RawData[Month List],$Q$6,RawData[Tour/Site],$Q$2,RawData[[Picker ID ]],$Q$3,RawData[Checker ID],$Q$4,RawData[[Error Type ]],$Q$5))</f>
        <v/>
      </c>
    </row>
    <row r="23230" spans="15:15" x14ac:dyDescent="0.25">
      <c r="O23230" s="20" t="str">
        <f>IF(N23230="","",COUNTIFS(RawData[[Date ]],N23230,RawData[Month List],$Q$6,RawData[Tour/Site],$Q$2,RawData[[Picker ID ]],$Q$3,RawData[Checker ID],$Q$4,RawData[[Error Type ]],$Q$5))</f>
        <v/>
      </c>
    </row>
    <row r="23231" spans="15:15" x14ac:dyDescent="0.25">
      <c r="O23231" s="20" t="str">
        <f>IF(N23231="","",COUNTIFS(RawData[[Date ]],N23231,RawData[Month List],$Q$6,RawData[Tour/Site],$Q$2,RawData[[Picker ID ]],$Q$3,RawData[Checker ID],$Q$4,RawData[[Error Type ]],$Q$5))</f>
        <v/>
      </c>
    </row>
    <row r="23232" spans="15:15" x14ac:dyDescent="0.25">
      <c r="O23232" s="20" t="str">
        <f>IF(N23232="","",COUNTIFS(RawData[[Date ]],N23232,RawData[Month List],$Q$6,RawData[Tour/Site],$Q$2,RawData[[Picker ID ]],$Q$3,RawData[Checker ID],$Q$4,RawData[[Error Type ]],$Q$5))</f>
        <v/>
      </c>
    </row>
    <row r="23233" spans="15:15" x14ac:dyDescent="0.25">
      <c r="O23233" s="20" t="str">
        <f>IF(N23233="","",COUNTIFS(RawData[[Date ]],N23233,RawData[Month List],$Q$6,RawData[Tour/Site],$Q$2,RawData[[Picker ID ]],$Q$3,RawData[Checker ID],$Q$4,RawData[[Error Type ]],$Q$5))</f>
        <v/>
      </c>
    </row>
    <row r="23234" spans="15:15" x14ac:dyDescent="0.25">
      <c r="O23234" s="20" t="str">
        <f>IF(N23234="","",COUNTIFS(RawData[[Date ]],N23234,RawData[Month List],$Q$6,RawData[Tour/Site],$Q$2,RawData[[Picker ID ]],$Q$3,RawData[Checker ID],$Q$4,RawData[[Error Type ]],$Q$5))</f>
        <v/>
      </c>
    </row>
    <row r="23235" spans="15:15" x14ac:dyDescent="0.25">
      <c r="O23235" s="20" t="str">
        <f>IF(N23235="","",COUNTIFS(RawData[[Date ]],N23235,RawData[Month List],$Q$6,RawData[Tour/Site],$Q$2,RawData[[Picker ID ]],$Q$3,RawData[Checker ID],$Q$4,RawData[[Error Type ]],$Q$5))</f>
        <v/>
      </c>
    </row>
    <row r="23236" spans="15:15" x14ac:dyDescent="0.25">
      <c r="O23236" s="20" t="str">
        <f>IF(N23236="","",COUNTIFS(RawData[[Date ]],N23236,RawData[Month List],$Q$6,RawData[Tour/Site],$Q$2,RawData[[Picker ID ]],$Q$3,RawData[Checker ID],$Q$4,RawData[[Error Type ]],$Q$5))</f>
        <v/>
      </c>
    </row>
    <row r="23237" spans="15:15" x14ac:dyDescent="0.25">
      <c r="O23237" s="20" t="str">
        <f>IF(N23237="","",COUNTIFS(RawData[[Date ]],N23237,RawData[Month List],$Q$6,RawData[Tour/Site],$Q$2,RawData[[Picker ID ]],$Q$3,RawData[Checker ID],$Q$4,RawData[[Error Type ]],$Q$5))</f>
        <v/>
      </c>
    </row>
    <row r="23238" spans="15:15" x14ac:dyDescent="0.25">
      <c r="O23238" s="20" t="str">
        <f>IF(N23238="","",COUNTIFS(RawData[[Date ]],N23238,RawData[Month List],$Q$6,RawData[Tour/Site],$Q$2,RawData[[Picker ID ]],$Q$3,RawData[Checker ID],$Q$4,RawData[[Error Type ]],$Q$5))</f>
        <v/>
      </c>
    </row>
    <row r="23239" spans="15:15" x14ac:dyDescent="0.25">
      <c r="O23239" s="20" t="str">
        <f>IF(N23239="","",COUNTIFS(RawData[[Date ]],N23239,RawData[Month List],$Q$6,RawData[Tour/Site],$Q$2,RawData[[Picker ID ]],$Q$3,RawData[Checker ID],$Q$4,RawData[[Error Type ]],$Q$5))</f>
        <v/>
      </c>
    </row>
    <row r="23240" spans="15:15" x14ac:dyDescent="0.25">
      <c r="O23240" s="20" t="str">
        <f>IF(N23240="","",COUNTIFS(RawData[[Date ]],N23240,RawData[Month List],$Q$6,RawData[Tour/Site],$Q$2,RawData[[Picker ID ]],$Q$3,RawData[Checker ID],$Q$4,RawData[[Error Type ]],$Q$5))</f>
        <v/>
      </c>
    </row>
    <row r="23241" spans="15:15" x14ac:dyDescent="0.25">
      <c r="O23241" s="20" t="str">
        <f>IF(N23241="","",COUNTIFS(RawData[[Date ]],N23241,RawData[Month List],$Q$6,RawData[Tour/Site],$Q$2,RawData[[Picker ID ]],$Q$3,RawData[Checker ID],$Q$4,RawData[[Error Type ]],$Q$5))</f>
        <v/>
      </c>
    </row>
    <row r="23242" spans="15:15" x14ac:dyDescent="0.25">
      <c r="O23242" s="20" t="str">
        <f>IF(N23242="","",COUNTIFS(RawData[[Date ]],N23242,RawData[Month List],$Q$6,RawData[Tour/Site],$Q$2,RawData[[Picker ID ]],$Q$3,RawData[Checker ID],$Q$4,RawData[[Error Type ]],$Q$5))</f>
        <v/>
      </c>
    </row>
    <row r="23243" spans="15:15" x14ac:dyDescent="0.25">
      <c r="O23243" s="20" t="str">
        <f>IF(N23243="","",COUNTIFS(RawData[[Date ]],N23243,RawData[Month List],$Q$6,RawData[Tour/Site],$Q$2,RawData[[Picker ID ]],$Q$3,RawData[Checker ID],$Q$4,RawData[[Error Type ]],$Q$5))</f>
        <v/>
      </c>
    </row>
    <row r="23244" spans="15:15" x14ac:dyDescent="0.25">
      <c r="O23244" s="20" t="str">
        <f>IF(N23244="","",COUNTIFS(RawData[[Date ]],N23244,RawData[Month List],$Q$6,RawData[Tour/Site],$Q$2,RawData[[Picker ID ]],$Q$3,RawData[Checker ID],$Q$4,RawData[[Error Type ]],$Q$5))</f>
        <v/>
      </c>
    </row>
    <row r="23245" spans="15:15" x14ac:dyDescent="0.25">
      <c r="O23245" s="20" t="str">
        <f>IF(N23245="","",COUNTIFS(RawData[[Date ]],N23245,RawData[Month List],$Q$6,RawData[Tour/Site],$Q$2,RawData[[Picker ID ]],$Q$3,RawData[Checker ID],$Q$4,RawData[[Error Type ]],$Q$5))</f>
        <v/>
      </c>
    </row>
    <row r="23246" spans="15:15" x14ac:dyDescent="0.25">
      <c r="O23246" s="20" t="str">
        <f>IF(N23246="","",COUNTIFS(RawData[[Date ]],N23246,RawData[Month List],$Q$6,RawData[Tour/Site],$Q$2,RawData[[Picker ID ]],$Q$3,RawData[Checker ID],$Q$4,RawData[[Error Type ]],$Q$5))</f>
        <v/>
      </c>
    </row>
    <row r="23247" spans="15:15" x14ac:dyDescent="0.25">
      <c r="O23247" s="20" t="str">
        <f>IF(N23247="","",COUNTIFS(RawData[[Date ]],N23247,RawData[Month List],$Q$6,RawData[Tour/Site],$Q$2,RawData[[Picker ID ]],$Q$3,RawData[Checker ID],$Q$4,RawData[[Error Type ]],$Q$5))</f>
        <v/>
      </c>
    </row>
    <row r="23248" spans="15:15" x14ac:dyDescent="0.25">
      <c r="O23248" s="20" t="str">
        <f>IF(N23248="","",COUNTIFS(RawData[[Date ]],N23248,RawData[Month List],$Q$6,RawData[Tour/Site],$Q$2,RawData[[Picker ID ]],$Q$3,RawData[Checker ID],$Q$4,RawData[[Error Type ]],$Q$5))</f>
        <v/>
      </c>
    </row>
    <row r="23249" spans="15:15" x14ac:dyDescent="0.25">
      <c r="O23249" s="20" t="str">
        <f>IF(N23249="","",COUNTIFS(RawData[[Date ]],N23249,RawData[Month List],$Q$6,RawData[Tour/Site],$Q$2,RawData[[Picker ID ]],$Q$3,RawData[Checker ID],$Q$4,RawData[[Error Type ]],$Q$5))</f>
        <v/>
      </c>
    </row>
    <row r="23250" spans="15:15" x14ac:dyDescent="0.25">
      <c r="O23250" s="20" t="str">
        <f>IF(N23250="","",COUNTIFS(RawData[[Date ]],N23250,RawData[Month List],$Q$6,RawData[Tour/Site],$Q$2,RawData[[Picker ID ]],$Q$3,RawData[Checker ID],$Q$4,RawData[[Error Type ]],$Q$5))</f>
        <v/>
      </c>
    </row>
    <row r="23251" spans="15:15" x14ac:dyDescent="0.25">
      <c r="O23251" s="20" t="str">
        <f>IF(N23251="","",COUNTIFS(RawData[[Date ]],N23251,RawData[Month List],$Q$6,RawData[Tour/Site],$Q$2,RawData[[Picker ID ]],$Q$3,RawData[Checker ID],$Q$4,RawData[[Error Type ]],$Q$5))</f>
        <v/>
      </c>
    </row>
    <row r="23252" spans="15:15" x14ac:dyDescent="0.25">
      <c r="O23252" s="20" t="str">
        <f>IF(N23252="","",COUNTIFS(RawData[[Date ]],N23252,RawData[Month List],$Q$6,RawData[Tour/Site],$Q$2,RawData[[Picker ID ]],$Q$3,RawData[Checker ID],$Q$4,RawData[[Error Type ]],$Q$5))</f>
        <v/>
      </c>
    </row>
    <row r="23253" spans="15:15" x14ac:dyDescent="0.25">
      <c r="O23253" s="20" t="str">
        <f>IF(N23253="","",COUNTIFS(RawData[[Date ]],N23253,RawData[Month List],$Q$6,RawData[Tour/Site],$Q$2,RawData[[Picker ID ]],$Q$3,RawData[Checker ID],$Q$4,RawData[[Error Type ]],$Q$5))</f>
        <v/>
      </c>
    </row>
    <row r="23254" spans="15:15" x14ac:dyDescent="0.25">
      <c r="O23254" s="20" t="str">
        <f>IF(N23254="","",COUNTIFS(RawData[[Date ]],N23254,RawData[Month List],$Q$6,RawData[Tour/Site],$Q$2,RawData[[Picker ID ]],$Q$3,RawData[Checker ID],$Q$4,RawData[[Error Type ]],$Q$5))</f>
        <v/>
      </c>
    </row>
    <row r="23255" spans="15:15" x14ac:dyDescent="0.25">
      <c r="O23255" s="20" t="str">
        <f>IF(N23255="","",COUNTIFS(RawData[[Date ]],N23255,RawData[Month List],$Q$6,RawData[Tour/Site],$Q$2,RawData[[Picker ID ]],$Q$3,RawData[Checker ID],$Q$4,RawData[[Error Type ]],$Q$5))</f>
        <v/>
      </c>
    </row>
    <row r="23256" spans="15:15" x14ac:dyDescent="0.25">
      <c r="O23256" s="20" t="str">
        <f>IF(N23256="","",COUNTIFS(RawData[[Date ]],N23256,RawData[Month List],$Q$6,RawData[Tour/Site],$Q$2,RawData[[Picker ID ]],$Q$3,RawData[Checker ID],$Q$4,RawData[[Error Type ]],$Q$5))</f>
        <v/>
      </c>
    </row>
    <row r="23257" spans="15:15" x14ac:dyDescent="0.25">
      <c r="O23257" s="20" t="str">
        <f>IF(N23257="","",COUNTIFS(RawData[[Date ]],N23257,RawData[Month List],$Q$6,RawData[Tour/Site],$Q$2,RawData[[Picker ID ]],$Q$3,RawData[Checker ID],$Q$4,RawData[[Error Type ]],$Q$5))</f>
        <v/>
      </c>
    </row>
    <row r="23258" spans="15:15" x14ac:dyDescent="0.25">
      <c r="O23258" s="20" t="str">
        <f>IF(N23258="","",COUNTIFS(RawData[[Date ]],N23258,RawData[Month List],$Q$6,RawData[Tour/Site],$Q$2,RawData[[Picker ID ]],$Q$3,RawData[Checker ID],$Q$4,RawData[[Error Type ]],$Q$5))</f>
        <v/>
      </c>
    </row>
    <row r="23259" spans="15:15" x14ac:dyDescent="0.25">
      <c r="O23259" s="20" t="str">
        <f>IF(N23259="","",COUNTIFS(RawData[[Date ]],N23259,RawData[Month List],$Q$6,RawData[Tour/Site],$Q$2,RawData[[Picker ID ]],$Q$3,RawData[Checker ID],$Q$4,RawData[[Error Type ]],$Q$5))</f>
        <v/>
      </c>
    </row>
    <row r="23260" spans="15:15" x14ac:dyDescent="0.25">
      <c r="O23260" s="20" t="str">
        <f>IF(N23260="","",COUNTIFS(RawData[[Date ]],N23260,RawData[Month List],$Q$6,RawData[Tour/Site],$Q$2,RawData[[Picker ID ]],$Q$3,RawData[Checker ID],$Q$4,RawData[[Error Type ]],$Q$5))</f>
        <v/>
      </c>
    </row>
    <row r="23261" spans="15:15" x14ac:dyDescent="0.25">
      <c r="O23261" s="20" t="str">
        <f>IF(N23261="","",COUNTIFS(RawData[[Date ]],N23261,RawData[Month List],$Q$6,RawData[Tour/Site],$Q$2,RawData[[Picker ID ]],$Q$3,RawData[Checker ID],$Q$4,RawData[[Error Type ]],$Q$5))</f>
        <v/>
      </c>
    </row>
    <row r="23262" spans="15:15" x14ac:dyDescent="0.25">
      <c r="O23262" s="20" t="str">
        <f>IF(N23262="","",COUNTIFS(RawData[[Date ]],N23262,RawData[Month List],$Q$6,RawData[Tour/Site],$Q$2,RawData[[Picker ID ]],$Q$3,RawData[Checker ID],$Q$4,RawData[[Error Type ]],$Q$5))</f>
        <v/>
      </c>
    </row>
    <row r="23263" spans="15:15" x14ac:dyDescent="0.25">
      <c r="O23263" s="20" t="str">
        <f>IF(N23263="","",COUNTIFS(RawData[[Date ]],N23263,RawData[Month List],$Q$6,RawData[Tour/Site],$Q$2,RawData[[Picker ID ]],$Q$3,RawData[Checker ID],$Q$4,RawData[[Error Type ]],$Q$5))</f>
        <v/>
      </c>
    </row>
    <row r="23264" spans="15:15" x14ac:dyDescent="0.25">
      <c r="O23264" s="20" t="str">
        <f>IF(N23264="","",COUNTIFS(RawData[[Date ]],N23264,RawData[Month List],$Q$6,RawData[Tour/Site],$Q$2,RawData[[Picker ID ]],$Q$3,RawData[Checker ID],$Q$4,RawData[[Error Type ]],$Q$5))</f>
        <v/>
      </c>
    </row>
    <row r="23265" spans="15:15" x14ac:dyDescent="0.25">
      <c r="O23265" s="20" t="str">
        <f>IF(N23265="","",COUNTIFS(RawData[[Date ]],N23265,RawData[Month List],$Q$6,RawData[Tour/Site],$Q$2,RawData[[Picker ID ]],$Q$3,RawData[Checker ID],$Q$4,RawData[[Error Type ]],$Q$5))</f>
        <v/>
      </c>
    </row>
    <row r="23266" spans="15:15" x14ac:dyDescent="0.25">
      <c r="O23266" s="20" t="str">
        <f>IF(N23266="","",COUNTIFS(RawData[[Date ]],N23266,RawData[Month List],$Q$6,RawData[Tour/Site],$Q$2,RawData[[Picker ID ]],$Q$3,RawData[Checker ID],$Q$4,RawData[[Error Type ]],$Q$5))</f>
        <v/>
      </c>
    </row>
    <row r="23267" spans="15:15" x14ac:dyDescent="0.25">
      <c r="O23267" s="20" t="str">
        <f>IF(N23267="","",COUNTIFS(RawData[[Date ]],N23267,RawData[Month List],$Q$6,RawData[Tour/Site],$Q$2,RawData[[Picker ID ]],$Q$3,RawData[Checker ID],$Q$4,RawData[[Error Type ]],$Q$5))</f>
        <v/>
      </c>
    </row>
    <row r="23268" spans="15:15" x14ac:dyDescent="0.25">
      <c r="O23268" s="20" t="str">
        <f>IF(N23268="","",COUNTIFS(RawData[[Date ]],N23268,RawData[Month List],$Q$6,RawData[Tour/Site],$Q$2,RawData[[Picker ID ]],$Q$3,RawData[Checker ID],$Q$4,RawData[[Error Type ]],$Q$5))</f>
        <v/>
      </c>
    </row>
    <row r="23269" spans="15:15" x14ac:dyDescent="0.25">
      <c r="O23269" s="20" t="str">
        <f>IF(N23269="","",COUNTIFS(RawData[[Date ]],N23269,RawData[Month List],$Q$6,RawData[Tour/Site],$Q$2,RawData[[Picker ID ]],$Q$3,RawData[Checker ID],$Q$4,RawData[[Error Type ]],$Q$5))</f>
        <v/>
      </c>
    </row>
    <row r="23270" spans="15:15" x14ac:dyDescent="0.25">
      <c r="O23270" s="20" t="str">
        <f>IF(N23270="","",COUNTIFS(RawData[[Date ]],N23270,RawData[Month List],$Q$6,RawData[Tour/Site],$Q$2,RawData[[Picker ID ]],$Q$3,RawData[Checker ID],$Q$4,RawData[[Error Type ]],$Q$5))</f>
        <v/>
      </c>
    </row>
    <row r="23271" spans="15:15" x14ac:dyDescent="0.25">
      <c r="O23271" s="20" t="str">
        <f>IF(N23271="","",COUNTIFS(RawData[[Date ]],N23271,RawData[Month List],$Q$6,RawData[Tour/Site],$Q$2,RawData[[Picker ID ]],$Q$3,RawData[Checker ID],$Q$4,RawData[[Error Type ]],$Q$5))</f>
        <v/>
      </c>
    </row>
    <row r="23272" spans="15:15" x14ac:dyDescent="0.25">
      <c r="O23272" s="20" t="str">
        <f>IF(N23272="","",COUNTIFS(RawData[[Date ]],N23272,RawData[Month List],$Q$6,RawData[Tour/Site],$Q$2,RawData[[Picker ID ]],$Q$3,RawData[Checker ID],$Q$4,RawData[[Error Type ]],$Q$5))</f>
        <v/>
      </c>
    </row>
    <row r="23273" spans="15:15" x14ac:dyDescent="0.25">
      <c r="O23273" s="20" t="str">
        <f>IF(N23273="","",COUNTIFS(RawData[[Date ]],N23273,RawData[Month List],$Q$6,RawData[Tour/Site],$Q$2,RawData[[Picker ID ]],$Q$3,RawData[Checker ID],$Q$4,RawData[[Error Type ]],$Q$5))</f>
        <v/>
      </c>
    </row>
    <row r="23274" spans="15:15" x14ac:dyDescent="0.25">
      <c r="O23274" s="20" t="str">
        <f>IF(N23274="","",COUNTIFS(RawData[[Date ]],N23274,RawData[Month List],$Q$6,RawData[Tour/Site],$Q$2,RawData[[Picker ID ]],$Q$3,RawData[Checker ID],$Q$4,RawData[[Error Type ]],$Q$5))</f>
        <v/>
      </c>
    </row>
    <row r="23275" spans="15:15" x14ac:dyDescent="0.25">
      <c r="O23275" s="20" t="str">
        <f>IF(N23275="","",COUNTIFS(RawData[[Date ]],N23275,RawData[Month List],$Q$6,RawData[Tour/Site],$Q$2,RawData[[Picker ID ]],$Q$3,RawData[Checker ID],$Q$4,RawData[[Error Type ]],$Q$5))</f>
        <v/>
      </c>
    </row>
    <row r="23276" spans="15:15" x14ac:dyDescent="0.25">
      <c r="O23276" s="20" t="str">
        <f>IF(N23276="","",COUNTIFS(RawData[[Date ]],N23276,RawData[Month List],$Q$6,RawData[Tour/Site],$Q$2,RawData[[Picker ID ]],$Q$3,RawData[Checker ID],$Q$4,RawData[[Error Type ]],$Q$5))</f>
        <v/>
      </c>
    </row>
    <row r="23277" spans="15:15" x14ac:dyDescent="0.25">
      <c r="O23277" s="20" t="str">
        <f>IF(N23277="","",COUNTIFS(RawData[[Date ]],N23277,RawData[Month List],$Q$6,RawData[Tour/Site],$Q$2,RawData[[Picker ID ]],$Q$3,RawData[Checker ID],$Q$4,RawData[[Error Type ]],$Q$5))</f>
        <v/>
      </c>
    </row>
    <row r="23278" spans="15:15" x14ac:dyDescent="0.25">
      <c r="O23278" s="20" t="str">
        <f>IF(N23278="","",COUNTIFS(RawData[[Date ]],N23278,RawData[Month List],$Q$6,RawData[Tour/Site],$Q$2,RawData[[Picker ID ]],$Q$3,RawData[Checker ID],$Q$4,RawData[[Error Type ]],$Q$5))</f>
        <v/>
      </c>
    </row>
    <row r="23279" spans="15:15" x14ac:dyDescent="0.25">
      <c r="O23279" s="20" t="str">
        <f>IF(N23279="","",COUNTIFS(RawData[[Date ]],N23279,RawData[Month List],$Q$6,RawData[Tour/Site],$Q$2,RawData[[Picker ID ]],$Q$3,RawData[Checker ID],$Q$4,RawData[[Error Type ]],$Q$5))</f>
        <v/>
      </c>
    </row>
    <row r="23280" spans="15:15" x14ac:dyDescent="0.25">
      <c r="O23280" s="20" t="str">
        <f>IF(N23280="","",COUNTIFS(RawData[[Date ]],N23280,RawData[Month List],$Q$6,RawData[Tour/Site],$Q$2,RawData[[Picker ID ]],$Q$3,RawData[Checker ID],$Q$4,RawData[[Error Type ]],$Q$5))</f>
        <v/>
      </c>
    </row>
    <row r="23281" spans="15:15" x14ac:dyDescent="0.25">
      <c r="O23281" s="20" t="str">
        <f>IF(N23281="","",COUNTIFS(RawData[[Date ]],N23281,RawData[Month List],$Q$6,RawData[Tour/Site],$Q$2,RawData[[Picker ID ]],$Q$3,RawData[Checker ID],$Q$4,RawData[[Error Type ]],$Q$5))</f>
        <v/>
      </c>
    </row>
    <row r="23282" spans="15:15" x14ac:dyDescent="0.25">
      <c r="O23282" s="20" t="str">
        <f>IF(N23282="","",COUNTIFS(RawData[[Date ]],N23282,RawData[Month List],$Q$6,RawData[Tour/Site],$Q$2,RawData[[Picker ID ]],$Q$3,RawData[Checker ID],$Q$4,RawData[[Error Type ]],$Q$5))</f>
        <v/>
      </c>
    </row>
    <row r="23283" spans="15:15" x14ac:dyDescent="0.25">
      <c r="O23283" s="20" t="str">
        <f>IF(N23283="","",COUNTIFS(RawData[[Date ]],N23283,RawData[Month List],$Q$6,RawData[Tour/Site],$Q$2,RawData[[Picker ID ]],$Q$3,RawData[Checker ID],$Q$4,RawData[[Error Type ]],$Q$5))</f>
        <v/>
      </c>
    </row>
    <row r="23284" spans="15:15" x14ac:dyDescent="0.25">
      <c r="O23284" s="20" t="str">
        <f>IF(N23284="","",COUNTIFS(RawData[[Date ]],N23284,RawData[Month List],$Q$6,RawData[Tour/Site],$Q$2,RawData[[Picker ID ]],$Q$3,RawData[Checker ID],$Q$4,RawData[[Error Type ]],$Q$5))</f>
        <v/>
      </c>
    </row>
    <row r="23285" spans="15:15" x14ac:dyDescent="0.25">
      <c r="O23285" s="20" t="str">
        <f>IF(N23285="","",COUNTIFS(RawData[[Date ]],N23285,RawData[Month List],$Q$6,RawData[Tour/Site],$Q$2,RawData[[Picker ID ]],$Q$3,RawData[Checker ID],$Q$4,RawData[[Error Type ]],$Q$5))</f>
        <v/>
      </c>
    </row>
    <row r="23286" spans="15:15" x14ac:dyDescent="0.25">
      <c r="O23286" s="20" t="str">
        <f>IF(N23286="","",COUNTIFS(RawData[[Date ]],N23286,RawData[Month List],$Q$6,RawData[Tour/Site],$Q$2,RawData[[Picker ID ]],$Q$3,RawData[Checker ID],$Q$4,RawData[[Error Type ]],$Q$5))</f>
        <v/>
      </c>
    </row>
    <row r="23287" spans="15:15" x14ac:dyDescent="0.25">
      <c r="O23287" s="20" t="str">
        <f>IF(N23287="","",COUNTIFS(RawData[[Date ]],N23287,RawData[Month List],$Q$6,RawData[Tour/Site],$Q$2,RawData[[Picker ID ]],$Q$3,RawData[Checker ID],$Q$4,RawData[[Error Type ]],$Q$5))</f>
        <v/>
      </c>
    </row>
    <row r="23288" spans="15:15" x14ac:dyDescent="0.25">
      <c r="O23288" s="20" t="str">
        <f>IF(N23288="","",COUNTIFS(RawData[[Date ]],N23288,RawData[Month List],$Q$6,RawData[Tour/Site],$Q$2,RawData[[Picker ID ]],$Q$3,RawData[Checker ID],$Q$4,RawData[[Error Type ]],$Q$5))</f>
        <v/>
      </c>
    </row>
    <row r="23289" spans="15:15" x14ac:dyDescent="0.25">
      <c r="O23289" s="20" t="str">
        <f>IF(N23289="","",COUNTIFS(RawData[[Date ]],N23289,RawData[Month List],$Q$6,RawData[Tour/Site],$Q$2,RawData[[Picker ID ]],$Q$3,RawData[Checker ID],$Q$4,RawData[[Error Type ]],$Q$5))</f>
        <v/>
      </c>
    </row>
    <row r="23290" spans="15:15" x14ac:dyDescent="0.25">
      <c r="O23290" s="20" t="str">
        <f>IF(N23290="","",COUNTIFS(RawData[[Date ]],N23290,RawData[Month List],$Q$6,RawData[Tour/Site],$Q$2,RawData[[Picker ID ]],$Q$3,RawData[Checker ID],$Q$4,RawData[[Error Type ]],$Q$5))</f>
        <v/>
      </c>
    </row>
    <row r="23291" spans="15:15" x14ac:dyDescent="0.25">
      <c r="O23291" s="20" t="str">
        <f>IF(N23291="","",COUNTIFS(RawData[[Date ]],N23291,RawData[Month List],$Q$6,RawData[Tour/Site],$Q$2,RawData[[Picker ID ]],$Q$3,RawData[Checker ID],$Q$4,RawData[[Error Type ]],$Q$5))</f>
        <v/>
      </c>
    </row>
    <row r="23292" spans="15:15" x14ac:dyDescent="0.25">
      <c r="O23292" s="20" t="str">
        <f>IF(N23292="","",COUNTIFS(RawData[[Date ]],N23292,RawData[Month List],$Q$6,RawData[Tour/Site],$Q$2,RawData[[Picker ID ]],$Q$3,RawData[Checker ID],$Q$4,RawData[[Error Type ]],$Q$5))</f>
        <v/>
      </c>
    </row>
    <row r="23293" spans="15:15" x14ac:dyDescent="0.25">
      <c r="O23293" s="20" t="str">
        <f>IF(N23293="","",COUNTIFS(RawData[[Date ]],N23293,RawData[Month List],$Q$6,RawData[Tour/Site],$Q$2,RawData[[Picker ID ]],$Q$3,RawData[Checker ID],$Q$4,RawData[[Error Type ]],$Q$5))</f>
        <v/>
      </c>
    </row>
    <row r="23294" spans="15:15" x14ac:dyDescent="0.25">
      <c r="O23294" s="20" t="str">
        <f>IF(N23294="","",COUNTIFS(RawData[[Date ]],N23294,RawData[Month List],$Q$6,RawData[Tour/Site],$Q$2,RawData[[Picker ID ]],$Q$3,RawData[Checker ID],$Q$4,RawData[[Error Type ]],$Q$5))</f>
        <v/>
      </c>
    </row>
    <row r="23295" spans="15:15" x14ac:dyDescent="0.25">
      <c r="O23295" s="20" t="str">
        <f>IF(N23295="","",COUNTIFS(RawData[[Date ]],N23295,RawData[Month List],$Q$6,RawData[Tour/Site],$Q$2,RawData[[Picker ID ]],$Q$3,RawData[Checker ID],$Q$4,RawData[[Error Type ]],$Q$5))</f>
        <v/>
      </c>
    </row>
    <row r="23296" spans="15:15" x14ac:dyDescent="0.25">
      <c r="O23296" s="20" t="str">
        <f>IF(N23296="","",COUNTIFS(RawData[[Date ]],N23296,RawData[Month List],$Q$6,RawData[Tour/Site],$Q$2,RawData[[Picker ID ]],$Q$3,RawData[Checker ID],$Q$4,RawData[[Error Type ]],$Q$5))</f>
        <v/>
      </c>
    </row>
    <row r="23297" spans="15:15" x14ac:dyDescent="0.25">
      <c r="O23297" s="20" t="str">
        <f>IF(N23297="","",COUNTIFS(RawData[[Date ]],N23297,RawData[Month List],$Q$6,RawData[Tour/Site],$Q$2,RawData[[Picker ID ]],$Q$3,RawData[Checker ID],$Q$4,RawData[[Error Type ]],$Q$5))</f>
        <v/>
      </c>
    </row>
    <row r="23298" spans="15:15" x14ac:dyDescent="0.25">
      <c r="O23298" s="20" t="str">
        <f>IF(N23298="","",COUNTIFS(RawData[[Date ]],N23298,RawData[Month List],$Q$6,RawData[Tour/Site],$Q$2,RawData[[Picker ID ]],$Q$3,RawData[Checker ID],$Q$4,RawData[[Error Type ]],$Q$5))</f>
        <v/>
      </c>
    </row>
    <row r="23299" spans="15:15" x14ac:dyDescent="0.25">
      <c r="O23299" s="20" t="str">
        <f>IF(N23299="","",COUNTIFS(RawData[[Date ]],N23299,RawData[Month List],$Q$6,RawData[Tour/Site],$Q$2,RawData[[Picker ID ]],$Q$3,RawData[Checker ID],$Q$4,RawData[[Error Type ]],$Q$5))</f>
        <v/>
      </c>
    </row>
    <row r="23300" spans="15:15" x14ac:dyDescent="0.25">
      <c r="O23300" s="20" t="str">
        <f>IF(N23300="","",COUNTIFS(RawData[[Date ]],N23300,RawData[Month List],$Q$6,RawData[Tour/Site],$Q$2,RawData[[Picker ID ]],$Q$3,RawData[Checker ID],$Q$4,RawData[[Error Type ]],$Q$5))</f>
        <v/>
      </c>
    </row>
    <row r="23301" spans="15:15" x14ac:dyDescent="0.25">
      <c r="O23301" s="20" t="str">
        <f>IF(N23301="","",COUNTIFS(RawData[[Date ]],N23301,RawData[Month List],$Q$6,RawData[Tour/Site],$Q$2,RawData[[Picker ID ]],$Q$3,RawData[Checker ID],$Q$4,RawData[[Error Type ]],$Q$5))</f>
        <v/>
      </c>
    </row>
    <row r="23302" spans="15:15" x14ac:dyDescent="0.25">
      <c r="O23302" s="20" t="str">
        <f>IF(N23302="","",COUNTIFS(RawData[[Date ]],N23302,RawData[Month List],$Q$6,RawData[Tour/Site],$Q$2,RawData[[Picker ID ]],$Q$3,RawData[Checker ID],$Q$4,RawData[[Error Type ]],$Q$5))</f>
        <v/>
      </c>
    </row>
    <row r="23303" spans="15:15" x14ac:dyDescent="0.25">
      <c r="O23303" s="20" t="str">
        <f>IF(N23303="","",COUNTIFS(RawData[[Date ]],N23303,RawData[Month List],$Q$6,RawData[Tour/Site],$Q$2,RawData[[Picker ID ]],$Q$3,RawData[Checker ID],$Q$4,RawData[[Error Type ]],$Q$5))</f>
        <v/>
      </c>
    </row>
    <row r="23304" spans="15:15" x14ac:dyDescent="0.25">
      <c r="O23304" s="20" t="str">
        <f>IF(N23304="","",COUNTIFS(RawData[[Date ]],N23304,RawData[Month List],$Q$6,RawData[Tour/Site],$Q$2,RawData[[Picker ID ]],$Q$3,RawData[Checker ID],$Q$4,RawData[[Error Type ]],$Q$5))</f>
        <v/>
      </c>
    </row>
    <row r="23305" spans="15:15" x14ac:dyDescent="0.25">
      <c r="O23305" s="20" t="str">
        <f>IF(N23305="","",COUNTIFS(RawData[[Date ]],N23305,RawData[Month List],$Q$6,RawData[Tour/Site],$Q$2,RawData[[Picker ID ]],$Q$3,RawData[Checker ID],$Q$4,RawData[[Error Type ]],$Q$5))</f>
        <v/>
      </c>
    </row>
    <row r="23306" spans="15:15" x14ac:dyDescent="0.25">
      <c r="O23306" s="20" t="str">
        <f>IF(N23306="","",COUNTIFS(RawData[[Date ]],N23306,RawData[Month List],$Q$6,RawData[Tour/Site],$Q$2,RawData[[Picker ID ]],$Q$3,RawData[Checker ID],$Q$4,RawData[[Error Type ]],$Q$5))</f>
        <v/>
      </c>
    </row>
    <row r="23307" spans="15:15" x14ac:dyDescent="0.25">
      <c r="O23307" s="20" t="str">
        <f>IF(N23307="","",COUNTIFS(RawData[[Date ]],N23307,RawData[Month List],$Q$6,RawData[Tour/Site],$Q$2,RawData[[Picker ID ]],$Q$3,RawData[Checker ID],$Q$4,RawData[[Error Type ]],$Q$5))</f>
        <v/>
      </c>
    </row>
    <row r="23308" spans="15:15" x14ac:dyDescent="0.25">
      <c r="O23308" s="20" t="str">
        <f>IF(N23308="","",COUNTIFS(RawData[[Date ]],N23308,RawData[Month List],$Q$6,RawData[Tour/Site],$Q$2,RawData[[Picker ID ]],$Q$3,RawData[Checker ID],$Q$4,RawData[[Error Type ]],$Q$5))</f>
        <v/>
      </c>
    </row>
    <row r="23309" spans="15:15" x14ac:dyDescent="0.25">
      <c r="O23309" s="20" t="str">
        <f>IF(N23309="","",COUNTIFS(RawData[[Date ]],N23309,RawData[Month List],$Q$6,RawData[Tour/Site],$Q$2,RawData[[Picker ID ]],$Q$3,RawData[Checker ID],$Q$4,RawData[[Error Type ]],$Q$5))</f>
        <v/>
      </c>
    </row>
    <row r="23310" spans="15:15" x14ac:dyDescent="0.25">
      <c r="O23310" s="20" t="str">
        <f>IF(N23310="","",COUNTIFS(RawData[[Date ]],N23310,RawData[Month List],$Q$6,RawData[Tour/Site],$Q$2,RawData[[Picker ID ]],$Q$3,RawData[Checker ID],$Q$4,RawData[[Error Type ]],$Q$5))</f>
        <v/>
      </c>
    </row>
    <row r="23311" spans="15:15" x14ac:dyDescent="0.25">
      <c r="O23311" s="20" t="str">
        <f>IF(N23311="","",COUNTIFS(RawData[[Date ]],N23311,RawData[Month List],$Q$6,RawData[Tour/Site],$Q$2,RawData[[Picker ID ]],$Q$3,RawData[Checker ID],$Q$4,RawData[[Error Type ]],$Q$5))</f>
        <v/>
      </c>
    </row>
    <row r="23312" spans="15:15" x14ac:dyDescent="0.25">
      <c r="O23312" s="20" t="str">
        <f>IF(N23312="","",COUNTIFS(RawData[[Date ]],N23312,RawData[Month List],$Q$6,RawData[Tour/Site],$Q$2,RawData[[Picker ID ]],$Q$3,RawData[Checker ID],$Q$4,RawData[[Error Type ]],$Q$5))</f>
        <v/>
      </c>
    </row>
    <row r="23313" spans="15:15" x14ac:dyDescent="0.25">
      <c r="O23313" s="20" t="str">
        <f>IF(N23313="","",COUNTIFS(RawData[[Date ]],N23313,RawData[Month List],$Q$6,RawData[Tour/Site],$Q$2,RawData[[Picker ID ]],$Q$3,RawData[Checker ID],$Q$4,RawData[[Error Type ]],$Q$5))</f>
        <v/>
      </c>
    </row>
    <row r="23314" spans="15:15" x14ac:dyDescent="0.25">
      <c r="O23314" s="20" t="str">
        <f>IF(N23314="","",COUNTIFS(RawData[[Date ]],N23314,RawData[Month List],$Q$6,RawData[Tour/Site],$Q$2,RawData[[Picker ID ]],$Q$3,RawData[Checker ID],$Q$4,RawData[[Error Type ]],$Q$5))</f>
        <v/>
      </c>
    </row>
    <row r="23315" spans="15:15" x14ac:dyDescent="0.25">
      <c r="O23315" s="20" t="str">
        <f>IF(N23315="","",COUNTIFS(RawData[[Date ]],N23315,RawData[Month List],$Q$6,RawData[Tour/Site],$Q$2,RawData[[Picker ID ]],$Q$3,RawData[Checker ID],$Q$4,RawData[[Error Type ]],$Q$5))</f>
        <v/>
      </c>
    </row>
    <row r="23316" spans="15:15" x14ac:dyDescent="0.25">
      <c r="O23316" s="20" t="str">
        <f>IF(N23316="","",COUNTIFS(RawData[[Date ]],N23316,RawData[Month List],$Q$6,RawData[Tour/Site],$Q$2,RawData[[Picker ID ]],$Q$3,RawData[Checker ID],$Q$4,RawData[[Error Type ]],$Q$5))</f>
        <v/>
      </c>
    </row>
    <row r="23317" spans="15:15" x14ac:dyDescent="0.25">
      <c r="O23317" s="20" t="str">
        <f>IF(N23317="","",COUNTIFS(RawData[[Date ]],N23317,RawData[Month List],$Q$6,RawData[Tour/Site],$Q$2,RawData[[Picker ID ]],$Q$3,RawData[Checker ID],$Q$4,RawData[[Error Type ]],$Q$5))</f>
        <v/>
      </c>
    </row>
    <row r="23318" spans="15:15" x14ac:dyDescent="0.25">
      <c r="O23318" s="20" t="str">
        <f>IF(N23318="","",COUNTIFS(RawData[[Date ]],N23318,RawData[Month List],$Q$6,RawData[Tour/Site],$Q$2,RawData[[Picker ID ]],$Q$3,RawData[Checker ID],$Q$4,RawData[[Error Type ]],$Q$5))</f>
        <v/>
      </c>
    </row>
    <row r="23319" spans="15:15" x14ac:dyDescent="0.25">
      <c r="O23319" s="20" t="str">
        <f>IF(N23319="","",COUNTIFS(RawData[[Date ]],N23319,RawData[Month List],$Q$6,RawData[Tour/Site],$Q$2,RawData[[Picker ID ]],$Q$3,RawData[Checker ID],$Q$4,RawData[[Error Type ]],$Q$5))</f>
        <v/>
      </c>
    </row>
    <row r="23320" spans="15:15" x14ac:dyDescent="0.25">
      <c r="O23320" s="20" t="str">
        <f>IF(N23320="","",COUNTIFS(RawData[[Date ]],N23320,RawData[Month List],$Q$6,RawData[Tour/Site],$Q$2,RawData[[Picker ID ]],$Q$3,RawData[Checker ID],$Q$4,RawData[[Error Type ]],$Q$5))</f>
        <v/>
      </c>
    </row>
    <row r="23321" spans="15:15" x14ac:dyDescent="0.25">
      <c r="O23321" s="20" t="str">
        <f>IF(N23321="","",COUNTIFS(RawData[[Date ]],N23321,RawData[Month List],$Q$6,RawData[Tour/Site],$Q$2,RawData[[Picker ID ]],$Q$3,RawData[Checker ID],$Q$4,RawData[[Error Type ]],$Q$5))</f>
        <v/>
      </c>
    </row>
    <row r="23322" spans="15:15" x14ac:dyDescent="0.25">
      <c r="O23322" s="20" t="str">
        <f>IF(N23322="","",COUNTIFS(RawData[[Date ]],N23322,RawData[Month List],$Q$6,RawData[Tour/Site],$Q$2,RawData[[Picker ID ]],$Q$3,RawData[Checker ID],$Q$4,RawData[[Error Type ]],$Q$5))</f>
        <v/>
      </c>
    </row>
    <row r="23323" spans="15:15" x14ac:dyDescent="0.25">
      <c r="O23323" s="20" t="str">
        <f>IF(N23323="","",COUNTIFS(RawData[[Date ]],N23323,RawData[Month List],$Q$6,RawData[Tour/Site],$Q$2,RawData[[Picker ID ]],$Q$3,RawData[Checker ID],$Q$4,RawData[[Error Type ]],$Q$5))</f>
        <v/>
      </c>
    </row>
    <row r="23324" spans="15:15" x14ac:dyDescent="0.25">
      <c r="O23324" s="20" t="str">
        <f>IF(N23324="","",COUNTIFS(RawData[[Date ]],N23324,RawData[Month List],$Q$6,RawData[Tour/Site],$Q$2,RawData[[Picker ID ]],$Q$3,RawData[Checker ID],$Q$4,RawData[[Error Type ]],$Q$5))</f>
        <v/>
      </c>
    </row>
    <row r="23325" spans="15:15" x14ac:dyDescent="0.25">
      <c r="O23325" s="20" t="str">
        <f>IF(N23325="","",COUNTIFS(RawData[[Date ]],N23325,RawData[Month List],$Q$6,RawData[Tour/Site],$Q$2,RawData[[Picker ID ]],$Q$3,RawData[Checker ID],$Q$4,RawData[[Error Type ]],$Q$5))</f>
        <v/>
      </c>
    </row>
    <row r="23326" spans="15:15" x14ac:dyDescent="0.25">
      <c r="O23326" s="20" t="str">
        <f>IF(N23326="","",COUNTIFS(RawData[[Date ]],N23326,RawData[Month List],$Q$6,RawData[Tour/Site],$Q$2,RawData[[Picker ID ]],$Q$3,RawData[Checker ID],$Q$4,RawData[[Error Type ]],$Q$5))</f>
        <v/>
      </c>
    </row>
    <row r="23327" spans="15:15" x14ac:dyDescent="0.25">
      <c r="O23327" s="20" t="str">
        <f>IF(N23327="","",COUNTIFS(RawData[[Date ]],N23327,RawData[Month List],$Q$6,RawData[Tour/Site],$Q$2,RawData[[Picker ID ]],$Q$3,RawData[Checker ID],$Q$4,RawData[[Error Type ]],$Q$5))</f>
        <v/>
      </c>
    </row>
    <row r="23328" spans="15:15" x14ac:dyDescent="0.25">
      <c r="O23328" s="20" t="str">
        <f>IF(N23328="","",COUNTIFS(RawData[[Date ]],N23328,RawData[Month List],$Q$6,RawData[Tour/Site],$Q$2,RawData[[Picker ID ]],$Q$3,RawData[Checker ID],$Q$4,RawData[[Error Type ]],$Q$5))</f>
        <v/>
      </c>
    </row>
    <row r="23329" spans="15:15" x14ac:dyDescent="0.25">
      <c r="O23329" s="20" t="str">
        <f>IF(N23329="","",COUNTIFS(RawData[[Date ]],N23329,RawData[Month List],$Q$6,RawData[Tour/Site],$Q$2,RawData[[Picker ID ]],$Q$3,RawData[Checker ID],$Q$4,RawData[[Error Type ]],$Q$5))</f>
        <v/>
      </c>
    </row>
    <row r="23330" spans="15:15" x14ac:dyDescent="0.25">
      <c r="O23330" s="20" t="str">
        <f>IF(N23330="","",COUNTIFS(RawData[[Date ]],N23330,RawData[Month List],$Q$6,RawData[Tour/Site],$Q$2,RawData[[Picker ID ]],$Q$3,RawData[Checker ID],$Q$4,RawData[[Error Type ]],$Q$5))</f>
        <v/>
      </c>
    </row>
    <row r="23331" spans="15:15" x14ac:dyDescent="0.25">
      <c r="O23331" s="20" t="str">
        <f>IF(N23331="","",COUNTIFS(RawData[[Date ]],N23331,RawData[Month List],$Q$6,RawData[Tour/Site],$Q$2,RawData[[Picker ID ]],$Q$3,RawData[Checker ID],$Q$4,RawData[[Error Type ]],$Q$5))</f>
        <v/>
      </c>
    </row>
    <row r="23332" spans="15:15" x14ac:dyDescent="0.25">
      <c r="O23332" s="20" t="str">
        <f>IF(N23332="","",COUNTIFS(RawData[[Date ]],N23332,RawData[Month List],$Q$6,RawData[Tour/Site],$Q$2,RawData[[Picker ID ]],$Q$3,RawData[Checker ID],$Q$4,RawData[[Error Type ]],$Q$5))</f>
        <v/>
      </c>
    </row>
    <row r="23333" spans="15:15" x14ac:dyDescent="0.25">
      <c r="O23333" s="20" t="str">
        <f>IF(N23333="","",COUNTIFS(RawData[[Date ]],N23333,RawData[Month List],$Q$6,RawData[Tour/Site],$Q$2,RawData[[Picker ID ]],$Q$3,RawData[Checker ID],$Q$4,RawData[[Error Type ]],$Q$5))</f>
        <v/>
      </c>
    </row>
    <row r="23334" spans="15:15" x14ac:dyDescent="0.25">
      <c r="O23334" s="20" t="str">
        <f>IF(N23334="","",COUNTIFS(RawData[[Date ]],N23334,RawData[Month List],$Q$6,RawData[Tour/Site],$Q$2,RawData[[Picker ID ]],$Q$3,RawData[Checker ID],$Q$4,RawData[[Error Type ]],$Q$5))</f>
        <v/>
      </c>
    </row>
    <row r="23335" spans="15:15" x14ac:dyDescent="0.25">
      <c r="O23335" s="20" t="str">
        <f>IF(N23335="","",COUNTIFS(RawData[[Date ]],N23335,RawData[Month List],$Q$6,RawData[Tour/Site],$Q$2,RawData[[Picker ID ]],$Q$3,RawData[Checker ID],$Q$4,RawData[[Error Type ]],$Q$5))</f>
        <v/>
      </c>
    </row>
    <row r="23336" spans="15:15" x14ac:dyDescent="0.25">
      <c r="O23336" s="20" t="str">
        <f>IF(N23336="","",COUNTIFS(RawData[[Date ]],N23336,RawData[Month List],$Q$6,RawData[Tour/Site],$Q$2,RawData[[Picker ID ]],$Q$3,RawData[Checker ID],$Q$4,RawData[[Error Type ]],$Q$5))</f>
        <v/>
      </c>
    </row>
    <row r="23337" spans="15:15" x14ac:dyDescent="0.25">
      <c r="O23337" s="20" t="str">
        <f>IF(N23337="","",COUNTIFS(RawData[[Date ]],N23337,RawData[Month List],$Q$6,RawData[Tour/Site],$Q$2,RawData[[Picker ID ]],$Q$3,RawData[Checker ID],$Q$4,RawData[[Error Type ]],$Q$5))</f>
        <v/>
      </c>
    </row>
    <row r="23338" spans="15:15" x14ac:dyDescent="0.25">
      <c r="O23338" s="20" t="str">
        <f>IF(N23338="","",COUNTIFS(RawData[[Date ]],N23338,RawData[Month List],$Q$6,RawData[Tour/Site],$Q$2,RawData[[Picker ID ]],$Q$3,RawData[Checker ID],$Q$4,RawData[[Error Type ]],$Q$5))</f>
        <v/>
      </c>
    </row>
    <row r="23339" spans="15:15" x14ac:dyDescent="0.25">
      <c r="O23339" s="20" t="str">
        <f>IF(N23339="","",COUNTIFS(RawData[[Date ]],N23339,RawData[Month List],$Q$6,RawData[Tour/Site],$Q$2,RawData[[Picker ID ]],$Q$3,RawData[Checker ID],$Q$4,RawData[[Error Type ]],$Q$5))</f>
        <v/>
      </c>
    </row>
    <row r="23340" spans="15:15" x14ac:dyDescent="0.25">
      <c r="O23340" s="20" t="str">
        <f>IF(N23340="","",COUNTIFS(RawData[[Date ]],N23340,RawData[Month List],$Q$6,RawData[Tour/Site],$Q$2,RawData[[Picker ID ]],$Q$3,RawData[Checker ID],$Q$4,RawData[[Error Type ]],$Q$5))</f>
        <v/>
      </c>
    </row>
    <row r="23341" spans="15:15" x14ac:dyDescent="0.25">
      <c r="O23341" s="20" t="str">
        <f>IF(N23341="","",COUNTIFS(RawData[[Date ]],N23341,RawData[Month List],$Q$6,RawData[Tour/Site],$Q$2,RawData[[Picker ID ]],$Q$3,RawData[Checker ID],$Q$4,RawData[[Error Type ]],$Q$5))</f>
        <v/>
      </c>
    </row>
    <row r="23342" spans="15:15" x14ac:dyDescent="0.25">
      <c r="O23342" s="20" t="str">
        <f>IF(N23342="","",COUNTIFS(RawData[[Date ]],N23342,RawData[Month List],$Q$6,RawData[Tour/Site],$Q$2,RawData[[Picker ID ]],$Q$3,RawData[Checker ID],$Q$4,RawData[[Error Type ]],$Q$5))</f>
        <v/>
      </c>
    </row>
    <row r="23343" spans="15:15" x14ac:dyDescent="0.25">
      <c r="O23343" s="20" t="str">
        <f>IF(N23343="","",COUNTIFS(RawData[[Date ]],N23343,RawData[Month List],$Q$6,RawData[Tour/Site],$Q$2,RawData[[Picker ID ]],$Q$3,RawData[Checker ID],$Q$4,RawData[[Error Type ]],$Q$5))</f>
        <v/>
      </c>
    </row>
    <row r="23344" spans="15:15" x14ac:dyDescent="0.25">
      <c r="O23344" s="20" t="str">
        <f>IF(N23344="","",COUNTIFS(RawData[[Date ]],N23344,RawData[Month List],$Q$6,RawData[Tour/Site],$Q$2,RawData[[Picker ID ]],$Q$3,RawData[Checker ID],$Q$4,RawData[[Error Type ]],$Q$5))</f>
        <v/>
      </c>
    </row>
    <row r="23345" spans="15:15" x14ac:dyDescent="0.25">
      <c r="O23345" s="20" t="str">
        <f>IF(N23345="","",COUNTIFS(RawData[[Date ]],N23345,RawData[Month List],$Q$6,RawData[Tour/Site],$Q$2,RawData[[Picker ID ]],$Q$3,RawData[Checker ID],$Q$4,RawData[[Error Type ]],$Q$5))</f>
        <v/>
      </c>
    </row>
    <row r="23346" spans="15:15" x14ac:dyDescent="0.25">
      <c r="O23346" s="20" t="str">
        <f>IF(N23346="","",COUNTIFS(RawData[[Date ]],N23346,RawData[Month List],$Q$6,RawData[Tour/Site],$Q$2,RawData[[Picker ID ]],$Q$3,RawData[Checker ID],$Q$4,RawData[[Error Type ]],$Q$5))</f>
        <v/>
      </c>
    </row>
    <row r="23347" spans="15:15" x14ac:dyDescent="0.25">
      <c r="O23347" s="20" t="str">
        <f>IF(N23347="","",COUNTIFS(RawData[[Date ]],N23347,RawData[Month List],$Q$6,RawData[Tour/Site],$Q$2,RawData[[Picker ID ]],$Q$3,RawData[Checker ID],$Q$4,RawData[[Error Type ]],$Q$5))</f>
        <v/>
      </c>
    </row>
    <row r="23348" spans="15:15" x14ac:dyDescent="0.25">
      <c r="O23348" s="20" t="str">
        <f>IF(N23348="","",COUNTIFS(RawData[[Date ]],N23348,RawData[Month List],$Q$6,RawData[Tour/Site],$Q$2,RawData[[Picker ID ]],$Q$3,RawData[Checker ID],$Q$4,RawData[[Error Type ]],$Q$5))</f>
        <v/>
      </c>
    </row>
    <row r="23349" spans="15:15" x14ac:dyDescent="0.25">
      <c r="O23349" s="20" t="str">
        <f>IF(N23349="","",COUNTIFS(RawData[[Date ]],N23349,RawData[Month List],$Q$6,RawData[Tour/Site],$Q$2,RawData[[Picker ID ]],$Q$3,RawData[Checker ID],$Q$4,RawData[[Error Type ]],$Q$5))</f>
        <v/>
      </c>
    </row>
    <row r="23350" spans="15:15" x14ac:dyDescent="0.25">
      <c r="O23350" s="20" t="str">
        <f>IF(N23350="","",COUNTIFS(RawData[[Date ]],N23350,RawData[Month List],$Q$6,RawData[Tour/Site],$Q$2,RawData[[Picker ID ]],$Q$3,RawData[Checker ID],$Q$4,RawData[[Error Type ]],$Q$5))</f>
        <v/>
      </c>
    </row>
    <row r="23351" spans="15:15" x14ac:dyDescent="0.25">
      <c r="O23351" s="20" t="str">
        <f>IF(N23351="","",COUNTIFS(RawData[[Date ]],N23351,RawData[Month List],$Q$6,RawData[Tour/Site],$Q$2,RawData[[Picker ID ]],$Q$3,RawData[Checker ID],$Q$4,RawData[[Error Type ]],$Q$5))</f>
        <v/>
      </c>
    </row>
    <row r="23352" spans="15:15" x14ac:dyDescent="0.25">
      <c r="O23352" s="20" t="str">
        <f>IF(N23352="","",COUNTIFS(RawData[[Date ]],N23352,RawData[Month List],$Q$6,RawData[Tour/Site],$Q$2,RawData[[Picker ID ]],$Q$3,RawData[Checker ID],$Q$4,RawData[[Error Type ]],$Q$5))</f>
        <v/>
      </c>
    </row>
    <row r="23353" spans="15:15" x14ac:dyDescent="0.25">
      <c r="O23353" s="20" t="str">
        <f>IF(N23353="","",COUNTIFS(RawData[[Date ]],N23353,RawData[Month List],$Q$6,RawData[Tour/Site],$Q$2,RawData[[Picker ID ]],$Q$3,RawData[Checker ID],$Q$4,RawData[[Error Type ]],$Q$5))</f>
        <v/>
      </c>
    </row>
    <row r="23354" spans="15:15" x14ac:dyDescent="0.25">
      <c r="O23354" s="20" t="str">
        <f>IF(N23354="","",COUNTIFS(RawData[[Date ]],N23354,RawData[Month List],$Q$6,RawData[Tour/Site],$Q$2,RawData[[Picker ID ]],$Q$3,RawData[Checker ID],$Q$4,RawData[[Error Type ]],$Q$5))</f>
        <v/>
      </c>
    </row>
    <row r="23355" spans="15:15" x14ac:dyDescent="0.25">
      <c r="O23355" s="20" t="str">
        <f>IF(N23355="","",COUNTIFS(RawData[[Date ]],N23355,RawData[Month List],$Q$6,RawData[Tour/Site],$Q$2,RawData[[Picker ID ]],$Q$3,RawData[Checker ID],$Q$4,RawData[[Error Type ]],$Q$5))</f>
        <v/>
      </c>
    </row>
    <row r="23356" spans="15:15" x14ac:dyDescent="0.25">
      <c r="O23356" s="20" t="str">
        <f>IF(N23356="","",COUNTIFS(RawData[[Date ]],N23356,RawData[Month List],$Q$6,RawData[Tour/Site],$Q$2,RawData[[Picker ID ]],$Q$3,RawData[Checker ID],$Q$4,RawData[[Error Type ]],$Q$5))</f>
        <v/>
      </c>
    </row>
    <row r="23357" spans="15:15" x14ac:dyDescent="0.25">
      <c r="O23357" s="20" t="str">
        <f>IF(N23357="","",COUNTIFS(RawData[[Date ]],N23357,RawData[Month List],$Q$6,RawData[Tour/Site],$Q$2,RawData[[Picker ID ]],$Q$3,RawData[Checker ID],$Q$4,RawData[[Error Type ]],$Q$5))</f>
        <v/>
      </c>
    </row>
    <row r="23358" spans="15:15" x14ac:dyDescent="0.25">
      <c r="O23358" s="20" t="str">
        <f>IF(N23358="","",COUNTIFS(RawData[[Date ]],N23358,RawData[Month List],$Q$6,RawData[Tour/Site],$Q$2,RawData[[Picker ID ]],$Q$3,RawData[Checker ID],$Q$4,RawData[[Error Type ]],$Q$5))</f>
        <v/>
      </c>
    </row>
    <row r="23359" spans="15:15" x14ac:dyDescent="0.25">
      <c r="O23359" s="20" t="str">
        <f>IF(N23359="","",COUNTIFS(RawData[[Date ]],N23359,RawData[Month List],$Q$6,RawData[Tour/Site],$Q$2,RawData[[Picker ID ]],$Q$3,RawData[Checker ID],$Q$4,RawData[[Error Type ]],$Q$5))</f>
        <v/>
      </c>
    </row>
    <row r="23360" spans="15:15" x14ac:dyDescent="0.25">
      <c r="O23360" s="20" t="str">
        <f>IF(N23360="","",COUNTIFS(RawData[[Date ]],N23360,RawData[Month List],$Q$6,RawData[Tour/Site],$Q$2,RawData[[Picker ID ]],$Q$3,RawData[Checker ID],$Q$4,RawData[[Error Type ]],$Q$5))</f>
        <v/>
      </c>
    </row>
    <row r="23361" spans="15:15" x14ac:dyDescent="0.25">
      <c r="O23361" s="20" t="str">
        <f>IF(N23361="","",COUNTIFS(RawData[[Date ]],N23361,RawData[Month List],$Q$6,RawData[Tour/Site],$Q$2,RawData[[Picker ID ]],$Q$3,RawData[Checker ID],$Q$4,RawData[[Error Type ]],$Q$5))</f>
        <v/>
      </c>
    </row>
    <row r="23362" spans="15:15" x14ac:dyDescent="0.25">
      <c r="O23362" s="20" t="str">
        <f>IF(N23362="","",COUNTIFS(RawData[[Date ]],N23362,RawData[Month List],$Q$6,RawData[Tour/Site],$Q$2,RawData[[Picker ID ]],$Q$3,RawData[Checker ID],$Q$4,RawData[[Error Type ]],$Q$5))</f>
        <v/>
      </c>
    </row>
    <row r="23363" spans="15:15" x14ac:dyDescent="0.25">
      <c r="O23363" s="20" t="str">
        <f>IF(N23363="","",COUNTIFS(RawData[[Date ]],N23363,RawData[Month List],$Q$6,RawData[Tour/Site],$Q$2,RawData[[Picker ID ]],$Q$3,RawData[Checker ID],$Q$4,RawData[[Error Type ]],$Q$5))</f>
        <v/>
      </c>
    </row>
    <row r="23364" spans="15:15" x14ac:dyDescent="0.25">
      <c r="O23364" s="20" t="str">
        <f>IF(N23364="","",COUNTIFS(RawData[[Date ]],N23364,RawData[Month List],$Q$6,RawData[Tour/Site],$Q$2,RawData[[Picker ID ]],$Q$3,RawData[Checker ID],$Q$4,RawData[[Error Type ]],$Q$5))</f>
        <v/>
      </c>
    </row>
    <row r="23365" spans="15:15" x14ac:dyDescent="0.25">
      <c r="O23365" s="20" t="str">
        <f>IF(N23365="","",COUNTIFS(RawData[[Date ]],N23365,RawData[Month List],$Q$6,RawData[Tour/Site],$Q$2,RawData[[Picker ID ]],$Q$3,RawData[Checker ID],$Q$4,RawData[[Error Type ]],$Q$5))</f>
        <v/>
      </c>
    </row>
    <row r="23366" spans="15:15" x14ac:dyDescent="0.25">
      <c r="O23366" s="20" t="str">
        <f>IF(N23366="","",COUNTIFS(RawData[[Date ]],N23366,RawData[Month List],$Q$6,RawData[Tour/Site],$Q$2,RawData[[Picker ID ]],$Q$3,RawData[Checker ID],$Q$4,RawData[[Error Type ]],$Q$5))</f>
        <v/>
      </c>
    </row>
    <row r="23367" spans="15:15" x14ac:dyDescent="0.25">
      <c r="O23367" s="20" t="str">
        <f>IF(N23367="","",COUNTIFS(RawData[[Date ]],N23367,RawData[Month List],$Q$6,RawData[Tour/Site],$Q$2,RawData[[Picker ID ]],$Q$3,RawData[Checker ID],$Q$4,RawData[[Error Type ]],$Q$5))</f>
        <v/>
      </c>
    </row>
    <row r="23368" spans="15:15" x14ac:dyDescent="0.25">
      <c r="O23368" s="20" t="str">
        <f>IF(N23368="","",COUNTIFS(RawData[[Date ]],N23368,RawData[Month List],$Q$6,RawData[Tour/Site],$Q$2,RawData[[Picker ID ]],$Q$3,RawData[Checker ID],$Q$4,RawData[[Error Type ]],$Q$5))</f>
        <v/>
      </c>
    </row>
    <row r="23369" spans="15:15" x14ac:dyDescent="0.25">
      <c r="O23369" s="20" t="str">
        <f>IF(N23369="","",COUNTIFS(RawData[[Date ]],N23369,RawData[Month List],$Q$6,RawData[Tour/Site],$Q$2,RawData[[Picker ID ]],$Q$3,RawData[Checker ID],$Q$4,RawData[[Error Type ]],$Q$5))</f>
        <v/>
      </c>
    </row>
    <row r="23370" spans="15:15" x14ac:dyDescent="0.25">
      <c r="O23370" s="20" t="str">
        <f>IF(N23370="","",COUNTIFS(RawData[[Date ]],N23370,RawData[Month List],$Q$6,RawData[Tour/Site],$Q$2,RawData[[Picker ID ]],$Q$3,RawData[Checker ID],$Q$4,RawData[[Error Type ]],$Q$5))</f>
        <v/>
      </c>
    </row>
    <row r="23371" spans="15:15" x14ac:dyDescent="0.25">
      <c r="O23371" s="20" t="str">
        <f>IF(N23371="","",COUNTIFS(RawData[[Date ]],N23371,RawData[Month List],$Q$6,RawData[Tour/Site],$Q$2,RawData[[Picker ID ]],$Q$3,RawData[Checker ID],$Q$4,RawData[[Error Type ]],$Q$5))</f>
        <v/>
      </c>
    </row>
    <row r="23372" spans="15:15" x14ac:dyDescent="0.25">
      <c r="O23372" s="20" t="str">
        <f>IF(N23372="","",COUNTIFS(RawData[[Date ]],N23372,RawData[Month List],$Q$6,RawData[Tour/Site],$Q$2,RawData[[Picker ID ]],$Q$3,RawData[Checker ID],$Q$4,RawData[[Error Type ]],$Q$5))</f>
        <v/>
      </c>
    </row>
    <row r="23373" spans="15:15" x14ac:dyDescent="0.25">
      <c r="O23373" s="20" t="str">
        <f>IF(N23373="","",COUNTIFS(RawData[[Date ]],N23373,RawData[Month List],$Q$6,RawData[Tour/Site],$Q$2,RawData[[Picker ID ]],$Q$3,RawData[Checker ID],$Q$4,RawData[[Error Type ]],$Q$5))</f>
        <v/>
      </c>
    </row>
    <row r="23374" spans="15:15" x14ac:dyDescent="0.25">
      <c r="O23374" s="20" t="str">
        <f>IF(N23374="","",COUNTIFS(RawData[[Date ]],N23374,RawData[Month List],$Q$6,RawData[Tour/Site],$Q$2,RawData[[Picker ID ]],$Q$3,RawData[Checker ID],$Q$4,RawData[[Error Type ]],$Q$5))</f>
        <v/>
      </c>
    </row>
    <row r="23375" spans="15:15" x14ac:dyDescent="0.25">
      <c r="O23375" s="20" t="str">
        <f>IF(N23375="","",COUNTIFS(RawData[[Date ]],N23375,RawData[Month List],$Q$6,RawData[Tour/Site],$Q$2,RawData[[Picker ID ]],$Q$3,RawData[Checker ID],$Q$4,RawData[[Error Type ]],$Q$5))</f>
        <v/>
      </c>
    </row>
    <row r="23376" spans="15:15" x14ac:dyDescent="0.25">
      <c r="O23376" s="20" t="str">
        <f>IF(N23376="","",COUNTIFS(RawData[[Date ]],N23376,RawData[Month List],$Q$6,RawData[Tour/Site],$Q$2,RawData[[Picker ID ]],$Q$3,RawData[Checker ID],$Q$4,RawData[[Error Type ]],$Q$5))</f>
        <v/>
      </c>
    </row>
    <row r="23377" spans="15:15" x14ac:dyDescent="0.25">
      <c r="O23377" s="20" t="str">
        <f>IF(N23377="","",COUNTIFS(RawData[[Date ]],N23377,RawData[Month List],$Q$6,RawData[Tour/Site],$Q$2,RawData[[Picker ID ]],$Q$3,RawData[Checker ID],$Q$4,RawData[[Error Type ]],$Q$5))</f>
        <v/>
      </c>
    </row>
    <row r="23378" spans="15:15" x14ac:dyDescent="0.25">
      <c r="O23378" s="20" t="str">
        <f>IF(N23378="","",COUNTIFS(RawData[[Date ]],N23378,RawData[Month List],$Q$6,RawData[Tour/Site],$Q$2,RawData[[Picker ID ]],$Q$3,RawData[Checker ID],$Q$4,RawData[[Error Type ]],$Q$5))</f>
        <v/>
      </c>
    </row>
    <row r="23379" spans="15:15" x14ac:dyDescent="0.25">
      <c r="O23379" s="20" t="str">
        <f>IF(N23379="","",COUNTIFS(RawData[[Date ]],N23379,RawData[Month List],$Q$6,RawData[Tour/Site],$Q$2,RawData[[Picker ID ]],$Q$3,RawData[Checker ID],$Q$4,RawData[[Error Type ]],$Q$5))</f>
        <v/>
      </c>
    </row>
    <row r="23380" spans="15:15" x14ac:dyDescent="0.25">
      <c r="O23380" s="20" t="str">
        <f>IF(N23380="","",COUNTIFS(RawData[[Date ]],N23380,RawData[Month List],$Q$6,RawData[Tour/Site],$Q$2,RawData[[Picker ID ]],$Q$3,RawData[Checker ID],$Q$4,RawData[[Error Type ]],$Q$5))</f>
        <v/>
      </c>
    </row>
    <row r="23381" spans="15:15" x14ac:dyDescent="0.25">
      <c r="O23381" s="20" t="str">
        <f>IF(N23381="","",COUNTIFS(RawData[[Date ]],N23381,RawData[Month List],$Q$6,RawData[Tour/Site],$Q$2,RawData[[Picker ID ]],$Q$3,RawData[Checker ID],$Q$4,RawData[[Error Type ]],$Q$5))</f>
        <v/>
      </c>
    </row>
    <row r="23382" spans="15:15" x14ac:dyDescent="0.25">
      <c r="O23382" s="20" t="str">
        <f>IF(N23382="","",COUNTIFS(RawData[[Date ]],N23382,RawData[Month List],$Q$6,RawData[Tour/Site],$Q$2,RawData[[Picker ID ]],$Q$3,RawData[Checker ID],$Q$4,RawData[[Error Type ]],$Q$5))</f>
        <v/>
      </c>
    </row>
    <row r="23383" spans="15:15" x14ac:dyDescent="0.25">
      <c r="O23383" s="20" t="str">
        <f>IF(N23383="","",COUNTIFS(RawData[[Date ]],N23383,RawData[Month List],$Q$6,RawData[Tour/Site],$Q$2,RawData[[Picker ID ]],$Q$3,RawData[Checker ID],$Q$4,RawData[[Error Type ]],$Q$5))</f>
        <v/>
      </c>
    </row>
    <row r="23384" spans="15:15" x14ac:dyDescent="0.25">
      <c r="O23384" s="20" t="str">
        <f>IF(N23384="","",COUNTIFS(RawData[[Date ]],N23384,RawData[Month List],$Q$6,RawData[Tour/Site],$Q$2,RawData[[Picker ID ]],$Q$3,RawData[Checker ID],$Q$4,RawData[[Error Type ]],$Q$5))</f>
        <v/>
      </c>
    </row>
    <row r="23385" spans="15:15" x14ac:dyDescent="0.25">
      <c r="O23385" s="20" t="str">
        <f>IF(N23385="","",COUNTIFS(RawData[[Date ]],N23385,RawData[Month List],$Q$6,RawData[Tour/Site],$Q$2,RawData[[Picker ID ]],$Q$3,RawData[Checker ID],$Q$4,RawData[[Error Type ]],$Q$5))</f>
        <v/>
      </c>
    </row>
    <row r="23386" spans="15:15" x14ac:dyDescent="0.25">
      <c r="O23386" s="20" t="str">
        <f>IF(N23386="","",COUNTIFS(RawData[[Date ]],N23386,RawData[Month List],$Q$6,RawData[Tour/Site],$Q$2,RawData[[Picker ID ]],$Q$3,RawData[Checker ID],$Q$4,RawData[[Error Type ]],$Q$5))</f>
        <v/>
      </c>
    </row>
    <row r="23387" spans="15:15" x14ac:dyDescent="0.25">
      <c r="O23387" s="20" t="str">
        <f>IF(N23387="","",COUNTIFS(RawData[[Date ]],N23387,RawData[Month List],$Q$6,RawData[Tour/Site],$Q$2,RawData[[Picker ID ]],$Q$3,RawData[Checker ID],$Q$4,RawData[[Error Type ]],$Q$5))</f>
        <v/>
      </c>
    </row>
    <row r="23388" spans="15:15" x14ac:dyDescent="0.25">
      <c r="O23388" s="20" t="str">
        <f>IF(N23388="","",COUNTIFS(RawData[[Date ]],N23388,RawData[Month List],$Q$6,RawData[Tour/Site],$Q$2,RawData[[Picker ID ]],$Q$3,RawData[Checker ID],$Q$4,RawData[[Error Type ]],$Q$5))</f>
        <v/>
      </c>
    </row>
    <row r="23389" spans="15:15" x14ac:dyDescent="0.25">
      <c r="O23389" s="20" t="str">
        <f>IF(N23389="","",COUNTIFS(RawData[[Date ]],N23389,RawData[Month List],$Q$6,RawData[Tour/Site],$Q$2,RawData[[Picker ID ]],$Q$3,RawData[Checker ID],$Q$4,RawData[[Error Type ]],$Q$5))</f>
        <v/>
      </c>
    </row>
    <row r="23390" spans="15:15" x14ac:dyDescent="0.25">
      <c r="O23390" s="20" t="str">
        <f>IF(N23390="","",COUNTIFS(RawData[[Date ]],N23390,RawData[Month List],$Q$6,RawData[Tour/Site],$Q$2,RawData[[Picker ID ]],$Q$3,RawData[Checker ID],$Q$4,RawData[[Error Type ]],$Q$5))</f>
        <v/>
      </c>
    </row>
    <row r="23391" spans="15:15" x14ac:dyDescent="0.25">
      <c r="O23391" s="20" t="str">
        <f>IF(N23391="","",COUNTIFS(RawData[[Date ]],N23391,RawData[Month List],$Q$6,RawData[Tour/Site],$Q$2,RawData[[Picker ID ]],$Q$3,RawData[Checker ID],$Q$4,RawData[[Error Type ]],$Q$5))</f>
        <v/>
      </c>
    </row>
    <row r="23392" spans="15:15" x14ac:dyDescent="0.25">
      <c r="O23392" s="20" t="str">
        <f>IF(N23392="","",COUNTIFS(RawData[[Date ]],N23392,RawData[Month List],$Q$6,RawData[Tour/Site],$Q$2,RawData[[Picker ID ]],$Q$3,RawData[Checker ID],$Q$4,RawData[[Error Type ]],$Q$5))</f>
        <v/>
      </c>
    </row>
    <row r="23393" spans="15:15" x14ac:dyDescent="0.25">
      <c r="O23393" s="20" t="str">
        <f>IF(N23393="","",COUNTIFS(RawData[[Date ]],N23393,RawData[Month List],$Q$6,RawData[Tour/Site],$Q$2,RawData[[Picker ID ]],$Q$3,RawData[Checker ID],$Q$4,RawData[[Error Type ]],$Q$5))</f>
        <v/>
      </c>
    </row>
    <row r="23394" spans="15:15" x14ac:dyDescent="0.25">
      <c r="O23394" s="20" t="str">
        <f>IF(N23394="","",COUNTIFS(RawData[[Date ]],N23394,RawData[Month List],$Q$6,RawData[Tour/Site],$Q$2,RawData[[Picker ID ]],$Q$3,RawData[Checker ID],$Q$4,RawData[[Error Type ]],$Q$5))</f>
        <v/>
      </c>
    </row>
    <row r="23395" spans="15:15" x14ac:dyDescent="0.25">
      <c r="O23395" s="20" t="str">
        <f>IF(N23395="","",COUNTIFS(RawData[[Date ]],N23395,RawData[Month List],$Q$6,RawData[Tour/Site],$Q$2,RawData[[Picker ID ]],$Q$3,RawData[Checker ID],$Q$4,RawData[[Error Type ]],$Q$5))</f>
        <v/>
      </c>
    </row>
    <row r="23396" spans="15:15" x14ac:dyDescent="0.25">
      <c r="O23396" s="20" t="str">
        <f>IF(N23396="","",COUNTIFS(RawData[[Date ]],N23396,RawData[Month List],$Q$6,RawData[Tour/Site],$Q$2,RawData[[Picker ID ]],$Q$3,RawData[Checker ID],$Q$4,RawData[[Error Type ]],$Q$5))</f>
        <v/>
      </c>
    </row>
    <row r="23397" spans="15:15" x14ac:dyDescent="0.25">
      <c r="O23397" s="20" t="str">
        <f>IF(N23397="","",COUNTIFS(RawData[[Date ]],N23397,RawData[Month List],$Q$6,RawData[Tour/Site],$Q$2,RawData[[Picker ID ]],$Q$3,RawData[Checker ID],$Q$4,RawData[[Error Type ]],$Q$5))</f>
        <v/>
      </c>
    </row>
    <row r="23398" spans="15:15" x14ac:dyDescent="0.25">
      <c r="O23398" s="20" t="str">
        <f>IF(N23398="","",COUNTIFS(RawData[[Date ]],N23398,RawData[Month List],$Q$6,RawData[Tour/Site],$Q$2,RawData[[Picker ID ]],$Q$3,RawData[Checker ID],$Q$4,RawData[[Error Type ]],$Q$5))</f>
        <v/>
      </c>
    </row>
    <row r="23399" spans="15:15" x14ac:dyDescent="0.25">
      <c r="O23399" s="20" t="str">
        <f>IF(N23399="","",COUNTIFS(RawData[[Date ]],N23399,RawData[Month List],$Q$6,RawData[Tour/Site],$Q$2,RawData[[Picker ID ]],$Q$3,RawData[Checker ID],$Q$4,RawData[[Error Type ]],$Q$5))</f>
        <v/>
      </c>
    </row>
    <row r="23400" spans="15:15" x14ac:dyDescent="0.25">
      <c r="O23400" s="20" t="str">
        <f>IF(N23400="","",COUNTIFS(RawData[[Date ]],N23400,RawData[Month List],$Q$6,RawData[Tour/Site],$Q$2,RawData[[Picker ID ]],$Q$3,RawData[Checker ID],$Q$4,RawData[[Error Type ]],$Q$5))</f>
        <v/>
      </c>
    </row>
    <row r="23401" spans="15:15" x14ac:dyDescent="0.25">
      <c r="O23401" s="20" t="str">
        <f>IF(N23401="","",COUNTIFS(RawData[[Date ]],N23401,RawData[Month List],$Q$6,RawData[Tour/Site],$Q$2,RawData[[Picker ID ]],$Q$3,RawData[Checker ID],$Q$4,RawData[[Error Type ]],$Q$5))</f>
        <v/>
      </c>
    </row>
    <row r="23402" spans="15:15" x14ac:dyDescent="0.25">
      <c r="O23402" s="20" t="str">
        <f>IF(N23402="","",COUNTIFS(RawData[[Date ]],N23402,RawData[Month List],$Q$6,RawData[Tour/Site],$Q$2,RawData[[Picker ID ]],$Q$3,RawData[Checker ID],$Q$4,RawData[[Error Type ]],$Q$5))</f>
        <v/>
      </c>
    </row>
    <row r="23403" spans="15:15" x14ac:dyDescent="0.25">
      <c r="O23403" s="20" t="str">
        <f>IF(N23403="","",COUNTIFS(RawData[[Date ]],N23403,RawData[Month List],$Q$6,RawData[Tour/Site],$Q$2,RawData[[Picker ID ]],$Q$3,RawData[Checker ID],$Q$4,RawData[[Error Type ]],$Q$5))</f>
        <v/>
      </c>
    </row>
    <row r="23404" spans="15:15" x14ac:dyDescent="0.25">
      <c r="O23404" s="20" t="str">
        <f>IF(N23404="","",COUNTIFS(RawData[[Date ]],N23404,RawData[Month List],$Q$6,RawData[Tour/Site],$Q$2,RawData[[Picker ID ]],$Q$3,RawData[Checker ID],$Q$4,RawData[[Error Type ]],$Q$5))</f>
        <v/>
      </c>
    </row>
    <row r="23405" spans="15:15" x14ac:dyDescent="0.25">
      <c r="O23405" s="20" t="str">
        <f>IF(N23405="","",COUNTIFS(RawData[[Date ]],N23405,RawData[Month List],$Q$6,RawData[Tour/Site],$Q$2,RawData[[Picker ID ]],$Q$3,RawData[Checker ID],$Q$4,RawData[[Error Type ]],$Q$5))</f>
        <v/>
      </c>
    </row>
    <row r="23406" spans="15:15" x14ac:dyDescent="0.25">
      <c r="O23406" s="20" t="str">
        <f>IF(N23406="","",COUNTIFS(RawData[[Date ]],N23406,RawData[Month List],$Q$6,RawData[Tour/Site],$Q$2,RawData[[Picker ID ]],$Q$3,RawData[Checker ID],$Q$4,RawData[[Error Type ]],$Q$5))</f>
        <v/>
      </c>
    </row>
    <row r="23407" spans="15:15" x14ac:dyDescent="0.25">
      <c r="O23407" s="20" t="str">
        <f>IF(N23407="","",COUNTIFS(RawData[[Date ]],N23407,RawData[Month List],$Q$6,RawData[Tour/Site],$Q$2,RawData[[Picker ID ]],$Q$3,RawData[Checker ID],$Q$4,RawData[[Error Type ]],$Q$5))</f>
        <v/>
      </c>
    </row>
    <row r="23408" spans="15:15" x14ac:dyDescent="0.25">
      <c r="O23408" s="20" t="str">
        <f>IF(N23408="","",COUNTIFS(RawData[[Date ]],N23408,RawData[Month List],$Q$6,RawData[Tour/Site],$Q$2,RawData[[Picker ID ]],$Q$3,RawData[Checker ID],$Q$4,RawData[[Error Type ]],$Q$5))</f>
        <v/>
      </c>
    </row>
    <row r="23409" spans="15:15" x14ac:dyDescent="0.25">
      <c r="O23409" s="20" t="str">
        <f>IF(N23409="","",COUNTIFS(RawData[[Date ]],N23409,RawData[Month List],$Q$6,RawData[Tour/Site],$Q$2,RawData[[Picker ID ]],$Q$3,RawData[Checker ID],$Q$4,RawData[[Error Type ]],$Q$5))</f>
        <v/>
      </c>
    </row>
    <row r="23410" spans="15:15" x14ac:dyDescent="0.25">
      <c r="O23410" s="20" t="str">
        <f>IF(N23410="","",COUNTIFS(RawData[[Date ]],N23410,RawData[Month List],$Q$6,RawData[Tour/Site],$Q$2,RawData[[Picker ID ]],$Q$3,RawData[Checker ID],$Q$4,RawData[[Error Type ]],$Q$5))</f>
        <v/>
      </c>
    </row>
    <row r="23411" spans="15:15" x14ac:dyDescent="0.25">
      <c r="O23411" s="20" t="str">
        <f>IF(N23411="","",COUNTIFS(RawData[[Date ]],N23411,RawData[Month List],$Q$6,RawData[Tour/Site],$Q$2,RawData[[Picker ID ]],$Q$3,RawData[Checker ID],$Q$4,RawData[[Error Type ]],$Q$5))</f>
        <v/>
      </c>
    </row>
    <row r="23412" spans="15:15" x14ac:dyDescent="0.25">
      <c r="O23412" s="20" t="str">
        <f>IF(N23412="","",COUNTIFS(RawData[[Date ]],N23412,RawData[Month List],$Q$6,RawData[Tour/Site],$Q$2,RawData[[Picker ID ]],$Q$3,RawData[Checker ID],$Q$4,RawData[[Error Type ]],$Q$5))</f>
        <v/>
      </c>
    </row>
    <row r="23413" spans="15:15" x14ac:dyDescent="0.25">
      <c r="O23413" s="20" t="str">
        <f>IF(N23413="","",COUNTIFS(RawData[[Date ]],N23413,RawData[Month List],$Q$6,RawData[Tour/Site],$Q$2,RawData[[Picker ID ]],$Q$3,RawData[Checker ID],$Q$4,RawData[[Error Type ]],$Q$5))</f>
        <v/>
      </c>
    </row>
    <row r="23414" spans="15:15" x14ac:dyDescent="0.25">
      <c r="O23414" s="20" t="str">
        <f>IF(N23414="","",COUNTIFS(RawData[[Date ]],N23414,RawData[Month List],$Q$6,RawData[Tour/Site],$Q$2,RawData[[Picker ID ]],$Q$3,RawData[Checker ID],$Q$4,RawData[[Error Type ]],$Q$5))</f>
        <v/>
      </c>
    </row>
    <row r="23415" spans="15:15" x14ac:dyDescent="0.25">
      <c r="O23415" s="20" t="str">
        <f>IF(N23415="","",COUNTIFS(RawData[[Date ]],N23415,RawData[Month List],$Q$6,RawData[Tour/Site],$Q$2,RawData[[Picker ID ]],$Q$3,RawData[Checker ID],$Q$4,RawData[[Error Type ]],$Q$5))</f>
        <v/>
      </c>
    </row>
    <row r="23416" spans="15:15" x14ac:dyDescent="0.25">
      <c r="O23416" s="20" t="str">
        <f>IF(N23416="","",COUNTIFS(RawData[[Date ]],N23416,RawData[Month List],$Q$6,RawData[Tour/Site],$Q$2,RawData[[Picker ID ]],$Q$3,RawData[Checker ID],$Q$4,RawData[[Error Type ]],$Q$5))</f>
        <v/>
      </c>
    </row>
    <row r="23417" spans="15:15" x14ac:dyDescent="0.25">
      <c r="O23417" s="20" t="str">
        <f>IF(N23417="","",COUNTIFS(RawData[[Date ]],N23417,RawData[Month List],$Q$6,RawData[Tour/Site],$Q$2,RawData[[Picker ID ]],$Q$3,RawData[Checker ID],$Q$4,RawData[[Error Type ]],$Q$5))</f>
        <v/>
      </c>
    </row>
    <row r="23418" spans="15:15" x14ac:dyDescent="0.25">
      <c r="O23418" s="20" t="str">
        <f>IF(N23418="","",COUNTIFS(RawData[[Date ]],N23418,RawData[Month List],$Q$6,RawData[Tour/Site],$Q$2,RawData[[Picker ID ]],$Q$3,RawData[Checker ID],$Q$4,RawData[[Error Type ]],$Q$5))</f>
        <v/>
      </c>
    </row>
    <row r="23419" spans="15:15" x14ac:dyDescent="0.25">
      <c r="O23419" s="20" t="str">
        <f>IF(N23419="","",COUNTIFS(RawData[[Date ]],N23419,RawData[Month List],$Q$6,RawData[Tour/Site],$Q$2,RawData[[Picker ID ]],$Q$3,RawData[Checker ID],$Q$4,RawData[[Error Type ]],$Q$5))</f>
        <v/>
      </c>
    </row>
    <row r="23420" spans="15:15" x14ac:dyDescent="0.25">
      <c r="O23420" s="20" t="str">
        <f>IF(N23420="","",COUNTIFS(RawData[[Date ]],N23420,RawData[Month List],$Q$6,RawData[Tour/Site],$Q$2,RawData[[Picker ID ]],$Q$3,RawData[Checker ID],$Q$4,RawData[[Error Type ]],$Q$5))</f>
        <v/>
      </c>
    </row>
    <row r="23421" spans="15:15" x14ac:dyDescent="0.25">
      <c r="O23421" s="20" t="str">
        <f>IF(N23421="","",COUNTIFS(RawData[[Date ]],N23421,RawData[Month List],$Q$6,RawData[Tour/Site],$Q$2,RawData[[Picker ID ]],$Q$3,RawData[Checker ID],$Q$4,RawData[[Error Type ]],$Q$5))</f>
        <v/>
      </c>
    </row>
    <row r="23422" spans="15:15" x14ac:dyDescent="0.25">
      <c r="O23422" s="20" t="str">
        <f>IF(N23422="","",COUNTIFS(RawData[[Date ]],N23422,RawData[Month List],$Q$6,RawData[Tour/Site],$Q$2,RawData[[Picker ID ]],$Q$3,RawData[Checker ID],$Q$4,RawData[[Error Type ]],$Q$5))</f>
        <v/>
      </c>
    </row>
    <row r="23423" spans="15:15" x14ac:dyDescent="0.25">
      <c r="O23423" s="20" t="str">
        <f>IF(N23423="","",COUNTIFS(RawData[[Date ]],N23423,RawData[Month List],$Q$6,RawData[Tour/Site],$Q$2,RawData[[Picker ID ]],$Q$3,RawData[Checker ID],$Q$4,RawData[[Error Type ]],$Q$5))</f>
        <v/>
      </c>
    </row>
    <row r="23424" spans="15:15" x14ac:dyDescent="0.25">
      <c r="O23424" s="20" t="str">
        <f>IF(N23424="","",COUNTIFS(RawData[[Date ]],N23424,RawData[Month List],$Q$6,RawData[Tour/Site],$Q$2,RawData[[Picker ID ]],$Q$3,RawData[Checker ID],$Q$4,RawData[[Error Type ]],$Q$5))</f>
        <v/>
      </c>
    </row>
    <row r="23425" spans="15:15" x14ac:dyDescent="0.25">
      <c r="O23425" s="20" t="str">
        <f>IF(N23425="","",COUNTIFS(RawData[[Date ]],N23425,RawData[Month List],$Q$6,RawData[Tour/Site],$Q$2,RawData[[Picker ID ]],$Q$3,RawData[Checker ID],$Q$4,RawData[[Error Type ]],$Q$5))</f>
        <v/>
      </c>
    </row>
    <row r="23426" spans="15:15" x14ac:dyDescent="0.25">
      <c r="O23426" s="20" t="str">
        <f>IF(N23426="","",COUNTIFS(RawData[[Date ]],N23426,RawData[Month List],$Q$6,RawData[Tour/Site],$Q$2,RawData[[Picker ID ]],$Q$3,RawData[Checker ID],$Q$4,RawData[[Error Type ]],$Q$5))</f>
        <v/>
      </c>
    </row>
    <row r="23427" spans="15:15" x14ac:dyDescent="0.25">
      <c r="O23427" s="20" t="str">
        <f>IF(N23427="","",COUNTIFS(RawData[[Date ]],N23427,RawData[Month List],$Q$6,RawData[Tour/Site],$Q$2,RawData[[Picker ID ]],$Q$3,RawData[Checker ID],$Q$4,RawData[[Error Type ]],$Q$5))</f>
        <v/>
      </c>
    </row>
    <row r="23428" spans="15:15" x14ac:dyDescent="0.25">
      <c r="O23428" s="20" t="str">
        <f>IF(N23428="","",COUNTIFS(RawData[[Date ]],N23428,RawData[Month List],$Q$6,RawData[Tour/Site],$Q$2,RawData[[Picker ID ]],$Q$3,RawData[Checker ID],$Q$4,RawData[[Error Type ]],$Q$5))</f>
        <v/>
      </c>
    </row>
    <row r="23429" spans="15:15" x14ac:dyDescent="0.25">
      <c r="O23429" s="20" t="str">
        <f>IF(N23429="","",COUNTIFS(RawData[[Date ]],N23429,RawData[Month List],$Q$6,RawData[Tour/Site],$Q$2,RawData[[Picker ID ]],$Q$3,RawData[Checker ID],$Q$4,RawData[[Error Type ]],$Q$5))</f>
        <v/>
      </c>
    </row>
    <row r="23430" spans="15:15" x14ac:dyDescent="0.25">
      <c r="O23430" s="20" t="str">
        <f>IF(N23430="","",COUNTIFS(RawData[[Date ]],N23430,RawData[Month List],$Q$6,RawData[Tour/Site],$Q$2,RawData[[Picker ID ]],$Q$3,RawData[Checker ID],$Q$4,RawData[[Error Type ]],$Q$5))</f>
        <v/>
      </c>
    </row>
    <row r="23431" spans="15:15" x14ac:dyDescent="0.25">
      <c r="O23431" s="20" t="str">
        <f>IF(N23431="","",COUNTIFS(RawData[[Date ]],N23431,RawData[Month List],$Q$6,RawData[Tour/Site],$Q$2,RawData[[Picker ID ]],$Q$3,RawData[Checker ID],$Q$4,RawData[[Error Type ]],$Q$5))</f>
        <v/>
      </c>
    </row>
    <row r="23432" spans="15:15" x14ac:dyDescent="0.25">
      <c r="O23432" s="20" t="str">
        <f>IF(N23432="","",COUNTIFS(RawData[[Date ]],N23432,RawData[Month List],$Q$6,RawData[Tour/Site],$Q$2,RawData[[Picker ID ]],$Q$3,RawData[Checker ID],$Q$4,RawData[[Error Type ]],$Q$5))</f>
        <v/>
      </c>
    </row>
    <row r="23433" spans="15:15" x14ac:dyDescent="0.25">
      <c r="O23433" s="20" t="str">
        <f>IF(N23433="","",COUNTIFS(RawData[[Date ]],N23433,RawData[Month List],$Q$6,RawData[Tour/Site],$Q$2,RawData[[Picker ID ]],$Q$3,RawData[Checker ID],$Q$4,RawData[[Error Type ]],$Q$5))</f>
        <v/>
      </c>
    </row>
    <row r="23434" spans="15:15" x14ac:dyDescent="0.25">
      <c r="O23434" s="20" t="str">
        <f>IF(N23434="","",COUNTIFS(RawData[[Date ]],N23434,RawData[Month List],$Q$6,RawData[Tour/Site],$Q$2,RawData[[Picker ID ]],$Q$3,RawData[Checker ID],$Q$4,RawData[[Error Type ]],$Q$5))</f>
        <v/>
      </c>
    </row>
    <row r="23435" spans="15:15" x14ac:dyDescent="0.25">
      <c r="O23435" s="20" t="str">
        <f>IF(N23435="","",COUNTIFS(RawData[[Date ]],N23435,RawData[Month List],$Q$6,RawData[Tour/Site],$Q$2,RawData[[Picker ID ]],$Q$3,RawData[Checker ID],$Q$4,RawData[[Error Type ]],$Q$5))</f>
        <v/>
      </c>
    </row>
    <row r="23436" spans="15:15" x14ac:dyDescent="0.25">
      <c r="O23436" s="20" t="str">
        <f>IF(N23436="","",COUNTIFS(RawData[[Date ]],N23436,RawData[Month List],$Q$6,RawData[Tour/Site],$Q$2,RawData[[Picker ID ]],$Q$3,RawData[Checker ID],$Q$4,RawData[[Error Type ]],$Q$5))</f>
        <v/>
      </c>
    </row>
    <row r="23437" spans="15:15" x14ac:dyDescent="0.25">
      <c r="O23437" s="20" t="str">
        <f>IF(N23437="","",COUNTIFS(RawData[[Date ]],N23437,RawData[Month List],$Q$6,RawData[Tour/Site],$Q$2,RawData[[Picker ID ]],$Q$3,RawData[Checker ID],$Q$4,RawData[[Error Type ]],$Q$5))</f>
        <v/>
      </c>
    </row>
    <row r="23438" spans="15:15" x14ac:dyDescent="0.25">
      <c r="O23438" s="20" t="str">
        <f>IF(N23438="","",COUNTIFS(RawData[[Date ]],N23438,RawData[Month List],$Q$6,RawData[Tour/Site],$Q$2,RawData[[Picker ID ]],$Q$3,RawData[Checker ID],$Q$4,RawData[[Error Type ]],$Q$5))</f>
        <v/>
      </c>
    </row>
    <row r="23439" spans="15:15" x14ac:dyDescent="0.25">
      <c r="O23439" s="20" t="str">
        <f>IF(N23439="","",COUNTIFS(RawData[[Date ]],N23439,RawData[Month List],$Q$6,RawData[Tour/Site],$Q$2,RawData[[Picker ID ]],$Q$3,RawData[Checker ID],$Q$4,RawData[[Error Type ]],$Q$5))</f>
        <v/>
      </c>
    </row>
    <row r="23440" spans="15:15" x14ac:dyDescent="0.25">
      <c r="O23440" s="20" t="str">
        <f>IF(N23440="","",COUNTIFS(RawData[[Date ]],N23440,RawData[Month List],$Q$6,RawData[Tour/Site],$Q$2,RawData[[Picker ID ]],$Q$3,RawData[Checker ID],$Q$4,RawData[[Error Type ]],$Q$5))</f>
        <v/>
      </c>
    </row>
    <row r="23441" spans="15:15" x14ac:dyDescent="0.25">
      <c r="O23441" s="20" t="str">
        <f>IF(N23441="","",COUNTIFS(RawData[[Date ]],N23441,RawData[Month List],$Q$6,RawData[Tour/Site],$Q$2,RawData[[Picker ID ]],$Q$3,RawData[Checker ID],$Q$4,RawData[[Error Type ]],$Q$5))</f>
        <v/>
      </c>
    </row>
    <row r="23442" spans="15:15" x14ac:dyDescent="0.25">
      <c r="O23442" s="20" t="str">
        <f>IF(N23442="","",COUNTIFS(RawData[[Date ]],N23442,RawData[Month List],$Q$6,RawData[Tour/Site],$Q$2,RawData[[Picker ID ]],$Q$3,RawData[Checker ID],$Q$4,RawData[[Error Type ]],$Q$5))</f>
        <v/>
      </c>
    </row>
    <row r="23443" spans="15:15" x14ac:dyDescent="0.25">
      <c r="O23443" s="20" t="str">
        <f>IF(N23443="","",COUNTIFS(RawData[[Date ]],N23443,RawData[Month List],$Q$6,RawData[Tour/Site],$Q$2,RawData[[Picker ID ]],$Q$3,RawData[Checker ID],$Q$4,RawData[[Error Type ]],$Q$5))</f>
        <v/>
      </c>
    </row>
    <row r="23444" spans="15:15" x14ac:dyDescent="0.25">
      <c r="O23444" s="20" t="str">
        <f>IF(N23444="","",COUNTIFS(RawData[[Date ]],N23444,RawData[Month List],$Q$6,RawData[Tour/Site],$Q$2,RawData[[Picker ID ]],$Q$3,RawData[Checker ID],$Q$4,RawData[[Error Type ]],$Q$5))</f>
        <v/>
      </c>
    </row>
    <row r="23445" spans="15:15" x14ac:dyDescent="0.25">
      <c r="O23445" s="20" t="str">
        <f>IF(N23445="","",COUNTIFS(RawData[[Date ]],N23445,RawData[Month List],$Q$6,RawData[Tour/Site],$Q$2,RawData[[Picker ID ]],$Q$3,RawData[Checker ID],$Q$4,RawData[[Error Type ]],$Q$5))</f>
        <v/>
      </c>
    </row>
    <row r="23446" spans="15:15" x14ac:dyDescent="0.25">
      <c r="O23446" s="20" t="str">
        <f>IF(N23446="","",COUNTIFS(RawData[[Date ]],N23446,RawData[Month List],$Q$6,RawData[Tour/Site],$Q$2,RawData[[Picker ID ]],$Q$3,RawData[Checker ID],$Q$4,RawData[[Error Type ]],$Q$5))</f>
        <v/>
      </c>
    </row>
    <row r="23447" spans="15:15" x14ac:dyDescent="0.25">
      <c r="O23447" s="20" t="str">
        <f>IF(N23447="","",COUNTIFS(RawData[[Date ]],N23447,RawData[Month List],$Q$6,RawData[Tour/Site],$Q$2,RawData[[Picker ID ]],$Q$3,RawData[Checker ID],$Q$4,RawData[[Error Type ]],$Q$5))</f>
        <v/>
      </c>
    </row>
    <row r="23448" spans="15:15" x14ac:dyDescent="0.25">
      <c r="O23448" s="20" t="str">
        <f>IF(N23448="","",COUNTIFS(RawData[[Date ]],N23448,RawData[Month List],$Q$6,RawData[Tour/Site],$Q$2,RawData[[Picker ID ]],$Q$3,RawData[Checker ID],$Q$4,RawData[[Error Type ]],$Q$5))</f>
        <v/>
      </c>
    </row>
    <row r="23449" spans="15:15" x14ac:dyDescent="0.25">
      <c r="O23449" s="20" t="str">
        <f>IF(N23449="","",COUNTIFS(RawData[[Date ]],N23449,RawData[Month List],$Q$6,RawData[Tour/Site],$Q$2,RawData[[Picker ID ]],$Q$3,RawData[Checker ID],$Q$4,RawData[[Error Type ]],$Q$5))</f>
        <v/>
      </c>
    </row>
    <row r="23450" spans="15:15" x14ac:dyDescent="0.25">
      <c r="O23450" s="20" t="str">
        <f>IF(N23450="","",COUNTIFS(RawData[[Date ]],N23450,RawData[Month List],$Q$6,RawData[Tour/Site],$Q$2,RawData[[Picker ID ]],$Q$3,RawData[Checker ID],$Q$4,RawData[[Error Type ]],$Q$5))</f>
        <v/>
      </c>
    </row>
    <row r="23451" spans="15:15" x14ac:dyDescent="0.25">
      <c r="O23451" s="20" t="str">
        <f>IF(N23451="","",COUNTIFS(RawData[[Date ]],N23451,RawData[Month List],$Q$6,RawData[Tour/Site],$Q$2,RawData[[Picker ID ]],$Q$3,RawData[Checker ID],$Q$4,RawData[[Error Type ]],$Q$5))</f>
        <v/>
      </c>
    </row>
    <row r="23452" spans="15:15" x14ac:dyDescent="0.25">
      <c r="O23452" s="20" t="str">
        <f>IF(N23452="","",COUNTIFS(RawData[[Date ]],N23452,RawData[Month List],$Q$6,RawData[Tour/Site],$Q$2,RawData[[Picker ID ]],$Q$3,RawData[Checker ID],$Q$4,RawData[[Error Type ]],$Q$5))</f>
        <v/>
      </c>
    </row>
    <row r="23453" spans="15:15" x14ac:dyDescent="0.25">
      <c r="O23453" s="20" t="str">
        <f>IF(N23453="","",COUNTIFS(RawData[[Date ]],N23453,RawData[Month List],$Q$6,RawData[Tour/Site],$Q$2,RawData[[Picker ID ]],$Q$3,RawData[Checker ID],$Q$4,RawData[[Error Type ]],$Q$5))</f>
        <v/>
      </c>
    </row>
    <row r="23454" spans="15:15" x14ac:dyDescent="0.25">
      <c r="O23454" s="20" t="str">
        <f>IF(N23454="","",COUNTIFS(RawData[[Date ]],N23454,RawData[Month List],$Q$6,RawData[Tour/Site],$Q$2,RawData[[Picker ID ]],$Q$3,RawData[Checker ID],$Q$4,RawData[[Error Type ]],$Q$5))</f>
        <v/>
      </c>
    </row>
    <row r="23455" spans="15:15" x14ac:dyDescent="0.25">
      <c r="O23455" s="20" t="str">
        <f>IF(N23455="","",COUNTIFS(RawData[[Date ]],N23455,RawData[Month List],$Q$6,RawData[Tour/Site],$Q$2,RawData[[Picker ID ]],$Q$3,RawData[Checker ID],$Q$4,RawData[[Error Type ]],$Q$5))</f>
        <v/>
      </c>
    </row>
    <row r="23456" spans="15:15" x14ac:dyDescent="0.25">
      <c r="O23456" s="20" t="str">
        <f>IF(N23456="","",COUNTIFS(RawData[[Date ]],N23456,RawData[Month List],$Q$6,RawData[Tour/Site],$Q$2,RawData[[Picker ID ]],$Q$3,RawData[Checker ID],$Q$4,RawData[[Error Type ]],$Q$5))</f>
        <v/>
      </c>
    </row>
    <row r="23457" spans="15:15" x14ac:dyDescent="0.25">
      <c r="O23457" s="20" t="str">
        <f>IF(N23457="","",COUNTIFS(RawData[[Date ]],N23457,RawData[Month List],$Q$6,RawData[Tour/Site],$Q$2,RawData[[Picker ID ]],$Q$3,RawData[Checker ID],$Q$4,RawData[[Error Type ]],$Q$5))</f>
        <v/>
      </c>
    </row>
    <row r="23458" spans="15:15" x14ac:dyDescent="0.25">
      <c r="O23458" s="20" t="str">
        <f>IF(N23458="","",COUNTIFS(RawData[[Date ]],N23458,RawData[Month List],$Q$6,RawData[Tour/Site],$Q$2,RawData[[Picker ID ]],$Q$3,RawData[Checker ID],$Q$4,RawData[[Error Type ]],$Q$5))</f>
        <v/>
      </c>
    </row>
    <row r="23459" spans="15:15" x14ac:dyDescent="0.25">
      <c r="O23459" s="20" t="str">
        <f>IF(N23459="","",COUNTIFS(RawData[[Date ]],N23459,RawData[Month List],$Q$6,RawData[Tour/Site],$Q$2,RawData[[Picker ID ]],$Q$3,RawData[Checker ID],$Q$4,RawData[[Error Type ]],$Q$5))</f>
        <v/>
      </c>
    </row>
    <row r="23460" spans="15:15" x14ac:dyDescent="0.25">
      <c r="O23460" s="20" t="str">
        <f>IF(N23460="","",COUNTIFS(RawData[[Date ]],N23460,RawData[Month List],$Q$6,RawData[Tour/Site],$Q$2,RawData[[Picker ID ]],$Q$3,RawData[Checker ID],$Q$4,RawData[[Error Type ]],$Q$5))</f>
        <v/>
      </c>
    </row>
    <row r="23461" spans="15:15" x14ac:dyDescent="0.25">
      <c r="O23461" s="20" t="str">
        <f>IF(N23461="","",COUNTIFS(RawData[[Date ]],N23461,RawData[Month List],$Q$6,RawData[Tour/Site],$Q$2,RawData[[Picker ID ]],$Q$3,RawData[Checker ID],$Q$4,RawData[[Error Type ]],$Q$5))</f>
        <v/>
      </c>
    </row>
    <row r="23462" spans="15:15" x14ac:dyDescent="0.25">
      <c r="O23462" s="20" t="str">
        <f>IF(N23462="","",COUNTIFS(RawData[[Date ]],N23462,RawData[Month List],$Q$6,RawData[Tour/Site],$Q$2,RawData[[Picker ID ]],$Q$3,RawData[Checker ID],$Q$4,RawData[[Error Type ]],$Q$5))</f>
        <v/>
      </c>
    </row>
    <row r="23463" spans="15:15" x14ac:dyDescent="0.25">
      <c r="O23463" s="20" t="str">
        <f>IF(N23463="","",COUNTIFS(RawData[[Date ]],N23463,RawData[Month List],$Q$6,RawData[Tour/Site],$Q$2,RawData[[Picker ID ]],$Q$3,RawData[Checker ID],$Q$4,RawData[[Error Type ]],$Q$5))</f>
        <v/>
      </c>
    </row>
    <row r="23464" spans="15:15" x14ac:dyDescent="0.25">
      <c r="O23464" s="20" t="str">
        <f>IF(N23464="","",COUNTIFS(RawData[[Date ]],N23464,RawData[Month List],$Q$6,RawData[Tour/Site],$Q$2,RawData[[Picker ID ]],$Q$3,RawData[Checker ID],$Q$4,RawData[[Error Type ]],$Q$5))</f>
        <v/>
      </c>
    </row>
    <row r="23465" spans="15:15" x14ac:dyDescent="0.25">
      <c r="O23465" s="20" t="str">
        <f>IF(N23465="","",COUNTIFS(RawData[[Date ]],N23465,RawData[Month List],$Q$6,RawData[Tour/Site],$Q$2,RawData[[Picker ID ]],$Q$3,RawData[Checker ID],$Q$4,RawData[[Error Type ]],$Q$5))</f>
        <v/>
      </c>
    </row>
    <row r="23466" spans="15:15" x14ac:dyDescent="0.25">
      <c r="O23466" s="20" t="str">
        <f>IF(N23466="","",COUNTIFS(RawData[[Date ]],N23466,RawData[Month List],$Q$6,RawData[Tour/Site],$Q$2,RawData[[Picker ID ]],$Q$3,RawData[Checker ID],$Q$4,RawData[[Error Type ]],$Q$5))</f>
        <v/>
      </c>
    </row>
    <row r="23467" spans="15:15" x14ac:dyDescent="0.25">
      <c r="O23467" s="20" t="str">
        <f>IF(N23467="","",COUNTIFS(RawData[[Date ]],N23467,RawData[Month List],$Q$6,RawData[Tour/Site],$Q$2,RawData[[Picker ID ]],$Q$3,RawData[Checker ID],$Q$4,RawData[[Error Type ]],$Q$5))</f>
        <v/>
      </c>
    </row>
    <row r="23468" spans="15:15" x14ac:dyDescent="0.25">
      <c r="O23468" s="20" t="str">
        <f>IF(N23468="","",COUNTIFS(RawData[[Date ]],N23468,RawData[Month List],$Q$6,RawData[Tour/Site],$Q$2,RawData[[Picker ID ]],$Q$3,RawData[Checker ID],$Q$4,RawData[[Error Type ]],$Q$5))</f>
        <v/>
      </c>
    </row>
    <row r="23469" spans="15:15" x14ac:dyDescent="0.25">
      <c r="O23469" s="20" t="str">
        <f>IF(N23469="","",COUNTIFS(RawData[[Date ]],N23469,RawData[Month List],$Q$6,RawData[Tour/Site],$Q$2,RawData[[Picker ID ]],$Q$3,RawData[Checker ID],$Q$4,RawData[[Error Type ]],$Q$5))</f>
        <v/>
      </c>
    </row>
    <row r="23470" spans="15:15" x14ac:dyDescent="0.25">
      <c r="O23470" s="20" t="str">
        <f>IF(N23470="","",COUNTIFS(RawData[[Date ]],N23470,RawData[Month List],$Q$6,RawData[Tour/Site],$Q$2,RawData[[Picker ID ]],$Q$3,RawData[Checker ID],$Q$4,RawData[[Error Type ]],$Q$5))</f>
        <v/>
      </c>
    </row>
    <row r="23471" spans="15:15" x14ac:dyDescent="0.25">
      <c r="O23471" s="20" t="str">
        <f>IF(N23471="","",COUNTIFS(RawData[[Date ]],N23471,RawData[Month List],$Q$6,RawData[Tour/Site],$Q$2,RawData[[Picker ID ]],$Q$3,RawData[Checker ID],$Q$4,RawData[[Error Type ]],$Q$5))</f>
        <v/>
      </c>
    </row>
    <row r="23472" spans="15:15" x14ac:dyDescent="0.25">
      <c r="O23472" s="20" t="str">
        <f>IF(N23472="","",COUNTIFS(RawData[[Date ]],N23472,RawData[Month List],$Q$6,RawData[Tour/Site],$Q$2,RawData[[Picker ID ]],$Q$3,RawData[Checker ID],$Q$4,RawData[[Error Type ]],$Q$5))</f>
        <v/>
      </c>
    </row>
    <row r="23473" spans="15:15" x14ac:dyDescent="0.25">
      <c r="O23473" s="20" t="str">
        <f>IF(N23473="","",COUNTIFS(RawData[[Date ]],N23473,RawData[Month List],$Q$6,RawData[Tour/Site],$Q$2,RawData[[Picker ID ]],$Q$3,RawData[Checker ID],$Q$4,RawData[[Error Type ]],$Q$5))</f>
        <v/>
      </c>
    </row>
    <row r="23474" spans="15:15" x14ac:dyDescent="0.25">
      <c r="O23474" s="20" t="str">
        <f>IF(N23474="","",COUNTIFS(RawData[[Date ]],N23474,RawData[Month List],$Q$6,RawData[Tour/Site],$Q$2,RawData[[Picker ID ]],$Q$3,RawData[Checker ID],$Q$4,RawData[[Error Type ]],$Q$5))</f>
        <v/>
      </c>
    </row>
    <row r="23475" spans="15:15" x14ac:dyDescent="0.25">
      <c r="O23475" s="20" t="str">
        <f>IF(N23475="","",COUNTIFS(RawData[[Date ]],N23475,RawData[Month List],$Q$6,RawData[Tour/Site],$Q$2,RawData[[Picker ID ]],$Q$3,RawData[Checker ID],$Q$4,RawData[[Error Type ]],$Q$5))</f>
        <v/>
      </c>
    </row>
    <row r="23476" spans="15:15" x14ac:dyDescent="0.25">
      <c r="O23476" s="20" t="str">
        <f>IF(N23476="","",COUNTIFS(RawData[[Date ]],N23476,RawData[Month List],$Q$6,RawData[Tour/Site],$Q$2,RawData[[Picker ID ]],$Q$3,RawData[Checker ID],$Q$4,RawData[[Error Type ]],$Q$5))</f>
        <v/>
      </c>
    </row>
    <row r="23477" spans="15:15" x14ac:dyDescent="0.25">
      <c r="O23477" s="20" t="str">
        <f>IF(N23477="","",COUNTIFS(RawData[[Date ]],N23477,RawData[Month List],$Q$6,RawData[Tour/Site],$Q$2,RawData[[Picker ID ]],$Q$3,RawData[Checker ID],$Q$4,RawData[[Error Type ]],$Q$5))</f>
        <v/>
      </c>
    </row>
    <row r="23478" spans="15:15" x14ac:dyDescent="0.25">
      <c r="O23478" s="20" t="str">
        <f>IF(N23478="","",COUNTIFS(RawData[[Date ]],N23478,RawData[Month List],$Q$6,RawData[Tour/Site],$Q$2,RawData[[Picker ID ]],$Q$3,RawData[Checker ID],$Q$4,RawData[[Error Type ]],$Q$5))</f>
        <v/>
      </c>
    </row>
    <row r="23479" spans="15:15" x14ac:dyDescent="0.25">
      <c r="O23479" s="20" t="str">
        <f>IF(N23479="","",COUNTIFS(RawData[[Date ]],N23479,RawData[Month List],$Q$6,RawData[Tour/Site],$Q$2,RawData[[Picker ID ]],$Q$3,RawData[Checker ID],$Q$4,RawData[[Error Type ]],$Q$5))</f>
        <v/>
      </c>
    </row>
    <row r="23480" spans="15:15" x14ac:dyDescent="0.25">
      <c r="O23480" s="20" t="str">
        <f>IF(N23480="","",COUNTIFS(RawData[[Date ]],N23480,RawData[Month List],$Q$6,RawData[Tour/Site],$Q$2,RawData[[Picker ID ]],$Q$3,RawData[Checker ID],$Q$4,RawData[[Error Type ]],$Q$5))</f>
        <v/>
      </c>
    </row>
    <row r="23481" spans="15:15" x14ac:dyDescent="0.25">
      <c r="O23481" s="20" t="str">
        <f>IF(N23481="","",COUNTIFS(RawData[[Date ]],N23481,RawData[Month List],$Q$6,RawData[Tour/Site],$Q$2,RawData[[Picker ID ]],$Q$3,RawData[Checker ID],$Q$4,RawData[[Error Type ]],$Q$5))</f>
        <v/>
      </c>
    </row>
    <row r="23482" spans="15:15" x14ac:dyDescent="0.25">
      <c r="O23482" s="20" t="str">
        <f>IF(N23482="","",COUNTIFS(RawData[[Date ]],N23482,RawData[Month List],$Q$6,RawData[Tour/Site],$Q$2,RawData[[Picker ID ]],$Q$3,RawData[Checker ID],$Q$4,RawData[[Error Type ]],$Q$5))</f>
        <v/>
      </c>
    </row>
    <row r="23483" spans="15:15" x14ac:dyDescent="0.25">
      <c r="O23483" s="20" t="str">
        <f>IF(N23483="","",COUNTIFS(RawData[[Date ]],N23483,RawData[Month List],$Q$6,RawData[Tour/Site],$Q$2,RawData[[Picker ID ]],$Q$3,RawData[Checker ID],$Q$4,RawData[[Error Type ]],$Q$5))</f>
        <v/>
      </c>
    </row>
    <row r="23484" spans="15:15" x14ac:dyDescent="0.25">
      <c r="O23484" s="20" t="str">
        <f>IF(N23484="","",COUNTIFS(RawData[[Date ]],N23484,RawData[Month List],$Q$6,RawData[Tour/Site],$Q$2,RawData[[Picker ID ]],$Q$3,RawData[Checker ID],$Q$4,RawData[[Error Type ]],$Q$5))</f>
        <v/>
      </c>
    </row>
    <row r="23485" spans="15:15" x14ac:dyDescent="0.25">
      <c r="O23485" s="20" t="str">
        <f>IF(N23485="","",COUNTIFS(RawData[[Date ]],N23485,RawData[Month List],$Q$6,RawData[Tour/Site],$Q$2,RawData[[Picker ID ]],$Q$3,RawData[Checker ID],$Q$4,RawData[[Error Type ]],$Q$5))</f>
        <v/>
      </c>
    </row>
    <row r="23486" spans="15:15" x14ac:dyDescent="0.25">
      <c r="O23486" s="20" t="str">
        <f>IF(N23486="","",COUNTIFS(RawData[[Date ]],N23486,RawData[Month List],$Q$6,RawData[Tour/Site],$Q$2,RawData[[Picker ID ]],$Q$3,RawData[Checker ID],$Q$4,RawData[[Error Type ]],$Q$5))</f>
        <v/>
      </c>
    </row>
    <row r="23487" spans="15:15" x14ac:dyDescent="0.25">
      <c r="O23487" s="20" t="str">
        <f>IF(N23487="","",COUNTIFS(RawData[[Date ]],N23487,RawData[Month List],$Q$6,RawData[Tour/Site],$Q$2,RawData[[Picker ID ]],$Q$3,RawData[Checker ID],$Q$4,RawData[[Error Type ]],$Q$5))</f>
        <v/>
      </c>
    </row>
    <row r="23488" spans="15:15" x14ac:dyDescent="0.25">
      <c r="O23488" s="20" t="str">
        <f>IF(N23488="","",COUNTIFS(RawData[[Date ]],N23488,RawData[Month List],$Q$6,RawData[Tour/Site],$Q$2,RawData[[Picker ID ]],$Q$3,RawData[Checker ID],$Q$4,RawData[[Error Type ]],$Q$5))</f>
        <v/>
      </c>
    </row>
    <row r="23489" spans="15:15" x14ac:dyDescent="0.25">
      <c r="O23489" s="20" t="str">
        <f>IF(N23489="","",COUNTIFS(RawData[[Date ]],N23489,RawData[Month List],$Q$6,RawData[Tour/Site],$Q$2,RawData[[Picker ID ]],$Q$3,RawData[Checker ID],$Q$4,RawData[[Error Type ]],$Q$5))</f>
        <v/>
      </c>
    </row>
    <row r="23490" spans="15:15" x14ac:dyDescent="0.25">
      <c r="O23490" s="20" t="str">
        <f>IF(N23490="","",COUNTIFS(RawData[[Date ]],N23490,RawData[Month List],$Q$6,RawData[Tour/Site],$Q$2,RawData[[Picker ID ]],$Q$3,RawData[Checker ID],$Q$4,RawData[[Error Type ]],$Q$5))</f>
        <v/>
      </c>
    </row>
    <row r="23491" spans="15:15" x14ac:dyDescent="0.25">
      <c r="O23491" s="20" t="str">
        <f>IF(N23491="","",COUNTIFS(RawData[[Date ]],N23491,RawData[Month List],$Q$6,RawData[Tour/Site],$Q$2,RawData[[Picker ID ]],$Q$3,RawData[Checker ID],$Q$4,RawData[[Error Type ]],$Q$5))</f>
        <v/>
      </c>
    </row>
    <row r="23492" spans="15:15" x14ac:dyDescent="0.25">
      <c r="O23492" s="20" t="str">
        <f>IF(N23492="","",COUNTIFS(RawData[[Date ]],N23492,RawData[Month List],$Q$6,RawData[Tour/Site],$Q$2,RawData[[Picker ID ]],$Q$3,RawData[Checker ID],$Q$4,RawData[[Error Type ]],$Q$5))</f>
        <v/>
      </c>
    </row>
    <row r="23493" spans="15:15" x14ac:dyDescent="0.25">
      <c r="O23493" s="20" t="str">
        <f>IF(N23493="","",COUNTIFS(RawData[[Date ]],N23493,RawData[Month List],$Q$6,RawData[Tour/Site],$Q$2,RawData[[Picker ID ]],$Q$3,RawData[Checker ID],$Q$4,RawData[[Error Type ]],$Q$5))</f>
        <v/>
      </c>
    </row>
    <row r="23494" spans="15:15" x14ac:dyDescent="0.25">
      <c r="O23494" s="20" t="str">
        <f>IF(N23494="","",COUNTIFS(RawData[[Date ]],N23494,RawData[Month List],$Q$6,RawData[Tour/Site],$Q$2,RawData[[Picker ID ]],$Q$3,RawData[Checker ID],$Q$4,RawData[[Error Type ]],$Q$5))</f>
        <v/>
      </c>
    </row>
    <row r="23495" spans="15:15" x14ac:dyDescent="0.25">
      <c r="O23495" s="20" t="str">
        <f>IF(N23495="","",COUNTIFS(RawData[[Date ]],N23495,RawData[Month List],$Q$6,RawData[Tour/Site],$Q$2,RawData[[Picker ID ]],$Q$3,RawData[Checker ID],$Q$4,RawData[[Error Type ]],$Q$5))</f>
        <v/>
      </c>
    </row>
    <row r="23496" spans="15:15" x14ac:dyDescent="0.25">
      <c r="O23496" s="20" t="str">
        <f>IF(N23496="","",COUNTIFS(RawData[[Date ]],N23496,RawData[Month List],$Q$6,RawData[Tour/Site],$Q$2,RawData[[Picker ID ]],$Q$3,RawData[Checker ID],$Q$4,RawData[[Error Type ]],$Q$5))</f>
        <v/>
      </c>
    </row>
    <row r="23497" spans="15:15" x14ac:dyDescent="0.25">
      <c r="O23497" s="20" t="str">
        <f>IF(N23497="","",COUNTIFS(RawData[[Date ]],N23497,RawData[Month List],$Q$6,RawData[Tour/Site],$Q$2,RawData[[Picker ID ]],$Q$3,RawData[Checker ID],$Q$4,RawData[[Error Type ]],$Q$5))</f>
        <v/>
      </c>
    </row>
    <row r="23498" spans="15:15" x14ac:dyDescent="0.25">
      <c r="O23498" s="20" t="str">
        <f>IF(N23498="","",COUNTIFS(RawData[[Date ]],N23498,RawData[Month List],$Q$6,RawData[Tour/Site],$Q$2,RawData[[Picker ID ]],$Q$3,RawData[Checker ID],$Q$4,RawData[[Error Type ]],$Q$5))</f>
        <v/>
      </c>
    </row>
    <row r="23499" spans="15:15" x14ac:dyDescent="0.25">
      <c r="O23499" s="20" t="str">
        <f>IF(N23499="","",COUNTIFS(RawData[[Date ]],N23499,RawData[Month List],$Q$6,RawData[Tour/Site],$Q$2,RawData[[Picker ID ]],$Q$3,RawData[Checker ID],$Q$4,RawData[[Error Type ]],$Q$5))</f>
        <v/>
      </c>
    </row>
    <row r="23500" spans="15:15" x14ac:dyDescent="0.25">
      <c r="O23500" s="20" t="str">
        <f>IF(N23500="","",COUNTIFS(RawData[[Date ]],N23500,RawData[Month List],$Q$6,RawData[Tour/Site],$Q$2,RawData[[Picker ID ]],$Q$3,RawData[Checker ID],$Q$4,RawData[[Error Type ]],$Q$5))</f>
        <v/>
      </c>
    </row>
    <row r="23501" spans="15:15" x14ac:dyDescent="0.25">
      <c r="O23501" s="20" t="str">
        <f>IF(N23501="","",COUNTIFS(RawData[[Date ]],N23501,RawData[Month List],$Q$6,RawData[Tour/Site],$Q$2,RawData[[Picker ID ]],$Q$3,RawData[Checker ID],$Q$4,RawData[[Error Type ]],$Q$5))</f>
        <v/>
      </c>
    </row>
    <row r="23502" spans="15:15" x14ac:dyDescent="0.25">
      <c r="O23502" s="20" t="str">
        <f>IF(N23502="","",COUNTIFS(RawData[[Date ]],N23502,RawData[Month List],$Q$6,RawData[Tour/Site],$Q$2,RawData[[Picker ID ]],$Q$3,RawData[Checker ID],$Q$4,RawData[[Error Type ]],$Q$5))</f>
        <v/>
      </c>
    </row>
    <row r="23503" spans="15:15" x14ac:dyDescent="0.25">
      <c r="O23503" s="20" t="str">
        <f>IF(N23503="","",COUNTIFS(RawData[[Date ]],N23503,RawData[Month List],$Q$6,RawData[Tour/Site],$Q$2,RawData[[Picker ID ]],$Q$3,RawData[Checker ID],$Q$4,RawData[[Error Type ]],$Q$5))</f>
        <v/>
      </c>
    </row>
    <row r="23504" spans="15:15" x14ac:dyDescent="0.25">
      <c r="O23504" s="20" t="str">
        <f>IF(N23504="","",COUNTIFS(RawData[[Date ]],N23504,RawData[Month List],$Q$6,RawData[Tour/Site],$Q$2,RawData[[Picker ID ]],$Q$3,RawData[Checker ID],$Q$4,RawData[[Error Type ]],$Q$5))</f>
        <v/>
      </c>
    </row>
    <row r="23505" spans="15:15" x14ac:dyDescent="0.25">
      <c r="O23505" s="20" t="str">
        <f>IF(N23505="","",COUNTIFS(RawData[[Date ]],N23505,RawData[Month List],$Q$6,RawData[Tour/Site],$Q$2,RawData[[Picker ID ]],$Q$3,RawData[Checker ID],$Q$4,RawData[[Error Type ]],$Q$5))</f>
        <v/>
      </c>
    </row>
    <row r="23506" spans="15:15" x14ac:dyDescent="0.25">
      <c r="O23506" s="20" t="str">
        <f>IF(N23506="","",COUNTIFS(RawData[[Date ]],N23506,RawData[Month List],$Q$6,RawData[Tour/Site],$Q$2,RawData[[Picker ID ]],$Q$3,RawData[Checker ID],$Q$4,RawData[[Error Type ]],$Q$5))</f>
        <v/>
      </c>
    </row>
    <row r="23507" spans="15:15" x14ac:dyDescent="0.25">
      <c r="O23507" s="20" t="str">
        <f>IF(N23507="","",COUNTIFS(RawData[[Date ]],N23507,RawData[Month List],$Q$6,RawData[Tour/Site],$Q$2,RawData[[Picker ID ]],$Q$3,RawData[Checker ID],$Q$4,RawData[[Error Type ]],$Q$5))</f>
        <v/>
      </c>
    </row>
    <row r="23508" spans="15:15" x14ac:dyDescent="0.25">
      <c r="O23508" s="20" t="str">
        <f>IF(N23508="","",COUNTIFS(RawData[[Date ]],N23508,RawData[Month List],$Q$6,RawData[Tour/Site],$Q$2,RawData[[Picker ID ]],$Q$3,RawData[Checker ID],$Q$4,RawData[[Error Type ]],$Q$5))</f>
        <v/>
      </c>
    </row>
    <row r="23509" spans="15:15" x14ac:dyDescent="0.25">
      <c r="O23509" s="20" t="str">
        <f>IF(N23509="","",COUNTIFS(RawData[[Date ]],N23509,RawData[Month List],$Q$6,RawData[Tour/Site],$Q$2,RawData[[Picker ID ]],$Q$3,RawData[Checker ID],$Q$4,RawData[[Error Type ]],$Q$5))</f>
        <v/>
      </c>
    </row>
    <row r="23510" spans="15:15" x14ac:dyDescent="0.25">
      <c r="O23510" s="20" t="str">
        <f>IF(N23510="","",COUNTIFS(RawData[[Date ]],N23510,RawData[Month List],$Q$6,RawData[Tour/Site],$Q$2,RawData[[Picker ID ]],$Q$3,RawData[Checker ID],$Q$4,RawData[[Error Type ]],$Q$5))</f>
        <v/>
      </c>
    </row>
    <row r="23511" spans="15:15" x14ac:dyDescent="0.25">
      <c r="O23511" s="20" t="str">
        <f>IF(N23511="","",COUNTIFS(RawData[[Date ]],N23511,RawData[Month List],$Q$6,RawData[Tour/Site],$Q$2,RawData[[Picker ID ]],$Q$3,RawData[Checker ID],$Q$4,RawData[[Error Type ]],$Q$5))</f>
        <v/>
      </c>
    </row>
    <row r="23512" spans="15:15" x14ac:dyDescent="0.25">
      <c r="O23512" s="20" t="str">
        <f>IF(N23512="","",COUNTIFS(RawData[[Date ]],N23512,RawData[Month List],$Q$6,RawData[Tour/Site],$Q$2,RawData[[Picker ID ]],$Q$3,RawData[Checker ID],$Q$4,RawData[[Error Type ]],$Q$5))</f>
        <v/>
      </c>
    </row>
    <row r="23513" spans="15:15" x14ac:dyDescent="0.25">
      <c r="O23513" s="20" t="str">
        <f>IF(N23513="","",COUNTIFS(RawData[[Date ]],N23513,RawData[Month List],$Q$6,RawData[Tour/Site],$Q$2,RawData[[Picker ID ]],$Q$3,RawData[Checker ID],$Q$4,RawData[[Error Type ]],$Q$5))</f>
        <v/>
      </c>
    </row>
    <row r="23514" spans="15:15" x14ac:dyDescent="0.25">
      <c r="O23514" s="20" t="str">
        <f>IF(N23514="","",COUNTIFS(RawData[[Date ]],N23514,RawData[Month List],$Q$6,RawData[Tour/Site],$Q$2,RawData[[Picker ID ]],$Q$3,RawData[Checker ID],$Q$4,RawData[[Error Type ]],$Q$5))</f>
        <v/>
      </c>
    </row>
    <row r="23515" spans="15:15" x14ac:dyDescent="0.25">
      <c r="O23515" s="20" t="str">
        <f>IF(N23515="","",COUNTIFS(RawData[[Date ]],N23515,RawData[Month List],$Q$6,RawData[Tour/Site],$Q$2,RawData[[Picker ID ]],$Q$3,RawData[Checker ID],$Q$4,RawData[[Error Type ]],$Q$5))</f>
        <v/>
      </c>
    </row>
    <row r="23516" spans="15:15" x14ac:dyDescent="0.25">
      <c r="O23516" s="20" t="str">
        <f>IF(N23516="","",COUNTIFS(RawData[[Date ]],N23516,RawData[Month List],$Q$6,RawData[Tour/Site],$Q$2,RawData[[Picker ID ]],$Q$3,RawData[Checker ID],$Q$4,RawData[[Error Type ]],$Q$5))</f>
        <v/>
      </c>
    </row>
    <row r="23517" spans="15:15" x14ac:dyDescent="0.25">
      <c r="O23517" s="20" t="str">
        <f>IF(N23517="","",COUNTIFS(RawData[[Date ]],N23517,RawData[Month List],$Q$6,RawData[Tour/Site],$Q$2,RawData[[Picker ID ]],$Q$3,RawData[Checker ID],$Q$4,RawData[[Error Type ]],$Q$5))</f>
        <v/>
      </c>
    </row>
    <row r="23518" spans="15:15" x14ac:dyDescent="0.25">
      <c r="O23518" s="20" t="str">
        <f>IF(N23518="","",COUNTIFS(RawData[[Date ]],N23518,RawData[Month List],$Q$6,RawData[Tour/Site],$Q$2,RawData[[Picker ID ]],$Q$3,RawData[Checker ID],$Q$4,RawData[[Error Type ]],$Q$5))</f>
        <v/>
      </c>
    </row>
    <row r="23519" spans="15:15" x14ac:dyDescent="0.25">
      <c r="O23519" s="20" t="str">
        <f>IF(N23519="","",COUNTIFS(RawData[[Date ]],N23519,RawData[Month List],$Q$6,RawData[Tour/Site],$Q$2,RawData[[Picker ID ]],$Q$3,RawData[Checker ID],$Q$4,RawData[[Error Type ]],$Q$5))</f>
        <v/>
      </c>
    </row>
    <row r="23520" spans="15:15" x14ac:dyDescent="0.25">
      <c r="O23520" s="20" t="str">
        <f>IF(N23520="","",COUNTIFS(RawData[[Date ]],N23520,RawData[Month List],$Q$6,RawData[Tour/Site],$Q$2,RawData[[Picker ID ]],$Q$3,RawData[Checker ID],$Q$4,RawData[[Error Type ]],$Q$5))</f>
        <v/>
      </c>
    </row>
    <row r="23521" spans="15:15" x14ac:dyDescent="0.25">
      <c r="O23521" s="20" t="str">
        <f>IF(N23521="","",COUNTIFS(RawData[[Date ]],N23521,RawData[Month List],$Q$6,RawData[Tour/Site],$Q$2,RawData[[Picker ID ]],$Q$3,RawData[Checker ID],$Q$4,RawData[[Error Type ]],$Q$5))</f>
        <v/>
      </c>
    </row>
    <row r="23522" spans="15:15" x14ac:dyDescent="0.25">
      <c r="O23522" s="20" t="str">
        <f>IF(N23522="","",COUNTIFS(RawData[[Date ]],N23522,RawData[Month List],$Q$6,RawData[Tour/Site],$Q$2,RawData[[Picker ID ]],$Q$3,RawData[Checker ID],$Q$4,RawData[[Error Type ]],$Q$5))</f>
        <v/>
      </c>
    </row>
    <row r="23523" spans="15:15" x14ac:dyDescent="0.25">
      <c r="O23523" s="20" t="str">
        <f>IF(N23523="","",COUNTIFS(RawData[[Date ]],N23523,RawData[Month List],$Q$6,RawData[Tour/Site],$Q$2,RawData[[Picker ID ]],$Q$3,RawData[Checker ID],$Q$4,RawData[[Error Type ]],$Q$5))</f>
        <v/>
      </c>
    </row>
    <row r="23524" spans="15:15" x14ac:dyDescent="0.25">
      <c r="O23524" s="20" t="str">
        <f>IF(N23524="","",COUNTIFS(RawData[[Date ]],N23524,RawData[Month List],$Q$6,RawData[Tour/Site],$Q$2,RawData[[Picker ID ]],$Q$3,RawData[Checker ID],$Q$4,RawData[[Error Type ]],$Q$5))</f>
        <v/>
      </c>
    </row>
    <row r="23525" spans="15:15" x14ac:dyDescent="0.25">
      <c r="O23525" s="20" t="str">
        <f>IF(N23525="","",COUNTIFS(RawData[[Date ]],N23525,RawData[Month List],$Q$6,RawData[Tour/Site],$Q$2,RawData[[Picker ID ]],$Q$3,RawData[Checker ID],$Q$4,RawData[[Error Type ]],$Q$5))</f>
        <v/>
      </c>
    </row>
    <row r="23526" spans="15:15" x14ac:dyDescent="0.25">
      <c r="O23526" s="20" t="str">
        <f>IF(N23526="","",COUNTIFS(RawData[[Date ]],N23526,RawData[Month List],$Q$6,RawData[Tour/Site],$Q$2,RawData[[Picker ID ]],$Q$3,RawData[Checker ID],$Q$4,RawData[[Error Type ]],$Q$5))</f>
        <v/>
      </c>
    </row>
    <row r="23527" spans="15:15" x14ac:dyDescent="0.25">
      <c r="O23527" s="20" t="str">
        <f>IF(N23527="","",COUNTIFS(RawData[[Date ]],N23527,RawData[Month List],$Q$6,RawData[Tour/Site],$Q$2,RawData[[Picker ID ]],$Q$3,RawData[Checker ID],$Q$4,RawData[[Error Type ]],$Q$5))</f>
        <v/>
      </c>
    </row>
    <row r="23528" spans="15:15" x14ac:dyDescent="0.25">
      <c r="O23528" s="20" t="str">
        <f>IF(N23528="","",COUNTIFS(RawData[[Date ]],N23528,RawData[Month List],$Q$6,RawData[Tour/Site],$Q$2,RawData[[Picker ID ]],$Q$3,RawData[Checker ID],$Q$4,RawData[[Error Type ]],$Q$5))</f>
        <v/>
      </c>
    </row>
    <row r="23529" spans="15:15" x14ac:dyDescent="0.25">
      <c r="O23529" s="20" t="str">
        <f>IF(N23529="","",COUNTIFS(RawData[[Date ]],N23529,RawData[Month List],$Q$6,RawData[Tour/Site],$Q$2,RawData[[Picker ID ]],$Q$3,RawData[Checker ID],$Q$4,RawData[[Error Type ]],$Q$5))</f>
        <v/>
      </c>
    </row>
    <row r="23530" spans="15:15" x14ac:dyDescent="0.25">
      <c r="O23530" s="20" t="str">
        <f>IF(N23530="","",COUNTIFS(RawData[[Date ]],N23530,RawData[Month List],$Q$6,RawData[Tour/Site],$Q$2,RawData[[Picker ID ]],$Q$3,RawData[Checker ID],$Q$4,RawData[[Error Type ]],$Q$5))</f>
        <v/>
      </c>
    </row>
    <row r="23531" spans="15:15" x14ac:dyDescent="0.25">
      <c r="O23531" s="20" t="str">
        <f>IF(N23531="","",COUNTIFS(RawData[[Date ]],N23531,RawData[Month List],$Q$6,RawData[Tour/Site],$Q$2,RawData[[Picker ID ]],$Q$3,RawData[Checker ID],$Q$4,RawData[[Error Type ]],$Q$5))</f>
        <v/>
      </c>
    </row>
    <row r="23532" spans="15:15" x14ac:dyDescent="0.25">
      <c r="O23532" s="20" t="str">
        <f>IF(N23532="","",COUNTIFS(RawData[[Date ]],N23532,RawData[Month List],$Q$6,RawData[Tour/Site],$Q$2,RawData[[Picker ID ]],$Q$3,RawData[Checker ID],$Q$4,RawData[[Error Type ]],$Q$5))</f>
        <v/>
      </c>
    </row>
    <row r="23533" spans="15:15" x14ac:dyDescent="0.25">
      <c r="O23533" s="20" t="str">
        <f>IF(N23533="","",COUNTIFS(RawData[[Date ]],N23533,RawData[Month List],$Q$6,RawData[Tour/Site],$Q$2,RawData[[Picker ID ]],$Q$3,RawData[Checker ID],$Q$4,RawData[[Error Type ]],$Q$5))</f>
        <v/>
      </c>
    </row>
    <row r="23534" spans="15:15" x14ac:dyDescent="0.25">
      <c r="O23534" s="20" t="str">
        <f>IF(N23534="","",COUNTIFS(RawData[[Date ]],N23534,RawData[Month List],$Q$6,RawData[Tour/Site],$Q$2,RawData[[Picker ID ]],$Q$3,RawData[Checker ID],$Q$4,RawData[[Error Type ]],$Q$5))</f>
        <v/>
      </c>
    </row>
    <row r="23535" spans="15:15" x14ac:dyDescent="0.25">
      <c r="O23535" s="20" t="str">
        <f>IF(N23535="","",COUNTIFS(RawData[[Date ]],N23535,RawData[Month List],$Q$6,RawData[Tour/Site],$Q$2,RawData[[Picker ID ]],$Q$3,RawData[Checker ID],$Q$4,RawData[[Error Type ]],$Q$5))</f>
        <v/>
      </c>
    </row>
    <row r="23536" spans="15:15" x14ac:dyDescent="0.25">
      <c r="O23536" s="20" t="str">
        <f>IF(N23536="","",COUNTIFS(RawData[[Date ]],N23536,RawData[Month List],$Q$6,RawData[Tour/Site],$Q$2,RawData[[Picker ID ]],$Q$3,RawData[Checker ID],$Q$4,RawData[[Error Type ]],$Q$5))</f>
        <v/>
      </c>
    </row>
    <row r="23537" spans="15:15" x14ac:dyDescent="0.25">
      <c r="O23537" s="20" t="str">
        <f>IF(N23537="","",COUNTIFS(RawData[[Date ]],N23537,RawData[Month List],$Q$6,RawData[Tour/Site],$Q$2,RawData[[Picker ID ]],$Q$3,RawData[Checker ID],$Q$4,RawData[[Error Type ]],$Q$5))</f>
        <v/>
      </c>
    </row>
    <row r="23538" spans="15:15" x14ac:dyDescent="0.25">
      <c r="O23538" s="20" t="str">
        <f>IF(N23538="","",COUNTIFS(RawData[[Date ]],N23538,RawData[Month List],$Q$6,RawData[Tour/Site],$Q$2,RawData[[Picker ID ]],$Q$3,RawData[Checker ID],$Q$4,RawData[[Error Type ]],$Q$5))</f>
        <v/>
      </c>
    </row>
    <row r="23539" spans="15:15" x14ac:dyDescent="0.25">
      <c r="O23539" s="20" t="str">
        <f>IF(N23539="","",COUNTIFS(RawData[[Date ]],N23539,RawData[Month List],$Q$6,RawData[Tour/Site],$Q$2,RawData[[Picker ID ]],$Q$3,RawData[Checker ID],$Q$4,RawData[[Error Type ]],$Q$5))</f>
        <v/>
      </c>
    </row>
    <row r="23540" spans="15:15" x14ac:dyDescent="0.25">
      <c r="O23540" s="20" t="str">
        <f>IF(N23540="","",COUNTIFS(RawData[[Date ]],N23540,RawData[Month List],$Q$6,RawData[Tour/Site],$Q$2,RawData[[Picker ID ]],$Q$3,RawData[Checker ID],$Q$4,RawData[[Error Type ]],$Q$5))</f>
        <v/>
      </c>
    </row>
    <row r="23541" spans="15:15" x14ac:dyDescent="0.25">
      <c r="O23541" s="20" t="str">
        <f>IF(N23541="","",COUNTIFS(RawData[[Date ]],N23541,RawData[Month List],$Q$6,RawData[Tour/Site],$Q$2,RawData[[Picker ID ]],$Q$3,RawData[Checker ID],$Q$4,RawData[[Error Type ]],$Q$5))</f>
        <v/>
      </c>
    </row>
    <row r="23542" spans="15:15" x14ac:dyDescent="0.25">
      <c r="O23542" s="20" t="str">
        <f>IF(N23542="","",COUNTIFS(RawData[[Date ]],N23542,RawData[Month List],$Q$6,RawData[Tour/Site],$Q$2,RawData[[Picker ID ]],$Q$3,RawData[Checker ID],$Q$4,RawData[[Error Type ]],$Q$5))</f>
        <v/>
      </c>
    </row>
    <row r="23543" spans="15:15" x14ac:dyDescent="0.25">
      <c r="O23543" s="20" t="str">
        <f>IF(N23543="","",COUNTIFS(RawData[[Date ]],N23543,RawData[Month List],$Q$6,RawData[Tour/Site],$Q$2,RawData[[Picker ID ]],$Q$3,RawData[Checker ID],$Q$4,RawData[[Error Type ]],$Q$5))</f>
        <v/>
      </c>
    </row>
    <row r="23544" spans="15:15" x14ac:dyDescent="0.25">
      <c r="O23544" s="20" t="str">
        <f>IF(N23544="","",COUNTIFS(RawData[[Date ]],N23544,RawData[Month List],$Q$6,RawData[Tour/Site],$Q$2,RawData[[Picker ID ]],$Q$3,RawData[Checker ID],$Q$4,RawData[[Error Type ]],$Q$5))</f>
        <v/>
      </c>
    </row>
    <row r="23545" spans="15:15" x14ac:dyDescent="0.25">
      <c r="O23545" s="20" t="str">
        <f>IF(N23545="","",COUNTIFS(RawData[[Date ]],N23545,RawData[Month List],$Q$6,RawData[Tour/Site],$Q$2,RawData[[Picker ID ]],$Q$3,RawData[Checker ID],$Q$4,RawData[[Error Type ]],$Q$5))</f>
        <v/>
      </c>
    </row>
    <row r="23546" spans="15:15" x14ac:dyDescent="0.25">
      <c r="O23546" s="20" t="str">
        <f>IF(N23546="","",COUNTIFS(RawData[[Date ]],N23546,RawData[Month List],$Q$6,RawData[Tour/Site],$Q$2,RawData[[Picker ID ]],$Q$3,RawData[Checker ID],$Q$4,RawData[[Error Type ]],$Q$5))</f>
        <v/>
      </c>
    </row>
    <row r="23547" spans="15:15" x14ac:dyDescent="0.25">
      <c r="O23547" s="20" t="str">
        <f>IF(N23547="","",COUNTIFS(RawData[[Date ]],N23547,RawData[Month List],$Q$6,RawData[Tour/Site],$Q$2,RawData[[Picker ID ]],$Q$3,RawData[Checker ID],$Q$4,RawData[[Error Type ]],$Q$5))</f>
        <v/>
      </c>
    </row>
    <row r="23548" spans="15:15" x14ac:dyDescent="0.25">
      <c r="O23548" s="20" t="str">
        <f>IF(N23548="","",COUNTIFS(RawData[[Date ]],N23548,RawData[Month List],$Q$6,RawData[Tour/Site],$Q$2,RawData[[Picker ID ]],$Q$3,RawData[Checker ID],$Q$4,RawData[[Error Type ]],$Q$5))</f>
        <v/>
      </c>
    </row>
    <row r="23549" spans="15:15" x14ac:dyDescent="0.25">
      <c r="O23549" s="20" t="str">
        <f>IF(N23549="","",COUNTIFS(RawData[[Date ]],N23549,RawData[Month List],$Q$6,RawData[Tour/Site],$Q$2,RawData[[Picker ID ]],$Q$3,RawData[Checker ID],$Q$4,RawData[[Error Type ]],$Q$5))</f>
        <v/>
      </c>
    </row>
    <row r="23550" spans="15:15" x14ac:dyDescent="0.25">
      <c r="O23550" s="20" t="str">
        <f>IF(N23550="","",COUNTIFS(RawData[[Date ]],N23550,RawData[Month List],$Q$6,RawData[Tour/Site],$Q$2,RawData[[Picker ID ]],$Q$3,RawData[Checker ID],$Q$4,RawData[[Error Type ]],$Q$5))</f>
        <v/>
      </c>
    </row>
    <row r="23551" spans="15:15" x14ac:dyDescent="0.25">
      <c r="O23551" s="20" t="str">
        <f>IF(N23551="","",COUNTIFS(RawData[[Date ]],N23551,RawData[Month List],$Q$6,RawData[Tour/Site],$Q$2,RawData[[Picker ID ]],$Q$3,RawData[Checker ID],$Q$4,RawData[[Error Type ]],$Q$5))</f>
        <v/>
      </c>
    </row>
    <row r="23552" spans="15:15" x14ac:dyDescent="0.25">
      <c r="O23552" s="20" t="str">
        <f>IF(N23552="","",COUNTIFS(RawData[[Date ]],N23552,RawData[Month List],$Q$6,RawData[Tour/Site],$Q$2,RawData[[Picker ID ]],$Q$3,RawData[Checker ID],$Q$4,RawData[[Error Type ]],$Q$5))</f>
        <v/>
      </c>
    </row>
    <row r="23553" spans="15:15" x14ac:dyDescent="0.25">
      <c r="O23553" s="20" t="str">
        <f>IF(N23553="","",COUNTIFS(RawData[[Date ]],N23553,RawData[Month List],$Q$6,RawData[Tour/Site],$Q$2,RawData[[Picker ID ]],$Q$3,RawData[Checker ID],$Q$4,RawData[[Error Type ]],$Q$5))</f>
        <v/>
      </c>
    </row>
    <row r="23554" spans="15:15" x14ac:dyDescent="0.25">
      <c r="O23554" s="20" t="str">
        <f>IF(N23554="","",COUNTIFS(RawData[[Date ]],N23554,RawData[Month List],$Q$6,RawData[Tour/Site],$Q$2,RawData[[Picker ID ]],$Q$3,RawData[Checker ID],$Q$4,RawData[[Error Type ]],$Q$5))</f>
        <v/>
      </c>
    </row>
    <row r="23555" spans="15:15" x14ac:dyDescent="0.25">
      <c r="O23555" s="20" t="str">
        <f>IF(N23555="","",COUNTIFS(RawData[[Date ]],N23555,RawData[Month List],$Q$6,RawData[Tour/Site],$Q$2,RawData[[Picker ID ]],$Q$3,RawData[Checker ID],$Q$4,RawData[[Error Type ]],$Q$5))</f>
        <v/>
      </c>
    </row>
    <row r="23556" spans="15:15" x14ac:dyDescent="0.25">
      <c r="O23556" s="20" t="str">
        <f>IF(N23556="","",COUNTIFS(RawData[[Date ]],N23556,RawData[Month List],$Q$6,RawData[Tour/Site],$Q$2,RawData[[Picker ID ]],$Q$3,RawData[Checker ID],$Q$4,RawData[[Error Type ]],$Q$5))</f>
        <v/>
      </c>
    </row>
    <row r="23557" spans="15:15" x14ac:dyDescent="0.25">
      <c r="O23557" s="20" t="str">
        <f>IF(N23557="","",COUNTIFS(RawData[[Date ]],N23557,RawData[Month List],$Q$6,RawData[Tour/Site],$Q$2,RawData[[Picker ID ]],$Q$3,RawData[Checker ID],$Q$4,RawData[[Error Type ]],$Q$5))</f>
        <v/>
      </c>
    </row>
    <row r="23558" spans="15:15" x14ac:dyDescent="0.25">
      <c r="O23558" s="20" t="str">
        <f>IF(N23558="","",COUNTIFS(RawData[[Date ]],N23558,RawData[Month List],$Q$6,RawData[Tour/Site],$Q$2,RawData[[Picker ID ]],$Q$3,RawData[Checker ID],$Q$4,RawData[[Error Type ]],$Q$5))</f>
        <v/>
      </c>
    </row>
    <row r="23559" spans="15:15" x14ac:dyDescent="0.25">
      <c r="O23559" s="20" t="str">
        <f>IF(N23559="","",COUNTIFS(RawData[[Date ]],N23559,RawData[Month List],$Q$6,RawData[Tour/Site],$Q$2,RawData[[Picker ID ]],$Q$3,RawData[Checker ID],$Q$4,RawData[[Error Type ]],$Q$5))</f>
        <v/>
      </c>
    </row>
    <row r="23560" spans="15:15" x14ac:dyDescent="0.25">
      <c r="O23560" s="20" t="str">
        <f>IF(N23560="","",COUNTIFS(RawData[[Date ]],N23560,RawData[Month List],$Q$6,RawData[Tour/Site],$Q$2,RawData[[Picker ID ]],$Q$3,RawData[Checker ID],$Q$4,RawData[[Error Type ]],$Q$5))</f>
        <v/>
      </c>
    </row>
    <row r="23561" spans="15:15" x14ac:dyDescent="0.25">
      <c r="O23561" s="20" t="str">
        <f>IF(N23561="","",COUNTIFS(RawData[[Date ]],N23561,RawData[Month List],$Q$6,RawData[Tour/Site],$Q$2,RawData[[Picker ID ]],$Q$3,RawData[Checker ID],$Q$4,RawData[[Error Type ]],$Q$5))</f>
        <v/>
      </c>
    </row>
    <row r="23562" spans="15:15" x14ac:dyDescent="0.25">
      <c r="O23562" s="20" t="str">
        <f>IF(N23562="","",COUNTIFS(RawData[[Date ]],N23562,RawData[Month List],$Q$6,RawData[Tour/Site],$Q$2,RawData[[Picker ID ]],$Q$3,RawData[Checker ID],$Q$4,RawData[[Error Type ]],$Q$5))</f>
        <v/>
      </c>
    </row>
    <row r="23563" spans="15:15" x14ac:dyDescent="0.25">
      <c r="O23563" s="20" t="str">
        <f>IF(N23563="","",COUNTIFS(RawData[[Date ]],N23563,RawData[Month List],$Q$6,RawData[Tour/Site],$Q$2,RawData[[Picker ID ]],$Q$3,RawData[Checker ID],$Q$4,RawData[[Error Type ]],$Q$5))</f>
        <v/>
      </c>
    </row>
    <row r="23564" spans="15:15" x14ac:dyDescent="0.25">
      <c r="O23564" s="20" t="str">
        <f>IF(N23564="","",COUNTIFS(RawData[[Date ]],N23564,RawData[Month List],$Q$6,RawData[Tour/Site],$Q$2,RawData[[Picker ID ]],$Q$3,RawData[Checker ID],$Q$4,RawData[[Error Type ]],$Q$5))</f>
        <v/>
      </c>
    </row>
    <row r="23565" spans="15:15" x14ac:dyDescent="0.25">
      <c r="O23565" s="20" t="str">
        <f>IF(N23565="","",COUNTIFS(RawData[[Date ]],N23565,RawData[Month List],$Q$6,RawData[Tour/Site],$Q$2,RawData[[Picker ID ]],$Q$3,RawData[Checker ID],$Q$4,RawData[[Error Type ]],$Q$5))</f>
        <v/>
      </c>
    </row>
    <row r="23566" spans="15:15" x14ac:dyDescent="0.25">
      <c r="O23566" s="20" t="str">
        <f>IF(N23566="","",COUNTIFS(RawData[[Date ]],N23566,RawData[Month List],$Q$6,RawData[Tour/Site],$Q$2,RawData[[Picker ID ]],$Q$3,RawData[Checker ID],$Q$4,RawData[[Error Type ]],$Q$5))</f>
        <v/>
      </c>
    </row>
    <row r="23567" spans="15:15" x14ac:dyDescent="0.25">
      <c r="O23567" s="20" t="str">
        <f>IF(N23567="","",COUNTIFS(RawData[[Date ]],N23567,RawData[Month List],$Q$6,RawData[Tour/Site],$Q$2,RawData[[Picker ID ]],$Q$3,RawData[Checker ID],$Q$4,RawData[[Error Type ]],$Q$5))</f>
        <v/>
      </c>
    </row>
    <row r="23568" spans="15:15" x14ac:dyDescent="0.25">
      <c r="O23568" s="20" t="str">
        <f>IF(N23568="","",COUNTIFS(RawData[[Date ]],N23568,RawData[Month List],$Q$6,RawData[Tour/Site],$Q$2,RawData[[Picker ID ]],$Q$3,RawData[Checker ID],$Q$4,RawData[[Error Type ]],$Q$5))</f>
        <v/>
      </c>
    </row>
    <row r="23569" spans="15:15" x14ac:dyDescent="0.25">
      <c r="O23569" s="20" t="str">
        <f>IF(N23569="","",COUNTIFS(RawData[[Date ]],N23569,RawData[Month List],$Q$6,RawData[Tour/Site],$Q$2,RawData[[Picker ID ]],$Q$3,RawData[Checker ID],$Q$4,RawData[[Error Type ]],$Q$5))</f>
        <v/>
      </c>
    </row>
    <row r="23570" spans="15:15" x14ac:dyDescent="0.25">
      <c r="O23570" s="20" t="str">
        <f>IF(N23570="","",COUNTIFS(RawData[[Date ]],N23570,RawData[Month List],$Q$6,RawData[Tour/Site],$Q$2,RawData[[Picker ID ]],$Q$3,RawData[Checker ID],$Q$4,RawData[[Error Type ]],$Q$5))</f>
        <v/>
      </c>
    </row>
    <row r="23571" spans="15:15" x14ac:dyDescent="0.25">
      <c r="O23571" s="20" t="str">
        <f>IF(N23571="","",COUNTIFS(RawData[[Date ]],N23571,RawData[Month List],$Q$6,RawData[Tour/Site],$Q$2,RawData[[Picker ID ]],$Q$3,RawData[Checker ID],$Q$4,RawData[[Error Type ]],$Q$5))</f>
        <v/>
      </c>
    </row>
    <row r="23572" spans="15:15" x14ac:dyDescent="0.25">
      <c r="O23572" s="20" t="str">
        <f>IF(N23572="","",COUNTIFS(RawData[[Date ]],N23572,RawData[Month List],$Q$6,RawData[Tour/Site],$Q$2,RawData[[Picker ID ]],$Q$3,RawData[Checker ID],$Q$4,RawData[[Error Type ]],$Q$5))</f>
        <v/>
      </c>
    </row>
    <row r="23573" spans="15:15" x14ac:dyDescent="0.25">
      <c r="O23573" s="20" t="str">
        <f>IF(N23573="","",COUNTIFS(RawData[[Date ]],N23573,RawData[Month List],$Q$6,RawData[Tour/Site],$Q$2,RawData[[Picker ID ]],$Q$3,RawData[Checker ID],$Q$4,RawData[[Error Type ]],$Q$5))</f>
        <v/>
      </c>
    </row>
    <row r="23574" spans="15:15" x14ac:dyDescent="0.25">
      <c r="O23574" s="20" t="str">
        <f>IF(N23574="","",COUNTIFS(RawData[[Date ]],N23574,RawData[Month List],$Q$6,RawData[Tour/Site],$Q$2,RawData[[Picker ID ]],$Q$3,RawData[Checker ID],$Q$4,RawData[[Error Type ]],$Q$5))</f>
        <v/>
      </c>
    </row>
    <row r="23575" spans="15:15" x14ac:dyDescent="0.25">
      <c r="O23575" s="20" t="str">
        <f>IF(N23575="","",COUNTIFS(RawData[[Date ]],N23575,RawData[Month List],$Q$6,RawData[Tour/Site],$Q$2,RawData[[Picker ID ]],$Q$3,RawData[Checker ID],$Q$4,RawData[[Error Type ]],$Q$5))</f>
        <v/>
      </c>
    </row>
    <row r="23576" spans="15:15" x14ac:dyDescent="0.25">
      <c r="O23576" s="20" t="str">
        <f>IF(N23576="","",COUNTIFS(RawData[[Date ]],N23576,RawData[Month List],$Q$6,RawData[Tour/Site],$Q$2,RawData[[Picker ID ]],$Q$3,RawData[Checker ID],$Q$4,RawData[[Error Type ]],$Q$5))</f>
        <v/>
      </c>
    </row>
    <row r="23577" spans="15:15" x14ac:dyDescent="0.25">
      <c r="O23577" s="20" t="str">
        <f>IF(N23577="","",COUNTIFS(RawData[[Date ]],N23577,RawData[Month List],$Q$6,RawData[Tour/Site],$Q$2,RawData[[Picker ID ]],$Q$3,RawData[Checker ID],$Q$4,RawData[[Error Type ]],$Q$5))</f>
        <v/>
      </c>
    </row>
    <row r="23578" spans="15:15" x14ac:dyDescent="0.25">
      <c r="O23578" s="20" t="str">
        <f>IF(N23578="","",COUNTIFS(RawData[[Date ]],N23578,RawData[Month List],$Q$6,RawData[Tour/Site],$Q$2,RawData[[Picker ID ]],$Q$3,RawData[Checker ID],$Q$4,RawData[[Error Type ]],$Q$5))</f>
        <v/>
      </c>
    </row>
    <row r="23579" spans="15:15" x14ac:dyDescent="0.25">
      <c r="O23579" s="20" t="str">
        <f>IF(N23579="","",COUNTIFS(RawData[[Date ]],N23579,RawData[Month List],$Q$6,RawData[Tour/Site],$Q$2,RawData[[Picker ID ]],$Q$3,RawData[Checker ID],$Q$4,RawData[[Error Type ]],$Q$5))</f>
        <v/>
      </c>
    </row>
    <row r="23580" spans="15:15" x14ac:dyDescent="0.25">
      <c r="O23580" s="20" t="str">
        <f>IF(N23580="","",COUNTIFS(RawData[[Date ]],N23580,RawData[Month List],$Q$6,RawData[Tour/Site],$Q$2,RawData[[Picker ID ]],$Q$3,RawData[Checker ID],$Q$4,RawData[[Error Type ]],$Q$5))</f>
        <v/>
      </c>
    </row>
    <row r="23581" spans="15:15" x14ac:dyDescent="0.25">
      <c r="O23581" s="20" t="str">
        <f>IF(N23581="","",COUNTIFS(RawData[[Date ]],N23581,RawData[Month List],$Q$6,RawData[Tour/Site],$Q$2,RawData[[Picker ID ]],$Q$3,RawData[Checker ID],$Q$4,RawData[[Error Type ]],$Q$5))</f>
        <v/>
      </c>
    </row>
    <row r="23582" spans="15:15" x14ac:dyDescent="0.25">
      <c r="O23582" s="20" t="str">
        <f>IF(N23582="","",COUNTIFS(RawData[[Date ]],N23582,RawData[Month List],$Q$6,RawData[Tour/Site],$Q$2,RawData[[Picker ID ]],$Q$3,RawData[Checker ID],$Q$4,RawData[[Error Type ]],$Q$5))</f>
        <v/>
      </c>
    </row>
    <row r="23583" spans="15:15" x14ac:dyDescent="0.25">
      <c r="O23583" s="20" t="str">
        <f>IF(N23583="","",COUNTIFS(RawData[[Date ]],N23583,RawData[Month List],$Q$6,RawData[Tour/Site],$Q$2,RawData[[Picker ID ]],$Q$3,RawData[Checker ID],$Q$4,RawData[[Error Type ]],$Q$5))</f>
        <v/>
      </c>
    </row>
    <row r="23584" spans="15:15" x14ac:dyDescent="0.25">
      <c r="O23584" s="20" t="str">
        <f>IF(N23584="","",COUNTIFS(RawData[[Date ]],N23584,RawData[Month List],$Q$6,RawData[Tour/Site],$Q$2,RawData[[Picker ID ]],$Q$3,RawData[Checker ID],$Q$4,RawData[[Error Type ]],$Q$5))</f>
        <v/>
      </c>
    </row>
    <row r="23585" spans="15:15" x14ac:dyDescent="0.25">
      <c r="O23585" s="20" t="str">
        <f>IF(N23585="","",COUNTIFS(RawData[[Date ]],N23585,RawData[Month List],$Q$6,RawData[Tour/Site],$Q$2,RawData[[Picker ID ]],$Q$3,RawData[Checker ID],$Q$4,RawData[[Error Type ]],$Q$5))</f>
        <v/>
      </c>
    </row>
    <row r="23586" spans="15:15" x14ac:dyDescent="0.25">
      <c r="O23586" s="20" t="str">
        <f>IF(N23586="","",COUNTIFS(RawData[[Date ]],N23586,RawData[Month List],$Q$6,RawData[Tour/Site],$Q$2,RawData[[Picker ID ]],$Q$3,RawData[Checker ID],$Q$4,RawData[[Error Type ]],$Q$5))</f>
        <v/>
      </c>
    </row>
    <row r="23587" spans="15:15" x14ac:dyDescent="0.25">
      <c r="O23587" s="20" t="str">
        <f>IF(N23587="","",COUNTIFS(RawData[[Date ]],N23587,RawData[Month List],$Q$6,RawData[Tour/Site],$Q$2,RawData[[Picker ID ]],$Q$3,RawData[Checker ID],$Q$4,RawData[[Error Type ]],$Q$5))</f>
        <v/>
      </c>
    </row>
    <row r="23588" spans="15:15" x14ac:dyDescent="0.25">
      <c r="O23588" s="20" t="str">
        <f>IF(N23588="","",COUNTIFS(RawData[[Date ]],N23588,RawData[Month List],$Q$6,RawData[Tour/Site],$Q$2,RawData[[Picker ID ]],$Q$3,RawData[Checker ID],$Q$4,RawData[[Error Type ]],$Q$5))</f>
        <v/>
      </c>
    </row>
    <row r="23589" spans="15:15" x14ac:dyDescent="0.25">
      <c r="O23589" s="20" t="str">
        <f>IF(N23589="","",COUNTIFS(RawData[[Date ]],N23589,RawData[Month List],$Q$6,RawData[Tour/Site],$Q$2,RawData[[Picker ID ]],$Q$3,RawData[Checker ID],$Q$4,RawData[[Error Type ]],$Q$5))</f>
        <v/>
      </c>
    </row>
    <row r="23590" spans="15:15" x14ac:dyDescent="0.25">
      <c r="O23590" s="20" t="str">
        <f>IF(N23590="","",COUNTIFS(RawData[[Date ]],N23590,RawData[Month List],$Q$6,RawData[Tour/Site],$Q$2,RawData[[Picker ID ]],$Q$3,RawData[Checker ID],$Q$4,RawData[[Error Type ]],$Q$5))</f>
        <v/>
      </c>
    </row>
    <row r="23591" spans="15:15" x14ac:dyDescent="0.25">
      <c r="O23591" s="20" t="str">
        <f>IF(N23591="","",COUNTIFS(RawData[[Date ]],N23591,RawData[Month List],$Q$6,RawData[Tour/Site],$Q$2,RawData[[Picker ID ]],$Q$3,RawData[Checker ID],$Q$4,RawData[[Error Type ]],$Q$5))</f>
        <v/>
      </c>
    </row>
    <row r="23592" spans="15:15" x14ac:dyDescent="0.25">
      <c r="O23592" s="20" t="str">
        <f>IF(N23592="","",COUNTIFS(RawData[[Date ]],N23592,RawData[Month List],$Q$6,RawData[Tour/Site],$Q$2,RawData[[Picker ID ]],$Q$3,RawData[Checker ID],$Q$4,RawData[[Error Type ]],$Q$5))</f>
        <v/>
      </c>
    </row>
    <row r="23593" spans="15:15" x14ac:dyDescent="0.25">
      <c r="O23593" s="20" t="str">
        <f>IF(N23593="","",COUNTIFS(RawData[[Date ]],N23593,RawData[Month List],$Q$6,RawData[Tour/Site],$Q$2,RawData[[Picker ID ]],$Q$3,RawData[Checker ID],$Q$4,RawData[[Error Type ]],$Q$5))</f>
        <v/>
      </c>
    </row>
    <row r="23594" spans="15:15" x14ac:dyDescent="0.25">
      <c r="O23594" s="20" t="str">
        <f>IF(N23594="","",COUNTIFS(RawData[[Date ]],N23594,RawData[Month List],$Q$6,RawData[Tour/Site],$Q$2,RawData[[Picker ID ]],$Q$3,RawData[Checker ID],$Q$4,RawData[[Error Type ]],$Q$5))</f>
        <v/>
      </c>
    </row>
    <row r="23595" spans="15:15" x14ac:dyDescent="0.25">
      <c r="O23595" s="20" t="str">
        <f>IF(N23595="","",COUNTIFS(RawData[[Date ]],N23595,RawData[Month List],$Q$6,RawData[Tour/Site],$Q$2,RawData[[Picker ID ]],$Q$3,RawData[Checker ID],$Q$4,RawData[[Error Type ]],$Q$5))</f>
        <v/>
      </c>
    </row>
    <row r="23596" spans="15:15" x14ac:dyDescent="0.25">
      <c r="O23596" s="20" t="str">
        <f>IF(N23596="","",COUNTIFS(RawData[[Date ]],N23596,RawData[Month List],$Q$6,RawData[Tour/Site],$Q$2,RawData[[Picker ID ]],$Q$3,RawData[Checker ID],$Q$4,RawData[[Error Type ]],$Q$5))</f>
        <v/>
      </c>
    </row>
    <row r="23597" spans="15:15" x14ac:dyDescent="0.25">
      <c r="O23597" s="20" t="str">
        <f>IF(N23597="","",COUNTIFS(RawData[[Date ]],N23597,RawData[Month List],$Q$6,RawData[Tour/Site],$Q$2,RawData[[Picker ID ]],$Q$3,RawData[Checker ID],$Q$4,RawData[[Error Type ]],$Q$5))</f>
        <v/>
      </c>
    </row>
    <row r="23598" spans="15:15" x14ac:dyDescent="0.25">
      <c r="O23598" s="20" t="str">
        <f>IF(N23598="","",COUNTIFS(RawData[[Date ]],N23598,RawData[Month List],$Q$6,RawData[Tour/Site],$Q$2,RawData[[Picker ID ]],$Q$3,RawData[Checker ID],$Q$4,RawData[[Error Type ]],$Q$5))</f>
        <v/>
      </c>
    </row>
    <row r="23599" spans="15:15" x14ac:dyDescent="0.25">
      <c r="O23599" s="20" t="str">
        <f>IF(N23599="","",COUNTIFS(RawData[[Date ]],N23599,RawData[Month List],$Q$6,RawData[Tour/Site],$Q$2,RawData[[Picker ID ]],$Q$3,RawData[Checker ID],$Q$4,RawData[[Error Type ]],$Q$5))</f>
        <v/>
      </c>
    </row>
    <row r="23600" spans="15:15" x14ac:dyDescent="0.25">
      <c r="O23600" s="20" t="str">
        <f>IF(N23600="","",COUNTIFS(RawData[[Date ]],N23600,RawData[Month List],$Q$6,RawData[Tour/Site],$Q$2,RawData[[Picker ID ]],$Q$3,RawData[Checker ID],$Q$4,RawData[[Error Type ]],$Q$5))</f>
        <v/>
      </c>
    </row>
    <row r="23601" spans="15:15" x14ac:dyDescent="0.25">
      <c r="O23601" s="20" t="str">
        <f>IF(N23601="","",COUNTIFS(RawData[[Date ]],N23601,RawData[Month List],$Q$6,RawData[Tour/Site],$Q$2,RawData[[Picker ID ]],$Q$3,RawData[Checker ID],$Q$4,RawData[[Error Type ]],$Q$5))</f>
        <v/>
      </c>
    </row>
    <row r="23602" spans="15:15" x14ac:dyDescent="0.25">
      <c r="O23602" s="20" t="str">
        <f>IF(N23602="","",COUNTIFS(RawData[[Date ]],N23602,RawData[Month List],$Q$6,RawData[Tour/Site],$Q$2,RawData[[Picker ID ]],$Q$3,RawData[Checker ID],$Q$4,RawData[[Error Type ]],$Q$5))</f>
        <v/>
      </c>
    </row>
    <row r="23603" spans="15:15" x14ac:dyDescent="0.25">
      <c r="O23603" s="20" t="str">
        <f>IF(N23603="","",COUNTIFS(RawData[[Date ]],N23603,RawData[Month List],$Q$6,RawData[Tour/Site],$Q$2,RawData[[Picker ID ]],$Q$3,RawData[Checker ID],$Q$4,RawData[[Error Type ]],$Q$5))</f>
        <v/>
      </c>
    </row>
    <row r="23604" spans="15:15" x14ac:dyDescent="0.25">
      <c r="O23604" s="20" t="str">
        <f>IF(N23604="","",COUNTIFS(RawData[[Date ]],N23604,RawData[Month List],$Q$6,RawData[Tour/Site],$Q$2,RawData[[Picker ID ]],$Q$3,RawData[Checker ID],$Q$4,RawData[[Error Type ]],$Q$5))</f>
        <v/>
      </c>
    </row>
    <row r="23605" spans="15:15" x14ac:dyDescent="0.25">
      <c r="O23605" s="20" t="str">
        <f>IF(N23605="","",COUNTIFS(RawData[[Date ]],N23605,RawData[Month List],$Q$6,RawData[Tour/Site],$Q$2,RawData[[Picker ID ]],$Q$3,RawData[Checker ID],$Q$4,RawData[[Error Type ]],$Q$5))</f>
        <v/>
      </c>
    </row>
    <row r="23606" spans="15:15" x14ac:dyDescent="0.25">
      <c r="O23606" s="20" t="str">
        <f>IF(N23606="","",COUNTIFS(RawData[[Date ]],N23606,RawData[Month List],$Q$6,RawData[Tour/Site],$Q$2,RawData[[Picker ID ]],$Q$3,RawData[Checker ID],$Q$4,RawData[[Error Type ]],$Q$5))</f>
        <v/>
      </c>
    </row>
    <row r="23607" spans="15:15" x14ac:dyDescent="0.25">
      <c r="O23607" s="20" t="str">
        <f>IF(N23607="","",COUNTIFS(RawData[[Date ]],N23607,RawData[Month List],$Q$6,RawData[Tour/Site],$Q$2,RawData[[Picker ID ]],$Q$3,RawData[Checker ID],$Q$4,RawData[[Error Type ]],$Q$5))</f>
        <v/>
      </c>
    </row>
    <row r="23608" spans="15:15" x14ac:dyDescent="0.25">
      <c r="O23608" s="20" t="str">
        <f>IF(N23608="","",COUNTIFS(RawData[[Date ]],N23608,RawData[Month List],$Q$6,RawData[Tour/Site],$Q$2,RawData[[Picker ID ]],$Q$3,RawData[Checker ID],$Q$4,RawData[[Error Type ]],$Q$5))</f>
        <v/>
      </c>
    </row>
    <row r="23609" spans="15:15" x14ac:dyDescent="0.25">
      <c r="O23609" s="20" t="str">
        <f>IF(N23609="","",COUNTIFS(RawData[[Date ]],N23609,RawData[Month List],$Q$6,RawData[Tour/Site],$Q$2,RawData[[Picker ID ]],$Q$3,RawData[Checker ID],$Q$4,RawData[[Error Type ]],$Q$5))</f>
        <v/>
      </c>
    </row>
    <row r="23610" spans="15:15" x14ac:dyDescent="0.25">
      <c r="O23610" s="20" t="str">
        <f>IF(N23610="","",COUNTIFS(RawData[[Date ]],N23610,RawData[Month List],$Q$6,RawData[Tour/Site],$Q$2,RawData[[Picker ID ]],$Q$3,RawData[Checker ID],$Q$4,RawData[[Error Type ]],$Q$5))</f>
        <v/>
      </c>
    </row>
    <row r="23611" spans="15:15" x14ac:dyDescent="0.25">
      <c r="O23611" s="20" t="str">
        <f>IF(N23611="","",COUNTIFS(RawData[[Date ]],N23611,RawData[Month List],$Q$6,RawData[Tour/Site],$Q$2,RawData[[Picker ID ]],$Q$3,RawData[Checker ID],$Q$4,RawData[[Error Type ]],$Q$5))</f>
        <v/>
      </c>
    </row>
    <row r="23612" spans="15:15" x14ac:dyDescent="0.25">
      <c r="O23612" s="20" t="str">
        <f>IF(N23612="","",COUNTIFS(RawData[[Date ]],N23612,RawData[Month List],$Q$6,RawData[Tour/Site],$Q$2,RawData[[Picker ID ]],$Q$3,RawData[Checker ID],$Q$4,RawData[[Error Type ]],$Q$5))</f>
        <v/>
      </c>
    </row>
    <row r="23613" spans="15:15" x14ac:dyDescent="0.25">
      <c r="O23613" s="20" t="str">
        <f>IF(N23613="","",COUNTIFS(RawData[[Date ]],N23613,RawData[Month List],$Q$6,RawData[Tour/Site],$Q$2,RawData[[Picker ID ]],$Q$3,RawData[Checker ID],$Q$4,RawData[[Error Type ]],$Q$5))</f>
        <v/>
      </c>
    </row>
    <row r="23614" spans="15:15" x14ac:dyDescent="0.25">
      <c r="O23614" s="20" t="str">
        <f>IF(N23614="","",COUNTIFS(RawData[[Date ]],N23614,RawData[Month List],$Q$6,RawData[Tour/Site],$Q$2,RawData[[Picker ID ]],$Q$3,RawData[Checker ID],$Q$4,RawData[[Error Type ]],$Q$5))</f>
        <v/>
      </c>
    </row>
    <row r="23615" spans="15:15" x14ac:dyDescent="0.25">
      <c r="O23615" s="20" t="str">
        <f>IF(N23615="","",COUNTIFS(RawData[[Date ]],N23615,RawData[Month List],$Q$6,RawData[Tour/Site],$Q$2,RawData[[Picker ID ]],$Q$3,RawData[Checker ID],$Q$4,RawData[[Error Type ]],$Q$5))</f>
        <v/>
      </c>
    </row>
    <row r="23616" spans="15:15" x14ac:dyDescent="0.25">
      <c r="O23616" s="20" t="str">
        <f>IF(N23616="","",COUNTIFS(RawData[[Date ]],N23616,RawData[Month List],$Q$6,RawData[Tour/Site],$Q$2,RawData[[Picker ID ]],$Q$3,RawData[Checker ID],$Q$4,RawData[[Error Type ]],$Q$5))</f>
        <v/>
      </c>
    </row>
    <row r="23617" spans="15:15" x14ac:dyDescent="0.25">
      <c r="O23617" s="20" t="str">
        <f>IF(N23617="","",COUNTIFS(RawData[[Date ]],N23617,RawData[Month List],$Q$6,RawData[Tour/Site],$Q$2,RawData[[Picker ID ]],$Q$3,RawData[Checker ID],$Q$4,RawData[[Error Type ]],$Q$5))</f>
        <v/>
      </c>
    </row>
    <row r="23618" spans="15:15" x14ac:dyDescent="0.25">
      <c r="O23618" s="20" t="str">
        <f>IF(N23618="","",COUNTIFS(RawData[[Date ]],N23618,RawData[Month List],$Q$6,RawData[Tour/Site],$Q$2,RawData[[Picker ID ]],$Q$3,RawData[Checker ID],$Q$4,RawData[[Error Type ]],$Q$5))</f>
        <v/>
      </c>
    </row>
    <row r="23619" spans="15:15" x14ac:dyDescent="0.25">
      <c r="O23619" s="20" t="str">
        <f>IF(N23619="","",COUNTIFS(RawData[[Date ]],N23619,RawData[Month List],$Q$6,RawData[Tour/Site],$Q$2,RawData[[Picker ID ]],$Q$3,RawData[Checker ID],$Q$4,RawData[[Error Type ]],$Q$5))</f>
        <v/>
      </c>
    </row>
    <row r="23620" spans="15:15" x14ac:dyDescent="0.25">
      <c r="O23620" s="20" t="str">
        <f>IF(N23620="","",COUNTIFS(RawData[[Date ]],N23620,RawData[Month List],$Q$6,RawData[Tour/Site],$Q$2,RawData[[Picker ID ]],$Q$3,RawData[Checker ID],$Q$4,RawData[[Error Type ]],$Q$5))</f>
        <v/>
      </c>
    </row>
    <row r="23621" spans="15:15" x14ac:dyDescent="0.25">
      <c r="O23621" s="20" t="str">
        <f>IF(N23621="","",COUNTIFS(RawData[[Date ]],N23621,RawData[Month List],$Q$6,RawData[Tour/Site],$Q$2,RawData[[Picker ID ]],$Q$3,RawData[Checker ID],$Q$4,RawData[[Error Type ]],$Q$5))</f>
        <v/>
      </c>
    </row>
    <row r="23622" spans="15:15" x14ac:dyDescent="0.25">
      <c r="O23622" s="20" t="str">
        <f>IF(N23622="","",COUNTIFS(RawData[[Date ]],N23622,RawData[Month List],$Q$6,RawData[Tour/Site],$Q$2,RawData[[Picker ID ]],$Q$3,RawData[Checker ID],$Q$4,RawData[[Error Type ]],$Q$5))</f>
        <v/>
      </c>
    </row>
    <row r="23623" spans="15:15" x14ac:dyDescent="0.25">
      <c r="O23623" s="20" t="str">
        <f>IF(N23623="","",COUNTIFS(RawData[[Date ]],N23623,RawData[Month List],$Q$6,RawData[Tour/Site],$Q$2,RawData[[Picker ID ]],$Q$3,RawData[Checker ID],$Q$4,RawData[[Error Type ]],$Q$5))</f>
        <v/>
      </c>
    </row>
    <row r="23624" spans="15:15" x14ac:dyDescent="0.25">
      <c r="O23624" s="20" t="str">
        <f>IF(N23624="","",COUNTIFS(RawData[[Date ]],N23624,RawData[Month List],$Q$6,RawData[Tour/Site],$Q$2,RawData[[Picker ID ]],$Q$3,RawData[Checker ID],$Q$4,RawData[[Error Type ]],$Q$5))</f>
        <v/>
      </c>
    </row>
    <row r="23625" spans="15:15" x14ac:dyDescent="0.25">
      <c r="O23625" s="20" t="str">
        <f>IF(N23625="","",COUNTIFS(RawData[[Date ]],N23625,RawData[Month List],$Q$6,RawData[Tour/Site],$Q$2,RawData[[Picker ID ]],$Q$3,RawData[Checker ID],$Q$4,RawData[[Error Type ]],$Q$5))</f>
        <v/>
      </c>
    </row>
    <row r="23626" spans="15:15" x14ac:dyDescent="0.25">
      <c r="O23626" s="20" t="str">
        <f>IF(N23626="","",COUNTIFS(RawData[[Date ]],N23626,RawData[Month List],$Q$6,RawData[Tour/Site],$Q$2,RawData[[Picker ID ]],$Q$3,RawData[Checker ID],$Q$4,RawData[[Error Type ]],$Q$5))</f>
        <v/>
      </c>
    </row>
    <row r="23627" spans="15:15" x14ac:dyDescent="0.25">
      <c r="O23627" s="20" t="str">
        <f>IF(N23627="","",COUNTIFS(RawData[[Date ]],N23627,RawData[Month List],$Q$6,RawData[Tour/Site],$Q$2,RawData[[Picker ID ]],$Q$3,RawData[Checker ID],$Q$4,RawData[[Error Type ]],$Q$5))</f>
        <v/>
      </c>
    </row>
    <row r="23628" spans="15:15" x14ac:dyDescent="0.25">
      <c r="O23628" s="20" t="str">
        <f>IF(N23628="","",COUNTIFS(RawData[[Date ]],N23628,RawData[Month List],$Q$6,RawData[Tour/Site],$Q$2,RawData[[Picker ID ]],$Q$3,RawData[Checker ID],$Q$4,RawData[[Error Type ]],$Q$5))</f>
        <v/>
      </c>
    </row>
    <row r="23629" spans="15:15" x14ac:dyDescent="0.25">
      <c r="O23629" s="20" t="str">
        <f>IF(N23629="","",COUNTIFS(RawData[[Date ]],N23629,RawData[Month List],$Q$6,RawData[Tour/Site],$Q$2,RawData[[Picker ID ]],$Q$3,RawData[Checker ID],$Q$4,RawData[[Error Type ]],$Q$5))</f>
        <v/>
      </c>
    </row>
    <row r="23630" spans="15:15" x14ac:dyDescent="0.25">
      <c r="O23630" s="20" t="str">
        <f>IF(N23630="","",COUNTIFS(RawData[[Date ]],N23630,RawData[Month List],$Q$6,RawData[Tour/Site],$Q$2,RawData[[Picker ID ]],$Q$3,RawData[Checker ID],$Q$4,RawData[[Error Type ]],$Q$5))</f>
        <v/>
      </c>
    </row>
    <row r="23631" spans="15:15" x14ac:dyDescent="0.25">
      <c r="O23631" s="20" t="str">
        <f>IF(N23631="","",COUNTIFS(RawData[[Date ]],N23631,RawData[Month List],$Q$6,RawData[Tour/Site],$Q$2,RawData[[Picker ID ]],$Q$3,RawData[Checker ID],$Q$4,RawData[[Error Type ]],$Q$5))</f>
        <v/>
      </c>
    </row>
    <row r="23632" spans="15:15" x14ac:dyDescent="0.25">
      <c r="O23632" s="20" t="str">
        <f>IF(N23632="","",COUNTIFS(RawData[[Date ]],N23632,RawData[Month List],$Q$6,RawData[Tour/Site],$Q$2,RawData[[Picker ID ]],$Q$3,RawData[Checker ID],$Q$4,RawData[[Error Type ]],$Q$5))</f>
        <v/>
      </c>
    </row>
    <row r="23633" spans="15:15" x14ac:dyDescent="0.25">
      <c r="O23633" s="20" t="str">
        <f>IF(N23633="","",COUNTIFS(RawData[[Date ]],N23633,RawData[Month List],$Q$6,RawData[Tour/Site],$Q$2,RawData[[Picker ID ]],$Q$3,RawData[Checker ID],$Q$4,RawData[[Error Type ]],$Q$5))</f>
        <v/>
      </c>
    </row>
    <row r="23634" spans="15:15" x14ac:dyDescent="0.25">
      <c r="O23634" s="20" t="str">
        <f>IF(N23634="","",COUNTIFS(RawData[[Date ]],N23634,RawData[Month List],$Q$6,RawData[Tour/Site],$Q$2,RawData[[Picker ID ]],$Q$3,RawData[Checker ID],$Q$4,RawData[[Error Type ]],$Q$5))</f>
        <v/>
      </c>
    </row>
    <row r="23635" spans="15:15" x14ac:dyDescent="0.25">
      <c r="O23635" s="20" t="str">
        <f>IF(N23635="","",COUNTIFS(RawData[[Date ]],N23635,RawData[Month List],$Q$6,RawData[Tour/Site],$Q$2,RawData[[Picker ID ]],$Q$3,RawData[Checker ID],$Q$4,RawData[[Error Type ]],$Q$5))</f>
        <v/>
      </c>
    </row>
    <row r="23636" spans="15:15" x14ac:dyDescent="0.25">
      <c r="O23636" s="20" t="str">
        <f>IF(N23636="","",COUNTIFS(RawData[[Date ]],N23636,RawData[Month List],$Q$6,RawData[Tour/Site],$Q$2,RawData[[Picker ID ]],$Q$3,RawData[Checker ID],$Q$4,RawData[[Error Type ]],$Q$5))</f>
        <v/>
      </c>
    </row>
    <row r="23637" spans="15:15" x14ac:dyDescent="0.25">
      <c r="O23637" s="20" t="str">
        <f>IF(N23637="","",COUNTIFS(RawData[[Date ]],N23637,RawData[Month List],$Q$6,RawData[Tour/Site],$Q$2,RawData[[Picker ID ]],$Q$3,RawData[Checker ID],$Q$4,RawData[[Error Type ]],$Q$5))</f>
        <v/>
      </c>
    </row>
    <row r="23638" spans="15:15" x14ac:dyDescent="0.25">
      <c r="O23638" s="20" t="str">
        <f>IF(N23638="","",COUNTIFS(RawData[[Date ]],N23638,RawData[Month List],$Q$6,RawData[Tour/Site],$Q$2,RawData[[Picker ID ]],$Q$3,RawData[Checker ID],$Q$4,RawData[[Error Type ]],$Q$5))</f>
        <v/>
      </c>
    </row>
    <row r="23639" spans="15:15" x14ac:dyDescent="0.25">
      <c r="O23639" s="20" t="str">
        <f>IF(N23639="","",COUNTIFS(RawData[[Date ]],N23639,RawData[Month List],$Q$6,RawData[Tour/Site],$Q$2,RawData[[Picker ID ]],$Q$3,RawData[Checker ID],$Q$4,RawData[[Error Type ]],$Q$5))</f>
        <v/>
      </c>
    </row>
    <row r="23640" spans="15:15" x14ac:dyDescent="0.25">
      <c r="O23640" s="20" t="str">
        <f>IF(N23640="","",COUNTIFS(RawData[[Date ]],N23640,RawData[Month List],$Q$6,RawData[Tour/Site],$Q$2,RawData[[Picker ID ]],$Q$3,RawData[Checker ID],$Q$4,RawData[[Error Type ]],$Q$5))</f>
        <v/>
      </c>
    </row>
    <row r="23641" spans="15:15" x14ac:dyDescent="0.25">
      <c r="O23641" s="20" t="str">
        <f>IF(N23641="","",COUNTIFS(RawData[[Date ]],N23641,RawData[Month List],$Q$6,RawData[Tour/Site],$Q$2,RawData[[Picker ID ]],$Q$3,RawData[Checker ID],$Q$4,RawData[[Error Type ]],$Q$5))</f>
        <v/>
      </c>
    </row>
    <row r="23642" spans="15:15" x14ac:dyDescent="0.25">
      <c r="O23642" s="20" t="str">
        <f>IF(N23642="","",COUNTIFS(RawData[[Date ]],N23642,RawData[Month List],$Q$6,RawData[Tour/Site],$Q$2,RawData[[Picker ID ]],$Q$3,RawData[Checker ID],$Q$4,RawData[[Error Type ]],$Q$5))</f>
        <v/>
      </c>
    </row>
    <row r="23643" spans="15:15" x14ac:dyDescent="0.25">
      <c r="O23643" s="20" t="str">
        <f>IF(N23643="","",COUNTIFS(RawData[[Date ]],N23643,RawData[Month List],$Q$6,RawData[Tour/Site],$Q$2,RawData[[Picker ID ]],$Q$3,RawData[Checker ID],$Q$4,RawData[[Error Type ]],$Q$5))</f>
        <v/>
      </c>
    </row>
    <row r="23644" spans="15:15" x14ac:dyDescent="0.25">
      <c r="O23644" s="20" t="str">
        <f>IF(N23644="","",COUNTIFS(RawData[[Date ]],N23644,RawData[Month List],$Q$6,RawData[Tour/Site],$Q$2,RawData[[Picker ID ]],$Q$3,RawData[Checker ID],$Q$4,RawData[[Error Type ]],$Q$5))</f>
        <v/>
      </c>
    </row>
    <row r="23645" spans="15:15" x14ac:dyDescent="0.25">
      <c r="O23645" s="20" t="str">
        <f>IF(N23645="","",COUNTIFS(RawData[[Date ]],N23645,RawData[Month List],$Q$6,RawData[Tour/Site],$Q$2,RawData[[Picker ID ]],$Q$3,RawData[Checker ID],$Q$4,RawData[[Error Type ]],$Q$5))</f>
        <v/>
      </c>
    </row>
    <row r="23646" spans="15:15" x14ac:dyDescent="0.25">
      <c r="O23646" s="20" t="str">
        <f>IF(N23646="","",COUNTIFS(RawData[[Date ]],N23646,RawData[Month List],$Q$6,RawData[Tour/Site],$Q$2,RawData[[Picker ID ]],$Q$3,RawData[Checker ID],$Q$4,RawData[[Error Type ]],$Q$5))</f>
        <v/>
      </c>
    </row>
    <row r="23647" spans="15:15" x14ac:dyDescent="0.25">
      <c r="O23647" s="20" t="str">
        <f>IF(N23647="","",COUNTIFS(RawData[[Date ]],N23647,RawData[Month List],$Q$6,RawData[Tour/Site],$Q$2,RawData[[Picker ID ]],$Q$3,RawData[Checker ID],$Q$4,RawData[[Error Type ]],$Q$5))</f>
        <v/>
      </c>
    </row>
    <row r="23648" spans="15:15" x14ac:dyDescent="0.25">
      <c r="O23648" s="20" t="str">
        <f>IF(N23648="","",COUNTIFS(RawData[[Date ]],N23648,RawData[Month List],$Q$6,RawData[Tour/Site],$Q$2,RawData[[Picker ID ]],$Q$3,RawData[Checker ID],$Q$4,RawData[[Error Type ]],$Q$5))</f>
        <v/>
      </c>
    </row>
    <row r="23649" spans="15:15" x14ac:dyDescent="0.25">
      <c r="O23649" s="20" t="str">
        <f>IF(N23649="","",COUNTIFS(RawData[[Date ]],N23649,RawData[Month List],$Q$6,RawData[Tour/Site],$Q$2,RawData[[Picker ID ]],$Q$3,RawData[Checker ID],$Q$4,RawData[[Error Type ]],$Q$5))</f>
        <v/>
      </c>
    </row>
    <row r="23650" spans="15:15" x14ac:dyDescent="0.25">
      <c r="O23650" s="20" t="str">
        <f>IF(N23650="","",COUNTIFS(RawData[[Date ]],N23650,RawData[Month List],$Q$6,RawData[Tour/Site],$Q$2,RawData[[Picker ID ]],$Q$3,RawData[Checker ID],$Q$4,RawData[[Error Type ]],$Q$5))</f>
        <v/>
      </c>
    </row>
    <row r="23651" spans="15:15" x14ac:dyDescent="0.25">
      <c r="O23651" s="20" t="str">
        <f>IF(N23651="","",COUNTIFS(RawData[[Date ]],N23651,RawData[Month List],$Q$6,RawData[Tour/Site],$Q$2,RawData[[Picker ID ]],$Q$3,RawData[Checker ID],$Q$4,RawData[[Error Type ]],$Q$5))</f>
        <v/>
      </c>
    </row>
    <row r="23652" spans="15:15" x14ac:dyDescent="0.25">
      <c r="O23652" s="20" t="str">
        <f>IF(N23652="","",COUNTIFS(RawData[[Date ]],N23652,RawData[Month List],$Q$6,RawData[Tour/Site],$Q$2,RawData[[Picker ID ]],$Q$3,RawData[Checker ID],$Q$4,RawData[[Error Type ]],$Q$5))</f>
        <v/>
      </c>
    </row>
    <row r="23653" spans="15:15" x14ac:dyDescent="0.25">
      <c r="O23653" s="20" t="str">
        <f>IF(N23653="","",COUNTIFS(RawData[[Date ]],N23653,RawData[Month List],$Q$6,RawData[Tour/Site],$Q$2,RawData[[Picker ID ]],$Q$3,RawData[Checker ID],$Q$4,RawData[[Error Type ]],$Q$5))</f>
        <v/>
      </c>
    </row>
    <row r="23654" spans="15:15" x14ac:dyDescent="0.25">
      <c r="O23654" s="20" t="str">
        <f>IF(N23654="","",COUNTIFS(RawData[[Date ]],N23654,RawData[Month List],$Q$6,RawData[Tour/Site],$Q$2,RawData[[Picker ID ]],$Q$3,RawData[Checker ID],$Q$4,RawData[[Error Type ]],$Q$5))</f>
        <v/>
      </c>
    </row>
    <row r="23655" spans="15:15" x14ac:dyDescent="0.25">
      <c r="O23655" s="20" t="str">
        <f>IF(N23655="","",COUNTIFS(RawData[[Date ]],N23655,RawData[Month List],$Q$6,RawData[Tour/Site],$Q$2,RawData[[Picker ID ]],$Q$3,RawData[Checker ID],$Q$4,RawData[[Error Type ]],$Q$5))</f>
        <v/>
      </c>
    </row>
    <row r="23656" spans="15:15" x14ac:dyDescent="0.25">
      <c r="O23656" s="20" t="str">
        <f>IF(N23656="","",COUNTIFS(RawData[[Date ]],N23656,RawData[Month List],$Q$6,RawData[Tour/Site],$Q$2,RawData[[Picker ID ]],$Q$3,RawData[Checker ID],$Q$4,RawData[[Error Type ]],$Q$5))</f>
        <v/>
      </c>
    </row>
    <row r="23657" spans="15:15" x14ac:dyDescent="0.25">
      <c r="O23657" s="20" t="str">
        <f>IF(N23657="","",COUNTIFS(RawData[[Date ]],N23657,RawData[Month List],$Q$6,RawData[Tour/Site],$Q$2,RawData[[Picker ID ]],$Q$3,RawData[Checker ID],$Q$4,RawData[[Error Type ]],$Q$5))</f>
        <v/>
      </c>
    </row>
    <row r="23658" spans="15:15" x14ac:dyDescent="0.25">
      <c r="O23658" s="20" t="str">
        <f>IF(N23658="","",COUNTIFS(RawData[[Date ]],N23658,RawData[Month List],$Q$6,RawData[Tour/Site],$Q$2,RawData[[Picker ID ]],$Q$3,RawData[Checker ID],$Q$4,RawData[[Error Type ]],$Q$5))</f>
        <v/>
      </c>
    </row>
    <row r="23659" spans="15:15" x14ac:dyDescent="0.25">
      <c r="O23659" s="20" t="str">
        <f>IF(N23659="","",COUNTIFS(RawData[[Date ]],N23659,RawData[Month List],$Q$6,RawData[Tour/Site],$Q$2,RawData[[Picker ID ]],$Q$3,RawData[Checker ID],$Q$4,RawData[[Error Type ]],$Q$5))</f>
        <v/>
      </c>
    </row>
    <row r="23660" spans="15:15" x14ac:dyDescent="0.25">
      <c r="O23660" s="20" t="str">
        <f>IF(N23660="","",COUNTIFS(RawData[[Date ]],N23660,RawData[Month List],$Q$6,RawData[Tour/Site],$Q$2,RawData[[Picker ID ]],$Q$3,RawData[Checker ID],$Q$4,RawData[[Error Type ]],$Q$5))</f>
        <v/>
      </c>
    </row>
    <row r="23661" spans="15:15" x14ac:dyDescent="0.25">
      <c r="O23661" s="20" t="str">
        <f>IF(N23661="","",COUNTIFS(RawData[[Date ]],N23661,RawData[Month List],$Q$6,RawData[Tour/Site],$Q$2,RawData[[Picker ID ]],$Q$3,RawData[Checker ID],$Q$4,RawData[[Error Type ]],$Q$5))</f>
        <v/>
      </c>
    </row>
    <row r="23662" spans="15:15" x14ac:dyDescent="0.25">
      <c r="O23662" s="20" t="str">
        <f>IF(N23662="","",COUNTIFS(RawData[[Date ]],N23662,RawData[Month List],$Q$6,RawData[Tour/Site],$Q$2,RawData[[Picker ID ]],$Q$3,RawData[Checker ID],$Q$4,RawData[[Error Type ]],$Q$5))</f>
        <v/>
      </c>
    </row>
    <row r="23663" spans="15:15" x14ac:dyDescent="0.25">
      <c r="O23663" s="20" t="str">
        <f>IF(N23663="","",COUNTIFS(RawData[[Date ]],N23663,RawData[Month List],$Q$6,RawData[Tour/Site],$Q$2,RawData[[Picker ID ]],$Q$3,RawData[Checker ID],$Q$4,RawData[[Error Type ]],$Q$5))</f>
        <v/>
      </c>
    </row>
    <row r="23664" spans="15:15" x14ac:dyDescent="0.25">
      <c r="O23664" s="20" t="str">
        <f>IF(N23664="","",COUNTIFS(RawData[[Date ]],N23664,RawData[Month List],$Q$6,RawData[Tour/Site],$Q$2,RawData[[Picker ID ]],$Q$3,RawData[Checker ID],$Q$4,RawData[[Error Type ]],$Q$5))</f>
        <v/>
      </c>
    </row>
    <row r="23665" spans="15:15" x14ac:dyDescent="0.25">
      <c r="O23665" s="20" t="str">
        <f>IF(N23665="","",COUNTIFS(RawData[[Date ]],N23665,RawData[Month List],$Q$6,RawData[Tour/Site],$Q$2,RawData[[Picker ID ]],$Q$3,RawData[Checker ID],$Q$4,RawData[[Error Type ]],$Q$5))</f>
        <v/>
      </c>
    </row>
    <row r="23666" spans="15:15" x14ac:dyDescent="0.25">
      <c r="O23666" s="20" t="str">
        <f>IF(N23666="","",COUNTIFS(RawData[[Date ]],N23666,RawData[Month List],$Q$6,RawData[Tour/Site],$Q$2,RawData[[Picker ID ]],$Q$3,RawData[Checker ID],$Q$4,RawData[[Error Type ]],$Q$5))</f>
        <v/>
      </c>
    </row>
    <row r="23667" spans="15:15" x14ac:dyDescent="0.25">
      <c r="O23667" s="20" t="str">
        <f>IF(N23667="","",COUNTIFS(RawData[[Date ]],N23667,RawData[Month List],$Q$6,RawData[Tour/Site],$Q$2,RawData[[Picker ID ]],$Q$3,RawData[Checker ID],$Q$4,RawData[[Error Type ]],$Q$5))</f>
        <v/>
      </c>
    </row>
    <row r="23668" spans="15:15" x14ac:dyDescent="0.25">
      <c r="O23668" s="20" t="str">
        <f>IF(N23668="","",COUNTIFS(RawData[[Date ]],N23668,RawData[Month List],$Q$6,RawData[Tour/Site],$Q$2,RawData[[Picker ID ]],$Q$3,RawData[Checker ID],$Q$4,RawData[[Error Type ]],$Q$5))</f>
        <v/>
      </c>
    </row>
    <row r="23669" spans="15:15" x14ac:dyDescent="0.25">
      <c r="O23669" s="20" t="str">
        <f>IF(N23669="","",COUNTIFS(RawData[[Date ]],N23669,RawData[Month List],$Q$6,RawData[Tour/Site],$Q$2,RawData[[Picker ID ]],$Q$3,RawData[Checker ID],$Q$4,RawData[[Error Type ]],$Q$5))</f>
        <v/>
      </c>
    </row>
    <row r="23670" spans="15:15" x14ac:dyDescent="0.25">
      <c r="O23670" s="20" t="str">
        <f>IF(N23670="","",COUNTIFS(RawData[[Date ]],N23670,RawData[Month List],$Q$6,RawData[Tour/Site],$Q$2,RawData[[Picker ID ]],$Q$3,RawData[Checker ID],$Q$4,RawData[[Error Type ]],$Q$5))</f>
        <v/>
      </c>
    </row>
    <row r="23671" spans="15:15" x14ac:dyDescent="0.25">
      <c r="O23671" s="20" t="str">
        <f>IF(N23671="","",COUNTIFS(RawData[[Date ]],N23671,RawData[Month List],$Q$6,RawData[Tour/Site],$Q$2,RawData[[Picker ID ]],$Q$3,RawData[Checker ID],$Q$4,RawData[[Error Type ]],$Q$5))</f>
        <v/>
      </c>
    </row>
    <row r="23672" spans="15:15" x14ac:dyDescent="0.25">
      <c r="O23672" s="20" t="str">
        <f>IF(N23672="","",COUNTIFS(RawData[[Date ]],N23672,RawData[Month List],$Q$6,RawData[Tour/Site],$Q$2,RawData[[Picker ID ]],$Q$3,RawData[Checker ID],$Q$4,RawData[[Error Type ]],$Q$5))</f>
        <v/>
      </c>
    </row>
    <row r="23673" spans="15:15" x14ac:dyDescent="0.25">
      <c r="O23673" s="20" t="str">
        <f>IF(N23673="","",COUNTIFS(RawData[[Date ]],N23673,RawData[Month List],$Q$6,RawData[Tour/Site],$Q$2,RawData[[Picker ID ]],$Q$3,RawData[Checker ID],$Q$4,RawData[[Error Type ]],$Q$5))</f>
        <v/>
      </c>
    </row>
    <row r="23674" spans="15:15" x14ac:dyDescent="0.25">
      <c r="O23674" s="20" t="str">
        <f>IF(N23674="","",COUNTIFS(RawData[[Date ]],N23674,RawData[Month List],$Q$6,RawData[Tour/Site],$Q$2,RawData[[Picker ID ]],$Q$3,RawData[Checker ID],$Q$4,RawData[[Error Type ]],$Q$5))</f>
        <v/>
      </c>
    </row>
    <row r="23675" spans="15:15" x14ac:dyDescent="0.25">
      <c r="O23675" s="20" t="str">
        <f>IF(N23675="","",COUNTIFS(RawData[[Date ]],N23675,RawData[Month List],$Q$6,RawData[Tour/Site],$Q$2,RawData[[Picker ID ]],$Q$3,RawData[Checker ID],$Q$4,RawData[[Error Type ]],$Q$5))</f>
        <v/>
      </c>
    </row>
    <row r="23676" spans="15:15" x14ac:dyDescent="0.25">
      <c r="O23676" s="20" t="str">
        <f>IF(N23676="","",COUNTIFS(RawData[[Date ]],N23676,RawData[Month List],$Q$6,RawData[Tour/Site],$Q$2,RawData[[Picker ID ]],$Q$3,RawData[Checker ID],$Q$4,RawData[[Error Type ]],$Q$5))</f>
        <v/>
      </c>
    </row>
    <row r="23677" spans="15:15" x14ac:dyDescent="0.25">
      <c r="O23677" s="20" t="str">
        <f>IF(N23677="","",COUNTIFS(RawData[[Date ]],N23677,RawData[Month List],$Q$6,RawData[Tour/Site],$Q$2,RawData[[Picker ID ]],$Q$3,RawData[Checker ID],$Q$4,RawData[[Error Type ]],$Q$5))</f>
        <v/>
      </c>
    </row>
    <row r="23678" spans="15:15" x14ac:dyDescent="0.25">
      <c r="O23678" s="20" t="str">
        <f>IF(N23678="","",COUNTIFS(RawData[[Date ]],N23678,RawData[Month List],$Q$6,RawData[Tour/Site],$Q$2,RawData[[Picker ID ]],$Q$3,RawData[Checker ID],$Q$4,RawData[[Error Type ]],$Q$5))</f>
        <v/>
      </c>
    </row>
    <row r="23679" spans="15:15" x14ac:dyDescent="0.25">
      <c r="O23679" s="20" t="str">
        <f>IF(N23679="","",COUNTIFS(RawData[[Date ]],N23679,RawData[Month List],$Q$6,RawData[Tour/Site],$Q$2,RawData[[Picker ID ]],$Q$3,RawData[Checker ID],$Q$4,RawData[[Error Type ]],$Q$5))</f>
        <v/>
      </c>
    </row>
    <row r="23680" spans="15:15" x14ac:dyDescent="0.25">
      <c r="O23680" s="20" t="str">
        <f>IF(N23680="","",COUNTIFS(RawData[[Date ]],N23680,RawData[Month List],$Q$6,RawData[Tour/Site],$Q$2,RawData[[Picker ID ]],$Q$3,RawData[Checker ID],$Q$4,RawData[[Error Type ]],$Q$5))</f>
        <v/>
      </c>
    </row>
    <row r="23681" spans="15:15" x14ac:dyDescent="0.25">
      <c r="O23681" s="20" t="str">
        <f>IF(N23681="","",COUNTIFS(RawData[[Date ]],N23681,RawData[Month List],$Q$6,RawData[Tour/Site],$Q$2,RawData[[Picker ID ]],$Q$3,RawData[Checker ID],$Q$4,RawData[[Error Type ]],$Q$5))</f>
        <v/>
      </c>
    </row>
    <row r="23682" spans="15:15" x14ac:dyDescent="0.25">
      <c r="O23682" s="20" t="str">
        <f>IF(N23682="","",COUNTIFS(RawData[[Date ]],N23682,RawData[Month List],$Q$6,RawData[Tour/Site],$Q$2,RawData[[Picker ID ]],$Q$3,RawData[Checker ID],$Q$4,RawData[[Error Type ]],$Q$5))</f>
        <v/>
      </c>
    </row>
    <row r="23683" spans="15:15" x14ac:dyDescent="0.25">
      <c r="O23683" s="20" t="str">
        <f>IF(N23683="","",COUNTIFS(RawData[[Date ]],N23683,RawData[Month List],$Q$6,RawData[Tour/Site],$Q$2,RawData[[Picker ID ]],$Q$3,RawData[Checker ID],$Q$4,RawData[[Error Type ]],$Q$5))</f>
        <v/>
      </c>
    </row>
    <row r="23684" spans="15:15" x14ac:dyDescent="0.25">
      <c r="O23684" s="20" t="str">
        <f>IF(N23684="","",COUNTIFS(RawData[[Date ]],N23684,RawData[Month List],$Q$6,RawData[Tour/Site],$Q$2,RawData[[Picker ID ]],$Q$3,RawData[Checker ID],$Q$4,RawData[[Error Type ]],$Q$5))</f>
        <v/>
      </c>
    </row>
    <row r="23685" spans="15:15" x14ac:dyDescent="0.25">
      <c r="O23685" s="20" t="str">
        <f>IF(N23685="","",COUNTIFS(RawData[[Date ]],N23685,RawData[Month List],$Q$6,RawData[Tour/Site],$Q$2,RawData[[Picker ID ]],$Q$3,RawData[Checker ID],$Q$4,RawData[[Error Type ]],$Q$5))</f>
        <v/>
      </c>
    </row>
    <row r="23686" spans="15:15" x14ac:dyDescent="0.25">
      <c r="O23686" s="20" t="str">
        <f>IF(N23686="","",COUNTIFS(RawData[[Date ]],N23686,RawData[Month List],$Q$6,RawData[Tour/Site],$Q$2,RawData[[Picker ID ]],$Q$3,RawData[Checker ID],$Q$4,RawData[[Error Type ]],$Q$5))</f>
        <v/>
      </c>
    </row>
    <row r="23687" spans="15:15" x14ac:dyDescent="0.25">
      <c r="O23687" s="20" t="str">
        <f>IF(N23687="","",COUNTIFS(RawData[[Date ]],N23687,RawData[Month List],$Q$6,RawData[Tour/Site],$Q$2,RawData[[Picker ID ]],$Q$3,RawData[Checker ID],$Q$4,RawData[[Error Type ]],$Q$5))</f>
        <v/>
      </c>
    </row>
    <row r="23688" spans="15:15" x14ac:dyDescent="0.25">
      <c r="O23688" s="20" t="str">
        <f>IF(N23688="","",COUNTIFS(RawData[[Date ]],N23688,RawData[Month List],$Q$6,RawData[Tour/Site],$Q$2,RawData[[Picker ID ]],$Q$3,RawData[Checker ID],$Q$4,RawData[[Error Type ]],$Q$5))</f>
        <v/>
      </c>
    </row>
    <row r="23689" spans="15:15" x14ac:dyDescent="0.25">
      <c r="O23689" s="20" t="str">
        <f>IF(N23689="","",COUNTIFS(RawData[[Date ]],N23689,RawData[Month List],$Q$6,RawData[Tour/Site],$Q$2,RawData[[Picker ID ]],$Q$3,RawData[Checker ID],$Q$4,RawData[[Error Type ]],$Q$5))</f>
        <v/>
      </c>
    </row>
    <row r="23690" spans="15:15" x14ac:dyDescent="0.25">
      <c r="O23690" s="20" t="str">
        <f>IF(N23690="","",COUNTIFS(RawData[[Date ]],N23690,RawData[Month List],$Q$6,RawData[Tour/Site],$Q$2,RawData[[Picker ID ]],$Q$3,RawData[Checker ID],$Q$4,RawData[[Error Type ]],$Q$5))</f>
        <v/>
      </c>
    </row>
    <row r="23691" spans="15:15" x14ac:dyDescent="0.25">
      <c r="O23691" s="20" t="str">
        <f>IF(N23691="","",COUNTIFS(RawData[[Date ]],N23691,RawData[Month List],$Q$6,RawData[Tour/Site],$Q$2,RawData[[Picker ID ]],$Q$3,RawData[Checker ID],$Q$4,RawData[[Error Type ]],$Q$5))</f>
        <v/>
      </c>
    </row>
    <row r="23692" spans="15:15" x14ac:dyDescent="0.25">
      <c r="O23692" s="20" t="str">
        <f>IF(N23692="","",COUNTIFS(RawData[[Date ]],N23692,RawData[Month List],$Q$6,RawData[Tour/Site],$Q$2,RawData[[Picker ID ]],$Q$3,RawData[Checker ID],$Q$4,RawData[[Error Type ]],$Q$5))</f>
        <v/>
      </c>
    </row>
    <row r="23693" spans="15:15" x14ac:dyDescent="0.25">
      <c r="O23693" s="20" t="str">
        <f>IF(N23693="","",COUNTIFS(RawData[[Date ]],N23693,RawData[Month List],$Q$6,RawData[Tour/Site],$Q$2,RawData[[Picker ID ]],$Q$3,RawData[Checker ID],$Q$4,RawData[[Error Type ]],$Q$5))</f>
        <v/>
      </c>
    </row>
    <row r="23694" spans="15:15" x14ac:dyDescent="0.25">
      <c r="O23694" s="20" t="str">
        <f>IF(N23694="","",COUNTIFS(RawData[[Date ]],N23694,RawData[Month List],$Q$6,RawData[Tour/Site],$Q$2,RawData[[Picker ID ]],$Q$3,RawData[Checker ID],$Q$4,RawData[[Error Type ]],$Q$5))</f>
        <v/>
      </c>
    </row>
    <row r="23695" spans="15:15" x14ac:dyDescent="0.25">
      <c r="O23695" s="20" t="str">
        <f>IF(N23695="","",COUNTIFS(RawData[[Date ]],N23695,RawData[Month List],$Q$6,RawData[Tour/Site],$Q$2,RawData[[Picker ID ]],$Q$3,RawData[Checker ID],$Q$4,RawData[[Error Type ]],$Q$5))</f>
        <v/>
      </c>
    </row>
    <row r="23696" spans="15:15" x14ac:dyDescent="0.25">
      <c r="O23696" s="20" t="str">
        <f>IF(N23696="","",COUNTIFS(RawData[[Date ]],N23696,RawData[Month List],$Q$6,RawData[Tour/Site],$Q$2,RawData[[Picker ID ]],$Q$3,RawData[Checker ID],$Q$4,RawData[[Error Type ]],$Q$5))</f>
        <v/>
      </c>
    </row>
    <row r="23697" spans="15:15" x14ac:dyDescent="0.25">
      <c r="O23697" s="20" t="str">
        <f>IF(N23697="","",COUNTIFS(RawData[[Date ]],N23697,RawData[Month List],$Q$6,RawData[Tour/Site],$Q$2,RawData[[Picker ID ]],$Q$3,RawData[Checker ID],$Q$4,RawData[[Error Type ]],$Q$5))</f>
        <v/>
      </c>
    </row>
    <row r="23698" spans="15:15" x14ac:dyDescent="0.25">
      <c r="O23698" s="20" t="str">
        <f>IF(N23698="","",COUNTIFS(RawData[[Date ]],N23698,RawData[Month List],$Q$6,RawData[Tour/Site],$Q$2,RawData[[Picker ID ]],$Q$3,RawData[Checker ID],$Q$4,RawData[[Error Type ]],$Q$5))</f>
        <v/>
      </c>
    </row>
    <row r="23699" spans="15:15" x14ac:dyDescent="0.25">
      <c r="O23699" s="20" t="str">
        <f>IF(N23699="","",COUNTIFS(RawData[[Date ]],N23699,RawData[Month List],$Q$6,RawData[Tour/Site],$Q$2,RawData[[Picker ID ]],$Q$3,RawData[Checker ID],$Q$4,RawData[[Error Type ]],$Q$5))</f>
        <v/>
      </c>
    </row>
    <row r="23700" spans="15:15" x14ac:dyDescent="0.25">
      <c r="O23700" s="20" t="str">
        <f>IF(N23700="","",COUNTIFS(RawData[[Date ]],N23700,RawData[Month List],$Q$6,RawData[Tour/Site],$Q$2,RawData[[Picker ID ]],$Q$3,RawData[Checker ID],$Q$4,RawData[[Error Type ]],$Q$5))</f>
        <v/>
      </c>
    </row>
    <row r="23701" spans="15:15" x14ac:dyDescent="0.25">
      <c r="O23701" s="20" t="str">
        <f>IF(N23701="","",COUNTIFS(RawData[[Date ]],N23701,RawData[Month List],$Q$6,RawData[Tour/Site],$Q$2,RawData[[Picker ID ]],$Q$3,RawData[Checker ID],$Q$4,RawData[[Error Type ]],$Q$5))</f>
        <v/>
      </c>
    </row>
    <row r="23702" spans="15:15" x14ac:dyDescent="0.25">
      <c r="O23702" s="20" t="str">
        <f>IF(N23702="","",COUNTIFS(RawData[[Date ]],N23702,RawData[Month List],$Q$6,RawData[Tour/Site],$Q$2,RawData[[Picker ID ]],$Q$3,RawData[Checker ID],$Q$4,RawData[[Error Type ]],$Q$5))</f>
        <v/>
      </c>
    </row>
    <row r="23703" spans="15:15" x14ac:dyDescent="0.25">
      <c r="O23703" s="20" t="str">
        <f>IF(N23703="","",COUNTIFS(RawData[[Date ]],N23703,RawData[Month List],$Q$6,RawData[Tour/Site],$Q$2,RawData[[Picker ID ]],$Q$3,RawData[Checker ID],$Q$4,RawData[[Error Type ]],$Q$5))</f>
        <v/>
      </c>
    </row>
    <row r="23704" spans="15:15" x14ac:dyDescent="0.25">
      <c r="O23704" s="20" t="str">
        <f>IF(N23704="","",COUNTIFS(RawData[[Date ]],N23704,RawData[Month List],$Q$6,RawData[Tour/Site],$Q$2,RawData[[Picker ID ]],$Q$3,RawData[Checker ID],$Q$4,RawData[[Error Type ]],$Q$5))</f>
        <v/>
      </c>
    </row>
    <row r="23705" spans="15:15" x14ac:dyDescent="0.25">
      <c r="O23705" s="20" t="str">
        <f>IF(N23705="","",COUNTIFS(RawData[[Date ]],N23705,RawData[Month List],$Q$6,RawData[Tour/Site],$Q$2,RawData[[Picker ID ]],$Q$3,RawData[Checker ID],$Q$4,RawData[[Error Type ]],$Q$5))</f>
        <v/>
      </c>
    </row>
    <row r="23706" spans="15:15" x14ac:dyDescent="0.25">
      <c r="O23706" s="20" t="str">
        <f>IF(N23706="","",COUNTIFS(RawData[[Date ]],N23706,RawData[Month List],$Q$6,RawData[Tour/Site],$Q$2,RawData[[Picker ID ]],$Q$3,RawData[Checker ID],$Q$4,RawData[[Error Type ]],$Q$5))</f>
        <v/>
      </c>
    </row>
    <row r="23707" spans="15:15" x14ac:dyDescent="0.25">
      <c r="O23707" s="20" t="str">
        <f>IF(N23707="","",COUNTIFS(RawData[[Date ]],N23707,RawData[Month List],$Q$6,RawData[Tour/Site],$Q$2,RawData[[Picker ID ]],$Q$3,RawData[Checker ID],$Q$4,RawData[[Error Type ]],$Q$5))</f>
        <v/>
      </c>
    </row>
    <row r="23708" spans="15:15" x14ac:dyDescent="0.25">
      <c r="O23708" s="20" t="str">
        <f>IF(N23708="","",COUNTIFS(RawData[[Date ]],N23708,RawData[Month List],$Q$6,RawData[Tour/Site],$Q$2,RawData[[Picker ID ]],$Q$3,RawData[Checker ID],$Q$4,RawData[[Error Type ]],$Q$5))</f>
        <v/>
      </c>
    </row>
    <row r="23709" spans="15:15" x14ac:dyDescent="0.25">
      <c r="O23709" s="20" t="str">
        <f>IF(N23709="","",COUNTIFS(RawData[[Date ]],N23709,RawData[Month List],$Q$6,RawData[Tour/Site],$Q$2,RawData[[Picker ID ]],$Q$3,RawData[Checker ID],$Q$4,RawData[[Error Type ]],$Q$5))</f>
        <v/>
      </c>
    </row>
    <row r="23710" spans="15:15" x14ac:dyDescent="0.25">
      <c r="O23710" s="20" t="str">
        <f>IF(N23710="","",COUNTIFS(RawData[[Date ]],N23710,RawData[Month List],$Q$6,RawData[Tour/Site],$Q$2,RawData[[Picker ID ]],$Q$3,RawData[Checker ID],$Q$4,RawData[[Error Type ]],$Q$5))</f>
        <v/>
      </c>
    </row>
    <row r="23711" spans="15:15" x14ac:dyDescent="0.25">
      <c r="O23711" s="20" t="str">
        <f>IF(N23711="","",COUNTIFS(RawData[[Date ]],N23711,RawData[Month List],$Q$6,RawData[Tour/Site],$Q$2,RawData[[Picker ID ]],$Q$3,RawData[Checker ID],$Q$4,RawData[[Error Type ]],$Q$5))</f>
        <v/>
      </c>
    </row>
    <row r="23712" spans="15:15" x14ac:dyDescent="0.25">
      <c r="O23712" s="20" t="str">
        <f>IF(N23712="","",COUNTIFS(RawData[[Date ]],N23712,RawData[Month List],$Q$6,RawData[Tour/Site],$Q$2,RawData[[Picker ID ]],$Q$3,RawData[Checker ID],$Q$4,RawData[[Error Type ]],$Q$5))</f>
        <v/>
      </c>
    </row>
    <row r="23713" spans="15:15" x14ac:dyDescent="0.25">
      <c r="O23713" s="20" t="str">
        <f>IF(N23713="","",COUNTIFS(RawData[[Date ]],N23713,RawData[Month List],$Q$6,RawData[Tour/Site],$Q$2,RawData[[Picker ID ]],$Q$3,RawData[Checker ID],$Q$4,RawData[[Error Type ]],$Q$5))</f>
        <v/>
      </c>
    </row>
    <row r="23714" spans="15:15" x14ac:dyDescent="0.25">
      <c r="O23714" s="20" t="str">
        <f>IF(N23714="","",COUNTIFS(RawData[[Date ]],N23714,RawData[Month List],$Q$6,RawData[Tour/Site],$Q$2,RawData[[Picker ID ]],$Q$3,RawData[Checker ID],$Q$4,RawData[[Error Type ]],$Q$5))</f>
        <v/>
      </c>
    </row>
    <row r="23715" spans="15:15" x14ac:dyDescent="0.25">
      <c r="O23715" s="20" t="str">
        <f>IF(N23715="","",COUNTIFS(RawData[[Date ]],N23715,RawData[Month List],$Q$6,RawData[Tour/Site],$Q$2,RawData[[Picker ID ]],$Q$3,RawData[Checker ID],$Q$4,RawData[[Error Type ]],$Q$5))</f>
        <v/>
      </c>
    </row>
    <row r="23716" spans="15:15" x14ac:dyDescent="0.25">
      <c r="O23716" s="20" t="str">
        <f>IF(N23716="","",COUNTIFS(RawData[[Date ]],N23716,RawData[Month List],$Q$6,RawData[Tour/Site],$Q$2,RawData[[Picker ID ]],$Q$3,RawData[Checker ID],$Q$4,RawData[[Error Type ]],$Q$5))</f>
        <v/>
      </c>
    </row>
    <row r="23717" spans="15:15" x14ac:dyDescent="0.25">
      <c r="O23717" s="20" t="str">
        <f>IF(N23717="","",COUNTIFS(RawData[[Date ]],N23717,RawData[Month List],$Q$6,RawData[Tour/Site],$Q$2,RawData[[Picker ID ]],$Q$3,RawData[Checker ID],$Q$4,RawData[[Error Type ]],$Q$5))</f>
        <v/>
      </c>
    </row>
    <row r="23718" spans="15:15" x14ac:dyDescent="0.25">
      <c r="O23718" s="20" t="str">
        <f>IF(N23718="","",COUNTIFS(RawData[[Date ]],N23718,RawData[Month List],$Q$6,RawData[Tour/Site],$Q$2,RawData[[Picker ID ]],$Q$3,RawData[Checker ID],$Q$4,RawData[[Error Type ]],$Q$5))</f>
        <v/>
      </c>
    </row>
    <row r="23719" spans="15:15" x14ac:dyDescent="0.25">
      <c r="O23719" s="20" t="str">
        <f>IF(N23719="","",COUNTIFS(RawData[[Date ]],N23719,RawData[Month List],$Q$6,RawData[Tour/Site],$Q$2,RawData[[Picker ID ]],$Q$3,RawData[Checker ID],$Q$4,RawData[[Error Type ]],$Q$5))</f>
        <v/>
      </c>
    </row>
    <row r="23720" spans="15:15" x14ac:dyDescent="0.25">
      <c r="O23720" s="20" t="str">
        <f>IF(N23720="","",COUNTIFS(RawData[[Date ]],N23720,RawData[Month List],$Q$6,RawData[Tour/Site],$Q$2,RawData[[Picker ID ]],$Q$3,RawData[Checker ID],$Q$4,RawData[[Error Type ]],$Q$5))</f>
        <v/>
      </c>
    </row>
    <row r="23721" spans="15:15" x14ac:dyDescent="0.25">
      <c r="O23721" s="20" t="str">
        <f>IF(N23721="","",COUNTIFS(RawData[[Date ]],N23721,RawData[Month List],$Q$6,RawData[Tour/Site],$Q$2,RawData[[Picker ID ]],$Q$3,RawData[Checker ID],$Q$4,RawData[[Error Type ]],$Q$5))</f>
        <v/>
      </c>
    </row>
    <row r="23722" spans="15:15" x14ac:dyDescent="0.25">
      <c r="O23722" s="20" t="str">
        <f>IF(N23722="","",COUNTIFS(RawData[[Date ]],N23722,RawData[Month List],$Q$6,RawData[Tour/Site],$Q$2,RawData[[Picker ID ]],$Q$3,RawData[Checker ID],$Q$4,RawData[[Error Type ]],$Q$5))</f>
        <v/>
      </c>
    </row>
    <row r="23723" spans="15:15" x14ac:dyDescent="0.25">
      <c r="O23723" s="20" t="str">
        <f>IF(N23723="","",COUNTIFS(RawData[[Date ]],N23723,RawData[Month List],$Q$6,RawData[Tour/Site],$Q$2,RawData[[Picker ID ]],$Q$3,RawData[Checker ID],$Q$4,RawData[[Error Type ]],$Q$5))</f>
        <v/>
      </c>
    </row>
    <row r="23724" spans="15:15" x14ac:dyDescent="0.25">
      <c r="O23724" s="20" t="str">
        <f>IF(N23724="","",COUNTIFS(RawData[[Date ]],N23724,RawData[Month List],$Q$6,RawData[Tour/Site],$Q$2,RawData[[Picker ID ]],$Q$3,RawData[Checker ID],$Q$4,RawData[[Error Type ]],$Q$5))</f>
        <v/>
      </c>
    </row>
    <row r="23725" spans="15:15" x14ac:dyDescent="0.25">
      <c r="O23725" s="20" t="str">
        <f>IF(N23725="","",COUNTIFS(RawData[[Date ]],N23725,RawData[Month List],$Q$6,RawData[Tour/Site],$Q$2,RawData[[Picker ID ]],$Q$3,RawData[Checker ID],$Q$4,RawData[[Error Type ]],$Q$5))</f>
        <v/>
      </c>
    </row>
    <row r="23726" spans="15:15" x14ac:dyDescent="0.25">
      <c r="O23726" s="20" t="str">
        <f>IF(N23726="","",COUNTIFS(RawData[[Date ]],N23726,RawData[Month List],$Q$6,RawData[Tour/Site],$Q$2,RawData[[Picker ID ]],$Q$3,RawData[Checker ID],$Q$4,RawData[[Error Type ]],$Q$5))</f>
        <v/>
      </c>
    </row>
    <row r="23727" spans="15:15" x14ac:dyDescent="0.25">
      <c r="O23727" s="20" t="str">
        <f>IF(N23727="","",COUNTIFS(RawData[[Date ]],N23727,RawData[Month List],$Q$6,RawData[Tour/Site],$Q$2,RawData[[Picker ID ]],$Q$3,RawData[Checker ID],$Q$4,RawData[[Error Type ]],$Q$5))</f>
        <v/>
      </c>
    </row>
    <row r="23728" spans="15:15" x14ac:dyDescent="0.25">
      <c r="O23728" s="20" t="str">
        <f>IF(N23728="","",COUNTIFS(RawData[[Date ]],N23728,RawData[Month List],$Q$6,RawData[Tour/Site],$Q$2,RawData[[Picker ID ]],$Q$3,RawData[Checker ID],$Q$4,RawData[[Error Type ]],$Q$5))</f>
        <v/>
      </c>
    </row>
    <row r="23729" spans="15:15" x14ac:dyDescent="0.25">
      <c r="O23729" s="20" t="str">
        <f>IF(N23729="","",COUNTIFS(RawData[[Date ]],N23729,RawData[Month List],$Q$6,RawData[Tour/Site],$Q$2,RawData[[Picker ID ]],$Q$3,RawData[Checker ID],$Q$4,RawData[[Error Type ]],$Q$5))</f>
        <v/>
      </c>
    </row>
    <row r="23730" spans="15:15" x14ac:dyDescent="0.25">
      <c r="O23730" s="20" t="str">
        <f>IF(N23730="","",COUNTIFS(RawData[[Date ]],N23730,RawData[Month List],$Q$6,RawData[Tour/Site],$Q$2,RawData[[Picker ID ]],$Q$3,RawData[Checker ID],$Q$4,RawData[[Error Type ]],$Q$5))</f>
        <v/>
      </c>
    </row>
    <row r="23731" spans="15:15" x14ac:dyDescent="0.25">
      <c r="O23731" s="20" t="str">
        <f>IF(N23731="","",COUNTIFS(RawData[[Date ]],N23731,RawData[Month List],$Q$6,RawData[Tour/Site],$Q$2,RawData[[Picker ID ]],$Q$3,RawData[Checker ID],$Q$4,RawData[[Error Type ]],$Q$5))</f>
        <v/>
      </c>
    </row>
    <row r="23732" spans="15:15" x14ac:dyDescent="0.25">
      <c r="O23732" s="20" t="str">
        <f>IF(N23732="","",COUNTIFS(RawData[[Date ]],N23732,RawData[Month List],$Q$6,RawData[Tour/Site],$Q$2,RawData[[Picker ID ]],$Q$3,RawData[Checker ID],$Q$4,RawData[[Error Type ]],$Q$5))</f>
        <v/>
      </c>
    </row>
    <row r="23733" spans="15:15" x14ac:dyDescent="0.25">
      <c r="O23733" s="20" t="str">
        <f>IF(N23733="","",COUNTIFS(RawData[[Date ]],N23733,RawData[Month List],$Q$6,RawData[Tour/Site],$Q$2,RawData[[Picker ID ]],$Q$3,RawData[Checker ID],$Q$4,RawData[[Error Type ]],$Q$5))</f>
        <v/>
      </c>
    </row>
    <row r="23734" spans="15:15" x14ac:dyDescent="0.25">
      <c r="O23734" s="20" t="str">
        <f>IF(N23734="","",COUNTIFS(RawData[[Date ]],N23734,RawData[Month List],$Q$6,RawData[Tour/Site],$Q$2,RawData[[Picker ID ]],$Q$3,RawData[Checker ID],$Q$4,RawData[[Error Type ]],$Q$5))</f>
        <v/>
      </c>
    </row>
    <row r="23735" spans="15:15" x14ac:dyDescent="0.25">
      <c r="O23735" s="20" t="str">
        <f>IF(N23735="","",COUNTIFS(RawData[[Date ]],N23735,RawData[Month List],$Q$6,RawData[Tour/Site],$Q$2,RawData[[Picker ID ]],$Q$3,RawData[Checker ID],$Q$4,RawData[[Error Type ]],$Q$5))</f>
        <v/>
      </c>
    </row>
    <row r="23736" spans="15:15" x14ac:dyDescent="0.25">
      <c r="O23736" s="20" t="str">
        <f>IF(N23736="","",COUNTIFS(RawData[[Date ]],N23736,RawData[Month List],$Q$6,RawData[Tour/Site],$Q$2,RawData[[Picker ID ]],$Q$3,RawData[Checker ID],$Q$4,RawData[[Error Type ]],$Q$5))</f>
        <v/>
      </c>
    </row>
    <row r="23737" spans="15:15" x14ac:dyDescent="0.25">
      <c r="O23737" s="20" t="str">
        <f>IF(N23737="","",COUNTIFS(RawData[[Date ]],N23737,RawData[Month List],$Q$6,RawData[Tour/Site],$Q$2,RawData[[Picker ID ]],$Q$3,RawData[Checker ID],$Q$4,RawData[[Error Type ]],$Q$5))</f>
        <v/>
      </c>
    </row>
    <row r="23738" spans="15:15" x14ac:dyDescent="0.25">
      <c r="O23738" s="20" t="str">
        <f>IF(N23738="","",COUNTIFS(RawData[[Date ]],N23738,RawData[Month List],$Q$6,RawData[Tour/Site],$Q$2,RawData[[Picker ID ]],$Q$3,RawData[Checker ID],$Q$4,RawData[[Error Type ]],$Q$5))</f>
        <v/>
      </c>
    </row>
    <row r="23739" spans="15:15" x14ac:dyDescent="0.25">
      <c r="O23739" s="20" t="str">
        <f>IF(N23739="","",COUNTIFS(RawData[[Date ]],N23739,RawData[Month List],$Q$6,RawData[Tour/Site],$Q$2,RawData[[Picker ID ]],$Q$3,RawData[Checker ID],$Q$4,RawData[[Error Type ]],$Q$5))</f>
        <v/>
      </c>
    </row>
    <row r="23740" spans="15:15" x14ac:dyDescent="0.25">
      <c r="O23740" s="20" t="str">
        <f>IF(N23740="","",COUNTIFS(RawData[[Date ]],N23740,RawData[Month List],$Q$6,RawData[Tour/Site],$Q$2,RawData[[Picker ID ]],$Q$3,RawData[Checker ID],$Q$4,RawData[[Error Type ]],$Q$5))</f>
        <v/>
      </c>
    </row>
    <row r="23741" spans="15:15" x14ac:dyDescent="0.25">
      <c r="O23741" s="20" t="str">
        <f>IF(N23741="","",COUNTIFS(RawData[[Date ]],N23741,RawData[Month List],$Q$6,RawData[Tour/Site],$Q$2,RawData[[Picker ID ]],$Q$3,RawData[Checker ID],$Q$4,RawData[[Error Type ]],$Q$5))</f>
        <v/>
      </c>
    </row>
    <row r="23742" spans="15:15" x14ac:dyDescent="0.25">
      <c r="O23742" s="20" t="str">
        <f>IF(N23742="","",COUNTIFS(RawData[[Date ]],N23742,RawData[Month List],$Q$6,RawData[Tour/Site],$Q$2,RawData[[Picker ID ]],$Q$3,RawData[Checker ID],$Q$4,RawData[[Error Type ]],$Q$5))</f>
        <v/>
      </c>
    </row>
    <row r="23743" spans="15:15" x14ac:dyDescent="0.25">
      <c r="O23743" s="20" t="str">
        <f>IF(N23743="","",COUNTIFS(RawData[[Date ]],N23743,RawData[Month List],$Q$6,RawData[Tour/Site],$Q$2,RawData[[Picker ID ]],$Q$3,RawData[Checker ID],$Q$4,RawData[[Error Type ]],$Q$5))</f>
        <v/>
      </c>
    </row>
    <row r="23744" spans="15:15" x14ac:dyDescent="0.25">
      <c r="O23744" s="20" t="str">
        <f>IF(N23744="","",COUNTIFS(RawData[[Date ]],N23744,RawData[Month List],$Q$6,RawData[Tour/Site],$Q$2,RawData[[Picker ID ]],$Q$3,RawData[Checker ID],$Q$4,RawData[[Error Type ]],$Q$5))</f>
        <v/>
      </c>
    </row>
    <row r="23745" spans="15:15" x14ac:dyDescent="0.25">
      <c r="O23745" s="20" t="str">
        <f>IF(N23745="","",COUNTIFS(RawData[[Date ]],N23745,RawData[Month List],$Q$6,RawData[Tour/Site],$Q$2,RawData[[Picker ID ]],$Q$3,RawData[Checker ID],$Q$4,RawData[[Error Type ]],$Q$5))</f>
        <v/>
      </c>
    </row>
    <row r="23746" spans="15:15" x14ac:dyDescent="0.25">
      <c r="O23746" s="20" t="str">
        <f>IF(N23746="","",COUNTIFS(RawData[[Date ]],N23746,RawData[Month List],$Q$6,RawData[Tour/Site],$Q$2,RawData[[Picker ID ]],$Q$3,RawData[Checker ID],$Q$4,RawData[[Error Type ]],$Q$5))</f>
        <v/>
      </c>
    </row>
    <row r="23747" spans="15:15" x14ac:dyDescent="0.25">
      <c r="O23747" s="20" t="str">
        <f>IF(N23747="","",COUNTIFS(RawData[[Date ]],N23747,RawData[Month List],$Q$6,RawData[Tour/Site],$Q$2,RawData[[Picker ID ]],$Q$3,RawData[Checker ID],$Q$4,RawData[[Error Type ]],$Q$5))</f>
        <v/>
      </c>
    </row>
    <row r="23748" spans="15:15" x14ac:dyDescent="0.25">
      <c r="O23748" s="20" t="str">
        <f>IF(N23748="","",COUNTIFS(RawData[[Date ]],N23748,RawData[Month List],$Q$6,RawData[Tour/Site],$Q$2,RawData[[Picker ID ]],$Q$3,RawData[Checker ID],$Q$4,RawData[[Error Type ]],$Q$5))</f>
        <v/>
      </c>
    </row>
    <row r="23749" spans="15:15" x14ac:dyDescent="0.25">
      <c r="O23749" s="20" t="str">
        <f>IF(N23749="","",COUNTIFS(RawData[[Date ]],N23749,RawData[Month List],$Q$6,RawData[Tour/Site],$Q$2,RawData[[Picker ID ]],$Q$3,RawData[Checker ID],$Q$4,RawData[[Error Type ]],$Q$5))</f>
        <v/>
      </c>
    </row>
    <row r="23750" spans="15:15" x14ac:dyDescent="0.25">
      <c r="O23750" s="20" t="str">
        <f>IF(N23750="","",COUNTIFS(RawData[[Date ]],N23750,RawData[Month List],$Q$6,RawData[Tour/Site],$Q$2,RawData[[Picker ID ]],$Q$3,RawData[Checker ID],$Q$4,RawData[[Error Type ]],$Q$5))</f>
        <v/>
      </c>
    </row>
    <row r="23751" spans="15:15" x14ac:dyDescent="0.25">
      <c r="O23751" s="20" t="str">
        <f>IF(N23751="","",COUNTIFS(RawData[[Date ]],N23751,RawData[Month List],$Q$6,RawData[Tour/Site],$Q$2,RawData[[Picker ID ]],$Q$3,RawData[Checker ID],$Q$4,RawData[[Error Type ]],$Q$5))</f>
        <v/>
      </c>
    </row>
    <row r="23752" spans="15:15" x14ac:dyDescent="0.25">
      <c r="O23752" s="20" t="str">
        <f>IF(N23752="","",COUNTIFS(RawData[[Date ]],N23752,RawData[Month List],$Q$6,RawData[Tour/Site],$Q$2,RawData[[Picker ID ]],$Q$3,RawData[Checker ID],$Q$4,RawData[[Error Type ]],$Q$5))</f>
        <v/>
      </c>
    </row>
    <row r="23753" spans="15:15" x14ac:dyDescent="0.25">
      <c r="O23753" s="20" t="str">
        <f>IF(N23753="","",COUNTIFS(RawData[[Date ]],N23753,RawData[Month List],$Q$6,RawData[Tour/Site],$Q$2,RawData[[Picker ID ]],$Q$3,RawData[Checker ID],$Q$4,RawData[[Error Type ]],$Q$5))</f>
        <v/>
      </c>
    </row>
    <row r="23754" spans="15:15" x14ac:dyDescent="0.25">
      <c r="O23754" s="20" t="str">
        <f>IF(N23754="","",COUNTIFS(RawData[[Date ]],N23754,RawData[Month List],$Q$6,RawData[Tour/Site],$Q$2,RawData[[Picker ID ]],$Q$3,RawData[Checker ID],$Q$4,RawData[[Error Type ]],$Q$5))</f>
        <v/>
      </c>
    </row>
    <row r="23755" spans="15:15" x14ac:dyDescent="0.25">
      <c r="O23755" s="20" t="str">
        <f>IF(N23755="","",COUNTIFS(RawData[[Date ]],N23755,RawData[Month List],$Q$6,RawData[Tour/Site],$Q$2,RawData[[Picker ID ]],$Q$3,RawData[Checker ID],$Q$4,RawData[[Error Type ]],$Q$5))</f>
        <v/>
      </c>
    </row>
    <row r="23756" spans="15:15" x14ac:dyDescent="0.25">
      <c r="O23756" s="20" t="str">
        <f>IF(N23756="","",COUNTIFS(RawData[[Date ]],N23756,RawData[Month List],$Q$6,RawData[Tour/Site],$Q$2,RawData[[Picker ID ]],$Q$3,RawData[Checker ID],$Q$4,RawData[[Error Type ]],$Q$5))</f>
        <v/>
      </c>
    </row>
    <row r="23757" spans="15:15" x14ac:dyDescent="0.25">
      <c r="O23757" s="20" t="str">
        <f>IF(N23757="","",COUNTIFS(RawData[[Date ]],N23757,RawData[Month List],$Q$6,RawData[Tour/Site],$Q$2,RawData[[Picker ID ]],$Q$3,RawData[Checker ID],$Q$4,RawData[[Error Type ]],$Q$5))</f>
        <v/>
      </c>
    </row>
    <row r="23758" spans="15:15" x14ac:dyDescent="0.25">
      <c r="O23758" s="20" t="str">
        <f>IF(N23758="","",COUNTIFS(RawData[[Date ]],N23758,RawData[Month List],$Q$6,RawData[Tour/Site],$Q$2,RawData[[Picker ID ]],$Q$3,RawData[Checker ID],$Q$4,RawData[[Error Type ]],$Q$5))</f>
        <v/>
      </c>
    </row>
    <row r="23759" spans="15:15" x14ac:dyDescent="0.25">
      <c r="O23759" s="20" t="str">
        <f>IF(N23759="","",COUNTIFS(RawData[[Date ]],N23759,RawData[Month List],$Q$6,RawData[Tour/Site],$Q$2,RawData[[Picker ID ]],$Q$3,RawData[Checker ID],$Q$4,RawData[[Error Type ]],$Q$5))</f>
        <v/>
      </c>
    </row>
    <row r="23760" spans="15:15" x14ac:dyDescent="0.25">
      <c r="O23760" s="20" t="str">
        <f>IF(N23760="","",COUNTIFS(RawData[[Date ]],N23760,RawData[Month List],$Q$6,RawData[Tour/Site],$Q$2,RawData[[Picker ID ]],$Q$3,RawData[Checker ID],$Q$4,RawData[[Error Type ]],$Q$5))</f>
        <v/>
      </c>
    </row>
    <row r="23761" spans="15:15" x14ac:dyDescent="0.25">
      <c r="O23761" s="20" t="str">
        <f>IF(N23761="","",COUNTIFS(RawData[[Date ]],N23761,RawData[Month List],$Q$6,RawData[Tour/Site],$Q$2,RawData[[Picker ID ]],$Q$3,RawData[Checker ID],$Q$4,RawData[[Error Type ]],$Q$5))</f>
        <v/>
      </c>
    </row>
    <row r="23762" spans="15:15" x14ac:dyDescent="0.25">
      <c r="O23762" s="20" t="str">
        <f>IF(N23762="","",COUNTIFS(RawData[[Date ]],N23762,RawData[Month List],$Q$6,RawData[Tour/Site],$Q$2,RawData[[Picker ID ]],$Q$3,RawData[Checker ID],$Q$4,RawData[[Error Type ]],$Q$5))</f>
        <v/>
      </c>
    </row>
    <row r="23763" spans="15:15" x14ac:dyDescent="0.25">
      <c r="O23763" s="20" t="str">
        <f>IF(N23763="","",COUNTIFS(RawData[[Date ]],N23763,RawData[Month List],$Q$6,RawData[Tour/Site],$Q$2,RawData[[Picker ID ]],$Q$3,RawData[Checker ID],$Q$4,RawData[[Error Type ]],$Q$5))</f>
        <v/>
      </c>
    </row>
    <row r="23764" spans="15:15" x14ac:dyDescent="0.25">
      <c r="O23764" s="20" t="str">
        <f>IF(N23764="","",COUNTIFS(RawData[[Date ]],N23764,RawData[Month List],$Q$6,RawData[Tour/Site],$Q$2,RawData[[Picker ID ]],$Q$3,RawData[Checker ID],$Q$4,RawData[[Error Type ]],$Q$5))</f>
        <v/>
      </c>
    </row>
    <row r="23765" spans="15:15" x14ac:dyDescent="0.25">
      <c r="O23765" s="20" t="str">
        <f>IF(N23765="","",COUNTIFS(RawData[[Date ]],N23765,RawData[Month List],$Q$6,RawData[Tour/Site],$Q$2,RawData[[Picker ID ]],$Q$3,RawData[Checker ID],$Q$4,RawData[[Error Type ]],$Q$5))</f>
        <v/>
      </c>
    </row>
    <row r="23766" spans="15:15" x14ac:dyDescent="0.25">
      <c r="O23766" s="20" t="str">
        <f>IF(N23766="","",COUNTIFS(RawData[[Date ]],N23766,RawData[Month List],$Q$6,RawData[Tour/Site],$Q$2,RawData[[Picker ID ]],$Q$3,RawData[Checker ID],$Q$4,RawData[[Error Type ]],$Q$5))</f>
        <v/>
      </c>
    </row>
    <row r="23767" spans="15:15" x14ac:dyDescent="0.25">
      <c r="O23767" s="20" t="str">
        <f>IF(N23767="","",COUNTIFS(RawData[[Date ]],N23767,RawData[Month List],$Q$6,RawData[Tour/Site],$Q$2,RawData[[Picker ID ]],$Q$3,RawData[Checker ID],$Q$4,RawData[[Error Type ]],$Q$5))</f>
        <v/>
      </c>
    </row>
    <row r="23768" spans="15:15" x14ac:dyDescent="0.25">
      <c r="O23768" s="20" t="str">
        <f>IF(N23768="","",COUNTIFS(RawData[[Date ]],N23768,RawData[Month List],$Q$6,RawData[Tour/Site],$Q$2,RawData[[Picker ID ]],$Q$3,RawData[Checker ID],$Q$4,RawData[[Error Type ]],$Q$5))</f>
        <v/>
      </c>
    </row>
    <row r="23769" spans="15:15" x14ac:dyDescent="0.25">
      <c r="O23769" s="20" t="str">
        <f>IF(N23769="","",COUNTIFS(RawData[[Date ]],N23769,RawData[Month List],$Q$6,RawData[Tour/Site],$Q$2,RawData[[Picker ID ]],$Q$3,RawData[Checker ID],$Q$4,RawData[[Error Type ]],$Q$5))</f>
        <v/>
      </c>
    </row>
    <row r="23770" spans="15:15" x14ac:dyDescent="0.25">
      <c r="O23770" s="20" t="str">
        <f>IF(N23770="","",COUNTIFS(RawData[[Date ]],N23770,RawData[Month List],$Q$6,RawData[Tour/Site],$Q$2,RawData[[Picker ID ]],$Q$3,RawData[Checker ID],$Q$4,RawData[[Error Type ]],$Q$5))</f>
        <v/>
      </c>
    </row>
    <row r="23771" spans="15:15" x14ac:dyDescent="0.25">
      <c r="O23771" s="20" t="str">
        <f>IF(N23771="","",COUNTIFS(RawData[[Date ]],N23771,RawData[Month List],$Q$6,RawData[Tour/Site],$Q$2,RawData[[Picker ID ]],$Q$3,RawData[Checker ID],$Q$4,RawData[[Error Type ]],$Q$5))</f>
        <v/>
      </c>
    </row>
    <row r="23772" spans="15:15" x14ac:dyDescent="0.25">
      <c r="O23772" s="20" t="str">
        <f>IF(N23772="","",COUNTIFS(RawData[[Date ]],N23772,RawData[Month List],$Q$6,RawData[Tour/Site],$Q$2,RawData[[Picker ID ]],$Q$3,RawData[Checker ID],$Q$4,RawData[[Error Type ]],$Q$5))</f>
        <v/>
      </c>
    </row>
    <row r="23773" spans="15:15" x14ac:dyDescent="0.25">
      <c r="O23773" s="20" t="str">
        <f>IF(N23773="","",COUNTIFS(RawData[[Date ]],N23773,RawData[Month List],$Q$6,RawData[Tour/Site],$Q$2,RawData[[Picker ID ]],$Q$3,RawData[Checker ID],$Q$4,RawData[[Error Type ]],$Q$5))</f>
        <v/>
      </c>
    </row>
    <row r="23774" spans="15:15" x14ac:dyDescent="0.25">
      <c r="O23774" s="20" t="str">
        <f>IF(N23774="","",COUNTIFS(RawData[[Date ]],N23774,RawData[Month List],$Q$6,RawData[Tour/Site],$Q$2,RawData[[Picker ID ]],$Q$3,RawData[Checker ID],$Q$4,RawData[[Error Type ]],$Q$5))</f>
        <v/>
      </c>
    </row>
    <row r="23775" spans="15:15" x14ac:dyDescent="0.25">
      <c r="O23775" s="20" t="str">
        <f>IF(N23775="","",COUNTIFS(RawData[[Date ]],N23775,RawData[Month List],$Q$6,RawData[Tour/Site],$Q$2,RawData[[Picker ID ]],$Q$3,RawData[Checker ID],$Q$4,RawData[[Error Type ]],$Q$5))</f>
        <v/>
      </c>
    </row>
    <row r="23776" spans="15:15" x14ac:dyDescent="0.25">
      <c r="O23776" s="20" t="str">
        <f>IF(N23776="","",COUNTIFS(RawData[[Date ]],N23776,RawData[Month List],$Q$6,RawData[Tour/Site],$Q$2,RawData[[Picker ID ]],$Q$3,RawData[Checker ID],$Q$4,RawData[[Error Type ]],$Q$5))</f>
        <v/>
      </c>
    </row>
    <row r="23777" spans="15:15" x14ac:dyDescent="0.25">
      <c r="O23777" s="20" t="str">
        <f>IF(N23777="","",COUNTIFS(RawData[[Date ]],N23777,RawData[Month List],$Q$6,RawData[Tour/Site],$Q$2,RawData[[Picker ID ]],$Q$3,RawData[Checker ID],$Q$4,RawData[[Error Type ]],$Q$5))</f>
        <v/>
      </c>
    </row>
    <row r="23778" spans="15:15" x14ac:dyDescent="0.25">
      <c r="O23778" s="20" t="str">
        <f>IF(N23778="","",COUNTIFS(RawData[[Date ]],N23778,RawData[Month List],$Q$6,RawData[Tour/Site],$Q$2,RawData[[Picker ID ]],$Q$3,RawData[Checker ID],$Q$4,RawData[[Error Type ]],$Q$5))</f>
        <v/>
      </c>
    </row>
    <row r="23779" spans="15:15" x14ac:dyDescent="0.25">
      <c r="O23779" s="20" t="str">
        <f>IF(N23779="","",COUNTIFS(RawData[[Date ]],N23779,RawData[Month List],$Q$6,RawData[Tour/Site],$Q$2,RawData[[Picker ID ]],$Q$3,RawData[Checker ID],$Q$4,RawData[[Error Type ]],$Q$5))</f>
        <v/>
      </c>
    </row>
    <row r="23780" spans="15:15" x14ac:dyDescent="0.25">
      <c r="O23780" s="20" t="str">
        <f>IF(N23780="","",COUNTIFS(RawData[[Date ]],N23780,RawData[Month List],$Q$6,RawData[Tour/Site],$Q$2,RawData[[Picker ID ]],$Q$3,RawData[Checker ID],$Q$4,RawData[[Error Type ]],$Q$5))</f>
        <v/>
      </c>
    </row>
    <row r="23781" spans="15:15" x14ac:dyDescent="0.25">
      <c r="O23781" s="20" t="str">
        <f>IF(N23781="","",COUNTIFS(RawData[[Date ]],N23781,RawData[Month List],$Q$6,RawData[Tour/Site],$Q$2,RawData[[Picker ID ]],$Q$3,RawData[Checker ID],$Q$4,RawData[[Error Type ]],$Q$5))</f>
        <v/>
      </c>
    </row>
    <row r="23782" spans="15:15" x14ac:dyDescent="0.25">
      <c r="O23782" s="20" t="str">
        <f>IF(N23782="","",COUNTIFS(RawData[[Date ]],N23782,RawData[Month List],$Q$6,RawData[Tour/Site],$Q$2,RawData[[Picker ID ]],$Q$3,RawData[Checker ID],$Q$4,RawData[[Error Type ]],$Q$5))</f>
        <v/>
      </c>
    </row>
    <row r="23783" spans="15:15" x14ac:dyDescent="0.25">
      <c r="O23783" s="20" t="str">
        <f>IF(N23783="","",COUNTIFS(RawData[[Date ]],N23783,RawData[Month List],$Q$6,RawData[Tour/Site],$Q$2,RawData[[Picker ID ]],$Q$3,RawData[Checker ID],$Q$4,RawData[[Error Type ]],$Q$5))</f>
        <v/>
      </c>
    </row>
    <row r="23784" spans="15:15" x14ac:dyDescent="0.25">
      <c r="O23784" s="20" t="str">
        <f>IF(N23784="","",COUNTIFS(RawData[[Date ]],N23784,RawData[Month List],$Q$6,RawData[Tour/Site],$Q$2,RawData[[Picker ID ]],$Q$3,RawData[Checker ID],$Q$4,RawData[[Error Type ]],$Q$5))</f>
        <v/>
      </c>
    </row>
    <row r="23785" spans="15:15" x14ac:dyDescent="0.25">
      <c r="O23785" s="20" t="str">
        <f>IF(N23785="","",COUNTIFS(RawData[[Date ]],N23785,RawData[Month List],$Q$6,RawData[Tour/Site],$Q$2,RawData[[Picker ID ]],$Q$3,RawData[Checker ID],$Q$4,RawData[[Error Type ]],$Q$5))</f>
        <v/>
      </c>
    </row>
    <row r="23786" spans="15:15" x14ac:dyDescent="0.25">
      <c r="O23786" s="20" t="str">
        <f>IF(N23786="","",COUNTIFS(RawData[[Date ]],N23786,RawData[Month List],$Q$6,RawData[Tour/Site],$Q$2,RawData[[Picker ID ]],$Q$3,RawData[Checker ID],$Q$4,RawData[[Error Type ]],$Q$5))</f>
        <v/>
      </c>
    </row>
    <row r="23787" spans="15:15" x14ac:dyDescent="0.25">
      <c r="O23787" s="20" t="str">
        <f>IF(N23787="","",COUNTIFS(RawData[[Date ]],N23787,RawData[Month List],$Q$6,RawData[Tour/Site],$Q$2,RawData[[Picker ID ]],$Q$3,RawData[Checker ID],$Q$4,RawData[[Error Type ]],$Q$5))</f>
        <v/>
      </c>
    </row>
    <row r="23788" spans="15:15" x14ac:dyDescent="0.25">
      <c r="O23788" s="20" t="str">
        <f>IF(N23788="","",COUNTIFS(RawData[[Date ]],N23788,RawData[Month List],$Q$6,RawData[Tour/Site],$Q$2,RawData[[Picker ID ]],$Q$3,RawData[Checker ID],$Q$4,RawData[[Error Type ]],$Q$5))</f>
        <v/>
      </c>
    </row>
    <row r="23789" spans="15:15" x14ac:dyDescent="0.25">
      <c r="O23789" s="20" t="str">
        <f>IF(N23789="","",COUNTIFS(RawData[[Date ]],N23789,RawData[Month List],$Q$6,RawData[Tour/Site],$Q$2,RawData[[Picker ID ]],$Q$3,RawData[Checker ID],$Q$4,RawData[[Error Type ]],$Q$5))</f>
        <v/>
      </c>
    </row>
    <row r="23790" spans="15:15" x14ac:dyDescent="0.25">
      <c r="O23790" s="20" t="str">
        <f>IF(N23790="","",COUNTIFS(RawData[[Date ]],N23790,RawData[Month List],$Q$6,RawData[Tour/Site],$Q$2,RawData[[Picker ID ]],$Q$3,RawData[Checker ID],$Q$4,RawData[[Error Type ]],$Q$5))</f>
        <v/>
      </c>
    </row>
    <row r="23791" spans="15:15" x14ac:dyDescent="0.25">
      <c r="O23791" s="20" t="str">
        <f>IF(N23791="","",COUNTIFS(RawData[[Date ]],N23791,RawData[Month List],$Q$6,RawData[Tour/Site],$Q$2,RawData[[Picker ID ]],$Q$3,RawData[Checker ID],$Q$4,RawData[[Error Type ]],$Q$5))</f>
        <v/>
      </c>
    </row>
    <row r="23792" spans="15:15" x14ac:dyDescent="0.25">
      <c r="O23792" s="20" t="str">
        <f>IF(N23792="","",COUNTIFS(RawData[[Date ]],N23792,RawData[Month List],$Q$6,RawData[Tour/Site],$Q$2,RawData[[Picker ID ]],$Q$3,RawData[Checker ID],$Q$4,RawData[[Error Type ]],$Q$5))</f>
        <v/>
      </c>
    </row>
    <row r="23793" spans="15:15" x14ac:dyDescent="0.25">
      <c r="O23793" s="20" t="str">
        <f>IF(N23793="","",COUNTIFS(RawData[[Date ]],N23793,RawData[Month List],$Q$6,RawData[Tour/Site],$Q$2,RawData[[Picker ID ]],$Q$3,RawData[Checker ID],$Q$4,RawData[[Error Type ]],$Q$5))</f>
        <v/>
      </c>
    </row>
    <row r="23794" spans="15:15" x14ac:dyDescent="0.25">
      <c r="O23794" s="20" t="str">
        <f>IF(N23794="","",COUNTIFS(RawData[[Date ]],N23794,RawData[Month List],$Q$6,RawData[Tour/Site],$Q$2,RawData[[Picker ID ]],$Q$3,RawData[Checker ID],$Q$4,RawData[[Error Type ]],$Q$5))</f>
        <v/>
      </c>
    </row>
    <row r="23795" spans="15:15" x14ac:dyDescent="0.25">
      <c r="O23795" s="20" t="str">
        <f>IF(N23795="","",COUNTIFS(RawData[[Date ]],N23795,RawData[Month List],$Q$6,RawData[Tour/Site],$Q$2,RawData[[Picker ID ]],$Q$3,RawData[Checker ID],$Q$4,RawData[[Error Type ]],$Q$5))</f>
        <v/>
      </c>
    </row>
    <row r="23796" spans="15:15" x14ac:dyDescent="0.25">
      <c r="O23796" s="20" t="str">
        <f>IF(N23796="","",COUNTIFS(RawData[[Date ]],N23796,RawData[Month List],$Q$6,RawData[Tour/Site],$Q$2,RawData[[Picker ID ]],$Q$3,RawData[Checker ID],$Q$4,RawData[[Error Type ]],$Q$5))</f>
        <v/>
      </c>
    </row>
    <row r="23797" spans="15:15" x14ac:dyDescent="0.25">
      <c r="O23797" s="20" t="str">
        <f>IF(N23797="","",COUNTIFS(RawData[[Date ]],N23797,RawData[Month List],$Q$6,RawData[Tour/Site],$Q$2,RawData[[Picker ID ]],$Q$3,RawData[Checker ID],$Q$4,RawData[[Error Type ]],$Q$5))</f>
        <v/>
      </c>
    </row>
    <row r="23798" spans="15:15" x14ac:dyDescent="0.25">
      <c r="O23798" s="20" t="str">
        <f>IF(N23798="","",COUNTIFS(RawData[[Date ]],N23798,RawData[Month List],$Q$6,RawData[Tour/Site],$Q$2,RawData[[Picker ID ]],$Q$3,RawData[Checker ID],$Q$4,RawData[[Error Type ]],$Q$5))</f>
        <v/>
      </c>
    </row>
    <row r="23799" spans="15:15" x14ac:dyDescent="0.25">
      <c r="O23799" s="20" t="str">
        <f>IF(N23799="","",COUNTIFS(RawData[[Date ]],N23799,RawData[Month List],$Q$6,RawData[Tour/Site],$Q$2,RawData[[Picker ID ]],$Q$3,RawData[Checker ID],$Q$4,RawData[[Error Type ]],$Q$5))</f>
        <v/>
      </c>
    </row>
    <row r="23800" spans="15:15" x14ac:dyDescent="0.25">
      <c r="O23800" s="20" t="str">
        <f>IF(N23800="","",COUNTIFS(RawData[[Date ]],N23800,RawData[Month List],$Q$6,RawData[Tour/Site],$Q$2,RawData[[Picker ID ]],$Q$3,RawData[Checker ID],$Q$4,RawData[[Error Type ]],$Q$5))</f>
        <v/>
      </c>
    </row>
    <row r="23801" spans="15:15" x14ac:dyDescent="0.25">
      <c r="O23801" s="20" t="str">
        <f>IF(N23801="","",COUNTIFS(RawData[[Date ]],N23801,RawData[Month List],$Q$6,RawData[Tour/Site],$Q$2,RawData[[Picker ID ]],$Q$3,RawData[Checker ID],$Q$4,RawData[[Error Type ]],$Q$5))</f>
        <v/>
      </c>
    </row>
    <row r="23802" spans="15:15" x14ac:dyDescent="0.25">
      <c r="O23802" s="20" t="str">
        <f>IF(N23802="","",COUNTIFS(RawData[[Date ]],N23802,RawData[Month List],$Q$6,RawData[Tour/Site],$Q$2,RawData[[Picker ID ]],$Q$3,RawData[Checker ID],$Q$4,RawData[[Error Type ]],$Q$5))</f>
        <v/>
      </c>
    </row>
    <row r="23803" spans="15:15" x14ac:dyDescent="0.25">
      <c r="O23803" s="20" t="str">
        <f>IF(N23803="","",COUNTIFS(RawData[[Date ]],N23803,RawData[Month List],$Q$6,RawData[Tour/Site],$Q$2,RawData[[Picker ID ]],$Q$3,RawData[Checker ID],$Q$4,RawData[[Error Type ]],$Q$5))</f>
        <v/>
      </c>
    </row>
    <row r="23804" spans="15:15" x14ac:dyDescent="0.25">
      <c r="O23804" s="20" t="str">
        <f>IF(N23804="","",COUNTIFS(RawData[[Date ]],N23804,RawData[Month List],$Q$6,RawData[Tour/Site],$Q$2,RawData[[Picker ID ]],$Q$3,RawData[Checker ID],$Q$4,RawData[[Error Type ]],$Q$5))</f>
        <v/>
      </c>
    </row>
    <row r="23805" spans="15:15" x14ac:dyDescent="0.25">
      <c r="O23805" s="20" t="str">
        <f>IF(N23805="","",COUNTIFS(RawData[[Date ]],N23805,RawData[Month List],$Q$6,RawData[Tour/Site],$Q$2,RawData[[Picker ID ]],$Q$3,RawData[Checker ID],$Q$4,RawData[[Error Type ]],$Q$5))</f>
        <v/>
      </c>
    </row>
    <row r="23806" spans="15:15" x14ac:dyDescent="0.25">
      <c r="O23806" s="20" t="str">
        <f>IF(N23806="","",COUNTIFS(RawData[[Date ]],N23806,RawData[Month List],$Q$6,RawData[Tour/Site],$Q$2,RawData[[Picker ID ]],$Q$3,RawData[Checker ID],$Q$4,RawData[[Error Type ]],$Q$5))</f>
        <v/>
      </c>
    </row>
    <row r="23807" spans="15:15" x14ac:dyDescent="0.25">
      <c r="O23807" s="20" t="str">
        <f>IF(N23807="","",COUNTIFS(RawData[[Date ]],N23807,RawData[Month List],$Q$6,RawData[Tour/Site],$Q$2,RawData[[Picker ID ]],$Q$3,RawData[Checker ID],$Q$4,RawData[[Error Type ]],$Q$5))</f>
        <v/>
      </c>
    </row>
    <row r="23808" spans="15:15" x14ac:dyDescent="0.25">
      <c r="O23808" s="20" t="str">
        <f>IF(N23808="","",COUNTIFS(RawData[[Date ]],N23808,RawData[Month List],$Q$6,RawData[Tour/Site],$Q$2,RawData[[Picker ID ]],$Q$3,RawData[Checker ID],$Q$4,RawData[[Error Type ]],$Q$5))</f>
        <v/>
      </c>
    </row>
    <row r="23809" spans="15:15" x14ac:dyDescent="0.25">
      <c r="O23809" s="20" t="str">
        <f>IF(N23809="","",COUNTIFS(RawData[[Date ]],N23809,RawData[Month List],$Q$6,RawData[Tour/Site],$Q$2,RawData[[Picker ID ]],$Q$3,RawData[Checker ID],$Q$4,RawData[[Error Type ]],$Q$5))</f>
        <v/>
      </c>
    </row>
    <row r="23810" spans="15:15" x14ac:dyDescent="0.25">
      <c r="O23810" s="20" t="str">
        <f>IF(N23810="","",COUNTIFS(RawData[[Date ]],N23810,RawData[Month List],$Q$6,RawData[Tour/Site],$Q$2,RawData[[Picker ID ]],$Q$3,RawData[Checker ID],$Q$4,RawData[[Error Type ]],$Q$5))</f>
        <v/>
      </c>
    </row>
    <row r="23811" spans="15:15" x14ac:dyDescent="0.25">
      <c r="O23811" s="20" t="str">
        <f>IF(N23811="","",COUNTIFS(RawData[[Date ]],N23811,RawData[Month List],$Q$6,RawData[Tour/Site],$Q$2,RawData[[Picker ID ]],$Q$3,RawData[Checker ID],$Q$4,RawData[[Error Type ]],$Q$5))</f>
        <v/>
      </c>
    </row>
    <row r="23812" spans="15:15" x14ac:dyDescent="0.25">
      <c r="O23812" s="20" t="str">
        <f>IF(N23812="","",COUNTIFS(RawData[[Date ]],N23812,RawData[Month List],$Q$6,RawData[Tour/Site],$Q$2,RawData[[Picker ID ]],$Q$3,RawData[Checker ID],$Q$4,RawData[[Error Type ]],$Q$5))</f>
        <v/>
      </c>
    </row>
    <row r="23813" spans="15:15" x14ac:dyDescent="0.25">
      <c r="O23813" s="20" t="str">
        <f>IF(N23813="","",COUNTIFS(RawData[[Date ]],N23813,RawData[Month List],$Q$6,RawData[Tour/Site],$Q$2,RawData[[Picker ID ]],$Q$3,RawData[Checker ID],$Q$4,RawData[[Error Type ]],$Q$5))</f>
        <v/>
      </c>
    </row>
    <row r="23814" spans="15:15" x14ac:dyDescent="0.25">
      <c r="O23814" s="20" t="str">
        <f>IF(N23814="","",COUNTIFS(RawData[[Date ]],N23814,RawData[Month List],$Q$6,RawData[Tour/Site],$Q$2,RawData[[Picker ID ]],$Q$3,RawData[Checker ID],$Q$4,RawData[[Error Type ]],$Q$5))</f>
        <v/>
      </c>
    </row>
    <row r="23815" spans="15:15" x14ac:dyDescent="0.25">
      <c r="O23815" s="20" t="str">
        <f>IF(N23815="","",COUNTIFS(RawData[[Date ]],N23815,RawData[Month List],$Q$6,RawData[Tour/Site],$Q$2,RawData[[Picker ID ]],$Q$3,RawData[Checker ID],$Q$4,RawData[[Error Type ]],$Q$5))</f>
        <v/>
      </c>
    </row>
    <row r="23816" spans="15:15" x14ac:dyDescent="0.25">
      <c r="O23816" s="20" t="str">
        <f>IF(N23816="","",COUNTIFS(RawData[[Date ]],N23816,RawData[Month List],$Q$6,RawData[Tour/Site],$Q$2,RawData[[Picker ID ]],$Q$3,RawData[Checker ID],$Q$4,RawData[[Error Type ]],$Q$5))</f>
        <v/>
      </c>
    </row>
    <row r="23817" spans="15:15" x14ac:dyDescent="0.25">
      <c r="O23817" s="20" t="str">
        <f>IF(N23817="","",COUNTIFS(RawData[[Date ]],N23817,RawData[Month List],$Q$6,RawData[Tour/Site],$Q$2,RawData[[Picker ID ]],$Q$3,RawData[Checker ID],$Q$4,RawData[[Error Type ]],$Q$5))</f>
        <v/>
      </c>
    </row>
    <row r="23818" spans="15:15" x14ac:dyDescent="0.25">
      <c r="O23818" s="20" t="str">
        <f>IF(N23818="","",COUNTIFS(RawData[[Date ]],N23818,RawData[Month List],$Q$6,RawData[Tour/Site],$Q$2,RawData[[Picker ID ]],$Q$3,RawData[Checker ID],$Q$4,RawData[[Error Type ]],$Q$5))</f>
        <v/>
      </c>
    </row>
    <row r="23819" spans="15:15" x14ac:dyDescent="0.25">
      <c r="O23819" s="20" t="str">
        <f>IF(N23819="","",COUNTIFS(RawData[[Date ]],N23819,RawData[Month List],$Q$6,RawData[Tour/Site],$Q$2,RawData[[Picker ID ]],$Q$3,RawData[Checker ID],$Q$4,RawData[[Error Type ]],$Q$5))</f>
        <v/>
      </c>
    </row>
    <row r="23820" spans="15:15" x14ac:dyDescent="0.25">
      <c r="O23820" s="20" t="str">
        <f>IF(N23820="","",COUNTIFS(RawData[[Date ]],N23820,RawData[Month List],$Q$6,RawData[Tour/Site],$Q$2,RawData[[Picker ID ]],$Q$3,RawData[Checker ID],$Q$4,RawData[[Error Type ]],$Q$5))</f>
        <v/>
      </c>
    </row>
    <row r="23821" spans="15:15" x14ac:dyDescent="0.25">
      <c r="O23821" s="20" t="str">
        <f>IF(N23821="","",COUNTIFS(RawData[[Date ]],N23821,RawData[Month List],$Q$6,RawData[Tour/Site],$Q$2,RawData[[Picker ID ]],$Q$3,RawData[Checker ID],$Q$4,RawData[[Error Type ]],$Q$5))</f>
        <v/>
      </c>
    </row>
    <row r="23822" spans="15:15" x14ac:dyDescent="0.25">
      <c r="O23822" s="20" t="str">
        <f>IF(N23822="","",COUNTIFS(RawData[[Date ]],N23822,RawData[Month List],$Q$6,RawData[Tour/Site],$Q$2,RawData[[Picker ID ]],$Q$3,RawData[Checker ID],$Q$4,RawData[[Error Type ]],$Q$5))</f>
        <v/>
      </c>
    </row>
    <row r="23823" spans="15:15" x14ac:dyDescent="0.25">
      <c r="O23823" s="20" t="str">
        <f>IF(N23823="","",COUNTIFS(RawData[[Date ]],N23823,RawData[Month List],$Q$6,RawData[Tour/Site],$Q$2,RawData[[Picker ID ]],$Q$3,RawData[Checker ID],$Q$4,RawData[[Error Type ]],$Q$5))</f>
        <v/>
      </c>
    </row>
    <row r="23824" spans="15:15" x14ac:dyDescent="0.25">
      <c r="O23824" s="20" t="str">
        <f>IF(N23824="","",COUNTIFS(RawData[[Date ]],N23824,RawData[Month List],$Q$6,RawData[Tour/Site],$Q$2,RawData[[Picker ID ]],$Q$3,RawData[Checker ID],$Q$4,RawData[[Error Type ]],$Q$5))</f>
        <v/>
      </c>
    </row>
    <row r="23825" spans="15:15" x14ac:dyDescent="0.25">
      <c r="O23825" s="20" t="str">
        <f>IF(N23825="","",COUNTIFS(RawData[[Date ]],N23825,RawData[Month List],$Q$6,RawData[Tour/Site],$Q$2,RawData[[Picker ID ]],$Q$3,RawData[Checker ID],$Q$4,RawData[[Error Type ]],$Q$5))</f>
        <v/>
      </c>
    </row>
    <row r="23826" spans="15:15" x14ac:dyDescent="0.25">
      <c r="O23826" s="20" t="str">
        <f>IF(N23826="","",COUNTIFS(RawData[[Date ]],N23826,RawData[Month List],$Q$6,RawData[Tour/Site],$Q$2,RawData[[Picker ID ]],$Q$3,RawData[Checker ID],$Q$4,RawData[[Error Type ]],$Q$5))</f>
        <v/>
      </c>
    </row>
    <row r="23827" spans="15:15" x14ac:dyDescent="0.25">
      <c r="O23827" s="20" t="str">
        <f>IF(N23827="","",COUNTIFS(RawData[[Date ]],N23827,RawData[Month List],$Q$6,RawData[Tour/Site],$Q$2,RawData[[Picker ID ]],$Q$3,RawData[Checker ID],$Q$4,RawData[[Error Type ]],$Q$5))</f>
        <v/>
      </c>
    </row>
    <row r="23828" spans="15:15" x14ac:dyDescent="0.25">
      <c r="O23828" s="20" t="str">
        <f>IF(N23828="","",COUNTIFS(RawData[[Date ]],N23828,RawData[Month List],$Q$6,RawData[Tour/Site],$Q$2,RawData[[Picker ID ]],$Q$3,RawData[Checker ID],$Q$4,RawData[[Error Type ]],$Q$5))</f>
        <v/>
      </c>
    </row>
    <row r="23829" spans="15:15" x14ac:dyDescent="0.25">
      <c r="O23829" s="20" t="str">
        <f>IF(N23829="","",COUNTIFS(RawData[[Date ]],N23829,RawData[Month List],$Q$6,RawData[Tour/Site],$Q$2,RawData[[Picker ID ]],$Q$3,RawData[Checker ID],$Q$4,RawData[[Error Type ]],$Q$5))</f>
        <v/>
      </c>
    </row>
    <row r="23830" spans="15:15" x14ac:dyDescent="0.25">
      <c r="O23830" s="20" t="str">
        <f>IF(N23830="","",COUNTIFS(RawData[[Date ]],N23830,RawData[Month List],$Q$6,RawData[Tour/Site],$Q$2,RawData[[Picker ID ]],$Q$3,RawData[Checker ID],$Q$4,RawData[[Error Type ]],$Q$5))</f>
        <v/>
      </c>
    </row>
    <row r="23831" spans="15:15" x14ac:dyDescent="0.25">
      <c r="O23831" s="20" t="str">
        <f>IF(N23831="","",COUNTIFS(RawData[[Date ]],N23831,RawData[Month List],$Q$6,RawData[Tour/Site],$Q$2,RawData[[Picker ID ]],$Q$3,RawData[Checker ID],$Q$4,RawData[[Error Type ]],$Q$5))</f>
        <v/>
      </c>
    </row>
    <row r="23832" spans="15:15" x14ac:dyDescent="0.25">
      <c r="O23832" s="20" t="str">
        <f>IF(N23832="","",COUNTIFS(RawData[[Date ]],N23832,RawData[Month List],$Q$6,RawData[Tour/Site],$Q$2,RawData[[Picker ID ]],$Q$3,RawData[Checker ID],$Q$4,RawData[[Error Type ]],$Q$5))</f>
        <v/>
      </c>
    </row>
    <row r="23833" spans="15:15" x14ac:dyDescent="0.25">
      <c r="O23833" s="20" t="str">
        <f>IF(N23833="","",COUNTIFS(RawData[[Date ]],N23833,RawData[Month List],$Q$6,RawData[Tour/Site],$Q$2,RawData[[Picker ID ]],$Q$3,RawData[Checker ID],$Q$4,RawData[[Error Type ]],$Q$5))</f>
        <v/>
      </c>
    </row>
    <row r="23834" spans="15:15" x14ac:dyDescent="0.25">
      <c r="O23834" s="20" t="str">
        <f>IF(N23834="","",COUNTIFS(RawData[[Date ]],N23834,RawData[Month List],$Q$6,RawData[Tour/Site],$Q$2,RawData[[Picker ID ]],$Q$3,RawData[Checker ID],$Q$4,RawData[[Error Type ]],$Q$5))</f>
        <v/>
      </c>
    </row>
    <row r="23835" spans="15:15" x14ac:dyDescent="0.25">
      <c r="O23835" s="20" t="str">
        <f>IF(N23835="","",COUNTIFS(RawData[[Date ]],N23835,RawData[Month List],$Q$6,RawData[Tour/Site],$Q$2,RawData[[Picker ID ]],$Q$3,RawData[Checker ID],$Q$4,RawData[[Error Type ]],$Q$5))</f>
        <v/>
      </c>
    </row>
    <row r="23836" spans="15:15" x14ac:dyDescent="0.25">
      <c r="O23836" s="20" t="str">
        <f>IF(N23836="","",COUNTIFS(RawData[[Date ]],N23836,RawData[Month List],$Q$6,RawData[Tour/Site],$Q$2,RawData[[Picker ID ]],$Q$3,RawData[Checker ID],$Q$4,RawData[[Error Type ]],$Q$5))</f>
        <v/>
      </c>
    </row>
    <row r="23837" spans="15:15" x14ac:dyDescent="0.25">
      <c r="O23837" s="20" t="str">
        <f>IF(N23837="","",COUNTIFS(RawData[[Date ]],N23837,RawData[Month List],$Q$6,RawData[Tour/Site],$Q$2,RawData[[Picker ID ]],$Q$3,RawData[Checker ID],$Q$4,RawData[[Error Type ]],$Q$5))</f>
        <v/>
      </c>
    </row>
    <row r="23838" spans="15:15" x14ac:dyDescent="0.25">
      <c r="O23838" s="20" t="str">
        <f>IF(N23838="","",COUNTIFS(RawData[[Date ]],N23838,RawData[Month List],$Q$6,RawData[Tour/Site],$Q$2,RawData[[Picker ID ]],$Q$3,RawData[Checker ID],$Q$4,RawData[[Error Type ]],$Q$5))</f>
        <v/>
      </c>
    </row>
    <row r="23839" spans="15:15" x14ac:dyDescent="0.25">
      <c r="O23839" s="20" t="str">
        <f>IF(N23839="","",COUNTIFS(RawData[[Date ]],N23839,RawData[Month List],$Q$6,RawData[Tour/Site],$Q$2,RawData[[Picker ID ]],$Q$3,RawData[Checker ID],$Q$4,RawData[[Error Type ]],$Q$5))</f>
        <v/>
      </c>
    </row>
    <row r="23840" spans="15:15" x14ac:dyDescent="0.25">
      <c r="O23840" s="20" t="str">
        <f>IF(N23840="","",COUNTIFS(RawData[[Date ]],N23840,RawData[Month List],$Q$6,RawData[Tour/Site],$Q$2,RawData[[Picker ID ]],$Q$3,RawData[Checker ID],$Q$4,RawData[[Error Type ]],$Q$5))</f>
        <v/>
      </c>
    </row>
    <row r="23841" spans="15:15" x14ac:dyDescent="0.25">
      <c r="O23841" s="20" t="str">
        <f>IF(N23841="","",COUNTIFS(RawData[[Date ]],N23841,RawData[Month List],$Q$6,RawData[Tour/Site],$Q$2,RawData[[Picker ID ]],$Q$3,RawData[Checker ID],$Q$4,RawData[[Error Type ]],$Q$5))</f>
        <v/>
      </c>
    </row>
    <row r="23842" spans="15:15" x14ac:dyDescent="0.25">
      <c r="O23842" s="20" t="str">
        <f>IF(N23842="","",COUNTIFS(RawData[[Date ]],N23842,RawData[Month List],$Q$6,RawData[Tour/Site],$Q$2,RawData[[Picker ID ]],$Q$3,RawData[Checker ID],$Q$4,RawData[[Error Type ]],$Q$5))</f>
        <v/>
      </c>
    </row>
    <row r="23843" spans="15:15" x14ac:dyDescent="0.25">
      <c r="O23843" s="20" t="str">
        <f>IF(N23843="","",COUNTIFS(RawData[[Date ]],N23843,RawData[Month List],$Q$6,RawData[Tour/Site],$Q$2,RawData[[Picker ID ]],$Q$3,RawData[Checker ID],$Q$4,RawData[[Error Type ]],$Q$5))</f>
        <v/>
      </c>
    </row>
    <row r="23844" spans="15:15" x14ac:dyDescent="0.25">
      <c r="O23844" s="20" t="str">
        <f>IF(N23844="","",COUNTIFS(RawData[[Date ]],N23844,RawData[Month List],$Q$6,RawData[Tour/Site],$Q$2,RawData[[Picker ID ]],$Q$3,RawData[Checker ID],$Q$4,RawData[[Error Type ]],$Q$5))</f>
        <v/>
      </c>
    </row>
    <row r="23845" spans="15:15" x14ac:dyDescent="0.25">
      <c r="O23845" s="20" t="str">
        <f>IF(N23845="","",COUNTIFS(RawData[[Date ]],N23845,RawData[Month List],$Q$6,RawData[Tour/Site],$Q$2,RawData[[Picker ID ]],$Q$3,RawData[Checker ID],$Q$4,RawData[[Error Type ]],$Q$5))</f>
        <v/>
      </c>
    </row>
    <row r="23846" spans="15:15" x14ac:dyDescent="0.25">
      <c r="O23846" s="20" t="str">
        <f>IF(N23846="","",COUNTIFS(RawData[[Date ]],N23846,RawData[Month List],$Q$6,RawData[Tour/Site],$Q$2,RawData[[Picker ID ]],$Q$3,RawData[Checker ID],$Q$4,RawData[[Error Type ]],$Q$5))</f>
        <v/>
      </c>
    </row>
    <row r="23847" spans="15:15" x14ac:dyDescent="0.25">
      <c r="O23847" s="20" t="str">
        <f>IF(N23847="","",COUNTIFS(RawData[[Date ]],N23847,RawData[Month List],$Q$6,RawData[Tour/Site],$Q$2,RawData[[Picker ID ]],$Q$3,RawData[Checker ID],$Q$4,RawData[[Error Type ]],$Q$5))</f>
        <v/>
      </c>
    </row>
    <row r="23848" spans="15:15" x14ac:dyDescent="0.25">
      <c r="O23848" s="20" t="str">
        <f>IF(N23848="","",COUNTIFS(RawData[[Date ]],N23848,RawData[Month List],$Q$6,RawData[Tour/Site],$Q$2,RawData[[Picker ID ]],$Q$3,RawData[Checker ID],$Q$4,RawData[[Error Type ]],$Q$5))</f>
        <v/>
      </c>
    </row>
    <row r="23849" spans="15:15" x14ac:dyDescent="0.25">
      <c r="O23849" s="20" t="str">
        <f>IF(N23849="","",COUNTIFS(RawData[[Date ]],N23849,RawData[Month List],$Q$6,RawData[Tour/Site],$Q$2,RawData[[Picker ID ]],$Q$3,RawData[Checker ID],$Q$4,RawData[[Error Type ]],$Q$5))</f>
        <v/>
      </c>
    </row>
    <row r="23850" spans="15:15" x14ac:dyDescent="0.25">
      <c r="O23850" s="20" t="str">
        <f>IF(N23850="","",COUNTIFS(RawData[[Date ]],N23850,RawData[Month List],$Q$6,RawData[Tour/Site],$Q$2,RawData[[Picker ID ]],$Q$3,RawData[Checker ID],$Q$4,RawData[[Error Type ]],$Q$5))</f>
        <v/>
      </c>
    </row>
    <row r="23851" spans="15:15" x14ac:dyDescent="0.25">
      <c r="O23851" s="20" t="str">
        <f>IF(N23851="","",COUNTIFS(RawData[[Date ]],N23851,RawData[Month List],$Q$6,RawData[Tour/Site],$Q$2,RawData[[Picker ID ]],$Q$3,RawData[Checker ID],$Q$4,RawData[[Error Type ]],$Q$5))</f>
        <v/>
      </c>
    </row>
    <row r="23852" spans="15:15" x14ac:dyDescent="0.25">
      <c r="O23852" s="20" t="str">
        <f>IF(N23852="","",COUNTIFS(RawData[[Date ]],N23852,RawData[Month List],$Q$6,RawData[Tour/Site],$Q$2,RawData[[Picker ID ]],$Q$3,RawData[Checker ID],$Q$4,RawData[[Error Type ]],$Q$5))</f>
        <v/>
      </c>
    </row>
    <row r="23853" spans="15:15" x14ac:dyDescent="0.25">
      <c r="O23853" s="20" t="str">
        <f>IF(N23853="","",COUNTIFS(RawData[[Date ]],N23853,RawData[Month List],$Q$6,RawData[Tour/Site],$Q$2,RawData[[Picker ID ]],$Q$3,RawData[Checker ID],$Q$4,RawData[[Error Type ]],$Q$5))</f>
        <v/>
      </c>
    </row>
    <row r="23854" spans="15:15" x14ac:dyDescent="0.25">
      <c r="O23854" s="20" t="str">
        <f>IF(N23854="","",COUNTIFS(RawData[[Date ]],N23854,RawData[Month List],$Q$6,RawData[Tour/Site],$Q$2,RawData[[Picker ID ]],$Q$3,RawData[Checker ID],$Q$4,RawData[[Error Type ]],$Q$5))</f>
        <v/>
      </c>
    </row>
    <row r="23855" spans="15:15" x14ac:dyDescent="0.25">
      <c r="O23855" s="20" t="str">
        <f>IF(N23855="","",COUNTIFS(RawData[[Date ]],N23855,RawData[Month List],$Q$6,RawData[Tour/Site],$Q$2,RawData[[Picker ID ]],$Q$3,RawData[Checker ID],$Q$4,RawData[[Error Type ]],$Q$5))</f>
        <v/>
      </c>
    </row>
    <row r="23856" spans="15:15" x14ac:dyDescent="0.25">
      <c r="O23856" s="20" t="str">
        <f>IF(N23856="","",COUNTIFS(RawData[[Date ]],N23856,RawData[Month List],$Q$6,RawData[Tour/Site],$Q$2,RawData[[Picker ID ]],$Q$3,RawData[Checker ID],$Q$4,RawData[[Error Type ]],$Q$5))</f>
        <v/>
      </c>
    </row>
    <row r="23857" spans="15:15" x14ac:dyDescent="0.25">
      <c r="O23857" s="20" t="str">
        <f>IF(N23857="","",COUNTIFS(RawData[[Date ]],N23857,RawData[Month List],$Q$6,RawData[Tour/Site],$Q$2,RawData[[Picker ID ]],$Q$3,RawData[Checker ID],$Q$4,RawData[[Error Type ]],$Q$5))</f>
        <v/>
      </c>
    </row>
    <row r="23858" spans="15:15" x14ac:dyDescent="0.25">
      <c r="O23858" s="20" t="str">
        <f>IF(N23858="","",COUNTIFS(RawData[[Date ]],N23858,RawData[Month List],$Q$6,RawData[Tour/Site],$Q$2,RawData[[Picker ID ]],$Q$3,RawData[Checker ID],$Q$4,RawData[[Error Type ]],$Q$5))</f>
        <v/>
      </c>
    </row>
    <row r="23859" spans="15:15" x14ac:dyDescent="0.25">
      <c r="O23859" s="20" t="str">
        <f>IF(N23859="","",COUNTIFS(RawData[[Date ]],N23859,RawData[Month List],$Q$6,RawData[Tour/Site],$Q$2,RawData[[Picker ID ]],$Q$3,RawData[Checker ID],$Q$4,RawData[[Error Type ]],$Q$5))</f>
        <v/>
      </c>
    </row>
    <row r="23860" spans="15:15" x14ac:dyDescent="0.25">
      <c r="O23860" s="20" t="str">
        <f>IF(N23860="","",COUNTIFS(RawData[[Date ]],N23860,RawData[Month List],$Q$6,RawData[Tour/Site],$Q$2,RawData[[Picker ID ]],$Q$3,RawData[Checker ID],$Q$4,RawData[[Error Type ]],$Q$5))</f>
        <v/>
      </c>
    </row>
    <row r="23861" spans="15:15" x14ac:dyDescent="0.25">
      <c r="O23861" s="20" t="str">
        <f>IF(N23861="","",COUNTIFS(RawData[[Date ]],N23861,RawData[Month List],$Q$6,RawData[Tour/Site],$Q$2,RawData[[Picker ID ]],$Q$3,RawData[Checker ID],$Q$4,RawData[[Error Type ]],$Q$5))</f>
        <v/>
      </c>
    </row>
    <row r="23862" spans="15:15" x14ac:dyDescent="0.25">
      <c r="O23862" s="20" t="str">
        <f>IF(N23862="","",COUNTIFS(RawData[[Date ]],N23862,RawData[Month List],$Q$6,RawData[Tour/Site],$Q$2,RawData[[Picker ID ]],$Q$3,RawData[Checker ID],$Q$4,RawData[[Error Type ]],$Q$5))</f>
        <v/>
      </c>
    </row>
    <row r="23863" spans="15:15" x14ac:dyDescent="0.25">
      <c r="O23863" s="20" t="str">
        <f>IF(N23863="","",COUNTIFS(RawData[[Date ]],N23863,RawData[Month List],$Q$6,RawData[Tour/Site],$Q$2,RawData[[Picker ID ]],$Q$3,RawData[Checker ID],$Q$4,RawData[[Error Type ]],$Q$5))</f>
        <v/>
      </c>
    </row>
    <row r="23864" spans="15:15" x14ac:dyDescent="0.25">
      <c r="O23864" s="20" t="str">
        <f>IF(N23864="","",COUNTIFS(RawData[[Date ]],N23864,RawData[Month List],$Q$6,RawData[Tour/Site],$Q$2,RawData[[Picker ID ]],$Q$3,RawData[Checker ID],$Q$4,RawData[[Error Type ]],$Q$5))</f>
        <v/>
      </c>
    </row>
    <row r="23865" spans="15:15" x14ac:dyDescent="0.25">
      <c r="O23865" s="20" t="str">
        <f>IF(N23865="","",COUNTIFS(RawData[[Date ]],N23865,RawData[Month List],$Q$6,RawData[Tour/Site],$Q$2,RawData[[Picker ID ]],$Q$3,RawData[Checker ID],$Q$4,RawData[[Error Type ]],$Q$5))</f>
        <v/>
      </c>
    </row>
    <row r="23866" spans="15:15" x14ac:dyDescent="0.25">
      <c r="O23866" s="20" t="str">
        <f>IF(N23866="","",COUNTIFS(RawData[[Date ]],N23866,RawData[Month List],$Q$6,RawData[Tour/Site],$Q$2,RawData[[Picker ID ]],$Q$3,RawData[Checker ID],$Q$4,RawData[[Error Type ]],$Q$5))</f>
        <v/>
      </c>
    </row>
    <row r="23867" spans="15:15" x14ac:dyDescent="0.25">
      <c r="O23867" s="20" t="str">
        <f>IF(N23867="","",COUNTIFS(RawData[[Date ]],N23867,RawData[Month List],$Q$6,RawData[Tour/Site],$Q$2,RawData[[Picker ID ]],$Q$3,RawData[Checker ID],$Q$4,RawData[[Error Type ]],$Q$5))</f>
        <v/>
      </c>
    </row>
    <row r="23868" spans="15:15" x14ac:dyDescent="0.25">
      <c r="O23868" s="20" t="str">
        <f>IF(N23868="","",COUNTIFS(RawData[[Date ]],N23868,RawData[Month List],$Q$6,RawData[Tour/Site],$Q$2,RawData[[Picker ID ]],$Q$3,RawData[Checker ID],$Q$4,RawData[[Error Type ]],$Q$5))</f>
        <v/>
      </c>
    </row>
    <row r="23869" spans="15:15" x14ac:dyDescent="0.25">
      <c r="O23869" s="20" t="str">
        <f>IF(N23869="","",COUNTIFS(RawData[[Date ]],N23869,RawData[Month List],$Q$6,RawData[Tour/Site],$Q$2,RawData[[Picker ID ]],$Q$3,RawData[Checker ID],$Q$4,RawData[[Error Type ]],$Q$5))</f>
        <v/>
      </c>
    </row>
    <row r="23870" spans="15:15" x14ac:dyDescent="0.25">
      <c r="O23870" s="20" t="str">
        <f>IF(N23870="","",COUNTIFS(RawData[[Date ]],N23870,RawData[Month List],$Q$6,RawData[Tour/Site],$Q$2,RawData[[Picker ID ]],$Q$3,RawData[Checker ID],$Q$4,RawData[[Error Type ]],$Q$5))</f>
        <v/>
      </c>
    </row>
    <row r="23871" spans="15:15" x14ac:dyDescent="0.25">
      <c r="O23871" s="20" t="str">
        <f>IF(N23871="","",COUNTIFS(RawData[[Date ]],N23871,RawData[Month List],$Q$6,RawData[Tour/Site],$Q$2,RawData[[Picker ID ]],$Q$3,RawData[Checker ID],$Q$4,RawData[[Error Type ]],$Q$5))</f>
        <v/>
      </c>
    </row>
    <row r="23872" spans="15:15" x14ac:dyDescent="0.25">
      <c r="O23872" s="20" t="str">
        <f>IF(N23872="","",COUNTIFS(RawData[[Date ]],N23872,RawData[Month List],$Q$6,RawData[Tour/Site],$Q$2,RawData[[Picker ID ]],$Q$3,RawData[Checker ID],$Q$4,RawData[[Error Type ]],$Q$5))</f>
        <v/>
      </c>
    </row>
    <row r="23873" spans="15:15" x14ac:dyDescent="0.25">
      <c r="O23873" s="20" t="str">
        <f>IF(N23873="","",COUNTIFS(RawData[[Date ]],N23873,RawData[Month List],$Q$6,RawData[Tour/Site],$Q$2,RawData[[Picker ID ]],$Q$3,RawData[Checker ID],$Q$4,RawData[[Error Type ]],$Q$5))</f>
        <v/>
      </c>
    </row>
    <row r="23874" spans="15:15" x14ac:dyDescent="0.25">
      <c r="O23874" s="20" t="str">
        <f>IF(N23874="","",COUNTIFS(RawData[[Date ]],N23874,RawData[Month List],$Q$6,RawData[Tour/Site],$Q$2,RawData[[Picker ID ]],$Q$3,RawData[Checker ID],$Q$4,RawData[[Error Type ]],$Q$5))</f>
        <v/>
      </c>
    </row>
    <row r="23875" spans="15:15" x14ac:dyDescent="0.25">
      <c r="O23875" s="20" t="str">
        <f>IF(N23875="","",COUNTIFS(RawData[[Date ]],N23875,RawData[Month List],$Q$6,RawData[Tour/Site],$Q$2,RawData[[Picker ID ]],$Q$3,RawData[Checker ID],$Q$4,RawData[[Error Type ]],$Q$5))</f>
        <v/>
      </c>
    </row>
    <row r="23876" spans="15:15" x14ac:dyDescent="0.25">
      <c r="O23876" s="20" t="str">
        <f>IF(N23876="","",COUNTIFS(RawData[[Date ]],N23876,RawData[Month List],$Q$6,RawData[Tour/Site],$Q$2,RawData[[Picker ID ]],$Q$3,RawData[Checker ID],$Q$4,RawData[[Error Type ]],$Q$5))</f>
        <v/>
      </c>
    </row>
    <row r="23877" spans="15:15" x14ac:dyDescent="0.25">
      <c r="O23877" s="20" t="str">
        <f>IF(N23877="","",COUNTIFS(RawData[[Date ]],N23877,RawData[Month List],$Q$6,RawData[Tour/Site],$Q$2,RawData[[Picker ID ]],$Q$3,RawData[Checker ID],$Q$4,RawData[[Error Type ]],$Q$5))</f>
        <v/>
      </c>
    </row>
    <row r="23878" spans="15:15" x14ac:dyDescent="0.25">
      <c r="O23878" s="20" t="str">
        <f>IF(N23878="","",COUNTIFS(RawData[[Date ]],N23878,RawData[Month List],$Q$6,RawData[Tour/Site],$Q$2,RawData[[Picker ID ]],$Q$3,RawData[Checker ID],$Q$4,RawData[[Error Type ]],$Q$5))</f>
        <v/>
      </c>
    </row>
    <row r="23879" spans="15:15" x14ac:dyDescent="0.25">
      <c r="O23879" s="20" t="str">
        <f>IF(N23879="","",COUNTIFS(RawData[[Date ]],N23879,RawData[Month List],$Q$6,RawData[Tour/Site],$Q$2,RawData[[Picker ID ]],$Q$3,RawData[Checker ID],$Q$4,RawData[[Error Type ]],$Q$5))</f>
        <v/>
      </c>
    </row>
    <row r="23880" spans="15:15" x14ac:dyDescent="0.25">
      <c r="O23880" s="20" t="str">
        <f>IF(N23880="","",COUNTIFS(RawData[[Date ]],N23880,RawData[Month List],$Q$6,RawData[Tour/Site],$Q$2,RawData[[Picker ID ]],$Q$3,RawData[Checker ID],$Q$4,RawData[[Error Type ]],$Q$5))</f>
        <v/>
      </c>
    </row>
    <row r="23881" spans="15:15" x14ac:dyDescent="0.25">
      <c r="O23881" s="20" t="str">
        <f>IF(N23881="","",COUNTIFS(RawData[[Date ]],N23881,RawData[Month List],$Q$6,RawData[Tour/Site],$Q$2,RawData[[Picker ID ]],$Q$3,RawData[Checker ID],$Q$4,RawData[[Error Type ]],$Q$5))</f>
        <v/>
      </c>
    </row>
    <row r="23882" spans="15:15" x14ac:dyDescent="0.25">
      <c r="O23882" s="20" t="str">
        <f>IF(N23882="","",COUNTIFS(RawData[[Date ]],N23882,RawData[Month List],$Q$6,RawData[Tour/Site],$Q$2,RawData[[Picker ID ]],$Q$3,RawData[Checker ID],$Q$4,RawData[[Error Type ]],$Q$5))</f>
        <v/>
      </c>
    </row>
    <row r="23883" spans="15:15" x14ac:dyDescent="0.25">
      <c r="O23883" s="20" t="str">
        <f>IF(N23883="","",COUNTIFS(RawData[[Date ]],N23883,RawData[Month List],$Q$6,RawData[Tour/Site],$Q$2,RawData[[Picker ID ]],$Q$3,RawData[Checker ID],$Q$4,RawData[[Error Type ]],$Q$5))</f>
        <v/>
      </c>
    </row>
    <row r="23884" spans="15:15" x14ac:dyDescent="0.25">
      <c r="O23884" s="20" t="str">
        <f>IF(N23884="","",COUNTIFS(RawData[[Date ]],N23884,RawData[Month List],$Q$6,RawData[Tour/Site],$Q$2,RawData[[Picker ID ]],$Q$3,RawData[Checker ID],$Q$4,RawData[[Error Type ]],$Q$5))</f>
        <v/>
      </c>
    </row>
    <row r="23885" spans="15:15" x14ac:dyDescent="0.25">
      <c r="O23885" s="20" t="str">
        <f>IF(N23885="","",COUNTIFS(RawData[[Date ]],N23885,RawData[Month List],$Q$6,RawData[Tour/Site],$Q$2,RawData[[Picker ID ]],$Q$3,RawData[Checker ID],$Q$4,RawData[[Error Type ]],$Q$5))</f>
        <v/>
      </c>
    </row>
    <row r="23886" spans="15:15" x14ac:dyDescent="0.25">
      <c r="O23886" s="20" t="str">
        <f>IF(N23886="","",COUNTIFS(RawData[[Date ]],N23886,RawData[Month List],$Q$6,RawData[Tour/Site],$Q$2,RawData[[Picker ID ]],$Q$3,RawData[Checker ID],$Q$4,RawData[[Error Type ]],$Q$5))</f>
        <v/>
      </c>
    </row>
    <row r="23887" spans="15:15" x14ac:dyDescent="0.25">
      <c r="O23887" s="20" t="str">
        <f>IF(N23887="","",COUNTIFS(RawData[[Date ]],N23887,RawData[Month List],$Q$6,RawData[Tour/Site],$Q$2,RawData[[Picker ID ]],$Q$3,RawData[Checker ID],$Q$4,RawData[[Error Type ]],$Q$5))</f>
        <v/>
      </c>
    </row>
    <row r="23888" spans="15:15" x14ac:dyDescent="0.25">
      <c r="O23888" s="20" t="str">
        <f>IF(N23888="","",COUNTIFS(RawData[[Date ]],N23888,RawData[Month List],$Q$6,RawData[Tour/Site],$Q$2,RawData[[Picker ID ]],$Q$3,RawData[Checker ID],$Q$4,RawData[[Error Type ]],$Q$5))</f>
        <v/>
      </c>
    </row>
    <row r="23889" spans="15:15" x14ac:dyDescent="0.25">
      <c r="O23889" s="20" t="str">
        <f>IF(N23889="","",COUNTIFS(RawData[[Date ]],N23889,RawData[Month List],$Q$6,RawData[Tour/Site],$Q$2,RawData[[Picker ID ]],$Q$3,RawData[Checker ID],$Q$4,RawData[[Error Type ]],$Q$5))</f>
        <v/>
      </c>
    </row>
    <row r="23890" spans="15:15" x14ac:dyDescent="0.25">
      <c r="O23890" s="20" t="str">
        <f>IF(N23890="","",COUNTIFS(RawData[[Date ]],N23890,RawData[Month List],$Q$6,RawData[Tour/Site],$Q$2,RawData[[Picker ID ]],$Q$3,RawData[Checker ID],$Q$4,RawData[[Error Type ]],$Q$5))</f>
        <v/>
      </c>
    </row>
    <row r="23891" spans="15:15" x14ac:dyDescent="0.25">
      <c r="O23891" s="20" t="str">
        <f>IF(N23891="","",COUNTIFS(RawData[[Date ]],N23891,RawData[Month List],$Q$6,RawData[Tour/Site],$Q$2,RawData[[Picker ID ]],$Q$3,RawData[Checker ID],$Q$4,RawData[[Error Type ]],$Q$5))</f>
        <v/>
      </c>
    </row>
    <row r="23892" spans="15:15" x14ac:dyDescent="0.25">
      <c r="O23892" s="20" t="str">
        <f>IF(N23892="","",COUNTIFS(RawData[[Date ]],N23892,RawData[Month List],$Q$6,RawData[Tour/Site],$Q$2,RawData[[Picker ID ]],$Q$3,RawData[Checker ID],$Q$4,RawData[[Error Type ]],$Q$5))</f>
        <v/>
      </c>
    </row>
    <row r="23893" spans="15:15" x14ac:dyDescent="0.25">
      <c r="O23893" s="20" t="str">
        <f>IF(N23893="","",COUNTIFS(RawData[[Date ]],N23893,RawData[Month List],$Q$6,RawData[Tour/Site],$Q$2,RawData[[Picker ID ]],$Q$3,RawData[Checker ID],$Q$4,RawData[[Error Type ]],$Q$5))</f>
        <v/>
      </c>
    </row>
    <row r="23894" spans="15:15" x14ac:dyDescent="0.25">
      <c r="O23894" s="20" t="str">
        <f>IF(N23894="","",COUNTIFS(RawData[[Date ]],N23894,RawData[Month List],$Q$6,RawData[Tour/Site],$Q$2,RawData[[Picker ID ]],$Q$3,RawData[Checker ID],$Q$4,RawData[[Error Type ]],$Q$5))</f>
        <v/>
      </c>
    </row>
    <row r="23895" spans="15:15" x14ac:dyDescent="0.25">
      <c r="O23895" s="20" t="str">
        <f>IF(N23895="","",COUNTIFS(RawData[[Date ]],N23895,RawData[Month List],$Q$6,RawData[Tour/Site],$Q$2,RawData[[Picker ID ]],$Q$3,RawData[Checker ID],$Q$4,RawData[[Error Type ]],$Q$5))</f>
        <v/>
      </c>
    </row>
    <row r="23896" spans="15:15" x14ac:dyDescent="0.25">
      <c r="O23896" s="20" t="str">
        <f>IF(N23896="","",COUNTIFS(RawData[[Date ]],N23896,RawData[Month List],$Q$6,RawData[Tour/Site],$Q$2,RawData[[Picker ID ]],$Q$3,RawData[Checker ID],$Q$4,RawData[[Error Type ]],$Q$5))</f>
        <v/>
      </c>
    </row>
    <row r="23897" spans="15:15" x14ac:dyDescent="0.25">
      <c r="O23897" s="20" t="str">
        <f>IF(N23897="","",COUNTIFS(RawData[[Date ]],N23897,RawData[Month List],$Q$6,RawData[Tour/Site],$Q$2,RawData[[Picker ID ]],$Q$3,RawData[Checker ID],$Q$4,RawData[[Error Type ]],$Q$5))</f>
        <v/>
      </c>
    </row>
    <row r="23898" spans="15:15" x14ac:dyDescent="0.25">
      <c r="O23898" s="20" t="str">
        <f>IF(N23898="","",COUNTIFS(RawData[[Date ]],N23898,RawData[Month List],$Q$6,RawData[Tour/Site],$Q$2,RawData[[Picker ID ]],$Q$3,RawData[Checker ID],$Q$4,RawData[[Error Type ]],$Q$5))</f>
        <v/>
      </c>
    </row>
    <row r="23899" spans="15:15" x14ac:dyDescent="0.25">
      <c r="O23899" s="20" t="str">
        <f>IF(N23899="","",COUNTIFS(RawData[[Date ]],N23899,RawData[Month List],$Q$6,RawData[Tour/Site],$Q$2,RawData[[Picker ID ]],$Q$3,RawData[Checker ID],$Q$4,RawData[[Error Type ]],$Q$5))</f>
        <v/>
      </c>
    </row>
    <row r="23900" spans="15:15" x14ac:dyDescent="0.25">
      <c r="O23900" s="20" t="str">
        <f>IF(N23900="","",COUNTIFS(RawData[[Date ]],N23900,RawData[Month List],$Q$6,RawData[Tour/Site],$Q$2,RawData[[Picker ID ]],$Q$3,RawData[Checker ID],$Q$4,RawData[[Error Type ]],$Q$5))</f>
        <v/>
      </c>
    </row>
    <row r="23901" spans="15:15" x14ac:dyDescent="0.25">
      <c r="O23901" s="20" t="str">
        <f>IF(N23901="","",COUNTIFS(RawData[[Date ]],N23901,RawData[Month List],$Q$6,RawData[Tour/Site],$Q$2,RawData[[Picker ID ]],$Q$3,RawData[Checker ID],$Q$4,RawData[[Error Type ]],$Q$5))</f>
        <v/>
      </c>
    </row>
    <row r="23902" spans="15:15" x14ac:dyDescent="0.25">
      <c r="O23902" s="20" t="str">
        <f>IF(N23902="","",COUNTIFS(RawData[[Date ]],N23902,RawData[Month List],$Q$6,RawData[Tour/Site],$Q$2,RawData[[Picker ID ]],$Q$3,RawData[Checker ID],$Q$4,RawData[[Error Type ]],$Q$5))</f>
        <v/>
      </c>
    </row>
    <row r="23903" spans="15:15" x14ac:dyDescent="0.25">
      <c r="O23903" s="20" t="str">
        <f>IF(N23903="","",COUNTIFS(RawData[[Date ]],N23903,RawData[Month List],$Q$6,RawData[Tour/Site],$Q$2,RawData[[Picker ID ]],$Q$3,RawData[Checker ID],$Q$4,RawData[[Error Type ]],$Q$5))</f>
        <v/>
      </c>
    </row>
    <row r="23904" spans="15:15" x14ac:dyDescent="0.25">
      <c r="O23904" s="20" t="str">
        <f>IF(N23904="","",COUNTIFS(RawData[[Date ]],N23904,RawData[Month List],$Q$6,RawData[Tour/Site],$Q$2,RawData[[Picker ID ]],$Q$3,RawData[Checker ID],$Q$4,RawData[[Error Type ]],$Q$5))</f>
        <v/>
      </c>
    </row>
    <row r="23905" spans="15:15" x14ac:dyDescent="0.25">
      <c r="O23905" s="20" t="str">
        <f>IF(N23905="","",COUNTIFS(RawData[[Date ]],N23905,RawData[Month List],$Q$6,RawData[Tour/Site],$Q$2,RawData[[Picker ID ]],$Q$3,RawData[Checker ID],$Q$4,RawData[[Error Type ]],$Q$5))</f>
        <v/>
      </c>
    </row>
    <row r="23906" spans="15:15" x14ac:dyDescent="0.25">
      <c r="O23906" s="20" t="str">
        <f>IF(N23906="","",COUNTIFS(RawData[[Date ]],N23906,RawData[Month List],$Q$6,RawData[Tour/Site],$Q$2,RawData[[Picker ID ]],$Q$3,RawData[Checker ID],$Q$4,RawData[[Error Type ]],$Q$5))</f>
        <v/>
      </c>
    </row>
    <row r="23907" spans="15:15" x14ac:dyDescent="0.25">
      <c r="O23907" s="20" t="str">
        <f>IF(N23907="","",COUNTIFS(RawData[[Date ]],N23907,RawData[Month List],$Q$6,RawData[Tour/Site],$Q$2,RawData[[Picker ID ]],$Q$3,RawData[Checker ID],$Q$4,RawData[[Error Type ]],$Q$5))</f>
        <v/>
      </c>
    </row>
    <row r="23908" spans="15:15" x14ac:dyDescent="0.25">
      <c r="O23908" s="20" t="str">
        <f>IF(N23908="","",COUNTIFS(RawData[[Date ]],N23908,RawData[Month List],$Q$6,RawData[Tour/Site],$Q$2,RawData[[Picker ID ]],$Q$3,RawData[Checker ID],$Q$4,RawData[[Error Type ]],$Q$5))</f>
        <v/>
      </c>
    </row>
    <row r="23909" spans="15:15" x14ac:dyDescent="0.25">
      <c r="O23909" s="20" t="str">
        <f>IF(N23909="","",COUNTIFS(RawData[[Date ]],N23909,RawData[Month List],$Q$6,RawData[Tour/Site],$Q$2,RawData[[Picker ID ]],$Q$3,RawData[Checker ID],$Q$4,RawData[[Error Type ]],$Q$5))</f>
        <v/>
      </c>
    </row>
    <row r="23910" spans="15:15" x14ac:dyDescent="0.25">
      <c r="O23910" s="20" t="str">
        <f>IF(N23910="","",COUNTIFS(RawData[[Date ]],N23910,RawData[Month List],$Q$6,RawData[Tour/Site],$Q$2,RawData[[Picker ID ]],$Q$3,RawData[Checker ID],$Q$4,RawData[[Error Type ]],$Q$5))</f>
        <v/>
      </c>
    </row>
    <row r="23911" spans="15:15" x14ac:dyDescent="0.25">
      <c r="O23911" s="20" t="str">
        <f>IF(N23911="","",COUNTIFS(RawData[[Date ]],N23911,RawData[Month List],$Q$6,RawData[Tour/Site],$Q$2,RawData[[Picker ID ]],$Q$3,RawData[Checker ID],$Q$4,RawData[[Error Type ]],$Q$5))</f>
        <v/>
      </c>
    </row>
    <row r="23912" spans="15:15" x14ac:dyDescent="0.25">
      <c r="O23912" s="20" t="str">
        <f>IF(N23912="","",COUNTIFS(RawData[[Date ]],N23912,RawData[Month List],$Q$6,RawData[Tour/Site],$Q$2,RawData[[Picker ID ]],$Q$3,RawData[Checker ID],$Q$4,RawData[[Error Type ]],$Q$5))</f>
        <v/>
      </c>
    </row>
    <row r="23913" spans="15:15" x14ac:dyDescent="0.25">
      <c r="O23913" s="20" t="str">
        <f>IF(N23913="","",COUNTIFS(RawData[[Date ]],N23913,RawData[Month List],$Q$6,RawData[Tour/Site],$Q$2,RawData[[Picker ID ]],$Q$3,RawData[Checker ID],$Q$4,RawData[[Error Type ]],$Q$5))</f>
        <v/>
      </c>
    </row>
    <row r="23914" spans="15:15" x14ac:dyDescent="0.25">
      <c r="O23914" s="20" t="str">
        <f>IF(N23914="","",COUNTIFS(RawData[[Date ]],N23914,RawData[Month List],$Q$6,RawData[Tour/Site],$Q$2,RawData[[Picker ID ]],$Q$3,RawData[Checker ID],$Q$4,RawData[[Error Type ]],$Q$5))</f>
        <v/>
      </c>
    </row>
    <row r="23915" spans="15:15" x14ac:dyDescent="0.25">
      <c r="O23915" s="20" t="str">
        <f>IF(N23915="","",COUNTIFS(RawData[[Date ]],N23915,RawData[Month List],$Q$6,RawData[Tour/Site],$Q$2,RawData[[Picker ID ]],$Q$3,RawData[Checker ID],$Q$4,RawData[[Error Type ]],$Q$5))</f>
        <v/>
      </c>
    </row>
    <row r="23916" spans="15:15" x14ac:dyDescent="0.25">
      <c r="O23916" s="20" t="str">
        <f>IF(N23916="","",COUNTIFS(RawData[[Date ]],N23916,RawData[Month List],$Q$6,RawData[Tour/Site],$Q$2,RawData[[Picker ID ]],$Q$3,RawData[Checker ID],$Q$4,RawData[[Error Type ]],$Q$5))</f>
        <v/>
      </c>
    </row>
    <row r="23917" spans="15:15" x14ac:dyDescent="0.25">
      <c r="O23917" s="20" t="str">
        <f>IF(N23917="","",COUNTIFS(RawData[[Date ]],N23917,RawData[Month List],$Q$6,RawData[Tour/Site],$Q$2,RawData[[Picker ID ]],$Q$3,RawData[Checker ID],$Q$4,RawData[[Error Type ]],$Q$5))</f>
        <v/>
      </c>
    </row>
    <row r="23918" spans="15:15" x14ac:dyDescent="0.25">
      <c r="O23918" s="20" t="str">
        <f>IF(N23918="","",COUNTIFS(RawData[[Date ]],N23918,RawData[Month List],$Q$6,RawData[Tour/Site],$Q$2,RawData[[Picker ID ]],$Q$3,RawData[Checker ID],$Q$4,RawData[[Error Type ]],$Q$5))</f>
        <v/>
      </c>
    </row>
    <row r="23919" spans="15:15" x14ac:dyDescent="0.25">
      <c r="O23919" s="20" t="str">
        <f>IF(N23919="","",COUNTIFS(RawData[[Date ]],N23919,RawData[Month List],$Q$6,RawData[Tour/Site],$Q$2,RawData[[Picker ID ]],$Q$3,RawData[Checker ID],$Q$4,RawData[[Error Type ]],$Q$5))</f>
        <v/>
      </c>
    </row>
    <row r="23920" spans="15:15" x14ac:dyDescent="0.25">
      <c r="O23920" s="20" t="str">
        <f>IF(N23920="","",COUNTIFS(RawData[[Date ]],N23920,RawData[Month List],$Q$6,RawData[Tour/Site],$Q$2,RawData[[Picker ID ]],$Q$3,RawData[Checker ID],$Q$4,RawData[[Error Type ]],$Q$5))</f>
        <v/>
      </c>
    </row>
    <row r="23921" spans="15:15" x14ac:dyDescent="0.25">
      <c r="O23921" s="20" t="str">
        <f>IF(N23921="","",COUNTIFS(RawData[[Date ]],N23921,RawData[Month List],$Q$6,RawData[Tour/Site],$Q$2,RawData[[Picker ID ]],$Q$3,RawData[Checker ID],$Q$4,RawData[[Error Type ]],$Q$5))</f>
        <v/>
      </c>
    </row>
    <row r="23922" spans="15:15" x14ac:dyDescent="0.25">
      <c r="O23922" s="20" t="str">
        <f>IF(N23922="","",COUNTIFS(RawData[[Date ]],N23922,RawData[Month List],$Q$6,RawData[Tour/Site],$Q$2,RawData[[Picker ID ]],$Q$3,RawData[Checker ID],$Q$4,RawData[[Error Type ]],$Q$5))</f>
        <v/>
      </c>
    </row>
    <row r="23923" spans="15:15" x14ac:dyDescent="0.25">
      <c r="O23923" s="20" t="str">
        <f>IF(N23923="","",COUNTIFS(RawData[[Date ]],N23923,RawData[Month List],$Q$6,RawData[Tour/Site],$Q$2,RawData[[Picker ID ]],$Q$3,RawData[Checker ID],$Q$4,RawData[[Error Type ]],$Q$5))</f>
        <v/>
      </c>
    </row>
    <row r="23924" spans="15:15" x14ac:dyDescent="0.25">
      <c r="O23924" s="20" t="str">
        <f>IF(N23924="","",COUNTIFS(RawData[[Date ]],N23924,RawData[Month List],$Q$6,RawData[Tour/Site],$Q$2,RawData[[Picker ID ]],$Q$3,RawData[Checker ID],$Q$4,RawData[[Error Type ]],$Q$5))</f>
        <v/>
      </c>
    </row>
    <row r="23925" spans="15:15" x14ac:dyDescent="0.25">
      <c r="O23925" s="20" t="str">
        <f>IF(N23925="","",COUNTIFS(RawData[[Date ]],N23925,RawData[Month List],$Q$6,RawData[Tour/Site],$Q$2,RawData[[Picker ID ]],$Q$3,RawData[Checker ID],$Q$4,RawData[[Error Type ]],$Q$5))</f>
        <v/>
      </c>
    </row>
    <row r="23926" spans="15:15" x14ac:dyDescent="0.25">
      <c r="O23926" s="20" t="str">
        <f>IF(N23926="","",COUNTIFS(RawData[[Date ]],N23926,RawData[Month List],$Q$6,RawData[Tour/Site],$Q$2,RawData[[Picker ID ]],$Q$3,RawData[Checker ID],$Q$4,RawData[[Error Type ]],$Q$5))</f>
        <v/>
      </c>
    </row>
    <row r="23927" spans="15:15" x14ac:dyDescent="0.25">
      <c r="O23927" s="20" t="str">
        <f>IF(N23927="","",COUNTIFS(RawData[[Date ]],N23927,RawData[Month List],$Q$6,RawData[Tour/Site],$Q$2,RawData[[Picker ID ]],$Q$3,RawData[Checker ID],$Q$4,RawData[[Error Type ]],$Q$5))</f>
        <v/>
      </c>
    </row>
    <row r="23928" spans="15:15" x14ac:dyDescent="0.25">
      <c r="O23928" s="20" t="str">
        <f>IF(N23928="","",COUNTIFS(RawData[[Date ]],N23928,RawData[Month List],$Q$6,RawData[Tour/Site],$Q$2,RawData[[Picker ID ]],$Q$3,RawData[Checker ID],$Q$4,RawData[[Error Type ]],$Q$5))</f>
        <v/>
      </c>
    </row>
    <row r="23929" spans="15:15" x14ac:dyDescent="0.25">
      <c r="O23929" s="20" t="str">
        <f>IF(N23929="","",COUNTIFS(RawData[[Date ]],N23929,RawData[Month List],$Q$6,RawData[Tour/Site],$Q$2,RawData[[Picker ID ]],$Q$3,RawData[Checker ID],$Q$4,RawData[[Error Type ]],$Q$5))</f>
        <v/>
      </c>
    </row>
    <row r="23930" spans="15:15" x14ac:dyDescent="0.25">
      <c r="O23930" s="20" t="str">
        <f>IF(N23930="","",COUNTIFS(RawData[[Date ]],N23930,RawData[Month List],$Q$6,RawData[Tour/Site],$Q$2,RawData[[Picker ID ]],$Q$3,RawData[Checker ID],$Q$4,RawData[[Error Type ]],$Q$5))</f>
        <v/>
      </c>
    </row>
    <row r="23931" spans="15:15" x14ac:dyDescent="0.25">
      <c r="O23931" s="20" t="str">
        <f>IF(N23931="","",COUNTIFS(RawData[[Date ]],N23931,RawData[Month List],$Q$6,RawData[Tour/Site],$Q$2,RawData[[Picker ID ]],$Q$3,RawData[Checker ID],$Q$4,RawData[[Error Type ]],$Q$5))</f>
        <v/>
      </c>
    </row>
    <row r="23932" spans="15:15" x14ac:dyDescent="0.25">
      <c r="O23932" s="20" t="str">
        <f>IF(N23932="","",COUNTIFS(RawData[[Date ]],N23932,RawData[Month List],$Q$6,RawData[Tour/Site],$Q$2,RawData[[Picker ID ]],$Q$3,RawData[Checker ID],$Q$4,RawData[[Error Type ]],$Q$5))</f>
        <v/>
      </c>
    </row>
    <row r="23933" spans="15:15" x14ac:dyDescent="0.25">
      <c r="O23933" s="20" t="str">
        <f>IF(N23933="","",COUNTIFS(RawData[[Date ]],N23933,RawData[Month List],$Q$6,RawData[Tour/Site],$Q$2,RawData[[Picker ID ]],$Q$3,RawData[Checker ID],$Q$4,RawData[[Error Type ]],$Q$5))</f>
        <v/>
      </c>
    </row>
    <row r="23934" spans="15:15" x14ac:dyDescent="0.25">
      <c r="O23934" s="20" t="str">
        <f>IF(N23934="","",COUNTIFS(RawData[[Date ]],N23934,RawData[Month List],$Q$6,RawData[Tour/Site],$Q$2,RawData[[Picker ID ]],$Q$3,RawData[Checker ID],$Q$4,RawData[[Error Type ]],$Q$5))</f>
        <v/>
      </c>
    </row>
    <row r="23935" spans="15:15" x14ac:dyDescent="0.25">
      <c r="O23935" s="20" t="str">
        <f>IF(N23935="","",COUNTIFS(RawData[[Date ]],N23935,RawData[Month List],$Q$6,RawData[Tour/Site],$Q$2,RawData[[Picker ID ]],$Q$3,RawData[Checker ID],$Q$4,RawData[[Error Type ]],$Q$5))</f>
        <v/>
      </c>
    </row>
    <row r="23936" spans="15:15" x14ac:dyDescent="0.25">
      <c r="O23936" s="20" t="str">
        <f>IF(N23936="","",COUNTIFS(RawData[[Date ]],N23936,RawData[Month List],$Q$6,RawData[Tour/Site],$Q$2,RawData[[Picker ID ]],$Q$3,RawData[Checker ID],$Q$4,RawData[[Error Type ]],$Q$5))</f>
        <v/>
      </c>
    </row>
    <row r="23937" spans="15:15" x14ac:dyDescent="0.25">
      <c r="O23937" s="20" t="str">
        <f>IF(N23937="","",COUNTIFS(RawData[[Date ]],N23937,RawData[Month List],$Q$6,RawData[Tour/Site],$Q$2,RawData[[Picker ID ]],$Q$3,RawData[Checker ID],$Q$4,RawData[[Error Type ]],$Q$5))</f>
        <v/>
      </c>
    </row>
    <row r="23938" spans="15:15" x14ac:dyDescent="0.25">
      <c r="O23938" s="20" t="str">
        <f>IF(N23938="","",COUNTIFS(RawData[[Date ]],N23938,RawData[Month List],$Q$6,RawData[Tour/Site],$Q$2,RawData[[Picker ID ]],$Q$3,RawData[Checker ID],$Q$4,RawData[[Error Type ]],$Q$5))</f>
        <v/>
      </c>
    </row>
    <row r="23939" spans="15:15" x14ac:dyDescent="0.25">
      <c r="O23939" s="20" t="str">
        <f>IF(N23939="","",COUNTIFS(RawData[[Date ]],N23939,RawData[Month List],$Q$6,RawData[Tour/Site],$Q$2,RawData[[Picker ID ]],$Q$3,RawData[Checker ID],$Q$4,RawData[[Error Type ]],$Q$5))</f>
        <v/>
      </c>
    </row>
    <row r="23940" spans="15:15" x14ac:dyDescent="0.25">
      <c r="O23940" s="20" t="str">
        <f>IF(N23940="","",COUNTIFS(RawData[[Date ]],N23940,RawData[Month List],$Q$6,RawData[Tour/Site],$Q$2,RawData[[Picker ID ]],$Q$3,RawData[Checker ID],$Q$4,RawData[[Error Type ]],$Q$5))</f>
        <v/>
      </c>
    </row>
    <row r="23941" spans="15:15" x14ac:dyDescent="0.25">
      <c r="O23941" s="20" t="str">
        <f>IF(N23941="","",COUNTIFS(RawData[[Date ]],N23941,RawData[Month List],$Q$6,RawData[Tour/Site],$Q$2,RawData[[Picker ID ]],$Q$3,RawData[Checker ID],$Q$4,RawData[[Error Type ]],$Q$5))</f>
        <v/>
      </c>
    </row>
    <row r="23942" spans="15:15" x14ac:dyDescent="0.25">
      <c r="O23942" s="20" t="str">
        <f>IF(N23942="","",COUNTIFS(RawData[[Date ]],N23942,RawData[Month List],$Q$6,RawData[Tour/Site],$Q$2,RawData[[Picker ID ]],$Q$3,RawData[Checker ID],$Q$4,RawData[[Error Type ]],$Q$5))</f>
        <v/>
      </c>
    </row>
    <row r="23943" spans="15:15" x14ac:dyDescent="0.25">
      <c r="O23943" s="20" t="str">
        <f>IF(N23943="","",COUNTIFS(RawData[[Date ]],N23943,RawData[Month List],$Q$6,RawData[Tour/Site],$Q$2,RawData[[Picker ID ]],$Q$3,RawData[Checker ID],$Q$4,RawData[[Error Type ]],$Q$5))</f>
        <v/>
      </c>
    </row>
    <row r="23944" spans="15:15" x14ac:dyDescent="0.25">
      <c r="O23944" s="20" t="str">
        <f>IF(N23944="","",COUNTIFS(RawData[[Date ]],N23944,RawData[Month List],$Q$6,RawData[Tour/Site],$Q$2,RawData[[Picker ID ]],$Q$3,RawData[Checker ID],$Q$4,RawData[[Error Type ]],$Q$5))</f>
        <v/>
      </c>
    </row>
    <row r="23945" spans="15:15" x14ac:dyDescent="0.25">
      <c r="O23945" s="20" t="str">
        <f>IF(N23945="","",COUNTIFS(RawData[[Date ]],N23945,RawData[Month List],$Q$6,RawData[Tour/Site],$Q$2,RawData[[Picker ID ]],$Q$3,RawData[Checker ID],$Q$4,RawData[[Error Type ]],$Q$5))</f>
        <v/>
      </c>
    </row>
    <row r="23946" spans="15:15" x14ac:dyDescent="0.25">
      <c r="O23946" s="20" t="str">
        <f>IF(N23946="","",COUNTIFS(RawData[[Date ]],N23946,RawData[Month List],$Q$6,RawData[Tour/Site],$Q$2,RawData[[Picker ID ]],$Q$3,RawData[Checker ID],$Q$4,RawData[[Error Type ]],$Q$5))</f>
        <v/>
      </c>
    </row>
    <row r="23947" spans="15:15" x14ac:dyDescent="0.25">
      <c r="O23947" s="20" t="str">
        <f>IF(N23947="","",COUNTIFS(RawData[[Date ]],N23947,RawData[Month List],$Q$6,RawData[Tour/Site],$Q$2,RawData[[Picker ID ]],$Q$3,RawData[Checker ID],$Q$4,RawData[[Error Type ]],$Q$5))</f>
        <v/>
      </c>
    </row>
    <row r="23948" spans="15:15" x14ac:dyDescent="0.25">
      <c r="O23948" s="20" t="str">
        <f>IF(N23948="","",COUNTIFS(RawData[[Date ]],N23948,RawData[Month List],$Q$6,RawData[Tour/Site],$Q$2,RawData[[Picker ID ]],$Q$3,RawData[Checker ID],$Q$4,RawData[[Error Type ]],$Q$5))</f>
        <v/>
      </c>
    </row>
    <row r="23949" spans="15:15" x14ac:dyDescent="0.25">
      <c r="O23949" s="20" t="str">
        <f>IF(N23949="","",COUNTIFS(RawData[[Date ]],N23949,RawData[Month List],$Q$6,RawData[Tour/Site],$Q$2,RawData[[Picker ID ]],$Q$3,RawData[Checker ID],$Q$4,RawData[[Error Type ]],$Q$5))</f>
        <v/>
      </c>
    </row>
    <row r="23950" spans="15:15" x14ac:dyDescent="0.25">
      <c r="O23950" s="20" t="str">
        <f>IF(N23950="","",COUNTIFS(RawData[[Date ]],N23950,RawData[Month List],$Q$6,RawData[Tour/Site],$Q$2,RawData[[Picker ID ]],$Q$3,RawData[Checker ID],$Q$4,RawData[[Error Type ]],$Q$5))</f>
        <v/>
      </c>
    </row>
    <row r="23951" spans="15:15" x14ac:dyDescent="0.25">
      <c r="O23951" s="20" t="str">
        <f>IF(N23951="","",COUNTIFS(RawData[[Date ]],N23951,RawData[Month List],$Q$6,RawData[Tour/Site],$Q$2,RawData[[Picker ID ]],$Q$3,RawData[Checker ID],$Q$4,RawData[[Error Type ]],$Q$5))</f>
        <v/>
      </c>
    </row>
    <row r="23952" spans="15:15" x14ac:dyDescent="0.25">
      <c r="O23952" s="20" t="str">
        <f>IF(N23952="","",COUNTIFS(RawData[[Date ]],N23952,RawData[Month List],$Q$6,RawData[Tour/Site],$Q$2,RawData[[Picker ID ]],$Q$3,RawData[Checker ID],$Q$4,RawData[[Error Type ]],$Q$5))</f>
        <v/>
      </c>
    </row>
    <row r="23953" spans="15:15" x14ac:dyDescent="0.25">
      <c r="O23953" s="20" t="str">
        <f>IF(N23953="","",COUNTIFS(RawData[[Date ]],N23953,RawData[Month List],$Q$6,RawData[Tour/Site],$Q$2,RawData[[Picker ID ]],$Q$3,RawData[Checker ID],$Q$4,RawData[[Error Type ]],$Q$5))</f>
        <v/>
      </c>
    </row>
    <row r="23954" spans="15:15" x14ac:dyDescent="0.25">
      <c r="O23954" s="20" t="str">
        <f>IF(N23954="","",COUNTIFS(RawData[[Date ]],N23954,RawData[Month List],$Q$6,RawData[Tour/Site],$Q$2,RawData[[Picker ID ]],$Q$3,RawData[Checker ID],$Q$4,RawData[[Error Type ]],$Q$5))</f>
        <v/>
      </c>
    </row>
    <row r="23955" spans="15:15" x14ac:dyDescent="0.25">
      <c r="O23955" s="20" t="str">
        <f>IF(N23955="","",COUNTIFS(RawData[[Date ]],N23955,RawData[Month List],$Q$6,RawData[Tour/Site],$Q$2,RawData[[Picker ID ]],$Q$3,RawData[Checker ID],$Q$4,RawData[[Error Type ]],$Q$5))</f>
        <v/>
      </c>
    </row>
    <row r="23956" spans="15:15" x14ac:dyDescent="0.25">
      <c r="O23956" s="20" t="str">
        <f>IF(N23956="","",COUNTIFS(RawData[[Date ]],N23956,RawData[Month List],$Q$6,RawData[Tour/Site],$Q$2,RawData[[Picker ID ]],$Q$3,RawData[Checker ID],$Q$4,RawData[[Error Type ]],$Q$5))</f>
        <v/>
      </c>
    </row>
    <row r="23957" spans="15:15" x14ac:dyDescent="0.25">
      <c r="O23957" s="20" t="str">
        <f>IF(N23957="","",COUNTIFS(RawData[[Date ]],N23957,RawData[Month List],$Q$6,RawData[Tour/Site],$Q$2,RawData[[Picker ID ]],$Q$3,RawData[Checker ID],$Q$4,RawData[[Error Type ]],$Q$5))</f>
        <v/>
      </c>
    </row>
    <row r="23958" spans="15:15" x14ac:dyDescent="0.25">
      <c r="O23958" s="20" t="str">
        <f>IF(N23958="","",COUNTIFS(RawData[[Date ]],N23958,RawData[Month List],$Q$6,RawData[Tour/Site],$Q$2,RawData[[Picker ID ]],$Q$3,RawData[Checker ID],$Q$4,RawData[[Error Type ]],$Q$5))</f>
        <v/>
      </c>
    </row>
    <row r="23959" spans="15:15" x14ac:dyDescent="0.25">
      <c r="O23959" s="20" t="str">
        <f>IF(N23959="","",COUNTIFS(RawData[[Date ]],N23959,RawData[Month List],$Q$6,RawData[Tour/Site],$Q$2,RawData[[Picker ID ]],$Q$3,RawData[Checker ID],$Q$4,RawData[[Error Type ]],$Q$5))</f>
        <v/>
      </c>
    </row>
    <row r="23960" spans="15:15" x14ac:dyDescent="0.25">
      <c r="O23960" s="20" t="str">
        <f>IF(N23960="","",COUNTIFS(RawData[[Date ]],N23960,RawData[Month List],$Q$6,RawData[Tour/Site],$Q$2,RawData[[Picker ID ]],$Q$3,RawData[Checker ID],$Q$4,RawData[[Error Type ]],$Q$5))</f>
        <v/>
      </c>
    </row>
    <row r="23961" spans="15:15" x14ac:dyDescent="0.25">
      <c r="O23961" s="20" t="str">
        <f>IF(N23961="","",COUNTIFS(RawData[[Date ]],N23961,RawData[Month List],$Q$6,RawData[Tour/Site],$Q$2,RawData[[Picker ID ]],$Q$3,RawData[Checker ID],$Q$4,RawData[[Error Type ]],$Q$5))</f>
        <v/>
      </c>
    </row>
    <row r="23962" spans="15:15" x14ac:dyDescent="0.25">
      <c r="O23962" s="20" t="str">
        <f>IF(N23962="","",COUNTIFS(RawData[[Date ]],N23962,RawData[Month List],$Q$6,RawData[Tour/Site],$Q$2,RawData[[Picker ID ]],$Q$3,RawData[Checker ID],$Q$4,RawData[[Error Type ]],$Q$5))</f>
        <v/>
      </c>
    </row>
    <row r="23963" spans="15:15" x14ac:dyDescent="0.25">
      <c r="O23963" s="20" t="str">
        <f>IF(N23963="","",COUNTIFS(RawData[[Date ]],N23963,RawData[Month List],$Q$6,RawData[Tour/Site],$Q$2,RawData[[Picker ID ]],$Q$3,RawData[Checker ID],$Q$4,RawData[[Error Type ]],$Q$5))</f>
        <v/>
      </c>
    </row>
    <row r="23964" spans="15:15" x14ac:dyDescent="0.25">
      <c r="O23964" s="20" t="str">
        <f>IF(N23964="","",COUNTIFS(RawData[[Date ]],N23964,RawData[Month List],$Q$6,RawData[Tour/Site],$Q$2,RawData[[Picker ID ]],$Q$3,RawData[Checker ID],$Q$4,RawData[[Error Type ]],$Q$5))</f>
        <v/>
      </c>
    </row>
    <row r="23965" spans="15:15" x14ac:dyDescent="0.25">
      <c r="O23965" s="20" t="str">
        <f>IF(N23965="","",COUNTIFS(RawData[[Date ]],N23965,RawData[Month List],$Q$6,RawData[Tour/Site],$Q$2,RawData[[Picker ID ]],$Q$3,RawData[Checker ID],$Q$4,RawData[[Error Type ]],$Q$5))</f>
        <v/>
      </c>
    </row>
    <row r="23966" spans="15:15" x14ac:dyDescent="0.25">
      <c r="O23966" s="20" t="str">
        <f>IF(N23966="","",COUNTIFS(RawData[[Date ]],N23966,RawData[Month List],$Q$6,RawData[Tour/Site],$Q$2,RawData[[Picker ID ]],$Q$3,RawData[Checker ID],$Q$4,RawData[[Error Type ]],$Q$5))</f>
        <v/>
      </c>
    </row>
    <row r="23967" spans="15:15" x14ac:dyDescent="0.25">
      <c r="O23967" s="20" t="str">
        <f>IF(N23967="","",COUNTIFS(RawData[[Date ]],N23967,RawData[Month List],$Q$6,RawData[Tour/Site],$Q$2,RawData[[Picker ID ]],$Q$3,RawData[Checker ID],$Q$4,RawData[[Error Type ]],$Q$5))</f>
        <v/>
      </c>
    </row>
    <row r="23968" spans="15:15" x14ac:dyDescent="0.25">
      <c r="O23968" s="20" t="str">
        <f>IF(N23968="","",COUNTIFS(RawData[[Date ]],N23968,RawData[Month List],$Q$6,RawData[Tour/Site],$Q$2,RawData[[Picker ID ]],$Q$3,RawData[Checker ID],$Q$4,RawData[[Error Type ]],$Q$5))</f>
        <v/>
      </c>
    </row>
    <row r="23969" spans="15:15" x14ac:dyDescent="0.25">
      <c r="O23969" s="20" t="str">
        <f>IF(N23969="","",COUNTIFS(RawData[[Date ]],N23969,RawData[Month List],$Q$6,RawData[Tour/Site],$Q$2,RawData[[Picker ID ]],$Q$3,RawData[Checker ID],$Q$4,RawData[[Error Type ]],$Q$5))</f>
        <v/>
      </c>
    </row>
    <row r="23970" spans="15:15" x14ac:dyDescent="0.25">
      <c r="O23970" s="20" t="str">
        <f>IF(N23970="","",COUNTIFS(RawData[[Date ]],N23970,RawData[Month List],$Q$6,RawData[Tour/Site],$Q$2,RawData[[Picker ID ]],$Q$3,RawData[Checker ID],$Q$4,RawData[[Error Type ]],$Q$5))</f>
        <v/>
      </c>
    </row>
    <row r="23971" spans="15:15" x14ac:dyDescent="0.25">
      <c r="O23971" s="20" t="str">
        <f>IF(N23971="","",COUNTIFS(RawData[[Date ]],N23971,RawData[Month List],$Q$6,RawData[Tour/Site],$Q$2,RawData[[Picker ID ]],$Q$3,RawData[Checker ID],$Q$4,RawData[[Error Type ]],$Q$5))</f>
        <v/>
      </c>
    </row>
    <row r="23972" spans="15:15" x14ac:dyDescent="0.25">
      <c r="O23972" s="20" t="str">
        <f>IF(N23972="","",COUNTIFS(RawData[[Date ]],N23972,RawData[Month List],$Q$6,RawData[Tour/Site],$Q$2,RawData[[Picker ID ]],$Q$3,RawData[Checker ID],$Q$4,RawData[[Error Type ]],$Q$5))</f>
        <v/>
      </c>
    </row>
    <row r="23973" spans="15:15" x14ac:dyDescent="0.25">
      <c r="O23973" s="20" t="str">
        <f>IF(N23973="","",COUNTIFS(RawData[[Date ]],N23973,RawData[Month List],$Q$6,RawData[Tour/Site],$Q$2,RawData[[Picker ID ]],$Q$3,RawData[Checker ID],$Q$4,RawData[[Error Type ]],$Q$5))</f>
        <v/>
      </c>
    </row>
    <row r="23974" spans="15:15" x14ac:dyDescent="0.25">
      <c r="O23974" s="20" t="str">
        <f>IF(N23974="","",COUNTIFS(RawData[[Date ]],N23974,RawData[Month List],$Q$6,RawData[Tour/Site],$Q$2,RawData[[Picker ID ]],$Q$3,RawData[Checker ID],$Q$4,RawData[[Error Type ]],$Q$5))</f>
        <v/>
      </c>
    </row>
    <row r="23975" spans="15:15" x14ac:dyDescent="0.25">
      <c r="O23975" s="20" t="str">
        <f>IF(N23975="","",COUNTIFS(RawData[[Date ]],N23975,RawData[Month List],$Q$6,RawData[Tour/Site],$Q$2,RawData[[Picker ID ]],$Q$3,RawData[Checker ID],$Q$4,RawData[[Error Type ]],$Q$5))</f>
        <v/>
      </c>
    </row>
    <row r="23976" spans="15:15" x14ac:dyDescent="0.25">
      <c r="O23976" s="20" t="str">
        <f>IF(N23976="","",COUNTIFS(RawData[[Date ]],N23976,RawData[Month List],$Q$6,RawData[Tour/Site],$Q$2,RawData[[Picker ID ]],$Q$3,RawData[Checker ID],$Q$4,RawData[[Error Type ]],$Q$5))</f>
        <v/>
      </c>
    </row>
    <row r="23977" spans="15:15" x14ac:dyDescent="0.25">
      <c r="O23977" s="20" t="str">
        <f>IF(N23977="","",COUNTIFS(RawData[[Date ]],N23977,RawData[Month List],$Q$6,RawData[Tour/Site],$Q$2,RawData[[Picker ID ]],$Q$3,RawData[Checker ID],$Q$4,RawData[[Error Type ]],$Q$5))</f>
        <v/>
      </c>
    </row>
    <row r="23978" spans="15:15" x14ac:dyDescent="0.25">
      <c r="O23978" s="20" t="str">
        <f>IF(N23978="","",COUNTIFS(RawData[[Date ]],N23978,RawData[Month List],$Q$6,RawData[Tour/Site],$Q$2,RawData[[Picker ID ]],$Q$3,RawData[Checker ID],$Q$4,RawData[[Error Type ]],$Q$5))</f>
        <v/>
      </c>
    </row>
    <row r="23979" spans="15:15" x14ac:dyDescent="0.25">
      <c r="O23979" s="20" t="str">
        <f>IF(N23979="","",COUNTIFS(RawData[[Date ]],N23979,RawData[Month List],$Q$6,RawData[Tour/Site],$Q$2,RawData[[Picker ID ]],$Q$3,RawData[Checker ID],$Q$4,RawData[[Error Type ]],$Q$5))</f>
        <v/>
      </c>
    </row>
    <row r="23980" spans="15:15" x14ac:dyDescent="0.25">
      <c r="O23980" s="20" t="str">
        <f>IF(N23980="","",COUNTIFS(RawData[[Date ]],N23980,RawData[Month List],$Q$6,RawData[Tour/Site],$Q$2,RawData[[Picker ID ]],$Q$3,RawData[Checker ID],$Q$4,RawData[[Error Type ]],$Q$5))</f>
        <v/>
      </c>
    </row>
    <row r="23981" spans="15:15" x14ac:dyDescent="0.25">
      <c r="O23981" s="20" t="str">
        <f>IF(N23981="","",COUNTIFS(RawData[[Date ]],N23981,RawData[Month List],$Q$6,RawData[Tour/Site],$Q$2,RawData[[Picker ID ]],$Q$3,RawData[Checker ID],$Q$4,RawData[[Error Type ]],$Q$5))</f>
        <v/>
      </c>
    </row>
    <row r="23982" spans="15:15" x14ac:dyDescent="0.25">
      <c r="O23982" s="20" t="str">
        <f>IF(N23982="","",COUNTIFS(RawData[[Date ]],N23982,RawData[Month List],$Q$6,RawData[Tour/Site],$Q$2,RawData[[Picker ID ]],$Q$3,RawData[Checker ID],$Q$4,RawData[[Error Type ]],$Q$5))</f>
        <v/>
      </c>
    </row>
    <row r="23983" spans="15:15" x14ac:dyDescent="0.25">
      <c r="O23983" s="20" t="str">
        <f>IF(N23983="","",COUNTIFS(RawData[[Date ]],N23983,RawData[Month List],$Q$6,RawData[Tour/Site],$Q$2,RawData[[Picker ID ]],$Q$3,RawData[Checker ID],$Q$4,RawData[[Error Type ]],$Q$5))</f>
        <v/>
      </c>
    </row>
    <row r="23984" spans="15:15" x14ac:dyDescent="0.25">
      <c r="O23984" s="20" t="str">
        <f>IF(N23984="","",COUNTIFS(RawData[[Date ]],N23984,RawData[Month List],$Q$6,RawData[Tour/Site],$Q$2,RawData[[Picker ID ]],$Q$3,RawData[Checker ID],$Q$4,RawData[[Error Type ]],$Q$5))</f>
        <v/>
      </c>
    </row>
    <row r="23985" spans="15:15" x14ac:dyDescent="0.25">
      <c r="O23985" s="20" t="str">
        <f>IF(N23985="","",COUNTIFS(RawData[[Date ]],N23985,RawData[Month List],$Q$6,RawData[Tour/Site],$Q$2,RawData[[Picker ID ]],$Q$3,RawData[Checker ID],$Q$4,RawData[[Error Type ]],$Q$5))</f>
        <v/>
      </c>
    </row>
    <row r="23986" spans="15:15" x14ac:dyDescent="0.25">
      <c r="O23986" s="20" t="str">
        <f>IF(N23986="","",COUNTIFS(RawData[[Date ]],N23986,RawData[Month List],$Q$6,RawData[Tour/Site],$Q$2,RawData[[Picker ID ]],$Q$3,RawData[Checker ID],$Q$4,RawData[[Error Type ]],$Q$5))</f>
        <v/>
      </c>
    </row>
    <row r="23987" spans="15:15" x14ac:dyDescent="0.25">
      <c r="O23987" s="20" t="str">
        <f>IF(N23987="","",COUNTIFS(RawData[[Date ]],N23987,RawData[Month List],$Q$6,RawData[Tour/Site],$Q$2,RawData[[Picker ID ]],$Q$3,RawData[Checker ID],$Q$4,RawData[[Error Type ]],$Q$5))</f>
        <v/>
      </c>
    </row>
    <row r="23988" spans="15:15" x14ac:dyDescent="0.25">
      <c r="O23988" s="20" t="str">
        <f>IF(N23988="","",COUNTIFS(RawData[[Date ]],N23988,RawData[Month List],$Q$6,RawData[Tour/Site],$Q$2,RawData[[Picker ID ]],$Q$3,RawData[Checker ID],$Q$4,RawData[[Error Type ]],$Q$5))</f>
        <v/>
      </c>
    </row>
    <row r="23989" spans="15:15" x14ac:dyDescent="0.25">
      <c r="O23989" s="20" t="str">
        <f>IF(N23989="","",COUNTIFS(RawData[[Date ]],N23989,RawData[Month List],$Q$6,RawData[Tour/Site],$Q$2,RawData[[Picker ID ]],$Q$3,RawData[Checker ID],$Q$4,RawData[[Error Type ]],$Q$5))</f>
        <v/>
      </c>
    </row>
    <row r="23990" spans="15:15" x14ac:dyDescent="0.25">
      <c r="O23990" s="20" t="str">
        <f>IF(N23990="","",COUNTIFS(RawData[[Date ]],N23990,RawData[Month List],$Q$6,RawData[Tour/Site],$Q$2,RawData[[Picker ID ]],$Q$3,RawData[Checker ID],$Q$4,RawData[[Error Type ]],$Q$5))</f>
        <v/>
      </c>
    </row>
    <row r="23991" spans="15:15" x14ac:dyDescent="0.25">
      <c r="O23991" s="20" t="str">
        <f>IF(N23991="","",COUNTIFS(RawData[[Date ]],N23991,RawData[Month List],$Q$6,RawData[Tour/Site],$Q$2,RawData[[Picker ID ]],$Q$3,RawData[Checker ID],$Q$4,RawData[[Error Type ]],$Q$5))</f>
        <v/>
      </c>
    </row>
    <row r="23992" spans="15:15" x14ac:dyDescent="0.25">
      <c r="O23992" s="20" t="str">
        <f>IF(N23992="","",COUNTIFS(RawData[[Date ]],N23992,RawData[Month List],$Q$6,RawData[Tour/Site],$Q$2,RawData[[Picker ID ]],$Q$3,RawData[Checker ID],$Q$4,RawData[[Error Type ]],$Q$5))</f>
        <v/>
      </c>
    </row>
    <row r="23993" spans="15:15" x14ac:dyDescent="0.25">
      <c r="O23993" s="20" t="str">
        <f>IF(N23993="","",COUNTIFS(RawData[[Date ]],N23993,RawData[Month List],$Q$6,RawData[Tour/Site],$Q$2,RawData[[Picker ID ]],$Q$3,RawData[Checker ID],$Q$4,RawData[[Error Type ]],$Q$5))</f>
        <v/>
      </c>
    </row>
    <row r="23994" spans="15:15" x14ac:dyDescent="0.25">
      <c r="O23994" s="20" t="str">
        <f>IF(N23994="","",COUNTIFS(RawData[[Date ]],N23994,RawData[Month List],$Q$6,RawData[Tour/Site],$Q$2,RawData[[Picker ID ]],$Q$3,RawData[Checker ID],$Q$4,RawData[[Error Type ]],$Q$5))</f>
        <v/>
      </c>
    </row>
    <row r="23995" spans="15:15" x14ac:dyDescent="0.25">
      <c r="O23995" s="20" t="str">
        <f>IF(N23995="","",COUNTIFS(RawData[[Date ]],N23995,RawData[Month List],$Q$6,RawData[Tour/Site],$Q$2,RawData[[Picker ID ]],$Q$3,RawData[Checker ID],$Q$4,RawData[[Error Type ]],$Q$5))</f>
        <v/>
      </c>
    </row>
    <row r="23996" spans="15:15" x14ac:dyDescent="0.25">
      <c r="O23996" s="20" t="str">
        <f>IF(N23996="","",COUNTIFS(RawData[[Date ]],N23996,RawData[Month List],$Q$6,RawData[Tour/Site],$Q$2,RawData[[Picker ID ]],$Q$3,RawData[Checker ID],$Q$4,RawData[[Error Type ]],$Q$5))</f>
        <v/>
      </c>
    </row>
    <row r="23997" spans="15:15" x14ac:dyDescent="0.25">
      <c r="O23997" s="20" t="str">
        <f>IF(N23997="","",COUNTIFS(RawData[[Date ]],N23997,RawData[Month List],$Q$6,RawData[Tour/Site],$Q$2,RawData[[Picker ID ]],$Q$3,RawData[Checker ID],$Q$4,RawData[[Error Type ]],$Q$5))</f>
        <v/>
      </c>
    </row>
    <row r="23998" spans="15:15" x14ac:dyDescent="0.25">
      <c r="O23998" s="20" t="str">
        <f>IF(N23998="","",COUNTIFS(RawData[[Date ]],N23998,RawData[Month List],$Q$6,RawData[Tour/Site],$Q$2,RawData[[Picker ID ]],$Q$3,RawData[Checker ID],$Q$4,RawData[[Error Type ]],$Q$5))</f>
        <v/>
      </c>
    </row>
    <row r="23999" spans="15:15" x14ac:dyDescent="0.25">
      <c r="O23999" s="20" t="str">
        <f>IF(N23999="","",COUNTIFS(RawData[[Date ]],N23999,RawData[Month List],$Q$6,RawData[Tour/Site],$Q$2,RawData[[Picker ID ]],$Q$3,RawData[Checker ID],$Q$4,RawData[[Error Type ]],$Q$5))</f>
        <v/>
      </c>
    </row>
    <row r="24000" spans="15:15" x14ac:dyDescent="0.25">
      <c r="O24000" s="20" t="str">
        <f>IF(N24000="","",COUNTIFS(RawData[[Date ]],N24000,RawData[Month List],$Q$6,RawData[Tour/Site],$Q$2,RawData[[Picker ID ]],$Q$3,RawData[Checker ID],$Q$4,RawData[[Error Type ]],$Q$5))</f>
        <v/>
      </c>
    </row>
    <row r="24001" spans="15:15" x14ac:dyDescent="0.25">
      <c r="O24001" s="20" t="str">
        <f>IF(N24001="","",COUNTIFS(RawData[[Date ]],N24001,RawData[Month List],$Q$6,RawData[Tour/Site],$Q$2,RawData[[Picker ID ]],$Q$3,RawData[Checker ID],$Q$4,RawData[[Error Type ]],$Q$5))</f>
        <v/>
      </c>
    </row>
    <row r="24002" spans="15:15" x14ac:dyDescent="0.25">
      <c r="O24002" s="20" t="str">
        <f>IF(N24002="","",COUNTIFS(RawData[[Date ]],N24002,RawData[Month List],$Q$6,RawData[Tour/Site],$Q$2,RawData[[Picker ID ]],$Q$3,RawData[Checker ID],$Q$4,RawData[[Error Type ]],$Q$5))</f>
        <v/>
      </c>
    </row>
    <row r="24003" spans="15:15" x14ac:dyDescent="0.25">
      <c r="O24003" s="20" t="str">
        <f>IF(N24003="","",COUNTIFS(RawData[[Date ]],N24003,RawData[Month List],$Q$6,RawData[Tour/Site],$Q$2,RawData[[Picker ID ]],$Q$3,RawData[Checker ID],$Q$4,RawData[[Error Type ]],$Q$5))</f>
        <v/>
      </c>
    </row>
    <row r="24004" spans="15:15" x14ac:dyDescent="0.25">
      <c r="O24004" s="20" t="str">
        <f>IF(N24004="","",COUNTIFS(RawData[[Date ]],N24004,RawData[Month List],$Q$6,RawData[Tour/Site],$Q$2,RawData[[Picker ID ]],$Q$3,RawData[Checker ID],$Q$4,RawData[[Error Type ]],$Q$5))</f>
        <v/>
      </c>
    </row>
    <row r="24005" spans="15:15" x14ac:dyDescent="0.25">
      <c r="O24005" s="20" t="str">
        <f>IF(N24005="","",COUNTIFS(RawData[[Date ]],N24005,RawData[Month List],$Q$6,RawData[Tour/Site],$Q$2,RawData[[Picker ID ]],$Q$3,RawData[Checker ID],$Q$4,RawData[[Error Type ]],$Q$5))</f>
        <v/>
      </c>
    </row>
    <row r="24006" spans="15:15" x14ac:dyDescent="0.25">
      <c r="O24006" s="20" t="str">
        <f>IF(N24006="","",COUNTIFS(RawData[[Date ]],N24006,RawData[Month List],$Q$6,RawData[Tour/Site],$Q$2,RawData[[Picker ID ]],$Q$3,RawData[Checker ID],$Q$4,RawData[[Error Type ]],$Q$5))</f>
        <v/>
      </c>
    </row>
    <row r="24007" spans="15:15" x14ac:dyDescent="0.25">
      <c r="O24007" s="20" t="str">
        <f>IF(N24007="","",COUNTIFS(RawData[[Date ]],N24007,RawData[Month List],$Q$6,RawData[Tour/Site],$Q$2,RawData[[Picker ID ]],$Q$3,RawData[Checker ID],$Q$4,RawData[[Error Type ]],$Q$5))</f>
        <v/>
      </c>
    </row>
    <row r="24008" spans="15:15" x14ac:dyDescent="0.25">
      <c r="O24008" s="20" t="str">
        <f>IF(N24008="","",COUNTIFS(RawData[[Date ]],N24008,RawData[Month List],$Q$6,RawData[Tour/Site],$Q$2,RawData[[Picker ID ]],$Q$3,RawData[Checker ID],$Q$4,RawData[[Error Type ]],$Q$5))</f>
        <v/>
      </c>
    </row>
    <row r="24009" spans="15:15" x14ac:dyDescent="0.25">
      <c r="O24009" s="20" t="str">
        <f>IF(N24009="","",COUNTIFS(RawData[[Date ]],N24009,RawData[Month List],$Q$6,RawData[Tour/Site],$Q$2,RawData[[Picker ID ]],$Q$3,RawData[Checker ID],$Q$4,RawData[[Error Type ]],$Q$5))</f>
        <v/>
      </c>
    </row>
    <row r="24010" spans="15:15" x14ac:dyDescent="0.25">
      <c r="O24010" s="20" t="str">
        <f>IF(N24010="","",COUNTIFS(RawData[[Date ]],N24010,RawData[Month List],$Q$6,RawData[Tour/Site],$Q$2,RawData[[Picker ID ]],$Q$3,RawData[Checker ID],$Q$4,RawData[[Error Type ]],$Q$5))</f>
        <v/>
      </c>
    </row>
    <row r="24011" spans="15:15" x14ac:dyDescent="0.25">
      <c r="O24011" s="20" t="str">
        <f>IF(N24011="","",COUNTIFS(RawData[[Date ]],N24011,RawData[Month List],$Q$6,RawData[Tour/Site],$Q$2,RawData[[Picker ID ]],$Q$3,RawData[Checker ID],$Q$4,RawData[[Error Type ]],$Q$5))</f>
        <v/>
      </c>
    </row>
    <row r="24012" spans="15:15" x14ac:dyDescent="0.25">
      <c r="O24012" s="20" t="str">
        <f>IF(N24012="","",COUNTIFS(RawData[[Date ]],N24012,RawData[Month List],$Q$6,RawData[Tour/Site],$Q$2,RawData[[Picker ID ]],$Q$3,RawData[Checker ID],$Q$4,RawData[[Error Type ]],$Q$5))</f>
        <v/>
      </c>
    </row>
    <row r="24013" spans="15:15" x14ac:dyDescent="0.25">
      <c r="O24013" s="20" t="str">
        <f>IF(N24013="","",COUNTIFS(RawData[[Date ]],N24013,RawData[Month List],$Q$6,RawData[Tour/Site],$Q$2,RawData[[Picker ID ]],$Q$3,RawData[Checker ID],$Q$4,RawData[[Error Type ]],$Q$5))</f>
        <v/>
      </c>
    </row>
    <row r="24014" spans="15:15" x14ac:dyDescent="0.25">
      <c r="O24014" s="20" t="str">
        <f>IF(N24014="","",COUNTIFS(RawData[[Date ]],N24014,RawData[Month List],$Q$6,RawData[Tour/Site],$Q$2,RawData[[Picker ID ]],$Q$3,RawData[Checker ID],$Q$4,RawData[[Error Type ]],$Q$5))</f>
        <v/>
      </c>
    </row>
    <row r="24015" spans="15:15" x14ac:dyDescent="0.25">
      <c r="O24015" s="20" t="str">
        <f>IF(N24015="","",COUNTIFS(RawData[[Date ]],N24015,RawData[Month List],$Q$6,RawData[Tour/Site],$Q$2,RawData[[Picker ID ]],$Q$3,RawData[Checker ID],$Q$4,RawData[[Error Type ]],$Q$5))</f>
        <v/>
      </c>
    </row>
    <row r="24016" spans="15:15" x14ac:dyDescent="0.25">
      <c r="O24016" s="20" t="str">
        <f>IF(N24016="","",COUNTIFS(RawData[[Date ]],N24016,RawData[Month List],$Q$6,RawData[Tour/Site],$Q$2,RawData[[Picker ID ]],$Q$3,RawData[Checker ID],$Q$4,RawData[[Error Type ]],$Q$5))</f>
        <v/>
      </c>
    </row>
    <row r="24017" spans="15:15" x14ac:dyDescent="0.25">
      <c r="O24017" s="20" t="str">
        <f>IF(N24017="","",COUNTIFS(RawData[[Date ]],N24017,RawData[Month List],$Q$6,RawData[Tour/Site],$Q$2,RawData[[Picker ID ]],$Q$3,RawData[Checker ID],$Q$4,RawData[[Error Type ]],$Q$5))</f>
        <v/>
      </c>
    </row>
    <row r="24018" spans="15:15" x14ac:dyDescent="0.25">
      <c r="O24018" s="20" t="str">
        <f>IF(N24018="","",COUNTIFS(RawData[[Date ]],N24018,RawData[Month List],$Q$6,RawData[Tour/Site],$Q$2,RawData[[Picker ID ]],$Q$3,RawData[Checker ID],$Q$4,RawData[[Error Type ]],$Q$5))</f>
        <v/>
      </c>
    </row>
    <row r="24019" spans="15:15" x14ac:dyDescent="0.25">
      <c r="O24019" s="20" t="str">
        <f>IF(N24019="","",COUNTIFS(RawData[[Date ]],N24019,RawData[Month List],$Q$6,RawData[Tour/Site],$Q$2,RawData[[Picker ID ]],$Q$3,RawData[Checker ID],$Q$4,RawData[[Error Type ]],$Q$5))</f>
        <v/>
      </c>
    </row>
    <row r="24020" spans="15:15" x14ac:dyDescent="0.25">
      <c r="O24020" s="20" t="str">
        <f>IF(N24020="","",COUNTIFS(RawData[[Date ]],N24020,RawData[Month List],$Q$6,RawData[Tour/Site],$Q$2,RawData[[Picker ID ]],$Q$3,RawData[Checker ID],$Q$4,RawData[[Error Type ]],$Q$5))</f>
        <v/>
      </c>
    </row>
    <row r="24021" spans="15:15" x14ac:dyDescent="0.25">
      <c r="O24021" s="20" t="str">
        <f>IF(N24021="","",COUNTIFS(RawData[[Date ]],N24021,RawData[Month List],$Q$6,RawData[Tour/Site],$Q$2,RawData[[Picker ID ]],$Q$3,RawData[Checker ID],$Q$4,RawData[[Error Type ]],$Q$5))</f>
        <v/>
      </c>
    </row>
    <row r="24022" spans="15:15" x14ac:dyDescent="0.25">
      <c r="O24022" s="20" t="str">
        <f>IF(N24022="","",COUNTIFS(RawData[[Date ]],N24022,RawData[Month List],$Q$6,RawData[Tour/Site],$Q$2,RawData[[Picker ID ]],$Q$3,RawData[Checker ID],$Q$4,RawData[[Error Type ]],$Q$5))</f>
        <v/>
      </c>
    </row>
    <row r="24023" spans="15:15" x14ac:dyDescent="0.25">
      <c r="O24023" s="20" t="str">
        <f>IF(N24023="","",COUNTIFS(RawData[[Date ]],N24023,RawData[Month List],$Q$6,RawData[Tour/Site],$Q$2,RawData[[Picker ID ]],$Q$3,RawData[Checker ID],$Q$4,RawData[[Error Type ]],$Q$5))</f>
        <v/>
      </c>
    </row>
    <row r="24024" spans="15:15" x14ac:dyDescent="0.25">
      <c r="O24024" s="20" t="str">
        <f>IF(N24024="","",COUNTIFS(RawData[[Date ]],N24024,RawData[Month List],$Q$6,RawData[Tour/Site],$Q$2,RawData[[Picker ID ]],$Q$3,RawData[Checker ID],$Q$4,RawData[[Error Type ]],$Q$5))</f>
        <v/>
      </c>
    </row>
    <row r="24025" spans="15:15" x14ac:dyDescent="0.25">
      <c r="O24025" s="20" t="str">
        <f>IF(N24025="","",COUNTIFS(RawData[[Date ]],N24025,RawData[Month List],$Q$6,RawData[Tour/Site],$Q$2,RawData[[Picker ID ]],$Q$3,RawData[Checker ID],$Q$4,RawData[[Error Type ]],$Q$5))</f>
        <v/>
      </c>
    </row>
    <row r="24026" spans="15:15" x14ac:dyDescent="0.25">
      <c r="O24026" s="20" t="str">
        <f>IF(N24026="","",COUNTIFS(RawData[[Date ]],N24026,RawData[Month List],$Q$6,RawData[Tour/Site],$Q$2,RawData[[Picker ID ]],$Q$3,RawData[Checker ID],$Q$4,RawData[[Error Type ]],$Q$5))</f>
        <v/>
      </c>
    </row>
    <row r="24027" spans="15:15" x14ac:dyDescent="0.25">
      <c r="O24027" s="20" t="str">
        <f>IF(N24027="","",COUNTIFS(RawData[[Date ]],N24027,RawData[Month List],$Q$6,RawData[Tour/Site],$Q$2,RawData[[Picker ID ]],$Q$3,RawData[Checker ID],$Q$4,RawData[[Error Type ]],$Q$5))</f>
        <v/>
      </c>
    </row>
    <row r="24028" spans="15:15" x14ac:dyDescent="0.25">
      <c r="O24028" s="20" t="str">
        <f>IF(N24028="","",COUNTIFS(RawData[[Date ]],N24028,RawData[Month List],$Q$6,RawData[Tour/Site],$Q$2,RawData[[Picker ID ]],$Q$3,RawData[Checker ID],$Q$4,RawData[[Error Type ]],$Q$5))</f>
        <v/>
      </c>
    </row>
    <row r="24029" spans="15:15" x14ac:dyDescent="0.25">
      <c r="O24029" s="20" t="str">
        <f>IF(N24029="","",COUNTIFS(RawData[[Date ]],N24029,RawData[Month List],$Q$6,RawData[Tour/Site],$Q$2,RawData[[Picker ID ]],$Q$3,RawData[Checker ID],$Q$4,RawData[[Error Type ]],$Q$5))</f>
        <v/>
      </c>
    </row>
    <row r="24030" spans="15:15" x14ac:dyDescent="0.25">
      <c r="O24030" s="20" t="str">
        <f>IF(N24030="","",COUNTIFS(RawData[[Date ]],N24030,RawData[Month List],$Q$6,RawData[Tour/Site],$Q$2,RawData[[Picker ID ]],$Q$3,RawData[Checker ID],$Q$4,RawData[[Error Type ]],$Q$5))</f>
        <v/>
      </c>
    </row>
    <row r="24031" spans="15:15" x14ac:dyDescent="0.25">
      <c r="O24031" s="20" t="str">
        <f>IF(N24031="","",COUNTIFS(RawData[[Date ]],N24031,RawData[Month List],$Q$6,RawData[Tour/Site],$Q$2,RawData[[Picker ID ]],$Q$3,RawData[Checker ID],$Q$4,RawData[[Error Type ]],$Q$5))</f>
        <v/>
      </c>
    </row>
    <row r="24032" spans="15:15" x14ac:dyDescent="0.25">
      <c r="O24032" s="20" t="str">
        <f>IF(N24032="","",COUNTIFS(RawData[[Date ]],N24032,RawData[Month List],$Q$6,RawData[Tour/Site],$Q$2,RawData[[Picker ID ]],$Q$3,RawData[Checker ID],$Q$4,RawData[[Error Type ]],$Q$5))</f>
        <v/>
      </c>
    </row>
    <row r="24033" spans="15:15" x14ac:dyDescent="0.25">
      <c r="O24033" s="20" t="str">
        <f>IF(N24033="","",COUNTIFS(RawData[[Date ]],N24033,RawData[Month List],$Q$6,RawData[Tour/Site],$Q$2,RawData[[Picker ID ]],$Q$3,RawData[Checker ID],$Q$4,RawData[[Error Type ]],$Q$5))</f>
        <v/>
      </c>
    </row>
    <row r="24034" spans="15:15" x14ac:dyDescent="0.25">
      <c r="O24034" s="20" t="str">
        <f>IF(N24034="","",COUNTIFS(RawData[[Date ]],N24034,RawData[Month List],$Q$6,RawData[Tour/Site],$Q$2,RawData[[Picker ID ]],$Q$3,RawData[Checker ID],$Q$4,RawData[[Error Type ]],$Q$5))</f>
        <v/>
      </c>
    </row>
    <row r="24035" spans="15:15" x14ac:dyDescent="0.25">
      <c r="O24035" s="20" t="str">
        <f>IF(N24035="","",COUNTIFS(RawData[[Date ]],N24035,RawData[Month List],$Q$6,RawData[Tour/Site],$Q$2,RawData[[Picker ID ]],$Q$3,RawData[Checker ID],$Q$4,RawData[[Error Type ]],$Q$5))</f>
        <v/>
      </c>
    </row>
    <row r="24036" spans="15:15" x14ac:dyDescent="0.25">
      <c r="O24036" s="20" t="str">
        <f>IF(N24036="","",COUNTIFS(RawData[[Date ]],N24036,RawData[Month List],$Q$6,RawData[Tour/Site],$Q$2,RawData[[Picker ID ]],$Q$3,RawData[Checker ID],$Q$4,RawData[[Error Type ]],$Q$5))</f>
        <v/>
      </c>
    </row>
    <row r="24037" spans="15:15" x14ac:dyDescent="0.25">
      <c r="O24037" s="20" t="str">
        <f>IF(N24037="","",COUNTIFS(RawData[[Date ]],N24037,RawData[Month List],$Q$6,RawData[Tour/Site],$Q$2,RawData[[Picker ID ]],$Q$3,RawData[Checker ID],$Q$4,RawData[[Error Type ]],$Q$5))</f>
        <v/>
      </c>
    </row>
    <row r="24038" spans="15:15" x14ac:dyDescent="0.25">
      <c r="O24038" s="20" t="str">
        <f>IF(N24038="","",COUNTIFS(RawData[[Date ]],N24038,RawData[Month List],$Q$6,RawData[Tour/Site],$Q$2,RawData[[Picker ID ]],$Q$3,RawData[Checker ID],$Q$4,RawData[[Error Type ]],$Q$5))</f>
        <v/>
      </c>
    </row>
    <row r="24039" spans="15:15" x14ac:dyDescent="0.25">
      <c r="O24039" s="20" t="str">
        <f>IF(N24039="","",COUNTIFS(RawData[[Date ]],N24039,RawData[Month List],$Q$6,RawData[Tour/Site],$Q$2,RawData[[Picker ID ]],$Q$3,RawData[Checker ID],$Q$4,RawData[[Error Type ]],$Q$5))</f>
        <v/>
      </c>
    </row>
    <row r="24040" spans="15:15" x14ac:dyDescent="0.25">
      <c r="O24040" s="20" t="str">
        <f>IF(N24040="","",COUNTIFS(RawData[[Date ]],N24040,RawData[Month List],$Q$6,RawData[Tour/Site],$Q$2,RawData[[Picker ID ]],$Q$3,RawData[Checker ID],$Q$4,RawData[[Error Type ]],$Q$5))</f>
        <v/>
      </c>
    </row>
    <row r="24041" spans="15:15" x14ac:dyDescent="0.25">
      <c r="O24041" s="20" t="str">
        <f>IF(N24041="","",COUNTIFS(RawData[[Date ]],N24041,RawData[Month List],$Q$6,RawData[Tour/Site],$Q$2,RawData[[Picker ID ]],$Q$3,RawData[Checker ID],$Q$4,RawData[[Error Type ]],$Q$5))</f>
        <v/>
      </c>
    </row>
    <row r="24042" spans="15:15" x14ac:dyDescent="0.25">
      <c r="O24042" s="20" t="str">
        <f>IF(N24042="","",COUNTIFS(RawData[[Date ]],N24042,RawData[Month List],$Q$6,RawData[Tour/Site],$Q$2,RawData[[Picker ID ]],$Q$3,RawData[Checker ID],$Q$4,RawData[[Error Type ]],$Q$5))</f>
        <v/>
      </c>
    </row>
    <row r="24043" spans="15:15" x14ac:dyDescent="0.25">
      <c r="O24043" s="20" t="str">
        <f>IF(N24043="","",COUNTIFS(RawData[[Date ]],N24043,RawData[Month List],$Q$6,RawData[Tour/Site],$Q$2,RawData[[Picker ID ]],$Q$3,RawData[Checker ID],$Q$4,RawData[[Error Type ]],$Q$5))</f>
        <v/>
      </c>
    </row>
    <row r="24044" spans="15:15" x14ac:dyDescent="0.25">
      <c r="O24044" s="20" t="str">
        <f>IF(N24044="","",COUNTIFS(RawData[[Date ]],N24044,RawData[Month List],$Q$6,RawData[Tour/Site],$Q$2,RawData[[Picker ID ]],$Q$3,RawData[Checker ID],$Q$4,RawData[[Error Type ]],$Q$5))</f>
        <v/>
      </c>
    </row>
    <row r="24045" spans="15:15" x14ac:dyDescent="0.25">
      <c r="O24045" s="20" t="str">
        <f>IF(N24045="","",COUNTIFS(RawData[[Date ]],N24045,RawData[Month List],$Q$6,RawData[Tour/Site],$Q$2,RawData[[Picker ID ]],$Q$3,RawData[Checker ID],$Q$4,RawData[[Error Type ]],$Q$5))</f>
        <v/>
      </c>
    </row>
    <row r="24046" spans="15:15" x14ac:dyDescent="0.25">
      <c r="O24046" s="20" t="str">
        <f>IF(N24046="","",COUNTIFS(RawData[[Date ]],N24046,RawData[Month List],$Q$6,RawData[Tour/Site],$Q$2,RawData[[Picker ID ]],$Q$3,RawData[Checker ID],$Q$4,RawData[[Error Type ]],$Q$5))</f>
        <v/>
      </c>
    </row>
    <row r="24047" spans="15:15" x14ac:dyDescent="0.25">
      <c r="O24047" s="20" t="str">
        <f>IF(N24047="","",COUNTIFS(RawData[[Date ]],N24047,RawData[Month List],$Q$6,RawData[Tour/Site],$Q$2,RawData[[Picker ID ]],$Q$3,RawData[Checker ID],$Q$4,RawData[[Error Type ]],$Q$5))</f>
        <v/>
      </c>
    </row>
    <row r="24048" spans="15:15" x14ac:dyDescent="0.25">
      <c r="O24048" s="20" t="str">
        <f>IF(N24048="","",COUNTIFS(RawData[[Date ]],N24048,RawData[Month List],$Q$6,RawData[Tour/Site],$Q$2,RawData[[Picker ID ]],$Q$3,RawData[Checker ID],$Q$4,RawData[[Error Type ]],$Q$5))</f>
        <v/>
      </c>
    </row>
    <row r="24049" spans="15:15" x14ac:dyDescent="0.25">
      <c r="O24049" s="20" t="str">
        <f>IF(N24049="","",COUNTIFS(RawData[[Date ]],N24049,RawData[Month List],$Q$6,RawData[Tour/Site],$Q$2,RawData[[Picker ID ]],$Q$3,RawData[Checker ID],$Q$4,RawData[[Error Type ]],$Q$5))</f>
        <v/>
      </c>
    </row>
    <row r="24050" spans="15:15" x14ac:dyDescent="0.25">
      <c r="O24050" s="20" t="str">
        <f>IF(N24050="","",COUNTIFS(RawData[[Date ]],N24050,RawData[Month List],$Q$6,RawData[Tour/Site],$Q$2,RawData[[Picker ID ]],$Q$3,RawData[Checker ID],$Q$4,RawData[[Error Type ]],$Q$5))</f>
        <v/>
      </c>
    </row>
    <row r="24051" spans="15:15" x14ac:dyDescent="0.25">
      <c r="O24051" s="20" t="str">
        <f>IF(N24051="","",COUNTIFS(RawData[[Date ]],N24051,RawData[Month List],$Q$6,RawData[Tour/Site],$Q$2,RawData[[Picker ID ]],$Q$3,RawData[Checker ID],$Q$4,RawData[[Error Type ]],$Q$5))</f>
        <v/>
      </c>
    </row>
    <row r="24052" spans="15:15" x14ac:dyDescent="0.25">
      <c r="O24052" s="20" t="str">
        <f>IF(N24052="","",COUNTIFS(RawData[[Date ]],N24052,RawData[Month List],$Q$6,RawData[Tour/Site],$Q$2,RawData[[Picker ID ]],$Q$3,RawData[Checker ID],$Q$4,RawData[[Error Type ]],$Q$5))</f>
        <v/>
      </c>
    </row>
    <row r="24053" spans="15:15" x14ac:dyDescent="0.25">
      <c r="O24053" s="20" t="str">
        <f>IF(N24053="","",COUNTIFS(RawData[[Date ]],N24053,RawData[Month List],$Q$6,RawData[Tour/Site],$Q$2,RawData[[Picker ID ]],$Q$3,RawData[Checker ID],$Q$4,RawData[[Error Type ]],$Q$5))</f>
        <v/>
      </c>
    </row>
    <row r="24054" spans="15:15" x14ac:dyDescent="0.25">
      <c r="O24054" s="20" t="str">
        <f>IF(N24054="","",COUNTIFS(RawData[[Date ]],N24054,RawData[Month List],$Q$6,RawData[Tour/Site],$Q$2,RawData[[Picker ID ]],$Q$3,RawData[Checker ID],$Q$4,RawData[[Error Type ]],$Q$5))</f>
        <v/>
      </c>
    </row>
    <row r="24055" spans="15:15" x14ac:dyDescent="0.25">
      <c r="O24055" s="20" t="str">
        <f>IF(N24055="","",COUNTIFS(RawData[[Date ]],N24055,RawData[Month List],$Q$6,RawData[Tour/Site],$Q$2,RawData[[Picker ID ]],$Q$3,RawData[Checker ID],$Q$4,RawData[[Error Type ]],$Q$5))</f>
        <v/>
      </c>
    </row>
    <row r="24056" spans="15:15" x14ac:dyDescent="0.25">
      <c r="O24056" s="20" t="str">
        <f>IF(N24056="","",COUNTIFS(RawData[[Date ]],N24056,RawData[Month List],$Q$6,RawData[Tour/Site],$Q$2,RawData[[Picker ID ]],$Q$3,RawData[Checker ID],$Q$4,RawData[[Error Type ]],$Q$5))</f>
        <v/>
      </c>
    </row>
    <row r="24057" spans="15:15" x14ac:dyDescent="0.25">
      <c r="O24057" s="20" t="str">
        <f>IF(N24057="","",COUNTIFS(RawData[[Date ]],N24057,RawData[Month List],$Q$6,RawData[Tour/Site],$Q$2,RawData[[Picker ID ]],$Q$3,RawData[Checker ID],$Q$4,RawData[[Error Type ]],$Q$5))</f>
        <v/>
      </c>
    </row>
    <row r="24058" spans="15:15" x14ac:dyDescent="0.25">
      <c r="O24058" s="20" t="str">
        <f>IF(N24058="","",COUNTIFS(RawData[[Date ]],N24058,RawData[Month List],$Q$6,RawData[Tour/Site],$Q$2,RawData[[Picker ID ]],$Q$3,RawData[Checker ID],$Q$4,RawData[[Error Type ]],$Q$5))</f>
        <v/>
      </c>
    </row>
    <row r="24059" spans="15:15" x14ac:dyDescent="0.25">
      <c r="O24059" s="20" t="str">
        <f>IF(N24059="","",COUNTIFS(RawData[[Date ]],N24059,RawData[Month List],$Q$6,RawData[Tour/Site],$Q$2,RawData[[Picker ID ]],$Q$3,RawData[Checker ID],$Q$4,RawData[[Error Type ]],$Q$5))</f>
        <v/>
      </c>
    </row>
    <row r="24060" spans="15:15" x14ac:dyDescent="0.25">
      <c r="O24060" s="20" t="str">
        <f>IF(N24060="","",COUNTIFS(RawData[[Date ]],N24060,RawData[Month List],$Q$6,RawData[Tour/Site],$Q$2,RawData[[Picker ID ]],$Q$3,RawData[Checker ID],$Q$4,RawData[[Error Type ]],$Q$5))</f>
        <v/>
      </c>
    </row>
    <row r="24061" spans="15:15" x14ac:dyDescent="0.25">
      <c r="O24061" s="20" t="str">
        <f>IF(N24061="","",COUNTIFS(RawData[[Date ]],N24061,RawData[Month List],$Q$6,RawData[Tour/Site],$Q$2,RawData[[Picker ID ]],$Q$3,RawData[Checker ID],$Q$4,RawData[[Error Type ]],$Q$5))</f>
        <v/>
      </c>
    </row>
    <row r="24062" spans="15:15" x14ac:dyDescent="0.25">
      <c r="O24062" s="20" t="str">
        <f>IF(N24062="","",COUNTIFS(RawData[[Date ]],N24062,RawData[Month List],$Q$6,RawData[Tour/Site],$Q$2,RawData[[Picker ID ]],$Q$3,RawData[Checker ID],$Q$4,RawData[[Error Type ]],$Q$5))</f>
        <v/>
      </c>
    </row>
    <row r="24063" spans="15:15" x14ac:dyDescent="0.25">
      <c r="O24063" s="20" t="str">
        <f>IF(N24063="","",COUNTIFS(RawData[[Date ]],N24063,RawData[Month List],$Q$6,RawData[Tour/Site],$Q$2,RawData[[Picker ID ]],$Q$3,RawData[Checker ID],$Q$4,RawData[[Error Type ]],$Q$5))</f>
        <v/>
      </c>
    </row>
    <row r="24064" spans="15:15" x14ac:dyDescent="0.25">
      <c r="O24064" s="20" t="str">
        <f>IF(N24064="","",COUNTIFS(RawData[[Date ]],N24064,RawData[Month List],$Q$6,RawData[Tour/Site],$Q$2,RawData[[Picker ID ]],$Q$3,RawData[Checker ID],$Q$4,RawData[[Error Type ]],$Q$5))</f>
        <v/>
      </c>
    </row>
    <row r="24065" spans="15:15" x14ac:dyDescent="0.25">
      <c r="O24065" s="20" t="str">
        <f>IF(N24065="","",COUNTIFS(RawData[[Date ]],N24065,RawData[Month List],$Q$6,RawData[Tour/Site],$Q$2,RawData[[Picker ID ]],$Q$3,RawData[Checker ID],$Q$4,RawData[[Error Type ]],$Q$5))</f>
        <v/>
      </c>
    </row>
    <row r="24066" spans="15:15" x14ac:dyDescent="0.25">
      <c r="O24066" s="20" t="str">
        <f>IF(N24066="","",COUNTIFS(RawData[[Date ]],N24066,RawData[Month List],$Q$6,RawData[Tour/Site],$Q$2,RawData[[Picker ID ]],$Q$3,RawData[Checker ID],$Q$4,RawData[[Error Type ]],$Q$5))</f>
        <v/>
      </c>
    </row>
    <row r="24067" spans="15:15" x14ac:dyDescent="0.25">
      <c r="O24067" s="20" t="str">
        <f>IF(N24067="","",COUNTIFS(RawData[[Date ]],N24067,RawData[Month List],$Q$6,RawData[Tour/Site],$Q$2,RawData[[Picker ID ]],$Q$3,RawData[Checker ID],$Q$4,RawData[[Error Type ]],$Q$5))</f>
        <v/>
      </c>
    </row>
    <row r="24068" spans="15:15" x14ac:dyDescent="0.25">
      <c r="O24068" s="20" t="str">
        <f>IF(N24068="","",COUNTIFS(RawData[[Date ]],N24068,RawData[Month List],$Q$6,RawData[Tour/Site],$Q$2,RawData[[Picker ID ]],$Q$3,RawData[Checker ID],$Q$4,RawData[[Error Type ]],$Q$5))</f>
        <v/>
      </c>
    </row>
    <row r="24069" spans="15:15" x14ac:dyDescent="0.25">
      <c r="O24069" s="20" t="str">
        <f>IF(N24069="","",COUNTIFS(RawData[[Date ]],N24069,RawData[Month List],$Q$6,RawData[Tour/Site],$Q$2,RawData[[Picker ID ]],$Q$3,RawData[Checker ID],$Q$4,RawData[[Error Type ]],$Q$5))</f>
        <v/>
      </c>
    </row>
    <row r="24070" spans="15:15" x14ac:dyDescent="0.25">
      <c r="O24070" s="20" t="str">
        <f>IF(N24070="","",COUNTIFS(RawData[[Date ]],N24070,RawData[Month List],$Q$6,RawData[Tour/Site],$Q$2,RawData[[Picker ID ]],$Q$3,RawData[Checker ID],$Q$4,RawData[[Error Type ]],$Q$5))</f>
        <v/>
      </c>
    </row>
    <row r="24071" spans="15:15" x14ac:dyDescent="0.25">
      <c r="O24071" s="20" t="str">
        <f>IF(N24071="","",COUNTIFS(RawData[[Date ]],N24071,RawData[Month List],$Q$6,RawData[Tour/Site],$Q$2,RawData[[Picker ID ]],$Q$3,RawData[Checker ID],$Q$4,RawData[[Error Type ]],$Q$5))</f>
        <v/>
      </c>
    </row>
    <row r="24072" spans="15:15" x14ac:dyDescent="0.25">
      <c r="O24072" s="20" t="str">
        <f>IF(N24072="","",COUNTIFS(RawData[[Date ]],N24072,RawData[Month List],$Q$6,RawData[Tour/Site],$Q$2,RawData[[Picker ID ]],$Q$3,RawData[Checker ID],$Q$4,RawData[[Error Type ]],$Q$5))</f>
        <v/>
      </c>
    </row>
    <row r="24073" spans="15:15" x14ac:dyDescent="0.25">
      <c r="O24073" s="20" t="str">
        <f>IF(N24073="","",COUNTIFS(RawData[[Date ]],N24073,RawData[Month List],$Q$6,RawData[Tour/Site],$Q$2,RawData[[Picker ID ]],$Q$3,RawData[Checker ID],$Q$4,RawData[[Error Type ]],$Q$5))</f>
        <v/>
      </c>
    </row>
    <row r="24074" spans="15:15" x14ac:dyDescent="0.25">
      <c r="O24074" s="20" t="str">
        <f>IF(N24074="","",COUNTIFS(RawData[[Date ]],N24074,RawData[Month List],$Q$6,RawData[Tour/Site],$Q$2,RawData[[Picker ID ]],$Q$3,RawData[Checker ID],$Q$4,RawData[[Error Type ]],$Q$5))</f>
        <v/>
      </c>
    </row>
    <row r="24075" spans="15:15" x14ac:dyDescent="0.25">
      <c r="O24075" s="20" t="str">
        <f>IF(N24075="","",COUNTIFS(RawData[[Date ]],N24075,RawData[Month List],$Q$6,RawData[Tour/Site],$Q$2,RawData[[Picker ID ]],$Q$3,RawData[Checker ID],$Q$4,RawData[[Error Type ]],$Q$5))</f>
        <v/>
      </c>
    </row>
    <row r="24076" spans="15:15" x14ac:dyDescent="0.25">
      <c r="O24076" s="20" t="str">
        <f>IF(N24076="","",COUNTIFS(RawData[[Date ]],N24076,RawData[Month List],$Q$6,RawData[Tour/Site],$Q$2,RawData[[Picker ID ]],$Q$3,RawData[Checker ID],$Q$4,RawData[[Error Type ]],$Q$5))</f>
        <v/>
      </c>
    </row>
    <row r="24077" spans="15:15" x14ac:dyDescent="0.25">
      <c r="O24077" s="20" t="str">
        <f>IF(N24077="","",COUNTIFS(RawData[[Date ]],N24077,RawData[Month List],$Q$6,RawData[Tour/Site],$Q$2,RawData[[Picker ID ]],$Q$3,RawData[Checker ID],$Q$4,RawData[[Error Type ]],$Q$5))</f>
        <v/>
      </c>
    </row>
    <row r="24078" spans="15:15" x14ac:dyDescent="0.25">
      <c r="O24078" s="20" t="str">
        <f>IF(N24078="","",COUNTIFS(RawData[[Date ]],N24078,RawData[Month List],$Q$6,RawData[Tour/Site],$Q$2,RawData[[Picker ID ]],$Q$3,RawData[Checker ID],$Q$4,RawData[[Error Type ]],$Q$5))</f>
        <v/>
      </c>
    </row>
    <row r="24079" spans="15:15" x14ac:dyDescent="0.25">
      <c r="O24079" s="20" t="str">
        <f>IF(N24079="","",COUNTIFS(RawData[[Date ]],N24079,RawData[Month List],$Q$6,RawData[Tour/Site],$Q$2,RawData[[Picker ID ]],$Q$3,RawData[Checker ID],$Q$4,RawData[[Error Type ]],$Q$5))</f>
        <v/>
      </c>
    </row>
    <row r="24080" spans="15:15" x14ac:dyDescent="0.25">
      <c r="O24080" s="20" t="str">
        <f>IF(N24080="","",COUNTIFS(RawData[[Date ]],N24080,RawData[Month List],$Q$6,RawData[Tour/Site],$Q$2,RawData[[Picker ID ]],$Q$3,RawData[Checker ID],$Q$4,RawData[[Error Type ]],$Q$5))</f>
        <v/>
      </c>
    </row>
    <row r="24081" spans="15:15" x14ac:dyDescent="0.25">
      <c r="O24081" s="20" t="str">
        <f>IF(N24081="","",COUNTIFS(RawData[[Date ]],N24081,RawData[Month List],$Q$6,RawData[Tour/Site],$Q$2,RawData[[Picker ID ]],$Q$3,RawData[Checker ID],$Q$4,RawData[[Error Type ]],$Q$5))</f>
        <v/>
      </c>
    </row>
    <row r="24082" spans="15:15" x14ac:dyDescent="0.25">
      <c r="O24082" s="20" t="str">
        <f>IF(N24082="","",COUNTIFS(RawData[[Date ]],N24082,RawData[Month List],$Q$6,RawData[Tour/Site],$Q$2,RawData[[Picker ID ]],$Q$3,RawData[Checker ID],$Q$4,RawData[[Error Type ]],$Q$5))</f>
        <v/>
      </c>
    </row>
    <row r="24083" spans="15:15" x14ac:dyDescent="0.25">
      <c r="O24083" s="20" t="str">
        <f>IF(N24083="","",COUNTIFS(RawData[[Date ]],N24083,RawData[Month List],$Q$6,RawData[Tour/Site],$Q$2,RawData[[Picker ID ]],$Q$3,RawData[Checker ID],$Q$4,RawData[[Error Type ]],$Q$5))</f>
        <v/>
      </c>
    </row>
    <row r="24084" spans="15:15" x14ac:dyDescent="0.25">
      <c r="O24084" s="20" t="str">
        <f>IF(N24084="","",COUNTIFS(RawData[[Date ]],N24084,RawData[Month List],$Q$6,RawData[Tour/Site],$Q$2,RawData[[Picker ID ]],$Q$3,RawData[Checker ID],$Q$4,RawData[[Error Type ]],$Q$5))</f>
        <v/>
      </c>
    </row>
    <row r="24085" spans="15:15" x14ac:dyDescent="0.25">
      <c r="O24085" s="20" t="str">
        <f>IF(N24085="","",COUNTIFS(RawData[[Date ]],N24085,RawData[Month List],$Q$6,RawData[Tour/Site],$Q$2,RawData[[Picker ID ]],$Q$3,RawData[Checker ID],$Q$4,RawData[[Error Type ]],$Q$5))</f>
        <v/>
      </c>
    </row>
    <row r="24086" spans="15:15" x14ac:dyDescent="0.25">
      <c r="O24086" s="20" t="str">
        <f>IF(N24086="","",COUNTIFS(RawData[[Date ]],N24086,RawData[Month List],$Q$6,RawData[Tour/Site],$Q$2,RawData[[Picker ID ]],$Q$3,RawData[Checker ID],$Q$4,RawData[[Error Type ]],$Q$5))</f>
        <v/>
      </c>
    </row>
    <row r="24087" spans="15:15" x14ac:dyDescent="0.25">
      <c r="O24087" s="20" t="str">
        <f>IF(N24087="","",COUNTIFS(RawData[[Date ]],N24087,RawData[Month List],$Q$6,RawData[Tour/Site],$Q$2,RawData[[Picker ID ]],$Q$3,RawData[Checker ID],$Q$4,RawData[[Error Type ]],$Q$5))</f>
        <v/>
      </c>
    </row>
    <row r="24088" spans="15:15" x14ac:dyDescent="0.25">
      <c r="O24088" s="20" t="str">
        <f>IF(N24088="","",COUNTIFS(RawData[[Date ]],N24088,RawData[Month List],$Q$6,RawData[Tour/Site],$Q$2,RawData[[Picker ID ]],$Q$3,RawData[Checker ID],$Q$4,RawData[[Error Type ]],$Q$5))</f>
        <v/>
      </c>
    </row>
    <row r="24089" spans="15:15" x14ac:dyDescent="0.25">
      <c r="O24089" s="20" t="str">
        <f>IF(N24089="","",COUNTIFS(RawData[[Date ]],N24089,RawData[Month List],$Q$6,RawData[Tour/Site],$Q$2,RawData[[Picker ID ]],$Q$3,RawData[Checker ID],$Q$4,RawData[[Error Type ]],$Q$5))</f>
        <v/>
      </c>
    </row>
    <row r="24090" spans="15:15" x14ac:dyDescent="0.25">
      <c r="O24090" s="20" t="str">
        <f>IF(N24090="","",COUNTIFS(RawData[[Date ]],N24090,RawData[Month List],$Q$6,RawData[Tour/Site],$Q$2,RawData[[Picker ID ]],$Q$3,RawData[Checker ID],$Q$4,RawData[[Error Type ]],$Q$5))</f>
        <v/>
      </c>
    </row>
    <row r="24091" spans="15:15" x14ac:dyDescent="0.25">
      <c r="O24091" s="20" t="str">
        <f>IF(N24091="","",COUNTIFS(RawData[[Date ]],N24091,RawData[Month List],$Q$6,RawData[Tour/Site],$Q$2,RawData[[Picker ID ]],$Q$3,RawData[Checker ID],$Q$4,RawData[[Error Type ]],$Q$5))</f>
        <v/>
      </c>
    </row>
    <row r="24092" spans="15:15" x14ac:dyDescent="0.25">
      <c r="O24092" s="20" t="str">
        <f>IF(N24092="","",COUNTIFS(RawData[[Date ]],N24092,RawData[Month List],$Q$6,RawData[Tour/Site],$Q$2,RawData[[Picker ID ]],$Q$3,RawData[Checker ID],$Q$4,RawData[[Error Type ]],$Q$5))</f>
        <v/>
      </c>
    </row>
    <row r="24093" spans="15:15" x14ac:dyDescent="0.25">
      <c r="O24093" s="20" t="str">
        <f>IF(N24093="","",COUNTIFS(RawData[[Date ]],N24093,RawData[Month List],$Q$6,RawData[Tour/Site],$Q$2,RawData[[Picker ID ]],$Q$3,RawData[Checker ID],$Q$4,RawData[[Error Type ]],$Q$5))</f>
        <v/>
      </c>
    </row>
    <row r="24094" spans="15:15" x14ac:dyDescent="0.25">
      <c r="O24094" s="20" t="str">
        <f>IF(N24094="","",COUNTIFS(RawData[[Date ]],N24094,RawData[Month List],$Q$6,RawData[Tour/Site],$Q$2,RawData[[Picker ID ]],$Q$3,RawData[Checker ID],$Q$4,RawData[[Error Type ]],$Q$5))</f>
        <v/>
      </c>
    </row>
    <row r="24095" spans="15:15" x14ac:dyDescent="0.25">
      <c r="O24095" s="20" t="str">
        <f>IF(N24095="","",COUNTIFS(RawData[[Date ]],N24095,RawData[Month List],$Q$6,RawData[Tour/Site],$Q$2,RawData[[Picker ID ]],$Q$3,RawData[Checker ID],$Q$4,RawData[[Error Type ]],$Q$5))</f>
        <v/>
      </c>
    </row>
    <row r="24096" spans="15:15" x14ac:dyDescent="0.25">
      <c r="O24096" s="20" t="str">
        <f>IF(N24096="","",COUNTIFS(RawData[[Date ]],N24096,RawData[Month List],$Q$6,RawData[Tour/Site],$Q$2,RawData[[Picker ID ]],$Q$3,RawData[Checker ID],$Q$4,RawData[[Error Type ]],$Q$5))</f>
        <v/>
      </c>
    </row>
    <row r="24097" spans="15:15" x14ac:dyDescent="0.25">
      <c r="O24097" s="20" t="str">
        <f>IF(N24097="","",COUNTIFS(RawData[[Date ]],N24097,RawData[Month List],$Q$6,RawData[Tour/Site],$Q$2,RawData[[Picker ID ]],$Q$3,RawData[Checker ID],$Q$4,RawData[[Error Type ]],$Q$5))</f>
        <v/>
      </c>
    </row>
    <row r="24098" spans="15:15" x14ac:dyDescent="0.25">
      <c r="O24098" s="20" t="str">
        <f>IF(N24098="","",COUNTIFS(RawData[[Date ]],N24098,RawData[Month List],$Q$6,RawData[Tour/Site],$Q$2,RawData[[Picker ID ]],$Q$3,RawData[Checker ID],$Q$4,RawData[[Error Type ]],$Q$5))</f>
        <v/>
      </c>
    </row>
    <row r="24099" spans="15:15" x14ac:dyDescent="0.25">
      <c r="O24099" s="20" t="str">
        <f>IF(N24099="","",COUNTIFS(RawData[[Date ]],N24099,RawData[Month List],$Q$6,RawData[Tour/Site],$Q$2,RawData[[Picker ID ]],$Q$3,RawData[Checker ID],$Q$4,RawData[[Error Type ]],$Q$5))</f>
        <v/>
      </c>
    </row>
    <row r="24100" spans="15:15" x14ac:dyDescent="0.25">
      <c r="O24100" s="20" t="str">
        <f>IF(N24100="","",COUNTIFS(RawData[[Date ]],N24100,RawData[Month List],$Q$6,RawData[Tour/Site],$Q$2,RawData[[Picker ID ]],$Q$3,RawData[Checker ID],$Q$4,RawData[[Error Type ]],$Q$5))</f>
        <v/>
      </c>
    </row>
    <row r="24101" spans="15:15" x14ac:dyDescent="0.25">
      <c r="O24101" s="20" t="str">
        <f>IF(N24101="","",COUNTIFS(RawData[[Date ]],N24101,RawData[Month List],$Q$6,RawData[Tour/Site],$Q$2,RawData[[Picker ID ]],$Q$3,RawData[Checker ID],$Q$4,RawData[[Error Type ]],$Q$5))</f>
        <v/>
      </c>
    </row>
    <row r="24102" spans="15:15" x14ac:dyDescent="0.25">
      <c r="O24102" s="20" t="str">
        <f>IF(N24102="","",COUNTIFS(RawData[[Date ]],N24102,RawData[Month List],$Q$6,RawData[Tour/Site],$Q$2,RawData[[Picker ID ]],$Q$3,RawData[Checker ID],$Q$4,RawData[[Error Type ]],$Q$5))</f>
        <v/>
      </c>
    </row>
    <row r="24103" spans="15:15" x14ac:dyDescent="0.25">
      <c r="O24103" s="20" t="str">
        <f>IF(N24103="","",COUNTIFS(RawData[[Date ]],N24103,RawData[Month List],$Q$6,RawData[Tour/Site],$Q$2,RawData[[Picker ID ]],$Q$3,RawData[Checker ID],$Q$4,RawData[[Error Type ]],$Q$5))</f>
        <v/>
      </c>
    </row>
    <row r="24104" spans="15:15" x14ac:dyDescent="0.25">
      <c r="O24104" s="20" t="str">
        <f>IF(N24104="","",COUNTIFS(RawData[[Date ]],N24104,RawData[Month List],$Q$6,RawData[Tour/Site],$Q$2,RawData[[Picker ID ]],$Q$3,RawData[Checker ID],$Q$4,RawData[[Error Type ]],$Q$5))</f>
        <v/>
      </c>
    </row>
    <row r="24105" spans="15:15" x14ac:dyDescent="0.25">
      <c r="O24105" s="20" t="str">
        <f>IF(N24105="","",COUNTIFS(RawData[[Date ]],N24105,RawData[Month List],$Q$6,RawData[Tour/Site],$Q$2,RawData[[Picker ID ]],$Q$3,RawData[Checker ID],$Q$4,RawData[[Error Type ]],$Q$5))</f>
        <v/>
      </c>
    </row>
    <row r="24106" spans="15:15" x14ac:dyDescent="0.25">
      <c r="O24106" s="20" t="str">
        <f>IF(N24106="","",COUNTIFS(RawData[[Date ]],N24106,RawData[Month List],$Q$6,RawData[Tour/Site],$Q$2,RawData[[Picker ID ]],$Q$3,RawData[Checker ID],$Q$4,RawData[[Error Type ]],$Q$5))</f>
        <v/>
      </c>
    </row>
    <row r="24107" spans="15:15" x14ac:dyDescent="0.25">
      <c r="O24107" s="20" t="str">
        <f>IF(N24107="","",COUNTIFS(RawData[[Date ]],N24107,RawData[Month List],$Q$6,RawData[Tour/Site],$Q$2,RawData[[Picker ID ]],$Q$3,RawData[Checker ID],$Q$4,RawData[[Error Type ]],$Q$5))</f>
        <v/>
      </c>
    </row>
    <row r="24108" spans="15:15" x14ac:dyDescent="0.25">
      <c r="O24108" s="20" t="str">
        <f>IF(N24108="","",COUNTIFS(RawData[[Date ]],N24108,RawData[Month List],$Q$6,RawData[Tour/Site],$Q$2,RawData[[Picker ID ]],$Q$3,RawData[Checker ID],$Q$4,RawData[[Error Type ]],$Q$5))</f>
        <v/>
      </c>
    </row>
    <row r="24109" spans="15:15" x14ac:dyDescent="0.25">
      <c r="O24109" s="20" t="str">
        <f>IF(N24109="","",COUNTIFS(RawData[[Date ]],N24109,RawData[Month List],$Q$6,RawData[Tour/Site],$Q$2,RawData[[Picker ID ]],$Q$3,RawData[Checker ID],$Q$4,RawData[[Error Type ]],$Q$5))</f>
        <v/>
      </c>
    </row>
    <row r="24110" spans="15:15" x14ac:dyDescent="0.25">
      <c r="O24110" s="20" t="str">
        <f>IF(N24110="","",COUNTIFS(RawData[[Date ]],N24110,RawData[Month List],$Q$6,RawData[Tour/Site],$Q$2,RawData[[Picker ID ]],$Q$3,RawData[Checker ID],$Q$4,RawData[[Error Type ]],$Q$5))</f>
        <v/>
      </c>
    </row>
    <row r="24111" spans="15:15" x14ac:dyDescent="0.25">
      <c r="O24111" s="20" t="str">
        <f>IF(N24111="","",COUNTIFS(RawData[[Date ]],N24111,RawData[Month List],$Q$6,RawData[Tour/Site],$Q$2,RawData[[Picker ID ]],$Q$3,RawData[Checker ID],$Q$4,RawData[[Error Type ]],$Q$5))</f>
        <v/>
      </c>
    </row>
    <row r="24112" spans="15:15" x14ac:dyDescent="0.25">
      <c r="O24112" s="20" t="str">
        <f>IF(N24112="","",COUNTIFS(RawData[[Date ]],N24112,RawData[Month List],$Q$6,RawData[Tour/Site],$Q$2,RawData[[Picker ID ]],$Q$3,RawData[Checker ID],$Q$4,RawData[[Error Type ]],$Q$5))</f>
        <v/>
      </c>
    </row>
    <row r="24113" spans="15:15" x14ac:dyDescent="0.25">
      <c r="O24113" s="20" t="str">
        <f>IF(N24113="","",COUNTIFS(RawData[[Date ]],N24113,RawData[Month List],$Q$6,RawData[Tour/Site],$Q$2,RawData[[Picker ID ]],$Q$3,RawData[Checker ID],$Q$4,RawData[[Error Type ]],$Q$5))</f>
        <v/>
      </c>
    </row>
    <row r="24114" spans="15:15" x14ac:dyDescent="0.25">
      <c r="O24114" s="20" t="str">
        <f>IF(N24114="","",COUNTIFS(RawData[[Date ]],N24114,RawData[Month List],$Q$6,RawData[Tour/Site],$Q$2,RawData[[Picker ID ]],$Q$3,RawData[Checker ID],$Q$4,RawData[[Error Type ]],$Q$5))</f>
        <v/>
      </c>
    </row>
    <row r="24115" spans="15:15" x14ac:dyDescent="0.25">
      <c r="O24115" s="20" t="str">
        <f>IF(N24115="","",COUNTIFS(RawData[[Date ]],N24115,RawData[Month List],$Q$6,RawData[Tour/Site],$Q$2,RawData[[Picker ID ]],$Q$3,RawData[Checker ID],$Q$4,RawData[[Error Type ]],$Q$5))</f>
        <v/>
      </c>
    </row>
    <row r="24116" spans="15:15" x14ac:dyDescent="0.25">
      <c r="O24116" s="20" t="str">
        <f>IF(N24116="","",COUNTIFS(RawData[[Date ]],N24116,RawData[Month List],$Q$6,RawData[Tour/Site],$Q$2,RawData[[Picker ID ]],$Q$3,RawData[Checker ID],$Q$4,RawData[[Error Type ]],$Q$5))</f>
        <v/>
      </c>
    </row>
    <row r="24117" spans="15:15" x14ac:dyDescent="0.25">
      <c r="O24117" s="20" t="str">
        <f>IF(N24117="","",COUNTIFS(RawData[[Date ]],N24117,RawData[Month List],$Q$6,RawData[Tour/Site],$Q$2,RawData[[Picker ID ]],$Q$3,RawData[Checker ID],$Q$4,RawData[[Error Type ]],$Q$5))</f>
        <v/>
      </c>
    </row>
    <row r="24118" spans="15:15" x14ac:dyDescent="0.25">
      <c r="O24118" s="20" t="str">
        <f>IF(N24118="","",COUNTIFS(RawData[[Date ]],N24118,RawData[Month List],$Q$6,RawData[Tour/Site],$Q$2,RawData[[Picker ID ]],$Q$3,RawData[Checker ID],$Q$4,RawData[[Error Type ]],$Q$5))</f>
        <v/>
      </c>
    </row>
    <row r="24119" spans="15:15" x14ac:dyDescent="0.25">
      <c r="O24119" s="20" t="str">
        <f>IF(N24119="","",COUNTIFS(RawData[[Date ]],N24119,RawData[Month List],$Q$6,RawData[Tour/Site],$Q$2,RawData[[Picker ID ]],$Q$3,RawData[Checker ID],$Q$4,RawData[[Error Type ]],$Q$5))</f>
        <v/>
      </c>
    </row>
    <row r="24120" spans="15:15" x14ac:dyDescent="0.25">
      <c r="O24120" s="20" t="str">
        <f>IF(N24120="","",COUNTIFS(RawData[[Date ]],N24120,RawData[Month List],$Q$6,RawData[Tour/Site],$Q$2,RawData[[Picker ID ]],$Q$3,RawData[Checker ID],$Q$4,RawData[[Error Type ]],$Q$5))</f>
        <v/>
      </c>
    </row>
    <row r="24121" spans="15:15" x14ac:dyDescent="0.25">
      <c r="O24121" s="20" t="str">
        <f>IF(N24121="","",COUNTIFS(RawData[[Date ]],N24121,RawData[Month List],$Q$6,RawData[Tour/Site],$Q$2,RawData[[Picker ID ]],$Q$3,RawData[Checker ID],$Q$4,RawData[[Error Type ]],$Q$5))</f>
        <v/>
      </c>
    </row>
    <row r="24122" spans="15:15" x14ac:dyDescent="0.25">
      <c r="O24122" s="20" t="str">
        <f>IF(N24122="","",COUNTIFS(RawData[[Date ]],N24122,RawData[Month List],$Q$6,RawData[Tour/Site],$Q$2,RawData[[Picker ID ]],$Q$3,RawData[Checker ID],$Q$4,RawData[[Error Type ]],$Q$5))</f>
        <v/>
      </c>
    </row>
    <row r="24123" spans="15:15" x14ac:dyDescent="0.25">
      <c r="O24123" s="20" t="str">
        <f>IF(N24123="","",COUNTIFS(RawData[[Date ]],N24123,RawData[Month List],$Q$6,RawData[Tour/Site],$Q$2,RawData[[Picker ID ]],$Q$3,RawData[Checker ID],$Q$4,RawData[[Error Type ]],$Q$5))</f>
        <v/>
      </c>
    </row>
    <row r="24124" spans="15:15" x14ac:dyDescent="0.25">
      <c r="O24124" s="20" t="str">
        <f>IF(N24124="","",COUNTIFS(RawData[[Date ]],N24124,RawData[Month List],$Q$6,RawData[Tour/Site],$Q$2,RawData[[Picker ID ]],$Q$3,RawData[Checker ID],$Q$4,RawData[[Error Type ]],$Q$5))</f>
        <v/>
      </c>
    </row>
    <row r="24125" spans="15:15" x14ac:dyDescent="0.25">
      <c r="O24125" s="20" t="str">
        <f>IF(N24125="","",COUNTIFS(RawData[[Date ]],N24125,RawData[Month List],$Q$6,RawData[Tour/Site],$Q$2,RawData[[Picker ID ]],$Q$3,RawData[Checker ID],$Q$4,RawData[[Error Type ]],$Q$5))</f>
        <v/>
      </c>
    </row>
    <row r="24126" spans="15:15" x14ac:dyDescent="0.25">
      <c r="O24126" s="20" t="str">
        <f>IF(N24126="","",COUNTIFS(RawData[[Date ]],N24126,RawData[Month List],$Q$6,RawData[Tour/Site],$Q$2,RawData[[Picker ID ]],$Q$3,RawData[Checker ID],$Q$4,RawData[[Error Type ]],$Q$5))</f>
        <v/>
      </c>
    </row>
    <row r="24127" spans="15:15" x14ac:dyDescent="0.25">
      <c r="O24127" s="20" t="str">
        <f>IF(N24127="","",COUNTIFS(RawData[[Date ]],N24127,RawData[Month List],$Q$6,RawData[Tour/Site],$Q$2,RawData[[Picker ID ]],$Q$3,RawData[Checker ID],$Q$4,RawData[[Error Type ]],$Q$5))</f>
        <v/>
      </c>
    </row>
    <row r="24128" spans="15:15" x14ac:dyDescent="0.25">
      <c r="O24128" s="20" t="str">
        <f>IF(N24128="","",COUNTIFS(RawData[[Date ]],N24128,RawData[Month List],$Q$6,RawData[Tour/Site],$Q$2,RawData[[Picker ID ]],$Q$3,RawData[Checker ID],$Q$4,RawData[[Error Type ]],$Q$5))</f>
        <v/>
      </c>
    </row>
    <row r="24129" spans="15:15" x14ac:dyDescent="0.25">
      <c r="O24129" s="20" t="str">
        <f>IF(N24129="","",COUNTIFS(RawData[[Date ]],N24129,RawData[Month List],$Q$6,RawData[Tour/Site],$Q$2,RawData[[Picker ID ]],$Q$3,RawData[Checker ID],$Q$4,RawData[[Error Type ]],$Q$5))</f>
        <v/>
      </c>
    </row>
    <row r="24130" spans="15:15" x14ac:dyDescent="0.25">
      <c r="O24130" s="20" t="str">
        <f>IF(N24130="","",COUNTIFS(RawData[[Date ]],N24130,RawData[Month List],$Q$6,RawData[Tour/Site],$Q$2,RawData[[Picker ID ]],$Q$3,RawData[Checker ID],$Q$4,RawData[[Error Type ]],$Q$5))</f>
        <v/>
      </c>
    </row>
    <row r="24131" spans="15:15" x14ac:dyDescent="0.25">
      <c r="O24131" s="20" t="str">
        <f>IF(N24131="","",COUNTIFS(RawData[[Date ]],N24131,RawData[Month List],$Q$6,RawData[Tour/Site],$Q$2,RawData[[Picker ID ]],$Q$3,RawData[Checker ID],$Q$4,RawData[[Error Type ]],$Q$5))</f>
        <v/>
      </c>
    </row>
    <row r="24132" spans="15:15" x14ac:dyDescent="0.25">
      <c r="O24132" s="20" t="str">
        <f>IF(N24132="","",COUNTIFS(RawData[[Date ]],N24132,RawData[Month List],$Q$6,RawData[Tour/Site],$Q$2,RawData[[Picker ID ]],$Q$3,RawData[Checker ID],$Q$4,RawData[[Error Type ]],$Q$5))</f>
        <v/>
      </c>
    </row>
    <row r="24133" spans="15:15" x14ac:dyDescent="0.25">
      <c r="O24133" s="20" t="str">
        <f>IF(N24133="","",COUNTIFS(RawData[[Date ]],N24133,RawData[Month List],$Q$6,RawData[Tour/Site],$Q$2,RawData[[Picker ID ]],$Q$3,RawData[Checker ID],$Q$4,RawData[[Error Type ]],$Q$5))</f>
        <v/>
      </c>
    </row>
    <row r="24134" spans="15:15" x14ac:dyDescent="0.25">
      <c r="O24134" s="20" t="str">
        <f>IF(N24134="","",COUNTIFS(RawData[[Date ]],N24134,RawData[Month List],$Q$6,RawData[Tour/Site],$Q$2,RawData[[Picker ID ]],$Q$3,RawData[Checker ID],$Q$4,RawData[[Error Type ]],$Q$5))</f>
        <v/>
      </c>
    </row>
    <row r="24135" spans="15:15" x14ac:dyDescent="0.25">
      <c r="O24135" s="20" t="str">
        <f>IF(N24135="","",COUNTIFS(RawData[[Date ]],N24135,RawData[Month List],$Q$6,RawData[Tour/Site],$Q$2,RawData[[Picker ID ]],$Q$3,RawData[Checker ID],$Q$4,RawData[[Error Type ]],$Q$5))</f>
        <v/>
      </c>
    </row>
    <row r="24136" spans="15:15" x14ac:dyDescent="0.25">
      <c r="O24136" s="20" t="str">
        <f>IF(N24136="","",COUNTIFS(RawData[[Date ]],N24136,RawData[Month List],$Q$6,RawData[Tour/Site],$Q$2,RawData[[Picker ID ]],$Q$3,RawData[Checker ID],$Q$4,RawData[[Error Type ]],$Q$5))</f>
        <v/>
      </c>
    </row>
    <row r="24137" spans="15:15" x14ac:dyDescent="0.25">
      <c r="O24137" s="20" t="str">
        <f>IF(N24137="","",COUNTIFS(RawData[[Date ]],N24137,RawData[Month List],$Q$6,RawData[Tour/Site],$Q$2,RawData[[Picker ID ]],$Q$3,RawData[Checker ID],$Q$4,RawData[[Error Type ]],$Q$5))</f>
        <v/>
      </c>
    </row>
    <row r="24138" spans="15:15" x14ac:dyDescent="0.25">
      <c r="O24138" s="20" t="str">
        <f>IF(N24138="","",COUNTIFS(RawData[[Date ]],N24138,RawData[Month List],$Q$6,RawData[Tour/Site],$Q$2,RawData[[Picker ID ]],$Q$3,RawData[Checker ID],$Q$4,RawData[[Error Type ]],$Q$5))</f>
        <v/>
      </c>
    </row>
    <row r="24139" spans="15:15" x14ac:dyDescent="0.25">
      <c r="O24139" s="20" t="str">
        <f>IF(N24139="","",COUNTIFS(RawData[[Date ]],N24139,RawData[Month List],$Q$6,RawData[Tour/Site],$Q$2,RawData[[Picker ID ]],$Q$3,RawData[Checker ID],$Q$4,RawData[[Error Type ]],$Q$5))</f>
        <v/>
      </c>
    </row>
    <row r="24140" spans="15:15" x14ac:dyDescent="0.25">
      <c r="O24140" s="20" t="str">
        <f>IF(N24140="","",COUNTIFS(RawData[[Date ]],N24140,RawData[Month List],$Q$6,RawData[Tour/Site],$Q$2,RawData[[Picker ID ]],$Q$3,RawData[Checker ID],$Q$4,RawData[[Error Type ]],$Q$5))</f>
        <v/>
      </c>
    </row>
    <row r="24141" spans="15:15" x14ac:dyDescent="0.25">
      <c r="O24141" s="20" t="str">
        <f>IF(N24141="","",COUNTIFS(RawData[[Date ]],N24141,RawData[Month List],$Q$6,RawData[Tour/Site],$Q$2,RawData[[Picker ID ]],$Q$3,RawData[Checker ID],$Q$4,RawData[[Error Type ]],$Q$5))</f>
        <v/>
      </c>
    </row>
    <row r="24142" spans="15:15" x14ac:dyDescent="0.25">
      <c r="O24142" s="20" t="str">
        <f>IF(N24142="","",COUNTIFS(RawData[[Date ]],N24142,RawData[Month List],$Q$6,RawData[Tour/Site],$Q$2,RawData[[Picker ID ]],$Q$3,RawData[Checker ID],$Q$4,RawData[[Error Type ]],$Q$5))</f>
        <v/>
      </c>
    </row>
    <row r="24143" spans="15:15" x14ac:dyDescent="0.25">
      <c r="O24143" s="20" t="str">
        <f>IF(N24143="","",COUNTIFS(RawData[[Date ]],N24143,RawData[Month List],$Q$6,RawData[Tour/Site],$Q$2,RawData[[Picker ID ]],$Q$3,RawData[Checker ID],$Q$4,RawData[[Error Type ]],$Q$5))</f>
        <v/>
      </c>
    </row>
    <row r="24144" spans="15:15" x14ac:dyDescent="0.25">
      <c r="O24144" s="20" t="str">
        <f>IF(N24144="","",COUNTIFS(RawData[[Date ]],N24144,RawData[Month List],$Q$6,RawData[Tour/Site],$Q$2,RawData[[Picker ID ]],$Q$3,RawData[Checker ID],$Q$4,RawData[[Error Type ]],$Q$5))</f>
        <v/>
      </c>
    </row>
    <row r="24145" spans="15:15" x14ac:dyDescent="0.25">
      <c r="O24145" s="20" t="str">
        <f>IF(N24145="","",COUNTIFS(RawData[[Date ]],N24145,RawData[Month List],$Q$6,RawData[Tour/Site],$Q$2,RawData[[Picker ID ]],$Q$3,RawData[Checker ID],$Q$4,RawData[[Error Type ]],$Q$5))</f>
        <v/>
      </c>
    </row>
    <row r="24146" spans="15:15" x14ac:dyDescent="0.25">
      <c r="O24146" s="20" t="str">
        <f>IF(N24146="","",COUNTIFS(RawData[[Date ]],N24146,RawData[Month List],$Q$6,RawData[Tour/Site],$Q$2,RawData[[Picker ID ]],$Q$3,RawData[Checker ID],$Q$4,RawData[[Error Type ]],$Q$5))</f>
        <v/>
      </c>
    </row>
    <row r="24147" spans="15:15" x14ac:dyDescent="0.25">
      <c r="O24147" s="20" t="str">
        <f>IF(N24147="","",COUNTIFS(RawData[[Date ]],N24147,RawData[Month List],$Q$6,RawData[Tour/Site],$Q$2,RawData[[Picker ID ]],$Q$3,RawData[Checker ID],$Q$4,RawData[[Error Type ]],$Q$5))</f>
        <v/>
      </c>
    </row>
    <row r="24148" spans="15:15" x14ac:dyDescent="0.25">
      <c r="O24148" s="20" t="str">
        <f>IF(N24148="","",COUNTIFS(RawData[[Date ]],N24148,RawData[Month List],$Q$6,RawData[Tour/Site],$Q$2,RawData[[Picker ID ]],$Q$3,RawData[Checker ID],$Q$4,RawData[[Error Type ]],$Q$5))</f>
        <v/>
      </c>
    </row>
    <row r="24149" spans="15:15" x14ac:dyDescent="0.25">
      <c r="O24149" s="20" t="str">
        <f>IF(N24149="","",COUNTIFS(RawData[[Date ]],N24149,RawData[Month List],$Q$6,RawData[Tour/Site],$Q$2,RawData[[Picker ID ]],$Q$3,RawData[Checker ID],$Q$4,RawData[[Error Type ]],$Q$5))</f>
        <v/>
      </c>
    </row>
    <row r="24150" spans="15:15" x14ac:dyDescent="0.25">
      <c r="O24150" s="20" t="str">
        <f>IF(N24150="","",COUNTIFS(RawData[[Date ]],N24150,RawData[Month List],$Q$6,RawData[Tour/Site],$Q$2,RawData[[Picker ID ]],$Q$3,RawData[Checker ID],$Q$4,RawData[[Error Type ]],$Q$5))</f>
        <v/>
      </c>
    </row>
    <row r="24151" spans="15:15" x14ac:dyDescent="0.25">
      <c r="O24151" s="20" t="str">
        <f>IF(N24151="","",COUNTIFS(RawData[[Date ]],N24151,RawData[Month List],$Q$6,RawData[Tour/Site],$Q$2,RawData[[Picker ID ]],$Q$3,RawData[Checker ID],$Q$4,RawData[[Error Type ]],$Q$5))</f>
        <v/>
      </c>
    </row>
    <row r="24152" spans="15:15" x14ac:dyDescent="0.25">
      <c r="O24152" s="20" t="str">
        <f>IF(N24152="","",COUNTIFS(RawData[[Date ]],N24152,RawData[Month List],$Q$6,RawData[Tour/Site],$Q$2,RawData[[Picker ID ]],$Q$3,RawData[Checker ID],$Q$4,RawData[[Error Type ]],$Q$5))</f>
        <v/>
      </c>
    </row>
    <row r="24153" spans="15:15" x14ac:dyDescent="0.25">
      <c r="O24153" s="20" t="str">
        <f>IF(N24153="","",COUNTIFS(RawData[[Date ]],N24153,RawData[Month List],$Q$6,RawData[Tour/Site],$Q$2,RawData[[Picker ID ]],$Q$3,RawData[Checker ID],$Q$4,RawData[[Error Type ]],$Q$5))</f>
        <v/>
      </c>
    </row>
    <row r="24154" spans="15:15" x14ac:dyDescent="0.25">
      <c r="O24154" s="20" t="str">
        <f>IF(N24154="","",COUNTIFS(RawData[[Date ]],N24154,RawData[Month List],$Q$6,RawData[Tour/Site],$Q$2,RawData[[Picker ID ]],$Q$3,RawData[Checker ID],$Q$4,RawData[[Error Type ]],$Q$5))</f>
        <v/>
      </c>
    </row>
    <row r="24155" spans="15:15" x14ac:dyDescent="0.25">
      <c r="O24155" s="20" t="str">
        <f>IF(N24155="","",COUNTIFS(RawData[[Date ]],N24155,RawData[Month List],$Q$6,RawData[Tour/Site],$Q$2,RawData[[Picker ID ]],$Q$3,RawData[Checker ID],$Q$4,RawData[[Error Type ]],$Q$5))</f>
        <v/>
      </c>
    </row>
    <row r="24156" spans="15:15" x14ac:dyDescent="0.25">
      <c r="O24156" s="20" t="str">
        <f>IF(N24156="","",COUNTIFS(RawData[[Date ]],N24156,RawData[Month List],$Q$6,RawData[Tour/Site],$Q$2,RawData[[Picker ID ]],$Q$3,RawData[Checker ID],$Q$4,RawData[[Error Type ]],$Q$5))</f>
        <v/>
      </c>
    </row>
    <row r="24157" spans="15:15" x14ac:dyDescent="0.25">
      <c r="O24157" s="20" t="str">
        <f>IF(N24157="","",COUNTIFS(RawData[[Date ]],N24157,RawData[Month List],$Q$6,RawData[Tour/Site],$Q$2,RawData[[Picker ID ]],$Q$3,RawData[Checker ID],$Q$4,RawData[[Error Type ]],$Q$5))</f>
        <v/>
      </c>
    </row>
    <row r="24158" spans="15:15" x14ac:dyDescent="0.25">
      <c r="O24158" s="20" t="str">
        <f>IF(N24158="","",COUNTIFS(RawData[[Date ]],N24158,RawData[Month List],$Q$6,RawData[Tour/Site],$Q$2,RawData[[Picker ID ]],$Q$3,RawData[Checker ID],$Q$4,RawData[[Error Type ]],$Q$5))</f>
        <v/>
      </c>
    </row>
    <row r="24159" spans="15:15" x14ac:dyDescent="0.25">
      <c r="O24159" s="20" t="str">
        <f>IF(N24159="","",COUNTIFS(RawData[[Date ]],N24159,RawData[Month List],$Q$6,RawData[Tour/Site],$Q$2,RawData[[Picker ID ]],$Q$3,RawData[Checker ID],$Q$4,RawData[[Error Type ]],$Q$5))</f>
        <v/>
      </c>
    </row>
    <row r="24160" spans="15:15" x14ac:dyDescent="0.25">
      <c r="O24160" s="20" t="str">
        <f>IF(N24160="","",COUNTIFS(RawData[[Date ]],N24160,RawData[Month List],$Q$6,RawData[Tour/Site],$Q$2,RawData[[Picker ID ]],$Q$3,RawData[Checker ID],$Q$4,RawData[[Error Type ]],$Q$5))</f>
        <v/>
      </c>
    </row>
    <row r="24161" spans="15:15" x14ac:dyDescent="0.25">
      <c r="O24161" s="20" t="str">
        <f>IF(N24161="","",COUNTIFS(RawData[[Date ]],N24161,RawData[Month List],$Q$6,RawData[Tour/Site],$Q$2,RawData[[Picker ID ]],$Q$3,RawData[Checker ID],$Q$4,RawData[[Error Type ]],$Q$5))</f>
        <v/>
      </c>
    </row>
    <row r="24162" spans="15:15" x14ac:dyDescent="0.25">
      <c r="O24162" s="20" t="str">
        <f>IF(N24162="","",COUNTIFS(RawData[[Date ]],N24162,RawData[Month List],$Q$6,RawData[Tour/Site],$Q$2,RawData[[Picker ID ]],$Q$3,RawData[Checker ID],$Q$4,RawData[[Error Type ]],$Q$5))</f>
        <v/>
      </c>
    </row>
    <row r="24163" spans="15:15" x14ac:dyDescent="0.25">
      <c r="O24163" s="20" t="str">
        <f>IF(N24163="","",COUNTIFS(RawData[[Date ]],N24163,RawData[Month List],$Q$6,RawData[Tour/Site],$Q$2,RawData[[Picker ID ]],$Q$3,RawData[Checker ID],$Q$4,RawData[[Error Type ]],$Q$5))</f>
        <v/>
      </c>
    </row>
    <row r="24164" spans="15:15" x14ac:dyDescent="0.25">
      <c r="O24164" s="20" t="str">
        <f>IF(N24164="","",COUNTIFS(RawData[[Date ]],N24164,RawData[Month List],$Q$6,RawData[Tour/Site],$Q$2,RawData[[Picker ID ]],$Q$3,RawData[Checker ID],$Q$4,RawData[[Error Type ]],$Q$5))</f>
        <v/>
      </c>
    </row>
    <row r="24165" spans="15:15" x14ac:dyDescent="0.25">
      <c r="O24165" s="20" t="str">
        <f>IF(N24165="","",COUNTIFS(RawData[[Date ]],N24165,RawData[Month List],$Q$6,RawData[Tour/Site],$Q$2,RawData[[Picker ID ]],$Q$3,RawData[Checker ID],$Q$4,RawData[[Error Type ]],$Q$5))</f>
        <v/>
      </c>
    </row>
    <row r="24166" spans="15:15" x14ac:dyDescent="0.25">
      <c r="O24166" s="20" t="str">
        <f>IF(N24166="","",COUNTIFS(RawData[[Date ]],N24166,RawData[Month List],$Q$6,RawData[Tour/Site],$Q$2,RawData[[Picker ID ]],$Q$3,RawData[Checker ID],$Q$4,RawData[[Error Type ]],$Q$5))</f>
        <v/>
      </c>
    </row>
    <row r="24167" spans="15:15" x14ac:dyDescent="0.25">
      <c r="O24167" s="20" t="str">
        <f>IF(N24167="","",COUNTIFS(RawData[[Date ]],N24167,RawData[Month List],$Q$6,RawData[Tour/Site],$Q$2,RawData[[Picker ID ]],$Q$3,RawData[Checker ID],$Q$4,RawData[[Error Type ]],$Q$5))</f>
        <v/>
      </c>
    </row>
    <row r="24168" spans="15:15" x14ac:dyDescent="0.25">
      <c r="O24168" s="20" t="str">
        <f>IF(N24168="","",COUNTIFS(RawData[[Date ]],N24168,RawData[Month List],$Q$6,RawData[Tour/Site],$Q$2,RawData[[Picker ID ]],$Q$3,RawData[Checker ID],$Q$4,RawData[[Error Type ]],$Q$5))</f>
        <v/>
      </c>
    </row>
    <row r="24169" spans="15:15" x14ac:dyDescent="0.25">
      <c r="O24169" s="20" t="str">
        <f>IF(N24169="","",COUNTIFS(RawData[[Date ]],N24169,RawData[Month List],$Q$6,RawData[Tour/Site],$Q$2,RawData[[Picker ID ]],$Q$3,RawData[Checker ID],$Q$4,RawData[[Error Type ]],$Q$5))</f>
        <v/>
      </c>
    </row>
    <row r="24170" spans="15:15" x14ac:dyDescent="0.25">
      <c r="O24170" s="20" t="str">
        <f>IF(N24170="","",COUNTIFS(RawData[[Date ]],N24170,RawData[Month List],$Q$6,RawData[Tour/Site],$Q$2,RawData[[Picker ID ]],$Q$3,RawData[Checker ID],$Q$4,RawData[[Error Type ]],$Q$5))</f>
        <v/>
      </c>
    </row>
    <row r="24171" spans="15:15" x14ac:dyDescent="0.25">
      <c r="O24171" s="20" t="str">
        <f>IF(N24171="","",COUNTIFS(RawData[[Date ]],N24171,RawData[Month List],$Q$6,RawData[Tour/Site],$Q$2,RawData[[Picker ID ]],$Q$3,RawData[Checker ID],$Q$4,RawData[[Error Type ]],$Q$5))</f>
        <v/>
      </c>
    </row>
    <row r="24172" spans="15:15" x14ac:dyDescent="0.25">
      <c r="O24172" s="20" t="str">
        <f>IF(N24172="","",COUNTIFS(RawData[[Date ]],N24172,RawData[Month List],$Q$6,RawData[Tour/Site],$Q$2,RawData[[Picker ID ]],$Q$3,RawData[Checker ID],$Q$4,RawData[[Error Type ]],$Q$5))</f>
        <v/>
      </c>
    </row>
    <row r="24173" spans="15:15" x14ac:dyDescent="0.25">
      <c r="O24173" s="20" t="str">
        <f>IF(N24173="","",COUNTIFS(RawData[[Date ]],N24173,RawData[Month List],$Q$6,RawData[Tour/Site],$Q$2,RawData[[Picker ID ]],$Q$3,RawData[Checker ID],$Q$4,RawData[[Error Type ]],$Q$5))</f>
        <v/>
      </c>
    </row>
    <row r="24174" spans="15:15" x14ac:dyDescent="0.25">
      <c r="O24174" s="20" t="str">
        <f>IF(N24174="","",COUNTIFS(RawData[[Date ]],N24174,RawData[Month List],$Q$6,RawData[Tour/Site],$Q$2,RawData[[Picker ID ]],$Q$3,RawData[Checker ID],$Q$4,RawData[[Error Type ]],$Q$5))</f>
        <v/>
      </c>
    </row>
    <row r="24175" spans="15:15" x14ac:dyDescent="0.25">
      <c r="O24175" s="20" t="str">
        <f>IF(N24175="","",COUNTIFS(RawData[[Date ]],N24175,RawData[Month List],$Q$6,RawData[Tour/Site],$Q$2,RawData[[Picker ID ]],$Q$3,RawData[Checker ID],$Q$4,RawData[[Error Type ]],$Q$5))</f>
        <v/>
      </c>
    </row>
    <row r="24176" spans="15:15" x14ac:dyDescent="0.25">
      <c r="O24176" s="20" t="str">
        <f>IF(N24176="","",COUNTIFS(RawData[[Date ]],N24176,RawData[Month List],$Q$6,RawData[Tour/Site],$Q$2,RawData[[Picker ID ]],$Q$3,RawData[Checker ID],$Q$4,RawData[[Error Type ]],$Q$5))</f>
        <v/>
      </c>
    </row>
    <row r="24177" spans="15:15" x14ac:dyDescent="0.25">
      <c r="O24177" s="20" t="str">
        <f>IF(N24177="","",COUNTIFS(RawData[[Date ]],N24177,RawData[Month List],$Q$6,RawData[Tour/Site],$Q$2,RawData[[Picker ID ]],$Q$3,RawData[Checker ID],$Q$4,RawData[[Error Type ]],$Q$5))</f>
        <v/>
      </c>
    </row>
    <row r="24178" spans="15:15" x14ac:dyDescent="0.25">
      <c r="O24178" s="20" t="str">
        <f>IF(N24178="","",COUNTIFS(RawData[[Date ]],N24178,RawData[Month List],$Q$6,RawData[Tour/Site],$Q$2,RawData[[Picker ID ]],$Q$3,RawData[Checker ID],$Q$4,RawData[[Error Type ]],$Q$5))</f>
        <v/>
      </c>
    </row>
    <row r="24179" spans="15:15" x14ac:dyDescent="0.25">
      <c r="O24179" s="20" t="str">
        <f>IF(N24179="","",COUNTIFS(RawData[[Date ]],N24179,RawData[Month List],$Q$6,RawData[Tour/Site],$Q$2,RawData[[Picker ID ]],$Q$3,RawData[Checker ID],$Q$4,RawData[[Error Type ]],$Q$5))</f>
        <v/>
      </c>
    </row>
    <row r="24180" spans="15:15" x14ac:dyDescent="0.25">
      <c r="O24180" s="20" t="str">
        <f>IF(N24180="","",COUNTIFS(RawData[[Date ]],N24180,RawData[Month List],$Q$6,RawData[Tour/Site],$Q$2,RawData[[Picker ID ]],$Q$3,RawData[Checker ID],$Q$4,RawData[[Error Type ]],$Q$5))</f>
        <v/>
      </c>
    </row>
    <row r="24181" spans="15:15" x14ac:dyDescent="0.25">
      <c r="O24181" s="20" t="str">
        <f>IF(N24181="","",COUNTIFS(RawData[[Date ]],N24181,RawData[Month List],$Q$6,RawData[Tour/Site],$Q$2,RawData[[Picker ID ]],$Q$3,RawData[Checker ID],$Q$4,RawData[[Error Type ]],$Q$5))</f>
        <v/>
      </c>
    </row>
    <row r="24182" spans="15:15" x14ac:dyDescent="0.25">
      <c r="O24182" s="20" t="str">
        <f>IF(N24182="","",COUNTIFS(RawData[[Date ]],N24182,RawData[Month List],$Q$6,RawData[Tour/Site],$Q$2,RawData[[Picker ID ]],$Q$3,RawData[Checker ID],$Q$4,RawData[[Error Type ]],$Q$5))</f>
        <v/>
      </c>
    </row>
    <row r="24183" spans="15:15" x14ac:dyDescent="0.25">
      <c r="O24183" s="20" t="str">
        <f>IF(N24183="","",COUNTIFS(RawData[[Date ]],N24183,RawData[Month List],$Q$6,RawData[Tour/Site],$Q$2,RawData[[Picker ID ]],$Q$3,RawData[Checker ID],$Q$4,RawData[[Error Type ]],$Q$5))</f>
        <v/>
      </c>
    </row>
    <row r="24184" spans="15:15" x14ac:dyDescent="0.25">
      <c r="O24184" s="20" t="str">
        <f>IF(N24184="","",COUNTIFS(RawData[[Date ]],N24184,RawData[Month List],$Q$6,RawData[Tour/Site],$Q$2,RawData[[Picker ID ]],$Q$3,RawData[Checker ID],$Q$4,RawData[[Error Type ]],$Q$5))</f>
        <v/>
      </c>
    </row>
    <row r="24185" spans="15:15" x14ac:dyDescent="0.25">
      <c r="O24185" s="20" t="str">
        <f>IF(N24185="","",COUNTIFS(RawData[[Date ]],N24185,RawData[Month List],$Q$6,RawData[Tour/Site],$Q$2,RawData[[Picker ID ]],$Q$3,RawData[Checker ID],$Q$4,RawData[[Error Type ]],$Q$5))</f>
        <v/>
      </c>
    </row>
    <row r="24186" spans="15:15" x14ac:dyDescent="0.25">
      <c r="O24186" s="20" t="str">
        <f>IF(N24186="","",COUNTIFS(RawData[[Date ]],N24186,RawData[Month List],$Q$6,RawData[Tour/Site],$Q$2,RawData[[Picker ID ]],$Q$3,RawData[Checker ID],$Q$4,RawData[[Error Type ]],$Q$5))</f>
        <v/>
      </c>
    </row>
    <row r="24187" spans="15:15" x14ac:dyDescent="0.25">
      <c r="O24187" s="20" t="str">
        <f>IF(N24187="","",COUNTIFS(RawData[[Date ]],N24187,RawData[Month List],$Q$6,RawData[Tour/Site],$Q$2,RawData[[Picker ID ]],$Q$3,RawData[Checker ID],$Q$4,RawData[[Error Type ]],$Q$5))</f>
        <v/>
      </c>
    </row>
    <row r="24188" spans="15:15" x14ac:dyDescent="0.25">
      <c r="O24188" s="20" t="str">
        <f>IF(N24188="","",COUNTIFS(RawData[[Date ]],N24188,RawData[Month List],$Q$6,RawData[Tour/Site],$Q$2,RawData[[Picker ID ]],$Q$3,RawData[Checker ID],$Q$4,RawData[[Error Type ]],$Q$5))</f>
        <v/>
      </c>
    </row>
    <row r="24189" spans="15:15" x14ac:dyDescent="0.25">
      <c r="O24189" s="20" t="str">
        <f>IF(N24189="","",COUNTIFS(RawData[[Date ]],N24189,RawData[Month List],$Q$6,RawData[Tour/Site],$Q$2,RawData[[Picker ID ]],$Q$3,RawData[Checker ID],$Q$4,RawData[[Error Type ]],$Q$5))</f>
        <v/>
      </c>
    </row>
    <row r="24190" spans="15:15" x14ac:dyDescent="0.25">
      <c r="O24190" s="20" t="str">
        <f>IF(N24190="","",COUNTIFS(RawData[[Date ]],N24190,RawData[Month List],$Q$6,RawData[Tour/Site],$Q$2,RawData[[Picker ID ]],$Q$3,RawData[Checker ID],$Q$4,RawData[[Error Type ]],$Q$5))</f>
        <v/>
      </c>
    </row>
    <row r="24191" spans="15:15" x14ac:dyDescent="0.25">
      <c r="O24191" s="20" t="str">
        <f>IF(N24191="","",COUNTIFS(RawData[[Date ]],N24191,RawData[Month List],$Q$6,RawData[Tour/Site],$Q$2,RawData[[Picker ID ]],$Q$3,RawData[Checker ID],$Q$4,RawData[[Error Type ]],$Q$5))</f>
        <v/>
      </c>
    </row>
    <row r="24192" spans="15:15" x14ac:dyDescent="0.25">
      <c r="O24192" s="20" t="str">
        <f>IF(N24192="","",COUNTIFS(RawData[[Date ]],N24192,RawData[Month List],$Q$6,RawData[Tour/Site],$Q$2,RawData[[Picker ID ]],$Q$3,RawData[Checker ID],$Q$4,RawData[[Error Type ]],$Q$5))</f>
        <v/>
      </c>
    </row>
    <row r="24193" spans="15:15" x14ac:dyDescent="0.25">
      <c r="O24193" s="20" t="str">
        <f>IF(N24193="","",COUNTIFS(RawData[[Date ]],N24193,RawData[Month List],$Q$6,RawData[Tour/Site],$Q$2,RawData[[Picker ID ]],$Q$3,RawData[Checker ID],$Q$4,RawData[[Error Type ]],$Q$5))</f>
        <v/>
      </c>
    </row>
    <row r="24194" spans="15:15" x14ac:dyDescent="0.25">
      <c r="O24194" s="20" t="str">
        <f>IF(N24194="","",COUNTIFS(RawData[[Date ]],N24194,RawData[Month List],$Q$6,RawData[Tour/Site],$Q$2,RawData[[Picker ID ]],$Q$3,RawData[Checker ID],$Q$4,RawData[[Error Type ]],$Q$5))</f>
        <v/>
      </c>
    </row>
    <row r="24195" spans="15:15" x14ac:dyDescent="0.25">
      <c r="O24195" s="20" t="str">
        <f>IF(N24195="","",COUNTIFS(RawData[[Date ]],N24195,RawData[Month List],$Q$6,RawData[Tour/Site],$Q$2,RawData[[Picker ID ]],$Q$3,RawData[Checker ID],$Q$4,RawData[[Error Type ]],$Q$5))</f>
        <v/>
      </c>
    </row>
    <row r="24196" spans="15:15" x14ac:dyDescent="0.25">
      <c r="O24196" s="20" t="str">
        <f>IF(N24196="","",COUNTIFS(RawData[[Date ]],N24196,RawData[Month List],$Q$6,RawData[Tour/Site],$Q$2,RawData[[Picker ID ]],$Q$3,RawData[Checker ID],$Q$4,RawData[[Error Type ]],$Q$5))</f>
        <v/>
      </c>
    </row>
    <row r="24197" spans="15:15" x14ac:dyDescent="0.25">
      <c r="O24197" s="20" t="str">
        <f>IF(N24197="","",COUNTIFS(RawData[[Date ]],N24197,RawData[Month List],$Q$6,RawData[Tour/Site],$Q$2,RawData[[Picker ID ]],$Q$3,RawData[Checker ID],$Q$4,RawData[[Error Type ]],$Q$5))</f>
        <v/>
      </c>
    </row>
    <row r="24198" spans="15:15" x14ac:dyDescent="0.25">
      <c r="O24198" s="20" t="str">
        <f>IF(N24198="","",COUNTIFS(RawData[[Date ]],N24198,RawData[Month List],$Q$6,RawData[Tour/Site],$Q$2,RawData[[Picker ID ]],$Q$3,RawData[Checker ID],$Q$4,RawData[[Error Type ]],$Q$5))</f>
        <v/>
      </c>
    </row>
    <row r="24199" spans="15:15" x14ac:dyDescent="0.25">
      <c r="O24199" s="20" t="str">
        <f>IF(N24199="","",COUNTIFS(RawData[[Date ]],N24199,RawData[Month List],$Q$6,RawData[Tour/Site],$Q$2,RawData[[Picker ID ]],$Q$3,RawData[Checker ID],$Q$4,RawData[[Error Type ]],$Q$5))</f>
        <v/>
      </c>
    </row>
    <row r="24200" spans="15:15" x14ac:dyDescent="0.25">
      <c r="O24200" s="20" t="str">
        <f>IF(N24200="","",COUNTIFS(RawData[[Date ]],N24200,RawData[Month List],$Q$6,RawData[Tour/Site],$Q$2,RawData[[Picker ID ]],$Q$3,RawData[Checker ID],$Q$4,RawData[[Error Type ]],$Q$5))</f>
        <v/>
      </c>
    </row>
    <row r="24201" spans="15:15" x14ac:dyDescent="0.25">
      <c r="O24201" s="20" t="str">
        <f>IF(N24201="","",COUNTIFS(RawData[[Date ]],N24201,RawData[Month List],$Q$6,RawData[Tour/Site],$Q$2,RawData[[Picker ID ]],$Q$3,RawData[Checker ID],$Q$4,RawData[[Error Type ]],$Q$5))</f>
        <v/>
      </c>
    </row>
    <row r="24202" spans="15:15" x14ac:dyDescent="0.25">
      <c r="O24202" s="20" t="str">
        <f>IF(N24202="","",COUNTIFS(RawData[[Date ]],N24202,RawData[Month List],$Q$6,RawData[Tour/Site],$Q$2,RawData[[Picker ID ]],$Q$3,RawData[Checker ID],$Q$4,RawData[[Error Type ]],$Q$5))</f>
        <v/>
      </c>
    </row>
    <row r="24203" spans="15:15" x14ac:dyDescent="0.25">
      <c r="O24203" s="20" t="str">
        <f>IF(N24203="","",COUNTIFS(RawData[[Date ]],N24203,RawData[Month List],$Q$6,RawData[Tour/Site],$Q$2,RawData[[Picker ID ]],$Q$3,RawData[Checker ID],$Q$4,RawData[[Error Type ]],$Q$5))</f>
        <v/>
      </c>
    </row>
    <row r="24204" spans="15:15" x14ac:dyDescent="0.25">
      <c r="O24204" s="20" t="str">
        <f>IF(N24204="","",COUNTIFS(RawData[[Date ]],N24204,RawData[Month List],$Q$6,RawData[Tour/Site],$Q$2,RawData[[Picker ID ]],$Q$3,RawData[Checker ID],$Q$4,RawData[[Error Type ]],$Q$5))</f>
        <v/>
      </c>
    </row>
    <row r="24205" spans="15:15" x14ac:dyDescent="0.25">
      <c r="O24205" s="20" t="str">
        <f>IF(N24205="","",COUNTIFS(RawData[[Date ]],N24205,RawData[Month List],$Q$6,RawData[Tour/Site],$Q$2,RawData[[Picker ID ]],$Q$3,RawData[Checker ID],$Q$4,RawData[[Error Type ]],$Q$5))</f>
        <v/>
      </c>
    </row>
    <row r="24206" spans="15:15" x14ac:dyDescent="0.25">
      <c r="O24206" s="20" t="str">
        <f>IF(N24206="","",COUNTIFS(RawData[[Date ]],N24206,RawData[Month List],$Q$6,RawData[Tour/Site],$Q$2,RawData[[Picker ID ]],$Q$3,RawData[Checker ID],$Q$4,RawData[[Error Type ]],$Q$5))</f>
        <v/>
      </c>
    </row>
    <row r="24207" spans="15:15" x14ac:dyDescent="0.25">
      <c r="O24207" s="20" t="str">
        <f>IF(N24207="","",COUNTIFS(RawData[[Date ]],N24207,RawData[Month List],$Q$6,RawData[Tour/Site],$Q$2,RawData[[Picker ID ]],$Q$3,RawData[Checker ID],$Q$4,RawData[[Error Type ]],$Q$5))</f>
        <v/>
      </c>
    </row>
    <row r="24208" spans="15:15" x14ac:dyDescent="0.25">
      <c r="O24208" s="20" t="str">
        <f>IF(N24208="","",COUNTIFS(RawData[[Date ]],N24208,RawData[Month List],$Q$6,RawData[Tour/Site],$Q$2,RawData[[Picker ID ]],$Q$3,RawData[Checker ID],$Q$4,RawData[[Error Type ]],$Q$5))</f>
        <v/>
      </c>
    </row>
    <row r="24209" spans="15:15" x14ac:dyDescent="0.25">
      <c r="O24209" s="20" t="str">
        <f>IF(N24209="","",COUNTIFS(RawData[[Date ]],N24209,RawData[Month List],$Q$6,RawData[Tour/Site],$Q$2,RawData[[Picker ID ]],$Q$3,RawData[Checker ID],$Q$4,RawData[[Error Type ]],$Q$5))</f>
        <v/>
      </c>
    </row>
    <row r="24210" spans="15:15" x14ac:dyDescent="0.25">
      <c r="O24210" s="20" t="str">
        <f>IF(N24210="","",COUNTIFS(RawData[[Date ]],N24210,RawData[Month List],$Q$6,RawData[Tour/Site],$Q$2,RawData[[Picker ID ]],$Q$3,RawData[Checker ID],$Q$4,RawData[[Error Type ]],$Q$5))</f>
        <v/>
      </c>
    </row>
    <row r="24211" spans="15:15" x14ac:dyDescent="0.25">
      <c r="O24211" s="20" t="str">
        <f>IF(N24211="","",COUNTIFS(RawData[[Date ]],N24211,RawData[Month List],$Q$6,RawData[Tour/Site],$Q$2,RawData[[Picker ID ]],$Q$3,RawData[Checker ID],$Q$4,RawData[[Error Type ]],$Q$5))</f>
        <v/>
      </c>
    </row>
    <row r="24212" spans="15:15" x14ac:dyDescent="0.25">
      <c r="O24212" s="20" t="str">
        <f>IF(N24212="","",COUNTIFS(RawData[[Date ]],N24212,RawData[Month List],$Q$6,RawData[Tour/Site],$Q$2,RawData[[Picker ID ]],$Q$3,RawData[Checker ID],$Q$4,RawData[[Error Type ]],$Q$5))</f>
        <v/>
      </c>
    </row>
    <row r="24213" spans="15:15" x14ac:dyDescent="0.25">
      <c r="O24213" s="20" t="str">
        <f>IF(N24213="","",COUNTIFS(RawData[[Date ]],N24213,RawData[Month List],$Q$6,RawData[Tour/Site],$Q$2,RawData[[Picker ID ]],$Q$3,RawData[Checker ID],$Q$4,RawData[[Error Type ]],$Q$5))</f>
        <v/>
      </c>
    </row>
    <row r="24214" spans="15:15" x14ac:dyDescent="0.25">
      <c r="O24214" s="20" t="str">
        <f>IF(N24214="","",COUNTIFS(RawData[[Date ]],N24214,RawData[Month List],$Q$6,RawData[Tour/Site],$Q$2,RawData[[Picker ID ]],$Q$3,RawData[Checker ID],$Q$4,RawData[[Error Type ]],$Q$5))</f>
        <v/>
      </c>
    </row>
    <row r="24215" spans="15:15" x14ac:dyDescent="0.25">
      <c r="O24215" s="20" t="str">
        <f>IF(N24215="","",COUNTIFS(RawData[[Date ]],N24215,RawData[Month List],$Q$6,RawData[Tour/Site],$Q$2,RawData[[Picker ID ]],$Q$3,RawData[Checker ID],$Q$4,RawData[[Error Type ]],$Q$5))</f>
        <v/>
      </c>
    </row>
    <row r="24216" spans="15:15" x14ac:dyDescent="0.25">
      <c r="O24216" s="20" t="str">
        <f>IF(N24216="","",COUNTIFS(RawData[[Date ]],N24216,RawData[Month List],$Q$6,RawData[Tour/Site],$Q$2,RawData[[Picker ID ]],$Q$3,RawData[Checker ID],$Q$4,RawData[[Error Type ]],$Q$5))</f>
        <v/>
      </c>
    </row>
    <row r="24217" spans="15:15" x14ac:dyDescent="0.25">
      <c r="O24217" s="20" t="str">
        <f>IF(N24217="","",COUNTIFS(RawData[[Date ]],N24217,RawData[Month List],$Q$6,RawData[Tour/Site],$Q$2,RawData[[Picker ID ]],$Q$3,RawData[Checker ID],$Q$4,RawData[[Error Type ]],$Q$5))</f>
        <v/>
      </c>
    </row>
    <row r="24218" spans="15:15" x14ac:dyDescent="0.25">
      <c r="O24218" s="20" t="str">
        <f>IF(N24218="","",COUNTIFS(RawData[[Date ]],N24218,RawData[Month List],$Q$6,RawData[Tour/Site],$Q$2,RawData[[Picker ID ]],$Q$3,RawData[Checker ID],$Q$4,RawData[[Error Type ]],$Q$5))</f>
        <v/>
      </c>
    </row>
    <row r="24219" spans="15:15" x14ac:dyDescent="0.25">
      <c r="O24219" s="20" t="str">
        <f>IF(N24219="","",COUNTIFS(RawData[[Date ]],N24219,RawData[Month List],$Q$6,RawData[Tour/Site],$Q$2,RawData[[Picker ID ]],$Q$3,RawData[Checker ID],$Q$4,RawData[[Error Type ]],$Q$5))</f>
        <v/>
      </c>
    </row>
    <row r="24220" spans="15:15" x14ac:dyDescent="0.25">
      <c r="O24220" s="20" t="str">
        <f>IF(N24220="","",COUNTIFS(RawData[[Date ]],N24220,RawData[Month List],$Q$6,RawData[Tour/Site],$Q$2,RawData[[Picker ID ]],$Q$3,RawData[Checker ID],$Q$4,RawData[[Error Type ]],$Q$5))</f>
        <v/>
      </c>
    </row>
    <row r="24221" spans="15:15" x14ac:dyDescent="0.25">
      <c r="O24221" s="20" t="str">
        <f>IF(N24221="","",COUNTIFS(RawData[[Date ]],N24221,RawData[Month List],$Q$6,RawData[Tour/Site],$Q$2,RawData[[Picker ID ]],$Q$3,RawData[Checker ID],$Q$4,RawData[[Error Type ]],$Q$5))</f>
        <v/>
      </c>
    </row>
    <row r="24222" spans="15:15" x14ac:dyDescent="0.25">
      <c r="O24222" s="20" t="str">
        <f>IF(N24222="","",COUNTIFS(RawData[[Date ]],N24222,RawData[Month List],$Q$6,RawData[Tour/Site],$Q$2,RawData[[Picker ID ]],$Q$3,RawData[Checker ID],$Q$4,RawData[[Error Type ]],$Q$5))</f>
        <v/>
      </c>
    </row>
    <row r="24223" spans="15:15" x14ac:dyDescent="0.25">
      <c r="O24223" s="20" t="str">
        <f>IF(N24223="","",COUNTIFS(RawData[[Date ]],N24223,RawData[Month List],$Q$6,RawData[Tour/Site],$Q$2,RawData[[Picker ID ]],$Q$3,RawData[Checker ID],$Q$4,RawData[[Error Type ]],$Q$5))</f>
        <v/>
      </c>
    </row>
    <row r="24224" spans="15:15" x14ac:dyDescent="0.25">
      <c r="O24224" s="20" t="str">
        <f>IF(N24224="","",COUNTIFS(RawData[[Date ]],N24224,RawData[Month List],$Q$6,RawData[Tour/Site],$Q$2,RawData[[Picker ID ]],$Q$3,RawData[Checker ID],$Q$4,RawData[[Error Type ]],$Q$5))</f>
        <v/>
      </c>
    </row>
    <row r="24225" spans="15:15" x14ac:dyDescent="0.25">
      <c r="O24225" s="20" t="str">
        <f>IF(N24225="","",COUNTIFS(RawData[[Date ]],N24225,RawData[Month List],$Q$6,RawData[Tour/Site],$Q$2,RawData[[Picker ID ]],$Q$3,RawData[Checker ID],$Q$4,RawData[[Error Type ]],$Q$5))</f>
        <v/>
      </c>
    </row>
    <row r="24226" spans="15:15" x14ac:dyDescent="0.25">
      <c r="O24226" s="20" t="str">
        <f>IF(N24226="","",COUNTIFS(RawData[[Date ]],N24226,RawData[Month List],$Q$6,RawData[Tour/Site],$Q$2,RawData[[Picker ID ]],$Q$3,RawData[Checker ID],$Q$4,RawData[[Error Type ]],$Q$5))</f>
        <v/>
      </c>
    </row>
    <row r="24227" spans="15:15" x14ac:dyDescent="0.25">
      <c r="O24227" s="20" t="str">
        <f>IF(N24227="","",COUNTIFS(RawData[[Date ]],N24227,RawData[Month List],$Q$6,RawData[Tour/Site],$Q$2,RawData[[Picker ID ]],$Q$3,RawData[Checker ID],$Q$4,RawData[[Error Type ]],$Q$5))</f>
        <v/>
      </c>
    </row>
    <row r="24228" spans="15:15" x14ac:dyDescent="0.25">
      <c r="O24228" s="20" t="str">
        <f>IF(N24228="","",COUNTIFS(RawData[[Date ]],N24228,RawData[Month List],$Q$6,RawData[Tour/Site],$Q$2,RawData[[Picker ID ]],$Q$3,RawData[Checker ID],$Q$4,RawData[[Error Type ]],$Q$5))</f>
        <v/>
      </c>
    </row>
    <row r="24229" spans="15:15" x14ac:dyDescent="0.25">
      <c r="O24229" s="20" t="str">
        <f>IF(N24229="","",COUNTIFS(RawData[[Date ]],N24229,RawData[Month List],$Q$6,RawData[Tour/Site],$Q$2,RawData[[Picker ID ]],$Q$3,RawData[Checker ID],$Q$4,RawData[[Error Type ]],$Q$5))</f>
        <v/>
      </c>
    </row>
    <row r="24230" spans="15:15" x14ac:dyDescent="0.25">
      <c r="O24230" s="20" t="str">
        <f>IF(N24230="","",COUNTIFS(RawData[[Date ]],N24230,RawData[Month List],$Q$6,RawData[Tour/Site],$Q$2,RawData[[Picker ID ]],$Q$3,RawData[Checker ID],$Q$4,RawData[[Error Type ]],$Q$5))</f>
        <v/>
      </c>
    </row>
    <row r="24231" spans="15:15" x14ac:dyDescent="0.25">
      <c r="O24231" s="20" t="str">
        <f>IF(N24231="","",COUNTIFS(RawData[[Date ]],N24231,RawData[Month List],$Q$6,RawData[Tour/Site],$Q$2,RawData[[Picker ID ]],$Q$3,RawData[Checker ID],$Q$4,RawData[[Error Type ]],$Q$5))</f>
        <v/>
      </c>
    </row>
    <row r="24232" spans="15:15" x14ac:dyDescent="0.25">
      <c r="O24232" s="20" t="str">
        <f>IF(N24232="","",COUNTIFS(RawData[[Date ]],N24232,RawData[Month List],$Q$6,RawData[Tour/Site],$Q$2,RawData[[Picker ID ]],$Q$3,RawData[Checker ID],$Q$4,RawData[[Error Type ]],$Q$5))</f>
        <v/>
      </c>
    </row>
    <row r="24233" spans="15:15" x14ac:dyDescent="0.25">
      <c r="O24233" s="20" t="str">
        <f>IF(N24233="","",COUNTIFS(RawData[[Date ]],N24233,RawData[Month List],$Q$6,RawData[Tour/Site],$Q$2,RawData[[Picker ID ]],$Q$3,RawData[Checker ID],$Q$4,RawData[[Error Type ]],$Q$5))</f>
        <v/>
      </c>
    </row>
    <row r="24234" spans="15:15" x14ac:dyDescent="0.25">
      <c r="O24234" s="20" t="str">
        <f>IF(N24234="","",COUNTIFS(RawData[[Date ]],N24234,RawData[Month List],$Q$6,RawData[Tour/Site],$Q$2,RawData[[Picker ID ]],$Q$3,RawData[Checker ID],$Q$4,RawData[[Error Type ]],$Q$5))</f>
        <v/>
      </c>
    </row>
    <row r="24235" spans="15:15" x14ac:dyDescent="0.25">
      <c r="O24235" s="20" t="str">
        <f>IF(N24235="","",COUNTIFS(RawData[[Date ]],N24235,RawData[Month List],$Q$6,RawData[Tour/Site],$Q$2,RawData[[Picker ID ]],$Q$3,RawData[Checker ID],$Q$4,RawData[[Error Type ]],$Q$5))</f>
        <v/>
      </c>
    </row>
    <row r="24236" spans="15:15" x14ac:dyDescent="0.25">
      <c r="O24236" s="20" t="str">
        <f>IF(N24236="","",COUNTIFS(RawData[[Date ]],N24236,RawData[Month List],$Q$6,RawData[Tour/Site],$Q$2,RawData[[Picker ID ]],$Q$3,RawData[Checker ID],$Q$4,RawData[[Error Type ]],$Q$5))</f>
        <v/>
      </c>
    </row>
    <row r="24237" spans="15:15" x14ac:dyDescent="0.25">
      <c r="O24237" s="20" t="str">
        <f>IF(N24237="","",COUNTIFS(RawData[[Date ]],N24237,RawData[Month List],$Q$6,RawData[Tour/Site],$Q$2,RawData[[Picker ID ]],$Q$3,RawData[Checker ID],$Q$4,RawData[[Error Type ]],$Q$5))</f>
        <v/>
      </c>
    </row>
    <row r="24238" spans="15:15" x14ac:dyDescent="0.25">
      <c r="O24238" s="20" t="str">
        <f>IF(N24238="","",COUNTIFS(RawData[[Date ]],N24238,RawData[Month List],$Q$6,RawData[Tour/Site],$Q$2,RawData[[Picker ID ]],$Q$3,RawData[Checker ID],$Q$4,RawData[[Error Type ]],$Q$5))</f>
        <v/>
      </c>
    </row>
    <row r="24239" spans="15:15" x14ac:dyDescent="0.25">
      <c r="O24239" s="20" t="str">
        <f>IF(N24239="","",COUNTIFS(RawData[[Date ]],N24239,RawData[Month List],$Q$6,RawData[Tour/Site],$Q$2,RawData[[Picker ID ]],$Q$3,RawData[Checker ID],$Q$4,RawData[[Error Type ]],$Q$5))</f>
        <v/>
      </c>
    </row>
    <row r="24240" spans="15:15" x14ac:dyDescent="0.25">
      <c r="O24240" s="20" t="str">
        <f>IF(N24240="","",COUNTIFS(RawData[[Date ]],N24240,RawData[Month List],$Q$6,RawData[Tour/Site],$Q$2,RawData[[Picker ID ]],$Q$3,RawData[Checker ID],$Q$4,RawData[[Error Type ]],$Q$5))</f>
        <v/>
      </c>
    </row>
    <row r="24241" spans="15:15" x14ac:dyDescent="0.25">
      <c r="O24241" s="20" t="str">
        <f>IF(N24241="","",COUNTIFS(RawData[[Date ]],N24241,RawData[Month List],$Q$6,RawData[Tour/Site],$Q$2,RawData[[Picker ID ]],$Q$3,RawData[Checker ID],$Q$4,RawData[[Error Type ]],$Q$5))</f>
        <v/>
      </c>
    </row>
    <row r="24242" spans="15:15" x14ac:dyDescent="0.25">
      <c r="O24242" s="20" t="str">
        <f>IF(N24242="","",COUNTIFS(RawData[[Date ]],N24242,RawData[Month List],$Q$6,RawData[Tour/Site],$Q$2,RawData[[Picker ID ]],$Q$3,RawData[Checker ID],$Q$4,RawData[[Error Type ]],$Q$5))</f>
        <v/>
      </c>
    </row>
    <row r="24243" spans="15:15" x14ac:dyDescent="0.25">
      <c r="O24243" s="20" t="str">
        <f>IF(N24243="","",COUNTIFS(RawData[[Date ]],N24243,RawData[Month List],$Q$6,RawData[Tour/Site],$Q$2,RawData[[Picker ID ]],$Q$3,RawData[Checker ID],$Q$4,RawData[[Error Type ]],$Q$5))</f>
        <v/>
      </c>
    </row>
    <row r="24244" spans="15:15" x14ac:dyDescent="0.25">
      <c r="O24244" s="20" t="str">
        <f>IF(N24244="","",COUNTIFS(RawData[[Date ]],N24244,RawData[Month List],$Q$6,RawData[Tour/Site],$Q$2,RawData[[Picker ID ]],$Q$3,RawData[Checker ID],$Q$4,RawData[[Error Type ]],$Q$5))</f>
        <v/>
      </c>
    </row>
    <row r="24245" spans="15:15" x14ac:dyDescent="0.25">
      <c r="O24245" s="20" t="str">
        <f>IF(N24245="","",COUNTIFS(RawData[[Date ]],N24245,RawData[Month List],$Q$6,RawData[Tour/Site],$Q$2,RawData[[Picker ID ]],$Q$3,RawData[Checker ID],$Q$4,RawData[[Error Type ]],$Q$5))</f>
        <v/>
      </c>
    </row>
    <row r="24246" spans="15:15" x14ac:dyDescent="0.25">
      <c r="O24246" s="20" t="str">
        <f>IF(N24246="","",COUNTIFS(RawData[[Date ]],N24246,RawData[Month List],$Q$6,RawData[Tour/Site],$Q$2,RawData[[Picker ID ]],$Q$3,RawData[Checker ID],$Q$4,RawData[[Error Type ]],$Q$5))</f>
        <v/>
      </c>
    </row>
    <row r="24247" spans="15:15" x14ac:dyDescent="0.25">
      <c r="O24247" s="20" t="str">
        <f>IF(N24247="","",COUNTIFS(RawData[[Date ]],N24247,RawData[Month List],$Q$6,RawData[Tour/Site],$Q$2,RawData[[Picker ID ]],$Q$3,RawData[Checker ID],$Q$4,RawData[[Error Type ]],$Q$5))</f>
        <v/>
      </c>
    </row>
    <row r="24248" spans="15:15" x14ac:dyDescent="0.25">
      <c r="O24248" s="20" t="str">
        <f>IF(N24248="","",COUNTIFS(RawData[[Date ]],N24248,RawData[Month List],$Q$6,RawData[Tour/Site],$Q$2,RawData[[Picker ID ]],$Q$3,RawData[Checker ID],$Q$4,RawData[[Error Type ]],$Q$5))</f>
        <v/>
      </c>
    </row>
    <row r="24249" spans="15:15" x14ac:dyDescent="0.25">
      <c r="O24249" s="20" t="str">
        <f>IF(N24249="","",COUNTIFS(RawData[[Date ]],N24249,RawData[Month List],$Q$6,RawData[Tour/Site],$Q$2,RawData[[Picker ID ]],$Q$3,RawData[Checker ID],$Q$4,RawData[[Error Type ]],$Q$5))</f>
        <v/>
      </c>
    </row>
    <row r="24250" spans="15:15" x14ac:dyDescent="0.25">
      <c r="O24250" s="20" t="str">
        <f>IF(N24250="","",COUNTIFS(RawData[[Date ]],N24250,RawData[Month List],$Q$6,RawData[Tour/Site],$Q$2,RawData[[Picker ID ]],$Q$3,RawData[Checker ID],$Q$4,RawData[[Error Type ]],$Q$5))</f>
        <v/>
      </c>
    </row>
    <row r="24251" spans="15:15" x14ac:dyDescent="0.25">
      <c r="O24251" s="20" t="str">
        <f>IF(N24251="","",COUNTIFS(RawData[[Date ]],N24251,RawData[Month List],$Q$6,RawData[Tour/Site],$Q$2,RawData[[Picker ID ]],$Q$3,RawData[Checker ID],$Q$4,RawData[[Error Type ]],$Q$5))</f>
        <v/>
      </c>
    </row>
    <row r="24252" spans="15:15" x14ac:dyDescent="0.25">
      <c r="O24252" s="20" t="str">
        <f>IF(N24252="","",COUNTIFS(RawData[[Date ]],N24252,RawData[Month List],$Q$6,RawData[Tour/Site],$Q$2,RawData[[Picker ID ]],$Q$3,RawData[Checker ID],$Q$4,RawData[[Error Type ]],$Q$5))</f>
        <v/>
      </c>
    </row>
    <row r="24253" spans="15:15" x14ac:dyDescent="0.25">
      <c r="O24253" s="20" t="str">
        <f>IF(N24253="","",COUNTIFS(RawData[[Date ]],N24253,RawData[Month List],$Q$6,RawData[Tour/Site],$Q$2,RawData[[Picker ID ]],$Q$3,RawData[Checker ID],$Q$4,RawData[[Error Type ]],$Q$5))</f>
        <v/>
      </c>
    </row>
    <row r="24254" spans="15:15" x14ac:dyDescent="0.25">
      <c r="O24254" s="20" t="str">
        <f>IF(N24254="","",COUNTIFS(RawData[[Date ]],N24254,RawData[Month List],$Q$6,RawData[Tour/Site],$Q$2,RawData[[Picker ID ]],$Q$3,RawData[Checker ID],$Q$4,RawData[[Error Type ]],$Q$5))</f>
        <v/>
      </c>
    </row>
    <row r="24255" spans="15:15" x14ac:dyDescent="0.25">
      <c r="O24255" s="20" t="str">
        <f>IF(N24255="","",COUNTIFS(RawData[[Date ]],N24255,RawData[Month List],$Q$6,RawData[Tour/Site],$Q$2,RawData[[Picker ID ]],$Q$3,RawData[Checker ID],$Q$4,RawData[[Error Type ]],$Q$5))</f>
        <v/>
      </c>
    </row>
    <row r="24256" spans="15:15" x14ac:dyDescent="0.25">
      <c r="O24256" s="20" t="str">
        <f>IF(N24256="","",COUNTIFS(RawData[[Date ]],N24256,RawData[Month List],$Q$6,RawData[Tour/Site],$Q$2,RawData[[Picker ID ]],$Q$3,RawData[Checker ID],$Q$4,RawData[[Error Type ]],$Q$5))</f>
        <v/>
      </c>
    </row>
    <row r="24257" spans="15:15" x14ac:dyDescent="0.25">
      <c r="O24257" s="20" t="str">
        <f>IF(N24257="","",COUNTIFS(RawData[[Date ]],N24257,RawData[Month List],$Q$6,RawData[Tour/Site],$Q$2,RawData[[Picker ID ]],$Q$3,RawData[Checker ID],$Q$4,RawData[[Error Type ]],$Q$5))</f>
        <v/>
      </c>
    </row>
    <row r="24258" spans="15:15" x14ac:dyDescent="0.25">
      <c r="O24258" s="20" t="str">
        <f>IF(N24258="","",COUNTIFS(RawData[[Date ]],N24258,RawData[Month List],$Q$6,RawData[Tour/Site],$Q$2,RawData[[Picker ID ]],$Q$3,RawData[Checker ID],$Q$4,RawData[[Error Type ]],$Q$5))</f>
        <v/>
      </c>
    </row>
    <row r="24259" spans="15:15" x14ac:dyDescent="0.25">
      <c r="O24259" s="20" t="str">
        <f>IF(N24259="","",COUNTIFS(RawData[[Date ]],N24259,RawData[Month List],$Q$6,RawData[Tour/Site],$Q$2,RawData[[Picker ID ]],$Q$3,RawData[Checker ID],$Q$4,RawData[[Error Type ]],$Q$5))</f>
        <v/>
      </c>
    </row>
    <row r="24260" spans="15:15" x14ac:dyDescent="0.25">
      <c r="O24260" s="20" t="str">
        <f>IF(N24260="","",COUNTIFS(RawData[[Date ]],N24260,RawData[Month List],$Q$6,RawData[Tour/Site],$Q$2,RawData[[Picker ID ]],$Q$3,RawData[Checker ID],$Q$4,RawData[[Error Type ]],$Q$5))</f>
        <v/>
      </c>
    </row>
    <row r="24261" spans="15:15" x14ac:dyDescent="0.25">
      <c r="O24261" s="20" t="str">
        <f>IF(N24261="","",COUNTIFS(RawData[[Date ]],N24261,RawData[Month List],$Q$6,RawData[Tour/Site],$Q$2,RawData[[Picker ID ]],$Q$3,RawData[Checker ID],$Q$4,RawData[[Error Type ]],$Q$5))</f>
        <v/>
      </c>
    </row>
    <row r="24262" spans="15:15" x14ac:dyDescent="0.25">
      <c r="O24262" s="20" t="str">
        <f>IF(N24262="","",COUNTIFS(RawData[[Date ]],N24262,RawData[Month List],$Q$6,RawData[Tour/Site],$Q$2,RawData[[Picker ID ]],$Q$3,RawData[Checker ID],$Q$4,RawData[[Error Type ]],$Q$5))</f>
        <v/>
      </c>
    </row>
    <row r="24263" spans="15:15" x14ac:dyDescent="0.25">
      <c r="O24263" s="20" t="str">
        <f>IF(N24263="","",COUNTIFS(RawData[[Date ]],N24263,RawData[Month List],$Q$6,RawData[Tour/Site],$Q$2,RawData[[Picker ID ]],$Q$3,RawData[Checker ID],$Q$4,RawData[[Error Type ]],$Q$5))</f>
        <v/>
      </c>
    </row>
    <row r="24264" spans="15:15" x14ac:dyDescent="0.25">
      <c r="O24264" s="20" t="str">
        <f>IF(N24264="","",COUNTIFS(RawData[[Date ]],N24264,RawData[Month List],$Q$6,RawData[Tour/Site],$Q$2,RawData[[Picker ID ]],$Q$3,RawData[Checker ID],$Q$4,RawData[[Error Type ]],$Q$5))</f>
        <v/>
      </c>
    </row>
    <row r="24265" spans="15:15" x14ac:dyDescent="0.25">
      <c r="O24265" s="20" t="str">
        <f>IF(N24265="","",COUNTIFS(RawData[[Date ]],N24265,RawData[Month List],$Q$6,RawData[Tour/Site],$Q$2,RawData[[Picker ID ]],$Q$3,RawData[Checker ID],$Q$4,RawData[[Error Type ]],$Q$5))</f>
        <v/>
      </c>
    </row>
    <row r="24266" spans="15:15" x14ac:dyDescent="0.25">
      <c r="O24266" s="20" t="str">
        <f>IF(N24266="","",COUNTIFS(RawData[[Date ]],N24266,RawData[Month List],$Q$6,RawData[Tour/Site],$Q$2,RawData[[Picker ID ]],$Q$3,RawData[Checker ID],$Q$4,RawData[[Error Type ]],$Q$5))</f>
        <v/>
      </c>
    </row>
    <row r="24267" spans="15:15" x14ac:dyDescent="0.25">
      <c r="O24267" s="20" t="str">
        <f>IF(N24267="","",COUNTIFS(RawData[[Date ]],N24267,RawData[Month List],$Q$6,RawData[Tour/Site],$Q$2,RawData[[Picker ID ]],$Q$3,RawData[Checker ID],$Q$4,RawData[[Error Type ]],$Q$5))</f>
        <v/>
      </c>
    </row>
    <row r="24268" spans="15:15" x14ac:dyDescent="0.25">
      <c r="O24268" s="20" t="str">
        <f>IF(N24268="","",COUNTIFS(RawData[[Date ]],N24268,RawData[Month List],$Q$6,RawData[Tour/Site],$Q$2,RawData[[Picker ID ]],$Q$3,RawData[Checker ID],$Q$4,RawData[[Error Type ]],$Q$5))</f>
        <v/>
      </c>
    </row>
    <row r="24269" spans="15:15" x14ac:dyDescent="0.25">
      <c r="O24269" s="20" t="str">
        <f>IF(N24269="","",COUNTIFS(RawData[[Date ]],N24269,RawData[Month List],$Q$6,RawData[Tour/Site],$Q$2,RawData[[Picker ID ]],$Q$3,RawData[Checker ID],$Q$4,RawData[[Error Type ]],$Q$5))</f>
        <v/>
      </c>
    </row>
    <row r="24270" spans="15:15" x14ac:dyDescent="0.25">
      <c r="O24270" s="20" t="str">
        <f>IF(N24270="","",COUNTIFS(RawData[[Date ]],N24270,RawData[Month List],$Q$6,RawData[Tour/Site],$Q$2,RawData[[Picker ID ]],$Q$3,RawData[Checker ID],$Q$4,RawData[[Error Type ]],$Q$5))</f>
        <v/>
      </c>
    </row>
    <row r="24271" spans="15:15" x14ac:dyDescent="0.25">
      <c r="O24271" s="20" t="str">
        <f>IF(N24271="","",COUNTIFS(RawData[[Date ]],N24271,RawData[Month List],$Q$6,RawData[Tour/Site],$Q$2,RawData[[Picker ID ]],$Q$3,RawData[Checker ID],$Q$4,RawData[[Error Type ]],$Q$5))</f>
        <v/>
      </c>
    </row>
    <row r="24272" spans="15:15" x14ac:dyDescent="0.25">
      <c r="O24272" s="20" t="str">
        <f>IF(N24272="","",COUNTIFS(RawData[[Date ]],N24272,RawData[Month List],$Q$6,RawData[Tour/Site],$Q$2,RawData[[Picker ID ]],$Q$3,RawData[Checker ID],$Q$4,RawData[[Error Type ]],$Q$5))</f>
        <v/>
      </c>
    </row>
    <row r="24273" spans="15:15" x14ac:dyDescent="0.25">
      <c r="O24273" s="20" t="str">
        <f>IF(N24273="","",COUNTIFS(RawData[[Date ]],N24273,RawData[Month List],$Q$6,RawData[Tour/Site],$Q$2,RawData[[Picker ID ]],$Q$3,RawData[Checker ID],$Q$4,RawData[[Error Type ]],$Q$5))</f>
        <v/>
      </c>
    </row>
    <row r="24274" spans="15:15" x14ac:dyDescent="0.25">
      <c r="O24274" s="20" t="str">
        <f>IF(N24274="","",COUNTIFS(RawData[[Date ]],N24274,RawData[Month List],$Q$6,RawData[Tour/Site],$Q$2,RawData[[Picker ID ]],$Q$3,RawData[Checker ID],$Q$4,RawData[[Error Type ]],$Q$5))</f>
        <v/>
      </c>
    </row>
    <row r="24275" spans="15:15" x14ac:dyDescent="0.25">
      <c r="O24275" s="20" t="str">
        <f>IF(N24275="","",COUNTIFS(RawData[[Date ]],N24275,RawData[Month List],$Q$6,RawData[Tour/Site],$Q$2,RawData[[Picker ID ]],$Q$3,RawData[Checker ID],$Q$4,RawData[[Error Type ]],$Q$5))</f>
        <v/>
      </c>
    </row>
    <row r="24276" spans="15:15" x14ac:dyDescent="0.25">
      <c r="O24276" s="20" t="str">
        <f>IF(N24276="","",COUNTIFS(RawData[[Date ]],N24276,RawData[Month List],$Q$6,RawData[Tour/Site],$Q$2,RawData[[Picker ID ]],$Q$3,RawData[Checker ID],$Q$4,RawData[[Error Type ]],$Q$5))</f>
        <v/>
      </c>
    </row>
    <row r="24277" spans="15:15" x14ac:dyDescent="0.25">
      <c r="O24277" s="20" t="str">
        <f>IF(N24277="","",COUNTIFS(RawData[[Date ]],N24277,RawData[Month List],$Q$6,RawData[Tour/Site],$Q$2,RawData[[Picker ID ]],$Q$3,RawData[Checker ID],$Q$4,RawData[[Error Type ]],$Q$5))</f>
        <v/>
      </c>
    </row>
    <row r="24278" spans="15:15" x14ac:dyDescent="0.25">
      <c r="O24278" s="20" t="str">
        <f>IF(N24278="","",COUNTIFS(RawData[[Date ]],N24278,RawData[Month List],$Q$6,RawData[Tour/Site],$Q$2,RawData[[Picker ID ]],$Q$3,RawData[Checker ID],$Q$4,RawData[[Error Type ]],$Q$5))</f>
        <v/>
      </c>
    </row>
    <row r="24279" spans="15:15" x14ac:dyDescent="0.25">
      <c r="O24279" s="20" t="str">
        <f>IF(N24279="","",COUNTIFS(RawData[[Date ]],N24279,RawData[Month List],$Q$6,RawData[Tour/Site],$Q$2,RawData[[Picker ID ]],$Q$3,RawData[Checker ID],$Q$4,RawData[[Error Type ]],$Q$5))</f>
        <v/>
      </c>
    </row>
    <row r="24280" spans="15:15" x14ac:dyDescent="0.25">
      <c r="O24280" s="20" t="str">
        <f>IF(N24280="","",COUNTIFS(RawData[[Date ]],N24280,RawData[Month List],$Q$6,RawData[Tour/Site],$Q$2,RawData[[Picker ID ]],$Q$3,RawData[Checker ID],$Q$4,RawData[[Error Type ]],$Q$5))</f>
        <v/>
      </c>
    </row>
    <row r="24281" spans="15:15" x14ac:dyDescent="0.25">
      <c r="O24281" s="20" t="str">
        <f>IF(N24281="","",COUNTIFS(RawData[[Date ]],N24281,RawData[Month List],$Q$6,RawData[Tour/Site],$Q$2,RawData[[Picker ID ]],$Q$3,RawData[Checker ID],$Q$4,RawData[[Error Type ]],$Q$5))</f>
        <v/>
      </c>
    </row>
    <row r="24282" spans="15:15" x14ac:dyDescent="0.25">
      <c r="O24282" s="20" t="str">
        <f>IF(N24282="","",COUNTIFS(RawData[[Date ]],N24282,RawData[Month List],$Q$6,RawData[Tour/Site],$Q$2,RawData[[Picker ID ]],$Q$3,RawData[Checker ID],$Q$4,RawData[[Error Type ]],$Q$5))</f>
        <v/>
      </c>
    </row>
    <row r="24283" spans="15:15" x14ac:dyDescent="0.25">
      <c r="O24283" s="20" t="str">
        <f>IF(N24283="","",COUNTIFS(RawData[[Date ]],N24283,RawData[Month List],$Q$6,RawData[Tour/Site],$Q$2,RawData[[Picker ID ]],$Q$3,RawData[Checker ID],$Q$4,RawData[[Error Type ]],$Q$5))</f>
        <v/>
      </c>
    </row>
    <row r="24284" spans="15:15" x14ac:dyDescent="0.25">
      <c r="O24284" s="20" t="str">
        <f>IF(N24284="","",COUNTIFS(RawData[[Date ]],N24284,RawData[Month List],$Q$6,RawData[Tour/Site],$Q$2,RawData[[Picker ID ]],$Q$3,RawData[Checker ID],$Q$4,RawData[[Error Type ]],$Q$5))</f>
        <v/>
      </c>
    </row>
    <row r="24285" spans="15:15" x14ac:dyDescent="0.25">
      <c r="O24285" s="20" t="str">
        <f>IF(N24285="","",COUNTIFS(RawData[[Date ]],N24285,RawData[Month List],$Q$6,RawData[Tour/Site],$Q$2,RawData[[Picker ID ]],$Q$3,RawData[Checker ID],$Q$4,RawData[[Error Type ]],$Q$5))</f>
        <v/>
      </c>
    </row>
    <row r="24286" spans="15:15" x14ac:dyDescent="0.25">
      <c r="O24286" s="20" t="str">
        <f>IF(N24286="","",COUNTIFS(RawData[[Date ]],N24286,RawData[Month List],$Q$6,RawData[Tour/Site],$Q$2,RawData[[Picker ID ]],$Q$3,RawData[Checker ID],$Q$4,RawData[[Error Type ]],$Q$5))</f>
        <v/>
      </c>
    </row>
    <row r="24287" spans="15:15" x14ac:dyDescent="0.25">
      <c r="O24287" s="20" t="str">
        <f>IF(N24287="","",COUNTIFS(RawData[[Date ]],N24287,RawData[Month List],$Q$6,RawData[Tour/Site],$Q$2,RawData[[Picker ID ]],$Q$3,RawData[Checker ID],$Q$4,RawData[[Error Type ]],$Q$5))</f>
        <v/>
      </c>
    </row>
    <row r="24288" spans="15:15" x14ac:dyDescent="0.25">
      <c r="O24288" s="20" t="str">
        <f>IF(N24288="","",COUNTIFS(RawData[[Date ]],N24288,RawData[Month List],$Q$6,RawData[Tour/Site],$Q$2,RawData[[Picker ID ]],$Q$3,RawData[Checker ID],$Q$4,RawData[[Error Type ]],$Q$5))</f>
        <v/>
      </c>
    </row>
    <row r="24289" spans="15:15" x14ac:dyDescent="0.25">
      <c r="O24289" s="20" t="str">
        <f>IF(N24289="","",COUNTIFS(RawData[[Date ]],N24289,RawData[Month List],$Q$6,RawData[Tour/Site],$Q$2,RawData[[Picker ID ]],$Q$3,RawData[Checker ID],$Q$4,RawData[[Error Type ]],$Q$5))</f>
        <v/>
      </c>
    </row>
    <row r="24290" spans="15:15" x14ac:dyDescent="0.25">
      <c r="O24290" s="20" t="str">
        <f>IF(N24290="","",COUNTIFS(RawData[[Date ]],N24290,RawData[Month List],$Q$6,RawData[Tour/Site],$Q$2,RawData[[Picker ID ]],$Q$3,RawData[Checker ID],$Q$4,RawData[[Error Type ]],$Q$5))</f>
        <v/>
      </c>
    </row>
    <row r="24291" spans="15:15" x14ac:dyDescent="0.25">
      <c r="O24291" s="20" t="str">
        <f>IF(N24291="","",COUNTIFS(RawData[[Date ]],N24291,RawData[Month List],$Q$6,RawData[Tour/Site],$Q$2,RawData[[Picker ID ]],$Q$3,RawData[Checker ID],$Q$4,RawData[[Error Type ]],$Q$5))</f>
        <v/>
      </c>
    </row>
    <row r="24292" spans="15:15" x14ac:dyDescent="0.25">
      <c r="O24292" s="20" t="str">
        <f>IF(N24292="","",COUNTIFS(RawData[[Date ]],N24292,RawData[Month List],$Q$6,RawData[Tour/Site],$Q$2,RawData[[Picker ID ]],$Q$3,RawData[Checker ID],$Q$4,RawData[[Error Type ]],$Q$5))</f>
        <v/>
      </c>
    </row>
    <row r="24293" spans="15:15" x14ac:dyDescent="0.25">
      <c r="O24293" s="20" t="str">
        <f>IF(N24293="","",COUNTIFS(RawData[[Date ]],N24293,RawData[Month List],$Q$6,RawData[Tour/Site],$Q$2,RawData[[Picker ID ]],$Q$3,RawData[Checker ID],$Q$4,RawData[[Error Type ]],$Q$5))</f>
        <v/>
      </c>
    </row>
    <row r="24294" spans="15:15" x14ac:dyDescent="0.25">
      <c r="O24294" s="20" t="str">
        <f>IF(N24294="","",COUNTIFS(RawData[[Date ]],N24294,RawData[Month List],$Q$6,RawData[Tour/Site],$Q$2,RawData[[Picker ID ]],$Q$3,RawData[Checker ID],$Q$4,RawData[[Error Type ]],$Q$5))</f>
        <v/>
      </c>
    </row>
    <row r="24295" spans="15:15" x14ac:dyDescent="0.25">
      <c r="O24295" s="20" t="str">
        <f>IF(N24295="","",COUNTIFS(RawData[[Date ]],N24295,RawData[Month List],$Q$6,RawData[Tour/Site],$Q$2,RawData[[Picker ID ]],$Q$3,RawData[Checker ID],$Q$4,RawData[[Error Type ]],$Q$5))</f>
        <v/>
      </c>
    </row>
    <row r="24296" spans="15:15" x14ac:dyDescent="0.25">
      <c r="O24296" s="20" t="str">
        <f>IF(N24296="","",COUNTIFS(RawData[[Date ]],N24296,RawData[Month List],$Q$6,RawData[Tour/Site],$Q$2,RawData[[Picker ID ]],$Q$3,RawData[Checker ID],$Q$4,RawData[[Error Type ]],$Q$5))</f>
        <v/>
      </c>
    </row>
    <row r="24297" spans="15:15" x14ac:dyDescent="0.25">
      <c r="O24297" s="20" t="str">
        <f>IF(N24297="","",COUNTIFS(RawData[[Date ]],N24297,RawData[Month List],$Q$6,RawData[Tour/Site],$Q$2,RawData[[Picker ID ]],$Q$3,RawData[Checker ID],$Q$4,RawData[[Error Type ]],$Q$5))</f>
        <v/>
      </c>
    </row>
    <row r="24298" spans="15:15" x14ac:dyDescent="0.25">
      <c r="O24298" s="20" t="str">
        <f>IF(N24298="","",COUNTIFS(RawData[[Date ]],N24298,RawData[Month List],$Q$6,RawData[Tour/Site],$Q$2,RawData[[Picker ID ]],$Q$3,RawData[Checker ID],$Q$4,RawData[[Error Type ]],$Q$5))</f>
        <v/>
      </c>
    </row>
    <row r="24299" spans="15:15" x14ac:dyDescent="0.25">
      <c r="O24299" s="20" t="str">
        <f>IF(N24299="","",COUNTIFS(RawData[[Date ]],N24299,RawData[Month List],$Q$6,RawData[Tour/Site],$Q$2,RawData[[Picker ID ]],$Q$3,RawData[Checker ID],$Q$4,RawData[[Error Type ]],$Q$5))</f>
        <v/>
      </c>
    </row>
    <row r="24300" spans="15:15" x14ac:dyDescent="0.25">
      <c r="O24300" s="20" t="str">
        <f>IF(N24300="","",COUNTIFS(RawData[[Date ]],N24300,RawData[Month List],$Q$6,RawData[Tour/Site],$Q$2,RawData[[Picker ID ]],$Q$3,RawData[Checker ID],$Q$4,RawData[[Error Type ]],$Q$5))</f>
        <v/>
      </c>
    </row>
    <row r="24301" spans="15:15" x14ac:dyDescent="0.25">
      <c r="O24301" s="20" t="str">
        <f>IF(N24301="","",COUNTIFS(RawData[[Date ]],N24301,RawData[Month List],$Q$6,RawData[Tour/Site],$Q$2,RawData[[Picker ID ]],$Q$3,RawData[Checker ID],$Q$4,RawData[[Error Type ]],$Q$5))</f>
        <v/>
      </c>
    </row>
    <row r="24302" spans="15:15" x14ac:dyDescent="0.25">
      <c r="O24302" s="20" t="str">
        <f>IF(N24302="","",COUNTIFS(RawData[[Date ]],N24302,RawData[Month List],$Q$6,RawData[Tour/Site],$Q$2,RawData[[Picker ID ]],$Q$3,RawData[Checker ID],$Q$4,RawData[[Error Type ]],$Q$5))</f>
        <v/>
      </c>
    </row>
    <row r="24303" spans="15:15" x14ac:dyDescent="0.25">
      <c r="O24303" s="20" t="str">
        <f>IF(N24303="","",COUNTIFS(RawData[[Date ]],N24303,RawData[Month List],$Q$6,RawData[Tour/Site],$Q$2,RawData[[Picker ID ]],$Q$3,RawData[Checker ID],$Q$4,RawData[[Error Type ]],$Q$5))</f>
        <v/>
      </c>
    </row>
    <row r="24304" spans="15:15" x14ac:dyDescent="0.25">
      <c r="O24304" s="20" t="str">
        <f>IF(N24304="","",COUNTIFS(RawData[[Date ]],N24304,RawData[Month List],$Q$6,RawData[Tour/Site],$Q$2,RawData[[Picker ID ]],$Q$3,RawData[Checker ID],$Q$4,RawData[[Error Type ]],$Q$5))</f>
        <v/>
      </c>
    </row>
    <row r="24305" spans="15:15" x14ac:dyDescent="0.25">
      <c r="O24305" s="20" t="str">
        <f>IF(N24305="","",COUNTIFS(RawData[[Date ]],N24305,RawData[Month List],$Q$6,RawData[Tour/Site],$Q$2,RawData[[Picker ID ]],$Q$3,RawData[Checker ID],$Q$4,RawData[[Error Type ]],$Q$5))</f>
        <v/>
      </c>
    </row>
    <row r="24306" spans="15:15" x14ac:dyDescent="0.25">
      <c r="O24306" s="20" t="str">
        <f>IF(N24306="","",COUNTIFS(RawData[[Date ]],N24306,RawData[Month List],$Q$6,RawData[Tour/Site],$Q$2,RawData[[Picker ID ]],$Q$3,RawData[Checker ID],$Q$4,RawData[[Error Type ]],$Q$5))</f>
        <v/>
      </c>
    </row>
    <row r="24307" spans="15:15" x14ac:dyDescent="0.25">
      <c r="O24307" s="20" t="str">
        <f>IF(N24307="","",COUNTIFS(RawData[[Date ]],N24307,RawData[Month List],$Q$6,RawData[Tour/Site],$Q$2,RawData[[Picker ID ]],$Q$3,RawData[Checker ID],$Q$4,RawData[[Error Type ]],$Q$5))</f>
        <v/>
      </c>
    </row>
    <row r="24308" spans="15:15" x14ac:dyDescent="0.25">
      <c r="O24308" s="20" t="str">
        <f>IF(N24308="","",COUNTIFS(RawData[[Date ]],N24308,RawData[Month List],$Q$6,RawData[Tour/Site],$Q$2,RawData[[Picker ID ]],$Q$3,RawData[Checker ID],$Q$4,RawData[[Error Type ]],$Q$5))</f>
        <v/>
      </c>
    </row>
    <row r="24309" spans="15:15" x14ac:dyDescent="0.25">
      <c r="O24309" s="20" t="str">
        <f>IF(N24309="","",COUNTIFS(RawData[[Date ]],N24309,RawData[Month List],$Q$6,RawData[Tour/Site],$Q$2,RawData[[Picker ID ]],$Q$3,RawData[Checker ID],$Q$4,RawData[[Error Type ]],$Q$5))</f>
        <v/>
      </c>
    </row>
    <row r="24310" spans="15:15" x14ac:dyDescent="0.25">
      <c r="O24310" s="20" t="str">
        <f>IF(N24310="","",COUNTIFS(RawData[[Date ]],N24310,RawData[Month List],$Q$6,RawData[Tour/Site],$Q$2,RawData[[Picker ID ]],$Q$3,RawData[Checker ID],$Q$4,RawData[[Error Type ]],$Q$5))</f>
        <v/>
      </c>
    </row>
    <row r="24311" spans="15:15" x14ac:dyDescent="0.25">
      <c r="O24311" s="20" t="str">
        <f>IF(N24311="","",COUNTIFS(RawData[[Date ]],N24311,RawData[Month List],$Q$6,RawData[Tour/Site],$Q$2,RawData[[Picker ID ]],$Q$3,RawData[Checker ID],$Q$4,RawData[[Error Type ]],$Q$5))</f>
        <v/>
      </c>
    </row>
    <row r="24312" spans="15:15" x14ac:dyDescent="0.25">
      <c r="O24312" s="20" t="str">
        <f>IF(N24312="","",COUNTIFS(RawData[[Date ]],N24312,RawData[Month List],$Q$6,RawData[Tour/Site],$Q$2,RawData[[Picker ID ]],$Q$3,RawData[Checker ID],$Q$4,RawData[[Error Type ]],$Q$5))</f>
        <v/>
      </c>
    </row>
    <row r="24313" spans="15:15" x14ac:dyDescent="0.25">
      <c r="O24313" s="20" t="str">
        <f>IF(N24313="","",COUNTIFS(RawData[[Date ]],N24313,RawData[Month List],$Q$6,RawData[Tour/Site],$Q$2,RawData[[Picker ID ]],$Q$3,RawData[Checker ID],$Q$4,RawData[[Error Type ]],$Q$5))</f>
        <v/>
      </c>
    </row>
    <row r="24314" spans="15:15" x14ac:dyDescent="0.25">
      <c r="O24314" s="20" t="str">
        <f>IF(N24314="","",COUNTIFS(RawData[[Date ]],N24314,RawData[Month List],$Q$6,RawData[Tour/Site],$Q$2,RawData[[Picker ID ]],$Q$3,RawData[Checker ID],$Q$4,RawData[[Error Type ]],$Q$5))</f>
        <v/>
      </c>
    </row>
    <row r="24315" spans="15:15" x14ac:dyDescent="0.25">
      <c r="O24315" s="20" t="str">
        <f>IF(N24315="","",COUNTIFS(RawData[[Date ]],N24315,RawData[Month List],$Q$6,RawData[Tour/Site],$Q$2,RawData[[Picker ID ]],$Q$3,RawData[Checker ID],$Q$4,RawData[[Error Type ]],$Q$5))</f>
        <v/>
      </c>
    </row>
    <row r="24316" spans="15:15" x14ac:dyDescent="0.25">
      <c r="O24316" s="20" t="str">
        <f>IF(N24316="","",COUNTIFS(RawData[[Date ]],N24316,RawData[Month List],$Q$6,RawData[Tour/Site],$Q$2,RawData[[Picker ID ]],$Q$3,RawData[Checker ID],$Q$4,RawData[[Error Type ]],$Q$5))</f>
        <v/>
      </c>
    </row>
    <row r="24317" spans="15:15" x14ac:dyDescent="0.25">
      <c r="O24317" s="20" t="str">
        <f>IF(N24317="","",COUNTIFS(RawData[[Date ]],N24317,RawData[Month List],$Q$6,RawData[Tour/Site],$Q$2,RawData[[Picker ID ]],$Q$3,RawData[Checker ID],$Q$4,RawData[[Error Type ]],$Q$5))</f>
        <v/>
      </c>
    </row>
    <row r="24318" spans="15:15" x14ac:dyDescent="0.25">
      <c r="O24318" s="20" t="str">
        <f>IF(N24318="","",COUNTIFS(RawData[[Date ]],N24318,RawData[Month List],$Q$6,RawData[Tour/Site],$Q$2,RawData[[Picker ID ]],$Q$3,RawData[Checker ID],$Q$4,RawData[[Error Type ]],$Q$5))</f>
        <v/>
      </c>
    </row>
    <row r="24319" spans="15:15" x14ac:dyDescent="0.25">
      <c r="O24319" s="20" t="str">
        <f>IF(N24319="","",COUNTIFS(RawData[[Date ]],N24319,RawData[Month List],$Q$6,RawData[Tour/Site],$Q$2,RawData[[Picker ID ]],$Q$3,RawData[Checker ID],$Q$4,RawData[[Error Type ]],$Q$5))</f>
        <v/>
      </c>
    </row>
    <row r="24320" spans="15:15" x14ac:dyDescent="0.25">
      <c r="O24320" s="20" t="str">
        <f>IF(N24320="","",COUNTIFS(RawData[[Date ]],N24320,RawData[Month List],$Q$6,RawData[Tour/Site],$Q$2,RawData[[Picker ID ]],$Q$3,RawData[Checker ID],$Q$4,RawData[[Error Type ]],$Q$5))</f>
        <v/>
      </c>
    </row>
    <row r="24321" spans="15:15" x14ac:dyDescent="0.25">
      <c r="O24321" s="20" t="str">
        <f>IF(N24321="","",COUNTIFS(RawData[[Date ]],N24321,RawData[Month List],$Q$6,RawData[Tour/Site],$Q$2,RawData[[Picker ID ]],$Q$3,RawData[Checker ID],$Q$4,RawData[[Error Type ]],$Q$5))</f>
        <v/>
      </c>
    </row>
    <row r="24322" spans="15:15" x14ac:dyDescent="0.25">
      <c r="O24322" s="20" t="str">
        <f>IF(N24322="","",COUNTIFS(RawData[[Date ]],N24322,RawData[Month List],$Q$6,RawData[Tour/Site],$Q$2,RawData[[Picker ID ]],$Q$3,RawData[Checker ID],$Q$4,RawData[[Error Type ]],$Q$5))</f>
        <v/>
      </c>
    </row>
    <row r="24323" spans="15:15" x14ac:dyDescent="0.25">
      <c r="O24323" s="20" t="str">
        <f>IF(N24323="","",COUNTIFS(RawData[[Date ]],N24323,RawData[Month List],$Q$6,RawData[Tour/Site],$Q$2,RawData[[Picker ID ]],$Q$3,RawData[Checker ID],$Q$4,RawData[[Error Type ]],$Q$5))</f>
        <v/>
      </c>
    </row>
    <row r="24324" spans="15:15" x14ac:dyDescent="0.25">
      <c r="O24324" s="20" t="str">
        <f>IF(N24324="","",COUNTIFS(RawData[[Date ]],N24324,RawData[Month List],$Q$6,RawData[Tour/Site],$Q$2,RawData[[Picker ID ]],$Q$3,RawData[Checker ID],$Q$4,RawData[[Error Type ]],$Q$5))</f>
        <v/>
      </c>
    </row>
    <row r="24325" spans="15:15" x14ac:dyDescent="0.25">
      <c r="O24325" s="20" t="str">
        <f>IF(N24325="","",COUNTIFS(RawData[[Date ]],N24325,RawData[Month List],$Q$6,RawData[Tour/Site],$Q$2,RawData[[Picker ID ]],$Q$3,RawData[Checker ID],$Q$4,RawData[[Error Type ]],$Q$5))</f>
        <v/>
      </c>
    </row>
    <row r="24326" spans="15:15" x14ac:dyDescent="0.25">
      <c r="O24326" s="20" t="str">
        <f>IF(N24326="","",COUNTIFS(RawData[[Date ]],N24326,RawData[Month List],$Q$6,RawData[Tour/Site],$Q$2,RawData[[Picker ID ]],$Q$3,RawData[Checker ID],$Q$4,RawData[[Error Type ]],$Q$5))</f>
        <v/>
      </c>
    </row>
    <row r="24327" spans="15:15" x14ac:dyDescent="0.25">
      <c r="O24327" s="20" t="str">
        <f>IF(N24327="","",COUNTIFS(RawData[[Date ]],N24327,RawData[Month List],$Q$6,RawData[Tour/Site],$Q$2,RawData[[Picker ID ]],$Q$3,RawData[Checker ID],$Q$4,RawData[[Error Type ]],$Q$5))</f>
        <v/>
      </c>
    </row>
    <row r="24328" spans="15:15" x14ac:dyDescent="0.25">
      <c r="O24328" s="20" t="str">
        <f>IF(N24328="","",COUNTIFS(RawData[[Date ]],N24328,RawData[Month List],$Q$6,RawData[Tour/Site],$Q$2,RawData[[Picker ID ]],$Q$3,RawData[Checker ID],$Q$4,RawData[[Error Type ]],$Q$5))</f>
        <v/>
      </c>
    </row>
    <row r="24329" spans="15:15" x14ac:dyDescent="0.25">
      <c r="O24329" s="20" t="str">
        <f>IF(N24329="","",COUNTIFS(RawData[[Date ]],N24329,RawData[Month List],$Q$6,RawData[Tour/Site],$Q$2,RawData[[Picker ID ]],$Q$3,RawData[Checker ID],$Q$4,RawData[[Error Type ]],$Q$5))</f>
        <v/>
      </c>
    </row>
    <row r="24330" spans="15:15" x14ac:dyDescent="0.25">
      <c r="O24330" s="20" t="str">
        <f>IF(N24330="","",COUNTIFS(RawData[[Date ]],N24330,RawData[Month List],$Q$6,RawData[Tour/Site],$Q$2,RawData[[Picker ID ]],$Q$3,RawData[Checker ID],$Q$4,RawData[[Error Type ]],$Q$5))</f>
        <v/>
      </c>
    </row>
    <row r="24331" spans="15:15" x14ac:dyDescent="0.25">
      <c r="O24331" s="20" t="str">
        <f>IF(N24331="","",COUNTIFS(RawData[[Date ]],N24331,RawData[Month List],$Q$6,RawData[Tour/Site],$Q$2,RawData[[Picker ID ]],$Q$3,RawData[Checker ID],$Q$4,RawData[[Error Type ]],$Q$5))</f>
        <v/>
      </c>
    </row>
    <row r="24332" spans="15:15" x14ac:dyDescent="0.25">
      <c r="O24332" s="20" t="str">
        <f>IF(N24332="","",COUNTIFS(RawData[[Date ]],N24332,RawData[Month List],$Q$6,RawData[Tour/Site],$Q$2,RawData[[Picker ID ]],$Q$3,RawData[Checker ID],$Q$4,RawData[[Error Type ]],$Q$5))</f>
        <v/>
      </c>
    </row>
    <row r="24333" spans="15:15" x14ac:dyDescent="0.25">
      <c r="O24333" s="20" t="str">
        <f>IF(N24333="","",COUNTIFS(RawData[[Date ]],N24333,RawData[Month List],$Q$6,RawData[Tour/Site],$Q$2,RawData[[Picker ID ]],$Q$3,RawData[Checker ID],$Q$4,RawData[[Error Type ]],$Q$5))</f>
        <v/>
      </c>
    </row>
    <row r="24334" spans="15:15" x14ac:dyDescent="0.25">
      <c r="O24334" s="20" t="str">
        <f>IF(N24334="","",COUNTIFS(RawData[[Date ]],N24334,RawData[Month List],$Q$6,RawData[Tour/Site],$Q$2,RawData[[Picker ID ]],$Q$3,RawData[Checker ID],$Q$4,RawData[[Error Type ]],$Q$5))</f>
        <v/>
      </c>
    </row>
    <row r="24335" spans="15:15" x14ac:dyDescent="0.25">
      <c r="O24335" s="20" t="str">
        <f>IF(N24335="","",COUNTIFS(RawData[[Date ]],N24335,RawData[Month List],$Q$6,RawData[Tour/Site],$Q$2,RawData[[Picker ID ]],$Q$3,RawData[Checker ID],$Q$4,RawData[[Error Type ]],$Q$5))</f>
        <v/>
      </c>
    </row>
    <row r="24336" spans="15:15" x14ac:dyDescent="0.25">
      <c r="O24336" s="20" t="str">
        <f>IF(N24336="","",COUNTIFS(RawData[[Date ]],N24336,RawData[Month List],$Q$6,RawData[Tour/Site],$Q$2,RawData[[Picker ID ]],$Q$3,RawData[Checker ID],$Q$4,RawData[[Error Type ]],$Q$5))</f>
        <v/>
      </c>
    </row>
    <row r="24337" spans="15:15" x14ac:dyDescent="0.25">
      <c r="O24337" s="20" t="str">
        <f>IF(N24337="","",COUNTIFS(RawData[[Date ]],N24337,RawData[Month List],$Q$6,RawData[Tour/Site],$Q$2,RawData[[Picker ID ]],$Q$3,RawData[Checker ID],$Q$4,RawData[[Error Type ]],$Q$5))</f>
        <v/>
      </c>
    </row>
    <row r="24338" spans="15:15" x14ac:dyDescent="0.25">
      <c r="O24338" s="20" t="str">
        <f>IF(N24338="","",COUNTIFS(RawData[[Date ]],N24338,RawData[Month List],$Q$6,RawData[Tour/Site],$Q$2,RawData[[Picker ID ]],$Q$3,RawData[Checker ID],$Q$4,RawData[[Error Type ]],$Q$5))</f>
        <v/>
      </c>
    </row>
    <row r="24339" spans="15:15" x14ac:dyDescent="0.25">
      <c r="O24339" s="20" t="str">
        <f>IF(N24339="","",COUNTIFS(RawData[[Date ]],N24339,RawData[Month List],$Q$6,RawData[Tour/Site],$Q$2,RawData[[Picker ID ]],$Q$3,RawData[Checker ID],$Q$4,RawData[[Error Type ]],$Q$5))</f>
        <v/>
      </c>
    </row>
    <row r="24340" spans="15:15" x14ac:dyDescent="0.25">
      <c r="O24340" s="20" t="str">
        <f>IF(N24340="","",COUNTIFS(RawData[[Date ]],N24340,RawData[Month List],$Q$6,RawData[Tour/Site],$Q$2,RawData[[Picker ID ]],$Q$3,RawData[Checker ID],$Q$4,RawData[[Error Type ]],$Q$5))</f>
        <v/>
      </c>
    </row>
    <row r="24341" spans="15:15" x14ac:dyDescent="0.25">
      <c r="O24341" s="20" t="str">
        <f>IF(N24341="","",COUNTIFS(RawData[[Date ]],N24341,RawData[Month List],$Q$6,RawData[Tour/Site],$Q$2,RawData[[Picker ID ]],$Q$3,RawData[Checker ID],$Q$4,RawData[[Error Type ]],$Q$5))</f>
        <v/>
      </c>
    </row>
    <row r="24342" spans="15:15" x14ac:dyDescent="0.25">
      <c r="O24342" s="20" t="str">
        <f>IF(N24342="","",COUNTIFS(RawData[[Date ]],N24342,RawData[Month List],$Q$6,RawData[Tour/Site],$Q$2,RawData[[Picker ID ]],$Q$3,RawData[Checker ID],$Q$4,RawData[[Error Type ]],$Q$5))</f>
        <v/>
      </c>
    </row>
    <row r="24343" spans="15:15" x14ac:dyDescent="0.25">
      <c r="O24343" s="20" t="str">
        <f>IF(N24343="","",COUNTIFS(RawData[[Date ]],N24343,RawData[Month List],$Q$6,RawData[Tour/Site],$Q$2,RawData[[Picker ID ]],$Q$3,RawData[Checker ID],$Q$4,RawData[[Error Type ]],$Q$5))</f>
        <v/>
      </c>
    </row>
    <row r="24344" spans="15:15" x14ac:dyDescent="0.25">
      <c r="O24344" s="20" t="str">
        <f>IF(N24344="","",COUNTIFS(RawData[[Date ]],N24344,RawData[Month List],$Q$6,RawData[Tour/Site],$Q$2,RawData[[Picker ID ]],$Q$3,RawData[Checker ID],$Q$4,RawData[[Error Type ]],$Q$5))</f>
        <v/>
      </c>
    </row>
    <row r="24345" spans="15:15" x14ac:dyDescent="0.25">
      <c r="O24345" s="20" t="str">
        <f>IF(N24345="","",COUNTIFS(RawData[[Date ]],N24345,RawData[Month List],$Q$6,RawData[Tour/Site],$Q$2,RawData[[Picker ID ]],$Q$3,RawData[Checker ID],$Q$4,RawData[[Error Type ]],$Q$5))</f>
        <v/>
      </c>
    </row>
    <row r="24346" spans="15:15" x14ac:dyDescent="0.25">
      <c r="O24346" s="20" t="str">
        <f>IF(N24346="","",COUNTIFS(RawData[[Date ]],N24346,RawData[Month List],$Q$6,RawData[Tour/Site],$Q$2,RawData[[Picker ID ]],$Q$3,RawData[Checker ID],$Q$4,RawData[[Error Type ]],$Q$5))</f>
        <v/>
      </c>
    </row>
    <row r="24347" spans="15:15" x14ac:dyDescent="0.25">
      <c r="O24347" s="20" t="str">
        <f>IF(N24347="","",COUNTIFS(RawData[[Date ]],N24347,RawData[Month List],$Q$6,RawData[Tour/Site],$Q$2,RawData[[Picker ID ]],$Q$3,RawData[Checker ID],$Q$4,RawData[[Error Type ]],$Q$5))</f>
        <v/>
      </c>
    </row>
    <row r="24348" spans="15:15" x14ac:dyDescent="0.25">
      <c r="O24348" s="20" t="str">
        <f>IF(N24348="","",COUNTIFS(RawData[[Date ]],N24348,RawData[Month List],$Q$6,RawData[Tour/Site],$Q$2,RawData[[Picker ID ]],$Q$3,RawData[Checker ID],$Q$4,RawData[[Error Type ]],$Q$5))</f>
        <v/>
      </c>
    </row>
    <row r="24349" spans="15:15" x14ac:dyDescent="0.25">
      <c r="O24349" s="20" t="str">
        <f>IF(N24349="","",COUNTIFS(RawData[[Date ]],N24349,RawData[Month List],$Q$6,RawData[Tour/Site],$Q$2,RawData[[Picker ID ]],$Q$3,RawData[Checker ID],$Q$4,RawData[[Error Type ]],$Q$5))</f>
        <v/>
      </c>
    </row>
    <row r="24350" spans="15:15" x14ac:dyDescent="0.25">
      <c r="O24350" s="20" t="str">
        <f>IF(N24350="","",COUNTIFS(RawData[[Date ]],N24350,RawData[Month List],$Q$6,RawData[Tour/Site],$Q$2,RawData[[Picker ID ]],$Q$3,RawData[Checker ID],$Q$4,RawData[[Error Type ]],$Q$5))</f>
        <v/>
      </c>
    </row>
    <row r="24351" spans="15:15" x14ac:dyDescent="0.25">
      <c r="O24351" s="20" t="str">
        <f>IF(N24351="","",COUNTIFS(RawData[[Date ]],N24351,RawData[Month List],$Q$6,RawData[Tour/Site],$Q$2,RawData[[Picker ID ]],$Q$3,RawData[Checker ID],$Q$4,RawData[[Error Type ]],$Q$5))</f>
        <v/>
      </c>
    </row>
    <row r="24352" spans="15:15" x14ac:dyDescent="0.25">
      <c r="O24352" s="20" t="str">
        <f>IF(N24352="","",COUNTIFS(RawData[[Date ]],N24352,RawData[Month List],$Q$6,RawData[Tour/Site],$Q$2,RawData[[Picker ID ]],$Q$3,RawData[Checker ID],$Q$4,RawData[[Error Type ]],$Q$5))</f>
        <v/>
      </c>
    </row>
    <row r="24353" spans="15:15" x14ac:dyDescent="0.25">
      <c r="O24353" s="20" t="str">
        <f>IF(N24353="","",COUNTIFS(RawData[[Date ]],N24353,RawData[Month List],$Q$6,RawData[Tour/Site],$Q$2,RawData[[Picker ID ]],$Q$3,RawData[Checker ID],$Q$4,RawData[[Error Type ]],$Q$5))</f>
        <v/>
      </c>
    </row>
    <row r="24354" spans="15:15" x14ac:dyDescent="0.25">
      <c r="O24354" s="20" t="str">
        <f>IF(N24354="","",COUNTIFS(RawData[[Date ]],N24354,RawData[Month List],$Q$6,RawData[Tour/Site],$Q$2,RawData[[Picker ID ]],$Q$3,RawData[Checker ID],$Q$4,RawData[[Error Type ]],$Q$5))</f>
        <v/>
      </c>
    </row>
    <row r="24355" spans="15:15" x14ac:dyDescent="0.25">
      <c r="O24355" s="20" t="str">
        <f>IF(N24355="","",COUNTIFS(RawData[[Date ]],N24355,RawData[Month List],$Q$6,RawData[Tour/Site],$Q$2,RawData[[Picker ID ]],$Q$3,RawData[Checker ID],$Q$4,RawData[[Error Type ]],$Q$5))</f>
        <v/>
      </c>
    </row>
    <row r="24356" spans="15:15" x14ac:dyDescent="0.25">
      <c r="O24356" s="20" t="str">
        <f>IF(N24356="","",COUNTIFS(RawData[[Date ]],N24356,RawData[Month List],$Q$6,RawData[Tour/Site],$Q$2,RawData[[Picker ID ]],$Q$3,RawData[Checker ID],$Q$4,RawData[[Error Type ]],$Q$5))</f>
        <v/>
      </c>
    </row>
    <row r="24357" spans="15:15" x14ac:dyDescent="0.25">
      <c r="O24357" s="20" t="str">
        <f>IF(N24357="","",COUNTIFS(RawData[[Date ]],N24357,RawData[Month List],$Q$6,RawData[Tour/Site],$Q$2,RawData[[Picker ID ]],$Q$3,RawData[Checker ID],$Q$4,RawData[[Error Type ]],$Q$5))</f>
        <v/>
      </c>
    </row>
    <row r="24358" spans="15:15" x14ac:dyDescent="0.25">
      <c r="O24358" s="20" t="str">
        <f>IF(N24358="","",COUNTIFS(RawData[[Date ]],N24358,RawData[Month List],$Q$6,RawData[Tour/Site],$Q$2,RawData[[Picker ID ]],$Q$3,RawData[Checker ID],$Q$4,RawData[[Error Type ]],$Q$5))</f>
        <v/>
      </c>
    </row>
    <row r="24359" spans="15:15" x14ac:dyDescent="0.25">
      <c r="O24359" s="20" t="str">
        <f>IF(N24359="","",COUNTIFS(RawData[[Date ]],N24359,RawData[Month List],$Q$6,RawData[Tour/Site],$Q$2,RawData[[Picker ID ]],$Q$3,RawData[Checker ID],$Q$4,RawData[[Error Type ]],$Q$5))</f>
        <v/>
      </c>
    </row>
    <row r="24360" spans="15:15" x14ac:dyDescent="0.25">
      <c r="O24360" s="20" t="str">
        <f>IF(N24360="","",COUNTIFS(RawData[[Date ]],N24360,RawData[Month List],$Q$6,RawData[Tour/Site],$Q$2,RawData[[Picker ID ]],$Q$3,RawData[Checker ID],$Q$4,RawData[[Error Type ]],$Q$5))</f>
        <v/>
      </c>
    </row>
    <row r="24361" spans="15:15" x14ac:dyDescent="0.25">
      <c r="O24361" s="20" t="str">
        <f>IF(N24361="","",COUNTIFS(RawData[[Date ]],N24361,RawData[Month List],$Q$6,RawData[Tour/Site],$Q$2,RawData[[Picker ID ]],$Q$3,RawData[Checker ID],$Q$4,RawData[[Error Type ]],$Q$5))</f>
        <v/>
      </c>
    </row>
    <row r="24362" spans="15:15" x14ac:dyDescent="0.25">
      <c r="O24362" s="20" t="str">
        <f>IF(N24362="","",COUNTIFS(RawData[[Date ]],N24362,RawData[Month List],$Q$6,RawData[Tour/Site],$Q$2,RawData[[Picker ID ]],$Q$3,RawData[Checker ID],$Q$4,RawData[[Error Type ]],$Q$5))</f>
        <v/>
      </c>
    </row>
    <row r="24363" spans="15:15" x14ac:dyDescent="0.25">
      <c r="O24363" s="20" t="str">
        <f>IF(N24363="","",COUNTIFS(RawData[[Date ]],N24363,RawData[Month List],$Q$6,RawData[Tour/Site],$Q$2,RawData[[Picker ID ]],$Q$3,RawData[Checker ID],$Q$4,RawData[[Error Type ]],$Q$5))</f>
        <v/>
      </c>
    </row>
    <row r="24364" spans="15:15" x14ac:dyDescent="0.25">
      <c r="O24364" s="20" t="str">
        <f>IF(N24364="","",COUNTIFS(RawData[[Date ]],N24364,RawData[Month List],$Q$6,RawData[Tour/Site],$Q$2,RawData[[Picker ID ]],$Q$3,RawData[Checker ID],$Q$4,RawData[[Error Type ]],$Q$5))</f>
        <v/>
      </c>
    </row>
    <row r="24365" spans="15:15" x14ac:dyDescent="0.25">
      <c r="O24365" s="20" t="str">
        <f>IF(N24365="","",COUNTIFS(RawData[[Date ]],N24365,RawData[Month List],$Q$6,RawData[Tour/Site],$Q$2,RawData[[Picker ID ]],$Q$3,RawData[Checker ID],$Q$4,RawData[[Error Type ]],$Q$5))</f>
        <v/>
      </c>
    </row>
    <row r="24366" spans="15:15" x14ac:dyDescent="0.25">
      <c r="O24366" s="20" t="str">
        <f>IF(N24366="","",COUNTIFS(RawData[[Date ]],N24366,RawData[Month List],$Q$6,RawData[Tour/Site],$Q$2,RawData[[Picker ID ]],$Q$3,RawData[Checker ID],$Q$4,RawData[[Error Type ]],$Q$5))</f>
        <v/>
      </c>
    </row>
    <row r="24367" spans="15:15" x14ac:dyDescent="0.25">
      <c r="O24367" s="20" t="str">
        <f>IF(N24367="","",COUNTIFS(RawData[[Date ]],N24367,RawData[Month List],$Q$6,RawData[Tour/Site],$Q$2,RawData[[Picker ID ]],$Q$3,RawData[Checker ID],$Q$4,RawData[[Error Type ]],$Q$5))</f>
        <v/>
      </c>
    </row>
    <row r="24368" spans="15:15" x14ac:dyDescent="0.25">
      <c r="O24368" s="20" t="str">
        <f>IF(N24368="","",COUNTIFS(RawData[[Date ]],N24368,RawData[Month List],$Q$6,RawData[Tour/Site],$Q$2,RawData[[Picker ID ]],$Q$3,RawData[Checker ID],$Q$4,RawData[[Error Type ]],$Q$5))</f>
        <v/>
      </c>
    </row>
    <row r="24369" spans="15:15" x14ac:dyDescent="0.25">
      <c r="O24369" s="20" t="str">
        <f>IF(N24369="","",COUNTIFS(RawData[[Date ]],N24369,RawData[Month List],$Q$6,RawData[Tour/Site],$Q$2,RawData[[Picker ID ]],$Q$3,RawData[Checker ID],$Q$4,RawData[[Error Type ]],$Q$5))</f>
        <v/>
      </c>
    </row>
    <row r="24370" spans="15:15" x14ac:dyDescent="0.25">
      <c r="O24370" s="20" t="str">
        <f>IF(N24370="","",COUNTIFS(RawData[[Date ]],N24370,RawData[Month List],$Q$6,RawData[Tour/Site],$Q$2,RawData[[Picker ID ]],$Q$3,RawData[Checker ID],$Q$4,RawData[[Error Type ]],$Q$5))</f>
        <v/>
      </c>
    </row>
    <row r="24371" spans="15:15" x14ac:dyDescent="0.25">
      <c r="O24371" s="20" t="str">
        <f>IF(N24371="","",COUNTIFS(RawData[[Date ]],N24371,RawData[Month List],$Q$6,RawData[Tour/Site],$Q$2,RawData[[Picker ID ]],$Q$3,RawData[Checker ID],$Q$4,RawData[[Error Type ]],$Q$5))</f>
        <v/>
      </c>
    </row>
    <row r="24372" spans="15:15" x14ac:dyDescent="0.25">
      <c r="O24372" s="20" t="str">
        <f>IF(N24372="","",COUNTIFS(RawData[[Date ]],N24372,RawData[Month List],$Q$6,RawData[Tour/Site],$Q$2,RawData[[Picker ID ]],$Q$3,RawData[Checker ID],$Q$4,RawData[[Error Type ]],$Q$5))</f>
        <v/>
      </c>
    </row>
    <row r="24373" spans="15:15" x14ac:dyDescent="0.25">
      <c r="O24373" s="20" t="str">
        <f>IF(N24373="","",COUNTIFS(RawData[[Date ]],N24373,RawData[Month List],$Q$6,RawData[Tour/Site],$Q$2,RawData[[Picker ID ]],$Q$3,RawData[Checker ID],$Q$4,RawData[[Error Type ]],$Q$5))</f>
        <v/>
      </c>
    </row>
    <row r="24374" spans="15:15" x14ac:dyDescent="0.25">
      <c r="O24374" s="20" t="str">
        <f>IF(N24374="","",COUNTIFS(RawData[[Date ]],N24374,RawData[Month List],$Q$6,RawData[Tour/Site],$Q$2,RawData[[Picker ID ]],$Q$3,RawData[Checker ID],$Q$4,RawData[[Error Type ]],$Q$5))</f>
        <v/>
      </c>
    </row>
    <row r="24375" spans="15:15" x14ac:dyDescent="0.25">
      <c r="O24375" s="20" t="str">
        <f>IF(N24375="","",COUNTIFS(RawData[[Date ]],N24375,RawData[Month List],$Q$6,RawData[Tour/Site],$Q$2,RawData[[Picker ID ]],$Q$3,RawData[Checker ID],$Q$4,RawData[[Error Type ]],$Q$5))</f>
        <v/>
      </c>
    </row>
    <row r="24376" spans="15:15" x14ac:dyDescent="0.25">
      <c r="O24376" s="20" t="str">
        <f>IF(N24376="","",COUNTIFS(RawData[[Date ]],N24376,RawData[Month List],$Q$6,RawData[Tour/Site],$Q$2,RawData[[Picker ID ]],$Q$3,RawData[Checker ID],$Q$4,RawData[[Error Type ]],$Q$5))</f>
        <v/>
      </c>
    </row>
    <row r="24377" spans="15:15" x14ac:dyDescent="0.25">
      <c r="O24377" s="20" t="str">
        <f>IF(N24377="","",COUNTIFS(RawData[[Date ]],N24377,RawData[Month List],$Q$6,RawData[Tour/Site],$Q$2,RawData[[Picker ID ]],$Q$3,RawData[Checker ID],$Q$4,RawData[[Error Type ]],$Q$5))</f>
        <v/>
      </c>
    </row>
    <row r="24378" spans="15:15" x14ac:dyDescent="0.25">
      <c r="O24378" s="20" t="str">
        <f>IF(N24378="","",COUNTIFS(RawData[[Date ]],N24378,RawData[Month List],$Q$6,RawData[Tour/Site],$Q$2,RawData[[Picker ID ]],$Q$3,RawData[Checker ID],$Q$4,RawData[[Error Type ]],$Q$5))</f>
        <v/>
      </c>
    </row>
    <row r="24379" spans="15:15" x14ac:dyDescent="0.25">
      <c r="O24379" s="20" t="str">
        <f>IF(N24379="","",COUNTIFS(RawData[[Date ]],N24379,RawData[Month List],$Q$6,RawData[Tour/Site],$Q$2,RawData[[Picker ID ]],$Q$3,RawData[Checker ID],$Q$4,RawData[[Error Type ]],$Q$5))</f>
        <v/>
      </c>
    </row>
    <row r="24380" spans="15:15" x14ac:dyDescent="0.25">
      <c r="O24380" s="20" t="str">
        <f>IF(N24380="","",COUNTIFS(RawData[[Date ]],N24380,RawData[Month List],$Q$6,RawData[Tour/Site],$Q$2,RawData[[Picker ID ]],$Q$3,RawData[Checker ID],$Q$4,RawData[[Error Type ]],$Q$5))</f>
        <v/>
      </c>
    </row>
    <row r="24381" spans="15:15" x14ac:dyDescent="0.25">
      <c r="O24381" s="20" t="str">
        <f>IF(N24381="","",COUNTIFS(RawData[[Date ]],N24381,RawData[Month List],$Q$6,RawData[Tour/Site],$Q$2,RawData[[Picker ID ]],$Q$3,RawData[Checker ID],$Q$4,RawData[[Error Type ]],$Q$5))</f>
        <v/>
      </c>
    </row>
    <row r="24382" spans="15:15" x14ac:dyDescent="0.25">
      <c r="O24382" s="20" t="str">
        <f>IF(N24382="","",COUNTIFS(RawData[[Date ]],N24382,RawData[Month List],$Q$6,RawData[Tour/Site],$Q$2,RawData[[Picker ID ]],$Q$3,RawData[Checker ID],$Q$4,RawData[[Error Type ]],$Q$5))</f>
        <v/>
      </c>
    </row>
    <row r="24383" spans="15:15" x14ac:dyDescent="0.25">
      <c r="O24383" s="20" t="str">
        <f>IF(N24383="","",COUNTIFS(RawData[[Date ]],N24383,RawData[Month List],$Q$6,RawData[Tour/Site],$Q$2,RawData[[Picker ID ]],$Q$3,RawData[Checker ID],$Q$4,RawData[[Error Type ]],$Q$5))</f>
        <v/>
      </c>
    </row>
    <row r="24384" spans="15:15" x14ac:dyDescent="0.25">
      <c r="O24384" s="20" t="str">
        <f>IF(N24384="","",COUNTIFS(RawData[[Date ]],N24384,RawData[Month List],$Q$6,RawData[Tour/Site],$Q$2,RawData[[Picker ID ]],$Q$3,RawData[Checker ID],$Q$4,RawData[[Error Type ]],$Q$5))</f>
        <v/>
      </c>
    </row>
    <row r="24385" spans="15:15" x14ac:dyDescent="0.25">
      <c r="O24385" s="20" t="str">
        <f>IF(N24385="","",COUNTIFS(RawData[[Date ]],N24385,RawData[Month List],$Q$6,RawData[Tour/Site],$Q$2,RawData[[Picker ID ]],$Q$3,RawData[Checker ID],$Q$4,RawData[[Error Type ]],$Q$5))</f>
        <v/>
      </c>
    </row>
    <row r="24386" spans="15:15" x14ac:dyDescent="0.25">
      <c r="O24386" s="20" t="str">
        <f>IF(N24386="","",COUNTIFS(RawData[[Date ]],N24386,RawData[Month List],$Q$6,RawData[Tour/Site],$Q$2,RawData[[Picker ID ]],$Q$3,RawData[Checker ID],$Q$4,RawData[[Error Type ]],$Q$5))</f>
        <v/>
      </c>
    </row>
    <row r="24387" spans="15:15" x14ac:dyDescent="0.25">
      <c r="O24387" s="20" t="str">
        <f>IF(N24387="","",COUNTIFS(RawData[[Date ]],N24387,RawData[Month List],$Q$6,RawData[Tour/Site],$Q$2,RawData[[Picker ID ]],$Q$3,RawData[Checker ID],$Q$4,RawData[[Error Type ]],$Q$5))</f>
        <v/>
      </c>
    </row>
    <row r="24388" spans="15:15" x14ac:dyDescent="0.25">
      <c r="O24388" s="20" t="str">
        <f>IF(N24388="","",COUNTIFS(RawData[[Date ]],N24388,RawData[Month List],$Q$6,RawData[Tour/Site],$Q$2,RawData[[Picker ID ]],$Q$3,RawData[Checker ID],$Q$4,RawData[[Error Type ]],$Q$5))</f>
        <v/>
      </c>
    </row>
    <row r="24389" spans="15:15" x14ac:dyDescent="0.25">
      <c r="O24389" s="20" t="str">
        <f>IF(N24389="","",COUNTIFS(RawData[[Date ]],N24389,RawData[Month List],$Q$6,RawData[Tour/Site],$Q$2,RawData[[Picker ID ]],$Q$3,RawData[Checker ID],$Q$4,RawData[[Error Type ]],$Q$5))</f>
        <v/>
      </c>
    </row>
    <row r="24390" spans="15:15" x14ac:dyDescent="0.25">
      <c r="O24390" s="20" t="str">
        <f>IF(N24390="","",COUNTIFS(RawData[[Date ]],N24390,RawData[Month List],$Q$6,RawData[Tour/Site],$Q$2,RawData[[Picker ID ]],$Q$3,RawData[Checker ID],$Q$4,RawData[[Error Type ]],$Q$5))</f>
        <v/>
      </c>
    </row>
    <row r="24391" spans="15:15" x14ac:dyDescent="0.25">
      <c r="O24391" s="20" t="str">
        <f>IF(N24391="","",COUNTIFS(RawData[[Date ]],N24391,RawData[Month List],$Q$6,RawData[Tour/Site],$Q$2,RawData[[Picker ID ]],$Q$3,RawData[Checker ID],$Q$4,RawData[[Error Type ]],$Q$5))</f>
        <v/>
      </c>
    </row>
    <row r="24392" spans="15:15" x14ac:dyDescent="0.25">
      <c r="O24392" s="20" t="str">
        <f>IF(N24392="","",COUNTIFS(RawData[[Date ]],N24392,RawData[Month List],$Q$6,RawData[Tour/Site],$Q$2,RawData[[Picker ID ]],$Q$3,RawData[Checker ID],$Q$4,RawData[[Error Type ]],$Q$5))</f>
        <v/>
      </c>
    </row>
    <row r="24393" spans="15:15" x14ac:dyDescent="0.25">
      <c r="O24393" s="20" t="str">
        <f>IF(N24393="","",COUNTIFS(RawData[[Date ]],N24393,RawData[Month List],$Q$6,RawData[Tour/Site],$Q$2,RawData[[Picker ID ]],$Q$3,RawData[Checker ID],$Q$4,RawData[[Error Type ]],$Q$5))</f>
        <v/>
      </c>
    </row>
    <row r="24394" spans="15:15" x14ac:dyDescent="0.25">
      <c r="O24394" s="20" t="str">
        <f>IF(N24394="","",COUNTIFS(RawData[[Date ]],N24394,RawData[Month List],$Q$6,RawData[Tour/Site],$Q$2,RawData[[Picker ID ]],$Q$3,RawData[Checker ID],$Q$4,RawData[[Error Type ]],$Q$5))</f>
        <v/>
      </c>
    </row>
    <row r="24395" spans="15:15" x14ac:dyDescent="0.25">
      <c r="O24395" s="20" t="str">
        <f>IF(N24395="","",COUNTIFS(RawData[[Date ]],N24395,RawData[Month List],$Q$6,RawData[Tour/Site],$Q$2,RawData[[Picker ID ]],$Q$3,RawData[Checker ID],$Q$4,RawData[[Error Type ]],$Q$5))</f>
        <v/>
      </c>
    </row>
    <row r="24396" spans="15:15" x14ac:dyDescent="0.25">
      <c r="O24396" s="20" t="str">
        <f>IF(N24396="","",COUNTIFS(RawData[[Date ]],N24396,RawData[Month List],$Q$6,RawData[Tour/Site],$Q$2,RawData[[Picker ID ]],$Q$3,RawData[Checker ID],$Q$4,RawData[[Error Type ]],$Q$5))</f>
        <v/>
      </c>
    </row>
    <row r="24397" spans="15:15" x14ac:dyDescent="0.25">
      <c r="O24397" s="20" t="str">
        <f>IF(N24397="","",COUNTIFS(RawData[[Date ]],N24397,RawData[Month List],$Q$6,RawData[Tour/Site],$Q$2,RawData[[Picker ID ]],$Q$3,RawData[Checker ID],$Q$4,RawData[[Error Type ]],$Q$5))</f>
        <v/>
      </c>
    </row>
    <row r="24398" spans="15:15" x14ac:dyDescent="0.25">
      <c r="O24398" s="20" t="str">
        <f>IF(N24398="","",COUNTIFS(RawData[[Date ]],N24398,RawData[Month List],$Q$6,RawData[Tour/Site],$Q$2,RawData[[Picker ID ]],$Q$3,RawData[Checker ID],$Q$4,RawData[[Error Type ]],$Q$5))</f>
        <v/>
      </c>
    </row>
    <row r="24399" spans="15:15" x14ac:dyDescent="0.25">
      <c r="O24399" s="20" t="str">
        <f>IF(N24399="","",COUNTIFS(RawData[[Date ]],N24399,RawData[Month List],$Q$6,RawData[Tour/Site],$Q$2,RawData[[Picker ID ]],$Q$3,RawData[Checker ID],$Q$4,RawData[[Error Type ]],$Q$5))</f>
        <v/>
      </c>
    </row>
    <row r="24400" spans="15:15" x14ac:dyDescent="0.25">
      <c r="O24400" s="20" t="str">
        <f>IF(N24400="","",COUNTIFS(RawData[[Date ]],N24400,RawData[Month List],$Q$6,RawData[Tour/Site],$Q$2,RawData[[Picker ID ]],$Q$3,RawData[Checker ID],$Q$4,RawData[[Error Type ]],$Q$5))</f>
        <v/>
      </c>
    </row>
    <row r="24401" spans="15:15" x14ac:dyDescent="0.25">
      <c r="O24401" s="20" t="str">
        <f>IF(N24401="","",COUNTIFS(RawData[[Date ]],N24401,RawData[Month List],$Q$6,RawData[Tour/Site],$Q$2,RawData[[Picker ID ]],$Q$3,RawData[Checker ID],$Q$4,RawData[[Error Type ]],$Q$5))</f>
        <v/>
      </c>
    </row>
    <row r="24402" spans="15:15" x14ac:dyDescent="0.25">
      <c r="O24402" s="20" t="str">
        <f>IF(N24402="","",COUNTIFS(RawData[[Date ]],N24402,RawData[Month List],$Q$6,RawData[Tour/Site],$Q$2,RawData[[Picker ID ]],$Q$3,RawData[Checker ID],$Q$4,RawData[[Error Type ]],$Q$5))</f>
        <v/>
      </c>
    </row>
    <row r="24403" spans="15:15" x14ac:dyDescent="0.25">
      <c r="O24403" s="20" t="str">
        <f>IF(N24403="","",COUNTIFS(RawData[[Date ]],N24403,RawData[Month List],$Q$6,RawData[Tour/Site],$Q$2,RawData[[Picker ID ]],$Q$3,RawData[Checker ID],$Q$4,RawData[[Error Type ]],$Q$5))</f>
        <v/>
      </c>
    </row>
    <row r="24404" spans="15:15" x14ac:dyDescent="0.25">
      <c r="O24404" s="20" t="str">
        <f>IF(N24404="","",COUNTIFS(RawData[[Date ]],N24404,RawData[Month List],$Q$6,RawData[Tour/Site],$Q$2,RawData[[Picker ID ]],$Q$3,RawData[Checker ID],$Q$4,RawData[[Error Type ]],$Q$5))</f>
        <v/>
      </c>
    </row>
    <row r="24405" spans="15:15" x14ac:dyDescent="0.25">
      <c r="O24405" s="20" t="str">
        <f>IF(N24405="","",COUNTIFS(RawData[[Date ]],N24405,RawData[Month List],$Q$6,RawData[Tour/Site],$Q$2,RawData[[Picker ID ]],$Q$3,RawData[Checker ID],$Q$4,RawData[[Error Type ]],$Q$5))</f>
        <v/>
      </c>
    </row>
    <row r="24406" spans="15:15" x14ac:dyDescent="0.25">
      <c r="O24406" s="20" t="str">
        <f>IF(N24406="","",COUNTIFS(RawData[[Date ]],N24406,RawData[Month List],$Q$6,RawData[Tour/Site],$Q$2,RawData[[Picker ID ]],$Q$3,RawData[Checker ID],$Q$4,RawData[[Error Type ]],$Q$5))</f>
        <v/>
      </c>
    </row>
    <row r="24407" spans="15:15" x14ac:dyDescent="0.25">
      <c r="O24407" s="20" t="str">
        <f>IF(N24407="","",COUNTIFS(RawData[[Date ]],N24407,RawData[Month List],$Q$6,RawData[Tour/Site],$Q$2,RawData[[Picker ID ]],$Q$3,RawData[Checker ID],$Q$4,RawData[[Error Type ]],$Q$5))</f>
        <v/>
      </c>
    </row>
    <row r="24408" spans="15:15" x14ac:dyDescent="0.25">
      <c r="O24408" s="20" t="str">
        <f>IF(N24408="","",COUNTIFS(RawData[[Date ]],N24408,RawData[Month List],$Q$6,RawData[Tour/Site],$Q$2,RawData[[Picker ID ]],$Q$3,RawData[Checker ID],$Q$4,RawData[[Error Type ]],$Q$5))</f>
        <v/>
      </c>
    </row>
    <row r="24409" spans="15:15" x14ac:dyDescent="0.25">
      <c r="O24409" s="20" t="str">
        <f>IF(N24409="","",COUNTIFS(RawData[[Date ]],N24409,RawData[Month List],$Q$6,RawData[Tour/Site],$Q$2,RawData[[Picker ID ]],$Q$3,RawData[Checker ID],$Q$4,RawData[[Error Type ]],$Q$5))</f>
        <v/>
      </c>
    </row>
    <row r="24410" spans="15:15" x14ac:dyDescent="0.25">
      <c r="O24410" s="20" t="str">
        <f>IF(N24410="","",COUNTIFS(RawData[[Date ]],N24410,RawData[Month List],$Q$6,RawData[Tour/Site],$Q$2,RawData[[Picker ID ]],$Q$3,RawData[Checker ID],$Q$4,RawData[[Error Type ]],$Q$5))</f>
        <v/>
      </c>
    </row>
    <row r="24411" spans="15:15" x14ac:dyDescent="0.25">
      <c r="O24411" s="20" t="str">
        <f>IF(N24411="","",COUNTIFS(RawData[[Date ]],N24411,RawData[Month List],$Q$6,RawData[Tour/Site],$Q$2,RawData[[Picker ID ]],$Q$3,RawData[Checker ID],$Q$4,RawData[[Error Type ]],$Q$5))</f>
        <v/>
      </c>
    </row>
    <row r="24412" spans="15:15" x14ac:dyDescent="0.25">
      <c r="O24412" s="20" t="str">
        <f>IF(N24412="","",COUNTIFS(RawData[[Date ]],N24412,RawData[Month List],$Q$6,RawData[Tour/Site],$Q$2,RawData[[Picker ID ]],$Q$3,RawData[Checker ID],$Q$4,RawData[[Error Type ]],$Q$5))</f>
        <v/>
      </c>
    </row>
    <row r="24413" spans="15:15" x14ac:dyDescent="0.25">
      <c r="O24413" s="20" t="str">
        <f>IF(N24413="","",COUNTIFS(RawData[[Date ]],N24413,RawData[Month List],$Q$6,RawData[Tour/Site],$Q$2,RawData[[Picker ID ]],$Q$3,RawData[Checker ID],$Q$4,RawData[[Error Type ]],$Q$5))</f>
        <v/>
      </c>
    </row>
    <row r="24414" spans="15:15" x14ac:dyDescent="0.25">
      <c r="O24414" s="20" t="str">
        <f>IF(N24414="","",COUNTIFS(RawData[[Date ]],N24414,RawData[Month List],$Q$6,RawData[Tour/Site],$Q$2,RawData[[Picker ID ]],$Q$3,RawData[Checker ID],$Q$4,RawData[[Error Type ]],$Q$5))</f>
        <v/>
      </c>
    </row>
    <row r="24415" spans="15:15" x14ac:dyDescent="0.25">
      <c r="O24415" s="20" t="str">
        <f>IF(N24415="","",COUNTIFS(RawData[[Date ]],N24415,RawData[Month List],$Q$6,RawData[Tour/Site],$Q$2,RawData[[Picker ID ]],$Q$3,RawData[Checker ID],$Q$4,RawData[[Error Type ]],$Q$5))</f>
        <v/>
      </c>
    </row>
    <row r="24416" spans="15:15" x14ac:dyDescent="0.25">
      <c r="O24416" s="20" t="str">
        <f>IF(N24416="","",COUNTIFS(RawData[[Date ]],N24416,RawData[Month List],$Q$6,RawData[Tour/Site],$Q$2,RawData[[Picker ID ]],$Q$3,RawData[Checker ID],$Q$4,RawData[[Error Type ]],$Q$5))</f>
        <v/>
      </c>
    </row>
    <row r="24417" spans="15:15" x14ac:dyDescent="0.25">
      <c r="O24417" s="20" t="str">
        <f>IF(N24417="","",COUNTIFS(RawData[[Date ]],N24417,RawData[Month List],$Q$6,RawData[Tour/Site],$Q$2,RawData[[Picker ID ]],$Q$3,RawData[Checker ID],$Q$4,RawData[[Error Type ]],$Q$5))</f>
        <v/>
      </c>
    </row>
    <row r="24418" spans="15:15" x14ac:dyDescent="0.25">
      <c r="O24418" s="20" t="str">
        <f>IF(N24418="","",COUNTIFS(RawData[[Date ]],N24418,RawData[Month List],$Q$6,RawData[Tour/Site],$Q$2,RawData[[Picker ID ]],$Q$3,RawData[Checker ID],$Q$4,RawData[[Error Type ]],$Q$5))</f>
        <v/>
      </c>
    </row>
    <row r="24419" spans="15:15" x14ac:dyDescent="0.25">
      <c r="O24419" s="20" t="str">
        <f>IF(N24419="","",COUNTIFS(RawData[[Date ]],N24419,RawData[Month List],$Q$6,RawData[Tour/Site],$Q$2,RawData[[Picker ID ]],$Q$3,RawData[Checker ID],$Q$4,RawData[[Error Type ]],$Q$5))</f>
        <v/>
      </c>
    </row>
    <row r="24420" spans="15:15" x14ac:dyDescent="0.25">
      <c r="O24420" s="20" t="str">
        <f>IF(N24420="","",COUNTIFS(RawData[[Date ]],N24420,RawData[Month List],$Q$6,RawData[Tour/Site],$Q$2,RawData[[Picker ID ]],$Q$3,RawData[Checker ID],$Q$4,RawData[[Error Type ]],$Q$5))</f>
        <v/>
      </c>
    </row>
    <row r="24421" spans="15:15" x14ac:dyDescent="0.25">
      <c r="O24421" s="20" t="str">
        <f>IF(N24421="","",COUNTIFS(RawData[[Date ]],N24421,RawData[Month List],$Q$6,RawData[Tour/Site],$Q$2,RawData[[Picker ID ]],$Q$3,RawData[Checker ID],$Q$4,RawData[[Error Type ]],$Q$5))</f>
        <v/>
      </c>
    </row>
    <row r="24422" spans="15:15" x14ac:dyDescent="0.25">
      <c r="O24422" s="20" t="str">
        <f>IF(N24422="","",COUNTIFS(RawData[[Date ]],N24422,RawData[Month List],$Q$6,RawData[Tour/Site],$Q$2,RawData[[Picker ID ]],$Q$3,RawData[Checker ID],$Q$4,RawData[[Error Type ]],$Q$5))</f>
        <v/>
      </c>
    </row>
    <row r="24423" spans="15:15" x14ac:dyDescent="0.25">
      <c r="O24423" s="20" t="str">
        <f>IF(N24423="","",COUNTIFS(RawData[[Date ]],N24423,RawData[Month List],$Q$6,RawData[Tour/Site],$Q$2,RawData[[Picker ID ]],$Q$3,RawData[Checker ID],$Q$4,RawData[[Error Type ]],$Q$5))</f>
        <v/>
      </c>
    </row>
    <row r="24424" spans="15:15" x14ac:dyDescent="0.25">
      <c r="O24424" s="20" t="str">
        <f>IF(N24424="","",COUNTIFS(RawData[[Date ]],N24424,RawData[Month List],$Q$6,RawData[Tour/Site],$Q$2,RawData[[Picker ID ]],$Q$3,RawData[Checker ID],$Q$4,RawData[[Error Type ]],$Q$5))</f>
        <v/>
      </c>
    </row>
    <row r="24425" spans="15:15" x14ac:dyDescent="0.25">
      <c r="O24425" s="20" t="str">
        <f>IF(N24425="","",COUNTIFS(RawData[[Date ]],N24425,RawData[Month List],$Q$6,RawData[Tour/Site],$Q$2,RawData[[Picker ID ]],$Q$3,RawData[Checker ID],$Q$4,RawData[[Error Type ]],$Q$5))</f>
        <v/>
      </c>
    </row>
    <row r="24426" spans="15:15" x14ac:dyDescent="0.25">
      <c r="O24426" s="20" t="str">
        <f>IF(N24426="","",COUNTIFS(RawData[[Date ]],N24426,RawData[Month List],$Q$6,RawData[Tour/Site],$Q$2,RawData[[Picker ID ]],$Q$3,RawData[Checker ID],$Q$4,RawData[[Error Type ]],$Q$5))</f>
        <v/>
      </c>
    </row>
    <row r="24427" spans="15:15" x14ac:dyDescent="0.25">
      <c r="O24427" s="20" t="str">
        <f>IF(N24427="","",COUNTIFS(RawData[[Date ]],N24427,RawData[Month List],$Q$6,RawData[Tour/Site],$Q$2,RawData[[Picker ID ]],$Q$3,RawData[Checker ID],$Q$4,RawData[[Error Type ]],$Q$5))</f>
        <v/>
      </c>
    </row>
    <row r="24428" spans="15:15" x14ac:dyDescent="0.25">
      <c r="O24428" s="20" t="str">
        <f>IF(N24428="","",COUNTIFS(RawData[[Date ]],N24428,RawData[Month List],$Q$6,RawData[Tour/Site],$Q$2,RawData[[Picker ID ]],$Q$3,RawData[Checker ID],$Q$4,RawData[[Error Type ]],$Q$5))</f>
        <v/>
      </c>
    </row>
    <row r="24429" spans="15:15" x14ac:dyDescent="0.25">
      <c r="O24429" s="20" t="str">
        <f>IF(N24429="","",COUNTIFS(RawData[[Date ]],N24429,RawData[Month List],$Q$6,RawData[Tour/Site],$Q$2,RawData[[Picker ID ]],$Q$3,RawData[Checker ID],$Q$4,RawData[[Error Type ]],$Q$5))</f>
        <v/>
      </c>
    </row>
    <row r="24430" spans="15:15" x14ac:dyDescent="0.25">
      <c r="O24430" s="20" t="str">
        <f>IF(N24430="","",COUNTIFS(RawData[[Date ]],N24430,RawData[Month List],$Q$6,RawData[Tour/Site],$Q$2,RawData[[Picker ID ]],$Q$3,RawData[Checker ID],$Q$4,RawData[[Error Type ]],$Q$5))</f>
        <v/>
      </c>
    </row>
    <row r="24431" spans="15:15" x14ac:dyDescent="0.25">
      <c r="O24431" s="20" t="str">
        <f>IF(N24431="","",COUNTIFS(RawData[[Date ]],N24431,RawData[Month List],$Q$6,RawData[Tour/Site],$Q$2,RawData[[Picker ID ]],$Q$3,RawData[Checker ID],$Q$4,RawData[[Error Type ]],$Q$5))</f>
        <v/>
      </c>
    </row>
    <row r="24432" spans="15:15" x14ac:dyDescent="0.25">
      <c r="O24432" s="20" t="str">
        <f>IF(N24432="","",COUNTIFS(RawData[[Date ]],N24432,RawData[Month List],$Q$6,RawData[Tour/Site],$Q$2,RawData[[Picker ID ]],$Q$3,RawData[Checker ID],$Q$4,RawData[[Error Type ]],$Q$5))</f>
        <v/>
      </c>
    </row>
    <row r="24433" spans="15:15" x14ac:dyDescent="0.25">
      <c r="O24433" s="20" t="str">
        <f>IF(N24433="","",COUNTIFS(RawData[[Date ]],N24433,RawData[Month List],$Q$6,RawData[Tour/Site],$Q$2,RawData[[Picker ID ]],$Q$3,RawData[Checker ID],$Q$4,RawData[[Error Type ]],$Q$5))</f>
        <v/>
      </c>
    </row>
    <row r="24434" spans="15:15" x14ac:dyDescent="0.25">
      <c r="O24434" s="20" t="str">
        <f>IF(N24434="","",COUNTIFS(RawData[[Date ]],N24434,RawData[Month List],$Q$6,RawData[Tour/Site],$Q$2,RawData[[Picker ID ]],$Q$3,RawData[Checker ID],$Q$4,RawData[[Error Type ]],$Q$5))</f>
        <v/>
      </c>
    </row>
    <row r="24435" spans="15:15" x14ac:dyDescent="0.25">
      <c r="O24435" s="20" t="str">
        <f>IF(N24435="","",COUNTIFS(RawData[[Date ]],N24435,RawData[Month List],$Q$6,RawData[Tour/Site],$Q$2,RawData[[Picker ID ]],$Q$3,RawData[Checker ID],$Q$4,RawData[[Error Type ]],$Q$5))</f>
        <v/>
      </c>
    </row>
    <row r="24436" spans="15:15" x14ac:dyDescent="0.25">
      <c r="O24436" s="20" t="str">
        <f>IF(N24436="","",COUNTIFS(RawData[[Date ]],N24436,RawData[Month List],$Q$6,RawData[Tour/Site],$Q$2,RawData[[Picker ID ]],$Q$3,RawData[Checker ID],$Q$4,RawData[[Error Type ]],$Q$5))</f>
        <v/>
      </c>
    </row>
    <row r="24437" spans="15:15" x14ac:dyDescent="0.25">
      <c r="O24437" s="20" t="str">
        <f>IF(N24437="","",COUNTIFS(RawData[[Date ]],N24437,RawData[Month List],$Q$6,RawData[Tour/Site],$Q$2,RawData[[Picker ID ]],$Q$3,RawData[Checker ID],$Q$4,RawData[[Error Type ]],$Q$5))</f>
        <v/>
      </c>
    </row>
    <row r="24438" spans="15:15" x14ac:dyDescent="0.25">
      <c r="O24438" s="20" t="str">
        <f>IF(N24438="","",COUNTIFS(RawData[[Date ]],N24438,RawData[Month List],$Q$6,RawData[Tour/Site],$Q$2,RawData[[Picker ID ]],$Q$3,RawData[Checker ID],$Q$4,RawData[[Error Type ]],$Q$5))</f>
        <v/>
      </c>
    </row>
    <row r="24439" spans="15:15" x14ac:dyDescent="0.25">
      <c r="O24439" s="20" t="str">
        <f>IF(N24439="","",COUNTIFS(RawData[[Date ]],N24439,RawData[Month List],$Q$6,RawData[Tour/Site],$Q$2,RawData[[Picker ID ]],$Q$3,RawData[Checker ID],$Q$4,RawData[[Error Type ]],$Q$5))</f>
        <v/>
      </c>
    </row>
    <row r="24440" spans="15:15" x14ac:dyDescent="0.25">
      <c r="O24440" s="20" t="str">
        <f>IF(N24440="","",COUNTIFS(RawData[[Date ]],N24440,RawData[Month List],$Q$6,RawData[Tour/Site],$Q$2,RawData[[Picker ID ]],$Q$3,RawData[Checker ID],$Q$4,RawData[[Error Type ]],$Q$5))</f>
        <v/>
      </c>
    </row>
    <row r="24441" spans="15:15" x14ac:dyDescent="0.25">
      <c r="O24441" s="20" t="str">
        <f>IF(N24441="","",COUNTIFS(RawData[[Date ]],N24441,RawData[Month List],$Q$6,RawData[Tour/Site],$Q$2,RawData[[Picker ID ]],$Q$3,RawData[Checker ID],$Q$4,RawData[[Error Type ]],$Q$5))</f>
        <v/>
      </c>
    </row>
    <row r="24442" spans="15:15" x14ac:dyDescent="0.25">
      <c r="O24442" s="20" t="str">
        <f>IF(N24442="","",COUNTIFS(RawData[[Date ]],N24442,RawData[Month List],$Q$6,RawData[Tour/Site],$Q$2,RawData[[Picker ID ]],$Q$3,RawData[Checker ID],$Q$4,RawData[[Error Type ]],$Q$5))</f>
        <v/>
      </c>
    </row>
    <row r="24443" spans="15:15" x14ac:dyDescent="0.25">
      <c r="O24443" s="20" t="str">
        <f>IF(N24443="","",COUNTIFS(RawData[[Date ]],N24443,RawData[Month List],$Q$6,RawData[Tour/Site],$Q$2,RawData[[Picker ID ]],$Q$3,RawData[Checker ID],$Q$4,RawData[[Error Type ]],$Q$5))</f>
        <v/>
      </c>
    </row>
    <row r="24444" spans="15:15" x14ac:dyDescent="0.25">
      <c r="O24444" s="20" t="str">
        <f>IF(N24444="","",COUNTIFS(RawData[[Date ]],N24444,RawData[Month List],$Q$6,RawData[Tour/Site],$Q$2,RawData[[Picker ID ]],$Q$3,RawData[Checker ID],$Q$4,RawData[[Error Type ]],$Q$5))</f>
        <v/>
      </c>
    </row>
    <row r="24445" spans="15:15" x14ac:dyDescent="0.25">
      <c r="O24445" s="20" t="str">
        <f>IF(N24445="","",COUNTIFS(RawData[[Date ]],N24445,RawData[Month List],$Q$6,RawData[Tour/Site],$Q$2,RawData[[Picker ID ]],$Q$3,RawData[Checker ID],$Q$4,RawData[[Error Type ]],$Q$5))</f>
        <v/>
      </c>
    </row>
    <row r="24446" spans="15:15" x14ac:dyDescent="0.25">
      <c r="O24446" s="20" t="str">
        <f>IF(N24446="","",COUNTIFS(RawData[[Date ]],N24446,RawData[Month List],$Q$6,RawData[Tour/Site],$Q$2,RawData[[Picker ID ]],$Q$3,RawData[Checker ID],$Q$4,RawData[[Error Type ]],$Q$5))</f>
        <v/>
      </c>
    </row>
    <row r="24447" spans="15:15" x14ac:dyDescent="0.25">
      <c r="O24447" s="20" t="str">
        <f>IF(N24447="","",COUNTIFS(RawData[[Date ]],N24447,RawData[Month List],$Q$6,RawData[Tour/Site],$Q$2,RawData[[Picker ID ]],$Q$3,RawData[Checker ID],$Q$4,RawData[[Error Type ]],$Q$5))</f>
        <v/>
      </c>
    </row>
    <row r="24448" spans="15:15" x14ac:dyDescent="0.25">
      <c r="O24448" s="20" t="str">
        <f>IF(N24448="","",COUNTIFS(RawData[[Date ]],N24448,RawData[Month List],$Q$6,RawData[Tour/Site],$Q$2,RawData[[Picker ID ]],$Q$3,RawData[Checker ID],$Q$4,RawData[[Error Type ]],$Q$5))</f>
        <v/>
      </c>
    </row>
    <row r="24449" spans="15:15" x14ac:dyDescent="0.25">
      <c r="O24449" s="20" t="str">
        <f>IF(N24449="","",COUNTIFS(RawData[[Date ]],N24449,RawData[Month List],$Q$6,RawData[Tour/Site],$Q$2,RawData[[Picker ID ]],$Q$3,RawData[Checker ID],$Q$4,RawData[[Error Type ]],$Q$5))</f>
        <v/>
      </c>
    </row>
    <row r="24450" spans="15:15" x14ac:dyDescent="0.25">
      <c r="O24450" s="20" t="str">
        <f>IF(N24450="","",COUNTIFS(RawData[[Date ]],N24450,RawData[Month List],$Q$6,RawData[Tour/Site],$Q$2,RawData[[Picker ID ]],$Q$3,RawData[Checker ID],$Q$4,RawData[[Error Type ]],$Q$5))</f>
        <v/>
      </c>
    </row>
    <row r="24451" spans="15:15" x14ac:dyDescent="0.25">
      <c r="O24451" s="20" t="str">
        <f>IF(N24451="","",COUNTIFS(RawData[[Date ]],N24451,RawData[Month List],$Q$6,RawData[Tour/Site],$Q$2,RawData[[Picker ID ]],$Q$3,RawData[Checker ID],$Q$4,RawData[[Error Type ]],$Q$5))</f>
        <v/>
      </c>
    </row>
    <row r="24452" spans="15:15" x14ac:dyDescent="0.25">
      <c r="O24452" s="20" t="str">
        <f>IF(N24452="","",COUNTIFS(RawData[[Date ]],N24452,RawData[Month List],$Q$6,RawData[Tour/Site],$Q$2,RawData[[Picker ID ]],$Q$3,RawData[Checker ID],$Q$4,RawData[[Error Type ]],$Q$5))</f>
        <v/>
      </c>
    </row>
    <row r="24453" spans="15:15" x14ac:dyDescent="0.25">
      <c r="O24453" s="20" t="str">
        <f>IF(N24453="","",COUNTIFS(RawData[[Date ]],N24453,RawData[Month List],$Q$6,RawData[Tour/Site],$Q$2,RawData[[Picker ID ]],$Q$3,RawData[Checker ID],$Q$4,RawData[[Error Type ]],$Q$5))</f>
        <v/>
      </c>
    </row>
    <row r="24454" spans="15:15" x14ac:dyDescent="0.25">
      <c r="O24454" s="20" t="str">
        <f>IF(N24454="","",COUNTIFS(RawData[[Date ]],N24454,RawData[Month List],$Q$6,RawData[Tour/Site],$Q$2,RawData[[Picker ID ]],$Q$3,RawData[Checker ID],$Q$4,RawData[[Error Type ]],$Q$5))</f>
        <v/>
      </c>
    </row>
    <row r="24455" spans="15:15" x14ac:dyDescent="0.25">
      <c r="O24455" s="20" t="str">
        <f>IF(N24455="","",COUNTIFS(RawData[[Date ]],N24455,RawData[Month List],$Q$6,RawData[Tour/Site],$Q$2,RawData[[Picker ID ]],$Q$3,RawData[Checker ID],$Q$4,RawData[[Error Type ]],$Q$5))</f>
        <v/>
      </c>
    </row>
    <row r="24456" spans="15:15" x14ac:dyDescent="0.25">
      <c r="O24456" s="20" t="str">
        <f>IF(N24456="","",COUNTIFS(RawData[[Date ]],N24456,RawData[Month List],$Q$6,RawData[Tour/Site],$Q$2,RawData[[Picker ID ]],$Q$3,RawData[Checker ID],$Q$4,RawData[[Error Type ]],$Q$5))</f>
        <v/>
      </c>
    </row>
    <row r="24457" spans="15:15" x14ac:dyDescent="0.25">
      <c r="O24457" s="20" t="str">
        <f>IF(N24457="","",COUNTIFS(RawData[[Date ]],N24457,RawData[Month List],$Q$6,RawData[Tour/Site],$Q$2,RawData[[Picker ID ]],$Q$3,RawData[Checker ID],$Q$4,RawData[[Error Type ]],$Q$5))</f>
        <v/>
      </c>
    </row>
    <row r="24458" spans="15:15" x14ac:dyDescent="0.25">
      <c r="O24458" s="20" t="str">
        <f>IF(N24458="","",COUNTIFS(RawData[[Date ]],N24458,RawData[Month List],$Q$6,RawData[Tour/Site],$Q$2,RawData[[Picker ID ]],$Q$3,RawData[Checker ID],$Q$4,RawData[[Error Type ]],$Q$5))</f>
        <v/>
      </c>
    </row>
    <row r="24459" spans="15:15" x14ac:dyDescent="0.25">
      <c r="O24459" s="20" t="str">
        <f>IF(N24459="","",COUNTIFS(RawData[[Date ]],N24459,RawData[Month List],$Q$6,RawData[Tour/Site],$Q$2,RawData[[Picker ID ]],$Q$3,RawData[Checker ID],$Q$4,RawData[[Error Type ]],$Q$5))</f>
        <v/>
      </c>
    </row>
    <row r="24460" spans="15:15" x14ac:dyDescent="0.25">
      <c r="O24460" s="20" t="str">
        <f>IF(N24460="","",COUNTIFS(RawData[[Date ]],N24460,RawData[Month List],$Q$6,RawData[Tour/Site],$Q$2,RawData[[Picker ID ]],$Q$3,RawData[Checker ID],$Q$4,RawData[[Error Type ]],$Q$5))</f>
        <v/>
      </c>
    </row>
    <row r="24461" spans="15:15" x14ac:dyDescent="0.25">
      <c r="O24461" s="20" t="str">
        <f>IF(N24461="","",COUNTIFS(RawData[[Date ]],N24461,RawData[Month List],$Q$6,RawData[Tour/Site],$Q$2,RawData[[Picker ID ]],$Q$3,RawData[Checker ID],$Q$4,RawData[[Error Type ]],$Q$5))</f>
        <v/>
      </c>
    </row>
    <row r="24462" spans="15:15" x14ac:dyDescent="0.25">
      <c r="O24462" s="20" t="str">
        <f>IF(N24462="","",COUNTIFS(RawData[[Date ]],N24462,RawData[Month List],$Q$6,RawData[Tour/Site],$Q$2,RawData[[Picker ID ]],$Q$3,RawData[Checker ID],$Q$4,RawData[[Error Type ]],$Q$5))</f>
        <v/>
      </c>
    </row>
    <row r="24463" spans="15:15" x14ac:dyDescent="0.25">
      <c r="O24463" s="20" t="str">
        <f>IF(N24463="","",COUNTIFS(RawData[[Date ]],N24463,RawData[Month List],$Q$6,RawData[Tour/Site],$Q$2,RawData[[Picker ID ]],$Q$3,RawData[Checker ID],$Q$4,RawData[[Error Type ]],$Q$5))</f>
        <v/>
      </c>
    </row>
    <row r="24464" spans="15:15" x14ac:dyDescent="0.25">
      <c r="O24464" s="20" t="str">
        <f>IF(N24464="","",COUNTIFS(RawData[[Date ]],N24464,RawData[Month List],$Q$6,RawData[Tour/Site],$Q$2,RawData[[Picker ID ]],$Q$3,RawData[Checker ID],$Q$4,RawData[[Error Type ]],$Q$5))</f>
        <v/>
      </c>
    </row>
    <row r="24465" spans="15:15" x14ac:dyDescent="0.25">
      <c r="O24465" s="20" t="str">
        <f>IF(N24465="","",COUNTIFS(RawData[[Date ]],N24465,RawData[Month List],$Q$6,RawData[Tour/Site],$Q$2,RawData[[Picker ID ]],$Q$3,RawData[Checker ID],$Q$4,RawData[[Error Type ]],$Q$5))</f>
        <v/>
      </c>
    </row>
    <row r="24466" spans="15:15" x14ac:dyDescent="0.25">
      <c r="O24466" s="20" t="str">
        <f>IF(N24466="","",COUNTIFS(RawData[[Date ]],N24466,RawData[Month List],$Q$6,RawData[Tour/Site],$Q$2,RawData[[Picker ID ]],$Q$3,RawData[Checker ID],$Q$4,RawData[[Error Type ]],$Q$5))</f>
        <v/>
      </c>
    </row>
    <row r="24467" spans="15:15" x14ac:dyDescent="0.25">
      <c r="O24467" s="20" t="str">
        <f>IF(N24467="","",COUNTIFS(RawData[[Date ]],N24467,RawData[Month List],$Q$6,RawData[Tour/Site],$Q$2,RawData[[Picker ID ]],$Q$3,RawData[Checker ID],$Q$4,RawData[[Error Type ]],$Q$5))</f>
        <v/>
      </c>
    </row>
    <row r="24468" spans="15:15" x14ac:dyDescent="0.25">
      <c r="O24468" s="20" t="str">
        <f>IF(N24468="","",COUNTIFS(RawData[[Date ]],N24468,RawData[Month List],$Q$6,RawData[Tour/Site],$Q$2,RawData[[Picker ID ]],$Q$3,RawData[Checker ID],$Q$4,RawData[[Error Type ]],$Q$5))</f>
        <v/>
      </c>
    </row>
    <row r="24469" spans="15:15" x14ac:dyDescent="0.25">
      <c r="O24469" s="20" t="str">
        <f>IF(N24469="","",COUNTIFS(RawData[[Date ]],N24469,RawData[Month List],$Q$6,RawData[Tour/Site],$Q$2,RawData[[Picker ID ]],$Q$3,RawData[Checker ID],$Q$4,RawData[[Error Type ]],$Q$5))</f>
        <v/>
      </c>
    </row>
    <row r="24470" spans="15:15" x14ac:dyDescent="0.25">
      <c r="O24470" s="20" t="str">
        <f>IF(N24470="","",COUNTIFS(RawData[[Date ]],N24470,RawData[Month List],$Q$6,RawData[Tour/Site],$Q$2,RawData[[Picker ID ]],$Q$3,RawData[Checker ID],$Q$4,RawData[[Error Type ]],$Q$5))</f>
        <v/>
      </c>
    </row>
    <row r="24471" spans="15:15" x14ac:dyDescent="0.25">
      <c r="O24471" s="20" t="str">
        <f>IF(N24471="","",COUNTIFS(RawData[[Date ]],N24471,RawData[Month List],$Q$6,RawData[Tour/Site],$Q$2,RawData[[Picker ID ]],$Q$3,RawData[Checker ID],$Q$4,RawData[[Error Type ]],$Q$5))</f>
        <v/>
      </c>
    </row>
    <row r="24472" spans="15:15" x14ac:dyDescent="0.25">
      <c r="O24472" s="20" t="str">
        <f>IF(N24472="","",COUNTIFS(RawData[[Date ]],N24472,RawData[Month List],$Q$6,RawData[Tour/Site],$Q$2,RawData[[Picker ID ]],$Q$3,RawData[Checker ID],$Q$4,RawData[[Error Type ]],$Q$5))</f>
        <v/>
      </c>
    </row>
    <row r="24473" spans="15:15" x14ac:dyDescent="0.25">
      <c r="O24473" s="20" t="str">
        <f>IF(N24473="","",COUNTIFS(RawData[[Date ]],N24473,RawData[Month List],$Q$6,RawData[Tour/Site],$Q$2,RawData[[Picker ID ]],$Q$3,RawData[Checker ID],$Q$4,RawData[[Error Type ]],$Q$5))</f>
        <v/>
      </c>
    </row>
    <row r="24474" spans="15:15" x14ac:dyDescent="0.25">
      <c r="O24474" s="20" t="str">
        <f>IF(N24474="","",COUNTIFS(RawData[[Date ]],N24474,RawData[Month List],$Q$6,RawData[Tour/Site],$Q$2,RawData[[Picker ID ]],$Q$3,RawData[Checker ID],$Q$4,RawData[[Error Type ]],$Q$5))</f>
        <v/>
      </c>
    </row>
    <row r="24475" spans="15:15" x14ac:dyDescent="0.25">
      <c r="O24475" s="20" t="str">
        <f>IF(N24475="","",COUNTIFS(RawData[[Date ]],N24475,RawData[Month List],$Q$6,RawData[Tour/Site],$Q$2,RawData[[Picker ID ]],$Q$3,RawData[Checker ID],$Q$4,RawData[[Error Type ]],$Q$5))</f>
        <v/>
      </c>
    </row>
    <row r="24476" spans="15:15" x14ac:dyDescent="0.25">
      <c r="O24476" s="20" t="str">
        <f>IF(N24476="","",COUNTIFS(RawData[[Date ]],N24476,RawData[Month List],$Q$6,RawData[Tour/Site],$Q$2,RawData[[Picker ID ]],$Q$3,RawData[Checker ID],$Q$4,RawData[[Error Type ]],$Q$5))</f>
        <v/>
      </c>
    </row>
    <row r="24477" spans="15:15" x14ac:dyDescent="0.25">
      <c r="O24477" s="20" t="str">
        <f>IF(N24477="","",COUNTIFS(RawData[[Date ]],N24477,RawData[Month List],$Q$6,RawData[Tour/Site],$Q$2,RawData[[Picker ID ]],$Q$3,RawData[Checker ID],$Q$4,RawData[[Error Type ]],$Q$5))</f>
        <v/>
      </c>
    </row>
    <row r="24478" spans="15:15" x14ac:dyDescent="0.25">
      <c r="O24478" s="20" t="str">
        <f>IF(N24478="","",COUNTIFS(RawData[[Date ]],N24478,RawData[Month List],$Q$6,RawData[Tour/Site],$Q$2,RawData[[Picker ID ]],$Q$3,RawData[Checker ID],$Q$4,RawData[[Error Type ]],$Q$5))</f>
        <v/>
      </c>
    </row>
    <row r="24479" spans="15:15" x14ac:dyDescent="0.25">
      <c r="O24479" s="20" t="str">
        <f>IF(N24479="","",COUNTIFS(RawData[[Date ]],N24479,RawData[Month List],$Q$6,RawData[Tour/Site],$Q$2,RawData[[Picker ID ]],$Q$3,RawData[Checker ID],$Q$4,RawData[[Error Type ]],$Q$5))</f>
        <v/>
      </c>
    </row>
    <row r="24480" spans="15:15" x14ac:dyDescent="0.25">
      <c r="O24480" s="20" t="str">
        <f>IF(N24480="","",COUNTIFS(RawData[[Date ]],N24480,RawData[Month List],$Q$6,RawData[Tour/Site],$Q$2,RawData[[Picker ID ]],$Q$3,RawData[Checker ID],$Q$4,RawData[[Error Type ]],$Q$5))</f>
        <v/>
      </c>
    </row>
    <row r="24481" spans="15:15" x14ac:dyDescent="0.25">
      <c r="O24481" s="20" t="str">
        <f>IF(N24481="","",COUNTIFS(RawData[[Date ]],N24481,RawData[Month List],$Q$6,RawData[Tour/Site],$Q$2,RawData[[Picker ID ]],$Q$3,RawData[Checker ID],$Q$4,RawData[[Error Type ]],$Q$5))</f>
        <v/>
      </c>
    </row>
    <row r="24482" spans="15:15" x14ac:dyDescent="0.25">
      <c r="O24482" s="20" t="str">
        <f>IF(N24482="","",COUNTIFS(RawData[[Date ]],N24482,RawData[Month List],$Q$6,RawData[Tour/Site],$Q$2,RawData[[Picker ID ]],$Q$3,RawData[Checker ID],$Q$4,RawData[[Error Type ]],$Q$5))</f>
        <v/>
      </c>
    </row>
    <row r="24483" spans="15:15" x14ac:dyDescent="0.25">
      <c r="O24483" s="20" t="str">
        <f>IF(N24483="","",COUNTIFS(RawData[[Date ]],N24483,RawData[Month List],$Q$6,RawData[Tour/Site],$Q$2,RawData[[Picker ID ]],$Q$3,RawData[Checker ID],$Q$4,RawData[[Error Type ]],$Q$5))</f>
        <v/>
      </c>
    </row>
    <row r="24484" spans="15:15" x14ac:dyDescent="0.25">
      <c r="O24484" s="20" t="str">
        <f>IF(N24484="","",COUNTIFS(RawData[[Date ]],N24484,RawData[Month List],$Q$6,RawData[Tour/Site],$Q$2,RawData[[Picker ID ]],$Q$3,RawData[Checker ID],$Q$4,RawData[[Error Type ]],$Q$5))</f>
        <v/>
      </c>
    </row>
    <row r="24485" spans="15:15" x14ac:dyDescent="0.25">
      <c r="O24485" s="20" t="str">
        <f>IF(N24485="","",COUNTIFS(RawData[[Date ]],N24485,RawData[Month List],$Q$6,RawData[Tour/Site],$Q$2,RawData[[Picker ID ]],$Q$3,RawData[Checker ID],$Q$4,RawData[[Error Type ]],$Q$5))</f>
        <v/>
      </c>
    </row>
    <row r="24486" spans="15:15" x14ac:dyDescent="0.25">
      <c r="O24486" s="20" t="str">
        <f>IF(N24486="","",COUNTIFS(RawData[[Date ]],N24486,RawData[Month List],$Q$6,RawData[Tour/Site],$Q$2,RawData[[Picker ID ]],$Q$3,RawData[Checker ID],$Q$4,RawData[[Error Type ]],$Q$5))</f>
        <v/>
      </c>
    </row>
    <row r="24487" spans="15:15" x14ac:dyDescent="0.25">
      <c r="O24487" s="20" t="str">
        <f>IF(N24487="","",COUNTIFS(RawData[[Date ]],N24487,RawData[Month List],$Q$6,RawData[Tour/Site],$Q$2,RawData[[Picker ID ]],$Q$3,RawData[Checker ID],$Q$4,RawData[[Error Type ]],$Q$5))</f>
        <v/>
      </c>
    </row>
    <row r="24488" spans="15:15" x14ac:dyDescent="0.25">
      <c r="O24488" s="20" t="str">
        <f>IF(N24488="","",COUNTIFS(RawData[[Date ]],N24488,RawData[Month List],$Q$6,RawData[Tour/Site],$Q$2,RawData[[Picker ID ]],$Q$3,RawData[Checker ID],$Q$4,RawData[[Error Type ]],$Q$5))</f>
        <v/>
      </c>
    </row>
    <row r="24489" spans="15:15" x14ac:dyDescent="0.25">
      <c r="O24489" s="20" t="str">
        <f>IF(N24489="","",COUNTIFS(RawData[[Date ]],N24489,RawData[Month List],$Q$6,RawData[Tour/Site],$Q$2,RawData[[Picker ID ]],$Q$3,RawData[Checker ID],$Q$4,RawData[[Error Type ]],$Q$5))</f>
        <v/>
      </c>
    </row>
    <row r="24490" spans="15:15" x14ac:dyDescent="0.25">
      <c r="O24490" s="20" t="str">
        <f>IF(N24490="","",COUNTIFS(RawData[[Date ]],N24490,RawData[Month List],$Q$6,RawData[Tour/Site],$Q$2,RawData[[Picker ID ]],$Q$3,RawData[Checker ID],$Q$4,RawData[[Error Type ]],$Q$5))</f>
        <v/>
      </c>
    </row>
    <row r="24491" spans="15:15" x14ac:dyDescent="0.25">
      <c r="O24491" s="20" t="str">
        <f>IF(N24491="","",COUNTIFS(RawData[[Date ]],N24491,RawData[Month List],$Q$6,RawData[Tour/Site],$Q$2,RawData[[Picker ID ]],$Q$3,RawData[Checker ID],$Q$4,RawData[[Error Type ]],$Q$5))</f>
        <v/>
      </c>
    </row>
    <row r="24492" spans="15:15" x14ac:dyDescent="0.25">
      <c r="O24492" s="20" t="str">
        <f>IF(N24492="","",COUNTIFS(RawData[[Date ]],N24492,RawData[Month List],$Q$6,RawData[Tour/Site],$Q$2,RawData[[Picker ID ]],$Q$3,RawData[Checker ID],$Q$4,RawData[[Error Type ]],$Q$5))</f>
        <v/>
      </c>
    </row>
    <row r="24493" spans="15:15" x14ac:dyDescent="0.25">
      <c r="O24493" s="20" t="str">
        <f>IF(N24493="","",COUNTIFS(RawData[[Date ]],N24493,RawData[Month List],$Q$6,RawData[Tour/Site],$Q$2,RawData[[Picker ID ]],$Q$3,RawData[Checker ID],$Q$4,RawData[[Error Type ]],$Q$5))</f>
        <v/>
      </c>
    </row>
    <row r="24494" spans="15:15" x14ac:dyDescent="0.25">
      <c r="O24494" s="20" t="str">
        <f>IF(N24494="","",COUNTIFS(RawData[[Date ]],N24494,RawData[Month List],$Q$6,RawData[Tour/Site],$Q$2,RawData[[Picker ID ]],$Q$3,RawData[Checker ID],$Q$4,RawData[[Error Type ]],$Q$5))</f>
        <v/>
      </c>
    </row>
    <row r="24495" spans="15:15" x14ac:dyDescent="0.25">
      <c r="O24495" s="20" t="str">
        <f>IF(N24495="","",COUNTIFS(RawData[[Date ]],N24495,RawData[Month List],$Q$6,RawData[Tour/Site],$Q$2,RawData[[Picker ID ]],$Q$3,RawData[Checker ID],$Q$4,RawData[[Error Type ]],$Q$5))</f>
        <v/>
      </c>
    </row>
    <row r="24496" spans="15:15" x14ac:dyDescent="0.25">
      <c r="O24496" s="20" t="str">
        <f>IF(N24496="","",COUNTIFS(RawData[[Date ]],N24496,RawData[Month List],$Q$6,RawData[Tour/Site],$Q$2,RawData[[Picker ID ]],$Q$3,RawData[Checker ID],$Q$4,RawData[[Error Type ]],$Q$5))</f>
        <v/>
      </c>
    </row>
    <row r="24497" spans="15:15" x14ac:dyDescent="0.25">
      <c r="O24497" s="20" t="str">
        <f>IF(N24497="","",COUNTIFS(RawData[[Date ]],N24497,RawData[Month List],$Q$6,RawData[Tour/Site],$Q$2,RawData[[Picker ID ]],$Q$3,RawData[Checker ID],$Q$4,RawData[[Error Type ]],$Q$5))</f>
        <v/>
      </c>
    </row>
    <row r="24498" spans="15:15" x14ac:dyDescent="0.25">
      <c r="O24498" s="20" t="str">
        <f>IF(N24498="","",COUNTIFS(RawData[[Date ]],N24498,RawData[Month List],$Q$6,RawData[Tour/Site],$Q$2,RawData[[Picker ID ]],$Q$3,RawData[Checker ID],$Q$4,RawData[[Error Type ]],$Q$5))</f>
        <v/>
      </c>
    </row>
    <row r="24499" spans="15:15" x14ac:dyDescent="0.25">
      <c r="O24499" s="20" t="str">
        <f>IF(N24499="","",COUNTIFS(RawData[[Date ]],N24499,RawData[Month List],$Q$6,RawData[Tour/Site],$Q$2,RawData[[Picker ID ]],$Q$3,RawData[Checker ID],$Q$4,RawData[[Error Type ]],$Q$5))</f>
        <v/>
      </c>
    </row>
    <row r="24500" spans="15:15" x14ac:dyDescent="0.25">
      <c r="O24500" s="20" t="str">
        <f>IF(N24500="","",COUNTIFS(RawData[[Date ]],N24500,RawData[Month List],$Q$6,RawData[Tour/Site],$Q$2,RawData[[Picker ID ]],$Q$3,RawData[Checker ID],$Q$4,RawData[[Error Type ]],$Q$5))</f>
        <v/>
      </c>
    </row>
    <row r="24501" spans="15:15" x14ac:dyDescent="0.25">
      <c r="O24501" s="20" t="str">
        <f>IF(N24501="","",COUNTIFS(RawData[[Date ]],N24501,RawData[Month List],$Q$6,RawData[Tour/Site],$Q$2,RawData[[Picker ID ]],$Q$3,RawData[Checker ID],$Q$4,RawData[[Error Type ]],$Q$5))</f>
        <v/>
      </c>
    </row>
    <row r="24502" spans="15:15" x14ac:dyDescent="0.25">
      <c r="O24502" s="20" t="str">
        <f>IF(N24502="","",COUNTIFS(RawData[[Date ]],N24502,RawData[Month List],$Q$6,RawData[Tour/Site],$Q$2,RawData[[Picker ID ]],$Q$3,RawData[Checker ID],$Q$4,RawData[[Error Type ]],$Q$5))</f>
        <v/>
      </c>
    </row>
    <row r="24503" spans="15:15" x14ac:dyDescent="0.25">
      <c r="O24503" s="20" t="str">
        <f>IF(N24503="","",COUNTIFS(RawData[[Date ]],N24503,RawData[Month List],$Q$6,RawData[Tour/Site],$Q$2,RawData[[Picker ID ]],$Q$3,RawData[Checker ID],$Q$4,RawData[[Error Type ]],$Q$5))</f>
        <v/>
      </c>
    </row>
    <row r="24504" spans="15:15" x14ac:dyDescent="0.25">
      <c r="O24504" s="20" t="str">
        <f>IF(N24504="","",COUNTIFS(RawData[[Date ]],N24504,RawData[Month List],$Q$6,RawData[Tour/Site],$Q$2,RawData[[Picker ID ]],$Q$3,RawData[Checker ID],$Q$4,RawData[[Error Type ]],$Q$5))</f>
        <v/>
      </c>
    </row>
    <row r="24505" spans="15:15" x14ac:dyDescent="0.25">
      <c r="O24505" s="20" t="str">
        <f>IF(N24505="","",COUNTIFS(RawData[[Date ]],N24505,RawData[Month List],$Q$6,RawData[Tour/Site],$Q$2,RawData[[Picker ID ]],$Q$3,RawData[Checker ID],$Q$4,RawData[[Error Type ]],$Q$5))</f>
        <v/>
      </c>
    </row>
    <row r="24506" spans="15:15" x14ac:dyDescent="0.25">
      <c r="O24506" s="20" t="str">
        <f>IF(N24506="","",COUNTIFS(RawData[[Date ]],N24506,RawData[Month List],$Q$6,RawData[Tour/Site],$Q$2,RawData[[Picker ID ]],$Q$3,RawData[Checker ID],$Q$4,RawData[[Error Type ]],$Q$5))</f>
        <v/>
      </c>
    </row>
    <row r="24507" spans="15:15" x14ac:dyDescent="0.25">
      <c r="O24507" s="20" t="str">
        <f>IF(N24507="","",COUNTIFS(RawData[[Date ]],N24507,RawData[Month List],$Q$6,RawData[Tour/Site],$Q$2,RawData[[Picker ID ]],$Q$3,RawData[Checker ID],$Q$4,RawData[[Error Type ]],$Q$5))</f>
        <v/>
      </c>
    </row>
    <row r="24508" spans="15:15" x14ac:dyDescent="0.25">
      <c r="O24508" s="20" t="str">
        <f>IF(N24508="","",COUNTIFS(RawData[[Date ]],N24508,RawData[Month List],$Q$6,RawData[Tour/Site],$Q$2,RawData[[Picker ID ]],$Q$3,RawData[Checker ID],$Q$4,RawData[[Error Type ]],$Q$5))</f>
        <v/>
      </c>
    </row>
    <row r="24509" spans="15:15" x14ac:dyDescent="0.25">
      <c r="O24509" s="20" t="str">
        <f>IF(N24509="","",COUNTIFS(RawData[[Date ]],N24509,RawData[Month List],$Q$6,RawData[Tour/Site],$Q$2,RawData[[Picker ID ]],$Q$3,RawData[Checker ID],$Q$4,RawData[[Error Type ]],$Q$5))</f>
        <v/>
      </c>
    </row>
    <row r="24510" spans="15:15" x14ac:dyDescent="0.25">
      <c r="O24510" s="20" t="str">
        <f>IF(N24510="","",COUNTIFS(RawData[[Date ]],N24510,RawData[Month List],$Q$6,RawData[Tour/Site],$Q$2,RawData[[Picker ID ]],$Q$3,RawData[Checker ID],$Q$4,RawData[[Error Type ]],$Q$5))</f>
        <v/>
      </c>
    </row>
    <row r="24511" spans="15:15" x14ac:dyDescent="0.25">
      <c r="O24511" s="20" t="str">
        <f>IF(N24511="","",COUNTIFS(RawData[[Date ]],N24511,RawData[Month List],$Q$6,RawData[Tour/Site],$Q$2,RawData[[Picker ID ]],$Q$3,RawData[Checker ID],$Q$4,RawData[[Error Type ]],$Q$5))</f>
        <v/>
      </c>
    </row>
    <row r="24512" spans="15:15" x14ac:dyDescent="0.25">
      <c r="O24512" s="20" t="str">
        <f>IF(N24512="","",COUNTIFS(RawData[[Date ]],N24512,RawData[Month List],$Q$6,RawData[Tour/Site],$Q$2,RawData[[Picker ID ]],$Q$3,RawData[Checker ID],$Q$4,RawData[[Error Type ]],$Q$5))</f>
        <v/>
      </c>
    </row>
    <row r="24513" spans="15:15" x14ac:dyDescent="0.25">
      <c r="O24513" s="20" t="str">
        <f>IF(N24513="","",COUNTIFS(RawData[[Date ]],N24513,RawData[Month List],$Q$6,RawData[Tour/Site],$Q$2,RawData[[Picker ID ]],$Q$3,RawData[Checker ID],$Q$4,RawData[[Error Type ]],$Q$5))</f>
        <v/>
      </c>
    </row>
    <row r="24514" spans="15:15" x14ac:dyDescent="0.25">
      <c r="O24514" s="20" t="str">
        <f>IF(N24514="","",COUNTIFS(RawData[[Date ]],N24514,RawData[Month List],$Q$6,RawData[Tour/Site],$Q$2,RawData[[Picker ID ]],$Q$3,RawData[Checker ID],$Q$4,RawData[[Error Type ]],$Q$5))</f>
        <v/>
      </c>
    </row>
    <row r="24515" spans="15:15" x14ac:dyDescent="0.25">
      <c r="O24515" s="20" t="str">
        <f>IF(N24515="","",COUNTIFS(RawData[[Date ]],N24515,RawData[Month List],$Q$6,RawData[Tour/Site],$Q$2,RawData[[Picker ID ]],$Q$3,RawData[Checker ID],$Q$4,RawData[[Error Type ]],$Q$5))</f>
        <v/>
      </c>
    </row>
    <row r="24516" spans="15:15" x14ac:dyDescent="0.25">
      <c r="O24516" s="20" t="str">
        <f>IF(N24516="","",COUNTIFS(RawData[[Date ]],N24516,RawData[Month List],$Q$6,RawData[Tour/Site],$Q$2,RawData[[Picker ID ]],$Q$3,RawData[Checker ID],$Q$4,RawData[[Error Type ]],$Q$5))</f>
        <v/>
      </c>
    </row>
    <row r="24517" spans="15:15" x14ac:dyDescent="0.25">
      <c r="O24517" s="20" t="str">
        <f>IF(N24517="","",COUNTIFS(RawData[[Date ]],N24517,RawData[Month List],$Q$6,RawData[Tour/Site],$Q$2,RawData[[Picker ID ]],$Q$3,RawData[Checker ID],$Q$4,RawData[[Error Type ]],$Q$5))</f>
        <v/>
      </c>
    </row>
    <row r="24518" spans="15:15" x14ac:dyDescent="0.25">
      <c r="O24518" s="20" t="str">
        <f>IF(N24518="","",COUNTIFS(RawData[[Date ]],N24518,RawData[Month List],$Q$6,RawData[Tour/Site],$Q$2,RawData[[Picker ID ]],$Q$3,RawData[Checker ID],$Q$4,RawData[[Error Type ]],$Q$5))</f>
        <v/>
      </c>
    </row>
    <row r="24519" spans="15:15" x14ac:dyDescent="0.25">
      <c r="O24519" s="20" t="str">
        <f>IF(N24519="","",COUNTIFS(RawData[[Date ]],N24519,RawData[Month List],$Q$6,RawData[Tour/Site],$Q$2,RawData[[Picker ID ]],$Q$3,RawData[Checker ID],$Q$4,RawData[[Error Type ]],$Q$5))</f>
        <v/>
      </c>
    </row>
    <row r="24520" spans="15:15" x14ac:dyDescent="0.25">
      <c r="O24520" s="20" t="str">
        <f>IF(N24520="","",COUNTIFS(RawData[[Date ]],N24520,RawData[Month List],$Q$6,RawData[Tour/Site],$Q$2,RawData[[Picker ID ]],$Q$3,RawData[Checker ID],$Q$4,RawData[[Error Type ]],$Q$5))</f>
        <v/>
      </c>
    </row>
    <row r="24521" spans="15:15" x14ac:dyDescent="0.25">
      <c r="O24521" s="20" t="str">
        <f>IF(N24521="","",COUNTIFS(RawData[[Date ]],N24521,RawData[Month List],$Q$6,RawData[Tour/Site],$Q$2,RawData[[Picker ID ]],$Q$3,RawData[Checker ID],$Q$4,RawData[[Error Type ]],$Q$5))</f>
        <v/>
      </c>
    </row>
    <row r="24522" spans="15:15" x14ac:dyDescent="0.25">
      <c r="O24522" s="20" t="str">
        <f>IF(N24522="","",COUNTIFS(RawData[[Date ]],N24522,RawData[Month List],$Q$6,RawData[Tour/Site],$Q$2,RawData[[Picker ID ]],$Q$3,RawData[Checker ID],$Q$4,RawData[[Error Type ]],$Q$5))</f>
        <v/>
      </c>
    </row>
    <row r="24523" spans="15:15" x14ac:dyDescent="0.25">
      <c r="O24523" s="20" t="str">
        <f>IF(N24523="","",COUNTIFS(RawData[[Date ]],N24523,RawData[Month List],$Q$6,RawData[Tour/Site],$Q$2,RawData[[Picker ID ]],$Q$3,RawData[Checker ID],$Q$4,RawData[[Error Type ]],$Q$5))</f>
        <v/>
      </c>
    </row>
    <row r="24524" spans="15:15" x14ac:dyDescent="0.25">
      <c r="O24524" s="20" t="str">
        <f>IF(N24524="","",COUNTIFS(RawData[[Date ]],N24524,RawData[Month List],$Q$6,RawData[Tour/Site],$Q$2,RawData[[Picker ID ]],$Q$3,RawData[Checker ID],$Q$4,RawData[[Error Type ]],$Q$5))</f>
        <v/>
      </c>
    </row>
    <row r="24525" spans="15:15" x14ac:dyDescent="0.25">
      <c r="O24525" s="20" t="str">
        <f>IF(N24525="","",COUNTIFS(RawData[[Date ]],N24525,RawData[Month List],$Q$6,RawData[Tour/Site],$Q$2,RawData[[Picker ID ]],$Q$3,RawData[Checker ID],$Q$4,RawData[[Error Type ]],$Q$5))</f>
        <v/>
      </c>
    </row>
    <row r="24526" spans="15:15" x14ac:dyDescent="0.25">
      <c r="O24526" s="20" t="str">
        <f>IF(N24526="","",COUNTIFS(RawData[[Date ]],N24526,RawData[Month List],$Q$6,RawData[Tour/Site],$Q$2,RawData[[Picker ID ]],$Q$3,RawData[Checker ID],$Q$4,RawData[[Error Type ]],$Q$5))</f>
        <v/>
      </c>
    </row>
    <row r="24527" spans="15:15" x14ac:dyDescent="0.25">
      <c r="O24527" s="20" t="str">
        <f>IF(N24527="","",COUNTIFS(RawData[[Date ]],N24527,RawData[Month List],$Q$6,RawData[Tour/Site],$Q$2,RawData[[Picker ID ]],$Q$3,RawData[Checker ID],$Q$4,RawData[[Error Type ]],$Q$5))</f>
        <v/>
      </c>
    </row>
    <row r="24528" spans="15:15" x14ac:dyDescent="0.25">
      <c r="O24528" s="20" t="str">
        <f>IF(N24528="","",COUNTIFS(RawData[[Date ]],N24528,RawData[Month List],$Q$6,RawData[Tour/Site],$Q$2,RawData[[Picker ID ]],$Q$3,RawData[Checker ID],$Q$4,RawData[[Error Type ]],$Q$5))</f>
        <v/>
      </c>
    </row>
    <row r="24529" spans="15:15" x14ac:dyDescent="0.25">
      <c r="O24529" s="20" t="str">
        <f>IF(N24529="","",COUNTIFS(RawData[[Date ]],N24529,RawData[Month List],$Q$6,RawData[Tour/Site],$Q$2,RawData[[Picker ID ]],$Q$3,RawData[Checker ID],$Q$4,RawData[[Error Type ]],$Q$5))</f>
        <v/>
      </c>
    </row>
    <row r="24530" spans="15:15" x14ac:dyDescent="0.25">
      <c r="O24530" s="20" t="str">
        <f>IF(N24530="","",COUNTIFS(RawData[[Date ]],N24530,RawData[Month List],$Q$6,RawData[Tour/Site],$Q$2,RawData[[Picker ID ]],$Q$3,RawData[Checker ID],$Q$4,RawData[[Error Type ]],$Q$5))</f>
        <v/>
      </c>
    </row>
    <row r="24531" spans="15:15" x14ac:dyDescent="0.25">
      <c r="O24531" s="20" t="str">
        <f>IF(N24531="","",COUNTIFS(RawData[[Date ]],N24531,RawData[Month List],$Q$6,RawData[Tour/Site],$Q$2,RawData[[Picker ID ]],$Q$3,RawData[Checker ID],$Q$4,RawData[[Error Type ]],$Q$5))</f>
        <v/>
      </c>
    </row>
    <row r="24532" spans="15:15" x14ac:dyDescent="0.25">
      <c r="O24532" s="20" t="str">
        <f>IF(N24532="","",COUNTIFS(RawData[[Date ]],N24532,RawData[Month List],$Q$6,RawData[Tour/Site],$Q$2,RawData[[Picker ID ]],$Q$3,RawData[Checker ID],$Q$4,RawData[[Error Type ]],$Q$5))</f>
        <v/>
      </c>
    </row>
    <row r="24533" spans="15:15" x14ac:dyDescent="0.25">
      <c r="O24533" s="20" t="str">
        <f>IF(N24533="","",COUNTIFS(RawData[[Date ]],N24533,RawData[Month List],$Q$6,RawData[Tour/Site],$Q$2,RawData[[Picker ID ]],$Q$3,RawData[Checker ID],$Q$4,RawData[[Error Type ]],$Q$5))</f>
        <v/>
      </c>
    </row>
    <row r="24534" spans="15:15" x14ac:dyDescent="0.25">
      <c r="O24534" s="20" t="str">
        <f>IF(N24534="","",COUNTIFS(RawData[[Date ]],N24534,RawData[Month List],$Q$6,RawData[Tour/Site],$Q$2,RawData[[Picker ID ]],$Q$3,RawData[Checker ID],$Q$4,RawData[[Error Type ]],$Q$5))</f>
        <v/>
      </c>
    </row>
    <row r="24535" spans="15:15" x14ac:dyDescent="0.25">
      <c r="O24535" s="20" t="str">
        <f>IF(N24535="","",COUNTIFS(RawData[[Date ]],N24535,RawData[Month List],$Q$6,RawData[Tour/Site],$Q$2,RawData[[Picker ID ]],$Q$3,RawData[Checker ID],$Q$4,RawData[[Error Type ]],$Q$5))</f>
        <v/>
      </c>
    </row>
    <row r="24536" spans="15:15" x14ac:dyDescent="0.25">
      <c r="O24536" s="20" t="str">
        <f>IF(N24536="","",COUNTIFS(RawData[[Date ]],N24536,RawData[Month List],$Q$6,RawData[Tour/Site],$Q$2,RawData[[Picker ID ]],$Q$3,RawData[Checker ID],$Q$4,RawData[[Error Type ]],$Q$5))</f>
        <v/>
      </c>
    </row>
    <row r="24537" spans="15:15" x14ac:dyDescent="0.25">
      <c r="O24537" s="20" t="str">
        <f>IF(N24537="","",COUNTIFS(RawData[[Date ]],N24537,RawData[Month List],$Q$6,RawData[Tour/Site],$Q$2,RawData[[Picker ID ]],$Q$3,RawData[Checker ID],$Q$4,RawData[[Error Type ]],$Q$5))</f>
        <v/>
      </c>
    </row>
    <row r="24538" spans="15:15" x14ac:dyDescent="0.25">
      <c r="O24538" s="20" t="str">
        <f>IF(N24538="","",COUNTIFS(RawData[[Date ]],N24538,RawData[Month List],$Q$6,RawData[Tour/Site],$Q$2,RawData[[Picker ID ]],$Q$3,RawData[Checker ID],$Q$4,RawData[[Error Type ]],$Q$5))</f>
        <v/>
      </c>
    </row>
    <row r="24539" spans="15:15" x14ac:dyDescent="0.25">
      <c r="O24539" s="20" t="str">
        <f>IF(N24539="","",COUNTIFS(RawData[[Date ]],N24539,RawData[Month List],$Q$6,RawData[Tour/Site],$Q$2,RawData[[Picker ID ]],$Q$3,RawData[Checker ID],$Q$4,RawData[[Error Type ]],$Q$5))</f>
        <v/>
      </c>
    </row>
    <row r="24540" spans="15:15" x14ac:dyDescent="0.25">
      <c r="O24540" s="20" t="str">
        <f>IF(N24540="","",COUNTIFS(RawData[[Date ]],N24540,RawData[Month List],$Q$6,RawData[Tour/Site],$Q$2,RawData[[Picker ID ]],$Q$3,RawData[Checker ID],$Q$4,RawData[[Error Type ]],$Q$5))</f>
        <v/>
      </c>
    </row>
    <row r="24541" spans="15:15" x14ac:dyDescent="0.25">
      <c r="O24541" s="20" t="str">
        <f>IF(N24541="","",COUNTIFS(RawData[[Date ]],N24541,RawData[Month List],$Q$6,RawData[Tour/Site],$Q$2,RawData[[Picker ID ]],$Q$3,RawData[Checker ID],$Q$4,RawData[[Error Type ]],$Q$5))</f>
        <v/>
      </c>
    </row>
    <row r="24542" spans="15:15" x14ac:dyDescent="0.25">
      <c r="O24542" s="20" t="str">
        <f>IF(N24542="","",COUNTIFS(RawData[[Date ]],N24542,RawData[Month List],$Q$6,RawData[Tour/Site],$Q$2,RawData[[Picker ID ]],$Q$3,RawData[Checker ID],$Q$4,RawData[[Error Type ]],$Q$5))</f>
        <v/>
      </c>
    </row>
    <row r="24543" spans="15:15" x14ac:dyDescent="0.25">
      <c r="O24543" s="20" t="str">
        <f>IF(N24543="","",COUNTIFS(RawData[[Date ]],N24543,RawData[Month List],$Q$6,RawData[Tour/Site],$Q$2,RawData[[Picker ID ]],$Q$3,RawData[Checker ID],$Q$4,RawData[[Error Type ]],$Q$5))</f>
        <v/>
      </c>
    </row>
    <row r="24544" spans="15:15" x14ac:dyDescent="0.25">
      <c r="O24544" s="20" t="str">
        <f>IF(N24544="","",COUNTIFS(RawData[[Date ]],N24544,RawData[Month List],$Q$6,RawData[Tour/Site],$Q$2,RawData[[Picker ID ]],$Q$3,RawData[Checker ID],$Q$4,RawData[[Error Type ]],$Q$5))</f>
        <v/>
      </c>
    </row>
    <row r="24545" spans="15:15" x14ac:dyDescent="0.25">
      <c r="O24545" s="20" t="str">
        <f>IF(N24545="","",COUNTIFS(RawData[[Date ]],N24545,RawData[Month List],$Q$6,RawData[Tour/Site],$Q$2,RawData[[Picker ID ]],$Q$3,RawData[Checker ID],$Q$4,RawData[[Error Type ]],$Q$5))</f>
        <v/>
      </c>
    </row>
    <row r="24546" spans="15:15" x14ac:dyDescent="0.25">
      <c r="O24546" s="20" t="str">
        <f>IF(N24546="","",COUNTIFS(RawData[[Date ]],N24546,RawData[Month List],$Q$6,RawData[Tour/Site],$Q$2,RawData[[Picker ID ]],$Q$3,RawData[Checker ID],$Q$4,RawData[[Error Type ]],$Q$5))</f>
        <v/>
      </c>
    </row>
    <row r="24547" spans="15:15" x14ac:dyDescent="0.25">
      <c r="O24547" s="20" t="str">
        <f>IF(N24547="","",COUNTIFS(RawData[[Date ]],N24547,RawData[Month List],$Q$6,RawData[Tour/Site],$Q$2,RawData[[Picker ID ]],$Q$3,RawData[Checker ID],$Q$4,RawData[[Error Type ]],$Q$5))</f>
        <v/>
      </c>
    </row>
    <row r="24548" spans="15:15" x14ac:dyDescent="0.25">
      <c r="O24548" s="20" t="str">
        <f>IF(N24548="","",COUNTIFS(RawData[[Date ]],N24548,RawData[Month List],$Q$6,RawData[Tour/Site],$Q$2,RawData[[Picker ID ]],$Q$3,RawData[Checker ID],$Q$4,RawData[[Error Type ]],$Q$5))</f>
        <v/>
      </c>
    </row>
    <row r="24549" spans="15:15" x14ac:dyDescent="0.25">
      <c r="O24549" s="20" t="str">
        <f>IF(N24549="","",COUNTIFS(RawData[[Date ]],N24549,RawData[Month List],$Q$6,RawData[Tour/Site],$Q$2,RawData[[Picker ID ]],$Q$3,RawData[Checker ID],$Q$4,RawData[[Error Type ]],$Q$5))</f>
        <v/>
      </c>
    </row>
    <row r="24550" spans="15:15" x14ac:dyDescent="0.25">
      <c r="O24550" s="20" t="str">
        <f>IF(N24550="","",COUNTIFS(RawData[[Date ]],N24550,RawData[Month List],$Q$6,RawData[Tour/Site],$Q$2,RawData[[Picker ID ]],$Q$3,RawData[Checker ID],$Q$4,RawData[[Error Type ]],$Q$5))</f>
        <v/>
      </c>
    </row>
    <row r="24551" spans="15:15" x14ac:dyDescent="0.25">
      <c r="O24551" s="20" t="str">
        <f>IF(N24551="","",COUNTIFS(RawData[[Date ]],N24551,RawData[Month List],$Q$6,RawData[Tour/Site],$Q$2,RawData[[Picker ID ]],$Q$3,RawData[Checker ID],$Q$4,RawData[[Error Type ]],$Q$5))</f>
        <v/>
      </c>
    </row>
    <row r="24552" spans="15:15" x14ac:dyDescent="0.25">
      <c r="O24552" s="20" t="str">
        <f>IF(N24552="","",COUNTIFS(RawData[[Date ]],N24552,RawData[Month List],$Q$6,RawData[Tour/Site],$Q$2,RawData[[Picker ID ]],$Q$3,RawData[Checker ID],$Q$4,RawData[[Error Type ]],$Q$5))</f>
        <v/>
      </c>
    </row>
    <row r="24553" spans="15:15" x14ac:dyDescent="0.25">
      <c r="O24553" s="20" t="str">
        <f>IF(N24553="","",COUNTIFS(RawData[[Date ]],N24553,RawData[Month List],$Q$6,RawData[Tour/Site],$Q$2,RawData[[Picker ID ]],$Q$3,RawData[Checker ID],$Q$4,RawData[[Error Type ]],$Q$5))</f>
        <v/>
      </c>
    </row>
    <row r="24554" spans="15:15" x14ac:dyDescent="0.25">
      <c r="O24554" s="20" t="str">
        <f>IF(N24554="","",COUNTIFS(RawData[[Date ]],N24554,RawData[Month List],$Q$6,RawData[Tour/Site],$Q$2,RawData[[Picker ID ]],$Q$3,RawData[Checker ID],$Q$4,RawData[[Error Type ]],$Q$5))</f>
        <v/>
      </c>
    </row>
    <row r="24555" spans="15:15" x14ac:dyDescent="0.25">
      <c r="O24555" s="20" t="str">
        <f>IF(N24555="","",COUNTIFS(RawData[[Date ]],N24555,RawData[Month List],$Q$6,RawData[Tour/Site],$Q$2,RawData[[Picker ID ]],$Q$3,RawData[Checker ID],$Q$4,RawData[[Error Type ]],$Q$5))</f>
        <v/>
      </c>
    </row>
    <row r="24556" spans="15:15" x14ac:dyDescent="0.25">
      <c r="O24556" s="20" t="str">
        <f>IF(N24556="","",COUNTIFS(RawData[[Date ]],N24556,RawData[Month List],$Q$6,RawData[Tour/Site],$Q$2,RawData[[Picker ID ]],$Q$3,RawData[Checker ID],$Q$4,RawData[[Error Type ]],$Q$5))</f>
        <v/>
      </c>
    </row>
    <row r="24557" spans="15:15" x14ac:dyDescent="0.25">
      <c r="O24557" s="20" t="str">
        <f>IF(N24557="","",COUNTIFS(RawData[[Date ]],N24557,RawData[Month List],$Q$6,RawData[Tour/Site],$Q$2,RawData[[Picker ID ]],$Q$3,RawData[Checker ID],$Q$4,RawData[[Error Type ]],$Q$5))</f>
        <v/>
      </c>
    </row>
    <row r="24558" spans="15:15" x14ac:dyDescent="0.25">
      <c r="O24558" s="20" t="str">
        <f>IF(N24558="","",COUNTIFS(RawData[[Date ]],N24558,RawData[Month List],$Q$6,RawData[Tour/Site],$Q$2,RawData[[Picker ID ]],$Q$3,RawData[Checker ID],$Q$4,RawData[[Error Type ]],$Q$5))</f>
        <v/>
      </c>
    </row>
    <row r="24559" spans="15:15" x14ac:dyDescent="0.25">
      <c r="O24559" s="20" t="str">
        <f>IF(N24559="","",COUNTIFS(RawData[[Date ]],N24559,RawData[Month List],$Q$6,RawData[Tour/Site],$Q$2,RawData[[Picker ID ]],$Q$3,RawData[Checker ID],$Q$4,RawData[[Error Type ]],$Q$5))</f>
        <v/>
      </c>
    </row>
    <row r="24560" spans="15:15" x14ac:dyDescent="0.25">
      <c r="O24560" s="20" t="str">
        <f>IF(N24560="","",COUNTIFS(RawData[[Date ]],N24560,RawData[Month List],$Q$6,RawData[Tour/Site],$Q$2,RawData[[Picker ID ]],$Q$3,RawData[Checker ID],$Q$4,RawData[[Error Type ]],$Q$5))</f>
        <v/>
      </c>
    </row>
    <row r="24561" spans="15:15" x14ac:dyDescent="0.25">
      <c r="O24561" s="20" t="str">
        <f>IF(N24561="","",COUNTIFS(RawData[[Date ]],N24561,RawData[Month List],$Q$6,RawData[Tour/Site],$Q$2,RawData[[Picker ID ]],$Q$3,RawData[Checker ID],$Q$4,RawData[[Error Type ]],$Q$5))</f>
        <v/>
      </c>
    </row>
    <row r="24562" spans="15:15" x14ac:dyDescent="0.25">
      <c r="O24562" s="20" t="str">
        <f>IF(N24562="","",COUNTIFS(RawData[[Date ]],N24562,RawData[Month List],$Q$6,RawData[Tour/Site],$Q$2,RawData[[Picker ID ]],$Q$3,RawData[Checker ID],$Q$4,RawData[[Error Type ]],$Q$5))</f>
        <v/>
      </c>
    </row>
    <row r="24563" spans="15:15" x14ac:dyDescent="0.25">
      <c r="O24563" s="20" t="str">
        <f>IF(N24563="","",COUNTIFS(RawData[[Date ]],N24563,RawData[Month List],$Q$6,RawData[Tour/Site],$Q$2,RawData[[Picker ID ]],$Q$3,RawData[Checker ID],$Q$4,RawData[[Error Type ]],$Q$5))</f>
        <v/>
      </c>
    </row>
    <row r="24564" spans="15:15" x14ac:dyDescent="0.25">
      <c r="O24564" s="20" t="str">
        <f>IF(N24564="","",COUNTIFS(RawData[[Date ]],N24564,RawData[Month List],$Q$6,RawData[Tour/Site],$Q$2,RawData[[Picker ID ]],$Q$3,RawData[Checker ID],$Q$4,RawData[[Error Type ]],$Q$5))</f>
        <v/>
      </c>
    </row>
    <row r="24565" spans="15:15" x14ac:dyDescent="0.25">
      <c r="O24565" s="20" t="str">
        <f>IF(N24565="","",COUNTIFS(RawData[[Date ]],N24565,RawData[Month List],$Q$6,RawData[Tour/Site],$Q$2,RawData[[Picker ID ]],$Q$3,RawData[Checker ID],$Q$4,RawData[[Error Type ]],$Q$5))</f>
        <v/>
      </c>
    </row>
    <row r="24566" spans="15:15" x14ac:dyDescent="0.25">
      <c r="O24566" s="20" t="str">
        <f>IF(N24566="","",COUNTIFS(RawData[[Date ]],N24566,RawData[Month List],$Q$6,RawData[Tour/Site],$Q$2,RawData[[Picker ID ]],$Q$3,RawData[Checker ID],$Q$4,RawData[[Error Type ]],$Q$5))</f>
        <v/>
      </c>
    </row>
    <row r="24567" spans="15:15" x14ac:dyDescent="0.25">
      <c r="O24567" s="20" t="str">
        <f>IF(N24567="","",COUNTIFS(RawData[[Date ]],N24567,RawData[Month List],$Q$6,RawData[Tour/Site],$Q$2,RawData[[Picker ID ]],$Q$3,RawData[Checker ID],$Q$4,RawData[[Error Type ]],$Q$5))</f>
        <v/>
      </c>
    </row>
    <row r="24568" spans="15:15" x14ac:dyDescent="0.25">
      <c r="O24568" s="20" t="str">
        <f>IF(N24568="","",COUNTIFS(RawData[[Date ]],N24568,RawData[Month List],$Q$6,RawData[Tour/Site],$Q$2,RawData[[Picker ID ]],$Q$3,RawData[Checker ID],$Q$4,RawData[[Error Type ]],$Q$5))</f>
        <v/>
      </c>
    </row>
    <row r="24569" spans="15:15" x14ac:dyDescent="0.25">
      <c r="O24569" s="20" t="str">
        <f>IF(N24569="","",COUNTIFS(RawData[[Date ]],N24569,RawData[Month List],$Q$6,RawData[Tour/Site],$Q$2,RawData[[Picker ID ]],$Q$3,RawData[Checker ID],$Q$4,RawData[[Error Type ]],$Q$5))</f>
        <v/>
      </c>
    </row>
    <row r="24570" spans="15:15" x14ac:dyDescent="0.25">
      <c r="O24570" s="20" t="str">
        <f>IF(N24570="","",COUNTIFS(RawData[[Date ]],N24570,RawData[Month List],$Q$6,RawData[Tour/Site],$Q$2,RawData[[Picker ID ]],$Q$3,RawData[Checker ID],$Q$4,RawData[[Error Type ]],$Q$5))</f>
        <v/>
      </c>
    </row>
    <row r="24571" spans="15:15" x14ac:dyDescent="0.25">
      <c r="O24571" s="20" t="str">
        <f>IF(N24571="","",COUNTIFS(RawData[[Date ]],N24571,RawData[Month List],$Q$6,RawData[Tour/Site],$Q$2,RawData[[Picker ID ]],$Q$3,RawData[Checker ID],$Q$4,RawData[[Error Type ]],$Q$5))</f>
        <v/>
      </c>
    </row>
    <row r="24572" spans="15:15" x14ac:dyDescent="0.25">
      <c r="O24572" s="20" t="str">
        <f>IF(N24572="","",COUNTIFS(RawData[[Date ]],N24572,RawData[Month List],$Q$6,RawData[Tour/Site],$Q$2,RawData[[Picker ID ]],$Q$3,RawData[Checker ID],$Q$4,RawData[[Error Type ]],$Q$5))</f>
        <v/>
      </c>
    </row>
    <row r="24573" spans="15:15" x14ac:dyDescent="0.25">
      <c r="O24573" s="20" t="str">
        <f>IF(N24573="","",COUNTIFS(RawData[[Date ]],N24573,RawData[Month List],$Q$6,RawData[Tour/Site],$Q$2,RawData[[Picker ID ]],$Q$3,RawData[Checker ID],$Q$4,RawData[[Error Type ]],$Q$5))</f>
        <v/>
      </c>
    </row>
    <row r="24574" spans="15:15" x14ac:dyDescent="0.25">
      <c r="O24574" s="20" t="str">
        <f>IF(N24574="","",COUNTIFS(RawData[[Date ]],N24574,RawData[Month List],$Q$6,RawData[Tour/Site],$Q$2,RawData[[Picker ID ]],$Q$3,RawData[Checker ID],$Q$4,RawData[[Error Type ]],$Q$5))</f>
        <v/>
      </c>
    </row>
    <row r="24575" spans="15:15" x14ac:dyDescent="0.25">
      <c r="O24575" s="20" t="str">
        <f>IF(N24575="","",COUNTIFS(RawData[[Date ]],N24575,RawData[Month List],$Q$6,RawData[Tour/Site],$Q$2,RawData[[Picker ID ]],$Q$3,RawData[Checker ID],$Q$4,RawData[[Error Type ]],$Q$5))</f>
        <v/>
      </c>
    </row>
    <row r="24576" spans="15:15" x14ac:dyDescent="0.25">
      <c r="O24576" s="20" t="str">
        <f>IF(N24576="","",COUNTIFS(RawData[[Date ]],N24576,RawData[Month List],$Q$6,RawData[Tour/Site],$Q$2,RawData[[Picker ID ]],$Q$3,RawData[Checker ID],$Q$4,RawData[[Error Type ]],$Q$5))</f>
        <v/>
      </c>
    </row>
    <row r="24577" spans="15:15" x14ac:dyDescent="0.25">
      <c r="O24577" s="20" t="str">
        <f>IF(N24577="","",COUNTIFS(RawData[[Date ]],N24577,RawData[Month List],$Q$6,RawData[Tour/Site],$Q$2,RawData[[Picker ID ]],$Q$3,RawData[Checker ID],$Q$4,RawData[[Error Type ]],$Q$5))</f>
        <v/>
      </c>
    </row>
    <row r="24578" spans="15:15" x14ac:dyDescent="0.25">
      <c r="O24578" s="20" t="str">
        <f>IF(N24578="","",COUNTIFS(RawData[[Date ]],N24578,RawData[Month List],$Q$6,RawData[Tour/Site],$Q$2,RawData[[Picker ID ]],$Q$3,RawData[Checker ID],$Q$4,RawData[[Error Type ]],$Q$5))</f>
        <v/>
      </c>
    </row>
    <row r="24579" spans="15:15" x14ac:dyDescent="0.25">
      <c r="O24579" s="20" t="str">
        <f>IF(N24579="","",COUNTIFS(RawData[[Date ]],N24579,RawData[Month List],$Q$6,RawData[Tour/Site],$Q$2,RawData[[Picker ID ]],$Q$3,RawData[Checker ID],$Q$4,RawData[[Error Type ]],$Q$5))</f>
        <v/>
      </c>
    </row>
    <row r="24580" spans="15:15" x14ac:dyDescent="0.25">
      <c r="O24580" s="20" t="str">
        <f>IF(N24580="","",COUNTIFS(RawData[[Date ]],N24580,RawData[Month List],$Q$6,RawData[Tour/Site],$Q$2,RawData[[Picker ID ]],$Q$3,RawData[Checker ID],$Q$4,RawData[[Error Type ]],$Q$5))</f>
        <v/>
      </c>
    </row>
    <row r="24581" spans="15:15" x14ac:dyDescent="0.25">
      <c r="O24581" s="20" t="str">
        <f>IF(N24581="","",COUNTIFS(RawData[[Date ]],N24581,RawData[Month List],$Q$6,RawData[Tour/Site],$Q$2,RawData[[Picker ID ]],$Q$3,RawData[Checker ID],$Q$4,RawData[[Error Type ]],$Q$5))</f>
        <v/>
      </c>
    </row>
    <row r="24582" spans="15:15" x14ac:dyDescent="0.25">
      <c r="O24582" s="20" t="str">
        <f>IF(N24582="","",COUNTIFS(RawData[[Date ]],N24582,RawData[Month List],$Q$6,RawData[Tour/Site],$Q$2,RawData[[Picker ID ]],$Q$3,RawData[Checker ID],$Q$4,RawData[[Error Type ]],$Q$5))</f>
        <v/>
      </c>
    </row>
    <row r="24583" spans="15:15" x14ac:dyDescent="0.25">
      <c r="O24583" s="20" t="str">
        <f>IF(N24583="","",COUNTIFS(RawData[[Date ]],N24583,RawData[Month List],$Q$6,RawData[Tour/Site],$Q$2,RawData[[Picker ID ]],$Q$3,RawData[Checker ID],$Q$4,RawData[[Error Type ]],$Q$5))</f>
        <v/>
      </c>
    </row>
    <row r="24584" spans="15:15" x14ac:dyDescent="0.25">
      <c r="O24584" s="20" t="str">
        <f>IF(N24584="","",COUNTIFS(RawData[[Date ]],N24584,RawData[Month List],$Q$6,RawData[Tour/Site],$Q$2,RawData[[Picker ID ]],$Q$3,RawData[Checker ID],$Q$4,RawData[[Error Type ]],$Q$5))</f>
        <v/>
      </c>
    </row>
    <row r="24585" spans="15:15" x14ac:dyDescent="0.25">
      <c r="O24585" s="20" t="str">
        <f>IF(N24585="","",COUNTIFS(RawData[[Date ]],N24585,RawData[Month List],$Q$6,RawData[Tour/Site],$Q$2,RawData[[Picker ID ]],$Q$3,RawData[Checker ID],$Q$4,RawData[[Error Type ]],$Q$5))</f>
        <v/>
      </c>
    </row>
    <row r="24586" spans="15:15" x14ac:dyDescent="0.25">
      <c r="O24586" s="20" t="str">
        <f>IF(N24586="","",COUNTIFS(RawData[[Date ]],N24586,RawData[Month List],$Q$6,RawData[Tour/Site],$Q$2,RawData[[Picker ID ]],$Q$3,RawData[Checker ID],$Q$4,RawData[[Error Type ]],$Q$5))</f>
        <v/>
      </c>
    </row>
    <row r="24587" spans="15:15" x14ac:dyDescent="0.25">
      <c r="O24587" s="20" t="str">
        <f>IF(N24587="","",COUNTIFS(RawData[[Date ]],N24587,RawData[Month List],$Q$6,RawData[Tour/Site],$Q$2,RawData[[Picker ID ]],$Q$3,RawData[Checker ID],$Q$4,RawData[[Error Type ]],$Q$5))</f>
        <v/>
      </c>
    </row>
    <row r="24588" spans="15:15" x14ac:dyDescent="0.25">
      <c r="O24588" s="20" t="str">
        <f>IF(N24588="","",COUNTIFS(RawData[[Date ]],N24588,RawData[Month List],$Q$6,RawData[Tour/Site],$Q$2,RawData[[Picker ID ]],$Q$3,RawData[Checker ID],$Q$4,RawData[[Error Type ]],$Q$5))</f>
        <v/>
      </c>
    </row>
    <row r="24589" spans="15:15" x14ac:dyDescent="0.25">
      <c r="O24589" s="20" t="str">
        <f>IF(N24589="","",COUNTIFS(RawData[[Date ]],N24589,RawData[Month List],$Q$6,RawData[Tour/Site],$Q$2,RawData[[Picker ID ]],$Q$3,RawData[Checker ID],$Q$4,RawData[[Error Type ]],$Q$5))</f>
        <v/>
      </c>
    </row>
    <row r="24590" spans="15:15" x14ac:dyDescent="0.25">
      <c r="O24590" s="20" t="str">
        <f>IF(N24590="","",COUNTIFS(RawData[[Date ]],N24590,RawData[Month List],$Q$6,RawData[Tour/Site],$Q$2,RawData[[Picker ID ]],$Q$3,RawData[Checker ID],$Q$4,RawData[[Error Type ]],$Q$5))</f>
        <v/>
      </c>
    </row>
    <row r="24591" spans="15:15" x14ac:dyDescent="0.25">
      <c r="O24591" s="20" t="str">
        <f>IF(N24591="","",COUNTIFS(RawData[[Date ]],N24591,RawData[Month List],$Q$6,RawData[Tour/Site],$Q$2,RawData[[Picker ID ]],$Q$3,RawData[Checker ID],$Q$4,RawData[[Error Type ]],$Q$5))</f>
        <v/>
      </c>
    </row>
    <row r="24592" spans="15:15" x14ac:dyDescent="0.25">
      <c r="O24592" s="20" t="str">
        <f>IF(N24592="","",COUNTIFS(RawData[[Date ]],N24592,RawData[Month List],$Q$6,RawData[Tour/Site],$Q$2,RawData[[Picker ID ]],$Q$3,RawData[Checker ID],$Q$4,RawData[[Error Type ]],$Q$5))</f>
        <v/>
      </c>
    </row>
    <row r="24593" spans="15:15" x14ac:dyDescent="0.25">
      <c r="O24593" s="20" t="str">
        <f>IF(N24593="","",COUNTIFS(RawData[[Date ]],N24593,RawData[Month List],$Q$6,RawData[Tour/Site],$Q$2,RawData[[Picker ID ]],$Q$3,RawData[Checker ID],$Q$4,RawData[[Error Type ]],$Q$5))</f>
        <v/>
      </c>
    </row>
    <row r="24594" spans="15:15" x14ac:dyDescent="0.25">
      <c r="O24594" s="20" t="str">
        <f>IF(N24594="","",COUNTIFS(RawData[[Date ]],N24594,RawData[Month List],$Q$6,RawData[Tour/Site],$Q$2,RawData[[Picker ID ]],$Q$3,RawData[Checker ID],$Q$4,RawData[[Error Type ]],$Q$5))</f>
        <v/>
      </c>
    </row>
    <row r="24595" spans="15:15" x14ac:dyDescent="0.25">
      <c r="O24595" s="20" t="str">
        <f>IF(N24595="","",COUNTIFS(RawData[[Date ]],N24595,RawData[Month List],$Q$6,RawData[Tour/Site],$Q$2,RawData[[Picker ID ]],$Q$3,RawData[Checker ID],$Q$4,RawData[[Error Type ]],$Q$5))</f>
        <v/>
      </c>
    </row>
    <row r="24596" spans="15:15" x14ac:dyDescent="0.25">
      <c r="O24596" s="20" t="str">
        <f>IF(N24596="","",COUNTIFS(RawData[[Date ]],N24596,RawData[Month List],$Q$6,RawData[Tour/Site],$Q$2,RawData[[Picker ID ]],$Q$3,RawData[Checker ID],$Q$4,RawData[[Error Type ]],$Q$5))</f>
        <v/>
      </c>
    </row>
    <row r="24597" spans="15:15" x14ac:dyDescent="0.25">
      <c r="O24597" s="20" t="str">
        <f>IF(N24597="","",COUNTIFS(RawData[[Date ]],N24597,RawData[Month List],$Q$6,RawData[Tour/Site],$Q$2,RawData[[Picker ID ]],$Q$3,RawData[Checker ID],$Q$4,RawData[[Error Type ]],$Q$5))</f>
        <v/>
      </c>
    </row>
    <row r="24598" spans="15:15" x14ac:dyDescent="0.25">
      <c r="O24598" s="20" t="str">
        <f>IF(N24598="","",COUNTIFS(RawData[[Date ]],N24598,RawData[Month List],$Q$6,RawData[Tour/Site],$Q$2,RawData[[Picker ID ]],$Q$3,RawData[Checker ID],$Q$4,RawData[[Error Type ]],$Q$5))</f>
        <v/>
      </c>
    </row>
    <row r="24599" spans="15:15" x14ac:dyDescent="0.25">
      <c r="O24599" s="20" t="str">
        <f>IF(N24599="","",COUNTIFS(RawData[[Date ]],N24599,RawData[Month List],$Q$6,RawData[Tour/Site],$Q$2,RawData[[Picker ID ]],$Q$3,RawData[Checker ID],$Q$4,RawData[[Error Type ]],$Q$5))</f>
        <v/>
      </c>
    </row>
    <row r="24600" spans="15:15" x14ac:dyDescent="0.25">
      <c r="O24600" s="20" t="str">
        <f>IF(N24600="","",COUNTIFS(RawData[[Date ]],N24600,RawData[Month List],$Q$6,RawData[Tour/Site],$Q$2,RawData[[Picker ID ]],$Q$3,RawData[Checker ID],$Q$4,RawData[[Error Type ]],$Q$5))</f>
        <v/>
      </c>
    </row>
    <row r="24601" spans="15:15" x14ac:dyDescent="0.25">
      <c r="O24601" s="20" t="str">
        <f>IF(N24601="","",COUNTIFS(RawData[[Date ]],N24601,RawData[Month List],$Q$6,RawData[Tour/Site],$Q$2,RawData[[Picker ID ]],$Q$3,RawData[Checker ID],$Q$4,RawData[[Error Type ]],$Q$5))</f>
        <v/>
      </c>
    </row>
    <row r="24602" spans="15:15" x14ac:dyDescent="0.25">
      <c r="O24602" s="20" t="str">
        <f>IF(N24602="","",COUNTIFS(RawData[[Date ]],N24602,RawData[Month List],$Q$6,RawData[Tour/Site],$Q$2,RawData[[Picker ID ]],$Q$3,RawData[Checker ID],$Q$4,RawData[[Error Type ]],$Q$5))</f>
        <v/>
      </c>
    </row>
    <row r="24603" spans="15:15" x14ac:dyDescent="0.25">
      <c r="O24603" s="20" t="str">
        <f>IF(N24603="","",COUNTIFS(RawData[[Date ]],N24603,RawData[Month List],$Q$6,RawData[Tour/Site],$Q$2,RawData[[Picker ID ]],$Q$3,RawData[Checker ID],$Q$4,RawData[[Error Type ]],$Q$5))</f>
        <v/>
      </c>
    </row>
    <row r="24604" spans="15:15" x14ac:dyDescent="0.25">
      <c r="O24604" s="20" t="str">
        <f>IF(N24604="","",COUNTIFS(RawData[[Date ]],N24604,RawData[Month List],$Q$6,RawData[Tour/Site],$Q$2,RawData[[Picker ID ]],$Q$3,RawData[Checker ID],$Q$4,RawData[[Error Type ]],$Q$5))</f>
        <v/>
      </c>
    </row>
    <row r="24605" spans="15:15" x14ac:dyDescent="0.25">
      <c r="O24605" s="20" t="str">
        <f>IF(N24605="","",COUNTIFS(RawData[[Date ]],N24605,RawData[Month List],$Q$6,RawData[Tour/Site],$Q$2,RawData[[Picker ID ]],$Q$3,RawData[Checker ID],$Q$4,RawData[[Error Type ]],$Q$5))</f>
        <v/>
      </c>
    </row>
    <row r="24606" spans="15:15" x14ac:dyDescent="0.25">
      <c r="O24606" s="20" t="str">
        <f>IF(N24606="","",COUNTIFS(RawData[[Date ]],N24606,RawData[Month List],$Q$6,RawData[Tour/Site],$Q$2,RawData[[Picker ID ]],$Q$3,RawData[Checker ID],$Q$4,RawData[[Error Type ]],$Q$5))</f>
        <v/>
      </c>
    </row>
    <row r="24607" spans="15:15" x14ac:dyDescent="0.25">
      <c r="O24607" s="20" t="str">
        <f>IF(N24607="","",COUNTIFS(RawData[[Date ]],N24607,RawData[Month List],$Q$6,RawData[Tour/Site],$Q$2,RawData[[Picker ID ]],$Q$3,RawData[Checker ID],$Q$4,RawData[[Error Type ]],$Q$5))</f>
        <v/>
      </c>
    </row>
    <row r="24608" spans="15:15" x14ac:dyDescent="0.25">
      <c r="O24608" s="20" t="str">
        <f>IF(N24608="","",COUNTIFS(RawData[[Date ]],N24608,RawData[Month List],$Q$6,RawData[Tour/Site],$Q$2,RawData[[Picker ID ]],$Q$3,RawData[Checker ID],$Q$4,RawData[[Error Type ]],$Q$5))</f>
        <v/>
      </c>
    </row>
    <row r="24609" spans="15:15" x14ac:dyDescent="0.25">
      <c r="O24609" s="20" t="str">
        <f>IF(N24609="","",COUNTIFS(RawData[[Date ]],N24609,RawData[Month List],$Q$6,RawData[Tour/Site],$Q$2,RawData[[Picker ID ]],$Q$3,RawData[Checker ID],$Q$4,RawData[[Error Type ]],$Q$5))</f>
        <v/>
      </c>
    </row>
    <row r="24610" spans="15:15" x14ac:dyDescent="0.25">
      <c r="O24610" s="20" t="str">
        <f>IF(N24610="","",COUNTIFS(RawData[[Date ]],N24610,RawData[Month List],$Q$6,RawData[Tour/Site],$Q$2,RawData[[Picker ID ]],$Q$3,RawData[Checker ID],$Q$4,RawData[[Error Type ]],$Q$5))</f>
        <v/>
      </c>
    </row>
    <row r="24611" spans="15:15" x14ac:dyDescent="0.25">
      <c r="O24611" s="20" t="str">
        <f>IF(N24611="","",COUNTIFS(RawData[[Date ]],N24611,RawData[Month List],$Q$6,RawData[Tour/Site],$Q$2,RawData[[Picker ID ]],$Q$3,RawData[Checker ID],$Q$4,RawData[[Error Type ]],$Q$5))</f>
        <v/>
      </c>
    </row>
    <row r="24612" spans="15:15" x14ac:dyDescent="0.25">
      <c r="O24612" s="20" t="str">
        <f>IF(N24612="","",COUNTIFS(RawData[[Date ]],N24612,RawData[Month List],$Q$6,RawData[Tour/Site],$Q$2,RawData[[Picker ID ]],$Q$3,RawData[Checker ID],$Q$4,RawData[[Error Type ]],$Q$5))</f>
        <v/>
      </c>
    </row>
    <row r="24613" spans="15:15" x14ac:dyDescent="0.25">
      <c r="O24613" s="20" t="str">
        <f>IF(N24613="","",COUNTIFS(RawData[[Date ]],N24613,RawData[Month List],$Q$6,RawData[Tour/Site],$Q$2,RawData[[Picker ID ]],$Q$3,RawData[Checker ID],$Q$4,RawData[[Error Type ]],$Q$5))</f>
        <v/>
      </c>
    </row>
    <row r="24614" spans="15:15" x14ac:dyDescent="0.25">
      <c r="O24614" s="20" t="str">
        <f>IF(N24614="","",COUNTIFS(RawData[[Date ]],N24614,RawData[Month List],$Q$6,RawData[Tour/Site],$Q$2,RawData[[Picker ID ]],$Q$3,RawData[Checker ID],$Q$4,RawData[[Error Type ]],$Q$5))</f>
        <v/>
      </c>
    </row>
    <row r="24615" spans="15:15" x14ac:dyDescent="0.25">
      <c r="O24615" s="20" t="str">
        <f>IF(N24615="","",COUNTIFS(RawData[[Date ]],N24615,RawData[Month List],$Q$6,RawData[Tour/Site],$Q$2,RawData[[Picker ID ]],$Q$3,RawData[Checker ID],$Q$4,RawData[[Error Type ]],$Q$5))</f>
        <v/>
      </c>
    </row>
    <row r="24616" spans="15:15" x14ac:dyDescent="0.25">
      <c r="O24616" s="20" t="str">
        <f>IF(N24616="","",COUNTIFS(RawData[[Date ]],N24616,RawData[Month List],$Q$6,RawData[Tour/Site],$Q$2,RawData[[Picker ID ]],$Q$3,RawData[Checker ID],$Q$4,RawData[[Error Type ]],$Q$5))</f>
        <v/>
      </c>
    </row>
    <row r="24617" spans="15:15" x14ac:dyDescent="0.25">
      <c r="O24617" s="20" t="str">
        <f>IF(N24617="","",COUNTIFS(RawData[[Date ]],N24617,RawData[Month List],$Q$6,RawData[Tour/Site],$Q$2,RawData[[Picker ID ]],$Q$3,RawData[Checker ID],$Q$4,RawData[[Error Type ]],$Q$5))</f>
        <v/>
      </c>
    </row>
    <row r="24618" spans="15:15" x14ac:dyDescent="0.25">
      <c r="O24618" s="20" t="str">
        <f>IF(N24618="","",COUNTIFS(RawData[[Date ]],N24618,RawData[Month List],$Q$6,RawData[Tour/Site],$Q$2,RawData[[Picker ID ]],$Q$3,RawData[Checker ID],$Q$4,RawData[[Error Type ]],$Q$5))</f>
        <v/>
      </c>
    </row>
    <row r="24619" spans="15:15" x14ac:dyDescent="0.25">
      <c r="O24619" s="20" t="str">
        <f>IF(N24619="","",COUNTIFS(RawData[[Date ]],N24619,RawData[Month List],$Q$6,RawData[Tour/Site],$Q$2,RawData[[Picker ID ]],$Q$3,RawData[Checker ID],$Q$4,RawData[[Error Type ]],$Q$5))</f>
        <v/>
      </c>
    </row>
    <row r="24620" spans="15:15" x14ac:dyDescent="0.25">
      <c r="O24620" s="20" t="str">
        <f>IF(N24620="","",COUNTIFS(RawData[[Date ]],N24620,RawData[Month List],$Q$6,RawData[Tour/Site],$Q$2,RawData[[Picker ID ]],$Q$3,RawData[Checker ID],$Q$4,RawData[[Error Type ]],$Q$5))</f>
        <v/>
      </c>
    </row>
    <row r="24621" spans="15:15" x14ac:dyDescent="0.25">
      <c r="O24621" s="20" t="str">
        <f>IF(N24621="","",COUNTIFS(RawData[[Date ]],N24621,RawData[Month List],$Q$6,RawData[Tour/Site],$Q$2,RawData[[Picker ID ]],$Q$3,RawData[Checker ID],$Q$4,RawData[[Error Type ]],$Q$5))</f>
        <v/>
      </c>
    </row>
    <row r="24622" spans="15:15" x14ac:dyDescent="0.25">
      <c r="O24622" s="20" t="str">
        <f>IF(N24622="","",COUNTIFS(RawData[[Date ]],N24622,RawData[Month List],$Q$6,RawData[Tour/Site],$Q$2,RawData[[Picker ID ]],$Q$3,RawData[Checker ID],$Q$4,RawData[[Error Type ]],$Q$5))</f>
        <v/>
      </c>
    </row>
    <row r="24623" spans="15:15" x14ac:dyDescent="0.25">
      <c r="O24623" s="20" t="str">
        <f>IF(N24623="","",COUNTIFS(RawData[[Date ]],N24623,RawData[Month List],$Q$6,RawData[Tour/Site],$Q$2,RawData[[Picker ID ]],$Q$3,RawData[Checker ID],$Q$4,RawData[[Error Type ]],$Q$5))</f>
        <v/>
      </c>
    </row>
    <row r="24624" spans="15:15" x14ac:dyDescent="0.25">
      <c r="O24624" s="20" t="str">
        <f>IF(N24624="","",COUNTIFS(RawData[[Date ]],N24624,RawData[Month List],$Q$6,RawData[Tour/Site],$Q$2,RawData[[Picker ID ]],$Q$3,RawData[Checker ID],$Q$4,RawData[[Error Type ]],$Q$5))</f>
        <v/>
      </c>
    </row>
    <row r="24625" spans="15:15" x14ac:dyDescent="0.25">
      <c r="O24625" s="20" t="str">
        <f>IF(N24625="","",COUNTIFS(RawData[[Date ]],N24625,RawData[Month List],$Q$6,RawData[Tour/Site],$Q$2,RawData[[Picker ID ]],$Q$3,RawData[Checker ID],$Q$4,RawData[[Error Type ]],$Q$5))</f>
        <v/>
      </c>
    </row>
    <row r="24626" spans="15:15" x14ac:dyDescent="0.25">
      <c r="O24626" s="20" t="str">
        <f>IF(N24626="","",COUNTIFS(RawData[[Date ]],N24626,RawData[Month List],$Q$6,RawData[Tour/Site],$Q$2,RawData[[Picker ID ]],$Q$3,RawData[Checker ID],$Q$4,RawData[[Error Type ]],$Q$5))</f>
        <v/>
      </c>
    </row>
    <row r="24627" spans="15:15" x14ac:dyDescent="0.25">
      <c r="O24627" s="20" t="str">
        <f>IF(N24627="","",COUNTIFS(RawData[[Date ]],N24627,RawData[Month List],$Q$6,RawData[Tour/Site],$Q$2,RawData[[Picker ID ]],$Q$3,RawData[Checker ID],$Q$4,RawData[[Error Type ]],$Q$5))</f>
        <v/>
      </c>
    </row>
    <row r="24628" spans="15:15" x14ac:dyDescent="0.25">
      <c r="O24628" s="20" t="str">
        <f>IF(N24628="","",COUNTIFS(RawData[[Date ]],N24628,RawData[Month List],$Q$6,RawData[Tour/Site],$Q$2,RawData[[Picker ID ]],$Q$3,RawData[Checker ID],$Q$4,RawData[[Error Type ]],$Q$5))</f>
        <v/>
      </c>
    </row>
    <row r="24629" spans="15:15" x14ac:dyDescent="0.25">
      <c r="O24629" s="20" t="str">
        <f>IF(N24629="","",COUNTIFS(RawData[[Date ]],N24629,RawData[Month List],$Q$6,RawData[Tour/Site],$Q$2,RawData[[Picker ID ]],$Q$3,RawData[Checker ID],$Q$4,RawData[[Error Type ]],$Q$5))</f>
        <v/>
      </c>
    </row>
    <row r="24630" spans="15:15" x14ac:dyDescent="0.25">
      <c r="O24630" s="20" t="str">
        <f>IF(N24630="","",COUNTIFS(RawData[[Date ]],N24630,RawData[Month List],$Q$6,RawData[Tour/Site],$Q$2,RawData[[Picker ID ]],$Q$3,RawData[Checker ID],$Q$4,RawData[[Error Type ]],$Q$5))</f>
        <v/>
      </c>
    </row>
    <row r="24631" spans="15:15" x14ac:dyDescent="0.25">
      <c r="O24631" s="20" t="str">
        <f>IF(N24631="","",COUNTIFS(RawData[[Date ]],N24631,RawData[Month List],$Q$6,RawData[Tour/Site],$Q$2,RawData[[Picker ID ]],$Q$3,RawData[Checker ID],$Q$4,RawData[[Error Type ]],$Q$5))</f>
        <v/>
      </c>
    </row>
    <row r="24632" spans="15:15" x14ac:dyDescent="0.25">
      <c r="O24632" s="20" t="str">
        <f>IF(N24632="","",COUNTIFS(RawData[[Date ]],N24632,RawData[Month List],$Q$6,RawData[Tour/Site],$Q$2,RawData[[Picker ID ]],$Q$3,RawData[Checker ID],$Q$4,RawData[[Error Type ]],$Q$5))</f>
        <v/>
      </c>
    </row>
    <row r="24633" spans="15:15" x14ac:dyDescent="0.25">
      <c r="O24633" s="20" t="str">
        <f>IF(N24633="","",COUNTIFS(RawData[[Date ]],N24633,RawData[Month List],$Q$6,RawData[Tour/Site],$Q$2,RawData[[Picker ID ]],$Q$3,RawData[Checker ID],$Q$4,RawData[[Error Type ]],$Q$5))</f>
        <v/>
      </c>
    </row>
    <row r="24634" spans="15:15" x14ac:dyDescent="0.25">
      <c r="O24634" s="20" t="str">
        <f>IF(N24634="","",COUNTIFS(RawData[[Date ]],N24634,RawData[Month List],$Q$6,RawData[Tour/Site],$Q$2,RawData[[Picker ID ]],$Q$3,RawData[Checker ID],$Q$4,RawData[[Error Type ]],$Q$5))</f>
        <v/>
      </c>
    </row>
    <row r="24635" spans="15:15" x14ac:dyDescent="0.25">
      <c r="O24635" s="20" t="str">
        <f>IF(N24635="","",COUNTIFS(RawData[[Date ]],N24635,RawData[Month List],$Q$6,RawData[Tour/Site],$Q$2,RawData[[Picker ID ]],$Q$3,RawData[Checker ID],$Q$4,RawData[[Error Type ]],$Q$5))</f>
        <v/>
      </c>
    </row>
    <row r="24636" spans="15:15" x14ac:dyDescent="0.25">
      <c r="O24636" s="20" t="str">
        <f>IF(N24636="","",COUNTIFS(RawData[[Date ]],N24636,RawData[Month List],$Q$6,RawData[Tour/Site],$Q$2,RawData[[Picker ID ]],$Q$3,RawData[Checker ID],$Q$4,RawData[[Error Type ]],$Q$5))</f>
        <v/>
      </c>
    </row>
    <row r="24637" spans="15:15" x14ac:dyDescent="0.25">
      <c r="O24637" s="20" t="str">
        <f>IF(N24637="","",COUNTIFS(RawData[[Date ]],N24637,RawData[Month List],$Q$6,RawData[Tour/Site],$Q$2,RawData[[Picker ID ]],$Q$3,RawData[Checker ID],$Q$4,RawData[[Error Type ]],$Q$5))</f>
        <v/>
      </c>
    </row>
    <row r="24638" spans="15:15" x14ac:dyDescent="0.25">
      <c r="O24638" s="20" t="str">
        <f>IF(N24638="","",COUNTIFS(RawData[[Date ]],N24638,RawData[Month List],$Q$6,RawData[Tour/Site],$Q$2,RawData[[Picker ID ]],$Q$3,RawData[Checker ID],$Q$4,RawData[[Error Type ]],$Q$5))</f>
        <v/>
      </c>
    </row>
    <row r="24639" spans="15:15" x14ac:dyDescent="0.25">
      <c r="O24639" s="20" t="str">
        <f>IF(N24639="","",COUNTIFS(RawData[[Date ]],N24639,RawData[Month List],$Q$6,RawData[Tour/Site],$Q$2,RawData[[Picker ID ]],$Q$3,RawData[Checker ID],$Q$4,RawData[[Error Type ]],$Q$5))</f>
        <v/>
      </c>
    </row>
    <row r="24640" spans="15:15" x14ac:dyDescent="0.25">
      <c r="O24640" s="20" t="str">
        <f>IF(N24640="","",COUNTIFS(RawData[[Date ]],N24640,RawData[Month List],$Q$6,RawData[Tour/Site],$Q$2,RawData[[Picker ID ]],$Q$3,RawData[Checker ID],$Q$4,RawData[[Error Type ]],$Q$5))</f>
        <v/>
      </c>
    </row>
    <row r="24641" spans="15:15" x14ac:dyDescent="0.25">
      <c r="O24641" s="20" t="str">
        <f>IF(N24641="","",COUNTIFS(RawData[[Date ]],N24641,RawData[Month List],$Q$6,RawData[Tour/Site],$Q$2,RawData[[Picker ID ]],$Q$3,RawData[Checker ID],$Q$4,RawData[[Error Type ]],$Q$5))</f>
        <v/>
      </c>
    </row>
    <row r="24642" spans="15:15" x14ac:dyDescent="0.25">
      <c r="O24642" s="20" t="str">
        <f>IF(N24642="","",COUNTIFS(RawData[[Date ]],N24642,RawData[Month List],$Q$6,RawData[Tour/Site],$Q$2,RawData[[Picker ID ]],$Q$3,RawData[Checker ID],$Q$4,RawData[[Error Type ]],$Q$5))</f>
        <v/>
      </c>
    </row>
    <row r="24643" spans="15:15" x14ac:dyDescent="0.25">
      <c r="O24643" s="20" t="str">
        <f>IF(N24643="","",COUNTIFS(RawData[[Date ]],N24643,RawData[Month List],$Q$6,RawData[Tour/Site],$Q$2,RawData[[Picker ID ]],$Q$3,RawData[Checker ID],$Q$4,RawData[[Error Type ]],$Q$5))</f>
        <v/>
      </c>
    </row>
    <row r="24644" spans="15:15" x14ac:dyDescent="0.25">
      <c r="O24644" s="20" t="str">
        <f>IF(N24644="","",COUNTIFS(RawData[[Date ]],N24644,RawData[Month List],$Q$6,RawData[Tour/Site],$Q$2,RawData[[Picker ID ]],$Q$3,RawData[Checker ID],$Q$4,RawData[[Error Type ]],$Q$5))</f>
        <v/>
      </c>
    </row>
    <row r="24645" spans="15:15" x14ac:dyDescent="0.25">
      <c r="O24645" s="20" t="str">
        <f>IF(N24645="","",COUNTIFS(RawData[[Date ]],N24645,RawData[Month List],$Q$6,RawData[Tour/Site],$Q$2,RawData[[Picker ID ]],$Q$3,RawData[Checker ID],$Q$4,RawData[[Error Type ]],$Q$5))</f>
        <v/>
      </c>
    </row>
    <row r="24646" spans="15:15" x14ac:dyDescent="0.25">
      <c r="O24646" s="20" t="str">
        <f>IF(N24646="","",COUNTIFS(RawData[[Date ]],N24646,RawData[Month List],$Q$6,RawData[Tour/Site],$Q$2,RawData[[Picker ID ]],$Q$3,RawData[Checker ID],$Q$4,RawData[[Error Type ]],$Q$5))</f>
        <v/>
      </c>
    </row>
    <row r="24647" spans="15:15" x14ac:dyDescent="0.25">
      <c r="O24647" s="20" t="str">
        <f>IF(N24647="","",COUNTIFS(RawData[[Date ]],N24647,RawData[Month List],$Q$6,RawData[Tour/Site],$Q$2,RawData[[Picker ID ]],$Q$3,RawData[Checker ID],$Q$4,RawData[[Error Type ]],$Q$5))</f>
        <v/>
      </c>
    </row>
    <row r="24648" spans="15:15" x14ac:dyDescent="0.25">
      <c r="O24648" s="20" t="str">
        <f>IF(N24648="","",COUNTIFS(RawData[[Date ]],N24648,RawData[Month List],$Q$6,RawData[Tour/Site],$Q$2,RawData[[Picker ID ]],$Q$3,RawData[Checker ID],$Q$4,RawData[[Error Type ]],$Q$5))</f>
        <v/>
      </c>
    </row>
    <row r="24649" spans="15:15" x14ac:dyDescent="0.25">
      <c r="O24649" s="20" t="str">
        <f>IF(N24649="","",COUNTIFS(RawData[[Date ]],N24649,RawData[Month List],$Q$6,RawData[Tour/Site],$Q$2,RawData[[Picker ID ]],$Q$3,RawData[Checker ID],$Q$4,RawData[[Error Type ]],$Q$5))</f>
        <v/>
      </c>
    </row>
    <row r="24650" spans="15:15" x14ac:dyDescent="0.25">
      <c r="O24650" s="20" t="str">
        <f>IF(N24650="","",COUNTIFS(RawData[[Date ]],N24650,RawData[Month List],$Q$6,RawData[Tour/Site],$Q$2,RawData[[Picker ID ]],$Q$3,RawData[Checker ID],$Q$4,RawData[[Error Type ]],$Q$5))</f>
        <v/>
      </c>
    </row>
    <row r="24651" spans="15:15" x14ac:dyDescent="0.25">
      <c r="O24651" s="20" t="str">
        <f>IF(N24651="","",COUNTIFS(RawData[[Date ]],N24651,RawData[Month List],$Q$6,RawData[Tour/Site],$Q$2,RawData[[Picker ID ]],$Q$3,RawData[Checker ID],$Q$4,RawData[[Error Type ]],$Q$5))</f>
        <v/>
      </c>
    </row>
    <row r="24652" spans="15:15" x14ac:dyDescent="0.25">
      <c r="O24652" s="20" t="str">
        <f>IF(N24652="","",COUNTIFS(RawData[[Date ]],N24652,RawData[Month List],$Q$6,RawData[Tour/Site],$Q$2,RawData[[Picker ID ]],$Q$3,RawData[Checker ID],$Q$4,RawData[[Error Type ]],$Q$5))</f>
        <v/>
      </c>
    </row>
    <row r="24653" spans="15:15" x14ac:dyDescent="0.25">
      <c r="O24653" s="20" t="str">
        <f>IF(N24653="","",COUNTIFS(RawData[[Date ]],N24653,RawData[Month List],$Q$6,RawData[Tour/Site],$Q$2,RawData[[Picker ID ]],$Q$3,RawData[Checker ID],$Q$4,RawData[[Error Type ]],$Q$5))</f>
        <v/>
      </c>
    </row>
    <row r="24654" spans="15:15" x14ac:dyDescent="0.25">
      <c r="O24654" s="20" t="str">
        <f>IF(N24654="","",COUNTIFS(RawData[[Date ]],N24654,RawData[Month List],$Q$6,RawData[Tour/Site],$Q$2,RawData[[Picker ID ]],$Q$3,RawData[Checker ID],$Q$4,RawData[[Error Type ]],$Q$5))</f>
        <v/>
      </c>
    </row>
    <row r="24655" spans="15:15" x14ac:dyDescent="0.25">
      <c r="O24655" s="20" t="str">
        <f>IF(N24655="","",COUNTIFS(RawData[[Date ]],N24655,RawData[Month List],$Q$6,RawData[Tour/Site],$Q$2,RawData[[Picker ID ]],$Q$3,RawData[Checker ID],$Q$4,RawData[[Error Type ]],$Q$5))</f>
        <v/>
      </c>
    </row>
    <row r="24656" spans="15:15" x14ac:dyDescent="0.25">
      <c r="O24656" s="20" t="str">
        <f>IF(N24656="","",COUNTIFS(RawData[[Date ]],N24656,RawData[Month List],$Q$6,RawData[Tour/Site],$Q$2,RawData[[Picker ID ]],$Q$3,RawData[Checker ID],$Q$4,RawData[[Error Type ]],$Q$5))</f>
        <v/>
      </c>
    </row>
    <row r="24657" spans="15:15" x14ac:dyDescent="0.25">
      <c r="O24657" s="20" t="str">
        <f>IF(N24657="","",COUNTIFS(RawData[[Date ]],N24657,RawData[Month List],$Q$6,RawData[Tour/Site],$Q$2,RawData[[Picker ID ]],$Q$3,RawData[Checker ID],$Q$4,RawData[[Error Type ]],$Q$5))</f>
        <v/>
      </c>
    </row>
    <row r="24658" spans="15:15" x14ac:dyDescent="0.25">
      <c r="O24658" s="20" t="str">
        <f>IF(N24658="","",COUNTIFS(RawData[[Date ]],N24658,RawData[Month List],$Q$6,RawData[Tour/Site],$Q$2,RawData[[Picker ID ]],$Q$3,RawData[Checker ID],$Q$4,RawData[[Error Type ]],$Q$5))</f>
        <v/>
      </c>
    </row>
    <row r="24659" spans="15:15" x14ac:dyDescent="0.25">
      <c r="O24659" s="20" t="str">
        <f>IF(N24659="","",COUNTIFS(RawData[[Date ]],N24659,RawData[Month List],$Q$6,RawData[Tour/Site],$Q$2,RawData[[Picker ID ]],$Q$3,RawData[Checker ID],$Q$4,RawData[[Error Type ]],$Q$5))</f>
        <v/>
      </c>
    </row>
    <row r="24660" spans="15:15" x14ac:dyDescent="0.25">
      <c r="O24660" s="20" t="str">
        <f>IF(N24660="","",COUNTIFS(RawData[[Date ]],N24660,RawData[Month List],$Q$6,RawData[Tour/Site],$Q$2,RawData[[Picker ID ]],$Q$3,RawData[Checker ID],$Q$4,RawData[[Error Type ]],$Q$5))</f>
        <v/>
      </c>
    </row>
    <row r="24661" spans="15:15" x14ac:dyDescent="0.25">
      <c r="O24661" s="20" t="str">
        <f>IF(N24661="","",COUNTIFS(RawData[[Date ]],N24661,RawData[Month List],$Q$6,RawData[Tour/Site],$Q$2,RawData[[Picker ID ]],$Q$3,RawData[Checker ID],$Q$4,RawData[[Error Type ]],$Q$5))</f>
        <v/>
      </c>
    </row>
    <row r="24662" spans="15:15" x14ac:dyDescent="0.25">
      <c r="O24662" s="20" t="str">
        <f>IF(N24662="","",COUNTIFS(RawData[[Date ]],N24662,RawData[Month List],$Q$6,RawData[Tour/Site],$Q$2,RawData[[Picker ID ]],$Q$3,RawData[Checker ID],$Q$4,RawData[[Error Type ]],$Q$5))</f>
        <v/>
      </c>
    </row>
    <row r="24663" spans="15:15" x14ac:dyDescent="0.25">
      <c r="O24663" s="20" t="str">
        <f>IF(N24663="","",COUNTIFS(RawData[[Date ]],N24663,RawData[Month List],$Q$6,RawData[Tour/Site],$Q$2,RawData[[Picker ID ]],$Q$3,RawData[Checker ID],$Q$4,RawData[[Error Type ]],$Q$5))</f>
        <v/>
      </c>
    </row>
    <row r="24664" spans="15:15" x14ac:dyDescent="0.25">
      <c r="O24664" s="20" t="str">
        <f>IF(N24664="","",COUNTIFS(RawData[[Date ]],N24664,RawData[Month List],$Q$6,RawData[Tour/Site],$Q$2,RawData[[Picker ID ]],$Q$3,RawData[Checker ID],$Q$4,RawData[[Error Type ]],$Q$5))</f>
        <v/>
      </c>
    </row>
    <row r="24665" spans="15:15" x14ac:dyDescent="0.25">
      <c r="O24665" s="20" t="str">
        <f>IF(N24665="","",COUNTIFS(RawData[[Date ]],N24665,RawData[Month List],$Q$6,RawData[Tour/Site],$Q$2,RawData[[Picker ID ]],$Q$3,RawData[Checker ID],$Q$4,RawData[[Error Type ]],$Q$5))</f>
        <v/>
      </c>
    </row>
    <row r="24666" spans="15:15" x14ac:dyDescent="0.25">
      <c r="O24666" s="20" t="str">
        <f>IF(N24666="","",COUNTIFS(RawData[[Date ]],N24666,RawData[Month List],$Q$6,RawData[Tour/Site],$Q$2,RawData[[Picker ID ]],$Q$3,RawData[Checker ID],$Q$4,RawData[[Error Type ]],$Q$5))</f>
        <v/>
      </c>
    </row>
    <row r="24667" spans="15:15" x14ac:dyDescent="0.25">
      <c r="O24667" s="20" t="str">
        <f>IF(N24667="","",COUNTIFS(RawData[[Date ]],N24667,RawData[Month List],$Q$6,RawData[Tour/Site],$Q$2,RawData[[Picker ID ]],$Q$3,RawData[Checker ID],$Q$4,RawData[[Error Type ]],$Q$5))</f>
        <v/>
      </c>
    </row>
    <row r="24668" spans="15:15" x14ac:dyDescent="0.25">
      <c r="O24668" s="20" t="str">
        <f>IF(N24668="","",COUNTIFS(RawData[[Date ]],N24668,RawData[Month List],$Q$6,RawData[Tour/Site],$Q$2,RawData[[Picker ID ]],$Q$3,RawData[Checker ID],$Q$4,RawData[[Error Type ]],$Q$5))</f>
        <v/>
      </c>
    </row>
    <row r="24669" spans="15:15" x14ac:dyDescent="0.25">
      <c r="O24669" s="20" t="str">
        <f>IF(N24669="","",COUNTIFS(RawData[[Date ]],N24669,RawData[Month List],$Q$6,RawData[Tour/Site],$Q$2,RawData[[Picker ID ]],$Q$3,RawData[Checker ID],$Q$4,RawData[[Error Type ]],$Q$5))</f>
        <v/>
      </c>
    </row>
    <row r="24670" spans="15:15" x14ac:dyDescent="0.25">
      <c r="O24670" s="20" t="str">
        <f>IF(N24670="","",COUNTIFS(RawData[[Date ]],N24670,RawData[Month List],$Q$6,RawData[Tour/Site],$Q$2,RawData[[Picker ID ]],$Q$3,RawData[Checker ID],$Q$4,RawData[[Error Type ]],$Q$5))</f>
        <v/>
      </c>
    </row>
    <row r="24671" spans="15:15" x14ac:dyDescent="0.25">
      <c r="O24671" s="20" t="str">
        <f>IF(N24671="","",COUNTIFS(RawData[[Date ]],N24671,RawData[Month List],$Q$6,RawData[Tour/Site],$Q$2,RawData[[Picker ID ]],$Q$3,RawData[Checker ID],$Q$4,RawData[[Error Type ]],$Q$5))</f>
        <v/>
      </c>
    </row>
    <row r="24672" spans="15:15" x14ac:dyDescent="0.25">
      <c r="O24672" s="20" t="str">
        <f>IF(N24672="","",COUNTIFS(RawData[[Date ]],N24672,RawData[Month List],$Q$6,RawData[Tour/Site],$Q$2,RawData[[Picker ID ]],$Q$3,RawData[Checker ID],$Q$4,RawData[[Error Type ]],$Q$5))</f>
        <v/>
      </c>
    </row>
    <row r="24673" spans="15:15" x14ac:dyDescent="0.25">
      <c r="O24673" s="20" t="str">
        <f>IF(N24673="","",COUNTIFS(RawData[[Date ]],N24673,RawData[Month List],$Q$6,RawData[Tour/Site],$Q$2,RawData[[Picker ID ]],$Q$3,RawData[Checker ID],$Q$4,RawData[[Error Type ]],$Q$5))</f>
        <v/>
      </c>
    </row>
    <row r="24674" spans="15:15" x14ac:dyDescent="0.25">
      <c r="O24674" s="20" t="str">
        <f>IF(N24674="","",COUNTIFS(RawData[[Date ]],N24674,RawData[Month List],$Q$6,RawData[Tour/Site],$Q$2,RawData[[Picker ID ]],$Q$3,RawData[Checker ID],$Q$4,RawData[[Error Type ]],$Q$5))</f>
        <v/>
      </c>
    </row>
    <row r="24675" spans="15:15" x14ac:dyDescent="0.25">
      <c r="O24675" s="20" t="str">
        <f>IF(N24675="","",COUNTIFS(RawData[[Date ]],N24675,RawData[Month List],$Q$6,RawData[Tour/Site],$Q$2,RawData[[Picker ID ]],$Q$3,RawData[Checker ID],$Q$4,RawData[[Error Type ]],$Q$5))</f>
        <v/>
      </c>
    </row>
    <row r="24676" spans="15:15" x14ac:dyDescent="0.25">
      <c r="O24676" s="20" t="str">
        <f>IF(N24676="","",COUNTIFS(RawData[[Date ]],N24676,RawData[Month List],$Q$6,RawData[Tour/Site],$Q$2,RawData[[Picker ID ]],$Q$3,RawData[Checker ID],$Q$4,RawData[[Error Type ]],$Q$5))</f>
        <v/>
      </c>
    </row>
    <row r="24677" spans="15:15" x14ac:dyDescent="0.25">
      <c r="O24677" s="20" t="str">
        <f>IF(N24677="","",COUNTIFS(RawData[[Date ]],N24677,RawData[Month List],$Q$6,RawData[Tour/Site],$Q$2,RawData[[Picker ID ]],$Q$3,RawData[Checker ID],$Q$4,RawData[[Error Type ]],$Q$5))</f>
        <v/>
      </c>
    </row>
    <row r="24678" spans="15:15" x14ac:dyDescent="0.25">
      <c r="O24678" s="20" t="str">
        <f>IF(N24678="","",COUNTIFS(RawData[[Date ]],N24678,RawData[Month List],$Q$6,RawData[Tour/Site],$Q$2,RawData[[Picker ID ]],$Q$3,RawData[Checker ID],$Q$4,RawData[[Error Type ]],$Q$5))</f>
        <v/>
      </c>
    </row>
    <row r="24679" spans="15:15" x14ac:dyDescent="0.25">
      <c r="O24679" s="20" t="str">
        <f>IF(N24679="","",COUNTIFS(RawData[[Date ]],N24679,RawData[Month List],$Q$6,RawData[Tour/Site],$Q$2,RawData[[Picker ID ]],$Q$3,RawData[Checker ID],$Q$4,RawData[[Error Type ]],$Q$5))</f>
        <v/>
      </c>
    </row>
    <row r="24680" spans="15:15" x14ac:dyDescent="0.25">
      <c r="O24680" s="20" t="str">
        <f>IF(N24680="","",COUNTIFS(RawData[[Date ]],N24680,RawData[Month List],$Q$6,RawData[Tour/Site],$Q$2,RawData[[Picker ID ]],$Q$3,RawData[Checker ID],$Q$4,RawData[[Error Type ]],$Q$5))</f>
        <v/>
      </c>
    </row>
    <row r="24681" spans="15:15" x14ac:dyDescent="0.25">
      <c r="O24681" s="20" t="str">
        <f>IF(N24681="","",COUNTIFS(RawData[[Date ]],N24681,RawData[Month List],$Q$6,RawData[Tour/Site],$Q$2,RawData[[Picker ID ]],$Q$3,RawData[Checker ID],$Q$4,RawData[[Error Type ]],$Q$5))</f>
        <v/>
      </c>
    </row>
    <row r="24682" spans="15:15" x14ac:dyDescent="0.25">
      <c r="O24682" s="20" t="str">
        <f>IF(N24682="","",COUNTIFS(RawData[[Date ]],N24682,RawData[Month List],$Q$6,RawData[Tour/Site],$Q$2,RawData[[Picker ID ]],$Q$3,RawData[Checker ID],$Q$4,RawData[[Error Type ]],$Q$5))</f>
        <v/>
      </c>
    </row>
    <row r="24683" spans="15:15" x14ac:dyDescent="0.25">
      <c r="O24683" s="20" t="str">
        <f>IF(N24683="","",COUNTIFS(RawData[[Date ]],N24683,RawData[Month List],$Q$6,RawData[Tour/Site],$Q$2,RawData[[Picker ID ]],$Q$3,RawData[Checker ID],$Q$4,RawData[[Error Type ]],$Q$5))</f>
        <v/>
      </c>
    </row>
    <row r="24684" spans="15:15" x14ac:dyDescent="0.25">
      <c r="O24684" s="20" t="str">
        <f>IF(N24684="","",COUNTIFS(RawData[[Date ]],N24684,RawData[Month List],$Q$6,RawData[Tour/Site],$Q$2,RawData[[Picker ID ]],$Q$3,RawData[Checker ID],$Q$4,RawData[[Error Type ]],$Q$5))</f>
        <v/>
      </c>
    </row>
    <row r="24685" spans="15:15" x14ac:dyDescent="0.25">
      <c r="O24685" s="20" t="str">
        <f>IF(N24685="","",COUNTIFS(RawData[[Date ]],N24685,RawData[Month List],$Q$6,RawData[Tour/Site],$Q$2,RawData[[Picker ID ]],$Q$3,RawData[Checker ID],$Q$4,RawData[[Error Type ]],$Q$5))</f>
        <v/>
      </c>
    </row>
    <row r="24686" spans="15:15" x14ac:dyDescent="0.25">
      <c r="O24686" s="20" t="str">
        <f>IF(N24686="","",COUNTIFS(RawData[[Date ]],N24686,RawData[Month List],$Q$6,RawData[Tour/Site],$Q$2,RawData[[Picker ID ]],$Q$3,RawData[Checker ID],$Q$4,RawData[[Error Type ]],$Q$5))</f>
        <v/>
      </c>
    </row>
    <row r="24687" spans="15:15" x14ac:dyDescent="0.25">
      <c r="O24687" s="20" t="str">
        <f>IF(N24687="","",COUNTIFS(RawData[[Date ]],N24687,RawData[Month List],$Q$6,RawData[Tour/Site],$Q$2,RawData[[Picker ID ]],$Q$3,RawData[Checker ID],$Q$4,RawData[[Error Type ]],$Q$5))</f>
        <v/>
      </c>
    </row>
    <row r="24688" spans="15:15" x14ac:dyDescent="0.25">
      <c r="O24688" s="20" t="str">
        <f>IF(N24688="","",COUNTIFS(RawData[[Date ]],N24688,RawData[Month List],$Q$6,RawData[Tour/Site],$Q$2,RawData[[Picker ID ]],$Q$3,RawData[Checker ID],$Q$4,RawData[[Error Type ]],$Q$5))</f>
        <v/>
      </c>
    </row>
    <row r="24689" spans="15:15" x14ac:dyDescent="0.25">
      <c r="O24689" s="20" t="str">
        <f>IF(N24689="","",COUNTIFS(RawData[[Date ]],N24689,RawData[Month List],$Q$6,RawData[Tour/Site],$Q$2,RawData[[Picker ID ]],$Q$3,RawData[Checker ID],$Q$4,RawData[[Error Type ]],$Q$5))</f>
        <v/>
      </c>
    </row>
    <row r="24690" spans="15:15" x14ac:dyDescent="0.25">
      <c r="O24690" s="20" t="str">
        <f>IF(N24690="","",COUNTIFS(RawData[[Date ]],N24690,RawData[Month List],$Q$6,RawData[Tour/Site],$Q$2,RawData[[Picker ID ]],$Q$3,RawData[Checker ID],$Q$4,RawData[[Error Type ]],$Q$5))</f>
        <v/>
      </c>
    </row>
    <row r="24691" spans="15:15" x14ac:dyDescent="0.25">
      <c r="O24691" s="20" t="str">
        <f>IF(N24691="","",COUNTIFS(RawData[[Date ]],N24691,RawData[Month List],$Q$6,RawData[Tour/Site],$Q$2,RawData[[Picker ID ]],$Q$3,RawData[Checker ID],$Q$4,RawData[[Error Type ]],$Q$5))</f>
        <v/>
      </c>
    </row>
    <row r="24692" spans="15:15" x14ac:dyDescent="0.25">
      <c r="O24692" s="20" t="str">
        <f>IF(N24692="","",COUNTIFS(RawData[[Date ]],N24692,RawData[Month List],$Q$6,RawData[Tour/Site],$Q$2,RawData[[Picker ID ]],$Q$3,RawData[Checker ID],$Q$4,RawData[[Error Type ]],$Q$5))</f>
        <v/>
      </c>
    </row>
    <row r="24693" spans="15:15" x14ac:dyDescent="0.25">
      <c r="O24693" s="20" t="str">
        <f>IF(N24693="","",COUNTIFS(RawData[[Date ]],N24693,RawData[Month List],$Q$6,RawData[Tour/Site],$Q$2,RawData[[Picker ID ]],$Q$3,RawData[Checker ID],$Q$4,RawData[[Error Type ]],$Q$5))</f>
        <v/>
      </c>
    </row>
    <row r="24694" spans="15:15" x14ac:dyDescent="0.25">
      <c r="O24694" s="20" t="str">
        <f>IF(N24694="","",COUNTIFS(RawData[[Date ]],N24694,RawData[Month List],$Q$6,RawData[Tour/Site],$Q$2,RawData[[Picker ID ]],$Q$3,RawData[Checker ID],$Q$4,RawData[[Error Type ]],$Q$5))</f>
        <v/>
      </c>
    </row>
    <row r="24695" spans="15:15" x14ac:dyDescent="0.25">
      <c r="O24695" s="20" t="str">
        <f>IF(N24695="","",COUNTIFS(RawData[[Date ]],N24695,RawData[Month List],$Q$6,RawData[Tour/Site],$Q$2,RawData[[Picker ID ]],$Q$3,RawData[Checker ID],$Q$4,RawData[[Error Type ]],$Q$5))</f>
        <v/>
      </c>
    </row>
    <row r="24696" spans="15:15" x14ac:dyDescent="0.25">
      <c r="O24696" s="20" t="str">
        <f>IF(N24696="","",COUNTIFS(RawData[[Date ]],N24696,RawData[Month List],$Q$6,RawData[Tour/Site],$Q$2,RawData[[Picker ID ]],$Q$3,RawData[Checker ID],$Q$4,RawData[[Error Type ]],$Q$5))</f>
        <v/>
      </c>
    </row>
    <row r="24697" spans="15:15" x14ac:dyDescent="0.25">
      <c r="O24697" s="20" t="str">
        <f>IF(N24697="","",COUNTIFS(RawData[[Date ]],N24697,RawData[Month List],$Q$6,RawData[Tour/Site],$Q$2,RawData[[Picker ID ]],$Q$3,RawData[Checker ID],$Q$4,RawData[[Error Type ]],$Q$5))</f>
        <v/>
      </c>
    </row>
    <row r="24698" spans="15:15" x14ac:dyDescent="0.25">
      <c r="O24698" s="20" t="str">
        <f>IF(N24698="","",COUNTIFS(RawData[[Date ]],N24698,RawData[Month List],$Q$6,RawData[Tour/Site],$Q$2,RawData[[Picker ID ]],$Q$3,RawData[Checker ID],$Q$4,RawData[[Error Type ]],$Q$5))</f>
        <v/>
      </c>
    </row>
    <row r="24699" spans="15:15" x14ac:dyDescent="0.25">
      <c r="O24699" s="20" t="str">
        <f>IF(N24699="","",COUNTIFS(RawData[[Date ]],N24699,RawData[Month List],$Q$6,RawData[Tour/Site],$Q$2,RawData[[Picker ID ]],$Q$3,RawData[Checker ID],$Q$4,RawData[[Error Type ]],$Q$5))</f>
        <v/>
      </c>
    </row>
    <row r="24700" spans="15:15" x14ac:dyDescent="0.25">
      <c r="O24700" s="20" t="str">
        <f>IF(N24700="","",COUNTIFS(RawData[[Date ]],N24700,RawData[Month List],$Q$6,RawData[Tour/Site],$Q$2,RawData[[Picker ID ]],$Q$3,RawData[Checker ID],$Q$4,RawData[[Error Type ]],$Q$5))</f>
        <v/>
      </c>
    </row>
    <row r="24701" spans="15:15" x14ac:dyDescent="0.25">
      <c r="O24701" s="20" t="str">
        <f>IF(N24701="","",COUNTIFS(RawData[[Date ]],N24701,RawData[Month List],$Q$6,RawData[Tour/Site],$Q$2,RawData[[Picker ID ]],$Q$3,RawData[Checker ID],$Q$4,RawData[[Error Type ]],$Q$5))</f>
        <v/>
      </c>
    </row>
    <row r="24702" spans="15:15" x14ac:dyDescent="0.25">
      <c r="O24702" s="20" t="str">
        <f>IF(N24702="","",COUNTIFS(RawData[[Date ]],N24702,RawData[Month List],$Q$6,RawData[Tour/Site],$Q$2,RawData[[Picker ID ]],$Q$3,RawData[Checker ID],$Q$4,RawData[[Error Type ]],$Q$5))</f>
        <v/>
      </c>
    </row>
    <row r="24703" spans="15:15" x14ac:dyDescent="0.25">
      <c r="O24703" s="20" t="str">
        <f>IF(N24703="","",COUNTIFS(RawData[[Date ]],N24703,RawData[Month List],$Q$6,RawData[Tour/Site],$Q$2,RawData[[Picker ID ]],$Q$3,RawData[Checker ID],$Q$4,RawData[[Error Type ]],$Q$5))</f>
        <v/>
      </c>
    </row>
    <row r="24704" spans="15:15" x14ac:dyDescent="0.25">
      <c r="O24704" s="20" t="str">
        <f>IF(N24704="","",COUNTIFS(RawData[[Date ]],N24704,RawData[Month List],$Q$6,RawData[Tour/Site],$Q$2,RawData[[Picker ID ]],$Q$3,RawData[Checker ID],$Q$4,RawData[[Error Type ]],$Q$5))</f>
        <v/>
      </c>
    </row>
    <row r="24705" spans="15:15" x14ac:dyDescent="0.25">
      <c r="O24705" s="20" t="str">
        <f>IF(N24705="","",COUNTIFS(RawData[[Date ]],N24705,RawData[Month List],$Q$6,RawData[Tour/Site],$Q$2,RawData[[Picker ID ]],$Q$3,RawData[Checker ID],$Q$4,RawData[[Error Type ]],$Q$5))</f>
        <v/>
      </c>
    </row>
    <row r="24706" spans="15:15" x14ac:dyDescent="0.25">
      <c r="O24706" s="20" t="str">
        <f>IF(N24706="","",COUNTIFS(RawData[[Date ]],N24706,RawData[Month List],$Q$6,RawData[Tour/Site],$Q$2,RawData[[Picker ID ]],$Q$3,RawData[Checker ID],$Q$4,RawData[[Error Type ]],$Q$5))</f>
        <v/>
      </c>
    </row>
    <row r="24707" spans="15:15" x14ac:dyDescent="0.25">
      <c r="O24707" s="20" t="str">
        <f>IF(N24707="","",COUNTIFS(RawData[[Date ]],N24707,RawData[Month List],$Q$6,RawData[Tour/Site],$Q$2,RawData[[Picker ID ]],$Q$3,RawData[Checker ID],$Q$4,RawData[[Error Type ]],$Q$5))</f>
        <v/>
      </c>
    </row>
    <row r="24708" spans="15:15" x14ac:dyDescent="0.25">
      <c r="O24708" s="20" t="str">
        <f>IF(N24708="","",COUNTIFS(RawData[[Date ]],N24708,RawData[Month List],$Q$6,RawData[Tour/Site],$Q$2,RawData[[Picker ID ]],$Q$3,RawData[Checker ID],$Q$4,RawData[[Error Type ]],$Q$5))</f>
        <v/>
      </c>
    </row>
    <row r="24709" spans="15:15" x14ac:dyDescent="0.25">
      <c r="O24709" s="20" t="str">
        <f>IF(N24709="","",COUNTIFS(RawData[[Date ]],N24709,RawData[Month List],$Q$6,RawData[Tour/Site],$Q$2,RawData[[Picker ID ]],$Q$3,RawData[Checker ID],$Q$4,RawData[[Error Type ]],$Q$5))</f>
        <v/>
      </c>
    </row>
    <row r="24710" spans="15:15" x14ac:dyDescent="0.25">
      <c r="O24710" s="20" t="str">
        <f>IF(N24710="","",COUNTIFS(RawData[[Date ]],N24710,RawData[Month List],$Q$6,RawData[Tour/Site],$Q$2,RawData[[Picker ID ]],$Q$3,RawData[Checker ID],$Q$4,RawData[[Error Type ]],$Q$5))</f>
        <v/>
      </c>
    </row>
    <row r="24711" spans="15:15" x14ac:dyDescent="0.25">
      <c r="O24711" s="20" t="str">
        <f>IF(N24711="","",COUNTIFS(RawData[[Date ]],N24711,RawData[Month List],$Q$6,RawData[Tour/Site],$Q$2,RawData[[Picker ID ]],$Q$3,RawData[Checker ID],$Q$4,RawData[[Error Type ]],$Q$5))</f>
        <v/>
      </c>
    </row>
    <row r="24712" spans="15:15" x14ac:dyDescent="0.25">
      <c r="O24712" s="20" t="str">
        <f>IF(N24712="","",COUNTIFS(RawData[[Date ]],N24712,RawData[Month List],$Q$6,RawData[Tour/Site],$Q$2,RawData[[Picker ID ]],$Q$3,RawData[Checker ID],$Q$4,RawData[[Error Type ]],$Q$5))</f>
        <v/>
      </c>
    </row>
    <row r="24713" spans="15:15" x14ac:dyDescent="0.25">
      <c r="O24713" s="20" t="str">
        <f>IF(N24713="","",COUNTIFS(RawData[[Date ]],N24713,RawData[Month List],$Q$6,RawData[Tour/Site],$Q$2,RawData[[Picker ID ]],$Q$3,RawData[Checker ID],$Q$4,RawData[[Error Type ]],$Q$5))</f>
        <v/>
      </c>
    </row>
    <row r="24714" spans="15:15" x14ac:dyDescent="0.25">
      <c r="O24714" s="20" t="str">
        <f>IF(N24714="","",COUNTIFS(RawData[[Date ]],N24714,RawData[Month List],$Q$6,RawData[Tour/Site],$Q$2,RawData[[Picker ID ]],$Q$3,RawData[Checker ID],$Q$4,RawData[[Error Type ]],$Q$5))</f>
        <v/>
      </c>
    </row>
    <row r="24715" spans="15:15" x14ac:dyDescent="0.25">
      <c r="O24715" s="20" t="str">
        <f>IF(N24715="","",COUNTIFS(RawData[[Date ]],N24715,RawData[Month List],$Q$6,RawData[Tour/Site],$Q$2,RawData[[Picker ID ]],$Q$3,RawData[Checker ID],$Q$4,RawData[[Error Type ]],$Q$5))</f>
        <v/>
      </c>
    </row>
    <row r="24716" spans="15:15" x14ac:dyDescent="0.25">
      <c r="O24716" s="20" t="str">
        <f>IF(N24716="","",COUNTIFS(RawData[[Date ]],N24716,RawData[Month List],$Q$6,RawData[Tour/Site],$Q$2,RawData[[Picker ID ]],$Q$3,RawData[Checker ID],$Q$4,RawData[[Error Type ]],$Q$5))</f>
        <v/>
      </c>
    </row>
    <row r="24717" spans="15:15" x14ac:dyDescent="0.25">
      <c r="O24717" s="20" t="str">
        <f>IF(N24717="","",COUNTIFS(RawData[[Date ]],N24717,RawData[Month List],$Q$6,RawData[Tour/Site],$Q$2,RawData[[Picker ID ]],$Q$3,RawData[Checker ID],$Q$4,RawData[[Error Type ]],$Q$5))</f>
        <v/>
      </c>
    </row>
    <row r="24718" spans="15:15" x14ac:dyDescent="0.25">
      <c r="O24718" s="20" t="str">
        <f>IF(N24718="","",COUNTIFS(RawData[[Date ]],N24718,RawData[Month List],$Q$6,RawData[Tour/Site],$Q$2,RawData[[Picker ID ]],$Q$3,RawData[Checker ID],$Q$4,RawData[[Error Type ]],$Q$5))</f>
        <v/>
      </c>
    </row>
    <row r="24719" spans="15:15" x14ac:dyDescent="0.25">
      <c r="O24719" s="20" t="str">
        <f>IF(N24719="","",COUNTIFS(RawData[[Date ]],N24719,RawData[Month List],$Q$6,RawData[Tour/Site],$Q$2,RawData[[Picker ID ]],$Q$3,RawData[Checker ID],$Q$4,RawData[[Error Type ]],$Q$5))</f>
        <v/>
      </c>
    </row>
    <row r="24720" spans="15:15" x14ac:dyDescent="0.25">
      <c r="O24720" s="20" t="str">
        <f>IF(N24720="","",COUNTIFS(RawData[[Date ]],N24720,RawData[Month List],$Q$6,RawData[Tour/Site],$Q$2,RawData[[Picker ID ]],$Q$3,RawData[Checker ID],$Q$4,RawData[[Error Type ]],$Q$5))</f>
        <v/>
      </c>
    </row>
    <row r="24721" spans="15:15" x14ac:dyDescent="0.25">
      <c r="O24721" s="20" t="str">
        <f>IF(N24721="","",COUNTIFS(RawData[[Date ]],N24721,RawData[Month List],$Q$6,RawData[Tour/Site],$Q$2,RawData[[Picker ID ]],$Q$3,RawData[Checker ID],$Q$4,RawData[[Error Type ]],$Q$5))</f>
        <v/>
      </c>
    </row>
    <row r="24722" spans="15:15" x14ac:dyDescent="0.25">
      <c r="O24722" s="20" t="str">
        <f>IF(N24722="","",COUNTIFS(RawData[[Date ]],N24722,RawData[Month List],$Q$6,RawData[Tour/Site],$Q$2,RawData[[Picker ID ]],$Q$3,RawData[Checker ID],$Q$4,RawData[[Error Type ]],$Q$5))</f>
        <v/>
      </c>
    </row>
    <row r="24723" spans="15:15" x14ac:dyDescent="0.25">
      <c r="O24723" s="20" t="str">
        <f>IF(N24723="","",COUNTIFS(RawData[[Date ]],N24723,RawData[Month List],$Q$6,RawData[Tour/Site],$Q$2,RawData[[Picker ID ]],$Q$3,RawData[Checker ID],$Q$4,RawData[[Error Type ]],$Q$5))</f>
        <v/>
      </c>
    </row>
    <row r="24724" spans="15:15" x14ac:dyDescent="0.25">
      <c r="O24724" s="20" t="str">
        <f>IF(N24724="","",COUNTIFS(RawData[[Date ]],N24724,RawData[Month List],$Q$6,RawData[Tour/Site],$Q$2,RawData[[Picker ID ]],$Q$3,RawData[Checker ID],$Q$4,RawData[[Error Type ]],$Q$5))</f>
        <v/>
      </c>
    </row>
    <row r="24725" spans="15:15" x14ac:dyDescent="0.25">
      <c r="O24725" s="20" t="str">
        <f>IF(N24725="","",COUNTIFS(RawData[[Date ]],N24725,RawData[Month List],$Q$6,RawData[Tour/Site],$Q$2,RawData[[Picker ID ]],$Q$3,RawData[Checker ID],$Q$4,RawData[[Error Type ]],$Q$5))</f>
        <v/>
      </c>
    </row>
    <row r="24726" spans="15:15" x14ac:dyDescent="0.25">
      <c r="O24726" s="20" t="str">
        <f>IF(N24726="","",COUNTIFS(RawData[[Date ]],N24726,RawData[Month List],$Q$6,RawData[Tour/Site],$Q$2,RawData[[Picker ID ]],$Q$3,RawData[Checker ID],$Q$4,RawData[[Error Type ]],$Q$5))</f>
        <v/>
      </c>
    </row>
    <row r="24727" spans="15:15" x14ac:dyDescent="0.25">
      <c r="O24727" s="20" t="str">
        <f>IF(N24727="","",COUNTIFS(RawData[[Date ]],N24727,RawData[Month List],$Q$6,RawData[Tour/Site],$Q$2,RawData[[Picker ID ]],$Q$3,RawData[Checker ID],$Q$4,RawData[[Error Type ]],$Q$5))</f>
        <v/>
      </c>
    </row>
    <row r="24728" spans="15:15" x14ac:dyDescent="0.25">
      <c r="O24728" s="20" t="str">
        <f>IF(N24728="","",COUNTIFS(RawData[[Date ]],N24728,RawData[Month List],$Q$6,RawData[Tour/Site],$Q$2,RawData[[Picker ID ]],$Q$3,RawData[Checker ID],$Q$4,RawData[[Error Type ]],$Q$5))</f>
        <v/>
      </c>
    </row>
    <row r="24729" spans="15:15" x14ac:dyDescent="0.25">
      <c r="O24729" s="20" t="str">
        <f>IF(N24729="","",COUNTIFS(RawData[[Date ]],N24729,RawData[Month List],$Q$6,RawData[Tour/Site],$Q$2,RawData[[Picker ID ]],$Q$3,RawData[Checker ID],$Q$4,RawData[[Error Type ]],$Q$5))</f>
        <v/>
      </c>
    </row>
    <row r="24730" spans="15:15" x14ac:dyDescent="0.25">
      <c r="O24730" s="20" t="str">
        <f>IF(N24730="","",COUNTIFS(RawData[[Date ]],N24730,RawData[Month List],$Q$6,RawData[Tour/Site],$Q$2,RawData[[Picker ID ]],$Q$3,RawData[Checker ID],$Q$4,RawData[[Error Type ]],$Q$5))</f>
        <v/>
      </c>
    </row>
    <row r="24731" spans="15:15" x14ac:dyDescent="0.25">
      <c r="O24731" s="20" t="str">
        <f>IF(N24731="","",COUNTIFS(RawData[[Date ]],N24731,RawData[Month List],$Q$6,RawData[Tour/Site],$Q$2,RawData[[Picker ID ]],$Q$3,RawData[Checker ID],$Q$4,RawData[[Error Type ]],$Q$5))</f>
        <v/>
      </c>
    </row>
    <row r="24732" spans="15:15" x14ac:dyDescent="0.25">
      <c r="O24732" s="20" t="str">
        <f>IF(N24732="","",COUNTIFS(RawData[[Date ]],N24732,RawData[Month List],$Q$6,RawData[Tour/Site],$Q$2,RawData[[Picker ID ]],$Q$3,RawData[Checker ID],$Q$4,RawData[[Error Type ]],$Q$5))</f>
        <v/>
      </c>
    </row>
    <row r="24733" spans="15:15" x14ac:dyDescent="0.25">
      <c r="O24733" s="20" t="str">
        <f>IF(N24733="","",COUNTIFS(RawData[[Date ]],N24733,RawData[Month List],$Q$6,RawData[Tour/Site],$Q$2,RawData[[Picker ID ]],$Q$3,RawData[Checker ID],$Q$4,RawData[[Error Type ]],$Q$5))</f>
        <v/>
      </c>
    </row>
    <row r="24734" spans="15:15" x14ac:dyDescent="0.25">
      <c r="O24734" s="20" t="str">
        <f>IF(N24734="","",COUNTIFS(RawData[[Date ]],N24734,RawData[Month List],$Q$6,RawData[Tour/Site],$Q$2,RawData[[Picker ID ]],$Q$3,RawData[Checker ID],$Q$4,RawData[[Error Type ]],$Q$5))</f>
        <v/>
      </c>
    </row>
    <row r="24735" spans="15:15" x14ac:dyDescent="0.25">
      <c r="O24735" s="20" t="str">
        <f>IF(N24735="","",COUNTIFS(RawData[[Date ]],N24735,RawData[Month List],$Q$6,RawData[Tour/Site],$Q$2,RawData[[Picker ID ]],$Q$3,RawData[Checker ID],$Q$4,RawData[[Error Type ]],$Q$5))</f>
        <v/>
      </c>
    </row>
    <row r="24736" spans="15:15" x14ac:dyDescent="0.25">
      <c r="O24736" s="20" t="str">
        <f>IF(N24736="","",COUNTIFS(RawData[[Date ]],N24736,RawData[Month List],$Q$6,RawData[Tour/Site],$Q$2,RawData[[Picker ID ]],$Q$3,RawData[Checker ID],$Q$4,RawData[[Error Type ]],$Q$5))</f>
        <v/>
      </c>
    </row>
    <row r="24737" spans="15:15" x14ac:dyDescent="0.25">
      <c r="O24737" s="20" t="str">
        <f>IF(N24737="","",COUNTIFS(RawData[[Date ]],N24737,RawData[Month List],$Q$6,RawData[Tour/Site],$Q$2,RawData[[Picker ID ]],$Q$3,RawData[Checker ID],$Q$4,RawData[[Error Type ]],$Q$5))</f>
        <v/>
      </c>
    </row>
    <row r="24738" spans="15:15" x14ac:dyDescent="0.25">
      <c r="O24738" s="20" t="str">
        <f>IF(N24738="","",COUNTIFS(RawData[[Date ]],N24738,RawData[Month List],$Q$6,RawData[Tour/Site],$Q$2,RawData[[Picker ID ]],$Q$3,RawData[Checker ID],$Q$4,RawData[[Error Type ]],$Q$5))</f>
        <v/>
      </c>
    </row>
    <row r="24739" spans="15:15" x14ac:dyDescent="0.25">
      <c r="O24739" s="20" t="str">
        <f>IF(N24739="","",COUNTIFS(RawData[[Date ]],N24739,RawData[Month List],$Q$6,RawData[Tour/Site],$Q$2,RawData[[Picker ID ]],$Q$3,RawData[Checker ID],$Q$4,RawData[[Error Type ]],$Q$5))</f>
        <v/>
      </c>
    </row>
    <row r="24740" spans="15:15" x14ac:dyDescent="0.25">
      <c r="O24740" s="20" t="str">
        <f>IF(N24740="","",COUNTIFS(RawData[[Date ]],N24740,RawData[Month List],$Q$6,RawData[Tour/Site],$Q$2,RawData[[Picker ID ]],$Q$3,RawData[Checker ID],$Q$4,RawData[[Error Type ]],$Q$5))</f>
        <v/>
      </c>
    </row>
    <row r="24741" spans="15:15" x14ac:dyDescent="0.25">
      <c r="O24741" s="20" t="str">
        <f>IF(N24741="","",COUNTIFS(RawData[[Date ]],N24741,RawData[Month List],$Q$6,RawData[Tour/Site],$Q$2,RawData[[Picker ID ]],$Q$3,RawData[Checker ID],$Q$4,RawData[[Error Type ]],$Q$5))</f>
        <v/>
      </c>
    </row>
    <row r="24742" spans="15:15" x14ac:dyDescent="0.25">
      <c r="O24742" s="20" t="str">
        <f>IF(N24742="","",COUNTIFS(RawData[[Date ]],N24742,RawData[Month List],$Q$6,RawData[Tour/Site],$Q$2,RawData[[Picker ID ]],$Q$3,RawData[Checker ID],$Q$4,RawData[[Error Type ]],$Q$5))</f>
        <v/>
      </c>
    </row>
    <row r="24743" spans="15:15" x14ac:dyDescent="0.25">
      <c r="O24743" s="20" t="str">
        <f>IF(N24743="","",COUNTIFS(RawData[[Date ]],N24743,RawData[Month List],$Q$6,RawData[Tour/Site],$Q$2,RawData[[Picker ID ]],$Q$3,RawData[Checker ID],$Q$4,RawData[[Error Type ]],$Q$5))</f>
        <v/>
      </c>
    </row>
    <row r="24744" spans="15:15" x14ac:dyDescent="0.25">
      <c r="O24744" s="20" t="str">
        <f>IF(N24744="","",COUNTIFS(RawData[[Date ]],N24744,RawData[Month List],$Q$6,RawData[Tour/Site],$Q$2,RawData[[Picker ID ]],$Q$3,RawData[Checker ID],$Q$4,RawData[[Error Type ]],$Q$5))</f>
        <v/>
      </c>
    </row>
    <row r="24745" spans="15:15" x14ac:dyDescent="0.25">
      <c r="O24745" s="20" t="str">
        <f>IF(N24745="","",COUNTIFS(RawData[[Date ]],N24745,RawData[Month List],$Q$6,RawData[Tour/Site],$Q$2,RawData[[Picker ID ]],$Q$3,RawData[Checker ID],$Q$4,RawData[[Error Type ]],$Q$5))</f>
        <v/>
      </c>
    </row>
    <row r="24746" spans="15:15" x14ac:dyDescent="0.25">
      <c r="O24746" s="20" t="str">
        <f>IF(N24746="","",COUNTIFS(RawData[[Date ]],N24746,RawData[Month List],$Q$6,RawData[Tour/Site],$Q$2,RawData[[Picker ID ]],$Q$3,RawData[Checker ID],$Q$4,RawData[[Error Type ]],$Q$5))</f>
        <v/>
      </c>
    </row>
    <row r="24747" spans="15:15" x14ac:dyDescent="0.25">
      <c r="O24747" s="20" t="str">
        <f>IF(N24747="","",COUNTIFS(RawData[[Date ]],N24747,RawData[Month List],$Q$6,RawData[Tour/Site],$Q$2,RawData[[Picker ID ]],$Q$3,RawData[Checker ID],$Q$4,RawData[[Error Type ]],$Q$5))</f>
        <v/>
      </c>
    </row>
    <row r="24748" spans="15:15" x14ac:dyDescent="0.25">
      <c r="O24748" s="20" t="str">
        <f>IF(N24748="","",COUNTIFS(RawData[[Date ]],N24748,RawData[Month List],$Q$6,RawData[Tour/Site],$Q$2,RawData[[Picker ID ]],$Q$3,RawData[Checker ID],$Q$4,RawData[[Error Type ]],$Q$5))</f>
        <v/>
      </c>
    </row>
    <row r="24749" spans="15:15" x14ac:dyDescent="0.25">
      <c r="O24749" s="20" t="str">
        <f>IF(N24749="","",COUNTIFS(RawData[[Date ]],N24749,RawData[Month List],$Q$6,RawData[Tour/Site],$Q$2,RawData[[Picker ID ]],$Q$3,RawData[Checker ID],$Q$4,RawData[[Error Type ]],$Q$5))</f>
        <v/>
      </c>
    </row>
    <row r="24750" spans="15:15" x14ac:dyDescent="0.25">
      <c r="O24750" s="20" t="str">
        <f>IF(N24750="","",COUNTIFS(RawData[[Date ]],N24750,RawData[Month List],$Q$6,RawData[Tour/Site],$Q$2,RawData[[Picker ID ]],$Q$3,RawData[Checker ID],$Q$4,RawData[[Error Type ]],$Q$5))</f>
        <v/>
      </c>
    </row>
    <row r="24751" spans="15:15" x14ac:dyDescent="0.25">
      <c r="O24751" s="20" t="str">
        <f>IF(N24751="","",COUNTIFS(RawData[[Date ]],N24751,RawData[Month List],$Q$6,RawData[Tour/Site],$Q$2,RawData[[Picker ID ]],$Q$3,RawData[Checker ID],$Q$4,RawData[[Error Type ]],$Q$5))</f>
        <v/>
      </c>
    </row>
    <row r="24752" spans="15:15" x14ac:dyDescent="0.25">
      <c r="O24752" s="20" t="str">
        <f>IF(N24752="","",COUNTIFS(RawData[[Date ]],N24752,RawData[Month List],$Q$6,RawData[Tour/Site],$Q$2,RawData[[Picker ID ]],$Q$3,RawData[Checker ID],$Q$4,RawData[[Error Type ]],$Q$5))</f>
        <v/>
      </c>
    </row>
    <row r="24753" spans="15:15" x14ac:dyDescent="0.25">
      <c r="O24753" s="20" t="str">
        <f>IF(N24753="","",COUNTIFS(RawData[[Date ]],N24753,RawData[Month List],$Q$6,RawData[Tour/Site],$Q$2,RawData[[Picker ID ]],$Q$3,RawData[Checker ID],$Q$4,RawData[[Error Type ]],$Q$5))</f>
        <v/>
      </c>
    </row>
    <row r="24754" spans="15:15" x14ac:dyDescent="0.25">
      <c r="O24754" s="20" t="str">
        <f>IF(N24754="","",COUNTIFS(RawData[[Date ]],N24754,RawData[Month List],$Q$6,RawData[Tour/Site],$Q$2,RawData[[Picker ID ]],$Q$3,RawData[Checker ID],$Q$4,RawData[[Error Type ]],$Q$5))</f>
        <v/>
      </c>
    </row>
    <row r="24755" spans="15:15" x14ac:dyDescent="0.25">
      <c r="O24755" s="20" t="str">
        <f>IF(N24755="","",COUNTIFS(RawData[[Date ]],N24755,RawData[Month List],$Q$6,RawData[Tour/Site],$Q$2,RawData[[Picker ID ]],$Q$3,RawData[Checker ID],$Q$4,RawData[[Error Type ]],$Q$5))</f>
        <v/>
      </c>
    </row>
    <row r="24756" spans="15:15" x14ac:dyDescent="0.25">
      <c r="O24756" s="20" t="str">
        <f>IF(N24756="","",COUNTIFS(RawData[[Date ]],N24756,RawData[Month List],$Q$6,RawData[Tour/Site],$Q$2,RawData[[Picker ID ]],$Q$3,RawData[Checker ID],$Q$4,RawData[[Error Type ]],$Q$5))</f>
        <v/>
      </c>
    </row>
    <row r="24757" spans="15:15" x14ac:dyDescent="0.25">
      <c r="O24757" s="20" t="str">
        <f>IF(N24757="","",COUNTIFS(RawData[[Date ]],N24757,RawData[Month List],$Q$6,RawData[Tour/Site],$Q$2,RawData[[Picker ID ]],$Q$3,RawData[Checker ID],$Q$4,RawData[[Error Type ]],$Q$5))</f>
        <v/>
      </c>
    </row>
    <row r="24758" spans="15:15" x14ac:dyDescent="0.25">
      <c r="O24758" s="20" t="str">
        <f>IF(N24758="","",COUNTIFS(RawData[[Date ]],N24758,RawData[Month List],$Q$6,RawData[Tour/Site],$Q$2,RawData[[Picker ID ]],$Q$3,RawData[Checker ID],$Q$4,RawData[[Error Type ]],$Q$5))</f>
        <v/>
      </c>
    </row>
    <row r="24759" spans="15:15" x14ac:dyDescent="0.25">
      <c r="O24759" s="20" t="str">
        <f>IF(N24759="","",COUNTIFS(RawData[[Date ]],N24759,RawData[Month List],$Q$6,RawData[Tour/Site],$Q$2,RawData[[Picker ID ]],$Q$3,RawData[Checker ID],$Q$4,RawData[[Error Type ]],$Q$5))</f>
        <v/>
      </c>
    </row>
    <row r="24760" spans="15:15" x14ac:dyDescent="0.25">
      <c r="O24760" s="20" t="str">
        <f>IF(N24760="","",COUNTIFS(RawData[[Date ]],N24760,RawData[Month List],$Q$6,RawData[Tour/Site],$Q$2,RawData[[Picker ID ]],$Q$3,RawData[Checker ID],$Q$4,RawData[[Error Type ]],$Q$5))</f>
        <v/>
      </c>
    </row>
    <row r="24761" spans="15:15" x14ac:dyDescent="0.25">
      <c r="O24761" s="20" t="str">
        <f>IF(N24761="","",COUNTIFS(RawData[[Date ]],N24761,RawData[Month List],$Q$6,RawData[Tour/Site],$Q$2,RawData[[Picker ID ]],$Q$3,RawData[Checker ID],$Q$4,RawData[[Error Type ]],$Q$5))</f>
        <v/>
      </c>
    </row>
    <row r="24762" spans="15:15" x14ac:dyDescent="0.25">
      <c r="O24762" s="20" t="str">
        <f>IF(N24762="","",COUNTIFS(RawData[[Date ]],N24762,RawData[Month List],$Q$6,RawData[Tour/Site],$Q$2,RawData[[Picker ID ]],$Q$3,RawData[Checker ID],$Q$4,RawData[[Error Type ]],$Q$5))</f>
        <v/>
      </c>
    </row>
    <row r="24763" spans="15:15" x14ac:dyDescent="0.25">
      <c r="O24763" s="20" t="str">
        <f>IF(N24763="","",COUNTIFS(RawData[[Date ]],N24763,RawData[Month List],$Q$6,RawData[Tour/Site],$Q$2,RawData[[Picker ID ]],$Q$3,RawData[Checker ID],$Q$4,RawData[[Error Type ]],$Q$5))</f>
        <v/>
      </c>
    </row>
    <row r="24764" spans="15:15" x14ac:dyDescent="0.25">
      <c r="O24764" s="20" t="str">
        <f>IF(N24764="","",COUNTIFS(RawData[[Date ]],N24764,RawData[Month List],$Q$6,RawData[Tour/Site],$Q$2,RawData[[Picker ID ]],$Q$3,RawData[Checker ID],$Q$4,RawData[[Error Type ]],$Q$5))</f>
        <v/>
      </c>
    </row>
    <row r="24765" spans="15:15" x14ac:dyDescent="0.25">
      <c r="O24765" s="20" t="str">
        <f>IF(N24765="","",COUNTIFS(RawData[[Date ]],N24765,RawData[Month List],$Q$6,RawData[Tour/Site],$Q$2,RawData[[Picker ID ]],$Q$3,RawData[Checker ID],$Q$4,RawData[[Error Type ]],$Q$5))</f>
        <v/>
      </c>
    </row>
    <row r="24766" spans="15:15" x14ac:dyDescent="0.25">
      <c r="O24766" s="20" t="str">
        <f>IF(N24766="","",COUNTIFS(RawData[[Date ]],N24766,RawData[Month List],$Q$6,RawData[Tour/Site],$Q$2,RawData[[Picker ID ]],$Q$3,RawData[Checker ID],$Q$4,RawData[[Error Type ]],$Q$5))</f>
        <v/>
      </c>
    </row>
    <row r="24767" spans="15:15" x14ac:dyDescent="0.25">
      <c r="O24767" s="20" t="str">
        <f>IF(N24767="","",COUNTIFS(RawData[[Date ]],N24767,RawData[Month List],$Q$6,RawData[Tour/Site],$Q$2,RawData[[Picker ID ]],$Q$3,RawData[Checker ID],$Q$4,RawData[[Error Type ]],$Q$5))</f>
        <v/>
      </c>
    </row>
    <row r="24768" spans="15:15" x14ac:dyDescent="0.25">
      <c r="O24768" s="20" t="str">
        <f>IF(N24768="","",COUNTIFS(RawData[[Date ]],N24768,RawData[Month List],$Q$6,RawData[Tour/Site],$Q$2,RawData[[Picker ID ]],$Q$3,RawData[Checker ID],$Q$4,RawData[[Error Type ]],$Q$5))</f>
        <v/>
      </c>
    </row>
    <row r="24769" spans="15:15" x14ac:dyDescent="0.25">
      <c r="O24769" s="20" t="str">
        <f>IF(N24769="","",COUNTIFS(RawData[[Date ]],N24769,RawData[Month List],$Q$6,RawData[Tour/Site],$Q$2,RawData[[Picker ID ]],$Q$3,RawData[Checker ID],$Q$4,RawData[[Error Type ]],$Q$5))</f>
        <v/>
      </c>
    </row>
    <row r="24770" spans="15:15" x14ac:dyDescent="0.25">
      <c r="O24770" s="20" t="str">
        <f>IF(N24770="","",COUNTIFS(RawData[[Date ]],N24770,RawData[Month List],$Q$6,RawData[Tour/Site],$Q$2,RawData[[Picker ID ]],$Q$3,RawData[Checker ID],$Q$4,RawData[[Error Type ]],$Q$5))</f>
        <v/>
      </c>
    </row>
    <row r="24771" spans="15:15" x14ac:dyDescent="0.25">
      <c r="O24771" s="20" t="str">
        <f>IF(N24771="","",COUNTIFS(RawData[[Date ]],N24771,RawData[Month List],$Q$6,RawData[Tour/Site],$Q$2,RawData[[Picker ID ]],$Q$3,RawData[Checker ID],$Q$4,RawData[[Error Type ]],$Q$5))</f>
        <v/>
      </c>
    </row>
    <row r="24772" spans="15:15" x14ac:dyDescent="0.25">
      <c r="O24772" s="20" t="str">
        <f>IF(N24772="","",COUNTIFS(RawData[[Date ]],N24772,RawData[Month List],$Q$6,RawData[Tour/Site],$Q$2,RawData[[Picker ID ]],$Q$3,RawData[Checker ID],$Q$4,RawData[[Error Type ]],$Q$5))</f>
        <v/>
      </c>
    </row>
    <row r="24773" spans="15:15" x14ac:dyDescent="0.25">
      <c r="O24773" s="20" t="str">
        <f>IF(N24773="","",COUNTIFS(RawData[[Date ]],N24773,RawData[Month List],$Q$6,RawData[Tour/Site],$Q$2,RawData[[Picker ID ]],$Q$3,RawData[Checker ID],$Q$4,RawData[[Error Type ]],$Q$5))</f>
        <v/>
      </c>
    </row>
    <row r="24774" spans="15:15" x14ac:dyDescent="0.25">
      <c r="O24774" s="20" t="str">
        <f>IF(N24774="","",COUNTIFS(RawData[[Date ]],N24774,RawData[Month List],$Q$6,RawData[Tour/Site],$Q$2,RawData[[Picker ID ]],$Q$3,RawData[Checker ID],$Q$4,RawData[[Error Type ]],$Q$5))</f>
        <v/>
      </c>
    </row>
    <row r="24775" spans="15:15" x14ac:dyDescent="0.25">
      <c r="O24775" s="20" t="str">
        <f>IF(N24775="","",COUNTIFS(RawData[[Date ]],N24775,RawData[Month List],$Q$6,RawData[Tour/Site],$Q$2,RawData[[Picker ID ]],$Q$3,RawData[Checker ID],$Q$4,RawData[[Error Type ]],$Q$5))</f>
        <v/>
      </c>
    </row>
    <row r="24776" spans="15:15" x14ac:dyDescent="0.25">
      <c r="O24776" s="20" t="str">
        <f>IF(N24776="","",COUNTIFS(RawData[[Date ]],N24776,RawData[Month List],$Q$6,RawData[Tour/Site],$Q$2,RawData[[Picker ID ]],$Q$3,RawData[Checker ID],$Q$4,RawData[[Error Type ]],$Q$5))</f>
        <v/>
      </c>
    </row>
    <row r="24777" spans="15:15" x14ac:dyDescent="0.25">
      <c r="O24777" s="20" t="str">
        <f>IF(N24777="","",COUNTIFS(RawData[[Date ]],N24777,RawData[Month List],$Q$6,RawData[Tour/Site],$Q$2,RawData[[Picker ID ]],$Q$3,RawData[Checker ID],$Q$4,RawData[[Error Type ]],$Q$5))</f>
        <v/>
      </c>
    </row>
    <row r="24778" spans="15:15" x14ac:dyDescent="0.25">
      <c r="O24778" s="20" t="str">
        <f>IF(N24778="","",COUNTIFS(RawData[[Date ]],N24778,RawData[Month List],$Q$6,RawData[Tour/Site],$Q$2,RawData[[Picker ID ]],$Q$3,RawData[Checker ID],$Q$4,RawData[[Error Type ]],$Q$5))</f>
        <v/>
      </c>
    </row>
    <row r="24779" spans="15:15" x14ac:dyDescent="0.25">
      <c r="O24779" s="20" t="str">
        <f>IF(N24779="","",COUNTIFS(RawData[[Date ]],N24779,RawData[Month List],$Q$6,RawData[Tour/Site],$Q$2,RawData[[Picker ID ]],$Q$3,RawData[Checker ID],$Q$4,RawData[[Error Type ]],$Q$5))</f>
        <v/>
      </c>
    </row>
    <row r="24780" spans="15:15" x14ac:dyDescent="0.25">
      <c r="O24780" s="20" t="str">
        <f>IF(N24780="","",COUNTIFS(RawData[[Date ]],N24780,RawData[Month List],$Q$6,RawData[Tour/Site],$Q$2,RawData[[Picker ID ]],$Q$3,RawData[Checker ID],$Q$4,RawData[[Error Type ]],$Q$5))</f>
        <v/>
      </c>
    </row>
    <row r="24781" spans="15:15" x14ac:dyDescent="0.25">
      <c r="O24781" s="20" t="str">
        <f>IF(N24781="","",COUNTIFS(RawData[[Date ]],N24781,RawData[Month List],$Q$6,RawData[Tour/Site],$Q$2,RawData[[Picker ID ]],$Q$3,RawData[Checker ID],$Q$4,RawData[[Error Type ]],$Q$5))</f>
        <v/>
      </c>
    </row>
    <row r="24782" spans="15:15" x14ac:dyDescent="0.25">
      <c r="O24782" s="20" t="str">
        <f>IF(N24782="","",COUNTIFS(RawData[[Date ]],N24782,RawData[Month List],$Q$6,RawData[Tour/Site],$Q$2,RawData[[Picker ID ]],$Q$3,RawData[Checker ID],$Q$4,RawData[[Error Type ]],$Q$5))</f>
        <v/>
      </c>
    </row>
    <row r="24783" spans="15:15" x14ac:dyDescent="0.25">
      <c r="O24783" s="20" t="str">
        <f>IF(N24783="","",COUNTIFS(RawData[[Date ]],N24783,RawData[Month List],$Q$6,RawData[Tour/Site],$Q$2,RawData[[Picker ID ]],$Q$3,RawData[Checker ID],$Q$4,RawData[[Error Type ]],$Q$5))</f>
        <v/>
      </c>
    </row>
    <row r="24784" spans="15:15" x14ac:dyDescent="0.25">
      <c r="O24784" s="20" t="str">
        <f>IF(N24784="","",COUNTIFS(RawData[[Date ]],N24784,RawData[Month List],$Q$6,RawData[Tour/Site],$Q$2,RawData[[Picker ID ]],$Q$3,RawData[Checker ID],$Q$4,RawData[[Error Type ]],$Q$5))</f>
        <v/>
      </c>
    </row>
    <row r="24785" spans="15:15" x14ac:dyDescent="0.25">
      <c r="O24785" s="20" t="str">
        <f>IF(N24785="","",COUNTIFS(RawData[[Date ]],N24785,RawData[Month List],$Q$6,RawData[Tour/Site],$Q$2,RawData[[Picker ID ]],$Q$3,RawData[Checker ID],$Q$4,RawData[[Error Type ]],$Q$5))</f>
        <v/>
      </c>
    </row>
    <row r="24786" spans="15:15" x14ac:dyDescent="0.25">
      <c r="O24786" s="20" t="str">
        <f>IF(N24786="","",COUNTIFS(RawData[[Date ]],N24786,RawData[Month List],$Q$6,RawData[Tour/Site],$Q$2,RawData[[Picker ID ]],$Q$3,RawData[Checker ID],$Q$4,RawData[[Error Type ]],$Q$5))</f>
        <v/>
      </c>
    </row>
    <row r="24787" spans="15:15" x14ac:dyDescent="0.25">
      <c r="O24787" s="20" t="str">
        <f>IF(N24787="","",COUNTIFS(RawData[[Date ]],N24787,RawData[Month List],$Q$6,RawData[Tour/Site],$Q$2,RawData[[Picker ID ]],$Q$3,RawData[Checker ID],$Q$4,RawData[[Error Type ]],$Q$5))</f>
        <v/>
      </c>
    </row>
    <row r="24788" spans="15:15" x14ac:dyDescent="0.25">
      <c r="O24788" s="20" t="str">
        <f>IF(N24788="","",COUNTIFS(RawData[[Date ]],N24788,RawData[Month List],$Q$6,RawData[Tour/Site],$Q$2,RawData[[Picker ID ]],$Q$3,RawData[Checker ID],$Q$4,RawData[[Error Type ]],$Q$5))</f>
        <v/>
      </c>
    </row>
    <row r="24789" spans="15:15" x14ac:dyDescent="0.25">
      <c r="O24789" s="20" t="str">
        <f>IF(N24789="","",COUNTIFS(RawData[[Date ]],N24789,RawData[Month List],$Q$6,RawData[Tour/Site],$Q$2,RawData[[Picker ID ]],$Q$3,RawData[Checker ID],$Q$4,RawData[[Error Type ]],$Q$5))</f>
        <v/>
      </c>
    </row>
    <row r="24790" spans="15:15" x14ac:dyDescent="0.25">
      <c r="O24790" s="20" t="str">
        <f>IF(N24790="","",COUNTIFS(RawData[[Date ]],N24790,RawData[Month List],$Q$6,RawData[Tour/Site],$Q$2,RawData[[Picker ID ]],$Q$3,RawData[Checker ID],$Q$4,RawData[[Error Type ]],$Q$5))</f>
        <v/>
      </c>
    </row>
    <row r="24791" spans="15:15" x14ac:dyDescent="0.25">
      <c r="O24791" s="20" t="str">
        <f>IF(N24791="","",COUNTIFS(RawData[[Date ]],N24791,RawData[Month List],$Q$6,RawData[Tour/Site],$Q$2,RawData[[Picker ID ]],$Q$3,RawData[Checker ID],$Q$4,RawData[[Error Type ]],$Q$5))</f>
        <v/>
      </c>
    </row>
    <row r="24792" spans="15:15" x14ac:dyDescent="0.25">
      <c r="O24792" s="20" t="str">
        <f>IF(N24792="","",COUNTIFS(RawData[[Date ]],N24792,RawData[Month List],$Q$6,RawData[Tour/Site],$Q$2,RawData[[Picker ID ]],$Q$3,RawData[Checker ID],$Q$4,RawData[[Error Type ]],$Q$5))</f>
        <v/>
      </c>
    </row>
    <row r="24793" spans="15:15" x14ac:dyDescent="0.25">
      <c r="O24793" s="20" t="str">
        <f>IF(N24793="","",COUNTIFS(RawData[[Date ]],N24793,RawData[Month List],$Q$6,RawData[Tour/Site],$Q$2,RawData[[Picker ID ]],$Q$3,RawData[Checker ID],$Q$4,RawData[[Error Type ]],$Q$5))</f>
        <v/>
      </c>
    </row>
    <row r="24794" spans="15:15" x14ac:dyDescent="0.25">
      <c r="O24794" s="20" t="str">
        <f>IF(N24794="","",COUNTIFS(RawData[[Date ]],N24794,RawData[Month List],$Q$6,RawData[Tour/Site],$Q$2,RawData[[Picker ID ]],$Q$3,RawData[Checker ID],$Q$4,RawData[[Error Type ]],$Q$5))</f>
        <v/>
      </c>
    </row>
    <row r="24795" spans="15:15" x14ac:dyDescent="0.25">
      <c r="O24795" s="20" t="str">
        <f>IF(N24795="","",COUNTIFS(RawData[[Date ]],N24795,RawData[Month List],$Q$6,RawData[Tour/Site],$Q$2,RawData[[Picker ID ]],$Q$3,RawData[Checker ID],$Q$4,RawData[[Error Type ]],$Q$5))</f>
        <v/>
      </c>
    </row>
    <row r="24796" spans="15:15" x14ac:dyDescent="0.25">
      <c r="O24796" s="20" t="str">
        <f>IF(N24796="","",COUNTIFS(RawData[[Date ]],N24796,RawData[Month List],$Q$6,RawData[Tour/Site],$Q$2,RawData[[Picker ID ]],$Q$3,RawData[Checker ID],$Q$4,RawData[[Error Type ]],$Q$5))</f>
        <v/>
      </c>
    </row>
    <row r="24797" spans="15:15" x14ac:dyDescent="0.25">
      <c r="O24797" s="20" t="str">
        <f>IF(N24797="","",COUNTIFS(RawData[[Date ]],N24797,RawData[Month List],$Q$6,RawData[Tour/Site],$Q$2,RawData[[Picker ID ]],$Q$3,RawData[Checker ID],$Q$4,RawData[[Error Type ]],$Q$5))</f>
        <v/>
      </c>
    </row>
    <row r="24798" spans="15:15" x14ac:dyDescent="0.25">
      <c r="O24798" s="20" t="str">
        <f>IF(N24798="","",COUNTIFS(RawData[[Date ]],N24798,RawData[Month List],$Q$6,RawData[Tour/Site],$Q$2,RawData[[Picker ID ]],$Q$3,RawData[Checker ID],$Q$4,RawData[[Error Type ]],$Q$5))</f>
        <v/>
      </c>
    </row>
    <row r="24799" spans="15:15" x14ac:dyDescent="0.25">
      <c r="O24799" s="20" t="str">
        <f>IF(N24799="","",COUNTIFS(RawData[[Date ]],N24799,RawData[Month List],$Q$6,RawData[Tour/Site],$Q$2,RawData[[Picker ID ]],$Q$3,RawData[Checker ID],$Q$4,RawData[[Error Type ]],$Q$5))</f>
        <v/>
      </c>
    </row>
    <row r="24800" spans="15:15" x14ac:dyDescent="0.25">
      <c r="O24800" s="20" t="str">
        <f>IF(N24800="","",COUNTIFS(RawData[[Date ]],N24800,RawData[Month List],$Q$6,RawData[Tour/Site],$Q$2,RawData[[Picker ID ]],$Q$3,RawData[Checker ID],$Q$4,RawData[[Error Type ]],$Q$5))</f>
        <v/>
      </c>
    </row>
    <row r="24801" spans="15:15" x14ac:dyDescent="0.25">
      <c r="O24801" s="20" t="str">
        <f>IF(N24801="","",COUNTIFS(RawData[[Date ]],N24801,RawData[Month List],$Q$6,RawData[Tour/Site],$Q$2,RawData[[Picker ID ]],$Q$3,RawData[Checker ID],$Q$4,RawData[[Error Type ]],$Q$5))</f>
        <v/>
      </c>
    </row>
    <row r="24802" spans="15:15" x14ac:dyDescent="0.25">
      <c r="O24802" s="20" t="str">
        <f>IF(N24802="","",COUNTIFS(RawData[[Date ]],N24802,RawData[Month List],$Q$6,RawData[Tour/Site],$Q$2,RawData[[Picker ID ]],$Q$3,RawData[Checker ID],$Q$4,RawData[[Error Type ]],$Q$5))</f>
        <v/>
      </c>
    </row>
    <row r="24803" spans="15:15" x14ac:dyDescent="0.25">
      <c r="O24803" s="20" t="str">
        <f>IF(N24803="","",COUNTIFS(RawData[[Date ]],N24803,RawData[Month List],$Q$6,RawData[Tour/Site],$Q$2,RawData[[Picker ID ]],$Q$3,RawData[Checker ID],$Q$4,RawData[[Error Type ]],$Q$5))</f>
        <v/>
      </c>
    </row>
    <row r="24804" spans="15:15" x14ac:dyDescent="0.25">
      <c r="O24804" s="20" t="str">
        <f>IF(N24804="","",COUNTIFS(RawData[[Date ]],N24804,RawData[Month List],$Q$6,RawData[Tour/Site],$Q$2,RawData[[Picker ID ]],$Q$3,RawData[Checker ID],$Q$4,RawData[[Error Type ]],$Q$5))</f>
        <v/>
      </c>
    </row>
    <row r="24805" spans="15:15" x14ac:dyDescent="0.25">
      <c r="O24805" s="20" t="str">
        <f>IF(N24805="","",COUNTIFS(RawData[[Date ]],N24805,RawData[Month List],$Q$6,RawData[Tour/Site],$Q$2,RawData[[Picker ID ]],$Q$3,RawData[Checker ID],$Q$4,RawData[[Error Type ]],$Q$5))</f>
        <v/>
      </c>
    </row>
    <row r="24806" spans="15:15" x14ac:dyDescent="0.25">
      <c r="O24806" s="20" t="str">
        <f>IF(N24806="","",COUNTIFS(RawData[[Date ]],N24806,RawData[Month List],$Q$6,RawData[Tour/Site],$Q$2,RawData[[Picker ID ]],$Q$3,RawData[Checker ID],$Q$4,RawData[[Error Type ]],$Q$5))</f>
        <v/>
      </c>
    </row>
    <row r="24807" spans="15:15" x14ac:dyDescent="0.25">
      <c r="O24807" s="20" t="str">
        <f>IF(N24807="","",COUNTIFS(RawData[[Date ]],N24807,RawData[Month List],$Q$6,RawData[Tour/Site],$Q$2,RawData[[Picker ID ]],$Q$3,RawData[Checker ID],$Q$4,RawData[[Error Type ]],$Q$5))</f>
        <v/>
      </c>
    </row>
    <row r="24808" spans="15:15" x14ac:dyDescent="0.25">
      <c r="O24808" s="20" t="str">
        <f>IF(N24808="","",COUNTIFS(RawData[[Date ]],N24808,RawData[Month List],$Q$6,RawData[Tour/Site],$Q$2,RawData[[Picker ID ]],$Q$3,RawData[Checker ID],$Q$4,RawData[[Error Type ]],$Q$5))</f>
        <v/>
      </c>
    </row>
    <row r="24809" spans="15:15" x14ac:dyDescent="0.25">
      <c r="O24809" s="20" t="str">
        <f>IF(N24809="","",COUNTIFS(RawData[[Date ]],N24809,RawData[Month List],$Q$6,RawData[Tour/Site],$Q$2,RawData[[Picker ID ]],$Q$3,RawData[Checker ID],$Q$4,RawData[[Error Type ]],$Q$5))</f>
        <v/>
      </c>
    </row>
    <row r="24810" spans="15:15" x14ac:dyDescent="0.25">
      <c r="O24810" s="20" t="str">
        <f>IF(N24810="","",COUNTIFS(RawData[[Date ]],N24810,RawData[Month List],$Q$6,RawData[Tour/Site],$Q$2,RawData[[Picker ID ]],$Q$3,RawData[Checker ID],$Q$4,RawData[[Error Type ]],$Q$5))</f>
        <v/>
      </c>
    </row>
    <row r="24811" spans="15:15" x14ac:dyDescent="0.25">
      <c r="O24811" s="20" t="str">
        <f>IF(N24811="","",COUNTIFS(RawData[[Date ]],N24811,RawData[Month List],$Q$6,RawData[Tour/Site],$Q$2,RawData[[Picker ID ]],$Q$3,RawData[Checker ID],$Q$4,RawData[[Error Type ]],$Q$5))</f>
        <v/>
      </c>
    </row>
    <row r="24812" spans="15:15" x14ac:dyDescent="0.25">
      <c r="O24812" s="20" t="str">
        <f>IF(N24812="","",COUNTIFS(RawData[[Date ]],N24812,RawData[Month List],$Q$6,RawData[Tour/Site],$Q$2,RawData[[Picker ID ]],$Q$3,RawData[Checker ID],$Q$4,RawData[[Error Type ]],$Q$5))</f>
        <v/>
      </c>
    </row>
    <row r="24813" spans="15:15" x14ac:dyDescent="0.25">
      <c r="O24813" s="20" t="str">
        <f>IF(N24813="","",COUNTIFS(RawData[[Date ]],N24813,RawData[Month List],$Q$6,RawData[Tour/Site],$Q$2,RawData[[Picker ID ]],$Q$3,RawData[Checker ID],$Q$4,RawData[[Error Type ]],$Q$5))</f>
        <v/>
      </c>
    </row>
    <row r="24814" spans="15:15" x14ac:dyDescent="0.25">
      <c r="O24814" s="20" t="str">
        <f>IF(N24814="","",COUNTIFS(RawData[[Date ]],N24814,RawData[Month List],$Q$6,RawData[Tour/Site],$Q$2,RawData[[Picker ID ]],$Q$3,RawData[Checker ID],$Q$4,RawData[[Error Type ]],$Q$5))</f>
        <v/>
      </c>
    </row>
    <row r="24815" spans="15:15" x14ac:dyDescent="0.25">
      <c r="O24815" s="20" t="str">
        <f>IF(N24815="","",COUNTIFS(RawData[[Date ]],N24815,RawData[Month List],$Q$6,RawData[Tour/Site],$Q$2,RawData[[Picker ID ]],$Q$3,RawData[Checker ID],$Q$4,RawData[[Error Type ]],$Q$5))</f>
        <v/>
      </c>
    </row>
    <row r="24816" spans="15:15" x14ac:dyDescent="0.25">
      <c r="O24816" s="20" t="str">
        <f>IF(N24816="","",COUNTIFS(RawData[[Date ]],N24816,RawData[Month List],$Q$6,RawData[Tour/Site],$Q$2,RawData[[Picker ID ]],$Q$3,RawData[Checker ID],$Q$4,RawData[[Error Type ]],$Q$5))</f>
        <v/>
      </c>
    </row>
    <row r="24817" spans="15:15" x14ac:dyDescent="0.25">
      <c r="O24817" s="20" t="str">
        <f>IF(N24817="","",COUNTIFS(RawData[[Date ]],N24817,RawData[Month List],$Q$6,RawData[Tour/Site],$Q$2,RawData[[Picker ID ]],$Q$3,RawData[Checker ID],$Q$4,RawData[[Error Type ]],$Q$5))</f>
        <v/>
      </c>
    </row>
    <row r="24818" spans="15:15" x14ac:dyDescent="0.25">
      <c r="O24818" s="20" t="str">
        <f>IF(N24818="","",COUNTIFS(RawData[[Date ]],N24818,RawData[Month List],$Q$6,RawData[Tour/Site],$Q$2,RawData[[Picker ID ]],$Q$3,RawData[Checker ID],$Q$4,RawData[[Error Type ]],$Q$5))</f>
        <v/>
      </c>
    </row>
    <row r="24819" spans="15:15" x14ac:dyDescent="0.25">
      <c r="O24819" s="20" t="str">
        <f>IF(N24819="","",COUNTIFS(RawData[[Date ]],N24819,RawData[Month List],$Q$6,RawData[Tour/Site],$Q$2,RawData[[Picker ID ]],$Q$3,RawData[Checker ID],$Q$4,RawData[[Error Type ]],$Q$5))</f>
        <v/>
      </c>
    </row>
    <row r="24820" spans="15:15" x14ac:dyDescent="0.25">
      <c r="O24820" s="20" t="str">
        <f>IF(N24820="","",COUNTIFS(RawData[[Date ]],N24820,RawData[Month List],$Q$6,RawData[Tour/Site],$Q$2,RawData[[Picker ID ]],$Q$3,RawData[Checker ID],$Q$4,RawData[[Error Type ]],$Q$5))</f>
        <v/>
      </c>
    </row>
    <row r="24821" spans="15:15" x14ac:dyDescent="0.25">
      <c r="O24821" s="20" t="str">
        <f>IF(N24821="","",COUNTIFS(RawData[[Date ]],N24821,RawData[Month List],$Q$6,RawData[Tour/Site],$Q$2,RawData[[Picker ID ]],$Q$3,RawData[Checker ID],$Q$4,RawData[[Error Type ]],$Q$5))</f>
        <v/>
      </c>
    </row>
    <row r="24822" spans="15:15" x14ac:dyDescent="0.25">
      <c r="O24822" s="20" t="str">
        <f>IF(N24822="","",COUNTIFS(RawData[[Date ]],N24822,RawData[Month List],$Q$6,RawData[Tour/Site],$Q$2,RawData[[Picker ID ]],$Q$3,RawData[Checker ID],$Q$4,RawData[[Error Type ]],$Q$5))</f>
        <v/>
      </c>
    </row>
    <row r="24823" spans="15:15" x14ac:dyDescent="0.25">
      <c r="O24823" s="20" t="str">
        <f>IF(N24823="","",COUNTIFS(RawData[[Date ]],N24823,RawData[Month List],$Q$6,RawData[Tour/Site],$Q$2,RawData[[Picker ID ]],$Q$3,RawData[Checker ID],$Q$4,RawData[[Error Type ]],$Q$5))</f>
        <v/>
      </c>
    </row>
    <row r="24824" spans="15:15" x14ac:dyDescent="0.25">
      <c r="O24824" s="20" t="str">
        <f>IF(N24824="","",COUNTIFS(RawData[[Date ]],N24824,RawData[Month List],$Q$6,RawData[Tour/Site],$Q$2,RawData[[Picker ID ]],$Q$3,RawData[Checker ID],$Q$4,RawData[[Error Type ]],$Q$5))</f>
        <v/>
      </c>
    </row>
    <row r="24825" spans="15:15" x14ac:dyDescent="0.25">
      <c r="O24825" s="20" t="str">
        <f>IF(N24825="","",COUNTIFS(RawData[[Date ]],N24825,RawData[Month List],$Q$6,RawData[Tour/Site],$Q$2,RawData[[Picker ID ]],$Q$3,RawData[Checker ID],$Q$4,RawData[[Error Type ]],$Q$5))</f>
        <v/>
      </c>
    </row>
    <row r="24826" spans="15:15" x14ac:dyDescent="0.25">
      <c r="O24826" s="20" t="str">
        <f>IF(N24826="","",COUNTIFS(RawData[[Date ]],N24826,RawData[Month List],$Q$6,RawData[Tour/Site],$Q$2,RawData[[Picker ID ]],$Q$3,RawData[Checker ID],$Q$4,RawData[[Error Type ]],$Q$5))</f>
        <v/>
      </c>
    </row>
    <row r="24827" spans="15:15" x14ac:dyDescent="0.25">
      <c r="O24827" s="20" t="str">
        <f>IF(N24827="","",COUNTIFS(RawData[[Date ]],N24827,RawData[Month List],$Q$6,RawData[Tour/Site],$Q$2,RawData[[Picker ID ]],$Q$3,RawData[Checker ID],$Q$4,RawData[[Error Type ]],$Q$5))</f>
        <v/>
      </c>
    </row>
    <row r="24828" spans="15:15" x14ac:dyDescent="0.25">
      <c r="O24828" s="20" t="str">
        <f>IF(N24828="","",COUNTIFS(RawData[[Date ]],N24828,RawData[Month List],$Q$6,RawData[Tour/Site],$Q$2,RawData[[Picker ID ]],$Q$3,RawData[Checker ID],$Q$4,RawData[[Error Type ]],$Q$5))</f>
        <v/>
      </c>
    </row>
    <row r="24829" spans="15:15" x14ac:dyDescent="0.25">
      <c r="O24829" s="20" t="str">
        <f>IF(N24829="","",COUNTIFS(RawData[[Date ]],N24829,RawData[Month List],$Q$6,RawData[Tour/Site],$Q$2,RawData[[Picker ID ]],$Q$3,RawData[Checker ID],$Q$4,RawData[[Error Type ]],$Q$5))</f>
        <v/>
      </c>
    </row>
    <row r="24830" spans="15:15" x14ac:dyDescent="0.25">
      <c r="O24830" s="20" t="str">
        <f>IF(N24830="","",COUNTIFS(RawData[[Date ]],N24830,RawData[Month List],$Q$6,RawData[Tour/Site],$Q$2,RawData[[Picker ID ]],$Q$3,RawData[Checker ID],$Q$4,RawData[[Error Type ]],$Q$5))</f>
        <v/>
      </c>
    </row>
    <row r="24831" spans="15:15" x14ac:dyDescent="0.25">
      <c r="O24831" s="20" t="str">
        <f>IF(N24831="","",COUNTIFS(RawData[[Date ]],N24831,RawData[Month List],$Q$6,RawData[Tour/Site],$Q$2,RawData[[Picker ID ]],$Q$3,RawData[Checker ID],$Q$4,RawData[[Error Type ]],$Q$5))</f>
        <v/>
      </c>
    </row>
    <row r="24832" spans="15:15" x14ac:dyDescent="0.25">
      <c r="O24832" s="20" t="str">
        <f>IF(N24832="","",COUNTIFS(RawData[[Date ]],N24832,RawData[Month List],$Q$6,RawData[Tour/Site],$Q$2,RawData[[Picker ID ]],$Q$3,RawData[Checker ID],$Q$4,RawData[[Error Type ]],$Q$5))</f>
        <v/>
      </c>
    </row>
    <row r="24833" spans="15:15" x14ac:dyDescent="0.25">
      <c r="O24833" s="20" t="str">
        <f>IF(N24833="","",COUNTIFS(RawData[[Date ]],N24833,RawData[Month List],$Q$6,RawData[Tour/Site],$Q$2,RawData[[Picker ID ]],$Q$3,RawData[Checker ID],$Q$4,RawData[[Error Type ]],$Q$5))</f>
        <v/>
      </c>
    </row>
    <row r="24834" spans="15:15" x14ac:dyDescent="0.25">
      <c r="O24834" s="20" t="str">
        <f>IF(N24834="","",COUNTIFS(RawData[[Date ]],N24834,RawData[Month List],$Q$6,RawData[Tour/Site],$Q$2,RawData[[Picker ID ]],$Q$3,RawData[Checker ID],$Q$4,RawData[[Error Type ]],$Q$5))</f>
        <v/>
      </c>
    </row>
    <row r="24835" spans="15:15" x14ac:dyDescent="0.25">
      <c r="O24835" s="20" t="str">
        <f>IF(N24835="","",COUNTIFS(RawData[[Date ]],N24835,RawData[Month List],$Q$6,RawData[Tour/Site],$Q$2,RawData[[Picker ID ]],$Q$3,RawData[Checker ID],$Q$4,RawData[[Error Type ]],$Q$5))</f>
        <v/>
      </c>
    </row>
    <row r="24836" spans="15:15" x14ac:dyDescent="0.25">
      <c r="O24836" s="20" t="str">
        <f>IF(N24836="","",COUNTIFS(RawData[[Date ]],N24836,RawData[Month List],$Q$6,RawData[Tour/Site],$Q$2,RawData[[Picker ID ]],$Q$3,RawData[Checker ID],$Q$4,RawData[[Error Type ]],$Q$5))</f>
        <v/>
      </c>
    </row>
    <row r="24837" spans="15:15" x14ac:dyDescent="0.25">
      <c r="O24837" s="20" t="str">
        <f>IF(N24837="","",COUNTIFS(RawData[[Date ]],N24837,RawData[Month List],$Q$6,RawData[Tour/Site],$Q$2,RawData[[Picker ID ]],$Q$3,RawData[Checker ID],$Q$4,RawData[[Error Type ]],$Q$5))</f>
        <v/>
      </c>
    </row>
    <row r="24838" spans="15:15" x14ac:dyDescent="0.25">
      <c r="O24838" s="20" t="str">
        <f>IF(N24838="","",COUNTIFS(RawData[[Date ]],N24838,RawData[Month List],$Q$6,RawData[Tour/Site],$Q$2,RawData[[Picker ID ]],$Q$3,RawData[Checker ID],$Q$4,RawData[[Error Type ]],$Q$5))</f>
        <v/>
      </c>
    </row>
    <row r="24839" spans="15:15" x14ac:dyDescent="0.25">
      <c r="O24839" s="20" t="str">
        <f>IF(N24839="","",COUNTIFS(RawData[[Date ]],N24839,RawData[Month List],$Q$6,RawData[Tour/Site],$Q$2,RawData[[Picker ID ]],$Q$3,RawData[Checker ID],$Q$4,RawData[[Error Type ]],$Q$5))</f>
        <v/>
      </c>
    </row>
    <row r="24840" spans="15:15" x14ac:dyDescent="0.25">
      <c r="O24840" s="20" t="str">
        <f>IF(N24840="","",COUNTIFS(RawData[[Date ]],N24840,RawData[Month List],$Q$6,RawData[Tour/Site],$Q$2,RawData[[Picker ID ]],$Q$3,RawData[Checker ID],$Q$4,RawData[[Error Type ]],$Q$5))</f>
        <v/>
      </c>
    </row>
    <row r="24841" spans="15:15" x14ac:dyDescent="0.25">
      <c r="O24841" s="20" t="str">
        <f>IF(N24841="","",COUNTIFS(RawData[[Date ]],N24841,RawData[Month List],$Q$6,RawData[Tour/Site],$Q$2,RawData[[Picker ID ]],$Q$3,RawData[Checker ID],$Q$4,RawData[[Error Type ]],$Q$5))</f>
        <v/>
      </c>
    </row>
    <row r="24842" spans="15:15" x14ac:dyDescent="0.25">
      <c r="O24842" s="20" t="str">
        <f>IF(N24842="","",COUNTIFS(RawData[[Date ]],N24842,RawData[Month List],$Q$6,RawData[Tour/Site],$Q$2,RawData[[Picker ID ]],$Q$3,RawData[Checker ID],$Q$4,RawData[[Error Type ]],$Q$5))</f>
        <v/>
      </c>
    </row>
    <row r="24843" spans="15:15" x14ac:dyDescent="0.25">
      <c r="O24843" s="20" t="str">
        <f>IF(N24843="","",COUNTIFS(RawData[[Date ]],N24843,RawData[Month List],$Q$6,RawData[Tour/Site],$Q$2,RawData[[Picker ID ]],$Q$3,RawData[Checker ID],$Q$4,RawData[[Error Type ]],$Q$5))</f>
        <v/>
      </c>
    </row>
    <row r="24844" spans="15:15" x14ac:dyDescent="0.25">
      <c r="O24844" s="20" t="str">
        <f>IF(N24844="","",COUNTIFS(RawData[[Date ]],N24844,RawData[Month List],$Q$6,RawData[Tour/Site],$Q$2,RawData[[Picker ID ]],$Q$3,RawData[Checker ID],$Q$4,RawData[[Error Type ]],$Q$5))</f>
        <v/>
      </c>
    </row>
    <row r="24845" spans="15:15" x14ac:dyDescent="0.25">
      <c r="O24845" s="20" t="str">
        <f>IF(N24845="","",COUNTIFS(RawData[[Date ]],N24845,RawData[Month List],$Q$6,RawData[Tour/Site],$Q$2,RawData[[Picker ID ]],$Q$3,RawData[Checker ID],$Q$4,RawData[[Error Type ]],$Q$5))</f>
        <v/>
      </c>
    </row>
    <row r="24846" spans="15:15" x14ac:dyDescent="0.25">
      <c r="O24846" s="20" t="str">
        <f>IF(N24846="","",COUNTIFS(RawData[[Date ]],N24846,RawData[Month List],$Q$6,RawData[Tour/Site],$Q$2,RawData[[Picker ID ]],$Q$3,RawData[Checker ID],$Q$4,RawData[[Error Type ]],$Q$5))</f>
        <v/>
      </c>
    </row>
    <row r="24847" spans="15:15" x14ac:dyDescent="0.25">
      <c r="O24847" s="20" t="str">
        <f>IF(N24847="","",COUNTIFS(RawData[[Date ]],N24847,RawData[Month List],$Q$6,RawData[Tour/Site],$Q$2,RawData[[Picker ID ]],$Q$3,RawData[Checker ID],$Q$4,RawData[[Error Type ]],$Q$5))</f>
        <v/>
      </c>
    </row>
    <row r="24848" spans="15:15" x14ac:dyDescent="0.25">
      <c r="O24848" s="20" t="str">
        <f>IF(N24848="","",COUNTIFS(RawData[[Date ]],N24848,RawData[Month List],$Q$6,RawData[Tour/Site],$Q$2,RawData[[Picker ID ]],$Q$3,RawData[Checker ID],$Q$4,RawData[[Error Type ]],$Q$5))</f>
        <v/>
      </c>
    </row>
    <row r="24849" spans="15:15" x14ac:dyDescent="0.25">
      <c r="O24849" s="20" t="str">
        <f>IF(N24849="","",COUNTIFS(RawData[[Date ]],N24849,RawData[Month List],$Q$6,RawData[Tour/Site],$Q$2,RawData[[Picker ID ]],$Q$3,RawData[Checker ID],$Q$4,RawData[[Error Type ]],$Q$5))</f>
        <v/>
      </c>
    </row>
    <row r="24850" spans="15:15" x14ac:dyDescent="0.25">
      <c r="O24850" s="20" t="str">
        <f>IF(N24850="","",COUNTIFS(RawData[[Date ]],N24850,RawData[Month List],$Q$6,RawData[Tour/Site],$Q$2,RawData[[Picker ID ]],$Q$3,RawData[Checker ID],$Q$4,RawData[[Error Type ]],$Q$5))</f>
        <v/>
      </c>
    </row>
    <row r="24851" spans="15:15" x14ac:dyDescent="0.25">
      <c r="O24851" s="20" t="str">
        <f>IF(N24851="","",COUNTIFS(RawData[[Date ]],N24851,RawData[Month List],$Q$6,RawData[Tour/Site],$Q$2,RawData[[Picker ID ]],$Q$3,RawData[Checker ID],$Q$4,RawData[[Error Type ]],$Q$5))</f>
        <v/>
      </c>
    </row>
    <row r="24852" spans="15:15" x14ac:dyDescent="0.25">
      <c r="O24852" s="20" t="str">
        <f>IF(N24852="","",COUNTIFS(RawData[[Date ]],N24852,RawData[Month List],$Q$6,RawData[Tour/Site],$Q$2,RawData[[Picker ID ]],$Q$3,RawData[Checker ID],$Q$4,RawData[[Error Type ]],$Q$5))</f>
        <v/>
      </c>
    </row>
    <row r="24853" spans="15:15" x14ac:dyDescent="0.25">
      <c r="O24853" s="20" t="str">
        <f>IF(N24853="","",COUNTIFS(RawData[[Date ]],N24853,RawData[Month List],$Q$6,RawData[Tour/Site],$Q$2,RawData[[Picker ID ]],$Q$3,RawData[Checker ID],$Q$4,RawData[[Error Type ]],$Q$5))</f>
        <v/>
      </c>
    </row>
    <row r="24854" spans="15:15" x14ac:dyDescent="0.25">
      <c r="O24854" s="20" t="str">
        <f>IF(N24854="","",COUNTIFS(RawData[[Date ]],N24854,RawData[Month List],$Q$6,RawData[Tour/Site],$Q$2,RawData[[Picker ID ]],$Q$3,RawData[Checker ID],$Q$4,RawData[[Error Type ]],$Q$5))</f>
        <v/>
      </c>
    </row>
    <row r="24855" spans="15:15" x14ac:dyDescent="0.25">
      <c r="O24855" s="20" t="str">
        <f>IF(N24855="","",COUNTIFS(RawData[[Date ]],N24855,RawData[Month List],$Q$6,RawData[Tour/Site],$Q$2,RawData[[Picker ID ]],$Q$3,RawData[Checker ID],$Q$4,RawData[[Error Type ]],$Q$5))</f>
        <v/>
      </c>
    </row>
    <row r="24856" spans="15:15" x14ac:dyDescent="0.25">
      <c r="O24856" s="20" t="str">
        <f>IF(N24856="","",COUNTIFS(RawData[[Date ]],N24856,RawData[Month List],$Q$6,RawData[Tour/Site],$Q$2,RawData[[Picker ID ]],$Q$3,RawData[Checker ID],$Q$4,RawData[[Error Type ]],$Q$5))</f>
        <v/>
      </c>
    </row>
    <row r="24857" spans="15:15" x14ac:dyDescent="0.25">
      <c r="O24857" s="20" t="str">
        <f>IF(N24857="","",COUNTIFS(RawData[[Date ]],N24857,RawData[Month List],$Q$6,RawData[Tour/Site],$Q$2,RawData[[Picker ID ]],$Q$3,RawData[Checker ID],$Q$4,RawData[[Error Type ]],$Q$5))</f>
        <v/>
      </c>
    </row>
    <row r="24858" spans="15:15" x14ac:dyDescent="0.25">
      <c r="O24858" s="20" t="str">
        <f>IF(N24858="","",COUNTIFS(RawData[[Date ]],N24858,RawData[Month List],$Q$6,RawData[Tour/Site],$Q$2,RawData[[Picker ID ]],$Q$3,RawData[Checker ID],$Q$4,RawData[[Error Type ]],$Q$5))</f>
        <v/>
      </c>
    </row>
    <row r="24859" spans="15:15" x14ac:dyDescent="0.25">
      <c r="O24859" s="20" t="str">
        <f>IF(N24859="","",COUNTIFS(RawData[[Date ]],N24859,RawData[Month List],$Q$6,RawData[Tour/Site],$Q$2,RawData[[Picker ID ]],$Q$3,RawData[Checker ID],$Q$4,RawData[[Error Type ]],$Q$5))</f>
        <v/>
      </c>
    </row>
    <row r="24860" spans="15:15" x14ac:dyDescent="0.25">
      <c r="O24860" s="20" t="str">
        <f>IF(N24860="","",COUNTIFS(RawData[[Date ]],N24860,RawData[Month List],$Q$6,RawData[Tour/Site],$Q$2,RawData[[Picker ID ]],$Q$3,RawData[Checker ID],$Q$4,RawData[[Error Type ]],$Q$5))</f>
        <v/>
      </c>
    </row>
    <row r="24861" spans="15:15" x14ac:dyDescent="0.25">
      <c r="O24861" s="20" t="str">
        <f>IF(N24861="","",COUNTIFS(RawData[[Date ]],N24861,RawData[Month List],$Q$6,RawData[Tour/Site],$Q$2,RawData[[Picker ID ]],$Q$3,RawData[Checker ID],$Q$4,RawData[[Error Type ]],$Q$5))</f>
        <v/>
      </c>
    </row>
    <row r="24862" spans="15:15" x14ac:dyDescent="0.25">
      <c r="O24862" s="20" t="str">
        <f>IF(N24862="","",COUNTIFS(RawData[[Date ]],N24862,RawData[Month List],$Q$6,RawData[Tour/Site],$Q$2,RawData[[Picker ID ]],$Q$3,RawData[Checker ID],$Q$4,RawData[[Error Type ]],$Q$5))</f>
        <v/>
      </c>
    </row>
    <row r="24863" spans="15:15" x14ac:dyDescent="0.25">
      <c r="O24863" s="20" t="str">
        <f>IF(N24863="","",COUNTIFS(RawData[[Date ]],N24863,RawData[Month List],$Q$6,RawData[Tour/Site],$Q$2,RawData[[Picker ID ]],$Q$3,RawData[Checker ID],$Q$4,RawData[[Error Type ]],$Q$5))</f>
        <v/>
      </c>
    </row>
    <row r="24864" spans="15:15" x14ac:dyDescent="0.25">
      <c r="O24864" s="20" t="str">
        <f>IF(N24864="","",COUNTIFS(RawData[[Date ]],N24864,RawData[Month List],$Q$6,RawData[Tour/Site],$Q$2,RawData[[Picker ID ]],$Q$3,RawData[Checker ID],$Q$4,RawData[[Error Type ]],$Q$5))</f>
        <v/>
      </c>
    </row>
    <row r="24865" spans="15:15" x14ac:dyDescent="0.25">
      <c r="O24865" s="20" t="str">
        <f>IF(N24865="","",COUNTIFS(RawData[[Date ]],N24865,RawData[Month List],$Q$6,RawData[Tour/Site],$Q$2,RawData[[Picker ID ]],$Q$3,RawData[Checker ID],$Q$4,RawData[[Error Type ]],$Q$5))</f>
        <v/>
      </c>
    </row>
    <row r="24866" spans="15:15" x14ac:dyDescent="0.25">
      <c r="O24866" s="20" t="str">
        <f>IF(N24866="","",COUNTIFS(RawData[[Date ]],N24866,RawData[Month List],$Q$6,RawData[Tour/Site],$Q$2,RawData[[Picker ID ]],$Q$3,RawData[Checker ID],$Q$4,RawData[[Error Type ]],$Q$5))</f>
        <v/>
      </c>
    </row>
    <row r="24867" spans="15:15" x14ac:dyDescent="0.25">
      <c r="O24867" s="20" t="str">
        <f>IF(N24867="","",COUNTIFS(RawData[[Date ]],N24867,RawData[Month List],$Q$6,RawData[Tour/Site],$Q$2,RawData[[Picker ID ]],$Q$3,RawData[Checker ID],$Q$4,RawData[[Error Type ]],$Q$5))</f>
        <v/>
      </c>
    </row>
    <row r="24868" spans="15:15" x14ac:dyDescent="0.25">
      <c r="O24868" s="20" t="str">
        <f>IF(N24868="","",COUNTIFS(RawData[[Date ]],N24868,RawData[Month List],$Q$6,RawData[Tour/Site],$Q$2,RawData[[Picker ID ]],$Q$3,RawData[Checker ID],$Q$4,RawData[[Error Type ]],$Q$5))</f>
        <v/>
      </c>
    </row>
    <row r="24869" spans="15:15" x14ac:dyDescent="0.25">
      <c r="O24869" s="20" t="str">
        <f>IF(N24869="","",COUNTIFS(RawData[[Date ]],N24869,RawData[Month List],$Q$6,RawData[Tour/Site],$Q$2,RawData[[Picker ID ]],$Q$3,RawData[Checker ID],$Q$4,RawData[[Error Type ]],$Q$5))</f>
        <v/>
      </c>
    </row>
    <row r="24870" spans="15:15" x14ac:dyDescent="0.25">
      <c r="O24870" s="20" t="str">
        <f>IF(N24870="","",COUNTIFS(RawData[[Date ]],N24870,RawData[Month List],$Q$6,RawData[Tour/Site],$Q$2,RawData[[Picker ID ]],$Q$3,RawData[Checker ID],$Q$4,RawData[[Error Type ]],$Q$5))</f>
        <v/>
      </c>
    </row>
    <row r="24871" spans="15:15" x14ac:dyDescent="0.25">
      <c r="O24871" s="20" t="str">
        <f>IF(N24871="","",COUNTIFS(RawData[[Date ]],N24871,RawData[Month List],$Q$6,RawData[Tour/Site],$Q$2,RawData[[Picker ID ]],$Q$3,RawData[Checker ID],$Q$4,RawData[[Error Type ]],$Q$5))</f>
        <v/>
      </c>
    </row>
    <row r="24872" spans="15:15" x14ac:dyDescent="0.25">
      <c r="O24872" s="20" t="str">
        <f>IF(N24872="","",COUNTIFS(RawData[[Date ]],N24872,RawData[Month List],$Q$6,RawData[Tour/Site],$Q$2,RawData[[Picker ID ]],$Q$3,RawData[Checker ID],$Q$4,RawData[[Error Type ]],$Q$5))</f>
        <v/>
      </c>
    </row>
    <row r="24873" spans="15:15" x14ac:dyDescent="0.25">
      <c r="O24873" s="20" t="str">
        <f>IF(N24873="","",COUNTIFS(RawData[[Date ]],N24873,RawData[Month List],$Q$6,RawData[Tour/Site],$Q$2,RawData[[Picker ID ]],$Q$3,RawData[Checker ID],$Q$4,RawData[[Error Type ]],$Q$5))</f>
        <v/>
      </c>
    </row>
    <row r="24874" spans="15:15" x14ac:dyDescent="0.25">
      <c r="O24874" s="20" t="str">
        <f>IF(N24874="","",COUNTIFS(RawData[[Date ]],N24874,RawData[Month List],$Q$6,RawData[Tour/Site],$Q$2,RawData[[Picker ID ]],$Q$3,RawData[Checker ID],$Q$4,RawData[[Error Type ]],$Q$5))</f>
        <v/>
      </c>
    </row>
    <row r="24875" spans="15:15" x14ac:dyDescent="0.25">
      <c r="O24875" s="20" t="str">
        <f>IF(N24875="","",COUNTIFS(RawData[[Date ]],N24875,RawData[Month List],$Q$6,RawData[Tour/Site],$Q$2,RawData[[Picker ID ]],$Q$3,RawData[Checker ID],$Q$4,RawData[[Error Type ]],$Q$5))</f>
        <v/>
      </c>
    </row>
    <row r="24876" spans="15:15" x14ac:dyDescent="0.25">
      <c r="O24876" s="20" t="str">
        <f>IF(N24876="","",COUNTIFS(RawData[[Date ]],N24876,RawData[Month List],$Q$6,RawData[Tour/Site],$Q$2,RawData[[Picker ID ]],$Q$3,RawData[Checker ID],$Q$4,RawData[[Error Type ]],$Q$5))</f>
        <v/>
      </c>
    </row>
    <row r="24877" spans="15:15" x14ac:dyDescent="0.25">
      <c r="O24877" s="20" t="str">
        <f>IF(N24877="","",COUNTIFS(RawData[[Date ]],N24877,RawData[Month List],$Q$6,RawData[Tour/Site],$Q$2,RawData[[Picker ID ]],$Q$3,RawData[Checker ID],$Q$4,RawData[[Error Type ]],$Q$5))</f>
        <v/>
      </c>
    </row>
    <row r="24878" spans="15:15" x14ac:dyDescent="0.25">
      <c r="O24878" s="20" t="str">
        <f>IF(N24878="","",COUNTIFS(RawData[[Date ]],N24878,RawData[Month List],$Q$6,RawData[Tour/Site],$Q$2,RawData[[Picker ID ]],$Q$3,RawData[Checker ID],$Q$4,RawData[[Error Type ]],$Q$5))</f>
        <v/>
      </c>
    </row>
    <row r="24879" spans="15:15" x14ac:dyDescent="0.25">
      <c r="O24879" s="20" t="str">
        <f>IF(N24879="","",COUNTIFS(RawData[[Date ]],N24879,RawData[Month List],$Q$6,RawData[Tour/Site],$Q$2,RawData[[Picker ID ]],$Q$3,RawData[Checker ID],$Q$4,RawData[[Error Type ]],$Q$5))</f>
        <v/>
      </c>
    </row>
    <row r="24880" spans="15:15" x14ac:dyDescent="0.25">
      <c r="O24880" s="20" t="str">
        <f>IF(N24880="","",COUNTIFS(RawData[[Date ]],N24880,RawData[Month List],$Q$6,RawData[Tour/Site],$Q$2,RawData[[Picker ID ]],$Q$3,RawData[Checker ID],$Q$4,RawData[[Error Type ]],$Q$5))</f>
        <v/>
      </c>
    </row>
    <row r="24881" spans="15:15" x14ac:dyDescent="0.25">
      <c r="O24881" s="20" t="str">
        <f>IF(N24881="","",COUNTIFS(RawData[[Date ]],N24881,RawData[Month List],$Q$6,RawData[Tour/Site],$Q$2,RawData[[Picker ID ]],$Q$3,RawData[Checker ID],$Q$4,RawData[[Error Type ]],$Q$5))</f>
        <v/>
      </c>
    </row>
    <row r="24882" spans="15:15" x14ac:dyDescent="0.25">
      <c r="O24882" s="20" t="str">
        <f>IF(N24882="","",COUNTIFS(RawData[[Date ]],N24882,RawData[Month List],$Q$6,RawData[Tour/Site],$Q$2,RawData[[Picker ID ]],$Q$3,RawData[Checker ID],$Q$4,RawData[[Error Type ]],$Q$5))</f>
        <v/>
      </c>
    </row>
    <row r="24883" spans="15:15" x14ac:dyDescent="0.25">
      <c r="O24883" s="20" t="str">
        <f>IF(N24883="","",COUNTIFS(RawData[[Date ]],N24883,RawData[Month List],$Q$6,RawData[Tour/Site],$Q$2,RawData[[Picker ID ]],$Q$3,RawData[Checker ID],$Q$4,RawData[[Error Type ]],$Q$5))</f>
        <v/>
      </c>
    </row>
    <row r="24884" spans="15:15" x14ac:dyDescent="0.25">
      <c r="O24884" s="20" t="str">
        <f>IF(N24884="","",COUNTIFS(RawData[[Date ]],N24884,RawData[Month List],$Q$6,RawData[Tour/Site],$Q$2,RawData[[Picker ID ]],$Q$3,RawData[Checker ID],$Q$4,RawData[[Error Type ]],$Q$5))</f>
        <v/>
      </c>
    </row>
    <row r="24885" spans="15:15" x14ac:dyDescent="0.25">
      <c r="O24885" s="20" t="str">
        <f>IF(N24885="","",COUNTIFS(RawData[[Date ]],N24885,RawData[Month List],$Q$6,RawData[Tour/Site],$Q$2,RawData[[Picker ID ]],$Q$3,RawData[Checker ID],$Q$4,RawData[[Error Type ]],$Q$5))</f>
        <v/>
      </c>
    </row>
    <row r="24886" spans="15:15" x14ac:dyDescent="0.25">
      <c r="O24886" s="20" t="str">
        <f>IF(N24886="","",COUNTIFS(RawData[[Date ]],N24886,RawData[Month List],$Q$6,RawData[Tour/Site],$Q$2,RawData[[Picker ID ]],$Q$3,RawData[Checker ID],$Q$4,RawData[[Error Type ]],$Q$5))</f>
        <v/>
      </c>
    </row>
    <row r="24887" spans="15:15" x14ac:dyDescent="0.25">
      <c r="O24887" s="20" t="str">
        <f>IF(N24887="","",COUNTIFS(RawData[[Date ]],N24887,RawData[Month List],$Q$6,RawData[Tour/Site],$Q$2,RawData[[Picker ID ]],$Q$3,RawData[Checker ID],$Q$4,RawData[[Error Type ]],$Q$5))</f>
        <v/>
      </c>
    </row>
    <row r="24888" spans="15:15" x14ac:dyDescent="0.25">
      <c r="O24888" s="20" t="str">
        <f>IF(N24888="","",COUNTIFS(RawData[[Date ]],N24888,RawData[Month List],$Q$6,RawData[Tour/Site],$Q$2,RawData[[Picker ID ]],$Q$3,RawData[Checker ID],$Q$4,RawData[[Error Type ]],$Q$5))</f>
        <v/>
      </c>
    </row>
    <row r="24889" spans="15:15" x14ac:dyDescent="0.25">
      <c r="O24889" s="20" t="str">
        <f>IF(N24889="","",COUNTIFS(RawData[[Date ]],N24889,RawData[Month List],$Q$6,RawData[Tour/Site],$Q$2,RawData[[Picker ID ]],$Q$3,RawData[Checker ID],$Q$4,RawData[[Error Type ]],$Q$5))</f>
        <v/>
      </c>
    </row>
    <row r="24890" spans="15:15" x14ac:dyDescent="0.25">
      <c r="O24890" s="20" t="str">
        <f>IF(N24890="","",COUNTIFS(RawData[[Date ]],N24890,RawData[Month List],$Q$6,RawData[Tour/Site],$Q$2,RawData[[Picker ID ]],$Q$3,RawData[Checker ID],$Q$4,RawData[[Error Type ]],$Q$5))</f>
        <v/>
      </c>
    </row>
    <row r="24891" spans="15:15" x14ac:dyDescent="0.25">
      <c r="O24891" s="20" t="str">
        <f>IF(N24891="","",COUNTIFS(RawData[[Date ]],N24891,RawData[Month List],$Q$6,RawData[Tour/Site],$Q$2,RawData[[Picker ID ]],$Q$3,RawData[Checker ID],$Q$4,RawData[[Error Type ]],$Q$5))</f>
        <v/>
      </c>
    </row>
    <row r="24892" spans="15:15" x14ac:dyDescent="0.25">
      <c r="O24892" s="20" t="str">
        <f>IF(N24892="","",COUNTIFS(RawData[[Date ]],N24892,RawData[Month List],$Q$6,RawData[Tour/Site],$Q$2,RawData[[Picker ID ]],$Q$3,RawData[Checker ID],$Q$4,RawData[[Error Type ]],$Q$5))</f>
        <v/>
      </c>
    </row>
    <row r="24893" spans="15:15" x14ac:dyDescent="0.25">
      <c r="O24893" s="20" t="str">
        <f>IF(N24893="","",COUNTIFS(RawData[[Date ]],N24893,RawData[Month List],$Q$6,RawData[Tour/Site],$Q$2,RawData[[Picker ID ]],$Q$3,RawData[Checker ID],$Q$4,RawData[[Error Type ]],$Q$5))</f>
        <v/>
      </c>
    </row>
    <row r="24894" spans="15:15" x14ac:dyDescent="0.25">
      <c r="O24894" s="20" t="str">
        <f>IF(N24894="","",COUNTIFS(RawData[[Date ]],N24894,RawData[Month List],$Q$6,RawData[Tour/Site],$Q$2,RawData[[Picker ID ]],$Q$3,RawData[Checker ID],$Q$4,RawData[[Error Type ]],$Q$5))</f>
        <v/>
      </c>
    </row>
    <row r="24895" spans="15:15" x14ac:dyDescent="0.25">
      <c r="O24895" s="20" t="str">
        <f>IF(N24895="","",COUNTIFS(RawData[[Date ]],N24895,RawData[Month List],$Q$6,RawData[Tour/Site],$Q$2,RawData[[Picker ID ]],$Q$3,RawData[Checker ID],$Q$4,RawData[[Error Type ]],$Q$5))</f>
        <v/>
      </c>
    </row>
    <row r="24896" spans="15:15" x14ac:dyDescent="0.25">
      <c r="O24896" s="20" t="str">
        <f>IF(N24896="","",COUNTIFS(RawData[[Date ]],N24896,RawData[Month List],$Q$6,RawData[Tour/Site],$Q$2,RawData[[Picker ID ]],$Q$3,RawData[Checker ID],$Q$4,RawData[[Error Type ]],$Q$5))</f>
        <v/>
      </c>
    </row>
    <row r="24897" spans="15:15" x14ac:dyDescent="0.25">
      <c r="O24897" s="20" t="str">
        <f>IF(N24897="","",COUNTIFS(RawData[[Date ]],N24897,RawData[Month List],$Q$6,RawData[Tour/Site],$Q$2,RawData[[Picker ID ]],$Q$3,RawData[Checker ID],$Q$4,RawData[[Error Type ]],$Q$5))</f>
        <v/>
      </c>
    </row>
    <row r="24898" spans="15:15" x14ac:dyDescent="0.25">
      <c r="O24898" s="20" t="str">
        <f>IF(N24898="","",COUNTIFS(RawData[[Date ]],N24898,RawData[Month List],$Q$6,RawData[Tour/Site],$Q$2,RawData[[Picker ID ]],$Q$3,RawData[Checker ID],$Q$4,RawData[[Error Type ]],$Q$5))</f>
        <v/>
      </c>
    </row>
    <row r="24899" spans="15:15" x14ac:dyDescent="0.25">
      <c r="O24899" s="20" t="str">
        <f>IF(N24899="","",COUNTIFS(RawData[[Date ]],N24899,RawData[Month List],$Q$6,RawData[Tour/Site],$Q$2,RawData[[Picker ID ]],$Q$3,RawData[Checker ID],$Q$4,RawData[[Error Type ]],$Q$5))</f>
        <v/>
      </c>
    </row>
    <row r="24900" spans="15:15" x14ac:dyDescent="0.25">
      <c r="O24900" s="20" t="str">
        <f>IF(N24900="","",COUNTIFS(RawData[[Date ]],N24900,RawData[Month List],$Q$6,RawData[Tour/Site],$Q$2,RawData[[Picker ID ]],$Q$3,RawData[Checker ID],$Q$4,RawData[[Error Type ]],$Q$5))</f>
        <v/>
      </c>
    </row>
    <row r="24901" spans="15:15" x14ac:dyDescent="0.25">
      <c r="O24901" s="20" t="str">
        <f>IF(N24901="","",COUNTIFS(RawData[[Date ]],N24901,RawData[Month List],$Q$6,RawData[Tour/Site],$Q$2,RawData[[Picker ID ]],$Q$3,RawData[Checker ID],$Q$4,RawData[[Error Type ]],$Q$5))</f>
        <v/>
      </c>
    </row>
    <row r="24902" spans="15:15" x14ac:dyDescent="0.25">
      <c r="O24902" s="20" t="str">
        <f>IF(N24902="","",COUNTIFS(RawData[[Date ]],N24902,RawData[Month List],$Q$6,RawData[Tour/Site],$Q$2,RawData[[Picker ID ]],$Q$3,RawData[Checker ID],$Q$4,RawData[[Error Type ]],$Q$5))</f>
        <v/>
      </c>
    </row>
    <row r="24903" spans="15:15" x14ac:dyDescent="0.25">
      <c r="O24903" s="20" t="str">
        <f>IF(N24903="","",COUNTIFS(RawData[[Date ]],N24903,RawData[Month List],$Q$6,RawData[Tour/Site],$Q$2,RawData[[Picker ID ]],$Q$3,RawData[Checker ID],$Q$4,RawData[[Error Type ]],$Q$5))</f>
        <v/>
      </c>
    </row>
    <row r="24904" spans="15:15" x14ac:dyDescent="0.25">
      <c r="O24904" s="20" t="str">
        <f>IF(N24904="","",COUNTIFS(RawData[[Date ]],N24904,RawData[Month List],$Q$6,RawData[Tour/Site],$Q$2,RawData[[Picker ID ]],$Q$3,RawData[Checker ID],$Q$4,RawData[[Error Type ]],$Q$5))</f>
        <v/>
      </c>
    </row>
    <row r="24905" spans="15:15" x14ac:dyDescent="0.25">
      <c r="O24905" s="20" t="str">
        <f>IF(N24905="","",COUNTIFS(RawData[[Date ]],N24905,RawData[Month List],$Q$6,RawData[Tour/Site],$Q$2,RawData[[Picker ID ]],$Q$3,RawData[Checker ID],$Q$4,RawData[[Error Type ]],$Q$5))</f>
        <v/>
      </c>
    </row>
    <row r="24906" spans="15:15" x14ac:dyDescent="0.25">
      <c r="O24906" s="20" t="str">
        <f>IF(N24906="","",COUNTIFS(RawData[[Date ]],N24906,RawData[Month List],$Q$6,RawData[Tour/Site],$Q$2,RawData[[Picker ID ]],$Q$3,RawData[Checker ID],$Q$4,RawData[[Error Type ]],$Q$5))</f>
        <v/>
      </c>
    </row>
    <row r="24907" spans="15:15" x14ac:dyDescent="0.25">
      <c r="O24907" s="20" t="str">
        <f>IF(N24907="","",COUNTIFS(RawData[[Date ]],N24907,RawData[Month List],$Q$6,RawData[Tour/Site],$Q$2,RawData[[Picker ID ]],$Q$3,RawData[Checker ID],$Q$4,RawData[[Error Type ]],$Q$5))</f>
        <v/>
      </c>
    </row>
    <row r="24908" spans="15:15" x14ac:dyDescent="0.25">
      <c r="O24908" s="20" t="str">
        <f>IF(N24908="","",COUNTIFS(RawData[[Date ]],N24908,RawData[Month List],$Q$6,RawData[Tour/Site],$Q$2,RawData[[Picker ID ]],$Q$3,RawData[Checker ID],$Q$4,RawData[[Error Type ]],$Q$5))</f>
        <v/>
      </c>
    </row>
    <row r="24909" spans="15:15" x14ac:dyDescent="0.25">
      <c r="O24909" s="20" t="str">
        <f>IF(N24909="","",COUNTIFS(RawData[[Date ]],N24909,RawData[Month List],$Q$6,RawData[Tour/Site],$Q$2,RawData[[Picker ID ]],$Q$3,RawData[Checker ID],$Q$4,RawData[[Error Type ]],$Q$5))</f>
        <v/>
      </c>
    </row>
    <row r="24910" spans="15:15" x14ac:dyDescent="0.25">
      <c r="O24910" s="20" t="str">
        <f>IF(N24910="","",COUNTIFS(RawData[[Date ]],N24910,RawData[Month List],$Q$6,RawData[Tour/Site],$Q$2,RawData[[Picker ID ]],$Q$3,RawData[Checker ID],$Q$4,RawData[[Error Type ]],$Q$5))</f>
        <v/>
      </c>
    </row>
    <row r="24911" spans="15:15" x14ac:dyDescent="0.25">
      <c r="O24911" s="20" t="str">
        <f>IF(N24911="","",COUNTIFS(RawData[[Date ]],N24911,RawData[Month List],$Q$6,RawData[Tour/Site],$Q$2,RawData[[Picker ID ]],$Q$3,RawData[Checker ID],$Q$4,RawData[[Error Type ]],$Q$5))</f>
        <v/>
      </c>
    </row>
    <row r="24912" spans="15:15" x14ac:dyDescent="0.25">
      <c r="O24912" s="20" t="str">
        <f>IF(N24912="","",COUNTIFS(RawData[[Date ]],N24912,RawData[Month List],$Q$6,RawData[Tour/Site],$Q$2,RawData[[Picker ID ]],$Q$3,RawData[Checker ID],$Q$4,RawData[[Error Type ]],$Q$5))</f>
        <v/>
      </c>
    </row>
    <row r="24913" spans="15:15" x14ac:dyDescent="0.25">
      <c r="O24913" s="20" t="str">
        <f>IF(N24913="","",COUNTIFS(RawData[[Date ]],N24913,RawData[Month List],$Q$6,RawData[Tour/Site],$Q$2,RawData[[Picker ID ]],$Q$3,RawData[Checker ID],$Q$4,RawData[[Error Type ]],$Q$5))</f>
        <v/>
      </c>
    </row>
    <row r="24914" spans="15:15" x14ac:dyDescent="0.25">
      <c r="O24914" s="20" t="str">
        <f>IF(N24914="","",COUNTIFS(RawData[[Date ]],N24914,RawData[Month List],$Q$6,RawData[Tour/Site],$Q$2,RawData[[Picker ID ]],$Q$3,RawData[Checker ID],$Q$4,RawData[[Error Type ]],$Q$5))</f>
        <v/>
      </c>
    </row>
    <row r="24915" spans="15:15" x14ac:dyDescent="0.25">
      <c r="O24915" s="20" t="str">
        <f>IF(N24915="","",COUNTIFS(RawData[[Date ]],N24915,RawData[Month List],$Q$6,RawData[Tour/Site],$Q$2,RawData[[Picker ID ]],$Q$3,RawData[Checker ID],$Q$4,RawData[[Error Type ]],$Q$5))</f>
        <v/>
      </c>
    </row>
    <row r="24916" spans="15:15" x14ac:dyDescent="0.25">
      <c r="O24916" s="20" t="str">
        <f>IF(N24916="","",COUNTIFS(RawData[[Date ]],N24916,RawData[Month List],$Q$6,RawData[Tour/Site],$Q$2,RawData[[Picker ID ]],$Q$3,RawData[Checker ID],$Q$4,RawData[[Error Type ]],$Q$5))</f>
        <v/>
      </c>
    </row>
    <row r="24917" spans="15:15" x14ac:dyDescent="0.25">
      <c r="O24917" s="20" t="str">
        <f>IF(N24917="","",COUNTIFS(RawData[[Date ]],N24917,RawData[Month List],$Q$6,RawData[Tour/Site],$Q$2,RawData[[Picker ID ]],$Q$3,RawData[Checker ID],$Q$4,RawData[[Error Type ]],$Q$5))</f>
        <v/>
      </c>
    </row>
    <row r="24918" spans="15:15" x14ac:dyDescent="0.25">
      <c r="O24918" s="20" t="str">
        <f>IF(N24918="","",COUNTIFS(RawData[[Date ]],N24918,RawData[Month List],$Q$6,RawData[Tour/Site],$Q$2,RawData[[Picker ID ]],$Q$3,RawData[Checker ID],$Q$4,RawData[[Error Type ]],$Q$5))</f>
        <v/>
      </c>
    </row>
    <row r="24919" spans="15:15" x14ac:dyDescent="0.25">
      <c r="O24919" s="20" t="str">
        <f>IF(N24919="","",COUNTIFS(RawData[[Date ]],N24919,RawData[Month List],$Q$6,RawData[Tour/Site],$Q$2,RawData[[Picker ID ]],$Q$3,RawData[Checker ID],$Q$4,RawData[[Error Type ]],$Q$5))</f>
        <v/>
      </c>
    </row>
    <row r="24920" spans="15:15" x14ac:dyDescent="0.25">
      <c r="O24920" s="20" t="str">
        <f>IF(N24920="","",COUNTIFS(RawData[[Date ]],N24920,RawData[Month List],$Q$6,RawData[Tour/Site],$Q$2,RawData[[Picker ID ]],$Q$3,RawData[Checker ID],$Q$4,RawData[[Error Type ]],$Q$5))</f>
        <v/>
      </c>
    </row>
    <row r="24921" spans="15:15" x14ac:dyDescent="0.25">
      <c r="O24921" s="20" t="str">
        <f>IF(N24921="","",COUNTIFS(RawData[[Date ]],N24921,RawData[Month List],$Q$6,RawData[Tour/Site],$Q$2,RawData[[Picker ID ]],$Q$3,RawData[Checker ID],$Q$4,RawData[[Error Type ]],$Q$5))</f>
        <v/>
      </c>
    </row>
    <row r="24922" spans="15:15" x14ac:dyDescent="0.25">
      <c r="O24922" s="20" t="str">
        <f>IF(N24922="","",COUNTIFS(RawData[[Date ]],N24922,RawData[Month List],$Q$6,RawData[Tour/Site],$Q$2,RawData[[Picker ID ]],$Q$3,RawData[Checker ID],$Q$4,RawData[[Error Type ]],$Q$5))</f>
        <v/>
      </c>
    </row>
    <row r="24923" spans="15:15" x14ac:dyDescent="0.25">
      <c r="O24923" s="20" t="str">
        <f>IF(N24923="","",COUNTIFS(RawData[[Date ]],N24923,RawData[Month List],$Q$6,RawData[Tour/Site],$Q$2,RawData[[Picker ID ]],$Q$3,RawData[Checker ID],$Q$4,RawData[[Error Type ]],$Q$5))</f>
        <v/>
      </c>
    </row>
    <row r="24924" spans="15:15" x14ac:dyDescent="0.25">
      <c r="O24924" s="20" t="str">
        <f>IF(N24924="","",COUNTIFS(RawData[[Date ]],N24924,RawData[Month List],$Q$6,RawData[Tour/Site],$Q$2,RawData[[Picker ID ]],$Q$3,RawData[Checker ID],$Q$4,RawData[[Error Type ]],$Q$5))</f>
        <v/>
      </c>
    </row>
    <row r="24925" spans="15:15" x14ac:dyDescent="0.25">
      <c r="O24925" s="20" t="str">
        <f>IF(N24925="","",COUNTIFS(RawData[[Date ]],N24925,RawData[Month List],$Q$6,RawData[Tour/Site],$Q$2,RawData[[Picker ID ]],$Q$3,RawData[Checker ID],$Q$4,RawData[[Error Type ]],$Q$5))</f>
        <v/>
      </c>
    </row>
    <row r="24926" spans="15:15" x14ac:dyDescent="0.25">
      <c r="O24926" s="20" t="str">
        <f>IF(N24926="","",COUNTIFS(RawData[[Date ]],N24926,RawData[Month List],$Q$6,RawData[Tour/Site],$Q$2,RawData[[Picker ID ]],$Q$3,RawData[Checker ID],$Q$4,RawData[[Error Type ]],$Q$5))</f>
        <v/>
      </c>
    </row>
    <row r="24927" spans="15:15" x14ac:dyDescent="0.25">
      <c r="O24927" s="20" t="str">
        <f>IF(N24927="","",COUNTIFS(RawData[[Date ]],N24927,RawData[Month List],$Q$6,RawData[Tour/Site],$Q$2,RawData[[Picker ID ]],$Q$3,RawData[Checker ID],$Q$4,RawData[[Error Type ]],$Q$5))</f>
        <v/>
      </c>
    </row>
    <row r="24928" spans="15:15" x14ac:dyDescent="0.25">
      <c r="O24928" s="20" t="str">
        <f>IF(N24928="","",COUNTIFS(RawData[[Date ]],N24928,RawData[Month List],$Q$6,RawData[Tour/Site],$Q$2,RawData[[Picker ID ]],$Q$3,RawData[Checker ID],$Q$4,RawData[[Error Type ]],$Q$5))</f>
        <v/>
      </c>
    </row>
    <row r="24929" spans="15:15" x14ac:dyDescent="0.25">
      <c r="O24929" s="20" t="str">
        <f>IF(N24929="","",COUNTIFS(RawData[[Date ]],N24929,RawData[Month List],$Q$6,RawData[Tour/Site],$Q$2,RawData[[Picker ID ]],$Q$3,RawData[Checker ID],$Q$4,RawData[[Error Type ]],$Q$5))</f>
        <v/>
      </c>
    </row>
    <row r="24930" spans="15:15" x14ac:dyDescent="0.25">
      <c r="O24930" s="20" t="str">
        <f>IF(N24930="","",COUNTIFS(RawData[[Date ]],N24930,RawData[Month List],$Q$6,RawData[Tour/Site],$Q$2,RawData[[Picker ID ]],$Q$3,RawData[Checker ID],$Q$4,RawData[[Error Type ]],$Q$5))</f>
        <v/>
      </c>
    </row>
    <row r="24931" spans="15:15" x14ac:dyDescent="0.25">
      <c r="O24931" s="20" t="str">
        <f>IF(N24931="","",COUNTIFS(RawData[[Date ]],N24931,RawData[Month List],$Q$6,RawData[Tour/Site],$Q$2,RawData[[Picker ID ]],$Q$3,RawData[Checker ID],$Q$4,RawData[[Error Type ]],$Q$5))</f>
        <v/>
      </c>
    </row>
    <row r="24932" spans="15:15" x14ac:dyDescent="0.25">
      <c r="O24932" s="20" t="str">
        <f>IF(N24932="","",COUNTIFS(RawData[[Date ]],N24932,RawData[Month List],$Q$6,RawData[Tour/Site],$Q$2,RawData[[Picker ID ]],$Q$3,RawData[Checker ID],$Q$4,RawData[[Error Type ]],$Q$5))</f>
        <v/>
      </c>
    </row>
    <row r="24933" spans="15:15" x14ac:dyDescent="0.25">
      <c r="O24933" s="20" t="str">
        <f>IF(N24933="","",COUNTIFS(RawData[[Date ]],N24933,RawData[Month List],$Q$6,RawData[Tour/Site],$Q$2,RawData[[Picker ID ]],$Q$3,RawData[Checker ID],$Q$4,RawData[[Error Type ]],$Q$5))</f>
        <v/>
      </c>
    </row>
    <row r="24934" spans="15:15" x14ac:dyDescent="0.25">
      <c r="O24934" s="20" t="str">
        <f>IF(N24934="","",COUNTIFS(RawData[[Date ]],N24934,RawData[Month List],$Q$6,RawData[Tour/Site],$Q$2,RawData[[Picker ID ]],$Q$3,RawData[Checker ID],$Q$4,RawData[[Error Type ]],$Q$5))</f>
        <v/>
      </c>
    </row>
    <row r="24935" spans="15:15" x14ac:dyDescent="0.25">
      <c r="O24935" s="20" t="str">
        <f>IF(N24935="","",COUNTIFS(RawData[[Date ]],N24935,RawData[Month List],$Q$6,RawData[Tour/Site],$Q$2,RawData[[Picker ID ]],$Q$3,RawData[Checker ID],$Q$4,RawData[[Error Type ]],$Q$5))</f>
        <v/>
      </c>
    </row>
    <row r="24936" spans="15:15" x14ac:dyDescent="0.25">
      <c r="O24936" s="20" t="str">
        <f>IF(N24936="","",COUNTIFS(RawData[[Date ]],N24936,RawData[Month List],$Q$6,RawData[Tour/Site],$Q$2,RawData[[Picker ID ]],$Q$3,RawData[Checker ID],$Q$4,RawData[[Error Type ]],$Q$5))</f>
        <v/>
      </c>
    </row>
    <row r="24937" spans="15:15" x14ac:dyDescent="0.25">
      <c r="O24937" s="20" t="str">
        <f>IF(N24937="","",COUNTIFS(RawData[[Date ]],N24937,RawData[Month List],$Q$6,RawData[Tour/Site],$Q$2,RawData[[Picker ID ]],$Q$3,RawData[Checker ID],$Q$4,RawData[[Error Type ]],$Q$5))</f>
        <v/>
      </c>
    </row>
    <row r="24938" spans="15:15" x14ac:dyDescent="0.25">
      <c r="O24938" s="20" t="str">
        <f>IF(N24938="","",COUNTIFS(RawData[[Date ]],N24938,RawData[Month List],$Q$6,RawData[Tour/Site],$Q$2,RawData[[Picker ID ]],$Q$3,RawData[Checker ID],$Q$4,RawData[[Error Type ]],$Q$5))</f>
        <v/>
      </c>
    </row>
    <row r="24939" spans="15:15" x14ac:dyDescent="0.25">
      <c r="O24939" s="20" t="str">
        <f>IF(N24939="","",COUNTIFS(RawData[[Date ]],N24939,RawData[Month List],$Q$6,RawData[Tour/Site],$Q$2,RawData[[Picker ID ]],$Q$3,RawData[Checker ID],$Q$4,RawData[[Error Type ]],$Q$5))</f>
        <v/>
      </c>
    </row>
    <row r="24940" spans="15:15" x14ac:dyDescent="0.25">
      <c r="O24940" s="20" t="str">
        <f>IF(N24940="","",COUNTIFS(RawData[[Date ]],N24940,RawData[Month List],$Q$6,RawData[Tour/Site],$Q$2,RawData[[Picker ID ]],$Q$3,RawData[Checker ID],$Q$4,RawData[[Error Type ]],$Q$5))</f>
        <v/>
      </c>
    </row>
    <row r="24941" spans="15:15" x14ac:dyDescent="0.25">
      <c r="O24941" s="20" t="str">
        <f>IF(N24941="","",COUNTIFS(RawData[[Date ]],N24941,RawData[Month List],$Q$6,RawData[Tour/Site],$Q$2,RawData[[Picker ID ]],$Q$3,RawData[Checker ID],$Q$4,RawData[[Error Type ]],$Q$5))</f>
        <v/>
      </c>
    </row>
    <row r="24942" spans="15:15" x14ac:dyDescent="0.25">
      <c r="O24942" s="20" t="str">
        <f>IF(N24942="","",COUNTIFS(RawData[[Date ]],N24942,RawData[Month List],$Q$6,RawData[Tour/Site],$Q$2,RawData[[Picker ID ]],$Q$3,RawData[Checker ID],$Q$4,RawData[[Error Type ]],$Q$5))</f>
        <v/>
      </c>
    </row>
    <row r="24943" spans="15:15" x14ac:dyDescent="0.25">
      <c r="O24943" s="20" t="str">
        <f>IF(N24943="","",COUNTIFS(RawData[[Date ]],N24943,RawData[Month List],$Q$6,RawData[Tour/Site],$Q$2,RawData[[Picker ID ]],$Q$3,RawData[Checker ID],$Q$4,RawData[[Error Type ]],$Q$5))</f>
        <v/>
      </c>
    </row>
    <row r="24944" spans="15:15" x14ac:dyDescent="0.25">
      <c r="O24944" s="20" t="str">
        <f>IF(N24944="","",COUNTIFS(RawData[[Date ]],N24944,RawData[Month List],$Q$6,RawData[Tour/Site],$Q$2,RawData[[Picker ID ]],$Q$3,RawData[Checker ID],$Q$4,RawData[[Error Type ]],$Q$5))</f>
        <v/>
      </c>
    </row>
    <row r="24945" spans="15:15" x14ac:dyDescent="0.25">
      <c r="O24945" s="20" t="str">
        <f>IF(N24945="","",COUNTIFS(RawData[[Date ]],N24945,RawData[Month List],$Q$6,RawData[Tour/Site],$Q$2,RawData[[Picker ID ]],$Q$3,RawData[Checker ID],$Q$4,RawData[[Error Type ]],$Q$5))</f>
        <v/>
      </c>
    </row>
    <row r="24946" spans="15:15" x14ac:dyDescent="0.25">
      <c r="O24946" s="20" t="str">
        <f>IF(N24946="","",COUNTIFS(RawData[[Date ]],N24946,RawData[Month List],$Q$6,RawData[Tour/Site],$Q$2,RawData[[Picker ID ]],$Q$3,RawData[Checker ID],$Q$4,RawData[[Error Type ]],$Q$5))</f>
        <v/>
      </c>
    </row>
    <row r="24947" spans="15:15" x14ac:dyDescent="0.25">
      <c r="O24947" s="20" t="str">
        <f>IF(N24947="","",COUNTIFS(RawData[[Date ]],N24947,RawData[Month List],$Q$6,RawData[Tour/Site],$Q$2,RawData[[Picker ID ]],$Q$3,RawData[Checker ID],$Q$4,RawData[[Error Type ]],$Q$5))</f>
        <v/>
      </c>
    </row>
    <row r="24948" spans="15:15" x14ac:dyDescent="0.25">
      <c r="O24948" s="20" t="str">
        <f>IF(N24948="","",COUNTIFS(RawData[[Date ]],N24948,RawData[Month List],$Q$6,RawData[Tour/Site],$Q$2,RawData[[Picker ID ]],$Q$3,RawData[Checker ID],$Q$4,RawData[[Error Type ]],$Q$5))</f>
        <v/>
      </c>
    </row>
    <row r="24949" spans="15:15" x14ac:dyDescent="0.25">
      <c r="O24949" s="20" t="str">
        <f>IF(N24949="","",COUNTIFS(RawData[[Date ]],N24949,RawData[Month List],$Q$6,RawData[Tour/Site],$Q$2,RawData[[Picker ID ]],$Q$3,RawData[Checker ID],$Q$4,RawData[[Error Type ]],$Q$5))</f>
        <v/>
      </c>
    </row>
    <row r="24950" spans="15:15" x14ac:dyDescent="0.25">
      <c r="O24950" s="20" t="str">
        <f>IF(N24950="","",COUNTIFS(RawData[[Date ]],N24950,RawData[Month List],$Q$6,RawData[Tour/Site],$Q$2,RawData[[Picker ID ]],$Q$3,RawData[Checker ID],$Q$4,RawData[[Error Type ]],$Q$5))</f>
        <v/>
      </c>
    </row>
    <row r="24951" spans="15:15" x14ac:dyDescent="0.25">
      <c r="O24951" s="20" t="str">
        <f>IF(N24951="","",COUNTIFS(RawData[[Date ]],N24951,RawData[Month List],$Q$6,RawData[Tour/Site],$Q$2,RawData[[Picker ID ]],$Q$3,RawData[Checker ID],$Q$4,RawData[[Error Type ]],$Q$5))</f>
        <v/>
      </c>
    </row>
    <row r="24952" spans="15:15" x14ac:dyDescent="0.25">
      <c r="O24952" s="20" t="str">
        <f>IF(N24952="","",COUNTIFS(RawData[[Date ]],N24952,RawData[Month List],$Q$6,RawData[Tour/Site],$Q$2,RawData[[Picker ID ]],$Q$3,RawData[Checker ID],$Q$4,RawData[[Error Type ]],$Q$5))</f>
        <v/>
      </c>
    </row>
    <row r="24953" spans="15:15" x14ac:dyDescent="0.25">
      <c r="O24953" s="20" t="str">
        <f>IF(N24953="","",COUNTIFS(RawData[[Date ]],N24953,RawData[Month List],$Q$6,RawData[Tour/Site],$Q$2,RawData[[Picker ID ]],$Q$3,RawData[Checker ID],$Q$4,RawData[[Error Type ]],$Q$5))</f>
        <v/>
      </c>
    </row>
    <row r="24954" spans="15:15" x14ac:dyDescent="0.25">
      <c r="O24954" s="20" t="str">
        <f>IF(N24954="","",COUNTIFS(RawData[[Date ]],N24954,RawData[Month List],$Q$6,RawData[Tour/Site],$Q$2,RawData[[Picker ID ]],$Q$3,RawData[Checker ID],$Q$4,RawData[[Error Type ]],$Q$5))</f>
        <v/>
      </c>
    </row>
    <row r="24955" spans="15:15" x14ac:dyDescent="0.25">
      <c r="O24955" s="20" t="str">
        <f>IF(N24955="","",COUNTIFS(RawData[[Date ]],N24955,RawData[Month List],$Q$6,RawData[Tour/Site],$Q$2,RawData[[Picker ID ]],$Q$3,RawData[Checker ID],$Q$4,RawData[[Error Type ]],$Q$5))</f>
        <v/>
      </c>
    </row>
    <row r="24956" spans="15:15" x14ac:dyDescent="0.25">
      <c r="O24956" s="20" t="str">
        <f>IF(N24956="","",COUNTIFS(RawData[[Date ]],N24956,RawData[Month List],$Q$6,RawData[Tour/Site],$Q$2,RawData[[Picker ID ]],$Q$3,RawData[Checker ID],$Q$4,RawData[[Error Type ]],$Q$5))</f>
        <v/>
      </c>
    </row>
    <row r="24957" spans="15:15" x14ac:dyDescent="0.25">
      <c r="O24957" s="20" t="str">
        <f>IF(N24957="","",COUNTIFS(RawData[[Date ]],N24957,RawData[Month List],$Q$6,RawData[Tour/Site],$Q$2,RawData[[Picker ID ]],$Q$3,RawData[Checker ID],$Q$4,RawData[[Error Type ]],$Q$5))</f>
        <v/>
      </c>
    </row>
    <row r="24958" spans="15:15" x14ac:dyDescent="0.25">
      <c r="O24958" s="20" t="str">
        <f>IF(N24958="","",COUNTIFS(RawData[[Date ]],N24958,RawData[Month List],$Q$6,RawData[Tour/Site],$Q$2,RawData[[Picker ID ]],$Q$3,RawData[Checker ID],$Q$4,RawData[[Error Type ]],$Q$5))</f>
        <v/>
      </c>
    </row>
    <row r="24959" spans="15:15" x14ac:dyDescent="0.25">
      <c r="O24959" s="20" t="str">
        <f>IF(N24959="","",COUNTIFS(RawData[[Date ]],N24959,RawData[Month List],$Q$6,RawData[Tour/Site],$Q$2,RawData[[Picker ID ]],$Q$3,RawData[Checker ID],$Q$4,RawData[[Error Type ]],$Q$5))</f>
        <v/>
      </c>
    </row>
    <row r="24960" spans="15:15" x14ac:dyDescent="0.25">
      <c r="O24960" s="20" t="str">
        <f>IF(N24960="","",COUNTIFS(RawData[[Date ]],N24960,RawData[Month List],$Q$6,RawData[Tour/Site],$Q$2,RawData[[Picker ID ]],$Q$3,RawData[Checker ID],$Q$4,RawData[[Error Type ]],$Q$5))</f>
        <v/>
      </c>
    </row>
    <row r="24961" spans="15:15" x14ac:dyDescent="0.25">
      <c r="O24961" s="20" t="str">
        <f>IF(N24961="","",COUNTIFS(RawData[[Date ]],N24961,RawData[Month List],$Q$6,RawData[Tour/Site],$Q$2,RawData[[Picker ID ]],$Q$3,RawData[Checker ID],$Q$4,RawData[[Error Type ]],$Q$5))</f>
        <v/>
      </c>
    </row>
    <row r="24962" spans="15:15" x14ac:dyDescent="0.25">
      <c r="O24962" s="20" t="str">
        <f>IF(N24962="","",COUNTIFS(RawData[[Date ]],N24962,RawData[Month List],$Q$6,RawData[Tour/Site],$Q$2,RawData[[Picker ID ]],$Q$3,RawData[Checker ID],$Q$4,RawData[[Error Type ]],$Q$5))</f>
        <v/>
      </c>
    </row>
    <row r="24963" spans="15:15" x14ac:dyDescent="0.25">
      <c r="O24963" s="20" t="str">
        <f>IF(N24963="","",COUNTIFS(RawData[[Date ]],N24963,RawData[Month List],$Q$6,RawData[Tour/Site],$Q$2,RawData[[Picker ID ]],$Q$3,RawData[Checker ID],$Q$4,RawData[[Error Type ]],$Q$5))</f>
        <v/>
      </c>
    </row>
    <row r="24964" spans="15:15" x14ac:dyDescent="0.25">
      <c r="O24964" s="20" t="str">
        <f>IF(N24964="","",COUNTIFS(RawData[[Date ]],N24964,RawData[Month List],$Q$6,RawData[Tour/Site],$Q$2,RawData[[Picker ID ]],$Q$3,RawData[Checker ID],$Q$4,RawData[[Error Type ]],$Q$5))</f>
        <v/>
      </c>
    </row>
    <row r="24965" spans="15:15" x14ac:dyDescent="0.25">
      <c r="O24965" s="20" t="str">
        <f>IF(N24965="","",COUNTIFS(RawData[[Date ]],N24965,RawData[Month List],$Q$6,RawData[Tour/Site],$Q$2,RawData[[Picker ID ]],$Q$3,RawData[Checker ID],$Q$4,RawData[[Error Type ]],$Q$5))</f>
        <v/>
      </c>
    </row>
    <row r="24966" spans="15:15" x14ac:dyDescent="0.25">
      <c r="O24966" s="20" t="str">
        <f>IF(N24966="","",COUNTIFS(RawData[[Date ]],N24966,RawData[Month List],$Q$6,RawData[Tour/Site],$Q$2,RawData[[Picker ID ]],$Q$3,RawData[Checker ID],$Q$4,RawData[[Error Type ]],$Q$5))</f>
        <v/>
      </c>
    </row>
    <row r="24967" spans="15:15" x14ac:dyDescent="0.25">
      <c r="O24967" s="20" t="str">
        <f>IF(N24967="","",COUNTIFS(RawData[[Date ]],N24967,RawData[Month List],$Q$6,RawData[Tour/Site],$Q$2,RawData[[Picker ID ]],$Q$3,RawData[Checker ID],$Q$4,RawData[[Error Type ]],$Q$5))</f>
        <v/>
      </c>
    </row>
    <row r="24968" spans="15:15" x14ac:dyDescent="0.25">
      <c r="O24968" s="20" t="str">
        <f>IF(N24968="","",COUNTIFS(RawData[[Date ]],N24968,RawData[Month List],$Q$6,RawData[Tour/Site],$Q$2,RawData[[Picker ID ]],$Q$3,RawData[Checker ID],$Q$4,RawData[[Error Type ]],$Q$5))</f>
        <v/>
      </c>
    </row>
    <row r="24969" spans="15:15" x14ac:dyDescent="0.25">
      <c r="O24969" s="20" t="str">
        <f>IF(N24969="","",COUNTIFS(RawData[[Date ]],N24969,RawData[Month List],$Q$6,RawData[Tour/Site],$Q$2,RawData[[Picker ID ]],$Q$3,RawData[Checker ID],$Q$4,RawData[[Error Type ]],$Q$5))</f>
        <v/>
      </c>
    </row>
    <row r="24970" spans="15:15" x14ac:dyDescent="0.25">
      <c r="O24970" s="20" t="str">
        <f>IF(N24970="","",COUNTIFS(RawData[[Date ]],N24970,RawData[Month List],$Q$6,RawData[Tour/Site],$Q$2,RawData[[Picker ID ]],$Q$3,RawData[Checker ID],$Q$4,RawData[[Error Type ]],$Q$5))</f>
        <v/>
      </c>
    </row>
    <row r="24971" spans="15:15" x14ac:dyDescent="0.25">
      <c r="O24971" s="20" t="str">
        <f>IF(N24971="","",COUNTIFS(RawData[[Date ]],N24971,RawData[Month List],$Q$6,RawData[Tour/Site],$Q$2,RawData[[Picker ID ]],$Q$3,RawData[Checker ID],$Q$4,RawData[[Error Type ]],$Q$5))</f>
        <v/>
      </c>
    </row>
    <row r="24972" spans="15:15" x14ac:dyDescent="0.25">
      <c r="O24972" s="20" t="str">
        <f>IF(N24972="","",COUNTIFS(RawData[[Date ]],N24972,RawData[Month List],$Q$6,RawData[Tour/Site],$Q$2,RawData[[Picker ID ]],$Q$3,RawData[Checker ID],$Q$4,RawData[[Error Type ]],$Q$5))</f>
        <v/>
      </c>
    </row>
    <row r="24973" spans="15:15" x14ac:dyDescent="0.25">
      <c r="O24973" s="20" t="str">
        <f>IF(N24973="","",COUNTIFS(RawData[[Date ]],N24973,RawData[Month List],$Q$6,RawData[Tour/Site],$Q$2,RawData[[Picker ID ]],$Q$3,RawData[Checker ID],$Q$4,RawData[[Error Type ]],$Q$5))</f>
        <v/>
      </c>
    </row>
    <row r="24974" spans="15:15" x14ac:dyDescent="0.25">
      <c r="O24974" s="20" t="str">
        <f>IF(N24974="","",COUNTIFS(RawData[[Date ]],N24974,RawData[Month List],$Q$6,RawData[Tour/Site],$Q$2,RawData[[Picker ID ]],$Q$3,RawData[Checker ID],$Q$4,RawData[[Error Type ]],$Q$5))</f>
        <v/>
      </c>
    </row>
    <row r="24975" spans="15:15" x14ac:dyDescent="0.25">
      <c r="O24975" s="20" t="str">
        <f>IF(N24975="","",COUNTIFS(RawData[[Date ]],N24975,RawData[Month List],$Q$6,RawData[Tour/Site],$Q$2,RawData[[Picker ID ]],$Q$3,RawData[Checker ID],$Q$4,RawData[[Error Type ]],$Q$5))</f>
        <v/>
      </c>
    </row>
    <row r="24976" spans="15:15" x14ac:dyDescent="0.25">
      <c r="O24976" s="20" t="str">
        <f>IF(N24976="","",COUNTIFS(RawData[[Date ]],N24976,RawData[Month List],$Q$6,RawData[Tour/Site],$Q$2,RawData[[Picker ID ]],$Q$3,RawData[Checker ID],$Q$4,RawData[[Error Type ]],$Q$5))</f>
        <v/>
      </c>
    </row>
    <row r="24977" spans="15:15" x14ac:dyDescent="0.25">
      <c r="O24977" s="20" t="str">
        <f>IF(N24977="","",COUNTIFS(RawData[[Date ]],N24977,RawData[Month List],$Q$6,RawData[Tour/Site],$Q$2,RawData[[Picker ID ]],$Q$3,RawData[Checker ID],$Q$4,RawData[[Error Type ]],$Q$5))</f>
        <v/>
      </c>
    </row>
    <row r="24978" spans="15:15" x14ac:dyDescent="0.25">
      <c r="O24978" s="20" t="str">
        <f>IF(N24978="","",COUNTIFS(RawData[[Date ]],N24978,RawData[Month List],$Q$6,RawData[Tour/Site],$Q$2,RawData[[Picker ID ]],$Q$3,RawData[Checker ID],$Q$4,RawData[[Error Type ]],$Q$5))</f>
        <v/>
      </c>
    </row>
    <row r="24979" spans="15:15" x14ac:dyDescent="0.25">
      <c r="O24979" s="20" t="str">
        <f>IF(N24979="","",COUNTIFS(RawData[[Date ]],N24979,RawData[Month List],$Q$6,RawData[Tour/Site],$Q$2,RawData[[Picker ID ]],$Q$3,RawData[Checker ID],$Q$4,RawData[[Error Type ]],$Q$5))</f>
        <v/>
      </c>
    </row>
    <row r="24980" spans="15:15" x14ac:dyDescent="0.25">
      <c r="O24980" s="20" t="str">
        <f>IF(N24980="","",COUNTIFS(RawData[[Date ]],N24980,RawData[Month List],$Q$6,RawData[Tour/Site],$Q$2,RawData[[Picker ID ]],$Q$3,RawData[Checker ID],$Q$4,RawData[[Error Type ]],$Q$5))</f>
        <v/>
      </c>
    </row>
    <row r="24981" spans="15:15" x14ac:dyDescent="0.25">
      <c r="O24981" s="20" t="str">
        <f>IF(N24981="","",COUNTIFS(RawData[[Date ]],N24981,RawData[Month List],$Q$6,RawData[Tour/Site],$Q$2,RawData[[Picker ID ]],$Q$3,RawData[Checker ID],$Q$4,RawData[[Error Type ]],$Q$5))</f>
        <v/>
      </c>
    </row>
    <row r="24982" spans="15:15" x14ac:dyDescent="0.25">
      <c r="O24982" s="20" t="str">
        <f>IF(N24982="","",COUNTIFS(RawData[[Date ]],N24982,RawData[Month List],$Q$6,RawData[Tour/Site],$Q$2,RawData[[Picker ID ]],$Q$3,RawData[Checker ID],$Q$4,RawData[[Error Type ]],$Q$5))</f>
        <v/>
      </c>
    </row>
    <row r="24983" spans="15:15" x14ac:dyDescent="0.25">
      <c r="O24983" s="20" t="str">
        <f>IF(N24983="","",COUNTIFS(RawData[[Date ]],N24983,RawData[Month List],$Q$6,RawData[Tour/Site],$Q$2,RawData[[Picker ID ]],$Q$3,RawData[Checker ID],$Q$4,RawData[[Error Type ]],$Q$5))</f>
        <v/>
      </c>
    </row>
    <row r="24984" spans="15:15" x14ac:dyDescent="0.25">
      <c r="O24984" s="20" t="str">
        <f>IF(N24984="","",COUNTIFS(RawData[[Date ]],N24984,RawData[Month List],$Q$6,RawData[Tour/Site],$Q$2,RawData[[Picker ID ]],$Q$3,RawData[Checker ID],$Q$4,RawData[[Error Type ]],$Q$5))</f>
        <v/>
      </c>
    </row>
    <row r="24985" spans="15:15" x14ac:dyDescent="0.25">
      <c r="O24985" s="20" t="str">
        <f>IF(N24985="","",COUNTIFS(RawData[[Date ]],N24985,RawData[Month List],$Q$6,RawData[Tour/Site],$Q$2,RawData[[Picker ID ]],$Q$3,RawData[Checker ID],$Q$4,RawData[[Error Type ]],$Q$5))</f>
        <v/>
      </c>
    </row>
    <row r="24986" spans="15:15" x14ac:dyDescent="0.25">
      <c r="O24986" s="20" t="str">
        <f>IF(N24986="","",COUNTIFS(RawData[[Date ]],N24986,RawData[Month List],$Q$6,RawData[Tour/Site],$Q$2,RawData[[Picker ID ]],$Q$3,RawData[Checker ID],$Q$4,RawData[[Error Type ]],$Q$5))</f>
        <v/>
      </c>
    </row>
    <row r="24987" spans="15:15" x14ac:dyDescent="0.25">
      <c r="O24987" s="20" t="str">
        <f>IF(N24987="","",COUNTIFS(RawData[[Date ]],N24987,RawData[Month List],$Q$6,RawData[Tour/Site],$Q$2,RawData[[Picker ID ]],$Q$3,RawData[Checker ID],$Q$4,RawData[[Error Type ]],$Q$5))</f>
        <v/>
      </c>
    </row>
    <row r="24988" spans="15:15" x14ac:dyDescent="0.25">
      <c r="O24988" s="20" t="str">
        <f>IF(N24988="","",COUNTIFS(RawData[[Date ]],N24988,RawData[Month List],$Q$6,RawData[Tour/Site],$Q$2,RawData[[Picker ID ]],$Q$3,RawData[Checker ID],$Q$4,RawData[[Error Type ]],$Q$5))</f>
        <v/>
      </c>
    </row>
    <row r="24989" spans="15:15" x14ac:dyDescent="0.25">
      <c r="O24989" s="20" t="str">
        <f>IF(N24989="","",COUNTIFS(RawData[[Date ]],N24989,RawData[Month List],$Q$6,RawData[Tour/Site],$Q$2,RawData[[Picker ID ]],$Q$3,RawData[Checker ID],$Q$4,RawData[[Error Type ]],$Q$5))</f>
        <v/>
      </c>
    </row>
    <row r="24990" spans="15:15" x14ac:dyDescent="0.25">
      <c r="O24990" s="20" t="str">
        <f>IF(N24990="","",COUNTIFS(RawData[[Date ]],N24990,RawData[Month List],$Q$6,RawData[Tour/Site],$Q$2,RawData[[Picker ID ]],$Q$3,RawData[Checker ID],$Q$4,RawData[[Error Type ]],$Q$5))</f>
        <v/>
      </c>
    </row>
    <row r="24991" spans="15:15" x14ac:dyDescent="0.25">
      <c r="O24991" s="20" t="str">
        <f>IF(N24991="","",COUNTIFS(RawData[[Date ]],N24991,RawData[Month List],$Q$6,RawData[Tour/Site],$Q$2,RawData[[Picker ID ]],$Q$3,RawData[Checker ID],$Q$4,RawData[[Error Type ]],$Q$5))</f>
        <v/>
      </c>
    </row>
    <row r="24992" spans="15:15" x14ac:dyDescent="0.25">
      <c r="O24992" s="20" t="str">
        <f>IF(N24992="","",COUNTIFS(RawData[[Date ]],N24992,RawData[Month List],$Q$6,RawData[Tour/Site],$Q$2,RawData[[Picker ID ]],$Q$3,RawData[Checker ID],$Q$4,RawData[[Error Type ]],$Q$5))</f>
        <v/>
      </c>
    </row>
    <row r="24993" spans="15:15" x14ac:dyDescent="0.25">
      <c r="O24993" s="20" t="str">
        <f>IF(N24993="","",COUNTIFS(RawData[[Date ]],N24993,RawData[Month List],$Q$6,RawData[Tour/Site],$Q$2,RawData[[Picker ID ]],$Q$3,RawData[Checker ID],$Q$4,RawData[[Error Type ]],$Q$5))</f>
        <v/>
      </c>
    </row>
    <row r="24994" spans="15:15" x14ac:dyDescent="0.25">
      <c r="O24994" s="20" t="str">
        <f>IF(N24994="","",COUNTIFS(RawData[[Date ]],N24994,RawData[Month List],$Q$6,RawData[Tour/Site],$Q$2,RawData[[Picker ID ]],$Q$3,RawData[Checker ID],$Q$4,RawData[[Error Type ]],$Q$5))</f>
        <v/>
      </c>
    </row>
    <row r="24995" spans="15:15" x14ac:dyDescent="0.25">
      <c r="O24995" s="20" t="str">
        <f>IF(N24995="","",COUNTIFS(RawData[[Date ]],N24995,RawData[Month List],$Q$6,RawData[Tour/Site],$Q$2,RawData[[Picker ID ]],$Q$3,RawData[Checker ID],$Q$4,RawData[[Error Type ]],$Q$5))</f>
        <v/>
      </c>
    </row>
    <row r="24996" spans="15:15" x14ac:dyDescent="0.25">
      <c r="O24996" s="20" t="str">
        <f>IF(N24996="","",COUNTIFS(RawData[[Date ]],N24996,RawData[Month List],$Q$6,RawData[Tour/Site],$Q$2,RawData[[Picker ID ]],$Q$3,RawData[Checker ID],$Q$4,RawData[[Error Type ]],$Q$5))</f>
        <v/>
      </c>
    </row>
    <row r="24997" spans="15:15" x14ac:dyDescent="0.25">
      <c r="O24997" s="20" t="str">
        <f>IF(N24997="","",COUNTIFS(RawData[[Date ]],N24997,RawData[Month List],$Q$6,RawData[Tour/Site],$Q$2,RawData[[Picker ID ]],$Q$3,RawData[Checker ID],$Q$4,RawData[[Error Type ]],$Q$5))</f>
        <v/>
      </c>
    </row>
    <row r="24998" spans="15:15" x14ac:dyDescent="0.25">
      <c r="O24998" s="20" t="str">
        <f>IF(N24998="","",COUNTIFS(RawData[[Date ]],N24998,RawData[Month List],$Q$6,RawData[Tour/Site],$Q$2,RawData[[Picker ID ]],$Q$3,RawData[Checker ID],$Q$4,RawData[[Error Type ]],$Q$5))</f>
        <v/>
      </c>
    </row>
    <row r="24999" spans="15:15" x14ac:dyDescent="0.25">
      <c r="O24999" s="20" t="str">
        <f>IF(N24999="","",COUNTIFS(RawData[[Date ]],N24999,RawData[Month List],$Q$6,RawData[Tour/Site],$Q$2,RawData[[Picker ID ]],$Q$3,RawData[Checker ID],$Q$4,RawData[[Error Type ]],$Q$5))</f>
        <v/>
      </c>
    </row>
    <row r="25000" spans="15:15" x14ac:dyDescent="0.25">
      <c r="O25000" s="20" t="str">
        <f>IF(N25000="","",COUNTIFS(RawData[[Date ]],N25000,RawData[Month List],$Q$6,RawData[Tour/Site],$Q$2,RawData[[Picker ID ]],$Q$3,RawData[Checker ID],$Q$4,RawData[[Error Type ]],$Q$5))</f>
        <v/>
      </c>
    </row>
    <row r="25001" spans="15:15" x14ac:dyDescent="0.25">
      <c r="O25001" s="20" t="str">
        <f>IF(N25001="","",COUNTIFS(RawData[[Date ]],N25001,RawData[Month List],$Q$6,RawData[Tour/Site],$Q$2,RawData[[Picker ID ]],$Q$3,RawData[Checker ID],$Q$4,RawData[[Error Type ]],$Q$5))</f>
        <v/>
      </c>
    </row>
    <row r="25002" spans="15:15" x14ac:dyDescent="0.25">
      <c r="O25002" s="20" t="str">
        <f>IF(N25002="","",COUNTIFS(RawData[[Date ]],N25002,RawData[Month List],$Q$6,RawData[Tour/Site],$Q$2,RawData[[Picker ID ]],$Q$3,RawData[Checker ID],$Q$4,RawData[[Error Type ]],$Q$5))</f>
        <v/>
      </c>
    </row>
    <row r="25003" spans="15:15" x14ac:dyDescent="0.25">
      <c r="O25003" s="20" t="str">
        <f>IF(N25003="","",COUNTIFS(RawData[[Date ]],N25003,RawData[Month List],$Q$6,RawData[Tour/Site],$Q$2,RawData[[Picker ID ]],$Q$3,RawData[Checker ID],$Q$4,RawData[[Error Type ]],$Q$5))</f>
        <v/>
      </c>
    </row>
    <row r="25004" spans="15:15" x14ac:dyDescent="0.25">
      <c r="O25004" s="20" t="str">
        <f>IF(N25004="","",COUNTIFS(RawData[[Date ]],N25004,RawData[Month List],$Q$6,RawData[Tour/Site],$Q$2,RawData[[Picker ID ]],$Q$3,RawData[Checker ID],$Q$4,RawData[[Error Type ]],$Q$5))</f>
        <v/>
      </c>
    </row>
    <row r="25005" spans="15:15" x14ac:dyDescent="0.25">
      <c r="O25005" s="20" t="str">
        <f>IF(N25005="","",COUNTIFS(RawData[[Date ]],N25005,RawData[Month List],$Q$6,RawData[Tour/Site],$Q$2,RawData[[Picker ID ]],$Q$3,RawData[Checker ID],$Q$4,RawData[[Error Type ]],$Q$5))</f>
        <v/>
      </c>
    </row>
    <row r="25006" spans="15:15" x14ac:dyDescent="0.25">
      <c r="O25006" s="20" t="str">
        <f>IF(N25006="","",COUNTIFS(RawData[[Date ]],N25006,RawData[Month List],$Q$6,RawData[Tour/Site],$Q$2,RawData[[Picker ID ]],$Q$3,RawData[Checker ID],$Q$4,RawData[[Error Type ]],$Q$5))</f>
        <v/>
      </c>
    </row>
    <row r="25007" spans="15:15" x14ac:dyDescent="0.25">
      <c r="O25007" s="20" t="str">
        <f>IF(N25007="","",COUNTIFS(RawData[[Date ]],N25007,RawData[Month List],$Q$6,RawData[Tour/Site],$Q$2,RawData[[Picker ID ]],$Q$3,RawData[Checker ID],$Q$4,RawData[[Error Type ]],$Q$5))</f>
        <v/>
      </c>
    </row>
    <row r="25008" spans="15:15" x14ac:dyDescent="0.25">
      <c r="O25008" s="20" t="str">
        <f>IF(N25008="","",COUNTIFS(RawData[[Date ]],N25008,RawData[Month List],$Q$6,RawData[Tour/Site],$Q$2,RawData[[Picker ID ]],$Q$3,RawData[Checker ID],$Q$4,RawData[[Error Type ]],$Q$5))</f>
        <v/>
      </c>
    </row>
    <row r="25009" spans="15:15" x14ac:dyDescent="0.25">
      <c r="O25009" s="20" t="str">
        <f>IF(N25009="","",COUNTIFS(RawData[[Date ]],N25009,RawData[Month List],$Q$6,RawData[Tour/Site],$Q$2,RawData[[Picker ID ]],$Q$3,RawData[Checker ID],$Q$4,RawData[[Error Type ]],$Q$5))</f>
        <v/>
      </c>
    </row>
    <row r="25010" spans="15:15" x14ac:dyDescent="0.25">
      <c r="O25010" s="20" t="str">
        <f>IF(N25010="","",COUNTIFS(RawData[[Date ]],N25010,RawData[Month List],$Q$6,RawData[Tour/Site],$Q$2,RawData[[Picker ID ]],$Q$3,RawData[Checker ID],$Q$4,RawData[[Error Type ]],$Q$5))</f>
        <v/>
      </c>
    </row>
    <row r="25011" spans="15:15" x14ac:dyDescent="0.25">
      <c r="O25011" s="20" t="str">
        <f>IF(N25011="","",COUNTIFS(RawData[[Date ]],N25011,RawData[Month List],$Q$6,RawData[Tour/Site],$Q$2,RawData[[Picker ID ]],$Q$3,RawData[Checker ID],$Q$4,RawData[[Error Type ]],$Q$5))</f>
        <v/>
      </c>
    </row>
    <row r="25012" spans="15:15" x14ac:dyDescent="0.25">
      <c r="O25012" s="20" t="str">
        <f>IF(N25012="","",COUNTIFS(RawData[[Date ]],N25012,RawData[Month List],$Q$6,RawData[Tour/Site],$Q$2,RawData[[Picker ID ]],$Q$3,RawData[Checker ID],$Q$4,RawData[[Error Type ]],$Q$5))</f>
        <v/>
      </c>
    </row>
    <row r="25013" spans="15:15" x14ac:dyDescent="0.25">
      <c r="O25013" s="20" t="str">
        <f>IF(N25013="","",COUNTIFS(RawData[[Date ]],N25013,RawData[Month List],$Q$6,RawData[Tour/Site],$Q$2,RawData[[Picker ID ]],$Q$3,RawData[Checker ID],$Q$4,RawData[[Error Type ]],$Q$5))</f>
        <v/>
      </c>
    </row>
    <row r="25014" spans="15:15" x14ac:dyDescent="0.25">
      <c r="O25014" s="20" t="str">
        <f>IF(N25014="","",COUNTIFS(RawData[[Date ]],N25014,RawData[Month List],$Q$6,RawData[Tour/Site],$Q$2,RawData[[Picker ID ]],$Q$3,RawData[Checker ID],$Q$4,RawData[[Error Type ]],$Q$5))</f>
        <v/>
      </c>
    </row>
    <row r="25015" spans="15:15" x14ac:dyDescent="0.25">
      <c r="O25015" s="20" t="str">
        <f>IF(N25015="","",COUNTIFS(RawData[[Date ]],N25015,RawData[Month List],$Q$6,RawData[Tour/Site],$Q$2,RawData[[Picker ID ]],$Q$3,RawData[Checker ID],$Q$4,RawData[[Error Type ]],$Q$5))</f>
        <v/>
      </c>
    </row>
    <row r="25016" spans="15:15" x14ac:dyDescent="0.25">
      <c r="O25016" s="20" t="str">
        <f>IF(N25016="","",COUNTIFS(RawData[[Date ]],N25016,RawData[Month List],$Q$6,RawData[Tour/Site],$Q$2,RawData[[Picker ID ]],$Q$3,RawData[Checker ID],$Q$4,RawData[[Error Type ]],$Q$5))</f>
        <v/>
      </c>
    </row>
    <row r="25017" spans="15:15" x14ac:dyDescent="0.25">
      <c r="O25017" s="20" t="str">
        <f>IF(N25017="","",COUNTIFS(RawData[[Date ]],N25017,RawData[Month List],$Q$6,RawData[Tour/Site],$Q$2,RawData[[Picker ID ]],$Q$3,RawData[Checker ID],$Q$4,RawData[[Error Type ]],$Q$5))</f>
        <v/>
      </c>
    </row>
    <row r="25018" spans="15:15" x14ac:dyDescent="0.25">
      <c r="O25018" s="20" t="str">
        <f>IF(N25018="","",COUNTIFS(RawData[[Date ]],N25018,RawData[Month List],$Q$6,RawData[Tour/Site],$Q$2,RawData[[Picker ID ]],$Q$3,RawData[Checker ID],$Q$4,RawData[[Error Type ]],$Q$5))</f>
        <v/>
      </c>
    </row>
    <row r="25019" spans="15:15" x14ac:dyDescent="0.25">
      <c r="O25019" s="20" t="str">
        <f>IF(N25019="","",COUNTIFS(RawData[[Date ]],N25019,RawData[Month List],$Q$6,RawData[Tour/Site],$Q$2,RawData[[Picker ID ]],$Q$3,RawData[Checker ID],$Q$4,RawData[[Error Type ]],$Q$5))</f>
        <v/>
      </c>
    </row>
    <row r="25020" spans="15:15" x14ac:dyDescent="0.25">
      <c r="O25020" s="20" t="str">
        <f>IF(N25020="","",COUNTIFS(RawData[[Date ]],N25020,RawData[Month List],$Q$6,RawData[Tour/Site],$Q$2,RawData[[Picker ID ]],$Q$3,RawData[Checker ID],$Q$4,RawData[[Error Type ]],$Q$5))</f>
        <v/>
      </c>
    </row>
    <row r="25021" spans="15:15" x14ac:dyDescent="0.25">
      <c r="O25021" s="20" t="str">
        <f>IF(N25021="","",COUNTIFS(RawData[[Date ]],N25021,RawData[Month List],$Q$6,RawData[Tour/Site],$Q$2,RawData[[Picker ID ]],$Q$3,RawData[Checker ID],$Q$4,RawData[[Error Type ]],$Q$5))</f>
        <v/>
      </c>
    </row>
    <row r="25022" spans="15:15" x14ac:dyDescent="0.25">
      <c r="O25022" s="20" t="str">
        <f>IF(N25022="","",COUNTIFS(RawData[[Date ]],N25022,RawData[Month List],$Q$6,RawData[Tour/Site],$Q$2,RawData[[Picker ID ]],$Q$3,RawData[Checker ID],$Q$4,RawData[[Error Type ]],$Q$5))</f>
        <v/>
      </c>
    </row>
    <row r="25023" spans="15:15" x14ac:dyDescent="0.25">
      <c r="O25023" s="20" t="str">
        <f>IF(N25023="","",COUNTIFS(RawData[[Date ]],N25023,RawData[Month List],$Q$6,RawData[Tour/Site],$Q$2,RawData[[Picker ID ]],$Q$3,RawData[Checker ID],$Q$4,RawData[[Error Type ]],$Q$5))</f>
        <v/>
      </c>
    </row>
    <row r="25024" spans="15:15" x14ac:dyDescent="0.25">
      <c r="O25024" s="20" t="str">
        <f>IF(N25024="","",COUNTIFS(RawData[[Date ]],N25024,RawData[Month List],$Q$6,RawData[Tour/Site],$Q$2,RawData[[Picker ID ]],$Q$3,RawData[Checker ID],$Q$4,RawData[[Error Type ]],$Q$5))</f>
        <v/>
      </c>
    </row>
    <row r="25025" spans="15:15" x14ac:dyDescent="0.25">
      <c r="O25025" s="20" t="str">
        <f>IF(N25025="","",COUNTIFS(RawData[[Date ]],N25025,RawData[Month List],$Q$6,RawData[Tour/Site],$Q$2,RawData[[Picker ID ]],$Q$3,RawData[Checker ID],$Q$4,RawData[[Error Type ]],$Q$5))</f>
        <v/>
      </c>
    </row>
    <row r="25026" spans="15:15" x14ac:dyDescent="0.25">
      <c r="O25026" s="20" t="str">
        <f>IF(N25026="","",COUNTIFS(RawData[[Date ]],N25026,RawData[Month List],$Q$6,RawData[Tour/Site],$Q$2,RawData[[Picker ID ]],$Q$3,RawData[Checker ID],$Q$4,RawData[[Error Type ]],$Q$5))</f>
        <v/>
      </c>
    </row>
    <row r="25027" spans="15:15" x14ac:dyDescent="0.25">
      <c r="O25027" s="20" t="str">
        <f>IF(N25027="","",COUNTIFS(RawData[[Date ]],N25027,RawData[Month List],$Q$6,RawData[Tour/Site],$Q$2,RawData[[Picker ID ]],$Q$3,RawData[Checker ID],$Q$4,RawData[[Error Type ]],$Q$5))</f>
        <v/>
      </c>
    </row>
    <row r="25028" spans="15:15" x14ac:dyDescent="0.25">
      <c r="O25028" s="20" t="str">
        <f>IF(N25028="","",COUNTIFS(RawData[[Date ]],N25028,RawData[Month List],$Q$6,RawData[Tour/Site],$Q$2,RawData[[Picker ID ]],$Q$3,RawData[Checker ID],$Q$4,RawData[[Error Type ]],$Q$5))</f>
        <v/>
      </c>
    </row>
    <row r="25029" spans="15:15" x14ac:dyDescent="0.25">
      <c r="O25029" s="20" t="str">
        <f>IF(N25029="","",COUNTIFS(RawData[[Date ]],N25029,RawData[Month List],$Q$6,RawData[Tour/Site],$Q$2,RawData[[Picker ID ]],$Q$3,RawData[Checker ID],$Q$4,RawData[[Error Type ]],$Q$5))</f>
        <v/>
      </c>
    </row>
    <row r="25030" spans="15:15" x14ac:dyDescent="0.25">
      <c r="O25030" s="20" t="str">
        <f>IF(N25030="","",COUNTIFS(RawData[[Date ]],N25030,RawData[Month List],$Q$6,RawData[Tour/Site],$Q$2,RawData[[Picker ID ]],$Q$3,RawData[Checker ID],$Q$4,RawData[[Error Type ]],$Q$5))</f>
        <v/>
      </c>
    </row>
    <row r="25031" spans="15:15" x14ac:dyDescent="0.25">
      <c r="O25031" s="20" t="str">
        <f>IF(N25031="","",COUNTIFS(RawData[[Date ]],N25031,RawData[Month List],$Q$6,RawData[Tour/Site],$Q$2,RawData[[Picker ID ]],$Q$3,RawData[Checker ID],$Q$4,RawData[[Error Type ]],$Q$5))</f>
        <v/>
      </c>
    </row>
    <row r="25032" spans="15:15" x14ac:dyDescent="0.25">
      <c r="O25032" s="20" t="str">
        <f>IF(N25032="","",COUNTIFS(RawData[[Date ]],N25032,RawData[Month List],$Q$6,RawData[Tour/Site],$Q$2,RawData[[Picker ID ]],$Q$3,RawData[Checker ID],$Q$4,RawData[[Error Type ]],$Q$5))</f>
        <v/>
      </c>
    </row>
    <row r="25033" spans="15:15" x14ac:dyDescent="0.25">
      <c r="O25033" s="20" t="str">
        <f>IF(N25033="","",COUNTIFS(RawData[[Date ]],N25033,RawData[Month List],$Q$6,RawData[Tour/Site],$Q$2,RawData[[Picker ID ]],$Q$3,RawData[Checker ID],$Q$4,RawData[[Error Type ]],$Q$5))</f>
        <v/>
      </c>
    </row>
    <row r="25034" spans="15:15" x14ac:dyDescent="0.25">
      <c r="O25034" s="20" t="str">
        <f>IF(N25034="","",COUNTIFS(RawData[[Date ]],N25034,RawData[Month List],$Q$6,RawData[Tour/Site],$Q$2,RawData[[Picker ID ]],$Q$3,RawData[Checker ID],$Q$4,RawData[[Error Type ]],$Q$5))</f>
        <v/>
      </c>
    </row>
    <row r="25035" spans="15:15" x14ac:dyDescent="0.25">
      <c r="O25035" s="20" t="str">
        <f>IF(N25035="","",COUNTIFS(RawData[[Date ]],N25035,RawData[Month List],$Q$6,RawData[Tour/Site],$Q$2,RawData[[Picker ID ]],$Q$3,RawData[Checker ID],$Q$4,RawData[[Error Type ]],$Q$5))</f>
        <v/>
      </c>
    </row>
    <row r="25036" spans="15:15" x14ac:dyDescent="0.25">
      <c r="O25036" s="20" t="str">
        <f>IF(N25036="","",COUNTIFS(RawData[[Date ]],N25036,RawData[Month List],$Q$6,RawData[Tour/Site],$Q$2,RawData[[Picker ID ]],$Q$3,RawData[Checker ID],$Q$4,RawData[[Error Type ]],$Q$5))</f>
        <v/>
      </c>
    </row>
    <row r="25037" spans="15:15" x14ac:dyDescent="0.25">
      <c r="O25037" s="20" t="str">
        <f>IF(N25037="","",COUNTIFS(RawData[[Date ]],N25037,RawData[Month List],$Q$6,RawData[Tour/Site],$Q$2,RawData[[Picker ID ]],$Q$3,RawData[Checker ID],$Q$4,RawData[[Error Type ]],$Q$5))</f>
        <v/>
      </c>
    </row>
    <row r="25038" spans="15:15" x14ac:dyDescent="0.25">
      <c r="O25038" s="20" t="str">
        <f>IF(N25038="","",COUNTIFS(RawData[[Date ]],N25038,RawData[Month List],$Q$6,RawData[Tour/Site],$Q$2,RawData[[Picker ID ]],$Q$3,RawData[Checker ID],$Q$4,RawData[[Error Type ]],$Q$5))</f>
        <v/>
      </c>
    </row>
    <row r="25039" spans="15:15" x14ac:dyDescent="0.25">
      <c r="O25039" s="20" t="str">
        <f>IF(N25039="","",COUNTIFS(RawData[[Date ]],N25039,RawData[Month List],$Q$6,RawData[Tour/Site],$Q$2,RawData[[Picker ID ]],$Q$3,RawData[Checker ID],$Q$4,RawData[[Error Type ]],$Q$5))</f>
        <v/>
      </c>
    </row>
    <row r="25040" spans="15:15" x14ac:dyDescent="0.25">
      <c r="O25040" s="20" t="str">
        <f>IF(N25040="","",COUNTIFS(RawData[[Date ]],N25040,RawData[Month List],$Q$6,RawData[Tour/Site],$Q$2,RawData[[Picker ID ]],$Q$3,RawData[Checker ID],$Q$4,RawData[[Error Type ]],$Q$5))</f>
        <v/>
      </c>
    </row>
    <row r="25041" spans="15:15" x14ac:dyDescent="0.25">
      <c r="O25041" s="20" t="str">
        <f>IF(N25041="","",COUNTIFS(RawData[[Date ]],N25041,RawData[Month List],$Q$6,RawData[Tour/Site],$Q$2,RawData[[Picker ID ]],$Q$3,RawData[Checker ID],$Q$4,RawData[[Error Type ]],$Q$5))</f>
        <v/>
      </c>
    </row>
    <row r="25042" spans="15:15" x14ac:dyDescent="0.25">
      <c r="O25042" s="20" t="str">
        <f>IF(N25042="","",COUNTIFS(RawData[[Date ]],N25042,RawData[Month List],$Q$6,RawData[Tour/Site],$Q$2,RawData[[Picker ID ]],$Q$3,RawData[Checker ID],$Q$4,RawData[[Error Type ]],$Q$5))</f>
        <v/>
      </c>
    </row>
    <row r="25043" spans="15:15" x14ac:dyDescent="0.25">
      <c r="O25043" s="20" t="str">
        <f>IF(N25043="","",COUNTIFS(RawData[[Date ]],N25043,RawData[Month List],$Q$6,RawData[Tour/Site],$Q$2,RawData[[Picker ID ]],$Q$3,RawData[Checker ID],$Q$4,RawData[[Error Type ]],$Q$5))</f>
        <v/>
      </c>
    </row>
    <row r="25044" spans="15:15" x14ac:dyDescent="0.25">
      <c r="O25044" s="20" t="str">
        <f>IF(N25044="","",COUNTIFS(RawData[[Date ]],N25044,RawData[Month List],$Q$6,RawData[Tour/Site],$Q$2,RawData[[Picker ID ]],$Q$3,RawData[Checker ID],$Q$4,RawData[[Error Type ]],$Q$5))</f>
        <v/>
      </c>
    </row>
    <row r="25045" spans="15:15" x14ac:dyDescent="0.25">
      <c r="O25045" s="20" t="str">
        <f>IF(N25045="","",COUNTIFS(RawData[[Date ]],N25045,RawData[Month List],$Q$6,RawData[Tour/Site],$Q$2,RawData[[Picker ID ]],$Q$3,RawData[Checker ID],$Q$4,RawData[[Error Type ]],$Q$5))</f>
        <v/>
      </c>
    </row>
    <row r="25046" spans="15:15" x14ac:dyDescent="0.25">
      <c r="O25046" s="20" t="str">
        <f>IF(N25046="","",COUNTIFS(RawData[[Date ]],N25046,RawData[Month List],$Q$6,RawData[Tour/Site],$Q$2,RawData[[Picker ID ]],$Q$3,RawData[Checker ID],$Q$4,RawData[[Error Type ]],$Q$5))</f>
        <v/>
      </c>
    </row>
    <row r="25047" spans="15:15" x14ac:dyDescent="0.25">
      <c r="O25047" s="20" t="str">
        <f>IF(N25047="","",COUNTIFS(RawData[[Date ]],N25047,RawData[Month List],$Q$6,RawData[Tour/Site],$Q$2,RawData[[Picker ID ]],$Q$3,RawData[Checker ID],$Q$4,RawData[[Error Type ]],$Q$5))</f>
        <v/>
      </c>
    </row>
    <row r="25048" spans="15:15" x14ac:dyDescent="0.25">
      <c r="O25048" s="20" t="str">
        <f>IF(N25048="","",COUNTIFS(RawData[[Date ]],N25048,RawData[Month List],$Q$6,RawData[Tour/Site],$Q$2,RawData[[Picker ID ]],$Q$3,RawData[Checker ID],$Q$4,RawData[[Error Type ]],$Q$5))</f>
        <v/>
      </c>
    </row>
    <row r="25049" spans="15:15" x14ac:dyDescent="0.25">
      <c r="O25049" s="20" t="str">
        <f>IF(N25049="","",COUNTIFS(RawData[[Date ]],N25049,RawData[Month List],$Q$6,RawData[Tour/Site],$Q$2,RawData[[Picker ID ]],$Q$3,RawData[Checker ID],$Q$4,RawData[[Error Type ]],$Q$5))</f>
        <v/>
      </c>
    </row>
    <row r="25050" spans="15:15" x14ac:dyDescent="0.25">
      <c r="O25050" s="20" t="str">
        <f>IF(N25050="","",COUNTIFS(RawData[[Date ]],N25050,RawData[Month List],$Q$6,RawData[Tour/Site],$Q$2,RawData[[Picker ID ]],$Q$3,RawData[Checker ID],$Q$4,RawData[[Error Type ]],$Q$5))</f>
        <v/>
      </c>
    </row>
    <row r="25051" spans="15:15" x14ac:dyDescent="0.25">
      <c r="O25051" s="20" t="str">
        <f>IF(N25051="","",COUNTIFS(RawData[[Date ]],N25051,RawData[Month List],$Q$6,RawData[Tour/Site],$Q$2,RawData[[Picker ID ]],$Q$3,RawData[Checker ID],$Q$4,RawData[[Error Type ]],$Q$5))</f>
        <v/>
      </c>
    </row>
    <row r="25052" spans="15:15" x14ac:dyDescent="0.25">
      <c r="O25052" s="20" t="str">
        <f>IF(N25052="","",COUNTIFS(RawData[[Date ]],N25052,RawData[Month List],$Q$6,RawData[Tour/Site],$Q$2,RawData[[Picker ID ]],$Q$3,RawData[Checker ID],$Q$4,RawData[[Error Type ]],$Q$5))</f>
        <v/>
      </c>
    </row>
    <row r="25053" spans="15:15" x14ac:dyDescent="0.25">
      <c r="O25053" s="20" t="str">
        <f>IF(N25053="","",COUNTIFS(RawData[[Date ]],N25053,RawData[Month List],$Q$6,RawData[Tour/Site],$Q$2,RawData[[Picker ID ]],$Q$3,RawData[Checker ID],$Q$4,RawData[[Error Type ]],$Q$5))</f>
        <v/>
      </c>
    </row>
    <row r="25054" spans="15:15" x14ac:dyDescent="0.25">
      <c r="O25054" s="20" t="str">
        <f>IF(N25054="","",COUNTIFS(RawData[[Date ]],N25054,RawData[Month List],$Q$6,RawData[Tour/Site],$Q$2,RawData[[Picker ID ]],$Q$3,RawData[Checker ID],$Q$4,RawData[[Error Type ]],$Q$5))</f>
        <v/>
      </c>
    </row>
    <row r="25055" spans="15:15" x14ac:dyDescent="0.25">
      <c r="O25055" s="20" t="str">
        <f>IF(N25055="","",COUNTIFS(RawData[[Date ]],N25055,RawData[Month List],$Q$6,RawData[Tour/Site],$Q$2,RawData[[Picker ID ]],$Q$3,RawData[Checker ID],$Q$4,RawData[[Error Type ]],$Q$5))</f>
        <v/>
      </c>
    </row>
    <row r="25056" spans="15:15" x14ac:dyDescent="0.25">
      <c r="O25056" s="20" t="str">
        <f>IF(N25056="","",COUNTIFS(RawData[[Date ]],N25056,RawData[Month List],$Q$6,RawData[Tour/Site],$Q$2,RawData[[Picker ID ]],$Q$3,RawData[Checker ID],$Q$4,RawData[[Error Type ]],$Q$5))</f>
        <v/>
      </c>
    </row>
    <row r="25057" spans="15:15" x14ac:dyDescent="0.25">
      <c r="O25057" s="20" t="str">
        <f>IF(N25057="","",COUNTIFS(RawData[[Date ]],N25057,RawData[Month List],$Q$6,RawData[Tour/Site],$Q$2,RawData[[Picker ID ]],$Q$3,RawData[Checker ID],$Q$4,RawData[[Error Type ]],$Q$5))</f>
        <v/>
      </c>
    </row>
    <row r="25058" spans="15:15" x14ac:dyDescent="0.25">
      <c r="O25058" s="20" t="str">
        <f>IF(N25058="","",COUNTIFS(RawData[[Date ]],N25058,RawData[Month List],$Q$6,RawData[Tour/Site],$Q$2,RawData[[Picker ID ]],$Q$3,RawData[Checker ID],$Q$4,RawData[[Error Type ]],$Q$5))</f>
        <v/>
      </c>
    </row>
    <row r="25059" spans="15:15" x14ac:dyDescent="0.25">
      <c r="O25059" s="20" t="str">
        <f>IF(N25059="","",COUNTIFS(RawData[[Date ]],N25059,RawData[Month List],$Q$6,RawData[Tour/Site],$Q$2,RawData[[Picker ID ]],$Q$3,RawData[Checker ID],$Q$4,RawData[[Error Type ]],$Q$5))</f>
        <v/>
      </c>
    </row>
    <row r="25060" spans="15:15" x14ac:dyDescent="0.25">
      <c r="O25060" s="20" t="str">
        <f>IF(N25060="","",COUNTIFS(RawData[[Date ]],N25060,RawData[Month List],$Q$6,RawData[Tour/Site],$Q$2,RawData[[Picker ID ]],$Q$3,RawData[Checker ID],$Q$4,RawData[[Error Type ]],$Q$5))</f>
        <v/>
      </c>
    </row>
    <row r="25061" spans="15:15" x14ac:dyDescent="0.25">
      <c r="O25061" s="20" t="str">
        <f>IF(N25061="","",COUNTIFS(RawData[[Date ]],N25061,RawData[Month List],$Q$6,RawData[Tour/Site],$Q$2,RawData[[Picker ID ]],$Q$3,RawData[Checker ID],$Q$4,RawData[[Error Type ]],$Q$5))</f>
        <v/>
      </c>
    </row>
    <row r="25062" spans="15:15" x14ac:dyDescent="0.25">
      <c r="O25062" s="20" t="str">
        <f>IF(N25062="","",COUNTIFS(RawData[[Date ]],N25062,RawData[Month List],$Q$6,RawData[Tour/Site],$Q$2,RawData[[Picker ID ]],$Q$3,RawData[Checker ID],$Q$4,RawData[[Error Type ]],$Q$5))</f>
        <v/>
      </c>
    </row>
    <row r="25063" spans="15:15" x14ac:dyDescent="0.25">
      <c r="O25063" s="20" t="str">
        <f>IF(N25063="","",COUNTIFS(RawData[[Date ]],N25063,RawData[Month List],$Q$6,RawData[Tour/Site],$Q$2,RawData[[Picker ID ]],$Q$3,RawData[Checker ID],$Q$4,RawData[[Error Type ]],$Q$5))</f>
        <v/>
      </c>
    </row>
    <row r="25064" spans="15:15" x14ac:dyDescent="0.25">
      <c r="O25064" s="20" t="str">
        <f>IF(N25064="","",COUNTIFS(RawData[[Date ]],N25064,RawData[Month List],$Q$6,RawData[Tour/Site],$Q$2,RawData[[Picker ID ]],$Q$3,RawData[Checker ID],$Q$4,RawData[[Error Type ]],$Q$5))</f>
        <v/>
      </c>
    </row>
    <row r="25065" spans="15:15" x14ac:dyDescent="0.25">
      <c r="O25065" s="20" t="str">
        <f>IF(N25065="","",COUNTIFS(RawData[[Date ]],N25065,RawData[Month List],$Q$6,RawData[Tour/Site],$Q$2,RawData[[Picker ID ]],$Q$3,RawData[Checker ID],$Q$4,RawData[[Error Type ]],$Q$5))</f>
        <v/>
      </c>
    </row>
    <row r="25066" spans="15:15" x14ac:dyDescent="0.25">
      <c r="O25066" s="20" t="str">
        <f>IF(N25066="","",COUNTIFS(RawData[[Date ]],N25066,RawData[Month List],$Q$6,RawData[Tour/Site],$Q$2,RawData[[Picker ID ]],$Q$3,RawData[Checker ID],$Q$4,RawData[[Error Type ]],$Q$5))</f>
        <v/>
      </c>
    </row>
    <row r="25067" spans="15:15" x14ac:dyDescent="0.25">
      <c r="O25067" s="20" t="str">
        <f>IF(N25067="","",COUNTIFS(RawData[[Date ]],N25067,RawData[Month List],$Q$6,RawData[Tour/Site],$Q$2,RawData[[Picker ID ]],$Q$3,RawData[Checker ID],$Q$4,RawData[[Error Type ]],$Q$5))</f>
        <v/>
      </c>
    </row>
    <row r="25068" spans="15:15" x14ac:dyDescent="0.25">
      <c r="O25068" s="20" t="str">
        <f>IF(N25068="","",COUNTIFS(RawData[[Date ]],N25068,RawData[Month List],$Q$6,RawData[Tour/Site],$Q$2,RawData[[Picker ID ]],$Q$3,RawData[Checker ID],$Q$4,RawData[[Error Type ]],$Q$5))</f>
        <v/>
      </c>
    </row>
    <row r="25069" spans="15:15" x14ac:dyDescent="0.25">
      <c r="O25069" s="20" t="str">
        <f>IF(N25069="","",COUNTIFS(RawData[[Date ]],N25069,RawData[Month List],$Q$6,RawData[Tour/Site],$Q$2,RawData[[Picker ID ]],$Q$3,RawData[Checker ID],$Q$4,RawData[[Error Type ]],$Q$5))</f>
        <v/>
      </c>
    </row>
    <row r="25070" spans="15:15" x14ac:dyDescent="0.25">
      <c r="O25070" s="20" t="str">
        <f>IF(N25070="","",COUNTIFS(RawData[[Date ]],N25070,RawData[Month List],$Q$6,RawData[Tour/Site],$Q$2,RawData[[Picker ID ]],$Q$3,RawData[Checker ID],$Q$4,RawData[[Error Type ]],$Q$5))</f>
        <v/>
      </c>
    </row>
    <row r="25071" spans="15:15" x14ac:dyDescent="0.25">
      <c r="O25071" s="20" t="str">
        <f>IF(N25071="","",COUNTIFS(RawData[[Date ]],N25071,RawData[Month List],$Q$6,RawData[Tour/Site],$Q$2,RawData[[Picker ID ]],$Q$3,RawData[Checker ID],$Q$4,RawData[[Error Type ]],$Q$5))</f>
        <v/>
      </c>
    </row>
    <row r="25072" spans="15:15" x14ac:dyDescent="0.25">
      <c r="O25072" s="20" t="str">
        <f>IF(N25072="","",COUNTIFS(RawData[[Date ]],N25072,RawData[Month List],$Q$6,RawData[Tour/Site],$Q$2,RawData[[Picker ID ]],$Q$3,RawData[Checker ID],$Q$4,RawData[[Error Type ]],$Q$5))</f>
        <v/>
      </c>
    </row>
    <row r="25073" spans="15:15" x14ac:dyDescent="0.25">
      <c r="O25073" s="20" t="str">
        <f>IF(N25073="","",COUNTIFS(RawData[[Date ]],N25073,RawData[Month List],$Q$6,RawData[Tour/Site],$Q$2,RawData[[Picker ID ]],$Q$3,RawData[Checker ID],$Q$4,RawData[[Error Type ]],$Q$5))</f>
        <v/>
      </c>
    </row>
    <row r="25074" spans="15:15" x14ac:dyDescent="0.25">
      <c r="O25074" s="20" t="str">
        <f>IF(N25074="","",COUNTIFS(RawData[[Date ]],N25074,RawData[Month List],$Q$6,RawData[Tour/Site],$Q$2,RawData[[Picker ID ]],$Q$3,RawData[Checker ID],$Q$4,RawData[[Error Type ]],$Q$5))</f>
        <v/>
      </c>
    </row>
    <row r="25075" spans="15:15" x14ac:dyDescent="0.25">
      <c r="O25075" s="20" t="str">
        <f>IF(N25075="","",COUNTIFS(RawData[[Date ]],N25075,RawData[Month List],$Q$6,RawData[Tour/Site],$Q$2,RawData[[Picker ID ]],$Q$3,RawData[Checker ID],$Q$4,RawData[[Error Type ]],$Q$5))</f>
        <v/>
      </c>
    </row>
    <row r="25076" spans="15:15" x14ac:dyDescent="0.25">
      <c r="O25076" s="20" t="str">
        <f>IF(N25076="","",COUNTIFS(RawData[[Date ]],N25076,RawData[Month List],$Q$6,RawData[Tour/Site],$Q$2,RawData[[Picker ID ]],$Q$3,RawData[Checker ID],$Q$4,RawData[[Error Type ]],$Q$5))</f>
        <v/>
      </c>
    </row>
    <row r="25077" spans="15:15" x14ac:dyDescent="0.25">
      <c r="O25077" s="20" t="str">
        <f>IF(N25077="","",COUNTIFS(RawData[[Date ]],N25077,RawData[Month List],$Q$6,RawData[Tour/Site],$Q$2,RawData[[Picker ID ]],$Q$3,RawData[Checker ID],$Q$4,RawData[[Error Type ]],$Q$5))</f>
        <v/>
      </c>
    </row>
    <row r="25078" spans="15:15" x14ac:dyDescent="0.25">
      <c r="O25078" s="20" t="str">
        <f>IF(N25078="","",COUNTIFS(RawData[[Date ]],N25078,RawData[Month List],$Q$6,RawData[Tour/Site],$Q$2,RawData[[Picker ID ]],$Q$3,RawData[Checker ID],$Q$4,RawData[[Error Type ]],$Q$5))</f>
        <v/>
      </c>
    </row>
    <row r="25079" spans="15:15" x14ac:dyDescent="0.25">
      <c r="O25079" s="20" t="str">
        <f>IF(N25079="","",COUNTIFS(RawData[[Date ]],N25079,RawData[Month List],$Q$6,RawData[Tour/Site],$Q$2,RawData[[Picker ID ]],$Q$3,RawData[Checker ID],$Q$4,RawData[[Error Type ]],$Q$5))</f>
        <v/>
      </c>
    </row>
    <row r="25080" spans="15:15" x14ac:dyDescent="0.25">
      <c r="O25080" s="20" t="str">
        <f>IF(N25080="","",COUNTIFS(RawData[[Date ]],N25080,RawData[Month List],$Q$6,RawData[Tour/Site],$Q$2,RawData[[Picker ID ]],$Q$3,RawData[Checker ID],$Q$4,RawData[[Error Type ]],$Q$5))</f>
        <v/>
      </c>
    </row>
    <row r="25081" spans="15:15" x14ac:dyDescent="0.25">
      <c r="O25081" s="20" t="str">
        <f>IF(N25081="","",COUNTIFS(RawData[[Date ]],N25081,RawData[Month List],$Q$6,RawData[Tour/Site],$Q$2,RawData[[Picker ID ]],$Q$3,RawData[Checker ID],$Q$4,RawData[[Error Type ]],$Q$5))</f>
        <v/>
      </c>
    </row>
    <row r="25082" spans="15:15" x14ac:dyDescent="0.25">
      <c r="O25082" s="20" t="str">
        <f>IF(N25082="","",COUNTIFS(RawData[[Date ]],N25082,RawData[Month List],$Q$6,RawData[Tour/Site],$Q$2,RawData[[Picker ID ]],$Q$3,RawData[Checker ID],$Q$4,RawData[[Error Type ]],$Q$5))</f>
        <v/>
      </c>
    </row>
    <row r="25083" spans="15:15" x14ac:dyDescent="0.25">
      <c r="O25083" s="20" t="str">
        <f>IF(N25083="","",COUNTIFS(RawData[[Date ]],N25083,RawData[Month List],$Q$6,RawData[Tour/Site],$Q$2,RawData[[Picker ID ]],$Q$3,RawData[Checker ID],$Q$4,RawData[[Error Type ]],$Q$5))</f>
        <v/>
      </c>
    </row>
    <row r="25084" spans="15:15" x14ac:dyDescent="0.25">
      <c r="O25084" s="20" t="str">
        <f>IF(N25084="","",COUNTIFS(RawData[[Date ]],N25084,RawData[Month List],$Q$6,RawData[Tour/Site],$Q$2,RawData[[Picker ID ]],$Q$3,RawData[Checker ID],$Q$4,RawData[[Error Type ]],$Q$5))</f>
        <v/>
      </c>
    </row>
    <row r="25085" spans="15:15" x14ac:dyDescent="0.25">
      <c r="O25085" s="20" t="str">
        <f>IF(N25085="","",COUNTIFS(RawData[[Date ]],N25085,RawData[Month List],$Q$6,RawData[Tour/Site],$Q$2,RawData[[Picker ID ]],$Q$3,RawData[Checker ID],$Q$4,RawData[[Error Type ]],$Q$5))</f>
        <v/>
      </c>
    </row>
    <row r="25086" spans="15:15" x14ac:dyDescent="0.25">
      <c r="O25086" s="20" t="str">
        <f>IF(N25086="","",COUNTIFS(RawData[[Date ]],N25086,RawData[Month List],$Q$6,RawData[Tour/Site],$Q$2,RawData[[Picker ID ]],$Q$3,RawData[Checker ID],$Q$4,RawData[[Error Type ]],$Q$5))</f>
        <v/>
      </c>
    </row>
    <row r="25087" spans="15:15" x14ac:dyDescent="0.25">
      <c r="O25087" s="20" t="str">
        <f>IF(N25087="","",COUNTIFS(RawData[[Date ]],N25087,RawData[Month List],$Q$6,RawData[Tour/Site],$Q$2,RawData[[Picker ID ]],$Q$3,RawData[Checker ID],$Q$4,RawData[[Error Type ]],$Q$5))</f>
        <v/>
      </c>
    </row>
    <row r="25088" spans="15:15" x14ac:dyDescent="0.25">
      <c r="O25088" s="20" t="str">
        <f>IF(N25088="","",COUNTIFS(RawData[[Date ]],N25088,RawData[Month List],$Q$6,RawData[Tour/Site],$Q$2,RawData[[Picker ID ]],$Q$3,RawData[Checker ID],$Q$4,RawData[[Error Type ]],$Q$5))</f>
        <v/>
      </c>
    </row>
    <row r="25089" spans="15:15" x14ac:dyDescent="0.25">
      <c r="O25089" s="20" t="str">
        <f>IF(N25089="","",COUNTIFS(RawData[[Date ]],N25089,RawData[Month List],$Q$6,RawData[Tour/Site],$Q$2,RawData[[Picker ID ]],$Q$3,RawData[Checker ID],$Q$4,RawData[[Error Type ]],$Q$5))</f>
        <v/>
      </c>
    </row>
    <row r="25090" spans="15:15" x14ac:dyDescent="0.25">
      <c r="O25090" s="20" t="str">
        <f>IF(N25090="","",COUNTIFS(RawData[[Date ]],N25090,RawData[Month List],$Q$6,RawData[Tour/Site],$Q$2,RawData[[Picker ID ]],$Q$3,RawData[Checker ID],$Q$4,RawData[[Error Type ]],$Q$5))</f>
        <v/>
      </c>
    </row>
    <row r="25091" spans="15:15" x14ac:dyDescent="0.25">
      <c r="O25091" s="20" t="str">
        <f>IF(N25091="","",COUNTIFS(RawData[[Date ]],N25091,RawData[Month List],$Q$6,RawData[Tour/Site],$Q$2,RawData[[Picker ID ]],$Q$3,RawData[Checker ID],$Q$4,RawData[[Error Type ]],$Q$5))</f>
        <v/>
      </c>
    </row>
    <row r="25092" spans="15:15" x14ac:dyDescent="0.25">
      <c r="O25092" s="20" t="str">
        <f>IF(N25092="","",COUNTIFS(RawData[[Date ]],N25092,RawData[Month List],$Q$6,RawData[Tour/Site],$Q$2,RawData[[Picker ID ]],$Q$3,RawData[Checker ID],$Q$4,RawData[[Error Type ]],$Q$5))</f>
        <v/>
      </c>
    </row>
    <row r="25093" spans="15:15" x14ac:dyDescent="0.25">
      <c r="O25093" s="20" t="str">
        <f>IF(N25093="","",COUNTIFS(RawData[[Date ]],N25093,RawData[Month List],$Q$6,RawData[Tour/Site],$Q$2,RawData[[Picker ID ]],$Q$3,RawData[Checker ID],$Q$4,RawData[[Error Type ]],$Q$5))</f>
        <v/>
      </c>
    </row>
    <row r="25094" spans="15:15" x14ac:dyDescent="0.25">
      <c r="O25094" s="20" t="str">
        <f>IF(N25094="","",COUNTIFS(RawData[[Date ]],N25094,RawData[Month List],$Q$6,RawData[Tour/Site],$Q$2,RawData[[Picker ID ]],$Q$3,RawData[Checker ID],$Q$4,RawData[[Error Type ]],$Q$5))</f>
        <v/>
      </c>
    </row>
    <row r="25095" spans="15:15" x14ac:dyDescent="0.25">
      <c r="O25095" s="20" t="str">
        <f>IF(N25095="","",COUNTIFS(RawData[[Date ]],N25095,RawData[Month List],$Q$6,RawData[Tour/Site],$Q$2,RawData[[Picker ID ]],$Q$3,RawData[Checker ID],$Q$4,RawData[[Error Type ]],$Q$5))</f>
        <v/>
      </c>
    </row>
    <row r="25096" spans="15:15" x14ac:dyDescent="0.25">
      <c r="O25096" s="20" t="str">
        <f>IF(N25096="","",COUNTIFS(RawData[[Date ]],N25096,RawData[Month List],$Q$6,RawData[Tour/Site],$Q$2,RawData[[Picker ID ]],$Q$3,RawData[Checker ID],$Q$4,RawData[[Error Type ]],$Q$5))</f>
        <v/>
      </c>
    </row>
    <row r="25097" spans="15:15" x14ac:dyDescent="0.25">
      <c r="O25097" s="20" t="str">
        <f>IF(N25097="","",COUNTIFS(RawData[[Date ]],N25097,RawData[Month List],$Q$6,RawData[Tour/Site],$Q$2,RawData[[Picker ID ]],$Q$3,RawData[Checker ID],$Q$4,RawData[[Error Type ]],$Q$5))</f>
        <v/>
      </c>
    </row>
    <row r="25098" spans="15:15" x14ac:dyDescent="0.25">
      <c r="O25098" s="20" t="str">
        <f>IF(N25098="","",COUNTIFS(RawData[[Date ]],N25098,RawData[Month List],$Q$6,RawData[Tour/Site],$Q$2,RawData[[Picker ID ]],$Q$3,RawData[Checker ID],$Q$4,RawData[[Error Type ]],$Q$5))</f>
        <v/>
      </c>
    </row>
    <row r="25099" spans="15:15" x14ac:dyDescent="0.25">
      <c r="O25099" s="20" t="str">
        <f>IF(N25099="","",COUNTIFS(RawData[[Date ]],N25099,RawData[Month List],$Q$6,RawData[Tour/Site],$Q$2,RawData[[Picker ID ]],$Q$3,RawData[Checker ID],$Q$4,RawData[[Error Type ]],$Q$5))</f>
        <v/>
      </c>
    </row>
    <row r="25100" spans="15:15" x14ac:dyDescent="0.25">
      <c r="O25100" s="20" t="str">
        <f>IF(N25100="","",COUNTIFS(RawData[[Date ]],N25100,RawData[Month List],$Q$6,RawData[Tour/Site],$Q$2,RawData[[Picker ID ]],$Q$3,RawData[Checker ID],$Q$4,RawData[[Error Type ]],$Q$5))</f>
        <v/>
      </c>
    </row>
    <row r="25101" spans="15:15" x14ac:dyDescent="0.25">
      <c r="O25101" s="20" t="str">
        <f>IF(N25101="","",COUNTIFS(RawData[[Date ]],N25101,RawData[Month List],$Q$6,RawData[Tour/Site],$Q$2,RawData[[Picker ID ]],$Q$3,RawData[Checker ID],$Q$4,RawData[[Error Type ]],$Q$5))</f>
        <v/>
      </c>
    </row>
    <row r="25102" spans="15:15" x14ac:dyDescent="0.25">
      <c r="O25102" s="20" t="str">
        <f>IF(N25102="","",COUNTIFS(RawData[[Date ]],N25102,RawData[Month List],$Q$6,RawData[Tour/Site],$Q$2,RawData[[Picker ID ]],$Q$3,RawData[Checker ID],$Q$4,RawData[[Error Type ]],$Q$5))</f>
        <v/>
      </c>
    </row>
    <row r="25103" spans="15:15" x14ac:dyDescent="0.25">
      <c r="O25103" s="20" t="str">
        <f>IF(N25103="","",COUNTIFS(RawData[[Date ]],N25103,RawData[Month List],$Q$6,RawData[Tour/Site],$Q$2,RawData[[Picker ID ]],$Q$3,RawData[Checker ID],$Q$4,RawData[[Error Type ]],$Q$5))</f>
        <v/>
      </c>
    </row>
    <row r="25104" spans="15:15" x14ac:dyDescent="0.25">
      <c r="O25104" s="20" t="str">
        <f>IF(N25104="","",COUNTIFS(RawData[[Date ]],N25104,RawData[Month List],$Q$6,RawData[Tour/Site],$Q$2,RawData[[Picker ID ]],$Q$3,RawData[Checker ID],$Q$4,RawData[[Error Type ]],$Q$5))</f>
        <v/>
      </c>
    </row>
    <row r="25105" spans="15:15" x14ac:dyDescent="0.25">
      <c r="O25105" s="20" t="str">
        <f>IF(N25105="","",COUNTIFS(RawData[[Date ]],N25105,RawData[Month List],$Q$6,RawData[Tour/Site],$Q$2,RawData[[Picker ID ]],$Q$3,RawData[Checker ID],$Q$4,RawData[[Error Type ]],$Q$5))</f>
        <v/>
      </c>
    </row>
    <row r="25106" spans="15:15" x14ac:dyDescent="0.25">
      <c r="O25106" s="20" t="str">
        <f>IF(N25106="","",COUNTIFS(RawData[[Date ]],N25106,RawData[Month List],$Q$6,RawData[Tour/Site],$Q$2,RawData[[Picker ID ]],$Q$3,RawData[Checker ID],$Q$4,RawData[[Error Type ]],$Q$5))</f>
        <v/>
      </c>
    </row>
    <row r="25107" spans="15:15" x14ac:dyDescent="0.25">
      <c r="O25107" s="20" t="str">
        <f>IF(N25107="","",COUNTIFS(RawData[[Date ]],N25107,RawData[Month List],$Q$6,RawData[Tour/Site],$Q$2,RawData[[Picker ID ]],$Q$3,RawData[Checker ID],$Q$4,RawData[[Error Type ]],$Q$5))</f>
        <v/>
      </c>
    </row>
    <row r="25108" spans="15:15" x14ac:dyDescent="0.25">
      <c r="O25108" s="20" t="str">
        <f>IF(N25108="","",COUNTIFS(RawData[[Date ]],N25108,RawData[Month List],$Q$6,RawData[Tour/Site],$Q$2,RawData[[Picker ID ]],$Q$3,RawData[Checker ID],$Q$4,RawData[[Error Type ]],$Q$5))</f>
        <v/>
      </c>
    </row>
    <row r="25109" spans="15:15" x14ac:dyDescent="0.25">
      <c r="O25109" s="20" t="str">
        <f>IF(N25109="","",COUNTIFS(RawData[[Date ]],N25109,RawData[Month List],$Q$6,RawData[Tour/Site],$Q$2,RawData[[Picker ID ]],$Q$3,RawData[Checker ID],$Q$4,RawData[[Error Type ]],$Q$5))</f>
        <v/>
      </c>
    </row>
    <row r="25110" spans="15:15" x14ac:dyDescent="0.25">
      <c r="O25110" s="20" t="str">
        <f>IF(N25110="","",COUNTIFS(RawData[[Date ]],N25110,RawData[Month List],$Q$6,RawData[Tour/Site],$Q$2,RawData[[Picker ID ]],$Q$3,RawData[Checker ID],$Q$4,RawData[[Error Type ]],$Q$5))</f>
        <v/>
      </c>
    </row>
    <row r="25111" spans="15:15" x14ac:dyDescent="0.25">
      <c r="O25111" s="20" t="str">
        <f>IF(N25111="","",COUNTIFS(RawData[[Date ]],N25111,RawData[Month List],$Q$6,RawData[Tour/Site],$Q$2,RawData[[Picker ID ]],$Q$3,RawData[Checker ID],$Q$4,RawData[[Error Type ]],$Q$5))</f>
        <v/>
      </c>
    </row>
    <row r="25112" spans="15:15" x14ac:dyDescent="0.25">
      <c r="O25112" s="20" t="str">
        <f>IF(N25112="","",COUNTIFS(RawData[[Date ]],N25112,RawData[Month List],$Q$6,RawData[Tour/Site],$Q$2,RawData[[Picker ID ]],$Q$3,RawData[Checker ID],$Q$4,RawData[[Error Type ]],$Q$5))</f>
        <v/>
      </c>
    </row>
    <row r="25113" spans="15:15" x14ac:dyDescent="0.25">
      <c r="O25113" s="20" t="str">
        <f>IF(N25113="","",COUNTIFS(RawData[[Date ]],N25113,RawData[Month List],$Q$6,RawData[Tour/Site],$Q$2,RawData[[Picker ID ]],$Q$3,RawData[Checker ID],$Q$4,RawData[[Error Type ]],$Q$5))</f>
        <v/>
      </c>
    </row>
    <row r="25114" spans="15:15" x14ac:dyDescent="0.25">
      <c r="O25114" s="20" t="str">
        <f>IF(N25114="","",COUNTIFS(RawData[[Date ]],N25114,RawData[Month List],$Q$6,RawData[Tour/Site],$Q$2,RawData[[Picker ID ]],$Q$3,RawData[Checker ID],$Q$4,RawData[[Error Type ]],$Q$5))</f>
        <v/>
      </c>
    </row>
    <row r="25115" spans="15:15" x14ac:dyDescent="0.25">
      <c r="O25115" s="20" t="str">
        <f>IF(N25115="","",COUNTIFS(RawData[[Date ]],N25115,RawData[Month List],$Q$6,RawData[Tour/Site],$Q$2,RawData[[Picker ID ]],$Q$3,RawData[Checker ID],$Q$4,RawData[[Error Type ]],$Q$5))</f>
        <v/>
      </c>
    </row>
    <row r="25116" spans="15:15" x14ac:dyDescent="0.25">
      <c r="O25116" s="20" t="str">
        <f>IF(N25116="","",COUNTIFS(RawData[[Date ]],N25116,RawData[Month List],$Q$6,RawData[Tour/Site],$Q$2,RawData[[Picker ID ]],$Q$3,RawData[Checker ID],$Q$4,RawData[[Error Type ]],$Q$5))</f>
        <v/>
      </c>
    </row>
    <row r="25117" spans="15:15" x14ac:dyDescent="0.25">
      <c r="O25117" s="20" t="str">
        <f>IF(N25117="","",COUNTIFS(RawData[[Date ]],N25117,RawData[Month List],$Q$6,RawData[Tour/Site],$Q$2,RawData[[Picker ID ]],$Q$3,RawData[Checker ID],$Q$4,RawData[[Error Type ]],$Q$5))</f>
        <v/>
      </c>
    </row>
    <row r="25118" spans="15:15" x14ac:dyDescent="0.25">
      <c r="O25118" s="20" t="str">
        <f>IF(N25118="","",COUNTIFS(RawData[[Date ]],N25118,RawData[Month List],$Q$6,RawData[Tour/Site],$Q$2,RawData[[Picker ID ]],$Q$3,RawData[Checker ID],$Q$4,RawData[[Error Type ]],$Q$5))</f>
        <v/>
      </c>
    </row>
    <row r="25119" spans="15:15" x14ac:dyDescent="0.25">
      <c r="O25119" s="20" t="str">
        <f>IF(N25119="","",COUNTIFS(RawData[[Date ]],N25119,RawData[Month List],$Q$6,RawData[Tour/Site],$Q$2,RawData[[Picker ID ]],$Q$3,RawData[Checker ID],$Q$4,RawData[[Error Type ]],$Q$5))</f>
        <v/>
      </c>
    </row>
    <row r="25120" spans="15:15" x14ac:dyDescent="0.25">
      <c r="O25120" s="20" t="str">
        <f>IF(N25120="","",COUNTIFS(RawData[[Date ]],N25120,RawData[Month List],$Q$6,RawData[Tour/Site],$Q$2,RawData[[Picker ID ]],$Q$3,RawData[Checker ID],$Q$4,RawData[[Error Type ]],$Q$5))</f>
        <v/>
      </c>
    </row>
    <row r="25121" spans="15:15" x14ac:dyDescent="0.25">
      <c r="O25121" s="20" t="str">
        <f>IF(N25121="","",COUNTIFS(RawData[[Date ]],N25121,RawData[Month List],$Q$6,RawData[Tour/Site],$Q$2,RawData[[Picker ID ]],$Q$3,RawData[Checker ID],$Q$4,RawData[[Error Type ]],$Q$5))</f>
        <v/>
      </c>
    </row>
    <row r="25122" spans="15:15" x14ac:dyDescent="0.25">
      <c r="O25122" s="20" t="str">
        <f>IF(N25122="","",COUNTIFS(RawData[[Date ]],N25122,RawData[Month List],$Q$6,RawData[Tour/Site],$Q$2,RawData[[Picker ID ]],$Q$3,RawData[Checker ID],$Q$4,RawData[[Error Type ]],$Q$5))</f>
        <v/>
      </c>
    </row>
    <row r="25123" spans="15:15" x14ac:dyDescent="0.25">
      <c r="O25123" s="20" t="str">
        <f>IF(N25123="","",COUNTIFS(RawData[[Date ]],N25123,RawData[Month List],$Q$6,RawData[Tour/Site],$Q$2,RawData[[Picker ID ]],$Q$3,RawData[Checker ID],$Q$4,RawData[[Error Type ]],$Q$5))</f>
        <v/>
      </c>
    </row>
    <row r="25124" spans="15:15" x14ac:dyDescent="0.25">
      <c r="O25124" s="20" t="str">
        <f>IF(N25124="","",COUNTIFS(RawData[[Date ]],N25124,RawData[Month List],$Q$6,RawData[Tour/Site],$Q$2,RawData[[Picker ID ]],$Q$3,RawData[Checker ID],$Q$4,RawData[[Error Type ]],$Q$5))</f>
        <v/>
      </c>
    </row>
    <row r="25125" spans="15:15" x14ac:dyDescent="0.25">
      <c r="O25125" s="20" t="str">
        <f>IF(N25125="","",COUNTIFS(RawData[[Date ]],N25125,RawData[Month List],$Q$6,RawData[Tour/Site],$Q$2,RawData[[Picker ID ]],$Q$3,RawData[Checker ID],$Q$4,RawData[[Error Type ]],$Q$5))</f>
        <v/>
      </c>
    </row>
    <row r="25126" spans="15:15" x14ac:dyDescent="0.25">
      <c r="O25126" s="20" t="str">
        <f>IF(N25126="","",COUNTIFS(RawData[[Date ]],N25126,RawData[Month List],$Q$6,RawData[Tour/Site],$Q$2,RawData[[Picker ID ]],$Q$3,RawData[Checker ID],$Q$4,RawData[[Error Type ]],$Q$5))</f>
        <v/>
      </c>
    </row>
    <row r="25127" spans="15:15" x14ac:dyDescent="0.25">
      <c r="O25127" s="20" t="str">
        <f>IF(N25127="","",COUNTIFS(RawData[[Date ]],N25127,RawData[Month List],$Q$6,RawData[Tour/Site],$Q$2,RawData[[Picker ID ]],$Q$3,RawData[Checker ID],$Q$4,RawData[[Error Type ]],$Q$5))</f>
        <v/>
      </c>
    </row>
    <row r="25128" spans="15:15" x14ac:dyDescent="0.25">
      <c r="O25128" s="20" t="str">
        <f>IF(N25128="","",COUNTIFS(RawData[[Date ]],N25128,RawData[Month List],$Q$6,RawData[Tour/Site],$Q$2,RawData[[Picker ID ]],$Q$3,RawData[Checker ID],$Q$4,RawData[[Error Type ]],$Q$5))</f>
        <v/>
      </c>
    </row>
    <row r="25129" spans="15:15" x14ac:dyDescent="0.25">
      <c r="O25129" s="20" t="str">
        <f>IF(N25129="","",COUNTIFS(RawData[[Date ]],N25129,RawData[Month List],$Q$6,RawData[Tour/Site],$Q$2,RawData[[Picker ID ]],$Q$3,RawData[Checker ID],$Q$4,RawData[[Error Type ]],$Q$5))</f>
        <v/>
      </c>
    </row>
    <row r="25130" spans="15:15" x14ac:dyDescent="0.25">
      <c r="O25130" s="20" t="str">
        <f>IF(N25130="","",COUNTIFS(RawData[[Date ]],N25130,RawData[Month List],$Q$6,RawData[Tour/Site],$Q$2,RawData[[Picker ID ]],$Q$3,RawData[Checker ID],$Q$4,RawData[[Error Type ]],$Q$5))</f>
        <v/>
      </c>
    </row>
    <row r="25131" spans="15:15" x14ac:dyDescent="0.25">
      <c r="O25131" s="20" t="str">
        <f>IF(N25131="","",COUNTIFS(RawData[[Date ]],N25131,RawData[Month List],$Q$6,RawData[Tour/Site],$Q$2,RawData[[Picker ID ]],$Q$3,RawData[Checker ID],$Q$4,RawData[[Error Type ]],$Q$5))</f>
        <v/>
      </c>
    </row>
    <row r="25132" spans="15:15" x14ac:dyDescent="0.25">
      <c r="O25132" s="20" t="str">
        <f>IF(N25132="","",COUNTIFS(RawData[[Date ]],N25132,RawData[Month List],$Q$6,RawData[Tour/Site],$Q$2,RawData[[Picker ID ]],$Q$3,RawData[Checker ID],$Q$4,RawData[[Error Type ]],$Q$5))</f>
        <v/>
      </c>
    </row>
    <row r="25133" spans="15:15" x14ac:dyDescent="0.25">
      <c r="O25133" s="20" t="str">
        <f>IF(N25133="","",COUNTIFS(RawData[[Date ]],N25133,RawData[Month List],$Q$6,RawData[Tour/Site],$Q$2,RawData[[Picker ID ]],$Q$3,RawData[Checker ID],$Q$4,RawData[[Error Type ]],$Q$5))</f>
        <v/>
      </c>
    </row>
    <row r="25134" spans="15:15" x14ac:dyDescent="0.25">
      <c r="O25134" s="20" t="str">
        <f>IF(N25134="","",COUNTIFS(RawData[[Date ]],N25134,RawData[Month List],$Q$6,RawData[Tour/Site],$Q$2,RawData[[Picker ID ]],$Q$3,RawData[Checker ID],$Q$4,RawData[[Error Type ]],$Q$5))</f>
        <v/>
      </c>
    </row>
    <row r="25135" spans="15:15" x14ac:dyDescent="0.25">
      <c r="O25135" s="20" t="str">
        <f>IF(N25135="","",COUNTIFS(RawData[[Date ]],N25135,RawData[Month List],$Q$6,RawData[Tour/Site],$Q$2,RawData[[Picker ID ]],$Q$3,RawData[Checker ID],$Q$4,RawData[[Error Type ]],$Q$5))</f>
        <v/>
      </c>
    </row>
    <row r="25136" spans="15:15" x14ac:dyDescent="0.25">
      <c r="O25136" s="20" t="str">
        <f>IF(N25136="","",COUNTIFS(RawData[[Date ]],N25136,RawData[Month List],$Q$6,RawData[Tour/Site],$Q$2,RawData[[Picker ID ]],$Q$3,RawData[Checker ID],$Q$4,RawData[[Error Type ]],$Q$5))</f>
        <v/>
      </c>
    </row>
    <row r="25137" spans="15:15" x14ac:dyDescent="0.25">
      <c r="O25137" s="20" t="str">
        <f>IF(N25137="","",COUNTIFS(RawData[[Date ]],N25137,RawData[Month List],$Q$6,RawData[Tour/Site],$Q$2,RawData[[Picker ID ]],$Q$3,RawData[Checker ID],$Q$4,RawData[[Error Type ]],$Q$5))</f>
        <v/>
      </c>
    </row>
    <row r="25138" spans="15:15" x14ac:dyDescent="0.25">
      <c r="O25138" s="20" t="str">
        <f>IF(N25138="","",COUNTIFS(RawData[[Date ]],N25138,RawData[Month List],$Q$6,RawData[Tour/Site],$Q$2,RawData[[Picker ID ]],$Q$3,RawData[Checker ID],$Q$4,RawData[[Error Type ]],$Q$5))</f>
        <v/>
      </c>
    </row>
    <row r="25139" spans="15:15" x14ac:dyDescent="0.25">
      <c r="O25139" s="20" t="str">
        <f>IF(N25139="","",COUNTIFS(RawData[[Date ]],N25139,RawData[Month List],$Q$6,RawData[Tour/Site],$Q$2,RawData[[Picker ID ]],$Q$3,RawData[Checker ID],$Q$4,RawData[[Error Type ]],$Q$5))</f>
        <v/>
      </c>
    </row>
    <row r="25140" spans="15:15" x14ac:dyDescent="0.25">
      <c r="O25140" s="20" t="str">
        <f>IF(N25140="","",COUNTIFS(RawData[[Date ]],N25140,RawData[Month List],$Q$6,RawData[Tour/Site],$Q$2,RawData[[Picker ID ]],$Q$3,RawData[Checker ID],$Q$4,RawData[[Error Type ]],$Q$5))</f>
        <v/>
      </c>
    </row>
    <row r="25141" spans="15:15" x14ac:dyDescent="0.25">
      <c r="O25141" s="20" t="str">
        <f>IF(N25141="","",COUNTIFS(RawData[[Date ]],N25141,RawData[Month List],$Q$6,RawData[Tour/Site],$Q$2,RawData[[Picker ID ]],$Q$3,RawData[Checker ID],$Q$4,RawData[[Error Type ]],$Q$5))</f>
        <v/>
      </c>
    </row>
    <row r="25142" spans="15:15" x14ac:dyDescent="0.25">
      <c r="O25142" s="20" t="str">
        <f>IF(N25142="","",COUNTIFS(RawData[[Date ]],N25142,RawData[Month List],$Q$6,RawData[Tour/Site],$Q$2,RawData[[Picker ID ]],$Q$3,RawData[Checker ID],$Q$4,RawData[[Error Type ]],$Q$5))</f>
        <v/>
      </c>
    </row>
    <row r="25143" spans="15:15" x14ac:dyDescent="0.25">
      <c r="O25143" s="20" t="str">
        <f>IF(N25143="","",COUNTIFS(RawData[[Date ]],N25143,RawData[Month List],$Q$6,RawData[Tour/Site],$Q$2,RawData[[Picker ID ]],$Q$3,RawData[Checker ID],$Q$4,RawData[[Error Type ]],$Q$5))</f>
        <v/>
      </c>
    </row>
    <row r="25144" spans="15:15" x14ac:dyDescent="0.25">
      <c r="O25144" s="20" t="str">
        <f>IF(N25144="","",COUNTIFS(RawData[[Date ]],N25144,RawData[Month List],$Q$6,RawData[Tour/Site],$Q$2,RawData[[Picker ID ]],$Q$3,RawData[Checker ID],$Q$4,RawData[[Error Type ]],$Q$5))</f>
        <v/>
      </c>
    </row>
    <row r="25145" spans="15:15" x14ac:dyDescent="0.25">
      <c r="O25145" s="20" t="str">
        <f>IF(N25145="","",COUNTIFS(RawData[[Date ]],N25145,RawData[Month List],$Q$6,RawData[Tour/Site],$Q$2,RawData[[Picker ID ]],$Q$3,RawData[Checker ID],$Q$4,RawData[[Error Type ]],$Q$5))</f>
        <v/>
      </c>
    </row>
    <row r="25146" spans="15:15" x14ac:dyDescent="0.25">
      <c r="O25146" s="20" t="str">
        <f>IF(N25146="","",COUNTIFS(RawData[[Date ]],N25146,RawData[Month List],$Q$6,RawData[Tour/Site],$Q$2,RawData[[Picker ID ]],$Q$3,RawData[Checker ID],$Q$4,RawData[[Error Type ]],$Q$5))</f>
        <v/>
      </c>
    </row>
    <row r="25147" spans="15:15" x14ac:dyDescent="0.25">
      <c r="O25147" s="20" t="str">
        <f>IF(N25147="","",COUNTIFS(RawData[[Date ]],N25147,RawData[Month List],$Q$6,RawData[Tour/Site],$Q$2,RawData[[Picker ID ]],$Q$3,RawData[Checker ID],$Q$4,RawData[[Error Type ]],$Q$5))</f>
        <v/>
      </c>
    </row>
    <row r="25148" spans="15:15" x14ac:dyDescent="0.25">
      <c r="O25148" s="20" t="str">
        <f>IF(N25148="","",COUNTIFS(RawData[[Date ]],N25148,RawData[Month List],$Q$6,RawData[Tour/Site],$Q$2,RawData[[Picker ID ]],$Q$3,RawData[Checker ID],$Q$4,RawData[[Error Type ]],$Q$5))</f>
        <v/>
      </c>
    </row>
    <row r="25149" spans="15:15" x14ac:dyDescent="0.25">
      <c r="O25149" s="20" t="str">
        <f>IF(N25149="","",COUNTIFS(RawData[[Date ]],N25149,RawData[Month List],$Q$6,RawData[Tour/Site],$Q$2,RawData[[Picker ID ]],$Q$3,RawData[Checker ID],$Q$4,RawData[[Error Type ]],$Q$5))</f>
        <v/>
      </c>
    </row>
    <row r="25150" spans="15:15" x14ac:dyDescent="0.25">
      <c r="O25150" s="20" t="str">
        <f>IF(N25150="","",COUNTIFS(RawData[[Date ]],N25150,RawData[Month List],$Q$6,RawData[Tour/Site],$Q$2,RawData[[Picker ID ]],$Q$3,RawData[Checker ID],$Q$4,RawData[[Error Type ]],$Q$5))</f>
        <v/>
      </c>
    </row>
    <row r="25151" spans="15:15" x14ac:dyDescent="0.25">
      <c r="O25151" s="20" t="str">
        <f>IF(N25151="","",COUNTIFS(RawData[[Date ]],N25151,RawData[Month List],$Q$6,RawData[Tour/Site],$Q$2,RawData[[Picker ID ]],$Q$3,RawData[Checker ID],$Q$4,RawData[[Error Type ]],$Q$5))</f>
        <v/>
      </c>
    </row>
    <row r="25152" spans="15:15" x14ac:dyDescent="0.25">
      <c r="O25152" s="20" t="str">
        <f>IF(N25152="","",COUNTIFS(RawData[[Date ]],N25152,RawData[Month List],$Q$6,RawData[Tour/Site],$Q$2,RawData[[Picker ID ]],$Q$3,RawData[Checker ID],$Q$4,RawData[[Error Type ]],$Q$5))</f>
        <v/>
      </c>
    </row>
    <row r="25153" spans="15:15" x14ac:dyDescent="0.25">
      <c r="O25153" s="20" t="str">
        <f>IF(N25153="","",COUNTIFS(RawData[[Date ]],N25153,RawData[Month List],$Q$6,RawData[Tour/Site],$Q$2,RawData[[Picker ID ]],$Q$3,RawData[Checker ID],$Q$4,RawData[[Error Type ]],$Q$5))</f>
        <v/>
      </c>
    </row>
    <row r="25154" spans="15:15" x14ac:dyDescent="0.25">
      <c r="O25154" s="20" t="str">
        <f>IF(N25154="","",COUNTIFS(RawData[[Date ]],N25154,RawData[Month List],$Q$6,RawData[Tour/Site],$Q$2,RawData[[Picker ID ]],$Q$3,RawData[Checker ID],$Q$4,RawData[[Error Type ]],$Q$5))</f>
        <v/>
      </c>
    </row>
    <row r="25155" spans="15:15" x14ac:dyDescent="0.25">
      <c r="O25155" s="20" t="str">
        <f>IF(N25155="","",COUNTIFS(RawData[[Date ]],N25155,RawData[Month List],$Q$6,RawData[Tour/Site],$Q$2,RawData[[Picker ID ]],$Q$3,RawData[Checker ID],$Q$4,RawData[[Error Type ]],$Q$5))</f>
        <v/>
      </c>
    </row>
    <row r="25156" spans="15:15" x14ac:dyDescent="0.25">
      <c r="O25156" s="20" t="str">
        <f>IF(N25156="","",COUNTIFS(RawData[[Date ]],N25156,RawData[Month List],$Q$6,RawData[Tour/Site],$Q$2,RawData[[Picker ID ]],$Q$3,RawData[Checker ID],$Q$4,RawData[[Error Type ]],$Q$5))</f>
        <v/>
      </c>
    </row>
    <row r="25157" spans="15:15" x14ac:dyDescent="0.25">
      <c r="O25157" s="20" t="str">
        <f>IF(N25157="","",COUNTIFS(RawData[[Date ]],N25157,RawData[Month List],$Q$6,RawData[Tour/Site],$Q$2,RawData[[Picker ID ]],$Q$3,RawData[Checker ID],$Q$4,RawData[[Error Type ]],$Q$5))</f>
        <v/>
      </c>
    </row>
    <row r="25158" spans="15:15" x14ac:dyDescent="0.25">
      <c r="O25158" s="20" t="str">
        <f>IF(N25158="","",COUNTIFS(RawData[[Date ]],N25158,RawData[Month List],$Q$6,RawData[Tour/Site],$Q$2,RawData[[Picker ID ]],$Q$3,RawData[Checker ID],$Q$4,RawData[[Error Type ]],$Q$5))</f>
        <v/>
      </c>
    </row>
    <row r="25159" spans="15:15" x14ac:dyDescent="0.25">
      <c r="O25159" s="20" t="str">
        <f>IF(N25159="","",COUNTIFS(RawData[[Date ]],N25159,RawData[Month List],$Q$6,RawData[Tour/Site],$Q$2,RawData[[Picker ID ]],$Q$3,RawData[Checker ID],$Q$4,RawData[[Error Type ]],$Q$5))</f>
        <v/>
      </c>
    </row>
    <row r="25160" spans="15:15" x14ac:dyDescent="0.25">
      <c r="O25160" s="20" t="str">
        <f>IF(N25160="","",COUNTIFS(RawData[[Date ]],N25160,RawData[Month List],$Q$6,RawData[Tour/Site],$Q$2,RawData[[Picker ID ]],$Q$3,RawData[Checker ID],$Q$4,RawData[[Error Type ]],$Q$5))</f>
        <v/>
      </c>
    </row>
    <row r="25161" spans="15:15" x14ac:dyDescent="0.25">
      <c r="O25161" s="20" t="str">
        <f>IF(N25161="","",COUNTIFS(RawData[[Date ]],N25161,RawData[Month List],$Q$6,RawData[Tour/Site],$Q$2,RawData[[Picker ID ]],$Q$3,RawData[Checker ID],$Q$4,RawData[[Error Type ]],$Q$5))</f>
        <v/>
      </c>
    </row>
    <row r="25162" spans="15:15" x14ac:dyDescent="0.25">
      <c r="O25162" s="20" t="str">
        <f>IF(N25162="","",COUNTIFS(RawData[[Date ]],N25162,RawData[Month List],$Q$6,RawData[Tour/Site],$Q$2,RawData[[Picker ID ]],$Q$3,RawData[Checker ID],$Q$4,RawData[[Error Type ]],$Q$5))</f>
        <v/>
      </c>
    </row>
    <row r="25163" spans="15:15" x14ac:dyDescent="0.25">
      <c r="O25163" s="20" t="str">
        <f>IF(N25163="","",COUNTIFS(RawData[[Date ]],N25163,RawData[Month List],$Q$6,RawData[Tour/Site],$Q$2,RawData[[Picker ID ]],$Q$3,RawData[Checker ID],$Q$4,RawData[[Error Type ]],$Q$5))</f>
        <v/>
      </c>
    </row>
    <row r="25164" spans="15:15" x14ac:dyDescent="0.25">
      <c r="O25164" s="20" t="str">
        <f>IF(N25164="","",COUNTIFS(RawData[[Date ]],N25164,RawData[Month List],$Q$6,RawData[Tour/Site],$Q$2,RawData[[Picker ID ]],$Q$3,RawData[Checker ID],$Q$4,RawData[[Error Type ]],$Q$5))</f>
        <v/>
      </c>
    </row>
    <row r="25165" spans="15:15" x14ac:dyDescent="0.25">
      <c r="O25165" s="20" t="str">
        <f>IF(N25165="","",COUNTIFS(RawData[[Date ]],N25165,RawData[Month List],$Q$6,RawData[Tour/Site],$Q$2,RawData[[Picker ID ]],$Q$3,RawData[Checker ID],$Q$4,RawData[[Error Type ]],$Q$5))</f>
        <v/>
      </c>
    </row>
    <row r="25166" spans="15:15" x14ac:dyDescent="0.25">
      <c r="O25166" s="20" t="str">
        <f>IF(N25166="","",COUNTIFS(RawData[[Date ]],N25166,RawData[Month List],$Q$6,RawData[Tour/Site],$Q$2,RawData[[Picker ID ]],$Q$3,RawData[Checker ID],$Q$4,RawData[[Error Type ]],$Q$5))</f>
        <v/>
      </c>
    </row>
    <row r="25167" spans="15:15" x14ac:dyDescent="0.25">
      <c r="O25167" s="20" t="str">
        <f>IF(N25167="","",COUNTIFS(RawData[[Date ]],N25167,RawData[Month List],$Q$6,RawData[Tour/Site],$Q$2,RawData[[Picker ID ]],$Q$3,RawData[Checker ID],$Q$4,RawData[[Error Type ]],$Q$5))</f>
        <v/>
      </c>
    </row>
    <row r="25168" spans="15:15" x14ac:dyDescent="0.25">
      <c r="O25168" s="20" t="str">
        <f>IF(N25168="","",COUNTIFS(RawData[[Date ]],N25168,RawData[Month List],$Q$6,RawData[Tour/Site],$Q$2,RawData[[Picker ID ]],$Q$3,RawData[Checker ID],$Q$4,RawData[[Error Type ]],$Q$5))</f>
        <v/>
      </c>
    </row>
    <row r="25169" spans="15:15" x14ac:dyDescent="0.25">
      <c r="O25169" s="20" t="str">
        <f>IF(N25169="","",COUNTIFS(RawData[[Date ]],N25169,RawData[Month List],$Q$6,RawData[Tour/Site],$Q$2,RawData[[Picker ID ]],$Q$3,RawData[Checker ID],$Q$4,RawData[[Error Type ]],$Q$5))</f>
        <v/>
      </c>
    </row>
    <row r="25170" spans="15:15" x14ac:dyDescent="0.25">
      <c r="O25170" s="20" t="str">
        <f>IF(N25170="","",COUNTIFS(RawData[[Date ]],N25170,RawData[Month List],$Q$6,RawData[Tour/Site],$Q$2,RawData[[Picker ID ]],$Q$3,RawData[Checker ID],$Q$4,RawData[[Error Type ]],$Q$5))</f>
        <v/>
      </c>
    </row>
    <row r="25171" spans="15:15" x14ac:dyDescent="0.25">
      <c r="O25171" s="20" t="str">
        <f>IF(N25171="","",COUNTIFS(RawData[[Date ]],N25171,RawData[Month List],$Q$6,RawData[Tour/Site],$Q$2,RawData[[Picker ID ]],$Q$3,RawData[Checker ID],$Q$4,RawData[[Error Type ]],$Q$5))</f>
        <v/>
      </c>
    </row>
    <row r="25172" spans="15:15" x14ac:dyDescent="0.25">
      <c r="O25172" s="20" t="str">
        <f>IF(N25172="","",COUNTIFS(RawData[[Date ]],N25172,RawData[Month List],$Q$6,RawData[Tour/Site],$Q$2,RawData[[Picker ID ]],$Q$3,RawData[Checker ID],$Q$4,RawData[[Error Type ]],$Q$5))</f>
        <v/>
      </c>
    </row>
    <row r="25173" spans="15:15" x14ac:dyDescent="0.25">
      <c r="O25173" s="20" t="str">
        <f>IF(N25173="","",COUNTIFS(RawData[[Date ]],N25173,RawData[Month List],$Q$6,RawData[Tour/Site],$Q$2,RawData[[Picker ID ]],$Q$3,RawData[Checker ID],$Q$4,RawData[[Error Type ]],$Q$5))</f>
        <v/>
      </c>
    </row>
    <row r="25174" spans="15:15" x14ac:dyDescent="0.25">
      <c r="O25174" s="20" t="str">
        <f>IF(N25174="","",COUNTIFS(RawData[[Date ]],N25174,RawData[Month List],$Q$6,RawData[Tour/Site],$Q$2,RawData[[Picker ID ]],$Q$3,RawData[Checker ID],$Q$4,RawData[[Error Type ]],$Q$5))</f>
        <v/>
      </c>
    </row>
    <row r="25175" spans="15:15" x14ac:dyDescent="0.25">
      <c r="O25175" s="20" t="str">
        <f>IF(N25175="","",COUNTIFS(RawData[[Date ]],N25175,RawData[Month List],$Q$6,RawData[Tour/Site],$Q$2,RawData[[Picker ID ]],$Q$3,RawData[Checker ID],$Q$4,RawData[[Error Type ]],$Q$5))</f>
        <v/>
      </c>
    </row>
    <row r="25176" spans="15:15" x14ac:dyDescent="0.25">
      <c r="O25176" s="20" t="str">
        <f>IF(N25176="","",COUNTIFS(RawData[[Date ]],N25176,RawData[Month List],$Q$6,RawData[Tour/Site],$Q$2,RawData[[Picker ID ]],$Q$3,RawData[Checker ID],$Q$4,RawData[[Error Type ]],$Q$5))</f>
        <v/>
      </c>
    </row>
    <row r="25177" spans="15:15" x14ac:dyDescent="0.25">
      <c r="O25177" s="20" t="str">
        <f>IF(N25177="","",COUNTIFS(RawData[[Date ]],N25177,RawData[Month List],$Q$6,RawData[Tour/Site],$Q$2,RawData[[Picker ID ]],$Q$3,RawData[Checker ID],$Q$4,RawData[[Error Type ]],$Q$5))</f>
        <v/>
      </c>
    </row>
    <row r="25178" spans="15:15" x14ac:dyDescent="0.25">
      <c r="O25178" s="20" t="str">
        <f>IF(N25178="","",COUNTIFS(RawData[[Date ]],N25178,RawData[Month List],$Q$6,RawData[Tour/Site],$Q$2,RawData[[Picker ID ]],$Q$3,RawData[Checker ID],$Q$4,RawData[[Error Type ]],$Q$5))</f>
        <v/>
      </c>
    </row>
    <row r="25179" spans="15:15" x14ac:dyDescent="0.25">
      <c r="O25179" s="20" t="str">
        <f>IF(N25179="","",COUNTIFS(RawData[[Date ]],N25179,RawData[Month List],$Q$6,RawData[Tour/Site],$Q$2,RawData[[Picker ID ]],$Q$3,RawData[Checker ID],$Q$4,RawData[[Error Type ]],$Q$5))</f>
        <v/>
      </c>
    </row>
    <row r="25180" spans="15:15" x14ac:dyDescent="0.25">
      <c r="O25180" s="20" t="str">
        <f>IF(N25180="","",COUNTIFS(RawData[[Date ]],N25180,RawData[Month List],$Q$6,RawData[Tour/Site],$Q$2,RawData[[Picker ID ]],$Q$3,RawData[Checker ID],$Q$4,RawData[[Error Type ]],$Q$5))</f>
        <v/>
      </c>
    </row>
    <row r="25181" spans="15:15" x14ac:dyDescent="0.25">
      <c r="O25181" s="20" t="str">
        <f>IF(N25181="","",COUNTIFS(RawData[[Date ]],N25181,RawData[Month List],$Q$6,RawData[Tour/Site],$Q$2,RawData[[Picker ID ]],$Q$3,RawData[Checker ID],$Q$4,RawData[[Error Type ]],$Q$5))</f>
        <v/>
      </c>
    </row>
    <row r="25182" spans="15:15" x14ac:dyDescent="0.25">
      <c r="O25182" s="20" t="str">
        <f>IF(N25182="","",COUNTIFS(RawData[[Date ]],N25182,RawData[Month List],$Q$6,RawData[Tour/Site],$Q$2,RawData[[Picker ID ]],$Q$3,RawData[Checker ID],$Q$4,RawData[[Error Type ]],$Q$5))</f>
        <v/>
      </c>
    </row>
    <row r="25183" spans="15:15" x14ac:dyDescent="0.25">
      <c r="O25183" s="20" t="str">
        <f>IF(N25183="","",COUNTIFS(RawData[[Date ]],N25183,RawData[Month List],$Q$6,RawData[Tour/Site],$Q$2,RawData[[Picker ID ]],$Q$3,RawData[Checker ID],$Q$4,RawData[[Error Type ]],$Q$5))</f>
        <v/>
      </c>
    </row>
    <row r="25184" spans="15:15" x14ac:dyDescent="0.25">
      <c r="O25184" s="20" t="str">
        <f>IF(N25184="","",COUNTIFS(RawData[[Date ]],N25184,RawData[Month List],$Q$6,RawData[Tour/Site],$Q$2,RawData[[Picker ID ]],$Q$3,RawData[Checker ID],$Q$4,RawData[[Error Type ]],$Q$5))</f>
        <v/>
      </c>
    </row>
    <row r="25185" spans="15:15" x14ac:dyDescent="0.25">
      <c r="O25185" s="20" t="str">
        <f>IF(N25185="","",COUNTIFS(RawData[[Date ]],N25185,RawData[Month List],$Q$6,RawData[Tour/Site],$Q$2,RawData[[Picker ID ]],$Q$3,RawData[Checker ID],$Q$4,RawData[[Error Type ]],$Q$5))</f>
        <v/>
      </c>
    </row>
    <row r="25186" spans="15:15" x14ac:dyDescent="0.25">
      <c r="O25186" s="20" t="str">
        <f>IF(N25186="","",COUNTIFS(RawData[[Date ]],N25186,RawData[Month List],$Q$6,RawData[Tour/Site],$Q$2,RawData[[Picker ID ]],$Q$3,RawData[Checker ID],$Q$4,RawData[[Error Type ]],$Q$5))</f>
        <v/>
      </c>
    </row>
    <row r="25187" spans="15:15" x14ac:dyDescent="0.25">
      <c r="O25187" s="20" t="str">
        <f>IF(N25187="","",COUNTIFS(RawData[[Date ]],N25187,RawData[Month List],$Q$6,RawData[Tour/Site],$Q$2,RawData[[Picker ID ]],$Q$3,RawData[Checker ID],$Q$4,RawData[[Error Type ]],$Q$5))</f>
        <v/>
      </c>
    </row>
    <row r="25188" spans="15:15" x14ac:dyDescent="0.25">
      <c r="O25188" s="20" t="str">
        <f>IF(N25188="","",COUNTIFS(RawData[[Date ]],N25188,RawData[Month List],$Q$6,RawData[Tour/Site],$Q$2,RawData[[Picker ID ]],$Q$3,RawData[Checker ID],$Q$4,RawData[[Error Type ]],$Q$5))</f>
        <v/>
      </c>
    </row>
    <row r="25189" spans="15:15" x14ac:dyDescent="0.25">
      <c r="O25189" s="20" t="str">
        <f>IF(N25189="","",COUNTIFS(RawData[[Date ]],N25189,RawData[Month List],$Q$6,RawData[Tour/Site],$Q$2,RawData[[Picker ID ]],$Q$3,RawData[Checker ID],$Q$4,RawData[[Error Type ]],$Q$5))</f>
        <v/>
      </c>
    </row>
    <row r="25190" spans="15:15" x14ac:dyDescent="0.25">
      <c r="O25190" s="20" t="str">
        <f>IF(N25190="","",COUNTIFS(RawData[[Date ]],N25190,RawData[Month List],$Q$6,RawData[Tour/Site],$Q$2,RawData[[Picker ID ]],$Q$3,RawData[Checker ID],$Q$4,RawData[[Error Type ]],$Q$5))</f>
        <v/>
      </c>
    </row>
    <row r="25191" spans="15:15" x14ac:dyDescent="0.25">
      <c r="O25191" s="20" t="str">
        <f>IF(N25191="","",COUNTIFS(RawData[[Date ]],N25191,RawData[Month List],$Q$6,RawData[Tour/Site],$Q$2,RawData[[Picker ID ]],$Q$3,RawData[Checker ID],$Q$4,RawData[[Error Type ]],$Q$5))</f>
        <v/>
      </c>
    </row>
    <row r="25192" spans="15:15" x14ac:dyDescent="0.25">
      <c r="O25192" s="20" t="str">
        <f>IF(N25192="","",COUNTIFS(RawData[[Date ]],N25192,RawData[Month List],$Q$6,RawData[Tour/Site],$Q$2,RawData[[Picker ID ]],$Q$3,RawData[Checker ID],$Q$4,RawData[[Error Type ]],$Q$5))</f>
        <v/>
      </c>
    </row>
    <row r="25193" spans="15:15" x14ac:dyDescent="0.25">
      <c r="O25193" s="20" t="str">
        <f>IF(N25193="","",COUNTIFS(RawData[[Date ]],N25193,RawData[Month List],$Q$6,RawData[Tour/Site],$Q$2,RawData[[Picker ID ]],$Q$3,RawData[Checker ID],$Q$4,RawData[[Error Type ]],$Q$5))</f>
        <v/>
      </c>
    </row>
    <row r="25194" spans="15:15" x14ac:dyDescent="0.25">
      <c r="O25194" s="20" t="str">
        <f>IF(N25194="","",COUNTIFS(RawData[[Date ]],N25194,RawData[Month List],$Q$6,RawData[Tour/Site],$Q$2,RawData[[Picker ID ]],$Q$3,RawData[Checker ID],$Q$4,RawData[[Error Type ]],$Q$5))</f>
        <v/>
      </c>
    </row>
    <row r="25195" spans="15:15" x14ac:dyDescent="0.25">
      <c r="O25195" s="20" t="str">
        <f>IF(N25195="","",COUNTIFS(RawData[[Date ]],N25195,RawData[Month List],$Q$6,RawData[Tour/Site],$Q$2,RawData[[Picker ID ]],$Q$3,RawData[Checker ID],$Q$4,RawData[[Error Type ]],$Q$5))</f>
        <v/>
      </c>
    </row>
    <row r="25196" spans="15:15" x14ac:dyDescent="0.25">
      <c r="O25196" s="20" t="str">
        <f>IF(N25196="","",COUNTIFS(RawData[[Date ]],N25196,RawData[Month List],$Q$6,RawData[Tour/Site],$Q$2,RawData[[Picker ID ]],$Q$3,RawData[Checker ID],$Q$4,RawData[[Error Type ]],$Q$5))</f>
        <v/>
      </c>
    </row>
    <row r="25197" spans="15:15" x14ac:dyDescent="0.25">
      <c r="O25197" s="20" t="str">
        <f>IF(N25197="","",COUNTIFS(RawData[[Date ]],N25197,RawData[Month List],$Q$6,RawData[Tour/Site],$Q$2,RawData[[Picker ID ]],$Q$3,RawData[Checker ID],$Q$4,RawData[[Error Type ]],$Q$5))</f>
        <v/>
      </c>
    </row>
    <row r="25198" spans="15:15" x14ac:dyDescent="0.25">
      <c r="O25198" s="20" t="str">
        <f>IF(N25198="","",COUNTIFS(RawData[[Date ]],N25198,RawData[Month List],$Q$6,RawData[Tour/Site],$Q$2,RawData[[Picker ID ]],$Q$3,RawData[Checker ID],$Q$4,RawData[[Error Type ]],$Q$5))</f>
        <v/>
      </c>
    </row>
    <row r="25199" spans="15:15" x14ac:dyDescent="0.25">
      <c r="O25199" s="20" t="str">
        <f>IF(N25199="","",COUNTIFS(RawData[[Date ]],N25199,RawData[Month List],$Q$6,RawData[Tour/Site],$Q$2,RawData[[Picker ID ]],$Q$3,RawData[Checker ID],$Q$4,RawData[[Error Type ]],$Q$5))</f>
        <v/>
      </c>
    </row>
    <row r="25200" spans="15:15" x14ac:dyDescent="0.25">
      <c r="O25200" s="20" t="str">
        <f>IF(N25200="","",COUNTIFS(RawData[[Date ]],N25200,RawData[Month List],$Q$6,RawData[Tour/Site],$Q$2,RawData[[Picker ID ]],$Q$3,RawData[Checker ID],$Q$4,RawData[[Error Type ]],$Q$5))</f>
        <v/>
      </c>
    </row>
    <row r="25201" spans="15:15" x14ac:dyDescent="0.25">
      <c r="O25201" s="20" t="str">
        <f>IF(N25201="","",COUNTIFS(RawData[[Date ]],N25201,RawData[Month List],$Q$6,RawData[Tour/Site],$Q$2,RawData[[Picker ID ]],$Q$3,RawData[Checker ID],$Q$4,RawData[[Error Type ]],$Q$5))</f>
        <v/>
      </c>
    </row>
    <row r="25202" spans="15:15" x14ac:dyDescent="0.25">
      <c r="O25202" s="20" t="str">
        <f>IF(N25202="","",COUNTIFS(RawData[[Date ]],N25202,RawData[Month List],$Q$6,RawData[Tour/Site],$Q$2,RawData[[Picker ID ]],$Q$3,RawData[Checker ID],$Q$4,RawData[[Error Type ]],$Q$5))</f>
        <v/>
      </c>
    </row>
    <row r="25203" spans="15:15" x14ac:dyDescent="0.25">
      <c r="O25203" s="20" t="str">
        <f>IF(N25203="","",COUNTIFS(RawData[[Date ]],N25203,RawData[Month List],$Q$6,RawData[Tour/Site],$Q$2,RawData[[Picker ID ]],$Q$3,RawData[Checker ID],$Q$4,RawData[[Error Type ]],$Q$5))</f>
        <v/>
      </c>
    </row>
    <row r="25204" spans="15:15" x14ac:dyDescent="0.25">
      <c r="O25204" s="20" t="str">
        <f>IF(N25204="","",COUNTIFS(RawData[[Date ]],N25204,RawData[Month List],$Q$6,RawData[Tour/Site],$Q$2,RawData[[Picker ID ]],$Q$3,RawData[Checker ID],$Q$4,RawData[[Error Type ]],$Q$5))</f>
        <v/>
      </c>
    </row>
    <row r="25205" spans="15:15" x14ac:dyDescent="0.25">
      <c r="O25205" s="20" t="str">
        <f>IF(N25205="","",COUNTIFS(RawData[[Date ]],N25205,RawData[Month List],$Q$6,RawData[Tour/Site],$Q$2,RawData[[Picker ID ]],$Q$3,RawData[Checker ID],$Q$4,RawData[[Error Type ]],$Q$5))</f>
        <v/>
      </c>
    </row>
    <row r="25206" spans="15:15" x14ac:dyDescent="0.25">
      <c r="O25206" s="20" t="str">
        <f>IF(N25206="","",COUNTIFS(RawData[[Date ]],N25206,RawData[Month List],$Q$6,RawData[Tour/Site],$Q$2,RawData[[Picker ID ]],$Q$3,RawData[Checker ID],$Q$4,RawData[[Error Type ]],$Q$5))</f>
        <v/>
      </c>
    </row>
    <row r="25207" spans="15:15" x14ac:dyDescent="0.25">
      <c r="O25207" s="20" t="str">
        <f>IF(N25207="","",COUNTIFS(RawData[[Date ]],N25207,RawData[Month List],$Q$6,RawData[Tour/Site],$Q$2,RawData[[Picker ID ]],$Q$3,RawData[Checker ID],$Q$4,RawData[[Error Type ]],$Q$5))</f>
        <v/>
      </c>
    </row>
    <row r="25208" spans="15:15" x14ac:dyDescent="0.25">
      <c r="O25208" s="20" t="str">
        <f>IF(N25208="","",COUNTIFS(RawData[[Date ]],N25208,RawData[Month List],$Q$6,RawData[Tour/Site],$Q$2,RawData[[Picker ID ]],$Q$3,RawData[Checker ID],$Q$4,RawData[[Error Type ]],$Q$5))</f>
        <v/>
      </c>
    </row>
    <row r="25209" spans="15:15" x14ac:dyDescent="0.25">
      <c r="O25209" s="20" t="str">
        <f>IF(N25209="","",COUNTIFS(RawData[[Date ]],N25209,RawData[Month List],$Q$6,RawData[Tour/Site],$Q$2,RawData[[Picker ID ]],$Q$3,RawData[Checker ID],$Q$4,RawData[[Error Type ]],$Q$5))</f>
        <v/>
      </c>
    </row>
    <row r="25210" spans="15:15" x14ac:dyDescent="0.25">
      <c r="O25210" s="20" t="str">
        <f>IF(N25210="","",COUNTIFS(RawData[[Date ]],N25210,RawData[Month List],$Q$6,RawData[Tour/Site],$Q$2,RawData[[Picker ID ]],$Q$3,RawData[Checker ID],$Q$4,RawData[[Error Type ]],$Q$5))</f>
        <v/>
      </c>
    </row>
    <row r="25211" spans="15:15" x14ac:dyDescent="0.25">
      <c r="O25211" s="20" t="str">
        <f>IF(N25211="","",COUNTIFS(RawData[[Date ]],N25211,RawData[Month List],$Q$6,RawData[Tour/Site],$Q$2,RawData[[Picker ID ]],$Q$3,RawData[Checker ID],$Q$4,RawData[[Error Type ]],$Q$5))</f>
        <v/>
      </c>
    </row>
    <row r="25212" spans="15:15" x14ac:dyDescent="0.25">
      <c r="O25212" s="20" t="str">
        <f>IF(N25212="","",COUNTIFS(RawData[[Date ]],N25212,RawData[Month List],$Q$6,RawData[Tour/Site],$Q$2,RawData[[Picker ID ]],$Q$3,RawData[Checker ID],$Q$4,RawData[[Error Type ]],$Q$5))</f>
        <v/>
      </c>
    </row>
    <row r="25213" spans="15:15" x14ac:dyDescent="0.25">
      <c r="O25213" s="20" t="str">
        <f>IF(N25213="","",COUNTIFS(RawData[[Date ]],N25213,RawData[Month List],$Q$6,RawData[Tour/Site],$Q$2,RawData[[Picker ID ]],$Q$3,RawData[Checker ID],$Q$4,RawData[[Error Type ]],$Q$5))</f>
        <v/>
      </c>
    </row>
    <row r="25214" spans="15:15" x14ac:dyDescent="0.25">
      <c r="O25214" s="20" t="str">
        <f>IF(N25214="","",COUNTIFS(RawData[[Date ]],N25214,RawData[Month List],$Q$6,RawData[Tour/Site],$Q$2,RawData[[Picker ID ]],$Q$3,RawData[Checker ID],$Q$4,RawData[[Error Type ]],$Q$5))</f>
        <v/>
      </c>
    </row>
    <row r="25215" spans="15:15" x14ac:dyDescent="0.25">
      <c r="O25215" s="20" t="str">
        <f>IF(N25215="","",COUNTIFS(RawData[[Date ]],N25215,RawData[Month List],$Q$6,RawData[Tour/Site],$Q$2,RawData[[Picker ID ]],$Q$3,RawData[Checker ID],$Q$4,RawData[[Error Type ]],$Q$5))</f>
        <v/>
      </c>
    </row>
    <row r="25216" spans="15:15" x14ac:dyDescent="0.25">
      <c r="O25216" s="20" t="str">
        <f>IF(N25216="","",COUNTIFS(RawData[[Date ]],N25216,RawData[Month List],$Q$6,RawData[Tour/Site],$Q$2,RawData[[Picker ID ]],$Q$3,RawData[Checker ID],$Q$4,RawData[[Error Type ]],$Q$5))</f>
        <v/>
      </c>
    </row>
    <row r="25217" spans="15:15" x14ac:dyDescent="0.25">
      <c r="O25217" s="20" t="str">
        <f>IF(N25217="","",COUNTIFS(RawData[[Date ]],N25217,RawData[Month List],$Q$6,RawData[Tour/Site],$Q$2,RawData[[Picker ID ]],$Q$3,RawData[Checker ID],$Q$4,RawData[[Error Type ]],$Q$5))</f>
        <v/>
      </c>
    </row>
    <row r="25218" spans="15:15" x14ac:dyDescent="0.25">
      <c r="O25218" s="20" t="str">
        <f>IF(N25218="","",COUNTIFS(RawData[[Date ]],N25218,RawData[Month List],$Q$6,RawData[Tour/Site],$Q$2,RawData[[Picker ID ]],$Q$3,RawData[Checker ID],$Q$4,RawData[[Error Type ]],$Q$5))</f>
        <v/>
      </c>
    </row>
    <row r="25219" spans="15:15" x14ac:dyDescent="0.25">
      <c r="O25219" s="20" t="str">
        <f>IF(N25219="","",COUNTIFS(RawData[[Date ]],N25219,RawData[Month List],$Q$6,RawData[Tour/Site],$Q$2,RawData[[Picker ID ]],$Q$3,RawData[Checker ID],$Q$4,RawData[[Error Type ]],$Q$5))</f>
        <v/>
      </c>
    </row>
    <row r="25220" spans="15:15" x14ac:dyDescent="0.25">
      <c r="O25220" s="20" t="str">
        <f>IF(N25220="","",COUNTIFS(RawData[[Date ]],N25220,RawData[Month List],$Q$6,RawData[Tour/Site],$Q$2,RawData[[Picker ID ]],$Q$3,RawData[Checker ID],$Q$4,RawData[[Error Type ]],$Q$5))</f>
        <v/>
      </c>
    </row>
    <row r="25221" spans="15:15" x14ac:dyDescent="0.25">
      <c r="O25221" s="20" t="str">
        <f>IF(N25221="","",COUNTIFS(RawData[[Date ]],N25221,RawData[Month List],$Q$6,RawData[Tour/Site],$Q$2,RawData[[Picker ID ]],$Q$3,RawData[Checker ID],$Q$4,RawData[[Error Type ]],$Q$5))</f>
        <v/>
      </c>
    </row>
    <row r="25222" spans="15:15" x14ac:dyDescent="0.25">
      <c r="O25222" s="20" t="str">
        <f>IF(N25222="","",COUNTIFS(RawData[[Date ]],N25222,RawData[Month List],$Q$6,RawData[Tour/Site],$Q$2,RawData[[Picker ID ]],$Q$3,RawData[Checker ID],$Q$4,RawData[[Error Type ]],$Q$5))</f>
        <v/>
      </c>
    </row>
    <row r="25223" spans="15:15" x14ac:dyDescent="0.25">
      <c r="O25223" s="20" t="str">
        <f>IF(N25223="","",COUNTIFS(RawData[[Date ]],N25223,RawData[Month List],$Q$6,RawData[Tour/Site],$Q$2,RawData[[Picker ID ]],$Q$3,RawData[Checker ID],$Q$4,RawData[[Error Type ]],$Q$5))</f>
        <v/>
      </c>
    </row>
    <row r="25224" spans="15:15" x14ac:dyDescent="0.25">
      <c r="O25224" s="20" t="str">
        <f>IF(N25224="","",COUNTIFS(RawData[[Date ]],N25224,RawData[Month List],$Q$6,RawData[Tour/Site],$Q$2,RawData[[Picker ID ]],$Q$3,RawData[Checker ID],$Q$4,RawData[[Error Type ]],$Q$5))</f>
        <v/>
      </c>
    </row>
    <row r="25225" spans="15:15" x14ac:dyDescent="0.25">
      <c r="O25225" s="20" t="str">
        <f>IF(N25225="","",COUNTIFS(RawData[[Date ]],N25225,RawData[Month List],$Q$6,RawData[Tour/Site],$Q$2,RawData[[Picker ID ]],$Q$3,RawData[Checker ID],$Q$4,RawData[[Error Type ]],$Q$5))</f>
        <v/>
      </c>
    </row>
    <row r="25226" spans="15:15" x14ac:dyDescent="0.25">
      <c r="O25226" s="20" t="str">
        <f>IF(N25226="","",COUNTIFS(RawData[[Date ]],N25226,RawData[Month List],$Q$6,RawData[Tour/Site],$Q$2,RawData[[Picker ID ]],$Q$3,RawData[Checker ID],$Q$4,RawData[[Error Type ]],$Q$5))</f>
        <v/>
      </c>
    </row>
    <row r="25227" spans="15:15" x14ac:dyDescent="0.25">
      <c r="O25227" s="20" t="str">
        <f>IF(N25227="","",COUNTIFS(RawData[[Date ]],N25227,RawData[Month List],$Q$6,RawData[Tour/Site],$Q$2,RawData[[Picker ID ]],$Q$3,RawData[Checker ID],$Q$4,RawData[[Error Type ]],$Q$5))</f>
        <v/>
      </c>
    </row>
    <row r="25228" spans="15:15" x14ac:dyDescent="0.25">
      <c r="O25228" s="20" t="str">
        <f>IF(N25228="","",COUNTIFS(RawData[[Date ]],N25228,RawData[Month List],$Q$6,RawData[Tour/Site],$Q$2,RawData[[Picker ID ]],$Q$3,RawData[Checker ID],$Q$4,RawData[[Error Type ]],$Q$5))</f>
        <v/>
      </c>
    </row>
    <row r="25229" spans="15:15" x14ac:dyDescent="0.25">
      <c r="O25229" s="20" t="str">
        <f>IF(N25229="","",COUNTIFS(RawData[[Date ]],N25229,RawData[Month List],$Q$6,RawData[Tour/Site],$Q$2,RawData[[Picker ID ]],$Q$3,RawData[Checker ID],$Q$4,RawData[[Error Type ]],$Q$5))</f>
        <v/>
      </c>
    </row>
    <row r="25230" spans="15:15" x14ac:dyDescent="0.25">
      <c r="O25230" s="20" t="str">
        <f>IF(N25230="","",COUNTIFS(RawData[[Date ]],N25230,RawData[Month List],$Q$6,RawData[Tour/Site],$Q$2,RawData[[Picker ID ]],$Q$3,RawData[Checker ID],$Q$4,RawData[[Error Type ]],$Q$5))</f>
        <v/>
      </c>
    </row>
    <row r="25231" spans="15:15" x14ac:dyDescent="0.25">
      <c r="O25231" s="20" t="str">
        <f>IF(N25231="","",COUNTIFS(RawData[[Date ]],N25231,RawData[Month List],$Q$6,RawData[Tour/Site],$Q$2,RawData[[Picker ID ]],$Q$3,RawData[Checker ID],$Q$4,RawData[[Error Type ]],$Q$5))</f>
        <v/>
      </c>
    </row>
    <row r="25232" spans="15:15" x14ac:dyDescent="0.25">
      <c r="O25232" s="20" t="str">
        <f>IF(N25232="","",COUNTIFS(RawData[[Date ]],N25232,RawData[Month List],$Q$6,RawData[Tour/Site],$Q$2,RawData[[Picker ID ]],$Q$3,RawData[Checker ID],$Q$4,RawData[[Error Type ]],$Q$5))</f>
        <v/>
      </c>
    </row>
    <row r="25233" spans="15:15" x14ac:dyDescent="0.25">
      <c r="O25233" s="20" t="str">
        <f>IF(N25233="","",COUNTIFS(RawData[[Date ]],N25233,RawData[Month List],$Q$6,RawData[Tour/Site],$Q$2,RawData[[Picker ID ]],$Q$3,RawData[Checker ID],$Q$4,RawData[[Error Type ]],$Q$5))</f>
        <v/>
      </c>
    </row>
    <row r="25234" spans="15:15" x14ac:dyDescent="0.25">
      <c r="O25234" s="20" t="str">
        <f>IF(N25234="","",COUNTIFS(RawData[[Date ]],N25234,RawData[Month List],$Q$6,RawData[Tour/Site],$Q$2,RawData[[Picker ID ]],$Q$3,RawData[Checker ID],$Q$4,RawData[[Error Type ]],$Q$5))</f>
        <v/>
      </c>
    </row>
    <row r="25235" spans="15:15" x14ac:dyDescent="0.25">
      <c r="O25235" s="20" t="str">
        <f>IF(N25235="","",COUNTIFS(RawData[[Date ]],N25235,RawData[Month List],$Q$6,RawData[Tour/Site],$Q$2,RawData[[Picker ID ]],$Q$3,RawData[Checker ID],$Q$4,RawData[[Error Type ]],$Q$5))</f>
        <v/>
      </c>
    </row>
    <row r="25236" spans="15:15" x14ac:dyDescent="0.25">
      <c r="O25236" s="20" t="str">
        <f>IF(N25236="","",COUNTIFS(RawData[[Date ]],N25236,RawData[Month List],$Q$6,RawData[Tour/Site],$Q$2,RawData[[Picker ID ]],$Q$3,RawData[Checker ID],$Q$4,RawData[[Error Type ]],$Q$5))</f>
        <v/>
      </c>
    </row>
    <row r="25237" spans="15:15" x14ac:dyDescent="0.25">
      <c r="O25237" s="20" t="str">
        <f>IF(N25237="","",COUNTIFS(RawData[[Date ]],N25237,RawData[Month List],$Q$6,RawData[Tour/Site],$Q$2,RawData[[Picker ID ]],$Q$3,RawData[Checker ID],$Q$4,RawData[[Error Type ]],$Q$5))</f>
        <v/>
      </c>
    </row>
    <row r="25238" spans="15:15" x14ac:dyDescent="0.25">
      <c r="O25238" s="20" t="str">
        <f>IF(N25238="","",COUNTIFS(RawData[[Date ]],N25238,RawData[Month List],$Q$6,RawData[Tour/Site],$Q$2,RawData[[Picker ID ]],$Q$3,RawData[Checker ID],$Q$4,RawData[[Error Type ]],$Q$5))</f>
        <v/>
      </c>
    </row>
    <row r="25239" spans="15:15" x14ac:dyDescent="0.25">
      <c r="O25239" s="20" t="str">
        <f>IF(N25239="","",COUNTIFS(RawData[[Date ]],N25239,RawData[Month List],$Q$6,RawData[Tour/Site],$Q$2,RawData[[Picker ID ]],$Q$3,RawData[Checker ID],$Q$4,RawData[[Error Type ]],$Q$5))</f>
        <v/>
      </c>
    </row>
    <row r="25240" spans="15:15" x14ac:dyDescent="0.25">
      <c r="O25240" s="20" t="str">
        <f>IF(N25240="","",COUNTIFS(RawData[[Date ]],N25240,RawData[Month List],$Q$6,RawData[Tour/Site],$Q$2,RawData[[Picker ID ]],$Q$3,RawData[Checker ID],$Q$4,RawData[[Error Type ]],$Q$5))</f>
        <v/>
      </c>
    </row>
    <row r="25241" spans="15:15" x14ac:dyDescent="0.25">
      <c r="O25241" s="20" t="str">
        <f>IF(N25241="","",COUNTIFS(RawData[[Date ]],N25241,RawData[Month List],$Q$6,RawData[Tour/Site],$Q$2,RawData[[Picker ID ]],$Q$3,RawData[Checker ID],$Q$4,RawData[[Error Type ]],$Q$5))</f>
        <v/>
      </c>
    </row>
    <row r="25242" spans="15:15" x14ac:dyDescent="0.25">
      <c r="O25242" s="20" t="str">
        <f>IF(N25242="","",COUNTIFS(RawData[[Date ]],N25242,RawData[Month List],$Q$6,RawData[Tour/Site],$Q$2,RawData[[Picker ID ]],$Q$3,RawData[Checker ID],$Q$4,RawData[[Error Type ]],$Q$5))</f>
        <v/>
      </c>
    </row>
    <row r="25243" spans="15:15" x14ac:dyDescent="0.25">
      <c r="O25243" s="20" t="str">
        <f>IF(N25243="","",COUNTIFS(RawData[[Date ]],N25243,RawData[Month List],$Q$6,RawData[Tour/Site],$Q$2,RawData[[Picker ID ]],$Q$3,RawData[Checker ID],$Q$4,RawData[[Error Type ]],$Q$5))</f>
        <v/>
      </c>
    </row>
    <row r="25244" spans="15:15" x14ac:dyDescent="0.25">
      <c r="O25244" s="20" t="str">
        <f>IF(N25244="","",COUNTIFS(RawData[[Date ]],N25244,RawData[Month List],$Q$6,RawData[Tour/Site],$Q$2,RawData[[Picker ID ]],$Q$3,RawData[Checker ID],$Q$4,RawData[[Error Type ]],$Q$5))</f>
        <v/>
      </c>
    </row>
    <row r="25245" spans="15:15" x14ac:dyDescent="0.25">
      <c r="O25245" s="20" t="str">
        <f>IF(N25245="","",COUNTIFS(RawData[[Date ]],N25245,RawData[Month List],$Q$6,RawData[Tour/Site],$Q$2,RawData[[Picker ID ]],$Q$3,RawData[Checker ID],$Q$4,RawData[[Error Type ]],$Q$5))</f>
        <v/>
      </c>
    </row>
    <row r="25246" spans="15:15" x14ac:dyDescent="0.25">
      <c r="O25246" s="20" t="str">
        <f>IF(N25246="","",COUNTIFS(RawData[[Date ]],N25246,RawData[Month List],$Q$6,RawData[Tour/Site],$Q$2,RawData[[Picker ID ]],$Q$3,RawData[Checker ID],$Q$4,RawData[[Error Type ]],$Q$5))</f>
        <v/>
      </c>
    </row>
    <row r="25247" spans="15:15" x14ac:dyDescent="0.25">
      <c r="O25247" s="20" t="str">
        <f>IF(N25247="","",COUNTIFS(RawData[[Date ]],N25247,RawData[Month List],$Q$6,RawData[Tour/Site],$Q$2,RawData[[Picker ID ]],$Q$3,RawData[Checker ID],$Q$4,RawData[[Error Type ]],$Q$5))</f>
        <v/>
      </c>
    </row>
    <row r="25248" spans="15:15" x14ac:dyDescent="0.25">
      <c r="O25248" s="20" t="str">
        <f>IF(N25248="","",COUNTIFS(RawData[[Date ]],N25248,RawData[Month List],$Q$6,RawData[Tour/Site],$Q$2,RawData[[Picker ID ]],$Q$3,RawData[Checker ID],$Q$4,RawData[[Error Type ]],$Q$5))</f>
        <v/>
      </c>
    </row>
    <row r="25249" spans="15:15" x14ac:dyDescent="0.25">
      <c r="O25249" s="20" t="str">
        <f>IF(N25249="","",COUNTIFS(RawData[[Date ]],N25249,RawData[Month List],$Q$6,RawData[Tour/Site],$Q$2,RawData[[Picker ID ]],$Q$3,RawData[Checker ID],$Q$4,RawData[[Error Type ]],$Q$5))</f>
        <v/>
      </c>
    </row>
    <row r="25250" spans="15:15" x14ac:dyDescent="0.25">
      <c r="O25250" s="20" t="str">
        <f>IF(N25250="","",COUNTIFS(RawData[[Date ]],N25250,RawData[Month List],$Q$6,RawData[Tour/Site],$Q$2,RawData[[Picker ID ]],$Q$3,RawData[Checker ID],$Q$4,RawData[[Error Type ]],$Q$5))</f>
        <v/>
      </c>
    </row>
    <row r="25251" spans="15:15" x14ac:dyDescent="0.25">
      <c r="O25251" s="20" t="str">
        <f>IF(N25251="","",COUNTIFS(RawData[[Date ]],N25251,RawData[Month List],$Q$6,RawData[Tour/Site],$Q$2,RawData[[Picker ID ]],$Q$3,RawData[Checker ID],$Q$4,RawData[[Error Type ]],$Q$5))</f>
        <v/>
      </c>
    </row>
    <row r="25252" spans="15:15" x14ac:dyDescent="0.25">
      <c r="O25252" s="20" t="str">
        <f>IF(N25252="","",COUNTIFS(RawData[[Date ]],N25252,RawData[Month List],$Q$6,RawData[Tour/Site],$Q$2,RawData[[Picker ID ]],$Q$3,RawData[Checker ID],$Q$4,RawData[[Error Type ]],$Q$5))</f>
        <v/>
      </c>
    </row>
    <row r="25253" spans="15:15" x14ac:dyDescent="0.25">
      <c r="O25253" s="20" t="str">
        <f>IF(N25253="","",COUNTIFS(RawData[[Date ]],N25253,RawData[Month List],$Q$6,RawData[Tour/Site],$Q$2,RawData[[Picker ID ]],$Q$3,RawData[Checker ID],$Q$4,RawData[[Error Type ]],$Q$5))</f>
        <v/>
      </c>
    </row>
    <row r="25254" spans="15:15" x14ac:dyDescent="0.25">
      <c r="O25254" s="20" t="str">
        <f>IF(N25254="","",COUNTIFS(RawData[[Date ]],N25254,RawData[Month List],$Q$6,RawData[Tour/Site],$Q$2,RawData[[Picker ID ]],$Q$3,RawData[Checker ID],$Q$4,RawData[[Error Type ]],$Q$5))</f>
        <v/>
      </c>
    </row>
    <row r="25255" spans="15:15" x14ac:dyDescent="0.25">
      <c r="O25255" s="20" t="str">
        <f>IF(N25255="","",COUNTIFS(RawData[[Date ]],N25255,RawData[Month List],$Q$6,RawData[Tour/Site],$Q$2,RawData[[Picker ID ]],$Q$3,RawData[Checker ID],$Q$4,RawData[[Error Type ]],$Q$5))</f>
        <v/>
      </c>
    </row>
    <row r="25256" spans="15:15" x14ac:dyDescent="0.25">
      <c r="O25256" s="20" t="str">
        <f>IF(N25256="","",COUNTIFS(RawData[[Date ]],N25256,RawData[Month List],$Q$6,RawData[Tour/Site],$Q$2,RawData[[Picker ID ]],$Q$3,RawData[Checker ID],$Q$4,RawData[[Error Type ]],$Q$5))</f>
        <v/>
      </c>
    </row>
    <row r="25257" spans="15:15" x14ac:dyDescent="0.25">
      <c r="O25257" s="20" t="str">
        <f>IF(N25257="","",COUNTIFS(RawData[[Date ]],N25257,RawData[Month List],$Q$6,RawData[Tour/Site],$Q$2,RawData[[Picker ID ]],$Q$3,RawData[Checker ID],$Q$4,RawData[[Error Type ]],$Q$5))</f>
        <v/>
      </c>
    </row>
    <row r="25258" spans="15:15" x14ac:dyDescent="0.25">
      <c r="O25258" s="20" t="str">
        <f>IF(N25258="","",COUNTIFS(RawData[[Date ]],N25258,RawData[Month List],$Q$6,RawData[Tour/Site],$Q$2,RawData[[Picker ID ]],$Q$3,RawData[Checker ID],$Q$4,RawData[[Error Type ]],$Q$5))</f>
        <v/>
      </c>
    </row>
    <row r="25259" spans="15:15" x14ac:dyDescent="0.25">
      <c r="O25259" s="20" t="str">
        <f>IF(N25259="","",COUNTIFS(RawData[[Date ]],N25259,RawData[Month List],$Q$6,RawData[Tour/Site],$Q$2,RawData[[Picker ID ]],$Q$3,RawData[Checker ID],$Q$4,RawData[[Error Type ]],$Q$5))</f>
        <v/>
      </c>
    </row>
    <row r="25260" spans="15:15" x14ac:dyDescent="0.25">
      <c r="O25260" s="20" t="str">
        <f>IF(N25260="","",COUNTIFS(RawData[[Date ]],N25260,RawData[Month List],$Q$6,RawData[Tour/Site],$Q$2,RawData[[Picker ID ]],$Q$3,RawData[Checker ID],$Q$4,RawData[[Error Type ]],$Q$5))</f>
        <v/>
      </c>
    </row>
    <row r="25261" spans="15:15" x14ac:dyDescent="0.25">
      <c r="O25261" s="20" t="str">
        <f>IF(N25261="","",COUNTIFS(RawData[[Date ]],N25261,RawData[Month List],$Q$6,RawData[Tour/Site],$Q$2,RawData[[Picker ID ]],$Q$3,RawData[Checker ID],$Q$4,RawData[[Error Type ]],$Q$5))</f>
        <v/>
      </c>
    </row>
    <row r="25262" spans="15:15" x14ac:dyDescent="0.25">
      <c r="O25262" s="20" t="str">
        <f>IF(N25262="","",COUNTIFS(RawData[[Date ]],N25262,RawData[Month List],$Q$6,RawData[Tour/Site],$Q$2,RawData[[Picker ID ]],$Q$3,RawData[Checker ID],$Q$4,RawData[[Error Type ]],$Q$5))</f>
        <v/>
      </c>
    </row>
    <row r="25263" spans="15:15" x14ac:dyDescent="0.25">
      <c r="O25263" s="20" t="str">
        <f>IF(N25263="","",COUNTIFS(RawData[[Date ]],N25263,RawData[Month List],$Q$6,RawData[Tour/Site],$Q$2,RawData[[Picker ID ]],$Q$3,RawData[Checker ID],$Q$4,RawData[[Error Type ]],$Q$5))</f>
        <v/>
      </c>
    </row>
    <row r="25264" spans="15:15" x14ac:dyDescent="0.25">
      <c r="O25264" s="20" t="str">
        <f>IF(N25264="","",COUNTIFS(RawData[[Date ]],N25264,RawData[Month List],$Q$6,RawData[Tour/Site],$Q$2,RawData[[Picker ID ]],$Q$3,RawData[Checker ID],$Q$4,RawData[[Error Type ]],$Q$5))</f>
        <v/>
      </c>
    </row>
    <row r="25265" spans="15:15" x14ac:dyDescent="0.25">
      <c r="O25265" s="20" t="str">
        <f>IF(N25265="","",COUNTIFS(RawData[[Date ]],N25265,RawData[Month List],$Q$6,RawData[Tour/Site],$Q$2,RawData[[Picker ID ]],$Q$3,RawData[Checker ID],$Q$4,RawData[[Error Type ]],$Q$5))</f>
        <v/>
      </c>
    </row>
    <row r="25266" spans="15:15" x14ac:dyDescent="0.25">
      <c r="O25266" s="20" t="str">
        <f>IF(N25266="","",COUNTIFS(RawData[[Date ]],N25266,RawData[Month List],$Q$6,RawData[Tour/Site],$Q$2,RawData[[Picker ID ]],$Q$3,RawData[Checker ID],$Q$4,RawData[[Error Type ]],$Q$5))</f>
        <v/>
      </c>
    </row>
    <row r="25267" spans="15:15" x14ac:dyDescent="0.25">
      <c r="O25267" s="20" t="str">
        <f>IF(N25267="","",COUNTIFS(RawData[[Date ]],N25267,RawData[Month List],$Q$6,RawData[Tour/Site],$Q$2,RawData[[Picker ID ]],$Q$3,RawData[Checker ID],$Q$4,RawData[[Error Type ]],$Q$5))</f>
        <v/>
      </c>
    </row>
    <row r="25268" spans="15:15" x14ac:dyDescent="0.25">
      <c r="O25268" s="20" t="str">
        <f>IF(N25268="","",COUNTIFS(RawData[[Date ]],N25268,RawData[Month List],$Q$6,RawData[Tour/Site],$Q$2,RawData[[Picker ID ]],$Q$3,RawData[Checker ID],$Q$4,RawData[[Error Type ]],$Q$5))</f>
        <v/>
      </c>
    </row>
    <row r="25269" spans="15:15" x14ac:dyDescent="0.25">
      <c r="O25269" s="20" t="str">
        <f>IF(N25269="","",COUNTIFS(RawData[[Date ]],N25269,RawData[Month List],$Q$6,RawData[Tour/Site],$Q$2,RawData[[Picker ID ]],$Q$3,RawData[Checker ID],$Q$4,RawData[[Error Type ]],$Q$5))</f>
        <v/>
      </c>
    </row>
    <row r="25270" spans="15:15" x14ac:dyDescent="0.25">
      <c r="O25270" s="20" t="str">
        <f>IF(N25270="","",COUNTIFS(RawData[[Date ]],N25270,RawData[Month List],$Q$6,RawData[Tour/Site],$Q$2,RawData[[Picker ID ]],$Q$3,RawData[Checker ID],$Q$4,RawData[[Error Type ]],$Q$5))</f>
        <v/>
      </c>
    </row>
    <row r="25271" spans="15:15" x14ac:dyDescent="0.25">
      <c r="O25271" s="20" t="str">
        <f>IF(N25271="","",COUNTIFS(RawData[[Date ]],N25271,RawData[Month List],$Q$6,RawData[Tour/Site],$Q$2,RawData[[Picker ID ]],$Q$3,RawData[Checker ID],$Q$4,RawData[[Error Type ]],$Q$5))</f>
        <v/>
      </c>
    </row>
    <row r="25272" spans="15:15" x14ac:dyDescent="0.25">
      <c r="O25272" s="20" t="str">
        <f>IF(N25272="","",COUNTIFS(RawData[[Date ]],N25272,RawData[Month List],$Q$6,RawData[Tour/Site],$Q$2,RawData[[Picker ID ]],$Q$3,RawData[Checker ID],$Q$4,RawData[[Error Type ]],$Q$5))</f>
        <v/>
      </c>
    </row>
    <row r="25273" spans="15:15" x14ac:dyDescent="0.25">
      <c r="O25273" s="20" t="str">
        <f>IF(N25273="","",COUNTIFS(RawData[[Date ]],N25273,RawData[Month List],$Q$6,RawData[Tour/Site],$Q$2,RawData[[Picker ID ]],$Q$3,RawData[Checker ID],$Q$4,RawData[[Error Type ]],$Q$5))</f>
        <v/>
      </c>
    </row>
    <row r="25274" spans="15:15" x14ac:dyDescent="0.25">
      <c r="O25274" s="20" t="str">
        <f>IF(N25274="","",COUNTIFS(RawData[[Date ]],N25274,RawData[Month List],$Q$6,RawData[Tour/Site],$Q$2,RawData[[Picker ID ]],$Q$3,RawData[Checker ID],$Q$4,RawData[[Error Type ]],$Q$5))</f>
        <v/>
      </c>
    </row>
    <row r="25275" spans="15:15" x14ac:dyDescent="0.25">
      <c r="O25275" s="20" t="str">
        <f>IF(N25275="","",COUNTIFS(RawData[[Date ]],N25275,RawData[Month List],$Q$6,RawData[Tour/Site],$Q$2,RawData[[Picker ID ]],$Q$3,RawData[Checker ID],$Q$4,RawData[[Error Type ]],$Q$5))</f>
        <v/>
      </c>
    </row>
    <row r="25276" spans="15:15" x14ac:dyDescent="0.25">
      <c r="O25276" s="20" t="str">
        <f>IF(N25276="","",COUNTIFS(RawData[[Date ]],N25276,RawData[Month List],$Q$6,RawData[Tour/Site],$Q$2,RawData[[Picker ID ]],$Q$3,RawData[Checker ID],$Q$4,RawData[[Error Type ]],$Q$5))</f>
        <v/>
      </c>
    </row>
    <row r="25277" spans="15:15" x14ac:dyDescent="0.25">
      <c r="O25277" s="20" t="str">
        <f>IF(N25277="","",COUNTIFS(RawData[[Date ]],N25277,RawData[Month List],$Q$6,RawData[Tour/Site],$Q$2,RawData[[Picker ID ]],$Q$3,RawData[Checker ID],$Q$4,RawData[[Error Type ]],$Q$5))</f>
        <v/>
      </c>
    </row>
    <row r="25278" spans="15:15" x14ac:dyDescent="0.25">
      <c r="O25278" s="20" t="str">
        <f>IF(N25278="","",COUNTIFS(RawData[[Date ]],N25278,RawData[Month List],$Q$6,RawData[Tour/Site],$Q$2,RawData[[Picker ID ]],$Q$3,RawData[Checker ID],$Q$4,RawData[[Error Type ]],$Q$5))</f>
        <v/>
      </c>
    </row>
    <row r="25279" spans="15:15" x14ac:dyDescent="0.25">
      <c r="O25279" s="20" t="str">
        <f>IF(N25279="","",COUNTIFS(RawData[[Date ]],N25279,RawData[Month List],$Q$6,RawData[Tour/Site],$Q$2,RawData[[Picker ID ]],$Q$3,RawData[Checker ID],$Q$4,RawData[[Error Type ]],$Q$5))</f>
        <v/>
      </c>
    </row>
    <row r="25280" spans="15:15" x14ac:dyDescent="0.25">
      <c r="O25280" s="20" t="str">
        <f>IF(N25280="","",COUNTIFS(RawData[[Date ]],N25280,RawData[Month List],$Q$6,RawData[Tour/Site],$Q$2,RawData[[Picker ID ]],$Q$3,RawData[Checker ID],$Q$4,RawData[[Error Type ]],$Q$5))</f>
        <v/>
      </c>
    </row>
    <row r="25281" spans="15:15" x14ac:dyDescent="0.25">
      <c r="O25281" s="20" t="str">
        <f>IF(N25281="","",COUNTIFS(RawData[[Date ]],N25281,RawData[Month List],$Q$6,RawData[Tour/Site],$Q$2,RawData[[Picker ID ]],$Q$3,RawData[Checker ID],$Q$4,RawData[[Error Type ]],$Q$5))</f>
        <v/>
      </c>
    </row>
    <row r="25282" spans="15:15" x14ac:dyDescent="0.25">
      <c r="O25282" s="20" t="str">
        <f>IF(N25282="","",COUNTIFS(RawData[[Date ]],N25282,RawData[Month List],$Q$6,RawData[Tour/Site],$Q$2,RawData[[Picker ID ]],$Q$3,RawData[Checker ID],$Q$4,RawData[[Error Type ]],$Q$5))</f>
        <v/>
      </c>
    </row>
    <row r="25283" spans="15:15" x14ac:dyDescent="0.25">
      <c r="O25283" s="20" t="str">
        <f>IF(N25283="","",COUNTIFS(RawData[[Date ]],N25283,RawData[Month List],$Q$6,RawData[Tour/Site],$Q$2,RawData[[Picker ID ]],$Q$3,RawData[Checker ID],$Q$4,RawData[[Error Type ]],$Q$5))</f>
        <v/>
      </c>
    </row>
    <row r="25284" spans="15:15" x14ac:dyDescent="0.25">
      <c r="O25284" s="20" t="str">
        <f>IF(N25284="","",COUNTIFS(RawData[[Date ]],N25284,RawData[Month List],$Q$6,RawData[Tour/Site],$Q$2,RawData[[Picker ID ]],$Q$3,RawData[Checker ID],$Q$4,RawData[[Error Type ]],$Q$5))</f>
        <v/>
      </c>
    </row>
    <row r="25285" spans="15:15" x14ac:dyDescent="0.25">
      <c r="O25285" s="20" t="str">
        <f>IF(N25285="","",COUNTIFS(RawData[[Date ]],N25285,RawData[Month List],$Q$6,RawData[Tour/Site],$Q$2,RawData[[Picker ID ]],$Q$3,RawData[Checker ID],$Q$4,RawData[[Error Type ]],$Q$5))</f>
        <v/>
      </c>
    </row>
    <row r="25286" spans="15:15" x14ac:dyDescent="0.25">
      <c r="O25286" s="20" t="str">
        <f>IF(N25286="","",COUNTIFS(RawData[[Date ]],N25286,RawData[Month List],$Q$6,RawData[Tour/Site],$Q$2,RawData[[Picker ID ]],$Q$3,RawData[Checker ID],$Q$4,RawData[[Error Type ]],$Q$5))</f>
        <v/>
      </c>
    </row>
    <row r="25287" spans="15:15" x14ac:dyDescent="0.25">
      <c r="O25287" s="20" t="str">
        <f>IF(N25287="","",COUNTIFS(RawData[[Date ]],N25287,RawData[Month List],$Q$6,RawData[Tour/Site],$Q$2,RawData[[Picker ID ]],$Q$3,RawData[Checker ID],$Q$4,RawData[[Error Type ]],$Q$5))</f>
        <v/>
      </c>
    </row>
    <row r="25288" spans="15:15" x14ac:dyDescent="0.25">
      <c r="O25288" s="20" t="str">
        <f>IF(N25288="","",COUNTIFS(RawData[[Date ]],N25288,RawData[Month List],$Q$6,RawData[Tour/Site],$Q$2,RawData[[Picker ID ]],$Q$3,RawData[Checker ID],$Q$4,RawData[[Error Type ]],$Q$5))</f>
        <v/>
      </c>
    </row>
    <row r="25289" spans="15:15" x14ac:dyDescent="0.25">
      <c r="O25289" s="20" t="str">
        <f>IF(N25289="","",COUNTIFS(RawData[[Date ]],N25289,RawData[Month List],$Q$6,RawData[Tour/Site],$Q$2,RawData[[Picker ID ]],$Q$3,RawData[Checker ID],$Q$4,RawData[[Error Type ]],$Q$5))</f>
        <v/>
      </c>
    </row>
    <row r="25290" spans="15:15" x14ac:dyDescent="0.25">
      <c r="O25290" s="20" t="str">
        <f>IF(N25290="","",COUNTIFS(RawData[[Date ]],N25290,RawData[Month List],$Q$6,RawData[Tour/Site],$Q$2,RawData[[Picker ID ]],$Q$3,RawData[Checker ID],$Q$4,RawData[[Error Type ]],$Q$5))</f>
        <v/>
      </c>
    </row>
    <row r="25291" spans="15:15" x14ac:dyDescent="0.25">
      <c r="O25291" s="20" t="str">
        <f>IF(N25291="","",COUNTIFS(RawData[[Date ]],N25291,RawData[Month List],$Q$6,RawData[Tour/Site],$Q$2,RawData[[Picker ID ]],$Q$3,RawData[Checker ID],$Q$4,RawData[[Error Type ]],$Q$5))</f>
        <v/>
      </c>
    </row>
    <row r="25292" spans="15:15" x14ac:dyDescent="0.25">
      <c r="O25292" s="20" t="str">
        <f>IF(N25292="","",COUNTIFS(RawData[[Date ]],N25292,RawData[Month List],$Q$6,RawData[Tour/Site],$Q$2,RawData[[Picker ID ]],$Q$3,RawData[Checker ID],$Q$4,RawData[[Error Type ]],$Q$5))</f>
        <v/>
      </c>
    </row>
    <row r="25293" spans="15:15" x14ac:dyDescent="0.25">
      <c r="O25293" s="20" t="str">
        <f>IF(N25293="","",COUNTIFS(RawData[[Date ]],N25293,RawData[Month List],$Q$6,RawData[Tour/Site],$Q$2,RawData[[Picker ID ]],$Q$3,RawData[Checker ID],$Q$4,RawData[[Error Type ]],$Q$5))</f>
        <v/>
      </c>
    </row>
    <row r="25294" spans="15:15" x14ac:dyDescent="0.25">
      <c r="O25294" s="20" t="str">
        <f>IF(N25294="","",COUNTIFS(RawData[[Date ]],N25294,RawData[Month List],$Q$6,RawData[Tour/Site],$Q$2,RawData[[Picker ID ]],$Q$3,RawData[Checker ID],$Q$4,RawData[[Error Type ]],$Q$5))</f>
        <v/>
      </c>
    </row>
    <row r="25295" spans="15:15" x14ac:dyDescent="0.25">
      <c r="O25295" s="20" t="str">
        <f>IF(N25295="","",COUNTIFS(RawData[[Date ]],N25295,RawData[Month List],$Q$6,RawData[Tour/Site],$Q$2,RawData[[Picker ID ]],$Q$3,RawData[Checker ID],$Q$4,RawData[[Error Type ]],$Q$5))</f>
        <v/>
      </c>
    </row>
    <row r="25296" spans="15:15" x14ac:dyDescent="0.25">
      <c r="O25296" s="20" t="str">
        <f>IF(N25296="","",COUNTIFS(RawData[[Date ]],N25296,RawData[Month List],$Q$6,RawData[Tour/Site],$Q$2,RawData[[Picker ID ]],$Q$3,RawData[Checker ID],$Q$4,RawData[[Error Type ]],$Q$5))</f>
        <v/>
      </c>
    </row>
    <row r="25297" spans="15:15" x14ac:dyDescent="0.25">
      <c r="O25297" s="20" t="str">
        <f>IF(N25297="","",COUNTIFS(RawData[[Date ]],N25297,RawData[Month List],$Q$6,RawData[Tour/Site],$Q$2,RawData[[Picker ID ]],$Q$3,RawData[Checker ID],$Q$4,RawData[[Error Type ]],$Q$5))</f>
        <v/>
      </c>
    </row>
    <row r="25298" spans="15:15" x14ac:dyDescent="0.25">
      <c r="O25298" s="20" t="str">
        <f>IF(N25298="","",COUNTIFS(RawData[[Date ]],N25298,RawData[Month List],$Q$6,RawData[Tour/Site],$Q$2,RawData[[Picker ID ]],$Q$3,RawData[Checker ID],$Q$4,RawData[[Error Type ]],$Q$5))</f>
        <v/>
      </c>
    </row>
    <row r="25299" spans="15:15" x14ac:dyDescent="0.25">
      <c r="O25299" s="20" t="str">
        <f>IF(N25299="","",COUNTIFS(RawData[[Date ]],N25299,RawData[Month List],$Q$6,RawData[Tour/Site],$Q$2,RawData[[Picker ID ]],$Q$3,RawData[Checker ID],$Q$4,RawData[[Error Type ]],$Q$5))</f>
        <v/>
      </c>
    </row>
    <row r="25300" spans="15:15" x14ac:dyDescent="0.25">
      <c r="O25300" s="20" t="str">
        <f>IF(N25300="","",COUNTIFS(RawData[[Date ]],N25300,RawData[Month List],$Q$6,RawData[Tour/Site],$Q$2,RawData[[Picker ID ]],$Q$3,RawData[Checker ID],$Q$4,RawData[[Error Type ]],$Q$5))</f>
        <v/>
      </c>
    </row>
    <row r="25301" spans="15:15" x14ac:dyDescent="0.25">
      <c r="O25301" s="20" t="str">
        <f>IF(N25301="","",COUNTIFS(RawData[[Date ]],N25301,RawData[Month List],$Q$6,RawData[Tour/Site],$Q$2,RawData[[Picker ID ]],$Q$3,RawData[Checker ID],$Q$4,RawData[[Error Type ]],$Q$5))</f>
        <v/>
      </c>
    </row>
    <row r="25302" spans="15:15" x14ac:dyDescent="0.25">
      <c r="O25302" s="20" t="str">
        <f>IF(N25302="","",COUNTIFS(RawData[[Date ]],N25302,RawData[Month List],$Q$6,RawData[Tour/Site],$Q$2,RawData[[Picker ID ]],$Q$3,RawData[Checker ID],$Q$4,RawData[[Error Type ]],$Q$5))</f>
        <v/>
      </c>
    </row>
    <row r="25303" spans="15:15" x14ac:dyDescent="0.25">
      <c r="O25303" s="20" t="str">
        <f>IF(N25303="","",COUNTIFS(RawData[[Date ]],N25303,RawData[Month List],$Q$6,RawData[Tour/Site],$Q$2,RawData[[Picker ID ]],$Q$3,RawData[Checker ID],$Q$4,RawData[[Error Type ]],$Q$5))</f>
        <v/>
      </c>
    </row>
    <row r="25304" spans="15:15" x14ac:dyDescent="0.25">
      <c r="O25304" s="20" t="str">
        <f>IF(N25304="","",COUNTIFS(RawData[[Date ]],N25304,RawData[Month List],$Q$6,RawData[Tour/Site],$Q$2,RawData[[Picker ID ]],$Q$3,RawData[Checker ID],$Q$4,RawData[[Error Type ]],$Q$5))</f>
        <v/>
      </c>
    </row>
    <row r="25305" spans="15:15" x14ac:dyDescent="0.25">
      <c r="O25305" s="20" t="str">
        <f>IF(N25305="","",COUNTIFS(RawData[[Date ]],N25305,RawData[Month List],$Q$6,RawData[Tour/Site],$Q$2,RawData[[Picker ID ]],$Q$3,RawData[Checker ID],$Q$4,RawData[[Error Type ]],$Q$5))</f>
        <v/>
      </c>
    </row>
    <row r="25306" spans="15:15" x14ac:dyDescent="0.25">
      <c r="O25306" s="20" t="str">
        <f>IF(N25306="","",COUNTIFS(RawData[[Date ]],N25306,RawData[Month List],$Q$6,RawData[Tour/Site],$Q$2,RawData[[Picker ID ]],$Q$3,RawData[Checker ID],$Q$4,RawData[[Error Type ]],$Q$5))</f>
        <v/>
      </c>
    </row>
    <row r="25307" spans="15:15" x14ac:dyDescent="0.25">
      <c r="O25307" s="20" t="str">
        <f>IF(N25307="","",COUNTIFS(RawData[[Date ]],N25307,RawData[Month List],$Q$6,RawData[Tour/Site],$Q$2,RawData[[Picker ID ]],$Q$3,RawData[Checker ID],$Q$4,RawData[[Error Type ]],$Q$5))</f>
        <v/>
      </c>
    </row>
    <row r="25308" spans="15:15" x14ac:dyDescent="0.25">
      <c r="O25308" s="20" t="str">
        <f>IF(N25308="","",COUNTIFS(RawData[[Date ]],N25308,RawData[Month List],$Q$6,RawData[Tour/Site],$Q$2,RawData[[Picker ID ]],$Q$3,RawData[Checker ID],$Q$4,RawData[[Error Type ]],$Q$5))</f>
        <v/>
      </c>
    </row>
    <row r="25309" spans="15:15" x14ac:dyDescent="0.25">
      <c r="O25309" s="20" t="str">
        <f>IF(N25309="","",COUNTIFS(RawData[[Date ]],N25309,RawData[Month List],$Q$6,RawData[Tour/Site],$Q$2,RawData[[Picker ID ]],$Q$3,RawData[Checker ID],$Q$4,RawData[[Error Type ]],$Q$5))</f>
        <v/>
      </c>
    </row>
    <row r="25310" spans="15:15" x14ac:dyDescent="0.25">
      <c r="O25310" s="20" t="str">
        <f>IF(N25310="","",COUNTIFS(RawData[[Date ]],N25310,RawData[Month List],$Q$6,RawData[Tour/Site],$Q$2,RawData[[Picker ID ]],$Q$3,RawData[Checker ID],$Q$4,RawData[[Error Type ]],$Q$5))</f>
        <v/>
      </c>
    </row>
    <row r="25311" spans="15:15" x14ac:dyDescent="0.25">
      <c r="O25311" s="20" t="str">
        <f>IF(N25311="","",COUNTIFS(RawData[[Date ]],N25311,RawData[Month List],$Q$6,RawData[Tour/Site],$Q$2,RawData[[Picker ID ]],$Q$3,RawData[Checker ID],$Q$4,RawData[[Error Type ]],$Q$5))</f>
        <v/>
      </c>
    </row>
    <row r="25312" spans="15:15" x14ac:dyDescent="0.25">
      <c r="O25312" s="20" t="str">
        <f>IF(N25312="","",COUNTIFS(RawData[[Date ]],N25312,RawData[Month List],$Q$6,RawData[Tour/Site],$Q$2,RawData[[Picker ID ]],$Q$3,RawData[Checker ID],$Q$4,RawData[[Error Type ]],$Q$5))</f>
        <v/>
      </c>
    </row>
    <row r="25313" spans="15:15" x14ac:dyDescent="0.25">
      <c r="O25313" s="20" t="str">
        <f>IF(N25313="","",COUNTIFS(RawData[[Date ]],N25313,RawData[Month List],$Q$6,RawData[Tour/Site],$Q$2,RawData[[Picker ID ]],$Q$3,RawData[Checker ID],$Q$4,RawData[[Error Type ]],$Q$5))</f>
        <v/>
      </c>
    </row>
    <row r="25314" spans="15:15" x14ac:dyDescent="0.25">
      <c r="O25314" s="20" t="str">
        <f>IF(N25314="","",COUNTIFS(RawData[[Date ]],N25314,RawData[Month List],$Q$6,RawData[Tour/Site],$Q$2,RawData[[Picker ID ]],$Q$3,RawData[Checker ID],$Q$4,RawData[[Error Type ]],$Q$5))</f>
        <v/>
      </c>
    </row>
    <row r="25315" spans="15:15" x14ac:dyDescent="0.25">
      <c r="O25315" s="20" t="str">
        <f>IF(N25315="","",COUNTIFS(RawData[[Date ]],N25315,RawData[Month List],$Q$6,RawData[Tour/Site],$Q$2,RawData[[Picker ID ]],$Q$3,RawData[Checker ID],$Q$4,RawData[[Error Type ]],$Q$5))</f>
        <v/>
      </c>
    </row>
    <row r="25316" spans="15:15" x14ac:dyDescent="0.25">
      <c r="O25316" s="20" t="str">
        <f>IF(N25316="","",COUNTIFS(RawData[[Date ]],N25316,RawData[Month List],$Q$6,RawData[Tour/Site],$Q$2,RawData[[Picker ID ]],$Q$3,RawData[Checker ID],$Q$4,RawData[[Error Type ]],$Q$5))</f>
        <v/>
      </c>
    </row>
    <row r="25317" spans="15:15" x14ac:dyDescent="0.25">
      <c r="O25317" s="20" t="str">
        <f>IF(N25317="","",COUNTIFS(RawData[[Date ]],N25317,RawData[Month List],$Q$6,RawData[Tour/Site],$Q$2,RawData[[Picker ID ]],$Q$3,RawData[Checker ID],$Q$4,RawData[[Error Type ]],$Q$5))</f>
        <v/>
      </c>
    </row>
    <row r="25318" spans="15:15" x14ac:dyDescent="0.25">
      <c r="O25318" s="20" t="str">
        <f>IF(N25318="","",COUNTIFS(RawData[[Date ]],N25318,RawData[Month List],$Q$6,RawData[Tour/Site],$Q$2,RawData[[Picker ID ]],$Q$3,RawData[Checker ID],$Q$4,RawData[[Error Type ]],$Q$5))</f>
        <v/>
      </c>
    </row>
    <row r="25319" spans="15:15" x14ac:dyDescent="0.25">
      <c r="O25319" s="20" t="str">
        <f>IF(N25319="","",COUNTIFS(RawData[[Date ]],N25319,RawData[Month List],$Q$6,RawData[Tour/Site],$Q$2,RawData[[Picker ID ]],$Q$3,RawData[Checker ID],$Q$4,RawData[[Error Type ]],$Q$5))</f>
        <v/>
      </c>
    </row>
    <row r="25320" spans="15:15" x14ac:dyDescent="0.25">
      <c r="O25320" s="20" t="str">
        <f>IF(N25320="","",COUNTIFS(RawData[[Date ]],N25320,RawData[Month List],$Q$6,RawData[Tour/Site],$Q$2,RawData[[Picker ID ]],$Q$3,RawData[Checker ID],$Q$4,RawData[[Error Type ]],$Q$5))</f>
        <v/>
      </c>
    </row>
    <row r="25321" spans="15:15" x14ac:dyDescent="0.25">
      <c r="O25321" s="20" t="str">
        <f>IF(N25321="","",COUNTIFS(RawData[[Date ]],N25321,RawData[Month List],$Q$6,RawData[Tour/Site],$Q$2,RawData[[Picker ID ]],$Q$3,RawData[Checker ID],$Q$4,RawData[[Error Type ]],$Q$5))</f>
        <v/>
      </c>
    </row>
    <row r="25322" spans="15:15" x14ac:dyDescent="0.25">
      <c r="O25322" s="20" t="str">
        <f>IF(N25322="","",COUNTIFS(RawData[[Date ]],N25322,RawData[Month List],$Q$6,RawData[Tour/Site],$Q$2,RawData[[Picker ID ]],$Q$3,RawData[Checker ID],$Q$4,RawData[[Error Type ]],$Q$5))</f>
        <v/>
      </c>
    </row>
    <row r="25323" spans="15:15" x14ac:dyDescent="0.25">
      <c r="O25323" s="20" t="str">
        <f>IF(N25323="","",COUNTIFS(RawData[[Date ]],N25323,RawData[Month List],$Q$6,RawData[Tour/Site],$Q$2,RawData[[Picker ID ]],$Q$3,RawData[Checker ID],$Q$4,RawData[[Error Type ]],$Q$5))</f>
        <v/>
      </c>
    </row>
    <row r="25324" spans="15:15" x14ac:dyDescent="0.25">
      <c r="O25324" s="20" t="str">
        <f>IF(N25324="","",COUNTIFS(RawData[[Date ]],N25324,RawData[Month List],$Q$6,RawData[Tour/Site],$Q$2,RawData[[Picker ID ]],$Q$3,RawData[Checker ID],$Q$4,RawData[[Error Type ]],$Q$5))</f>
        <v/>
      </c>
    </row>
    <row r="25325" spans="15:15" x14ac:dyDescent="0.25">
      <c r="O25325" s="20" t="str">
        <f>IF(N25325="","",COUNTIFS(RawData[[Date ]],N25325,RawData[Month List],$Q$6,RawData[Tour/Site],$Q$2,RawData[[Picker ID ]],$Q$3,RawData[Checker ID],$Q$4,RawData[[Error Type ]],$Q$5))</f>
        <v/>
      </c>
    </row>
    <row r="25326" spans="15:15" x14ac:dyDescent="0.25">
      <c r="O25326" s="20" t="str">
        <f>IF(N25326="","",COUNTIFS(RawData[[Date ]],N25326,RawData[Month List],$Q$6,RawData[Tour/Site],$Q$2,RawData[[Picker ID ]],$Q$3,RawData[Checker ID],$Q$4,RawData[[Error Type ]],$Q$5))</f>
        <v/>
      </c>
    </row>
    <row r="25327" spans="15:15" x14ac:dyDescent="0.25">
      <c r="O25327" s="20" t="str">
        <f>IF(N25327="","",COUNTIFS(RawData[[Date ]],N25327,RawData[Month List],$Q$6,RawData[Tour/Site],$Q$2,RawData[[Picker ID ]],$Q$3,RawData[Checker ID],$Q$4,RawData[[Error Type ]],$Q$5))</f>
        <v/>
      </c>
    </row>
    <row r="25328" spans="15:15" x14ac:dyDescent="0.25">
      <c r="O25328" s="20" t="str">
        <f>IF(N25328="","",COUNTIFS(RawData[[Date ]],N25328,RawData[Month List],$Q$6,RawData[Tour/Site],$Q$2,RawData[[Picker ID ]],$Q$3,RawData[Checker ID],$Q$4,RawData[[Error Type ]],$Q$5))</f>
        <v/>
      </c>
    </row>
    <row r="25329" spans="15:15" x14ac:dyDescent="0.25">
      <c r="O25329" s="20" t="str">
        <f>IF(N25329="","",COUNTIFS(RawData[[Date ]],N25329,RawData[Month List],$Q$6,RawData[Tour/Site],$Q$2,RawData[[Picker ID ]],$Q$3,RawData[Checker ID],$Q$4,RawData[[Error Type ]],$Q$5))</f>
        <v/>
      </c>
    </row>
    <row r="25330" spans="15:15" x14ac:dyDescent="0.25">
      <c r="O25330" s="20" t="str">
        <f>IF(N25330="","",COUNTIFS(RawData[[Date ]],N25330,RawData[Month List],$Q$6,RawData[Tour/Site],$Q$2,RawData[[Picker ID ]],$Q$3,RawData[Checker ID],$Q$4,RawData[[Error Type ]],$Q$5))</f>
        <v/>
      </c>
    </row>
    <row r="25331" spans="15:15" x14ac:dyDescent="0.25">
      <c r="O25331" s="20" t="str">
        <f>IF(N25331="","",COUNTIFS(RawData[[Date ]],N25331,RawData[Month List],$Q$6,RawData[Tour/Site],$Q$2,RawData[[Picker ID ]],$Q$3,RawData[Checker ID],$Q$4,RawData[[Error Type ]],$Q$5))</f>
        <v/>
      </c>
    </row>
    <row r="25332" spans="15:15" x14ac:dyDescent="0.25">
      <c r="O25332" s="20" t="str">
        <f>IF(N25332="","",COUNTIFS(RawData[[Date ]],N25332,RawData[Month List],$Q$6,RawData[Tour/Site],$Q$2,RawData[[Picker ID ]],$Q$3,RawData[Checker ID],$Q$4,RawData[[Error Type ]],$Q$5))</f>
        <v/>
      </c>
    </row>
    <row r="25333" spans="15:15" x14ac:dyDescent="0.25">
      <c r="O25333" s="20" t="str">
        <f>IF(N25333="","",COUNTIFS(RawData[[Date ]],N25333,RawData[Month List],$Q$6,RawData[Tour/Site],$Q$2,RawData[[Picker ID ]],$Q$3,RawData[Checker ID],$Q$4,RawData[[Error Type ]],$Q$5))</f>
        <v/>
      </c>
    </row>
    <row r="25334" spans="15:15" x14ac:dyDescent="0.25">
      <c r="O25334" s="20" t="str">
        <f>IF(N25334="","",COUNTIFS(RawData[[Date ]],N25334,RawData[Month List],$Q$6,RawData[Tour/Site],$Q$2,RawData[[Picker ID ]],$Q$3,RawData[Checker ID],$Q$4,RawData[[Error Type ]],$Q$5))</f>
        <v/>
      </c>
    </row>
    <row r="25335" spans="15:15" x14ac:dyDescent="0.25">
      <c r="O25335" s="20" t="str">
        <f>IF(N25335="","",COUNTIFS(RawData[[Date ]],N25335,RawData[Month List],$Q$6,RawData[Tour/Site],$Q$2,RawData[[Picker ID ]],$Q$3,RawData[Checker ID],$Q$4,RawData[[Error Type ]],$Q$5))</f>
        <v/>
      </c>
    </row>
    <row r="25336" spans="15:15" x14ac:dyDescent="0.25">
      <c r="O25336" s="20" t="str">
        <f>IF(N25336="","",COUNTIFS(RawData[[Date ]],N25336,RawData[Month List],$Q$6,RawData[Tour/Site],$Q$2,RawData[[Picker ID ]],$Q$3,RawData[Checker ID],$Q$4,RawData[[Error Type ]],$Q$5))</f>
        <v/>
      </c>
    </row>
    <row r="25337" spans="15:15" x14ac:dyDescent="0.25">
      <c r="O25337" s="20" t="str">
        <f>IF(N25337="","",COUNTIFS(RawData[[Date ]],N25337,RawData[Month List],$Q$6,RawData[Tour/Site],$Q$2,RawData[[Picker ID ]],$Q$3,RawData[Checker ID],$Q$4,RawData[[Error Type ]],$Q$5))</f>
        <v/>
      </c>
    </row>
    <row r="25338" spans="15:15" x14ac:dyDescent="0.25">
      <c r="O25338" s="20" t="str">
        <f>IF(N25338="","",COUNTIFS(RawData[[Date ]],N25338,RawData[Month List],$Q$6,RawData[Tour/Site],$Q$2,RawData[[Picker ID ]],$Q$3,RawData[Checker ID],$Q$4,RawData[[Error Type ]],$Q$5))</f>
        <v/>
      </c>
    </row>
    <row r="25339" spans="15:15" x14ac:dyDescent="0.25">
      <c r="O25339" s="20" t="str">
        <f>IF(N25339="","",COUNTIFS(RawData[[Date ]],N25339,RawData[Month List],$Q$6,RawData[Tour/Site],$Q$2,RawData[[Picker ID ]],$Q$3,RawData[Checker ID],$Q$4,RawData[[Error Type ]],$Q$5))</f>
        <v/>
      </c>
    </row>
    <row r="25340" spans="15:15" x14ac:dyDescent="0.25">
      <c r="O25340" s="20" t="str">
        <f>IF(N25340="","",COUNTIFS(RawData[[Date ]],N25340,RawData[Month List],$Q$6,RawData[Tour/Site],$Q$2,RawData[[Picker ID ]],$Q$3,RawData[Checker ID],$Q$4,RawData[[Error Type ]],$Q$5))</f>
        <v/>
      </c>
    </row>
    <row r="25341" spans="15:15" x14ac:dyDescent="0.25">
      <c r="O25341" s="20" t="str">
        <f>IF(N25341="","",COUNTIFS(RawData[[Date ]],N25341,RawData[Month List],$Q$6,RawData[Tour/Site],$Q$2,RawData[[Picker ID ]],$Q$3,RawData[Checker ID],$Q$4,RawData[[Error Type ]],$Q$5))</f>
        <v/>
      </c>
    </row>
    <row r="25342" spans="15:15" x14ac:dyDescent="0.25">
      <c r="O25342" s="20" t="str">
        <f>IF(N25342="","",COUNTIFS(RawData[[Date ]],N25342,RawData[Month List],$Q$6,RawData[Tour/Site],$Q$2,RawData[[Picker ID ]],$Q$3,RawData[Checker ID],$Q$4,RawData[[Error Type ]],$Q$5))</f>
        <v/>
      </c>
    </row>
    <row r="25343" spans="15:15" x14ac:dyDescent="0.25">
      <c r="O25343" s="20" t="str">
        <f>IF(N25343="","",COUNTIFS(RawData[[Date ]],N25343,RawData[Month List],$Q$6,RawData[Tour/Site],$Q$2,RawData[[Picker ID ]],$Q$3,RawData[Checker ID],$Q$4,RawData[[Error Type ]],$Q$5))</f>
        <v/>
      </c>
    </row>
    <row r="25344" spans="15:15" x14ac:dyDescent="0.25">
      <c r="O25344" s="20" t="str">
        <f>IF(N25344="","",COUNTIFS(RawData[[Date ]],N25344,RawData[Month List],$Q$6,RawData[Tour/Site],$Q$2,RawData[[Picker ID ]],$Q$3,RawData[Checker ID],$Q$4,RawData[[Error Type ]],$Q$5))</f>
        <v/>
      </c>
    </row>
    <row r="25345" spans="15:15" x14ac:dyDescent="0.25">
      <c r="O25345" s="20" t="str">
        <f>IF(N25345="","",COUNTIFS(RawData[[Date ]],N25345,RawData[Month List],$Q$6,RawData[Tour/Site],$Q$2,RawData[[Picker ID ]],$Q$3,RawData[Checker ID],$Q$4,RawData[[Error Type ]],$Q$5))</f>
        <v/>
      </c>
    </row>
    <row r="25346" spans="15:15" x14ac:dyDescent="0.25">
      <c r="O25346" s="20" t="str">
        <f>IF(N25346="","",COUNTIFS(RawData[[Date ]],N25346,RawData[Month List],$Q$6,RawData[Tour/Site],$Q$2,RawData[[Picker ID ]],$Q$3,RawData[Checker ID],$Q$4,RawData[[Error Type ]],$Q$5))</f>
        <v/>
      </c>
    </row>
    <row r="25347" spans="15:15" x14ac:dyDescent="0.25">
      <c r="O25347" s="20" t="str">
        <f>IF(N25347="","",COUNTIFS(RawData[[Date ]],N25347,RawData[Month List],$Q$6,RawData[Tour/Site],$Q$2,RawData[[Picker ID ]],$Q$3,RawData[Checker ID],$Q$4,RawData[[Error Type ]],$Q$5))</f>
        <v/>
      </c>
    </row>
    <row r="25348" spans="15:15" x14ac:dyDescent="0.25">
      <c r="O25348" s="20" t="str">
        <f>IF(N25348="","",COUNTIFS(RawData[[Date ]],N25348,RawData[Month List],$Q$6,RawData[Tour/Site],$Q$2,RawData[[Picker ID ]],$Q$3,RawData[Checker ID],$Q$4,RawData[[Error Type ]],$Q$5))</f>
        <v/>
      </c>
    </row>
    <row r="25349" spans="15:15" x14ac:dyDescent="0.25">
      <c r="O25349" s="20" t="str">
        <f>IF(N25349="","",COUNTIFS(RawData[[Date ]],N25349,RawData[Month List],$Q$6,RawData[Tour/Site],$Q$2,RawData[[Picker ID ]],$Q$3,RawData[Checker ID],$Q$4,RawData[[Error Type ]],$Q$5))</f>
        <v/>
      </c>
    </row>
    <row r="25350" spans="15:15" x14ac:dyDescent="0.25">
      <c r="O25350" s="20" t="str">
        <f>IF(N25350="","",COUNTIFS(RawData[[Date ]],N25350,RawData[Month List],$Q$6,RawData[Tour/Site],$Q$2,RawData[[Picker ID ]],$Q$3,RawData[Checker ID],$Q$4,RawData[[Error Type ]],$Q$5))</f>
        <v/>
      </c>
    </row>
    <row r="25351" spans="15:15" x14ac:dyDescent="0.25">
      <c r="O25351" s="20" t="str">
        <f>IF(N25351="","",COUNTIFS(RawData[[Date ]],N25351,RawData[Month List],$Q$6,RawData[Tour/Site],$Q$2,RawData[[Picker ID ]],$Q$3,RawData[Checker ID],$Q$4,RawData[[Error Type ]],$Q$5))</f>
        <v/>
      </c>
    </row>
    <row r="25352" spans="15:15" x14ac:dyDescent="0.25">
      <c r="O25352" s="20" t="str">
        <f>IF(N25352="","",COUNTIFS(RawData[[Date ]],N25352,RawData[Month List],$Q$6,RawData[Tour/Site],$Q$2,RawData[[Picker ID ]],$Q$3,RawData[Checker ID],$Q$4,RawData[[Error Type ]],$Q$5))</f>
        <v/>
      </c>
    </row>
    <row r="25353" spans="15:15" x14ac:dyDescent="0.25">
      <c r="O25353" s="20" t="str">
        <f>IF(N25353="","",COUNTIFS(RawData[[Date ]],N25353,RawData[Month List],$Q$6,RawData[Tour/Site],$Q$2,RawData[[Picker ID ]],$Q$3,RawData[Checker ID],$Q$4,RawData[[Error Type ]],$Q$5))</f>
        <v/>
      </c>
    </row>
    <row r="25354" spans="15:15" x14ac:dyDescent="0.25">
      <c r="O25354" s="20" t="str">
        <f>IF(N25354="","",COUNTIFS(RawData[[Date ]],N25354,RawData[Month List],$Q$6,RawData[Tour/Site],$Q$2,RawData[[Picker ID ]],$Q$3,RawData[Checker ID],$Q$4,RawData[[Error Type ]],$Q$5))</f>
        <v/>
      </c>
    </row>
    <row r="25355" spans="15:15" x14ac:dyDescent="0.25">
      <c r="O25355" s="20" t="str">
        <f>IF(N25355="","",COUNTIFS(RawData[[Date ]],N25355,RawData[Month List],$Q$6,RawData[Tour/Site],$Q$2,RawData[[Picker ID ]],$Q$3,RawData[Checker ID],$Q$4,RawData[[Error Type ]],$Q$5))</f>
        <v/>
      </c>
    </row>
    <row r="25356" spans="15:15" x14ac:dyDescent="0.25">
      <c r="O25356" s="20" t="str">
        <f>IF(N25356="","",COUNTIFS(RawData[[Date ]],N25356,RawData[Month List],$Q$6,RawData[Tour/Site],$Q$2,RawData[[Picker ID ]],$Q$3,RawData[Checker ID],$Q$4,RawData[[Error Type ]],$Q$5))</f>
        <v/>
      </c>
    </row>
    <row r="25357" spans="15:15" x14ac:dyDescent="0.25">
      <c r="O25357" s="20" t="str">
        <f>IF(N25357="","",COUNTIFS(RawData[[Date ]],N25357,RawData[Month List],$Q$6,RawData[Tour/Site],$Q$2,RawData[[Picker ID ]],$Q$3,RawData[Checker ID],$Q$4,RawData[[Error Type ]],$Q$5))</f>
        <v/>
      </c>
    </row>
    <row r="25358" spans="15:15" x14ac:dyDescent="0.25">
      <c r="O25358" s="20" t="str">
        <f>IF(N25358="","",COUNTIFS(RawData[[Date ]],N25358,RawData[Month List],$Q$6,RawData[Tour/Site],$Q$2,RawData[[Picker ID ]],$Q$3,RawData[Checker ID],$Q$4,RawData[[Error Type ]],$Q$5))</f>
        <v/>
      </c>
    </row>
    <row r="25359" spans="15:15" x14ac:dyDescent="0.25">
      <c r="O25359" s="20" t="str">
        <f>IF(N25359="","",COUNTIFS(RawData[[Date ]],N25359,RawData[Month List],$Q$6,RawData[Tour/Site],$Q$2,RawData[[Picker ID ]],$Q$3,RawData[Checker ID],$Q$4,RawData[[Error Type ]],$Q$5))</f>
        <v/>
      </c>
    </row>
    <row r="25360" spans="15:15" x14ac:dyDescent="0.25">
      <c r="O25360" s="20" t="str">
        <f>IF(N25360="","",COUNTIFS(RawData[[Date ]],N25360,RawData[Month List],$Q$6,RawData[Tour/Site],$Q$2,RawData[[Picker ID ]],$Q$3,RawData[Checker ID],$Q$4,RawData[[Error Type ]],$Q$5))</f>
        <v/>
      </c>
    </row>
    <row r="25361" spans="15:15" x14ac:dyDescent="0.25">
      <c r="O25361" s="20" t="str">
        <f>IF(N25361="","",COUNTIFS(RawData[[Date ]],N25361,RawData[Month List],$Q$6,RawData[Tour/Site],$Q$2,RawData[[Picker ID ]],$Q$3,RawData[Checker ID],$Q$4,RawData[[Error Type ]],$Q$5))</f>
        <v/>
      </c>
    </row>
    <row r="25362" spans="15:15" x14ac:dyDescent="0.25">
      <c r="O25362" s="20" t="str">
        <f>IF(N25362="","",COUNTIFS(RawData[[Date ]],N25362,RawData[Month List],$Q$6,RawData[Tour/Site],$Q$2,RawData[[Picker ID ]],$Q$3,RawData[Checker ID],$Q$4,RawData[[Error Type ]],$Q$5))</f>
        <v/>
      </c>
    </row>
    <row r="25363" spans="15:15" x14ac:dyDescent="0.25">
      <c r="O25363" s="20" t="str">
        <f>IF(N25363="","",COUNTIFS(RawData[[Date ]],N25363,RawData[Month List],$Q$6,RawData[Tour/Site],$Q$2,RawData[[Picker ID ]],$Q$3,RawData[Checker ID],$Q$4,RawData[[Error Type ]],$Q$5))</f>
        <v/>
      </c>
    </row>
    <row r="25364" spans="15:15" x14ac:dyDescent="0.25">
      <c r="O25364" s="20" t="str">
        <f>IF(N25364="","",COUNTIFS(RawData[[Date ]],N25364,RawData[Month List],$Q$6,RawData[Tour/Site],$Q$2,RawData[[Picker ID ]],$Q$3,RawData[Checker ID],$Q$4,RawData[[Error Type ]],$Q$5))</f>
        <v/>
      </c>
    </row>
    <row r="25365" spans="15:15" x14ac:dyDescent="0.25">
      <c r="O25365" s="20" t="str">
        <f>IF(N25365="","",COUNTIFS(RawData[[Date ]],N25365,RawData[Month List],$Q$6,RawData[Tour/Site],$Q$2,RawData[[Picker ID ]],$Q$3,RawData[Checker ID],$Q$4,RawData[[Error Type ]],$Q$5))</f>
        <v/>
      </c>
    </row>
    <row r="25366" spans="15:15" x14ac:dyDescent="0.25">
      <c r="O25366" s="20" t="str">
        <f>IF(N25366="","",COUNTIFS(RawData[[Date ]],N25366,RawData[Month List],$Q$6,RawData[Tour/Site],$Q$2,RawData[[Picker ID ]],$Q$3,RawData[Checker ID],$Q$4,RawData[[Error Type ]],$Q$5))</f>
        <v/>
      </c>
    </row>
    <row r="25367" spans="15:15" x14ac:dyDescent="0.25">
      <c r="O25367" s="20" t="str">
        <f>IF(N25367="","",COUNTIFS(RawData[[Date ]],N25367,RawData[Month List],$Q$6,RawData[Tour/Site],$Q$2,RawData[[Picker ID ]],$Q$3,RawData[Checker ID],$Q$4,RawData[[Error Type ]],$Q$5))</f>
        <v/>
      </c>
    </row>
    <row r="25368" spans="15:15" x14ac:dyDescent="0.25">
      <c r="O25368" s="20" t="str">
        <f>IF(N25368="","",COUNTIFS(RawData[[Date ]],N25368,RawData[Month List],$Q$6,RawData[Tour/Site],$Q$2,RawData[[Picker ID ]],$Q$3,RawData[Checker ID],$Q$4,RawData[[Error Type ]],$Q$5))</f>
        <v/>
      </c>
    </row>
    <row r="25369" spans="15:15" x14ac:dyDescent="0.25">
      <c r="O25369" s="20" t="str">
        <f>IF(N25369="","",COUNTIFS(RawData[[Date ]],N25369,RawData[Month List],$Q$6,RawData[Tour/Site],$Q$2,RawData[[Picker ID ]],$Q$3,RawData[Checker ID],$Q$4,RawData[[Error Type ]],$Q$5))</f>
        <v/>
      </c>
    </row>
    <row r="25370" spans="15:15" x14ac:dyDescent="0.25">
      <c r="O25370" s="20" t="str">
        <f>IF(N25370="","",COUNTIFS(RawData[[Date ]],N25370,RawData[Month List],$Q$6,RawData[Tour/Site],$Q$2,RawData[[Picker ID ]],$Q$3,RawData[Checker ID],$Q$4,RawData[[Error Type ]],$Q$5))</f>
        <v/>
      </c>
    </row>
    <row r="25371" spans="15:15" x14ac:dyDescent="0.25">
      <c r="O25371" s="20" t="str">
        <f>IF(N25371="","",COUNTIFS(RawData[[Date ]],N25371,RawData[Month List],$Q$6,RawData[Tour/Site],$Q$2,RawData[[Picker ID ]],$Q$3,RawData[Checker ID],$Q$4,RawData[[Error Type ]],$Q$5))</f>
        <v/>
      </c>
    </row>
    <row r="25372" spans="15:15" x14ac:dyDescent="0.25">
      <c r="O25372" s="20" t="str">
        <f>IF(N25372="","",COUNTIFS(RawData[[Date ]],N25372,RawData[Month List],$Q$6,RawData[Tour/Site],$Q$2,RawData[[Picker ID ]],$Q$3,RawData[Checker ID],$Q$4,RawData[[Error Type ]],$Q$5))</f>
        <v/>
      </c>
    </row>
    <row r="25373" spans="15:15" x14ac:dyDescent="0.25">
      <c r="O25373" s="20" t="str">
        <f>IF(N25373="","",COUNTIFS(RawData[[Date ]],N25373,RawData[Month List],$Q$6,RawData[Tour/Site],$Q$2,RawData[[Picker ID ]],$Q$3,RawData[Checker ID],$Q$4,RawData[[Error Type ]],$Q$5))</f>
        <v/>
      </c>
    </row>
    <row r="25374" spans="15:15" x14ac:dyDescent="0.25">
      <c r="O25374" s="20" t="str">
        <f>IF(N25374="","",COUNTIFS(RawData[[Date ]],N25374,RawData[Month List],$Q$6,RawData[Tour/Site],$Q$2,RawData[[Picker ID ]],$Q$3,RawData[Checker ID],$Q$4,RawData[[Error Type ]],$Q$5))</f>
        <v/>
      </c>
    </row>
    <row r="25375" spans="15:15" x14ac:dyDescent="0.25">
      <c r="O25375" s="20" t="str">
        <f>IF(N25375="","",COUNTIFS(RawData[[Date ]],N25375,RawData[Month List],$Q$6,RawData[Tour/Site],$Q$2,RawData[[Picker ID ]],$Q$3,RawData[Checker ID],$Q$4,RawData[[Error Type ]],$Q$5))</f>
        <v/>
      </c>
    </row>
    <row r="25376" spans="15:15" x14ac:dyDescent="0.25">
      <c r="O25376" s="20" t="str">
        <f>IF(N25376="","",COUNTIFS(RawData[[Date ]],N25376,RawData[Month List],$Q$6,RawData[Tour/Site],$Q$2,RawData[[Picker ID ]],$Q$3,RawData[Checker ID],$Q$4,RawData[[Error Type ]],$Q$5))</f>
        <v/>
      </c>
    </row>
    <row r="25377" spans="15:15" x14ac:dyDescent="0.25">
      <c r="O25377" s="20" t="str">
        <f>IF(N25377="","",COUNTIFS(RawData[[Date ]],N25377,RawData[Month List],$Q$6,RawData[Tour/Site],$Q$2,RawData[[Picker ID ]],$Q$3,RawData[Checker ID],$Q$4,RawData[[Error Type ]],$Q$5))</f>
        <v/>
      </c>
    </row>
    <row r="25378" spans="15:15" x14ac:dyDescent="0.25">
      <c r="O25378" s="20" t="str">
        <f>IF(N25378="","",COUNTIFS(RawData[[Date ]],N25378,RawData[Month List],$Q$6,RawData[Tour/Site],$Q$2,RawData[[Picker ID ]],$Q$3,RawData[Checker ID],$Q$4,RawData[[Error Type ]],$Q$5))</f>
        <v/>
      </c>
    </row>
    <row r="25379" spans="15:15" x14ac:dyDescent="0.25">
      <c r="O25379" s="20" t="str">
        <f>IF(N25379="","",COUNTIFS(RawData[[Date ]],N25379,RawData[Month List],$Q$6,RawData[Tour/Site],$Q$2,RawData[[Picker ID ]],$Q$3,RawData[Checker ID],$Q$4,RawData[[Error Type ]],$Q$5))</f>
        <v/>
      </c>
    </row>
    <row r="25380" spans="15:15" x14ac:dyDescent="0.25">
      <c r="O25380" s="20" t="str">
        <f>IF(N25380="","",COUNTIFS(RawData[[Date ]],N25380,RawData[Month List],$Q$6,RawData[Tour/Site],$Q$2,RawData[[Picker ID ]],$Q$3,RawData[Checker ID],$Q$4,RawData[[Error Type ]],$Q$5))</f>
        <v/>
      </c>
    </row>
    <row r="25381" spans="15:15" x14ac:dyDescent="0.25">
      <c r="O25381" s="20" t="str">
        <f>IF(N25381="","",COUNTIFS(RawData[[Date ]],N25381,RawData[Month List],$Q$6,RawData[Tour/Site],$Q$2,RawData[[Picker ID ]],$Q$3,RawData[Checker ID],$Q$4,RawData[[Error Type ]],$Q$5))</f>
        <v/>
      </c>
    </row>
    <row r="25382" spans="15:15" x14ac:dyDescent="0.25">
      <c r="O25382" s="20" t="str">
        <f>IF(N25382="","",COUNTIFS(RawData[[Date ]],N25382,RawData[Month List],$Q$6,RawData[Tour/Site],$Q$2,RawData[[Picker ID ]],$Q$3,RawData[Checker ID],$Q$4,RawData[[Error Type ]],$Q$5))</f>
        <v/>
      </c>
    </row>
    <row r="25383" spans="15:15" x14ac:dyDescent="0.25">
      <c r="O25383" s="20" t="str">
        <f>IF(N25383="","",COUNTIFS(RawData[[Date ]],N25383,RawData[Month List],$Q$6,RawData[Tour/Site],$Q$2,RawData[[Picker ID ]],$Q$3,RawData[Checker ID],$Q$4,RawData[[Error Type ]],$Q$5))</f>
        <v/>
      </c>
    </row>
    <row r="25384" spans="15:15" x14ac:dyDescent="0.25">
      <c r="O25384" s="20" t="str">
        <f>IF(N25384="","",COUNTIFS(RawData[[Date ]],N25384,RawData[Month List],$Q$6,RawData[Tour/Site],$Q$2,RawData[[Picker ID ]],$Q$3,RawData[Checker ID],$Q$4,RawData[[Error Type ]],$Q$5))</f>
        <v/>
      </c>
    </row>
    <row r="25385" spans="15:15" x14ac:dyDescent="0.25">
      <c r="O25385" s="20" t="str">
        <f>IF(N25385="","",COUNTIFS(RawData[[Date ]],N25385,RawData[Month List],$Q$6,RawData[Tour/Site],$Q$2,RawData[[Picker ID ]],$Q$3,RawData[Checker ID],$Q$4,RawData[[Error Type ]],$Q$5))</f>
        <v/>
      </c>
    </row>
    <row r="25386" spans="15:15" x14ac:dyDescent="0.25">
      <c r="O25386" s="20" t="str">
        <f>IF(N25386="","",COUNTIFS(RawData[[Date ]],N25386,RawData[Month List],$Q$6,RawData[Tour/Site],$Q$2,RawData[[Picker ID ]],$Q$3,RawData[Checker ID],$Q$4,RawData[[Error Type ]],$Q$5))</f>
        <v/>
      </c>
    </row>
    <row r="25387" spans="15:15" x14ac:dyDescent="0.25">
      <c r="O25387" s="20" t="str">
        <f>IF(N25387="","",COUNTIFS(RawData[[Date ]],N25387,RawData[Month List],$Q$6,RawData[Tour/Site],$Q$2,RawData[[Picker ID ]],$Q$3,RawData[Checker ID],$Q$4,RawData[[Error Type ]],$Q$5))</f>
        <v/>
      </c>
    </row>
    <row r="25388" spans="15:15" x14ac:dyDescent="0.25">
      <c r="O25388" s="20" t="str">
        <f>IF(N25388="","",COUNTIFS(RawData[[Date ]],N25388,RawData[Month List],$Q$6,RawData[Tour/Site],$Q$2,RawData[[Picker ID ]],$Q$3,RawData[Checker ID],$Q$4,RawData[[Error Type ]],$Q$5))</f>
        <v/>
      </c>
    </row>
    <row r="25389" spans="15:15" x14ac:dyDescent="0.25">
      <c r="O25389" s="20" t="str">
        <f>IF(N25389="","",COUNTIFS(RawData[[Date ]],N25389,RawData[Month List],$Q$6,RawData[Tour/Site],$Q$2,RawData[[Picker ID ]],$Q$3,RawData[Checker ID],$Q$4,RawData[[Error Type ]],$Q$5))</f>
        <v/>
      </c>
    </row>
    <row r="25390" spans="15:15" x14ac:dyDescent="0.25">
      <c r="O25390" s="20" t="str">
        <f>IF(N25390="","",COUNTIFS(RawData[[Date ]],N25390,RawData[Month List],$Q$6,RawData[Tour/Site],$Q$2,RawData[[Picker ID ]],$Q$3,RawData[Checker ID],$Q$4,RawData[[Error Type ]],$Q$5))</f>
        <v/>
      </c>
    </row>
    <row r="25391" spans="15:15" x14ac:dyDescent="0.25">
      <c r="O25391" s="20" t="str">
        <f>IF(N25391="","",COUNTIFS(RawData[[Date ]],N25391,RawData[Month List],$Q$6,RawData[Tour/Site],$Q$2,RawData[[Picker ID ]],$Q$3,RawData[Checker ID],$Q$4,RawData[[Error Type ]],$Q$5))</f>
        <v/>
      </c>
    </row>
    <row r="25392" spans="15:15" x14ac:dyDescent="0.25">
      <c r="O25392" s="20" t="str">
        <f>IF(N25392="","",COUNTIFS(RawData[[Date ]],N25392,RawData[Month List],$Q$6,RawData[Tour/Site],$Q$2,RawData[[Picker ID ]],$Q$3,RawData[Checker ID],$Q$4,RawData[[Error Type ]],$Q$5))</f>
        <v/>
      </c>
    </row>
    <row r="25393" spans="15:15" x14ac:dyDescent="0.25">
      <c r="O25393" s="20" t="str">
        <f>IF(N25393="","",COUNTIFS(RawData[[Date ]],N25393,RawData[Month List],$Q$6,RawData[Tour/Site],$Q$2,RawData[[Picker ID ]],$Q$3,RawData[Checker ID],$Q$4,RawData[[Error Type ]],$Q$5))</f>
        <v/>
      </c>
    </row>
    <row r="25394" spans="15:15" x14ac:dyDescent="0.25">
      <c r="O25394" s="20" t="str">
        <f>IF(N25394="","",COUNTIFS(RawData[[Date ]],N25394,RawData[Month List],$Q$6,RawData[Tour/Site],$Q$2,RawData[[Picker ID ]],$Q$3,RawData[Checker ID],$Q$4,RawData[[Error Type ]],$Q$5))</f>
        <v/>
      </c>
    </row>
    <row r="25395" spans="15:15" x14ac:dyDescent="0.25">
      <c r="O25395" s="20" t="str">
        <f>IF(N25395="","",COUNTIFS(RawData[[Date ]],N25395,RawData[Month List],$Q$6,RawData[Tour/Site],$Q$2,RawData[[Picker ID ]],$Q$3,RawData[Checker ID],$Q$4,RawData[[Error Type ]],$Q$5))</f>
        <v/>
      </c>
    </row>
    <row r="25396" spans="15:15" x14ac:dyDescent="0.25">
      <c r="O25396" s="20" t="str">
        <f>IF(N25396="","",COUNTIFS(RawData[[Date ]],N25396,RawData[Month List],$Q$6,RawData[Tour/Site],$Q$2,RawData[[Picker ID ]],$Q$3,RawData[Checker ID],$Q$4,RawData[[Error Type ]],$Q$5))</f>
        <v/>
      </c>
    </row>
    <row r="25397" spans="15:15" x14ac:dyDescent="0.25">
      <c r="O25397" s="20" t="str">
        <f>IF(N25397="","",COUNTIFS(RawData[[Date ]],N25397,RawData[Month List],$Q$6,RawData[Tour/Site],$Q$2,RawData[[Picker ID ]],$Q$3,RawData[Checker ID],$Q$4,RawData[[Error Type ]],$Q$5))</f>
        <v/>
      </c>
    </row>
    <row r="25398" spans="15:15" x14ac:dyDescent="0.25">
      <c r="O25398" s="20" t="str">
        <f>IF(N25398="","",COUNTIFS(RawData[[Date ]],N25398,RawData[Month List],$Q$6,RawData[Tour/Site],$Q$2,RawData[[Picker ID ]],$Q$3,RawData[Checker ID],$Q$4,RawData[[Error Type ]],$Q$5))</f>
        <v/>
      </c>
    </row>
    <row r="25399" spans="15:15" x14ac:dyDescent="0.25">
      <c r="O25399" s="20" t="str">
        <f>IF(N25399="","",COUNTIFS(RawData[[Date ]],N25399,RawData[Month List],$Q$6,RawData[Tour/Site],$Q$2,RawData[[Picker ID ]],$Q$3,RawData[Checker ID],$Q$4,RawData[[Error Type ]],$Q$5))</f>
        <v/>
      </c>
    </row>
    <row r="25400" spans="15:15" x14ac:dyDescent="0.25">
      <c r="O25400" s="20" t="str">
        <f>IF(N25400="","",COUNTIFS(RawData[[Date ]],N25400,RawData[Month List],$Q$6,RawData[Tour/Site],$Q$2,RawData[[Picker ID ]],$Q$3,RawData[Checker ID],$Q$4,RawData[[Error Type ]],$Q$5))</f>
        <v/>
      </c>
    </row>
    <row r="25401" spans="15:15" x14ac:dyDescent="0.25">
      <c r="O25401" s="20" t="str">
        <f>IF(N25401="","",COUNTIFS(RawData[[Date ]],N25401,RawData[Month List],$Q$6,RawData[Tour/Site],$Q$2,RawData[[Picker ID ]],$Q$3,RawData[Checker ID],$Q$4,RawData[[Error Type ]],$Q$5))</f>
        <v/>
      </c>
    </row>
    <row r="25402" spans="15:15" x14ac:dyDescent="0.25">
      <c r="O25402" s="20" t="str">
        <f>IF(N25402="","",COUNTIFS(RawData[[Date ]],N25402,RawData[Month List],$Q$6,RawData[Tour/Site],$Q$2,RawData[[Picker ID ]],$Q$3,RawData[Checker ID],$Q$4,RawData[[Error Type ]],$Q$5))</f>
        <v/>
      </c>
    </row>
    <row r="25403" spans="15:15" x14ac:dyDescent="0.25">
      <c r="O25403" s="20" t="str">
        <f>IF(N25403="","",COUNTIFS(RawData[[Date ]],N25403,RawData[Month List],$Q$6,RawData[Tour/Site],$Q$2,RawData[[Picker ID ]],$Q$3,RawData[Checker ID],$Q$4,RawData[[Error Type ]],$Q$5))</f>
        <v/>
      </c>
    </row>
    <row r="25404" spans="15:15" x14ac:dyDescent="0.25">
      <c r="O25404" s="20" t="str">
        <f>IF(N25404="","",COUNTIFS(RawData[[Date ]],N25404,RawData[Month List],$Q$6,RawData[Tour/Site],$Q$2,RawData[[Picker ID ]],$Q$3,RawData[Checker ID],$Q$4,RawData[[Error Type ]],$Q$5))</f>
        <v/>
      </c>
    </row>
    <row r="25405" spans="15:15" x14ac:dyDescent="0.25">
      <c r="O25405" s="20" t="str">
        <f>IF(N25405="","",COUNTIFS(RawData[[Date ]],N25405,RawData[Month List],$Q$6,RawData[Tour/Site],$Q$2,RawData[[Picker ID ]],$Q$3,RawData[Checker ID],$Q$4,RawData[[Error Type ]],$Q$5))</f>
        <v/>
      </c>
    </row>
    <row r="25406" spans="15:15" x14ac:dyDescent="0.25">
      <c r="O25406" s="20" t="str">
        <f>IF(N25406="","",COUNTIFS(RawData[[Date ]],N25406,RawData[Month List],$Q$6,RawData[Tour/Site],$Q$2,RawData[[Picker ID ]],$Q$3,RawData[Checker ID],$Q$4,RawData[[Error Type ]],$Q$5))</f>
        <v/>
      </c>
    </row>
    <row r="25407" spans="15:15" x14ac:dyDescent="0.25">
      <c r="O25407" s="20" t="str">
        <f>IF(N25407="","",COUNTIFS(RawData[[Date ]],N25407,RawData[Month List],$Q$6,RawData[Tour/Site],$Q$2,RawData[[Picker ID ]],$Q$3,RawData[Checker ID],$Q$4,RawData[[Error Type ]],$Q$5))</f>
        <v/>
      </c>
    </row>
    <row r="25408" spans="15:15" x14ac:dyDescent="0.25">
      <c r="O25408" s="20" t="str">
        <f>IF(N25408="","",COUNTIFS(RawData[[Date ]],N25408,RawData[Month List],$Q$6,RawData[Tour/Site],$Q$2,RawData[[Picker ID ]],$Q$3,RawData[Checker ID],$Q$4,RawData[[Error Type ]],$Q$5))</f>
        <v/>
      </c>
    </row>
    <row r="25409" spans="15:15" x14ac:dyDescent="0.25">
      <c r="O25409" s="20" t="str">
        <f>IF(N25409="","",COUNTIFS(RawData[[Date ]],N25409,RawData[Month List],$Q$6,RawData[Tour/Site],$Q$2,RawData[[Picker ID ]],$Q$3,RawData[Checker ID],$Q$4,RawData[[Error Type ]],$Q$5))</f>
        <v/>
      </c>
    </row>
    <row r="25410" spans="15:15" x14ac:dyDescent="0.25">
      <c r="O25410" s="20" t="str">
        <f>IF(N25410="","",COUNTIFS(RawData[[Date ]],N25410,RawData[Month List],$Q$6,RawData[Tour/Site],$Q$2,RawData[[Picker ID ]],$Q$3,RawData[Checker ID],$Q$4,RawData[[Error Type ]],$Q$5))</f>
        <v/>
      </c>
    </row>
    <row r="25411" spans="15:15" x14ac:dyDescent="0.25">
      <c r="O25411" s="20" t="str">
        <f>IF(N25411="","",COUNTIFS(RawData[[Date ]],N25411,RawData[Month List],$Q$6,RawData[Tour/Site],$Q$2,RawData[[Picker ID ]],$Q$3,RawData[Checker ID],$Q$4,RawData[[Error Type ]],$Q$5))</f>
        <v/>
      </c>
    </row>
    <row r="25412" spans="15:15" x14ac:dyDescent="0.25">
      <c r="O25412" s="20" t="str">
        <f>IF(N25412="","",COUNTIFS(RawData[[Date ]],N25412,RawData[Month List],$Q$6,RawData[Tour/Site],$Q$2,RawData[[Picker ID ]],$Q$3,RawData[Checker ID],$Q$4,RawData[[Error Type ]],$Q$5))</f>
        <v/>
      </c>
    </row>
    <row r="25413" spans="15:15" x14ac:dyDescent="0.25">
      <c r="O25413" s="20" t="str">
        <f>IF(N25413="","",COUNTIFS(RawData[[Date ]],N25413,RawData[Month List],$Q$6,RawData[Tour/Site],$Q$2,RawData[[Picker ID ]],$Q$3,RawData[Checker ID],$Q$4,RawData[[Error Type ]],$Q$5))</f>
        <v/>
      </c>
    </row>
    <row r="25414" spans="15:15" x14ac:dyDescent="0.25">
      <c r="O25414" s="20" t="str">
        <f>IF(N25414="","",COUNTIFS(RawData[[Date ]],N25414,RawData[Month List],$Q$6,RawData[Tour/Site],$Q$2,RawData[[Picker ID ]],$Q$3,RawData[Checker ID],$Q$4,RawData[[Error Type ]],$Q$5))</f>
        <v/>
      </c>
    </row>
    <row r="25415" spans="15:15" x14ac:dyDescent="0.25">
      <c r="O25415" s="20" t="str">
        <f>IF(N25415="","",COUNTIFS(RawData[[Date ]],N25415,RawData[Month List],$Q$6,RawData[Tour/Site],$Q$2,RawData[[Picker ID ]],$Q$3,RawData[Checker ID],$Q$4,RawData[[Error Type ]],$Q$5))</f>
        <v/>
      </c>
    </row>
    <row r="25416" spans="15:15" x14ac:dyDescent="0.25">
      <c r="O25416" s="20" t="str">
        <f>IF(N25416="","",COUNTIFS(RawData[[Date ]],N25416,RawData[Month List],$Q$6,RawData[Tour/Site],$Q$2,RawData[[Picker ID ]],$Q$3,RawData[Checker ID],$Q$4,RawData[[Error Type ]],$Q$5))</f>
        <v/>
      </c>
    </row>
    <row r="25417" spans="15:15" x14ac:dyDescent="0.25">
      <c r="O25417" s="20" t="str">
        <f>IF(N25417="","",COUNTIFS(RawData[[Date ]],N25417,RawData[Month List],$Q$6,RawData[Tour/Site],$Q$2,RawData[[Picker ID ]],$Q$3,RawData[Checker ID],$Q$4,RawData[[Error Type ]],$Q$5))</f>
        <v/>
      </c>
    </row>
    <row r="25418" spans="15:15" x14ac:dyDescent="0.25">
      <c r="O25418" s="20" t="str">
        <f>IF(N25418="","",COUNTIFS(RawData[[Date ]],N25418,RawData[Month List],$Q$6,RawData[Tour/Site],$Q$2,RawData[[Picker ID ]],$Q$3,RawData[Checker ID],$Q$4,RawData[[Error Type ]],$Q$5))</f>
        <v/>
      </c>
    </row>
    <row r="25419" spans="15:15" x14ac:dyDescent="0.25">
      <c r="O25419" s="20" t="str">
        <f>IF(N25419="","",COUNTIFS(RawData[[Date ]],N25419,RawData[Month List],$Q$6,RawData[Tour/Site],$Q$2,RawData[[Picker ID ]],$Q$3,RawData[Checker ID],$Q$4,RawData[[Error Type ]],$Q$5))</f>
        <v/>
      </c>
    </row>
    <row r="25420" spans="15:15" x14ac:dyDescent="0.25">
      <c r="O25420" s="20" t="str">
        <f>IF(N25420="","",COUNTIFS(RawData[[Date ]],N25420,RawData[Month List],$Q$6,RawData[Tour/Site],$Q$2,RawData[[Picker ID ]],$Q$3,RawData[Checker ID],$Q$4,RawData[[Error Type ]],$Q$5))</f>
        <v/>
      </c>
    </row>
    <row r="25421" spans="15:15" x14ac:dyDescent="0.25">
      <c r="O25421" s="20" t="str">
        <f>IF(N25421="","",COUNTIFS(RawData[[Date ]],N25421,RawData[Month List],$Q$6,RawData[Tour/Site],$Q$2,RawData[[Picker ID ]],$Q$3,RawData[Checker ID],$Q$4,RawData[[Error Type ]],$Q$5))</f>
        <v/>
      </c>
    </row>
    <row r="25422" spans="15:15" x14ac:dyDescent="0.25">
      <c r="O25422" s="20" t="str">
        <f>IF(N25422="","",COUNTIFS(RawData[[Date ]],N25422,RawData[Month List],$Q$6,RawData[Tour/Site],$Q$2,RawData[[Picker ID ]],$Q$3,RawData[Checker ID],$Q$4,RawData[[Error Type ]],$Q$5))</f>
        <v/>
      </c>
    </row>
    <row r="25423" spans="15:15" x14ac:dyDescent="0.25">
      <c r="O25423" s="20" t="str">
        <f>IF(N25423="","",COUNTIFS(RawData[[Date ]],N25423,RawData[Month List],$Q$6,RawData[Tour/Site],$Q$2,RawData[[Picker ID ]],$Q$3,RawData[Checker ID],$Q$4,RawData[[Error Type ]],$Q$5))</f>
        <v/>
      </c>
    </row>
    <row r="25424" spans="15:15" x14ac:dyDescent="0.25">
      <c r="O25424" s="20" t="str">
        <f>IF(N25424="","",COUNTIFS(RawData[[Date ]],N25424,RawData[Month List],$Q$6,RawData[Tour/Site],$Q$2,RawData[[Picker ID ]],$Q$3,RawData[Checker ID],$Q$4,RawData[[Error Type ]],$Q$5))</f>
        <v/>
      </c>
    </row>
    <row r="25425" spans="15:15" x14ac:dyDescent="0.25">
      <c r="O25425" s="20" t="str">
        <f>IF(N25425="","",COUNTIFS(RawData[[Date ]],N25425,RawData[Month List],$Q$6,RawData[Tour/Site],$Q$2,RawData[[Picker ID ]],$Q$3,RawData[Checker ID],$Q$4,RawData[[Error Type ]],$Q$5))</f>
        <v/>
      </c>
    </row>
    <row r="25426" spans="15:15" x14ac:dyDescent="0.25">
      <c r="O25426" s="20" t="str">
        <f>IF(N25426="","",COUNTIFS(RawData[[Date ]],N25426,RawData[Month List],$Q$6,RawData[Tour/Site],$Q$2,RawData[[Picker ID ]],$Q$3,RawData[Checker ID],$Q$4,RawData[[Error Type ]],$Q$5))</f>
        <v/>
      </c>
    </row>
    <row r="25427" spans="15:15" x14ac:dyDescent="0.25">
      <c r="O25427" s="20" t="str">
        <f>IF(N25427="","",COUNTIFS(RawData[[Date ]],N25427,RawData[Month List],$Q$6,RawData[Tour/Site],$Q$2,RawData[[Picker ID ]],$Q$3,RawData[Checker ID],$Q$4,RawData[[Error Type ]],$Q$5))</f>
        <v/>
      </c>
    </row>
    <row r="25428" spans="15:15" x14ac:dyDescent="0.25">
      <c r="O25428" s="20" t="str">
        <f>IF(N25428="","",COUNTIFS(RawData[[Date ]],N25428,RawData[Month List],$Q$6,RawData[Tour/Site],$Q$2,RawData[[Picker ID ]],$Q$3,RawData[Checker ID],$Q$4,RawData[[Error Type ]],$Q$5))</f>
        <v/>
      </c>
    </row>
    <row r="25429" spans="15:15" x14ac:dyDescent="0.25">
      <c r="O25429" s="20" t="str">
        <f>IF(N25429="","",COUNTIFS(RawData[[Date ]],N25429,RawData[Month List],$Q$6,RawData[Tour/Site],$Q$2,RawData[[Picker ID ]],$Q$3,RawData[Checker ID],$Q$4,RawData[[Error Type ]],$Q$5))</f>
        <v/>
      </c>
    </row>
    <row r="25430" spans="15:15" x14ac:dyDescent="0.25">
      <c r="O25430" s="20" t="str">
        <f>IF(N25430="","",COUNTIFS(RawData[[Date ]],N25430,RawData[Month List],$Q$6,RawData[Tour/Site],$Q$2,RawData[[Picker ID ]],$Q$3,RawData[Checker ID],$Q$4,RawData[[Error Type ]],$Q$5))</f>
        <v/>
      </c>
    </row>
    <row r="25431" spans="15:15" x14ac:dyDescent="0.25">
      <c r="O25431" s="20" t="str">
        <f>IF(N25431="","",COUNTIFS(RawData[[Date ]],N25431,RawData[Month List],$Q$6,RawData[Tour/Site],$Q$2,RawData[[Picker ID ]],$Q$3,RawData[Checker ID],$Q$4,RawData[[Error Type ]],$Q$5))</f>
        <v/>
      </c>
    </row>
    <row r="25432" spans="15:15" x14ac:dyDescent="0.25">
      <c r="O25432" s="20" t="str">
        <f>IF(N25432="","",COUNTIFS(RawData[[Date ]],N25432,RawData[Month List],$Q$6,RawData[Tour/Site],$Q$2,RawData[[Picker ID ]],$Q$3,RawData[Checker ID],$Q$4,RawData[[Error Type ]],$Q$5))</f>
        <v/>
      </c>
    </row>
    <row r="25433" spans="15:15" x14ac:dyDescent="0.25">
      <c r="O25433" s="20" t="str">
        <f>IF(N25433="","",COUNTIFS(RawData[[Date ]],N25433,RawData[Month List],$Q$6,RawData[Tour/Site],$Q$2,RawData[[Picker ID ]],$Q$3,RawData[Checker ID],$Q$4,RawData[[Error Type ]],$Q$5))</f>
        <v/>
      </c>
    </row>
    <row r="25434" spans="15:15" x14ac:dyDescent="0.25">
      <c r="O25434" s="20" t="str">
        <f>IF(N25434="","",COUNTIFS(RawData[[Date ]],N25434,RawData[Month List],$Q$6,RawData[Tour/Site],$Q$2,RawData[[Picker ID ]],$Q$3,RawData[Checker ID],$Q$4,RawData[[Error Type ]],$Q$5))</f>
        <v/>
      </c>
    </row>
    <row r="25435" spans="15:15" x14ac:dyDescent="0.25">
      <c r="O25435" s="20" t="str">
        <f>IF(N25435="","",COUNTIFS(RawData[[Date ]],N25435,RawData[Month List],$Q$6,RawData[Tour/Site],$Q$2,RawData[[Picker ID ]],$Q$3,RawData[Checker ID],$Q$4,RawData[[Error Type ]],$Q$5))</f>
        <v/>
      </c>
    </row>
    <row r="25436" spans="15:15" x14ac:dyDescent="0.25">
      <c r="O25436" s="20" t="str">
        <f>IF(N25436="","",COUNTIFS(RawData[[Date ]],N25436,RawData[Month List],$Q$6,RawData[Tour/Site],$Q$2,RawData[[Picker ID ]],$Q$3,RawData[Checker ID],$Q$4,RawData[[Error Type ]],$Q$5))</f>
        <v/>
      </c>
    </row>
    <row r="25437" spans="15:15" x14ac:dyDescent="0.25">
      <c r="O25437" s="20" t="str">
        <f>IF(N25437="","",COUNTIFS(RawData[[Date ]],N25437,RawData[Month List],$Q$6,RawData[Tour/Site],$Q$2,RawData[[Picker ID ]],$Q$3,RawData[Checker ID],$Q$4,RawData[[Error Type ]],$Q$5))</f>
        <v/>
      </c>
    </row>
    <row r="25438" spans="15:15" x14ac:dyDescent="0.25">
      <c r="O25438" s="20" t="str">
        <f>IF(N25438="","",COUNTIFS(RawData[[Date ]],N25438,RawData[Month List],$Q$6,RawData[Tour/Site],$Q$2,RawData[[Picker ID ]],$Q$3,RawData[Checker ID],$Q$4,RawData[[Error Type ]],$Q$5))</f>
        <v/>
      </c>
    </row>
    <row r="25439" spans="15:15" x14ac:dyDescent="0.25">
      <c r="O25439" s="20" t="str">
        <f>IF(N25439="","",COUNTIFS(RawData[[Date ]],N25439,RawData[Month List],$Q$6,RawData[Tour/Site],$Q$2,RawData[[Picker ID ]],$Q$3,RawData[Checker ID],$Q$4,RawData[[Error Type ]],$Q$5))</f>
        <v/>
      </c>
    </row>
    <row r="25440" spans="15:15" x14ac:dyDescent="0.25">
      <c r="O25440" s="20" t="str">
        <f>IF(N25440="","",COUNTIFS(RawData[[Date ]],N25440,RawData[Month List],$Q$6,RawData[Tour/Site],$Q$2,RawData[[Picker ID ]],$Q$3,RawData[Checker ID],$Q$4,RawData[[Error Type ]],$Q$5))</f>
        <v/>
      </c>
    </row>
    <row r="25441" spans="15:15" x14ac:dyDescent="0.25">
      <c r="O25441" s="20" t="str">
        <f>IF(N25441="","",COUNTIFS(RawData[[Date ]],N25441,RawData[Month List],$Q$6,RawData[Tour/Site],$Q$2,RawData[[Picker ID ]],$Q$3,RawData[Checker ID],$Q$4,RawData[[Error Type ]],$Q$5))</f>
        <v/>
      </c>
    </row>
    <row r="25442" spans="15:15" x14ac:dyDescent="0.25">
      <c r="O25442" s="20" t="str">
        <f>IF(N25442="","",COUNTIFS(RawData[[Date ]],N25442,RawData[Month List],$Q$6,RawData[Tour/Site],$Q$2,RawData[[Picker ID ]],$Q$3,RawData[Checker ID],$Q$4,RawData[[Error Type ]],$Q$5))</f>
        <v/>
      </c>
    </row>
    <row r="25443" spans="15:15" x14ac:dyDescent="0.25">
      <c r="O25443" s="20" t="str">
        <f>IF(N25443="","",COUNTIFS(RawData[[Date ]],N25443,RawData[Month List],$Q$6,RawData[Tour/Site],$Q$2,RawData[[Picker ID ]],$Q$3,RawData[Checker ID],$Q$4,RawData[[Error Type ]],$Q$5))</f>
        <v/>
      </c>
    </row>
    <row r="25444" spans="15:15" x14ac:dyDescent="0.25">
      <c r="O25444" s="20" t="str">
        <f>IF(N25444="","",COUNTIFS(RawData[[Date ]],N25444,RawData[Month List],$Q$6,RawData[Tour/Site],$Q$2,RawData[[Picker ID ]],$Q$3,RawData[Checker ID],$Q$4,RawData[[Error Type ]],$Q$5))</f>
        <v/>
      </c>
    </row>
    <row r="25445" spans="15:15" x14ac:dyDescent="0.25">
      <c r="O25445" s="20" t="str">
        <f>IF(N25445="","",COUNTIFS(RawData[[Date ]],N25445,RawData[Month List],$Q$6,RawData[Tour/Site],$Q$2,RawData[[Picker ID ]],$Q$3,RawData[Checker ID],$Q$4,RawData[[Error Type ]],$Q$5))</f>
        <v/>
      </c>
    </row>
    <row r="25446" spans="15:15" x14ac:dyDescent="0.25">
      <c r="O25446" s="20" t="str">
        <f>IF(N25446="","",COUNTIFS(RawData[[Date ]],N25446,RawData[Month List],$Q$6,RawData[Tour/Site],$Q$2,RawData[[Picker ID ]],$Q$3,RawData[Checker ID],$Q$4,RawData[[Error Type ]],$Q$5))</f>
        <v/>
      </c>
    </row>
    <row r="25447" spans="15:15" x14ac:dyDescent="0.25">
      <c r="O25447" s="20" t="str">
        <f>IF(N25447="","",COUNTIFS(RawData[[Date ]],N25447,RawData[Month List],$Q$6,RawData[Tour/Site],$Q$2,RawData[[Picker ID ]],$Q$3,RawData[Checker ID],$Q$4,RawData[[Error Type ]],$Q$5))</f>
        <v/>
      </c>
    </row>
    <row r="25448" spans="15:15" x14ac:dyDescent="0.25">
      <c r="O25448" s="20" t="str">
        <f>IF(N25448="","",COUNTIFS(RawData[[Date ]],N25448,RawData[Month List],$Q$6,RawData[Tour/Site],$Q$2,RawData[[Picker ID ]],$Q$3,RawData[Checker ID],$Q$4,RawData[[Error Type ]],$Q$5))</f>
        <v/>
      </c>
    </row>
    <row r="25449" spans="15:15" x14ac:dyDescent="0.25">
      <c r="O25449" s="20" t="str">
        <f>IF(N25449="","",COUNTIFS(RawData[[Date ]],N25449,RawData[Month List],$Q$6,RawData[Tour/Site],$Q$2,RawData[[Picker ID ]],$Q$3,RawData[Checker ID],$Q$4,RawData[[Error Type ]],$Q$5))</f>
        <v/>
      </c>
    </row>
    <row r="25450" spans="15:15" x14ac:dyDescent="0.25">
      <c r="O25450" s="20" t="str">
        <f>IF(N25450="","",COUNTIFS(RawData[[Date ]],N25450,RawData[Month List],$Q$6,RawData[Tour/Site],$Q$2,RawData[[Picker ID ]],$Q$3,RawData[Checker ID],$Q$4,RawData[[Error Type ]],$Q$5))</f>
        <v/>
      </c>
    </row>
    <row r="25451" spans="15:15" x14ac:dyDescent="0.25">
      <c r="O25451" s="20" t="str">
        <f>IF(N25451="","",COUNTIFS(RawData[[Date ]],N25451,RawData[Month List],$Q$6,RawData[Tour/Site],$Q$2,RawData[[Picker ID ]],$Q$3,RawData[Checker ID],$Q$4,RawData[[Error Type ]],$Q$5))</f>
        <v/>
      </c>
    </row>
    <row r="25452" spans="15:15" x14ac:dyDescent="0.25">
      <c r="O25452" s="20" t="str">
        <f>IF(N25452="","",COUNTIFS(RawData[[Date ]],N25452,RawData[Month List],$Q$6,RawData[Tour/Site],$Q$2,RawData[[Picker ID ]],$Q$3,RawData[Checker ID],$Q$4,RawData[[Error Type ]],$Q$5))</f>
        <v/>
      </c>
    </row>
    <row r="25453" spans="15:15" x14ac:dyDescent="0.25">
      <c r="O25453" s="20" t="str">
        <f>IF(N25453="","",COUNTIFS(RawData[[Date ]],N25453,RawData[Month List],$Q$6,RawData[Tour/Site],$Q$2,RawData[[Picker ID ]],$Q$3,RawData[Checker ID],$Q$4,RawData[[Error Type ]],$Q$5))</f>
        <v/>
      </c>
    </row>
    <row r="25454" spans="15:15" x14ac:dyDescent="0.25">
      <c r="O25454" s="20" t="str">
        <f>IF(N25454="","",COUNTIFS(RawData[[Date ]],N25454,RawData[Month List],$Q$6,RawData[Tour/Site],$Q$2,RawData[[Picker ID ]],$Q$3,RawData[Checker ID],$Q$4,RawData[[Error Type ]],$Q$5))</f>
        <v/>
      </c>
    </row>
    <row r="25455" spans="15:15" x14ac:dyDescent="0.25">
      <c r="O25455" s="20" t="str">
        <f>IF(N25455="","",COUNTIFS(RawData[[Date ]],N25455,RawData[Month List],$Q$6,RawData[Tour/Site],$Q$2,RawData[[Picker ID ]],$Q$3,RawData[Checker ID],$Q$4,RawData[[Error Type ]],$Q$5))</f>
        <v/>
      </c>
    </row>
    <row r="25456" spans="15:15" x14ac:dyDescent="0.25">
      <c r="O25456" s="20" t="str">
        <f>IF(N25456="","",COUNTIFS(RawData[[Date ]],N25456,RawData[Month List],$Q$6,RawData[Tour/Site],$Q$2,RawData[[Picker ID ]],$Q$3,RawData[Checker ID],$Q$4,RawData[[Error Type ]],$Q$5))</f>
        <v/>
      </c>
    </row>
    <row r="25457" spans="15:15" x14ac:dyDescent="0.25">
      <c r="O25457" s="20" t="str">
        <f>IF(N25457="","",COUNTIFS(RawData[[Date ]],N25457,RawData[Month List],$Q$6,RawData[Tour/Site],$Q$2,RawData[[Picker ID ]],$Q$3,RawData[Checker ID],$Q$4,RawData[[Error Type ]],$Q$5))</f>
        <v/>
      </c>
    </row>
    <row r="25458" spans="15:15" x14ac:dyDescent="0.25">
      <c r="O25458" s="20" t="str">
        <f>IF(N25458="","",COUNTIFS(RawData[[Date ]],N25458,RawData[Month List],$Q$6,RawData[Tour/Site],$Q$2,RawData[[Picker ID ]],$Q$3,RawData[Checker ID],$Q$4,RawData[[Error Type ]],$Q$5))</f>
        <v/>
      </c>
    </row>
    <row r="25459" spans="15:15" x14ac:dyDescent="0.25">
      <c r="O25459" s="20" t="str">
        <f>IF(N25459="","",COUNTIFS(RawData[[Date ]],N25459,RawData[Month List],$Q$6,RawData[Tour/Site],$Q$2,RawData[[Picker ID ]],$Q$3,RawData[Checker ID],$Q$4,RawData[[Error Type ]],$Q$5))</f>
        <v/>
      </c>
    </row>
    <row r="25460" spans="15:15" x14ac:dyDescent="0.25">
      <c r="O25460" s="20" t="str">
        <f>IF(N25460="","",COUNTIFS(RawData[[Date ]],N25460,RawData[Month List],$Q$6,RawData[Tour/Site],$Q$2,RawData[[Picker ID ]],$Q$3,RawData[Checker ID],$Q$4,RawData[[Error Type ]],$Q$5))</f>
        <v/>
      </c>
    </row>
    <row r="25461" spans="15:15" x14ac:dyDescent="0.25">
      <c r="O25461" s="20" t="str">
        <f>IF(N25461="","",COUNTIFS(RawData[[Date ]],N25461,RawData[Month List],$Q$6,RawData[Tour/Site],$Q$2,RawData[[Picker ID ]],$Q$3,RawData[Checker ID],$Q$4,RawData[[Error Type ]],$Q$5))</f>
        <v/>
      </c>
    </row>
    <row r="25462" spans="15:15" x14ac:dyDescent="0.25">
      <c r="O25462" s="20" t="str">
        <f>IF(N25462="","",COUNTIFS(RawData[[Date ]],N25462,RawData[Month List],$Q$6,RawData[Tour/Site],$Q$2,RawData[[Picker ID ]],$Q$3,RawData[Checker ID],$Q$4,RawData[[Error Type ]],$Q$5))</f>
        <v/>
      </c>
    </row>
    <row r="25463" spans="15:15" x14ac:dyDescent="0.25">
      <c r="O25463" s="20" t="str">
        <f>IF(N25463="","",COUNTIFS(RawData[[Date ]],N25463,RawData[Month List],$Q$6,RawData[Tour/Site],$Q$2,RawData[[Picker ID ]],$Q$3,RawData[Checker ID],$Q$4,RawData[[Error Type ]],$Q$5))</f>
        <v/>
      </c>
    </row>
    <row r="25464" spans="15:15" x14ac:dyDescent="0.25">
      <c r="O25464" s="20" t="str">
        <f>IF(N25464="","",COUNTIFS(RawData[[Date ]],N25464,RawData[Month List],$Q$6,RawData[Tour/Site],$Q$2,RawData[[Picker ID ]],$Q$3,RawData[Checker ID],$Q$4,RawData[[Error Type ]],$Q$5))</f>
        <v/>
      </c>
    </row>
    <row r="25465" spans="15:15" x14ac:dyDescent="0.25">
      <c r="O25465" s="20" t="str">
        <f>IF(N25465="","",COUNTIFS(RawData[[Date ]],N25465,RawData[Month List],$Q$6,RawData[Tour/Site],$Q$2,RawData[[Picker ID ]],$Q$3,RawData[Checker ID],$Q$4,RawData[[Error Type ]],$Q$5))</f>
        <v/>
      </c>
    </row>
    <row r="25466" spans="15:15" x14ac:dyDescent="0.25">
      <c r="O25466" s="20" t="str">
        <f>IF(N25466="","",COUNTIFS(RawData[[Date ]],N25466,RawData[Month List],$Q$6,RawData[Tour/Site],$Q$2,RawData[[Picker ID ]],$Q$3,RawData[Checker ID],$Q$4,RawData[[Error Type ]],$Q$5))</f>
        <v/>
      </c>
    </row>
    <row r="25467" spans="15:15" x14ac:dyDescent="0.25">
      <c r="O25467" s="20" t="str">
        <f>IF(N25467="","",COUNTIFS(RawData[[Date ]],N25467,RawData[Month List],$Q$6,RawData[Tour/Site],$Q$2,RawData[[Picker ID ]],$Q$3,RawData[Checker ID],$Q$4,RawData[[Error Type ]],$Q$5))</f>
        <v/>
      </c>
    </row>
    <row r="25468" spans="15:15" x14ac:dyDescent="0.25">
      <c r="O25468" s="20" t="str">
        <f>IF(N25468="","",COUNTIFS(RawData[[Date ]],N25468,RawData[Month List],$Q$6,RawData[Tour/Site],$Q$2,RawData[[Picker ID ]],$Q$3,RawData[Checker ID],$Q$4,RawData[[Error Type ]],$Q$5))</f>
        <v/>
      </c>
    </row>
    <row r="25469" spans="15:15" x14ac:dyDescent="0.25">
      <c r="O25469" s="20" t="str">
        <f>IF(N25469="","",COUNTIFS(RawData[[Date ]],N25469,RawData[Month List],$Q$6,RawData[Tour/Site],$Q$2,RawData[[Picker ID ]],$Q$3,RawData[Checker ID],$Q$4,RawData[[Error Type ]],$Q$5))</f>
        <v/>
      </c>
    </row>
    <row r="25470" spans="15:15" x14ac:dyDescent="0.25">
      <c r="O25470" s="20" t="str">
        <f>IF(N25470="","",COUNTIFS(RawData[[Date ]],N25470,RawData[Month List],$Q$6,RawData[Tour/Site],$Q$2,RawData[[Picker ID ]],$Q$3,RawData[Checker ID],$Q$4,RawData[[Error Type ]],$Q$5))</f>
        <v/>
      </c>
    </row>
    <row r="25471" spans="15:15" x14ac:dyDescent="0.25">
      <c r="O25471" s="20" t="str">
        <f>IF(N25471="","",COUNTIFS(RawData[[Date ]],N25471,RawData[Month List],$Q$6,RawData[Tour/Site],$Q$2,RawData[[Picker ID ]],$Q$3,RawData[Checker ID],$Q$4,RawData[[Error Type ]],$Q$5))</f>
        <v/>
      </c>
    </row>
    <row r="25472" spans="15:15" x14ac:dyDescent="0.25">
      <c r="O25472" s="20" t="str">
        <f>IF(N25472="","",COUNTIFS(RawData[[Date ]],N25472,RawData[Month List],$Q$6,RawData[Tour/Site],$Q$2,RawData[[Picker ID ]],$Q$3,RawData[Checker ID],$Q$4,RawData[[Error Type ]],$Q$5))</f>
        <v/>
      </c>
    </row>
    <row r="25473" spans="15:15" x14ac:dyDescent="0.25">
      <c r="O25473" s="20" t="str">
        <f>IF(N25473="","",COUNTIFS(RawData[[Date ]],N25473,RawData[Month List],$Q$6,RawData[Tour/Site],$Q$2,RawData[[Picker ID ]],$Q$3,RawData[Checker ID],$Q$4,RawData[[Error Type ]],$Q$5))</f>
        <v/>
      </c>
    </row>
    <row r="25474" spans="15:15" x14ac:dyDescent="0.25">
      <c r="O25474" s="20" t="str">
        <f>IF(N25474="","",COUNTIFS(RawData[[Date ]],N25474,RawData[Month List],$Q$6,RawData[Tour/Site],$Q$2,RawData[[Picker ID ]],$Q$3,RawData[Checker ID],$Q$4,RawData[[Error Type ]],$Q$5))</f>
        <v/>
      </c>
    </row>
    <row r="25475" spans="15:15" x14ac:dyDescent="0.25">
      <c r="O25475" s="20" t="str">
        <f>IF(N25475="","",COUNTIFS(RawData[[Date ]],N25475,RawData[Month List],$Q$6,RawData[Tour/Site],$Q$2,RawData[[Picker ID ]],$Q$3,RawData[Checker ID],$Q$4,RawData[[Error Type ]],$Q$5))</f>
        <v/>
      </c>
    </row>
    <row r="25476" spans="15:15" x14ac:dyDescent="0.25">
      <c r="O25476" s="20" t="str">
        <f>IF(N25476="","",COUNTIFS(RawData[[Date ]],N25476,RawData[Month List],$Q$6,RawData[Tour/Site],$Q$2,RawData[[Picker ID ]],$Q$3,RawData[Checker ID],$Q$4,RawData[[Error Type ]],$Q$5))</f>
        <v/>
      </c>
    </row>
    <row r="25477" spans="15:15" x14ac:dyDescent="0.25">
      <c r="O25477" s="20" t="str">
        <f>IF(N25477="","",COUNTIFS(RawData[[Date ]],N25477,RawData[Month List],$Q$6,RawData[Tour/Site],$Q$2,RawData[[Picker ID ]],$Q$3,RawData[Checker ID],$Q$4,RawData[[Error Type ]],$Q$5))</f>
        <v/>
      </c>
    </row>
    <row r="25478" spans="15:15" x14ac:dyDescent="0.25">
      <c r="O25478" s="20" t="str">
        <f>IF(N25478="","",COUNTIFS(RawData[[Date ]],N25478,RawData[Month List],$Q$6,RawData[Tour/Site],$Q$2,RawData[[Picker ID ]],$Q$3,RawData[Checker ID],$Q$4,RawData[[Error Type ]],$Q$5))</f>
        <v/>
      </c>
    </row>
    <row r="25479" spans="15:15" x14ac:dyDescent="0.25">
      <c r="O25479" s="20" t="str">
        <f>IF(N25479="","",COUNTIFS(RawData[[Date ]],N25479,RawData[Month List],$Q$6,RawData[Tour/Site],$Q$2,RawData[[Picker ID ]],$Q$3,RawData[Checker ID],$Q$4,RawData[[Error Type ]],$Q$5))</f>
        <v/>
      </c>
    </row>
    <row r="25480" spans="15:15" x14ac:dyDescent="0.25">
      <c r="O25480" s="20" t="str">
        <f>IF(N25480="","",COUNTIFS(RawData[[Date ]],N25480,RawData[Month List],$Q$6,RawData[Tour/Site],$Q$2,RawData[[Picker ID ]],$Q$3,RawData[Checker ID],$Q$4,RawData[[Error Type ]],$Q$5))</f>
        <v/>
      </c>
    </row>
    <row r="25481" spans="15:15" x14ac:dyDescent="0.25">
      <c r="O25481" s="20" t="str">
        <f>IF(N25481="","",COUNTIFS(RawData[[Date ]],N25481,RawData[Month List],$Q$6,RawData[Tour/Site],$Q$2,RawData[[Picker ID ]],$Q$3,RawData[Checker ID],$Q$4,RawData[[Error Type ]],$Q$5))</f>
        <v/>
      </c>
    </row>
    <row r="25482" spans="15:15" x14ac:dyDescent="0.25">
      <c r="O25482" s="20" t="str">
        <f>IF(N25482="","",COUNTIFS(RawData[[Date ]],N25482,RawData[Month List],$Q$6,RawData[Tour/Site],$Q$2,RawData[[Picker ID ]],$Q$3,RawData[Checker ID],$Q$4,RawData[[Error Type ]],$Q$5))</f>
        <v/>
      </c>
    </row>
    <row r="25483" spans="15:15" x14ac:dyDescent="0.25">
      <c r="O25483" s="20" t="str">
        <f>IF(N25483="","",COUNTIFS(RawData[[Date ]],N25483,RawData[Month List],$Q$6,RawData[Tour/Site],$Q$2,RawData[[Picker ID ]],$Q$3,RawData[Checker ID],$Q$4,RawData[[Error Type ]],$Q$5))</f>
        <v/>
      </c>
    </row>
    <row r="25484" spans="15:15" x14ac:dyDescent="0.25">
      <c r="O25484" s="20" t="str">
        <f>IF(N25484="","",COUNTIFS(RawData[[Date ]],N25484,RawData[Month List],$Q$6,RawData[Tour/Site],$Q$2,RawData[[Picker ID ]],$Q$3,RawData[Checker ID],$Q$4,RawData[[Error Type ]],$Q$5))</f>
        <v/>
      </c>
    </row>
    <row r="25485" spans="15:15" x14ac:dyDescent="0.25">
      <c r="O25485" s="20" t="str">
        <f>IF(N25485="","",COUNTIFS(RawData[[Date ]],N25485,RawData[Month List],$Q$6,RawData[Tour/Site],$Q$2,RawData[[Picker ID ]],$Q$3,RawData[Checker ID],$Q$4,RawData[[Error Type ]],$Q$5))</f>
        <v/>
      </c>
    </row>
    <row r="25486" spans="15:15" x14ac:dyDescent="0.25">
      <c r="O25486" s="20" t="str">
        <f>IF(N25486="","",COUNTIFS(RawData[[Date ]],N25486,RawData[Month List],$Q$6,RawData[Tour/Site],$Q$2,RawData[[Picker ID ]],$Q$3,RawData[Checker ID],$Q$4,RawData[[Error Type ]],$Q$5))</f>
        <v/>
      </c>
    </row>
    <row r="25487" spans="15:15" x14ac:dyDescent="0.25">
      <c r="O25487" s="20" t="str">
        <f>IF(N25487="","",COUNTIFS(RawData[[Date ]],N25487,RawData[Month List],$Q$6,RawData[Tour/Site],$Q$2,RawData[[Picker ID ]],$Q$3,RawData[Checker ID],$Q$4,RawData[[Error Type ]],$Q$5))</f>
        <v/>
      </c>
    </row>
    <row r="25488" spans="15:15" x14ac:dyDescent="0.25">
      <c r="O25488" s="20" t="str">
        <f>IF(N25488="","",COUNTIFS(RawData[[Date ]],N25488,RawData[Month List],$Q$6,RawData[Tour/Site],$Q$2,RawData[[Picker ID ]],$Q$3,RawData[Checker ID],$Q$4,RawData[[Error Type ]],$Q$5))</f>
        <v/>
      </c>
    </row>
    <row r="25489" spans="15:15" x14ac:dyDescent="0.25">
      <c r="O25489" s="20" t="str">
        <f>IF(N25489="","",COUNTIFS(RawData[[Date ]],N25489,RawData[Month List],$Q$6,RawData[Tour/Site],$Q$2,RawData[[Picker ID ]],$Q$3,RawData[Checker ID],$Q$4,RawData[[Error Type ]],$Q$5))</f>
        <v/>
      </c>
    </row>
    <row r="25490" spans="15:15" x14ac:dyDescent="0.25">
      <c r="O25490" s="20" t="str">
        <f>IF(N25490="","",COUNTIFS(RawData[[Date ]],N25490,RawData[Month List],$Q$6,RawData[Tour/Site],$Q$2,RawData[[Picker ID ]],$Q$3,RawData[Checker ID],$Q$4,RawData[[Error Type ]],$Q$5))</f>
        <v/>
      </c>
    </row>
    <row r="25491" spans="15:15" x14ac:dyDescent="0.25">
      <c r="O25491" s="20" t="str">
        <f>IF(N25491="","",COUNTIFS(RawData[[Date ]],N25491,RawData[Month List],$Q$6,RawData[Tour/Site],$Q$2,RawData[[Picker ID ]],$Q$3,RawData[Checker ID],$Q$4,RawData[[Error Type ]],$Q$5))</f>
        <v/>
      </c>
    </row>
    <row r="25492" spans="15:15" x14ac:dyDescent="0.25">
      <c r="O25492" s="20" t="str">
        <f>IF(N25492="","",COUNTIFS(RawData[[Date ]],N25492,RawData[Month List],$Q$6,RawData[Tour/Site],$Q$2,RawData[[Picker ID ]],$Q$3,RawData[Checker ID],$Q$4,RawData[[Error Type ]],$Q$5))</f>
        <v/>
      </c>
    </row>
    <row r="25493" spans="15:15" x14ac:dyDescent="0.25">
      <c r="O25493" s="20" t="str">
        <f>IF(N25493="","",COUNTIFS(RawData[[Date ]],N25493,RawData[Month List],$Q$6,RawData[Tour/Site],$Q$2,RawData[[Picker ID ]],$Q$3,RawData[Checker ID],$Q$4,RawData[[Error Type ]],$Q$5))</f>
        <v/>
      </c>
    </row>
    <row r="25494" spans="15:15" x14ac:dyDescent="0.25">
      <c r="O25494" s="20" t="str">
        <f>IF(N25494="","",COUNTIFS(RawData[[Date ]],N25494,RawData[Month List],$Q$6,RawData[Tour/Site],$Q$2,RawData[[Picker ID ]],$Q$3,RawData[Checker ID],$Q$4,RawData[[Error Type ]],$Q$5))</f>
        <v/>
      </c>
    </row>
    <row r="25495" spans="15:15" x14ac:dyDescent="0.25">
      <c r="O25495" s="20" t="str">
        <f>IF(N25495="","",COUNTIFS(RawData[[Date ]],N25495,RawData[Month List],$Q$6,RawData[Tour/Site],$Q$2,RawData[[Picker ID ]],$Q$3,RawData[Checker ID],$Q$4,RawData[[Error Type ]],$Q$5))</f>
        <v/>
      </c>
    </row>
    <row r="25496" spans="15:15" x14ac:dyDescent="0.25">
      <c r="O25496" s="20" t="str">
        <f>IF(N25496="","",COUNTIFS(RawData[[Date ]],N25496,RawData[Month List],$Q$6,RawData[Tour/Site],$Q$2,RawData[[Picker ID ]],$Q$3,RawData[Checker ID],$Q$4,RawData[[Error Type ]],$Q$5))</f>
        <v/>
      </c>
    </row>
    <row r="25497" spans="15:15" x14ac:dyDescent="0.25">
      <c r="O25497" s="20" t="str">
        <f>IF(N25497="","",COUNTIFS(RawData[[Date ]],N25497,RawData[Month List],$Q$6,RawData[Tour/Site],$Q$2,RawData[[Picker ID ]],$Q$3,RawData[Checker ID],$Q$4,RawData[[Error Type ]],$Q$5))</f>
        <v/>
      </c>
    </row>
    <row r="25498" spans="15:15" x14ac:dyDescent="0.25">
      <c r="O25498" s="20" t="str">
        <f>IF(N25498="","",COUNTIFS(RawData[[Date ]],N25498,RawData[Month List],$Q$6,RawData[Tour/Site],$Q$2,RawData[[Picker ID ]],$Q$3,RawData[Checker ID],$Q$4,RawData[[Error Type ]],$Q$5))</f>
        <v/>
      </c>
    </row>
    <row r="25499" spans="15:15" x14ac:dyDescent="0.25">
      <c r="O25499" s="20" t="str">
        <f>IF(N25499="","",COUNTIFS(RawData[[Date ]],N25499,RawData[Month List],$Q$6,RawData[Tour/Site],$Q$2,RawData[[Picker ID ]],$Q$3,RawData[Checker ID],$Q$4,RawData[[Error Type ]],$Q$5))</f>
        <v/>
      </c>
    </row>
    <row r="25500" spans="15:15" x14ac:dyDescent="0.25">
      <c r="O25500" s="20" t="str">
        <f>IF(N25500="","",COUNTIFS(RawData[[Date ]],N25500,RawData[Month List],$Q$6,RawData[Tour/Site],$Q$2,RawData[[Picker ID ]],$Q$3,RawData[Checker ID],$Q$4,RawData[[Error Type ]],$Q$5))</f>
        <v/>
      </c>
    </row>
    <row r="25501" spans="15:15" x14ac:dyDescent="0.25">
      <c r="O25501" s="20" t="str">
        <f>IF(N25501="","",COUNTIFS(RawData[[Date ]],N25501,RawData[Month List],$Q$6,RawData[Tour/Site],$Q$2,RawData[[Picker ID ]],$Q$3,RawData[Checker ID],$Q$4,RawData[[Error Type ]],$Q$5))</f>
        <v/>
      </c>
    </row>
    <row r="25502" spans="15:15" x14ac:dyDescent="0.25">
      <c r="O25502" s="20" t="str">
        <f>IF(N25502="","",COUNTIFS(RawData[[Date ]],N25502,RawData[Month List],$Q$6,RawData[Tour/Site],$Q$2,RawData[[Picker ID ]],$Q$3,RawData[Checker ID],$Q$4,RawData[[Error Type ]],$Q$5))</f>
        <v/>
      </c>
    </row>
    <row r="25503" spans="15:15" x14ac:dyDescent="0.25">
      <c r="O25503" s="20" t="str">
        <f>IF(N25503="","",COUNTIFS(RawData[[Date ]],N25503,RawData[Month List],$Q$6,RawData[Tour/Site],$Q$2,RawData[[Picker ID ]],$Q$3,RawData[Checker ID],$Q$4,RawData[[Error Type ]],$Q$5))</f>
        <v/>
      </c>
    </row>
    <row r="25504" spans="15:15" x14ac:dyDescent="0.25">
      <c r="O25504" s="20" t="str">
        <f>IF(N25504="","",COUNTIFS(RawData[[Date ]],N25504,RawData[Month List],$Q$6,RawData[Tour/Site],$Q$2,RawData[[Picker ID ]],$Q$3,RawData[Checker ID],$Q$4,RawData[[Error Type ]],$Q$5))</f>
        <v/>
      </c>
    </row>
    <row r="25505" spans="15:15" x14ac:dyDescent="0.25">
      <c r="O25505" s="20" t="str">
        <f>IF(N25505="","",COUNTIFS(RawData[[Date ]],N25505,RawData[Month List],$Q$6,RawData[Tour/Site],$Q$2,RawData[[Picker ID ]],$Q$3,RawData[Checker ID],$Q$4,RawData[[Error Type ]],$Q$5))</f>
        <v/>
      </c>
    </row>
    <row r="25506" spans="15:15" x14ac:dyDescent="0.25">
      <c r="O25506" s="20" t="str">
        <f>IF(N25506="","",COUNTIFS(RawData[[Date ]],N25506,RawData[Month List],$Q$6,RawData[Tour/Site],$Q$2,RawData[[Picker ID ]],$Q$3,RawData[Checker ID],$Q$4,RawData[[Error Type ]],$Q$5))</f>
        <v/>
      </c>
    </row>
    <row r="25507" spans="15:15" x14ac:dyDescent="0.25">
      <c r="O25507" s="20" t="str">
        <f>IF(N25507="","",COUNTIFS(RawData[[Date ]],N25507,RawData[Month List],$Q$6,RawData[Tour/Site],$Q$2,RawData[[Picker ID ]],$Q$3,RawData[Checker ID],$Q$4,RawData[[Error Type ]],$Q$5))</f>
        <v/>
      </c>
    </row>
    <row r="25508" spans="15:15" x14ac:dyDescent="0.25">
      <c r="O25508" s="20" t="str">
        <f>IF(N25508="","",COUNTIFS(RawData[[Date ]],N25508,RawData[Month List],$Q$6,RawData[Tour/Site],$Q$2,RawData[[Picker ID ]],$Q$3,RawData[Checker ID],$Q$4,RawData[[Error Type ]],$Q$5))</f>
        <v/>
      </c>
    </row>
    <row r="25509" spans="15:15" x14ac:dyDescent="0.25">
      <c r="O25509" s="20" t="str">
        <f>IF(N25509="","",COUNTIFS(RawData[[Date ]],N25509,RawData[Month List],$Q$6,RawData[Tour/Site],$Q$2,RawData[[Picker ID ]],$Q$3,RawData[Checker ID],$Q$4,RawData[[Error Type ]],$Q$5))</f>
        <v/>
      </c>
    </row>
    <row r="25510" spans="15:15" x14ac:dyDescent="0.25">
      <c r="O25510" s="20" t="str">
        <f>IF(N25510="","",COUNTIFS(RawData[[Date ]],N25510,RawData[Month List],$Q$6,RawData[Tour/Site],$Q$2,RawData[[Picker ID ]],$Q$3,RawData[Checker ID],$Q$4,RawData[[Error Type ]],$Q$5))</f>
        <v/>
      </c>
    </row>
    <row r="25511" spans="15:15" x14ac:dyDescent="0.25">
      <c r="O25511" s="20" t="str">
        <f>IF(N25511="","",COUNTIFS(RawData[[Date ]],N25511,RawData[Month List],$Q$6,RawData[Tour/Site],$Q$2,RawData[[Picker ID ]],$Q$3,RawData[Checker ID],$Q$4,RawData[[Error Type ]],$Q$5))</f>
        <v/>
      </c>
    </row>
    <row r="25512" spans="15:15" x14ac:dyDescent="0.25">
      <c r="O25512" s="20" t="str">
        <f>IF(N25512="","",COUNTIFS(RawData[[Date ]],N25512,RawData[Month List],$Q$6,RawData[Tour/Site],$Q$2,RawData[[Picker ID ]],$Q$3,RawData[Checker ID],$Q$4,RawData[[Error Type ]],$Q$5))</f>
        <v/>
      </c>
    </row>
    <row r="25513" spans="15:15" x14ac:dyDescent="0.25">
      <c r="O25513" s="20" t="str">
        <f>IF(N25513="","",COUNTIFS(RawData[[Date ]],N25513,RawData[Month List],$Q$6,RawData[Tour/Site],$Q$2,RawData[[Picker ID ]],$Q$3,RawData[Checker ID],$Q$4,RawData[[Error Type ]],$Q$5))</f>
        <v/>
      </c>
    </row>
    <row r="25514" spans="15:15" x14ac:dyDescent="0.25">
      <c r="O25514" s="20" t="str">
        <f>IF(N25514="","",COUNTIFS(RawData[[Date ]],N25514,RawData[Month List],$Q$6,RawData[Tour/Site],$Q$2,RawData[[Picker ID ]],$Q$3,RawData[Checker ID],$Q$4,RawData[[Error Type ]],$Q$5))</f>
        <v/>
      </c>
    </row>
    <row r="25515" spans="15:15" x14ac:dyDescent="0.25">
      <c r="O25515" s="20" t="str">
        <f>IF(N25515="","",COUNTIFS(RawData[[Date ]],N25515,RawData[Month List],$Q$6,RawData[Tour/Site],$Q$2,RawData[[Picker ID ]],$Q$3,RawData[Checker ID],$Q$4,RawData[[Error Type ]],$Q$5))</f>
        <v/>
      </c>
    </row>
    <row r="25516" spans="15:15" x14ac:dyDescent="0.25">
      <c r="O25516" s="20" t="str">
        <f>IF(N25516="","",COUNTIFS(RawData[[Date ]],N25516,RawData[Month List],$Q$6,RawData[Tour/Site],$Q$2,RawData[[Picker ID ]],$Q$3,RawData[Checker ID],$Q$4,RawData[[Error Type ]],$Q$5))</f>
        <v/>
      </c>
    </row>
    <row r="25517" spans="15:15" x14ac:dyDescent="0.25">
      <c r="O25517" s="20" t="str">
        <f>IF(N25517="","",COUNTIFS(RawData[[Date ]],N25517,RawData[Month List],$Q$6,RawData[Tour/Site],$Q$2,RawData[[Picker ID ]],$Q$3,RawData[Checker ID],$Q$4,RawData[[Error Type ]],$Q$5))</f>
        <v/>
      </c>
    </row>
    <row r="25518" spans="15:15" x14ac:dyDescent="0.25">
      <c r="O25518" s="20" t="str">
        <f>IF(N25518="","",COUNTIFS(RawData[[Date ]],N25518,RawData[Month List],$Q$6,RawData[Tour/Site],$Q$2,RawData[[Picker ID ]],$Q$3,RawData[Checker ID],$Q$4,RawData[[Error Type ]],$Q$5))</f>
        <v/>
      </c>
    </row>
    <row r="25519" spans="15:15" x14ac:dyDescent="0.25">
      <c r="O25519" s="20" t="str">
        <f>IF(N25519="","",COUNTIFS(RawData[[Date ]],N25519,RawData[Month List],$Q$6,RawData[Tour/Site],$Q$2,RawData[[Picker ID ]],$Q$3,RawData[Checker ID],$Q$4,RawData[[Error Type ]],$Q$5))</f>
        <v/>
      </c>
    </row>
    <row r="25520" spans="15:15" x14ac:dyDescent="0.25">
      <c r="O25520" s="20" t="str">
        <f>IF(N25520="","",COUNTIFS(RawData[[Date ]],N25520,RawData[Month List],$Q$6,RawData[Tour/Site],$Q$2,RawData[[Picker ID ]],$Q$3,RawData[Checker ID],$Q$4,RawData[[Error Type ]],$Q$5))</f>
        <v/>
      </c>
    </row>
    <row r="25521" spans="15:15" x14ac:dyDescent="0.25">
      <c r="O25521" s="20" t="str">
        <f>IF(N25521="","",COUNTIFS(RawData[[Date ]],N25521,RawData[Month List],$Q$6,RawData[Tour/Site],$Q$2,RawData[[Picker ID ]],$Q$3,RawData[Checker ID],$Q$4,RawData[[Error Type ]],$Q$5))</f>
        <v/>
      </c>
    </row>
    <row r="25522" spans="15:15" x14ac:dyDescent="0.25">
      <c r="O25522" s="20" t="str">
        <f>IF(N25522="","",COUNTIFS(RawData[[Date ]],N25522,RawData[Month List],$Q$6,RawData[Tour/Site],$Q$2,RawData[[Picker ID ]],$Q$3,RawData[Checker ID],$Q$4,RawData[[Error Type ]],$Q$5))</f>
        <v/>
      </c>
    </row>
    <row r="25523" spans="15:15" x14ac:dyDescent="0.25">
      <c r="O25523" s="20" t="str">
        <f>IF(N25523="","",COUNTIFS(RawData[[Date ]],N25523,RawData[Month List],$Q$6,RawData[Tour/Site],$Q$2,RawData[[Picker ID ]],$Q$3,RawData[Checker ID],$Q$4,RawData[[Error Type ]],$Q$5))</f>
        <v/>
      </c>
    </row>
    <row r="25524" spans="15:15" x14ac:dyDescent="0.25">
      <c r="O25524" s="20" t="str">
        <f>IF(N25524="","",COUNTIFS(RawData[[Date ]],N25524,RawData[Month List],$Q$6,RawData[Tour/Site],$Q$2,RawData[[Picker ID ]],$Q$3,RawData[Checker ID],$Q$4,RawData[[Error Type ]],$Q$5))</f>
        <v/>
      </c>
    </row>
    <row r="25525" spans="15:15" x14ac:dyDescent="0.25">
      <c r="O25525" s="20" t="str">
        <f>IF(N25525="","",COUNTIFS(RawData[[Date ]],N25525,RawData[Month List],$Q$6,RawData[Tour/Site],$Q$2,RawData[[Picker ID ]],$Q$3,RawData[Checker ID],$Q$4,RawData[[Error Type ]],$Q$5))</f>
        <v/>
      </c>
    </row>
    <row r="25526" spans="15:15" x14ac:dyDescent="0.25">
      <c r="O25526" s="20" t="str">
        <f>IF(N25526="","",COUNTIFS(RawData[[Date ]],N25526,RawData[Month List],$Q$6,RawData[Tour/Site],$Q$2,RawData[[Picker ID ]],$Q$3,RawData[Checker ID],$Q$4,RawData[[Error Type ]],$Q$5))</f>
        <v/>
      </c>
    </row>
    <row r="25527" spans="15:15" x14ac:dyDescent="0.25">
      <c r="O25527" s="20" t="str">
        <f>IF(N25527="","",COUNTIFS(RawData[[Date ]],N25527,RawData[Month List],$Q$6,RawData[Tour/Site],$Q$2,RawData[[Picker ID ]],$Q$3,RawData[Checker ID],$Q$4,RawData[[Error Type ]],$Q$5))</f>
        <v/>
      </c>
    </row>
    <row r="25528" spans="15:15" x14ac:dyDescent="0.25">
      <c r="O25528" s="20" t="str">
        <f>IF(N25528="","",COUNTIFS(RawData[[Date ]],N25528,RawData[Month List],$Q$6,RawData[Tour/Site],$Q$2,RawData[[Picker ID ]],$Q$3,RawData[Checker ID],$Q$4,RawData[[Error Type ]],$Q$5))</f>
        <v/>
      </c>
    </row>
    <row r="25529" spans="15:15" x14ac:dyDescent="0.25">
      <c r="O25529" s="20" t="str">
        <f>IF(N25529="","",COUNTIFS(RawData[[Date ]],N25529,RawData[Month List],$Q$6,RawData[Tour/Site],$Q$2,RawData[[Picker ID ]],$Q$3,RawData[Checker ID],$Q$4,RawData[[Error Type ]],$Q$5))</f>
        <v/>
      </c>
    </row>
    <row r="25530" spans="15:15" x14ac:dyDescent="0.25">
      <c r="O25530" s="20" t="str">
        <f>IF(N25530="","",COUNTIFS(RawData[[Date ]],N25530,RawData[Month List],$Q$6,RawData[Tour/Site],$Q$2,RawData[[Picker ID ]],$Q$3,RawData[Checker ID],$Q$4,RawData[[Error Type ]],$Q$5))</f>
        <v/>
      </c>
    </row>
    <row r="25531" spans="15:15" x14ac:dyDescent="0.25">
      <c r="O25531" s="20" t="str">
        <f>IF(N25531="","",COUNTIFS(RawData[[Date ]],N25531,RawData[Month List],$Q$6,RawData[Tour/Site],$Q$2,RawData[[Picker ID ]],$Q$3,RawData[Checker ID],$Q$4,RawData[[Error Type ]],$Q$5))</f>
        <v/>
      </c>
    </row>
    <row r="25532" spans="15:15" x14ac:dyDescent="0.25">
      <c r="O25532" s="20" t="str">
        <f>IF(N25532="","",COUNTIFS(RawData[[Date ]],N25532,RawData[Month List],$Q$6,RawData[Tour/Site],$Q$2,RawData[[Picker ID ]],$Q$3,RawData[Checker ID],$Q$4,RawData[[Error Type ]],$Q$5))</f>
        <v/>
      </c>
    </row>
    <row r="25533" spans="15:15" x14ac:dyDescent="0.25">
      <c r="O25533" s="20" t="str">
        <f>IF(N25533="","",COUNTIFS(RawData[[Date ]],N25533,RawData[Month List],$Q$6,RawData[Tour/Site],$Q$2,RawData[[Picker ID ]],$Q$3,RawData[Checker ID],$Q$4,RawData[[Error Type ]],$Q$5))</f>
        <v/>
      </c>
    </row>
    <row r="25534" spans="15:15" x14ac:dyDescent="0.25">
      <c r="O25534" s="20" t="str">
        <f>IF(N25534="","",COUNTIFS(RawData[[Date ]],N25534,RawData[Month List],$Q$6,RawData[Tour/Site],$Q$2,RawData[[Picker ID ]],$Q$3,RawData[Checker ID],$Q$4,RawData[[Error Type ]],$Q$5))</f>
        <v/>
      </c>
    </row>
    <row r="25535" spans="15:15" x14ac:dyDescent="0.25">
      <c r="O25535" s="20" t="str">
        <f>IF(N25535="","",COUNTIFS(RawData[[Date ]],N25535,RawData[Month List],$Q$6,RawData[Tour/Site],$Q$2,RawData[[Picker ID ]],$Q$3,RawData[Checker ID],$Q$4,RawData[[Error Type ]],$Q$5))</f>
        <v/>
      </c>
    </row>
    <row r="25536" spans="15:15" x14ac:dyDescent="0.25">
      <c r="O25536" s="20" t="str">
        <f>IF(N25536="","",COUNTIFS(RawData[[Date ]],N25536,RawData[Month List],$Q$6,RawData[Tour/Site],$Q$2,RawData[[Picker ID ]],$Q$3,RawData[Checker ID],$Q$4,RawData[[Error Type ]],$Q$5))</f>
        <v/>
      </c>
    </row>
    <row r="25537" spans="15:15" x14ac:dyDescent="0.25">
      <c r="O25537" s="20" t="str">
        <f>IF(N25537="","",COUNTIFS(RawData[[Date ]],N25537,RawData[Month List],$Q$6,RawData[Tour/Site],$Q$2,RawData[[Picker ID ]],$Q$3,RawData[Checker ID],$Q$4,RawData[[Error Type ]],$Q$5))</f>
        <v/>
      </c>
    </row>
    <row r="25538" spans="15:15" x14ac:dyDescent="0.25">
      <c r="O25538" s="20" t="str">
        <f>IF(N25538="","",COUNTIFS(RawData[[Date ]],N25538,RawData[Month List],$Q$6,RawData[Tour/Site],$Q$2,RawData[[Picker ID ]],$Q$3,RawData[Checker ID],$Q$4,RawData[[Error Type ]],$Q$5))</f>
        <v/>
      </c>
    </row>
    <row r="25539" spans="15:15" x14ac:dyDescent="0.25">
      <c r="O25539" s="20" t="str">
        <f>IF(N25539="","",COUNTIFS(RawData[[Date ]],N25539,RawData[Month List],$Q$6,RawData[Tour/Site],$Q$2,RawData[[Picker ID ]],$Q$3,RawData[Checker ID],$Q$4,RawData[[Error Type ]],$Q$5))</f>
        <v/>
      </c>
    </row>
    <row r="25540" spans="15:15" x14ac:dyDescent="0.25">
      <c r="O25540" s="20" t="str">
        <f>IF(N25540="","",COUNTIFS(RawData[[Date ]],N25540,RawData[Month List],$Q$6,RawData[Tour/Site],$Q$2,RawData[[Picker ID ]],$Q$3,RawData[Checker ID],$Q$4,RawData[[Error Type ]],$Q$5))</f>
        <v/>
      </c>
    </row>
    <row r="25541" spans="15:15" x14ac:dyDescent="0.25">
      <c r="O25541" s="20" t="str">
        <f>IF(N25541="","",COUNTIFS(RawData[[Date ]],N25541,RawData[Month List],$Q$6,RawData[Tour/Site],$Q$2,RawData[[Picker ID ]],$Q$3,RawData[Checker ID],$Q$4,RawData[[Error Type ]],$Q$5))</f>
        <v/>
      </c>
    </row>
    <row r="25542" spans="15:15" x14ac:dyDescent="0.25">
      <c r="O25542" s="20" t="str">
        <f>IF(N25542="","",COUNTIFS(RawData[[Date ]],N25542,RawData[Month List],$Q$6,RawData[Tour/Site],$Q$2,RawData[[Picker ID ]],$Q$3,RawData[Checker ID],$Q$4,RawData[[Error Type ]],$Q$5))</f>
        <v/>
      </c>
    </row>
    <row r="25543" spans="15:15" x14ac:dyDescent="0.25">
      <c r="O25543" s="20" t="str">
        <f>IF(N25543="","",COUNTIFS(RawData[[Date ]],N25543,RawData[Month List],$Q$6,RawData[Tour/Site],$Q$2,RawData[[Picker ID ]],$Q$3,RawData[Checker ID],$Q$4,RawData[[Error Type ]],$Q$5))</f>
        <v/>
      </c>
    </row>
    <row r="25544" spans="15:15" x14ac:dyDescent="0.25">
      <c r="O25544" s="20" t="str">
        <f>IF(N25544="","",COUNTIFS(RawData[[Date ]],N25544,RawData[Month List],$Q$6,RawData[Tour/Site],$Q$2,RawData[[Picker ID ]],$Q$3,RawData[Checker ID],$Q$4,RawData[[Error Type ]],$Q$5))</f>
        <v/>
      </c>
    </row>
    <row r="25545" spans="15:15" x14ac:dyDescent="0.25">
      <c r="O25545" s="20" t="str">
        <f>IF(N25545="","",COUNTIFS(RawData[[Date ]],N25545,RawData[Month List],$Q$6,RawData[Tour/Site],$Q$2,RawData[[Picker ID ]],$Q$3,RawData[Checker ID],$Q$4,RawData[[Error Type ]],$Q$5))</f>
        <v/>
      </c>
    </row>
    <row r="25546" spans="15:15" x14ac:dyDescent="0.25">
      <c r="O25546" s="20" t="str">
        <f>IF(N25546="","",COUNTIFS(RawData[[Date ]],N25546,RawData[Month List],$Q$6,RawData[Tour/Site],$Q$2,RawData[[Picker ID ]],$Q$3,RawData[Checker ID],$Q$4,RawData[[Error Type ]],$Q$5))</f>
        <v/>
      </c>
    </row>
    <row r="25547" spans="15:15" x14ac:dyDescent="0.25">
      <c r="O25547" s="20" t="str">
        <f>IF(N25547="","",COUNTIFS(RawData[[Date ]],N25547,RawData[Month List],$Q$6,RawData[Tour/Site],$Q$2,RawData[[Picker ID ]],$Q$3,RawData[Checker ID],$Q$4,RawData[[Error Type ]],$Q$5))</f>
        <v/>
      </c>
    </row>
    <row r="25548" spans="15:15" x14ac:dyDescent="0.25">
      <c r="O25548" s="20" t="str">
        <f>IF(N25548="","",COUNTIFS(RawData[[Date ]],N25548,RawData[Month List],$Q$6,RawData[Tour/Site],$Q$2,RawData[[Picker ID ]],$Q$3,RawData[Checker ID],$Q$4,RawData[[Error Type ]],$Q$5))</f>
        <v/>
      </c>
    </row>
    <row r="25549" spans="15:15" x14ac:dyDescent="0.25">
      <c r="O25549" s="20" t="str">
        <f>IF(N25549="","",COUNTIFS(RawData[[Date ]],N25549,RawData[Month List],$Q$6,RawData[Tour/Site],$Q$2,RawData[[Picker ID ]],$Q$3,RawData[Checker ID],$Q$4,RawData[[Error Type ]],$Q$5))</f>
        <v/>
      </c>
    </row>
    <row r="25550" spans="15:15" x14ac:dyDescent="0.25">
      <c r="O25550" s="20" t="str">
        <f>IF(N25550="","",COUNTIFS(RawData[[Date ]],N25550,RawData[Month List],$Q$6,RawData[Tour/Site],$Q$2,RawData[[Picker ID ]],$Q$3,RawData[Checker ID],$Q$4,RawData[[Error Type ]],$Q$5))</f>
        <v/>
      </c>
    </row>
    <row r="25551" spans="15:15" x14ac:dyDescent="0.25">
      <c r="O25551" s="20" t="str">
        <f>IF(N25551="","",COUNTIFS(RawData[[Date ]],N25551,RawData[Month List],$Q$6,RawData[Tour/Site],$Q$2,RawData[[Picker ID ]],$Q$3,RawData[Checker ID],$Q$4,RawData[[Error Type ]],$Q$5))</f>
        <v/>
      </c>
    </row>
    <row r="25552" spans="15:15" x14ac:dyDescent="0.25">
      <c r="O25552" s="20" t="str">
        <f>IF(N25552="","",COUNTIFS(RawData[[Date ]],N25552,RawData[Month List],$Q$6,RawData[Tour/Site],$Q$2,RawData[[Picker ID ]],$Q$3,RawData[Checker ID],$Q$4,RawData[[Error Type ]],$Q$5))</f>
        <v/>
      </c>
    </row>
    <row r="25553" spans="15:15" x14ac:dyDescent="0.25">
      <c r="O25553" s="20" t="str">
        <f>IF(N25553="","",COUNTIFS(RawData[[Date ]],N25553,RawData[Month List],$Q$6,RawData[Tour/Site],$Q$2,RawData[[Picker ID ]],$Q$3,RawData[Checker ID],$Q$4,RawData[[Error Type ]],$Q$5))</f>
        <v/>
      </c>
    </row>
    <row r="25554" spans="15:15" x14ac:dyDescent="0.25">
      <c r="O25554" s="20" t="str">
        <f>IF(N25554="","",COUNTIFS(RawData[[Date ]],N25554,RawData[Month List],$Q$6,RawData[Tour/Site],$Q$2,RawData[[Picker ID ]],$Q$3,RawData[Checker ID],$Q$4,RawData[[Error Type ]],$Q$5))</f>
        <v/>
      </c>
    </row>
    <row r="25555" spans="15:15" x14ac:dyDescent="0.25">
      <c r="O25555" s="20" t="str">
        <f>IF(N25555="","",COUNTIFS(RawData[[Date ]],N25555,RawData[Month List],$Q$6,RawData[Tour/Site],$Q$2,RawData[[Picker ID ]],$Q$3,RawData[Checker ID],$Q$4,RawData[[Error Type ]],$Q$5))</f>
        <v/>
      </c>
    </row>
    <row r="25556" spans="15:15" x14ac:dyDescent="0.25">
      <c r="O25556" s="20" t="str">
        <f>IF(N25556="","",COUNTIFS(RawData[[Date ]],N25556,RawData[Month List],$Q$6,RawData[Tour/Site],$Q$2,RawData[[Picker ID ]],$Q$3,RawData[Checker ID],$Q$4,RawData[[Error Type ]],$Q$5))</f>
        <v/>
      </c>
    </row>
    <row r="25557" spans="15:15" x14ac:dyDescent="0.25">
      <c r="O25557" s="20" t="str">
        <f>IF(N25557="","",COUNTIFS(RawData[[Date ]],N25557,RawData[Month List],$Q$6,RawData[Tour/Site],$Q$2,RawData[[Picker ID ]],$Q$3,RawData[Checker ID],$Q$4,RawData[[Error Type ]],$Q$5))</f>
        <v/>
      </c>
    </row>
    <row r="25558" spans="15:15" x14ac:dyDescent="0.25">
      <c r="O25558" s="20" t="str">
        <f>IF(N25558="","",COUNTIFS(RawData[[Date ]],N25558,RawData[Month List],$Q$6,RawData[Tour/Site],$Q$2,RawData[[Picker ID ]],$Q$3,RawData[Checker ID],$Q$4,RawData[[Error Type ]],$Q$5))</f>
        <v/>
      </c>
    </row>
    <row r="25559" spans="15:15" x14ac:dyDescent="0.25">
      <c r="O25559" s="20" t="str">
        <f>IF(N25559="","",COUNTIFS(RawData[[Date ]],N25559,RawData[Month List],$Q$6,RawData[Tour/Site],$Q$2,RawData[[Picker ID ]],$Q$3,RawData[Checker ID],$Q$4,RawData[[Error Type ]],$Q$5))</f>
        <v/>
      </c>
    </row>
    <row r="25560" spans="15:15" x14ac:dyDescent="0.25">
      <c r="O25560" s="20" t="str">
        <f>IF(N25560="","",COUNTIFS(RawData[[Date ]],N25560,RawData[Month List],$Q$6,RawData[Tour/Site],$Q$2,RawData[[Picker ID ]],$Q$3,RawData[Checker ID],$Q$4,RawData[[Error Type ]],$Q$5))</f>
        <v/>
      </c>
    </row>
    <row r="25561" spans="15:15" x14ac:dyDescent="0.25">
      <c r="O25561" s="20" t="str">
        <f>IF(N25561="","",COUNTIFS(RawData[[Date ]],N25561,RawData[Month List],$Q$6,RawData[Tour/Site],$Q$2,RawData[[Picker ID ]],$Q$3,RawData[Checker ID],$Q$4,RawData[[Error Type ]],$Q$5))</f>
        <v/>
      </c>
    </row>
    <row r="25562" spans="15:15" x14ac:dyDescent="0.25">
      <c r="O25562" s="20" t="str">
        <f>IF(N25562="","",COUNTIFS(RawData[[Date ]],N25562,RawData[Month List],$Q$6,RawData[Tour/Site],$Q$2,RawData[[Picker ID ]],$Q$3,RawData[Checker ID],$Q$4,RawData[[Error Type ]],$Q$5))</f>
        <v/>
      </c>
    </row>
    <row r="25563" spans="15:15" x14ac:dyDescent="0.25">
      <c r="O25563" s="20" t="str">
        <f>IF(N25563="","",COUNTIFS(RawData[[Date ]],N25563,RawData[Month List],$Q$6,RawData[Tour/Site],$Q$2,RawData[[Picker ID ]],$Q$3,RawData[Checker ID],$Q$4,RawData[[Error Type ]],$Q$5))</f>
        <v/>
      </c>
    </row>
    <row r="25564" spans="15:15" x14ac:dyDescent="0.25">
      <c r="O25564" s="20" t="str">
        <f>IF(N25564="","",COUNTIFS(RawData[[Date ]],N25564,RawData[Month List],$Q$6,RawData[Tour/Site],$Q$2,RawData[[Picker ID ]],$Q$3,RawData[Checker ID],$Q$4,RawData[[Error Type ]],$Q$5))</f>
        <v/>
      </c>
    </row>
    <row r="25565" spans="15:15" x14ac:dyDescent="0.25">
      <c r="O25565" s="20" t="str">
        <f>IF(N25565="","",COUNTIFS(RawData[[Date ]],N25565,RawData[Month List],$Q$6,RawData[Tour/Site],$Q$2,RawData[[Picker ID ]],$Q$3,RawData[Checker ID],$Q$4,RawData[[Error Type ]],$Q$5))</f>
        <v/>
      </c>
    </row>
    <row r="25566" spans="15:15" x14ac:dyDescent="0.25">
      <c r="O25566" s="20" t="str">
        <f>IF(N25566="","",COUNTIFS(RawData[[Date ]],N25566,RawData[Month List],$Q$6,RawData[Tour/Site],$Q$2,RawData[[Picker ID ]],$Q$3,RawData[Checker ID],$Q$4,RawData[[Error Type ]],$Q$5))</f>
        <v/>
      </c>
    </row>
    <row r="25567" spans="15:15" x14ac:dyDescent="0.25">
      <c r="O25567" s="20" t="str">
        <f>IF(N25567="","",COUNTIFS(RawData[[Date ]],N25567,RawData[Month List],$Q$6,RawData[Tour/Site],$Q$2,RawData[[Picker ID ]],$Q$3,RawData[Checker ID],$Q$4,RawData[[Error Type ]],$Q$5))</f>
        <v/>
      </c>
    </row>
    <row r="25568" spans="15:15" x14ac:dyDescent="0.25">
      <c r="O25568" s="20" t="str">
        <f>IF(N25568="","",COUNTIFS(RawData[[Date ]],N25568,RawData[Month List],$Q$6,RawData[Tour/Site],$Q$2,RawData[[Picker ID ]],$Q$3,RawData[Checker ID],$Q$4,RawData[[Error Type ]],$Q$5))</f>
        <v/>
      </c>
    </row>
    <row r="25569" spans="15:15" x14ac:dyDescent="0.25">
      <c r="O25569" s="20" t="str">
        <f>IF(N25569="","",COUNTIFS(RawData[[Date ]],N25569,RawData[Month List],$Q$6,RawData[Tour/Site],$Q$2,RawData[[Picker ID ]],$Q$3,RawData[Checker ID],$Q$4,RawData[[Error Type ]],$Q$5))</f>
        <v/>
      </c>
    </row>
    <row r="25570" spans="15:15" x14ac:dyDescent="0.25">
      <c r="O25570" s="20" t="str">
        <f>IF(N25570="","",COUNTIFS(RawData[[Date ]],N25570,RawData[Month List],$Q$6,RawData[Tour/Site],$Q$2,RawData[[Picker ID ]],$Q$3,RawData[Checker ID],$Q$4,RawData[[Error Type ]],$Q$5))</f>
        <v/>
      </c>
    </row>
    <row r="25571" spans="15:15" x14ac:dyDescent="0.25">
      <c r="O25571" s="20" t="str">
        <f>IF(N25571="","",COUNTIFS(RawData[[Date ]],N25571,RawData[Month List],$Q$6,RawData[Tour/Site],$Q$2,RawData[[Picker ID ]],$Q$3,RawData[Checker ID],$Q$4,RawData[[Error Type ]],$Q$5))</f>
        <v/>
      </c>
    </row>
    <row r="25572" spans="15:15" x14ac:dyDescent="0.25">
      <c r="O25572" s="20" t="str">
        <f>IF(N25572="","",COUNTIFS(RawData[[Date ]],N25572,RawData[Month List],$Q$6,RawData[Tour/Site],$Q$2,RawData[[Picker ID ]],$Q$3,RawData[Checker ID],$Q$4,RawData[[Error Type ]],$Q$5))</f>
        <v/>
      </c>
    </row>
    <row r="25573" spans="15:15" x14ac:dyDescent="0.25">
      <c r="O25573" s="20" t="str">
        <f>IF(N25573="","",COUNTIFS(RawData[[Date ]],N25573,RawData[Month List],$Q$6,RawData[Tour/Site],$Q$2,RawData[[Picker ID ]],$Q$3,RawData[Checker ID],$Q$4,RawData[[Error Type ]],$Q$5))</f>
        <v/>
      </c>
    </row>
    <row r="25574" spans="15:15" x14ac:dyDescent="0.25">
      <c r="O25574" s="20" t="str">
        <f>IF(N25574="","",COUNTIFS(RawData[[Date ]],N25574,RawData[Month List],$Q$6,RawData[Tour/Site],$Q$2,RawData[[Picker ID ]],$Q$3,RawData[Checker ID],$Q$4,RawData[[Error Type ]],$Q$5))</f>
        <v/>
      </c>
    </row>
    <row r="25575" spans="15:15" x14ac:dyDescent="0.25">
      <c r="O25575" s="20" t="str">
        <f>IF(N25575="","",COUNTIFS(RawData[[Date ]],N25575,RawData[Month List],$Q$6,RawData[Tour/Site],$Q$2,RawData[[Picker ID ]],$Q$3,RawData[Checker ID],$Q$4,RawData[[Error Type ]],$Q$5))</f>
        <v/>
      </c>
    </row>
    <row r="25576" spans="15:15" x14ac:dyDescent="0.25">
      <c r="O25576" s="20" t="str">
        <f>IF(N25576="","",COUNTIFS(RawData[[Date ]],N25576,RawData[Month List],$Q$6,RawData[Tour/Site],$Q$2,RawData[[Picker ID ]],$Q$3,RawData[Checker ID],$Q$4,RawData[[Error Type ]],$Q$5))</f>
        <v/>
      </c>
    </row>
    <row r="25577" spans="15:15" x14ac:dyDescent="0.25">
      <c r="O25577" s="20" t="str">
        <f>IF(N25577="","",COUNTIFS(RawData[[Date ]],N25577,RawData[Month List],$Q$6,RawData[Tour/Site],$Q$2,RawData[[Picker ID ]],$Q$3,RawData[Checker ID],$Q$4,RawData[[Error Type ]],$Q$5))</f>
        <v/>
      </c>
    </row>
    <row r="25578" spans="15:15" x14ac:dyDescent="0.25">
      <c r="O25578" s="20" t="str">
        <f>IF(N25578="","",COUNTIFS(RawData[[Date ]],N25578,RawData[Month List],$Q$6,RawData[Tour/Site],$Q$2,RawData[[Picker ID ]],$Q$3,RawData[Checker ID],$Q$4,RawData[[Error Type ]],$Q$5))</f>
        <v/>
      </c>
    </row>
    <row r="25579" spans="15:15" x14ac:dyDescent="0.25">
      <c r="O25579" s="20" t="str">
        <f>IF(N25579="","",COUNTIFS(RawData[[Date ]],N25579,RawData[Month List],$Q$6,RawData[Tour/Site],$Q$2,RawData[[Picker ID ]],$Q$3,RawData[Checker ID],$Q$4,RawData[[Error Type ]],$Q$5))</f>
        <v/>
      </c>
    </row>
    <row r="25580" spans="15:15" x14ac:dyDescent="0.25">
      <c r="O25580" s="20" t="str">
        <f>IF(N25580="","",COUNTIFS(RawData[[Date ]],N25580,RawData[Month List],$Q$6,RawData[Tour/Site],$Q$2,RawData[[Picker ID ]],$Q$3,RawData[Checker ID],$Q$4,RawData[[Error Type ]],$Q$5))</f>
        <v/>
      </c>
    </row>
    <row r="25581" spans="15:15" x14ac:dyDescent="0.25">
      <c r="O25581" s="20" t="str">
        <f>IF(N25581="","",COUNTIFS(RawData[[Date ]],N25581,RawData[Month List],$Q$6,RawData[Tour/Site],$Q$2,RawData[[Picker ID ]],$Q$3,RawData[Checker ID],$Q$4,RawData[[Error Type ]],$Q$5))</f>
        <v/>
      </c>
    </row>
    <row r="25582" spans="15:15" x14ac:dyDescent="0.25">
      <c r="O25582" s="20" t="str">
        <f>IF(N25582="","",COUNTIFS(RawData[[Date ]],N25582,RawData[Month List],$Q$6,RawData[Tour/Site],$Q$2,RawData[[Picker ID ]],$Q$3,RawData[Checker ID],$Q$4,RawData[[Error Type ]],$Q$5))</f>
        <v/>
      </c>
    </row>
    <row r="25583" spans="15:15" x14ac:dyDescent="0.25">
      <c r="O25583" s="20" t="str">
        <f>IF(N25583="","",COUNTIFS(RawData[[Date ]],N25583,RawData[Month List],$Q$6,RawData[Tour/Site],$Q$2,RawData[[Picker ID ]],$Q$3,RawData[Checker ID],$Q$4,RawData[[Error Type ]],$Q$5))</f>
        <v/>
      </c>
    </row>
    <row r="25584" spans="15:15" x14ac:dyDescent="0.25">
      <c r="O25584" s="20" t="str">
        <f>IF(N25584="","",COUNTIFS(RawData[[Date ]],N25584,RawData[Month List],$Q$6,RawData[Tour/Site],$Q$2,RawData[[Picker ID ]],$Q$3,RawData[Checker ID],$Q$4,RawData[[Error Type ]],$Q$5))</f>
        <v/>
      </c>
    </row>
    <row r="25585" spans="15:15" x14ac:dyDescent="0.25">
      <c r="O25585" s="20" t="str">
        <f>IF(N25585="","",COUNTIFS(RawData[[Date ]],N25585,RawData[Month List],$Q$6,RawData[Tour/Site],$Q$2,RawData[[Picker ID ]],$Q$3,RawData[Checker ID],$Q$4,RawData[[Error Type ]],$Q$5))</f>
        <v/>
      </c>
    </row>
    <row r="25586" spans="15:15" x14ac:dyDescent="0.25">
      <c r="O25586" s="20" t="str">
        <f>IF(N25586="","",COUNTIFS(RawData[[Date ]],N25586,RawData[Month List],$Q$6,RawData[Tour/Site],$Q$2,RawData[[Picker ID ]],$Q$3,RawData[Checker ID],$Q$4,RawData[[Error Type ]],$Q$5))</f>
        <v/>
      </c>
    </row>
    <row r="25587" spans="15:15" x14ac:dyDescent="0.25">
      <c r="O25587" s="20" t="str">
        <f>IF(N25587="","",COUNTIFS(RawData[[Date ]],N25587,RawData[Month List],$Q$6,RawData[Tour/Site],$Q$2,RawData[[Picker ID ]],$Q$3,RawData[Checker ID],$Q$4,RawData[[Error Type ]],$Q$5))</f>
        <v/>
      </c>
    </row>
    <row r="25588" spans="15:15" x14ac:dyDescent="0.25">
      <c r="O25588" s="20" t="str">
        <f>IF(N25588="","",COUNTIFS(RawData[[Date ]],N25588,RawData[Month List],$Q$6,RawData[Tour/Site],$Q$2,RawData[[Picker ID ]],$Q$3,RawData[Checker ID],$Q$4,RawData[[Error Type ]],$Q$5))</f>
        <v/>
      </c>
    </row>
    <row r="25589" spans="15:15" x14ac:dyDescent="0.25">
      <c r="O25589" s="20" t="str">
        <f>IF(N25589="","",COUNTIFS(RawData[[Date ]],N25589,RawData[Month List],$Q$6,RawData[Tour/Site],$Q$2,RawData[[Picker ID ]],$Q$3,RawData[Checker ID],$Q$4,RawData[[Error Type ]],$Q$5))</f>
        <v/>
      </c>
    </row>
    <row r="25590" spans="15:15" x14ac:dyDescent="0.25">
      <c r="O25590" s="20" t="str">
        <f>IF(N25590="","",COUNTIFS(RawData[[Date ]],N25590,RawData[Month List],$Q$6,RawData[Tour/Site],$Q$2,RawData[[Picker ID ]],$Q$3,RawData[Checker ID],$Q$4,RawData[[Error Type ]],$Q$5))</f>
        <v/>
      </c>
    </row>
    <row r="25591" spans="15:15" x14ac:dyDescent="0.25">
      <c r="O25591" s="20" t="str">
        <f>IF(N25591="","",COUNTIFS(RawData[[Date ]],N25591,RawData[Month List],$Q$6,RawData[Tour/Site],$Q$2,RawData[[Picker ID ]],$Q$3,RawData[Checker ID],$Q$4,RawData[[Error Type ]],$Q$5))</f>
        <v/>
      </c>
    </row>
    <row r="25592" spans="15:15" x14ac:dyDescent="0.25">
      <c r="O25592" s="20" t="str">
        <f>IF(N25592="","",COUNTIFS(RawData[[Date ]],N25592,RawData[Month List],$Q$6,RawData[Tour/Site],$Q$2,RawData[[Picker ID ]],$Q$3,RawData[Checker ID],$Q$4,RawData[[Error Type ]],$Q$5))</f>
        <v/>
      </c>
    </row>
    <row r="25593" spans="15:15" x14ac:dyDescent="0.25">
      <c r="O25593" s="20" t="str">
        <f>IF(N25593="","",COUNTIFS(RawData[[Date ]],N25593,RawData[Month List],$Q$6,RawData[Tour/Site],$Q$2,RawData[[Picker ID ]],$Q$3,RawData[Checker ID],$Q$4,RawData[[Error Type ]],$Q$5))</f>
        <v/>
      </c>
    </row>
    <row r="25594" spans="15:15" x14ac:dyDescent="0.25">
      <c r="O25594" s="20" t="str">
        <f>IF(N25594="","",COUNTIFS(RawData[[Date ]],N25594,RawData[Month List],$Q$6,RawData[Tour/Site],$Q$2,RawData[[Picker ID ]],$Q$3,RawData[Checker ID],$Q$4,RawData[[Error Type ]],$Q$5))</f>
        <v/>
      </c>
    </row>
    <row r="25595" spans="15:15" x14ac:dyDescent="0.25">
      <c r="O25595" s="20" t="str">
        <f>IF(N25595="","",COUNTIFS(RawData[[Date ]],N25595,RawData[Month List],$Q$6,RawData[Tour/Site],$Q$2,RawData[[Picker ID ]],$Q$3,RawData[Checker ID],$Q$4,RawData[[Error Type ]],$Q$5))</f>
        <v/>
      </c>
    </row>
    <row r="25596" spans="15:15" x14ac:dyDescent="0.25">
      <c r="O25596" s="20" t="str">
        <f>IF(N25596="","",COUNTIFS(RawData[[Date ]],N25596,RawData[Month List],$Q$6,RawData[Tour/Site],$Q$2,RawData[[Picker ID ]],$Q$3,RawData[Checker ID],$Q$4,RawData[[Error Type ]],$Q$5))</f>
        <v/>
      </c>
    </row>
    <row r="25597" spans="15:15" x14ac:dyDescent="0.25">
      <c r="O25597" s="20" t="str">
        <f>IF(N25597="","",COUNTIFS(RawData[[Date ]],N25597,RawData[Month List],$Q$6,RawData[Tour/Site],$Q$2,RawData[[Picker ID ]],$Q$3,RawData[Checker ID],$Q$4,RawData[[Error Type ]],$Q$5))</f>
        <v/>
      </c>
    </row>
    <row r="25598" spans="15:15" x14ac:dyDescent="0.25">
      <c r="O25598" s="20" t="str">
        <f>IF(N25598="","",COUNTIFS(RawData[[Date ]],N25598,RawData[Month List],$Q$6,RawData[Tour/Site],$Q$2,RawData[[Picker ID ]],$Q$3,RawData[Checker ID],$Q$4,RawData[[Error Type ]],$Q$5))</f>
        <v/>
      </c>
    </row>
    <row r="25599" spans="15:15" x14ac:dyDescent="0.25">
      <c r="O25599" s="20" t="str">
        <f>IF(N25599="","",COUNTIFS(RawData[[Date ]],N25599,RawData[Month List],$Q$6,RawData[Tour/Site],$Q$2,RawData[[Picker ID ]],$Q$3,RawData[Checker ID],$Q$4,RawData[[Error Type ]],$Q$5))</f>
        <v/>
      </c>
    </row>
    <row r="25600" spans="15:15" x14ac:dyDescent="0.25">
      <c r="O25600" s="20" t="str">
        <f>IF(N25600="","",COUNTIFS(RawData[[Date ]],N25600,RawData[Month List],$Q$6,RawData[Tour/Site],$Q$2,RawData[[Picker ID ]],$Q$3,RawData[Checker ID],$Q$4,RawData[[Error Type ]],$Q$5))</f>
        <v/>
      </c>
    </row>
    <row r="25601" spans="15:15" x14ac:dyDescent="0.25">
      <c r="O25601" s="20" t="str">
        <f>IF(N25601="","",COUNTIFS(RawData[[Date ]],N25601,RawData[Month List],$Q$6,RawData[Tour/Site],$Q$2,RawData[[Picker ID ]],$Q$3,RawData[Checker ID],$Q$4,RawData[[Error Type ]],$Q$5))</f>
        <v/>
      </c>
    </row>
    <row r="25602" spans="15:15" x14ac:dyDescent="0.25">
      <c r="O25602" s="20" t="str">
        <f>IF(N25602="","",COUNTIFS(RawData[[Date ]],N25602,RawData[Month List],$Q$6,RawData[Tour/Site],$Q$2,RawData[[Picker ID ]],$Q$3,RawData[Checker ID],$Q$4,RawData[[Error Type ]],$Q$5))</f>
        <v/>
      </c>
    </row>
    <row r="25603" spans="15:15" x14ac:dyDescent="0.25">
      <c r="O25603" s="20" t="str">
        <f>IF(N25603="","",COUNTIFS(RawData[[Date ]],N25603,RawData[Month List],$Q$6,RawData[Tour/Site],$Q$2,RawData[[Picker ID ]],$Q$3,RawData[Checker ID],$Q$4,RawData[[Error Type ]],$Q$5))</f>
        <v/>
      </c>
    </row>
    <row r="25604" spans="15:15" x14ac:dyDescent="0.25">
      <c r="O25604" s="20" t="str">
        <f>IF(N25604="","",COUNTIFS(RawData[[Date ]],N25604,RawData[Month List],$Q$6,RawData[Tour/Site],$Q$2,RawData[[Picker ID ]],$Q$3,RawData[Checker ID],$Q$4,RawData[[Error Type ]],$Q$5))</f>
        <v/>
      </c>
    </row>
    <row r="25605" spans="15:15" x14ac:dyDescent="0.25">
      <c r="O25605" s="20" t="str">
        <f>IF(N25605="","",COUNTIFS(RawData[[Date ]],N25605,RawData[Month List],$Q$6,RawData[Tour/Site],$Q$2,RawData[[Picker ID ]],$Q$3,RawData[Checker ID],$Q$4,RawData[[Error Type ]],$Q$5))</f>
        <v/>
      </c>
    </row>
    <row r="25606" spans="15:15" x14ac:dyDescent="0.25">
      <c r="O25606" s="20" t="str">
        <f>IF(N25606="","",COUNTIFS(RawData[[Date ]],N25606,RawData[Month List],$Q$6,RawData[Tour/Site],$Q$2,RawData[[Picker ID ]],$Q$3,RawData[Checker ID],$Q$4,RawData[[Error Type ]],$Q$5))</f>
        <v/>
      </c>
    </row>
    <row r="25607" spans="15:15" x14ac:dyDescent="0.25">
      <c r="O25607" s="20" t="str">
        <f>IF(N25607="","",COUNTIFS(RawData[[Date ]],N25607,RawData[Month List],$Q$6,RawData[Tour/Site],$Q$2,RawData[[Picker ID ]],$Q$3,RawData[Checker ID],$Q$4,RawData[[Error Type ]],$Q$5))</f>
        <v/>
      </c>
    </row>
    <row r="25608" spans="15:15" x14ac:dyDescent="0.25">
      <c r="O25608" s="20" t="str">
        <f>IF(N25608="","",COUNTIFS(RawData[[Date ]],N25608,RawData[Month List],$Q$6,RawData[Tour/Site],$Q$2,RawData[[Picker ID ]],$Q$3,RawData[Checker ID],$Q$4,RawData[[Error Type ]],$Q$5))</f>
        <v/>
      </c>
    </row>
    <row r="25609" spans="15:15" x14ac:dyDescent="0.25">
      <c r="O25609" s="20" t="str">
        <f>IF(N25609="","",COUNTIFS(RawData[[Date ]],N25609,RawData[Month List],$Q$6,RawData[Tour/Site],$Q$2,RawData[[Picker ID ]],$Q$3,RawData[Checker ID],$Q$4,RawData[[Error Type ]],$Q$5))</f>
        <v/>
      </c>
    </row>
    <row r="25610" spans="15:15" x14ac:dyDescent="0.25">
      <c r="O25610" s="20" t="str">
        <f>IF(N25610="","",COUNTIFS(RawData[[Date ]],N25610,RawData[Month List],$Q$6,RawData[Tour/Site],$Q$2,RawData[[Picker ID ]],$Q$3,RawData[Checker ID],$Q$4,RawData[[Error Type ]],$Q$5))</f>
        <v/>
      </c>
    </row>
    <row r="25611" spans="15:15" x14ac:dyDescent="0.25">
      <c r="O25611" s="20" t="str">
        <f>IF(N25611="","",COUNTIFS(RawData[[Date ]],N25611,RawData[Month List],$Q$6,RawData[Tour/Site],$Q$2,RawData[[Picker ID ]],$Q$3,RawData[Checker ID],$Q$4,RawData[[Error Type ]],$Q$5))</f>
        <v/>
      </c>
    </row>
    <row r="25612" spans="15:15" x14ac:dyDescent="0.25">
      <c r="O25612" s="20" t="str">
        <f>IF(N25612="","",COUNTIFS(RawData[[Date ]],N25612,RawData[Month List],$Q$6,RawData[Tour/Site],$Q$2,RawData[[Picker ID ]],$Q$3,RawData[Checker ID],$Q$4,RawData[[Error Type ]],$Q$5))</f>
        <v/>
      </c>
    </row>
    <row r="25613" spans="15:15" x14ac:dyDescent="0.25">
      <c r="O25613" s="20" t="str">
        <f>IF(N25613="","",COUNTIFS(RawData[[Date ]],N25613,RawData[Month List],$Q$6,RawData[Tour/Site],$Q$2,RawData[[Picker ID ]],$Q$3,RawData[Checker ID],$Q$4,RawData[[Error Type ]],$Q$5))</f>
        <v/>
      </c>
    </row>
    <row r="25614" spans="15:15" x14ac:dyDescent="0.25">
      <c r="O25614" s="20" t="str">
        <f>IF(N25614="","",COUNTIFS(RawData[[Date ]],N25614,RawData[Month List],$Q$6,RawData[Tour/Site],$Q$2,RawData[[Picker ID ]],$Q$3,RawData[Checker ID],$Q$4,RawData[[Error Type ]],$Q$5))</f>
        <v/>
      </c>
    </row>
    <row r="25615" spans="15:15" x14ac:dyDescent="0.25">
      <c r="O25615" s="20" t="str">
        <f>IF(N25615="","",COUNTIFS(RawData[[Date ]],N25615,RawData[Month List],$Q$6,RawData[Tour/Site],$Q$2,RawData[[Picker ID ]],$Q$3,RawData[Checker ID],$Q$4,RawData[[Error Type ]],$Q$5))</f>
        <v/>
      </c>
    </row>
    <row r="25616" spans="15:15" x14ac:dyDescent="0.25">
      <c r="O25616" s="20" t="str">
        <f>IF(N25616="","",COUNTIFS(RawData[[Date ]],N25616,RawData[Month List],$Q$6,RawData[Tour/Site],$Q$2,RawData[[Picker ID ]],$Q$3,RawData[Checker ID],$Q$4,RawData[[Error Type ]],$Q$5))</f>
        <v/>
      </c>
    </row>
    <row r="25617" spans="15:15" x14ac:dyDescent="0.25">
      <c r="O25617" s="20" t="str">
        <f>IF(N25617="","",COUNTIFS(RawData[[Date ]],N25617,RawData[Month List],$Q$6,RawData[Tour/Site],$Q$2,RawData[[Picker ID ]],$Q$3,RawData[Checker ID],$Q$4,RawData[[Error Type ]],$Q$5))</f>
        <v/>
      </c>
    </row>
    <row r="25618" spans="15:15" x14ac:dyDescent="0.25">
      <c r="O25618" s="20" t="str">
        <f>IF(N25618="","",COUNTIFS(RawData[[Date ]],N25618,RawData[Month List],$Q$6,RawData[Tour/Site],$Q$2,RawData[[Picker ID ]],$Q$3,RawData[Checker ID],$Q$4,RawData[[Error Type ]],$Q$5))</f>
        <v/>
      </c>
    </row>
    <row r="25619" spans="15:15" x14ac:dyDescent="0.25">
      <c r="O25619" s="20" t="str">
        <f>IF(N25619="","",COUNTIFS(RawData[[Date ]],N25619,RawData[Month List],$Q$6,RawData[Tour/Site],$Q$2,RawData[[Picker ID ]],$Q$3,RawData[Checker ID],$Q$4,RawData[[Error Type ]],$Q$5))</f>
        <v/>
      </c>
    </row>
    <row r="25620" spans="15:15" x14ac:dyDescent="0.25">
      <c r="O25620" s="20" t="str">
        <f>IF(N25620="","",COUNTIFS(RawData[[Date ]],N25620,RawData[Month List],$Q$6,RawData[Tour/Site],$Q$2,RawData[[Picker ID ]],$Q$3,RawData[Checker ID],$Q$4,RawData[[Error Type ]],$Q$5))</f>
        <v/>
      </c>
    </row>
    <row r="25621" spans="15:15" x14ac:dyDescent="0.25">
      <c r="O25621" s="20" t="str">
        <f>IF(N25621="","",COUNTIFS(RawData[[Date ]],N25621,RawData[Month List],$Q$6,RawData[Tour/Site],$Q$2,RawData[[Picker ID ]],$Q$3,RawData[Checker ID],$Q$4,RawData[[Error Type ]],$Q$5))</f>
        <v/>
      </c>
    </row>
    <row r="25622" spans="15:15" x14ac:dyDescent="0.25">
      <c r="O25622" s="20" t="str">
        <f>IF(N25622="","",COUNTIFS(RawData[[Date ]],N25622,RawData[Month List],$Q$6,RawData[Tour/Site],$Q$2,RawData[[Picker ID ]],$Q$3,RawData[Checker ID],$Q$4,RawData[[Error Type ]],$Q$5))</f>
        <v/>
      </c>
    </row>
    <row r="25623" spans="15:15" x14ac:dyDescent="0.25">
      <c r="O25623" s="20" t="str">
        <f>IF(N25623="","",COUNTIFS(RawData[[Date ]],N25623,RawData[Month List],$Q$6,RawData[Tour/Site],$Q$2,RawData[[Picker ID ]],$Q$3,RawData[Checker ID],$Q$4,RawData[[Error Type ]],$Q$5))</f>
        <v/>
      </c>
    </row>
    <row r="25624" spans="15:15" x14ac:dyDescent="0.25">
      <c r="O25624" s="20" t="str">
        <f>IF(N25624="","",COUNTIFS(RawData[[Date ]],N25624,RawData[Month List],$Q$6,RawData[Tour/Site],$Q$2,RawData[[Picker ID ]],$Q$3,RawData[Checker ID],$Q$4,RawData[[Error Type ]],$Q$5))</f>
        <v/>
      </c>
    </row>
    <row r="25625" spans="15:15" x14ac:dyDescent="0.25">
      <c r="O25625" s="20" t="str">
        <f>IF(N25625="","",COUNTIFS(RawData[[Date ]],N25625,RawData[Month List],$Q$6,RawData[Tour/Site],$Q$2,RawData[[Picker ID ]],$Q$3,RawData[Checker ID],$Q$4,RawData[[Error Type ]],$Q$5))</f>
        <v/>
      </c>
    </row>
    <row r="25626" spans="15:15" x14ac:dyDescent="0.25">
      <c r="O25626" s="20" t="str">
        <f>IF(N25626="","",COUNTIFS(RawData[[Date ]],N25626,RawData[Month List],$Q$6,RawData[Tour/Site],$Q$2,RawData[[Picker ID ]],$Q$3,RawData[Checker ID],$Q$4,RawData[[Error Type ]],$Q$5))</f>
        <v/>
      </c>
    </row>
    <row r="25627" spans="15:15" x14ac:dyDescent="0.25">
      <c r="O25627" s="20" t="str">
        <f>IF(N25627="","",COUNTIFS(RawData[[Date ]],N25627,RawData[Month List],$Q$6,RawData[Tour/Site],$Q$2,RawData[[Picker ID ]],$Q$3,RawData[Checker ID],$Q$4,RawData[[Error Type ]],$Q$5))</f>
        <v/>
      </c>
    </row>
    <row r="25628" spans="15:15" x14ac:dyDescent="0.25">
      <c r="O25628" s="20" t="str">
        <f>IF(N25628="","",COUNTIFS(RawData[[Date ]],N25628,RawData[Month List],$Q$6,RawData[Tour/Site],$Q$2,RawData[[Picker ID ]],$Q$3,RawData[Checker ID],$Q$4,RawData[[Error Type ]],$Q$5))</f>
        <v/>
      </c>
    </row>
    <row r="25629" spans="15:15" x14ac:dyDescent="0.25">
      <c r="O25629" s="20" t="str">
        <f>IF(N25629="","",COUNTIFS(RawData[[Date ]],N25629,RawData[Month List],$Q$6,RawData[Tour/Site],$Q$2,RawData[[Picker ID ]],$Q$3,RawData[Checker ID],$Q$4,RawData[[Error Type ]],$Q$5))</f>
        <v/>
      </c>
    </row>
    <row r="25630" spans="15:15" x14ac:dyDescent="0.25">
      <c r="O25630" s="20" t="str">
        <f>IF(N25630="","",COUNTIFS(RawData[[Date ]],N25630,RawData[Month List],$Q$6,RawData[Tour/Site],$Q$2,RawData[[Picker ID ]],$Q$3,RawData[Checker ID],$Q$4,RawData[[Error Type ]],$Q$5))</f>
        <v/>
      </c>
    </row>
    <row r="25631" spans="15:15" x14ac:dyDescent="0.25">
      <c r="O25631" s="20" t="str">
        <f>IF(N25631="","",COUNTIFS(RawData[[Date ]],N25631,RawData[Month List],$Q$6,RawData[Tour/Site],$Q$2,RawData[[Picker ID ]],$Q$3,RawData[Checker ID],$Q$4,RawData[[Error Type ]],$Q$5))</f>
        <v/>
      </c>
    </row>
    <row r="25632" spans="15:15" x14ac:dyDescent="0.25">
      <c r="O25632" s="20" t="str">
        <f>IF(N25632="","",COUNTIFS(RawData[[Date ]],N25632,RawData[Month List],$Q$6,RawData[Tour/Site],$Q$2,RawData[[Picker ID ]],$Q$3,RawData[Checker ID],$Q$4,RawData[[Error Type ]],$Q$5))</f>
        <v/>
      </c>
    </row>
    <row r="25633" spans="15:15" x14ac:dyDescent="0.25">
      <c r="O25633" s="20" t="str">
        <f>IF(N25633="","",COUNTIFS(RawData[[Date ]],N25633,RawData[Month List],$Q$6,RawData[Tour/Site],$Q$2,RawData[[Picker ID ]],$Q$3,RawData[Checker ID],$Q$4,RawData[[Error Type ]],$Q$5))</f>
        <v/>
      </c>
    </row>
    <row r="25634" spans="15:15" x14ac:dyDescent="0.25">
      <c r="O25634" s="20" t="str">
        <f>IF(N25634="","",COUNTIFS(RawData[[Date ]],N25634,RawData[Month List],$Q$6,RawData[Tour/Site],$Q$2,RawData[[Picker ID ]],$Q$3,RawData[Checker ID],$Q$4,RawData[[Error Type ]],$Q$5))</f>
        <v/>
      </c>
    </row>
    <row r="25635" spans="15:15" x14ac:dyDescent="0.25">
      <c r="O25635" s="20" t="str">
        <f>IF(N25635="","",COUNTIFS(RawData[[Date ]],N25635,RawData[Month List],$Q$6,RawData[Tour/Site],$Q$2,RawData[[Picker ID ]],$Q$3,RawData[Checker ID],$Q$4,RawData[[Error Type ]],$Q$5))</f>
        <v/>
      </c>
    </row>
    <row r="25636" spans="15:15" x14ac:dyDescent="0.25">
      <c r="O25636" s="20" t="str">
        <f>IF(N25636="","",COUNTIFS(RawData[[Date ]],N25636,RawData[Month List],$Q$6,RawData[Tour/Site],$Q$2,RawData[[Picker ID ]],$Q$3,RawData[Checker ID],$Q$4,RawData[[Error Type ]],$Q$5))</f>
        <v/>
      </c>
    </row>
    <row r="25637" spans="15:15" x14ac:dyDescent="0.25">
      <c r="O25637" s="20" t="str">
        <f>IF(N25637="","",COUNTIFS(RawData[[Date ]],N25637,RawData[Month List],$Q$6,RawData[Tour/Site],$Q$2,RawData[[Picker ID ]],$Q$3,RawData[Checker ID],$Q$4,RawData[[Error Type ]],$Q$5))</f>
        <v/>
      </c>
    </row>
    <row r="25638" spans="15:15" x14ac:dyDescent="0.25">
      <c r="O25638" s="20" t="str">
        <f>IF(N25638="","",COUNTIFS(RawData[[Date ]],N25638,RawData[Month List],$Q$6,RawData[Tour/Site],$Q$2,RawData[[Picker ID ]],$Q$3,RawData[Checker ID],$Q$4,RawData[[Error Type ]],$Q$5))</f>
        <v/>
      </c>
    </row>
    <row r="25639" spans="15:15" x14ac:dyDescent="0.25">
      <c r="O25639" s="20" t="str">
        <f>IF(N25639="","",COUNTIFS(RawData[[Date ]],N25639,RawData[Month List],$Q$6,RawData[Tour/Site],$Q$2,RawData[[Picker ID ]],$Q$3,RawData[Checker ID],$Q$4,RawData[[Error Type ]],$Q$5))</f>
        <v/>
      </c>
    </row>
    <row r="25640" spans="15:15" x14ac:dyDescent="0.25">
      <c r="O25640" s="20" t="str">
        <f>IF(N25640="","",COUNTIFS(RawData[[Date ]],N25640,RawData[Month List],$Q$6,RawData[Tour/Site],$Q$2,RawData[[Picker ID ]],$Q$3,RawData[Checker ID],$Q$4,RawData[[Error Type ]],$Q$5))</f>
        <v/>
      </c>
    </row>
    <row r="25641" spans="15:15" x14ac:dyDescent="0.25">
      <c r="O25641" s="20" t="str">
        <f>IF(N25641="","",COUNTIFS(RawData[[Date ]],N25641,RawData[Month List],$Q$6,RawData[Tour/Site],$Q$2,RawData[[Picker ID ]],$Q$3,RawData[Checker ID],$Q$4,RawData[[Error Type ]],$Q$5))</f>
        <v/>
      </c>
    </row>
    <row r="25642" spans="15:15" x14ac:dyDescent="0.25">
      <c r="O25642" s="20" t="str">
        <f>IF(N25642="","",COUNTIFS(RawData[[Date ]],N25642,RawData[Month List],$Q$6,RawData[Tour/Site],$Q$2,RawData[[Picker ID ]],$Q$3,RawData[Checker ID],$Q$4,RawData[[Error Type ]],$Q$5))</f>
        <v/>
      </c>
    </row>
    <row r="25643" spans="15:15" x14ac:dyDescent="0.25">
      <c r="O25643" s="20" t="str">
        <f>IF(N25643="","",COUNTIFS(RawData[[Date ]],N25643,RawData[Month List],$Q$6,RawData[Tour/Site],$Q$2,RawData[[Picker ID ]],$Q$3,RawData[Checker ID],$Q$4,RawData[[Error Type ]],$Q$5))</f>
        <v/>
      </c>
    </row>
    <row r="25644" spans="15:15" x14ac:dyDescent="0.25">
      <c r="O25644" s="20" t="str">
        <f>IF(N25644="","",COUNTIFS(RawData[[Date ]],N25644,RawData[Month List],$Q$6,RawData[Tour/Site],$Q$2,RawData[[Picker ID ]],$Q$3,RawData[Checker ID],$Q$4,RawData[[Error Type ]],$Q$5))</f>
        <v/>
      </c>
    </row>
    <row r="25645" spans="15:15" x14ac:dyDescent="0.25">
      <c r="O25645" s="20" t="str">
        <f>IF(N25645="","",COUNTIFS(RawData[[Date ]],N25645,RawData[Month List],$Q$6,RawData[Tour/Site],$Q$2,RawData[[Picker ID ]],$Q$3,RawData[Checker ID],$Q$4,RawData[[Error Type ]],$Q$5))</f>
        <v/>
      </c>
    </row>
    <row r="25646" spans="15:15" x14ac:dyDescent="0.25">
      <c r="O25646" s="20" t="str">
        <f>IF(N25646="","",COUNTIFS(RawData[[Date ]],N25646,RawData[Month List],$Q$6,RawData[Tour/Site],$Q$2,RawData[[Picker ID ]],$Q$3,RawData[Checker ID],$Q$4,RawData[[Error Type ]],$Q$5))</f>
        <v/>
      </c>
    </row>
    <row r="25647" spans="15:15" x14ac:dyDescent="0.25">
      <c r="O25647" s="20" t="str">
        <f>IF(N25647="","",COUNTIFS(RawData[[Date ]],N25647,RawData[Month List],$Q$6,RawData[Tour/Site],$Q$2,RawData[[Picker ID ]],$Q$3,RawData[Checker ID],$Q$4,RawData[[Error Type ]],$Q$5))</f>
        <v/>
      </c>
    </row>
    <row r="25648" spans="15:15" x14ac:dyDescent="0.25">
      <c r="O25648" s="20" t="str">
        <f>IF(N25648="","",COUNTIFS(RawData[[Date ]],N25648,RawData[Month List],$Q$6,RawData[Tour/Site],$Q$2,RawData[[Picker ID ]],$Q$3,RawData[Checker ID],$Q$4,RawData[[Error Type ]],$Q$5))</f>
        <v/>
      </c>
    </row>
    <row r="25649" spans="15:15" x14ac:dyDescent="0.25">
      <c r="O25649" s="20" t="str">
        <f>IF(N25649="","",COUNTIFS(RawData[[Date ]],N25649,RawData[Month List],$Q$6,RawData[Tour/Site],$Q$2,RawData[[Picker ID ]],$Q$3,RawData[Checker ID],$Q$4,RawData[[Error Type ]],$Q$5))</f>
        <v/>
      </c>
    </row>
    <row r="25650" spans="15:15" x14ac:dyDescent="0.25">
      <c r="O25650" s="20" t="str">
        <f>IF(N25650="","",COUNTIFS(RawData[[Date ]],N25650,RawData[Month List],$Q$6,RawData[Tour/Site],$Q$2,RawData[[Picker ID ]],$Q$3,RawData[Checker ID],$Q$4,RawData[[Error Type ]],$Q$5))</f>
        <v/>
      </c>
    </row>
    <row r="25651" spans="15:15" x14ac:dyDescent="0.25">
      <c r="O25651" s="20" t="str">
        <f>IF(N25651="","",COUNTIFS(RawData[[Date ]],N25651,RawData[Month List],$Q$6,RawData[Tour/Site],$Q$2,RawData[[Picker ID ]],$Q$3,RawData[Checker ID],$Q$4,RawData[[Error Type ]],$Q$5))</f>
        <v/>
      </c>
    </row>
    <row r="25652" spans="15:15" x14ac:dyDescent="0.25">
      <c r="O25652" s="20" t="str">
        <f>IF(N25652="","",COUNTIFS(RawData[[Date ]],N25652,RawData[Month List],$Q$6,RawData[Tour/Site],$Q$2,RawData[[Picker ID ]],$Q$3,RawData[Checker ID],$Q$4,RawData[[Error Type ]],$Q$5))</f>
        <v/>
      </c>
    </row>
    <row r="25653" spans="15:15" x14ac:dyDescent="0.25">
      <c r="O25653" s="20" t="str">
        <f>IF(N25653="","",COUNTIFS(RawData[[Date ]],N25653,RawData[Month List],$Q$6,RawData[Tour/Site],$Q$2,RawData[[Picker ID ]],$Q$3,RawData[Checker ID],$Q$4,RawData[[Error Type ]],$Q$5))</f>
        <v/>
      </c>
    </row>
    <row r="25654" spans="15:15" x14ac:dyDescent="0.25">
      <c r="O25654" s="20" t="str">
        <f>IF(N25654="","",COUNTIFS(RawData[[Date ]],N25654,RawData[Month List],$Q$6,RawData[Tour/Site],$Q$2,RawData[[Picker ID ]],$Q$3,RawData[Checker ID],$Q$4,RawData[[Error Type ]],$Q$5))</f>
        <v/>
      </c>
    </row>
    <row r="25655" spans="15:15" x14ac:dyDescent="0.25">
      <c r="O25655" s="20" t="str">
        <f>IF(N25655="","",COUNTIFS(RawData[[Date ]],N25655,RawData[Month List],$Q$6,RawData[Tour/Site],$Q$2,RawData[[Picker ID ]],$Q$3,RawData[Checker ID],$Q$4,RawData[[Error Type ]],$Q$5))</f>
        <v/>
      </c>
    </row>
    <row r="25656" spans="15:15" x14ac:dyDescent="0.25">
      <c r="O25656" s="20" t="str">
        <f>IF(N25656="","",COUNTIFS(RawData[[Date ]],N25656,RawData[Month List],$Q$6,RawData[Tour/Site],$Q$2,RawData[[Picker ID ]],$Q$3,RawData[Checker ID],$Q$4,RawData[[Error Type ]],$Q$5))</f>
        <v/>
      </c>
    </row>
    <row r="25657" spans="15:15" x14ac:dyDescent="0.25">
      <c r="O25657" s="20" t="str">
        <f>IF(N25657="","",COUNTIFS(RawData[[Date ]],N25657,RawData[Month List],$Q$6,RawData[Tour/Site],$Q$2,RawData[[Picker ID ]],$Q$3,RawData[Checker ID],$Q$4,RawData[[Error Type ]],$Q$5))</f>
        <v/>
      </c>
    </row>
    <row r="25658" spans="15:15" x14ac:dyDescent="0.25">
      <c r="O25658" s="20" t="str">
        <f>IF(N25658="","",COUNTIFS(RawData[[Date ]],N25658,RawData[Month List],$Q$6,RawData[Tour/Site],$Q$2,RawData[[Picker ID ]],$Q$3,RawData[Checker ID],$Q$4,RawData[[Error Type ]],$Q$5))</f>
        <v/>
      </c>
    </row>
    <row r="25659" spans="15:15" x14ac:dyDescent="0.25">
      <c r="O25659" s="20" t="str">
        <f>IF(N25659="","",COUNTIFS(RawData[[Date ]],N25659,RawData[Month List],$Q$6,RawData[Tour/Site],$Q$2,RawData[[Picker ID ]],$Q$3,RawData[Checker ID],$Q$4,RawData[[Error Type ]],$Q$5))</f>
        <v/>
      </c>
    </row>
    <row r="25660" spans="15:15" x14ac:dyDescent="0.25">
      <c r="O25660" s="20" t="str">
        <f>IF(N25660="","",COUNTIFS(RawData[[Date ]],N25660,RawData[Month List],$Q$6,RawData[Tour/Site],$Q$2,RawData[[Picker ID ]],$Q$3,RawData[Checker ID],$Q$4,RawData[[Error Type ]],$Q$5))</f>
        <v/>
      </c>
    </row>
    <row r="25661" spans="15:15" x14ac:dyDescent="0.25">
      <c r="O25661" s="20" t="str">
        <f>IF(N25661="","",COUNTIFS(RawData[[Date ]],N25661,RawData[Month List],$Q$6,RawData[Tour/Site],$Q$2,RawData[[Picker ID ]],$Q$3,RawData[Checker ID],$Q$4,RawData[[Error Type ]],$Q$5))</f>
        <v/>
      </c>
    </row>
    <row r="25662" spans="15:15" x14ac:dyDescent="0.25">
      <c r="O25662" s="20" t="str">
        <f>IF(N25662="","",COUNTIFS(RawData[[Date ]],N25662,RawData[Month List],$Q$6,RawData[Tour/Site],$Q$2,RawData[[Picker ID ]],$Q$3,RawData[Checker ID],$Q$4,RawData[[Error Type ]],$Q$5))</f>
        <v/>
      </c>
    </row>
    <row r="25663" spans="15:15" x14ac:dyDescent="0.25">
      <c r="O25663" s="20" t="str">
        <f>IF(N25663="","",COUNTIFS(RawData[[Date ]],N25663,RawData[Month List],$Q$6,RawData[Tour/Site],$Q$2,RawData[[Picker ID ]],$Q$3,RawData[Checker ID],$Q$4,RawData[[Error Type ]],$Q$5))</f>
        <v/>
      </c>
    </row>
    <row r="25664" spans="15:15" x14ac:dyDescent="0.25">
      <c r="O25664" s="20" t="str">
        <f>IF(N25664="","",COUNTIFS(RawData[[Date ]],N25664,RawData[Month List],$Q$6,RawData[Tour/Site],$Q$2,RawData[[Picker ID ]],$Q$3,RawData[Checker ID],$Q$4,RawData[[Error Type ]],$Q$5))</f>
        <v/>
      </c>
    </row>
    <row r="25665" spans="15:15" x14ac:dyDescent="0.25">
      <c r="O25665" s="20" t="str">
        <f>IF(N25665="","",COUNTIFS(RawData[[Date ]],N25665,RawData[Month List],$Q$6,RawData[Tour/Site],$Q$2,RawData[[Picker ID ]],$Q$3,RawData[Checker ID],$Q$4,RawData[[Error Type ]],$Q$5))</f>
        <v/>
      </c>
    </row>
    <row r="25666" spans="15:15" x14ac:dyDescent="0.25">
      <c r="O25666" s="20" t="str">
        <f>IF(N25666="","",COUNTIFS(RawData[[Date ]],N25666,RawData[Month List],$Q$6,RawData[Tour/Site],$Q$2,RawData[[Picker ID ]],$Q$3,RawData[Checker ID],$Q$4,RawData[[Error Type ]],$Q$5))</f>
        <v/>
      </c>
    </row>
    <row r="25667" spans="15:15" x14ac:dyDescent="0.25">
      <c r="O25667" s="20" t="str">
        <f>IF(N25667="","",COUNTIFS(RawData[[Date ]],N25667,RawData[Month List],$Q$6,RawData[Tour/Site],$Q$2,RawData[[Picker ID ]],$Q$3,RawData[Checker ID],$Q$4,RawData[[Error Type ]],$Q$5))</f>
        <v/>
      </c>
    </row>
    <row r="25668" spans="15:15" x14ac:dyDescent="0.25">
      <c r="O25668" s="20" t="str">
        <f>IF(N25668="","",COUNTIFS(RawData[[Date ]],N25668,RawData[Month List],$Q$6,RawData[Tour/Site],$Q$2,RawData[[Picker ID ]],$Q$3,RawData[Checker ID],$Q$4,RawData[[Error Type ]],$Q$5))</f>
        <v/>
      </c>
    </row>
    <row r="25669" spans="15:15" x14ac:dyDescent="0.25">
      <c r="O25669" s="20" t="str">
        <f>IF(N25669="","",COUNTIFS(RawData[[Date ]],N25669,RawData[Month List],$Q$6,RawData[Tour/Site],$Q$2,RawData[[Picker ID ]],$Q$3,RawData[Checker ID],$Q$4,RawData[[Error Type ]],$Q$5))</f>
        <v/>
      </c>
    </row>
    <row r="25670" spans="15:15" x14ac:dyDescent="0.25">
      <c r="O25670" s="20" t="str">
        <f>IF(N25670="","",COUNTIFS(RawData[[Date ]],N25670,RawData[Month List],$Q$6,RawData[Tour/Site],$Q$2,RawData[[Picker ID ]],$Q$3,RawData[Checker ID],$Q$4,RawData[[Error Type ]],$Q$5))</f>
        <v/>
      </c>
    </row>
    <row r="25671" spans="15:15" x14ac:dyDescent="0.25">
      <c r="O25671" s="20" t="str">
        <f>IF(N25671="","",COUNTIFS(RawData[[Date ]],N25671,RawData[Month List],$Q$6,RawData[Tour/Site],$Q$2,RawData[[Picker ID ]],$Q$3,RawData[Checker ID],$Q$4,RawData[[Error Type ]],$Q$5))</f>
        <v/>
      </c>
    </row>
    <row r="25672" spans="15:15" x14ac:dyDescent="0.25">
      <c r="O25672" s="20" t="str">
        <f>IF(N25672="","",COUNTIFS(RawData[[Date ]],N25672,RawData[Month List],$Q$6,RawData[Tour/Site],$Q$2,RawData[[Picker ID ]],$Q$3,RawData[Checker ID],$Q$4,RawData[[Error Type ]],$Q$5))</f>
        <v/>
      </c>
    </row>
    <row r="25673" spans="15:15" x14ac:dyDescent="0.25">
      <c r="O25673" s="20" t="str">
        <f>IF(N25673="","",COUNTIFS(RawData[[Date ]],N25673,RawData[Month List],$Q$6,RawData[Tour/Site],$Q$2,RawData[[Picker ID ]],$Q$3,RawData[Checker ID],$Q$4,RawData[[Error Type ]],$Q$5))</f>
        <v/>
      </c>
    </row>
    <row r="25674" spans="15:15" x14ac:dyDescent="0.25">
      <c r="O25674" s="20" t="str">
        <f>IF(N25674="","",COUNTIFS(RawData[[Date ]],N25674,RawData[Month List],$Q$6,RawData[Tour/Site],$Q$2,RawData[[Picker ID ]],$Q$3,RawData[Checker ID],$Q$4,RawData[[Error Type ]],$Q$5))</f>
        <v/>
      </c>
    </row>
    <row r="25675" spans="15:15" x14ac:dyDescent="0.25">
      <c r="O25675" s="20" t="str">
        <f>IF(N25675="","",COUNTIFS(RawData[[Date ]],N25675,RawData[Month List],$Q$6,RawData[Tour/Site],$Q$2,RawData[[Picker ID ]],$Q$3,RawData[Checker ID],$Q$4,RawData[[Error Type ]],$Q$5))</f>
        <v/>
      </c>
    </row>
    <row r="25676" spans="15:15" x14ac:dyDescent="0.25">
      <c r="O25676" s="20" t="str">
        <f>IF(N25676="","",COUNTIFS(RawData[[Date ]],N25676,RawData[Month List],$Q$6,RawData[Tour/Site],$Q$2,RawData[[Picker ID ]],$Q$3,RawData[Checker ID],$Q$4,RawData[[Error Type ]],$Q$5))</f>
        <v/>
      </c>
    </row>
    <row r="25677" spans="15:15" x14ac:dyDescent="0.25">
      <c r="O25677" s="20" t="str">
        <f>IF(N25677="","",COUNTIFS(RawData[[Date ]],N25677,RawData[Month List],$Q$6,RawData[Tour/Site],$Q$2,RawData[[Picker ID ]],$Q$3,RawData[Checker ID],$Q$4,RawData[[Error Type ]],$Q$5))</f>
        <v/>
      </c>
    </row>
    <row r="25678" spans="15:15" x14ac:dyDescent="0.25">
      <c r="O25678" s="20" t="str">
        <f>IF(N25678="","",COUNTIFS(RawData[[Date ]],N25678,RawData[Month List],$Q$6,RawData[Tour/Site],$Q$2,RawData[[Picker ID ]],$Q$3,RawData[Checker ID],$Q$4,RawData[[Error Type ]],$Q$5))</f>
        <v/>
      </c>
    </row>
    <row r="25679" spans="15:15" x14ac:dyDescent="0.25">
      <c r="O25679" s="20" t="str">
        <f>IF(N25679="","",COUNTIFS(RawData[[Date ]],N25679,RawData[Month List],$Q$6,RawData[Tour/Site],$Q$2,RawData[[Picker ID ]],$Q$3,RawData[Checker ID],$Q$4,RawData[[Error Type ]],$Q$5))</f>
        <v/>
      </c>
    </row>
    <row r="25680" spans="15:15" x14ac:dyDescent="0.25">
      <c r="O25680" s="20" t="str">
        <f>IF(N25680="","",COUNTIFS(RawData[[Date ]],N25680,RawData[Month List],$Q$6,RawData[Tour/Site],$Q$2,RawData[[Picker ID ]],$Q$3,RawData[Checker ID],$Q$4,RawData[[Error Type ]],$Q$5))</f>
        <v/>
      </c>
    </row>
    <row r="25681" spans="15:15" x14ac:dyDescent="0.25">
      <c r="O25681" s="20" t="str">
        <f>IF(N25681="","",COUNTIFS(RawData[[Date ]],N25681,RawData[Month List],$Q$6,RawData[Tour/Site],$Q$2,RawData[[Picker ID ]],$Q$3,RawData[Checker ID],$Q$4,RawData[[Error Type ]],$Q$5))</f>
        <v/>
      </c>
    </row>
    <row r="25682" spans="15:15" x14ac:dyDescent="0.25">
      <c r="O25682" s="20" t="str">
        <f>IF(N25682="","",COUNTIFS(RawData[[Date ]],N25682,RawData[Month List],$Q$6,RawData[Tour/Site],$Q$2,RawData[[Picker ID ]],$Q$3,RawData[Checker ID],$Q$4,RawData[[Error Type ]],$Q$5))</f>
        <v/>
      </c>
    </row>
    <row r="25683" spans="15:15" x14ac:dyDescent="0.25">
      <c r="O25683" s="20" t="str">
        <f>IF(N25683="","",COUNTIFS(RawData[[Date ]],N25683,RawData[Month List],$Q$6,RawData[Tour/Site],$Q$2,RawData[[Picker ID ]],$Q$3,RawData[Checker ID],$Q$4,RawData[[Error Type ]],$Q$5))</f>
        <v/>
      </c>
    </row>
    <row r="25684" spans="15:15" x14ac:dyDescent="0.25">
      <c r="O25684" s="20" t="str">
        <f>IF(N25684="","",COUNTIFS(RawData[[Date ]],N25684,RawData[Month List],$Q$6,RawData[Tour/Site],$Q$2,RawData[[Picker ID ]],$Q$3,RawData[Checker ID],$Q$4,RawData[[Error Type ]],$Q$5))</f>
        <v/>
      </c>
    </row>
    <row r="25685" spans="15:15" x14ac:dyDescent="0.25">
      <c r="O25685" s="20" t="str">
        <f>IF(N25685="","",COUNTIFS(RawData[[Date ]],N25685,RawData[Month List],$Q$6,RawData[Tour/Site],$Q$2,RawData[[Picker ID ]],$Q$3,RawData[Checker ID],$Q$4,RawData[[Error Type ]],$Q$5))</f>
        <v/>
      </c>
    </row>
    <row r="25686" spans="15:15" x14ac:dyDescent="0.25">
      <c r="O25686" s="20" t="str">
        <f>IF(N25686="","",COUNTIFS(RawData[[Date ]],N25686,RawData[Month List],$Q$6,RawData[Tour/Site],$Q$2,RawData[[Picker ID ]],$Q$3,RawData[Checker ID],$Q$4,RawData[[Error Type ]],$Q$5))</f>
        <v/>
      </c>
    </row>
    <row r="25687" spans="15:15" x14ac:dyDescent="0.25">
      <c r="O25687" s="20" t="str">
        <f>IF(N25687="","",COUNTIFS(RawData[[Date ]],N25687,RawData[Month List],$Q$6,RawData[Tour/Site],$Q$2,RawData[[Picker ID ]],$Q$3,RawData[Checker ID],$Q$4,RawData[[Error Type ]],$Q$5))</f>
        <v/>
      </c>
    </row>
    <row r="25688" spans="15:15" x14ac:dyDescent="0.25">
      <c r="O25688" s="20" t="str">
        <f>IF(N25688="","",COUNTIFS(RawData[[Date ]],N25688,RawData[Month List],$Q$6,RawData[Tour/Site],$Q$2,RawData[[Picker ID ]],$Q$3,RawData[Checker ID],$Q$4,RawData[[Error Type ]],$Q$5))</f>
        <v/>
      </c>
    </row>
    <row r="25689" spans="15:15" x14ac:dyDescent="0.25">
      <c r="O25689" s="20" t="str">
        <f>IF(N25689="","",COUNTIFS(RawData[[Date ]],N25689,RawData[Month List],$Q$6,RawData[Tour/Site],$Q$2,RawData[[Picker ID ]],$Q$3,RawData[Checker ID],$Q$4,RawData[[Error Type ]],$Q$5))</f>
        <v/>
      </c>
    </row>
    <row r="25690" spans="15:15" x14ac:dyDescent="0.25">
      <c r="O25690" s="20" t="str">
        <f>IF(N25690="","",COUNTIFS(RawData[[Date ]],N25690,RawData[Month List],$Q$6,RawData[Tour/Site],$Q$2,RawData[[Picker ID ]],$Q$3,RawData[Checker ID],$Q$4,RawData[[Error Type ]],$Q$5))</f>
        <v/>
      </c>
    </row>
    <row r="25691" spans="15:15" x14ac:dyDescent="0.25">
      <c r="O25691" s="20" t="str">
        <f>IF(N25691="","",COUNTIFS(RawData[[Date ]],N25691,RawData[Month List],$Q$6,RawData[Tour/Site],$Q$2,RawData[[Picker ID ]],$Q$3,RawData[Checker ID],$Q$4,RawData[[Error Type ]],$Q$5))</f>
        <v/>
      </c>
    </row>
    <row r="25692" spans="15:15" x14ac:dyDescent="0.25">
      <c r="O25692" s="20" t="str">
        <f>IF(N25692="","",COUNTIFS(RawData[[Date ]],N25692,RawData[Month List],$Q$6,RawData[Tour/Site],$Q$2,RawData[[Picker ID ]],$Q$3,RawData[Checker ID],$Q$4,RawData[[Error Type ]],$Q$5))</f>
        <v/>
      </c>
    </row>
    <row r="25693" spans="15:15" x14ac:dyDescent="0.25">
      <c r="O25693" s="20" t="str">
        <f>IF(N25693="","",COUNTIFS(RawData[[Date ]],N25693,RawData[Month List],$Q$6,RawData[Tour/Site],$Q$2,RawData[[Picker ID ]],$Q$3,RawData[Checker ID],$Q$4,RawData[[Error Type ]],$Q$5))</f>
        <v/>
      </c>
    </row>
    <row r="25694" spans="15:15" x14ac:dyDescent="0.25">
      <c r="O25694" s="20" t="str">
        <f>IF(N25694="","",COUNTIFS(RawData[[Date ]],N25694,RawData[Month List],$Q$6,RawData[Tour/Site],$Q$2,RawData[[Picker ID ]],$Q$3,RawData[Checker ID],$Q$4,RawData[[Error Type ]],$Q$5))</f>
        <v/>
      </c>
    </row>
    <row r="25695" spans="15:15" x14ac:dyDescent="0.25">
      <c r="O25695" s="20" t="str">
        <f>IF(N25695="","",COUNTIFS(RawData[[Date ]],N25695,RawData[Month List],$Q$6,RawData[Tour/Site],$Q$2,RawData[[Picker ID ]],$Q$3,RawData[Checker ID],$Q$4,RawData[[Error Type ]],$Q$5))</f>
        <v/>
      </c>
    </row>
    <row r="25696" spans="15:15" x14ac:dyDescent="0.25">
      <c r="O25696" s="20" t="str">
        <f>IF(N25696="","",COUNTIFS(RawData[[Date ]],N25696,RawData[Month List],$Q$6,RawData[Tour/Site],$Q$2,RawData[[Picker ID ]],$Q$3,RawData[Checker ID],$Q$4,RawData[[Error Type ]],$Q$5))</f>
        <v/>
      </c>
    </row>
    <row r="25697" spans="15:15" x14ac:dyDescent="0.25">
      <c r="O25697" s="20" t="str">
        <f>IF(N25697="","",COUNTIFS(RawData[[Date ]],N25697,RawData[Month List],$Q$6,RawData[Tour/Site],$Q$2,RawData[[Picker ID ]],$Q$3,RawData[Checker ID],$Q$4,RawData[[Error Type ]],$Q$5))</f>
        <v/>
      </c>
    </row>
    <row r="25698" spans="15:15" x14ac:dyDescent="0.25">
      <c r="O25698" s="20" t="str">
        <f>IF(N25698="","",COUNTIFS(RawData[[Date ]],N25698,RawData[Month List],$Q$6,RawData[Tour/Site],$Q$2,RawData[[Picker ID ]],$Q$3,RawData[Checker ID],$Q$4,RawData[[Error Type ]],$Q$5))</f>
        <v/>
      </c>
    </row>
    <row r="25699" spans="15:15" x14ac:dyDescent="0.25">
      <c r="O25699" s="20" t="str">
        <f>IF(N25699="","",COUNTIFS(RawData[[Date ]],N25699,RawData[Month List],$Q$6,RawData[Tour/Site],$Q$2,RawData[[Picker ID ]],$Q$3,RawData[Checker ID],$Q$4,RawData[[Error Type ]],$Q$5))</f>
        <v/>
      </c>
    </row>
    <row r="25700" spans="15:15" x14ac:dyDescent="0.25">
      <c r="O25700" s="20" t="str">
        <f>IF(N25700="","",COUNTIFS(RawData[[Date ]],N25700,RawData[Month List],$Q$6,RawData[Tour/Site],$Q$2,RawData[[Picker ID ]],$Q$3,RawData[Checker ID],$Q$4,RawData[[Error Type ]],$Q$5))</f>
        <v/>
      </c>
    </row>
    <row r="25701" spans="15:15" x14ac:dyDescent="0.25">
      <c r="O25701" s="20" t="str">
        <f>IF(N25701="","",COUNTIFS(RawData[[Date ]],N25701,RawData[Month List],$Q$6,RawData[Tour/Site],$Q$2,RawData[[Picker ID ]],$Q$3,RawData[Checker ID],$Q$4,RawData[[Error Type ]],$Q$5))</f>
        <v/>
      </c>
    </row>
    <row r="25702" spans="15:15" x14ac:dyDescent="0.25">
      <c r="O25702" s="20" t="str">
        <f>IF(N25702="","",COUNTIFS(RawData[[Date ]],N25702,RawData[Month List],$Q$6,RawData[Tour/Site],$Q$2,RawData[[Picker ID ]],$Q$3,RawData[Checker ID],$Q$4,RawData[[Error Type ]],$Q$5))</f>
        <v/>
      </c>
    </row>
    <row r="25703" spans="15:15" x14ac:dyDescent="0.25">
      <c r="O25703" s="20" t="str">
        <f>IF(N25703="","",COUNTIFS(RawData[[Date ]],N25703,RawData[Month List],$Q$6,RawData[Tour/Site],$Q$2,RawData[[Picker ID ]],$Q$3,RawData[Checker ID],$Q$4,RawData[[Error Type ]],$Q$5))</f>
        <v/>
      </c>
    </row>
    <row r="25704" spans="15:15" x14ac:dyDescent="0.25">
      <c r="O25704" s="20" t="str">
        <f>IF(N25704="","",COUNTIFS(RawData[[Date ]],N25704,RawData[Month List],$Q$6,RawData[Tour/Site],$Q$2,RawData[[Picker ID ]],$Q$3,RawData[Checker ID],$Q$4,RawData[[Error Type ]],$Q$5))</f>
        <v/>
      </c>
    </row>
    <row r="25705" spans="15:15" x14ac:dyDescent="0.25">
      <c r="O25705" s="20" t="str">
        <f>IF(N25705="","",COUNTIFS(RawData[[Date ]],N25705,RawData[Month List],$Q$6,RawData[Tour/Site],$Q$2,RawData[[Picker ID ]],$Q$3,RawData[Checker ID],$Q$4,RawData[[Error Type ]],$Q$5))</f>
        <v/>
      </c>
    </row>
    <row r="25706" spans="15:15" x14ac:dyDescent="0.25">
      <c r="O25706" s="20" t="str">
        <f>IF(N25706="","",COUNTIFS(RawData[[Date ]],N25706,RawData[Month List],$Q$6,RawData[Tour/Site],$Q$2,RawData[[Picker ID ]],$Q$3,RawData[Checker ID],$Q$4,RawData[[Error Type ]],$Q$5))</f>
        <v/>
      </c>
    </row>
    <row r="25707" spans="15:15" x14ac:dyDescent="0.25">
      <c r="O25707" s="20" t="str">
        <f>IF(N25707="","",COUNTIFS(RawData[[Date ]],N25707,RawData[Month List],$Q$6,RawData[Tour/Site],$Q$2,RawData[[Picker ID ]],$Q$3,RawData[Checker ID],$Q$4,RawData[[Error Type ]],$Q$5))</f>
        <v/>
      </c>
    </row>
    <row r="25708" spans="15:15" x14ac:dyDescent="0.25">
      <c r="O25708" s="20" t="str">
        <f>IF(N25708="","",COUNTIFS(RawData[[Date ]],N25708,RawData[Month List],$Q$6,RawData[Tour/Site],$Q$2,RawData[[Picker ID ]],$Q$3,RawData[Checker ID],$Q$4,RawData[[Error Type ]],$Q$5))</f>
        <v/>
      </c>
    </row>
    <row r="25709" spans="15:15" x14ac:dyDescent="0.25">
      <c r="O25709" s="20" t="str">
        <f>IF(N25709="","",COUNTIFS(RawData[[Date ]],N25709,RawData[Month List],$Q$6,RawData[Tour/Site],$Q$2,RawData[[Picker ID ]],$Q$3,RawData[Checker ID],$Q$4,RawData[[Error Type ]],$Q$5))</f>
        <v/>
      </c>
    </row>
    <row r="25710" spans="15:15" x14ac:dyDescent="0.25">
      <c r="O25710" s="20" t="str">
        <f>IF(N25710="","",COUNTIFS(RawData[[Date ]],N25710,RawData[Month List],$Q$6,RawData[Tour/Site],$Q$2,RawData[[Picker ID ]],$Q$3,RawData[Checker ID],$Q$4,RawData[[Error Type ]],$Q$5))</f>
        <v/>
      </c>
    </row>
    <row r="25711" spans="15:15" x14ac:dyDescent="0.25">
      <c r="O25711" s="20" t="str">
        <f>IF(N25711="","",COUNTIFS(RawData[[Date ]],N25711,RawData[Month List],$Q$6,RawData[Tour/Site],$Q$2,RawData[[Picker ID ]],$Q$3,RawData[Checker ID],$Q$4,RawData[[Error Type ]],$Q$5))</f>
        <v/>
      </c>
    </row>
    <row r="25712" spans="15:15" x14ac:dyDescent="0.25">
      <c r="O25712" s="20" t="str">
        <f>IF(N25712="","",COUNTIFS(RawData[[Date ]],N25712,RawData[Month List],$Q$6,RawData[Tour/Site],$Q$2,RawData[[Picker ID ]],$Q$3,RawData[Checker ID],$Q$4,RawData[[Error Type ]],$Q$5))</f>
        <v/>
      </c>
    </row>
    <row r="25713" spans="15:15" x14ac:dyDescent="0.25">
      <c r="O25713" s="20" t="str">
        <f>IF(N25713="","",COUNTIFS(RawData[[Date ]],N25713,RawData[Month List],$Q$6,RawData[Tour/Site],$Q$2,RawData[[Picker ID ]],$Q$3,RawData[Checker ID],$Q$4,RawData[[Error Type ]],$Q$5))</f>
        <v/>
      </c>
    </row>
    <row r="25714" spans="15:15" x14ac:dyDescent="0.25">
      <c r="O25714" s="20" t="str">
        <f>IF(N25714="","",COUNTIFS(RawData[[Date ]],N25714,RawData[Month List],$Q$6,RawData[Tour/Site],$Q$2,RawData[[Picker ID ]],$Q$3,RawData[Checker ID],$Q$4,RawData[[Error Type ]],$Q$5))</f>
        <v/>
      </c>
    </row>
    <row r="25715" spans="15:15" x14ac:dyDescent="0.25">
      <c r="O25715" s="20" t="str">
        <f>IF(N25715="","",COUNTIFS(RawData[[Date ]],N25715,RawData[Month List],$Q$6,RawData[Tour/Site],$Q$2,RawData[[Picker ID ]],$Q$3,RawData[Checker ID],$Q$4,RawData[[Error Type ]],$Q$5))</f>
        <v/>
      </c>
    </row>
    <row r="25716" spans="15:15" x14ac:dyDescent="0.25">
      <c r="O25716" s="20" t="str">
        <f>IF(N25716="","",COUNTIFS(RawData[[Date ]],N25716,RawData[Month List],$Q$6,RawData[Tour/Site],$Q$2,RawData[[Picker ID ]],$Q$3,RawData[Checker ID],$Q$4,RawData[[Error Type ]],$Q$5))</f>
        <v/>
      </c>
    </row>
    <row r="25717" spans="15:15" x14ac:dyDescent="0.25">
      <c r="O25717" s="20" t="str">
        <f>IF(N25717="","",COUNTIFS(RawData[[Date ]],N25717,RawData[Month List],$Q$6,RawData[Tour/Site],$Q$2,RawData[[Picker ID ]],$Q$3,RawData[Checker ID],$Q$4,RawData[[Error Type ]],$Q$5))</f>
        <v/>
      </c>
    </row>
    <row r="25718" spans="15:15" x14ac:dyDescent="0.25">
      <c r="O25718" s="20" t="str">
        <f>IF(N25718="","",COUNTIFS(RawData[[Date ]],N25718,RawData[Month List],$Q$6,RawData[Tour/Site],$Q$2,RawData[[Picker ID ]],$Q$3,RawData[Checker ID],$Q$4,RawData[[Error Type ]],$Q$5))</f>
        <v/>
      </c>
    </row>
    <row r="25719" spans="15:15" x14ac:dyDescent="0.25">
      <c r="O25719" s="20" t="str">
        <f>IF(N25719="","",COUNTIFS(RawData[[Date ]],N25719,RawData[Month List],$Q$6,RawData[Tour/Site],$Q$2,RawData[[Picker ID ]],$Q$3,RawData[Checker ID],$Q$4,RawData[[Error Type ]],$Q$5))</f>
        <v/>
      </c>
    </row>
    <row r="25720" spans="15:15" x14ac:dyDescent="0.25">
      <c r="O25720" s="20" t="str">
        <f>IF(N25720="","",COUNTIFS(RawData[[Date ]],N25720,RawData[Month List],$Q$6,RawData[Tour/Site],$Q$2,RawData[[Picker ID ]],$Q$3,RawData[Checker ID],$Q$4,RawData[[Error Type ]],$Q$5))</f>
        <v/>
      </c>
    </row>
    <row r="25721" spans="15:15" x14ac:dyDescent="0.25">
      <c r="O25721" s="20" t="str">
        <f>IF(N25721="","",COUNTIFS(RawData[[Date ]],N25721,RawData[Month List],$Q$6,RawData[Tour/Site],$Q$2,RawData[[Picker ID ]],$Q$3,RawData[Checker ID],$Q$4,RawData[[Error Type ]],$Q$5))</f>
        <v/>
      </c>
    </row>
    <row r="25722" spans="15:15" x14ac:dyDescent="0.25">
      <c r="O25722" s="20" t="str">
        <f>IF(N25722="","",COUNTIFS(RawData[[Date ]],N25722,RawData[Month List],$Q$6,RawData[Tour/Site],$Q$2,RawData[[Picker ID ]],$Q$3,RawData[Checker ID],$Q$4,RawData[[Error Type ]],$Q$5))</f>
        <v/>
      </c>
    </row>
    <row r="25723" spans="15:15" x14ac:dyDescent="0.25">
      <c r="O25723" s="20" t="str">
        <f>IF(N25723="","",COUNTIFS(RawData[[Date ]],N25723,RawData[Month List],$Q$6,RawData[Tour/Site],$Q$2,RawData[[Picker ID ]],$Q$3,RawData[Checker ID],$Q$4,RawData[[Error Type ]],$Q$5))</f>
        <v/>
      </c>
    </row>
    <row r="25724" spans="15:15" x14ac:dyDescent="0.25">
      <c r="O25724" s="20" t="str">
        <f>IF(N25724="","",COUNTIFS(RawData[[Date ]],N25724,RawData[Month List],$Q$6,RawData[Tour/Site],$Q$2,RawData[[Picker ID ]],$Q$3,RawData[Checker ID],$Q$4,RawData[[Error Type ]],$Q$5))</f>
        <v/>
      </c>
    </row>
    <row r="25725" spans="15:15" x14ac:dyDescent="0.25">
      <c r="O25725" s="20" t="str">
        <f>IF(N25725="","",COUNTIFS(RawData[[Date ]],N25725,RawData[Month List],$Q$6,RawData[Tour/Site],$Q$2,RawData[[Picker ID ]],$Q$3,RawData[Checker ID],$Q$4,RawData[[Error Type ]],$Q$5))</f>
        <v/>
      </c>
    </row>
    <row r="25726" spans="15:15" x14ac:dyDescent="0.25">
      <c r="O25726" s="20" t="str">
        <f>IF(N25726="","",COUNTIFS(RawData[[Date ]],N25726,RawData[Month List],$Q$6,RawData[Tour/Site],$Q$2,RawData[[Picker ID ]],$Q$3,RawData[Checker ID],$Q$4,RawData[[Error Type ]],$Q$5))</f>
        <v/>
      </c>
    </row>
    <row r="25727" spans="15:15" x14ac:dyDescent="0.25">
      <c r="O25727" s="20" t="str">
        <f>IF(N25727="","",COUNTIFS(RawData[[Date ]],N25727,RawData[Month List],$Q$6,RawData[Tour/Site],$Q$2,RawData[[Picker ID ]],$Q$3,RawData[Checker ID],$Q$4,RawData[[Error Type ]],$Q$5))</f>
        <v/>
      </c>
    </row>
    <row r="25728" spans="15:15" x14ac:dyDescent="0.25">
      <c r="O25728" s="20" t="str">
        <f>IF(N25728="","",COUNTIFS(RawData[[Date ]],N25728,RawData[Month List],$Q$6,RawData[Tour/Site],$Q$2,RawData[[Picker ID ]],$Q$3,RawData[Checker ID],$Q$4,RawData[[Error Type ]],$Q$5))</f>
        <v/>
      </c>
    </row>
    <row r="25729" spans="15:15" x14ac:dyDescent="0.25">
      <c r="O25729" s="20" t="str">
        <f>IF(N25729="","",COUNTIFS(RawData[[Date ]],N25729,RawData[Month List],$Q$6,RawData[Tour/Site],$Q$2,RawData[[Picker ID ]],$Q$3,RawData[Checker ID],$Q$4,RawData[[Error Type ]],$Q$5))</f>
        <v/>
      </c>
    </row>
    <row r="25730" spans="15:15" x14ac:dyDescent="0.25">
      <c r="O25730" s="20" t="str">
        <f>IF(N25730="","",COUNTIFS(RawData[[Date ]],N25730,RawData[Month List],$Q$6,RawData[Tour/Site],$Q$2,RawData[[Picker ID ]],$Q$3,RawData[Checker ID],$Q$4,RawData[[Error Type ]],$Q$5))</f>
        <v/>
      </c>
    </row>
    <row r="25731" spans="15:15" x14ac:dyDescent="0.25">
      <c r="O25731" s="20" t="str">
        <f>IF(N25731="","",COUNTIFS(RawData[[Date ]],N25731,RawData[Month List],$Q$6,RawData[Tour/Site],$Q$2,RawData[[Picker ID ]],$Q$3,RawData[Checker ID],$Q$4,RawData[[Error Type ]],$Q$5))</f>
        <v/>
      </c>
    </row>
    <row r="25732" spans="15:15" x14ac:dyDescent="0.25">
      <c r="O25732" s="20" t="str">
        <f>IF(N25732="","",COUNTIFS(RawData[[Date ]],N25732,RawData[Month List],$Q$6,RawData[Tour/Site],$Q$2,RawData[[Picker ID ]],$Q$3,RawData[Checker ID],$Q$4,RawData[[Error Type ]],$Q$5))</f>
        <v/>
      </c>
    </row>
    <row r="25733" spans="15:15" x14ac:dyDescent="0.25">
      <c r="O25733" s="20" t="str">
        <f>IF(N25733="","",COUNTIFS(RawData[[Date ]],N25733,RawData[Month List],$Q$6,RawData[Tour/Site],$Q$2,RawData[[Picker ID ]],$Q$3,RawData[Checker ID],$Q$4,RawData[[Error Type ]],$Q$5))</f>
        <v/>
      </c>
    </row>
    <row r="25734" spans="15:15" x14ac:dyDescent="0.25">
      <c r="O25734" s="20" t="str">
        <f>IF(N25734="","",COUNTIFS(RawData[[Date ]],N25734,RawData[Month List],$Q$6,RawData[Tour/Site],$Q$2,RawData[[Picker ID ]],$Q$3,RawData[Checker ID],$Q$4,RawData[[Error Type ]],$Q$5))</f>
        <v/>
      </c>
    </row>
    <row r="25735" spans="15:15" x14ac:dyDescent="0.25">
      <c r="O25735" s="20" t="str">
        <f>IF(N25735="","",COUNTIFS(RawData[[Date ]],N25735,RawData[Month List],$Q$6,RawData[Tour/Site],$Q$2,RawData[[Picker ID ]],$Q$3,RawData[Checker ID],$Q$4,RawData[[Error Type ]],$Q$5))</f>
        <v/>
      </c>
    </row>
    <row r="25736" spans="15:15" x14ac:dyDescent="0.25">
      <c r="O25736" s="20" t="str">
        <f>IF(N25736="","",COUNTIFS(RawData[[Date ]],N25736,RawData[Month List],$Q$6,RawData[Tour/Site],$Q$2,RawData[[Picker ID ]],$Q$3,RawData[Checker ID],$Q$4,RawData[[Error Type ]],$Q$5))</f>
        <v/>
      </c>
    </row>
    <row r="25737" spans="15:15" x14ac:dyDescent="0.25">
      <c r="O25737" s="20" t="str">
        <f>IF(N25737="","",COUNTIFS(RawData[[Date ]],N25737,RawData[Month List],$Q$6,RawData[Tour/Site],$Q$2,RawData[[Picker ID ]],$Q$3,RawData[Checker ID],$Q$4,RawData[[Error Type ]],$Q$5))</f>
        <v/>
      </c>
    </row>
    <row r="25738" spans="15:15" x14ac:dyDescent="0.25">
      <c r="O25738" s="20" t="str">
        <f>IF(N25738="","",COUNTIFS(RawData[[Date ]],N25738,RawData[Month List],$Q$6,RawData[Tour/Site],$Q$2,RawData[[Picker ID ]],$Q$3,RawData[Checker ID],$Q$4,RawData[[Error Type ]],$Q$5))</f>
        <v/>
      </c>
    </row>
    <row r="25739" spans="15:15" x14ac:dyDescent="0.25">
      <c r="O25739" s="20" t="str">
        <f>IF(N25739="","",COUNTIFS(RawData[[Date ]],N25739,RawData[Month List],$Q$6,RawData[Tour/Site],$Q$2,RawData[[Picker ID ]],$Q$3,RawData[Checker ID],$Q$4,RawData[[Error Type ]],$Q$5))</f>
        <v/>
      </c>
    </row>
    <row r="25740" spans="15:15" x14ac:dyDescent="0.25">
      <c r="O25740" s="20" t="str">
        <f>IF(N25740="","",COUNTIFS(RawData[[Date ]],N25740,RawData[Month List],$Q$6,RawData[Tour/Site],$Q$2,RawData[[Picker ID ]],$Q$3,RawData[Checker ID],$Q$4,RawData[[Error Type ]],$Q$5))</f>
        <v/>
      </c>
    </row>
    <row r="25741" spans="15:15" x14ac:dyDescent="0.25">
      <c r="O25741" s="20" t="str">
        <f>IF(N25741="","",COUNTIFS(RawData[[Date ]],N25741,RawData[Month List],$Q$6,RawData[Tour/Site],$Q$2,RawData[[Picker ID ]],$Q$3,RawData[Checker ID],$Q$4,RawData[[Error Type ]],$Q$5))</f>
        <v/>
      </c>
    </row>
    <row r="25742" spans="15:15" x14ac:dyDescent="0.25">
      <c r="O25742" s="20" t="str">
        <f>IF(N25742="","",COUNTIFS(RawData[[Date ]],N25742,RawData[Month List],$Q$6,RawData[Tour/Site],$Q$2,RawData[[Picker ID ]],$Q$3,RawData[Checker ID],$Q$4,RawData[[Error Type ]],$Q$5))</f>
        <v/>
      </c>
    </row>
    <row r="25743" spans="15:15" x14ac:dyDescent="0.25">
      <c r="O25743" s="20" t="str">
        <f>IF(N25743="","",COUNTIFS(RawData[[Date ]],N25743,RawData[Month List],$Q$6,RawData[Tour/Site],$Q$2,RawData[[Picker ID ]],$Q$3,RawData[Checker ID],$Q$4,RawData[[Error Type ]],$Q$5))</f>
        <v/>
      </c>
    </row>
    <row r="25744" spans="15:15" x14ac:dyDescent="0.25">
      <c r="O25744" s="20" t="str">
        <f>IF(N25744="","",COUNTIFS(RawData[[Date ]],N25744,RawData[Month List],$Q$6,RawData[Tour/Site],$Q$2,RawData[[Picker ID ]],$Q$3,RawData[Checker ID],$Q$4,RawData[[Error Type ]],$Q$5))</f>
        <v/>
      </c>
    </row>
    <row r="25745" spans="15:15" x14ac:dyDescent="0.25">
      <c r="O25745" s="20" t="str">
        <f>IF(N25745="","",COUNTIFS(RawData[[Date ]],N25745,RawData[Month List],$Q$6,RawData[Tour/Site],$Q$2,RawData[[Picker ID ]],$Q$3,RawData[Checker ID],$Q$4,RawData[[Error Type ]],$Q$5))</f>
        <v/>
      </c>
    </row>
    <row r="25746" spans="15:15" x14ac:dyDescent="0.25">
      <c r="O25746" s="20" t="str">
        <f>IF(N25746="","",COUNTIFS(RawData[[Date ]],N25746,RawData[Month List],$Q$6,RawData[Tour/Site],$Q$2,RawData[[Picker ID ]],$Q$3,RawData[Checker ID],$Q$4,RawData[[Error Type ]],$Q$5))</f>
        <v/>
      </c>
    </row>
    <row r="25747" spans="15:15" x14ac:dyDescent="0.25">
      <c r="O25747" s="20" t="str">
        <f>IF(N25747="","",COUNTIFS(RawData[[Date ]],N25747,RawData[Month List],$Q$6,RawData[Tour/Site],$Q$2,RawData[[Picker ID ]],$Q$3,RawData[Checker ID],$Q$4,RawData[[Error Type ]],$Q$5))</f>
        <v/>
      </c>
    </row>
    <row r="25748" spans="15:15" x14ac:dyDescent="0.25">
      <c r="O25748" s="20" t="str">
        <f>IF(N25748="","",COUNTIFS(RawData[[Date ]],N25748,RawData[Month List],$Q$6,RawData[Tour/Site],$Q$2,RawData[[Picker ID ]],$Q$3,RawData[Checker ID],$Q$4,RawData[[Error Type ]],$Q$5))</f>
        <v/>
      </c>
    </row>
    <row r="25749" spans="15:15" x14ac:dyDescent="0.25">
      <c r="O25749" s="20" t="str">
        <f>IF(N25749="","",COUNTIFS(RawData[[Date ]],N25749,RawData[Month List],$Q$6,RawData[Tour/Site],$Q$2,RawData[[Picker ID ]],$Q$3,RawData[Checker ID],$Q$4,RawData[[Error Type ]],$Q$5))</f>
        <v/>
      </c>
    </row>
    <row r="25750" spans="15:15" x14ac:dyDescent="0.25">
      <c r="O25750" s="20" t="str">
        <f>IF(N25750="","",COUNTIFS(RawData[[Date ]],N25750,RawData[Month List],$Q$6,RawData[Tour/Site],$Q$2,RawData[[Picker ID ]],$Q$3,RawData[Checker ID],$Q$4,RawData[[Error Type ]],$Q$5))</f>
        <v/>
      </c>
    </row>
    <row r="25751" spans="15:15" x14ac:dyDescent="0.25">
      <c r="O25751" s="20" t="str">
        <f>IF(N25751="","",COUNTIFS(RawData[[Date ]],N25751,RawData[Month List],$Q$6,RawData[Tour/Site],$Q$2,RawData[[Picker ID ]],$Q$3,RawData[Checker ID],$Q$4,RawData[[Error Type ]],$Q$5))</f>
        <v/>
      </c>
    </row>
    <row r="25752" spans="15:15" x14ac:dyDescent="0.25">
      <c r="O25752" s="20" t="str">
        <f>IF(N25752="","",COUNTIFS(RawData[[Date ]],N25752,RawData[Month List],$Q$6,RawData[Tour/Site],$Q$2,RawData[[Picker ID ]],$Q$3,RawData[Checker ID],$Q$4,RawData[[Error Type ]],$Q$5))</f>
        <v/>
      </c>
    </row>
    <row r="25753" spans="15:15" x14ac:dyDescent="0.25">
      <c r="O25753" s="20" t="str">
        <f>IF(N25753="","",COUNTIFS(RawData[[Date ]],N25753,RawData[Month List],$Q$6,RawData[Tour/Site],$Q$2,RawData[[Picker ID ]],$Q$3,RawData[Checker ID],$Q$4,RawData[[Error Type ]],$Q$5))</f>
        <v/>
      </c>
    </row>
    <row r="25754" spans="15:15" x14ac:dyDescent="0.25">
      <c r="O25754" s="20" t="str">
        <f>IF(N25754="","",COUNTIFS(RawData[[Date ]],N25754,RawData[Month List],$Q$6,RawData[Tour/Site],$Q$2,RawData[[Picker ID ]],$Q$3,RawData[Checker ID],$Q$4,RawData[[Error Type ]],$Q$5))</f>
        <v/>
      </c>
    </row>
    <row r="25755" spans="15:15" x14ac:dyDescent="0.25">
      <c r="O25755" s="20" t="str">
        <f>IF(N25755="","",COUNTIFS(RawData[[Date ]],N25755,RawData[Month List],$Q$6,RawData[Tour/Site],$Q$2,RawData[[Picker ID ]],$Q$3,RawData[Checker ID],$Q$4,RawData[[Error Type ]],$Q$5))</f>
        <v/>
      </c>
    </row>
    <row r="25756" spans="15:15" x14ac:dyDescent="0.25">
      <c r="O25756" s="20" t="str">
        <f>IF(N25756="","",COUNTIFS(RawData[[Date ]],N25756,RawData[Month List],$Q$6,RawData[Tour/Site],$Q$2,RawData[[Picker ID ]],$Q$3,RawData[Checker ID],$Q$4,RawData[[Error Type ]],$Q$5))</f>
        <v/>
      </c>
    </row>
    <row r="25757" spans="15:15" x14ac:dyDescent="0.25">
      <c r="O25757" s="20" t="str">
        <f>IF(N25757="","",COUNTIFS(RawData[[Date ]],N25757,RawData[Month List],$Q$6,RawData[Tour/Site],$Q$2,RawData[[Picker ID ]],$Q$3,RawData[Checker ID],$Q$4,RawData[[Error Type ]],$Q$5))</f>
        <v/>
      </c>
    </row>
    <row r="25758" spans="15:15" x14ac:dyDescent="0.25">
      <c r="O25758" s="20" t="str">
        <f>IF(N25758="","",COUNTIFS(RawData[[Date ]],N25758,RawData[Month List],$Q$6,RawData[Tour/Site],$Q$2,RawData[[Picker ID ]],$Q$3,RawData[Checker ID],$Q$4,RawData[[Error Type ]],$Q$5))</f>
        <v/>
      </c>
    </row>
    <row r="25759" spans="15:15" x14ac:dyDescent="0.25">
      <c r="O25759" s="20" t="str">
        <f>IF(N25759="","",COUNTIFS(RawData[[Date ]],N25759,RawData[Month List],$Q$6,RawData[Tour/Site],$Q$2,RawData[[Picker ID ]],$Q$3,RawData[Checker ID],$Q$4,RawData[[Error Type ]],$Q$5))</f>
        <v/>
      </c>
    </row>
    <row r="25760" spans="15:15" x14ac:dyDescent="0.25">
      <c r="O25760" s="20" t="str">
        <f>IF(N25760="","",COUNTIFS(RawData[[Date ]],N25760,RawData[Month List],$Q$6,RawData[Tour/Site],$Q$2,RawData[[Picker ID ]],$Q$3,RawData[Checker ID],$Q$4,RawData[[Error Type ]],$Q$5))</f>
        <v/>
      </c>
    </row>
    <row r="25761" spans="15:15" x14ac:dyDescent="0.25">
      <c r="O25761" s="20" t="str">
        <f>IF(N25761="","",COUNTIFS(RawData[[Date ]],N25761,RawData[Month List],$Q$6,RawData[Tour/Site],$Q$2,RawData[[Picker ID ]],$Q$3,RawData[Checker ID],$Q$4,RawData[[Error Type ]],$Q$5))</f>
        <v/>
      </c>
    </row>
    <row r="25762" spans="15:15" x14ac:dyDescent="0.25">
      <c r="O25762" s="20" t="str">
        <f>IF(N25762="","",COUNTIFS(RawData[[Date ]],N25762,RawData[Month List],$Q$6,RawData[Tour/Site],$Q$2,RawData[[Picker ID ]],$Q$3,RawData[Checker ID],$Q$4,RawData[[Error Type ]],$Q$5))</f>
        <v/>
      </c>
    </row>
    <row r="25763" spans="15:15" x14ac:dyDescent="0.25">
      <c r="O25763" s="20" t="str">
        <f>IF(N25763="","",COUNTIFS(RawData[[Date ]],N25763,RawData[Month List],$Q$6,RawData[Tour/Site],$Q$2,RawData[[Picker ID ]],$Q$3,RawData[Checker ID],$Q$4,RawData[[Error Type ]],$Q$5))</f>
        <v/>
      </c>
    </row>
    <row r="25764" spans="15:15" x14ac:dyDescent="0.25">
      <c r="O25764" s="20" t="str">
        <f>IF(N25764="","",COUNTIFS(RawData[[Date ]],N25764,RawData[Month List],$Q$6,RawData[Tour/Site],$Q$2,RawData[[Picker ID ]],$Q$3,RawData[Checker ID],$Q$4,RawData[[Error Type ]],$Q$5))</f>
        <v/>
      </c>
    </row>
    <row r="25765" spans="15:15" x14ac:dyDescent="0.25">
      <c r="O25765" s="20" t="str">
        <f>IF(N25765="","",COUNTIFS(RawData[[Date ]],N25765,RawData[Month List],$Q$6,RawData[Tour/Site],$Q$2,RawData[[Picker ID ]],$Q$3,RawData[Checker ID],$Q$4,RawData[[Error Type ]],$Q$5))</f>
        <v/>
      </c>
    </row>
    <row r="25766" spans="15:15" x14ac:dyDescent="0.25">
      <c r="O25766" s="20" t="str">
        <f>IF(N25766="","",COUNTIFS(RawData[[Date ]],N25766,RawData[Month List],$Q$6,RawData[Tour/Site],$Q$2,RawData[[Picker ID ]],$Q$3,RawData[Checker ID],$Q$4,RawData[[Error Type ]],$Q$5))</f>
        <v/>
      </c>
    </row>
    <row r="25767" spans="15:15" x14ac:dyDescent="0.25">
      <c r="O25767" s="20" t="str">
        <f>IF(N25767="","",COUNTIFS(RawData[[Date ]],N25767,RawData[Month List],$Q$6,RawData[Tour/Site],$Q$2,RawData[[Picker ID ]],$Q$3,RawData[Checker ID],$Q$4,RawData[[Error Type ]],$Q$5))</f>
        <v/>
      </c>
    </row>
    <row r="25768" spans="15:15" x14ac:dyDescent="0.25">
      <c r="O25768" s="20" t="str">
        <f>IF(N25768="","",COUNTIFS(RawData[[Date ]],N25768,RawData[Month List],$Q$6,RawData[Tour/Site],$Q$2,RawData[[Picker ID ]],$Q$3,RawData[Checker ID],$Q$4,RawData[[Error Type ]],$Q$5))</f>
        <v/>
      </c>
    </row>
    <row r="25769" spans="15:15" x14ac:dyDescent="0.25">
      <c r="O25769" s="20" t="str">
        <f>IF(N25769="","",COUNTIFS(RawData[[Date ]],N25769,RawData[Month List],$Q$6,RawData[Tour/Site],$Q$2,RawData[[Picker ID ]],$Q$3,RawData[Checker ID],$Q$4,RawData[[Error Type ]],$Q$5))</f>
        <v/>
      </c>
    </row>
    <row r="25770" spans="15:15" x14ac:dyDescent="0.25">
      <c r="O25770" s="20" t="str">
        <f>IF(N25770="","",COUNTIFS(RawData[[Date ]],N25770,RawData[Month List],$Q$6,RawData[Tour/Site],$Q$2,RawData[[Picker ID ]],$Q$3,RawData[Checker ID],$Q$4,RawData[[Error Type ]],$Q$5))</f>
        <v/>
      </c>
    </row>
    <row r="25771" spans="15:15" x14ac:dyDescent="0.25">
      <c r="O25771" s="20" t="str">
        <f>IF(N25771="","",COUNTIFS(RawData[[Date ]],N25771,RawData[Month List],$Q$6,RawData[Tour/Site],$Q$2,RawData[[Picker ID ]],$Q$3,RawData[Checker ID],$Q$4,RawData[[Error Type ]],$Q$5))</f>
        <v/>
      </c>
    </row>
    <row r="25772" spans="15:15" x14ac:dyDescent="0.25">
      <c r="O25772" s="20" t="str">
        <f>IF(N25772="","",COUNTIFS(RawData[[Date ]],N25772,RawData[Month List],$Q$6,RawData[Tour/Site],$Q$2,RawData[[Picker ID ]],$Q$3,RawData[Checker ID],$Q$4,RawData[[Error Type ]],$Q$5))</f>
        <v/>
      </c>
    </row>
    <row r="25773" spans="15:15" x14ac:dyDescent="0.25">
      <c r="O25773" s="20" t="str">
        <f>IF(N25773="","",COUNTIFS(RawData[[Date ]],N25773,RawData[Month List],$Q$6,RawData[Tour/Site],$Q$2,RawData[[Picker ID ]],$Q$3,RawData[Checker ID],$Q$4,RawData[[Error Type ]],$Q$5))</f>
        <v/>
      </c>
    </row>
    <row r="25774" spans="15:15" x14ac:dyDescent="0.25">
      <c r="O25774" s="20" t="str">
        <f>IF(N25774="","",COUNTIFS(RawData[[Date ]],N25774,RawData[Month List],$Q$6,RawData[Tour/Site],$Q$2,RawData[[Picker ID ]],$Q$3,RawData[Checker ID],$Q$4,RawData[[Error Type ]],$Q$5))</f>
        <v/>
      </c>
    </row>
    <row r="25775" spans="15:15" x14ac:dyDescent="0.25">
      <c r="O25775" s="20" t="str">
        <f>IF(N25775="","",COUNTIFS(RawData[[Date ]],N25775,RawData[Month List],$Q$6,RawData[Tour/Site],$Q$2,RawData[[Picker ID ]],$Q$3,RawData[Checker ID],$Q$4,RawData[[Error Type ]],$Q$5))</f>
        <v/>
      </c>
    </row>
    <row r="25776" spans="15:15" x14ac:dyDescent="0.25">
      <c r="O25776" s="20" t="str">
        <f>IF(N25776="","",COUNTIFS(RawData[[Date ]],N25776,RawData[Month List],$Q$6,RawData[Tour/Site],$Q$2,RawData[[Picker ID ]],$Q$3,RawData[Checker ID],$Q$4,RawData[[Error Type ]],$Q$5))</f>
        <v/>
      </c>
    </row>
    <row r="25777" spans="15:15" x14ac:dyDescent="0.25">
      <c r="O25777" s="20" t="str">
        <f>IF(N25777="","",COUNTIFS(RawData[[Date ]],N25777,RawData[Month List],$Q$6,RawData[Tour/Site],$Q$2,RawData[[Picker ID ]],$Q$3,RawData[Checker ID],$Q$4,RawData[[Error Type ]],$Q$5))</f>
        <v/>
      </c>
    </row>
    <row r="25778" spans="15:15" x14ac:dyDescent="0.25">
      <c r="O25778" s="20" t="str">
        <f>IF(N25778="","",COUNTIFS(RawData[[Date ]],N25778,RawData[Month List],$Q$6,RawData[Tour/Site],$Q$2,RawData[[Picker ID ]],$Q$3,RawData[Checker ID],$Q$4,RawData[[Error Type ]],$Q$5))</f>
        <v/>
      </c>
    </row>
    <row r="25779" spans="15:15" x14ac:dyDescent="0.25">
      <c r="O25779" s="20" t="str">
        <f>IF(N25779="","",COUNTIFS(RawData[[Date ]],N25779,RawData[Month List],$Q$6,RawData[Tour/Site],$Q$2,RawData[[Picker ID ]],$Q$3,RawData[Checker ID],$Q$4,RawData[[Error Type ]],$Q$5))</f>
        <v/>
      </c>
    </row>
    <row r="25780" spans="15:15" x14ac:dyDescent="0.25">
      <c r="O25780" s="20" t="str">
        <f>IF(N25780="","",COUNTIFS(RawData[[Date ]],N25780,RawData[Month List],$Q$6,RawData[Tour/Site],$Q$2,RawData[[Picker ID ]],$Q$3,RawData[Checker ID],$Q$4,RawData[[Error Type ]],$Q$5))</f>
        <v/>
      </c>
    </row>
    <row r="25781" spans="15:15" x14ac:dyDescent="0.25">
      <c r="O25781" s="20" t="str">
        <f>IF(N25781="","",COUNTIFS(RawData[[Date ]],N25781,RawData[Month List],$Q$6,RawData[Tour/Site],$Q$2,RawData[[Picker ID ]],$Q$3,RawData[Checker ID],$Q$4,RawData[[Error Type ]],$Q$5))</f>
        <v/>
      </c>
    </row>
    <row r="25782" spans="15:15" x14ac:dyDescent="0.25">
      <c r="O25782" s="20" t="str">
        <f>IF(N25782="","",COUNTIFS(RawData[[Date ]],N25782,RawData[Month List],$Q$6,RawData[Tour/Site],$Q$2,RawData[[Picker ID ]],$Q$3,RawData[Checker ID],$Q$4,RawData[[Error Type ]],$Q$5))</f>
        <v/>
      </c>
    </row>
    <row r="25783" spans="15:15" x14ac:dyDescent="0.25">
      <c r="O25783" s="20" t="str">
        <f>IF(N25783="","",COUNTIFS(RawData[[Date ]],N25783,RawData[Month List],$Q$6,RawData[Tour/Site],$Q$2,RawData[[Picker ID ]],$Q$3,RawData[Checker ID],$Q$4,RawData[[Error Type ]],$Q$5))</f>
        <v/>
      </c>
    </row>
    <row r="25784" spans="15:15" x14ac:dyDescent="0.25">
      <c r="O25784" s="20" t="str">
        <f>IF(N25784="","",COUNTIFS(RawData[[Date ]],N25784,RawData[Month List],$Q$6,RawData[Tour/Site],$Q$2,RawData[[Picker ID ]],$Q$3,RawData[Checker ID],$Q$4,RawData[[Error Type ]],$Q$5))</f>
        <v/>
      </c>
    </row>
    <row r="25785" spans="15:15" x14ac:dyDescent="0.25">
      <c r="O25785" s="20" t="str">
        <f>IF(N25785="","",COUNTIFS(RawData[[Date ]],N25785,RawData[Month List],$Q$6,RawData[Tour/Site],$Q$2,RawData[[Picker ID ]],$Q$3,RawData[Checker ID],$Q$4,RawData[[Error Type ]],$Q$5))</f>
        <v/>
      </c>
    </row>
    <row r="25786" spans="15:15" x14ac:dyDescent="0.25">
      <c r="O25786" s="20" t="str">
        <f>IF(N25786="","",COUNTIFS(RawData[[Date ]],N25786,RawData[Month List],$Q$6,RawData[Tour/Site],$Q$2,RawData[[Picker ID ]],$Q$3,RawData[Checker ID],$Q$4,RawData[[Error Type ]],$Q$5))</f>
        <v/>
      </c>
    </row>
    <row r="25787" spans="15:15" x14ac:dyDescent="0.25">
      <c r="O25787" s="20" t="str">
        <f>IF(N25787="","",COUNTIFS(RawData[[Date ]],N25787,RawData[Month List],$Q$6,RawData[Tour/Site],$Q$2,RawData[[Picker ID ]],$Q$3,RawData[Checker ID],$Q$4,RawData[[Error Type ]],$Q$5))</f>
        <v/>
      </c>
    </row>
    <row r="25788" spans="15:15" x14ac:dyDescent="0.25">
      <c r="O25788" s="20" t="str">
        <f>IF(N25788="","",COUNTIFS(RawData[[Date ]],N25788,RawData[Month List],$Q$6,RawData[Tour/Site],$Q$2,RawData[[Picker ID ]],$Q$3,RawData[Checker ID],$Q$4,RawData[[Error Type ]],$Q$5))</f>
        <v/>
      </c>
    </row>
    <row r="25789" spans="15:15" x14ac:dyDescent="0.25">
      <c r="O25789" s="20" t="str">
        <f>IF(N25789="","",COUNTIFS(RawData[[Date ]],N25789,RawData[Month List],$Q$6,RawData[Tour/Site],$Q$2,RawData[[Picker ID ]],$Q$3,RawData[Checker ID],$Q$4,RawData[[Error Type ]],$Q$5))</f>
        <v/>
      </c>
    </row>
    <row r="25790" spans="15:15" x14ac:dyDescent="0.25">
      <c r="O25790" s="20" t="str">
        <f>IF(N25790="","",COUNTIFS(RawData[[Date ]],N25790,RawData[Month List],$Q$6,RawData[Tour/Site],$Q$2,RawData[[Picker ID ]],$Q$3,RawData[Checker ID],$Q$4,RawData[[Error Type ]],$Q$5))</f>
        <v/>
      </c>
    </row>
    <row r="25791" spans="15:15" x14ac:dyDescent="0.25">
      <c r="O25791" s="20" t="str">
        <f>IF(N25791="","",COUNTIFS(RawData[[Date ]],N25791,RawData[Month List],$Q$6,RawData[Tour/Site],$Q$2,RawData[[Picker ID ]],$Q$3,RawData[Checker ID],$Q$4,RawData[[Error Type ]],$Q$5))</f>
        <v/>
      </c>
    </row>
    <row r="25792" spans="15:15" x14ac:dyDescent="0.25">
      <c r="O25792" s="20" t="str">
        <f>IF(N25792="","",COUNTIFS(RawData[[Date ]],N25792,RawData[Month List],$Q$6,RawData[Tour/Site],$Q$2,RawData[[Picker ID ]],$Q$3,RawData[Checker ID],$Q$4,RawData[[Error Type ]],$Q$5))</f>
        <v/>
      </c>
    </row>
    <row r="25793" spans="15:15" x14ac:dyDescent="0.25">
      <c r="O25793" s="20" t="str">
        <f>IF(N25793="","",COUNTIFS(RawData[[Date ]],N25793,RawData[Month List],$Q$6,RawData[Tour/Site],$Q$2,RawData[[Picker ID ]],$Q$3,RawData[Checker ID],$Q$4,RawData[[Error Type ]],$Q$5))</f>
        <v/>
      </c>
    </row>
    <row r="25794" spans="15:15" x14ac:dyDescent="0.25">
      <c r="O25794" s="20" t="str">
        <f>IF(N25794="","",COUNTIFS(RawData[[Date ]],N25794,RawData[Month List],$Q$6,RawData[Tour/Site],$Q$2,RawData[[Picker ID ]],$Q$3,RawData[Checker ID],$Q$4,RawData[[Error Type ]],$Q$5))</f>
        <v/>
      </c>
    </row>
    <row r="25795" spans="15:15" x14ac:dyDescent="0.25">
      <c r="O25795" s="20" t="str">
        <f>IF(N25795="","",COUNTIFS(RawData[[Date ]],N25795,RawData[Month List],$Q$6,RawData[Tour/Site],$Q$2,RawData[[Picker ID ]],$Q$3,RawData[Checker ID],$Q$4,RawData[[Error Type ]],$Q$5))</f>
        <v/>
      </c>
    </row>
    <row r="25796" spans="15:15" x14ac:dyDescent="0.25">
      <c r="O25796" s="20" t="str">
        <f>IF(N25796="","",COUNTIFS(RawData[[Date ]],N25796,RawData[Month List],$Q$6,RawData[Tour/Site],$Q$2,RawData[[Picker ID ]],$Q$3,RawData[Checker ID],$Q$4,RawData[[Error Type ]],$Q$5))</f>
        <v/>
      </c>
    </row>
    <row r="25797" spans="15:15" x14ac:dyDescent="0.25">
      <c r="O25797" s="20" t="str">
        <f>IF(N25797="","",COUNTIFS(RawData[[Date ]],N25797,RawData[Month List],$Q$6,RawData[Tour/Site],$Q$2,RawData[[Picker ID ]],$Q$3,RawData[Checker ID],$Q$4,RawData[[Error Type ]],$Q$5))</f>
        <v/>
      </c>
    </row>
    <row r="25798" spans="15:15" x14ac:dyDescent="0.25">
      <c r="O25798" s="20" t="str">
        <f>IF(N25798="","",COUNTIFS(RawData[[Date ]],N25798,RawData[Month List],$Q$6,RawData[Tour/Site],$Q$2,RawData[[Picker ID ]],$Q$3,RawData[Checker ID],$Q$4,RawData[[Error Type ]],$Q$5))</f>
        <v/>
      </c>
    </row>
    <row r="25799" spans="15:15" x14ac:dyDescent="0.25">
      <c r="O25799" s="20" t="str">
        <f>IF(N25799="","",COUNTIFS(RawData[[Date ]],N25799,RawData[Month List],$Q$6,RawData[Tour/Site],$Q$2,RawData[[Picker ID ]],$Q$3,RawData[Checker ID],$Q$4,RawData[[Error Type ]],$Q$5))</f>
        <v/>
      </c>
    </row>
    <row r="25800" spans="15:15" x14ac:dyDescent="0.25">
      <c r="O25800" s="20" t="str">
        <f>IF(N25800="","",COUNTIFS(RawData[[Date ]],N25800,RawData[Month List],$Q$6,RawData[Tour/Site],$Q$2,RawData[[Picker ID ]],$Q$3,RawData[Checker ID],$Q$4,RawData[[Error Type ]],$Q$5))</f>
        <v/>
      </c>
    </row>
    <row r="25801" spans="15:15" x14ac:dyDescent="0.25">
      <c r="O25801" s="20" t="str">
        <f>IF(N25801="","",COUNTIFS(RawData[[Date ]],N25801,RawData[Month List],$Q$6,RawData[Tour/Site],$Q$2,RawData[[Picker ID ]],$Q$3,RawData[Checker ID],$Q$4,RawData[[Error Type ]],$Q$5))</f>
        <v/>
      </c>
    </row>
    <row r="25802" spans="15:15" x14ac:dyDescent="0.25">
      <c r="O25802" s="20" t="str">
        <f>IF(N25802="","",COUNTIFS(RawData[[Date ]],N25802,RawData[Month List],$Q$6,RawData[Tour/Site],$Q$2,RawData[[Picker ID ]],$Q$3,RawData[Checker ID],$Q$4,RawData[[Error Type ]],$Q$5))</f>
        <v/>
      </c>
    </row>
    <row r="25803" spans="15:15" x14ac:dyDescent="0.25">
      <c r="O25803" s="20" t="str">
        <f>IF(N25803="","",COUNTIFS(RawData[[Date ]],N25803,RawData[Month List],$Q$6,RawData[Tour/Site],$Q$2,RawData[[Picker ID ]],$Q$3,RawData[Checker ID],$Q$4,RawData[[Error Type ]],$Q$5))</f>
        <v/>
      </c>
    </row>
    <row r="25804" spans="15:15" x14ac:dyDescent="0.25">
      <c r="O25804" s="20" t="str">
        <f>IF(N25804="","",COUNTIFS(RawData[[Date ]],N25804,RawData[Month List],$Q$6,RawData[Tour/Site],$Q$2,RawData[[Picker ID ]],$Q$3,RawData[Checker ID],$Q$4,RawData[[Error Type ]],$Q$5))</f>
        <v/>
      </c>
    </row>
    <row r="25805" spans="15:15" x14ac:dyDescent="0.25">
      <c r="O25805" s="20" t="str">
        <f>IF(N25805="","",COUNTIFS(RawData[[Date ]],N25805,RawData[Month List],$Q$6,RawData[Tour/Site],$Q$2,RawData[[Picker ID ]],$Q$3,RawData[Checker ID],$Q$4,RawData[[Error Type ]],$Q$5))</f>
        <v/>
      </c>
    </row>
    <row r="25806" spans="15:15" x14ac:dyDescent="0.25">
      <c r="O25806" s="20" t="str">
        <f>IF(N25806="","",COUNTIFS(RawData[[Date ]],N25806,RawData[Month List],$Q$6,RawData[Tour/Site],$Q$2,RawData[[Picker ID ]],$Q$3,RawData[Checker ID],$Q$4,RawData[[Error Type ]],$Q$5))</f>
        <v/>
      </c>
    </row>
    <row r="25807" spans="15:15" x14ac:dyDescent="0.25">
      <c r="O25807" s="20" t="str">
        <f>IF(N25807="","",COUNTIFS(RawData[[Date ]],N25807,RawData[Month List],$Q$6,RawData[Tour/Site],$Q$2,RawData[[Picker ID ]],$Q$3,RawData[Checker ID],$Q$4,RawData[[Error Type ]],$Q$5))</f>
        <v/>
      </c>
    </row>
    <row r="25808" spans="15:15" x14ac:dyDescent="0.25">
      <c r="O25808" s="20" t="str">
        <f>IF(N25808="","",COUNTIFS(RawData[[Date ]],N25808,RawData[Month List],$Q$6,RawData[Tour/Site],$Q$2,RawData[[Picker ID ]],$Q$3,RawData[Checker ID],$Q$4,RawData[[Error Type ]],$Q$5))</f>
        <v/>
      </c>
    </row>
    <row r="25809" spans="15:15" x14ac:dyDescent="0.25">
      <c r="O25809" s="20" t="str">
        <f>IF(N25809="","",COUNTIFS(RawData[[Date ]],N25809,RawData[Month List],$Q$6,RawData[Tour/Site],$Q$2,RawData[[Picker ID ]],$Q$3,RawData[Checker ID],$Q$4,RawData[[Error Type ]],$Q$5))</f>
        <v/>
      </c>
    </row>
    <row r="25810" spans="15:15" x14ac:dyDescent="0.25">
      <c r="O25810" s="20" t="str">
        <f>IF(N25810="","",COUNTIFS(RawData[[Date ]],N25810,RawData[Month List],$Q$6,RawData[Tour/Site],$Q$2,RawData[[Picker ID ]],$Q$3,RawData[Checker ID],$Q$4,RawData[[Error Type ]],$Q$5))</f>
        <v/>
      </c>
    </row>
    <row r="25811" spans="15:15" x14ac:dyDescent="0.25">
      <c r="O25811" s="20" t="str">
        <f>IF(N25811="","",COUNTIFS(RawData[[Date ]],N25811,RawData[Month List],$Q$6,RawData[Tour/Site],$Q$2,RawData[[Picker ID ]],$Q$3,RawData[Checker ID],$Q$4,RawData[[Error Type ]],$Q$5))</f>
        <v/>
      </c>
    </row>
    <row r="25812" spans="15:15" x14ac:dyDescent="0.25">
      <c r="O25812" s="20" t="str">
        <f>IF(N25812="","",COUNTIFS(RawData[[Date ]],N25812,RawData[Month List],$Q$6,RawData[Tour/Site],$Q$2,RawData[[Picker ID ]],$Q$3,RawData[Checker ID],$Q$4,RawData[[Error Type ]],$Q$5))</f>
        <v/>
      </c>
    </row>
    <row r="25813" spans="15:15" x14ac:dyDescent="0.25">
      <c r="O25813" s="20" t="str">
        <f>IF(N25813="","",COUNTIFS(RawData[[Date ]],N25813,RawData[Month List],$Q$6,RawData[Tour/Site],$Q$2,RawData[[Picker ID ]],$Q$3,RawData[Checker ID],$Q$4,RawData[[Error Type ]],$Q$5))</f>
        <v/>
      </c>
    </row>
    <row r="25814" spans="15:15" x14ac:dyDescent="0.25">
      <c r="O25814" s="20" t="str">
        <f>IF(N25814="","",COUNTIFS(RawData[[Date ]],N25814,RawData[Month List],$Q$6,RawData[Tour/Site],$Q$2,RawData[[Picker ID ]],$Q$3,RawData[Checker ID],$Q$4,RawData[[Error Type ]],$Q$5))</f>
        <v/>
      </c>
    </row>
    <row r="25815" spans="15:15" x14ac:dyDescent="0.25">
      <c r="O25815" s="20" t="str">
        <f>IF(N25815="","",COUNTIFS(RawData[[Date ]],N25815,RawData[Month List],$Q$6,RawData[Tour/Site],$Q$2,RawData[[Picker ID ]],$Q$3,RawData[Checker ID],$Q$4,RawData[[Error Type ]],$Q$5))</f>
        <v/>
      </c>
    </row>
    <row r="25816" spans="15:15" x14ac:dyDescent="0.25">
      <c r="O25816" s="20" t="str">
        <f>IF(N25816="","",COUNTIFS(RawData[[Date ]],N25816,RawData[Month List],$Q$6,RawData[Tour/Site],$Q$2,RawData[[Picker ID ]],$Q$3,RawData[Checker ID],$Q$4,RawData[[Error Type ]],$Q$5))</f>
        <v/>
      </c>
    </row>
    <row r="25817" spans="15:15" x14ac:dyDescent="0.25">
      <c r="O25817" s="20" t="str">
        <f>IF(N25817="","",COUNTIFS(RawData[[Date ]],N25817,RawData[Month List],$Q$6,RawData[Tour/Site],$Q$2,RawData[[Picker ID ]],$Q$3,RawData[Checker ID],$Q$4,RawData[[Error Type ]],$Q$5))</f>
        <v/>
      </c>
    </row>
    <row r="25818" spans="15:15" x14ac:dyDescent="0.25">
      <c r="O25818" s="20" t="str">
        <f>IF(N25818="","",COUNTIFS(RawData[[Date ]],N25818,RawData[Month List],$Q$6,RawData[Tour/Site],$Q$2,RawData[[Picker ID ]],$Q$3,RawData[Checker ID],$Q$4,RawData[[Error Type ]],$Q$5))</f>
        <v/>
      </c>
    </row>
    <row r="25819" spans="15:15" x14ac:dyDescent="0.25">
      <c r="O25819" s="20" t="str">
        <f>IF(N25819="","",COUNTIFS(RawData[[Date ]],N25819,RawData[Month List],$Q$6,RawData[Tour/Site],$Q$2,RawData[[Picker ID ]],$Q$3,RawData[Checker ID],$Q$4,RawData[[Error Type ]],$Q$5))</f>
        <v/>
      </c>
    </row>
    <row r="25820" spans="15:15" x14ac:dyDescent="0.25">
      <c r="O25820" s="20" t="str">
        <f>IF(N25820="","",COUNTIFS(RawData[[Date ]],N25820,RawData[Month List],$Q$6,RawData[Tour/Site],$Q$2,RawData[[Picker ID ]],$Q$3,RawData[Checker ID],$Q$4,RawData[[Error Type ]],$Q$5))</f>
        <v/>
      </c>
    </row>
    <row r="25821" spans="15:15" x14ac:dyDescent="0.25">
      <c r="O25821" s="20" t="str">
        <f>IF(N25821="","",COUNTIFS(RawData[[Date ]],N25821,RawData[Month List],$Q$6,RawData[Tour/Site],$Q$2,RawData[[Picker ID ]],$Q$3,RawData[Checker ID],$Q$4,RawData[[Error Type ]],$Q$5))</f>
        <v/>
      </c>
    </row>
    <row r="25822" spans="15:15" x14ac:dyDescent="0.25">
      <c r="O25822" s="20" t="str">
        <f>IF(N25822="","",COUNTIFS(RawData[[Date ]],N25822,RawData[Month List],$Q$6,RawData[Tour/Site],$Q$2,RawData[[Picker ID ]],$Q$3,RawData[Checker ID],$Q$4,RawData[[Error Type ]],$Q$5))</f>
        <v/>
      </c>
    </row>
    <row r="25823" spans="15:15" x14ac:dyDescent="0.25">
      <c r="O25823" s="20" t="str">
        <f>IF(N25823="","",COUNTIFS(RawData[[Date ]],N25823,RawData[Month List],$Q$6,RawData[Tour/Site],$Q$2,RawData[[Picker ID ]],$Q$3,RawData[Checker ID],$Q$4,RawData[[Error Type ]],$Q$5))</f>
        <v/>
      </c>
    </row>
    <row r="25824" spans="15:15" x14ac:dyDescent="0.25">
      <c r="O25824" s="20" t="str">
        <f>IF(N25824="","",COUNTIFS(RawData[[Date ]],N25824,RawData[Month List],$Q$6,RawData[Tour/Site],$Q$2,RawData[[Picker ID ]],$Q$3,RawData[Checker ID],$Q$4,RawData[[Error Type ]],$Q$5))</f>
        <v/>
      </c>
    </row>
    <row r="25825" spans="15:15" x14ac:dyDescent="0.25">
      <c r="O25825" s="20" t="str">
        <f>IF(N25825="","",COUNTIFS(RawData[[Date ]],N25825,RawData[Month List],$Q$6,RawData[Tour/Site],$Q$2,RawData[[Picker ID ]],$Q$3,RawData[Checker ID],$Q$4,RawData[[Error Type ]],$Q$5))</f>
        <v/>
      </c>
    </row>
    <row r="25826" spans="15:15" x14ac:dyDescent="0.25">
      <c r="O25826" s="20" t="str">
        <f>IF(N25826="","",COUNTIFS(RawData[[Date ]],N25826,RawData[Month List],$Q$6,RawData[Tour/Site],$Q$2,RawData[[Picker ID ]],$Q$3,RawData[Checker ID],$Q$4,RawData[[Error Type ]],$Q$5))</f>
        <v/>
      </c>
    </row>
    <row r="25827" spans="15:15" x14ac:dyDescent="0.25">
      <c r="O25827" s="20" t="str">
        <f>IF(N25827="","",COUNTIFS(RawData[[Date ]],N25827,RawData[Month List],$Q$6,RawData[Tour/Site],$Q$2,RawData[[Picker ID ]],$Q$3,RawData[Checker ID],$Q$4,RawData[[Error Type ]],$Q$5))</f>
        <v/>
      </c>
    </row>
    <row r="25828" spans="15:15" x14ac:dyDescent="0.25">
      <c r="O25828" s="20" t="str">
        <f>IF(N25828="","",COUNTIFS(RawData[[Date ]],N25828,RawData[Month List],$Q$6,RawData[Tour/Site],$Q$2,RawData[[Picker ID ]],$Q$3,RawData[Checker ID],$Q$4,RawData[[Error Type ]],$Q$5))</f>
        <v/>
      </c>
    </row>
    <row r="25829" spans="15:15" x14ac:dyDescent="0.25">
      <c r="O25829" s="20" t="str">
        <f>IF(N25829="","",COUNTIFS(RawData[[Date ]],N25829,RawData[Month List],$Q$6,RawData[Tour/Site],$Q$2,RawData[[Picker ID ]],$Q$3,RawData[Checker ID],$Q$4,RawData[[Error Type ]],$Q$5))</f>
        <v/>
      </c>
    </row>
    <row r="25830" spans="15:15" x14ac:dyDescent="0.25">
      <c r="O25830" s="20" t="str">
        <f>IF(N25830="","",COUNTIFS(RawData[[Date ]],N25830,RawData[Month List],$Q$6,RawData[Tour/Site],$Q$2,RawData[[Picker ID ]],$Q$3,RawData[Checker ID],$Q$4,RawData[[Error Type ]],$Q$5))</f>
        <v/>
      </c>
    </row>
    <row r="25831" spans="15:15" x14ac:dyDescent="0.25">
      <c r="O25831" s="20" t="str">
        <f>IF(N25831="","",COUNTIFS(RawData[[Date ]],N25831,RawData[Month List],$Q$6,RawData[Tour/Site],$Q$2,RawData[[Picker ID ]],$Q$3,RawData[Checker ID],$Q$4,RawData[[Error Type ]],$Q$5))</f>
        <v/>
      </c>
    </row>
    <row r="25832" spans="15:15" x14ac:dyDescent="0.25">
      <c r="O25832" s="20" t="str">
        <f>IF(N25832="","",COUNTIFS(RawData[[Date ]],N25832,RawData[Month List],$Q$6,RawData[Tour/Site],$Q$2,RawData[[Picker ID ]],$Q$3,RawData[Checker ID],$Q$4,RawData[[Error Type ]],$Q$5))</f>
        <v/>
      </c>
    </row>
    <row r="25833" spans="15:15" x14ac:dyDescent="0.25">
      <c r="O25833" s="20" t="str">
        <f>IF(N25833="","",COUNTIFS(RawData[[Date ]],N25833,RawData[Month List],$Q$6,RawData[Tour/Site],$Q$2,RawData[[Picker ID ]],$Q$3,RawData[Checker ID],$Q$4,RawData[[Error Type ]],$Q$5))</f>
        <v/>
      </c>
    </row>
    <row r="25834" spans="15:15" x14ac:dyDescent="0.25">
      <c r="O25834" s="20" t="str">
        <f>IF(N25834="","",COUNTIFS(RawData[[Date ]],N25834,RawData[Month List],$Q$6,RawData[Tour/Site],$Q$2,RawData[[Picker ID ]],$Q$3,RawData[Checker ID],$Q$4,RawData[[Error Type ]],$Q$5))</f>
        <v/>
      </c>
    </row>
    <row r="25835" spans="15:15" x14ac:dyDescent="0.25">
      <c r="O25835" s="20" t="str">
        <f>IF(N25835="","",COUNTIFS(RawData[[Date ]],N25835,RawData[Month List],$Q$6,RawData[Tour/Site],$Q$2,RawData[[Picker ID ]],$Q$3,RawData[Checker ID],$Q$4,RawData[[Error Type ]],$Q$5))</f>
        <v/>
      </c>
    </row>
    <row r="25836" spans="15:15" x14ac:dyDescent="0.25">
      <c r="O25836" s="20" t="str">
        <f>IF(N25836="","",COUNTIFS(RawData[[Date ]],N25836,RawData[Month List],$Q$6,RawData[Tour/Site],$Q$2,RawData[[Picker ID ]],$Q$3,RawData[Checker ID],$Q$4,RawData[[Error Type ]],$Q$5))</f>
        <v/>
      </c>
    </row>
    <row r="25837" spans="15:15" x14ac:dyDescent="0.25">
      <c r="O25837" s="20" t="str">
        <f>IF(N25837="","",COUNTIFS(RawData[[Date ]],N25837,RawData[Month List],$Q$6,RawData[Tour/Site],$Q$2,RawData[[Picker ID ]],$Q$3,RawData[Checker ID],$Q$4,RawData[[Error Type ]],$Q$5))</f>
        <v/>
      </c>
    </row>
    <row r="25838" spans="15:15" x14ac:dyDescent="0.25">
      <c r="O25838" s="20" t="str">
        <f>IF(N25838="","",COUNTIFS(RawData[[Date ]],N25838,RawData[Month List],$Q$6,RawData[Tour/Site],$Q$2,RawData[[Picker ID ]],$Q$3,RawData[Checker ID],$Q$4,RawData[[Error Type ]],$Q$5))</f>
        <v/>
      </c>
    </row>
    <row r="25839" spans="15:15" x14ac:dyDescent="0.25">
      <c r="O25839" s="20" t="str">
        <f>IF(N25839="","",COUNTIFS(RawData[[Date ]],N25839,RawData[Month List],$Q$6,RawData[Tour/Site],$Q$2,RawData[[Picker ID ]],$Q$3,RawData[Checker ID],$Q$4,RawData[[Error Type ]],$Q$5))</f>
        <v/>
      </c>
    </row>
    <row r="25840" spans="15:15" x14ac:dyDescent="0.25">
      <c r="O25840" s="20" t="str">
        <f>IF(N25840="","",COUNTIFS(RawData[[Date ]],N25840,RawData[Month List],$Q$6,RawData[Tour/Site],$Q$2,RawData[[Picker ID ]],$Q$3,RawData[Checker ID],$Q$4,RawData[[Error Type ]],$Q$5))</f>
        <v/>
      </c>
    </row>
    <row r="25841" spans="15:15" x14ac:dyDescent="0.25">
      <c r="O25841" s="20" t="str">
        <f>IF(N25841="","",COUNTIFS(RawData[[Date ]],N25841,RawData[Month List],$Q$6,RawData[Tour/Site],$Q$2,RawData[[Picker ID ]],$Q$3,RawData[Checker ID],$Q$4,RawData[[Error Type ]],$Q$5))</f>
        <v/>
      </c>
    </row>
    <row r="25842" spans="15:15" x14ac:dyDescent="0.25">
      <c r="O25842" s="20" t="str">
        <f>IF(N25842="","",COUNTIFS(RawData[[Date ]],N25842,RawData[Month List],$Q$6,RawData[Tour/Site],$Q$2,RawData[[Picker ID ]],$Q$3,RawData[Checker ID],$Q$4,RawData[[Error Type ]],$Q$5))</f>
        <v/>
      </c>
    </row>
    <row r="25843" spans="15:15" x14ac:dyDescent="0.25">
      <c r="O25843" s="20" t="str">
        <f>IF(N25843="","",COUNTIFS(RawData[[Date ]],N25843,RawData[Month List],$Q$6,RawData[Tour/Site],$Q$2,RawData[[Picker ID ]],$Q$3,RawData[Checker ID],$Q$4,RawData[[Error Type ]],$Q$5))</f>
        <v/>
      </c>
    </row>
    <row r="25844" spans="15:15" x14ac:dyDescent="0.25">
      <c r="O25844" s="20" t="str">
        <f>IF(N25844="","",COUNTIFS(RawData[[Date ]],N25844,RawData[Month List],$Q$6,RawData[Tour/Site],$Q$2,RawData[[Picker ID ]],$Q$3,RawData[Checker ID],$Q$4,RawData[[Error Type ]],$Q$5))</f>
        <v/>
      </c>
    </row>
    <row r="25845" spans="15:15" x14ac:dyDescent="0.25">
      <c r="O25845" s="20" t="str">
        <f>IF(N25845="","",COUNTIFS(RawData[[Date ]],N25845,RawData[Month List],$Q$6,RawData[Tour/Site],$Q$2,RawData[[Picker ID ]],$Q$3,RawData[Checker ID],$Q$4,RawData[[Error Type ]],$Q$5))</f>
        <v/>
      </c>
    </row>
    <row r="25846" spans="15:15" x14ac:dyDescent="0.25">
      <c r="O25846" s="20" t="str">
        <f>IF(N25846="","",COUNTIFS(RawData[[Date ]],N25846,RawData[Month List],$Q$6,RawData[Tour/Site],$Q$2,RawData[[Picker ID ]],$Q$3,RawData[Checker ID],$Q$4,RawData[[Error Type ]],$Q$5))</f>
        <v/>
      </c>
    </row>
    <row r="25847" spans="15:15" x14ac:dyDescent="0.25">
      <c r="O25847" s="20" t="str">
        <f>IF(N25847="","",COUNTIFS(RawData[[Date ]],N25847,RawData[Month List],$Q$6,RawData[Tour/Site],$Q$2,RawData[[Picker ID ]],$Q$3,RawData[Checker ID],$Q$4,RawData[[Error Type ]],$Q$5))</f>
        <v/>
      </c>
    </row>
    <row r="25848" spans="15:15" x14ac:dyDescent="0.25">
      <c r="O25848" s="20" t="str">
        <f>IF(N25848="","",COUNTIFS(RawData[[Date ]],N25848,RawData[Month List],$Q$6,RawData[Tour/Site],$Q$2,RawData[[Picker ID ]],$Q$3,RawData[Checker ID],$Q$4,RawData[[Error Type ]],$Q$5))</f>
        <v/>
      </c>
    </row>
    <row r="25849" spans="15:15" x14ac:dyDescent="0.25">
      <c r="O25849" s="20" t="str">
        <f>IF(N25849="","",COUNTIFS(RawData[[Date ]],N25849,RawData[Month List],$Q$6,RawData[Tour/Site],$Q$2,RawData[[Picker ID ]],$Q$3,RawData[Checker ID],$Q$4,RawData[[Error Type ]],$Q$5))</f>
        <v/>
      </c>
    </row>
    <row r="25850" spans="15:15" x14ac:dyDescent="0.25">
      <c r="O25850" s="20" t="str">
        <f>IF(N25850="","",COUNTIFS(RawData[[Date ]],N25850,RawData[Month List],$Q$6,RawData[Tour/Site],$Q$2,RawData[[Picker ID ]],$Q$3,RawData[Checker ID],$Q$4,RawData[[Error Type ]],$Q$5))</f>
        <v/>
      </c>
    </row>
    <row r="25851" spans="15:15" x14ac:dyDescent="0.25">
      <c r="O25851" s="20" t="str">
        <f>IF(N25851="","",COUNTIFS(RawData[[Date ]],N25851,RawData[Month List],$Q$6,RawData[Tour/Site],$Q$2,RawData[[Picker ID ]],$Q$3,RawData[Checker ID],$Q$4,RawData[[Error Type ]],$Q$5))</f>
        <v/>
      </c>
    </row>
    <row r="25852" spans="15:15" x14ac:dyDescent="0.25">
      <c r="O25852" s="20" t="str">
        <f>IF(N25852="","",COUNTIFS(RawData[[Date ]],N25852,RawData[Month List],$Q$6,RawData[Tour/Site],$Q$2,RawData[[Picker ID ]],$Q$3,RawData[Checker ID],$Q$4,RawData[[Error Type ]],$Q$5))</f>
        <v/>
      </c>
    </row>
    <row r="25853" spans="15:15" x14ac:dyDescent="0.25">
      <c r="O25853" s="20" t="str">
        <f>IF(N25853="","",COUNTIFS(RawData[[Date ]],N25853,RawData[Month List],$Q$6,RawData[Tour/Site],$Q$2,RawData[[Picker ID ]],$Q$3,RawData[Checker ID],$Q$4,RawData[[Error Type ]],$Q$5))</f>
        <v/>
      </c>
    </row>
    <row r="25854" spans="15:15" x14ac:dyDescent="0.25">
      <c r="O25854" s="20" t="str">
        <f>IF(N25854="","",COUNTIFS(RawData[[Date ]],N25854,RawData[Month List],$Q$6,RawData[Tour/Site],$Q$2,RawData[[Picker ID ]],$Q$3,RawData[Checker ID],$Q$4,RawData[[Error Type ]],$Q$5))</f>
        <v/>
      </c>
    </row>
    <row r="25855" spans="15:15" x14ac:dyDescent="0.25">
      <c r="O25855" s="20" t="str">
        <f>IF(N25855="","",COUNTIFS(RawData[[Date ]],N25855,RawData[Month List],$Q$6,RawData[Tour/Site],$Q$2,RawData[[Picker ID ]],$Q$3,RawData[Checker ID],$Q$4,RawData[[Error Type ]],$Q$5))</f>
        <v/>
      </c>
    </row>
    <row r="25856" spans="15:15" x14ac:dyDescent="0.25">
      <c r="O25856" s="20" t="str">
        <f>IF(N25856="","",COUNTIFS(RawData[[Date ]],N25856,RawData[Month List],$Q$6,RawData[Tour/Site],$Q$2,RawData[[Picker ID ]],$Q$3,RawData[Checker ID],$Q$4,RawData[[Error Type ]],$Q$5))</f>
        <v/>
      </c>
    </row>
    <row r="25857" spans="15:15" x14ac:dyDescent="0.25">
      <c r="O25857" s="20" t="str">
        <f>IF(N25857="","",COUNTIFS(RawData[[Date ]],N25857,RawData[Month List],$Q$6,RawData[Tour/Site],$Q$2,RawData[[Picker ID ]],$Q$3,RawData[Checker ID],$Q$4,RawData[[Error Type ]],$Q$5))</f>
        <v/>
      </c>
    </row>
    <row r="25858" spans="15:15" x14ac:dyDescent="0.25">
      <c r="O25858" s="20" t="str">
        <f>IF(N25858="","",COUNTIFS(RawData[[Date ]],N25858,RawData[Month List],$Q$6,RawData[Tour/Site],$Q$2,RawData[[Picker ID ]],$Q$3,RawData[Checker ID],$Q$4,RawData[[Error Type ]],$Q$5))</f>
        <v/>
      </c>
    </row>
    <row r="25859" spans="15:15" x14ac:dyDescent="0.25">
      <c r="O25859" s="20" t="str">
        <f>IF(N25859="","",COUNTIFS(RawData[[Date ]],N25859,RawData[Month List],$Q$6,RawData[Tour/Site],$Q$2,RawData[[Picker ID ]],$Q$3,RawData[Checker ID],$Q$4,RawData[[Error Type ]],$Q$5))</f>
        <v/>
      </c>
    </row>
    <row r="25860" spans="15:15" x14ac:dyDescent="0.25">
      <c r="O25860" s="20" t="str">
        <f>IF(N25860="","",COUNTIFS(RawData[[Date ]],N25860,RawData[Month List],$Q$6,RawData[Tour/Site],$Q$2,RawData[[Picker ID ]],$Q$3,RawData[Checker ID],$Q$4,RawData[[Error Type ]],$Q$5))</f>
        <v/>
      </c>
    </row>
    <row r="25861" spans="15:15" x14ac:dyDescent="0.25">
      <c r="O25861" s="20" t="str">
        <f>IF(N25861="","",COUNTIFS(RawData[[Date ]],N25861,RawData[Month List],$Q$6,RawData[Tour/Site],$Q$2,RawData[[Picker ID ]],$Q$3,RawData[Checker ID],$Q$4,RawData[[Error Type ]],$Q$5))</f>
        <v/>
      </c>
    </row>
    <row r="25862" spans="15:15" x14ac:dyDescent="0.25">
      <c r="O25862" s="20" t="str">
        <f>IF(N25862="","",COUNTIFS(RawData[[Date ]],N25862,RawData[Month List],$Q$6,RawData[Tour/Site],$Q$2,RawData[[Picker ID ]],$Q$3,RawData[Checker ID],$Q$4,RawData[[Error Type ]],$Q$5))</f>
        <v/>
      </c>
    </row>
    <row r="25863" spans="15:15" x14ac:dyDescent="0.25">
      <c r="O25863" s="20" t="str">
        <f>IF(N25863="","",COUNTIFS(RawData[[Date ]],N25863,RawData[Month List],$Q$6,RawData[Tour/Site],$Q$2,RawData[[Picker ID ]],$Q$3,RawData[Checker ID],$Q$4,RawData[[Error Type ]],$Q$5))</f>
        <v/>
      </c>
    </row>
    <row r="25864" spans="15:15" x14ac:dyDescent="0.25">
      <c r="O25864" s="20" t="str">
        <f>IF(N25864="","",COUNTIFS(RawData[[Date ]],N25864,RawData[Month List],$Q$6,RawData[Tour/Site],$Q$2,RawData[[Picker ID ]],$Q$3,RawData[Checker ID],$Q$4,RawData[[Error Type ]],$Q$5))</f>
        <v/>
      </c>
    </row>
    <row r="25865" spans="15:15" x14ac:dyDescent="0.25">
      <c r="O25865" s="20" t="str">
        <f>IF(N25865="","",COUNTIFS(RawData[[Date ]],N25865,RawData[Month List],$Q$6,RawData[Tour/Site],$Q$2,RawData[[Picker ID ]],$Q$3,RawData[Checker ID],$Q$4,RawData[[Error Type ]],$Q$5))</f>
        <v/>
      </c>
    </row>
    <row r="25866" spans="15:15" x14ac:dyDescent="0.25">
      <c r="O25866" s="20" t="str">
        <f>IF(N25866="","",COUNTIFS(RawData[[Date ]],N25866,RawData[Month List],$Q$6,RawData[Tour/Site],$Q$2,RawData[[Picker ID ]],$Q$3,RawData[Checker ID],$Q$4,RawData[[Error Type ]],$Q$5))</f>
        <v/>
      </c>
    </row>
    <row r="25867" spans="15:15" x14ac:dyDescent="0.25">
      <c r="O25867" s="20" t="str">
        <f>IF(N25867="","",COUNTIFS(RawData[[Date ]],N25867,RawData[Month List],$Q$6,RawData[Tour/Site],$Q$2,RawData[[Picker ID ]],$Q$3,RawData[Checker ID],$Q$4,RawData[[Error Type ]],$Q$5))</f>
        <v/>
      </c>
    </row>
    <row r="25868" spans="15:15" x14ac:dyDescent="0.25">
      <c r="O25868" s="20" t="str">
        <f>IF(N25868="","",COUNTIFS(RawData[[Date ]],N25868,RawData[Month List],$Q$6,RawData[Tour/Site],$Q$2,RawData[[Picker ID ]],$Q$3,RawData[Checker ID],$Q$4,RawData[[Error Type ]],$Q$5))</f>
        <v/>
      </c>
    </row>
    <row r="25869" spans="15:15" x14ac:dyDescent="0.25">
      <c r="O25869" s="20" t="str">
        <f>IF(N25869="","",COUNTIFS(RawData[[Date ]],N25869,RawData[Month List],$Q$6,RawData[Tour/Site],$Q$2,RawData[[Picker ID ]],$Q$3,RawData[Checker ID],$Q$4,RawData[[Error Type ]],$Q$5))</f>
        <v/>
      </c>
    </row>
    <row r="25870" spans="15:15" x14ac:dyDescent="0.25">
      <c r="O25870" s="20" t="str">
        <f>IF(N25870="","",COUNTIFS(RawData[[Date ]],N25870,RawData[Month List],$Q$6,RawData[Tour/Site],$Q$2,RawData[[Picker ID ]],$Q$3,RawData[Checker ID],$Q$4,RawData[[Error Type ]],$Q$5))</f>
        <v/>
      </c>
    </row>
    <row r="25871" spans="15:15" x14ac:dyDescent="0.25">
      <c r="O25871" s="20" t="str">
        <f>IF(N25871="","",COUNTIFS(RawData[[Date ]],N25871,RawData[Month List],$Q$6,RawData[Tour/Site],$Q$2,RawData[[Picker ID ]],$Q$3,RawData[Checker ID],$Q$4,RawData[[Error Type ]],$Q$5))</f>
        <v/>
      </c>
    </row>
    <row r="25872" spans="15:15" x14ac:dyDescent="0.25">
      <c r="O25872" s="20" t="str">
        <f>IF(N25872="","",COUNTIFS(RawData[[Date ]],N25872,RawData[Month List],$Q$6,RawData[Tour/Site],$Q$2,RawData[[Picker ID ]],$Q$3,RawData[Checker ID],$Q$4,RawData[[Error Type ]],$Q$5))</f>
        <v/>
      </c>
    </row>
    <row r="25873" spans="15:15" x14ac:dyDescent="0.25">
      <c r="O25873" s="20" t="str">
        <f>IF(N25873="","",COUNTIFS(RawData[[Date ]],N25873,RawData[Month List],$Q$6,RawData[Tour/Site],$Q$2,RawData[[Picker ID ]],$Q$3,RawData[Checker ID],$Q$4,RawData[[Error Type ]],$Q$5))</f>
        <v/>
      </c>
    </row>
    <row r="25874" spans="15:15" x14ac:dyDescent="0.25">
      <c r="O25874" s="20" t="str">
        <f>IF(N25874="","",COUNTIFS(RawData[[Date ]],N25874,RawData[Month List],$Q$6,RawData[Tour/Site],$Q$2,RawData[[Picker ID ]],$Q$3,RawData[Checker ID],$Q$4,RawData[[Error Type ]],$Q$5))</f>
        <v/>
      </c>
    </row>
    <row r="25875" spans="15:15" x14ac:dyDescent="0.25">
      <c r="O25875" s="20" t="str">
        <f>IF(N25875="","",COUNTIFS(RawData[[Date ]],N25875,RawData[Month List],$Q$6,RawData[Tour/Site],$Q$2,RawData[[Picker ID ]],$Q$3,RawData[Checker ID],$Q$4,RawData[[Error Type ]],$Q$5))</f>
        <v/>
      </c>
    </row>
    <row r="25876" spans="15:15" x14ac:dyDescent="0.25">
      <c r="O25876" s="20" t="str">
        <f>IF(N25876="","",COUNTIFS(RawData[[Date ]],N25876,RawData[Month List],$Q$6,RawData[Tour/Site],$Q$2,RawData[[Picker ID ]],$Q$3,RawData[Checker ID],$Q$4,RawData[[Error Type ]],$Q$5))</f>
        <v/>
      </c>
    </row>
    <row r="25877" spans="15:15" x14ac:dyDescent="0.25">
      <c r="O25877" s="20" t="str">
        <f>IF(N25877="","",COUNTIFS(RawData[[Date ]],N25877,RawData[Month List],$Q$6,RawData[Tour/Site],$Q$2,RawData[[Picker ID ]],$Q$3,RawData[Checker ID],$Q$4,RawData[[Error Type ]],$Q$5))</f>
        <v/>
      </c>
    </row>
    <row r="25878" spans="15:15" x14ac:dyDescent="0.25">
      <c r="O25878" s="20" t="str">
        <f>IF(N25878="","",COUNTIFS(RawData[[Date ]],N25878,RawData[Month List],$Q$6,RawData[Tour/Site],$Q$2,RawData[[Picker ID ]],$Q$3,RawData[Checker ID],$Q$4,RawData[[Error Type ]],$Q$5))</f>
        <v/>
      </c>
    </row>
    <row r="25879" spans="15:15" x14ac:dyDescent="0.25">
      <c r="O25879" s="20" t="str">
        <f>IF(N25879="","",COUNTIFS(RawData[[Date ]],N25879,RawData[Month List],$Q$6,RawData[Tour/Site],$Q$2,RawData[[Picker ID ]],$Q$3,RawData[Checker ID],$Q$4,RawData[[Error Type ]],$Q$5))</f>
        <v/>
      </c>
    </row>
    <row r="25880" spans="15:15" x14ac:dyDescent="0.25">
      <c r="O25880" s="20" t="str">
        <f>IF(N25880="","",COUNTIFS(RawData[[Date ]],N25880,RawData[Month List],$Q$6,RawData[Tour/Site],$Q$2,RawData[[Picker ID ]],$Q$3,RawData[Checker ID],$Q$4,RawData[[Error Type ]],$Q$5))</f>
        <v/>
      </c>
    </row>
    <row r="25881" spans="15:15" x14ac:dyDescent="0.25">
      <c r="O25881" s="20" t="str">
        <f>IF(N25881="","",COUNTIFS(RawData[[Date ]],N25881,RawData[Month List],$Q$6,RawData[Tour/Site],$Q$2,RawData[[Picker ID ]],$Q$3,RawData[Checker ID],$Q$4,RawData[[Error Type ]],$Q$5))</f>
        <v/>
      </c>
    </row>
    <row r="25882" spans="15:15" x14ac:dyDescent="0.25">
      <c r="O25882" s="20" t="str">
        <f>IF(N25882="","",COUNTIFS(RawData[[Date ]],N25882,RawData[Month List],$Q$6,RawData[Tour/Site],$Q$2,RawData[[Picker ID ]],$Q$3,RawData[Checker ID],$Q$4,RawData[[Error Type ]],$Q$5))</f>
        <v/>
      </c>
    </row>
    <row r="25883" spans="15:15" x14ac:dyDescent="0.25">
      <c r="O25883" s="20" t="str">
        <f>IF(N25883="","",COUNTIFS(RawData[[Date ]],N25883,RawData[Month List],$Q$6,RawData[Tour/Site],$Q$2,RawData[[Picker ID ]],$Q$3,RawData[Checker ID],$Q$4,RawData[[Error Type ]],$Q$5))</f>
        <v/>
      </c>
    </row>
    <row r="25884" spans="15:15" x14ac:dyDescent="0.25">
      <c r="O25884" s="20" t="str">
        <f>IF(N25884="","",COUNTIFS(RawData[[Date ]],N25884,RawData[Month List],$Q$6,RawData[Tour/Site],$Q$2,RawData[[Picker ID ]],$Q$3,RawData[Checker ID],$Q$4,RawData[[Error Type ]],$Q$5))</f>
        <v/>
      </c>
    </row>
    <row r="25885" spans="15:15" x14ac:dyDescent="0.25">
      <c r="O25885" s="20" t="str">
        <f>IF(N25885="","",COUNTIFS(RawData[[Date ]],N25885,RawData[Month List],$Q$6,RawData[Tour/Site],$Q$2,RawData[[Picker ID ]],$Q$3,RawData[Checker ID],$Q$4,RawData[[Error Type ]],$Q$5))</f>
        <v/>
      </c>
    </row>
    <row r="25886" spans="15:15" x14ac:dyDescent="0.25">
      <c r="O25886" s="20" t="str">
        <f>IF(N25886="","",COUNTIFS(RawData[[Date ]],N25886,RawData[Month List],$Q$6,RawData[Tour/Site],$Q$2,RawData[[Picker ID ]],$Q$3,RawData[Checker ID],$Q$4,RawData[[Error Type ]],$Q$5))</f>
        <v/>
      </c>
    </row>
    <row r="25887" spans="15:15" x14ac:dyDescent="0.25">
      <c r="O25887" s="20" t="str">
        <f>IF(N25887="","",COUNTIFS(RawData[[Date ]],N25887,RawData[Month List],$Q$6,RawData[Tour/Site],$Q$2,RawData[[Picker ID ]],$Q$3,RawData[Checker ID],$Q$4,RawData[[Error Type ]],$Q$5))</f>
        <v/>
      </c>
    </row>
    <row r="25888" spans="15:15" x14ac:dyDescent="0.25">
      <c r="O25888" s="20" t="str">
        <f>IF(N25888="","",COUNTIFS(RawData[[Date ]],N25888,RawData[Month List],$Q$6,RawData[Tour/Site],$Q$2,RawData[[Picker ID ]],$Q$3,RawData[Checker ID],$Q$4,RawData[[Error Type ]],$Q$5))</f>
        <v/>
      </c>
    </row>
    <row r="25889" spans="15:15" x14ac:dyDescent="0.25">
      <c r="O25889" s="20" t="str">
        <f>IF(N25889="","",COUNTIFS(RawData[[Date ]],N25889,RawData[Month List],$Q$6,RawData[Tour/Site],$Q$2,RawData[[Picker ID ]],$Q$3,RawData[Checker ID],$Q$4,RawData[[Error Type ]],$Q$5))</f>
        <v/>
      </c>
    </row>
    <row r="25890" spans="15:15" x14ac:dyDescent="0.25">
      <c r="O25890" s="20" t="str">
        <f>IF(N25890="","",COUNTIFS(RawData[[Date ]],N25890,RawData[Month List],$Q$6,RawData[Tour/Site],$Q$2,RawData[[Picker ID ]],$Q$3,RawData[Checker ID],$Q$4,RawData[[Error Type ]],$Q$5))</f>
        <v/>
      </c>
    </row>
    <row r="25891" spans="15:15" x14ac:dyDescent="0.25">
      <c r="O25891" s="20" t="str">
        <f>IF(N25891="","",COUNTIFS(RawData[[Date ]],N25891,RawData[Month List],$Q$6,RawData[Tour/Site],$Q$2,RawData[[Picker ID ]],$Q$3,RawData[Checker ID],$Q$4,RawData[[Error Type ]],$Q$5))</f>
        <v/>
      </c>
    </row>
    <row r="25892" spans="15:15" x14ac:dyDescent="0.25">
      <c r="O25892" s="20" t="str">
        <f>IF(N25892="","",COUNTIFS(RawData[[Date ]],N25892,RawData[Month List],$Q$6,RawData[Tour/Site],$Q$2,RawData[[Picker ID ]],$Q$3,RawData[Checker ID],$Q$4,RawData[[Error Type ]],$Q$5))</f>
        <v/>
      </c>
    </row>
    <row r="25893" spans="15:15" x14ac:dyDescent="0.25">
      <c r="O25893" s="20" t="str">
        <f>IF(N25893="","",COUNTIFS(RawData[[Date ]],N25893,RawData[Month List],$Q$6,RawData[Tour/Site],$Q$2,RawData[[Picker ID ]],$Q$3,RawData[Checker ID],$Q$4,RawData[[Error Type ]],$Q$5))</f>
        <v/>
      </c>
    </row>
    <row r="25894" spans="15:15" x14ac:dyDescent="0.25">
      <c r="O25894" s="20" t="str">
        <f>IF(N25894="","",COUNTIFS(RawData[[Date ]],N25894,RawData[Month List],$Q$6,RawData[Tour/Site],$Q$2,RawData[[Picker ID ]],$Q$3,RawData[Checker ID],$Q$4,RawData[[Error Type ]],$Q$5))</f>
        <v/>
      </c>
    </row>
    <row r="25895" spans="15:15" x14ac:dyDescent="0.25">
      <c r="O25895" s="20" t="str">
        <f>IF(N25895="","",COUNTIFS(RawData[[Date ]],N25895,RawData[Month List],$Q$6,RawData[Tour/Site],$Q$2,RawData[[Picker ID ]],$Q$3,RawData[Checker ID],$Q$4,RawData[[Error Type ]],$Q$5))</f>
        <v/>
      </c>
    </row>
    <row r="25896" spans="15:15" x14ac:dyDescent="0.25">
      <c r="O25896" s="20" t="str">
        <f>IF(N25896="","",COUNTIFS(RawData[[Date ]],N25896,RawData[Month List],$Q$6,RawData[Tour/Site],$Q$2,RawData[[Picker ID ]],$Q$3,RawData[Checker ID],$Q$4,RawData[[Error Type ]],$Q$5))</f>
        <v/>
      </c>
    </row>
    <row r="25897" spans="15:15" x14ac:dyDescent="0.25">
      <c r="O25897" s="20" t="str">
        <f>IF(N25897="","",COUNTIFS(RawData[[Date ]],N25897,RawData[Month List],$Q$6,RawData[Tour/Site],$Q$2,RawData[[Picker ID ]],$Q$3,RawData[Checker ID],$Q$4,RawData[[Error Type ]],$Q$5))</f>
        <v/>
      </c>
    </row>
    <row r="25898" spans="15:15" x14ac:dyDescent="0.25">
      <c r="O25898" s="20" t="str">
        <f>IF(N25898="","",COUNTIFS(RawData[[Date ]],N25898,RawData[Month List],$Q$6,RawData[Tour/Site],$Q$2,RawData[[Picker ID ]],$Q$3,RawData[Checker ID],$Q$4,RawData[[Error Type ]],$Q$5))</f>
        <v/>
      </c>
    </row>
    <row r="25899" spans="15:15" x14ac:dyDescent="0.25">
      <c r="O25899" s="20" t="str">
        <f>IF(N25899="","",COUNTIFS(RawData[[Date ]],N25899,RawData[Month List],$Q$6,RawData[Tour/Site],$Q$2,RawData[[Picker ID ]],$Q$3,RawData[Checker ID],$Q$4,RawData[[Error Type ]],$Q$5))</f>
        <v/>
      </c>
    </row>
    <row r="25900" spans="15:15" x14ac:dyDescent="0.25">
      <c r="O25900" s="20" t="str">
        <f>IF(N25900="","",COUNTIFS(RawData[[Date ]],N25900,RawData[Month List],$Q$6,RawData[Tour/Site],$Q$2,RawData[[Picker ID ]],$Q$3,RawData[Checker ID],$Q$4,RawData[[Error Type ]],$Q$5))</f>
        <v/>
      </c>
    </row>
    <row r="25901" spans="15:15" x14ac:dyDescent="0.25">
      <c r="O25901" s="20" t="str">
        <f>IF(N25901="","",COUNTIFS(RawData[[Date ]],N25901,RawData[Month List],$Q$6,RawData[Tour/Site],$Q$2,RawData[[Picker ID ]],$Q$3,RawData[Checker ID],$Q$4,RawData[[Error Type ]],$Q$5))</f>
        <v/>
      </c>
    </row>
    <row r="25902" spans="15:15" x14ac:dyDescent="0.25">
      <c r="O25902" s="20" t="str">
        <f>IF(N25902="","",COUNTIFS(RawData[[Date ]],N25902,RawData[Month List],$Q$6,RawData[Tour/Site],$Q$2,RawData[[Picker ID ]],$Q$3,RawData[Checker ID],$Q$4,RawData[[Error Type ]],$Q$5))</f>
        <v/>
      </c>
    </row>
    <row r="25903" spans="15:15" x14ac:dyDescent="0.25">
      <c r="O25903" s="20" t="str">
        <f>IF(N25903="","",COUNTIFS(RawData[[Date ]],N25903,RawData[Month List],$Q$6,RawData[Tour/Site],$Q$2,RawData[[Picker ID ]],$Q$3,RawData[Checker ID],$Q$4,RawData[[Error Type ]],$Q$5))</f>
        <v/>
      </c>
    </row>
    <row r="25904" spans="15:15" x14ac:dyDescent="0.25">
      <c r="O25904" s="20" t="str">
        <f>IF(N25904="","",COUNTIFS(RawData[[Date ]],N25904,RawData[Month List],$Q$6,RawData[Tour/Site],$Q$2,RawData[[Picker ID ]],$Q$3,RawData[Checker ID],$Q$4,RawData[[Error Type ]],$Q$5))</f>
        <v/>
      </c>
    </row>
    <row r="25905" spans="15:15" x14ac:dyDescent="0.25">
      <c r="O25905" s="20" t="str">
        <f>IF(N25905="","",COUNTIFS(RawData[[Date ]],N25905,RawData[Month List],$Q$6,RawData[Tour/Site],$Q$2,RawData[[Picker ID ]],$Q$3,RawData[Checker ID],$Q$4,RawData[[Error Type ]],$Q$5))</f>
        <v/>
      </c>
    </row>
    <row r="25906" spans="15:15" x14ac:dyDescent="0.25">
      <c r="O25906" s="20" t="str">
        <f>IF(N25906="","",COUNTIFS(RawData[[Date ]],N25906,RawData[Month List],$Q$6,RawData[Tour/Site],$Q$2,RawData[[Picker ID ]],$Q$3,RawData[Checker ID],$Q$4,RawData[[Error Type ]],$Q$5))</f>
        <v/>
      </c>
    </row>
    <row r="25907" spans="15:15" x14ac:dyDescent="0.25">
      <c r="O25907" s="20" t="str">
        <f>IF(N25907="","",COUNTIFS(RawData[[Date ]],N25907,RawData[Month List],$Q$6,RawData[Tour/Site],$Q$2,RawData[[Picker ID ]],$Q$3,RawData[Checker ID],$Q$4,RawData[[Error Type ]],$Q$5))</f>
        <v/>
      </c>
    </row>
    <row r="25908" spans="15:15" x14ac:dyDescent="0.25">
      <c r="O25908" s="20" t="str">
        <f>IF(N25908="","",COUNTIFS(RawData[[Date ]],N25908,RawData[Month List],$Q$6,RawData[Tour/Site],$Q$2,RawData[[Picker ID ]],$Q$3,RawData[Checker ID],$Q$4,RawData[[Error Type ]],$Q$5))</f>
        <v/>
      </c>
    </row>
    <row r="25909" spans="15:15" x14ac:dyDescent="0.25">
      <c r="O25909" s="20" t="str">
        <f>IF(N25909="","",COUNTIFS(RawData[[Date ]],N25909,RawData[Month List],$Q$6,RawData[Tour/Site],$Q$2,RawData[[Picker ID ]],$Q$3,RawData[Checker ID],$Q$4,RawData[[Error Type ]],$Q$5))</f>
        <v/>
      </c>
    </row>
    <row r="25910" spans="15:15" x14ac:dyDescent="0.25">
      <c r="O25910" s="20" t="str">
        <f>IF(N25910="","",COUNTIFS(RawData[[Date ]],N25910,RawData[Month List],$Q$6,RawData[Tour/Site],$Q$2,RawData[[Picker ID ]],$Q$3,RawData[Checker ID],$Q$4,RawData[[Error Type ]],$Q$5))</f>
        <v/>
      </c>
    </row>
    <row r="25911" spans="15:15" x14ac:dyDescent="0.25">
      <c r="O25911" s="20" t="str">
        <f>IF(N25911="","",COUNTIFS(RawData[[Date ]],N25911,RawData[Month List],$Q$6,RawData[Tour/Site],$Q$2,RawData[[Picker ID ]],$Q$3,RawData[Checker ID],$Q$4,RawData[[Error Type ]],$Q$5))</f>
        <v/>
      </c>
    </row>
    <row r="25912" spans="15:15" x14ac:dyDescent="0.25">
      <c r="O25912" s="20" t="str">
        <f>IF(N25912="","",COUNTIFS(RawData[[Date ]],N25912,RawData[Month List],$Q$6,RawData[Tour/Site],$Q$2,RawData[[Picker ID ]],$Q$3,RawData[Checker ID],$Q$4,RawData[[Error Type ]],$Q$5))</f>
        <v/>
      </c>
    </row>
    <row r="25913" spans="15:15" x14ac:dyDescent="0.25">
      <c r="O25913" s="20" t="str">
        <f>IF(N25913="","",COUNTIFS(RawData[[Date ]],N25913,RawData[Month List],$Q$6,RawData[Tour/Site],$Q$2,RawData[[Picker ID ]],$Q$3,RawData[Checker ID],$Q$4,RawData[[Error Type ]],$Q$5))</f>
        <v/>
      </c>
    </row>
    <row r="25914" spans="15:15" x14ac:dyDescent="0.25">
      <c r="O25914" s="20" t="str">
        <f>IF(N25914="","",COUNTIFS(RawData[[Date ]],N25914,RawData[Month List],$Q$6,RawData[Tour/Site],$Q$2,RawData[[Picker ID ]],$Q$3,RawData[Checker ID],$Q$4,RawData[[Error Type ]],$Q$5))</f>
        <v/>
      </c>
    </row>
    <row r="25915" spans="15:15" x14ac:dyDescent="0.25">
      <c r="O25915" s="20" t="str">
        <f>IF(N25915="","",COUNTIFS(RawData[[Date ]],N25915,RawData[Month List],$Q$6,RawData[Tour/Site],$Q$2,RawData[[Picker ID ]],$Q$3,RawData[Checker ID],$Q$4,RawData[[Error Type ]],$Q$5))</f>
        <v/>
      </c>
    </row>
    <row r="25916" spans="15:15" x14ac:dyDescent="0.25">
      <c r="O25916" s="20" t="str">
        <f>IF(N25916="","",COUNTIFS(RawData[[Date ]],N25916,RawData[Month List],$Q$6,RawData[Tour/Site],$Q$2,RawData[[Picker ID ]],$Q$3,RawData[Checker ID],$Q$4,RawData[[Error Type ]],$Q$5))</f>
        <v/>
      </c>
    </row>
    <row r="25917" spans="15:15" x14ac:dyDescent="0.25">
      <c r="O25917" s="20" t="str">
        <f>IF(N25917="","",COUNTIFS(RawData[[Date ]],N25917,RawData[Month List],$Q$6,RawData[Tour/Site],$Q$2,RawData[[Picker ID ]],$Q$3,RawData[Checker ID],$Q$4,RawData[[Error Type ]],$Q$5))</f>
        <v/>
      </c>
    </row>
    <row r="25918" spans="15:15" x14ac:dyDescent="0.25">
      <c r="O25918" s="20" t="str">
        <f>IF(N25918="","",COUNTIFS(RawData[[Date ]],N25918,RawData[Month List],$Q$6,RawData[Tour/Site],$Q$2,RawData[[Picker ID ]],$Q$3,RawData[Checker ID],$Q$4,RawData[[Error Type ]],$Q$5))</f>
        <v/>
      </c>
    </row>
    <row r="25919" spans="15:15" x14ac:dyDescent="0.25">
      <c r="O25919" s="20" t="str">
        <f>IF(N25919="","",COUNTIFS(RawData[[Date ]],N25919,RawData[Month List],$Q$6,RawData[Tour/Site],$Q$2,RawData[[Picker ID ]],$Q$3,RawData[Checker ID],$Q$4,RawData[[Error Type ]],$Q$5))</f>
        <v/>
      </c>
    </row>
    <row r="25920" spans="15:15" x14ac:dyDescent="0.25">
      <c r="O25920" s="20" t="str">
        <f>IF(N25920="","",COUNTIFS(RawData[[Date ]],N25920,RawData[Month List],$Q$6,RawData[Tour/Site],$Q$2,RawData[[Picker ID ]],$Q$3,RawData[Checker ID],$Q$4,RawData[[Error Type ]],$Q$5))</f>
        <v/>
      </c>
    </row>
    <row r="25921" spans="15:15" x14ac:dyDescent="0.25">
      <c r="O25921" s="20" t="str">
        <f>IF(N25921="","",COUNTIFS(RawData[[Date ]],N25921,RawData[Month List],$Q$6,RawData[Tour/Site],$Q$2,RawData[[Picker ID ]],$Q$3,RawData[Checker ID],$Q$4,RawData[[Error Type ]],$Q$5))</f>
        <v/>
      </c>
    </row>
    <row r="25922" spans="15:15" x14ac:dyDescent="0.25">
      <c r="O25922" s="20" t="str">
        <f>IF(N25922="","",COUNTIFS(RawData[[Date ]],N25922,RawData[Month List],$Q$6,RawData[Tour/Site],$Q$2,RawData[[Picker ID ]],$Q$3,RawData[Checker ID],$Q$4,RawData[[Error Type ]],$Q$5))</f>
        <v/>
      </c>
    </row>
    <row r="25923" spans="15:15" x14ac:dyDescent="0.25">
      <c r="O25923" s="20" t="str">
        <f>IF(N25923="","",COUNTIFS(RawData[[Date ]],N25923,RawData[Month List],$Q$6,RawData[Tour/Site],$Q$2,RawData[[Picker ID ]],$Q$3,RawData[Checker ID],$Q$4,RawData[[Error Type ]],$Q$5))</f>
        <v/>
      </c>
    </row>
    <row r="25924" spans="15:15" x14ac:dyDescent="0.25">
      <c r="O25924" s="20" t="str">
        <f>IF(N25924="","",COUNTIFS(RawData[[Date ]],N25924,RawData[Month List],$Q$6,RawData[Tour/Site],$Q$2,RawData[[Picker ID ]],$Q$3,RawData[Checker ID],$Q$4,RawData[[Error Type ]],$Q$5))</f>
        <v/>
      </c>
    </row>
    <row r="25925" spans="15:15" x14ac:dyDescent="0.25">
      <c r="O25925" s="20" t="str">
        <f>IF(N25925="","",COUNTIFS(RawData[[Date ]],N25925,RawData[Month List],$Q$6,RawData[Tour/Site],$Q$2,RawData[[Picker ID ]],$Q$3,RawData[Checker ID],$Q$4,RawData[[Error Type ]],$Q$5))</f>
        <v/>
      </c>
    </row>
    <row r="25926" spans="15:15" x14ac:dyDescent="0.25">
      <c r="O25926" s="20" t="str">
        <f>IF(N25926="","",COUNTIFS(RawData[[Date ]],N25926,RawData[Month List],$Q$6,RawData[Tour/Site],$Q$2,RawData[[Picker ID ]],$Q$3,RawData[Checker ID],$Q$4,RawData[[Error Type ]],$Q$5))</f>
        <v/>
      </c>
    </row>
    <row r="25927" spans="15:15" x14ac:dyDescent="0.25">
      <c r="O25927" s="20" t="str">
        <f>IF(N25927="","",COUNTIFS(RawData[[Date ]],N25927,RawData[Month List],$Q$6,RawData[Tour/Site],$Q$2,RawData[[Picker ID ]],$Q$3,RawData[Checker ID],$Q$4,RawData[[Error Type ]],$Q$5))</f>
        <v/>
      </c>
    </row>
    <row r="25928" spans="15:15" x14ac:dyDescent="0.25">
      <c r="O25928" s="20" t="str">
        <f>IF(N25928="","",COUNTIFS(RawData[[Date ]],N25928,RawData[Month List],$Q$6,RawData[Tour/Site],$Q$2,RawData[[Picker ID ]],$Q$3,RawData[Checker ID],$Q$4,RawData[[Error Type ]],$Q$5))</f>
        <v/>
      </c>
    </row>
    <row r="25929" spans="15:15" x14ac:dyDescent="0.25">
      <c r="O25929" s="20" t="str">
        <f>IF(N25929="","",COUNTIFS(RawData[[Date ]],N25929,RawData[Month List],$Q$6,RawData[Tour/Site],$Q$2,RawData[[Picker ID ]],$Q$3,RawData[Checker ID],$Q$4,RawData[[Error Type ]],$Q$5))</f>
        <v/>
      </c>
    </row>
    <row r="25930" spans="15:15" x14ac:dyDescent="0.25">
      <c r="O25930" s="20" t="str">
        <f>IF(N25930="","",COUNTIFS(RawData[[Date ]],N25930,RawData[Month List],$Q$6,RawData[Tour/Site],$Q$2,RawData[[Picker ID ]],$Q$3,RawData[Checker ID],$Q$4,RawData[[Error Type ]],$Q$5))</f>
        <v/>
      </c>
    </row>
    <row r="25931" spans="15:15" x14ac:dyDescent="0.25">
      <c r="O25931" s="20" t="str">
        <f>IF(N25931="","",COUNTIFS(RawData[[Date ]],N25931,RawData[Month List],$Q$6,RawData[Tour/Site],$Q$2,RawData[[Picker ID ]],$Q$3,RawData[Checker ID],$Q$4,RawData[[Error Type ]],$Q$5))</f>
        <v/>
      </c>
    </row>
    <row r="25932" spans="15:15" x14ac:dyDescent="0.25">
      <c r="O25932" s="20" t="str">
        <f>IF(N25932="","",COUNTIFS(RawData[[Date ]],N25932,RawData[Month List],$Q$6,RawData[Tour/Site],$Q$2,RawData[[Picker ID ]],$Q$3,RawData[Checker ID],$Q$4,RawData[[Error Type ]],$Q$5))</f>
        <v/>
      </c>
    </row>
    <row r="25933" spans="15:15" x14ac:dyDescent="0.25">
      <c r="O25933" s="20" t="str">
        <f>IF(N25933="","",COUNTIFS(RawData[[Date ]],N25933,RawData[Month List],$Q$6,RawData[Tour/Site],$Q$2,RawData[[Picker ID ]],$Q$3,RawData[Checker ID],$Q$4,RawData[[Error Type ]],$Q$5))</f>
        <v/>
      </c>
    </row>
    <row r="25934" spans="15:15" x14ac:dyDescent="0.25">
      <c r="O25934" s="20" t="str">
        <f>IF(N25934="","",COUNTIFS(RawData[[Date ]],N25934,RawData[Month List],$Q$6,RawData[Tour/Site],$Q$2,RawData[[Picker ID ]],$Q$3,RawData[Checker ID],$Q$4,RawData[[Error Type ]],$Q$5))</f>
        <v/>
      </c>
    </row>
    <row r="25935" spans="15:15" x14ac:dyDescent="0.25">
      <c r="O25935" s="20" t="str">
        <f>IF(N25935="","",COUNTIFS(RawData[[Date ]],N25935,RawData[Month List],$Q$6,RawData[Tour/Site],$Q$2,RawData[[Picker ID ]],$Q$3,RawData[Checker ID],$Q$4,RawData[[Error Type ]],$Q$5))</f>
        <v/>
      </c>
    </row>
    <row r="25936" spans="15:15" x14ac:dyDescent="0.25">
      <c r="O25936" s="20" t="str">
        <f>IF(N25936="","",COUNTIFS(RawData[[Date ]],N25936,RawData[Month List],$Q$6,RawData[Tour/Site],$Q$2,RawData[[Picker ID ]],$Q$3,RawData[Checker ID],$Q$4,RawData[[Error Type ]],$Q$5))</f>
        <v/>
      </c>
    </row>
    <row r="25937" spans="15:15" x14ac:dyDescent="0.25">
      <c r="O25937" s="20" t="str">
        <f>IF(N25937="","",COUNTIFS(RawData[[Date ]],N25937,RawData[Month List],$Q$6,RawData[Tour/Site],$Q$2,RawData[[Picker ID ]],$Q$3,RawData[Checker ID],$Q$4,RawData[[Error Type ]],$Q$5))</f>
        <v/>
      </c>
    </row>
    <row r="25938" spans="15:15" x14ac:dyDescent="0.25">
      <c r="O25938" s="20" t="str">
        <f>IF(N25938="","",COUNTIFS(RawData[[Date ]],N25938,RawData[Month List],$Q$6,RawData[Tour/Site],$Q$2,RawData[[Picker ID ]],$Q$3,RawData[Checker ID],$Q$4,RawData[[Error Type ]],$Q$5))</f>
        <v/>
      </c>
    </row>
    <row r="25939" spans="15:15" x14ac:dyDescent="0.25">
      <c r="O25939" s="20" t="str">
        <f>IF(N25939="","",COUNTIFS(RawData[[Date ]],N25939,RawData[Month List],$Q$6,RawData[Tour/Site],$Q$2,RawData[[Picker ID ]],$Q$3,RawData[Checker ID],$Q$4,RawData[[Error Type ]],$Q$5))</f>
        <v/>
      </c>
    </row>
    <row r="25940" spans="15:15" x14ac:dyDescent="0.25">
      <c r="O25940" s="20" t="str">
        <f>IF(N25940="","",COUNTIFS(RawData[[Date ]],N25940,RawData[Month List],$Q$6,RawData[Tour/Site],$Q$2,RawData[[Picker ID ]],$Q$3,RawData[Checker ID],$Q$4,RawData[[Error Type ]],$Q$5))</f>
        <v/>
      </c>
    </row>
    <row r="25941" spans="15:15" x14ac:dyDescent="0.25">
      <c r="O25941" s="20" t="str">
        <f>IF(N25941="","",COUNTIFS(RawData[[Date ]],N25941,RawData[Month List],$Q$6,RawData[Tour/Site],$Q$2,RawData[[Picker ID ]],$Q$3,RawData[Checker ID],$Q$4,RawData[[Error Type ]],$Q$5))</f>
        <v/>
      </c>
    </row>
    <row r="25942" spans="15:15" x14ac:dyDescent="0.25">
      <c r="O25942" s="20" t="str">
        <f>IF(N25942="","",COUNTIFS(RawData[[Date ]],N25942,RawData[Month List],$Q$6,RawData[Tour/Site],$Q$2,RawData[[Picker ID ]],$Q$3,RawData[Checker ID],$Q$4,RawData[[Error Type ]],$Q$5))</f>
        <v/>
      </c>
    </row>
    <row r="25943" spans="15:15" x14ac:dyDescent="0.25">
      <c r="O25943" s="20" t="str">
        <f>IF(N25943="","",COUNTIFS(RawData[[Date ]],N25943,RawData[Month List],$Q$6,RawData[Tour/Site],$Q$2,RawData[[Picker ID ]],$Q$3,RawData[Checker ID],$Q$4,RawData[[Error Type ]],$Q$5))</f>
        <v/>
      </c>
    </row>
    <row r="25944" spans="15:15" x14ac:dyDescent="0.25">
      <c r="O25944" s="20" t="str">
        <f>IF(N25944="","",COUNTIFS(RawData[[Date ]],N25944,RawData[Month List],$Q$6,RawData[Tour/Site],$Q$2,RawData[[Picker ID ]],$Q$3,RawData[Checker ID],$Q$4,RawData[[Error Type ]],$Q$5))</f>
        <v/>
      </c>
    </row>
    <row r="25945" spans="15:15" x14ac:dyDescent="0.25">
      <c r="O25945" s="20" t="str">
        <f>IF(N25945="","",COUNTIFS(RawData[[Date ]],N25945,RawData[Month List],$Q$6,RawData[Tour/Site],$Q$2,RawData[[Picker ID ]],$Q$3,RawData[Checker ID],$Q$4,RawData[[Error Type ]],$Q$5))</f>
        <v/>
      </c>
    </row>
    <row r="25946" spans="15:15" x14ac:dyDescent="0.25">
      <c r="O25946" s="20" t="str">
        <f>IF(N25946="","",COUNTIFS(RawData[[Date ]],N25946,RawData[Month List],$Q$6,RawData[Tour/Site],$Q$2,RawData[[Picker ID ]],$Q$3,RawData[Checker ID],$Q$4,RawData[[Error Type ]],$Q$5))</f>
        <v/>
      </c>
    </row>
    <row r="25947" spans="15:15" x14ac:dyDescent="0.25">
      <c r="O25947" s="20" t="str">
        <f>IF(N25947="","",COUNTIFS(RawData[[Date ]],N25947,RawData[Month List],$Q$6,RawData[Tour/Site],$Q$2,RawData[[Picker ID ]],$Q$3,RawData[Checker ID],$Q$4,RawData[[Error Type ]],$Q$5))</f>
        <v/>
      </c>
    </row>
    <row r="25948" spans="15:15" x14ac:dyDescent="0.25">
      <c r="O25948" s="20" t="str">
        <f>IF(N25948="","",COUNTIFS(RawData[[Date ]],N25948,RawData[Month List],$Q$6,RawData[Tour/Site],$Q$2,RawData[[Picker ID ]],$Q$3,RawData[Checker ID],$Q$4,RawData[[Error Type ]],$Q$5))</f>
        <v/>
      </c>
    </row>
    <row r="25949" spans="15:15" x14ac:dyDescent="0.25">
      <c r="O25949" s="20" t="str">
        <f>IF(N25949="","",COUNTIFS(RawData[[Date ]],N25949,RawData[Month List],$Q$6,RawData[Tour/Site],$Q$2,RawData[[Picker ID ]],$Q$3,RawData[Checker ID],$Q$4,RawData[[Error Type ]],$Q$5))</f>
        <v/>
      </c>
    </row>
    <row r="25950" spans="15:15" x14ac:dyDescent="0.25">
      <c r="O25950" s="20" t="str">
        <f>IF(N25950="","",COUNTIFS(RawData[[Date ]],N25950,RawData[Month List],$Q$6,RawData[Tour/Site],$Q$2,RawData[[Picker ID ]],$Q$3,RawData[Checker ID],$Q$4,RawData[[Error Type ]],$Q$5))</f>
        <v/>
      </c>
    </row>
    <row r="25951" spans="15:15" x14ac:dyDescent="0.25">
      <c r="O25951" s="20" t="str">
        <f>IF(N25951="","",COUNTIFS(RawData[[Date ]],N25951,RawData[Month List],$Q$6,RawData[Tour/Site],$Q$2,RawData[[Picker ID ]],$Q$3,RawData[Checker ID],$Q$4,RawData[[Error Type ]],$Q$5))</f>
        <v/>
      </c>
    </row>
    <row r="25952" spans="15:15" x14ac:dyDescent="0.25">
      <c r="O25952" s="20" t="str">
        <f>IF(N25952="","",COUNTIFS(RawData[[Date ]],N25952,RawData[Month List],$Q$6,RawData[Tour/Site],$Q$2,RawData[[Picker ID ]],$Q$3,RawData[Checker ID],$Q$4,RawData[[Error Type ]],$Q$5))</f>
        <v/>
      </c>
    </row>
    <row r="25953" spans="15:15" x14ac:dyDescent="0.25">
      <c r="O25953" s="20" t="str">
        <f>IF(N25953="","",COUNTIFS(RawData[[Date ]],N25953,RawData[Month List],$Q$6,RawData[Tour/Site],$Q$2,RawData[[Picker ID ]],$Q$3,RawData[Checker ID],$Q$4,RawData[[Error Type ]],$Q$5))</f>
        <v/>
      </c>
    </row>
    <row r="25954" spans="15:15" x14ac:dyDescent="0.25">
      <c r="O25954" s="20" t="str">
        <f>IF(N25954="","",COUNTIFS(RawData[[Date ]],N25954,RawData[Month List],$Q$6,RawData[Tour/Site],$Q$2,RawData[[Picker ID ]],$Q$3,RawData[Checker ID],$Q$4,RawData[[Error Type ]],$Q$5))</f>
        <v/>
      </c>
    </row>
    <row r="25955" spans="15:15" x14ac:dyDescent="0.25">
      <c r="O25955" s="20" t="str">
        <f>IF(N25955="","",COUNTIFS(RawData[[Date ]],N25955,RawData[Month List],$Q$6,RawData[Tour/Site],$Q$2,RawData[[Picker ID ]],$Q$3,RawData[Checker ID],$Q$4,RawData[[Error Type ]],$Q$5))</f>
        <v/>
      </c>
    </row>
    <row r="25956" spans="15:15" x14ac:dyDescent="0.25">
      <c r="O25956" s="20" t="str">
        <f>IF(N25956="","",COUNTIFS(RawData[[Date ]],N25956,RawData[Month List],$Q$6,RawData[Tour/Site],$Q$2,RawData[[Picker ID ]],$Q$3,RawData[Checker ID],$Q$4,RawData[[Error Type ]],$Q$5))</f>
        <v/>
      </c>
    </row>
    <row r="25957" spans="15:15" x14ac:dyDescent="0.25">
      <c r="O25957" s="20" t="str">
        <f>IF(N25957="","",COUNTIFS(RawData[[Date ]],N25957,RawData[Month List],$Q$6,RawData[Tour/Site],$Q$2,RawData[[Picker ID ]],$Q$3,RawData[Checker ID],$Q$4,RawData[[Error Type ]],$Q$5))</f>
        <v/>
      </c>
    </row>
    <row r="25958" spans="15:15" x14ac:dyDescent="0.25">
      <c r="O25958" s="20" t="str">
        <f>IF(N25958="","",COUNTIFS(RawData[[Date ]],N25958,RawData[Month List],$Q$6,RawData[Tour/Site],$Q$2,RawData[[Picker ID ]],$Q$3,RawData[Checker ID],$Q$4,RawData[[Error Type ]],$Q$5))</f>
        <v/>
      </c>
    </row>
    <row r="25959" spans="15:15" x14ac:dyDescent="0.25">
      <c r="O25959" s="20" t="str">
        <f>IF(N25959="","",COUNTIFS(RawData[[Date ]],N25959,RawData[Month List],$Q$6,RawData[Tour/Site],$Q$2,RawData[[Picker ID ]],$Q$3,RawData[Checker ID],$Q$4,RawData[[Error Type ]],$Q$5))</f>
        <v/>
      </c>
    </row>
    <row r="25960" spans="15:15" x14ac:dyDescent="0.25">
      <c r="O25960" s="20" t="str">
        <f>IF(N25960="","",COUNTIFS(RawData[[Date ]],N25960,RawData[Month List],$Q$6,RawData[Tour/Site],$Q$2,RawData[[Picker ID ]],$Q$3,RawData[Checker ID],$Q$4,RawData[[Error Type ]],$Q$5))</f>
        <v/>
      </c>
    </row>
    <row r="25961" spans="15:15" x14ac:dyDescent="0.25">
      <c r="O25961" s="20" t="str">
        <f>IF(N25961="","",COUNTIFS(RawData[[Date ]],N25961,RawData[Month List],$Q$6,RawData[Tour/Site],$Q$2,RawData[[Picker ID ]],$Q$3,RawData[Checker ID],$Q$4,RawData[[Error Type ]],$Q$5))</f>
        <v/>
      </c>
    </row>
    <row r="25962" spans="15:15" x14ac:dyDescent="0.25">
      <c r="O25962" s="20" t="str">
        <f>IF(N25962="","",COUNTIFS(RawData[[Date ]],N25962,RawData[Month List],$Q$6,RawData[Tour/Site],$Q$2,RawData[[Picker ID ]],$Q$3,RawData[Checker ID],$Q$4,RawData[[Error Type ]],$Q$5))</f>
        <v/>
      </c>
    </row>
    <row r="25963" spans="15:15" x14ac:dyDescent="0.25">
      <c r="O25963" s="20" t="str">
        <f>IF(N25963="","",COUNTIFS(RawData[[Date ]],N25963,RawData[Month List],$Q$6,RawData[Tour/Site],$Q$2,RawData[[Picker ID ]],$Q$3,RawData[Checker ID],$Q$4,RawData[[Error Type ]],$Q$5))</f>
        <v/>
      </c>
    </row>
    <row r="25964" spans="15:15" x14ac:dyDescent="0.25">
      <c r="O25964" s="20" t="str">
        <f>IF(N25964="","",COUNTIFS(RawData[[Date ]],N25964,RawData[Month List],$Q$6,RawData[Tour/Site],$Q$2,RawData[[Picker ID ]],$Q$3,RawData[Checker ID],$Q$4,RawData[[Error Type ]],$Q$5))</f>
        <v/>
      </c>
    </row>
    <row r="25965" spans="15:15" x14ac:dyDescent="0.25">
      <c r="O25965" s="20" t="str">
        <f>IF(N25965="","",COUNTIFS(RawData[[Date ]],N25965,RawData[Month List],$Q$6,RawData[Tour/Site],$Q$2,RawData[[Picker ID ]],$Q$3,RawData[Checker ID],$Q$4,RawData[[Error Type ]],$Q$5))</f>
        <v/>
      </c>
    </row>
    <row r="25966" spans="15:15" x14ac:dyDescent="0.25">
      <c r="O25966" s="20" t="str">
        <f>IF(N25966="","",COUNTIFS(RawData[[Date ]],N25966,RawData[Month List],$Q$6,RawData[Tour/Site],$Q$2,RawData[[Picker ID ]],$Q$3,RawData[Checker ID],$Q$4,RawData[[Error Type ]],$Q$5))</f>
        <v/>
      </c>
    </row>
    <row r="25967" spans="15:15" x14ac:dyDescent="0.25">
      <c r="O25967" s="20" t="str">
        <f>IF(N25967="","",COUNTIFS(RawData[[Date ]],N25967,RawData[Month List],$Q$6,RawData[Tour/Site],$Q$2,RawData[[Picker ID ]],$Q$3,RawData[Checker ID],$Q$4,RawData[[Error Type ]],$Q$5))</f>
        <v/>
      </c>
    </row>
    <row r="25968" spans="15:15" x14ac:dyDescent="0.25">
      <c r="O25968" s="20" t="str">
        <f>IF(N25968="","",COUNTIFS(RawData[[Date ]],N25968,RawData[Month List],$Q$6,RawData[Tour/Site],$Q$2,RawData[[Picker ID ]],$Q$3,RawData[Checker ID],$Q$4,RawData[[Error Type ]],$Q$5))</f>
        <v/>
      </c>
    </row>
    <row r="25969" spans="15:15" x14ac:dyDescent="0.25">
      <c r="O25969" s="20" t="str">
        <f>IF(N25969="","",COUNTIFS(RawData[[Date ]],N25969,RawData[Month List],$Q$6,RawData[Tour/Site],$Q$2,RawData[[Picker ID ]],$Q$3,RawData[Checker ID],$Q$4,RawData[[Error Type ]],$Q$5))</f>
        <v/>
      </c>
    </row>
    <row r="25970" spans="15:15" x14ac:dyDescent="0.25">
      <c r="O25970" s="20" t="str">
        <f>IF(N25970="","",COUNTIFS(RawData[[Date ]],N25970,RawData[Month List],$Q$6,RawData[Tour/Site],$Q$2,RawData[[Picker ID ]],$Q$3,RawData[Checker ID],$Q$4,RawData[[Error Type ]],$Q$5))</f>
        <v/>
      </c>
    </row>
    <row r="25971" spans="15:15" x14ac:dyDescent="0.25">
      <c r="O25971" s="20" t="str">
        <f>IF(N25971="","",COUNTIFS(RawData[[Date ]],N25971,RawData[Month List],$Q$6,RawData[Tour/Site],$Q$2,RawData[[Picker ID ]],$Q$3,RawData[Checker ID],$Q$4,RawData[[Error Type ]],$Q$5))</f>
        <v/>
      </c>
    </row>
    <row r="25972" spans="15:15" x14ac:dyDescent="0.25">
      <c r="O25972" s="20" t="str">
        <f>IF(N25972="","",COUNTIFS(RawData[[Date ]],N25972,RawData[Month List],$Q$6,RawData[Tour/Site],$Q$2,RawData[[Picker ID ]],$Q$3,RawData[Checker ID],$Q$4,RawData[[Error Type ]],$Q$5))</f>
        <v/>
      </c>
    </row>
    <row r="25973" spans="15:15" x14ac:dyDescent="0.25">
      <c r="O25973" s="20" t="str">
        <f>IF(N25973="","",COUNTIFS(RawData[[Date ]],N25973,RawData[Month List],$Q$6,RawData[Tour/Site],$Q$2,RawData[[Picker ID ]],$Q$3,RawData[Checker ID],$Q$4,RawData[[Error Type ]],$Q$5))</f>
        <v/>
      </c>
    </row>
    <row r="25974" spans="15:15" x14ac:dyDescent="0.25">
      <c r="O25974" s="20" t="str">
        <f>IF(N25974="","",COUNTIFS(RawData[[Date ]],N25974,RawData[Month List],$Q$6,RawData[Tour/Site],$Q$2,RawData[[Picker ID ]],$Q$3,RawData[Checker ID],$Q$4,RawData[[Error Type ]],$Q$5))</f>
        <v/>
      </c>
    </row>
    <row r="25975" spans="15:15" x14ac:dyDescent="0.25">
      <c r="O25975" s="20" t="str">
        <f>IF(N25975="","",COUNTIFS(RawData[[Date ]],N25975,RawData[Month List],$Q$6,RawData[Tour/Site],$Q$2,RawData[[Picker ID ]],$Q$3,RawData[Checker ID],$Q$4,RawData[[Error Type ]],$Q$5))</f>
        <v/>
      </c>
    </row>
    <row r="25976" spans="15:15" x14ac:dyDescent="0.25">
      <c r="O25976" s="20" t="str">
        <f>IF(N25976="","",COUNTIFS(RawData[[Date ]],N25976,RawData[Month List],$Q$6,RawData[Tour/Site],$Q$2,RawData[[Picker ID ]],$Q$3,RawData[Checker ID],$Q$4,RawData[[Error Type ]],$Q$5))</f>
        <v/>
      </c>
    </row>
    <row r="25977" spans="15:15" x14ac:dyDescent="0.25">
      <c r="O25977" s="20" t="str">
        <f>IF(N25977="","",COUNTIFS(RawData[[Date ]],N25977,RawData[Month List],$Q$6,RawData[Tour/Site],$Q$2,RawData[[Picker ID ]],$Q$3,RawData[Checker ID],$Q$4,RawData[[Error Type ]],$Q$5))</f>
        <v/>
      </c>
    </row>
    <row r="25978" spans="15:15" x14ac:dyDescent="0.25">
      <c r="O25978" s="20" t="str">
        <f>IF(N25978="","",COUNTIFS(RawData[[Date ]],N25978,RawData[Month List],$Q$6,RawData[Tour/Site],$Q$2,RawData[[Picker ID ]],$Q$3,RawData[Checker ID],$Q$4,RawData[[Error Type ]],$Q$5))</f>
        <v/>
      </c>
    </row>
    <row r="25979" spans="15:15" x14ac:dyDescent="0.25">
      <c r="O25979" s="20" t="str">
        <f>IF(N25979="","",COUNTIFS(RawData[[Date ]],N25979,RawData[Month List],$Q$6,RawData[Tour/Site],$Q$2,RawData[[Picker ID ]],$Q$3,RawData[Checker ID],$Q$4,RawData[[Error Type ]],$Q$5))</f>
        <v/>
      </c>
    </row>
    <row r="25980" spans="15:15" x14ac:dyDescent="0.25">
      <c r="O25980" s="20" t="str">
        <f>IF(N25980="","",COUNTIFS(RawData[[Date ]],N25980,RawData[Month List],$Q$6,RawData[Tour/Site],$Q$2,RawData[[Picker ID ]],$Q$3,RawData[Checker ID],$Q$4,RawData[[Error Type ]],$Q$5))</f>
        <v/>
      </c>
    </row>
    <row r="25981" spans="15:15" x14ac:dyDescent="0.25">
      <c r="O25981" s="20" t="str">
        <f>IF(N25981="","",COUNTIFS(RawData[[Date ]],N25981,RawData[Month List],$Q$6,RawData[Tour/Site],$Q$2,RawData[[Picker ID ]],$Q$3,RawData[Checker ID],$Q$4,RawData[[Error Type ]],$Q$5))</f>
        <v/>
      </c>
    </row>
    <row r="25982" spans="15:15" x14ac:dyDescent="0.25">
      <c r="O25982" s="20" t="str">
        <f>IF(N25982="","",COUNTIFS(RawData[[Date ]],N25982,RawData[Month List],$Q$6,RawData[Tour/Site],$Q$2,RawData[[Picker ID ]],$Q$3,RawData[Checker ID],$Q$4,RawData[[Error Type ]],$Q$5))</f>
        <v/>
      </c>
    </row>
    <row r="25983" spans="15:15" x14ac:dyDescent="0.25">
      <c r="O25983" s="20" t="str">
        <f>IF(N25983="","",COUNTIFS(RawData[[Date ]],N25983,RawData[Month List],$Q$6,RawData[Tour/Site],$Q$2,RawData[[Picker ID ]],$Q$3,RawData[Checker ID],$Q$4,RawData[[Error Type ]],$Q$5))</f>
        <v/>
      </c>
    </row>
    <row r="25984" spans="15:15" x14ac:dyDescent="0.25">
      <c r="O25984" s="20" t="str">
        <f>IF(N25984="","",COUNTIFS(RawData[[Date ]],N25984,RawData[Month List],$Q$6,RawData[Tour/Site],$Q$2,RawData[[Picker ID ]],$Q$3,RawData[Checker ID],$Q$4,RawData[[Error Type ]],$Q$5))</f>
        <v/>
      </c>
    </row>
    <row r="25985" spans="15:15" x14ac:dyDescent="0.25">
      <c r="O25985" s="20" t="str">
        <f>IF(N25985="","",COUNTIFS(RawData[[Date ]],N25985,RawData[Month List],$Q$6,RawData[Tour/Site],$Q$2,RawData[[Picker ID ]],$Q$3,RawData[Checker ID],$Q$4,RawData[[Error Type ]],$Q$5))</f>
        <v/>
      </c>
    </row>
    <row r="25986" spans="15:15" x14ac:dyDescent="0.25">
      <c r="O25986" s="20" t="str">
        <f>IF(N25986="","",COUNTIFS(RawData[[Date ]],N25986,RawData[Month List],$Q$6,RawData[Tour/Site],$Q$2,RawData[[Picker ID ]],$Q$3,RawData[Checker ID],$Q$4,RawData[[Error Type ]],$Q$5))</f>
        <v/>
      </c>
    </row>
    <row r="25987" spans="15:15" x14ac:dyDescent="0.25">
      <c r="O25987" s="20" t="str">
        <f>IF(N25987="","",COUNTIFS(RawData[[Date ]],N25987,RawData[Month List],$Q$6,RawData[Tour/Site],$Q$2,RawData[[Picker ID ]],$Q$3,RawData[Checker ID],$Q$4,RawData[[Error Type ]],$Q$5))</f>
        <v/>
      </c>
    </row>
    <row r="25988" spans="15:15" x14ac:dyDescent="0.25">
      <c r="O25988" s="20" t="str">
        <f>IF(N25988="","",COUNTIFS(RawData[[Date ]],N25988,RawData[Month List],$Q$6,RawData[Tour/Site],$Q$2,RawData[[Picker ID ]],$Q$3,RawData[Checker ID],$Q$4,RawData[[Error Type ]],$Q$5))</f>
        <v/>
      </c>
    </row>
    <row r="25989" spans="15:15" x14ac:dyDescent="0.25">
      <c r="O25989" s="20" t="str">
        <f>IF(N25989="","",COUNTIFS(RawData[[Date ]],N25989,RawData[Month List],$Q$6,RawData[Tour/Site],$Q$2,RawData[[Picker ID ]],$Q$3,RawData[Checker ID],$Q$4,RawData[[Error Type ]],$Q$5))</f>
        <v/>
      </c>
    </row>
    <row r="25990" spans="15:15" x14ac:dyDescent="0.25">
      <c r="O25990" s="20" t="str">
        <f>IF(N25990="","",COUNTIFS(RawData[[Date ]],N25990,RawData[Month List],$Q$6,RawData[Tour/Site],$Q$2,RawData[[Picker ID ]],$Q$3,RawData[Checker ID],$Q$4,RawData[[Error Type ]],$Q$5))</f>
        <v/>
      </c>
    </row>
    <row r="25991" spans="15:15" x14ac:dyDescent="0.25">
      <c r="O25991" s="20" t="str">
        <f>IF(N25991="","",COUNTIFS(RawData[[Date ]],N25991,RawData[Month List],$Q$6,RawData[Tour/Site],$Q$2,RawData[[Picker ID ]],$Q$3,RawData[Checker ID],$Q$4,RawData[[Error Type ]],$Q$5))</f>
        <v/>
      </c>
    </row>
    <row r="25992" spans="15:15" x14ac:dyDescent="0.25">
      <c r="O25992" s="20" t="str">
        <f>IF(N25992="","",COUNTIFS(RawData[[Date ]],N25992,RawData[Month List],$Q$6,RawData[Tour/Site],$Q$2,RawData[[Picker ID ]],$Q$3,RawData[Checker ID],$Q$4,RawData[[Error Type ]],$Q$5))</f>
        <v/>
      </c>
    </row>
    <row r="25993" spans="15:15" x14ac:dyDescent="0.25">
      <c r="O25993" s="20" t="str">
        <f>IF(N25993="","",COUNTIFS(RawData[[Date ]],N25993,RawData[Month List],$Q$6,RawData[Tour/Site],$Q$2,RawData[[Picker ID ]],$Q$3,RawData[Checker ID],$Q$4,RawData[[Error Type ]],$Q$5))</f>
        <v/>
      </c>
    </row>
    <row r="25994" spans="15:15" x14ac:dyDescent="0.25">
      <c r="O25994" s="20" t="str">
        <f>IF(N25994="","",COUNTIFS(RawData[[Date ]],N25994,RawData[Month List],$Q$6,RawData[Tour/Site],$Q$2,RawData[[Picker ID ]],$Q$3,RawData[Checker ID],$Q$4,RawData[[Error Type ]],$Q$5))</f>
        <v/>
      </c>
    </row>
    <row r="25995" spans="15:15" x14ac:dyDescent="0.25">
      <c r="O25995" s="20" t="str">
        <f>IF(N25995="","",COUNTIFS(RawData[[Date ]],N25995,RawData[Month List],$Q$6,RawData[Tour/Site],$Q$2,RawData[[Picker ID ]],$Q$3,RawData[Checker ID],$Q$4,RawData[[Error Type ]],$Q$5))</f>
        <v/>
      </c>
    </row>
    <row r="25996" spans="15:15" x14ac:dyDescent="0.25">
      <c r="O25996" s="20" t="str">
        <f>IF(N25996="","",COUNTIFS(RawData[[Date ]],N25996,RawData[Month List],$Q$6,RawData[Tour/Site],$Q$2,RawData[[Picker ID ]],$Q$3,RawData[Checker ID],$Q$4,RawData[[Error Type ]],$Q$5))</f>
        <v/>
      </c>
    </row>
    <row r="25997" spans="15:15" x14ac:dyDescent="0.25">
      <c r="O25997" s="20" t="str">
        <f>IF(N25997="","",COUNTIFS(RawData[[Date ]],N25997,RawData[Month List],$Q$6,RawData[Tour/Site],$Q$2,RawData[[Picker ID ]],$Q$3,RawData[Checker ID],$Q$4,RawData[[Error Type ]],$Q$5))</f>
        <v/>
      </c>
    </row>
    <row r="25998" spans="15:15" x14ac:dyDescent="0.25">
      <c r="O25998" s="20" t="str">
        <f>IF(N25998="","",COUNTIFS(RawData[[Date ]],N25998,RawData[Month List],$Q$6,RawData[Tour/Site],$Q$2,RawData[[Picker ID ]],$Q$3,RawData[Checker ID],$Q$4,RawData[[Error Type ]],$Q$5))</f>
        <v/>
      </c>
    </row>
    <row r="25999" spans="15:15" x14ac:dyDescent="0.25">
      <c r="O25999" s="20" t="str">
        <f>IF(N25999="","",COUNTIFS(RawData[[Date ]],N25999,RawData[Month List],$Q$6,RawData[Tour/Site],$Q$2,RawData[[Picker ID ]],$Q$3,RawData[Checker ID],$Q$4,RawData[[Error Type ]],$Q$5))</f>
        <v/>
      </c>
    </row>
    <row r="26000" spans="15:15" x14ac:dyDescent="0.25">
      <c r="O26000" s="20" t="str">
        <f>IF(N26000="","",COUNTIFS(RawData[[Date ]],N26000,RawData[Month List],$Q$6,RawData[Tour/Site],$Q$2,RawData[[Picker ID ]],$Q$3,RawData[Checker ID],$Q$4,RawData[[Error Type ]],$Q$5))</f>
        <v/>
      </c>
    </row>
    <row r="26001" spans="15:15" x14ac:dyDescent="0.25">
      <c r="O26001" s="20" t="str">
        <f>IF(N26001="","",COUNTIFS(RawData[[Date ]],N26001,RawData[Month List],$Q$6,RawData[Tour/Site],$Q$2,RawData[[Picker ID ]],$Q$3,RawData[Checker ID],$Q$4,RawData[[Error Type ]],$Q$5))</f>
        <v/>
      </c>
    </row>
    <row r="26002" spans="15:15" x14ac:dyDescent="0.25">
      <c r="O26002" s="20" t="str">
        <f>IF(N26002="","",COUNTIFS(RawData[[Date ]],N26002,RawData[Month List],$Q$6,RawData[Tour/Site],$Q$2,RawData[[Picker ID ]],$Q$3,RawData[Checker ID],$Q$4,RawData[[Error Type ]],$Q$5))</f>
        <v/>
      </c>
    </row>
    <row r="26003" spans="15:15" x14ac:dyDescent="0.25">
      <c r="O26003" s="20" t="str">
        <f>IF(N26003="","",COUNTIFS(RawData[[Date ]],N26003,RawData[Month List],$Q$6,RawData[Tour/Site],$Q$2,RawData[[Picker ID ]],$Q$3,RawData[Checker ID],$Q$4,RawData[[Error Type ]],$Q$5))</f>
        <v/>
      </c>
    </row>
    <row r="26004" spans="15:15" x14ac:dyDescent="0.25">
      <c r="O26004" s="20" t="str">
        <f>IF(N26004="","",COUNTIFS(RawData[[Date ]],N26004,RawData[Month List],$Q$6,RawData[Tour/Site],$Q$2,RawData[[Picker ID ]],$Q$3,RawData[Checker ID],$Q$4,RawData[[Error Type ]],$Q$5))</f>
        <v/>
      </c>
    </row>
    <row r="26005" spans="15:15" x14ac:dyDescent="0.25">
      <c r="O26005" s="20" t="str">
        <f>IF(N26005="","",COUNTIFS(RawData[[Date ]],N26005,RawData[Month List],$Q$6,RawData[Tour/Site],$Q$2,RawData[[Picker ID ]],$Q$3,RawData[Checker ID],$Q$4,RawData[[Error Type ]],$Q$5))</f>
        <v/>
      </c>
    </row>
    <row r="26006" spans="15:15" x14ac:dyDescent="0.25">
      <c r="O26006" s="20" t="str">
        <f>IF(N26006="","",COUNTIFS(RawData[[Date ]],N26006,RawData[Month List],$Q$6,RawData[Tour/Site],$Q$2,RawData[[Picker ID ]],$Q$3,RawData[Checker ID],$Q$4,RawData[[Error Type ]],$Q$5))</f>
        <v/>
      </c>
    </row>
    <row r="26007" spans="15:15" x14ac:dyDescent="0.25">
      <c r="O26007" s="20" t="str">
        <f>IF(N26007="","",COUNTIFS(RawData[[Date ]],N26007,RawData[Month List],$Q$6,RawData[Tour/Site],$Q$2,RawData[[Picker ID ]],$Q$3,RawData[Checker ID],$Q$4,RawData[[Error Type ]],$Q$5))</f>
        <v/>
      </c>
    </row>
    <row r="26008" spans="15:15" x14ac:dyDescent="0.25">
      <c r="O26008" s="20" t="str">
        <f>IF(N26008="","",COUNTIFS(RawData[[Date ]],N26008,RawData[Month List],$Q$6,RawData[Tour/Site],$Q$2,RawData[[Picker ID ]],$Q$3,RawData[Checker ID],$Q$4,RawData[[Error Type ]],$Q$5))</f>
        <v/>
      </c>
    </row>
    <row r="26009" spans="15:15" x14ac:dyDescent="0.25">
      <c r="O26009" s="20" t="str">
        <f>IF(N26009="","",COUNTIFS(RawData[[Date ]],N26009,RawData[Month List],$Q$6,RawData[Tour/Site],$Q$2,RawData[[Picker ID ]],$Q$3,RawData[Checker ID],$Q$4,RawData[[Error Type ]],$Q$5))</f>
        <v/>
      </c>
    </row>
    <row r="26010" spans="15:15" x14ac:dyDescent="0.25">
      <c r="O26010" s="20" t="str">
        <f>IF(N26010="","",COUNTIFS(RawData[[Date ]],N26010,RawData[Month List],$Q$6,RawData[Tour/Site],$Q$2,RawData[[Picker ID ]],$Q$3,RawData[Checker ID],$Q$4,RawData[[Error Type ]],$Q$5))</f>
        <v/>
      </c>
    </row>
    <row r="26011" spans="15:15" x14ac:dyDescent="0.25">
      <c r="O26011" s="20" t="str">
        <f>IF(N26011="","",COUNTIFS(RawData[[Date ]],N26011,RawData[Month List],$Q$6,RawData[Tour/Site],$Q$2,RawData[[Picker ID ]],$Q$3,RawData[Checker ID],$Q$4,RawData[[Error Type ]],$Q$5))</f>
        <v/>
      </c>
    </row>
    <row r="26012" spans="15:15" x14ac:dyDescent="0.25">
      <c r="O26012" s="20" t="str">
        <f>IF(N26012="","",COUNTIFS(RawData[[Date ]],N26012,RawData[Month List],$Q$6,RawData[Tour/Site],$Q$2,RawData[[Picker ID ]],$Q$3,RawData[Checker ID],$Q$4,RawData[[Error Type ]],$Q$5))</f>
        <v/>
      </c>
    </row>
    <row r="26013" spans="15:15" x14ac:dyDescent="0.25">
      <c r="O26013" s="20" t="str">
        <f>IF(N26013="","",COUNTIFS(RawData[[Date ]],N26013,RawData[Month List],$Q$6,RawData[Tour/Site],$Q$2,RawData[[Picker ID ]],$Q$3,RawData[Checker ID],$Q$4,RawData[[Error Type ]],$Q$5))</f>
        <v/>
      </c>
    </row>
    <row r="26014" spans="15:15" x14ac:dyDescent="0.25">
      <c r="O26014" s="20" t="str">
        <f>IF(N26014="","",COUNTIFS(RawData[[Date ]],N26014,RawData[Month List],$Q$6,RawData[Tour/Site],$Q$2,RawData[[Picker ID ]],$Q$3,RawData[Checker ID],$Q$4,RawData[[Error Type ]],$Q$5))</f>
        <v/>
      </c>
    </row>
    <row r="26015" spans="15:15" x14ac:dyDescent="0.25">
      <c r="O26015" s="20" t="str">
        <f>IF(N26015="","",COUNTIFS(RawData[[Date ]],N26015,RawData[Month List],$Q$6,RawData[Tour/Site],$Q$2,RawData[[Picker ID ]],$Q$3,RawData[Checker ID],$Q$4,RawData[[Error Type ]],$Q$5))</f>
        <v/>
      </c>
    </row>
    <row r="26016" spans="15:15" x14ac:dyDescent="0.25">
      <c r="O26016" s="20" t="str">
        <f>IF(N26016="","",COUNTIFS(RawData[[Date ]],N26016,RawData[Month List],$Q$6,RawData[Tour/Site],$Q$2,RawData[[Picker ID ]],$Q$3,RawData[Checker ID],$Q$4,RawData[[Error Type ]],$Q$5))</f>
        <v/>
      </c>
    </row>
    <row r="26017" spans="15:15" x14ac:dyDescent="0.25">
      <c r="O26017" s="20" t="str">
        <f>IF(N26017="","",COUNTIFS(RawData[[Date ]],N26017,RawData[Month List],$Q$6,RawData[Tour/Site],$Q$2,RawData[[Picker ID ]],$Q$3,RawData[Checker ID],$Q$4,RawData[[Error Type ]],$Q$5))</f>
        <v/>
      </c>
    </row>
    <row r="26018" spans="15:15" x14ac:dyDescent="0.25">
      <c r="O26018" s="20" t="str">
        <f>IF(N26018="","",COUNTIFS(RawData[[Date ]],N26018,RawData[Month List],$Q$6,RawData[Tour/Site],$Q$2,RawData[[Picker ID ]],$Q$3,RawData[Checker ID],$Q$4,RawData[[Error Type ]],$Q$5))</f>
        <v/>
      </c>
    </row>
    <row r="26019" spans="15:15" x14ac:dyDescent="0.25">
      <c r="O26019" s="20" t="str">
        <f>IF(N26019="","",COUNTIFS(RawData[[Date ]],N26019,RawData[Month List],$Q$6,RawData[Tour/Site],$Q$2,RawData[[Picker ID ]],$Q$3,RawData[Checker ID],$Q$4,RawData[[Error Type ]],$Q$5))</f>
        <v/>
      </c>
    </row>
    <row r="26020" spans="15:15" x14ac:dyDescent="0.25">
      <c r="O26020" s="20" t="str">
        <f>IF(N26020="","",COUNTIFS(RawData[[Date ]],N26020,RawData[Month List],$Q$6,RawData[Tour/Site],$Q$2,RawData[[Picker ID ]],$Q$3,RawData[Checker ID],$Q$4,RawData[[Error Type ]],$Q$5))</f>
        <v/>
      </c>
    </row>
    <row r="26021" spans="15:15" x14ac:dyDescent="0.25">
      <c r="O26021" s="20" t="str">
        <f>IF(N26021="","",COUNTIFS(RawData[[Date ]],N26021,RawData[Month List],$Q$6,RawData[Tour/Site],$Q$2,RawData[[Picker ID ]],$Q$3,RawData[Checker ID],$Q$4,RawData[[Error Type ]],$Q$5))</f>
        <v/>
      </c>
    </row>
    <row r="26022" spans="15:15" x14ac:dyDescent="0.25">
      <c r="O26022" s="20" t="str">
        <f>IF(N26022="","",COUNTIFS(RawData[[Date ]],N26022,RawData[Month List],$Q$6,RawData[Tour/Site],$Q$2,RawData[[Picker ID ]],$Q$3,RawData[Checker ID],$Q$4,RawData[[Error Type ]],$Q$5))</f>
        <v/>
      </c>
    </row>
    <row r="26023" spans="15:15" x14ac:dyDescent="0.25">
      <c r="O26023" s="20" t="str">
        <f>IF(N26023="","",COUNTIFS(RawData[[Date ]],N26023,RawData[Month List],$Q$6,RawData[Tour/Site],$Q$2,RawData[[Picker ID ]],$Q$3,RawData[Checker ID],$Q$4,RawData[[Error Type ]],$Q$5))</f>
        <v/>
      </c>
    </row>
    <row r="26024" spans="15:15" x14ac:dyDescent="0.25">
      <c r="O26024" s="20" t="str">
        <f>IF(N26024="","",COUNTIFS(RawData[[Date ]],N26024,RawData[Month List],$Q$6,RawData[Tour/Site],$Q$2,RawData[[Picker ID ]],$Q$3,RawData[Checker ID],$Q$4,RawData[[Error Type ]],$Q$5))</f>
        <v/>
      </c>
    </row>
    <row r="26025" spans="15:15" x14ac:dyDescent="0.25">
      <c r="O26025" s="20" t="str">
        <f>IF(N26025="","",COUNTIFS(RawData[[Date ]],N26025,RawData[Month List],$Q$6,RawData[Tour/Site],$Q$2,RawData[[Picker ID ]],$Q$3,RawData[Checker ID],$Q$4,RawData[[Error Type ]],$Q$5))</f>
        <v/>
      </c>
    </row>
    <row r="26026" spans="15:15" x14ac:dyDescent="0.25">
      <c r="O26026" s="20" t="str">
        <f>IF(N26026="","",COUNTIFS(RawData[[Date ]],N26026,RawData[Month List],$Q$6,RawData[Tour/Site],$Q$2,RawData[[Picker ID ]],$Q$3,RawData[Checker ID],$Q$4,RawData[[Error Type ]],$Q$5))</f>
        <v/>
      </c>
    </row>
    <row r="26027" spans="15:15" x14ac:dyDescent="0.25">
      <c r="O26027" s="20" t="str">
        <f>IF(N26027="","",COUNTIFS(RawData[[Date ]],N26027,RawData[Month List],$Q$6,RawData[Tour/Site],$Q$2,RawData[[Picker ID ]],$Q$3,RawData[Checker ID],$Q$4,RawData[[Error Type ]],$Q$5))</f>
        <v/>
      </c>
    </row>
    <row r="26028" spans="15:15" x14ac:dyDescent="0.25">
      <c r="O26028" s="20" t="str">
        <f>IF(N26028="","",COUNTIFS(RawData[[Date ]],N26028,RawData[Month List],$Q$6,RawData[Tour/Site],$Q$2,RawData[[Picker ID ]],$Q$3,RawData[Checker ID],$Q$4,RawData[[Error Type ]],$Q$5))</f>
        <v/>
      </c>
    </row>
    <row r="26029" spans="15:15" x14ac:dyDescent="0.25">
      <c r="O26029" s="20" t="str">
        <f>IF(N26029="","",COUNTIFS(RawData[[Date ]],N26029,RawData[Month List],$Q$6,RawData[Tour/Site],$Q$2,RawData[[Picker ID ]],$Q$3,RawData[Checker ID],$Q$4,RawData[[Error Type ]],$Q$5))</f>
        <v/>
      </c>
    </row>
    <row r="26030" spans="15:15" x14ac:dyDescent="0.25">
      <c r="O26030" s="20" t="str">
        <f>IF(N26030="","",COUNTIFS(RawData[[Date ]],N26030,RawData[Month List],$Q$6,RawData[Tour/Site],$Q$2,RawData[[Picker ID ]],$Q$3,RawData[Checker ID],$Q$4,RawData[[Error Type ]],$Q$5))</f>
        <v/>
      </c>
    </row>
    <row r="26031" spans="15:15" x14ac:dyDescent="0.25">
      <c r="O26031" s="20" t="str">
        <f>IF(N26031="","",COUNTIFS(RawData[[Date ]],N26031,RawData[Month List],$Q$6,RawData[Tour/Site],$Q$2,RawData[[Picker ID ]],$Q$3,RawData[Checker ID],$Q$4,RawData[[Error Type ]],$Q$5))</f>
        <v/>
      </c>
    </row>
    <row r="26032" spans="15:15" x14ac:dyDescent="0.25">
      <c r="O26032" s="20" t="str">
        <f>IF(N26032="","",COUNTIFS(RawData[[Date ]],N26032,RawData[Month List],$Q$6,RawData[Tour/Site],$Q$2,RawData[[Picker ID ]],$Q$3,RawData[Checker ID],$Q$4,RawData[[Error Type ]],$Q$5))</f>
        <v/>
      </c>
    </row>
    <row r="26033" spans="15:15" x14ac:dyDescent="0.25">
      <c r="O26033" s="20" t="str">
        <f>IF(N26033="","",COUNTIFS(RawData[[Date ]],N26033,RawData[Month List],$Q$6,RawData[Tour/Site],$Q$2,RawData[[Picker ID ]],$Q$3,RawData[Checker ID],$Q$4,RawData[[Error Type ]],$Q$5))</f>
        <v/>
      </c>
    </row>
    <row r="26034" spans="15:15" x14ac:dyDescent="0.25">
      <c r="O26034" s="20" t="str">
        <f>IF(N26034="","",COUNTIFS(RawData[[Date ]],N26034,RawData[Month List],$Q$6,RawData[Tour/Site],$Q$2,RawData[[Picker ID ]],$Q$3,RawData[Checker ID],$Q$4,RawData[[Error Type ]],$Q$5))</f>
        <v/>
      </c>
    </row>
    <row r="26035" spans="15:15" x14ac:dyDescent="0.25">
      <c r="O26035" s="20" t="str">
        <f>IF(N26035="","",COUNTIFS(RawData[[Date ]],N26035,RawData[Month List],$Q$6,RawData[Tour/Site],$Q$2,RawData[[Picker ID ]],$Q$3,RawData[Checker ID],$Q$4,RawData[[Error Type ]],$Q$5))</f>
        <v/>
      </c>
    </row>
    <row r="26036" spans="15:15" x14ac:dyDescent="0.25">
      <c r="O26036" s="20" t="str">
        <f>IF(N26036="","",COUNTIFS(RawData[[Date ]],N26036,RawData[Month List],$Q$6,RawData[Tour/Site],$Q$2,RawData[[Picker ID ]],$Q$3,RawData[Checker ID],$Q$4,RawData[[Error Type ]],$Q$5))</f>
        <v/>
      </c>
    </row>
    <row r="26037" spans="15:15" x14ac:dyDescent="0.25">
      <c r="O26037" s="20" t="str">
        <f>IF(N26037="","",COUNTIFS(RawData[[Date ]],N26037,RawData[Month List],$Q$6,RawData[Tour/Site],$Q$2,RawData[[Picker ID ]],$Q$3,RawData[Checker ID],$Q$4,RawData[[Error Type ]],$Q$5))</f>
        <v/>
      </c>
    </row>
    <row r="26038" spans="15:15" x14ac:dyDescent="0.25">
      <c r="O26038" s="20" t="str">
        <f>IF(N26038="","",COUNTIFS(RawData[[Date ]],N26038,RawData[Month List],$Q$6,RawData[Tour/Site],$Q$2,RawData[[Picker ID ]],$Q$3,RawData[Checker ID],$Q$4,RawData[[Error Type ]],$Q$5))</f>
        <v/>
      </c>
    </row>
    <row r="26039" spans="15:15" x14ac:dyDescent="0.25">
      <c r="O26039" s="20" t="str">
        <f>IF(N26039="","",COUNTIFS(RawData[[Date ]],N26039,RawData[Month List],$Q$6,RawData[Tour/Site],$Q$2,RawData[[Picker ID ]],$Q$3,RawData[Checker ID],$Q$4,RawData[[Error Type ]],$Q$5))</f>
        <v/>
      </c>
    </row>
    <row r="26040" spans="15:15" x14ac:dyDescent="0.25">
      <c r="O26040" s="20" t="str">
        <f>IF(N26040="","",COUNTIFS(RawData[[Date ]],N26040,RawData[Month List],$Q$6,RawData[Tour/Site],$Q$2,RawData[[Picker ID ]],$Q$3,RawData[Checker ID],$Q$4,RawData[[Error Type ]],$Q$5))</f>
        <v/>
      </c>
    </row>
    <row r="26041" spans="15:15" x14ac:dyDescent="0.25">
      <c r="O26041" s="20" t="str">
        <f>IF(N26041="","",COUNTIFS(RawData[[Date ]],N26041,RawData[Month List],$Q$6,RawData[Tour/Site],$Q$2,RawData[[Picker ID ]],$Q$3,RawData[Checker ID],$Q$4,RawData[[Error Type ]],$Q$5))</f>
        <v/>
      </c>
    </row>
    <row r="26042" spans="15:15" x14ac:dyDescent="0.25">
      <c r="O26042" s="20" t="str">
        <f>IF(N26042="","",COUNTIFS(RawData[[Date ]],N26042,RawData[Month List],$Q$6,RawData[Tour/Site],$Q$2,RawData[[Picker ID ]],$Q$3,RawData[Checker ID],$Q$4,RawData[[Error Type ]],$Q$5))</f>
        <v/>
      </c>
    </row>
    <row r="26043" spans="15:15" x14ac:dyDescent="0.25">
      <c r="O26043" s="20" t="str">
        <f>IF(N26043="","",COUNTIFS(RawData[[Date ]],N26043,RawData[Month List],$Q$6,RawData[Tour/Site],$Q$2,RawData[[Picker ID ]],$Q$3,RawData[Checker ID],$Q$4,RawData[[Error Type ]],$Q$5))</f>
        <v/>
      </c>
    </row>
    <row r="26044" spans="15:15" x14ac:dyDescent="0.25">
      <c r="O26044" s="20" t="str">
        <f>IF(N26044="","",COUNTIFS(RawData[[Date ]],N26044,RawData[Month List],$Q$6,RawData[Tour/Site],$Q$2,RawData[[Picker ID ]],$Q$3,RawData[Checker ID],$Q$4,RawData[[Error Type ]],$Q$5))</f>
        <v/>
      </c>
    </row>
    <row r="26045" spans="15:15" x14ac:dyDescent="0.25">
      <c r="O26045" s="20" t="str">
        <f>IF(N26045="","",COUNTIFS(RawData[[Date ]],N26045,RawData[Month List],$Q$6,RawData[Tour/Site],$Q$2,RawData[[Picker ID ]],$Q$3,RawData[Checker ID],$Q$4,RawData[[Error Type ]],$Q$5))</f>
        <v/>
      </c>
    </row>
    <row r="26046" spans="15:15" x14ac:dyDescent="0.25">
      <c r="O26046" s="20" t="str">
        <f>IF(N26046="","",COUNTIFS(RawData[[Date ]],N26046,RawData[Month List],$Q$6,RawData[Tour/Site],$Q$2,RawData[[Picker ID ]],$Q$3,RawData[Checker ID],$Q$4,RawData[[Error Type ]],$Q$5))</f>
        <v/>
      </c>
    </row>
    <row r="26047" spans="15:15" x14ac:dyDescent="0.25">
      <c r="O26047" s="20" t="str">
        <f>IF(N26047="","",COUNTIFS(RawData[[Date ]],N26047,RawData[Month List],$Q$6,RawData[Tour/Site],$Q$2,RawData[[Picker ID ]],$Q$3,RawData[Checker ID],$Q$4,RawData[[Error Type ]],$Q$5))</f>
        <v/>
      </c>
    </row>
    <row r="26048" spans="15:15" x14ac:dyDescent="0.25">
      <c r="O26048" s="20" t="str">
        <f>IF(N26048="","",COUNTIFS(RawData[[Date ]],N26048,RawData[Month List],$Q$6,RawData[Tour/Site],$Q$2,RawData[[Picker ID ]],$Q$3,RawData[Checker ID],$Q$4,RawData[[Error Type ]],$Q$5))</f>
        <v/>
      </c>
    </row>
    <row r="26049" spans="15:15" x14ac:dyDescent="0.25">
      <c r="O26049" s="20" t="str">
        <f>IF(N26049="","",COUNTIFS(RawData[[Date ]],N26049,RawData[Month List],$Q$6,RawData[Tour/Site],$Q$2,RawData[[Picker ID ]],$Q$3,RawData[Checker ID],$Q$4,RawData[[Error Type ]],$Q$5))</f>
        <v/>
      </c>
    </row>
    <row r="26050" spans="15:15" x14ac:dyDescent="0.25">
      <c r="O26050" s="20" t="str">
        <f>IF(N26050="","",COUNTIFS(RawData[[Date ]],N26050,RawData[Month List],$Q$6,RawData[Tour/Site],$Q$2,RawData[[Picker ID ]],$Q$3,RawData[Checker ID],$Q$4,RawData[[Error Type ]],$Q$5))</f>
        <v/>
      </c>
    </row>
    <row r="26051" spans="15:15" x14ac:dyDescent="0.25">
      <c r="O26051" s="20" t="str">
        <f>IF(N26051="","",COUNTIFS(RawData[[Date ]],N26051,RawData[Month List],$Q$6,RawData[Tour/Site],$Q$2,RawData[[Picker ID ]],$Q$3,RawData[Checker ID],$Q$4,RawData[[Error Type ]],$Q$5))</f>
        <v/>
      </c>
    </row>
    <row r="26052" spans="15:15" x14ac:dyDescent="0.25">
      <c r="O26052" s="20" t="str">
        <f>IF(N26052="","",COUNTIFS(RawData[[Date ]],N26052,RawData[Month List],$Q$6,RawData[Tour/Site],$Q$2,RawData[[Picker ID ]],$Q$3,RawData[Checker ID],$Q$4,RawData[[Error Type ]],$Q$5))</f>
        <v/>
      </c>
    </row>
    <row r="26053" spans="15:15" x14ac:dyDescent="0.25">
      <c r="O26053" s="20" t="str">
        <f>IF(N26053="","",COUNTIFS(RawData[[Date ]],N26053,RawData[Month List],$Q$6,RawData[Tour/Site],$Q$2,RawData[[Picker ID ]],$Q$3,RawData[Checker ID],$Q$4,RawData[[Error Type ]],$Q$5))</f>
        <v/>
      </c>
    </row>
    <row r="26054" spans="15:15" x14ac:dyDescent="0.25">
      <c r="O26054" s="20" t="str">
        <f>IF(N26054="","",COUNTIFS(RawData[[Date ]],N26054,RawData[Month List],$Q$6,RawData[Tour/Site],$Q$2,RawData[[Picker ID ]],$Q$3,RawData[Checker ID],$Q$4,RawData[[Error Type ]],$Q$5))</f>
        <v/>
      </c>
    </row>
    <row r="26055" spans="15:15" x14ac:dyDescent="0.25">
      <c r="O26055" s="20" t="str">
        <f>IF(N26055="","",COUNTIFS(RawData[[Date ]],N26055,RawData[Month List],$Q$6,RawData[Tour/Site],$Q$2,RawData[[Picker ID ]],$Q$3,RawData[Checker ID],$Q$4,RawData[[Error Type ]],$Q$5))</f>
        <v/>
      </c>
    </row>
    <row r="26056" spans="15:15" x14ac:dyDescent="0.25">
      <c r="O26056" s="20" t="str">
        <f>IF(N26056="","",COUNTIFS(RawData[[Date ]],N26056,RawData[Month List],$Q$6,RawData[Tour/Site],$Q$2,RawData[[Picker ID ]],$Q$3,RawData[Checker ID],$Q$4,RawData[[Error Type ]],$Q$5))</f>
        <v/>
      </c>
    </row>
    <row r="26057" spans="15:15" x14ac:dyDescent="0.25">
      <c r="O26057" s="20" t="str">
        <f>IF(N26057="","",COUNTIFS(RawData[[Date ]],N26057,RawData[Month List],$Q$6,RawData[Tour/Site],$Q$2,RawData[[Picker ID ]],$Q$3,RawData[Checker ID],$Q$4,RawData[[Error Type ]],$Q$5))</f>
        <v/>
      </c>
    </row>
    <row r="26058" spans="15:15" x14ac:dyDescent="0.25">
      <c r="O26058" s="20" t="str">
        <f>IF(N26058="","",COUNTIFS(RawData[[Date ]],N26058,RawData[Month List],$Q$6,RawData[Tour/Site],$Q$2,RawData[[Picker ID ]],$Q$3,RawData[Checker ID],$Q$4,RawData[[Error Type ]],$Q$5))</f>
        <v/>
      </c>
    </row>
    <row r="26059" spans="15:15" x14ac:dyDescent="0.25">
      <c r="O26059" s="20" t="str">
        <f>IF(N26059="","",COUNTIFS(RawData[[Date ]],N26059,RawData[Month List],$Q$6,RawData[Tour/Site],$Q$2,RawData[[Picker ID ]],$Q$3,RawData[Checker ID],$Q$4,RawData[[Error Type ]],$Q$5))</f>
        <v/>
      </c>
    </row>
    <row r="26060" spans="15:15" x14ac:dyDescent="0.25">
      <c r="O26060" s="20" t="str">
        <f>IF(N26060="","",COUNTIFS(RawData[[Date ]],N26060,RawData[Month List],$Q$6,RawData[Tour/Site],$Q$2,RawData[[Picker ID ]],$Q$3,RawData[Checker ID],$Q$4,RawData[[Error Type ]],$Q$5))</f>
        <v/>
      </c>
    </row>
    <row r="26061" spans="15:15" x14ac:dyDescent="0.25">
      <c r="O26061" s="20" t="str">
        <f>IF(N26061="","",COUNTIFS(RawData[[Date ]],N26061,RawData[Month List],$Q$6,RawData[Tour/Site],$Q$2,RawData[[Picker ID ]],$Q$3,RawData[Checker ID],$Q$4,RawData[[Error Type ]],$Q$5))</f>
        <v/>
      </c>
    </row>
    <row r="26062" spans="15:15" x14ac:dyDescent="0.25">
      <c r="O26062" s="20" t="str">
        <f>IF(N26062="","",COUNTIFS(RawData[[Date ]],N26062,RawData[Month List],$Q$6,RawData[Tour/Site],$Q$2,RawData[[Picker ID ]],$Q$3,RawData[Checker ID],$Q$4,RawData[[Error Type ]],$Q$5))</f>
        <v/>
      </c>
    </row>
    <row r="26063" spans="15:15" x14ac:dyDescent="0.25">
      <c r="O26063" s="20" t="str">
        <f>IF(N26063="","",COUNTIFS(RawData[[Date ]],N26063,RawData[Month List],$Q$6,RawData[Tour/Site],$Q$2,RawData[[Picker ID ]],$Q$3,RawData[Checker ID],$Q$4,RawData[[Error Type ]],$Q$5))</f>
        <v/>
      </c>
    </row>
    <row r="26064" spans="15:15" x14ac:dyDescent="0.25">
      <c r="O26064" s="20" t="str">
        <f>IF(N26064="","",COUNTIFS(RawData[[Date ]],N26064,RawData[Month List],$Q$6,RawData[Tour/Site],$Q$2,RawData[[Picker ID ]],$Q$3,RawData[Checker ID],$Q$4,RawData[[Error Type ]],$Q$5))</f>
        <v/>
      </c>
    </row>
    <row r="26065" spans="15:15" x14ac:dyDescent="0.25">
      <c r="O26065" s="20" t="str">
        <f>IF(N26065="","",COUNTIFS(RawData[[Date ]],N26065,RawData[Month List],$Q$6,RawData[Tour/Site],$Q$2,RawData[[Picker ID ]],$Q$3,RawData[Checker ID],$Q$4,RawData[[Error Type ]],$Q$5))</f>
        <v/>
      </c>
    </row>
    <row r="26066" spans="15:15" x14ac:dyDescent="0.25">
      <c r="O26066" s="20" t="str">
        <f>IF(N26066="","",COUNTIFS(RawData[[Date ]],N26066,RawData[Month List],$Q$6,RawData[Tour/Site],$Q$2,RawData[[Picker ID ]],$Q$3,RawData[Checker ID],$Q$4,RawData[[Error Type ]],$Q$5))</f>
        <v/>
      </c>
    </row>
    <row r="26067" spans="15:15" x14ac:dyDescent="0.25">
      <c r="O26067" s="20" t="str">
        <f>IF(N26067="","",COUNTIFS(RawData[[Date ]],N26067,RawData[Month List],$Q$6,RawData[Tour/Site],$Q$2,RawData[[Picker ID ]],$Q$3,RawData[Checker ID],$Q$4,RawData[[Error Type ]],$Q$5))</f>
        <v/>
      </c>
    </row>
    <row r="26068" spans="15:15" x14ac:dyDescent="0.25">
      <c r="O26068" s="20" t="str">
        <f>IF(N26068="","",COUNTIFS(RawData[[Date ]],N26068,RawData[Month List],$Q$6,RawData[Tour/Site],$Q$2,RawData[[Picker ID ]],$Q$3,RawData[Checker ID],$Q$4,RawData[[Error Type ]],$Q$5))</f>
        <v/>
      </c>
    </row>
    <row r="26069" spans="15:15" x14ac:dyDescent="0.25">
      <c r="O26069" s="20" t="str">
        <f>IF(N26069="","",COUNTIFS(RawData[[Date ]],N26069,RawData[Month List],$Q$6,RawData[Tour/Site],$Q$2,RawData[[Picker ID ]],$Q$3,RawData[Checker ID],$Q$4,RawData[[Error Type ]],$Q$5))</f>
        <v/>
      </c>
    </row>
    <row r="26070" spans="15:15" x14ac:dyDescent="0.25">
      <c r="O26070" s="20" t="str">
        <f>IF(N26070="","",COUNTIFS(RawData[[Date ]],N26070,RawData[Month List],$Q$6,RawData[Tour/Site],$Q$2,RawData[[Picker ID ]],$Q$3,RawData[Checker ID],$Q$4,RawData[[Error Type ]],$Q$5))</f>
        <v/>
      </c>
    </row>
    <row r="26071" spans="15:15" x14ac:dyDescent="0.25">
      <c r="O26071" s="20" t="str">
        <f>IF(N26071="","",COUNTIFS(RawData[[Date ]],N26071,RawData[Month List],$Q$6,RawData[Tour/Site],$Q$2,RawData[[Picker ID ]],$Q$3,RawData[Checker ID],$Q$4,RawData[[Error Type ]],$Q$5))</f>
        <v/>
      </c>
    </row>
    <row r="26072" spans="15:15" x14ac:dyDescent="0.25">
      <c r="O26072" s="20" t="str">
        <f>IF(N26072="","",COUNTIFS(RawData[[Date ]],N26072,RawData[Month List],$Q$6,RawData[Tour/Site],$Q$2,RawData[[Picker ID ]],$Q$3,RawData[Checker ID],$Q$4,RawData[[Error Type ]],$Q$5))</f>
        <v/>
      </c>
    </row>
    <row r="26073" spans="15:15" x14ac:dyDescent="0.25">
      <c r="O26073" s="20" t="str">
        <f>IF(N26073="","",COUNTIFS(RawData[[Date ]],N26073,RawData[Month List],$Q$6,RawData[Tour/Site],$Q$2,RawData[[Picker ID ]],$Q$3,RawData[Checker ID],$Q$4,RawData[[Error Type ]],$Q$5))</f>
        <v/>
      </c>
    </row>
    <row r="26074" spans="15:15" x14ac:dyDescent="0.25">
      <c r="O26074" s="20" t="str">
        <f>IF(N26074="","",COUNTIFS(RawData[[Date ]],N26074,RawData[Month List],$Q$6,RawData[Tour/Site],$Q$2,RawData[[Picker ID ]],$Q$3,RawData[Checker ID],$Q$4,RawData[[Error Type ]],$Q$5))</f>
        <v/>
      </c>
    </row>
    <row r="26075" spans="15:15" x14ac:dyDescent="0.25">
      <c r="O26075" s="20" t="str">
        <f>IF(N26075="","",COUNTIFS(RawData[[Date ]],N26075,RawData[Month List],$Q$6,RawData[Tour/Site],$Q$2,RawData[[Picker ID ]],$Q$3,RawData[Checker ID],$Q$4,RawData[[Error Type ]],$Q$5))</f>
        <v/>
      </c>
    </row>
    <row r="26076" spans="15:15" x14ac:dyDescent="0.25">
      <c r="O26076" s="20" t="str">
        <f>IF(N26076="","",COUNTIFS(RawData[[Date ]],N26076,RawData[Month List],$Q$6,RawData[Tour/Site],$Q$2,RawData[[Picker ID ]],$Q$3,RawData[Checker ID],$Q$4,RawData[[Error Type ]],$Q$5))</f>
        <v/>
      </c>
    </row>
    <row r="26077" spans="15:15" x14ac:dyDescent="0.25">
      <c r="O26077" s="20" t="str">
        <f>IF(N26077="","",COUNTIFS(RawData[[Date ]],N26077,RawData[Month List],$Q$6,RawData[Tour/Site],$Q$2,RawData[[Picker ID ]],$Q$3,RawData[Checker ID],$Q$4,RawData[[Error Type ]],$Q$5))</f>
        <v/>
      </c>
    </row>
    <row r="26078" spans="15:15" x14ac:dyDescent="0.25">
      <c r="O26078" s="20" t="str">
        <f>IF(N26078="","",COUNTIFS(RawData[[Date ]],N26078,RawData[Month List],$Q$6,RawData[Tour/Site],$Q$2,RawData[[Picker ID ]],$Q$3,RawData[Checker ID],$Q$4,RawData[[Error Type ]],$Q$5))</f>
        <v/>
      </c>
    </row>
    <row r="26079" spans="15:15" x14ac:dyDescent="0.25">
      <c r="O26079" s="20" t="str">
        <f>IF(N26079="","",COUNTIFS(RawData[[Date ]],N26079,RawData[Month List],$Q$6,RawData[Tour/Site],$Q$2,RawData[[Picker ID ]],$Q$3,RawData[Checker ID],$Q$4,RawData[[Error Type ]],$Q$5))</f>
        <v/>
      </c>
    </row>
    <row r="26080" spans="15:15" x14ac:dyDescent="0.25">
      <c r="O26080" s="20" t="str">
        <f>IF(N26080="","",COUNTIFS(RawData[[Date ]],N26080,RawData[Month List],$Q$6,RawData[Tour/Site],$Q$2,RawData[[Picker ID ]],$Q$3,RawData[Checker ID],$Q$4,RawData[[Error Type ]],$Q$5))</f>
        <v/>
      </c>
    </row>
    <row r="26081" spans="15:15" x14ac:dyDescent="0.25">
      <c r="O26081" s="20" t="str">
        <f>IF(N26081="","",COUNTIFS(RawData[[Date ]],N26081,RawData[Month List],$Q$6,RawData[Tour/Site],$Q$2,RawData[[Picker ID ]],$Q$3,RawData[Checker ID],$Q$4,RawData[[Error Type ]],$Q$5))</f>
        <v/>
      </c>
    </row>
    <row r="26082" spans="15:15" x14ac:dyDescent="0.25">
      <c r="O26082" s="20" t="str">
        <f>IF(N26082="","",COUNTIFS(RawData[[Date ]],N26082,RawData[Month List],$Q$6,RawData[Tour/Site],$Q$2,RawData[[Picker ID ]],$Q$3,RawData[Checker ID],$Q$4,RawData[[Error Type ]],$Q$5))</f>
        <v/>
      </c>
    </row>
    <row r="26083" spans="15:15" x14ac:dyDescent="0.25">
      <c r="O26083" s="20" t="str">
        <f>IF(N26083="","",COUNTIFS(RawData[[Date ]],N26083,RawData[Month List],$Q$6,RawData[Tour/Site],$Q$2,RawData[[Picker ID ]],$Q$3,RawData[Checker ID],$Q$4,RawData[[Error Type ]],$Q$5))</f>
        <v/>
      </c>
    </row>
    <row r="26084" spans="15:15" x14ac:dyDescent="0.25">
      <c r="O26084" s="20" t="str">
        <f>IF(N26084="","",COUNTIFS(RawData[[Date ]],N26084,RawData[Month List],$Q$6,RawData[Tour/Site],$Q$2,RawData[[Picker ID ]],$Q$3,RawData[Checker ID],$Q$4,RawData[[Error Type ]],$Q$5))</f>
        <v/>
      </c>
    </row>
    <row r="26085" spans="15:15" x14ac:dyDescent="0.25">
      <c r="O26085" s="20" t="str">
        <f>IF(N26085="","",COUNTIFS(RawData[[Date ]],N26085,RawData[Month List],$Q$6,RawData[Tour/Site],$Q$2,RawData[[Picker ID ]],$Q$3,RawData[Checker ID],$Q$4,RawData[[Error Type ]],$Q$5))</f>
        <v/>
      </c>
    </row>
    <row r="26086" spans="15:15" x14ac:dyDescent="0.25">
      <c r="O26086" s="20" t="str">
        <f>IF(N26086="","",COUNTIFS(RawData[[Date ]],N26086,RawData[Month List],$Q$6,RawData[Tour/Site],$Q$2,RawData[[Picker ID ]],$Q$3,RawData[Checker ID],$Q$4,RawData[[Error Type ]],$Q$5))</f>
        <v/>
      </c>
    </row>
    <row r="26087" spans="15:15" x14ac:dyDescent="0.25">
      <c r="O26087" s="20" t="str">
        <f>IF(N26087="","",COUNTIFS(RawData[[Date ]],N26087,RawData[Month List],$Q$6,RawData[Tour/Site],$Q$2,RawData[[Picker ID ]],$Q$3,RawData[Checker ID],$Q$4,RawData[[Error Type ]],$Q$5))</f>
        <v/>
      </c>
    </row>
    <row r="26088" spans="15:15" x14ac:dyDescent="0.25">
      <c r="O26088" s="20" t="str">
        <f>IF(N26088="","",COUNTIFS(RawData[[Date ]],N26088,RawData[Month List],$Q$6,RawData[Tour/Site],$Q$2,RawData[[Picker ID ]],$Q$3,RawData[Checker ID],$Q$4,RawData[[Error Type ]],$Q$5))</f>
        <v/>
      </c>
    </row>
    <row r="26089" spans="15:15" x14ac:dyDescent="0.25">
      <c r="O26089" s="20" t="str">
        <f>IF(N26089="","",COUNTIFS(RawData[[Date ]],N26089,RawData[Month List],$Q$6,RawData[Tour/Site],$Q$2,RawData[[Picker ID ]],$Q$3,RawData[Checker ID],$Q$4,RawData[[Error Type ]],$Q$5))</f>
        <v/>
      </c>
    </row>
    <row r="26090" spans="15:15" x14ac:dyDescent="0.25">
      <c r="O26090" s="20" t="str">
        <f>IF(N26090="","",COUNTIFS(RawData[[Date ]],N26090,RawData[Month List],$Q$6,RawData[Tour/Site],$Q$2,RawData[[Picker ID ]],$Q$3,RawData[Checker ID],$Q$4,RawData[[Error Type ]],$Q$5))</f>
        <v/>
      </c>
    </row>
    <row r="26091" spans="15:15" x14ac:dyDescent="0.25">
      <c r="O26091" s="20" t="str">
        <f>IF(N26091="","",COUNTIFS(RawData[[Date ]],N26091,RawData[Month List],$Q$6,RawData[Tour/Site],$Q$2,RawData[[Picker ID ]],$Q$3,RawData[Checker ID],$Q$4,RawData[[Error Type ]],$Q$5))</f>
        <v/>
      </c>
    </row>
    <row r="26092" spans="15:15" x14ac:dyDescent="0.25">
      <c r="O26092" s="20" t="str">
        <f>IF(N26092="","",COUNTIFS(RawData[[Date ]],N26092,RawData[Month List],$Q$6,RawData[Tour/Site],$Q$2,RawData[[Picker ID ]],$Q$3,RawData[Checker ID],$Q$4,RawData[[Error Type ]],$Q$5))</f>
        <v/>
      </c>
    </row>
    <row r="26093" spans="15:15" x14ac:dyDescent="0.25">
      <c r="O26093" s="20" t="str">
        <f>IF(N26093="","",COUNTIFS(RawData[[Date ]],N26093,RawData[Month List],$Q$6,RawData[Tour/Site],$Q$2,RawData[[Picker ID ]],$Q$3,RawData[Checker ID],$Q$4,RawData[[Error Type ]],$Q$5))</f>
        <v/>
      </c>
    </row>
    <row r="26094" spans="15:15" x14ac:dyDescent="0.25">
      <c r="O26094" s="20" t="str">
        <f>IF(N26094="","",COUNTIFS(RawData[[Date ]],N26094,RawData[Month List],$Q$6,RawData[Tour/Site],$Q$2,RawData[[Picker ID ]],$Q$3,RawData[Checker ID],$Q$4,RawData[[Error Type ]],$Q$5))</f>
        <v/>
      </c>
    </row>
    <row r="26095" spans="15:15" x14ac:dyDescent="0.25">
      <c r="O26095" s="20" t="str">
        <f>IF(N26095="","",COUNTIFS(RawData[[Date ]],N26095,RawData[Month List],$Q$6,RawData[Tour/Site],$Q$2,RawData[[Picker ID ]],$Q$3,RawData[Checker ID],$Q$4,RawData[[Error Type ]],$Q$5))</f>
        <v/>
      </c>
    </row>
    <row r="26096" spans="15:15" x14ac:dyDescent="0.25">
      <c r="O26096" s="20" t="str">
        <f>IF(N26096="","",COUNTIFS(RawData[[Date ]],N26096,RawData[Month List],$Q$6,RawData[Tour/Site],$Q$2,RawData[[Picker ID ]],$Q$3,RawData[Checker ID],$Q$4,RawData[[Error Type ]],$Q$5))</f>
        <v/>
      </c>
    </row>
    <row r="26097" spans="15:15" x14ac:dyDescent="0.25">
      <c r="O26097" s="20" t="str">
        <f>IF(N26097="","",COUNTIFS(RawData[[Date ]],N26097,RawData[Month List],$Q$6,RawData[Tour/Site],$Q$2,RawData[[Picker ID ]],$Q$3,RawData[Checker ID],$Q$4,RawData[[Error Type ]],$Q$5))</f>
        <v/>
      </c>
    </row>
    <row r="26098" spans="15:15" x14ac:dyDescent="0.25">
      <c r="O26098" s="20" t="str">
        <f>IF(N26098="","",COUNTIFS(RawData[[Date ]],N26098,RawData[Month List],$Q$6,RawData[Tour/Site],$Q$2,RawData[[Picker ID ]],$Q$3,RawData[Checker ID],$Q$4,RawData[[Error Type ]],$Q$5))</f>
        <v/>
      </c>
    </row>
    <row r="26099" spans="15:15" x14ac:dyDescent="0.25">
      <c r="O26099" s="20" t="str">
        <f>IF(N26099="","",COUNTIFS(RawData[[Date ]],N26099,RawData[Month List],$Q$6,RawData[Tour/Site],$Q$2,RawData[[Picker ID ]],$Q$3,RawData[Checker ID],$Q$4,RawData[[Error Type ]],$Q$5))</f>
        <v/>
      </c>
    </row>
    <row r="26100" spans="15:15" x14ac:dyDescent="0.25">
      <c r="O26100" s="20" t="str">
        <f>IF(N26100="","",COUNTIFS(RawData[[Date ]],N26100,RawData[Month List],$Q$6,RawData[Tour/Site],$Q$2,RawData[[Picker ID ]],$Q$3,RawData[Checker ID],$Q$4,RawData[[Error Type ]],$Q$5))</f>
        <v/>
      </c>
    </row>
    <row r="26101" spans="15:15" x14ac:dyDescent="0.25">
      <c r="O26101" s="20" t="str">
        <f>IF(N26101="","",COUNTIFS(RawData[[Date ]],N26101,RawData[Month List],$Q$6,RawData[Tour/Site],$Q$2,RawData[[Picker ID ]],$Q$3,RawData[Checker ID],$Q$4,RawData[[Error Type ]],$Q$5))</f>
        <v/>
      </c>
    </row>
    <row r="26102" spans="15:15" x14ac:dyDescent="0.25">
      <c r="O26102" s="20" t="str">
        <f>IF(N26102="","",COUNTIFS(RawData[[Date ]],N26102,RawData[Month List],$Q$6,RawData[Tour/Site],$Q$2,RawData[[Picker ID ]],$Q$3,RawData[Checker ID],$Q$4,RawData[[Error Type ]],$Q$5))</f>
        <v/>
      </c>
    </row>
    <row r="26103" spans="15:15" x14ac:dyDescent="0.25">
      <c r="O26103" s="20" t="str">
        <f>IF(N26103="","",COUNTIFS(RawData[[Date ]],N26103,RawData[Month List],$Q$6,RawData[Tour/Site],$Q$2,RawData[[Picker ID ]],$Q$3,RawData[Checker ID],$Q$4,RawData[[Error Type ]],$Q$5))</f>
        <v/>
      </c>
    </row>
    <row r="26104" spans="15:15" x14ac:dyDescent="0.25">
      <c r="O26104" s="20" t="str">
        <f>IF(N26104="","",COUNTIFS(RawData[[Date ]],N26104,RawData[Month List],$Q$6,RawData[Tour/Site],$Q$2,RawData[[Picker ID ]],$Q$3,RawData[Checker ID],$Q$4,RawData[[Error Type ]],$Q$5))</f>
        <v/>
      </c>
    </row>
    <row r="26105" spans="15:15" x14ac:dyDescent="0.25">
      <c r="O26105" s="20" t="str">
        <f>IF(N26105="","",COUNTIFS(RawData[[Date ]],N26105,RawData[Month List],$Q$6,RawData[Tour/Site],$Q$2,RawData[[Picker ID ]],$Q$3,RawData[Checker ID],$Q$4,RawData[[Error Type ]],$Q$5))</f>
        <v/>
      </c>
    </row>
    <row r="26106" spans="15:15" x14ac:dyDescent="0.25">
      <c r="O26106" s="20" t="str">
        <f>IF(N26106="","",COUNTIFS(RawData[[Date ]],N26106,RawData[Month List],$Q$6,RawData[Tour/Site],$Q$2,RawData[[Picker ID ]],$Q$3,RawData[Checker ID],$Q$4,RawData[[Error Type ]],$Q$5))</f>
        <v/>
      </c>
    </row>
    <row r="26107" spans="15:15" x14ac:dyDescent="0.25">
      <c r="O26107" s="20" t="str">
        <f>IF(N26107="","",COUNTIFS(RawData[[Date ]],N26107,RawData[Month List],$Q$6,RawData[Tour/Site],$Q$2,RawData[[Picker ID ]],$Q$3,RawData[Checker ID],$Q$4,RawData[[Error Type ]],$Q$5))</f>
        <v/>
      </c>
    </row>
    <row r="26108" spans="15:15" x14ac:dyDescent="0.25">
      <c r="O26108" s="20" t="str">
        <f>IF(N26108="","",COUNTIFS(RawData[[Date ]],N26108,RawData[Month List],$Q$6,RawData[Tour/Site],$Q$2,RawData[[Picker ID ]],$Q$3,RawData[Checker ID],$Q$4,RawData[[Error Type ]],$Q$5))</f>
        <v/>
      </c>
    </row>
    <row r="26109" spans="15:15" x14ac:dyDescent="0.25">
      <c r="O26109" s="20" t="str">
        <f>IF(N26109="","",COUNTIFS(RawData[[Date ]],N26109,RawData[Month List],$Q$6,RawData[Tour/Site],$Q$2,RawData[[Picker ID ]],$Q$3,RawData[Checker ID],$Q$4,RawData[[Error Type ]],$Q$5))</f>
        <v/>
      </c>
    </row>
    <row r="26110" spans="15:15" x14ac:dyDescent="0.25">
      <c r="O26110" s="20" t="str">
        <f>IF(N26110="","",COUNTIFS(RawData[[Date ]],N26110,RawData[Month List],$Q$6,RawData[Tour/Site],$Q$2,RawData[[Picker ID ]],$Q$3,RawData[Checker ID],$Q$4,RawData[[Error Type ]],$Q$5))</f>
        <v/>
      </c>
    </row>
    <row r="26111" spans="15:15" x14ac:dyDescent="0.25">
      <c r="O26111" s="20" t="str">
        <f>IF(N26111="","",COUNTIFS(RawData[[Date ]],N26111,RawData[Month List],$Q$6,RawData[Tour/Site],$Q$2,RawData[[Picker ID ]],$Q$3,RawData[Checker ID],$Q$4,RawData[[Error Type ]],$Q$5))</f>
        <v/>
      </c>
    </row>
    <row r="26112" spans="15:15" x14ac:dyDescent="0.25">
      <c r="O26112" s="20" t="str">
        <f>IF(N26112="","",COUNTIFS(RawData[[Date ]],N26112,RawData[Month List],$Q$6,RawData[Tour/Site],$Q$2,RawData[[Picker ID ]],$Q$3,RawData[Checker ID],$Q$4,RawData[[Error Type ]],$Q$5))</f>
        <v/>
      </c>
    </row>
    <row r="26113" spans="15:15" x14ac:dyDescent="0.25">
      <c r="O26113" s="20" t="str">
        <f>IF(N26113="","",COUNTIFS(RawData[[Date ]],N26113,RawData[Month List],$Q$6,RawData[Tour/Site],$Q$2,RawData[[Picker ID ]],$Q$3,RawData[Checker ID],$Q$4,RawData[[Error Type ]],$Q$5))</f>
        <v/>
      </c>
    </row>
    <row r="26114" spans="15:15" x14ac:dyDescent="0.25">
      <c r="O26114" s="20" t="str">
        <f>IF(N26114="","",COUNTIFS(RawData[[Date ]],N26114,RawData[Month List],$Q$6,RawData[Tour/Site],$Q$2,RawData[[Picker ID ]],$Q$3,RawData[Checker ID],$Q$4,RawData[[Error Type ]],$Q$5))</f>
        <v/>
      </c>
    </row>
    <row r="26115" spans="15:15" x14ac:dyDescent="0.25">
      <c r="O26115" s="20" t="str">
        <f>IF(N26115="","",COUNTIFS(RawData[[Date ]],N26115,RawData[Month List],$Q$6,RawData[Tour/Site],$Q$2,RawData[[Picker ID ]],$Q$3,RawData[Checker ID],$Q$4,RawData[[Error Type ]],$Q$5))</f>
        <v/>
      </c>
    </row>
    <row r="26116" spans="15:15" x14ac:dyDescent="0.25">
      <c r="O26116" s="20" t="str">
        <f>IF(N26116="","",COUNTIFS(RawData[[Date ]],N26116,RawData[Month List],$Q$6,RawData[Tour/Site],$Q$2,RawData[[Picker ID ]],$Q$3,RawData[Checker ID],$Q$4,RawData[[Error Type ]],$Q$5))</f>
        <v/>
      </c>
    </row>
    <row r="26117" spans="15:15" x14ac:dyDescent="0.25">
      <c r="O26117" s="20" t="str">
        <f>IF(N26117="","",COUNTIFS(RawData[[Date ]],N26117,RawData[Month List],$Q$6,RawData[Tour/Site],$Q$2,RawData[[Picker ID ]],$Q$3,RawData[Checker ID],$Q$4,RawData[[Error Type ]],$Q$5))</f>
        <v/>
      </c>
    </row>
    <row r="26118" spans="15:15" x14ac:dyDescent="0.25">
      <c r="O26118" s="20" t="str">
        <f>IF(N26118="","",COUNTIFS(RawData[[Date ]],N26118,RawData[Month List],$Q$6,RawData[Tour/Site],$Q$2,RawData[[Picker ID ]],$Q$3,RawData[Checker ID],$Q$4,RawData[[Error Type ]],$Q$5))</f>
        <v/>
      </c>
    </row>
    <row r="26119" spans="15:15" x14ac:dyDescent="0.25">
      <c r="O26119" s="20" t="str">
        <f>IF(N26119="","",COUNTIFS(RawData[[Date ]],N26119,RawData[Month List],$Q$6,RawData[Tour/Site],$Q$2,RawData[[Picker ID ]],$Q$3,RawData[Checker ID],$Q$4,RawData[[Error Type ]],$Q$5))</f>
        <v/>
      </c>
    </row>
    <row r="26120" spans="15:15" x14ac:dyDescent="0.25">
      <c r="O26120" s="20" t="str">
        <f>IF(N26120="","",COUNTIFS(RawData[[Date ]],N26120,RawData[Month List],$Q$6,RawData[Tour/Site],$Q$2,RawData[[Picker ID ]],$Q$3,RawData[Checker ID],$Q$4,RawData[[Error Type ]],$Q$5))</f>
        <v/>
      </c>
    </row>
    <row r="26121" spans="15:15" x14ac:dyDescent="0.25">
      <c r="O26121" s="20" t="str">
        <f>IF(N26121="","",COUNTIFS(RawData[[Date ]],N26121,RawData[Month List],$Q$6,RawData[Tour/Site],$Q$2,RawData[[Picker ID ]],$Q$3,RawData[Checker ID],$Q$4,RawData[[Error Type ]],$Q$5))</f>
        <v/>
      </c>
    </row>
    <row r="26122" spans="15:15" x14ac:dyDescent="0.25">
      <c r="O26122" s="20" t="str">
        <f>IF(N26122="","",COUNTIFS(RawData[[Date ]],N26122,RawData[Month List],$Q$6,RawData[Tour/Site],$Q$2,RawData[[Picker ID ]],$Q$3,RawData[Checker ID],$Q$4,RawData[[Error Type ]],$Q$5))</f>
        <v/>
      </c>
    </row>
    <row r="26123" spans="15:15" x14ac:dyDescent="0.25">
      <c r="O26123" s="20" t="str">
        <f>IF(N26123="","",COUNTIFS(RawData[[Date ]],N26123,RawData[Month List],$Q$6,RawData[Tour/Site],$Q$2,RawData[[Picker ID ]],$Q$3,RawData[Checker ID],$Q$4,RawData[[Error Type ]],$Q$5))</f>
        <v/>
      </c>
    </row>
    <row r="26124" spans="15:15" x14ac:dyDescent="0.25">
      <c r="O26124" s="20" t="str">
        <f>IF(N26124="","",COUNTIFS(RawData[[Date ]],N26124,RawData[Month List],$Q$6,RawData[Tour/Site],$Q$2,RawData[[Picker ID ]],$Q$3,RawData[Checker ID],$Q$4,RawData[[Error Type ]],$Q$5))</f>
        <v/>
      </c>
    </row>
    <row r="26125" spans="15:15" x14ac:dyDescent="0.25">
      <c r="O26125" s="20" t="str">
        <f>IF(N26125="","",COUNTIFS(RawData[[Date ]],N26125,RawData[Month List],$Q$6,RawData[Tour/Site],$Q$2,RawData[[Picker ID ]],$Q$3,RawData[Checker ID],$Q$4,RawData[[Error Type ]],$Q$5))</f>
        <v/>
      </c>
    </row>
    <row r="26126" spans="15:15" x14ac:dyDescent="0.25">
      <c r="O26126" s="20" t="str">
        <f>IF(N26126="","",COUNTIFS(RawData[[Date ]],N26126,RawData[Month List],$Q$6,RawData[Tour/Site],$Q$2,RawData[[Picker ID ]],$Q$3,RawData[Checker ID],$Q$4,RawData[[Error Type ]],$Q$5))</f>
        <v/>
      </c>
    </row>
    <row r="26127" spans="15:15" x14ac:dyDescent="0.25">
      <c r="O26127" s="20" t="str">
        <f>IF(N26127="","",COUNTIFS(RawData[[Date ]],N26127,RawData[Month List],$Q$6,RawData[Tour/Site],$Q$2,RawData[[Picker ID ]],$Q$3,RawData[Checker ID],$Q$4,RawData[[Error Type ]],$Q$5))</f>
        <v/>
      </c>
    </row>
    <row r="26128" spans="15:15" x14ac:dyDescent="0.25">
      <c r="O26128" s="20" t="str">
        <f>IF(N26128="","",COUNTIFS(RawData[[Date ]],N26128,RawData[Month List],$Q$6,RawData[Tour/Site],$Q$2,RawData[[Picker ID ]],$Q$3,RawData[Checker ID],$Q$4,RawData[[Error Type ]],$Q$5))</f>
        <v/>
      </c>
    </row>
    <row r="26129" spans="15:15" x14ac:dyDescent="0.25">
      <c r="O26129" s="20" t="str">
        <f>IF(N26129="","",COUNTIFS(RawData[[Date ]],N26129,RawData[Month List],$Q$6,RawData[Tour/Site],$Q$2,RawData[[Picker ID ]],$Q$3,RawData[Checker ID],$Q$4,RawData[[Error Type ]],$Q$5))</f>
        <v/>
      </c>
    </row>
    <row r="26130" spans="15:15" x14ac:dyDescent="0.25">
      <c r="O26130" s="20" t="str">
        <f>IF(N26130="","",COUNTIFS(RawData[[Date ]],N26130,RawData[Month List],$Q$6,RawData[Tour/Site],$Q$2,RawData[[Picker ID ]],$Q$3,RawData[Checker ID],$Q$4,RawData[[Error Type ]],$Q$5))</f>
        <v/>
      </c>
    </row>
    <row r="26131" spans="15:15" x14ac:dyDescent="0.25">
      <c r="O26131" s="20" t="str">
        <f>IF(N26131="","",COUNTIFS(RawData[[Date ]],N26131,RawData[Month List],$Q$6,RawData[Tour/Site],$Q$2,RawData[[Picker ID ]],$Q$3,RawData[Checker ID],$Q$4,RawData[[Error Type ]],$Q$5))</f>
        <v/>
      </c>
    </row>
    <row r="26132" spans="15:15" x14ac:dyDescent="0.25">
      <c r="O26132" s="20" t="str">
        <f>IF(N26132="","",COUNTIFS(RawData[[Date ]],N26132,RawData[Month List],$Q$6,RawData[Tour/Site],$Q$2,RawData[[Picker ID ]],$Q$3,RawData[Checker ID],$Q$4,RawData[[Error Type ]],$Q$5))</f>
        <v/>
      </c>
    </row>
    <row r="26133" spans="15:15" x14ac:dyDescent="0.25">
      <c r="O26133" s="20" t="str">
        <f>IF(N26133="","",COUNTIFS(RawData[[Date ]],N26133,RawData[Month List],$Q$6,RawData[Tour/Site],$Q$2,RawData[[Picker ID ]],$Q$3,RawData[Checker ID],$Q$4,RawData[[Error Type ]],$Q$5))</f>
        <v/>
      </c>
    </row>
    <row r="26134" spans="15:15" x14ac:dyDescent="0.25">
      <c r="O26134" s="20" t="str">
        <f>IF(N26134="","",COUNTIFS(RawData[[Date ]],N26134,RawData[Month List],$Q$6,RawData[Tour/Site],$Q$2,RawData[[Picker ID ]],$Q$3,RawData[Checker ID],$Q$4,RawData[[Error Type ]],$Q$5))</f>
        <v/>
      </c>
    </row>
    <row r="26135" spans="15:15" x14ac:dyDescent="0.25">
      <c r="O26135" s="20" t="str">
        <f>IF(N26135="","",COUNTIFS(RawData[[Date ]],N26135,RawData[Month List],$Q$6,RawData[Tour/Site],$Q$2,RawData[[Picker ID ]],$Q$3,RawData[Checker ID],$Q$4,RawData[[Error Type ]],$Q$5))</f>
        <v/>
      </c>
    </row>
    <row r="26136" spans="15:15" x14ac:dyDescent="0.25">
      <c r="O26136" s="20" t="str">
        <f>IF(N26136="","",COUNTIFS(RawData[[Date ]],N26136,RawData[Month List],$Q$6,RawData[Tour/Site],$Q$2,RawData[[Picker ID ]],$Q$3,RawData[Checker ID],$Q$4,RawData[[Error Type ]],$Q$5))</f>
        <v/>
      </c>
    </row>
    <row r="26137" spans="15:15" x14ac:dyDescent="0.25">
      <c r="O26137" s="20" t="str">
        <f>IF(N26137="","",COUNTIFS(RawData[[Date ]],N26137,RawData[Month List],$Q$6,RawData[Tour/Site],$Q$2,RawData[[Picker ID ]],$Q$3,RawData[Checker ID],$Q$4,RawData[[Error Type ]],$Q$5))</f>
        <v/>
      </c>
    </row>
    <row r="26138" spans="15:15" x14ac:dyDescent="0.25">
      <c r="O26138" s="20" t="str">
        <f>IF(N26138="","",COUNTIFS(RawData[[Date ]],N26138,RawData[Month List],$Q$6,RawData[Tour/Site],$Q$2,RawData[[Picker ID ]],$Q$3,RawData[Checker ID],$Q$4,RawData[[Error Type ]],$Q$5))</f>
        <v/>
      </c>
    </row>
    <row r="26139" spans="15:15" x14ac:dyDescent="0.25">
      <c r="O26139" s="20" t="str">
        <f>IF(N26139="","",COUNTIFS(RawData[[Date ]],N26139,RawData[Month List],$Q$6,RawData[Tour/Site],$Q$2,RawData[[Picker ID ]],$Q$3,RawData[Checker ID],$Q$4,RawData[[Error Type ]],$Q$5))</f>
        <v/>
      </c>
    </row>
    <row r="26140" spans="15:15" x14ac:dyDescent="0.25">
      <c r="O26140" s="20" t="str">
        <f>IF(N26140="","",COUNTIFS(RawData[[Date ]],N26140,RawData[Month List],$Q$6,RawData[Tour/Site],$Q$2,RawData[[Picker ID ]],$Q$3,RawData[Checker ID],$Q$4,RawData[[Error Type ]],$Q$5))</f>
        <v/>
      </c>
    </row>
    <row r="26141" spans="15:15" x14ac:dyDescent="0.25">
      <c r="O26141" s="20" t="str">
        <f>IF(N26141="","",COUNTIFS(RawData[[Date ]],N26141,RawData[Month List],$Q$6,RawData[Tour/Site],$Q$2,RawData[[Picker ID ]],$Q$3,RawData[Checker ID],$Q$4,RawData[[Error Type ]],$Q$5))</f>
        <v/>
      </c>
    </row>
    <row r="26142" spans="15:15" x14ac:dyDescent="0.25">
      <c r="O26142" s="20" t="str">
        <f>IF(N26142="","",COUNTIFS(RawData[[Date ]],N26142,RawData[Month List],$Q$6,RawData[Tour/Site],$Q$2,RawData[[Picker ID ]],$Q$3,RawData[Checker ID],$Q$4,RawData[[Error Type ]],$Q$5))</f>
        <v/>
      </c>
    </row>
    <row r="26143" spans="15:15" x14ac:dyDescent="0.25">
      <c r="O26143" s="20" t="str">
        <f>IF(N26143="","",COUNTIFS(RawData[[Date ]],N26143,RawData[Month List],$Q$6,RawData[Tour/Site],$Q$2,RawData[[Picker ID ]],$Q$3,RawData[Checker ID],$Q$4,RawData[[Error Type ]],$Q$5))</f>
        <v/>
      </c>
    </row>
    <row r="26144" spans="15:15" x14ac:dyDescent="0.25">
      <c r="O26144" s="20" t="str">
        <f>IF(N26144="","",COUNTIFS(RawData[[Date ]],N26144,RawData[Month List],$Q$6,RawData[Tour/Site],$Q$2,RawData[[Picker ID ]],$Q$3,RawData[Checker ID],$Q$4,RawData[[Error Type ]],$Q$5))</f>
        <v/>
      </c>
    </row>
    <row r="26145" spans="15:15" x14ac:dyDescent="0.25">
      <c r="O26145" s="20" t="str">
        <f>IF(N26145="","",COUNTIFS(RawData[[Date ]],N26145,RawData[Month List],$Q$6,RawData[Tour/Site],$Q$2,RawData[[Picker ID ]],$Q$3,RawData[Checker ID],$Q$4,RawData[[Error Type ]],$Q$5))</f>
        <v/>
      </c>
    </row>
    <row r="26146" spans="15:15" x14ac:dyDescent="0.25">
      <c r="O26146" s="20" t="str">
        <f>IF(N26146="","",COUNTIFS(RawData[[Date ]],N26146,RawData[Month List],$Q$6,RawData[Tour/Site],$Q$2,RawData[[Picker ID ]],$Q$3,RawData[Checker ID],$Q$4,RawData[[Error Type ]],$Q$5))</f>
        <v/>
      </c>
    </row>
    <row r="26147" spans="15:15" x14ac:dyDescent="0.25">
      <c r="O26147" s="20" t="str">
        <f>IF(N26147="","",COUNTIFS(RawData[[Date ]],N26147,RawData[Month List],$Q$6,RawData[Tour/Site],$Q$2,RawData[[Picker ID ]],$Q$3,RawData[Checker ID],$Q$4,RawData[[Error Type ]],$Q$5))</f>
        <v/>
      </c>
    </row>
    <row r="26148" spans="15:15" x14ac:dyDescent="0.25">
      <c r="O26148" s="20" t="str">
        <f>IF(N26148="","",COUNTIFS(RawData[[Date ]],N26148,RawData[Month List],$Q$6,RawData[Tour/Site],$Q$2,RawData[[Picker ID ]],$Q$3,RawData[Checker ID],$Q$4,RawData[[Error Type ]],$Q$5))</f>
        <v/>
      </c>
    </row>
    <row r="26149" spans="15:15" x14ac:dyDescent="0.25">
      <c r="O26149" s="20" t="str">
        <f>IF(N26149="","",COUNTIFS(RawData[[Date ]],N26149,RawData[Month List],$Q$6,RawData[Tour/Site],$Q$2,RawData[[Picker ID ]],$Q$3,RawData[Checker ID],$Q$4,RawData[[Error Type ]],$Q$5))</f>
        <v/>
      </c>
    </row>
    <row r="26150" spans="15:15" x14ac:dyDescent="0.25">
      <c r="O26150" s="20" t="str">
        <f>IF(N26150="","",COUNTIFS(RawData[[Date ]],N26150,RawData[Month List],$Q$6,RawData[Tour/Site],$Q$2,RawData[[Picker ID ]],$Q$3,RawData[Checker ID],$Q$4,RawData[[Error Type ]],$Q$5))</f>
        <v/>
      </c>
    </row>
    <row r="26151" spans="15:15" x14ac:dyDescent="0.25">
      <c r="O26151" s="20" t="str">
        <f>IF(N26151="","",COUNTIFS(RawData[[Date ]],N26151,RawData[Month List],$Q$6,RawData[Tour/Site],$Q$2,RawData[[Picker ID ]],$Q$3,RawData[Checker ID],$Q$4,RawData[[Error Type ]],$Q$5))</f>
        <v/>
      </c>
    </row>
    <row r="26152" spans="15:15" x14ac:dyDescent="0.25">
      <c r="O26152" s="20" t="str">
        <f>IF(N26152="","",COUNTIFS(RawData[[Date ]],N26152,RawData[Month List],$Q$6,RawData[Tour/Site],$Q$2,RawData[[Picker ID ]],$Q$3,RawData[Checker ID],$Q$4,RawData[[Error Type ]],$Q$5))</f>
        <v/>
      </c>
    </row>
    <row r="26153" spans="15:15" x14ac:dyDescent="0.25">
      <c r="O26153" s="20" t="str">
        <f>IF(N26153="","",COUNTIFS(RawData[[Date ]],N26153,RawData[Month List],$Q$6,RawData[Tour/Site],$Q$2,RawData[[Picker ID ]],$Q$3,RawData[Checker ID],$Q$4,RawData[[Error Type ]],$Q$5))</f>
        <v/>
      </c>
    </row>
    <row r="26154" spans="15:15" x14ac:dyDescent="0.25">
      <c r="O26154" s="20" t="str">
        <f>IF(N26154="","",COUNTIFS(RawData[[Date ]],N26154,RawData[Month List],$Q$6,RawData[Tour/Site],$Q$2,RawData[[Picker ID ]],$Q$3,RawData[Checker ID],$Q$4,RawData[[Error Type ]],$Q$5))</f>
        <v/>
      </c>
    </row>
    <row r="26155" spans="15:15" x14ac:dyDescent="0.25">
      <c r="O26155" s="20" t="str">
        <f>IF(N26155="","",COUNTIFS(RawData[[Date ]],N26155,RawData[Month List],$Q$6,RawData[Tour/Site],$Q$2,RawData[[Picker ID ]],$Q$3,RawData[Checker ID],$Q$4,RawData[[Error Type ]],$Q$5))</f>
        <v/>
      </c>
    </row>
    <row r="26156" spans="15:15" x14ac:dyDescent="0.25">
      <c r="O26156" s="20" t="str">
        <f>IF(N26156="","",COUNTIFS(RawData[[Date ]],N26156,RawData[Month List],$Q$6,RawData[Tour/Site],$Q$2,RawData[[Picker ID ]],$Q$3,RawData[Checker ID],$Q$4,RawData[[Error Type ]],$Q$5))</f>
        <v/>
      </c>
    </row>
    <row r="26157" spans="15:15" x14ac:dyDescent="0.25">
      <c r="O26157" s="20" t="str">
        <f>IF(N26157="","",COUNTIFS(RawData[[Date ]],N26157,RawData[Month List],$Q$6,RawData[Tour/Site],$Q$2,RawData[[Picker ID ]],$Q$3,RawData[Checker ID],$Q$4,RawData[[Error Type ]],$Q$5))</f>
        <v/>
      </c>
    </row>
    <row r="26158" spans="15:15" x14ac:dyDescent="0.25">
      <c r="O26158" s="20" t="str">
        <f>IF(N26158="","",COUNTIFS(RawData[[Date ]],N26158,RawData[Month List],$Q$6,RawData[Tour/Site],$Q$2,RawData[[Picker ID ]],$Q$3,RawData[Checker ID],$Q$4,RawData[[Error Type ]],$Q$5))</f>
        <v/>
      </c>
    </row>
    <row r="26159" spans="15:15" x14ac:dyDescent="0.25">
      <c r="O26159" s="20" t="str">
        <f>IF(N26159="","",COUNTIFS(RawData[[Date ]],N26159,RawData[Month List],$Q$6,RawData[Tour/Site],$Q$2,RawData[[Picker ID ]],$Q$3,RawData[Checker ID],$Q$4,RawData[[Error Type ]],$Q$5))</f>
        <v/>
      </c>
    </row>
    <row r="26160" spans="15:15" x14ac:dyDescent="0.25">
      <c r="O26160" s="20" t="str">
        <f>IF(N26160="","",COUNTIFS(RawData[[Date ]],N26160,RawData[Month List],$Q$6,RawData[Tour/Site],$Q$2,RawData[[Picker ID ]],$Q$3,RawData[Checker ID],$Q$4,RawData[[Error Type ]],$Q$5))</f>
        <v/>
      </c>
    </row>
    <row r="26161" spans="15:15" x14ac:dyDescent="0.25">
      <c r="O26161" s="20" t="str">
        <f>IF(N26161="","",COUNTIFS(RawData[[Date ]],N26161,RawData[Month List],$Q$6,RawData[Tour/Site],$Q$2,RawData[[Picker ID ]],$Q$3,RawData[Checker ID],$Q$4,RawData[[Error Type ]],$Q$5))</f>
        <v/>
      </c>
    </row>
    <row r="26162" spans="15:15" x14ac:dyDescent="0.25">
      <c r="O26162" s="20" t="str">
        <f>IF(N26162="","",COUNTIFS(RawData[[Date ]],N26162,RawData[Month List],$Q$6,RawData[Tour/Site],$Q$2,RawData[[Picker ID ]],$Q$3,RawData[Checker ID],$Q$4,RawData[[Error Type ]],$Q$5))</f>
        <v/>
      </c>
    </row>
    <row r="26163" spans="15:15" x14ac:dyDescent="0.25">
      <c r="O26163" s="20" t="str">
        <f>IF(N26163="","",COUNTIFS(RawData[[Date ]],N26163,RawData[Month List],$Q$6,RawData[Tour/Site],$Q$2,RawData[[Picker ID ]],$Q$3,RawData[Checker ID],$Q$4,RawData[[Error Type ]],$Q$5))</f>
        <v/>
      </c>
    </row>
    <row r="26164" spans="15:15" x14ac:dyDescent="0.25">
      <c r="O26164" s="20" t="str">
        <f>IF(N26164="","",COUNTIFS(RawData[[Date ]],N26164,RawData[Month List],$Q$6,RawData[Tour/Site],$Q$2,RawData[[Picker ID ]],$Q$3,RawData[Checker ID],$Q$4,RawData[[Error Type ]],$Q$5))</f>
        <v/>
      </c>
    </row>
    <row r="26165" spans="15:15" x14ac:dyDescent="0.25">
      <c r="O26165" s="20" t="str">
        <f>IF(N26165="","",COUNTIFS(RawData[[Date ]],N26165,RawData[Month List],$Q$6,RawData[Tour/Site],$Q$2,RawData[[Picker ID ]],$Q$3,RawData[Checker ID],$Q$4,RawData[[Error Type ]],$Q$5))</f>
        <v/>
      </c>
    </row>
    <row r="26166" spans="15:15" x14ac:dyDescent="0.25">
      <c r="O26166" s="20" t="str">
        <f>IF(N26166="","",COUNTIFS(RawData[[Date ]],N26166,RawData[Month List],$Q$6,RawData[Tour/Site],$Q$2,RawData[[Picker ID ]],$Q$3,RawData[Checker ID],$Q$4,RawData[[Error Type ]],$Q$5))</f>
        <v/>
      </c>
    </row>
    <row r="26167" spans="15:15" x14ac:dyDescent="0.25">
      <c r="O26167" s="20" t="str">
        <f>IF(N26167="","",COUNTIFS(RawData[[Date ]],N26167,RawData[Month List],$Q$6,RawData[Tour/Site],$Q$2,RawData[[Picker ID ]],$Q$3,RawData[Checker ID],$Q$4,RawData[[Error Type ]],$Q$5))</f>
        <v/>
      </c>
    </row>
    <row r="26168" spans="15:15" x14ac:dyDescent="0.25">
      <c r="O26168" s="20" t="str">
        <f>IF(N26168="","",COUNTIFS(RawData[[Date ]],N26168,RawData[Month List],$Q$6,RawData[Tour/Site],$Q$2,RawData[[Picker ID ]],$Q$3,RawData[Checker ID],$Q$4,RawData[[Error Type ]],$Q$5))</f>
        <v/>
      </c>
    </row>
    <row r="26169" spans="15:15" x14ac:dyDescent="0.25">
      <c r="O26169" s="20" t="str">
        <f>IF(N26169="","",COUNTIFS(RawData[[Date ]],N26169,RawData[Month List],$Q$6,RawData[Tour/Site],$Q$2,RawData[[Picker ID ]],$Q$3,RawData[Checker ID],$Q$4,RawData[[Error Type ]],$Q$5))</f>
        <v/>
      </c>
    </row>
    <row r="26170" spans="15:15" x14ac:dyDescent="0.25">
      <c r="O26170" s="20" t="str">
        <f>IF(N26170="","",COUNTIFS(RawData[[Date ]],N26170,RawData[Month List],$Q$6,RawData[Tour/Site],$Q$2,RawData[[Picker ID ]],$Q$3,RawData[Checker ID],$Q$4,RawData[[Error Type ]],$Q$5))</f>
        <v/>
      </c>
    </row>
    <row r="26171" spans="15:15" x14ac:dyDescent="0.25">
      <c r="O26171" s="20" t="str">
        <f>IF(N26171="","",COUNTIFS(RawData[[Date ]],N26171,RawData[Month List],$Q$6,RawData[Tour/Site],$Q$2,RawData[[Picker ID ]],$Q$3,RawData[Checker ID],$Q$4,RawData[[Error Type ]],$Q$5))</f>
        <v/>
      </c>
    </row>
    <row r="26172" spans="15:15" x14ac:dyDescent="0.25">
      <c r="O26172" s="20" t="str">
        <f>IF(N26172="","",COUNTIFS(RawData[[Date ]],N26172,RawData[Month List],$Q$6,RawData[Tour/Site],$Q$2,RawData[[Picker ID ]],$Q$3,RawData[Checker ID],$Q$4,RawData[[Error Type ]],$Q$5))</f>
        <v/>
      </c>
    </row>
    <row r="26173" spans="15:15" x14ac:dyDescent="0.25">
      <c r="O26173" s="20" t="str">
        <f>IF(N26173="","",COUNTIFS(RawData[[Date ]],N26173,RawData[Month List],$Q$6,RawData[Tour/Site],$Q$2,RawData[[Picker ID ]],$Q$3,RawData[Checker ID],$Q$4,RawData[[Error Type ]],$Q$5))</f>
        <v/>
      </c>
    </row>
    <row r="26174" spans="15:15" x14ac:dyDescent="0.25">
      <c r="O26174" s="20" t="str">
        <f>IF(N26174="","",COUNTIFS(RawData[[Date ]],N26174,RawData[Month List],$Q$6,RawData[Tour/Site],$Q$2,RawData[[Picker ID ]],$Q$3,RawData[Checker ID],$Q$4,RawData[[Error Type ]],$Q$5))</f>
        <v/>
      </c>
    </row>
    <row r="26175" spans="15:15" x14ac:dyDescent="0.25">
      <c r="O26175" s="20" t="str">
        <f>IF(N26175="","",COUNTIFS(RawData[[Date ]],N26175,RawData[Month List],$Q$6,RawData[Tour/Site],$Q$2,RawData[[Picker ID ]],$Q$3,RawData[Checker ID],$Q$4,RawData[[Error Type ]],$Q$5))</f>
        <v/>
      </c>
    </row>
    <row r="26176" spans="15:15" x14ac:dyDescent="0.25">
      <c r="O26176" s="20" t="str">
        <f>IF(N26176="","",COUNTIFS(RawData[[Date ]],N26176,RawData[Month List],$Q$6,RawData[Tour/Site],$Q$2,RawData[[Picker ID ]],$Q$3,RawData[Checker ID],$Q$4,RawData[[Error Type ]],$Q$5))</f>
        <v/>
      </c>
    </row>
    <row r="26177" spans="15:15" x14ac:dyDescent="0.25">
      <c r="O26177" s="20" t="str">
        <f>IF(N26177="","",COUNTIFS(RawData[[Date ]],N26177,RawData[Month List],$Q$6,RawData[Tour/Site],$Q$2,RawData[[Picker ID ]],$Q$3,RawData[Checker ID],$Q$4,RawData[[Error Type ]],$Q$5))</f>
        <v/>
      </c>
    </row>
    <row r="26178" spans="15:15" x14ac:dyDescent="0.25">
      <c r="O26178" s="20" t="str">
        <f>IF(N26178="","",COUNTIFS(RawData[[Date ]],N26178,RawData[Month List],$Q$6,RawData[Tour/Site],$Q$2,RawData[[Picker ID ]],$Q$3,RawData[Checker ID],$Q$4,RawData[[Error Type ]],$Q$5))</f>
        <v/>
      </c>
    </row>
    <row r="26179" spans="15:15" x14ac:dyDescent="0.25">
      <c r="O26179" s="20" t="str">
        <f>IF(N26179="","",COUNTIFS(RawData[[Date ]],N26179,RawData[Month List],$Q$6,RawData[Tour/Site],$Q$2,RawData[[Picker ID ]],$Q$3,RawData[Checker ID],$Q$4,RawData[[Error Type ]],$Q$5))</f>
        <v/>
      </c>
    </row>
    <row r="26180" spans="15:15" x14ac:dyDescent="0.25">
      <c r="O26180" s="20" t="str">
        <f>IF(N26180="","",COUNTIFS(RawData[[Date ]],N26180,RawData[Month List],$Q$6,RawData[Tour/Site],$Q$2,RawData[[Picker ID ]],$Q$3,RawData[Checker ID],$Q$4,RawData[[Error Type ]],$Q$5))</f>
        <v/>
      </c>
    </row>
    <row r="26181" spans="15:15" x14ac:dyDescent="0.25">
      <c r="O26181" s="20" t="str">
        <f>IF(N26181="","",COUNTIFS(RawData[[Date ]],N26181,RawData[Month List],$Q$6,RawData[Tour/Site],$Q$2,RawData[[Picker ID ]],$Q$3,RawData[Checker ID],$Q$4,RawData[[Error Type ]],$Q$5))</f>
        <v/>
      </c>
    </row>
    <row r="26182" spans="15:15" x14ac:dyDescent="0.25">
      <c r="O26182" s="20" t="str">
        <f>IF(N26182="","",COUNTIFS(RawData[[Date ]],N26182,RawData[Month List],$Q$6,RawData[Tour/Site],$Q$2,RawData[[Picker ID ]],$Q$3,RawData[Checker ID],$Q$4,RawData[[Error Type ]],$Q$5))</f>
        <v/>
      </c>
    </row>
    <row r="26183" spans="15:15" x14ac:dyDescent="0.25">
      <c r="O26183" s="20" t="str">
        <f>IF(N26183="","",COUNTIFS(RawData[[Date ]],N26183,RawData[Month List],$Q$6,RawData[Tour/Site],$Q$2,RawData[[Picker ID ]],$Q$3,RawData[Checker ID],$Q$4,RawData[[Error Type ]],$Q$5))</f>
        <v/>
      </c>
    </row>
    <row r="26184" spans="15:15" x14ac:dyDescent="0.25">
      <c r="O26184" s="20" t="str">
        <f>IF(N26184="","",COUNTIFS(RawData[[Date ]],N26184,RawData[Month List],$Q$6,RawData[Tour/Site],$Q$2,RawData[[Picker ID ]],$Q$3,RawData[Checker ID],$Q$4,RawData[[Error Type ]],$Q$5))</f>
        <v/>
      </c>
    </row>
    <row r="26185" spans="15:15" x14ac:dyDescent="0.25">
      <c r="O26185" s="20" t="str">
        <f>IF(N26185="","",COUNTIFS(RawData[[Date ]],N26185,RawData[Month List],$Q$6,RawData[Tour/Site],$Q$2,RawData[[Picker ID ]],$Q$3,RawData[Checker ID],$Q$4,RawData[[Error Type ]],$Q$5))</f>
        <v/>
      </c>
    </row>
    <row r="26186" spans="15:15" x14ac:dyDescent="0.25">
      <c r="O26186" s="20" t="str">
        <f>IF(N26186="","",COUNTIFS(RawData[[Date ]],N26186,RawData[Month List],$Q$6,RawData[Tour/Site],$Q$2,RawData[[Picker ID ]],$Q$3,RawData[Checker ID],$Q$4,RawData[[Error Type ]],$Q$5))</f>
        <v/>
      </c>
    </row>
    <row r="26187" spans="15:15" x14ac:dyDescent="0.25">
      <c r="O26187" s="20" t="str">
        <f>IF(N26187="","",COUNTIFS(RawData[[Date ]],N26187,RawData[Month List],$Q$6,RawData[Tour/Site],$Q$2,RawData[[Picker ID ]],$Q$3,RawData[Checker ID],$Q$4,RawData[[Error Type ]],$Q$5))</f>
        <v/>
      </c>
    </row>
    <row r="26188" spans="15:15" x14ac:dyDescent="0.25">
      <c r="O26188" s="20" t="str">
        <f>IF(N26188="","",COUNTIFS(RawData[[Date ]],N26188,RawData[Month List],$Q$6,RawData[Tour/Site],$Q$2,RawData[[Picker ID ]],$Q$3,RawData[Checker ID],$Q$4,RawData[[Error Type ]],$Q$5))</f>
        <v/>
      </c>
    </row>
    <row r="26189" spans="15:15" x14ac:dyDescent="0.25">
      <c r="O26189" s="20" t="str">
        <f>IF(N26189="","",COUNTIFS(RawData[[Date ]],N26189,RawData[Month List],$Q$6,RawData[Tour/Site],$Q$2,RawData[[Picker ID ]],$Q$3,RawData[Checker ID],$Q$4,RawData[[Error Type ]],$Q$5))</f>
        <v/>
      </c>
    </row>
    <row r="26190" spans="15:15" x14ac:dyDescent="0.25">
      <c r="O26190" s="20" t="str">
        <f>IF(N26190="","",COUNTIFS(RawData[[Date ]],N26190,RawData[Month List],$Q$6,RawData[Tour/Site],$Q$2,RawData[[Picker ID ]],$Q$3,RawData[Checker ID],$Q$4,RawData[[Error Type ]],$Q$5))</f>
        <v/>
      </c>
    </row>
    <row r="26191" spans="15:15" x14ac:dyDescent="0.25">
      <c r="O26191" s="20" t="str">
        <f>IF(N26191="","",COUNTIFS(RawData[[Date ]],N26191,RawData[Month List],$Q$6,RawData[Tour/Site],$Q$2,RawData[[Picker ID ]],$Q$3,RawData[Checker ID],$Q$4,RawData[[Error Type ]],$Q$5))</f>
        <v/>
      </c>
    </row>
    <row r="26192" spans="15:15" x14ac:dyDescent="0.25">
      <c r="O26192" s="20" t="str">
        <f>IF(N26192="","",COUNTIFS(RawData[[Date ]],N26192,RawData[Month List],$Q$6,RawData[Tour/Site],$Q$2,RawData[[Picker ID ]],$Q$3,RawData[Checker ID],$Q$4,RawData[[Error Type ]],$Q$5))</f>
        <v/>
      </c>
    </row>
    <row r="26193" spans="15:15" x14ac:dyDescent="0.25">
      <c r="O26193" s="20" t="str">
        <f>IF(N26193="","",COUNTIFS(RawData[[Date ]],N26193,RawData[Month List],$Q$6,RawData[Tour/Site],$Q$2,RawData[[Picker ID ]],$Q$3,RawData[Checker ID],$Q$4,RawData[[Error Type ]],$Q$5))</f>
        <v/>
      </c>
    </row>
    <row r="26194" spans="15:15" x14ac:dyDescent="0.25">
      <c r="O26194" s="20" t="str">
        <f>IF(N26194="","",COUNTIFS(RawData[[Date ]],N26194,RawData[Month List],$Q$6,RawData[Tour/Site],$Q$2,RawData[[Picker ID ]],$Q$3,RawData[Checker ID],$Q$4,RawData[[Error Type ]],$Q$5))</f>
        <v/>
      </c>
    </row>
    <row r="26195" spans="15:15" x14ac:dyDescent="0.25">
      <c r="O26195" s="20" t="str">
        <f>IF(N26195="","",COUNTIFS(RawData[[Date ]],N26195,RawData[Month List],$Q$6,RawData[Tour/Site],$Q$2,RawData[[Picker ID ]],$Q$3,RawData[Checker ID],$Q$4,RawData[[Error Type ]],$Q$5))</f>
        <v/>
      </c>
    </row>
    <row r="26196" spans="15:15" x14ac:dyDescent="0.25">
      <c r="O26196" s="20" t="str">
        <f>IF(N26196="","",COUNTIFS(RawData[[Date ]],N26196,RawData[Month List],$Q$6,RawData[Tour/Site],$Q$2,RawData[[Picker ID ]],$Q$3,RawData[Checker ID],$Q$4,RawData[[Error Type ]],$Q$5))</f>
        <v/>
      </c>
    </row>
    <row r="26197" spans="15:15" x14ac:dyDescent="0.25">
      <c r="O26197" s="20" t="str">
        <f>IF(N26197="","",COUNTIFS(RawData[[Date ]],N26197,RawData[Month List],$Q$6,RawData[Tour/Site],$Q$2,RawData[[Picker ID ]],$Q$3,RawData[Checker ID],$Q$4,RawData[[Error Type ]],$Q$5))</f>
        <v/>
      </c>
    </row>
    <row r="26198" spans="15:15" x14ac:dyDescent="0.25">
      <c r="O26198" s="20" t="str">
        <f>IF(N26198="","",COUNTIFS(RawData[[Date ]],N26198,RawData[Month List],$Q$6,RawData[Tour/Site],$Q$2,RawData[[Picker ID ]],$Q$3,RawData[Checker ID],$Q$4,RawData[[Error Type ]],$Q$5))</f>
        <v/>
      </c>
    </row>
    <row r="26199" spans="15:15" x14ac:dyDescent="0.25">
      <c r="O26199" s="20" t="str">
        <f>IF(N26199="","",COUNTIFS(RawData[[Date ]],N26199,RawData[Month List],$Q$6,RawData[Tour/Site],$Q$2,RawData[[Picker ID ]],$Q$3,RawData[Checker ID],$Q$4,RawData[[Error Type ]],$Q$5))</f>
        <v/>
      </c>
    </row>
    <row r="26200" spans="15:15" x14ac:dyDescent="0.25">
      <c r="O26200" s="20" t="str">
        <f>IF(N26200="","",COUNTIFS(RawData[[Date ]],N26200,RawData[Month List],$Q$6,RawData[Tour/Site],$Q$2,RawData[[Picker ID ]],$Q$3,RawData[Checker ID],$Q$4,RawData[[Error Type ]],$Q$5))</f>
        <v/>
      </c>
    </row>
    <row r="26201" spans="15:15" x14ac:dyDescent="0.25">
      <c r="O26201" s="20" t="str">
        <f>IF(N26201="","",COUNTIFS(RawData[[Date ]],N26201,RawData[Month List],$Q$6,RawData[Tour/Site],$Q$2,RawData[[Picker ID ]],$Q$3,RawData[Checker ID],$Q$4,RawData[[Error Type ]],$Q$5))</f>
        <v/>
      </c>
    </row>
    <row r="26202" spans="15:15" x14ac:dyDescent="0.25">
      <c r="O26202" s="20" t="str">
        <f>IF(N26202="","",COUNTIFS(RawData[[Date ]],N26202,RawData[Month List],$Q$6,RawData[Tour/Site],$Q$2,RawData[[Picker ID ]],$Q$3,RawData[Checker ID],$Q$4,RawData[[Error Type ]],$Q$5))</f>
        <v/>
      </c>
    </row>
    <row r="26203" spans="15:15" x14ac:dyDescent="0.25">
      <c r="O26203" s="20" t="str">
        <f>IF(N26203="","",COUNTIFS(RawData[[Date ]],N26203,RawData[Month List],$Q$6,RawData[Tour/Site],$Q$2,RawData[[Picker ID ]],$Q$3,RawData[Checker ID],$Q$4,RawData[[Error Type ]],$Q$5))</f>
        <v/>
      </c>
    </row>
    <row r="26204" spans="15:15" x14ac:dyDescent="0.25">
      <c r="O26204" s="20" t="str">
        <f>IF(N26204="","",COUNTIFS(RawData[[Date ]],N26204,RawData[Month List],$Q$6,RawData[Tour/Site],$Q$2,RawData[[Picker ID ]],$Q$3,RawData[Checker ID],$Q$4,RawData[[Error Type ]],$Q$5))</f>
        <v/>
      </c>
    </row>
    <row r="26205" spans="15:15" x14ac:dyDescent="0.25">
      <c r="O26205" s="20" t="str">
        <f>IF(N26205="","",COUNTIFS(RawData[[Date ]],N26205,RawData[Month List],$Q$6,RawData[Tour/Site],$Q$2,RawData[[Picker ID ]],$Q$3,RawData[Checker ID],$Q$4,RawData[[Error Type ]],$Q$5))</f>
        <v/>
      </c>
    </row>
    <row r="26206" spans="15:15" x14ac:dyDescent="0.25">
      <c r="O26206" s="20" t="str">
        <f>IF(N26206="","",COUNTIFS(RawData[[Date ]],N26206,RawData[Month List],$Q$6,RawData[Tour/Site],$Q$2,RawData[[Picker ID ]],$Q$3,RawData[Checker ID],$Q$4,RawData[[Error Type ]],$Q$5))</f>
        <v/>
      </c>
    </row>
    <row r="26207" spans="15:15" x14ac:dyDescent="0.25">
      <c r="O26207" s="20" t="str">
        <f>IF(N26207="","",COUNTIFS(RawData[[Date ]],N26207,RawData[Month List],$Q$6,RawData[Tour/Site],$Q$2,RawData[[Picker ID ]],$Q$3,RawData[Checker ID],$Q$4,RawData[[Error Type ]],$Q$5))</f>
        <v/>
      </c>
    </row>
    <row r="26208" spans="15:15" x14ac:dyDescent="0.25">
      <c r="O26208" s="20" t="str">
        <f>IF(N26208="","",COUNTIFS(RawData[[Date ]],N26208,RawData[Month List],$Q$6,RawData[Tour/Site],$Q$2,RawData[[Picker ID ]],$Q$3,RawData[Checker ID],$Q$4,RawData[[Error Type ]],$Q$5))</f>
        <v/>
      </c>
    </row>
    <row r="26209" spans="15:15" x14ac:dyDescent="0.25">
      <c r="O26209" s="20" t="str">
        <f>IF(N26209="","",COUNTIFS(RawData[[Date ]],N26209,RawData[Month List],$Q$6,RawData[Tour/Site],$Q$2,RawData[[Picker ID ]],$Q$3,RawData[Checker ID],$Q$4,RawData[[Error Type ]],$Q$5))</f>
        <v/>
      </c>
    </row>
    <row r="26210" spans="15:15" x14ac:dyDescent="0.25">
      <c r="O26210" s="20" t="str">
        <f>IF(N26210="","",COUNTIFS(RawData[[Date ]],N26210,RawData[Month List],$Q$6,RawData[Tour/Site],$Q$2,RawData[[Picker ID ]],$Q$3,RawData[Checker ID],$Q$4,RawData[[Error Type ]],$Q$5))</f>
        <v/>
      </c>
    </row>
    <row r="26211" spans="15:15" x14ac:dyDescent="0.25">
      <c r="O26211" s="20" t="str">
        <f>IF(N26211="","",COUNTIFS(RawData[[Date ]],N26211,RawData[Month List],$Q$6,RawData[Tour/Site],$Q$2,RawData[[Picker ID ]],$Q$3,RawData[Checker ID],$Q$4,RawData[[Error Type ]],$Q$5))</f>
        <v/>
      </c>
    </row>
    <row r="26212" spans="15:15" x14ac:dyDescent="0.25">
      <c r="O26212" s="20" t="str">
        <f>IF(N26212="","",COUNTIFS(RawData[[Date ]],N26212,RawData[Month List],$Q$6,RawData[Tour/Site],$Q$2,RawData[[Picker ID ]],$Q$3,RawData[Checker ID],$Q$4,RawData[[Error Type ]],$Q$5))</f>
        <v/>
      </c>
    </row>
    <row r="26213" spans="15:15" x14ac:dyDescent="0.25">
      <c r="O26213" s="20" t="str">
        <f>IF(N26213="","",COUNTIFS(RawData[[Date ]],N26213,RawData[Month List],$Q$6,RawData[Tour/Site],$Q$2,RawData[[Picker ID ]],$Q$3,RawData[Checker ID],$Q$4,RawData[[Error Type ]],$Q$5))</f>
        <v/>
      </c>
    </row>
    <row r="26214" spans="15:15" x14ac:dyDescent="0.25">
      <c r="O26214" s="20" t="str">
        <f>IF(N26214="","",COUNTIFS(RawData[[Date ]],N26214,RawData[Month List],$Q$6,RawData[Tour/Site],$Q$2,RawData[[Picker ID ]],$Q$3,RawData[Checker ID],$Q$4,RawData[[Error Type ]],$Q$5))</f>
        <v/>
      </c>
    </row>
    <row r="26215" spans="15:15" x14ac:dyDescent="0.25">
      <c r="O26215" s="20" t="str">
        <f>IF(N26215="","",COUNTIFS(RawData[[Date ]],N26215,RawData[Month List],$Q$6,RawData[Tour/Site],$Q$2,RawData[[Picker ID ]],$Q$3,RawData[Checker ID],$Q$4,RawData[[Error Type ]],$Q$5))</f>
        <v/>
      </c>
    </row>
    <row r="26216" spans="15:15" x14ac:dyDescent="0.25">
      <c r="O26216" s="20" t="str">
        <f>IF(N26216="","",COUNTIFS(RawData[[Date ]],N26216,RawData[Month List],$Q$6,RawData[Tour/Site],$Q$2,RawData[[Picker ID ]],$Q$3,RawData[Checker ID],$Q$4,RawData[[Error Type ]],$Q$5))</f>
        <v/>
      </c>
    </row>
    <row r="26217" spans="15:15" x14ac:dyDescent="0.25">
      <c r="O26217" s="20" t="str">
        <f>IF(N26217="","",COUNTIFS(RawData[[Date ]],N26217,RawData[Month List],$Q$6,RawData[Tour/Site],$Q$2,RawData[[Picker ID ]],$Q$3,RawData[Checker ID],$Q$4,RawData[[Error Type ]],$Q$5))</f>
        <v/>
      </c>
    </row>
    <row r="26218" spans="15:15" x14ac:dyDescent="0.25">
      <c r="O26218" s="20" t="str">
        <f>IF(N26218="","",COUNTIFS(RawData[[Date ]],N26218,RawData[Month List],$Q$6,RawData[Tour/Site],$Q$2,RawData[[Picker ID ]],$Q$3,RawData[Checker ID],$Q$4,RawData[[Error Type ]],$Q$5))</f>
        <v/>
      </c>
    </row>
    <row r="26219" spans="15:15" x14ac:dyDescent="0.25">
      <c r="O26219" s="20" t="str">
        <f>IF(N26219="","",COUNTIFS(RawData[[Date ]],N26219,RawData[Month List],$Q$6,RawData[Tour/Site],$Q$2,RawData[[Picker ID ]],$Q$3,RawData[Checker ID],$Q$4,RawData[[Error Type ]],$Q$5))</f>
        <v/>
      </c>
    </row>
    <row r="26220" spans="15:15" x14ac:dyDescent="0.25">
      <c r="O26220" s="20" t="str">
        <f>IF(N26220="","",COUNTIFS(RawData[[Date ]],N26220,RawData[Month List],$Q$6,RawData[Tour/Site],$Q$2,RawData[[Picker ID ]],$Q$3,RawData[Checker ID],$Q$4,RawData[[Error Type ]],$Q$5))</f>
        <v/>
      </c>
    </row>
    <row r="26221" spans="15:15" x14ac:dyDescent="0.25">
      <c r="O26221" s="20" t="str">
        <f>IF(N26221="","",COUNTIFS(RawData[[Date ]],N26221,RawData[Month List],$Q$6,RawData[Tour/Site],$Q$2,RawData[[Picker ID ]],$Q$3,RawData[Checker ID],$Q$4,RawData[[Error Type ]],$Q$5))</f>
        <v/>
      </c>
    </row>
    <row r="26222" spans="15:15" x14ac:dyDescent="0.25">
      <c r="O26222" s="20" t="str">
        <f>IF(N26222="","",COUNTIFS(RawData[[Date ]],N26222,RawData[Month List],$Q$6,RawData[Tour/Site],$Q$2,RawData[[Picker ID ]],$Q$3,RawData[Checker ID],$Q$4,RawData[[Error Type ]],$Q$5))</f>
        <v/>
      </c>
    </row>
    <row r="26223" spans="15:15" x14ac:dyDescent="0.25">
      <c r="O26223" s="20" t="str">
        <f>IF(N26223="","",COUNTIFS(RawData[[Date ]],N26223,RawData[Month List],$Q$6,RawData[Tour/Site],$Q$2,RawData[[Picker ID ]],$Q$3,RawData[Checker ID],$Q$4,RawData[[Error Type ]],$Q$5))</f>
        <v/>
      </c>
    </row>
    <row r="26224" spans="15:15" x14ac:dyDescent="0.25">
      <c r="O26224" s="20" t="str">
        <f>IF(N26224="","",COUNTIFS(RawData[[Date ]],N26224,RawData[Month List],$Q$6,RawData[Tour/Site],$Q$2,RawData[[Picker ID ]],$Q$3,RawData[Checker ID],$Q$4,RawData[[Error Type ]],$Q$5))</f>
        <v/>
      </c>
    </row>
    <row r="26225" spans="15:15" x14ac:dyDescent="0.25">
      <c r="O26225" s="20" t="str">
        <f>IF(N26225="","",COUNTIFS(RawData[[Date ]],N26225,RawData[Month List],$Q$6,RawData[Tour/Site],$Q$2,RawData[[Picker ID ]],$Q$3,RawData[Checker ID],$Q$4,RawData[[Error Type ]],$Q$5))</f>
        <v/>
      </c>
    </row>
    <row r="26226" spans="15:15" x14ac:dyDescent="0.25">
      <c r="O26226" s="20" t="str">
        <f>IF(N26226="","",COUNTIFS(RawData[[Date ]],N26226,RawData[Month List],$Q$6,RawData[Tour/Site],$Q$2,RawData[[Picker ID ]],$Q$3,RawData[Checker ID],$Q$4,RawData[[Error Type ]],$Q$5))</f>
        <v/>
      </c>
    </row>
    <row r="26227" spans="15:15" x14ac:dyDescent="0.25">
      <c r="O26227" s="20" t="str">
        <f>IF(N26227="","",COUNTIFS(RawData[[Date ]],N26227,RawData[Month List],$Q$6,RawData[Tour/Site],$Q$2,RawData[[Picker ID ]],$Q$3,RawData[Checker ID],$Q$4,RawData[[Error Type ]],$Q$5))</f>
        <v/>
      </c>
    </row>
    <row r="26228" spans="15:15" x14ac:dyDescent="0.25">
      <c r="O26228" s="20" t="str">
        <f>IF(N26228="","",COUNTIFS(RawData[[Date ]],N26228,RawData[Month List],$Q$6,RawData[Tour/Site],$Q$2,RawData[[Picker ID ]],$Q$3,RawData[Checker ID],$Q$4,RawData[[Error Type ]],$Q$5))</f>
        <v/>
      </c>
    </row>
    <row r="26229" spans="15:15" x14ac:dyDescent="0.25">
      <c r="O26229" s="20" t="str">
        <f>IF(N26229="","",COUNTIFS(RawData[[Date ]],N26229,RawData[Month List],$Q$6,RawData[Tour/Site],$Q$2,RawData[[Picker ID ]],$Q$3,RawData[Checker ID],$Q$4,RawData[[Error Type ]],$Q$5))</f>
        <v/>
      </c>
    </row>
    <row r="26230" spans="15:15" x14ac:dyDescent="0.25">
      <c r="O26230" s="20" t="str">
        <f>IF(N26230="","",COUNTIFS(RawData[[Date ]],N26230,RawData[Month List],$Q$6,RawData[Tour/Site],$Q$2,RawData[[Picker ID ]],$Q$3,RawData[Checker ID],$Q$4,RawData[[Error Type ]],$Q$5))</f>
        <v/>
      </c>
    </row>
    <row r="26231" spans="15:15" x14ac:dyDescent="0.25">
      <c r="O26231" s="20" t="str">
        <f>IF(N26231="","",COUNTIFS(RawData[[Date ]],N26231,RawData[Month List],$Q$6,RawData[Tour/Site],$Q$2,RawData[[Picker ID ]],$Q$3,RawData[Checker ID],$Q$4,RawData[[Error Type ]],$Q$5))</f>
        <v/>
      </c>
    </row>
    <row r="26232" spans="15:15" x14ac:dyDescent="0.25">
      <c r="O26232" s="20" t="str">
        <f>IF(N26232="","",COUNTIFS(RawData[[Date ]],N26232,RawData[Month List],$Q$6,RawData[Tour/Site],$Q$2,RawData[[Picker ID ]],$Q$3,RawData[Checker ID],$Q$4,RawData[[Error Type ]],$Q$5))</f>
        <v/>
      </c>
    </row>
    <row r="26233" spans="15:15" x14ac:dyDescent="0.25">
      <c r="O26233" s="20" t="str">
        <f>IF(N26233="","",COUNTIFS(RawData[[Date ]],N26233,RawData[Month List],$Q$6,RawData[Tour/Site],$Q$2,RawData[[Picker ID ]],$Q$3,RawData[Checker ID],$Q$4,RawData[[Error Type ]],$Q$5))</f>
        <v/>
      </c>
    </row>
    <row r="26234" spans="15:15" x14ac:dyDescent="0.25">
      <c r="O26234" s="20" t="str">
        <f>IF(N26234="","",COUNTIFS(RawData[[Date ]],N26234,RawData[Month List],$Q$6,RawData[Tour/Site],$Q$2,RawData[[Picker ID ]],$Q$3,RawData[Checker ID],$Q$4,RawData[[Error Type ]],$Q$5))</f>
        <v/>
      </c>
    </row>
    <row r="26235" spans="15:15" x14ac:dyDescent="0.25">
      <c r="O26235" s="20" t="str">
        <f>IF(N26235="","",COUNTIFS(RawData[[Date ]],N26235,RawData[Month List],$Q$6,RawData[Tour/Site],$Q$2,RawData[[Picker ID ]],$Q$3,RawData[Checker ID],$Q$4,RawData[[Error Type ]],$Q$5))</f>
        <v/>
      </c>
    </row>
    <row r="26236" spans="15:15" x14ac:dyDescent="0.25">
      <c r="O26236" s="20" t="str">
        <f>IF(N26236="","",COUNTIFS(RawData[[Date ]],N26236,RawData[Month List],$Q$6,RawData[Tour/Site],$Q$2,RawData[[Picker ID ]],$Q$3,RawData[Checker ID],$Q$4,RawData[[Error Type ]],$Q$5))</f>
        <v/>
      </c>
    </row>
    <row r="26237" spans="15:15" x14ac:dyDescent="0.25">
      <c r="O26237" s="20" t="str">
        <f>IF(N26237="","",COUNTIFS(RawData[[Date ]],N26237,RawData[Month List],$Q$6,RawData[Tour/Site],$Q$2,RawData[[Picker ID ]],$Q$3,RawData[Checker ID],$Q$4,RawData[[Error Type ]],$Q$5))</f>
        <v/>
      </c>
    </row>
    <row r="26238" spans="15:15" x14ac:dyDescent="0.25">
      <c r="O26238" s="20" t="str">
        <f>IF(N26238="","",COUNTIFS(RawData[[Date ]],N26238,RawData[Month List],$Q$6,RawData[Tour/Site],$Q$2,RawData[[Picker ID ]],$Q$3,RawData[Checker ID],$Q$4,RawData[[Error Type ]],$Q$5))</f>
        <v/>
      </c>
    </row>
    <row r="26239" spans="15:15" x14ac:dyDescent="0.25">
      <c r="O26239" s="20" t="str">
        <f>IF(N26239="","",COUNTIFS(RawData[[Date ]],N26239,RawData[Month List],$Q$6,RawData[Tour/Site],$Q$2,RawData[[Picker ID ]],$Q$3,RawData[Checker ID],$Q$4,RawData[[Error Type ]],$Q$5))</f>
        <v/>
      </c>
    </row>
    <row r="26240" spans="15:15" x14ac:dyDescent="0.25">
      <c r="O26240" s="20" t="str">
        <f>IF(N26240="","",COUNTIFS(RawData[[Date ]],N26240,RawData[Month List],$Q$6,RawData[Tour/Site],$Q$2,RawData[[Picker ID ]],$Q$3,RawData[Checker ID],$Q$4,RawData[[Error Type ]],$Q$5))</f>
        <v/>
      </c>
    </row>
    <row r="26241" spans="15:15" x14ac:dyDescent="0.25">
      <c r="O26241" s="20" t="str">
        <f>IF(N26241="","",COUNTIFS(RawData[[Date ]],N26241,RawData[Month List],$Q$6,RawData[Tour/Site],$Q$2,RawData[[Picker ID ]],$Q$3,RawData[Checker ID],$Q$4,RawData[[Error Type ]],$Q$5))</f>
        <v/>
      </c>
    </row>
    <row r="26242" spans="15:15" x14ac:dyDescent="0.25">
      <c r="O26242" s="20" t="str">
        <f>IF(N26242="","",COUNTIFS(RawData[[Date ]],N26242,RawData[Month List],$Q$6,RawData[Tour/Site],$Q$2,RawData[[Picker ID ]],$Q$3,RawData[Checker ID],$Q$4,RawData[[Error Type ]],$Q$5))</f>
        <v/>
      </c>
    </row>
    <row r="26243" spans="15:15" x14ac:dyDescent="0.25">
      <c r="O26243" s="20" t="str">
        <f>IF(N26243="","",COUNTIFS(RawData[[Date ]],N26243,RawData[Month List],$Q$6,RawData[Tour/Site],$Q$2,RawData[[Picker ID ]],$Q$3,RawData[Checker ID],$Q$4,RawData[[Error Type ]],$Q$5))</f>
        <v/>
      </c>
    </row>
    <row r="26244" spans="15:15" x14ac:dyDescent="0.25">
      <c r="O26244" s="20" t="str">
        <f>IF(N26244="","",COUNTIFS(RawData[[Date ]],N26244,RawData[Month List],$Q$6,RawData[Tour/Site],$Q$2,RawData[[Picker ID ]],$Q$3,RawData[Checker ID],$Q$4,RawData[[Error Type ]],$Q$5))</f>
        <v/>
      </c>
    </row>
    <row r="26245" spans="15:15" x14ac:dyDescent="0.25">
      <c r="O26245" s="20" t="str">
        <f>IF(N26245="","",COUNTIFS(RawData[[Date ]],N26245,RawData[Month List],$Q$6,RawData[Tour/Site],$Q$2,RawData[[Picker ID ]],$Q$3,RawData[Checker ID],$Q$4,RawData[[Error Type ]],$Q$5))</f>
        <v/>
      </c>
    </row>
    <row r="26246" spans="15:15" x14ac:dyDescent="0.25">
      <c r="O26246" s="20" t="str">
        <f>IF(N26246="","",COUNTIFS(RawData[[Date ]],N26246,RawData[Month List],$Q$6,RawData[Tour/Site],$Q$2,RawData[[Picker ID ]],$Q$3,RawData[Checker ID],$Q$4,RawData[[Error Type ]],$Q$5))</f>
        <v/>
      </c>
    </row>
    <row r="26247" spans="15:15" x14ac:dyDescent="0.25">
      <c r="O26247" s="20" t="str">
        <f>IF(N26247="","",COUNTIFS(RawData[[Date ]],N26247,RawData[Month List],$Q$6,RawData[Tour/Site],$Q$2,RawData[[Picker ID ]],$Q$3,RawData[Checker ID],$Q$4,RawData[[Error Type ]],$Q$5))</f>
        <v/>
      </c>
    </row>
    <row r="26248" spans="15:15" x14ac:dyDescent="0.25">
      <c r="O26248" s="20" t="str">
        <f>IF(N26248="","",COUNTIFS(RawData[[Date ]],N26248,RawData[Month List],$Q$6,RawData[Tour/Site],$Q$2,RawData[[Picker ID ]],$Q$3,RawData[Checker ID],$Q$4,RawData[[Error Type ]],$Q$5))</f>
        <v/>
      </c>
    </row>
    <row r="26249" spans="15:15" x14ac:dyDescent="0.25">
      <c r="O26249" s="20" t="str">
        <f>IF(N26249="","",COUNTIFS(RawData[[Date ]],N26249,RawData[Month List],$Q$6,RawData[Tour/Site],$Q$2,RawData[[Picker ID ]],$Q$3,RawData[Checker ID],$Q$4,RawData[[Error Type ]],$Q$5))</f>
        <v/>
      </c>
    </row>
    <row r="26250" spans="15:15" x14ac:dyDescent="0.25">
      <c r="O26250" s="20" t="str">
        <f>IF(N26250="","",COUNTIFS(RawData[[Date ]],N26250,RawData[Month List],$Q$6,RawData[Tour/Site],$Q$2,RawData[[Picker ID ]],$Q$3,RawData[Checker ID],$Q$4,RawData[[Error Type ]],$Q$5))</f>
        <v/>
      </c>
    </row>
    <row r="26251" spans="15:15" x14ac:dyDescent="0.25">
      <c r="O26251" s="20" t="str">
        <f>IF(N26251="","",COUNTIFS(RawData[[Date ]],N26251,RawData[Month List],$Q$6,RawData[Tour/Site],$Q$2,RawData[[Picker ID ]],$Q$3,RawData[Checker ID],$Q$4,RawData[[Error Type ]],$Q$5))</f>
        <v/>
      </c>
    </row>
    <row r="26252" spans="15:15" x14ac:dyDescent="0.25">
      <c r="O26252" s="20" t="str">
        <f>IF(N26252="","",COUNTIFS(RawData[[Date ]],N26252,RawData[Month List],$Q$6,RawData[Tour/Site],$Q$2,RawData[[Picker ID ]],$Q$3,RawData[Checker ID],$Q$4,RawData[[Error Type ]],$Q$5))</f>
        <v/>
      </c>
    </row>
    <row r="26253" spans="15:15" x14ac:dyDescent="0.25">
      <c r="O26253" s="20" t="str">
        <f>IF(N26253="","",COUNTIFS(RawData[[Date ]],N26253,RawData[Month List],$Q$6,RawData[Tour/Site],$Q$2,RawData[[Picker ID ]],$Q$3,RawData[Checker ID],$Q$4,RawData[[Error Type ]],$Q$5))</f>
        <v/>
      </c>
    </row>
    <row r="26254" spans="15:15" x14ac:dyDescent="0.25">
      <c r="O26254" s="20" t="str">
        <f>IF(N26254="","",COUNTIFS(RawData[[Date ]],N26254,RawData[Month List],$Q$6,RawData[Tour/Site],$Q$2,RawData[[Picker ID ]],$Q$3,RawData[Checker ID],$Q$4,RawData[[Error Type ]],$Q$5))</f>
        <v/>
      </c>
    </row>
    <row r="26255" spans="15:15" x14ac:dyDescent="0.25">
      <c r="O26255" s="20" t="str">
        <f>IF(N26255="","",COUNTIFS(RawData[[Date ]],N26255,RawData[Month List],$Q$6,RawData[Tour/Site],$Q$2,RawData[[Picker ID ]],$Q$3,RawData[Checker ID],$Q$4,RawData[[Error Type ]],$Q$5))</f>
        <v/>
      </c>
    </row>
    <row r="26256" spans="15:15" x14ac:dyDescent="0.25">
      <c r="O26256" s="20" t="str">
        <f>IF(N26256="","",COUNTIFS(RawData[[Date ]],N26256,RawData[Month List],$Q$6,RawData[Tour/Site],$Q$2,RawData[[Picker ID ]],$Q$3,RawData[Checker ID],$Q$4,RawData[[Error Type ]],$Q$5))</f>
        <v/>
      </c>
    </row>
    <row r="26257" spans="15:15" x14ac:dyDescent="0.25">
      <c r="O26257" s="20" t="str">
        <f>IF(N26257="","",COUNTIFS(RawData[[Date ]],N26257,RawData[Month List],$Q$6,RawData[Tour/Site],$Q$2,RawData[[Picker ID ]],$Q$3,RawData[Checker ID],$Q$4,RawData[[Error Type ]],$Q$5))</f>
        <v/>
      </c>
    </row>
    <row r="26258" spans="15:15" x14ac:dyDescent="0.25">
      <c r="O26258" s="20" t="str">
        <f>IF(N26258="","",COUNTIFS(RawData[[Date ]],N26258,RawData[Month List],$Q$6,RawData[Tour/Site],$Q$2,RawData[[Picker ID ]],$Q$3,RawData[Checker ID],$Q$4,RawData[[Error Type ]],$Q$5))</f>
        <v/>
      </c>
    </row>
    <row r="26259" spans="15:15" x14ac:dyDescent="0.25">
      <c r="O26259" s="20" t="str">
        <f>IF(N26259="","",COUNTIFS(RawData[[Date ]],N26259,RawData[Month List],$Q$6,RawData[Tour/Site],$Q$2,RawData[[Picker ID ]],$Q$3,RawData[Checker ID],$Q$4,RawData[[Error Type ]],$Q$5))</f>
        <v/>
      </c>
    </row>
    <row r="26260" spans="15:15" x14ac:dyDescent="0.25">
      <c r="O26260" s="20" t="str">
        <f>IF(N26260="","",COUNTIFS(RawData[[Date ]],N26260,RawData[Month List],$Q$6,RawData[Tour/Site],$Q$2,RawData[[Picker ID ]],$Q$3,RawData[Checker ID],$Q$4,RawData[[Error Type ]],$Q$5))</f>
        <v/>
      </c>
    </row>
    <row r="26261" spans="15:15" x14ac:dyDescent="0.25">
      <c r="O26261" s="20" t="str">
        <f>IF(N26261="","",COUNTIFS(RawData[[Date ]],N26261,RawData[Month List],$Q$6,RawData[Tour/Site],$Q$2,RawData[[Picker ID ]],$Q$3,RawData[Checker ID],$Q$4,RawData[[Error Type ]],$Q$5))</f>
        <v/>
      </c>
    </row>
    <row r="26262" spans="15:15" x14ac:dyDescent="0.25">
      <c r="O26262" s="20" t="str">
        <f>IF(N26262="","",COUNTIFS(RawData[[Date ]],N26262,RawData[Month List],$Q$6,RawData[Tour/Site],$Q$2,RawData[[Picker ID ]],$Q$3,RawData[Checker ID],$Q$4,RawData[[Error Type ]],$Q$5))</f>
        <v/>
      </c>
    </row>
    <row r="26263" spans="15:15" x14ac:dyDescent="0.25">
      <c r="O26263" s="20" t="str">
        <f>IF(N26263="","",COUNTIFS(RawData[[Date ]],N26263,RawData[Month List],$Q$6,RawData[Tour/Site],$Q$2,RawData[[Picker ID ]],$Q$3,RawData[Checker ID],$Q$4,RawData[[Error Type ]],$Q$5))</f>
        <v/>
      </c>
    </row>
    <row r="26264" spans="15:15" x14ac:dyDescent="0.25">
      <c r="O26264" s="20" t="str">
        <f>IF(N26264="","",COUNTIFS(RawData[[Date ]],N26264,RawData[Month List],$Q$6,RawData[Tour/Site],$Q$2,RawData[[Picker ID ]],$Q$3,RawData[Checker ID],$Q$4,RawData[[Error Type ]],$Q$5))</f>
        <v/>
      </c>
    </row>
    <row r="26265" spans="15:15" x14ac:dyDescent="0.25">
      <c r="O26265" s="20" t="str">
        <f>IF(N26265="","",COUNTIFS(RawData[[Date ]],N26265,RawData[Month List],$Q$6,RawData[Tour/Site],$Q$2,RawData[[Picker ID ]],$Q$3,RawData[Checker ID],$Q$4,RawData[[Error Type ]],$Q$5))</f>
        <v/>
      </c>
    </row>
    <row r="26266" spans="15:15" x14ac:dyDescent="0.25">
      <c r="O26266" s="20" t="str">
        <f>IF(N26266="","",COUNTIFS(RawData[[Date ]],N26266,RawData[Month List],$Q$6,RawData[Tour/Site],$Q$2,RawData[[Picker ID ]],$Q$3,RawData[Checker ID],$Q$4,RawData[[Error Type ]],$Q$5))</f>
        <v/>
      </c>
    </row>
    <row r="26267" spans="15:15" x14ac:dyDescent="0.25">
      <c r="O26267" s="20" t="str">
        <f>IF(N26267="","",COUNTIFS(RawData[[Date ]],N26267,RawData[Month List],$Q$6,RawData[Tour/Site],$Q$2,RawData[[Picker ID ]],$Q$3,RawData[Checker ID],$Q$4,RawData[[Error Type ]],$Q$5))</f>
        <v/>
      </c>
    </row>
    <row r="26268" spans="15:15" x14ac:dyDescent="0.25">
      <c r="O26268" s="20" t="str">
        <f>IF(N26268="","",COUNTIFS(RawData[[Date ]],N26268,RawData[Month List],$Q$6,RawData[Tour/Site],$Q$2,RawData[[Picker ID ]],$Q$3,RawData[Checker ID],$Q$4,RawData[[Error Type ]],$Q$5))</f>
        <v/>
      </c>
    </row>
    <row r="26269" spans="15:15" x14ac:dyDescent="0.25">
      <c r="O26269" s="20" t="str">
        <f>IF(N26269="","",COUNTIFS(RawData[[Date ]],N26269,RawData[Month List],$Q$6,RawData[Tour/Site],$Q$2,RawData[[Picker ID ]],$Q$3,RawData[Checker ID],$Q$4,RawData[[Error Type ]],$Q$5))</f>
        <v/>
      </c>
    </row>
    <row r="26270" spans="15:15" x14ac:dyDescent="0.25">
      <c r="O26270" s="20" t="str">
        <f>IF(N26270="","",COUNTIFS(RawData[[Date ]],N26270,RawData[Month List],$Q$6,RawData[Tour/Site],$Q$2,RawData[[Picker ID ]],$Q$3,RawData[Checker ID],$Q$4,RawData[[Error Type ]],$Q$5))</f>
        <v/>
      </c>
    </row>
    <row r="26271" spans="15:15" x14ac:dyDescent="0.25">
      <c r="O26271" s="20" t="str">
        <f>IF(N26271="","",COUNTIFS(RawData[[Date ]],N26271,RawData[Month List],$Q$6,RawData[Tour/Site],$Q$2,RawData[[Picker ID ]],$Q$3,RawData[Checker ID],$Q$4,RawData[[Error Type ]],$Q$5))</f>
        <v/>
      </c>
    </row>
    <row r="26272" spans="15:15" x14ac:dyDescent="0.25">
      <c r="O26272" s="20" t="str">
        <f>IF(N26272="","",COUNTIFS(RawData[[Date ]],N26272,RawData[Month List],$Q$6,RawData[Tour/Site],$Q$2,RawData[[Picker ID ]],$Q$3,RawData[Checker ID],$Q$4,RawData[[Error Type ]],$Q$5))</f>
        <v/>
      </c>
    </row>
    <row r="26273" spans="15:15" x14ac:dyDescent="0.25">
      <c r="O26273" s="20" t="str">
        <f>IF(N26273="","",COUNTIFS(RawData[[Date ]],N26273,RawData[Month List],$Q$6,RawData[Tour/Site],$Q$2,RawData[[Picker ID ]],$Q$3,RawData[Checker ID],$Q$4,RawData[[Error Type ]],$Q$5))</f>
        <v/>
      </c>
    </row>
    <row r="26274" spans="15:15" x14ac:dyDescent="0.25">
      <c r="O26274" s="20" t="str">
        <f>IF(N26274="","",COUNTIFS(RawData[[Date ]],N26274,RawData[Month List],$Q$6,RawData[Tour/Site],$Q$2,RawData[[Picker ID ]],$Q$3,RawData[Checker ID],$Q$4,RawData[[Error Type ]],$Q$5))</f>
        <v/>
      </c>
    </row>
    <row r="26275" spans="15:15" x14ac:dyDescent="0.25">
      <c r="O26275" s="20" t="str">
        <f>IF(N26275="","",COUNTIFS(RawData[[Date ]],N26275,RawData[Month List],$Q$6,RawData[Tour/Site],$Q$2,RawData[[Picker ID ]],$Q$3,RawData[Checker ID],$Q$4,RawData[[Error Type ]],$Q$5))</f>
        <v/>
      </c>
    </row>
    <row r="26276" spans="15:15" x14ac:dyDescent="0.25">
      <c r="O26276" s="20" t="str">
        <f>IF(N26276="","",COUNTIFS(RawData[[Date ]],N26276,RawData[Month List],$Q$6,RawData[Tour/Site],$Q$2,RawData[[Picker ID ]],$Q$3,RawData[Checker ID],$Q$4,RawData[[Error Type ]],$Q$5))</f>
        <v/>
      </c>
    </row>
    <row r="26277" spans="15:15" x14ac:dyDescent="0.25">
      <c r="O26277" s="20" t="str">
        <f>IF(N26277="","",COUNTIFS(RawData[[Date ]],N26277,RawData[Month List],$Q$6,RawData[Tour/Site],$Q$2,RawData[[Picker ID ]],$Q$3,RawData[Checker ID],$Q$4,RawData[[Error Type ]],$Q$5))</f>
        <v/>
      </c>
    </row>
    <row r="26278" spans="15:15" x14ac:dyDescent="0.25">
      <c r="O26278" s="20" t="str">
        <f>IF(N26278="","",COUNTIFS(RawData[[Date ]],N26278,RawData[Month List],$Q$6,RawData[Tour/Site],$Q$2,RawData[[Picker ID ]],$Q$3,RawData[Checker ID],$Q$4,RawData[[Error Type ]],$Q$5))</f>
        <v/>
      </c>
    </row>
    <row r="26279" spans="15:15" x14ac:dyDescent="0.25">
      <c r="O26279" s="20" t="str">
        <f>IF(N26279="","",COUNTIFS(RawData[[Date ]],N26279,RawData[Month List],$Q$6,RawData[Tour/Site],$Q$2,RawData[[Picker ID ]],$Q$3,RawData[Checker ID],$Q$4,RawData[[Error Type ]],$Q$5))</f>
        <v/>
      </c>
    </row>
    <row r="26280" spans="15:15" x14ac:dyDescent="0.25">
      <c r="O26280" s="20" t="str">
        <f>IF(N26280="","",COUNTIFS(RawData[[Date ]],N26280,RawData[Month List],$Q$6,RawData[Tour/Site],$Q$2,RawData[[Picker ID ]],$Q$3,RawData[Checker ID],$Q$4,RawData[[Error Type ]],$Q$5))</f>
        <v/>
      </c>
    </row>
    <row r="26281" spans="15:15" x14ac:dyDescent="0.25">
      <c r="O26281" s="20" t="str">
        <f>IF(N26281="","",COUNTIFS(RawData[[Date ]],N26281,RawData[Month List],$Q$6,RawData[Tour/Site],$Q$2,RawData[[Picker ID ]],$Q$3,RawData[Checker ID],$Q$4,RawData[[Error Type ]],$Q$5))</f>
        <v/>
      </c>
    </row>
    <row r="26282" spans="15:15" x14ac:dyDescent="0.25">
      <c r="O26282" s="20" t="str">
        <f>IF(N26282="","",COUNTIFS(RawData[[Date ]],N26282,RawData[Month List],$Q$6,RawData[Tour/Site],$Q$2,RawData[[Picker ID ]],$Q$3,RawData[Checker ID],$Q$4,RawData[[Error Type ]],$Q$5))</f>
        <v/>
      </c>
    </row>
    <row r="26283" spans="15:15" x14ac:dyDescent="0.25">
      <c r="O26283" s="20" t="str">
        <f>IF(N26283="","",COUNTIFS(RawData[[Date ]],N26283,RawData[Month List],$Q$6,RawData[Tour/Site],$Q$2,RawData[[Picker ID ]],$Q$3,RawData[Checker ID],$Q$4,RawData[[Error Type ]],$Q$5))</f>
        <v/>
      </c>
    </row>
    <row r="26284" spans="15:15" x14ac:dyDescent="0.25">
      <c r="O26284" s="20" t="str">
        <f>IF(N26284="","",COUNTIFS(RawData[[Date ]],N26284,RawData[Month List],$Q$6,RawData[Tour/Site],$Q$2,RawData[[Picker ID ]],$Q$3,RawData[Checker ID],$Q$4,RawData[[Error Type ]],$Q$5))</f>
        <v/>
      </c>
    </row>
    <row r="26285" spans="15:15" x14ac:dyDescent="0.25">
      <c r="O26285" s="20" t="str">
        <f>IF(N26285="","",COUNTIFS(RawData[[Date ]],N26285,RawData[Month List],$Q$6,RawData[Tour/Site],$Q$2,RawData[[Picker ID ]],$Q$3,RawData[Checker ID],$Q$4,RawData[[Error Type ]],$Q$5))</f>
        <v/>
      </c>
    </row>
    <row r="26286" spans="15:15" x14ac:dyDescent="0.25">
      <c r="O26286" s="20" t="str">
        <f>IF(N26286="","",COUNTIFS(RawData[[Date ]],N26286,RawData[Month List],$Q$6,RawData[Tour/Site],$Q$2,RawData[[Picker ID ]],$Q$3,RawData[Checker ID],$Q$4,RawData[[Error Type ]],$Q$5))</f>
        <v/>
      </c>
    </row>
    <row r="26287" spans="15:15" x14ac:dyDescent="0.25">
      <c r="O26287" s="20" t="str">
        <f>IF(N26287="","",COUNTIFS(RawData[[Date ]],N26287,RawData[Month List],$Q$6,RawData[Tour/Site],$Q$2,RawData[[Picker ID ]],$Q$3,RawData[Checker ID],$Q$4,RawData[[Error Type ]],$Q$5))</f>
        <v/>
      </c>
    </row>
    <row r="26288" spans="15:15" x14ac:dyDescent="0.25">
      <c r="O26288" s="20" t="str">
        <f>IF(N26288="","",COUNTIFS(RawData[[Date ]],N26288,RawData[Month List],$Q$6,RawData[Tour/Site],$Q$2,RawData[[Picker ID ]],$Q$3,RawData[Checker ID],$Q$4,RawData[[Error Type ]],$Q$5))</f>
        <v/>
      </c>
    </row>
    <row r="26289" spans="15:15" x14ac:dyDescent="0.25">
      <c r="O26289" s="20" t="str">
        <f>IF(N26289="","",COUNTIFS(RawData[[Date ]],N26289,RawData[Month List],$Q$6,RawData[Tour/Site],$Q$2,RawData[[Picker ID ]],$Q$3,RawData[Checker ID],$Q$4,RawData[[Error Type ]],$Q$5))</f>
        <v/>
      </c>
    </row>
    <row r="26290" spans="15:15" x14ac:dyDescent="0.25">
      <c r="O26290" s="20" t="str">
        <f>IF(N26290="","",COUNTIFS(RawData[[Date ]],N26290,RawData[Month List],$Q$6,RawData[Tour/Site],$Q$2,RawData[[Picker ID ]],$Q$3,RawData[Checker ID],$Q$4,RawData[[Error Type ]],$Q$5))</f>
        <v/>
      </c>
    </row>
    <row r="26291" spans="15:15" x14ac:dyDescent="0.25">
      <c r="O26291" s="20" t="str">
        <f>IF(N26291="","",COUNTIFS(RawData[[Date ]],N26291,RawData[Month List],$Q$6,RawData[Tour/Site],$Q$2,RawData[[Picker ID ]],$Q$3,RawData[Checker ID],$Q$4,RawData[[Error Type ]],$Q$5))</f>
        <v/>
      </c>
    </row>
    <row r="26292" spans="15:15" x14ac:dyDescent="0.25">
      <c r="O26292" s="20" t="str">
        <f>IF(N26292="","",COUNTIFS(RawData[[Date ]],N26292,RawData[Month List],$Q$6,RawData[Tour/Site],$Q$2,RawData[[Picker ID ]],$Q$3,RawData[Checker ID],$Q$4,RawData[[Error Type ]],$Q$5))</f>
        <v/>
      </c>
    </row>
    <row r="26293" spans="15:15" x14ac:dyDescent="0.25">
      <c r="O26293" s="20" t="str">
        <f>IF(N26293="","",COUNTIFS(RawData[[Date ]],N26293,RawData[Month List],$Q$6,RawData[Tour/Site],$Q$2,RawData[[Picker ID ]],$Q$3,RawData[Checker ID],$Q$4,RawData[[Error Type ]],$Q$5))</f>
        <v/>
      </c>
    </row>
    <row r="26294" spans="15:15" x14ac:dyDescent="0.25">
      <c r="O26294" s="20" t="str">
        <f>IF(N26294="","",COUNTIFS(RawData[[Date ]],N26294,RawData[Month List],$Q$6,RawData[Tour/Site],$Q$2,RawData[[Picker ID ]],$Q$3,RawData[Checker ID],$Q$4,RawData[[Error Type ]],$Q$5))</f>
        <v/>
      </c>
    </row>
    <row r="26295" spans="15:15" x14ac:dyDescent="0.25">
      <c r="O26295" s="20" t="str">
        <f>IF(N26295="","",COUNTIFS(RawData[[Date ]],N26295,RawData[Month List],$Q$6,RawData[Tour/Site],$Q$2,RawData[[Picker ID ]],$Q$3,RawData[Checker ID],$Q$4,RawData[[Error Type ]],$Q$5))</f>
        <v/>
      </c>
    </row>
    <row r="26296" spans="15:15" x14ac:dyDescent="0.25">
      <c r="O26296" s="20" t="str">
        <f>IF(N26296="","",COUNTIFS(RawData[[Date ]],N26296,RawData[Month List],$Q$6,RawData[Tour/Site],$Q$2,RawData[[Picker ID ]],$Q$3,RawData[Checker ID],$Q$4,RawData[[Error Type ]],$Q$5))</f>
        <v/>
      </c>
    </row>
    <row r="26297" spans="15:15" x14ac:dyDescent="0.25">
      <c r="O26297" s="20" t="str">
        <f>IF(N26297="","",COUNTIFS(RawData[[Date ]],N26297,RawData[Month List],$Q$6,RawData[Tour/Site],$Q$2,RawData[[Picker ID ]],$Q$3,RawData[Checker ID],$Q$4,RawData[[Error Type ]],$Q$5))</f>
        <v/>
      </c>
    </row>
    <row r="26298" spans="15:15" x14ac:dyDescent="0.25">
      <c r="O26298" s="20" t="str">
        <f>IF(N26298="","",COUNTIFS(RawData[[Date ]],N26298,RawData[Month List],$Q$6,RawData[Tour/Site],$Q$2,RawData[[Picker ID ]],$Q$3,RawData[Checker ID],$Q$4,RawData[[Error Type ]],$Q$5))</f>
        <v/>
      </c>
    </row>
    <row r="26299" spans="15:15" x14ac:dyDescent="0.25">
      <c r="O26299" s="20" t="str">
        <f>IF(N26299="","",COUNTIFS(RawData[[Date ]],N26299,RawData[Month List],$Q$6,RawData[Tour/Site],$Q$2,RawData[[Picker ID ]],$Q$3,RawData[Checker ID],$Q$4,RawData[[Error Type ]],$Q$5))</f>
        <v/>
      </c>
    </row>
    <row r="26300" spans="15:15" x14ac:dyDescent="0.25">
      <c r="O26300" s="20" t="str">
        <f>IF(N26300="","",COUNTIFS(RawData[[Date ]],N26300,RawData[Month List],$Q$6,RawData[Tour/Site],$Q$2,RawData[[Picker ID ]],$Q$3,RawData[Checker ID],$Q$4,RawData[[Error Type ]],$Q$5))</f>
        <v/>
      </c>
    </row>
    <row r="26301" spans="15:15" x14ac:dyDescent="0.25">
      <c r="O26301" s="20" t="str">
        <f>IF(N26301="","",COUNTIFS(RawData[[Date ]],N26301,RawData[Month List],$Q$6,RawData[Tour/Site],$Q$2,RawData[[Picker ID ]],$Q$3,RawData[Checker ID],$Q$4,RawData[[Error Type ]],$Q$5))</f>
        <v/>
      </c>
    </row>
    <row r="26302" spans="15:15" x14ac:dyDescent="0.25">
      <c r="O26302" s="20" t="str">
        <f>IF(N26302="","",COUNTIFS(RawData[[Date ]],N26302,RawData[Month List],$Q$6,RawData[Tour/Site],$Q$2,RawData[[Picker ID ]],$Q$3,RawData[Checker ID],$Q$4,RawData[[Error Type ]],$Q$5))</f>
        <v/>
      </c>
    </row>
    <row r="26303" spans="15:15" x14ac:dyDescent="0.25">
      <c r="O26303" s="20" t="str">
        <f>IF(N26303="","",COUNTIFS(RawData[[Date ]],N26303,RawData[Month List],$Q$6,RawData[Tour/Site],$Q$2,RawData[[Picker ID ]],$Q$3,RawData[Checker ID],$Q$4,RawData[[Error Type ]],$Q$5))</f>
        <v/>
      </c>
    </row>
    <row r="26304" spans="15:15" x14ac:dyDescent="0.25">
      <c r="O26304" s="20" t="str">
        <f>IF(N26304="","",COUNTIFS(RawData[[Date ]],N26304,RawData[Month List],$Q$6,RawData[Tour/Site],$Q$2,RawData[[Picker ID ]],$Q$3,RawData[Checker ID],$Q$4,RawData[[Error Type ]],$Q$5))</f>
        <v/>
      </c>
    </row>
    <row r="26305" spans="15:15" x14ac:dyDescent="0.25">
      <c r="O26305" s="20" t="str">
        <f>IF(N26305="","",COUNTIFS(RawData[[Date ]],N26305,RawData[Month List],$Q$6,RawData[Tour/Site],$Q$2,RawData[[Picker ID ]],$Q$3,RawData[Checker ID],$Q$4,RawData[[Error Type ]],$Q$5))</f>
        <v/>
      </c>
    </row>
    <row r="26306" spans="15:15" x14ac:dyDescent="0.25">
      <c r="O26306" s="20" t="str">
        <f>IF(N26306="","",COUNTIFS(RawData[[Date ]],N26306,RawData[Month List],$Q$6,RawData[Tour/Site],$Q$2,RawData[[Picker ID ]],$Q$3,RawData[Checker ID],$Q$4,RawData[[Error Type ]],$Q$5))</f>
        <v/>
      </c>
    </row>
    <row r="26307" spans="15:15" x14ac:dyDescent="0.25">
      <c r="O26307" s="20" t="str">
        <f>IF(N26307="","",COUNTIFS(RawData[[Date ]],N26307,RawData[Month List],$Q$6,RawData[Tour/Site],$Q$2,RawData[[Picker ID ]],$Q$3,RawData[Checker ID],$Q$4,RawData[[Error Type ]],$Q$5))</f>
        <v/>
      </c>
    </row>
    <row r="26308" spans="15:15" x14ac:dyDescent="0.25">
      <c r="O26308" s="20" t="str">
        <f>IF(N26308="","",COUNTIFS(RawData[[Date ]],N26308,RawData[Month List],$Q$6,RawData[Tour/Site],$Q$2,RawData[[Picker ID ]],$Q$3,RawData[Checker ID],$Q$4,RawData[[Error Type ]],$Q$5))</f>
        <v/>
      </c>
    </row>
    <row r="26309" spans="15:15" x14ac:dyDescent="0.25">
      <c r="O26309" s="20" t="str">
        <f>IF(N26309="","",COUNTIFS(RawData[[Date ]],N26309,RawData[Month List],$Q$6,RawData[Tour/Site],$Q$2,RawData[[Picker ID ]],$Q$3,RawData[Checker ID],$Q$4,RawData[[Error Type ]],$Q$5))</f>
        <v/>
      </c>
    </row>
    <row r="26310" spans="15:15" x14ac:dyDescent="0.25">
      <c r="O26310" s="20" t="str">
        <f>IF(N26310="","",COUNTIFS(RawData[[Date ]],N26310,RawData[Month List],$Q$6,RawData[Tour/Site],$Q$2,RawData[[Picker ID ]],$Q$3,RawData[Checker ID],$Q$4,RawData[[Error Type ]],$Q$5))</f>
        <v/>
      </c>
    </row>
    <row r="26311" spans="15:15" x14ac:dyDescent="0.25">
      <c r="O26311" s="20" t="str">
        <f>IF(N26311="","",COUNTIFS(RawData[[Date ]],N26311,RawData[Month List],$Q$6,RawData[Tour/Site],$Q$2,RawData[[Picker ID ]],$Q$3,RawData[Checker ID],$Q$4,RawData[[Error Type ]],$Q$5))</f>
        <v/>
      </c>
    </row>
    <row r="26312" spans="15:15" x14ac:dyDescent="0.25">
      <c r="O26312" s="20" t="str">
        <f>IF(N26312="","",COUNTIFS(RawData[[Date ]],N26312,RawData[Month List],$Q$6,RawData[Tour/Site],$Q$2,RawData[[Picker ID ]],$Q$3,RawData[Checker ID],$Q$4,RawData[[Error Type ]],$Q$5))</f>
        <v/>
      </c>
    </row>
    <row r="26313" spans="15:15" x14ac:dyDescent="0.25">
      <c r="O26313" s="20" t="str">
        <f>IF(N26313="","",COUNTIFS(RawData[[Date ]],N26313,RawData[Month List],$Q$6,RawData[Tour/Site],$Q$2,RawData[[Picker ID ]],$Q$3,RawData[Checker ID],$Q$4,RawData[[Error Type ]],$Q$5))</f>
        <v/>
      </c>
    </row>
    <row r="26314" spans="15:15" x14ac:dyDescent="0.25">
      <c r="O26314" s="20" t="str">
        <f>IF(N26314="","",COUNTIFS(RawData[[Date ]],N26314,RawData[Month List],$Q$6,RawData[Tour/Site],$Q$2,RawData[[Picker ID ]],$Q$3,RawData[Checker ID],$Q$4,RawData[[Error Type ]],$Q$5))</f>
        <v/>
      </c>
    </row>
    <row r="26315" spans="15:15" x14ac:dyDescent="0.25">
      <c r="O26315" s="20" t="str">
        <f>IF(N26315="","",COUNTIFS(RawData[[Date ]],N26315,RawData[Month List],$Q$6,RawData[Tour/Site],$Q$2,RawData[[Picker ID ]],$Q$3,RawData[Checker ID],$Q$4,RawData[[Error Type ]],$Q$5))</f>
        <v/>
      </c>
    </row>
    <row r="26316" spans="15:15" x14ac:dyDescent="0.25">
      <c r="O26316" s="20" t="str">
        <f>IF(N26316="","",COUNTIFS(RawData[[Date ]],N26316,RawData[Month List],$Q$6,RawData[Tour/Site],$Q$2,RawData[[Picker ID ]],$Q$3,RawData[Checker ID],$Q$4,RawData[[Error Type ]],$Q$5))</f>
        <v/>
      </c>
    </row>
    <row r="26317" spans="15:15" x14ac:dyDescent="0.25">
      <c r="O26317" s="20" t="str">
        <f>IF(N26317="","",COUNTIFS(RawData[[Date ]],N26317,RawData[Month List],$Q$6,RawData[Tour/Site],$Q$2,RawData[[Picker ID ]],$Q$3,RawData[Checker ID],$Q$4,RawData[[Error Type ]],$Q$5))</f>
        <v/>
      </c>
    </row>
    <row r="26318" spans="15:15" x14ac:dyDescent="0.25">
      <c r="O26318" s="20" t="str">
        <f>IF(N26318="","",COUNTIFS(RawData[[Date ]],N26318,RawData[Month List],$Q$6,RawData[Tour/Site],$Q$2,RawData[[Picker ID ]],$Q$3,RawData[Checker ID],$Q$4,RawData[[Error Type ]],$Q$5))</f>
        <v/>
      </c>
    </row>
    <row r="26319" spans="15:15" x14ac:dyDescent="0.25">
      <c r="O26319" s="20" t="str">
        <f>IF(N26319="","",COUNTIFS(RawData[[Date ]],N26319,RawData[Month List],$Q$6,RawData[Tour/Site],$Q$2,RawData[[Picker ID ]],$Q$3,RawData[Checker ID],$Q$4,RawData[[Error Type ]],$Q$5))</f>
        <v/>
      </c>
    </row>
    <row r="26320" spans="15:15" x14ac:dyDescent="0.25">
      <c r="O26320" s="20" t="str">
        <f>IF(N26320="","",COUNTIFS(RawData[[Date ]],N26320,RawData[Month List],$Q$6,RawData[Tour/Site],$Q$2,RawData[[Picker ID ]],$Q$3,RawData[Checker ID],$Q$4,RawData[[Error Type ]],$Q$5))</f>
        <v/>
      </c>
    </row>
    <row r="26321" spans="15:15" x14ac:dyDescent="0.25">
      <c r="O26321" s="20" t="str">
        <f>IF(N26321="","",COUNTIFS(RawData[[Date ]],N26321,RawData[Month List],$Q$6,RawData[Tour/Site],$Q$2,RawData[[Picker ID ]],$Q$3,RawData[Checker ID],$Q$4,RawData[[Error Type ]],$Q$5))</f>
        <v/>
      </c>
    </row>
    <row r="26322" spans="15:15" x14ac:dyDescent="0.25">
      <c r="O26322" s="20" t="str">
        <f>IF(N26322="","",COUNTIFS(RawData[[Date ]],N26322,RawData[Month List],$Q$6,RawData[Tour/Site],$Q$2,RawData[[Picker ID ]],$Q$3,RawData[Checker ID],$Q$4,RawData[[Error Type ]],$Q$5))</f>
        <v/>
      </c>
    </row>
    <row r="26323" spans="15:15" x14ac:dyDescent="0.25">
      <c r="O26323" s="20" t="str">
        <f>IF(N26323="","",COUNTIFS(RawData[[Date ]],N26323,RawData[Month List],$Q$6,RawData[Tour/Site],$Q$2,RawData[[Picker ID ]],$Q$3,RawData[Checker ID],$Q$4,RawData[[Error Type ]],$Q$5))</f>
        <v/>
      </c>
    </row>
    <row r="26324" spans="15:15" x14ac:dyDescent="0.25">
      <c r="O26324" s="20" t="str">
        <f>IF(N26324="","",COUNTIFS(RawData[[Date ]],N26324,RawData[Month List],$Q$6,RawData[Tour/Site],$Q$2,RawData[[Picker ID ]],$Q$3,RawData[Checker ID],$Q$4,RawData[[Error Type ]],$Q$5))</f>
        <v/>
      </c>
    </row>
    <row r="26325" spans="15:15" x14ac:dyDescent="0.25">
      <c r="O26325" s="20" t="str">
        <f>IF(N26325="","",COUNTIFS(RawData[[Date ]],N26325,RawData[Month List],$Q$6,RawData[Tour/Site],$Q$2,RawData[[Picker ID ]],$Q$3,RawData[Checker ID],$Q$4,RawData[[Error Type ]],$Q$5))</f>
        <v/>
      </c>
    </row>
    <row r="26326" spans="15:15" x14ac:dyDescent="0.25">
      <c r="O26326" s="20" t="str">
        <f>IF(N26326="","",COUNTIFS(RawData[[Date ]],N26326,RawData[Month List],$Q$6,RawData[Tour/Site],$Q$2,RawData[[Picker ID ]],$Q$3,RawData[Checker ID],$Q$4,RawData[[Error Type ]],$Q$5))</f>
        <v/>
      </c>
    </row>
    <row r="26327" spans="15:15" x14ac:dyDescent="0.25">
      <c r="O26327" s="20" t="str">
        <f>IF(N26327="","",COUNTIFS(RawData[[Date ]],N26327,RawData[Month List],$Q$6,RawData[Tour/Site],$Q$2,RawData[[Picker ID ]],$Q$3,RawData[Checker ID],$Q$4,RawData[[Error Type ]],$Q$5))</f>
        <v/>
      </c>
    </row>
    <row r="26328" spans="15:15" x14ac:dyDescent="0.25">
      <c r="O26328" s="20" t="str">
        <f>IF(N26328="","",COUNTIFS(RawData[[Date ]],N26328,RawData[Month List],$Q$6,RawData[Tour/Site],$Q$2,RawData[[Picker ID ]],$Q$3,RawData[Checker ID],$Q$4,RawData[[Error Type ]],$Q$5))</f>
        <v/>
      </c>
    </row>
    <row r="26329" spans="15:15" x14ac:dyDescent="0.25">
      <c r="O26329" s="20" t="str">
        <f>IF(N26329="","",COUNTIFS(RawData[[Date ]],N26329,RawData[Month List],$Q$6,RawData[Tour/Site],$Q$2,RawData[[Picker ID ]],$Q$3,RawData[Checker ID],$Q$4,RawData[[Error Type ]],$Q$5))</f>
        <v/>
      </c>
    </row>
    <row r="26330" spans="15:15" x14ac:dyDescent="0.25">
      <c r="O26330" s="20" t="str">
        <f>IF(N26330="","",COUNTIFS(RawData[[Date ]],N26330,RawData[Month List],$Q$6,RawData[Tour/Site],$Q$2,RawData[[Picker ID ]],$Q$3,RawData[Checker ID],$Q$4,RawData[[Error Type ]],$Q$5))</f>
        <v/>
      </c>
    </row>
    <row r="26331" spans="15:15" x14ac:dyDescent="0.25">
      <c r="O26331" s="20" t="str">
        <f>IF(N26331="","",COUNTIFS(RawData[[Date ]],N26331,RawData[Month List],$Q$6,RawData[Tour/Site],$Q$2,RawData[[Picker ID ]],$Q$3,RawData[Checker ID],$Q$4,RawData[[Error Type ]],$Q$5))</f>
        <v/>
      </c>
    </row>
    <row r="26332" spans="15:15" x14ac:dyDescent="0.25">
      <c r="O26332" s="20" t="str">
        <f>IF(N26332="","",COUNTIFS(RawData[[Date ]],N26332,RawData[Month List],$Q$6,RawData[Tour/Site],$Q$2,RawData[[Picker ID ]],$Q$3,RawData[Checker ID],$Q$4,RawData[[Error Type ]],$Q$5))</f>
        <v/>
      </c>
    </row>
    <row r="26333" spans="15:15" x14ac:dyDescent="0.25">
      <c r="O26333" s="20" t="str">
        <f>IF(N26333="","",COUNTIFS(RawData[[Date ]],N26333,RawData[Month List],$Q$6,RawData[Tour/Site],$Q$2,RawData[[Picker ID ]],$Q$3,RawData[Checker ID],$Q$4,RawData[[Error Type ]],$Q$5))</f>
        <v/>
      </c>
    </row>
    <row r="26334" spans="15:15" x14ac:dyDescent="0.25">
      <c r="O26334" s="20" t="str">
        <f>IF(N26334="","",COUNTIFS(RawData[[Date ]],N26334,RawData[Month List],$Q$6,RawData[Tour/Site],$Q$2,RawData[[Picker ID ]],$Q$3,RawData[Checker ID],$Q$4,RawData[[Error Type ]],$Q$5))</f>
        <v/>
      </c>
    </row>
    <row r="26335" spans="15:15" x14ac:dyDescent="0.25">
      <c r="O26335" s="20" t="str">
        <f>IF(N26335="","",COUNTIFS(RawData[[Date ]],N26335,RawData[Month List],$Q$6,RawData[Tour/Site],$Q$2,RawData[[Picker ID ]],$Q$3,RawData[Checker ID],$Q$4,RawData[[Error Type ]],$Q$5))</f>
        <v/>
      </c>
    </row>
    <row r="26336" spans="15:15" x14ac:dyDescent="0.25">
      <c r="O26336" s="20" t="str">
        <f>IF(N26336="","",COUNTIFS(RawData[[Date ]],N26336,RawData[Month List],$Q$6,RawData[Tour/Site],$Q$2,RawData[[Picker ID ]],$Q$3,RawData[Checker ID],$Q$4,RawData[[Error Type ]],$Q$5))</f>
        <v/>
      </c>
    </row>
    <row r="26337" spans="15:15" x14ac:dyDescent="0.25">
      <c r="O26337" s="20" t="str">
        <f>IF(N26337="","",COUNTIFS(RawData[[Date ]],N26337,RawData[Month List],$Q$6,RawData[Tour/Site],$Q$2,RawData[[Picker ID ]],$Q$3,RawData[Checker ID],$Q$4,RawData[[Error Type ]],$Q$5))</f>
        <v/>
      </c>
    </row>
    <row r="26338" spans="15:15" x14ac:dyDescent="0.25">
      <c r="O26338" s="20" t="str">
        <f>IF(N26338="","",COUNTIFS(RawData[[Date ]],N26338,RawData[Month List],$Q$6,RawData[Tour/Site],$Q$2,RawData[[Picker ID ]],$Q$3,RawData[Checker ID],$Q$4,RawData[[Error Type ]],$Q$5))</f>
        <v/>
      </c>
    </row>
    <row r="26339" spans="15:15" x14ac:dyDescent="0.25">
      <c r="O26339" s="20" t="str">
        <f>IF(N26339="","",COUNTIFS(RawData[[Date ]],N26339,RawData[Month List],$Q$6,RawData[Tour/Site],$Q$2,RawData[[Picker ID ]],$Q$3,RawData[Checker ID],$Q$4,RawData[[Error Type ]],$Q$5))</f>
        <v/>
      </c>
    </row>
    <row r="26340" spans="15:15" x14ac:dyDescent="0.25">
      <c r="O26340" s="20" t="str">
        <f>IF(N26340="","",COUNTIFS(RawData[[Date ]],N26340,RawData[Month List],$Q$6,RawData[Tour/Site],$Q$2,RawData[[Picker ID ]],$Q$3,RawData[Checker ID],$Q$4,RawData[[Error Type ]],$Q$5))</f>
        <v/>
      </c>
    </row>
    <row r="26341" spans="15:15" x14ac:dyDescent="0.25">
      <c r="O26341" s="20" t="str">
        <f>IF(N26341="","",COUNTIFS(RawData[[Date ]],N26341,RawData[Month List],$Q$6,RawData[Tour/Site],$Q$2,RawData[[Picker ID ]],$Q$3,RawData[Checker ID],$Q$4,RawData[[Error Type ]],$Q$5))</f>
        <v/>
      </c>
    </row>
    <row r="26342" spans="15:15" x14ac:dyDescent="0.25">
      <c r="O26342" s="20" t="str">
        <f>IF(N26342="","",COUNTIFS(RawData[[Date ]],N26342,RawData[Month List],$Q$6,RawData[Tour/Site],$Q$2,RawData[[Picker ID ]],$Q$3,RawData[Checker ID],$Q$4,RawData[[Error Type ]],$Q$5))</f>
        <v/>
      </c>
    </row>
    <row r="26343" spans="15:15" x14ac:dyDescent="0.25">
      <c r="O26343" s="20" t="str">
        <f>IF(N26343="","",COUNTIFS(RawData[[Date ]],N26343,RawData[Month List],$Q$6,RawData[Tour/Site],$Q$2,RawData[[Picker ID ]],$Q$3,RawData[Checker ID],$Q$4,RawData[[Error Type ]],$Q$5))</f>
        <v/>
      </c>
    </row>
    <row r="26344" spans="15:15" x14ac:dyDescent="0.25">
      <c r="O26344" s="20" t="str">
        <f>IF(N26344="","",COUNTIFS(RawData[[Date ]],N26344,RawData[Month List],$Q$6,RawData[Tour/Site],$Q$2,RawData[[Picker ID ]],$Q$3,RawData[Checker ID],$Q$4,RawData[[Error Type ]],$Q$5))</f>
        <v/>
      </c>
    </row>
    <row r="26345" spans="15:15" x14ac:dyDescent="0.25">
      <c r="O26345" s="20" t="str">
        <f>IF(N26345="","",COUNTIFS(RawData[[Date ]],N26345,RawData[Month List],$Q$6,RawData[Tour/Site],$Q$2,RawData[[Picker ID ]],$Q$3,RawData[Checker ID],$Q$4,RawData[[Error Type ]],$Q$5))</f>
        <v/>
      </c>
    </row>
    <row r="26346" spans="15:15" x14ac:dyDescent="0.25">
      <c r="O26346" s="20" t="str">
        <f>IF(N26346="","",COUNTIFS(RawData[[Date ]],N26346,RawData[Month List],$Q$6,RawData[Tour/Site],$Q$2,RawData[[Picker ID ]],$Q$3,RawData[Checker ID],$Q$4,RawData[[Error Type ]],$Q$5))</f>
        <v/>
      </c>
    </row>
    <row r="26347" spans="15:15" x14ac:dyDescent="0.25">
      <c r="O26347" s="20" t="str">
        <f>IF(N26347="","",COUNTIFS(RawData[[Date ]],N26347,RawData[Month List],$Q$6,RawData[Tour/Site],$Q$2,RawData[[Picker ID ]],$Q$3,RawData[Checker ID],$Q$4,RawData[[Error Type ]],$Q$5))</f>
        <v/>
      </c>
    </row>
    <row r="26348" spans="15:15" x14ac:dyDescent="0.25">
      <c r="O26348" s="20" t="str">
        <f>IF(N26348="","",COUNTIFS(RawData[[Date ]],N26348,RawData[Month List],$Q$6,RawData[Tour/Site],$Q$2,RawData[[Picker ID ]],$Q$3,RawData[Checker ID],$Q$4,RawData[[Error Type ]],$Q$5))</f>
        <v/>
      </c>
    </row>
    <row r="26349" spans="15:15" x14ac:dyDescent="0.25">
      <c r="O26349" s="20" t="str">
        <f>IF(N26349="","",COUNTIFS(RawData[[Date ]],N26349,RawData[Month List],$Q$6,RawData[Tour/Site],$Q$2,RawData[[Picker ID ]],$Q$3,RawData[Checker ID],$Q$4,RawData[[Error Type ]],$Q$5))</f>
        <v/>
      </c>
    </row>
    <row r="26350" spans="15:15" x14ac:dyDescent="0.25">
      <c r="O26350" s="20" t="str">
        <f>IF(N26350="","",COUNTIFS(RawData[[Date ]],N26350,RawData[Month List],$Q$6,RawData[Tour/Site],$Q$2,RawData[[Picker ID ]],$Q$3,RawData[Checker ID],$Q$4,RawData[[Error Type ]],$Q$5))</f>
        <v/>
      </c>
    </row>
    <row r="26351" spans="15:15" x14ac:dyDescent="0.25">
      <c r="O26351" s="20" t="str">
        <f>IF(N26351="","",COUNTIFS(RawData[[Date ]],N26351,RawData[Month List],$Q$6,RawData[Tour/Site],$Q$2,RawData[[Picker ID ]],$Q$3,RawData[Checker ID],$Q$4,RawData[[Error Type ]],$Q$5))</f>
        <v/>
      </c>
    </row>
    <row r="26352" spans="15:15" x14ac:dyDescent="0.25">
      <c r="O26352" s="20" t="str">
        <f>IF(N26352="","",COUNTIFS(RawData[[Date ]],N26352,RawData[Month List],$Q$6,RawData[Tour/Site],$Q$2,RawData[[Picker ID ]],$Q$3,RawData[Checker ID],$Q$4,RawData[[Error Type ]],$Q$5))</f>
        <v/>
      </c>
    </row>
    <row r="26353" spans="15:15" x14ac:dyDescent="0.25">
      <c r="O26353" s="20" t="str">
        <f>IF(N26353="","",COUNTIFS(RawData[[Date ]],N26353,RawData[Month List],$Q$6,RawData[Tour/Site],$Q$2,RawData[[Picker ID ]],$Q$3,RawData[Checker ID],$Q$4,RawData[[Error Type ]],$Q$5))</f>
        <v/>
      </c>
    </row>
    <row r="26354" spans="15:15" x14ac:dyDescent="0.25">
      <c r="O26354" s="20" t="str">
        <f>IF(N26354="","",COUNTIFS(RawData[[Date ]],N26354,RawData[Month List],$Q$6,RawData[Tour/Site],$Q$2,RawData[[Picker ID ]],$Q$3,RawData[Checker ID],$Q$4,RawData[[Error Type ]],$Q$5))</f>
        <v/>
      </c>
    </row>
    <row r="26355" spans="15:15" x14ac:dyDescent="0.25">
      <c r="O26355" s="20" t="str">
        <f>IF(N26355="","",COUNTIFS(RawData[[Date ]],N26355,RawData[Month List],$Q$6,RawData[Tour/Site],$Q$2,RawData[[Picker ID ]],$Q$3,RawData[Checker ID],$Q$4,RawData[[Error Type ]],$Q$5))</f>
        <v/>
      </c>
    </row>
    <row r="26356" spans="15:15" x14ac:dyDescent="0.25">
      <c r="O26356" s="20" t="str">
        <f>IF(N26356="","",COUNTIFS(RawData[[Date ]],N26356,RawData[Month List],$Q$6,RawData[Tour/Site],$Q$2,RawData[[Picker ID ]],$Q$3,RawData[Checker ID],$Q$4,RawData[[Error Type ]],$Q$5))</f>
        <v/>
      </c>
    </row>
    <row r="26357" spans="15:15" x14ac:dyDescent="0.25">
      <c r="O26357" s="20" t="str">
        <f>IF(N26357="","",COUNTIFS(RawData[[Date ]],N26357,RawData[Month List],$Q$6,RawData[Tour/Site],$Q$2,RawData[[Picker ID ]],$Q$3,RawData[Checker ID],$Q$4,RawData[[Error Type ]],$Q$5))</f>
        <v/>
      </c>
    </row>
    <row r="26358" spans="15:15" x14ac:dyDescent="0.25">
      <c r="O26358" s="20" t="str">
        <f>IF(N26358="","",COUNTIFS(RawData[[Date ]],N26358,RawData[Month List],$Q$6,RawData[Tour/Site],$Q$2,RawData[[Picker ID ]],$Q$3,RawData[Checker ID],$Q$4,RawData[[Error Type ]],$Q$5))</f>
        <v/>
      </c>
    </row>
    <row r="26359" spans="15:15" x14ac:dyDescent="0.25">
      <c r="O26359" s="20" t="str">
        <f>IF(N26359="","",COUNTIFS(RawData[[Date ]],N26359,RawData[Month List],$Q$6,RawData[Tour/Site],$Q$2,RawData[[Picker ID ]],$Q$3,RawData[Checker ID],$Q$4,RawData[[Error Type ]],$Q$5))</f>
        <v/>
      </c>
    </row>
    <row r="26360" spans="15:15" x14ac:dyDescent="0.25">
      <c r="O26360" s="20" t="str">
        <f>IF(N26360="","",COUNTIFS(RawData[[Date ]],N26360,RawData[Month List],$Q$6,RawData[Tour/Site],$Q$2,RawData[[Picker ID ]],$Q$3,RawData[Checker ID],$Q$4,RawData[[Error Type ]],$Q$5))</f>
        <v/>
      </c>
    </row>
    <row r="26361" spans="15:15" x14ac:dyDescent="0.25">
      <c r="O26361" s="20" t="str">
        <f>IF(N26361="","",COUNTIFS(RawData[[Date ]],N26361,RawData[Month List],$Q$6,RawData[Tour/Site],$Q$2,RawData[[Picker ID ]],$Q$3,RawData[Checker ID],$Q$4,RawData[[Error Type ]],$Q$5))</f>
        <v/>
      </c>
    </row>
    <row r="26362" spans="15:15" x14ac:dyDescent="0.25">
      <c r="O26362" s="20" t="str">
        <f>IF(N26362="","",COUNTIFS(RawData[[Date ]],N26362,RawData[Month List],$Q$6,RawData[Tour/Site],$Q$2,RawData[[Picker ID ]],$Q$3,RawData[Checker ID],$Q$4,RawData[[Error Type ]],$Q$5))</f>
        <v/>
      </c>
    </row>
    <row r="26363" spans="15:15" x14ac:dyDescent="0.25">
      <c r="O26363" s="20" t="str">
        <f>IF(N26363="","",COUNTIFS(RawData[[Date ]],N26363,RawData[Month List],$Q$6,RawData[Tour/Site],$Q$2,RawData[[Picker ID ]],$Q$3,RawData[Checker ID],$Q$4,RawData[[Error Type ]],$Q$5))</f>
        <v/>
      </c>
    </row>
    <row r="26364" spans="15:15" x14ac:dyDescent="0.25">
      <c r="O26364" s="20" t="str">
        <f>IF(N26364="","",COUNTIFS(RawData[[Date ]],N26364,RawData[Month List],$Q$6,RawData[Tour/Site],$Q$2,RawData[[Picker ID ]],$Q$3,RawData[Checker ID],$Q$4,RawData[[Error Type ]],$Q$5))</f>
        <v/>
      </c>
    </row>
    <row r="26365" spans="15:15" x14ac:dyDescent="0.25">
      <c r="O26365" s="20" t="str">
        <f>IF(N26365="","",COUNTIFS(RawData[[Date ]],N26365,RawData[Month List],$Q$6,RawData[Tour/Site],$Q$2,RawData[[Picker ID ]],$Q$3,RawData[Checker ID],$Q$4,RawData[[Error Type ]],$Q$5))</f>
        <v/>
      </c>
    </row>
    <row r="26366" spans="15:15" x14ac:dyDescent="0.25">
      <c r="O26366" s="20" t="str">
        <f>IF(N26366="","",COUNTIFS(RawData[[Date ]],N26366,RawData[Month List],$Q$6,RawData[Tour/Site],$Q$2,RawData[[Picker ID ]],$Q$3,RawData[Checker ID],$Q$4,RawData[[Error Type ]],$Q$5))</f>
        <v/>
      </c>
    </row>
    <row r="26367" spans="15:15" x14ac:dyDescent="0.25">
      <c r="O26367" s="20" t="str">
        <f>IF(N26367="","",COUNTIFS(RawData[[Date ]],N26367,RawData[Month List],$Q$6,RawData[Tour/Site],$Q$2,RawData[[Picker ID ]],$Q$3,RawData[Checker ID],$Q$4,RawData[[Error Type ]],$Q$5))</f>
        <v/>
      </c>
    </row>
    <row r="26368" spans="15:15" x14ac:dyDescent="0.25">
      <c r="O26368" s="20" t="str">
        <f>IF(N26368="","",COUNTIFS(RawData[[Date ]],N26368,RawData[Month List],$Q$6,RawData[Tour/Site],$Q$2,RawData[[Picker ID ]],$Q$3,RawData[Checker ID],$Q$4,RawData[[Error Type ]],$Q$5))</f>
        <v/>
      </c>
    </row>
    <row r="26369" spans="15:15" x14ac:dyDescent="0.25">
      <c r="O26369" s="20" t="str">
        <f>IF(N26369="","",COUNTIFS(RawData[[Date ]],N26369,RawData[Month List],$Q$6,RawData[Tour/Site],$Q$2,RawData[[Picker ID ]],$Q$3,RawData[Checker ID],$Q$4,RawData[[Error Type ]],$Q$5))</f>
        <v/>
      </c>
    </row>
    <row r="26370" spans="15:15" x14ac:dyDescent="0.25">
      <c r="O26370" s="20" t="str">
        <f>IF(N26370="","",COUNTIFS(RawData[[Date ]],N26370,RawData[Month List],$Q$6,RawData[Tour/Site],$Q$2,RawData[[Picker ID ]],$Q$3,RawData[Checker ID],$Q$4,RawData[[Error Type ]],$Q$5))</f>
        <v/>
      </c>
    </row>
    <row r="26371" spans="15:15" x14ac:dyDescent="0.25">
      <c r="O26371" s="20" t="str">
        <f>IF(N26371="","",COUNTIFS(RawData[[Date ]],N26371,RawData[Month List],$Q$6,RawData[Tour/Site],$Q$2,RawData[[Picker ID ]],$Q$3,RawData[Checker ID],$Q$4,RawData[[Error Type ]],$Q$5))</f>
        <v/>
      </c>
    </row>
    <row r="26372" spans="15:15" x14ac:dyDescent="0.25">
      <c r="O26372" s="20" t="str">
        <f>IF(N26372="","",COUNTIFS(RawData[[Date ]],N26372,RawData[Month List],$Q$6,RawData[Tour/Site],$Q$2,RawData[[Picker ID ]],$Q$3,RawData[Checker ID],$Q$4,RawData[[Error Type ]],$Q$5))</f>
        <v/>
      </c>
    </row>
    <row r="26373" spans="15:15" x14ac:dyDescent="0.25">
      <c r="O26373" s="20" t="str">
        <f>IF(N26373="","",COUNTIFS(RawData[[Date ]],N26373,RawData[Month List],$Q$6,RawData[Tour/Site],$Q$2,RawData[[Picker ID ]],$Q$3,RawData[Checker ID],$Q$4,RawData[[Error Type ]],$Q$5))</f>
        <v/>
      </c>
    </row>
    <row r="26374" spans="15:15" x14ac:dyDescent="0.25">
      <c r="O26374" s="20" t="str">
        <f>IF(N26374="","",COUNTIFS(RawData[[Date ]],N26374,RawData[Month List],$Q$6,RawData[Tour/Site],$Q$2,RawData[[Picker ID ]],$Q$3,RawData[Checker ID],$Q$4,RawData[[Error Type ]],$Q$5))</f>
        <v/>
      </c>
    </row>
    <row r="26375" spans="15:15" x14ac:dyDescent="0.25">
      <c r="O26375" s="20" t="str">
        <f>IF(N26375="","",COUNTIFS(RawData[[Date ]],N26375,RawData[Month List],$Q$6,RawData[Tour/Site],$Q$2,RawData[[Picker ID ]],$Q$3,RawData[Checker ID],$Q$4,RawData[[Error Type ]],$Q$5))</f>
        <v/>
      </c>
    </row>
    <row r="26376" spans="15:15" x14ac:dyDescent="0.25">
      <c r="O26376" s="20" t="str">
        <f>IF(N26376="","",COUNTIFS(RawData[[Date ]],N26376,RawData[Month List],$Q$6,RawData[Tour/Site],$Q$2,RawData[[Picker ID ]],$Q$3,RawData[Checker ID],$Q$4,RawData[[Error Type ]],$Q$5))</f>
        <v/>
      </c>
    </row>
    <row r="26377" spans="15:15" x14ac:dyDescent="0.25">
      <c r="O26377" s="20" t="str">
        <f>IF(N26377="","",COUNTIFS(RawData[[Date ]],N26377,RawData[Month List],$Q$6,RawData[Tour/Site],$Q$2,RawData[[Picker ID ]],$Q$3,RawData[Checker ID],$Q$4,RawData[[Error Type ]],$Q$5))</f>
        <v/>
      </c>
    </row>
    <row r="26378" spans="15:15" x14ac:dyDescent="0.25">
      <c r="O26378" s="20" t="str">
        <f>IF(N26378="","",COUNTIFS(RawData[[Date ]],N26378,RawData[Month List],$Q$6,RawData[Tour/Site],$Q$2,RawData[[Picker ID ]],$Q$3,RawData[Checker ID],$Q$4,RawData[[Error Type ]],$Q$5))</f>
        <v/>
      </c>
    </row>
    <row r="26379" spans="15:15" x14ac:dyDescent="0.25">
      <c r="O26379" s="20" t="str">
        <f>IF(N26379="","",COUNTIFS(RawData[[Date ]],N26379,RawData[Month List],$Q$6,RawData[Tour/Site],$Q$2,RawData[[Picker ID ]],$Q$3,RawData[Checker ID],$Q$4,RawData[[Error Type ]],$Q$5))</f>
        <v/>
      </c>
    </row>
    <row r="26380" spans="15:15" x14ac:dyDescent="0.25">
      <c r="O26380" s="20" t="str">
        <f>IF(N26380="","",COUNTIFS(RawData[[Date ]],N26380,RawData[Month List],$Q$6,RawData[Tour/Site],$Q$2,RawData[[Picker ID ]],$Q$3,RawData[Checker ID],$Q$4,RawData[[Error Type ]],$Q$5))</f>
        <v/>
      </c>
    </row>
    <row r="26381" spans="15:15" x14ac:dyDescent="0.25">
      <c r="O26381" s="20" t="str">
        <f>IF(N26381="","",COUNTIFS(RawData[[Date ]],N26381,RawData[Month List],$Q$6,RawData[Tour/Site],$Q$2,RawData[[Picker ID ]],$Q$3,RawData[Checker ID],$Q$4,RawData[[Error Type ]],$Q$5))</f>
        <v/>
      </c>
    </row>
    <row r="26382" spans="15:15" x14ac:dyDescent="0.25">
      <c r="O26382" s="20" t="str">
        <f>IF(N26382="","",COUNTIFS(RawData[[Date ]],N26382,RawData[Month List],$Q$6,RawData[Tour/Site],$Q$2,RawData[[Picker ID ]],$Q$3,RawData[Checker ID],$Q$4,RawData[[Error Type ]],$Q$5))</f>
        <v/>
      </c>
    </row>
    <row r="26383" spans="15:15" x14ac:dyDescent="0.25">
      <c r="O26383" s="20" t="str">
        <f>IF(N26383="","",COUNTIFS(RawData[[Date ]],N26383,RawData[Month List],$Q$6,RawData[Tour/Site],$Q$2,RawData[[Picker ID ]],$Q$3,RawData[Checker ID],$Q$4,RawData[[Error Type ]],$Q$5))</f>
        <v/>
      </c>
    </row>
    <row r="26384" spans="15:15" x14ac:dyDescent="0.25">
      <c r="O26384" s="20" t="str">
        <f>IF(N26384="","",COUNTIFS(RawData[[Date ]],N26384,RawData[Month List],$Q$6,RawData[Tour/Site],$Q$2,RawData[[Picker ID ]],$Q$3,RawData[Checker ID],$Q$4,RawData[[Error Type ]],$Q$5))</f>
        <v/>
      </c>
    </row>
    <row r="26385" spans="15:15" x14ac:dyDescent="0.25">
      <c r="O26385" s="20" t="str">
        <f>IF(N26385="","",COUNTIFS(RawData[[Date ]],N26385,RawData[Month List],$Q$6,RawData[Tour/Site],$Q$2,RawData[[Picker ID ]],$Q$3,RawData[Checker ID],$Q$4,RawData[[Error Type ]],$Q$5))</f>
        <v/>
      </c>
    </row>
    <row r="26386" spans="15:15" x14ac:dyDescent="0.25">
      <c r="O26386" s="20" t="str">
        <f>IF(N26386="","",COUNTIFS(RawData[[Date ]],N26386,RawData[Month List],$Q$6,RawData[Tour/Site],$Q$2,RawData[[Picker ID ]],$Q$3,RawData[Checker ID],$Q$4,RawData[[Error Type ]],$Q$5))</f>
        <v/>
      </c>
    </row>
    <row r="26387" spans="15:15" x14ac:dyDescent="0.25">
      <c r="O26387" s="20" t="str">
        <f>IF(N26387="","",COUNTIFS(RawData[[Date ]],N26387,RawData[Month List],$Q$6,RawData[Tour/Site],$Q$2,RawData[[Picker ID ]],$Q$3,RawData[Checker ID],$Q$4,RawData[[Error Type ]],$Q$5))</f>
        <v/>
      </c>
    </row>
    <row r="26388" spans="15:15" x14ac:dyDescent="0.25">
      <c r="O26388" s="20" t="str">
        <f>IF(N26388="","",COUNTIFS(RawData[[Date ]],N26388,RawData[Month List],$Q$6,RawData[Tour/Site],$Q$2,RawData[[Picker ID ]],$Q$3,RawData[Checker ID],$Q$4,RawData[[Error Type ]],$Q$5))</f>
        <v/>
      </c>
    </row>
    <row r="26389" spans="15:15" x14ac:dyDescent="0.25">
      <c r="O26389" s="20" t="str">
        <f>IF(N26389="","",COUNTIFS(RawData[[Date ]],N26389,RawData[Month List],$Q$6,RawData[Tour/Site],$Q$2,RawData[[Picker ID ]],$Q$3,RawData[Checker ID],$Q$4,RawData[[Error Type ]],$Q$5))</f>
        <v/>
      </c>
    </row>
    <row r="26390" spans="15:15" x14ac:dyDescent="0.25">
      <c r="O26390" s="20" t="str">
        <f>IF(N26390="","",COUNTIFS(RawData[[Date ]],N26390,RawData[Month List],$Q$6,RawData[Tour/Site],$Q$2,RawData[[Picker ID ]],$Q$3,RawData[Checker ID],$Q$4,RawData[[Error Type ]],$Q$5))</f>
        <v/>
      </c>
    </row>
    <row r="26391" spans="15:15" x14ac:dyDescent="0.25">
      <c r="O26391" s="20" t="str">
        <f>IF(N26391="","",COUNTIFS(RawData[[Date ]],N26391,RawData[Month List],$Q$6,RawData[Tour/Site],$Q$2,RawData[[Picker ID ]],$Q$3,RawData[Checker ID],$Q$4,RawData[[Error Type ]],$Q$5))</f>
        <v/>
      </c>
    </row>
    <row r="26392" spans="15:15" x14ac:dyDescent="0.25">
      <c r="O26392" s="20" t="str">
        <f>IF(N26392="","",COUNTIFS(RawData[[Date ]],N26392,RawData[Month List],$Q$6,RawData[Tour/Site],$Q$2,RawData[[Picker ID ]],$Q$3,RawData[Checker ID],$Q$4,RawData[[Error Type ]],$Q$5))</f>
        <v/>
      </c>
    </row>
    <row r="26393" spans="15:15" x14ac:dyDescent="0.25">
      <c r="O26393" s="20" t="str">
        <f>IF(N26393="","",COUNTIFS(RawData[[Date ]],N26393,RawData[Month List],$Q$6,RawData[Tour/Site],$Q$2,RawData[[Picker ID ]],$Q$3,RawData[Checker ID],$Q$4,RawData[[Error Type ]],$Q$5))</f>
        <v/>
      </c>
    </row>
    <row r="26394" spans="15:15" x14ac:dyDescent="0.25">
      <c r="O26394" s="20" t="str">
        <f>IF(N26394="","",COUNTIFS(RawData[[Date ]],N26394,RawData[Month List],$Q$6,RawData[Tour/Site],$Q$2,RawData[[Picker ID ]],$Q$3,RawData[Checker ID],$Q$4,RawData[[Error Type ]],$Q$5))</f>
        <v/>
      </c>
    </row>
    <row r="26395" spans="15:15" x14ac:dyDescent="0.25">
      <c r="O26395" s="20" t="str">
        <f>IF(N26395="","",COUNTIFS(RawData[[Date ]],N26395,RawData[Month List],$Q$6,RawData[Tour/Site],$Q$2,RawData[[Picker ID ]],$Q$3,RawData[Checker ID],$Q$4,RawData[[Error Type ]],$Q$5))</f>
        <v/>
      </c>
    </row>
    <row r="26396" spans="15:15" x14ac:dyDescent="0.25">
      <c r="O26396" s="20" t="str">
        <f>IF(N26396="","",COUNTIFS(RawData[[Date ]],N26396,RawData[Month List],$Q$6,RawData[Tour/Site],$Q$2,RawData[[Picker ID ]],$Q$3,RawData[Checker ID],$Q$4,RawData[[Error Type ]],$Q$5))</f>
        <v/>
      </c>
    </row>
    <row r="26397" spans="15:15" x14ac:dyDescent="0.25">
      <c r="O26397" s="20" t="str">
        <f>IF(N26397="","",COUNTIFS(RawData[[Date ]],N26397,RawData[Month List],$Q$6,RawData[Tour/Site],$Q$2,RawData[[Picker ID ]],$Q$3,RawData[Checker ID],$Q$4,RawData[[Error Type ]],$Q$5))</f>
        <v/>
      </c>
    </row>
    <row r="26398" spans="15:15" x14ac:dyDescent="0.25">
      <c r="O26398" s="20" t="str">
        <f>IF(N26398="","",COUNTIFS(RawData[[Date ]],N26398,RawData[Month List],$Q$6,RawData[Tour/Site],$Q$2,RawData[[Picker ID ]],$Q$3,RawData[Checker ID],$Q$4,RawData[[Error Type ]],$Q$5))</f>
        <v/>
      </c>
    </row>
    <row r="26399" spans="15:15" x14ac:dyDescent="0.25">
      <c r="O26399" s="20" t="str">
        <f>IF(N26399="","",COUNTIFS(RawData[[Date ]],N26399,RawData[Month List],$Q$6,RawData[Tour/Site],$Q$2,RawData[[Picker ID ]],$Q$3,RawData[Checker ID],$Q$4,RawData[[Error Type ]],$Q$5))</f>
        <v/>
      </c>
    </row>
    <row r="26400" spans="15:15" x14ac:dyDescent="0.25">
      <c r="O26400" s="20" t="str">
        <f>IF(N26400="","",COUNTIFS(RawData[[Date ]],N26400,RawData[Month List],$Q$6,RawData[Tour/Site],$Q$2,RawData[[Picker ID ]],$Q$3,RawData[Checker ID],$Q$4,RawData[[Error Type ]],$Q$5))</f>
        <v/>
      </c>
    </row>
    <row r="26401" spans="15:15" x14ac:dyDescent="0.25">
      <c r="O26401" s="20" t="str">
        <f>IF(N26401="","",COUNTIFS(RawData[[Date ]],N26401,RawData[Month List],$Q$6,RawData[Tour/Site],$Q$2,RawData[[Picker ID ]],$Q$3,RawData[Checker ID],$Q$4,RawData[[Error Type ]],$Q$5))</f>
        <v/>
      </c>
    </row>
    <row r="26402" spans="15:15" x14ac:dyDescent="0.25">
      <c r="O26402" s="20" t="str">
        <f>IF(N26402="","",COUNTIFS(RawData[[Date ]],N26402,RawData[Month List],$Q$6,RawData[Tour/Site],$Q$2,RawData[[Picker ID ]],$Q$3,RawData[Checker ID],$Q$4,RawData[[Error Type ]],$Q$5))</f>
        <v/>
      </c>
    </row>
    <row r="26403" spans="15:15" x14ac:dyDescent="0.25">
      <c r="O26403" s="20" t="str">
        <f>IF(N26403="","",COUNTIFS(RawData[[Date ]],N26403,RawData[Month List],$Q$6,RawData[Tour/Site],$Q$2,RawData[[Picker ID ]],$Q$3,RawData[Checker ID],$Q$4,RawData[[Error Type ]],$Q$5))</f>
        <v/>
      </c>
    </row>
    <row r="26404" spans="15:15" x14ac:dyDescent="0.25">
      <c r="O26404" s="20" t="str">
        <f>IF(N26404="","",COUNTIFS(RawData[[Date ]],N26404,RawData[Month List],$Q$6,RawData[Tour/Site],$Q$2,RawData[[Picker ID ]],$Q$3,RawData[Checker ID],$Q$4,RawData[[Error Type ]],$Q$5))</f>
        <v/>
      </c>
    </row>
    <row r="26405" spans="15:15" x14ac:dyDescent="0.25">
      <c r="O26405" s="20" t="str">
        <f>IF(N26405="","",COUNTIFS(RawData[[Date ]],N26405,RawData[Month List],$Q$6,RawData[Tour/Site],$Q$2,RawData[[Picker ID ]],$Q$3,RawData[Checker ID],$Q$4,RawData[[Error Type ]],$Q$5))</f>
        <v/>
      </c>
    </row>
    <row r="26406" spans="15:15" x14ac:dyDescent="0.25">
      <c r="O26406" s="20" t="str">
        <f>IF(N26406="","",COUNTIFS(RawData[[Date ]],N26406,RawData[Month List],$Q$6,RawData[Tour/Site],$Q$2,RawData[[Picker ID ]],$Q$3,RawData[Checker ID],$Q$4,RawData[[Error Type ]],$Q$5))</f>
        <v/>
      </c>
    </row>
    <row r="26407" spans="15:15" x14ac:dyDescent="0.25">
      <c r="O26407" s="20" t="str">
        <f>IF(N26407="","",COUNTIFS(RawData[[Date ]],N26407,RawData[Month List],$Q$6,RawData[Tour/Site],$Q$2,RawData[[Picker ID ]],$Q$3,RawData[Checker ID],$Q$4,RawData[[Error Type ]],$Q$5))</f>
        <v/>
      </c>
    </row>
    <row r="26408" spans="15:15" x14ac:dyDescent="0.25">
      <c r="O26408" s="20" t="str">
        <f>IF(N26408="","",COUNTIFS(RawData[[Date ]],N26408,RawData[Month List],$Q$6,RawData[Tour/Site],$Q$2,RawData[[Picker ID ]],$Q$3,RawData[Checker ID],$Q$4,RawData[[Error Type ]],$Q$5))</f>
        <v/>
      </c>
    </row>
    <row r="26409" spans="15:15" x14ac:dyDescent="0.25">
      <c r="O26409" s="20" t="str">
        <f>IF(N26409="","",COUNTIFS(RawData[[Date ]],N26409,RawData[Month List],$Q$6,RawData[Tour/Site],$Q$2,RawData[[Picker ID ]],$Q$3,RawData[Checker ID],$Q$4,RawData[[Error Type ]],$Q$5))</f>
        <v/>
      </c>
    </row>
    <row r="26410" spans="15:15" x14ac:dyDescent="0.25">
      <c r="O26410" s="20" t="str">
        <f>IF(N26410="","",COUNTIFS(RawData[[Date ]],N26410,RawData[Month List],$Q$6,RawData[Tour/Site],$Q$2,RawData[[Picker ID ]],$Q$3,RawData[Checker ID],$Q$4,RawData[[Error Type ]],$Q$5))</f>
        <v/>
      </c>
    </row>
    <row r="26411" spans="15:15" x14ac:dyDescent="0.25">
      <c r="O26411" s="20" t="str">
        <f>IF(N26411="","",COUNTIFS(RawData[[Date ]],N26411,RawData[Month List],$Q$6,RawData[Tour/Site],$Q$2,RawData[[Picker ID ]],$Q$3,RawData[Checker ID],$Q$4,RawData[[Error Type ]],$Q$5))</f>
        <v/>
      </c>
    </row>
    <row r="26412" spans="15:15" x14ac:dyDescent="0.25">
      <c r="O26412" s="20" t="str">
        <f>IF(N26412="","",COUNTIFS(RawData[[Date ]],N26412,RawData[Month List],$Q$6,RawData[Tour/Site],$Q$2,RawData[[Picker ID ]],$Q$3,RawData[Checker ID],$Q$4,RawData[[Error Type ]],$Q$5))</f>
        <v/>
      </c>
    </row>
    <row r="26413" spans="15:15" x14ac:dyDescent="0.25">
      <c r="O26413" s="20" t="str">
        <f>IF(N26413="","",COUNTIFS(RawData[[Date ]],N26413,RawData[Month List],$Q$6,RawData[Tour/Site],$Q$2,RawData[[Picker ID ]],$Q$3,RawData[Checker ID],$Q$4,RawData[[Error Type ]],$Q$5))</f>
        <v/>
      </c>
    </row>
    <row r="26414" spans="15:15" x14ac:dyDescent="0.25">
      <c r="O26414" s="20" t="str">
        <f>IF(N26414="","",COUNTIFS(RawData[[Date ]],N26414,RawData[Month List],$Q$6,RawData[Tour/Site],$Q$2,RawData[[Picker ID ]],$Q$3,RawData[Checker ID],$Q$4,RawData[[Error Type ]],$Q$5))</f>
        <v/>
      </c>
    </row>
    <row r="26415" spans="15:15" x14ac:dyDescent="0.25">
      <c r="O26415" s="20" t="str">
        <f>IF(N26415="","",COUNTIFS(RawData[[Date ]],N26415,RawData[Month List],$Q$6,RawData[Tour/Site],$Q$2,RawData[[Picker ID ]],$Q$3,RawData[Checker ID],$Q$4,RawData[[Error Type ]],$Q$5))</f>
        <v/>
      </c>
    </row>
    <row r="26416" spans="15:15" x14ac:dyDescent="0.25">
      <c r="O26416" s="20" t="str">
        <f>IF(N26416="","",COUNTIFS(RawData[[Date ]],N26416,RawData[Month List],$Q$6,RawData[Tour/Site],$Q$2,RawData[[Picker ID ]],$Q$3,RawData[Checker ID],$Q$4,RawData[[Error Type ]],$Q$5))</f>
        <v/>
      </c>
    </row>
    <row r="26417" spans="15:15" x14ac:dyDescent="0.25">
      <c r="O26417" s="20" t="str">
        <f>IF(N26417="","",COUNTIFS(RawData[[Date ]],N26417,RawData[Month List],$Q$6,RawData[Tour/Site],$Q$2,RawData[[Picker ID ]],$Q$3,RawData[Checker ID],$Q$4,RawData[[Error Type ]],$Q$5))</f>
        <v/>
      </c>
    </row>
    <row r="26418" spans="15:15" x14ac:dyDescent="0.25">
      <c r="O26418" s="20" t="str">
        <f>IF(N26418="","",COUNTIFS(RawData[[Date ]],N26418,RawData[Month List],$Q$6,RawData[Tour/Site],$Q$2,RawData[[Picker ID ]],$Q$3,RawData[Checker ID],$Q$4,RawData[[Error Type ]],$Q$5))</f>
        <v/>
      </c>
    </row>
    <row r="26419" spans="15:15" x14ac:dyDescent="0.25">
      <c r="O26419" s="20" t="str">
        <f>IF(N26419="","",COUNTIFS(RawData[[Date ]],N26419,RawData[Month List],$Q$6,RawData[Tour/Site],$Q$2,RawData[[Picker ID ]],$Q$3,RawData[Checker ID],$Q$4,RawData[[Error Type ]],$Q$5))</f>
        <v/>
      </c>
    </row>
    <row r="26420" spans="15:15" x14ac:dyDescent="0.25">
      <c r="O26420" s="20" t="str">
        <f>IF(N26420="","",COUNTIFS(RawData[[Date ]],N26420,RawData[Month List],$Q$6,RawData[Tour/Site],$Q$2,RawData[[Picker ID ]],$Q$3,RawData[Checker ID],$Q$4,RawData[[Error Type ]],$Q$5))</f>
        <v/>
      </c>
    </row>
    <row r="26421" spans="15:15" x14ac:dyDescent="0.25">
      <c r="O26421" s="20" t="str">
        <f>IF(N26421="","",COUNTIFS(RawData[[Date ]],N26421,RawData[Month List],$Q$6,RawData[Tour/Site],$Q$2,RawData[[Picker ID ]],$Q$3,RawData[Checker ID],$Q$4,RawData[[Error Type ]],$Q$5))</f>
        <v/>
      </c>
    </row>
    <row r="26422" spans="15:15" x14ac:dyDescent="0.25">
      <c r="O26422" s="20" t="str">
        <f>IF(N26422="","",COUNTIFS(RawData[[Date ]],N26422,RawData[Month List],$Q$6,RawData[Tour/Site],$Q$2,RawData[[Picker ID ]],$Q$3,RawData[Checker ID],$Q$4,RawData[[Error Type ]],$Q$5))</f>
        <v/>
      </c>
    </row>
    <row r="26423" spans="15:15" x14ac:dyDescent="0.25">
      <c r="O26423" s="20" t="str">
        <f>IF(N26423="","",COUNTIFS(RawData[[Date ]],N26423,RawData[Month List],$Q$6,RawData[Tour/Site],$Q$2,RawData[[Picker ID ]],$Q$3,RawData[Checker ID],$Q$4,RawData[[Error Type ]],$Q$5))</f>
        <v/>
      </c>
    </row>
    <row r="26424" spans="15:15" x14ac:dyDescent="0.25">
      <c r="O26424" s="20" t="str">
        <f>IF(N26424="","",COUNTIFS(RawData[[Date ]],N26424,RawData[Month List],$Q$6,RawData[Tour/Site],$Q$2,RawData[[Picker ID ]],$Q$3,RawData[Checker ID],$Q$4,RawData[[Error Type ]],$Q$5))</f>
        <v/>
      </c>
    </row>
    <row r="26425" spans="15:15" x14ac:dyDescent="0.25">
      <c r="O26425" s="20" t="str">
        <f>IF(N26425="","",COUNTIFS(RawData[[Date ]],N26425,RawData[Month List],$Q$6,RawData[Tour/Site],$Q$2,RawData[[Picker ID ]],$Q$3,RawData[Checker ID],$Q$4,RawData[[Error Type ]],$Q$5))</f>
        <v/>
      </c>
    </row>
    <row r="26426" spans="15:15" x14ac:dyDescent="0.25">
      <c r="O26426" s="20" t="str">
        <f>IF(N26426="","",COUNTIFS(RawData[[Date ]],N26426,RawData[Month List],$Q$6,RawData[Tour/Site],$Q$2,RawData[[Picker ID ]],$Q$3,RawData[Checker ID],$Q$4,RawData[[Error Type ]],$Q$5))</f>
        <v/>
      </c>
    </row>
    <row r="26427" spans="15:15" x14ac:dyDescent="0.25">
      <c r="O26427" s="20" t="str">
        <f>IF(N26427="","",COUNTIFS(RawData[[Date ]],N26427,RawData[Month List],$Q$6,RawData[Tour/Site],$Q$2,RawData[[Picker ID ]],$Q$3,RawData[Checker ID],$Q$4,RawData[[Error Type ]],$Q$5))</f>
        <v/>
      </c>
    </row>
    <row r="26428" spans="15:15" x14ac:dyDescent="0.25">
      <c r="O26428" s="20" t="str">
        <f>IF(N26428="","",COUNTIFS(RawData[[Date ]],N26428,RawData[Month List],$Q$6,RawData[Tour/Site],$Q$2,RawData[[Picker ID ]],$Q$3,RawData[Checker ID],$Q$4,RawData[[Error Type ]],$Q$5))</f>
        <v/>
      </c>
    </row>
    <row r="26429" spans="15:15" x14ac:dyDescent="0.25">
      <c r="O26429" s="20" t="str">
        <f>IF(N26429="","",COUNTIFS(RawData[[Date ]],N26429,RawData[Month List],$Q$6,RawData[Tour/Site],$Q$2,RawData[[Picker ID ]],$Q$3,RawData[Checker ID],$Q$4,RawData[[Error Type ]],$Q$5))</f>
        <v/>
      </c>
    </row>
    <row r="26430" spans="15:15" x14ac:dyDescent="0.25">
      <c r="O26430" s="20" t="str">
        <f>IF(N26430="","",COUNTIFS(RawData[[Date ]],N26430,RawData[Month List],$Q$6,RawData[Tour/Site],$Q$2,RawData[[Picker ID ]],$Q$3,RawData[Checker ID],$Q$4,RawData[[Error Type ]],$Q$5))</f>
        <v/>
      </c>
    </row>
    <row r="26431" spans="15:15" x14ac:dyDescent="0.25">
      <c r="O26431" s="20" t="str">
        <f>IF(N26431="","",COUNTIFS(RawData[[Date ]],N26431,RawData[Month List],$Q$6,RawData[Tour/Site],$Q$2,RawData[[Picker ID ]],$Q$3,RawData[Checker ID],$Q$4,RawData[[Error Type ]],$Q$5))</f>
        <v/>
      </c>
    </row>
    <row r="26432" spans="15:15" x14ac:dyDescent="0.25">
      <c r="O26432" s="20" t="str">
        <f>IF(N26432="","",COUNTIFS(RawData[[Date ]],N26432,RawData[Month List],$Q$6,RawData[Tour/Site],$Q$2,RawData[[Picker ID ]],$Q$3,RawData[Checker ID],$Q$4,RawData[[Error Type ]],$Q$5))</f>
        <v/>
      </c>
    </row>
    <row r="26433" spans="15:15" x14ac:dyDescent="0.25">
      <c r="O26433" s="20" t="str">
        <f>IF(N26433="","",COUNTIFS(RawData[[Date ]],N26433,RawData[Month List],$Q$6,RawData[Tour/Site],$Q$2,RawData[[Picker ID ]],$Q$3,RawData[Checker ID],$Q$4,RawData[[Error Type ]],$Q$5))</f>
        <v/>
      </c>
    </row>
    <row r="26434" spans="15:15" x14ac:dyDescent="0.25">
      <c r="O26434" s="20" t="str">
        <f>IF(N26434="","",COUNTIFS(RawData[[Date ]],N26434,RawData[Month List],$Q$6,RawData[Tour/Site],$Q$2,RawData[[Picker ID ]],$Q$3,RawData[Checker ID],$Q$4,RawData[[Error Type ]],$Q$5))</f>
        <v/>
      </c>
    </row>
    <row r="26435" spans="15:15" x14ac:dyDescent="0.25">
      <c r="O26435" s="20" t="str">
        <f>IF(N26435="","",COUNTIFS(RawData[[Date ]],N26435,RawData[Month List],$Q$6,RawData[Tour/Site],$Q$2,RawData[[Picker ID ]],$Q$3,RawData[Checker ID],$Q$4,RawData[[Error Type ]],$Q$5))</f>
        <v/>
      </c>
    </row>
    <row r="26436" spans="15:15" x14ac:dyDescent="0.25">
      <c r="O26436" s="20" t="str">
        <f>IF(N26436="","",COUNTIFS(RawData[[Date ]],N26436,RawData[Month List],$Q$6,RawData[Tour/Site],$Q$2,RawData[[Picker ID ]],$Q$3,RawData[Checker ID],$Q$4,RawData[[Error Type ]],$Q$5))</f>
        <v/>
      </c>
    </row>
    <row r="26437" spans="15:15" x14ac:dyDescent="0.25">
      <c r="O26437" s="20" t="str">
        <f>IF(N26437="","",COUNTIFS(RawData[[Date ]],N26437,RawData[Month List],$Q$6,RawData[Tour/Site],$Q$2,RawData[[Picker ID ]],$Q$3,RawData[Checker ID],$Q$4,RawData[[Error Type ]],$Q$5))</f>
        <v/>
      </c>
    </row>
    <row r="26438" spans="15:15" x14ac:dyDescent="0.25">
      <c r="O26438" s="20" t="str">
        <f>IF(N26438="","",COUNTIFS(RawData[[Date ]],N26438,RawData[Month List],$Q$6,RawData[Tour/Site],$Q$2,RawData[[Picker ID ]],$Q$3,RawData[Checker ID],$Q$4,RawData[[Error Type ]],$Q$5))</f>
        <v/>
      </c>
    </row>
    <row r="26439" spans="15:15" x14ac:dyDescent="0.25">
      <c r="O26439" s="20" t="str">
        <f>IF(N26439="","",COUNTIFS(RawData[[Date ]],N26439,RawData[Month List],$Q$6,RawData[Tour/Site],$Q$2,RawData[[Picker ID ]],$Q$3,RawData[Checker ID],$Q$4,RawData[[Error Type ]],$Q$5))</f>
        <v/>
      </c>
    </row>
    <row r="26440" spans="15:15" x14ac:dyDescent="0.25">
      <c r="O26440" s="20" t="str">
        <f>IF(N26440="","",COUNTIFS(RawData[[Date ]],N26440,RawData[Month List],$Q$6,RawData[Tour/Site],$Q$2,RawData[[Picker ID ]],$Q$3,RawData[Checker ID],$Q$4,RawData[[Error Type ]],$Q$5))</f>
        <v/>
      </c>
    </row>
    <row r="26441" spans="15:15" x14ac:dyDescent="0.25">
      <c r="O26441" s="20" t="str">
        <f>IF(N26441="","",COUNTIFS(RawData[[Date ]],N26441,RawData[Month List],$Q$6,RawData[Tour/Site],$Q$2,RawData[[Picker ID ]],$Q$3,RawData[Checker ID],$Q$4,RawData[[Error Type ]],$Q$5))</f>
        <v/>
      </c>
    </row>
    <row r="26442" spans="15:15" x14ac:dyDescent="0.25">
      <c r="O26442" s="20" t="str">
        <f>IF(N26442="","",COUNTIFS(RawData[[Date ]],N26442,RawData[Month List],$Q$6,RawData[Tour/Site],$Q$2,RawData[[Picker ID ]],$Q$3,RawData[Checker ID],$Q$4,RawData[[Error Type ]],$Q$5))</f>
        <v/>
      </c>
    </row>
    <row r="26443" spans="15:15" x14ac:dyDescent="0.25">
      <c r="O26443" s="20" t="str">
        <f>IF(N26443="","",COUNTIFS(RawData[[Date ]],N26443,RawData[Month List],$Q$6,RawData[Tour/Site],$Q$2,RawData[[Picker ID ]],$Q$3,RawData[Checker ID],$Q$4,RawData[[Error Type ]],$Q$5))</f>
        <v/>
      </c>
    </row>
    <row r="26444" spans="15:15" x14ac:dyDescent="0.25">
      <c r="O26444" s="20" t="str">
        <f>IF(N26444="","",COUNTIFS(RawData[[Date ]],N26444,RawData[Month List],$Q$6,RawData[Tour/Site],$Q$2,RawData[[Picker ID ]],$Q$3,RawData[Checker ID],$Q$4,RawData[[Error Type ]],$Q$5))</f>
        <v/>
      </c>
    </row>
    <row r="26445" spans="15:15" x14ac:dyDescent="0.25">
      <c r="O26445" s="20" t="str">
        <f>IF(N26445="","",COUNTIFS(RawData[[Date ]],N26445,RawData[Month List],$Q$6,RawData[Tour/Site],$Q$2,RawData[[Picker ID ]],$Q$3,RawData[Checker ID],$Q$4,RawData[[Error Type ]],$Q$5))</f>
        <v/>
      </c>
    </row>
    <row r="26446" spans="15:15" x14ac:dyDescent="0.25">
      <c r="O26446" s="20" t="str">
        <f>IF(N26446="","",COUNTIFS(RawData[[Date ]],N26446,RawData[Month List],$Q$6,RawData[Tour/Site],$Q$2,RawData[[Picker ID ]],$Q$3,RawData[Checker ID],$Q$4,RawData[[Error Type ]],$Q$5))</f>
        <v/>
      </c>
    </row>
    <row r="26447" spans="15:15" x14ac:dyDescent="0.25">
      <c r="O26447" s="20" t="str">
        <f>IF(N26447="","",COUNTIFS(RawData[[Date ]],N26447,RawData[Month List],$Q$6,RawData[Tour/Site],$Q$2,RawData[[Picker ID ]],$Q$3,RawData[Checker ID],$Q$4,RawData[[Error Type ]],$Q$5))</f>
        <v/>
      </c>
    </row>
    <row r="26448" spans="15:15" x14ac:dyDescent="0.25">
      <c r="O26448" s="20" t="str">
        <f>IF(N26448="","",COUNTIFS(RawData[[Date ]],N26448,RawData[Month List],$Q$6,RawData[Tour/Site],$Q$2,RawData[[Picker ID ]],$Q$3,RawData[Checker ID],$Q$4,RawData[[Error Type ]],$Q$5))</f>
        <v/>
      </c>
    </row>
    <row r="26449" spans="15:15" x14ac:dyDescent="0.25">
      <c r="O26449" s="20" t="str">
        <f>IF(N26449="","",COUNTIFS(RawData[[Date ]],N26449,RawData[Month List],$Q$6,RawData[Tour/Site],$Q$2,RawData[[Picker ID ]],$Q$3,RawData[Checker ID],$Q$4,RawData[[Error Type ]],$Q$5))</f>
        <v/>
      </c>
    </row>
    <row r="26450" spans="15:15" x14ac:dyDescent="0.25">
      <c r="O26450" s="20" t="str">
        <f>IF(N26450="","",COUNTIFS(RawData[[Date ]],N26450,RawData[Month List],$Q$6,RawData[Tour/Site],$Q$2,RawData[[Picker ID ]],$Q$3,RawData[Checker ID],$Q$4,RawData[[Error Type ]],$Q$5))</f>
        <v/>
      </c>
    </row>
    <row r="26451" spans="15:15" x14ac:dyDescent="0.25">
      <c r="O26451" s="20" t="str">
        <f>IF(N26451="","",COUNTIFS(RawData[[Date ]],N26451,RawData[Month List],$Q$6,RawData[Tour/Site],$Q$2,RawData[[Picker ID ]],$Q$3,RawData[Checker ID],$Q$4,RawData[[Error Type ]],$Q$5))</f>
        <v/>
      </c>
    </row>
    <row r="26452" spans="15:15" x14ac:dyDescent="0.25">
      <c r="O26452" s="20" t="str">
        <f>IF(N26452="","",COUNTIFS(RawData[[Date ]],N26452,RawData[Month List],$Q$6,RawData[Tour/Site],$Q$2,RawData[[Picker ID ]],$Q$3,RawData[Checker ID],$Q$4,RawData[[Error Type ]],$Q$5))</f>
        <v/>
      </c>
    </row>
    <row r="26453" spans="15:15" x14ac:dyDescent="0.25">
      <c r="O26453" s="20" t="str">
        <f>IF(N26453="","",COUNTIFS(RawData[[Date ]],N26453,RawData[Month List],$Q$6,RawData[Tour/Site],$Q$2,RawData[[Picker ID ]],$Q$3,RawData[Checker ID],$Q$4,RawData[[Error Type ]],$Q$5))</f>
        <v/>
      </c>
    </row>
    <row r="26454" spans="15:15" x14ac:dyDescent="0.25">
      <c r="O26454" s="20" t="str">
        <f>IF(N26454="","",COUNTIFS(RawData[[Date ]],N26454,RawData[Month List],$Q$6,RawData[Tour/Site],$Q$2,RawData[[Picker ID ]],$Q$3,RawData[Checker ID],$Q$4,RawData[[Error Type ]],$Q$5))</f>
        <v/>
      </c>
    </row>
    <row r="26455" spans="15:15" x14ac:dyDescent="0.25">
      <c r="O26455" s="20" t="str">
        <f>IF(N26455="","",COUNTIFS(RawData[[Date ]],N26455,RawData[Month List],$Q$6,RawData[Tour/Site],$Q$2,RawData[[Picker ID ]],$Q$3,RawData[Checker ID],$Q$4,RawData[[Error Type ]],$Q$5))</f>
        <v/>
      </c>
    </row>
    <row r="26456" spans="15:15" x14ac:dyDescent="0.25">
      <c r="O26456" s="20" t="str">
        <f>IF(N26456="","",COUNTIFS(RawData[[Date ]],N26456,RawData[Month List],$Q$6,RawData[Tour/Site],$Q$2,RawData[[Picker ID ]],$Q$3,RawData[Checker ID],$Q$4,RawData[[Error Type ]],$Q$5))</f>
        <v/>
      </c>
    </row>
    <row r="26457" spans="15:15" x14ac:dyDescent="0.25">
      <c r="O26457" s="20" t="str">
        <f>IF(N26457="","",COUNTIFS(RawData[[Date ]],N26457,RawData[Month List],$Q$6,RawData[Tour/Site],$Q$2,RawData[[Picker ID ]],$Q$3,RawData[Checker ID],$Q$4,RawData[[Error Type ]],$Q$5))</f>
        <v/>
      </c>
    </row>
    <row r="26458" spans="15:15" x14ac:dyDescent="0.25">
      <c r="O26458" s="20" t="str">
        <f>IF(N26458="","",COUNTIFS(RawData[[Date ]],N26458,RawData[Month List],$Q$6,RawData[Tour/Site],$Q$2,RawData[[Picker ID ]],$Q$3,RawData[Checker ID],$Q$4,RawData[[Error Type ]],$Q$5))</f>
        <v/>
      </c>
    </row>
    <row r="26459" spans="15:15" x14ac:dyDescent="0.25">
      <c r="O26459" s="20" t="str">
        <f>IF(N26459="","",COUNTIFS(RawData[[Date ]],N26459,RawData[Month List],$Q$6,RawData[Tour/Site],$Q$2,RawData[[Picker ID ]],$Q$3,RawData[Checker ID],$Q$4,RawData[[Error Type ]],$Q$5))</f>
        <v/>
      </c>
    </row>
    <row r="26460" spans="15:15" x14ac:dyDescent="0.25">
      <c r="O26460" s="20" t="str">
        <f>IF(N26460="","",COUNTIFS(RawData[[Date ]],N26460,RawData[Month List],$Q$6,RawData[Tour/Site],$Q$2,RawData[[Picker ID ]],$Q$3,RawData[Checker ID],$Q$4,RawData[[Error Type ]],$Q$5))</f>
        <v/>
      </c>
    </row>
    <row r="26461" spans="15:15" x14ac:dyDescent="0.25">
      <c r="O26461" s="20" t="str">
        <f>IF(N26461="","",COUNTIFS(RawData[[Date ]],N26461,RawData[Month List],$Q$6,RawData[Tour/Site],$Q$2,RawData[[Picker ID ]],$Q$3,RawData[Checker ID],$Q$4,RawData[[Error Type ]],$Q$5))</f>
        <v/>
      </c>
    </row>
    <row r="26462" spans="15:15" x14ac:dyDescent="0.25">
      <c r="O26462" s="20" t="str">
        <f>IF(N26462="","",COUNTIFS(RawData[[Date ]],N26462,RawData[Month List],$Q$6,RawData[Tour/Site],$Q$2,RawData[[Picker ID ]],$Q$3,RawData[Checker ID],$Q$4,RawData[[Error Type ]],$Q$5))</f>
        <v/>
      </c>
    </row>
    <row r="26463" spans="15:15" x14ac:dyDescent="0.25">
      <c r="O26463" s="20" t="str">
        <f>IF(N26463="","",COUNTIFS(RawData[[Date ]],N26463,RawData[Month List],$Q$6,RawData[Tour/Site],$Q$2,RawData[[Picker ID ]],$Q$3,RawData[Checker ID],$Q$4,RawData[[Error Type ]],$Q$5))</f>
        <v/>
      </c>
    </row>
    <row r="26464" spans="15:15" x14ac:dyDescent="0.25">
      <c r="O26464" s="20" t="str">
        <f>IF(N26464="","",COUNTIFS(RawData[[Date ]],N26464,RawData[Month List],$Q$6,RawData[Tour/Site],$Q$2,RawData[[Picker ID ]],$Q$3,RawData[Checker ID],$Q$4,RawData[[Error Type ]],$Q$5))</f>
        <v/>
      </c>
    </row>
    <row r="26465" spans="15:15" x14ac:dyDescent="0.25">
      <c r="O26465" s="20" t="str">
        <f>IF(N26465="","",COUNTIFS(RawData[[Date ]],N26465,RawData[Month List],$Q$6,RawData[Tour/Site],$Q$2,RawData[[Picker ID ]],$Q$3,RawData[Checker ID],$Q$4,RawData[[Error Type ]],$Q$5))</f>
        <v/>
      </c>
    </row>
    <row r="26466" spans="15:15" x14ac:dyDescent="0.25">
      <c r="O26466" s="20" t="str">
        <f>IF(N26466="","",COUNTIFS(RawData[[Date ]],N26466,RawData[Month List],$Q$6,RawData[Tour/Site],$Q$2,RawData[[Picker ID ]],$Q$3,RawData[Checker ID],$Q$4,RawData[[Error Type ]],$Q$5))</f>
        <v/>
      </c>
    </row>
    <row r="26467" spans="15:15" x14ac:dyDescent="0.25">
      <c r="O26467" s="20" t="str">
        <f>IF(N26467="","",COUNTIFS(RawData[[Date ]],N26467,RawData[Month List],$Q$6,RawData[Tour/Site],$Q$2,RawData[[Picker ID ]],$Q$3,RawData[Checker ID],$Q$4,RawData[[Error Type ]],$Q$5))</f>
        <v/>
      </c>
    </row>
    <row r="26468" spans="15:15" x14ac:dyDescent="0.25">
      <c r="O26468" s="20" t="str">
        <f>IF(N26468="","",COUNTIFS(RawData[[Date ]],N26468,RawData[Month List],$Q$6,RawData[Tour/Site],$Q$2,RawData[[Picker ID ]],$Q$3,RawData[Checker ID],$Q$4,RawData[[Error Type ]],$Q$5))</f>
        <v/>
      </c>
    </row>
    <row r="26469" spans="15:15" x14ac:dyDescent="0.25">
      <c r="O26469" s="20" t="str">
        <f>IF(N26469="","",COUNTIFS(RawData[[Date ]],N26469,RawData[Month List],$Q$6,RawData[Tour/Site],$Q$2,RawData[[Picker ID ]],$Q$3,RawData[Checker ID],$Q$4,RawData[[Error Type ]],$Q$5))</f>
        <v/>
      </c>
    </row>
    <row r="26470" spans="15:15" x14ac:dyDescent="0.25">
      <c r="O26470" s="20" t="str">
        <f>IF(N26470="","",COUNTIFS(RawData[[Date ]],N26470,RawData[Month List],$Q$6,RawData[Tour/Site],$Q$2,RawData[[Picker ID ]],$Q$3,RawData[Checker ID],$Q$4,RawData[[Error Type ]],$Q$5))</f>
        <v/>
      </c>
    </row>
    <row r="26471" spans="15:15" x14ac:dyDescent="0.25">
      <c r="O26471" s="20" t="str">
        <f>IF(N26471="","",COUNTIFS(RawData[[Date ]],N26471,RawData[Month List],$Q$6,RawData[Tour/Site],$Q$2,RawData[[Picker ID ]],$Q$3,RawData[Checker ID],$Q$4,RawData[[Error Type ]],$Q$5))</f>
        <v/>
      </c>
    </row>
    <row r="26472" spans="15:15" x14ac:dyDescent="0.25">
      <c r="O26472" s="20" t="str">
        <f>IF(N26472="","",COUNTIFS(RawData[[Date ]],N26472,RawData[Month List],$Q$6,RawData[Tour/Site],$Q$2,RawData[[Picker ID ]],$Q$3,RawData[Checker ID],$Q$4,RawData[[Error Type ]],$Q$5))</f>
        <v/>
      </c>
    </row>
    <row r="26473" spans="15:15" x14ac:dyDescent="0.25">
      <c r="O26473" s="20" t="str">
        <f>IF(N26473="","",COUNTIFS(RawData[[Date ]],N26473,RawData[Month List],$Q$6,RawData[Tour/Site],$Q$2,RawData[[Picker ID ]],$Q$3,RawData[Checker ID],$Q$4,RawData[[Error Type ]],$Q$5))</f>
        <v/>
      </c>
    </row>
    <row r="26474" spans="15:15" x14ac:dyDescent="0.25">
      <c r="O26474" s="20" t="str">
        <f>IF(N26474="","",COUNTIFS(RawData[[Date ]],N26474,RawData[Month List],$Q$6,RawData[Tour/Site],$Q$2,RawData[[Picker ID ]],$Q$3,RawData[Checker ID],$Q$4,RawData[[Error Type ]],$Q$5))</f>
        <v/>
      </c>
    </row>
    <row r="26475" spans="15:15" x14ac:dyDescent="0.25">
      <c r="O26475" s="20" t="str">
        <f>IF(N26475="","",COUNTIFS(RawData[[Date ]],N26475,RawData[Month List],$Q$6,RawData[Tour/Site],$Q$2,RawData[[Picker ID ]],$Q$3,RawData[Checker ID],$Q$4,RawData[[Error Type ]],$Q$5))</f>
        <v/>
      </c>
    </row>
    <row r="26476" spans="15:15" x14ac:dyDescent="0.25">
      <c r="O26476" s="20" t="str">
        <f>IF(N26476="","",COUNTIFS(RawData[[Date ]],N26476,RawData[Month List],$Q$6,RawData[Tour/Site],$Q$2,RawData[[Picker ID ]],$Q$3,RawData[Checker ID],$Q$4,RawData[[Error Type ]],$Q$5))</f>
        <v/>
      </c>
    </row>
    <row r="26477" spans="15:15" x14ac:dyDescent="0.25">
      <c r="O26477" s="20" t="str">
        <f>IF(N26477="","",COUNTIFS(RawData[[Date ]],N26477,RawData[Month List],$Q$6,RawData[Tour/Site],$Q$2,RawData[[Picker ID ]],$Q$3,RawData[Checker ID],$Q$4,RawData[[Error Type ]],$Q$5))</f>
        <v/>
      </c>
    </row>
    <row r="26478" spans="15:15" x14ac:dyDescent="0.25">
      <c r="O26478" s="20" t="str">
        <f>IF(N26478="","",COUNTIFS(RawData[[Date ]],N26478,RawData[Month List],$Q$6,RawData[Tour/Site],$Q$2,RawData[[Picker ID ]],$Q$3,RawData[Checker ID],$Q$4,RawData[[Error Type ]],$Q$5))</f>
        <v/>
      </c>
    </row>
    <row r="26479" spans="15:15" x14ac:dyDescent="0.25">
      <c r="O26479" s="20" t="str">
        <f>IF(N26479="","",COUNTIFS(RawData[[Date ]],N26479,RawData[Month List],$Q$6,RawData[Tour/Site],$Q$2,RawData[[Picker ID ]],$Q$3,RawData[Checker ID],$Q$4,RawData[[Error Type ]],$Q$5))</f>
        <v/>
      </c>
    </row>
    <row r="26480" spans="15:15" x14ac:dyDescent="0.25">
      <c r="O26480" s="20" t="str">
        <f>IF(N26480="","",COUNTIFS(RawData[[Date ]],N26480,RawData[Month List],$Q$6,RawData[Tour/Site],$Q$2,RawData[[Picker ID ]],$Q$3,RawData[Checker ID],$Q$4,RawData[[Error Type ]],$Q$5))</f>
        <v/>
      </c>
    </row>
    <row r="26481" spans="15:15" x14ac:dyDescent="0.25">
      <c r="O26481" s="20" t="str">
        <f>IF(N26481="","",COUNTIFS(RawData[[Date ]],N26481,RawData[Month List],$Q$6,RawData[Tour/Site],$Q$2,RawData[[Picker ID ]],$Q$3,RawData[Checker ID],$Q$4,RawData[[Error Type ]],$Q$5))</f>
        <v/>
      </c>
    </row>
    <row r="26482" spans="15:15" x14ac:dyDescent="0.25">
      <c r="O26482" s="20" t="str">
        <f>IF(N26482="","",COUNTIFS(RawData[[Date ]],N26482,RawData[Month List],$Q$6,RawData[Tour/Site],$Q$2,RawData[[Picker ID ]],$Q$3,RawData[Checker ID],$Q$4,RawData[[Error Type ]],$Q$5))</f>
        <v/>
      </c>
    </row>
    <row r="26483" spans="15:15" x14ac:dyDescent="0.25">
      <c r="O26483" s="20" t="str">
        <f>IF(N26483="","",COUNTIFS(RawData[[Date ]],N26483,RawData[Month List],$Q$6,RawData[Tour/Site],$Q$2,RawData[[Picker ID ]],$Q$3,RawData[Checker ID],$Q$4,RawData[[Error Type ]],$Q$5))</f>
        <v/>
      </c>
    </row>
    <row r="26484" spans="15:15" x14ac:dyDescent="0.25">
      <c r="O26484" s="20" t="str">
        <f>IF(N26484="","",COUNTIFS(RawData[[Date ]],N26484,RawData[Month List],$Q$6,RawData[Tour/Site],$Q$2,RawData[[Picker ID ]],$Q$3,RawData[Checker ID],$Q$4,RawData[[Error Type ]],$Q$5))</f>
        <v/>
      </c>
    </row>
    <row r="26485" spans="15:15" x14ac:dyDescent="0.25">
      <c r="O26485" s="20" t="str">
        <f>IF(N26485="","",COUNTIFS(RawData[[Date ]],N26485,RawData[Month List],$Q$6,RawData[Tour/Site],$Q$2,RawData[[Picker ID ]],$Q$3,RawData[Checker ID],$Q$4,RawData[[Error Type ]],$Q$5))</f>
        <v/>
      </c>
    </row>
    <row r="26486" spans="15:15" x14ac:dyDescent="0.25">
      <c r="O26486" s="20" t="str">
        <f>IF(N26486="","",COUNTIFS(RawData[[Date ]],N26486,RawData[Month List],$Q$6,RawData[Tour/Site],$Q$2,RawData[[Picker ID ]],$Q$3,RawData[Checker ID],$Q$4,RawData[[Error Type ]],$Q$5))</f>
        <v/>
      </c>
    </row>
    <row r="26487" spans="15:15" x14ac:dyDescent="0.25">
      <c r="O26487" s="20" t="str">
        <f>IF(N26487="","",COUNTIFS(RawData[[Date ]],N26487,RawData[Month List],$Q$6,RawData[Tour/Site],$Q$2,RawData[[Picker ID ]],$Q$3,RawData[Checker ID],$Q$4,RawData[[Error Type ]],$Q$5))</f>
        <v/>
      </c>
    </row>
    <row r="26488" spans="15:15" x14ac:dyDescent="0.25">
      <c r="O26488" s="20" t="str">
        <f>IF(N26488="","",COUNTIFS(RawData[[Date ]],N26488,RawData[Month List],$Q$6,RawData[Tour/Site],$Q$2,RawData[[Picker ID ]],$Q$3,RawData[Checker ID],$Q$4,RawData[[Error Type ]],$Q$5))</f>
        <v/>
      </c>
    </row>
    <row r="26489" spans="15:15" x14ac:dyDescent="0.25">
      <c r="O26489" s="20" t="str">
        <f>IF(N26489="","",COUNTIFS(RawData[[Date ]],N26489,RawData[Month List],$Q$6,RawData[Tour/Site],$Q$2,RawData[[Picker ID ]],$Q$3,RawData[Checker ID],$Q$4,RawData[[Error Type ]],$Q$5))</f>
        <v/>
      </c>
    </row>
    <row r="26490" spans="15:15" x14ac:dyDescent="0.25">
      <c r="O26490" s="20" t="str">
        <f>IF(N26490="","",COUNTIFS(RawData[[Date ]],N26490,RawData[Month List],$Q$6,RawData[Tour/Site],$Q$2,RawData[[Picker ID ]],$Q$3,RawData[Checker ID],$Q$4,RawData[[Error Type ]],$Q$5))</f>
        <v/>
      </c>
    </row>
    <row r="26491" spans="15:15" x14ac:dyDescent="0.25">
      <c r="O26491" s="20" t="str">
        <f>IF(N26491="","",COUNTIFS(RawData[[Date ]],N26491,RawData[Month List],$Q$6,RawData[Tour/Site],$Q$2,RawData[[Picker ID ]],$Q$3,RawData[Checker ID],$Q$4,RawData[[Error Type ]],$Q$5))</f>
        <v/>
      </c>
    </row>
    <row r="26492" spans="15:15" x14ac:dyDescent="0.25">
      <c r="O26492" s="20" t="str">
        <f>IF(N26492="","",COUNTIFS(RawData[[Date ]],N26492,RawData[Month List],$Q$6,RawData[Tour/Site],$Q$2,RawData[[Picker ID ]],$Q$3,RawData[Checker ID],$Q$4,RawData[[Error Type ]],$Q$5))</f>
        <v/>
      </c>
    </row>
    <row r="26493" spans="15:15" x14ac:dyDescent="0.25">
      <c r="O26493" s="20" t="str">
        <f>IF(N26493="","",COUNTIFS(RawData[[Date ]],N26493,RawData[Month List],$Q$6,RawData[Tour/Site],$Q$2,RawData[[Picker ID ]],$Q$3,RawData[Checker ID],$Q$4,RawData[[Error Type ]],$Q$5))</f>
        <v/>
      </c>
    </row>
    <row r="26494" spans="15:15" x14ac:dyDescent="0.25">
      <c r="O26494" s="20" t="str">
        <f>IF(N26494="","",COUNTIFS(RawData[[Date ]],N26494,RawData[Month List],$Q$6,RawData[Tour/Site],$Q$2,RawData[[Picker ID ]],$Q$3,RawData[Checker ID],$Q$4,RawData[[Error Type ]],$Q$5))</f>
        <v/>
      </c>
    </row>
    <row r="26495" spans="15:15" x14ac:dyDescent="0.25">
      <c r="O26495" s="20" t="str">
        <f>IF(N26495="","",COUNTIFS(RawData[[Date ]],N26495,RawData[Month List],$Q$6,RawData[Tour/Site],$Q$2,RawData[[Picker ID ]],$Q$3,RawData[Checker ID],$Q$4,RawData[[Error Type ]],$Q$5))</f>
        <v/>
      </c>
    </row>
    <row r="26496" spans="15:15" x14ac:dyDescent="0.25">
      <c r="O26496" s="20" t="str">
        <f>IF(N26496="","",COUNTIFS(RawData[[Date ]],N26496,RawData[Month List],$Q$6,RawData[Tour/Site],$Q$2,RawData[[Picker ID ]],$Q$3,RawData[Checker ID],$Q$4,RawData[[Error Type ]],$Q$5))</f>
        <v/>
      </c>
    </row>
    <row r="26497" spans="15:15" x14ac:dyDescent="0.25">
      <c r="O26497" s="20" t="str">
        <f>IF(N26497="","",COUNTIFS(RawData[[Date ]],N26497,RawData[Month List],$Q$6,RawData[Tour/Site],$Q$2,RawData[[Picker ID ]],$Q$3,RawData[Checker ID],$Q$4,RawData[[Error Type ]],$Q$5))</f>
        <v/>
      </c>
    </row>
    <row r="26498" spans="15:15" x14ac:dyDescent="0.25">
      <c r="O26498" s="20" t="str">
        <f>IF(N26498="","",COUNTIFS(RawData[[Date ]],N26498,RawData[Month List],$Q$6,RawData[Tour/Site],$Q$2,RawData[[Picker ID ]],$Q$3,RawData[Checker ID],$Q$4,RawData[[Error Type ]],$Q$5))</f>
        <v/>
      </c>
    </row>
    <row r="26499" spans="15:15" x14ac:dyDescent="0.25">
      <c r="O26499" s="20" t="str">
        <f>IF(N26499="","",COUNTIFS(RawData[[Date ]],N26499,RawData[Month List],$Q$6,RawData[Tour/Site],$Q$2,RawData[[Picker ID ]],$Q$3,RawData[Checker ID],$Q$4,RawData[[Error Type ]],$Q$5))</f>
        <v/>
      </c>
    </row>
    <row r="26500" spans="15:15" x14ac:dyDescent="0.25">
      <c r="O26500" s="20" t="str">
        <f>IF(N26500="","",COUNTIFS(RawData[[Date ]],N26500,RawData[Month List],$Q$6,RawData[Tour/Site],$Q$2,RawData[[Picker ID ]],$Q$3,RawData[Checker ID],$Q$4,RawData[[Error Type ]],$Q$5))</f>
        <v/>
      </c>
    </row>
    <row r="26501" spans="15:15" x14ac:dyDescent="0.25">
      <c r="O26501" s="20" t="str">
        <f>IF(N26501="","",COUNTIFS(RawData[[Date ]],N26501,RawData[Month List],$Q$6,RawData[Tour/Site],$Q$2,RawData[[Picker ID ]],$Q$3,RawData[Checker ID],$Q$4,RawData[[Error Type ]],$Q$5))</f>
        <v/>
      </c>
    </row>
    <row r="26502" spans="15:15" x14ac:dyDescent="0.25">
      <c r="O26502" s="20" t="str">
        <f>IF(N26502="","",COUNTIFS(RawData[[Date ]],N26502,RawData[Month List],$Q$6,RawData[Tour/Site],$Q$2,RawData[[Picker ID ]],$Q$3,RawData[Checker ID],$Q$4,RawData[[Error Type ]],$Q$5))</f>
        <v/>
      </c>
    </row>
    <row r="26503" spans="15:15" x14ac:dyDescent="0.25">
      <c r="O26503" s="20" t="str">
        <f>IF(N26503="","",COUNTIFS(RawData[[Date ]],N26503,RawData[Month List],$Q$6,RawData[Tour/Site],$Q$2,RawData[[Picker ID ]],$Q$3,RawData[Checker ID],$Q$4,RawData[[Error Type ]],$Q$5))</f>
        <v/>
      </c>
    </row>
    <row r="26504" spans="15:15" x14ac:dyDescent="0.25">
      <c r="O26504" s="20" t="str">
        <f>IF(N26504="","",COUNTIFS(RawData[[Date ]],N26504,RawData[Month List],$Q$6,RawData[Tour/Site],$Q$2,RawData[[Picker ID ]],$Q$3,RawData[Checker ID],$Q$4,RawData[[Error Type ]],$Q$5))</f>
        <v/>
      </c>
    </row>
    <row r="26505" spans="15:15" x14ac:dyDescent="0.25">
      <c r="O26505" s="20" t="str">
        <f>IF(N26505="","",COUNTIFS(RawData[[Date ]],N26505,RawData[Month List],$Q$6,RawData[Tour/Site],$Q$2,RawData[[Picker ID ]],$Q$3,RawData[Checker ID],$Q$4,RawData[[Error Type ]],$Q$5))</f>
        <v/>
      </c>
    </row>
    <row r="26506" spans="15:15" x14ac:dyDescent="0.25">
      <c r="O26506" s="20" t="str">
        <f>IF(N26506="","",COUNTIFS(RawData[[Date ]],N26506,RawData[Month List],$Q$6,RawData[Tour/Site],$Q$2,RawData[[Picker ID ]],$Q$3,RawData[Checker ID],$Q$4,RawData[[Error Type ]],$Q$5))</f>
        <v/>
      </c>
    </row>
    <row r="26507" spans="15:15" x14ac:dyDescent="0.25">
      <c r="O26507" s="20" t="str">
        <f>IF(N26507="","",COUNTIFS(RawData[[Date ]],N26507,RawData[Month List],$Q$6,RawData[Tour/Site],$Q$2,RawData[[Picker ID ]],$Q$3,RawData[Checker ID],$Q$4,RawData[[Error Type ]],$Q$5))</f>
        <v/>
      </c>
    </row>
    <row r="26508" spans="15:15" x14ac:dyDescent="0.25">
      <c r="O26508" s="20" t="str">
        <f>IF(N26508="","",COUNTIFS(RawData[[Date ]],N26508,RawData[Month List],$Q$6,RawData[Tour/Site],$Q$2,RawData[[Picker ID ]],$Q$3,RawData[Checker ID],$Q$4,RawData[[Error Type ]],$Q$5))</f>
        <v/>
      </c>
    </row>
    <row r="26509" spans="15:15" x14ac:dyDescent="0.25">
      <c r="O26509" s="20" t="str">
        <f>IF(N26509="","",COUNTIFS(RawData[[Date ]],N26509,RawData[Month List],$Q$6,RawData[Tour/Site],$Q$2,RawData[[Picker ID ]],$Q$3,RawData[Checker ID],$Q$4,RawData[[Error Type ]],$Q$5))</f>
        <v/>
      </c>
    </row>
    <row r="26510" spans="15:15" x14ac:dyDescent="0.25">
      <c r="O26510" s="20" t="str">
        <f>IF(N26510="","",COUNTIFS(RawData[[Date ]],N26510,RawData[Month List],$Q$6,RawData[Tour/Site],$Q$2,RawData[[Picker ID ]],$Q$3,RawData[Checker ID],$Q$4,RawData[[Error Type ]],$Q$5))</f>
        <v/>
      </c>
    </row>
    <row r="26511" spans="15:15" x14ac:dyDescent="0.25">
      <c r="O26511" s="20" t="str">
        <f>IF(N26511="","",COUNTIFS(RawData[[Date ]],N26511,RawData[Month List],$Q$6,RawData[Tour/Site],$Q$2,RawData[[Picker ID ]],$Q$3,RawData[Checker ID],$Q$4,RawData[[Error Type ]],$Q$5))</f>
        <v/>
      </c>
    </row>
    <row r="26512" spans="15:15" x14ac:dyDescent="0.25">
      <c r="O26512" s="20" t="str">
        <f>IF(N26512="","",COUNTIFS(RawData[[Date ]],N26512,RawData[Month List],$Q$6,RawData[Tour/Site],$Q$2,RawData[[Picker ID ]],$Q$3,RawData[Checker ID],$Q$4,RawData[[Error Type ]],$Q$5))</f>
        <v/>
      </c>
    </row>
    <row r="26513" spans="15:15" x14ac:dyDescent="0.25">
      <c r="O26513" s="20" t="str">
        <f>IF(N26513="","",COUNTIFS(RawData[[Date ]],N26513,RawData[Month List],$Q$6,RawData[Tour/Site],$Q$2,RawData[[Picker ID ]],$Q$3,RawData[Checker ID],$Q$4,RawData[[Error Type ]],$Q$5))</f>
        <v/>
      </c>
    </row>
    <row r="26514" spans="15:15" x14ac:dyDescent="0.25">
      <c r="O26514" s="20" t="str">
        <f>IF(N26514="","",COUNTIFS(RawData[[Date ]],N26514,RawData[Month List],$Q$6,RawData[Tour/Site],$Q$2,RawData[[Picker ID ]],$Q$3,RawData[Checker ID],$Q$4,RawData[[Error Type ]],$Q$5))</f>
        <v/>
      </c>
    </row>
    <row r="26515" spans="15:15" x14ac:dyDescent="0.25">
      <c r="O26515" s="20" t="str">
        <f>IF(N26515="","",COUNTIFS(RawData[[Date ]],N26515,RawData[Month List],$Q$6,RawData[Tour/Site],$Q$2,RawData[[Picker ID ]],$Q$3,RawData[Checker ID],$Q$4,RawData[[Error Type ]],$Q$5))</f>
        <v/>
      </c>
    </row>
    <row r="26516" spans="15:15" x14ac:dyDescent="0.25">
      <c r="O26516" s="20" t="str">
        <f>IF(N26516="","",COUNTIFS(RawData[[Date ]],N26516,RawData[Month List],$Q$6,RawData[Tour/Site],$Q$2,RawData[[Picker ID ]],$Q$3,RawData[Checker ID],$Q$4,RawData[[Error Type ]],$Q$5))</f>
        <v/>
      </c>
    </row>
    <row r="26517" spans="15:15" x14ac:dyDescent="0.25">
      <c r="O26517" s="20" t="str">
        <f>IF(N26517="","",COUNTIFS(RawData[[Date ]],N26517,RawData[Month List],$Q$6,RawData[Tour/Site],$Q$2,RawData[[Picker ID ]],$Q$3,RawData[Checker ID],$Q$4,RawData[[Error Type ]],$Q$5))</f>
        <v/>
      </c>
    </row>
    <row r="26518" spans="15:15" x14ac:dyDescent="0.25">
      <c r="O26518" s="20" t="str">
        <f>IF(N26518="","",COUNTIFS(RawData[[Date ]],N26518,RawData[Month List],$Q$6,RawData[Tour/Site],$Q$2,RawData[[Picker ID ]],$Q$3,RawData[Checker ID],$Q$4,RawData[[Error Type ]],$Q$5))</f>
        <v/>
      </c>
    </row>
    <row r="26519" spans="15:15" x14ac:dyDescent="0.25">
      <c r="O26519" s="20" t="str">
        <f>IF(N26519="","",COUNTIFS(RawData[[Date ]],N26519,RawData[Month List],$Q$6,RawData[Tour/Site],$Q$2,RawData[[Picker ID ]],$Q$3,RawData[Checker ID],$Q$4,RawData[[Error Type ]],$Q$5))</f>
        <v/>
      </c>
    </row>
    <row r="26520" spans="15:15" x14ac:dyDescent="0.25">
      <c r="O26520" s="20" t="str">
        <f>IF(N26520="","",COUNTIFS(RawData[[Date ]],N26520,RawData[Month List],$Q$6,RawData[Tour/Site],$Q$2,RawData[[Picker ID ]],$Q$3,RawData[Checker ID],$Q$4,RawData[[Error Type ]],$Q$5))</f>
        <v/>
      </c>
    </row>
    <row r="26521" spans="15:15" x14ac:dyDescent="0.25">
      <c r="O26521" s="20" t="str">
        <f>IF(N26521="","",COUNTIFS(RawData[[Date ]],N26521,RawData[Month List],$Q$6,RawData[Tour/Site],$Q$2,RawData[[Picker ID ]],$Q$3,RawData[Checker ID],$Q$4,RawData[[Error Type ]],$Q$5))</f>
        <v/>
      </c>
    </row>
    <row r="26522" spans="15:15" x14ac:dyDescent="0.25">
      <c r="O26522" s="20" t="str">
        <f>IF(N26522="","",COUNTIFS(RawData[[Date ]],N26522,RawData[Month List],$Q$6,RawData[Tour/Site],$Q$2,RawData[[Picker ID ]],$Q$3,RawData[Checker ID],$Q$4,RawData[[Error Type ]],$Q$5))</f>
        <v/>
      </c>
    </row>
    <row r="26523" spans="15:15" x14ac:dyDescent="0.25">
      <c r="O26523" s="20" t="str">
        <f>IF(N26523="","",COUNTIFS(RawData[[Date ]],N26523,RawData[Month List],$Q$6,RawData[Tour/Site],$Q$2,RawData[[Picker ID ]],$Q$3,RawData[Checker ID],$Q$4,RawData[[Error Type ]],$Q$5))</f>
        <v/>
      </c>
    </row>
    <row r="26524" spans="15:15" x14ac:dyDescent="0.25">
      <c r="O26524" s="20" t="str">
        <f>IF(N26524="","",COUNTIFS(RawData[[Date ]],N26524,RawData[Month List],$Q$6,RawData[Tour/Site],$Q$2,RawData[[Picker ID ]],$Q$3,RawData[Checker ID],$Q$4,RawData[[Error Type ]],$Q$5))</f>
        <v/>
      </c>
    </row>
    <row r="26525" spans="15:15" x14ac:dyDescent="0.25">
      <c r="O26525" s="20" t="str">
        <f>IF(N26525="","",COUNTIFS(RawData[[Date ]],N26525,RawData[Month List],$Q$6,RawData[Tour/Site],$Q$2,RawData[[Picker ID ]],$Q$3,RawData[Checker ID],$Q$4,RawData[[Error Type ]],$Q$5))</f>
        <v/>
      </c>
    </row>
    <row r="26526" spans="15:15" x14ac:dyDescent="0.25">
      <c r="O26526" s="20" t="str">
        <f>IF(N26526="","",COUNTIFS(RawData[[Date ]],N26526,RawData[Month List],$Q$6,RawData[Tour/Site],$Q$2,RawData[[Picker ID ]],$Q$3,RawData[Checker ID],$Q$4,RawData[[Error Type ]],$Q$5))</f>
        <v/>
      </c>
    </row>
    <row r="26527" spans="15:15" x14ac:dyDescent="0.25">
      <c r="O26527" s="20" t="str">
        <f>IF(N26527="","",COUNTIFS(RawData[[Date ]],N26527,RawData[Month List],$Q$6,RawData[Tour/Site],$Q$2,RawData[[Picker ID ]],$Q$3,RawData[Checker ID],$Q$4,RawData[[Error Type ]],$Q$5))</f>
        <v/>
      </c>
    </row>
    <row r="26528" spans="15:15" x14ac:dyDescent="0.25">
      <c r="O26528" s="20" t="str">
        <f>IF(N26528="","",COUNTIFS(RawData[[Date ]],N26528,RawData[Month List],$Q$6,RawData[Tour/Site],$Q$2,RawData[[Picker ID ]],$Q$3,RawData[Checker ID],$Q$4,RawData[[Error Type ]],$Q$5))</f>
        <v/>
      </c>
    </row>
    <row r="26529" spans="15:15" x14ac:dyDescent="0.25">
      <c r="O26529" s="20" t="str">
        <f>IF(N26529="","",COUNTIFS(RawData[[Date ]],N26529,RawData[Month List],$Q$6,RawData[Tour/Site],$Q$2,RawData[[Picker ID ]],$Q$3,RawData[Checker ID],$Q$4,RawData[[Error Type ]],$Q$5))</f>
        <v/>
      </c>
    </row>
    <row r="26530" spans="15:15" x14ac:dyDescent="0.25">
      <c r="O26530" s="20" t="str">
        <f>IF(N26530="","",COUNTIFS(RawData[[Date ]],N26530,RawData[Month List],$Q$6,RawData[Tour/Site],$Q$2,RawData[[Picker ID ]],$Q$3,RawData[Checker ID],$Q$4,RawData[[Error Type ]],$Q$5))</f>
        <v/>
      </c>
    </row>
    <row r="26531" spans="15:15" x14ac:dyDescent="0.25">
      <c r="O26531" s="20" t="str">
        <f>IF(N26531="","",COUNTIFS(RawData[[Date ]],N26531,RawData[Month List],$Q$6,RawData[Tour/Site],$Q$2,RawData[[Picker ID ]],$Q$3,RawData[Checker ID],$Q$4,RawData[[Error Type ]],$Q$5))</f>
        <v/>
      </c>
    </row>
    <row r="26532" spans="15:15" x14ac:dyDescent="0.25">
      <c r="O26532" s="20" t="str">
        <f>IF(N26532="","",COUNTIFS(RawData[[Date ]],N26532,RawData[Month List],$Q$6,RawData[Tour/Site],$Q$2,RawData[[Picker ID ]],$Q$3,RawData[Checker ID],$Q$4,RawData[[Error Type ]],$Q$5))</f>
        <v/>
      </c>
    </row>
    <row r="26533" spans="15:15" x14ac:dyDescent="0.25">
      <c r="O26533" s="20" t="str">
        <f>IF(N26533="","",COUNTIFS(RawData[[Date ]],N26533,RawData[Month List],$Q$6,RawData[Tour/Site],$Q$2,RawData[[Picker ID ]],$Q$3,RawData[Checker ID],$Q$4,RawData[[Error Type ]],$Q$5))</f>
        <v/>
      </c>
    </row>
    <row r="26534" spans="15:15" x14ac:dyDescent="0.25">
      <c r="O26534" s="20" t="str">
        <f>IF(N26534="","",COUNTIFS(RawData[[Date ]],N26534,RawData[Month List],$Q$6,RawData[Tour/Site],$Q$2,RawData[[Picker ID ]],$Q$3,RawData[Checker ID],$Q$4,RawData[[Error Type ]],$Q$5))</f>
        <v/>
      </c>
    </row>
    <row r="26535" spans="15:15" x14ac:dyDescent="0.25">
      <c r="O26535" s="20" t="str">
        <f>IF(N26535="","",COUNTIFS(RawData[[Date ]],N26535,RawData[Month List],$Q$6,RawData[Tour/Site],$Q$2,RawData[[Picker ID ]],$Q$3,RawData[Checker ID],$Q$4,RawData[[Error Type ]],$Q$5))</f>
        <v/>
      </c>
    </row>
    <row r="26536" spans="15:15" x14ac:dyDescent="0.25">
      <c r="O26536" s="20" t="str">
        <f>IF(N26536="","",COUNTIFS(RawData[[Date ]],N26536,RawData[Month List],$Q$6,RawData[Tour/Site],$Q$2,RawData[[Picker ID ]],$Q$3,RawData[Checker ID],$Q$4,RawData[[Error Type ]],$Q$5))</f>
        <v/>
      </c>
    </row>
    <row r="26537" spans="15:15" x14ac:dyDescent="0.25">
      <c r="O26537" s="20" t="str">
        <f>IF(N26537="","",COUNTIFS(RawData[[Date ]],N26537,RawData[Month List],$Q$6,RawData[Tour/Site],$Q$2,RawData[[Picker ID ]],$Q$3,RawData[Checker ID],$Q$4,RawData[[Error Type ]],$Q$5))</f>
        <v/>
      </c>
    </row>
    <row r="26538" spans="15:15" x14ac:dyDescent="0.25">
      <c r="O26538" s="20" t="str">
        <f>IF(N26538="","",COUNTIFS(RawData[[Date ]],N26538,RawData[Month List],$Q$6,RawData[Tour/Site],$Q$2,RawData[[Picker ID ]],$Q$3,RawData[Checker ID],$Q$4,RawData[[Error Type ]],$Q$5))</f>
        <v/>
      </c>
    </row>
    <row r="26539" spans="15:15" x14ac:dyDescent="0.25">
      <c r="O26539" s="20" t="str">
        <f>IF(N26539="","",COUNTIFS(RawData[[Date ]],N26539,RawData[Month List],$Q$6,RawData[Tour/Site],$Q$2,RawData[[Picker ID ]],$Q$3,RawData[Checker ID],$Q$4,RawData[[Error Type ]],$Q$5))</f>
        <v/>
      </c>
    </row>
    <row r="26540" spans="15:15" x14ac:dyDescent="0.25">
      <c r="O26540" s="20" t="str">
        <f>IF(N26540="","",COUNTIFS(RawData[[Date ]],N26540,RawData[Month List],$Q$6,RawData[Tour/Site],$Q$2,RawData[[Picker ID ]],$Q$3,RawData[Checker ID],$Q$4,RawData[[Error Type ]],$Q$5))</f>
        <v/>
      </c>
    </row>
    <row r="26541" spans="15:15" x14ac:dyDescent="0.25">
      <c r="O26541" s="20" t="str">
        <f>IF(N26541="","",COUNTIFS(RawData[[Date ]],N26541,RawData[Month List],$Q$6,RawData[Tour/Site],$Q$2,RawData[[Picker ID ]],$Q$3,RawData[Checker ID],$Q$4,RawData[[Error Type ]],$Q$5))</f>
        <v/>
      </c>
    </row>
    <row r="26542" spans="15:15" x14ac:dyDescent="0.25">
      <c r="O26542" s="20" t="str">
        <f>IF(N26542="","",COUNTIFS(RawData[[Date ]],N26542,RawData[Month List],$Q$6,RawData[Tour/Site],$Q$2,RawData[[Picker ID ]],$Q$3,RawData[Checker ID],$Q$4,RawData[[Error Type ]],$Q$5))</f>
        <v/>
      </c>
    </row>
    <row r="26543" spans="15:15" x14ac:dyDescent="0.25">
      <c r="O26543" s="20" t="str">
        <f>IF(N26543="","",COUNTIFS(RawData[[Date ]],N26543,RawData[Month List],$Q$6,RawData[Tour/Site],$Q$2,RawData[[Picker ID ]],$Q$3,RawData[Checker ID],$Q$4,RawData[[Error Type ]],$Q$5))</f>
        <v/>
      </c>
    </row>
    <row r="26544" spans="15:15" x14ac:dyDescent="0.25">
      <c r="O26544" s="20" t="str">
        <f>IF(N26544="","",COUNTIFS(RawData[[Date ]],N26544,RawData[Month List],$Q$6,RawData[Tour/Site],$Q$2,RawData[[Picker ID ]],$Q$3,RawData[Checker ID],$Q$4,RawData[[Error Type ]],$Q$5))</f>
        <v/>
      </c>
    </row>
    <row r="26545" spans="15:15" x14ac:dyDescent="0.25">
      <c r="O26545" s="20" t="str">
        <f>IF(N26545="","",COUNTIFS(RawData[[Date ]],N26545,RawData[Month List],$Q$6,RawData[Tour/Site],$Q$2,RawData[[Picker ID ]],$Q$3,RawData[Checker ID],$Q$4,RawData[[Error Type ]],$Q$5))</f>
        <v/>
      </c>
    </row>
    <row r="26546" spans="15:15" x14ac:dyDescent="0.25">
      <c r="O26546" s="20" t="str">
        <f>IF(N26546="","",COUNTIFS(RawData[[Date ]],N26546,RawData[Month List],$Q$6,RawData[Tour/Site],$Q$2,RawData[[Picker ID ]],$Q$3,RawData[Checker ID],$Q$4,RawData[[Error Type ]],$Q$5))</f>
        <v/>
      </c>
    </row>
    <row r="26547" spans="15:15" x14ac:dyDescent="0.25">
      <c r="O26547" s="20" t="str">
        <f>IF(N26547="","",COUNTIFS(RawData[[Date ]],N26547,RawData[Month List],$Q$6,RawData[Tour/Site],$Q$2,RawData[[Picker ID ]],$Q$3,RawData[Checker ID],$Q$4,RawData[[Error Type ]],$Q$5))</f>
        <v/>
      </c>
    </row>
    <row r="26548" spans="15:15" x14ac:dyDescent="0.25">
      <c r="O26548" s="20" t="str">
        <f>IF(N26548="","",COUNTIFS(RawData[[Date ]],N26548,RawData[Month List],$Q$6,RawData[Tour/Site],$Q$2,RawData[[Picker ID ]],$Q$3,RawData[Checker ID],$Q$4,RawData[[Error Type ]],$Q$5))</f>
        <v/>
      </c>
    </row>
    <row r="26549" spans="15:15" x14ac:dyDescent="0.25">
      <c r="O26549" s="20" t="str">
        <f>IF(N26549="","",COUNTIFS(RawData[[Date ]],N26549,RawData[Month List],$Q$6,RawData[Tour/Site],$Q$2,RawData[[Picker ID ]],$Q$3,RawData[Checker ID],$Q$4,RawData[[Error Type ]],$Q$5))</f>
        <v/>
      </c>
    </row>
    <row r="26550" spans="15:15" x14ac:dyDescent="0.25">
      <c r="O26550" s="20" t="str">
        <f>IF(N26550="","",COUNTIFS(RawData[[Date ]],N26550,RawData[Month List],$Q$6,RawData[Tour/Site],$Q$2,RawData[[Picker ID ]],$Q$3,RawData[Checker ID],$Q$4,RawData[[Error Type ]],$Q$5))</f>
        <v/>
      </c>
    </row>
    <row r="26551" spans="15:15" x14ac:dyDescent="0.25">
      <c r="O26551" s="20" t="str">
        <f>IF(N26551="","",COUNTIFS(RawData[[Date ]],N26551,RawData[Month List],$Q$6,RawData[Tour/Site],$Q$2,RawData[[Picker ID ]],$Q$3,RawData[Checker ID],$Q$4,RawData[[Error Type ]],$Q$5))</f>
        <v/>
      </c>
    </row>
    <row r="26552" spans="15:15" x14ac:dyDescent="0.25">
      <c r="O26552" s="20" t="str">
        <f>IF(N26552="","",COUNTIFS(RawData[[Date ]],N26552,RawData[Month List],$Q$6,RawData[Tour/Site],$Q$2,RawData[[Picker ID ]],$Q$3,RawData[Checker ID],$Q$4,RawData[[Error Type ]],$Q$5))</f>
        <v/>
      </c>
    </row>
    <row r="26553" spans="15:15" x14ac:dyDescent="0.25">
      <c r="O26553" s="20" t="str">
        <f>IF(N26553="","",COUNTIFS(RawData[[Date ]],N26553,RawData[Month List],$Q$6,RawData[Tour/Site],$Q$2,RawData[[Picker ID ]],$Q$3,RawData[Checker ID],$Q$4,RawData[[Error Type ]],$Q$5))</f>
        <v/>
      </c>
    </row>
    <row r="26554" spans="15:15" x14ac:dyDescent="0.25">
      <c r="O26554" s="20" t="str">
        <f>IF(N26554="","",COUNTIFS(RawData[[Date ]],N26554,RawData[Month List],$Q$6,RawData[Tour/Site],$Q$2,RawData[[Picker ID ]],$Q$3,RawData[Checker ID],$Q$4,RawData[[Error Type ]],$Q$5))</f>
        <v/>
      </c>
    </row>
    <row r="26555" spans="15:15" x14ac:dyDescent="0.25">
      <c r="O26555" s="20" t="str">
        <f>IF(N26555="","",COUNTIFS(RawData[[Date ]],N26555,RawData[Month List],$Q$6,RawData[Tour/Site],$Q$2,RawData[[Picker ID ]],$Q$3,RawData[Checker ID],$Q$4,RawData[[Error Type ]],$Q$5))</f>
        <v/>
      </c>
    </row>
    <row r="26556" spans="15:15" x14ac:dyDescent="0.25">
      <c r="O26556" s="20" t="str">
        <f>IF(N26556="","",COUNTIFS(RawData[[Date ]],N26556,RawData[Month List],$Q$6,RawData[Tour/Site],$Q$2,RawData[[Picker ID ]],$Q$3,RawData[Checker ID],$Q$4,RawData[[Error Type ]],$Q$5))</f>
        <v/>
      </c>
    </row>
    <row r="26557" spans="15:15" x14ac:dyDescent="0.25">
      <c r="O26557" s="20" t="str">
        <f>IF(N26557="","",COUNTIFS(RawData[[Date ]],N26557,RawData[Month List],$Q$6,RawData[Tour/Site],$Q$2,RawData[[Picker ID ]],$Q$3,RawData[Checker ID],$Q$4,RawData[[Error Type ]],$Q$5))</f>
        <v/>
      </c>
    </row>
    <row r="26558" spans="15:15" x14ac:dyDescent="0.25">
      <c r="O26558" s="20" t="str">
        <f>IF(N26558="","",COUNTIFS(RawData[[Date ]],N26558,RawData[Month List],$Q$6,RawData[Tour/Site],$Q$2,RawData[[Picker ID ]],$Q$3,RawData[Checker ID],$Q$4,RawData[[Error Type ]],$Q$5))</f>
        <v/>
      </c>
    </row>
    <row r="26559" spans="15:15" x14ac:dyDescent="0.25">
      <c r="O26559" s="20" t="str">
        <f>IF(N26559="","",COUNTIFS(RawData[[Date ]],N26559,RawData[Month List],$Q$6,RawData[Tour/Site],$Q$2,RawData[[Picker ID ]],$Q$3,RawData[Checker ID],$Q$4,RawData[[Error Type ]],$Q$5))</f>
        <v/>
      </c>
    </row>
    <row r="26560" spans="15:15" x14ac:dyDescent="0.25">
      <c r="O26560" s="20" t="str">
        <f>IF(N26560="","",COUNTIFS(RawData[[Date ]],N26560,RawData[Month List],$Q$6,RawData[Tour/Site],$Q$2,RawData[[Picker ID ]],$Q$3,RawData[Checker ID],$Q$4,RawData[[Error Type ]],$Q$5))</f>
        <v/>
      </c>
    </row>
    <row r="26561" spans="15:15" x14ac:dyDescent="0.25">
      <c r="O26561" s="20" t="str">
        <f>IF(N26561="","",COUNTIFS(RawData[[Date ]],N26561,RawData[Month List],$Q$6,RawData[Tour/Site],$Q$2,RawData[[Picker ID ]],$Q$3,RawData[Checker ID],$Q$4,RawData[[Error Type ]],$Q$5))</f>
        <v/>
      </c>
    </row>
    <row r="26562" spans="15:15" x14ac:dyDescent="0.25">
      <c r="O26562" s="20" t="str">
        <f>IF(N26562="","",COUNTIFS(RawData[[Date ]],N26562,RawData[Month List],$Q$6,RawData[Tour/Site],$Q$2,RawData[[Picker ID ]],$Q$3,RawData[Checker ID],$Q$4,RawData[[Error Type ]],$Q$5))</f>
        <v/>
      </c>
    </row>
    <row r="26563" spans="15:15" x14ac:dyDescent="0.25">
      <c r="O26563" s="20" t="str">
        <f>IF(N26563="","",COUNTIFS(RawData[[Date ]],N26563,RawData[Month List],$Q$6,RawData[Tour/Site],$Q$2,RawData[[Picker ID ]],$Q$3,RawData[Checker ID],$Q$4,RawData[[Error Type ]],$Q$5))</f>
        <v/>
      </c>
    </row>
    <row r="26564" spans="15:15" x14ac:dyDescent="0.25">
      <c r="O26564" s="20" t="str">
        <f>IF(N26564="","",COUNTIFS(RawData[[Date ]],N26564,RawData[Month List],$Q$6,RawData[Tour/Site],$Q$2,RawData[[Picker ID ]],$Q$3,RawData[Checker ID],$Q$4,RawData[[Error Type ]],$Q$5))</f>
        <v/>
      </c>
    </row>
    <row r="26565" spans="15:15" x14ac:dyDescent="0.25">
      <c r="O26565" s="20" t="str">
        <f>IF(N26565="","",COUNTIFS(RawData[[Date ]],N26565,RawData[Month List],$Q$6,RawData[Tour/Site],$Q$2,RawData[[Picker ID ]],$Q$3,RawData[Checker ID],$Q$4,RawData[[Error Type ]],$Q$5))</f>
        <v/>
      </c>
    </row>
    <row r="26566" spans="15:15" x14ac:dyDescent="0.25">
      <c r="O26566" s="20" t="str">
        <f>IF(N26566="","",COUNTIFS(RawData[[Date ]],N26566,RawData[Month List],$Q$6,RawData[Tour/Site],$Q$2,RawData[[Picker ID ]],$Q$3,RawData[Checker ID],$Q$4,RawData[[Error Type ]],$Q$5))</f>
        <v/>
      </c>
    </row>
    <row r="26567" spans="15:15" x14ac:dyDescent="0.25">
      <c r="O26567" s="20" t="str">
        <f>IF(N26567="","",COUNTIFS(RawData[[Date ]],N26567,RawData[Month List],$Q$6,RawData[Tour/Site],$Q$2,RawData[[Picker ID ]],$Q$3,RawData[Checker ID],$Q$4,RawData[[Error Type ]],$Q$5))</f>
        <v/>
      </c>
    </row>
    <row r="26568" spans="15:15" x14ac:dyDescent="0.25">
      <c r="O26568" s="20" t="str">
        <f>IF(N26568="","",COUNTIFS(RawData[[Date ]],N26568,RawData[Month List],$Q$6,RawData[Tour/Site],$Q$2,RawData[[Picker ID ]],$Q$3,RawData[Checker ID],$Q$4,RawData[[Error Type ]],$Q$5))</f>
        <v/>
      </c>
    </row>
    <row r="26569" spans="15:15" x14ac:dyDescent="0.25">
      <c r="O26569" s="20" t="str">
        <f>IF(N26569="","",COUNTIFS(RawData[[Date ]],N26569,RawData[Month List],$Q$6,RawData[Tour/Site],$Q$2,RawData[[Picker ID ]],$Q$3,RawData[Checker ID],$Q$4,RawData[[Error Type ]],$Q$5))</f>
        <v/>
      </c>
    </row>
    <row r="26570" spans="15:15" x14ac:dyDescent="0.25">
      <c r="O26570" s="20" t="str">
        <f>IF(N26570="","",COUNTIFS(RawData[[Date ]],N26570,RawData[Month List],$Q$6,RawData[Tour/Site],$Q$2,RawData[[Picker ID ]],$Q$3,RawData[Checker ID],$Q$4,RawData[[Error Type ]],$Q$5))</f>
        <v/>
      </c>
    </row>
    <row r="26571" spans="15:15" x14ac:dyDescent="0.25">
      <c r="O26571" s="20" t="str">
        <f>IF(N26571="","",COUNTIFS(RawData[[Date ]],N26571,RawData[Month List],$Q$6,RawData[Tour/Site],$Q$2,RawData[[Picker ID ]],$Q$3,RawData[Checker ID],$Q$4,RawData[[Error Type ]],$Q$5))</f>
        <v/>
      </c>
    </row>
    <row r="26572" spans="15:15" x14ac:dyDescent="0.25">
      <c r="O26572" s="20" t="str">
        <f>IF(N26572="","",COUNTIFS(RawData[[Date ]],N26572,RawData[Month List],$Q$6,RawData[Tour/Site],$Q$2,RawData[[Picker ID ]],$Q$3,RawData[Checker ID],$Q$4,RawData[[Error Type ]],$Q$5))</f>
        <v/>
      </c>
    </row>
    <row r="26573" spans="15:15" x14ac:dyDescent="0.25">
      <c r="O26573" s="20" t="str">
        <f>IF(N26573="","",COUNTIFS(RawData[[Date ]],N26573,RawData[Month List],$Q$6,RawData[Tour/Site],$Q$2,RawData[[Picker ID ]],$Q$3,RawData[Checker ID],$Q$4,RawData[[Error Type ]],$Q$5))</f>
        <v/>
      </c>
    </row>
    <row r="26574" spans="15:15" x14ac:dyDescent="0.25">
      <c r="O26574" s="20" t="str">
        <f>IF(N26574="","",COUNTIFS(RawData[[Date ]],N26574,RawData[Month List],$Q$6,RawData[Tour/Site],$Q$2,RawData[[Picker ID ]],$Q$3,RawData[Checker ID],$Q$4,RawData[[Error Type ]],$Q$5))</f>
        <v/>
      </c>
    </row>
    <row r="26575" spans="15:15" x14ac:dyDescent="0.25">
      <c r="O26575" s="20" t="str">
        <f>IF(N26575="","",COUNTIFS(RawData[[Date ]],N26575,RawData[Month List],$Q$6,RawData[Tour/Site],$Q$2,RawData[[Picker ID ]],$Q$3,RawData[Checker ID],$Q$4,RawData[[Error Type ]],$Q$5))</f>
        <v/>
      </c>
    </row>
    <row r="26576" spans="15:15" x14ac:dyDescent="0.25">
      <c r="O26576" s="20" t="str">
        <f>IF(N26576="","",COUNTIFS(RawData[[Date ]],N26576,RawData[Month List],$Q$6,RawData[Tour/Site],$Q$2,RawData[[Picker ID ]],$Q$3,RawData[Checker ID],$Q$4,RawData[[Error Type ]],$Q$5))</f>
        <v/>
      </c>
    </row>
    <row r="26577" spans="15:15" x14ac:dyDescent="0.25">
      <c r="O26577" s="20" t="str">
        <f>IF(N26577="","",COUNTIFS(RawData[[Date ]],N26577,RawData[Month List],$Q$6,RawData[Tour/Site],$Q$2,RawData[[Picker ID ]],$Q$3,RawData[Checker ID],$Q$4,RawData[[Error Type ]],$Q$5))</f>
        <v/>
      </c>
    </row>
    <row r="26578" spans="15:15" x14ac:dyDescent="0.25">
      <c r="O26578" s="20" t="str">
        <f>IF(N26578="","",COUNTIFS(RawData[[Date ]],N26578,RawData[Month List],$Q$6,RawData[Tour/Site],$Q$2,RawData[[Picker ID ]],$Q$3,RawData[Checker ID],$Q$4,RawData[[Error Type ]],$Q$5))</f>
        <v/>
      </c>
    </row>
    <row r="26579" spans="15:15" x14ac:dyDescent="0.25">
      <c r="O26579" s="20" t="str">
        <f>IF(N26579="","",COUNTIFS(RawData[[Date ]],N26579,RawData[Month List],$Q$6,RawData[Tour/Site],$Q$2,RawData[[Picker ID ]],$Q$3,RawData[Checker ID],$Q$4,RawData[[Error Type ]],$Q$5))</f>
        <v/>
      </c>
    </row>
    <row r="26580" spans="15:15" x14ac:dyDescent="0.25">
      <c r="O26580" s="20" t="str">
        <f>IF(N26580="","",COUNTIFS(RawData[[Date ]],N26580,RawData[Month List],$Q$6,RawData[Tour/Site],$Q$2,RawData[[Picker ID ]],$Q$3,RawData[Checker ID],$Q$4,RawData[[Error Type ]],$Q$5))</f>
        <v/>
      </c>
    </row>
    <row r="26581" spans="15:15" x14ac:dyDescent="0.25">
      <c r="O26581" s="20" t="str">
        <f>IF(N26581="","",COUNTIFS(RawData[[Date ]],N26581,RawData[Month List],$Q$6,RawData[Tour/Site],$Q$2,RawData[[Picker ID ]],$Q$3,RawData[Checker ID],$Q$4,RawData[[Error Type ]],$Q$5))</f>
        <v/>
      </c>
    </row>
    <row r="26582" spans="15:15" x14ac:dyDescent="0.25">
      <c r="O26582" s="20" t="str">
        <f>IF(N26582="","",COUNTIFS(RawData[[Date ]],N26582,RawData[Month List],$Q$6,RawData[Tour/Site],$Q$2,RawData[[Picker ID ]],$Q$3,RawData[Checker ID],$Q$4,RawData[[Error Type ]],$Q$5))</f>
        <v/>
      </c>
    </row>
    <row r="26583" spans="15:15" x14ac:dyDescent="0.25">
      <c r="O26583" s="20" t="str">
        <f>IF(N26583="","",COUNTIFS(RawData[[Date ]],N26583,RawData[Month List],$Q$6,RawData[Tour/Site],$Q$2,RawData[[Picker ID ]],$Q$3,RawData[Checker ID],$Q$4,RawData[[Error Type ]],$Q$5))</f>
        <v/>
      </c>
    </row>
    <row r="26584" spans="15:15" x14ac:dyDescent="0.25">
      <c r="O26584" s="20" t="str">
        <f>IF(N26584="","",COUNTIFS(RawData[[Date ]],N26584,RawData[Month List],$Q$6,RawData[Tour/Site],$Q$2,RawData[[Picker ID ]],$Q$3,RawData[Checker ID],$Q$4,RawData[[Error Type ]],$Q$5))</f>
        <v/>
      </c>
    </row>
    <row r="26585" spans="15:15" x14ac:dyDescent="0.25">
      <c r="O26585" s="20" t="str">
        <f>IF(N26585="","",COUNTIFS(RawData[[Date ]],N26585,RawData[Month List],$Q$6,RawData[Tour/Site],$Q$2,RawData[[Picker ID ]],$Q$3,RawData[Checker ID],$Q$4,RawData[[Error Type ]],$Q$5))</f>
        <v/>
      </c>
    </row>
    <row r="26586" spans="15:15" x14ac:dyDescent="0.25">
      <c r="O26586" s="20" t="str">
        <f>IF(N26586="","",COUNTIFS(RawData[[Date ]],N26586,RawData[Month List],$Q$6,RawData[Tour/Site],$Q$2,RawData[[Picker ID ]],$Q$3,RawData[Checker ID],$Q$4,RawData[[Error Type ]],$Q$5))</f>
        <v/>
      </c>
    </row>
    <row r="26587" spans="15:15" x14ac:dyDescent="0.25">
      <c r="O26587" s="20" t="str">
        <f>IF(N26587="","",COUNTIFS(RawData[[Date ]],N26587,RawData[Month List],$Q$6,RawData[Tour/Site],$Q$2,RawData[[Picker ID ]],$Q$3,RawData[Checker ID],$Q$4,RawData[[Error Type ]],$Q$5))</f>
        <v/>
      </c>
    </row>
    <row r="26588" spans="15:15" x14ac:dyDescent="0.25">
      <c r="O26588" s="20" t="str">
        <f>IF(N26588="","",COUNTIFS(RawData[[Date ]],N26588,RawData[Month List],$Q$6,RawData[Tour/Site],$Q$2,RawData[[Picker ID ]],$Q$3,RawData[Checker ID],$Q$4,RawData[[Error Type ]],$Q$5))</f>
        <v/>
      </c>
    </row>
    <row r="26589" spans="15:15" x14ac:dyDescent="0.25">
      <c r="O26589" s="20" t="str">
        <f>IF(N26589="","",COUNTIFS(RawData[[Date ]],N26589,RawData[Month List],$Q$6,RawData[Tour/Site],$Q$2,RawData[[Picker ID ]],$Q$3,RawData[Checker ID],$Q$4,RawData[[Error Type ]],$Q$5))</f>
        <v/>
      </c>
    </row>
    <row r="26590" spans="15:15" x14ac:dyDescent="0.25">
      <c r="O26590" s="20" t="str">
        <f>IF(N26590="","",COUNTIFS(RawData[[Date ]],N26590,RawData[Month List],$Q$6,RawData[Tour/Site],$Q$2,RawData[[Picker ID ]],$Q$3,RawData[Checker ID],$Q$4,RawData[[Error Type ]],$Q$5))</f>
        <v/>
      </c>
    </row>
    <row r="26591" spans="15:15" x14ac:dyDescent="0.25">
      <c r="O26591" s="20" t="str">
        <f>IF(N26591="","",COUNTIFS(RawData[[Date ]],N26591,RawData[Month List],$Q$6,RawData[Tour/Site],$Q$2,RawData[[Picker ID ]],$Q$3,RawData[Checker ID],$Q$4,RawData[[Error Type ]],$Q$5))</f>
        <v/>
      </c>
    </row>
    <row r="26592" spans="15:15" x14ac:dyDescent="0.25">
      <c r="O26592" s="20" t="str">
        <f>IF(N26592="","",COUNTIFS(RawData[[Date ]],N26592,RawData[Month List],$Q$6,RawData[Tour/Site],$Q$2,RawData[[Picker ID ]],$Q$3,RawData[Checker ID],$Q$4,RawData[[Error Type ]],$Q$5))</f>
        <v/>
      </c>
    </row>
    <row r="26593" spans="15:15" x14ac:dyDescent="0.25">
      <c r="O26593" s="20" t="str">
        <f>IF(N26593="","",COUNTIFS(RawData[[Date ]],N26593,RawData[Month List],$Q$6,RawData[Tour/Site],$Q$2,RawData[[Picker ID ]],$Q$3,RawData[Checker ID],$Q$4,RawData[[Error Type ]],$Q$5))</f>
        <v/>
      </c>
    </row>
    <row r="26594" spans="15:15" x14ac:dyDescent="0.25">
      <c r="O26594" s="20" t="str">
        <f>IF(N26594="","",COUNTIFS(RawData[[Date ]],N26594,RawData[Month List],$Q$6,RawData[Tour/Site],$Q$2,RawData[[Picker ID ]],$Q$3,RawData[Checker ID],$Q$4,RawData[[Error Type ]],$Q$5))</f>
        <v/>
      </c>
    </row>
    <row r="26595" spans="15:15" x14ac:dyDescent="0.25">
      <c r="O26595" s="20" t="str">
        <f>IF(N26595="","",COUNTIFS(RawData[[Date ]],N26595,RawData[Month List],$Q$6,RawData[Tour/Site],$Q$2,RawData[[Picker ID ]],$Q$3,RawData[Checker ID],$Q$4,RawData[[Error Type ]],$Q$5))</f>
        <v/>
      </c>
    </row>
    <row r="26596" spans="15:15" x14ac:dyDescent="0.25">
      <c r="O26596" s="20" t="str">
        <f>IF(N26596="","",COUNTIFS(RawData[[Date ]],N26596,RawData[Month List],$Q$6,RawData[Tour/Site],$Q$2,RawData[[Picker ID ]],$Q$3,RawData[Checker ID],$Q$4,RawData[[Error Type ]],$Q$5))</f>
        <v/>
      </c>
    </row>
    <row r="26597" spans="15:15" x14ac:dyDescent="0.25">
      <c r="O26597" s="20" t="str">
        <f>IF(N26597="","",COUNTIFS(RawData[[Date ]],N26597,RawData[Month List],$Q$6,RawData[Tour/Site],$Q$2,RawData[[Picker ID ]],$Q$3,RawData[Checker ID],$Q$4,RawData[[Error Type ]],$Q$5))</f>
        <v/>
      </c>
    </row>
    <row r="26598" spans="15:15" x14ac:dyDescent="0.25">
      <c r="O26598" s="20" t="str">
        <f>IF(N26598="","",COUNTIFS(RawData[[Date ]],N26598,RawData[Month List],$Q$6,RawData[Tour/Site],$Q$2,RawData[[Picker ID ]],$Q$3,RawData[Checker ID],$Q$4,RawData[[Error Type ]],$Q$5))</f>
        <v/>
      </c>
    </row>
    <row r="26599" spans="15:15" x14ac:dyDescent="0.25">
      <c r="O26599" s="20" t="str">
        <f>IF(N26599="","",COUNTIFS(RawData[[Date ]],N26599,RawData[Month List],$Q$6,RawData[Tour/Site],$Q$2,RawData[[Picker ID ]],$Q$3,RawData[Checker ID],$Q$4,RawData[[Error Type ]],$Q$5))</f>
        <v/>
      </c>
    </row>
    <row r="26600" spans="15:15" x14ac:dyDescent="0.25">
      <c r="O26600" s="20" t="str">
        <f>IF(N26600="","",COUNTIFS(RawData[[Date ]],N26600,RawData[Month List],$Q$6,RawData[Tour/Site],$Q$2,RawData[[Picker ID ]],$Q$3,RawData[Checker ID],$Q$4,RawData[[Error Type ]],$Q$5))</f>
        <v/>
      </c>
    </row>
    <row r="26601" spans="15:15" x14ac:dyDescent="0.25">
      <c r="O26601" s="20" t="str">
        <f>IF(N26601="","",COUNTIFS(RawData[[Date ]],N26601,RawData[Month List],$Q$6,RawData[Tour/Site],$Q$2,RawData[[Picker ID ]],$Q$3,RawData[Checker ID],$Q$4,RawData[[Error Type ]],$Q$5))</f>
        <v/>
      </c>
    </row>
    <row r="26602" spans="15:15" x14ac:dyDescent="0.25">
      <c r="O26602" s="20" t="str">
        <f>IF(N26602="","",COUNTIFS(RawData[[Date ]],N26602,RawData[Month List],$Q$6,RawData[Tour/Site],$Q$2,RawData[[Picker ID ]],$Q$3,RawData[Checker ID],$Q$4,RawData[[Error Type ]],$Q$5))</f>
        <v/>
      </c>
    </row>
    <row r="26603" spans="15:15" x14ac:dyDescent="0.25">
      <c r="O26603" s="20" t="str">
        <f>IF(N26603="","",COUNTIFS(RawData[[Date ]],N26603,RawData[Month List],$Q$6,RawData[Tour/Site],$Q$2,RawData[[Picker ID ]],$Q$3,RawData[Checker ID],$Q$4,RawData[[Error Type ]],$Q$5))</f>
        <v/>
      </c>
    </row>
    <row r="26604" spans="15:15" x14ac:dyDescent="0.25">
      <c r="O26604" s="20" t="str">
        <f>IF(N26604="","",COUNTIFS(RawData[[Date ]],N26604,RawData[Month List],$Q$6,RawData[Tour/Site],$Q$2,RawData[[Picker ID ]],$Q$3,RawData[Checker ID],$Q$4,RawData[[Error Type ]],$Q$5))</f>
        <v/>
      </c>
    </row>
    <row r="26605" spans="15:15" x14ac:dyDescent="0.25">
      <c r="O26605" s="20" t="str">
        <f>IF(N26605="","",COUNTIFS(RawData[[Date ]],N26605,RawData[Month List],$Q$6,RawData[Tour/Site],$Q$2,RawData[[Picker ID ]],$Q$3,RawData[Checker ID],$Q$4,RawData[[Error Type ]],$Q$5))</f>
        <v/>
      </c>
    </row>
    <row r="26606" spans="15:15" x14ac:dyDescent="0.25">
      <c r="O26606" s="20" t="str">
        <f>IF(N26606="","",COUNTIFS(RawData[[Date ]],N26606,RawData[Month List],$Q$6,RawData[Tour/Site],$Q$2,RawData[[Picker ID ]],$Q$3,RawData[Checker ID],$Q$4,RawData[[Error Type ]],$Q$5))</f>
        <v/>
      </c>
    </row>
    <row r="26607" spans="15:15" x14ac:dyDescent="0.25">
      <c r="O26607" s="20" t="str">
        <f>IF(N26607="","",COUNTIFS(RawData[[Date ]],N26607,RawData[Month List],$Q$6,RawData[Tour/Site],$Q$2,RawData[[Picker ID ]],$Q$3,RawData[Checker ID],$Q$4,RawData[[Error Type ]],$Q$5))</f>
        <v/>
      </c>
    </row>
    <row r="26608" spans="15:15" x14ac:dyDescent="0.25">
      <c r="O26608" s="20" t="str">
        <f>IF(N26608="","",COUNTIFS(RawData[[Date ]],N26608,RawData[Month List],$Q$6,RawData[Tour/Site],$Q$2,RawData[[Picker ID ]],$Q$3,RawData[Checker ID],$Q$4,RawData[[Error Type ]],$Q$5))</f>
        <v/>
      </c>
    </row>
    <row r="26609" spans="15:15" x14ac:dyDescent="0.25">
      <c r="O26609" s="20" t="str">
        <f>IF(N26609="","",COUNTIFS(RawData[[Date ]],N26609,RawData[Month List],$Q$6,RawData[Tour/Site],$Q$2,RawData[[Picker ID ]],$Q$3,RawData[Checker ID],$Q$4,RawData[[Error Type ]],$Q$5))</f>
        <v/>
      </c>
    </row>
    <row r="26610" spans="15:15" x14ac:dyDescent="0.25">
      <c r="O26610" s="20" t="str">
        <f>IF(N26610="","",COUNTIFS(RawData[[Date ]],N26610,RawData[Month List],$Q$6,RawData[Tour/Site],$Q$2,RawData[[Picker ID ]],$Q$3,RawData[Checker ID],$Q$4,RawData[[Error Type ]],$Q$5))</f>
        <v/>
      </c>
    </row>
    <row r="26611" spans="15:15" x14ac:dyDescent="0.25">
      <c r="O26611" s="20" t="str">
        <f>IF(N26611="","",COUNTIFS(RawData[[Date ]],N26611,RawData[Month List],$Q$6,RawData[Tour/Site],$Q$2,RawData[[Picker ID ]],$Q$3,RawData[Checker ID],$Q$4,RawData[[Error Type ]],$Q$5))</f>
        <v/>
      </c>
    </row>
    <row r="26612" spans="15:15" x14ac:dyDescent="0.25">
      <c r="O26612" s="20" t="str">
        <f>IF(N26612="","",COUNTIFS(RawData[[Date ]],N26612,RawData[Month List],$Q$6,RawData[Tour/Site],$Q$2,RawData[[Picker ID ]],$Q$3,RawData[Checker ID],$Q$4,RawData[[Error Type ]],$Q$5))</f>
        <v/>
      </c>
    </row>
    <row r="26613" spans="15:15" x14ac:dyDescent="0.25">
      <c r="O26613" s="20" t="str">
        <f>IF(N26613="","",COUNTIFS(RawData[[Date ]],N26613,RawData[Month List],$Q$6,RawData[Tour/Site],$Q$2,RawData[[Picker ID ]],$Q$3,RawData[Checker ID],$Q$4,RawData[[Error Type ]],$Q$5))</f>
        <v/>
      </c>
    </row>
    <row r="26614" spans="15:15" x14ac:dyDescent="0.25">
      <c r="O26614" s="20" t="str">
        <f>IF(N26614="","",COUNTIFS(RawData[[Date ]],N26614,RawData[Month List],$Q$6,RawData[Tour/Site],$Q$2,RawData[[Picker ID ]],$Q$3,RawData[Checker ID],$Q$4,RawData[[Error Type ]],$Q$5))</f>
        <v/>
      </c>
    </row>
    <row r="26615" spans="15:15" x14ac:dyDescent="0.25">
      <c r="O26615" s="20" t="str">
        <f>IF(N26615="","",COUNTIFS(RawData[[Date ]],N26615,RawData[Month List],$Q$6,RawData[Tour/Site],$Q$2,RawData[[Picker ID ]],$Q$3,RawData[Checker ID],$Q$4,RawData[[Error Type ]],$Q$5))</f>
        <v/>
      </c>
    </row>
    <row r="26616" spans="15:15" x14ac:dyDescent="0.25">
      <c r="O26616" s="20" t="str">
        <f>IF(N26616="","",COUNTIFS(RawData[[Date ]],N26616,RawData[Month List],$Q$6,RawData[Tour/Site],$Q$2,RawData[[Picker ID ]],$Q$3,RawData[Checker ID],$Q$4,RawData[[Error Type ]],$Q$5))</f>
        <v/>
      </c>
    </row>
    <row r="26617" spans="15:15" x14ac:dyDescent="0.25">
      <c r="O26617" s="20" t="str">
        <f>IF(N26617="","",COUNTIFS(RawData[[Date ]],N26617,RawData[Month List],$Q$6,RawData[Tour/Site],$Q$2,RawData[[Picker ID ]],$Q$3,RawData[Checker ID],$Q$4,RawData[[Error Type ]],$Q$5))</f>
        <v/>
      </c>
    </row>
    <row r="26618" spans="15:15" x14ac:dyDescent="0.25">
      <c r="O26618" s="20" t="str">
        <f>IF(N26618="","",COUNTIFS(RawData[[Date ]],N26618,RawData[Month List],$Q$6,RawData[Tour/Site],$Q$2,RawData[[Picker ID ]],$Q$3,RawData[Checker ID],$Q$4,RawData[[Error Type ]],$Q$5))</f>
        <v/>
      </c>
    </row>
    <row r="26619" spans="15:15" x14ac:dyDescent="0.25">
      <c r="O26619" s="20" t="str">
        <f>IF(N26619="","",COUNTIFS(RawData[[Date ]],N26619,RawData[Month List],$Q$6,RawData[Tour/Site],$Q$2,RawData[[Picker ID ]],$Q$3,RawData[Checker ID],$Q$4,RawData[[Error Type ]],$Q$5))</f>
        <v/>
      </c>
    </row>
    <row r="26620" spans="15:15" x14ac:dyDescent="0.25">
      <c r="O26620" s="20" t="str">
        <f>IF(N26620="","",COUNTIFS(RawData[[Date ]],N26620,RawData[Month List],$Q$6,RawData[Tour/Site],$Q$2,RawData[[Picker ID ]],$Q$3,RawData[Checker ID],$Q$4,RawData[[Error Type ]],$Q$5))</f>
        <v/>
      </c>
    </row>
    <row r="26621" spans="15:15" x14ac:dyDescent="0.25">
      <c r="O26621" s="20" t="str">
        <f>IF(N26621="","",COUNTIFS(RawData[[Date ]],N26621,RawData[Month List],$Q$6,RawData[Tour/Site],$Q$2,RawData[[Picker ID ]],$Q$3,RawData[Checker ID],$Q$4,RawData[[Error Type ]],$Q$5))</f>
        <v/>
      </c>
    </row>
    <row r="26622" spans="15:15" x14ac:dyDescent="0.25">
      <c r="O26622" s="20" t="str">
        <f>IF(N26622="","",COUNTIFS(RawData[[Date ]],N26622,RawData[Month List],$Q$6,RawData[Tour/Site],$Q$2,RawData[[Picker ID ]],$Q$3,RawData[Checker ID],$Q$4,RawData[[Error Type ]],$Q$5))</f>
        <v/>
      </c>
    </row>
    <row r="26623" spans="15:15" x14ac:dyDescent="0.25">
      <c r="O26623" s="20" t="str">
        <f>IF(N26623="","",COUNTIFS(RawData[[Date ]],N26623,RawData[Month List],$Q$6,RawData[Tour/Site],$Q$2,RawData[[Picker ID ]],$Q$3,RawData[Checker ID],$Q$4,RawData[[Error Type ]],$Q$5))</f>
        <v/>
      </c>
    </row>
    <row r="26624" spans="15:15" x14ac:dyDescent="0.25">
      <c r="O26624" s="20" t="str">
        <f>IF(N26624="","",COUNTIFS(RawData[[Date ]],N26624,RawData[Month List],$Q$6,RawData[Tour/Site],$Q$2,RawData[[Picker ID ]],$Q$3,RawData[Checker ID],$Q$4,RawData[[Error Type ]],$Q$5))</f>
        <v/>
      </c>
    </row>
    <row r="26625" spans="15:15" x14ac:dyDescent="0.25">
      <c r="O26625" s="20" t="str">
        <f>IF(N26625="","",COUNTIFS(RawData[[Date ]],N26625,RawData[Month List],$Q$6,RawData[Tour/Site],$Q$2,RawData[[Picker ID ]],$Q$3,RawData[Checker ID],$Q$4,RawData[[Error Type ]],$Q$5))</f>
        <v/>
      </c>
    </row>
    <row r="26626" spans="15:15" x14ac:dyDescent="0.25">
      <c r="O26626" s="20" t="str">
        <f>IF(N26626="","",COUNTIFS(RawData[[Date ]],N26626,RawData[Month List],$Q$6,RawData[Tour/Site],$Q$2,RawData[[Picker ID ]],$Q$3,RawData[Checker ID],$Q$4,RawData[[Error Type ]],$Q$5))</f>
        <v/>
      </c>
    </row>
    <row r="26627" spans="15:15" x14ac:dyDescent="0.25">
      <c r="O26627" s="20" t="str">
        <f>IF(N26627="","",COUNTIFS(RawData[[Date ]],N26627,RawData[Month List],$Q$6,RawData[Tour/Site],$Q$2,RawData[[Picker ID ]],$Q$3,RawData[Checker ID],$Q$4,RawData[[Error Type ]],$Q$5))</f>
        <v/>
      </c>
    </row>
    <row r="26628" spans="15:15" x14ac:dyDescent="0.25">
      <c r="O26628" s="20" t="str">
        <f>IF(N26628="","",COUNTIFS(RawData[[Date ]],N26628,RawData[Month List],$Q$6,RawData[Tour/Site],$Q$2,RawData[[Picker ID ]],$Q$3,RawData[Checker ID],$Q$4,RawData[[Error Type ]],$Q$5))</f>
        <v/>
      </c>
    </row>
    <row r="26629" spans="15:15" x14ac:dyDescent="0.25">
      <c r="O26629" s="20" t="str">
        <f>IF(N26629="","",COUNTIFS(RawData[[Date ]],N26629,RawData[Month List],$Q$6,RawData[Tour/Site],$Q$2,RawData[[Picker ID ]],$Q$3,RawData[Checker ID],$Q$4,RawData[[Error Type ]],$Q$5))</f>
        <v/>
      </c>
    </row>
    <row r="26630" spans="15:15" x14ac:dyDescent="0.25">
      <c r="O26630" s="20" t="str">
        <f>IF(N26630="","",COUNTIFS(RawData[[Date ]],N26630,RawData[Month List],$Q$6,RawData[Tour/Site],$Q$2,RawData[[Picker ID ]],$Q$3,RawData[Checker ID],$Q$4,RawData[[Error Type ]],$Q$5))</f>
        <v/>
      </c>
    </row>
    <row r="26631" spans="15:15" x14ac:dyDescent="0.25">
      <c r="O26631" s="20" t="str">
        <f>IF(N26631="","",COUNTIFS(RawData[[Date ]],N26631,RawData[Month List],$Q$6,RawData[Tour/Site],$Q$2,RawData[[Picker ID ]],$Q$3,RawData[Checker ID],$Q$4,RawData[[Error Type ]],$Q$5))</f>
        <v/>
      </c>
    </row>
    <row r="26632" spans="15:15" x14ac:dyDescent="0.25">
      <c r="O26632" s="20" t="str">
        <f>IF(N26632="","",COUNTIFS(RawData[[Date ]],N26632,RawData[Month List],$Q$6,RawData[Tour/Site],$Q$2,RawData[[Picker ID ]],$Q$3,RawData[Checker ID],$Q$4,RawData[[Error Type ]],$Q$5))</f>
        <v/>
      </c>
    </row>
    <row r="26633" spans="15:15" x14ac:dyDescent="0.25">
      <c r="O26633" s="20" t="str">
        <f>IF(N26633="","",COUNTIFS(RawData[[Date ]],N26633,RawData[Month List],$Q$6,RawData[Tour/Site],$Q$2,RawData[[Picker ID ]],$Q$3,RawData[Checker ID],$Q$4,RawData[[Error Type ]],$Q$5))</f>
        <v/>
      </c>
    </row>
    <row r="26634" spans="15:15" x14ac:dyDescent="0.25">
      <c r="O26634" s="20" t="str">
        <f>IF(N26634="","",COUNTIFS(RawData[[Date ]],N26634,RawData[Month List],$Q$6,RawData[Tour/Site],$Q$2,RawData[[Picker ID ]],$Q$3,RawData[Checker ID],$Q$4,RawData[[Error Type ]],$Q$5))</f>
        <v/>
      </c>
    </row>
    <row r="26635" spans="15:15" x14ac:dyDescent="0.25">
      <c r="O26635" s="20" t="str">
        <f>IF(N26635="","",COUNTIFS(RawData[[Date ]],N26635,RawData[Month List],$Q$6,RawData[Tour/Site],$Q$2,RawData[[Picker ID ]],$Q$3,RawData[Checker ID],$Q$4,RawData[[Error Type ]],$Q$5))</f>
        <v/>
      </c>
    </row>
    <row r="26636" spans="15:15" x14ac:dyDescent="0.25">
      <c r="O26636" s="20" t="str">
        <f>IF(N26636="","",COUNTIFS(RawData[[Date ]],N26636,RawData[Month List],$Q$6,RawData[Tour/Site],$Q$2,RawData[[Picker ID ]],$Q$3,RawData[Checker ID],$Q$4,RawData[[Error Type ]],$Q$5))</f>
        <v/>
      </c>
    </row>
    <row r="26637" spans="15:15" x14ac:dyDescent="0.25">
      <c r="O26637" s="20" t="str">
        <f>IF(N26637="","",COUNTIFS(RawData[[Date ]],N26637,RawData[Month List],$Q$6,RawData[Tour/Site],$Q$2,RawData[[Picker ID ]],$Q$3,RawData[Checker ID],$Q$4,RawData[[Error Type ]],$Q$5))</f>
        <v/>
      </c>
    </row>
    <row r="26638" spans="15:15" x14ac:dyDescent="0.25">
      <c r="O26638" s="20" t="str">
        <f>IF(N26638="","",COUNTIFS(RawData[[Date ]],N26638,RawData[Month List],$Q$6,RawData[Tour/Site],$Q$2,RawData[[Picker ID ]],$Q$3,RawData[Checker ID],$Q$4,RawData[[Error Type ]],$Q$5))</f>
        <v/>
      </c>
    </row>
    <row r="26639" spans="15:15" x14ac:dyDescent="0.25">
      <c r="O26639" s="20" t="str">
        <f>IF(N26639="","",COUNTIFS(RawData[[Date ]],N26639,RawData[Month List],$Q$6,RawData[Tour/Site],$Q$2,RawData[[Picker ID ]],$Q$3,RawData[Checker ID],$Q$4,RawData[[Error Type ]],$Q$5))</f>
        <v/>
      </c>
    </row>
    <row r="26640" spans="15:15" x14ac:dyDescent="0.25">
      <c r="O26640" s="20" t="str">
        <f>IF(N26640="","",COUNTIFS(RawData[[Date ]],N26640,RawData[Month List],$Q$6,RawData[Tour/Site],$Q$2,RawData[[Picker ID ]],$Q$3,RawData[Checker ID],$Q$4,RawData[[Error Type ]],$Q$5))</f>
        <v/>
      </c>
    </row>
    <row r="26641" spans="15:15" x14ac:dyDescent="0.25">
      <c r="O26641" s="20" t="str">
        <f>IF(N26641="","",COUNTIFS(RawData[[Date ]],N26641,RawData[Month List],$Q$6,RawData[Tour/Site],$Q$2,RawData[[Picker ID ]],$Q$3,RawData[Checker ID],$Q$4,RawData[[Error Type ]],$Q$5))</f>
        <v/>
      </c>
    </row>
    <row r="26642" spans="15:15" x14ac:dyDescent="0.25">
      <c r="O26642" s="20" t="str">
        <f>IF(N26642="","",COUNTIFS(RawData[[Date ]],N26642,RawData[Month List],$Q$6,RawData[Tour/Site],$Q$2,RawData[[Picker ID ]],$Q$3,RawData[Checker ID],$Q$4,RawData[[Error Type ]],$Q$5))</f>
        <v/>
      </c>
    </row>
    <row r="26643" spans="15:15" x14ac:dyDescent="0.25">
      <c r="O26643" s="20" t="str">
        <f>IF(N26643="","",COUNTIFS(RawData[[Date ]],N26643,RawData[Month List],$Q$6,RawData[Tour/Site],$Q$2,RawData[[Picker ID ]],$Q$3,RawData[Checker ID],$Q$4,RawData[[Error Type ]],$Q$5))</f>
        <v/>
      </c>
    </row>
    <row r="26644" spans="15:15" x14ac:dyDescent="0.25">
      <c r="O26644" s="20" t="str">
        <f>IF(N26644="","",COUNTIFS(RawData[[Date ]],N26644,RawData[Month List],$Q$6,RawData[Tour/Site],$Q$2,RawData[[Picker ID ]],$Q$3,RawData[Checker ID],$Q$4,RawData[[Error Type ]],$Q$5))</f>
        <v/>
      </c>
    </row>
    <row r="26645" spans="15:15" x14ac:dyDescent="0.25">
      <c r="O26645" s="20" t="str">
        <f>IF(N26645="","",COUNTIFS(RawData[[Date ]],N26645,RawData[Month List],$Q$6,RawData[Tour/Site],$Q$2,RawData[[Picker ID ]],$Q$3,RawData[Checker ID],$Q$4,RawData[[Error Type ]],$Q$5))</f>
        <v/>
      </c>
    </row>
    <row r="26646" spans="15:15" x14ac:dyDescent="0.25">
      <c r="O26646" s="20" t="str">
        <f>IF(N26646="","",COUNTIFS(RawData[[Date ]],N26646,RawData[Month List],$Q$6,RawData[Tour/Site],$Q$2,RawData[[Picker ID ]],$Q$3,RawData[Checker ID],$Q$4,RawData[[Error Type ]],$Q$5))</f>
        <v/>
      </c>
    </row>
    <row r="26647" spans="15:15" x14ac:dyDescent="0.25">
      <c r="O26647" s="20" t="str">
        <f>IF(N26647="","",COUNTIFS(RawData[[Date ]],N26647,RawData[Month List],$Q$6,RawData[Tour/Site],$Q$2,RawData[[Picker ID ]],$Q$3,RawData[Checker ID],$Q$4,RawData[[Error Type ]],$Q$5))</f>
        <v/>
      </c>
    </row>
    <row r="26648" spans="15:15" x14ac:dyDescent="0.25">
      <c r="O26648" s="20" t="str">
        <f>IF(N26648="","",COUNTIFS(RawData[[Date ]],N26648,RawData[Month List],$Q$6,RawData[Tour/Site],$Q$2,RawData[[Picker ID ]],$Q$3,RawData[Checker ID],$Q$4,RawData[[Error Type ]],$Q$5))</f>
        <v/>
      </c>
    </row>
    <row r="26649" spans="15:15" x14ac:dyDescent="0.25">
      <c r="O26649" s="20" t="str">
        <f>IF(N26649="","",COUNTIFS(RawData[[Date ]],N26649,RawData[Month List],$Q$6,RawData[Tour/Site],$Q$2,RawData[[Picker ID ]],$Q$3,RawData[Checker ID],$Q$4,RawData[[Error Type ]],$Q$5))</f>
        <v/>
      </c>
    </row>
    <row r="26650" spans="15:15" x14ac:dyDescent="0.25">
      <c r="O26650" s="20" t="str">
        <f>IF(N26650="","",COUNTIFS(RawData[[Date ]],N26650,RawData[Month List],$Q$6,RawData[Tour/Site],$Q$2,RawData[[Picker ID ]],$Q$3,RawData[Checker ID],$Q$4,RawData[[Error Type ]],$Q$5))</f>
        <v/>
      </c>
    </row>
    <row r="26651" spans="15:15" x14ac:dyDescent="0.25">
      <c r="O26651" s="20" t="str">
        <f>IF(N26651="","",COUNTIFS(RawData[[Date ]],N26651,RawData[Month List],$Q$6,RawData[Tour/Site],$Q$2,RawData[[Picker ID ]],$Q$3,RawData[Checker ID],$Q$4,RawData[[Error Type ]],$Q$5))</f>
        <v/>
      </c>
    </row>
    <row r="26652" spans="15:15" x14ac:dyDescent="0.25">
      <c r="O26652" s="20" t="str">
        <f>IF(N26652="","",COUNTIFS(RawData[[Date ]],N26652,RawData[Month List],$Q$6,RawData[Tour/Site],$Q$2,RawData[[Picker ID ]],$Q$3,RawData[Checker ID],$Q$4,RawData[[Error Type ]],$Q$5))</f>
        <v/>
      </c>
    </row>
    <row r="26653" spans="15:15" x14ac:dyDescent="0.25">
      <c r="O26653" s="20" t="str">
        <f>IF(N26653="","",COUNTIFS(RawData[[Date ]],N26653,RawData[Month List],$Q$6,RawData[Tour/Site],$Q$2,RawData[[Picker ID ]],$Q$3,RawData[Checker ID],$Q$4,RawData[[Error Type ]],$Q$5))</f>
        <v/>
      </c>
    </row>
    <row r="26654" spans="15:15" x14ac:dyDescent="0.25">
      <c r="O26654" s="20" t="str">
        <f>IF(N26654="","",COUNTIFS(RawData[[Date ]],N26654,RawData[Month List],$Q$6,RawData[Tour/Site],$Q$2,RawData[[Picker ID ]],$Q$3,RawData[Checker ID],$Q$4,RawData[[Error Type ]],$Q$5))</f>
        <v/>
      </c>
    </row>
    <row r="26655" spans="15:15" x14ac:dyDescent="0.25">
      <c r="O26655" s="20" t="str">
        <f>IF(N26655="","",COUNTIFS(RawData[[Date ]],N26655,RawData[Month List],$Q$6,RawData[Tour/Site],$Q$2,RawData[[Picker ID ]],$Q$3,RawData[Checker ID],$Q$4,RawData[[Error Type ]],$Q$5))</f>
        <v/>
      </c>
    </row>
    <row r="26656" spans="15:15" x14ac:dyDescent="0.25">
      <c r="O26656" s="20" t="str">
        <f>IF(N26656="","",COUNTIFS(RawData[[Date ]],N26656,RawData[Month List],$Q$6,RawData[Tour/Site],$Q$2,RawData[[Picker ID ]],$Q$3,RawData[Checker ID],$Q$4,RawData[[Error Type ]],$Q$5))</f>
        <v/>
      </c>
    </row>
    <row r="26657" spans="15:15" x14ac:dyDescent="0.25">
      <c r="O26657" s="20" t="str">
        <f>IF(N26657="","",COUNTIFS(RawData[[Date ]],N26657,RawData[Month List],$Q$6,RawData[Tour/Site],$Q$2,RawData[[Picker ID ]],$Q$3,RawData[Checker ID],$Q$4,RawData[[Error Type ]],$Q$5))</f>
        <v/>
      </c>
    </row>
    <row r="26658" spans="15:15" x14ac:dyDescent="0.25">
      <c r="O26658" s="20" t="str">
        <f>IF(N26658="","",COUNTIFS(RawData[[Date ]],N26658,RawData[Month List],$Q$6,RawData[Tour/Site],$Q$2,RawData[[Picker ID ]],$Q$3,RawData[Checker ID],$Q$4,RawData[[Error Type ]],$Q$5))</f>
        <v/>
      </c>
    </row>
    <row r="26659" spans="15:15" x14ac:dyDescent="0.25">
      <c r="O26659" s="20" t="str">
        <f>IF(N26659="","",COUNTIFS(RawData[[Date ]],N26659,RawData[Month List],$Q$6,RawData[Tour/Site],$Q$2,RawData[[Picker ID ]],$Q$3,RawData[Checker ID],$Q$4,RawData[[Error Type ]],$Q$5))</f>
        <v/>
      </c>
    </row>
    <row r="26660" spans="15:15" x14ac:dyDescent="0.25">
      <c r="O26660" s="20" t="str">
        <f>IF(N26660="","",COUNTIFS(RawData[[Date ]],N26660,RawData[Month List],$Q$6,RawData[Tour/Site],$Q$2,RawData[[Picker ID ]],$Q$3,RawData[Checker ID],$Q$4,RawData[[Error Type ]],$Q$5))</f>
        <v/>
      </c>
    </row>
    <row r="26661" spans="15:15" x14ac:dyDescent="0.25">
      <c r="O26661" s="20" t="str">
        <f>IF(N26661="","",COUNTIFS(RawData[[Date ]],N26661,RawData[Month List],$Q$6,RawData[Tour/Site],$Q$2,RawData[[Picker ID ]],$Q$3,RawData[Checker ID],$Q$4,RawData[[Error Type ]],$Q$5))</f>
        <v/>
      </c>
    </row>
    <row r="26662" spans="15:15" x14ac:dyDescent="0.25">
      <c r="O26662" s="20" t="str">
        <f>IF(N26662="","",COUNTIFS(RawData[[Date ]],N26662,RawData[Month List],$Q$6,RawData[Tour/Site],$Q$2,RawData[[Picker ID ]],$Q$3,RawData[Checker ID],$Q$4,RawData[[Error Type ]],$Q$5))</f>
        <v/>
      </c>
    </row>
    <row r="26663" spans="15:15" x14ac:dyDescent="0.25">
      <c r="O26663" s="20" t="str">
        <f>IF(N26663="","",COUNTIFS(RawData[[Date ]],N26663,RawData[Month List],$Q$6,RawData[Tour/Site],$Q$2,RawData[[Picker ID ]],$Q$3,RawData[Checker ID],$Q$4,RawData[[Error Type ]],$Q$5))</f>
        <v/>
      </c>
    </row>
    <row r="26664" spans="15:15" x14ac:dyDescent="0.25">
      <c r="O26664" s="20" t="str">
        <f>IF(N26664="","",COUNTIFS(RawData[[Date ]],N26664,RawData[Month List],$Q$6,RawData[Tour/Site],$Q$2,RawData[[Picker ID ]],$Q$3,RawData[Checker ID],$Q$4,RawData[[Error Type ]],$Q$5))</f>
        <v/>
      </c>
    </row>
    <row r="26665" spans="15:15" x14ac:dyDescent="0.25">
      <c r="O26665" s="20" t="str">
        <f>IF(N26665="","",COUNTIFS(RawData[[Date ]],N26665,RawData[Month List],$Q$6,RawData[Tour/Site],$Q$2,RawData[[Picker ID ]],$Q$3,RawData[Checker ID],$Q$4,RawData[[Error Type ]],$Q$5))</f>
        <v/>
      </c>
    </row>
    <row r="26666" spans="15:15" x14ac:dyDescent="0.25">
      <c r="O26666" s="20" t="str">
        <f>IF(N26666="","",COUNTIFS(RawData[[Date ]],N26666,RawData[Month List],$Q$6,RawData[Tour/Site],$Q$2,RawData[[Picker ID ]],$Q$3,RawData[Checker ID],$Q$4,RawData[[Error Type ]],$Q$5))</f>
        <v/>
      </c>
    </row>
    <row r="26667" spans="15:15" x14ac:dyDescent="0.25">
      <c r="O26667" s="20" t="str">
        <f>IF(N26667="","",COUNTIFS(RawData[[Date ]],N26667,RawData[Month List],$Q$6,RawData[Tour/Site],$Q$2,RawData[[Picker ID ]],$Q$3,RawData[Checker ID],$Q$4,RawData[[Error Type ]],$Q$5))</f>
        <v/>
      </c>
    </row>
    <row r="26668" spans="15:15" x14ac:dyDescent="0.25">
      <c r="O26668" s="20" t="str">
        <f>IF(N26668="","",COUNTIFS(RawData[[Date ]],N26668,RawData[Month List],$Q$6,RawData[Tour/Site],$Q$2,RawData[[Picker ID ]],$Q$3,RawData[Checker ID],$Q$4,RawData[[Error Type ]],$Q$5))</f>
        <v/>
      </c>
    </row>
    <row r="26669" spans="15:15" x14ac:dyDescent="0.25">
      <c r="O26669" s="20" t="str">
        <f>IF(N26669="","",COUNTIFS(RawData[[Date ]],N26669,RawData[Month List],$Q$6,RawData[Tour/Site],$Q$2,RawData[[Picker ID ]],$Q$3,RawData[Checker ID],$Q$4,RawData[[Error Type ]],$Q$5))</f>
        <v/>
      </c>
    </row>
    <row r="26670" spans="15:15" x14ac:dyDescent="0.25">
      <c r="O26670" s="20" t="str">
        <f>IF(N26670="","",COUNTIFS(RawData[[Date ]],N26670,RawData[Month List],$Q$6,RawData[Tour/Site],$Q$2,RawData[[Picker ID ]],$Q$3,RawData[Checker ID],$Q$4,RawData[[Error Type ]],$Q$5))</f>
        <v/>
      </c>
    </row>
    <row r="26671" spans="15:15" x14ac:dyDescent="0.25">
      <c r="O26671" s="20" t="str">
        <f>IF(N26671="","",COUNTIFS(RawData[[Date ]],N26671,RawData[Month List],$Q$6,RawData[Tour/Site],$Q$2,RawData[[Picker ID ]],$Q$3,RawData[Checker ID],$Q$4,RawData[[Error Type ]],$Q$5))</f>
        <v/>
      </c>
    </row>
    <row r="26672" spans="15:15" x14ac:dyDescent="0.25">
      <c r="O26672" s="20" t="str">
        <f>IF(N26672="","",COUNTIFS(RawData[[Date ]],N26672,RawData[Month List],$Q$6,RawData[Tour/Site],$Q$2,RawData[[Picker ID ]],$Q$3,RawData[Checker ID],$Q$4,RawData[[Error Type ]],$Q$5))</f>
        <v/>
      </c>
    </row>
    <row r="26673" spans="15:15" x14ac:dyDescent="0.25">
      <c r="O26673" s="20" t="str">
        <f>IF(N26673="","",COUNTIFS(RawData[[Date ]],N26673,RawData[Month List],$Q$6,RawData[Tour/Site],$Q$2,RawData[[Picker ID ]],$Q$3,RawData[Checker ID],$Q$4,RawData[[Error Type ]],$Q$5))</f>
        <v/>
      </c>
    </row>
    <row r="26674" spans="15:15" x14ac:dyDescent="0.25">
      <c r="O26674" s="20" t="str">
        <f>IF(N26674="","",COUNTIFS(RawData[[Date ]],N26674,RawData[Month List],$Q$6,RawData[Tour/Site],$Q$2,RawData[[Picker ID ]],$Q$3,RawData[Checker ID],$Q$4,RawData[[Error Type ]],$Q$5))</f>
        <v/>
      </c>
    </row>
    <row r="26675" spans="15:15" x14ac:dyDescent="0.25">
      <c r="O26675" s="20" t="str">
        <f>IF(N26675="","",COUNTIFS(RawData[[Date ]],N26675,RawData[Month List],$Q$6,RawData[Tour/Site],$Q$2,RawData[[Picker ID ]],$Q$3,RawData[Checker ID],$Q$4,RawData[[Error Type ]],$Q$5))</f>
        <v/>
      </c>
    </row>
    <row r="26676" spans="15:15" x14ac:dyDescent="0.25">
      <c r="O26676" s="20" t="str">
        <f>IF(N26676="","",COUNTIFS(RawData[[Date ]],N26676,RawData[Month List],$Q$6,RawData[Tour/Site],$Q$2,RawData[[Picker ID ]],$Q$3,RawData[Checker ID],$Q$4,RawData[[Error Type ]],$Q$5))</f>
        <v/>
      </c>
    </row>
    <row r="26677" spans="15:15" x14ac:dyDescent="0.25">
      <c r="O26677" s="20" t="str">
        <f>IF(N26677="","",COUNTIFS(RawData[[Date ]],N26677,RawData[Month List],$Q$6,RawData[Tour/Site],$Q$2,RawData[[Picker ID ]],$Q$3,RawData[Checker ID],$Q$4,RawData[[Error Type ]],$Q$5))</f>
        <v/>
      </c>
    </row>
    <row r="26678" spans="15:15" x14ac:dyDescent="0.25">
      <c r="O26678" s="20" t="str">
        <f>IF(N26678="","",COUNTIFS(RawData[[Date ]],N26678,RawData[Month List],$Q$6,RawData[Tour/Site],$Q$2,RawData[[Picker ID ]],$Q$3,RawData[Checker ID],$Q$4,RawData[[Error Type ]],$Q$5))</f>
        <v/>
      </c>
    </row>
    <row r="26679" spans="15:15" x14ac:dyDescent="0.25">
      <c r="O26679" s="20" t="str">
        <f>IF(N26679="","",COUNTIFS(RawData[[Date ]],N26679,RawData[Month List],$Q$6,RawData[Tour/Site],$Q$2,RawData[[Picker ID ]],$Q$3,RawData[Checker ID],$Q$4,RawData[[Error Type ]],$Q$5))</f>
        <v/>
      </c>
    </row>
    <row r="26680" spans="15:15" x14ac:dyDescent="0.25">
      <c r="O26680" s="20" t="str">
        <f>IF(N26680="","",COUNTIFS(RawData[[Date ]],N26680,RawData[Month List],$Q$6,RawData[Tour/Site],$Q$2,RawData[[Picker ID ]],$Q$3,RawData[Checker ID],$Q$4,RawData[[Error Type ]],$Q$5))</f>
        <v/>
      </c>
    </row>
    <row r="26681" spans="15:15" x14ac:dyDescent="0.25">
      <c r="O26681" s="20" t="str">
        <f>IF(N26681="","",COUNTIFS(RawData[[Date ]],N26681,RawData[Month List],$Q$6,RawData[Tour/Site],$Q$2,RawData[[Picker ID ]],$Q$3,RawData[Checker ID],$Q$4,RawData[[Error Type ]],$Q$5))</f>
        <v/>
      </c>
    </row>
    <row r="26682" spans="15:15" x14ac:dyDescent="0.25">
      <c r="O26682" s="20" t="str">
        <f>IF(N26682="","",COUNTIFS(RawData[[Date ]],N26682,RawData[Month List],$Q$6,RawData[Tour/Site],$Q$2,RawData[[Picker ID ]],$Q$3,RawData[Checker ID],$Q$4,RawData[[Error Type ]],$Q$5))</f>
        <v/>
      </c>
    </row>
    <row r="26683" spans="15:15" x14ac:dyDescent="0.25">
      <c r="O26683" s="20" t="str">
        <f>IF(N26683="","",COUNTIFS(RawData[[Date ]],N26683,RawData[Month List],$Q$6,RawData[Tour/Site],$Q$2,RawData[[Picker ID ]],$Q$3,RawData[Checker ID],$Q$4,RawData[[Error Type ]],$Q$5))</f>
        <v/>
      </c>
    </row>
    <row r="26684" spans="15:15" x14ac:dyDescent="0.25">
      <c r="O26684" s="20" t="str">
        <f>IF(N26684="","",COUNTIFS(RawData[[Date ]],N26684,RawData[Month List],$Q$6,RawData[Tour/Site],$Q$2,RawData[[Picker ID ]],$Q$3,RawData[Checker ID],$Q$4,RawData[[Error Type ]],$Q$5))</f>
        <v/>
      </c>
    </row>
    <row r="26685" spans="15:15" x14ac:dyDescent="0.25">
      <c r="O26685" s="20" t="str">
        <f>IF(N26685="","",COUNTIFS(RawData[[Date ]],N26685,RawData[Month List],$Q$6,RawData[Tour/Site],$Q$2,RawData[[Picker ID ]],$Q$3,RawData[Checker ID],$Q$4,RawData[[Error Type ]],$Q$5))</f>
        <v/>
      </c>
    </row>
    <row r="26686" spans="15:15" x14ac:dyDescent="0.25">
      <c r="O26686" s="20" t="str">
        <f>IF(N26686="","",COUNTIFS(RawData[[Date ]],N26686,RawData[Month List],$Q$6,RawData[Tour/Site],$Q$2,RawData[[Picker ID ]],$Q$3,RawData[Checker ID],$Q$4,RawData[[Error Type ]],$Q$5))</f>
        <v/>
      </c>
    </row>
    <row r="26687" spans="15:15" x14ac:dyDescent="0.25">
      <c r="O26687" s="20" t="str">
        <f>IF(N26687="","",COUNTIFS(RawData[[Date ]],N26687,RawData[Month List],$Q$6,RawData[Tour/Site],$Q$2,RawData[[Picker ID ]],$Q$3,RawData[Checker ID],$Q$4,RawData[[Error Type ]],$Q$5))</f>
        <v/>
      </c>
    </row>
    <row r="26688" spans="15:15" x14ac:dyDescent="0.25">
      <c r="O26688" s="20" t="str">
        <f>IF(N26688="","",COUNTIFS(RawData[[Date ]],N26688,RawData[Month List],$Q$6,RawData[Tour/Site],$Q$2,RawData[[Picker ID ]],$Q$3,RawData[Checker ID],$Q$4,RawData[[Error Type ]],$Q$5))</f>
        <v/>
      </c>
    </row>
    <row r="26689" spans="15:15" x14ac:dyDescent="0.25">
      <c r="O26689" s="20" t="str">
        <f>IF(N26689="","",COUNTIFS(RawData[[Date ]],N26689,RawData[Month List],$Q$6,RawData[Tour/Site],$Q$2,RawData[[Picker ID ]],$Q$3,RawData[Checker ID],$Q$4,RawData[[Error Type ]],$Q$5))</f>
        <v/>
      </c>
    </row>
    <row r="26690" spans="15:15" x14ac:dyDescent="0.25">
      <c r="O26690" s="20" t="str">
        <f>IF(N26690="","",COUNTIFS(RawData[[Date ]],N26690,RawData[Month List],$Q$6,RawData[Tour/Site],$Q$2,RawData[[Picker ID ]],$Q$3,RawData[Checker ID],$Q$4,RawData[[Error Type ]],$Q$5))</f>
        <v/>
      </c>
    </row>
    <row r="26691" spans="15:15" x14ac:dyDescent="0.25">
      <c r="O26691" s="20" t="str">
        <f>IF(N26691="","",COUNTIFS(RawData[[Date ]],N26691,RawData[Month List],$Q$6,RawData[Tour/Site],$Q$2,RawData[[Picker ID ]],$Q$3,RawData[Checker ID],$Q$4,RawData[[Error Type ]],$Q$5))</f>
        <v/>
      </c>
    </row>
    <row r="26692" spans="15:15" x14ac:dyDescent="0.25">
      <c r="O26692" s="20" t="str">
        <f>IF(N26692="","",COUNTIFS(RawData[[Date ]],N26692,RawData[Month List],$Q$6,RawData[Tour/Site],$Q$2,RawData[[Picker ID ]],$Q$3,RawData[Checker ID],$Q$4,RawData[[Error Type ]],$Q$5))</f>
        <v/>
      </c>
    </row>
    <row r="26693" spans="15:15" x14ac:dyDescent="0.25">
      <c r="O26693" s="20" t="str">
        <f>IF(N26693="","",COUNTIFS(RawData[[Date ]],N26693,RawData[Month List],$Q$6,RawData[Tour/Site],$Q$2,RawData[[Picker ID ]],$Q$3,RawData[Checker ID],$Q$4,RawData[[Error Type ]],$Q$5))</f>
        <v/>
      </c>
    </row>
    <row r="26694" spans="15:15" x14ac:dyDescent="0.25">
      <c r="O26694" s="20" t="str">
        <f>IF(N26694="","",COUNTIFS(RawData[[Date ]],N26694,RawData[Month List],$Q$6,RawData[Tour/Site],$Q$2,RawData[[Picker ID ]],$Q$3,RawData[Checker ID],$Q$4,RawData[[Error Type ]],$Q$5))</f>
        <v/>
      </c>
    </row>
    <row r="26695" spans="15:15" x14ac:dyDescent="0.25">
      <c r="O26695" s="20" t="str">
        <f>IF(N26695="","",COUNTIFS(RawData[[Date ]],N26695,RawData[Month List],$Q$6,RawData[Tour/Site],$Q$2,RawData[[Picker ID ]],$Q$3,RawData[Checker ID],$Q$4,RawData[[Error Type ]],$Q$5))</f>
        <v/>
      </c>
    </row>
    <row r="26696" spans="15:15" x14ac:dyDescent="0.25">
      <c r="O26696" s="20" t="str">
        <f>IF(N26696="","",COUNTIFS(RawData[[Date ]],N26696,RawData[Month List],$Q$6,RawData[Tour/Site],$Q$2,RawData[[Picker ID ]],$Q$3,RawData[Checker ID],$Q$4,RawData[[Error Type ]],$Q$5))</f>
        <v/>
      </c>
    </row>
    <row r="26697" spans="15:15" x14ac:dyDescent="0.25">
      <c r="O26697" s="20" t="str">
        <f>IF(N26697="","",COUNTIFS(RawData[[Date ]],N26697,RawData[Month List],$Q$6,RawData[Tour/Site],$Q$2,RawData[[Picker ID ]],$Q$3,RawData[Checker ID],$Q$4,RawData[[Error Type ]],$Q$5))</f>
        <v/>
      </c>
    </row>
    <row r="26698" spans="15:15" x14ac:dyDescent="0.25">
      <c r="O26698" s="20" t="str">
        <f>IF(N26698="","",COUNTIFS(RawData[[Date ]],N26698,RawData[Month List],$Q$6,RawData[Tour/Site],$Q$2,RawData[[Picker ID ]],$Q$3,RawData[Checker ID],$Q$4,RawData[[Error Type ]],$Q$5))</f>
        <v/>
      </c>
    </row>
    <row r="26699" spans="15:15" x14ac:dyDescent="0.25">
      <c r="O26699" s="20" t="str">
        <f>IF(N26699="","",COUNTIFS(RawData[[Date ]],N26699,RawData[Month List],$Q$6,RawData[Tour/Site],$Q$2,RawData[[Picker ID ]],$Q$3,RawData[Checker ID],$Q$4,RawData[[Error Type ]],$Q$5))</f>
        <v/>
      </c>
    </row>
    <row r="26700" spans="15:15" x14ac:dyDescent="0.25">
      <c r="O26700" s="20" t="str">
        <f>IF(N26700="","",COUNTIFS(RawData[[Date ]],N26700,RawData[Month List],$Q$6,RawData[Tour/Site],$Q$2,RawData[[Picker ID ]],$Q$3,RawData[Checker ID],$Q$4,RawData[[Error Type ]],$Q$5))</f>
        <v/>
      </c>
    </row>
    <row r="26701" spans="15:15" x14ac:dyDescent="0.25">
      <c r="O26701" s="20" t="str">
        <f>IF(N26701="","",COUNTIFS(RawData[[Date ]],N26701,RawData[Month List],$Q$6,RawData[Tour/Site],$Q$2,RawData[[Picker ID ]],$Q$3,RawData[Checker ID],$Q$4,RawData[[Error Type ]],$Q$5))</f>
        <v/>
      </c>
    </row>
    <row r="26702" spans="15:15" x14ac:dyDescent="0.25">
      <c r="O26702" s="20" t="str">
        <f>IF(N26702="","",COUNTIFS(RawData[[Date ]],N26702,RawData[Month List],$Q$6,RawData[Tour/Site],$Q$2,RawData[[Picker ID ]],$Q$3,RawData[Checker ID],$Q$4,RawData[[Error Type ]],$Q$5))</f>
        <v/>
      </c>
    </row>
    <row r="26703" spans="15:15" x14ac:dyDescent="0.25">
      <c r="O26703" s="20" t="str">
        <f>IF(N26703="","",COUNTIFS(RawData[[Date ]],N26703,RawData[Month List],$Q$6,RawData[Tour/Site],$Q$2,RawData[[Picker ID ]],$Q$3,RawData[Checker ID],$Q$4,RawData[[Error Type ]],$Q$5))</f>
        <v/>
      </c>
    </row>
    <row r="26704" spans="15:15" x14ac:dyDescent="0.25">
      <c r="O26704" s="20" t="str">
        <f>IF(N26704="","",COUNTIFS(RawData[[Date ]],N26704,RawData[Month List],$Q$6,RawData[Tour/Site],$Q$2,RawData[[Picker ID ]],$Q$3,RawData[Checker ID],$Q$4,RawData[[Error Type ]],$Q$5))</f>
        <v/>
      </c>
    </row>
    <row r="26705" spans="15:15" x14ac:dyDescent="0.25">
      <c r="O26705" s="20" t="str">
        <f>IF(N26705="","",COUNTIFS(RawData[[Date ]],N26705,RawData[Month List],$Q$6,RawData[Tour/Site],$Q$2,RawData[[Picker ID ]],$Q$3,RawData[Checker ID],$Q$4,RawData[[Error Type ]],$Q$5))</f>
        <v/>
      </c>
    </row>
    <row r="26706" spans="15:15" x14ac:dyDescent="0.25">
      <c r="O26706" s="20" t="str">
        <f>IF(N26706="","",COUNTIFS(RawData[[Date ]],N26706,RawData[Month List],$Q$6,RawData[Tour/Site],$Q$2,RawData[[Picker ID ]],$Q$3,RawData[Checker ID],$Q$4,RawData[[Error Type ]],$Q$5))</f>
        <v/>
      </c>
    </row>
    <row r="26707" spans="15:15" x14ac:dyDescent="0.25">
      <c r="O26707" s="20" t="str">
        <f>IF(N26707="","",COUNTIFS(RawData[[Date ]],N26707,RawData[Month List],$Q$6,RawData[Tour/Site],$Q$2,RawData[[Picker ID ]],$Q$3,RawData[Checker ID],$Q$4,RawData[[Error Type ]],$Q$5))</f>
        <v/>
      </c>
    </row>
    <row r="26708" spans="15:15" x14ac:dyDescent="0.25">
      <c r="O26708" s="20" t="str">
        <f>IF(N26708="","",COUNTIFS(RawData[[Date ]],N26708,RawData[Month List],$Q$6,RawData[Tour/Site],$Q$2,RawData[[Picker ID ]],$Q$3,RawData[Checker ID],$Q$4,RawData[[Error Type ]],$Q$5))</f>
        <v/>
      </c>
    </row>
    <row r="26709" spans="15:15" x14ac:dyDescent="0.25">
      <c r="O26709" s="20" t="str">
        <f>IF(N26709="","",COUNTIFS(RawData[[Date ]],N26709,RawData[Month List],$Q$6,RawData[Tour/Site],$Q$2,RawData[[Picker ID ]],$Q$3,RawData[Checker ID],$Q$4,RawData[[Error Type ]],$Q$5))</f>
        <v/>
      </c>
    </row>
    <row r="26710" spans="15:15" x14ac:dyDescent="0.25">
      <c r="O26710" s="20" t="str">
        <f>IF(N26710="","",COUNTIFS(RawData[[Date ]],N26710,RawData[Month List],$Q$6,RawData[Tour/Site],$Q$2,RawData[[Picker ID ]],$Q$3,RawData[Checker ID],$Q$4,RawData[[Error Type ]],$Q$5))</f>
        <v/>
      </c>
    </row>
    <row r="26711" spans="15:15" x14ac:dyDescent="0.25">
      <c r="O26711" s="20" t="str">
        <f>IF(N26711="","",COUNTIFS(RawData[[Date ]],N26711,RawData[Month List],$Q$6,RawData[Tour/Site],$Q$2,RawData[[Picker ID ]],$Q$3,RawData[Checker ID],$Q$4,RawData[[Error Type ]],$Q$5))</f>
        <v/>
      </c>
    </row>
    <row r="26712" spans="15:15" x14ac:dyDescent="0.25">
      <c r="O26712" s="20" t="str">
        <f>IF(N26712="","",COUNTIFS(RawData[[Date ]],N26712,RawData[Month List],$Q$6,RawData[Tour/Site],$Q$2,RawData[[Picker ID ]],$Q$3,RawData[Checker ID],$Q$4,RawData[[Error Type ]],$Q$5))</f>
        <v/>
      </c>
    </row>
    <row r="26713" spans="15:15" x14ac:dyDescent="0.25">
      <c r="O26713" s="20" t="str">
        <f>IF(N26713="","",COUNTIFS(RawData[[Date ]],N26713,RawData[Month List],$Q$6,RawData[Tour/Site],$Q$2,RawData[[Picker ID ]],$Q$3,RawData[Checker ID],$Q$4,RawData[[Error Type ]],$Q$5))</f>
        <v/>
      </c>
    </row>
    <row r="26714" spans="15:15" x14ac:dyDescent="0.25">
      <c r="O26714" s="20" t="str">
        <f>IF(N26714="","",COUNTIFS(RawData[[Date ]],N26714,RawData[Month List],$Q$6,RawData[Tour/Site],$Q$2,RawData[[Picker ID ]],$Q$3,RawData[Checker ID],$Q$4,RawData[[Error Type ]],$Q$5))</f>
        <v/>
      </c>
    </row>
    <row r="26715" spans="15:15" x14ac:dyDescent="0.25">
      <c r="O26715" s="20" t="str">
        <f>IF(N26715="","",COUNTIFS(RawData[[Date ]],N26715,RawData[Month List],$Q$6,RawData[Tour/Site],$Q$2,RawData[[Picker ID ]],$Q$3,RawData[Checker ID],$Q$4,RawData[[Error Type ]],$Q$5))</f>
        <v/>
      </c>
    </row>
    <row r="26716" spans="15:15" x14ac:dyDescent="0.25">
      <c r="O26716" s="20" t="str">
        <f>IF(N26716="","",COUNTIFS(RawData[[Date ]],N26716,RawData[Month List],$Q$6,RawData[Tour/Site],$Q$2,RawData[[Picker ID ]],$Q$3,RawData[Checker ID],$Q$4,RawData[[Error Type ]],$Q$5))</f>
        <v/>
      </c>
    </row>
    <row r="26717" spans="15:15" x14ac:dyDescent="0.25">
      <c r="O26717" s="20" t="str">
        <f>IF(N26717="","",COUNTIFS(RawData[[Date ]],N26717,RawData[Month List],$Q$6,RawData[Tour/Site],$Q$2,RawData[[Picker ID ]],$Q$3,RawData[Checker ID],$Q$4,RawData[[Error Type ]],$Q$5))</f>
        <v/>
      </c>
    </row>
    <row r="26718" spans="15:15" x14ac:dyDescent="0.25">
      <c r="O26718" s="20" t="str">
        <f>IF(N26718="","",COUNTIFS(RawData[[Date ]],N26718,RawData[Month List],$Q$6,RawData[Tour/Site],$Q$2,RawData[[Picker ID ]],$Q$3,RawData[Checker ID],$Q$4,RawData[[Error Type ]],$Q$5))</f>
        <v/>
      </c>
    </row>
    <row r="26719" spans="15:15" x14ac:dyDescent="0.25">
      <c r="O26719" s="20" t="str">
        <f>IF(N26719="","",COUNTIFS(RawData[[Date ]],N26719,RawData[Month List],$Q$6,RawData[Tour/Site],$Q$2,RawData[[Picker ID ]],$Q$3,RawData[Checker ID],$Q$4,RawData[[Error Type ]],$Q$5))</f>
        <v/>
      </c>
    </row>
    <row r="26720" spans="15:15" x14ac:dyDescent="0.25">
      <c r="O26720" s="20" t="str">
        <f>IF(N26720="","",COUNTIFS(RawData[[Date ]],N26720,RawData[Month List],$Q$6,RawData[Tour/Site],$Q$2,RawData[[Picker ID ]],$Q$3,RawData[Checker ID],$Q$4,RawData[[Error Type ]],$Q$5))</f>
        <v/>
      </c>
    </row>
    <row r="26721" spans="15:15" x14ac:dyDescent="0.25">
      <c r="O26721" s="20" t="str">
        <f>IF(N26721="","",COUNTIFS(RawData[[Date ]],N26721,RawData[Month List],$Q$6,RawData[Tour/Site],$Q$2,RawData[[Picker ID ]],$Q$3,RawData[Checker ID],$Q$4,RawData[[Error Type ]],$Q$5))</f>
        <v/>
      </c>
    </row>
    <row r="26722" spans="15:15" x14ac:dyDescent="0.25">
      <c r="O26722" s="20" t="str">
        <f>IF(N26722="","",COUNTIFS(RawData[[Date ]],N26722,RawData[Month List],$Q$6,RawData[Tour/Site],$Q$2,RawData[[Picker ID ]],$Q$3,RawData[Checker ID],$Q$4,RawData[[Error Type ]],$Q$5))</f>
        <v/>
      </c>
    </row>
    <row r="26723" spans="15:15" x14ac:dyDescent="0.25">
      <c r="O26723" s="20" t="str">
        <f>IF(N26723="","",COUNTIFS(RawData[[Date ]],N26723,RawData[Month List],$Q$6,RawData[Tour/Site],$Q$2,RawData[[Picker ID ]],$Q$3,RawData[Checker ID],$Q$4,RawData[[Error Type ]],$Q$5))</f>
        <v/>
      </c>
    </row>
    <row r="26724" spans="15:15" x14ac:dyDescent="0.25">
      <c r="O26724" s="20" t="str">
        <f>IF(N26724="","",COUNTIFS(RawData[[Date ]],N26724,RawData[Month List],$Q$6,RawData[Tour/Site],$Q$2,RawData[[Picker ID ]],$Q$3,RawData[Checker ID],$Q$4,RawData[[Error Type ]],$Q$5))</f>
        <v/>
      </c>
    </row>
    <row r="26725" spans="15:15" x14ac:dyDescent="0.25">
      <c r="O26725" s="20" t="str">
        <f>IF(N26725="","",COUNTIFS(RawData[[Date ]],N26725,RawData[Month List],$Q$6,RawData[Tour/Site],$Q$2,RawData[[Picker ID ]],$Q$3,RawData[Checker ID],$Q$4,RawData[[Error Type ]],$Q$5))</f>
        <v/>
      </c>
    </row>
    <row r="26726" spans="15:15" x14ac:dyDescent="0.25">
      <c r="O26726" s="20" t="str">
        <f>IF(N26726="","",COUNTIFS(RawData[[Date ]],N26726,RawData[Month List],$Q$6,RawData[Tour/Site],$Q$2,RawData[[Picker ID ]],$Q$3,RawData[Checker ID],$Q$4,RawData[[Error Type ]],$Q$5))</f>
        <v/>
      </c>
    </row>
    <row r="26727" spans="15:15" x14ac:dyDescent="0.25">
      <c r="O26727" s="20" t="str">
        <f>IF(N26727="","",COUNTIFS(RawData[[Date ]],N26727,RawData[Month List],$Q$6,RawData[Tour/Site],$Q$2,RawData[[Picker ID ]],$Q$3,RawData[Checker ID],$Q$4,RawData[[Error Type ]],$Q$5))</f>
        <v/>
      </c>
    </row>
    <row r="26728" spans="15:15" x14ac:dyDescent="0.25">
      <c r="O26728" s="20" t="str">
        <f>IF(N26728="","",COUNTIFS(RawData[[Date ]],N26728,RawData[Month List],$Q$6,RawData[Tour/Site],$Q$2,RawData[[Picker ID ]],$Q$3,RawData[Checker ID],$Q$4,RawData[[Error Type ]],$Q$5))</f>
        <v/>
      </c>
    </row>
    <row r="26729" spans="15:15" x14ac:dyDescent="0.25">
      <c r="O26729" s="20" t="str">
        <f>IF(N26729="","",COUNTIFS(RawData[[Date ]],N26729,RawData[Month List],$Q$6,RawData[Tour/Site],$Q$2,RawData[[Picker ID ]],$Q$3,RawData[Checker ID],$Q$4,RawData[[Error Type ]],$Q$5))</f>
        <v/>
      </c>
    </row>
    <row r="26730" spans="15:15" x14ac:dyDescent="0.25">
      <c r="O26730" s="20" t="str">
        <f>IF(N26730="","",COUNTIFS(RawData[[Date ]],N26730,RawData[Month List],$Q$6,RawData[Tour/Site],$Q$2,RawData[[Picker ID ]],$Q$3,RawData[Checker ID],$Q$4,RawData[[Error Type ]],$Q$5))</f>
        <v/>
      </c>
    </row>
    <row r="26731" spans="15:15" x14ac:dyDescent="0.25">
      <c r="O26731" s="20" t="str">
        <f>IF(N26731="","",COUNTIFS(RawData[[Date ]],N26731,RawData[Month List],$Q$6,RawData[Tour/Site],$Q$2,RawData[[Picker ID ]],$Q$3,RawData[Checker ID],$Q$4,RawData[[Error Type ]],$Q$5))</f>
        <v/>
      </c>
    </row>
    <row r="26732" spans="15:15" x14ac:dyDescent="0.25">
      <c r="O26732" s="20" t="str">
        <f>IF(N26732="","",COUNTIFS(RawData[[Date ]],N26732,RawData[Month List],$Q$6,RawData[Tour/Site],$Q$2,RawData[[Picker ID ]],$Q$3,RawData[Checker ID],$Q$4,RawData[[Error Type ]],$Q$5))</f>
        <v/>
      </c>
    </row>
    <row r="26733" spans="15:15" x14ac:dyDescent="0.25">
      <c r="O26733" s="20" t="str">
        <f>IF(N26733="","",COUNTIFS(RawData[[Date ]],N26733,RawData[Month List],$Q$6,RawData[Tour/Site],$Q$2,RawData[[Picker ID ]],$Q$3,RawData[Checker ID],$Q$4,RawData[[Error Type ]],$Q$5))</f>
        <v/>
      </c>
    </row>
    <row r="26734" spans="15:15" x14ac:dyDescent="0.25">
      <c r="O26734" s="20" t="str">
        <f>IF(N26734="","",COUNTIFS(RawData[[Date ]],N26734,RawData[Month List],$Q$6,RawData[Tour/Site],$Q$2,RawData[[Picker ID ]],$Q$3,RawData[Checker ID],$Q$4,RawData[[Error Type ]],$Q$5))</f>
        <v/>
      </c>
    </row>
    <row r="26735" spans="15:15" x14ac:dyDescent="0.25">
      <c r="O26735" s="20" t="str">
        <f>IF(N26735="","",COUNTIFS(RawData[[Date ]],N26735,RawData[Month List],$Q$6,RawData[Tour/Site],$Q$2,RawData[[Picker ID ]],$Q$3,RawData[Checker ID],$Q$4,RawData[[Error Type ]],$Q$5))</f>
        <v/>
      </c>
    </row>
    <row r="26736" spans="15:15" x14ac:dyDescent="0.25">
      <c r="O26736" s="20" t="str">
        <f>IF(N26736="","",COUNTIFS(RawData[[Date ]],N26736,RawData[Month List],$Q$6,RawData[Tour/Site],$Q$2,RawData[[Picker ID ]],$Q$3,RawData[Checker ID],$Q$4,RawData[[Error Type ]],$Q$5))</f>
        <v/>
      </c>
    </row>
    <row r="26737" spans="15:15" x14ac:dyDescent="0.25">
      <c r="O26737" s="20" t="str">
        <f>IF(N26737="","",COUNTIFS(RawData[[Date ]],N26737,RawData[Month List],$Q$6,RawData[Tour/Site],$Q$2,RawData[[Picker ID ]],$Q$3,RawData[Checker ID],$Q$4,RawData[[Error Type ]],$Q$5))</f>
        <v/>
      </c>
    </row>
    <row r="26738" spans="15:15" x14ac:dyDescent="0.25">
      <c r="O26738" s="20" t="str">
        <f>IF(N26738="","",COUNTIFS(RawData[[Date ]],N26738,RawData[Month List],$Q$6,RawData[Tour/Site],$Q$2,RawData[[Picker ID ]],$Q$3,RawData[Checker ID],$Q$4,RawData[[Error Type ]],$Q$5))</f>
        <v/>
      </c>
    </row>
    <row r="26739" spans="15:15" x14ac:dyDescent="0.25">
      <c r="O26739" s="20" t="str">
        <f>IF(N26739="","",COUNTIFS(RawData[[Date ]],N26739,RawData[Month List],$Q$6,RawData[Tour/Site],$Q$2,RawData[[Picker ID ]],$Q$3,RawData[Checker ID],$Q$4,RawData[[Error Type ]],$Q$5))</f>
        <v/>
      </c>
    </row>
    <row r="26740" spans="15:15" x14ac:dyDescent="0.25">
      <c r="O26740" s="20" t="str">
        <f>IF(N26740="","",COUNTIFS(RawData[[Date ]],N26740,RawData[Month List],$Q$6,RawData[Tour/Site],$Q$2,RawData[[Picker ID ]],$Q$3,RawData[Checker ID],$Q$4,RawData[[Error Type ]],$Q$5))</f>
        <v/>
      </c>
    </row>
    <row r="26741" spans="15:15" x14ac:dyDescent="0.25">
      <c r="O26741" s="20" t="str">
        <f>IF(N26741="","",COUNTIFS(RawData[[Date ]],N26741,RawData[Month List],$Q$6,RawData[Tour/Site],$Q$2,RawData[[Picker ID ]],$Q$3,RawData[Checker ID],$Q$4,RawData[[Error Type ]],$Q$5))</f>
        <v/>
      </c>
    </row>
    <row r="26742" spans="15:15" x14ac:dyDescent="0.25">
      <c r="O26742" s="20" t="str">
        <f>IF(N26742="","",COUNTIFS(RawData[[Date ]],N26742,RawData[Month List],$Q$6,RawData[Tour/Site],$Q$2,RawData[[Picker ID ]],$Q$3,RawData[Checker ID],$Q$4,RawData[[Error Type ]],$Q$5))</f>
        <v/>
      </c>
    </row>
    <row r="26743" spans="15:15" x14ac:dyDescent="0.25">
      <c r="O26743" s="20" t="str">
        <f>IF(N26743="","",COUNTIFS(RawData[[Date ]],N26743,RawData[Month List],$Q$6,RawData[Tour/Site],$Q$2,RawData[[Picker ID ]],$Q$3,RawData[Checker ID],$Q$4,RawData[[Error Type ]],$Q$5))</f>
        <v/>
      </c>
    </row>
    <row r="26744" spans="15:15" x14ac:dyDescent="0.25">
      <c r="O26744" s="20" t="str">
        <f>IF(N26744="","",COUNTIFS(RawData[[Date ]],N26744,RawData[Month List],$Q$6,RawData[Tour/Site],$Q$2,RawData[[Picker ID ]],$Q$3,RawData[Checker ID],$Q$4,RawData[[Error Type ]],$Q$5))</f>
        <v/>
      </c>
    </row>
    <row r="26745" spans="15:15" x14ac:dyDescent="0.25">
      <c r="O26745" s="20" t="str">
        <f>IF(N26745="","",COUNTIFS(RawData[[Date ]],N26745,RawData[Month List],$Q$6,RawData[Tour/Site],$Q$2,RawData[[Picker ID ]],$Q$3,RawData[Checker ID],$Q$4,RawData[[Error Type ]],$Q$5))</f>
        <v/>
      </c>
    </row>
    <row r="26746" spans="15:15" x14ac:dyDescent="0.25">
      <c r="O26746" s="20" t="str">
        <f>IF(N26746="","",COUNTIFS(RawData[[Date ]],N26746,RawData[Month List],$Q$6,RawData[Tour/Site],$Q$2,RawData[[Picker ID ]],$Q$3,RawData[Checker ID],$Q$4,RawData[[Error Type ]],$Q$5))</f>
        <v/>
      </c>
    </row>
    <row r="26747" spans="15:15" x14ac:dyDescent="0.25">
      <c r="O26747" s="20" t="str">
        <f>IF(N26747="","",COUNTIFS(RawData[[Date ]],N26747,RawData[Month List],$Q$6,RawData[Tour/Site],$Q$2,RawData[[Picker ID ]],$Q$3,RawData[Checker ID],$Q$4,RawData[[Error Type ]],$Q$5))</f>
        <v/>
      </c>
    </row>
    <row r="26748" spans="15:15" x14ac:dyDescent="0.25">
      <c r="O26748" s="20" t="str">
        <f>IF(N26748="","",COUNTIFS(RawData[[Date ]],N26748,RawData[Month List],$Q$6,RawData[Tour/Site],$Q$2,RawData[[Picker ID ]],$Q$3,RawData[Checker ID],$Q$4,RawData[[Error Type ]],$Q$5))</f>
        <v/>
      </c>
    </row>
    <row r="26749" spans="15:15" x14ac:dyDescent="0.25">
      <c r="O26749" s="20" t="str">
        <f>IF(N26749="","",COUNTIFS(RawData[[Date ]],N26749,RawData[Month List],$Q$6,RawData[Tour/Site],$Q$2,RawData[[Picker ID ]],$Q$3,RawData[Checker ID],$Q$4,RawData[[Error Type ]],$Q$5))</f>
        <v/>
      </c>
    </row>
    <row r="26750" spans="15:15" x14ac:dyDescent="0.25">
      <c r="O26750" s="20" t="str">
        <f>IF(N26750="","",COUNTIFS(RawData[[Date ]],N26750,RawData[Month List],$Q$6,RawData[Tour/Site],$Q$2,RawData[[Picker ID ]],$Q$3,RawData[Checker ID],$Q$4,RawData[[Error Type ]],$Q$5))</f>
        <v/>
      </c>
    </row>
    <row r="26751" spans="15:15" x14ac:dyDescent="0.25">
      <c r="O26751" s="20" t="str">
        <f>IF(N26751="","",COUNTIFS(RawData[[Date ]],N26751,RawData[Month List],$Q$6,RawData[Tour/Site],$Q$2,RawData[[Picker ID ]],$Q$3,RawData[Checker ID],$Q$4,RawData[[Error Type ]],$Q$5))</f>
        <v/>
      </c>
    </row>
    <row r="26752" spans="15:15" x14ac:dyDescent="0.25">
      <c r="O26752" s="20" t="str">
        <f>IF(N26752="","",COUNTIFS(RawData[[Date ]],N26752,RawData[Month List],$Q$6,RawData[Tour/Site],$Q$2,RawData[[Picker ID ]],$Q$3,RawData[Checker ID],$Q$4,RawData[[Error Type ]],$Q$5))</f>
        <v/>
      </c>
    </row>
    <row r="26753" spans="15:15" x14ac:dyDescent="0.25">
      <c r="O26753" s="20" t="str">
        <f>IF(N26753="","",COUNTIFS(RawData[[Date ]],N26753,RawData[Month List],$Q$6,RawData[Tour/Site],$Q$2,RawData[[Picker ID ]],$Q$3,RawData[Checker ID],$Q$4,RawData[[Error Type ]],$Q$5))</f>
        <v/>
      </c>
    </row>
    <row r="26754" spans="15:15" x14ac:dyDescent="0.25">
      <c r="O26754" s="20" t="str">
        <f>IF(N26754="","",COUNTIFS(RawData[[Date ]],N26754,RawData[Month List],$Q$6,RawData[Tour/Site],$Q$2,RawData[[Picker ID ]],$Q$3,RawData[Checker ID],$Q$4,RawData[[Error Type ]],$Q$5))</f>
        <v/>
      </c>
    </row>
    <row r="26755" spans="15:15" x14ac:dyDescent="0.25">
      <c r="O26755" s="20" t="str">
        <f>IF(N26755="","",COUNTIFS(RawData[[Date ]],N26755,RawData[Month List],$Q$6,RawData[Tour/Site],$Q$2,RawData[[Picker ID ]],$Q$3,RawData[Checker ID],$Q$4,RawData[[Error Type ]],$Q$5))</f>
        <v/>
      </c>
    </row>
    <row r="26756" spans="15:15" x14ac:dyDescent="0.25">
      <c r="O26756" s="20" t="str">
        <f>IF(N26756="","",COUNTIFS(RawData[[Date ]],N26756,RawData[Month List],$Q$6,RawData[Tour/Site],$Q$2,RawData[[Picker ID ]],$Q$3,RawData[Checker ID],$Q$4,RawData[[Error Type ]],$Q$5))</f>
        <v/>
      </c>
    </row>
    <row r="26757" spans="15:15" x14ac:dyDescent="0.25">
      <c r="O26757" s="20" t="str">
        <f>IF(N26757="","",COUNTIFS(RawData[[Date ]],N26757,RawData[Month List],$Q$6,RawData[Tour/Site],$Q$2,RawData[[Picker ID ]],$Q$3,RawData[Checker ID],$Q$4,RawData[[Error Type ]],$Q$5))</f>
        <v/>
      </c>
    </row>
    <row r="26758" spans="15:15" x14ac:dyDescent="0.25">
      <c r="O26758" s="20" t="str">
        <f>IF(N26758="","",COUNTIFS(RawData[[Date ]],N26758,RawData[Month List],$Q$6,RawData[Tour/Site],$Q$2,RawData[[Picker ID ]],$Q$3,RawData[Checker ID],$Q$4,RawData[[Error Type ]],$Q$5))</f>
        <v/>
      </c>
    </row>
    <row r="26759" spans="15:15" x14ac:dyDescent="0.25">
      <c r="O26759" s="20" t="str">
        <f>IF(N26759="","",COUNTIFS(RawData[[Date ]],N26759,RawData[Month List],$Q$6,RawData[Tour/Site],$Q$2,RawData[[Picker ID ]],$Q$3,RawData[Checker ID],$Q$4,RawData[[Error Type ]],$Q$5))</f>
        <v/>
      </c>
    </row>
    <row r="26760" spans="15:15" x14ac:dyDescent="0.25">
      <c r="O26760" s="20" t="str">
        <f>IF(N26760="","",COUNTIFS(RawData[[Date ]],N26760,RawData[Month List],$Q$6,RawData[Tour/Site],$Q$2,RawData[[Picker ID ]],$Q$3,RawData[Checker ID],$Q$4,RawData[[Error Type ]],$Q$5))</f>
        <v/>
      </c>
    </row>
    <row r="26761" spans="15:15" x14ac:dyDescent="0.25">
      <c r="O26761" s="20" t="str">
        <f>IF(N26761="","",COUNTIFS(RawData[[Date ]],N26761,RawData[Month List],$Q$6,RawData[Tour/Site],$Q$2,RawData[[Picker ID ]],$Q$3,RawData[Checker ID],$Q$4,RawData[[Error Type ]],$Q$5))</f>
        <v/>
      </c>
    </row>
    <row r="26762" spans="15:15" x14ac:dyDescent="0.25">
      <c r="O26762" s="20" t="str">
        <f>IF(N26762="","",COUNTIFS(RawData[[Date ]],N26762,RawData[Month List],$Q$6,RawData[Tour/Site],$Q$2,RawData[[Picker ID ]],$Q$3,RawData[Checker ID],$Q$4,RawData[[Error Type ]],$Q$5))</f>
        <v/>
      </c>
    </row>
    <row r="26763" spans="15:15" x14ac:dyDescent="0.25">
      <c r="O26763" s="20" t="str">
        <f>IF(N26763="","",COUNTIFS(RawData[[Date ]],N26763,RawData[Month List],$Q$6,RawData[Tour/Site],$Q$2,RawData[[Picker ID ]],$Q$3,RawData[Checker ID],$Q$4,RawData[[Error Type ]],$Q$5))</f>
        <v/>
      </c>
    </row>
    <row r="26764" spans="15:15" x14ac:dyDescent="0.25">
      <c r="O26764" s="20" t="str">
        <f>IF(N26764="","",COUNTIFS(RawData[[Date ]],N26764,RawData[Month List],$Q$6,RawData[Tour/Site],$Q$2,RawData[[Picker ID ]],$Q$3,RawData[Checker ID],$Q$4,RawData[[Error Type ]],$Q$5))</f>
        <v/>
      </c>
    </row>
    <row r="26765" spans="15:15" x14ac:dyDescent="0.25">
      <c r="O26765" s="20" t="str">
        <f>IF(N26765="","",COUNTIFS(RawData[[Date ]],N26765,RawData[Month List],$Q$6,RawData[Tour/Site],$Q$2,RawData[[Picker ID ]],$Q$3,RawData[Checker ID],$Q$4,RawData[[Error Type ]],$Q$5))</f>
        <v/>
      </c>
    </row>
    <row r="26766" spans="15:15" x14ac:dyDescent="0.25">
      <c r="O26766" s="20" t="str">
        <f>IF(N26766="","",COUNTIFS(RawData[[Date ]],N26766,RawData[Month List],$Q$6,RawData[Tour/Site],$Q$2,RawData[[Picker ID ]],$Q$3,RawData[Checker ID],$Q$4,RawData[[Error Type ]],$Q$5))</f>
        <v/>
      </c>
    </row>
    <row r="26767" spans="15:15" x14ac:dyDescent="0.25">
      <c r="O26767" s="20" t="str">
        <f>IF(N26767="","",COUNTIFS(RawData[[Date ]],N26767,RawData[Month List],$Q$6,RawData[Tour/Site],$Q$2,RawData[[Picker ID ]],$Q$3,RawData[Checker ID],$Q$4,RawData[[Error Type ]],$Q$5))</f>
        <v/>
      </c>
    </row>
    <row r="26768" spans="15:15" x14ac:dyDescent="0.25">
      <c r="O26768" s="20" t="str">
        <f>IF(N26768="","",COUNTIFS(RawData[[Date ]],N26768,RawData[Month List],$Q$6,RawData[Tour/Site],$Q$2,RawData[[Picker ID ]],$Q$3,RawData[Checker ID],$Q$4,RawData[[Error Type ]],$Q$5))</f>
        <v/>
      </c>
    </row>
    <row r="26769" spans="15:15" x14ac:dyDescent="0.25">
      <c r="O26769" s="20" t="str">
        <f>IF(N26769="","",COUNTIFS(RawData[[Date ]],N26769,RawData[Month List],$Q$6,RawData[Tour/Site],$Q$2,RawData[[Picker ID ]],$Q$3,RawData[Checker ID],$Q$4,RawData[[Error Type ]],$Q$5))</f>
        <v/>
      </c>
    </row>
    <row r="26770" spans="15:15" x14ac:dyDescent="0.25">
      <c r="O26770" s="20" t="str">
        <f>IF(N26770="","",COUNTIFS(RawData[[Date ]],N26770,RawData[Month List],$Q$6,RawData[Tour/Site],$Q$2,RawData[[Picker ID ]],$Q$3,RawData[Checker ID],$Q$4,RawData[[Error Type ]],$Q$5))</f>
        <v/>
      </c>
    </row>
    <row r="26771" spans="15:15" x14ac:dyDescent="0.25">
      <c r="O26771" s="20" t="str">
        <f>IF(N26771="","",COUNTIFS(RawData[[Date ]],N26771,RawData[Month List],$Q$6,RawData[Tour/Site],$Q$2,RawData[[Picker ID ]],$Q$3,RawData[Checker ID],$Q$4,RawData[[Error Type ]],$Q$5))</f>
        <v/>
      </c>
    </row>
    <row r="26772" spans="15:15" x14ac:dyDescent="0.25">
      <c r="O26772" s="20" t="str">
        <f>IF(N26772="","",COUNTIFS(RawData[[Date ]],N26772,RawData[Month List],$Q$6,RawData[Tour/Site],$Q$2,RawData[[Picker ID ]],$Q$3,RawData[Checker ID],$Q$4,RawData[[Error Type ]],$Q$5))</f>
        <v/>
      </c>
    </row>
    <row r="26773" spans="15:15" x14ac:dyDescent="0.25">
      <c r="O26773" s="20" t="str">
        <f>IF(N26773="","",COUNTIFS(RawData[[Date ]],N26773,RawData[Month List],$Q$6,RawData[Tour/Site],$Q$2,RawData[[Picker ID ]],$Q$3,RawData[Checker ID],$Q$4,RawData[[Error Type ]],$Q$5))</f>
        <v/>
      </c>
    </row>
    <row r="26774" spans="15:15" x14ac:dyDescent="0.25">
      <c r="O26774" s="20" t="str">
        <f>IF(N26774="","",COUNTIFS(RawData[[Date ]],N26774,RawData[Month List],$Q$6,RawData[Tour/Site],$Q$2,RawData[[Picker ID ]],$Q$3,RawData[Checker ID],$Q$4,RawData[[Error Type ]],$Q$5))</f>
        <v/>
      </c>
    </row>
    <row r="26775" spans="15:15" x14ac:dyDescent="0.25">
      <c r="O26775" s="20" t="str">
        <f>IF(N26775="","",COUNTIFS(RawData[[Date ]],N26775,RawData[Month List],$Q$6,RawData[Tour/Site],$Q$2,RawData[[Picker ID ]],$Q$3,RawData[Checker ID],$Q$4,RawData[[Error Type ]],$Q$5))</f>
        <v/>
      </c>
    </row>
    <row r="26776" spans="15:15" x14ac:dyDescent="0.25">
      <c r="O26776" s="20" t="str">
        <f>IF(N26776="","",COUNTIFS(RawData[[Date ]],N26776,RawData[Month List],$Q$6,RawData[Tour/Site],$Q$2,RawData[[Picker ID ]],$Q$3,RawData[Checker ID],$Q$4,RawData[[Error Type ]],$Q$5))</f>
        <v/>
      </c>
    </row>
    <row r="26777" spans="15:15" x14ac:dyDescent="0.25">
      <c r="O26777" s="20" t="str">
        <f>IF(N26777="","",COUNTIFS(RawData[[Date ]],N26777,RawData[Month List],$Q$6,RawData[Tour/Site],$Q$2,RawData[[Picker ID ]],$Q$3,RawData[Checker ID],$Q$4,RawData[[Error Type ]],$Q$5))</f>
        <v/>
      </c>
    </row>
    <row r="26778" spans="15:15" x14ac:dyDescent="0.25">
      <c r="O26778" s="20" t="str">
        <f>IF(N26778="","",COUNTIFS(RawData[[Date ]],N26778,RawData[Month List],$Q$6,RawData[Tour/Site],$Q$2,RawData[[Picker ID ]],$Q$3,RawData[Checker ID],$Q$4,RawData[[Error Type ]],$Q$5))</f>
        <v/>
      </c>
    </row>
    <row r="26779" spans="15:15" x14ac:dyDescent="0.25">
      <c r="O26779" s="20" t="str">
        <f>IF(N26779="","",COUNTIFS(RawData[[Date ]],N26779,RawData[Month List],$Q$6,RawData[Tour/Site],$Q$2,RawData[[Picker ID ]],$Q$3,RawData[Checker ID],$Q$4,RawData[[Error Type ]],$Q$5))</f>
        <v/>
      </c>
    </row>
    <row r="26780" spans="15:15" x14ac:dyDescent="0.25">
      <c r="O26780" s="20" t="str">
        <f>IF(N26780="","",COUNTIFS(RawData[[Date ]],N26780,RawData[Month List],$Q$6,RawData[Tour/Site],$Q$2,RawData[[Picker ID ]],$Q$3,RawData[Checker ID],$Q$4,RawData[[Error Type ]],$Q$5))</f>
        <v/>
      </c>
    </row>
    <row r="26781" spans="15:15" x14ac:dyDescent="0.25">
      <c r="O26781" s="20" t="str">
        <f>IF(N26781="","",COUNTIFS(RawData[[Date ]],N26781,RawData[Month List],$Q$6,RawData[Tour/Site],$Q$2,RawData[[Picker ID ]],$Q$3,RawData[Checker ID],$Q$4,RawData[[Error Type ]],$Q$5))</f>
        <v/>
      </c>
    </row>
    <row r="26782" spans="15:15" x14ac:dyDescent="0.25">
      <c r="O26782" s="20" t="str">
        <f>IF(N26782="","",COUNTIFS(RawData[[Date ]],N26782,RawData[Month List],$Q$6,RawData[Tour/Site],$Q$2,RawData[[Picker ID ]],$Q$3,RawData[Checker ID],$Q$4,RawData[[Error Type ]],$Q$5))</f>
        <v/>
      </c>
    </row>
    <row r="26783" spans="15:15" x14ac:dyDescent="0.25">
      <c r="O26783" s="20" t="str">
        <f>IF(N26783="","",COUNTIFS(RawData[[Date ]],N26783,RawData[Month List],$Q$6,RawData[Tour/Site],$Q$2,RawData[[Picker ID ]],$Q$3,RawData[Checker ID],$Q$4,RawData[[Error Type ]],$Q$5))</f>
        <v/>
      </c>
    </row>
    <row r="26784" spans="15:15" x14ac:dyDescent="0.25">
      <c r="O26784" s="20" t="str">
        <f>IF(N26784="","",COUNTIFS(RawData[[Date ]],N26784,RawData[Month List],$Q$6,RawData[Tour/Site],$Q$2,RawData[[Picker ID ]],$Q$3,RawData[Checker ID],$Q$4,RawData[[Error Type ]],$Q$5))</f>
        <v/>
      </c>
    </row>
    <row r="26785" spans="15:15" x14ac:dyDescent="0.25">
      <c r="O26785" s="20" t="str">
        <f>IF(N26785="","",COUNTIFS(RawData[[Date ]],N26785,RawData[Month List],$Q$6,RawData[Tour/Site],$Q$2,RawData[[Picker ID ]],$Q$3,RawData[Checker ID],$Q$4,RawData[[Error Type ]],$Q$5))</f>
        <v/>
      </c>
    </row>
    <row r="26786" spans="15:15" x14ac:dyDescent="0.25">
      <c r="O26786" s="20" t="str">
        <f>IF(N26786="","",COUNTIFS(RawData[[Date ]],N26786,RawData[Month List],$Q$6,RawData[Tour/Site],$Q$2,RawData[[Picker ID ]],$Q$3,RawData[Checker ID],$Q$4,RawData[[Error Type ]],$Q$5))</f>
        <v/>
      </c>
    </row>
    <row r="26787" spans="15:15" x14ac:dyDescent="0.25">
      <c r="O26787" s="20" t="str">
        <f>IF(N26787="","",COUNTIFS(RawData[[Date ]],N26787,RawData[Month List],$Q$6,RawData[Tour/Site],$Q$2,RawData[[Picker ID ]],$Q$3,RawData[Checker ID],$Q$4,RawData[[Error Type ]],$Q$5))</f>
        <v/>
      </c>
    </row>
    <row r="26788" spans="15:15" x14ac:dyDescent="0.25">
      <c r="O26788" s="20" t="str">
        <f>IF(N26788="","",COUNTIFS(RawData[[Date ]],N26788,RawData[Month List],$Q$6,RawData[Tour/Site],$Q$2,RawData[[Picker ID ]],$Q$3,RawData[Checker ID],$Q$4,RawData[[Error Type ]],$Q$5))</f>
        <v/>
      </c>
    </row>
    <row r="26789" spans="15:15" x14ac:dyDescent="0.25">
      <c r="O26789" s="20" t="str">
        <f>IF(N26789="","",COUNTIFS(RawData[[Date ]],N26789,RawData[Month List],$Q$6,RawData[Tour/Site],$Q$2,RawData[[Picker ID ]],$Q$3,RawData[Checker ID],$Q$4,RawData[[Error Type ]],$Q$5))</f>
        <v/>
      </c>
    </row>
    <row r="26790" spans="15:15" x14ac:dyDescent="0.25">
      <c r="O26790" s="20" t="str">
        <f>IF(N26790="","",COUNTIFS(RawData[[Date ]],N26790,RawData[Month List],$Q$6,RawData[Tour/Site],$Q$2,RawData[[Picker ID ]],$Q$3,RawData[Checker ID],$Q$4,RawData[[Error Type ]],$Q$5))</f>
        <v/>
      </c>
    </row>
    <row r="26791" spans="15:15" x14ac:dyDescent="0.25">
      <c r="O26791" s="20" t="str">
        <f>IF(N26791="","",COUNTIFS(RawData[[Date ]],N26791,RawData[Month List],$Q$6,RawData[Tour/Site],$Q$2,RawData[[Picker ID ]],$Q$3,RawData[Checker ID],$Q$4,RawData[[Error Type ]],$Q$5))</f>
        <v/>
      </c>
    </row>
    <row r="26792" spans="15:15" x14ac:dyDescent="0.25">
      <c r="O26792" s="20" t="str">
        <f>IF(N26792="","",COUNTIFS(RawData[[Date ]],N26792,RawData[Month List],$Q$6,RawData[Tour/Site],$Q$2,RawData[[Picker ID ]],$Q$3,RawData[Checker ID],$Q$4,RawData[[Error Type ]],$Q$5))</f>
        <v/>
      </c>
    </row>
    <row r="26793" spans="15:15" x14ac:dyDescent="0.25">
      <c r="O26793" s="20" t="str">
        <f>IF(N26793="","",COUNTIFS(RawData[[Date ]],N26793,RawData[Month List],$Q$6,RawData[Tour/Site],$Q$2,RawData[[Picker ID ]],$Q$3,RawData[Checker ID],$Q$4,RawData[[Error Type ]],$Q$5))</f>
        <v/>
      </c>
    </row>
    <row r="26794" spans="15:15" x14ac:dyDescent="0.25">
      <c r="O26794" s="20" t="str">
        <f>IF(N26794="","",COUNTIFS(RawData[[Date ]],N26794,RawData[Month List],$Q$6,RawData[Tour/Site],$Q$2,RawData[[Picker ID ]],$Q$3,RawData[Checker ID],$Q$4,RawData[[Error Type ]],$Q$5))</f>
        <v/>
      </c>
    </row>
    <row r="26795" spans="15:15" x14ac:dyDescent="0.25">
      <c r="O26795" s="20" t="str">
        <f>IF(N26795="","",COUNTIFS(RawData[[Date ]],N26795,RawData[Month List],$Q$6,RawData[Tour/Site],$Q$2,RawData[[Picker ID ]],$Q$3,RawData[Checker ID],$Q$4,RawData[[Error Type ]],$Q$5))</f>
        <v/>
      </c>
    </row>
    <row r="26796" spans="15:15" x14ac:dyDescent="0.25">
      <c r="O26796" s="20" t="str">
        <f>IF(N26796="","",COUNTIFS(RawData[[Date ]],N26796,RawData[Month List],$Q$6,RawData[Tour/Site],$Q$2,RawData[[Picker ID ]],$Q$3,RawData[Checker ID],$Q$4,RawData[[Error Type ]],$Q$5))</f>
        <v/>
      </c>
    </row>
    <row r="26797" spans="15:15" x14ac:dyDescent="0.25">
      <c r="O26797" s="20" t="str">
        <f>IF(N26797="","",COUNTIFS(RawData[[Date ]],N26797,RawData[Month List],$Q$6,RawData[Tour/Site],$Q$2,RawData[[Picker ID ]],$Q$3,RawData[Checker ID],$Q$4,RawData[[Error Type ]],$Q$5))</f>
        <v/>
      </c>
    </row>
    <row r="26798" spans="15:15" x14ac:dyDescent="0.25">
      <c r="O26798" s="20" t="str">
        <f>IF(N26798="","",COUNTIFS(RawData[[Date ]],N26798,RawData[Month List],$Q$6,RawData[Tour/Site],$Q$2,RawData[[Picker ID ]],$Q$3,RawData[Checker ID],$Q$4,RawData[[Error Type ]],$Q$5))</f>
        <v/>
      </c>
    </row>
    <row r="26799" spans="15:15" x14ac:dyDescent="0.25">
      <c r="O26799" s="20" t="str">
        <f>IF(N26799="","",COUNTIFS(RawData[[Date ]],N26799,RawData[Month List],$Q$6,RawData[Tour/Site],$Q$2,RawData[[Picker ID ]],$Q$3,RawData[Checker ID],$Q$4,RawData[[Error Type ]],$Q$5))</f>
        <v/>
      </c>
    </row>
    <row r="26800" spans="15:15" x14ac:dyDescent="0.25">
      <c r="O26800" s="20" t="str">
        <f>IF(N26800="","",COUNTIFS(RawData[[Date ]],N26800,RawData[Month List],$Q$6,RawData[Tour/Site],$Q$2,RawData[[Picker ID ]],$Q$3,RawData[Checker ID],$Q$4,RawData[[Error Type ]],$Q$5))</f>
        <v/>
      </c>
    </row>
    <row r="26801" spans="15:15" x14ac:dyDescent="0.25">
      <c r="O26801" s="20" t="str">
        <f>IF(N26801="","",COUNTIFS(RawData[[Date ]],N26801,RawData[Month List],$Q$6,RawData[Tour/Site],$Q$2,RawData[[Picker ID ]],$Q$3,RawData[Checker ID],$Q$4,RawData[[Error Type ]],$Q$5))</f>
        <v/>
      </c>
    </row>
    <row r="26802" spans="15:15" x14ac:dyDescent="0.25">
      <c r="O26802" s="20" t="str">
        <f>IF(N26802="","",COUNTIFS(RawData[[Date ]],N26802,RawData[Month List],$Q$6,RawData[Tour/Site],$Q$2,RawData[[Picker ID ]],$Q$3,RawData[Checker ID],$Q$4,RawData[[Error Type ]],$Q$5))</f>
        <v/>
      </c>
    </row>
    <row r="26803" spans="15:15" x14ac:dyDescent="0.25">
      <c r="O26803" s="20" t="str">
        <f>IF(N26803="","",COUNTIFS(RawData[[Date ]],N26803,RawData[Month List],$Q$6,RawData[Tour/Site],$Q$2,RawData[[Picker ID ]],$Q$3,RawData[Checker ID],$Q$4,RawData[[Error Type ]],$Q$5))</f>
        <v/>
      </c>
    </row>
    <row r="26804" spans="15:15" x14ac:dyDescent="0.25">
      <c r="O26804" s="20" t="str">
        <f>IF(N26804="","",COUNTIFS(RawData[[Date ]],N26804,RawData[Month List],$Q$6,RawData[Tour/Site],$Q$2,RawData[[Picker ID ]],$Q$3,RawData[Checker ID],$Q$4,RawData[[Error Type ]],$Q$5))</f>
        <v/>
      </c>
    </row>
    <row r="26805" spans="15:15" x14ac:dyDescent="0.25">
      <c r="O26805" s="20" t="str">
        <f>IF(N26805="","",COUNTIFS(RawData[[Date ]],N26805,RawData[Month List],$Q$6,RawData[Tour/Site],$Q$2,RawData[[Picker ID ]],$Q$3,RawData[Checker ID],$Q$4,RawData[[Error Type ]],$Q$5))</f>
        <v/>
      </c>
    </row>
    <row r="26806" spans="15:15" x14ac:dyDescent="0.25">
      <c r="O26806" s="20" t="str">
        <f>IF(N26806="","",COUNTIFS(RawData[[Date ]],N26806,RawData[Month List],$Q$6,RawData[Tour/Site],$Q$2,RawData[[Picker ID ]],$Q$3,RawData[Checker ID],$Q$4,RawData[[Error Type ]],$Q$5))</f>
        <v/>
      </c>
    </row>
    <row r="26807" spans="15:15" x14ac:dyDescent="0.25">
      <c r="O26807" s="20" t="str">
        <f>IF(N26807="","",COUNTIFS(RawData[[Date ]],N26807,RawData[Month List],$Q$6,RawData[Tour/Site],$Q$2,RawData[[Picker ID ]],$Q$3,RawData[Checker ID],$Q$4,RawData[[Error Type ]],$Q$5))</f>
        <v/>
      </c>
    </row>
    <row r="26808" spans="15:15" x14ac:dyDescent="0.25">
      <c r="O26808" s="20" t="str">
        <f>IF(N26808="","",COUNTIFS(RawData[[Date ]],N26808,RawData[Month List],$Q$6,RawData[Tour/Site],$Q$2,RawData[[Picker ID ]],$Q$3,RawData[Checker ID],$Q$4,RawData[[Error Type ]],$Q$5))</f>
        <v/>
      </c>
    </row>
    <row r="26809" spans="15:15" x14ac:dyDescent="0.25">
      <c r="O26809" s="20" t="str">
        <f>IF(N26809="","",COUNTIFS(RawData[[Date ]],N26809,RawData[Month List],$Q$6,RawData[Tour/Site],$Q$2,RawData[[Picker ID ]],$Q$3,RawData[Checker ID],$Q$4,RawData[[Error Type ]],$Q$5))</f>
        <v/>
      </c>
    </row>
    <row r="26810" spans="15:15" x14ac:dyDescent="0.25">
      <c r="O26810" s="20" t="str">
        <f>IF(N26810="","",COUNTIFS(RawData[[Date ]],N26810,RawData[Month List],$Q$6,RawData[Tour/Site],$Q$2,RawData[[Picker ID ]],$Q$3,RawData[Checker ID],$Q$4,RawData[[Error Type ]],$Q$5))</f>
        <v/>
      </c>
    </row>
    <row r="26811" spans="15:15" x14ac:dyDescent="0.25">
      <c r="O26811" s="20" t="str">
        <f>IF(N26811="","",COUNTIFS(RawData[[Date ]],N26811,RawData[Month List],$Q$6,RawData[Tour/Site],$Q$2,RawData[[Picker ID ]],$Q$3,RawData[Checker ID],$Q$4,RawData[[Error Type ]],$Q$5))</f>
        <v/>
      </c>
    </row>
    <row r="26812" spans="15:15" x14ac:dyDescent="0.25">
      <c r="O26812" s="20" t="str">
        <f>IF(N26812="","",COUNTIFS(RawData[[Date ]],N26812,RawData[Month List],$Q$6,RawData[Tour/Site],$Q$2,RawData[[Picker ID ]],$Q$3,RawData[Checker ID],$Q$4,RawData[[Error Type ]],$Q$5))</f>
        <v/>
      </c>
    </row>
    <row r="26813" spans="15:15" x14ac:dyDescent="0.25">
      <c r="O26813" s="20" t="str">
        <f>IF(N26813="","",COUNTIFS(RawData[[Date ]],N26813,RawData[Month List],$Q$6,RawData[Tour/Site],$Q$2,RawData[[Picker ID ]],$Q$3,RawData[Checker ID],$Q$4,RawData[[Error Type ]],$Q$5))</f>
        <v/>
      </c>
    </row>
    <row r="26814" spans="15:15" x14ac:dyDescent="0.25">
      <c r="O26814" s="20" t="str">
        <f>IF(N26814="","",COUNTIFS(RawData[[Date ]],N26814,RawData[Month List],$Q$6,RawData[Tour/Site],$Q$2,RawData[[Picker ID ]],$Q$3,RawData[Checker ID],$Q$4,RawData[[Error Type ]],$Q$5))</f>
        <v/>
      </c>
    </row>
    <row r="26815" spans="15:15" x14ac:dyDescent="0.25">
      <c r="O26815" s="20" t="str">
        <f>IF(N26815="","",COUNTIFS(RawData[[Date ]],N26815,RawData[Month List],$Q$6,RawData[Tour/Site],$Q$2,RawData[[Picker ID ]],$Q$3,RawData[Checker ID],$Q$4,RawData[[Error Type ]],$Q$5))</f>
        <v/>
      </c>
    </row>
    <row r="26816" spans="15:15" x14ac:dyDescent="0.25">
      <c r="O26816" s="20" t="str">
        <f>IF(N26816="","",COUNTIFS(RawData[[Date ]],N26816,RawData[Month List],$Q$6,RawData[Tour/Site],$Q$2,RawData[[Picker ID ]],$Q$3,RawData[Checker ID],$Q$4,RawData[[Error Type ]],$Q$5))</f>
        <v/>
      </c>
    </row>
    <row r="26817" spans="15:15" x14ac:dyDescent="0.25">
      <c r="O26817" s="20" t="str">
        <f>IF(N26817="","",COUNTIFS(RawData[[Date ]],N26817,RawData[Month List],$Q$6,RawData[Tour/Site],$Q$2,RawData[[Picker ID ]],$Q$3,RawData[Checker ID],$Q$4,RawData[[Error Type ]],$Q$5))</f>
        <v/>
      </c>
    </row>
    <row r="26818" spans="15:15" x14ac:dyDescent="0.25">
      <c r="O26818" s="20" t="str">
        <f>IF(N26818="","",COUNTIFS(RawData[[Date ]],N26818,RawData[Month List],$Q$6,RawData[Tour/Site],$Q$2,RawData[[Picker ID ]],$Q$3,RawData[Checker ID],$Q$4,RawData[[Error Type ]],$Q$5))</f>
        <v/>
      </c>
    </row>
    <row r="26819" spans="15:15" x14ac:dyDescent="0.25">
      <c r="O26819" s="20" t="str">
        <f>IF(N26819="","",COUNTIFS(RawData[[Date ]],N26819,RawData[Month List],$Q$6,RawData[Tour/Site],$Q$2,RawData[[Picker ID ]],$Q$3,RawData[Checker ID],$Q$4,RawData[[Error Type ]],$Q$5))</f>
        <v/>
      </c>
    </row>
    <row r="26820" spans="15:15" x14ac:dyDescent="0.25">
      <c r="O26820" s="20" t="str">
        <f>IF(N26820="","",COUNTIFS(RawData[[Date ]],N26820,RawData[Month List],$Q$6,RawData[Tour/Site],$Q$2,RawData[[Picker ID ]],$Q$3,RawData[Checker ID],$Q$4,RawData[[Error Type ]],$Q$5))</f>
        <v/>
      </c>
    </row>
    <row r="26821" spans="15:15" x14ac:dyDescent="0.25">
      <c r="O26821" s="20" t="str">
        <f>IF(N26821="","",COUNTIFS(RawData[[Date ]],N26821,RawData[Month List],$Q$6,RawData[Tour/Site],$Q$2,RawData[[Picker ID ]],$Q$3,RawData[Checker ID],$Q$4,RawData[[Error Type ]],$Q$5))</f>
        <v/>
      </c>
    </row>
    <row r="26822" spans="15:15" x14ac:dyDescent="0.25">
      <c r="O26822" s="20" t="str">
        <f>IF(N26822="","",COUNTIFS(RawData[[Date ]],N26822,RawData[Month List],$Q$6,RawData[Tour/Site],$Q$2,RawData[[Picker ID ]],$Q$3,RawData[Checker ID],$Q$4,RawData[[Error Type ]],$Q$5))</f>
        <v/>
      </c>
    </row>
    <row r="26823" spans="15:15" x14ac:dyDescent="0.25">
      <c r="O26823" s="20" t="str">
        <f>IF(N26823="","",COUNTIFS(RawData[[Date ]],N26823,RawData[Month List],$Q$6,RawData[Tour/Site],$Q$2,RawData[[Picker ID ]],$Q$3,RawData[Checker ID],$Q$4,RawData[[Error Type ]],$Q$5))</f>
        <v/>
      </c>
    </row>
    <row r="26824" spans="15:15" x14ac:dyDescent="0.25">
      <c r="O26824" s="20" t="str">
        <f>IF(N26824="","",COUNTIFS(RawData[[Date ]],N26824,RawData[Month List],$Q$6,RawData[Tour/Site],$Q$2,RawData[[Picker ID ]],$Q$3,RawData[Checker ID],$Q$4,RawData[[Error Type ]],$Q$5))</f>
        <v/>
      </c>
    </row>
    <row r="26825" spans="15:15" x14ac:dyDescent="0.25">
      <c r="O26825" s="20" t="str">
        <f>IF(N26825="","",COUNTIFS(RawData[[Date ]],N26825,RawData[Month List],$Q$6,RawData[Tour/Site],$Q$2,RawData[[Picker ID ]],$Q$3,RawData[Checker ID],$Q$4,RawData[[Error Type ]],$Q$5))</f>
        <v/>
      </c>
    </row>
    <row r="26826" spans="15:15" x14ac:dyDescent="0.25">
      <c r="O26826" s="20" t="str">
        <f>IF(N26826="","",COUNTIFS(RawData[[Date ]],N26826,RawData[Month List],$Q$6,RawData[Tour/Site],$Q$2,RawData[[Picker ID ]],$Q$3,RawData[Checker ID],$Q$4,RawData[[Error Type ]],$Q$5))</f>
        <v/>
      </c>
    </row>
    <row r="26827" spans="15:15" x14ac:dyDescent="0.25">
      <c r="O26827" s="20" t="str">
        <f>IF(N26827="","",COUNTIFS(RawData[[Date ]],N26827,RawData[Month List],$Q$6,RawData[Tour/Site],$Q$2,RawData[[Picker ID ]],$Q$3,RawData[Checker ID],$Q$4,RawData[[Error Type ]],$Q$5))</f>
        <v/>
      </c>
    </row>
    <row r="26828" spans="15:15" x14ac:dyDescent="0.25">
      <c r="O26828" s="20" t="str">
        <f>IF(N26828="","",COUNTIFS(RawData[[Date ]],N26828,RawData[Month List],$Q$6,RawData[Tour/Site],$Q$2,RawData[[Picker ID ]],$Q$3,RawData[Checker ID],$Q$4,RawData[[Error Type ]],$Q$5))</f>
        <v/>
      </c>
    </row>
    <row r="26829" spans="15:15" x14ac:dyDescent="0.25">
      <c r="O26829" s="20" t="str">
        <f>IF(N26829="","",COUNTIFS(RawData[[Date ]],N26829,RawData[Month List],$Q$6,RawData[Tour/Site],$Q$2,RawData[[Picker ID ]],$Q$3,RawData[Checker ID],$Q$4,RawData[[Error Type ]],$Q$5))</f>
        <v/>
      </c>
    </row>
    <row r="26830" spans="15:15" x14ac:dyDescent="0.25">
      <c r="O26830" s="20" t="str">
        <f>IF(N26830="","",COUNTIFS(RawData[[Date ]],N26830,RawData[Month List],$Q$6,RawData[Tour/Site],$Q$2,RawData[[Picker ID ]],$Q$3,RawData[Checker ID],$Q$4,RawData[[Error Type ]],$Q$5))</f>
        <v/>
      </c>
    </row>
    <row r="26831" spans="15:15" x14ac:dyDescent="0.25">
      <c r="O26831" s="20" t="str">
        <f>IF(N26831="","",COUNTIFS(RawData[[Date ]],N26831,RawData[Month List],$Q$6,RawData[Tour/Site],$Q$2,RawData[[Picker ID ]],$Q$3,RawData[Checker ID],$Q$4,RawData[[Error Type ]],$Q$5))</f>
        <v/>
      </c>
    </row>
    <row r="26832" spans="15:15" x14ac:dyDescent="0.25">
      <c r="O26832" s="20" t="str">
        <f>IF(N26832="","",COUNTIFS(RawData[[Date ]],N26832,RawData[Month List],$Q$6,RawData[Tour/Site],$Q$2,RawData[[Picker ID ]],$Q$3,RawData[Checker ID],$Q$4,RawData[[Error Type ]],$Q$5))</f>
        <v/>
      </c>
    </row>
    <row r="26833" spans="15:15" x14ac:dyDescent="0.25">
      <c r="O26833" s="20" t="str">
        <f>IF(N26833="","",COUNTIFS(RawData[[Date ]],N26833,RawData[Month List],$Q$6,RawData[Tour/Site],$Q$2,RawData[[Picker ID ]],$Q$3,RawData[Checker ID],$Q$4,RawData[[Error Type ]],$Q$5))</f>
        <v/>
      </c>
    </row>
    <row r="26834" spans="15:15" x14ac:dyDescent="0.25">
      <c r="O26834" s="20" t="str">
        <f>IF(N26834="","",COUNTIFS(RawData[[Date ]],N26834,RawData[Month List],$Q$6,RawData[Tour/Site],$Q$2,RawData[[Picker ID ]],$Q$3,RawData[Checker ID],$Q$4,RawData[[Error Type ]],$Q$5))</f>
        <v/>
      </c>
    </row>
    <row r="26835" spans="15:15" x14ac:dyDescent="0.25">
      <c r="O26835" s="20" t="str">
        <f>IF(N26835="","",COUNTIFS(RawData[[Date ]],N26835,RawData[Month List],$Q$6,RawData[Tour/Site],$Q$2,RawData[[Picker ID ]],$Q$3,RawData[Checker ID],$Q$4,RawData[[Error Type ]],$Q$5))</f>
        <v/>
      </c>
    </row>
    <row r="26836" spans="15:15" x14ac:dyDescent="0.25">
      <c r="O26836" s="20" t="str">
        <f>IF(N26836="","",COUNTIFS(RawData[[Date ]],N26836,RawData[Month List],$Q$6,RawData[Tour/Site],$Q$2,RawData[[Picker ID ]],$Q$3,RawData[Checker ID],$Q$4,RawData[[Error Type ]],$Q$5))</f>
        <v/>
      </c>
    </row>
    <row r="26837" spans="15:15" x14ac:dyDescent="0.25">
      <c r="O26837" s="20" t="str">
        <f>IF(N26837="","",COUNTIFS(RawData[[Date ]],N26837,RawData[Month List],$Q$6,RawData[Tour/Site],$Q$2,RawData[[Picker ID ]],$Q$3,RawData[Checker ID],$Q$4,RawData[[Error Type ]],$Q$5))</f>
        <v/>
      </c>
    </row>
    <row r="26838" spans="15:15" x14ac:dyDescent="0.25">
      <c r="O26838" s="20" t="str">
        <f>IF(N26838="","",COUNTIFS(RawData[[Date ]],N26838,RawData[Month List],$Q$6,RawData[Tour/Site],$Q$2,RawData[[Picker ID ]],$Q$3,RawData[Checker ID],$Q$4,RawData[[Error Type ]],$Q$5))</f>
        <v/>
      </c>
    </row>
    <row r="26839" spans="15:15" x14ac:dyDescent="0.25">
      <c r="O26839" s="20" t="str">
        <f>IF(N26839="","",COUNTIFS(RawData[[Date ]],N26839,RawData[Month List],$Q$6,RawData[Tour/Site],$Q$2,RawData[[Picker ID ]],$Q$3,RawData[Checker ID],$Q$4,RawData[[Error Type ]],$Q$5))</f>
        <v/>
      </c>
    </row>
    <row r="26840" spans="15:15" x14ac:dyDescent="0.25">
      <c r="O26840" s="20" t="str">
        <f>IF(N26840="","",COUNTIFS(RawData[[Date ]],N26840,RawData[Month List],$Q$6,RawData[Tour/Site],$Q$2,RawData[[Picker ID ]],$Q$3,RawData[Checker ID],$Q$4,RawData[[Error Type ]],$Q$5))</f>
        <v/>
      </c>
    </row>
    <row r="26841" spans="15:15" x14ac:dyDescent="0.25">
      <c r="O26841" s="20" t="str">
        <f>IF(N26841="","",COUNTIFS(RawData[[Date ]],N26841,RawData[Month List],$Q$6,RawData[Tour/Site],$Q$2,RawData[[Picker ID ]],$Q$3,RawData[Checker ID],$Q$4,RawData[[Error Type ]],$Q$5))</f>
        <v/>
      </c>
    </row>
    <row r="26842" spans="15:15" x14ac:dyDescent="0.25">
      <c r="O26842" s="20" t="str">
        <f>IF(N26842="","",COUNTIFS(RawData[[Date ]],N26842,RawData[Month List],$Q$6,RawData[Tour/Site],$Q$2,RawData[[Picker ID ]],$Q$3,RawData[Checker ID],$Q$4,RawData[[Error Type ]],$Q$5))</f>
        <v/>
      </c>
    </row>
    <row r="26843" spans="15:15" x14ac:dyDescent="0.25">
      <c r="O26843" s="20" t="str">
        <f>IF(N26843="","",COUNTIFS(RawData[[Date ]],N26843,RawData[Month List],$Q$6,RawData[Tour/Site],$Q$2,RawData[[Picker ID ]],$Q$3,RawData[Checker ID],$Q$4,RawData[[Error Type ]],$Q$5))</f>
        <v/>
      </c>
    </row>
    <row r="26844" spans="15:15" x14ac:dyDescent="0.25">
      <c r="O26844" s="20" t="str">
        <f>IF(N26844="","",COUNTIFS(RawData[[Date ]],N26844,RawData[Month List],$Q$6,RawData[Tour/Site],$Q$2,RawData[[Picker ID ]],$Q$3,RawData[Checker ID],$Q$4,RawData[[Error Type ]],$Q$5))</f>
        <v/>
      </c>
    </row>
    <row r="26845" spans="15:15" x14ac:dyDescent="0.25">
      <c r="O26845" s="20" t="str">
        <f>IF(N26845="","",COUNTIFS(RawData[[Date ]],N26845,RawData[Month List],$Q$6,RawData[Tour/Site],$Q$2,RawData[[Picker ID ]],$Q$3,RawData[Checker ID],$Q$4,RawData[[Error Type ]],$Q$5))</f>
        <v/>
      </c>
    </row>
    <row r="26846" spans="15:15" x14ac:dyDescent="0.25">
      <c r="O26846" s="20" t="str">
        <f>IF(N26846="","",COUNTIFS(RawData[[Date ]],N26846,RawData[Month List],$Q$6,RawData[Tour/Site],$Q$2,RawData[[Picker ID ]],$Q$3,RawData[Checker ID],$Q$4,RawData[[Error Type ]],$Q$5))</f>
        <v/>
      </c>
    </row>
    <row r="26847" spans="15:15" x14ac:dyDescent="0.25">
      <c r="O26847" s="20" t="str">
        <f>IF(N26847="","",COUNTIFS(RawData[[Date ]],N26847,RawData[Month List],$Q$6,RawData[Tour/Site],$Q$2,RawData[[Picker ID ]],$Q$3,RawData[Checker ID],$Q$4,RawData[[Error Type ]],$Q$5))</f>
        <v/>
      </c>
    </row>
    <row r="26848" spans="15:15" x14ac:dyDescent="0.25">
      <c r="O26848" s="20" t="str">
        <f>IF(N26848="","",COUNTIFS(RawData[[Date ]],N26848,RawData[Month List],$Q$6,RawData[Tour/Site],$Q$2,RawData[[Picker ID ]],$Q$3,RawData[Checker ID],$Q$4,RawData[[Error Type ]],$Q$5))</f>
        <v/>
      </c>
    </row>
    <row r="26849" spans="15:15" x14ac:dyDescent="0.25">
      <c r="O26849" s="20" t="str">
        <f>IF(N26849="","",COUNTIFS(RawData[[Date ]],N26849,RawData[Month List],$Q$6,RawData[Tour/Site],$Q$2,RawData[[Picker ID ]],$Q$3,RawData[Checker ID],$Q$4,RawData[[Error Type ]],$Q$5))</f>
        <v/>
      </c>
    </row>
    <row r="26850" spans="15:15" x14ac:dyDescent="0.25">
      <c r="O26850" s="20" t="str">
        <f>IF(N26850="","",COUNTIFS(RawData[[Date ]],N26850,RawData[Month List],$Q$6,RawData[Tour/Site],$Q$2,RawData[[Picker ID ]],$Q$3,RawData[Checker ID],$Q$4,RawData[[Error Type ]],$Q$5))</f>
        <v/>
      </c>
    </row>
    <row r="26851" spans="15:15" x14ac:dyDescent="0.25">
      <c r="O26851" s="20" t="str">
        <f>IF(N26851="","",COUNTIFS(RawData[[Date ]],N26851,RawData[Month List],$Q$6,RawData[Tour/Site],$Q$2,RawData[[Picker ID ]],$Q$3,RawData[Checker ID],$Q$4,RawData[[Error Type ]],$Q$5))</f>
        <v/>
      </c>
    </row>
    <row r="26852" spans="15:15" x14ac:dyDescent="0.25">
      <c r="O26852" s="20" t="str">
        <f>IF(N26852="","",COUNTIFS(RawData[[Date ]],N26852,RawData[Month List],$Q$6,RawData[Tour/Site],$Q$2,RawData[[Picker ID ]],$Q$3,RawData[Checker ID],$Q$4,RawData[[Error Type ]],$Q$5))</f>
        <v/>
      </c>
    </row>
    <row r="26853" spans="15:15" x14ac:dyDescent="0.25">
      <c r="O26853" s="20" t="str">
        <f>IF(N26853="","",COUNTIFS(RawData[[Date ]],N26853,RawData[Month List],$Q$6,RawData[Tour/Site],$Q$2,RawData[[Picker ID ]],$Q$3,RawData[Checker ID],$Q$4,RawData[[Error Type ]],$Q$5))</f>
        <v/>
      </c>
    </row>
    <row r="26854" spans="15:15" x14ac:dyDescent="0.25">
      <c r="O26854" s="20" t="str">
        <f>IF(N26854="","",COUNTIFS(RawData[[Date ]],N26854,RawData[Month List],$Q$6,RawData[Tour/Site],$Q$2,RawData[[Picker ID ]],$Q$3,RawData[Checker ID],$Q$4,RawData[[Error Type ]],$Q$5))</f>
        <v/>
      </c>
    </row>
    <row r="26855" spans="15:15" x14ac:dyDescent="0.25">
      <c r="O26855" s="20" t="str">
        <f>IF(N26855="","",COUNTIFS(RawData[[Date ]],N26855,RawData[Month List],$Q$6,RawData[Tour/Site],$Q$2,RawData[[Picker ID ]],$Q$3,RawData[Checker ID],$Q$4,RawData[[Error Type ]],$Q$5))</f>
        <v/>
      </c>
    </row>
    <row r="26856" spans="15:15" x14ac:dyDescent="0.25">
      <c r="O26856" s="20" t="str">
        <f>IF(N26856="","",COUNTIFS(RawData[[Date ]],N26856,RawData[Month List],$Q$6,RawData[Tour/Site],$Q$2,RawData[[Picker ID ]],$Q$3,RawData[Checker ID],$Q$4,RawData[[Error Type ]],$Q$5))</f>
        <v/>
      </c>
    </row>
    <row r="26857" spans="15:15" x14ac:dyDescent="0.25">
      <c r="O26857" s="20" t="str">
        <f>IF(N26857="","",COUNTIFS(RawData[[Date ]],N26857,RawData[Month List],$Q$6,RawData[Tour/Site],$Q$2,RawData[[Picker ID ]],$Q$3,RawData[Checker ID],$Q$4,RawData[[Error Type ]],$Q$5))</f>
        <v/>
      </c>
    </row>
    <row r="26858" spans="15:15" x14ac:dyDescent="0.25">
      <c r="O26858" s="20" t="str">
        <f>IF(N26858="","",COUNTIFS(RawData[[Date ]],N26858,RawData[Month List],$Q$6,RawData[Tour/Site],$Q$2,RawData[[Picker ID ]],$Q$3,RawData[Checker ID],$Q$4,RawData[[Error Type ]],$Q$5))</f>
        <v/>
      </c>
    </row>
    <row r="26859" spans="15:15" x14ac:dyDescent="0.25">
      <c r="O26859" s="20" t="str">
        <f>IF(N26859="","",COUNTIFS(RawData[[Date ]],N26859,RawData[Month List],$Q$6,RawData[Tour/Site],$Q$2,RawData[[Picker ID ]],$Q$3,RawData[Checker ID],$Q$4,RawData[[Error Type ]],$Q$5))</f>
        <v/>
      </c>
    </row>
    <row r="26860" spans="15:15" x14ac:dyDescent="0.25">
      <c r="O26860" s="20" t="str">
        <f>IF(N26860="","",COUNTIFS(RawData[[Date ]],N26860,RawData[Month List],$Q$6,RawData[Tour/Site],$Q$2,RawData[[Picker ID ]],$Q$3,RawData[Checker ID],$Q$4,RawData[[Error Type ]],$Q$5))</f>
        <v/>
      </c>
    </row>
    <row r="26861" spans="15:15" x14ac:dyDescent="0.25">
      <c r="O26861" s="20" t="str">
        <f>IF(N26861="","",COUNTIFS(RawData[[Date ]],N26861,RawData[Month List],$Q$6,RawData[Tour/Site],$Q$2,RawData[[Picker ID ]],$Q$3,RawData[Checker ID],$Q$4,RawData[[Error Type ]],$Q$5))</f>
        <v/>
      </c>
    </row>
    <row r="26862" spans="15:15" x14ac:dyDescent="0.25">
      <c r="O26862" s="20" t="str">
        <f>IF(N26862="","",COUNTIFS(RawData[[Date ]],N26862,RawData[Month List],$Q$6,RawData[Tour/Site],$Q$2,RawData[[Picker ID ]],$Q$3,RawData[Checker ID],$Q$4,RawData[[Error Type ]],$Q$5))</f>
        <v/>
      </c>
    </row>
    <row r="26863" spans="15:15" x14ac:dyDescent="0.25">
      <c r="O26863" s="20" t="str">
        <f>IF(N26863="","",COUNTIFS(RawData[[Date ]],N26863,RawData[Month List],$Q$6,RawData[Tour/Site],$Q$2,RawData[[Picker ID ]],$Q$3,RawData[Checker ID],$Q$4,RawData[[Error Type ]],$Q$5))</f>
        <v/>
      </c>
    </row>
    <row r="26864" spans="15:15" x14ac:dyDescent="0.25">
      <c r="O26864" s="20" t="str">
        <f>IF(N26864="","",COUNTIFS(RawData[[Date ]],N26864,RawData[Month List],$Q$6,RawData[Tour/Site],$Q$2,RawData[[Picker ID ]],$Q$3,RawData[Checker ID],$Q$4,RawData[[Error Type ]],$Q$5))</f>
        <v/>
      </c>
    </row>
    <row r="26865" spans="15:15" x14ac:dyDescent="0.25">
      <c r="O26865" s="20" t="str">
        <f>IF(N26865="","",COUNTIFS(RawData[[Date ]],N26865,RawData[Month List],$Q$6,RawData[Tour/Site],$Q$2,RawData[[Picker ID ]],$Q$3,RawData[Checker ID],$Q$4,RawData[[Error Type ]],$Q$5))</f>
        <v/>
      </c>
    </row>
    <row r="26866" spans="15:15" x14ac:dyDescent="0.25">
      <c r="O26866" s="20" t="str">
        <f>IF(N26866="","",COUNTIFS(RawData[[Date ]],N26866,RawData[Month List],$Q$6,RawData[Tour/Site],$Q$2,RawData[[Picker ID ]],$Q$3,RawData[Checker ID],$Q$4,RawData[[Error Type ]],$Q$5))</f>
        <v/>
      </c>
    </row>
    <row r="26867" spans="15:15" x14ac:dyDescent="0.25">
      <c r="O26867" s="20" t="str">
        <f>IF(N26867="","",COUNTIFS(RawData[[Date ]],N26867,RawData[Month List],$Q$6,RawData[Tour/Site],$Q$2,RawData[[Picker ID ]],$Q$3,RawData[Checker ID],$Q$4,RawData[[Error Type ]],$Q$5))</f>
        <v/>
      </c>
    </row>
    <row r="26868" spans="15:15" x14ac:dyDescent="0.25">
      <c r="O26868" s="20" t="str">
        <f>IF(N26868="","",COUNTIFS(RawData[[Date ]],N26868,RawData[Month List],$Q$6,RawData[Tour/Site],$Q$2,RawData[[Picker ID ]],$Q$3,RawData[Checker ID],$Q$4,RawData[[Error Type ]],$Q$5))</f>
        <v/>
      </c>
    </row>
    <row r="26869" spans="15:15" x14ac:dyDescent="0.25">
      <c r="O26869" s="20" t="str">
        <f>IF(N26869="","",COUNTIFS(RawData[[Date ]],N26869,RawData[Month List],$Q$6,RawData[Tour/Site],$Q$2,RawData[[Picker ID ]],$Q$3,RawData[Checker ID],$Q$4,RawData[[Error Type ]],$Q$5))</f>
        <v/>
      </c>
    </row>
    <row r="26870" spans="15:15" x14ac:dyDescent="0.25">
      <c r="O26870" s="20" t="str">
        <f>IF(N26870="","",COUNTIFS(RawData[[Date ]],N26870,RawData[Month List],$Q$6,RawData[Tour/Site],$Q$2,RawData[[Picker ID ]],$Q$3,RawData[Checker ID],$Q$4,RawData[[Error Type ]],$Q$5))</f>
        <v/>
      </c>
    </row>
    <row r="26871" spans="15:15" x14ac:dyDescent="0.25">
      <c r="O26871" s="20" t="str">
        <f>IF(N26871="","",COUNTIFS(RawData[[Date ]],N26871,RawData[Month List],$Q$6,RawData[Tour/Site],$Q$2,RawData[[Picker ID ]],$Q$3,RawData[Checker ID],$Q$4,RawData[[Error Type ]],$Q$5))</f>
        <v/>
      </c>
    </row>
    <row r="26872" spans="15:15" x14ac:dyDescent="0.25">
      <c r="O26872" s="20" t="str">
        <f>IF(N26872="","",COUNTIFS(RawData[[Date ]],N26872,RawData[Month List],$Q$6,RawData[Tour/Site],$Q$2,RawData[[Picker ID ]],$Q$3,RawData[Checker ID],$Q$4,RawData[[Error Type ]],$Q$5))</f>
        <v/>
      </c>
    </row>
    <row r="26873" spans="15:15" x14ac:dyDescent="0.25">
      <c r="O26873" s="20" t="str">
        <f>IF(N26873="","",COUNTIFS(RawData[[Date ]],N26873,RawData[Month List],$Q$6,RawData[Tour/Site],$Q$2,RawData[[Picker ID ]],$Q$3,RawData[Checker ID],$Q$4,RawData[[Error Type ]],$Q$5))</f>
        <v/>
      </c>
    </row>
    <row r="26874" spans="15:15" x14ac:dyDescent="0.25">
      <c r="O26874" s="20" t="str">
        <f>IF(N26874="","",COUNTIFS(RawData[[Date ]],N26874,RawData[Month List],$Q$6,RawData[Tour/Site],$Q$2,RawData[[Picker ID ]],$Q$3,RawData[Checker ID],$Q$4,RawData[[Error Type ]],$Q$5))</f>
        <v/>
      </c>
    </row>
    <row r="26875" spans="15:15" x14ac:dyDescent="0.25">
      <c r="O26875" s="20" t="str">
        <f>IF(N26875="","",COUNTIFS(RawData[[Date ]],N26875,RawData[Month List],$Q$6,RawData[Tour/Site],$Q$2,RawData[[Picker ID ]],$Q$3,RawData[Checker ID],$Q$4,RawData[[Error Type ]],$Q$5))</f>
        <v/>
      </c>
    </row>
    <row r="26876" spans="15:15" x14ac:dyDescent="0.25">
      <c r="O26876" s="20" t="str">
        <f>IF(N26876="","",COUNTIFS(RawData[[Date ]],N26876,RawData[Month List],$Q$6,RawData[Tour/Site],$Q$2,RawData[[Picker ID ]],$Q$3,RawData[Checker ID],$Q$4,RawData[[Error Type ]],$Q$5))</f>
        <v/>
      </c>
    </row>
    <row r="26877" spans="15:15" x14ac:dyDescent="0.25">
      <c r="O26877" s="20" t="str">
        <f>IF(N26877="","",COUNTIFS(RawData[[Date ]],N26877,RawData[Month List],$Q$6,RawData[Tour/Site],$Q$2,RawData[[Picker ID ]],$Q$3,RawData[Checker ID],$Q$4,RawData[[Error Type ]],$Q$5))</f>
        <v/>
      </c>
    </row>
    <row r="26878" spans="15:15" x14ac:dyDescent="0.25">
      <c r="O26878" s="20" t="str">
        <f>IF(N26878="","",COUNTIFS(RawData[[Date ]],N26878,RawData[Month List],$Q$6,RawData[Tour/Site],$Q$2,RawData[[Picker ID ]],$Q$3,RawData[Checker ID],$Q$4,RawData[[Error Type ]],$Q$5))</f>
        <v/>
      </c>
    </row>
    <row r="26879" spans="15:15" x14ac:dyDescent="0.25">
      <c r="O26879" s="20" t="str">
        <f>IF(N26879="","",COUNTIFS(RawData[[Date ]],N26879,RawData[Month List],$Q$6,RawData[Tour/Site],$Q$2,RawData[[Picker ID ]],$Q$3,RawData[Checker ID],$Q$4,RawData[[Error Type ]],$Q$5))</f>
        <v/>
      </c>
    </row>
    <row r="26880" spans="15:15" x14ac:dyDescent="0.25">
      <c r="O26880" s="20" t="str">
        <f>IF(N26880="","",COUNTIFS(RawData[[Date ]],N26880,RawData[Month List],$Q$6,RawData[Tour/Site],$Q$2,RawData[[Picker ID ]],$Q$3,RawData[Checker ID],$Q$4,RawData[[Error Type ]],$Q$5))</f>
        <v/>
      </c>
    </row>
    <row r="26881" spans="15:15" x14ac:dyDescent="0.25">
      <c r="O26881" s="20" t="str">
        <f>IF(N26881="","",COUNTIFS(RawData[[Date ]],N26881,RawData[Month List],$Q$6,RawData[Tour/Site],$Q$2,RawData[[Picker ID ]],$Q$3,RawData[Checker ID],$Q$4,RawData[[Error Type ]],$Q$5))</f>
        <v/>
      </c>
    </row>
    <row r="26882" spans="15:15" x14ac:dyDescent="0.25">
      <c r="O26882" s="20" t="str">
        <f>IF(N26882="","",COUNTIFS(RawData[[Date ]],N26882,RawData[Month List],$Q$6,RawData[Tour/Site],$Q$2,RawData[[Picker ID ]],$Q$3,RawData[Checker ID],$Q$4,RawData[[Error Type ]],$Q$5))</f>
        <v/>
      </c>
    </row>
    <row r="26883" spans="15:15" x14ac:dyDescent="0.25">
      <c r="O26883" s="20" t="str">
        <f>IF(N26883="","",COUNTIFS(RawData[[Date ]],N26883,RawData[Month List],$Q$6,RawData[Tour/Site],$Q$2,RawData[[Picker ID ]],$Q$3,RawData[Checker ID],$Q$4,RawData[[Error Type ]],$Q$5))</f>
        <v/>
      </c>
    </row>
    <row r="26884" spans="15:15" x14ac:dyDescent="0.25">
      <c r="O26884" s="20" t="str">
        <f>IF(N26884="","",COUNTIFS(RawData[[Date ]],N26884,RawData[Month List],$Q$6,RawData[Tour/Site],$Q$2,RawData[[Picker ID ]],$Q$3,RawData[Checker ID],$Q$4,RawData[[Error Type ]],$Q$5))</f>
        <v/>
      </c>
    </row>
    <row r="26885" spans="15:15" x14ac:dyDescent="0.25">
      <c r="O26885" s="20" t="str">
        <f>IF(N26885="","",COUNTIFS(RawData[[Date ]],N26885,RawData[Month List],$Q$6,RawData[Tour/Site],$Q$2,RawData[[Picker ID ]],$Q$3,RawData[Checker ID],$Q$4,RawData[[Error Type ]],$Q$5))</f>
        <v/>
      </c>
    </row>
    <row r="26886" spans="15:15" x14ac:dyDescent="0.25">
      <c r="O26886" s="20" t="str">
        <f>IF(N26886="","",COUNTIFS(RawData[[Date ]],N26886,RawData[Month List],$Q$6,RawData[Tour/Site],$Q$2,RawData[[Picker ID ]],$Q$3,RawData[Checker ID],$Q$4,RawData[[Error Type ]],$Q$5))</f>
        <v/>
      </c>
    </row>
    <row r="26887" spans="15:15" x14ac:dyDescent="0.25">
      <c r="O26887" s="20" t="str">
        <f>IF(N26887="","",COUNTIFS(RawData[[Date ]],N26887,RawData[Month List],$Q$6,RawData[Tour/Site],$Q$2,RawData[[Picker ID ]],$Q$3,RawData[Checker ID],$Q$4,RawData[[Error Type ]],$Q$5))</f>
        <v/>
      </c>
    </row>
    <row r="26888" spans="15:15" x14ac:dyDescent="0.25">
      <c r="O26888" s="20" t="str">
        <f>IF(N26888="","",COUNTIFS(RawData[[Date ]],N26888,RawData[Month List],$Q$6,RawData[Tour/Site],$Q$2,RawData[[Picker ID ]],$Q$3,RawData[Checker ID],$Q$4,RawData[[Error Type ]],$Q$5))</f>
        <v/>
      </c>
    </row>
    <row r="26889" spans="15:15" x14ac:dyDescent="0.25">
      <c r="O26889" s="20" t="str">
        <f>IF(N26889="","",COUNTIFS(RawData[[Date ]],N26889,RawData[Month List],$Q$6,RawData[Tour/Site],$Q$2,RawData[[Picker ID ]],$Q$3,RawData[Checker ID],$Q$4,RawData[[Error Type ]],$Q$5))</f>
        <v/>
      </c>
    </row>
    <row r="26890" spans="15:15" x14ac:dyDescent="0.25">
      <c r="O26890" s="20" t="str">
        <f>IF(N26890="","",COUNTIFS(RawData[[Date ]],N26890,RawData[Month List],$Q$6,RawData[Tour/Site],$Q$2,RawData[[Picker ID ]],$Q$3,RawData[Checker ID],$Q$4,RawData[[Error Type ]],$Q$5))</f>
        <v/>
      </c>
    </row>
    <row r="26891" spans="15:15" x14ac:dyDescent="0.25">
      <c r="O26891" s="20" t="str">
        <f>IF(N26891="","",COUNTIFS(RawData[[Date ]],N26891,RawData[Month List],$Q$6,RawData[Tour/Site],$Q$2,RawData[[Picker ID ]],$Q$3,RawData[Checker ID],$Q$4,RawData[[Error Type ]],$Q$5))</f>
        <v/>
      </c>
    </row>
    <row r="26892" spans="15:15" x14ac:dyDescent="0.25">
      <c r="O26892" s="20" t="str">
        <f>IF(N26892="","",COUNTIFS(RawData[[Date ]],N26892,RawData[Month List],$Q$6,RawData[Tour/Site],$Q$2,RawData[[Picker ID ]],$Q$3,RawData[Checker ID],$Q$4,RawData[[Error Type ]],$Q$5))</f>
        <v/>
      </c>
    </row>
    <row r="26893" spans="15:15" x14ac:dyDescent="0.25">
      <c r="O26893" s="20" t="str">
        <f>IF(N26893="","",COUNTIFS(RawData[[Date ]],N26893,RawData[Month List],$Q$6,RawData[Tour/Site],$Q$2,RawData[[Picker ID ]],$Q$3,RawData[Checker ID],$Q$4,RawData[[Error Type ]],$Q$5))</f>
        <v/>
      </c>
    </row>
    <row r="26894" spans="15:15" x14ac:dyDescent="0.25">
      <c r="O26894" s="20" t="str">
        <f>IF(N26894="","",COUNTIFS(RawData[[Date ]],N26894,RawData[Month List],$Q$6,RawData[Tour/Site],$Q$2,RawData[[Picker ID ]],$Q$3,RawData[Checker ID],$Q$4,RawData[[Error Type ]],$Q$5))</f>
        <v/>
      </c>
    </row>
    <row r="26895" spans="15:15" x14ac:dyDescent="0.25">
      <c r="O26895" s="20" t="str">
        <f>IF(N26895="","",COUNTIFS(RawData[[Date ]],N26895,RawData[Month List],$Q$6,RawData[Tour/Site],$Q$2,RawData[[Picker ID ]],$Q$3,RawData[Checker ID],$Q$4,RawData[[Error Type ]],$Q$5))</f>
        <v/>
      </c>
    </row>
    <row r="26896" spans="15:15" x14ac:dyDescent="0.25">
      <c r="O26896" s="20" t="str">
        <f>IF(N26896="","",COUNTIFS(RawData[[Date ]],N26896,RawData[Month List],$Q$6,RawData[Tour/Site],$Q$2,RawData[[Picker ID ]],$Q$3,RawData[Checker ID],$Q$4,RawData[[Error Type ]],$Q$5))</f>
        <v/>
      </c>
    </row>
    <row r="26897" spans="15:15" x14ac:dyDescent="0.25">
      <c r="O26897" s="20" t="str">
        <f>IF(N26897="","",COUNTIFS(RawData[[Date ]],N26897,RawData[Month List],$Q$6,RawData[Tour/Site],$Q$2,RawData[[Picker ID ]],$Q$3,RawData[Checker ID],$Q$4,RawData[[Error Type ]],$Q$5))</f>
        <v/>
      </c>
    </row>
    <row r="26898" spans="15:15" x14ac:dyDescent="0.25">
      <c r="O26898" s="20" t="str">
        <f>IF(N26898="","",COUNTIFS(RawData[[Date ]],N26898,RawData[Month List],$Q$6,RawData[Tour/Site],$Q$2,RawData[[Picker ID ]],$Q$3,RawData[Checker ID],$Q$4,RawData[[Error Type ]],$Q$5))</f>
        <v/>
      </c>
    </row>
    <row r="26899" spans="15:15" x14ac:dyDescent="0.25">
      <c r="O26899" s="20" t="str">
        <f>IF(N26899="","",COUNTIFS(RawData[[Date ]],N26899,RawData[Month List],$Q$6,RawData[Tour/Site],$Q$2,RawData[[Picker ID ]],$Q$3,RawData[Checker ID],$Q$4,RawData[[Error Type ]],$Q$5))</f>
        <v/>
      </c>
    </row>
    <row r="26900" spans="15:15" x14ac:dyDescent="0.25">
      <c r="O26900" s="20" t="str">
        <f>IF(N26900="","",COUNTIFS(RawData[[Date ]],N26900,RawData[Month List],$Q$6,RawData[Tour/Site],$Q$2,RawData[[Picker ID ]],$Q$3,RawData[Checker ID],$Q$4,RawData[[Error Type ]],$Q$5))</f>
        <v/>
      </c>
    </row>
    <row r="26901" spans="15:15" x14ac:dyDescent="0.25">
      <c r="O26901" s="20" t="str">
        <f>IF(N26901="","",COUNTIFS(RawData[[Date ]],N26901,RawData[Month List],$Q$6,RawData[Tour/Site],$Q$2,RawData[[Picker ID ]],$Q$3,RawData[Checker ID],$Q$4,RawData[[Error Type ]],$Q$5))</f>
        <v/>
      </c>
    </row>
    <row r="26902" spans="15:15" x14ac:dyDescent="0.25">
      <c r="O26902" s="20" t="str">
        <f>IF(N26902="","",COUNTIFS(RawData[[Date ]],N26902,RawData[Month List],$Q$6,RawData[Tour/Site],$Q$2,RawData[[Picker ID ]],$Q$3,RawData[Checker ID],$Q$4,RawData[[Error Type ]],$Q$5))</f>
        <v/>
      </c>
    </row>
    <row r="26903" spans="15:15" x14ac:dyDescent="0.25">
      <c r="O26903" s="20" t="str">
        <f>IF(N26903="","",COUNTIFS(RawData[[Date ]],N26903,RawData[Month List],$Q$6,RawData[Tour/Site],$Q$2,RawData[[Picker ID ]],$Q$3,RawData[Checker ID],$Q$4,RawData[[Error Type ]],$Q$5))</f>
        <v/>
      </c>
    </row>
    <row r="26904" spans="15:15" x14ac:dyDescent="0.25">
      <c r="O26904" s="20" t="str">
        <f>IF(N26904="","",COUNTIFS(RawData[[Date ]],N26904,RawData[Month List],$Q$6,RawData[Tour/Site],$Q$2,RawData[[Picker ID ]],$Q$3,RawData[Checker ID],$Q$4,RawData[[Error Type ]],$Q$5))</f>
        <v/>
      </c>
    </row>
    <row r="26905" spans="15:15" x14ac:dyDescent="0.25">
      <c r="O26905" s="20" t="str">
        <f>IF(N26905="","",COUNTIFS(RawData[[Date ]],N26905,RawData[Month List],$Q$6,RawData[Tour/Site],$Q$2,RawData[[Picker ID ]],$Q$3,RawData[Checker ID],$Q$4,RawData[[Error Type ]],$Q$5))</f>
        <v/>
      </c>
    </row>
    <row r="26906" spans="15:15" x14ac:dyDescent="0.25">
      <c r="O26906" s="20" t="str">
        <f>IF(N26906="","",COUNTIFS(RawData[[Date ]],N26906,RawData[Month List],$Q$6,RawData[Tour/Site],$Q$2,RawData[[Picker ID ]],$Q$3,RawData[Checker ID],$Q$4,RawData[[Error Type ]],$Q$5))</f>
        <v/>
      </c>
    </row>
    <row r="26907" spans="15:15" x14ac:dyDescent="0.25">
      <c r="O26907" s="20" t="str">
        <f>IF(N26907="","",COUNTIFS(RawData[[Date ]],N26907,RawData[Month List],$Q$6,RawData[Tour/Site],$Q$2,RawData[[Picker ID ]],$Q$3,RawData[Checker ID],$Q$4,RawData[[Error Type ]],$Q$5))</f>
        <v/>
      </c>
    </row>
    <row r="26908" spans="15:15" x14ac:dyDescent="0.25">
      <c r="O26908" s="20" t="str">
        <f>IF(N26908="","",COUNTIFS(RawData[[Date ]],N26908,RawData[Month List],$Q$6,RawData[Tour/Site],$Q$2,RawData[[Picker ID ]],$Q$3,RawData[Checker ID],$Q$4,RawData[[Error Type ]],$Q$5))</f>
        <v/>
      </c>
    </row>
    <row r="26909" spans="15:15" x14ac:dyDescent="0.25">
      <c r="O26909" s="20" t="str">
        <f>IF(N26909="","",COUNTIFS(RawData[[Date ]],N26909,RawData[Month List],$Q$6,RawData[Tour/Site],$Q$2,RawData[[Picker ID ]],$Q$3,RawData[Checker ID],$Q$4,RawData[[Error Type ]],$Q$5))</f>
        <v/>
      </c>
    </row>
    <row r="26910" spans="15:15" x14ac:dyDescent="0.25">
      <c r="O26910" s="20" t="str">
        <f>IF(N26910="","",COUNTIFS(RawData[[Date ]],N26910,RawData[Month List],$Q$6,RawData[Tour/Site],$Q$2,RawData[[Picker ID ]],$Q$3,RawData[Checker ID],$Q$4,RawData[[Error Type ]],$Q$5))</f>
        <v/>
      </c>
    </row>
    <row r="26911" spans="15:15" x14ac:dyDescent="0.25">
      <c r="O26911" s="20" t="str">
        <f>IF(N26911="","",COUNTIFS(RawData[[Date ]],N26911,RawData[Month List],$Q$6,RawData[Tour/Site],$Q$2,RawData[[Picker ID ]],$Q$3,RawData[Checker ID],$Q$4,RawData[[Error Type ]],$Q$5))</f>
        <v/>
      </c>
    </row>
    <row r="26912" spans="15:15" x14ac:dyDescent="0.25">
      <c r="O26912" s="20" t="str">
        <f>IF(N26912="","",COUNTIFS(RawData[[Date ]],N26912,RawData[Month List],$Q$6,RawData[Tour/Site],$Q$2,RawData[[Picker ID ]],$Q$3,RawData[Checker ID],$Q$4,RawData[[Error Type ]],$Q$5))</f>
        <v/>
      </c>
    </row>
    <row r="26913" spans="15:15" x14ac:dyDescent="0.25">
      <c r="O26913" s="20" t="str">
        <f>IF(N26913="","",COUNTIFS(RawData[[Date ]],N26913,RawData[Month List],$Q$6,RawData[Tour/Site],$Q$2,RawData[[Picker ID ]],$Q$3,RawData[Checker ID],$Q$4,RawData[[Error Type ]],$Q$5))</f>
        <v/>
      </c>
    </row>
    <row r="26914" spans="15:15" x14ac:dyDescent="0.25">
      <c r="O26914" s="20" t="str">
        <f>IF(N26914="","",COUNTIFS(RawData[[Date ]],N26914,RawData[Month List],$Q$6,RawData[Tour/Site],$Q$2,RawData[[Picker ID ]],$Q$3,RawData[Checker ID],$Q$4,RawData[[Error Type ]],$Q$5))</f>
        <v/>
      </c>
    </row>
    <row r="26915" spans="15:15" x14ac:dyDescent="0.25">
      <c r="O26915" s="20" t="str">
        <f>IF(N26915="","",COUNTIFS(RawData[[Date ]],N26915,RawData[Month List],$Q$6,RawData[Tour/Site],$Q$2,RawData[[Picker ID ]],$Q$3,RawData[Checker ID],$Q$4,RawData[[Error Type ]],$Q$5))</f>
        <v/>
      </c>
    </row>
    <row r="26916" spans="15:15" x14ac:dyDescent="0.25">
      <c r="O26916" s="20" t="str">
        <f>IF(N26916="","",COUNTIFS(RawData[[Date ]],N26916,RawData[Month List],$Q$6,RawData[Tour/Site],$Q$2,RawData[[Picker ID ]],$Q$3,RawData[Checker ID],$Q$4,RawData[[Error Type ]],$Q$5))</f>
        <v/>
      </c>
    </row>
    <row r="26917" spans="15:15" x14ac:dyDescent="0.25">
      <c r="O26917" s="20" t="str">
        <f>IF(N26917="","",COUNTIFS(RawData[[Date ]],N26917,RawData[Month List],$Q$6,RawData[Tour/Site],$Q$2,RawData[[Picker ID ]],$Q$3,RawData[Checker ID],$Q$4,RawData[[Error Type ]],$Q$5))</f>
        <v/>
      </c>
    </row>
    <row r="26918" spans="15:15" x14ac:dyDescent="0.25">
      <c r="O26918" s="20" t="str">
        <f>IF(N26918="","",COUNTIFS(RawData[[Date ]],N26918,RawData[Month List],$Q$6,RawData[Tour/Site],$Q$2,RawData[[Picker ID ]],$Q$3,RawData[Checker ID],$Q$4,RawData[[Error Type ]],$Q$5))</f>
        <v/>
      </c>
    </row>
    <row r="26919" spans="15:15" x14ac:dyDescent="0.25">
      <c r="O26919" s="20" t="str">
        <f>IF(N26919="","",COUNTIFS(RawData[[Date ]],N26919,RawData[Month List],$Q$6,RawData[Tour/Site],$Q$2,RawData[[Picker ID ]],$Q$3,RawData[Checker ID],$Q$4,RawData[[Error Type ]],$Q$5))</f>
        <v/>
      </c>
    </row>
    <row r="26920" spans="15:15" x14ac:dyDescent="0.25">
      <c r="O26920" s="20" t="str">
        <f>IF(N26920="","",COUNTIFS(RawData[[Date ]],N26920,RawData[Month List],$Q$6,RawData[Tour/Site],$Q$2,RawData[[Picker ID ]],$Q$3,RawData[Checker ID],$Q$4,RawData[[Error Type ]],$Q$5))</f>
        <v/>
      </c>
    </row>
    <row r="26921" spans="15:15" x14ac:dyDescent="0.25">
      <c r="O26921" s="20" t="str">
        <f>IF(N26921="","",COUNTIFS(RawData[[Date ]],N26921,RawData[Month List],$Q$6,RawData[Tour/Site],$Q$2,RawData[[Picker ID ]],$Q$3,RawData[Checker ID],$Q$4,RawData[[Error Type ]],$Q$5))</f>
        <v/>
      </c>
    </row>
    <row r="26922" spans="15:15" x14ac:dyDescent="0.25">
      <c r="O26922" s="20" t="str">
        <f>IF(N26922="","",COUNTIFS(RawData[[Date ]],N26922,RawData[Month List],$Q$6,RawData[Tour/Site],$Q$2,RawData[[Picker ID ]],$Q$3,RawData[Checker ID],$Q$4,RawData[[Error Type ]],$Q$5))</f>
        <v/>
      </c>
    </row>
    <row r="26923" spans="15:15" x14ac:dyDescent="0.25">
      <c r="O26923" s="20" t="str">
        <f>IF(N26923="","",COUNTIFS(RawData[[Date ]],N26923,RawData[Month List],$Q$6,RawData[Tour/Site],$Q$2,RawData[[Picker ID ]],$Q$3,RawData[Checker ID],$Q$4,RawData[[Error Type ]],$Q$5))</f>
        <v/>
      </c>
    </row>
    <row r="26924" spans="15:15" x14ac:dyDescent="0.25">
      <c r="O26924" s="20" t="str">
        <f>IF(N26924="","",COUNTIFS(RawData[[Date ]],N26924,RawData[Month List],$Q$6,RawData[Tour/Site],$Q$2,RawData[[Picker ID ]],$Q$3,RawData[Checker ID],$Q$4,RawData[[Error Type ]],$Q$5))</f>
        <v/>
      </c>
    </row>
    <row r="26925" spans="15:15" x14ac:dyDescent="0.25">
      <c r="O26925" s="20" t="str">
        <f>IF(N26925="","",COUNTIFS(RawData[[Date ]],N26925,RawData[Month List],$Q$6,RawData[Tour/Site],$Q$2,RawData[[Picker ID ]],$Q$3,RawData[Checker ID],$Q$4,RawData[[Error Type ]],$Q$5))</f>
        <v/>
      </c>
    </row>
    <row r="26926" spans="15:15" x14ac:dyDescent="0.25">
      <c r="O26926" s="20" t="str">
        <f>IF(N26926="","",COUNTIFS(RawData[[Date ]],N26926,RawData[Month List],$Q$6,RawData[Tour/Site],$Q$2,RawData[[Picker ID ]],$Q$3,RawData[Checker ID],$Q$4,RawData[[Error Type ]],$Q$5))</f>
        <v/>
      </c>
    </row>
    <row r="26927" spans="15:15" x14ac:dyDescent="0.25">
      <c r="O26927" s="20" t="str">
        <f>IF(N26927="","",COUNTIFS(RawData[[Date ]],N26927,RawData[Month List],$Q$6,RawData[Tour/Site],$Q$2,RawData[[Picker ID ]],$Q$3,RawData[Checker ID],$Q$4,RawData[[Error Type ]],$Q$5))</f>
        <v/>
      </c>
    </row>
    <row r="26928" spans="15:15" x14ac:dyDescent="0.25">
      <c r="O26928" s="20" t="str">
        <f>IF(N26928="","",COUNTIFS(RawData[[Date ]],N26928,RawData[Month List],$Q$6,RawData[Tour/Site],$Q$2,RawData[[Picker ID ]],$Q$3,RawData[Checker ID],$Q$4,RawData[[Error Type ]],$Q$5))</f>
        <v/>
      </c>
    </row>
    <row r="26929" spans="15:15" x14ac:dyDescent="0.25">
      <c r="O26929" s="20" t="str">
        <f>IF(N26929="","",COUNTIFS(RawData[[Date ]],N26929,RawData[Month List],$Q$6,RawData[Tour/Site],$Q$2,RawData[[Picker ID ]],$Q$3,RawData[Checker ID],$Q$4,RawData[[Error Type ]],$Q$5))</f>
        <v/>
      </c>
    </row>
    <row r="26930" spans="15:15" x14ac:dyDescent="0.25">
      <c r="O26930" s="20" t="str">
        <f>IF(N26930="","",COUNTIFS(RawData[[Date ]],N26930,RawData[Month List],$Q$6,RawData[Tour/Site],$Q$2,RawData[[Picker ID ]],$Q$3,RawData[Checker ID],$Q$4,RawData[[Error Type ]],$Q$5))</f>
        <v/>
      </c>
    </row>
    <row r="26931" spans="15:15" x14ac:dyDescent="0.25">
      <c r="O26931" s="20" t="str">
        <f>IF(N26931="","",COUNTIFS(RawData[[Date ]],N26931,RawData[Month List],$Q$6,RawData[Tour/Site],$Q$2,RawData[[Picker ID ]],$Q$3,RawData[Checker ID],$Q$4,RawData[[Error Type ]],$Q$5))</f>
        <v/>
      </c>
    </row>
    <row r="26932" spans="15:15" x14ac:dyDescent="0.25">
      <c r="O26932" s="20" t="str">
        <f>IF(N26932="","",COUNTIFS(RawData[[Date ]],N26932,RawData[Month List],$Q$6,RawData[Tour/Site],$Q$2,RawData[[Picker ID ]],$Q$3,RawData[Checker ID],$Q$4,RawData[[Error Type ]],$Q$5))</f>
        <v/>
      </c>
    </row>
    <row r="26933" spans="15:15" x14ac:dyDescent="0.25">
      <c r="O26933" s="20" t="str">
        <f>IF(N26933="","",COUNTIFS(RawData[[Date ]],N26933,RawData[Month List],$Q$6,RawData[Tour/Site],$Q$2,RawData[[Picker ID ]],$Q$3,RawData[Checker ID],$Q$4,RawData[[Error Type ]],$Q$5))</f>
        <v/>
      </c>
    </row>
    <row r="26934" spans="15:15" x14ac:dyDescent="0.25">
      <c r="O26934" s="20" t="str">
        <f>IF(N26934="","",COUNTIFS(RawData[[Date ]],N26934,RawData[Month List],$Q$6,RawData[Tour/Site],$Q$2,RawData[[Picker ID ]],$Q$3,RawData[Checker ID],$Q$4,RawData[[Error Type ]],$Q$5))</f>
        <v/>
      </c>
    </row>
    <row r="26935" spans="15:15" x14ac:dyDescent="0.25">
      <c r="O26935" s="20" t="str">
        <f>IF(N26935="","",COUNTIFS(RawData[[Date ]],N26935,RawData[Month List],$Q$6,RawData[Tour/Site],$Q$2,RawData[[Picker ID ]],$Q$3,RawData[Checker ID],$Q$4,RawData[[Error Type ]],$Q$5))</f>
        <v/>
      </c>
    </row>
    <row r="26936" spans="15:15" x14ac:dyDescent="0.25">
      <c r="O26936" s="20" t="str">
        <f>IF(N26936="","",COUNTIFS(RawData[[Date ]],N26936,RawData[Month List],$Q$6,RawData[Tour/Site],$Q$2,RawData[[Picker ID ]],$Q$3,RawData[Checker ID],$Q$4,RawData[[Error Type ]],$Q$5))</f>
        <v/>
      </c>
    </row>
    <row r="26937" spans="15:15" x14ac:dyDescent="0.25">
      <c r="O26937" s="20" t="str">
        <f>IF(N26937="","",COUNTIFS(RawData[[Date ]],N26937,RawData[Month List],$Q$6,RawData[Tour/Site],$Q$2,RawData[[Picker ID ]],$Q$3,RawData[Checker ID],$Q$4,RawData[[Error Type ]],$Q$5))</f>
        <v/>
      </c>
    </row>
    <row r="26938" spans="15:15" x14ac:dyDescent="0.25">
      <c r="O26938" s="20" t="str">
        <f>IF(N26938="","",COUNTIFS(RawData[[Date ]],N26938,RawData[Month List],$Q$6,RawData[Tour/Site],$Q$2,RawData[[Picker ID ]],$Q$3,RawData[Checker ID],$Q$4,RawData[[Error Type ]],$Q$5))</f>
        <v/>
      </c>
    </row>
    <row r="26939" spans="15:15" x14ac:dyDescent="0.25">
      <c r="O26939" s="20" t="str">
        <f>IF(N26939="","",COUNTIFS(RawData[[Date ]],N26939,RawData[Month List],$Q$6,RawData[Tour/Site],$Q$2,RawData[[Picker ID ]],$Q$3,RawData[Checker ID],$Q$4,RawData[[Error Type ]],$Q$5))</f>
        <v/>
      </c>
    </row>
    <row r="26940" spans="15:15" x14ac:dyDescent="0.25">
      <c r="O26940" s="20" t="str">
        <f>IF(N26940="","",COUNTIFS(RawData[[Date ]],N26940,RawData[Month List],$Q$6,RawData[Tour/Site],$Q$2,RawData[[Picker ID ]],$Q$3,RawData[Checker ID],$Q$4,RawData[[Error Type ]],$Q$5))</f>
        <v/>
      </c>
    </row>
    <row r="26941" spans="15:15" x14ac:dyDescent="0.25">
      <c r="O26941" s="20" t="str">
        <f>IF(N26941="","",COUNTIFS(RawData[[Date ]],N26941,RawData[Month List],$Q$6,RawData[Tour/Site],$Q$2,RawData[[Picker ID ]],$Q$3,RawData[Checker ID],$Q$4,RawData[[Error Type ]],$Q$5))</f>
        <v/>
      </c>
    </row>
    <row r="26942" spans="15:15" x14ac:dyDescent="0.25">
      <c r="O26942" s="20" t="str">
        <f>IF(N26942="","",COUNTIFS(RawData[[Date ]],N26942,RawData[Month List],$Q$6,RawData[Tour/Site],$Q$2,RawData[[Picker ID ]],$Q$3,RawData[Checker ID],$Q$4,RawData[[Error Type ]],$Q$5))</f>
        <v/>
      </c>
    </row>
    <row r="26943" spans="15:15" x14ac:dyDescent="0.25">
      <c r="O26943" s="20" t="str">
        <f>IF(N26943="","",COUNTIFS(RawData[[Date ]],N26943,RawData[Month List],$Q$6,RawData[Tour/Site],$Q$2,RawData[[Picker ID ]],$Q$3,RawData[Checker ID],$Q$4,RawData[[Error Type ]],$Q$5))</f>
        <v/>
      </c>
    </row>
    <row r="26944" spans="15:15" x14ac:dyDescent="0.25">
      <c r="O26944" s="20" t="str">
        <f>IF(N26944="","",COUNTIFS(RawData[[Date ]],N26944,RawData[Month List],$Q$6,RawData[Tour/Site],$Q$2,RawData[[Picker ID ]],$Q$3,RawData[Checker ID],$Q$4,RawData[[Error Type ]],$Q$5))</f>
        <v/>
      </c>
    </row>
    <row r="26945" spans="15:15" x14ac:dyDescent="0.25">
      <c r="O26945" s="20" t="str">
        <f>IF(N26945="","",COUNTIFS(RawData[[Date ]],N26945,RawData[Month List],$Q$6,RawData[Tour/Site],$Q$2,RawData[[Picker ID ]],$Q$3,RawData[Checker ID],$Q$4,RawData[[Error Type ]],$Q$5))</f>
        <v/>
      </c>
    </row>
    <row r="26946" spans="15:15" x14ac:dyDescent="0.25">
      <c r="O26946" s="20" t="str">
        <f>IF(N26946="","",COUNTIFS(RawData[[Date ]],N26946,RawData[Month List],$Q$6,RawData[Tour/Site],$Q$2,RawData[[Picker ID ]],$Q$3,RawData[Checker ID],$Q$4,RawData[[Error Type ]],$Q$5))</f>
        <v/>
      </c>
    </row>
    <row r="26947" spans="15:15" x14ac:dyDescent="0.25">
      <c r="O26947" s="20" t="str">
        <f>IF(N26947="","",COUNTIFS(RawData[[Date ]],N26947,RawData[Month List],$Q$6,RawData[Tour/Site],$Q$2,RawData[[Picker ID ]],$Q$3,RawData[Checker ID],$Q$4,RawData[[Error Type ]],$Q$5))</f>
        <v/>
      </c>
    </row>
    <row r="26948" spans="15:15" x14ac:dyDescent="0.25">
      <c r="O26948" s="20" t="str">
        <f>IF(N26948="","",COUNTIFS(RawData[[Date ]],N26948,RawData[Month List],$Q$6,RawData[Tour/Site],$Q$2,RawData[[Picker ID ]],$Q$3,RawData[Checker ID],$Q$4,RawData[[Error Type ]],$Q$5))</f>
        <v/>
      </c>
    </row>
    <row r="26949" spans="15:15" x14ac:dyDescent="0.25">
      <c r="O26949" s="20" t="str">
        <f>IF(N26949="","",COUNTIFS(RawData[[Date ]],N26949,RawData[Month List],$Q$6,RawData[Tour/Site],$Q$2,RawData[[Picker ID ]],$Q$3,RawData[Checker ID],$Q$4,RawData[[Error Type ]],$Q$5))</f>
        <v/>
      </c>
    </row>
    <row r="26950" spans="15:15" x14ac:dyDescent="0.25">
      <c r="O26950" s="20" t="str">
        <f>IF(N26950="","",COUNTIFS(RawData[[Date ]],N26950,RawData[Month List],$Q$6,RawData[Tour/Site],$Q$2,RawData[[Picker ID ]],$Q$3,RawData[Checker ID],$Q$4,RawData[[Error Type ]],$Q$5))</f>
        <v/>
      </c>
    </row>
    <row r="26951" spans="15:15" x14ac:dyDescent="0.25">
      <c r="O26951" s="20" t="str">
        <f>IF(N26951="","",COUNTIFS(RawData[[Date ]],N26951,RawData[Month List],$Q$6,RawData[Tour/Site],$Q$2,RawData[[Picker ID ]],$Q$3,RawData[Checker ID],$Q$4,RawData[[Error Type ]],$Q$5))</f>
        <v/>
      </c>
    </row>
    <row r="26952" spans="15:15" x14ac:dyDescent="0.25">
      <c r="O26952" s="20" t="str">
        <f>IF(N26952="","",COUNTIFS(RawData[[Date ]],N26952,RawData[Month List],$Q$6,RawData[Tour/Site],$Q$2,RawData[[Picker ID ]],$Q$3,RawData[Checker ID],$Q$4,RawData[[Error Type ]],$Q$5))</f>
        <v/>
      </c>
    </row>
    <row r="26953" spans="15:15" x14ac:dyDescent="0.25">
      <c r="O26953" s="20" t="str">
        <f>IF(N26953="","",COUNTIFS(RawData[[Date ]],N26953,RawData[Month List],$Q$6,RawData[Tour/Site],$Q$2,RawData[[Picker ID ]],$Q$3,RawData[Checker ID],$Q$4,RawData[[Error Type ]],$Q$5))</f>
        <v/>
      </c>
    </row>
    <row r="26954" spans="15:15" x14ac:dyDescent="0.25">
      <c r="O26954" s="20" t="str">
        <f>IF(N26954="","",COUNTIFS(RawData[[Date ]],N26954,RawData[Month List],$Q$6,RawData[Tour/Site],$Q$2,RawData[[Picker ID ]],$Q$3,RawData[Checker ID],$Q$4,RawData[[Error Type ]],$Q$5))</f>
        <v/>
      </c>
    </row>
    <row r="26955" spans="15:15" x14ac:dyDescent="0.25">
      <c r="O26955" s="20" t="str">
        <f>IF(N26955="","",COUNTIFS(RawData[[Date ]],N26955,RawData[Month List],$Q$6,RawData[Tour/Site],$Q$2,RawData[[Picker ID ]],$Q$3,RawData[Checker ID],$Q$4,RawData[[Error Type ]],$Q$5))</f>
        <v/>
      </c>
    </row>
    <row r="26956" spans="15:15" x14ac:dyDescent="0.25">
      <c r="O26956" s="20" t="str">
        <f>IF(N26956="","",COUNTIFS(RawData[[Date ]],N26956,RawData[Month List],$Q$6,RawData[Tour/Site],$Q$2,RawData[[Picker ID ]],$Q$3,RawData[Checker ID],$Q$4,RawData[[Error Type ]],$Q$5))</f>
        <v/>
      </c>
    </row>
    <row r="26957" spans="15:15" x14ac:dyDescent="0.25">
      <c r="O26957" s="20" t="str">
        <f>IF(N26957="","",COUNTIFS(RawData[[Date ]],N26957,RawData[Month List],$Q$6,RawData[Tour/Site],$Q$2,RawData[[Picker ID ]],$Q$3,RawData[Checker ID],$Q$4,RawData[[Error Type ]],$Q$5))</f>
        <v/>
      </c>
    </row>
    <row r="26958" spans="15:15" x14ac:dyDescent="0.25">
      <c r="O26958" s="20" t="str">
        <f>IF(N26958="","",COUNTIFS(RawData[[Date ]],N26958,RawData[Month List],$Q$6,RawData[Tour/Site],$Q$2,RawData[[Picker ID ]],$Q$3,RawData[Checker ID],$Q$4,RawData[[Error Type ]],$Q$5))</f>
        <v/>
      </c>
    </row>
    <row r="26959" spans="15:15" x14ac:dyDescent="0.25">
      <c r="O26959" s="20" t="str">
        <f>IF(N26959="","",COUNTIFS(RawData[[Date ]],N26959,RawData[Month List],$Q$6,RawData[Tour/Site],$Q$2,RawData[[Picker ID ]],$Q$3,RawData[Checker ID],$Q$4,RawData[[Error Type ]],$Q$5))</f>
        <v/>
      </c>
    </row>
    <row r="26960" spans="15:15" x14ac:dyDescent="0.25">
      <c r="O26960" s="20" t="str">
        <f>IF(N26960="","",COUNTIFS(RawData[[Date ]],N26960,RawData[Month List],$Q$6,RawData[Tour/Site],$Q$2,RawData[[Picker ID ]],$Q$3,RawData[Checker ID],$Q$4,RawData[[Error Type ]],$Q$5))</f>
        <v/>
      </c>
    </row>
    <row r="26961" spans="15:15" x14ac:dyDescent="0.25">
      <c r="O26961" s="20" t="str">
        <f>IF(N26961="","",COUNTIFS(RawData[[Date ]],N26961,RawData[Month List],$Q$6,RawData[Tour/Site],$Q$2,RawData[[Picker ID ]],$Q$3,RawData[Checker ID],$Q$4,RawData[[Error Type ]],$Q$5))</f>
        <v/>
      </c>
    </row>
    <row r="26962" spans="15:15" x14ac:dyDescent="0.25">
      <c r="O26962" s="20" t="str">
        <f>IF(N26962="","",COUNTIFS(RawData[[Date ]],N26962,RawData[Month List],$Q$6,RawData[Tour/Site],$Q$2,RawData[[Picker ID ]],$Q$3,RawData[Checker ID],$Q$4,RawData[[Error Type ]],$Q$5))</f>
        <v/>
      </c>
    </row>
    <row r="26963" spans="15:15" x14ac:dyDescent="0.25">
      <c r="O26963" s="20" t="str">
        <f>IF(N26963="","",COUNTIFS(RawData[[Date ]],N26963,RawData[Month List],$Q$6,RawData[Tour/Site],$Q$2,RawData[[Picker ID ]],$Q$3,RawData[Checker ID],$Q$4,RawData[[Error Type ]],$Q$5))</f>
        <v/>
      </c>
    </row>
    <row r="26964" spans="15:15" x14ac:dyDescent="0.25">
      <c r="O26964" s="20" t="str">
        <f>IF(N26964="","",COUNTIFS(RawData[[Date ]],N26964,RawData[Month List],$Q$6,RawData[Tour/Site],$Q$2,RawData[[Picker ID ]],$Q$3,RawData[Checker ID],$Q$4,RawData[[Error Type ]],$Q$5))</f>
        <v/>
      </c>
    </row>
    <row r="26965" spans="15:15" x14ac:dyDescent="0.25">
      <c r="O26965" s="20" t="str">
        <f>IF(N26965="","",COUNTIFS(RawData[[Date ]],N26965,RawData[Month List],$Q$6,RawData[Tour/Site],$Q$2,RawData[[Picker ID ]],$Q$3,RawData[Checker ID],$Q$4,RawData[[Error Type ]],$Q$5))</f>
        <v/>
      </c>
    </row>
    <row r="26966" spans="15:15" x14ac:dyDescent="0.25">
      <c r="O26966" s="20" t="str">
        <f>IF(N26966="","",COUNTIFS(RawData[[Date ]],N26966,RawData[Month List],$Q$6,RawData[Tour/Site],$Q$2,RawData[[Picker ID ]],$Q$3,RawData[Checker ID],$Q$4,RawData[[Error Type ]],$Q$5))</f>
        <v/>
      </c>
    </row>
    <row r="26967" spans="15:15" x14ac:dyDescent="0.25">
      <c r="O26967" s="20" t="str">
        <f>IF(N26967="","",COUNTIFS(RawData[[Date ]],N26967,RawData[Month List],$Q$6,RawData[Tour/Site],$Q$2,RawData[[Picker ID ]],$Q$3,RawData[Checker ID],$Q$4,RawData[[Error Type ]],$Q$5))</f>
        <v/>
      </c>
    </row>
    <row r="26968" spans="15:15" x14ac:dyDescent="0.25">
      <c r="O26968" s="20" t="str">
        <f>IF(N26968="","",COUNTIFS(RawData[[Date ]],N26968,RawData[Month List],$Q$6,RawData[Tour/Site],$Q$2,RawData[[Picker ID ]],$Q$3,RawData[Checker ID],$Q$4,RawData[[Error Type ]],$Q$5))</f>
        <v/>
      </c>
    </row>
    <row r="26969" spans="15:15" x14ac:dyDescent="0.25">
      <c r="O26969" s="20" t="str">
        <f>IF(N26969="","",COUNTIFS(RawData[[Date ]],N26969,RawData[Month List],$Q$6,RawData[Tour/Site],$Q$2,RawData[[Picker ID ]],$Q$3,RawData[Checker ID],$Q$4,RawData[[Error Type ]],$Q$5))</f>
        <v/>
      </c>
    </row>
    <row r="26970" spans="15:15" x14ac:dyDescent="0.25">
      <c r="O26970" s="20" t="str">
        <f>IF(N26970="","",COUNTIFS(RawData[[Date ]],N26970,RawData[Month List],$Q$6,RawData[Tour/Site],$Q$2,RawData[[Picker ID ]],$Q$3,RawData[Checker ID],$Q$4,RawData[[Error Type ]],$Q$5))</f>
        <v/>
      </c>
    </row>
    <row r="26971" spans="15:15" x14ac:dyDescent="0.25">
      <c r="O26971" s="20" t="str">
        <f>IF(N26971="","",COUNTIFS(RawData[[Date ]],N26971,RawData[Month List],$Q$6,RawData[Tour/Site],$Q$2,RawData[[Picker ID ]],$Q$3,RawData[Checker ID],$Q$4,RawData[[Error Type ]],$Q$5))</f>
        <v/>
      </c>
    </row>
    <row r="26972" spans="15:15" x14ac:dyDescent="0.25">
      <c r="O26972" s="20" t="str">
        <f>IF(N26972="","",COUNTIFS(RawData[[Date ]],N26972,RawData[Month List],$Q$6,RawData[Tour/Site],$Q$2,RawData[[Picker ID ]],$Q$3,RawData[Checker ID],$Q$4,RawData[[Error Type ]],$Q$5))</f>
        <v/>
      </c>
    </row>
    <row r="26973" spans="15:15" x14ac:dyDescent="0.25">
      <c r="O26973" s="20" t="str">
        <f>IF(N26973="","",COUNTIFS(RawData[[Date ]],N26973,RawData[Month List],$Q$6,RawData[Tour/Site],$Q$2,RawData[[Picker ID ]],$Q$3,RawData[Checker ID],$Q$4,RawData[[Error Type ]],$Q$5))</f>
        <v/>
      </c>
    </row>
    <row r="26974" spans="15:15" x14ac:dyDescent="0.25">
      <c r="O26974" s="20" t="str">
        <f>IF(N26974="","",COUNTIFS(RawData[[Date ]],N26974,RawData[Month List],$Q$6,RawData[Tour/Site],$Q$2,RawData[[Picker ID ]],$Q$3,RawData[Checker ID],$Q$4,RawData[[Error Type ]],$Q$5))</f>
        <v/>
      </c>
    </row>
    <row r="26975" spans="15:15" x14ac:dyDescent="0.25">
      <c r="O26975" s="20" t="str">
        <f>IF(N26975="","",COUNTIFS(RawData[[Date ]],N26975,RawData[Month List],$Q$6,RawData[Tour/Site],$Q$2,RawData[[Picker ID ]],$Q$3,RawData[Checker ID],$Q$4,RawData[[Error Type ]],$Q$5))</f>
        <v/>
      </c>
    </row>
    <row r="26976" spans="15:15" x14ac:dyDescent="0.25">
      <c r="O26976" s="20" t="str">
        <f>IF(N26976="","",COUNTIFS(RawData[[Date ]],N26976,RawData[Month List],$Q$6,RawData[Tour/Site],$Q$2,RawData[[Picker ID ]],$Q$3,RawData[Checker ID],$Q$4,RawData[[Error Type ]],$Q$5))</f>
        <v/>
      </c>
    </row>
    <row r="26977" spans="15:15" x14ac:dyDescent="0.25">
      <c r="O26977" s="20" t="str">
        <f>IF(N26977="","",COUNTIFS(RawData[[Date ]],N26977,RawData[Month List],$Q$6,RawData[Tour/Site],$Q$2,RawData[[Picker ID ]],$Q$3,RawData[Checker ID],$Q$4,RawData[[Error Type ]],$Q$5))</f>
        <v/>
      </c>
    </row>
    <row r="26978" spans="15:15" x14ac:dyDescent="0.25">
      <c r="O26978" s="20" t="str">
        <f>IF(N26978="","",COUNTIFS(RawData[[Date ]],N26978,RawData[Month List],$Q$6,RawData[Tour/Site],$Q$2,RawData[[Picker ID ]],$Q$3,RawData[Checker ID],$Q$4,RawData[[Error Type ]],$Q$5))</f>
        <v/>
      </c>
    </row>
    <row r="26979" spans="15:15" x14ac:dyDescent="0.25">
      <c r="O26979" s="20" t="str">
        <f>IF(N26979="","",COUNTIFS(RawData[[Date ]],N26979,RawData[Month List],$Q$6,RawData[Tour/Site],$Q$2,RawData[[Picker ID ]],$Q$3,RawData[Checker ID],$Q$4,RawData[[Error Type ]],$Q$5))</f>
        <v/>
      </c>
    </row>
    <row r="26980" spans="15:15" x14ac:dyDescent="0.25">
      <c r="O26980" s="20" t="str">
        <f>IF(N26980="","",COUNTIFS(RawData[[Date ]],N26980,RawData[Month List],$Q$6,RawData[Tour/Site],$Q$2,RawData[[Picker ID ]],$Q$3,RawData[Checker ID],$Q$4,RawData[[Error Type ]],$Q$5))</f>
        <v/>
      </c>
    </row>
    <row r="26981" spans="15:15" x14ac:dyDescent="0.25">
      <c r="O26981" s="20" t="str">
        <f>IF(N26981="","",COUNTIFS(RawData[[Date ]],N26981,RawData[Month List],$Q$6,RawData[Tour/Site],$Q$2,RawData[[Picker ID ]],$Q$3,RawData[Checker ID],$Q$4,RawData[[Error Type ]],$Q$5))</f>
        <v/>
      </c>
    </row>
    <row r="26982" spans="15:15" x14ac:dyDescent="0.25">
      <c r="O26982" s="20" t="str">
        <f>IF(N26982="","",COUNTIFS(RawData[[Date ]],N26982,RawData[Month List],$Q$6,RawData[Tour/Site],$Q$2,RawData[[Picker ID ]],$Q$3,RawData[Checker ID],$Q$4,RawData[[Error Type ]],$Q$5))</f>
        <v/>
      </c>
    </row>
    <row r="26983" spans="15:15" x14ac:dyDescent="0.25">
      <c r="O26983" s="20" t="str">
        <f>IF(N26983="","",COUNTIFS(RawData[[Date ]],N26983,RawData[Month List],$Q$6,RawData[Tour/Site],$Q$2,RawData[[Picker ID ]],$Q$3,RawData[Checker ID],$Q$4,RawData[[Error Type ]],$Q$5))</f>
        <v/>
      </c>
    </row>
    <row r="26984" spans="15:15" x14ac:dyDescent="0.25">
      <c r="O26984" s="20" t="str">
        <f>IF(N26984="","",COUNTIFS(RawData[[Date ]],N26984,RawData[Month List],$Q$6,RawData[Tour/Site],$Q$2,RawData[[Picker ID ]],$Q$3,RawData[Checker ID],$Q$4,RawData[[Error Type ]],$Q$5))</f>
        <v/>
      </c>
    </row>
    <row r="26985" spans="15:15" x14ac:dyDescent="0.25">
      <c r="O26985" s="20" t="str">
        <f>IF(N26985="","",COUNTIFS(RawData[[Date ]],N26985,RawData[Month List],$Q$6,RawData[Tour/Site],$Q$2,RawData[[Picker ID ]],$Q$3,RawData[Checker ID],$Q$4,RawData[[Error Type ]],$Q$5))</f>
        <v/>
      </c>
    </row>
    <row r="26986" spans="15:15" x14ac:dyDescent="0.25">
      <c r="O26986" s="20" t="str">
        <f>IF(N26986="","",COUNTIFS(RawData[[Date ]],N26986,RawData[Month List],$Q$6,RawData[Tour/Site],$Q$2,RawData[[Picker ID ]],$Q$3,RawData[Checker ID],$Q$4,RawData[[Error Type ]],$Q$5))</f>
        <v/>
      </c>
    </row>
    <row r="26987" spans="15:15" x14ac:dyDescent="0.25">
      <c r="O26987" s="20" t="str">
        <f>IF(N26987="","",COUNTIFS(RawData[[Date ]],N26987,RawData[Month List],$Q$6,RawData[Tour/Site],$Q$2,RawData[[Picker ID ]],$Q$3,RawData[Checker ID],$Q$4,RawData[[Error Type ]],$Q$5))</f>
        <v/>
      </c>
    </row>
    <row r="26988" spans="15:15" x14ac:dyDescent="0.25">
      <c r="O26988" s="20" t="str">
        <f>IF(N26988="","",COUNTIFS(RawData[[Date ]],N26988,RawData[Month List],$Q$6,RawData[Tour/Site],$Q$2,RawData[[Picker ID ]],$Q$3,RawData[Checker ID],$Q$4,RawData[[Error Type ]],$Q$5))</f>
        <v/>
      </c>
    </row>
    <row r="26989" spans="15:15" x14ac:dyDescent="0.25">
      <c r="O26989" s="20" t="str">
        <f>IF(N26989="","",COUNTIFS(RawData[[Date ]],N26989,RawData[Month List],$Q$6,RawData[Tour/Site],$Q$2,RawData[[Picker ID ]],$Q$3,RawData[Checker ID],$Q$4,RawData[[Error Type ]],$Q$5))</f>
        <v/>
      </c>
    </row>
    <row r="26990" spans="15:15" x14ac:dyDescent="0.25">
      <c r="O26990" s="20" t="str">
        <f>IF(N26990="","",COUNTIFS(RawData[[Date ]],N26990,RawData[Month List],$Q$6,RawData[Tour/Site],$Q$2,RawData[[Picker ID ]],$Q$3,RawData[Checker ID],$Q$4,RawData[[Error Type ]],$Q$5))</f>
        <v/>
      </c>
    </row>
    <row r="26991" spans="15:15" x14ac:dyDescent="0.25">
      <c r="O26991" s="20" t="str">
        <f>IF(N26991="","",COUNTIFS(RawData[[Date ]],N26991,RawData[Month List],$Q$6,RawData[Tour/Site],$Q$2,RawData[[Picker ID ]],$Q$3,RawData[Checker ID],$Q$4,RawData[[Error Type ]],$Q$5))</f>
        <v/>
      </c>
    </row>
    <row r="26992" spans="15:15" x14ac:dyDescent="0.25">
      <c r="O26992" s="20" t="str">
        <f>IF(N26992="","",COUNTIFS(RawData[[Date ]],N26992,RawData[Month List],$Q$6,RawData[Tour/Site],$Q$2,RawData[[Picker ID ]],$Q$3,RawData[Checker ID],$Q$4,RawData[[Error Type ]],$Q$5))</f>
        <v/>
      </c>
    </row>
    <row r="26993" spans="15:15" x14ac:dyDescent="0.25">
      <c r="O26993" s="20" t="str">
        <f>IF(N26993="","",COUNTIFS(RawData[[Date ]],N26993,RawData[Month List],$Q$6,RawData[Tour/Site],$Q$2,RawData[[Picker ID ]],$Q$3,RawData[Checker ID],$Q$4,RawData[[Error Type ]],$Q$5))</f>
        <v/>
      </c>
    </row>
    <row r="26994" spans="15:15" x14ac:dyDescent="0.25">
      <c r="O26994" s="20" t="str">
        <f>IF(N26994="","",COUNTIFS(RawData[[Date ]],N26994,RawData[Month List],$Q$6,RawData[Tour/Site],$Q$2,RawData[[Picker ID ]],$Q$3,RawData[Checker ID],$Q$4,RawData[[Error Type ]],$Q$5))</f>
        <v/>
      </c>
    </row>
    <row r="26995" spans="15:15" x14ac:dyDescent="0.25">
      <c r="O26995" s="20" t="str">
        <f>IF(N26995="","",COUNTIFS(RawData[[Date ]],N26995,RawData[Month List],$Q$6,RawData[Tour/Site],$Q$2,RawData[[Picker ID ]],$Q$3,RawData[Checker ID],$Q$4,RawData[[Error Type ]],$Q$5))</f>
        <v/>
      </c>
    </row>
    <row r="26996" spans="15:15" x14ac:dyDescent="0.25">
      <c r="O26996" s="20" t="str">
        <f>IF(N26996="","",COUNTIFS(RawData[[Date ]],N26996,RawData[Month List],$Q$6,RawData[Tour/Site],$Q$2,RawData[[Picker ID ]],$Q$3,RawData[Checker ID],$Q$4,RawData[[Error Type ]],$Q$5))</f>
        <v/>
      </c>
    </row>
    <row r="26997" spans="15:15" x14ac:dyDescent="0.25">
      <c r="O26997" s="20" t="str">
        <f>IF(N26997="","",COUNTIFS(RawData[[Date ]],N26997,RawData[Month List],$Q$6,RawData[Tour/Site],$Q$2,RawData[[Picker ID ]],$Q$3,RawData[Checker ID],$Q$4,RawData[[Error Type ]],$Q$5))</f>
        <v/>
      </c>
    </row>
    <row r="26998" spans="15:15" x14ac:dyDescent="0.25">
      <c r="O26998" s="20" t="str">
        <f>IF(N26998="","",COUNTIFS(RawData[[Date ]],N26998,RawData[Month List],$Q$6,RawData[Tour/Site],$Q$2,RawData[[Picker ID ]],$Q$3,RawData[Checker ID],$Q$4,RawData[[Error Type ]],$Q$5))</f>
        <v/>
      </c>
    </row>
    <row r="26999" spans="15:15" x14ac:dyDescent="0.25">
      <c r="O26999" s="20" t="str">
        <f>IF(N26999="","",COUNTIFS(RawData[[Date ]],N26999,RawData[Month List],$Q$6,RawData[Tour/Site],$Q$2,RawData[[Picker ID ]],$Q$3,RawData[Checker ID],$Q$4,RawData[[Error Type ]],$Q$5))</f>
        <v/>
      </c>
    </row>
    <row r="27000" spans="15:15" x14ac:dyDescent="0.25">
      <c r="O27000" s="20" t="str">
        <f>IF(N27000="","",COUNTIFS(RawData[[Date ]],N27000,RawData[Month List],$Q$6,RawData[Tour/Site],$Q$2,RawData[[Picker ID ]],$Q$3,RawData[Checker ID],$Q$4,RawData[[Error Type ]],$Q$5))</f>
        <v/>
      </c>
    </row>
    <row r="27001" spans="15:15" x14ac:dyDescent="0.25">
      <c r="O27001" s="20" t="str">
        <f>IF(N27001="","",COUNTIFS(RawData[[Date ]],N27001,RawData[Month List],$Q$6,RawData[Tour/Site],$Q$2,RawData[[Picker ID ]],$Q$3,RawData[Checker ID],$Q$4,RawData[[Error Type ]],$Q$5))</f>
        <v/>
      </c>
    </row>
    <row r="27002" spans="15:15" x14ac:dyDescent="0.25">
      <c r="O27002" s="20" t="str">
        <f>IF(N27002="","",COUNTIFS(RawData[[Date ]],N27002,RawData[Month List],$Q$6,RawData[Tour/Site],$Q$2,RawData[[Picker ID ]],$Q$3,RawData[Checker ID],$Q$4,RawData[[Error Type ]],$Q$5))</f>
        <v/>
      </c>
    </row>
    <row r="27003" spans="15:15" x14ac:dyDescent="0.25">
      <c r="O27003" s="20" t="str">
        <f>IF(N27003="","",COUNTIFS(RawData[[Date ]],N27003,RawData[Month List],$Q$6,RawData[Tour/Site],$Q$2,RawData[[Picker ID ]],$Q$3,RawData[Checker ID],$Q$4,RawData[[Error Type ]],$Q$5))</f>
        <v/>
      </c>
    </row>
    <row r="27004" spans="15:15" x14ac:dyDescent="0.25">
      <c r="O27004" s="20" t="str">
        <f>IF(N27004="","",COUNTIFS(RawData[[Date ]],N27004,RawData[Month List],$Q$6,RawData[Tour/Site],$Q$2,RawData[[Picker ID ]],$Q$3,RawData[Checker ID],$Q$4,RawData[[Error Type ]],$Q$5))</f>
        <v/>
      </c>
    </row>
    <row r="27005" spans="15:15" x14ac:dyDescent="0.25">
      <c r="O27005" s="20" t="str">
        <f>IF(N27005="","",COUNTIFS(RawData[[Date ]],N27005,RawData[Month List],$Q$6,RawData[Tour/Site],$Q$2,RawData[[Picker ID ]],$Q$3,RawData[Checker ID],$Q$4,RawData[[Error Type ]],$Q$5))</f>
        <v/>
      </c>
    </row>
    <row r="27006" spans="15:15" x14ac:dyDescent="0.25">
      <c r="O27006" s="20" t="str">
        <f>IF(N27006="","",COUNTIFS(RawData[[Date ]],N27006,RawData[Month List],$Q$6,RawData[Tour/Site],$Q$2,RawData[[Picker ID ]],$Q$3,RawData[Checker ID],$Q$4,RawData[[Error Type ]],$Q$5))</f>
        <v/>
      </c>
    </row>
    <row r="27007" spans="15:15" x14ac:dyDescent="0.25">
      <c r="O27007" s="20" t="str">
        <f>IF(N27007="","",COUNTIFS(RawData[[Date ]],N27007,RawData[Month List],$Q$6,RawData[Tour/Site],$Q$2,RawData[[Picker ID ]],$Q$3,RawData[Checker ID],$Q$4,RawData[[Error Type ]],$Q$5))</f>
        <v/>
      </c>
    </row>
    <row r="27008" spans="15:15" x14ac:dyDescent="0.25">
      <c r="O27008" s="20" t="str">
        <f>IF(N27008="","",COUNTIFS(RawData[[Date ]],N27008,RawData[Month List],$Q$6,RawData[Tour/Site],$Q$2,RawData[[Picker ID ]],$Q$3,RawData[Checker ID],$Q$4,RawData[[Error Type ]],$Q$5))</f>
        <v/>
      </c>
    </row>
    <row r="27009" spans="15:15" x14ac:dyDescent="0.25">
      <c r="O27009" s="20" t="str">
        <f>IF(N27009="","",COUNTIFS(RawData[[Date ]],N27009,RawData[Month List],$Q$6,RawData[Tour/Site],$Q$2,RawData[[Picker ID ]],$Q$3,RawData[Checker ID],$Q$4,RawData[[Error Type ]],$Q$5))</f>
        <v/>
      </c>
    </row>
    <row r="27010" spans="15:15" x14ac:dyDescent="0.25">
      <c r="O27010" s="20" t="str">
        <f>IF(N27010="","",COUNTIFS(RawData[[Date ]],N27010,RawData[Month List],$Q$6,RawData[Tour/Site],$Q$2,RawData[[Picker ID ]],$Q$3,RawData[Checker ID],$Q$4,RawData[[Error Type ]],$Q$5))</f>
        <v/>
      </c>
    </row>
    <row r="27011" spans="15:15" x14ac:dyDescent="0.25">
      <c r="O27011" s="20" t="str">
        <f>IF(N27011="","",COUNTIFS(RawData[[Date ]],N27011,RawData[Month List],$Q$6,RawData[Tour/Site],$Q$2,RawData[[Picker ID ]],$Q$3,RawData[Checker ID],$Q$4,RawData[[Error Type ]],$Q$5))</f>
        <v/>
      </c>
    </row>
    <row r="27012" spans="15:15" x14ac:dyDescent="0.25">
      <c r="O27012" s="20" t="str">
        <f>IF(N27012="","",COUNTIFS(RawData[[Date ]],N27012,RawData[Month List],$Q$6,RawData[Tour/Site],$Q$2,RawData[[Picker ID ]],$Q$3,RawData[Checker ID],$Q$4,RawData[[Error Type ]],$Q$5))</f>
        <v/>
      </c>
    </row>
    <row r="27013" spans="15:15" x14ac:dyDescent="0.25">
      <c r="O27013" s="20" t="str">
        <f>IF(N27013="","",COUNTIFS(RawData[[Date ]],N27013,RawData[Month List],$Q$6,RawData[Tour/Site],$Q$2,RawData[[Picker ID ]],$Q$3,RawData[Checker ID],$Q$4,RawData[[Error Type ]],$Q$5))</f>
        <v/>
      </c>
    </row>
    <row r="27014" spans="15:15" x14ac:dyDescent="0.25">
      <c r="O27014" s="20" t="str">
        <f>IF(N27014="","",COUNTIFS(RawData[[Date ]],N27014,RawData[Month List],$Q$6,RawData[Tour/Site],$Q$2,RawData[[Picker ID ]],$Q$3,RawData[Checker ID],$Q$4,RawData[[Error Type ]],$Q$5))</f>
        <v/>
      </c>
    </row>
    <row r="27015" spans="15:15" x14ac:dyDescent="0.25">
      <c r="O27015" s="20" t="str">
        <f>IF(N27015="","",COUNTIFS(RawData[[Date ]],N27015,RawData[Month List],$Q$6,RawData[Tour/Site],$Q$2,RawData[[Picker ID ]],$Q$3,RawData[Checker ID],$Q$4,RawData[[Error Type ]],$Q$5))</f>
        <v/>
      </c>
    </row>
    <row r="27016" spans="15:15" x14ac:dyDescent="0.25">
      <c r="O27016" s="20" t="str">
        <f>IF(N27016="","",COUNTIFS(RawData[[Date ]],N27016,RawData[Month List],$Q$6,RawData[Tour/Site],$Q$2,RawData[[Picker ID ]],$Q$3,RawData[Checker ID],$Q$4,RawData[[Error Type ]],$Q$5))</f>
        <v/>
      </c>
    </row>
    <row r="27017" spans="15:15" x14ac:dyDescent="0.25">
      <c r="O27017" s="20" t="str">
        <f>IF(N27017="","",COUNTIFS(RawData[[Date ]],N27017,RawData[Month List],$Q$6,RawData[Tour/Site],$Q$2,RawData[[Picker ID ]],$Q$3,RawData[Checker ID],$Q$4,RawData[[Error Type ]],$Q$5))</f>
        <v/>
      </c>
    </row>
    <row r="27018" spans="15:15" x14ac:dyDescent="0.25">
      <c r="O27018" s="20" t="str">
        <f>IF(N27018="","",COUNTIFS(RawData[[Date ]],N27018,RawData[Month List],$Q$6,RawData[Tour/Site],$Q$2,RawData[[Picker ID ]],$Q$3,RawData[Checker ID],$Q$4,RawData[[Error Type ]],$Q$5))</f>
        <v/>
      </c>
    </row>
    <row r="27019" spans="15:15" x14ac:dyDescent="0.25">
      <c r="O27019" s="20" t="str">
        <f>IF(N27019="","",COUNTIFS(RawData[[Date ]],N27019,RawData[Month List],$Q$6,RawData[Tour/Site],$Q$2,RawData[[Picker ID ]],$Q$3,RawData[Checker ID],$Q$4,RawData[[Error Type ]],$Q$5))</f>
        <v/>
      </c>
    </row>
    <row r="27020" spans="15:15" x14ac:dyDescent="0.25">
      <c r="O27020" s="20" t="str">
        <f>IF(N27020="","",COUNTIFS(RawData[[Date ]],N27020,RawData[Month List],$Q$6,RawData[Tour/Site],$Q$2,RawData[[Picker ID ]],$Q$3,RawData[Checker ID],$Q$4,RawData[[Error Type ]],$Q$5))</f>
        <v/>
      </c>
    </row>
    <row r="27021" spans="15:15" x14ac:dyDescent="0.25">
      <c r="O27021" s="20" t="str">
        <f>IF(N27021="","",COUNTIFS(RawData[[Date ]],N27021,RawData[Month List],$Q$6,RawData[Tour/Site],$Q$2,RawData[[Picker ID ]],$Q$3,RawData[Checker ID],$Q$4,RawData[[Error Type ]],$Q$5))</f>
        <v/>
      </c>
    </row>
    <row r="27022" spans="15:15" x14ac:dyDescent="0.25">
      <c r="O27022" s="20" t="str">
        <f>IF(N27022="","",COUNTIFS(RawData[[Date ]],N27022,RawData[Month List],$Q$6,RawData[Tour/Site],$Q$2,RawData[[Picker ID ]],$Q$3,RawData[Checker ID],$Q$4,RawData[[Error Type ]],$Q$5))</f>
        <v/>
      </c>
    </row>
    <row r="27023" spans="15:15" x14ac:dyDescent="0.25">
      <c r="O27023" s="20" t="str">
        <f>IF(N27023="","",COUNTIFS(RawData[[Date ]],N27023,RawData[Month List],$Q$6,RawData[Tour/Site],$Q$2,RawData[[Picker ID ]],$Q$3,RawData[Checker ID],$Q$4,RawData[[Error Type ]],$Q$5))</f>
        <v/>
      </c>
    </row>
    <row r="27024" spans="15:15" x14ac:dyDescent="0.25">
      <c r="O27024" s="20" t="str">
        <f>IF(N27024="","",COUNTIFS(RawData[[Date ]],N27024,RawData[Month List],$Q$6,RawData[Tour/Site],$Q$2,RawData[[Picker ID ]],$Q$3,RawData[Checker ID],$Q$4,RawData[[Error Type ]],$Q$5))</f>
        <v/>
      </c>
    </row>
    <row r="27025" spans="15:15" x14ac:dyDescent="0.25">
      <c r="O27025" s="20" t="str">
        <f>IF(N27025="","",COUNTIFS(RawData[[Date ]],N27025,RawData[Month List],$Q$6,RawData[Tour/Site],$Q$2,RawData[[Picker ID ]],$Q$3,RawData[Checker ID],$Q$4,RawData[[Error Type ]],$Q$5))</f>
        <v/>
      </c>
    </row>
    <row r="27026" spans="15:15" x14ac:dyDescent="0.25">
      <c r="O27026" s="20" t="str">
        <f>IF(N27026="","",COUNTIFS(RawData[[Date ]],N27026,RawData[Month List],$Q$6,RawData[Tour/Site],$Q$2,RawData[[Picker ID ]],$Q$3,RawData[Checker ID],$Q$4,RawData[[Error Type ]],$Q$5))</f>
        <v/>
      </c>
    </row>
    <row r="27027" spans="15:15" x14ac:dyDescent="0.25">
      <c r="O27027" s="20" t="str">
        <f>IF(N27027="","",COUNTIFS(RawData[[Date ]],N27027,RawData[Month List],$Q$6,RawData[Tour/Site],$Q$2,RawData[[Picker ID ]],$Q$3,RawData[Checker ID],$Q$4,RawData[[Error Type ]],$Q$5))</f>
        <v/>
      </c>
    </row>
    <row r="27028" spans="15:15" x14ac:dyDescent="0.25">
      <c r="O27028" s="20" t="str">
        <f>IF(N27028="","",COUNTIFS(RawData[[Date ]],N27028,RawData[Month List],$Q$6,RawData[Tour/Site],$Q$2,RawData[[Picker ID ]],$Q$3,RawData[Checker ID],$Q$4,RawData[[Error Type ]],$Q$5))</f>
        <v/>
      </c>
    </row>
    <row r="27029" spans="15:15" x14ac:dyDescent="0.25">
      <c r="O27029" s="20" t="str">
        <f>IF(N27029="","",COUNTIFS(RawData[[Date ]],N27029,RawData[Month List],$Q$6,RawData[Tour/Site],$Q$2,RawData[[Picker ID ]],$Q$3,RawData[Checker ID],$Q$4,RawData[[Error Type ]],$Q$5))</f>
        <v/>
      </c>
    </row>
    <row r="27030" spans="15:15" x14ac:dyDescent="0.25">
      <c r="O27030" s="20" t="str">
        <f>IF(N27030="","",COUNTIFS(RawData[[Date ]],N27030,RawData[Month List],$Q$6,RawData[Tour/Site],$Q$2,RawData[[Picker ID ]],$Q$3,RawData[Checker ID],$Q$4,RawData[[Error Type ]],$Q$5))</f>
        <v/>
      </c>
    </row>
    <row r="27031" spans="15:15" x14ac:dyDescent="0.25">
      <c r="O27031" s="20" t="str">
        <f>IF(N27031="","",COUNTIFS(RawData[[Date ]],N27031,RawData[Month List],$Q$6,RawData[Tour/Site],$Q$2,RawData[[Picker ID ]],$Q$3,RawData[Checker ID],$Q$4,RawData[[Error Type ]],$Q$5))</f>
        <v/>
      </c>
    </row>
    <row r="27032" spans="15:15" x14ac:dyDescent="0.25">
      <c r="O27032" s="20" t="str">
        <f>IF(N27032="","",COUNTIFS(RawData[[Date ]],N27032,RawData[Month List],$Q$6,RawData[Tour/Site],$Q$2,RawData[[Picker ID ]],$Q$3,RawData[Checker ID],$Q$4,RawData[[Error Type ]],$Q$5))</f>
        <v/>
      </c>
    </row>
    <row r="27033" spans="15:15" x14ac:dyDescent="0.25">
      <c r="O27033" s="20" t="str">
        <f>IF(N27033="","",COUNTIFS(RawData[[Date ]],N27033,RawData[Month List],$Q$6,RawData[Tour/Site],$Q$2,RawData[[Picker ID ]],$Q$3,RawData[Checker ID],$Q$4,RawData[[Error Type ]],$Q$5))</f>
        <v/>
      </c>
    </row>
    <row r="27034" spans="15:15" x14ac:dyDescent="0.25">
      <c r="O27034" s="20" t="str">
        <f>IF(N27034="","",COUNTIFS(RawData[[Date ]],N27034,RawData[Month List],$Q$6,RawData[Tour/Site],$Q$2,RawData[[Picker ID ]],$Q$3,RawData[Checker ID],$Q$4,RawData[[Error Type ]],$Q$5))</f>
        <v/>
      </c>
    </row>
    <row r="27035" spans="15:15" x14ac:dyDescent="0.25">
      <c r="O27035" s="20" t="str">
        <f>IF(N27035="","",COUNTIFS(RawData[[Date ]],N27035,RawData[Month List],$Q$6,RawData[Tour/Site],$Q$2,RawData[[Picker ID ]],$Q$3,RawData[Checker ID],$Q$4,RawData[[Error Type ]],$Q$5))</f>
        <v/>
      </c>
    </row>
    <row r="27036" spans="15:15" x14ac:dyDescent="0.25">
      <c r="O27036" s="20" t="str">
        <f>IF(N27036="","",COUNTIFS(RawData[[Date ]],N27036,RawData[Month List],$Q$6,RawData[Tour/Site],$Q$2,RawData[[Picker ID ]],$Q$3,RawData[Checker ID],$Q$4,RawData[[Error Type ]],$Q$5))</f>
        <v/>
      </c>
    </row>
    <row r="27037" spans="15:15" x14ac:dyDescent="0.25">
      <c r="O27037" s="20" t="str">
        <f>IF(N27037="","",COUNTIFS(RawData[[Date ]],N27037,RawData[Month List],$Q$6,RawData[Tour/Site],$Q$2,RawData[[Picker ID ]],$Q$3,RawData[Checker ID],$Q$4,RawData[[Error Type ]],$Q$5))</f>
        <v/>
      </c>
    </row>
    <row r="27038" spans="15:15" x14ac:dyDescent="0.25">
      <c r="O27038" s="20" t="str">
        <f>IF(N27038="","",COUNTIFS(RawData[[Date ]],N27038,RawData[Month List],$Q$6,RawData[Tour/Site],$Q$2,RawData[[Picker ID ]],$Q$3,RawData[Checker ID],$Q$4,RawData[[Error Type ]],$Q$5))</f>
        <v/>
      </c>
    </row>
    <row r="27039" spans="15:15" x14ac:dyDescent="0.25">
      <c r="O27039" s="20" t="str">
        <f>IF(N27039="","",COUNTIFS(RawData[[Date ]],N27039,RawData[Month List],$Q$6,RawData[Tour/Site],$Q$2,RawData[[Picker ID ]],$Q$3,RawData[Checker ID],$Q$4,RawData[[Error Type ]],$Q$5))</f>
        <v/>
      </c>
    </row>
    <row r="27040" spans="15:15" x14ac:dyDescent="0.25">
      <c r="O27040" s="20" t="str">
        <f>IF(N27040="","",COUNTIFS(RawData[[Date ]],N27040,RawData[Month List],$Q$6,RawData[Tour/Site],$Q$2,RawData[[Picker ID ]],$Q$3,RawData[Checker ID],$Q$4,RawData[[Error Type ]],$Q$5))</f>
        <v/>
      </c>
    </row>
    <row r="27041" spans="15:15" x14ac:dyDescent="0.25">
      <c r="O27041" s="20" t="str">
        <f>IF(N27041="","",COUNTIFS(RawData[[Date ]],N27041,RawData[Month List],$Q$6,RawData[Tour/Site],$Q$2,RawData[[Picker ID ]],$Q$3,RawData[Checker ID],$Q$4,RawData[[Error Type ]],$Q$5))</f>
        <v/>
      </c>
    </row>
    <row r="27042" spans="15:15" x14ac:dyDescent="0.25">
      <c r="O27042" s="20" t="str">
        <f>IF(N27042="","",COUNTIFS(RawData[[Date ]],N27042,RawData[Month List],$Q$6,RawData[Tour/Site],$Q$2,RawData[[Picker ID ]],$Q$3,RawData[Checker ID],$Q$4,RawData[[Error Type ]],$Q$5))</f>
        <v/>
      </c>
    </row>
    <row r="27043" spans="15:15" x14ac:dyDescent="0.25">
      <c r="O27043" s="20" t="str">
        <f>IF(N27043="","",COUNTIFS(RawData[[Date ]],N27043,RawData[Month List],$Q$6,RawData[Tour/Site],$Q$2,RawData[[Picker ID ]],$Q$3,RawData[Checker ID],$Q$4,RawData[[Error Type ]],$Q$5))</f>
        <v/>
      </c>
    </row>
    <row r="27044" spans="15:15" x14ac:dyDescent="0.25">
      <c r="O27044" s="20" t="str">
        <f>IF(N27044="","",COUNTIFS(RawData[[Date ]],N27044,RawData[Month List],$Q$6,RawData[Tour/Site],$Q$2,RawData[[Picker ID ]],$Q$3,RawData[Checker ID],$Q$4,RawData[[Error Type ]],$Q$5))</f>
        <v/>
      </c>
    </row>
    <row r="27045" spans="15:15" x14ac:dyDescent="0.25">
      <c r="O27045" s="20" t="str">
        <f>IF(N27045="","",COUNTIFS(RawData[[Date ]],N27045,RawData[Month List],$Q$6,RawData[Tour/Site],$Q$2,RawData[[Picker ID ]],$Q$3,RawData[Checker ID],$Q$4,RawData[[Error Type ]],$Q$5))</f>
        <v/>
      </c>
    </row>
    <row r="27046" spans="15:15" x14ac:dyDescent="0.25">
      <c r="O27046" s="20" t="str">
        <f>IF(N27046="","",COUNTIFS(RawData[[Date ]],N27046,RawData[Month List],$Q$6,RawData[Tour/Site],$Q$2,RawData[[Picker ID ]],$Q$3,RawData[Checker ID],$Q$4,RawData[[Error Type ]],$Q$5))</f>
        <v/>
      </c>
    </row>
    <row r="27047" spans="15:15" x14ac:dyDescent="0.25">
      <c r="O27047" s="20" t="str">
        <f>IF(N27047="","",COUNTIFS(RawData[[Date ]],N27047,RawData[Month List],$Q$6,RawData[Tour/Site],$Q$2,RawData[[Picker ID ]],$Q$3,RawData[Checker ID],$Q$4,RawData[[Error Type ]],$Q$5))</f>
        <v/>
      </c>
    </row>
    <row r="27048" spans="15:15" x14ac:dyDescent="0.25">
      <c r="O27048" s="20" t="str">
        <f>IF(N27048="","",COUNTIFS(RawData[[Date ]],N27048,RawData[Month List],$Q$6,RawData[Tour/Site],$Q$2,RawData[[Picker ID ]],$Q$3,RawData[Checker ID],$Q$4,RawData[[Error Type ]],$Q$5))</f>
        <v/>
      </c>
    </row>
    <row r="27049" spans="15:15" x14ac:dyDescent="0.25">
      <c r="O27049" s="20" t="str">
        <f>IF(N27049="","",COUNTIFS(RawData[[Date ]],N27049,RawData[Month List],$Q$6,RawData[Tour/Site],$Q$2,RawData[[Picker ID ]],$Q$3,RawData[Checker ID],$Q$4,RawData[[Error Type ]],$Q$5))</f>
        <v/>
      </c>
    </row>
    <row r="27050" spans="15:15" x14ac:dyDescent="0.25">
      <c r="O27050" s="20" t="str">
        <f>IF(N27050="","",COUNTIFS(RawData[[Date ]],N27050,RawData[Month List],$Q$6,RawData[Tour/Site],$Q$2,RawData[[Picker ID ]],$Q$3,RawData[Checker ID],$Q$4,RawData[[Error Type ]],$Q$5))</f>
        <v/>
      </c>
    </row>
    <row r="27051" spans="15:15" x14ac:dyDescent="0.25">
      <c r="O27051" s="20" t="str">
        <f>IF(N27051="","",COUNTIFS(RawData[[Date ]],N27051,RawData[Month List],$Q$6,RawData[Tour/Site],$Q$2,RawData[[Picker ID ]],$Q$3,RawData[Checker ID],$Q$4,RawData[[Error Type ]],$Q$5))</f>
        <v/>
      </c>
    </row>
    <row r="27052" spans="15:15" x14ac:dyDescent="0.25">
      <c r="O27052" s="20" t="str">
        <f>IF(N27052="","",COUNTIFS(RawData[[Date ]],N27052,RawData[Month List],$Q$6,RawData[Tour/Site],$Q$2,RawData[[Picker ID ]],$Q$3,RawData[Checker ID],$Q$4,RawData[[Error Type ]],$Q$5))</f>
        <v/>
      </c>
    </row>
    <row r="27053" spans="15:15" x14ac:dyDescent="0.25">
      <c r="O27053" s="20" t="str">
        <f>IF(N27053="","",COUNTIFS(RawData[[Date ]],N27053,RawData[Month List],$Q$6,RawData[Tour/Site],$Q$2,RawData[[Picker ID ]],$Q$3,RawData[Checker ID],$Q$4,RawData[[Error Type ]],$Q$5))</f>
        <v/>
      </c>
    </row>
    <row r="27054" spans="15:15" x14ac:dyDescent="0.25">
      <c r="O27054" s="20" t="str">
        <f>IF(N27054="","",COUNTIFS(RawData[[Date ]],N27054,RawData[Month List],$Q$6,RawData[Tour/Site],$Q$2,RawData[[Picker ID ]],$Q$3,RawData[Checker ID],$Q$4,RawData[[Error Type ]],$Q$5))</f>
        <v/>
      </c>
    </row>
    <row r="27055" spans="15:15" x14ac:dyDescent="0.25">
      <c r="O27055" s="20" t="str">
        <f>IF(N27055="","",COUNTIFS(RawData[[Date ]],N27055,RawData[Month List],$Q$6,RawData[Tour/Site],$Q$2,RawData[[Picker ID ]],$Q$3,RawData[Checker ID],$Q$4,RawData[[Error Type ]],$Q$5))</f>
        <v/>
      </c>
    </row>
    <row r="27056" spans="15:15" x14ac:dyDescent="0.25">
      <c r="O27056" s="20" t="str">
        <f>IF(N27056="","",COUNTIFS(RawData[[Date ]],N27056,RawData[Month List],$Q$6,RawData[Tour/Site],$Q$2,RawData[[Picker ID ]],$Q$3,RawData[Checker ID],$Q$4,RawData[[Error Type ]],$Q$5))</f>
        <v/>
      </c>
    </row>
    <row r="27057" spans="15:15" x14ac:dyDescent="0.25">
      <c r="O27057" s="20" t="str">
        <f>IF(N27057="","",COUNTIFS(RawData[[Date ]],N27057,RawData[Month List],$Q$6,RawData[Tour/Site],$Q$2,RawData[[Picker ID ]],$Q$3,RawData[Checker ID],$Q$4,RawData[[Error Type ]],$Q$5))</f>
        <v/>
      </c>
    </row>
    <row r="27058" spans="15:15" x14ac:dyDescent="0.25">
      <c r="O27058" s="20" t="str">
        <f>IF(N27058="","",COUNTIFS(RawData[[Date ]],N27058,RawData[Month List],$Q$6,RawData[Tour/Site],$Q$2,RawData[[Picker ID ]],$Q$3,RawData[Checker ID],$Q$4,RawData[[Error Type ]],$Q$5))</f>
        <v/>
      </c>
    </row>
    <row r="27059" spans="15:15" x14ac:dyDescent="0.25">
      <c r="O27059" s="20" t="str">
        <f>IF(N27059="","",COUNTIFS(RawData[[Date ]],N27059,RawData[Month List],$Q$6,RawData[Tour/Site],$Q$2,RawData[[Picker ID ]],$Q$3,RawData[Checker ID],$Q$4,RawData[[Error Type ]],$Q$5))</f>
        <v/>
      </c>
    </row>
    <row r="27060" spans="15:15" x14ac:dyDescent="0.25">
      <c r="O27060" s="20" t="str">
        <f>IF(N27060="","",COUNTIFS(RawData[[Date ]],N27060,RawData[Month List],$Q$6,RawData[Tour/Site],$Q$2,RawData[[Picker ID ]],$Q$3,RawData[Checker ID],$Q$4,RawData[[Error Type ]],$Q$5))</f>
        <v/>
      </c>
    </row>
    <row r="27061" spans="15:15" x14ac:dyDescent="0.25">
      <c r="O27061" s="20" t="str">
        <f>IF(N27061="","",COUNTIFS(RawData[[Date ]],N27061,RawData[Month List],$Q$6,RawData[Tour/Site],$Q$2,RawData[[Picker ID ]],$Q$3,RawData[Checker ID],$Q$4,RawData[[Error Type ]],$Q$5))</f>
        <v/>
      </c>
    </row>
    <row r="27062" spans="15:15" x14ac:dyDescent="0.25">
      <c r="O27062" s="20" t="str">
        <f>IF(N27062="","",COUNTIFS(RawData[[Date ]],N27062,RawData[Month List],$Q$6,RawData[Tour/Site],$Q$2,RawData[[Picker ID ]],$Q$3,RawData[Checker ID],$Q$4,RawData[[Error Type ]],$Q$5))</f>
        <v/>
      </c>
    </row>
    <row r="27063" spans="15:15" x14ac:dyDescent="0.25">
      <c r="O27063" s="20" t="str">
        <f>IF(N27063="","",COUNTIFS(RawData[[Date ]],N27063,RawData[Month List],$Q$6,RawData[Tour/Site],$Q$2,RawData[[Picker ID ]],$Q$3,RawData[Checker ID],$Q$4,RawData[[Error Type ]],$Q$5))</f>
        <v/>
      </c>
    </row>
    <row r="27064" spans="15:15" x14ac:dyDescent="0.25">
      <c r="O27064" s="20" t="str">
        <f>IF(N27064="","",COUNTIFS(RawData[[Date ]],N27064,RawData[Month List],$Q$6,RawData[Tour/Site],$Q$2,RawData[[Picker ID ]],$Q$3,RawData[Checker ID],$Q$4,RawData[[Error Type ]],$Q$5))</f>
        <v/>
      </c>
    </row>
    <row r="27065" spans="15:15" x14ac:dyDescent="0.25">
      <c r="O27065" s="20" t="str">
        <f>IF(N27065="","",COUNTIFS(RawData[[Date ]],N27065,RawData[Month List],$Q$6,RawData[Tour/Site],$Q$2,RawData[[Picker ID ]],$Q$3,RawData[Checker ID],$Q$4,RawData[[Error Type ]],$Q$5))</f>
        <v/>
      </c>
    </row>
    <row r="27066" spans="15:15" x14ac:dyDescent="0.25">
      <c r="O27066" s="20" t="str">
        <f>IF(N27066="","",COUNTIFS(RawData[[Date ]],N27066,RawData[Month List],$Q$6,RawData[Tour/Site],$Q$2,RawData[[Picker ID ]],$Q$3,RawData[Checker ID],$Q$4,RawData[[Error Type ]],$Q$5))</f>
        <v/>
      </c>
    </row>
    <row r="27067" spans="15:15" x14ac:dyDescent="0.25">
      <c r="O27067" s="20" t="str">
        <f>IF(N27067="","",COUNTIFS(RawData[[Date ]],N27067,RawData[Month List],$Q$6,RawData[Tour/Site],$Q$2,RawData[[Picker ID ]],$Q$3,RawData[Checker ID],$Q$4,RawData[[Error Type ]],$Q$5))</f>
        <v/>
      </c>
    </row>
    <row r="27068" spans="15:15" x14ac:dyDescent="0.25">
      <c r="O27068" s="20" t="str">
        <f>IF(N27068="","",COUNTIFS(RawData[[Date ]],N27068,RawData[Month List],$Q$6,RawData[Tour/Site],$Q$2,RawData[[Picker ID ]],$Q$3,RawData[Checker ID],$Q$4,RawData[[Error Type ]],$Q$5))</f>
        <v/>
      </c>
    </row>
    <row r="27069" spans="15:15" x14ac:dyDescent="0.25">
      <c r="O27069" s="20" t="str">
        <f>IF(N27069="","",COUNTIFS(RawData[[Date ]],N27069,RawData[Month List],$Q$6,RawData[Tour/Site],$Q$2,RawData[[Picker ID ]],$Q$3,RawData[Checker ID],$Q$4,RawData[[Error Type ]],$Q$5))</f>
        <v/>
      </c>
    </row>
    <row r="27070" spans="15:15" x14ac:dyDescent="0.25">
      <c r="O27070" s="20" t="str">
        <f>IF(N27070="","",COUNTIFS(RawData[[Date ]],N27070,RawData[Month List],$Q$6,RawData[Tour/Site],$Q$2,RawData[[Picker ID ]],$Q$3,RawData[Checker ID],$Q$4,RawData[[Error Type ]],$Q$5))</f>
        <v/>
      </c>
    </row>
    <row r="27071" spans="15:15" x14ac:dyDescent="0.25">
      <c r="O27071" s="20" t="str">
        <f>IF(N27071="","",COUNTIFS(RawData[[Date ]],N27071,RawData[Month List],$Q$6,RawData[Tour/Site],$Q$2,RawData[[Picker ID ]],$Q$3,RawData[Checker ID],$Q$4,RawData[[Error Type ]],$Q$5))</f>
        <v/>
      </c>
    </row>
    <row r="27072" spans="15:15" x14ac:dyDescent="0.25">
      <c r="O27072" s="20" t="str">
        <f>IF(N27072="","",COUNTIFS(RawData[[Date ]],N27072,RawData[Month List],$Q$6,RawData[Tour/Site],$Q$2,RawData[[Picker ID ]],$Q$3,RawData[Checker ID],$Q$4,RawData[[Error Type ]],$Q$5))</f>
        <v/>
      </c>
    </row>
    <row r="27073" spans="15:15" x14ac:dyDescent="0.25">
      <c r="O27073" s="20" t="str">
        <f>IF(N27073="","",COUNTIFS(RawData[[Date ]],N27073,RawData[Month List],$Q$6,RawData[Tour/Site],$Q$2,RawData[[Picker ID ]],$Q$3,RawData[Checker ID],$Q$4,RawData[[Error Type ]],$Q$5))</f>
        <v/>
      </c>
    </row>
    <row r="27074" spans="15:15" x14ac:dyDescent="0.25">
      <c r="O27074" s="20" t="str">
        <f>IF(N27074="","",COUNTIFS(RawData[[Date ]],N27074,RawData[Month List],$Q$6,RawData[Tour/Site],$Q$2,RawData[[Picker ID ]],$Q$3,RawData[Checker ID],$Q$4,RawData[[Error Type ]],$Q$5))</f>
        <v/>
      </c>
    </row>
    <row r="27075" spans="15:15" x14ac:dyDescent="0.25">
      <c r="O27075" s="20" t="str">
        <f>IF(N27075="","",COUNTIFS(RawData[[Date ]],N27075,RawData[Month List],$Q$6,RawData[Tour/Site],$Q$2,RawData[[Picker ID ]],$Q$3,RawData[Checker ID],$Q$4,RawData[[Error Type ]],$Q$5))</f>
        <v/>
      </c>
    </row>
    <row r="27076" spans="15:15" x14ac:dyDescent="0.25">
      <c r="O27076" s="20" t="str">
        <f>IF(N27076="","",COUNTIFS(RawData[[Date ]],N27076,RawData[Month List],$Q$6,RawData[Tour/Site],$Q$2,RawData[[Picker ID ]],$Q$3,RawData[Checker ID],$Q$4,RawData[[Error Type ]],$Q$5))</f>
        <v/>
      </c>
    </row>
    <row r="27077" spans="15:15" x14ac:dyDescent="0.25">
      <c r="O27077" s="20" t="str">
        <f>IF(N27077="","",COUNTIFS(RawData[[Date ]],N27077,RawData[Month List],$Q$6,RawData[Tour/Site],$Q$2,RawData[[Picker ID ]],$Q$3,RawData[Checker ID],$Q$4,RawData[[Error Type ]],$Q$5))</f>
        <v/>
      </c>
    </row>
    <row r="27078" spans="15:15" x14ac:dyDescent="0.25">
      <c r="O27078" s="20" t="str">
        <f>IF(N27078="","",COUNTIFS(RawData[[Date ]],N27078,RawData[Month List],$Q$6,RawData[Tour/Site],$Q$2,RawData[[Picker ID ]],$Q$3,RawData[Checker ID],$Q$4,RawData[[Error Type ]],$Q$5))</f>
        <v/>
      </c>
    </row>
    <row r="27079" spans="15:15" x14ac:dyDescent="0.25">
      <c r="O27079" s="20" t="str">
        <f>IF(N27079="","",COUNTIFS(RawData[[Date ]],N27079,RawData[Month List],$Q$6,RawData[Tour/Site],$Q$2,RawData[[Picker ID ]],$Q$3,RawData[Checker ID],$Q$4,RawData[[Error Type ]],$Q$5))</f>
        <v/>
      </c>
    </row>
    <row r="27080" spans="15:15" x14ac:dyDescent="0.25">
      <c r="O27080" s="20" t="str">
        <f>IF(N27080="","",COUNTIFS(RawData[[Date ]],N27080,RawData[Month List],$Q$6,RawData[Tour/Site],$Q$2,RawData[[Picker ID ]],$Q$3,RawData[Checker ID],$Q$4,RawData[[Error Type ]],$Q$5))</f>
        <v/>
      </c>
    </row>
    <row r="27081" spans="15:15" x14ac:dyDescent="0.25">
      <c r="O27081" s="20" t="str">
        <f>IF(N27081="","",COUNTIFS(RawData[[Date ]],N27081,RawData[Month List],$Q$6,RawData[Tour/Site],$Q$2,RawData[[Picker ID ]],$Q$3,RawData[Checker ID],$Q$4,RawData[[Error Type ]],$Q$5))</f>
        <v/>
      </c>
    </row>
    <row r="27082" spans="15:15" x14ac:dyDescent="0.25">
      <c r="O27082" s="20" t="str">
        <f>IF(N27082="","",COUNTIFS(RawData[[Date ]],N27082,RawData[Month List],$Q$6,RawData[Tour/Site],$Q$2,RawData[[Picker ID ]],$Q$3,RawData[Checker ID],$Q$4,RawData[[Error Type ]],$Q$5))</f>
        <v/>
      </c>
    </row>
    <row r="27083" spans="15:15" x14ac:dyDescent="0.25">
      <c r="O27083" s="20" t="str">
        <f>IF(N27083="","",COUNTIFS(RawData[[Date ]],N27083,RawData[Month List],$Q$6,RawData[Tour/Site],$Q$2,RawData[[Picker ID ]],$Q$3,RawData[Checker ID],$Q$4,RawData[[Error Type ]],$Q$5))</f>
        <v/>
      </c>
    </row>
    <row r="27084" spans="15:15" x14ac:dyDescent="0.25">
      <c r="O27084" s="20" t="str">
        <f>IF(N27084="","",COUNTIFS(RawData[[Date ]],N27084,RawData[Month List],$Q$6,RawData[Tour/Site],$Q$2,RawData[[Picker ID ]],$Q$3,RawData[Checker ID],$Q$4,RawData[[Error Type ]],$Q$5))</f>
        <v/>
      </c>
    </row>
    <row r="27085" spans="15:15" x14ac:dyDescent="0.25">
      <c r="O27085" s="20" t="str">
        <f>IF(N27085="","",COUNTIFS(RawData[[Date ]],N27085,RawData[Month List],$Q$6,RawData[Tour/Site],$Q$2,RawData[[Picker ID ]],$Q$3,RawData[Checker ID],$Q$4,RawData[[Error Type ]],$Q$5))</f>
        <v/>
      </c>
    </row>
    <row r="27086" spans="15:15" x14ac:dyDescent="0.25">
      <c r="O27086" s="20" t="str">
        <f>IF(N27086="","",COUNTIFS(RawData[[Date ]],N27086,RawData[Month List],$Q$6,RawData[Tour/Site],$Q$2,RawData[[Picker ID ]],$Q$3,RawData[Checker ID],$Q$4,RawData[[Error Type ]],$Q$5))</f>
        <v/>
      </c>
    </row>
    <row r="27087" spans="15:15" x14ac:dyDescent="0.25">
      <c r="O27087" s="20" t="str">
        <f>IF(N27087="","",COUNTIFS(RawData[[Date ]],N27087,RawData[Month List],$Q$6,RawData[Tour/Site],$Q$2,RawData[[Picker ID ]],$Q$3,RawData[Checker ID],$Q$4,RawData[[Error Type ]],$Q$5))</f>
        <v/>
      </c>
    </row>
    <row r="27088" spans="15:15" x14ac:dyDescent="0.25">
      <c r="O27088" s="20" t="str">
        <f>IF(N27088="","",COUNTIFS(RawData[[Date ]],N27088,RawData[Month List],$Q$6,RawData[Tour/Site],$Q$2,RawData[[Picker ID ]],$Q$3,RawData[Checker ID],$Q$4,RawData[[Error Type ]],$Q$5))</f>
        <v/>
      </c>
    </row>
    <row r="27089" spans="15:15" x14ac:dyDescent="0.25">
      <c r="O27089" s="20" t="str">
        <f>IF(N27089="","",COUNTIFS(RawData[[Date ]],N27089,RawData[Month List],$Q$6,RawData[Tour/Site],$Q$2,RawData[[Picker ID ]],$Q$3,RawData[Checker ID],$Q$4,RawData[[Error Type ]],$Q$5))</f>
        <v/>
      </c>
    </row>
    <row r="27090" spans="15:15" x14ac:dyDescent="0.25">
      <c r="O27090" s="20" t="str">
        <f>IF(N27090="","",COUNTIFS(RawData[[Date ]],N27090,RawData[Month List],$Q$6,RawData[Tour/Site],$Q$2,RawData[[Picker ID ]],$Q$3,RawData[Checker ID],$Q$4,RawData[[Error Type ]],$Q$5))</f>
        <v/>
      </c>
    </row>
    <row r="27091" spans="15:15" x14ac:dyDescent="0.25">
      <c r="O27091" s="20" t="str">
        <f>IF(N27091="","",COUNTIFS(RawData[[Date ]],N27091,RawData[Month List],$Q$6,RawData[Tour/Site],$Q$2,RawData[[Picker ID ]],$Q$3,RawData[Checker ID],$Q$4,RawData[[Error Type ]],$Q$5))</f>
        <v/>
      </c>
    </row>
    <row r="27092" spans="15:15" x14ac:dyDescent="0.25">
      <c r="O27092" s="20" t="str">
        <f>IF(N27092="","",COUNTIFS(RawData[[Date ]],N27092,RawData[Month List],$Q$6,RawData[Tour/Site],$Q$2,RawData[[Picker ID ]],$Q$3,RawData[Checker ID],$Q$4,RawData[[Error Type ]],$Q$5))</f>
        <v/>
      </c>
    </row>
    <row r="27093" spans="15:15" x14ac:dyDescent="0.25">
      <c r="O27093" s="20" t="str">
        <f>IF(N27093="","",COUNTIFS(RawData[[Date ]],N27093,RawData[Month List],$Q$6,RawData[Tour/Site],$Q$2,RawData[[Picker ID ]],$Q$3,RawData[Checker ID],$Q$4,RawData[[Error Type ]],$Q$5))</f>
        <v/>
      </c>
    </row>
    <row r="27094" spans="15:15" x14ac:dyDescent="0.25">
      <c r="O27094" s="20" t="str">
        <f>IF(N27094="","",COUNTIFS(RawData[[Date ]],N27094,RawData[Month List],$Q$6,RawData[Tour/Site],$Q$2,RawData[[Picker ID ]],$Q$3,RawData[Checker ID],$Q$4,RawData[[Error Type ]],$Q$5))</f>
        <v/>
      </c>
    </row>
    <row r="27095" spans="15:15" x14ac:dyDescent="0.25">
      <c r="O27095" s="20" t="str">
        <f>IF(N27095="","",COUNTIFS(RawData[[Date ]],N27095,RawData[Month List],$Q$6,RawData[Tour/Site],$Q$2,RawData[[Picker ID ]],$Q$3,RawData[Checker ID],$Q$4,RawData[[Error Type ]],$Q$5))</f>
        <v/>
      </c>
    </row>
    <row r="27096" spans="15:15" x14ac:dyDescent="0.25">
      <c r="O27096" s="20" t="str">
        <f>IF(N27096="","",COUNTIFS(RawData[[Date ]],N27096,RawData[Month List],$Q$6,RawData[Tour/Site],$Q$2,RawData[[Picker ID ]],$Q$3,RawData[Checker ID],$Q$4,RawData[[Error Type ]],$Q$5))</f>
        <v/>
      </c>
    </row>
    <row r="27097" spans="15:15" x14ac:dyDescent="0.25">
      <c r="O27097" s="20" t="str">
        <f>IF(N27097="","",COUNTIFS(RawData[[Date ]],N27097,RawData[Month List],$Q$6,RawData[Tour/Site],$Q$2,RawData[[Picker ID ]],$Q$3,RawData[Checker ID],$Q$4,RawData[[Error Type ]],$Q$5))</f>
        <v/>
      </c>
    </row>
    <row r="27098" spans="15:15" x14ac:dyDescent="0.25">
      <c r="O27098" s="20" t="str">
        <f>IF(N27098="","",COUNTIFS(RawData[[Date ]],N27098,RawData[Month List],$Q$6,RawData[Tour/Site],$Q$2,RawData[[Picker ID ]],$Q$3,RawData[Checker ID],$Q$4,RawData[[Error Type ]],$Q$5))</f>
        <v/>
      </c>
    </row>
    <row r="27099" spans="15:15" x14ac:dyDescent="0.25">
      <c r="O27099" s="20" t="str">
        <f>IF(N27099="","",COUNTIFS(RawData[[Date ]],N27099,RawData[Month List],$Q$6,RawData[Tour/Site],$Q$2,RawData[[Picker ID ]],$Q$3,RawData[Checker ID],$Q$4,RawData[[Error Type ]],$Q$5))</f>
        <v/>
      </c>
    </row>
    <row r="27100" spans="15:15" x14ac:dyDescent="0.25">
      <c r="O27100" s="20" t="str">
        <f>IF(N27100="","",COUNTIFS(RawData[[Date ]],N27100,RawData[Month List],$Q$6,RawData[Tour/Site],$Q$2,RawData[[Picker ID ]],$Q$3,RawData[Checker ID],$Q$4,RawData[[Error Type ]],$Q$5))</f>
        <v/>
      </c>
    </row>
    <row r="27101" spans="15:15" x14ac:dyDescent="0.25">
      <c r="O27101" s="20" t="str">
        <f>IF(N27101="","",COUNTIFS(RawData[[Date ]],N27101,RawData[Month List],$Q$6,RawData[Tour/Site],$Q$2,RawData[[Picker ID ]],$Q$3,RawData[Checker ID],$Q$4,RawData[[Error Type ]],$Q$5))</f>
        <v/>
      </c>
    </row>
    <row r="27102" spans="15:15" x14ac:dyDescent="0.25">
      <c r="O27102" s="20" t="str">
        <f>IF(N27102="","",COUNTIFS(RawData[[Date ]],N27102,RawData[Month List],$Q$6,RawData[Tour/Site],$Q$2,RawData[[Picker ID ]],$Q$3,RawData[Checker ID],$Q$4,RawData[[Error Type ]],$Q$5))</f>
        <v/>
      </c>
    </row>
    <row r="27103" spans="15:15" x14ac:dyDescent="0.25">
      <c r="O27103" s="20" t="str">
        <f>IF(N27103="","",COUNTIFS(RawData[[Date ]],N27103,RawData[Month List],$Q$6,RawData[Tour/Site],$Q$2,RawData[[Picker ID ]],$Q$3,RawData[Checker ID],$Q$4,RawData[[Error Type ]],$Q$5))</f>
        <v/>
      </c>
    </row>
    <row r="27104" spans="15:15" x14ac:dyDescent="0.25">
      <c r="O27104" s="20" t="str">
        <f>IF(N27104="","",COUNTIFS(RawData[[Date ]],N27104,RawData[Month List],$Q$6,RawData[Tour/Site],$Q$2,RawData[[Picker ID ]],$Q$3,RawData[Checker ID],$Q$4,RawData[[Error Type ]],$Q$5))</f>
        <v/>
      </c>
    </row>
    <row r="27105" spans="15:15" x14ac:dyDescent="0.25">
      <c r="O27105" s="20" t="str">
        <f>IF(N27105="","",COUNTIFS(RawData[[Date ]],N27105,RawData[Month List],$Q$6,RawData[Tour/Site],$Q$2,RawData[[Picker ID ]],$Q$3,RawData[Checker ID],$Q$4,RawData[[Error Type ]],$Q$5))</f>
        <v/>
      </c>
    </row>
    <row r="27106" spans="15:15" x14ac:dyDescent="0.25">
      <c r="O27106" s="20" t="str">
        <f>IF(N27106="","",COUNTIFS(RawData[[Date ]],N27106,RawData[Month List],$Q$6,RawData[Tour/Site],$Q$2,RawData[[Picker ID ]],$Q$3,RawData[Checker ID],$Q$4,RawData[[Error Type ]],$Q$5))</f>
        <v/>
      </c>
    </row>
    <row r="27107" spans="15:15" x14ac:dyDescent="0.25">
      <c r="O27107" s="20" t="str">
        <f>IF(N27107="","",COUNTIFS(RawData[[Date ]],N27107,RawData[Month List],$Q$6,RawData[Tour/Site],$Q$2,RawData[[Picker ID ]],$Q$3,RawData[Checker ID],$Q$4,RawData[[Error Type ]],$Q$5))</f>
        <v/>
      </c>
    </row>
    <row r="27108" spans="15:15" x14ac:dyDescent="0.25">
      <c r="O27108" s="20" t="str">
        <f>IF(N27108="","",COUNTIFS(RawData[[Date ]],N27108,RawData[Month List],$Q$6,RawData[Tour/Site],$Q$2,RawData[[Picker ID ]],$Q$3,RawData[Checker ID],$Q$4,RawData[[Error Type ]],$Q$5))</f>
        <v/>
      </c>
    </row>
    <row r="27109" spans="15:15" x14ac:dyDescent="0.25">
      <c r="O27109" s="20" t="str">
        <f>IF(N27109="","",COUNTIFS(RawData[[Date ]],N27109,RawData[Month List],$Q$6,RawData[Tour/Site],$Q$2,RawData[[Picker ID ]],$Q$3,RawData[Checker ID],$Q$4,RawData[[Error Type ]],$Q$5))</f>
        <v/>
      </c>
    </row>
    <row r="27110" spans="15:15" x14ac:dyDescent="0.25">
      <c r="O27110" s="20" t="str">
        <f>IF(N27110="","",COUNTIFS(RawData[[Date ]],N27110,RawData[Month List],$Q$6,RawData[Tour/Site],$Q$2,RawData[[Picker ID ]],$Q$3,RawData[Checker ID],$Q$4,RawData[[Error Type ]],$Q$5))</f>
        <v/>
      </c>
    </row>
    <row r="27111" spans="15:15" x14ac:dyDescent="0.25">
      <c r="O27111" s="20" t="str">
        <f>IF(N27111="","",COUNTIFS(RawData[[Date ]],N27111,RawData[Month List],$Q$6,RawData[Tour/Site],$Q$2,RawData[[Picker ID ]],$Q$3,RawData[Checker ID],$Q$4,RawData[[Error Type ]],$Q$5))</f>
        <v/>
      </c>
    </row>
    <row r="27112" spans="15:15" x14ac:dyDescent="0.25">
      <c r="O27112" s="20" t="str">
        <f>IF(N27112="","",COUNTIFS(RawData[[Date ]],N27112,RawData[Month List],$Q$6,RawData[Tour/Site],$Q$2,RawData[[Picker ID ]],$Q$3,RawData[Checker ID],$Q$4,RawData[[Error Type ]],$Q$5))</f>
        <v/>
      </c>
    </row>
    <row r="27113" spans="15:15" x14ac:dyDescent="0.25">
      <c r="O27113" s="20" t="str">
        <f>IF(N27113="","",COUNTIFS(RawData[[Date ]],N27113,RawData[Month List],$Q$6,RawData[Tour/Site],$Q$2,RawData[[Picker ID ]],$Q$3,RawData[Checker ID],$Q$4,RawData[[Error Type ]],$Q$5))</f>
        <v/>
      </c>
    </row>
    <row r="27114" spans="15:15" x14ac:dyDescent="0.25">
      <c r="O27114" s="20" t="str">
        <f>IF(N27114="","",COUNTIFS(RawData[[Date ]],N27114,RawData[Month List],$Q$6,RawData[Tour/Site],$Q$2,RawData[[Picker ID ]],$Q$3,RawData[Checker ID],$Q$4,RawData[[Error Type ]],$Q$5))</f>
        <v/>
      </c>
    </row>
    <row r="27115" spans="15:15" x14ac:dyDescent="0.25">
      <c r="O27115" s="20" t="str">
        <f>IF(N27115="","",COUNTIFS(RawData[[Date ]],N27115,RawData[Month List],$Q$6,RawData[Tour/Site],$Q$2,RawData[[Picker ID ]],$Q$3,RawData[Checker ID],$Q$4,RawData[[Error Type ]],$Q$5))</f>
        <v/>
      </c>
    </row>
    <row r="27116" spans="15:15" x14ac:dyDescent="0.25">
      <c r="O27116" s="20" t="str">
        <f>IF(N27116="","",COUNTIFS(RawData[[Date ]],N27116,RawData[Month List],$Q$6,RawData[Tour/Site],$Q$2,RawData[[Picker ID ]],$Q$3,RawData[Checker ID],$Q$4,RawData[[Error Type ]],$Q$5))</f>
        <v/>
      </c>
    </row>
    <row r="27117" spans="15:15" x14ac:dyDescent="0.25">
      <c r="O27117" s="20" t="str">
        <f>IF(N27117="","",COUNTIFS(RawData[[Date ]],N27117,RawData[Month List],$Q$6,RawData[Tour/Site],$Q$2,RawData[[Picker ID ]],$Q$3,RawData[Checker ID],$Q$4,RawData[[Error Type ]],$Q$5))</f>
        <v/>
      </c>
    </row>
    <row r="27118" spans="15:15" x14ac:dyDescent="0.25">
      <c r="O27118" s="20" t="str">
        <f>IF(N27118="","",COUNTIFS(RawData[[Date ]],N27118,RawData[Month List],$Q$6,RawData[Tour/Site],$Q$2,RawData[[Picker ID ]],$Q$3,RawData[Checker ID],$Q$4,RawData[[Error Type ]],$Q$5))</f>
        <v/>
      </c>
    </row>
    <row r="27119" spans="15:15" x14ac:dyDescent="0.25">
      <c r="O27119" s="20" t="str">
        <f>IF(N27119="","",COUNTIFS(RawData[[Date ]],N27119,RawData[Month List],$Q$6,RawData[Tour/Site],$Q$2,RawData[[Picker ID ]],$Q$3,RawData[Checker ID],$Q$4,RawData[[Error Type ]],$Q$5))</f>
        <v/>
      </c>
    </row>
    <row r="27120" spans="15:15" x14ac:dyDescent="0.25">
      <c r="O27120" s="20" t="str">
        <f>IF(N27120="","",COUNTIFS(RawData[[Date ]],N27120,RawData[Month List],$Q$6,RawData[Tour/Site],$Q$2,RawData[[Picker ID ]],$Q$3,RawData[Checker ID],$Q$4,RawData[[Error Type ]],$Q$5))</f>
        <v/>
      </c>
    </row>
    <row r="27121" spans="15:15" x14ac:dyDescent="0.25">
      <c r="O27121" s="20" t="str">
        <f>IF(N27121="","",COUNTIFS(RawData[[Date ]],N27121,RawData[Month List],$Q$6,RawData[Tour/Site],$Q$2,RawData[[Picker ID ]],$Q$3,RawData[Checker ID],$Q$4,RawData[[Error Type ]],$Q$5))</f>
        <v/>
      </c>
    </row>
    <row r="27122" spans="15:15" x14ac:dyDescent="0.25">
      <c r="O27122" s="20" t="str">
        <f>IF(N27122="","",COUNTIFS(RawData[[Date ]],N27122,RawData[Month List],$Q$6,RawData[Tour/Site],$Q$2,RawData[[Picker ID ]],$Q$3,RawData[Checker ID],$Q$4,RawData[[Error Type ]],$Q$5))</f>
        <v/>
      </c>
    </row>
    <row r="27123" spans="15:15" x14ac:dyDescent="0.25">
      <c r="O27123" s="20" t="str">
        <f>IF(N27123="","",COUNTIFS(RawData[[Date ]],N27123,RawData[Month List],$Q$6,RawData[Tour/Site],$Q$2,RawData[[Picker ID ]],$Q$3,RawData[Checker ID],$Q$4,RawData[[Error Type ]],$Q$5))</f>
        <v/>
      </c>
    </row>
    <row r="27124" spans="15:15" x14ac:dyDescent="0.25">
      <c r="O27124" s="20" t="str">
        <f>IF(N27124="","",COUNTIFS(RawData[[Date ]],N27124,RawData[Month List],$Q$6,RawData[Tour/Site],$Q$2,RawData[[Picker ID ]],$Q$3,RawData[Checker ID],$Q$4,RawData[[Error Type ]],$Q$5))</f>
        <v/>
      </c>
    </row>
    <row r="27125" spans="15:15" x14ac:dyDescent="0.25">
      <c r="O27125" s="20" t="str">
        <f>IF(N27125="","",COUNTIFS(RawData[[Date ]],N27125,RawData[Month List],$Q$6,RawData[Tour/Site],$Q$2,RawData[[Picker ID ]],$Q$3,RawData[Checker ID],$Q$4,RawData[[Error Type ]],$Q$5))</f>
        <v/>
      </c>
    </row>
    <row r="27126" spans="15:15" x14ac:dyDescent="0.25">
      <c r="O27126" s="20" t="str">
        <f>IF(N27126="","",COUNTIFS(RawData[[Date ]],N27126,RawData[Month List],$Q$6,RawData[Tour/Site],$Q$2,RawData[[Picker ID ]],$Q$3,RawData[Checker ID],$Q$4,RawData[[Error Type ]],$Q$5))</f>
        <v/>
      </c>
    </row>
    <row r="27127" spans="15:15" x14ac:dyDescent="0.25">
      <c r="O27127" s="20" t="str">
        <f>IF(N27127="","",COUNTIFS(RawData[[Date ]],N27127,RawData[Month List],$Q$6,RawData[Tour/Site],$Q$2,RawData[[Picker ID ]],$Q$3,RawData[Checker ID],$Q$4,RawData[[Error Type ]],$Q$5))</f>
        <v/>
      </c>
    </row>
    <row r="27128" spans="15:15" x14ac:dyDescent="0.25">
      <c r="O27128" s="20" t="str">
        <f>IF(N27128="","",COUNTIFS(RawData[[Date ]],N27128,RawData[Month List],$Q$6,RawData[Tour/Site],$Q$2,RawData[[Picker ID ]],$Q$3,RawData[Checker ID],$Q$4,RawData[[Error Type ]],$Q$5))</f>
        <v/>
      </c>
    </row>
    <row r="27129" spans="15:15" x14ac:dyDescent="0.25">
      <c r="O27129" s="20" t="str">
        <f>IF(N27129="","",COUNTIFS(RawData[[Date ]],N27129,RawData[Month List],$Q$6,RawData[Tour/Site],$Q$2,RawData[[Picker ID ]],$Q$3,RawData[Checker ID],$Q$4,RawData[[Error Type ]],$Q$5))</f>
        <v/>
      </c>
    </row>
    <row r="27130" spans="15:15" x14ac:dyDescent="0.25">
      <c r="O27130" s="20" t="str">
        <f>IF(N27130="","",COUNTIFS(RawData[[Date ]],N27130,RawData[Month List],$Q$6,RawData[Tour/Site],$Q$2,RawData[[Picker ID ]],$Q$3,RawData[Checker ID],$Q$4,RawData[[Error Type ]],$Q$5))</f>
        <v/>
      </c>
    </row>
    <row r="27131" spans="15:15" x14ac:dyDescent="0.25">
      <c r="O27131" s="20" t="str">
        <f>IF(N27131="","",COUNTIFS(RawData[[Date ]],N27131,RawData[Month List],$Q$6,RawData[Tour/Site],$Q$2,RawData[[Picker ID ]],$Q$3,RawData[Checker ID],$Q$4,RawData[[Error Type ]],$Q$5))</f>
        <v/>
      </c>
    </row>
    <row r="27132" spans="15:15" x14ac:dyDescent="0.25">
      <c r="O27132" s="20" t="str">
        <f>IF(N27132="","",COUNTIFS(RawData[[Date ]],N27132,RawData[Month List],$Q$6,RawData[Tour/Site],$Q$2,RawData[[Picker ID ]],$Q$3,RawData[Checker ID],$Q$4,RawData[[Error Type ]],$Q$5))</f>
        <v/>
      </c>
    </row>
    <row r="27133" spans="15:15" x14ac:dyDescent="0.25">
      <c r="O27133" s="20" t="str">
        <f>IF(N27133="","",COUNTIFS(RawData[[Date ]],N27133,RawData[Month List],$Q$6,RawData[Tour/Site],$Q$2,RawData[[Picker ID ]],$Q$3,RawData[Checker ID],$Q$4,RawData[[Error Type ]],$Q$5))</f>
        <v/>
      </c>
    </row>
    <row r="27134" spans="15:15" x14ac:dyDescent="0.25">
      <c r="O27134" s="20" t="str">
        <f>IF(N27134="","",COUNTIFS(RawData[[Date ]],N27134,RawData[Month List],$Q$6,RawData[Tour/Site],$Q$2,RawData[[Picker ID ]],$Q$3,RawData[Checker ID],$Q$4,RawData[[Error Type ]],$Q$5))</f>
        <v/>
      </c>
    </row>
    <row r="27135" spans="15:15" x14ac:dyDescent="0.25">
      <c r="O27135" s="20" t="str">
        <f>IF(N27135="","",COUNTIFS(RawData[[Date ]],N27135,RawData[Month List],$Q$6,RawData[Tour/Site],$Q$2,RawData[[Picker ID ]],$Q$3,RawData[Checker ID],$Q$4,RawData[[Error Type ]],$Q$5))</f>
        <v/>
      </c>
    </row>
    <row r="27136" spans="15:15" x14ac:dyDescent="0.25">
      <c r="O27136" s="20" t="str">
        <f>IF(N27136="","",COUNTIFS(RawData[[Date ]],N27136,RawData[Month List],$Q$6,RawData[Tour/Site],$Q$2,RawData[[Picker ID ]],$Q$3,RawData[Checker ID],$Q$4,RawData[[Error Type ]],$Q$5))</f>
        <v/>
      </c>
    </row>
    <row r="27137" spans="15:15" x14ac:dyDescent="0.25">
      <c r="O27137" s="20" t="str">
        <f>IF(N27137="","",COUNTIFS(RawData[[Date ]],N27137,RawData[Month List],$Q$6,RawData[Tour/Site],$Q$2,RawData[[Picker ID ]],$Q$3,RawData[Checker ID],$Q$4,RawData[[Error Type ]],$Q$5))</f>
        <v/>
      </c>
    </row>
    <row r="27138" spans="15:15" x14ac:dyDescent="0.25">
      <c r="O27138" s="20" t="str">
        <f>IF(N27138="","",COUNTIFS(RawData[[Date ]],N27138,RawData[Month List],$Q$6,RawData[Tour/Site],$Q$2,RawData[[Picker ID ]],$Q$3,RawData[Checker ID],$Q$4,RawData[[Error Type ]],$Q$5))</f>
        <v/>
      </c>
    </row>
    <row r="27139" spans="15:15" x14ac:dyDescent="0.25">
      <c r="O27139" s="20" t="str">
        <f>IF(N27139="","",COUNTIFS(RawData[[Date ]],N27139,RawData[Month List],$Q$6,RawData[Tour/Site],$Q$2,RawData[[Picker ID ]],$Q$3,RawData[Checker ID],$Q$4,RawData[[Error Type ]],$Q$5))</f>
        <v/>
      </c>
    </row>
    <row r="27140" spans="15:15" x14ac:dyDescent="0.25">
      <c r="O27140" s="20" t="str">
        <f>IF(N27140="","",COUNTIFS(RawData[[Date ]],N27140,RawData[Month List],$Q$6,RawData[Tour/Site],$Q$2,RawData[[Picker ID ]],$Q$3,RawData[Checker ID],$Q$4,RawData[[Error Type ]],$Q$5))</f>
        <v/>
      </c>
    </row>
    <row r="27141" spans="15:15" x14ac:dyDescent="0.25">
      <c r="O27141" s="20" t="str">
        <f>IF(N27141="","",COUNTIFS(RawData[[Date ]],N27141,RawData[Month List],$Q$6,RawData[Tour/Site],$Q$2,RawData[[Picker ID ]],$Q$3,RawData[Checker ID],$Q$4,RawData[[Error Type ]],$Q$5))</f>
        <v/>
      </c>
    </row>
    <row r="27142" spans="15:15" x14ac:dyDescent="0.25">
      <c r="O27142" s="20" t="str">
        <f>IF(N27142="","",COUNTIFS(RawData[[Date ]],N27142,RawData[Month List],$Q$6,RawData[Tour/Site],$Q$2,RawData[[Picker ID ]],$Q$3,RawData[Checker ID],$Q$4,RawData[[Error Type ]],$Q$5))</f>
        <v/>
      </c>
    </row>
    <row r="27143" spans="15:15" x14ac:dyDescent="0.25">
      <c r="O27143" s="20" t="str">
        <f>IF(N27143="","",COUNTIFS(RawData[[Date ]],N27143,RawData[Month List],$Q$6,RawData[Tour/Site],$Q$2,RawData[[Picker ID ]],$Q$3,RawData[Checker ID],$Q$4,RawData[[Error Type ]],$Q$5))</f>
        <v/>
      </c>
    </row>
    <row r="27144" spans="15:15" x14ac:dyDescent="0.25">
      <c r="O27144" s="20" t="str">
        <f>IF(N27144="","",COUNTIFS(RawData[[Date ]],N27144,RawData[Month List],$Q$6,RawData[Tour/Site],$Q$2,RawData[[Picker ID ]],$Q$3,RawData[Checker ID],$Q$4,RawData[[Error Type ]],$Q$5))</f>
        <v/>
      </c>
    </row>
    <row r="27145" spans="15:15" x14ac:dyDescent="0.25">
      <c r="O27145" s="20" t="str">
        <f>IF(N27145="","",COUNTIFS(RawData[[Date ]],N27145,RawData[Month List],$Q$6,RawData[Tour/Site],$Q$2,RawData[[Picker ID ]],$Q$3,RawData[Checker ID],$Q$4,RawData[[Error Type ]],$Q$5))</f>
        <v/>
      </c>
    </row>
    <row r="27146" spans="15:15" x14ac:dyDescent="0.25">
      <c r="O27146" s="20" t="str">
        <f>IF(N27146="","",COUNTIFS(RawData[[Date ]],N27146,RawData[Month List],$Q$6,RawData[Tour/Site],$Q$2,RawData[[Picker ID ]],$Q$3,RawData[Checker ID],$Q$4,RawData[[Error Type ]],$Q$5))</f>
        <v/>
      </c>
    </row>
    <row r="27147" spans="15:15" x14ac:dyDescent="0.25">
      <c r="O27147" s="20" t="str">
        <f>IF(N27147="","",COUNTIFS(RawData[[Date ]],N27147,RawData[Month List],$Q$6,RawData[Tour/Site],$Q$2,RawData[[Picker ID ]],$Q$3,RawData[Checker ID],$Q$4,RawData[[Error Type ]],$Q$5))</f>
        <v/>
      </c>
    </row>
    <row r="27148" spans="15:15" x14ac:dyDescent="0.25">
      <c r="O27148" s="20" t="str">
        <f>IF(N27148="","",COUNTIFS(RawData[[Date ]],N27148,RawData[Month List],$Q$6,RawData[Tour/Site],$Q$2,RawData[[Picker ID ]],$Q$3,RawData[Checker ID],$Q$4,RawData[[Error Type ]],$Q$5))</f>
        <v/>
      </c>
    </row>
    <row r="27149" spans="15:15" x14ac:dyDescent="0.25">
      <c r="O27149" s="20" t="str">
        <f>IF(N27149="","",COUNTIFS(RawData[[Date ]],N27149,RawData[Month List],$Q$6,RawData[Tour/Site],$Q$2,RawData[[Picker ID ]],$Q$3,RawData[Checker ID],$Q$4,RawData[[Error Type ]],$Q$5))</f>
        <v/>
      </c>
    </row>
    <row r="27150" spans="15:15" x14ac:dyDescent="0.25">
      <c r="O27150" s="20" t="str">
        <f>IF(N27150="","",COUNTIFS(RawData[[Date ]],N27150,RawData[Month List],$Q$6,RawData[Tour/Site],$Q$2,RawData[[Picker ID ]],$Q$3,RawData[Checker ID],$Q$4,RawData[[Error Type ]],$Q$5))</f>
        <v/>
      </c>
    </row>
    <row r="27151" spans="15:15" x14ac:dyDescent="0.25">
      <c r="O27151" s="20" t="str">
        <f>IF(N27151="","",COUNTIFS(RawData[[Date ]],N27151,RawData[Month List],$Q$6,RawData[Tour/Site],$Q$2,RawData[[Picker ID ]],$Q$3,RawData[Checker ID],$Q$4,RawData[[Error Type ]],$Q$5))</f>
        <v/>
      </c>
    </row>
    <row r="27152" spans="15:15" x14ac:dyDescent="0.25">
      <c r="O27152" s="20" t="str">
        <f>IF(N27152="","",COUNTIFS(RawData[[Date ]],N27152,RawData[Month List],$Q$6,RawData[Tour/Site],$Q$2,RawData[[Picker ID ]],$Q$3,RawData[Checker ID],$Q$4,RawData[[Error Type ]],$Q$5))</f>
        <v/>
      </c>
    </row>
    <row r="27153" spans="15:15" x14ac:dyDescent="0.25">
      <c r="O27153" s="20" t="str">
        <f>IF(N27153="","",COUNTIFS(RawData[[Date ]],N27153,RawData[Month List],$Q$6,RawData[Tour/Site],$Q$2,RawData[[Picker ID ]],$Q$3,RawData[Checker ID],$Q$4,RawData[[Error Type ]],$Q$5))</f>
        <v/>
      </c>
    </row>
    <row r="27154" spans="15:15" x14ac:dyDescent="0.25">
      <c r="O27154" s="20" t="str">
        <f>IF(N27154="","",COUNTIFS(RawData[[Date ]],N27154,RawData[Month List],$Q$6,RawData[Tour/Site],$Q$2,RawData[[Picker ID ]],$Q$3,RawData[Checker ID],$Q$4,RawData[[Error Type ]],$Q$5))</f>
        <v/>
      </c>
    </row>
    <row r="27155" spans="15:15" x14ac:dyDescent="0.25">
      <c r="O27155" s="20" t="str">
        <f>IF(N27155="","",COUNTIFS(RawData[[Date ]],N27155,RawData[Month List],$Q$6,RawData[Tour/Site],$Q$2,RawData[[Picker ID ]],$Q$3,RawData[Checker ID],$Q$4,RawData[[Error Type ]],$Q$5))</f>
        <v/>
      </c>
    </row>
    <row r="27156" spans="15:15" x14ac:dyDescent="0.25">
      <c r="O27156" s="20" t="str">
        <f>IF(N27156="","",COUNTIFS(RawData[[Date ]],N27156,RawData[Month List],$Q$6,RawData[Tour/Site],$Q$2,RawData[[Picker ID ]],$Q$3,RawData[Checker ID],$Q$4,RawData[[Error Type ]],$Q$5))</f>
        <v/>
      </c>
    </row>
    <row r="27157" spans="15:15" x14ac:dyDescent="0.25">
      <c r="O27157" s="20" t="str">
        <f>IF(N27157="","",COUNTIFS(RawData[[Date ]],N27157,RawData[Month List],$Q$6,RawData[Tour/Site],$Q$2,RawData[[Picker ID ]],$Q$3,RawData[Checker ID],$Q$4,RawData[[Error Type ]],$Q$5))</f>
        <v/>
      </c>
    </row>
    <row r="27158" spans="15:15" x14ac:dyDescent="0.25">
      <c r="O27158" s="20" t="str">
        <f>IF(N27158="","",COUNTIFS(RawData[[Date ]],N27158,RawData[Month List],$Q$6,RawData[Tour/Site],$Q$2,RawData[[Picker ID ]],$Q$3,RawData[Checker ID],$Q$4,RawData[[Error Type ]],$Q$5))</f>
        <v/>
      </c>
    </row>
    <row r="27159" spans="15:15" x14ac:dyDescent="0.25">
      <c r="O27159" s="20" t="str">
        <f>IF(N27159="","",COUNTIFS(RawData[[Date ]],N27159,RawData[Month List],$Q$6,RawData[Tour/Site],$Q$2,RawData[[Picker ID ]],$Q$3,RawData[Checker ID],$Q$4,RawData[[Error Type ]],$Q$5))</f>
        <v/>
      </c>
    </row>
    <row r="27160" spans="15:15" x14ac:dyDescent="0.25">
      <c r="O27160" s="20" t="str">
        <f>IF(N27160="","",COUNTIFS(RawData[[Date ]],N27160,RawData[Month List],$Q$6,RawData[Tour/Site],$Q$2,RawData[[Picker ID ]],$Q$3,RawData[Checker ID],$Q$4,RawData[[Error Type ]],$Q$5))</f>
        <v/>
      </c>
    </row>
    <row r="27161" spans="15:15" x14ac:dyDescent="0.25">
      <c r="O27161" s="20" t="str">
        <f>IF(N27161="","",COUNTIFS(RawData[[Date ]],N27161,RawData[Month List],$Q$6,RawData[Tour/Site],$Q$2,RawData[[Picker ID ]],$Q$3,RawData[Checker ID],$Q$4,RawData[[Error Type ]],$Q$5))</f>
        <v/>
      </c>
    </row>
    <row r="27162" spans="15:15" x14ac:dyDescent="0.25">
      <c r="O27162" s="20" t="str">
        <f>IF(N27162="","",COUNTIFS(RawData[[Date ]],N27162,RawData[Month List],$Q$6,RawData[Tour/Site],$Q$2,RawData[[Picker ID ]],$Q$3,RawData[Checker ID],$Q$4,RawData[[Error Type ]],$Q$5))</f>
        <v/>
      </c>
    </row>
    <row r="27163" spans="15:15" x14ac:dyDescent="0.25">
      <c r="O27163" s="20" t="str">
        <f>IF(N27163="","",COUNTIFS(RawData[[Date ]],N27163,RawData[Month List],$Q$6,RawData[Tour/Site],$Q$2,RawData[[Picker ID ]],$Q$3,RawData[Checker ID],$Q$4,RawData[[Error Type ]],$Q$5))</f>
        <v/>
      </c>
    </row>
    <row r="27164" spans="15:15" x14ac:dyDescent="0.25">
      <c r="O27164" s="20" t="str">
        <f>IF(N27164="","",COUNTIFS(RawData[[Date ]],N27164,RawData[Month List],$Q$6,RawData[Tour/Site],$Q$2,RawData[[Picker ID ]],$Q$3,RawData[Checker ID],$Q$4,RawData[[Error Type ]],$Q$5))</f>
        <v/>
      </c>
    </row>
    <row r="27165" spans="15:15" x14ac:dyDescent="0.25">
      <c r="O27165" s="20" t="str">
        <f>IF(N27165="","",COUNTIFS(RawData[[Date ]],N27165,RawData[Month List],$Q$6,RawData[Tour/Site],$Q$2,RawData[[Picker ID ]],$Q$3,RawData[Checker ID],$Q$4,RawData[[Error Type ]],$Q$5))</f>
        <v/>
      </c>
    </row>
    <row r="27166" spans="15:15" x14ac:dyDescent="0.25">
      <c r="O27166" s="20" t="str">
        <f>IF(N27166="","",COUNTIFS(RawData[[Date ]],N27166,RawData[Month List],$Q$6,RawData[Tour/Site],$Q$2,RawData[[Picker ID ]],$Q$3,RawData[Checker ID],$Q$4,RawData[[Error Type ]],$Q$5))</f>
        <v/>
      </c>
    </row>
    <row r="27167" spans="15:15" x14ac:dyDescent="0.25">
      <c r="O27167" s="20" t="str">
        <f>IF(N27167="","",COUNTIFS(RawData[[Date ]],N27167,RawData[Month List],$Q$6,RawData[Tour/Site],$Q$2,RawData[[Picker ID ]],$Q$3,RawData[Checker ID],$Q$4,RawData[[Error Type ]],$Q$5))</f>
        <v/>
      </c>
    </row>
    <row r="27168" spans="15:15" x14ac:dyDescent="0.25">
      <c r="O27168" s="20" t="str">
        <f>IF(N27168="","",COUNTIFS(RawData[[Date ]],N27168,RawData[Month List],$Q$6,RawData[Tour/Site],$Q$2,RawData[[Picker ID ]],$Q$3,RawData[Checker ID],$Q$4,RawData[[Error Type ]],$Q$5))</f>
        <v/>
      </c>
    </row>
    <row r="27169" spans="15:15" x14ac:dyDescent="0.25">
      <c r="O27169" s="20" t="str">
        <f>IF(N27169="","",COUNTIFS(RawData[[Date ]],N27169,RawData[Month List],$Q$6,RawData[Tour/Site],$Q$2,RawData[[Picker ID ]],$Q$3,RawData[Checker ID],$Q$4,RawData[[Error Type ]],$Q$5))</f>
        <v/>
      </c>
    </row>
    <row r="27170" spans="15:15" x14ac:dyDescent="0.25">
      <c r="O27170" s="20" t="str">
        <f>IF(N27170="","",COUNTIFS(RawData[[Date ]],N27170,RawData[Month List],$Q$6,RawData[Tour/Site],$Q$2,RawData[[Picker ID ]],$Q$3,RawData[Checker ID],$Q$4,RawData[[Error Type ]],$Q$5))</f>
        <v/>
      </c>
    </row>
    <row r="27171" spans="15:15" x14ac:dyDescent="0.25">
      <c r="O27171" s="20" t="str">
        <f>IF(N27171="","",COUNTIFS(RawData[[Date ]],N27171,RawData[Month List],$Q$6,RawData[Tour/Site],$Q$2,RawData[[Picker ID ]],$Q$3,RawData[Checker ID],$Q$4,RawData[[Error Type ]],$Q$5))</f>
        <v/>
      </c>
    </row>
    <row r="27172" spans="15:15" x14ac:dyDescent="0.25">
      <c r="O27172" s="20" t="str">
        <f>IF(N27172="","",COUNTIFS(RawData[[Date ]],N27172,RawData[Month List],$Q$6,RawData[Tour/Site],$Q$2,RawData[[Picker ID ]],$Q$3,RawData[Checker ID],$Q$4,RawData[[Error Type ]],$Q$5))</f>
        <v/>
      </c>
    </row>
    <row r="27173" spans="15:15" x14ac:dyDescent="0.25">
      <c r="O27173" s="20" t="str">
        <f>IF(N27173="","",COUNTIFS(RawData[[Date ]],N27173,RawData[Month List],$Q$6,RawData[Tour/Site],$Q$2,RawData[[Picker ID ]],$Q$3,RawData[Checker ID],$Q$4,RawData[[Error Type ]],$Q$5))</f>
        <v/>
      </c>
    </row>
    <row r="27174" spans="15:15" x14ac:dyDescent="0.25">
      <c r="O27174" s="20" t="str">
        <f>IF(N27174="","",COUNTIFS(RawData[[Date ]],N27174,RawData[Month List],$Q$6,RawData[Tour/Site],$Q$2,RawData[[Picker ID ]],$Q$3,RawData[Checker ID],$Q$4,RawData[[Error Type ]],$Q$5))</f>
        <v/>
      </c>
    </row>
    <row r="27175" spans="15:15" x14ac:dyDescent="0.25">
      <c r="O27175" s="20" t="str">
        <f>IF(N27175="","",COUNTIFS(RawData[[Date ]],N27175,RawData[Month List],$Q$6,RawData[Tour/Site],$Q$2,RawData[[Picker ID ]],$Q$3,RawData[Checker ID],$Q$4,RawData[[Error Type ]],$Q$5))</f>
        <v/>
      </c>
    </row>
    <row r="27176" spans="15:15" x14ac:dyDescent="0.25">
      <c r="O27176" s="20" t="str">
        <f>IF(N27176="","",COUNTIFS(RawData[[Date ]],N27176,RawData[Month List],$Q$6,RawData[Tour/Site],$Q$2,RawData[[Picker ID ]],$Q$3,RawData[Checker ID],$Q$4,RawData[[Error Type ]],$Q$5))</f>
        <v/>
      </c>
    </row>
    <row r="27177" spans="15:15" x14ac:dyDescent="0.25">
      <c r="O27177" s="20" t="str">
        <f>IF(N27177="","",COUNTIFS(RawData[[Date ]],N27177,RawData[Month List],$Q$6,RawData[Tour/Site],$Q$2,RawData[[Picker ID ]],$Q$3,RawData[Checker ID],$Q$4,RawData[[Error Type ]],$Q$5))</f>
        <v/>
      </c>
    </row>
    <row r="27178" spans="15:15" x14ac:dyDescent="0.25">
      <c r="O27178" s="20" t="str">
        <f>IF(N27178="","",COUNTIFS(RawData[[Date ]],N27178,RawData[Month List],$Q$6,RawData[Tour/Site],$Q$2,RawData[[Picker ID ]],$Q$3,RawData[Checker ID],$Q$4,RawData[[Error Type ]],$Q$5))</f>
        <v/>
      </c>
    </row>
    <row r="27179" spans="15:15" x14ac:dyDescent="0.25">
      <c r="O27179" s="20" t="str">
        <f>IF(N27179="","",COUNTIFS(RawData[[Date ]],N27179,RawData[Month List],$Q$6,RawData[Tour/Site],$Q$2,RawData[[Picker ID ]],$Q$3,RawData[Checker ID],$Q$4,RawData[[Error Type ]],$Q$5))</f>
        <v/>
      </c>
    </row>
    <row r="27180" spans="15:15" x14ac:dyDescent="0.25">
      <c r="O27180" s="20" t="str">
        <f>IF(N27180="","",COUNTIFS(RawData[[Date ]],N27180,RawData[Month List],$Q$6,RawData[Tour/Site],$Q$2,RawData[[Picker ID ]],$Q$3,RawData[Checker ID],$Q$4,RawData[[Error Type ]],$Q$5))</f>
        <v/>
      </c>
    </row>
    <row r="27181" spans="15:15" x14ac:dyDescent="0.25">
      <c r="O27181" s="20" t="str">
        <f>IF(N27181="","",COUNTIFS(RawData[[Date ]],N27181,RawData[Month List],$Q$6,RawData[Tour/Site],$Q$2,RawData[[Picker ID ]],$Q$3,RawData[Checker ID],$Q$4,RawData[[Error Type ]],$Q$5))</f>
        <v/>
      </c>
    </row>
    <row r="27182" spans="15:15" x14ac:dyDescent="0.25">
      <c r="O27182" s="20" t="str">
        <f>IF(N27182="","",COUNTIFS(RawData[[Date ]],N27182,RawData[Month List],$Q$6,RawData[Tour/Site],$Q$2,RawData[[Picker ID ]],$Q$3,RawData[Checker ID],$Q$4,RawData[[Error Type ]],$Q$5))</f>
        <v/>
      </c>
    </row>
    <row r="27183" spans="15:15" x14ac:dyDescent="0.25">
      <c r="O27183" s="20" t="str">
        <f>IF(N27183="","",COUNTIFS(RawData[[Date ]],N27183,RawData[Month List],$Q$6,RawData[Tour/Site],$Q$2,RawData[[Picker ID ]],$Q$3,RawData[Checker ID],$Q$4,RawData[[Error Type ]],$Q$5))</f>
        <v/>
      </c>
    </row>
    <row r="27184" spans="15:15" x14ac:dyDescent="0.25">
      <c r="O27184" s="20" t="str">
        <f>IF(N27184="","",COUNTIFS(RawData[[Date ]],N27184,RawData[Month List],$Q$6,RawData[Tour/Site],$Q$2,RawData[[Picker ID ]],$Q$3,RawData[Checker ID],$Q$4,RawData[[Error Type ]],$Q$5))</f>
        <v/>
      </c>
    </row>
    <row r="27185" spans="15:15" x14ac:dyDescent="0.25">
      <c r="O27185" s="20" t="str">
        <f>IF(N27185="","",COUNTIFS(RawData[[Date ]],N27185,RawData[Month List],$Q$6,RawData[Tour/Site],$Q$2,RawData[[Picker ID ]],$Q$3,RawData[Checker ID],$Q$4,RawData[[Error Type ]],$Q$5))</f>
        <v/>
      </c>
    </row>
    <row r="27186" spans="15:15" x14ac:dyDescent="0.25">
      <c r="O27186" s="20" t="str">
        <f>IF(N27186="","",COUNTIFS(RawData[[Date ]],N27186,RawData[Month List],$Q$6,RawData[Tour/Site],$Q$2,RawData[[Picker ID ]],$Q$3,RawData[Checker ID],$Q$4,RawData[[Error Type ]],$Q$5))</f>
        <v/>
      </c>
    </row>
    <row r="27187" spans="15:15" x14ac:dyDescent="0.25">
      <c r="O27187" s="20" t="str">
        <f>IF(N27187="","",COUNTIFS(RawData[[Date ]],N27187,RawData[Month List],$Q$6,RawData[Tour/Site],$Q$2,RawData[[Picker ID ]],$Q$3,RawData[Checker ID],$Q$4,RawData[[Error Type ]],$Q$5))</f>
        <v/>
      </c>
    </row>
    <row r="27188" spans="15:15" x14ac:dyDescent="0.25">
      <c r="O27188" s="20" t="str">
        <f>IF(N27188="","",COUNTIFS(RawData[[Date ]],N27188,RawData[Month List],$Q$6,RawData[Tour/Site],$Q$2,RawData[[Picker ID ]],$Q$3,RawData[Checker ID],$Q$4,RawData[[Error Type ]],$Q$5))</f>
        <v/>
      </c>
    </row>
    <row r="27189" spans="15:15" x14ac:dyDescent="0.25">
      <c r="O27189" s="20" t="str">
        <f>IF(N27189="","",COUNTIFS(RawData[[Date ]],N27189,RawData[Month List],$Q$6,RawData[Tour/Site],$Q$2,RawData[[Picker ID ]],$Q$3,RawData[Checker ID],$Q$4,RawData[[Error Type ]],$Q$5))</f>
        <v/>
      </c>
    </row>
    <row r="27190" spans="15:15" x14ac:dyDescent="0.25">
      <c r="O27190" s="20" t="str">
        <f>IF(N27190="","",COUNTIFS(RawData[[Date ]],N27190,RawData[Month List],$Q$6,RawData[Tour/Site],$Q$2,RawData[[Picker ID ]],$Q$3,RawData[Checker ID],$Q$4,RawData[[Error Type ]],$Q$5))</f>
        <v/>
      </c>
    </row>
    <row r="27191" spans="15:15" x14ac:dyDescent="0.25">
      <c r="O27191" s="20" t="str">
        <f>IF(N27191="","",COUNTIFS(RawData[[Date ]],N27191,RawData[Month List],$Q$6,RawData[Tour/Site],$Q$2,RawData[[Picker ID ]],$Q$3,RawData[Checker ID],$Q$4,RawData[[Error Type ]],$Q$5))</f>
        <v/>
      </c>
    </row>
    <row r="27192" spans="15:15" x14ac:dyDescent="0.25">
      <c r="O27192" s="20" t="str">
        <f>IF(N27192="","",COUNTIFS(RawData[[Date ]],N27192,RawData[Month List],$Q$6,RawData[Tour/Site],$Q$2,RawData[[Picker ID ]],$Q$3,RawData[Checker ID],$Q$4,RawData[[Error Type ]],$Q$5))</f>
        <v/>
      </c>
    </row>
    <row r="27193" spans="15:15" x14ac:dyDescent="0.25">
      <c r="O27193" s="20" t="str">
        <f>IF(N27193="","",COUNTIFS(RawData[[Date ]],N27193,RawData[Month List],$Q$6,RawData[Tour/Site],$Q$2,RawData[[Picker ID ]],$Q$3,RawData[Checker ID],$Q$4,RawData[[Error Type ]],$Q$5))</f>
        <v/>
      </c>
    </row>
    <row r="27194" spans="15:15" x14ac:dyDescent="0.25">
      <c r="O27194" s="20" t="str">
        <f>IF(N27194="","",COUNTIFS(RawData[[Date ]],N27194,RawData[Month List],$Q$6,RawData[Tour/Site],$Q$2,RawData[[Picker ID ]],$Q$3,RawData[Checker ID],$Q$4,RawData[[Error Type ]],$Q$5))</f>
        <v/>
      </c>
    </row>
    <row r="27195" spans="15:15" x14ac:dyDescent="0.25">
      <c r="O27195" s="20" t="str">
        <f>IF(N27195="","",COUNTIFS(RawData[[Date ]],N27195,RawData[Month List],$Q$6,RawData[Tour/Site],$Q$2,RawData[[Picker ID ]],$Q$3,RawData[Checker ID],$Q$4,RawData[[Error Type ]],$Q$5))</f>
        <v/>
      </c>
    </row>
    <row r="27196" spans="15:15" x14ac:dyDescent="0.25">
      <c r="O27196" s="20" t="str">
        <f>IF(N27196="","",COUNTIFS(RawData[[Date ]],N27196,RawData[Month List],$Q$6,RawData[Tour/Site],$Q$2,RawData[[Picker ID ]],$Q$3,RawData[Checker ID],$Q$4,RawData[[Error Type ]],$Q$5))</f>
        <v/>
      </c>
    </row>
    <row r="27197" spans="15:15" x14ac:dyDescent="0.25">
      <c r="O27197" s="20" t="str">
        <f>IF(N27197="","",COUNTIFS(RawData[[Date ]],N27197,RawData[Month List],$Q$6,RawData[Tour/Site],$Q$2,RawData[[Picker ID ]],$Q$3,RawData[Checker ID],$Q$4,RawData[[Error Type ]],$Q$5))</f>
        <v/>
      </c>
    </row>
    <row r="27198" spans="15:15" x14ac:dyDescent="0.25">
      <c r="O27198" s="20" t="str">
        <f>IF(N27198="","",COUNTIFS(RawData[[Date ]],N27198,RawData[Month List],$Q$6,RawData[Tour/Site],$Q$2,RawData[[Picker ID ]],$Q$3,RawData[Checker ID],$Q$4,RawData[[Error Type ]],$Q$5))</f>
        <v/>
      </c>
    </row>
    <row r="27199" spans="15:15" x14ac:dyDescent="0.25">
      <c r="O27199" s="20" t="str">
        <f>IF(N27199="","",COUNTIFS(RawData[[Date ]],N27199,RawData[Month List],$Q$6,RawData[Tour/Site],$Q$2,RawData[[Picker ID ]],$Q$3,RawData[Checker ID],$Q$4,RawData[[Error Type ]],$Q$5))</f>
        <v/>
      </c>
    </row>
    <row r="27200" spans="15:15" x14ac:dyDescent="0.25">
      <c r="O27200" s="20" t="str">
        <f>IF(N27200="","",COUNTIFS(RawData[[Date ]],N27200,RawData[Month List],$Q$6,RawData[Tour/Site],$Q$2,RawData[[Picker ID ]],$Q$3,RawData[Checker ID],$Q$4,RawData[[Error Type ]],$Q$5))</f>
        <v/>
      </c>
    </row>
    <row r="27201" spans="15:15" x14ac:dyDescent="0.25">
      <c r="O27201" s="20" t="str">
        <f>IF(N27201="","",COUNTIFS(RawData[[Date ]],N27201,RawData[Month List],$Q$6,RawData[Tour/Site],$Q$2,RawData[[Picker ID ]],$Q$3,RawData[Checker ID],$Q$4,RawData[[Error Type ]],$Q$5))</f>
        <v/>
      </c>
    </row>
    <row r="27202" spans="15:15" x14ac:dyDescent="0.25">
      <c r="O27202" s="20" t="str">
        <f>IF(N27202="","",COUNTIFS(RawData[[Date ]],N27202,RawData[Month List],$Q$6,RawData[Tour/Site],$Q$2,RawData[[Picker ID ]],$Q$3,RawData[Checker ID],$Q$4,RawData[[Error Type ]],$Q$5))</f>
        <v/>
      </c>
    </row>
    <row r="27203" spans="15:15" x14ac:dyDescent="0.25">
      <c r="O27203" s="20" t="str">
        <f>IF(N27203="","",COUNTIFS(RawData[[Date ]],N27203,RawData[Month List],$Q$6,RawData[Tour/Site],$Q$2,RawData[[Picker ID ]],$Q$3,RawData[Checker ID],$Q$4,RawData[[Error Type ]],$Q$5))</f>
        <v/>
      </c>
    </row>
    <row r="27204" spans="15:15" x14ac:dyDescent="0.25">
      <c r="O27204" s="20" t="str">
        <f>IF(N27204="","",COUNTIFS(RawData[[Date ]],N27204,RawData[Month List],$Q$6,RawData[Tour/Site],$Q$2,RawData[[Picker ID ]],$Q$3,RawData[Checker ID],$Q$4,RawData[[Error Type ]],$Q$5))</f>
        <v/>
      </c>
    </row>
    <row r="27205" spans="15:15" x14ac:dyDescent="0.25">
      <c r="O27205" s="20" t="str">
        <f>IF(N27205="","",COUNTIFS(RawData[[Date ]],N27205,RawData[Month List],$Q$6,RawData[Tour/Site],$Q$2,RawData[[Picker ID ]],$Q$3,RawData[Checker ID],$Q$4,RawData[[Error Type ]],$Q$5))</f>
        <v/>
      </c>
    </row>
    <row r="27206" spans="15:15" x14ac:dyDescent="0.25">
      <c r="O27206" s="20" t="str">
        <f>IF(N27206="","",COUNTIFS(RawData[[Date ]],N27206,RawData[Month List],$Q$6,RawData[Tour/Site],$Q$2,RawData[[Picker ID ]],$Q$3,RawData[Checker ID],$Q$4,RawData[[Error Type ]],$Q$5))</f>
        <v/>
      </c>
    </row>
    <row r="27207" spans="15:15" x14ac:dyDescent="0.25">
      <c r="O27207" s="20" t="str">
        <f>IF(N27207="","",COUNTIFS(RawData[[Date ]],N27207,RawData[Month List],$Q$6,RawData[Tour/Site],$Q$2,RawData[[Picker ID ]],$Q$3,RawData[Checker ID],$Q$4,RawData[[Error Type ]],$Q$5))</f>
        <v/>
      </c>
    </row>
    <row r="27208" spans="15:15" x14ac:dyDescent="0.25">
      <c r="O27208" s="20" t="str">
        <f>IF(N27208="","",COUNTIFS(RawData[[Date ]],N27208,RawData[Month List],$Q$6,RawData[Tour/Site],$Q$2,RawData[[Picker ID ]],$Q$3,RawData[Checker ID],$Q$4,RawData[[Error Type ]],$Q$5))</f>
        <v/>
      </c>
    </row>
    <row r="27209" spans="15:15" x14ac:dyDescent="0.25">
      <c r="O27209" s="20" t="str">
        <f>IF(N27209="","",COUNTIFS(RawData[[Date ]],N27209,RawData[Month List],$Q$6,RawData[Tour/Site],$Q$2,RawData[[Picker ID ]],$Q$3,RawData[Checker ID],$Q$4,RawData[[Error Type ]],$Q$5))</f>
        <v/>
      </c>
    </row>
    <row r="27210" spans="15:15" x14ac:dyDescent="0.25">
      <c r="O27210" s="20" t="str">
        <f>IF(N27210="","",COUNTIFS(RawData[[Date ]],N27210,RawData[Month List],$Q$6,RawData[Tour/Site],$Q$2,RawData[[Picker ID ]],$Q$3,RawData[Checker ID],$Q$4,RawData[[Error Type ]],$Q$5))</f>
        <v/>
      </c>
    </row>
    <row r="27211" spans="15:15" x14ac:dyDescent="0.25">
      <c r="O27211" s="20" t="str">
        <f>IF(N27211="","",COUNTIFS(RawData[[Date ]],N27211,RawData[Month List],$Q$6,RawData[Tour/Site],$Q$2,RawData[[Picker ID ]],$Q$3,RawData[Checker ID],$Q$4,RawData[[Error Type ]],$Q$5))</f>
        <v/>
      </c>
    </row>
    <row r="27212" spans="15:15" x14ac:dyDescent="0.25">
      <c r="O27212" s="20" t="str">
        <f>IF(N27212="","",COUNTIFS(RawData[[Date ]],N27212,RawData[Month List],$Q$6,RawData[Tour/Site],$Q$2,RawData[[Picker ID ]],$Q$3,RawData[Checker ID],$Q$4,RawData[[Error Type ]],$Q$5))</f>
        <v/>
      </c>
    </row>
    <row r="27213" spans="15:15" x14ac:dyDescent="0.25">
      <c r="O27213" s="20" t="str">
        <f>IF(N27213="","",COUNTIFS(RawData[[Date ]],N27213,RawData[Month List],$Q$6,RawData[Tour/Site],$Q$2,RawData[[Picker ID ]],$Q$3,RawData[Checker ID],$Q$4,RawData[[Error Type ]],$Q$5))</f>
        <v/>
      </c>
    </row>
    <row r="27214" spans="15:15" x14ac:dyDescent="0.25">
      <c r="O27214" s="20" t="str">
        <f>IF(N27214="","",COUNTIFS(RawData[[Date ]],N27214,RawData[Month List],$Q$6,RawData[Tour/Site],$Q$2,RawData[[Picker ID ]],$Q$3,RawData[Checker ID],$Q$4,RawData[[Error Type ]],$Q$5))</f>
        <v/>
      </c>
    </row>
    <row r="27215" spans="15:15" x14ac:dyDescent="0.25">
      <c r="O27215" s="20" t="str">
        <f>IF(N27215="","",COUNTIFS(RawData[[Date ]],N27215,RawData[Month List],$Q$6,RawData[Tour/Site],$Q$2,RawData[[Picker ID ]],$Q$3,RawData[Checker ID],$Q$4,RawData[[Error Type ]],$Q$5))</f>
        <v/>
      </c>
    </row>
    <row r="27216" spans="15:15" x14ac:dyDescent="0.25">
      <c r="O27216" s="20" t="str">
        <f>IF(N27216="","",COUNTIFS(RawData[[Date ]],N27216,RawData[Month List],$Q$6,RawData[Tour/Site],$Q$2,RawData[[Picker ID ]],$Q$3,RawData[Checker ID],$Q$4,RawData[[Error Type ]],$Q$5))</f>
        <v/>
      </c>
    </row>
    <row r="27217" spans="15:15" x14ac:dyDescent="0.25">
      <c r="O27217" s="20" t="str">
        <f>IF(N27217="","",COUNTIFS(RawData[[Date ]],N27217,RawData[Month List],$Q$6,RawData[Tour/Site],$Q$2,RawData[[Picker ID ]],$Q$3,RawData[Checker ID],$Q$4,RawData[[Error Type ]],$Q$5))</f>
        <v/>
      </c>
    </row>
    <row r="27218" spans="15:15" x14ac:dyDescent="0.25">
      <c r="O27218" s="20" t="str">
        <f>IF(N27218="","",COUNTIFS(RawData[[Date ]],N27218,RawData[Month List],$Q$6,RawData[Tour/Site],$Q$2,RawData[[Picker ID ]],$Q$3,RawData[Checker ID],$Q$4,RawData[[Error Type ]],$Q$5))</f>
        <v/>
      </c>
    </row>
    <row r="27219" spans="15:15" x14ac:dyDescent="0.25">
      <c r="O27219" s="20" t="str">
        <f>IF(N27219="","",COUNTIFS(RawData[[Date ]],N27219,RawData[Month List],$Q$6,RawData[Tour/Site],$Q$2,RawData[[Picker ID ]],$Q$3,RawData[Checker ID],$Q$4,RawData[[Error Type ]],$Q$5))</f>
        <v/>
      </c>
    </row>
    <row r="27220" spans="15:15" x14ac:dyDescent="0.25">
      <c r="O27220" s="20" t="str">
        <f>IF(N27220="","",COUNTIFS(RawData[[Date ]],N27220,RawData[Month List],$Q$6,RawData[Tour/Site],$Q$2,RawData[[Picker ID ]],$Q$3,RawData[Checker ID],$Q$4,RawData[[Error Type ]],$Q$5))</f>
        <v/>
      </c>
    </row>
    <row r="27221" spans="15:15" x14ac:dyDescent="0.25">
      <c r="O27221" s="20" t="str">
        <f>IF(N27221="","",COUNTIFS(RawData[[Date ]],N27221,RawData[Month List],$Q$6,RawData[Tour/Site],$Q$2,RawData[[Picker ID ]],$Q$3,RawData[Checker ID],$Q$4,RawData[[Error Type ]],$Q$5))</f>
        <v/>
      </c>
    </row>
    <row r="27222" spans="15:15" x14ac:dyDescent="0.25">
      <c r="O27222" s="20" t="str">
        <f>IF(N27222="","",COUNTIFS(RawData[[Date ]],N27222,RawData[Month List],$Q$6,RawData[Tour/Site],$Q$2,RawData[[Picker ID ]],$Q$3,RawData[Checker ID],$Q$4,RawData[[Error Type ]],$Q$5))</f>
        <v/>
      </c>
    </row>
    <row r="27223" spans="15:15" x14ac:dyDescent="0.25">
      <c r="O27223" s="20" t="str">
        <f>IF(N27223="","",COUNTIFS(RawData[[Date ]],N27223,RawData[Month List],$Q$6,RawData[Tour/Site],$Q$2,RawData[[Picker ID ]],$Q$3,RawData[Checker ID],$Q$4,RawData[[Error Type ]],$Q$5))</f>
        <v/>
      </c>
    </row>
    <row r="27224" spans="15:15" x14ac:dyDescent="0.25">
      <c r="O27224" s="20" t="str">
        <f>IF(N27224="","",COUNTIFS(RawData[[Date ]],N27224,RawData[Month List],$Q$6,RawData[Tour/Site],$Q$2,RawData[[Picker ID ]],$Q$3,RawData[Checker ID],$Q$4,RawData[[Error Type ]],$Q$5))</f>
        <v/>
      </c>
    </row>
    <row r="27225" spans="15:15" x14ac:dyDescent="0.25">
      <c r="O27225" s="20" t="str">
        <f>IF(N27225="","",COUNTIFS(RawData[[Date ]],N27225,RawData[Month List],$Q$6,RawData[Tour/Site],$Q$2,RawData[[Picker ID ]],$Q$3,RawData[Checker ID],$Q$4,RawData[[Error Type ]],$Q$5))</f>
        <v/>
      </c>
    </row>
    <row r="27226" spans="15:15" x14ac:dyDescent="0.25">
      <c r="O27226" s="20" t="str">
        <f>IF(N27226="","",COUNTIFS(RawData[[Date ]],N27226,RawData[Month List],$Q$6,RawData[Tour/Site],$Q$2,RawData[[Picker ID ]],$Q$3,RawData[Checker ID],$Q$4,RawData[[Error Type ]],$Q$5))</f>
        <v/>
      </c>
    </row>
    <row r="27227" spans="15:15" x14ac:dyDescent="0.25">
      <c r="O27227" s="20" t="str">
        <f>IF(N27227="","",COUNTIFS(RawData[[Date ]],N27227,RawData[Month List],$Q$6,RawData[Tour/Site],$Q$2,RawData[[Picker ID ]],$Q$3,RawData[Checker ID],$Q$4,RawData[[Error Type ]],$Q$5))</f>
        <v/>
      </c>
    </row>
    <row r="27228" spans="15:15" x14ac:dyDescent="0.25">
      <c r="O27228" s="20" t="str">
        <f>IF(N27228="","",COUNTIFS(RawData[[Date ]],N27228,RawData[Month List],$Q$6,RawData[Tour/Site],$Q$2,RawData[[Picker ID ]],$Q$3,RawData[Checker ID],$Q$4,RawData[[Error Type ]],$Q$5))</f>
        <v/>
      </c>
    </row>
    <row r="27229" spans="15:15" x14ac:dyDescent="0.25">
      <c r="O27229" s="20" t="str">
        <f>IF(N27229="","",COUNTIFS(RawData[[Date ]],N27229,RawData[Month List],$Q$6,RawData[Tour/Site],$Q$2,RawData[[Picker ID ]],$Q$3,RawData[Checker ID],$Q$4,RawData[[Error Type ]],$Q$5))</f>
        <v/>
      </c>
    </row>
    <row r="27230" spans="15:15" x14ac:dyDescent="0.25">
      <c r="O27230" s="20" t="str">
        <f>IF(N27230="","",COUNTIFS(RawData[[Date ]],N27230,RawData[Month List],$Q$6,RawData[Tour/Site],$Q$2,RawData[[Picker ID ]],$Q$3,RawData[Checker ID],$Q$4,RawData[[Error Type ]],$Q$5))</f>
        <v/>
      </c>
    </row>
    <row r="27231" spans="15:15" x14ac:dyDescent="0.25">
      <c r="O27231" s="20" t="str">
        <f>IF(N27231="","",COUNTIFS(RawData[[Date ]],N27231,RawData[Month List],$Q$6,RawData[Tour/Site],$Q$2,RawData[[Picker ID ]],$Q$3,RawData[Checker ID],$Q$4,RawData[[Error Type ]],$Q$5))</f>
        <v/>
      </c>
    </row>
    <row r="27232" spans="15:15" x14ac:dyDescent="0.25">
      <c r="O27232" s="20" t="str">
        <f>IF(N27232="","",COUNTIFS(RawData[[Date ]],N27232,RawData[Month List],$Q$6,RawData[Tour/Site],$Q$2,RawData[[Picker ID ]],$Q$3,RawData[Checker ID],$Q$4,RawData[[Error Type ]],$Q$5))</f>
        <v/>
      </c>
    </row>
    <row r="27233" spans="15:15" x14ac:dyDescent="0.25">
      <c r="O27233" s="20" t="str">
        <f>IF(N27233="","",COUNTIFS(RawData[[Date ]],N27233,RawData[Month List],$Q$6,RawData[Tour/Site],$Q$2,RawData[[Picker ID ]],$Q$3,RawData[Checker ID],$Q$4,RawData[[Error Type ]],$Q$5))</f>
        <v/>
      </c>
    </row>
    <row r="27234" spans="15:15" x14ac:dyDescent="0.25">
      <c r="O27234" s="20" t="str">
        <f>IF(N27234="","",COUNTIFS(RawData[[Date ]],N27234,RawData[Month List],$Q$6,RawData[Tour/Site],$Q$2,RawData[[Picker ID ]],$Q$3,RawData[Checker ID],$Q$4,RawData[[Error Type ]],$Q$5))</f>
        <v/>
      </c>
    </row>
    <row r="27235" spans="15:15" x14ac:dyDescent="0.25">
      <c r="O27235" s="20" t="str">
        <f>IF(N27235="","",COUNTIFS(RawData[[Date ]],N27235,RawData[Month List],$Q$6,RawData[Tour/Site],$Q$2,RawData[[Picker ID ]],$Q$3,RawData[Checker ID],$Q$4,RawData[[Error Type ]],$Q$5))</f>
        <v/>
      </c>
    </row>
    <row r="27236" spans="15:15" x14ac:dyDescent="0.25">
      <c r="O27236" s="20" t="str">
        <f>IF(N27236="","",COUNTIFS(RawData[[Date ]],N27236,RawData[Month List],$Q$6,RawData[Tour/Site],$Q$2,RawData[[Picker ID ]],$Q$3,RawData[Checker ID],$Q$4,RawData[[Error Type ]],$Q$5))</f>
        <v/>
      </c>
    </row>
    <row r="27237" spans="15:15" x14ac:dyDescent="0.25">
      <c r="O27237" s="20" t="str">
        <f>IF(N27237="","",COUNTIFS(RawData[[Date ]],N27237,RawData[Month List],$Q$6,RawData[Tour/Site],$Q$2,RawData[[Picker ID ]],$Q$3,RawData[Checker ID],$Q$4,RawData[[Error Type ]],$Q$5))</f>
        <v/>
      </c>
    </row>
    <row r="27238" spans="15:15" x14ac:dyDescent="0.25">
      <c r="O27238" s="20" t="str">
        <f>IF(N27238="","",COUNTIFS(RawData[[Date ]],N27238,RawData[Month List],$Q$6,RawData[Tour/Site],$Q$2,RawData[[Picker ID ]],$Q$3,RawData[Checker ID],$Q$4,RawData[[Error Type ]],$Q$5))</f>
        <v/>
      </c>
    </row>
    <row r="27239" spans="15:15" x14ac:dyDescent="0.25">
      <c r="O27239" s="20" t="str">
        <f>IF(N27239="","",COUNTIFS(RawData[[Date ]],N27239,RawData[Month List],$Q$6,RawData[Tour/Site],$Q$2,RawData[[Picker ID ]],$Q$3,RawData[Checker ID],$Q$4,RawData[[Error Type ]],$Q$5))</f>
        <v/>
      </c>
    </row>
    <row r="27240" spans="15:15" x14ac:dyDescent="0.25">
      <c r="O27240" s="20" t="str">
        <f>IF(N27240="","",COUNTIFS(RawData[[Date ]],N27240,RawData[Month List],$Q$6,RawData[Tour/Site],$Q$2,RawData[[Picker ID ]],$Q$3,RawData[Checker ID],$Q$4,RawData[[Error Type ]],$Q$5))</f>
        <v/>
      </c>
    </row>
    <row r="27241" spans="15:15" x14ac:dyDescent="0.25">
      <c r="O27241" s="20" t="str">
        <f>IF(N27241="","",COUNTIFS(RawData[[Date ]],N27241,RawData[Month List],$Q$6,RawData[Tour/Site],$Q$2,RawData[[Picker ID ]],$Q$3,RawData[Checker ID],$Q$4,RawData[[Error Type ]],$Q$5))</f>
        <v/>
      </c>
    </row>
    <row r="27242" spans="15:15" x14ac:dyDescent="0.25">
      <c r="O27242" s="20" t="str">
        <f>IF(N27242="","",COUNTIFS(RawData[[Date ]],N27242,RawData[Month List],$Q$6,RawData[Tour/Site],$Q$2,RawData[[Picker ID ]],$Q$3,RawData[Checker ID],$Q$4,RawData[[Error Type ]],$Q$5))</f>
        <v/>
      </c>
    </row>
    <row r="27243" spans="15:15" x14ac:dyDescent="0.25">
      <c r="O27243" s="20" t="str">
        <f>IF(N27243="","",COUNTIFS(RawData[[Date ]],N27243,RawData[Month List],$Q$6,RawData[Tour/Site],$Q$2,RawData[[Picker ID ]],$Q$3,RawData[Checker ID],$Q$4,RawData[[Error Type ]],$Q$5))</f>
        <v/>
      </c>
    </row>
    <row r="27244" spans="15:15" x14ac:dyDescent="0.25">
      <c r="O27244" s="20" t="str">
        <f>IF(N27244="","",COUNTIFS(RawData[[Date ]],N27244,RawData[Month List],$Q$6,RawData[Tour/Site],$Q$2,RawData[[Picker ID ]],$Q$3,RawData[Checker ID],$Q$4,RawData[[Error Type ]],$Q$5))</f>
        <v/>
      </c>
    </row>
    <row r="27245" spans="15:15" x14ac:dyDescent="0.25">
      <c r="O27245" s="20" t="str">
        <f>IF(N27245="","",COUNTIFS(RawData[[Date ]],N27245,RawData[Month List],$Q$6,RawData[Tour/Site],$Q$2,RawData[[Picker ID ]],$Q$3,RawData[Checker ID],$Q$4,RawData[[Error Type ]],$Q$5))</f>
        <v/>
      </c>
    </row>
    <row r="27246" spans="15:15" x14ac:dyDescent="0.25">
      <c r="O27246" s="20" t="str">
        <f>IF(N27246="","",COUNTIFS(RawData[[Date ]],N27246,RawData[Month List],$Q$6,RawData[Tour/Site],$Q$2,RawData[[Picker ID ]],$Q$3,RawData[Checker ID],$Q$4,RawData[[Error Type ]],$Q$5))</f>
        <v/>
      </c>
    </row>
    <row r="27247" spans="15:15" x14ac:dyDescent="0.25">
      <c r="O27247" s="20" t="str">
        <f>IF(N27247="","",COUNTIFS(RawData[[Date ]],N27247,RawData[Month List],$Q$6,RawData[Tour/Site],$Q$2,RawData[[Picker ID ]],$Q$3,RawData[Checker ID],$Q$4,RawData[[Error Type ]],$Q$5))</f>
        <v/>
      </c>
    </row>
    <row r="27248" spans="15:15" x14ac:dyDescent="0.25">
      <c r="O27248" s="20" t="str">
        <f>IF(N27248="","",COUNTIFS(RawData[[Date ]],N27248,RawData[Month List],$Q$6,RawData[Tour/Site],$Q$2,RawData[[Picker ID ]],$Q$3,RawData[Checker ID],$Q$4,RawData[[Error Type ]],$Q$5))</f>
        <v/>
      </c>
    </row>
    <row r="27249" spans="15:15" x14ac:dyDescent="0.25">
      <c r="O27249" s="20" t="str">
        <f>IF(N27249="","",COUNTIFS(RawData[[Date ]],N27249,RawData[Month List],$Q$6,RawData[Tour/Site],$Q$2,RawData[[Picker ID ]],$Q$3,RawData[Checker ID],$Q$4,RawData[[Error Type ]],$Q$5))</f>
        <v/>
      </c>
    </row>
    <row r="27250" spans="15:15" x14ac:dyDescent="0.25">
      <c r="O27250" s="20" t="str">
        <f>IF(N27250="","",COUNTIFS(RawData[[Date ]],N27250,RawData[Month List],$Q$6,RawData[Tour/Site],$Q$2,RawData[[Picker ID ]],$Q$3,RawData[Checker ID],$Q$4,RawData[[Error Type ]],$Q$5))</f>
        <v/>
      </c>
    </row>
    <row r="27251" spans="15:15" x14ac:dyDescent="0.25">
      <c r="O27251" s="20" t="str">
        <f>IF(N27251="","",COUNTIFS(RawData[[Date ]],N27251,RawData[Month List],$Q$6,RawData[Tour/Site],$Q$2,RawData[[Picker ID ]],$Q$3,RawData[Checker ID],$Q$4,RawData[[Error Type ]],$Q$5))</f>
        <v/>
      </c>
    </row>
    <row r="27252" spans="15:15" x14ac:dyDescent="0.25">
      <c r="O27252" s="20" t="str">
        <f>IF(N27252="","",COUNTIFS(RawData[[Date ]],N27252,RawData[Month List],$Q$6,RawData[Tour/Site],$Q$2,RawData[[Picker ID ]],$Q$3,RawData[Checker ID],$Q$4,RawData[[Error Type ]],$Q$5))</f>
        <v/>
      </c>
    </row>
    <row r="27253" spans="15:15" x14ac:dyDescent="0.25">
      <c r="O27253" s="20" t="str">
        <f>IF(N27253="","",COUNTIFS(RawData[[Date ]],N27253,RawData[Month List],$Q$6,RawData[Tour/Site],$Q$2,RawData[[Picker ID ]],$Q$3,RawData[Checker ID],$Q$4,RawData[[Error Type ]],$Q$5))</f>
        <v/>
      </c>
    </row>
    <row r="27254" spans="15:15" x14ac:dyDescent="0.25">
      <c r="O27254" s="20" t="str">
        <f>IF(N27254="","",COUNTIFS(RawData[[Date ]],N27254,RawData[Month List],$Q$6,RawData[Tour/Site],$Q$2,RawData[[Picker ID ]],$Q$3,RawData[Checker ID],$Q$4,RawData[[Error Type ]],$Q$5))</f>
        <v/>
      </c>
    </row>
    <row r="27255" spans="15:15" x14ac:dyDescent="0.25">
      <c r="O27255" s="20" t="str">
        <f>IF(N27255="","",COUNTIFS(RawData[[Date ]],N27255,RawData[Month List],$Q$6,RawData[Tour/Site],$Q$2,RawData[[Picker ID ]],$Q$3,RawData[Checker ID],$Q$4,RawData[[Error Type ]],$Q$5))</f>
        <v/>
      </c>
    </row>
    <row r="27256" spans="15:15" x14ac:dyDescent="0.25">
      <c r="O27256" s="20" t="str">
        <f>IF(N27256="","",COUNTIFS(RawData[[Date ]],N27256,RawData[Month List],$Q$6,RawData[Tour/Site],$Q$2,RawData[[Picker ID ]],$Q$3,RawData[Checker ID],$Q$4,RawData[[Error Type ]],$Q$5))</f>
        <v/>
      </c>
    </row>
    <row r="27257" spans="15:15" x14ac:dyDescent="0.25">
      <c r="O27257" s="20" t="str">
        <f>IF(N27257="","",COUNTIFS(RawData[[Date ]],N27257,RawData[Month List],$Q$6,RawData[Tour/Site],$Q$2,RawData[[Picker ID ]],$Q$3,RawData[Checker ID],$Q$4,RawData[[Error Type ]],$Q$5))</f>
        <v/>
      </c>
    </row>
    <row r="27258" spans="15:15" x14ac:dyDescent="0.25">
      <c r="O27258" s="20" t="str">
        <f>IF(N27258="","",COUNTIFS(RawData[[Date ]],N27258,RawData[Month List],$Q$6,RawData[Tour/Site],$Q$2,RawData[[Picker ID ]],$Q$3,RawData[Checker ID],$Q$4,RawData[[Error Type ]],$Q$5))</f>
        <v/>
      </c>
    </row>
    <row r="27259" spans="15:15" x14ac:dyDescent="0.25">
      <c r="O27259" s="20" t="str">
        <f>IF(N27259="","",COUNTIFS(RawData[[Date ]],N27259,RawData[Month List],$Q$6,RawData[Tour/Site],$Q$2,RawData[[Picker ID ]],$Q$3,RawData[Checker ID],$Q$4,RawData[[Error Type ]],$Q$5))</f>
        <v/>
      </c>
    </row>
    <row r="27260" spans="15:15" x14ac:dyDescent="0.25">
      <c r="O27260" s="20" t="str">
        <f>IF(N27260="","",COUNTIFS(RawData[[Date ]],N27260,RawData[Month List],$Q$6,RawData[Tour/Site],$Q$2,RawData[[Picker ID ]],$Q$3,RawData[Checker ID],$Q$4,RawData[[Error Type ]],$Q$5))</f>
        <v/>
      </c>
    </row>
    <row r="27261" spans="15:15" x14ac:dyDescent="0.25">
      <c r="O27261" s="20" t="str">
        <f>IF(N27261="","",COUNTIFS(RawData[[Date ]],N27261,RawData[Month List],$Q$6,RawData[Tour/Site],$Q$2,RawData[[Picker ID ]],$Q$3,RawData[Checker ID],$Q$4,RawData[[Error Type ]],$Q$5))</f>
        <v/>
      </c>
    </row>
    <row r="27262" spans="15:15" x14ac:dyDescent="0.25">
      <c r="O27262" s="20" t="str">
        <f>IF(N27262="","",COUNTIFS(RawData[[Date ]],N27262,RawData[Month List],$Q$6,RawData[Tour/Site],$Q$2,RawData[[Picker ID ]],$Q$3,RawData[Checker ID],$Q$4,RawData[[Error Type ]],$Q$5))</f>
        <v/>
      </c>
    </row>
    <row r="27263" spans="15:15" x14ac:dyDescent="0.25">
      <c r="O27263" s="20" t="str">
        <f>IF(N27263="","",COUNTIFS(RawData[[Date ]],N27263,RawData[Month List],$Q$6,RawData[Tour/Site],$Q$2,RawData[[Picker ID ]],$Q$3,RawData[Checker ID],$Q$4,RawData[[Error Type ]],$Q$5))</f>
        <v/>
      </c>
    </row>
    <row r="27264" spans="15:15" x14ac:dyDescent="0.25">
      <c r="O27264" s="20" t="str">
        <f>IF(N27264="","",COUNTIFS(RawData[[Date ]],N27264,RawData[Month List],$Q$6,RawData[Tour/Site],$Q$2,RawData[[Picker ID ]],$Q$3,RawData[Checker ID],$Q$4,RawData[[Error Type ]],$Q$5))</f>
        <v/>
      </c>
    </row>
    <row r="27265" spans="15:15" x14ac:dyDescent="0.25">
      <c r="O27265" s="20" t="str">
        <f>IF(N27265="","",COUNTIFS(RawData[[Date ]],N27265,RawData[Month List],$Q$6,RawData[Tour/Site],$Q$2,RawData[[Picker ID ]],$Q$3,RawData[Checker ID],$Q$4,RawData[[Error Type ]],$Q$5))</f>
        <v/>
      </c>
    </row>
    <row r="27266" spans="15:15" x14ac:dyDescent="0.25">
      <c r="O27266" s="20" t="str">
        <f>IF(N27266="","",COUNTIFS(RawData[[Date ]],N27266,RawData[Month List],$Q$6,RawData[Tour/Site],$Q$2,RawData[[Picker ID ]],$Q$3,RawData[Checker ID],$Q$4,RawData[[Error Type ]],$Q$5))</f>
        <v/>
      </c>
    </row>
    <row r="27267" spans="15:15" x14ac:dyDescent="0.25">
      <c r="O27267" s="20" t="str">
        <f>IF(N27267="","",COUNTIFS(RawData[[Date ]],N27267,RawData[Month List],$Q$6,RawData[Tour/Site],$Q$2,RawData[[Picker ID ]],$Q$3,RawData[Checker ID],$Q$4,RawData[[Error Type ]],$Q$5))</f>
        <v/>
      </c>
    </row>
    <row r="27268" spans="15:15" x14ac:dyDescent="0.25">
      <c r="O27268" s="20" t="str">
        <f>IF(N27268="","",COUNTIFS(RawData[[Date ]],N27268,RawData[Month List],$Q$6,RawData[Tour/Site],$Q$2,RawData[[Picker ID ]],$Q$3,RawData[Checker ID],$Q$4,RawData[[Error Type ]],$Q$5))</f>
        <v/>
      </c>
    </row>
    <row r="27269" spans="15:15" x14ac:dyDescent="0.25">
      <c r="O27269" s="20" t="str">
        <f>IF(N27269="","",COUNTIFS(RawData[[Date ]],N27269,RawData[Month List],$Q$6,RawData[Tour/Site],$Q$2,RawData[[Picker ID ]],$Q$3,RawData[Checker ID],$Q$4,RawData[[Error Type ]],$Q$5))</f>
        <v/>
      </c>
    </row>
    <row r="27270" spans="15:15" x14ac:dyDescent="0.25">
      <c r="O27270" s="20" t="str">
        <f>IF(N27270="","",COUNTIFS(RawData[[Date ]],N27270,RawData[Month List],$Q$6,RawData[Tour/Site],$Q$2,RawData[[Picker ID ]],$Q$3,RawData[Checker ID],$Q$4,RawData[[Error Type ]],$Q$5))</f>
        <v/>
      </c>
    </row>
    <row r="27271" spans="15:15" x14ac:dyDescent="0.25">
      <c r="O27271" s="20" t="str">
        <f>IF(N27271="","",COUNTIFS(RawData[[Date ]],N27271,RawData[Month List],$Q$6,RawData[Tour/Site],$Q$2,RawData[[Picker ID ]],$Q$3,RawData[Checker ID],$Q$4,RawData[[Error Type ]],$Q$5))</f>
        <v/>
      </c>
    </row>
    <row r="27272" spans="15:15" x14ac:dyDescent="0.25">
      <c r="O27272" s="20" t="str">
        <f>IF(N27272="","",COUNTIFS(RawData[[Date ]],N27272,RawData[Month List],$Q$6,RawData[Tour/Site],$Q$2,RawData[[Picker ID ]],$Q$3,RawData[Checker ID],$Q$4,RawData[[Error Type ]],$Q$5))</f>
        <v/>
      </c>
    </row>
    <row r="27273" spans="15:15" x14ac:dyDescent="0.25">
      <c r="O27273" s="20" t="str">
        <f>IF(N27273="","",COUNTIFS(RawData[[Date ]],N27273,RawData[Month List],$Q$6,RawData[Tour/Site],$Q$2,RawData[[Picker ID ]],$Q$3,RawData[Checker ID],$Q$4,RawData[[Error Type ]],$Q$5))</f>
        <v/>
      </c>
    </row>
    <row r="27274" spans="15:15" x14ac:dyDescent="0.25">
      <c r="O27274" s="20" t="str">
        <f>IF(N27274="","",COUNTIFS(RawData[[Date ]],N27274,RawData[Month List],$Q$6,RawData[Tour/Site],$Q$2,RawData[[Picker ID ]],$Q$3,RawData[Checker ID],$Q$4,RawData[[Error Type ]],$Q$5))</f>
        <v/>
      </c>
    </row>
    <row r="27275" spans="15:15" x14ac:dyDescent="0.25">
      <c r="O27275" s="20" t="str">
        <f>IF(N27275="","",COUNTIFS(RawData[[Date ]],N27275,RawData[Month List],$Q$6,RawData[Tour/Site],$Q$2,RawData[[Picker ID ]],$Q$3,RawData[Checker ID],$Q$4,RawData[[Error Type ]],$Q$5))</f>
        <v/>
      </c>
    </row>
    <row r="27276" spans="15:15" x14ac:dyDescent="0.25">
      <c r="O27276" s="20" t="str">
        <f>IF(N27276="","",COUNTIFS(RawData[[Date ]],N27276,RawData[Month List],$Q$6,RawData[Tour/Site],$Q$2,RawData[[Picker ID ]],$Q$3,RawData[Checker ID],$Q$4,RawData[[Error Type ]],$Q$5))</f>
        <v/>
      </c>
    </row>
    <row r="27277" spans="15:15" x14ac:dyDescent="0.25">
      <c r="O27277" s="20" t="str">
        <f>IF(N27277="","",COUNTIFS(RawData[[Date ]],N27277,RawData[Month List],$Q$6,RawData[Tour/Site],$Q$2,RawData[[Picker ID ]],$Q$3,RawData[Checker ID],$Q$4,RawData[[Error Type ]],$Q$5))</f>
        <v/>
      </c>
    </row>
    <row r="27278" spans="15:15" x14ac:dyDescent="0.25">
      <c r="O27278" s="20" t="str">
        <f>IF(N27278="","",COUNTIFS(RawData[[Date ]],N27278,RawData[Month List],$Q$6,RawData[Tour/Site],$Q$2,RawData[[Picker ID ]],$Q$3,RawData[Checker ID],$Q$4,RawData[[Error Type ]],$Q$5))</f>
        <v/>
      </c>
    </row>
    <row r="27279" spans="15:15" x14ac:dyDescent="0.25">
      <c r="O27279" s="20" t="str">
        <f>IF(N27279="","",COUNTIFS(RawData[[Date ]],N27279,RawData[Month List],$Q$6,RawData[Tour/Site],$Q$2,RawData[[Picker ID ]],$Q$3,RawData[Checker ID],$Q$4,RawData[[Error Type ]],$Q$5))</f>
        <v/>
      </c>
    </row>
    <row r="27280" spans="15:15" x14ac:dyDescent="0.25">
      <c r="O27280" s="20" t="str">
        <f>IF(N27280="","",COUNTIFS(RawData[[Date ]],N27280,RawData[Month List],$Q$6,RawData[Tour/Site],$Q$2,RawData[[Picker ID ]],$Q$3,RawData[Checker ID],$Q$4,RawData[[Error Type ]],$Q$5))</f>
        <v/>
      </c>
    </row>
    <row r="27281" spans="15:15" x14ac:dyDescent="0.25">
      <c r="O27281" s="20" t="str">
        <f>IF(N27281="","",COUNTIFS(RawData[[Date ]],N27281,RawData[Month List],$Q$6,RawData[Tour/Site],$Q$2,RawData[[Picker ID ]],$Q$3,RawData[Checker ID],$Q$4,RawData[[Error Type ]],$Q$5))</f>
        <v/>
      </c>
    </row>
    <row r="27282" spans="15:15" x14ac:dyDescent="0.25">
      <c r="O27282" s="20" t="str">
        <f>IF(N27282="","",COUNTIFS(RawData[[Date ]],N27282,RawData[Month List],$Q$6,RawData[Tour/Site],$Q$2,RawData[[Picker ID ]],$Q$3,RawData[Checker ID],$Q$4,RawData[[Error Type ]],$Q$5))</f>
        <v/>
      </c>
    </row>
    <row r="27283" spans="15:15" x14ac:dyDescent="0.25">
      <c r="O27283" s="20" t="str">
        <f>IF(N27283="","",COUNTIFS(RawData[[Date ]],N27283,RawData[Month List],$Q$6,RawData[Tour/Site],$Q$2,RawData[[Picker ID ]],$Q$3,RawData[Checker ID],$Q$4,RawData[[Error Type ]],$Q$5))</f>
        <v/>
      </c>
    </row>
    <row r="27284" spans="15:15" x14ac:dyDescent="0.25">
      <c r="O27284" s="20" t="str">
        <f>IF(N27284="","",COUNTIFS(RawData[[Date ]],N27284,RawData[Month List],$Q$6,RawData[Tour/Site],$Q$2,RawData[[Picker ID ]],$Q$3,RawData[Checker ID],$Q$4,RawData[[Error Type ]],$Q$5))</f>
        <v/>
      </c>
    </row>
    <row r="27285" spans="15:15" x14ac:dyDescent="0.25">
      <c r="O27285" s="20" t="str">
        <f>IF(N27285="","",COUNTIFS(RawData[[Date ]],N27285,RawData[Month List],$Q$6,RawData[Tour/Site],$Q$2,RawData[[Picker ID ]],$Q$3,RawData[Checker ID],$Q$4,RawData[[Error Type ]],$Q$5))</f>
        <v/>
      </c>
    </row>
    <row r="27286" spans="15:15" x14ac:dyDescent="0.25">
      <c r="O27286" s="20" t="str">
        <f>IF(N27286="","",COUNTIFS(RawData[[Date ]],N27286,RawData[Month List],$Q$6,RawData[Tour/Site],$Q$2,RawData[[Picker ID ]],$Q$3,RawData[Checker ID],$Q$4,RawData[[Error Type ]],$Q$5))</f>
        <v/>
      </c>
    </row>
    <row r="27287" spans="15:15" x14ac:dyDescent="0.25">
      <c r="O27287" s="20" t="str">
        <f>IF(N27287="","",COUNTIFS(RawData[[Date ]],N27287,RawData[Month List],$Q$6,RawData[Tour/Site],$Q$2,RawData[[Picker ID ]],$Q$3,RawData[Checker ID],$Q$4,RawData[[Error Type ]],$Q$5))</f>
        <v/>
      </c>
    </row>
    <row r="27288" spans="15:15" x14ac:dyDescent="0.25">
      <c r="O27288" s="20" t="str">
        <f>IF(N27288="","",COUNTIFS(RawData[[Date ]],N27288,RawData[Month List],$Q$6,RawData[Tour/Site],$Q$2,RawData[[Picker ID ]],$Q$3,RawData[Checker ID],$Q$4,RawData[[Error Type ]],$Q$5))</f>
        <v/>
      </c>
    </row>
    <row r="27289" spans="15:15" x14ac:dyDescent="0.25">
      <c r="O27289" s="20" t="str">
        <f>IF(N27289="","",COUNTIFS(RawData[[Date ]],N27289,RawData[Month List],$Q$6,RawData[Tour/Site],$Q$2,RawData[[Picker ID ]],$Q$3,RawData[Checker ID],$Q$4,RawData[[Error Type ]],$Q$5))</f>
        <v/>
      </c>
    </row>
    <row r="27290" spans="15:15" x14ac:dyDescent="0.25">
      <c r="O27290" s="20" t="str">
        <f>IF(N27290="","",COUNTIFS(RawData[[Date ]],N27290,RawData[Month List],$Q$6,RawData[Tour/Site],$Q$2,RawData[[Picker ID ]],$Q$3,RawData[Checker ID],$Q$4,RawData[[Error Type ]],$Q$5))</f>
        <v/>
      </c>
    </row>
    <row r="27291" spans="15:15" x14ac:dyDescent="0.25">
      <c r="O27291" s="20" t="str">
        <f>IF(N27291="","",COUNTIFS(RawData[[Date ]],N27291,RawData[Month List],$Q$6,RawData[Tour/Site],$Q$2,RawData[[Picker ID ]],$Q$3,RawData[Checker ID],$Q$4,RawData[[Error Type ]],$Q$5))</f>
        <v/>
      </c>
    </row>
    <row r="27292" spans="15:15" x14ac:dyDescent="0.25">
      <c r="O27292" s="20" t="str">
        <f>IF(N27292="","",COUNTIFS(RawData[[Date ]],N27292,RawData[Month List],$Q$6,RawData[Tour/Site],$Q$2,RawData[[Picker ID ]],$Q$3,RawData[Checker ID],$Q$4,RawData[[Error Type ]],$Q$5))</f>
        <v/>
      </c>
    </row>
    <row r="27293" spans="15:15" x14ac:dyDescent="0.25">
      <c r="O27293" s="20" t="str">
        <f>IF(N27293="","",COUNTIFS(RawData[[Date ]],N27293,RawData[Month List],$Q$6,RawData[Tour/Site],$Q$2,RawData[[Picker ID ]],$Q$3,RawData[Checker ID],$Q$4,RawData[[Error Type ]],$Q$5))</f>
        <v/>
      </c>
    </row>
    <row r="27294" spans="15:15" x14ac:dyDescent="0.25">
      <c r="O27294" s="20" t="str">
        <f>IF(N27294="","",COUNTIFS(RawData[[Date ]],N27294,RawData[Month List],$Q$6,RawData[Tour/Site],$Q$2,RawData[[Picker ID ]],$Q$3,RawData[Checker ID],$Q$4,RawData[[Error Type ]],$Q$5))</f>
        <v/>
      </c>
    </row>
    <row r="27295" spans="15:15" x14ac:dyDescent="0.25">
      <c r="O27295" s="20" t="str">
        <f>IF(N27295="","",COUNTIFS(RawData[[Date ]],N27295,RawData[Month List],$Q$6,RawData[Tour/Site],$Q$2,RawData[[Picker ID ]],$Q$3,RawData[Checker ID],$Q$4,RawData[[Error Type ]],$Q$5))</f>
        <v/>
      </c>
    </row>
    <row r="27296" spans="15:15" x14ac:dyDescent="0.25">
      <c r="O27296" s="20" t="str">
        <f>IF(N27296="","",COUNTIFS(RawData[[Date ]],N27296,RawData[Month List],$Q$6,RawData[Tour/Site],$Q$2,RawData[[Picker ID ]],$Q$3,RawData[Checker ID],$Q$4,RawData[[Error Type ]],$Q$5))</f>
        <v/>
      </c>
    </row>
    <row r="27297" spans="15:15" x14ac:dyDescent="0.25">
      <c r="O27297" s="20" t="str">
        <f>IF(N27297="","",COUNTIFS(RawData[[Date ]],N27297,RawData[Month List],$Q$6,RawData[Tour/Site],$Q$2,RawData[[Picker ID ]],$Q$3,RawData[Checker ID],$Q$4,RawData[[Error Type ]],$Q$5))</f>
        <v/>
      </c>
    </row>
    <row r="27298" spans="15:15" x14ac:dyDescent="0.25">
      <c r="O27298" s="20" t="str">
        <f>IF(N27298="","",COUNTIFS(RawData[[Date ]],N27298,RawData[Month List],$Q$6,RawData[Tour/Site],$Q$2,RawData[[Picker ID ]],$Q$3,RawData[Checker ID],$Q$4,RawData[[Error Type ]],$Q$5))</f>
        <v/>
      </c>
    </row>
    <row r="27299" spans="15:15" x14ac:dyDescent="0.25">
      <c r="O27299" s="20" t="str">
        <f>IF(N27299="","",COUNTIFS(RawData[[Date ]],N27299,RawData[Month List],$Q$6,RawData[Tour/Site],$Q$2,RawData[[Picker ID ]],$Q$3,RawData[Checker ID],$Q$4,RawData[[Error Type ]],$Q$5))</f>
        <v/>
      </c>
    </row>
    <row r="27300" spans="15:15" x14ac:dyDescent="0.25">
      <c r="O27300" s="20" t="str">
        <f>IF(N27300="","",COUNTIFS(RawData[[Date ]],N27300,RawData[Month List],$Q$6,RawData[Tour/Site],$Q$2,RawData[[Picker ID ]],$Q$3,RawData[Checker ID],$Q$4,RawData[[Error Type ]],$Q$5))</f>
        <v/>
      </c>
    </row>
    <row r="27301" spans="15:15" x14ac:dyDescent="0.25">
      <c r="O27301" s="20" t="str">
        <f>IF(N27301="","",COUNTIFS(RawData[[Date ]],N27301,RawData[Month List],$Q$6,RawData[Tour/Site],$Q$2,RawData[[Picker ID ]],$Q$3,RawData[Checker ID],$Q$4,RawData[[Error Type ]],$Q$5))</f>
        <v/>
      </c>
    </row>
    <row r="27302" spans="15:15" x14ac:dyDescent="0.25">
      <c r="O27302" s="20" t="str">
        <f>IF(N27302="","",COUNTIFS(RawData[[Date ]],N27302,RawData[Month List],$Q$6,RawData[Tour/Site],$Q$2,RawData[[Picker ID ]],$Q$3,RawData[Checker ID],$Q$4,RawData[[Error Type ]],$Q$5))</f>
        <v/>
      </c>
    </row>
    <row r="27303" spans="15:15" x14ac:dyDescent="0.25">
      <c r="O27303" s="20" t="str">
        <f>IF(N27303="","",COUNTIFS(RawData[[Date ]],N27303,RawData[Month List],$Q$6,RawData[Tour/Site],$Q$2,RawData[[Picker ID ]],$Q$3,RawData[Checker ID],$Q$4,RawData[[Error Type ]],$Q$5))</f>
        <v/>
      </c>
    </row>
    <row r="27304" spans="15:15" x14ac:dyDescent="0.25">
      <c r="O27304" s="20" t="str">
        <f>IF(N27304="","",COUNTIFS(RawData[[Date ]],N27304,RawData[Month List],$Q$6,RawData[Tour/Site],$Q$2,RawData[[Picker ID ]],$Q$3,RawData[Checker ID],$Q$4,RawData[[Error Type ]],$Q$5))</f>
        <v/>
      </c>
    </row>
    <row r="27305" spans="15:15" x14ac:dyDescent="0.25">
      <c r="O27305" s="20" t="str">
        <f>IF(N27305="","",COUNTIFS(RawData[[Date ]],N27305,RawData[Month List],$Q$6,RawData[Tour/Site],$Q$2,RawData[[Picker ID ]],$Q$3,RawData[Checker ID],$Q$4,RawData[[Error Type ]],$Q$5))</f>
        <v/>
      </c>
    </row>
    <row r="27306" spans="15:15" x14ac:dyDescent="0.25">
      <c r="O27306" s="20" t="str">
        <f>IF(N27306="","",COUNTIFS(RawData[[Date ]],N27306,RawData[Month List],$Q$6,RawData[Tour/Site],$Q$2,RawData[[Picker ID ]],$Q$3,RawData[Checker ID],$Q$4,RawData[[Error Type ]],$Q$5))</f>
        <v/>
      </c>
    </row>
    <row r="27307" spans="15:15" x14ac:dyDescent="0.25">
      <c r="O27307" s="20" t="str">
        <f>IF(N27307="","",COUNTIFS(RawData[[Date ]],N27307,RawData[Month List],$Q$6,RawData[Tour/Site],$Q$2,RawData[[Picker ID ]],$Q$3,RawData[Checker ID],$Q$4,RawData[[Error Type ]],$Q$5))</f>
        <v/>
      </c>
    </row>
    <row r="27308" spans="15:15" x14ac:dyDescent="0.25">
      <c r="O27308" s="20" t="str">
        <f>IF(N27308="","",COUNTIFS(RawData[[Date ]],N27308,RawData[Month List],$Q$6,RawData[Tour/Site],$Q$2,RawData[[Picker ID ]],$Q$3,RawData[Checker ID],$Q$4,RawData[[Error Type ]],$Q$5))</f>
        <v/>
      </c>
    </row>
    <row r="27309" spans="15:15" x14ac:dyDescent="0.25">
      <c r="O27309" s="20" t="str">
        <f>IF(N27309="","",COUNTIFS(RawData[[Date ]],N27309,RawData[Month List],$Q$6,RawData[Tour/Site],$Q$2,RawData[[Picker ID ]],$Q$3,RawData[Checker ID],$Q$4,RawData[[Error Type ]],$Q$5))</f>
        <v/>
      </c>
    </row>
    <row r="27310" spans="15:15" x14ac:dyDescent="0.25">
      <c r="O27310" s="20" t="str">
        <f>IF(N27310="","",COUNTIFS(RawData[[Date ]],N27310,RawData[Month List],$Q$6,RawData[Tour/Site],$Q$2,RawData[[Picker ID ]],$Q$3,RawData[Checker ID],$Q$4,RawData[[Error Type ]],$Q$5))</f>
        <v/>
      </c>
    </row>
    <row r="27311" spans="15:15" x14ac:dyDescent="0.25">
      <c r="O27311" s="20" t="str">
        <f>IF(N27311="","",COUNTIFS(RawData[[Date ]],N27311,RawData[Month List],$Q$6,RawData[Tour/Site],$Q$2,RawData[[Picker ID ]],$Q$3,RawData[Checker ID],$Q$4,RawData[[Error Type ]],$Q$5))</f>
        <v/>
      </c>
    </row>
    <row r="27312" spans="15:15" x14ac:dyDescent="0.25">
      <c r="O27312" s="20" t="str">
        <f>IF(N27312="","",COUNTIFS(RawData[[Date ]],N27312,RawData[Month List],$Q$6,RawData[Tour/Site],$Q$2,RawData[[Picker ID ]],$Q$3,RawData[Checker ID],$Q$4,RawData[[Error Type ]],$Q$5))</f>
        <v/>
      </c>
    </row>
    <row r="27313" spans="15:15" x14ac:dyDescent="0.25">
      <c r="O27313" s="20" t="str">
        <f>IF(N27313="","",COUNTIFS(RawData[[Date ]],N27313,RawData[Month List],$Q$6,RawData[Tour/Site],$Q$2,RawData[[Picker ID ]],$Q$3,RawData[Checker ID],$Q$4,RawData[[Error Type ]],$Q$5))</f>
        <v/>
      </c>
    </row>
    <row r="27314" spans="15:15" x14ac:dyDescent="0.25">
      <c r="O27314" s="20" t="str">
        <f>IF(N27314="","",COUNTIFS(RawData[[Date ]],N27314,RawData[Month List],$Q$6,RawData[Tour/Site],$Q$2,RawData[[Picker ID ]],$Q$3,RawData[Checker ID],$Q$4,RawData[[Error Type ]],$Q$5))</f>
        <v/>
      </c>
    </row>
    <row r="27315" spans="15:15" x14ac:dyDescent="0.25">
      <c r="O27315" s="20" t="str">
        <f>IF(N27315="","",COUNTIFS(RawData[[Date ]],N27315,RawData[Month List],$Q$6,RawData[Tour/Site],$Q$2,RawData[[Picker ID ]],$Q$3,RawData[Checker ID],$Q$4,RawData[[Error Type ]],$Q$5))</f>
        <v/>
      </c>
    </row>
    <row r="27316" spans="15:15" x14ac:dyDescent="0.25">
      <c r="O27316" s="20" t="str">
        <f>IF(N27316="","",COUNTIFS(RawData[[Date ]],N27316,RawData[Month List],$Q$6,RawData[Tour/Site],$Q$2,RawData[[Picker ID ]],$Q$3,RawData[Checker ID],$Q$4,RawData[[Error Type ]],$Q$5))</f>
        <v/>
      </c>
    </row>
    <row r="27317" spans="15:15" x14ac:dyDescent="0.25">
      <c r="O27317" s="20" t="str">
        <f>IF(N27317="","",COUNTIFS(RawData[[Date ]],N27317,RawData[Month List],$Q$6,RawData[Tour/Site],$Q$2,RawData[[Picker ID ]],$Q$3,RawData[Checker ID],$Q$4,RawData[[Error Type ]],$Q$5))</f>
        <v/>
      </c>
    </row>
    <row r="27318" spans="15:15" x14ac:dyDescent="0.25">
      <c r="O27318" s="20" t="str">
        <f>IF(N27318="","",COUNTIFS(RawData[[Date ]],N27318,RawData[Month List],$Q$6,RawData[Tour/Site],$Q$2,RawData[[Picker ID ]],$Q$3,RawData[Checker ID],$Q$4,RawData[[Error Type ]],$Q$5))</f>
        <v/>
      </c>
    </row>
    <row r="27319" spans="15:15" x14ac:dyDescent="0.25">
      <c r="O27319" s="20" t="str">
        <f>IF(N27319="","",COUNTIFS(RawData[[Date ]],N27319,RawData[Month List],$Q$6,RawData[Tour/Site],$Q$2,RawData[[Picker ID ]],$Q$3,RawData[Checker ID],$Q$4,RawData[[Error Type ]],$Q$5))</f>
        <v/>
      </c>
    </row>
    <row r="27320" spans="15:15" x14ac:dyDescent="0.25">
      <c r="O27320" s="20" t="str">
        <f>IF(N27320="","",COUNTIFS(RawData[[Date ]],N27320,RawData[Month List],$Q$6,RawData[Tour/Site],$Q$2,RawData[[Picker ID ]],$Q$3,RawData[Checker ID],$Q$4,RawData[[Error Type ]],$Q$5))</f>
        <v/>
      </c>
    </row>
    <row r="27321" spans="15:15" x14ac:dyDescent="0.25">
      <c r="O27321" s="20" t="str">
        <f>IF(N27321="","",COUNTIFS(RawData[[Date ]],N27321,RawData[Month List],$Q$6,RawData[Tour/Site],$Q$2,RawData[[Picker ID ]],$Q$3,RawData[Checker ID],$Q$4,RawData[[Error Type ]],$Q$5))</f>
        <v/>
      </c>
    </row>
    <row r="27322" spans="15:15" x14ac:dyDescent="0.25">
      <c r="O27322" s="20" t="str">
        <f>IF(N27322="","",COUNTIFS(RawData[[Date ]],N27322,RawData[Month List],$Q$6,RawData[Tour/Site],$Q$2,RawData[[Picker ID ]],$Q$3,RawData[Checker ID],$Q$4,RawData[[Error Type ]],$Q$5))</f>
        <v/>
      </c>
    </row>
    <row r="27323" spans="15:15" x14ac:dyDescent="0.25">
      <c r="O27323" s="20" t="str">
        <f>IF(N27323="","",COUNTIFS(RawData[[Date ]],N27323,RawData[Month List],$Q$6,RawData[Tour/Site],$Q$2,RawData[[Picker ID ]],$Q$3,RawData[Checker ID],$Q$4,RawData[[Error Type ]],$Q$5))</f>
        <v/>
      </c>
    </row>
    <row r="27324" spans="15:15" x14ac:dyDescent="0.25">
      <c r="O27324" s="20" t="str">
        <f>IF(N27324="","",COUNTIFS(RawData[[Date ]],N27324,RawData[Month List],$Q$6,RawData[Tour/Site],$Q$2,RawData[[Picker ID ]],$Q$3,RawData[Checker ID],$Q$4,RawData[[Error Type ]],$Q$5))</f>
        <v/>
      </c>
    </row>
    <row r="27325" spans="15:15" x14ac:dyDescent="0.25">
      <c r="O27325" s="20" t="str">
        <f>IF(N27325="","",COUNTIFS(RawData[[Date ]],N27325,RawData[Month List],$Q$6,RawData[Tour/Site],$Q$2,RawData[[Picker ID ]],$Q$3,RawData[Checker ID],$Q$4,RawData[[Error Type ]],$Q$5))</f>
        <v/>
      </c>
    </row>
    <row r="27326" spans="15:15" x14ac:dyDescent="0.25">
      <c r="O27326" s="20" t="str">
        <f>IF(N27326="","",COUNTIFS(RawData[[Date ]],N27326,RawData[Month List],$Q$6,RawData[Tour/Site],$Q$2,RawData[[Picker ID ]],$Q$3,RawData[Checker ID],$Q$4,RawData[[Error Type ]],$Q$5))</f>
        <v/>
      </c>
    </row>
    <row r="27327" spans="15:15" x14ac:dyDescent="0.25">
      <c r="O27327" s="20" t="str">
        <f>IF(N27327="","",COUNTIFS(RawData[[Date ]],N27327,RawData[Month List],$Q$6,RawData[Tour/Site],$Q$2,RawData[[Picker ID ]],$Q$3,RawData[Checker ID],$Q$4,RawData[[Error Type ]],$Q$5))</f>
        <v/>
      </c>
    </row>
    <row r="27328" spans="15:15" x14ac:dyDescent="0.25">
      <c r="O27328" s="20" t="str">
        <f>IF(N27328="","",COUNTIFS(RawData[[Date ]],N27328,RawData[Month List],$Q$6,RawData[Tour/Site],$Q$2,RawData[[Picker ID ]],$Q$3,RawData[Checker ID],$Q$4,RawData[[Error Type ]],$Q$5))</f>
        <v/>
      </c>
    </row>
    <row r="27329" spans="15:15" x14ac:dyDescent="0.25">
      <c r="O27329" s="20" t="str">
        <f>IF(N27329="","",COUNTIFS(RawData[[Date ]],N27329,RawData[Month List],$Q$6,RawData[Tour/Site],$Q$2,RawData[[Picker ID ]],$Q$3,RawData[Checker ID],$Q$4,RawData[[Error Type ]],$Q$5))</f>
        <v/>
      </c>
    </row>
    <row r="27330" spans="15:15" x14ac:dyDescent="0.25">
      <c r="O27330" s="20" t="str">
        <f>IF(N27330="","",COUNTIFS(RawData[[Date ]],N27330,RawData[Month List],$Q$6,RawData[Tour/Site],$Q$2,RawData[[Picker ID ]],$Q$3,RawData[Checker ID],$Q$4,RawData[[Error Type ]],$Q$5))</f>
        <v/>
      </c>
    </row>
    <row r="27331" spans="15:15" x14ac:dyDescent="0.25">
      <c r="O27331" s="20" t="str">
        <f>IF(N27331="","",COUNTIFS(RawData[[Date ]],N27331,RawData[Month List],$Q$6,RawData[Tour/Site],$Q$2,RawData[[Picker ID ]],$Q$3,RawData[Checker ID],$Q$4,RawData[[Error Type ]],$Q$5))</f>
        <v/>
      </c>
    </row>
    <row r="27332" spans="15:15" x14ac:dyDescent="0.25">
      <c r="O27332" s="20" t="str">
        <f>IF(N27332="","",COUNTIFS(RawData[[Date ]],N27332,RawData[Month List],$Q$6,RawData[Tour/Site],$Q$2,RawData[[Picker ID ]],$Q$3,RawData[Checker ID],$Q$4,RawData[[Error Type ]],$Q$5))</f>
        <v/>
      </c>
    </row>
    <row r="27333" spans="15:15" x14ac:dyDescent="0.25">
      <c r="O27333" s="20" t="str">
        <f>IF(N27333="","",COUNTIFS(RawData[[Date ]],N27333,RawData[Month List],$Q$6,RawData[Tour/Site],$Q$2,RawData[[Picker ID ]],$Q$3,RawData[Checker ID],$Q$4,RawData[[Error Type ]],$Q$5))</f>
        <v/>
      </c>
    </row>
    <row r="27334" spans="15:15" x14ac:dyDescent="0.25">
      <c r="O27334" s="20" t="str">
        <f>IF(N27334="","",COUNTIFS(RawData[[Date ]],N27334,RawData[Month List],$Q$6,RawData[Tour/Site],$Q$2,RawData[[Picker ID ]],$Q$3,RawData[Checker ID],$Q$4,RawData[[Error Type ]],$Q$5))</f>
        <v/>
      </c>
    </row>
    <row r="27335" spans="15:15" x14ac:dyDescent="0.25">
      <c r="O27335" s="20" t="str">
        <f>IF(N27335="","",COUNTIFS(RawData[[Date ]],N27335,RawData[Month List],$Q$6,RawData[Tour/Site],$Q$2,RawData[[Picker ID ]],$Q$3,RawData[Checker ID],$Q$4,RawData[[Error Type ]],$Q$5))</f>
        <v/>
      </c>
    </row>
    <row r="27336" spans="15:15" x14ac:dyDescent="0.25">
      <c r="O27336" s="20" t="str">
        <f>IF(N27336="","",COUNTIFS(RawData[[Date ]],N27336,RawData[Month List],$Q$6,RawData[Tour/Site],$Q$2,RawData[[Picker ID ]],$Q$3,RawData[Checker ID],$Q$4,RawData[[Error Type ]],$Q$5))</f>
        <v/>
      </c>
    </row>
    <row r="27337" spans="15:15" x14ac:dyDescent="0.25">
      <c r="O27337" s="20" t="str">
        <f>IF(N27337="","",COUNTIFS(RawData[[Date ]],N27337,RawData[Month List],$Q$6,RawData[Tour/Site],$Q$2,RawData[[Picker ID ]],$Q$3,RawData[Checker ID],$Q$4,RawData[[Error Type ]],$Q$5))</f>
        <v/>
      </c>
    </row>
    <row r="27338" spans="15:15" x14ac:dyDescent="0.25">
      <c r="O27338" s="20" t="str">
        <f>IF(N27338="","",COUNTIFS(RawData[[Date ]],N27338,RawData[Month List],$Q$6,RawData[Tour/Site],$Q$2,RawData[[Picker ID ]],$Q$3,RawData[Checker ID],$Q$4,RawData[[Error Type ]],$Q$5))</f>
        <v/>
      </c>
    </row>
    <row r="27339" spans="15:15" x14ac:dyDescent="0.25">
      <c r="O27339" s="20" t="str">
        <f>IF(N27339="","",COUNTIFS(RawData[[Date ]],N27339,RawData[Month List],$Q$6,RawData[Tour/Site],$Q$2,RawData[[Picker ID ]],$Q$3,RawData[Checker ID],$Q$4,RawData[[Error Type ]],$Q$5))</f>
        <v/>
      </c>
    </row>
    <row r="27340" spans="15:15" x14ac:dyDescent="0.25">
      <c r="O27340" s="20" t="str">
        <f>IF(N27340="","",COUNTIFS(RawData[[Date ]],N27340,RawData[Month List],$Q$6,RawData[Tour/Site],$Q$2,RawData[[Picker ID ]],$Q$3,RawData[Checker ID],$Q$4,RawData[[Error Type ]],$Q$5))</f>
        <v/>
      </c>
    </row>
    <row r="27341" spans="15:15" x14ac:dyDescent="0.25">
      <c r="O27341" s="20" t="str">
        <f>IF(N27341="","",COUNTIFS(RawData[[Date ]],N27341,RawData[Month List],$Q$6,RawData[Tour/Site],$Q$2,RawData[[Picker ID ]],$Q$3,RawData[Checker ID],$Q$4,RawData[[Error Type ]],$Q$5))</f>
        <v/>
      </c>
    </row>
    <row r="27342" spans="15:15" x14ac:dyDescent="0.25">
      <c r="O27342" s="20" t="str">
        <f>IF(N27342="","",COUNTIFS(RawData[[Date ]],N27342,RawData[Month List],$Q$6,RawData[Tour/Site],$Q$2,RawData[[Picker ID ]],$Q$3,RawData[Checker ID],$Q$4,RawData[[Error Type ]],$Q$5))</f>
        <v/>
      </c>
    </row>
    <row r="27343" spans="15:15" x14ac:dyDescent="0.25">
      <c r="O27343" s="20" t="str">
        <f>IF(N27343="","",COUNTIFS(RawData[[Date ]],N27343,RawData[Month List],$Q$6,RawData[Tour/Site],$Q$2,RawData[[Picker ID ]],$Q$3,RawData[Checker ID],$Q$4,RawData[[Error Type ]],$Q$5))</f>
        <v/>
      </c>
    </row>
    <row r="27344" spans="15:15" x14ac:dyDescent="0.25">
      <c r="O27344" s="20" t="str">
        <f>IF(N27344="","",COUNTIFS(RawData[[Date ]],N27344,RawData[Month List],$Q$6,RawData[Tour/Site],$Q$2,RawData[[Picker ID ]],$Q$3,RawData[Checker ID],$Q$4,RawData[[Error Type ]],$Q$5))</f>
        <v/>
      </c>
    </row>
    <row r="27345" spans="15:15" x14ac:dyDescent="0.25">
      <c r="O27345" s="20" t="str">
        <f>IF(N27345="","",COUNTIFS(RawData[[Date ]],N27345,RawData[Month List],$Q$6,RawData[Tour/Site],$Q$2,RawData[[Picker ID ]],$Q$3,RawData[Checker ID],$Q$4,RawData[[Error Type ]],$Q$5))</f>
        <v/>
      </c>
    </row>
    <row r="27346" spans="15:15" x14ac:dyDescent="0.25">
      <c r="O27346" s="20" t="str">
        <f>IF(N27346="","",COUNTIFS(RawData[[Date ]],N27346,RawData[Month List],$Q$6,RawData[Tour/Site],$Q$2,RawData[[Picker ID ]],$Q$3,RawData[Checker ID],$Q$4,RawData[[Error Type ]],$Q$5))</f>
        <v/>
      </c>
    </row>
    <row r="27347" spans="15:15" x14ac:dyDescent="0.25">
      <c r="O27347" s="20" t="str">
        <f>IF(N27347="","",COUNTIFS(RawData[[Date ]],N27347,RawData[Month List],$Q$6,RawData[Tour/Site],$Q$2,RawData[[Picker ID ]],$Q$3,RawData[Checker ID],$Q$4,RawData[[Error Type ]],$Q$5))</f>
        <v/>
      </c>
    </row>
    <row r="27348" spans="15:15" x14ac:dyDescent="0.25">
      <c r="O27348" s="20" t="str">
        <f>IF(N27348="","",COUNTIFS(RawData[[Date ]],N27348,RawData[Month List],$Q$6,RawData[Tour/Site],$Q$2,RawData[[Picker ID ]],$Q$3,RawData[Checker ID],$Q$4,RawData[[Error Type ]],$Q$5))</f>
        <v/>
      </c>
    </row>
    <row r="27349" spans="15:15" x14ac:dyDescent="0.25">
      <c r="O27349" s="20" t="str">
        <f>IF(N27349="","",COUNTIFS(RawData[[Date ]],N27349,RawData[Month List],$Q$6,RawData[Tour/Site],$Q$2,RawData[[Picker ID ]],$Q$3,RawData[Checker ID],$Q$4,RawData[[Error Type ]],$Q$5))</f>
        <v/>
      </c>
    </row>
    <row r="27350" spans="15:15" x14ac:dyDescent="0.25">
      <c r="O27350" s="20" t="str">
        <f>IF(N27350="","",COUNTIFS(RawData[[Date ]],N27350,RawData[Month List],$Q$6,RawData[Tour/Site],$Q$2,RawData[[Picker ID ]],$Q$3,RawData[Checker ID],$Q$4,RawData[[Error Type ]],$Q$5))</f>
        <v/>
      </c>
    </row>
    <row r="27351" spans="15:15" x14ac:dyDescent="0.25">
      <c r="O27351" s="20" t="str">
        <f>IF(N27351="","",COUNTIFS(RawData[[Date ]],N27351,RawData[Month List],$Q$6,RawData[Tour/Site],$Q$2,RawData[[Picker ID ]],$Q$3,RawData[Checker ID],$Q$4,RawData[[Error Type ]],$Q$5))</f>
        <v/>
      </c>
    </row>
    <row r="27352" spans="15:15" x14ac:dyDescent="0.25">
      <c r="O27352" s="20" t="str">
        <f>IF(N27352="","",COUNTIFS(RawData[[Date ]],N27352,RawData[Month List],$Q$6,RawData[Tour/Site],$Q$2,RawData[[Picker ID ]],$Q$3,RawData[Checker ID],$Q$4,RawData[[Error Type ]],$Q$5))</f>
        <v/>
      </c>
    </row>
    <row r="27353" spans="15:15" x14ac:dyDescent="0.25">
      <c r="O27353" s="20" t="str">
        <f>IF(N27353="","",COUNTIFS(RawData[[Date ]],N27353,RawData[Month List],$Q$6,RawData[Tour/Site],$Q$2,RawData[[Picker ID ]],$Q$3,RawData[Checker ID],$Q$4,RawData[[Error Type ]],$Q$5))</f>
        <v/>
      </c>
    </row>
    <row r="27354" spans="15:15" x14ac:dyDescent="0.25">
      <c r="O27354" s="20" t="str">
        <f>IF(N27354="","",COUNTIFS(RawData[[Date ]],N27354,RawData[Month List],$Q$6,RawData[Tour/Site],$Q$2,RawData[[Picker ID ]],$Q$3,RawData[Checker ID],$Q$4,RawData[[Error Type ]],$Q$5))</f>
        <v/>
      </c>
    </row>
    <row r="27355" spans="15:15" x14ac:dyDescent="0.25">
      <c r="O27355" s="20" t="str">
        <f>IF(N27355="","",COUNTIFS(RawData[[Date ]],N27355,RawData[Month List],$Q$6,RawData[Tour/Site],$Q$2,RawData[[Picker ID ]],$Q$3,RawData[Checker ID],$Q$4,RawData[[Error Type ]],$Q$5))</f>
        <v/>
      </c>
    </row>
    <row r="27356" spans="15:15" x14ac:dyDescent="0.25">
      <c r="O27356" s="20" t="str">
        <f>IF(N27356="","",COUNTIFS(RawData[[Date ]],N27356,RawData[Month List],$Q$6,RawData[Tour/Site],$Q$2,RawData[[Picker ID ]],$Q$3,RawData[Checker ID],$Q$4,RawData[[Error Type ]],$Q$5))</f>
        <v/>
      </c>
    </row>
    <row r="27357" spans="15:15" x14ac:dyDescent="0.25">
      <c r="O27357" s="20" t="str">
        <f>IF(N27357="","",COUNTIFS(RawData[[Date ]],N27357,RawData[Month List],$Q$6,RawData[Tour/Site],$Q$2,RawData[[Picker ID ]],$Q$3,RawData[Checker ID],$Q$4,RawData[[Error Type ]],$Q$5))</f>
        <v/>
      </c>
    </row>
    <row r="27358" spans="15:15" x14ac:dyDescent="0.25">
      <c r="O27358" s="20" t="str">
        <f>IF(N27358="","",COUNTIFS(RawData[[Date ]],N27358,RawData[Month List],$Q$6,RawData[Tour/Site],$Q$2,RawData[[Picker ID ]],$Q$3,RawData[Checker ID],$Q$4,RawData[[Error Type ]],$Q$5))</f>
        <v/>
      </c>
    </row>
    <row r="27359" spans="15:15" x14ac:dyDescent="0.25">
      <c r="O27359" s="20" t="str">
        <f>IF(N27359="","",COUNTIFS(RawData[[Date ]],N27359,RawData[Month List],$Q$6,RawData[Tour/Site],$Q$2,RawData[[Picker ID ]],$Q$3,RawData[Checker ID],$Q$4,RawData[[Error Type ]],$Q$5))</f>
        <v/>
      </c>
    </row>
    <row r="27360" spans="15:15" x14ac:dyDescent="0.25">
      <c r="O27360" s="20" t="str">
        <f>IF(N27360="","",COUNTIFS(RawData[[Date ]],N27360,RawData[Month List],$Q$6,RawData[Tour/Site],$Q$2,RawData[[Picker ID ]],$Q$3,RawData[Checker ID],$Q$4,RawData[[Error Type ]],$Q$5))</f>
        <v/>
      </c>
    </row>
    <row r="27361" spans="15:15" x14ac:dyDescent="0.25">
      <c r="O27361" s="20" t="str">
        <f>IF(N27361="","",COUNTIFS(RawData[[Date ]],N27361,RawData[Month List],$Q$6,RawData[Tour/Site],$Q$2,RawData[[Picker ID ]],$Q$3,RawData[Checker ID],$Q$4,RawData[[Error Type ]],$Q$5))</f>
        <v/>
      </c>
    </row>
    <row r="27362" spans="15:15" x14ac:dyDescent="0.25">
      <c r="O27362" s="20" t="str">
        <f>IF(N27362="","",COUNTIFS(RawData[[Date ]],N27362,RawData[Month List],$Q$6,RawData[Tour/Site],$Q$2,RawData[[Picker ID ]],$Q$3,RawData[Checker ID],$Q$4,RawData[[Error Type ]],$Q$5))</f>
        <v/>
      </c>
    </row>
    <row r="27363" spans="15:15" x14ac:dyDescent="0.25">
      <c r="O27363" s="20" t="str">
        <f>IF(N27363="","",COUNTIFS(RawData[[Date ]],N27363,RawData[Month List],$Q$6,RawData[Tour/Site],$Q$2,RawData[[Picker ID ]],$Q$3,RawData[Checker ID],$Q$4,RawData[[Error Type ]],$Q$5))</f>
        <v/>
      </c>
    </row>
    <row r="27364" spans="15:15" x14ac:dyDescent="0.25">
      <c r="O27364" s="20" t="str">
        <f>IF(N27364="","",COUNTIFS(RawData[[Date ]],N27364,RawData[Month List],$Q$6,RawData[Tour/Site],$Q$2,RawData[[Picker ID ]],$Q$3,RawData[Checker ID],$Q$4,RawData[[Error Type ]],$Q$5))</f>
        <v/>
      </c>
    </row>
    <row r="27365" spans="15:15" x14ac:dyDescent="0.25">
      <c r="O27365" s="20" t="str">
        <f>IF(N27365="","",COUNTIFS(RawData[[Date ]],N27365,RawData[Month List],$Q$6,RawData[Tour/Site],$Q$2,RawData[[Picker ID ]],$Q$3,RawData[Checker ID],$Q$4,RawData[[Error Type ]],$Q$5))</f>
        <v/>
      </c>
    </row>
    <row r="27366" spans="15:15" x14ac:dyDescent="0.25">
      <c r="O27366" s="20" t="str">
        <f>IF(N27366="","",COUNTIFS(RawData[[Date ]],N27366,RawData[Month List],$Q$6,RawData[Tour/Site],$Q$2,RawData[[Picker ID ]],$Q$3,RawData[Checker ID],$Q$4,RawData[[Error Type ]],$Q$5))</f>
        <v/>
      </c>
    </row>
    <row r="27367" spans="15:15" x14ac:dyDescent="0.25">
      <c r="O27367" s="20" t="str">
        <f>IF(N27367="","",COUNTIFS(RawData[[Date ]],N27367,RawData[Month List],$Q$6,RawData[Tour/Site],$Q$2,RawData[[Picker ID ]],$Q$3,RawData[Checker ID],$Q$4,RawData[[Error Type ]],$Q$5))</f>
        <v/>
      </c>
    </row>
    <row r="27368" spans="15:15" x14ac:dyDescent="0.25">
      <c r="O27368" s="20" t="str">
        <f>IF(N27368="","",COUNTIFS(RawData[[Date ]],N27368,RawData[Month List],$Q$6,RawData[Tour/Site],$Q$2,RawData[[Picker ID ]],$Q$3,RawData[Checker ID],$Q$4,RawData[[Error Type ]],$Q$5))</f>
        <v/>
      </c>
    </row>
    <row r="27369" spans="15:15" x14ac:dyDescent="0.25">
      <c r="O27369" s="20" t="str">
        <f>IF(N27369="","",COUNTIFS(RawData[[Date ]],N27369,RawData[Month List],$Q$6,RawData[Tour/Site],$Q$2,RawData[[Picker ID ]],$Q$3,RawData[Checker ID],$Q$4,RawData[[Error Type ]],$Q$5))</f>
        <v/>
      </c>
    </row>
    <row r="27370" spans="15:15" x14ac:dyDescent="0.25">
      <c r="O27370" s="20" t="str">
        <f>IF(N27370="","",COUNTIFS(RawData[[Date ]],N27370,RawData[Month List],$Q$6,RawData[Tour/Site],$Q$2,RawData[[Picker ID ]],$Q$3,RawData[Checker ID],$Q$4,RawData[[Error Type ]],$Q$5))</f>
        <v/>
      </c>
    </row>
    <row r="27371" spans="15:15" x14ac:dyDescent="0.25">
      <c r="O27371" s="20" t="str">
        <f>IF(N27371="","",COUNTIFS(RawData[[Date ]],N27371,RawData[Month List],$Q$6,RawData[Tour/Site],$Q$2,RawData[[Picker ID ]],$Q$3,RawData[Checker ID],$Q$4,RawData[[Error Type ]],$Q$5))</f>
        <v/>
      </c>
    </row>
    <row r="27372" spans="15:15" x14ac:dyDescent="0.25">
      <c r="O27372" s="20" t="str">
        <f>IF(N27372="","",COUNTIFS(RawData[[Date ]],N27372,RawData[Month List],$Q$6,RawData[Tour/Site],$Q$2,RawData[[Picker ID ]],$Q$3,RawData[Checker ID],$Q$4,RawData[[Error Type ]],$Q$5))</f>
        <v/>
      </c>
    </row>
    <row r="27373" spans="15:15" x14ac:dyDescent="0.25">
      <c r="O27373" s="20" t="str">
        <f>IF(N27373="","",COUNTIFS(RawData[[Date ]],N27373,RawData[Month List],$Q$6,RawData[Tour/Site],$Q$2,RawData[[Picker ID ]],$Q$3,RawData[Checker ID],$Q$4,RawData[[Error Type ]],$Q$5))</f>
        <v/>
      </c>
    </row>
    <row r="27374" spans="15:15" x14ac:dyDescent="0.25">
      <c r="O27374" s="20" t="str">
        <f>IF(N27374="","",COUNTIFS(RawData[[Date ]],N27374,RawData[Month List],$Q$6,RawData[Tour/Site],$Q$2,RawData[[Picker ID ]],$Q$3,RawData[Checker ID],$Q$4,RawData[[Error Type ]],$Q$5))</f>
        <v/>
      </c>
    </row>
    <row r="27375" spans="15:15" x14ac:dyDescent="0.25">
      <c r="O27375" s="20" t="str">
        <f>IF(N27375="","",COUNTIFS(RawData[[Date ]],N27375,RawData[Month List],$Q$6,RawData[Tour/Site],$Q$2,RawData[[Picker ID ]],$Q$3,RawData[Checker ID],$Q$4,RawData[[Error Type ]],$Q$5))</f>
        <v/>
      </c>
    </row>
    <row r="27376" spans="15:15" x14ac:dyDescent="0.25">
      <c r="O27376" s="20" t="str">
        <f>IF(N27376="","",COUNTIFS(RawData[[Date ]],N27376,RawData[Month List],$Q$6,RawData[Tour/Site],$Q$2,RawData[[Picker ID ]],$Q$3,RawData[Checker ID],$Q$4,RawData[[Error Type ]],$Q$5))</f>
        <v/>
      </c>
    </row>
    <row r="27377" spans="15:15" x14ac:dyDescent="0.25">
      <c r="O27377" s="20" t="str">
        <f>IF(N27377="","",COUNTIFS(RawData[[Date ]],N27377,RawData[Month List],$Q$6,RawData[Tour/Site],$Q$2,RawData[[Picker ID ]],$Q$3,RawData[Checker ID],$Q$4,RawData[[Error Type ]],$Q$5))</f>
        <v/>
      </c>
    </row>
    <row r="27378" spans="15:15" x14ac:dyDescent="0.25">
      <c r="O27378" s="20" t="str">
        <f>IF(N27378="","",COUNTIFS(RawData[[Date ]],N27378,RawData[Month List],$Q$6,RawData[Tour/Site],$Q$2,RawData[[Picker ID ]],$Q$3,RawData[Checker ID],$Q$4,RawData[[Error Type ]],$Q$5))</f>
        <v/>
      </c>
    </row>
    <row r="27379" spans="15:15" x14ac:dyDescent="0.25">
      <c r="O27379" s="20" t="str">
        <f>IF(N27379="","",COUNTIFS(RawData[[Date ]],N27379,RawData[Month List],$Q$6,RawData[Tour/Site],$Q$2,RawData[[Picker ID ]],$Q$3,RawData[Checker ID],$Q$4,RawData[[Error Type ]],$Q$5))</f>
        <v/>
      </c>
    </row>
    <row r="27380" spans="15:15" x14ac:dyDescent="0.25">
      <c r="O27380" s="20" t="str">
        <f>IF(N27380="","",COUNTIFS(RawData[[Date ]],N27380,RawData[Month List],$Q$6,RawData[Tour/Site],$Q$2,RawData[[Picker ID ]],$Q$3,RawData[Checker ID],$Q$4,RawData[[Error Type ]],$Q$5))</f>
        <v/>
      </c>
    </row>
    <row r="27381" spans="15:15" x14ac:dyDescent="0.25">
      <c r="O27381" s="20" t="str">
        <f>IF(N27381="","",COUNTIFS(RawData[[Date ]],N27381,RawData[Month List],$Q$6,RawData[Tour/Site],$Q$2,RawData[[Picker ID ]],$Q$3,RawData[Checker ID],$Q$4,RawData[[Error Type ]],$Q$5))</f>
        <v/>
      </c>
    </row>
    <row r="27382" spans="15:15" x14ac:dyDescent="0.25">
      <c r="O27382" s="20" t="str">
        <f>IF(N27382="","",COUNTIFS(RawData[[Date ]],N27382,RawData[Month List],$Q$6,RawData[Tour/Site],$Q$2,RawData[[Picker ID ]],$Q$3,RawData[Checker ID],$Q$4,RawData[[Error Type ]],$Q$5))</f>
        <v/>
      </c>
    </row>
    <row r="27383" spans="15:15" x14ac:dyDescent="0.25">
      <c r="O27383" s="20" t="str">
        <f>IF(N27383="","",COUNTIFS(RawData[[Date ]],N27383,RawData[Month List],$Q$6,RawData[Tour/Site],$Q$2,RawData[[Picker ID ]],$Q$3,RawData[Checker ID],$Q$4,RawData[[Error Type ]],$Q$5))</f>
        <v/>
      </c>
    </row>
    <row r="27384" spans="15:15" x14ac:dyDescent="0.25">
      <c r="O27384" s="20" t="str">
        <f>IF(N27384="","",COUNTIFS(RawData[[Date ]],N27384,RawData[Month List],$Q$6,RawData[Tour/Site],$Q$2,RawData[[Picker ID ]],$Q$3,RawData[Checker ID],$Q$4,RawData[[Error Type ]],$Q$5))</f>
        <v/>
      </c>
    </row>
    <row r="27385" spans="15:15" x14ac:dyDescent="0.25">
      <c r="O27385" s="20" t="str">
        <f>IF(N27385="","",COUNTIFS(RawData[[Date ]],N27385,RawData[Month List],$Q$6,RawData[Tour/Site],$Q$2,RawData[[Picker ID ]],$Q$3,RawData[Checker ID],$Q$4,RawData[[Error Type ]],$Q$5))</f>
        <v/>
      </c>
    </row>
    <row r="27386" spans="15:15" x14ac:dyDescent="0.25">
      <c r="O27386" s="20" t="str">
        <f>IF(N27386="","",COUNTIFS(RawData[[Date ]],N27386,RawData[Month List],$Q$6,RawData[Tour/Site],$Q$2,RawData[[Picker ID ]],$Q$3,RawData[Checker ID],$Q$4,RawData[[Error Type ]],$Q$5))</f>
        <v/>
      </c>
    </row>
    <row r="27387" spans="15:15" x14ac:dyDescent="0.25">
      <c r="O27387" s="20" t="str">
        <f>IF(N27387="","",COUNTIFS(RawData[[Date ]],N27387,RawData[Month List],$Q$6,RawData[Tour/Site],$Q$2,RawData[[Picker ID ]],$Q$3,RawData[Checker ID],$Q$4,RawData[[Error Type ]],$Q$5))</f>
        <v/>
      </c>
    </row>
    <row r="27388" spans="15:15" x14ac:dyDescent="0.25">
      <c r="O27388" s="20" t="str">
        <f>IF(N27388="","",COUNTIFS(RawData[[Date ]],N27388,RawData[Month List],$Q$6,RawData[Tour/Site],$Q$2,RawData[[Picker ID ]],$Q$3,RawData[Checker ID],$Q$4,RawData[[Error Type ]],$Q$5))</f>
        <v/>
      </c>
    </row>
    <row r="27389" spans="15:15" x14ac:dyDescent="0.25">
      <c r="O27389" s="20" t="str">
        <f>IF(N27389="","",COUNTIFS(RawData[[Date ]],N27389,RawData[Month List],$Q$6,RawData[Tour/Site],$Q$2,RawData[[Picker ID ]],$Q$3,RawData[Checker ID],$Q$4,RawData[[Error Type ]],$Q$5))</f>
        <v/>
      </c>
    </row>
    <row r="27390" spans="15:15" x14ac:dyDescent="0.25">
      <c r="O27390" s="20" t="str">
        <f>IF(N27390="","",COUNTIFS(RawData[[Date ]],N27390,RawData[Month List],$Q$6,RawData[Tour/Site],$Q$2,RawData[[Picker ID ]],$Q$3,RawData[Checker ID],$Q$4,RawData[[Error Type ]],$Q$5))</f>
        <v/>
      </c>
    </row>
    <row r="27391" spans="15:15" x14ac:dyDescent="0.25">
      <c r="O27391" s="20" t="str">
        <f>IF(N27391="","",COUNTIFS(RawData[[Date ]],N27391,RawData[Month List],$Q$6,RawData[Tour/Site],$Q$2,RawData[[Picker ID ]],$Q$3,RawData[Checker ID],$Q$4,RawData[[Error Type ]],$Q$5))</f>
        <v/>
      </c>
    </row>
    <row r="27392" spans="15:15" x14ac:dyDescent="0.25">
      <c r="O27392" s="20" t="str">
        <f>IF(N27392="","",COUNTIFS(RawData[[Date ]],N27392,RawData[Month List],$Q$6,RawData[Tour/Site],$Q$2,RawData[[Picker ID ]],$Q$3,RawData[Checker ID],$Q$4,RawData[[Error Type ]],$Q$5))</f>
        <v/>
      </c>
    </row>
    <row r="27393" spans="15:15" x14ac:dyDescent="0.25">
      <c r="O27393" s="20" t="str">
        <f>IF(N27393="","",COUNTIFS(RawData[[Date ]],N27393,RawData[Month List],$Q$6,RawData[Tour/Site],$Q$2,RawData[[Picker ID ]],$Q$3,RawData[Checker ID],$Q$4,RawData[[Error Type ]],$Q$5))</f>
        <v/>
      </c>
    </row>
    <row r="27394" spans="15:15" x14ac:dyDescent="0.25">
      <c r="O27394" s="20" t="str">
        <f>IF(N27394="","",COUNTIFS(RawData[[Date ]],N27394,RawData[Month List],$Q$6,RawData[Tour/Site],$Q$2,RawData[[Picker ID ]],$Q$3,RawData[Checker ID],$Q$4,RawData[[Error Type ]],$Q$5))</f>
        <v/>
      </c>
    </row>
    <row r="27395" spans="15:15" x14ac:dyDescent="0.25">
      <c r="O27395" s="20" t="str">
        <f>IF(N27395="","",COUNTIFS(RawData[[Date ]],N27395,RawData[Month List],$Q$6,RawData[Tour/Site],$Q$2,RawData[[Picker ID ]],$Q$3,RawData[Checker ID],$Q$4,RawData[[Error Type ]],$Q$5))</f>
        <v/>
      </c>
    </row>
    <row r="27396" spans="15:15" x14ac:dyDescent="0.25">
      <c r="O27396" s="20" t="str">
        <f>IF(N27396="","",COUNTIFS(RawData[[Date ]],N27396,RawData[Month List],$Q$6,RawData[Tour/Site],$Q$2,RawData[[Picker ID ]],$Q$3,RawData[Checker ID],$Q$4,RawData[[Error Type ]],$Q$5))</f>
        <v/>
      </c>
    </row>
    <row r="27397" spans="15:15" x14ac:dyDescent="0.25">
      <c r="O27397" s="20" t="str">
        <f>IF(N27397="","",COUNTIFS(RawData[[Date ]],N27397,RawData[Month List],$Q$6,RawData[Tour/Site],$Q$2,RawData[[Picker ID ]],$Q$3,RawData[Checker ID],$Q$4,RawData[[Error Type ]],$Q$5))</f>
        <v/>
      </c>
    </row>
    <row r="27398" spans="15:15" x14ac:dyDescent="0.25">
      <c r="O27398" s="20" t="str">
        <f>IF(N27398="","",COUNTIFS(RawData[[Date ]],N27398,RawData[Month List],$Q$6,RawData[Tour/Site],$Q$2,RawData[[Picker ID ]],$Q$3,RawData[Checker ID],$Q$4,RawData[[Error Type ]],$Q$5))</f>
        <v/>
      </c>
    </row>
    <row r="27399" spans="15:15" x14ac:dyDescent="0.25">
      <c r="O27399" s="20" t="str">
        <f>IF(N27399="","",COUNTIFS(RawData[[Date ]],N27399,RawData[Month List],$Q$6,RawData[Tour/Site],$Q$2,RawData[[Picker ID ]],$Q$3,RawData[Checker ID],$Q$4,RawData[[Error Type ]],$Q$5))</f>
        <v/>
      </c>
    </row>
    <row r="27400" spans="15:15" x14ac:dyDescent="0.25">
      <c r="O27400" s="20" t="str">
        <f>IF(N27400="","",COUNTIFS(RawData[[Date ]],N27400,RawData[Month List],$Q$6,RawData[Tour/Site],$Q$2,RawData[[Picker ID ]],$Q$3,RawData[Checker ID],$Q$4,RawData[[Error Type ]],$Q$5))</f>
        <v/>
      </c>
    </row>
    <row r="27401" spans="15:15" x14ac:dyDescent="0.25">
      <c r="O27401" s="20" t="str">
        <f>IF(N27401="","",COUNTIFS(RawData[[Date ]],N27401,RawData[Month List],$Q$6,RawData[Tour/Site],$Q$2,RawData[[Picker ID ]],$Q$3,RawData[Checker ID],$Q$4,RawData[[Error Type ]],$Q$5))</f>
        <v/>
      </c>
    </row>
    <row r="27402" spans="15:15" x14ac:dyDescent="0.25">
      <c r="O27402" s="20" t="str">
        <f>IF(N27402="","",COUNTIFS(RawData[[Date ]],N27402,RawData[Month List],$Q$6,RawData[Tour/Site],$Q$2,RawData[[Picker ID ]],$Q$3,RawData[Checker ID],$Q$4,RawData[[Error Type ]],$Q$5))</f>
        <v/>
      </c>
    </row>
    <row r="27403" spans="15:15" x14ac:dyDescent="0.25">
      <c r="O27403" s="20" t="str">
        <f>IF(N27403="","",COUNTIFS(RawData[[Date ]],N27403,RawData[Month List],$Q$6,RawData[Tour/Site],$Q$2,RawData[[Picker ID ]],$Q$3,RawData[Checker ID],$Q$4,RawData[[Error Type ]],$Q$5))</f>
        <v/>
      </c>
    </row>
    <row r="27404" spans="15:15" x14ac:dyDescent="0.25">
      <c r="O27404" s="20" t="str">
        <f>IF(N27404="","",COUNTIFS(RawData[[Date ]],N27404,RawData[Month List],$Q$6,RawData[Tour/Site],$Q$2,RawData[[Picker ID ]],$Q$3,RawData[Checker ID],$Q$4,RawData[[Error Type ]],$Q$5))</f>
        <v/>
      </c>
    </row>
    <row r="27405" spans="15:15" x14ac:dyDescent="0.25">
      <c r="O27405" s="20" t="str">
        <f>IF(N27405="","",COUNTIFS(RawData[[Date ]],N27405,RawData[Month List],$Q$6,RawData[Tour/Site],$Q$2,RawData[[Picker ID ]],$Q$3,RawData[Checker ID],$Q$4,RawData[[Error Type ]],$Q$5))</f>
        <v/>
      </c>
    </row>
    <row r="27406" spans="15:15" x14ac:dyDescent="0.25">
      <c r="O27406" s="20" t="str">
        <f>IF(N27406="","",COUNTIFS(RawData[[Date ]],N27406,RawData[Month List],$Q$6,RawData[Tour/Site],$Q$2,RawData[[Picker ID ]],$Q$3,RawData[Checker ID],$Q$4,RawData[[Error Type ]],$Q$5))</f>
        <v/>
      </c>
    </row>
    <row r="27407" spans="15:15" x14ac:dyDescent="0.25">
      <c r="O27407" s="20" t="str">
        <f>IF(N27407="","",COUNTIFS(RawData[[Date ]],N27407,RawData[Month List],$Q$6,RawData[Tour/Site],$Q$2,RawData[[Picker ID ]],$Q$3,RawData[Checker ID],$Q$4,RawData[[Error Type ]],$Q$5))</f>
        <v/>
      </c>
    </row>
    <row r="27408" spans="15:15" x14ac:dyDescent="0.25">
      <c r="O27408" s="20" t="str">
        <f>IF(N27408="","",COUNTIFS(RawData[[Date ]],N27408,RawData[Month List],$Q$6,RawData[Tour/Site],$Q$2,RawData[[Picker ID ]],$Q$3,RawData[Checker ID],$Q$4,RawData[[Error Type ]],$Q$5))</f>
        <v/>
      </c>
    </row>
    <row r="27409" spans="15:15" x14ac:dyDescent="0.25">
      <c r="O27409" s="20" t="str">
        <f>IF(N27409="","",COUNTIFS(RawData[[Date ]],N27409,RawData[Month List],$Q$6,RawData[Tour/Site],$Q$2,RawData[[Picker ID ]],$Q$3,RawData[Checker ID],$Q$4,RawData[[Error Type ]],$Q$5))</f>
        <v/>
      </c>
    </row>
    <row r="27410" spans="15:15" x14ac:dyDescent="0.25">
      <c r="O27410" s="20" t="str">
        <f>IF(N27410="","",COUNTIFS(RawData[[Date ]],N27410,RawData[Month List],$Q$6,RawData[Tour/Site],$Q$2,RawData[[Picker ID ]],$Q$3,RawData[Checker ID],$Q$4,RawData[[Error Type ]],$Q$5))</f>
        <v/>
      </c>
    </row>
    <row r="27411" spans="15:15" x14ac:dyDescent="0.25">
      <c r="O27411" s="20" t="str">
        <f>IF(N27411="","",COUNTIFS(RawData[[Date ]],N27411,RawData[Month List],$Q$6,RawData[Tour/Site],$Q$2,RawData[[Picker ID ]],$Q$3,RawData[Checker ID],$Q$4,RawData[[Error Type ]],$Q$5))</f>
        <v/>
      </c>
    </row>
    <row r="27412" spans="15:15" x14ac:dyDescent="0.25">
      <c r="O27412" s="20" t="str">
        <f>IF(N27412="","",COUNTIFS(RawData[[Date ]],N27412,RawData[Month List],$Q$6,RawData[Tour/Site],$Q$2,RawData[[Picker ID ]],$Q$3,RawData[Checker ID],$Q$4,RawData[[Error Type ]],$Q$5))</f>
        <v/>
      </c>
    </row>
    <row r="27413" spans="15:15" x14ac:dyDescent="0.25">
      <c r="O27413" s="20" t="str">
        <f>IF(N27413="","",COUNTIFS(RawData[[Date ]],N27413,RawData[Month List],$Q$6,RawData[Tour/Site],$Q$2,RawData[[Picker ID ]],$Q$3,RawData[Checker ID],$Q$4,RawData[[Error Type ]],$Q$5))</f>
        <v/>
      </c>
    </row>
    <row r="27414" spans="15:15" x14ac:dyDescent="0.25">
      <c r="O27414" s="20" t="str">
        <f>IF(N27414="","",COUNTIFS(RawData[[Date ]],N27414,RawData[Month List],$Q$6,RawData[Tour/Site],$Q$2,RawData[[Picker ID ]],$Q$3,RawData[Checker ID],$Q$4,RawData[[Error Type ]],$Q$5))</f>
        <v/>
      </c>
    </row>
    <row r="27415" spans="15:15" x14ac:dyDescent="0.25">
      <c r="O27415" s="20" t="str">
        <f>IF(N27415="","",COUNTIFS(RawData[[Date ]],N27415,RawData[Month List],$Q$6,RawData[Tour/Site],$Q$2,RawData[[Picker ID ]],$Q$3,RawData[Checker ID],$Q$4,RawData[[Error Type ]],$Q$5))</f>
        <v/>
      </c>
    </row>
    <row r="27416" spans="15:15" x14ac:dyDescent="0.25">
      <c r="O27416" s="20" t="str">
        <f>IF(N27416="","",COUNTIFS(RawData[[Date ]],N27416,RawData[Month List],$Q$6,RawData[Tour/Site],$Q$2,RawData[[Picker ID ]],$Q$3,RawData[Checker ID],$Q$4,RawData[[Error Type ]],$Q$5))</f>
        <v/>
      </c>
    </row>
    <row r="27417" spans="15:15" x14ac:dyDescent="0.25">
      <c r="O27417" s="20" t="str">
        <f>IF(N27417="","",COUNTIFS(RawData[[Date ]],N27417,RawData[Month List],$Q$6,RawData[Tour/Site],$Q$2,RawData[[Picker ID ]],$Q$3,RawData[Checker ID],$Q$4,RawData[[Error Type ]],$Q$5))</f>
        <v/>
      </c>
    </row>
    <row r="27418" spans="15:15" x14ac:dyDescent="0.25">
      <c r="O27418" s="20" t="str">
        <f>IF(N27418="","",COUNTIFS(RawData[[Date ]],N27418,RawData[Month List],$Q$6,RawData[Tour/Site],$Q$2,RawData[[Picker ID ]],$Q$3,RawData[Checker ID],$Q$4,RawData[[Error Type ]],$Q$5))</f>
        <v/>
      </c>
    </row>
    <row r="27419" spans="15:15" x14ac:dyDescent="0.25">
      <c r="O27419" s="20" t="str">
        <f>IF(N27419="","",COUNTIFS(RawData[[Date ]],N27419,RawData[Month List],$Q$6,RawData[Tour/Site],$Q$2,RawData[[Picker ID ]],$Q$3,RawData[Checker ID],$Q$4,RawData[[Error Type ]],$Q$5))</f>
        <v/>
      </c>
    </row>
    <row r="27420" spans="15:15" x14ac:dyDescent="0.25">
      <c r="O27420" s="20" t="str">
        <f>IF(N27420="","",COUNTIFS(RawData[[Date ]],N27420,RawData[Month List],$Q$6,RawData[Tour/Site],$Q$2,RawData[[Picker ID ]],$Q$3,RawData[Checker ID],$Q$4,RawData[[Error Type ]],$Q$5))</f>
        <v/>
      </c>
    </row>
    <row r="27421" spans="15:15" x14ac:dyDescent="0.25">
      <c r="O27421" s="20" t="str">
        <f>IF(N27421="","",COUNTIFS(RawData[[Date ]],N27421,RawData[Month List],$Q$6,RawData[Tour/Site],$Q$2,RawData[[Picker ID ]],$Q$3,RawData[Checker ID],$Q$4,RawData[[Error Type ]],$Q$5))</f>
        <v/>
      </c>
    </row>
    <row r="27422" spans="15:15" x14ac:dyDescent="0.25">
      <c r="O27422" s="20" t="str">
        <f>IF(N27422="","",COUNTIFS(RawData[[Date ]],N27422,RawData[Month List],$Q$6,RawData[Tour/Site],$Q$2,RawData[[Picker ID ]],$Q$3,RawData[Checker ID],$Q$4,RawData[[Error Type ]],$Q$5))</f>
        <v/>
      </c>
    </row>
    <row r="27423" spans="15:15" x14ac:dyDescent="0.25">
      <c r="O27423" s="20" t="str">
        <f>IF(N27423="","",COUNTIFS(RawData[[Date ]],N27423,RawData[Month List],$Q$6,RawData[Tour/Site],$Q$2,RawData[[Picker ID ]],$Q$3,RawData[Checker ID],$Q$4,RawData[[Error Type ]],$Q$5))</f>
        <v/>
      </c>
    </row>
    <row r="27424" spans="15:15" x14ac:dyDescent="0.25">
      <c r="O27424" s="20" t="str">
        <f>IF(N27424="","",COUNTIFS(RawData[[Date ]],N27424,RawData[Month List],$Q$6,RawData[Tour/Site],$Q$2,RawData[[Picker ID ]],$Q$3,RawData[Checker ID],$Q$4,RawData[[Error Type ]],$Q$5))</f>
        <v/>
      </c>
    </row>
    <row r="27425" spans="15:15" x14ac:dyDescent="0.25">
      <c r="O27425" s="20" t="str">
        <f>IF(N27425="","",COUNTIFS(RawData[[Date ]],N27425,RawData[Month List],$Q$6,RawData[Tour/Site],$Q$2,RawData[[Picker ID ]],$Q$3,RawData[Checker ID],$Q$4,RawData[[Error Type ]],$Q$5))</f>
        <v/>
      </c>
    </row>
    <row r="27426" spans="15:15" x14ac:dyDescent="0.25">
      <c r="O27426" s="20" t="str">
        <f>IF(N27426="","",COUNTIFS(RawData[[Date ]],N27426,RawData[Month List],$Q$6,RawData[Tour/Site],$Q$2,RawData[[Picker ID ]],$Q$3,RawData[Checker ID],$Q$4,RawData[[Error Type ]],$Q$5))</f>
        <v/>
      </c>
    </row>
    <row r="27427" spans="15:15" x14ac:dyDescent="0.25">
      <c r="O27427" s="20" t="str">
        <f>IF(N27427="","",COUNTIFS(RawData[[Date ]],N27427,RawData[Month List],$Q$6,RawData[Tour/Site],$Q$2,RawData[[Picker ID ]],$Q$3,RawData[Checker ID],$Q$4,RawData[[Error Type ]],$Q$5))</f>
        <v/>
      </c>
    </row>
    <row r="27428" spans="15:15" x14ac:dyDescent="0.25">
      <c r="O27428" s="20" t="str">
        <f>IF(N27428="","",COUNTIFS(RawData[[Date ]],N27428,RawData[Month List],$Q$6,RawData[Tour/Site],$Q$2,RawData[[Picker ID ]],$Q$3,RawData[Checker ID],$Q$4,RawData[[Error Type ]],$Q$5))</f>
        <v/>
      </c>
    </row>
    <row r="27429" spans="15:15" x14ac:dyDescent="0.25">
      <c r="O27429" s="20" t="str">
        <f>IF(N27429="","",COUNTIFS(RawData[[Date ]],N27429,RawData[Month List],$Q$6,RawData[Tour/Site],$Q$2,RawData[[Picker ID ]],$Q$3,RawData[Checker ID],$Q$4,RawData[[Error Type ]],$Q$5))</f>
        <v/>
      </c>
    </row>
    <row r="27430" spans="15:15" x14ac:dyDescent="0.25">
      <c r="O27430" s="20" t="str">
        <f>IF(N27430="","",COUNTIFS(RawData[[Date ]],N27430,RawData[Month List],$Q$6,RawData[Tour/Site],$Q$2,RawData[[Picker ID ]],$Q$3,RawData[Checker ID],$Q$4,RawData[[Error Type ]],$Q$5))</f>
        <v/>
      </c>
    </row>
    <row r="27431" spans="15:15" x14ac:dyDescent="0.25">
      <c r="O27431" s="20" t="str">
        <f>IF(N27431="","",COUNTIFS(RawData[[Date ]],N27431,RawData[Month List],$Q$6,RawData[Tour/Site],$Q$2,RawData[[Picker ID ]],$Q$3,RawData[Checker ID],$Q$4,RawData[[Error Type ]],$Q$5))</f>
        <v/>
      </c>
    </row>
    <row r="27432" spans="15:15" x14ac:dyDescent="0.25">
      <c r="O27432" s="20" t="str">
        <f>IF(N27432="","",COUNTIFS(RawData[[Date ]],N27432,RawData[Month List],$Q$6,RawData[Tour/Site],$Q$2,RawData[[Picker ID ]],$Q$3,RawData[Checker ID],$Q$4,RawData[[Error Type ]],$Q$5))</f>
        <v/>
      </c>
    </row>
    <row r="27433" spans="15:15" x14ac:dyDescent="0.25">
      <c r="O27433" s="20" t="str">
        <f>IF(N27433="","",COUNTIFS(RawData[[Date ]],N27433,RawData[Month List],$Q$6,RawData[Tour/Site],$Q$2,RawData[[Picker ID ]],$Q$3,RawData[Checker ID],$Q$4,RawData[[Error Type ]],$Q$5))</f>
        <v/>
      </c>
    </row>
    <row r="27434" spans="15:15" x14ac:dyDescent="0.25">
      <c r="O27434" s="20" t="str">
        <f>IF(N27434="","",COUNTIFS(RawData[[Date ]],N27434,RawData[Month List],$Q$6,RawData[Tour/Site],$Q$2,RawData[[Picker ID ]],$Q$3,RawData[Checker ID],$Q$4,RawData[[Error Type ]],$Q$5))</f>
        <v/>
      </c>
    </row>
    <row r="27435" spans="15:15" x14ac:dyDescent="0.25">
      <c r="O27435" s="20" t="str">
        <f>IF(N27435="","",COUNTIFS(RawData[[Date ]],N27435,RawData[Month List],$Q$6,RawData[Tour/Site],$Q$2,RawData[[Picker ID ]],$Q$3,RawData[Checker ID],$Q$4,RawData[[Error Type ]],$Q$5))</f>
        <v/>
      </c>
    </row>
    <row r="27436" spans="15:15" x14ac:dyDescent="0.25">
      <c r="O27436" s="20" t="str">
        <f>IF(N27436="","",COUNTIFS(RawData[[Date ]],N27436,RawData[Month List],$Q$6,RawData[Tour/Site],$Q$2,RawData[[Picker ID ]],$Q$3,RawData[Checker ID],$Q$4,RawData[[Error Type ]],$Q$5))</f>
        <v/>
      </c>
    </row>
    <row r="27437" spans="15:15" x14ac:dyDescent="0.25">
      <c r="O27437" s="20" t="str">
        <f>IF(N27437="","",COUNTIFS(RawData[[Date ]],N27437,RawData[Month List],$Q$6,RawData[Tour/Site],$Q$2,RawData[[Picker ID ]],$Q$3,RawData[Checker ID],$Q$4,RawData[[Error Type ]],$Q$5))</f>
        <v/>
      </c>
    </row>
    <row r="27438" spans="15:15" x14ac:dyDescent="0.25">
      <c r="O27438" s="20" t="str">
        <f>IF(N27438="","",COUNTIFS(RawData[[Date ]],N27438,RawData[Month List],$Q$6,RawData[Tour/Site],$Q$2,RawData[[Picker ID ]],$Q$3,RawData[Checker ID],$Q$4,RawData[[Error Type ]],$Q$5))</f>
        <v/>
      </c>
    </row>
    <row r="27439" spans="15:15" x14ac:dyDescent="0.25">
      <c r="O27439" s="20" t="str">
        <f>IF(N27439="","",COUNTIFS(RawData[[Date ]],N27439,RawData[Month List],$Q$6,RawData[Tour/Site],$Q$2,RawData[[Picker ID ]],$Q$3,RawData[Checker ID],$Q$4,RawData[[Error Type ]],$Q$5))</f>
        <v/>
      </c>
    </row>
    <row r="27440" spans="15:15" x14ac:dyDescent="0.25">
      <c r="O27440" s="20" t="str">
        <f>IF(N27440="","",COUNTIFS(RawData[[Date ]],N27440,RawData[Month List],$Q$6,RawData[Tour/Site],$Q$2,RawData[[Picker ID ]],$Q$3,RawData[Checker ID],$Q$4,RawData[[Error Type ]],$Q$5))</f>
        <v/>
      </c>
    </row>
    <row r="27441" spans="15:15" x14ac:dyDescent="0.25">
      <c r="O27441" s="20" t="str">
        <f>IF(N27441="","",COUNTIFS(RawData[[Date ]],N27441,RawData[Month List],$Q$6,RawData[Tour/Site],$Q$2,RawData[[Picker ID ]],$Q$3,RawData[Checker ID],$Q$4,RawData[[Error Type ]],$Q$5))</f>
        <v/>
      </c>
    </row>
    <row r="27442" spans="15:15" x14ac:dyDescent="0.25">
      <c r="O27442" s="20" t="str">
        <f>IF(N27442="","",COUNTIFS(RawData[[Date ]],N27442,RawData[Month List],$Q$6,RawData[Tour/Site],$Q$2,RawData[[Picker ID ]],$Q$3,RawData[Checker ID],$Q$4,RawData[[Error Type ]],$Q$5))</f>
        <v/>
      </c>
    </row>
    <row r="27443" spans="15:15" x14ac:dyDescent="0.25">
      <c r="O27443" s="20" t="str">
        <f>IF(N27443="","",COUNTIFS(RawData[[Date ]],N27443,RawData[Month List],$Q$6,RawData[Tour/Site],$Q$2,RawData[[Picker ID ]],$Q$3,RawData[Checker ID],$Q$4,RawData[[Error Type ]],$Q$5))</f>
        <v/>
      </c>
    </row>
    <row r="27444" spans="15:15" x14ac:dyDescent="0.25">
      <c r="O27444" s="20" t="str">
        <f>IF(N27444="","",COUNTIFS(RawData[[Date ]],N27444,RawData[Month List],$Q$6,RawData[Tour/Site],$Q$2,RawData[[Picker ID ]],$Q$3,RawData[Checker ID],$Q$4,RawData[[Error Type ]],$Q$5))</f>
        <v/>
      </c>
    </row>
    <row r="27445" spans="15:15" x14ac:dyDescent="0.25">
      <c r="O27445" s="20" t="str">
        <f>IF(N27445="","",COUNTIFS(RawData[[Date ]],N27445,RawData[Month List],$Q$6,RawData[Tour/Site],$Q$2,RawData[[Picker ID ]],$Q$3,RawData[Checker ID],$Q$4,RawData[[Error Type ]],$Q$5))</f>
        <v/>
      </c>
    </row>
    <row r="27446" spans="15:15" x14ac:dyDescent="0.25">
      <c r="O27446" s="20" t="str">
        <f>IF(N27446="","",COUNTIFS(RawData[[Date ]],N27446,RawData[Month List],$Q$6,RawData[Tour/Site],$Q$2,RawData[[Picker ID ]],$Q$3,RawData[Checker ID],$Q$4,RawData[[Error Type ]],$Q$5))</f>
        <v/>
      </c>
    </row>
    <row r="27447" spans="15:15" x14ac:dyDescent="0.25">
      <c r="O27447" s="20" t="str">
        <f>IF(N27447="","",COUNTIFS(RawData[[Date ]],N27447,RawData[Month List],$Q$6,RawData[Tour/Site],$Q$2,RawData[[Picker ID ]],$Q$3,RawData[Checker ID],$Q$4,RawData[[Error Type ]],$Q$5))</f>
        <v/>
      </c>
    </row>
    <row r="27448" spans="15:15" x14ac:dyDescent="0.25">
      <c r="O27448" s="20" t="str">
        <f>IF(N27448="","",COUNTIFS(RawData[[Date ]],N27448,RawData[Month List],$Q$6,RawData[Tour/Site],$Q$2,RawData[[Picker ID ]],$Q$3,RawData[Checker ID],$Q$4,RawData[[Error Type ]],$Q$5))</f>
        <v/>
      </c>
    </row>
    <row r="27449" spans="15:15" x14ac:dyDescent="0.25">
      <c r="O27449" s="20" t="str">
        <f>IF(N27449="","",COUNTIFS(RawData[[Date ]],N27449,RawData[Month List],$Q$6,RawData[Tour/Site],$Q$2,RawData[[Picker ID ]],$Q$3,RawData[Checker ID],$Q$4,RawData[[Error Type ]],$Q$5))</f>
        <v/>
      </c>
    </row>
    <row r="27450" spans="15:15" x14ac:dyDescent="0.25">
      <c r="O27450" s="20" t="str">
        <f>IF(N27450="","",COUNTIFS(RawData[[Date ]],N27450,RawData[Month List],$Q$6,RawData[Tour/Site],$Q$2,RawData[[Picker ID ]],$Q$3,RawData[Checker ID],$Q$4,RawData[[Error Type ]],$Q$5))</f>
        <v/>
      </c>
    </row>
    <row r="27451" spans="15:15" x14ac:dyDescent="0.25">
      <c r="O27451" s="20" t="str">
        <f>IF(N27451="","",COUNTIFS(RawData[[Date ]],N27451,RawData[Month List],$Q$6,RawData[Tour/Site],$Q$2,RawData[[Picker ID ]],$Q$3,RawData[Checker ID],$Q$4,RawData[[Error Type ]],$Q$5))</f>
        <v/>
      </c>
    </row>
    <row r="27452" spans="15:15" x14ac:dyDescent="0.25">
      <c r="O27452" s="20" t="str">
        <f>IF(N27452="","",COUNTIFS(RawData[[Date ]],N27452,RawData[Month List],$Q$6,RawData[Tour/Site],$Q$2,RawData[[Picker ID ]],$Q$3,RawData[Checker ID],$Q$4,RawData[[Error Type ]],$Q$5))</f>
        <v/>
      </c>
    </row>
    <row r="27453" spans="15:15" x14ac:dyDescent="0.25">
      <c r="O27453" s="20" t="str">
        <f>IF(N27453="","",COUNTIFS(RawData[[Date ]],N27453,RawData[Month List],$Q$6,RawData[Tour/Site],$Q$2,RawData[[Picker ID ]],$Q$3,RawData[Checker ID],$Q$4,RawData[[Error Type ]],$Q$5))</f>
        <v/>
      </c>
    </row>
    <row r="27454" spans="15:15" x14ac:dyDescent="0.25">
      <c r="O27454" s="20" t="str">
        <f>IF(N27454="","",COUNTIFS(RawData[[Date ]],N27454,RawData[Month List],$Q$6,RawData[Tour/Site],$Q$2,RawData[[Picker ID ]],$Q$3,RawData[Checker ID],$Q$4,RawData[[Error Type ]],$Q$5))</f>
        <v/>
      </c>
    </row>
    <row r="27455" spans="15:15" x14ac:dyDescent="0.25">
      <c r="O27455" s="20" t="str">
        <f>IF(N27455="","",COUNTIFS(RawData[[Date ]],N27455,RawData[Month List],$Q$6,RawData[Tour/Site],$Q$2,RawData[[Picker ID ]],$Q$3,RawData[Checker ID],$Q$4,RawData[[Error Type ]],$Q$5))</f>
        <v/>
      </c>
    </row>
    <row r="27456" spans="15:15" x14ac:dyDescent="0.25">
      <c r="O27456" s="20" t="str">
        <f>IF(N27456="","",COUNTIFS(RawData[[Date ]],N27456,RawData[Month List],$Q$6,RawData[Tour/Site],$Q$2,RawData[[Picker ID ]],$Q$3,RawData[Checker ID],$Q$4,RawData[[Error Type ]],$Q$5))</f>
        <v/>
      </c>
    </row>
    <row r="27457" spans="15:15" x14ac:dyDescent="0.25">
      <c r="O27457" s="20" t="str">
        <f>IF(N27457="","",COUNTIFS(RawData[[Date ]],N27457,RawData[Month List],$Q$6,RawData[Tour/Site],$Q$2,RawData[[Picker ID ]],$Q$3,RawData[Checker ID],$Q$4,RawData[[Error Type ]],$Q$5))</f>
        <v/>
      </c>
    </row>
    <row r="27458" spans="15:15" x14ac:dyDescent="0.25">
      <c r="O27458" s="20" t="str">
        <f>IF(N27458="","",COUNTIFS(RawData[[Date ]],N27458,RawData[Month List],$Q$6,RawData[Tour/Site],$Q$2,RawData[[Picker ID ]],$Q$3,RawData[Checker ID],$Q$4,RawData[[Error Type ]],$Q$5))</f>
        <v/>
      </c>
    </row>
    <row r="27459" spans="15:15" x14ac:dyDescent="0.25">
      <c r="O27459" s="20" t="str">
        <f>IF(N27459="","",COUNTIFS(RawData[[Date ]],N27459,RawData[Month List],$Q$6,RawData[Tour/Site],$Q$2,RawData[[Picker ID ]],$Q$3,RawData[Checker ID],$Q$4,RawData[[Error Type ]],$Q$5))</f>
        <v/>
      </c>
    </row>
    <row r="27460" spans="15:15" x14ac:dyDescent="0.25">
      <c r="O27460" s="20" t="str">
        <f>IF(N27460="","",COUNTIFS(RawData[[Date ]],N27460,RawData[Month List],$Q$6,RawData[Tour/Site],$Q$2,RawData[[Picker ID ]],$Q$3,RawData[Checker ID],$Q$4,RawData[[Error Type ]],$Q$5))</f>
        <v/>
      </c>
    </row>
    <row r="27461" spans="15:15" x14ac:dyDescent="0.25">
      <c r="O27461" s="20" t="str">
        <f>IF(N27461="","",COUNTIFS(RawData[[Date ]],N27461,RawData[Month List],$Q$6,RawData[Tour/Site],$Q$2,RawData[[Picker ID ]],$Q$3,RawData[Checker ID],$Q$4,RawData[[Error Type ]],$Q$5))</f>
        <v/>
      </c>
    </row>
    <row r="27462" spans="15:15" x14ac:dyDescent="0.25">
      <c r="O27462" s="20" t="str">
        <f>IF(N27462="","",COUNTIFS(RawData[[Date ]],N27462,RawData[Month List],$Q$6,RawData[Tour/Site],$Q$2,RawData[[Picker ID ]],$Q$3,RawData[Checker ID],$Q$4,RawData[[Error Type ]],$Q$5))</f>
        <v/>
      </c>
    </row>
    <row r="27463" spans="15:15" x14ac:dyDescent="0.25">
      <c r="O27463" s="20" t="str">
        <f>IF(N27463="","",COUNTIFS(RawData[[Date ]],N27463,RawData[Month List],$Q$6,RawData[Tour/Site],$Q$2,RawData[[Picker ID ]],$Q$3,RawData[Checker ID],$Q$4,RawData[[Error Type ]],$Q$5))</f>
        <v/>
      </c>
    </row>
    <row r="27464" spans="15:15" x14ac:dyDescent="0.25">
      <c r="O27464" s="20" t="str">
        <f>IF(N27464="","",COUNTIFS(RawData[[Date ]],N27464,RawData[Month List],$Q$6,RawData[Tour/Site],$Q$2,RawData[[Picker ID ]],$Q$3,RawData[Checker ID],$Q$4,RawData[[Error Type ]],$Q$5))</f>
        <v/>
      </c>
    </row>
    <row r="27465" spans="15:15" x14ac:dyDescent="0.25">
      <c r="O27465" s="20" t="str">
        <f>IF(N27465="","",COUNTIFS(RawData[[Date ]],N27465,RawData[Month List],$Q$6,RawData[Tour/Site],$Q$2,RawData[[Picker ID ]],$Q$3,RawData[Checker ID],$Q$4,RawData[[Error Type ]],$Q$5))</f>
        <v/>
      </c>
    </row>
    <row r="27466" spans="15:15" x14ac:dyDescent="0.25">
      <c r="O27466" s="20" t="str">
        <f>IF(N27466="","",COUNTIFS(RawData[[Date ]],N27466,RawData[Month List],$Q$6,RawData[Tour/Site],$Q$2,RawData[[Picker ID ]],$Q$3,RawData[Checker ID],$Q$4,RawData[[Error Type ]],$Q$5))</f>
        <v/>
      </c>
    </row>
    <row r="27467" spans="15:15" x14ac:dyDescent="0.25">
      <c r="O27467" s="20" t="str">
        <f>IF(N27467="","",COUNTIFS(RawData[[Date ]],N27467,RawData[Month List],$Q$6,RawData[Tour/Site],$Q$2,RawData[[Picker ID ]],$Q$3,RawData[Checker ID],$Q$4,RawData[[Error Type ]],$Q$5))</f>
        <v/>
      </c>
    </row>
    <row r="27468" spans="15:15" x14ac:dyDescent="0.25">
      <c r="O27468" s="20" t="str">
        <f>IF(N27468="","",COUNTIFS(RawData[[Date ]],N27468,RawData[Month List],$Q$6,RawData[Tour/Site],$Q$2,RawData[[Picker ID ]],$Q$3,RawData[Checker ID],$Q$4,RawData[[Error Type ]],$Q$5))</f>
        <v/>
      </c>
    </row>
    <row r="27469" spans="15:15" x14ac:dyDescent="0.25">
      <c r="O27469" s="20" t="str">
        <f>IF(N27469="","",COUNTIFS(RawData[[Date ]],N27469,RawData[Month List],$Q$6,RawData[Tour/Site],$Q$2,RawData[[Picker ID ]],$Q$3,RawData[Checker ID],$Q$4,RawData[[Error Type ]],$Q$5))</f>
        <v/>
      </c>
    </row>
    <row r="27470" spans="15:15" x14ac:dyDescent="0.25">
      <c r="O27470" s="20" t="str">
        <f>IF(N27470="","",COUNTIFS(RawData[[Date ]],N27470,RawData[Month List],$Q$6,RawData[Tour/Site],$Q$2,RawData[[Picker ID ]],$Q$3,RawData[Checker ID],$Q$4,RawData[[Error Type ]],$Q$5))</f>
        <v/>
      </c>
    </row>
    <row r="27471" spans="15:15" x14ac:dyDescent="0.25">
      <c r="O27471" s="20" t="str">
        <f>IF(N27471="","",COUNTIFS(RawData[[Date ]],N27471,RawData[Month List],$Q$6,RawData[Tour/Site],$Q$2,RawData[[Picker ID ]],$Q$3,RawData[Checker ID],$Q$4,RawData[[Error Type ]],$Q$5))</f>
        <v/>
      </c>
    </row>
    <row r="27472" spans="15:15" x14ac:dyDescent="0.25">
      <c r="O27472" s="20" t="str">
        <f>IF(N27472="","",COUNTIFS(RawData[[Date ]],N27472,RawData[Month List],$Q$6,RawData[Tour/Site],$Q$2,RawData[[Picker ID ]],$Q$3,RawData[Checker ID],$Q$4,RawData[[Error Type ]],$Q$5))</f>
        <v/>
      </c>
    </row>
    <row r="27473" spans="15:15" x14ac:dyDescent="0.25">
      <c r="O27473" s="20" t="str">
        <f>IF(N27473="","",COUNTIFS(RawData[[Date ]],N27473,RawData[Month List],$Q$6,RawData[Tour/Site],$Q$2,RawData[[Picker ID ]],$Q$3,RawData[Checker ID],$Q$4,RawData[[Error Type ]],$Q$5))</f>
        <v/>
      </c>
    </row>
    <row r="27474" spans="15:15" x14ac:dyDescent="0.25">
      <c r="O27474" s="20" t="str">
        <f>IF(N27474="","",COUNTIFS(RawData[[Date ]],N27474,RawData[Month List],$Q$6,RawData[Tour/Site],$Q$2,RawData[[Picker ID ]],$Q$3,RawData[Checker ID],$Q$4,RawData[[Error Type ]],$Q$5))</f>
        <v/>
      </c>
    </row>
    <row r="27475" spans="15:15" x14ac:dyDescent="0.25">
      <c r="O27475" s="20" t="str">
        <f>IF(N27475="","",COUNTIFS(RawData[[Date ]],N27475,RawData[Month List],$Q$6,RawData[Tour/Site],$Q$2,RawData[[Picker ID ]],$Q$3,RawData[Checker ID],$Q$4,RawData[[Error Type ]],$Q$5))</f>
        <v/>
      </c>
    </row>
    <row r="27476" spans="15:15" x14ac:dyDescent="0.25">
      <c r="O27476" s="20" t="str">
        <f>IF(N27476="","",COUNTIFS(RawData[[Date ]],N27476,RawData[Month List],$Q$6,RawData[Tour/Site],$Q$2,RawData[[Picker ID ]],$Q$3,RawData[Checker ID],$Q$4,RawData[[Error Type ]],$Q$5))</f>
        <v/>
      </c>
    </row>
    <row r="27477" spans="15:15" x14ac:dyDescent="0.25">
      <c r="O27477" s="20" t="str">
        <f>IF(N27477="","",COUNTIFS(RawData[[Date ]],N27477,RawData[Month List],$Q$6,RawData[Tour/Site],$Q$2,RawData[[Picker ID ]],$Q$3,RawData[Checker ID],$Q$4,RawData[[Error Type ]],$Q$5))</f>
        <v/>
      </c>
    </row>
    <row r="27478" spans="15:15" x14ac:dyDescent="0.25">
      <c r="O27478" s="20" t="str">
        <f>IF(N27478="","",COUNTIFS(RawData[[Date ]],N27478,RawData[Month List],$Q$6,RawData[Tour/Site],$Q$2,RawData[[Picker ID ]],$Q$3,RawData[Checker ID],$Q$4,RawData[[Error Type ]],$Q$5))</f>
        <v/>
      </c>
    </row>
    <row r="27479" spans="15:15" x14ac:dyDescent="0.25">
      <c r="O27479" s="20" t="str">
        <f>IF(N27479="","",COUNTIFS(RawData[[Date ]],N27479,RawData[Month List],$Q$6,RawData[Tour/Site],$Q$2,RawData[[Picker ID ]],$Q$3,RawData[Checker ID],$Q$4,RawData[[Error Type ]],$Q$5))</f>
        <v/>
      </c>
    </row>
    <row r="27480" spans="15:15" x14ac:dyDescent="0.25">
      <c r="O27480" s="20" t="str">
        <f>IF(N27480="","",COUNTIFS(RawData[[Date ]],N27480,RawData[Month List],$Q$6,RawData[Tour/Site],$Q$2,RawData[[Picker ID ]],$Q$3,RawData[Checker ID],$Q$4,RawData[[Error Type ]],$Q$5))</f>
        <v/>
      </c>
    </row>
    <row r="27481" spans="15:15" x14ac:dyDescent="0.25">
      <c r="O27481" s="20" t="str">
        <f>IF(N27481="","",COUNTIFS(RawData[[Date ]],N27481,RawData[Month List],$Q$6,RawData[Tour/Site],$Q$2,RawData[[Picker ID ]],$Q$3,RawData[Checker ID],$Q$4,RawData[[Error Type ]],$Q$5))</f>
        <v/>
      </c>
    </row>
    <row r="27482" spans="15:15" x14ac:dyDescent="0.25">
      <c r="O27482" s="20" t="str">
        <f>IF(N27482="","",COUNTIFS(RawData[[Date ]],N27482,RawData[Month List],$Q$6,RawData[Tour/Site],$Q$2,RawData[[Picker ID ]],$Q$3,RawData[Checker ID],$Q$4,RawData[[Error Type ]],$Q$5))</f>
        <v/>
      </c>
    </row>
    <row r="27483" spans="15:15" x14ac:dyDescent="0.25">
      <c r="O27483" s="20" t="str">
        <f>IF(N27483="","",COUNTIFS(RawData[[Date ]],N27483,RawData[Month List],$Q$6,RawData[Tour/Site],$Q$2,RawData[[Picker ID ]],$Q$3,RawData[Checker ID],$Q$4,RawData[[Error Type ]],$Q$5))</f>
        <v/>
      </c>
    </row>
    <row r="27484" spans="15:15" x14ac:dyDescent="0.25">
      <c r="O27484" s="20" t="str">
        <f>IF(N27484="","",COUNTIFS(RawData[[Date ]],N27484,RawData[Month List],$Q$6,RawData[Tour/Site],$Q$2,RawData[[Picker ID ]],$Q$3,RawData[Checker ID],$Q$4,RawData[[Error Type ]],$Q$5))</f>
        <v/>
      </c>
    </row>
    <row r="27485" spans="15:15" x14ac:dyDescent="0.25">
      <c r="O27485" s="20" t="str">
        <f>IF(N27485="","",COUNTIFS(RawData[[Date ]],N27485,RawData[Month List],$Q$6,RawData[Tour/Site],$Q$2,RawData[[Picker ID ]],$Q$3,RawData[Checker ID],$Q$4,RawData[[Error Type ]],$Q$5))</f>
        <v/>
      </c>
    </row>
    <row r="27486" spans="15:15" x14ac:dyDescent="0.25">
      <c r="O27486" s="20" t="str">
        <f>IF(N27486="","",COUNTIFS(RawData[[Date ]],N27486,RawData[Month List],$Q$6,RawData[Tour/Site],$Q$2,RawData[[Picker ID ]],$Q$3,RawData[Checker ID],$Q$4,RawData[[Error Type ]],$Q$5))</f>
        <v/>
      </c>
    </row>
    <row r="27487" spans="15:15" x14ac:dyDescent="0.25">
      <c r="O27487" s="20" t="str">
        <f>IF(N27487="","",COUNTIFS(RawData[[Date ]],N27487,RawData[Month List],$Q$6,RawData[Tour/Site],$Q$2,RawData[[Picker ID ]],$Q$3,RawData[Checker ID],$Q$4,RawData[[Error Type ]],$Q$5))</f>
        <v/>
      </c>
    </row>
    <row r="27488" spans="15:15" x14ac:dyDescent="0.25">
      <c r="O27488" s="20" t="str">
        <f>IF(N27488="","",COUNTIFS(RawData[[Date ]],N27488,RawData[Month List],$Q$6,RawData[Tour/Site],$Q$2,RawData[[Picker ID ]],$Q$3,RawData[Checker ID],$Q$4,RawData[[Error Type ]],$Q$5))</f>
        <v/>
      </c>
    </row>
    <row r="27489" spans="15:15" x14ac:dyDescent="0.25">
      <c r="O27489" s="20" t="str">
        <f>IF(N27489="","",COUNTIFS(RawData[[Date ]],N27489,RawData[Month List],$Q$6,RawData[Tour/Site],$Q$2,RawData[[Picker ID ]],$Q$3,RawData[Checker ID],$Q$4,RawData[[Error Type ]],$Q$5))</f>
        <v/>
      </c>
    </row>
    <row r="27490" spans="15:15" x14ac:dyDescent="0.25">
      <c r="O27490" s="20" t="str">
        <f>IF(N27490="","",COUNTIFS(RawData[[Date ]],N27490,RawData[Month List],$Q$6,RawData[Tour/Site],$Q$2,RawData[[Picker ID ]],$Q$3,RawData[Checker ID],$Q$4,RawData[[Error Type ]],$Q$5))</f>
        <v/>
      </c>
    </row>
    <row r="27491" spans="15:15" x14ac:dyDescent="0.25">
      <c r="O27491" s="20" t="str">
        <f>IF(N27491="","",COUNTIFS(RawData[[Date ]],N27491,RawData[Month List],$Q$6,RawData[Tour/Site],$Q$2,RawData[[Picker ID ]],$Q$3,RawData[Checker ID],$Q$4,RawData[[Error Type ]],$Q$5))</f>
        <v/>
      </c>
    </row>
    <row r="27492" spans="15:15" x14ac:dyDescent="0.25">
      <c r="O27492" s="20" t="str">
        <f>IF(N27492="","",COUNTIFS(RawData[[Date ]],N27492,RawData[Month List],$Q$6,RawData[Tour/Site],$Q$2,RawData[[Picker ID ]],$Q$3,RawData[Checker ID],$Q$4,RawData[[Error Type ]],$Q$5))</f>
        <v/>
      </c>
    </row>
    <row r="27493" spans="15:15" x14ac:dyDescent="0.25">
      <c r="O27493" s="20" t="str">
        <f>IF(N27493="","",COUNTIFS(RawData[[Date ]],N27493,RawData[Month List],$Q$6,RawData[Tour/Site],$Q$2,RawData[[Picker ID ]],$Q$3,RawData[Checker ID],$Q$4,RawData[[Error Type ]],$Q$5))</f>
        <v/>
      </c>
    </row>
    <row r="27494" spans="15:15" x14ac:dyDescent="0.25">
      <c r="O27494" s="20" t="str">
        <f>IF(N27494="","",COUNTIFS(RawData[[Date ]],N27494,RawData[Month List],$Q$6,RawData[Tour/Site],$Q$2,RawData[[Picker ID ]],$Q$3,RawData[Checker ID],$Q$4,RawData[[Error Type ]],$Q$5))</f>
        <v/>
      </c>
    </row>
    <row r="27495" spans="15:15" x14ac:dyDescent="0.25">
      <c r="O27495" s="20" t="str">
        <f>IF(N27495="","",COUNTIFS(RawData[[Date ]],N27495,RawData[Month List],$Q$6,RawData[Tour/Site],$Q$2,RawData[[Picker ID ]],$Q$3,RawData[Checker ID],$Q$4,RawData[[Error Type ]],$Q$5))</f>
        <v/>
      </c>
    </row>
    <row r="27496" spans="15:15" x14ac:dyDescent="0.25">
      <c r="O27496" s="20" t="str">
        <f>IF(N27496="","",COUNTIFS(RawData[[Date ]],N27496,RawData[Month List],$Q$6,RawData[Tour/Site],$Q$2,RawData[[Picker ID ]],$Q$3,RawData[Checker ID],$Q$4,RawData[[Error Type ]],$Q$5))</f>
        <v/>
      </c>
    </row>
    <row r="27497" spans="15:15" x14ac:dyDescent="0.25">
      <c r="O27497" s="20" t="str">
        <f>IF(N27497="","",COUNTIFS(RawData[[Date ]],N27497,RawData[Month List],$Q$6,RawData[Tour/Site],$Q$2,RawData[[Picker ID ]],$Q$3,RawData[Checker ID],$Q$4,RawData[[Error Type ]],$Q$5))</f>
        <v/>
      </c>
    </row>
    <row r="27498" spans="15:15" x14ac:dyDescent="0.25">
      <c r="O27498" s="20" t="str">
        <f>IF(N27498="","",COUNTIFS(RawData[[Date ]],N27498,RawData[Month List],$Q$6,RawData[Tour/Site],$Q$2,RawData[[Picker ID ]],$Q$3,RawData[Checker ID],$Q$4,RawData[[Error Type ]],$Q$5))</f>
        <v/>
      </c>
    </row>
    <row r="27499" spans="15:15" x14ac:dyDescent="0.25">
      <c r="O27499" s="20" t="str">
        <f>IF(N27499="","",COUNTIFS(RawData[[Date ]],N27499,RawData[Month List],$Q$6,RawData[Tour/Site],$Q$2,RawData[[Picker ID ]],$Q$3,RawData[Checker ID],$Q$4,RawData[[Error Type ]],$Q$5))</f>
        <v/>
      </c>
    </row>
    <row r="27500" spans="15:15" x14ac:dyDescent="0.25">
      <c r="O27500" s="20" t="str">
        <f>IF(N27500="","",COUNTIFS(RawData[[Date ]],N27500,RawData[Month List],$Q$6,RawData[Tour/Site],$Q$2,RawData[[Picker ID ]],$Q$3,RawData[Checker ID],$Q$4,RawData[[Error Type ]],$Q$5))</f>
        <v/>
      </c>
    </row>
    <row r="27501" spans="15:15" x14ac:dyDescent="0.25">
      <c r="O27501" s="20" t="str">
        <f>IF(N27501="","",COUNTIFS(RawData[[Date ]],N27501,RawData[Month List],$Q$6,RawData[Tour/Site],$Q$2,RawData[[Picker ID ]],$Q$3,RawData[Checker ID],$Q$4,RawData[[Error Type ]],$Q$5))</f>
        <v/>
      </c>
    </row>
    <row r="27502" spans="15:15" x14ac:dyDescent="0.25">
      <c r="O27502" s="20" t="str">
        <f>IF(N27502="","",COUNTIFS(RawData[[Date ]],N27502,RawData[Month List],$Q$6,RawData[Tour/Site],$Q$2,RawData[[Picker ID ]],$Q$3,RawData[Checker ID],$Q$4,RawData[[Error Type ]],$Q$5))</f>
        <v/>
      </c>
    </row>
    <row r="27503" spans="15:15" x14ac:dyDescent="0.25">
      <c r="O27503" s="20" t="str">
        <f>IF(N27503="","",COUNTIFS(RawData[[Date ]],N27503,RawData[Month List],$Q$6,RawData[Tour/Site],$Q$2,RawData[[Picker ID ]],$Q$3,RawData[Checker ID],$Q$4,RawData[[Error Type ]],$Q$5))</f>
        <v/>
      </c>
    </row>
    <row r="27504" spans="15:15" x14ac:dyDescent="0.25">
      <c r="O27504" s="20" t="str">
        <f>IF(N27504="","",COUNTIFS(RawData[[Date ]],N27504,RawData[Month List],$Q$6,RawData[Tour/Site],$Q$2,RawData[[Picker ID ]],$Q$3,RawData[Checker ID],$Q$4,RawData[[Error Type ]],$Q$5))</f>
        <v/>
      </c>
    </row>
    <row r="27505" spans="15:15" x14ac:dyDescent="0.25">
      <c r="O27505" s="20" t="str">
        <f>IF(N27505="","",COUNTIFS(RawData[[Date ]],N27505,RawData[Month List],$Q$6,RawData[Tour/Site],$Q$2,RawData[[Picker ID ]],$Q$3,RawData[Checker ID],$Q$4,RawData[[Error Type ]],$Q$5))</f>
        <v/>
      </c>
    </row>
    <row r="27506" spans="15:15" x14ac:dyDescent="0.25">
      <c r="O27506" s="20" t="str">
        <f>IF(N27506="","",COUNTIFS(RawData[[Date ]],N27506,RawData[Month List],$Q$6,RawData[Tour/Site],$Q$2,RawData[[Picker ID ]],$Q$3,RawData[Checker ID],$Q$4,RawData[[Error Type ]],$Q$5))</f>
        <v/>
      </c>
    </row>
    <row r="27507" spans="15:15" x14ac:dyDescent="0.25">
      <c r="O27507" s="20" t="str">
        <f>IF(N27507="","",COUNTIFS(RawData[[Date ]],N27507,RawData[Month List],$Q$6,RawData[Tour/Site],$Q$2,RawData[[Picker ID ]],$Q$3,RawData[Checker ID],$Q$4,RawData[[Error Type ]],$Q$5))</f>
        <v/>
      </c>
    </row>
    <row r="27508" spans="15:15" x14ac:dyDescent="0.25">
      <c r="O27508" s="20" t="str">
        <f>IF(N27508="","",COUNTIFS(RawData[[Date ]],N27508,RawData[Month List],$Q$6,RawData[Tour/Site],$Q$2,RawData[[Picker ID ]],$Q$3,RawData[Checker ID],$Q$4,RawData[[Error Type ]],$Q$5))</f>
        <v/>
      </c>
    </row>
    <row r="27509" spans="15:15" x14ac:dyDescent="0.25">
      <c r="O27509" s="20" t="str">
        <f>IF(N27509="","",COUNTIFS(RawData[[Date ]],N27509,RawData[Month List],$Q$6,RawData[Tour/Site],$Q$2,RawData[[Picker ID ]],$Q$3,RawData[Checker ID],$Q$4,RawData[[Error Type ]],$Q$5))</f>
        <v/>
      </c>
    </row>
    <row r="27510" spans="15:15" x14ac:dyDescent="0.25">
      <c r="O27510" s="20" t="str">
        <f>IF(N27510="","",COUNTIFS(RawData[[Date ]],N27510,RawData[Month List],$Q$6,RawData[Tour/Site],$Q$2,RawData[[Picker ID ]],$Q$3,RawData[Checker ID],$Q$4,RawData[[Error Type ]],$Q$5))</f>
        <v/>
      </c>
    </row>
    <row r="27511" spans="15:15" x14ac:dyDescent="0.25">
      <c r="O27511" s="20" t="str">
        <f>IF(N27511="","",COUNTIFS(RawData[[Date ]],N27511,RawData[Month List],$Q$6,RawData[Tour/Site],$Q$2,RawData[[Picker ID ]],$Q$3,RawData[Checker ID],$Q$4,RawData[[Error Type ]],$Q$5))</f>
        <v/>
      </c>
    </row>
    <row r="27512" spans="15:15" x14ac:dyDescent="0.25">
      <c r="O27512" s="20" t="str">
        <f>IF(N27512="","",COUNTIFS(RawData[[Date ]],N27512,RawData[Month List],$Q$6,RawData[Tour/Site],$Q$2,RawData[[Picker ID ]],$Q$3,RawData[Checker ID],$Q$4,RawData[[Error Type ]],$Q$5))</f>
        <v/>
      </c>
    </row>
    <row r="27513" spans="15:15" x14ac:dyDescent="0.25">
      <c r="O27513" s="20" t="str">
        <f>IF(N27513="","",COUNTIFS(RawData[[Date ]],N27513,RawData[Month List],$Q$6,RawData[Tour/Site],$Q$2,RawData[[Picker ID ]],$Q$3,RawData[Checker ID],$Q$4,RawData[[Error Type ]],$Q$5))</f>
        <v/>
      </c>
    </row>
    <row r="27514" spans="15:15" x14ac:dyDescent="0.25">
      <c r="O27514" s="20" t="str">
        <f>IF(N27514="","",COUNTIFS(RawData[[Date ]],N27514,RawData[Month List],$Q$6,RawData[Tour/Site],$Q$2,RawData[[Picker ID ]],$Q$3,RawData[Checker ID],$Q$4,RawData[[Error Type ]],$Q$5))</f>
        <v/>
      </c>
    </row>
    <row r="27515" spans="15:15" x14ac:dyDescent="0.25">
      <c r="O27515" s="20" t="str">
        <f>IF(N27515="","",COUNTIFS(RawData[[Date ]],N27515,RawData[Month List],$Q$6,RawData[Tour/Site],$Q$2,RawData[[Picker ID ]],$Q$3,RawData[Checker ID],$Q$4,RawData[[Error Type ]],$Q$5))</f>
        <v/>
      </c>
    </row>
    <row r="27516" spans="15:15" x14ac:dyDescent="0.25">
      <c r="O27516" s="20" t="str">
        <f>IF(N27516="","",COUNTIFS(RawData[[Date ]],N27516,RawData[Month List],$Q$6,RawData[Tour/Site],$Q$2,RawData[[Picker ID ]],$Q$3,RawData[Checker ID],$Q$4,RawData[[Error Type ]],$Q$5))</f>
        <v/>
      </c>
    </row>
    <row r="27517" spans="15:15" x14ac:dyDescent="0.25">
      <c r="O27517" s="20" t="str">
        <f>IF(N27517="","",COUNTIFS(RawData[[Date ]],N27517,RawData[Month List],$Q$6,RawData[Tour/Site],$Q$2,RawData[[Picker ID ]],$Q$3,RawData[Checker ID],$Q$4,RawData[[Error Type ]],$Q$5))</f>
        <v/>
      </c>
    </row>
    <row r="27518" spans="15:15" x14ac:dyDescent="0.25">
      <c r="O27518" s="20" t="str">
        <f>IF(N27518="","",COUNTIFS(RawData[[Date ]],N27518,RawData[Month List],$Q$6,RawData[Tour/Site],$Q$2,RawData[[Picker ID ]],$Q$3,RawData[Checker ID],$Q$4,RawData[[Error Type ]],$Q$5))</f>
        <v/>
      </c>
    </row>
    <row r="27519" spans="15:15" x14ac:dyDescent="0.25">
      <c r="O27519" s="20" t="str">
        <f>IF(N27519="","",COUNTIFS(RawData[[Date ]],N27519,RawData[Month List],$Q$6,RawData[Tour/Site],$Q$2,RawData[[Picker ID ]],$Q$3,RawData[Checker ID],$Q$4,RawData[[Error Type ]],$Q$5))</f>
        <v/>
      </c>
    </row>
    <row r="27520" spans="15:15" x14ac:dyDescent="0.25">
      <c r="O27520" s="20" t="str">
        <f>IF(N27520="","",COUNTIFS(RawData[[Date ]],N27520,RawData[Month List],$Q$6,RawData[Tour/Site],$Q$2,RawData[[Picker ID ]],$Q$3,RawData[Checker ID],$Q$4,RawData[[Error Type ]],$Q$5))</f>
        <v/>
      </c>
    </row>
    <row r="27521" spans="15:15" x14ac:dyDescent="0.25">
      <c r="O27521" s="20" t="str">
        <f>IF(N27521="","",COUNTIFS(RawData[[Date ]],N27521,RawData[Month List],$Q$6,RawData[Tour/Site],$Q$2,RawData[[Picker ID ]],$Q$3,RawData[Checker ID],$Q$4,RawData[[Error Type ]],$Q$5))</f>
        <v/>
      </c>
    </row>
    <row r="27522" spans="15:15" x14ac:dyDescent="0.25">
      <c r="O27522" s="20" t="str">
        <f>IF(N27522="","",COUNTIFS(RawData[[Date ]],N27522,RawData[Month List],$Q$6,RawData[Tour/Site],$Q$2,RawData[[Picker ID ]],$Q$3,RawData[Checker ID],$Q$4,RawData[[Error Type ]],$Q$5))</f>
        <v/>
      </c>
    </row>
    <row r="27523" spans="15:15" x14ac:dyDescent="0.25">
      <c r="O27523" s="20" t="str">
        <f>IF(N27523="","",COUNTIFS(RawData[[Date ]],N27523,RawData[Month List],$Q$6,RawData[Tour/Site],$Q$2,RawData[[Picker ID ]],$Q$3,RawData[Checker ID],$Q$4,RawData[[Error Type ]],$Q$5))</f>
        <v/>
      </c>
    </row>
    <row r="27524" spans="15:15" x14ac:dyDescent="0.25">
      <c r="O27524" s="20" t="str">
        <f>IF(N27524="","",COUNTIFS(RawData[[Date ]],N27524,RawData[Month List],$Q$6,RawData[Tour/Site],$Q$2,RawData[[Picker ID ]],$Q$3,RawData[Checker ID],$Q$4,RawData[[Error Type ]],$Q$5))</f>
        <v/>
      </c>
    </row>
    <row r="27525" spans="15:15" x14ac:dyDescent="0.25">
      <c r="O27525" s="20" t="str">
        <f>IF(N27525="","",COUNTIFS(RawData[[Date ]],N27525,RawData[Month List],$Q$6,RawData[Tour/Site],$Q$2,RawData[[Picker ID ]],$Q$3,RawData[Checker ID],$Q$4,RawData[[Error Type ]],$Q$5))</f>
        <v/>
      </c>
    </row>
    <row r="27526" spans="15:15" x14ac:dyDescent="0.25">
      <c r="O27526" s="20" t="str">
        <f>IF(N27526="","",COUNTIFS(RawData[[Date ]],N27526,RawData[Month List],$Q$6,RawData[Tour/Site],$Q$2,RawData[[Picker ID ]],$Q$3,RawData[Checker ID],$Q$4,RawData[[Error Type ]],$Q$5))</f>
        <v/>
      </c>
    </row>
    <row r="27527" spans="15:15" x14ac:dyDescent="0.25">
      <c r="O27527" s="20" t="str">
        <f>IF(N27527="","",COUNTIFS(RawData[[Date ]],N27527,RawData[Month List],$Q$6,RawData[Tour/Site],$Q$2,RawData[[Picker ID ]],$Q$3,RawData[Checker ID],$Q$4,RawData[[Error Type ]],$Q$5))</f>
        <v/>
      </c>
    </row>
    <row r="27528" spans="15:15" x14ac:dyDescent="0.25">
      <c r="O27528" s="20" t="str">
        <f>IF(N27528="","",COUNTIFS(RawData[[Date ]],N27528,RawData[Month List],$Q$6,RawData[Tour/Site],$Q$2,RawData[[Picker ID ]],$Q$3,RawData[Checker ID],$Q$4,RawData[[Error Type ]],$Q$5))</f>
        <v/>
      </c>
    </row>
    <row r="27529" spans="15:15" x14ac:dyDescent="0.25">
      <c r="O27529" s="20" t="str">
        <f>IF(N27529="","",COUNTIFS(RawData[[Date ]],N27529,RawData[Month List],$Q$6,RawData[Tour/Site],$Q$2,RawData[[Picker ID ]],$Q$3,RawData[Checker ID],$Q$4,RawData[[Error Type ]],$Q$5))</f>
        <v/>
      </c>
    </row>
    <row r="27530" spans="15:15" x14ac:dyDescent="0.25">
      <c r="O27530" s="20" t="str">
        <f>IF(N27530="","",COUNTIFS(RawData[[Date ]],N27530,RawData[Month List],$Q$6,RawData[Tour/Site],$Q$2,RawData[[Picker ID ]],$Q$3,RawData[Checker ID],$Q$4,RawData[[Error Type ]],$Q$5))</f>
        <v/>
      </c>
    </row>
    <row r="27531" spans="15:15" x14ac:dyDescent="0.25">
      <c r="O27531" s="20" t="str">
        <f>IF(N27531="","",COUNTIFS(RawData[[Date ]],N27531,RawData[Month List],$Q$6,RawData[Tour/Site],$Q$2,RawData[[Picker ID ]],$Q$3,RawData[Checker ID],$Q$4,RawData[[Error Type ]],$Q$5))</f>
        <v/>
      </c>
    </row>
    <row r="27532" spans="15:15" x14ac:dyDescent="0.25">
      <c r="O27532" s="20" t="str">
        <f>IF(N27532="","",COUNTIFS(RawData[[Date ]],N27532,RawData[Month List],$Q$6,RawData[Tour/Site],$Q$2,RawData[[Picker ID ]],$Q$3,RawData[Checker ID],$Q$4,RawData[[Error Type ]],$Q$5))</f>
        <v/>
      </c>
    </row>
    <row r="27533" spans="15:15" x14ac:dyDescent="0.25">
      <c r="O27533" s="20" t="str">
        <f>IF(N27533="","",COUNTIFS(RawData[[Date ]],N27533,RawData[Month List],$Q$6,RawData[Tour/Site],$Q$2,RawData[[Picker ID ]],$Q$3,RawData[Checker ID],$Q$4,RawData[[Error Type ]],$Q$5))</f>
        <v/>
      </c>
    </row>
    <row r="27534" spans="15:15" x14ac:dyDescent="0.25">
      <c r="O27534" s="20" t="str">
        <f>IF(N27534="","",COUNTIFS(RawData[[Date ]],N27534,RawData[Month List],$Q$6,RawData[Tour/Site],$Q$2,RawData[[Picker ID ]],$Q$3,RawData[Checker ID],$Q$4,RawData[[Error Type ]],$Q$5))</f>
        <v/>
      </c>
    </row>
    <row r="27535" spans="15:15" x14ac:dyDescent="0.25">
      <c r="O27535" s="20" t="str">
        <f>IF(N27535="","",COUNTIFS(RawData[[Date ]],N27535,RawData[Month List],$Q$6,RawData[Tour/Site],$Q$2,RawData[[Picker ID ]],$Q$3,RawData[Checker ID],$Q$4,RawData[[Error Type ]],$Q$5))</f>
        <v/>
      </c>
    </row>
    <row r="27536" spans="15:15" x14ac:dyDescent="0.25">
      <c r="O27536" s="20" t="str">
        <f>IF(N27536="","",COUNTIFS(RawData[[Date ]],N27536,RawData[Month List],$Q$6,RawData[Tour/Site],$Q$2,RawData[[Picker ID ]],$Q$3,RawData[Checker ID],$Q$4,RawData[[Error Type ]],$Q$5))</f>
        <v/>
      </c>
    </row>
    <row r="27537" spans="15:15" x14ac:dyDescent="0.25">
      <c r="O27537" s="20" t="str">
        <f>IF(N27537="","",COUNTIFS(RawData[[Date ]],N27537,RawData[Month List],$Q$6,RawData[Tour/Site],$Q$2,RawData[[Picker ID ]],$Q$3,RawData[Checker ID],$Q$4,RawData[[Error Type ]],$Q$5))</f>
        <v/>
      </c>
    </row>
    <row r="27538" spans="15:15" x14ac:dyDescent="0.25">
      <c r="O27538" s="20" t="str">
        <f>IF(N27538="","",COUNTIFS(RawData[[Date ]],N27538,RawData[Month List],$Q$6,RawData[Tour/Site],$Q$2,RawData[[Picker ID ]],$Q$3,RawData[Checker ID],$Q$4,RawData[[Error Type ]],$Q$5))</f>
        <v/>
      </c>
    </row>
    <row r="27539" spans="15:15" x14ac:dyDescent="0.25">
      <c r="O27539" s="20" t="str">
        <f>IF(N27539="","",COUNTIFS(RawData[[Date ]],N27539,RawData[Month List],$Q$6,RawData[Tour/Site],$Q$2,RawData[[Picker ID ]],$Q$3,RawData[Checker ID],$Q$4,RawData[[Error Type ]],$Q$5))</f>
        <v/>
      </c>
    </row>
    <row r="27540" spans="15:15" x14ac:dyDescent="0.25">
      <c r="O27540" s="20" t="str">
        <f>IF(N27540="","",COUNTIFS(RawData[[Date ]],N27540,RawData[Month List],$Q$6,RawData[Tour/Site],$Q$2,RawData[[Picker ID ]],$Q$3,RawData[Checker ID],$Q$4,RawData[[Error Type ]],$Q$5))</f>
        <v/>
      </c>
    </row>
    <row r="27541" spans="15:15" x14ac:dyDescent="0.25">
      <c r="O27541" s="20" t="str">
        <f>IF(N27541="","",COUNTIFS(RawData[[Date ]],N27541,RawData[Month List],$Q$6,RawData[Tour/Site],$Q$2,RawData[[Picker ID ]],$Q$3,RawData[Checker ID],$Q$4,RawData[[Error Type ]],$Q$5))</f>
        <v/>
      </c>
    </row>
    <row r="27542" spans="15:15" x14ac:dyDescent="0.25">
      <c r="O27542" s="20" t="str">
        <f>IF(N27542="","",COUNTIFS(RawData[[Date ]],N27542,RawData[Month List],$Q$6,RawData[Tour/Site],$Q$2,RawData[[Picker ID ]],$Q$3,RawData[Checker ID],$Q$4,RawData[[Error Type ]],$Q$5))</f>
        <v/>
      </c>
    </row>
    <row r="27543" spans="15:15" x14ac:dyDescent="0.25">
      <c r="O27543" s="20" t="str">
        <f>IF(N27543="","",COUNTIFS(RawData[[Date ]],N27543,RawData[Month List],$Q$6,RawData[Tour/Site],$Q$2,RawData[[Picker ID ]],$Q$3,RawData[Checker ID],$Q$4,RawData[[Error Type ]],$Q$5))</f>
        <v/>
      </c>
    </row>
    <row r="27544" spans="15:15" x14ac:dyDescent="0.25">
      <c r="O27544" s="20" t="str">
        <f>IF(N27544="","",COUNTIFS(RawData[[Date ]],N27544,RawData[Month List],$Q$6,RawData[Tour/Site],$Q$2,RawData[[Picker ID ]],$Q$3,RawData[Checker ID],$Q$4,RawData[[Error Type ]],$Q$5))</f>
        <v/>
      </c>
    </row>
    <row r="27545" spans="15:15" x14ac:dyDescent="0.25">
      <c r="O27545" s="20" t="str">
        <f>IF(N27545="","",COUNTIFS(RawData[[Date ]],N27545,RawData[Month List],$Q$6,RawData[Tour/Site],$Q$2,RawData[[Picker ID ]],$Q$3,RawData[Checker ID],$Q$4,RawData[[Error Type ]],$Q$5))</f>
        <v/>
      </c>
    </row>
    <row r="27546" spans="15:15" x14ac:dyDescent="0.25">
      <c r="O27546" s="20" t="str">
        <f>IF(N27546="","",COUNTIFS(RawData[[Date ]],N27546,RawData[Month List],$Q$6,RawData[Tour/Site],$Q$2,RawData[[Picker ID ]],$Q$3,RawData[Checker ID],$Q$4,RawData[[Error Type ]],$Q$5))</f>
        <v/>
      </c>
    </row>
    <row r="27547" spans="15:15" x14ac:dyDescent="0.25">
      <c r="O27547" s="20" t="str">
        <f>IF(N27547="","",COUNTIFS(RawData[[Date ]],N27547,RawData[Month List],$Q$6,RawData[Tour/Site],$Q$2,RawData[[Picker ID ]],$Q$3,RawData[Checker ID],$Q$4,RawData[[Error Type ]],$Q$5))</f>
        <v/>
      </c>
    </row>
    <row r="27548" spans="15:15" x14ac:dyDescent="0.25">
      <c r="O27548" s="20" t="str">
        <f>IF(N27548="","",COUNTIFS(RawData[[Date ]],N27548,RawData[Month List],$Q$6,RawData[Tour/Site],$Q$2,RawData[[Picker ID ]],$Q$3,RawData[Checker ID],$Q$4,RawData[[Error Type ]],$Q$5))</f>
        <v/>
      </c>
    </row>
    <row r="27549" spans="15:15" x14ac:dyDescent="0.25">
      <c r="O27549" s="20" t="str">
        <f>IF(N27549="","",COUNTIFS(RawData[[Date ]],N27549,RawData[Month List],$Q$6,RawData[Tour/Site],$Q$2,RawData[[Picker ID ]],$Q$3,RawData[Checker ID],$Q$4,RawData[[Error Type ]],$Q$5))</f>
        <v/>
      </c>
    </row>
    <row r="27550" spans="15:15" x14ac:dyDescent="0.25">
      <c r="O27550" s="20" t="str">
        <f>IF(N27550="","",COUNTIFS(RawData[[Date ]],N27550,RawData[Month List],$Q$6,RawData[Tour/Site],$Q$2,RawData[[Picker ID ]],$Q$3,RawData[Checker ID],$Q$4,RawData[[Error Type ]],$Q$5))</f>
        <v/>
      </c>
    </row>
    <row r="27551" spans="15:15" x14ac:dyDescent="0.25">
      <c r="O27551" s="20" t="str">
        <f>IF(N27551="","",COUNTIFS(RawData[[Date ]],N27551,RawData[Month List],$Q$6,RawData[Tour/Site],$Q$2,RawData[[Picker ID ]],$Q$3,RawData[Checker ID],$Q$4,RawData[[Error Type ]],$Q$5))</f>
        <v/>
      </c>
    </row>
    <row r="27552" spans="15:15" x14ac:dyDescent="0.25">
      <c r="O27552" s="20" t="str">
        <f>IF(N27552="","",COUNTIFS(RawData[[Date ]],N27552,RawData[Month List],$Q$6,RawData[Tour/Site],$Q$2,RawData[[Picker ID ]],$Q$3,RawData[Checker ID],$Q$4,RawData[[Error Type ]],$Q$5))</f>
        <v/>
      </c>
    </row>
    <row r="27553" spans="15:15" x14ac:dyDescent="0.25">
      <c r="O27553" s="20" t="str">
        <f>IF(N27553="","",COUNTIFS(RawData[[Date ]],N27553,RawData[Month List],$Q$6,RawData[Tour/Site],$Q$2,RawData[[Picker ID ]],$Q$3,RawData[Checker ID],$Q$4,RawData[[Error Type ]],$Q$5))</f>
        <v/>
      </c>
    </row>
    <row r="27554" spans="15:15" x14ac:dyDescent="0.25">
      <c r="O27554" s="20" t="str">
        <f>IF(N27554="","",COUNTIFS(RawData[[Date ]],N27554,RawData[Month List],$Q$6,RawData[Tour/Site],$Q$2,RawData[[Picker ID ]],$Q$3,RawData[Checker ID],$Q$4,RawData[[Error Type ]],$Q$5))</f>
        <v/>
      </c>
    </row>
    <row r="27555" spans="15:15" x14ac:dyDescent="0.25">
      <c r="O27555" s="20" t="str">
        <f>IF(N27555="","",COUNTIFS(RawData[[Date ]],N27555,RawData[Month List],$Q$6,RawData[Tour/Site],$Q$2,RawData[[Picker ID ]],$Q$3,RawData[Checker ID],$Q$4,RawData[[Error Type ]],$Q$5))</f>
        <v/>
      </c>
    </row>
    <row r="27556" spans="15:15" x14ac:dyDescent="0.25">
      <c r="O27556" s="20" t="str">
        <f>IF(N27556="","",COUNTIFS(RawData[[Date ]],N27556,RawData[Month List],$Q$6,RawData[Tour/Site],$Q$2,RawData[[Picker ID ]],$Q$3,RawData[Checker ID],$Q$4,RawData[[Error Type ]],$Q$5))</f>
        <v/>
      </c>
    </row>
    <row r="27557" spans="15:15" x14ac:dyDescent="0.25">
      <c r="O27557" s="20" t="str">
        <f>IF(N27557="","",COUNTIFS(RawData[[Date ]],N27557,RawData[Month List],$Q$6,RawData[Tour/Site],$Q$2,RawData[[Picker ID ]],$Q$3,RawData[Checker ID],$Q$4,RawData[[Error Type ]],$Q$5))</f>
        <v/>
      </c>
    </row>
    <row r="27558" spans="15:15" x14ac:dyDescent="0.25">
      <c r="O27558" s="20" t="str">
        <f>IF(N27558="","",COUNTIFS(RawData[[Date ]],N27558,RawData[Month List],$Q$6,RawData[Tour/Site],$Q$2,RawData[[Picker ID ]],$Q$3,RawData[Checker ID],$Q$4,RawData[[Error Type ]],$Q$5))</f>
        <v/>
      </c>
    </row>
    <row r="27559" spans="15:15" x14ac:dyDescent="0.25">
      <c r="O27559" s="20" t="str">
        <f>IF(N27559="","",COUNTIFS(RawData[[Date ]],N27559,RawData[Month List],$Q$6,RawData[Tour/Site],$Q$2,RawData[[Picker ID ]],$Q$3,RawData[Checker ID],$Q$4,RawData[[Error Type ]],$Q$5))</f>
        <v/>
      </c>
    </row>
    <row r="27560" spans="15:15" x14ac:dyDescent="0.25">
      <c r="O27560" s="20" t="str">
        <f>IF(N27560="","",COUNTIFS(RawData[[Date ]],N27560,RawData[Month List],$Q$6,RawData[Tour/Site],$Q$2,RawData[[Picker ID ]],$Q$3,RawData[Checker ID],$Q$4,RawData[[Error Type ]],$Q$5))</f>
        <v/>
      </c>
    </row>
    <row r="27561" spans="15:15" x14ac:dyDescent="0.25">
      <c r="O27561" s="20" t="str">
        <f>IF(N27561="","",COUNTIFS(RawData[[Date ]],N27561,RawData[Month List],$Q$6,RawData[Tour/Site],$Q$2,RawData[[Picker ID ]],$Q$3,RawData[Checker ID],$Q$4,RawData[[Error Type ]],$Q$5))</f>
        <v/>
      </c>
    </row>
    <row r="27562" spans="15:15" x14ac:dyDescent="0.25">
      <c r="O27562" s="20" t="str">
        <f>IF(N27562="","",COUNTIFS(RawData[[Date ]],N27562,RawData[Month List],$Q$6,RawData[Tour/Site],$Q$2,RawData[[Picker ID ]],$Q$3,RawData[Checker ID],$Q$4,RawData[[Error Type ]],$Q$5))</f>
        <v/>
      </c>
    </row>
    <row r="27563" spans="15:15" x14ac:dyDescent="0.25">
      <c r="O27563" s="20" t="str">
        <f>IF(N27563="","",COUNTIFS(RawData[[Date ]],N27563,RawData[Month List],$Q$6,RawData[Tour/Site],$Q$2,RawData[[Picker ID ]],$Q$3,RawData[Checker ID],$Q$4,RawData[[Error Type ]],$Q$5))</f>
        <v/>
      </c>
    </row>
    <row r="27564" spans="15:15" x14ac:dyDescent="0.25">
      <c r="O27564" s="20" t="str">
        <f>IF(N27564="","",COUNTIFS(RawData[[Date ]],N27564,RawData[Month List],$Q$6,RawData[Tour/Site],$Q$2,RawData[[Picker ID ]],$Q$3,RawData[Checker ID],$Q$4,RawData[[Error Type ]],$Q$5))</f>
        <v/>
      </c>
    </row>
    <row r="27565" spans="15:15" x14ac:dyDescent="0.25">
      <c r="O27565" s="20" t="str">
        <f>IF(N27565="","",COUNTIFS(RawData[[Date ]],N27565,RawData[Month List],$Q$6,RawData[Tour/Site],$Q$2,RawData[[Picker ID ]],$Q$3,RawData[Checker ID],$Q$4,RawData[[Error Type ]],$Q$5))</f>
        <v/>
      </c>
    </row>
    <row r="27566" spans="15:15" x14ac:dyDescent="0.25">
      <c r="O27566" s="20" t="str">
        <f>IF(N27566="","",COUNTIFS(RawData[[Date ]],N27566,RawData[Month List],$Q$6,RawData[Tour/Site],$Q$2,RawData[[Picker ID ]],$Q$3,RawData[Checker ID],$Q$4,RawData[[Error Type ]],$Q$5))</f>
        <v/>
      </c>
    </row>
    <row r="27567" spans="15:15" x14ac:dyDescent="0.25">
      <c r="O27567" s="20" t="str">
        <f>IF(N27567="","",COUNTIFS(RawData[[Date ]],N27567,RawData[Month List],$Q$6,RawData[Tour/Site],$Q$2,RawData[[Picker ID ]],$Q$3,RawData[Checker ID],$Q$4,RawData[[Error Type ]],$Q$5))</f>
        <v/>
      </c>
    </row>
    <row r="27568" spans="15:15" x14ac:dyDescent="0.25">
      <c r="O27568" s="20" t="str">
        <f>IF(N27568="","",COUNTIFS(RawData[[Date ]],N27568,RawData[Month List],$Q$6,RawData[Tour/Site],$Q$2,RawData[[Picker ID ]],$Q$3,RawData[Checker ID],$Q$4,RawData[[Error Type ]],$Q$5))</f>
        <v/>
      </c>
    </row>
    <row r="27569" spans="15:15" x14ac:dyDescent="0.25">
      <c r="O27569" s="20" t="str">
        <f>IF(N27569="","",COUNTIFS(RawData[[Date ]],N27569,RawData[Month List],$Q$6,RawData[Tour/Site],$Q$2,RawData[[Picker ID ]],$Q$3,RawData[Checker ID],$Q$4,RawData[[Error Type ]],$Q$5))</f>
        <v/>
      </c>
    </row>
    <row r="27570" spans="15:15" x14ac:dyDescent="0.25">
      <c r="O27570" s="20" t="str">
        <f>IF(N27570="","",COUNTIFS(RawData[[Date ]],N27570,RawData[Month List],$Q$6,RawData[Tour/Site],$Q$2,RawData[[Picker ID ]],$Q$3,RawData[Checker ID],$Q$4,RawData[[Error Type ]],$Q$5))</f>
        <v/>
      </c>
    </row>
    <row r="27571" spans="15:15" x14ac:dyDescent="0.25">
      <c r="O27571" s="20" t="str">
        <f>IF(N27571="","",COUNTIFS(RawData[[Date ]],N27571,RawData[Month List],$Q$6,RawData[Tour/Site],$Q$2,RawData[[Picker ID ]],$Q$3,RawData[Checker ID],$Q$4,RawData[[Error Type ]],$Q$5))</f>
        <v/>
      </c>
    </row>
    <row r="27572" spans="15:15" x14ac:dyDescent="0.25">
      <c r="O27572" s="20" t="str">
        <f>IF(N27572="","",COUNTIFS(RawData[[Date ]],N27572,RawData[Month List],$Q$6,RawData[Tour/Site],$Q$2,RawData[[Picker ID ]],$Q$3,RawData[Checker ID],$Q$4,RawData[[Error Type ]],$Q$5))</f>
        <v/>
      </c>
    </row>
    <row r="27573" spans="15:15" x14ac:dyDescent="0.25">
      <c r="O27573" s="20" t="str">
        <f>IF(N27573="","",COUNTIFS(RawData[[Date ]],N27573,RawData[Month List],$Q$6,RawData[Tour/Site],$Q$2,RawData[[Picker ID ]],$Q$3,RawData[Checker ID],$Q$4,RawData[[Error Type ]],$Q$5))</f>
        <v/>
      </c>
    </row>
    <row r="27574" spans="15:15" x14ac:dyDescent="0.25">
      <c r="O27574" s="20" t="str">
        <f>IF(N27574="","",COUNTIFS(RawData[[Date ]],N27574,RawData[Month List],$Q$6,RawData[Tour/Site],$Q$2,RawData[[Picker ID ]],$Q$3,RawData[Checker ID],$Q$4,RawData[[Error Type ]],$Q$5))</f>
        <v/>
      </c>
    </row>
    <row r="27575" spans="15:15" x14ac:dyDescent="0.25">
      <c r="O27575" s="20" t="str">
        <f>IF(N27575="","",COUNTIFS(RawData[[Date ]],N27575,RawData[Month List],$Q$6,RawData[Tour/Site],$Q$2,RawData[[Picker ID ]],$Q$3,RawData[Checker ID],$Q$4,RawData[[Error Type ]],$Q$5))</f>
        <v/>
      </c>
    </row>
    <row r="27576" spans="15:15" x14ac:dyDescent="0.25">
      <c r="O27576" s="20" t="str">
        <f>IF(N27576="","",COUNTIFS(RawData[[Date ]],N27576,RawData[Month List],$Q$6,RawData[Tour/Site],$Q$2,RawData[[Picker ID ]],$Q$3,RawData[Checker ID],$Q$4,RawData[[Error Type ]],$Q$5))</f>
        <v/>
      </c>
    </row>
    <row r="27577" spans="15:15" x14ac:dyDescent="0.25">
      <c r="O27577" s="20" t="str">
        <f>IF(N27577="","",COUNTIFS(RawData[[Date ]],N27577,RawData[Month List],$Q$6,RawData[Tour/Site],$Q$2,RawData[[Picker ID ]],$Q$3,RawData[Checker ID],$Q$4,RawData[[Error Type ]],$Q$5))</f>
        <v/>
      </c>
    </row>
    <row r="27578" spans="15:15" x14ac:dyDescent="0.25">
      <c r="O27578" s="20" t="str">
        <f>IF(N27578="","",COUNTIFS(RawData[[Date ]],N27578,RawData[Month List],$Q$6,RawData[Tour/Site],$Q$2,RawData[[Picker ID ]],$Q$3,RawData[Checker ID],$Q$4,RawData[[Error Type ]],$Q$5))</f>
        <v/>
      </c>
    </row>
    <row r="27579" spans="15:15" x14ac:dyDescent="0.25">
      <c r="O27579" s="20" t="str">
        <f>IF(N27579="","",COUNTIFS(RawData[[Date ]],N27579,RawData[Month List],$Q$6,RawData[Tour/Site],$Q$2,RawData[[Picker ID ]],$Q$3,RawData[Checker ID],$Q$4,RawData[[Error Type ]],$Q$5))</f>
        <v/>
      </c>
    </row>
    <row r="27580" spans="15:15" x14ac:dyDescent="0.25">
      <c r="O27580" s="20" t="str">
        <f>IF(N27580="","",COUNTIFS(RawData[[Date ]],N27580,RawData[Month List],$Q$6,RawData[Tour/Site],$Q$2,RawData[[Picker ID ]],$Q$3,RawData[Checker ID],$Q$4,RawData[[Error Type ]],$Q$5))</f>
        <v/>
      </c>
    </row>
    <row r="27581" spans="15:15" x14ac:dyDescent="0.25">
      <c r="O27581" s="20" t="str">
        <f>IF(N27581="","",COUNTIFS(RawData[[Date ]],N27581,RawData[Month List],$Q$6,RawData[Tour/Site],$Q$2,RawData[[Picker ID ]],$Q$3,RawData[Checker ID],$Q$4,RawData[[Error Type ]],$Q$5))</f>
        <v/>
      </c>
    </row>
    <row r="27582" spans="15:15" x14ac:dyDescent="0.25">
      <c r="O27582" s="20" t="str">
        <f>IF(N27582="","",COUNTIFS(RawData[[Date ]],N27582,RawData[Month List],$Q$6,RawData[Tour/Site],$Q$2,RawData[[Picker ID ]],$Q$3,RawData[Checker ID],$Q$4,RawData[[Error Type ]],$Q$5))</f>
        <v/>
      </c>
    </row>
    <row r="27583" spans="15:15" x14ac:dyDescent="0.25">
      <c r="O27583" s="20" t="str">
        <f>IF(N27583="","",COUNTIFS(RawData[[Date ]],N27583,RawData[Month List],$Q$6,RawData[Tour/Site],$Q$2,RawData[[Picker ID ]],$Q$3,RawData[Checker ID],$Q$4,RawData[[Error Type ]],$Q$5))</f>
        <v/>
      </c>
    </row>
    <row r="27584" spans="15:15" x14ac:dyDescent="0.25">
      <c r="O27584" s="20" t="str">
        <f>IF(N27584="","",COUNTIFS(RawData[[Date ]],N27584,RawData[Month List],$Q$6,RawData[Tour/Site],$Q$2,RawData[[Picker ID ]],$Q$3,RawData[Checker ID],$Q$4,RawData[[Error Type ]],$Q$5))</f>
        <v/>
      </c>
    </row>
    <row r="27585" spans="15:15" x14ac:dyDescent="0.25">
      <c r="O27585" s="20" t="str">
        <f>IF(N27585="","",COUNTIFS(RawData[[Date ]],N27585,RawData[Month List],$Q$6,RawData[Tour/Site],$Q$2,RawData[[Picker ID ]],$Q$3,RawData[Checker ID],$Q$4,RawData[[Error Type ]],$Q$5))</f>
        <v/>
      </c>
    </row>
    <row r="27586" spans="15:15" x14ac:dyDescent="0.25">
      <c r="O27586" s="20" t="str">
        <f>IF(N27586="","",COUNTIFS(RawData[[Date ]],N27586,RawData[Month List],$Q$6,RawData[Tour/Site],$Q$2,RawData[[Picker ID ]],$Q$3,RawData[Checker ID],$Q$4,RawData[[Error Type ]],$Q$5))</f>
        <v/>
      </c>
    </row>
    <row r="27587" spans="15:15" x14ac:dyDescent="0.25">
      <c r="O27587" s="20" t="str">
        <f>IF(N27587="","",COUNTIFS(RawData[[Date ]],N27587,RawData[Month List],$Q$6,RawData[Tour/Site],$Q$2,RawData[[Picker ID ]],$Q$3,RawData[Checker ID],$Q$4,RawData[[Error Type ]],$Q$5))</f>
        <v/>
      </c>
    </row>
    <row r="27588" spans="15:15" x14ac:dyDescent="0.25">
      <c r="O27588" s="20" t="str">
        <f>IF(N27588="","",COUNTIFS(RawData[[Date ]],N27588,RawData[Month List],$Q$6,RawData[Tour/Site],$Q$2,RawData[[Picker ID ]],$Q$3,RawData[Checker ID],$Q$4,RawData[[Error Type ]],$Q$5))</f>
        <v/>
      </c>
    </row>
    <row r="27589" spans="15:15" x14ac:dyDescent="0.25">
      <c r="O27589" s="20" t="str">
        <f>IF(N27589="","",COUNTIFS(RawData[[Date ]],N27589,RawData[Month List],$Q$6,RawData[Tour/Site],$Q$2,RawData[[Picker ID ]],$Q$3,RawData[Checker ID],$Q$4,RawData[[Error Type ]],$Q$5))</f>
        <v/>
      </c>
    </row>
    <row r="27590" spans="15:15" x14ac:dyDescent="0.25">
      <c r="O27590" s="20" t="str">
        <f>IF(N27590="","",COUNTIFS(RawData[[Date ]],N27590,RawData[Month List],$Q$6,RawData[Tour/Site],$Q$2,RawData[[Picker ID ]],$Q$3,RawData[Checker ID],$Q$4,RawData[[Error Type ]],$Q$5))</f>
        <v/>
      </c>
    </row>
    <row r="27591" spans="15:15" x14ac:dyDescent="0.25">
      <c r="O27591" s="20" t="str">
        <f>IF(N27591="","",COUNTIFS(RawData[[Date ]],N27591,RawData[Month List],$Q$6,RawData[Tour/Site],$Q$2,RawData[[Picker ID ]],$Q$3,RawData[Checker ID],$Q$4,RawData[[Error Type ]],$Q$5))</f>
        <v/>
      </c>
    </row>
    <row r="27592" spans="15:15" x14ac:dyDescent="0.25">
      <c r="O27592" s="20" t="str">
        <f>IF(N27592="","",COUNTIFS(RawData[[Date ]],N27592,RawData[Month List],$Q$6,RawData[Tour/Site],$Q$2,RawData[[Picker ID ]],$Q$3,RawData[Checker ID],$Q$4,RawData[[Error Type ]],$Q$5))</f>
        <v/>
      </c>
    </row>
    <row r="27593" spans="15:15" x14ac:dyDescent="0.25">
      <c r="O27593" s="20" t="str">
        <f>IF(N27593="","",COUNTIFS(RawData[[Date ]],N27593,RawData[Month List],$Q$6,RawData[Tour/Site],$Q$2,RawData[[Picker ID ]],$Q$3,RawData[Checker ID],$Q$4,RawData[[Error Type ]],$Q$5))</f>
        <v/>
      </c>
    </row>
    <row r="27594" spans="15:15" x14ac:dyDescent="0.25">
      <c r="O27594" s="20" t="str">
        <f>IF(N27594="","",COUNTIFS(RawData[[Date ]],N27594,RawData[Month List],$Q$6,RawData[Tour/Site],$Q$2,RawData[[Picker ID ]],$Q$3,RawData[Checker ID],$Q$4,RawData[[Error Type ]],$Q$5))</f>
        <v/>
      </c>
    </row>
    <row r="27595" spans="15:15" x14ac:dyDescent="0.25">
      <c r="O27595" s="20" t="str">
        <f>IF(N27595="","",COUNTIFS(RawData[[Date ]],N27595,RawData[Month List],$Q$6,RawData[Tour/Site],$Q$2,RawData[[Picker ID ]],$Q$3,RawData[Checker ID],$Q$4,RawData[[Error Type ]],$Q$5))</f>
        <v/>
      </c>
    </row>
    <row r="27596" spans="15:15" x14ac:dyDescent="0.25">
      <c r="O27596" s="20" t="str">
        <f>IF(N27596="","",COUNTIFS(RawData[[Date ]],N27596,RawData[Month List],$Q$6,RawData[Tour/Site],$Q$2,RawData[[Picker ID ]],$Q$3,RawData[Checker ID],$Q$4,RawData[[Error Type ]],$Q$5))</f>
        <v/>
      </c>
    </row>
    <row r="27597" spans="15:15" x14ac:dyDescent="0.25">
      <c r="O27597" s="20" t="str">
        <f>IF(N27597="","",COUNTIFS(RawData[[Date ]],N27597,RawData[Month List],$Q$6,RawData[Tour/Site],$Q$2,RawData[[Picker ID ]],$Q$3,RawData[Checker ID],$Q$4,RawData[[Error Type ]],$Q$5))</f>
        <v/>
      </c>
    </row>
    <row r="27598" spans="15:15" x14ac:dyDescent="0.25">
      <c r="O27598" s="20" t="str">
        <f>IF(N27598="","",COUNTIFS(RawData[[Date ]],N27598,RawData[Month List],$Q$6,RawData[Tour/Site],$Q$2,RawData[[Picker ID ]],$Q$3,RawData[Checker ID],$Q$4,RawData[[Error Type ]],$Q$5))</f>
        <v/>
      </c>
    </row>
    <row r="27599" spans="15:15" x14ac:dyDescent="0.25">
      <c r="O27599" s="20" t="str">
        <f>IF(N27599="","",COUNTIFS(RawData[[Date ]],N27599,RawData[Month List],$Q$6,RawData[Tour/Site],$Q$2,RawData[[Picker ID ]],$Q$3,RawData[Checker ID],$Q$4,RawData[[Error Type ]],$Q$5))</f>
        <v/>
      </c>
    </row>
    <row r="27600" spans="15:15" x14ac:dyDescent="0.25">
      <c r="O27600" s="20" t="str">
        <f>IF(N27600="","",COUNTIFS(RawData[[Date ]],N27600,RawData[Month List],$Q$6,RawData[Tour/Site],$Q$2,RawData[[Picker ID ]],$Q$3,RawData[Checker ID],$Q$4,RawData[[Error Type ]],$Q$5))</f>
        <v/>
      </c>
    </row>
    <row r="27601" spans="15:15" x14ac:dyDescent="0.25">
      <c r="O27601" s="20" t="str">
        <f>IF(N27601="","",COUNTIFS(RawData[[Date ]],N27601,RawData[Month List],$Q$6,RawData[Tour/Site],$Q$2,RawData[[Picker ID ]],$Q$3,RawData[Checker ID],$Q$4,RawData[[Error Type ]],$Q$5))</f>
        <v/>
      </c>
    </row>
    <row r="27602" spans="15:15" x14ac:dyDescent="0.25">
      <c r="O27602" s="20" t="str">
        <f>IF(N27602="","",COUNTIFS(RawData[[Date ]],N27602,RawData[Month List],$Q$6,RawData[Tour/Site],$Q$2,RawData[[Picker ID ]],$Q$3,RawData[Checker ID],$Q$4,RawData[[Error Type ]],$Q$5))</f>
        <v/>
      </c>
    </row>
    <row r="27603" spans="15:15" x14ac:dyDescent="0.25">
      <c r="O27603" s="20" t="str">
        <f>IF(N27603="","",COUNTIFS(RawData[[Date ]],N27603,RawData[Month List],$Q$6,RawData[Tour/Site],$Q$2,RawData[[Picker ID ]],$Q$3,RawData[Checker ID],$Q$4,RawData[[Error Type ]],$Q$5))</f>
        <v/>
      </c>
    </row>
    <row r="27604" spans="15:15" x14ac:dyDescent="0.25">
      <c r="O27604" s="20" t="str">
        <f>IF(N27604="","",COUNTIFS(RawData[[Date ]],N27604,RawData[Month List],$Q$6,RawData[Tour/Site],$Q$2,RawData[[Picker ID ]],$Q$3,RawData[Checker ID],$Q$4,RawData[[Error Type ]],$Q$5))</f>
        <v/>
      </c>
    </row>
    <row r="27605" spans="15:15" x14ac:dyDescent="0.25">
      <c r="O27605" s="20" t="str">
        <f>IF(N27605="","",COUNTIFS(RawData[[Date ]],N27605,RawData[Month List],$Q$6,RawData[Tour/Site],$Q$2,RawData[[Picker ID ]],$Q$3,RawData[Checker ID],$Q$4,RawData[[Error Type ]],$Q$5))</f>
        <v/>
      </c>
    </row>
    <row r="27606" spans="15:15" x14ac:dyDescent="0.25">
      <c r="O27606" s="20" t="str">
        <f>IF(N27606="","",COUNTIFS(RawData[[Date ]],N27606,RawData[Month List],$Q$6,RawData[Tour/Site],$Q$2,RawData[[Picker ID ]],$Q$3,RawData[Checker ID],$Q$4,RawData[[Error Type ]],$Q$5))</f>
        <v/>
      </c>
    </row>
    <row r="27607" spans="15:15" x14ac:dyDescent="0.25">
      <c r="O27607" s="20" t="str">
        <f>IF(N27607="","",COUNTIFS(RawData[[Date ]],N27607,RawData[Month List],$Q$6,RawData[Tour/Site],$Q$2,RawData[[Picker ID ]],$Q$3,RawData[Checker ID],$Q$4,RawData[[Error Type ]],$Q$5))</f>
        <v/>
      </c>
    </row>
    <row r="27608" spans="15:15" x14ac:dyDescent="0.25">
      <c r="O27608" s="20" t="str">
        <f>IF(N27608="","",COUNTIFS(RawData[[Date ]],N27608,RawData[Month List],$Q$6,RawData[Tour/Site],$Q$2,RawData[[Picker ID ]],$Q$3,RawData[Checker ID],$Q$4,RawData[[Error Type ]],$Q$5))</f>
        <v/>
      </c>
    </row>
    <row r="27609" spans="15:15" x14ac:dyDescent="0.25">
      <c r="O27609" s="20" t="str">
        <f>IF(N27609="","",COUNTIFS(RawData[[Date ]],N27609,RawData[Month List],$Q$6,RawData[Tour/Site],$Q$2,RawData[[Picker ID ]],$Q$3,RawData[Checker ID],$Q$4,RawData[[Error Type ]],$Q$5))</f>
        <v/>
      </c>
    </row>
    <row r="27610" spans="15:15" x14ac:dyDescent="0.25">
      <c r="O27610" s="20" t="str">
        <f>IF(N27610="","",COUNTIFS(RawData[[Date ]],N27610,RawData[Month List],$Q$6,RawData[Tour/Site],$Q$2,RawData[[Picker ID ]],$Q$3,RawData[Checker ID],$Q$4,RawData[[Error Type ]],$Q$5))</f>
        <v/>
      </c>
    </row>
    <row r="27611" spans="15:15" x14ac:dyDescent="0.25">
      <c r="O27611" s="20" t="str">
        <f>IF(N27611="","",COUNTIFS(RawData[[Date ]],N27611,RawData[Month List],$Q$6,RawData[Tour/Site],$Q$2,RawData[[Picker ID ]],$Q$3,RawData[Checker ID],$Q$4,RawData[[Error Type ]],$Q$5))</f>
        <v/>
      </c>
    </row>
    <row r="27612" spans="15:15" x14ac:dyDescent="0.25">
      <c r="O27612" s="20" t="str">
        <f>IF(N27612="","",COUNTIFS(RawData[[Date ]],N27612,RawData[Month List],$Q$6,RawData[Tour/Site],$Q$2,RawData[[Picker ID ]],$Q$3,RawData[Checker ID],$Q$4,RawData[[Error Type ]],$Q$5))</f>
        <v/>
      </c>
    </row>
    <row r="27613" spans="15:15" x14ac:dyDescent="0.25">
      <c r="O27613" s="20" t="str">
        <f>IF(N27613="","",COUNTIFS(RawData[[Date ]],N27613,RawData[Month List],$Q$6,RawData[Tour/Site],$Q$2,RawData[[Picker ID ]],$Q$3,RawData[Checker ID],$Q$4,RawData[[Error Type ]],$Q$5))</f>
        <v/>
      </c>
    </row>
    <row r="27614" spans="15:15" x14ac:dyDescent="0.25">
      <c r="O27614" s="20" t="str">
        <f>IF(N27614="","",COUNTIFS(RawData[[Date ]],N27614,RawData[Month List],$Q$6,RawData[Tour/Site],$Q$2,RawData[[Picker ID ]],$Q$3,RawData[Checker ID],$Q$4,RawData[[Error Type ]],$Q$5))</f>
        <v/>
      </c>
    </row>
    <row r="27615" spans="15:15" x14ac:dyDescent="0.25">
      <c r="O27615" s="20" t="str">
        <f>IF(N27615="","",COUNTIFS(RawData[[Date ]],N27615,RawData[Month List],$Q$6,RawData[Tour/Site],$Q$2,RawData[[Picker ID ]],$Q$3,RawData[Checker ID],$Q$4,RawData[[Error Type ]],$Q$5))</f>
        <v/>
      </c>
    </row>
    <row r="27616" spans="15:15" x14ac:dyDescent="0.25">
      <c r="O27616" s="20" t="str">
        <f>IF(N27616="","",COUNTIFS(RawData[[Date ]],N27616,RawData[Month List],$Q$6,RawData[Tour/Site],$Q$2,RawData[[Picker ID ]],$Q$3,RawData[Checker ID],$Q$4,RawData[[Error Type ]],$Q$5))</f>
        <v/>
      </c>
    </row>
    <row r="27617" spans="15:15" x14ac:dyDescent="0.25">
      <c r="O27617" s="20" t="str">
        <f>IF(N27617="","",COUNTIFS(RawData[[Date ]],N27617,RawData[Month List],$Q$6,RawData[Tour/Site],$Q$2,RawData[[Picker ID ]],$Q$3,RawData[Checker ID],$Q$4,RawData[[Error Type ]],$Q$5))</f>
        <v/>
      </c>
    </row>
    <row r="27618" spans="15:15" x14ac:dyDescent="0.25">
      <c r="O27618" s="20" t="str">
        <f>IF(N27618="","",COUNTIFS(RawData[[Date ]],N27618,RawData[Month List],$Q$6,RawData[Tour/Site],$Q$2,RawData[[Picker ID ]],$Q$3,RawData[Checker ID],$Q$4,RawData[[Error Type ]],$Q$5))</f>
        <v/>
      </c>
    </row>
    <row r="27619" spans="15:15" x14ac:dyDescent="0.25">
      <c r="O27619" s="20" t="str">
        <f>IF(N27619="","",COUNTIFS(RawData[[Date ]],N27619,RawData[Month List],$Q$6,RawData[Tour/Site],$Q$2,RawData[[Picker ID ]],$Q$3,RawData[Checker ID],$Q$4,RawData[[Error Type ]],$Q$5))</f>
        <v/>
      </c>
    </row>
    <row r="27620" spans="15:15" x14ac:dyDescent="0.25">
      <c r="O27620" s="20" t="str">
        <f>IF(N27620="","",COUNTIFS(RawData[[Date ]],N27620,RawData[Month List],$Q$6,RawData[Tour/Site],$Q$2,RawData[[Picker ID ]],$Q$3,RawData[Checker ID],$Q$4,RawData[[Error Type ]],$Q$5))</f>
        <v/>
      </c>
    </row>
    <row r="27621" spans="15:15" x14ac:dyDescent="0.25">
      <c r="O27621" s="20" t="str">
        <f>IF(N27621="","",COUNTIFS(RawData[[Date ]],N27621,RawData[Month List],$Q$6,RawData[Tour/Site],$Q$2,RawData[[Picker ID ]],$Q$3,RawData[Checker ID],$Q$4,RawData[[Error Type ]],$Q$5))</f>
        <v/>
      </c>
    </row>
    <row r="27622" spans="15:15" x14ac:dyDescent="0.25">
      <c r="O27622" s="20" t="str">
        <f>IF(N27622="","",COUNTIFS(RawData[[Date ]],N27622,RawData[Month List],$Q$6,RawData[Tour/Site],$Q$2,RawData[[Picker ID ]],$Q$3,RawData[Checker ID],$Q$4,RawData[[Error Type ]],$Q$5))</f>
        <v/>
      </c>
    </row>
    <row r="27623" spans="15:15" x14ac:dyDescent="0.25">
      <c r="O27623" s="20" t="str">
        <f>IF(N27623="","",COUNTIFS(RawData[[Date ]],N27623,RawData[Month List],$Q$6,RawData[Tour/Site],$Q$2,RawData[[Picker ID ]],$Q$3,RawData[Checker ID],$Q$4,RawData[[Error Type ]],$Q$5))</f>
        <v/>
      </c>
    </row>
    <row r="27624" spans="15:15" x14ac:dyDescent="0.25">
      <c r="O27624" s="20" t="str">
        <f>IF(N27624="","",COUNTIFS(RawData[[Date ]],N27624,RawData[Month List],$Q$6,RawData[Tour/Site],$Q$2,RawData[[Picker ID ]],$Q$3,RawData[Checker ID],$Q$4,RawData[[Error Type ]],$Q$5))</f>
        <v/>
      </c>
    </row>
    <row r="27625" spans="15:15" x14ac:dyDescent="0.25">
      <c r="O27625" s="20" t="str">
        <f>IF(N27625="","",COUNTIFS(RawData[[Date ]],N27625,RawData[Month List],$Q$6,RawData[Tour/Site],$Q$2,RawData[[Picker ID ]],$Q$3,RawData[Checker ID],$Q$4,RawData[[Error Type ]],$Q$5))</f>
        <v/>
      </c>
    </row>
    <row r="27626" spans="15:15" x14ac:dyDescent="0.25">
      <c r="O27626" s="20" t="str">
        <f>IF(N27626="","",COUNTIFS(RawData[[Date ]],N27626,RawData[Month List],$Q$6,RawData[Tour/Site],$Q$2,RawData[[Picker ID ]],$Q$3,RawData[Checker ID],$Q$4,RawData[[Error Type ]],$Q$5))</f>
        <v/>
      </c>
    </row>
    <row r="27627" spans="15:15" x14ac:dyDescent="0.25">
      <c r="O27627" s="20" t="str">
        <f>IF(N27627="","",COUNTIFS(RawData[[Date ]],N27627,RawData[Month List],$Q$6,RawData[Tour/Site],$Q$2,RawData[[Picker ID ]],$Q$3,RawData[Checker ID],$Q$4,RawData[[Error Type ]],$Q$5))</f>
        <v/>
      </c>
    </row>
    <row r="27628" spans="15:15" x14ac:dyDescent="0.25">
      <c r="O27628" s="20" t="str">
        <f>IF(N27628="","",COUNTIFS(RawData[[Date ]],N27628,RawData[Month List],$Q$6,RawData[Tour/Site],$Q$2,RawData[[Picker ID ]],$Q$3,RawData[Checker ID],$Q$4,RawData[[Error Type ]],$Q$5))</f>
        <v/>
      </c>
    </row>
    <row r="27629" spans="15:15" x14ac:dyDescent="0.25">
      <c r="O27629" s="20" t="str">
        <f>IF(N27629="","",COUNTIFS(RawData[[Date ]],N27629,RawData[Month List],$Q$6,RawData[Tour/Site],$Q$2,RawData[[Picker ID ]],$Q$3,RawData[Checker ID],$Q$4,RawData[[Error Type ]],$Q$5))</f>
        <v/>
      </c>
    </row>
    <row r="27630" spans="15:15" x14ac:dyDescent="0.25">
      <c r="O27630" s="20" t="str">
        <f>IF(N27630="","",COUNTIFS(RawData[[Date ]],N27630,RawData[Month List],$Q$6,RawData[Tour/Site],$Q$2,RawData[[Picker ID ]],$Q$3,RawData[Checker ID],$Q$4,RawData[[Error Type ]],$Q$5))</f>
        <v/>
      </c>
    </row>
    <row r="27631" spans="15:15" x14ac:dyDescent="0.25">
      <c r="O27631" s="20" t="str">
        <f>IF(N27631="","",COUNTIFS(RawData[[Date ]],N27631,RawData[Month List],$Q$6,RawData[Tour/Site],$Q$2,RawData[[Picker ID ]],$Q$3,RawData[Checker ID],$Q$4,RawData[[Error Type ]],$Q$5))</f>
        <v/>
      </c>
    </row>
    <row r="27632" spans="15:15" x14ac:dyDescent="0.25">
      <c r="O27632" s="20" t="str">
        <f>IF(N27632="","",COUNTIFS(RawData[[Date ]],N27632,RawData[Month List],$Q$6,RawData[Tour/Site],$Q$2,RawData[[Picker ID ]],$Q$3,RawData[Checker ID],$Q$4,RawData[[Error Type ]],$Q$5))</f>
        <v/>
      </c>
    </row>
    <row r="27633" spans="15:15" x14ac:dyDescent="0.25">
      <c r="O27633" s="20" t="str">
        <f>IF(N27633="","",COUNTIFS(RawData[[Date ]],N27633,RawData[Month List],$Q$6,RawData[Tour/Site],$Q$2,RawData[[Picker ID ]],$Q$3,RawData[Checker ID],$Q$4,RawData[[Error Type ]],$Q$5))</f>
        <v/>
      </c>
    </row>
    <row r="27634" spans="15:15" x14ac:dyDescent="0.25">
      <c r="O27634" s="20" t="str">
        <f>IF(N27634="","",COUNTIFS(RawData[[Date ]],N27634,RawData[Month List],$Q$6,RawData[Tour/Site],$Q$2,RawData[[Picker ID ]],$Q$3,RawData[Checker ID],$Q$4,RawData[[Error Type ]],$Q$5))</f>
        <v/>
      </c>
    </row>
    <row r="27635" spans="15:15" x14ac:dyDescent="0.25">
      <c r="O27635" s="20" t="str">
        <f>IF(N27635="","",COUNTIFS(RawData[[Date ]],N27635,RawData[Month List],$Q$6,RawData[Tour/Site],$Q$2,RawData[[Picker ID ]],$Q$3,RawData[Checker ID],$Q$4,RawData[[Error Type ]],$Q$5))</f>
        <v/>
      </c>
    </row>
    <row r="27636" spans="15:15" x14ac:dyDescent="0.25">
      <c r="O27636" s="20" t="str">
        <f>IF(N27636="","",COUNTIFS(RawData[[Date ]],N27636,RawData[Month List],$Q$6,RawData[Tour/Site],$Q$2,RawData[[Picker ID ]],$Q$3,RawData[Checker ID],$Q$4,RawData[[Error Type ]],$Q$5))</f>
        <v/>
      </c>
    </row>
    <row r="27637" spans="15:15" x14ac:dyDescent="0.25">
      <c r="O27637" s="20" t="str">
        <f>IF(N27637="","",COUNTIFS(RawData[[Date ]],N27637,RawData[Month List],$Q$6,RawData[Tour/Site],$Q$2,RawData[[Picker ID ]],$Q$3,RawData[Checker ID],$Q$4,RawData[[Error Type ]],$Q$5))</f>
        <v/>
      </c>
    </row>
    <row r="27638" spans="15:15" x14ac:dyDescent="0.25">
      <c r="O27638" s="20" t="str">
        <f>IF(N27638="","",COUNTIFS(RawData[[Date ]],N27638,RawData[Month List],$Q$6,RawData[Tour/Site],$Q$2,RawData[[Picker ID ]],$Q$3,RawData[Checker ID],$Q$4,RawData[[Error Type ]],$Q$5))</f>
        <v/>
      </c>
    </row>
    <row r="27639" spans="15:15" x14ac:dyDescent="0.25">
      <c r="O27639" s="20" t="str">
        <f>IF(N27639="","",COUNTIFS(RawData[[Date ]],N27639,RawData[Month List],$Q$6,RawData[Tour/Site],$Q$2,RawData[[Picker ID ]],$Q$3,RawData[Checker ID],$Q$4,RawData[[Error Type ]],$Q$5))</f>
        <v/>
      </c>
    </row>
    <row r="27640" spans="15:15" x14ac:dyDescent="0.25">
      <c r="O27640" s="20" t="str">
        <f>IF(N27640="","",COUNTIFS(RawData[[Date ]],N27640,RawData[Month List],$Q$6,RawData[Tour/Site],$Q$2,RawData[[Picker ID ]],$Q$3,RawData[Checker ID],$Q$4,RawData[[Error Type ]],$Q$5))</f>
        <v/>
      </c>
    </row>
    <row r="27641" spans="15:15" x14ac:dyDescent="0.25">
      <c r="O27641" s="20" t="str">
        <f>IF(N27641="","",COUNTIFS(RawData[[Date ]],N27641,RawData[Month List],$Q$6,RawData[Tour/Site],$Q$2,RawData[[Picker ID ]],$Q$3,RawData[Checker ID],$Q$4,RawData[[Error Type ]],$Q$5))</f>
        <v/>
      </c>
    </row>
    <row r="27642" spans="15:15" x14ac:dyDescent="0.25">
      <c r="O27642" s="20" t="str">
        <f>IF(N27642="","",COUNTIFS(RawData[[Date ]],N27642,RawData[Month List],$Q$6,RawData[Tour/Site],$Q$2,RawData[[Picker ID ]],$Q$3,RawData[Checker ID],$Q$4,RawData[[Error Type ]],$Q$5))</f>
        <v/>
      </c>
    </row>
    <row r="27643" spans="15:15" x14ac:dyDescent="0.25">
      <c r="O27643" s="20" t="str">
        <f>IF(N27643="","",COUNTIFS(RawData[[Date ]],N27643,RawData[Month List],$Q$6,RawData[Tour/Site],$Q$2,RawData[[Picker ID ]],$Q$3,RawData[Checker ID],$Q$4,RawData[[Error Type ]],$Q$5))</f>
        <v/>
      </c>
    </row>
    <row r="27644" spans="15:15" x14ac:dyDescent="0.25">
      <c r="O27644" s="20" t="str">
        <f>IF(N27644="","",COUNTIFS(RawData[[Date ]],N27644,RawData[Month List],$Q$6,RawData[Tour/Site],$Q$2,RawData[[Picker ID ]],$Q$3,RawData[Checker ID],$Q$4,RawData[[Error Type ]],$Q$5))</f>
        <v/>
      </c>
    </row>
    <row r="27645" spans="15:15" x14ac:dyDescent="0.25">
      <c r="O27645" s="20" t="str">
        <f>IF(N27645="","",COUNTIFS(RawData[[Date ]],N27645,RawData[Month List],$Q$6,RawData[Tour/Site],$Q$2,RawData[[Picker ID ]],$Q$3,RawData[Checker ID],$Q$4,RawData[[Error Type ]],$Q$5))</f>
        <v/>
      </c>
    </row>
    <row r="27646" spans="15:15" x14ac:dyDescent="0.25">
      <c r="O27646" s="20" t="str">
        <f>IF(N27646="","",COUNTIFS(RawData[[Date ]],N27646,RawData[Month List],$Q$6,RawData[Tour/Site],$Q$2,RawData[[Picker ID ]],$Q$3,RawData[Checker ID],$Q$4,RawData[[Error Type ]],$Q$5))</f>
        <v/>
      </c>
    </row>
    <row r="27647" spans="15:15" x14ac:dyDescent="0.25">
      <c r="O27647" s="20" t="str">
        <f>IF(N27647="","",COUNTIFS(RawData[[Date ]],N27647,RawData[Month List],$Q$6,RawData[Tour/Site],$Q$2,RawData[[Picker ID ]],$Q$3,RawData[Checker ID],$Q$4,RawData[[Error Type ]],$Q$5))</f>
        <v/>
      </c>
    </row>
    <row r="27648" spans="15:15" x14ac:dyDescent="0.25">
      <c r="O27648" s="20" t="str">
        <f>IF(N27648="","",COUNTIFS(RawData[[Date ]],N27648,RawData[Month List],$Q$6,RawData[Tour/Site],$Q$2,RawData[[Picker ID ]],$Q$3,RawData[Checker ID],$Q$4,RawData[[Error Type ]],$Q$5))</f>
        <v/>
      </c>
    </row>
    <row r="27649" spans="15:15" x14ac:dyDescent="0.25">
      <c r="O27649" s="20" t="str">
        <f>IF(N27649="","",COUNTIFS(RawData[[Date ]],N27649,RawData[Month List],$Q$6,RawData[Tour/Site],$Q$2,RawData[[Picker ID ]],$Q$3,RawData[Checker ID],$Q$4,RawData[[Error Type ]],$Q$5))</f>
        <v/>
      </c>
    </row>
    <row r="27650" spans="15:15" x14ac:dyDescent="0.25">
      <c r="O27650" s="20" t="str">
        <f>IF(N27650="","",COUNTIFS(RawData[[Date ]],N27650,RawData[Month List],$Q$6,RawData[Tour/Site],$Q$2,RawData[[Picker ID ]],$Q$3,RawData[Checker ID],$Q$4,RawData[[Error Type ]],$Q$5))</f>
        <v/>
      </c>
    </row>
    <row r="27651" spans="15:15" x14ac:dyDescent="0.25">
      <c r="O27651" s="20" t="str">
        <f>IF(N27651="","",COUNTIFS(RawData[[Date ]],N27651,RawData[Month List],$Q$6,RawData[Tour/Site],$Q$2,RawData[[Picker ID ]],$Q$3,RawData[Checker ID],$Q$4,RawData[[Error Type ]],$Q$5))</f>
        <v/>
      </c>
    </row>
    <row r="27652" spans="15:15" x14ac:dyDescent="0.25">
      <c r="O27652" s="20" t="str">
        <f>IF(N27652="","",COUNTIFS(RawData[[Date ]],N27652,RawData[Month List],$Q$6,RawData[Tour/Site],$Q$2,RawData[[Picker ID ]],$Q$3,RawData[Checker ID],$Q$4,RawData[[Error Type ]],$Q$5))</f>
        <v/>
      </c>
    </row>
    <row r="27653" spans="15:15" x14ac:dyDescent="0.25">
      <c r="O27653" s="20" t="str">
        <f>IF(N27653="","",COUNTIFS(RawData[[Date ]],N27653,RawData[Month List],$Q$6,RawData[Tour/Site],$Q$2,RawData[[Picker ID ]],$Q$3,RawData[Checker ID],$Q$4,RawData[[Error Type ]],$Q$5))</f>
        <v/>
      </c>
    </row>
    <row r="27654" spans="15:15" x14ac:dyDescent="0.25">
      <c r="O27654" s="20" t="str">
        <f>IF(N27654="","",COUNTIFS(RawData[[Date ]],N27654,RawData[Month List],$Q$6,RawData[Tour/Site],$Q$2,RawData[[Picker ID ]],$Q$3,RawData[Checker ID],$Q$4,RawData[[Error Type ]],$Q$5))</f>
        <v/>
      </c>
    </row>
    <row r="27655" spans="15:15" x14ac:dyDescent="0.25">
      <c r="O27655" s="20" t="str">
        <f>IF(N27655="","",COUNTIFS(RawData[[Date ]],N27655,RawData[Month List],$Q$6,RawData[Tour/Site],$Q$2,RawData[[Picker ID ]],$Q$3,RawData[Checker ID],$Q$4,RawData[[Error Type ]],$Q$5))</f>
        <v/>
      </c>
    </row>
    <row r="27656" spans="15:15" x14ac:dyDescent="0.25">
      <c r="O27656" s="20" t="str">
        <f>IF(N27656="","",COUNTIFS(RawData[[Date ]],N27656,RawData[Month List],$Q$6,RawData[Tour/Site],$Q$2,RawData[[Picker ID ]],$Q$3,RawData[Checker ID],$Q$4,RawData[[Error Type ]],$Q$5))</f>
        <v/>
      </c>
    </row>
    <row r="27657" spans="15:15" x14ac:dyDescent="0.25">
      <c r="O27657" s="20" t="str">
        <f>IF(N27657="","",COUNTIFS(RawData[[Date ]],N27657,RawData[Month List],$Q$6,RawData[Tour/Site],$Q$2,RawData[[Picker ID ]],$Q$3,RawData[Checker ID],$Q$4,RawData[[Error Type ]],$Q$5))</f>
        <v/>
      </c>
    </row>
    <row r="27658" spans="15:15" x14ac:dyDescent="0.25">
      <c r="O27658" s="20" t="str">
        <f>IF(N27658="","",COUNTIFS(RawData[[Date ]],N27658,RawData[Month List],$Q$6,RawData[Tour/Site],$Q$2,RawData[[Picker ID ]],$Q$3,RawData[Checker ID],$Q$4,RawData[[Error Type ]],$Q$5))</f>
        <v/>
      </c>
    </row>
    <row r="27659" spans="15:15" x14ac:dyDescent="0.25">
      <c r="O27659" s="20" t="str">
        <f>IF(N27659="","",COUNTIFS(RawData[[Date ]],N27659,RawData[Month List],$Q$6,RawData[Tour/Site],$Q$2,RawData[[Picker ID ]],$Q$3,RawData[Checker ID],$Q$4,RawData[[Error Type ]],$Q$5))</f>
        <v/>
      </c>
    </row>
    <row r="27660" spans="15:15" x14ac:dyDescent="0.25">
      <c r="O27660" s="20" t="str">
        <f>IF(N27660="","",COUNTIFS(RawData[[Date ]],N27660,RawData[Month List],$Q$6,RawData[Tour/Site],$Q$2,RawData[[Picker ID ]],$Q$3,RawData[Checker ID],$Q$4,RawData[[Error Type ]],$Q$5))</f>
        <v/>
      </c>
    </row>
    <row r="27661" spans="15:15" x14ac:dyDescent="0.25">
      <c r="O27661" s="20" t="str">
        <f>IF(N27661="","",COUNTIFS(RawData[[Date ]],N27661,RawData[Month List],$Q$6,RawData[Tour/Site],$Q$2,RawData[[Picker ID ]],$Q$3,RawData[Checker ID],$Q$4,RawData[[Error Type ]],$Q$5))</f>
        <v/>
      </c>
    </row>
    <row r="27662" spans="15:15" x14ac:dyDescent="0.25">
      <c r="O27662" s="20" t="str">
        <f>IF(N27662="","",COUNTIFS(RawData[[Date ]],N27662,RawData[Month List],$Q$6,RawData[Tour/Site],$Q$2,RawData[[Picker ID ]],$Q$3,RawData[Checker ID],$Q$4,RawData[[Error Type ]],$Q$5))</f>
        <v/>
      </c>
    </row>
    <row r="27663" spans="15:15" x14ac:dyDescent="0.25">
      <c r="O27663" s="20" t="str">
        <f>IF(N27663="","",COUNTIFS(RawData[[Date ]],N27663,RawData[Month List],$Q$6,RawData[Tour/Site],$Q$2,RawData[[Picker ID ]],$Q$3,RawData[Checker ID],$Q$4,RawData[[Error Type ]],$Q$5))</f>
        <v/>
      </c>
    </row>
    <row r="27664" spans="15:15" x14ac:dyDescent="0.25">
      <c r="O27664" s="20" t="str">
        <f>IF(N27664="","",COUNTIFS(RawData[[Date ]],N27664,RawData[Month List],$Q$6,RawData[Tour/Site],$Q$2,RawData[[Picker ID ]],$Q$3,RawData[Checker ID],$Q$4,RawData[[Error Type ]],$Q$5))</f>
        <v/>
      </c>
    </row>
    <row r="27665" spans="15:15" x14ac:dyDescent="0.25">
      <c r="O27665" s="20" t="str">
        <f>IF(N27665="","",COUNTIFS(RawData[[Date ]],N27665,RawData[Month List],$Q$6,RawData[Tour/Site],$Q$2,RawData[[Picker ID ]],$Q$3,RawData[Checker ID],$Q$4,RawData[[Error Type ]],$Q$5))</f>
        <v/>
      </c>
    </row>
    <row r="27666" spans="15:15" x14ac:dyDescent="0.25">
      <c r="O27666" s="20" t="str">
        <f>IF(N27666="","",COUNTIFS(RawData[[Date ]],N27666,RawData[Month List],$Q$6,RawData[Tour/Site],$Q$2,RawData[[Picker ID ]],$Q$3,RawData[Checker ID],$Q$4,RawData[[Error Type ]],$Q$5))</f>
        <v/>
      </c>
    </row>
    <row r="27667" spans="15:15" x14ac:dyDescent="0.25">
      <c r="O27667" s="20" t="str">
        <f>IF(N27667="","",COUNTIFS(RawData[[Date ]],N27667,RawData[Month List],$Q$6,RawData[Tour/Site],$Q$2,RawData[[Picker ID ]],$Q$3,RawData[Checker ID],$Q$4,RawData[[Error Type ]],$Q$5))</f>
        <v/>
      </c>
    </row>
    <row r="27668" spans="15:15" x14ac:dyDescent="0.25">
      <c r="O27668" s="20" t="str">
        <f>IF(N27668="","",COUNTIFS(RawData[[Date ]],N27668,RawData[Month List],$Q$6,RawData[Tour/Site],$Q$2,RawData[[Picker ID ]],$Q$3,RawData[Checker ID],$Q$4,RawData[[Error Type ]],$Q$5))</f>
        <v/>
      </c>
    </row>
    <row r="27669" spans="15:15" x14ac:dyDescent="0.25">
      <c r="O27669" s="20" t="str">
        <f>IF(N27669="","",COUNTIFS(RawData[[Date ]],N27669,RawData[Month List],$Q$6,RawData[Tour/Site],$Q$2,RawData[[Picker ID ]],$Q$3,RawData[Checker ID],$Q$4,RawData[[Error Type ]],$Q$5))</f>
        <v/>
      </c>
    </row>
    <row r="27670" spans="15:15" x14ac:dyDescent="0.25">
      <c r="O27670" s="20" t="str">
        <f>IF(N27670="","",COUNTIFS(RawData[[Date ]],N27670,RawData[Month List],$Q$6,RawData[Tour/Site],$Q$2,RawData[[Picker ID ]],$Q$3,RawData[Checker ID],$Q$4,RawData[[Error Type ]],$Q$5))</f>
        <v/>
      </c>
    </row>
    <row r="27671" spans="15:15" x14ac:dyDescent="0.25">
      <c r="O27671" s="20" t="str">
        <f>IF(N27671="","",COUNTIFS(RawData[[Date ]],N27671,RawData[Month List],$Q$6,RawData[Tour/Site],$Q$2,RawData[[Picker ID ]],$Q$3,RawData[Checker ID],$Q$4,RawData[[Error Type ]],$Q$5))</f>
        <v/>
      </c>
    </row>
    <row r="27672" spans="15:15" x14ac:dyDescent="0.25">
      <c r="O27672" s="20" t="str">
        <f>IF(N27672="","",COUNTIFS(RawData[[Date ]],N27672,RawData[Month List],$Q$6,RawData[Tour/Site],$Q$2,RawData[[Picker ID ]],$Q$3,RawData[Checker ID],$Q$4,RawData[[Error Type ]],$Q$5))</f>
        <v/>
      </c>
    </row>
    <row r="27673" spans="15:15" x14ac:dyDescent="0.25">
      <c r="O27673" s="20" t="str">
        <f>IF(N27673="","",COUNTIFS(RawData[[Date ]],N27673,RawData[Month List],$Q$6,RawData[Tour/Site],$Q$2,RawData[[Picker ID ]],$Q$3,RawData[Checker ID],$Q$4,RawData[[Error Type ]],$Q$5))</f>
        <v/>
      </c>
    </row>
    <row r="27674" spans="15:15" x14ac:dyDescent="0.25">
      <c r="O27674" s="20" t="str">
        <f>IF(N27674="","",COUNTIFS(RawData[[Date ]],N27674,RawData[Month List],$Q$6,RawData[Tour/Site],$Q$2,RawData[[Picker ID ]],$Q$3,RawData[Checker ID],$Q$4,RawData[[Error Type ]],$Q$5))</f>
        <v/>
      </c>
    </row>
    <row r="27675" spans="15:15" x14ac:dyDescent="0.25">
      <c r="O27675" s="20" t="str">
        <f>IF(N27675="","",COUNTIFS(RawData[[Date ]],N27675,RawData[Month List],$Q$6,RawData[Tour/Site],$Q$2,RawData[[Picker ID ]],$Q$3,RawData[Checker ID],$Q$4,RawData[[Error Type ]],$Q$5))</f>
        <v/>
      </c>
    </row>
    <row r="27676" spans="15:15" x14ac:dyDescent="0.25">
      <c r="O27676" s="20" t="str">
        <f>IF(N27676="","",COUNTIFS(RawData[[Date ]],N27676,RawData[Month List],$Q$6,RawData[Tour/Site],$Q$2,RawData[[Picker ID ]],$Q$3,RawData[Checker ID],$Q$4,RawData[[Error Type ]],$Q$5))</f>
        <v/>
      </c>
    </row>
    <row r="27677" spans="15:15" x14ac:dyDescent="0.25">
      <c r="O27677" s="20" t="str">
        <f>IF(N27677="","",COUNTIFS(RawData[[Date ]],N27677,RawData[Month List],$Q$6,RawData[Tour/Site],$Q$2,RawData[[Picker ID ]],$Q$3,RawData[Checker ID],$Q$4,RawData[[Error Type ]],$Q$5))</f>
        <v/>
      </c>
    </row>
    <row r="27678" spans="15:15" x14ac:dyDescent="0.25">
      <c r="O27678" s="20" t="str">
        <f>IF(N27678="","",COUNTIFS(RawData[[Date ]],N27678,RawData[Month List],$Q$6,RawData[Tour/Site],$Q$2,RawData[[Picker ID ]],$Q$3,RawData[Checker ID],$Q$4,RawData[[Error Type ]],$Q$5))</f>
        <v/>
      </c>
    </row>
    <row r="27679" spans="15:15" x14ac:dyDescent="0.25">
      <c r="O27679" s="20" t="str">
        <f>IF(N27679="","",COUNTIFS(RawData[[Date ]],N27679,RawData[Month List],$Q$6,RawData[Tour/Site],$Q$2,RawData[[Picker ID ]],$Q$3,RawData[Checker ID],$Q$4,RawData[[Error Type ]],$Q$5))</f>
        <v/>
      </c>
    </row>
    <row r="27680" spans="15:15" x14ac:dyDescent="0.25">
      <c r="O27680" s="20" t="str">
        <f>IF(N27680="","",COUNTIFS(RawData[[Date ]],N27680,RawData[Month List],$Q$6,RawData[Tour/Site],$Q$2,RawData[[Picker ID ]],$Q$3,RawData[Checker ID],$Q$4,RawData[[Error Type ]],$Q$5))</f>
        <v/>
      </c>
    </row>
    <row r="27681" spans="15:15" x14ac:dyDescent="0.25">
      <c r="O27681" s="20" t="str">
        <f>IF(N27681="","",COUNTIFS(RawData[[Date ]],N27681,RawData[Month List],$Q$6,RawData[Tour/Site],$Q$2,RawData[[Picker ID ]],$Q$3,RawData[Checker ID],$Q$4,RawData[[Error Type ]],$Q$5))</f>
        <v/>
      </c>
    </row>
    <row r="27682" spans="15:15" x14ac:dyDescent="0.25">
      <c r="O27682" s="20" t="str">
        <f>IF(N27682="","",COUNTIFS(RawData[[Date ]],N27682,RawData[Month List],$Q$6,RawData[Tour/Site],$Q$2,RawData[[Picker ID ]],$Q$3,RawData[Checker ID],$Q$4,RawData[[Error Type ]],$Q$5))</f>
        <v/>
      </c>
    </row>
    <row r="27683" spans="15:15" x14ac:dyDescent="0.25">
      <c r="O27683" s="20" t="str">
        <f>IF(N27683="","",COUNTIFS(RawData[[Date ]],N27683,RawData[Month List],$Q$6,RawData[Tour/Site],$Q$2,RawData[[Picker ID ]],$Q$3,RawData[Checker ID],$Q$4,RawData[[Error Type ]],$Q$5))</f>
        <v/>
      </c>
    </row>
    <row r="27684" spans="15:15" x14ac:dyDescent="0.25">
      <c r="O27684" s="20" t="str">
        <f>IF(N27684="","",COUNTIFS(RawData[[Date ]],N27684,RawData[Month List],$Q$6,RawData[Tour/Site],$Q$2,RawData[[Picker ID ]],$Q$3,RawData[Checker ID],$Q$4,RawData[[Error Type ]],$Q$5))</f>
        <v/>
      </c>
    </row>
    <row r="27685" spans="15:15" x14ac:dyDescent="0.25">
      <c r="O27685" s="20" t="str">
        <f>IF(N27685="","",COUNTIFS(RawData[[Date ]],N27685,RawData[Month List],$Q$6,RawData[Tour/Site],$Q$2,RawData[[Picker ID ]],$Q$3,RawData[Checker ID],$Q$4,RawData[[Error Type ]],$Q$5))</f>
        <v/>
      </c>
    </row>
    <row r="27686" spans="15:15" x14ac:dyDescent="0.25">
      <c r="O27686" s="20" t="str">
        <f>IF(N27686="","",COUNTIFS(RawData[[Date ]],N27686,RawData[Month List],$Q$6,RawData[Tour/Site],$Q$2,RawData[[Picker ID ]],$Q$3,RawData[Checker ID],$Q$4,RawData[[Error Type ]],$Q$5))</f>
        <v/>
      </c>
    </row>
    <row r="27687" spans="15:15" x14ac:dyDescent="0.25">
      <c r="O27687" s="20" t="str">
        <f>IF(N27687="","",COUNTIFS(RawData[[Date ]],N27687,RawData[Month List],$Q$6,RawData[Tour/Site],$Q$2,RawData[[Picker ID ]],$Q$3,RawData[Checker ID],$Q$4,RawData[[Error Type ]],$Q$5))</f>
        <v/>
      </c>
    </row>
    <row r="27688" spans="15:15" x14ac:dyDescent="0.25">
      <c r="O27688" s="20" t="str">
        <f>IF(N27688="","",COUNTIFS(RawData[[Date ]],N27688,RawData[Month List],$Q$6,RawData[Tour/Site],$Q$2,RawData[[Picker ID ]],$Q$3,RawData[Checker ID],$Q$4,RawData[[Error Type ]],$Q$5))</f>
        <v/>
      </c>
    </row>
    <row r="27689" spans="15:15" x14ac:dyDescent="0.25">
      <c r="O27689" s="20" t="str">
        <f>IF(N27689="","",COUNTIFS(RawData[[Date ]],N27689,RawData[Month List],$Q$6,RawData[Tour/Site],$Q$2,RawData[[Picker ID ]],$Q$3,RawData[Checker ID],$Q$4,RawData[[Error Type ]],$Q$5))</f>
        <v/>
      </c>
    </row>
    <row r="27690" spans="15:15" x14ac:dyDescent="0.25">
      <c r="O27690" s="20" t="str">
        <f>IF(N27690="","",COUNTIFS(RawData[[Date ]],N27690,RawData[Month List],$Q$6,RawData[Tour/Site],$Q$2,RawData[[Picker ID ]],$Q$3,RawData[Checker ID],$Q$4,RawData[[Error Type ]],$Q$5))</f>
        <v/>
      </c>
    </row>
    <row r="27691" spans="15:15" x14ac:dyDescent="0.25">
      <c r="O27691" s="20" t="str">
        <f>IF(N27691="","",COUNTIFS(RawData[[Date ]],N27691,RawData[Month List],$Q$6,RawData[Tour/Site],$Q$2,RawData[[Picker ID ]],$Q$3,RawData[Checker ID],$Q$4,RawData[[Error Type ]],$Q$5))</f>
        <v/>
      </c>
    </row>
    <row r="27692" spans="15:15" x14ac:dyDescent="0.25">
      <c r="O27692" s="20" t="str">
        <f>IF(N27692="","",COUNTIFS(RawData[[Date ]],N27692,RawData[Month List],$Q$6,RawData[Tour/Site],$Q$2,RawData[[Picker ID ]],$Q$3,RawData[Checker ID],$Q$4,RawData[[Error Type ]],$Q$5))</f>
        <v/>
      </c>
    </row>
    <row r="27693" spans="15:15" x14ac:dyDescent="0.25">
      <c r="O27693" s="20" t="str">
        <f>IF(N27693="","",COUNTIFS(RawData[[Date ]],N27693,RawData[Month List],$Q$6,RawData[Tour/Site],$Q$2,RawData[[Picker ID ]],$Q$3,RawData[Checker ID],$Q$4,RawData[[Error Type ]],$Q$5))</f>
        <v/>
      </c>
    </row>
    <row r="27694" spans="15:15" x14ac:dyDescent="0.25">
      <c r="O27694" s="20" t="str">
        <f>IF(N27694="","",COUNTIFS(RawData[[Date ]],N27694,RawData[Month List],$Q$6,RawData[Tour/Site],$Q$2,RawData[[Picker ID ]],$Q$3,RawData[Checker ID],$Q$4,RawData[[Error Type ]],$Q$5))</f>
        <v/>
      </c>
    </row>
    <row r="27695" spans="15:15" x14ac:dyDescent="0.25">
      <c r="O27695" s="20" t="str">
        <f>IF(N27695="","",COUNTIFS(RawData[[Date ]],N27695,RawData[Month List],$Q$6,RawData[Tour/Site],$Q$2,RawData[[Picker ID ]],$Q$3,RawData[Checker ID],$Q$4,RawData[[Error Type ]],$Q$5))</f>
        <v/>
      </c>
    </row>
    <row r="27696" spans="15:15" x14ac:dyDescent="0.25">
      <c r="O27696" s="20" t="str">
        <f>IF(N27696="","",COUNTIFS(RawData[[Date ]],N27696,RawData[Month List],$Q$6,RawData[Tour/Site],$Q$2,RawData[[Picker ID ]],$Q$3,RawData[Checker ID],$Q$4,RawData[[Error Type ]],$Q$5))</f>
        <v/>
      </c>
    </row>
    <row r="27697" spans="15:15" x14ac:dyDescent="0.25">
      <c r="O27697" s="20" t="str">
        <f>IF(N27697="","",COUNTIFS(RawData[[Date ]],N27697,RawData[Month List],$Q$6,RawData[Tour/Site],$Q$2,RawData[[Picker ID ]],$Q$3,RawData[Checker ID],$Q$4,RawData[[Error Type ]],$Q$5))</f>
        <v/>
      </c>
    </row>
    <row r="27698" spans="15:15" x14ac:dyDescent="0.25">
      <c r="O27698" s="20" t="str">
        <f>IF(N27698="","",COUNTIFS(RawData[[Date ]],N27698,RawData[Month List],$Q$6,RawData[Tour/Site],$Q$2,RawData[[Picker ID ]],$Q$3,RawData[Checker ID],$Q$4,RawData[[Error Type ]],$Q$5))</f>
        <v/>
      </c>
    </row>
    <row r="27699" spans="15:15" x14ac:dyDescent="0.25">
      <c r="O27699" s="20" t="str">
        <f>IF(N27699="","",COUNTIFS(RawData[[Date ]],N27699,RawData[Month List],$Q$6,RawData[Tour/Site],$Q$2,RawData[[Picker ID ]],$Q$3,RawData[Checker ID],$Q$4,RawData[[Error Type ]],$Q$5))</f>
        <v/>
      </c>
    </row>
    <row r="27700" spans="15:15" x14ac:dyDescent="0.25">
      <c r="O27700" s="20" t="str">
        <f>IF(N27700="","",COUNTIFS(RawData[[Date ]],N27700,RawData[Month List],$Q$6,RawData[Tour/Site],$Q$2,RawData[[Picker ID ]],$Q$3,RawData[Checker ID],$Q$4,RawData[[Error Type ]],$Q$5))</f>
        <v/>
      </c>
    </row>
    <row r="27701" spans="15:15" x14ac:dyDescent="0.25">
      <c r="O27701" s="20" t="str">
        <f>IF(N27701="","",COUNTIFS(RawData[[Date ]],N27701,RawData[Month List],$Q$6,RawData[Tour/Site],$Q$2,RawData[[Picker ID ]],$Q$3,RawData[Checker ID],$Q$4,RawData[[Error Type ]],$Q$5))</f>
        <v/>
      </c>
    </row>
    <row r="27702" spans="15:15" x14ac:dyDescent="0.25">
      <c r="O27702" s="20" t="str">
        <f>IF(N27702="","",COUNTIFS(RawData[[Date ]],N27702,RawData[Month List],$Q$6,RawData[Tour/Site],$Q$2,RawData[[Picker ID ]],$Q$3,RawData[Checker ID],$Q$4,RawData[[Error Type ]],$Q$5))</f>
        <v/>
      </c>
    </row>
    <row r="27703" spans="15:15" x14ac:dyDescent="0.25">
      <c r="O27703" s="20" t="str">
        <f>IF(N27703="","",COUNTIFS(RawData[[Date ]],N27703,RawData[Month List],$Q$6,RawData[Tour/Site],$Q$2,RawData[[Picker ID ]],$Q$3,RawData[Checker ID],$Q$4,RawData[[Error Type ]],$Q$5))</f>
        <v/>
      </c>
    </row>
    <row r="27704" spans="15:15" x14ac:dyDescent="0.25">
      <c r="O27704" s="20" t="str">
        <f>IF(N27704="","",COUNTIFS(RawData[[Date ]],N27704,RawData[Month List],$Q$6,RawData[Tour/Site],$Q$2,RawData[[Picker ID ]],$Q$3,RawData[Checker ID],$Q$4,RawData[[Error Type ]],$Q$5))</f>
        <v/>
      </c>
    </row>
    <row r="27705" spans="15:15" x14ac:dyDescent="0.25">
      <c r="O27705" s="20" t="str">
        <f>IF(N27705="","",COUNTIFS(RawData[[Date ]],N27705,RawData[Month List],$Q$6,RawData[Tour/Site],$Q$2,RawData[[Picker ID ]],$Q$3,RawData[Checker ID],$Q$4,RawData[[Error Type ]],$Q$5))</f>
        <v/>
      </c>
    </row>
    <row r="27706" spans="15:15" x14ac:dyDescent="0.25">
      <c r="O27706" s="20" t="str">
        <f>IF(N27706="","",COUNTIFS(RawData[[Date ]],N27706,RawData[Month List],$Q$6,RawData[Tour/Site],$Q$2,RawData[[Picker ID ]],$Q$3,RawData[Checker ID],$Q$4,RawData[[Error Type ]],$Q$5))</f>
        <v/>
      </c>
    </row>
    <row r="27707" spans="15:15" x14ac:dyDescent="0.25">
      <c r="O27707" s="20" t="str">
        <f>IF(N27707="","",COUNTIFS(RawData[[Date ]],N27707,RawData[Month List],$Q$6,RawData[Tour/Site],$Q$2,RawData[[Picker ID ]],$Q$3,RawData[Checker ID],$Q$4,RawData[[Error Type ]],$Q$5))</f>
        <v/>
      </c>
    </row>
    <row r="27708" spans="15:15" x14ac:dyDescent="0.25">
      <c r="O27708" s="20" t="str">
        <f>IF(N27708="","",COUNTIFS(RawData[[Date ]],N27708,RawData[Month List],$Q$6,RawData[Tour/Site],$Q$2,RawData[[Picker ID ]],$Q$3,RawData[Checker ID],$Q$4,RawData[[Error Type ]],$Q$5))</f>
        <v/>
      </c>
    </row>
    <row r="27709" spans="15:15" x14ac:dyDescent="0.25">
      <c r="O27709" s="20" t="str">
        <f>IF(N27709="","",COUNTIFS(RawData[[Date ]],N27709,RawData[Month List],$Q$6,RawData[Tour/Site],$Q$2,RawData[[Picker ID ]],$Q$3,RawData[Checker ID],$Q$4,RawData[[Error Type ]],$Q$5))</f>
        <v/>
      </c>
    </row>
    <row r="27710" spans="15:15" x14ac:dyDescent="0.25">
      <c r="O27710" s="20" t="str">
        <f>IF(N27710="","",COUNTIFS(RawData[[Date ]],N27710,RawData[Month List],$Q$6,RawData[Tour/Site],$Q$2,RawData[[Picker ID ]],$Q$3,RawData[Checker ID],$Q$4,RawData[[Error Type ]],$Q$5))</f>
        <v/>
      </c>
    </row>
    <row r="27711" spans="15:15" x14ac:dyDescent="0.25">
      <c r="O27711" s="20" t="str">
        <f>IF(N27711="","",COUNTIFS(RawData[[Date ]],N27711,RawData[Month List],$Q$6,RawData[Tour/Site],$Q$2,RawData[[Picker ID ]],$Q$3,RawData[Checker ID],$Q$4,RawData[[Error Type ]],$Q$5))</f>
        <v/>
      </c>
    </row>
    <row r="27712" spans="15:15" x14ac:dyDescent="0.25">
      <c r="O27712" s="20" t="str">
        <f>IF(N27712="","",COUNTIFS(RawData[[Date ]],N27712,RawData[Month List],$Q$6,RawData[Tour/Site],$Q$2,RawData[[Picker ID ]],$Q$3,RawData[Checker ID],$Q$4,RawData[[Error Type ]],$Q$5))</f>
        <v/>
      </c>
    </row>
    <row r="27713" spans="15:15" x14ac:dyDescent="0.25">
      <c r="O27713" s="20" t="str">
        <f>IF(N27713="","",COUNTIFS(RawData[[Date ]],N27713,RawData[Month List],$Q$6,RawData[Tour/Site],$Q$2,RawData[[Picker ID ]],$Q$3,RawData[Checker ID],$Q$4,RawData[[Error Type ]],$Q$5))</f>
        <v/>
      </c>
    </row>
    <row r="27714" spans="15:15" x14ac:dyDescent="0.25">
      <c r="O27714" s="20" t="str">
        <f>IF(N27714="","",COUNTIFS(RawData[[Date ]],N27714,RawData[Month List],$Q$6,RawData[Tour/Site],$Q$2,RawData[[Picker ID ]],$Q$3,RawData[Checker ID],$Q$4,RawData[[Error Type ]],$Q$5))</f>
        <v/>
      </c>
    </row>
    <row r="27715" spans="15:15" x14ac:dyDescent="0.25">
      <c r="O27715" s="20" t="str">
        <f>IF(N27715="","",COUNTIFS(RawData[[Date ]],N27715,RawData[Month List],$Q$6,RawData[Tour/Site],$Q$2,RawData[[Picker ID ]],$Q$3,RawData[Checker ID],$Q$4,RawData[[Error Type ]],$Q$5))</f>
        <v/>
      </c>
    </row>
    <row r="27716" spans="15:15" x14ac:dyDescent="0.25">
      <c r="O27716" s="20" t="str">
        <f>IF(N27716="","",COUNTIFS(RawData[[Date ]],N27716,RawData[Month List],$Q$6,RawData[Tour/Site],$Q$2,RawData[[Picker ID ]],$Q$3,RawData[Checker ID],$Q$4,RawData[[Error Type ]],$Q$5))</f>
        <v/>
      </c>
    </row>
    <row r="27717" spans="15:15" x14ac:dyDescent="0.25">
      <c r="O27717" s="20" t="str">
        <f>IF(N27717="","",COUNTIFS(RawData[[Date ]],N27717,RawData[Month List],$Q$6,RawData[Tour/Site],$Q$2,RawData[[Picker ID ]],$Q$3,RawData[Checker ID],$Q$4,RawData[[Error Type ]],$Q$5))</f>
        <v/>
      </c>
    </row>
    <row r="27718" spans="15:15" x14ac:dyDescent="0.25">
      <c r="O27718" s="20" t="str">
        <f>IF(N27718="","",COUNTIFS(RawData[[Date ]],N27718,RawData[Month List],$Q$6,RawData[Tour/Site],$Q$2,RawData[[Picker ID ]],$Q$3,RawData[Checker ID],$Q$4,RawData[[Error Type ]],$Q$5))</f>
        <v/>
      </c>
    </row>
    <row r="27719" spans="15:15" x14ac:dyDescent="0.25">
      <c r="O27719" s="20" t="str">
        <f>IF(N27719="","",COUNTIFS(RawData[[Date ]],N27719,RawData[Month List],$Q$6,RawData[Tour/Site],$Q$2,RawData[[Picker ID ]],$Q$3,RawData[Checker ID],$Q$4,RawData[[Error Type ]],$Q$5))</f>
        <v/>
      </c>
    </row>
    <row r="27720" spans="15:15" x14ac:dyDescent="0.25">
      <c r="O27720" s="20" t="str">
        <f>IF(N27720="","",COUNTIFS(RawData[[Date ]],N27720,RawData[Month List],$Q$6,RawData[Tour/Site],$Q$2,RawData[[Picker ID ]],$Q$3,RawData[Checker ID],$Q$4,RawData[[Error Type ]],$Q$5))</f>
        <v/>
      </c>
    </row>
    <row r="27721" spans="15:15" x14ac:dyDescent="0.25">
      <c r="O27721" s="20" t="str">
        <f>IF(N27721="","",COUNTIFS(RawData[[Date ]],N27721,RawData[Month List],$Q$6,RawData[Tour/Site],$Q$2,RawData[[Picker ID ]],$Q$3,RawData[Checker ID],$Q$4,RawData[[Error Type ]],$Q$5))</f>
        <v/>
      </c>
    </row>
    <row r="27722" spans="15:15" x14ac:dyDescent="0.25">
      <c r="O27722" s="20" t="str">
        <f>IF(N27722="","",COUNTIFS(RawData[[Date ]],N27722,RawData[Month List],$Q$6,RawData[Tour/Site],$Q$2,RawData[[Picker ID ]],$Q$3,RawData[Checker ID],$Q$4,RawData[[Error Type ]],$Q$5))</f>
        <v/>
      </c>
    </row>
    <row r="27723" spans="15:15" x14ac:dyDescent="0.25">
      <c r="O27723" s="20" t="str">
        <f>IF(N27723="","",COUNTIFS(RawData[[Date ]],N27723,RawData[Month List],$Q$6,RawData[Tour/Site],$Q$2,RawData[[Picker ID ]],$Q$3,RawData[Checker ID],$Q$4,RawData[[Error Type ]],$Q$5))</f>
        <v/>
      </c>
    </row>
    <row r="27724" spans="15:15" x14ac:dyDescent="0.25">
      <c r="O27724" s="20" t="str">
        <f>IF(N27724="","",COUNTIFS(RawData[[Date ]],N27724,RawData[Month List],$Q$6,RawData[Tour/Site],$Q$2,RawData[[Picker ID ]],$Q$3,RawData[Checker ID],$Q$4,RawData[[Error Type ]],$Q$5))</f>
        <v/>
      </c>
    </row>
    <row r="27725" spans="15:15" x14ac:dyDescent="0.25">
      <c r="O27725" s="20" t="str">
        <f>IF(N27725="","",COUNTIFS(RawData[[Date ]],N27725,RawData[Month List],$Q$6,RawData[Tour/Site],$Q$2,RawData[[Picker ID ]],$Q$3,RawData[Checker ID],$Q$4,RawData[[Error Type ]],$Q$5))</f>
        <v/>
      </c>
    </row>
    <row r="27726" spans="15:15" x14ac:dyDescent="0.25">
      <c r="O27726" s="20" t="str">
        <f>IF(N27726="","",COUNTIFS(RawData[[Date ]],N27726,RawData[Month List],$Q$6,RawData[Tour/Site],$Q$2,RawData[[Picker ID ]],$Q$3,RawData[Checker ID],$Q$4,RawData[[Error Type ]],$Q$5))</f>
        <v/>
      </c>
    </row>
    <row r="27727" spans="15:15" x14ac:dyDescent="0.25">
      <c r="O27727" s="20" t="str">
        <f>IF(N27727="","",COUNTIFS(RawData[[Date ]],N27727,RawData[Month List],$Q$6,RawData[Tour/Site],$Q$2,RawData[[Picker ID ]],$Q$3,RawData[Checker ID],$Q$4,RawData[[Error Type ]],$Q$5))</f>
        <v/>
      </c>
    </row>
    <row r="27728" spans="15:15" x14ac:dyDescent="0.25">
      <c r="O27728" s="20" t="str">
        <f>IF(N27728="","",COUNTIFS(RawData[[Date ]],N27728,RawData[Month List],$Q$6,RawData[Tour/Site],$Q$2,RawData[[Picker ID ]],$Q$3,RawData[Checker ID],$Q$4,RawData[[Error Type ]],$Q$5))</f>
        <v/>
      </c>
    </row>
    <row r="27729" spans="15:15" x14ac:dyDescent="0.25">
      <c r="O27729" s="20" t="str">
        <f>IF(N27729="","",COUNTIFS(RawData[[Date ]],N27729,RawData[Month List],$Q$6,RawData[Tour/Site],$Q$2,RawData[[Picker ID ]],$Q$3,RawData[Checker ID],$Q$4,RawData[[Error Type ]],$Q$5))</f>
        <v/>
      </c>
    </row>
    <row r="27730" spans="15:15" x14ac:dyDescent="0.25">
      <c r="O27730" s="20" t="str">
        <f>IF(N27730="","",COUNTIFS(RawData[[Date ]],N27730,RawData[Month List],$Q$6,RawData[Tour/Site],$Q$2,RawData[[Picker ID ]],$Q$3,RawData[Checker ID],$Q$4,RawData[[Error Type ]],$Q$5))</f>
        <v/>
      </c>
    </row>
    <row r="27731" spans="15:15" x14ac:dyDescent="0.25">
      <c r="O27731" s="20" t="str">
        <f>IF(N27731="","",COUNTIFS(RawData[[Date ]],N27731,RawData[Month List],$Q$6,RawData[Tour/Site],$Q$2,RawData[[Picker ID ]],$Q$3,RawData[Checker ID],$Q$4,RawData[[Error Type ]],$Q$5))</f>
        <v/>
      </c>
    </row>
    <row r="27732" spans="15:15" x14ac:dyDescent="0.25">
      <c r="O27732" s="20" t="str">
        <f>IF(N27732="","",COUNTIFS(RawData[[Date ]],N27732,RawData[Month List],$Q$6,RawData[Tour/Site],$Q$2,RawData[[Picker ID ]],$Q$3,RawData[Checker ID],$Q$4,RawData[[Error Type ]],$Q$5))</f>
        <v/>
      </c>
    </row>
    <row r="27733" spans="15:15" x14ac:dyDescent="0.25">
      <c r="O27733" s="20" t="str">
        <f>IF(N27733="","",COUNTIFS(RawData[[Date ]],N27733,RawData[Month List],$Q$6,RawData[Tour/Site],$Q$2,RawData[[Picker ID ]],$Q$3,RawData[Checker ID],$Q$4,RawData[[Error Type ]],$Q$5))</f>
        <v/>
      </c>
    </row>
    <row r="27734" spans="15:15" x14ac:dyDescent="0.25">
      <c r="O27734" s="20" t="str">
        <f>IF(N27734="","",COUNTIFS(RawData[[Date ]],N27734,RawData[Month List],$Q$6,RawData[Tour/Site],$Q$2,RawData[[Picker ID ]],$Q$3,RawData[Checker ID],$Q$4,RawData[[Error Type ]],$Q$5))</f>
        <v/>
      </c>
    </row>
    <row r="27735" spans="15:15" x14ac:dyDescent="0.25">
      <c r="O27735" s="20" t="str">
        <f>IF(N27735="","",COUNTIFS(RawData[[Date ]],N27735,RawData[Month List],$Q$6,RawData[Tour/Site],$Q$2,RawData[[Picker ID ]],$Q$3,RawData[Checker ID],$Q$4,RawData[[Error Type ]],$Q$5))</f>
        <v/>
      </c>
    </row>
    <row r="27736" spans="15:15" x14ac:dyDescent="0.25">
      <c r="O27736" s="20" t="str">
        <f>IF(N27736="","",COUNTIFS(RawData[[Date ]],N27736,RawData[Month List],$Q$6,RawData[Tour/Site],$Q$2,RawData[[Picker ID ]],$Q$3,RawData[Checker ID],$Q$4,RawData[[Error Type ]],$Q$5))</f>
        <v/>
      </c>
    </row>
    <row r="27737" spans="15:15" x14ac:dyDescent="0.25">
      <c r="O27737" s="20" t="str">
        <f>IF(N27737="","",COUNTIFS(RawData[[Date ]],N27737,RawData[Month List],$Q$6,RawData[Tour/Site],$Q$2,RawData[[Picker ID ]],$Q$3,RawData[Checker ID],$Q$4,RawData[[Error Type ]],$Q$5))</f>
        <v/>
      </c>
    </row>
    <row r="27738" spans="15:15" x14ac:dyDescent="0.25">
      <c r="O27738" s="20" t="str">
        <f>IF(N27738="","",COUNTIFS(RawData[[Date ]],N27738,RawData[Month List],$Q$6,RawData[Tour/Site],$Q$2,RawData[[Picker ID ]],$Q$3,RawData[Checker ID],$Q$4,RawData[[Error Type ]],$Q$5))</f>
        <v/>
      </c>
    </row>
    <row r="27739" spans="15:15" x14ac:dyDescent="0.25">
      <c r="O27739" s="20" t="str">
        <f>IF(N27739="","",COUNTIFS(RawData[[Date ]],N27739,RawData[Month List],$Q$6,RawData[Tour/Site],$Q$2,RawData[[Picker ID ]],$Q$3,RawData[Checker ID],$Q$4,RawData[[Error Type ]],$Q$5))</f>
        <v/>
      </c>
    </row>
    <row r="27740" spans="15:15" x14ac:dyDescent="0.25">
      <c r="O27740" s="20" t="str">
        <f>IF(N27740="","",COUNTIFS(RawData[[Date ]],N27740,RawData[Month List],$Q$6,RawData[Tour/Site],$Q$2,RawData[[Picker ID ]],$Q$3,RawData[Checker ID],$Q$4,RawData[[Error Type ]],$Q$5))</f>
        <v/>
      </c>
    </row>
    <row r="27741" spans="15:15" x14ac:dyDescent="0.25">
      <c r="O27741" s="20" t="str">
        <f>IF(N27741="","",COUNTIFS(RawData[[Date ]],N27741,RawData[Month List],$Q$6,RawData[Tour/Site],$Q$2,RawData[[Picker ID ]],$Q$3,RawData[Checker ID],$Q$4,RawData[[Error Type ]],$Q$5))</f>
        <v/>
      </c>
    </row>
    <row r="27742" spans="15:15" x14ac:dyDescent="0.25">
      <c r="O27742" s="20" t="str">
        <f>IF(N27742="","",COUNTIFS(RawData[[Date ]],N27742,RawData[Month List],$Q$6,RawData[Tour/Site],$Q$2,RawData[[Picker ID ]],$Q$3,RawData[Checker ID],$Q$4,RawData[[Error Type ]],$Q$5))</f>
        <v/>
      </c>
    </row>
    <row r="27743" spans="15:15" x14ac:dyDescent="0.25">
      <c r="O27743" s="20" t="str">
        <f>IF(N27743="","",COUNTIFS(RawData[[Date ]],N27743,RawData[Month List],$Q$6,RawData[Tour/Site],$Q$2,RawData[[Picker ID ]],$Q$3,RawData[Checker ID],$Q$4,RawData[[Error Type ]],$Q$5))</f>
        <v/>
      </c>
    </row>
    <row r="27744" spans="15:15" x14ac:dyDescent="0.25">
      <c r="O27744" s="20" t="str">
        <f>IF(N27744="","",COUNTIFS(RawData[[Date ]],N27744,RawData[Month List],$Q$6,RawData[Tour/Site],$Q$2,RawData[[Picker ID ]],$Q$3,RawData[Checker ID],$Q$4,RawData[[Error Type ]],$Q$5))</f>
        <v/>
      </c>
    </row>
    <row r="27745" spans="15:15" x14ac:dyDescent="0.25">
      <c r="O27745" s="20" t="str">
        <f>IF(N27745="","",COUNTIFS(RawData[[Date ]],N27745,RawData[Month List],$Q$6,RawData[Tour/Site],$Q$2,RawData[[Picker ID ]],$Q$3,RawData[Checker ID],$Q$4,RawData[[Error Type ]],$Q$5))</f>
        <v/>
      </c>
    </row>
    <row r="27746" spans="15:15" x14ac:dyDescent="0.25">
      <c r="O27746" s="20" t="str">
        <f>IF(N27746="","",COUNTIFS(RawData[[Date ]],N27746,RawData[Month List],$Q$6,RawData[Tour/Site],$Q$2,RawData[[Picker ID ]],$Q$3,RawData[Checker ID],$Q$4,RawData[[Error Type ]],$Q$5))</f>
        <v/>
      </c>
    </row>
    <row r="27747" spans="15:15" x14ac:dyDescent="0.25">
      <c r="O27747" s="20" t="str">
        <f>IF(N27747="","",COUNTIFS(RawData[[Date ]],N27747,RawData[Month List],$Q$6,RawData[Tour/Site],$Q$2,RawData[[Picker ID ]],$Q$3,RawData[Checker ID],$Q$4,RawData[[Error Type ]],$Q$5))</f>
        <v/>
      </c>
    </row>
    <row r="27748" spans="15:15" x14ac:dyDescent="0.25">
      <c r="O27748" s="20" t="str">
        <f>IF(N27748="","",COUNTIFS(RawData[[Date ]],N27748,RawData[Month List],$Q$6,RawData[Tour/Site],$Q$2,RawData[[Picker ID ]],$Q$3,RawData[Checker ID],$Q$4,RawData[[Error Type ]],$Q$5))</f>
        <v/>
      </c>
    </row>
    <row r="27749" spans="15:15" x14ac:dyDescent="0.25">
      <c r="O27749" s="20" t="str">
        <f>IF(N27749="","",COUNTIFS(RawData[[Date ]],N27749,RawData[Month List],$Q$6,RawData[Tour/Site],$Q$2,RawData[[Picker ID ]],$Q$3,RawData[Checker ID],$Q$4,RawData[[Error Type ]],$Q$5))</f>
        <v/>
      </c>
    </row>
    <row r="27750" spans="15:15" x14ac:dyDescent="0.25">
      <c r="O27750" s="20" t="str">
        <f>IF(N27750="","",COUNTIFS(RawData[[Date ]],N27750,RawData[Month List],$Q$6,RawData[Tour/Site],$Q$2,RawData[[Picker ID ]],$Q$3,RawData[Checker ID],$Q$4,RawData[[Error Type ]],$Q$5))</f>
        <v/>
      </c>
    </row>
    <row r="27751" spans="15:15" x14ac:dyDescent="0.25">
      <c r="O27751" s="20" t="str">
        <f>IF(N27751="","",COUNTIFS(RawData[[Date ]],N27751,RawData[Month List],$Q$6,RawData[Tour/Site],$Q$2,RawData[[Picker ID ]],$Q$3,RawData[Checker ID],$Q$4,RawData[[Error Type ]],$Q$5))</f>
        <v/>
      </c>
    </row>
    <row r="27752" spans="15:15" x14ac:dyDescent="0.25">
      <c r="O27752" s="20" t="str">
        <f>IF(N27752="","",COUNTIFS(RawData[[Date ]],N27752,RawData[Month List],$Q$6,RawData[Tour/Site],$Q$2,RawData[[Picker ID ]],$Q$3,RawData[Checker ID],$Q$4,RawData[[Error Type ]],$Q$5))</f>
        <v/>
      </c>
    </row>
    <row r="27753" spans="15:15" x14ac:dyDescent="0.25">
      <c r="O27753" s="20" t="str">
        <f>IF(N27753="","",COUNTIFS(RawData[[Date ]],N27753,RawData[Month List],$Q$6,RawData[Tour/Site],$Q$2,RawData[[Picker ID ]],$Q$3,RawData[Checker ID],$Q$4,RawData[[Error Type ]],$Q$5))</f>
        <v/>
      </c>
    </row>
    <row r="27754" spans="15:15" x14ac:dyDescent="0.25">
      <c r="O27754" s="20" t="str">
        <f>IF(N27754="","",COUNTIFS(RawData[[Date ]],N27754,RawData[Month List],$Q$6,RawData[Tour/Site],$Q$2,RawData[[Picker ID ]],$Q$3,RawData[Checker ID],$Q$4,RawData[[Error Type ]],$Q$5))</f>
        <v/>
      </c>
    </row>
    <row r="27755" spans="15:15" x14ac:dyDescent="0.25">
      <c r="O27755" s="20" t="str">
        <f>IF(N27755="","",COUNTIFS(RawData[[Date ]],N27755,RawData[Month List],$Q$6,RawData[Tour/Site],$Q$2,RawData[[Picker ID ]],$Q$3,RawData[Checker ID],$Q$4,RawData[[Error Type ]],$Q$5))</f>
        <v/>
      </c>
    </row>
    <row r="27756" spans="15:15" x14ac:dyDescent="0.25">
      <c r="O27756" s="20" t="str">
        <f>IF(N27756="","",COUNTIFS(RawData[[Date ]],N27756,RawData[Month List],$Q$6,RawData[Tour/Site],$Q$2,RawData[[Picker ID ]],$Q$3,RawData[Checker ID],$Q$4,RawData[[Error Type ]],$Q$5))</f>
        <v/>
      </c>
    </row>
    <row r="27757" spans="15:15" x14ac:dyDescent="0.25">
      <c r="O27757" s="20" t="str">
        <f>IF(N27757="","",COUNTIFS(RawData[[Date ]],N27757,RawData[Month List],$Q$6,RawData[Tour/Site],$Q$2,RawData[[Picker ID ]],$Q$3,RawData[Checker ID],$Q$4,RawData[[Error Type ]],$Q$5))</f>
        <v/>
      </c>
    </row>
    <row r="27758" spans="15:15" x14ac:dyDescent="0.25">
      <c r="O27758" s="20" t="str">
        <f>IF(N27758="","",COUNTIFS(RawData[[Date ]],N27758,RawData[Month List],$Q$6,RawData[Tour/Site],$Q$2,RawData[[Picker ID ]],$Q$3,RawData[Checker ID],$Q$4,RawData[[Error Type ]],$Q$5))</f>
        <v/>
      </c>
    </row>
    <row r="27759" spans="15:15" x14ac:dyDescent="0.25">
      <c r="O27759" s="20" t="str">
        <f>IF(N27759="","",COUNTIFS(RawData[[Date ]],N27759,RawData[Month List],$Q$6,RawData[Tour/Site],$Q$2,RawData[[Picker ID ]],$Q$3,RawData[Checker ID],$Q$4,RawData[[Error Type ]],$Q$5))</f>
        <v/>
      </c>
    </row>
    <row r="27760" spans="15:15" x14ac:dyDescent="0.25">
      <c r="O27760" s="20" t="str">
        <f>IF(N27760="","",COUNTIFS(RawData[[Date ]],N27760,RawData[Month List],$Q$6,RawData[Tour/Site],$Q$2,RawData[[Picker ID ]],$Q$3,RawData[Checker ID],$Q$4,RawData[[Error Type ]],$Q$5))</f>
        <v/>
      </c>
    </row>
    <row r="27761" spans="15:15" x14ac:dyDescent="0.25">
      <c r="O27761" s="20" t="str">
        <f>IF(N27761="","",COUNTIFS(RawData[[Date ]],N27761,RawData[Month List],$Q$6,RawData[Tour/Site],$Q$2,RawData[[Picker ID ]],$Q$3,RawData[Checker ID],$Q$4,RawData[[Error Type ]],$Q$5))</f>
        <v/>
      </c>
    </row>
    <row r="27762" spans="15:15" x14ac:dyDescent="0.25">
      <c r="O27762" s="20" t="str">
        <f>IF(N27762="","",COUNTIFS(RawData[[Date ]],N27762,RawData[Month List],$Q$6,RawData[Tour/Site],$Q$2,RawData[[Picker ID ]],$Q$3,RawData[Checker ID],$Q$4,RawData[[Error Type ]],$Q$5))</f>
        <v/>
      </c>
    </row>
    <row r="27763" spans="15:15" x14ac:dyDescent="0.25">
      <c r="O27763" s="20" t="str">
        <f>IF(N27763="","",COUNTIFS(RawData[[Date ]],N27763,RawData[Month List],$Q$6,RawData[Tour/Site],$Q$2,RawData[[Picker ID ]],$Q$3,RawData[Checker ID],$Q$4,RawData[[Error Type ]],$Q$5))</f>
        <v/>
      </c>
    </row>
    <row r="27764" spans="15:15" x14ac:dyDescent="0.25">
      <c r="O27764" s="20" t="str">
        <f>IF(N27764="","",COUNTIFS(RawData[[Date ]],N27764,RawData[Month List],$Q$6,RawData[Tour/Site],$Q$2,RawData[[Picker ID ]],$Q$3,RawData[Checker ID],$Q$4,RawData[[Error Type ]],$Q$5))</f>
        <v/>
      </c>
    </row>
    <row r="27765" spans="15:15" x14ac:dyDescent="0.25">
      <c r="O27765" s="20" t="str">
        <f>IF(N27765="","",COUNTIFS(RawData[[Date ]],N27765,RawData[Month List],$Q$6,RawData[Tour/Site],$Q$2,RawData[[Picker ID ]],$Q$3,RawData[Checker ID],$Q$4,RawData[[Error Type ]],$Q$5))</f>
        <v/>
      </c>
    </row>
    <row r="27766" spans="15:15" x14ac:dyDescent="0.25">
      <c r="O27766" s="20" t="str">
        <f>IF(N27766="","",COUNTIFS(RawData[[Date ]],N27766,RawData[Month List],$Q$6,RawData[Tour/Site],$Q$2,RawData[[Picker ID ]],$Q$3,RawData[Checker ID],$Q$4,RawData[[Error Type ]],$Q$5))</f>
        <v/>
      </c>
    </row>
    <row r="27767" spans="15:15" x14ac:dyDescent="0.25">
      <c r="O27767" s="20" t="str">
        <f>IF(N27767="","",COUNTIFS(RawData[[Date ]],N27767,RawData[Month List],$Q$6,RawData[Tour/Site],$Q$2,RawData[[Picker ID ]],$Q$3,RawData[Checker ID],$Q$4,RawData[[Error Type ]],$Q$5))</f>
        <v/>
      </c>
    </row>
    <row r="27768" spans="15:15" x14ac:dyDescent="0.25">
      <c r="O27768" s="20" t="str">
        <f>IF(N27768="","",COUNTIFS(RawData[[Date ]],N27768,RawData[Month List],$Q$6,RawData[Tour/Site],$Q$2,RawData[[Picker ID ]],$Q$3,RawData[Checker ID],$Q$4,RawData[[Error Type ]],$Q$5))</f>
        <v/>
      </c>
    </row>
    <row r="27769" spans="15:15" x14ac:dyDescent="0.25">
      <c r="O27769" s="20" t="str">
        <f>IF(N27769="","",COUNTIFS(RawData[[Date ]],N27769,RawData[Month List],$Q$6,RawData[Tour/Site],$Q$2,RawData[[Picker ID ]],$Q$3,RawData[Checker ID],$Q$4,RawData[[Error Type ]],$Q$5))</f>
        <v/>
      </c>
    </row>
    <row r="27770" spans="15:15" x14ac:dyDescent="0.25">
      <c r="O27770" s="20" t="str">
        <f>IF(N27770="","",COUNTIFS(RawData[[Date ]],N27770,RawData[Month List],$Q$6,RawData[Tour/Site],$Q$2,RawData[[Picker ID ]],$Q$3,RawData[Checker ID],$Q$4,RawData[[Error Type ]],$Q$5))</f>
        <v/>
      </c>
    </row>
    <row r="27771" spans="15:15" x14ac:dyDescent="0.25">
      <c r="O27771" s="20" t="str">
        <f>IF(N27771="","",COUNTIFS(RawData[[Date ]],N27771,RawData[Month List],$Q$6,RawData[Tour/Site],$Q$2,RawData[[Picker ID ]],$Q$3,RawData[Checker ID],$Q$4,RawData[[Error Type ]],$Q$5))</f>
        <v/>
      </c>
    </row>
    <row r="27772" spans="15:15" x14ac:dyDescent="0.25">
      <c r="O27772" s="20" t="str">
        <f>IF(N27772="","",COUNTIFS(RawData[[Date ]],N27772,RawData[Month List],$Q$6,RawData[Tour/Site],$Q$2,RawData[[Picker ID ]],$Q$3,RawData[Checker ID],$Q$4,RawData[[Error Type ]],$Q$5))</f>
        <v/>
      </c>
    </row>
    <row r="27773" spans="15:15" x14ac:dyDescent="0.25">
      <c r="O27773" s="20" t="str">
        <f>IF(N27773="","",COUNTIFS(RawData[[Date ]],N27773,RawData[Month List],$Q$6,RawData[Tour/Site],$Q$2,RawData[[Picker ID ]],$Q$3,RawData[Checker ID],$Q$4,RawData[[Error Type ]],$Q$5))</f>
        <v/>
      </c>
    </row>
    <row r="27774" spans="15:15" x14ac:dyDescent="0.25">
      <c r="O27774" s="20" t="str">
        <f>IF(N27774="","",COUNTIFS(RawData[[Date ]],N27774,RawData[Month List],$Q$6,RawData[Tour/Site],$Q$2,RawData[[Picker ID ]],$Q$3,RawData[Checker ID],$Q$4,RawData[[Error Type ]],$Q$5))</f>
        <v/>
      </c>
    </row>
    <row r="27775" spans="15:15" x14ac:dyDescent="0.25">
      <c r="O27775" s="20" t="str">
        <f>IF(N27775="","",COUNTIFS(RawData[[Date ]],N27775,RawData[Month List],$Q$6,RawData[Tour/Site],$Q$2,RawData[[Picker ID ]],$Q$3,RawData[Checker ID],$Q$4,RawData[[Error Type ]],$Q$5))</f>
        <v/>
      </c>
    </row>
    <row r="27776" spans="15:15" x14ac:dyDescent="0.25">
      <c r="O27776" s="20" t="str">
        <f>IF(N27776="","",COUNTIFS(RawData[[Date ]],N27776,RawData[Month List],$Q$6,RawData[Tour/Site],$Q$2,RawData[[Picker ID ]],$Q$3,RawData[Checker ID],$Q$4,RawData[[Error Type ]],$Q$5))</f>
        <v/>
      </c>
    </row>
    <row r="27777" spans="15:15" x14ac:dyDescent="0.25">
      <c r="O27777" s="20" t="str">
        <f>IF(N27777="","",COUNTIFS(RawData[[Date ]],N27777,RawData[Month List],$Q$6,RawData[Tour/Site],$Q$2,RawData[[Picker ID ]],$Q$3,RawData[Checker ID],$Q$4,RawData[[Error Type ]],$Q$5))</f>
        <v/>
      </c>
    </row>
    <row r="27778" spans="15:15" x14ac:dyDescent="0.25">
      <c r="O27778" s="20" t="str">
        <f>IF(N27778="","",COUNTIFS(RawData[[Date ]],N27778,RawData[Month List],$Q$6,RawData[Tour/Site],$Q$2,RawData[[Picker ID ]],$Q$3,RawData[Checker ID],$Q$4,RawData[[Error Type ]],$Q$5))</f>
        <v/>
      </c>
    </row>
    <row r="27779" spans="15:15" x14ac:dyDescent="0.25">
      <c r="O27779" s="20" t="str">
        <f>IF(N27779="","",COUNTIFS(RawData[[Date ]],N27779,RawData[Month List],$Q$6,RawData[Tour/Site],$Q$2,RawData[[Picker ID ]],$Q$3,RawData[Checker ID],$Q$4,RawData[[Error Type ]],$Q$5))</f>
        <v/>
      </c>
    </row>
    <row r="27780" spans="15:15" x14ac:dyDescent="0.25">
      <c r="O27780" s="20" t="str">
        <f>IF(N27780="","",COUNTIFS(RawData[[Date ]],N27780,RawData[Month List],$Q$6,RawData[Tour/Site],$Q$2,RawData[[Picker ID ]],$Q$3,RawData[Checker ID],$Q$4,RawData[[Error Type ]],$Q$5))</f>
        <v/>
      </c>
    </row>
    <row r="27781" spans="15:15" x14ac:dyDescent="0.25">
      <c r="O27781" s="20" t="str">
        <f>IF(N27781="","",COUNTIFS(RawData[[Date ]],N27781,RawData[Month List],$Q$6,RawData[Tour/Site],$Q$2,RawData[[Picker ID ]],$Q$3,RawData[Checker ID],$Q$4,RawData[[Error Type ]],$Q$5))</f>
        <v/>
      </c>
    </row>
    <row r="27782" spans="15:15" x14ac:dyDescent="0.25">
      <c r="O27782" s="20" t="str">
        <f>IF(N27782="","",COUNTIFS(RawData[[Date ]],N27782,RawData[Month List],$Q$6,RawData[Tour/Site],$Q$2,RawData[[Picker ID ]],$Q$3,RawData[Checker ID],$Q$4,RawData[[Error Type ]],$Q$5))</f>
        <v/>
      </c>
    </row>
    <row r="27783" spans="15:15" x14ac:dyDescent="0.25">
      <c r="O27783" s="20" t="str">
        <f>IF(N27783="","",COUNTIFS(RawData[[Date ]],N27783,RawData[Month List],$Q$6,RawData[Tour/Site],$Q$2,RawData[[Picker ID ]],$Q$3,RawData[Checker ID],$Q$4,RawData[[Error Type ]],$Q$5))</f>
        <v/>
      </c>
    </row>
    <row r="27784" spans="15:15" x14ac:dyDescent="0.25">
      <c r="O27784" s="20" t="str">
        <f>IF(N27784="","",COUNTIFS(RawData[[Date ]],N27784,RawData[Month List],$Q$6,RawData[Tour/Site],$Q$2,RawData[[Picker ID ]],$Q$3,RawData[Checker ID],$Q$4,RawData[[Error Type ]],$Q$5))</f>
        <v/>
      </c>
    </row>
    <row r="27785" spans="15:15" x14ac:dyDescent="0.25">
      <c r="O27785" s="20" t="str">
        <f>IF(N27785="","",COUNTIFS(RawData[[Date ]],N27785,RawData[Month List],$Q$6,RawData[Tour/Site],$Q$2,RawData[[Picker ID ]],$Q$3,RawData[Checker ID],$Q$4,RawData[[Error Type ]],$Q$5))</f>
        <v/>
      </c>
    </row>
    <row r="27786" spans="15:15" x14ac:dyDescent="0.25">
      <c r="O27786" s="20" t="str">
        <f>IF(N27786="","",COUNTIFS(RawData[[Date ]],N27786,RawData[Month List],$Q$6,RawData[Tour/Site],$Q$2,RawData[[Picker ID ]],$Q$3,RawData[Checker ID],$Q$4,RawData[[Error Type ]],$Q$5))</f>
        <v/>
      </c>
    </row>
    <row r="27787" spans="15:15" x14ac:dyDescent="0.25">
      <c r="O27787" s="20" t="str">
        <f>IF(N27787="","",COUNTIFS(RawData[[Date ]],N27787,RawData[Month List],$Q$6,RawData[Tour/Site],$Q$2,RawData[[Picker ID ]],$Q$3,RawData[Checker ID],$Q$4,RawData[[Error Type ]],$Q$5))</f>
        <v/>
      </c>
    </row>
    <row r="27788" spans="15:15" x14ac:dyDescent="0.25">
      <c r="O27788" s="20" t="str">
        <f>IF(N27788="","",COUNTIFS(RawData[[Date ]],N27788,RawData[Month List],$Q$6,RawData[Tour/Site],$Q$2,RawData[[Picker ID ]],$Q$3,RawData[Checker ID],$Q$4,RawData[[Error Type ]],$Q$5))</f>
        <v/>
      </c>
    </row>
    <row r="27789" spans="15:15" x14ac:dyDescent="0.25">
      <c r="O27789" s="20" t="str">
        <f>IF(N27789="","",COUNTIFS(RawData[[Date ]],N27789,RawData[Month List],$Q$6,RawData[Tour/Site],$Q$2,RawData[[Picker ID ]],$Q$3,RawData[Checker ID],$Q$4,RawData[[Error Type ]],$Q$5))</f>
        <v/>
      </c>
    </row>
    <row r="27790" spans="15:15" x14ac:dyDescent="0.25">
      <c r="O27790" s="20" t="str">
        <f>IF(N27790="","",COUNTIFS(RawData[[Date ]],N27790,RawData[Month List],$Q$6,RawData[Tour/Site],$Q$2,RawData[[Picker ID ]],$Q$3,RawData[Checker ID],$Q$4,RawData[[Error Type ]],$Q$5))</f>
        <v/>
      </c>
    </row>
    <row r="27791" spans="15:15" x14ac:dyDescent="0.25">
      <c r="O27791" s="20" t="str">
        <f>IF(N27791="","",COUNTIFS(RawData[[Date ]],N27791,RawData[Month List],$Q$6,RawData[Tour/Site],$Q$2,RawData[[Picker ID ]],$Q$3,RawData[Checker ID],$Q$4,RawData[[Error Type ]],$Q$5))</f>
        <v/>
      </c>
    </row>
    <row r="27792" spans="15:15" x14ac:dyDescent="0.25">
      <c r="O27792" s="20" t="str">
        <f>IF(N27792="","",COUNTIFS(RawData[[Date ]],N27792,RawData[Month List],$Q$6,RawData[Tour/Site],$Q$2,RawData[[Picker ID ]],$Q$3,RawData[Checker ID],$Q$4,RawData[[Error Type ]],$Q$5))</f>
        <v/>
      </c>
    </row>
    <row r="27793" spans="15:15" x14ac:dyDescent="0.25">
      <c r="O27793" s="20" t="str">
        <f>IF(N27793="","",COUNTIFS(RawData[[Date ]],N27793,RawData[Month List],$Q$6,RawData[Tour/Site],$Q$2,RawData[[Picker ID ]],$Q$3,RawData[Checker ID],$Q$4,RawData[[Error Type ]],$Q$5))</f>
        <v/>
      </c>
    </row>
    <row r="27794" spans="15:15" x14ac:dyDescent="0.25">
      <c r="O27794" s="20" t="str">
        <f>IF(N27794="","",COUNTIFS(RawData[[Date ]],N27794,RawData[Month List],$Q$6,RawData[Tour/Site],$Q$2,RawData[[Picker ID ]],$Q$3,RawData[Checker ID],$Q$4,RawData[[Error Type ]],$Q$5))</f>
        <v/>
      </c>
    </row>
    <row r="27795" spans="15:15" x14ac:dyDescent="0.25">
      <c r="O27795" s="20" t="str">
        <f>IF(N27795="","",COUNTIFS(RawData[[Date ]],N27795,RawData[Month List],$Q$6,RawData[Tour/Site],$Q$2,RawData[[Picker ID ]],$Q$3,RawData[Checker ID],$Q$4,RawData[[Error Type ]],$Q$5))</f>
        <v/>
      </c>
    </row>
    <row r="27796" spans="15:15" x14ac:dyDescent="0.25">
      <c r="O27796" s="20" t="str">
        <f>IF(N27796="","",COUNTIFS(RawData[[Date ]],N27796,RawData[Month List],$Q$6,RawData[Tour/Site],$Q$2,RawData[[Picker ID ]],$Q$3,RawData[Checker ID],$Q$4,RawData[[Error Type ]],$Q$5))</f>
        <v/>
      </c>
    </row>
    <row r="27797" spans="15:15" x14ac:dyDescent="0.25">
      <c r="O27797" s="20" t="str">
        <f>IF(N27797="","",COUNTIFS(RawData[[Date ]],N27797,RawData[Month List],$Q$6,RawData[Tour/Site],$Q$2,RawData[[Picker ID ]],$Q$3,RawData[Checker ID],$Q$4,RawData[[Error Type ]],$Q$5))</f>
        <v/>
      </c>
    </row>
    <row r="27798" spans="15:15" x14ac:dyDescent="0.25">
      <c r="O27798" s="20" t="str">
        <f>IF(N27798="","",COUNTIFS(RawData[[Date ]],N27798,RawData[Month List],$Q$6,RawData[Tour/Site],$Q$2,RawData[[Picker ID ]],$Q$3,RawData[Checker ID],$Q$4,RawData[[Error Type ]],$Q$5))</f>
        <v/>
      </c>
    </row>
    <row r="27799" spans="15:15" x14ac:dyDescent="0.25">
      <c r="O27799" s="20" t="str">
        <f>IF(N27799="","",COUNTIFS(RawData[[Date ]],N27799,RawData[Month List],$Q$6,RawData[Tour/Site],$Q$2,RawData[[Picker ID ]],$Q$3,RawData[Checker ID],$Q$4,RawData[[Error Type ]],$Q$5))</f>
        <v/>
      </c>
    </row>
    <row r="27800" spans="15:15" x14ac:dyDescent="0.25">
      <c r="O27800" s="20" t="str">
        <f>IF(N27800="","",COUNTIFS(RawData[[Date ]],N27800,RawData[Month List],$Q$6,RawData[Tour/Site],$Q$2,RawData[[Picker ID ]],$Q$3,RawData[Checker ID],$Q$4,RawData[[Error Type ]],$Q$5))</f>
        <v/>
      </c>
    </row>
    <row r="27801" spans="15:15" x14ac:dyDescent="0.25">
      <c r="O27801" s="20" t="str">
        <f>IF(N27801="","",COUNTIFS(RawData[[Date ]],N27801,RawData[Month List],$Q$6,RawData[Tour/Site],$Q$2,RawData[[Picker ID ]],$Q$3,RawData[Checker ID],$Q$4,RawData[[Error Type ]],$Q$5))</f>
        <v/>
      </c>
    </row>
    <row r="27802" spans="15:15" x14ac:dyDescent="0.25">
      <c r="O27802" s="20" t="str">
        <f>IF(N27802="","",COUNTIFS(RawData[[Date ]],N27802,RawData[Month List],$Q$6,RawData[Tour/Site],$Q$2,RawData[[Picker ID ]],$Q$3,RawData[Checker ID],$Q$4,RawData[[Error Type ]],$Q$5))</f>
        <v/>
      </c>
    </row>
    <row r="27803" spans="15:15" x14ac:dyDescent="0.25">
      <c r="O27803" s="20" t="str">
        <f>IF(N27803="","",COUNTIFS(RawData[[Date ]],N27803,RawData[Month List],$Q$6,RawData[Tour/Site],$Q$2,RawData[[Picker ID ]],$Q$3,RawData[Checker ID],$Q$4,RawData[[Error Type ]],$Q$5))</f>
        <v/>
      </c>
    </row>
    <row r="27804" spans="15:15" x14ac:dyDescent="0.25">
      <c r="O27804" s="20" t="str">
        <f>IF(N27804="","",COUNTIFS(RawData[[Date ]],N27804,RawData[Month List],$Q$6,RawData[Tour/Site],$Q$2,RawData[[Picker ID ]],$Q$3,RawData[Checker ID],$Q$4,RawData[[Error Type ]],$Q$5))</f>
        <v/>
      </c>
    </row>
    <row r="27805" spans="15:15" x14ac:dyDescent="0.25">
      <c r="O27805" s="20" t="str">
        <f>IF(N27805="","",COUNTIFS(RawData[[Date ]],N27805,RawData[Month List],$Q$6,RawData[Tour/Site],$Q$2,RawData[[Picker ID ]],$Q$3,RawData[Checker ID],$Q$4,RawData[[Error Type ]],$Q$5))</f>
        <v/>
      </c>
    </row>
    <row r="27806" spans="15:15" x14ac:dyDescent="0.25">
      <c r="O27806" s="20" t="str">
        <f>IF(N27806="","",COUNTIFS(RawData[[Date ]],N27806,RawData[Month List],$Q$6,RawData[Tour/Site],$Q$2,RawData[[Picker ID ]],$Q$3,RawData[Checker ID],$Q$4,RawData[[Error Type ]],$Q$5))</f>
        <v/>
      </c>
    </row>
    <row r="27807" spans="15:15" x14ac:dyDescent="0.25">
      <c r="O27807" s="20" t="str">
        <f>IF(N27807="","",COUNTIFS(RawData[[Date ]],N27807,RawData[Month List],$Q$6,RawData[Tour/Site],$Q$2,RawData[[Picker ID ]],$Q$3,RawData[Checker ID],$Q$4,RawData[[Error Type ]],$Q$5))</f>
        <v/>
      </c>
    </row>
    <row r="27808" spans="15:15" x14ac:dyDescent="0.25">
      <c r="O27808" s="20" t="str">
        <f>IF(N27808="","",COUNTIFS(RawData[[Date ]],N27808,RawData[Month List],$Q$6,RawData[Tour/Site],$Q$2,RawData[[Picker ID ]],$Q$3,RawData[Checker ID],$Q$4,RawData[[Error Type ]],$Q$5))</f>
        <v/>
      </c>
    </row>
    <row r="27809" spans="15:15" x14ac:dyDescent="0.25">
      <c r="O27809" s="20" t="str">
        <f>IF(N27809="","",COUNTIFS(RawData[[Date ]],N27809,RawData[Month List],$Q$6,RawData[Tour/Site],$Q$2,RawData[[Picker ID ]],$Q$3,RawData[Checker ID],$Q$4,RawData[[Error Type ]],$Q$5))</f>
        <v/>
      </c>
    </row>
    <row r="27810" spans="15:15" x14ac:dyDescent="0.25">
      <c r="O27810" s="20" t="str">
        <f>IF(N27810="","",COUNTIFS(RawData[[Date ]],N27810,RawData[Month List],$Q$6,RawData[Tour/Site],$Q$2,RawData[[Picker ID ]],$Q$3,RawData[Checker ID],$Q$4,RawData[[Error Type ]],$Q$5))</f>
        <v/>
      </c>
    </row>
    <row r="27811" spans="15:15" x14ac:dyDescent="0.25">
      <c r="O27811" s="20" t="str">
        <f>IF(N27811="","",COUNTIFS(RawData[[Date ]],N27811,RawData[Month List],$Q$6,RawData[Tour/Site],$Q$2,RawData[[Picker ID ]],$Q$3,RawData[Checker ID],$Q$4,RawData[[Error Type ]],$Q$5))</f>
        <v/>
      </c>
    </row>
    <row r="27812" spans="15:15" x14ac:dyDescent="0.25">
      <c r="O27812" s="20" t="str">
        <f>IF(N27812="","",COUNTIFS(RawData[[Date ]],N27812,RawData[Month List],$Q$6,RawData[Tour/Site],$Q$2,RawData[[Picker ID ]],$Q$3,RawData[Checker ID],$Q$4,RawData[[Error Type ]],$Q$5))</f>
        <v/>
      </c>
    </row>
    <row r="27813" spans="15:15" x14ac:dyDescent="0.25">
      <c r="O27813" s="20" t="str">
        <f>IF(N27813="","",COUNTIFS(RawData[[Date ]],N27813,RawData[Month List],$Q$6,RawData[Tour/Site],$Q$2,RawData[[Picker ID ]],$Q$3,RawData[Checker ID],$Q$4,RawData[[Error Type ]],$Q$5))</f>
        <v/>
      </c>
    </row>
    <row r="27814" spans="15:15" x14ac:dyDescent="0.25">
      <c r="O27814" s="20" t="str">
        <f>IF(N27814="","",COUNTIFS(RawData[[Date ]],N27814,RawData[Month List],$Q$6,RawData[Tour/Site],$Q$2,RawData[[Picker ID ]],$Q$3,RawData[Checker ID],$Q$4,RawData[[Error Type ]],$Q$5))</f>
        <v/>
      </c>
    </row>
    <row r="27815" spans="15:15" x14ac:dyDescent="0.25">
      <c r="O27815" s="20" t="str">
        <f>IF(N27815="","",COUNTIFS(RawData[[Date ]],N27815,RawData[Month List],$Q$6,RawData[Tour/Site],$Q$2,RawData[[Picker ID ]],$Q$3,RawData[Checker ID],$Q$4,RawData[[Error Type ]],$Q$5))</f>
        <v/>
      </c>
    </row>
    <row r="27816" spans="15:15" x14ac:dyDescent="0.25">
      <c r="O27816" s="20" t="str">
        <f>IF(N27816="","",COUNTIFS(RawData[[Date ]],N27816,RawData[Month List],$Q$6,RawData[Tour/Site],$Q$2,RawData[[Picker ID ]],$Q$3,RawData[Checker ID],$Q$4,RawData[[Error Type ]],$Q$5))</f>
        <v/>
      </c>
    </row>
    <row r="27817" spans="15:15" x14ac:dyDescent="0.25">
      <c r="O27817" s="20" t="str">
        <f>IF(N27817="","",COUNTIFS(RawData[[Date ]],N27817,RawData[Month List],$Q$6,RawData[Tour/Site],$Q$2,RawData[[Picker ID ]],$Q$3,RawData[Checker ID],$Q$4,RawData[[Error Type ]],$Q$5))</f>
        <v/>
      </c>
    </row>
    <row r="27818" spans="15:15" x14ac:dyDescent="0.25">
      <c r="O27818" s="20" t="str">
        <f>IF(N27818="","",COUNTIFS(RawData[[Date ]],N27818,RawData[Month List],$Q$6,RawData[Tour/Site],$Q$2,RawData[[Picker ID ]],$Q$3,RawData[Checker ID],$Q$4,RawData[[Error Type ]],$Q$5))</f>
        <v/>
      </c>
    </row>
    <row r="27819" spans="15:15" x14ac:dyDescent="0.25">
      <c r="O27819" s="20" t="str">
        <f>IF(N27819="","",COUNTIFS(RawData[[Date ]],N27819,RawData[Month List],$Q$6,RawData[Tour/Site],$Q$2,RawData[[Picker ID ]],$Q$3,RawData[Checker ID],$Q$4,RawData[[Error Type ]],$Q$5))</f>
        <v/>
      </c>
    </row>
    <row r="27820" spans="15:15" x14ac:dyDescent="0.25">
      <c r="O27820" s="20" t="str">
        <f>IF(N27820="","",COUNTIFS(RawData[[Date ]],N27820,RawData[Month List],$Q$6,RawData[Tour/Site],$Q$2,RawData[[Picker ID ]],$Q$3,RawData[Checker ID],$Q$4,RawData[[Error Type ]],$Q$5))</f>
        <v/>
      </c>
    </row>
    <row r="27821" spans="15:15" x14ac:dyDescent="0.25">
      <c r="O27821" s="20" t="str">
        <f>IF(N27821="","",COUNTIFS(RawData[[Date ]],N27821,RawData[Month List],$Q$6,RawData[Tour/Site],$Q$2,RawData[[Picker ID ]],$Q$3,RawData[Checker ID],$Q$4,RawData[[Error Type ]],$Q$5))</f>
        <v/>
      </c>
    </row>
    <row r="27822" spans="15:15" x14ac:dyDescent="0.25">
      <c r="O27822" s="20" t="str">
        <f>IF(N27822="","",COUNTIFS(RawData[[Date ]],N27822,RawData[Month List],$Q$6,RawData[Tour/Site],$Q$2,RawData[[Picker ID ]],$Q$3,RawData[Checker ID],$Q$4,RawData[[Error Type ]],$Q$5))</f>
        <v/>
      </c>
    </row>
    <row r="27823" spans="15:15" x14ac:dyDescent="0.25">
      <c r="O27823" s="20" t="str">
        <f>IF(N27823="","",COUNTIFS(RawData[[Date ]],N27823,RawData[Month List],$Q$6,RawData[Tour/Site],$Q$2,RawData[[Picker ID ]],$Q$3,RawData[Checker ID],$Q$4,RawData[[Error Type ]],$Q$5))</f>
        <v/>
      </c>
    </row>
    <row r="27824" spans="15:15" x14ac:dyDescent="0.25">
      <c r="O27824" s="20" t="str">
        <f>IF(N27824="","",COUNTIFS(RawData[[Date ]],N27824,RawData[Month List],$Q$6,RawData[Tour/Site],$Q$2,RawData[[Picker ID ]],$Q$3,RawData[Checker ID],$Q$4,RawData[[Error Type ]],$Q$5))</f>
        <v/>
      </c>
    </row>
    <row r="27825" spans="15:15" x14ac:dyDescent="0.25">
      <c r="O27825" s="20" t="str">
        <f>IF(N27825="","",COUNTIFS(RawData[[Date ]],N27825,RawData[Month List],$Q$6,RawData[Tour/Site],$Q$2,RawData[[Picker ID ]],$Q$3,RawData[Checker ID],$Q$4,RawData[[Error Type ]],$Q$5))</f>
        <v/>
      </c>
    </row>
    <row r="27826" spans="15:15" x14ac:dyDescent="0.25">
      <c r="O27826" s="20" t="str">
        <f>IF(N27826="","",COUNTIFS(RawData[[Date ]],N27826,RawData[Month List],$Q$6,RawData[Tour/Site],$Q$2,RawData[[Picker ID ]],$Q$3,RawData[Checker ID],$Q$4,RawData[[Error Type ]],$Q$5))</f>
        <v/>
      </c>
    </row>
    <row r="27827" spans="15:15" x14ac:dyDescent="0.25">
      <c r="O27827" s="20" t="str">
        <f>IF(N27827="","",COUNTIFS(RawData[[Date ]],N27827,RawData[Month List],$Q$6,RawData[Tour/Site],$Q$2,RawData[[Picker ID ]],$Q$3,RawData[Checker ID],$Q$4,RawData[[Error Type ]],$Q$5))</f>
        <v/>
      </c>
    </row>
    <row r="27828" spans="15:15" x14ac:dyDescent="0.25">
      <c r="O27828" s="20" t="str">
        <f>IF(N27828="","",COUNTIFS(RawData[[Date ]],N27828,RawData[Month List],$Q$6,RawData[Tour/Site],$Q$2,RawData[[Picker ID ]],$Q$3,RawData[Checker ID],$Q$4,RawData[[Error Type ]],$Q$5))</f>
        <v/>
      </c>
    </row>
    <row r="27829" spans="15:15" x14ac:dyDescent="0.25">
      <c r="O27829" s="20" t="str">
        <f>IF(N27829="","",COUNTIFS(RawData[[Date ]],N27829,RawData[Month List],$Q$6,RawData[Tour/Site],$Q$2,RawData[[Picker ID ]],$Q$3,RawData[Checker ID],$Q$4,RawData[[Error Type ]],$Q$5))</f>
        <v/>
      </c>
    </row>
    <row r="27830" spans="15:15" x14ac:dyDescent="0.25">
      <c r="O27830" s="20" t="str">
        <f>IF(N27830="","",COUNTIFS(RawData[[Date ]],N27830,RawData[Month List],$Q$6,RawData[Tour/Site],$Q$2,RawData[[Picker ID ]],$Q$3,RawData[Checker ID],$Q$4,RawData[[Error Type ]],$Q$5))</f>
        <v/>
      </c>
    </row>
    <row r="27831" spans="15:15" x14ac:dyDescent="0.25">
      <c r="O27831" s="20" t="str">
        <f>IF(N27831="","",COUNTIFS(RawData[[Date ]],N27831,RawData[Month List],$Q$6,RawData[Tour/Site],$Q$2,RawData[[Picker ID ]],$Q$3,RawData[Checker ID],$Q$4,RawData[[Error Type ]],$Q$5))</f>
        <v/>
      </c>
    </row>
    <row r="27832" spans="15:15" x14ac:dyDescent="0.25">
      <c r="O27832" s="20" t="str">
        <f>IF(N27832="","",COUNTIFS(RawData[[Date ]],N27832,RawData[Month List],$Q$6,RawData[Tour/Site],$Q$2,RawData[[Picker ID ]],$Q$3,RawData[Checker ID],$Q$4,RawData[[Error Type ]],$Q$5))</f>
        <v/>
      </c>
    </row>
    <row r="27833" spans="15:15" x14ac:dyDescent="0.25">
      <c r="O27833" s="20" t="str">
        <f>IF(N27833="","",COUNTIFS(RawData[[Date ]],N27833,RawData[Month List],$Q$6,RawData[Tour/Site],$Q$2,RawData[[Picker ID ]],$Q$3,RawData[Checker ID],$Q$4,RawData[[Error Type ]],$Q$5))</f>
        <v/>
      </c>
    </row>
    <row r="27834" spans="15:15" x14ac:dyDescent="0.25">
      <c r="O27834" s="20" t="str">
        <f>IF(N27834="","",COUNTIFS(RawData[[Date ]],N27834,RawData[Month List],$Q$6,RawData[Tour/Site],$Q$2,RawData[[Picker ID ]],$Q$3,RawData[Checker ID],$Q$4,RawData[[Error Type ]],$Q$5))</f>
        <v/>
      </c>
    </row>
    <row r="27835" spans="15:15" x14ac:dyDescent="0.25">
      <c r="O27835" s="20" t="str">
        <f>IF(N27835="","",COUNTIFS(RawData[[Date ]],N27835,RawData[Month List],$Q$6,RawData[Tour/Site],$Q$2,RawData[[Picker ID ]],$Q$3,RawData[Checker ID],$Q$4,RawData[[Error Type ]],$Q$5))</f>
        <v/>
      </c>
    </row>
    <row r="27836" spans="15:15" x14ac:dyDescent="0.25">
      <c r="O27836" s="20" t="str">
        <f>IF(N27836="","",COUNTIFS(RawData[[Date ]],N27836,RawData[Month List],$Q$6,RawData[Tour/Site],$Q$2,RawData[[Picker ID ]],$Q$3,RawData[Checker ID],$Q$4,RawData[[Error Type ]],$Q$5))</f>
        <v/>
      </c>
    </row>
    <row r="27837" spans="15:15" x14ac:dyDescent="0.25">
      <c r="O27837" s="20" t="str">
        <f>IF(N27837="","",COUNTIFS(RawData[[Date ]],N27837,RawData[Month List],$Q$6,RawData[Tour/Site],$Q$2,RawData[[Picker ID ]],$Q$3,RawData[Checker ID],$Q$4,RawData[[Error Type ]],$Q$5))</f>
        <v/>
      </c>
    </row>
    <row r="27838" spans="15:15" x14ac:dyDescent="0.25">
      <c r="O27838" s="20" t="str">
        <f>IF(N27838="","",COUNTIFS(RawData[[Date ]],N27838,RawData[Month List],$Q$6,RawData[Tour/Site],$Q$2,RawData[[Picker ID ]],$Q$3,RawData[Checker ID],$Q$4,RawData[[Error Type ]],$Q$5))</f>
        <v/>
      </c>
    </row>
    <row r="27839" spans="15:15" x14ac:dyDescent="0.25">
      <c r="O27839" s="20" t="str">
        <f>IF(N27839="","",COUNTIFS(RawData[[Date ]],N27839,RawData[Month List],$Q$6,RawData[Tour/Site],$Q$2,RawData[[Picker ID ]],$Q$3,RawData[Checker ID],$Q$4,RawData[[Error Type ]],$Q$5))</f>
        <v/>
      </c>
    </row>
    <row r="27840" spans="15:15" x14ac:dyDescent="0.25">
      <c r="O27840" s="20" t="str">
        <f>IF(N27840="","",COUNTIFS(RawData[[Date ]],N27840,RawData[Month List],$Q$6,RawData[Tour/Site],$Q$2,RawData[[Picker ID ]],$Q$3,RawData[Checker ID],$Q$4,RawData[[Error Type ]],$Q$5))</f>
        <v/>
      </c>
    </row>
    <row r="27841" spans="15:15" x14ac:dyDescent="0.25">
      <c r="O27841" s="20" t="str">
        <f>IF(N27841="","",COUNTIFS(RawData[[Date ]],N27841,RawData[Month List],$Q$6,RawData[Tour/Site],$Q$2,RawData[[Picker ID ]],$Q$3,RawData[Checker ID],$Q$4,RawData[[Error Type ]],$Q$5))</f>
        <v/>
      </c>
    </row>
    <row r="27842" spans="15:15" x14ac:dyDescent="0.25">
      <c r="O27842" s="20" t="str">
        <f>IF(N27842="","",COUNTIFS(RawData[[Date ]],N27842,RawData[Month List],$Q$6,RawData[Tour/Site],$Q$2,RawData[[Picker ID ]],$Q$3,RawData[Checker ID],$Q$4,RawData[[Error Type ]],$Q$5))</f>
        <v/>
      </c>
    </row>
    <row r="27843" spans="15:15" x14ac:dyDescent="0.25">
      <c r="O27843" s="20" t="str">
        <f>IF(N27843="","",COUNTIFS(RawData[[Date ]],N27843,RawData[Month List],$Q$6,RawData[Tour/Site],$Q$2,RawData[[Picker ID ]],$Q$3,RawData[Checker ID],$Q$4,RawData[[Error Type ]],$Q$5))</f>
        <v/>
      </c>
    </row>
    <row r="27844" spans="15:15" x14ac:dyDescent="0.25">
      <c r="O27844" s="20" t="str">
        <f>IF(N27844="","",COUNTIFS(RawData[[Date ]],N27844,RawData[Month List],$Q$6,RawData[Tour/Site],$Q$2,RawData[[Picker ID ]],$Q$3,RawData[Checker ID],$Q$4,RawData[[Error Type ]],$Q$5))</f>
        <v/>
      </c>
    </row>
    <row r="27845" spans="15:15" x14ac:dyDescent="0.25">
      <c r="O27845" s="20" t="str">
        <f>IF(N27845="","",COUNTIFS(RawData[[Date ]],N27845,RawData[Month List],$Q$6,RawData[Tour/Site],$Q$2,RawData[[Picker ID ]],$Q$3,RawData[Checker ID],$Q$4,RawData[[Error Type ]],$Q$5))</f>
        <v/>
      </c>
    </row>
    <row r="27846" spans="15:15" x14ac:dyDescent="0.25">
      <c r="O27846" s="20" t="str">
        <f>IF(N27846="","",COUNTIFS(RawData[[Date ]],N27846,RawData[Month List],$Q$6,RawData[Tour/Site],$Q$2,RawData[[Picker ID ]],$Q$3,RawData[Checker ID],$Q$4,RawData[[Error Type ]],$Q$5))</f>
        <v/>
      </c>
    </row>
    <row r="27847" spans="15:15" x14ac:dyDescent="0.25">
      <c r="O27847" s="20" t="str">
        <f>IF(N27847="","",COUNTIFS(RawData[[Date ]],N27847,RawData[Month List],$Q$6,RawData[Tour/Site],$Q$2,RawData[[Picker ID ]],$Q$3,RawData[Checker ID],$Q$4,RawData[[Error Type ]],$Q$5))</f>
        <v/>
      </c>
    </row>
    <row r="27848" spans="15:15" x14ac:dyDescent="0.25">
      <c r="O27848" s="20" t="str">
        <f>IF(N27848="","",COUNTIFS(RawData[[Date ]],N27848,RawData[Month List],$Q$6,RawData[Tour/Site],$Q$2,RawData[[Picker ID ]],$Q$3,RawData[Checker ID],$Q$4,RawData[[Error Type ]],$Q$5))</f>
        <v/>
      </c>
    </row>
    <row r="27849" spans="15:15" x14ac:dyDescent="0.25">
      <c r="O27849" s="20" t="str">
        <f>IF(N27849="","",COUNTIFS(RawData[[Date ]],N27849,RawData[Month List],$Q$6,RawData[Tour/Site],$Q$2,RawData[[Picker ID ]],$Q$3,RawData[Checker ID],$Q$4,RawData[[Error Type ]],$Q$5))</f>
        <v/>
      </c>
    </row>
    <row r="27850" spans="15:15" x14ac:dyDescent="0.25">
      <c r="O27850" s="20" t="str">
        <f>IF(N27850="","",COUNTIFS(RawData[[Date ]],N27850,RawData[Month List],$Q$6,RawData[Tour/Site],$Q$2,RawData[[Picker ID ]],$Q$3,RawData[Checker ID],$Q$4,RawData[[Error Type ]],$Q$5))</f>
        <v/>
      </c>
    </row>
    <row r="27851" spans="15:15" x14ac:dyDescent="0.25">
      <c r="O27851" s="20" t="str">
        <f>IF(N27851="","",COUNTIFS(RawData[[Date ]],N27851,RawData[Month List],$Q$6,RawData[Tour/Site],$Q$2,RawData[[Picker ID ]],$Q$3,RawData[Checker ID],$Q$4,RawData[[Error Type ]],$Q$5))</f>
        <v/>
      </c>
    </row>
    <row r="27852" spans="15:15" x14ac:dyDescent="0.25">
      <c r="O27852" s="20" t="str">
        <f>IF(N27852="","",COUNTIFS(RawData[[Date ]],N27852,RawData[Month List],$Q$6,RawData[Tour/Site],$Q$2,RawData[[Picker ID ]],$Q$3,RawData[Checker ID],$Q$4,RawData[[Error Type ]],$Q$5))</f>
        <v/>
      </c>
    </row>
    <row r="27853" spans="15:15" x14ac:dyDescent="0.25">
      <c r="O27853" s="20" t="str">
        <f>IF(N27853="","",COUNTIFS(RawData[[Date ]],N27853,RawData[Month List],$Q$6,RawData[Tour/Site],$Q$2,RawData[[Picker ID ]],$Q$3,RawData[Checker ID],$Q$4,RawData[[Error Type ]],$Q$5))</f>
        <v/>
      </c>
    </row>
    <row r="27854" spans="15:15" x14ac:dyDescent="0.25">
      <c r="O27854" s="20" t="str">
        <f>IF(N27854="","",COUNTIFS(RawData[[Date ]],N27854,RawData[Month List],$Q$6,RawData[Tour/Site],$Q$2,RawData[[Picker ID ]],$Q$3,RawData[Checker ID],$Q$4,RawData[[Error Type ]],$Q$5))</f>
        <v/>
      </c>
    </row>
    <row r="27855" spans="15:15" x14ac:dyDescent="0.25">
      <c r="O27855" s="20" t="str">
        <f>IF(N27855="","",COUNTIFS(RawData[[Date ]],N27855,RawData[Month List],$Q$6,RawData[Tour/Site],$Q$2,RawData[[Picker ID ]],$Q$3,RawData[Checker ID],$Q$4,RawData[[Error Type ]],$Q$5))</f>
        <v/>
      </c>
    </row>
    <row r="27856" spans="15:15" x14ac:dyDescent="0.25">
      <c r="O27856" s="20" t="str">
        <f>IF(N27856="","",COUNTIFS(RawData[[Date ]],N27856,RawData[Month List],$Q$6,RawData[Tour/Site],$Q$2,RawData[[Picker ID ]],$Q$3,RawData[Checker ID],$Q$4,RawData[[Error Type ]],$Q$5))</f>
        <v/>
      </c>
    </row>
    <row r="27857" spans="15:15" x14ac:dyDescent="0.25">
      <c r="O27857" s="20" t="str">
        <f>IF(N27857="","",COUNTIFS(RawData[[Date ]],N27857,RawData[Month List],$Q$6,RawData[Tour/Site],$Q$2,RawData[[Picker ID ]],$Q$3,RawData[Checker ID],$Q$4,RawData[[Error Type ]],$Q$5))</f>
        <v/>
      </c>
    </row>
    <row r="27858" spans="15:15" x14ac:dyDescent="0.25">
      <c r="O27858" s="20" t="str">
        <f>IF(N27858="","",COUNTIFS(RawData[[Date ]],N27858,RawData[Month List],$Q$6,RawData[Tour/Site],$Q$2,RawData[[Picker ID ]],$Q$3,RawData[Checker ID],$Q$4,RawData[[Error Type ]],$Q$5))</f>
        <v/>
      </c>
    </row>
    <row r="27859" spans="15:15" x14ac:dyDescent="0.25">
      <c r="O27859" s="20" t="str">
        <f>IF(N27859="","",COUNTIFS(RawData[[Date ]],N27859,RawData[Month List],$Q$6,RawData[Tour/Site],$Q$2,RawData[[Picker ID ]],$Q$3,RawData[Checker ID],$Q$4,RawData[[Error Type ]],$Q$5))</f>
        <v/>
      </c>
    </row>
    <row r="27860" spans="15:15" x14ac:dyDescent="0.25">
      <c r="O27860" s="20" t="str">
        <f>IF(N27860="","",COUNTIFS(RawData[[Date ]],N27860,RawData[Month List],$Q$6,RawData[Tour/Site],$Q$2,RawData[[Picker ID ]],$Q$3,RawData[Checker ID],$Q$4,RawData[[Error Type ]],$Q$5))</f>
        <v/>
      </c>
    </row>
    <row r="27861" spans="15:15" x14ac:dyDescent="0.25">
      <c r="O27861" s="20" t="str">
        <f>IF(N27861="","",COUNTIFS(RawData[[Date ]],N27861,RawData[Month List],$Q$6,RawData[Tour/Site],$Q$2,RawData[[Picker ID ]],$Q$3,RawData[Checker ID],$Q$4,RawData[[Error Type ]],$Q$5))</f>
        <v/>
      </c>
    </row>
    <row r="27862" spans="15:15" x14ac:dyDescent="0.25">
      <c r="O27862" s="20" t="str">
        <f>IF(N27862="","",COUNTIFS(RawData[[Date ]],N27862,RawData[Month List],$Q$6,RawData[Tour/Site],$Q$2,RawData[[Picker ID ]],$Q$3,RawData[Checker ID],$Q$4,RawData[[Error Type ]],$Q$5))</f>
        <v/>
      </c>
    </row>
    <row r="27863" spans="15:15" x14ac:dyDescent="0.25">
      <c r="O27863" s="20" t="str">
        <f>IF(N27863="","",COUNTIFS(RawData[[Date ]],N27863,RawData[Month List],$Q$6,RawData[Tour/Site],$Q$2,RawData[[Picker ID ]],$Q$3,RawData[Checker ID],$Q$4,RawData[[Error Type ]],$Q$5))</f>
        <v/>
      </c>
    </row>
    <row r="27864" spans="15:15" x14ac:dyDescent="0.25">
      <c r="O27864" s="20" t="str">
        <f>IF(N27864="","",COUNTIFS(RawData[[Date ]],N27864,RawData[Month List],$Q$6,RawData[Tour/Site],$Q$2,RawData[[Picker ID ]],$Q$3,RawData[Checker ID],$Q$4,RawData[[Error Type ]],$Q$5))</f>
        <v/>
      </c>
    </row>
    <row r="27865" spans="15:15" x14ac:dyDescent="0.25">
      <c r="O27865" s="20" t="str">
        <f>IF(N27865="","",COUNTIFS(RawData[[Date ]],N27865,RawData[Month List],$Q$6,RawData[Tour/Site],$Q$2,RawData[[Picker ID ]],$Q$3,RawData[Checker ID],$Q$4,RawData[[Error Type ]],$Q$5))</f>
        <v/>
      </c>
    </row>
    <row r="27866" spans="15:15" x14ac:dyDescent="0.25">
      <c r="O27866" s="20" t="str">
        <f>IF(N27866="","",COUNTIFS(RawData[[Date ]],N27866,RawData[Month List],$Q$6,RawData[Tour/Site],$Q$2,RawData[[Picker ID ]],$Q$3,RawData[Checker ID],$Q$4,RawData[[Error Type ]],$Q$5))</f>
        <v/>
      </c>
    </row>
    <row r="27867" spans="15:15" x14ac:dyDescent="0.25">
      <c r="O27867" s="20" t="str">
        <f>IF(N27867="","",COUNTIFS(RawData[[Date ]],N27867,RawData[Month List],$Q$6,RawData[Tour/Site],$Q$2,RawData[[Picker ID ]],$Q$3,RawData[Checker ID],$Q$4,RawData[[Error Type ]],$Q$5))</f>
        <v/>
      </c>
    </row>
    <row r="27868" spans="15:15" x14ac:dyDescent="0.25">
      <c r="O27868" s="20" t="str">
        <f>IF(N27868="","",COUNTIFS(RawData[[Date ]],N27868,RawData[Month List],$Q$6,RawData[Tour/Site],$Q$2,RawData[[Picker ID ]],$Q$3,RawData[Checker ID],$Q$4,RawData[[Error Type ]],$Q$5))</f>
        <v/>
      </c>
    </row>
    <row r="27869" spans="15:15" x14ac:dyDescent="0.25">
      <c r="O27869" s="20" t="str">
        <f>IF(N27869="","",COUNTIFS(RawData[[Date ]],N27869,RawData[Month List],$Q$6,RawData[Tour/Site],$Q$2,RawData[[Picker ID ]],$Q$3,RawData[Checker ID],$Q$4,RawData[[Error Type ]],$Q$5))</f>
        <v/>
      </c>
    </row>
    <row r="27870" spans="15:15" x14ac:dyDescent="0.25">
      <c r="O27870" s="20" t="str">
        <f>IF(N27870="","",COUNTIFS(RawData[[Date ]],N27870,RawData[Month List],$Q$6,RawData[Tour/Site],$Q$2,RawData[[Picker ID ]],$Q$3,RawData[Checker ID],$Q$4,RawData[[Error Type ]],$Q$5))</f>
        <v/>
      </c>
    </row>
    <row r="27871" spans="15:15" x14ac:dyDescent="0.25">
      <c r="O27871" s="20" t="str">
        <f>IF(N27871="","",COUNTIFS(RawData[[Date ]],N27871,RawData[Month List],$Q$6,RawData[Tour/Site],$Q$2,RawData[[Picker ID ]],$Q$3,RawData[Checker ID],$Q$4,RawData[[Error Type ]],$Q$5))</f>
        <v/>
      </c>
    </row>
    <row r="27872" spans="15:15" x14ac:dyDescent="0.25">
      <c r="O27872" s="20" t="str">
        <f>IF(N27872="","",COUNTIFS(RawData[[Date ]],N27872,RawData[Month List],$Q$6,RawData[Tour/Site],$Q$2,RawData[[Picker ID ]],$Q$3,RawData[Checker ID],$Q$4,RawData[[Error Type ]],$Q$5))</f>
        <v/>
      </c>
    </row>
    <row r="27873" spans="15:15" x14ac:dyDescent="0.25">
      <c r="O27873" s="20" t="str">
        <f>IF(N27873="","",COUNTIFS(RawData[[Date ]],N27873,RawData[Month List],$Q$6,RawData[Tour/Site],$Q$2,RawData[[Picker ID ]],$Q$3,RawData[Checker ID],$Q$4,RawData[[Error Type ]],$Q$5))</f>
        <v/>
      </c>
    </row>
    <row r="27874" spans="15:15" x14ac:dyDescent="0.25">
      <c r="O27874" s="20" t="str">
        <f>IF(N27874="","",COUNTIFS(RawData[[Date ]],N27874,RawData[Month List],$Q$6,RawData[Tour/Site],$Q$2,RawData[[Picker ID ]],$Q$3,RawData[Checker ID],$Q$4,RawData[[Error Type ]],$Q$5))</f>
        <v/>
      </c>
    </row>
    <row r="27875" spans="15:15" x14ac:dyDescent="0.25">
      <c r="O27875" s="20" t="str">
        <f>IF(N27875="","",COUNTIFS(RawData[[Date ]],N27875,RawData[Month List],$Q$6,RawData[Tour/Site],$Q$2,RawData[[Picker ID ]],$Q$3,RawData[Checker ID],$Q$4,RawData[[Error Type ]],$Q$5))</f>
        <v/>
      </c>
    </row>
    <row r="27876" spans="15:15" x14ac:dyDescent="0.25">
      <c r="O27876" s="20" t="str">
        <f>IF(N27876="","",COUNTIFS(RawData[[Date ]],N27876,RawData[Month List],$Q$6,RawData[Tour/Site],$Q$2,RawData[[Picker ID ]],$Q$3,RawData[Checker ID],$Q$4,RawData[[Error Type ]],$Q$5))</f>
        <v/>
      </c>
    </row>
    <row r="27877" spans="15:15" x14ac:dyDescent="0.25">
      <c r="O27877" s="20" t="str">
        <f>IF(N27877="","",COUNTIFS(RawData[[Date ]],N27877,RawData[Month List],$Q$6,RawData[Tour/Site],$Q$2,RawData[[Picker ID ]],$Q$3,RawData[Checker ID],$Q$4,RawData[[Error Type ]],$Q$5))</f>
        <v/>
      </c>
    </row>
    <row r="27878" spans="15:15" x14ac:dyDescent="0.25">
      <c r="O27878" s="20" t="str">
        <f>IF(N27878="","",COUNTIFS(RawData[[Date ]],N27878,RawData[Month List],$Q$6,RawData[Tour/Site],$Q$2,RawData[[Picker ID ]],$Q$3,RawData[Checker ID],$Q$4,RawData[[Error Type ]],$Q$5))</f>
        <v/>
      </c>
    </row>
    <row r="27879" spans="15:15" x14ac:dyDescent="0.25">
      <c r="O27879" s="20" t="str">
        <f>IF(N27879="","",COUNTIFS(RawData[[Date ]],N27879,RawData[Month List],$Q$6,RawData[Tour/Site],$Q$2,RawData[[Picker ID ]],$Q$3,RawData[Checker ID],$Q$4,RawData[[Error Type ]],$Q$5))</f>
        <v/>
      </c>
    </row>
    <row r="27880" spans="15:15" x14ac:dyDescent="0.25">
      <c r="O27880" s="20" t="str">
        <f>IF(N27880="","",COUNTIFS(RawData[[Date ]],N27880,RawData[Month List],$Q$6,RawData[Tour/Site],$Q$2,RawData[[Picker ID ]],$Q$3,RawData[Checker ID],$Q$4,RawData[[Error Type ]],$Q$5))</f>
        <v/>
      </c>
    </row>
    <row r="27881" spans="15:15" x14ac:dyDescent="0.25">
      <c r="O27881" s="20" t="str">
        <f>IF(N27881="","",COUNTIFS(RawData[[Date ]],N27881,RawData[Month List],$Q$6,RawData[Tour/Site],$Q$2,RawData[[Picker ID ]],$Q$3,RawData[Checker ID],$Q$4,RawData[[Error Type ]],$Q$5))</f>
        <v/>
      </c>
    </row>
    <row r="27882" spans="15:15" x14ac:dyDescent="0.25">
      <c r="O27882" s="20" t="str">
        <f>IF(N27882="","",COUNTIFS(RawData[[Date ]],N27882,RawData[Month List],$Q$6,RawData[Tour/Site],$Q$2,RawData[[Picker ID ]],$Q$3,RawData[Checker ID],$Q$4,RawData[[Error Type ]],$Q$5))</f>
        <v/>
      </c>
    </row>
    <row r="27883" spans="15:15" x14ac:dyDescent="0.25">
      <c r="O27883" s="20" t="str">
        <f>IF(N27883="","",COUNTIFS(RawData[[Date ]],N27883,RawData[Month List],$Q$6,RawData[Tour/Site],$Q$2,RawData[[Picker ID ]],$Q$3,RawData[Checker ID],$Q$4,RawData[[Error Type ]],$Q$5))</f>
        <v/>
      </c>
    </row>
    <row r="27884" spans="15:15" x14ac:dyDescent="0.25">
      <c r="O27884" s="20" t="str">
        <f>IF(N27884="","",COUNTIFS(RawData[[Date ]],N27884,RawData[Month List],$Q$6,RawData[Tour/Site],$Q$2,RawData[[Picker ID ]],$Q$3,RawData[Checker ID],$Q$4,RawData[[Error Type ]],$Q$5))</f>
        <v/>
      </c>
    </row>
    <row r="27885" spans="15:15" x14ac:dyDescent="0.25">
      <c r="O27885" s="20" t="str">
        <f>IF(N27885="","",COUNTIFS(RawData[[Date ]],N27885,RawData[Month List],$Q$6,RawData[Tour/Site],$Q$2,RawData[[Picker ID ]],$Q$3,RawData[Checker ID],$Q$4,RawData[[Error Type ]],$Q$5))</f>
        <v/>
      </c>
    </row>
    <row r="27886" spans="15:15" x14ac:dyDescent="0.25">
      <c r="O27886" s="20" t="str">
        <f>IF(N27886="","",COUNTIFS(RawData[[Date ]],N27886,RawData[Month List],$Q$6,RawData[Tour/Site],$Q$2,RawData[[Picker ID ]],$Q$3,RawData[Checker ID],$Q$4,RawData[[Error Type ]],$Q$5))</f>
        <v/>
      </c>
    </row>
    <row r="27887" spans="15:15" x14ac:dyDescent="0.25">
      <c r="O27887" s="20" t="str">
        <f>IF(N27887="","",COUNTIFS(RawData[[Date ]],N27887,RawData[Month List],$Q$6,RawData[Tour/Site],$Q$2,RawData[[Picker ID ]],$Q$3,RawData[Checker ID],$Q$4,RawData[[Error Type ]],$Q$5))</f>
        <v/>
      </c>
    </row>
    <row r="27888" spans="15:15" x14ac:dyDescent="0.25">
      <c r="O27888" s="20" t="str">
        <f>IF(N27888="","",COUNTIFS(RawData[[Date ]],N27888,RawData[Month List],$Q$6,RawData[Tour/Site],$Q$2,RawData[[Picker ID ]],$Q$3,RawData[Checker ID],$Q$4,RawData[[Error Type ]],$Q$5))</f>
        <v/>
      </c>
    </row>
    <row r="27889" spans="15:15" x14ac:dyDescent="0.25">
      <c r="O27889" s="20" t="str">
        <f>IF(N27889="","",COUNTIFS(RawData[[Date ]],N27889,RawData[Month List],$Q$6,RawData[Tour/Site],$Q$2,RawData[[Picker ID ]],$Q$3,RawData[Checker ID],$Q$4,RawData[[Error Type ]],$Q$5))</f>
        <v/>
      </c>
    </row>
    <row r="27890" spans="15:15" x14ac:dyDescent="0.25">
      <c r="O27890" s="20" t="str">
        <f>IF(N27890="","",COUNTIFS(RawData[[Date ]],N27890,RawData[Month List],$Q$6,RawData[Tour/Site],$Q$2,RawData[[Picker ID ]],$Q$3,RawData[Checker ID],$Q$4,RawData[[Error Type ]],$Q$5))</f>
        <v/>
      </c>
    </row>
    <row r="27891" spans="15:15" x14ac:dyDescent="0.25">
      <c r="O27891" s="20" t="str">
        <f>IF(N27891="","",COUNTIFS(RawData[[Date ]],N27891,RawData[Month List],$Q$6,RawData[Tour/Site],$Q$2,RawData[[Picker ID ]],$Q$3,RawData[Checker ID],$Q$4,RawData[[Error Type ]],$Q$5))</f>
        <v/>
      </c>
    </row>
    <row r="27892" spans="15:15" x14ac:dyDescent="0.25">
      <c r="O27892" s="20" t="str">
        <f>IF(N27892="","",COUNTIFS(RawData[[Date ]],N27892,RawData[Month List],$Q$6,RawData[Tour/Site],$Q$2,RawData[[Picker ID ]],$Q$3,RawData[Checker ID],$Q$4,RawData[[Error Type ]],$Q$5))</f>
        <v/>
      </c>
    </row>
    <row r="27893" spans="15:15" x14ac:dyDescent="0.25">
      <c r="O27893" s="20" t="str">
        <f>IF(N27893="","",COUNTIFS(RawData[[Date ]],N27893,RawData[Month List],$Q$6,RawData[Tour/Site],$Q$2,RawData[[Picker ID ]],$Q$3,RawData[Checker ID],$Q$4,RawData[[Error Type ]],$Q$5))</f>
        <v/>
      </c>
    </row>
    <row r="27894" spans="15:15" x14ac:dyDescent="0.25">
      <c r="O27894" s="20" t="str">
        <f>IF(N27894="","",COUNTIFS(RawData[[Date ]],N27894,RawData[Month List],$Q$6,RawData[Tour/Site],$Q$2,RawData[[Picker ID ]],$Q$3,RawData[Checker ID],$Q$4,RawData[[Error Type ]],$Q$5))</f>
        <v/>
      </c>
    </row>
    <row r="27895" spans="15:15" x14ac:dyDescent="0.25">
      <c r="O27895" s="20" t="str">
        <f>IF(N27895="","",COUNTIFS(RawData[[Date ]],N27895,RawData[Month List],$Q$6,RawData[Tour/Site],$Q$2,RawData[[Picker ID ]],$Q$3,RawData[Checker ID],$Q$4,RawData[[Error Type ]],$Q$5))</f>
        <v/>
      </c>
    </row>
    <row r="27896" spans="15:15" x14ac:dyDescent="0.25">
      <c r="O27896" s="20" t="str">
        <f>IF(N27896="","",COUNTIFS(RawData[[Date ]],N27896,RawData[Month List],$Q$6,RawData[Tour/Site],$Q$2,RawData[[Picker ID ]],$Q$3,RawData[Checker ID],$Q$4,RawData[[Error Type ]],$Q$5))</f>
        <v/>
      </c>
    </row>
    <row r="27897" spans="15:15" x14ac:dyDescent="0.25">
      <c r="O27897" s="20" t="str">
        <f>IF(N27897="","",COUNTIFS(RawData[[Date ]],N27897,RawData[Month List],$Q$6,RawData[Tour/Site],$Q$2,RawData[[Picker ID ]],$Q$3,RawData[Checker ID],$Q$4,RawData[[Error Type ]],$Q$5))</f>
        <v/>
      </c>
    </row>
    <row r="27898" spans="15:15" x14ac:dyDescent="0.25">
      <c r="O27898" s="20" t="str">
        <f>IF(N27898="","",COUNTIFS(RawData[[Date ]],N27898,RawData[Month List],$Q$6,RawData[Tour/Site],$Q$2,RawData[[Picker ID ]],$Q$3,RawData[Checker ID],$Q$4,RawData[[Error Type ]],$Q$5))</f>
        <v/>
      </c>
    </row>
    <row r="27899" spans="15:15" x14ac:dyDescent="0.25">
      <c r="O27899" s="20" t="str">
        <f>IF(N27899="","",COUNTIFS(RawData[[Date ]],N27899,RawData[Month List],$Q$6,RawData[Tour/Site],$Q$2,RawData[[Picker ID ]],$Q$3,RawData[Checker ID],$Q$4,RawData[[Error Type ]],$Q$5))</f>
        <v/>
      </c>
    </row>
    <row r="27900" spans="15:15" x14ac:dyDescent="0.25">
      <c r="O27900" s="20" t="str">
        <f>IF(N27900="","",COUNTIFS(RawData[[Date ]],N27900,RawData[Month List],$Q$6,RawData[Tour/Site],$Q$2,RawData[[Picker ID ]],$Q$3,RawData[Checker ID],$Q$4,RawData[[Error Type ]],$Q$5))</f>
        <v/>
      </c>
    </row>
    <row r="27901" spans="15:15" x14ac:dyDescent="0.25">
      <c r="O27901" s="20" t="str">
        <f>IF(N27901="","",COUNTIFS(RawData[[Date ]],N27901,RawData[Month List],$Q$6,RawData[Tour/Site],$Q$2,RawData[[Picker ID ]],$Q$3,RawData[Checker ID],$Q$4,RawData[[Error Type ]],$Q$5))</f>
        <v/>
      </c>
    </row>
    <row r="27902" spans="15:15" x14ac:dyDescent="0.25">
      <c r="O27902" s="20" t="str">
        <f>IF(N27902="","",COUNTIFS(RawData[[Date ]],N27902,RawData[Month List],$Q$6,RawData[Tour/Site],$Q$2,RawData[[Picker ID ]],$Q$3,RawData[Checker ID],$Q$4,RawData[[Error Type ]],$Q$5))</f>
        <v/>
      </c>
    </row>
    <row r="27903" spans="15:15" x14ac:dyDescent="0.25">
      <c r="O27903" s="20" t="str">
        <f>IF(N27903="","",COUNTIFS(RawData[[Date ]],N27903,RawData[Month List],$Q$6,RawData[Tour/Site],$Q$2,RawData[[Picker ID ]],$Q$3,RawData[Checker ID],$Q$4,RawData[[Error Type ]],$Q$5))</f>
        <v/>
      </c>
    </row>
    <row r="27904" spans="15:15" x14ac:dyDescent="0.25">
      <c r="O27904" s="20" t="str">
        <f>IF(N27904="","",COUNTIFS(RawData[[Date ]],N27904,RawData[Month List],$Q$6,RawData[Tour/Site],$Q$2,RawData[[Picker ID ]],$Q$3,RawData[Checker ID],$Q$4,RawData[[Error Type ]],$Q$5))</f>
        <v/>
      </c>
    </row>
    <row r="27905" spans="15:15" x14ac:dyDescent="0.25">
      <c r="O27905" s="20" t="str">
        <f>IF(N27905="","",COUNTIFS(RawData[[Date ]],N27905,RawData[Month List],$Q$6,RawData[Tour/Site],$Q$2,RawData[[Picker ID ]],$Q$3,RawData[Checker ID],$Q$4,RawData[[Error Type ]],$Q$5))</f>
        <v/>
      </c>
    </row>
    <row r="27906" spans="15:15" x14ac:dyDescent="0.25">
      <c r="O27906" s="20" t="str">
        <f>IF(N27906="","",COUNTIFS(RawData[[Date ]],N27906,RawData[Month List],$Q$6,RawData[Tour/Site],$Q$2,RawData[[Picker ID ]],$Q$3,RawData[Checker ID],$Q$4,RawData[[Error Type ]],$Q$5))</f>
        <v/>
      </c>
    </row>
    <row r="27907" spans="15:15" x14ac:dyDescent="0.25">
      <c r="O27907" s="20" t="str">
        <f>IF(N27907="","",COUNTIFS(RawData[[Date ]],N27907,RawData[Month List],$Q$6,RawData[Tour/Site],$Q$2,RawData[[Picker ID ]],$Q$3,RawData[Checker ID],$Q$4,RawData[[Error Type ]],$Q$5))</f>
        <v/>
      </c>
    </row>
    <row r="27908" spans="15:15" x14ac:dyDescent="0.25">
      <c r="O27908" s="20" t="str">
        <f>IF(N27908="","",COUNTIFS(RawData[[Date ]],N27908,RawData[Month List],$Q$6,RawData[Tour/Site],$Q$2,RawData[[Picker ID ]],$Q$3,RawData[Checker ID],$Q$4,RawData[[Error Type ]],$Q$5))</f>
        <v/>
      </c>
    </row>
    <row r="27909" spans="15:15" x14ac:dyDescent="0.25">
      <c r="O27909" s="20" t="str">
        <f>IF(N27909="","",COUNTIFS(RawData[[Date ]],N27909,RawData[Month List],$Q$6,RawData[Tour/Site],$Q$2,RawData[[Picker ID ]],$Q$3,RawData[Checker ID],$Q$4,RawData[[Error Type ]],$Q$5))</f>
        <v/>
      </c>
    </row>
    <row r="27910" spans="15:15" x14ac:dyDescent="0.25">
      <c r="O27910" s="20" t="str">
        <f>IF(N27910="","",COUNTIFS(RawData[[Date ]],N27910,RawData[Month List],$Q$6,RawData[Tour/Site],$Q$2,RawData[[Picker ID ]],$Q$3,RawData[Checker ID],$Q$4,RawData[[Error Type ]],$Q$5))</f>
        <v/>
      </c>
    </row>
    <row r="27911" spans="15:15" x14ac:dyDescent="0.25">
      <c r="O27911" s="20" t="str">
        <f>IF(N27911="","",COUNTIFS(RawData[[Date ]],N27911,RawData[Month List],$Q$6,RawData[Tour/Site],$Q$2,RawData[[Picker ID ]],$Q$3,RawData[Checker ID],$Q$4,RawData[[Error Type ]],$Q$5))</f>
        <v/>
      </c>
    </row>
    <row r="27912" spans="15:15" x14ac:dyDescent="0.25">
      <c r="O27912" s="20" t="str">
        <f>IF(N27912="","",COUNTIFS(RawData[[Date ]],N27912,RawData[Month List],$Q$6,RawData[Tour/Site],$Q$2,RawData[[Picker ID ]],$Q$3,RawData[Checker ID],$Q$4,RawData[[Error Type ]],$Q$5))</f>
        <v/>
      </c>
    </row>
    <row r="27913" spans="15:15" x14ac:dyDescent="0.25">
      <c r="O27913" s="20" t="str">
        <f>IF(N27913="","",COUNTIFS(RawData[[Date ]],N27913,RawData[Month List],$Q$6,RawData[Tour/Site],$Q$2,RawData[[Picker ID ]],$Q$3,RawData[Checker ID],$Q$4,RawData[[Error Type ]],$Q$5))</f>
        <v/>
      </c>
    </row>
    <row r="27914" spans="15:15" x14ac:dyDescent="0.25">
      <c r="O27914" s="20" t="str">
        <f>IF(N27914="","",COUNTIFS(RawData[[Date ]],N27914,RawData[Month List],$Q$6,RawData[Tour/Site],$Q$2,RawData[[Picker ID ]],$Q$3,RawData[Checker ID],$Q$4,RawData[[Error Type ]],$Q$5))</f>
        <v/>
      </c>
    </row>
    <row r="27915" spans="15:15" x14ac:dyDescent="0.25">
      <c r="O27915" s="20" t="str">
        <f>IF(N27915="","",COUNTIFS(RawData[[Date ]],N27915,RawData[Month List],$Q$6,RawData[Tour/Site],$Q$2,RawData[[Picker ID ]],$Q$3,RawData[Checker ID],$Q$4,RawData[[Error Type ]],$Q$5))</f>
        <v/>
      </c>
    </row>
    <row r="27916" spans="15:15" x14ac:dyDescent="0.25">
      <c r="O27916" s="20" t="str">
        <f>IF(N27916="","",COUNTIFS(RawData[[Date ]],N27916,RawData[Month List],$Q$6,RawData[Tour/Site],$Q$2,RawData[[Picker ID ]],$Q$3,RawData[Checker ID],$Q$4,RawData[[Error Type ]],$Q$5))</f>
        <v/>
      </c>
    </row>
    <row r="27917" spans="15:15" x14ac:dyDescent="0.25">
      <c r="O27917" s="20" t="str">
        <f>IF(N27917="","",COUNTIFS(RawData[[Date ]],N27917,RawData[Month List],$Q$6,RawData[Tour/Site],$Q$2,RawData[[Picker ID ]],$Q$3,RawData[Checker ID],$Q$4,RawData[[Error Type ]],$Q$5))</f>
        <v/>
      </c>
    </row>
    <row r="27918" spans="15:15" x14ac:dyDescent="0.25">
      <c r="O27918" s="20" t="str">
        <f>IF(N27918="","",COUNTIFS(RawData[[Date ]],N27918,RawData[Month List],$Q$6,RawData[Tour/Site],$Q$2,RawData[[Picker ID ]],$Q$3,RawData[Checker ID],$Q$4,RawData[[Error Type ]],$Q$5))</f>
        <v/>
      </c>
    </row>
    <row r="27919" spans="15:15" x14ac:dyDescent="0.25">
      <c r="O27919" s="20" t="str">
        <f>IF(N27919="","",COUNTIFS(RawData[[Date ]],N27919,RawData[Month List],$Q$6,RawData[Tour/Site],$Q$2,RawData[[Picker ID ]],$Q$3,RawData[Checker ID],$Q$4,RawData[[Error Type ]],$Q$5))</f>
        <v/>
      </c>
    </row>
    <row r="27920" spans="15:15" x14ac:dyDescent="0.25">
      <c r="O27920" s="20" t="str">
        <f>IF(N27920="","",COUNTIFS(RawData[[Date ]],N27920,RawData[Month List],$Q$6,RawData[Tour/Site],$Q$2,RawData[[Picker ID ]],$Q$3,RawData[Checker ID],$Q$4,RawData[[Error Type ]],$Q$5))</f>
        <v/>
      </c>
    </row>
    <row r="27921" spans="15:15" x14ac:dyDescent="0.25">
      <c r="O27921" s="20" t="str">
        <f>IF(N27921="","",COUNTIFS(RawData[[Date ]],N27921,RawData[Month List],$Q$6,RawData[Tour/Site],$Q$2,RawData[[Picker ID ]],$Q$3,RawData[Checker ID],$Q$4,RawData[[Error Type ]],$Q$5))</f>
        <v/>
      </c>
    </row>
    <row r="27922" spans="15:15" x14ac:dyDescent="0.25">
      <c r="O27922" s="20" t="str">
        <f>IF(N27922="","",COUNTIFS(RawData[[Date ]],N27922,RawData[Month List],$Q$6,RawData[Tour/Site],$Q$2,RawData[[Picker ID ]],$Q$3,RawData[Checker ID],$Q$4,RawData[[Error Type ]],$Q$5))</f>
        <v/>
      </c>
    </row>
    <row r="27923" spans="15:15" x14ac:dyDescent="0.25">
      <c r="O27923" s="20" t="str">
        <f>IF(N27923="","",COUNTIFS(RawData[[Date ]],N27923,RawData[Month List],$Q$6,RawData[Tour/Site],$Q$2,RawData[[Picker ID ]],$Q$3,RawData[Checker ID],$Q$4,RawData[[Error Type ]],$Q$5))</f>
        <v/>
      </c>
    </row>
    <row r="27924" spans="15:15" x14ac:dyDescent="0.25">
      <c r="O27924" s="20" t="str">
        <f>IF(N27924="","",COUNTIFS(RawData[[Date ]],N27924,RawData[Month List],$Q$6,RawData[Tour/Site],$Q$2,RawData[[Picker ID ]],$Q$3,RawData[Checker ID],$Q$4,RawData[[Error Type ]],$Q$5))</f>
        <v/>
      </c>
    </row>
    <row r="27925" spans="15:15" x14ac:dyDescent="0.25">
      <c r="O27925" s="20" t="str">
        <f>IF(N27925="","",COUNTIFS(RawData[[Date ]],N27925,RawData[Month List],$Q$6,RawData[Tour/Site],$Q$2,RawData[[Picker ID ]],$Q$3,RawData[Checker ID],$Q$4,RawData[[Error Type ]],$Q$5))</f>
        <v/>
      </c>
    </row>
    <row r="27926" spans="15:15" x14ac:dyDescent="0.25">
      <c r="O27926" s="20" t="str">
        <f>IF(N27926="","",COUNTIFS(RawData[[Date ]],N27926,RawData[Month List],$Q$6,RawData[Tour/Site],$Q$2,RawData[[Picker ID ]],$Q$3,RawData[Checker ID],$Q$4,RawData[[Error Type ]],$Q$5))</f>
        <v/>
      </c>
    </row>
    <row r="27927" spans="15:15" x14ac:dyDescent="0.25">
      <c r="O27927" s="20" t="str">
        <f>IF(N27927="","",COUNTIFS(RawData[[Date ]],N27927,RawData[Month List],$Q$6,RawData[Tour/Site],$Q$2,RawData[[Picker ID ]],$Q$3,RawData[Checker ID],$Q$4,RawData[[Error Type ]],$Q$5))</f>
        <v/>
      </c>
    </row>
    <row r="27928" spans="15:15" x14ac:dyDescent="0.25">
      <c r="O27928" s="20" t="str">
        <f>IF(N27928="","",COUNTIFS(RawData[[Date ]],N27928,RawData[Month List],$Q$6,RawData[Tour/Site],$Q$2,RawData[[Picker ID ]],$Q$3,RawData[Checker ID],$Q$4,RawData[[Error Type ]],$Q$5))</f>
        <v/>
      </c>
    </row>
    <row r="27929" spans="15:15" x14ac:dyDescent="0.25">
      <c r="O27929" s="20" t="str">
        <f>IF(N27929="","",COUNTIFS(RawData[[Date ]],N27929,RawData[Month List],$Q$6,RawData[Tour/Site],$Q$2,RawData[[Picker ID ]],$Q$3,RawData[Checker ID],$Q$4,RawData[[Error Type ]],$Q$5))</f>
        <v/>
      </c>
    </row>
    <row r="27930" spans="15:15" x14ac:dyDescent="0.25">
      <c r="O27930" s="20" t="str">
        <f>IF(N27930="","",COUNTIFS(RawData[[Date ]],N27930,RawData[Month List],$Q$6,RawData[Tour/Site],$Q$2,RawData[[Picker ID ]],$Q$3,RawData[Checker ID],$Q$4,RawData[[Error Type ]],$Q$5))</f>
        <v/>
      </c>
    </row>
    <row r="27931" spans="15:15" x14ac:dyDescent="0.25">
      <c r="O27931" s="20" t="str">
        <f>IF(N27931="","",COUNTIFS(RawData[[Date ]],N27931,RawData[Month List],$Q$6,RawData[Tour/Site],$Q$2,RawData[[Picker ID ]],$Q$3,RawData[Checker ID],$Q$4,RawData[[Error Type ]],$Q$5))</f>
        <v/>
      </c>
    </row>
    <row r="27932" spans="15:15" x14ac:dyDescent="0.25">
      <c r="O27932" s="20" t="str">
        <f>IF(N27932="","",COUNTIFS(RawData[[Date ]],N27932,RawData[Month List],$Q$6,RawData[Tour/Site],$Q$2,RawData[[Picker ID ]],$Q$3,RawData[Checker ID],$Q$4,RawData[[Error Type ]],$Q$5))</f>
        <v/>
      </c>
    </row>
    <row r="27933" spans="15:15" x14ac:dyDescent="0.25">
      <c r="O27933" s="20" t="str">
        <f>IF(N27933="","",COUNTIFS(RawData[[Date ]],N27933,RawData[Month List],$Q$6,RawData[Tour/Site],$Q$2,RawData[[Picker ID ]],$Q$3,RawData[Checker ID],$Q$4,RawData[[Error Type ]],$Q$5))</f>
        <v/>
      </c>
    </row>
    <row r="27934" spans="15:15" x14ac:dyDescent="0.25">
      <c r="O27934" s="20" t="str">
        <f>IF(N27934="","",COUNTIFS(RawData[[Date ]],N27934,RawData[Month List],$Q$6,RawData[Tour/Site],$Q$2,RawData[[Picker ID ]],$Q$3,RawData[Checker ID],$Q$4,RawData[[Error Type ]],$Q$5))</f>
        <v/>
      </c>
    </row>
    <row r="27935" spans="15:15" x14ac:dyDescent="0.25">
      <c r="O27935" s="20" t="str">
        <f>IF(N27935="","",COUNTIFS(RawData[[Date ]],N27935,RawData[Month List],$Q$6,RawData[Tour/Site],$Q$2,RawData[[Picker ID ]],$Q$3,RawData[Checker ID],$Q$4,RawData[[Error Type ]],$Q$5))</f>
        <v/>
      </c>
    </row>
    <row r="27936" spans="15:15" x14ac:dyDescent="0.25">
      <c r="O27936" s="20" t="str">
        <f>IF(N27936="","",COUNTIFS(RawData[[Date ]],N27936,RawData[Month List],$Q$6,RawData[Tour/Site],$Q$2,RawData[[Picker ID ]],$Q$3,RawData[Checker ID],$Q$4,RawData[[Error Type ]],$Q$5))</f>
        <v/>
      </c>
    </row>
    <row r="27937" spans="15:15" x14ac:dyDescent="0.25">
      <c r="O27937" s="20" t="str">
        <f>IF(N27937="","",COUNTIFS(RawData[[Date ]],N27937,RawData[Month List],$Q$6,RawData[Tour/Site],$Q$2,RawData[[Picker ID ]],$Q$3,RawData[Checker ID],$Q$4,RawData[[Error Type ]],$Q$5))</f>
        <v/>
      </c>
    </row>
    <row r="27938" spans="15:15" x14ac:dyDescent="0.25">
      <c r="O27938" s="20" t="str">
        <f>IF(N27938="","",COUNTIFS(RawData[[Date ]],N27938,RawData[Month List],$Q$6,RawData[Tour/Site],$Q$2,RawData[[Picker ID ]],$Q$3,RawData[Checker ID],$Q$4,RawData[[Error Type ]],$Q$5))</f>
        <v/>
      </c>
    </row>
    <row r="27939" spans="15:15" x14ac:dyDescent="0.25">
      <c r="O27939" s="20" t="str">
        <f>IF(N27939="","",COUNTIFS(RawData[[Date ]],N27939,RawData[Month List],$Q$6,RawData[Tour/Site],$Q$2,RawData[[Picker ID ]],$Q$3,RawData[Checker ID],$Q$4,RawData[[Error Type ]],$Q$5))</f>
        <v/>
      </c>
    </row>
    <row r="27940" spans="15:15" x14ac:dyDescent="0.25">
      <c r="O27940" s="20" t="str">
        <f>IF(N27940="","",COUNTIFS(RawData[[Date ]],N27940,RawData[Month List],$Q$6,RawData[Tour/Site],$Q$2,RawData[[Picker ID ]],$Q$3,RawData[Checker ID],$Q$4,RawData[[Error Type ]],$Q$5))</f>
        <v/>
      </c>
    </row>
    <row r="27941" spans="15:15" x14ac:dyDescent="0.25">
      <c r="O27941" s="20" t="str">
        <f>IF(N27941="","",COUNTIFS(RawData[[Date ]],N27941,RawData[Month List],$Q$6,RawData[Tour/Site],$Q$2,RawData[[Picker ID ]],$Q$3,RawData[Checker ID],$Q$4,RawData[[Error Type ]],$Q$5))</f>
        <v/>
      </c>
    </row>
    <row r="27942" spans="15:15" x14ac:dyDescent="0.25">
      <c r="O27942" s="20" t="str">
        <f>IF(N27942="","",COUNTIFS(RawData[[Date ]],N27942,RawData[Month List],$Q$6,RawData[Tour/Site],$Q$2,RawData[[Picker ID ]],$Q$3,RawData[Checker ID],$Q$4,RawData[[Error Type ]],$Q$5))</f>
        <v/>
      </c>
    </row>
    <row r="27943" spans="15:15" x14ac:dyDescent="0.25">
      <c r="O27943" s="20" t="str">
        <f>IF(N27943="","",COUNTIFS(RawData[[Date ]],N27943,RawData[Month List],$Q$6,RawData[Tour/Site],$Q$2,RawData[[Picker ID ]],$Q$3,RawData[Checker ID],$Q$4,RawData[[Error Type ]],$Q$5))</f>
        <v/>
      </c>
    </row>
    <row r="27944" spans="15:15" x14ac:dyDescent="0.25">
      <c r="O27944" s="20" t="str">
        <f>IF(N27944="","",COUNTIFS(RawData[[Date ]],N27944,RawData[Month List],$Q$6,RawData[Tour/Site],$Q$2,RawData[[Picker ID ]],$Q$3,RawData[Checker ID],$Q$4,RawData[[Error Type ]],$Q$5))</f>
        <v/>
      </c>
    </row>
    <row r="27945" spans="15:15" x14ac:dyDescent="0.25">
      <c r="O27945" s="20" t="str">
        <f>IF(N27945="","",COUNTIFS(RawData[[Date ]],N27945,RawData[Month List],$Q$6,RawData[Tour/Site],$Q$2,RawData[[Picker ID ]],$Q$3,RawData[Checker ID],$Q$4,RawData[[Error Type ]],$Q$5))</f>
        <v/>
      </c>
    </row>
    <row r="27946" spans="15:15" x14ac:dyDescent="0.25">
      <c r="O27946" s="20" t="str">
        <f>IF(N27946="","",COUNTIFS(RawData[[Date ]],N27946,RawData[Month List],$Q$6,RawData[Tour/Site],$Q$2,RawData[[Picker ID ]],$Q$3,RawData[Checker ID],$Q$4,RawData[[Error Type ]],$Q$5))</f>
        <v/>
      </c>
    </row>
    <row r="27947" spans="15:15" x14ac:dyDescent="0.25">
      <c r="O27947" s="20" t="str">
        <f>IF(N27947="","",COUNTIFS(RawData[[Date ]],N27947,RawData[Month List],$Q$6,RawData[Tour/Site],$Q$2,RawData[[Picker ID ]],$Q$3,RawData[Checker ID],$Q$4,RawData[[Error Type ]],$Q$5))</f>
        <v/>
      </c>
    </row>
    <row r="27948" spans="15:15" x14ac:dyDescent="0.25">
      <c r="O27948" s="20" t="str">
        <f>IF(N27948="","",COUNTIFS(RawData[[Date ]],N27948,RawData[Month List],$Q$6,RawData[Tour/Site],$Q$2,RawData[[Picker ID ]],$Q$3,RawData[Checker ID],$Q$4,RawData[[Error Type ]],$Q$5))</f>
        <v/>
      </c>
    </row>
    <row r="27949" spans="15:15" x14ac:dyDescent="0.25">
      <c r="O27949" s="20" t="str">
        <f>IF(N27949="","",COUNTIFS(RawData[[Date ]],N27949,RawData[Month List],$Q$6,RawData[Tour/Site],$Q$2,RawData[[Picker ID ]],$Q$3,RawData[Checker ID],$Q$4,RawData[[Error Type ]],$Q$5))</f>
        <v/>
      </c>
    </row>
    <row r="27950" spans="15:15" x14ac:dyDescent="0.25">
      <c r="O27950" s="20" t="str">
        <f>IF(N27950="","",COUNTIFS(RawData[[Date ]],N27950,RawData[Month List],$Q$6,RawData[Tour/Site],$Q$2,RawData[[Picker ID ]],$Q$3,RawData[Checker ID],$Q$4,RawData[[Error Type ]],$Q$5))</f>
        <v/>
      </c>
    </row>
    <row r="27951" spans="15:15" x14ac:dyDescent="0.25">
      <c r="O27951" s="20" t="str">
        <f>IF(N27951="","",COUNTIFS(RawData[[Date ]],N27951,RawData[Month List],$Q$6,RawData[Tour/Site],$Q$2,RawData[[Picker ID ]],$Q$3,RawData[Checker ID],$Q$4,RawData[[Error Type ]],$Q$5))</f>
        <v/>
      </c>
    </row>
    <row r="27952" spans="15:15" x14ac:dyDescent="0.25">
      <c r="O27952" s="20" t="str">
        <f>IF(N27952="","",COUNTIFS(RawData[[Date ]],N27952,RawData[Month List],$Q$6,RawData[Tour/Site],$Q$2,RawData[[Picker ID ]],$Q$3,RawData[Checker ID],$Q$4,RawData[[Error Type ]],$Q$5))</f>
        <v/>
      </c>
    </row>
    <row r="27953" spans="15:15" x14ac:dyDescent="0.25">
      <c r="O27953" s="20" t="str">
        <f>IF(N27953="","",COUNTIFS(RawData[[Date ]],N27953,RawData[Month List],$Q$6,RawData[Tour/Site],$Q$2,RawData[[Picker ID ]],$Q$3,RawData[Checker ID],$Q$4,RawData[[Error Type ]],$Q$5))</f>
        <v/>
      </c>
    </row>
    <row r="27954" spans="15:15" x14ac:dyDescent="0.25">
      <c r="O27954" s="20" t="str">
        <f>IF(N27954="","",COUNTIFS(RawData[[Date ]],N27954,RawData[Month List],$Q$6,RawData[Tour/Site],$Q$2,RawData[[Picker ID ]],$Q$3,RawData[Checker ID],$Q$4,RawData[[Error Type ]],$Q$5))</f>
        <v/>
      </c>
    </row>
    <row r="27955" spans="15:15" x14ac:dyDescent="0.25">
      <c r="O27955" s="20" t="str">
        <f>IF(N27955="","",COUNTIFS(RawData[[Date ]],N27955,RawData[Month List],$Q$6,RawData[Tour/Site],$Q$2,RawData[[Picker ID ]],$Q$3,RawData[Checker ID],$Q$4,RawData[[Error Type ]],$Q$5))</f>
        <v/>
      </c>
    </row>
    <row r="27956" spans="15:15" x14ac:dyDescent="0.25">
      <c r="O27956" s="20" t="str">
        <f>IF(N27956="","",COUNTIFS(RawData[[Date ]],N27956,RawData[Month List],$Q$6,RawData[Tour/Site],$Q$2,RawData[[Picker ID ]],$Q$3,RawData[Checker ID],$Q$4,RawData[[Error Type ]],$Q$5))</f>
        <v/>
      </c>
    </row>
    <row r="27957" spans="15:15" x14ac:dyDescent="0.25">
      <c r="O27957" s="20" t="str">
        <f>IF(N27957="","",COUNTIFS(RawData[[Date ]],N27957,RawData[Month List],$Q$6,RawData[Tour/Site],$Q$2,RawData[[Picker ID ]],$Q$3,RawData[Checker ID],$Q$4,RawData[[Error Type ]],$Q$5))</f>
        <v/>
      </c>
    </row>
    <row r="27958" spans="15:15" x14ac:dyDescent="0.25">
      <c r="O27958" s="20" t="str">
        <f>IF(N27958="","",COUNTIFS(RawData[[Date ]],N27958,RawData[Month List],$Q$6,RawData[Tour/Site],$Q$2,RawData[[Picker ID ]],$Q$3,RawData[Checker ID],$Q$4,RawData[[Error Type ]],$Q$5))</f>
        <v/>
      </c>
    </row>
    <row r="27959" spans="15:15" x14ac:dyDescent="0.25">
      <c r="O27959" s="20" t="str">
        <f>IF(N27959="","",COUNTIFS(RawData[[Date ]],N27959,RawData[Month List],$Q$6,RawData[Tour/Site],$Q$2,RawData[[Picker ID ]],$Q$3,RawData[Checker ID],$Q$4,RawData[[Error Type ]],$Q$5))</f>
        <v/>
      </c>
    </row>
    <row r="27960" spans="15:15" x14ac:dyDescent="0.25">
      <c r="O27960" s="20" t="str">
        <f>IF(N27960="","",COUNTIFS(RawData[[Date ]],N27960,RawData[Month List],$Q$6,RawData[Tour/Site],$Q$2,RawData[[Picker ID ]],$Q$3,RawData[Checker ID],$Q$4,RawData[[Error Type ]],$Q$5))</f>
        <v/>
      </c>
    </row>
    <row r="27961" spans="15:15" x14ac:dyDescent="0.25">
      <c r="O27961" s="20" t="str">
        <f>IF(N27961="","",COUNTIFS(RawData[[Date ]],N27961,RawData[Month List],$Q$6,RawData[Tour/Site],$Q$2,RawData[[Picker ID ]],$Q$3,RawData[Checker ID],$Q$4,RawData[[Error Type ]],$Q$5))</f>
        <v/>
      </c>
    </row>
    <row r="27962" spans="15:15" x14ac:dyDescent="0.25">
      <c r="O27962" s="20" t="str">
        <f>IF(N27962="","",COUNTIFS(RawData[[Date ]],N27962,RawData[Month List],$Q$6,RawData[Tour/Site],$Q$2,RawData[[Picker ID ]],$Q$3,RawData[Checker ID],$Q$4,RawData[[Error Type ]],$Q$5))</f>
        <v/>
      </c>
    </row>
    <row r="27963" spans="15:15" x14ac:dyDescent="0.25">
      <c r="O27963" s="20" t="str">
        <f>IF(N27963="","",COUNTIFS(RawData[[Date ]],N27963,RawData[Month List],$Q$6,RawData[Tour/Site],$Q$2,RawData[[Picker ID ]],$Q$3,RawData[Checker ID],$Q$4,RawData[[Error Type ]],$Q$5))</f>
        <v/>
      </c>
    </row>
    <row r="27964" spans="15:15" x14ac:dyDescent="0.25">
      <c r="O27964" s="20" t="str">
        <f>IF(N27964="","",COUNTIFS(RawData[[Date ]],N27964,RawData[Month List],$Q$6,RawData[Tour/Site],$Q$2,RawData[[Picker ID ]],$Q$3,RawData[Checker ID],$Q$4,RawData[[Error Type ]],$Q$5))</f>
        <v/>
      </c>
    </row>
    <row r="27965" spans="15:15" x14ac:dyDescent="0.25">
      <c r="O27965" s="20" t="str">
        <f>IF(N27965="","",COUNTIFS(RawData[[Date ]],N27965,RawData[Month List],$Q$6,RawData[Tour/Site],$Q$2,RawData[[Picker ID ]],$Q$3,RawData[Checker ID],$Q$4,RawData[[Error Type ]],$Q$5))</f>
        <v/>
      </c>
    </row>
    <row r="27966" spans="15:15" x14ac:dyDescent="0.25">
      <c r="O27966" s="20" t="str">
        <f>IF(N27966="","",COUNTIFS(RawData[[Date ]],N27966,RawData[Month List],$Q$6,RawData[Tour/Site],$Q$2,RawData[[Picker ID ]],$Q$3,RawData[Checker ID],$Q$4,RawData[[Error Type ]],$Q$5))</f>
        <v/>
      </c>
    </row>
    <row r="27967" spans="15:15" x14ac:dyDescent="0.25">
      <c r="O27967" s="20" t="str">
        <f>IF(N27967="","",COUNTIFS(RawData[[Date ]],N27967,RawData[Month List],$Q$6,RawData[Tour/Site],$Q$2,RawData[[Picker ID ]],$Q$3,RawData[Checker ID],$Q$4,RawData[[Error Type ]],$Q$5))</f>
        <v/>
      </c>
    </row>
    <row r="27968" spans="15:15" x14ac:dyDescent="0.25">
      <c r="O27968" s="20" t="str">
        <f>IF(N27968="","",COUNTIFS(RawData[[Date ]],N27968,RawData[Month List],$Q$6,RawData[Tour/Site],$Q$2,RawData[[Picker ID ]],$Q$3,RawData[Checker ID],$Q$4,RawData[[Error Type ]],$Q$5))</f>
        <v/>
      </c>
    </row>
    <row r="27969" spans="15:15" x14ac:dyDescent="0.25">
      <c r="O27969" s="20" t="str">
        <f>IF(N27969="","",COUNTIFS(RawData[[Date ]],N27969,RawData[Month List],$Q$6,RawData[Tour/Site],$Q$2,RawData[[Picker ID ]],$Q$3,RawData[Checker ID],$Q$4,RawData[[Error Type ]],$Q$5))</f>
        <v/>
      </c>
    </row>
    <row r="27970" spans="15:15" x14ac:dyDescent="0.25">
      <c r="O27970" s="20" t="str">
        <f>IF(N27970="","",COUNTIFS(RawData[[Date ]],N27970,RawData[Month List],$Q$6,RawData[Tour/Site],$Q$2,RawData[[Picker ID ]],$Q$3,RawData[Checker ID],$Q$4,RawData[[Error Type ]],$Q$5))</f>
        <v/>
      </c>
    </row>
    <row r="27971" spans="15:15" x14ac:dyDescent="0.25">
      <c r="O27971" s="20" t="str">
        <f>IF(N27971="","",COUNTIFS(RawData[[Date ]],N27971,RawData[Month List],$Q$6,RawData[Tour/Site],$Q$2,RawData[[Picker ID ]],$Q$3,RawData[Checker ID],$Q$4,RawData[[Error Type ]],$Q$5))</f>
        <v/>
      </c>
    </row>
    <row r="27972" spans="15:15" x14ac:dyDescent="0.25">
      <c r="O27972" s="20" t="str">
        <f>IF(N27972="","",COUNTIFS(RawData[[Date ]],N27972,RawData[Month List],$Q$6,RawData[Tour/Site],$Q$2,RawData[[Picker ID ]],$Q$3,RawData[Checker ID],$Q$4,RawData[[Error Type ]],$Q$5))</f>
        <v/>
      </c>
    </row>
    <row r="27973" spans="15:15" x14ac:dyDescent="0.25">
      <c r="O27973" s="20" t="str">
        <f>IF(N27973="","",COUNTIFS(RawData[[Date ]],N27973,RawData[Month List],$Q$6,RawData[Tour/Site],$Q$2,RawData[[Picker ID ]],$Q$3,RawData[Checker ID],$Q$4,RawData[[Error Type ]],$Q$5))</f>
        <v/>
      </c>
    </row>
    <row r="27974" spans="15:15" x14ac:dyDescent="0.25">
      <c r="O27974" s="20" t="str">
        <f>IF(N27974="","",COUNTIFS(RawData[[Date ]],N27974,RawData[Month List],$Q$6,RawData[Tour/Site],$Q$2,RawData[[Picker ID ]],$Q$3,RawData[Checker ID],$Q$4,RawData[[Error Type ]],$Q$5))</f>
        <v/>
      </c>
    </row>
    <row r="27975" spans="15:15" x14ac:dyDescent="0.25">
      <c r="O27975" s="20" t="str">
        <f>IF(N27975="","",COUNTIFS(RawData[[Date ]],N27975,RawData[Month List],$Q$6,RawData[Tour/Site],$Q$2,RawData[[Picker ID ]],$Q$3,RawData[Checker ID],$Q$4,RawData[[Error Type ]],$Q$5))</f>
        <v/>
      </c>
    </row>
    <row r="27976" spans="15:15" x14ac:dyDescent="0.25">
      <c r="O27976" s="20" t="str">
        <f>IF(N27976="","",COUNTIFS(RawData[[Date ]],N27976,RawData[Month List],$Q$6,RawData[Tour/Site],$Q$2,RawData[[Picker ID ]],$Q$3,RawData[Checker ID],$Q$4,RawData[[Error Type ]],$Q$5))</f>
        <v/>
      </c>
    </row>
    <row r="27977" spans="15:15" x14ac:dyDescent="0.25">
      <c r="O27977" s="20" t="str">
        <f>IF(N27977="","",COUNTIFS(RawData[[Date ]],N27977,RawData[Month List],$Q$6,RawData[Tour/Site],$Q$2,RawData[[Picker ID ]],$Q$3,RawData[Checker ID],$Q$4,RawData[[Error Type ]],$Q$5))</f>
        <v/>
      </c>
    </row>
    <row r="27978" spans="15:15" x14ac:dyDescent="0.25">
      <c r="O27978" s="20" t="str">
        <f>IF(N27978="","",COUNTIFS(RawData[[Date ]],N27978,RawData[Month List],$Q$6,RawData[Tour/Site],$Q$2,RawData[[Picker ID ]],$Q$3,RawData[Checker ID],$Q$4,RawData[[Error Type ]],$Q$5))</f>
        <v/>
      </c>
    </row>
    <row r="27979" spans="15:15" x14ac:dyDescent="0.25">
      <c r="O27979" s="20" t="str">
        <f>IF(N27979="","",COUNTIFS(RawData[[Date ]],N27979,RawData[Month List],$Q$6,RawData[Tour/Site],$Q$2,RawData[[Picker ID ]],$Q$3,RawData[Checker ID],$Q$4,RawData[[Error Type ]],$Q$5))</f>
        <v/>
      </c>
    </row>
    <row r="27980" spans="15:15" x14ac:dyDescent="0.25">
      <c r="O27980" s="20" t="str">
        <f>IF(N27980="","",COUNTIFS(RawData[[Date ]],N27980,RawData[Month List],$Q$6,RawData[Tour/Site],$Q$2,RawData[[Picker ID ]],$Q$3,RawData[Checker ID],$Q$4,RawData[[Error Type ]],$Q$5))</f>
        <v/>
      </c>
    </row>
    <row r="27981" spans="15:15" x14ac:dyDescent="0.25">
      <c r="O27981" s="20" t="str">
        <f>IF(N27981="","",COUNTIFS(RawData[[Date ]],N27981,RawData[Month List],$Q$6,RawData[Tour/Site],$Q$2,RawData[[Picker ID ]],$Q$3,RawData[Checker ID],$Q$4,RawData[[Error Type ]],$Q$5))</f>
        <v/>
      </c>
    </row>
    <row r="27982" spans="15:15" x14ac:dyDescent="0.25">
      <c r="O27982" s="20" t="str">
        <f>IF(N27982="","",COUNTIFS(RawData[[Date ]],N27982,RawData[Month List],$Q$6,RawData[Tour/Site],$Q$2,RawData[[Picker ID ]],$Q$3,RawData[Checker ID],$Q$4,RawData[[Error Type ]],$Q$5))</f>
        <v/>
      </c>
    </row>
    <row r="27983" spans="15:15" x14ac:dyDescent="0.25">
      <c r="O27983" s="20" t="str">
        <f>IF(N27983="","",COUNTIFS(RawData[[Date ]],N27983,RawData[Month List],$Q$6,RawData[Tour/Site],$Q$2,RawData[[Picker ID ]],$Q$3,RawData[Checker ID],$Q$4,RawData[[Error Type ]],$Q$5))</f>
        <v/>
      </c>
    </row>
    <row r="27984" spans="15:15" x14ac:dyDescent="0.25">
      <c r="O27984" s="20" t="str">
        <f>IF(N27984="","",COUNTIFS(RawData[[Date ]],N27984,RawData[Month List],$Q$6,RawData[Tour/Site],$Q$2,RawData[[Picker ID ]],$Q$3,RawData[Checker ID],$Q$4,RawData[[Error Type ]],$Q$5))</f>
        <v/>
      </c>
    </row>
    <row r="27985" spans="15:15" x14ac:dyDescent="0.25">
      <c r="O27985" s="20" t="str">
        <f>IF(N27985="","",COUNTIFS(RawData[[Date ]],N27985,RawData[Month List],$Q$6,RawData[Tour/Site],$Q$2,RawData[[Picker ID ]],$Q$3,RawData[Checker ID],$Q$4,RawData[[Error Type ]],$Q$5))</f>
        <v/>
      </c>
    </row>
    <row r="27986" spans="15:15" x14ac:dyDescent="0.25">
      <c r="O27986" s="20" t="str">
        <f>IF(N27986="","",COUNTIFS(RawData[[Date ]],N27986,RawData[Month List],$Q$6,RawData[Tour/Site],$Q$2,RawData[[Picker ID ]],$Q$3,RawData[Checker ID],$Q$4,RawData[[Error Type ]],$Q$5))</f>
        <v/>
      </c>
    </row>
    <row r="27987" spans="15:15" x14ac:dyDescent="0.25">
      <c r="O27987" s="20" t="str">
        <f>IF(N27987="","",COUNTIFS(RawData[[Date ]],N27987,RawData[Month List],$Q$6,RawData[Tour/Site],$Q$2,RawData[[Picker ID ]],$Q$3,RawData[Checker ID],$Q$4,RawData[[Error Type ]],$Q$5))</f>
        <v/>
      </c>
    </row>
    <row r="27988" spans="15:15" x14ac:dyDescent="0.25">
      <c r="O27988" s="20" t="str">
        <f>IF(N27988="","",COUNTIFS(RawData[[Date ]],N27988,RawData[Month List],$Q$6,RawData[Tour/Site],$Q$2,RawData[[Picker ID ]],$Q$3,RawData[Checker ID],$Q$4,RawData[[Error Type ]],$Q$5))</f>
        <v/>
      </c>
    </row>
    <row r="27989" spans="15:15" x14ac:dyDescent="0.25">
      <c r="O27989" s="20" t="str">
        <f>IF(N27989="","",COUNTIFS(RawData[[Date ]],N27989,RawData[Month List],$Q$6,RawData[Tour/Site],$Q$2,RawData[[Picker ID ]],$Q$3,RawData[Checker ID],$Q$4,RawData[[Error Type ]],$Q$5))</f>
        <v/>
      </c>
    </row>
    <row r="27990" spans="15:15" x14ac:dyDescent="0.25">
      <c r="O27990" s="20" t="str">
        <f>IF(N27990="","",COUNTIFS(RawData[[Date ]],N27990,RawData[Month List],$Q$6,RawData[Tour/Site],$Q$2,RawData[[Picker ID ]],$Q$3,RawData[Checker ID],$Q$4,RawData[[Error Type ]],$Q$5))</f>
        <v/>
      </c>
    </row>
    <row r="27991" spans="15:15" x14ac:dyDescent="0.25">
      <c r="O27991" s="20" t="str">
        <f>IF(N27991="","",COUNTIFS(RawData[[Date ]],N27991,RawData[Month List],$Q$6,RawData[Tour/Site],$Q$2,RawData[[Picker ID ]],$Q$3,RawData[Checker ID],$Q$4,RawData[[Error Type ]],$Q$5))</f>
        <v/>
      </c>
    </row>
    <row r="27992" spans="15:15" x14ac:dyDescent="0.25">
      <c r="O27992" s="20" t="str">
        <f>IF(N27992="","",COUNTIFS(RawData[[Date ]],N27992,RawData[Month List],$Q$6,RawData[Tour/Site],$Q$2,RawData[[Picker ID ]],$Q$3,RawData[Checker ID],$Q$4,RawData[[Error Type ]],$Q$5))</f>
        <v/>
      </c>
    </row>
    <row r="27993" spans="15:15" x14ac:dyDescent="0.25">
      <c r="O27993" s="20" t="str">
        <f>IF(N27993="","",COUNTIFS(RawData[[Date ]],N27993,RawData[Month List],$Q$6,RawData[Tour/Site],$Q$2,RawData[[Picker ID ]],$Q$3,RawData[Checker ID],$Q$4,RawData[[Error Type ]],$Q$5))</f>
        <v/>
      </c>
    </row>
    <row r="27994" spans="15:15" x14ac:dyDescent="0.25">
      <c r="O27994" s="20" t="str">
        <f>IF(N27994="","",COUNTIFS(RawData[[Date ]],N27994,RawData[Month List],$Q$6,RawData[Tour/Site],$Q$2,RawData[[Picker ID ]],$Q$3,RawData[Checker ID],$Q$4,RawData[[Error Type ]],$Q$5))</f>
        <v/>
      </c>
    </row>
    <row r="27995" spans="15:15" x14ac:dyDescent="0.25">
      <c r="O27995" s="20" t="str">
        <f>IF(N27995="","",COUNTIFS(RawData[[Date ]],N27995,RawData[Month List],$Q$6,RawData[Tour/Site],$Q$2,RawData[[Picker ID ]],$Q$3,RawData[Checker ID],$Q$4,RawData[[Error Type ]],$Q$5))</f>
        <v/>
      </c>
    </row>
    <row r="27996" spans="15:15" x14ac:dyDescent="0.25">
      <c r="O27996" s="20" t="str">
        <f>IF(N27996="","",COUNTIFS(RawData[[Date ]],N27996,RawData[Month List],$Q$6,RawData[Tour/Site],$Q$2,RawData[[Picker ID ]],$Q$3,RawData[Checker ID],$Q$4,RawData[[Error Type ]],$Q$5))</f>
        <v/>
      </c>
    </row>
    <row r="27997" spans="15:15" x14ac:dyDescent="0.25">
      <c r="O27997" s="20" t="str">
        <f>IF(N27997="","",COUNTIFS(RawData[[Date ]],N27997,RawData[Month List],$Q$6,RawData[Tour/Site],$Q$2,RawData[[Picker ID ]],$Q$3,RawData[Checker ID],$Q$4,RawData[[Error Type ]],$Q$5))</f>
        <v/>
      </c>
    </row>
    <row r="27998" spans="15:15" x14ac:dyDescent="0.25">
      <c r="O27998" s="20" t="str">
        <f>IF(N27998="","",COUNTIFS(RawData[[Date ]],N27998,RawData[Month List],$Q$6,RawData[Tour/Site],$Q$2,RawData[[Picker ID ]],$Q$3,RawData[Checker ID],$Q$4,RawData[[Error Type ]],$Q$5))</f>
        <v/>
      </c>
    </row>
    <row r="27999" spans="15:15" x14ac:dyDescent="0.25">
      <c r="O27999" s="20" t="str">
        <f>IF(N27999="","",COUNTIFS(RawData[[Date ]],N27999,RawData[Month List],$Q$6,RawData[Tour/Site],$Q$2,RawData[[Picker ID ]],$Q$3,RawData[Checker ID],$Q$4,RawData[[Error Type ]],$Q$5))</f>
        <v/>
      </c>
    </row>
    <row r="28000" spans="15:15" x14ac:dyDescent="0.25">
      <c r="O28000" s="20" t="str">
        <f>IF(N28000="","",COUNTIFS(RawData[[Date ]],N28000,RawData[Month List],$Q$6,RawData[Tour/Site],$Q$2,RawData[[Picker ID ]],$Q$3,RawData[Checker ID],$Q$4,RawData[[Error Type ]],$Q$5))</f>
        <v/>
      </c>
    </row>
    <row r="28001" spans="15:15" x14ac:dyDescent="0.25">
      <c r="O28001" s="20" t="str">
        <f>IF(N28001="","",COUNTIFS(RawData[[Date ]],N28001,RawData[Month List],$Q$6,RawData[Tour/Site],$Q$2,RawData[[Picker ID ]],$Q$3,RawData[Checker ID],$Q$4,RawData[[Error Type ]],$Q$5))</f>
        <v/>
      </c>
    </row>
    <row r="28002" spans="15:15" x14ac:dyDescent="0.25">
      <c r="O28002" s="20" t="str">
        <f>IF(N28002="","",COUNTIFS(RawData[[Date ]],N28002,RawData[Month List],$Q$6,RawData[Tour/Site],$Q$2,RawData[[Picker ID ]],$Q$3,RawData[Checker ID],$Q$4,RawData[[Error Type ]],$Q$5))</f>
        <v/>
      </c>
    </row>
    <row r="28003" spans="15:15" x14ac:dyDescent="0.25">
      <c r="O28003" s="20" t="str">
        <f>IF(N28003="","",COUNTIFS(RawData[[Date ]],N28003,RawData[Month List],$Q$6,RawData[Tour/Site],$Q$2,RawData[[Picker ID ]],$Q$3,RawData[Checker ID],$Q$4,RawData[[Error Type ]],$Q$5))</f>
        <v/>
      </c>
    </row>
    <row r="28004" spans="15:15" x14ac:dyDescent="0.25">
      <c r="O28004" s="20" t="str">
        <f>IF(N28004="","",COUNTIFS(RawData[[Date ]],N28004,RawData[Month List],$Q$6,RawData[Tour/Site],$Q$2,RawData[[Picker ID ]],$Q$3,RawData[Checker ID],$Q$4,RawData[[Error Type ]],$Q$5))</f>
        <v/>
      </c>
    </row>
    <row r="28005" spans="15:15" x14ac:dyDescent="0.25">
      <c r="O28005" s="20" t="str">
        <f>IF(N28005="","",COUNTIFS(RawData[[Date ]],N28005,RawData[Month List],$Q$6,RawData[Tour/Site],$Q$2,RawData[[Picker ID ]],$Q$3,RawData[Checker ID],$Q$4,RawData[[Error Type ]],$Q$5))</f>
        <v/>
      </c>
    </row>
    <row r="28006" spans="15:15" x14ac:dyDescent="0.25">
      <c r="O28006" s="20" t="str">
        <f>IF(N28006="","",COUNTIFS(RawData[[Date ]],N28006,RawData[Month List],$Q$6,RawData[Tour/Site],$Q$2,RawData[[Picker ID ]],$Q$3,RawData[Checker ID],$Q$4,RawData[[Error Type ]],$Q$5))</f>
        <v/>
      </c>
    </row>
    <row r="28007" spans="15:15" x14ac:dyDescent="0.25">
      <c r="O28007" s="20" t="str">
        <f>IF(N28007="","",COUNTIFS(RawData[[Date ]],N28007,RawData[Month List],$Q$6,RawData[Tour/Site],$Q$2,RawData[[Picker ID ]],$Q$3,RawData[Checker ID],$Q$4,RawData[[Error Type ]],$Q$5))</f>
        <v/>
      </c>
    </row>
    <row r="28008" spans="15:15" x14ac:dyDescent="0.25">
      <c r="O28008" s="20" t="str">
        <f>IF(N28008="","",COUNTIFS(RawData[[Date ]],N28008,RawData[Month List],$Q$6,RawData[Tour/Site],$Q$2,RawData[[Picker ID ]],$Q$3,RawData[Checker ID],$Q$4,RawData[[Error Type ]],$Q$5))</f>
        <v/>
      </c>
    </row>
    <row r="28009" spans="15:15" x14ac:dyDescent="0.25">
      <c r="O28009" s="20" t="str">
        <f>IF(N28009="","",COUNTIFS(RawData[[Date ]],N28009,RawData[Month List],$Q$6,RawData[Tour/Site],$Q$2,RawData[[Picker ID ]],$Q$3,RawData[Checker ID],$Q$4,RawData[[Error Type ]],$Q$5))</f>
        <v/>
      </c>
    </row>
    <row r="28010" spans="15:15" x14ac:dyDescent="0.25">
      <c r="O28010" s="20" t="str">
        <f>IF(N28010="","",COUNTIFS(RawData[[Date ]],N28010,RawData[Month List],$Q$6,RawData[Tour/Site],$Q$2,RawData[[Picker ID ]],$Q$3,RawData[Checker ID],$Q$4,RawData[[Error Type ]],$Q$5))</f>
        <v/>
      </c>
    </row>
    <row r="28011" spans="15:15" x14ac:dyDescent="0.25">
      <c r="O28011" s="20" t="str">
        <f>IF(N28011="","",COUNTIFS(RawData[[Date ]],N28011,RawData[Month List],$Q$6,RawData[Tour/Site],$Q$2,RawData[[Picker ID ]],$Q$3,RawData[Checker ID],$Q$4,RawData[[Error Type ]],$Q$5))</f>
        <v/>
      </c>
    </row>
    <row r="28012" spans="15:15" x14ac:dyDescent="0.25">
      <c r="O28012" s="20" t="str">
        <f>IF(N28012="","",COUNTIFS(RawData[[Date ]],N28012,RawData[Month List],$Q$6,RawData[Tour/Site],$Q$2,RawData[[Picker ID ]],$Q$3,RawData[Checker ID],$Q$4,RawData[[Error Type ]],$Q$5))</f>
        <v/>
      </c>
    </row>
    <row r="28013" spans="15:15" x14ac:dyDescent="0.25">
      <c r="O28013" s="20" t="str">
        <f>IF(N28013="","",COUNTIFS(RawData[[Date ]],N28013,RawData[Month List],$Q$6,RawData[Tour/Site],$Q$2,RawData[[Picker ID ]],$Q$3,RawData[Checker ID],$Q$4,RawData[[Error Type ]],$Q$5))</f>
        <v/>
      </c>
    </row>
    <row r="28014" spans="15:15" x14ac:dyDescent="0.25">
      <c r="O28014" s="20" t="str">
        <f>IF(N28014="","",COUNTIFS(RawData[[Date ]],N28014,RawData[Month List],$Q$6,RawData[Tour/Site],$Q$2,RawData[[Picker ID ]],$Q$3,RawData[Checker ID],$Q$4,RawData[[Error Type ]],$Q$5))</f>
        <v/>
      </c>
    </row>
    <row r="28015" spans="15:15" x14ac:dyDescent="0.25">
      <c r="O28015" s="20" t="str">
        <f>IF(N28015="","",COUNTIFS(RawData[[Date ]],N28015,RawData[Month List],$Q$6,RawData[Tour/Site],$Q$2,RawData[[Picker ID ]],$Q$3,RawData[Checker ID],$Q$4,RawData[[Error Type ]],$Q$5))</f>
        <v/>
      </c>
    </row>
    <row r="28016" spans="15:15" x14ac:dyDescent="0.25">
      <c r="O28016" s="20" t="str">
        <f>IF(N28016="","",COUNTIFS(RawData[[Date ]],N28016,RawData[Month List],$Q$6,RawData[Tour/Site],$Q$2,RawData[[Picker ID ]],$Q$3,RawData[Checker ID],$Q$4,RawData[[Error Type ]],$Q$5))</f>
        <v/>
      </c>
    </row>
    <row r="28017" spans="15:15" x14ac:dyDescent="0.25">
      <c r="O28017" s="20" t="str">
        <f>IF(N28017="","",COUNTIFS(RawData[[Date ]],N28017,RawData[Month List],$Q$6,RawData[Tour/Site],$Q$2,RawData[[Picker ID ]],$Q$3,RawData[Checker ID],$Q$4,RawData[[Error Type ]],$Q$5))</f>
        <v/>
      </c>
    </row>
    <row r="28018" spans="15:15" x14ac:dyDescent="0.25">
      <c r="O28018" s="20" t="str">
        <f>IF(N28018="","",COUNTIFS(RawData[[Date ]],N28018,RawData[Month List],$Q$6,RawData[Tour/Site],$Q$2,RawData[[Picker ID ]],$Q$3,RawData[Checker ID],$Q$4,RawData[[Error Type ]],$Q$5))</f>
        <v/>
      </c>
    </row>
    <row r="28019" spans="15:15" x14ac:dyDescent="0.25">
      <c r="O28019" s="20" t="str">
        <f>IF(N28019="","",COUNTIFS(RawData[[Date ]],N28019,RawData[Month List],$Q$6,RawData[Tour/Site],$Q$2,RawData[[Picker ID ]],$Q$3,RawData[Checker ID],$Q$4,RawData[[Error Type ]],$Q$5))</f>
        <v/>
      </c>
    </row>
    <row r="28020" spans="15:15" x14ac:dyDescent="0.25">
      <c r="O28020" s="20" t="str">
        <f>IF(N28020="","",COUNTIFS(RawData[[Date ]],N28020,RawData[Month List],$Q$6,RawData[Tour/Site],$Q$2,RawData[[Picker ID ]],$Q$3,RawData[Checker ID],$Q$4,RawData[[Error Type ]],$Q$5))</f>
        <v/>
      </c>
    </row>
    <row r="28021" spans="15:15" x14ac:dyDescent="0.25">
      <c r="O28021" s="20" t="str">
        <f>IF(N28021="","",COUNTIFS(RawData[[Date ]],N28021,RawData[Month List],$Q$6,RawData[Tour/Site],$Q$2,RawData[[Picker ID ]],$Q$3,RawData[Checker ID],$Q$4,RawData[[Error Type ]],$Q$5))</f>
        <v/>
      </c>
    </row>
    <row r="28022" spans="15:15" x14ac:dyDescent="0.25">
      <c r="O28022" s="20" t="str">
        <f>IF(N28022="","",COUNTIFS(RawData[[Date ]],N28022,RawData[Month List],$Q$6,RawData[Tour/Site],$Q$2,RawData[[Picker ID ]],$Q$3,RawData[Checker ID],$Q$4,RawData[[Error Type ]],$Q$5))</f>
        <v/>
      </c>
    </row>
    <row r="28023" spans="15:15" x14ac:dyDescent="0.25">
      <c r="O28023" s="20" t="str">
        <f>IF(N28023="","",COUNTIFS(RawData[[Date ]],N28023,RawData[Month List],$Q$6,RawData[Tour/Site],$Q$2,RawData[[Picker ID ]],$Q$3,RawData[Checker ID],$Q$4,RawData[[Error Type ]],$Q$5))</f>
        <v/>
      </c>
    </row>
    <row r="28024" spans="15:15" x14ac:dyDescent="0.25">
      <c r="O28024" s="20" t="str">
        <f>IF(N28024="","",COUNTIFS(RawData[[Date ]],N28024,RawData[Month List],$Q$6,RawData[Tour/Site],$Q$2,RawData[[Picker ID ]],$Q$3,RawData[Checker ID],$Q$4,RawData[[Error Type ]],$Q$5))</f>
        <v/>
      </c>
    </row>
    <row r="28025" spans="15:15" x14ac:dyDescent="0.25">
      <c r="O28025" s="20" t="str">
        <f>IF(N28025="","",COUNTIFS(RawData[[Date ]],N28025,RawData[Month List],$Q$6,RawData[Tour/Site],$Q$2,RawData[[Picker ID ]],$Q$3,RawData[Checker ID],$Q$4,RawData[[Error Type ]],$Q$5))</f>
        <v/>
      </c>
    </row>
    <row r="28026" spans="15:15" x14ac:dyDescent="0.25">
      <c r="O28026" s="20" t="str">
        <f>IF(N28026="","",COUNTIFS(RawData[[Date ]],N28026,RawData[Month List],$Q$6,RawData[Tour/Site],$Q$2,RawData[[Picker ID ]],$Q$3,RawData[Checker ID],$Q$4,RawData[[Error Type ]],$Q$5))</f>
        <v/>
      </c>
    </row>
    <row r="28027" spans="15:15" x14ac:dyDescent="0.25">
      <c r="O28027" s="20" t="str">
        <f>IF(N28027="","",COUNTIFS(RawData[[Date ]],N28027,RawData[Month List],$Q$6,RawData[Tour/Site],$Q$2,RawData[[Picker ID ]],$Q$3,RawData[Checker ID],$Q$4,RawData[[Error Type ]],$Q$5))</f>
        <v/>
      </c>
    </row>
    <row r="28028" spans="15:15" x14ac:dyDescent="0.25">
      <c r="O28028" s="20" t="str">
        <f>IF(N28028="","",COUNTIFS(RawData[[Date ]],N28028,RawData[Month List],$Q$6,RawData[Tour/Site],$Q$2,RawData[[Picker ID ]],$Q$3,RawData[Checker ID],$Q$4,RawData[[Error Type ]],$Q$5))</f>
        <v/>
      </c>
    </row>
    <row r="28029" spans="15:15" x14ac:dyDescent="0.25">
      <c r="O28029" s="20" t="str">
        <f>IF(N28029="","",COUNTIFS(RawData[[Date ]],N28029,RawData[Month List],$Q$6,RawData[Tour/Site],$Q$2,RawData[[Picker ID ]],$Q$3,RawData[Checker ID],$Q$4,RawData[[Error Type ]],$Q$5))</f>
        <v/>
      </c>
    </row>
    <row r="28030" spans="15:15" x14ac:dyDescent="0.25">
      <c r="O28030" s="20" t="str">
        <f>IF(N28030="","",COUNTIFS(RawData[[Date ]],N28030,RawData[Month List],$Q$6,RawData[Tour/Site],$Q$2,RawData[[Picker ID ]],$Q$3,RawData[Checker ID],$Q$4,RawData[[Error Type ]],$Q$5))</f>
        <v/>
      </c>
    </row>
    <row r="28031" spans="15:15" x14ac:dyDescent="0.25">
      <c r="O28031" s="20" t="str">
        <f>IF(N28031="","",COUNTIFS(RawData[[Date ]],N28031,RawData[Month List],$Q$6,RawData[Tour/Site],$Q$2,RawData[[Picker ID ]],$Q$3,RawData[Checker ID],$Q$4,RawData[[Error Type ]],$Q$5))</f>
        <v/>
      </c>
    </row>
    <row r="28032" spans="15:15" x14ac:dyDescent="0.25">
      <c r="O28032" s="20" t="str">
        <f>IF(N28032="","",COUNTIFS(RawData[[Date ]],N28032,RawData[Month List],$Q$6,RawData[Tour/Site],$Q$2,RawData[[Picker ID ]],$Q$3,RawData[Checker ID],$Q$4,RawData[[Error Type ]],$Q$5))</f>
        <v/>
      </c>
    </row>
    <row r="28033" spans="15:15" x14ac:dyDescent="0.25">
      <c r="O28033" s="20" t="str">
        <f>IF(N28033="","",COUNTIFS(RawData[[Date ]],N28033,RawData[Month List],$Q$6,RawData[Tour/Site],$Q$2,RawData[[Picker ID ]],$Q$3,RawData[Checker ID],$Q$4,RawData[[Error Type ]],$Q$5))</f>
        <v/>
      </c>
    </row>
    <row r="28034" spans="15:15" x14ac:dyDescent="0.25">
      <c r="O28034" s="20" t="str">
        <f>IF(N28034="","",COUNTIFS(RawData[[Date ]],N28034,RawData[Month List],$Q$6,RawData[Tour/Site],$Q$2,RawData[[Picker ID ]],$Q$3,RawData[Checker ID],$Q$4,RawData[[Error Type ]],$Q$5))</f>
        <v/>
      </c>
    </row>
    <row r="28035" spans="15:15" x14ac:dyDescent="0.25">
      <c r="O28035" s="20" t="str">
        <f>IF(N28035="","",COUNTIFS(RawData[[Date ]],N28035,RawData[Month List],$Q$6,RawData[Tour/Site],$Q$2,RawData[[Picker ID ]],$Q$3,RawData[Checker ID],$Q$4,RawData[[Error Type ]],$Q$5))</f>
        <v/>
      </c>
    </row>
    <row r="28036" spans="15:15" x14ac:dyDescent="0.25">
      <c r="O28036" s="20" t="str">
        <f>IF(N28036="","",COUNTIFS(RawData[[Date ]],N28036,RawData[Month List],$Q$6,RawData[Tour/Site],$Q$2,RawData[[Picker ID ]],$Q$3,RawData[Checker ID],$Q$4,RawData[[Error Type ]],$Q$5))</f>
        <v/>
      </c>
    </row>
    <row r="28037" spans="15:15" x14ac:dyDescent="0.25">
      <c r="O28037" s="20" t="str">
        <f>IF(N28037="","",COUNTIFS(RawData[[Date ]],N28037,RawData[Month List],$Q$6,RawData[Tour/Site],$Q$2,RawData[[Picker ID ]],$Q$3,RawData[Checker ID],$Q$4,RawData[[Error Type ]],$Q$5))</f>
        <v/>
      </c>
    </row>
    <row r="28038" spans="15:15" x14ac:dyDescent="0.25">
      <c r="O28038" s="20" t="str">
        <f>IF(N28038="","",COUNTIFS(RawData[[Date ]],N28038,RawData[Month List],$Q$6,RawData[Tour/Site],$Q$2,RawData[[Picker ID ]],$Q$3,RawData[Checker ID],$Q$4,RawData[[Error Type ]],$Q$5))</f>
        <v/>
      </c>
    </row>
    <row r="28039" spans="15:15" x14ac:dyDescent="0.25">
      <c r="O28039" s="20" t="str">
        <f>IF(N28039="","",COUNTIFS(RawData[[Date ]],N28039,RawData[Month List],$Q$6,RawData[Tour/Site],$Q$2,RawData[[Picker ID ]],$Q$3,RawData[Checker ID],$Q$4,RawData[[Error Type ]],$Q$5))</f>
        <v/>
      </c>
    </row>
    <row r="28040" spans="15:15" x14ac:dyDescent="0.25">
      <c r="O28040" s="20" t="str">
        <f>IF(N28040="","",COUNTIFS(RawData[[Date ]],N28040,RawData[Month List],$Q$6,RawData[Tour/Site],$Q$2,RawData[[Picker ID ]],$Q$3,RawData[Checker ID],$Q$4,RawData[[Error Type ]],$Q$5))</f>
        <v/>
      </c>
    </row>
    <row r="28041" spans="15:15" x14ac:dyDescent="0.25">
      <c r="O28041" s="20" t="str">
        <f>IF(N28041="","",COUNTIFS(RawData[[Date ]],N28041,RawData[Month List],$Q$6,RawData[Tour/Site],$Q$2,RawData[[Picker ID ]],$Q$3,RawData[Checker ID],$Q$4,RawData[[Error Type ]],$Q$5))</f>
        <v/>
      </c>
    </row>
    <row r="28042" spans="15:15" x14ac:dyDescent="0.25">
      <c r="O28042" s="20" t="str">
        <f>IF(N28042="","",COUNTIFS(RawData[[Date ]],N28042,RawData[Month List],$Q$6,RawData[Tour/Site],$Q$2,RawData[[Picker ID ]],$Q$3,RawData[Checker ID],$Q$4,RawData[[Error Type ]],$Q$5))</f>
        <v/>
      </c>
    </row>
    <row r="28043" spans="15:15" x14ac:dyDescent="0.25">
      <c r="O28043" s="20" t="str">
        <f>IF(N28043="","",COUNTIFS(RawData[[Date ]],N28043,RawData[Month List],$Q$6,RawData[Tour/Site],$Q$2,RawData[[Picker ID ]],$Q$3,RawData[Checker ID],$Q$4,RawData[[Error Type ]],$Q$5))</f>
        <v/>
      </c>
    </row>
    <row r="28044" spans="15:15" x14ac:dyDescent="0.25">
      <c r="O28044" s="20" t="str">
        <f>IF(N28044="","",COUNTIFS(RawData[[Date ]],N28044,RawData[Month List],$Q$6,RawData[Tour/Site],$Q$2,RawData[[Picker ID ]],$Q$3,RawData[Checker ID],$Q$4,RawData[[Error Type ]],$Q$5))</f>
        <v/>
      </c>
    </row>
    <row r="28045" spans="15:15" x14ac:dyDescent="0.25">
      <c r="O28045" s="20" t="str">
        <f>IF(N28045="","",COUNTIFS(RawData[[Date ]],N28045,RawData[Month List],$Q$6,RawData[Tour/Site],$Q$2,RawData[[Picker ID ]],$Q$3,RawData[Checker ID],$Q$4,RawData[[Error Type ]],$Q$5))</f>
        <v/>
      </c>
    </row>
    <row r="28046" spans="15:15" x14ac:dyDescent="0.25">
      <c r="O28046" s="20" t="str">
        <f>IF(N28046="","",COUNTIFS(RawData[[Date ]],N28046,RawData[Month List],$Q$6,RawData[Tour/Site],$Q$2,RawData[[Picker ID ]],$Q$3,RawData[Checker ID],$Q$4,RawData[[Error Type ]],$Q$5))</f>
        <v/>
      </c>
    </row>
    <row r="28047" spans="15:15" x14ac:dyDescent="0.25">
      <c r="O28047" s="20" t="str">
        <f>IF(N28047="","",COUNTIFS(RawData[[Date ]],N28047,RawData[Month List],$Q$6,RawData[Tour/Site],$Q$2,RawData[[Picker ID ]],$Q$3,RawData[Checker ID],$Q$4,RawData[[Error Type ]],$Q$5))</f>
        <v/>
      </c>
    </row>
    <row r="28048" spans="15:15" x14ac:dyDescent="0.25">
      <c r="O28048" s="20" t="str">
        <f>IF(N28048="","",COUNTIFS(RawData[[Date ]],N28048,RawData[Month List],$Q$6,RawData[Tour/Site],$Q$2,RawData[[Picker ID ]],$Q$3,RawData[Checker ID],$Q$4,RawData[[Error Type ]],$Q$5))</f>
        <v/>
      </c>
    </row>
    <row r="28049" spans="15:15" x14ac:dyDescent="0.25">
      <c r="O28049" s="20" t="str">
        <f>IF(N28049="","",COUNTIFS(RawData[[Date ]],N28049,RawData[Month List],$Q$6,RawData[Tour/Site],$Q$2,RawData[[Picker ID ]],$Q$3,RawData[Checker ID],$Q$4,RawData[[Error Type ]],$Q$5))</f>
        <v/>
      </c>
    </row>
    <row r="28050" spans="15:15" x14ac:dyDescent="0.25">
      <c r="O28050" s="20" t="str">
        <f>IF(N28050="","",COUNTIFS(RawData[[Date ]],N28050,RawData[Month List],$Q$6,RawData[Tour/Site],$Q$2,RawData[[Picker ID ]],$Q$3,RawData[Checker ID],$Q$4,RawData[[Error Type ]],$Q$5))</f>
        <v/>
      </c>
    </row>
    <row r="28051" spans="15:15" x14ac:dyDescent="0.25">
      <c r="O28051" s="20" t="str">
        <f>IF(N28051="","",COUNTIFS(RawData[[Date ]],N28051,RawData[Month List],$Q$6,RawData[Tour/Site],$Q$2,RawData[[Picker ID ]],$Q$3,RawData[Checker ID],$Q$4,RawData[[Error Type ]],$Q$5))</f>
        <v/>
      </c>
    </row>
    <row r="28052" spans="15:15" x14ac:dyDescent="0.25">
      <c r="O28052" s="20" t="str">
        <f>IF(N28052="","",COUNTIFS(RawData[[Date ]],N28052,RawData[Month List],$Q$6,RawData[Tour/Site],$Q$2,RawData[[Picker ID ]],$Q$3,RawData[Checker ID],$Q$4,RawData[[Error Type ]],$Q$5))</f>
        <v/>
      </c>
    </row>
    <row r="28053" spans="15:15" x14ac:dyDescent="0.25">
      <c r="O28053" s="20" t="str">
        <f>IF(N28053="","",COUNTIFS(RawData[[Date ]],N28053,RawData[Month List],$Q$6,RawData[Tour/Site],$Q$2,RawData[[Picker ID ]],$Q$3,RawData[Checker ID],$Q$4,RawData[[Error Type ]],$Q$5))</f>
        <v/>
      </c>
    </row>
    <row r="28054" spans="15:15" x14ac:dyDescent="0.25">
      <c r="O28054" s="20" t="str">
        <f>IF(N28054="","",COUNTIFS(RawData[[Date ]],N28054,RawData[Month List],$Q$6,RawData[Tour/Site],$Q$2,RawData[[Picker ID ]],$Q$3,RawData[Checker ID],$Q$4,RawData[[Error Type ]],$Q$5))</f>
        <v/>
      </c>
    </row>
    <row r="28055" spans="15:15" x14ac:dyDescent="0.25">
      <c r="O28055" s="20" t="str">
        <f>IF(N28055="","",COUNTIFS(RawData[[Date ]],N28055,RawData[Month List],$Q$6,RawData[Tour/Site],$Q$2,RawData[[Picker ID ]],$Q$3,RawData[Checker ID],$Q$4,RawData[[Error Type ]],$Q$5))</f>
        <v/>
      </c>
    </row>
    <row r="28056" spans="15:15" x14ac:dyDescent="0.25">
      <c r="O28056" s="20" t="str">
        <f>IF(N28056="","",COUNTIFS(RawData[[Date ]],N28056,RawData[Month List],$Q$6,RawData[Tour/Site],$Q$2,RawData[[Picker ID ]],$Q$3,RawData[Checker ID],$Q$4,RawData[[Error Type ]],$Q$5))</f>
        <v/>
      </c>
    </row>
    <row r="28057" spans="15:15" x14ac:dyDescent="0.25">
      <c r="O28057" s="20" t="str">
        <f>IF(N28057="","",COUNTIFS(RawData[[Date ]],N28057,RawData[Month List],$Q$6,RawData[Tour/Site],$Q$2,RawData[[Picker ID ]],$Q$3,RawData[Checker ID],$Q$4,RawData[[Error Type ]],$Q$5))</f>
        <v/>
      </c>
    </row>
    <row r="28058" spans="15:15" x14ac:dyDescent="0.25">
      <c r="O28058" s="20" t="str">
        <f>IF(N28058="","",COUNTIFS(RawData[[Date ]],N28058,RawData[Month List],$Q$6,RawData[Tour/Site],$Q$2,RawData[[Picker ID ]],$Q$3,RawData[Checker ID],$Q$4,RawData[[Error Type ]],$Q$5))</f>
        <v/>
      </c>
    </row>
    <row r="28059" spans="15:15" x14ac:dyDescent="0.25">
      <c r="O28059" s="20" t="str">
        <f>IF(N28059="","",COUNTIFS(RawData[[Date ]],N28059,RawData[Month List],$Q$6,RawData[Tour/Site],$Q$2,RawData[[Picker ID ]],$Q$3,RawData[Checker ID],$Q$4,RawData[[Error Type ]],$Q$5))</f>
        <v/>
      </c>
    </row>
    <row r="28060" spans="15:15" x14ac:dyDescent="0.25">
      <c r="O28060" s="20" t="str">
        <f>IF(N28060="","",COUNTIFS(RawData[[Date ]],N28060,RawData[Month List],$Q$6,RawData[Tour/Site],$Q$2,RawData[[Picker ID ]],$Q$3,RawData[Checker ID],$Q$4,RawData[[Error Type ]],$Q$5))</f>
        <v/>
      </c>
    </row>
    <row r="28061" spans="15:15" x14ac:dyDescent="0.25">
      <c r="O28061" s="20" t="str">
        <f>IF(N28061="","",COUNTIFS(RawData[[Date ]],N28061,RawData[Month List],$Q$6,RawData[Tour/Site],$Q$2,RawData[[Picker ID ]],$Q$3,RawData[Checker ID],$Q$4,RawData[[Error Type ]],$Q$5))</f>
        <v/>
      </c>
    </row>
    <row r="28062" spans="15:15" x14ac:dyDescent="0.25">
      <c r="O28062" s="20" t="str">
        <f>IF(N28062="","",COUNTIFS(RawData[[Date ]],N28062,RawData[Month List],$Q$6,RawData[Tour/Site],$Q$2,RawData[[Picker ID ]],$Q$3,RawData[Checker ID],$Q$4,RawData[[Error Type ]],$Q$5))</f>
        <v/>
      </c>
    </row>
    <row r="28063" spans="15:15" x14ac:dyDescent="0.25">
      <c r="O28063" s="20" t="str">
        <f>IF(N28063="","",COUNTIFS(RawData[[Date ]],N28063,RawData[Month List],$Q$6,RawData[Tour/Site],$Q$2,RawData[[Picker ID ]],$Q$3,RawData[Checker ID],$Q$4,RawData[[Error Type ]],$Q$5))</f>
        <v/>
      </c>
    </row>
    <row r="28064" spans="15:15" x14ac:dyDescent="0.25">
      <c r="O28064" s="20" t="str">
        <f>IF(N28064="","",COUNTIFS(RawData[[Date ]],N28064,RawData[Month List],$Q$6,RawData[Tour/Site],$Q$2,RawData[[Picker ID ]],$Q$3,RawData[Checker ID],$Q$4,RawData[[Error Type ]],$Q$5))</f>
        <v/>
      </c>
    </row>
    <row r="28065" spans="15:15" x14ac:dyDescent="0.25">
      <c r="O28065" s="20" t="str">
        <f>IF(N28065="","",COUNTIFS(RawData[[Date ]],N28065,RawData[Month List],$Q$6,RawData[Tour/Site],$Q$2,RawData[[Picker ID ]],$Q$3,RawData[Checker ID],$Q$4,RawData[[Error Type ]],$Q$5))</f>
        <v/>
      </c>
    </row>
    <row r="28066" spans="15:15" x14ac:dyDescent="0.25">
      <c r="O28066" s="20" t="str">
        <f>IF(N28066="","",COUNTIFS(RawData[[Date ]],N28066,RawData[Month List],$Q$6,RawData[Tour/Site],$Q$2,RawData[[Picker ID ]],$Q$3,RawData[Checker ID],$Q$4,RawData[[Error Type ]],$Q$5))</f>
        <v/>
      </c>
    </row>
    <row r="28067" spans="15:15" x14ac:dyDescent="0.25">
      <c r="O28067" s="20" t="str">
        <f>IF(N28067="","",COUNTIFS(RawData[[Date ]],N28067,RawData[Month List],$Q$6,RawData[Tour/Site],$Q$2,RawData[[Picker ID ]],$Q$3,RawData[Checker ID],$Q$4,RawData[[Error Type ]],$Q$5))</f>
        <v/>
      </c>
    </row>
    <row r="28068" spans="15:15" x14ac:dyDescent="0.25">
      <c r="O28068" s="20" t="str">
        <f>IF(N28068="","",COUNTIFS(RawData[[Date ]],N28068,RawData[Month List],$Q$6,RawData[Tour/Site],$Q$2,RawData[[Picker ID ]],$Q$3,RawData[Checker ID],$Q$4,RawData[[Error Type ]],$Q$5))</f>
        <v/>
      </c>
    </row>
    <row r="28069" spans="15:15" x14ac:dyDescent="0.25">
      <c r="O28069" s="20" t="str">
        <f>IF(N28069="","",COUNTIFS(RawData[[Date ]],N28069,RawData[Month List],$Q$6,RawData[Tour/Site],$Q$2,RawData[[Picker ID ]],$Q$3,RawData[Checker ID],$Q$4,RawData[[Error Type ]],$Q$5))</f>
        <v/>
      </c>
    </row>
    <row r="28070" spans="15:15" x14ac:dyDescent="0.25">
      <c r="O28070" s="20" t="str">
        <f>IF(N28070="","",COUNTIFS(RawData[[Date ]],N28070,RawData[Month List],$Q$6,RawData[Tour/Site],$Q$2,RawData[[Picker ID ]],$Q$3,RawData[Checker ID],$Q$4,RawData[[Error Type ]],$Q$5))</f>
        <v/>
      </c>
    </row>
    <row r="28071" spans="15:15" x14ac:dyDescent="0.25">
      <c r="O28071" s="20" t="str">
        <f>IF(N28071="","",COUNTIFS(RawData[[Date ]],N28071,RawData[Month List],$Q$6,RawData[Tour/Site],$Q$2,RawData[[Picker ID ]],$Q$3,RawData[Checker ID],$Q$4,RawData[[Error Type ]],$Q$5))</f>
        <v/>
      </c>
    </row>
    <row r="28072" spans="15:15" x14ac:dyDescent="0.25">
      <c r="O28072" s="20" t="str">
        <f>IF(N28072="","",COUNTIFS(RawData[[Date ]],N28072,RawData[Month List],$Q$6,RawData[Tour/Site],$Q$2,RawData[[Picker ID ]],$Q$3,RawData[Checker ID],$Q$4,RawData[[Error Type ]],$Q$5))</f>
        <v/>
      </c>
    </row>
    <row r="28073" spans="15:15" x14ac:dyDescent="0.25">
      <c r="O28073" s="20" t="str">
        <f>IF(N28073="","",COUNTIFS(RawData[[Date ]],N28073,RawData[Month List],$Q$6,RawData[Tour/Site],$Q$2,RawData[[Picker ID ]],$Q$3,RawData[Checker ID],$Q$4,RawData[[Error Type ]],$Q$5))</f>
        <v/>
      </c>
    </row>
    <row r="28074" spans="15:15" x14ac:dyDescent="0.25">
      <c r="O28074" s="20" t="str">
        <f>IF(N28074="","",COUNTIFS(RawData[[Date ]],N28074,RawData[Month List],$Q$6,RawData[Tour/Site],$Q$2,RawData[[Picker ID ]],$Q$3,RawData[Checker ID],$Q$4,RawData[[Error Type ]],$Q$5))</f>
        <v/>
      </c>
    </row>
    <row r="28075" spans="15:15" x14ac:dyDescent="0.25">
      <c r="O28075" s="20" t="str">
        <f>IF(N28075="","",COUNTIFS(RawData[[Date ]],N28075,RawData[Month List],$Q$6,RawData[Tour/Site],$Q$2,RawData[[Picker ID ]],$Q$3,RawData[Checker ID],$Q$4,RawData[[Error Type ]],$Q$5))</f>
        <v/>
      </c>
    </row>
    <row r="28076" spans="15:15" x14ac:dyDescent="0.25">
      <c r="O28076" s="20" t="str">
        <f>IF(N28076="","",COUNTIFS(RawData[[Date ]],N28076,RawData[Month List],$Q$6,RawData[Tour/Site],$Q$2,RawData[[Picker ID ]],$Q$3,RawData[Checker ID],$Q$4,RawData[[Error Type ]],$Q$5))</f>
        <v/>
      </c>
    </row>
    <row r="28077" spans="15:15" x14ac:dyDescent="0.25">
      <c r="O28077" s="20" t="str">
        <f>IF(N28077="","",COUNTIFS(RawData[[Date ]],N28077,RawData[Month List],$Q$6,RawData[Tour/Site],$Q$2,RawData[[Picker ID ]],$Q$3,RawData[Checker ID],$Q$4,RawData[[Error Type ]],$Q$5))</f>
        <v/>
      </c>
    </row>
    <row r="28078" spans="15:15" x14ac:dyDescent="0.25">
      <c r="O28078" s="20" t="str">
        <f>IF(N28078="","",COUNTIFS(RawData[[Date ]],N28078,RawData[Month List],$Q$6,RawData[Tour/Site],$Q$2,RawData[[Picker ID ]],$Q$3,RawData[Checker ID],$Q$4,RawData[[Error Type ]],$Q$5))</f>
        <v/>
      </c>
    </row>
    <row r="28079" spans="15:15" x14ac:dyDescent="0.25">
      <c r="O28079" s="20" t="str">
        <f>IF(N28079="","",COUNTIFS(RawData[[Date ]],N28079,RawData[Month List],$Q$6,RawData[Tour/Site],$Q$2,RawData[[Picker ID ]],$Q$3,RawData[Checker ID],$Q$4,RawData[[Error Type ]],$Q$5))</f>
        <v/>
      </c>
    </row>
    <row r="28080" spans="15:15" x14ac:dyDescent="0.25">
      <c r="O28080" s="20" t="str">
        <f>IF(N28080="","",COUNTIFS(RawData[[Date ]],N28080,RawData[Month List],$Q$6,RawData[Tour/Site],$Q$2,RawData[[Picker ID ]],$Q$3,RawData[Checker ID],$Q$4,RawData[[Error Type ]],$Q$5))</f>
        <v/>
      </c>
    </row>
    <row r="28081" spans="15:15" x14ac:dyDescent="0.25">
      <c r="O28081" s="20" t="str">
        <f>IF(N28081="","",COUNTIFS(RawData[[Date ]],N28081,RawData[Month List],$Q$6,RawData[Tour/Site],$Q$2,RawData[[Picker ID ]],$Q$3,RawData[Checker ID],$Q$4,RawData[[Error Type ]],$Q$5))</f>
        <v/>
      </c>
    </row>
    <row r="28082" spans="15:15" x14ac:dyDescent="0.25">
      <c r="O28082" s="20" t="str">
        <f>IF(N28082="","",COUNTIFS(RawData[[Date ]],N28082,RawData[Month List],$Q$6,RawData[Tour/Site],$Q$2,RawData[[Picker ID ]],$Q$3,RawData[Checker ID],$Q$4,RawData[[Error Type ]],$Q$5))</f>
        <v/>
      </c>
    </row>
    <row r="28083" spans="15:15" x14ac:dyDescent="0.25">
      <c r="O28083" s="20" t="str">
        <f>IF(N28083="","",COUNTIFS(RawData[[Date ]],N28083,RawData[Month List],$Q$6,RawData[Tour/Site],$Q$2,RawData[[Picker ID ]],$Q$3,RawData[Checker ID],$Q$4,RawData[[Error Type ]],$Q$5))</f>
        <v/>
      </c>
    </row>
    <row r="28084" spans="15:15" x14ac:dyDescent="0.25">
      <c r="O28084" s="20" t="str">
        <f>IF(N28084="","",COUNTIFS(RawData[[Date ]],N28084,RawData[Month List],$Q$6,RawData[Tour/Site],$Q$2,RawData[[Picker ID ]],$Q$3,RawData[Checker ID],$Q$4,RawData[[Error Type ]],$Q$5))</f>
        <v/>
      </c>
    </row>
    <row r="28085" spans="15:15" x14ac:dyDescent="0.25">
      <c r="O28085" s="20" t="str">
        <f>IF(N28085="","",COUNTIFS(RawData[[Date ]],N28085,RawData[Month List],$Q$6,RawData[Tour/Site],$Q$2,RawData[[Picker ID ]],$Q$3,RawData[Checker ID],$Q$4,RawData[[Error Type ]],$Q$5))</f>
        <v/>
      </c>
    </row>
    <row r="28086" spans="15:15" x14ac:dyDescent="0.25">
      <c r="O28086" s="20" t="str">
        <f>IF(N28086="","",COUNTIFS(RawData[[Date ]],N28086,RawData[Month List],$Q$6,RawData[Tour/Site],$Q$2,RawData[[Picker ID ]],$Q$3,RawData[Checker ID],$Q$4,RawData[[Error Type ]],$Q$5))</f>
        <v/>
      </c>
    </row>
    <row r="28087" spans="15:15" x14ac:dyDescent="0.25">
      <c r="O28087" s="20" t="str">
        <f>IF(N28087="","",COUNTIFS(RawData[[Date ]],N28087,RawData[Month List],$Q$6,RawData[Tour/Site],$Q$2,RawData[[Picker ID ]],$Q$3,RawData[Checker ID],$Q$4,RawData[[Error Type ]],$Q$5))</f>
        <v/>
      </c>
    </row>
    <row r="28088" spans="15:15" x14ac:dyDescent="0.25">
      <c r="O28088" s="20" t="str">
        <f>IF(N28088="","",COUNTIFS(RawData[[Date ]],N28088,RawData[Month List],$Q$6,RawData[Tour/Site],$Q$2,RawData[[Picker ID ]],$Q$3,RawData[Checker ID],$Q$4,RawData[[Error Type ]],$Q$5))</f>
        <v/>
      </c>
    </row>
    <row r="28089" spans="15:15" x14ac:dyDescent="0.25">
      <c r="O28089" s="20" t="str">
        <f>IF(N28089="","",COUNTIFS(RawData[[Date ]],N28089,RawData[Month List],$Q$6,RawData[Tour/Site],$Q$2,RawData[[Picker ID ]],$Q$3,RawData[Checker ID],$Q$4,RawData[[Error Type ]],$Q$5))</f>
        <v/>
      </c>
    </row>
    <row r="28090" spans="15:15" x14ac:dyDescent="0.25">
      <c r="O28090" s="20" t="str">
        <f>IF(N28090="","",COUNTIFS(RawData[[Date ]],N28090,RawData[Month List],$Q$6,RawData[Tour/Site],$Q$2,RawData[[Picker ID ]],$Q$3,RawData[Checker ID],$Q$4,RawData[[Error Type ]],$Q$5))</f>
        <v/>
      </c>
    </row>
    <row r="28091" spans="15:15" x14ac:dyDescent="0.25">
      <c r="O28091" s="20" t="str">
        <f>IF(N28091="","",COUNTIFS(RawData[[Date ]],N28091,RawData[Month List],$Q$6,RawData[Tour/Site],$Q$2,RawData[[Picker ID ]],$Q$3,RawData[Checker ID],$Q$4,RawData[[Error Type ]],$Q$5))</f>
        <v/>
      </c>
    </row>
    <row r="28092" spans="15:15" x14ac:dyDescent="0.25">
      <c r="O28092" s="20" t="str">
        <f>IF(N28092="","",COUNTIFS(RawData[[Date ]],N28092,RawData[Month List],$Q$6,RawData[Tour/Site],$Q$2,RawData[[Picker ID ]],$Q$3,RawData[Checker ID],$Q$4,RawData[[Error Type ]],$Q$5))</f>
        <v/>
      </c>
    </row>
    <row r="28093" spans="15:15" x14ac:dyDescent="0.25">
      <c r="O28093" s="20" t="str">
        <f>IF(N28093="","",COUNTIFS(RawData[[Date ]],N28093,RawData[Month List],$Q$6,RawData[Tour/Site],$Q$2,RawData[[Picker ID ]],$Q$3,RawData[Checker ID],$Q$4,RawData[[Error Type ]],$Q$5))</f>
        <v/>
      </c>
    </row>
    <row r="28094" spans="15:15" x14ac:dyDescent="0.25">
      <c r="O28094" s="20" t="str">
        <f>IF(N28094="","",COUNTIFS(RawData[[Date ]],N28094,RawData[Month List],$Q$6,RawData[Tour/Site],$Q$2,RawData[[Picker ID ]],$Q$3,RawData[Checker ID],$Q$4,RawData[[Error Type ]],$Q$5))</f>
        <v/>
      </c>
    </row>
    <row r="28095" spans="15:15" x14ac:dyDescent="0.25">
      <c r="O28095" s="20" t="str">
        <f>IF(N28095="","",COUNTIFS(RawData[[Date ]],N28095,RawData[Month List],$Q$6,RawData[Tour/Site],$Q$2,RawData[[Picker ID ]],$Q$3,RawData[Checker ID],$Q$4,RawData[[Error Type ]],$Q$5))</f>
        <v/>
      </c>
    </row>
    <row r="28096" spans="15:15" x14ac:dyDescent="0.25">
      <c r="O28096" s="20" t="str">
        <f>IF(N28096="","",COUNTIFS(RawData[[Date ]],N28096,RawData[Month List],$Q$6,RawData[Tour/Site],$Q$2,RawData[[Picker ID ]],$Q$3,RawData[Checker ID],$Q$4,RawData[[Error Type ]],$Q$5))</f>
        <v/>
      </c>
    </row>
    <row r="28097" spans="15:15" x14ac:dyDescent="0.25">
      <c r="O28097" s="20" t="str">
        <f>IF(N28097="","",COUNTIFS(RawData[[Date ]],N28097,RawData[Month List],$Q$6,RawData[Tour/Site],$Q$2,RawData[[Picker ID ]],$Q$3,RawData[Checker ID],$Q$4,RawData[[Error Type ]],$Q$5))</f>
        <v/>
      </c>
    </row>
    <row r="28098" spans="15:15" x14ac:dyDescent="0.25">
      <c r="O28098" s="20" t="str">
        <f>IF(N28098="","",COUNTIFS(RawData[[Date ]],N28098,RawData[Month List],$Q$6,RawData[Tour/Site],$Q$2,RawData[[Picker ID ]],$Q$3,RawData[Checker ID],$Q$4,RawData[[Error Type ]],$Q$5))</f>
        <v/>
      </c>
    </row>
    <row r="28099" spans="15:15" x14ac:dyDescent="0.25">
      <c r="O28099" s="20" t="str">
        <f>IF(N28099="","",COUNTIFS(RawData[[Date ]],N28099,RawData[Month List],$Q$6,RawData[Tour/Site],$Q$2,RawData[[Picker ID ]],$Q$3,RawData[Checker ID],$Q$4,RawData[[Error Type ]],$Q$5))</f>
        <v/>
      </c>
    </row>
    <row r="28100" spans="15:15" x14ac:dyDescent="0.25">
      <c r="O28100" s="20" t="str">
        <f>IF(N28100="","",COUNTIFS(RawData[[Date ]],N28100,RawData[Month List],$Q$6,RawData[Tour/Site],$Q$2,RawData[[Picker ID ]],$Q$3,RawData[Checker ID],$Q$4,RawData[[Error Type ]],$Q$5))</f>
        <v/>
      </c>
    </row>
    <row r="28101" spans="15:15" x14ac:dyDescent="0.25">
      <c r="O28101" s="20" t="str">
        <f>IF(N28101="","",COUNTIFS(RawData[[Date ]],N28101,RawData[Month List],$Q$6,RawData[Tour/Site],$Q$2,RawData[[Picker ID ]],$Q$3,RawData[Checker ID],$Q$4,RawData[[Error Type ]],$Q$5))</f>
        <v/>
      </c>
    </row>
    <row r="28102" spans="15:15" x14ac:dyDescent="0.25">
      <c r="O28102" s="20" t="str">
        <f>IF(N28102="","",COUNTIFS(RawData[[Date ]],N28102,RawData[Month List],$Q$6,RawData[Tour/Site],$Q$2,RawData[[Picker ID ]],$Q$3,RawData[Checker ID],$Q$4,RawData[[Error Type ]],$Q$5))</f>
        <v/>
      </c>
    </row>
    <row r="28103" spans="15:15" x14ac:dyDescent="0.25">
      <c r="O28103" s="20" t="str">
        <f>IF(N28103="","",COUNTIFS(RawData[[Date ]],N28103,RawData[Month List],$Q$6,RawData[Tour/Site],$Q$2,RawData[[Picker ID ]],$Q$3,RawData[Checker ID],$Q$4,RawData[[Error Type ]],$Q$5))</f>
        <v/>
      </c>
    </row>
    <row r="28104" spans="15:15" x14ac:dyDescent="0.25">
      <c r="O28104" s="20" t="str">
        <f>IF(N28104="","",COUNTIFS(RawData[[Date ]],N28104,RawData[Month List],$Q$6,RawData[Tour/Site],$Q$2,RawData[[Picker ID ]],$Q$3,RawData[Checker ID],$Q$4,RawData[[Error Type ]],$Q$5))</f>
        <v/>
      </c>
    </row>
    <row r="28105" spans="15:15" x14ac:dyDescent="0.25">
      <c r="O28105" s="20" t="str">
        <f>IF(N28105="","",COUNTIFS(RawData[[Date ]],N28105,RawData[Month List],$Q$6,RawData[Tour/Site],$Q$2,RawData[[Picker ID ]],$Q$3,RawData[Checker ID],$Q$4,RawData[[Error Type ]],$Q$5))</f>
        <v/>
      </c>
    </row>
    <row r="28106" spans="15:15" x14ac:dyDescent="0.25">
      <c r="O28106" s="20" t="str">
        <f>IF(N28106="","",COUNTIFS(RawData[[Date ]],N28106,RawData[Month List],$Q$6,RawData[Tour/Site],$Q$2,RawData[[Picker ID ]],$Q$3,RawData[Checker ID],$Q$4,RawData[[Error Type ]],$Q$5))</f>
        <v/>
      </c>
    </row>
    <row r="28107" spans="15:15" x14ac:dyDescent="0.25">
      <c r="O28107" s="20" t="str">
        <f>IF(N28107="","",COUNTIFS(RawData[[Date ]],N28107,RawData[Month List],$Q$6,RawData[Tour/Site],$Q$2,RawData[[Picker ID ]],$Q$3,RawData[Checker ID],$Q$4,RawData[[Error Type ]],$Q$5))</f>
        <v/>
      </c>
    </row>
    <row r="28108" spans="15:15" x14ac:dyDescent="0.25">
      <c r="O28108" s="20" t="str">
        <f>IF(N28108="","",COUNTIFS(RawData[[Date ]],N28108,RawData[Month List],$Q$6,RawData[Tour/Site],$Q$2,RawData[[Picker ID ]],$Q$3,RawData[Checker ID],$Q$4,RawData[[Error Type ]],$Q$5))</f>
        <v/>
      </c>
    </row>
    <row r="28109" spans="15:15" x14ac:dyDescent="0.25">
      <c r="O28109" s="20" t="str">
        <f>IF(N28109="","",COUNTIFS(RawData[[Date ]],N28109,RawData[Month List],$Q$6,RawData[Tour/Site],$Q$2,RawData[[Picker ID ]],$Q$3,RawData[Checker ID],$Q$4,RawData[[Error Type ]],$Q$5))</f>
        <v/>
      </c>
    </row>
    <row r="28110" spans="15:15" x14ac:dyDescent="0.25">
      <c r="O28110" s="20" t="str">
        <f>IF(N28110="","",COUNTIFS(RawData[[Date ]],N28110,RawData[Month List],$Q$6,RawData[Tour/Site],$Q$2,RawData[[Picker ID ]],$Q$3,RawData[Checker ID],$Q$4,RawData[[Error Type ]],$Q$5))</f>
        <v/>
      </c>
    </row>
    <row r="28111" spans="15:15" x14ac:dyDescent="0.25">
      <c r="O28111" s="20" t="str">
        <f>IF(N28111="","",COUNTIFS(RawData[[Date ]],N28111,RawData[Month List],$Q$6,RawData[Tour/Site],$Q$2,RawData[[Picker ID ]],$Q$3,RawData[Checker ID],$Q$4,RawData[[Error Type ]],$Q$5))</f>
        <v/>
      </c>
    </row>
    <row r="28112" spans="15:15" x14ac:dyDescent="0.25">
      <c r="O28112" s="20" t="str">
        <f>IF(N28112="","",COUNTIFS(RawData[[Date ]],N28112,RawData[Month List],$Q$6,RawData[Tour/Site],$Q$2,RawData[[Picker ID ]],$Q$3,RawData[Checker ID],$Q$4,RawData[[Error Type ]],$Q$5))</f>
        <v/>
      </c>
    </row>
    <row r="28113" spans="15:15" x14ac:dyDescent="0.25">
      <c r="O28113" s="20" t="str">
        <f>IF(N28113="","",COUNTIFS(RawData[[Date ]],N28113,RawData[Month List],$Q$6,RawData[Tour/Site],$Q$2,RawData[[Picker ID ]],$Q$3,RawData[Checker ID],$Q$4,RawData[[Error Type ]],$Q$5))</f>
        <v/>
      </c>
    </row>
    <row r="28114" spans="15:15" x14ac:dyDescent="0.25">
      <c r="O28114" s="20" t="str">
        <f>IF(N28114="","",COUNTIFS(RawData[[Date ]],N28114,RawData[Month List],$Q$6,RawData[Tour/Site],$Q$2,RawData[[Picker ID ]],$Q$3,RawData[Checker ID],$Q$4,RawData[[Error Type ]],$Q$5))</f>
        <v/>
      </c>
    </row>
    <row r="28115" spans="15:15" x14ac:dyDescent="0.25">
      <c r="O28115" s="20" t="str">
        <f>IF(N28115="","",COUNTIFS(RawData[[Date ]],N28115,RawData[Month List],$Q$6,RawData[Tour/Site],$Q$2,RawData[[Picker ID ]],$Q$3,RawData[Checker ID],$Q$4,RawData[[Error Type ]],$Q$5))</f>
        <v/>
      </c>
    </row>
    <row r="28116" spans="15:15" x14ac:dyDescent="0.25">
      <c r="O28116" s="20" t="str">
        <f>IF(N28116="","",COUNTIFS(RawData[[Date ]],N28116,RawData[Month List],$Q$6,RawData[Tour/Site],$Q$2,RawData[[Picker ID ]],$Q$3,RawData[Checker ID],$Q$4,RawData[[Error Type ]],$Q$5))</f>
        <v/>
      </c>
    </row>
    <row r="28117" spans="15:15" x14ac:dyDescent="0.25">
      <c r="O28117" s="20" t="str">
        <f>IF(N28117="","",COUNTIFS(RawData[[Date ]],N28117,RawData[Month List],$Q$6,RawData[Tour/Site],$Q$2,RawData[[Picker ID ]],$Q$3,RawData[Checker ID],$Q$4,RawData[[Error Type ]],$Q$5))</f>
        <v/>
      </c>
    </row>
    <row r="28118" spans="15:15" x14ac:dyDescent="0.25">
      <c r="O28118" s="20" t="str">
        <f>IF(N28118="","",COUNTIFS(RawData[[Date ]],N28118,RawData[Month List],$Q$6,RawData[Tour/Site],$Q$2,RawData[[Picker ID ]],$Q$3,RawData[Checker ID],$Q$4,RawData[[Error Type ]],$Q$5))</f>
        <v/>
      </c>
    </row>
    <row r="28119" spans="15:15" x14ac:dyDescent="0.25">
      <c r="O28119" s="20" t="str">
        <f>IF(N28119="","",COUNTIFS(RawData[[Date ]],N28119,RawData[Month List],$Q$6,RawData[Tour/Site],$Q$2,RawData[[Picker ID ]],$Q$3,RawData[Checker ID],$Q$4,RawData[[Error Type ]],$Q$5))</f>
        <v/>
      </c>
    </row>
    <row r="28120" spans="15:15" x14ac:dyDescent="0.25">
      <c r="O28120" s="20" t="str">
        <f>IF(N28120="","",COUNTIFS(RawData[[Date ]],N28120,RawData[Month List],$Q$6,RawData[Tour/Site],$Q$2,RawData[[Picker ID ]],$Q$3,RawData[Checker ID],$Q$4,RawData[[Error Type ]],$Q$5))</f>
        <v/>
      </c>
    </row>
    <row r="28121" spans="15:15" x14ac:dyDescent="0.25">
      <c r="O28121" s="20" t="str">
        <f>IF(N28121="","",COUNTIFS(RawData[[Date ]],N28121,RawData[Month List],$Q$6,RawData[Tour/Site],$Q$2,RawData[[Picker ID ]],$Q$3,RawData[Checker ID],$Q$4,RawData[[Error Type ]],$Q$5))</f>
        <v/>
      </c>
    </row>
    <row r="28122" spans="15:15" x14ac:dyDescent="0.25">
      <c r="O28122" s="20" t="str">
        <f>IF(N28122="","",COUNTIFS(RawData[[Date ]],N28122,RawData[Month List],$Q$6,RawData[Tour/Site],$Q$2,RawData[[Picker ID ]],$Q$3,RawData[Checker ID],$Q$4,RawData[[Error Type ]],$Q$5))</f>
        <v/>
      </c>
    </row>
    <row r="28123" spans="15:15" x14ac:dyDescent="0.25">
      <c r="O28123" s="20" t="str">
        <f>IF(N28123="","",COUNTIFS(RawData[[Date ]],N28123,RawData[Month List],$Q$6,RawData[Tour/Site],$Q$2,RawData[[Picker ID ]],$Q$3,RawData[Checker ID],$Q$4,RawData[[Error Type ]],$Q$5))</f>
        <v/>
      </c>
    </row>
    <row r="28124" spans="15:15" x14ac:dyDescent="0.25">
      <c r="O28124" s="20" t="str">
        <f>IF(N28124="","",COUNTIFS(RawData[[Date ]],N28124,RawData[Month List],$Q$6,RawData[Tour/Site],$Q$2,RawData[[Picker ID ]],$Q$3,RawData[Checker ID],$Q$4,RawData[[Error Type ]],$Q$5))</f>
        <v/>
      </c>
    </row>
    <row r="28125" spans="15:15" x14ac:dyDescent="0.25">
      <c r="O28125" s="20" t="str">
        <f>IF(N28125="","",COUNTIFS(RawData[[Date ]],N28125,RawData[Month List],$Q$6,RawData[Tour/Site],$Q$2,RawData[[Picker ID ]],$Q$3,RawData[Checker ID],$Q$4,RawData[[Error Type ]],$Q$5))</f>
        <v/>
      </c>
    </row>
    <row r="28126" spans="15:15" x14ac:dyDescent="0.25">
      <c r="O28126" s="20" t="str">
        <f>IF(N28126="","",COUNTIFS(RawData[[Date ]],N28126,RawData[Month List],$Q$6,RawData[Tour/Site],$Q$2,RawData[[Picker ID ]],$Q$3,RawData[Checker ID],$Q$4,RawData[[Error Type ]],$Q$5))</f>
        <v/>
      </c>
    </row>
    <row r="28127" spans="15:15" x14ac:dyDescent="0.25">
      <c r="O28127" s="20" t="str">
        <f>IF(N28127="","",COUNTIFS(RawData[[Date ]],N28127,RawData[Month List],$Q$6,RawData[Tour/Site],$Q$2,RawData[[Picker ID ]],$Q$3,RawData[Checker ID],$Q$4,RawData[[Error Type ]],$Q$5))</f>
        <v/>
      </c>
    </row>
    <row r="28128" spans="15:15" x14ac:dyDescent="0.25">
      <c r="O28128" s="20" t="str">
        <f>IF(N28128="","",COUNTIFS(RawData[[Date ]],N28128,RawData[Month List],$Q$6,RawData[Tour/Site],$Q$2,RawData[[Picker ID ]],$Q$3,RawData[Checker ID],$Q$4,RawData[[Error Type ]],$Q$5))</f>
        <v/>
      </c>
    </row>
    <row r="28129" spans="15:15" x14ac:dyDescent="0.25">
      <c r="O28129" s="20" t="str">
        <f>IF(N28129="","",COUNTIFS(RawData[[Date ]],N28129,RawData[Month List],$Q$6,RawData[Tour/Site],$Q$2,RawData[[Picker ID ]],$Q$3,RawData[Checker ID],$Q$4,RawData[[Error Type ]],$Q$5))</f>
        <v/>
      </c>
    </row>
    <row r="28130" spans="15:15" x14ac:dyDescent="0.25">
      <c r="O28130" s="20" t="str">
        <f>IF(N28130="","",COUNTIFS(RawData[[Date ]],N28130,RawData[Month List],$Q$6,RawData[Tour/Site],$Q$2,RawData[[Picker ID ]],$Q$3,RawData[Checker ID],$Q$4,RawData[[Error Type ]],$Q$5))</f>
        <v/>
      </c>
    </row>
    <row r="28131" spans="15:15" x14ac:dyDescent="0.25">
      <c r="O28131" s="20" t="str">
        <f>IF(N28131="","",COUNTIFS(RawData[[Date ]],N28131,RawData[Month List],$Q$6,RawData[Tour/Site],$Q$2,RawData[[Picker ID ]],$Q$3,RawData[Checker ID],$Q$4,RawData[[Error Type ]],$Q$5))</f>
        <v/>
      </c>
    </row>
    <row r="28132" spans="15:15" x14ac:dyDescent="0.25">
      <c r="O28132" s="20" t="str">
        <f>IF(N28132="","",COUNTIFS(RawData[[Date ]],N28132,RawData[Month List],$Q$6,RawData[Tour/Site],$Q$2,RawData[[Picker ID ]],$Q$3,RawData[Checker ID],$Q$4,RawData[[Error Type ]],$Q$5))</f>
        <v/>
      </c>
    </row>
    <row r="28133" spans="15:15" x14ac:dyDescent="0.25">
      <c r="O28133" s="20" t="str">
        <f>IF(N28133="","",COUNTIFS(RawData[[Date ]],N28133,RawData[Month List],$Q$6,RawData[Tour/Site],$Q$2,RawData[[Picker ID ]],$Q$3,RawData[Checker ID],$Q$4,RawData[[Error Type ]],$Q$5))</f>
        <v/>
      </c>
    </row>
    <row r="28134" spans="15:15" x14ac:dyDescent="0.25">
      <c r="O28134" s="20" t="str">
        <f>IF(N28134="","",COUNTIFS(RawData[[Date ]],N28134,RawData[Month List],$Q$6,RawData[Tour/Site],$Q$2,RawData[[Picker ID ]],$Q$3,RawData[Checker ID],$Q$4,RawData[[Error Type ]],$Q$5))</f>
        <v/>
      </c>
    </row>
    <row r="28135" spans="15:15" x14ac:dyDescent="0.25">
      <c r="O28135" s="20" t="str">
        <f>IF(N28135="","",COUNTIFS(RawData[[Date ]],N28135,RawData[Month List],$Q$6,RawData[Tour/Site],$Q$2,RawData[[Picker ID ]],$Q$3,RawData[Checker ID],$Q$4,RawData[[Error Type ]],$Q$5))</f>
        <v/>
      </c>
    </row>
    <row r="28136" spans="15:15" x14ac:dyDescent="0.25">
      <c r="O28136" s="20" t="str">
        <f>IF(N28136="","",COUNTIFS(RawData[[Date ]],N28136,RawData[Month List],$Q$6,RawData[Tour/Site],$Q$2,RawData[[Picker ID ]],$Q$3,RawData[Checker ID],$Q$4,RawData[[Error Type ]],$Q$5))</f>
        <v/>
      </c>
    </row>
    <row r="28137" spans="15:15" x14ac:dyDescent="0.25">
      <c r="O28137" s="20" t="str">
        <f>IF(N28137="","",COUNTIFS(RawData[[Date ]],N28137,RawData[Month List],$Q$6,RawData[Tour/Site],$Q$2,RawData[[Picker ID ]],$Q$3,RawData[Checker ID],$Q$4,RawData[[Error Type ]],$Q$5))</f>
        <v/>
      </c>
    </row>
    <row r="28138" spans="15:15" x14ac:dyDescent="0.25">
      <c r="O28138" s="20" t="str">
        <f>IF(N28138="","",COUNTIFS(RawData[[Date ]],N28138,RawData[Month List],$Q$6,RawData[Tour/Site],$Q$2,RawData[[Picker ID ]],$Q$3,RawData[Checker ID],$Q$4,RawData[[Error Type ]],$Q$5))</f>
        <v/>
      </c>
    </row>
    <row r="28139" spans="15:15" x14ac:dyDescent="0.25">
      <c r="O28139" s="20" t="str">
        <f>IF(N28139="","",COUNTIFS(RawData[[Date ]],N28139,RawData[Month List],$Q$6,RawData[Tour/Site],$Q$2,RawData[[Picker ID ]],$Q$3,RawData[Checker ID],$Q$4,RawData[[Error Type ]],$Q$5))</f>
        <v/>
      </c>
    </row>
    <row r="28140" spans="15:15" x14ac:dyDescent="0.25">
      <c r="O28140" s="20" t="str">
        <f>IF(N28140="","",COUNTIFS(RawData[[Date ]],N28140,RawData[Month List],$Q$6,RawData[Tour/Site],$Q$2,RawData[[Picker ID ]],$Q$3,RawData[Checker ID],$Q$4,RawData[[Error Type ]],$Q$5))</f>
        <v/>
      </c>
    </row>
    <row r="28141" spans="15:15" x14ac:dyDescent="0.25">
      <c r="O28141" s="20" t="str">
        <f>IF(N28141="","",COUNTIFS(RawData[[Date ]],N28141,RawData[Month List],$Q$6,RawData[Tour/Site],$Q$2,RawData[[Picker ID ]],$Q$3,RawData[Checker ID],$Q$4,RawData[[Error Type ]],$Q$5))</f>
        <v/>
      </c>
    </row>
    <row r="28142" spans="15:15" x14ac:dyDescent="0.25">
      <c r="O28142" s="20" t="str">
        <f>IF(N28142="","",COUNTIFS(RawData[[Date ]],N28142,RawData[Month List],$Q$6,RawData[Tour/Site],$Q$2,RawData[[Picker ID ]],$Q$3,RawData[Checker ID],$Q$4,RawData[[Error Type ]],$Q$5))</f>
        <v/>
      </c>
    </row>
    <row r="28143" spans="15:15" x14ac:dyDescent="0.25">
      <c r="O28143" s="20" t="str">
        <f>IF(N28143="","",COUNTIFS(RawData[[Date ]],N28143,RawData[Month List],$Q$6,RawData[Tour/Site],$Q$2,RawData[[Picker ID ]],$Q$3,RawData[Checker ID],$Q$4,RawData[[Error Type ]],$Q$5))</f>
        <v/>
      </c>
    </row>
    <row r="28144" spans="15:15" x14ac:dyDescent="0.25">
      <c r="O28144" s="20" t="str">
        <f>IF(N28144="","",COUNTIFS(RawData[[Date ]],N28144,RawData[Month List],$Q$6,RawData[Tour/Site],$Q$2,RawData[[Picker ID ]],$Q$3,RawData[Checker ID],$Q$4,RawData[[Error Type ]],$Q$5))</f>
        <v/>
      </c>
    </row>
    <row r="28145" spans="15:15" x14ac:dyDescent="0.25">
      <c r="O28145" s="20" t="str">
        <f>IF(N28145="","",COUNTIFS(RawData[[Date ]],N28145,RawData[Month List],$Q$6,RawData[Tour/Site],$Q$2,RawData[[Picker ID ]],$Q$3,RawData[Checker ID],$Q$4,RawData[[Error Type ]],$Q$5))</f>
        <v/>
      </c>
    </row>
    <row r="28146" spans="15:15" x14ac:dyDescent="0.25">
      <c r="O28146" s="20" t="str">
        <f>IF(N28146="","",COUNTIFS(RawData[[Date ]],N28146,RawData[Month List],$Q$6,RawData[Tour/Site],$Q$2,RawData[[Picker ID ]],$Q$3,RawData[Checker ID],$Q$4,RawData[[Error Type ]],$Q$5))</f>
        <v/>
      </c>
    </row>
    <row r="28147" spans="15:15" x14ac:dyDescent="0.25">
      <c r="O28147" s="20" t="str">
        <f>IF(N28147="","",COUNTIFS(RawData[[Date ]],N28147,RawData[Month List],$Q$6,RawData[Tour/Site],$Q$2,RawData[[Picker ID ]],$Q$3,RawData[Checker ID],$Q$4,RawData[[Error Type ]],$Q$5))</f>
        <v/>
      </c>
    </row>
    <row r="28148" spans="15:15" x14ac:dyDescent="0.25">
      <c r="O28148" s="20" t="str">
        <f>IF(N28148="","",COUNTIFS(RawData[[Date ]],N28148,RawData[Month List],$Q$6,RawData[Tour/Site],$Q$2,RawData[[Picker ID ]],$Q$3,RawData[Checker ID],$Q$4,RawData[[Error Type ]],$Q$5))</f>
        <v/>
      </c>
    </row>
    <row r="28149" spans="15:15" x14ac:dyDescent="0.25">
      <c r="O28149" s="20" t="str">
        <f>IF(N28149="","",COUNTIFS(RawData[[Date ]],N28149,RawData[Month List],$Q$6,RawData[Tour/Site],$Q$2,RawData[[Picker ID ]],$Q$3,RawData[Checker ID],$Q$4,RawData[[Error Type ]],$Q$5))</f>
        <v/>
      </c>
    </row>
    <row r="28150" spans="15:15" x14ac:dyDescent="0.25">
      <c r="O28150" s="20" t="str">
        <f>IF(N28150="","",COUNTIFS(RawData[[Date ]],N28150,RawData[Month List],$Q$6,RawData[Tour/Site],$Q$2,RawData[[Picker ID ]],$Q$3,RawData[Checker ID],$Q$4,RawData[[Error Type ]],$Q$5))</f>
        <v/>
      </c>
    </row>
    <row r="28151" spans="15:15" x14ac:dyDescent="0.25">
      <c r="O28151" s="20" t="str">
        <f>IF(N28151="","",COUNTIFS(RawData[[Date ]],N28151,RawData[Month List],$Q$6,RawData[Tour/Site],$Q$2,RawData[[Picker ID ]],$Q$3,RawData[Checker ID],$Q$4,RawData[[Error Type ]],$Q$5))</f>
        <v/>
      </c>
    </row>
    <row r="28152" spans="15:15" x14ac:dyDescent="0.25">
      <c r="O28152" s="20" t="str">
        <f>IF(N28152="","",COUNTIFS(RawData[[Date ]],N28152,RawData[Month List],$Q$6,RawData[Tour/Site],$Q$2,RawData[[Picker ID ]],$Q$3,RawData[Checker ID],$Q$4,RawData[[Error Type ]],$Q$5))</f>
        <v/>
      </c>
    </row>
    <row r="28153" spans="15:15" x14ac:dyDescent="0.25">
      <c r="O28153" s="20" t="str">
        <f>IF(N28153="","",COUNTIFS(RawData[[Date ]],N28153,RawData[Month List],$Q$6,RawData[Tour/Site],$Q$2,RawData[[Picker ID ]],$Q$3,RawData[Checker ID],$Q$4,RawData[[Error Type ]],$Q$5))</f>
        <v/>
      </c>
    </row>
    <row r="28154" spans="15:15" x14ac:dyDescent="0.25">
      <c r="O28154" s="20" t="str">
        <f>IF(N28154="","",COUNTIFS(RawData[[Date ]],N28154,RawData[Month List],$Q$6,RawData[Tour/Site],$Q$2,RawData[[Picker ID ]],$Q$3,RawData[Checker ID],$Q$4,RawData[[Error Type ]],$Q$5))</f>
        <v/>
      </c>
    </row>
    <row r="28155" spans="15:15" x14ac:dyDescent="0.25">
      <c r="O28155" s="20" t="str">
        <f>IF(N28155="","",COUNTIFS(RawData[[Date ]],N28155,RawData[Month List],$Q$6,RawData[Tour/Site],$Q$2,RawData[[Picker ID ]],$Q$3,RawData[Checker ID],$Q$4,RawData[[Error Type ]],$Q$5))</f>
        <v/>
      </c>
    </row>
    <row r="28156" spans="15:15" x14ac:dyDescent="0.25">
      <c r="O28156" s="20" t="str">
        <f>IF(N28156="","",COUNTIFS(RawData[[Date ]],N28156,RawData[Month List],$Q$6,RawData[Tour/Site],$Q$2,RawData[[Picker ID ]],$Q$3,RawData[Checker ID],$Q$4,RawData[[Error Type ]],$Q$5))</f>
        <v/>
      </c>
    </row>
    <row r="28157" spans="15:15" x14ac:dyDescent="0.25">
      <c r="O28157" s="20" t="str">
        <f>IF(N28157="","",COUNTIFS(RawData[[Date ]],N28157,RawData[Month List],$Q$6,RawData[Tour/Site],$Q$2,RawData[[Picker ID ]],$Q$3,RawData[Checker ID],$Q$4,RawData[[Error Type ]],$Q$5))</f>
        <v/>
      </c>
    </row>
    <row r="28158" spans="15:15" x14ac:dyDescent="0.25">
      <c r="O28158" s="20" t="str">
        <f>IF(N28158="","",COUNTIFS(RawData[[Date ]],N28158,RawData[Month List],$Q$6,RawData[Tour/Site],$Q$2,RawData[[Picker ID ]],$Q$3,RawData[Checker ID],$Q$4,RawData[[Error Type ]],$Q$5))</f>
        <v/>
      </c>
    </row>
    <row r="28159" spans="15:15" x14ac:dyDescent="0.25">
      <c r="O28159" s="20" t="str">
        <f>IF(N28159="","",COUNTIFS(RawData[[Date ]],N28159,RawData[Month List],$Q$6,RawData[Tour/Site],$Q$2,RawData[[Picker ID ]],$Q$3,RawData[Checker ID],$Q$4,RawData[[Error Type ]],$Q$5))</f>
        <v/>
      </c>
    </row>
    <row r="28160" spans="15:15" x14ac:dyDescent="0.25">
      <c r="O28160" s="20" t="str">
        <f>IF(N28160="","",COUNTIFS(RawData[[Date ]],N28160,RawData[Month List],$Q$6,RawData[Tour/Site],$Q$2,RawData[[Picker ID ]],$Q$3,RawData[Checker ID],$Q$4,RawData[[Error Type ]],$Q$5))</f>
        <v/>
      </c>
    </row>
    <row r="28161" spans="15:15" x14ac:dyDescent="0.25">
      <c r="O28161" s="20" t="str">
        <f>IF(N28161="","",COUNTIFS(RawData[[Date ]],N28161,RawData[Month List],$Q$6,RawData[Tour/Site],$Q$2,RawData[[Picker ID ]],$Q$3,RawData[Checker ID],$Q$4,RawData[[Error Type ]],$Q$5))</f>
        <v/>
      </c>
    </row>
    <row r="28162" spans="15:15" x14ac:dyDescent="0.25">
      <c r="O28162" s="20" t="str">
        <f>IF(N28162="","",COUNTIFS(RawData[[Date ]],N28162,RawData[Month List],$Q$6,RawData[Tour/Site],$Q$2,RawData[[Picker ID ]],$Q$3,RawData[Checker ID],$Q$4,RawData[[Error Type ]],$Q$5))</f>
        <v/>
      </c>
    </row>
    <row r="28163" spans="15:15" x14ac:dyDescent="0.25">
      <c r="O28163" s="20" t="str">
        <f>IF(N28163="","",COUNTIFS(RawData[[Date ]],N28163,RawData[Month List],$Q$6,RawData[Tour/Site],$Q$2,RawData[[Picker ID ]],$Q$3,RawData[Checker ID],$Q$4,RawData[[Error Type ]],$Q$5))</f>
        <v/>
      </c>
    </row>
    <row r="28164" spans="15:15" x14ac:dyDescent="0.25">
      <c r="O28164" s="20" t="str">
        <f>IF(N28164="","",COUNTIFS(RawData[[Date ]],N28164,RawData[Month List],$Q$6,RawData[Tour/Site],$Q$2,RawData[[Picker ID ]],$Q$3,RawData[Checker ID],$Q$4,RawData[[Error Type ]],$Q$5))</f>
        <v/>
      </c>
    </row>
    <row r="28165" spans="15:15" x14ac:dyDescent="0.25">
      <c r="O28165" s="20" t="str">
        <f>IF(N28165="","",COUNTIFS(RawData[[Date ]],N28165,RawData[Month List],$Q$6,RawData[Tour/Site],$Q$2,RawData[[Picker ID ]],$Q$3,RawData[Checker ID],$Q$4,RawData[[Error Type ]],$Q$5))</f>
        <v/>
      </c>
    </row>
    <row r="28166" spans="15:15" x14ac:dyDescent="0.25">
      <c r="O28166" s="20" t="str">
        <f>IF(N28166="","",COUNTIFS(RawData[[Date ]],N28166,RawData[Month List],$Q$6,RawData[Tour/Site],$Q$2,RawData[[Picker ID ]],$Q$3,RawData[Checker ID],$Q$4,RawData[[Error Type ]],$Q$5))</f>
        <v/>
      </c>
    </row>
    <row r="28167" spans="15:15" x14ac:dyDescent="0.25">
      <c r="O28167" s="20" t="str">
        <f>IF(N28167="","",COUNTIFS(RawData[[Date ]],N28167,RawData[Month List],$Q$6,RawData[Tour/Site],$Q$2,RawData[[Picker ID ]],$Q$3,RawData[Checker ID],$Q$4,RawData[[Error Type ]],$Q$5))</f>
        <v/>
      </c>
    </row>
    <row r="28168" spans="15:15" x14ac:dyDescent="0.25">
      <c r="O28168" s="20" t="str">
        <f>IF(N28168="","",COUNTIFS(RawData[[Date ]],N28168,RawData[Month List],$Q$6,RawData[Tour/Site],$Q$2,RawData[[Picker ID ]],$Q$3,RawData[Checker ID],$Q$4,RawData[[Error Type ]],$Q$5))</f>
        <v/>
      </c>
    </row>
    <row r="28169" spans="15:15" x14ac:dyDescent="0.25">
      <c r="O28169" s="20" t="str">
        <f>IF(N28169="","",COUNTIFS(RawData[[Date ]],N28169,RawData[Month List],$Q$6,RawData[Tour/Site],$Q$2,RawData[[Picker ID ]],$Q$3,RawData[Checker ID],$Q$4,RawData[[Error Type ]],$Q$5))</f>
        <v/>
      </c>
    </row>
    <row r="28170" spans="15:15" x14ac:dyDescent="0.25">
      <c r="O28170" s="20" t="str">
        <f>IF(N28170="","",COUNTIFS(RawData[[Date ]],N28170,RawData[Month List],$Q$6,RawData[Tour/Site],$Q$2,RawData[[Picker ID ]],$Q$3,RawData[Checker ID],$Q$4,RawData[[Error Type ]],$Q$5))</f>
        <v/>
      </c>
    </row>
    <row r="28171" spans="15:15" x14ac:dyDescent="0.25">
      <c r="O28171" s="20" t="str">
        <f>IF(N28171="","",COUNTIFS(RawData[[Date ]],N28171,RawData[Month List],$Q$6,RawData[Tour/Site],$Q$2,RawData[[Picker ID ]],$Q$3,RawData[Checker ID],$Q$4,RawData[[Error Type ]],$Q$5))</f>
        <v/>
      </c>
    </row>
    <row r="28172" spans="15:15" x14ac:dyDescent="0.25">
      <c r="O28172" s="20" t="str">
        <f>IF(N28172="","",COUNTIFS(RawData[[Date ]],N28172,RawData[Month List],$Q$6,RawData[Tour/Site],$Q$2,RawData[[Picker ID ]],$Q$3,RawData[Checker ID],$Q$4,RawData[[Error Type ]],$Q$5))</f>
        <v/>
      </c>
    </row>
    <row r="28173" spans="15:15" x14ac:dyDescent="0.25">
      <c r="O28173" s="20" t="str">
        <f>IF(N28173="","",COUNTIFS(RawData[[Date ]],N28173,RawData[Month List],$Q$6,RawData[Tour/Site],$Q$2,RawData[[Picker ID ]],$Q$3,RawData[Checker ID],$Q$4,RawData[[Error Type ]],$Q$5))</f>
        <v/>
      </c>
    </row>
    <row r="28174" spans="15:15" x14ac:dyDescent="0.25">
      <c r="O28174" s="20" t="str">
        <f>IF(N28174="","",COUNTIFS(RawData[[Date ]],N28174,RawData[Month List],$Q$6,RawData[Tour/Site],$Q$2,RawData[[Picker ID ]],$Q$3,RawData[Checker ID],$Q$4,RawData[[Error Type ]],$Q$5))</f>
        <v/>
      </c>
    </row>
    <row r="28175" spans="15:15" x14ac:dyDescent="0.25">
      <c r="O28175" s="20" t="str">
        <f>IF(N28175="","",COUNTIFS(RawData[[Date ]],N28175,RawData[Month List],$Q$6,RawData[Tour/Site],$Q$2,RawData[[Picker ID ]],$Q$3,RawData[Checker ID],$Q$4,RawData[[Error Type ]],$Q$5))</f>
        <v/>
      </c>
    </row>
    <row r="28176" spans="15:15" x14ac:dyDescent="0.25">
      <c r="O28176" s="20" t="str">
        <f>IF(N28176="","",COUNTIFS(RawData[[Date ]],N28176,RawData[Month List],$Q$6,RawData[Tour/Site],$Q$2,RawData[[Picker ID ]],$Q$3,RawData[Checker ID],$Q$4,RawData[[Error Type ]],$Q$5))</f>
        <v/>
      </c>
    </row>
    <row r="28177" spans="15:15" x14ac:dyDescent="0.25">
      <c r="O28177" s="20" t="str">
        <f>IF(N28177="","",COUNTIFS(RawData[[Date ]],N28177,RawData[Month List],$Q$6,RawData[Tour/Site],$Q$2,RawData[[Picker ID ]],$Q$3,RawData[Checker ID],$Q$4,RawData[[Error Type ]],$Q$5))</f>
        <v/>
      </c>
    </row>
    <row r="28178" spans="15:15" x14ac:dyDescent="0.25">
      <c r="O28178" s="20" t="str">
        <f>IF(N28178="","",COUNTIFS(RawData[[Date ]],N28178,RawData[Month List],$Q$6,RawData[Tour/Site],$Q$2,RawData[[Picker ID ]],$Q$3,RawData[Checker ID],$Q$4,RawData[[Error Type ]],$Q$5))</f>
        <v/>
      </c>
    </row>
    <row r="28179" spans="15:15" x14ac:dyDescent="0.25">
      <c r="O28179" s="20" t="str">
        <f>IF(N28179="","",COUNTIFS(RawData[[Date ]],N28179,RawData[Month List],$Q$6,RawData[Tour/Site],$Q$2,RawData[[Picker ID ]],$Q$3,RawData[Checker ID],$Q$4,RawData[[Error Type ]],$Q$5))</f>
        <v/>
      </c>
    </row>
    <row r="28180" spans="15:15" x14ac:dyDescent="0.25">
      <c r="O28180" s="20" t="str">
        <f>IF(N28180="","",COUNTIFS(RawData[[Date ]],N28180,RawData[Month List],$Q$6,RawData[Tour/Site],$Q$2,RawData[[Picker ID ]],$Q$3,RawData[Checker ID],$Q$4,RawData[[Error Type ]],$Q$5))</f>
        <v/>
      </c>
    </row>
    <row r="28181" spans="15:15" x14ac:dyDescent="0.25">
      <c r="O28181" s="20" t="str">
        <f>IF(N28181="","",COUNTIFS(RawData[[Date ]],N28181,RawData[Month List],$Q$6,RawData[Tour/Site],$Q$2,RawData[[Picker ID ]],$Q$3,RawData[Checker ID],$Q$4,RawData[[Error Type ]],$Q$5))</f>
        <v/>
      </c>
    </row>
    <row r="28182" spans="15:15" x14ac:dyDescent="0.25">
      <c r="O28182" s="20" t="str">
        <f>IF(N28182="","",COUNTIFS(RawData[[Date ]],N28182,RawData[Month List],$Q$6,RawData[Tour/Site],$Q$2,RawData[[Picker ID ]],$Q$3,RawData[Checker ID],$Q$4,RawData[[Error Type ]],$Q$5))</f>
        <v/>
      </c>
    </row>
    <row r="28183" spans="15:15" x14ac:dyDescent="0.25">
      <c r="O28183" s="20" t="str">
        <f>IF(N28183="","",COUNTIFS(RawData[[Date ]],N28183,RawData[Month List],$Q$6,RawData[Tour/Site],$Q$2,RawData[[Picker ID ]],$Q$3,RawData[Checker ID],$Q$4,RawData[[Error Type ]],$Q$5))</f>
        <v/>
      </c>
    </row>
    <row r="28184" spans="15:15" x14ac:dyDescent="0.25">
      <c r="O28184" s="20" t="str">
        <f>IF(N28184="","",COUNTIFS(RawData[[Date ]],N28184,RawData[Month List],$Q$6,RawData[Tour/Site],$Q$2,RawData[[Picker ID ]],$Q$3,RawData[Checker ID],$Q$4,RawData[[Error Type ]],$Q$5))</f>
        <v/>
      </c>
    </row>
    <row r="28185" spans="15:15" x14ac:dyDescent="0.25">
      <c r="O28185" s="20" t="str">
        <f>IF(N28185="","",COUNTIFS(RawData[[Date ]],N28185,RawData[Month List],$Q$6,RawData[Tour/Site],$Q$2,RawData[[Picker ID ]],$Q$3,RawData[Checker ID],$Q$4,RawData[[Error Type ]],$Q$5))</f>
        <v/>
      </c>
    </row>
    <row r="28186" spans="15:15" x14ac:dyDescent="0.25">
      <c r="O28186" s="20" t="str">
        <f>IF(N28186="","",COUNTIFS(RawData[[Date ]],N28186,RawData[Month List],$Q$6,RawData[Tour/Site],$Q$2,RawData[[Picker ID ]],$Q$3,RawData[Checker ID],$Q$4,RawData[[Error Type ]],$Q$5))</f>
        <v/>
      </c>
    </row>
    <row r="28187" spans="15:15" x14ac:dyDescent="0.25">
      <c r="O28187" s="20" t="str">
        <f>IF(N28187="","",COUNTIFS(RawData[[Date ]],N28187,RawData[Month List],$Q$6,RawData[Tour/Site],$Q$2,RawData[[Picker ID ]],$Q$3,RawData[Checker ID],$Q$4,RawData[[Error Type ]],$Q$5))</f>
        <v/>
      </c>
    </row>
    <row r="28188" spans="15:15" x14ac:dyDescent="0.25">
      <c r="O28188" s="20" t="str">
        <f>IF(N28188="","",COUNTIFS(RawData[[Date ]],N28188,RawData[Month List],$Q$6,RawData[Tour/Site],$Q$2,RawData[[Picker ID ]],$Q$3,RawData[Checker ID],$Q$4,RawData[[Error Type ]],$Q$5))</f>
        <v/>
      </c>
    </row>
    <row r="28189" spans="15:15" x14ac:dyDescent="0.25">
      <c r="O28189" s="20" t="str">
        <f>IF(N28189="","",COUNTIFS(RawData[[Date ]],N28189,RawData[Month List],$Q$6,RawData[Tour/Site],$Q$2,RawData[[Picker ID ]],$Q$3,RawData[Checker ID],$Q$4,RawData[[Error Type ]],$Q$5))</f>
        <v/>
      </c>
    </row>
    <row r="28190" spans="15:15" x14ac:dyDescent="0.25">
      <c r="O28190" s="20" t="str">
        <f>IF(N28190="","",COUNTIFS(RawData[[Date ]],N28190,RawData[Month List],$Q$6,RawData[Tour/Site],$Q$2,RawData[[Picker ID ]],$Q$3,RawData[Checker ID],$Q$4,RawData[[Error Type ]],$Q$5))</f>
        <v/>
      </c>
    </row>
    <row r="28191" spans="15:15" x14ac:dyDescent="0.25">
      <c r="O28191" s="20" t="str">
        <f>IF(N28191="","",COUNTIFS(RawData[[Date ]],N28191,RawData[Month List],$Q$6,RawData[Tour/Site],$Q$2,RawData[[Picker ID ]],$Q$3,RawData[Checker ID],$Q$4,RawData[[Error Type ]],$Q$5))</f>
        <v/>
      </c>
    </row>
    <row r="28192" spans="15:15" x14ac:dyDescent="0.25">
      <c r="O28192" s="20" t="str">
        <f>IF(N28192="","",COUNTIFS(RawData[[Date ]],N28192,RawData[Month List],$Q$6,RawData[Tour/Site],$Q$2,RawData[[Picker ID ]],$Q$3,RawData[Checker ID],$Q$4,RawData[[Error Type ]],$Q$5))</f>
        <v/>
      </c>
    </row>
    <row r="28193" spans="15:15" x14ac:dyDescent="0.25">
      <c r="O28193" s="20" t="str">
        <f>IF(N28193="","",COUNTIFS(RawData[[Date ]],N28193,RawData[Month List],$Q$6,RawData[Tour/Site],$Q$2,RawData[[Picker ID ]],$Q$3,RawData[Checker ID],$Q$4,RawData[[Error Type ]],$Q$5))</f>
        <v/>
      </c>
    </row>
    <row r="28194" spans="15:15" x14ac:dyDescent="0.25">
      <c r="O28194" s="20" t="str">
        <f>IF(N28194="","",COUNTIFS(RawData[[Date ]],N28194,RawData[Month List],$Q$6,RawData[Tour/Site],$Q$2,RawData[[Picker ID ]],$Q$3,RawData[Checker ID],$Q$4,RawData[[Error Type ]],$Q$5))</f>
        <v/>
      </c>
    </row>
    <row r="28195" spans="15:15" x14ac:dyDescent="0.25">
      <c r="O28195" s="20" t="str">
        <f>IF(N28195="","",COUNTIFS(RawData[[Date ]],N28195,RawData[Month List],$Q$6,RawData[Tour/Site],$Q$2,RawData[[Picker ID ]],$Q$3,RawData[Checker ID],$Q$4,RawData[[Error Type ]],$Q$5))</f>
        <v/>
      </c>
    </row>
    <row r="28196" spans="15:15" x14ac:dyDescent="0.25">
      <c r="O28196" s="20" t="str">
        <f>IF(N28196="","",COUNTIFS(RawData[[Date ]],N28196,RawData[Month List],$Q$6,RawData[Tour/Site],$Q$2,RawData[[Picker ID ]],$Q$3,RawData[Checker ID],$Q$4,RawData[[Error Type ]],$Q$5))</f>
        <v/>
      </c>
    </row>
    <row r="28197" spans="15:15" x14ac:dyDescent="0.25">
      <c r="O28197" s="20" t="str">
        <f>IF(N28197="","",COUNTIFS(RawData[[Date ]],N28197,RawData[Month List],$Q$6,RawData[Tour/Site],$Q$2,RawData[[Picker ID ]],$Q$3,RawData[Checker ID],$Q$4,RawData[[Error Type ]],$Q$5))</f>
        <v/>
      </c>
    </row>
    <row r="28198" spans="15:15" x14ac:dyDescent="0.25">
      <c r="O28198" s="20" t="str">
        <f>IF(N28198="","",COUNTIFS(RawData[[Date ]],N28198,RawData[Month List],$Q$6,RawData[Tour/Site],$Q$2,RawData[[Picker ID ]],$Q$3,RawData[Checker ID],$Q$4,RawData[[Error Type ]],$Q$5))</f>
        <v/>
      </c>
    </row>
    <row r="28199" spans="15:15" x14ac:dyDescent="0.25">
      <c r="O28199" s="20" t="str">
        <f>IF(N28199="","",COUNTIFS(RawData[[Date ]],N28199,RawData[Month List],$Q$6,RawData[Tour/Site],$Q$2,RawData[[Picker ID ]],$Q$3,RawData[Checker ID],$Q$4,RawData[[Error Type ]],$Q$5))</f>
        <v/>
      </c>
    </row>
    <row r="28200" spans="15:15" x14ac:dyDescent="0.25">
      <c r="O28200" s="20" t="str">
        <f>IF(N28200="","",COUNTIFS(RawData[[Date ]],N28200,RawData[Month List],$Q$6,RawData[Tour/Site],$Q$2,RawData[[Picker ID ]],$Q$3,RawData[Checker ID],$Q$4,RawData[[Error Type ]],$Q$5))</f>
        <v/>
      </c>
    </row>
    <row r="28201" spans="15:15" x14ac:dyDescent="0.25">
      <c r="O28201" s="20" t="str">
        <f>IF(N28201="","",COUNTIFS(RawData[[Date ]],N28201,RawData[Month List],$Q$6,RawData[Tour/Site],$Q$2,RawData[[Picker ID ]],$Q$3,RawData[Checker ID],$Q$4,RawData[[Error Type ]],$Q$5))</f>
        <v/>
      </c>
    </row>
    <row r="28202" spans="15:15" x14ac:dyDescent="0.25">
      <c r="O28202" s="20" t="str">
        <f>IF(N28202="","",COUNTIFS(RawData[[Date ]],N28202,RawData[Month List],$Q$6,RawData[Tour/Site],$Q$2,RawData[[Picker ID ]],$Q$3,RawData[Checker ID],$Q$4,RawData[[Error Type ]],$Q$5))</f>
        <v/>
      </c>
    </row>
    <row r="28203" spans="15:15" x14ac:dyDescent="0.25">
      <c r="O28203" s="20" t="str">
        <f>IF(N28203="","",COUNTIFS(RawData[[Date ]],N28203,RawData[Month List],$Q$6,RawData[Tour/Site],$Q$2,RawData[[Picker ID ]],$Q$3,RawData[Checker ID],$Q$4,RawData[[Error Type ]],$Q$5))</f>
        <v/>
      </c>
    </row>
    <row r="28204" spans="15:15" x14ac:dyDescent="0.25">
      <c r="O28204" s="20" t="str">
        <f>IF(N28204="","",COUNTIFS(RawData[[Date ]],N28204,RawData[Month List],$Q$6,RawData[Tour/Site],$Q$2,RawData[[Picker ID ]],$Q$3,RawData[Checker ID],$Q$4,RawData[[Error Type ]],$Q$5))</f>
        <v/>
      </c>
    </row>
    <row r="28205" spans="15:15" x14ac:dyDescent="0.25">
      <c r="O28205" s="20" t="str">
        <f>IF(N28205="","",COUNTIFS(RawData[[Date ]],N28205,RawData[Month List],$Q$6,RawData[Tour/Site],$Q$2,RawData[[Picker ID ]],$Q$3,RawData[Checker ID],$Q$4,RawData[[Error Type ]],$Q$5))</f>
        <v/>
      </c>
    </row>
    <row r="28206" spans="15:15" x14ac:dyDescent="0.25">
      <c r="O28206" s="20" t="str">
        <f>IF(N28206="","",COUNTIFS(RawData[[Date ]],N28206,RawData[Month List],$Q$6,RawData[Tour/Site],$Q$2,RawData[[Picker ID ]],$Q$3,RawData[Checker ID],$Q$4,RawData[[Error Type ]],$Q$5))</f>
        <v/>
      </c>
    </row>
    <row r="28207" spans="15:15" x14ac:dyDescent="0.25">
      <c r="O28207" s="20" t="str">
        <f>IF(N28207="","",COUNTIFS(RawData[[Date ]],N28207,RawData[Month List],$Q$6,RawData[Tour/Site],$Q$2,RawData[[Picker ID ]],$Q$3,RawData[Checker ID],$Q$4,RawData[[Error Type ]],$Q$5))</f>
        <v/>
      </c>
    </row>
    <row r="28208" spans="15:15" x14ac:dyDescent="0.25">
      <c r="O28208" s="20" t="str">
        <f>IF(N28208="","",COUNTIFS(RawData[[Date ]],N28208,RawData[Month List],$Q$6,RawData[Tour/Site],$Q$2,RawData[[Picker ID ]],$Q$3,RawData[Checker ID],$Q$4,RawData[[Error Type ]],$Q$5))</f>
        <v/>
      </c>
    </row>
    <row r="28209" spans="15:15" x14ac:dyDescent="0.25">
      <c r="O28209" s="20" t="str">
        <f>IF(N28209="","",COUNTIFS(RawData[[Date ]],N28209,RawData[Month List],$Q$6,RawData[Tour/Site],$Q$2,RawData[[Picker ID ]],$Q$3,RawData[Checker ID],$Q$4,RawData[[Error Type ]],$Q$5))</f>
        <v/>
      </c>
    </row>
    <row r="28210" spans="15:15" x14ac:dyDescent="0.25">
      <c r="O28210" s="20" t="str">
        <f>IF(N28210="","",COUNTIFS(RawData[[Date ]],N28210,RawData[Month List],$Q$6,RawData[Tour/Site],$Q$2,RawData[[Picker ID ]],$Q$3,RawData[Checker ID],$Q$4,RawData[[Error Type ]],$Q$5))</f>
        <v/>
      </c>
    </row>
    <row r="28211" spans="15:15" x14ac:dyDescent="0.25">
      <c r="O28211" s="20" t="str">
        <f>IF(N28211="","",COUNTIFS(RawData[[Date ]],N28211,RawData[Month List],$Q$6,RawData[Tour/Site],$Q$2,RawData[[Picker ID ]],$Q$3,RawData[Checker ID],$Q$4,RawData[[Error Type ]],$Q$5))</f>
        <v/>
      </c>
    </row>
    <row r="28212" spans="15:15" x14ac:dyDescent="0.25">
      <c r="O28212" s="20" t="str">
        <f>IF(N28212="","",COUNTIFS(RawData[[Date ]],N28212,RawData[Month List],$Q$6,RawData[Tour/Site],$Q$2,RawData[[Picker ID ]],$Q$3,RawData[Checker ID],$Q$4,RawData[[Error Type ]],$Q$5))</f>
        <v/>
      </c>
    </row>
    <row r="28213" spans="15:15" x14ac:dyDescent="0.25">
      <c r="O28213" s="20" t="str">
        <f>IF(N28213="","",COUNTIFS(RawData[[Date ]],N28213,RawData[Month List],$Q$6,RawData[Tour/Site],$Q$2,RawData[[Picker ID ]],$Q$3,RawData[Checker ID],$Q$4,RawData[[Error Type ]],$Q$5))</f>
        <v/>
      </c>
    </row>
    <row r="28214" spans="15:15" x14ac:dyDescent="0.25">
      <c r="O28214" s="20" t="str">
        <f>IF(N28214="","",COUNTIFS(RawData[[Date ]],N28214,RawData[Month List],$Q$6,RawData[Tour/Site],$Q$2,RawData[[Picker ID ]],$Q$3,RawData[Checker ID],$Q$4,RawData[[Error Type ]],$Q$5))</f>
        <v/>
      </c>
    </row>
    <row r="28215" spans="15:15" x14ac:dyDescent="0.25">
      <c r="O28215" s="20" t="str">
        <f>IF(N28215="","",COUNTIFS(RawData[[Date ]],N28215,RawData[Month List],$Q$6,RawData[Tour/Site],$Q$2,RawData[[Picker ID ]],$Q$3,RawData[Checker ID],$Q$4,RawData[[Error Type ]],$Q$5))</f>
        <v/>
      </c>
    </row>
    <row r="28216" spans="15:15" x14ac:dyDescent="0.25">
      <c r="O28216" s="20" t="str">
        <f>IF(N28216="","",COUNTIFS(RawData[[Date ]],N28216,RawData[Month List],$Q$6,RawData[Tour/Site],$Q$2,RawData[[Picker ID ]],$Q$3,RawData[Checker ID],$Q$4,RawData[[Error Type ]],$Q$5))</f>
        <v/>
      </c>
    </row>
    <row r="28217" spans="15:15" x14ac:dyDescent="0.25">
      <c r="O28217" s="20" t="str">
        <f>IF(N28217="","",COUNTIFS(RawData[[Date ]],N28217,RawData[Month List],$Q$6,RawData[Tour/Site],$Q$2,RawData[[Picker ID ]],$Q$3,RawData[Checker ID],$Q$4,RawData[[Error Type ]],$Q$5))</f>
        <v/>
      </c>
    </row>
    <row r="28218" spans="15:15" x14ac:dyDescent="0.25">
      <c r="O28218" s="20" t="str">
        <f>IF(N28218="","",COUNTIFS(RawData[[Date ]],N28218,RawData[Month List],$Q$6,RawData[Tour/Site],$Q$2,RawData[[Picker ID ]],$Q$3,RawData[Checker ID],$Q$4,RawData[[Error Type ]],$Q$5))</f>
        <v/>
      </c>
    </row>
    <row r="28219" spans="15:15" x14ac:dyDescent="0.25">
      <c r="O28219" s="20" t="str">
        <f>IF(N28219="","",COUNTIFS(RawData[[Date ]],N28219,RawData[Month List],$Q$6,RawData[Tour/Site],$Q$2,RawData[[Picker ID ]],$Q$3,RawData[Checker ID],$Q$4,RawData[[Error Type ]],$Q$5))</f>
        <v/>
      </c>
    </row>
    <row r="28220" spans="15:15" x14ac:dyDescent="0.25">
      <c r="O28220" s="20" t="str">
        <f>IF(N28220="","",COUNTIFS(RawData[[Date ]],N28220,RawData[Month List],$Q$6,RawData[Tour/Site],$Q$2,RawData[[Picker ID ]],$Q$3,RawData[Checker ID],$Q$4,RawData[[Error Type ]],$Q$5))</f>
        <v/>
      </c>
    </row>
    <row r="28221" spans="15:15" x14ac:dyDescent="0.25">
      <c r="O28221" s="20" t="str">
        <f>IF(N28221="","",COUNTIFS(RawData[[Date ]],N28221,RawData[Month List],$Q$6,RawData[Tour/Site],$Q$2,RawData[[Picker ID ]],$Q$3,RawData[Checker ID],$Q$4,RawData[[Error Type ]],$Q$5))</f>
        <v/>
      </c>
    </row>
    <row r="28222" spans="15:15" x14ac:dyDescent="0.25">
      <c r="O28222" s="20" t="str">
        <f>IF(N28222="","",COUNTIFS(RawData[[Date ]],N28222,RawData[Month List],$Q$6,RawData[Tour/Site],$Q$2,RawData[[Picker ID ]],$Q$3,RawData[Checker ID],$Q$4,RawData[[Error Type ]],$Q$5))</f>
        <v/>
      </c>
    </row>
    <row r="28223" spans="15:15" x14ac:dyDescent="0.25">
      <c r="O28223" s="20" t="str">
        <f>IF(N28223="","",COUNTIFS(RawData[[Date ]],N28223,RawData[Month List],$Q$6,RawData[Tour/Site],$Q$2,RawData[[Picker ID ]],$Q$3,RawData[Checker ID],$Q$4,RawData[[Error Type ]],$Q$5))</f>
        <v/>
      </c>
    </row>
    <row r="28224" spans="15:15" x14ac:dyDescent="0.25">
      <c r="O28224" s="20" t="str">
        <f>IF(N28224="","",COUNTIFS(RawData[[Date ]],N28224,RawData[Month List],$Q$6,RawData[Tour/Site],$Q$2,RawData[[Picker ID ]],$Q$3,RawData[Checker ID],$Q$4,RawData[[Error Type ]],$Q$5))</f>
        <v/>
      </c>
    </row>
    <row r="28225" spans="15:15" x14ac:dyDescent="0.25">
      <c r="O28225" s="20" t="str">
        <f>IF(N28225="","",COUNTIFS(RawData[[Date ]],N28225,RawData[Month List],$Q$6,RawData[Tour/Site],$Q$2,RawData[[Picker ID ]],$Q$3,RawData[Checker ID],$Q$4,RawData[[Error Type ]],$Q$5))</f>
        <v/>
      </c>
    </row>
    <row r="28226" spans="15:15" x14ac:dyDescent="0.25">
      <c r="O28226" s="20" t="str">
        <f>IF(N28226="","",COUNTIFS(RawData[[Date ]],N28226,RawData[Month List],$Q$6,RawData[Tour/Site],$Q$2,RawData[[Picker ID ]],$Q$3,RawData[Checker ID],$Q$4,RawData[[Error Type ]],$Q$5))</f>
        <v/>
      </c>
    </row>
    <row r="28227" spans="15:15" x14ac:dyDescent="0.25">
      <c r="O28227" s="20" t="str">
        <f>IF(N28227="","",COUNTIFS(RawData[[Date ]],N28227,RawData[Month List],$Q$6,RawData[Tour/Site],$Q$2,RawData[[Picker ID ]],$Q$3,RawData[Checker ID],$Q$4,RawData[[Error Type ]],$Q$5))</f>
        <v/>
      </c>
    </row>
    <row r="28228" spans="15:15" x14ac:dyDescent="0.25">
      <c r="O28228" s="20" t="str">
        <f>IF(N28228="","",COUNTIFS(RawData[[Date ]],N28228,RawData[Month List],$Q$6,RawData[Tour/Site],$Q$2,RawData[[Picker ID ]],$Q$3,RawData[Checker ID],$Q$4,RawData[[Error Type ]],$Q$5))</f>
        <v/>
      </c>
    </row>
    <row r="28229" spans="15:15" x14ac:dyDescent="0.25">
      <c r="O28229" s="20" t="str">
        <f>IF(N28229="","",COUNTIFS(RawData[[Date ]],N28229,RawData[Month List],$Q$6,RawData[Tour/Site],$Q$2,RawData[[Picker ID ]],$Q$3,RawData[Checker ID],$Q$4,RawData[[Error Type ]],$Q$5))</f>
        <v/>
      </c>
    </row>
    <row r="28230" spans="15:15" x14ac:dyDescent="0.25">
      <c r="O28230" s="20" t="str">
        <f>IF(N28230="","",COUNTIFS(RawData[[Date ]],N28230,RawData[Month List],$Q$6,RawData[Tour/Site],$Q$2,RawData[[Picker ID ]],$Q$3,RawData[Checker ID],$Q$4,RawData[[Error Type ]],$Q$5))</f>
        <v/>
      </c>
    </row>
    <row r="28231" spans="15:15" x14ac:dyDescent="0.25">
      <c r="O28231" s="20" t="str">
        <f>IF(N28231="","",COUNTIFS(RawData[[Date ]],N28231,RawData[Month List],$Q$6,RawData[Tour/Site],$Q$2,RawData[[Picker ID ]],$Q$3,RawData[Checker ID],$Q$4,RawData[[Error Type ]],$Q$5))</f>
        <v/>
      </c>
    </row>
    <row r="28232" spans="15:15" x14ac:dyDescent="0.25">
      <c r="O28232" s="20" t="str">
        <f>IF(N28232="","",COUNTIFS(RawData[[Date ]],N28232,RawData[Month List],$Q$6,RawData[Tour/Site],$Q$2,RawData[[Picker ID ]],$Q$3,RawData[Checker ID],$Q$4,RawData[[Error Type ]],$Q$5))</f>
        <v/>
      </c>
    </row>
    <row r="28233" spans="15:15" x14ac:dyDescent="0.25">
      <c r="O28233" s="20" t="str">
        <f>IF(N28233="","",COUNTIFS(RawData[[Date ]],N28233,RawData[Month List],$Q$6,RawData[Tour/Site],$Q$2,RawData[[Picker ID ]],$Q$3,RawData[Checker ID],$Q$4,RawData[[Error Type ]],$Q$5))</f>
        <v/>
      </c>
    </row>
    <row r="28234" spans="15:15" x14ac:dyDescent="0.25">
      <c r="O28234" s="20" t="str">
        <f>IF(N28234="","",COUNTIFS(RawData[[Date ]],N28234,RawData[Month List],$Q$6,RawData[Tour/Site],$Q$2,RawData[[Picker ID ]],$Q$3,RawData[Checker ID],$Q$4,RawData[[Error Type ]],$Q$5))</f>
        <v/>
      </c>
    </row>
    <row r="28235" spans="15:15" x14ac:dyDescent="0.25">
      <c r="O28235" s="20" t="str">
        <f>IF(N28235="","",COUNTIFS(RawData[[Date ]],N28235,RawData[Month List],$Q$6,RawData[Tour/Site],$Q$2,RawData[[Picker ID ]],$Q$3,RawData[Checker ID],$Q$4,RawData[[Error Type ]],$Q$5))</f>
        <v/>
      </c>
    </row>
    <row r="28236" spans="15:15" x14ac:dyDescent="0.25">
      <c r="O28236" s="20" t="str">
        <f>IF(N28236="","",COUNTIFS(RawData[[Date ]],N28236,RawData[Month List],$Q$6,RawData[Tour/Site],$Q$2,RawData[[Picker ID ]],$Q$3,RawData[Checker ID],$Q$4,RawData[[Error Type ]],$Q$5))</f>
        <v/>
      </c>
    </row>
    <row r="28237" spans="15:15" x14ac:dyDescent="0.25">
      <c r="O28237" s="20" t="str">
        <f>IF(N28237="","",COUNTIFS(RawData[[Date ]],N28237,RawData[Month List],$Q$6,RawData[Tour/Site],$Q$2,RawData[[Picker ID ]],$Q$3,RawData[Checker ID],$Q$4,RawData[[Error Type ]],$Q$5))</f>
        <v/>
      </c>
    </row>
    <row r="28238" spans="15:15" x14ac:dyDescent="0.25">
      <c r="O28238" s="20" t="str">
        <f>IF(N28238="","",COUNTIFS(RawData[[Date ]],N28238,RawData[Month List],$Q$6,RawData[Tour/Site],$Q$2,RawData[[Picker ID ]],$Q$3,RawData[Checker ID],$Q$4,RawData[[Error Type ]],$Q$5))</f>
        <v/>
      </c>
    </row>
    <row r="28239" spans="15:15" x14ac:dyDescent="0.25">
      <c r="O28239" s="20" t="str">
        <f>IF(N28239="","",COUNTIFS(RawData[[Date ]],N28239,RawData[Month List],$Q$6,RawData[Tour/Site],$Q$2,RawData[[Picker ID ]],$Q$3,RawData[Checker ID],$Q$4,RawData[[Error Type ]],$Q$5))</f>
        <v/>
      </c>
    </row>
    <row r="28240" spans="15:15" x14ac:dyDescent="0.25">
      <c r="O28240" s="20" t="str">
        <f>IF(N28240="","",COUNTIFS(RawData[[Date ]],N28240,RawData[Month List],$Q$6,RawData[Tour/Site],$Q$2,RawData[[Picker ID ]],$Q$3,RawData[Checker ID],$Q$4,RawData[[Error Type ]],$Q$5))</f>
        <v/>
      </c>
    </row>
    <row r="28241" spans="15:15" x14ac:dyDescent="0.25">
      <c r="O28241" s="20" t="str">
        <f>IF(N28241="","",COUNTIFS(RawData[[Date ]],N28241,RawData[Month List],$Q$6,RawData[Tour/Site],$Q$2,RawData[[Picker ID ]],$Q$3,RawData[Checker ID],$Q$4,RawData[[Error Type ]],$Q$5))</f>
        <v/>
      </c>
    </row>
    <row r="28242" spans="15:15" x14ac:dyDescent="0.25">
      <c r="O28242" s="20" t="str">
        <f>IF(N28242="","",COUNTIFS(RawData[[Date ]],N28242,RawData[Month List],$Q$6,RawData[Tour/Site],$Q$2,RawData[[Picker ID ]],$Q$3,RawData[Checker ID],$Q$4,RawData[[Error Type ]],$Q$5))</f>
        <v/>
      </c>
    </row>
    <row r="28243" spans="15:15" x14ac:dyDescent="0.25">
      <c r="O28243" s="20" t="str">
        <f>IF(N28243="","",COUNTIFS(RawData[[Date ]],N28243,RawData[Month List],$Q$6,RawData[Tour/Site],$Q$2,RawData[[Picker ID ]],$Q$3,RawData[Checker ID],$Q$4,RawData[[Error Type ]],$Q$5))</f>
        <v/>
      </c>
    </row>
    <row r="28244" spans="15:15" x14ac:dyDescent="0.25">
      <c r="O28244" s="20" t="str">
        <f>IF(N28244="","",COUNTIFS(RawData[[Date ]],N28244,RawData[Month List],$Q$6,RawData[Tour/Site],$Q$2,RawData[[Picker ID ]],$Q$3,RawData[Checker ID],$Q$4,RawData[[Error Type ]],$Q$5))</f>
        <v/>
      </c>
    </row>
    <row r="28245" spans="15:15" x14ac:dyDescent="0.25">
      <c r="O28245" s="20" t="str">
        <f>IF(N28245="","",COUNTIFS(RawData[[Date ]],N28245,RawData[Month List],$Q$6,RawData[Tour/Site],$Q$2,RawData[[Picker ID ]],$Q$3,RawData[Checker ID],$Q$4,RawData[[Error Type ]],$Q$5))</f>
        <v/>
      </c>
    </row>
    <row r="28246" spans="15:15" x14ac:dyDescent="0.25">
      <c r="O28246" s="20" t="str">
        <f>IF(N28246="","",COUNTIFS(RawData[[Date ]],N28246,RawData[Month List],$Q$6,RawData[Tour/Site],$Q$2,RawData[[Picker ID ]],$Q$3,RawData[Checker ID],$Q$4,RawData[[Error Type ]],$Q$5))</f>
        <v/>
      </c>
    </row>
    <row r="28247" spans="15:15" x14ac:dyDescent="0.25">
      <c r="O28247" s="20" t="str">
        <f>IF(N28247="","",COUNTIFS(RawData[[Date ]],N28247,RawData[Month List],$Q$6,RawData[Tour/Site],$Q$2,RawData[[Picker ID ]],$Q$3,RawData[Checker ID],$Q$4,RawData[[Error Type ]],$Q$5))</f>
        <v/>
      </c>
    </row>
    <row r="28248" spans="15:15" x14ac:dyDescent="0.25">
      <c r="O28248" s="20" t="str">
        <f>IF(N28248="","",COUNTIFS(RawData[[Date ]],N28248,RawData[Month List],$Q$6,RawData[Tour/Site],$Q$2,RawData[[Picker ID ]],$Q$3,RawData[Checker ID],$Q$4,RawData[[Error Type ]],$Q$5))</f>
        <v/>
      </c>
    </row>
    <row r="28249" spans="15:15" x14ac:dyDescent="0.25">
      <c r="O28249" s="20" t="str">
        <f>IF(N28249="","",COUNTIFS(RawData[[Date ]],N28249,RawData[Month List],$Q$6,RawData[Tour/Site],$Q$2,RawData[[Picker ID ]],$Q$3,RawData[Checker ID],$Q$4,RawData[[Error Type ]],$Q$5))</f>
        <v/>
      </c>
    </row>
    <row r="28250" spans="15:15" x14ac:dyDescent="0.25">
      <c r="O28250" s="20" t="str">
        <f>IF(N28250="","",COUNTIFS(RawData[[Date ]],N28250,RawData[Month List],$Q$6,RawData[Tour/Site],$Q$2,RawData[[Picker ID ]],$Q$3,RawData[Checker ID],$Q$4,RawData[[Error Type ]],$Q$5))</f>
        <v/>
      </c>
    </row>
    <row r="28251" spans="15:15" x14ac:dyDescent="0.25">
      <c r="O28251" s="20" t="str">
        <f>IF(N28251="","",COUNTIFS(RawData[[Date ]],N28251,RawData[Month List],$Q$6,RawData[Tour/Site],$Q$2,RawData[[Picker ID ]],$Q$3,RawData[Checker ID],$Q$4,RawData[[Error Type ]],$Q$5))</f>
        <v/>
      </c>
    </row>
    <row r="28252" spans="15:15" x14ac:dyDescent="0.25">
      <c r="O28252" s="20" t="str">
        <f>IF(N28252="","",COUNTIFS(RawData[[Date ]],N28252,RawData[Month List],$Q$6,RawData[Tour/Site],$Q$2,RawData[[Picker ID ]],$Q$3,RawData[Checker ID],$Q$4,RawData[[Error Type ]],$Q$5))</f>
        <v/>
      </c>
    </row>
    <row r="28253" spans="15:15" x14ac:dyDescent="0.25">
      <c r="O28253" s="20" t="str">
        <f>IF(N28253="","",COUNTIFS(RawData[[Date ]],N28253,RawData[Month List],$Q$6,RawData[Tour/Site],$Q$2,RawData[[Picker ID ]],$Q$3,RawData[Checker ID],$Q$4,RawData[[Error Type ]],$Q$5))</f>
        <v/>
      </c>
    </row>
    <row r="28254" spans="15:15" x14ac:dyDescent="0.25">
      <c r="O28254" s="20" t="str">
        <f>IF(N28254="","",COUNTIFS(RawData[[Date ]],N28254,RawData[Month List],$Q$6,RawData[Tour/Site],$Q$2,RawData[[Picker ID ]],$Q$3,RawData[Checker ID],$Q$4,RawData[[Error Type ]],$Q$5))</f>
        <v/>
      </c>
    </row>
    <row r="28255" spans="15:15" x14ac:dyDescent="0.25">
      <c r="O28255" s="20" t="str">
        <f>IF(N28255="","",COUNTIFS(RawData[[Date ]],N28255,RawData[Month List],$Q$6,RawData[Tour/Site],$Q$2,RawData[[Picker ID ]],$Q$3,RawData[Checker ID],$Q$4,RawData[[Error Type ]],$Q$5))</f>
        <v/>
      </c>
    </row>
    <row r="28256" spans="15:15" x14ac:dyDescent="0.25">
      <c r="O28256" s="20" t="str">
        <f>IF(N28256="","",COUNTIFS(RawData[[Date ]],N28256,RawData[Month List],$Q$6,RawData[Tour/Site],$Q$2,RawData[[Picker ID ]],$Q$3,RawData[Checker ID],$Q$4,RawData[[Error Type ]],$Q$5))</f>
        <v/>
      </c>
    </row>
    <row r="28257" spans="15:15" x14ac:dyDescent="0.25">
      <c r="O28257" s="20" t="str">
        <f>IF(N28257="","",COUNTIFS(RawData[[Date ]],N28257,RawData[Month List],$Q$6,RawData[Tour/Site],$Q$2,RawData[[Picker ID ]],$Q$3,RawData[Checker ID],$Q$4,RawData[[Error Type ]],$Q$5))</f>
        <v/>
      </c>
    </row>
    <row r="28258" spans="15:15" x14ac:dyDescent="0.25">
      <c r="O28258" s="20" t="str">
        <f>IF(N28258="","",COUNTIFS(RawData[[Date ]],N28258,RawData[Month List],$Q$6,RawData[Tour/Site],$Q$2,RawData[[Picker ID ]],$Q$3,RawData[Checker ID],$Q$4,RawData[[Error Type ]],$Q$5))</f>
        <v/>
      </c>
    </row>
    <row r="28259" spans="15:15" x14ac:dyDescent="0.25">
      <c r="O28259" s="20" t="str">
        <f>IF(N28259="","",COUNTIFS(RawData[[Date ]],N28259,RawData[Month List],$Q$6,RawData[Tour/Site],$Q$2,RawData[[Picker ID ]],$Q$3,RawData[Checker ID],$Q$4,RawData[[Error Type ]],$Q$5))</f>
        <v/>
      </c>
    </row>
    <row r="28260" spans="15:15" x14ac:dyDescent="0.25">
      <c r="O28260" s="20" t="str">
        <f>IF(N28260="","",COUNTIFS(RawData[[Date ]],N28260,RawData[Month List],$Q$6,RawData[Tour/Site],$Q$2,RawData[[Picker ID ]],$Q$3,RawData[Checker ID],$Q$4,RawData[[Error Type ]],$Q$5))</f>
        <v/>
      </c>
    </row>
    <row r="28261" spans="15:15" x14ac:dyDescent="0.25">
      <c r="O28261" s="20" t="str">
        <f>IF(N28261="","",COUNTIFS(RawData[[Date ]],N28261,RawData[Month List],$Q$6,RawData[Tour/Site],$Q$2,RawData[[Picker ID ]],$Q$3,RawData[Checker ID],$Q$4,RawData[[Error Type ]],$Q$5))</f>
        <v/>
      </c>
    </row>
    <row r="28262" spans="15:15" x14ac:dyDescent="0.25">
      <c r="O28262" s="20" t="str">
        <f>IF(N28262="","",COUNTIFS(RawData[[Date ]],N28262,RawData[Month List],$Q$6,RawData[Tour/Site],$Q$2,RawData[[Picker ID ]],$Q$3,RawData[Checker ID],$Q$4,RawData[[Error Type ]],$Q$5))</f>
        <v/>
      </c>
    </row>
    <row r="28263" spans="15:15" x14ac:dyDescent="0.25">
      <c r="O28263" s="20" t="str">
        <f>IF(N28263="","",COUNTIFS(RawData[[Date ]],N28263,RawData[Month List],$Q$6,RawData[Tour/Site],$Q$2,RawData[[Picker ID ]],$Q$3,RawData[Checker ID],$Q$4,RawData[[Error Type ]],$Q$5))</f>
        <v/>
      </c>
    </row>
    <row r="28264" spans="15:15" x14ac:dyDescent="0.25">
      <c r="O28264" s="20" t="str">
        <f>IF(N28264="","",COUNTIFS(RawData[[Date ]],N28264,RawData[Month List],$Q$6,RawData[Tour/Site],$Q$2,RawData[[Picker ID ]],$Q$3,RawData[Checker ID],$Q$4,RawData[[Error Type ]],$Q$5))</f>
        <v/>
      </c>
    </row>
    <row r="28265" spans="15:15" x14ac:dyDescent="0.25">
      <c r="O28265" s="20" t="str">
        <f>IF(N28265="","",COUNTIFS(RawData[[Date ]],N28265,RawData[Month List],$Q$6,RawData[Tour/Site],$Q$2,RawData[[Picker ID ]],$Q$3,RawData[Checker ID],$Q$4,RawData[[Error Type ]],$Q$5))</f>
        <v/>
      </c>
    </row>
    <row r="28266" spans="15:15" x14ac:dyDescent="0.25">
      <c r="O28266" s="20" t="str">
        <f>IF(N28266="","",COUNTIFS(RawData[[Date ]],N28266,RawData[Month List],$Q$6,RawData[Tour/Site],$Q$2,RawData[[Picker ID ]],$Q$3,RawData[Checker ID],$Q$4,RawData[[Error Type ]],$Q$5))</f>
        <v/>
      </c>
    </row>
    <row r="28267" spans="15:15" x14ac:dyDescent="0.25">
      <c r="O28267" s="20" t="str">
        <f>IF(N28267="","",COUNTIFS(RawData[[Date ]],N28267,RawData[Month List],$Q$6,RawData[Tour/Site],$Q$2,RawData[[Picker ID ]],$Q$3,RawData[Checker ID],$Q$4,RawData[[Error Type ]],$Q$5))</f>
        <v/>
      </c>
    </row>
    <row r="28268" spans="15:15" x14ac:dyDescent="0.25">
      <c r="O28268" s="20" t="str">
        <f>IF(N28268="","",COUNTIFS(RawData[[Date ]],N28268,RawData[Month List],$Q$6,RawData[Tour/Site],$Q$2,RawData[[Picker ID ]],$Q$3,RawData[Checker ID],$Q$4,RawData[[Error Type ]],$Q$5))</f>
        <v/>
      </c>
    </row>
    <row r="28269" spans="15:15" x14ac:dyDescent="0.25">
      <c r="O28269" s="20" t="str">
        <f>IF(N28269="","",COUNTIFS(RawData[[Date ]],N28269,RawData[Month List],$Q$6,RawData[Tour/Site],$Q$2,RawData[[Picker ID ]],$Q$3,RawData[Checker ID],$Q$4,RawData[[Error Type ]],$Q$5))</f>
        <v/>
      </c>
    </row>
    <row r="28270" spans="15:15" x14ac:dyDescent="0.25">
      <c r="O28270" s="20" t="str">
        <f>IF(N28270="","",COUNTIFS(RawData[[Date ]],N28270,RawData[Month List],$Q$6,RawData[Tour/Site],$Q$2,RawData[[Picker ID ]],$Q$3,RawData[Checker ID],$Q$4,RawData[[Error Type ]],$Q$5))</f>
        <v/>
      </c>
    </row>
    <row r="28271" spans="15:15" x14ac:dyDescent="0.25">
      <c r="O28271" s="20" t="str">
        <f>IF(N28271="","",COUNTIFS(RawData[[Date ]],N28271,RawData[Month List],$Q$6,RawData[Tour/Site],$Q$2,RawData[[Picker ID ]],$Q$3,RawData[Checker ID],$Q$4,RawData[[Error Type ]],$Q$5))</f>
        <v/>
      </c>
    </row>
    <row r="28272" spans="15:15" x14ac:dyDescent="0.25">
      <c r="O28272" s="20" t="str">
        <f>IF(N28272="","",COUNTIFS(RawData[[Date ]],N28272,RawData[Month List],$Q$6,RawData[Tour/Site],$Q$2,RawData[[Picker ID ]],$Q$3,RawData[Checker ID],$Q$4,RawData[[Error Type ]],$Q$5))</f>
        <v/>
      </c>
    </row>
    <row r="28273" spans="15:15" x14ac:dyDescent="0.25">
      <c r="O28273" s="20" t="str">
        <f>IF(N28273="","",COUNTIFS(RawData[[Date ]],N28273,RawData[Month List],$Q$6,RawData[Tour/Site],$Q$2,RawData[[Picker ID ]],$Q$3,RawData[Checker ID],$Q$4,RawData[[Error Type ]],$Q$5))</f>
        <v/>
      </c>
    </row>
    <row r="28274" spans="15:15" x14ac:dyDescent="0.25">
      <c r="O28274" s="20" t="str">
        <f>IF(N28274="","",COUNTIFS(RawData[[Date ]],N28274,RawData[Month List],$Q$6,RawData[Tour/Site],$Q$2,RawData[[Picker ID ]],$Q$3,RawData[Checker ID],$Q$4,RawData[[Error Type ]],$Q$5))</f>
        <v/>
      </c>
    </row>
    <row r="28275" spans="15:15" x14ac:dyDescent="0.25">
      <c r="O28275" s="20" t="str">
        <f>IF(N28275="","",COUNTIFS(RawData[[Date ]],N28275,RawData[Month List],$Q$6,RawData[Tour/Site],$Q$2,RawData[[Picker ID ]],$Q$3,RawData[Checker ID],$Q$4,RawData[[Error Type ]],$Q$5))</f>
        <v/>
      </c>
    </row>
    <row r="28276" spans="15:15" x14ac:dyDescent="0.25">
      <c r="O28276" s="20" t="str">
        <f>IF(N28276="","",COUNTIFS(RawData[[Date ]],N28276,RawData[Month List],$Q$6,RawData[Tour/Site],$Q$2,RawData[[Picker ID ]],$Q$3,RawData[Checker ID],$Q$4,RawData[[Error Type ]],$Q$5))</f>
        <v/>
      </c>
    </row>
    <row r="28277" spans="15:15" x14ac:dyDescent="0.25">
      <c r="O28277" s="20" t="str">
        <f>IF(N28277="","",COUNTIFS(RawData[[Date ]],N28277,RawData[Month List],$Q$6,RawData[Tour/Site],$Q$2,RawData[[Picker ID ]],$Q$3,RawData[Checker ID],$Q$4,RawData[[Error Type ]],$Q$5))</f>
        <v/>
      </c>
    </row>
    <row r="28278" spans="15:15" x14ac:dyDescent="0.25">
      <c r="O28278" s="20" t="str">
        <f>IF(N28278="","",COUNTIFS(RawData[[Date ]],N28278,RawData[Month List],$Q$6,RawData[Tour/Site],$Q$2,RawData[[Picker ID ]],$Q$3,RawData[Checker ID],$Q$4,RawData[[Error Type ]],$Q$5))</f>
        <v/>
      </c>
    </row>
    <row r="28279" spans="15:15" x14ac:dyDescent="0.25">
      <c r="O28279" s="20" t="str">
        <f>IF(N28279="","",COUNTIFS(RawData[[Date ]],N28279,RawData[Month List],$Q$6,RawData[Tour/Site],$Q$2,RawData[[Picker ID ]],$Q$3,RawData[Checker ID],$Q$4,RawData[[Error Type ]],$Q$5))</f>
        <v/>
      </c>
    </row>
    <row r="28280" spans="15:15" x14ac:dyDescent="0.25">
      <c r="O28280" s="20" t="str">
        <f>IF(N28280="","",COUNTIFS(RawData[[Date ]],N28280,RawData[Month List],$Q$6,RawData[Tour/Site],$Q$2,RawData[[Picker ID ]],$Q$3,RawData[Checker ID],$Q$4,RawData[[Error Type ]],$Q$5))</f>
        <v/>
      </c>
    </row>
    <row r="28281" spans="15:15" x14ac:dyDescent="0.25">
      <c r="O28281" s="20" t="str">
        <f>IF(N28281="","",COUNTIFS(RawData[[Date ]],N28281,RawData[Month List],$Q$6,RawData[Tour/Site],$Q$2,RawData[[Picker ID ]],$Q$3,RawData[Checker ID],$Q$4,RawData[[Error Type ]],$Q$5))</f>
        <v/>
      </c>
    </row>
    <row r="28282" spans="15:15" x14ac:dyDescent="0.25">
      <c r="O28282" s="20" t="str">
        <f>IF(N28282="","",COUNTIFS(RawData[[Date ]],N28282,RawData[Month List],$Q$6,RawData[Tour/Site],$Q$2,RawData[[Picker ID ]],$Q$3,RawData[Checker ID],$Q$4,RawData[[Error Type ]],$Q$5))</f>
        <v/>
      </c>
    </row>
    <row r="28283" spans="15:15" x14ac:dyDescent="0.25">
      <c r="O28283" s="20" t="str">
        <f>IF(N28283="","",COUNTIFS(RawData[[Date ]],N28283,RawData[Month List],$Q$6,RawData[Tour/Site],$Q$2,RawData[[Picker ID ]],$Q$3,RawData[Checker ID],$Q$4,RawData[[Error Type ]],$Q$5))</f>
        <v/>
      </c>
    </row>
    <row r="28284" spans="15:15" x14ac:dyDescent="0.25">
      <c r="O28284" s="20" t="str">
        <f>IF(N28284="","",COUNTIFS(RawData[[Date ]],N28284,RawData[Month List],$Q$6,RawData[Tour/Site],$Q$2,RawData[[Picker ID ]],$Q$3,RawData[Checker ID],$Q$4,RawData[[Error Type ]],$Q$5))</f>
        <v/>
      </c>
    </row>
    <row r="28285" spans="15:15" x14ac:dyDescent="0.25">
      <c r="O28285" s="20" t="str">
        <f>IF(N28285="","",COUNTIFS(RawData[[Date ]],N28285,RawData[Month List],$Q$6,RawData[Tour/Site],$Q$2,RawData[[Picker ID ]],$Q$3,RawData[Checker ID],$Q$4,RawData[[Error Type ]],$Q$5))</f>
        <v/>
      </c>
    </row>
    <row r="28286" spans="15:15" x14ac:dyDescent="0.25">
      <c r="O28286" s="20" t="str">
        <f>IF(N28286="","",COUNTIFS(RawData[[Date ]],N28286,RawData[Month List],$Q$6,RawData[Tour/Site],$Q$2,RawData[[Picker ID ]],$Q$3,RawData[Checker ID],$Q$4,RawData[[Error Type ]],$Q$5))</f>
        <v/>
      </c>
    </row>
    <row r="28287" spans="15:15" x14ac:dyDescent="0.25">
      <c r="O28287" s="20" t="str">
        <f>IF(N28287="","",COUNTIFS(RawData[[Date ]],N28287,RawData[Month List],$Q$6,RawData[Tour/Site],$Q$2,RawData[[Picker ID ]],$Q$3,RawData[Checker ID],$Q$4,RawData[[Error Type ]],$Q$5))</f>
        <v/>
      </c>
    </row>
    <row r="28288" spans="15:15" x14ac:dyDescent="0.25">
      <c r="O28288" s="20" t="str">
        <f>IF(N28288="","",COUNTIFS(RawData[[Date ]],N28288,RawData[Month List],$Q$6,RawData[Tour/Site],$Q$2,RawData[[Picker ID ]],$Q$3,RawData[Checker ID],$Q$4,RawData[[Error Type ]],$Q$5))</f>
        <v/>
      </c>
    </row>
    <row r="28289" spans="15:15" x14ac:dyDescent="0.25">
      <c r="O28289" s="20" t="str">
        <f>IF(N28289="","",COUNTIFS(RawData[[Date ]],N28289,RawData[Month List],$Q$6,RawData[Tour/Site],$Q$2,RawData[[Picker ID ]],$Q$3,RawData[Checker ID],$Q$4,RawData[[Error Type ]],$Q$5))</f>
        <v/>
      </c>
    </row>
    <row r="28290" spans="15:15" x14ac:dyDescent="0.25">
      <c r="O28290" s="20" t="str">
        <f>IF(N28290="","",COUNTIFS(RawData[[Date ]],N28290,RawData[Month List],$Q$6,RawData[Tour/Site],$Q$2,RawData[[Picker ID ]],$Q$3,RawData[Checker ID],$Q$4,RawData[[Error Type ]],$Q$5))</f>
        <v/>
      </c>
    </row>
    <row r="28291" spans="15:15" x14ac:dyDescent="0.25">
      <c r="O28291" s="20" t="str">
        <f>IF(N28291="","",COUNTIFS(RawData[[Date ]],N28291,RawData[Month List],$Q$6,RawData[Tour/Site],$Q$2,RawData[[Picker ID ]],$Q$3,RawData[Checker ID],$Q$4,RawData[[Error Type ]],$Q$5))</f>
        <v/>
      </c>
    </row>
    <row r="28292" spans="15:15" x14ac:dyDescent="0.25">
      <c r="O28292" s="20" t="str">
        <f>IF(N28292="","",COUNTIFS(RawData[[Date ]],N28292,RawData[Month List],$Q$6,RawData[Tour/Site],$Q$2,RawData[[Picker ID ]],$Q$3,RawData[Checker ID],$Q$4,RawData[[Error Type ]],$Q$5))</f>
        <v/>
      </c>
    </row>
    <row r="28293" spans="15:15" x14ac:dyDescent="0.25">
      <c r="O28293" s="20" t="str">
        <f>IF(N28293="","",COUNTIFS(RawData[[Date ]],N28293,RawData[Month List],$Q$6,RawData[Tour/Site],$Q$2,RawData[[Picker ID ]],$Q$3,RawData[Checker ID],$Q$4,RawData[[Error Type ]],$Q$5))</f>
        <v/>
      </c>
    </row>
    <row r="28294" spans="15:15" x14ac:dyDescent="0.25">
      <c r="O28294" s="20" t="str">
        <f>IF(N28294="","",COUNTIFS(RawData[[Date ]],N28294,RawData[Month List],$Q$6,RawData[Tour/Site],$Q$2,RawData[[Picker ID ]],$Q$3,RawData[Checker ID],$Q$4,RawData[[Error Type ]],$Q$5))</f>
        <v/>
      </c>
    </row>
    <row r="28295" spans="15:15" x14ac:dyDescent="0.25">
      <c r="O28295" s="20" t="str">
        <f>IF(N28295="","",COUNTIFS(RawData[[Date ]],N28295,RawData[Month List],$Q$6,RawData[Tour/Site],$Q$2,RawData[[Picker ID ]],$Q$3,RawData[Checker ID],$Q$4,RawData[[Error Type ]],$Q$5))</f>
        <v/>
      </c>
    </row>
    <row r="28296" spans="15:15" x14ac:dyDescent="0.25">
      <c r="O28296" s="20" t="str">
        <f>IF(N28296="","",COUNTIFS(RawData[[Date ]],N28296,RawData[Month List],$Q$6,RawData[Tour/Site],$Q$2,RawData[[Picker ID ]],$Q$3,RawData[Checker ID],$Q$4,RawData[[Error Type ]],$Q$5))</f>
        <v/>
      </c>
    </row>
    <row r="28297" spans="15:15" x14ac:dyDescent="0.25">
      <c r="O28297" s="20" t="str">
        <f>IF(N28297="","",COUNTIFS(RawData[[Date ]],N28297,RawData[Month List],$Q$6,RawData[Tour/Site],$Q$2,RawData[[Picker ID ]],$Q$3,RawData[Checker ID],$Q$4,RawData[[Error Type ]],$Q$5))</f>
        <v/>
      </c>
    </row>
    <row r="28298" spans="15:15" x14ac:dyDescent="0.25">
      <c r="O28298" s="20" t="str">
        <f>IF(N28298="","",COUNTIFS(RawData[[Date ]],N28298,RawData[Month List],$Q$6,RawData[Tour/Site],$Q$2,RawData[[Picker ID ]],$Q$3,RawData[Checker ID],$Q$4,RawData[[Error Type ]],$Q$5))</f>
        <v/>
      </c>
    </row>
    <row r="28299" spans="15:15" x14ac:dyDescent="0.25">
      <c r="O28299" s="20" t="str">
        <f>IF(N28299="","",COUNTIFS(RawData[[Date ]],N28299,RawData[Month List],$Q$6,RawData[Tour/Site],$Q$2,RawData[[Picker ID ]],$Q$3,RawData[Checker ID],$Q$4,RawData[[Error Type ]],$Q$5))</f>
        <v/>
      </c>
    </row>
    <row r="28300" spans="15:15" x14ac:dyDescent="0.25">
      <c r="O28300" s="20" t="str">
        <f>IF(N28300="","",COUNTIFS(RawData[[Date ]],N28300,RawData[Month List],$Q$6,RawData[Tour/Site],$Q$2,RawData[[Picker ID ]],$Q$3,RawData[Checker ID],$Q$4,RawData[[Error Type ]],$Q$5))</f>
        <v/>
      </c>
    </row>
    <row r="28301" spans="15:15" x14ac:dyDescent="0.25">
      <c r="O28301" s="20" t="str">
        <f>IF(N28301="","",COUNTIFS(RawData[[Date ]],N28301,RawData[Month List],$Q$6,RawData[Tour/Site],$Q$2,RawData[[Picker ID ]],$Q$3,RawData[Checker ID],$Q$4,RawData[[Error Type ]],$Q$5))</f>
        <v/>
      </c>
    </row>
    <row r="28302" spans="15:15" x14ac:dyDescent="0.25">
      <c r="O28302" s="20" t="str">
        <f>IF(N28302="","",COUNTIFS(RawData[[Date ]],N28302,RawData[Month List],$Q$6,RawData[Tour/Site],$Q$2,RawData[[Picker ID ]],$Q$3,RawData[Checker ID],$Q$4,RawData[[Error Type ]],$Q$5))</f>
        <v/>
      </c>
    </row>
    <row r="28303" spans="15:15" x14ac:dyDescent="0.25">
      <c r="O28303" s="20" t="str">
        <f>IF(N28303="","",COUNTIFS(RawData[[Date ]],N28303,RawData[Month List],$Q$6,RawData[Tour/Site],$Q$2,RawData[[Picker ID ]],$Q$3,RawData[Checker ID],$Q$4,RawData[[Error Type ]],$Q$5))</f>
        <v/>
      </c>
    </row>
    <row r="28304" spans="15:15" x14ac:dyDescent="0.25">
      <c r="O28304" s="20" t="str">
        <f>IF(N28304="","",COUNTIFS(RawData[[Date ]],N28304,RawData[Month List],$Q$6,RawData[Tour/Site],$Q$2,RawData[[Picker ID ]],$Q$3,RawData[Checker ID],$Q$4,RawData[[Error Type ]],$Q$5))</f>
        <v/>
      </c>
    </row>
    <row r="28305" spans="15:15" x14ac:dyDescent="0.25">
      <c r="O28305" s="20" t="str">
        <f>IF(N28305="","",COUNTIFS(RawData[[Date ]],N28305,RawData[Month List],$Q$6,RawData[Tour/Site],$Q$2,RawData[[Picker ID ]],$Q$3,RawData[Checker ID],$Q$4,RawData[[Error Type ]],$Q$5))</f>
        <v/>
      </c>
    </row>
    <row r="28306" spans="15:15" x14ac:dyDescent="0.25">
      <c r="O28306" s="20" t="str">
        <f>IF(N28306="","",COUNTIFS(RawData[[Date ]],N28306,RawData[Month List],$Q$6,RawData[Tour/Site],$Q$2,RawData[[Picker ID ]],$Q$3,RawData[Checker ID],$Q$4,RawData[[Error Type ]],$Q$5))</f>
        <v/>
      </c>
    </row>
    <row r="28307" spans="15:15" x14ac:dyDescent="0.25">
      <c r="O28307" s="20" t="str">
        <f>IF(N28307="","",COUNTIFS(RawData[[Date ]],N28307,RawData[Month List],$Q$6,RawData[Tour/Site],$Q$2,RawData[[Picker ID ]],$Q$3,RawData[Checker ID],$Q$4,RawData[[Error Type ]],$Q$5))</f>
        <v/>
      </c>
    </row>
    <row r="28308" spans="15:15" x14ac:dyDescent="0.25">
      <c r="O28308" s="20" t="str">
        <f>IF(N28308="","",COUNTIFS(RawData[[Date ]],N28308,RawData[Month List],$Q$6,RawData[Tour/Site],$Q$2,RawData[[Picker ID ]],$Q$3,RawData[Checker ID],$Q$4,RawData[[Error Type ]],$Q$5))</f>
        <v/>
      </c>
    </row>
    <row r="28309" spans="15:15" x14ac:dyDescent="0.25">
      <c r="O28309" s="20" t="str">
        <f>IF(N28309="","",COUNTIFS(RawData[[Date ]],N28309,RawData[Month List],$Q$6,RawData[Tour/Site],$Q$2,RawData[[Picker ID ]],$Q$3,RawData[Checker ID],$Q$4,RawData[[Error Type ]],$Q$5))</f>
        <v/>
      </c>
    </row>
    <row r="28310" spans="15:15" x14ac:dyDescent="0.25">
      <c r="O28310" s="20" t="str">
        <f>IF(N28310="","",COUNTIFS(RawData[[Date ]],N28310,RawData[Month List],$Q$6,RawData[Tour/Site],$Q$2,RawData[[Picker ID ]],$Q$3,RawData[Checker ID],$Q$4,RawData[[Error Type ]],$Q$5))</f>
        <v/>
      </c>
    </row>
    <row r="28311" spans="15:15" x14ac:dyDescent="0.25">
      <c r="O28311" s="20" t="str">
        <f>IF(N28311="","",COUNTIFS(RawData[[Date ]],N28311,RawData[Month List],$Q$6,RawData[Tour/Site],$Q$2,RawData[[Picker ID ]],$Q$3,RawData[Checker ID],$Q$4,RawData[[Error Type ]],$Q$5))</f>
        <v/>
      </c>
    </row>
    <row r="28312" spans="15:15" x14ac:dyDescent="0.25">
      <c r="O28312" s="20" t="str">
        <f>IF(N28312="","",COUNTIFS(RawData[[Date ]],N28312,RawData[Month List],$Q$6,RawData[Tour/Site],$Q$2,RawData[[Picker ID ]],$Q$3,RawData[Checker ID],$Q$4,RawData[[Error Type ]],$Q$5))</f>
        <v/>
      </c>
    </row>
    <row r="28313" spans="15:15" x14ac:dyDescent="0.25">
      <c r="O28313" s="20" t="str">
        <f>IF(N28313="","",COUNTIFS(RawData[[Date ]],N28313,RawData[Month List],$Q$6,RawData[Tour/Site],$Q$2,RawData[[Picker ID ]],$Q$3,RawData[Checker ID],$Q$4,RawData[[Error Type ]],$Q$5))</f>
        <v/>
      </c>
    </row>
    <row r="28314" spans="15:15" x14ac:dyDescent="0.25">
      <c r="O28314" s="20" t="str">
        <f>IF(N28314="","",COUNTIFS(RawData[[Date ]],N28314,RawData[Month List],$Q$6,RawData[Tour/Site],$Q$2,RawData[[Picker ID ]],$Q$3,RawData[Checker ID],$Q$4,RawData[[Error Type ]],$Q$5))</f>
        <v/>
      </c>
    </row>
    <row r="28315" spans="15:15" x14ac:dyDescent="0.25">
      <c r="O28315" s="20" t="str">
        <f>IF(N28315="","",COUNTIFS(RawData[[Date ]],N28315,RawData[Month List],$Q$6,RawData[Tour/Site],$Q$2,RawData[[Picker ID ]],$Q$3,RawData[Checker ID],$Q$4,RawData[[Error Type ]],$Q$5))</f>
        <v/>
      </c>
    </row>
    <row r="28316" spans="15:15" x14ac:dyDescent="0.25">
      <c r="O28316" s="20" t="str">
        <f>IF(N28316="","",COUNTIFS(RawData[[Date ]],N28316,RawData[Month List],$Q$6,RawData[Tour/Site],$Q$2,RawData[[Picker ID ]],$Q$3,RawData[Checker ID],$Q$4,RawData[[Error Type ]],$Q$5))</f>
        <v/>
      </c>
    </row>
    <row r="28317" spans="15:15" x14ac:dyDescent="0.25">
      <c r="O28317" s="20" t="str">
        <f>IF(N28317="","",COUNTIFS(RawData[[Date ]],N28317,RawData[Month List],$Q$6,RawData[Tour/Site],$Q$2,RawData[[Picker ID ]],$Q$3,RawData[Checker ID],$Q$4,RawData[[Error Type ]],$Q$5))</f>
        <v/>
      </c>
    </row>
    <row r="28318" spans="15:15" x14ac:dyDescent="0.25">
      <c r="O28318" s="20" t="str">
        <f>IF(N28318="","",COUNTIFS(RawData[[Date ]],N28318,RawData[Month List],$Q$6,RawData[Tour/Site],$Q$2,RawData[[Picker ID ]],$Q$3,RawData[Checker ID],$Q$4,RawData[[Error Type ]],$Q$5))</f>
        <v/>
      </c>
    </row>
    <row r="28319" spans="15:15" x14ac:dyDescent="0.25">
      <c r="O28319" s="20" t="str">
        <f>IF(N28319="","",COUNTIFS(RawData[[Date ]],N28319,RawData[Month List],$Q$6,RawData[Tour/Site],$Q$2,RawData[[Picker ID ]],$Q$3,RawData[Checker ID],$Q$4,RawData[[Error Type ]],$Q$5))</f>
        <v/>
      </c>
    </row>
    <row r="28320" spans="15:15" x14ac:dyDescent="0.25">
      <c r="O28320" s="20" t="str">
        <f>IF(N28320="","",COUNTIFS(RawData[[Date ]],N28320,RawData[Month List],$Q$6,RawData[Tour/Site],$Q$2,RawData[[Picker ID ]],$Q$3,RawData[Checker ID],$Q$4,RawData[[Error Type ]],$Q$5))</f>
        <v/>
      </c>
    </row>
    <row r="28321" spans="15:15" x14ac:dyDescent="0.25">
      <c r="O28321" s="20" t="str">
        <f>IF(N28321="","",COUNTIFS(RawData[[Date ]],N28321,RawData[Month List],$Q$6,RawData[Tour/Site],$Q$2,RawData[[Picker ID ]],$Q$3,RawData[Checker ID],$Q$4,RawData[[Error Type ]],$Q$5))</f>
        <v/>
      </c>
    </row>
    <row r="28322" spans="15:15" x14ac:dyDescent="0.25">
      <c r="O28322" s="20" t="str">
        <f>IF(N28322="","",COUNTIFS(RawData[[Date ]],N28322,RawData[Month List],$Q$6,RawData[Tour/Site],$Q$2,RawData[[Picker ID ]],$Q$3,RawData[Checker ID],$Q$4,RawData[[Error Type ]],$Q$5))</f>
        <v/>
      </c>
    </row>
    <row r="28323" spans="15:15" x14ac:dyDescent="0.25">
      <c r="O28323" s="20" t="str">
        <f>IF(N28323="","",COUNTIFS(RawData[[Date ]],N28323,RawData[Month List],$Q$6,RawData[Tour/Site],$Q$2,RawData[[Picker ID ]],$Q$3,RawData[Checker ID],$Q$4,RawData[[Error Type ]],$Q$5))</f>
        <v/>
      </c>
    </row>
    <row r="28324" spans="15:15" x14ac:dyDescent="0.25">
      <c r="O28324" s="20" t="str">
        <f>IF(N28324="","",COUNTIFS(RawData[[Date ]],N28324,RawData[Month List],$Q$6,RawData[Tour/Site],$Q$2,RawData[[Picker ID ]],$Q$3,RawData[Checker ID],$Q$4,RawData[[Error Type ]],$Q$5))</f>
        <v/>
      </c>
    </row>
    <row r="28325" spans="15:15" x14ac:dyDescent="0.25">
      <c r="O28325" s="20" t="str">
        <f>IF(N28325="","",COUNTIFS(RawData[[Date ]],N28325,RawData[Month List],$Q$6,RawData[Tour/Site],$Q$2,RawData[[Picker ID ]],$Q$3,RawData[Checker ID],$Q$4,RawData[[Error Type ]],$Q$5))</f>
        <v/>
      </c>
    </row>
    <row r="28326" spans="15:15" x14ac:dyDescent="0.25">
      <c r="O28326" s="20" t="str">
        <f>IF(N28326="","",COUNTIFS(RawData[[Date ]],N28326,RawData[Month List],$Q$6,RawData[Tour/Site],$Q$2,RawData[[Picker ID ]],$Q$3,RawData[Checker ID],$Q$4,RawData[[Error Type ]],$Q$5))</f>
        <v/>
      </c>
    </row>
    <row r="28327" spans="15:15" x14ac:dyDescent="0.25">
      <c r="O28327" s="20" t="str">
        <f>IF(N28327="","",COUNTIFS(RawData[[Date ]],N28327,RawData[Month List],$Q$6,RawData[Tour/Site],$Q$2,RawData[[Picker ID ]],$Q$3,RawData[Checker ID],$Q$4,RawData[[Error Type ]],$Q$5))</f>
        <v/>
      </c>
    </row>
    <row r="28328" spans="15:15" x14ac:dyDescent="0.25">
      <c r="O28328" s="20" t="str">
        <f>IF(N28328="","",COUNTIFS(RawData[[Date ]],N28328,RawData[Month List],$Q$6,RawData[Tour/Site],$Q$2,RawData[[Picker ID ]],$Q$3,RawData[Checker ID],$Q$4,RawData[[Error Type ]],$Q$5))</f>
        <v/>
      </c>
    </row>
    <row r="28329" spans="15:15" x14ac:dyDescent="0.25">
      <c r="O28329" s="20" t="str">
        <f>IF(N28329="","",COUNTIFS(RawData[[Date ]],N28329,RawData[Month List],$Q$6,RawData[Tour/Site],$Q$2,RawData[[Picker ID ]],$Q$3,RawData[Checker ID],$Q$4,RawData[[Error Type ]],$Q$5))</f>
        <v/>
      </c>
    </row>
    <row r="28330" spans="15:15" x14ac:dyDescent="0.25">
      <c r="O28330" s="20" t="str">
        <f>IF(N28330="","",COUNTIFS(RawData[[Date ]],N28330,RawData[Month List],$Q$6,RawData[Tour/Site],$Q$2,RawData[[Picker ID ]],$Q$3,RawData[Checker ID],$Q$4,RawData[[Error Type ]],$Q$5))</f>
        <v/>
      </c>
    </row>
    <row r="28331" spans="15:15" x14ac:dyDescent="0.25">
      <c r="O28331" s="20" t="str">
        <f>IF(N28331="","",COUNTIFS(RawData[[Date ]],N28331,RawData[Month List],$Q$6,RawData[Tour/Site],$Q$2,RawData[[Picker ID ]],$Q$3,RawData[Checker ID],$Q$4,RawData[[Error Type ]],$Q$5))</f>
        <v/>
      </c>
    </row>
    <row r="28332" spans="15:15" x14ac:dyDescent="0.25">
      <c r="O28332" s="20" t="str">
        <f>IF(N28332="","",COUNTIFS(RawData[[Date ]],N28332,RawData[Month List],$Q$6,RawData[Tour/Site],$Q$2,RawData[[Picker ID ]],$Q$3,RawData[Checker ID],$Q$4,RawData[[Error Type ]],$Q$5))</f>
        <v/>
      </c>
    </row>
    <row r="28333" spans="15:15" x14ac:dyDescent="0.25">
      <c r="O28333" s="20" t="str">
        <f>IF(N28333="","",COUNTIFS(RawData[[Date ]],N28333,RawData[Month List],$Q$6,RawData[Tour/Site],$Q$2,RawData[[Picker ID ]],$Q$3,RawData[Checker ID],$Q$4,RawData[[Error Type ]],$Q$5))</f>
        <v/>
      </c>
    </row>
    <row r="28334" spans="15:15" x14ac:dyDescent="0.25">
      <c r="O28334" s="20" t="str">
        <f>IF(N28334="","",COUNTIFS(RawData[[Date ]],N28334,RawData[Month List],$Q$6,RawData[Tour/Site],$Q$2,RawData[[Picker ID ]],$Q$3,RawData[Checker ID],$Q$4,RawData[[Error Type ]],$Q$5))</f>
        <v/>
      </c>
    </row>
    <row r="28335" spans="15:15" x14ac:dyDescent="0.25">
      <c r="O28335" s="20" t="str">
        <f>IF(N28335="","",COUNTIFS(RawData[[Date ]],N28335,RawData[Month List],$Q$6,RawData[Tour/Site],$Q$2,RawData[[Picker ID ]],$Q$3,RawData[Checker ID],$Q$4,RawData[[Error Type ]],$Q$5))</f>
        <v/>
      </c>
    </row>
    <row r="28336" spans="15:15" x14ac:dyDescent="0.25">
      <c r="O28336" s="20" t="str">
        <f>IF(N28336="","",COUNTIFS(RawData[[Date ]],N28336,RawData[Month List],$Q$6,RawData[Tour/Site],$Q$2,RawData[[Picker ID ]],$Q$3,RawData[Checker ID],$Q$4,RawData[[Error Type ]],$Q$5))</f>
        <v/>
      </c>
    </row>
    <row r="28337" spans="15:15" x14ac:dyDescent="0.25">
      <c r="O28337" s="20" t="str">
        <f>IF(N28337="","",COUNTIFS(RawData[[Date ]],N28337,RawData[Month List],$Q$6,RawData[Tour/Site],$Q$2,RawData[[Picker ID ]],$Q$3,RawData[Checker ID],$Q$4,RawData[[Error Type ]],$Q$5))</f>
        <v/>
      </c>
    </row>
    <row r="28338" spans="15:15" x14ac:dyDescent="0.25">
      <c r="O28338" s="20" t="str">
        <f>IF(N28338="","",COUNTIFS(RawData[[Date ]],N28338,RawData[Month List],$Q$6,RawData[Tour/Site],$Q$2,RawData[[Picker ID ]],$Q$3,RawData[Checker ID],$Q$4,RawData[[Error Type ]],$Q$5))</f>
        <v/>
      </c>
    </row>
    <row r="28339" spans="15:15" x14ac:dyDescent="0.25">
      <c r="O28339" s="20" t="str">
        <f>IF(N28339="","",COUNTIFS(RawData[[Date ]],N28339,RawData[Month List],$Q$6,RawData[Tour/Site],$Q$2,RawData[[Picker ID ]],$Q$3,RawData[Checker ID],$Q$4,RawData[[Error Type ]],$Q$5))</f>
        <v/>
      </c>
    </row>
    <row r="28340" spans="15:15" x14ac:dyDescent="0.25">
      <c r="O28340" s="20" t="str">
        <f>IF(N28340="","",COUNTIFS(RawData[[Date ]],N28340,RawData[Month List],$Q$6,RawData[Tour/Site],$Q$2,RawData[[Picker ID ]],$Q$3,RawData[Checker ID],$Q$4,RawData[[Error Type ]],$Q$5))</f>
        <v/>
      </c>
    </row>
    <row r="28341" spans="15:15" x14ac:dyDescent="0.25">
      <c r="O28341" s="20" t="str">
        <f>IF(N28341="","",COUNTIFS(RawData[[Date ]],N28341,RawData[Month List],$Q$6,RawData[Tour/Site],$Q$2,RawData[[Picker ID ]],$Q$3,RawData[Checker ID],$Q$4,RawData[[Error Type ]],$Q$5))</f>
        <v/>
      </c>
    </row>
    <row r="28342" spans="15:15" x14ac:dyDescent="0.25">
      <c r="O28342" s="20" t="str">
        <f>IF(N28342="","",COUNTIFS(RawData[[Date ]],N28342,RawData[Month List],$Q$6,RawData[Tour/Site],$Q$2,RawData[[Picker ID ]],$Q$3,RawData[Checker ID],$Q$4,RawData[[Error Type ]],$Q$5))</f>
        <v/>
      </c>
    </row>
    <row r="28343" spans="15:15" x14ac:dyDescent="0.25">
      <c r="O28343" s="20" t="str">
        <f>IF(N28343="","",COUNTIFS(RawData[[Date ]],N28343,RawData[Month List],$Q$6,RawData[Tour/Site],$Q$2,RawData[[Picker ID ]],$Q$3,RawData[Checker ID],$Q$4,RawData[[Error Type ]],$Q$5))</f>
        <v/>
      </c>
    </row>
    <row r="28344" spans="15:15" x14ac:dyDescent="0.25">
      <c r="O28344" s="20" t="str">
        <f>IF(N28344="","",COUNTIFS(RawData[[Date ]],N28344,RawData[Month List],$Q$6,RawData[Tour/Site],$Q$2,RawData[[Picker ID ]],$Q$3,RawData[Checker ID],$Q$4,RawData[[Error Type ]],$Q$5))</f>
        <v/>
      </c>
    </row>
    <row r="28345" spans="15:15" x14ac:dyDescent="0.25">
      <c r="O28345" s="20" t="str">
        <f>IF(N28345="","",COUNTIFS(RawData[[Date ]],N28345,RawData[Month List],$Q$6,RawData[Tour/Site],$Q$2,RawData[[Picker ID ]],$Q$3,RawData[Checker ID],$Q$4,RawData[[Error Type ]],$Q$5))</f>
        <v/>
      </c>
    </row>
    <row r="28346" spans="15:15" x14ac:dyDescent="0.25">
      <c r="O28346" s="20" t="str">
        <f>IF(N28346="","",COUNTIFS(RawData[[Date ]],N28346,RawData[Month List],$Q$6,RawData[Tour/Site],$Q$2,RawData[[Picker ID ]],$Q$3,RawData[Checker ID],$Q$4,RawData[[Error Type ]],$Q$5))</f>
        <v/>
      </c>
    </row>
    <row r="28347" spans="15:15" x14ac:dyDescent="0.25">
      <c r="O28347" s="20" t="str">
        <f>IF(N28347="","",COUNTIFS(RawData[[Date ]],N28347,RawData[Month List],$Q$6,RawData[Tour/Site],$Q$2,RawData[[Picker ID ]],$Q$3,RawData[Checker ID],$Q$4,RawData[[Error Type ]],$Q$5))</f>
        <v/>
      </c>
    </row>
    <row r="28348" spans="15:15" x14ac:dyDescent="0.25">
      <c r="O28348" s="20" t="str">
        <f>IF(N28348="","",COUNTIFS(RawData[[Date ]],N28348,RawData[Month List],$Q$6,RawData[Tour/Site],$Q$2,RawData[[Picker ID ]],$Q$3,RawData[Checker ID],$Q$4,RawData[[Error Type ]],$Q$5))</f>
        <v/>
      </c>
    </row>
    <row r="28349" spans="15:15" x14ac:dyDescent="0.25">
      <c r="O28349" s="20" t="str">
        <f>IF(N28349="","",COUNTIFS(RawData[[Date ]],N28349,RawData[Month List],$Q$6,RawData[Tour/Site],$Q$2,RawData[[Picker ID ]],$Q$3,RawData[Checker ID],$Q$4,RawData[[Error Type ]],$Q$5))</f>
        <v/>
      </c>
    </row>
    <row r="28350" spans="15:15" x14ac:dyDescent="0.25">
      <c r="O28350" s="20" t="str">
        <f>IF(N28350="","",COUNTIFS(RawData[[Date ]],N28350,RawData[Month List],$Q$6,RawData[Tour/Site],$Q$2,RawData[[Picker ID ]],$Q$3,RawData[Checker ID],$Q$4,RawData[[Error Type ]],$Q$5))</f>
        <v/>
      </c>
    </row>
    <row r="28351" spans="15:15" x14ac:dyDescent="0.25">
      <c r="O28351" s="20" t="str">
        <f>IF(N28351="","",COUNTIFS(RawData[[Date ]],N28351,RawData[Month List],$Q$6,RawData[Tour/Site],$Q$2,RawData[[Picker ID ]],$Q$3,RawData[Checker ID],$Q$4,RawData[[Error Type ]],$Q$5))</f>
        <v/>
      </c>
    </row>
    <row r="28352" spans="15:15" x14ac:dyDescent="0.25">
      <c r="O28352" s="20" t="str">
        <f>IF(N28352="","",COUNTIFS(RawData[[Date ]],N28352,RawData[Month List],$Q$6,RawData[Tour/Site],$Q$2,RawData[[Picker ID ]],$Q$3,RawData[Checker ID],$Q$4,RawData[[Error Type ]],$Q$5))</f>
        <v/>
      </c>
    </row>
    <row r="28353" spans="15:15" x14ac:dyDescent="0.25">
      <c r="O28353" s="20" t="str">
        <f>IF(N28353="","",COUNTIFS(RawData[[Date ]],N28353,RawData[Month List],$Q$6,RawData[Tour/Site],$Q$2,RawData[[Picker ID ]],$Q$3,RawData[Checker ID],$Q$4,RawData[[Error Type ]],$Q$5))</f>
        <v/>
      </c>
    </row>
    <row r="28354" spans="15:15" x14ac:dyDescent="0.25">
      <c r="O28354" s="20" t="str">
        <f>IF(N28354="","",COUNTIFS(RawData[[Date ]],N28354,RawData[Month List],$Q$6,RawData[Tour/Site],$Q$2,RawData[[Picker ID ]],$Q$3,RawData[Checker ID],$Q$4,RawData[[Error Type ]],$Q$5))</f>
        <v/>
      </c>
    </row>
    <row r="28355" spans="15:15" x14ac:dyDescent="0.25">
      <c r="O28355" s="20" t="str">
        <f>IF(N28355="","",COUNTIFS(RawData[[Date ]],N28355,RawData[Month List],$Q$6,RawData[Tour/Site],$Q$2,RawData[[Picker ID ]],$Q$3,RawData[Checker ID],$Q$4,RawData[[Error Type ]],$Q$5))</f>
        <v/>
      </c>
    </row>
    <row r="28356" spans="15:15" x14ac:dyDescent="0.25">
      <c r="O28356" s="20" t="str">
        <f>IF(N28356="","",COUNTIFS(RawData[[Date ]],N28356,RawData[Month List],$Q$6,RawData[Tour/Site],$Q$2,RawData[[Picker ID ]],$Q$3,RawData[Checker ID],$Q$4,RawData[[Error Type ]],$Q$5))</f>
        <v/>
      </c>
    </row>
    <row r="28357" spans="15:15" x14ac:dyDescent="0.25">
      <c r="O28357" s="20" t="str">
        <f>IF(N28357="","",COUNTIFS(RawData[[Date ]],N28357,RawData[Month List],$Q$6,RawData[Tour/Site],$Q$2,RawData[[Picker ID ]],$Q$3,RawData[Checker ID],$Q$4,RawData[[Error Type ]],$Q$5))</f>
        <v/>
      </c>
    </row>
    <row r="28358" spans="15:15" x14ac:dyDescent="0.25">
      <c r="O28358" s="20" t="str">
        <f>IF(N28358="","",COUNTIFS(RawData[[Date ]],N28358,RawData[Month List],$Q$6,RawData[Tour/Site],$Q$2,RawData[[Picker ID ]],$Q$3,RawData[Checker ID],$Q$4,RawData[[Error Type ]],$Q$5))</f>
        <v/>
      </c>
    </row>
    <row r="28359" spans="15:15" x14ac:dyDescent="0.25">
      <c r="O28359" s="20" t="str">
        <f>IF(N28359="","",COUNTIFS(RawData[[Date ]],N28359,RawData[Month List],$Q$6,RawData[Tour/Site],$Q$2,RawData[[Picker ID ]],$Q$3,RawData[Checker ID],$Q$4,RawData[[Error Type ]],$Q$5))</f>
        <v/>
      </c>
    </row>
    <row r="28360" spans="15:15" x14ac:dyDescent="0.25">
      <c r="O28360" s="20" t="str">
        <f>IF(N28360="","",COUNTIFS(RawData[[Date ]],N28360,RawData[Month List],$Q$6,RawData[Tour/Site],$Q$2,RawData[[Picker ID ]],$Q$3,RawData[Checker ID],$Q$4,RawData[[Error Type ]],$Q$5))</f>
        <v/>
      </c>
    </row>
    <row r="28361" spans="15:15" x14ac:dyDescent="0.25">
      <c r="O28361" s="20" t="str">
        <f>IF(N28361="","",COUNTIFS(RawData[[Date ]],N28361,RawData[Month List],$Q$6,RawData[Tour/Site],$Q$2,RawData[[Picker ID ]],$Q$3,RawData[Checker ID],$Q$4,RawData[[Error Type ]],$Q$5))</f>
        <v/>
      </c>
    </row>
    <row r="28362" spans="15:15" x14ac:dyDescent="0.25">
      <c r="O28362" s="20" t="str">
        <f>IF(N28362="","",COUNTIFS(RawData[[Date ]],N28362,RawData[Month List],$Q$6,RawData[Tour/Site],$Q$2,RawData[[Picker ID ]],$Q$3,RawData[Checker ID],$Q$4,RawData[[Error Type ]],$Q$5))</f>
        <v/>
      </c>
    </row>
    <row r="28363" spans="15:15" x14ac:dyDescent="0.25">
      <c r="O28363" s="20" t="str">
        <f>IF(N28363="","",COUNTIFS(RawData[[Date ]],N28363,RawData[Month List],$Q$6,RawData[Tour/Site],$Q$2,RawData[[Picker ID ]],$Q$3,RawData[Checker ID],$Q$4,RawData[[Error Type ]],$Q$5))</f>
        <v/>
      </c>
    </row>
    <row r="28364" spans="15:15" x14ac:dyDescent="0.25">
      <c r="O28364" s="20" t="str">
        <f>IF(N28364="","",COUNTIFS(RawData[[Date ]],N28364,RawData[Month List],$Q$6,RawData[Tour/Site],$Q$2,RawData[[Picker ID ]],$Q$3,RawData[Checker ID],$Q$4,RawData[[Error Type ]],$Q$5))</f>
        <v/>
      </c>
    </row>
    <row r="28365" spans="15:15" x14ac:dyDescent="0.25">
      <c r="O28365" s="20" t="str">
        <f>IF(N28365="","",COUNTIFS(RawData[[Date ]],N28365,RawData[Month List],$Q$6,RawData[Tour/Site],$Q$2,RawData[[Picker ID ]],$Q$3,RawData[Checker ID],$Q$4,RawData[[Error Type ]],$Q$5))</f>
        <v/>
      </c>
    </row>
    <row r="28366" spans="15:15" x14ac:dyDescent="0.25">
      <c r="O28366" s="20" t="str">
        <f>IF(N28366="","",COUNTIFS(RawData[[Date ]],N28366,RawData[Month List],$Q$6,RawData[Tour/Site],$Q$2,RawData[[Picker ID ]],$Q$3,RawData[Checker ID],$Q$4,RawData[[Error Type ]],$Q$5))</f>
        <v/>
      </c>
    </row>
    <row r="28367" spans="15:15" x14ac:dyDescent="0.25">
      <c r="O28367" s="20" t="str">
        <f>IF(N28367="","",COUNTIFS(RawData[[Date ]],N28367,RawData[Month List],$Q$6,RawData[Tour/Site],$Q$2,RawData[[Picker ID ]],$Q$3,RawData[Checker ID],$Q$4,RawData[[Error Type ]],$Q$5))</f>
        <v/>
      </c>
    </row>
    <row r="28368" spans="15:15" x14ac:dyDescent="0.25">
      <c r="O28368" s="20" t="str">
        <f>IF(N28368="","",COUNTIFS(RawData[[Date ]],N28368,RawData[Month List],$Q$6,RawData[Tour/Site],$Q$2,RawData[[Picker ID ]],$Q$3,RawData[Checker ID],$Q$4,RawData[[Error Type ]],$Q$5))</f>
        <v/>
      </c>
    </row>
    <row r="28369" spans="15:15" x14ac:dyDescent="0.25">
      <c r="O28369" s="20" t="str">
        <f>IF(N28369="","",COUNTIFS(RawData[[Date ]],N28369,RawData[Month List],$Q$6,RawData[Tour/Site],$Q$2,RawData[[Picker ID ]],$Q$3,RawData[Checker ID],$Q$4,RawData[[Error Type ]],$Q$5))</f>
        <v/>
      </c>
    </row>
    <row r="28370" spans="15:15" x14ac:dyDescent="0.25">
      <c r="O28370" s="20" t="str">
        <f>IF(N28370="","",COUNTIFS(RawData[[Date ]],N28370,RawData[Month List],$Q$6,RawData[Tour/Site],$Q$2,RawData[[Picker ID ]],$Q$3,RawData[Checker ID],$Q$4,RawData[[Error Type ]],$Q$5))</f>
        <v/>
      </c>
    </row>
    <row r="28371" spans="15:15" x14ac:dyDescent="0.25">
      <c r="O28371" s="20" t="str">
        <f>IF(N28371="","",COUNTIFS(RawData[[Date ]],N28371,RawData[Month List],$Q$6,RawData[Tour/Site],$Q$2,RawData[[Picker ID ]],$Q$3,RawData[Checker ID],$Q$4,RawData[[Error Type ]],$Q$5))</f>
        <v/>
      </c>
    </row>
    <row r="28372" spans="15:15" x14ac:dyDescent="0.25">
      <c r="O28372" s="20" t="str">
        <f>IF(N28372="","",COUNTIFS(RawData[[Date ]],N28372,RawData[Month List],$Q$6,RawData[Tour/Site],$Q$2,RawData[[Picker ID ]],$Q$3,RawData[Checker ID],$Q$4,RawData[[Error Type ]],$Q$5))</f>
        <v/>
      </c>
    </row>
    <row r="28373" spans="15:15" x14ac:dyDescent="0.25">
      <c r="O28373" s="20" t="str">
        <f>IF(N28373="","",COUNTIFS(RawData[[Date ]],N28373,RawData[Month List],$Q$6,RawData[Tour/Site],$Q$2,RawData[[Picker ID ]],$Q$3,RawData[Checker ID],$Q$4,RawData[[Error Type ]],$Q$5))</f>
        <v/>
      </c>
    </row>
    <row r="28374" spans="15:15" x14ac:dyDescent="0.25">
      <c r="O28374" s="20" t="str">
        <f>IF(N28374="","",COUNTIFS(RawData[[Date ]],N28374,RawData[Month List],$Q$6,RawData[Tour/Site],$Q$2,RawData[[Picker ID ]],$Q$3,RawData[Checker ID],$Q$4,RawData[[Error Type ]],$Q$5))</f>
        <v/>
      </c>
    </row>
    <row r="28375" spans="15:15" x14ac:dyDescent="0.25">
      <c r="O28375" s="20" t="str">
        <f>IF(N28375="","",COUNTIFS(RawData[[Date ]],N28375,RawData[Month List],$Q$6,RawData[Tour/Site],$Q$2,RawData[[Picker ID ]],$Q$3,RawData[Checker ID],$Q$4,RawData[[Error Type ]],$Q$5))</f>
        <v/>
      </c>
    </row>
    <row r="28376" spans="15:15" x14ac:dyDescent="0.25">
      <c r="O28376" s="20" t="str">
        <f>IF(N28376="","",COUNTIFS(RawData[[Date ]],N28376,RawData[Month List],$Q$6,RawData[Tour/Site],$Q$2,RawData[[Picker ID ]],$Q$3,RawData[Checker ID],$Q$4,RawData[[Error Type ]],$Q$5))</f>
        <v/>
      </c>
    </row>
    <row r="28377" spans="15:15" x14ac:dyDescent="0.25">
      <c r="O28377" s="20" t="str">
        <f>IF(N28377="","",COUNTIFS(RawData[[Date ]],N28377,RawData[Month List],$Q$6,RawData[Tour/Site],$Q$2,RawData[[Picker ID ]],$Q$3,RawData[Checker ID],$Q$4,RawData[[Error Type ]],$Q$5))</f>
        <v/>
      </c>
    </row>
    <row r="28378" spans="15:15" x14ac:dyDescent="0.25">
      <c r="O28378" s="20" t="str">
        <f>IF(N28378="","",COUNTIFS(RawData[[Date ]],N28378,RawData[Month List],$Q$6,RawData[Tour/Site],$Q$2,RawData[[Picker ID ]],$Q$3,RawData[Checker ID],$Q$4,RawData[[Error Type ]],$Q$5))</f>
        <v/>
      </c>
    </row>
    <row r="28379" spans="15:15" x14ac:dyDescent="0.25">
      <c r="O28379" s="20" t="str">
        <f>IF(N28379="","",COUNTIFS(RawData[[Date ]],N28379,RawData[Month List],$Q$6,RawData[Tour/Site],$Q$2,RawData[[Picker ID ]],$Q$3,RawData[Checker ID],$Q$4,RawData[[Error Type ]],$Q$5))</f>
        <v/>
      </c>
    </row>
    <row r="28380" spans="15:15" x14ac:dyDescent="0.25">
      <c r="O28380" s="20" t="str">
        <f>IF(N28380="","",COUNTIFS(RawData[[Date ]],N28380,RawData[Month List],$Q$6,RawData[Tour/Site],$Q$2,RawData[[Picker ID ]],$Q$3,RawData[Checker ID],$Q$4,RawData[[Error Type ]],$Q$5))</f>
        <v/>
      </c>
    </row>
    <row r="28381" spans="15:15" x14ac:dyDescent="0.25">
      <c r="O28381" s="20" t="str">
        <f>IF(N28381="","",COUNTIFS(RawData[[Date ]],N28381,RawData[Month List],$Q$6,RawData[Tour/Site],$Q$2,RawData[[Picker ID ]],$Q$3,RawData[Checker ID],$Q$4,RawData[[Error Type ]],$Q$5))</f>
        <v/>
      </c>
    </row>
    <row r="28382" spans="15:15" x14ac:dyDescent="0.25">
      <c r="O28382" s="20" t="str">
        <f>IF(N28382="","",COUNTIFS(RawData[[Date ]],N28382,RawData[Month List],$Q$6,RawData[Tour/Site],$Q$2,RawData[[Picker ID ]],$Q$3,RawData[Checker ID],$Q$4,RawData[[Error Type ]],$Q$5))</f>
        <v/>
      </c>
    </row>
    <row r="28383" spans="15:15" x14ac:dyDescent="0.25">
      <c r="O28383" s="20" t="str">
        <f>IF(N28383="","",COUNTIFS(RawData[[Date ]],N28383,RawData[Month List],$Q$6,RawData[Tour/Site],$Q$2,RawData[[Picker ID ]],$Q$3,RawData[Checker ID],$Q$4,RawData[[Error Type ]],$Q$5))</f>
        <v/>
      </c>
    </row>
    <row r="28384" spans="15:15" x14ac:dyDescent="0.25">
      <c r="O28384" s="20" t="str">
        <f>IF(N28384="","",COUNTIFS(RawData[[Date ]],N28384,RawData[Month List],$Q$6,RawData[Tour/Site],$Q$2,RawData[[Picker ID ]],$Q$3,RawData[Checker ID],$Q$4,RawData[[Error Type ]],$Q$5))</f>
        <v/>
      </c>
    </row>
    <row r="28385" spans="15:15" x14ac:dyDescent="0.25">
      <c r="O28385" s="20" t="str">
        <f>IF(N28385="","",COUNTIFS(RawData[[Date ]],N28385,RawData[Month List],$Q$6,RawData[Tour/Site],$Q$2,RawData[[Picker ID ]],$Q$3,RawData[Checker ID],$Q$4,RawData[[Error Type ]],$Q$5))</f>
        <v/>
      </c>
    </row>
    <row r="28386" spans="15:15" x14ac:dyDescent="0.25">
      <c r="O28386" s="20" t="str">
        <f>IF(N28386="","",COUNTIFS(RawData[[Date ]],N28386,RawData[Month List],$Q$6,RawData[Tour/Site],$Q$2,RawData[[Picker ID ]],$Q$3,RawData[Checker ID],$Q$4,RawData[[Error Type ]],$Q$5))</f>
        <v/>
      </c>
    </row>
    <row r="28387" spans="15:15" x14ac:dyDescent="0.25">
      <c r="O28387" s="20" t="str">
        <f>IF(N28387="","",COUNTIFS(RawData[[Date ]],N28387,RawData[Month List],$Q$6,RawData[Tour/Site],$Q$2,RawData[[Picker ID ]],$Q$3,RawData[Checker ID],$Q$4,RawData[[Error Type ]],$Q$5))</f>
        <v/>
      </c>
    </row>
    <row r="28388" spans="15:15" x14ac:dyDescent="0.25">
      <c r="O28388" s="20" t="str">
        <f>IF(N28388="","",COUNTIFS(RawData[[Date ]],N28388,RawData[Month List],$Q$6,RawData[Tour/Site],$Q$2,RawData[[Picker ID ]],$Q$3,RawData[Checker ID],$Q$4,RawData[[Error Type ]],$Q$5))</f>
        <v/>
      </c>
    </row>
    <row r="28389" spans="15:15" x14ac:dyDescent="0.25">
      <c r="O28389" s="20" t="str">
        <f>IF(N28389="","",COUNTIFS(RawData[[Date ]],N28389,RawData[Month List],$Q$6,RawData[Tour/Site],$Q$2,RawData[[Picker ID ]],$Q$3,RawData[Checker ID],$Q$4,RawData[[Error Type ]],$Q$5))</f>
        <v/>
      </c>
    </row>
    <row r="28390" spans="15:15" x14ac:dyDescent="0.25">
      <c r="O28390" s="20" t="str">
        <f>IF(N28390="","",COUNTIFS(RawData[[Date ]],N28390,RawData[Month List],$Q$6,RawData[Tour/Site],$Q$2,RawData[[Picker ID ]],$Q$3,RawData[Checker ID],$Q$4,RawData[[Error Type ]],$Q$5))</f>
        <v/>
      </c>
    </row>
    <row r="28391" spans="15:15" x14ac:dyDescent="0.25">
      <c r="O28391" s="20" t="str">
        <f>IF(N28391="","",COUNTIFS(RawData[[Date ]],N28391,RawData[Month List],$Q$6,RawData[Tour/Site],$Q$2,RawData[[Picker ID ]],$Q$3,RawData[Checker ID],$Q$4,RawData[[Error Type ]],$Q$5))</f>
        <v/>
      </c>
    </row>
    <row r="28392" spans="15:15" x14ac:dyDescent="0.25">
      <c r="O28392" s="20" t="str">
        <f>IF(N28392="","",COUNTIFS(RawData[[Date ]],N28392,RawData[Month List],$Q$6,RawData[Tour/Site],$Q$2,RawData[[Picker ID ]],$Q$3,RawData[Checker ID],$Q$4,RawData[[Error Type ]],$Q$5))</f>
        <v/>
      </c>
    </row>
    <row r="28393" spans="15:15" x14ac:dyDescent="0.25">
      <c r="O28393" s="20" t="str">
        <f>IF(N28393="","",COUNTIFS(RawData[[Date ]],N28393,RawData[Month List],$Q$6,RawData[Tour/Site],$Q$2,RawData[[Picker ID ]],$Q$3,RawData[Checker ID],$Q$4,RawData[[Error Type ]],$Q$5))</f>
        <v/>
      </c>
    </row>
    <row r="28394" spans="15:15" x14ac:dyDescent="0.25">
      <c r="O28394" s="20" t="str">
        <f>IF(N28394="","",COUNTIFS(RawData[[Date ]],N28394,RawData[Month List],$Q$6,RawData[Tour/Site],$Q$2,RawData[[Picker ID ]],$Q$3,RawData[Checker ID],$Q$4,RawData[[Error Type ]],$Q$5))</f>
        <v/>
      </c>
    </row>
    <row r="28395" spans="15:15" x14ac:dyDescent="0.25">
      <c r="O28395" s="20" t="str">
        <f>IF(N28395="","",COUNTIFS(RawData[[Date ]],N28395,RawData[Month List],$Q$6,RawData[Tour/Site],$Q$2,RawData[[Picker ID ]],$Q$3,RawData[Checker ID],$Q$4,RawData[[Error Type ]],$Q$5))</f>
        <v/>
      </c>
    </row>
    <row r="28396" spans="15:15" x14ac:dyDescent="0.25">
      <c r="O28396" s="20" t="str">
        <f>IF(N28396="","",COUNTIFS(RawData[[Date ]],N28396,RawData[Month List],$Q$6,RawData[Tour/Site],$Q$2,RawData[[Picker ID ]],$Q$3,RawData[Checker ID],$Q$4,RawData[[Error Type ]],$Q$5))</f>
        <v/>
      </c>
    </row>
    <row r="28397" spans="15:15" x14ac:dyDescent="0.25">
      <c r="O28397" s="20" t="str">
        <f>IF(N28397="","",COUNTIFS(RawData[[Date ]],N28397,RawData[Month List],$Q$6,RawData[Tour/Site],$Q$2,RawData[[Picker ID ]],$Q$3,RawData[Checker ID],$Q$4,RawData[[Error Type ]],$Q$5))</f>
        <v/>
      </c>
    </row>
    <row r="28398" spans="15:15" x14ac:dyDescent="0.25">
      <c r="O28398" s="20" t="str">
        <f>IF(N28398="","",COUNTIFS(RawData[[Date ]],N28398,RawData[Month List],$Q$6,RawData[Tour/Site],$Q$2,RawData[[Picker ID ]],$Q$3,RawData[Checker ID],$Q$4,RawData[[Error Type ]],$Q$5))</f>
        <v/>
      </c>
    </row>
    <row r="28399" spans="15:15" x14ac:dyDescent="0.25">
      <c r="O28399" s="20" t="str">
        <f>IF(N28399="","",COUNTIFS(RawData[[Date ]],N28399,RawData[Month List],$Q$6,RawData[Tour/Site],$Q$2,RawData[[Picker ID ]],$Q$3,RawData[Checker ID],$Q$4,RawData[[Error Type ]],$Q$5))</f>
        <v/>
      </c>
    </row>
    <row r="28400" spans="15:15" x14ac:dyDescent="0.25">
      <c r="O28400" s="20" t="str">
        <f>IF(N28400="","",COUNTIFS(RawData[[Date ]],N28400,RawData[Month List],$Q$6,RawData[Tour/Site],$Q$2,RawData[[Picker ID ]],$Q$3,RawData[Checker ID],$Q$4,RawData[[Error Type ]],$Q$5))</f>
        <v/>
      </c>
    </row>
    <row r="28401" spans="15:15" x14ac:dyDescent="0.25">
      <c r="O28401" s="20" t="str">
        <f>IF(N28401="","",COUNTIFS(RawData[[Date ]],N28401,RawData[Month List],$Q$6,RawData[Tour/Site],$Q$2,RawData[[Picker ID ]],$Q$3,RawData[Checker ID],$Q$4,RawData[[Error Type ]],$Q$5))</f>
        <v/>
      </c>
    </row>
    <row r="28402" spans="15:15" x14ac:dyDescent="0.25">
      <c r="O28402" s="20" t="str">
        <f>IF(N28402="","",COUNTIFS(RawData[[Date ]],N28402,RawData[Month List],$Q$6,RawData[Tour/Site],$Q$2,RawData[[Picker ID ]],$Q$3,RawData[Checker ID],$Q$4,RawData[[Error Type ]],$Q$5))</f>
        <v/>
      </c>
    </row>
    <row r="28403" spans="15:15" x14ac:dyDescent="0.25">
      <c r="O28403" s="20" t="str">
        <f>IF(N28403="","",COUNTIFS(RawData[[Date ]],N28403,RawData[Month List],$Q$6,RawData[Tour/Site],$Q$2,RawData[[Picker ID ]],$Q$3,RawData[Checker ID],$Q$4,RawData[[Error Type ]],$Q$5))</f>
        <v/>
      </c>
    </row>
    <row r="28404" spans="15:15" x14ac:dyDescent="0.25">
      <c r="O28404" s="20" t="str">
        <f>IF(N28404="","",COUNTIFS(RawData[[Date ]],N28404,RawData[Month List],$Q$6,RawData[Tour/Site],$Q$2,RawData[[Picker ID ]],$Q$3,RawData[Checker ID],$Q$4,RawData[[Error Type ]],$Q$5))</f>
        <v/>
      </c>
    </row>
    <row r="28405" spans="15:15" x14ac:dyDescent="0.25">
      <c r="O28405" s="20" t="str">
        <f>IF(N28405="","",COUNTIFS(RawData[[Date ]],N28405,RawData[Month List],$Q$6,RawData[Tour/Site],$Q$2,RawData[[Picker ID ]],$Q$3,RawData[Checker ID],$Q$4,RawData[[Error Type ]],$Q$5))</f>
        <v/>
      </c>
    </row>
    <row r="28406" spans="15:15" x14ac:dyDescent="0.25">
      <c r="O28406" s="20" t="str">
        <f>IF(N28406="","",COUNTIFS(RawData[[Date ]],N28406,RawData[Month List],$Q$6,RawData[Tour/Site],$Q$2,RawData[[Picker ID ]],$Q$3,RawData[Checker ID],$Q$4,RawData[[Error Type ]],$Q$5))</f>
        <v/>
      </c>
    </row>
    <row r="28407" spans="15:15" x14ac:dyDescent="0.25">
      <c r="O28407" s="20" t="str">
        <f>IF(N28407="","",COUNTIFS(RawData[[Date ]],N28407,RawData[Month List],$Q$6,RawData[Tour/Site],$Q$2,RawData[[Picker ID ]],$Q$3,RawData[Checker ID],$Q$4,RawData[[Error Type ]],$Q$5))</f>
        <v/>
      </c>
    </row>
    <row r="28408" spans="15:15" x14ac:dyDescent="0.25">
      <c r="O28408" s="20" t="str">
        <f>IF(N28408="","",COUNTIFS(RawData[[Date ]],N28408,RawData[Month List],$Q$6,RawData[Tour/Site],$Q$2,RawData[[Picker ID ]],$Q$3,RawData[Checker ID],$Q$4,RawData[[Error Type ]],$Q$5))</f>
        <v/>
      </c>
    </row>
    <row r="28409" spans="15:15" x14ac:dyDescent="0.25">
      <c r="O28409" s="20" t="str">
        <f>IF(N28409="","",COUNTIFS(RawData[[Date ]],N28409,RawData[Month List],$Q$6,RawData[Tour/Site],$Q$2,RawData[[Picker ID ]],$Q$3,RawData[Checker ID],$Q$4,RawData[[Error Type ]],$Q$5))</f>
        <v/>
      </c>
    </row>
    <row r="28410" spans="15:15" x14ac:dyDescent="0.25">
      <c r="O28410" s="20" t="str">
        <f>IF(N28410="","",COUNTIFS(RawData[[Date ]],N28410,RawData[Month List],$Q$6,RawData[Tour/Site],$Q$2,RawData[[Picker ID ]],$Q$3,RawData[Checker ID],$Q$4,RawData[[Error Type ]],$Q$5))</f>
        <v/>
      </c>
    </row>
    <row r="28411" spans="15:15" x14ac:dyDescent="0.25">
      <c r="O28411" s="20" t="str">
        <f>IF(N28411="","",COUNTIFS(RawData[[Date ]],N28411,RawData[Month List],$Q$6,RawData[Tour/Site],$Q$2,RawData[[Picker ID ]],$Q$3,RawData[Checker ID],$Q$4,RawData[[Error Type ]],$Q$5))</f>
        <v/>
      </c>
    </row>
    <row r="28412" spans="15:15" x14ac:dyDescent="0.25">
      <c r="O28412" s="20" t="str">
        <f>IF(N28412="","",COUNTIFS(RawData[[Date ]],N28412,RawData[Month List],$Q$6,RawData[Tour/Site],$Q$2,RawData[[Picker ID ]],$Q$3,RawData[Checker ID],$Q$4,RawData[[Error Type ]],$Q$5))</f>
        <v/>
      </c>
    </row>
    <row r="28413" spans="15:15" x14ac:dyDescent="0.25">
      <c r="O28413" s="20" t="str">
        <f>IF(N28413="","",COUNTIFS(RawData[[Date ]],N28413,RawData[Month List],$Q$6,RawData[Tour/Site],$Q$2,RawData[[Picker ID ]],$Q$3,RawData[Checker ID],$Q$4,RawData[[Error Type ]],$Q$5))</f>
        <v/>
      </c>
    </row>
    <row r="28414" spans="15:15" x14ac:dyDescent="0.25">
      <c r="O28414" s="20" t="str">
        <f>IF(N28414="","",COUNTIFS(RawData[[Date ]],N28414,RawData[Month List],$Q$6,RawData[Tour/Site],$Q$2,RawData[[Picker ID ]],$Q$3,RawData[Checker ID],$Q$4,RawData[[Error Type ]],$Q$5))</f>
        <v/>
      </c>
    </row>
    <row r="28415" spans="15:15" x14ac:dyDescent="0.25">
      <c r="O28415" s="20" t="str">
        <f>IF(N28415="","",COUNTIFS(RawData[[Date ]],N28415,RawData[Month List],$Q$6,RawData[Tour/Site],$Q$2,RawData[[Picker ID ]],$Q$3,RawData[Checker ID],$Q$4,RawData[[Error Type ]],$Q$5))</f>
        <v/>
      </c>
    </row>
    <row r="28416" spans="15:15" x14ac:dyDescent="0.25">
      <c r="O28416" s="20" t="str">
        <f>IF(N28416="","",COUNTIFS(RawData[[Date ]],N28416,RawData[Month List],$Q$6,RawData[Tour/Site],$Q$2,RawData[[Picker ID ]],$Q$3,RawData[Checker ID],$Q$4,RawData[[Error Type ]],$Q$5))</f>
        <v/>
      </c>
    </row>
    <row r="28417" spans="15:15" x14ac:dyDescent="0.25">
      <c r="O28417" s="20" t="str">
        <f>IF(N28417="","",COUNTIFS(RawData[[Date ]],N28417,RawData[Month List],$Q$6,RawData[Tour/Site],$Q$2,RawData[[Picker ID ]],$Q$3,RawData[Checker ID],$Q$4,RawData[[Error Type ]],$Q$5))</f>
        <v/>
      </c>
    </row>
    <row r="28418" spans="15:15" x14ac:dyDescent="0.25">
      <c r="O28418" s="20" t="str">
        <f>IF(N28418="","",COUNTIFS(RawData[[Date ]],N28418,RawData[Month List],$Q$6,RawData[Tour/Site],$Q$2,RawData[[Picker ID ]],$Q$3,RawData[Checker ID],$Q$4,RawData[[Error Type ]],$Q$5))</f>
        <v/>
      </c>
    </row>
    <row r="28419" spans="15:15" x14ac:dyDescent="0.25">
      <c r="O28419" s="20" t="str">
        <f>IF(N28419="","",COUNTIFS(RawData[[Date ]],N28419,RawData[Month List],$Q$6,RawData[Tour/Site],$Q$2,RawData[[Picker ID ]],$Q$3,RawData[Checker ID],$Q$4,RawData[[Error Type ]],$Q$5))</f>
        <v/>
      </c>
    </row>
    <row r="28420" spans="15:15" x14ac:dyDescent="0.25">
      <c r="O28420" s="20" t="str">
        <f>IF(N28420="","",COUNTIFS(RawData[[Date ]],N28420,RawData[Month List],$Q$6,RawData[Tour/Site],$Q$2,RawData[[Picker ID ]],$Q$3,RawData[Checker ID],$Q$4,RawData[[Error Type ]],$Q$5))</f>
        <v/>
      </c>
    </row>
    <row r="28421" spans="15:15" x14ac:dyDescent="0.25">
      <c r="O28421" s="20" t="str">
        <f>IF(N28421="","",COUNTIFS(RawData[[Date ]],N28421,RawData[Month List],$Q$6,RawData[Tour/Site],$Q$2,RawData[[Picker ID ]],$Q$3,RawData[Checker ID],$Q$4,RawData[[Error Type ]],$Q$5))</f>
        <v/>
      </c>
    </row>
    <row r="28422" spans="15:15" x14ac:dyDescent="0.25">
      <c r="O28422" s="20" t="str">
        <f>IF(N28422="","",COUNTIFS(RawData[[Date ]],N28422,RawData[Month List],$Q$6,RawData[Tour/Site],$Q$2,RawData[[Picker ID ]],$Q$3,RawData[Checker ID],$Q$4,RawData[[Error Type ]],$Q$5))</f>
        <v/>
      </c>
    </row>
    <row r="28423" spans="15:15" x14ac:dyDescent="0.25">
      <c r="O28423" s="20" t="str">
        <f>IF(N28423="","",COUNTIFS(RawData[[Date ]],N28423,RawData[Month List],$Q$6,RawData[Tour/Site],$Q$2,RawData[[Picker ID ]],$Q$3,RawData[Checker ID],$Q$4,RawData[[Error Type ]],$Q$5))</f>
        <v/>
      </c>
    </row>
    <row r="28424" spans="15:15" x14ac:dyDescent="0.25">
      <c r="O28424" s="20" t="str">
        <f>IF(N28424="","",COUNTIFS(RawData[[Date ]],N28424,RawData[Month List],$Q$6,RawData[Tour/Site],$Q$2,RawData[[Picker ID ]],$Q$3,RawData[Checker ID],$Q$4,RawData[[Error Type ]],$Q$5))</f>
        <v/>
      </c>
    </row>
    <row r="28425" spans="15:15" x14ac:dyDescent="0.25">
      <c r="O28425" s="20" t="str">
        <f>IF(N28425="","",COUNTIFS(RawData[[Date ]],N28425,RawData[Month List],$Q$6,RawData[Tour/Site],$Q$2,RawData[[Picker ID ]],$Q$3,RawData[Checker ID],$Q$4,RawData[[Error Type ]],$Q$5))</f>
        <v/>
      </c>
    </row>
    <row r="28426" spans="15:15" x14ac:dyDescent="0.25">
      <c r="O28426" s="20" t="str">
        <f>IF(N28426="","",COUNTIFS(RawData[[Date ]],N28426,RawData[Month List],$Q$6,RawData[Tour/Site],$Q$2,RawData[[Picker ID ]],$Q$3,RawData[Checker ID],$Q$4,RawData[[Error Type ]],$Q$5))</f>
        <v/>
      </c>
    </row>
    <row r="28427" spans="15:15" x14ac:dyDescent="0.25">
      <c r="O28427" s="20" t="str">
        <f>IF(N28427="","",COUNTIFS(RawData[[Date ]],N28427,RawData[Month List],$Q$6,RawData[Tour/Site],$Q$2,RawData[[Picker ID ]],$Q$3,RawData[Checker ID],$Q$4,RawData[[Error Type ]],$Q$5))</f>
        <v/>
      </c>
    </row>
    <row r="28428" spans="15:15" x14ac:dyDescent="0.25">
      <c r="O28428" s="20" t="str">
        <f>IF(N28428="","",COUNTIFS(RawData[[Date ]],N28428,RawData[Month List],$Q$6,RawData[Tour/Site],$Q$2,RawData[[Picker ID ]],$Q$3,RawData[Checker ID],$Q$4,RawData[[Error Type ]],$Q$5))</f>
        <v/>
      </c>
    </row>
    <row r="28429" spans="15:15" x14ac:dyDescent="0.25">
      <c r="O28429" s="20" t="str">
        <f>IF(N28429="","",COUNTIFS(RawData[[Date ]],N28429,RawData[Month List],$Q$6,RawData[Tour/Site],$Q$2,RawData[[Picker ID ]],$Q$3,RawData[Checker ID],$Q$4,RawData[[Error Type ]],$Q$5))</f>
        <v/>
      </c>
    </row>
    <row r="28430" spans="15:15" x14ac:dyDescent="0.25">
      <c r="O28430" s="20" t="str">
        <f>IF(N28430="","",COUNTIFS(RawData[[Date ]],N28430,RawData[Month List],$Q$6,RawData[Tour/Site],$Q$2,RawData[[Picker ID ]],$Q$3,RawData[Checker ID],$Q$4,RawData[[Error Type ]],$Q$5))</f>
        <v/>
      </c>
    </row>
    <row r="28431" spans="15:15" x14ac:dyDescent="0.25">
      <c r="O28431" s="20" t="str">
        <f>IF(N28431="","",COUNTIFS(RawData[[Date ]],N28431,RawData[Month List],$Q$6,RawData[Tour/Site],$Q$2,RawData[[Picker ID ]],$Q$3,RawData[Checker ID],$Q$4,RawData[[Error Type ]],$Q$5))</f>
        <v/>
      </c>
    </row>
    <row r="28432" spans="15:15" x14ac:dyDescent="0.25">
      <c r="O28432" s="20" t="str">
        <f>IF(N28432="","",COUNTIFS(RawData[[Date ]],N28432,RawData[Month List],$Q$6,RawData[Tour/Site],$Q$2,RawData[[Picker ID ]],$Q$3,RawData[Checker ID],$Q$4,RawData[[Error Type ]],$Q$5))</f>
        <v/>
      </c>
    </row>
    <row r="28433" spans="15:15" x14ac:dyDescent="0.25">
      <c r="O28433" s="20" t="str">
        <f>IF(N28433="","",COUNTIFS(RawData[[Date ]],N28433,RawData[Month List],$Q$6,RawData[Tour/Site],$Q$2,RawData[[Picker ID ]],$Q$3,RawData[Checker ID],$Q$4,RawData[[Error Type ]],$Q$5))</f>
        <v/>
      </c>
    </row>
    <row r="28434" spans="15:15" x14ac:dyDescent="0.25">
      <c r="O28434" s="20" t="str">
        <f>IF(N28434="","",COUNTIFS(RawData[[Date ]],N28434,RawData[Month List],$Q$6,RawData[Tour/Site],$Q$2,RawData[[Picker ID ]],$Q$3,RawData[Checker ID],$Q$4,RawData[[Error Type ]],$Q$5))</f>
        <v/>
      </c>
    </row>
    <row r="28435" spans="15:15" x14ac:dyDescent="0.25">
      <c r="O28435" s="20" t="str">
        <f>IF(N28435="","",COUNTIFS(RawData[[Date ]],N28435,RawData[Month List],$Q$6,RawData[Tour/Site],$Q$2,RawData[[Picker ID ]],$Q$3,RawData[Checker ID],$Q$4,RawData[[Error Type ]],$Q$5))</f>
        <v/>
      </c>
    </row>
    <row r="28436" spans="15:15" x14ac:dyDescent="0.25">
      <c r="O28436" s="20" t="str">
        <f>IF(N28436="","",COUNTIFS(RawData[[Date ]],N28436,RawData[Month List],$Q$6,RawData[Tour/Site],$Q$2,RawData[[Picker ID ]],$Q$3,RawData[Checker ID],$Q$4,RawData[[Error Type ]],$Q$5))</f>
        <v/>
      </c>
    </row>
    <row r="28437" spans="15:15" x14ac:dyDescent="0.25">
      <c r="O28437" s="20" t="str">
        <f>IF(N28437="","",COUNTIFS(RawData[[Date ]],N28437,RawData[Month List],$Q$6,RawData[Tour/Site],$Q$2,RawData[[Picker ID ]],$Q$3,RawData[Checker ID],$Q$4,RawData[[Error Type ]],$Q$5))</f>
        <v/>
      </c>
    </row>
    <row r="28438" spans="15:15" x14ac:dyDescent="0.25">
      <c r="O28438" s="20" t="str">
        <f>IF(N28438="","",COUNTIFS(RawData[[Date ]],N28438,RawData[Month List],$Q$6,RawData[Tour/Site],$Q$2,RawData[[Picker ID ]],$Q$3,RawData[Checker ID],$Q$4,RawData[[Error Type ]],$Q$5))</f>
        <v/>
      </c>
    </row>
    <row r="28439" spans="15:15" x14ac:dyDescent="0.25">
      <c r="O28439" s="20" t="str">
        <f>IF(N28439="","",COUNTIFS(RawData[[Date ]],N28439,RawData[Month List],$Q$6,RawData[Tour/Site],$Q$2,RawData[[Picker ID ]],$Q$3,RawData[Checker ID],$Q$4,RawData[[Error Type ]],$Q$5))</f>
        <v/>
      </c>
    </row>
    <row r="28440" spans="15:15" x14ac:dyDescent="0.25">
      <c r="O28440" s="20" t="str">
        <f>IF(N28440="","",COUNTIFS(RawData[[Date ]],N28440,RawData[Month List],$Q$6,RawData[Tour/Site],$Q$2,RawData[[Picker ID ]],$Q$3,RawData[Checker ID],$Q$4,RawData[[Error Type ]],$Q$5))</f>
        <v/>
      </c>
    </row>
    <row r="28441" spans="15:15" x14ac:dyDescent="0.25">
      <c r="O28441" s="20" t="str">
        <f>IF(N28441="","",COUNTIFS(RawData[[Date ]],N28441,RawData[Month List],$Q$6,RawData[Tour/Site],$Q$2,RawData[[Picker ID ]],$Q$3,RawData[Checker ID],$Q$4,RawData[[Error Type ]],$Q$5))</f>
        <v/>
      </c>
    </row>
    <row r="28442" spans="15:15" x14ac:dyDescent="0.25">
      <c r="O28442" s="20" t="str">
        <f>IF(N28442="","",COUNTIFS(RawData[[Date ]],N28442,RawData[Month List],$Q$6,RawData[Tour/Site],$Q$2,RawData[[Picker ID ]],$Q$3,RawData[Checker ID],$Q$4,RawData[[Error Type ]],$Q$5))</f>
        <v/>
      </c>
    </row>
    <row r="28443" spans="15:15" x14ac:dyDescent="0.25">
      <c r="O28443" s="20" t="str">
        <f>IF(N28443="","",COUNTIFS(RawData[[Date ]],N28443,RawData[Month List],$Q$6,RawData[Tour/Site],$Q$2,RawData[[Picker ID ]],$Q$3,RawData[Checker ID],$Q$4,RawData[[Error Type ]],$Q$5))</f>
        <v/>
      </c>
    </row>
    <row r="28444" spans="15:15" x14ac:dyDescent="0.25">
      <c r="O28444" s="20" t="str">
        <f>IF(N28444="","",COUNTIFS(RawData[[Date ]],N28444,RawData[Month List],$Q$6,RawData[Tour/Site],$Q$2,RawData[[Picker ID ]],$Q$3,RawData[Checker ID],$Q$4,RawData[[Error Type ]],$Q$5))</f>
        <v/>
      </c>
    </row>
    <row r="28445" spans="15:15" x14ac:dyDescent="0.25">
      <c r="O28445" s="20" t="str">
        <f>IF(N28445="","",COUNTIFS(RawData[[Date ]],N28445,RawData[Month List],$Q$6,RawData[Tour/Site],$Q$2,RawData[[Picker ID ]],$Q$3,RawData[Checker ID],$Q$4,RawData[[Error Type ]],$Q$5))</f>
        <v/>
      </c>
    </row>
    <row r="28446" spans="15:15" x14ac:dyDescent="0.25">
      <c r="O28446" s="20" t="str">
        <f>IF(N28446="","",COUNTIFS(RawData[[Date ]],N28446,RawData[Month List],$Q$6,RawData[Tour/Site],$Q$2,RawData[[Picker ID ]],$Q$3,RawData[Checker ID],$Q$4,RawData[[Error Type ]],$Q$5))</f>
        <v/>
      </c>
    </row>
    <row r="28447" spans="15:15" x14ac:dyDescent="0.25">
      <c r="O28447" s="20" t="str">
        <f>IF(N28447="","",COUNTIFS(RawData[[Date ]],N28447,RawData[Month List],$Q$6,RawData[Tour/Site],$Q$2,RawData[[Picker ID ]],$Q$3,RawData[Checker ID],$Q$4,RawData[[Error Type ]],$Q$5))</f>
        <v/>
      </c>
    </row>
    <row r="28448" spans="15:15" x14ac:dyDescent="0.25">
      <c r="O28448" s="20" t="str">
        <f>IF(N28448="","",COUNTIFS(RawData[[Date ]],N28448,RawData[Month List],$Q$6,RawData[Tour/Site],$Q$2,RawData[[Picker ID ]],$Q$3,RawData[Checker ID],$Q$4,RawData[[Error Type ]],$Q$5))</f>
        <v/>
      </c>
    </row>
    <row r="28449" spans="15:15" x14ac:dyDescent="0.25">
      <c r="O28449" s="20" t="str">
        <f>IF(N28449="","",COUNTIFS(RawData[[Date ]],N28449,RawData[Month List],$Q$6,RawData[Tour/Site],$Q$2,RawData[[Picker ID ]],$Q$3,RawData[Checker ID],$Q$4,RawData[[Error Type ]],$Q$5))</f>
        <v/>
      </c>
    </row>
    <row r="28450" spans="15:15" x14ac:dyDescent="0.25">
      <c r="O28450" s="20" t="str">
        <f>IF(N28450="","",COUNTIFS(RawData[[Date ]],N28450,RawData[Month List],$Q$6,RawData[Tour/Site],$Q$2,RawData[[Picker ID ]],$Q$3,RawData[Checker ID],$Q$4,RawData[[Error Type ]],$Q$5))</f>
        <v/>
      </c>
    </row>
    <row r="28451" spans="15:15" x14ac:dyDescent="0.25">
      <c r="O28451" s="20" t="str">
        <f>IF(N28451="","",COUNTIFS(RawData[[Date ]],N28451,RawData[Month List],$Q$6,RawData[Tour/Site],$Q$2,RawData[[Picker ID ]],$Q$3,RawData[Checker ID],$Q$4,RawData[[Error Type ]],$Q$5))</f>
        <v/>
      </c>
    </row>
    <row r="28452" spans="15:15" x14ac:dyDescent="0.25">
      <c r="O28452" s="20" t="str">
        <f>IF(N28452="","",COUNTIFS(RawData[[Date ]],N28452,RawData[Month List],$Q$6,RawData[Tour/Site],$Q$2,RawData[[Picker ID ]],$Q$3,RawData[Checker ID],$Q$4,RawData[[Error Type ]],$Q$5))</f>
        <v/>
      </c>
    </row>
    <row r="28453" spans="15:15" x14ac:dyDescent="0.25">
      <c r="O28453" s="20" t="str">
        <f>IF(N28453="","",COUNTIFS(RawData[[Date ]],N28453,RawData[Month List],$Q$6,RawData[Tour/Site],$Q$2,RawData[[Picker ID ]],$Q$3,RawData[Checker ID],$Q$4,RawData[[Error Type ]],$Q$5))</f>
        <v/>
      </c>
    </row>
    <row r="28454" spans="15:15" x14ac:dyDescent="0.25">
      <c r="O28454" s="20" t="str">
        <f>IF(N28454="","",COUNTIFS(RawData[[Date ]],N28454,RawData[Month List],$Q$6,RawData[Tour/Site],$Q$2,RawData[[Picker ID ]],$Q$3,RawData[Checker ID],$Q$4,RawData[[Error Type ]],$Q$5))</f>
        <v/>
      </c>
    </row>
    <row r="28455" spans="15:15" x14ac:dyDescent="0.25">
      <c r="O28455" s="20" t="str">
        <f>IF(N28455="","",COUNTIFS(RawData[[Date ]],N28455,RawData[Month List],$Q$6,RawData[Tour/Site],$Q$2,RawData[[Picker ID ]],$Q$3,RawData[Checker ID],$Q$4,RawData[[Error Type ]],$Q$5))</f>
        <v/>
      </c>
    </row>
    <row r="28456" spans="15:15" x14ac:dyDescent="0.25">
      <c r="O28456" s="20" t="str">
        <f>IF(N28456="","",COUNTIFS(RawData[[Date ]],N28456,RawData[Month List],$Q$6,RawData[Tour/Site],$Q$2,RawData[[Picker ID ]],$Q$3,RawData[Checker ID],$Q$4,RawData[[Error Type ]],$Q$5))</f>
        <v/>
      </c>
    </row>
    <row r="28457" spans="15:15" x14ac:dyDescent="0.25">
      <c r="O28457" s="20" t="str">
        <f>IF(N28457="","",COUNTIFS(RawData[[Date ]],N28457,RawData[Month List],$Q$6,RawData[Tour/Site],$Q$2,RawData[[Picker ID ]],$Q$3,RawData[Checker ID],$Q$4,RawData[[Error Type ]],$Q$5))</f>
        <v/>
      </c>
    </row>
    <row r="28458" spans="15:15" x14ac:dyDescent="0.25">
      <c r="O28458" s="20" t="str">
        <f>IF(N28458="","",COUNTIFS(RawData[[Date ]],N28458,RawData[Month List],$Q$6,RawData[Tour/Site],$Q$2,RawData[[Picker ID ]],$Q$3,RawData[Checker ID],$Q$4,RawData[[Error Type ]],$Q$5))</f>
        <v/>
      </c>
    </row>
    <row r="28459" spans="15:15" x14ac:dyDescent="0.25">
      <c r="O28459" s="20" t="str">
        <f>IF(N28459="","",COUNTIFS(RawData[[Date ]],N28459,RawData[Month List],$Q$6,RawData[Tour/Site],$Q$2,RawData[[Picker ID ]],$Q$3,RawData[Checker ID],$Q$4,RawData[[Error Type ]],$Q$5))</f>
        <v/>
      </c>
    </row>
    <row r="28460" spans="15:15" x14ac:dyDescent="0.25">
      <c r="O28460" s="20" t="str">
        <f>IF(N28460="","",COUNTIFS(RawData[[Date ]],N28460,RawData[Month List],$Q$6,RawData[Tour/Site],$Q$2,RawData[[Picker ID ]],$Q$3,RawData[Checker ID],$Q$4,RawData[[Error Type ]],$Q$5))</f>
        <v/>
      </c>
    </row>
    <row r="28461" spans="15:15" x14ac:dyDescent="0.25">
      <c r="O28461" s="20" t="str">
        <f>IF(N28461="","",COUNTIFS(RawData[[Date ]],N28461,RawData[Month List],$Q$6,RawData[Tour/Site],$Q$2,RawData[[Picker ID ]],$Q$3,RawData[Checker ID],$Q$4,RawData[[Error Type ]],$Q$5))</f>
        <v/>
      </c>
    </row>
    <row r="28462" spans="15:15" x14ac:dyDescent="0.25">
      <c r="O28462" s="20" t="str">
        <f>IF(N28462="","",COUNTIFS(RawData[[Date ]],N28462,RawData[Month List],$Q$6,RawData[Tour/Site],$Q$2,RawData[[Picker ID ]],$Q$3,RawData[Checker ID],$Q$4,RawData[[Error Type ]],$Q$5))</f>
        <v/>
      </c>
    </row>
    <row r="28463" spans="15:15" x14ac:dyDescent="0.25">
      <c r="O28463" s="20" t="str">
        <f>IF(N28463="","",COUNTIFS(RawData[[Date ]],N28463,RawData[Month List],$Q$6,RawData[Tour/Site],$Q$2,RawData[[Picker ID ]],$Q$3,RawData[Checker ID],$Q$4,RawData[[Error Type ]],$Q$5))</f>
        <v/>
      </c>
    </row>
    <row r="28464" spans="15:15" x14ac:dyDescent="0.25">
      <c r="O28464" s="20" t="str">
        <f>IF(N28464="","",COUNTIFS(RawData[[Date ]],N28464,RawData[Month List],$Q$6,RawData[Tour/Site],$Q$2,RawData[[Picker ID ]],$Q$3,RawData[Checker ID],$Q$4,RawData[[Error Type ]],$Q$5))</f>
        <v/>
      </c>
    </row>
    <row r="28465" spans="15:15" x14ac:dyDescent="0.25">
      <c r="O28465" s="20" t="str">
        <f>IF(N28465="","",COUNTIFS(RawData[[Date ]],N28465,RawData[Month List],$Q$6,RawData[Tour/Site],$Q$2,RawData[[Picker ID ]],$Q$3,RawData[Checker ID],$Q$4,RawData[[Error Type ]],$Q$5))</f>
        <v/>
      </c>
    </row>
    <row r="28466" spans="15:15" x14ac:dyDescent="0.25">
      <c r="O28466" s="20" t="str">
        <f>IF(N28466="","",COUNTIFS(RawData[[Date ]],N28466,RawData[Month List],$Q$6,RawData[Tour/Site],$Q$2,RawData[[Picker ID ]],$Q$3,RawData[Checker ID],$Q$4,RawData[[Error Type ]],$Q$5))</f>
        <v/>
      </c>
    </row>
    <row r="28467" spans="15:15" x14ac:dyDescent="0.25">
      <c r="O28467" s="20" t="str">
        <f>IF(N28467="","",COUNTIFS(RawData[[Date ]],N28467,RawData[Month List],$Q$6,RawData[Tour/Site],$Q$2,RawData[[Picker ID ]],$Q$3,RawData[Checker ID],$Q$4,RawData[[Error Type ]],$Q$5))</f>
        <v/>
      </c>
    </row>
    <row r="28468" spans="15:15" x14ac:dyDescent="0.25">
      <c r="O28468" s="20" t="str">
        <f>IF(N28468="","",COUNTIFS(RawData[[Date ]],N28468,RawData[Month List],$Q$6,RawData[Tour/Site],$Q$2,RawData[[Picker ID ]],$Q$3,RawData[Checker ID],$Q$4,RawData[[Error Type ]],$Q$5))</f>
        <v/>
      </c>
    </row>
    <row r="28469" spans="15:15" x14ac:dyDescent="0.25">
      <c r="O28469" s="20" t="str">
        <f>IF(N28469="","",COUNTIFS(RawData[[Date ]],N28469,RawData[Month List],$Q$6,RawData[Tour/Site],$Q$2,RawData[[Picker ID ]],$Q$3,RawData[Checker ID],$Q$4,RawData[[Error Type ]],$Q$5))</f>
        <v/>
      </c>
    </row>
    <row r="28470" spans="15:15" x14ac:dyDescent="0.25">
      <c r="O28470" s="20" t="str">
        <f>IF(N28470="","",COUNTIFS(RawData[[Date ]],N28470,RawData[Month List],$Q$6,RawData[Tour/Site],$Q$2,RawData[[Picker ID ]],$Q$3,RawData[Checker ID],$Q$4,RawData[[Error Type ]],$Q$5))</f>
        <v/>
      </c>
    </row>
    <row r="28471" spans="15:15" x14ac:dyDescent="0.25">
      <c r="O28471" s="20" t="str">
        <f>IF(N28471="","",COUNTIFS(RawData[[Date ]],N28471,RawData[Month List],$Q$6,RawData[Tour/Site],$Q$2,RawData[[Picker ID ]],$Q$3,RawData[Checker ID],$Q$4,RawData[[Error Type ]],$Q$5))</f>
        <v/>
      </c>
    </row>
    <row r="28472" spans="15:15" x14ac:dyDescent="0.25">
      <c r="O28472" s="20" t="str">
        <f>IF(N28472="","",COUNTIFS(RawData[[Date ]],N28472,RawData[Month List],$Q$6,RawData[Tour/Site],$Q$2,RawData[[Picker ID ]],$Q$3,RawData[Checker ID],$Q$4,RawData[[Error Type ]],$Q$5))</f>
        <v/>
      </c>
    </row>
    <row r="28473" spans="15:15" x14ac:dyDescent="0.25">
      <c r="O28473" s="20" t="str">
        <f>IF(N28473="","",COUNTIFS(RawData[[Date ]],N28473,RawData[Month List],$Q$6,RawData[Tour/Site],$Q$2,RawData[[Picker ID ]],$Q$3,RawData[Checker ID],$Q$4,RawData[[Error Type ]],$Q$5))</f>
        <v/>
      </c>
    </row>
    <row r="28474" spans="15:15" x14ac:dyDescent="0.25">
      <c r="O28474" s="20" t="str">
        <f>IF(N28474="","",COUNTIFS(RawData[[Date ]],N28474,RawData[Month List],$Q$6,RawData[Tour/Site],$Q$2,RawData[[Picker ID ]],$Q$3,RawData[Checker ID],$Q$4,RawData[[Error Type ]],$Q$5))</f>
        <v/>
      </c>
    </row>
    <row r="28475" spans="15:15" x14ac:dyDescent="0.25">
      <c r="O28475" s="20" t="str">
        <f>IF(N28475="","",COUNTIFS(RawData[[Date ]],N28475,RawData[Month List],$Q$6,RawData[Tour/Site],$Q$2,RawData[[Picker ID ]],$Q$3,RawData[Checker ID],$Q$4,RawData[[Error Type ]],$Q$5))</f>
        <v/>
      </c>
    </row>
    <row r="28476" spans="15:15" x14ac:dyDescent="0.25">
      <c r="O28476" s="20" t="str">
        <f>IF(N28476="","",COUNTIFS(RawData[[Date ]],N28476,RawData[Month List],$Q$6,RawData[Tour/Site],$Q$2,RawData[[Picker ID ]],$Q$3,RawData[Checker ID],$Q$4,RawData[[Error Type ]],$Q$5))</f>
        <v/>
      </c>
    </row>
    <row r="28477" spans="15:15" x14ac:dyDescent="0.25">
      <c r="O28477" s="20" t="str">
        <f>IF(N28477="","",COUNTIFS(RawData[[Date ]],N28477,RawData[Month List],$Q$6,RawData[Tour/Site],$Q$2,RawData[[Picker ID ]],$Q$3,RawData[Checker ID],$Q$4,RawData[[Error Type ]],$Q$5))</f>
        <v/>
      </c>
    </row>
    <row r="28478" spans="15:15" x14ac:dyDescent="0.25">
      <c r="O28478" s="20" t="str">
        <f>IF(N28478="","",COUNTIFS(RawData[[Date ]],N28478,RawData[Month List],$Q$6,RawData[Tour/Site],$Q$2,RawData[[Picker ID ]],$Q$3,RawData[Checker ID],$Q$4,RawData[[Error Type ]],$Q$5))</f>
        <v/>
      </c>
    </row>
    <row r="28479" spans="15:15" x14ac:dyDescent="0.25">
      <c r="O28479" s="20" t="str">
        <f>IF(N28479="","",COUNTIFS(RawData[[Date ]],N28479,RawData[Month List],$Q$6,RawData[Tour/Site],$Q$2,RawData[[Picker ID ]],$Q$3,RawData[Checker ID],$Q$4,RawData[[Error Type ]],$Q$5))</f>
        <v/>
      </c>
    </row>
    <row r="28480" spans="15:15" x14ac:dyDescent="0.25">
      <c r="O28480" s="20" t="str">
        <f>IF(N28480="","",COUNTIFS(RawData[[Date ]],N28480,RawData[Month List],$Q$6,RawData[Tour/Site],$Q$2,RawData[[Picker ID ]],$Q$3,RawData[Checker ID],$Q$4,RawData[[Error Type ]],$Q$5))</f>
        <v/>
      </c>
    </row>
    <row r="28481" spans="15:15" x14ac:dyDescent="0.25">
      <c r="O28481" s="20" t="str">
        <f>IF(N28481="","",COUNTIFS(RawData[[Date ]],N28481,RawData[Month List],$Q$6,RawData[Tour/Site],$Q$2,RawData[[Picker ID ]],$Q$3,RawData[Checker ID],$Q$4,RawData[[Error Type ]],$Q$5))</f>
        <v/>
      </c>
    </row>
    <row r="28482" spans="15:15" x14ac:dyDescent="0.25">
      <c r="O28482" s="20" t="str">
        <f>IF(N28482="","",COUNTIFS(RawData[[Date ]],N28482,RawData[Month List],$Q$6,RawData[Tour/Site],$Q$2,RawData[[Picker ID ]],$Q$3,RawData[Checker ID],$Q$4,RawData[[Error Type ]],$Q$5))</f>
        <v/>
      </c>
    </row>
    <row r="28483" spans="15:15" x14ac:dyDescent="0.25">
      <c r="O28483" s="20" t="str">
        <f>IF(N28483="","",COUNTIFS(RawData[[Date ]],N28483,RawData[Month List],$Q$6,RawData[Tour/Site],$Q$2,RawData[[Picker ID ]],$Q$3,RawData[Checker ID],$Q$4,RawData[[Error Type ]],$Q$5))</f>
        <v/>
      </c>
    </row>
    <row r="28484" spans="15:15" x14ac:dyDescent="0.25">
      <c r="O28484" s="20" t="str">
        <f>IF(N28484="","",COUNTIFS(RawData[[Date ]],N28484,RawData[Month List],$Q$6,RawData[Tour/Site],$Q$2,RawData[[Picker ID ]],$Q$3,RawData[Checker ID],$Q$4,RawData[[Error Type ]],$Q$5))</f>
        <v/>
      </c>
    </row>
    <row r="28485" spans="15:15" x14ac:dyDescent="0.25">
      <c r="O28485" s="20" t="str">
        <f>IF(N28485="","",COUNTIFS(RawData[[Date ]],N28485,RawData[Month List],$Q$6,RawData[Tour/Site],$Q$2,RawData[[Picker ID ]],$Q$3,RawData[Checker ID],$Q$4,RawData[[Error Type ]],$Q$5))</f>
        <v/>
      </c>
    </row>
    <row r="28486" spans="15:15" x14ac:dyDescent="0.25">
      <c r="O28486" s="20" t="str">
        <f>IF(N28486="","",COUNTIFS(RawData[[Date ]],N28486,RawData[Month List],$Q$6,RawData[Tour/Site],$Q$2,RawData[[Picker ID ]],$Q$3,RawData[Checker ID],$Q$4,RawData[[Error Type ]],$Q$5))</f>
        <v/>
      </c>
    </row>
    <row r="28487" spans="15:15" x14ac:dyDescent="0.25">
      <c r="O28487" s="20" t="str">
        <f>IF(N28487="","",COUNTIFS(RawData[[Date ]],N28487,RawData[Month List],$Q$6,RawData[Tour/Site],$Q$2,RawData[[Picker ID ]],$Q$3,RawData[Checker ID],$Q$4,RawData[[Error Type ]],$Q$5))</f>
        <v/>
      </c>
    </row>
    <row r="28488" spans="15:15" x14ac:dyDescent="0.25">
      <c r="O28488" s="20" t="str">
        <f>IF(N28488="","",COUNTIFS(RawData[[Date ]],N28488,RawData[Month List],$Q$6,RawData[Tour/Site],$Q$2,RawData[[Picker ID ]],$Q$3,RawData[Checker ID],$Q$4,RawData[[Error Type ]],$Q$5))</f>
        <v/>
      </c>
    </row>
    <row r="28489" spans="15:15" x14ac:dyDescent="0.25">
      <c r="O28489" s="20" t="str">
        <f>IF(N28489="","",COUNTIFS(RawData[[Date ]],N28489,RawData[Month List],$Q$6,RawData[Tour/Site],$Q$2,RawData[[Picker ID ]],$Q$3,RawData[Checker ID],$Q$4,RawData[[Error Type ]],$Q$5))</f>
        <v/>
      </c>
    </row>
    <row r="28490" spans="15:15" x14ac:dyDescent="0.25">
      <c r="O28490" s="20" t="str">
        <f>IF(N28490="","",COUNTIFS(RawData[[Date ]],N28490,RawData[Month List],$Q$6,RawData[Tour/Site],$Q$2,RawData[[Picker ID ]],$Q$3,RawData[Checker ID],$Q$4,RawData[[Error Type ]],$Q$5))</f>
        <v/>
      </c>
    </row>
    <row r="28491" spans="15:15" x14ac:dyDescent="0.25">
      <c r="O28491" s="20" t="str">
        <f>IF(N28491="","",COUNTIFS(RawData[[Date ]],N28491,RawData[Month List],$Q$6,RawData[Tour/Site],$Q$2,RawData[[Picker ID ]],$Q$3,RawData[Checker ID],$Q$4,RawData[[Error Type ]],$Q$5))</f>
        <v/>
      </c>
    </row>
    <row r="28492" spans="15:15" x14ac:dyDescent="0.25">
      <c r="O28492" s="20" t="str">
        <f>IF(N28492="","",COUNTIFS(RawData[[Date ]],N28492,RawData[Month List],$Q$6,RawData[Tour/Site],$Q$2,RawData[[Picker ID ]],$Q$3,RawData[Checker ID],$Q$4,RawData[[Error Type ]],$Q$5))</f>
        <v/>
      </c>
    </row>
    <row r="28493" spans="15:15" x14ac:dyDescent="0.25">
      <c r="O28493" s="20" t="str">
        <f>IF(N28493="","",COUNTIFS(RawData[[Date ]],N28493,RawData[Month List],$Q$6,RawData[Tour/Site],$Q$2,RawData[[Picker ID ]],$Q$3,RawData[Checker ID],$Q$4,RawData[[Error Type ]],$Q$5))</f>
        <v/>
      </c>
    </row>
    <row r="28494" spans="15:15" x14ac:dyDescent="0.25">
      <c r="O28494" s="20" t="str">
        <f>IF(N28494="","",COUNTIFS(RawData[[Date ]],N28494,RawData[Month List],$Q$6,RawData[Tour/Site],$Q$2,RawData[[Picker ID ]],$Q$3,RawData[Checker ID],$Q$4,RawData[[Error Type ]],$Q$5))</f>
        <v/>
      </c>
    </row>
    <row r="28495" spans="15:15" x14ac:dyDescent="0.25">
      <c r="O28495" s="20" t="str">
        <f>IF(N28495="","",COUNTIFS(RawData[[Date ]],N28495,RawData[Month List],$Q$6,RawData[Tour/Site],$Q$2,RawData[[Picker ID ]],$Q$3,RawData[Checker ID],$Q$4,RawData[[Error Type ]],$Q$5))</f>
        <v/>
      </c>
    </row>
    <row r="28496" spans="15:15" x14ac:dyDescent="0.25">
      <c r="O28496" s="20" t="str">
        <f>IF(N28496="","",COUNTIFS(RawData[[Date ]],N28496,RawData[Month List],$Q$6,RawData[Tour/Site],$Q$2,RawData[[Picker ID ]],$Q$3,RawData[Checker ID],$Q$4,RawData[[Error Type ]],$Q$5))</f>
        <v/>
      </c>
    </row>
    <row r="28497" spans="15:15" x14ac:dyDescent="0.25">
      <c r="O28497" s="20" t="str">
        <f>IF(N28497="","",COUNTIFS(RawData[[Date ]],N28497,RawData[Month List],$Q$6,RawData[Tour/Site],$Q$2,RawData[[Picker ID ]],$Q$3,RawData[Checker ID],$Q$4,RawData[[Error Type ]],$Q$5))</f>
        <v/>
      </c>
    </row>
    <row r="28498" spans="15:15" x14ac:dyDescent="0.25">
      <c r="O28498" s="20" t="str">
        <f>IF(N28498="","",COUNTIFS(RawData[[Date ]],N28498,RawData[Month List],$Q$6,RawData[Tour/Site],$Q$2,RawData[[Picker ID ]],$Q$3,RawData[Checker ID],$Q$4,RawData[[Error Type ]],$Q$5))</f>
        <v/>
      </c>
    </row>
    <row r="28499" spans="15:15" x14ac:dyDescent="0.25">
      <c r="O28499" s="20" t="str">
        <f>IF(N28499="","",COUNTIFS(RawData[[Date ]],N28499,RawData[Month List],$Q$6,RawData[Tour/Site],$Q$2,RawData[[Picker ID ]],$Q$3,RawData[Checker ID],$Q$4,RawData[[Error Type ]],$Q$5))</f>
        <v/>
      </c>
    </row>
    <row r="28500" spans="15:15" x14ac:dyDescent="0.25">
      <c r="O28500" s="20" t="str">
        <f>IF(N28500="","",COUNTIFS(RawData[[Date ]],N28500,RawData[Month List],$Q$6,RawData[Tour/Site],$Q$2,RawData[[Picker ID ]],$Q$3,RawData[Checker ID],$Q$4,RawData[[Error Type ]],$Q$5))</f>
        <v/>
      </c>
    </row>
    <row r="28501" spans="15:15" x14ac:dyDescent="0.25">
      <c r="O28501" s="20" t="str">
        <f>IF(N28501="","",COUNTIFS(RawData[[Date ]],N28501,RawData[Month List],$Q$6,RawData[Tour/Site],$Q$2,RawData[[Picker ID ]],$Q$3,RawData[Checker ID],$Q$4,RawData[[Error Type ]],$Q$5))</f>
        <v/>
      </c>
    </row>
    <row r="28502" spans="15:15" x14ac:dyDescent="0.25">
      <c r="O28502" s="20" t="str">
        <f>IF(N28502="","",COUNTIFS(RawData[[Date ]],N28502,RawData[Month List],$Q$6,RawData[Tour/Site],$Q$2,RawData[[Picker ID ]],$Q$3,RawData[Checker ID],$Q$4,RawData[[Error Type ]],$Q$5))</f>
        <v/>
      </c>
    </row>
    <row r="28503" spans="15:15" x14ac:dyDescent="0.25">
      <c r="O28503" s="20" t="str">
        <f>IF(N28503="","",COUNTIFS(RawData[[Date ]],N28503,RawData[Month List],$Q$6,RawData[Tour/Site],$Q$2,RawData[[Picker ID ]],$Q$3,RawData[Checker ID],$Q$4,RawData[[Error Type ]],$Q$5))</f>
        <v/>
      </c>
    </row>
    <row r="28504" spans="15:15" x14ac:dyDescent="0.25">
      <c r="O28504" s="20" t="str">
        <f>IF(N28504="","",COUNTIFS(RawData[[Date ]],N28504,RawData[Month List],$Q$6,RawData[Tour/Site],$Q$2,RawData[[Picker ID ]],$Q$3,RawData[Checker ID],$Q$4,RawData[[Error Type ]],$Q$5))</f>
        <v/>
      </c>
    </row>
    <row r="28505" spans="15:15" x14ac:dyDescent="0.25">
      <c r="O28505" s="20" t="str">
        <f>IF(N28505="","",COUNTIFS(RawData[[Date ]],N28505,RawData[Month List],$Q$6,RawData[Tour/Site],$Q$2,RawData[[Picker ID ]],$Q$3,RawData[Checker ID],$Q$4,RawData[[Error Type ]],$Q$5))</f>
        <v/>
      </c>
    </row>
    <row r="28506" spans="15:15" x14ac:dyDescent="0.25">
      <c r="O28506" s="20" t="str">
        <f>IF(N28506="","",COUNTIFS(RawData[[Date ]],N28506,RawData[Month List],$Q$6,RawData[Tour/Site],$Q$2,RawData[[Picker ID ]],$Q$3,RawData[Checker ID],$Q$4,RawData[[Error Type ]],$Q$5))</f>
        <v/>
      </c>
    </row>
    <row r="28507" spans="15:15" x14ac:dyDescent="0.25">
      <c r="O28507" s="20" t="str">
        <f>IF(N28507="","",COUNTIFS(RawData[[Date ]],N28507,RawData[Month List],$Q$6,RawData[Tour/Site],$Q$2,RawData[[Picker ID ]],$Q$3,RawData[Checker ID],$Q$4,RawData[[Error Type ]],$Q$5))</f>
        <v/>
      </c>
    </row>
    <row r="28508" spans="15:15" x14ac:dyDescent="0.25">
      <c r="O28508" s="20" t="str">
        <f>IF(N28508="","",COUNTIFS(RawData[[Date ]],N28508,RawData[Month List],$Q$6,RawData[Tour/Site],$Q$2,RawData[[Picker ID ]],$Q$3,RawData[Checker ID],$Q$4,RawData[[Error Type ]],$Q$5))</f>
        <v/>
      </c>
    </row>
    <row r="28509" spans="15:15" x14ac:dyDescent="0.25">
      <c r="O28509" s="20" t="str">
        <f>IF(N28509="","",COUNTIFS(RawData[[Date ]],N28509,RawData[Month List],$Q$6,RawData[Tour/Site],$Q$2,RawData[[Picker ID ]],$Q$3,RawData[Checker ID],$Q$4,RawData[[Error Type ]],$Q$5))</f>
        <v/>
      </c>
    </row>
    <row r="28510" spans="15:15" x14ac:dyDescent="0.25">
      <c r="O28510" s="20" t="str">
        <f>IF(N28510="","",COUNTIFS(RawData[[Date ]],N28510,RawData[Month List],$Q$6,RawData[Tour/Site],$Q$2,RawData[[Picker ID ]],$Q$3,RawData[Checker ID],$Q$4,RawData[[Error Type ]],$Q$5))</f>
        <v/>
      </c>
    </row>
    <row r="28511" spans="15:15" x14ac:dyDescent="0.25">
      <c r="O28511" s="20" t="str">
        <f>IF(N28511="","",COUNTIFS(RawData[[Date ]],N28511,RawData[Month List],$Q$6,RawData[Tour/Site],$Q$2,RawData[[Picker ID ]],$Q$3,RawData[Checker ID],$Q$4,RawData[[Error Type ]],$Q$5))</f>
        <v/>
      </c>
    </row>
    <row r="28512" spans="15:15" x14ac:dyDescent="0.25">
      <c r="O28512" s="20" t="str">
        <f>IF(N28512="","",COUNTIFS(RawData[[Date ]],N28512,RawData[Month List],$Q$6,RawData[Tour/Site],$Q$2,RawData[[Picker ID ]],$Q$3,RawData[Checker ID],$Q$4,RawData[[Error Type ]],$Q$5))</f>
        <v/>
      </c>
    </row>
    <row r="28513" spans="15:15" x14ac:dyDescent="0.25">
      <c r="O28513" s="20" t="str">
        <f>IF(N28513="","",COUNTIFS(RawData[[Date ]],N28513,RawData[Month List],$Q$6,RawData[Tour/Site],$Q$2,RawData[[Picker ID ]],$Q$3,RawData[Checker ID],$Q$4,RawData[[Error Type ]],$Q$5))</f>
        <v/>
      </c>
    </row>
    <row r="28514" spans="15:15" x14ac:dyDescent="0.25">
      <c r="O28514" s="20" t="str">
        <f>IF(N28514="","",COUNTIFS(RawData[[Date ]],N28514,RawData[Month List],$Q$6,RawData[Tour/Site],$Q$2,RawData[[Picker ID ]],$Q$3,RawData[Checker ID],$Q$4,RawData[[Error Type ]],$Q$5))</f>
        <v/>
      </c>
    </row>
    <row r="28515" spans="15:15" x14ac:dyDescent="0.25">
      <c r="O28515" s="20" t="str">
        <f>IF(N28515="","",COUNTIFS(RawData[[Date ]],N28515,RawData[Month List],$Q$6,RawData[Tour/Site],$Q$2,RawData[[Picker ID ]],$Q$3,RawData[Checker ID],$Q$4,RawData[[Error Type ]],$Q$5))</f>
        <v/>
      </c>
    </row>
    <row r="28516" spans="15:15" x14ac:dyDescent="0.25">
      <c r="O28516" s="20" t="str">
        <f>IF(N28516="","",COUNTIFS(RawData[[Date ]],N28516,RawData[Month List],$Q$6,RawData[Tour/Site],$Q$2,RawData[[Picker ID ]],$Q$3,RawData[Checker ID],$Q$4,RawData[[Error Type ]],$Q$5))</f>
        <v/>
      </c>
    </row>
    <row r="28517" spans="15:15" x14ac:dyDescent="0.25">
      <c r="O28517" s="20" t="str">
        <f>IF(N28517="","",COUNTIFS(RawData[[Date ]],N28517,RawData[Month List],$Q$6,RawData[Tour/Site],$Q$2,RawData[[Picker ID ]],$Q$3,RawData[Checker ID],$Q$4,RawData[[Error Type ]],$Q$5))</f>
        <v/>
      </c>
    </row>
    <row r="28518" spans="15:15" x14ac:dyDescent="0.25">
      <c r="O28518" s="20" t="str">
        <f>IF(N28518="","",COUNTIFS(RawData[[Date ]],N28518,RawData[Month List],$Q$6,RawData[Tour/Site],$Q$2,RawData[[Picker ID ]],$Q$3,RawData[Checker ID],$Q$4,RawData[[Error Type ]],$Q$5))</f>
        <v/>
      </c>
    </row>
    <row r="28519" spans="15:15" x14ac:dyDescent="0.25">
      <c r="O28519" s="20" t="str">
        <f>IF(N28519="","",COUNTIFS(RawData[[Date ]],N28519,RawData[Month List],$Q$6,RawData[Tour/Site],$Q$2,RawData[[Picker ID ]],$Q$3,RawData[Checker ID],$Q$4,RawData[[Error Type ]],$Q$5))</f>
        <v/>
      </c>
    </row>
    <row r="28520" spans="15:15" x14ac:dyDescent="0.25">
      <c r="O28520" s="20" t="str">
        <f>IF(N28520="","",COUNTIFS(RawData[[Date ]],N28520,RawData[Month List],$Q$6,RawData[Tour/Site],$Q$2,RawData[[Picker ID ]],$Q$3,RawData[Checker ID],$Q$4,RawData[[Error Type ]],$Q$5))</f>
        <v/>
      </c>
    </row>
    <row r="28521" spans="15:15" x14ac:dyDescent="0.25">
      <c r="O28521" s="20" t="str">
        <f>IF(N28521="","",COUNTIFS(RawData[[Date ]],N28521,RawData[Month List],$Q$6,RawData[Tour/Site],$Q$2,RawData[[Picker ID ]],$Q$3,RawData[Checker ID],$Q$4,RawData[[Error Type ]],$Q$5))</f>
        <v/>
      </c>
    </row>
    <row r="28522" spans="15:15" x14ac:dyDescent="0.25">
      <c r="O28522" s="20" t="str">
        <f>IF(N28522="","",COUNTIFS(RawData[[Date ]],N28522,RawData[Month List],$Q$6,RawData[Tour/Site],$Q$2,RawData[[Picker ID ]],$Q$3,RawData[Checker ID],$Q$4,RawData[[Error Type ]],$Q$5))</f>
        <v/>
      </c>
    </row>
    <row r="28523" spans="15:15" x14ac:dyDescent="0.25">
      <c r="O28523" s="20" t="str">
        <f>IF(N28523="","",COUNTIFS(RawData[[Date ]],N28523,RawData[Month List],$Q$6,RawData[Tour/Site],$Q$2,RawData[[Picker ID ]],$Q$3,RawData[Checker ID],$Q$4,RawData[[Error Type ]],$Q$5))</f>
        <v/>
      </c>
    </row>
    <row r="28524" spans="15:15" x14ac:dyDescent="0.25">
      <c r="O28524" s="20" t="str">
        <f>IF(N28524="","",COUNTIFS(RawData[[Date ]],N28524,RawData[Month List],$Q$6,RawData[Tour/Site],$Q$2,RawData[[Picker ID ]],$Q$3,RawData[Checker ID],$Q$4,RawData[[Error Type ]],$Q$5))</f>
        <v/>
      </c>
    </row>
    <row r="28525" spans="15:15" x14ac:dyDescent="0.25">
      <c r="O28525" s="20" t="str">
        <f>IF(N28525="","",COUNTIFS(RawData[[Date ]],N28525,RawData[Month List],$Q$6,RawData[Tour/Site],$Q$2,RawData[[Picker ID ]],$Q$3,RawData[Checker ID],$Q$4,RawData[[Error Type ]],$Q$5))</f>
        <v/>
      </c>
    </row>
    <row r="28526" spans="15:15" x14ac:dyDescent="0.25">
      <c r="O28526" s="20" t="str">
        <f>IF(N28526="","",COUNTIFS(RawData[[Date ]],N28526,RawData[Month List],$Q$6,RawData[Tour/Site],$Q$2,RawData[[Picker ID ]],$Q$3,RawData[Checker ID],$Q$4,RawData[[Error Type ]],$Q$5))</f>
        <v/>
      </c>
    </row>
    <row r="28527" spans="15:15" x14ac:dyDescent="0.25">
      <c r="O28527" s="20" t="str">
        <f>IF(N28527="","",COUNTIFS(RawData[[Date ]],N28527,RawData[Month List],$Q$6,RawData[Tour/Site],$Q$2,RawData[[Picker ID ]],$Q$3,RawData[Checker ID],$Q$4,RawData[[Error Type ]],$Q$5))</f>
        <v/>
      </c>
    </row>
    <row r="28528" spans="15:15" x14ac:dyDescent="0.25">
      <c r="O28528" s="20" t="str">
        <f>IF(N28528="","",COUNTIFS(RawData[[Date ]],N28528,RawData[Month List],$Q$6,RawData[Tour/Site],$Q$2,RawData[[Picker ID ]],$Q$3,RawData[Checker ID],$Q$4,RawData[[Error Type ]],$Q$5))</f>
        <v/>
      </c>
    </row>
    <row r="28529" spans="15:15" x14ac:dyDescent="0.25">
      <c r="O28529" s="20" t="str">
        <f>IF(N28529="","",COUNTIFS(RawData[[Date ]],N28529,RawData[Month List],$Q$6,RawData[Tour/Site],$Q$2,RawData[[Picker ID ]],$Q$3,RawData[Checker ID],$Q$4,RawData[[Error Type ]],$Q$5))</f>
        <v/>
      </c>
    </row>
    <row r="28530" spans="15:15" x14ac:dyDescent="0.25">
      <c r="O28530" s="20" t="str">
        <f>IF(N28530="","",COUNTIFS(RawData[[Date ]],N28530,RawData[Month List],$Q$6,RawData[Tour/Site],$Q$2,RawData[[Picker ID ]],$Q$3,RawData[Checker ID],$Q$4,RawData[[Error Type ]],$Q$5))</f>
        <v/>
      </c>
    </row>
    <row r="28531" spans="15:15" x14ac:dyDescent="0.25">
      <c r="O28531" s="20" t="str">
        <f>IF(N28531="","",COUNTIFS(RawData[[Date ]],N28531,RawData[Month List],$Q$6,RawData[Tour/Site],$Q$2,RawData[[Picker ID ]],$Q$3,RawData[Checker ID],$Q$4,RawData[[Error Type ]],$Q$5))</f>
        <v/>
      </c>
    </row>
    <row r="28532" spans="15:15" x14ac:dyDescent="0.25">
      <c r="O28532" s="20" t="str">
        <f>IF(N28532="","",COUNTIFS(RawData[[Date ]],N28532,RawData[Month List],$Q$6,RawData[Tour/Site],$Q$2,RawData[[Picker ID ]],$Q$3,RawData[Checker ID],$Q$4,RawData[[Error Type ]],$Q$5))</f>
        <v/>
      </c>
    </row>
    <row r="28533" spans="15:15" x14ac:dyDescent="0.25">
      <c r="O28533" s="20" t="str">
        <f>IF(N28533="","",COUNTIFS(RawData[[Date ]],N28533,RawData[Month List],$Q$6,RawData[Tour/Site],$Q$2,RawData[[Picker ID ]],$Q$3,RawData[Checker ID],$Q$4,RawData[[Error Type ]],$Q$5))</f>
        <v/>
      </c>
    </row>
    <row r="28534" spans="15:15" x14ac:dyDescent="0.25">
      <c r="O28534" s="20" t="str">
        <f>IF(N28534="","",COUNTIFS(RawData[[Date ]],N28534,RawData[Month List],$Q$6,RawData[Tour/Site],$Q$2,RawData[[Picker ID ]],$Q$3,RawData[Checker ID],$Q$4,RawData[[Error Type ]],$Q$5))</f>
        <v/>
      </c>
    </row>
    <row r="28535" spans="15:15" x14ac:dyDescent="0.25">
      <c r="O28535" s="20" t="str">
        <f>IF(N28535="","",COUNTIFS(RawData[[Date ]],N28535,RawData[Month List],$Q$6,RawData[Tour/Site],$Q$2,RawData[[Picker ID ]],$Q$3,RawData[Checker ID],$Q$4,RawData[[Error Type ]],$Q$5))</f>
        <v/>
      </c>
    </row>
    <row r="28536" spans="15:15" x14ac:dyDescent="0.25">
      <c r="O28536" s="20" t="str">
        <f>IF(N28536="","",COUNTIFS(RawData[[Date ]],N28536,RawData[Month List],$Q$6,RawData[Tour/Site],$Q$2,RawData[[Picker ID ]],$Q$3,RawData[Checker ID],$Q$4,RawData[[Error Type ]],$Q$5))</f>
        <v/>
      </c>
    </row>
    <row r="28537" spans="15:15" x14ac:dyDescent="0.25">
      <c r="O28537" s="20" t="str">
        <f>IF(N28537="","",COUNTIFS(RawData[[Date ]],N28537,RawData[Month List],$Q$6,RawData[Tour/Site],$Q$2,RawData[[Picker ID ]],$Q$3,RawData[Checker ID],$Q$4,RawData[[Error Type ]],$Q$5))</f>
        <v/>
      </c>
    </row>
    <row r="28538" spans="15:15" x14ac:dyDescent="0.25">
      <c r="O28538" s="20" t="str">
        <f>IF(N28538="","",COUNTIFS(RawData[[Date ]],N28538,RawData[Month List],$Q$6,RawData[Tour/Site],$Q$2,RawData[[Picker ID ]],$Q$3,RawData[Checker ID],$Q$4,RawData[[Error Type ]],$Q$5))</f>
        <v/>
      </c>
    </row>
    <row r="28539" spans="15:15" x14ac:dyDescent="0.25">
      <c r="O28539" s="20" t="str">
        <f>IF(N28539="","",COUNTIFS(RawData[[Date ]],N28539,RawData[Month List],$Q$6,RawData[Tour/Site],$Q$2,RawData[[Picker ID ]],$Q$3,RawData[Checker ID],$Q$4,RawData[[Error Type ]],$Q$5))</f>
        <v/>
      </c>
    </row>
    <row r="28540" spans="15:15" x14ac:dyDescent="0.25">
      <c r="O28540" s="20" t="str">
        <f>IF(N28540="","",COUNTIFS(RawData[[Date ]],N28540,RawData[Month List],$Q$6,RawData[Tour/Site],$Q$2,RawData[[Picker ID ]],$Q$3,RawData[Checker ID],$Q$4,RawData[[Error Type ]],$Q$5))</f>
        <v/>
      </c>
    </row>
    <row r="28541" spans="15:15" x14ac:dyDescent="0.25">
      <c r="O28541" s="20" t="str">
        <f>IF(N28541="","",COUNTIFS(RawData[[Date ]],N28541,RawData[Month List],$Q$6,RawData[Tour/Site],$Q$2,RawData[[Picker ID ]],$Q$3,RawData[Checker ID],$Q$4,RawData[[Error Type ]],$Q$5))</f>
        <v/>
      </c>
    </row>
    <row r="28542" spans="15:15" x14ac:dyDescent="0.25">
      <c r="O28542" s="20" t="str">
        <f>IF(N28542="","",COUNTIFS(RawData[[Date ]],N28542,RawData[Month List],$Q$6,RawData[Tour/Site],$Q$2,RawData[[Picker ID ]],$Q$3,RawData[Checker ID],$Q$4,RawData[[Error Type ]],$Q$5))</f>
        <v/>
      </c>
    </row>
    <row r="28543" spans="15:15" x14ac:dyDescent="0.25">
      <c r="O28543" s="20" t="str">
        <f>IF(N28543="","",COUNTIFS(RawData[[Date ]],N28543,RawData[Month List],$Q$6,RawData[Tour/Site],$Q$2,RawData[[Picker ID ]],$Q$3,RawData[Checker ID],$Q$4,RawData[[Error Type ]],$Q$5))</f>
        <v/>
      </c>
    </row>
    <row r="28544" spans="15:15" x14ac:dyDescent="0.25">
      <c r="O28544" s="20" t="str">
        <f>IF(N28544="","",COUNTIFS(RawData[[Date ]],N28544,RawData[Month List],$Q$6,RawData[Tour/Site],$Q$2,RawData[[Picker ID ]],$Q$3,RawData[Checker ID],$Q$4,RawData[[Error Type ]],$Q$5))</f>
        <v/>
      </c>
    </row>
    <row r="28545" spans="15:15" x14ac:dyDescent="0.25">
      <c r="O28545" s="20" t="str">
        <f>IF(N28545="","",COUNTIFS(RawData[[Date ]],N28545,RawData[Month List],$Q$6,RawData[Tour/Site],$Q$2,RawData[[Picker ID ]],$Q$3,RawData[Checker ID],$Q$4,RawData[[Error Type ]],$Q$5))</f>
        <v/>
      </c>
    </row>
    <row r="28546" spans="15:15" x14ac:dyDescent="0.25">
      <c r="O28546" s="20" t="str">
        <f>IF(N28546="","",COUNTIFS(RawData[[Date ]],N28546,RawData[Month List],$Q$6,RawData[Tour/Site],$Q$2,RawData[[Picker ID ]],$Q$3,RawData[Checker ID],$Q$4,RawData[[Error Type ]],$Q$5))</f>
        <v/>
      </c>
    </row>
    <row r="28547" spans="15:15" x14ac:dyDescent="0.25">
      <c r="O28547" s="20" t="str">
        <f>IF(N28547="","",COUNTIFS(RawData[[Date ]],N28547,RawData[Month List],$Q$6,RawData[Tour/Site],$Q$2,RawData[[Picker ID ]],$Q$3,RawData[Checker ID],$Q$4,RawData[[Error Type ]],$Q$5))</f>
        <v/>
      </c>
    </row>
    <row r="28548" spans="15:15" x14ac:dyDescent="0.25">
      <c r="O28548" s="20" t="str">
        <f>IF(N28548="","",COUNTIFS(RawData[[Date ]],N28548,RawData[Month List],$Q$6,RawData[Tour/Site],$Q$2,RawData[[Picker ID ]],$Q$3,RawData[Checker ID],$Q$4,RawData[[Error Type ]],$Q$5))</f>
        <v/>
      </c>
    </row>
    <row r="28549" spans="15:15" x14ac:dyDescent="0.25">
      <c r="O28549" s="20" t="str">
        <f>IF(N28549="","",COUNTIFS(RawData[[Date ]],N28549,RawData[Month List],$Q$6,RawData[Tour/Site],$Q$2,RawData[[Picker ID ]],$Q$3,RawData[Checker ID],$Q$4,RawData[[Error Type ]],$Q$5))</f>
        <v/>
      </c>
    </row>
    <row r="28550" spans="15:15" x14ac:dyDescent="0.25">
      <c r="O28550" s="20" t="str">
        <f>IF(N28550="","",COUNTIFS(RawData[[Date ]],N28550,RawData[Month List],$Q$6,RawData[Tour/Site],$Q$2,RawData[[Picker ID ]],$Q$3,RawData[Checker ID],$Q$4,RawData[[Error Type ]],$Q$5))</f>
        <v/>
      </c>
    </row>
    <row r="28551" spans="15:15" x14ac:dyDescent="0.25">
      <c r="O28551" s="20" t="str">
        <f>IF(N28551="","",COUNTIFS(RawData[[Date ]],N28551,RawData[Month List],$Q$6,RawData[Tour/Site],$Q$2,RawData[[Picker ID ]],$Q$3,RawData[Checker ID],$Q$4,RawData[[Error Type ]],$Q$5))</f>
        <v/>
      </c>
    </row>
    <row r="28552" spans="15:15" x14ac:dyDescent="0.25">
      <c r="O28552" s="20" t="str">
        <f>IF(N28552="","",COUNTIFS(RawData[[Date ]],N28552,RawData[Month List],$Q$6,RawData[Tour/Site],$Q$2,RawData[[Picker ID ]],$Q$3,RawData[Checker ID],$Q$4,RawData[[Error Type ]],$Q$5))</f>
        <v/>
      </c>
    </row>
    <row r="28553" spans="15:15" x14ac:dyDescent="0.25">
      <c r="O28553" s="20" t="str">
        <f>IF(N28553="","",COUNTIFS(RawData[[Date ]],N28553,RawData[Month List],$Q$6,RawData[Tour/Site],$Q$2,RawData[[Picker ID ]],$Q$3,RawData[Checker ID],$Q$4,RawData[[Error Type ]],$Q$5))</f>
        <v/>
      </c>
    </row>
    <row r="28554" spans="15:15" x14ac:dyDescent="0.25">
      <c r="O28554" s="20" t="str">
        <f>IF(N28554="","",COUNTIFS(RawData[[Date ]],N28554,RawData[Month List],$Q$6,RawData[Tour/Site],$Q$2,RawData[[Picker ID ]],$Q$3,RawData[Checker ID],$Q$4,RawData[[Error Type ]],$Q$5))</f>
        <v/>
      </c>
    </row>
    <row r="28555" spans="15:15" x14ac:dyDescent="0.25">
      <c r="O28555" s="20" t="str">
        <f>IF(N28555="","",COUNTIFS(RawData[[Date ]],N28555,RawData[Month List],$Q$6,RawData[Tour/Site],$Q$2,RawData[[Picker ID ]],$Q$3,RawData[Checker ID],$Q$4,RawData[[Error Type ]],$Q$5))</f>
        <v/>
      </c>
    </row>
    <row r="28556" spans="15:15" x14ac:dyDescent="0.25">
      <c r="O28556" s="20" t="str">
        <f>IF(N28556="","",COUNTIFS(RawData[[Date ]],N28556,RawData[Month List],$Q$6,RawData[Tour/Site],$Q$2,RawData[[Picker ID ]],$Q$3,RawData[Checker ID],$Q$4,RawData[[Error Type ]],$Q$5))</f>
        <v/>
      </c>
    </row>
    <row r="28557" spans="15:15" x14ac:dyDescent="0.25">
      <c r="O28557" s="20" t="str">
        <f>IF(N28557="","",COUNTIFS(RawData[[Date ]],N28557,RawData[Month List],$Q$6,RawData[Tour/Site],$Q$2,RawData[[Picker ID ]],$Q$3,RawData[Checker ID],$Q$4,RawData[[Error Type ]],$Q$5))</f>
        <v/>
      </c>
    </row>
    <row r="28558" spans="15:15" x14ac:dyDescent="0.25">
      <c r="O28558" s="20" t="str">
        <f>IF(N28558="","",COUNTIFS(RawData[[Date ]],N28558,RawData[Month List],$Q$6,RawData[Tour/Site],$Q$2,RawData[[Picker ID ]],$Q$3,RawData[Checker ID],$Q$4,RawData[[Error Type ]],$Q$5))</f>
        <v/>
      </c>
    </row>
    <row r="28559" spans="15:15" x14ac:dyDescent="0.25">
      <c r="O28559" s="20" t="str">
        <f>IF(N28559="","",COUNTIFS(RawData[[Date ]],N28559,RawData[Month List],$Q$6,RawData[Tour/Site],$Q$2,RawData[[Picker ID ]],$Q$3,RawData[Checker ID],$Q$4,RawData[[Error Type ]],$Q$5))</f>
        <v/>
      </c>
    </row>
    <row r="28560" spans="15:15" x14ac:dyDescent="0.25">
      <c r="O28560" s="20" t="str">
        <f>IF(N28560="","",COUNTIFS(RawData[[Date ]],N28560,RawData[Month List],$Q$6,RawData[Tour/Site],$Q$2,RawData[[Picker ID ]],$Q$3,RawData[Checker ID],$Q$4,RawData[[Error Type ]],$Q$5))</f>
        <v/>
      </c>
    </row>
    <row r="28561" spans="15:15" x14ac:dyDescent="0.25">
      <c r="O28561" s="20" t="str">
        <f>IF(N28561="","",COUNTIFS(RawData[[Date ]],N28561,RawData[Month List],$Q$6,RawData[Tour/Site],$Q$2,RawData[[Picker ID ]],$Q$3,RawData[Checker ID],$Q$4,RawData[[Error Type ]],$Q$5))</f>
        <v/>
      </c>
    </row>
    <row r="28562" spans="15:15" x14ac:dyDescent="0.25">
      <c r="O28562" s="20" t="str">
        <f>IF(N28562="","",COUNTIFS(RawData[[Date ]],N28562,RawData[Month List],$Q$6,RawData[Tour/Site],$Q$2,RawData[[Picker ID ]],$Q$3,RawData[Checker ID],$Q$4,RawData[[Error Type ]],$Q$5))</f>
        <v/>
      </c>
    </row>
    <row r="28563" spans="15:15" x14ac:dyDescent="0.25">
      <c r="O28563" s="20" t="str">
        <f>IF(N28563="","",COUNTIFS(RawData[[Date ]],N28563,RawData[Month List],$Q$6,RawData[Tour/Site],$Q$2,RawData[[Picker ID ]],$Q$3,RawData[Checker ID],$Q$4,RawData[[Error Type ]],$Q$5))</f>
        <v/>
      </c>
    </row>
    <row r="28564" spans="15:15" x14ac:dyDescent="0.25">
      <c r="O28564" s="20" t="str">
        <f>IF(N28564="","",COUNTIFS(RawData[[Date ]],N28564,RawData[Month List],$Q$6,RawData[Tour/Site],$Q$2,RawData[[Picker ID ]],$Q$3,RawData[Checker ID],$Q$4,RawData[[Error Type ]],$Q$5))</f>
        <v/>
      </c>
    </row>
    <row r="28565" spans="15:15" x14ac:dyDescent="0.25">
      <c r="O28565" s="20" t="str">
        <f>IF(N28565="","",COUNTIFS(RawData[[Date ]],N28565,RawData[Month List],$Q$6,RawData[Tour/Site],$Q$2,RawData[[Picker ID ]],$Q$3,RawData[Checker ID],$Q$4,RawData[[Error Type ]],$Q$5))</f>
        <v/>
      </c>
    </row>
    <row r="28566" spans="15:15" x14ac:dyDescent="0.25">
      <c r="O28566" s="20" t="str">
        <f>IF(N28566="","",COUNTIFS(RawData[[Date ]],N28566,RawData[Month List],$Q$6,RawData[Tour/Site],$Q$2,RawData[[Picker ID ]],$Q$3,RawData[Checker ID],$Q$4,RawData[[Error Type ]],$Q$5))</f>
        <v/>
      </c>
    </row>
    <row r="28567" spans="15:15" x14ac:dyDescent="0.25">
      <c r="O28567" s="20" t="str">
        <f>IF(N28567="","",COUNTIFS(RawData[[Date ]],N28567,RawData[Month List],$Q$6,RawData[Tour/Site],$Q$2,RawData[[Picker ID ]],$Q$3,RawData[Checker ID],$Q$4,RawData[[Error Type ]],$Q$5))</f>
        <v/>
      </c>
    </row>
    <row r="28568" spans="15:15" x14ac:dyDescent="0.25">
      <c r="O28568" s="20" t="str">
        <f>IF(N28568="","",COUNTIFS(RawData[[Date ]],N28568,RawData[Month List],$Q$6,RawData[Tour/Site],$Q$2,RawData[[Picker ID ]],$Q$3,RawData[Checker ID],$Q$4,RawData[[Error Type ]],$Q$5))</f>
        <v/>
      </c>
    </row>
    <row r="28569" spans="15:15" x14ac:dyDescent="0.25">
      <c r="O28569" s="20" t="str">
        <f>IF(N28569="","",COUNTIFS(RawData[[Date ]],N28569,RawData[Month List],$Q$6,RawData[Tour/Site],$Q$2,RawData[[Picker ID ]],$Q$3,RawData[Checker ID],$Q$4,RawData[[Error Type ]],$Q$5))</f>
        <v/>
      </c>
    </row>
    <row r="28570" spans="15:15" x14ac:dyDescent="0.25">
      <c r="O28570" s="20" t="str">
        <f>IF(N28570="","",COUNTIFS(RawData[[Date ]],N28570,RawData[Month List],$Q$6,RawData[Tour/Site],$Q$2,RawData[[Picker ID ]],$Q$3,RawData[Checker ID],$Q$4,RawData[[Error Type ]],$Q$5))</f>
        <v/>
      </c>
    </row>
    <row r="28571" spans="15:15" x14ac:dyDescent="0.25">
      <c r="O28571" s="20" t="str">
        <f>IF(N28571="","",COUNTIFS(RawData[[Date ]],N28571,RawData[Month List],$Q$6,RawData[Tour/Site],$Q$2,RawData[[Picker ID ]],$Q$3,RawData[Checker ID],$Q$4,RawData[[Error Type ]],$Q$5))</f>
        <v/>
      </c>
    </row>
    <row r="28572" spans="15:15" x14ac:dyDescent="0.25">
      <c r="O28572" s="20" t="str">
        <f>IF(N28572="","",COUNTIFS(RawData[[Date ]],N28572,RawData[Month List],$Q$6,RawData[Tour/Site],$Q$2,RawData[[Picker ID ]],$Q$3,RawData[Checker ID],$Q$4,RawData[[Error Type ]],$Q$5))</f>
        <v/>
      </c>
    </row>
    <row r="28573" spans="15:15" x14ac:dyDescent="0.25">
      <c r="O28573" s="20" t="str">
        <f>IF(N28573="","",COUNTIFS(RawData[[Date ]],N28573,RawData[Month List],$Q$6,RawData[Tour/Site],$Q$2,RawData[[Picker ID ]],$Q$3,RawData[Checker ID],$Q$4,RawData[[Error Type ]],$Q$5))</f>
        <v/>
      </c>
    </row>
    <row r="28574" spans="15:15" x14ac:dyDescent="0.25">
      <c r="O28574" s="20" t="str">
        <f>IF(N28574="","",COUNTIFS(RawData[[Date ]],N28574,RawData[Month List],$Q$6,RawData[Tour/Site],$Q$2,RawData[[Picker ID ]],$Q$3,RawData[Checker ID],$Q$4,RawData[[Error Type ]],$Q$5))</f>
        <v/>
      </c>
    </row>
    <row r="28575" spans="15:15" x14ac:dyDescent="0.25">
      <c r="O28575" s="20" t="str">
        <f>IF(N28575="","",COUNTIFS(RawData[[Date ]],N28575,RawData[Month List],$Q$6,RawData[Tour/Site],$Q$2,RawData[[Picker ID ]],$Q$3,RawData[Checker ID],$Q$4,RawData[[Error Type ]],$Q$5))</f>
        <v/>
      </c>
    </row>
    <row r="28576" spans="15:15" x14ac:dyDescent="0.25">
      <c r="O28576" s="20" t="str">
        <f>IF(N28576="","",COUNTIFS(RawData[[Date ]],N28576,RawData[Month List],$Q$6,RawData[Tour/Site],$Q$2,RawData[[Picker ID ]],$Q$3,RawData[Checker ID],$Q$4,RawData[[Error Type ]],$Q$5))</f>
        <v/>
      </c>
    </row>
    <row r="28577" spans="15:15" x14ac:dyDescent="0.25">
      <c r="O28577" s="20" t="str">
        <f>IF(N28577="","",COUNTIFS(RawData[[Date ]],N28577,RawData[Month List],$Q$6,RawData[Tour/Site],$Q$2,RawData[[Picker ID ]],$Q$3,RawData[Checker ID],$Q$4,RawData[[Error Type ]],$Q$5))</f>
        <v/>
      </c>
    </row>
    <row r="28578" spans="15:15" x14ac:dyDescent="0.25">
      <c r="O28578" s="20" t="str">
        <f>IF(N28578="","",COUNTIFS(RawData[[Date ]],N28578,RawData[Month List],$Q$6,RawData[Tour/Site],$Q$2,RawData[[Picker ID ]],$Q$3,RawData[Checker ID],$Q$4,RawData[[Error Type ]],$Q$5))</f>
        <v/>
      </c>
    </row>
    <row r="28579" spans="15:15" x14ac:dyDescent="0.25">
      <c r="O28579" s="20" t="str">
        <f>IF(N28579="","",COUNTIFS(RawData[[Date ]],N28579,RawData[Month List],$Q$6,RawData[Tour/Site],$Q$2,RawData[[Picker ID ]],$Q$3,RawData[Checker ID],$Q$4,RawData[[Error Type ]],$Q$5))</f>
        <v/>
      </c>
    </row>
    <row r="28580" spans="15:15" x14ac:dyDescent="0.25">
      <c r="O28580" s="20" t="str">
        <f>IF(N28580="","",COUNTIFS(RawData[[Date ]],N28580,RawData[Month List],$Q$6,RawData[Tour/Site],$Q$2,RawData[[Picker ID ]],$Q$3,RawData[Checker ID],$Q$4,RawData[[Error Type ]],$Q$5))</f>
        <v/>
      </c>
    </row>
    <row r="28581" spans="15:15" x14ac:dyDescent="0.25">
      <c r="O28581" s="20" t="str">
        <f>IF(N28581="","",COUNTIFS(RawData[[Date ]],N28581,RawData[Month List],$Q$6,RawData[Tour/Site],$Q$2,RawData[[Picker ID ]],$Q$3,RawData[Checker ID],$Q$4,RawData[[Error Type ]],$Q$5))</f>
        <v/>
      </c>
    </row>
    <row r="28582" spans="15:15" x14ac:dyDescent="0.25">
      <c r="O28582" s="20" t="str">
        <f>IF(N28582="","",COUNTIFS(RawData[[Date ]],N28582,RawData[Month List],$Q$6,RawData[Tour/Site],$Q$2,RawData[[Picker ID ]],$Q$3,RawData[Checker ID],$Q$4,RawData[[Error Type ]],$Q$5))</f>
        <v/>
      </c>
    </row>
    <row r="28583" spans="15:15" x14ac:dyDescent="0.25">
      <c r="O28583" s="20" t="str">
        <f>IF(N28583="","",COUNTIFS(RawData[[Date ]],N28583,RawData[Month List],$Q$6,RawData[Tour/Site],$Q$2,RawData[[Picker ID ]],$Q$3,RawData[Checker ID],$Q$4,RawData[[Error Type ]],$Q$5))</f>
        <v/>
      </c>
    </row>
    <row r="28584" spans="15:15" x14ac:dyDescent="0.25">
      <c r="O28584" s="20" t="str">
        <f>IF(N28584="","",COUNTIFS(RawData[[Date ]],N28584,RawData[Month List],$Q$6,RawData[Tour/Site],$Q$2,RawData[[Picker ID ]],$Q$3,RawData[Checker ID],$Q$4,RawData[[Error Type ]],$Q$5))</f>
        <v/>
      </c>
    </row>
    <row r="28585" spans="15:15" x14ac:dyDescent="0.25">
      <c r="O28585" s="20" t="str">
        <f>IF(N28585="","",COUNTIFS(RawData[[Date ]],N28585,RawData[Month List],$Q$6,RawData[Tour/Site],$Q$2,RawData[[Picker ID ]],$Q$3,RawData[Checker ID],$Q$4,RawData[[Error Type ]],$Q$5))</f>
        <v/>
      </c>
    </row>
    <row r="28586" spans="15:15" x14ac:dyDescent="0.25">
      <c r="O28586" s="20" t="str">
        <f>IF(N28586="","",COUNTIFS(RawData[[Date ]],N28586,RawData[Month List],$Q$6,RawData[Tour/Site],$Q$2,RawData[[Picker ID ]],$Q$3,RawData[Checker ID],$Q$4,RawData[[Error Type ]],$Q$5))</f>
        <v/>
      </c>
    </row>
    <row r="28587" spans="15:15" x14ac:dyDescent="0.25">
      <c r="O28587" s="20" t="str">
        <f>IF(N28587="","",COUNTIFS(RawData[[Date ]],N28587,RawData[Month List],$Q$6,RawData[Tour/Site],$Q$2,RawData[[Picker ID ]],$Q$3,RawData[Checker ID],$Q$4,RawData[[Error Type ]],$Q$5))</f>
        <v/>
      </c>
    </row>
    <row r="28588" spans="15:15" x14ac:dyDescent="0.25">
      <c r="O28588" s="20" t="str">
        <f>IF(N28588="","",COUNTIFS(RawData[[Date ]],N28588,RawData[Month List],$Q$6,RawData[Tour/Site],$Q$2,RawData[[Picker ID ]],$Q$3,RawData[Checker ID],$Q$4,RawData[[Error Type ]],$Q$5))</f>
        <v/>
      </c>
    </row>
    <row r="28589" spans="15:15" x14ac:dyDescent="0.25">
      <c r="O28589" s="20" t="str">
        <f>IF(N28589="","",COUNTIFS(RawData[[Date ]],N28589,RawData[Month List],$Q$6,RawData[Tour/Site],$Q$2,RawData[[Picker ID ]],$Q$3,RawData[Checker ID],$Q$4,RawData[[Error Type ]],$Q$5))</f>
        <v/>
      </c>
    </row>
    <row r="28590" spans="15:15" x14ac:dyDescent="0.25">
      <c r="O28590" s="20" t="str">
        <f>IF(N28590="","",COUNTIFS(RawData[[Date ]],N28590,RawData[Month List],$Q$6,RawData[Tour/Site],$Q$2,RawData[[Picker ID ]],$Q$3,RawData[Checker ID],$Q$4,RawData[[Error Type ]],$Q$5))</f>
        <v/>
      </c>
    </row>
    <row r="28591" spans="15:15" x14ac:dyDescent="0.25">
      <c r="O28591" s="20" t="str">
        <f>IF(N28591="","",COUNTIFS(RawData[[Date ]],N28591,RawData[Month List],$Q$6,RawData[Tour/Site],$Q$2,RawData[[Picker ID ]],$Q$3,RawData[Checker ID],$Q$4,RawData[[Error Type ]],$Q$5))</f>
        <v/>
      </c>
    </row>
    <row r="28592" spans="15:15" x14ac:dyDescent="0.25">
      <c r="O28592" s="20" t="str">
        <f>IF(N28592="","",COUNTIFS(RawData[[Date ]],N28592,RawData[Month List],$Q$6,RawData[Tour/Site],$Q$2,RawData[[Picker ID ]],$Q$3,RawData[Checker ID],$Q$4,RawData[[Error Type ]],$Q$5))</f>
        <v/>
      </c>
    </row>
    <row r="28593" spans="15:15" x14ac:dyDescent="0.25">
      <c r="O28593" s="20" t="str">
        <f>IF(N28593="","",COUNTIFS(RawData[[Date ]],N28593,RawData[Month List],$Q$6,RawData[Tour/Site],$Q$2,RawData[[Picker ID ]],$Q$3,RawData[Checker ID],$Q$4,RawData[[Error Type ]],$Q$5))</f>
        <v/>
      </c>
    </row>
    <row r="28594" spans="15:15" x14ac:dyDescent="0.25">
      <c r="O28594" s="20" t="str">
        <f>IF(N28594="","",COUNTIFS(RawData[[Date ]],N28594,RawData[Month List],$Q$6,RawData[Tour/Site],$Q$2,RawData[[Picker ID ]],$Q$3,RawData[Checker ID],$Q$4,RawData[[Error Type ]],$Q$5))</f>
        <v/>
      </c>
    </row>
    <row r="28595" spans="15:15" x14ac:dyDescent="0.25">
      <c r="O28595" s="20" t="str">
        <f>IF(N28595="","",COUNTIFS(RawData[[Date ]],N28595,RawData[Month List],$Q$6,RawData[Tour/Site],$Q$2,RawData[[Picker ID ]],$Q$3,RawData[Checker ID],$Q$4,RawData[[Error Type ]],$Q$5))</f>
        <v/>
      </c>
    </row>
    <row r="28596" spans="15:15" x14ac:dyDescent="0.25">
      <c r="O28596" s="20" t="str">
        <f>IF(N28596="","",COUNTIFS(RawData[[Date ]],N28596,RawData[Month List],$Q$6,RawData[Tour/Site],$Q$2,RawData[[Picker ID ]],$Q$3,RawData[Checker ID],$Q$4,RawData[[Error Type ]],$Q$5))</f>
        <v/>
      </c>
    </row>
    <row r="28597" spans="15:15" x14ac:dyDescent="0.25">
      <c r="O28597" s="20" t="str">
        <f>IF(N28597="","",COUNTIFS(RawData[[Date ]],N28597,RawData[Month List],$Q$6,RawData[Tour/Site],$Q$2,RawData[[Picker ID ]],$Q$3,RawData[Checker ID],$Q$4,RawData[[Error Type ]],$Q$5))</f>
        <v/>
      </c>
    </row>
    <row r="28598" spans="15:15" x14ac:dyDescent="0.25">
      <c r="O28598" s="20" t="str">
        <f>IF(N28598="","",COUNTIFS(RawData[[Date ]],N28598,RawData[Month List],$Q$6,RawData[Tour/Site],$Q$2,RawData[[Picker ID ]],$Q$3,RawData[Checker ID],$Q$4,RawData[[Error Type ]],$Q$5))</f>
        <v/>
      </c>
    </row>
    <row r="28599" spans="15:15" x14ac:dyDescent="0.25">
      <c r="O28599" s="20" t="str">
        <f>IF(N28599="","",COUNTIFS(RawData[[Date ]],N28599,RawData[Month List],$Q$6,RawData[Tour/Site],$Q$2,RawData[[Picker ID ]],$Q$3,RawData[Checker ID],$Q$4,RawData[[Error Type ]],$Q$5))</f>
        <v/>
      </c>
    </row>
    <row r="28600" spans="15:15" x14ac:dyDescent="0.25">
      <c r="O28600" s="20" t="str">
        <f>IF(N28600="","",COUNTIFS(RawData[[Date ]],N28600,RawData[Month List],$Q$6,RawData[Tour/Site],$Q$2,RawData[[Picker ID ]],$Q$3,RawData[Checker ID],$Q$4,RawData[[Error Type ]],$Q$5))</f>
        <v/>
      </c>
    </row>
    <row r="28601" spans="15:15" x14ac:dyDescent="0.25">
      <c r="O28601" s="20" t="str">
        <f>IF(N28601="","",COUNTIFS(RawData[[Date ]],N28601,RawData[Month List],$Q$6,RawData[Tour/Site],$Q$2,RawData[[Picker ID ]],$Q$3,RawData[Checker ID],$Q$4,RawData[[Error Type ]],$Q$5))</f>
        <v/>
      </c>
    </row>
    <row r="28602" spans="15:15" x14ac:dyDescent="0.25">
      <c r="O28602" s="20" t="str">
        <f>IF(N28602="","",COUNTIFS(RawData[[Date ]],N28602,RawData[Month List],$Q$6,RawData[Tour/Site],$Q$2,RawData[[Picker ID ]],$Q$3,RawData[Checker ID],$Q$4,RawData[[Error Type ]],$Q$5))</f>
        <v/>
      </c>
    </row>
    <row r="28603" spans="15:15" x14ac:dyDescent="0.25">
      <c r="O28603" s="20" t="str">
        <f>IF(N28603="","",COUNTIFS(RawData[[Date ]],N28603,RawData[Month List],$Q$6,RawData[Tour/Site],$Q$2,RawData[[Picker ID ]],$Q$3,RawData[Checker ID],$Q$4,RawData[[Error Type ]],$Q$5))</f>
        <v/>
      </c>
    </row>
    <row r="28604" spans="15:15" x14ac:dyDescent="0.25">
      <c r="O28604" s="20" t="str">
        <f>IF(N28604="","",COUNTIFS(RawData[[Date ]],N28604,RawData[Month List],$Q$6,RawData[Tour/Site],$Q$2,RawData[[Picker ID ]],$Q$3,RawData[Checker ID],$Q$4,RawData[[Error Type ]],$Q$5))</f>
        <v/>
      </c>
    </row>
    <row r="28605" spans="15:15" x14ac:dyDescent="0.25">
      <c r="O28605" s="20" t="str">
        <f>IF(N28605="","",COUNTIFS(RawData[[Date ]],N28605,RawData[Month List],$Q$6,RawData[Tour/Site],$Q$2,RawData[[Picker ID ]],$Q$3,RawData[Checker ID],$Q$4,RawData[[Error Type ]],$Q$5))</f>
        <v/>
      </c>
    </row>
    <row r="28606" spans="15:15" x14ac:dyDescent="0.25">
      <c r="O28606" s="20" t="str">
        <f>IF(N28606="","",COUNTIFS(RawData[[Date ]],N28606,RawData[Month List],$Q$6,RawData[Tour/Site],$Q$2,RawData[[Picker ID ]],$Q$3,RawData[Checker ID],$Q$4,RawData[[Error Type ]],$Q$5))</f>
        <v/>
      </c>
    </row>
    <row r="28607" spans="15:15" x14ac:dyDescent="0.25">
      <c r="O28607" s="20" t="str">
        <f>IF(N28607="","",COUNTIFS(RawData[[Date ]],N28607,RawData[Month List],$Q$6,RawData[Tour/Site],$Q$2,RawData[[Picker ID ]],$Q$3,RawData[Checker ID],$Q$4,RawData[[Error Type ]],$Q$5))</f>
        <v/>
      </c>
    </row>
    <row r="28608" spans="15:15" x14ac:dyDescent="0.25">
      <c r="O28608" s="20" t="str">
        <f>IF(N28608="","",COUNTIFS(RawData[[Date ]],N28608,RawData[Month List],$Q$6,RawData[Tour/Site],$Q$2,RawData[[Picker ID ]],$Q$3,RawData[Checker ID],$Q$4,RawData[[Error Type ]],$Q$5))</f>
        <v/>
      </c>
    </row>
    <row r="28609" spans="15:15" x14ac:dyDescent="0.25">
      <c r="O28609" s="20" t="str">
        <f>IF(N28609="","",COUNTIFS(RawData[[Date ]],N28609,RawData[Month List],$Q$6,RawData[Tour/Site],$Q$2,RawData[[Picker ID ]],$Q$3,RawData[Checker ID],$Q$4,RawData[[Error Type ]],$Q$5))</f>
        <v/>
      </c>
    </row>
    <row r="28610" spans="15:15" x14ac:dyDescent="0.25">
      <c r="O28610" s="20" t="str">
        <f>IF(N28610="","",COUNTIFS(RawData[[Date ]],N28610,RawData[Month List],$Q$6,RawData[Tour/Site],$Q$2,RawData[[Picker ID ]],$Q$3,RawData[Checker ID],$Q$4,RawData[[Error Type ]],$Q$5))</f>
        <v/>
      </c>
    </row>
    <row r="28611" spans="15:15" x14ac:dyDescent="0.25">
      <c r="O28611" s="20" t="str">
        <f>IF(N28611="","",COUNTIFS(RawData[[Date ]],N28611,RawData[Month List],$Q$6,RawData[Tour/Site],$Q$2,RawData[[Picker ID ]],$Q$3,RawData[Checker ID],$Q$4,RawData[[Error Type ]],$Q$5))</f>
        <v/>
      </c>
    </row>
    <row r="28612" spans="15:15" x14ac:dyDescent="0.25">
      <c r="O28612" s="20" t="str">
        <f>IF(N28612="","",COUNTIFS(RawData[[Date ]],N28612,RawData[Month List],$Q$6,RawData[Tour/Site],$Q$2,RawData[[Picker ID ]],$Q$3,RawData[Checker ID],$Q$4,RawData[[Error Type ]],$Q$5))</f>
        <v/>
      </c>
    </row>
    <row r="28613" spans="15:15" x14ac:dyDescent="0.25">
      <c r="O28613" s="20" t="str">
        <f>IF(N28613="","",COUNTIFS(RawData[[Date ]],N28613,RawData[Month List],$Q$6,RawData[Tour/Site],$Q$2,RawData[[Picker ID ]],$Q$3,RawData[Checker ID],$Q$4,RawData[[Error Type ]],$Q$5))</f>
        <v/>
      </c>
    </row>
    <row r="28614" spans="15:15" x14ac:dyDescent="0.25">
      <c r="O28614" s="20" t="str">
        <f>IF(N28614="","",COUNTIFS(RawData[[Date ]],N28614,RawData[Month List],$Q$6,RawData[Tour/Site],$Q$2,RawData[[Picker ID ]],$Q$3,RawData[Checker ID],$Q$4,RawData[[Error Type ]],$Q$5))</f>
        <v/>
      </c>
    </row>
    <row r="28615" spans="15:15" x14ac:dyDescent="0.25">
      <c r="O28615" s="20" t="str">
        <f>IF(N28615="","",COUNTIFS(RawData[[Date ]],N28615,RawData[Month List],$Q$6,RawData[Tour/Site],$Q$2,RawData[[Picker ID ]],$Q$3,RawData[Checker ID],$Q$4,RawData[[Error Type ]],$Q$5))</f>
        <v/>
      </c>
    </row>
    <row r="28616" spans="15:15" x14ac:dyDescent="0.25">
      <c r="O28616" s="20" t="str">
        <f>IF(N28616="","",COUNTIFS(RawData[[Date ]],N28616,RawData[Month List],$Q$6,RawData[Tour/Site],$Q$2,RawData[[Picker ID ]],$Q$3,RawData[Checker ID],$Q$4,RawData[[Error Type ]],$Q$5))</f>
        <v/>
      </c>
    </row>
    <row r="28617" spans="15:15" x14ac:dyDescent="0.25">
      <c r="O28617" s="20" t="str">
        <f>IF(N28617="","",COUNTIFS(RawData[[Date ]],N28617,RawData[Month List],$Q$6,RawData[Tour/Site],$Q$2,RawData[[Picker ID ]],$Q$3,RawData[Checker ID],$Q$4,RawData[[Error Type ]],$Q$5))</f>
        <v/>
      </c>
    </row>
    <row r="28618" spans="15:15" x14ac:dyDescent="0.25">
      <c r="O28618" s="20" t="str">
        <f>IF(N28618="","",COUNTIFS(RawData[[Date ]],N28618,RawData[Month List],$Q$6,RawData[Tour/Site],$Q$2,RawData[[Picker ID ]],$Q$3,RawData[Checker ID],$Q$4,RawData[[Error Type ]],$Q$5))</f>
        <v/>
      </c>
    </row>
    <row r="28619" spans="15:15" x14ac:dyDescent="0.25">
      <c r="O28619" s="20" t="str">
        <f>IF(N28619="","",COUNTIFS(RawData[[Date ]],N28619,RawData[Month List],$Q$6,RawData[Tour/Site],$Q$2,RawData[[Picker ID ]],$Q$3,RawData[Checker ID],$Q$4,RawData[[Error Type ]],$Q$5))</f>
        <v/>
      </c>
    </row>
    <row r="28620" spans="15:15" x14ac:dyDescent="0.25">
      <c r="O28620" s="20" t="str">
        <f>IF(N28620="","",COUNTIFS(RawData[[Date ]],N28620,RawData[Month List],$Q$6,RawData[Tour/Site],$Q$2,RawData[[Picker ID ]],$Q$3,RawData[Checker ID],$Q$4,RawData[[Error Type ]],$Q$5))</f>
        <v/>
      </c>
    </row>
    <row r="28621" spans="15:15" x14ac:dyDescent="0.25">
      <c r="O28621" s="20" t="str">
        <f>IF(N28621="","",COUNTIFS(RawData[[Date ]],N28621,RawData[Month List],$Q$6,RawData[Tour/Site],$Q$2,RawData[[Picker ID ]],$Q$3,RawData[Checker ID],$Q$4,RawData[[Error Type ]],$Q$5))</f>
        <v/>
      </c>
    </row>
    <row r="28622" spans="15:15" x14ac:dyDescent="0.25">
      <c r="O28622" s="20" t="str">
        <f>IF(N28622="","",COUNTIFS(RawData[[Date ]],N28622,RawData[Month List],$Q$6,RawData[Tour/Site],$Q$2,RawData[[Picker ID ]],$Q$3,RawData[Checker ID],$Q$4,RawData[[Error Type ]],$Q$5))</f>
        <v/>
      </c>
    </row>
    <row r="28623" spans="15:15" x14ac:dyDescent="0.25">
      <c r="O28623" s="20" t="str">
        <f>IF(N28623="","",COUNTIFS(RawData[[Date ]],N28623,RawData[Month List],$Q$6,RawData[Tour/Site],$Q$2,RawData[[Picker ID ]],$Q$3,RawData[Checker ID],$Q$4,RawData[[Error Type ]],$Q$5))</f>
        <v/>
      </c>
    </row>
    <row r="28624" spans="15:15" x14ac:dyDescent="0.25">
      <c r="O28624" s="20" t="str">
        <f>IF(N28624="","",COUNTIFS(RawData[[Date ]],N28624,RawData[Month List],$Q$6,RawData[Tour/Site],$Q$2,RawData[[Picker ID ]],$Q$3,RawData[Checker ID],$Q$4,RawData[[Error Type ]],$Q$5))</f>
        <v/>
      </c>
    </row>
    <row r="28625" spans="15:15" x14ac:dyDescent="0.25">
      <c r="O28625" s="20" t="str">
        <f>IF(N28625="","",COUNTIFS(RawData[[Date ]],N28625,RawData[Month List],$Q$6,RawData[Tour/Site],$Q$2,RawData[[Picker ID ]],$Q$3,RawData[Checker ID],$Q$4,RawData[[Error Type ]],$Q$5))</f>
        <v/>
      </c>
    </row>
    <row r="28626" spans="15:15" x14ac:dyDescent="0.25">
      <c r="O28626" s="20" t="str">
        <f>IF(N28626="","",COUNTIFS(RawData[[Date ]],N28626,RawData[Month List],$Q$6,RawData[Tour/Site],$Q$2,RawData[[Picker ID ]],$Q$3,RawData[Checker ID],$Q$4,RawData[[Error Type ]],$Q$5))</f>
        <v/>
      </c>
    </row>
    <row r="28627" spans="15:15" x14ac:dyDescent="0.25">
      <c r="O28627" s="20" t="str">
        <f>IF(N28627="","",COUNTIFS(RawData[[Date ]],N28627,RawData[Month List],$Q$6,RawData[Tour/Site],$Q$2,RawData[[Picker ID ]],$Q$3,RawData[Checker ID],$Q$4,RawData[[Error Type ]],$Q$5))</f>
        <v/>
      </c>
    </row>
    <row r="28628" spans="15:15" x14ac:dyDescent="0.25">
      <c r="O28628" s="20" t="str">
        <f>IF(N28628="","",COUNTIFS(RawData[[Date ]],N28628,RawData[Month List],$Q$6,RawData[Tour/Site],$Q$2,RawData[[Picker ID ]],$Q$3,RawData[Checker ID],$Q$4,RawData[[Error Type ]],$Q$5))</f>
        <v/>
      </c>
    </row>
    <row r="28629" spans="15:15" x14ac:dyDescent="0.25">
      <c r="O28629" s="20" t="str">
        <f>IF(N28629="","",COUNTIFS(RawData[[Date ]],N28629,RawData[Month List],$Q$6,RawData[Tour/Site],$Q$2,RawData[[Picker ID ]],$Q$3,RawData[Checker ID],$Q$4,RawData[[Error Type ]],$Q$5))</f>
        <v/>
      </c>
    </row>
    <row r="28630" spans="15:15" x14ac:dyDescent="0.25">
      <c r="O28630" s="20" t="str">
        <f>IF(N28630="","",COUNTIFS(RawData[[Date ]],N28630,RawData[Month List],$Q$6,RawData[Tour/Site],$Q$2,RawData[[Picker ID ]],$Q$3,RawData[Checker ID],$Q$4,RawData[[Error Type ]],$Q$5))</f>
        <v/>
      </c>
    </row>
    <row r="28631" spans="15:15" x14ac:dyDescent="0.25">
      <c r="O28631" s="20" t="str">
        <f>IF(N28631="","",COUNTIFS(RawData[[Date ]],N28631,RawData[Month List],$Q$6,RawData[Tour/Site],$Q$2,RawData[[Picker ID ]],$Q$3,RawData[Checker ID],$Q$4,RawData[[Error Type ]],$Q$5))</f>
        <v/>
      </c>
    </row>
    <row r="28632" spans="15:15" x14ac:dyDescent="0.25">
      <c r="O28632" s="20" t="str">
        <f>IF(N28632="","",COUNTIFS(RawData[[Date ]],N28632,RawData[Month List],$Q$6,RawData[Tour/Site],$Q$2,RawData[[Picker ID ]],$Q$3,RawData[Checker ID],$Q$4,RawData[[Error Type ]],$Q$5))</f>
        <v/>
      </c>
    </row>
    <row r="28633" spans="15:15" x14ac:dyDescent="0.25">
      <c r="O28633" s="20" t="str">
        <f>IF(N28633="","",COUNTIFS(RawData[[Date ]],N28633,RawData[Month List],$Q$6,RawData[Tour/Site],$Q$2,RawData[[Picker ID ]],$Q$3,RawData[Checker ID],$Q$4,RawData[[Error Type ]],$Q$5))</f>
        <v/>
      </c>
    </row>
    <row r="28634" spans="15:15" x14ac:dyDescent="0.25">
      <c r="O28634" s="20" t="str">
        <f>IF(N28634="","",COUNTIFS(RawData[[Date ]],N28634,RawData[Month List],$Q$6,RawData[Tour/Site],$Q$2,RawData[[Picker ID ]],$Q$3,RawData[Checker ID],$Q$4,RawData[[Error Type ]],$Q$5))</f>
        <v/>
      </c>
    </row>
    <row r="28635" spans="15:15" x14ac:dyDescent="0.25">
      <c r="O28635" s="20" t="str">
        <f>IF(N28635="","",COUNTIFS(RawData[[Date ]],N28635,RawData[Month List],$Q$6,RawData[Tour/Site],$Q$2,RawData[[Picker ID ]],$Q$3,RawData[Checker ID],$Q$4,RawData[[Error Type ]],$Q$5))</f>
        <v/>
      </c>
    </row>
    <row r="28636" spans="15:15" x14ac:dyDescent="0.25">
      <c r="O28636" s="20" t="str">
        <f>IF(N28636="","",COUNTIFS(RawData[[Date ]],N28636,RawData[Month List],$Q$6,RawData[Tour/Site],$Q$2,RawData[[Picker ID ]],$Q$3,RawData[Checker ID],$Q$4,RawData[[Error Type ]],$Q$5))</f>
        <v/>
      </c>
    </row>
    <row r="28637" spans="15:15" x14ac:dyDescent="0.25">
      <c r="O28637" s="20" t="str">
        <f>IF(N28637="","",COUNTIFS(RawData[[Date ]],N28637,RawData[Month List],$Q$6,RawData[Tour/Site],$Q$2,RawData[[Picker ID ]],$Q$3,RawData[Checker ID],$Q$4,RawData[[Error Type ]],$Q$5))</f>
        <v/>
      </c>
    </row>
    <row r="28638" spans="15:15" x14ac:dyDescent="0.25">
      <c r="O28638" s="20" t="str">
        <f>IF(N28638="","",COUNTIFS(RawData[[Date ]],N28638,RawData[Month List],$Q$6,RawData[Tour/Site],$Q$2,RawData[[Picker ID ]],$Q$3,RawData[Checker ID],$Q$4,RawData[[Error Type ]],$Q$5))</f>
        <v/>
      </c>
    </row>
    <row r="28639" spans="15:15" x14ac:dyDescent="0.25">
      <c r="O28639" s="20" t="str">
        <f>IF(N28639="","",COUNTIFS(RawData[[Date ]],N28639,RawData[Month List],$Q$6,RawData[Tour/Site],$Q$2,RawData[[Picker ID ]],$Q$3,RawData[Checker ID],$Q$4,RawData[[Error Type ]],$Q$5))</f>
        <v/>
      </c>
    </row>
    <row r="28640" spans="15:15" x14ac:dyDescent="0.25">
      <c r="O28640" s="20" t="str">
        <f>IF(N28640="","",COUNTIFS(RawData[[Date ]],N28640,RawData[Month List],$Q$6,RawData[Tour/Site],$Q$2,RawData[[Picker ID ]],$Q$3,RawData[Checker ID],$Q$4,RawData[[Error Type ]],$Q$5))</f>
        <v/>
      </c>
    </row>
    <row r="28641" spans="15:15" x14ac:dyDescent="0.25">
      <c r="O28641" s="20" t="str">
        <f>IF(N28641="","",COUNTIFS(RawData[[Date ]],N28641,RawData[Month List],$Q$6,RawData[Tour/Site],$Q$2,RawData[[Picker ID ]],$Q$3,RawData[Checker ID],$Q$4,RawData[[Error Type ]],$Q$5))</f>
        <v/>
      </c>
    </row>
    <row r="28642" spans="15:15" x14ac:dyDescent="0.25">
      <c r="O28642" s="20" t="str">
        <f>IF(N28642="","",COUNTIFS(RawData[[Date ]],N28642,RawData[Month List],$Q$6,RawData[Tour/Site],$Q$2,RawData[[Picker ID ]],$Q$3,RawData[Checker ID],$Q$4,RawData[[Error Type ]],$Q$5))</f>
        <v/>
      </c>
    </row>
    <row r="28643" spans="15:15" x14ac:dyDescent="0.25">
      <c r="O28643" s="20" t="str">
        <f>IF(N28643="","",COUNTIFS(RawData[[Date ]],N28643,RawData[Month List],$Q$6,RawData[Tour/Site],$Q$2,RawData[[Picker ID ]],$Q$3,RawData[Checker ID],$Q$4,RawData[[Error Type ]],$Q$5))</f>
        <v/>
      </c>
    </row>
    <row r="28644" spans="15:15" x14ac:dyDescent="0.25">
      <c r="O28644" s="20" t="str">
        <f>IF(N28644="","",COUNTIFS(RawData[[Date ]],N28644,RawData[Month List],$Q$6,RawData[Tour/Site],$Q$2,RawData[[Picker ID ]],$Q$3,RawData[Checker ID],$Q$4,RawData[[Error Type ]],$Q$5))</f>
        <v/>
      </c>
    </row>
    <row r="28645" spans="15:15" x14ac:dyDescent="0.25">
      <c r="O28645" s="20" t="str">
        <f>IF(N28645="","",COUNTIFS(RawData[[Date ]],N28645,RawData[Month List],$Q$6,RawData[Tour/Site],$Q$2,RawData[[Picker ID ]],$Q$3,RawData[Checker ID],$Q$4,RawData[[Error Type ]],$Q$5))</f>
        <v/>
      </c>
    </row>
    <row r="28646" spans="15:15" x14ac:dyDescent="0.25">
      <c r="O28646" s="20" t="str">
        <f>IF(N28646="","",COUNTIFS(RawData[[Date ]],N28646,RawData[Month List],$Q$6,RawData[Tour/Site],$Q$2,RawData[[Picker ID ]],$Q$3,RawData[Checker ID],$Q$4,RawData[[Error Type ]],$Q$5))</f>
        <v/>
      </c>
    </row>
    <row r="28647" spans="15:15" x14ac:dyDescent="0.25">
      <c r="O28647" s="20" t="str">
        <f>IF(N28647="","",COUNTIFS(RawData[[Date ]],N28647,RawData[Month List],$Q$6,RawData[Tour/Site],$Q$2,RawData[[Picker ID ]],$Q$3,RawData[Checker ID],$Q$4,RawData[[Error Type ]],$Q$5))</f>
        <v/>
      </c>
    </row>
    <row r="28648" spans="15:15" x14ac:dyDescent="0.25">
      <c r="O28648" s="20" t="str">
        <f>IF(N28648="","",COUNTIFS(RawData[[Date ]],N28648,RawData[Month List],$Q$6,RawData[Tour/Site],$Q$2,RawData[[Picker ID ]],$Q$3,RawData[Checker ID],$Q$4,RawData[[Error Type ]],$Q$5))</f>
        <v/>
      </c>
    </row>
    <row r="28649" spans="15:15" x14ac:dyDescent="0.25">
      <c r="O28649" s="20" t="str">
        <f>IF(N28649="","",COUNTIFS(RawData[[Date ]],N28649,RawData[Month List],$Q$6,RawData[Tour/Site],$Q$2,RawData[[Picker ID ]],$Q$3,RawData[Checker ID],$Q$4,RawData[[Error Type ]],$Q$5))</f>
        <v/>
      </c>
    </row>
    <row r="28650" spans="15:15" x14ac:dyDescent="0.25">
      <c r="O28650" s="20" t="str">
        <f>IF(N28650="","",COUNTIFS(RawData[[Date ]],N28650,RawData[Month List],$Q$6,RawData[Tour/Site],$Q$2,RawData[[Picker ID ]],$Q$3,RawData[Checker ID],$Q$4,RawData[[Error Type ]],$Q$5))</f>
        <v/>
      </c>
    </row>
    <row r="28651" spans="15:15" x14ac:dyDescent="0.25">
      <c r="O28651" s="20" t="str">
        <f>IF(N28651="","",COUNTIFS(RawData[[Date ]],N28651,RawData[Month List],$Q$6,RawData[Tour/Site],$Q$2,RawData[[Picker ID ]],$Q$3,RawData[Checker ID],$Q$4,RawData[[Error Type ]],$Q$5))</f>
        <v/>
      </c>
    </row>
    <row r="28652" spans="15:15" x14ac:dyDescent="0.25">
      <c r="O28652" s="20" t="str">
        <f>IF(N28652="","",COUNTIFS(RawData[[Date ]],N28652,RawData[Month List],$Q$6,RawData[Tour/Site],$Q$2,RawData[[Picker ID ]],$Q$3,RawData[Checker ID],$Q$4,RawData[[Error Type ]],$Q$5))</f>
        <v/>
      </c>
    </row>
    <row r="28653" spans="15:15" x14ac:dyDescent="0.25">
      <c r="O28653" s="20" t="str">
        <f>IF(N28653="","",COUNTIFS(RawData[[Date ]],N28653,RawData[Month List],$Q$6,RawData[Tour/Site],$Q$2,RawData[[Picker ID ]],$Q$3,RawData[Checker ID],$Q$4,RawData[[Error Type ]],$Q$5))</f>
        <v/>
      </c>
    </row>
    <row r="28654" spans="15:15" x14ac:dyDescent="0.25">
      <c r="O28654" s="20" t="str">
        <f>IF(N28654="","",COUNTIFS(RawData[[Date ]],N28654,RawData[Month List],$Q$6,RawData[Tour/Site],$Q$2,RawData[[Picker ID ]],$Q$3,RawData[Checker ID],$Q$4,RawData[[Error Type ]],$Q$5))</f>
        <v/>
      </c>
    </row>
    <row r="28655" spans="15:15" x14ac:dyDescent="0.25">
      <c r="O28655" s="20" t="str">
        <f>IF(N28655="","",COUNTIFS(RawData[[Date ]],N28655,RawData[Month List],$Q$6,RawData[Tour/Site],$Q$2,RawData[[Picker ID ]],$Q$3,RawData[Checker ID],$Q$4,RawData[[Error Type ]],$Q$5))</f>
        <v/>
      </c>
    </row>
    <row r="28656" spans="15:15" x14ac:dyDescent="0.25">
      <c r="O28656" s="20" t="str">
        <f>IF(N28656="","",COUNTIFS(RawData[[Date ]],N28656,RawData[Month List],$Q$6,RawData[Tour/Site],$Q$2,RawData[[Picker ID ]],$Q$3,RawData[Checker ID],$Q$4,RawData[[Error Type ]],$Q$5))</f>
        <v/>
      </c>
    </row>
    <row r="28657" spans="15:15" x14ac:dyDescent="0.25">
      <c r="O28657" s="20" t="str">
        <f>IF(N28657="","",COUNTIFS(RawData[[Date ]],N28657,RawData[Month List],$Q$6,RawData[Tour/Site],$Q$2,RawData[[Picker ID ]],$Q$3,RawData[Checker ID],$Q$4,RawData[[Error Type ]],$Q$5))</f>
        <v/>
      </c>
    </row>
    <row r="28658" spans="15:15" x14ac:dyDescent="0.25">
      <c r="O28658" s="20" t="str">
        <f>IF(N28658="","",COUNTIFS(RawData[[Date ]],N28658,RawData[Month List],$Q$6,RawData[Tour/Site],$Q$2,RawData[[Picker ID ]],$Q$3,RawData[Checker ID],$Q$4,RawData[[Error Type ]],$Q$5))</f>
        <v/>
      </c>
    </row>
    <row r="28659" spans="15:15" x14ac:dyDescent="0.25">
      <c r="O28659" s="20" t="str">
        <f>IF(N28659="","",COUNTIFS(RawData[[Date ]],N28659,RawData[Month List],$Q$6,RawData[Tour/Site],$Q$2,RawData[[Picker ID ]],$Q$3,RawData[Checker ID],$Q$4,RawData[[Error Type ]],$Q$5))</f>
        <v/>
      </c>
    </row>
    <row r="28660" spans="15:15" x14ac:dyDescent="0.25">
      <c r="O28660" s="20" t="str">
        <f>IF(N28660="","",COUNTIFS(RawData[[Date ]],N28660,RawData[Month List],$Q$6,RawData[Tour/Site],$Q$2,RawData[[Picker ID ]],$Q$3,RawData[Checker ID],$Q$4,RawData[[Error Type ]],$Q$5))</f>
        <v/>
      </c>
    </row>
    <row r="28661" spans="15:15" x14ac:dyDescent="0.25">
      <c r="O28661" s="20" t="str">
        <f>IF(N28661="","",COUNTIFS(RawData[[Date ]],N28661,RawData[Month List],$Q$6,RawData[Tour/Site],$Q$2,RawData[[Picker ID ]],$Q$3,RawData[Checker ID],$Q$4,RawData[[Error Type ]],$Q$5))</f>
        <v/>
      </c>
    </row>
    <row r="28662" spans="15:15" x14ac:dyDescent="0.25">
      <c r="O28662" s="20" t="str">
        <f>IF(N28662="","",COUNTIFS(RawData[[Date ]],N28662,RawData[Month List],$Q$6,RawData[Tour/Site],$Q$2,RawData[[Picker ID ]],$Q$3,RawData[Checker ID],$Q$4,RawData[[Error Type ]],$Q$5))</f>
        <v/>
      </c>
    </row>
    <row r="28663" spans="15:15" x14ac:dyDescent="0.25">
      <c r="O28663" s="20" t="str">
        <f>IF(N28663="","",COUNTIFS(RawData[[Date ]],N28663,RawData[Month List],$Q$6,RawData[Tour/Site],$Q$2,RawData[[Picker ID ]],$Q$3,RawData[Checker ID],$Q$4,RawData[[Error Type ]],$Q$5))</f>
        <v/>
      </c>
    </row>
    <row r="28664" spans="15:15" x14ac:dyDescent="0.25">
      <c r="O28664" s="20" t="str">
        <f>IF(N28664="","",COUNTIFS(RawData[[Date ]],N28664,RawData[Month List],$Q$6,RawData[Tour/Site],$Q$2,RawData[[Picker ID ]],$Q$3,RawData[Checker ID],$Q$4,RawData[[Error Type ]],$Q$5))</f>
        <v/>
      </c>
    </row>
    <row r="28665" spans="15:15" x14ac:dyDescent="0.25">
      <c r="O28665" s="20" t="str">
        <f>IF(N28665="","",COUNTIFS(RawData[[Date ]],N28665,RawData[Month List],$Q$6,RawData[Tour/Site],$Q$2,RawData[[Picker ID ]],$Q$3,RawData[Checker ID],$Q$4,RawData[[Error Type ]],$Q$5))</f>
        <v/>
      </c>
    </row>
    <row r="28666" spans="15:15" x14ac:dyDescent="0.25">
      <c r="O28666" s="20" t="str">
        <f>IF(N28666="","",COUNTIFS(RawData[[Date ]],N28666,RawData[Month List],$Q$6,RawData[Tour/Site],$Q$2,RawData[[Picker ID ]],$Q$3,RawData[Checker ID],$Q$4,RawData[[Error Type ]],$Q$5))</f>
        <v/>
      </c>
    </row>
    <row r="28667" spans="15:15" x14ac:dyDescent="0.25">
      <c r="O28667" s="20" t="str">
        <f>IF(N28667="","",COUNTIFS(RawData[[Date ]],N28667,RawData[Month List],$Q$6,RawData[Tour/Site],$Q$2,RawData[[Picker ID ]],$Q$3,RawData[Checker ID],$Q$4,RawData[[Error Type ]],$Q$5))</f>
        <v/>
      </c>
    </row>
    <row r="28668" spans="15:15" x14ac:dyDescent="0.25">
      <c r="O28668" s="20" t="str">
        <f>IF(N28668="","",COUNTIFS(RawData[[Date ]],N28668,RawData[Month List],$Q$6,RawData[Tour/Site],$Q$2,RawData[[Picker ID ]],$Q$3,RawData[Checker ID],$Q$4,RawData[[Error Type ]],$Q$5))</f>
        <v/>
      </c>
    </row>
    <row r="28669" spans="15:15" x14ac:dyDescent="0.25">
      <c r="O28669" s="20" t="str">
        <f>IF(N28669="","",COUNTIFS(RawData[[Date ]],N28669,RawData[Month List],$Q$6,RawData[Tour/Site],$Q$2,RawData[[Picker ID ]],$Q$3,RawData[Checker ID],$Q$4,RawData[[Error Type ]],$Q$5))</f>
        <v/>
      </c>
    </row>
    <row r="28670" spans="15:15" x14ac:dyDescent="0.25">
      <c r="O28670" s="20" t="str">
        <f>IF(N28670="","",COUNTIFS(RawData[[Date ]],N28670,RawData[Month List],$Q$6,RawData[Tour/Site],$Q$2,RawData[[Picker ID ]],$Q$3,RawData[Checker ID],$Q$4,RawData[[Error Type ]],$Q$5))</f>
        <v/>
      </c>
    </row>
    <row r="28671" spans="15:15" x14ac:dyDescent="0.25">
      <c r="O28671" s="20" t="str">
        <f>IF(N28671="","",COUNTIFS(RawData[[Date ]],N28671,RawData[Month List],$Q$6,RawData[Tour/Site],$Q$2,RawData[[Picker ID ]],$Q$3,RawData[Checker ID],$Q$4,RawData[[Error Type ]],$Q$5))</f>
        <v/>
      </c>
    </row>
    <row r="28672" spans="15:15" x14ac:dyDescent="0.25">
      <c r="O28672" s="20" t="str">
        <f>IF(N28672="","",COUNTIFS(RawData[[Date ]],N28672,RawData[Month List],$Q$6,RawData[Tour/Site],$Q$2,RawData[[Picker ID ]],$Q$3,RawData[Checker ID],$Q$4,RawData[[Error Type ]],$Q$5))</f>
        <v/>
      </c>
    </row>
    <row r="28673" spans="15:15" x14ac:dyDescent="0.25">
      <c r="O28673" s="20" t="str">
        <f>IF(N28673="","",COUNTIFS(RawData[[Date ]],N28673,RawData[Month List],$Q$6,RawData[Tour/Site],$Q$2,RawData[[Picker ID ]],$Q$3,RawData[Checker ID],$Q$4,RawData[[Error Type ]],$Q$5))</f>
        <v/>
      </c>
    </row>
    <row r="28674" spans="15:15" x14ac:dyDescent="0.25">
      <c r="O28674" s="20" t="str">
        <f>IF(N28674="","",COUNTIFS(RawData[[Date ]],N28674,RawData[Month List],$Q$6,RawData[Tour/Site],$Q$2,RawData[[Picker ID ]],$Q$3,RawData[Checker ID],$Q$4,RawData[[Error Type ]],$Q$5))</f>
        <v/>
      </c>
    </row>
    <row r="28675" spans="15:15" x14ac:dyDescent="0.25">
      <c r="O28675" s="20" t="str">
        <f>IF(N28675="","",COUNTIFS(RawData[[Date ]],N28675,RawData[Month List],$Q$6,RawData[Tour/Site],$Q$2,RawData[[Picker ID ]],$Q$3,RawData[Checker ID],$Q$4,RawData[[Error Type ]],$Q$5))</f>
        <v/>
      </c>
    </row>
    <row r="28676" spans="15:15" x14ac:dyDescent="0.25">
      <c r="O28676" s="20" t="str">
        <f>IF(N28676="","",COUNTIFS(RawData[[Date ]],N28676,RawData[Month List],$Q$6,RawData[Tour/Site],$Q$2,RawData[[Picker ID ]],$Q$3,RawData[Checker ID],$Q$4,RawData[[Error Type ]],$Q$5))</f>
        <v/>
      </c>
    </row>
    <row r="28677" spans="15:15" x14ac:dyDescent="0.25">
      <c r="O28677" s="20" t="str">
        <f>IF(N28677="","",COUNTIFS(RawData[[Date ]],N28677,RawData[Month List],$Q$6,RawData[Tour/Site],$Q$2,RawData[[Picker ID ]],$Q$3,RawData[Checker ID],$Q$4,RawData[[Error Type ]],$Q$5))</f>
        <v/>
      </c>
    </row>
    <row r="28678" spans="15:15" x14ac:dyDescent="0.25">
      <c r="O28678" s="20" t="str">
        <f>IF(N28678="","",COUNTIFS(RawData[[Date ]],N28678,RawData[Month List],$Q$6,RawData[Tour/Site],$Q$2,RawData[[Picker ID ]],$Q$3,RawData[Checker ID],$Q$4,RawData[[Error Type ]],$Q$5))</f>
        <v/>
      </c>
    </row>
    <row r="28679" spans="15:15" x14ac:dyDescent="0.25">
      <c r="O28679" s="20" t="str">
        <f>IF(N28679="","",COUNTIFS(RawData[[Date ]],N28679,RawData[Month List],$Q$6,RawData[Tour/Site],$Q$2,RawData[[Picker ID ]],$Q$3,RawData[Checker ID],$Q$4,RawData[[Error Type ]],$Q$5))</f>
        <v/>
      </c>
    </row>
    <row r="28680" spans="15:15" x14ac:dyDescent="0.25">
      <c r="O28680" s="20" t="str">
        <f>IF(N28680="","",COUNTIFS(RawData[[Date ]],N28680,RawData[Month List],$Q$6,RawData[Tour/Site],$Q$2,RawData[[Picker ID ]],$Q$3,RawData[Checker ID],$Q$4,RawData[[Error Type ]],$Q$5))</f>
        <v/>
      </c>
    </row>
    <row r="28681" spans="15:15" x14ac:dyDescent="0.25">
      <c r="O28681" s="20" t="str">
        <f>IF(N28681="","",COUNTIFS(RawData[[Date ]],N28681,RawData[Month List],$Q$6,RawData[Tour/Site],$Q$2,RawData[[Picker ID ]],$Q$3,RawData[Checker ID],$Q$4,RawData[[Error Type ]],$Q$5))</f>
        <v/>
      </c>
    </row>
    <row r="28682" spans="15:15" x14ac:dyDescent="0.25">
      <c r="O28682" s="20" t="str">
        <f>IF(N28682="","",COUNTIFS(RawData[[Date ]],N28682,RawData[Month List],$Q$6,RawData[Tour/Site],$Q$2,RawData[[Picker ID ]],$Q$3,RawData[Checker ID],$Q$4,RawData[[Error Type ]],$Q$5))</f>
        <v/>
      </c>
    </row>
    <row r="28683" spans="15:15" x14ac:dyDescent="0.25">
      <c r="O28683" s="20" t="str">
        <f>IF(N28683="","",COUNTIFS(RawData[[Date ]],N28683,RawData[Month List],$Q$6,RawData[Tour/Site],$Q$2,RawData[[Picker ID ]],$Q$3,RawData[Checker ID],$Q$4,RawData[[Error Type ]],$Q$5))</f>
        <v/>
      </c>
    </row>
    <row r="28684" spans="15:15" x14ac:dyDescent="0.25">
      <c r="O28684" s="20" t="str">
        <f>IF(N28684="","",COUNTIFS(RawData[[Date ]],N28684,RawData[Month List],$Q$6,RawData[Tour/Site],$Q$2,RawData[[Picker ID ]],$Q$3,RawData[Checker ID],$Q$4,RawData[[Error Type ]],$Q$5))</f>
        <v/>
      </c>
    </row>
    <row r="28685" spans="15:15" x14ac:dyDescent="0.25">
      <c r="O28685" s="20" t="str">
        <f>IF(N28685="","",COUNTIFS(RawData[[Date ]],N28685,RawData[Month List],$Q$6,RawData[Tour/Site],$Q$2,RawData[[Picker ID ]],$Q$3,RawData[Checker ID],$Q$4,RawData[[Error Type ]],$Q$5))</f>
        <v/>
      </c>
    </row>
    <row r="28686" spans="15:15" x14ac:dyDescent="0.25">
      <c r="O28686" s="20" t="str">
        <f>IF(N28686="","",COUNTIFS(RawData[[Date ]],N28686,RawData[Month List],$Q$6,RawData[Tour/Site],$Q$2,RawData[[Picker ID ]],$Q$3,RawData[Checker ID],$Q$4,RawData[[Error Type ]],$Q$5))</f>
        <v/>
      </c>
    </row>
    <row r="28687" spans="15:15" x14ac:dyDescent="0.25">
      <c r="O28687" s="20" t="str">
        <f>IF(N28687="","",COUNTIFS(RawData[[Date ]],N28687,RawData[Month List],$Q$6,RawData[Tour/Site],$Q$2,RawData[[Picker ID ]],$Q$3,RawData[Checker ID],$Q$4,RawData[[Error Type ]],$Q$5))</f>
        <v/>
      </c>
    </row>
    <row r="28688" spans="15:15" x14ac:dyDescent="0.25">
      <c r="O28688" s="20" t="str">
        <f>IF(N28688="","",COUNTIFS(RawData[[Date ]],N28688,RawData[Month List],$Q$6,RawData[Tour/Site],$Q$2,RawData[[Picker ID ]],$Q$3,RawData[Checker ID],$Q$4,RawData[[Error Type ]],$Q$5))</f>
        <v/>
      </c>
    </row>
    <row r="28689" spans="15:15" x14ac:dyDescent="0.25">
      <c r="O28689" s="20" t="str">
        <f>IF(N28689="","",COUNTIFS(RawData[[Date ]],N28689,RawData[Month List],$Q$6,RawData[Tour/Site],$Q$2,RawData[[Picker ID ]],$Q$3,RawData[Checker ID],$Q$4,RawData[[Error Type ]],$Q$5))</f>
        <v/>
      </c>
    </row>
    <row r="28690" spans="15:15" x14ac:dyDescent="0.25">
      <c r="O28690" s="20" t="str">
        <f>IF(N28690="","",COUNTIFS(RawData[[Date ]],N28690,RawData[Month List],$Q$6,RawData[Tour/Site],$Q$2,RawData[[Picker ID ]],$Q$3,RawData[Checker ID],$Q$4,RawData[[Error Type ]],$Q$5))</f>
        <v/>
      </c>
    </row>
    <row r="28691" spans="15:15" x14ac:dyDescent="0.25">
      <c r="O28691" s="20" t="str">
        <f>IF(N28691="","",COUNTIFS(RawData[[Date ]],N28691,RawData[Month List],$Q$6,RawData[Tour/Site],$Q$2,RawData[[Picker ID ]],$Q$3,RawData[Checker ID],$Q$4,RawData[[Error Type ]],$Q$5))</f>
        <v/>
      </c>
    </row>
    <row r="28692" spans="15:15" x14ac:dyDescent="0.25">
      <c r="O28692" s="20" t="str">
        <f>IF(N28692="","",COUNTIFS(RawData[[Date ]],N28692,RawData[Month List],$Q$6,RawData[Tour/Site],$Q$2,RawData[[Picker ID ]],$Q$3,RawData[Checker ID],$Q$4,RawData[[Error Type ]],$Q$5))</f>
        <v/>
      </c>
    </row>
    <row r="28693" spans="15:15" x14ac:dyDescent="0.25">
      <c r="O28693" s="20" t="str">
        <f>IF(N28693="","",COUNTIFS(RawData[[Date ]],N28693,RawData[Month List],$Q$6,RawData[Tour/Site],$Q$2,RawData[[Picker ID ]],$Q$3,RawData[Checker ID],$Q$4,RawData[[Error Type ]],$Q$5))</f>
        <v/>
      </c>
    </row>
    <row r="28694" spans="15:15" x14ac:dyDescent="0.25">
      <c r="O28694" s="20" t="str">
        <f>IF(N28694="","",COUNTIFS(RawData[[Date ]],N28694,RawData[Month List],$Q$6,RawData[Tour/Site],$Q$2,RawData[[Picker ID ]],$Q$3,RawData[Checker ID],$Q$4,RawData[[Error Type ]],$Q$5))</f>
        <v/>
      </c>
    </row>
    <row r="28695" spans="15:15" x14ac:dyDescent="0.25">
      <c r="O28695" s="20" t="str">
        <f>IF(N28695="","",COUNTIFS(RawData[[Date ]],N28695,RawData[Month List],$Q$6,RawData[Tour/Site],$Q$2,RawData[[Picker ID ]],$Q$3,RawData[Checker ID],$Q$4,RawData[[Error Type ]],$Q$5))</f>
        <v/>
      </c>
    </row>
    <row r="28696" spans="15:15" x14ac:dyDescent="0.25">
      <c r="O28696" s="20" t="str">
        <f>IF(N28696="","",COUNTIFS(RawData[[Date ]],N28696,RawData[Month List],$Q$6,RawData[Tour/Site],$Q$2,RawData[[Picker ID ]],$Q$3,RawData[Checker ID],$Q$4,RawData[[Error Type ]],$Q$5))</f>
        <v/>
      </c>
    </row>
    <row r="28697" spans="15:15" x14ac:dyDescent="0.25">
      <c r="O28697" s="20" t="str">
        <f>IF(N28697="","",COUNTIFS(RawData[[Date ]],N28697,RawData[Month List],$Q$6,RawData[Tour/Site],$Q$2,RawData[[Picker ID ]],$Q$3,RawData[Checker ID],$Q$4,RawData[[Error Type ]],$Q$5))</f>
        <v/>
      </c>
    </row>
    <row r="28698" spans="15:15" x14ac:dyDescent="0.25">
      <c r="O28698" s="20" t="str">
        <f>IF(N28698="","",COUNTIFS(RawData[[Date ]],N28698,RawData[Month List],$Q$6,RawData[Tour/Site],$Q$2,RawData[[Picker ID ]],$Q$3,RawData[Checker ID],$Q$4,RawData[[Error Type ]],$Q$5))</f>
        <v/>
      </c>
    </row>
    <row r="28699" spans="15:15" x14ac:dyDescent="0.25">
      <c r="O28699" s="20" t="str">
        <f>IF(N28699="","",COUNTIFS(RawData[[Date ]],N28699,RawData[Month List],$Q$6,RawData[Tour/Site],$Q$2,RawData[[Picker ID ]],$Q$3,RawData[Checker ID],$Q$4,RawData[[Error Type ]],$Q$5))</f>
        <v/>
      </c>
    </row>
    <row r="28700" spans="15:15" x14ac:dyDescent="0.25">
      <c r="O28700" s="20" t="str">
        <f>IF(N28700="","",COUNTIFS(RawData[[Date ]],N28700,RawData[Month List],$Q$6,RawData[Tour/Site],$Q$2,RawData[[Picker ID ]],$Q$3,RawData[Checker ID],$Q$4,RawData[[Error Type ]],$Q$5))</f>
        <v/>
      </c>
    </row>
    <row r="28701" spans="15:15" x14ac:dyDescent="0.25">
      <c r="O28701" s="20" t="str">
        <f>IF(N28701="","",COUNTIFS(RawData[[Date ]],N28701,RawData[Month List],$Q$6,RawData[Tour/Site],$Q$2,RawData[[Picker ID ]],$Q$3,RawData[Checker ID],$Q$4,RawData[[Error Type ]],$Q$5))</f>
        <v/>
      </c>
    </row>
    <row r="28702" spans="15:15" x14ac:dyDescent="0.25">
      <c r="O28702" s="20" t="str">
        <f>IF(N28702="","",COUNTIFS(RawData[[Date ]],N28702,RawData[Month List],$Q$6,RawData[Tour/Site],$Q$2,RawData[[Picker ID ]],$Q$3,RawData[Checker ID],$Q$4,RawData[[Error Type ]],$Q$5))</f>
        <v/>
      </c>
    </row>
    <row r="28703" spans="15:15" x14ac:dyDescent="0.25">
      <c r="O28703" s="20" t="str">
        <f>IF(N28703="","",COUNTIFS(RawData[[Date ]],N28703,RawData[Month List],$Q$6,RawData[Tour/Site],$Q$2,RawData[[Picker ID ]],$Q$3,RawData[Checker ID],$Q$4,RawData[[Error Type ]],$Q$5))</f>
        <v/>
      </c>
    </row>
    <row r="28704" spans="15:15" x14ac:dyDescent="0.25">
      <c r="O28704" s="20" t="str">
        <f>IF(N28704="","",COUNTIFS(RawData[[Date ]],N28704,RawData[Month List],$Q$6,RawData[Tour/Site],$Q$2,RawData[[Picker ID ]],$Q$3,RawData[Checker ID],$Q$4,RawData[[Error Type ]],$Q$5))</f>
        <v/>
      </c>
    </row>
    <row r="28705" spans="15:15" x14ac:dyDescent="0.25">
      <c r="O28705" s="20" t="str">
        <f>IF(N28705="","",COUNTIFS(RawData[[Date ]],N28705,RawData[Month List],$Q$6,RawData[Tour/Site],$Q$2,RawData[[Picker ID ]],$Q$3,RawData[Checker ID],$Q$4,RawData[[Error Type ]],$Q$5))</f>
        <v/>
      </c>
    </row>
    <row r="28706" spans="15:15" x14ac:dyDescent="0.25">
      <c r="O28706" s="20" t="str">
        <f>IF(N28706="","",COUNTIFS(RawData[[Date ]],N28706,RawData[Month List],$Q$6,RawData[Tour/Site],$Q$2,RawData[[Picker ID ]],$Q$3,RawData[Checker ID],$Q$4,RawData[[Error Type ]],$Q$5))</f>
        <v/>
      </c>
    </row>
    <row r="28707" spans="15:15" x14ac:dyDescent="0.25">
      <c r="O28707" s="20" t="str">
        <f>IF(N28707="","",COUNTIFS(RawData[[Date ]],N28707,RawData[Month List],$Q$6,RawData[Tour/Site],$Q$2,RawData[[Picker ID ]],$Q$3,RawData[Checker ID],$Q$4,RawData[[Error Type ]],$Q$5))</f>
        <v/>
      </c>
    </row>
    <row r="28708" spans="15:15" x14ac:dyDescent="0.25">
      <c r="O28708" s="20" t="str">
        <f>IF(N28708="","",COUNTIFS(RawData[[Date ]],N28708,RawData[Month List],$Q$6,RawData[Tour/Site],$Q$2,RawData[[Picker ID ]],$Q$3,RawData[Checker ID],$Q$4,RawData[[Error Type ]],$Q$5))</f>
        <v/>
      </c>
    </row>
    <row r="28709" spans="15:15" x14ac:dyDescent="0.25">
      <c r="O28709" s="20" t="str">
        <f>IF(N28709="","",COUNTIFS(RawData[[Date ]],N28709,RawData[Month List],$Q$6,RawData[Tour/Site],$Q$2,RawData[[Picker ID ]],$Q$3,RawData[Checker ID],$Q$4,RawData[[Error Type ]],$Q$5))</f>
        <v/>
      </c>
    </row>
    <row r="28710" spans="15:15" x14ac:dyDescent="0.25">
      <c r="O28710" s="20" t="str">
        <f>IF(N28710="","",COUNTIFS(RawData[[Date ]],N28710,RawData[Month List],$Q$6,RawData[Tour/Site],$Q$2,RawData[[Picker ID ]],$Q$3,RawData[Checker ID],$Q$4,RawData[[Error Type ]],$Q$5))</f>
        <v/>
      </c>
    </row>
    <row r="28711" spans="15:15" x14ac:dyDescent="0.25">
      <c r="O28711" s="20" t="str">
        <f>IF(N28711="","",COUNTIFS(RawData[[Date ]],N28711,RawData[Month List],$Q$6,RawData[Tour/Site],$Q$2,RawData[[Picker ID ]],$Q$3,RawData[Checker ID],$Q$4,RawData[[Error Type ]],$Q$5))</f>
        <v/>
      </c>
    </row>
    <row r="28712" spans="15:15" x14ac:dyDescent="0.25">
      <c r="O28712" s="20" t="str">
        <f>IF(N28712="","",COUNTIFS(RawData[[Date ]],N28712,RawData[Month List],$Q$6,RawData[Tour/Site],$Q$2,RawData[[Picker ID ]],$Q$3,RawData[Checker ID],$Q$4,RawData[[Error Type ]],$Q$5))</f>
        <v/>
      </c>
    </row>
    <row r="28713" spans="15:15" x14ac:dyDescent="0.25">
      <c r="O28713" s="20" t="str">
        <f>IF(N28713="","",COUNTIFS(RawData[[Date ]],N28713,RawData[Month List],$Q$6,RawData[Tour/Site],$Q$2,RawData[[Picker ID ]],$Q$3,RawData[Checker ID],$Q$4,RawData[[Error Type ]],$Q$5))</f>
        <v/>
      </c>
    </row>
    <row r="28714" spans="15:15" x14ac:dyDescent="0.25">
      <c r="O28714" s="20" t="str">
        <f>IF(N28714="","",COUNTIFS(RawData[[Date ]],N28714,RawData[Month List],$Q$6,RawData[Tour/Site],$Q$2,RawData[[Picker ID ]],$Q$3,RawData[Checker ID],$Q$4,RawData[[Error Type ]],$Q$5))</f>
        <v/>
      </c>
    </row>
    <row r="28715" spans="15:15" x14ac:dyDescent="0.25">
      <c r="O28715" s="20" t="str">
        <f>IF(N28715="","",COUNTIFS(RawData[[Date ]],N28715,RawData[Month List],$Q$6,RawData[Tour/Site],$Q$2,RawData[[Picker ID ]],$Q$3,RawData[Checker ID],$Q$4,RawData[[Error Type ]],$Q$5))</f>
        <v/>
      </c>
    </row>
    <row r="28716" spans="15:15" x14ac:dyDescent="0.25">
      <c r="O28716" s="20" t="str">
        <f>IF(N28716="","",COUNTIFS(RawData[[Date ]],N28716,RawData[Month List],$Q$6,RawData[Tour/Site],$Q$2,RawData[[Picker ID ]],$Q$3,RawData[Checker ID],$Q$4,RawData[[Error Type ]],$Q$5))</f>
        <v/>
      </c>
    </row>
    <row r="28717" spans="15:15" x14ac:dyDescent="0.25">
      <c r="O28717" s="20" t="str">
        <f>IF(N28717="","",COUNTIFS(RawData[[Date ]],N28717,RawData[Month List],$Q$6,RawData[Tour/Site],$Q$2,RawData[[Picker ID ]],$Q$3,RawData[Checker ID],$Q$4,RawData[[Error Type ]],$Q$5))</f>
        <v/>
      </c>
    </row>
    <row r="28718" spans="15:15" x14ac:dyDescent="0.25">
      <c r="O28718" s="20" t="str">
        <f>IF(N28718="","",COUNTIFS(RawData[[Date ]],N28718,RawData[Month List],$Q$6,RawData[Tour/Site],$Q$2,RawData[[Picker ID ]],$Q$3,RawData[Checker ID],$Q$4,RawData[[Error Type ]],$Q$5))</f>
        <v/>
      </c>
    </row>
    <row r="28719" spans="15:15" x14ac:dyDescent="0.25">
      <c r="O28719" s="20" t="str">
        <f>IF(N28719="","",COUNTIFS(RawData[[Date ]],N28719,RawData[Month List],$Q$6,RawData[Tour/Site],$Q$2,RawData[[Picker ID ]],$Q$3,RawData[Checker ID],$Q$4,RawData[[Error Type ]],$Q$5))</f>
        <v/>
      </c>
    </row>
    <row r="28720" spans="15:15" x14ac:dyDescent="0.25">
      <c r="O28720" s="20" t="str">
        <f>IF(N28720="","",COUNTIFS(RawData[[Date ]],N28720,RawData[Month List],$Q$6,RawData[Tour/Site],$Q$2,RawData[[Picker ID ]],$Q$3,RawData[Checker ID],$Q$4,RawData[[Error Type ]],$Q$5))</f>
        <v/>
      </c>
    </row>
    <row r="28721" spans="15:15" x14ac:dyDescent="0.25">
      <c r="O28721" s="20" t="str">
        <f>IF(N28721="","",COUNTIFS(RawData[[Date ]],N28721,RawData[Month List],$Q$6,RawData[Tour/Site],$Q$2,RawData[[Picker ID ]],$Q$3,RawData[Checker ID],$Q$4,RawData[[Error Type ]],$Q$5))</f>
        <v/>
      </c>
    </row>
    <row r="28722" spans="15:15" x14ac:dyDescent="0.25">
      <c r="O28722" s="20" t="str">
        <f>IF(N28722="","",COUNTIFS(RawData[[Date ]],N28722,RawData[Month List],$Q$6,RawData[Tour/Site],$Q$2,RawData[[Picker ID ]],$Q$3,RawData[Checker ID],$Q$4,RawData[[Error Type ]],$Q$5))</f>
        <v/>
      </c>
    </row>
    <row r="28723" spans="15:15" x14ac:dyDescent="0.25">
      <c r="O28723" s="20" t="str">
        <f>IF(N28723="","",COUNTIFS(RawData[[Date ]],N28723,RawData[Month List],$Q$6,RawData[Tour/Site],$Q$2,RawData[[Picker ID ]],$Q$3,RawData[Checker ID],$Q$4,RawData[[Error Type ]],$Q$5))</f>
        <v/>
      </c>
    </row>
    <row r="28724" spans="15:15" x14ac:dyDescent="0.25">
      <c r="O28724" s="20" t="str">
        <f>IF(N28724="","",COUNTIFS(RawData[[Date ]],N28724,RawData[Month List],$Q$6,RawData[Tour/Site],$Q$2,RawData[[Picker ID ]],$Q$3,RawData[Checker ID],$Q$4,RawData[[Error Type ]],$Q$5))</f>
        <v/>
      </c>
    </row>
    <row r="28725" spans="15:15" x14ac:dyDescent="0.25">
      <c r="O28725" s="20" t="str">
        <f>IF(N28725="","",COUNTIFS(RawData[[Date ]],N28725,RawData[Month List],$Q$6,RawData[Tour/Site],$Q$2,RawData[[Picker ID ]],$Q$3,RawData[Checker ID],$Q$4,RawData[[Error Type ]],$Q$5))</f>
        <v/>
      </c>
    </row>
    <row r="28726" spans="15:15" x14ac:dyDescent="0.25">
      <c r="O28726" s="20" t="str">
        <f>IF(N28726="","",COUNTIFS(RawData[[Date ]],N28726,RawData[Month List],$Q$6,RawData[Tour/Site],$Q$2,RawData[[Picker ID ]],$Q$3,RawData[Checker ID],$Q$4,RawData[[Error Type ]],$Q$5))</f>
        <v/>
      </c>
    </row>
    <row r="28727" spans="15:15" x14ac:dyDescent="0.25">
      <c r="O28727" s="20" t="str">
        <f>IF(N28727="","",COUNTIFS(RawData[[Date ]],N28727,RawData[Month List],$Q$6,RawData[Tour/Site],$Q$2,RawData[[Picker ID ]],$Q$3,RawData[Checker ID],$Q$4,RawData[[Error Type ]],$Q$5))</f>
        <v/>
      </c>
    </row>
    <row r="28728" spans="15:15" x14ac:dyDescent="0.25">
      <c r="O28728" s="20" t="str">
        <f>IF(N28728="","",COUNTIFS(RawData[[Date ]],N28728,RawData[Month List],$Q$6,RawData[Tour/Site],$Q$2,RawData[[Picker ID ]],$Q$3,RawData[Checker ID],$Q$4,RawData[[Error Type ]],$Q$5))</f>
        <v/>
      </c>
    </row>
    <row r="28729" spans="15:15" x14ac:dyDescent="0.25">
      <c r="O28729" s="20" t="str">
        <f>IF(N28729="","",COUNTIFS(RawData[[Date ]],N28729,RawData[Month List],$Q$6,RawData[Tour/Site],$Q$2,RawData[[Picker ID ]],$Q$3,RawData[Checker ID],$Q$4,RawData[[Error Type ]],$Q$5))</f>
        <v/>
      </c>
    </row>
    <row r="28730" spans="15:15" x14ac:dyDescent="0.25">
      <c r="O28730" s="20" t="str">
        <f>IF(N28730="","",COUNTIFS(RawData[[Date ]],N28730,RawData[Month List],$Q$6,RawData[Tour/Site],$Q$2,RawData[[Picker ID ]],$Q$3,RawData[Checker ID],$Q$4,RawData[[Error Type ]],$Q$5))</f>
        <v/>
      </c>
    </row>
    <row r="28731" spans="15:15" x14ac:dyDescent="0.25">
      <c r="O28731" s="20" t="str">
        <f>IF(N28731="","",COUNTIFS(RawData[[Date ]],N28731,RawData[Month List],$Q$6,RawData[Tour/Site],$Q$2,RawData[[Picker ID ]],$Q$3,RawData[Checker ID],$Q$4,RawData[[Error Type ]],$Q$5))</f>
        <v/>
      </c>
    </row>
    <row r="28732" spans="15:15" x14ac:dyDescent="0.25">
      <c r="O28732" s="20" t="str">
        <f>IF(N28732="","",COUNTIFS(RawData[[Date ]],N28732,RawData[Month List],$Q$6,RawData[Tour/Site],$Q$2,RawData[[Picker ID ]],$Q$3,RawData[Checker ID],$Q$4,RawData[[Error Type ]],$Q$5))</f>
        <v/>
      </c>
    </row>
    <row r="28733" spans="15:15" x14ac:dyDescent="0.25">
      <c r="O28733" s="20" t="str">
        <f>IF(N28733="","",COUNTIFS(RawData[[Date ]],N28733,RawData[Month List],$Q$6,RawData[Tour/Site],$Q$2,RawData[[Picker ID ]],$Q$3,RawData[Checker ID],$Q$4,RawData[[Error Type ]],$Q$5))</f>
        <v/>
      </c>
    </row>
    <row r="28734" spans="15:15" x14ac:dyDescent="0.25">
      <c r="O28734" s="20" t="str">
        <f>IF(N28734="","",COUNTIFS(RawData[[Date ]],N28734,RawData[Month List],$Q$6,RawData[Tour/Site],$Q$2,RawData[[Picker ID ]],$Q$3,RawData[Checker ID],$Q$4,RawData[[Error Type ]],$Q$5))</f>
        <v/>
      </c>
    </row>
    <row r="28735" spans="15:15" x14ac:dyDescent="0.25">
      <c r="O28735" s="20" t="str">
        <f>IF(N28735="","",COUNTIFS(RawData[[Date ]],N28735,RawData[Month List],$Q$6,RawData[Tour/Site],$Q$2,RawData[[Picker ID ]],$Q$3,RawData[Checker ID],$Q$4,RawData[[Error Type ]],$Q$5))</f>
        <v/>
      </c>
    </row>
    <row r="28736" spans="15:15" x14ac:dyDescent="0.25">
      <c r="O28736" s="20" t="str">
        <f>IF(N28736="","",COUNTIFS(RawData[[Date ]],N28736,RawData[Month List],$Q$6,RawData[Tour/Site],$Q$2,RawData[[Picker ID ]],$Q$3,RawData[Checker ID],$Q$4,RawData[[Error Type ]],$Q$5))</f>
        <v/>
      </c>
    </row>
    <row r="28737" spans="15:15" x14ac:dyDescent="0.25">
      <c r="O28737" s="20" t="str">
        <f>IF(N28737="","",COUNTIFS(RawData[[Date ]],N28737,RawData[Month List],$Q$6,RawData[Tour/Site],$Q$2,RawData[[Picker ID ]],$Q$3,RawData[Checker ID],$Q$4,RawData[[Error Type ]],$Q$5))</f>
        <v/>
      </c>
    </row>
    <row r="28738" spans="15:15" x14ac:dyDescent="0.25">
      <c r="O28738" s="20" t="str">
        <f>IF(N28738="","",COUNTIFS(RawData[[Date ]],N28738,RawData[Month List],$Q$6,RawData[Tour/Site],$Q$2,RawData[[Picker ID ]],$Q$3,RawData[Checker ID],$Q$4,RawData[[Error Type ]],$Q$5))</f>
        <v/>
      </c>
    </row>
    <row r="28739" spans="15:15" x14ac:dyDescent="0.25">
      <c r="O28739" s="20" t="str">
        <f>IF(N28739="","",COUNTIFS(RawData[[Date ]],N28739,RawData[Month List],$Q$6,RawData[Tour/Site],$Q$2,RawData[[Picker ID ]],$Q$3,RawData[Checker ID],$Q$4,RawData[[Error Type ]],$Q$5))</f>
        <v/>
      </c>
    </row>
    <row r="28740" spans="15:15" x14ac:dyDescent="0.25">
      <c r="O28740" s="20" t="str">
        <f>IF(N28740="","",COUNTIFS(RawData[[Date ]],N28740,RawData[Month List],$Q$6,RawData[Tour/Site],$Q$2,RawData[[Picker ID ]],$Q$3,RawData[Checker ID],$Q$4,RawData[[Error Type ]],$Q$5))</f>
        <v/>
      </c>
    </row>
    <row r="28741" spans="15:15" x14ac:dyDescent="0.25">
      <c r="O28741" s="20" t="str">
        <f>IF(N28741="","",COUNTIFS(RawData[[Date ]],N28741,RawData[Month List],$Q$6,RawData[Tour/Site],$Q$2,RawData[[Picker ID ]],$Q$3,RawData[Checker ID],$Q$4,RawData[[Error Type ]],$Q$5))</f>
        <v/>
      </c>
    </row>
    <row r="28742" spans="15:15" x14ac:dyDescent="0.25">
      <c r="O28742" s="20" t="str">
        <f>IF(N28742="","",COUNTIFS(RawData[[Date ]],N28742,RawData[Month List],$Q$6,RawData[Tour/Site],$Q$2,RawData[[Picker ID ]],$Q$3,RawData[Checker ID],$Q$4,RawData[[Error Type ]],$Q$5))</f>
        <v/>
      </c>
    </row>
    <row r="28743" spans="15:15" x14ac:dyDescent="0.25">
      <c r="O28743" s="20" t="str">
        <f>IF(N28743="","",COUNTIFS(RawData[[Date ]],N28743,RawData[Month List],$Q$6,RawData[Tour/Site],$Q$2,RawData[[Picker ID ]],$Q$3,RawData[Checker ID],$Q$4,RawData[[Error Type ]],$Q$5))</f>
        <v/>
      </c>
    </row>
    <row r="28744" spans="15:15" x14ac:dyDescent="0.25">
      <c r="O28744" s="20" t="str">
        <f>IF(N28744="","",COUNTIFS(RawData[[Date ]],N28744,RawData[Month List],$Q$6,RawData[Tour/Site],$Q$2,RawData[[Picker ID ]],$Q$3,RawData[Checker ID],$Q$4,RawData[[Error Type ]],$Q$5))</f>
        <v/>
      </c>
    </row>
    <row r="28745" spans="15:15" x14ac:dyDescent="0.25">
      <c r="O28745" s="20" t="str">
        <f>IF(N28745="","",COUNTIFS(RawData[[Date ]],N28745,RawData[Month List],$Q$6,RawData[Tour/Site],$Q$2,RawData[[Picker ID ]],$Q$3,RawData[Checker ID],$Q$4,RawData[[Error Type ]],$Q$5))</f>
        <v/>
      </c>
    </row>
    <row r="28746" spans="15:15" x14ac:dyDescent="0.25">
      <c r="O28746" s="20" t="str">
        <f>IF(N28746="","",COUNTIFS(RawData[[Date ]],N28746,RawData[Month List],$Q$6,RawData[Tour/Site],$Q$2,RawData[[Picker ID ]],$Q$3,RawData[Checker ID],$Q$4,RawData[[Error Type ]],$Q$5))</f>
        <v/>
      </c>
    </row>
    <row r="28747" spans="15:15" x14ac:dyDescent="0.25">
      <c r="O28747" s="20" t="str">
        <f>IF(N28747="","",COUNTIFS(RawData[[Date ]],N28747,RawData[Month List],$Q$6,RawData[Tour/Site],$Q$2,RawData[[Picker ID ]],$Q$3,RawData[Checker ID],$Q$4,RawData[[Error Type ]],$Q$5))</f>
        <v/>
      </c>
    </row>
    <row r="28748" spans="15:15" x14ac:dyDescent="0.25">
      <c r="O28748" s="20" t="str">
        <f>IF(N28748="","",COUNTIFS(RawData[[Date ]],N28748,RawData[Month List],$Q$6,RawData[Tour/Site],$Q$2,RawData[[Picker ID ]],$Q$3,RawData[Checker ID],$Q$4,RawData[[Error Type ]],$Q$5))</f>
        <v/>
      </c>
    </row>
    <row r="28749" spans="15:15" x14ac:dyDescent="0.25">
      <c r="O28749" s="20" t="str">
        <f>IF(N28749="","",COUNTIFS(RawData[[Date ]],N28749,RawData[Month List],$Q$6,RawData[Tour/Site],$Q$2,RawData[[Picker ID ]],$Q$3,RawData[Checker ID],$Q$4,RawData[[Error Type ]],$Q$5))</f>
        <v/>
      </c>
    </row>
    <row r="28750" spans="15:15" x14ac:dyDescent="0.25">
      <c r="O28750" s="20" t="str">
        <f>IF(N28750="","",COUNTIFS(RawData[[Date ]],N28750,RawData[Month List],$Q$6,RawData[Tour/Site],$Q$2,RawData[[Picker ID ]],$Q$3,RawData[Checker ID],$Q$4,RawData[[Error Type ]],$Q$5))</f>
        <v/>
      </c>
    </row>
    <row r="28751" spans="15:15" x14ac:dyDescent="0.25">
      <c r="O28751" s="20" t="str">
        <f>IF(N28751="","",COUNTIFS(RawData[[Date ]],N28751,RawData[Month List],$Q$6,RawData[Tour/Site],$Q$2,RawData[[Picker ID ]],$Q$3,RawData[Checker ID],$Q$4,RawData[[Error Type ]],$Q$5))</f>
        <v/>
      </c>
    </row>
    <row r="28752" spans="15:15" x14ac:dyDescent="0.25">
      <c r="O28752" s="20" t="str">
        <f>IF(N28752="","",COUNTIFS(RawData[[Date ]],N28752,RawData[Month List],$Q$6,RawData[Tour/Site],$Q$2,RawData[[Picker ID ]],$Q$3,RawData[Checker ID],$Q$4,RawData[[Error Type ]],$Q$5))</f>
        <v/>
      </c>
    </row>
    <row r="28753" spans="15:15" x14ac:dyDescent="0.25">
      <c r="O28753" s="20" t="str">
        <f>IF(N28753="","",COUNTIFS(RawData[[Date ]],N28753,RawData[Month List],$Q$6,RawData[Tour/Site],$Q$2,RawData[[Picker ID ]],$Q$3,RawData[Checker ID],$Q$4,RawData[[Error Type ]],$Q$5))</f>
        <v/>
      </c>
    </row>
    <row r="28754" spans="15:15" x14ac:dyDescent="0.25">
      <c r="O28754" s="20" t="str">
        <f>IF(N28754="","",COUNTIFS(RawData[[Date ]],N28754,RawData[Month List],$Q$6,RawData[Tour/Site],$Q$2,RawData[[Picker ID ]],$Q$3,RawData[Checker ID],$Q$4,RawData[[Error Type ]],$Q$5))</f>
        <v/>
      </c>
    </row>
    <row r="28755" spans="15:15" x14ac:dyDescent="0.25">
      <c r="O28755" s="20" t="str">
        <f>IF(N28755="","",COUNTIFS(RawData[[Date ]],N28755,RawData[Month List],$Q$6,RawData[Tour/Site],$Q$2,RawData[[Picker ID ]],$Q$3,RawData[Checker ID],$Q$4,RawData[[Error Type ]],$Q$5))</f>
        <v/>
      </c>
    </row>
    <row r="28756" spans="15:15" x14ac:dyDescent="0.25">
      <c r="O28756" s="20" t="str">
        <f>IF(N28756="","",COUNTIFS(RawData[[Date ]],N28756,RawData[Month List],$Q$6,RawData[Tour/Site],$Q$2,RawData[[Picker ID ]],$Q$3,RawData[Checker ID],$Q$4,RawData[[Error Type ]],$Q$5))</f>
        <v/>
      </c>
    </row>
    <row r="28757" spans="15:15" x14ac:dyDescent="0.25">
      <c r="O28757" s="20" t="str">
        <f>IF(N28757="","",COUNTIFS(RawData[[Date ]],N28757,RawData[Month List],$Q$6,RawData[Tour/Site],$Q$2,RawData[[Picker ID ]],$Q$3,RawData[Checker ID],$Q$4,RawData[[Error Type ]],$Q$5))</f>
        <v/>
      </c>
    </row>
    <row r="28758" spans="15:15" x14ac:dyDescent="0.25">
      <c r="O28758" s="20" t="str">
        <f>IF(N28758="","",COUNTIFS(RawData[[Date ]],N28758,RawData[Month List],$Q$6,RawData[Tour/Site],$Q$2,RawData[[Picker ID ]],$Q$3,RawData[Checker ID],$Q$4,RawData[[Error Type ]],$Q$5))</f>
        <v/>
      </c>
    </row>
    <row r="28759" spans="15:15" x14ac:dyDescent="0.25">
      <c r="O28759" s="20" t="str">
        <f>IF(N28759="","",COUNTIFS(RawData[[Date ]],N28759,RawData[Month List],$Q$6,RawData[Tour/Site],$Q$2,RawData[[Picker ID ]],$Q$3,RawData[Checker ID],$Q$4,RawData[[Error Type ]],$Q$5))</f>
        <v/>
      </c>
    </row>
    <row r="28760" spans="15:15" x14ac:dyDescent="0.25">
      <c r="O28760" s="20" t="str">
        <f>IF(N28760="","",COUNTIFS(RawData[[Date ]],N28760,RawData[Month List],$Q$6,RawData[Tour/Site],$Q$2,RawData[[Picker ID ]],$Q$3,RawData[Checker ID],$Q$4,RawData[[Error Type ]],$Q$5))</f>
        <v/>
      </c>
    </row>
    <row r="28761" spans="15:15" x14ac:dyDescent="0.25">
      <c r="O28761" s="20" t="str">
        <f>IF(N28761="","",COUNTIFS(RawData[[Date ]],N28761,RawData[Month List],$Q$6,RawData[Tour/Site],$Q$2,RawData[[Picker ID ]],$Q$3,RawData[Checker ID],$Q$4,RawData[[Error Type ]],$Q$5))</f>
        <v/>
      </c>
    </row>
    <row r="28762" spans="15:15" x14ac:dyDescent="0.25">
      <c r="O28762" s="20" t="str">
        <f>IF(N28762="","",COUNTIFS(RawData[[Date ]],N28762,RawData[Month List],$Q$6,RawData[Tour/Site],$Q$2,RawData[[Picker ID ]],$Q$3,RawData[Checker ID],$Q$4,RawData[[Error Type ]],$Q$5))</f>
        <v/>
      </c>
    </row>
    <row r="28763" spans="15:15" x14ac:dyDescent="0.25">
      <c r="O28763" s="20" t="str">
        <f>IF(N28763="","",COUNTIFS(RawData[[Date ]],N28763,RawData[Month List],$Q$6,RawData[Tour/Site],$Q$2,RawData[[Picker ID ]],$Q$3,RawData[Checker ID],$Q$4,RawData[[Error Type ]],$Q$5))</f>
        <v/>
      </c>
    </row>
    <row r="28764" spans="15:15" x14ac:dyDescent="0.25">
      <c r="O28764" s="20" t="str">
        <f>IF(N28764="","",COUNTIFS(RawData[[Date ]],N28764,RawData[Month List],$Q$6,RawData[Tour/Site],$Q$2,RawData[[Picker ID ]],$Q$3,RawData[Checker ID],$Q$4,RawData[[Error Type ]],$Q$5))</f>
        <v/>
      </c>
    </row>
    <row r="28765" spans="15:15" x14ac:dyDescent="0.25">
      <c r="O28765" s="20" t="str">
        <f>IF(N28765="","",COUNTIFS(RawData[[Date ]],N28765,RawData[Month List],$Q$6,RawData[Tour/Site],$Q$2,RawData[[Picker ID ]],$Q$3,RawData[Checker ID],$Q$4,RawData[[Error Type ]],$Q$5))</f>
        <v/>
      </c>
    </row>
    <row r="28766" spans="15:15" x14ac:dyDescent="0.25">
      <c r="O28766" s="20" t="str">
        <f>IF(N28766="","",COUNTIFS(RawData[[Date ]],N28766,RawData[Month List],$Q$6,RawData[Tour/Site],$Q$2,RawData[[Picker ID ]],$Q$3,RawData[Checker ID],$Q$4,RawData[[Error Type ]],$Q$5))</f>
        <v/>
      </c>
    </row>
    <row r="28767" spans="15:15" x14ac:dyDescent="0.25">
      <c r="O28767" s="20" t="str">
        <f>IF(N28767="","",COUNTIFS(RawData[[Date ]],N28767,RawData[Month List],$Q$6,RawData[Tour/Site],$Q$2,RawData[[Picker ID ]],$Q$3,RawData[Checker ID],$Q$4,RawData[[Error Type ]],$Q$5))</f>
        <v/>
      </c>
    </row>
    <row r="28768" spans="15:15" x14ac:dyDescent="0.25">
      <c r="O28768" s="20" t="str">
        <f>IF(N28768="","",COUNTIFS(RawData[[Date ]],N28768,RawData[Month List],$Q$6,RawData[Tour/Site],$Q$2,RawData[[Picker ID ]],$Q$3,RawData[Checker ID],$Q$4,RawData[[Error Type ]],$Q$5))</f>
        <v/>
      </c>
    </row>
    <row r="28769" spans="15:15" x14ac:dyDescent="0.25">
      <c r="O28769" s="20" t="str">
        <f>IF(N28769="","",COUNTIFS(RawData[[Date ]],N28769,RawData[Month List],$Q$6,RawData[Tour/Site],$Q$2,RawData[[Picker ID ]],$Q$3,RawData[Checker ID],$Q$4,RawData[[Error Type ]],$Q$5))</f>
        <v/>
      </c>
    </row>
    <row r="28770" spans="15:15" x14ac:dyDescent="0.25">
      <c r="O28770" s="20" t="str">
        <f>IF(N28770="","",COUNTIFS(RawData[[Date ]],N28770,RawData[Month List],$Q$6,RawData[Tour/Site],$Q$2,RawData[[Picker ID ]],$Q$3,RawData[Checker ID],$Q$4,RawData[[Error Type ]],$Q$5))</f>
        <v/>
      </c>
    </row>
    <row r="28771" spans="15:15" x14ac:dyDescent="0.25">
      <c r="O28771" s="20" t="str">
        <f>IF(N28771="","",COUNTIFS(RawData[[Date ]],N28771,RawData[Month List],$Q$6,RawData[Tour/Site],$Q$2,RawData[[Picker ID ]],$Q$3,RawData[Checker ID],$Q$4,RawData[[Error Type ]],$Q$5))</f>
        <v/>
      </c>
    </row>
    <row r="28772" spans="15:15" x14ac:dyDescent="0.25">
      <c r="O28772" s="20" t="str">
        <f>IF(N28772="","",COUNTIFS(RawData[[Date ]],N28772,RawData[Month List],$Q$6,RawData[Tour/Site],$Q$2,RawData[[Picker ID ]],$Q$3,RawData[Checker ID],$Q$4,RawData[[Error Type ]],$Q$5))</f>
        <v/>
      </c>
    </row>
    <row r="28773" spans="15:15" x14ac:dyDescent="0.25">
      <c r="O28773" s="20" t="str">
        <f>IF(N28773="","",COUNTIFS(RawData[[Date ]],N28773,RawData[Month List],$Q$6,RawData[Tour/Site],$Q$2,RawData[[Picker ID ]],$Q$3,RawData[Checker ID],$Q$4,RawData[[Error Type ]],$Q$5))</f>
        <v/>
      </c>
    </row>
    <row r="28774" spans="15:15" x14ac:dyDescent="0.25">
      <c r="O28774" s="20" t="str">
        <f>IF(N28774="","",COUNTIFS(RawData[[Date ]],N28774,RawData[Month List],$Q$6,RawData[Tour/Site],$Q$2,RawData[[Picker ID ]],$Q$3,RawData[Checker ID],$Q$4,RawData[[Error Type ]],$Q$5))</f>
        <v/>
      </c>
    </row>
    <row r="28775" spans="15:15" x14ac:dyDescent="0.25">
      <c r="O28775" s="20" t="str">
        <f>IF(N28775="","",COUNTIFS(RawData[[Date ]],N28775,RawData[Month List],$Q$6,RawData[Tour/Site],$Q$2,RawData[[Picker ID ]],$Q$3,RawData[Checker ID],$Q$4,RawData[[Error Type ]],$Q$5))</f>
        <v/>
      </c>
    </row>
    <row r="28776" spans="15:15" x14ac:dyDescent="0.25">
      <c r="O28776" s="20" t="str">
        <f>IF(N28776="","",COUNTIFS(RawData[[Date ]],N28776,RawData[Month List],$Q$6,RawData[Tour/Site],$Q$2,RawData[[Picker ID ]],$Q$3,RawData[Checker ID],$Q$4,RawData[[Error Type ]],$Q$5))</f>
        <v/>
      </c>
    </row>
    <row r="28777" spans="15:15" x14ac:dyDescent="0.25">
      <c r="O28777" s="20" t="str">
        <f>IF(N28777="","",COUNTIFS(RawData[[Date ]],N28777,RawData[Month List],$Q$6,RawData[Tour/Site],$Q$2,RawData[[Picker ID ]],$Q$3,RawData[Checker ID],$Q$4,RawData[[Error Type ]],$Q$5))</f>
        <v/>
      </c>
    </row>
    <row r="28778" spans="15:15" x14ac:dyDescent="0.25">
      <c r="O28778" s="20" t="str">
        <f>IF(N28778="","",COUNTIFS(RawData[[Date ]],N28778,RawData[Month List],$Q$6,RawData[Tour/Site],$Q$2,RawData[[Picker ID ]],$Q$3,RawData[Checker ID],$Q$4,RawData[[Error Type ]],$Q$5))</f>
        <v/>
      </c>
    </row>
    <row r="28779" spans="15:15" x14ac:dyDescent="0.25">
      <c r="O28779" s="20" t="str">
        <f>IF(N28779="","",COUNTIFS(RawData[[Date ]],N28779,RawData[Month List],$Q$6,RawData[Tour/Site],$Q$2,RawData[[Picker ID ]],$Q$3,RawData[Checker ID],$Q$4,RawData[[Error Type ]],$Q$5))</f>
        <v/>
      </c>
    </row>
    <row r="28780" spans="15:15" x14ac:dyDescent="0.25">
      <c r="O28780" s="20" t="str">
        <f>IF(N28780="","",COUNTIFS(RawData[[Date ]],N28780,RawData[Month List],$Q$6,RawData[Tour/Site],$Q$2,RawData[[Picker ID ]],$Q$3,RawData[Checker ID],$Q$4,RawData[[Error Type ]],$Q$5))</f>
        <v/>
      </c>
    </row>
    <row r="28781" spans="15:15" x14ac:dyDescent="0.25">
      <c r="O28781" s="20" t="str">
        <f>IF(N28781="","",COUNTIFS(RawData[[Date ]],N28781,RawData[Month List],$Q$6,RawData[Tour/Site],$Q$2,RawData[[Picker ID ]],$Q$3,RawData[Checker ID],$Q$4,RawData[[Error Type ]],$Q$5))</f>
        <v/>
      </c>
    </row>
    <row r="28782" spans="15:15" x14ac:dyDescent="0.25">
      <c r="O28782" s="20" t="str">
        <f>IF(N28782="","",COUNTIFS(RawData[[Date ]],N28782,RawData[Month List],$Q$6,RawData[Tour/Site],$Q$2,RawData[[Picker ID ]],$Q$3,RawData[Checker ID],$Q$4,RawData[[Error Type ]],$Q$5))</f>
        <v/>
      </c>
    </row>
    <row r="28783" spans="15:15" x14ac:dyDescent="0.25">
      <c r="O28783" s="20" t="str">
        <f>IF(N28783="","",COUNTIFS(RawData[[Date ]],N28783,RawData[Month List],$Q$6,RawData[Tour/Site],$Q$2,RawData[[Picker ID ]],$Q$3,RawData[Checker ID],$Q$4,RawData[[Error Type ]],$Q$5))</f>
        <v/>
      </c>
    </row>
    <row r="28784" spans="15:15" x14ac:dyDescent="0.25">
      <c r="O28784" s="20" t="str">
        <f>IF(N28784="","",COUNTIFS(RawData[[Date ]],N28784,RawData[Month List],$Q$6,RawData[Tour/Site],$Q$2,RawData[[Picker ID ]],$Q$3,RawData[Checker ID],$Q$4,RawData[[Error Type ]],$Q$5))</f>
        <v/>
      </c>
    </row>
    <row r="28785" spans="15:15" x14ac:dyDescent="0.25">
      <c r="O28785" s="20" t="str">
        <f>IF(N28785="","",COUNTIFS(RawData[[Date ]],N28785,RawData[Month List],$Q$6,RawData[Tour/Site],$Q$2,RawData[[Picker ID ]],$Q$3,RawData[Checker ID],$Q$4,RawData[[Error Type ]],$Q$5))</f>
        <v/>
      </c>
    </row>
    <row r="28786" spans="15:15" x14ac:dyDescent="0.25">
      <c r="O28786" s="20" t="str">
        <f>IF(N28786="","",COUNTIFS(RawData[[Date ]],N28786,RawData[Month List],$Q$6,RawData[Tour/Site],$Q$2,RawData[[Picker ID ]],$Q$3,RawData[Checker ID],$Q$4,RawData[[Error Type ]],$Q$5))</f>
        <v/>
      </c>
    </row>
    <row r="28787" spans="15:15" x14ac:dyDescent="0.25">
      <c r="O28787" s="20" t="str">
        <f>IF(N28787="","",COUNTIFS(RawData[[Date ]],N28787,RawData[Month List],$Q$6,RawData[Tour/Site],$Q$2,RawData[[Picker ID ]],$Q$3,RawData[Checker ID],$Q$4,RawData[[Error Type ]],$Q$5))</f>
        <v/>
      </c>
    </row>
    <row r="28788" spans="15:15" x14ac:dyDescent="0.25">
      <c r="O28788" s="20" t="str">
        <f>IF(N28788="","",COUNTIFS(RawData[[Date ]],N28788,RawData[Month List],$Q$6,RawData[Tour/Site],$Q$2,RawData[[Picker ID ]],$Q$3,RawData[Checker ID],$Q$4,RawData[[Error Type ]],$Q$5))</f>
        <v/>
      </c>
    </row>
    <row r="28789" spans="15:15" x14ac:dyDescent="0.25">
      <c r="O28789" s="20" t="str">
        <f>IF(N28789="","",COUNTIFS(RawData[[Date ]],N28789,RawData[Month List],$Q$6,RawData[Tour/Site],$Q$2,RawData[[Picker ID ]],$Q$3,RawData[Checker ID],$Q$4,RawData[[Error Type ]],$Q$5))</f>
        <v/>
      </c>
    </row>
    <row r="28790" spans="15:15" x14ac:dyDescent="0.25">
      <c r="O28790" s="20" t="str">
        <f>IF(N28790="","",COUNTIFS(RawData[[Date ]],N28790,RawData[Month List],$Q$6,RawData[Tour/Site],$Q$2,RawData[[Picker ID ]],$Q$3,RawData[Checker ID],$Q$4,RawData[[Error Type ]],$Q$5))</f>
        <v/>
      </c>
    </row>
    <row r="28791" spans="15:15" x14ac:dyDescent="0.25">
      <c r="O28791" s="20" t="str">
        <f>IF(N28791="","",COUNTIFS(RawData[[Date ]],N28791,RawData[Month List],$Q$6,RawData[Tour/Site],$Q$2,RawData[[Picker ID ]],$Q$3,RawData[Checker ID],$Q$4,RawData[[Error Type ]],$Q$5))</f>
        <v/>
      </c>
    </row>
    <row r="28792" spans="15:15" x14ac:dyDescent="0.25">
      <c r="O28792" s="20" t="str">
        <f>IF(N28792="","",COUNTIFS(RawData[[Date ]],N28792,RawData[Month List],$Q$6,RawData[Tour/Site],$Q$2,RawData[[Picker ID ]],$Q$3,RawData[Checker ID],$Q$4,RawData[[Error Type ]],$Q$5))</f>
        <v/>
      </c>
    </row>
    <row r="28793" spans="15:15" x14ac:dyDescent="0.25">
      <c r="O28793" s="20" t="str">
        <f>IF(N28793="","",COUNTIFS(RawData[[Date ]],N28793,RawData[Month List],$Q$6,RawData[Tour/Site],$Q$2,RawData[[Picker ID ]],$Q$3,RawData[Checker ID],$Q$4,RawData[[Error Type ]],$Q$5))</f>
        <v/>
      </c>
    </row>
    <row r="28794" spans="15:15" x14ac:dyDescent="0.25">
      <c r="O28794" s="20" t="str">
        <f>IF(N28794="","",COUNTIFS(RawData[[Date ]],N28794,RawData[Month List],$Q$6,RawData[Tour/Site],$Q$2,RawData[[Picker ID ]],$Q$3,RawData[Checker ID],$Q$4,RawData[[Error Type ]],$Q$5))</f>
        <v/>
      </c>
    </row>
    <row r="28795" spans="15:15" x14ac:dyDescent="0.25">
      <c r="O28795" s="20" t="str">
        <f>IF(N28795="","",COUNTIFS(RawData[[Date ]],N28795,RawData[Month List],$Q$6,RawData[Tour/Site],$Q$2,RawData[[Picker ID ]],$Q$3,RawData[Checker ID],$Q$4,RawData[[Error Type ]],$Q$5))</f>
        <v/>
      </c>
    </row>
    <row r="28796" spans="15:15" x14ac:dyDescent="0.25">
      <c r="O28796" s="20" t="str">
        <f>IF(N28796="","",COUNTIFS(RawData[[Date ]],N28796,RawData[Month List],$Q$6,RawData[Tour/Site],$Q$2,RawData[[Picker ID ]],$Q$3,RawData[Checker ID],$Q$4,RawData[[Error Type ]],$Q$5))</f>
        <v/>
      </c>
    </row>
    <row r="28797" spans="15:15" x14ac:dyDescent="0.25">
      <c r="O28797" s="20" t="str">
        <f>IF(N28797="","",COUNTIFS(RawData[[Date ]],N28797,RawData[Month List],$Q$6,RawData[Tour/Site],$Q$2,RawData[[Picker ID ]],$Q$3,RawData[Checker ID],$Q$4,RawData[[Error Type ]],$Q$5))</f>
        <v/>
      </c>
    </row>
    <row r="28798" spans="15:15" x14ac:dyDescent="0.25">
      <c r="O28798" s="20" t="str">
        <f>IF(N28798="","",COUNTIFS(RawData[[Date ]],N28798,RawData[Month List],$Q$6,RawData[Tour/Site],$Q$2,RawData[[Picker ID ]],$Q$3,RawData[Checker ID],$Q$4,RawData[[Error Type ]],$Q$5))</f>
        <v/>
      </c>
    </row>
    <row r="28799" spans="15:15" x14ac:dyDescent="0.25">
      <c r="O28799" s="20" t="str">
        <f>IF(N28799="","",COUNTIFS(RawData[[Date ]],N28799,RawData[Month List],$Q$6,RawData[Tour/Site],$Q$2,RawData[[Picker ID ]],$Q$3,RawData[Checker ID],$Q$4,RawData[[Error Type ]],$Q$5))</f>
        <v/>
      </c>
    </row>
    <row r="28800" spans="15:15" x14ac:dyDescent="0.25">
      <c r="O28800" s="20" t="str">
        <f>IF(N28800="","",COUNTIFS(RawData[[Date ]],N28800,RawData[Month List],$Q$6,RawData[Tour/Site],$Q$2,RawData[[Picker ID ]],$Q$3,RawData[Checker ID],$Q$4,RawData[[Error Type ]],$Q$5))</f>
        <v/>
      </c>
    </row>
    <row r="28801" spans="15:15" x14ac:dyDescent="0.25">
      <c r="O28801" s="20" t="str">
        <f>IF(N28801="","",COUNTIFS(RawData[[Date ]],N28801,RawData[Month List],$Q$6,RawData[Tour/Site],$Q$2,RawData[[Picker ID ]],$Q$3,RawData[Checker ID],$Q$4,RawData[[Error Type ]],$Q$5))</f>
        <v/>
      </c>
    </row>
    <row r="28802" spans="15:15" x14ac:dyDescent="0.25">
      <c r="O28802" s="20" t="str">
        <f>IF(N28802="","",COUNTIFS(RawData[[Date ]],N28802,RawData[Month List],$Q$6,RawData[Tour/Site],$Q$2,RawData[[Picker ID ]],$Q$3,RawData[Checker ID],$Q$4,RawData[[Error Type ]],$Q$5))</f>
        <v/>
      </c>
    </row>
    <row r="28803" spans="15:15" x14ac:dyDescent="0.25">
      <c r="O28803" s="20" t="str">
        <f>IF(N28803="","",COUNTIFS(RawData[[Date ]],N28803,RawData[Month List],$Q$6,RawData[Tour/Site],$Q$2,RawData[[Picker ID ]],$Q$3,RawData[Checker ID],$Q$4,RawData[[Error Type ]],$Q$5))</f>
        <v/>
      </c>
    </row>
    <row r="28804" spans="15:15" x14ac:dyDescent="0.25">
      <c r="O28804" s="20" t="str">
        <f>IF(N28804="","",COUNTIFS(RawData[[Date ]],N28804,RawData[Month List],$Q$6,RawData[Tour/Site],$Q$2,RawData[[Picker ID ]],$Q$3,RawData[Checker ID],$Q$4,RawData[[Error Type ]],$Q$5))</f>
        <v/>
      </c>
    </row>
    <row r="28805" spans="15:15" x14ac:dyDescent="0.25">
      <c r="O28805" s="20" t="str">
        <f>IF(N28805="","",COUNTIFS(RawData[[Date ]],N28805,RawData[Month List],$Q$6,RawData[Tour/Site],$Q$2,RawData[[Picker ID ]],$Q$3,RawData[Checker ID],$Q$4,RawData[[Error Type ]],$Q$5))</f>
        <v/>
      </c>
    </row>
    <row r="28806" spans="15:15" x14ac:dyDescent="0.25">
      <c r="O28806" s="20" t="str">
        <f>IF(N28806="","",COUNTIFS(RawData[[Date ]],N28806,RawData[Month List],$Q$6,RawData[Tour/Site],$Q$2,RawData[[Picker ID ]],$Q$3,RawData[Checker ID],$Q$4,RawData[[Error Type ]],$Q$5))</f>
        <v/>
      </c>
    </row>
    <row r="28807" spans="15:15" x14ac:dyDescent="0.25">
      <c r="O28807" s="20" t="str">
        <f>IF(N28807="","",COUNTIFS(RawData[[Date ]],N28807,RawData[Month List],$Q$6,RawData[Tour/Site],$Q$2,RawData[[Picker ID ]],$Q$3,RawData[Checker ID],$Q$4,RawData[[Error Type ]],$Q$5))</f>
        <v/>
      </c>
    </row>
    <row r="28808" spans="15:15" x14ac:dyDescent="0.25">
      <c r="O28808" s="20" t="str">
        <f>IF(N28808="","",COUNTIFS(RawData[[Date ]],N28808,RawData[Month List],$Q$6,RawData[Tour/Site],$Q$2,RawData[[Picker ID ]],$Q$3,RawData[Checker ID],$Q$4,RawData[[Error Type ]],$Q$5))</f>
        <v/>
      </c>
    </row>
    <row r="28809" spans="15:15" x14ac:dyDescent="0.25">
      <c r="O28809" s="20" t="str">
        <f>IF(N28809="","",COUNTIFS(RawData[[Date ]],N28809,RawData[Month List],$Q$6,RawData[Tour/Site],$Q$2,RawData[[Picker ID ]],$Q$3,RawData[Checker ID],$Q$4,RawData[[Error Type ]],$Q$5))</f>
        <v/>
      </c>
    </row>
    <row r="28810" spans="15:15" x14ac:dyDescent="0.25">
      <c r="O28810" s="20" t="str">
        <f>IF(N28810="","",COUNTIFS(RawData[[Date ]],N28810,RawData[Month List],$Q$6,RawData[Tour/Site],$Q$2,RawData[[Picker ID ]],$Q$3,RawData[Checker ID],$Q$4,RawData[[Error Type ]],$Q$5))</f>
        <v/>
      </c>
    </row>
    <row r="28811" spans="15:15" x14ac:dyDescent="0.25">
      <c r="O28811" s="20" t="str">
        <f>IF(N28811="","",COUNTIFS(RawData[[Date ]],N28811,RawData[Month List],$Q$6,RawData[Tour/Site],$Q$2,RawData[[Picker ID ]],$Q$3,RawData[Checker ID],$Q$4,RawData[[Error Type ]],$Q$5))</f>
        <v/>
      </c>
    </row>
    <row r="28812" spans="15:15" x14ac:dyDescent="0.25">
      <c r="O28812" s="20" t="str">
        <f>IF(N28812="","",COUNTIFS(RawData[[Date ]],N28812,RawData[Month List],$Q$6,RawData[Tour/Site],$Q$2,RawData[[Picker ID ]],$Q$3,RawData[Checker ID],$Q$4,RawData[[Error Type ]],$Q$5))</f>
        <v/>
      </c>
    </row>
    <row r="28813" spans="15:15" x14ac:dyDescent="0.25">
      <c r="O28813" s="20" t="str">
        <f>IF(N28813="","",COUNTIFS(RawData[[Date ]],N28813,RawData[Month List],$Q$6,RawData[Tour/Site],$Q$2,RawData[[Picker ID ]],$Q$3,RawData[Checker ID],$Q$4,RawData[[Error Type ]],$Q$5))</f>
        <v/>
      </c>
    </row>
    <row r="28814" spans="15:15" x14ac:dyDescent="0.25">
      <c r="O28814" s="20" t="str">
        <f>IF(N28814="","",COUNTIFS(RawData[[Date ]],N28814,RawData[Month List],$Q$6,RawData[Tour/Site],$Q$2,RawData[[Picker ID ]],$Q$3,RawData[Checker ID],$Q$4,RawData[[Error Type ]],$Q$5))</f>
        <v/>
      </c>
    </row>
    <row r="28815" spans="15:15" x14ac:dyDescent="0.25">
      <c r="O28815" s="20" t="str">
        <f>IF(N28815="","",COUNTIFS(RawData[[Date ]],N28815,RawData[Month List],$Q$6,RawData[Tour/Site],$Q$2,RawData[[Picker ID ]],$Q$3,RawData[Checker ID],$Q$4,RawData[[Error Type ]],$Q$5))</f>
        <v/>
      </c>
    </row>
    <row r="28816" spans="15:15" x14ac:dyDescent="0.25">
      <c r="O28816" s="20" t="str">
        <f>IF(N28816="","",COUNTIFS(RawData[[Date ]],N28816,RawData[Month List],$Q$6,RawData[Tour/Site],$Q$2,RawData[[Picker ID ]],$Q$3,RawData[Checker ID],$Q$4,RawData[[Error Type ]],$Q$5))</f>
        <v/>
      </c>
    </row>
    <row r="28817" spans="15:15" x14ac:dyDescent="0.25">
      <c r="O28817" s="20" t="str">
        <f>IF(N28817="","",COUNTIFS(RawData[[Date ]],N28817,RawData[Month List],$Q$6,RawData[Tour/Site],$Q$2,RawData[[Picker ID ]],$Q$3,RawData[Checker ID],$Q$4,RawData[[Error Type ]],$Q$5))</f>
        <v/>
      </c>
    </row>
    <row r="28818" spans="15:15" x14ac:dyDescent="0.25">
      <c r="O28818" s="20" t="str">
        <f>IF(N28818="","",COUNTIFS(RawData[[Date ]],N28818,RawData[Month List],$Q$6,RawData[Tour/Site],$Q$2,RawData[[Picker ID ]],$Q$3,RawData[Checker ID],$Q$4,RawData[[Error Type ]],$Q$5))</f>
        <v/>
      </c>
    </row>
    <row r="28819" spans="15:15" x14ac:dyDescent="0.25">
      <c r="O28819" s="20" t="str">
        <f>IF(N28819="","",COUNTIFS(RawData[[Date ]],N28819,RawData[Month List],$Q$6,RawData[Tour/Site],$Q$2,RawData[[Picker ID ]],$Q$3,RawData[Checker ID],$Q$4,RawData[[Error Type ]],$Q$5))</f>
        <v/>
      </c>
    </row>
    <row r="28820" spans="15:15" x14ac:dyDescent="0.25">
      <c r="O28820" s="20" t="str">
        <f>IF(N28820="","",COUNTIFS(RawData[[Date ]],N28820,RawData[Month List],$Q$6,RawData[Tour/Site],$Q$2,RawData[[Picker ID ]],$Q$3,RawData[Checker ID],$Q$4,RawData[[Error Type ]],$Q$5))</f>
        <v/>
      </c>
    </row>
    <row r="28821" spans="15:15" x14ac:dyDescent="0.25">
      <c r="O28821" s="20" t="str">
        <f>IF(N28821="","",COUNTIFS(RawData[[Date ]],N28821,RawData[Month List],$Q$6,RawData[Tour/Site],$Q$2,RawData[[Picker ID ]],$Q$3,RawData[Checker ID],$Q$4,RawData[[Error Type ]],$Q$5))</f>
        <v/>
      </c>
    </row>
    <row r="28822" spans="15:15" x14ac:dyDescent="0.25">
      <c r="O28822" s="20" t="str">
        <f>IF(N28822="","",COUNTIFS(RawData[[Date ]],N28822,RawData[Month List],$Q$6,RawData[Tour/Site],$Q$2,RawData[[Picker ID ]],$Q$3,RawData[Checker ID],$Q$4,RawData[[Error Type ]],$Q$5))</f>
        <v/>
      </c>
    </row>
    <row r="28823" spans="15:15" x14ac:dyDescent="0.25">
      <c r="O28823" s="20" t="str">
        <f>IF(N28823="","",COUNTIFS(RawData[[Date ]],N28823,RawData[Month List],$Q$6,RawData[Tour/Site],$Q$2,RawData[[Picker ID ]],$Q$3,RawData[Checker ID],$Q$4,RawData[[Error Type ]],$Q$5))</f>
        <v/>
      </c>
    </row>
    <row r="28824" spans="15:15" x14ac:dyDescent="0.25">
      <c r="O28824" s="20" t="str">
        <f>IF(N28824="","",COUNTIFS(RawData[[Date ]],N28824,RawData[Month List],$Q$6,RawData[Tour/Site],$Q$2,RawData[[Picker ID ]],$Q$3,RawData[Checker ID],$Q$4,RawData[[Error Type ]],$Q$5))</f>
        <v/>
      </c>
    </row>
    <row r="28825" spans="15:15" x14ac:dyDescent="0.25">
      <c r="O28825" s="20" t="str">
        <f>IF(N28825="","",COUNTIFS(RawData[[Date ]],N28825,RawData[Month List],$Q$6,RawData[Tour/Site],$Q$2,RawData[[Picker ID ]],$Q$3,RawData[Checker ID],$Q$4,RawData[[Error Type ]],$Q$5))</f>
        <v/>
      </c>
    </row>
    <row r="28826" spans="15:15" x14ac:dyDescent="0.25">
      <c r="O28826" s="20" t="str">
        <f>IF(N28826="","",COUNTIFS(RawData[[Date ]],N28826,RawData[Month List],$Q$6,RawData[Tour/Site],$Q$2,RawData[[Picker ID ]],$Q$3,RawData[Checker ID],$Q$4,RawData[[Error Type ]],$Q$5))</f>
        <v/>
      </c>
    </row>
    <row r="28827" spans="15:15" x14ac:dyDescent="0.25">
      <c r="O28827" s="20" t="str">
        <f>IF(N28827="","",COUNTIFS(RawData[[Date ]],N28827,RawData[Month List],$Q$6,RawData[Tour/Site],$Q$2,RawData[[Picker ID ]],$Q$3,RawData[Checker ID],$Q$4,RawData[[Error Type ]],$Q$5))</f>
        <v/>
      </c>
    </row>
    <row r="28828" spans="15:15" x14ac:dyDescent="0.25">
      <c r="O28828" s="20" t="str">
        <f>IF(N28828="","",COUNTIFS(RawData[[Date ]],N28828,RawData[Month List],$Q$6,RawData[Tour/Site],$Q$2,RawData[[Picker ID ]],$Q$3,RawData[Checker ID],$Q$4,RawData[[Error Type ]],$Q$5))</f>
        <v/>
      </c>
    </row>
    <row r="28829" spans="15:15" x14ac:dyDescent="0.25">
      <c r="O28829" s="20" t="str">
        <f>IF(N28829="","",COUNTIFS(RawData[[Date ]],N28829,RawData[Month List],$Q$6,RawData[Tour/Site],$Q$2,RawData[[Picker ID ]],$Q$3,RawData[Checker ID],$Q$4,RawData[[Error Type ]],$Q$5))</f>
        <v/>
      </c>
    </row>
    <row r="28830" spans="15:15" x14ac:dyDescent="0.25">
      <c r="O28830" s="20" t="str">
        <f>IF(N28830="","",COUNTIFS(RawData[[Date ]],N28830,RawData[Month List],$Q$6,RawData[Tour/Site],$Q$2,RawData[[Picker ID ]],$Q$3,RawData[Checker ID],$Q$4,RawData[[Error Type ]],$Q$5))</f>
        <v/>
      </c>
    </row>
    <row r="28831" spans="15:15" x14ac:dyDescent="0.25">
      <c r="O28831" s="20" t="str">
        <f>IF(N28831="","",COUNTIFS(RawData[[Date ]],N28831,RawData[Month List],$Q$6,RawData[Tour/Site],$Q$2,RawData[[Picker ID ]],$Q$3,RawData[Checker ID],$Q$4,RawData[[Error Type ]],$Q$5))</f>
        <v/>
      </c>
    </row>
    <row r="28832" spans="15:15" x14ac:dyDescent="0.25">
      <c r="O28832" s="20" t="str">
        <f>IF(N28832="","",COUNTIFS(RawData[[Date ]],N28832,RawData[Month List],$Q$6,RawData[Tour/Site],$Q$2,RawData[[Picker ID ]],$Q$3,RawData[Checker ID],$Q$4,RawData[[Error Type ]],$Q$5))</f>
        <v/>
      </c>
    </row>
    <row r="28833" spans="15:15" x14ac:dyDescent="0.25">
      <c r="O28833" s="20" t="str">
        <f>IF(N28833="","",COUNTIFS(RawData[[Date ]],N28833,RawData[Month List],$Q$6,RawData[Tour/Site],$Q$2,RawData[[Picker ID ]],$Q$3,RawData[Checker ID],$Q$4,RawData[[Error Type ]],$Q$5))</f>
        <v/>
      </c>
    </row>
    <row r="28834" spans="15:15" x14ac:dyDescent="0.25">
      <c r="O28834" s="20" t="str">
        <f>IF(N28834="","",COUNTIFS(RawData[[Date ]],N28834,RawData[Month List],$Q$6,RawData[Tour/Site],$Q$2,RawData[[Picker ID ]],$Q$3,RawData[Checker ID],$Q$4,RawData[[Error Type ]],$Q$5))</f>
        <v/>
      </c>
    </row>
    <row r="28835" spans="15:15" x14ac:dyDescent="0.25">
      <c r="O28835" s="20" t="str">
        <f>IF(N28835="","",COUNTIFS(RawData[[Date ]],N28835,RawData[Month List],$Q$6,RawData[Tour/Site],$Q$2,RawData[[Picker ID ]],$Q$3,RawData[Checker ID],$Q$4,RawData[[Error Type ]],$Q$5))</f>
        <v/>
      </c>
    </row>
    <row r="28836" spans="15:15" x14ac:dyDescent="0.25">
      <c r="O28836" s="20" t="str">
        <f>IF(N28836="","",COUNTIFS(RawData[[Date ]],N28836,RawData[Month List],$Q$6,RawData[Tour/Site],$Q$2,RawData[[Picker ID ]],$Q$3,RawData[Checker ID],$Q$4,RawData[[Error Type ]],$Q$5))</f>
        <v/>
      </c>
    </row>
    <row r="28837" spans="15:15" x14ac:dyDescent="0.25">
      <c r="O28837" s="20" t="str">
        <f>IF(N28837="","",COUNTIFS(RawData[[Date ]],N28837,RawData[Month List],$Q$6,RawData[Tour/Site],$Q$2,RawData[[Picker ID ]],$Q$3,RawData[Checker ID],$Q$4,RawData[[Error Type ]],$Q$5))</f>
        <v/>
      </c>
    </row>
    <row r="28838" spans="15:15" x14ac:dyDescent="0.25">
      <c r="O28838" s="20" t="str">
        <f>IF(N28838="","",COUNTIFS(RawData[[Date ]],N28838,RawData[Month List],$Q$6,RawData[Tour/Site],$Q$2,RawData[[Picker ID ]],$Q$3,RawData[Checker ID],$Q$4,RawData[[Error Type ]],$Q$5))</f>
        <v/>
      </c>
    </row>
    <row r="28839" spans="15:15" x14ac:dyDescent="0.25">
      <c r="O28839" s="20" t="str">
        <f>IF(N28839="","",COUNTIFS(RawData[[Date ]],N28839,RawData[Month List],$Q$6,RawData[Tour/Site],$Q$2,RawData[[Picker ID ]],$Q$3,RawData[Checker ID],$Q$4,RawData[[Error Type ]],$Q$5))</f>
        <v/>
      </c>
    </row>
    <row r="28840" spans="15:15" x14ac:dyDescent="0.25">
      <c r="O28840" s="20" t="str">
        <f>IF(N28840="","",COUNTIFS(RawData[[Date ]],N28840,RawData[Month List],$Q$6,RawData[Tour/Site],$Q$2,RawData[[Picker ID ]],$Q$3,RawData[Checker ID],$Q$4,RawData[[Error Type ]],$Q$5))</f>
        <v/>
      </c>
    </row>
    <row r="28841" spans="15:15" x14ac:dyDescent="0.25">
      <c r="O28841" s="20" t="str">
        <f>IF(N28841="","",COUNTIFS(RawData[[Date ]],N28841,RawData[Month List],$Q$6,RawData[Tour/Site],$Q$2,RawData[[Picker ID ]],$Q$3,RawData[Checker ID],$Q$4,RawData[[Error Type ]],$Q$5))</f>
        <v/>
      </c>
    </row>
    <row r="28842" spans="15:15" x14ac:dyDescent="0.25">
      <c r="O28842" s="20" t="str">
        <f>IF(N28842="","",COUNTIFS(RawData[[Date ]],N28842,RawData[Month List],$Q$6,RawData[Tour/Site],$Q$2,RawData[[Picker ID ]],$Q$3,RawData[Checker ID],$Q$4,RawData[[Error Type ]],$Q$5))</f>
        <v/>
      </c>
    </row>
    <row r="28843" spans="15:15" x14ac:dyDescent="0.25">
      <c r="O28843" s="20" t="str">
        <f>IF(N28843="","",COUNTIFS(RawData[[Date ]],N28843,RawData[Month List],$Q$6,RawData[Tour/Site],$Q$2,RawData[[Picker ID ]],$Q$3,RawData[Checker ID],$Q$4,RawData[[Error Type ]],$Q$5))</f>
        <v/>
      </c>
    </row>
    <row r="28844" spans="15:15" x14ac:dyDescent="0.25">
      <c r="O28844" s="20" t="str">
        <f>IF(N28844="","",COUNTIFS(RawData[[Date ]],N28844,RawData[Month List],$Q$6,RawData[Tour/Site],$Q$2,RawData[[Picker ID ]],$Q$3,RawData[Checker ID],$Q$4,RawData[[Error Type ]],$Q$5))</f>
        <v/>
      </c>
    </row>
    <row r="28845" spans="15:15" x14ac:dyDescent="0.25">
      <c r="O28845" s="20" t="str">
        <f>IF(N28845="","",COUNTIFS(RawData[[Date ]],N28845,RawData[Month List],$Q$6,RawData[Tour/Site],$Q$2,RawData[[Picker ID ]],$Q$3,RawData[Checker ID],$Q$4,RawData[[Error Type ]],$Q$5))</f>
        <v/>
      </c>
    </row>
    <row r="28846" spans="15:15" x14ac:dyDescent="0.25">
      <c r="O28846" s="20" t="str">
        <f>IF(N28846="","",COUNTIFS(RawData[[Date ]],N28846,RawData[Month List],$Q$6,RawData[Tour/Site],$Q$2,RawData[[Picker ID ]],$Q$3,RawData[Checker ID],$Q$4,RawData[[Error Type ]],$Q$5))</f>
        <v/>
      </c>
    </row>
    <row r="28847" spans="15:15" x14ac:dyDescent="0.25">
      <c r="O28847" s="20" t="str">
        <f>IF(N28847="","",COUNTIFS(RawData[[Date ]],N28847,RawData[Month List],$Q$6,RawData[Tour/Site],$Q$2,RawData[[Picker ID ]],$Q$3,RawData[Checker ID],$Q$4,RawData[[Error Type ]],$Q$5))</f>
        <v/>
      </c>
    </row>
    <row r="28848" spans="15:15" x14ac:dyDescent="0.25">
      <c r="O28848" s="20" t="str">
        <f>IF(N28848="","",COUNTIFS(RawData[[Date ]],N28848,RawData[Month List],$Q$6,RawData[Tour/Site],$Q$2,RawData[[Picker ID ]],$Q$3,RawData[Checker ID],$Q$4,RawData[[Error Type ]],$Q$5))</f>
        <v/>
      </c>
    </row>
    <row r="28849" spans="15:15" x14ac:dyDescent="0.25">
      <c r="O28849" s="20" t="str">
        <f>IF(N28849="","",COUNTIFS(RawData[[Date ]],N28849,RawData[Month List],$Q$6,RawData[Tour/Site],$Q$2,RawData[[Picker ID ]],$Q$3,RawData[Checker ID],$Q$4,RawData[[Error Type ]],$Q$5))</f>
        <v/>
      </c>
    </row>
    <row r="28850" spans="15:15" x14ac:dyDescent="0.25">
      <c r="O28850" s="20" t="str">
        <f>IF(N28850="","",COUNTIFS(RawData[[Date ]],N28850,RawData[Month List],$Q$6,RawData[Tour/Site],$Q$2,RawData[[Picker ID ]],$Q$3,RawData[Checker ID],$Q$4,RawData[[Error Type ]],$Q$5))</f>
        <v/>
      </c>
    </row>
    <row r="28851" spans="15:15" x14ac:dyDescent="0.25">
      <c r="O28851" s="20" t="str">
        <f>IF(N28851="","",COUNTIFS(RawData[[Date ]],N28851,RawData[Month List],$Q$6,RawData[Tour/Site],$Q$2,RawData[[Picker ID ]],$Q$3,RawData[Checker ID],$Q$4,RawData[[Error Type ]],$Q$5))</f>
        <v/>
      </c>
    </row>
    <row r="28852" spans="15:15" x14ac:dyDescent="0.25">
      <c r="O28852" s="20" t="str">
        <f>IF(N28852="","",COUNTIFS(RawData[[Date ]],N28852,RawData[Month List],$Q$6,RawData[Tour/Site],$Q$2,RawData[[Picker ID ]],$Q$3,RawData[Checker ID],$Q$4,RawData[[Error Type ]],$Q$5))</f>
        <v/>
      </c>
    </row>
    <row r="28853" spans="15:15" x14ac:dyDescent="0.25">
      <c r="O28853" s="20" t="str">
        <f>IF(N28853="","",COUNTIFS(RawData[[Date ]],N28853,RawData[Month List],$Q$6,RawData[Tour/Site],$Q$2,RawData[[Picker ID ]],$Q$3,RawData[Checker ID],$Q$4,RawData[[Error Type ]],$Q$5))</f>
        <v/>
      </c>
    </row>
    <row r="28854" spans="15:15" x14ac:dyDescent="0.25">
      <c r="O28854" s="20" t="str">
        <f>IF(N28854="","",COUNTIFS(RawData[[Date ]],N28854,RawData[Month List],$Q$6,RawData[Tour/Site],$Q$2,RawData[[Picker ID ]],$Q$3,RawData[Checker ID],$Q$4,RawData[[Error Type ]],$Q$5))</f>
        <v/>
      </c>
    </row>
    <row r="28855" spans="15:15" x14ac:dyDescent="0.25">
      <c r="O28855" s="20" t="str">
        <f>IF(N28855="","",COUNTIFS(RawData[[Date ]],N28855,RawData[Month List],$Q$6,RawData[Tour/Site],$Q$2,RawData[[Picker ID ]],$Q$3,RawData[Checker ID],$Q$4,RawData[[Error Type ]],$Q$5))</f>
        <v/>
      </c>
    </row>
    <row r="28856" spans="15:15" x14ac:dyDescent="0.25">
      <c r="O28856" s="20" t="str">
        <f>IF(N28856="","",COUNTIFS(RawData[[Date ]],N28856,RawData[Month List],$Q$6,RawData[Tour/Site],$Q$2,RawData[[Picker ID ]],$Q$3,RawData[Checker ID],$Q$4,RawData[[Error Type ]],$Q$5))</f>
        <v/>
      </c>
    </row>
    <row r="28857" spans="15:15" x14ac:dyDescent="0.25">
      <c r="O28857" s="20" t="str">
        <f>IF(N28857="","",COUNTIFS(RawData[[Date ]],N28857,RawData[Month List],$Q$6,RawData[Tour/Site],$Q$2,RawData[[Picker ID ]],$Q$3,RawData[Checker ID],$Q$4,RawData[[Error Type ]],$Q$5))</f>
        <v/>
      </c>
    </row>
    <row r="28858" spans="15:15" x14ac:dyDescent="0.25">
      <c r="O28858" s="20" t="str">
        <f>IF(N28858="","",COUNTIFS(RawData[[Date ]],N28858,RawData[Month List],$Q$6,RawData[Tour/Site],$Q$2,RawData[[Picker ID ]],$Q$3,RawData[Checker ID],$Q$4,RawData[[Error Type ]],$Q$5))</f>
        <v/>
      </c>
    </row>
    <row r="28859" spans="15:15" x14ac:dyDescent="0.25">
      <c r="O28859" s="20" t="str">
        <f>IF(N28859="","",COUNTIFS(RawData[[Date ]],N28859,RawData[Month List],$Q$6,RawData[Tour/Site],$Q$2,RawData[[Picker ID ]],$Q$3,RawData[Checker ID],$Q$4,RawData[[Error Type ]],$Q$5))</f>
        <v/>
      </c>
    </row>
    <row r="28860" spans="15:15" x14ac:dyDescent="0.25">
      <c r="O28860" s="20" t="str">
        <f>IF(N28860="","",COUNTIFS(RawData[[Date ]],N28860,RawData[Month List],$Q$6,RawData[Tour/Site],$Q$2,RawData[[Picker ID ]],$Q$3,RawData[Checker ID],$Q$4,RawData[[Error Type ]],$Q$5))</f>
        <v/>
      </c>
    </row>
    <row r="28861" spans="15:15" x14ac:dyDescent="0.25">
      <c r="O28861" s="20" t="str">
        <f>IF(N28861="","",COUNTIFS(RawData[[Date ]],N28861,RawData[Month List],$Q$6,RawData[Tour/Site],$Q$2,RawData[[Picker ID ]],$Q$3,RawData[Checker ID],$Q$4,RawData[[Error Type ]],$Q$5))</f>
        <v/>
      </c>
    </row>
    <row r="28862" spans="15:15" x14ac:dyDescent="0.25">
      <c r="O28862" s="20" t="str">
        <f>IF(N28862="","",COUNTIFS(RawData[[Date ]],N28862,RawData[Month List],$Q$6,RawData[Tour/Site],$Q$2,RawData[[Picker ID ]],$Q$3,RawData[Checker ID],$Q$4,RawData[[Error Type ]],$Q$5))</f>
        <v/>
      </c>
    </row>
    <row r="28863" spans="15:15" x14ac:dyDescent="0.25">
      <c r="O28863" s="20" t="str">
        <f>IF(N28863="","",COUNTIFS(RawData[[Date ]],N28863,RawData[Month List],$Q$6,RawData[Tour/Site],$Q$2,RawData[[Picker ID ]],$Q$3,RawData[Checker ID],$Q$4,RawData[[Error Type ]],$Q$5))</f>
        <v/>
      </c>
    </row>
    <row r="28864" spans="15:15" x14ac:dyDescent="0.25">
      <c r="O28864" s="20" t="str">
        <f>IF(N28864="","",COUNTIFS(RawData[[Date ]],N28864,RawData[Month List],$Q$6,RawData[Tour/Site],$Q$2,RawData[[Picker ID ]],$Q$3,RawData[Checker ID],$Q$4,RawData[[Error Type ]],$Q$5))</f>
        <v/>
      </c>
    </row>
    <row r="28865" spans="15:15" x14ac:dyDescent="0.25">
      <c r="O28865" s="20" t="str">
        <f>IF(N28865="","",COUNTIFS(RawData[[Date ]],N28865,RawData[Month List],$Q$6,RawData[Tour/Site],$Q$2,RawData[[Picker ID ]],$Q$3,RawData[Checker ID],$Q$4,RawData[[Error Type ]],$Q$5))</f>
        <v/>
      </c>
    </row>
    <row r="28866" spans="15:15" x14ac:dyDescent="0.25">
      <c r="O28866" s="20" t="str">
        <f>IF(N28866="","",COUNTIFS(RawData[[Date ]],N28866,RawData[Month List],$Q$6,RawData[Tour/Site],$Q$2,RawData[[Picker ID ]],$Q$3,RawData[Checker ID],$Q$4,RawData[[Error Type ]],$Q$5))</f>
        <v/>
      </c>
    </row>
    <row r="28867" spans="15:15" x14ac:dyDescent="0.25">
      <c r="O28867" s="20" t="str">
        <f>IF(N28867="","",COUNTIFS(RawData[[Date ]],N28867,RawData[Month List],$Q$6,RawData[Tour/Site],$Q$2,RawData[[Picker ID ]],$Q$3,RawData[Checker ID],$Q$4,RawData[[Error Type ]],$Q$5))</f>
        <v/>
      </c>
    </row>
    <row r="28868" spans="15:15" x14ac:dyDescent="0.25">
      <c r="O28868" s="20" t="str">
        <f>IF(N28868="","",COUNTIFS(RawData[[Date ]],N28868,RawData[Month List],$Q$6,RawData[Tour/Site],$Q$2,RawData[[Picker ID ]],$Q$3,RawData[Checker ID],$Q$4,RawData[[Error Type ]],$Q$5))</f>
        <v/>
      </c>
    </row>
    <row r="28869" spans="15:15" x14ac:dyDescent="0.25">
      <c r="O28869" s="20" t="str">
        <f>IF(N28869="","",COUNTIFS(RawData[[Date ]],N28869,RawData[Month List],$Q$6,RawData[Tour/Site],$Q$2,RawData[[Picker ID ]],$Q$3,RawData[Checker ID],$Q$4,RawData[[Error Type ]],$Q$5))</f>
        <v/>
      </c>
    </row>
    <row r="28870" spans="15:15" x14ac:dyDescent="0.25">
      <c r="O28870" s="20" t="str">
        <f>IF(N28870="","",COUNTIFS(RawData[[Date ]],N28870,RawData[Month List],$Q$6,RawData[Tour/Site],$Q$2,RawData[[Picker ID ]],$Q$3,RawData[Checker ID],$Q$4,RawData[[Error Type ]],$Q$5))</f>
        <v/>
      </c>
    </row>
    <row r="28871" spans="15:15" x14ac:dyDescent="0.25">
      <c r="O28871" s="20" t="str">
        <f>IF(N28871="","",COUNTIFS(RawData[[Date ]],N28871,RawData[Month List],$Q$6,RawData[Tour/Site],$Q$2,RawData[[Picker ID ]],$Q$3,RawData[Checker ID],$Q$4,RawData[[Error Type ]],$Q$5))</f>
        <v/>
      </c>
    </row>
    <row r="28872" spans="15:15" x14ac:dyDescent="0.25">
      <c r="O28872" s="20" t="str">
        <f>IF(N28872="","",COUNTIFS(RawData[[Date ]],N28872,RawData[Month List],$Q$6,RawData[Tour/Site],$Q$2,RawData[[Picker ID ]],$Q$3,RawData[Checker ID],$Q$4,RawData[[Error Type ]],$Q$5))</f>
        <v/>
      </c>
    </row>
    <row r="28873" spans="15:15" x14ac:dyDescent="0.25">
      <c r="O28873" s="20" t="str">
        <f>IF(N28873="","",COUNTIFS(RawData[[Date ]],N28873,RawData[Month List],$Q$6,RawData[Tour/Site],$Q$2,RawData[[Picker ID ]],$Q$3,RawData[Checker ID],$Q$4,RawData[[Error Type ]],$Q$5))</f>
        <v/>
      </c>
    </row>
    <row r="28874" spans="15:15" x14ac:dyDescent="0.25">
      <c r="O28874" s="20" t="str">
        <f>IF(N28874="","",COUNTIFS(RawData[[Date ]],N28874,RawData[Month List],$Q$6,RawData[Tour/Site],$Q$2,RawData[[Picker ID ]],$Q$3,RawData[Checker ID],$Q$4,RawData[[Error Type ]],$Q$5))</f>
        <v/>
      </c>
    </row>
    <row r="28875" spans="15:15" x14ac:dyDescent="0.25">
      <c r="O28875" s="20" t="str">
        <f>IF(N28875="","",COUNTIFS(RawData[[Date ]],N28875,RawData[Month List],$Q$6,RawData[Tour/Site],$Q$2,RawData[[Picker ID ]],$Q$3,RawData[Checker ID],$Q$4,RawData[[Error Type ]],$Q$5))</f>
        <v/>
      </c>
    </row>
    <row r="28876" spans="15:15" x14ac:dyDescent="0.25">
      <c r="O28876" s="20" t="str">
        <f>IF(N28876="","",COUNTIFS(RawData[[Date ]],N28876,RawData[Month List],$Q$6,RawData[Tour/Site],$Q$2,RawData[[Picker ID ]],$Q$3,RawData[Checker ID],$Q$4,RawData[[Error Type ]],$Q$5))</f>
        <v/>
      </c>
    </row>
    <row r="28877" spans="15:15" x14ac:dyDescent="0.25">
      <c r="O28877" s="20" t="str">
        <f>IF(N28877="","",COUNTIFS(RawData[[Date ]],N28877,RawData[Month List],$Q$6,RawData[Tour/Site],$Q$2,RawData[[Picker ID ]],$Q$3,RawData[Checker ID],$Q$4,RawData[[Error Type ]],$Q$5))</f>
        <v/>
      </c>
    </row>
    <row r="28878" spans="15:15" x14ac:dyDescent="0.25">
      <c r="O28878" s="20" t="str">
        <f>IF(N28878="","",COUNTIFS(RawData[[Date ]],N28878,RawData[Month List],$Q$6,RawData[Tour/Site],$Q$2,RawData[[Picker ID ]],$Q$3,RawData[Checker ID],$Q$4,RawData[[Error Type ]],$Q$5))</f>
        <v/>
      </c>
    </row>
    <row r="28879" spans="15:15" x14ac:dyDescent="0.25">
      <c r="O28879" s="20" t="str">
        <f>IF(N28879="","",COUNTIFS(RawData[[Date ]],N28879,RawData[Month List],$Q$6,RawData[Tour/Site],$Q$2,RawData[[Picker ID ]],$Q$3,RawData[Checker ID],$Q$4,RawData[[Error Type ]],$Q$5))</f>
        <v/>
      </c>
    </row>
    <row r="28880" spans="15:15" x14ac:dyDescent="0.25">
      <c r="O28880" s="20" t="str">
        <f>IF(N28880="","",COUNTIFS(RawData[[Date ]],N28880,RawData[Month List],$Q$6,RawData[Tour/Site],$Q$2,RawData[[Picker ID ]],$Q$3,RawData[Checker ID],$Q$4,RawData[[Error Type ]],$Q$5))</f>
        <v/>
      </c>
    </row>
    <row r="28881" spans="15:15" x14ac:dyDescent="0.25">
      <c r="O28881" s="20" t="str">
        <f>IF(N28881="","",COUNTIFS(RawData[[Date ]],N28881,RawData[Month List],$Q$6,RawData[Tour/Site],$Q$2,RawData[[Picker ID ]],$Q$3,RawData[Checker ID],$Q$4,RawData[[Error Type ]],$Q$5))</f>
        <v/>
      </c>
    </row>
    <row r="28882" spans="15:15" x14ac:dyDescent="0.25">
      <c r="O28882" s="20" t="str">
        <f>IF(N28882="","",COUNTIFS(RawData[[Date ]],N28882,RawData[Month List],$Q$6,RawData[Tour/Site],$Q$2,RawData[[Picker ID ]],$Q$3,RawData[Checker ID],$Q$4,RawData[[Error Type ]],$Q$5))</f>
        <v/>
      </c>
    </row>
    <row r="28883" spans="15:15" x14ac:dyDescent="0.25">
      <c r="O28883" s="20" t="str">
        <f>IF(N28883="","",COUNTIFS(RawData[[Date ]],N28883,RawData[Month List],$Q$6,RawData[Tour/Site],$Q$2,RawData[[Picker ID ]],$Q$3,RawData[Checker ID],$Q$4,RawData[[Error Type ]],$Q$5))</f>
        <v/>
      </c>
    </row>
    <row r="28884" spans="15:15" x14ac:dyDescent="0.25">
      <c r="O28884" s="20" t="str">
        <f>IF(N28884="","",COUNTIFS(RawData[[Date ]],N28884,RawData[Month List],$Q$6,RawData[Tour/Site],$Q$2,RawData[[Picker ID ]],$Q$3,RawData[Checker ID],$Q$4,RawData[[Error Type ]],$Q$5))</f>
        <v/>
      </c>
    </row>
    <row r="28885" spans="15:15" x14ac:dyDescent="0.25">
      <c r="O28885" s="20" t="str">
        <f>IF(N28885="","",COUNTIFS(RawData[[Date ]],N28885,RawData[Month List],$Q$6,RawData[Tour/Site],$Q$2,RawData[[Picker ID ]],$Q$3,RawData[Checker ID],$Q$4,RawData[[Error Type ]],$Q$5))</f>
        <v/>
      </c>
    </row>
    <row r="28886" spans="15:15" x14ac:dyDescent="0.25">
      <c r="O28886" s="20" t="str">
        <f>IF(N28886="","",COUNTIFS(RawData[[Date ]],N28886,RawData[Month List],$Q$6,RawData[Tour/Site],$Q$2,RawData[[Picker ID ]],$Q$3,RawData[Checker ID],$Q$4,RawData[[Error Type ]],$Q$5))</f>
        <v/>
      </c>
    </row>
    <row r="28887" spans="15:15" x14ac:dyDescent="0.25">
      <c r="O28887" s="20" t="str">
        <f>IF(N28887="","",COUNTIFS(RawData[[Date ]],N28887,RawData[Month List],$Q$6,RawData[Tour/Site],$Q$2,RawData[[Picker ID ]],$Q$3,RawData[Checker ID],$Q$4,RawData[[Error Type ]],$Q$5))</f>
        <v/>
      </c>
    </row>
    <row r="28888" spans="15:15" x14ac:dyDescent="0.25">
      <c r="O28888" s="20" t="str">
        <f>IF(N28888="","",COUNTIFS(RawData[[Date ]],N28888,RawData[Month List],$Q$6,RawData[Tour/Site],$Q$2,RawData[[Picker ID ]],$Q$3,RawData[Checker ID],$Q$4,RawData[[Error Type ]],$Q$5))</f>
        <v/>
      </c>
    </row>
    <row r="28889" spans="15:15" x14ac:dyDescent="0.25">
      <c r="O28889" s="20" t="str">
        <f>IF(N28889="","",COUNTIFS(RawData[[Date ]],N28889,RawData[Month List],$Q$6,RawData[Tour/Site],$Q$2,RawData[[Picker ID ]],$Q$3,RawData[Checker ID],$Q$4,RawData[[Error Type ]],$Q$5))</f>
        <v/>
      </c>
    </row>
    <row r="28890" spans="15:15" x14ac:dyDescent="0.25">
      <c r="O28890" s="20" t="str">
        <f>IF(N28890="","",COUNTIFS(RawData[[Date ]],N28890,RawData[Month List],$Q$6,RawData[Tour/Site],$Q$2,RawData[[Picker ID ]],$Q$3,RawData[Checker ID],$Q$4,RawData[[Error Type ]],$Q$5))</f>
        <v/>
      </c>
    </row>
    <row r="28891" spans="15:15" x14ac:dyDescent="0.25">
      <c r="O28891" s="20" t="str">
        <f>IF(N28891="","",COUNTIFS(RawData[[Date ]],N28891,RawData[Month List],$Q$6,RawData[Tour/Site],$Q$2,RawData[[Picker ID ]],$Q$3,RawData[Checker ID],$Q$4,RawData[[Error Type ]],$Q$5))</f>
        <v/>
      </c>
    </row>
    <row r="28892" spans="15:15" x14ac:dyDescent="0.25">
      <c r="O28892" s="20" t="str">
        <f>IF(N28892="","",COUNTIFS(RawData[[Date ]],N28892,RawData[Month List],$Q$6,RawData[Tour/Site],$Q$2,RawData[[Picker ID ]],$Q$3,RawData[Checker ID],$Q$4,RawData[[Error Type ]],$Q$5))</f>
        <v/>
      </c>
    </row>
    <row r="28893" spans="15:15" x14ac:dyDescent="0.25">
      <c r="O28893" s="20" t="str">
        <f>IF(N28893="","",COUNTIFS(RawData[[Date ]],N28893,RawData[Month List],$Q$6,RawData[Tour/Site],$Q$2,RawData[[Picker ID ]],$Q$3,RawData[Checker ID],$Q$4,RawData[[Error Type ]],$Q$5))</f>
        <v/>
      </c>
    </row>
    <row r="28894" spans="15:15" x14ac:dyDescent="0.25">
      <c r="O28894" s="20" t="str">
        <f>IF(N28894="","",COUNTIFS(RawData[[Date ]],N28894,RawData[Month List],$Q$6,RawData[Tour/Site],$Q$2,RawData[[Picker ID ]],$Q$3,RawData[Checker ID],$Q$4,RawData[[Error Type ]],$Q$5))</f>
        <v/>
      </c>
    </row>
    <row r="28895" spans="15:15" x14ac:dyDescent="0.25">
      <c r="O28895" s="20" t="str">
        <f>IF(N28895="","",COUNTIFS(RawData[[Date ]],N28895,RawData[Month List],$Q$6,RawData[Tour/Site],$Q$2,RawData[[Picker ID ]],$Q$3,RawData[Checker ID],$Q$4,RawData[[Error Type ]],$Q$5))</f>
        <v/>
      </c>
    </row>
    <row r="28896" spans="15:15" x14ac:dyDescent="0.25">
      <c r="O28896" s="20" t="str">
        <f>IF(N28896="","",COUNTIFS(RawData[[Date ]],N28896,RawData[Month List],$Q$6,RawData[Tour/Site],$Q$2,RawData[[Picker ID ]],$Q$3,RawData[Checker ID],$Q$4,RawData[[Error Type ]],$Q$5))</f>
        <v/>
      </c>
    </row>
    <row r="28897" spans="15:15" x14ac:dyDescent="0.25">
      <c r="O28897" s="20" t="str">
        <f>IF(N28897="","",COUNTIFS(RawData[[Date ]],N28897,RawData[Month List],$Q$6,RawData[Tour/Site],$Q$2,RawData[[Picker ID ]],$Q$3,RawData[Checker ID],$Q$4,RawData[[Error Type ]],$Q$5))</f>
        <v/>
      </c>
    </row>
    <row r="28898" spans="15:15" x14ac:dyDescent="0.25">
      <c r="O28898" s="20" t="str">
        <f>IF(N28898="","",COUNTIFS(RawData[[Date ]],N28898,RawData[Month List],$Q$6,RawData[Tour/Site],$Q$2,RawData[[Picker ID ]],$Q$3,RawData[Checker ID],$Q$4,RawData[[Error Type ]],$Q$5))</f>
        <v/>
      </c>
    </row>
    <row r="28899" spans="15:15" x14ac:dyDescent="0.25">
      <c r="O28899" s="20" t="str">
        <f>IF(N28899="","",COUNTIFS(RawData[[Date ]],N28899,RawData[Month List],$Q$6,RawData[Tour/Site],$Q$2,RawData[[Picker ID ]],$Q$3,RawData[Checker ID],$Q$4,RawData[[Error Type ]],$Q$5))</f>
        <v/>
      </c>
    </row>
    <row r="28900" spans="15:15" x14ac:dyDescent="0.25">
      <c r="O28900" s="20" t="str">
        <f>IF(N28900="","",COUNTIFS(RawData[[Date ]],N28900,RawData[Month List],$Q$6,RawData[Tour/Site],$Q$2,RawData[[Picker ID ]],$Q$3,RawData[Checker ID],$Q$4,RawData[[Error Type ]],$Q$5))</f>
        <v/>
      </c>
    </row>
    <row r="28901" spans="15:15" x14ac:dyDescent="0.25">
      <c r="O28901" s="20" t="str">
        <f>IF(N28901="","",COUNTIFS(RawData[[Date ]],N28901,RawData[Month List],$Q$6,RawData[Tour/Site],$Q$2,RawData[[Picker ID ]],$Q$3,RawData[Checker ID],$Q$4,RawData[[Error Type ]],$Q$5))</f>
        <v/>
      </c>
    </row>
    <row r="28902" spans="15:15" x14ac:dyDescent="0.25">
      <c r="O28902" s="20" t="str">
        <f>IF(N28902="","",COUNTIFS(RawData[[Date ]],N28902,RawData[Month List],$Q$6,RawData[Tour/Site],$Q$2,RawData[[Picker ID ]],$Q$3,RawData[Checker ID],$Q$4,RawData[[Error Type ]],$Q$5))</f>
        <v/>
      </c>
    </row>
    <row r="28903" spans="15:15" x14ac:dyDescent="0.25">
      <c r="O28903" s="20" t="str">
        <f>IF(N28903="","",COUNTIFS(RawData[[Date ]],N28903,RawData[Month List],$Q$6,RawData[Tour/Site],$Q$2,RawData[[Picker ID ]],$Q$3,RawData[Checker ID],$Q$4,RawData[[Error Type ]],$Q$5))</f>
        <v/>
      </c>
    </row>
    <row r="28904" spans="15:15" x14ac:dyDescent="0.25">
      <c r="O28904" s="20" t="str">
        <f>IF(N28904="","",COUNTIFS(RawData[[Date ]],N28904,RawData[Month List],$Q$6,RawData[Tour/Site],$Q$2,RawData[[Picker ID ]],$Q$3,RawData[Checker ID],$Q$4,RawData[[Error Type ]],$Q$5))</f>
        <v/>
      </c>
    </row>
    <row r="28905" spans="15:15" x14ac:dyDescent="0.25">
      <c r="O28905" s="20" t="str">
        <f>IF(N28905="","",COUNTIFS(RawData[[Date ]],N28905,RawData[Month List],$Q$6,RawData[Tour/Site],$Q$2,RawData[[Picker ID ]],$Q$3,RawData[Checker ID],$Q$4,RawData[[Error Type ]],$Q$5))</f>
        <v/>
      </c>
    </row>
    <row r="28906" spans="15:15" x14ac:dyDescent="0.25">
      <c r="O28906" s="20" t="str">
        <f>IF(N28906="","",COUNTIFS(RawData[[Date ]],N28906,RawData[Month List],$Q$6,RawData[Tour/Site],$Q$2,RawData[[Picker ID ]],$Q$3,RawData[Checker ID],$Q$4,RawData[[Error Type ]],$Q$5))</f>
        <v/>
      </c>
    </row>
    <row r="28907" spans="15:15" x14ac:dyDescent="0.25">
      <c r="O28907" s="20" t="str">
        <f>IF(N28907="","",COUNTIFS(RawData[[Date ]],N28907,RawData[Month List],$Q$6,RawData[Tour/Site],$Q$2,RawData[[Picker ID ]],$Q$3,RawData[Checker ID],$Q$4,RawData[[Error Type ]],$Q$5))</f>
        <v/>
      </c>
    </row>
    <row r="28908" spans="15:15" x14ac:dyDescent="0.25">
      <c r="O28908" s="20" t="str">
        <f>IF(N28908="","",COUNTIFS(RawData[[Date ]],N28908,RawData[Month List],$Q$6,RawData[Tour/Site],$Q$2,RawData[[Picker ID ]],$Q$3,RawData[Checker ID],$Q$4,RawData[[Error Type ]],$Q$5))</f>
        <v/>
      </c>
    </row>
    <row r="28909" spans="15:15" x14ac:dyDescent="0.25">
      <c r="O28909" s="20" t="str">
        <f>IF(N28909="","",COUNTIFS(RawData[[Date ]],N28909,RawData[Month List],$Q$6,RawData[Tour/Site],$Q$2,RawData[[Picker ID ]],$Q$3,RawData[Checker ID],$Q$4,RawData[[Error Type ]],$Q$5))</f>
        <v/>
      </c>
    </row>
    <row r="28910" spans="15:15" x14ac:dyDescent="0.25">
      <c r="O28910" s="20" t="str">
        <f>IF(N28910="","",COUNTIFS(RawData[[Date ]],N28910,RawData[Month List],$Q$6,RawData[Tour/Site],$Q$2,RawData[[Picker ID ]],$Q$3,RawData[Checker ID],$Q$4,RawData[[Error Type ]],$Q$5))</f>
        <v/>
      </c>
    </row>
    <row r="28911" spans="15:15" x14ac:dyDescent="0.25">
      <c r="O28911" s="20" t="str">
        <f>IF(N28911="","",COUNTIFS(RawData[[Date ]],N28911,RawData[Month List],$Q$6,RawData[Tour/Site],$Q$2,RawData[[Picker ID ]],$Q$3,RawData[Checker ID],$Q$4,RawData[[Error Type ]],$Q$5))</f>
        <v/>
      </c>
    </row>
    <row r="28912" spans="15:15" x14ac:dyDescent="0.25">
      <c r="O28912" s="20" t="str">
        <f>IF(N28912="","",COUNTIFS(RawData[[Date ]],N28912,RawData[Month List],$Q$6,RawData[Tour/Site],$Q$2,RawData[[Picker ID ]],$Q$3,RawData[Checker ID],$Q$4,RawData[[Error Type ]],$Q$5))</f>
        <v/>
      </c>
    </row>
    <row r="28913" spans="15:15" x14ac:dyDescent="0.25">
      <c r="O28913" s="20" t="str">
        <f>IF(N28913="","",COUNTIFS(RawData[[Date ]],N28913,RawData[Month List],$Q$6,RawData[Tour/Site],$Q$2,RawData[[Picker ID ]],$Q$3,RawData[Checker ID],$Q$4,RawData[[Error Type ]],$Q$5))</f>
        <v/>
      </c>
    </row>
    <row r="28914" spans="15:15" x14ac:dyDescent="0.25">
      <c r="O28914" s="20" t="str">
        <f>IF(N28914="","",COUNTIFS(RawData[[Date ]],N28914,RawData[Month List],$Q$6,RawData[Tour/Site],$Q$2,RawData[[Picker ID ]],$Q$3,RawData[Checker ID],$Q$4,RawData[[Error Type ]],$Q$5))</f>
        <v/>
      </c>
    </row>
    <row r="28915" spans="15:15" x14ac:dyDescent="0.25">
      <c r="O28915" s="20" t="str">
        <f>IF(N28915="","",COUNTIFS(RawData[[Date ]],N28915,RawData[Month List],$Q$6,RawData[Tour/Site],$Q$2,RawData[[Picker ID ]],$Q$3,RawData[Checker ID],$Q$4,RawData[[Error Type ]],$Q$5))</f>
        <v/>
      </c>
    </row>
    <row r="28916" spans="15:15" x14ac:dyDescent="0.25">
      <c r="O28916" s="20" t="str">
        <f>IF(N28916="","",COUNTIFS(RawData[[Date ]],N28916,RawData[Month List],$Q$6,RawData[Tour/Site],$Q$2,RawData[[Picker ID ]],$Q$3,RawData[Checker ID],$Q$4,RawData[[Error Type ]],$Q$5))</f>
        <v/>
      </c>
    </row>
    <row r="28917" spans="15:15" x14ac:dyDescent="0.25">
      <c r="O28917" s="20" t="str">
        <f>IF(N28917="","",COUNTIFS(RawData[[Date ]],N28917,RawData[Month List],$Q$6,RawData[Tour/Site],$Q$2,RawData[[Picker ID ]],$Q$3,RawData[Checker ID],$Q$4,RawData[[Error Type ]],$Q$5))</f>
        <v/>
      </c>
    </row>
    <row r="28918" spans="15:15" x14ac:dyDescent="0.25">
      <c r="O28918" s="20" t="str">
        <f>IF(N28918="","",COUNTIFS(RawData[[Date ]],N28918,RawData[Month List],$Q$6,RawData[Tour/Site],$Q$2,RawData[[Picker ID ]],$Q$3,RawData[Checker ID],$Q$4,RawData[[Error Type ]],$Q$5))</f>
        <v/>
      </c>
    </row>
    <row r="28919" spans="15:15" x14ac:dyDescent="0.25">
      <c r="O28919" s="20" t="str">
        <f>IF(N28919="","",COUNTIFS(RawData[[Date ]],N28919,RawData[Month List],$Q$6,RawData[Tour/Site],$Q$2,RawData[[Picker ID ]],$Q$3,RawData[Checker ID],$Q$4,RawData[[Error Type ]],$Q$5))</f>
        <v/>
      </c>
    </row>
    <row r="28920" spans="15:15" x14ac:dyDescent="0.25">
      <c r="O28920" s="20" t="str">
        <f>IF(N28920="","",COUNTIFS(RawData[[Date ]],N28920,RawData[Month List],$Q$6,RawData[Tour/Site],$Q$2,RawData[[Picker ID ]],$Q$3,RawData[Checker ID],$Q$4,RawData[[Error Type ]],$Q$5))</f>
        <v/>
      </c>
    </row>
    <row r="28921" spans="15:15" x14ac:dyDescent="0.25">
      <c r="O28921" s="20" t="str">
        <f>IF(N28921="","",COUNTIFS(RawData[[Date ]],N28921,RawData[Month List],$Q$6,RawData[Tour/Site],$Q$2,RawData[[Picker ID ]],$Q$3,RawData[Checker ID],$Q$4,RawData[[Error Type ]],$Q$5))</f>
        <v/>
      </c>
    </row>
    <row r="28922" spans="15:15" x14ac:dyDescent="0.25">
      <c r="O28922" s="20" t="str">
        <f>IF(N28922="","",COUNTIFS(RawData[[Date ]],N28922,RawData[Month List],$Q$6,RawData[Tour/Site],$Q$2,RawData[[Picker ID ]],$Q$3,RawData[Checker ID],$Q$4,RawData[[Error Type ]],$Q$5))</f>
        <v/>
      </c>
    </row>
    <row r="28923" spans="15:15" x14ac:dyDescent="0.25">
      <c r="O28923" s="20" t="str">
        <f>IF(N28923="","",COUNTIFS(RawData[[Date ]],N28923,RawData[Month List],$Q$6,RawData[Tour/Site],$Q$2,RawData[[Picker ID ]],$Q$3,RawData[Checker ID],$Q$4,RawData[[Error Type ]],$Q$5))</f>
        <v/>
      </c>
    </row>
    <row r="28924" spans="15:15" x14ac:dyDescent="0.25">
      <c r="O28924" s="20" t="str">
        <f>IF(N28924="","",COUNTIFS(RawData[[Date ]],N28924,RawData[Month List],$Q$6,RawData[Tour/Site],$Q$2,RawData[[Picker ID ]],$Q$3,RawData[Checker ID],$Q$4,RawData[[Error Type ]],$Q$5))</f>
        <v/>
      </c>
    </row>
    <row r="28925" spans="15:15" x14ac:dyDescent="0.25">
      <c r="O28925" s="20" t="str">
        <f>IF(N28925="","",COUNTIFS(RawData[[Date ]],N28925,RawData[Month List],$Q$6,RawData[Tour/Site],$Q$2,RawData[[Picker ID ]],$Q$3,RawData[Checker ID],$Q$4,RawData[[Error Type ]],$Q$5))</f>
        <v/>
      </c>
    </row>
    <row r="28926" spans="15:15" x14ac:dyDescent="0.25">
      <c r="O28926" s="20" t="str">
        <f>IF(N28926="","",COUNTIFS(RawData[[Date ]],N28926,RawData[Month List],$Q$6,RawData[Tour/Site],$Q$2,RawData[[Picker ID ]],$Q$3,RawData[Checker ID],$Q$4,RawData[[Error Type ]],$Q$5))</f>
        <v/>
      </c>
    </row>
    <row r="28927" spans="15:15" x14ac:dyDescent="0.25">
      <c r="O28927" s="20" t="str">
        <f>IF(N28927="","",COUNTIFS(RawData[[Date ]],N28927,RawData[Month List],$Q$6,RawData[Tour/Site],$Q$2,RawData[[Picker ID ]],$Q$3,RawData[Checker ID],$Q$4,RawData[[Error Type ]],$Q$5))</f>
        <v/>
      </c>
    </row>
    <row r="28928" spans="15:15" x14ac:dyDescent="0.25">
      <c r="O28928" s="20" t="str">
        <f>IF(N28928="","",COUNTIFS(RawData[[Date ]],N28928,RawData[Month List],$Q$6,RawData[Tour/Site],$Q$2,RawData[[Picker ID ]],$Q$3,RawData[Checker ID],$Q$4,RawData[[Error Type ]],$Q$5))</f>
        <v/>
      </c>
    </row>
    <row r="28929" spans="15:15" x14ac:dyDescent="0.25">
      <c r="O28929" s="20" t="str">
        <f>IF(N28929="","",COUNTIFS(RawData[[Date ]],N28929,RawData[Month List],$Q$6,RawData[Tour/Site],$Q$2,RawData[[Picker ID ]],$Q$3,RawData[Checker ID],$Q$4,RawData[[Error Type ]],$Q$5))</f>
        <v/>
      </c>
    </row>
    <row r="28930" spans="15:15" x14ac:dyDescent="0.25">
      <c r="O28930" s="20" t="str">
        <f>IF(N28930="","",COUNTIFS(RawData[[Date ]],N28930,RawData[Month List],$Q$6,RawData[Tour/Site],$Q$2,RawData[[Picker ID ]],$Q$3,RawData[Checker ID],$Q$4,RawData[[Error Type ]],$Q$5))</f>
        <v/>
      </c>
    </row>
    <row r="28931" spans="15:15" x14ac:dyDescent="0.25">
      <c r="O28931" s="20" t="str">
        <f>IF(N28931="","",COUNTIFS(RawData[[Date ]],N28931,RawData[Month List],$Q$6,RawData[Tour/Site],$Q$2,RawData[[Picker ID ]],$Q$3,RawData[Checker ID],$Q$4,RawData[[Error Type ]],$Q$5))</f>
        <v/>
      </c>
    </row>
    <row r="28932" spans="15:15" x14ac:dyDescent="0.25">
      <c r="O28932" s="20" t="str">
        <f>IF(N28932="","",COUNTIFS(RawData[[Date ]],N28932,RawData[Month List],$Q$6,RawData[Tour/Site],$Q$2,RawData[[Picker ID ]],$Q$3,RawData[Checker ID],$Q$4,RawData[[Error Type ]],$Q$5))</f>
        <v/>
      </c>
    </row>
    <row r="28933" spans="15:15" x14ac:dyDescent="0.25">
      <c r="O28933" s="20" t="str">
        <f>IF(N28933="","",COUNTIFS(RawData[[Date ]],N28933,RawData[Month List],$Q$6,RawData[Tour/Site],$Q$2,RawData[[Picker ID ]],$Q$3,RawData[Checker ID],$Q$4,RawData[[Error Type ]],$Q$5))</f>
        <v/>
      </c>
    </row>
    <row r="28934" spans="15:15" x14ac:dyDescent="0.25">
      <c r="O28934" s="20" t="str">
        <f>IF(N28934="","",COUNTIFS(RawData[[Date ]],N28934,RawData[Month List],$Q$6,RawData[Tour/Site],$Q$2,RawData[[Picker ID ]],$Q$3,RawData[Checker ID],$Q$4,RawData[[Error Type ]],$Q$5))</f>
        <v/>
      </c>
    </row>
    <row r="28935" spans="15:15" x14ac:dyDescent="0.25">
      <c r="O28935" s="20" t="str">
        <f>IF(N28935="","",COUNTIFS(RawData[[Date ]],N28935,RawData[Month List],$Q$6,RawData[Tour/Site],$Q$2,RawData[[Picker ID ]],$Q$3,RawData[Checker ID],$Q$4,RawData[[Error Type ]],$Q$5))</f>
        <v/>
      </c>
    </row>
    <row r="28936" spans="15:15" x14ac:dyDescent="0.25">
      <c r="O28936" s="20" t="str">
        <f>IF(N28936="","",COUNTIFS(RawData[[Date ]],N28936,RawData[Month List],$Q$6,RawData[Tour/Site],$Q$2,RawData[[Picker ID ]],$Q$3,RawData[Checker ID],$Q$4,RawData[[Error Type ]],$Q$5))</f>
        <v/>
      </c>
    </row>
    <row r="28937" spans="15:15" x14ac:dyDescent="0.25">
      <c r="O28937" s="20" t="str">
        <f>IF(N28937="","",COUNTIFS(RawData[[Date ]],N28937,RawData[Month List],$Q$6,RawData[Tour/Site],$Q$2,RawData[[Picker ID ]],$Q$3,RawData[Checker ID],$Q$4,RawData[[Error Type ]],$Q$5))</f>
        <v/>
      </c>
    </row>
    <row r="28938" spans="15:15" x14ac:dyDescent="0.25">
      <c r="O28938" s="20" t="str">
        <f>IF(N28938="","",COUNTIFS(RawData[[Date ]],N28938,RawData[Month List],$Q$6,RawData[Tour/Site],$Q$2,RawData[[Picker ID ]],$Q$3,RawData[Checker ID],$Q$4,RawData[[Error Type ]],$Q$5))</f>
        <v/>
      </c>
    </row>
    <row r="28939" spans="15:15" x14ac:dyDescent="0.25">
      <c r="O28939" s="20" t="str">
        <f>IF(N28939="","",COUNTIFS(RawData[[Date ]],N28939,RawData[Month List],$Q$6,RawData[Tour/Site],$Q$2,RawData[[Picker ID ]],$Q$3,RawData[Checker ID],$Q$4,RawData[[Error Type ]],$Q$5))</f>
        <v/>
      </c>
    </row>
    <row r="28940" spans="15:15" x14ac:dyDescent="0.25">
      <c r="O28940" s="20" t="str">
        <f>IF(N28940="","",COUNTIFS(RawData[[Date ]],N28940,RawData[Month List],$Q$6,RawData[Tour/Site],$Q$2,RawData[[Picker ID ]],$Q$3,RawData[Checker ID],$Q$4,RawData[[Error Type ]],$Q$5))</f>
        <v/>
      </c>
    </row>
    <row r="28941" spans="15:15" x14ac:dyDescent="0.25">
      <c r="O28941" s="20" t="str">
        <f>IF(N28941="","",COUNTIFS(RawData[[Date ]],N28941,RawData[Month List],$Q$6,RawData[Tour/Site],$Q$2,RawData[[Picker ID ]],$Q$3,RawData[Checker ID],$Q$4,RawData[[Error Type ]],$Q$5))</f>
        <v/>
      </c>
    </row>
    <row r="28942" spans="15:15" x14ac:dyDescent="0.25">
      <c r="O28942" s="20" t="str">
        <f>IF(N28942="","",COUNTIFS(RawData[[Date ]],N28942,RawData[Month List],$Q$6,RawData[Tour/Site],$Q$2,RawData[[Picker ID ]],$Q$3,RawData[Checker ID],$Q$4,RawData[[Error Type ]],$Q$5))</f>
        <v/>
      </c>
    </row>
    <row r="28943" spans="15:15" x14ac:dyDescent="0.25">
      <c r="O28943" s="20" t="str">
        <f>IF(N28943="","",COUNTIFS(RawData[[Date ]],N28943,RawData[Month List],$Q$6,RawData[Tour/Site],$Q$2,RawData[[Picker ID ]],$Q$3,RawData[Checker ID],$Q$4,RawData[[Error Type ]],$Q$5))</f>
        <v/>
      </c>
    </row>
    <row r="28944" spans="15:15" x14ac:dyDescent="0.25">
      <c r="O28944" s="20" t="str">
        <f>IF(N28944="","",COUNTIFS(RawData[[Date ]],N28944,RawData[Month List],$Q$6,RawData[Tour/Site],$Q$2,RawData[[Picker ID ]],$Q$3,RawData[Checker ID],$Q$4,RawData[[Error Type ]],$Q$5))</f>
        <v/>
      </c>
    </row>
    <row r="28945" spans="15:15" x14ac:dyDescent="0.25">
      <c r="O28945" s="20" t="str">
        <f>IF(N28945="","",COUNTIFS(RawData[[Date ]],N28945,RawData[Month List],$Q$6,RawData[Tour/Site],$Q$2,RawData[[Picker ID ]],$Q$3,RawData[Checker ID],$Q$4,RawData[[Error Type ]],$Q$5))</f>
        <v/>
      </c>
    </row>
    <row r="28946" spans="15:15" x14ac:dyDescent="0.25">
      <c r="O28946" s="20" t="str">
        <f>IF(N28946="","",COUNTIFS(RawData[[Date ]],N28946,RawData[Month List],$Q$6,RawData[Tour/Site],$Q$2,RawData[[Picker ID ]],$Q$3,RawData[Checker ID],$Q$4,RawData[[Error Type ]],$Q$5))</f>
        <v/>
      </c>
    </row>
    <row r="28947" spans="15:15" x14ac:dyDescent="0.25">
      <c r="O28947" s="20" t="str">
        <f>IF(N28947="","",COUNTIFS(RawData[[Date ]],N28947,RawData[Month List],$Q$6,RawData[Tour/Site],$Q$2,RawData[[Picker ID ]],$Q$3,RawData[Checker ID],$Q$4,RawData[[Error Type ]],$Q$5))</f>
        <v/>
      </c>
    </row>
    <row r="28948" spans="15:15" x14ac:dyDescent="0.25">
      <c r="O28948" s="20" t="str">
        <f>IF(N28948="","",COUNTIFS(RawData[[Date ]],N28948,RawData[Month List],$Q$6,RawData[Tour/Site],$Q$2,RawData[[Picker ID ]],$Q$3,RawData[Checker ID],$Q$4,RawData[[Error Type ]],$Q$5))</f>
        <v/>
      </c>
    </row>
    <row r="28949" spans="15:15" x14ac:dyDescent="0.25">
      <c r="O28949" s="20" t="str">
        <f>IF(N28949="","",COUNTIFS(RawData[[Date ]],N28949,RawData[Month List],$Q$6,RawData[Tour/Site],$Q$2,RawData[[Picker ID ]],$Q$3,RawData[Checker ID],$Q$4,RawData[[Error Type ]],$Q$5))</f>
        <v/>
      </c>
    </row>
    <row r="28950" spans="15:15" x14ac:dyDescent="0.25">
      <c r="O28950" s="20" t="str">
        <f>IF(N28950="","",COUNTIFS(RawData[[Date ]],N28950,RawData[Month List],$Q$6,RawData[Tour/Site],$Q$2,RawData[[Picker ID ]],$Q$3,RawData[Checker ID],$Q$4,RawData[[Error Type ]],$Q$5))</f>
        <v/>
      </c>
    </row>
    <row r="28951" spans="15:15" x14ac:dyDescent="0.25">
      <c r="O28951" s="20" t="str">
        <f>IF(N28951="","",COUNTIFS(RawData[[Date ]],N28951,RawData[Month List],$Q$6,RawData[Tour/Site],$Q$2,RawData[[Picker ID ]],$Q$3,RawData[Checker ID],$Q$4,RawData[[Error Type ]],$Q$5))</f>
        <v/>
      </c>
    </row>
    <row r="28952" spans="15:15" x14ac:dyDescent="0.25">
      <c r="O28952" s="20" t="str">
        <f>IF(N28952="","",COUNTIFS(RawData[[Date ]],N28952,RawData[Month List],$Q$6,RawData[Tour/Site],$Q$2,RawData[[Picker ID ]],$Q$3,RawData[Checker ID],$Q$4,RawData[[Error Type ]],$Q$5))</f>
        <v/>
      </c>
    </row>
    <row r="28953" spans="15:15" x14ac:dyDescent="0.25">
      <c r="O28953" s="20" t="str">
        <f>IF(N28953="","",COUNTIFS(RawData[[Date ]],N28953,RawData[Month List],$Q$6,RawData[Tour/Site],$Q$2,RawData[[Picker ID ]],$Q$3,RawData[Checker ID],$Q$4,RawData[[Error Type ]],$Q$5))</f>
        <v/>
      </c>
    </row>
    <row r="28954" spans="15:15" x14ac:dyDescent="0.25">
      <c r="O28954" s="20" t="str">
        <f>IF(N28954="","",COUNTIFS(RawData[[Date ]],N28954,RawData[Month List],$Q$6,RawData[Tour/Site],$Q$2,RawData[[Picker ID ]],$Q$3,RawData[Checker ID],$Q$4,RawData[[Error Type ]],$Q$5))</f>
        <v/>
      </c>
    </row>
    <row r="28955" spans="15:15" x14ac:dyDescent="0.25">
      <c r="O28955" s="20" t="str">
        <f>IF(N28955="","",COUNTIFS(RawData[[Date ]],N28955,RawData[Month List],$Q$6,RawData[Tour/Site],$Q$2,RawData[[Picker ID ]],$Q$3,RawData[Checker ID],$Q$4,RawData[[Error Type ]],$Q$5))</f>
        <v/>
      </c>
    </row>
    <row r="28956" spans="15:15" x14ac:dyDescent="0.25">
      <c r="O28956" s="20" t="str">
        <f>IF(N28956="","",COUNTIFS(RawData[[Date ]],N28956,RawData[Month List],$Q$6,RawData[Tour/Site],$Q$2,RawData[[Picker ID ]],$Q$3,RawData[Checker ID],$Q$4,RawData[[Error Type ]],$Q$5))</f>
        <v/>
      </c>
    </row>
    <row r="28957" spans="15:15" x14ac:dyDescent="0.25">
      <c r="O28957" s="20" t="str">
        <f>IF(N28957="","",COUNTIFS(RawData[[Date ]],N28957,RawData[Month List],$Q$6,RawData[Tour/Site],$Q$2,RawData[[Picker ID ]],$Q$3,RawData[Checker ID],$Q$4,RawData[[Error Type ]],$Q$5))</f>
        <v/>
      </c>
    </row>
    <row r="28958" spans="15:15" x14ac:dyDescent="0.25">
      <c r="O28958" s="20" t="str">
        <f>IF(N28958="","",COUNTIFS(RawData[[Date ]],N28958,RawData[Month List],$Q$6,RawData[Tour/Site],$Q$2,RawData[[Picker ID ]],$Q$3,RawData[Checker ID],$Q$4,RawData[[Error Type ]],$Q$5))</f>
        <v/>
      </c>
    </row>
    <row r="28959" spans="15:15" x14ac:dyDescent="0.25">
      <c r="O28959" s="20" t="str">
        <f>IF(N28959="","",COUNTIFS(RawData[[Date ]],N28959,RawData[Month List],$Q$6,RawData[Tour/Site],$Q$2,RawData[[Picker ID ]],$Q$3,RawData[Checker ID],$Q$4,RawData[[Error Type ]],$Q$5))</f>
        <v/>
      </c>
    </row>
    <row r="28960" spans="15:15" x14ac:dyDescent="0.25">
      <c r="O28960" s="20" t="str">
        <f>IF(N28960="","",COUNTIFS(RawData[[Date ]],N28960,RawData[Month List],$Q$6,RawData[Tour/Site],$Q$2,RawData[[Picker ID ]],$Q$3,RawData[Checker ID],$Q$4,RawData[[Error Type ]],$Q$5))</f>
        <v/>
      </c>
    </row>
    <row r="28961" spans="15:15" x14ac:dyDescent="0.25">
      <c r="O28961" s="20" t="str">
        <f>IF(N28961="","",COUNTIFS(RawData[[Date ]],N28961,RawData[Month List],$Q$6,RawData[Tour/Site],$Q$2,RawData[[Picker ID ]],$Q$3,RawData[Checker ID],$Q$4,RawData[[Error Type ]],$Q$5))</f>
        <v/>
      </c>
    </row>
    <row r="28962" spans="15:15" x14ac:dyDescent="0.25">
      <c r="O28962" s="20" t="str">
        <f>IF(N28962="","",COUNTIFS(RawData[[Date ]],N28962,RawData[Month List],$Q$6,RawData[Tour/Site],$Q$2,RawData[[Picker ID ]],$Q$3,RawData[Checker ID],$Q$4,RawData[[Error Type ]],$Q$5))</f>
        <v/>
      </c>
    </row>
    <row r="28963" spans="15:15" x14ac:dyDescent="0.25">
      <c r="O28963" s="20" t="str">
        <f>IF(N28963="","",COUNTIFS(RawData[[Date ]],N28963,RawData[Month List],$Q$6,RawData[Tour/Site],$Q$2,RawData[[Picker ID ]],$Q$3,RawData[Checker ID],$Q$4,RawData[[Error Type ]],$Q$5))</f>
        <v/>
      </c>
    </row>
    <row r="28964" spans="15:15" x14ac:dyDescent="0.25">
      <c r="O28964" s="20" t="str">
        <f>IF(N28964="","",COUNTIFS(RawData[[Date ]],N28964,RawData[Month List],$Q$6,RawData[Tour/Site],$Q$2,RawData[[Picker ID ]],$Q$3,RawData[Checker ID],$Q$4,RawData[[Error Type ]],$Q$5))</f>
        <v/>
      </c>
    </row>
    <row r="28965" spans="15:15" x14ac:dyDescent="0.25">
      <c r="O28965" s="20" t="str">
        <f>IF(N28965="","",COUNTIFS(RawData[[Date ]],N28965,RawData[Month List],$Q$6,RawData[Tour/Site],$Q$2,RawData[[Picker ID ]],$Q$3,RawData[Checker ID],$Q$4,RawData[[Error Type ]],$Q$5))</f>
        <v/>
      </c>
    </row>
    <row r="28966" spans="15:15" x14ac:dyDescent="0.25">
      <c r="O28966" s="20" t="str">
        <f>IF(N28966="","",COUNTIFS(RawData[[Date ]],N28966,RawData[Month List],$Q$6,RawData[Tour/Site],$Q$2,RawData[[Picker ID ]],$Q$3,RawData[Checker ID],$Q$4,RawData[[Error Type ]],$Q$5))</f>
        <v/>
      </c>
    </row>
    <row r="28967" spans="15:15" x14ac:dyDescent="0.25">
      <c r="O28967" s="20" t="str">
        <f>IF(N28967="","",COUNTIFS(RawData[[Date ]],N28967,RawData[Month List],$Q$6,RawData[Tour/Site],$Q$2,RawData[[Picker ID ]],$Q$3,RawData[Checker ID],$Q$4,RawData[[Error Type ]],$Q$5))</f>
        <v/>
      </c>
    </row>
    <row r="28968" spans="15:15" x14ac:dyDescent="0.25">
      <c r="O28968" s="20" t="str">
        <f>IF(N28968="","",COUNTIFS(RawData[[Date ]],N28968,RawData[Month List],$Q$6,RawData[Tour/Site],$Q$2,RawData[[Picker ID ]],$Q$3,RawData[Checker ID],$Q$4,RawData[[Error Type ]],$Q$5))</f>
        <v/>
      </c>
    </row>
    <row r="28969" spans="15:15" x14ac:dyDescent="0.25">
      <c r="O28969" s="20" t="str">
        <f>IF(N28969="","",COUNTIFS(RawData[[Date ]],N28969,RawData[Month List],$Q$6,RawData[Tour/Site],$Q$2,RawData[[Picker ID ]],$Q$3,RawData[Checker ID],$Q$4,RawData[[Error Type ]],$Q$5))</f>
        <v/>
      </c>
    </row>
    <row r="28970" spans="15:15" x14ac:dyDescent="0.25">
      <c r="O28970" s="20" t="str">
        <f>IF(N28970="","",COUNTIFS(RawData[[Date ]],N28970,RawData[Month List],$Q$6,RawData[Tour/Site],$Q$2,RawData[[Picker ID ]],$Q$3,RawData[Checker ID],$Q$4,RawData[[Error Type ]],$Q$5))</f>
        <v/>
      </c>
    </row>
    <row r="28971" spans="15:15" x14ac:dyDescent="0.25">
      <c r="O28971" s="20" t="str">
        <f>IF(N28971="","",COUNTIFS(RawData[[Date ]],N28971,RawData[Month List],$Q$6,RawData[Tour/Site],$Q$2,RawData[[Picker ID ]],$Q$3,RawData[Checker ID],$Q$4,RawData[[Error Type ]],$Q$5))</f>
        <v/>
      </c>
    </row>
    <row r="28972" spans="15:15" x14ac:dyDescent="0.25">
      <c r="O28972" s="20" t="str">
        <f>IF(N28972="","",COUNTIFS(RawData[[Date ]],N28972,RawData[Month List],$Q$6,RawData[Tour/Site],$Q$2,RawData[[Picker ID ]],$Q$3,RawData[Checker ID],$Q$4,RawData[[Error Type ]],$Q$5))</f>
        <v/>
      </c>
    </row>
    <row r="28973" spans="15:15" x14ac:dyDescent="0.25">
      <c r="O28973" s="20" t="str">
        <f>IF(N28973="","",COUNTIFS(RawData[[Date ]],N28973,RawData[Month List],$Q$6,RawData[Tour/Site],$Q$2,RawData[[Picker ID ]],$Q$3,RawData[Checker ID],$Q$4,RawData[[Error Type ]],$Q$5))</f>
        <v/>
      </c>
    </row>
    <row r="28974" spans="15:15" x14ac:dyDescent="0.25">
      <c r="O28974" s="20" t="str">
        <f>IF(N28974="","",COUNTIFS(RawData[[Date ]],N28974,RawData[Month List],$Q$6,RawData[Tour/Site],$Q$2,RawData[[Picker ID ]],$Q$3,RawData[Checker ID],$Q$4,RawData[[Error Type ]],$Q$5))</f>
        <v/>
      </c>
    </row>
    <row r="28975" spans="15:15" x14ac:dyDescent="0.25">
      <c r="O28975" s="20" t="str">
        <f>IF(N28975="","",COUNTIFS(RawData[[Date ]],N28975,RawData[Month List],$Q$6,RawData[Tour/Site],$Q$2,RawData[[Picker ID ]],$Q$3,RawData[Checker ID],$Q$4,RawData[[Error Type ]],$Q$5))</f>
        <v/>
      </c>
    </row>
    <row r="28976" spans="15:15" x14ac:dyDescent="0.25">
      <c r="O28976" s="20" t="str">
        <f>IF(N28976="","",COUNTIFS(RawData[[Date ]],N28976,RawData[Month List],$Q$6,RawData[Tour/Site],$Q$2,RawData[[Picker ID ]],$Q$3,RawData[Checker ID],$Q$4,RawData[[Error Type ]],$Q$5))</f>
        <v/>
      </c>
    </row>
    <row r="28977" spans="15:15" x14ac:dyDescent="0.25">
      <c r="O28977" s="20" t="str">
        <f>IF(N28977="","",COUNTIFS(RawData[[Date ]],N28977,RawData[Month List],$Q$6,RawData[Tour/Site],$Q$2,RawData[[Picker ID ]],$Q$3,RawData[Checker ID],$Q$4,RawData[[Error Type ]],$Q$5))</f>
        <v/>
      </c>
    </row>
    <row r="28978" spans="15:15" x14ac:dyDescent="0.25">
      <c r="O28978" s="20" t="str">
        <f>IF(N28978="","",COUNTIFS(RawData[[Date ]],N28978,RawData[Month List],$Q$6,RawData[Tour/Site],$Q$2,RawData[[Picker ID ]],$Q$3,RawData[Checker ID],$Q$4,RawData[[Error Type ]],$Q$5))</f>
        <v/>
      </c>
    </row>
    <row r="28979" spans="15:15" x14ac:dyDescent="0.25">
      <c r="O28979" s="20" t="str">
        <f>IF(N28979="","",COUNTIFS(RawData[[Date ]],N28979,RawData[Month List],$Q$6,RawData[Tour/Site],$Q$2,RawData[[Picker ID ]],$Q$3,RawData[Checker ID],$Q$4,RawData[[Error Type ]],$Q$5))</f>
        <v/>
      </c>
    </row>
    <row r="28980" spans="15:15" x14ac:dyDescent="0.25">
      <c r="O28980" s="20" t="str">
        <f>IF(N28980="","",COUNTIFS(RawData[[Date ]],N28980,RawData[Month List],$Q$6,RawData[Tour/Site],$Q$2,RawData[[Picker ID ]],$Q$3,RawData[Checker ID],$Q$4,RawData[[Error Type ]],$Q$5))</f>
        <v/>
      </c>
    </row>
    <row r="28981" spans="15:15" x14ac:dyDescent="0.25">
      <c r="O28981" s="20" t="str">
        <f>IF(N28981="","",COUNTIFS(RawData[[Date ]],N28981,RawData[Month List],$Q$6,RawData[Tour/Site],$Q$2,RawData[[Picker ID ]],$Q$3,RawData[Checker ID],$Q$4,RawData[[Error Type ]],$Q$5))</f>
        <v/>
      </c>
    </row>
    <row r="28982" spans="15:15" x14ac:dyDescent="0.25">
      <c r="O28982" s="20" t="str">
        <f>IF(N28982="","",COUNTIFS(RawData[[Date ]],N28982,RawData[Month List],$Q$6,RawData[Tour/Site],$Q$2,RawData[[Picker ID ]],$Q$3,RawData[Checker ID],$Q$4,RawData[[Error Type ]],$Q$5))</f>
        <v/>
      </c>
    </row>
    <row r="28983" spans="15:15" x14ac:dyDescent="0.25">
      <c r="O28983" s="20" t="str">
        <f>IF(N28983="","",COUNTIFS(RawData[[Date ]],N28983,RawData[Month List],$Q$6,RawData[Tour/Site],$Q$2,RawData[[Picker ID ]],$Q$3,RawData[Checker ID],$Q$4,RawData[[Error Type ]],$Q$5))</f>
        <v/>
      </c>
    </row>
    <row r="28984" spans="15:15" x14ac:dyDescent="0.25">
      <c r="O28984" s="20" t="str">
        <f>IF(N28984="","",COUNTIFS(RawData[[Date ]],N28984,RawData[Month List],$Q$6,RawData[Tour/Site],$Q$2,RawData[[Picker ID ]],$Q$3,RawData[Checker ID],$Q$4,RawData[[Error Type ]],$Q$5))</f>
        <v/>
      </c>
    </row>
    <row r="28985" spans="15:15" x14ac:dyDescent="0.25">
      <c r="O28985" s="20" t="str">
        <f>IF(N28985="","",COUNTIFS(RawData[[Date ]],N28985,RawData[Month List],$Q$6,RawData[Tour/Site],$Q$2,RawData[[Picker ID ]],$Q$3,RawData[Checker ID],$Q$4,RawData[[Error Type ]],$Q$5))</f>
        <v/>
      </c>
    </row>
    <row r="28986" spans="15:15" x14ac:dyDescent="0.25">
      <c r="O28986" s="20" t="str">
        <f>IF(N28986="","",COUNTIFS(RawData[[Date ]],N28986,RawData[Month List],$Q$6,RawData[Tour/Site],$Q$2,RawData[[Picker ID ]],$Q$3,RawData[Checker ID],$Q$4,RawData[[Error Type ]],$Q$5))</f>
        <v/>
      </c>
    </row>
    <row r="28987" spans="15:15" x14ac:dyDescent="0.25">
      <c r="O28987" s="20" t="str">
        <f>IF(N28987="","",COUNTIFS(RawData[[Date ]],N28987,RawData[Month List],$Q$6,RawData[Tour/Site],$Q$2,RawData[[Picker ID ]],$Q$3,RawData[Checker ID],$Q$4,RawData[[Error Type ]],$Q$5))</f>
        <v/>
      </c>
    </row>
    <row r="28988" spans="15:15" x14ac:dyDescent="0.25">
      <c r="O28988" s="20" t="str">
        <f>IF(N28988="","",COUNTIFS(RawData[[Date ]],N28988,RawData[Month List],$Q$6,RawData[Tour/Site],$Q$2,RawData[[Picker ID ]],$Q$3,RawData[Checker ID],$Q$4,RawData[[Error Type ]],$Q$5))</f>
        <v/>
      </c>
    </row>
    <row r="28989" spans="15:15" x14ac:dyDescent="0.25">
      <c r="O28989" s="20" t="str">
        <f>IF(N28989="","",COUNTIFS(RawData[[Date ]],N28989,RawData[Month List],$Q$6,RawData[Tour/Site],$Q$2,RawData[[Picker ID ]],$Q$3,RawData[Checker ID],$Q$4,RawData[[Error Type ]],$Q$5))</f>
        <v/>
      </c>
    </row>
    <row r="28990" spans="15:15" x14ac:dyDescent="0.25">
      <c r="O28990" s="20" t="str">
        <f>IF(N28990="","",COUNTIFS(RawData[[Date ]],N28990,RawData[Month List],$Q$6,RawData[Tour/Site],$Q$2,RawData[[Picker ID ]],$Q$3,RawData[Checker ID],$Q$4,RawData[[Error Type ]],$Q$5))</f>
        <v/>
      </c>
    </row>
    <row r="28991" spans="15:15" x14ac:dyDescent="0.25">
      <c r="O28991" s="20" t="str">
        <f>IF(N28991="","",COUNTIFS(RawData[[Date ]],N28991,RawData[Month List],$Q$6,RawData[Tour/Site],$Q$2,RawData[[Picker ID ]],$Q$3,RawData[Checker ID],$Q$4,RawData[[Error Type ]],$Q$5))</f>
        <v/>
      </c>
    </row>
    <row r="28992" spans="15:15" x14ac:dyDescent="0.25">
      <c r="O28992" s="20" t="str">
        <f>IF(N28992="","",COUNTIFS(RawData[[Date ]],N28992,RawData[Month List],$Q$6,RawData[Tour/Site],$Q$2,RawData[[Picker ID ]],$Q$3,RawData[Checker ID],$Q$4,RawData[[Error Type ]],$Q$5))</f>
        <v/>
      </c>
    </row>
    <row r="28993" spans="15:15" x14ac:dyDescent="0.25">
      <c r="O28993" s="20" t="str">
        <f>IF(N28993="","",COUNTIFS(RawData[[Date ]],N28993,RawData[Month List],$Q$6,RawData[Tour/Site],$Q$2,RawData[[Picker ID ]],$Q$3,RawData[Checker ID],$Q$4,RawData[[Error Type ]],$Q$5))</f>
        <v/>
      </c>
    </row>
    <row r="28994" spans="15:15" x14ac:dyDescent="0.25">
      <c r="O28994" s="20" t="str">
        <f>IF(N28994="","",COUNTIFS(RawData[[Date ]],N28994,RawData[Month List],$Q$6,RawData[Tour/Site],$Q$2,RawData[[Picker ID ]],$Q$3,RawData[Checker ID],$Q$4,RawData[[Error Type ]],$Q$5))</f>
        <v/>
      </c>
    </row>
    <row r="28995" spans="15:15" x14ac:dyDescent="0.25">
      <c r="O28995" s="20" t="str">
        <f>IF(N28995="","",COUNTIFS(RawData[[Date ]],N28995,RawData[Month List],$Q$6,RawData[Tour/Site],$Q$2,RawData[[Picker ID ]],$Q$3,RawData[Checker ID],$Q$4,RawData[[Error Type ]],$Q$5))</f>
        <v/>
      </c>
    </row>
    <row r="28996" spans="15:15" x14ac:dyDescent="0.25">
      <c r="O28996" s="20" t="str">
        <f>IF(N28996="","",COUNTIFS(RawData[[Date ]],N28996,RawData[Month List],$Q$6,RawData[Tour/Site],$Q$2,RawData[[Picker ID ]],$Q$3,RawData[Checker ID],$Q$4,RawData[[Error Type ]],$Q$5))</f>
        <v/>
      </c>
    </row>
    <row r="28997" spans="15:15" x14ac:dyDescent="0.25">
      <c r="O28997" s="20" t="str">
        <f>IF(N28997="","",COUNTIFS(RawData[[Date ]],N28997,RawData[Month List],$Q$6,RawData[Tour/Site],$Q$2,RawData[[Picker ID ]],$Q$3,RawData[Checker ID],$Q$4,RawData[[Error Type ]],$Q$5))</f>
        <v/>
      </c>
    </row>
    <row r="28998" spans="15:15" x14ac:dyDescent="0.25">
      <c r="O28998" s="20" t="str">
        <f>IF(N28998="","",COUNTIFS(RawData[[Date ]],N28998,RawData[Month List],$Q$6,RawData[Tour/Site],$Q$2,RawData[[Picker ID ]],$Q$3,RawData[Checker ID],$Q$4,RawData[[Error Type ]],$Q$5))</f>
        <v/>
      </c>
    </row>
    <row r="28999" spans="15:15" x14ac:dyDescent="0.25">
      <c r="O28999" s="20" t="str">
        <f>IF(N28999="","",COUNTIFS(RawData[[Date ]],N28999,RawData[Month List],$Q$6,RawData[Tour/Site],$Q$2,RawData[[Picker ID ]],$Q$3,RawData[Checker ID],$Q$4,RawData[[Error Type ]],$Q$5))</f>
        <v/>
      </c>
    </row>
    <row r="29000" spans="15:15" x14ac:dyDescent="0.25">
      <c r="O29000" s="20" t="str">
        <f>IF(N29000="","",COUNTIFS(RawData[[Date ]],N29000,RawData[Month List],$Q$6,RawData[Tour/Site],$Q$2,RawData[[Picker ID ]],$Q$3,RawData[Checker ID],$Q$4,RawData[[Error Type ]],$Q$5))</f>
        <v/>
      </c>
    </row>
    <row r="29001" spans="15:15" x14ac:dyDescent="0.25">
      <c r="O29001" s="20" t="str">
        <f>IF(N29001="","",COUNTIFS(RawData[[Date ]],N29001,RawData[Month List],$Q$6,RawData[Tour/Site],$Q$2,RawData[[Picker ID ]],$Q$3,RawData[Checker ID],$Q$4,RawData[[Error Type ]],$Q$5))</f>
        <v/>
      </c>
    </row>
    <row r="29002" spans="15:15" x14ac:dyDescent="0.25">
      <c r="O29002" s="20" t="str">
        <f>IF(N29002="","",COUNTIFS(RawData[[Date ]],N29002,RawData[Month List],$Q$6,RawData[Tour/Site],$Q$2,RawData[[Picker ID ]],$Q$3,RawData[Checker ID],$Q$4,RawData[[Error Type ]],$Q$5))</f>
        <v/>
      </c>
    </row>
    <row r="29003" spans="15:15" x14ac:dyDescent="0.25">
      <c r="O29003" s="20" t="str">
        <f>IF(N29003="","",COUNTIFS(RawData[[Date ]],N29003,RawData[Month List],$Q$6,RawData[Tour/Site],$Q$2,RawData[[Picker ID ]],$Q$3,RawData[Checker ID],$Q$4,RawData[[Error Type ]],$Q$5))</f>
        <v/>
      </c>
    </row>
    <row r="29004" spans="15:15" x14ac:dyDescent="0.25">
      <c r="O29004" s="20" t="str">
        <f>IF(N29004="","",COUNTIFS(RawData[[Date ]],N29004,RawData[Month List],$Q$6,RawData[Tour/Site],$Q$2,RawData[[Picker ID ]],$Q$3,RawData[Checker ID],$Q$4,RawData[[Error Type ]],$Q$5))</f>
        <v/>
      </c>
    </row>
    <row r="29005" spans="15:15" x14ac:dyDescent="0.25">
      <c r="O29005" s="20" t="str">
        <f>IF(N29005="","",COUNTIFS(RawData[[Date ]],N29005,RawData[Month List],$Q$6,RawData[Tour/Site],$Q$2,RawData[[Picker ID ]],$Q$3,RawData[Checker ID],$Q$4,RawData[[Error Type ]],$Q$5))</f>
        <v/>
      </c>
    </row>
    <row r="29006" spans="15:15" x14ac:dyDescent="0.25">
      <c r="O29006" s="20" t="str">
        <f>IF(N29006="","",COUNTIFS(RawData[[Date ]],N29006,RawData[Month List],$Q$6,RawData[Tour/Site],$Q$2,RawData[[Picker ID ]],$Q$3,RawData[Checker ID],$Q$4,RawData[[Error Type ]],$Q$5))</f>
        <v/>
      </c>
    </row>
    <row r="29007" spans="15:15" x14ac:dyDescent="0.25">
      <c r="O29007" s="20" t="str">
        <f>IF(N29007="","",COUNTIFS(RawData[[Date ]],N29007,RawData[Month List],$Q$6,RawData[Tour/Site],$Q$2,RawData[[Picker ID ]],$Q$3,RawData[Checker ID],$Q$4,RawData[[Error Type ]],$Q$5))</f>
        <v/>
      </c>
    </row>
    <row r="29008" spans="15:15" x14ac:dyDescent="0.25">
      <c r="O29008" s="20" t="str">
        <f>IF(N29008="","",COUNTIFS(RawData[[Date ]],N29008,RawData[Month List],$Q$6,RawData[Tour/Site],$Q$2,RawData[[Picker ID ]],$Q$3,RawData[Checker ID],$Q$4,RawData[[Error Type ]],$Q$5))</f>
        <v/>
      </c>
    </row>
    <row r="29009" spans="15:15" x14ac:dyDescent="0.25">
      <c r="O29009" s="20" t="str">
        <f>IF(N29009="","",COUNTIFS(RawData[[Date ]],N29009,RawData[Month List],$Q$6,RawData[Tour/Site],$Q$2,RawData[[Picker ID ]],$Q$3,RawData[Checker ID],$Q$4,RawData[[Error Type ]],$Q$5))</f>
        <v/>
      </c>
    </row>
    <row r="29010" spans="15:15" x14ac:dyDescent="0.25">
      <c r="O29010" s="20" t="str">
        <f>IF(N29010="","",COUNTIFS(RawData[[Date ]],N29010,RawData[Month List],$Q$6,RawData[Tour/Site],$Q$2,RawData[[Picker ID ]],$Q$3,RawData[Checker ID],$Q$4,RawData[[Error Type ]],$Q$5))</f>
        <v/>
      </c>
    </row>
    <row r="29011" spans="15:15" x14ac:dyDescent="0.25">
      <c r="O29011" s="20" t="str">
        <f>IF(N29011="","",COUNTIFS(RawData[[Date ]],N29011,RawData[Month List],$Q$6,RawData[Tour/Site],$Q$2,RawData[[Picker ID ]],$Q$3,RawData[Checker ID],$Q$4,RawData[[Error Type ]],$Q$5))</f>
        <v/>
      </c>
    </row>
    <row r="29012" spans="15:15" x14ac:dyDescent="0.25">
      <c r="O29012" s="20" t="str">
        <f>IF(N29012="","",COUNTIFS(RawData[[Date ]],N29012,RawData[Month List],$Q$6,RawData[Tour/Site],$Q$2,RawData[[Picker ID ]],$Q$3,RawData[Checker ID],$Q$4,RawData[[Error Type ]],$Q$5))</f>
        <v/>
      </c>
    </row>
    <row r="29013" spans="15:15" x14ac:dyDescent="0.25">
      <c r="O29013" s="20" t="str">
        <f>IF(N29013="","",COUNTIFS(RawData[[Date ]],N29013,RawData[Month List],$Q$6,RawData[Tour/Site],$Q$2,RawData[[Picker ID ]],$Q$3,RawData[Checker ID],$Q$4,RawData[[Error Type ]],$Q$5))</f>
        <v/>
      </c>
    </row>
    <row r="29014" spans="15:15" x14ac:dyDescent="0.25">
      <c r="O29014" s="20" t="str">
        <f>IF(N29014="","",COUNTIFS(RawData[[Date ]],N29014,RawData[Month List],$Q$6,RawData[Tour/Site],$Q$2,RawData[[Picker ID ]],$Q$3,RawData[Checker ID],$Q$4,RawData[[Error Type ]],$Q$5))</f>
        <v/>
      </c>
    </row>
    <row r="29015" spans="15:15" x14ac:dyDescent="0.25">
      <c r="O29015" s="20" t="str">
        <f>IF(N29015="","",COUNTIFS(RawData[[Date ]],N29015,RawData[Month List],$Q$6,RawData[Tour/Site],$Q$2,RawData[[Picker ID ]],$Q$3,RawData[Checker ID],$Q$4,RawData[[Error Type ]],$Q$5))</f>
        <v/>
      </c>
    </row>
    <row r="29016" spans="15:15" x14ac:dyDescent="0.25">
      <c r="O29016" s="20" t="str">
        <f>IF(N29016="","",COUNTIFS(RawData[[Date ]],N29016,RawData[Month List],$Q$6,RawData[Tour/Site],$Q$2,RawData[[Picker ID ]],$Q$3,RawData[Checker ID],$Q$4,RawData[[Error Type ]],$Q$5))</f>
        <v/>
      </c>
    </row>
    <row r="29017" spans="15:15" x14ac:dyDescent="0.25">
      <c r="O29017" s="20" t="str">
        <f>IF(N29017="","",COUNTIFS(RawData[[Date ]],N29017,RawData[Month List],$Q$6,RawData[Tour/Site],$Q$2,RawData[[Picker ID ]],$Q$3,RawData[Checker ID],$Q$4,RawData[[Error Type ]],$Q$5))</f>
        <v/>
      </c>
    </row>
    <row r="29018" spans="15:15" x14ac:dyDescent="0.25">
      <c r="O29018" s="20" t="str">
        <f>IF(N29018="","",COUNTIFS(RawData[[Date ]],N29018,RawData[Month List],$Q$6,RawData[Tour/Site],$Q$2,RawData[[Picker ID ]],$Q$3,RawData[Checker ID],$Q$4,RawData[[Error Type ]],$Q$5))</f>
        <v/>
      </c>
    </row>
    <row r="29019" spans="15:15" x14ac:dyDescent="0.25">
      <c r="O29019" s="20" t="str">
        <f>IF(N29019="","",COUNTIFS(RawData[[Date ]],N29019,RawData[Month List],$Q$6,RawData[Tour/Site],$Q$2,RawData[[Picker ID ]],$Q$3,RawData[Checker ID],$Q$4,RawData[[Error Type ]],$Q$5))</f>
        <v/>
      </c>
    </row>
    <row r="29020" spans="15:15" x14ac:dyDescent="0.25">
      <c r="O29020" s="20" t="str">
        <f>IF(N29020="","",COUNTIFS(RawData[[Date ]],N29020,RawData[Month List],$Q$6,RawData[Tour/Site],$Q$2,RawData[[Picker ID ]],$Q$3,RawData[Checker ID],$Q$4,RawData[[Error Type ]],$Q$5))</f>
        <v/>
      </c>
    </row>
    <row r="29021" spans="15:15" x14ac:dyDescent="0.25">
      <c r="O29021" s="20" t="str">
        <f>IF(N29021="","",COUNTIFS(RawData[[Date ]],N29021,RawData[Month List],$Q$6,RawData[Tour/Site],$Q$2,RawData[[Picker ID ]],$Q$3,RawData[Checker ID],$Q$4,RawData[[Error Type ]],$Q$5))</f>
        <v/>
      </c>
    </row>
    <row r="29022" spans="15:15" x14ac:dyDescent="0.25">
      <c r="O29022" s="20" t="str">
        <f>IF(N29022="","",COUNTIFS(RawData[[Date ]],N29022,RawData[Month List],$Q$6,RawData[Tour/Site],$Q$2,RawData[[Picker ID ]],$Q$3,RawData[Checker ID],$Q$4,RawData[[Error Type ]],$Q$5))</f>
        <v/>
      </c>
    </row>
    <row r="29023" spans="15:15" x14ac:dyDescent="0.25">
      <c r="O29023" s="20" t="str">
        <f>IF(N29023="","",COUNTIFS(RawData[[Date ]],N29023,RawData[Month List],$Q$6,RawData[Tour/Site],$Q$2,RawData[[Picker ID ]],$Q$3,RawData[Checker ID],$Q$4,RawData[[Error Type ]],$Q$5))</f>
        <v/>
      </c>
    </row>
    <row r="29024" spans="15:15" x14ac:dyDescent="0.25">
      <c r="O29024" s="20" t="str">
        <f>IF(N29024="","",COUNTIFS(RawData[[Date ]],N29024,RawData[Month List],$Q$6,RawData[Tour/Site],$Q$2,RawData[[Picker ID ]],$Q$3,RawData[Checker ID],$Q$4,RawData[[Error Type ]],$Q$5))</f>
        <v/>
      </c>
    </row>
    <row r="29025" spans="15:15" x14ac:dyDescent="0.25">
      <c r="O29025" s="20" t="str">
        <f>IF(N29025="","",COUNTIFS(RawData[[Date ]],N29025,RawData[Month List],$Q$6,RawData[Tour/Site],$Q$2,RawData[[Picker ID ]],$Q$3,RawData[Checker ID],$Q$4,RawData[[Error Type ]],$Q$5))</f>
        <v/>
      </c>
    </row>
    <row r="29026" spans="15:15" x14ac:dyDescent="0.25">
      <c r="O29026" s="20" t="str">
        <f>IF(N29026="","",COUNTIFS(RawData[[Date ]],N29026,RawData[Month List],$Q$6,RawData[Tour/Site],$Q$2,RawData[[Picker ID ]],$Q$3,RawData[Checker ID],$Q$4,RawData[[Error Type ]],$Q$5))</f>
        <v/>
      </c>
    </row>
    <row r="29027" spans="15:15" x14ac:dyDescent="0.25">
      <c r="O29027" s="20" t="str">
        <f>IF(N29027="","",COUNTIFS(RawData[[Date ]],N29027,RawData[Month List],$Q$6,RawData[Tour/Site],$Q$2,RawData[[Picker ID ]],$Q$3,RawData[Checker ID],$Q$4,RawData[[Error Type ]],$Q$5))</f>
        <v/>
      </c>
    </row>
    <row r="29028" spans="15:15" x14ac:dyDescent="0.25">
      <c r="O29028" s="20" t="str">
        <f>IF(N29028="","",COUNTIFS(RawData[[Date ]],N29028,RawData[Month List],$Q$6,RawData[Tour/Site],$Q$2,RawData[[Picker ID ]],$Q$3,RawData[Checker ID],$Q$4,RawData[[Error Type ]],$Q$5))</f>
        <v/>
      </c>
    </row>
    <row r="29029" spans="15:15" x14ac:dyDescent="0.25">
      <c r="O29029" s="20" t="str">
        <f>IF(N29029="","",COUNTIFS(RawData[[Date ]],N29029,RawData[Month List],$Q$6,RawData[Tour/Site],$Q$2,RawData[[Picker ID ]],$Q$3,RawData[Checker ID],$Q$4,RawData[[Error Type ]],$Q$5))</f>
        <v/>
      </c>
    </row>
    <row r="29030" spans="15:15" x14ac:dyDescent="0.25">
      <c r="O29030" s="20" t="str">
        <f>IF(N29030="","",COUNTIFS(RawData[[Date ]],N29030,RawData[Month List],$Q$6,RawData[Tour/Site],$Q$2,RawData[[Picker ID ]],$Q$3,RawData[Checker ID],$Q$4,RawData[[Error Type ]],$Q$5))</f>
        <v/>
      </c>
    </row>
    <row r="29031" spans="15:15" x14ac:dyDescent="0.25">
      <c r="O29031" s="20" t="str">
        <f>IF(N29031="","",COUNTIFS(RawData[[Date ]],N29031,RawData[Month List],$Q$6,RawData[Tour/Site],$Q$2,RawData[[Picker ID ]],$Q$3,RawData[Checker ID],$Q$4,RawData[[Error Type ]],$Q$5))</f>
        <v/>
      </c>
    </row>
    <row r="29032" spans="15:15" x14ac:dyDescent="0.25">
      <c r="O29032" s="20" t="str">
        <f>IF(N29032="","",COUNTIFS(RawData[[Date ]],N29032,RawData[Month List],$Q$6,RawData[Tour/Site],$Q$2,RawData[[Picker ID ]],$Q$3,RawData[Checker ID],$Q$4,RawData[[Error Type ]],$Q$5))</f>
        <v/>
      </c>
    </row>
    <row r="29033" spans="15:15" x14ac:dyDescent="0.25">
      <c r="O29033" s="20" t="str">
        <f>IF(N29033="","",COUNTIFS(RawData[[Date ]],N29033,RawData[Month List],$Q$6,RawData[Tour/Site],$Q$2,RawData[[Picker ID ]],$Q$3,RawData[Checker ID],$Q$4,RawData[[Error Type ]],$Q$5))</f>
        <v/>
      </c>
    </row>
    <row r="29034" spans="15:15" x14ac:dyDescent="0.25">
      <c r="O29034" s="20" t="str">
        <f>IF(N29034="","",COUNTIFS(RawData[[Date ]],N29034,RawData[Month List],$Q$6,RawData[Tour/Site],$Q$2,RawData[[Picker ID ]],$Q$3,RawData[Checker ID],$Q$4,RawData[[Error Type ]],$Q$5))</f>
        <v/>
      </c>
    </row>
    <row r="29035" spans="15:15" x14ac:dyDescent="0.25">
      <c r="O29035" s="20" t="str">
        <f>IF(N29035="","",COUNTIFS(RawData[[Date ]],N29035,RawData[Month List],$Q$6,RawData[Tour/Site],$Q$2,RawData[[Picker ID ]],$Q$3,RawData[Checker ID],$Q$4,RawData[[Error Type ]],$Q$5))</f>
        <v/>
      </c>
    </row>
    <row r="29036" spans="15:15" x14ac:dyDescent="0.25">
      <c r="O29036" s="20" t="str">
        <f>IF(N29036="","",COUNTIFS(RawData[[Date ]],N29036,RawData[Month List],$Q$6,RawData[Tour/Site],$Q$2,RawData[[Picker ID ]],$Q$3,RawData[Checker ID],$Q$4,RawData[[Error Type ]],$Q$5))</f>
        <v/>
      </c>
    </row>
    <row r="29037" spans="15:15" x14ac:dyDescent="0.25">
      <c r="O29037" s="20" t="str">
        <f>IF(N29037="","",COUNTIFS(RawData[[Date ]],N29037,RawData[Month List],$Q$6,RawData[Tour/Site],$Q$2,RawData[[Picker ID ]],$Q$3,RawData[Checker ID],$Q$4,RawData[[Error Type ]],$Q$5))</f>
        <v/>
      </c>
    </row>
    <row r="29038" spans="15:15" x14ac:dyDescent="0.25">
      <c r="O29038" s="20" t="str">
        <f>IF(N29038="","",COUNTIFS(RawData[[Date ]],N29038,RawData[Month List],$Q$6,RawData[Tour/Site],$Q$2,RawData[[Picker ID ]],$Q$3,RawData[Checker ID],$Q$4,RawData[[Error Type ]],$Q$5))</f>
        <v/>
      </c>
    </row>
    <row r="29039" spans="15:15" x14ac:dyDescent="0.25">
      <c r="O29039" s="20" t="str">
        <f>IF(N29039="","",COUNTIFS(RawData[[Date ]],N29039,RawData[Month List],$Q$6,RawData[Tour/Site],$Q$2,RawData[[Picker ID ]],$Q$3,RawData[Checker ID],$Q$4,RawData[[Error Type ]],$Q$5))</f>
        <v/>
      </c>
    </row>
    <row r="29040" spans="15:15" x14ac:dyDescent="0.25">
      <c r="O29040" s="20" t="str">
        <f>IF(N29040="","",COUNTIFS(RawData[[Date ]],N29040,RawData[Month List],$Q$6,RawData[Tour/Site],$Q$2,RawData[[Picker ID ]],$Q$3,RawData[Checker ID],$Q$4,RawData[[Error Type ]],$Q$5))</f>
        <v/>
      </c>
    </row>
    <row r="29041" spans="15:15" x14ac:dyDescent="0.25">
      <c r="O29041" s="20" t="str">
        <f>IF(N29041="","",COUNTIFS(RawData[[Date ]],N29041,RawData[Month List],$Q$6,RawData[Tour/Site],$Q$2,RawData[[Picker ID ]],$Q$3,RawData[Checker ID],$Q$4,RawData[[Error Type ]],$Q$5))</f>
        <v/>
      </c>
    </row>
    <row r="29042" spans="15:15" x14ac:dyDescent="0.25">
      <c r="O29042" s="20" t="str">
        <f>IF(N29042="","",COUNTIFS(RawData[[Date ]],N29042,RawData[Month List],$Q$6,RawData[Tour/Site],$Q$2,RawData[[Picker ID ]],$Q$3,RawData[Checker ID],$Q$4,RawData[[Error Type ]],$Q$5))</f>
        <v/>
      </c>
    </row>
    <row r="29043" spans="15:15" x14ac:dyDescent="0.25">
      <c r="O29043" s="20" t="str">
        <f>IF(N29043="","",COUNTIFS(RawData[[Date ]],N29043,RawData[Month List],$Q$6,RawData[Tour/Site],$Q$2,RawData[[Picker ID ]],$Q$3,RawData[Checker ID],$Q$4,RawData[[Error Type ]],$Q$5))</f>
        <v/>
      </c>
    </row>
    <row r="29044" spans="15:15" x14ac:dyDescent="0.25">
      <c r="O29044" s="20" t="str">
        <f>IF(N29044="","",COUNTIFS(RawData[[Date ]],N29044,RawData[Month List],$Q$6,RawData[Tour/Site],$Q$2,RawData[[Picker ID ]],$Q$3,RawData[Checker ID],$Q$4,RawData[[Error Type ]],$Q$5))</f>
        <v/>
      </c>
    </row>
    <row r="29045" spans="15:15" x14ac:dyDescent="0.25">
      <c r="O29045" s="20" t="str">
        <f>IF(N29045="","",COUNTIFS(RawData[[Date ]],N29045,RawData[Month List],$Q$6,RawData[Tour/Site],$Q$2,RawData[[Picker ID ]],$Q$3,RawData[Checker ID],$Q$4,RawData[[Error Type ]],$Q$5))</f>
        <v/>
      </c>
    </row>
    <row r="29046" spans="15:15" x14ac:dyDescent="0.25">
      <c r="O29046" s="20" t="str">
        <f>IF(N29046="","",COUNTIFS(RawData[[Date ]],N29046,RawData[Month List],$Q$6,RawData[Tour/Site],$Q$2,RawData[[Picker ID ]],$Q$3,RawData[Checker ID],$Q$4,RawData[[Error Type ]],$Q$5))</f>
        <v/>
      </c>
    </row>
    <row r="29047" spans="15:15" x14ac:dyDescent="0.25">
      <c r="O29047" s="20" t="str">
        <f>IF(N29047="","",COUNTIFS(RawData[[Date ]],N29047,RawData[Month List],$Q$6,RawData[Tour/Site],$Q$2,RawData[[Picker ID ]],$Q$3,RawData[Checker ID],$Q$4,RawData[[Error Type ]],$Q$5))</f>
        <v/>
      </c>
    </row>
    <row r="29048" spans="15:15" x14ac:dyDescent="0.25">
      <c r="O29048" s="20" t="str">
        <f>IF(N29048="","",COUNTIFS(RawData[[Date ]],N29048,RawData[Month List],$Q$6,RawData[Tour/Site],$Q$2,RawData[[Picker ID ]],$Q$3,RawData[Checker ID],$Q$4,RawData[[Error Type ]],$Q$5))</f>
        <v/>
      </c>
    </row>
    <row r="29049" spans="15:15" x14ac:dyDescent="0.25">
      <c r="O29049" s="20" t="str">
        <f>IF(N29049="","",COUNTIFS(RawData[[Date ]],N29049,RawData[Month List],$Q$6,RawData[Tour/Site],$Q$2,RawData[[Picker ID ]],$Q$3,RawData[Checker ID],$Q$4,RawData[[Error Type ]],$Q$5))</f>
        <v/>
      </c>
    </row>
    <row r="29050" spans="15:15" x14ac:dyDescent="0.25">
      <c r="O29050" s="20" t="str">
        <f>IF(N29050="","",COUNTIFS(RawData[[Date ]],N29050,RawData[Month List],$Q$6,RawData[Tour/Site],$Q$2,RawData[[Picker ID ]],$Q$3,RawData[Checker ID],$Q$4,RawData[[Error Type ]],$Q$5))</f>
        <v/>
      </c>
    </row>
    <row r="29051" spans="15:15" x14ac:dyDescent="0.25">
      <c r="O29051" s="20" t="str">
        <f>IF(N29051="","",COUNTIFS(RawData[[Date ]],N29051,RawData[Month List],$Q$6,RawData[Tour/Site],$Q$2,RawData[[Picker ID ]],$Q$3,RawData[Checker ID],$Q$4,RawData[[Error Type ]],$Q$5))</f>
        <v/>
      </c>
    </row>
    <row r="29052" spans="15:15" x14ac:dyDescent="0.25">
      <c r="O29052" s="20" t="str">
        <f>IF(N29052="","",COUNTIFS(RawData[[Date ]],N29052,RawData[Month List],$Q$6,RawData[Tour/Site],$Q$2,RawData[[Picker ID ]],$Q$3,RawData[Checker ID],$Q$4,RawData[[Error Type ]],$Q$5))</f>
        <v/>
      </c>
    </row>
    <row r="29053" spans="15:15" x14ac:dyDescent="0.25">
      <c r="O29053" s="20" t="str">
        <f>IF(N29053="","",COUNTIFS(RawData[[Date ]],N29053,RawData[Month List],$Q$6,RawData[Tour/Site],$Q$2,RawData[[Picker ID ]],$Q$3,RawData[Checker ID],$Q$4,RawData[[Error Type ]],$Q$5))</f>
        <v/>
      </c>
    </row>
    <row r="29054" spans="15:15" x14ac:dyDescent="0.25">
      <c r="O29054" s="20" t="str">
        <f>IF(N29054="","",COUNTIFS(RawData[[Date ]],N29054,RawData[Month List],$Q$6,RawData[Tour/Site],$Q$2,RawData[[Picker ID ]],$Q$3,RawData[Checker ID],$Q$4,RawData[[Error Type ]],$Q$5))</f>
        <v/>
      </c>
    </row>
    <row r="29055" spans="15:15" x14ac:dyDescent="0.25">
      <c r="O29055" s="20" t="str">
        <f>IF(N29055="","",COUNTIFS(RawData[[Date ]],N29055,RawData[Month List],$Q$6,RawData[Tour/Site],$Q$2,RawData[[Picker ID ]],$Q$3,RawData[Checker ID],$Q$4,RawData[[Error Type ]],$Q$5))</f>
        <v/>
      </c>
    </row>
    <row r="29056" spans="15:15" x14ac:dyDescent="0.25">
      <c r="O29056" s="20" t="str">
        <f>IF(N29056="","",COUNTIFS(RawData[[Date ]],N29056,RawData[Month List],$Q$6,RawData[Tour/Site],$Q$2,RawData[[Picker ID ]],$Q$3,RawData[Checker ID],$Q$4,RawData[[Error Type ]],$Q$5))</f>
        <v/>
      </c>
    </row>
    <row r="29057" spans="15:15" x14ac:dyDescent="0.25">
      <c r="O29057" s="20" t="str">
        <f>IF(N29057="","",COUNTIFS(RawData[[Date ]],N29057,RawData[Month List],$Q$6,RawData[Tour/Site],$Q$2,RawData[[Picker ID ]],$Q$3,RawData[Checker ID],$Q$4,RawData[[Error Type ]],$Q$5))</f>
        <v/>
      </c>
    </row>
    <row r="29058" spans="15:15" x14ac:dyDescent="0.25">
      <c r="O29058" s="20" t="str">
        <f>IF(N29058="","",COUNTIFS(RawData[[Date ]],N29058,RawData[Month List],$Q$6,RawData[Tour/Site],$Q$2,RawData[[Picker ID ]],$Q$3,RawData[Checker ID],$Q$4,RawData[[Error Type ]],$Q$5))</f>
        <v/>
      </c>
    </row>
    <row r="29059" spans="15:15" x14ac:dyDescent="0.25">
      <c r="O29059" s="20" t="str">
        <f>IF(N29059="","",COUNTIFS(RawData[[Date ]],N29059,RawData[Month List],$Q$6,RawData[Tour/Site],$Q$2,RawData[[Picker ID ]],$Q$3,RawData[Checker ID],$Q$4,RawData[[Error Type ]],$Q$5))</f>
        <v/>
      </c>
    </row>
    <row r="29060" spans="15:15" x14ac:dyDescent="0.25">
      <c r="O29060" s="20" t="str">
        <f>IF(N29060="","",COUNTIFS(RawData[[Date ]],N29060,RawData[Month List],$Q$6,RawData[Tour/Site],$Q$2,RawData[[Picker ID ]],$Q$3,RawData[Checker ID],$Q$4,RawData[[Error Type ]],$Q$5))</f>
        <v/>
      </c>
    </row>
    <row r="29061" spans="15:15" x14ac:dyDescent="0.25">
      <c r="O29061" s="20" t="str">
        <f>IF(N29061="","",COUNTIFS(RawData[[Date ]],N29061,RawData[Month List],$Q$6,RawData[Tour/Site],$Q$2,RawData[[Picker ID ]],$Q$3,RawData[Checker ID],$Q$4,RawData[[Error Type ]],$Q$5))</f>
        <v/>
      </c>
    </row>
    <row r="29062" spans="15:15" x14ac:dyDescent="0.25">
      <c r="O29062" s="20" t="str">
        <f>IF(N29062="","",COUNTIFS(RawData[[Date ]],N29062,RawData[Month List],$Q$6,RawData[Tour/Site],$Q$2,RawData[[Picker ID ]],$Q$3,RawData[Checker ID],$Q$4,RawData[[Error Type ]],$Q$5))</f>
        <v/>
      </c>
    </row>
    <row r="29063" spans="15:15" x14ac:dyDescent="0.25">
      <c r="O29063" s="20" t="str">
        <f>IF(N29063="","",COUNTIFS(RawData[[Date ]],N29063,RawData[Month List],$Q$6,RawData[Tour/Site],$Q$2,RawData[[Picker ID ]],$Q$3,RawData[Checker ID],$Q$4,RawData[[Error Type ]],$Q$5))</f>
        <v/>
      </c>
    </row>
    <row r="29064" spans="15:15" x14ac:dyDescent="0.25">
      <c r="O29064" s="20" t="str">
        <f>IF(N29064="","",COUNTIFS(RawData[[Date ]],N29064,RawData[Month List],$Q$6,RawData[Tour/Site],$Q$2,RawData[[Picker ID ]],$Q$3,RawData[Checker ID],$Q$4,RawData[[Error Type ]],$Q$5))</f>
        <v/>
      </c>
    </row>
    <row r="29065" spans="15:15" x14ac:dyDescent="0.25">
      <c r="O29065" s="20" t="str">
        <f>IF(N29065="","",COUNTIFS(RawData[[Date ]],N29065,RawData[Month List],$Q$6,RawData[Tour/Site],$Q$2,RawData[[Picker ID ]],$Q$3,RawData[Checker ID],$Q$4,RawData[[Error Type ]],$Q$5))</f>
        <v/>
      </c>
    </row>
    <row r="29066" spans="15:15" x14ac:dyDescent="0.25">
      <c r="O29066" s="20" t="str">
        <f>IF(N29066="","",COUNTIFS(RawData[[Date ]],N29066,RawData[Month List],$Q$6,RawData[Tour/Site],$Q$2,RawData[[Picker ID ]],$Q$3,RawData[Checker ID],$Q$4,RawData[[Error Type ]],$Q$5))</f>
        <v/>
      </c>
    </row>
    <row r="29067" spans="15:15" x14ac:dyDescent="0.25">
      <c r="O29067" s="20" t="str">
        <f>IF(N29067="","",COUNTIFS(RawData[[Date ]],N29067,RawData[Month List],$Q$6,RawData[Tour/Site],$Q$2,RawData[[Picker ID ]],$Q$3,RawData[Checker ID],$Q$4,RawData[[Error Type ]],$Q$5))</f>
        <v/>
      </c>
    </row>
    <row r="29068" spans="15:15" x14ac:dyDescent="0.25">
      <c r="O29068" s="20" t="str">
        <f>IF(N29068="","",COUNTIFS(RawData[[Date ]],N29068,RawData[Month List],$Q$6,RawData[Tour/Site],$Q$2,RawData[[Picker ID ]],$Q$3,RawData[Checker ID],$Q$4,RawData[[Error Type ]],$Q$5))</f>
        <v/>
      </c>
    </row>
    <row r="29069" spans="15:15" x14ac:dyDescent="0.25">
      <c r="O29069" s="20" t="str">
        <f>IF(N29069="","",COUNTIFS(RawData[[Date ]],N29069,RawData[Month List],$Q$6,RawData[Tour/Site],$Q$2,RawData[[Picker ID ]],$Q$3,RawData[Checker ID],$Q$4,RawData[[Error Type ]],$Q$5))</f>
        <v/>
      </c>
    </row>
    <row r="29070" spans="15:15" x14ac:dyDescent="0.25">
      <c r="O29070" s="20" t="str">
        <f>IF(N29070="","",COUNTIFS(RawData[[Date ]],N29070,RawData[Month List],$Q$6,RawData[Tour/Site],$Q$2,RawData[[Picker ID ]],$Q$3,RawData[Checker ID],$Q$4,RawData[[Error Type ]],$Q$5))</f>
        <v/>
      </c>
    </row>
    <row r="29071" spans="15:15" x14ac:dyDescent="0.25">
      <c r="O29071" s="20" t="str">
        <f>IF(N29071="","",COUNTIFS(RawData[[Date ]],N29071,RawData[Month List],$Q$6,RawData[Tour/Site],$Q$2,RawData[[Picker ID ]],$Q$3,RawData[Checker ID],$Q$4,RawData[[Error Type ]],$Q$5))</f>
        <v/>
      </c>
    </row>
    <row r="29072" spans="15:15" x14ac:dyDescent="0.25">
      <c r="O29072" s="20" t="str">
        <f>IF(N29072="","",COUNTIFS(RawData[[Date ]],N29072,RawData[Month List],$Q$6,RawData[Tour/Site],$Q$2,RawData[[Picker ID ]],$Q$3,RawData[Checker ID],$Q$4,RawData[[Error Type ]],$Q$5))</f>
        <v/>
      </c>
    </row>
    <row r="29073" spans="15:15" x14ac:dyDescent="0.25">
      <c r="O29073" s="20" t="str">
        <f>IF(N29073="","",COUNTIFS(RawData[[Date ]],N29073,RawData[Month List],$Q$6,RawData[Tour/Site],$Q$2,RawData[[Picker ID ]],$Q$3,RawData[Checker ID],$Q$4,RawData[[Error Type ]],$Q$5))</f>
        <v/>
      </c>
    </row>
    <row r="29074" spans="15:15" x14ac:dyDescent="0.25">
      <c r="O29074" s="20" t="str">
        <f>IF(N29074="","",COUNTIFS(RawData[[Date ]],N29074,RawData[Month List],$Q$6,RawData[Tour/Site],$Q$2,RawData[[Picker ID ]],$Q$3,RawData[Checker ID],$Q$4,RawData[[Error Type ]],$Q$5))</f>
        <v/>
      </c>
    </row>
    <row r="29075" spans="15:15" x14ac:dyDescent="0.25">
      <c r="O29075" s="20" t="str">
        <f>IF(N29075="","",COUNTIFS(RawData[[Date ]],N29075,RawData[Month List],$Q$6,RawData[Tour/Site],$Q$2,RawData[[Picker ID ]],$Q$3,RawData[Checker ID],$Q$4,RawData[[Error Type ]],$Q$5))</f>
        <v/>
      </c>
    </row>
    <row r="29076" spans="15:15" x14ac:dyDescent="0.25">
      <c r="O29076" s="20" t="str">
        <f>IF(N29076="","",COUNTIFS(RawData[[Date ]],N29076,RawData[Month List],$Q$6,RawData[Tour/Site],$Q$2,RawData[[Picker ID ]],$Q$3,RawData[Checker ID],$Q$4,RawData[[Error Type ]],$Q$5))</f>
        <v/>
      </c>
    </row>
    <row r="29077" spans="15:15" x14ac:dyDescent="0.25">
      <c r="O29077" s="20" t="str">
        <f>IF(N29077="","",COUNTIFS(RawData[[Date ]],N29077,RawData[Month List],$Q$6,RawData[Tour/Site],$Q$2,RawData[[Picker ID ]],$Q$3,RawData[Checker ID],$Q$4,RawData[[Error Type ]],$Q$5))</f>
        <v/>
      </c>
    </row>
    <row r="29078" spans="15:15" x14ac:dyDescent="0.25">
      <c r="O29078" s="20" t="str">
        <f>IF(N29078="","",COUNTIFS(RawData[[Date ]],N29078,RawData[Month List],$Q$6,RawData[Tour/Site],$Q$2,RawData[[Picker ID ]],$Q$3,RawData[Checker ID],$Q$4,RawData[[Error Type ]],$Q$5))</f>
        <v/>
      </c>
    </row>
    <row r="29079" spans="15:15" x14ac:dyDescent="0.25">
      <c r="O29079" s="20" t="str">
        <f>IF(N29079="","",COUNTIFS(RawData[[Date ]],N29079,RawData[Month List],$Q$6,RawData[Tour/Site],$Q$2,RawData[[Picker ID ]],$Q$3,RawData[Checker ID],$Q$4,RawData[[Error Type ]],$Q$5))</f>
        <v/>
      </c>
    </row>
    <row r="29080" spans="15:15" x14ac:dyDescent="0.25">
      <c r="O29080" s="20" t="str">
        <f>IF(N29080="","",COUNTIFS(RawData[[Date ]],N29080,RawData[Month List],$Q$6,RawData[Tour/Site],$Q$2,RawData[[Picker ID ]],$Q$3,RawData[Checker ID],$Q$4,RawData[[Error Type ]],$Q$5))</f>
        <v/>
      </c>
    </row>
    <row r="29081" spans="15:15" x14ac:dyDescent="0.25">
      <c r="O29081" s="20" t="str">
        <f>IF(N29081="","",COUNTIFS(RawData[[Date ]],N29081,RawData[Month List],$Q$6,RawData[Tour/Site],$Q$2,RawData[[Picker ID ]],$Q$3,RawData[Checker ID],$Q$4,RawData[[Error Type ]],$Q$5))</f>
        <v/>
      </c>
    </row>
    <row r="29082" spans="15:15" x14ac:dyDescent="0.25">
      <c r="O29082" s="20" t="str">
        <f>IF(N29082="","",COUNTIFS(RawData[[Date ]],N29082,RawData[Month List],$Q$6,RawData[Tour/Site],$Q$2,RawData[[Picker ID ]],$Q$3,RawData[Checker ID],$Q$4,RawData[[Error Type ]],$Q$5))</f>
        <v/>
      </c>
    </row>
    <row r="29083" spans="15:15" x14ac:dyDescent="0.25">
      <c r="O29083" s="20" t="str">
        <f>IF(N29083="","",COUNTIFS(RawData[[Date ]],N29083,RawData[Month List],$Q$6,RawData[Tour/Site],$Q$2,RawData[[Picker ID ]],$Q$3,RawData[Checker ID],$Q$4,RawData[[Error Type ]],$Q$5))</f>
        <v/>
      </c>
    </row>
    <row r="29084" spans="15:15" x14ac:dyDescent="0.25">
      <c r="O29084" s="20" t="str">
        <f>IF(N29084="","",COUNTIFS(RawData[[Date ]],N29084,RawData[Month List],$Q$6,RawData[Tour/Site],$Q$2,RawData[[Picker ID ]],$Q$3,RawData[Checker ID],$Q$4,RawData[[Error Type ]],$Q$5))</f>
        <v/>
      </c>
    </row>
    <row r="29085" spans="15:15" x14ac:dyDescent="0.25">
      <c r="O29085" s="20" t="str">
        <f>IF(N29085="","",COUNTIFS(RawData[[Date ]],N29085,RawData[Month List],$Q$6,RawData[Tour/Site],$Q$2,RawData[[Picker ID ]],$Q$3,RawData[Checker ID],$Q$4,RawData[[Error Type ]],$Q$5))</f>
        <v/>
      </c>
    </row>
    <row r="29086" spans="15:15" x14ac:dyDescent="0.25">
      <c r="O29086" s="20" t="str">
        <f>IF(N29086="","",COUNTIFS(RawData[[Date ]],N29086,RawData[Month List],$Q$6,RawData[Tour/Site],$Q$2,RawData[[Picker ID ]],$Q$3,RawData[Checker ID],$Q$4,RawData[[Error Type ]],$Q$5))</f>
        <v/>
      </c>
    </row>
    <row r="29087" spans="15:15" x14ac:dyDescent="0.25">
      <c r="O29087" s="20" t="str">
        <f>IF(N29087="","",COUNTIFS(RawData[[Date ]],N29087,RawData[Month List],$Q$6,RawData[Tour/Site],$Q$2,RawData[[Picker ID ]],$Q$3,RawData[Checker ID],$Q$4,RawData[[Error Type ]],$Q$5))</f>
        <v/>
      </c>
    </row>
    <row r="29088" spans="15:15" x14ac:dyDescent="0.25">
      <c r="O29088" s="20" t="str">
        <f>IF(N29088="","",COUNTIFS(RawData[[Date ]],N29088,RawData[Month List],$Q$6,RawData[Tour/Site],$Q$2,RawData[[Picker ID ]],$Q$3,RawData[Checker ID],$Q$4,RawData[[Error Type ]],$Q$5))</f>
        <v/>
      </c>
    </row>
    <row r="29089" spans="15:15" x14ac:dyDescent="0.25">
      <c r="O29089" s="20" t="str">
        <f>IF(N29089="","",COUNTIFS(RawData[[Date ]],N29089,RawData[Month List],$Q$6,RawData[Tour/Site],$Q$2,RawData[[Picker ID ]],$Q$3,RawData[Checker ID],$Q$4,RawData[[Error Type ]],$Q$5))</f>
        <v/>
      </c>
    </row>
    <row r="29090" spans="15:15" x14ac:dyDescent="0.25">
      <c r="O29090" s="20" t="str">
        <f>IF(N29090="","",COUNTIFS(RawData[[Date ]],N29090,RawData[Month List],$Q$6,RawData[Tour/Site],$Q$2,RawData[[Picker ID ]],$Q$3,RawData[Checker ID],$Q$4,RawData[[Error Type ]],$Q$5))</f>
        <v/>
      </c>
    </row>
    <row r="29091" spans="15:15" x14ac:dyDescent="0.25">
      <c r="O29091" s="20" t="str">
        <f>IF(N29091="","",COUNTIFS(RawData[[Date ]],N29091,RawData[Month List],$Q$6,RawData[Tour/Site],$Q$2,RawData[[Picker ID ]],$Q$3,RawData[Checker ID],$Q$4,RawData[[Error Type ]],$Q$5))</f>
        <v/>
      </c>
    </row>
    <row r="29092" spans="15:15" x14ac:dyDescent="0.25">
      <c r="O29092" s="20" t="str">
        <f>IF(N29092="","",COUNTIFS(RawData[[Date ]],N29092,RawData[Month List],$Q$6,RawData[Tour/Site],$Q$2,RawData[[Picker ID ]],$Q$3,RawData[Checker ID],$Q$4,RawData[[Error Type ]],$Q$5))</f>
        <v/>
      </c>
    </row>
    <row r="29093" spans="15:15" x14ac:dyDescent="0.25">
      <c r="O29093" s="20" t="str">
        <f>IF(N29093="","",COUNTIFS(RawData[[Date ]],N29093,RawData[Month List],$Q$6,RawData[Tour/Site],$Q$2,RawData[[Picker ID ]],$Q$3,RawData[Checker ID],$Q$4,RawData[[Error Type ]],$Q$5))</f>
        <v/>
      </c>
    </row>
    <row r="29094" spans="15:15" x14ac:dyDescent="0.25">
      <c r="O29094" s="20" t="str">
        <f>IF(N29094="","",COUNTIFS(RawData[[Date ]],N29094,RawData[Month List],$Q$6,RawData[Tour/Site],$Q$2,RawData[[Picker ID ]],$Q$3,RawData[Checker ID],$Q$4,RawData[[Error Type ]],$Q$5))</f>
        <v/>
      </c>
    </row>
    <row r="29095" spans="15:15" x14ac:dyDescent="0.25">
      <c r="O29095" s="20" t="str">
        <f>IF(N29095="","",COUNTIFS(RawData[[Date ]],N29095,RawData[Month List],$Q$6,RawData[Tour/Site],$Q$2,RawData[[Picker ID ]],$Q$3,RawData[Checker ID],$Q$4,RawData[[Error Type ]],$Q$5))</f>
        <v/>
      </c>
    </row>
    <row r="29096" spans="15:15" x14ac:dyDescent="0.25">
      <c r="O29096" s="20" t="str">
        <f>IF(N29096="","",COUNTIFS(RawData[[Date ]],N29096,RawData[Month List],$Q$6,RawData[Tour/Site],$Q$2,RawData[[Picker ID ]],$Q$3,RawData[Checker ID],$Q$4,RawData[[Error Type ]],$Q$5))</f>
        <v/>
      </c>
    </row>
    <row r="29097" spans="15:15" x14ac:dyDescent="0.25">
      <c r="O29097" s="20" t="str">
        <f>IF(N29097="","",COUNTIFS(RawData[[Date ]],N29097,RawData[Month List],$Q$6,RawData[Tour/Site],$Q$2,RawData[[Picker ID ]],$Q$3,RawData[Checker ID],$Q$4,RawData[[Error Type ]],$Q$5))</f>
        <v/>
      </c>
    </row>
    <row r="29098" spans="15:15" x14ac:dyDescent="0.25">
      <c r="O29098" s="20" t="str">
        <f>IF(N29098="","",COUNTIFS(RawData[[Date ]],N29098,RawData[Month List],$Q$6,RawData[Tour/Site],$Q$2,RawData[[Picker ID ]],$Q$3,RawData[Checker ID],$Q$4,RawData[[Error Type ]],$Q$5))</f>
        <v/>
      </c>
    </row>
    <row r="29099" spans="15:15" x14ac:dyDescent="0.25">
      <c r="O29099" s="20" t="str">
        <f>IF(N29099="","",COUNTIFS(RawData[[Date ]],N29099,RawData[Month List],$Q$6,RawData[Tour/Site],$Q$2,RawData[[Picker ID ]],$Q$3,RawData[Checker ID],$Q$4,RawData[[Error Type ]],$Q$5))</f>
        <v/>
      </c>
    </row>
    <row r="29100" spans="15:15" x14ac:dyDescent="0.25">
      <c r="O29100" s="20" t="str">
        <f>IF(N29100="","",COUNTIFS(RawData[[Date ]],N29100,RawData[Month List],$Q$6,RawData[Tour/Site],$Q$2,RawData[[Picker ID ]],$Q$3,RawData[Checker ID],$Q$4,RawData[[Error Type ]],$Q$5))</f>
        <v/>
      </c>
    </row>
    <row r="29101" spans="15:15" x14ac:dyDescent="0.25">
      <c r="O29101" s="20" t="str">
        <f>IF(N29101="","",COUNTIFS(RawData[[Date ]],N29101,RawData[Month List],$Q$6,RawData[Tour/Site],$Q$2,RawData[[Picker ID ]],$Q$3,RawData[Checker ID],$Q$4,RawData[[Error Type ]],$Q$5))</f>
        <v/>
      </c>
    </row>
    <row r="29102" spans="15:15" x14ac:dyDescent="0.25">
      <c r="O29102" s="20" t="str">
        <f>IF(N29102="","",COUNTIFS(RawData[[Date ]],N29102,RawData[Month List],$Q$6,RawData[Tour/Site],$Q$2,RawData[[Picker ID ]],$Q$3,RawData[Checker ID],$Q$4,RawData[[Error Type ]],$Q$5))</f>
        <v/>
      </c>
    </row>
    <row r="29103" spans="15:15" x14ac:dyDescent="0.25">
      <c r="O29103" s="20" t="str">
        <f>IF(N29103="","",COUNTIFS(RawData[[Date ]],N29103,RawData[Month List],$Q$6,RawData[Tour/Site],$Q$2,RawData[[Picker ID ]],$Q$3,RawData[Checker ID],$Q$4,RawData[[Error Type ]],$Q$5))</f>
        <v/>
      </c>
    </row>
    <row r="29104" spans="15:15" x14ac:dyDescent="0.25">
      <c r="O29104" s="20" t="str">
        <f>IF(N29104="","",COUNTIFS(RawData[[Date ]],N29104,RawData[Month List],$Q$6,RawData[Tour/Site],$Q$2,RawData[[Picker ID ]],$Q$3,RawData[Checker ID],$Q$4,RawData[[Error Type ]],$Q$5))</f>
        <v/>
      </c>
    </row>
    <row r="29105" spans="15:15" x14ac:dyDescent="0.25">
      <c r="O29105" s="20" t="str">
        <f>IF(N29105="","",COUNTIFS(RawData[[Date ]],N29105,RawData[Month List],$Q$6,RawData[Tour/Site],$Q$2,RawData[[Picker ID ]],$Q$3,RawData[Checker ID],$Q$4,RawData[[Error Type ]],$Q$5))</f>
        <v/>
      </c>
    </row>
    <row r="29106" spans="15:15" x14ac:dyDescent="0.25">
      <c r="O29106" s="20" t="str">
        <f>IF(N29106="","",COUNTIFS(RawData[[Date ]],N29106,RawData[Month List],$Q$6,RawData[Tour/Site],$Q$2,RawData[[Picker ID ]],$Q$3,RawData[Checker ID],$Q$4,RawData[[Error Type ]],$Q$5))</f>
        <v/>
      </c>
    </row>
    <row r="29107" spans="15:15" x14ac:dyDescent="0.25">
      <c r="O29107" s="20" t="str">
        <f>IF(N29107="","",COUNTIFS(RawData[[Date ]],N29107,RawData[Month List],$Q$6,RawData[Tour/Site],$Q$2,RawData[[Picker ID ]],$Q$3,RawData[Checker ID],$Q$4,RawData[[Error Type ]],$Q$5))</f>
        <v/>
      </c>
    </row>
    <row r="29108" spans="15:15" x14ac:dyDescent="0.25">
      <c r="O29108" s="20" t="str">
        <f>IF(N29108="","",COUNTIFS(RawData[[Date ]],N29108,RawData[Month List],$Q$6,RawData[Tour/Site],$Q$2,RawData[[Picker ID ]],$Q$3,RawData[Checker ID],$Q$4,RawData[[Error Type ]],$Q$5))</f>
        <v/>
      </c>
    </row>
    <row r="29109" spans="15:15" x14ac:dyDescent="0.25">
      <c r="O29109" s="20" t="str">
        <f>IF(N29109="","",COUNTIFS(RawData[[Date ]],N29109,RawData[Month List],$Q$6,RawData[Tour/Site],$Q$2,RawData[[Picker ID ]],$Q$3,RawData[Checker ID],$Q$4,RawData[[Error Type ]],$Q$5))</f>
        <v/>
      </c>
    </row>
    <row r="29110" spans="15:15" x14ac:dyDescent="0.25">
      <c r="O29110" s="20" t="str">
        <f>IF(N29110="","",COUNTIFS(RawData[[Date ]],N29110,RawData[Month List],$Q$6,RawData[Tour/Site],$Q$2,RawData[[Picker ID ]],$Q$3,RawData[Checker ID],$Q$4,RawData[[Error Type ]],$Q$5))</f>
        <v/>
      </c>
    </row>
    <row r="29111" spans="15:15" x14ac:dyDescent="0.25">
      <c r="O29111" s="20" t="str">
        <f>IF(N29111="","",COUNTIFS(RawData[[Date ]],N29111,RawData[Month List],$Q$6,RawData[Tour/Site],$Q$2,RawData[[Picker ID ]],$Q$3,RawData[Checker ID],$Q$4,RawData[[Error Type ]],$Q$5))</f>
        <v/>
      </c>
    </row>
    <row r="29112" spans="15:15" x14ac:dyDescent="0.25">
      <c r="O29112" s="20" t="str">
        <f>IF(N29112="","",COUNTIFS(RawData[[Date ]],N29112,RawData[Month List],$Q$6,RawData[Tour/Site],$Q$2,RawData[[Picker ID ]],$Q$3,RawData[Checker ID],$Q$4,RawData[[Error Type ]],$Q$5))</f>
        <v/>
      </c>
    </row>
    <row r="29113" spans="15:15" x14ac:dyDescent="0.25">
      <c r="O29113" s="20" t="str">
        <f>IF(N29113="","",COUNTIFS(RawData[[Date ]],N29113,RawData[Month List],$Q$6,RawData[Tour/Site],$Q$2,RawData[[Picker ID ]],$Q$3,RawData[Checker ID],$Q$4,RawData[[Error Type ]],$Q$5))</f>
        <v/>
      </c>
    </row>
    <row r="29114" spans="15:15" x14ac:dyDescent="0.25">
      <c r="O29114" s="20" t="str">
        <f>IF(N29114="","",COUNTIFS(RawData[[Date ]],N29114,RawData[Month List],$Q$6,RawData[Tour/Site],$Q$2,RawData[[Picker ID ]],$Q$3,RawData[Checker ID],$Q$4,RawData[[Error Type ]],$Q$5))</f>
        <v/>
      </c>
    </row>
    <row r="29115" spans="15:15" x14ac:dyDescent="0.25">
      <c r="O29115" s="20" t="str">
        <f>IF(N29115="","",COUNTIFS(RawData[[Date ]],N29115,RawData[Month List],$Q$6,RawData[Tour/Site],$Q$2,RawData[[Picker ID ]],$Q$3,RawData[Checker ID],$Q$4,RawData[[Error Type ]],$Q$5))</f>
        <v/>
      </c>
    </row>
    <row r="29116" spans="15:15" x14ac:dyDescent="0.25">
      <c r="O29116" s="20" t="str">
        <f>IF(N29116="","",COUNTIFS(RawData[[Date ]],N29116,RawData[Month List],$Q$6,RawData[Tour/Site],$Q$2,RawData[[Picker ID ]],$Q$3,RawData[Checker ID],$Q$4,RawData[[Error Type ]],$Q$5))</f>
        <v/>
      </c>
    </row>
    <row r="29117" spans="15:15" x14ac:dyDescent="0.25">
      <c r="O29117" s="20" t="str">
        <f>IF(N29117="","",COUNTIFS(RawData[[Date ]],N29117,RawData[Month List],$Q$6,RawData[Tour/Site],$Q$2,RawData[[Picker ID ]],$Q$3,RawData[Checker ID],$Q$4,RawData[[Error Type ]],$Q$5))</f>
        <v/>
      </c>
    </row>
    <row r="29118" spans="15:15" x14ac:dyDescent="0.25">
      <c r="O29118" s="20" t="str">
        <f>IF(N29118="","",COUNTIFS(RawData[[Date ]],N29118,RawData[Month List],$Q$6,RawData[Tour/Site],$Q$2,RawData[[Picker ID ]],$Q$3,RawData[Checker ID],$Q$4,RawData[[Error Type ]],$Q$5))</f>
        <v/>
      </c>
    </row>
    <row r="29119" spans="15:15" x14ac:dyDescent="0.25">
      <c r="O29119" s="20" t="str">
        <f>IF(N29119="","",COUNTIFS(RawData[[Date ]],N29119,RawData[Month List],$Q$6,RawData[Tour/Site],$Q$2,RawData[[Picker ID ]],$Q$3,RawData[Checker ID],$Q$4,RawData[[Error Type ]],$Q$5))</f>
        <v/>
      </c>
    </row>
    <row r="29120" spans="15:15" x14ac:dyDescent="0.25">
      <c r="O29120" s="20" t="str">
        <f>IF(N29120="","",COUNTIFS(RawData[[Date ]],N29120,RawData[Month List],$Q$6,RawData[Tour/Site],$Q$2,RawData[[Picker ID ]],$Q$3,RawData[Checker ID],$Q$4,RawData[[Error Type ]],$Q$5))</f>
        <v/>
      </c>
    </row>
    <row r="29121" spans="15:15" x14ac:dyDescent="0.25">
      <c r="O29121" s="20" t="str">
        <f>IF(N29121="","",COUNTIFS(RawData[[Date ]],N29121,RawData[Month List],$Q$6,RawData[Tour/Site],$Q$2,RawData[[Picker ID ]],$Q$3,RawData[Checker ID],$Q$4,RawData[[Error Type ]],$Q$5))</f>
        <v/>
      </c>
    </row>
    <row r="29122" spans="15:15" x14ac:dyDescent="0.25">
      <c r="O29122" s="20" t="str">
        <f>IF(N29122="","",COUNTIFS(RawData[[Date ]],N29122,RawData[Month List],$Q$6,RawData[Tour/Site],$Q$2,RawData[[Picker ID ]],$Q$3,RawData[Checker ID],$Q$4,RawData[[Error Type ]],$Q$5))</f>
        <v/>
      </c>
    </row>
    <row r="29123" spans="15:15" x14ac:dyDescent="0.25">
      <c r="O29123" s="20" t="str">
        <f>IF(N29123="","",COUNTIFS(RawData[[Date ]],N29123,RawData[Month List],$Q$6,RawData[Tour/Site],$Q$2,RawData[[Picker ID ]],$Q$3,RawData[Checker ID],$Q$4,RawData[[Error Type ]],$Q$5))</f>
        <v/>
      </c>
    </row>
    <row r="29124" spans="15:15" x14ac:dyDescent="0.25">
      <c r="O29124" s="20" t="str">
        <f>IF(N29124="","",COUNTIFS(RawData[[Date ]],N29124,RawData[Month List],$Q$6,RawData[Tour/Site],$Q$2,RawData[[Picker ID ]],$Q$3,RawData[Checker ID],$Q$4,RawData[[Error Type ]],$Q$5))</f>
        <v/>
      </c>
    </row>
    <row r="29125" spans="15:15" x14ac:dyDescent="0.25">
      <c r="O29125" s="20" t="str">
        <f>IF(N29125="","",COUNTIFS(RawData[[Date ]],N29125,RawData[Month List],$Q$6,RawData[Tour/Site],$Q$2,RawData[[Picker ID ]],$Q$3,RawData[Checker ID],$Q$4,RawData[[Error Type ]],$Q$5))</f>
        <v/>
      </c>
    </row>
    <row r="29126" spans="15:15" x14ac:dyDescent="0.25">
      <c r="O29126" s="20" t="str">
        <f>IF(N29126="","",COUNTIFS(RawData[[Date ]],N29126,RawData[Month List],$Q$6,RawData[Tour/Site],$Q$2,RawData[[Picker ID ]],$Q$3,RawData[Checker ID],$Q$4,RawData[[Error Type ]],$Q$5))</f>
        <v/>
      </c>
    </row>
    <row r="29127" spans="15:15" x14ac:dyDescent="0.25">
      <c r="O29127" s="20" t="str">
        <f>IF(N29127="","",COUNTIFS(RawData[[Date ]],N29127,RawData[Month List],$Q$6,RawData[Tour/Site],$Q$2,RawData[[Picker ID ]],$Q$3,RawData[Checker ID],$Q$4,RawData[[Error Type ]],$Q$5))</f>
        <v/>
      </c>
    </row>
    <row r="29128" spans="15:15" x14ac:dyDescent="0.25">
      <c r="O29128" s="20" t="str">
        <f>IF(N29128="","",COUNTIFS(RawData[[Date ]],N29128,RawData[Month List],$Q$6,RawData[Tour/Site],$Q$2,RawData[[Picker ID ]],$Q$3,RawData[Checker ID],$Q$4,RawData[[Error Type ]],$Q$5))</f>
        <v/>
      </c>
    </row>
    <row r="29129" spans="15:15" x14ac:dyDescent="0.25">
      <c r="O29129" s="20" t="str">
        <f>IF(N29129="","",COUNTIFS(RawData[[Date ]],N29129,RawData[Month List],$Q$6,RawData[Tour/Site],$Q$2,RawData[[Picker ID ]],$Q$3,RawData[Checker ID],$Q$4,RawData[[Error Type ]],$Q$5))</f>
        <v/>
      </c>
    </row>
    <row r="29130" spans="15:15" x14ac:dyDescent="0.25">
      <c r="O29130" s="20" t="str">
        <f>IF(N29130="","",COUNTIFS(RawData[[Date ]],N29130,RawData[Month List],$Q$6,RawData[Tour/Site],$Q$2,RawData[[Picker ID ]],$Q$3,RawData[Checker ID],$Q$4,RawData[[Error Type ]],$Q$5))</f>
        <v/>
      </c>
    </row>
    <row r="29131" spans="15:15" x14ac:dyDescent="0.25">
      <c r="O29131" s="20" t="str">
        <f>IF(N29131="","",COUNTIFS(RawData[[Date ]],N29131,RawData[Month List],$Q$6,RawData[Tour/Site],$Q$2,RawData[[Picker ID ]],$Q$3,RawData[Checker ID],$Q$4,RawData[[Error Type ]],$Q$5))</f>
        <v/>
      </c>
    </row>
    <row r="29132" spans="15:15" x14ac:dyDescent="0.25">
      <c r="O29132" s="20" t="str">
        <f>IF(N29132="","",COUNTIFS(RawData[[Date ]],N29132,RawData[Month List],$Q$6,RawData[Tour/Site],$Q$2,RawData[[Picker ID ]],$Q$3,RawData[Checker ID],$Q$4,RawData[[Error Type ]],$Q$5))</f>
        <v/>
      </c>
    </row>
    <row r="29133" spans="15:15" x14ac:dyDescent="0.25">
      <c r="O29133" s="20" t="str">
        <f>IF(N29133="","",COUNTIFS(RawData[[Date ]],N29133,RawData[Month List],$Q$6,RawData[Tour/Site],$Q$2,RawData[[Picker ID ]],$Q$3,RawData[Checker ID],$Q$4,RawData[[Error Type ]],$Q$5))</f>
        <v/>
      </c>
    </row>
    <row r="29134" spans="15:15" x14ac:dyDescent="0.25">
      <c r="O29134" s="20" t="str">
        <f>IF(N29134="","",COUNTIFS(RawData[[Date ]],N29134,RawData[Month List],$Q$6,RawData[Tour/Site],$Q$2,RawData[[Picker ID ]],$Q$3,RawData[Checker ID],$Q$4,RawData[[Error Type ]],$Q$5))</f>
        <v/>
      </c>
    </row>
    <row r="29135" spans="15:15" x14ac:dyDescent="0.25">
      <c r="O29135" s="20" t="str">
        <f>IF(N29135="","",COUNTIFS(RawData[[Date ]],N29135,RawData[Month List],$Q$6,RawData[Tour/Site],$Q$2,RawData[[Picker ID ]],$Q$3,RawData[Checker ID],$Q$4,RawData[[Error Type ]],$Q$5))</f>
        <v/>
      </c>
    </row>
    <row r="29136" spans="15:15" x14ac:dyDescent="0.25">
      <c r="O29136" s="20" t="str">
        <f>IF(N29136="","",COUNTIFS(RawData[[Date ]],N29136,RawData[Month List],$Q$6,RawData[Tour/Site],$Q$2,RawData[[Picker ID ]],$Q$3,RawData[Checker ID],$Q$4,RawData[[Error Type ]],$Q$5))</f>
        <v/>
      </c>
    </row>
    <row r="29137" spans="15:15" x14ac:dyDescent="0.25">
      <c r="O29137" s="20" t="str">
        <f>IF(N29137="","",COUNTIFS(RawData[[Date ]],N29137,RawData[Month List],$Q$6,RawData[Tour/Site],$Q$2,RawData[[Picker ID ]],$Q$3,RawData[Checker ID],$Q$4,RawData[[Error Type ]],$Q$5))</f>
        <v/>
      </c>
    </row>
    <row r="29138" spans="15:15" x14ac:dyDescent="0.25">
      <c r="O29138" s="20" t="str">
        <f>IF(N29138="","",COUNTIFS(RawData[[Date ]],N29138,RawData[Month List],$Q$6,RawData[Tour/Site],$Q$2,RawData[[Picker ID ]],$Q$3,RawData[Checker ID],$Q$4,RawData[[Error Type ]],$Q$5))</f>
        <v/>
      </c>
    </row>
    <row r="29139" spans="15:15" x14ac:dyDescent="0.25">
      <c r="O29139" s="20" t="str">
        <f>IF(N29139="","",COUNTIFS(RawData[[Date ]],N29139,RawData[Month List],$Q$6,RawData[Tour/Site],$Q$2,RawData[[Picker ID ]],$Q$3,RawData[Checker ID],$Q$4,RawData[[Error Type ]],$Q$5))</f>
        <v/>
      </c>
    </row>
    <row r="29140" spans="15:15" x14ac:dyDescent="0.25">
      <c r="O29140" s="20" t="str">
        <f>IF(N29140="","",COUNTIFS(RawData[[Date ]],N29140,RawData[Month List],$Q$6,RawData[Tour/Site],$Q$2,RawData[[Picker ID ]],$Q$3,RawData[Checker ID],$Q$4,RawData[[Error Type ]],$Q$5))</f>
        <v/>
      </c>
    </row>
    <row r="29141" spans="15:15" x14ac:dyDescent="0.25">
      <c r="O29141" s="20" t="str">
        <f>IF(N29141="","",COUNTIFS(RawData[[Date ]],N29141,RawData[Month List],$Q$6,RawData[Tour/Site],$Q$2,RawData[[Picker ID ]],$Q$3,RawData[Checker ID],$Q$4,RawData[[Error Type ]],$Q$5))</f>
        <v/>
      </c>
    </row>
    <row r="29142" spans="15:15" x14ac:dyDescent="0.25">
      <c r="O29142" s="20" t="str">
        <f>IF(N29142="","",COUNTIFS(RawData[[Date ]],N29142,RawData[Month List],$Q$6,RawData[Tour/Site],$Q$2,RawData[[Picker ID ]],$Q$3,RawData[Checker ID],$Q$4,RawData[[Error Type ]],$Q$5))</f>
        <v/>
      </c>
    </row>
    <row r="29143" spans="15:15" x14ac:dyDescent="0.25">
      <c r="O29143" s="20" t="str">
        <f>IF(N29143="","",COUNTIFS(RawData[[Date ]],N29143,RawData[Month List],$Q$6,RawData[Tour/Site],$Q$2,RawData[[Picker ID ]],$Q$3,RawData[Checker ID],$Q$4,RawData[[Error Type ]],$Q$5))</f>
        <v/>
      </c>
    </row>
    <row r="29144" spans="15:15" x14ac:dyDescent="0.25">
      <c r="O29144" s="20" t="str">
        <f>IF(N29144="","",COUNTIFS(RawData[[Date ]],N29144,RawData[Month List],$Q$6,RawData[Tour/Site],$Q$2,RawData[[Picker ID ]],$Q$3,RawData[Checker ID],$Q$4,RawData[[Error Type ]],$Q$5))</f>
        <v/>
      </c>
    </row>
    <row r="29145" spans="15:15" x14ac:dyDescent="0.25">
      <c r="O29145" s="20" t="str">
        <f>IF(N29145="","",COUNTIFS(RawData[[Date ]],N29145,RawData[Month List],$Q$6,RawData[Tour/Site],$Q$2,RawData[[Picker ID ]],$Q$3,RawData[Checker ID],$Q$4,RawData[[Error Type ]],$Q$5))</f>
        <v/>
      </c>
    </row>
    <row r="29146" spans="15:15" x14ac:dyDescent="0.25">
      <c r="O29146" s="20" t="str">
        <f>IF(N29146="","",COUNTIFS(RawData[[Date ]],N29146,RawData[Month List],$Q$6,RawData[Tour/Site],$Q$2,RawData[[Picker ID ]],$Q$3,RawData[Checker ID],$Q$4,RawData[[Error Type ]],$Q$5))</f>
        <v/>
      </c>
    </row>
    <row r="29147" spans="15:15" x14ac:dyDescent="0.25">
      <c r="O29147" s="20" t="str">
        <f>IF(N29147="","",COUNTIFS(RawData[[Date ]],N29147,RawData[Month List],$Q$6,RawData[Tour/Site],$Q$2,RawData[[Picker ID ]],$Q$3,RawData[Checker ID],$Q$4,RawData[[Error Type ]],$Q$5))</f>
        <v/>
      </c>
    </row>
    <row r="29148" spans="15:15" x14ac:dyDescent="0.25">
      <c r="O29148" s="20" t="str">
        <f>IF(N29148="","",COUNTIFS(RawData[[Date ]],N29148,RawData[Month List],$Q$6,RawData[Tour/Site],$Q$2,RawData[[Picker ID ]],$Q$3,RawData[Checker ID],$Q$4,RawData[[Error Type ]],$Q$5))</f>
        <v/>
      </c>
    </row>
    <row r="29149" spans="15:15" x14ac:dyDescent="0.25">
      <c r="O29149" s="20" t="str">
        <f>IF(N29149="","",COUNTIFS(RawData[[Date ]],N29149,RawData[Month List],$Q$6,RawData[Tour/Site],$Q$2,RawData[[Picker ID ]],$Q$3,RawData[Checker ID],$Q$4,RawData[[Error Type ]],$Q$5))</f>
        <v/>
      </c>
    </row>
    <row r="29150" spans="15:15" x14ac:dyDescent="0.25">
      <c r="O29150" s="20" t="str">
        <f>IF(N29150="","",COUNTIFS(RawData[[Date ]],N29150,RawData[Month List],$Q$6,RawData[Tour/Site],$Q$2,RawData[[Picker ID ]],$Q$3,RawData[Checker ID],$Q$4,RawData[[Error Type ]],$Q$5))</f>
        <v/>
      </c>
    </row>
    <row r="29151" spans="15:15" x14ac:dyDescent="0.25">
      <c r="O29151" s="20" t="str">
        <f>IF(N29151="","",COUNTIFS(RawData[[Date ]],N29151,RawData[Month List],$Q$6,RawData[Tour/Site],$Q$2,RawData[[Picker ID ]],$Q$3,RawData[Checker ID],$Q$4,RawData[[Error Type ]],$Q$5))</f>
        <v/>
      </c>
    </row>
    <row r="29152" spans="15:15" x14ac:dyDescent="0.25">
      <c r="O29152" s="20" t="str">
        <f>IF(N29152="","",COUNTIFS(RawData[[Date ]],N29152,RawData[Month List],$Q$6,RawData[Tour/Site],$Q$2,RawData[[Picker ID ]],$Q$3,RawData[Checker ID],$Q$4,RawData[[Error Type ]],$Q$5))</f>
        <v/>
      </c>
    </row>
    <row r="29153" spans="15:15" x14ac:dyDescent="0.25">
      <c r="O29153" s="20" t="str">
        <f>IF(N29153="","",COUNTIFS(RawData[[Date ]],N29153,RawData[Month List],$Q$6,RawData[Tour/Site],$Q$2,RawData[[Picker ID ]],$Q$3,RawData[Checker ID],$Q$4,RawData[[Error Type ]],$Q$5))</f>
        <v/>
      </c>
    </row>
    <row r="29154" spans="15:15" x14ac:dyDescent="0.25">
      <c r="O29154" s="20" t="str">
        <f>IF(N29154="","",COUNTIFS(RawData[[Date ]],N29154,RawData[Month List],$Q$6,RawData[Tour/Site],$Q$2,RawData[[Picker ID ]],$Q$3,RawData[Checker ID],$Q$4,RawData[[Error Type ]],$Q$5))</f>
        <v/>
      </c>
    </row>
    <row r="29155" spans="15:15" x14ac:dyDescent="0.25">
      <c r="O29155" s="20" t="str">
        <f>IF(N29155="","",COUNTIFS(RawData[[Date ]],N29155,RawData[Month List],$Q$6,RawData[Tour/Site],$Q$2,RawData[[Picker ID ]],$Q$3,RawData[Checker ID],$Q$4,RawData[[Error Type ]],$Q$5))</f>
        <v/>
      </c>
    </row>
    <row r="29156" spans="15:15" x14ac:dyDescent="0.25">
      <c r="O29156" s="20" t="str">
        <f>IF(N29156="","",COUNTIFS(RawData[[Date ]],N29156,RawData[Month List],$Q$6,RawData[Tour/Site],$Q$2,RawData[[Picker ID ]],$Q$3,RawData[Checker ID],$Q$4,RawData[[Error Type ]],$Q$5))</f>
        <v/>
      </c>
    </row>
    <row r="29157" spans="15:15" x14ac:dyDescent="0.25">
      <c r="O29157" s="20" t="str">
        <f>IF(N29157="","",COUNTIFS(RawData[[Date ]],N29157,RawData[Month List],$Q$6,RawData[Tour/Site],$Q$2,RawData[[Picker ID ]],$Q$3,RawData[Checker ID],$Q$4,RawData[[Error Type ]],$Q$5))</f>
        <v/>
      </c>
    </row>
    <row r="29158" spans="15:15" x14ac:dyDescent="0.25">
      <c r="O29158" s="20" t="str">
        <f>IF(N29158="","",COUNTIFS(RawData[[Date ]],N29158,RawData[Month List],$Q$6,RawData[Tour/Site],$Q$2,RawData[[Picker ID ]],$Q$3,RawData[Checker ID],$Q$4,RawData[[Error Type ]],$Q$5))</f>
        <v/>
      </c>
    </row>
    <row r="29159" spans="15:15" x14ac:dyDescent="0.25">
      <c r="O29159" s="20" t="str">
        <f>IF(N29159="","",COUNTIFS(RawData[[Date ]],N29159,RawData[Month List],$Q$6,RawData[Tour/Site],$Q$2,RawData[[Picker ID ]],$Q$3,RawData[Checker ID],$Q$4,RawData[[Error Type ]],$Q$5))</f>
        <v/>
      </c>
    </row>
    <row r="29160" spans="15:15" x14ac:dyDescent="0.25">
      <c r="O29160" s="20" t="str">
        <f>IF(N29160="","",COUNTIFS(RawData[[Date ]],N29160,RawData[Month List],$Q$6,RawData[Tour/Site],$Q$2,RawData[[Picker ID ]],$Q$3,RawData[Checker ID],$Q$4,RawData[[Error Type ]],$Q$5))</f>
        <v/>
      </c>
    </row>
    <row r="29161" spans="15:15" x14ac:dyDescent="0.25">
      <c r="O29161" s="20" t="str">
        <f>IF(N29161="","",COUNTIFS(RawData[[Date ]],N29161,RawData[Month List],$Q$6,RawData[Tour/Site],$Q$2,RawData[[Picker ID ]],$Q$3,RawData[Checker ID],$Q$4,RawData[[Error Type ]],$Q$5))</f>
        <v/>
      </c>
    </row>
    <row r="29162" spans="15:15" x14ac:dyDescent="0.25">
      <c r="O29162" s="20" t="str">
        <f>IF(N29162="","",COUNTIFS(RawData[[Date ]],N29162,RawData[Month List],$Q$6,RawData[Tour/Site],$Q$2,RawData[[Picker ID ]],$Q$3,RawData[Checker ID],$Q$4,RawData[[Error Type ]],$Q$5))</f>
        <v/>
      </c>
    </row>
    <row r="29163" spans="15:15" x14ac:dyDescent="0.25">
      <c r="O29163" s="20" t="str">
        <f>IF(N29163="","",COUNTIFS(RawData[[Date ]],N29163,RawData[Month List],$Q$6,RawData[Tour/Site],$Q$2,RawData[[Picker ID ]],$Q$3,RawData[Checker ID],$Q$4,RawData[[Error Type ]],$Q$5))</f>
        <v/>
      </c>
    </row>
    <row r="29164" spans="15:15" x14ac:dyDescent="0.25">
      <c r="O29164" s="20" t="str">
        <f>IF(N29164="","",COUNTIFS(RawData[[Date ]],N29164,RawData[Month List],$Q$6,RawData[Tour/Site],$Q$2,RawData[[Picker ID ]],$Q$3,RawData[Checker ID],$Q$4,RawData[[Error Type ]],$Q$5))</f>
        <v/>
      </c>
    </row>
    <row r="29165" spans="15:15" x14ac:dyDescent="0.25">
      <c r="O29165" s="20" t="str">
        <f>IF(N29165="","",COUNTIFS(RawData[[Date ]],N29165,RawData[Month List],$Q$6,RawData[Tour/Site],$Q$2,RawData[[Picker ID ]],$Q$3,RawData[Checker ID],$Q$4,RawData[[Error Type ]],$Q$5))</f>
        <v/>
      </c>
    </row>
    <row r="29166" spans="15:15" x14ac:dyDescent="0.25">
      <c r="O29166" s="20" t="str">
        <f>IF(N29166="","",COUNTIFS(RawData[[Date ]],N29166,RawData[Month List],$Q$6,RawData[Tour/Site],$Q$2,RawData[[Picker ID ]],$Q$3,RawData[Checker ID],$Q$4,RawData[[Error Type ]],$Q$5))</f>
        <v/>
      </c>
    </row>
    <row r="29167" spans="15:15" x14ac:dyDescent="0.25">
      <c r="O29167" s="20" t="str">
        <f>IF(N29167="","",COUNTIFS(RawData[[Date ]],N29167,RawData[Month List],$Q$6,RawData[Tour/Site],$Q$2,RawData[[Picker ID ]],$Q$3,RawData[Checker ID],$Q$4,RawData[[Error Type ]],$Q$5))</f>
        <v/>
      </c>
    </row>
    <row r="29168" spans="15:15" x14ac:dyDescent="0.25">
      <c r="O29168" s="20" t="str">
        <f>IF(N29168="","",COUNTIFS(RawData[[Date ]],N29168,RawData[Month List],$Q$6,RawData[Tour/Site],$Q$2,RawData[[Picker ID ]],$Q$3,RawData[Checker ID],$Q$4,RawData[[Error Type ]],$Q$5))</f>
        <v/>
      </c>
    </row>
    <row r="29169" spans="15:15" x14ac:dyDescent="0.25">
      <c r="O29169" s="20" t="str">
        <f>IF(N29169="","",COUNTIFS(RawData[[Date ]],N29169,RawData[Month List],$Q$6,RawData[Tour/Site],$Q$2,RawData[[Picker ID ]],$Q$3,RawData[Checker ID],$Q$4,RawData[[Error Type ]],$Q$5))</f>
        <v/>
      </c>
    </row>
    <row r="29170" spans="15:15" x14ac:dyDescent="0.25">
      <c r="O29170" s="20" t="str">
        <f>IF(N29170="","",COUNTIFS(RawData[[Date ]],N29170,RawData[Month List],$Q$6,RawData[Tour/Site],$Q$2,RawData[[Picker ID ]],$Q$3,RawData[Checker ID],$Q$4,RawData[[Error Type ]],$Q$5))</f>
        <v/>
      </c>
    </row>
    <row r="29171" spans="15:15" x14ac:dyDescent="0.25">
      <c r="O29171" s="20" t="str">
        <f>IF(N29171="","",COUNTIFS(RawData[[Date ]],N29171,RawData[Month List],$Q$6,RawData[Tour/Site],$Q$2,RawData[[Picker ID ]],$Q$3,RawData[Checker ID],$Q$4,RawData[[Error Type ]],$Q$5))</f>
        <v/>
      </c>
    </row>
    <row r="29172" spans="15:15" x14ac:dyDescent="0.25">
      <c r="O29172" s="20" t="str">
        <f>IF(N29172="","",COUNTIFS(RawData[[Date ]],N29172,RawData[Month List],$Q$6,RawData[Tour/Site],$Q$2,RawData[[Picker ID ]],$Q$3,RawData[Checker ID],$Q$4,RawData[[Error Type ]],$Q$5))</f>
        <v/>
      </c>
    </row>
    <row r="29173" spans="15:15" x14ac:dyDescent="0.25">
      <c r="O29173" s="20" t="str">
        <f>IF(N29173="","",COUNTIFS(RawData[[Date ]],N29173,RawData[Month List],$Q$6,RawData[Tour/Site],$Q$2,RawData[[Picker ID ]],$Q$3,RawData[Checker ID],$Q$4,RawData[[Error Type ]],$Q$5))</f>
        <v/>
      </c>
    </row>
    <row r="29174" spans="15:15" x14ac:dyDescent="0.25">
      <c r="O29174" s="20" t="str">
        <f>IF(N29174="","",COUNTIFS(RawData[[Date ]],N29174,RawData[Month List],$Q$6,RawData[Tour/Site],$Q$2,RawData[[Picker ID ]],$Q$3,RawData[Checker ID],$Q$4,RawData[[Error Type ]],$Q$5))</f>
        <v/>
      </c>
    </row>
    <row r="29175" spans="15:15" x14ac:dyDescent="0.25">
      <c r="O29175" s="20" t="str">
        <f>IF(N29175="","",COUNTIFS(RawData[[Date ]],N29175,RawData[Month List],$Q$6,RawData[Tour/Site],$Q$2,RawData[[Picker ID ]],$Q$3,RawData[Checker ID],$Q$4,RawData[[Error Type ]],$Q$5))</f>
        <v/>
      </c>
    </row>
    <row r="29176" spans="15:15" x14ac:dyDescent="0.25">
      <c r="O29176" s="20" t="str">
        <f>IF(N29176="","",COUNTIFS(RawData[[Date ]],N29176,RawData[Month List],$Q$6,RawData[Tour/Site],$Q$2,RawData[[Picker ID ]],$Q$3,RawData[Checker ID],$Q$4,RawData[[Error Type ]],$Q$5))</f>
        <v/>
      </c>
    </row>
    <row r="29177" spans="15:15" x14ac:dyDescent="0.25">
      <c r="O29177" s="20" t="str">
        <f>IF(N29177="","",COUNTIFS(RawData[[Date ]],N29177,RawData[Month List],$Q$6,RawData[Tour/Site],$Q$2,RawData[[Picker ID ]],$Q$3,RawData[Checker ID],$Q$4,RawData[[Error Type ]],$Q$5))</f>
        <v/>
      </c>
    </row>
    <row r="29178" spans="15:15" x14ac:dyDescent="0.25">
      <c r="O29178" s="20" t="str">
        <f>IF(N29178="","",COUNTIFS(RawData[[Date ]],N29178,RawData[Month List],$Q$6,RawData[Tour/Site],$Q$2,RawData[[Picker ID ]],$Q$3,RawData[Checker ID],$Q$4,RawData[[Error Type ]],$Q$5))</f>
        <v/>
      </c>
    </row>
    <row r="29179" spans="15:15" x14ac:dyDescent="0.25">
      <c r="O29179" s="20" t="str">
        <f>IF(N29179="","",COUNTIFS(RawData[[Date ]],N29179,RawData[Month List],$Q$6,RawData[Tour/Site],$Q$2,RawData[[Picker ID ]],$Q$3,RawData[Checker ID],$Q$4,RawData[[Error Type ]],$Q$5))</f>
        <v/>
      </c>
    </row>
    <row r="29180" spans="15:15" x14ac:dyDescent="0.25">
      <c r="O29180" s="20" t="str">
        <f>IF(N29180="","",COUNTIFS(RawData[[Date ]],N29180,RawData[Month List],$Q$6,RawData[Tour/Site],$Q$2,RawData[[Picker ID ]],$Q$3,RawData[Checker ID],$Q$4,RawData[[Error Type ]],$Q$5))</f>
        <v/>
      </c>
    </row>
    <row r="29181" spans="15:15" x14ac:dyDescent="0.25">
      <c r="O29181" s="20" t="str">
        <f>IF(N29181="","",COUNTIFS(RawData[[Date ]],N29181,RawData[Month List],$Q$6,RawData[Tour/Site],$Q$2,RawData[[Picker ID ]],$Q$3,RawData[Checker ID],$Q$4,RawData[[Error Type ]],$Q$5))</f>
        <v/>
      </c>
    </row>
    <row r="29182" spans="15:15" x14ac:dyDescent="0.25">
      <c r="O29182" s="20" t="str">
        <f>IF(N29182="","",COUNTIFS(RawData[[Date ]],N29182,RawData[Month List],$Q$6,RawData[Tour/Site],$Q$2,RawData[[Picker ID ]],$Q$3,RawData[Checker ID],$Q$4,RawData[[Error Type ]],$Q$5))</f>
        <v/>
      </c>
    </row>
    <row r="29183" spans="15:15" x14ac:dyDescent="0.25">
      <c r="O29183" s="20" t="str">
        <f>IF(N29183="","",COUNTIFS(RawData[[Date ]],N29183,RawData[Month List],$Q$6,RawData[Tour/Site],$Q$2,RawData[[Picker ID ]],$Q$3,RawData[Checker ID],$Q$4,RawData[[Error Type ]],$Q$5))</f>
        <v/>
      </c>
    </row>
    <row r="29184" spans="15:15" x14ac:dyDescent="0.25">
      <c r="O29184" s="20" t="str">
        <f>IF(N29184="","",COUNTIFS(RawData[[Date ]],N29184,RawData[Month List],$Q$6,RawData[Tour/Site],$Q$2,RawData[[Picker ID ]],$Q$3,RawData[Checker ID],$Q$4,RawData[[Error Type ]],$Q$5))</f>
        <v/>
      </c>
    </row>
    <row r="29185" spans="15:15" x14ac:dyDescent="0.25">
      <c r="O29185" s="20" t="str">
        <f>IF(N29185="","",COUNTIFS(RawData[[Date ]],N29185,RawData[Month List],$Q$6,RawData[Tour/Site],$Q$2,RawData[[Picker ID ]],$Q$3,RawData[Checker ID],$Q$4,RawData[[Error Type ]],$Q$5))</f>
        <v/>
      </c>
    </row>
    <row r="29186" spans="15:15" x14ac:dyDescent="0.25">
      <c r="O29186" s="20" t="str">
        <f>IF(N29186="","",COUNTIFS(RawData[[Date ]],N29186,RawData[Month List],$Q$6,RawData[Tour/Site],$Q$2,RawData[[Picker ID ]],$Q$3,RawData[Checker ID],$Q$4,RawData[[Error Type ]],$Q$5))</f>
        <v/>
      </c>
    </row>
    <row r="29187" spans="15:15" x14ac:dyDescent="0.25">
      <c r="O29187" s="20" t="str">
        <f>IF(N29187="","",COUNTIFS(RawData[[Date ]],N29187,RawData[Month List],$Q$6,RawData[Tour/Site],$Q$2,RawData[[Picker ID ]],$Q$3,RawData[Checker ID],$Q$4,RawData[[Error Type ]],$Q$5))</f>
        <v/>
      </c>
    </row>
    <row r="29188" spans="15:15" x14ac:dyDescent="0.25">
      <c r="O29188" s="20" t="str">
        <f>IF(N29188="","",COUNTIFS(RawData[[Date ]],N29188,RawData[Month List],$Q$6,RawData[Tour/Site],$Q$2,RawData[[Picker ID ]],$Q$3,RawData[Checker ID],$Q$4,RawData[[Error Type ]],$Q$5))</f>
        <v/>
      </c>
    </row>
    <row r="29189" spans="15:15" x14ac:dyDescent="0.25">
      <c r="O29189" s="20" t="str">
        <f>IF(N29189="","",COUNTIFS(RawData[[Date ]],N29189,RawData[Month List],$Q$6,RawData[Tour/Site],$Q$2,RawData[[Picker ID ]],$Q$3,RawData[Checker ID],$Q$4,RawData[[Error Type ]],$Q$5))</f>
        <v/>
      </c>
    </row>
    <row r="29190" spans="15:15" x14ac:dyDescent="0.25">
      <c r="O29190" s="20" t="str">
        <f>IF(N29190="","",COUNTIFS(RawData[[Date ]],N29190,RawData[Month List],$Q$6,RawData[Tour/Site],$Q$2,RawData[[Picker ID ]],$Q$3,RawData[Checker ID],$Q$4,RawData[[Error Type ]],$Q$5))</f>
        <v/>
      </c>
    </row>
    <row r="29191" spans="15:15" x14ac:dyDescent="0.25">
      <c r="O29191" s="20" t="str">
        <f>IF(N29191="","",COUNTIFS(RawData[[Date ]],N29191,RawData[Month List],$Q$6,RawData[Tour/Site],$Q$2,RawData[[Picker ID ]],$Q$3,RawData[Checker ID],$Q$4,RawData[[Error Type ]],$Q$5))</f>
        <v/>
      </c>
    </row>
    <row r="29192" spans="15:15" x14ac:dyDescent="0.25">
      <c r="O29192" s="20" t="str">
        <f>IF(N29192="","",COUNTIFS(RawData[[Date ]],N29192,RawData[Month List],$Q$6,RawData[Tour/Site],$Q$2,RawData[[Picker ID ]],$Q$3,RawData[Checker ID],$Q$4,RawData[[Error Type ]],$Q$5))</f>
        <v/>
      </c>
    </row>
    <row r="29193" spans="15:15" x14ac:dyDescent="0.25">
      <c r="O29193" s="20" t="str">
        <f>IF(N29193="","",COUNTIFS(RawData[[Date ]],N29193,RawData[Month List],$Q$6,RawData[Tour/Site],$Q$2,RawData[[Picker ID ]],$Q$3,RawData[Checker ID],$Q$4,RawData[[Error Type ]],$Q$5))</f>
        <v/>
      </c>
    </row>
    <row r="29194" spans="15:15" x14ac:dyDescent="0.25">
      <c r="O29194" s="20" t="str">
        <f>IF(N29194="","",COUNTIFS(RawData[[Date ]],N29194,RawData[Month List],$Q$6,RawData[Tour/Site],$Q$2,RawData[[Picker ID ]],$Q$3,RawData[Checker ID],$Q$4,RawData[[Error Type ]],$Q$5))</f>
        <v/>
      </c>
    </row>
    <row r="29195" spans="15:15" x14ac:dyDescent="0.25">
      <c r="O29195" s="20" t="str">
        <f>IF(N29195="","",COUNTIFS(RawData[[Date ]],N29195,RawData[Month List],$Q$6,RawData[Tour/Site],$Q$2,RawData[[Picker ID ]],$Q$3,RawData[Checker ID],$Q$4,RawData[[Error Type ]],$Q$5))</f>
        <v/>
      </c>
    </row>
    <row r="29196" spans="15:15" x14ac:dyDescent="0.25">
      <c r="O29196" s="20" t="str">
        <f>IF(N29196="","",COUNTIFS(RawData[[Date ]],N29196,RawData[Month List],$Q$6,RawData[Tour/Site],$Q$2,RawData[[Picker ID ]],$Q$3,RawData[Checker ID],$Q$4,RawData[[Error Type ]],$Q$5))</f>
        <v/>
      </c>
    </row>
    <row r="29197" spans="15:15" x14ac:dyDescent="0.25">
      <c r="O29197" s="20" t="str">
        <f>IF(N29197="","",COUNTIFS(RawData[[Date ]],N29197,RawData[Month List],$Q$6,RawData[Tour/Site],$Q$2,RawData[[Picker ID ]],$Q$3,RawData[Checker ID],$Q$4,RawData[[Error Type ]],$Q$5))</f>
        <v/>
      </c>
    </row>
    <row r="29198" spans="15:15" x14ac:dyDescent="0.25">
      <c r="O29198" s="20" t="str">
        <f>IF(N29198="","",COUNTIFS(RawData[[Date ]],N29198,RawData[Month List],$Q$6,RawData[Tour/Site],$Q$2,RawData[[Picker ID ]],$Q$3,RawData[Checker ID],$Q$4,RawData[[Error Type ]],$Q$5))</f>
        <v/>
      </c>
    </row>
    <row r="29199" spans="15:15" x14ac:dyDescent="0.25">
      <c r="O29199" s="20" t="str">
        <f>IF(N29199="","",COUNTIFS(RawData[[Date ]],N29199,RawData[Month List],$Q$6,RawData[Tour/Site],$Q$2,RawData[[Picker ID ]],$Q$3,RawData[Checker ID],$Q$4,RawData[[Error Type ]],$Q$5))</f>
        <v/>
      </c>
    </row>
    <row r="29200" spans="15:15" x14ac:dyDescent="0.25">
      <c r="O29200" s="20" t="str">
        <f>IF(N29200="","",COUNTIFS(RawData[[Date ]],N29200,RawData[Month List],$Q$6,RawData[Tour/Site],$Q$2,RawData[[Picker ID ]],$Q$3,RawData[Checker ID],$Q$4,RawData[[Error Type ]],$Q$5))</f>
        <v/>
      </c>
    </row>
    <row r="29201" spans="15:15" x14ac:dyDescent="0.25">
      <c r="O29201" s="20" t="str">
        <f>IF(N29201="","",COUNTIFS(RawData[[Date ]],N29201,RawData[Month List],$Q$6,RawData[Tour/Site],$Q$2,RawData[[Picker ID ]],$Q$3,RawData[Checker ID],$Q$4,RawData[[Error Type ]],$Q$5))</f>
        <v/>
      </c>
    </row>
    <row r="29202" spans="15:15" x14ac:dyDescent="0.25">
      <c r="O29202" s="20" t="str">
        <f>IF(N29202="","",COUNTIFS(RawData[[Date ]],N29202,RawData[Month List],$Q$6,RawData[Tour/Site],$Q$2,RawData[[Picker ID ]],$Q$3,RawData[Checker ID],$Q$4,RawData[[Error Type ]],$Q$5))</f>
        <v/>
      </c>
    </row>
    <row r="29203" spans="15:15" x14ac:dyDescent="0.25">
      <c r="O29203" s="20" t="str">
        <f>IF(N29203="","",COUNTIFS(RawData[[Date ]],N29203,RawData[Month List],$Q$6,RawData[Tour/Site],$Q$2,RawData[[Picker ID ]],$Q$3,RawData[Checker ID],$Q$4,RawData[[Error Type ]],$Q$5))</f>
        <v/>
      </c>
    </row>
    <row r="29204" spans="15:15" x14ac:dyDescent="0.25">
      <c r="O29204" s="20" t="str">
        <f>IF(N29204="","",COUNTIFS(RawData[[Date ]],N29204,RawData[Month List],$Q$6,RawData[Tour/Site],$Q$2,RawData[[Picker ID ]],$Q$3,RawData[Checker ID],$Q$4,RawData[[Error Type ]],$Q$5))</f>
        <v/>
      </c>
    </row>
    <row r="29205" spans="15:15" x14ac:dyDescent="0.25">
      <c r="O29205" s="20" t="str">
        <f>IF(N29205="","",COUNTIFS(RawData[[Date ]],N29205,RawData[Month List],$Q$6,RawData[Tour/Site],$Q$2,RawData[[Picker ID ]],$Q$3,RawData[Checker ID],$Q$4,RawData[[Error Type ]],$Q$5))</f>
        <v/>
      </c>
    </row>
    <row r="29206" spans="15:15" x14ac:dyDescent="0.25">
      <c r="O29206" s="20" t="str">
        <f>IF(N29206="","",COUNTIFS(RawData[[Date ]],N29206,RawData[Month List],$Q$6,RawData[Tour/Site],$Q$2,RawData[[Picker ID ]],$Q$3,RawData[Checker ID],$Q$4,RawData[[Error Type ]],$Q$5))</f>
        <v/>
      </c>
    </row>
    <row r="29207" spans="15:15" x14ac:dyDescent="0.25">
      <c r="O29207" s="20" t="str">
        <f>IF(N29207="","",COUNTIFS(RawData[[Date ]],N29207,RawData[Month List],$Q$6,RawData[Tour/Site],$Q$2,RawData[[Picker ID ]],$Q$3,RawData[Checker ID],$Q$4,RawData[[Error Type ]],$Q$5))</f>
        <v/>
      </c>
    </row>
    <row r="29208" spans="15:15" x14ac:dyDescent="0.25">
      <c r="O29208" s="20" t="str">
        <f>IF(N29208="","",COUNTIFS(RawData[[Date ]],N29208,RawData[Month List],$Q$6,RawData[Tour/Site],$Q$2,RawData[[Picker ID ]],$Q$3,RawData[Checker ID],$Q$4,RawData[[Error Type ]],$Q$5))</f>
        <v/>
      </c>
    </row>
    <row r="29209" spans="15:15" x14ac:dyDescent="0.25">
      <c r="O29209" s="20" t="str">
        <f>IF(N29209="","",COUNTIFS(RawData[[Date ]],N29209,RawData[Month List],$Q$6,RawData[Tour/Site],$Q$2,RawData[[Picker ID ]],$Q$3,RawData[Checker ID],$Q$4,RawData[[Error Type ]],$Q$5))</f>
        <v/>
      </c>
    </row>
    <row r="29210" spans="15:15" x14ac:dyDescent="0.25">
      <c r="O29210" s="20" t="str">
        <f>IF(N29210="","",COUNTIFS(RawData[[Date ]],N29210,RawData[Month List],$Q$6,RawData[Tour/Site],$Q$2,RawData[[Picker ID ]],$Q$3,RawData[Checker ID],$Q$4,RawData[[Error Type ]],$Q$5))</f>
        <v/>
      </c>
    </row>
    <row r="29211" spans="15:15" x14ac:dyDescent="0.25">
      <c r="O29211" s="20" t="str">
        <f>IF(N29211="","",COUNTIFS(RawData[[Date ]],N29211,RawData[Month List],$Q$6,RawData[Tour/Site],$Q$2,RawData[[Picker ID ]],$Q$3,RawData[Checker ID],$Q$4,RawData[[Error Type ]],$Q$5))</f>
        <v/>
      </c>
    </row>
    <row r="29212" spans="15:15" x14ac:dyDescent="0.25">
      <c r="O29212" s="20" t="str">
        <f>IF(N29212="","",COUNTIFS(RawData[[Date ]],N29212,RawData[Month List],$Q$6,RawData[Tour/Site],$Q$2,RawData[[Picker ID ]],$Q$3,RawData[Checker ID],$Q$4,RawData[[Error Type ]],$Q$5))</f>
        <v/>
      </c>
    </row>
    <row r="29213" spans="15:15" x14ac:dyDescent="0.25">
      <c r="O29213" s="20" t="str">
        <f>IF(N29213="","",COUNTIFS(RawData[[Date ]],N29213,RawData[Month List],$Q$6,RawData[Tour/Site],$Q$2,RawData[[Picker ID ]],$Q$3,RawData[Checker ID],$Q$4,RawData[[Error Type ]],$Q$5))</f>
        <v/>
      </c>
    </row>
    <row r="29214" spans="15:15" x14ac:dyDescent="0.25">
      <c r="O29214" s="20" t="str">
        <f>IF(N29214="","",COUNTIFS(RawData[[Date ]],N29214,RawData[Month List],$Q$6,RawData[Tour/Site],$Q$2,RawData[[Picker ID ]],$Q$3,RawData[Checker ID],$Q$4,RawData[[Error Type ]],$Q$5))</f>
        <v/>
      </c>
    </row>
    <row r="29215" spans="15:15" x14ac:dyDescent="0.25">
      <c r="O29215" s="20" t="str">
        <f>IF(N29215="","",COUNTIFS(RawData[[Date ]],N29215,RawData[Month List],$Q$6,RawData[Tour/Site],$Q$2,RawData[[Picker ID ]],$Q$3,RawData[Checker ID],$Q$4,RawData[[Error Type ]],$Q$5))</f>
        <v/>
      </c>
    </row>
    <row r="29216" spans="15:15" x14ac:dyDescent="0.25">
      <c r="O29216" s="20" t="str">
        <f>IF(N29216="","",COUNTIFS(RawData[[Date ]],N29216,RawData[Month List],$Q$6,RawData[Tour/Site],$Q$2,RawData[[Picker ID ]],$Q$3,RawData[Checker ID],$Q$4,RawData[[Error Type ]],$Q$5))</f>
        <v/>
      </c>
    </row>
    <row r="29217" spans="15:15" x14ac:dyDescent="0.25">
      <c r="O29217" s="20" t="str">
        <f>IF(N29217="","",COUNTIFS(RawData[[Date ]],N29217,RawData[Month List],$Q$6,RawData[Tour/Site],$Q$2,RawData[[Picker ID ]],$Q$3,RawData[Checker ID],$Q$4,RawData[[Error Type ]],$Q$5))</f>
        <v/>
      </c>
    </row>
    <row r="29218" spans="15:15" x14ac:dyDescent="0.25">
      <c r="O29218" s="20" t="str">
        <f>IF(N29218="","",COUNTIFS(RawData[[Date ]],N29218,RawData[Month List],$Q$6,RawData[Tour/Site],$Q$2,RawData[[Picker ID ]],$Q$3,RawData[Checker ID],$Q$4,RawData[[Error Type ]],$Q$5))</f>
        <v/>
      </c>
    </row>
    <row r="29219" spans="15:15" x14ac:dyDescent="0.25">
      <c r="O29219" s="20" t="str">
        <f>IF(N29219="","",COUNTIFS(RawData[[Date ]],N29219,RawData[Month List],$Q$6,RawData[Tour/Site],$Q$2,RawData[[Picker ID ]],$Q$3,RawData[Checker ID],$Q$4,RawData[[Error Type ]],$Q$5))</f>
        <v/>
      </c>
    </row>
    <row r="29220" spans="15:15" x14ac:dyDescent="0.25">
      <c r="O29220" s="20" t="str">
        <f>IF(N29220="","",COUNTIFS(RawData[[Date ]],N29220,RawData[Month List],$Q$6,RawData[Tour/Site],$Q$2,RawData[[Picker ID ]],$Q$3,RawData[Checker ID],$Q$4,RawData[[Error Type ]],$Q$5))</f>
        <v/>
      </c>
    </row>
    <row r="29221" spans="15:15" x14ac:dyDescent="0.25">
      <c r="O29221" s="20" t="str">
        <f>IF(N29221="","",COUNTIFS(RawData[[Date ]],N29221,RawData[Month List],$Q$6,RawData[Tour/Site],$Q$2,RawData[[Picker ID ]],$Q$3,RawData[Checker ID],$Q$4,RawData[[Error Type ]],$Q$5))</f>
        <v/>
      </c>
    </row>
    <row r="29222" spans="15:15" x14ac:dyDescent="0.25">
      <c r="O29222" s="20" t="str">
        <f>IF(N29222="","",COUNTIFS(RawData[[Date ]],N29222,RawData[Month List],$Q$6,RawData[Tour/Site],$Q$2,RawData[[Picker ID ]],$Q$3,RawData[Checker ID],$Q$4,RawData[[Error Type ]],$Q$5))</f>
        <v/>
      </c>
    </row>
    <row r="29223" spans="15:15" x14ac:dyDescent="0.25">
      <c r="O29223" s="20" t="str">
        <f>IF(N29223="","",COUNTIFS(RawData[[Date ]],N29223,RawData[Month List],$Q$6,RawData[Tour/Site],$Q$2,RawData[[Picker ID ]],$Q$3,RawData[Checker ID],$Q$4,RawData[[Error Type ]],$Q$5))</f>
        <v/>
      </c>
    </row>
    <row r="29224" spans="15:15" x14ac:dyDescent="0.25">
      <c r="O29224" s="20" t="str">
        <f>IF(N29224="","",COUNTIFS(RawData[[Date ]],N29224,RawData[Month List],$Q$6,RawData[Tour/Site],$Q$2,RawData[[Picker ID ]],$Q$3,RawData[Checker ID],$Q$4,RawData[[Error Type ]],$Q$5))</f>
        <v/>
      </c>
    </row>
    <row r="29225" spans="15:15" x14ac:dyDescent="0.25">
      <c r="O29225" s="20" t="str">
        <f>IF(N29225="","",COUNTIFS(RawData[[Date ]],N29225,RawData[Month List],$Q$6,RawData[Tour/Site],$Q$2,RawData[[Picker ID ]],$Q$3,RawData[Checker ID],$Q$4,RawData[[Error Type ]],$Q$5))</f>
        <v/>
      </c>
    </row>
    <row r="29226" spans="15:15" x14ac:dyDescent="0.25">
      <c r="O29226" s="20" t="str">
        <f>IF(N29226="","",COUNTIFS(RawData[[Date ]],N29226,RawData[Month List],$Q$6,RawData[Tour/Site],$Q$2,RawData[[Picker ID ]],$Q$3,RawData[Checker ID],$Q$4,RawData[[Error Type ]],$Q$5))</f>
        <v/>
      </c>
    </row>
    <row r="29227" spans="15:15" x14ac:dyDescent="0.25">
      <c r="O29227" s="20" t="str">
        <f>IF(N29227="","",COUNTIFS(RawData[[Date ]],N29227,RawData[Month List],$Q$6,RawData[Tour/Site],$Q$2,RawData[[Picker ID ]],$Q$3,RawData[Checker ID],$Q$4,RawData[[Error Type ]],$Q$5))</f>
        <v/>
      </c>
    </row>
    <row r="29228" spans="15:15" x14ac:dyDescent="0.25">
      <c r="O29228" s="20" t="str">
        <f>IF(N29228="","",COUNTIFS(RawData[[Date ]],N29228,RawData[Month List],$Q$6,RawData[Tour/Site],$Q$2,RawData[[Picker ID ]],$Q$3,RawData[Checker ID],$Q$4,RawData[[Error Type ]],$Q$5))</f>
        <v/>
      </c>
    </row>
    <row r="29229" spans="15:15" x14ac:dyDescent="0.25">
      <c r="O29229" s="20" t="str">
        <f>IF(N29229="","",COUNTIFS(RawData[[Date ]],N29229,RawData[Month List],$Q$6,RawData[Tour/Site],$Q$2,RawData[[Picker ID ]],$Q$3,RawData[Checker ID],$Q$4,RawData[[Error Type ]],$Q$5))</f>
        <v/>
      </c>
    </row>
    <row r="29230" spans="15:15" x14ac:dyDescent="0.25">
      <c r="O29230" s="20" t="str">
        <f>IF(N29230="","",COUNTIFS(RawData[[Date ]],N29230,RawData[Month List],$Q$6,RawData[Tour/Site],$Q$2,RawData[[Picker ID ]],$Q$3,RawData[Checker ID],$Q$4,RawData[[Error Type ]],$Q$5))</f>
        <v/>
      </c>
    </row>
    <row r="29231" spans="15:15" x14ac:dyDescent="0.25">
      <c r="O29231" s="20" t="str">
        <f>IF(N29231="","",COUNTIFS(RawData[[Date ]],N29231,RawData[Month List],$Q$6,RawData[Tour/Site],$Q$2,RawData[[Picker ID ]],$Q$3,RawData[Checker ID],$Q$4,RawData[[Error Type ]],$Q$5))</f>
        <v/>
      </c>
    </row>
    <row r="29232" spans="15:15" x14ac:dyDescent="0.25">
      <c r="O29232" s="20" t="str">
        <f>IF(N29232="","",COUNTIFS(RawData[[Date ]],N29232,RawData[Month List],$Q$6,RawData[Tour/Site],$Q$2,RawData[[Picker ID ]],$Q$3,RawData[Checker ID],$Q$4,RawData[[Error Type ]],$Q$5))</f>
        <v/>
      </c>
    </row>
    <row r="29233" spans="15:15" x14ac:dyDescent="0.25">
      <c r="O29233" s="20" t="str">
        <f>IF(N29233="","",COUNTIFS(RawData[[Date ]],N29233,RawData[Month List],$Q$6,RawData[Tour/Site],$Q$2,RawData[[Picker ID ]],$Q$3,RawData[Checker ID],$Q$4,RawData[[Error Type ]],$Q$5))</f>
        <v/>
      </c>
    </row>
    <row r="29234" spans="15:15" x14ac:dyDescent="0.25">
      <c r="O29234" s="20" t="str">
        <f>IF(N29234="","",COUNTIFS(RawData[[Date ]],N29234,RawData[Month List],$Q$6,RawData[Tour/Site],$Q$2,RawData[[Picker ID ]],$Q$3,RawData[Checker ID],$Q$4,RawData[[Error Type ]],$Q$5))</f>
        <v/>
      </c>
    </row>
    <row r="29235" spans="15:15" x14ac:dyDescent="0.25">
      <c r="O29235" s="20" t="str">
        <f>IF(N29235="","",COUNTIFS(RawData[[Date ]],N29235,RawData[Month List],$Q$6,RawData[Tour/Site],$Q$2,RawData[[Picker ID ]],$Q$3,RawData[Checker ID],$Q$4,RawData[[Error Type ]],$Q$5))</f>
        <v/>
      </c>
    </row>
    <row r="29236" spans="15:15" x14ac:dyDescent="0.25">
      <c r="O29236" s="20" t="str">
        <f>IF(N29236="","",COUNTIFS(RawData[[Date ]],N29236,RawData[Month List],$Q$6,RawData[Tour/Site],$Q$2,RawData[[Picker ID ]],$Q$3,RawData[Checker ID],$Q$4,RawData[[Error Type ]],$Q$5))</f>
        <v/>
      </c>
    </row>
    <row r="29237" spans="15:15" x14ac:dyDescent="0.25">
      <c r="O29237" s="20" t="str">
        <f>IF(N29237="","",COUNTIFS(RawData[[Date ]],N29237,RawData[Month List],$Q$6,RawData[Tour/Site],$Q$2,RawData[[Picker ID ]],$Q$3,RawData[Checker ID],$Q$4,RawData[[Error Type ]],$Q$5))</f>
        <v/>
      </c>
    </row>
    <row r="29238" spans="15:15" x14ac:dyDescent="0.25">
      <c r="O29238" s="20" t="str">
        <f>IF(N29238="","",COUNTIFS(RawData[[Date ]],N29238,RawData[Month List],$Q$6,RawData[Tour/Site],$Q$2,RawData[[Picker ID ]],$Q$3,RawData[Checker ID],$Q$4,RawData[[Error Type ]],$Q$5))</f>
        <v/>
      </c>
    </row>
    <row r="29239" spans="15:15" x14ac:dyDescent="0.25">
      <c r="O29239" s="20" t="str">
        <f>IF(N29239="","",COUNTIFS(RawData[[Date ]],N29239,RawData[Month List],$Q$6,RawData[Tour/Site],$Q$2,RawData[[Picker ID ]],$Q$3,RawData[Checker ID],$Q$4,RawData[[Error Type ]],$Q$5))</f>
        <v/>
      </c>
    </row>
    <row r="29240" spans="15:15" x14ac:dyDescent="0.25">
      <c r="O29240" s="20" t="str">
        <f>IF(N29240="","",COUNTIFS(RawData[[Date ]],N29240,RawData[Month List],$Q$6,RawData[Tour/Site],$Q$2,RawData[[Picker ID ]],$Q$3,RawData[Checker ID],$Q$4,RawData[[Error Type ]],$Q$5))</f>
        <v/>
      </c>
    </row>
    <row r="29241" spans="15:15" x14ac:dyDescent="0.25">
      <c r="O29241" s="20" t="str">
        <f>IF(N29241="","",COUNTIFS(RawData[[Date ]],N29241,RawData[Month List],$Q$6,RawData[Tour/Site],$Q$2,RawData[[Picker ID ]],$Q$3,RawData[Checker ID],$Q$4,RawData[[Error Type ]],$Q$5))</f>
        <v/>
      </c>
    </row>
    <row r="29242" spans="15:15" x14ac:dyDescent="0.25">
      <c r="O29242" s="20" t="str">
        <f>IF(N29242="","",COUNTIFS(RawData[[Date ]],N29242,RawData[Month List],$Q$6,RawData[Tour/Site],$Q$2,RawData[[Picker ID ]],$Q$3,RawData[Checker ID],$Q$4,RawData[[Error Type ]],$Q$5))</f>
        <v/>
      </c>
    </row>
    <row r="29243" spans="15:15" x14ac:dyDescent="0.25">
      <c r="O29243" s="20" t="str">
        <f>IF(N29243="","",COUNTIFS(RawData[[Date ]],N29243,RawData[Month List],$Q$6,RawData[Tour/Site],$Q$2,RawData[[Picker ID ]],$Q$3,RawData[Checker ID],$Q$4,RawData[[Error Type ]],$Q$5))</f>
        <v/>
      </c>
    </row>
    <row r="29244" spans="15:15" x14ac:dyDescent="0.25">
      <c r="O29244" s="20" t="str">
        <f>IF(N29244="","",COUNTIFS(RawData[[Date ]],N29244,RawData[Month List],$Q$6,RawData[Tour/Site],$Q$2,RawData[[Picker ID ]],$Q$3,RawData[Checker ID],$Q$4,RawData[[Error Type ]],$Q$5))</f>
        <v/>
      </c>
    </row>
    <row r="29245" spans="15:15" x14ac:dyDescent="0.25">
      <c r="O29245" s="20" t="str">
        <f>IF(N29245="","",COUNTIFS(RawData[[Date ]],N29245,RawData[Month List],$Q$6,RawData[Tour/Site],$Q$2,RawData[[Picker ID ]],$Q$3,RawData[Checker ID],$Q$4,RawData[[Error Type ]],$Q$5))</f>
        <v/>
      </c>
    </row>
    <row r="29246" spans="15:15" x14ac:dyDescent="0.25">
      <c r="O29246" s="20" t="str">
        <f>IF(N29246="","",COUNTIFS(RawData[[Date ]],N29246,RawData[Month List],$Q$6,RawData[Tour/Site],$Q$2,RawData[[Picker ID ]],$Q$3,RawData[Checker ID],$Q$4,RawData[[Error Type ]],$Q$5))</f>
        <v/>
      </c>
    </row>
    <row r="29247" spans="15:15" x14ac:dyDescent="0.25">
      <c r="O29247" s="20" t="str">
        <f>IF(N29247="","",COUNTIFS(RawData[[Date ]],N29247,RawData[Month List],$Q$6,RawData[Tour/Site],$Q$2,RawData[[Picker ID ]],$Q$3,RawData[Checker ID],$Q$4,RawData[[Error Type ]],$Q$5))</f>
        <v/>
      </c>
    </row>
    <row r="29248" spans="15:15" x14ac:dyDescent="0.25">
      <c r="O29248" s="20" t="str">
        <f>IF(N29248="","",COUNTIFS(RawData[[Date ]],N29248,RawData[Month List],$Q$6,RawData[Tour/Site],$Q$2,RawData[[Picker ID ]],$Q$3,RawData[Checker ID],$Q$4,RawData[[Error Type ]],$Q$5))</f>
        <v/>
      </c>
    </row>
    <row r="29249" spans="15:15" x14ac:dyDescent="0.25">
      <c r="O29249" s="20" t="str">
        <f>IF(N29249="","",COUNTIFS(RawData[[Date ]],N29249,RawData[Month List],$Q$6,RawData[Tour/Site],$Q$2,RawData[[Picker ID ]],$Q$3,RawData[Checker ID],$Q$4,RawData[[Error Type ]],$Q$5))</f>
        <v/>
      </c>
    </row>
    <row r="29250" spans="15:15" x14ac:dyDescent="0.25">
      <c r="O29250" s="20" t="str">
        <f>IF(N29250="","",COUNTIFS(RawData[[Date ]],N29250,RawData[Month List],$Q$6,RawData[Tour/Site],$Q$2,RawData[[Picker ID ]],$Q$3,RawData[Checker ID],$Q$4,RawData[[Error Type ]],$Q$5))</f>
        <v/>
      </c>
    </row>
    <row r="29251" spans="15:15" x14ac:dyDescent="0.25">
      <c r="O29251" s="20" t="str">
        <f>IF(N29251="","",COUNTIFS(RawData[[Date ]],N29251,RawData[Month List],$Q$6,RawData[Tour/Site],$Q$2,RawData[[Picker ID ]],$Q$3,RawData[Checker ID],$Q$4,RawData[[Error Type ]],$Q$5))</f>
        <v/>
      </c>
    </row>
    <row r="29252" spans="15:15" x14ac:dyDescent="0.25">
      <c r="O29252" s="20" t="str">
        <f>IF(N29252="","",COUNTIFS(RawData[[Date ]],N29252,RawData[Month List],$Q$6,RawData[Tour/Site],$Q$2,RawData[[Picker ID ]],$Q$3,RawData[Checker ID],$Q$4,RawData[[Error Type ]],$Q$5))</f>
        <v/>
      </c>
    </row>
    <row r="29253" spans="15:15" x14ac:dyDescent="0.25">
      <c r="O29253" s="20" t="str">
        <f>IF(N29253="","",COUNTIFS(RawData[[Date ]],N29253,RawData[Month List],$Q$6,RawData[Tour/Site],$Q$2,RawData[[Picker ID ]],$Q$3,RawData[Checker ID],$Q$4,RawData[[Error Type ]],$Q$5))</f>
        <v/>
      </c>
    </row>
    <row r="29254" spans="15:15" x14ac:dyDescent="0.25">
      <c r="O29254" s="20" t="str">
        <f>IF(N29254="","",COUNTIFS(RawData[[Date ]],N29254,RawData[Month List],$Q$6,RawData[Tour/Site],$Q$2,RawData[[Picker ID ]],$Q$3,RawData[Checker ID],$Q$4,RawData[[Error Type ]],$Q$5))</f>
        <v/>
      </c>
    </row>
    <row r="29255" spans="15:15" x14ac:dyDescent="0.25">
      <c r="O29255" s="20" t="str">
        <f>IF(N29255="","",COUNTIFS(RawData[[Date ]],N29255,RawData[Month List],$Q$6,RawData[Tour/Site],$Q$2,RawData[[Picker ID ]],$Q$3,RawData[Checker ID],$Q$4,RawData[[Error Type ]],$Q$5))</f>
        <v/>
      </c>
    </row>
    <row r="29256" spans="15:15" x14ac:dyDescent="0.25">
      <c r="O29256" s="20" t="str">
        <f>IF(N29256="","",COUNTIFS(RawData[[Date ]],N29256,RawData[Month List],$Q$6,RawData[Tour/Site],$Q$2,RawData[[Picker ID ]],$Q$3,RawData[Checker ID],$Q$4,RawData[[Error Type ]],$Q$5))</f>
        <v/>
      </c>
    </row>
    <row r="29257" spans="15:15" x14ac:dyDescent="0.25">
      <c r="O29257" s="20" t="str">
        <f>IF(N29257="","",COUNTIFS(RawData[[Date ]],N29257,RawData[Month List],$Q$6,RawData[Tour/Site],$Q$2,RawData[[Picker ID ]],$Q$3,RawData[Checker ID],$Q$4,RawData[[Error Type ]],$Q$5))</f>
        <v/>
      </c>
    </row>
    <row r="29258" spans="15:15" x14ac:dyDescent="0.25">
      <c r="O29258" s="20" t="str">
        <f>IF(N29258="","",COUNTIFS(RawData[[Date ]],N29258,RawData[Month List],$Q$6,RawData[Tour/Site],$Q$2,RawData[[Picker ID ]],$Q$3,RawData[Checker ID],$Q$4,RawData[[Error Type ]],$Q$5))</f>
        <v/>
      </c>
    </row>
    <row r="29259" spans="15:15" x14ac:dyDescent="0.25">
      <c r="O29259" s="20" t="str">
        <f>IF(N29259="","",COUNTIFS(RawData[[Date ]],N29259,RawData[Month List],$Q$6,RawData[Tour/Site],$Q$2,RawData[[Picker ID ]],$Q$3,RawData[Checker ID],$Q$4,RawData[[Error Type ]],$Q$5))</f>
        <v/>
      </c>
    </row>
    <row r="29260" spans="15:15" x14ac:dyDescent="0.25">
      <c r="O29260" s="20" t="str">
        <f>IF(N29260="","",COUNTIFS(RawData[[Date ]],N29260,RawData[Month List],$Q$6,RawData[Tour/Site],$Q$2,RawData[[Picker ID ]],$Q$3,RawData[Checker ID],$Q$4,RawData[[Error Type ]],$Q$5))</f>
        <v/>
      </c>
    </row>
    <row r="29261" spans="15:15" x14ac:dyDescent="0.25">
      <c r="O29261" s="20" t="str">
        <f>IF(N29261="","",COUNTIFS(RawData[[Date ]],N29261,RawData[Month List],$Q$6,RawData[Tour/Site],$Q$2,RawData[[Picker ID ]],$Q$3,RawData[Checker ID],$Q$4,RawData[[Error Type ]],$Q$5))</f>
        <v/>
      </c>
    </row>
    <row r="29262" spans="15:15" x14ac:dyDescent="0.25">
      <c r="O29262" s="20" t="str">
        <f>IF(N29262="","",COUNTIFS(RawData[[Date ]],N29262,RawData[Month List],$Q$6,RawData[Tour/Site],$Q$2,RawData[[Picker ID ]],$Q$3,RawData[Checker ID],$Q$4,RawData[[Error Type ]],$Q$5))</f>
        <v/>
      </c>
    </row>
    <row r="29263" spans="15:15" x14ac:dyDescent="0.25">
      <c r="O29263" s="20" t="str">
        <f>IF(N29263="","",COUNTIFS(RawData[[Date ]],N29263,RawData[Month List],$Q$6,RawData[Tour/Site],$Q$2,RawData[[Picker ID ]],$Q$3,RawData[Checker ID],$Q$4,RawData[[Error Type ]],$Q$5))</f>
        <v/>
      </c>
    </row>
    <row r="29264" spans="15:15" x14ac:dyDescent="0.25">
      <c r="O29264" s="20" t="str">
        <f>IF(N29264="","",COUNTIFS(RawData[[Date ]],N29264,RawData[Month List],$Q$6,RawData[Tour/Site],$Q$2,RawData[[Picker ID ]],$Q$3,RawData[Checker ID],$Q$4,RawData[[Error Type ]],$Q$5))</f>
        <v/>
      </c>
    </row>
    <row r="29265" spans="15:15" x14ac:dyDescent="0.25">
      <c r="O29265" s="20" t="str">
        <f>IF(N29265="","",COUNTIFS(RawData[[Date ]],N29265,RawData[Month List],$Q$6,RawData[Tour/Site],$Q$2,RawData[[Picker ID ]],$Q$3,RawData[Checker ID],$Q$4,RawData[[Error Type ]],$Q$5))</f>
        <v/>
      </c>
    </row>
    <row r="29266" spans="15:15" x14ac:dyDescent="0.25">
      <c r="O29266" s="20" t="str">
        <f>IF(N29266="","",COUNTIFS(RawData[[Date ]],N29266,RawData[Month List],$Q$6,RawData[Tour/Site],$Q$2,RawData[[Picker ID ]],$Q$3,RawData[Checker ID],$Q$4,RawData[[Error Type ]],$Q$5))</f>
        <v/>
      </c>
    </row>
    <row r="29267" spans="15:15" x14ac:dyDescent="0.25">
      <c r="O29267" s="20" t="str">
        <f>IF(N29267="","",COUNTIFS(RawData[[Date ]],N29267,RawData[Month List],$Q$6,RawData[Tour/Site],$Q$2,RawData[[Picker ID ]],$Q$3,RawData[Checker ID],$Q$4,RawData[[Error Type ]],$Q$5))</f>
        <v/>
      </c>
    </row>
    <row r="29268" spans="15:15" x14ac:dyDescent="0.25">
      <c r="O29268" s="20" t="str">
        <f>IF(N29268="","",COUNTIFS(RawData[[Date ]],N29268,RawData[Month List],$Q$6,RawData[Tour/Site],$Q$2,RawData[[Picker ID ]],$Q$3,RawData[Checker ID],$Q$4,RawData[[Error Type ]],$Q$5))</f>
        <v/>
      </c>
    </row>
    <row r="29269" spans="15:15" x14ac:dyDescent="0.25">
      <c r="O29269" s="20" t="str">
        <f>IF(N29269="","",COUNTIFS(RawData[[Date ]],N29269,RawData[Month List],$Q$6,RawData[Tour/Site],$Q$2,RawData[[Picker ID ]],$Q$3,RawData[Checker ID],$Q$4,RawData[[Error Type ]],$Q$5))</f>
        <v/>
      </c>
    </row>
    <row r="29270" spans="15:15" x14ac:dyDescent="0.25">
      <c r="O29270" s="20" t="str">
        <f>IF(N29270="","",COUNTIFS(RawData[[Date ]],N29270,RawData[Month List],$Q$6,RawData[Tour/Site],$Q$2,RawData[[Picker ID ]],$Q$3,RawData[Checker ID],$Q$4,RawData[[Error Type ]],$Q$5))</f>
        <v/>
      </c>
    </row>
    <row r="29271" spans="15:15" x14ac:dyDescent="0.25">
      <c r="O29271" s="20" t="str">
        <f>IF(N29271="","",COUNTIFS(RawData[[Date ]],N29271,RawData[Month List],$Q$6,RawData[Tour/Site],$Q$2,RawData[[Picker ID ]],$Q$3,RawData[Checker ID],$Q$4,RawData[[Error Type ]],$Q$5))</f>
        <v/>
      </c>
    </row>
    <row r="29272" spans="15:15" x14ac:dyDescent="0.25">
      <c r="O29272" s="20" t="str">
        <f>IF(N29272="","",COUNTIFS(RawData[[Date ]],N29272,RawData[Month List],$Q$6,RawData[Tour/Site],$Q$2,RawData[[Picker ID ]],$Q$3,RawData[Checker ID],$Q$4,RawData[[Error Type ]],$Q$5))</f>
        <v/>
      </c>
    </row>
    <row r="29273" spans="15:15" x14ac:dyDescent="0.25">
      <c r="O29273" s="20" t="str">
        <f>IF(N29273="","",COUNTIFS(RawData[[Date ]],N29273,RawData[Month List],$Q$6,RawData[Tour/Site],$Q$2,RawData[[Picker ID ]],$Q$3,RawData[Checker ID],$Q$4,RawData[[Error Type ]],$Q$5))</f>
        <v/>
      </c>
    </row>
    <row r="29274" spans="15:15" x14ac:dyDescent="0.25">
      <c r="O29274" s="20" t="str">
        <f>IF(N29274="","",COUNTIFS(RawData[[Date ]],N29274,RawData[Month List],$Q$6,RawData[Tour/Site],$Q$2,RawData[[Picker ID ]],$Q$3,RawData[Checker ID],$Q$4,RawData[[Error Type ]],$Q$5))</f>
        <v/>
      </c>
    </row>
    <row r="29275" spans="15:15" x14ac:dyDescent="0.25">
      <c r="O29275" s="20" t="str">
        <f>IF(N29275="","",COUNTIFS(RawData[[Date ]],N29275,RawData[Month List],$Q$6,RawData[Tour/Site],$Q$2,RawData[[Picker ID ]],$Q$3,RawData[Checker ID],$Q$4,RawData[[Error Type ]],$Q$5))</f>
        <v/>
      </c>
    </row>
    <row r="29276" spans="15:15" x14ac:dyDescent="0.25">
      <c r="O29276" s="20" t="str">
        <f>IF(N29276="","",COUNTIFS(RawData[[Date ]],N29276,RawData[Month List],$Q$6,RawData[Tour/Site],$Q$2,RawData[[Picker ID ]],$Q$3,RawData[Checker ID],$Q$4,RawData[[Error Type ]],$Q$5))</f>
        <v/>
      </c>
    </row>
    <row r="29277" spans="15:15" x14ac:dyDescent="0.25">
      <c r="O29277" s="20" t="str">
        <f>IF(N29277="","",COUNTIFS(RawData[[Date ]],N29277,RawData[Month List],$Q$6,RawData[Tour/Site],$Q$2,RawData[[Picker ID ]],$Q$3,RawData[Checker ID],$Q$4,RawData[[Error Type ]],$Q$5))</f>
        <v/>
      </c>
    </row>
    <row r="29278" spans="15:15" x14ac:dyDescent="0.25">
      <c r="O29278" s="20" t="str">
        <f>IF(N29278="","",COUNTIFS(RawData[[Date ]],N29278,RawData[Month List],$Q$6,RawData[Tour/Site],$Q$2,RawData[[Picker ID ]],$Q$3,RawData[Checker ID],$Q$4,RawData[[Error Type ]],$Q$5))</f>
        <v/>
      </c>
    </row>
    <row r="29279" spans="15:15" x14ac:dyDescent="0.25">
      <c r="O29279" s="20" t="str">
        <f>IF(N29279="","",COUNTIFS(RawData[[Date ]],N29279,RawData[Month List],$Q$6,RawData[Tour/Site],$Q$2,RawData[[Picker ID ]],$Q$3,RawData[Checker ID],$Q$4,RawData[[Error Type ]],$Q$5))</f>
        <v/>
      </c>
    </row>
    <row r="29280" spans="15:15" x14ac:dyDescent="0.25">
      <c r="O29280" s="20" t="str">
        <f>IF(N29280="","",COUNTIFS(RawData[[Date ]],N29280,RawData[Month List],$Q$6,RawData[Tour/Site],$Q$2,RawData[[Picker ID ]],$Q$3,RawData[Checker ID],$Q$4,RawData[[Error Type ]],$Q$5))</f>
        <v/>
      </c>
    </row>
    <row r="29281" spans="15:15" x14ac:dyDescent="0.25">
      <c r="O29281" s="20" t="str">
        <f>IF(N29281="","",COUNTIFS(RawData[[Date ]],N29281,RawData[Month List],$Q$6,RawData[Tour/Site],$Q$2,RawData[[Picker ID ]],$Q$3,RawData[Checker ID],$Q$4,RawData[[Error Type ]],$Q$5))</f>
        <v/>
      </c>
    </row>
    <row r="29282" spans="15:15" x14ac:dyDescent="0.25">
      <c r="O29282" s="20" t="str">
        <f>IF(N29282="","",COUNTIFS(RawData[[Date ]],N29282,RawData[Month List],$Q$6,RawData[Tour/Site],$Q$2,RawData[[Picker ID ]],$Q$3,RawData[Checker ID],$Q$4,RawData[[Error Type ]],$Q$5))</f>
        <v/>
      </c>
    </row>
    <row r="29283" spans="15:15" x14ac:dyDescent="0.25">
      <c r="O29283" s="20" t="str">
        <f>IF(N29283="","",COUNTIFS(RawData[[Date ]],N29283,RawData[Month List],$Q$6,RawData[Tour/Site],$Q$2,RawData[[Picker ID ]],$Q$3,RawData[Checker ID],$Q$4,RawData[[Error Type ]],$Q$5))</f>
        <v/>
      </c>
    </row>
    <row r="29284" spans="15:15" x14ac:dyDescent="0.25">
      <c r="O29284" s="20" t="str">
        <f>IF(N29284="","",COUNTIFS(RawData[[Date ]],N29284,RawData[Month List],$Q$6,RawData[Tour/Site],$Q$2,RawData[[Picker ID ]],$Q$3,RawData[Checker ID],$Q$4,RawData[[Error Type ]],$Q$5))</f>
        <v/>
      </c>
    </row>
    <row r="29285" spans="15:15" x14ac:dyDescent="0.25">
      <c r="O29285" s="20" t="str">
        <f>IF(N29285="","",COUNTIFS(RawData[[Date ]],N29285,RawData[Month List],$Q$6,RawData[Tour/Site],$Q$2,RawData[[Picker ID ]],$Q$3,RawData[Checker ID],$Q$4,RawData[[Error Type ]],$Q$5))</f>
        <v/>
      </c>
    </row>
    <row r="29286" spans="15:15" x14ac:dyDescent="0.25">
      <c r="O29286" s="20" t="str">
        <f>IF(N29286="","",COUNTIFS(RawData[[Date ]],N29286,RawData[Month List],$Q$6,RawData[Tour/Site],$Q$2,RawData[[Picker ID ]],$Q$3,RawData[Checker ID],$Q$4,RawData[[Error Type ]],$Q$5))</f>
        <v/>
      </c>
    </row>
    <row r="29287" spans="15:15" x14ac:dyDescent="0.25">
      <c r="O29287" s="20" t="str">
        <f>IF(N29287="","",COUNTIFS(RawData[[Date ]],N29287,RawData[Month List],$Q$6,RawData[Tour/Site],$Q$2,RawData[[Picker ID ]],$Q$3,RawData[Checker ID],$Q$4,RawData[[Error Type ]],$Q$5))</f>
        <v/>
      </c>
    </row>
    <row r="29288" spans="15:15" x14ac:dyDescent="0.25">
      <c r="O29288" s="20" t="str">
        <f>IF(N29288="","",COUNTIFS(RawData[[Date ]],N29288,RawData[Month List],$Q$6,RawData[Tour/Site],$Q$2,RawData[[Picker ID ]],$Q$3,RawData[Checker ID],$Q$4,RawData[[Error Type ]],$Q$5))</f>
        <v/>
      </c>
    </row>
    <row r="29289" spans="15:15" x14ac:dyDescent="0.25">
      <c r="O29289" s="20" t="str">
        <f>IF(N29289="","",COUNTIFS(RawData[[Date ]],N29289,RawData[Month List],$Q$6,RawData[Tour/Site],$Q$2,RawData[[Picker ID ]],$Q$3,RawData[Checker ID],$Q$4,RawData[[Error Type ]],$Q$5))</f>
        <v/>
      </c>
    </row>
    <row r="29290" spans="15:15" x14ac:dyDescent="0.25">
      <c r="O29290" s="20" t="str">
        <f>IF(N29290="","",COUNTIFS(RawData[[Date ]],N29290,RawData[Month List],$Q$6,RawData[Tour/Site],$Q$2,RawData[[Picker ID ]],$Q$3,RawData[Checker ID],$Q$4,RawData[[Error Type ]],$Q$5))</f>
        <v/>
      </c>
    </row>
    <row r="29291" spans="15:15" x14ac:dyDescent="0.25">
      <c r="O29291" s="20" t="str">
        <f>IF(N29291="","",COUNTIFS(RawData[[Date ]],N29291,RawData[Month List],$Q$6,RawData[Tour/Site],$Q$2,RawData[[Picker ID ]],$Q$3,RawData[Checker ID],$Q$4,RawData[[Error Type ]],$Q$5))</f>
        <v/>
      </c>
    </row>
    <row r="29292" spans="15:15" x14ac:dyDescent="0.25">
      <c r="O29292" s="20" t="str">
        <f>IF(N29292="","",COUNTIFS(RawData[[Date ]],N29292,RawData[Month List],$Q$6,RawData[Tour/Site],$Q$2,RawData[[Picker ID ]],$Q$3,RawData[Checker ID],$Q$4,RawData[[Error Type ]],$Q$5))</f>
        <v/>
      </c>
    </row>
    <row r="29293" spans="15:15" x14ac:dyDescent="0.25">
      <c r="O29293" s="20" t="str">
        <f>IF(N29293="","",COUNTIFS(RawData[[Date ]],N29293,RawData[Month List],$Q$6,RawData[Tour/Site],$Q$2,RawData[[Picker ID ]],$Q$3,RawData[Checker ID],$Q$4,RawData[[Error Type ]],$Q$5))</f>
        <v/>
      </c>
    </row>
    <row r="29294" spans="15:15" x14ac:dyDescent="0.25">
      <c r="O29294" s="20" t="str">
        <f>IF(N29294="","",COUNTIFS(RawData[[Date ]],N29294,RawData[Month List],$Q$6,RawData[Tour/Site],$Q$2,RawData[[Picker ID ]],$Q$3,RawData[Checker ID],$Q$4,RawData[[Error Type ]],$Q$5))</f>
        <v/>
      </c>
    </row>
    <row r="29295" spans="15:15" x14ac:dyDescent="0.25">
      <c r="O29295" s="20" t="str">
        <f>IF(N29295="","",COUNTIFS(RawData[[Date ]],N29295,RawData[Month List],$Q$6,RawData[Tour/Site],$Q$2,RawData[[Picker ID ]],$Q$3,RawData[Checker ID],$Q$4,RawData[[Error Type ]],$Q$5))</f>
        <v/>
      </c>
    </row>
    <row r="29296" spans="15:15" x14ac:dyDescent="0.25">
      <c r="O29296" s="20" t="str">
        <f>IF(N29296="","",COUNTIFS(RawData[[Date ]],N29296,RawData[Month List],$Q$6,RawData[Tour/Site],$Q$2,RawData[[Picker ID ]],$Q$3,RawData[Checker ID],$Q$4,RawData[[Error Type ]],$Q$5))</f>
        <v/>
      </c>
    </row>
    <row r="29297" spans="15:15" x14ac:dyDescent="0.25">
      <c r="O29297" s="20" t="str">
        <f>IF(N29297="","",COUNTIFS(RawData[[Date ]],N29297,RawData[Month List],$Q$6,RawData[Tour/Site],$Q$2,RawData[[Picker ID ]],$Q$3,RawData[Checker ID],$Q$4,RawData[[Error Type ]],$Q$5))</f>
        <v/>
      </c>
    </row>
    <row r="29298" spans="15:15" x14ac:dyDescent="0.25">
      <c r="O29298" s="20" t="str">
        <f>IF(N29298="","",COUNTIFS(RawData[[Date ]],N29298,RawData[Month List],$Q$6,RawData[Tour/Site],$Q$2,RawData[[Picker ID ]],$Q$3,RawData[Checker ID],$Q$4,RawData[[Error Type ]],$Q$5))</f>
        <v/>
      </c>
    </row>
    <row r="29299" spans="15:15" x14ac:dyDescent="0.25">
      <c r="O29299" s="20" t="str">
        <f>IF(N29299="","",COUNTIFS(RawData[[Date ]],N29299,RawData[Month List],$Q$6,RawData[Tour/Site],$Q$2,RawData[[Picker ID ]],$Q$3,RawData[Checker ID],$Q$4,RawData[[Error Type ]],$Q$5))</f>
        <v/>
      </c>
    </row>
    <row r="29300" spans="15:15" x14ac:dyDescent="0.25">
      <c r="O29300" s="20" t="str">
        <f>IF(N29300="","",COUNTIFS(RawData[[Date ]],N29300,RawData[Month List],$Q$6,RawData[Tour/Site],$Q$2,RawData[[Picker ID ]],$Q$3,RawData[Checker ID],$Q$4,RawData[[Error Type ]],$Q$5))</f>
        <v/>
      </c>
    </row>
    <row r="29301" spans="15:15" x14ac:dyDescent="0.25">
      <c r="O29301" s="20" t="str">
        <f>IF(N29301="","",COUNTIFS(RawData[[Date ]],N29301,RawData[Month List],$Q$6,RawData[Tour/Site],$Q$2,RawData[[Picker ID ]],$Q$3,RawData[Checker ID],$Q$4,RawData[[Error Type ]],$Q$5))</f>
        <v/>
      </c>
    </row>
    <row r="29302" spans="15:15" x14ac:dyDescent="0.25">
      <c r="O29302" s="20" t="str">
        <f>IF(N29302="","",COUNTIFS(RawData[[Date ]],N29302,RawData[Month List],$Q$6,RawData[Tour/Site],$Q$2,RawData[[Picker ID ]],$Q$3,RawData[Checker ID],$Q$4,RawData[[Error Type ]],$Q$5))</f>
        <v/>
      </c>
    </row>
    <row r="29303" spans="15:15" x14ac:dyDescent="0.25">
      <c r="O29303" s="20" t="str">
        <f>IF(N29303="","",COUNTIFS(RawData[[Date ]],N29303,RawData[Month List],$Q$6,RawData[Tour/Site],$Q$2,RawData[[Picker ID ]],$Q$3,RawData[Checker ID],$Q$4,RawData[[Error Type ]],$Q$5))</f>
        <v/>
      </c>
    </row>
    <row r="29304" spans="15:15" x14ac:dyDescent="0.25">
      <c r="O29304" s="20" t="str">
        <f>IF(N29304="","",COUNTIFS(RawData[[Date ]],N29304,RawData[Month List],$Q$6,RawData[Tour/Site],$Q$2,RawData[[Picker ID ]],$Q$3,RawData[Checker ID],$Q$4,RawData[[Error Type ]],$Q$5))</f>
        <v/>
      </c>
    </row>
    <row r="29305" spans="15:15" x14ac:dyDescent="0.25">
      <c r="O29305" s="20" t="str">
        <f>IF(N29305="","",COUNTIFS(RawData[[Date ]],N29305,RawData[Month List],$Q$6,RawData[Tour/Site],$Q$2,RawData[[Picker ID ]],$Q$3,RawData[Checker ID],$Q$4,RawData[[Error Type ]],$Q$5))</f>
        <v/>
      </c>
    </row>
    <row r="29306" spans="15:15" x14ac:dyDescent="0.25">
      <c r="O29306" s="20" t="str">
        <f>IF(N29306="","",COUNTIFS(RawData[[Date ]],N29306,RawData[Month List],$Q$6,RawData[Tour/Site],$Q$2,RawData[[Picker ID ]],$Q$3,RawData[Checker ID],$Q$4,RawData[[Error Type ]],$Q$5))</f>
        <v/>
      </c>
    </row>
    <row r="29307" spans="15:15" x14ac:dyDescent="0.25">
      <c r="O29307" s="20" t="str">
        <f>IF(N29307="","",COUNTIFS(RawData[[Date ]],N29307,RawData[Month List],$Q$6,RawData[Tour/Site],$Q$2,RawData[[Picker ID ]],$Q$3,RawData[Checker ID],$Q$4,RawData[[Error Type ]],$Q$5))</f>
        <v/>
      </c>
    </row>
    <row r="29308" spans="15:15" x14ac:dyDescent="0.25">
      <c r="O29308" s="20" t="str">
        <f>IF(N29308="","",COUNTIFS(RawData[[Date ]],N29308,RawData[Month List],$Q$6,RawData[Tour/Site],$Q$2,RawData[[Picker ID ]],$Q$3,RawData[Checker ID],$Q$4,RawData[[Error Type ]],$Q$5))</f>
        <v/>
      </c>
    </row>
    <row r="29309" spans="15:15" x14ac:dyDescent="0.25">
      <c r="O29309" s="20" t="str">
        <f>IF(N29309="","",COUNTIFS(RawData[[Date ]],N29309,RawData[Month List],$Q$6,RawData[Tour/Site],$Q$2,RawData[[Picker ID ]],$Q$3,RawData[Checker ID],$Q$4,RawData[[Error Type ]],$Q$5))</f>
        <v/>
      </c>
    </row>
    <row r="29310" spans="15:15" x14ac:dyDescent="0.25">
      <c r="O29310" s="20" t="str">
        <f>IF(N29310="","",COUNTIFS(RawData[[Date ]],N29310,RawData[Month List],$Q$6,RawData[Tour/Site],$Q$2,RawData[[Picker ID ]],$Q$3,RawData[Checker ID],$Q$4,RawData[[Error Type ]],$Q$5))</f>
        <v/>
      </c>
    </row>
    <row r="29311" spans="15:15" x14ac:dyDescent="0.25">
      <c r="O29311" s="20" t="str">
        <f>IF(N29311="","",COUNTIFS(RawData[[Date ]],N29311,RawData[Month List],$Q$6,RawData[Tour/Site],$Q$2,RawData[[Picker ID ]],$Q$3,RawData[Checker ID],$Q$4,RawData[[Error Type ]],$Q$5))</f>
        <v/>
      </c>
    </row>
    <row r="29312" spans="15:15" x14ac:dyDescent="0.25">
      <c r="O29312" s="20" t="str">
        <f>IF(N29312="","",COUNTIFS(RawData[[Date ]],N29312,RawData[Month List],$Q$6,RawData[Tour/Site],$Q$2,RawData[[Picker ID ]],$Q$3,RawData[Checker ID],$Q$4,RawData[[Error Type ]],$Q$5))</f>
        <v/>
      </c>
    </row>
    <row r="29313" spans="15:15" x14ac:dyDescent="0.25">
      <c r="O29313" s="20" t="str">
        <f>IF(N29313="","",COUNTIFS(RawData[[Date ]],N29313,RawData[Month List],$Q$6,RawData[Tour/Site],$Q$2,RawData[[Picker ID ]],$Q$3,RawData[Checker ID],$Q$4,RawData[[Error Type ]],$Q$5))</f>
        <v/>
      </c>
    </row>
    <row r="29314" spans="15:15" x14ac:dyDescent="0.25">
      <c r="O29314" s="20" t="str">
        <f>IF(N29314="","",COUNTIFS(RawData[[Date ]],N29314,RawData[Month List],$Q$6,RawData[Tour/Site],$Q$2,RawData[[Picker ID ]],$Q$3,RawData[Checker ID],$Q$4,RawData[[Error Type ]],$Q$5))</f>
        <v/>
      </c>
    </row>
    <row r="29315" spans="15:15" x14ac:dyDescent="0.25">
      <c r="O29315" s="20" t="str">
        <f>IF(N29315="","",COUNTIFS(RawData[[Date ]],N29315,RawData[Month List],$Q$6,RawData[Tour/Site],$Q$2,RawData[[Picker ID ]],$Q$3,RawData[Checker ID],$Q$4,RawData[[Error Type ]],$Q$5))</f>
        <v/>
      </c>
    </row>
    <row r="29316" spans="15:15" x14ac:dyDescent="0.25">
      <c r="O29316" s="20" t="str">
        <f>IF(N29316="","",COUNTIFS(RawData[[Date ]],N29316,RawData[Month List],$Q$6,RawData[Tour/Site],$Q$2,RawData[[Picker ID ]],$Q$3,RawData[Checker ID],$Q$4,RawData[[Error Type ]],$Q$5))</f>
        <v/>
      </c>
    </row>
    <row r="29317" spans="15:15" x14ac:dyDescent="0.25">
      <c r="O29317" s="20" t="str">
        <f>IF(N29317="","",COUNTIFS(RawData[[Date ]],N29317,RawData[Month List],$Q$6,RawData[Tour/Site],$Q$2,RawData[[Picker ID ]],$Q$3,RawData[Checker ID],$Q$4,RawData[[Error Type ]],$Q$5))</f>
        <v/>
      </c>
    </row>
    <row r="29318" spans="15:15" x14ac:dyDescent="0.25">
      <c r="O29318" s="20" t="str">
        <f>IF(N29318="","",COUNTIFS(RawData[[Date ]],N29318,RawData[Month List],$Q$6,RawData[Tour/Site],$Q$2,RawData[[Picker ID ]],$Q$3,RawData[Checker ID],$Q$4,RawData[[Error Type ]],$Q$5))</f>
        <v/>
      </c>
    </row>
    <row r="29319" spans="15:15" x14ac:dyDescent="0.25">
      <c r="O29319" s="20" t="str">
        <f>IF(N29319="","",COUNTIFS(RawData[[Date ]],N29319,RawData[Month List],$Q$6,RawData[Tour/Site],$Q$2,RawData[[Picker ID ]],$Q$3,RawData[Checker ID],$Q$4,RawData[[Error Type ]],$Q$5))</f>
        <v/>
      </c>
    </row>
    <row r="29320" spans="15:15" x14ac:dyDescent="0.25">
      <c r="O29320" s="20" t="str">
        <f>IF(N29320="","",COUNTIFS(RawData[[Date ]],N29320,RawData[Month List],$Q$6,RawData[Tour/Site],$Q$2,RawData[[Picker ID ]],$Q$3,RawData[Checker ID],$Q$4,RawData[[Error Type ]],$Q$5))</f>
        <v/>
      </c>
    </row>
    <row r="29321" spans="15:15" x14ac:dyDescent="0.25">
      <c r="O29321" s="20" t="str">
        <f>IF(N29321="","",COUNTIFS(RawData[[Date ]],N29321,RawData[Month List],$Q$6,RawData[Tour/Site],$Q$2,RawData[[Picker ID ]],$Q$3,RawData[Checker ID],$Q$4,RawData[[Error Type ]],$Q$5))</f>
        <v/>
      </c>
    </row>
    <row r="29322" spans="15:15" x14ac:dyDescent="0.25">
      <c r="O29322" s="20" t="str">
        <f>IF(N29322="","",COUNTIFS(RawData[[Date ]],N29322,RawData[Month List],$Q$6,RawData[Tour/Site],$Q$2,RawData[[Picker ID ]],$Q$3,RawData[Checker ID],$Q$4,RawData[[Error Type ]],$Q$5))</f>
        <v/>
      </c>
    </row>
    <row r="29323" spans="15:15" x14ac:dyDescent="0.25">
      <c r="O29323" s="20" t="str">
        <f>IF(N29323="","",COUNTIFS(RawData[[Date ]],N29323,RawData[Month List],$Q$6,RawData[Tour/Site],$Q$2,RawData[[Picker ID ]],$Q$3,RawData[Checker ID],$Q$4,RawData[[Error Type ]],$Q$5))</f>
        <v/>
      </c>
    </row>
    <row r="29324" spans="15:15" x14ac:dyDescent="0.25">
      <c r="O29324" s="20" t="str">
        <f>IF(N29324="","",COUNTIFS(RawData[[Date ]],N29324,RawData[Month List],$Q$6,RawData[Tour/Site],$Q$2,RawData[[Picker ID ]],$Q$3,RawData[Checker ID],$Q$4,RawData[[Error Type ]],$Q$5))</f>
        <v/>
      </c>
    </row>
    <row r="29325" spans="15:15" x14ac:dyDescent="0.25">
      <c r="O29325" s="20" t="str">
        <f>IF(N29325="","",COUNTIFS(RawData[[Date ]],N29325,RawData[Month List],$Q$6,RawData[Tour/Site],$Q$2,RawData[[Picker ID ]],$Q$3,RawData[Checker ID],$Q$4,RawData[[Error Type ]],$Q$5))</f>
        <v/>
      </c>
    </row>
    <row r="29326" spans="15:15" x14ac:dyDescent="0.25">
      <c r="O29326" s="20" t="str">
        <f>IF(N29326="","",COUNTIFS(RawData[[Date ]],N29326,RawData[Month List],$Q$6,RawData[Tour/Site],$Q$2,RawData[[Picker ID ]],$Q$3,RawData[Checker ID],$Q$4,RawData[[Error Type ]],$Q$5))</f>
        <v/>
      </c>
    </row>
    <row r="29327" spans="15:15" x14ac:dyDescent="0.25">
      <c r="O29327" s="20" t="str">
        <f>IF(N29327="","",COUNTIFS(RawData[[Date ]],N29327,RawData[Month List],$Q$6,RawData[Tour/Site],$Q$2,RawData[[Picker ID ]],$Q$3,RawData[Checker ID],$Q$4,RawData[[Error Type ]],$Q$5))</f>
        <v/>
      </c>
    </row>
    <row r="29328" spans="15:15" x14ac:dyDescent="0.25">
      <c r="O29328" s="20" t="str">
        <f>IF(N29328="","",COUNTIFS(RawData[[Date ]],N29328,RawData[Month List],$Q$6,RawData[Tour/Site],$Q$2,RawData[[Picker ID ]],$Q$3,RawData[Checker ID],$Q$4,RawData[[Error Type ]],$Q$5))</f>
        <v/>
      </c>
    </row>
    <row r="29329" spans="15:15" x14ac:dyDescent="0.25">
      <c r="O29329" s="20" t="str">
        <f>IF(N29329="","",COUNTIFS(RawData[[Date ]],N29329,RawData[Month List],$Q$6,RawData[Tour/Site],$Q$2,RawData[[Picker ID ]],$Q$3,RawData[Checker ID],$Q$4,RawData[[Error Type ]],$Q$5))</f>
        <v/>
      </c>
    </row>
    <row r="29330" spans="15:15" x14ac:dyDescent="0.25">
      <c r="O29330" s="20" t="str">
        <f>IF(N29330="","",COUNTIFS(RawData[[Date ]],N29330,RawData[Month List],$Q$6,RawData[Tour/Site],$Q$2,RawData[[Picker ID ]],$Q$3,RawData[Checker ID],$Q$4,RawData[[Error Type ]],$Q$5))</f>
        <v/>
      </c>
    </row>
    <row r="29331" spans="15:15" x14ac:dyDescent="0.25">
      <c r="O29331" s="20" t="str">
        <f>IF(N29331="","",COUNTIFS(RawData[[Date ]],N29331,RawData[Month List],$Q$6,RawData[Tour/Site],$Q$2,RawData[[Picker ID ]],$Q$3,RawData[Checker ID],$Q$4,RawData[[Error Type ]],$Q$5))</f>
        <v/>
      </c>
    </row>
    <row r="29332" spans="15:15" x14ac:dyDescent="0.25">
      <c r="O29332" s="20" t="str">
        <f>IF(N29332="","",COUNTIFS(RawData[[Date ]],N29332,RawData[Month List],$Q$6,RawData[Tour/Site],$Q$2,RawData[[Picker ID ]],$Q$3,RawData[Checker ID],$Q$4,RawData[[Error Type ]],$Q$5))</f>
        <v/>
      </c>
    </row>
    <row r="29333" spans="15:15" x14ac:dyDescent="0.25">
      <c r="O29333" s="20" t="str">
        <f>IF(N29333="","",COUNTIFS(RawData[[Date ]],N29333,RawData[Month List],$Q$6,RawData[Tour/Site],$Q$2,RawData[[Picker ID ]],$Q$3,RawData[Checker ID],$Q$4,RawData[[Error Type ]],$Q$5))</f>
        <v/>
      </c>
    </row>
    <row r="29334" spans="15:15" x14ac:dyDescent="0.25">
      <c r="O29334" s="20" t="str">
        <f>IF(N29334="","",COUNTIFS(RawData[[Date ]],N29334,RawData[Month List],$Q$6,RawData[Tour/Site],$Q$2,RawData[[Picker ID ]],$Q$3,RawData[Checker ID],$Q$4,RawData[[Error Type ]],$Q$5))</f>
        <v/>
      </c>
    </row>
    <row r="29335" spans="15:15" x14ac:dyDescent="0.25">
      <c r="O29335" s="20" t="str">
        <f>IF(N29335="","",COUNTIFS(RawData[[Date ]],N29335,RawData[Month List],$Q$6,RawData[Tour/Site],$Q$2,RawData[[Picker ID ]],$Q$3,RawData[Checker ID],$Q$4,RawData[[Error Type ]],$Q$5))</f>
        <v/>
      </c>
    </row>
    <row r="29336" spans="15:15" x14ac:dyDescent="0.25">
      <c r="O29336" s="20" t="str">
        <f>IF(N29336="","",COUNTIFS(RawData[[Date ]],N29336,RawData[Month List],$Q$6,RawData[Tour/Site],$Q$2,RawData[[Picker ID ]],$Q$3,RawData[Checker ID],$Q$4,RawData[[Error Type ]],$Q$5))</f>
        <v/>
      </c>
    </row>
    <row r="29337" spans="15:15" x14ac:dyDescent="0.25">
      <c r="O29337" s="20" t="str">
        <f>IF(N29337="","",COUNTIFS(RawData[[Date ]],N29337,RawData[Month List],$Q$6,RawData[Tour/Site],$Q$2,RawData[[Picker ID ]],$Q$3,RawData[Checker ID],$Q$4,RawData[[Error Type ]],$Q$5))</f>
        <v/>
      </c>
    </row>
    <row r="29338" spans="15:15" x14ac:dyDescent="0.25">
      <c r="O29338" s="20" t="str">
        <f>IF(N29338="","",COUNTIFS(RawData[[Date ]],N29338,RawData[Month List],$Q$6,RawData[Tour/Site],$Q$2,RawData[[Picker ID ]],$Q$3,RawData[Checker ID],$Q$4,RawData[[Error Type ]],$Q$5))</f>
        <v/>
      </c>
    </row>
    <row r="29339" spans="15:15" x14ac:dyDescent="0.25">
      <c r="O29339" s="20" t="str">
        <f>IF(N29339="","",COUNTIFS(RawData[[Date ]],N29339,RawData[Month List],$Q$6,RawData[Tour/Site],$Q$2,RawData[[Picker ID ]],$Q$3,RawData[Checker ID],$Q$4,RawData[[Error Type ]],$Q$5))</f>
        <v/>
      </c>
    </row>
    <row r="29340" spans="15:15" x14ac:dyDescent="0.25">
      <c r="O29340" s="20" t="str">
        <f>IF(N29340="","",COUNTIFS(RawData[[Date ]],N29340,RawData[Month List],$Q$6,RawData[Tour/Site],$Q$2,RawData[[Picker ID ]],$Q$3,RawData[Checker ID],$Q$4,RawData[[Error Type ]],$Q$5))</f>
        <v/>
      </c>
    </row>
    <row r="29341" spans="15:15" x14ac:dyDescent="0.25">
      <c r="O29341" s="20" t="str">
        <f>IF(N29341="","",COUNTIFS(RawData[[Date ]],N29341,RawData[Month List],$Q$6,RawData[Tour/Site],$Q$2,RawData[[Picker ID ]],$Q$3,RawData[Checker ID],$Q$4,RawData[[Error Type ]],$Q$5))</f>
        <v/>
      </c>
    </row>
    <row r="29342" spans="15:15" x14ac:dyDescent="0.25">
      <c r="O29342" s="20" t="str">
        <f>IF(N29342="","",COUNTIFS(RawData[[Date ]],N29342,RawData[Month List],$Q$6,RawData[Tour/Site],$Q$2,RawData[[Picker ID ]],$Q$3,RawData[Checker ID],$Q$4,RawData[[Error Type ]],$Q$5))</f>
        <v/>
      </c>
    </row>
    <row r="29343" spans="15:15" x14ac:dyDescent="0.25">
      <c r="O29343" s="20" t="str">
        <f>IF(N29343="","",COUNTIFS(RawData[[Date ]],N29343,RawData[Month List],$Q$6,RawData[Tour/Site],$Q$2,RawData[[Picker ID ]],$Q$3,RawData[Checker ID],$Q$4,RawData[[Error Type ]],$Q$5))</f>
        <v/>
      </c>
    </row>
    <row r="29344" spans="15:15" x14ac:dyDescent="0.25">
      <c r="O29344" s="20" t="str">
        <f>IF(N29344="","",COUNTIFS(RawData[[Date ]],N29344,RawData[Month List],$Q$6,RawData[Tour/Site],$Q$2,RawData[[Picker ID ]],$Q$3,RawData[Checker ID],$Q$4,RawData[[Error Type ]],$Q$5))</f>
        <v/>
      </c>
    </row>
    <row r="29345" spans="15:15" x14ac:dyDescent="0.25">
      <c r="O29345" s="20" t="str">
        <f>IF(N29345="","",COUNTIFS(RawData[[Date ]],N29345,RawData[Month List],$Q$6,RawData[Tour/Site],$Q$2,RawData[[Picker ID ]],$Q$3,RawData[Checker ID],$Q$4,RawData[[Error Type ]],$Q$5))</f>
        <v/>
      </c>
    </row>
    <row r="29346" spans="15:15" x14ac:dyDescent="0.25">
      <c r="O29346" s="20" t="str">
        <f>IF(N29346="","",COUNTIFS(RawData[[Date ]],N29346,RawData[Month List],$Q$6,RawData[Tour/Site],$Q$2,RawData[[Picker ID ]],$Q$3,RawData[Checker ID],$Q$4,RawData[[Error Type ]],$Q$5))</f>
        <v/>
      </c>
    </row>
    <row r="29347" spans="15:15" x14ac:dyDescent="0.25">
      <c r="O29347" s="20" t="str">
        <f>IF(N29347="","",COUNTIFS(RawData[[Date ]],N29347,RawData[Month List],$Q$6,RawData[Tour/Site],$Q$2,RawData[[Picker ID ]],$Q$3,RawData[Checker ID],$Q$4,RawData[[Error Type ]],$Q$5))</f>
        <v/>
      </c>
    </row>
    <row r="29348" spans="15:15" x14ac:dyDescent="0.25">
      <c r="O29348" s="20" t="str">
        <f>IF(N29348="","",COUNTIFS(RawData[[Date ]],N29348,RawData[Month List],$Q$6,RawData[Tour/Site],$Q$2,RawData[[Picker ID ]],$Q$3,RawData[Checker ID],$Q$4,RawData[[Error Type ]],$Q$5))</f>
        <v/>
      </c>
    </row>
    <row r="29349" spans="15:15" x14ac:dyDescent="0.25">
      <c r="O29349" s="20" t="str">
        <f>IF(N29349="","",COUNTIFS(RawData[[Date ]],N29349,RawData[Month List],$Q$6,RawData[Tour/Site],$Q$2,RawData[[Picker ID ]],$Q$3,RawData[Checker ID],$Q$4,RawData[[Error Type ]],$Q$5))</f>
        <v/>
      </c>
    </row>
    <row r="29350" spans="15:15" x14ac:dyDescent="0.25">
      <c r="O29350" s="20" t="str">
        <f>IF(N29350="","",COUNTIFS(RawData[[Date ]],N29350,RawData[Month List],$Q$6,RawData[Tour/Site],$Q$2,RawData[[Picker ID ]],$Q$3,RawData[Checker ID],$Q$4,RawData[[Error Type ]],$Q$5))</f>
        <v/>
      </c>
    </row>
    <row r="29351" spans="15:15" x14ac:dyDescent="0.25">
      <c r="O29351" s="20" t="str">
        <f>IF(N29351="","",COUNTIFS(RawData[[Date ]],N29351,RawData[Month List],$Q$6,RawData[Tour/Site],$Q$2,RawData[[Picker ID ]],$Q$3,RawData[Checker ID],$Q$4,RawData[[Error Type ]],$Q$5))</f>
        <v/>
      </c>
    </row>
    <row r="29352" spans="15:15" x14ac:dyDescent="0.25">
      <c r="O29352" s="20" t="str">
        <f>IF(N29352="","",COUNTIFS(RawData[[Date ]],N29352,RawData[Month List],$Q$6,RawData[Tour/Site],$Q$2,RawData[[Picker ID ]],$Q$3,RawData[Checker ID],$Q$4,RawData[[Error Type ]],$Q$5))</f>
        <v/>
      </c>
    </row>
    <row r="29353" spans="15:15" x14ac:dyDescent="0.25">
      <c r="O29353" s="20" t="str">
        <f>IF(N29353="","",COUNTIFS(RawData[[Date ]],N29353,RawData[Month List],$Q$6,RawData[Tour/Site],$Q$2,RawData[[Picker ID ]],$Q$3,RawData[Checker ID],$Q$4,RawData[[Error Type ]],$Q$5))</f>
        <v/>
      </c>
    </row>
    <row r="29354" spans="15:15" x14ac:dyDescent="0.25">
      <c r="O29354" s="20" t="str">
        <f>IF(N29354="","",COUNTIFS(RawData[[Date ]],N29354,RawData[Month List],$Q$6,RawData[Tour/Site],$Q$2,RawData[[Picker ID ]],$Q$3,RawData[Checker ID],$Q$4,RawData[[Error Type ]],$Q$5))</f>
        <v/>
      </c>
    </row>
    <row r="29355" spans="15:15" x14ac:dyDescent="0.25">
      <c r="O29355" s="20" t="str">
        <f>IF(N29355="","",COUNTIFS(RawData[[Date ]],N29355,RawData[Month List],$Q$6,RawData[Tour/Site],$Q$2,RawData[[Picker ID ]],$Q$3,RawData[Checker ID],$Q$4,RawData[[Error Type ]],$Q$5))</f>
        <v/>
      </c>
    </row>
    <row r="29356" spans="15:15" x14ac:dyDescent="0.25">
      <c r="O29356" s="20" t="str">
        <f>IF(N29356="","",COUNTIFS(RawData[[Date ]],N29356,RawData[Month List],$Q$6,RawData[Tour/Site],$Q$2,RawData[[Picker ID ]],$Q$3,RawData[Checker ID],$Q$4,RawData[[Error Type ]],$Q$5))</f>
        <v/>
      </c>
    </row>
    <row r="29357" spans="15:15" x14ac:dyDescent="0.25">
      <c r="O29357" s="20" t="str">
        <f>IF(N29357="","",COUNTIFS(RawData[[Date ]],N29357,RawData[Month List],$Q$6,RawData[Tour/Site],$Q$2,RawData[[Picker ID ]],$Q$3,RawData[Checker ID],$Q$4,RawData[[Error Type ]],$Q$5))</f>
        <v/>
      </c>
    </row>
    <row r="29358" spans="15:15" x14ac:dyDescent="0.25">
      <c r="O29358" s="20" t="str">
        <f>IF(N29358="","",COUNTIFS(RawData[[Date ]],N29358,RawData[Month List],$Q$6,RawData[Tour/Site],$Q$2,RawData[[Picker ID ]],$Q$3,RawData[Checker ID],$Q$4,RawData[[Error Type ]],$Q$5))</f>
        <v/>
      </c>
    </row>
    <row r="29359" spans="15:15" x14ac:dyDescent="0.25">
      <c r="O29359" s="20" t="str">
        <f>IF(N29359="","",COUNTIFS(RawData[[Date ]],N29359,RawData[Month List],$Q$6,RawData[Tour/Site],$Q$2,RawData[[Picker ID ]],$Q$3,RawData[Checker ID],$Q$4,RawData[[Error Type ]],$Q$5))</f>
        <v/>
      </c>
    </row>
    <row r="29360" spans="15:15" x14ac:dyDescent="0.25">
      <c r="O29360" s="20" t="str">
        <f>IF(N29360="","",COUNTIFS(RawData[[Date ]],N29360,RawData[Month List],$Q$6,RawData[Tour/Site],$Q$2,RawData[[Picker ID ]],$Q$3,RawData[Checker ID],$Q$4,RawData[[Error Type ]],$Q$5))</f>
        <v/>
      </c>
    </row>
    <row r="29361" spans="15:15" x14ac:dyDescent="0.25">
      <c r="O29361" s="20" t="str">
        <f>IF(N29361="","",COUNTIFS(RawData[[Date ]],N29361,RawData[Month List],$Q$6,RawData[Tour/Site],$Q$2,RawData[[Picker ID ]],$Q$3,RawData[Checker ID],$Q$4,RawData[[Error Type ]],$Q$5))</f>
        <v/>
      </c>
    </row>
    <row r="29362" spans="15:15" x14ac:dyDescent="0.25">
      <c r="O29362" s="20" t="str">
        <f>IF(N29362="","",COUNTIFS(RawData[[Date ]],N29362,RawData[Month List],$Q$6,RawData[Tour/Site],$Q$2,RawData[[Picker ID ]],$Q$3,RawData[Checker ID],$Q$4,RawData[[Error Type ]],$Q$5))</f>
        <v/>
      </c>
    </row>
    <row r="29363" spans="15:15" x14ac:dyDescent="0.25">
      <c r="O29363" s="20" t="str">
        <f>IF(N29363="","",COUNTIFS(RawData[[Date ]],N29363,RawData[Month List],$Q$6,RawData[Tour/Site],$Q$2,RawData[[Picker ID ]],$Q$3,RawData[Checker ID],$Q$4,RawData[[Error Type ]],$Q$5))</f>
        <v/>
      </c>
    </row>
    <row r="29364" spans="15:15" x14ac:dyDescent="0.25">
      <c r="O29364" s="20" t="str">
        <f>IF(N29364="","",COUNTIFS(RawData[[Date ]],N29364,RawData[Month List],$Q$6,RawData[Tour/Site],$Q$2,RawData[[Picker ID ]],$Q$3,RawData[Checker ID],$Q$4,RawData[[Error Type ]],$Q$5))</f>
        <v/>
      </c>
    </row>
    <row r="29365" spans="15:15" x14ac:dyDescent="0.25">
      <c r="O29365" s="20" t="str">
        <f>IF(N29365="","",COUNTIFS(RawData[[Date ]],N29365,RawData[Month List],$Q$6,RawData[Tour/Site],$Q$2,RawData[[Picker ID ]],$Q$3,RawData[Checker ID],$Q$4,RawData[[Error Type ]],$Q$5))</f>
        <v/>
      </c>
    </row>
    <row r="29366" spans="15:15" x14ac:dyDescent="0.25">
      <c r="O29366" s="20" t="str">
        <f>IF(N29366="","",COUNTIFS(RawData[[Date ]],N29366,RawData[Month List],$Q$6,RawData[Tour/Site],$Q$2,RawData[[Picker ID ]],$Q$3,RawData[Checker ID],$Q$4,RawData[[Error Type ]],$Q$5))</f>
        <v/>
      </c>
    </row>
    <row r="29367" spans="15:15" x14ac:dyDescent="0.25">
      <c r="O29367" s="20" t="str">
        <f>IF(N29367="","",COUNTIFS(RawData[[Date ]],N29367,RawData[Month List],$Q$6,RawData[Tour/Site],$Q$2,RawData[[Picker ID ]],$Q$3,RawData[Checker ID],$Q$4,RawData[[Error Type ]],$Q$5))</f>
        <v/>
      </c>
    </row>
    <row r="29368" spans="15:15" x14ac:dyDescent="0.25">
      <c r="O29368" s="20" t="str">
        <f>IF(N29368="","",COUNTIFS(RawData[[Date ]],N29368,RawData[Month List],$Q$6,RawData[Tour/Site],$Q$2,RawData[[Picker ID ]],$Q$3,RawData[Checker ID],$Q$4,RawData[[Error Type ]],$Q$5))</f>
        <v/>
      </c>
    </row>
    <row r="29369" spans="15:15" x14ac:dyDescent="0.25">
      <c r="O29369" s="20" t="str">
        <f>IF(N29369="","",COUNTIFS(RawData[[Date ]],N29369,RawData[Month List],$Q$6,RawData[Tour/Site],$Q$2,RawData[[Picker ID ]],$Q$3,RawData[Checker ID],$Q$4,RawData[[Error Type ]],$Q$5))</f>
        <v/>
      </c>
    </row>
    <row r="29370" spans="15:15" x14ac:dyDescent="0.25">
      <c r="O29370" s="20" t="str">
        <f>IF(N29370="","",COUNTIFS(RawData[[Date ]],N29370,RawData[Month List],$Q$6,RawData[Tour/Site],$Q$2,RawData[[Picker ID ]],$Q$3,RawData[Checker ID],$Q$4,RawData[[Error Type ]],$Q$5))</f>
        <v/>
      </c>
    </row>
    <row r="29371" spans="15:15" x14ac:dyDescent="0.25">
      <c r="O29371" s="20" t="str">
        <f>IF(N29371="","",COUNTIFS(RawData[[Date ]],N29371,RawData[Month List],$Q$6,RawData[Tour/Site],$Q$2,RawData[[Picker ID ]],$Q$3,RawData[Checker ID],$Q$4,RawData[[Error Type ]],$Q$5))</f>
        <v/>
      </c>
    </row>
    <row r="29372" spans="15:15" x14ac:dyDescent="0.25">
      <c r="O29372" s="20" t="str">
        <f>IF(N29372="","",COUNTIFS(RawData[[Date ]],N29372,RawData[Month List],$Q$6,RawData[Tour/Site],$Q$2,RawData[[Picker ID ]],$Q$3,RawData[Checker ID],$Q$4,RawData[[Error Type ]],$Q$5))</f>
        <v/>
      </c>
    </row>
    <row r="29373" spans="15:15" x14ac:dyDescent="0.25">
      <c r="O29373" s="20" t="str">
        <f>IF(N29373="","",COUNTIFS(RawData[[Date ]],N29373,RawData[Month List],$Q$6,RawData[Tour/Site],$Q$2,RawData[[Picker ID ]],$Q$3,RawData[Checker ID],$Q$4,RawData[[Error Type ]],$Q$5))</f>
        <v/>
      </c>
    </row>
    <row r="29374" spans="15:15" x14ac:dyDescent="0.25">
      <c r="O29374" s="20" t="str">
        <f>IF(N29374="","",COUNTIFS(RawData[[Date ]],N29374,RawData[Month List],$Q$6,RawData[Tour/Site],$Q$2,RawData[[Picker ID ]],$Q$3,RawData[Checker ID],$Q$4,RawData[[Error Type ]],$Q$5))</f>
        <v/>
      </c>
    </row>
    <row r="29375" spans="15:15" x14ac:dyDescent="0.25">
      <c r="O29375" s="20" t="str">
        <f>IF(N29375="","",COUNTIFS(RawData[[Date ]],N29375,RawData[Month List],$Q$6,RawData[Tour/Site],$Q$2,RawData[[Picker ID ]],$Q$3,RawData[Checker ID],$Q$4,RawData[[Error Type ]],$Q$5))</f>
        <v/>
      </c>
    </row>
    <row r="29376" spans="15:15" x14ac:dyDescent="0.25">
      <c r="O29376" s="20" t="str">
        <f>IF(N29376="","",COUNTIFS(RawData[[Date ]],N29376,RawData[Month List],$Q$6,RawData[Tour/Site],$Q$2,RawData[[Picker ID ]],$Q$3,RawData[Checker ID],$Q$4,RawData[[Error Type ]],$Q$5))</f>
        <v/>
      </c>
    </row>
    <row r="29377" spans="15:15" x14ac:dyDescent="0.25">
      <c r="O29377" s="20" t="str">
        <f>IF(N29377="","",COUNTIFS(RawData[[Date ]],N29377,RawData[Month List],$Q$6,RawData[Tour/Site],$Q$2,RawData[[Picker ID ]],$Q$3,RawData[Checker ID],$Q$4,RawData[[Error Type ]],$Q$5))</f>
        <v/>
      </c>
    </row>
    <row r="29378" spans="15:15" x14ac:dyDescent="0.25">
      <c r="O29378" s="20" t="str">
        <f>IF(N29378="","",COUNTIFS(RawData[[Date ]],N29378,RawData[Month List],$Q$6,RawData[Tour/Site],$Q$2,RawData[[Picker ID ]],$Q$3,RawData[Checker ID],$Q$4,RawData[[Error Type ]],$Q$5))</f>
        <v/>
      </c>
    </row>
    <row r="29379" spans="15:15" x14ac:dyDescent="0.25">
      <c r="O29379" s="20" t="str">
        <f>IF(N29379="","",COUNTIFS(RawData[[Date ]],N29379,RawData[Month List],$Q$6,RawData[Tour/Site],$Q$2,RawData[[Picker ID ]],$Q$3,RawData[Checker ID],$Q$4,RawData[[Error Type ]],$Q$5))</f>
        <v/>
      </c>
    </row>
    <row r="29380" spans="15:15" x14ac:dyDescent="0.25">
      <c r="O29380" s="20" t="str">
        <f>IF(N29380="","",COUNTIFS(RawData[[Date ]],N29380,RawData[Month List],$Q$6,RawData[Tour/Site],$Q$2,RawData[[Picker ID ]],$Q$3,RawData[Checker ID],$Q$4,RawData[[Error Type ]],$Q$5))</f>
        <v/>
      </c>
    </row>
    <row r="29381" spans="15:15" x14ac:dyDescent="0.25">
      <c r="O29381" s="20" t="str">
        <f>IF(N29381="","",COUNTIFS(RawData[[Date ]],N29381,RawData[Month List],$Q$6,RawData[Tour/Site],$Q$2,RawData[[Picker ID ]],$Q$3,RawData[Checker ID],$Q$4,RawData[[Error Type ]],$Q$5))</f>
        <v/>
      </c>
    </row>
    <row r="29382" spans="15:15" x14ac:dyDescent="0.25">
      <c r="O29382" s="20" t="str">
        <f>IF(N29382="","",COUNTIFS(RawData[[Date ]],N29382,RawData[Month List],$Q$6,RawData[Tour/Site],$Q$2,RawData[[Picker ID ]],$Q$3,RawData[Checker ID],$Q$4,RawData[[Error Type ]],$Q$5))</f>
        <v/>
      </c>
    </row>
    <row r="29383" spans="15:15" x14ac:dyDescent="0.25">
      <c r="O29383" s="20" t="str">
        <f>IF(N29383="","",COUNTIFS(RawData[[Date ]],N29383,RawData[Month List],$Q$6,RawData[Tour/Site],$Q$2,RawData[[Picker ID ]],$Q$3,RawData[Checker ID],$Q$4,RawData[[Error Type ]],$Q$5))</f>
        <v/>
      </c>
    </row>
    <row r="29384" spans="15:15" x14ac:dyDescent="0.25">
      <c r="O29384" s="20" t="str">
        <f>IF(N29384="","",COUNTIFS(RawData[[Date ]],N29384,RawData[Month List],$Q$6,RawData[Tour/Site],$Q$2,RawData[[Picker ID ]],$Q$3,RawData[Checker ID],$Q$4,RawData[[Error Type ]],$Q$5))</f>
        <v/>
      </c>
    </row>
    <row r="29385" spans="15:15" x14ac:dyDescent="0.25">
      <c r="O29385" s="20" t="str">
        <f>IF(N29385="","",COUNTIFS(RawData[[Date ]],N29385,RawData[Month List],$Q$6,RawData[Tour/Site],$Q$2,RawData[[Picker ID ]],$Q$3,RawData[Checker ID],$Q$4,RawData[[Error Type ]],$Q$5))</f>
        <v/>
      </c>
    </row>
    <row r="29386" spans="15:15" x14ac:dyDescent="0.25">
      <c r="O29386" s="20" t="str">
        <f>IF(N29386="","",COUNTIFS(RawData[[Date ]],N29386,RawData[Month List],$Q$6,RawData[Tour/Site],$Q$2,RawData[[Picker ID ]],$Q$3,RawData[Checker ID],$Q$4,RawData[[Error Type ]],$Q$5))</f>
        <v/>
      </c>
    </row>
    <row r="29387" spans="15:15" x14ac:dyDescent="0.25">
      <c r="O29387" s="20" t="str">
        <f>IF(N29387="","",COUNTIFS(RawData[[Date ]],N29387,RawData[Month List],$Q$6,RawData[Tour/Site],$Q$2,RawData[[Picker ID ]],$Q$3,RawData[Checker ID],$Q$4,RawData[[Error Type ]],$Q$5))</f>
        <v/>
      </c>
    </row>
    <row r="29388" spans="15:15" x14ac:dyDescent="0.25">
      <c r="O29388" s="20" t="str">
        <f>IF(N29388="","",COUNTIFS(RawData[[Date ]],N29388,RawData[Month List],$Q$6,RawData[Tour/Site],$Q$2,RawData[[Picker ID ]],$Q$3,RawData[Checker ID],$Q$4,RawData[[Error Type ]],$Q$5))</f>
        <v/>
      </c>
    </row>
    <row r="29389" spans="15:15" x14ac:dyDescent="0.25">
      <c r="O29389" s="20" t="str">
        <f>IF(N29389="","",COUNTIFS(RawData[[Date ]],N29389,RawData[Month List],$Q$6,RawData[Tour/Site],$Q$2,RawData[[Picker ID ]],$Q$3,RawData[Checker ID],$Q$4,RawData[[Error Type ]],$Q$5))</f>
        <v/>
      </c>
    </row>
    <row r="29390" spans="15:15" x14ac:dyDescent="0.25">
      <c r="O29390" s="20" t="str">
        <f>IF(N29390="","",COUNTIFS(RawData[[Date ]],N29390,RawData[Month List],$Q$6,RawData[Tour/Site],$Q$2,RawData[[Picker ID ]],$Q$3,RawData[Checker ID],$Q$4,RawData[[Error Type ]],$Q$5))</f>
        <v/>
      </c>
    </row>
    <row r="29391" spans="15:15" x14ac:dyDescent="0.25">
      <c r="O29391" s="20" t="str">
        <f>IF(N29391="","",COUNTIFS(RawData[[Date ]],N29391,RawData[Month List],$Q$6,RawData[Tour/Site],$Q$2,RawData[[Picker ID ]],$Q$3,RawData[Checker ID],$Q$4,RawData[[Error Type ]],$Q$5))</f>
        <v/>
      </c>
    </row>
    <row r="29392" spans="15:15" x14ac:dyDescent="0.25">
      <c r="O29392" s="20" t="str">
        <f>IF(N29392="","",COUNTIFS(RawData[[Date ]],N29392,RawData[Month List],$Q$6,RawData[Tour/Site],$Q$2,RawData[[Picker ID ]],$Q$3,RawData[Checker ID],$Q$4,RawData[[Error Type ]],$Q$5))</f>
        <v/>
      </c>
    </row>
    <row r="29393" spans="15:15" x14ac:dyDescent="0.25">
      <c r="O29393" s="20" t="str">
        <f>IF(N29393="","",COUNTIFS(RawData[[Date ]],N29393,RawData[Month List],$Q$6,RawData[Tour/Site],$Q$2,RawData[[Picker ID ]],$Q$3,RawData[Checker ID],$Q$4,RawData[[Error Type ]],$Q$5))</f>
        <v/>
      </c>
    </row>
    <row r="29394" spans="15:15" x14ac:dyDescent="0.25">
      <c r="O29394" s="20" t="str">
        <f>IF(N29394="","",COUNTIFS(RawData[[Date ]],N29394,RawData[Month List],$Q$6,RawData[Tour/Site],$Q$2,RawData[[Picker ID ]],$Q$3,RawData[Checker ID],$Q$4,RawData[[Error Type ]],$Q$5))</f>
        <v/>
      </c>
    </row>
    <row r="29395" spans="15:15" x14ac:dyDescent="0.25">
      <c r="O29395" s="20" t="str">
        <f>IF(N29395="","",COUNTIFS(RawData[[Date ]],N29395,RawData[Month List],$Q$6,RawData[Tour/Site],$Q$2,RawData[[Picker ID ]],$Q$3,RawData[Checker ID],$Q$4,RawData[[Error Type ]],$Q$5))</f>
        <v/>
      </c>
    </row>
    <row r="29396" spans="15:15" x14ac:dyDescent="0.25">
      <c r="O29396" s="20" t="str">
        <f>IF(N29396="","",COUNTIFS(RawData[[Date ]],N29396,RawData[Month List],$Q$6,RawData[Tour/Site],$Q$2,RawData[[Picker ID ]],$Q$3,RawData[Checker ID],$Q$4,RawData[[Error Type ]],$Q$5))</f>
        <v/>
      </c>
    </row>
    <row r="29397" spans="15:15" x14ac:dyDescent="0.25">
      <c r="O29397" s="20" t="str">
        <f>IF(N29397="","",COUNTIFS(RawData[[Date ]],N29397,RawData[Month List],$Q$6,RawData[Tour/Site],$Q$2,RawData[[Picker ID ]],$Q$3,RawData[Checker ID],$Q$4,RawData[[Error Type ]],$Q$5))</f>
        <v/>
      </c>
    </row>
    <row r="29398" spans="15:15" x14ac:dyDescent="0.25">
      <c r="O29398" s="20" t="str">
        <f>IF(N29398="","",COUNTIFS(RawData[[Date ]],N29398,RawData[Month List],$Q$6,RawData[Tour/Site],$Q$2,RawData[[Picker ID ]],$Q$3,RawData[Checker ID],$Q$4,RawData[[Error Type ]],$Q$5))</f>
        <v/>
      </c>
    </row>
    <row r="29399" spans="15:15" x14ac:dyDescent="0.25">
      <c r="O29399" s="20" t="str">
        <f>IF(N29399="","",COUNTIFS(RawData[[Date ]],N29399,RawData[Month List],$Q$6,RawData[Tour/Site],$Q$2,RawData[[Picker ID ]],$Q$3,RawData[Checker ID],$Q$4,RawData[[Error Type ]],$Q$5))</f>
        <v/>
      </c>
    </row>
    <row r="29400" spans="15:15" x14ac:dyDescent="0.25">
      <c r="O29400" s="20" t="str">
        <f>IF(N29400="","",COUNTIFS(RawData[[Date ]],N29400,RawData[Month List],$Q$6,RawData[Tour/Site],$Q$2,RawData[[Picker ID ]],$Q$3,RawData[Checker ID],$Q$4,RawData[[Error Type ]],$Q$5))</f>
        <v/>
      </c>
    </row>
    <row r="29401" spans="15:15" x14ac:dyDescent="0.25">
      <c r="O29401" s="20" t="str">
        <f>IF(N29401="","",COUNTIFS(RawData[[Date ]],N29401,RawData[Month List],$Q$6,RawData[Tour/Site],$Q$2,RawData[[Picker ID ]],$Q$3,RawData[Checker ID],$Q$4,RawData[[Error Type ]],$Q$5))</f>
        <v/>
      </c>
    </row>
    <row r="29402" spans="15:15" x14ac:dyDescent="0.25">
      <c r="O29402" s="20" t="str">
        <f>IF(N29402="","",COUNTIFS(RawData[[Date ]],N29402,RawData[Month List],$Q$6,RawData[Tour/Site],$Q$2,RawData[[Picker ID ]],$Q$3,RawData[Checker ID],$Q$4,RawData[[Error Type ]],$Q$5))</f>
        <v/>
      </c>
    </row>
    <row r="29403" spans="15:15" x14ac:dyDescent="0.25">
      <c r="O29403" s="20" t="str">
        <f>IF(N29403="","",COUNTIFS(RawData[[Date ]],N29403,RawData[Month List],$Q$6,RawData[Tour/Site],$Q$2,RawData[[Picker ID ]],$Q$3,RawData[Checker ID],$Q$4,RawData[[Error Type ]],$Q$5))</f>
        <v/>
      </c>
    </row>
    <row r="29404" spans="15:15" x14ac:dyDescent="0.25">
      <c r="O29404" s="20" t="str">
        <f>IF(N29404="","",COUNTIFS(RawData[[Date ]],N29404,RawData[Month List],$Q$6,RawData[Tour/Site],$Q$2,RawData[[Picker ID ]],$Q$3,RawData[Checker ID],$Q$4,RawData[[Error Type ]],$Q$5))</f>
        <v/>
      </c>
    </row>
    <row r="29405" spans="15:15" x14ac:dyDescent="0.25">
      <c r="O29405" s="20" t="str">
        <f>IF(N29405="","",COUNTIFS(RawData[[Date ]],N29405,RawData[Month List],$Q$6,RawData[Tour/Site],$Q$2,RawData[[Picker ID ]],$Q$3,RawData[Checker ID],$Q$4,RawData[[Error Type ]],$Q$5))</f>
        <v/>
      </c>
    </row>
    <row r="29406" spans="15:15" x14ac:dyDescent="0.25">
      <c r="O29406" s="20" t="str">
        <f>IF(N29406="","",COUNTIFS(RawData[[Date ]],N29406,RawData[Month List],$Q$6,RawData[Tour/Site],$Q$2,RawData[[Picker ID ]],$Q$3,RawData[Checker ID],$Q$4,RawData[[Error Type ]],$Q$5))</f>
        <v/>
      </c>
    </row>
    <row r="29407" spans="15:15" x14ac:dyDescent="0.25">
      <c r="O29407" s="20" t="str">
        <f>IF(N29407="","",COUNTIFS(RawData[[Date ]],N29407,RawData[Month List],$Q$6,RawData[Tour/Site],$Q$2,RawData[[Picker ID ]],$Q$3,RawData[Checker ID],$Q$4,RawData[[Error Type ]],$Q$5))</f>
        <v/>
      </c>
    </row>
    <row r="29408" spans="15:15" x14ac:dyDescent="0.25">
      <c r="O29408" s="20" t="str">
        <f>IF(N29408="","",COUNTIFS(RawData[[Date ]],N29408,RawData[Month List],$Q$6,RawData[Tour/Site],$Q$2,RawData[[Picker ID ]],$Q$3,RawData[Checker ID],$Q$4,RawData[[Error Type ]],$Q$5))</f>
        <v/>
      </c>
    </row>
    <row r="29409" spans="15:15" x14ac:dyDescent="0.25">
      <c r="O29409" s="20" t="str">
        <f>IF(N29409="","",COUNTIFS(RawData[[Date ]],N29409,RawData[Month List],$Q$6,RawData[Tour/Site],$Q$2,RawData[[Picker ID ]],$Q$3,RawData[Checker ID],$Q$4,RawData[[Error Type ]],$Q$5))</f>
        <v/>
      </c>
    </row>
    <row r="29410" spans="15:15" x14ac:dyDescent="0.25">
      <c r="O29410" s="20" t="str">
        <f>IF(N29410="","",COUNTIFS(RawData[[Date ]],N29410,RawData[Month List],$Q$6,RawData[Tour/Site],$Q$2,RawData[[Picker ID ]],$Q$3,RawData[Checker ID],$Q$4,RawData[[Error Type ]],$Q$5))</f>
        <v/>
      </c>
    </row>
    <row r="29411" spans="15:15" x14ac:dyDescent="0.25">
      <c r="O29411" s="20" t="str">
        <f>IF(N29411="","",COUNTIFS(RawData[[Date ]],N29411,RawData[Month List],$Q$6,RawData[Tour/Site],$Q$2,RawData[[Picker ID ]],$Q$3,RawData[Checker ID],$Q$4,RawData[[Error Type ]],$Q$5))</f>
        <v/>
      </c>
    </row>
    <row r="29412" spans="15:15" x14ac:dyDescent="0.25">
      <c r="O29412" s="20" t="str">
        <f>IF(N29412="","",COUNTIFS(RawData[[Date ]],N29412,RawData[Month List],$Q$6,RawData[Tour/Site],$Q$2,RawData[[Picker ID ]],$Q$3,RawData[Checker ID],$Q$4,RawData[[Error Type ]],$Q$5))</f>
        <v/>
      </c>
    </row>
    <row r="29413" spans="15:15" x14ac:dyDescent="0.25">
      <c r="O29413" s="20" t="str">
        <f>IF(N29413="","",COUNTIFS(RawData[[Date ]],N29413,RawData[Month List],$Q$6,RawData[Tour/Site],$Q$2,RawData[[Picker ID ]],$Q$3,RawData[Checker ID],$Q$4,RawData[[Error Type ]],$Q$5))</f>
        <v/>
      </c>
    </row>
    <row r="29414" spans="15:15" x14ac:dyDescent="0.25">
      <c r="O29414" s="20" t="str">
        <f>IF(N29414="","",COUNTIFS(RawData[[Date ]],N29414,RawData[Month List],$Q$6,RawData[Tour/Site],$Q$2,RawData[[Picker ID ]],$Q$3,RawData[Checker ID],$Q$4,RawData[[Error Type ]],$Q$5))</f>
        <v/>
      </c>
    </row>
    <row r="29415" spans="15:15" x14ac:dyDescent="0.25">
      <c r="O29415" s="20" t="str">
        <f>IF(N29415="","",COUNTIFS(RawData[[Date ]],N29415,RawData[Month List],$Q$6,RawData[Tour/Site],$Q$2,RawData[[Picker ID ]],$Q$3,RawData[Checker ID],$Q$4,RawData[[Error Type ]],$Q$5))</f>
        <v/>
      </c>
    </row>
    <row r="29416" spans="15:15" x14ac:dyDescent="0.25">
      <c r="O29416" s="20" t="str">
        <f>IF(N29416="","",COUNTIFS(RawData[[Date ]],N29416,RawData[Month List],$Q$6,RawData[Tour/Site],$Q$2,RawData[[Picker ID ]],$Q$3,RawData[Checker ID],$Q$4,RawData[[Error Type ]],$Q$5))</f>
        <v/>
      </c>
    </row>
    <row r="29417" spans="15:15" x14ac:dyDescent="0.25">
      <c r="O29417" s="20" t="str">
        <f>IF(N29417="","",COUNTIFS(RawData[[Date ]],N29417,RawData[Month List],$Q$6,RawData[Tour/Site],$Q$2,RawData[[Picker ID ]],$Q$3,RawData[Checker ID],$Q$4,RawData[[Error Type ]],$Q$5))</f>
        <v/>
      </c>
    </row>
    <row r="29418" spans="15:15" x14ac:dyDescent="0.25">
      <c r="O29418" s="20" t="str">
        <f>IF(N29418="","",COUNTIFS(RawData[[Date ]],N29418,RawData[Month List],$Q$6,RawData[Tour/Site],$Q$2,RawData[[Picker ID ]],$Q$3,RawData[Checker ID],$Q$4,RawData[[Error Type ]],$Q$5))</f>
        <v/>
      </c>
    </row>
    <row r="29419" spans="15:15" x14ac:dyDescent="0.25">
      <c r="O29419" s="20" t="str">
        <f>IF(N29419="","",COUNTIFS(RawData[[Date ]],N29419,RawData[Month List],$Q$6,RawData[Tour/Site],$Q$2,RawData[[Picker ID ]],$Q$3,RawData[Checker ID],$Q$4,RawData[[Error Type ]],$Q$5))</f>
        <v/>
      </c>
    </row>
    <row r="29420" spans="15:15" x14ac:dyDescent="0.25">
      <c r="O29420" s="20" t="str">
        <f>IF(N29420="","",COUNTIFS(RawData[[Date ]],N29420,RawData[Month List],$Q$6,RawData[Tour/Site],$Q$2,RawData[[Picker ID ]],$Q$3,RawData[Checker ID],$Q$4,RawData[[Error Type ]],$Q$5))</f>
        <v/>
      </c>
    </row>
    <row r="29421" spans="15:15" x14ac:dyDescent="0.25">
      <c r="O29421" s="20" t="str">
        <f>IF(N29421="","",COUNTIFS(RawData[[Date ]],N29421,RawData[Month List],$Q$6,RawData[Tour/Site],$Q$2,RawData[[Picker ID ]],$Q$3,RawData[Checker ID],$Q$4,RawData[[Error Type ]],$Q$5))</f>
        <v/>
      </c>
    </row>
    <row r="29422" spans="15:15" x14ac:dyDescent="0.25">
      <c r="O29422" s="20" t="str">
        <f>IF(N29422="","",COUNTIFS(RawData[[Date ]],N29422,RawData[Month List],$Q$6,RawData[Tour/Site],$Q$2,RawData[[Picker ID ]],$Q$3,RawData[Checker ID],$Q$4,RawData[[Error Type ]],$Q$5))</f>
        <v/>
      </c>
    </row>
    <row r="29423" spans="15:15" x14ac:dyDescent="0.25">
      <c r="O29423" s="20" t="str">
        <f>IF(N29423="","",COUNTIFS(RawData[[Date ]],N29423,RawData[Month List],$Q$6,RawData[Tour/Site],$Q$2,RawData[[Picker ID ]],$Q$3,RawData[Checker ID],$Q$4,RawData[[Error Type ]],$Q$5))</f>
        <v/>
      </c>
    </row>
    <row r="29424" spans="15:15" x14ac:dyDescent="0.25">
      <c r="O29424" s="20" t="str">
        <f>IF(N29424="","",COUNTIFS(RawData[[Date ]],N29424,RawData[Month List],$Q$6,RawData[Tour/Site],$Q$2,RawData[[Picker ID ]],$Q$3,RawData[Checker ID],$Q$4,RawData[[Error Type ]],$Q$5))</f>
        <v/>
      </c>
    </row>
    <row r="29425" spans="15:15" x14ac:dyDescent="0.25">
      <c r="O29425" s="20" t="str">
        <f>IF(N29425="","",COUNTIFS(RawData[[Date ]],N29425,RawData[Month List],$Q$6,RawData[Tour/Site],$Q$2,RawData[[Picker ID ]],$Q$3,RawData[Checker ID],$Q$4,RawData[[Error Type ]],$Q$5))</f>
        <v/>
      </c>
    </row>
    <row r="29426" spans="15:15" x14ac:dyDescent="0.25">
      <c r="O29426" s="20" t="str">
        <f>IF(N29426="","",COUNTIFS(RawData[[Date ]],N29426,RawData[Month List],$Q$6,RawData[Tour/Site],$Q$2,RawData[[Picker ID ]],$Q$3,RawData[Checker ID],$Q$4,RawData[[Error Type ]],$Q$5))</f>
        <v/>
      </c>
    </row>
    <row r="29427" spans="15:15" x14ac:dyDescent="0.25">
      <c r="O29427" s="20" t="str">
        <f>IF(N29427="","",COUNTIFS(RawData[[Date ]],N29427,RawData[Month List],$Q$6,RawData[Tour/Site],$Q$2,RawData[[Picker ID ]],$Q$3,RawData[Checker ID],$Q$4,RawData[[Error Type ]],$Q$5))</f>
        <v/>
      </c>
    </row>
    <row r="29428" spans="15:15" x14ac:dyDescent="0.25">
      <c r="O29428" s="20" t="str">
        <f>IF(N29428="","",COUNTIFS(RawData[[Date ]],N29428,RawData[Month List],$Q$6,RawData[Tour/Site],$Q$2,RawData[[Picker ID ]],$Q$3,RawData[Checker ID],$Q$4,RawData[[Error Type ]],$Q$5))</f>
        <v/>
      </c>
    </row>
    <row r="29429" spans="15:15" x14ac:dyDescent="0.25">
      <c r="O29429" s="20" t="str">
        <f>IF(N29429="","",COUNTIFS(RawData[[Date ]],N29429,RawData[Month List],$Q$6,RawData[Tour/Site],$Q$2,RawData[[Picker ID ]],$Q$3,RawData[Checker ID],$Q$4,RawData[[Error Type ]],$Q$5))</f>
        <v/>
      </c>
    </row>
    <row r="29430" spans="15:15" x14ac:dyDescent="0.25">
      <c r="O29430" s="20" t="str">
        <f>IF(N29430="","",COUNTIFS(RawData[[Date ]],N29430,RawData[Month List],$Q$6,RawData[Tour/Site],$Q$2,RawData[[Picker ID ]],$Q$3,RawData[Checker ID],$Q$4,RawData[[Error Type ]],$Q$5))</f>
        <v/>
      </c>
    </row>
    <row r="29431" spans="15:15" x14ac:dyDescent="0.25">
      <c r="O29431" s="20" t="str">
        <f>IF(N29431="","",COUNTIFS(RawData[[Date ]],N29431,RawData[Month List],$Q$6,RawData[Tour/Site],$Q$2,RawData[[Picker ID ]],$Q$3,RawData[Checker ID],$Q$4,RawData[[Error Type ]],$Q$5))</f>
        <v/>
      </c>
    </row>
    <row r="29432" spans="15:15" x14ac:dyDescent="0.25">
      <c r="O29432" s="20" t="str">
        <f>IF(N29432="","",COUNTIFS(RawData[[Date ]],N29432,RawData[Month List],$Q$6,RawData[Tour/Site],$Q$2,RawData[[Picker ID ]],$Q$3,RawData[Checker ID],$Q$4,RawData[[Error Type ]],$Q$5))</f>
        <v/>
      </c>
    </row>
    <row r="29433" spans="15:15" x14ac:dyDescent="0.25">
      <c r="O29433" s="20" t="str">
        <f>IF(N29433="","",COUNTIFS(RawData[[Date ]],N29433,RawData[Month List],$Q$6,RawData[Tour/Site],$Q$2,RawData[[Picker ID ]],$Q$3,RawData[Checker ID],$Q$4,RawData[[Error Type ]],$Q$5))</f>
        <v/>
      </c>
    </row>
    <row r="29434" spans="15:15" x14ac:dyDescent="0.25">
      <c r="O29434" s="20" t="str">
        <f>IF(N29434="","",COUNTIFS(RawData[[Date ]],N29434,RawData[Month List],$Q$6,RawData[Tour/Site],$Q$2,RawData[[Picker ID ]],$Q$3,RawData[Checker ID],$Q$4,RawData[[Error Type ]],$Q$5))</f>
        <v/>
      </c>
    </row>
    <row r="29435" spans="15:15" x14ac:dyDescent="0.25">
      <c r="O29435" s="20" t="str">
        <f>IF(N29435="","",COUNTIFS(RawData[[Date ]],N29435,RawData[Month List],$Q$6,RawData[Tour/Site],$Q$2,RawData[[Picker ID ]],$Q$3,RawData[Checker ID],$Q$4,RawData[[Error Type ]],$Q$5))</f>
        <v/>
      </c>
    </row>
    <row r="29436" spans="15:15" x14ac:dyDescent="0.25">
      <c r="O29436" s="20" t="str">
        <f>IF(N29436="","",COUNTIFS(RawData[[Date ]],N29436,RawData[Month List],$Q$6,RawData[Tour/Site],$Q$2,RawData[[Picker ID ]],$Q$3,RawData[Checker ID],$Q$4,RawData[[Error Type ]],$Q$5))</f>
        <v/>
      </c>
    </row>
    <row r="29437" spans="15:15" x14ac:dyDescent="0.25">
      <c r="O29437" s="20" t="str">
        <f>IF(N29437="","",COUNTIFS(RawData[[Date ]],N29437,RawData[Month List],$Q$6,RawData[Tour/Site],$Q$2,RawData[[Picker ID ]],$Q$3,RawData[Checker ID],$Q$4,RawData[[Error Type ]],$Q$5))</f>
        <v/>
      </c>
    </row>
    <row r="29438" spans="15:15" x14ac:dyDescent="0.25">
      <c r="O29438" s="20" t="str">
        <f>IF(N29438="","",COUNTIFS(RawData[[Date ]],N29438,RawData[Month List],$Q$6,RawData[Tour/Site],$Q$2,RawData[[Picker ID ]],$Q$3,RawData[Checker ID],$Q$4,RawData[[Error Type ]],$Q$5))</f>
        <v/>
      </c>
    </row>
    <row r="29439" spans="15:15" x14ac:dyDescent="0.25">
      <c r="O29439" s="20" t="str">
        <f>IF(N29439="","",COUNTIFS(RawData[[Date ]],N29439,RawData[Month List],$Q$6,RawData[Tour/Site],$Q$2,RawData[[Picker ID ]],$Q$3,RawData[Checker ID],$Q$4,RawData[[Error Type ]],$Q$5))</f>
        <v/>
      </c>
    </row>
    <row r="29440" spans="15:15" x14ac:dyDescent="0.25">
      <c r="O29440" s="20" t="str">
        <f>IF(N29440="","",COUNTIFS(RawData[[Date ]],N29440,RawData[Month List],$Q$6,RawData[Tour/Site],$Q$2,RawData[[Picker ID ]],$Q$3,RawData[Checker ID],$Q$4,RawData[[Error Type ]],$Q$5))</f>
        <v/>
      </c>
    </row>
    <row r="29441" spans="15:15" x14ac:dyDescent="0.25">
      <c r="O29441" s="20" t="str">
        <f>IF(N29441="","",COUNTIFS(RawData[[Date ]],N29441,RawData[Month List],$Q$6,RawData[Tour/Site],$Q$2,RawData[[Picker ID ]],$Q$3,RawData[Checker ID],$Q$4,RawData[[Error Type ]],$Q$5))</f>
        <v/>
      </c>
    </row>
    <row r="29442" spans="15:15" x14ac:dyDescent="0.25">
      <c r="O29442" s="20" t="str">
        <f>IF(N29442="","",COUNTIFS(RawData[[Date ]],N29442,RawData[Month List],$Q$6,RawData[Tour/Site],$Q$2,RawData[[Picker ID ]],$Q$3,RawData[Checker ID],$Q$4,RawData[[Error Type ]],$Q$5))</f>
        <v/>
      </c>
    </row>
    <row r="29443" spans="15:15" x14ac:dyDescent="0.25">
      <c r="O29443" s="20" t="str">
        <f>IF(N29443="","",COUNTIFS(RawData[[Date ]],N29443,RawData[Month List],$Q$6,RawData[Tour/Site],$Q$2,RawData[[Picker ID ]],$Q$3,RawData[Checker ID],$Q$4,RawData[[Error Type ]],$Q$5))</f>
        <v/>
      </c>
    </row>
    <row r="29444" spans="15:15" x14ac:dyDescent="0.25">
      <c r="O29444" s="20" t="str">
        <f>IF(N29444="","",COUNTIFS(RawData[[Date ]],N29444,RawData[Month List],$Q$6,RawData[Tour/Site],$Q$2,RawData[[Picker ID ]],$Q$3,RawData[Checker ID],$Q$4,RawData[[Error Type ]],$Q$5))</f>
        <v/>
      </c>
    </row>
    <row r="29445" spans="15:15" x14ac:dyDescent="0.25">
      <c r="O29445" s="20" t="str">
        <f>IF(N29445="","",COUNTIFS(RawData[[Date ]],N29445,RawData[Month List],$Q$6,RawData[Tour/Site],$Q$2,RawData[[Picker ID ]],$Q$3,RawData[Checker ID],$Q$4,RawData[[Error Type ]],$Q$5))</f>
        <v/>
      </c>
    </row>
    <row r="29446" spans="15:15" x14ac:dyDescent="0.25">
      <c r="O29446" s="20" t="str">
        <f>IF(N29446="","",COUNTIFS(RawData[[Date ]],N29446,RawData[Month List],$Q$6,RawData[Tour/Site],$Q$2,RawData[[Picker ID ]],$Q$3,RawData[Checker ID],$Q$4,RawData[[Error Type ]],$Q$5))</f>
        <v/>
      </c>
    </row>
    <row r="29447" spans="15:15" x14ac:dyDescent="0.25">
      <c r="O29447" s="20" t="str">
        <f>IF(N29447="","",COUNTIFS(RawData[[Date ]],N29447,RawData[Month List],$Q$6,RawData[Tour/Site],$Q$2,RawData[[Picker ID ]],$Q$3,RawData[Checker ID],$Q$4,RawData[[Error Type ]],$Q$5))</f>
        <v/>
      </c>
    </row>
    <row r="29448" spans="15:15" x14ac:dyDescent="0.25">
      <c r="O29448" s="20" t="str">
        <f>IF(N29448="","",COUNTIFS(RawData[[Date ]],N29448,RawData[Month List],$Q$6,RawData[Tour/Site],$Q$2,RawData[[Picker ID ]],$Q$3,RawData[Checker ID],$Q$4,RawData[[Error Type ]],$Q$5))</f>
        <v/>
      </c>
    </row>
    <row r="29449" spans="15:15" x14ac:dyDescent="0.25">
      <c r="O29449" s="20" t="str">
        <f>IF(N29449="","",COUNTIFS(RawData[[Date ]],N29449,RawData[Month List],$Q$6,RawData[Tour/Site],$Q$2,RawData[[Picker ID ]],$Q$3,RawData[Checker ID],$Q$4,RawData[[Error Type ]],$Q$5))</f>
        <v/>
      </c>
    </row>
    <row r="29450" spans="15:15" x14ac:dyDescent="0.25">
      <c r="O29450" s="20" t="str">
        <f>IF(N29450="","",COUNTIFS(RawData[[Date ]],N29450,RawData[Month List],$Q$6,RawData[Tour/Site],$Q$2,RawData[[Picker ID ]],$Q$3,RawData[Checker ID],$Q$4,RawData[[Error Type ]],$Q$5))</f>
        <v/>
      </c>
    </row>
    <row r="29451" spans="15:15" x14ac:dyDescent="0.25">
      <c r="O29451" s="20" t="str">
        <f>IF(N29451="","",COUNTIFS(RawData[[Date ]],N29451,RawData[Month List],$Q$6,RawData[Tour/Site],$Q$2,RawData[[Picker ID ]],$Q$3,RawData[Checker ID],$Q$4,RawData[[Error Type ]],$Q$5))</f>
        <v/>
      </c>
    </row>
    <row r="29452" spans="15:15" x14ac:dyDescent="0.25">
      <c r="O29452" s="20" t="str">
        <f>IF(N29452="","",COUNTIFS(RawData[[Date ]],N29452,RawData[Month List],$Q$6,RawData[Tour/Site],$Q$2,RawData[[Picker ID ]],$Q$3,RawData[Checker ID],$Q$4,RawData[[Error Type ]],$Q$5))</f>
        <v/>
      </c>
    </row>
    <row r="29453" spans="15:15" x14ac:dyDescent="0.25">
      <c r="O29453" s="20" t="str">
        <f>IF(N29453="","",COUNTIFS(RawData[[Date ]],N29453,RawData[Month List],$Q$6,RawData[Tour/Site],$Q$2,RawData[[Picker ID ]],$Q$3,RawData[Checker ID],$Q$4,RawData[[Error Type ]],$Q$5))</f>
        <v/>
      </c>
    </row>
    <row r="29454" spans="15:15" x14ac:dyDescent="0.25">
      <c r="O29454" s="20" t="str">
        <f>IF(N29454="","",COUNTIFS(RawData[[Date ]],N29454,RawData[Month List],$Q$6,RawData[Tour/Site],$Q$2,RawData[[Picker ID ]],$Q$3,RawData[Checker ID],$Q$4,RawData[[Error Type ]],$Q$5))</f>
        <v/>
      </c>
    </row>
    <row r="29455" spans="15:15" x14ac:dyDescent="0.25">
      <c r="O29455" s="20" t="str">
        <f>IF(N29455="","",COUNTIFS(RawData[[Date ]],N29455,RawData[Month List],$Q$6,RawData[Tour/Site],$Q$2,RawData[[Picker ID ]],$Q$3,RawData[Checker ID],$Q$4,RawData[[Error Type ]],$Q$5))</f>
        <v/>
      </c>
    </row>
    <row r="29456" spans="15:15" x14ac:dyDescent="0.25">
      <c r="O29456" s="20" t="str">
        <f>IF(N29456="","",COUNTIFS(RawData[[Date ]],N29456,RawData[Month List],$Q$6,RawData[Tour/Site],$Q$2,RawData[[Picker ID ]],$Q$3,RawData[Checker ID],$Q$4,RawData[[Error Type ]],$Q$5))</f>
        <v/>
      </c>
    </row>
    <row r="29457" spans="15:15" x14ac:dyDescent="0.25">
      <c r="O29457" s="20" t="str">
        <f>IF(N29457="","",COUNTIFS(RawData[[Date ]],N29457,RawData[Month List],$Q$6,RawData[Tour/Site],$Q$2,RawData[[Picker ID ]],$Q$3,RawData[Checker ID],$Q$4,RawData[[Error Type ]],$Q$5))</f>
        <v/>
      </c>
    </row>
    <row r="29458" spans="15:15" x14ac:dyDescent="0.25">
      <c r="O29458" s="20" t="str">
        <f>IF(N29458="","",COUNTIFS(RawData[[Date ]],N29458,RawData[Month List],$Q$6,RawData[Tour/Site],$Q$2,RawData[[Picker ID ]],$Q$3,RawData[Checker ID],$Q$4,RawData[[Error Type ]],$Q$5))</f>
        <v/>
      </c>
    </row>
    <row r="29459" spans="15:15" x14ac:dyDescent="0.25">
      <c r="O29459" s="20" t="str">
        <f>IF(N29459="","",COUNTIFS(RawData[[Date ]],N29459,RawData[Month List],$Q$6,RawData[Tour/Site],$Q$2,RawData[[Picker ID ]],$Q$3,RawData[Checker ID],$Q$4,RawData[[Error Type ]],$Q$5))</f>
        <v/>
      </c>
    </row>
    <row r="29460" spans="15:15" x14ac:dyDescent="0.25">
      <c r="O29460" s="20" t="str">
        <f>IF(N29460="","",COUNTIFS(RawData[[Date ]],N29460,RawData[Month List],$Q$6,RawData[Tour/Site],$Q$2,RawData[[Picker ID ]],$Q$3,RawData[Checker ID],$Q$4,RawData[[Error Type ]],$Q$5))</f>
        <v/>
      </c>
    </row>
    <row r="29461" spans="15:15" x14ac:dyDescent="0.25">
      <c r="O29461" s="20" t="str">
        <f>IF(N29461="","",COUNTIFS(RawData[[Date ]],N29461,RawData[Month List],$Q$6,RawData[Tour/Site],$Q$2,RawData[[Picker ID ]],$Q$3,RawData[Checker ID],$Q$4,RawData[[Error Type ]],$Q$5))</f>
        <v/>
      </c>
    </row>
    <row r="29462" spans="15:15" x14ac:dyDescent="0.25">
      <c r="O29462" s="20" t="str">
        <f>IF(N29462="","",COUNTIFS(RawData[[Date ]],N29462,RawData[Month List],$Q$6,RawData[Tour/Site],$Q$2,RawData[[Picker ID ]],$Q$3,RawData[Checker ID],$Q$4,RawData[[Error Type ]],$Q$5))</f>
        <v/>
      </c>
    </row>
    <row r="29463" spans="15:15" x14ac:dyDescent="0.25">
      <c r="O29463" s="20" t="str">
        <f>IF(N29463="","",COUNTIFS(RawData[[Date ]],N29463,RawData[Month List],$Q$6,RawData[Tour/Site],$Q$2,RawData[[Picker ID ]],$Q$3,RawData[Checker ID],$Q$4,RawData[[Error Type ]],$Q$5))</f>
        <v/>
      </c>
    </row>
    <row r="29464" spans="15:15" x14ac:dyDescent="0.25">
      <c r="O29464" s="20" t="str">
        <f>IF(N29464="","",COUNTIFS(RawData[[Date ]],N29464,RawData[Month List],$Q$6,RawData[Tour/Site],$Q$2,RawData[[Picker ID ]],$Q$3,RawData[Checker ID],$Q$4,RawData[[Error Type ]],$Q$5))</f>
        <v/>
      </c>
    </row>
    <row r="29465" spans="15:15" x14ac:dyDescent="0.25">
      <c r="O29465" s="20" t="str">
        <f>IF(N29465="","",COUNTIFS(RawData[[Date ]],N29465,RawData[Month List],$Q$6,RawData[Tour/Site],$Q$2,RawData[[Picker ID ]],$Q$3,RawData[Checker ID],$Q$4,RawData[[Error Type ]],$Q$5))</f>
        <v/>
      </c>
    </row>
    <row r="29466" spans="15:15" x14ac:dyDescent="0.25">
      <c r="O29466" s="20" t="str">
        <f>IF(N29466="","",COUNTIFS(RawData[[Date ]],N29466,RawData[Month List],$Q$6,RawData[Tour/Site],$Q$2,RawData[[Picker ID ]],$Q$3,RawData[Checker ID],$Q$4,RawData[[Error Type ]],$Q$5))</f>
        <v/>
      </c>
    </row>
    <row r="29467" spans="15:15" x14ac:dyDescent="0.25">
      <c r="O29467" s="20" t="str">
        <f>IF(N29467="","",COUNTIFS(RawData[[Date ]],N29467,RawData[Month List],$Q$6,RawData[Tour/Site],$Q$2,RawData[[Picker ID ]],$Q$3,RawData[Checker ID],$Q$4,RawData[[Error Type ]],$Q$5))</f>
        <v/>
      </c>
    </row>
    <row r="29468" spans="15:15" x14ac:dyDescent="0.25">
      <c r="O29468" s="20" t="str">
        <f>IF(N29468="","",COUNTIFS(RawData[[Date ]],N29468,RawData[Month List],$Q$6,RawData[Tour/Site],$Q$2,RawData[[Picker ID ]],$Q$3,RawData[Checker ID],$Q$4,RawData[[Error Type ]],$Q$5))</f>
        <v/>
      </c>
    </row>
    <row r="29469" spans="15:15" x14ac:dyDescent="0.25">
      <c r="O29469" s="20" t="str">
        <f>IF(N29469="","",COUNTIFS(RawData[[Date ]],N29469,RawData[Month List],$Q$6,RawData[Tour/Site],$Q$2,RawData[[Picker ID ]],$Q$3,RawData[Checker ID],$Q$4,RawData[[Error Type ]],$Q$5))</f>
        <v/>
      </c>
    </row>
    <row r="29470" spans="15:15" x14ac:dyDescent="0.25">
      <c r="O29470" s="20" t="str">
        <f>IF(N29470="","",COUNTIFS(RawData[[Date ]],N29470,RawData[Month List],$Q$6,RawData[Tour/Site],$Q$2,RawData[[Picker ID ]],$Q$3,RawData[Checker ID],$Q$4,RawData[[Error Type ]],$Q$5))</f>
        <v/>
      </c>
    </row>
    <row r="29471" spans="15:15" x14ac:dyDescent="0.25">
      <c r="O29471" s="20" t="str">
        <f>IF(N29471="","",COUNTIFS(RawData[[Date ]],N29471,RawData[Month List],$Q$6,RawData[Tour/Site],$Q$2,RawData[[Picker ID ]],$Q$3,RawData[Checker ID],$Q$4,RawData[[Error Type ]],$Q$5))</f>
        <v/>
      </c>
    </row>
    <row r="29472" spans="15:15" x14ac:dyDescent="0.25">
      <c r="O29472" s="20" t="str">
        <f>IF(N29472="","",COUNTIFS(RawData[[Date ]],N29472,RawData[Month List],$Q$6,RawData[Tour/Site],$Q$2,RawData[[Picker ID ]],$Q$3,RawData[Checker ID],$Q$4,RawData[[Error Type ]],$Q$5))</f>
        <v/>
      </c>
    </row>
    <row r="29473" spans="15:15" x14ac:dyDescent="0.25">
      <c r="O29473" s="20" t="str">
        <f>IF(N29473="","",COUNTIFS(RawData[[Date ]],N29473,RawData[Month List],$Q$6,RawData[Tour/Site],$Q$2,RawData[[Picker ID ]],$Q$3,RawData[Checker ID],$Q$4,RawData[[Error Type ]],$Q$5))</f>
        <v/>
      </c>
    </row>
    <row r="29474" spans="15:15" x14ac:dyDescent="0.25">
      <c r="O29474" s="20" t="str">
        <f>IF(N29474="","",COUNTIFS(RawData[[Date ]],N29474,RawData[Month List],$Q$6,RawData[Tour/Site],$Q$2,RawData[[Picker ID ]],$Q$3,RawData[Checker ID],$Q$4,RawData[[Error Type ]],$Q$5))</f>
        <v/>
      </c>
    </row>
    <row r="29475" spans="15:15" x14ac:dyDescent="0.25">
      <c r="O29475" s="20" t="str">
        <f>IF(N29475="","",COUNTIFS(RawData[[Date ]],N29475,RawData[Month List],$Q$6,RawData[Tour/Site],$Q$2,RawData[[Picker ID ]],$Q$3,RawData[Checker ID],$Q$4,RawData[[Error Type ]],$Q$5))</f>
        <v/>
      </c>
    </row>
    <row r="29476" spans="15:15" x14ac:dyDescent="0.25">
      <c r="O29476" s="20" t="str">
        <f>IF(N29476="","",COUNTIFS(RawData[[Date ]],N29476,RawData[Month List],$Q$6,RawData[Tour/Site],$Q$2,RawData[[Picker ID ]],$Q$3,RawData[Checker ID],$Q$4,RawData[[Error Type ]],$Q$5))</f>
        <v/>
      </c>
    </row>
    <row r="29477" spans="15:15" x14ac:dyDescent="0.25">
      <c r="O29477" s="20" t="str">
        <f>IF(N29477="","",COUNTIFS(RawData[[Date ]],N29477,RawData[Month List],$Q$6,RawData[Tour/Site],$Q$2,RawData[[Picker ID ]],$Q$3,RawData[Checker ID],$Q$4,RawData[[Error Type ]],$Q$5))</f>
        <v/>
      </c>
    </row>
    <row r="29478" spans="15:15" x14ac:dyDescent="0.25">
      <c r="O29478" s="20" t="str">
        <f>IF(N29478="","",COUNTIFS(RawData[[Date ]],N29478,RawData[Month List],$Q$6,RawData[Tour/Site],$Q$2,RawData[[Picker ID ]],$Q$3,RawData[Checker ID],$Q$4,RawData[[Error Type ]],$Q$5))</f>
        <v/>
      </c>
    </row>
    <row r="29479" spans="15:15" x14ac:dyDescent="0.25">
      <c r="O29479" s="20" t="str">
        <f>IF(N29479="","",COUNTIFS(RawData[[Date ]],N29479,RawData[Month List],$Q$6,RawData[Tour/Site],$Q$2,RawData[[Picker ID ]],$Q$3,RawData[Checker ID],$Q$4,RawData[[Error Type ]],$Q$5))</f>
        <v/>
      </c>
    </row>
    <row r="29480" spans="15:15" x14ac:dyDescent="0.25">
      <c r="O29480" s="20" t="str">
        <f>IF(N29480="","",COUNTIFS(RawData[[Date ]],N29480,RawData[Month List],$Q$6,RawData[Tour/Site],$Q$2,RawData[[Picker ID ]],$Q$3,RawData[Checker ID],$Q$4,RawData[[Error Type ]],$Q$5))</f>
        <v/>
      </c>
    </row>
    <row r="29481" spans="15:15" x14ac:dyDescent="0.25">
      <c r="O29481" s="20" t="str">
        <f>IF(N29481="","",COUNTIFS(RawData[[Date ]],N29481,RawData[Month List],$Q$6,RawData[Tour/Site],$Q$2,RawData[[Picker ID ]],$Q$3,RawData[Checker ID],$Q$4,RawData[[Error Type ]],$Q$5))</f>
        <v/>
      </c>
    </row>
    <row r="29482" spans="15:15" x14ac:dyDescent="0.25">
      <c r="O29482" s="20" t="str">
        <f>IF(N29482="","",COUNTIFS(RawData[[Date ]],N29482,RawData[Month List],$Q$6,RawData[Tour/Site],$Q$2,RawData[[Picker ID ]],$Q$3,RawData[Checker ID],$Q$4,RawData[[Error Type ]],$Q$5))</f>
        <v/>
      </c>
    </row>
    <row r="29483" spans="15:15" x14ac:dyDescent="0.25">
      <c r="O29483" s="20" t="str">
        <f>IF(N29483="","",COUNTIFS(RawData[[Date ]],N29483,RawData[Month List],$Q$6,RawData[Tour/Site],$Q$2,RawData[[Picker ID ]],$Q$3,RawData[Checker ID],$Q$4,RawData[[Error Type ]],$Q$5))</f>
        <v/>
      </c>
    </row>
    <row r="29484" spans="15:15" x14ac:dyDescent="0.25">
      <c r="O29484" s="20" t="str">
        <f>IF(N29484="","",COUNTIFS(RawData[[Date ]],N29484,RawData[Month List],$Q$6,RawData[Tour/Site],$Q$2,RawData[[Picker ID ]],$Q$3,RawData[Checker ID],$Q$4,RawData[[Error Type ]],$Q$5))</f>
        <v/>
      </c>
    </row>
    <row r="29485" spans="15:15" x14ac:dyDescent="0.25">
      <c r="O29485" s="20" t="str">
        <f>IF(N29485="","",COUNTIFS(RawData[[Date ]],N29485,RawData[Month List],$Q$6,RawData[Tour/Site],$Q$2,RawData[[Picker ID ]],$Q$3,RawData[Checker ID],$Q$4,RawData[[Error Type ]],$Q$5))</f>
        <v/>
      </c>
    </row>
    <row r="29486" spans="15:15" x14ac:dyDescent="0.25">
      <c r="O29486" s="20" t="str">
        <f>IF(N29486="","",COUNTIFS(RawData[[Date ]],N29486,RawData[Month List],$Q$6,RawData[Tour/Site],$Q$2,RawData[[Picker ID ]],$Q$3,RawData[Checker ID],$Q$4,RawData[[Error Type ]],$Q$5))</f>
        <v/>
      </c>
    </row>
    <row r="29487" spans="15:15" x14ac:dyDescent="0.25">
      <c r="O29487" s="20" t="str">
        <f>IF(N29487="","",COUNTIFS(RawData[[Date ]],N29487,RawData[Month List],$Q$6,RawData[Tour/Site],$Q$2,RawData[[Picker ID ]],$Q$3,RawData[Checker ID],$Q$4,RawData[[Error Type ]],$Q$5))</f>
        <v/>
      </c>
    </row>
    <row r="29488" spans="15:15" x14ac:dyDescent="0.25">
      <c r="O29488" s="20" t="str">
        <f>IF(N29488="","",COUNTIFS(RawData[[Date ]],N29488,RawData[Month List],$Q$6,RawData[Tour/Site],$Q$2,RawData[[Picker ID ]],$Q$3,RawData[Checker ID],$Q$4,RawData[[Error Type ]],$Q$5))</f>
        <v/>
      </c>
    </row>
    <row r="29489" spans="15:15" x14ac:dyDescent="0.25">
      <c r="O29489" s="20" t="str">
        <f>IF(N29489="","",COUNTIFS(RawData[[Date ]],N29489,RawData[Month List],$Q$6,RawData[Tour/Site],$Q$2,RawData[[Picker ID ]],$Q$3,RawData[Checker ID],$Q$4,RawData[[Error Type ]],$Q$5))</f>
        <v/>
      </c>
    </row>
    <row r="29490" spans="15:15" x14ac:dyDescent="0.25">
      <c r="O29490" s="20" t="str">
        <f>IF(N29490="","",COUNTIFS(RawData[[Date ]],N29490,RawData[Month List],$Q$6,RawData[Tour/Site],$Q$2,RawData[[Picker ID ]],$Q$3,RawData[Checker ID],$Q$4,RawData[[Error Type ]],$Q$5))</f>
        <v/>
      </c>
    </row>
    <row r="29491" spans="15:15" x14ac:dyDescent="0.25">
      <c r="O29491" s="20" t="str">
        <f>IF(N29491="","",COUNTIFS(RawData[[Date ]],N29491,RawData[Month List],$Q$6,RawData[Tour/Site],$Q$2,RawData[[Picker ID ]],$Q$3,RawData[Checker ID],$Q$4,RawData[[Error Type ]],$Q$5))</f>
        <v/>
      </c>
    </row>
    <row r="29492" spans="15:15" x14ac:dyDescent="0.25">
      <c r="O29492" s="20" t="str">
        <f>IF(N29492="","",COUNTIFS(RawData[[Date ]],N29492,RawData[Month List],$Q$6,RawData[Tour/Site],$Q$2,RawData[[Picker ID ]],$Q$3,RawData[Checker ID],$Q$4,RawData[[Error Type ]],$Q$5))</f>
        <v/>
      </c>
    </row>
    <row r="29493" spans="15:15" x14ac:dyDescent="0.25">
      <c r="O29493" s="20" t="str">
        <f>IF(N29493="","",COUNTIFS(RawData[[Date ]],N29493,RawData[Month List],$Q$6,RawData[Tour/Site],$Q$2,RawData[[Picker ID ]],$Q$3,RawData[Checker ID],$Q$4,RawData[[Error Type ]],$Q$5))</f>
        <v/>
      </c>
    </row>
    <row r="29494" spans="15:15" x14ac:dyDescent="0.25">
      <c r="O29494" s="20" t="str">
        <f>IF(N29494="","",COUNTIFS(RawData[[Date ]],N29494,RawData[Month List],$Q$6,RawData[Tour/Site],$Q$2,RawData[[Picker ID ]],$Q$3,RawData[Checker ID],$Q$4,RawData[[Error Type ]],$Q$5))</f>
        <v/>
      </c>
    </row>
    <row r="29495" spans="15:15" x14ac:dyDescent="0.25">
      <c r="O29495" s="20" t="str">
        <f>IF(N29495="","",COUNTIFS(RawData[[Date ]],N29495,RawData[Month List],$Q$6,RawData[Tour/Site],$Q$2,RawData[[Picker ID ]],$Q$3,RawData[Checker ID],$Q$4,RawData[[Error Type ]],$Q$5))</f>
        <v/>
      </c>
    </row>
    <row r="29496" spans="15:15" x14ac:dyDescent="0.25">
      <c r="O29496" s="20" t="str">
        <f>IF(N29496="","",COUNTIFS(RawData[[Date ]],N29496,RawData[Month List],$Q$6,RawData[Tour/Site],$Q$2,RawData[[Picker ID ]],$Q$3,RawData[Checker ID],$Q$4,RawData[[Error Type ]],$Q$5))</f>
        <v/>
      </c>
    </row>
    <row r="29497" spans="15:15" x14ac:dyDescent="0.25">
      <c r="O29497" s="20" t="str">
        <f>IF(N29497="","",COUNTIFS(RawData[[Date ]],N29497,RawData[Month List],$Q$6,RawData[Tour/Site],$Q$2,RawData[[Picker ID ]],$Q$3,RawData[Checker ID],$Q$4,RawData[[Error Type ]],$Q$5))</f>
        <v/>
      </c>
    </row>
    <row r="29498" spans="15:15" x14ac:dyDescent="0.25">
      <c r="O29498" s="20" t="str">
        <f>IF(N29498="","",COUNTIFS(RawData[[Date ]],N29498,RawData[Month List],$Q$6,RawData[Tour/Site],$Q$2,RawData[[Picker ID ]],$Q$3,RawData[Checker ID],$Q$4,RawData[[Error Type ]],$Q$5))</f>
        <v/>
      </c>
    </row>
    <row r="29499" spans="15:15" x14ac:dyDescent="0.25">
      <c r="O29499" s="20" t="str">
        <f>IF(N29499="","",COUNTIFS(RawData[[Date ]],N29499,RawData[Month List],$Q$6,RawData[Tour/Site],$Q$2,RawData[[Picker ID ]],$Q$3,RawData[Checker ID],$Q$4,RawData[[Error Type ]],$Q$5))</f>
        <v/>
      </c>
    </row>
    <row r="29500" spans="15:15" x14ac:dyDescent="0.25">
      <c r="O29500" s="20" t="str">
        <f>IF(N29500="","",COUNTIFS(RawData[[Date ]],N29500,RawData[Month List],$Q$6,RawData[Tour/Site],$Q$2,RawData[[Picker ID ]],$Q$3,RawData[Checker ID],$Q$4,RawData[[Error Type ]],$Q$5))</f>
        <v/>
      </c>
    </row>
    <row r="29501" spans="15:15" x14ac:dyDescent="0.25">
      <c r="O29501" s="20" t="str">
        <f>IF(N29501="","",COUNTIFS(RawData[[Date ]],N29501,RawData[Month List],$Q$6,RawData[Tour/Site],$Q$2,RawData[[Picker ID ]],$Q$3,RawData[Checker ID],$Q$4,RawData[[Error Type ]],$Q$5))</f>
        <v/>
      </c>
    </row>
    <row r="29502" spans="15:15" x14ac:dyDescent="0.25">
      <c r="O29502" s="20" t="str">
        <f>IF(N29502="","",COUNTIFS(RawData[[Date ]],N29502,RawData[Month List],$Q$6,RawData[Tour/Site],$Q$2,RawData[[Picker ID ]],$Q$3,RawData[Checker ID],$Q$4,RawData[[Error Type ]],$Q$5))</f>
        <v/>
      </c>
    </row>
    <row r="29503" spans="15:15" x14ac:dyDescent="0.25">
      <c r="O29503" s="20" t="str">
        <f>IF(N29503="","",COUNTIFS(RawData[[Date ]],N29503,RawData[Month List],$Q$6,RawData[Tour/Site],$Q$2,RawData[[Picker ID ]],$Q$3,RawData[Checker ID],$Q$4,RawData[[Error Type ]],$Q$5))</f>
        <v/>
      </c>
    </row>
    <row r="29504" spans="15:15" x14ac:dyDescent="0.25">
      <c r="O29504" s="20" t="str">
        <f>IF(N29504="","",COUNTIFS(RawData[[Date ]],N29504,RawData[Month List],$Q$6,RawData[Tour/Site],$Q$2,RawData[[Picker ID ]],$Q$3,RawData[Checker ID],$Q$4,RawData[[Error Type ]],$Q$5))</f>
        <v/>
      </c>
    </row>
    <row r="29505" spans="15:15" x14ac:dyDescent="0.25">
      <c r="O29505" s="20" t="str">
        <f>IF(N29505="","",COUNTIFS(RawData[[Date ]],N29505,RawData[Month List],$Q$6,RawData[Tour/Site],$Q$2,RawData[[Picker ID ]],$Q$3,RawData[Checker ID],$Q$4,RawData[[Error Type ]],$Q$5))</f>
        <v/>
      </c>
    </row>
    <row r="29506" spans="15:15" x14ac:dyDescent="0.25">
      <c r="O29506" s="20" t="str">
        <f>IF(N29506="","",COUNTIFS(RawData[[Date ]],N29506,RawData[Month List],$Q$6,RawData[Tour/Site],$Q$2,RawData[[Picker ID ]],$Q$3,RawData[Checker ID],$Q$4,RawData[[Error Type ]],$Q$5))</f>
        <v/>
      </c>
    </row>
    <row r="29507" spans="15:15" x14ac:dyDescent="0.25">
      <c r="O29507" s="20" t="str">
        <f>IF(N29507="","",COUNTIFS(RawData[[Date ]],N29507,RawData[Month List],$Q$6,RawData[Tour/Site],$Q$2,RawData[[Picker ID ]],$Q$3,RawData[Checker ID],$Q$4,RawData[[Error Type ]],$Q$5))</f>
        <v/>
      </c>
    </row>
    <row r="29508" spans="15:15" x14ac:dyDescent="0.25">
      <c r="O29508" s="20" t="str">
        <f>IF(N29508="","",COUNTIFS(RawData[[Date ]],N29508,RawData[Month List],$Q$6,RawData[Tour/Site],$Q$2,RawData[[Picker ID ]],$Q$3,RawData[Checker ID],$Q$4,RawData[[Error Type ]],$Q$5))</f>
        <v/>
      </c>
    </row>
    <row r="29509" spans="15:15" x14ac:dyDescent="0.25">
      <c r="O29509" s="20" t="str">
        <f>IF(N29509="","",COUNTIFS(RawData[[Date ]],N29509,RawData[Month List],$Q$6,RawData[Tour/Site],$Q$2,RawData[[Picker ID ]],$Q$3,RawData[Checker ID],$Q$4,RawData[[Error Type ]],$Q$5))</f>
        <v/>
      </c>
    </row>
    <row r="29510" spans="15:15" x14ac:dyDescent="0.25">
      <c r="O29510" s="20" t="str">
        <f>IF(N29510="","",COUNTIFS(RawData[[Date ]],N29510,RawData[Month List],$Q$6,RawData[Tour/Site],$Q$2,RawData[[Picker ID ]],$Q$3,RawData[Checker ID],$Q$4,RawData[[Error Type ]],$Q$5))</f>
        <v/>
      </c>
    </row>
    <row r="29511" spans="15:15" x14ac:dyDescent="0.25">
      <c r="O29511" s="20" t="str">
        <f>IF(N29511="","",COUNTIFS(RawData[[Date ]],N29511,RawData[Month List],$Q$6,RawData[Tour/Site],$Q$2,RawData[[Picker ID ]],$Q$3,RawData[Checker ID],$Q$4,RawData[[Error Type ]],$Q$5))</f>
        <v/>
      </c>
    </row>
    <row r="29512" spans="15:15" x14ac:dyDescent="0.25">
      <c r="O29512" s="20" t="str">
        <f>IF(N29512="","",COUNTIFS(RawData[[Date ]],N29512,RawData[Month List],$Q$6,RawData[Tour/Site],$Q$2,RawData[[Picker ID ]],$Q$3,RawData[Checker ID],$Q$4,RawData[[Error Type ]],$Q$5))</f>
        <v/>
      </c>
    </row>
    <row r="29513" spans="15:15" x14ac:dyDescent="0.25">
      <c r="O29513" s="20" t="str">
        <f>IF(N29513="","",COUNTIFS(RawData[[Date ]],N29513,RawData[Month List],$Q$6,RawData[Tour/Site],$Q$2,RawData[[Picker ID ]],$Q$3,RawData[Checker ID],$Q$4,RawData[[Error Type ]],$Q$5))</f>
        <v/>
      </c>
    </row>
    <row r="29514" spans="15:15" x14ac:dyDescent="0.25">
      <c r="O29514" s="20" t="str">
        <f>IF(N29514="","",COUNTIFS(RawData[[Date ]],N29514,RawData[Month List],$Q$6,RawData[Tour/Site],$Q$2,RawData[[Picker ID ]],$Q$3,RawData[Checker ID],$Q$4,RawData[[Error Type ]],$Q$5))</f>
        <v/>
      </c>
    </row>
    <row r="29515" spans="15:15" x14ac:dyDescent="0.25">
      <c r="O29515" s="20" t="str">
        <f>IF(N29515="","",COUNTIFS(RawData[[Date ]],N29515,RawData[Month List],$Q$6,RawData[Tour/Site],$Q$2,RawData[[Picker ID ]],$Q$3,RawData[Checker ID],$Q$4,RawData[[Error Type ]],$Q$5))</f>
        <v/>
      </c>
    </row>
    <row r="29516" spans="15:15" x14ac:dyDescent="0.25">
      <c r="O29516" s="20" t="str">
        <f>IF(N29516="","",COUNTIFS(RawData[[Date ]],N29516,RawData[Month List],$Q$6,RawData[Tour/Site],$Q$2,RawData[[Picker ID ]],$Q$3,RawData[Checker ID],$Q$4,RawData[[Error Type ]],$Q$5))</f>
        <v/>
      </c>
    </row>
    <row r="29517" spans="15:15" x14ac:dyDescent="0.25">
      <c r="O29517" s="20" t="str">
        <f>IF(N29517="","",COUNTIFS(RawData[[Date ]],N29517,RawData[Month List],$Q$6,RawData[Tour/Site],$Q$2,RawData[[Picker ID ]],$Q$3,RawData[Checker ID],$Q$4,RawData[[Error Type ]],$Q$5))</f>
        <v/>
      </c>
    </row>
    <row r="29518" spans="15:15" x14ac:dyDescent="0.25">
      <c r="O29518" s="20" t="str">
        <f>IF(N29518="","",COUNTIFS(RawData[[Date ]],N29518,RawData[Month List],$Q$6,RawData[Tour/Site],$Q$2,RawData[[Picker ID ]],$Q$3,RawData[Checker ID],$Q$4,RawData[[Error Type ]],$Q$5))</f>
        <v/>
      </c>
    </row>
    <row r="29519" spans="15:15" x14ac:dyDescent="0.25">
      <c r="O29519" s="20" t="str">
        <f>IF(N29519="","",COUNTIFS(RawData[[Date ]],N29519,RawData[Month List],$Q$6,RawData[Tour/Site],$Q$2,RawData[[Picker ID ]],$Q$3,RawData[Checker ID],$Q$4,RawData[[Error Type ]],$Q$5))</f>
        <v/>
      </c>
    </row>
    <row r="29520" spans="15:15" x14ac:dyDescent="0.25">
      <c r="O29520" s="20" t="str">
        <f>IF(N29520="","",COUNTIFS(RawData[[Date ]],N29520,RawData[Month List],$Q$6,RawData[Tour/Site],$Q$2,RawData[[Picker ID ]],$Q$3,RawData[Checker ID],$Q$4,RawData[[Error Type ]],$Q$5))</f>
        <v/>
      </c>
    </row>
    <row r="29521" spans="15:15" x14ac:dyDescent="0.25">
      <c r="O29521" s="20" t="str">
        <f>IF(N29521="","",COUNTIFS(RawData[[Date ]],N29521,RawData[Month List],$Q$6,RawData[Tour/Site],$Q$2,RawData[[Picker ID ]],$Q$3,RawData[Checker ID],$Q$4,RawData[[Error Type ]],$Q$5))</f>
        <v/>
      </c>
    </row>
    <row r="29522" spans="15:15" x14ac:dyDescent="0.25">
      <c r="O29522" s="20" t="str">
        <f>IF(N29522="","",COUNTIFS(RawData[[Date ]],N29522,RawData[Month List],$Q$6,RawData[Tour/Site],$Q$2,RawData[[Picker ID ]],$Q$3,RawData[Checker ID],$Q$4,RawData[[Error Type ]],$Q$5))</f>
        <v/>
      </c>
    </row>
    <row r="29523" spans="15:15" x14ac:dyDescent="0.25">
      <c r="O29523" s="20" t="str">
        <f>IF(N29523="","",COUNTIFS(RawData[[Date ]],N29523,RawData[Month List],$Q$6,RawData[Tour/Site],$Q$2,RawData[[Picker ID ]],$Q$3,RawData[Checker ID],$Q$4,RawData[[Error Type ]],$Q$5))</f>
        <v/>
      </c>
    </row>
    <row r="29524" spans="15:15" x14ac:dyDescent="0.25">
      <c r="O29524" s="20" t="str">
        <f>IF(N29524="","",COUNTIFS(RawData[[Date ]],N29524,RawData[Month List],$Q$6,RawData[Tour/Site],$Q$2,RawData[[Picker ID ]],$Q$3,RawData[Checker ID],$Q$4,RawData[[Error Type ]],$Q$5))</f>
        <v/>
      </c>
    </row>
    <row r="29525" spans="15:15" x14ac:dyDescent="0.25">
      <c r="O29525" s="20" t="str">
        <f>IF(N29525="","",COUNTIFS(RawData[[Date ]],N29525,RawData[Month List],$Q$6,RawData[Tour/Site],$Q$2,RawData[[Picker ID ]],$Q$3,RawData[Checker ID],$Q$4,RawData[[Error Type ]],$Q$5))</f>
        <v/>
      </c>
    </row>
    <row r="29526" spans="15:15" x14ac:dyDescent="0.25">
      <c r="O29526" s="20" t="str">
        <f>IF(N29526="","",COUNTIFS(RawData[[Date ]],N29526,RawData[Month List],$Q$6,RawData[Tour/Site],$Q$2,RawData[[Picker ID ]],$Q$3,RawData[Checker ID],$Q$4,RawData[[Error Type ]],$Q$5))</f>
        <v/>
      </c>
    </row>
    <row r="29527" spans="15:15" x14ac:dyDescent="0.25">
      <c r="O29527" s="20" t="str">
        <f>IF(N29527="","",COUNTIFS(RawData[[Date ]],N29527,RawData[Month List],$Q$6,RawData[Tour/Site],$Q$2,RawData[[Picker ID ]],$Q$3,RawData[Checker ID],$Q$4,RawData[[Error Type ]],$Q$5))</f>
        <v/>
      </c>
    </row>
    <row r="29528" spans="15:15" x14ac:dyDescent="0.25">
      <c r="O29528" s="20" t="str">
        <f>IF(N29528="","",COUNTIFS(RawData[[Date ]],N29528,RawData[Month List],$Q$6,RawData[Tour/Site],$Q$2,RawData[[Picker ID ]],$Q$3,RawData[Checker ID],$Q$4,RawData[[Error Type ]],$Q$5))</f>
        <v/>
      </c>
    </row>
    <row r="29529" spans="15:15" x14ac:dyDescent="0.25">
      <c r="O29529" s="20" t="str">
        <f>IF(N29529="","",COUNTIFS(RawData[[Date ]],N29529,RawData[Month List],$Q$6,RawData[Tour/Site],$Q$2,RawData[[Picker ID ]],$Q$3,RawData[Checker ID],$Q$4,RawData[[Error Type ]],$Q$5))</f>
        <v/>
      </c>
    </row>
    <row r="29530" spans="15:15" x14ac:dyDescent="0.25">
      <c r="O29530" s="20" t="str">
        <f>IF(N29530="","",COUNTIFS(RawData[[Date ]],N29530,RawData[Month List],$Q$6,RawData[Tour/Site],$Q$2,RawData[[Picker ID ]],$Q$3,RawData[Checker ID],$Q$4,RawData[[Error Type ]],$Q$5))</f>
        <v/>
      </c>
    </row>
    <row r="29531" spans="15:15" x14ac:dyDescent="0.25">
      <c r="O29531" s="20" t="str">
        <f>IF(N29531="","",COUNTIFS(RawData[[Date ]],N29531,RawData[Month List],$Q$6,RawData[Tour/Site],$Q$2,RawData[[Picker ID ]],$Q$3,RawData[Checker ID],$Q$4,RawData[[Error Type ]],$Q$5))</f>
        <v/>
      </c>
    </row>
    <row r="29532" spans="15:15" x14ac:dyDescent="0.25">
      <c r="O29532" s="20" t="str">
        <f>IF(N29532="","",COUNTIFS(RawData[[Date ]],N29532,RawData[Month List],$Q$6,RawData[Tour/Site],$Q$2,RawData[[Picker ID ]],$Q$3,RawData[Checker ID],$Q$4,RawData[[Error Type ]],$Q$5))</f>
        <v/>
      </c>
    </row>
    <row r="29533" spans="15:15" x14ac:dyDescent="0.25">
      <c r="O29533" s="20" t="str">
        <f>IF(N29533="","",COUNTIFS(RawData[[Date ]],N29533,RawData[Month List],$Q$6,RawData[Tour/Site],$Q$2,RawData[[Picker ID ]],$Q$3,RawData[Checker ID],$Q$4,RawData[[Error Type ]],$Q$5))</f>
        <v/>
      </c>
    </row>
    <row r="29534" spans="15:15" x14ac:dyDescent="0.25">
      <c r="O29534" s="20" t="str">
        <f>IF(N29534="","",COUNTIFS(RawData[[Date ]],N29534,RawData[Month List],$Q$6,RawData[Tour/Site],$Q$2,RawData[[Picker ID ]],$Q$3,RawData[Checker ID],$Q$4,RawData[[Error Type ]],$Q$5))</f>
        <v/>
      </c>
    </row>
    <row r="29535" spans="15:15" x14ac:dyDescent="0.25">
      <c r="O29535" s="20" t="str">
        <f>IF(N29535="","",COUNTIFS(RawData[[Date ]],N29535,RawData[Month List],$Q$6,RawData[Tour/Site],$Q$2,RawData[[Picker ID ]],$Q$3,RawData[Checker ID],$Q$4,RawData[[Error Type ]],$Q$5))</f>
        <v/>
      </c>
    </row>
    <row r="29536" spans="15:15" x14ac:dyDescent="0.25">
      <c r="O29536" s="20" t="str">
        <f>IF(N29536="","",COUNTIFS(RawData[[Date ]],N29536,RawData[Month List],$Q$6,RawData[Tour/Site],$Q$2,RawData[[Picker ID ]],$Q$3,RawData[Checker ID],$Q$4,RawData[[Error Type ]],$Q$5))</f>
        <v/>
      </c>
    </row>
    <row r="29537" spans="15:15" x14ac:dyDescent="0.25">
      <c r="O29537" s="20" t="str">
        <f>IF(N29537="","",COUNTIFS(RawData[[Date ]],N29537,RawData[Month List],$Q$6,RawData[Tour/Site],$Q$2,RawData[[Picker ID ]],$Q$3,RawData[Checker ID],$Q$4,RawData[[Error Type ]],$Q$5))</f>
        <v/>
      </c>
    </row>
    <row r="29538" spans="15:15" x14ac:dyDescent="0.25">
      <c r="O29538" s="20" t="str">
        <f>IF(N29538="","",COUNTIFS(RawData[[Date ]],N29538,RawData[Month List],$Q$6,RawData[Tour/Site],$Q$2,RawData[[Picker ID ]],$Q$3,RawData[Checker ID],$Q$4,RawData[[Error Type ]],$Q$5))</f>
        <v/>
      </c>
    </row>
    <row r="29539" spans="15:15" x14ac:dyDescent="0.25">
      <c r="O29539" s="20" t="str">
        <f>IF(N29539="","",COUNTIFS(RawData[[Date ]],N29539,RawData[Month List],$Q$6,RawData[Tour/Site],$Q$2,RawData[[Picker ID ]],$Q$3,RawData[Checker ID],$Q$4,RawData[[Error Type ]],$Q$5))</f>
        <v/>
      </c>
    </row>
    <row r="29540" spans="15:15" x14ac:dyDescent="0.25">
      <c r="O29540" s="20" t="str">
        <f>IF(N29540="","",COUNTIFS(RawData[[Date ]],N29540,RawData[Month List],$Q$6,RawData[Tour/Site],$Q$2,RawData[[Picker ID ]],$Q$3,RawData[Checker ID],$Q$4,RawData[[Error Type ]],$Q$5))</f>
        <v/>
      </c>
    </row>
    <row r="29541" spans="15:15" x14ac:dyDescent="0.25">
      <c r="O29541" s="20" t="str">
        <f>IF(N29541="","",COUNTIFS(RawData[[Date ]],N29541,RawData[Month List],$Q$6,RawData[Tour/Site],$Q$2,RawData[[Picker ID ]],$Q$3,RawData[Checker ID],$Q$4,RawData[[Error Type ]],$Q$5))</f>
        <v/>
      </c>
    </row>
    <row r="29542" spans="15:15" x14ac:dyDescent="0.25">
      <c r="O29542" s="20" t="str">
        <f>IF(N29542="","",COUNTIFS(RawData[[Date ]],N29542,RawData[Month List],$Q$6,RawData[Tour/Site],$Q$2,RawData[[Picker ID ]],$Q$3,RawData[Checker ID],$Q$4,RawData[[Error Type ]],$Q$5))</f>
        <v/>
      </c>
    </row>
    <row r="29543" spans="15:15" x14ac:dyDescent="0.25">
      <c r="O29543" s="20" t="str">
        <f>IF(N29543="","",COUNTIFS(RawData[[Date ]],N29543,RawData[Month List],$Q$6,RawData[Tour/Site],$Q$2,RawData[[Picker ID ]],$Q$3,RawData[Checker ID],$Q$4,RawData[[Error Type ]],$Q$5))</f>
        <v/>
      </c>
    </row>
    <row r="29544" spans="15:15" x14ac:dyDescent="0.25">
      <c r="O29544" s="20" t="str">
        <f>IF(N29544="","",COUNTIFS(RawData[[Date ]],N29544,RawData[Month List],$Q$6,RawData[Tour/Site],$Q$2,RawData[[Picker ID ]],$Q$3,RawData[Checker ID],$Q$4,RawData[[Error Type ]],$Q$5))</f>
        <v/>
      </c>
    </row>
    <row r="29545" spans="15:15" x14ac:dyDescent="0.25">
      <c r="O29545" s="20" t="str">
        <f>IF(N29545="","",COUNTIFS(RawData[[Date ]],N29545,RawData[Month List],$Q$6,RawData[Tour/Site],$Q$2,RawData[[Picker ID ]],$Q$3,RawData[Checker ID],$Q$4,RawData[[Error Type ]],$Q$5))</f>
        <v/>
      </c>
    </row>
    <row r="29546" spans="15:15" x14ac:dyDescent="0.25">
      <c r="O29546" s="20" t="str">
        <f>IF(N29546="","",COUNTIFS(RawData[[Date ]],N29546,RawData[Month List],$Q$6,RawData[Tour/Site],$Q$2,RawData[[Picker ID ]],$Q$3,RawData[Checker ID],$Q$4,RawData[[Error Type ]],$Q$5))</f>
        <v/>
      </c>
    </row>
    <row r="29547" spans="15:15" x14ac:dyDescent="0.25">
      <c r="O29547" s="20" t="str">
        <f>IF(N29547="","",COUNTIFS(RawData[[Date ]],N29547,RawData[Month List],$Q$6,RawData[Tour/Site],$Q$2,RawData[[Picker ID ]],$Q$3,RawData[Checker ID],$Q$4,RawData[[Error Type ]],$Q$5))</f>
        <v/>
      </c>
    </row>
    <row r="29548" spans="15:15" x14ac:dyDescent="0.25">
      <c r="O29548" s="20" t="str">
        <f>IF(N29548="","",COUNTIFS(RawData[[Date ]],N29548,RawData[Month List],$Q$6,RawData[Tour/Site],$Q$2,RawData[[Picker ID ]],$Q$3,RawData[Checker ID],$Q$4,RawData[[Error Type ]],$Q$5))</f>
        <v/>
      </c>
    </row>
    <row r="29549" spans="15:15" x14ac:dyDescent="0.25">
      <c r="O29549" s="20" t="str">
        <f>IF(N29549="","",COUNTIFS(RawData[[Date ]],N29549,RawData[Month List],$Q$6,RawData[Tour/Site],$Q$2,RawData[[Picker ID ]],$Q$3,RawData[Checker ID],$Q$4,RawData[[Error Type ]],$Q$5))</f>
        <v/>
      </c>
    </row>
    <row r="29550" spans="15:15" x14ac:dyDescent="0.25">
      <c r="O29550" s="20" t="str">
        <f>IF(N29550="","",COUNTIFS(RawData[[Date ]],N29550,RawData[Month List],$Q$6,RawData[Tour/Site],$Q$2,RawData[[Picker ID ]],$Q$3,RawData[Checker ID],$Q$4,RawData[[Error Type ]],$Q$5))</f>
        <v/>
      </c>
    </row>
    <row r="29551" spans="15:15" x14ac:dyDescent="0.25">
      <c r="O29551" s="20" t="str">
        <f>IF(N29551="","",COUNTIFS(RawData[[Date ]],N29551,RawData[Month List],$Q$6,RawData[Tour/Site],$Q$2,RawData[[Picker ID ]],$Q$3,RawData[Checker ID],$Q$4,RawData[[Error Type ]],$Q$5))</f>
        <v/>
      </c>
    </row>
    <row r="29552" spans="15:15" x14ac:dyDescent="0.25">
      <c r="O29552" s="20" t="str">
        <f>IF(N29552="","",COUNTIFS(RawData[[Date ]],N29552,RawData[Month List],$Q$6,RawData[Tour/Site],$Q$2,RawData[[Picker ID ]],$Q$3,RawData[Checker ID],$Q$4,RawData[[Error Type ]],$Q$5))</f>
        <v/>
      </c>
    </row>
    <row r="29553" spans="15:15" x14ac:dyDescent="0.25">
      <c r="O29553" s="20" t="str">
        <f>IF(N29553="","",COUNTIFS(RawData[[Date ]],N29553,RawData[Month List],$Q$6,RawData[Tour/Site],$Q$2,RawData[[Picker ID ]],$Q$3,RawData[Checker ID],$Q$4,RawData[[Error Type ]],$Q$5))</f>
        <v/>
      </c>
    </row>
    <row r="29554" spans="15:15" x14ac:dyDescent="0.25">
      <c r="O29554" s="20" t="str">
        <f>IF(N29554="","",COUNTIFS(RawData[[Date ]],N29554,RawData[Month List],$Q$6,RawData[Tour/Site],$Q$2,RawData[[Picker ID ]],$Q$3,RawData[Checker ID],$Q$4,RawData[[Error Type ]],$Q$5))</f>
        <v/>
      </c>
    </row>
    <row r="29555" spans="15:15" x14ac:dyDescent="0.25">
      <c r="O29555" s="20" t="str">
        <f>IF(N29555="","",COUNTIFS(RawData[[Date ]],N29555,RawData[Month List],$Q$6,RawData[Tour/Site],$Q$2,RawData[[Picker ID ]],$Q$3,RawData[Checker ID],$Q$4,RawData[[Error Type ]],$Q$5))</f>
        <v/>
      </c>
    </row>
    <row r="29556" spans="15:15" x14ac:dyDescent="0.25">
      <c r="O29556" s="20" t="str">
        <f>IF(N29556="","",COUNTIFS(RawData[[Date ]],N29556,RawData[Month List],$Q$6,RawData[Tour/Site],$Q$2,RawData[[Picker ID ]],$Q$3,RawData[Checker ID],$Q$4,RawData[[Error Type ]],$Q$5))</f>
        <v/>
      </c>
    </row>
    <row r="29557" spans="15:15" x14ac:dyDescent="0.25">
      <c r="O29557" s="20" t="str">
        <f>IF(N29557="","",COUNTIFS(RawData[[Date ]],N29557,RawData[Month List],$Q$6,RawData[Tour/Site],$Q$2,RawData[[Picker ID ]],$Q$3,RawData[Checker ID],$Q$4,RawData[[Error Type ]],$Q$5))</f>
        <v/>
      </c>
    </row>
    <row r="29558" spans="15:15" x14ac:dyDescent="0.25">
      <c r="O29558" s="20" t="str">
        <f>IF(N29558="","",COUNTIFS(RawData[[Date ]],N29558,RawData[Month List],$Q$6,RawData[Tour/Site],$Q$2,RawData[[Picker ID ]],$Q$3,RawData[Checker ID],$Q$4,RawData[[Error Type ]],$Q$5))</f>
        <v/>
      </c>
    </row>
    <row r="29559" spans="15:15" x14ac:dyDescent="0.25">
      <c r="O29559" s="20" t="str">
        <f>IF(N29559="","",COUNTIFS(RawData[[Date ]],N29559,RawData[Month List],$Q$6,RawData[Tour/Site],$Q$2,RawData[[Picker ID ]],$Q$3,RawData[Checker ID],$Q$4,RawData[[Error Type ]],$Q$5))</f>
        <v/>
      </c>
    </row>
    <row r="29560" spans="15:15" x14ac:dyDescent="0.25">
      <c r="O29560" s="20" t="str">
        <f>IF(N29560="","",COUNTIFS(RawData[[Date ]],N29560,RawData[Month List],$Q$6,RawData[Tour/Site],$Q$2,RawData[[Picker ID ]],$Q$3,RawData[Checker ID],$Q$4,RawData[[Error Type ]],$Q$5))</f>
        <v/>
      </c>
    </row>
    <row r="29561" spans="15:15" x14ac:dyDescent="0.25">
      <c r="O29561" s="20" t="str">
        <f>IF(N29561="","",COUNTIFS(RawData[[Date ]],N29561,RawData[Month List],$Q$6,RawData[Tour/Site],$Q$2,RawData[[Picker ID ]],$Q$3,RawData[Checker ID],$Q$4,RawData[[Error Type ]],$Q$5))</f>
        <v/>
      </c>
    </row>
    <row r="29562" spans="15:15" x14ac:dyDescent="0.25">
      <c r="O29562" s="20" t="str">
        <f>IF(N29562="","",COUNTIFS(RawData[[Date ]],N29562,RawData[Month List],$Q$6,RawData[Tour/Site],$Q$2,RawData[[Picker ID ]],$Q$3,RawData[Checker ID],$Q$4,RawData[[Error Type ]],$Q$5))</f>
        <v/>
      </c>
    </row>
    <row r="29563" spans="15:15" x14ac:dyDescent="0.25">
      <c r="O29563" s="20" t="str">
        <f>IF(N29563="","",COUNTIFS(RawData[[Date ]],N29563,RawData[Month List],$Q$6,RawData[Tour/Site],$Q$2,RawData[[Picker ID ]],$Q$3,RawData[Checker ID],$Q$4,RawData[[Error Type ]],$Q$5))</f>
        <v/>
      </c>
    </row>
    <row r="29564" spans="15:15" x14ac:dyDescent="0.25">
      <c r="O29564" s="20" t="str">
        <f>IF(N29564="","",COUNTIFS(RawData[[Date ]],N29564,RawData[Month List],$Q$6,RawData[Tour/Site],$Q$2,RawData[[Picker ID ]],$Q$3,RawData[Checker ID],$Q$4,RawData[[Error Type ]],$Q$5))</f>
        <v/>
      </c>
    </row>
    <row r="29565" spans="15:15" x14ac:dyDescent="0.25">
      <c r="O29565" s="20" t="str">
        <f>IF(N29565="","",COUNTIFS(RawData[[Date ]],N29565,RawData[Month List],$Q$6,RawData[Tour/Site],$Q$2,RawData[[Picker ID ]],$Q$3,RawData[Checker ID],$Q$4,RawData[[Error Type ]],$Q$5))</f>
        <v/>
      </c>
    </row>
    <row r="29566" spans="15:15" x14ac:dyDescent="0.25">
      <c r="O29566" s="20" t="str">
        <f>IF(N29566="","",COUNTIFS(RawData[[Date ]],N29566,RawData[Month List],$Q$6,RawData[Tour/Site],$Q$2,RawData[[Picker ID ]],$Q$3,RawData[Checker ID],$Q$4,RawData[[Error Type ]],$Q$5))</f>
        <v/>
      </c>
    </row>
    <row r="29567" spans="15:15" x14ac:dyDescent="0.25">
      <c r="O29567" s="20" t="str">
        <f>IF(N29567="","",COUNTIFS(RawData[[Date ]],N29567,RawData[Month List],$Q$6,RawData[Tour/Site],$Q$2,RawData[[Picker ID ]],$Q$3,RawData[Checker ID],$Q$4,RawData[[Error Type ]],$Q$5))</f>
        <v/>
      </c>
    </row>
    <row r="29568" spans="15:15" x14ac:dyDescent="0.25">
      <c r="O29568" s="20" t="str">
        <f>IF(N29568="","",COUNTIFS(RawData[[Date ]],N29568,RawData[Month List],$Q$6,RawData[Tour/Site],$Q$2,RawData[[Picker ID ]],$Q$3,RawData[Checker ID],$Q$4,RawData[[Error Type ]],$Q$5))</f>
        <v/>
      </c>
    </row>
    <row r="29569" spans="15:15" x14ac:dyDescent="0.25">
      <c r="O29569" s="20" t="str">
        <f>IF(N29569="","",COUNTIFS(RawData[[Date ]],N29569,RawData[Month List],$Q$6,RawData[Tour/Site],$Q$2,RawData[[Picker ID ]],$Q$3,RawData[Checker ID],$Q$4,RawData[[Error Type ]],$Q$5))</f>
        <v/>
      </c>
    </row>
    <row r="29570" spans="15:15" x14ac:dyDescent="0.25">
      <c r="O29570" s="20" t="str">
        <f>IF(N29570="","",COUNTIFS(RawData[[Date ]],N29570,RawData[Month List],$Q$6,RawData[Tour/Site],$Q$2,RawData[[Picker ID ]],$Q$3,RawData[Checker ID],$Q$4,RawData[[Error Type ]],$Q$5))</f>
        <v/>
      </c>
    </row>
    <row r="29571" spans="15:15" x14ac:dyDescent="0.25">
      <c r="O29571" s="20" t="str">
        <f>IF(N29571="","",COUNTIFS(RawData[[Date ]],N29571,RawData[Month List],$Q$6,RawData[Tour/Site],$Q$2,RawData[[Picker ID ]],$Q$3,RawData[Checker ID],$Q$4,RawData[[Error Type ]],$Q$5))</f>
        <v/>
      </c>
    </row>
    <row r="29572" spans="15:15" x14ac:dyDescent="0.25">
      <c r="O29572" s="20" t="str">
        <f>IF(N29572="","",COUNTIFS(RawData[[Date ]],N29572,RawData[Month List],$Q$6,RawData[Tour/Site],$Q$2,RawData[[Picker ID ]],$Q$3,RawData[Checker ID],$Q$4,RawData[[Error Type ]],$Q$5))</f>
        <v/>
      </c>
    </row>
    <row r="29573" spans="15:15" x14ac:dyDescent="0.25">
      <c r="O29573" s="20" t="str">
        <f>IF(N29573="","",COUNTIFS(RawData[[Date ]],N29573,RawData[Month List],$Q$6,RawData[Tour/Site],$Q$2,RawData[[Picker ID ]],$Q$3,RawData[Checker ID],$Q$4,RawData[[Error Type ]],$Q$5))</f>
        <v/>
      </c>
    </row>
    <row r="29574" spans="15:15" x14ac:dyDescent="0.25">
      <c r="O29574" s="20" t="str">
        <f>IF(N29574="","",COUNTIFS(RawData[[Date ]],N29574,RawData[Month List],$Q$6,RawData[Tour/Site],$Q$2,RawData[[Picker ID ]],$Q$3,RawData[Checker ID],$Q$4,RawData[[Error Type ]],$Q$5))</f>
        <v/>
      </c>
    </row>
    <row r="29575" spans="15:15" x14ac:dyDescent="0.25">
      <c r="O29575" s="20" t="str">
        <f>IF(N29575="","",COUNTIFS(RawData[[Date ]],N29575,RawData[Month List],$Q$6,RawData[Tour/Site],$Q$2,RawData[[Picker ID ]],$Q$3,RawData[Checker ID],$Q$4,RawData[[Error Type ]],$Q$5))</f>
        <v/>
      </c>
    </row>
    <row r="29576" spans="15:15" x14ac:dyDescent="0.25">
      <c r="O29576" s="20" t="str">
        <f>IF(N29576="","",COUNTIFS(RawData[[Date ]],N29576,RawData[Month List],$Q$6,RawData[Tour/Site],$Q$2,RawData[[Picker ID ]],$Q$3,RawData[Checker ID],$Q$4,RawData[[Error Type ]],$Q$5))</f>
        <v/>
      </c>
    </row>
    <row r="29577" spans="15:15" x14ac:dyDescent="0.25">
      <c r="O29577" s="20" t="str">
        <f>IF(N29577="","",COUNTIFS(RawData[[Date ]],N29577,RawData[Month List],$Q$6,RawData[Tour/Site],$Q$2,RawData[[Picker ID ]],$Q$3,RawData[Checker ID],$Q$4,RawData[[Error Type ]],$Q$5))</f>
        <v/>
      </c>
    </row>
    <row r="29578" spans="15:15" x14ac:dyDescent="0.25">
      <c r="O29578" s="20" t="str">
        <f>IF(N29578="","",COUNTIFS(RawData[[Date ]],N29578,RawData[Month List],$Q$6,RawData[Tour/Site],$Q$2,RawData[[Picker ID ]],$Q$3,RawData[Checker ID],$Q$4,RawData[[Error Type ]],$Q$5))</f>
        <v/>
      </c>
    </row>
    <row r="29579" spans="15:15" x14ac:dyDescent="0.25">
      <c r="O29579" s="20" t="str">
        <f>IF(N29579="","",COUNTIFS(RawData[[Date ]],N29579,RawData[Month List],$Q$6,RawData[Tour/Site],$Q$2,RawData[[Picker ID ]],$Q$3,RawData[Checker ID],$Q$4,RawData[[Error Type ]],$Q$5))</f>
        <v/>
      </c>
    </row>
    <row r="29580" spans="15:15" x14ac:dyDescent="0.25">
      <c r="O29580" s="20" t="str">
        <f>IF(N29580="","",COUNTIFS(RawData[[Date ]],N29580,RawData[Month List],$Q$6,RawData[Tour/Site],$Q$2,RawData[[Picker ID ]],$Q$3,RawData[Checker ID],$Q$4,RawData[[Error Type ]],$Q$5))</f>
        <v/>
      </c>
    </row>
    <row r="29581" spans="15:15" x14ac:dyDescent="0.25">
      <c r="O29581" s="20" t="str">
        <f>IF(N29581="","",COUNTIFS(RawData[[Date ]],N29581,RawData[Month List],$Q$6,RawData[Tour/Site],$Q$2,RawData[[Picker ID ]],$Q$3,RawData[Checker ID],$Q$4,RawData[[Error Type ]],$Q$5))</f>
        <v/>
      </c>
    </row>
    <row r="29582" spans="15:15" x14ac:dyDescent="0.25">
      <c r="O29582" s="20" t="str">
        <f>IF(N29582="","",COUNTIFS(RawData[[Date ]],N29582,RawData[Month List],$Q$6,RawData[Tour/Site],$Q$2,RawData[[Picker ID ]],$Q$3,RawData[Checker ID],$Q$4,RawData[[Error Type ]],$Q$5))</f>
        <v/>
      </c>
    </row>
    <row r="29583" spans="15:15" x14ac:dyDescent="0.25">
      <c r="O29583" s="20" t="str">
        <f>IF(N29583="","",COUNTIFS(RawData[[Date ]],N29583,RawData[Month List],$Q$6,RawData[Tour/Site],$Q$2,RawData[[Picker ID ]],$Q$3,RawData[Checker ID],$Q$4,RawData[[Error Type ]],$Q$5))</f>
        <v/>
      </c>
    </row>
    <row r="29584" spans="15:15" x14ac:dyDescent="0.25">
      <c r="O29584" s="20" t="str">
        <f>IF(N29584="","",COUNTIFS(RawData[[Date ]],N29584,RawData[Month List],$Q$6,RawData[Tour/Site],$Q$2,RawData[[Picker ID ]],$Q$3,RawData[Checker ID],$Q$4,RawData[[Error Type ]],$Q$5))</f>
        <v/>
      </c>
    </row>
    <row r="29585" spans="15:15" x14ac:dyDescent="0.25">
      <c r="O29585" s="20" t="str">
        <f>IF(N29585="","",COUNTIFS(RawData[[Date ]],N29585,RawData[Month List],$Q$6,RawData[Tour/Site],$Q$2,RawData[[Picker ID ]],$Q$3,RawData[Checker ID],$Q$4,RawData[[Error Type ]],$Q$5))</f>
        <v/>
      </c>
    </row>
    <row r="29586" spans="15:15" x14ac:dyDescent="0.25">
      <c r="O29586" s="20" t="str">
        <f>IF(N29586="","",COUNTIFS(RawData[[Date ]],N29586,RawData[Month List],$Q$6,RawData[Tour/Site],$Q$2,RawData[[Picker ID ]],$Q$3,RawData[Checker ID],$Q$4,RawData[[Error Type ]],$Q$5))</f>
        <v/>
      </c>
    </row>
    <row r="29587" spans="15:15" x14ac:dyDescent="0.25">
      <c r="O29587" s="20" t="str">
        <f>IF(N29587="","",COUNTIFS(RawData[[Date ]],N29587,RawData[Month List],$Q$6,RawData[Tour/Site],$Q$2,RawData[[Picker ID ]],$Q$3,RawData[Checker ID],$Q$4,RawData[[Error Type ]],$Q$5))</f>
        <v/>
      </c>
    </row>
    <row r="29588" spans="15:15" x14ac:dyDescent="0.25">
      <c r="O29588" s="20" t="str">
        <f>IF(N29588="","",COUNTIFS(RawData[[Date ]],N29588,RawData[Month List],$Q$6,RawData[Tour/Site],$Q$2,RawData[[Picker ID ]],$Q$3,RawData[Checker ID],$Q$4,RawData[[Error Type ]],$Q$5))</f>
        <v/>
      </c>
    </row>
    <row r="29589" spans="15:15" x14ac:dyDescent="0.25">
      <c r="O29589" s="20" t="str">
        <f>IF(N29589="","",COUNTIFS(RawData[[Date ]],N29589,RawData[Month List],$Q$6,RawData[Tour/Site],$Q$2,RawData[[Picker ID ]],$Q$3,RawData[Checker ID],$Q$4,RawData[[Error Type ]],$Q$5))</f>
        <v/>
      </c>
    </row>
    <row r="29590" spans="15:15" x14ac:dyDescent="0.25">
      <c r="O29590" s="20" t="str">
        <f>IF(N29590="","",COUNTIFS(RawData[[Date ]],N29590,RawData[Month List],$Q$6,RawData[Tour/Site],$Q$2,RawData[[Picker ID ]],$Q$3,RawData[Checker ID],$Q$4,RawData[[Error Type ]],$Q$5))</f>
        <v/>
      </c>
    </row>
    <row r="29591" spans="15:15" x14ac:dyDescent="0.25">
      <c r="O29591" s="20" t="str">
        <f>IF(N29591="","",COUNTIFS(RawData[[Date ]],N29591,RawData[Month List],$Q$6,RawData[Tour/Site],$Q$2,RawData[[Picker ID ]],$Q$3,RawData[Checker ID],$Q$4,RawData[[Error Type ]],$Q$5))</f>
        <v/>
      </c>
    </row>
    <row r="29592" spans="15:15" x14ac:dyDescent="0.25">
      <c r="O29592" s="20" t="str">
        <f>IF(N29592="","",COUNTIFS(RawData[[Date ]],N29592,RawData[Month List],$Q$6,RawData[Tour/Site],$Q$2,RawData[[Picker ID ]],$Q$3,RawData[Checker ID],$Q$4,RawData[[Error Type ]],$Q$5))</f>
        <v/>
      </c>
    </row>
    <row r="29593" spans="15:15" x14ac:dyDescent="0.25">
      <c r="O29593" s="20" t="str">
        <f>IF(N29593="","",COUNTIFS(RawData[[Date ]],N29593,RawData[Month List],$Q$6,RawData[Tour/Site],$Q$2,RawData[[Picker ID ]],$Q$3,RawData[Checker ID],$Q$4,RawData[[Error Type ]],$Q$5))</f>
        <v/>
      </c>
    </row>
    <row r="29594" spans="15:15" x14ac:dyDescent="0.25">
      <c r="O29594" s="20" t="str">
        <f>IF(N29594="","",COUNTIFS(RawData[[Date ]],N29594,RawData[Month List],$Q$6,RawData[Tour/Site],$Q$2,RawData[[Picker ID ]],$Q$3,RawData[Checker ID],$Q$4,RawData[[Error Type ]],$Q$5))</f>
        <v/>
      </c>
    </row>
    <row r="29595" spans="15:15" x14ac:dyDescent="0.25">
      <c r="O29595" s="20" t="str">
        <f>IF(N29595="","",COUNTIFS(RawData[[Date ]],N29595,RawData[Month List],$Q$6,RawData[Tour/Site],$Q$2,RawData[[Picker ID ]],$Q$3,RawData[Checker ID],$Q$4,RawData[[Error Type ]],$Q$5))</f>
        <v/>
      </c>
    </row>
    <row r="29596" spans="15:15" x14ac:dyDescent="0.25">
      <c r="O29596" s="20" t="str">
        <f>IF(N29596="","",COUNTIFS(RawData[[Date ]],N29596,RawData[Month List],$Q$6,RawData[Tour/Site],$Q$2,RawData[[Picker ID ]],$Q$3,RawData[Checker ID],$Q$4,RawData[[Error Type ]],$Q$5))</f>
        <v/>
      </c>
    </row>
    <row r="29597" spans="15:15" x14ac:dyDescent="0.25">
      <c r="O29597" s="20" t="str">
        <f>IF(N29597="","",COUNTIFS(RawData[[Date ]],N29597,RawData[Month List],$Q$6,RawData[Tour/Site],$Q$2,RawData[[Picker ID ]],$Q$3,RawData[Checker ID],$Q$4,RawData[[Error Type ]],$Q$5))</f>
        <v/>
      </c>
    </row>
    <row r="29598" spans="15:15" x14ac:dyDescent="0.25">
      <c r="O29598" s="20" t="str">
        <f>IF(N29598="","",COUNTIFS(RawData[[Date ]],N29598,RawData[Month List],$Q$6,RawData[Tour/Site],$Q$2,RawData[[Picker ID ]],$Q$3,RawData[Checker ID],$Q$4,RawData[[Error Type ]],$Q$5))</f>
        <v/>
      </c>
    </row>
    <row r="29599" spans="15:15" x14ac:dyDescent="0.25">
      <c r="O29599" s="20" t="str">
        <f>IF(N29599="","",COUNTIFS(RawData[[Date ]],N29599,RawData[Month List],$Q$6,RawData[Tour/Site],$Q$2,RawData[[Picker ID ]],$Q$3,RawData[Checker ID],$Q$4,RawData[[Error Type ]],$Q$5))</f>
        <v/>
      </c>
    </row>
    <row r="29600" spans="15:15" x14ac:dyDescent="0.25">
      <c r="O29600" s="20" t="str">
        <f>IF(N29600="","",COUNTIFS(RawData[[Date ]],N29600,RawData[Month List],$Q$6,RawData[Tour/Site],$Q$2,RawData[[Picker ID ]],$Q$3,RawData[Checker ID],$Q$4,RawData[[Error Type ]],$Q$5))</f>
        <v/>
      </c>
    </row>
    <row r="29601" spans="15:15" x14ac:dyDescent="0.25">
      <c r="O29601" s="20" t="str">
        <f>IF(N29601="","",COUNTIFS(RawData[[Date ]],N29601,RawData[Month List],$Q$6,RawData[Tour/Site],$Q$2,RawData[[Picker ID ]],$Q$3,RawData[Checker ID],$Q$4,RawData[[Error Type ]],$Q$5))</f>
        <v/>
      </c>
    </row>
    <row r="29602" spans="15:15" x14ac:dyDescent="0.25">
      <c r="O29602" s="20" t="str">
        <f>IF(N29602="","",COUNTIFS(RawData[[Date ]],N29602,RawData[Month List],$Q$6,RawData[Tour/Site],$Q$2,RawData[[Picker ID ]],$Q$3,RawData[Checker ID],$Q$4,RawData[[Error Type ]],$Q$5))</f>
        <v/>
      </c>
    </row>
    <row r="29603" spans="15:15" x14ac:dyDescent="0.25">
      <c r="O29603" s="20" t="str">
        <f>IF(N29603="","",COUNTIFS(RawData[[Date ]],N29603,RawData[Month List],$Q$6,RawData[Tour/Site],$Q$2,RawData[[Picker ID ]],$Q$3,RawData[Checker ID],$Q$4,RawData[[Error Type ]],$Q$5))</f>
        <v/>
      </c>
    </row>
    <row r="29604" spans="15:15" x14ac:dyDescent="0.25">
      <c r="O29604" s="20" t="str">
        <f>IF(N29604="","",COUNTIFS(RawData[[Date ]],N29604,RawData[Month List],$Q$6,RawData[Tour/Site],$Q$2,RawData[[Picker ID ]],$Q$3,RawData[Checker ID],$Q$4,RawData[[Error Type ]],$Q$5))</f>
        <v/>
      </c>
    </row>
    <row r="29605" spans="15:15" x14ac:dyDescent="0.25">
      <c r="O29605" s="20" t="str">
        <f>IF(N29605="","",COUNTIFS(RawData[[Date ]],N29605,RawData[Month List],$Q$6,RawData[Tour/Site],$Q$2,RawData[[Picker ID ]],$Q$3,RawData[Checker ID],$Q$4,RawData[[Error Type ]],$Q$5))</f>
        <v/>
      </c>
    </row>
    <row r="29606" spans="15:15" x14ac:dyDescent="0.25">
      <c r="O29606" s="20" t="str">
        <f>IF(N29606="","",COUNTIFS(RawData[[Date ]],N29606,RawData[Month List],$Q$6,RawData[Tour/Site],$Q$2,RawData[[Picker ID ]],$Q$3,RawData[Checker ID],$Q$4,RawData[[Error Type ]],$Q$5))</f>
        <v/>
      </c>
    </row>
    <row r="29607" spans="15:15" x14ac:dyDescent="0.25">
      <c r="O29607" s="20" t="str">
        <f>IF(N29607="","",COUNTIFS(RawData[[Date ]],N29607,RawData[Month List],$Q$6,RawData[Tour/Site],$Q$2,RawData[[Picker ID ]],$Q$3,RawData[Checker ID],$Q$4,RawData[[Error Type ]],$Q$5))</f>
        <v/>
      </c>
    </row>
    <row r="29608" spans="15:15" x14ac:dyDescent="0.25">
      <c r="O29608" s="20" t="str">
        <f>IF(N29608="","",COUNTIFS(RawData[[Date ]],N29608,RawData[Month List],$Q$6,RawData[Tour/Site],$Q$2,RawData[[Picker ID ]],$Q$3,RawData[Checker ID],$Q$4,RawData[[Error Type ]],$Q$5))</f>
        <v/>
      </c>
    </row>
    <row r="29609" spans="15:15" x14ac:dyDescent="0.25">
      <c r="O29609" s="20" t="str">
        <f>IF(N29609="","",COUNTIFS(RawData[[Date ]],N29609,RawData[Month List],$Q$6,RawData[Tour/Site],$Q$2,RawData[[Picker ID ]],$Q$3,RawData[Checker ID],$Q$4,RawData[[Error Type ]],$Q$5))</f>
        <v/>
      </c>
    </row>
    <row r="29610" spans="15:15" x14ac:dyDescent="0.25">
      <c r="O29610" s="20" t="str">
        <f>IF(N29610="","",COUNTIFS(RawData[[Date ]],N29610,RawData[Month List],$Q$6,RawData[Tour/Site],$Q$2,RawData[[Picker ID ]],$Q$3,RawData[Checker ID],$Q$4,RawData[[Error Type ]],$Q$5))</f>
        <v/>
      </c>
    </row>
    <row r="29611" spans="15:15" x14ac:dyDescent="0.25">
      <c r="O29611" s="20" t="str">
        <f>IF(N29611="","",COUNTIFS(RawData[[Date ]],N29611,RawData[Month List],$Q$6,RawData[Tour/Site],$Q$2,RawData[[Picker ID ]],$Q$3,RawData[Checker ID],$Q$4,RawData[[Error Type ]],$Q$5))</f>
        <v/>
      </c>
    </row>
    <row r="29612" spans="15:15" x14ac:dyDescent="0.25">
      <c r="O29612" s="20" t="str">
        <f>IF(N29612="","",COUNTIFS(RawData[[Date ]],N29612,RawData[Month List],$Q$6,RawData[Tour/Site],$Q$2,RawData[[Picker ID ]],$Q$3,RawData[Checker ID],$Q$4,RawData[[Error Type ]],$Q$5))</f>
        <v/>
      </c>
    </row>
    <row r="29613" spans="15:15" x14ac:dyDescent="0.25">
      <c r="O29613" s="20" t="str">
        <f>IF(N29613="","",COUNTIFS(RawData[[Date ]],N29613,RawData[Month List],$Q$6,RawData[Tour/Site],$Q$2,RawData[[Picker ID ]],$Q$3,RawData[Checker ID],$Q$4,RawData[[Error Type ]],$Q$5))</f>
        <v/>
      </c>
    </row>
    <row r="29614" spans="15:15" x14ac:dyDescent="0.25">
      <c r="O29614" s="20" t="str">
        <f>IF(N29614="","",COUNTIFS(RawData[[Date ]],N29614,RawData[Month List],$Q$6,RawData[Tour/Site],$Q$2,RawData[[Picker ID ]],$Q$3,RawData[Checker ID],$Q$4,RawData[[Error Type ]],$Q$5))</f>
        <v/>
      </c>
    </row>
    <row r="29615" spans="15:15" x14ac:dyDescent="0.25">
      <c r="O29615" s="20" t="str">
        <f>IF(N29615="","",COUNTIFS(RawData[[Date ]],N29615,RawData[Month List],$Q$6,RawData[Tour/Site],$Q$2,RawData[[Picker ID ]],$Q$3,RawData[Checker ID],$Q$4,RawData[[Error Type ]],$Q$5))</f>
        <v/>
      </c>
    </row>
    <row r="29616" spans="15:15" x14ac:dyDescent="0.25">
      <c r="O29616" s="20" t="str">
        <f>IF(N29616="","",COUNTIFS(RawData[[Date ]],N29616,RawData[Month List],$Q$6,RawData[Tour/Site],$Q$2,RawData[[Picker ID ]],$Q$3,RawData[Checker ID],$Q$4,RawData[[Error Type ]],$Q$5))</f>
        <v/>
      </c>
    </row>
    <row r="29617" spans="15:15" x14ac:dyDescent="0.25">
      <c r="O29617" s="20" t="str">
        <f>IF(N29617="","",COUNTIFS(RawData[[Date ]],N29617,RawData[Month List],$Q$6,RawData[Tour/Site],$Q$2,RawData[[Picker ID ]],$Q$3,RawData[Checker ID],$Q$4,RawData[[Error Type ]],$Q$5))</f>
        <v/>
      </c>
    </row>
    <row r="29618" spans="15:15" x14ac:dyDescent="0.25">
      <c r="O29618" s="20" t="str">
        <f>IF(N29618="","",COUNTIFS(RawData[[Date ]],N29618,RawData[Month List],$Q$6,RawData[Tour/Site],$Q$2,RawData[[Picker ID ]],$Q$3,RawData[Checker ID],$Q$4,RawData[[Error Type ]],$Q$5))</f>
        <v/>
      </c>
    </row>
    <row r="29619" spans="15:15" x14ac:dyDescent="0.25">
      <c r="O29619" s="20" t="str">
        <f>IF(N29619="","",COUNTIFS(RawData[[Date ]],N29619,RawData[Month List],$Q$6,RawData[Tour/Site],$Q$2,RawData[[Picker ID ]],$Q$3,RawData[Checker ID],$Q$4,RawData[[Error Type ]],$Q$5))</f>
        <v/>
      </c>
    </row>
    <row r="29620" spans="15:15" x14ac:dyDescent="0.25">
      <c r="O29620" s="20" t="str">
        <f>IF(N29620="","",COUNTIFS(RawData[[Date ]],N29620,RawData[Month List],$Q$6,RawData[Tour/Site],$Q$2,RawData[[Picker ID ]],$Q$3,RawData[Checker ID],$Q$4,RawData[[Error Type ]],$Q$5))</f>
        <v/>
      </c>
    </row>
    <row r="29621" spans="15:15" x14ac:dyDescent="0.25">
      <c r="O29621" s="20" t="str">
        <f>IF(N29621="","",COUNTIFS(RawData[[Date ]],N29621,RawData[Month List],$Q$6,RawData[Tour/Site],$Q$2,RawData[[Picker ID ]],$Q$3,RawData[Checker ID],$Q$4,RawData[[Error Type ]],$Q$5))</f>
        <v/>
      </c>
    </row>
    <row r="29622" spans="15:15" x14ac:dyDescent="0.25">
      <c r="O29622" s="20" t="str">
        <f>IF(N29622="","",COUNTIFS(RawData[[Date ]],N29622,RawData[Month List],$Q$6,RawData[Tour/Site],$Q$2,RawData[[Picker ID ]],$Q$3,RawData[Checker ID],$Q$4,RawData[[Error Type ]],$Q$5))</f>
        <v/>
      </c>
    </row>
    <row r="29623" spans="15:15" x14ac:dyDescent="0.25">
      <c r="O29623" s="20" t="str">
        <f>IF(N29623="","",COUNTIFS(RawData[[Date ]],N29623,RawData[Month List],$Q$6,RawData[Tour/Site],$Q$2,RawData[[Picker ID ]],$Q$3,RawData[Checker ID],$Q$4,RawData[[Error Type ]],$Q$5))</f>
        <v/>
      </c>
    </row>
    <row r="29624" spans="15:15" x14ac:dyDescent="0.25">
      <c r="O29624" s="20" t="str">
        <f>IF(N29624="","",COUNTIFS(RawData[[Date ]],N29624,RawData[Month List],$Q$6,RawData[Tour/Site],$Q$2,RawData[[Picker ID ]],$Q$3,RawData[Checker ID],$Q$4,RawData[[Error Type ]],$Q$5))</f>
        <v/>
      </c>
    </row>
    <row r="29625" spans="15:15" x14ac:dyDescent="0.25">
      <c r="O29625" s="20" t="str">
        <f>IF(N29625="","",COUNTIFS(RawData[[Date ]],N29625,RawData[Month List],$Q$6,RawData[Tour/Site],$Q$2,RawData[[Picker ID ]],$Q$3,RawData[Checker ID],$Q$4,RawData[[Error Type ]],$Q$5))</f>
        <v/>
      </c>
    </row>
    <row r="29626" spans="15:15" x14ac:dyDescent="0.25">
      <c r="O29626" s="20" t="str">
        <f>IF(N29626="","",COUNTIFS(RawData[[Date ]],N29626,RawData[Month List],$Q$6,RawData[Tour/Site],$Q$2,RawData[[Picker ID ]],$Q$3,RawData[Checker ID],$Q$4,RawData[[Error Type ]],$Q$5))</f>
        <v/>
      </c>
    </row>
    <row r="29627" spans="15:15" x14ac:dyDescent="0.25">
      <c r="O29627" s="20" t="str">
        <f>IF(N29627="","",COUNTIFS(RawData[[Date ]],N29627,RawData[Month List],$Q$6,RawData[Tour/Site],$Q$2,RawData[[Picker ID ]],$Q$3,RawData[Checker ID],$Q$4,RawData[[Error Type ]],$Q$5))</f>
        <v/>
      </c>
    </row>
    <row r="29628" spans="15:15" x14ac:dyDescent="0.25">
      <c r="O29628" s="20" t="str">
        <f>IF(N29628="","",COUNTIFS(RawData[[Date ]],N29628,RawData[Month List],$Q$6,RawData[Tour/Site],$Q$2,RawData[[Picker ID ]],$Q$3,RawData[Checker ID],$Q$4,RawData[[Error Type ]],$Q$5))</f>
        <v/>
      </c>
    </row>
    <row r="29629" spans="15:15" x14ac:dyDescent="0.25">
      <c r="O29629" s="20" t="str">
        <f>IF(N29629="","",COUNTIFS(RawData[[Date ]],N29629,RawData[Month List],$Q$6,RawData[Tour/Site],$Q$2,RawData[[Picker ID ]],$Q$3,RawData[Checker ID],$Q$4,RawData[[Error Type ]],$Q$5))</f>
        <v/>
      </c>
    </row>
    <row r="29630" spans="15:15" x14ac:dyDescent="0.25">
      <c r="O29630" s="20" t="str">
        <f>IF(N29630="","",COUNTIFS(RawData[[Date ]],N29630,RawData[Month List],$Q$6,RawData[Tour/Site],$Q$2,RawData[[Picker ID ]],$Q$3,RawData[Checker ID],$Q$4,RawData[[Error Type ]],$Q$5))</f>
        <v/>
      </c>
    </row>
    <row r="29631" spans="15:15" x14ac:dyDescent="0.25">
      <c r="O29631" s="20" t="str">
        <f>IF(N29631="","",COUNTIFS(RawData[[Date ]],N29631,RawData[Month List],$Q$6,RawData[Tour/Site],$Q$2,RawData[[Picker ID ]],$Q$3,RawData[Checker ID],$Q$4,RawData[[Error Type ]],$Q$5))</f>
        <v/>
      </c>
    </row>
    <row r="29632" spans="15:15" x14ac:dyDescent="0.25">
      <c r="O29632" s="20" t="str">
        <f>IF(N29632="","",COUNTIFS(RawData[[Date ]],N29632,RawData[Month List],$Q$6,RawData[Tour/Site],$Q$2,RawData[[Picker ID ]],$Q$3,RawData[Checker ID],$Q$4,RawData[[Error Type ]],$Q$5))</f>
        <v/>
      </c>
    </row>
    <row r="29633" spans="15:15" x14ac:dyDescent="0.25">
      <c r="O29633" s="20" t="str">
        <f>IF(N29633="","",COUNTIFS(RawData[[Date ]],N29633,RawData[Month List],$Q$6,RawData[Tour/Site],$Q$2,RawData[[Picker ID ]],$Q$3,RawData[Checker ID],$Q$4,RawData[[Error Type ]],$Q$5))</f>
        <v/>
      </c>
    </row>
    <row r="29634" spans="15:15" x14ac:dyDescent="0.25">
      <c r="O29634" s="20" t="str">
        <f>IF(N29634="","",COUNTIFS(RawData[[Date ]],N29634,RawData[Month List],$Q$6,RawData[Tour/Site],$Q$2,RawData[[Picker ID ]],$Q$3,RawData[Checker ID],$Q$4,RawData[[Error Type ]],$Q$5))</f>
        <v/>
      </c>
    </row>
    <row r="29635" spans="15:15" x14ac:dyDescent="0.25">
      <c r="O29635" s="20" t="str">
        <f>IF(N29635="","",COUNTIFS(RawData[[Date ]],N29635,RawData[Month List],$Q$6,RawData[Tour/Site],$Q$2,RawData[[Picker ID ]],$Q$3,RawData[Checker ID],$Q$4,RawData[[Error Type ]],$Q$5))</f>
        <v/>
      </c>
    </row>
    <row r="29636" spans="15:15" x14ac:dyDescent="0.25">
      <c r="O29636" s="20" t="str">
        <f>IF(N29636="","",COUNTIFS(RawData[[Date ]],N29636,RawData[Month List],$Q$6,RawData[Tour/Site],$Q$2,RawData[[Picker ID ]],$Q$3,RawData[Checker ID],$Q$4,RawData[[Error Type ]],$Q$5))</f>
        <v/>
      </c>
    </row>
    <row r="29637" spans="15:15" x14ac:dyDescent="0.25">
      <c r="O29637" s="20" t="str">
        <f>IF(N29637="","",COUNTIFS(RawData[[Date ]],N29637,RawData[Month List],$Q$6,RawData[Tour/Site],$Q$2,RawData[[Picker ID ]],$Q$3,RawData[Checker ID],$Q$4,RawData[[Error Type ]],$Q$5))</f>
        <v/>
      </c>
    </row>
    <row r="29638" spans="15:15" x14ac:dyDescent="0.25">
      <c r="O29638" s="20" t="str">
        <f>IF(N29638="","",COUNTIFS(RawData[[Date ]],N29638,RawData[Month List],$Q$6,RawData[Tour/Site],$Q$2,RawData[[Picker ID ]],$Q$3,RawData[Checker ID],$Q$4,RawData[[Error Type ]],$Q$5))</f>
        <v/>
      </c>
    </row>
    <row r="29639" spans="15:15" x14ac:dyDescent="0.25">
      <c r="O29639" s="20" t="str">
        <f>IF(N29639="","",COUNTIFS(RawData[[Date ]],N29639,RawData[Month List],$Q$6,RawData[Tour/Site],$Q$2,RawData[[Picker ID ]],$Q$3,RawData[Checker ID],$Q$4,RawData[[Error Type ]],$Q$5))</f>
        <v/>
      </c>
    </row>
    <row r="29640" spans="15:15" x14ac:dyDescent="0.25">
      <c r="O29640" s="20" t="str">
        <f>IF(N29640="","",COUNTIFS(RawData[[Date ]],N29640,RawData[Month List],$Q$6,RawData[Tour/Site],$Q$2,RawData[[Picker ID ]],$Q$3,RawData[Checker ID],$Q$4,RawData[[Error Type ]],$Q$5))</f>
        <v/>
      </c>
    </row>
    <row r="29641" spans="15:15" x14ac:dyDescent="0.25">
      <c r="O29641" s="20" t="str">
        <f>IF(N29641="","",COUNTIFS(RawData[[Date ]],N29641,RawData[Month List],$Q$6,RawData[Tour/Site],$Q$2,RawData[[Picker ID ]],$Q$3,RawData[Checker ID],$Q$4,RawData[[Error Type ]],$Q$5))</f>
        <v/>
      </c>
    </row>
    <row r="29642" spans="15:15" x14ac:dyDescent="0.25">
      <c r="O29642" s="20" t="str">
        <f>IF(N29642="","",COUNTIFS(RawData[[Date ]],N29642,RawData[Month List],$Q$6,RawData[Tour/Site],$Q$2,RawData[[Picker ID ]],$Q$3,RawData[Checker ID],$Q$4,RawData[[Error Type ]],$Q$5))</f>
        <v/>
      </c>
    </row>
    <row r="29643" spans="15:15" x14ac:dyDescent="0.25">
      <c r="O29643" s="20" t="str">
        <f>IF(N29643="","",COUNTIFS(RawData[[Date ]],N29643,RawData[Month List],$Q$6,RawData[Tour/Site],$Q$2,RawData[[Picker ID ]],$Q$3,RawData[Checker ID],$Q$4,RawData[[Error Type ]],$Q$5))</f>
        <v/>
      </c>
    </row>
    <row r="29644" spans="15:15" x14ac:dyDescent="0.25">
      <c r="O29644" s="20" t="str">
        <f>IF(N29644="","",COUNTIFS(RawData[[Date ]],N29644,RawData[Month List],$Q$6,RawData[Tour/Site],$Q$2,RawData[[Picker ID ]],$Q$3,RawData[Checker ID],$Q$4,RawData[[Error Type ]],$Q$5))</f>
        <v/>
      </c>
    </row>
    <row r="29645" spans="15:15" x14ac:dyDescent="0.25">
      <c r="O29645" s="20" t="str">
        <f>IF(N29645="","",COUNTIFS(RawData[[Date ]],N29645,RawData[Month List],$Q$6,RawData[Tour/Site],$Q$2,RawData[[Picker ID ]],$Q$3,RawData[Checker ID],$Q$4,RawData[[Error Type ]],$Q$5))</f>
        <v/>
      </c>
    </row>
    <row r="29646" spans="15:15" x14ac:dyDescent="0.25">
      <c r="O29646" s="20" t="str">
        <f>IF(N29646="","",COUNTIFS(RawData[[Date ]],N29646,RawData[Month List],$Q$6,RawData[Tour/Site],$Q$2,RawData[[Picker ID ]],$Q$3,RawData[Checker ID],$Q$4,RawData[[Error Type ]],$Q$5))</f>
        <v/>
      </c>
    </row>
    <row r="29647" spans="15:15" x14ac:dyDescent="0.25">
      <c r="O29647" s="20" t="str">
        <f>IF(N29647="","",COUNTIFS(RawData[[Date ]],N29647,RawData[Month List],$Q$6,RawData[Tour/Site],$Q$2,RawData[[Picker ID ]],$Q$3,RawData[Checker ID],$Q$4,RawData[[Error Type ]],$Q$5))</f>
        <v/>
      </c>
    </row>
    <row r="29648" spans="15:15" x14ac:dyDescent="0.25">
      <c r="O29648" s="20" t="str">
        <f>IF(N29648="","",COUNTIFS(RawData[[Date ]],N29648,RawData[Month List],$Q$6,RawData[Tour/Site],$Q$2,RawData[[Picker ID ]],$Q$3,RawData[Checker ID],$Q$4,RawData[[Error Type ]],$Q$5))</f>
        <v/>
      </c>
    </row>
    <row r="29649" spans="15:15" x14ac:dyDescent="0.25">
      <c r="O29649" s="20" t="str">
        <f>IF(N29649="","",COUNTIFS(RawData[[Date ]],N29649,RawData[Month List],$Q$6,RawData[Tour/Site],$Q$2,RawData[[Picker ID ]],$Q$3,RawData[Checker ID],$Q$4,RawData[[Error Type ]],$Q$5))</f>
        <v/>
      </c>
    </row>
    <row r="29650" spans="15:15" x14ac:dyDescent="0.25">
      <c r="O29650" s="20" t="str">
        <f>IF(N29650="","",COUNTIFS(RawData[[Date ]],N29650,RawData[Month List],$Q$6,RawData[Tour/Site],$Q$2,RawData[[Picker ID ]],$Q$3,RawData[Checker ID],$Q$4,RawData[[Error Type ]],$Q$5))</f>
        <v/>
      </c>
    </row>
    <row r="29651" spans="15:15" x14ac:dyDescent="0.25">
      <c r="O29651" s="20" t="str">
        <f>IF(N29651="","",COUNTIFS(RawData[[Date ]],N29651,RawData[Month List],$Q$6,RawData[Tour/Site],$Q$2,RawData[[Picker ID ]],$Q$3,RawData[Checker ID],$Q$4,RawData[[Error Type ]],$Q$5))</f>
        <v/>
      </c>
    </row>
    <row r="29652" spans="15:15" x14ac:dyDescent="0.25">
      <c r="O29652" s="20" t="str">
        <f>IF(N29652="","",COUNTIFS(RawData[[Date ]],N29652,RawData[Month List],$Q$6,RawData[Tour/Site],$Q$2,RawData[[Picker ID ]],$Q$3,RawData[Checker ID],$Q$4,RawData[[Error Type ]],$Q$5))</f>
        <v/>
      </c>
    </row>
    <row r="29653" spans="15:15" x14ac:dyDescent="0.25">
      <c r="O29653" s="20" t="str">
        <f>IF(N29653="","",COUNTIFS(RawData[[Date ]],N29653,RawData[Month List],$Q$6,RawData[Tour/Site],$Q$2,RawData[[Picker ID ]],$Q$3,RawData[Checker ID],$Q$4,RawData[[Error Type ]],$Q$5))</f>
        <v/>
      </c>
    </row>
    <row r="29654" spans="15:15" x14ac:dyDescent="0.25">
      <c r="O29654" s="20" t="str">
        <f>IF(N29654="","",COUNTIFS(RawData[[Date ]],N29654,RawData[Month List],$Q$6,RawData[Tour/Site],$Q$2,RawData[[Picker ID ]],$Q$3,RawData[Checker ID],$Q$4,RawData[[Error Type ]],$Q$5))</f>
        <v/>
      </c>
    </row>
    <row r="29655" spans="15:15" x14ac:dyDescent="0.25">
      <c r="O29655" s="20" t="str">
        <f>IF(N29655="","",COUNTIFS(RawData[[Date ]],N29655,RawData[Month List],$Q$6,RawData[Tour/Site],$Q$2,RawData[[Picker ID ]],$Q$3,RawData[Checker ID],$Q$4,RawData[[Error Type ]],$Q$5))</f>
        <v/>
      </c>
    </row>
    <row r="29656" spans="15:15" x14ac:dyDescent="0.25">
      <c r="O29656" s="20" t="str">
        <f>IF(N29656="","",COUNTIFS(RawData[[Date ]],N29656,RawData[Month List],$Q$6,RawData[Tour/Site],$Q$2,RawData[[Picker ID ]],$Q$3,RawData[Checker ID],$Q$4,RawData[[Error Type ]],$Q$5))</f>
        <v/>
      </c>
    </row>
    <row r="29657" spans="15:15" x14ac:dyDescent="0.25">
      <c r="O29657" s="20" t="str">
        <f>IF(N29657="","",COUNTIFS(RawData[[Date ]],N29657,RawData[Month List],$Q$6,RawData[Tour/Site],$Q$2,RawData[[Picker ID ]],$Q$3,RawData[Checker ID],$Q$4,RawData[[Error Type ]],$Q$5))</f>
        <v/>
      </c>
    </row>
    <row r="29658" spans="15:15" x14ac:dyDescent="0.25">
      <c r="O29658" s="20" t="str">
        <f>IF(N29658="","",COUNTIFS(RawData[[Date ]],N29658,RawData[Month List],$Q$6,RawData[Tour/Site],$Q$2,RawData[[Picker ID ]],$Q$3,RawData[Checker ID],$Q$4,RawData[[Error Type ]],$Q$5))</f>
        <v/>
      </c>
    </row>
    <row r="29659" spans="15:15" x14ac:dyDescent="0.25">
      <c r="O29659" s="20" t="str">
        <f>IF(N29659="","",COUNTIFS(RawData[[Date ]],N29659,RawData[Month List],$Q$6,RawData[Tour/Site],$Q$2,RawData[[Picker ID ]],$Q$3,RawData[Checker ID],$Q$4,RawData[[Error Type ]],$Q$5))</f>
        <v/>
      </c>
    </row>
    <row r="29660" spans="15:15" x14ac:dyDescent="0.25">
      <c r="O29660" s="20" t="str">
        <f>IF(N29660="","",COUNTIFS(RawData[[Date ]],N29660,RawData[Month List],$Q$6,RawData[Tour/Site],$Q$2,RawData[[Picker ID ]],$Q$3,RawData[Checker ID],$Q$4,RawData[[Error Type ]],$Q$5))</f>
        <v/>
      </c>
    </row>
    <row r="29661" spans="15:15" x14ac:dyDescent="0.25">
      <c r="O29661" s="20" t="str">
        <f>IF(N29661="","",COUNTIFS(RawData[[Date ]],N29661,RawData[Month List],$Q$6,RawData[Tour/Site],$Q$2,RawData[[Picker ID ]],$Q$3,RawData[Checker ID],$Q$4,RawData[[Error Type ]],$Q$5))</f>
        <v/>
      </c>
    </row>
    <row r="29662" spans="15:15" x14ac:dyDescent="0.25">
      <c r="O29662" s="20" t="str">
        <f>IF(N29662="","",COUNTIFS(RawData[[Date ]],N29662,RawData[Month List],$Q$6,RawData[Tour/Site],$Q$2,RawData[[Picker ID ]],$Q$3,RawData[Checker ID],$Q$4,RawData[[Error Type ]],$Q$5))</f>
        <v/>
      </c>
    </row>
    <row r="29663" spans="15:15" x14ac:dyDescent="0.25">
      <c r="O29663" s="20" t="str">
        <f>IF(N29663="","",COUNTIFS(RawData[[Date ]],N29663,RawData[Month List],$Q$6,RawData[Tour/Site],$Q$2,RawData[[Picker ID ]],$Q$3,RawData[Checker ID],$Q$4,RawData[[Error Type ]],$Q$5))</f>
        <v/>
      </c>
    </row>
    <row r="29664" spans="15:15" x14ac:dyDescent="0.25">
      <c r="O29664" s="20" t="str">
        <f>IF(N29664="","",COUNTIFS(RawData[[Date ]],N29664,RawData[Month List],$Q$6,RawData[Tour/Site],$Q$2,RawData[[Picker ID ]],$Q$3,RawData[Checker ID],$Q$4,RawData[[Error Type ]],$Q$5))</f>
        <v/>
      </c>
    </row>
    <row r="29665" spans="15:15" x14ac:dyDescent="0.25">
      <c r="O29665" s="20" t="str">
        <f>IF(N29665="","",COUNTIFS(RawData[[Date ]],N29665,RawData[Month List],$Q$6,RawData[Tour/Site],$Q$2,RawData[[Picker ID ]],$Q$3,RawData[Checker ID],$Q$4,RawData[[Error Type ]],$Q$5))</f>
        <v/>
      </c>
    </row>
    <row r="29666" spans="15:15" x14ac:dyDescent="0.25">
      <c r="O29666" s="20" t="str">
        <f>IF(N29666="","",COUNTIFS(RawData[[Date ]],N29666,RawData[Month List],$Q$6,RawData[Tour/Site],$Q$2,RawData[[Picker ID ]],$Q$3,RawData[Checker ID],$Q$4,RawData[[Error Type ]],$Q$5))</f>
        <v/>
      </c>
    </row>
    <row r="29667" spans="15:15" x14ac:dyDescent="0.25">
      <c r="O29667" s="20" t="str">
        <f>IF(N29667="","",COUNTIFS(RawData[[Date ]],N29667,RawData[Month List],$Q$6,RawData[Tour/Site],$Q$2,RawData[[Picker ID ]],$Q$3,RawData[Checker ID],$Q$4,RawData[[Error Type ]],$Q$5))</f>
        <v/>
      </c>
    </row>
    <row r="29668" spans="15:15" x14ac:dyDescent="0.25">
      <c r="O29668" s="20" t="str">
        <f>IF(N29668="","",COUNTIFS(RawData[[Date ]],N29668,RawData[Month List],$Q$6,RawData[Tour/Site],$Q$2,RawData[[Picker ID ]],$Q$3,RawData[Checker ID],$Q$4,RawData[[Error Type ]],$Q$5))</f>
        <v/>
      </c>
    </row>
    <row r="29669" spans="15:15" x14ac:dyDescent="0.25">
      <c r="O29669" s="20" t="str">
        <f>IF(N29669="","",COUNTIFS(RawData[[Date ]],N29669,RawData[Month List],$Q$6,RawData[Tour/Site],$Q$2,RawData[[Picker ID ]],$Q$3,RawData[Checker ID],$Q$4,RawData[[Error Type ]],$Q$5))</f>
        <v/>
      </c>
    </row>
    <row r="29670" spans="15:15" x14ac:dyDescent="0.25">
      <c r="O29670" s="20" t="str">
        <f>IF(N29670="","",COUNTIFS(RawData[[Date ]],N29670,RawData[Month List],$Q$6,RawData[Tour/Site],$Q$2,RawData[[Picker ID ]],$Q$3,RawData[Checker ID],$Q$4,RawData[[Error Type ]],$Q$5))</f>
        <v/>
      </c>
    </row>
    <row r="29671" spans="15:15" x14ac:dyDescent="0.25">
      <c r="O29671" s="20" t="str">
        <f>IF(N29671="","",COUNTIFS(RawData[[Date ]],N29671,RawData[Month List],$Q$6,RawData[Tour/Site],$Q$2,RawData[[Picker ID ]],$Q$3,RawData[Checker ID],$Q$4,RawData[[Error Type ]],$Q$5))</f>
        <v/>
      </c>
    </row>
    <row r="29672" spans="15:15" x14ac:dyDescent="0.25">
      <c r="O29672" s="20" t="str">
        <f>IF(N29672="","",COUNTIFS(RawData[[Date ]],N29672,RawData[Month List],$Q$6,RawData[Tour/Site],$Q$2,RawData[[Picker ID ]],$Q$3,RawData[Checker ID],$Q$4,RawData[[Error Type ]],$Q$5))</f>
        <v/>
      </c>
    </row>
    <row r="29673" spans="15:15" x14ac:dyDescent="0.25">
      <c r="O29673" s="20" t="str">
        <f>IF(N29673="","",COUNTIFS(RawData[[Date ]],N29673,RawData[Month List],$Q$6,RawData[Tour/Site],$Q$2,RawData[[Picker ID ]],$Q$3,RawData[Checker ID],$Q$4,RawData[[Error Type ]],$Q$5))</f>
        <v/>
      </c>
    </row>
    <row r="29674" spans="15:15" x14ac:dyDescent="0.25">
      <c r="O29674" s="20" t="str">
        <f>IF(N29674="","",COUNTIFS(RawData[[Date ]],N29674,RawData[Month List],$Q$6,RawData[Tour/Site],$Q$2,RawData[[Picker ID ]],$Q$3,RawData[Checker ID],$Q$4,RawData[[Error Type ]],$Q$5))</f>
        <v/>
      </c>
    </row>
    <row r="29675" spans="15:15" x14ac:dyDescent="0.25">
      <c r="O29675" s="20" t="str">
        <f>IF(N29675="","",COUNTIFS(RawData[[Date ]],N29675,RawData[Month List],$Q$6,RawData[Tour/Site],$Q$2,RawData[[Picker ID ]],$Q$3,RawData[Checker ID],$Q$4,RawData[[Error Type ]],$Q$5))</f>
        <v/>
      </c>
    </row>
    <row r="29676" spans="15:15" x14ac:dyDescent="0.25">
      <c r="O29676" s="20" t="str">
        <f>IF(N29676="","",COUNTIFS(RawData[[Date ]],N29676,RawData[Month List],$Q$6,RawData[Tour/Site],$Q$2,RawData[[Picker ID ]],$Q$3,RawData[Checker ID],$Q$4,RawData[[Error Type ]],$Q$5))</f>
        <v/>
      </c>
    </row>
    <row r="29677" spans="15:15" x14ac:dyDescent="0.25">
      <c r="O29677" s="20" t="str">
        <f>IF(N29677="","",COUNTIFS(RawData[[Date ]],N29677,RawData[Month List],$Q$6,RawData[Tour/Site],$Q$2,RawData[[Picker ID ]],$Q$3,RawData[Checker ID],$Q$4,RawData[[Error Type ]],$Q$5))</f>
        <v/>
      </c>
    </row>
    <row r="29678" spans="15:15" x14ac:dyDescent="0.25">
      <c r="O29678" s="20" t="str">
        <f>IF(N29678="","",COUNTIFS(RawData[[Date ]],N29678,RawData[Month List],$Q$6,RawData[Tour/Site],$Q$2,RawData[[Picker ID ]],$Q$3,RawData[Checker ID],$Q$4,RawData[[Error Type ]],$Q$5))</f>
        <v/>
      </c>
    </row>
    <row r="29679" spans="15:15" x14ac:dyDescent="0.25">
      <c r="O29679" s="20" t="str">
        <f>IF(N29679="","",COUNTIFS(RawData[[Date ]],N29679,RawData[Month List],$Q$6,RawData[Tour/Site],$Q$2,RawData[[Picker ID ]],$Q$3,RawData[Checker ID],$Q$4,RawData[[Error Type ]],$Q$5))</f>
        <v/>
      </c>
    </row>
    <row r="29680" spans="15:15" x14ac:dyDescent="0.25">
      <c r="O29680" s="20" t="str">
        <f>IF(N29680="","",COUNTIFS(RawData[[Date ]],N29680,RawData[Month List],$Q$6,RawData[Tour/Site],$Q$2,RawData[[Picker ID ]],$Q$3,RawData[Checker ID],$Q$4,RawData[[Error Type ]],$Q$5))</f>
        <v/>
      </c>
    </row>
    <row r="29681" spans="15:15" x14ac:dyDescent="0.25">
      <c r="O29681" s="20" t="str">
        <f>IF(N29681="","",COUNTIFS(RawData[[Date ]],N29681,RawData[Month List],$Q$6,RawData[Tour/Site],$Q$2,RawData[[Picker ID ]],$Q$3,RawData[Checker ID],$Q$4,RawData[[Error Type ]],$Q$5))</f>
        <v/>
      </c>
    </row>
    <row r="29682" spans="15:15" x14ac:dyDescent="0.25">
      <c r="O29682" s="20" t="str">
        <f>IF(N29682="","",COUNTIFS(RawData[[Date ]],N29682,RawData[Month List],$Q$6,RawData[Tour/Site],$Q$2,RawData[[Picker ID ]],$Q$3,RawData[Checker ID],$Q$4,RawData[[Error Type ]],$Q$5))</f>
        <v/>
      </c>
    </row>
    <row r="29683" spans="15:15" x14ac:dyDescent="0.25">
      <c r="O29683" s="20" t="str">
        <f>IF(N29683="","",COUNTIFS(RawData[[Date ]],N29683,RawData[Month List],$Q$6,RawData[Tour/Site],$Q$2,RawData[[Picker ID ]],$Q$3,RawData[Checker ID],$Q$4,RawData[[Error Type ]],$Q$5))</f>
        <v/>
      </c>
    </row>
    <row r="29684" spans="15:15" x14ac:dyDescent="0.25">
      <c r="O29684" s="20" t="str">
        <f>IF(N29684="","",COUNTIFS(RawData[[Date ]],N29684,RawData[Month List],$Q$6,RawData[Tour/Site],$Q$2,RawData[[Picker ID ]],$Q$3,RawData[Checker ID],$Q$4,RawData[[Error Type ]],$Q$5))</f>
        <v/>
      </c>
    </row>
    <row r="29685" spans="15:15" x14ac:dyDescent="0.25">
      <c r="O29685" s="20" t="str">
        <f>IF(N29685="","",COUNTIFS(RawData[[Date ]],N29685,RawData[Month List],$Q$6,RawData[Tour/Site],$Q$2,RawData[[Picker ID ]],$Q$3,RawData[Checker ID],$Q$4,RawData[[Error Type ]],$Q$5))</f>
        <v/>
      </c>
    </row>
    <row r="29686" spans="15:15" x14ac:dyDescent="0.25">
      <c r="O29686" s="20" t="str">
        <f>IF(N29686="","",COUNTIFS(RawData[[Date ]],N29686,RawData[Month List],$Q$6,RawData[Tour/Site],$Q$2,RawData[[Picker ID ]],$Q$3,RawData[Checker ID],$Q$4,RawData[[Error Type ]],$Q$5))</f>
        <v/>
      </c>
    </row>
    <row r="29687" spans="15:15" x14ac:dyDescent="0.25">
      <c r="O29687" s="20" t="str">
        <f>IF(N29687="","",COUNTIFS(RawData[[Date ]],N29687,RawData[Month List],$Q$6,RawData[Tour/Site],$Q$2,RawData[[Picker ID ]],$Q$3,RawData[Checker ID],$Q$4,RawData[[Error Type ]],$Q$5))</f>
        <v/>
      </c>
    </row>
    <row r="29688" spans="15:15" x14ac:dyDescent="0.25">
      <c r="O29688" s="20" t="str">
        <f>IF(N29688="","",COUNTIFS(RawData[[Date ]],N29688,RawData[Month List],$Q$6,RawData[Tour/Site],$Q$2,RawData[[Picker ID ]],$Q$3,RawData[Checker ID],$Q$4,RawData[[Error Type ]],$Q$5))</f>
        <v/>
      </c>
    </row>
    <row r="29689" spans="15:15" x14ac:dyDescent="0.25">
      <c r="O29689" s="20" t="str">
        <f>IF(N29689="","",COUNTIFS(RawData[[Date ]],N29689,RawData[Month List],$Q$6,RawData[Tour/Site],$Q$2,RawData[[Picker ID ]],$Q$3,RawData[Checker ID],$Q$4,RawData[[Error Type ]],$Q$5))</f>
        <v/>
      </c>
    </row>
    <row r="29690" spans="15:15" x14ac:dyDescent="0.25">
      <c r="O29690" s="20" t="str">
        <f>IF(N29690="","",COUNTIFS(RawData[[Date ]],N29690,RawData[Month List],$Q$6,RawData[Tour/Site],$Q$2,RawData[[Picker ID ]],$Q$3,RawData[Checker ID],$Q$4,RawData[[Error Type ]],$Q$5))</f>
        <v/>
      </c>
    </row>
    <row r="29691" spans="15:15" x14ac:dyDescent="0.25">
      <c r="O29691" s="20" t="str">
        <f>IF(N29691="","",COUNTIFS(RawData[[Date ]],N29691,RawData[Month List],$Q$6,RawData[Tour/Site],$Q$2,RawData[[Picker ID ]],$Q$3,RawData[Checker ID],$Q$4,RawData[[Error Type ]],$Q$5))</f>
        <v/>
      </c>
    </row>
    <row r="29692" spans="15:15" x14ac:dyDescent="0.25">
      <c r="O29692" s="20" t="str">
        <f>IF(N29692="","",COUNTIFS(RawData[[Date ]],N29692,RawData[Month List],$Q$6,RawData[Tour/Site],$Q$2,RawData[[Picker ID ]],$Q$3,RawData[Checker ID],$Q$4,RawData[[Error Type ]],$Q$5))</f>
        <v/>
      </c>
    </row>
    <row r="29693" spans="15:15" x14ac:dyDescent="0.25">
      <c r="O29693" s="20" t="str">
        <f>IF(N29693="","",COUNTIFS(RawData[[Date ]],N29693,RawData[Month List],$Q$6,RawData[Tour/Site],$Q$2,RawData[[Picker ID ]],$Q$3,RawData[Checker ID],$Q$4,RawData[[Error Type ]],$Q$5))</f>
        <v/>
      </c>
    </row>
    <row r="29694" spans="15:15" x14ac:dyDescent="0.25">
      <c r="O29694" s="20" t="str">
        <f>IF(N29694="","",COUNTIFS(RawData[[Date ]],N29694,RawData[Month List],$Q$6,RawData[Tour/Site],$Q$2,RawData[[Picker ID ]],$Q$3,RawData[Checker ID],$Q$4,RawData[[Error Type ]],$Q$5))</f>
        <v/>
      </c>
    </row>
    <row r="29695" spans="15:15" x14ac:dyDescent="0.25">
      <c r="O29695" s="20" t="str">
        <f>IF(N29695="","",COUNTIFS(RawData[[Date ]],N29695,RawData[Month List],$Q$6,RawData[Tour/Site],$Q$2,RawData[[Picker ID ]],$Q$3,RawData[Checker ID],$Q$4,RawData[[Error Type ]],$Q$5))</f>
        <v/>
      </c>
    </row>
    <row r="29696" spans="15:15" x14ac:dyDescent="0.25">
      <c r="O29696" s="20" t="str">
        <f>IF(N29696="","",COUNTIFS(RawData[[Date ]],N29696,RawData[Month List],$Q$6,RawData[Tour/Site],$Q$2,RawData[[Picker ID ]],$Q$3,RawData[Checker ID],$Q$4,RawData[[Error Type ]],$Q$5))</f>
        <v/>
      </c>
    </row>
    <row r="29697" spans="15:15" x14ac:dyDescent="0.25">
      <c r="O29697" s="20" t="str">
        <f>IF(N29697="","",COUNTIFS(RawData[[Date ]],N29697,RawData[Month List],$Q$6,RawData[Tour/Site],$Q$2,RawData[[Picker ID ]],$Q$3,RawData[Checker ID],$Q$4,RawData[[Error Type ]],$Q$5))</f>
        <v/>
      </c>
    </row>
    <row r="29698" spans="15:15" x14ac:dyDescent="0.25">
      <c r="O29698" s="20" t="str">
        <f>IF(N29698="","",COUNTIFS(RawData[[Date ]],N29698,RawData[Month List],$Q$6,RawData[Tour/Site],$Q$2,RawData[[Picker ID ]],$Q$3,RawData[Checker ID],$Q$4,RawData[[Error Type ]],$Q$5))</f>
        <v/>
      </c>
    </row>
    <row r="29699" spans="15:15" x14ac:dyDescent="0.25">
      <c r="O29699" s="20" t="str">
        <f>IF(N29699="","",COUNTIFS(RawData[[Date ]],N29699,RawData[Month List],$Q$6,RawData[Tour/Site],$Q$2,RawData[[Picker ID ]],$Q$3,RawData[Checker ID],$Q$4,RawData[[Error Type ]],$Q$5))</f>
        <v/>
      </c>
    </row>
    <row r="29700" spans="15:15" x14ac:dyDescent="0.25">
      <c r="O29700" s="20" t="str">
        <f>IF(N29700="","",COUNTIFS(RawData[[Date ]],N29700,RawData[Month List],$Q$6,RawData[Tour/Site],$Q$2,RawData[[Picker ID ]],$Q$3,RawData[Checker ID],$Q$4,RawData[[Error Type ]],$Q$5))</f>
        <v/>
      </c>
    </row>
    <row r="29701" spans="15:15" x14ac:dyDescent="0.25">
      <c r="O29701" s="20" t="str">
        <f>IF(N29701="","",COUNTIFS(RawData[[Date ]],N29701,RawData[Month List],$Q$6,RawData[Tour/Site],$Q$2,RawData[[Picker ID ]],$Q$3,RawData[Checker ID],$Q$4,RawData[[Error Type ]],$Q$5))</f>
        <v/>
      </c>
    </row>
    <row r="29702" spans="15:15" x14ac:dyDescent="0.25">
      <c r="O29702" s="20" t="str">
        <f>IF(N29702="","",COUNTIFS(RawData[[Date ]],N29702,RawData[Month List],$Q$6,RawData[Tour/Site],$Q$2,RawData[[Picker ID ]],$Q$3,RawData[Checker ID],$Q$4,RawData[[Error Type ]],$Q$5))</f>
        <v/>
      </c>
    </row>
    <row r="29703" spans="15:15" x14ac:dyDescent="0.25">
      <c r="O29703" s="20" t="str">
        <f>IF(N29703="","",COUNTIFS(RawData[[Date ]],N29703,RawData[Month List],$Q$6,RawData[Tour/Site],$Q$2,RawData[[Picker ID ]],$Q$3,RawData[Checker ID],$Q$4,RawData[[Error Type ]],$Q$5))</f>
        <v/>
      </c>
    </row>
    <row r="29704" spans="15:15" x14ac:dyDescent="0.25">
      <c r="O29704" s="20" t="str">
        <f>IF(N29704="","",COUNTIFS(RawData[[Date ]],N29704,RawData[Month List],$Q$6,RawData[Tour/Site],$Q$2,RawData[[Picker ID ]],$Q$3,RawData[Checker ID],$Q$4,RawData[[Error Type ]],$Q$5))</f>
        <v/>
      </c>
    </row>
    <row r="29705" spans="15:15" x14ac:dyDescent="0.25">
      <c r="O29705" s="20" t="str">
        <f>IF(N29705="","",COUNTIFS(RawData[[Date ]],N29705,RawData[Month List],$Q$6,RawData[Tour/Site],$Q$2,RawData[[Picker ID ]],$Q$3,RawData[Checker ID],$Q$4,RawData[[Error Type ]],$Q$5))</f>
        <v/>
      </c>
    </row>
    <row r="29706" spans="15:15" x14ac:dyDescent="0.25">
      <c r="O29706" s="20" t="str">
        <f>IF(N29706="","",COUNTIFS(RawData[[Date ]],N29706,RawData[Month List],$Q$6,RawData[Tour/Site],$Q$2,RawData[[Picker ID ]],$Q$3,RawData[Checker ID],$Q$4,RawData[[Error Type ]],$Q$5))</f>
        <v/>
      </c>
    </row>
    <row r="29707" spans="15:15" x14ac:dyDescent="0.25">
      <c r="O29707" s="20" t="str">
        <f>IF(N29707="","",COUNTIFS(RawData[[Date ]],N29707,RawData[Month List],$Q$6,RawData[Tour/Site],$Q$2,RawData[[Picker ID ]],$Q$3,RawData[Checker ID],$Q$4,RawData[[Error Type ]],$Q$5))</f>
        <v/>
      </c>
    </row>
    <row r="29708" spans="15:15" x14ac:dyDescent="0.25">
      <c r="O29708" s="20" t="str">
        <f>IF(N29708="","",COUNTIFS(RawData[[Date ]],N29708,RawData[Month List],$Q$6,RawData[Tour/Site],$Q$2,RawData[[Picker ID ]],$Q$3,RawData[Checker ID],$Q$4,RawData[[Error Type ]],$Q$5))</f>
        <v/>
      </c>
    </row>
    <row r="29709" spans="15:15" x14ac:dyDescent="0.25">
      <c r="O29709" s="20" t="str">
        <f>IF(N29709="","",COUNTIFS(RawData[[Date ]],N29709,RawData[Month List],$Q$6,RawData[Tour/Site],$Q$2,RawData[[Picker ID ]],$Q$3,RawData[Checker ID],$Q$4,RawData[[Error Type ]],$Q$5))</f>
        <v/>
      </c>
    </row>
    <row r="29710" spans="15:15" x14ac:dyDescent="0.25">
      <c r="O29710" s="20" t="str">
        <f>IF(N29710="","",COUNTIFS(RawData[[Date ]],N29710,RawData[Month List],$Q$6,RawData[Tour/Site],$Q$2,RawData[[Picker ID ]],$Q$3,RawData[Checker ID],$Q$4,RawData[[Error Type ]],$Q$5))</f>
        <v/>
      </c>
    </row>
    <row r="29711" spans="15:15" x14ac:dyDescent="0.25">
      <c r="O29711" s="20" t="str">
        <f>IF(N29711="","",COUNTIFS(RawData[[Date ]],N29711,RawData[Month List],$Q$6,RawData[Tour/Site],$Q$2,RawData[[Picker ID ]],$Q$3,RawData[Checker ID],$Q$4,RawData[[Error Type ]],$Q$5))</f>
        <v/>
      </c>
    </row>
    <row r="29712" spans="15:15" x14ac:dyDescent="0.25">
      <c r="O29712" s="20" t="str">
        <f>IF(N29712="","",COUNTIFS(RawData[[Date ]],N29712,RawData[Month List],$Q$6,RawData[Tour/Site],$Q$2,RawData[[Picker ID ]],$Q$3,RawData[Checker ID],$Q$4,RawData[[Error Type ]],$Q$5))</f>
        <v/>
      </c>
    </row>
    <row r="29713" spans="15:15" x14ac:dyDescent="0.25">
      <c r="O29713" s="20" t="str">
        <f>IF(N29713="","",COUNTIFS(RawData[[Date ]],N29713,RawData[Month List],$Q$6,RawData[Tour/Site],$Q$2,RawData[[Picker ID ]],$Q$3,RawData[Checker ID],$Q$4,RawData[[Error Type ]],$Q$5))</f>
        <v/>
      </c>
    </row>
    <row r="29714" spans="15:15" x14ac:dyDescent="0.25">
      <c r="O29714" s="20" t="str">
        <f>IF(N29714="","",COUNTIFS(RawData[[Date ]],N29714,RawData[Month List],$Q$6,RawData[Tour/Site],$Q$2,RawData[[Picker ID ]],$Q$3,RawData[Checker ID],$Q$4,RawData[[Error Type ]],$Q$5))</f>
        <v/>
      </c>
    </row>
    <row r="29715" spans="15:15" x14ac:dyDescent="0.25">
      <c r="O29715" s="20" t="str">
        <f>IF(N29715="","",COUNTIFS(RawData[[Date ]],N29715,RawData[Month List],$Q$6,RawData[Tour/Site],$Q$2,RawData[[Picker ID ]],$Q$3,RawData[Checker ID],$Q$4,RawData[[Error Type ]],$Q$5))</f>
        <v/>
      </c>
    </row>
    <row r="29716" spans="15:15" x14ac:dyDescent="0.25">
      <c r="O29716" s="20" t="str">
        <f>IF(N29716="","",COUNTIFS(RawData[[Date ]],N29716,RawData[Month List],$Q$6,RawData[Tour/Site],$Q$2,RawData[[Picker ID ]],$Q$3,RawData[Checker ID],$Q$4,RawData[[Error Type ]],$Q$5))</f>
        <v/>
      </c>
    </row>
    <row r="29717" spans="15:15" x14ac:dyDescent="0.25">
      <c r="O29717" s="20" t="str">
        <f>IF(N29717="","",COUNTIFS(RawData[[Date ]],N29717,RawData[Month List],$Q$6,RawData[Tour/Site],$Q$2,RawData[[Picker ID ]],$Q$3,RawData[Checker ID],$Q$4,RawData[[Error Type ]],$Q$5))</f>
        <v/>
      </c>
    </row>
    <row r="29718" spans="15:15" x14ac:dyDescent="0.25">
      <c r="O29718" s="20" t="str">
        <f>IF(N29718="","",COUNTIFS(RawData[[Date ]],N29718,RawData[Month List],$Q$6,RawData[Tour/Site],$Q$2,RawData[[Picker ID ]],$Q$3,RawData[Checker ID],$Q$4,RawData[[Error Type ]],$Q$5))</f>
        <v/>
      </c>
    </row>
    <row r="29719" spans="15:15" x14ac:dyDescent="0.25">
      <c r="O29719" s="20" t="str">
        <f>IF(N29719="","",COUNTIFS(RawData[[Date ]],N29719,RawData[Month List],$Q$6,RawData[Tour/Site],$Q$2,RawData[[Picker ID ]],$Q$3,RawData[Checker ID],$Q$4,RawData[[Error Type ]],$Q$5))</f>
        <v/>
      </c>
    </row>
    <row r="29720" spans="15:15" x14ac:dyDescent="0.25">
      <c r="O29720" s="20" t="str">
        <f>IF(N29720="","",COUNTIFS(RawData[[Date ]],N29720,RawData[Month List],$Q$6,RawData[Tour/Site],$Q$2,RawData[[Picker ID ]],$Q$3,RawData[Checker ID],$Q$4,RawData[[Error Type ]],$Q$5))</f>
        <v/>
      </c>
    </row>
    <row r="29721" spans="15:15" x14ac:dyDescent="0.25">
      <c r="O29721" s="20" t="str">
        <f>IF(N29721="","",COUNTIFS(RawData[[Date ]],N29721,RawData[Month List],$Q$6,RawData[Tour/Site],$Q$2,RawData[[Picker ID ]],$Q$3,RawData[Checker ID],$Q$4,RawData[[Error Type ]],$Q$5))</f>
        <v/>
      </c>
    </row>
    <row r="29722" spans="15:15" x14ac:dyDescent="0.25">
      <c r="O29722" s="20" t="str">
        <f>IF(N29722="","",COUNTIFS(RawData[[Date ]],N29722,RawData[Month List],$Q$6,RawData[Tour/Site],$Q$2,RawData[[Picker ID ]],$Q$3,RawData[Checker ID],$Q$4,RawData[[Error Type ]],$Q$5))</f>
        <v/>
      </c>
    </row>
    <row r="29723" spans="15:15" x14ac:dyDescent="0.25">
      <c r="O29723" s="20" t="str">
        <f>IF(N29723="","",COUNTIFS(RawData[[Date ]],N29723,RawData[Month List],$Q$6,RawData[Tour/Site],$Q$2,RawData[[Picker ID ]],$Q$3,RawData[Checker ID],$Q$4,RawData[[Error Type ]],$Q$5))</f>
        <v/>
      </c>
    </row>
    <row r="29724" spans="15:15" x14ac:dyDescent="0.25">
      <c r="O29724" s="20" t="str">
        <f>IF(N29724="","",COUNTIFS(RawData[[Date ]],N29724,RawData[Month List],$Q$6,RawData[Tour/Site],$Q$2,RawData[[Picker ID ]],$Q$3,RawData[Checker ID],$Q$4,RawData[[Error Type ]],$Q$5))</f>
        <v/>
      </c>
    </row>
    <row r="29725" spans="15:15" x14ac:dyDescent="0.25">
      <c r="O29725" s="20" t="str">
        <f>IF(N29725="","",COUNTIFS(RawData[[Date ]],N29725,RawData[Month List],$Q$6,RawData[Tour/Site],$Q$2,RawData[[Picker ID ]],$Q$3,RawData[Checker ID],$Q$4,RawData[[Error Type ]],$Q$5))</f>
        <v/>
      </c>
    </row>
    <row r="29726" spans="15:15" x14ac:dyDescent="0.25">
      <c r="O29726" s="20" t="str">
        <f>IF(N29726="","",COUNTIFS(RawData[[Date ]],N29726,RawData[Month List],$Q$6,RawData[Tour/Site],$Q$2,RawData[[Picker ID ]],$Q$3,RawData[Checker ID],$Q$4,RawData[[Error Type ]],$Q$5))</f>
        <v/>
      </c>
    </row>
    <row r="29727" spans="15:15" x14ac:dyDescent="0.25">
      <c r="O29727" s="20" t="str">
        <f>IF(N29727="","",COUNTIFS(RawData[[Date ]],N29727,RawData[Month List],$Q$6,RawData[Tour/Site],$Q$2,RawData[[Picker ID ]],$Q$3,RawData[Checker ID],$Q$4,RawData[[Error Type ]],$Q$5))</f>
        <v/>
      </c>
    </row>
    <row r="29728" spans="15:15" x14ac:dyDescent="0.25">
      <c r="O29728" s="20" t="str">
        <f>IF(N29728="","",COUNTIFS(RawData[[Date ]],N29728,RawData[Month List],$Q$6,RawData[Tour/Site],$Q$2,RawData[[Picker ID ]],$Q$3,RawData[Checker ID],$Q$4,RawData[[Error Type ]],$Q$5))</f>
        <v/>
      </c>
    </row>
    <row r="29729" spans="15:15" x14ac:dyDescent="0.25">
      <c r="O29729" s="20" t="str">
        <f>IF(N29729="","",COUNTIFS(RawData[[Date ]],N29729,RawData[Month List],$Q$6,RawData[Tour/Site],$Q$2,RawData[[Picker ID ]],$Q$3,RawData[Checker ID],$Q$4,RawData[[Error Type ]],$Q$5))</f>
        <v/>
      </c>
    </row>
    <row r="29730" spans="15:15" x14ac:dyDescent="0.25">
      <c r="O29730" s="20" t="str">
        <f>IF(N29730="","",COUNTIFS(RawData[[Date ]],N29730,RawData[Month List],$Q$6,RawData[Tour/Site],$Q$2,RawData[[Picker ID ]],$Q$3,RawData[Checker ID],$Q$4,RawData[[Error Type ]],$Q$5))</f>
        <v/>
      </c>
    </row>
    <row r="29731" spans="15:15" x14ac:dyDescent="0.25">
      <c r="O29731" s="20" t="str">
        <f>IF(N29731="","",COUNTIFS(RawData[[Date ]],N29731,RawData[Month List],$Q$6,RawData[Tour/Site],$Q$2,RawData[[Picker ID ]],$Q$3,RawData[Checker ID],$Q$4,RawData[[Error Type ]],$Q$5))</f>
        <v/>
      </c>
    </row>
    <row r="29732" spans="15:15" x14ac:dyDescent="0.25">
      <c r="O29732" s="20" t="str">
        <f>IF(N29732="","",COUNTIFS(RawData[[Date ]],N29732,RawData[Month List],$Q$6,RawData[Tour/Site],$Q$2,RawData[[Picker ID ]],$Q$3,RawData[Checker ID],$Q$4,RawData[[Error Type ]],$Q$5))</f>
        <v/>
      </c>
    </row>
    <row r="29733" spans="15:15" x14ac:dyDescent="0.25">
      <c r="O29733" s="20" t="str">
        <f>IF(N29733="","",COUNTIFS(RawData[[Date ]],N29733,RawData[Month List],$Q$6,RawData[Tour/Site],$Q$2,RawData[[Picker ID ]],$Q$3,RawData[Checker ID],$Q$4,RawData[[Error Type ]],$Q$5))</f>
        <v/>
      </c>
    </row>
    <row r="29734" spans="15:15" x14ac:dyDescent="0.25">
      <c r="O29734" s="20" t="str">
        <f>IF(N29734="","",COUNTIFS(RawData[[Date ]],N29734,RawData[Month List],$Q$6,RawData[Tour/Site],$Q$2,RawData[[Picker ID ]],$Q$3,RawData[Checker ID],$Q$4,RawData[[Error Type ]],$Q$5))</f>
        <v/>
      </c>
    </row>
    <row r="29735" spans="15:15" x14ac:dyDescent="0.25">
      <c r="O29735" s="20" t="str">
        <f>IF(N29735="","",COUNTIFS(RawData[[Date ]],N29735,RawData[Month List],$Q$6,RawData[Tour/Site],$Q$2,RawData[[Picker ID ]],$Q$3,RawData[Checker ID],$Q$4,RawData[[Error Type ]],$Q$5))</f>
        <v/>
      </c>
    </row>
    <row r="29736" spans="15:15" x14ac:dyDescent="0.25">
      <c r="O29736" s="20" t="str">
        <f>IF(N29736="","",COUNTIFS(RawData[[Date ]],N29736,RawData[Month List],$Q$6,RawData[Tour/Site],$Q$2,RawData[[Picker ID ]],$Q$3,RawData[Checker ID],$Q$4,RawData[[Error Type ]],$Q$5))</f>
        <v/>
      </c>
    </row>
    <row r="29737" spans="15:15" x14ac:dyDescent="0.25">
      <c r="O29737" s="20" t="str">
        <f>IF(N29737="","",COUNTIFS(RawData[[Date ]],N29737,RawData[Month List],$Q$6,RawData[Tour/Site],$Q$2,RawData[[Picker ID ]],$Q$3,RawData[Checker ID],$Q$4,RawData[[Error Type ]],$Q$5))</f>
        <v/>
      </c>
    </row>
    <row r="29738" spans="15:15" x14ac:dyDescent="0.25">
      <c r="O29738" s="20" t="str">
        <f>IF(N29738="","",COUNTIFS(RawData[[Date ]],N29738,RawData[Month List],$Q$6,RawData[Tour/Site],$Q$2,RawData[[Picker ID ]],$Q$3,RawData[Checker ID],$Q$4,RawData[[Error Type ]],$Q$5))</f>
        <v/>
      </c>
    </row>
    <row r="29739" spans="15:15" x14ac:dyDescent="0.25">
      <c r="O29739" s="20" t="str">
        <f>IF(N29739="","",COUNTIFS(RawData[[Date ]],N29739,RawData[Month List],$Q$6,RawData[Tour/Site],$Q$2,RawData[[Picker ID ]],$Q$3,RawData[Checker ID],$Q$4,RawData[[Error Type ]],$Q$5))</f>
        <v/>
      </c>
    </row>
    <row r="29740" spans="15:15" x14ac:dyDescent="0.25">
      <c r="O29740" s="20" t="str">
        <f>IF(N29740="","",COUNTIFS(RawData[[Date ]],N29740,RawData[Month List],$Q$6,RawData[Tour/Site],$Q$2,RawData[[Picker ID ]],$Q$3,RawData[Checker ID],$Q$4,RawData[[Error Type ]],$Q$5))</f>
        <v/>
      </c>
    </row>
    <row r="29741" spans="15:15" x14ac:dyDescent="0.25">
      <c r="O29741" s="20" t="str">
        <f>IF(N29741="","",COUNTIFS(RawData[[Date ]],N29741,RawData[Month List],$Q$6,RawData[Tour/Site],$Q$2,RawData[[Picker ID ]],$Q$3,RawData[Checker ID],$Q$4,RawData[[Error Type ]],$Q$5))</f>
        <v/>
      </c>
    </row>
    <row r="29742" spans="15:15" x14ac:dyDescent="0.25">
      <c r="O29742" s="20" t="str">
        <f>IF(N29742="","",COUNTIFS(RawData[[Date ]],N29742,RawData[Month List],$Q$6,RawData[Tour/Site],$Q$2,RawData[[Picker ID ]],$Q$3,RawData[Checker ID],$Q$4,RawData[[Error Type ]],$Q$5))</f>
        <v/>
      </c>
    </row>
    <row r="29743" spans="15:15" x14ac:dyDescent="0.25">
      <c r="O29743" s="20" t="str">
        <f>IF(N29743="","",COUNTIFS(RawData[[Date ]],N29743,RawData[Month List],$Q$6,RawData[Tour/Site],$Q$2,RawData[[Picker ID ]],$Q$3,RawData[Checker ID],$Q$4,RawData[[Error Type ]],$Q$5))</f>
        <v/>
      </c>
    </row>
    <row r="29744" spans="15:15" x14ac:dyDescent="0.25">
      <c r="O29744" s="20" t="str">
        <f>IF(N29744="","",COUNTIFS(RawData[[Date ]],N29744,RawData[Month List],$Q$6,RawData[Tour/Site],$Q$2,RawData[[Picker ID ]],$Q$3,RawData[Checker ID],$Q$4,RawData[[Error Type ]],$Q$5))</f>
        <v/>
      </c>
    </row>
    <row r="29745" spans="15:15" x14ac:dyDescent="0.25">
      <c r="O29745" s="20" t="str">
        <f>IF(N29745="","",COUNTIFS(RawData[[Date ]],N29745,RawData[Month List],$Q$6,RawData[Tour/Site],$Q$2,RawData[[Picker ID ]],$Q$3,RawData[Checker ID],$Q$4,RawData[[Error Type ]],$Q$5))</f>
        <v/>
      </c>
    </row>
    <row r="29746" spans="15:15" x14ac:dyDescent="0.25">
      <c r="O29746" s="20" t="str">
        <f>IF(N29746="","",COUNTIFS(RawData[[Date ]],N29746,RawData[Month List],$Q$6,RawData[Tour/Site],$Q$2,RawData[[Picker ID ]],$Q$3,RawData[Checker ID],$Q$4,RawData[[Error Type ]],$Q$5))</f>
        <v/>
      </c>
    </row>
    <row r="29747" spans="15:15" x14ac:dyDescent="0.25">
      <c r="O29747" s="20" t="str">
        <f>IF(N29747="","",COUNTIFS(RawData[[Date ]],N29747,RawData[Month List],$Q$6,RawData[Tour/Site],$Q$2,RawData[[Picker ID ]],$Q$3,RawData[Checker ID],$Q$4,RawData[[Error Type ]],$Q$5))</f>
        <v/>
      </c>
    </row>
    <row r="29748" spans="15:15" x14ac:dyDescent="0.25">
      <c r="O29748" s="20" t="str">
        <f>IF(N29748="","",COUNTIFS(RawData[[Date ]],N29748,RawData[Month List],$Q$6,RawData[Tour/Site],$Q$2,RawData[[Picker ID ]],$Q$3,RawData[Checker ID],$Q$4,RawData[[Error Type ]],$Q$5))</f>
        <v/>
      </c>
    </row>
    <row r="29749" spans="15:15" x14ac:dyDescent="0.25">
      <c r="O29749" s="20" t="str">
        <f>IF(N29749="","",COUNTIFS(RawData[[Date ]],N29749,RawData[Month List],$Q$6,RawData[Tour/Site],$Q$2,RawData[[Picker ID ]],$Q$3,RawData[Checker ID],$Q$4,RawData[[Error Type ]],$Q$5))</f>
        <v/>
      </c>
    </row>
    <row r="29750" spans="15:15" x14ac:dyDescent="0.25">
      <c r="O29750" s="20" t="str">
        <f>IF(N29750="","",COUNTIFS(RawData[[Date ]],N29750,RawData[Month List],$Q$6,RawData[Tour/Site],$Q$2,RawData[[Picker ID ]],$Q$3,RawData[Checker ID],$Q$4,RawData[[Error Type ]],$Q$5))</f>
        <v/>
      </c>
    </row>
    <row r="29751" spans="15:15" x14ac:dyDescent="0.25">
      <c r="O29751" s="20" t="str">
        <f>IF(N29751="","",COUNTIFS(RawData[[Date ]],N29751,RawData[Month List],$Q$6,RawData[Tour/Site],$Q$2,RawData[[Picker ID ]],$Q$3,RawData[Checker ID],$Q$4,RawData[[Error Type ]],$Q$5))</f>
        <v/>
      </c>
    </row>
    <row r="29752" spans="15:15" x14ac:dyDescent="0.25">
      <c r="O29752" s="20" t="str">
        <f>IF(N29752="","",COUNTIFS(RawData[[Date ]],N29752,RawData[Month List],$Q$6,RawData[Tour/Site],$Q$2,RawData[[Picker ID ]],$Q$3,RawData[Checker ID],$Q$4,RawData[[Error Type ]],$Q$5))</f>
        <v/>
      </c>
    </row>
    <row r="29753" spans="15:15" x14ac:dyDescent="0.25">
      <c r="O29753" s="20" t="str">
        <f>IF(N29753="","",COUNTIFS(RawData[[Date ]],N29753,RawData[Month List],$Q$6,RawData[Tour/Site],$Q$2,RawData[[Picker ID ]],$Q$3,RawData[Checker ID],$Q$4,RawData[[Error Type ]],$Q$5))</f>
        <v/>
      </c>
    </row>
    <row r="29754" spans="15:15" x14ac:dyDescent="0.25">
      <c r="O29754" s="20" t="str">
        <f>IF(N29754="","",COUNTIFS(RawData[[Date ]],N29754,RawData[Month List],$Q$6,RawData[Tour/Site],$Q$2,RawData[[Picker ID ]],$Q$3,RawData[Checker ID],$Q$4,RawData[[Error Type ]],$Q$5))</f>
        <v/>
      </c>
    </row>
    <row r="29755" spans="15:15" x14ac:dyDescent="0.25">
      <c r="O29755" s="20" t="str">
        <f>IF(N29755="","",COUNTIFS(RawData[[Date ]],N29755,RawData[Month List],$Q$6,RawData[Tour/Site],$Q$2,RawData[[Picker ID ]],$Q$3,RawData[Checker ID],$Q$4,RawData[[Error Type ]],$Q$5))</f>
        <v/>
      </c>
    </row>
    <row r="29756" spans="15:15" x14ac:dyDescent="0.25">
      <c r="O29756" s="20" t="str">
        <f>IF(N29756="","",COUNTIFS(RawData[[Date ]],N29756,RawData[Month List],$Q$6,RawData[Tour/Site],$Q$2,RawData[[Picker ID ]],$Q$3,RawData[Checker ID],$Q$4,RawData[[Error Type ]],$Q$5))</f>
        <v/>
      </c>
    </row>
    <row r="29757" spans="15:15" x14ac:dyDescent="0.25">
      <c r="O29757" s="20" t="str">
        <f>IF(N29757="","",COUNTIFS(RawData[[Date ]],N29757,RawData[Month List],$Q$6,RawData[Tour/Site],$Q$2,RawData[[Picker ID ]],$Q$3,RawData[Checker ID],$Q$4,RawData[[Error Type ]],$Q$5))</f>
        <v/>
      </c>
    </row>
    <row r="29758" spans="15:15" x14ac:dyDescent="0.25">
      <c r="O29758" s="20" t="str">
        <f>IF(N29758="","",COUNTIFS(RawData[[Date ]],N29758,RawData[Month List],$Q$6,RawData[Tour/Site],$Q$2,RawData[[Picker ID ]],$Q$3,RawData[Checker ID],$Q$4,RawData[[Error Type ]],$Q$5))</f>
        <v/>
      </c>
    </row>
    <row r="29759" spans="15:15" x14ac:dyDescent="0.25">
      <c r="O29759" s="20" t="str">
        <f>IF(N29759="","",COUNTIFS(RawData[[Date ]],N29759,RawData[Month List],$Q$6,RawData[Tour/Site],$Q$2,RawData[[Picker ID ]],$Q$3,RawData[Checker ID],$Q$4,RawData[[Error Type ]],$Q$5))</f>
        <v/>
      </c>
    </row>
    <row r="29760" spans="15:15" x14ac:dyDescent="0.25">
      <c r="O29760" s="20" t="str">
        <f>IF(N29760="","",COUNTIFS(RawData[[Date ]],N29760,RawData[Month List],$Q$6,RawData[Tour/Site],$Q$2,RawData[[Picker ID ]],$Q$3,RawData[Checker ID],$Q$4,RawData[[Error Type ]],$Q$5))</f>
        <v/>
      </c>
    </row>
    <row r="29761" spans="15:15" x14ac:dyDescent="0.25">
      <c r="O29761" s="20" t="str">
        <f>IF(N29761="","",COUNTIFS(RawData[[Date ]],N29761,RawData[Month List],$Q$6,RawData[Tour/Site],$Q$2,RawData[[Picker ID ]],$Q$3,RawData[Checker ID],$Q$4,RawData[[Error Type ]],$Q$5))</f>
        <v/>
      </c>
    </row>
    <row r="29762" spans="15:15" x14ac:dyDescent="0.25">
      <c r="O29762" s="20" t="str">
        <f>IF(N29762="","",COUNTIFS(RawData[[Date ]],N29762,RawData[Month List],$Q$6,RawData[Tour/Site],$Q$2,RawData[[Picker ID ]],$Q$3,RawData[Checker ID],$Q$4,RawData[[Error Type ]],$Q$5))</f>
        <v/>
      </c>
    </row>
    <row r="29763" spans="15:15" x14ac:dyDescent="0.25">
      <c r="O29763" s="20" t="str">
        <f>IF(N29763="","",COUNTIFS(RawData[[Date ]],N29763,RawData[Month List],$Q$6,RawData[Tour/Site],$Q$2,RawData[[Picker ID ]],$Q$3,RawData[Checker ID],$Q$4,RawData[[Error Type ]],$Q$5))</f>
        <v/>
      </c>
    </row>
    <row r="29764" spans="15:15" x14ac:dyDescent="0.25">
      <c r="O29764" s="20" t="str">
        <f>IF(N29764="","",COUNTIFS(RawData[[Date ]],N29764,RawData[Month List],$Q$6,RawData[Tour/Site],$Q$2,RawData[[Picker ID ]],$Q$3,RawData[Checker ID],$Q$4,RawData[[Error Type ]],$Q$5))</f>
        <v/>
      </c>
    </row>
    <row r="29765" spans="15:15" x14ac:dyDescent="0.25">
      <c r="O29765" s="20" t="str">
        <f>IF(N29765="","",COUNTIFS(RawData[[Date ]],N29765,RawData[Month List],$Q$6,RawData[Tour/Site],$Q$2,RawData[[Picker ID ]],$Q$3,RawData[Checker ID],$Q$4,RawData[[Error Type ]],$Q$5))</f>
        <v/>
      </c>
    </row>
    <row r="29766" spans="15:15" x14ac:dyDescent="0.25">
      <c r="O29766" s="20" t="str">
        <f>IF(N29766="","",COUNTIFS(RawData[[Date ]],N29766,RawData[Month List],$Q$6,RawData[Tour/Site],$Q$2,RawData[[Picker ID ]],$Q$3,RawData[Checker ID],$Q$4,RawData[[Error Type ]],$Q$5))</f>
        <v/>
      </c>
    </row>
    <row r="29767" spans="15:15" x14ac:dyDescent="0.25">
      <c r="O29767" s="20" t="str">
        <f>IF(N29767="","",COUNTIFS(RawData[[Date ]],N29767,RawData[Month List],$Q$6,RawData[Tour/Site],$Q$2,RawData[[Picker ID ]],$Q$3,RawData[Checker ID],$Q$4,RawData[[Error Type ]],$Q$5))</f>
        <v/>
      </c>
    </row>
    <row r="29768" spans="15:15" x14ac:dyDescent="0.25">
      <c r="O29768" s="20" t="str">
        <f>IF(N29768="","",COUNTIFS(RawData[[Date ]],N29768,RawData[Month List],$Q$6,RawData[Tour/Site],$Q$2,RawData[[Picker ID ]],$Q$3,RawData[Checker ID],$Q$4,RawData[[Error Type ]],$Q$5))</f>
        <v/>
      </c>
    </row>
    <row r="29769" spans="15:15" x14ac:dyDescent="0.25">
      <c r="O29769" s="20" t="str">
        <f>IF(N29769="","",COUNTIFS(RawData[[Date ]],N29769,RawData[Month List],$Q$6,RawData[Tour/Site],$Q$2,RawData[[Picker ID ]],$Q$3,RawData[Checker ID],$Q$4,RawData[[Error Type ]],$Q$5))</f>
        <v/>
      </c>
    </row>
    <row r="29770" spans="15:15" x14ac:dyDescent="0.25">
      <c r="O29770" s="20" t="str">
        <f>IF(N29770="","",COUNTIFS(RawData[[Date ]],N29770,RawData[Month List],$Q$6,RawData[Tour/Site],$Q$2,RawData[[Picker ID ]],$Q$3,RawData[Checker ID],$Q$4,RawData[[Error Type ]],$Q$5))</f>
        <v/>
      </c>
    </row>
    <row r="29771" spans="15:15" x14ac:dyDescent="0.25">
      <c r="O29771" s="20" t="str">
        <f>IF(N29771="","",COUNTIFS(RawData[[Date ]],N29771,RawData[Month List],$Q$6,RawData[Tour/Site],$Q$2,RawData[[Picker ID ]],$Q$3,RawData[Checker ID],$Q$4,RawData[[Error Type ]],$Q$5))</f>
        <v/>
      </c>
    </row>
    <row r="29772" spans="15:15" x14ac:dyDescent="0.25">
      <c r="O29772" s="20" t="str">
        <f>IF(N29772="","",COUNTIFS(RawData[[Date ]],N29772,RawData[Month List],$Q$6,RawData[Tour/Site],$Q$2,RawData[[Picker ID ]],$Q$3,RawData[Checker ID],$Q$4,RawData[[Error Type ]],$Q$5))</f>
        <v/>
      </c>
    </row>
    <row r="29773" spans="15:15" x14ac:dyDescent="0.25">
      <c r="O29773" s="20" t="str">
        <f>IF(N29773="","",COUNTIFS(RawData[[Date ]],N29773,RawData[Month List],$Q$6,RawData[Tour/Site],$Q$2,RawData[[Picker ID ]],$Q$3,RawData[Checker ID],$Q$4,RawData[[Error Type ]],$Q$5))</f>
        <v/>
      </c>
    </row>
    <row r="29774" spans="15:15" x14ac:dyDescent="0.25">
      <c r="O29774" s="20" t="str">
        <f>IF(N29774="","",COUNTIFS(RawData[[Date ]],N29774,RawData[Month List],$Q$6,RawData[Tour/Site],$Q$2,RawData[[Picker ID ]],$Q$3,RawData[Checker ID],$Q$4,RawData[[Error Type ]],$Q$5))</f>
        <v/>
      </c>
    </row>
    <row r="29775" spans="15:15" x14ac:dyDescent="0.25">
      <c r="O29775" s="20" t="str">
        <f>IF(N29775="","",COUNTIFS(RawData[[Date ]],N29775,RawData[Month List],$Q$6,RawData[Tour/Site],$Q$2,RawData[[Picker ID ]],$Q$3,RawData[Checker ID],$Q$4,RawData[[Error Type ]],$Q$5))</f>
        <v/>
      </c>
    </row>
    <row r="29776" spans="15:15" x14ac:dyDescent="0.25">
      <c r="O29776" s="20" t="str">
        <f>IF(N29776="","",COUNTIFS(RawData[[Date ]],N29776,RawData[Month List],$Q$6,RawData[Tour/Site],$Q$2,RawData[[Picker ID ]],$Q$3,RawData[Checker ID],$Q$4,RawData[[Error Type ]],$Q$5))</f>
        <v/>
      </c>
    </row>
    <row r="29777" spans="15:15" x14ac:dyDescent="0.25">
      <c r="O29777" s="20" t="str">
        <f>IF(N29777="","",COUNTIFS(RawData[[Date ]],N29777,RawData[Month List],$Q$6,RawData[Tour/Site],$Q$2,RawData[[Picker ID ]],$Q$3,RawData[Checker ID],$Q$4,RawData[[Error Type ]],$Q$5))</f>
        <v/>
      </c>
    </row>
    <row r="29778" spans="15:15" x14ac:dyDescent="0.25">
      <c r="O29778" s="20" t="str">
        <f>IF(N29778="","",COUNTIFS(RawData[[Date ]],N29778,RawData[Month List],$Q$6,RawData[Tour/Site],$Q$2,RawData[[Picker ID ]],$Q$3,RawData[Checker ID],$Q$4,RawData[[Error Type ]],$Q$5))</f>
        <v/>
      </c>
    </row>
    <row r="29779" spans="15:15" x14ac:dyDescent="0.25">
      <c r="O29779" s="20" t="str">
        <f>IF(N29779="","",COUNTIFS(RawData[[Date ]],N29779,RawData[Month List],$Q$6,RawData[Tour/Site],$Q$2,RawData[[Picker ID ]],$Q$3,RawData[Checker ID],$Q$4,RawData[[Error Type ]],$Q$5))</f>
        <v/>
      </c>
    </row>
    <row r="29780" spans="15:15" x14ac:dyDescent="0.25">
      <c r="O29780" s="20" t="str">
        <f>IF(N29780="","",COUNTIFS(RawData[[Date ]],N29780,RawData[Month List],$Q$6,RawData[Tour/Site],$Q$2,RawData[[Picker ID ]],$Q$3,RawData[Checker ID],$Q$4,RawData[[Error Type ]],$Q$5))</f>
        <v/>
      </c>
    </row>
    <row r="29781" spans="15:15" x14ac:dyDescent="0.25">
      <c r="O29781" s="20" t="str">
        <f>IF(N29781="","",COUNTIFS(RawData[[Date ]],N29781,RawData[Month List],$Q$6,RawData[Tour/Site],$Q$2,RawData[[Picker ID ]],$Q$3,RawData[Checker ID],$Q$4,RawData[[Error Type ]],$Q$5))</f>
        <v/>
      </c>
    </row>
    <row r="29782" spans="15:15" x14ac:dyDescent="0.25">
      <c r="O29782" s="20" t="str">
        <f>IF(N29782="","",COUNTIFS(RawData[[Date ]],N29782,RawData[Month List],$Q$6,RawData[Tour/Site],$Q$2,RawData[[Picker ID ]],$Q$3,RawData[Checker ID],$Q$4,RawData[[Error Type ]],$Q$5))</f>
        <v/>
      </c>
    </row>
    <row r="29783" spans="15:15" x14ac:dyDescent="0.25">
      <c r="O29783" s="20" t="str">
        <f>IF(N29783="","",COUNTIFS(RawData[[Date ]],N29783,RawData[Month List],$Q$6,RawData[Tour/Site],$Q$2,RawData[[Picker ID ]],$Q$3,RawData[Checker ID],$Q$4,RawData[[Error Type ]],$Q$5))</f>
        <v/>
      </c>
    </row>
    <row r="29784" spans="15:15" x14ac:dyDescent="0.25">
      <c r="O29784" s="20" t="str">
        <f>IF(N29784="","",COUNTIFS(RawData[[Date ]],N29784,RawData[Month List],$Q$6,RawData[Tour/Site],$Q$2,RawData[[Picker ID ]],$Q$3,RawData[Checker ID],$Q$4,RawData[[Error Type ]],$Q$5))</f>
        <v/>
      </c>
    </row>
    <row r="29785" spans="15:15" x14ac:dyDescent="0.25">
      <c r="O29785" s="20" t="str">
        <f>IF(N29785="","",COUNTIFS(RawData[[Date ]],N29785,RawData[Month List],$Q$6,RawData[Tour/Site],$Q$2,RawData[[Picker ID ]],$Q$3,RawData[Checker ID],$Q$4,RawData[[Error Type ]],$Q$5))</f>
        <v/>
      </c>
    </row>
    <row r="29786" spans="15:15" x14ac:dyDescent="0.25">
      <c r="O29786" s="20" t="str">
        <f>IF(N29786="","",COUNTIFS(RawData[[Date ]],N29786,RawData[Month List],$Q$6,RawData[Tour/Site],$Q$2,RawData[[Picker ID ]],$Q$3,RawData[Checker ID],$Q$4,RawData[[Error Type ]],$Q$5))</f>
        <v/>
      </c>
    </row>
    <row r="29787" spans="15:15" x14ac:dyDescent="0.25">
      <c r="O29787" s="20" t="str">
        <f>IF(N29787="","",COUNTIFS(RawData[[Date ]],N29787,RawData[Month List],$Q$6,RawData[Tour/Site],$Q$2,RawData[[Picker ID ]],$Q$3,RawData[Checker ID],$Q$4,RawData[[Error Type ]],$Q$5))</f>
        <v/>
      </c>
    </row>
    <row r="29788" spans="15:15" x14ac:dyDescent="0.25">
      <c r="O29788" s="20" t="str">
        <f>IF(N29788="","",COUNTIFS(RawData[[Date ]],N29788,RawData[Month List],$Q$6,RawData[Tour/Site],$Q$2,RawData[[Picker ID ]],$Q$3,RawData[Checker ID],$Q$4,RawData[[Error Type ]],$Q$5))</f>
        <v/>
      </c>
    </row>
    <row r="29789" spans="15:15" x14ac:dyDescent="0.25">
      <c r="O29789" s="20" t="str">
        <f>IF(N29789="","",COUNTIFS(RawData[[Date ]],N29789,RawData[Month List],$Q$6,RawData[Tour/Site],$Q$2,RawData[[Picker ID ]],$Q$3,RawData[Checker ID],$Q$4,RawData[[Error Type ]],$Q$5))</f>
        <v/>
      </c>
    </row>
    <row r="29790" spans="15:15" x14ac:dyDescent="0.25">
      <c r="O29790" s="20" t="str">
        <f>IF(N29790="","",COUNTIFS(RawData[[Date ]],N29790,RawData[Month List],$Q$6,RawData[Tour/Site],$Q$2,RawData[[Picker ID ]],$Q$3,RawData[Checker ID],$Q$4,RawData[[Error Type ]],$Q$5))</f>
        <v/>
      </c>
    </row>
    <row r="29791" spans="15:15" x14ac:dyDescent="0.25">
      <c r="O29791" s="20" t="str">
        <f>IF(N29791="","",COUNTIFS(RawData[[Date ]],N29791,RawData[Month List],$Q$6,RawData[Tour/Site],$Q$2,RawData[[Picker ID ]],$Q$3,RawData[Checker ID],$Q$4,RawData[[Error Type ]],$Q$5))</f>
        <v/>
      </c>
    </row>
    <row r="29792" spans="15:15" x14ac:dyDescent="0.25">
      <c r="O29792" s="20" t="str">
        <f>IF(N29792="","",COUNTIFS(RawData[[Date ]],N29792,RawData[Month List],$Q$6,RawData[Tour/Site],$Q$2,RawData[[Picker ID ]],$Q$3,RawData[Checker ID],$Q$4,RawData[[Error Type ]],$Q$5))</f>
        <v/>
      </c>
    </row>
    <row r="29793" spans="15:15" x14ac:dyDescent="0.25">
      <c r="O29793" s="20" t="str">
        <f>IF(N29793="","",COUNTIFS(RawData[[Date ]],N29793,RawData[Month List],$Q$6,RawData[Tour/Site],$Q$2,RawData[[Picker ID ]],$Q$3,RawData[Checker ID],$Q$4,RawData[[Error Type ]],$Q$5))</f>
        <v/>
      </c>
    </row>
    <row r="29794" spans="15:15" x14ac:dyDescent="0.25">
      <c r="O29794" s="20" t="str">
        <f>IF(N29794="","",COUNTIFS(RawData[[Date ]],N29794,RawData[Month List],$Q$6,RawData[Tour/Site],$Q$2,RawData[[Picker ID ]],$Q$3,RawData[Checker ID],$Q$4,RawData[[Error Type ]],$Q$5))</f>
        <v/>
      </c>
    </row>
    <row r="29795" spans="15:15" x14ac:dyDescent="0.25">
      <c r="O29795" s="20" t="str">
        <f>IF(N29795="","",COUNTIFS(RawData[[Date ]],N29795,RawData[Month List],$Q$6,RawData[Tour/Site],$Q$2,RawData[[Picker ID ]],$Q$3,RawData[Checker ID],$Q$4,RawData[[Error Type ]],$Q$5))</f>
        <v/>
      </c>
    </row>
    <row r="29796" spans="15:15" x14ac:dyDescent="0.25">
      <c r="O29796" s="20" t="str">
        <f>IF(N29796="","",COUNTIFS(RawData[[Date ]],N29796,RawData[Month List],$Q$6,RawData[Tour/Site],$Q$2,RawData[[Picker ID ]],$Q$3,RawData[Checker ID],$Q$4,RawData[[Error Type ]],$Q$5))</f>
        <v/>
      </c>
    </row>
    <row r="29797" spans="15:15" x14ac:dyDescent="0.25">
      <c r="O29797" s="20" t="str">
        <f>IF(N29797="","",COUNTIFS(RawData[[Date ]],N29797,RawData[Month List],$Q$6,RawData[Tour/Site],$Q$2,RawData[[Picker ID ]],$Q$3,RawData[Checker ID],$Q$4,RawData[[Error Type ]],$Q$5))</f>
        <v/>
      </c>
    </row>
    <row r="29798" spans="15:15" x14ac:dyDescent="0.25">
      <c r="O29798" s="20" t="str">
        <f>IF(N29798="","",COUNTIFS(RawData[[Date ]],N29798,RawData[Month List],$Q$6,RawData[Tour/Site],$Q$2,RawData[[Picker ID ]],$Q$3,RawData[Checker ID],$Q$4,RawData[[Error Type ]],$Q$5))</f>
        <v/>
      </c>
    </row>
    <row r="29799" spans="15:15" x14ac:dyDescent="0.25">
      <c r="O29799" s="20" t="str">
        <f>IF(N29799="","",COUNTIFS(RawData[[Date ]],N29799,RawData[Month List],$Q$6,RawData[Tour/Site],$Q$2,RawData[[Picker ID ]],$Q$3,RawData[Checker ID],$Q$4,RawData[[Error Type ]],$Q$5))</f>
        <v/>
      </c>
    </row>
    <row r="29800" spans="15:15" x14ac:dyDescent="0.25">
      <c r="O29800" s="20" t="str">
        <f>IF(N29800="","",COUNTIFS(RawData[[Date ]],N29800,RawData[Month List],$Q$6,RawData[Tour/Site],$Q$2,RawData[[Picker ID ]],$Q$3,RawData[Checker ID],$Q$4,RawData[[Error Type ]],$Q$5))</f>
        <v/>
      </c>
    </row>
    <row r="29801" spans="15:15" x14ac:dyDescent="0.25">
      <c r="O29801" s="20" t="str">
        <f>IF(N29801="","",COUNTIFS(RawData[[Date ]],N29801,RawData[Month List],$Q$6,RawData[Tour/Site],$Q$2,RawData[[Picker ID ]],$Q$3,RawData[Checker ID],$Q$4,RawData[[Error Type ]],$Q$5))</f>
        <v/>
      </c>
    </row>
    <row r="29802" spans="15:15" x14ac:dyDescent="0.25">
      <c r="O29802" s="20" t="str">
        <f>IF(N29802="","",COUNTIFS(RawData[[Date ]],N29802,RawData[Month List],$Q$6,RawData[Tour/Site],$Q$2,RawData[[Picker ID ]],$Q$3,RawData[Checker ID],$Q$4,RawData[[Error Type ]],$Q$5))</f>
        <v/>
      </c>
    </row>
    <row r="29803" spans="15:15" x14ac:dyDescent="0.25">
      <c r="O29803" s="20" t="str">
        <f>IF(N29803="","",COUNTIFS(RawData[[Date ]],N29803,RawData[Month List],$Q$6,RawData[Tour/Site],$Q$2,RawData[[Picker ID ]],$Q$3,RawData[Checker ID],$Q$4,RawData[[Error Type ]],$Q$5))</f>
        <v/>
      </c>
    </row>
    <row r="29804" spans="15:15" x14ac:dyDescent="0.25">
      <c r="O29804" s="20" t="str">
        <f>IF(N29804="","",COUNTIFS(RawData[[Date ]],N29804,RawData[Month List],$Q$6,RawData[Tour/Site],$Q$2,RawData[[Picker ID ]],$Q$3,RawData[Checker ID],$Q$4,RawData[[Error Type ]],$Q$5))</f>
        <v/>
      </c>
    </row>
    <row r="29805" spans="15:15" x14ac:dyDescent="0.25">
      <c r="O29805" s="20" t="str">
        <f>IF(N29805="","",COUNTIFS(RawData[[Date ]],N29805,RawData[Month List],$Q$6,RawData[Tour/Site],$Q$2,RawData[[Picker ID ]],$Q$3,RawData[Checker ID],$Q$4,RawData[[Error Type ]],$Q$5))</f>
        <v/>
      </c>
    </row>
    <row r="29806" spans="15:15" x14ac:dyDescent="0.25">
      <c r="O29806" s="20" t="str">
        <f>IF(N29806="","",COUNTIFS(RawData[[Date ]],N29806,RawData[Month List],$Q$6,RawData[Tour/Site],$Q$2,RawData[[Picker ID ]],$Q$3,RawData[Checker ID],$Q$4,RawData[[Error Type ]],$Q$5))</f>
        <v/>
      </c>
    </row>
    <row r="29807" spans="15:15" x14ac:dyDescent="0.25">
      <c r="O29807" s="20" t="str">
        <f>IF(N29807="","",COUNTIFS(RawData[[Date ]],N29807,RawData[Month List],$Q$6,RawData[Tour/Site],$Q$2,RawData[[Picker ID ]],$Q$3,RawData[Checker ID],$Q$4,RawData[[Error Type ]],$Q$5))</f>
        <v/>
      </c>
    </row>
    <row r="29808" spans="15:15" x14ac:dyDescent="0.25">
      <c r="O29808" s="20" t="str">
        <f>IF(N29808="","",COUNTIFS(RawData[[Date ]],N29808,RawData[Month List],$Q$6,RawData[Tour/Site],$Q$2,RawData[[Picker ID ]],$Q$3,RawData[Checker ID],$Q$4,RawData[[Error Type ]],$Q$5))</f>
        <v/>
      </c>
    </row>
    <row r="29809" spans="15:15" x14ac:dyDescent="0.25">
      <c r="O29809" s="20" t="str">
        <f>IF(N29809="","",COUNTIFS(RawData[[Date ]],N29809,RawData[Month List],$Q$6,RawData[Tour/Site],$Q$2,RawData[[Picker ID ]],$Q$3,RawData[Checker ID],$Q$4,RawData[[Error Type ]],$Q$5))</f>
        <v/>
      </c>
    </row>
    <row r="29810" spans="15:15" x14ac:dyDescent="0.25">
      <c r="O29810" s="20" t="str">
        <f>IF(N29810="","",COUNTIFS(RawData[[Date ]],N29810,RawData[Month List],$Q$6,RawData[Tour/Site],$Q$2,RawData[[Picker ID ]],$Q$3,RawData[Checker ID],$Q$4,RawData[[Error Type ]],$Q$5))</f>
        <v/>
      </c>
    </row>
    <row r="29811" spans="15:15" x14ac:dyDescent="0.25">
      <c r="O29811" s="20" t="str">
        <f>IF(N29811="","",COUNTIFS(RawData[[Date ]],N29811,RawData[Month List],$Q$6,RawData[Tour/Site],$Q$2,RawData[[Picker ID ]],$Q$3,RawData[Checker ID],$Q$4,RawData[[Error Type ]],$Q$5))</f>
        <v/>
      </c>
    </row>
    <row r="29812" spans="15:15" x14ac:dyDescent="0.25">
      <c r="O29812" s="20" t="str">
        <f>IF(N29812="","",COUNTIFS(RawData[[Date ]],N29812,RawData[Month List],$Q$6,RawData[Tour/Site],$Q$2,RawData[[Picker ID ]],$Q$3,RawData[Checker ID],$Q$4,RawData[[Error Type ]],$Q$5))</f>
        <v/>
      </c>
    </row>
    <row r="29813" spans="15:15" x14ac:dyDescent="0.25">
      <c r="O29813" s="20" t="str">
        <f>IF(N29813="","",COUNTIFS(RawData[[Date ]],N29813,RawData[Month List],$Q$6,RawData[Tour/Site],$Q$2,RawData[[Picker ID ]],$Q$3,RawData[Checker ID],$Q$4,RawData[[Error Type ]],$Q$5))</f>
        <v/>
      </c>
    </row>
    <row r="29814" spans="15:15" x14ac:dyDescent="0.25">
      <c r="O29814" s="20" t="str">
        <f>IF(N29814="","",COUNTIFS(RawData[[Date ]],N29814,RawData[Month List],$Q$6,RawData[Tour/Site],$Q$2,RawData[[Picker ID ]],$Q$3,RawData[Checker ID],$Q$4,RawData[[Error Type ]],$Q$5))</f>
        <v/>
      </c>
    </row>
    <row r="29815" spans="15:15" x14ac:dyDescent="0.25">
      <c r="O29815" s="20" t="str">
        <f>IF(N29815="","",COUNTIFS(RawData[[Date ]],N29815,RawData[Month List],$Q$6,RawData[Tour/Site],$Q$2,RawData[[Picker ID ]],$Q$3,RawData[Checker ID],$Q$4,RawData[[Error Type ]],$Q$5))</f>
        <v/>
      </c>
    </row>
    <row r="29816" spans="15:15" x14ac:dyDescent="0.25">
      <c r="O29816" s="20" t="str">
        <f>IF(N29816="","",COUNTIFS(RawData[[Date ]],N29816,RawData[Month List],$Q$6,RawData[Tour/Site],$Q$2,RawData[[Picker ID ]],$Q$3,RawData[Checker ID],$Q$4,RawData[[Error Type ]],$Q$5))</f>
        <v/>
      </c>
    </row>
    <row r="29817" spans="15:15" x14ac:dyDescent="0.25">
      <c r="O29817" s="20" t="str">
        <f>IF(N29817="","",COUNTIFS(RawData[[Date ]],N29817,RawData[Month List],$Q$6,RawData[Tour/Site],$Q$2,RawData[[Picker ID ]],$Q$3,RawData[Checker ID],$Q$4,RawData[[Error Type ]],$Q$5))</f>
        <v/>
      </c>
    </row>
    <row r="29818" spans="15:15" x14ac:dyDescent="0.25">
      <c r="O29818" s="20" t="str">
        <f>IF(N29818="","",COUNTIFS(RawData[[Date ]],N29818,RawData[Month List],$Q$6,RawData[Tour/Site],$Q$2,RawData[[Picker ID ]],$Q$3,RawData[Checker ID],$Q$4,RawData[[Error Type ]],$Q$5))</f>
        <v/>
      </c>
    </row>
    <row r="29819" spans="15:15" x14ac:dyDescent="0.25">
      <c r="O29819" s="20" t="str">
        <f>IF(N29819="","",COUNTIFS(RawData[[Date ]],N29819,RawData[Month List],$Q$6,RawData[Tour/Site],$Q$2,RawData[[Picker ID ]],$Q$3,RawData[Checker ID],$Q$4,RawData[[Error Type ]],$Q$5))</f>
        <v/>
      </c>
    </row>
    <row r="29820" spans="15:15" x14ac:dyDescent="0.25">
      <c r="O29820" s="20" t="str">
        <f>IF(N29820="","",COUNTIFS(RawData[[Date ]],N29820,RawData[Month List],$Q$6,RawData[Tour/Site],$Q$2,RawData[[Picker ID ]],$Q$3,RawData[Checker ID],$Q$4,RawData[[Error Type ]],$Q$5))</f>
        <v/>
      </c>
    </row>
    <row r="29821" spans="15:15" x14ac:dyDescent="0.25">
      <c r="O29821" s="20" t="str">
        <f>IF(N29821="","",COUNTIFS(RawData[[Date ]],N29821,RawData[Month List],$Q$6,RawData[Tour/Site],$Q$2,RawData[[Picker ID ]],$Q$3,RawData[Checker ID],$Q$4,RawData[[Error Type ]],$Q$5))</f>
        <v/>
      </c>
    </row>
    <row r="29822" spans="15:15" x14ac:dyDescent="0.25">
      <c r="O29822" s="20" t="str">
        <f>IF(N29822="","",COUNTIFS(RawData[[Date ]],N29822,RawData[Month List],$Q$6,RawData[Tour/Site],$Q$2,RawData[[Picker ID ]],$Q$3,RawData[Checker ID],$Q$4,RawData[[Error Type ]],$Q$5))</f>
        <v/>
      </c>
    </row>
    <row r="29823" spans="15:15" x14ac:dyDescent="0.25">
      <c r="O29823" s="20" t="str">
        <f>IF(N29823="","",COUNTIFS(RawData[[Date ]],N29823,RawData[Month List],$Q$6,RawData[Tour/Site],$Q$2,RawData[[Picker ID ]],$Q$3,RawData[Checker ID],$Q$4,RawData[[Error Type ]],$Q$5))</f>
        <v/>
      </c>
    </row>
    <row r="29824" spans="15:15" x14ac:dyDescent="0.25">
      <c r="O29824" s="20" t="str">
        <f>IF(N29824="","",COUNTIFS(RawData[[Date ]],N29824,RawData[Month List],$Q$6,RawData[Tour/Site],$Q$2,RawData[[Picker ID ]],$Q$3,RawData[Checker ID],$Q$4,RawData[[Error Type ]],$Q$5))</f>
        <v/>
      </c>
    </row>
    <row r="29825" spans="15:15" x14ac:dyDescent="0.25">
      <c r="O29825" s="20" t="str">
        <f>IF(N29825="","",COUNTIFS(RawData[[Date ]],N29825,RawData[Month List],$Q$6,RawData[Tour/Site],$Q$2,RawData[[Picker ID ]],$Q$3,RawData[Checker ID],$Q$4,RawData[[Error Type ]],$Q$5))</f>
        <v/>
      </c>
    </row>
    <row r="29826" spans="15:15" x14ac:dyDescent="0.25">
      <c r="O29826" s="20" t="str">
        <f>IF(N29826="","",COUNTIFS(RawData[[Date ]],N29826,RawData[Month List],$Q$6,RawData[Tour/Site],$Q$2,RawData[[Picker ID ]],$Q$3,RawData[Checker ID],$Q$4,RawData[[Error Type ]],$Q$5))</f>
        <v/>
      </c>
    </row>
    <row r="29827" spans="15:15" x14ac:dyDescent="0.25">
      <c r="O29827" s="20" t="str">
        <f>IF(N29827="","",COUNTIFS(RawData[[Date ]],N29827,RawData[Month List],$Q$6,RawData[Tour/Site],$Q$2,RawData[[Picker ID ]],$Q$3,RawData[Checker ID],$Q$4,RawData[[Error Type ]],$Q$5))</f>
        <v/>
      </c>
    </row>
    <row r="29828" spans="15:15" x14ac:dyDescent="0.25">
      <c r="O29828" s="20" t="str">
        <f>IF(N29828="","",COUNTIFS(RawData[[Date ]],N29828,RawData[Month List],$Q$6,RawData[Tour/Site],$Q$2,RawData[[Picker ID ]],$Q$3,RawData[Checker ID],$Q$4,RawData[[Error Type ]],$Q$5))</f>
        <v/>
      </c>
    </row>
    <row r="29829" spans="15:15" x14ac:dyDescent="0.25">
      <c r="O29829" s="20" t="str">
        <f>IF(N29829="","",COUNTIFS(RawData[[Date ]],N29829,RawData[Month List],$Q$6,RawData[Tour/Site],$Q$2,RawData[[Picker ID ]],$Q$3,RawData[Checker ID],$Q$4,RawData[[Error Type ]],$Q$5))</f>
        <v/>
      </c>
    </row>
    <row r="29830" spans="15:15" x14ac:dyDescent="0.25">
      <c r="O29830" s="20" t="str">
        <f>IF(N29830="","",COUNTIFS(RawData[[Date ]],N29830,RawData[Month List],$Q$6,RawData[Tour/Site],$Q$2,RawData[[Picker ID ]],$Q$3,RawData[Checker ID],$Q$4,RawData[[Error Type ]],$Q$5))</f>
        <v/>
      </c>
    </row>
    <row r="29831" spans="15:15" x14ac:dyDescent="0.25">
      <c r="O29831" s="20" t="str">
        <f>IF(N29831="","",COUNTIFS(RawData[[Date ]],N29831,RawData[Month List],$Q$6,RawData[Tour/Site],$Q$2,RawData[[Picker ID ]],$Q$3,RawData[Checker ID],$Q$4,RawData[[Error Type ]],$Q$5))</f>
        <v/>
      </c>
    </row>
    <row r="29832" spans="15:15" x14ac:dyDescent="0.25">
      <c r="O29832" s="20" t="str">
        <f>IF(N29832="","",COUNTIFS(RawData[[Date ]],N29832,RawData[Month List],$Q$6,RawData[Tour/Site],$Q$2,RawData[[Picker ID ]],$Q$3,RawData[Checker ID],$Q$4,RawData[[Error Type ]],$Q$5))</f>
        <v/>
      </c>
    </row>
    <row r="29833" spans="15:15" x14ac:dyDescent="0.25">
      <c r="O29833" s="20" t="str">
        <f>IF(N29833="","",COUNTIFS(RawData[[Date ]],N29833,RawData[Month List],$Q$6,RawData[Tour/Site],$Q$2,RawData[[Picker ID ]],$Q$3,RawData[Checker ID],$Q$4,RawData[[Error Type ]],$Q$5))</f>
        <v/>
      </c>
    </row>
    <row r="29834" spans="15:15" x14ac:dyDescent="0.25">
      <c r="O29834" s="20" t="str">
        <f>IF(N29834="","",COUNTIFS(RawData[[Date ]],N29834,RawData[Month List],$Q$6,RawData[Tour/Site],$Q$2,RawData[[Picker ID ]],$Q$3,RawData[Checker ID],$Q$4,RawData[[Error Type ]],$Q$5))</f>
        <v/>
      </c>
    </row>
    <row r="29835" spans="15:15" x14ac:dyDescent="0.25">
      <c r="O29835" s="20" t="str">
        <f>IF(N29835="","",COUNTIFS(RawData[[Date ]],N29835,RawData[Month List],$Q$6,RawData[Tour/Site],$Q$2,RawData[[Picker ID ]],$Q$3,RawData[Checker ID],$Q$4,RawData[[Error Type ]],$Q$5))</f>
        <v/>
      </c>
    </row>
    <row r="29836" spans="15:15" x14ac:dyDescent="0.25">
      <c r="O29836" s="20" t="str">
        <f>IF(N29836="","",COUNTIFS(RawData[[Date ]],N29836,RawData[Month List],$Q$6,RawData[Tour/Site],$Q$2,RawData[[Picker ID ]],$Q$3,RawData[Checker ID],$Q$4,RawData[[Error Type ]],$Q$5))</f>
        <v/>
      </c>
    </row>
    <row r="29837" spans="15:15" x14ac:dyDescent="0.25">
      <c r="O29837" s="20" t="str">
        <f>IF(N29837="","",COUNTIFS(RawData[[Date ]],N29837,RawData[Month List],$Q$6,RawData[Tour/Site],$Q$2,RawData[[Picker ID ]],$Q$3,RawData[Checker ID],$Q$4,RawData[[Error Type ]],$Q$5))</f>
        <v/>
      </c>
    </row>
    <row r="29838" spans="15:15" x14ac:dyDescent="0.25">
      <c r="O29838" s="20" t="str">
        <f>IF(N29838="","",COUNTIFS(RawData[[Date ]],N29838,RawData[Month List],$Q$6,RawData[Tour/Site],$Q$2,RawData[[Picker ID ]],$Q$3,RawData[Checker ID],$Q$4,RawData[[Error Type ]],$Q$5))</f>
        <v/>
      </c>
    </row>
    <row r="29839" spans="15:15" x14ac:dyDescent="0.25">
      <c r="O29839" s="20" t="str">
        <f>IF(N29839="","",COUNTIFS(RawData[[Date ]],N29839,RawData[Month List],$Q$6,RawData[Tour/Site],$Q$2,RawData[[Picker ID ]],$Q$3,RawData[Checker ID],$Q$4,RawData[[Error Type ]],$Q$5))</f>
        <v/>
      </c>
    </row>
    <row r="29840" spans="15:15" x14ac:dyDescent="0.25">
      <c r="O29840" s="20" t="str">
        <f>IF(N29840="","",COUNTIFS(RawData[[Date ]],N29840,RawData[Month List],$Q$6,RawData[Tour/Site],$Q$2,RawData[[Picker ID ]],$Q$3,RawData[Checker ID],$Q$4,RawData[[Error Type ]],$Q$5))</f>
        <v/>
      </c>
    </row>
    <row r="29841" spans="15:15" x14ac:dyDescent="0.25">
      <c r="O29841" s="20" t="str">
        <f>IF(N29841="","",COUNTIFS(RawData[[Date ]],N29841,RawData[Month List],$Q$6,RawData[Tour/Site],$Q$2,RawData[[Picker ID ]],$Q$3,RawData[Checker ID],$Q$4,RawData[[Error Type ]],$Q$5))</f>
        <v/>
      </c>
    </row>
    <row r="29842" spans="15:15" x14ac:dyDescent="0.25">
      <c r="O29842" s="20" t="str">
        <f>IF(N29842="","",COUNTIFS(RawData[[Date ]],N29842,RawData[Month List],$Q$6,RawData[Tour/Site],$Q$2,RawData[[Picker ID ]],$Q$3,RawData[Checker ID],$Q$4,RawData[[Error Type ]],$Q$5))</f>
        <v/>
      </c>
    </row>
    <row r="29843" spans="15:15" x14ac:dyDescent="0.25">
      <c r="O29843" s="20" t="str">
        <f>IF(N29843="","",COUNTIFS(RawData[[Date ]],N29843,RawData[Month List],$Q$6,RawData[Tour/Site],$Q$2,RawData[[Picker ID ]],$Q$3,RawData[Checker ID],$Q$4,RawData[[Error Type ]],$Q$5))</f>
        <v/>
      </c>
    </row>
    <row r="29844" spans="15:15" x14ac:dyDescent="0.25">
      <c r="O29844" s="20" t="str">
        <f>IF(N29844="","",COUNTIFS(RawData[[Date ]],N29844,RawData[Month List],$Q$6,RawData[Tour/Site],$Q$2,RawData[[Picker ID ]],$Q$3,RawData[Checker ID],$Q$4,RawData[[Error Type ]],$Q$5))</f>
        <v/>
      </c>
    </row>
    <row r="29845" spans="15:15" x14ac:dyDescent="0.25">
      <c r="O29845" s="20" t="str">
        <f>IF(N29845="","",COUNTIFS(RawData[[Date ]],N29845,RawData[Month List],$Q$6,RawData[Tour/Site],$Q$2,RawData[[Picker ID ]],$Q$3,RawData[Checker ID],$Q$4,RawData[[Error Type ]],$Q$5))</f>
        <v/>
      </c>
    </row>
    <row r="29846" spans="15:15" x14ac:dyDescent="0.25">
      <c r="O29846" s="20" t="str">
        <f>IF(N29846="","",COUNTIFS(RawData[[Date ]],N29846,RawData[Month List],$Q$6,RawData[Tour/Site],$Q$2,RawData[[Picker ID ]],$Q$3,RawData[Checker ID],$Q$4,RawData[[Error Type ]],$Q$5))</f>
        <v/>
      </c>
    </row>
    <row r="29847" spans="15:15" x14ac:dyDescent="0.25">
      <c r="O29847" s="20" t="str">
        <f>IF(N29847="","",COUNTIFS(RawData[[Date ]],N29847,RawData[Month List],$Q$6,RawData[Tour/Site],$Q$2,RawData[[Picker ID ]],$Q$3,RawData[Checker ID],$Q$4,RawData[[Error Type ]],$Q$5))</f>
        <v/>
      </c>
    </row>
    <row r="29848" spans="15:15" x14ac:dyDescent="0.25">
      <c r="O29848" s="20" t="str">
        <f>IF(N29848="","",COUNTIFS(RawData[[Date ]],N29848,RawData[Month List],$Q$6,RawData[Tour/Site],$Q$2,RawData[[Picker ID ]],$Q$3,RawData[Checker ID],$Q$4,RawData[[Error Type ]],$Q$5))</f>
        <v/>
      </c>
    </row>
    <row r="29849" spans="15:15" x14ac:dyDescent="0.25">
      <c r="O29849" s="20" t="str">
        <f>IF(N29849="","",COUNTIFS(RawData[[Date ]],N29849,RawData[Month List],$Q$6,RawData[Tour/Site],$Q$2,RawData[[Picker ID ]],$Q$3,RawData[Checker ID],$Q$4,RawData[[Error Type ]],$Q$5))</f>
        <v/>
      </c>
    </row>
    <row r="29850" spans="15:15" x14ac:dyDescent="0.25">
      <c r="O29850" s="20" t="str">
        <f>IF(N29850="","",COUNTIFS(RawData[[Date ]],N29850,RawData[Month List],$Q$6,RawData[Tour/Site],$Q$2,RawData[[Picker ID ]],$Q$3,RawData[Checker ID],$Q$4,RawData[[Error Type ]],$Q$5))</f>
        <v/>
      </c>
    </row>
    <row r="29851" spans="15:15" x14ac:dyDescent="0.25">
      <c r="O29851" s="20" t="str">
        <f>IF(N29851="","",COUNTIFS(RawData[[Date ]],N29851,RawData[Month List],$Q$6,RawData[Tour/Site],$Q$2,RawData[[Picker ID ]],$Q$3,RawData[Checker ID],$Q$4,RawData[[Error Type ]],$Q$5))</f>
        <v/>
      </c>
    </row>
    <row r="29852" spans="15:15" x14ac:dyDescent="0.25">
      <c r="O29852" s="20" t="str">
        <f>IF(N29852="","",COUNTIFS(RawData[[Date ]],N29852,RawData[Month List],$Q$6,RawData[Tour/Site],$Q$2,RawData[[Picker ID ]],$Q$3,RawData[Checker ID],$Q$4,RawData[[Error Type ]],$Q$5))</f>
        <v/>
      </c>
    </row>
    <row r="29853" spans="15:15" x14ac:dyDescent="0.25">
      <c r="O29853" s="20" t="str">
        <f>IF(N29853="","",COUNTIFS(RawData[[Date ]],N29853,RawData[Month List],$Q$6,RawData[Tour/Site],$Q$2,RawData[[Picker ID ]],$Q$3,RawData[Checker ID],$Q$4,RawData[[Error Type ]],$Q$5))</f>
        <v/>
      </c>
    </row>
    <row r="29854" spans="15:15" x14ac:dyDescent="0.25">
      <c r="O29854" s="20" t="str">
        <f>IF(N29854="","",COUNTIFS(RawData[[Date ]],N29854,RawData[Month List],$Q$6,RawData[Tour/Site],$Q$2,RawData[[Picker ID ]],$Q$3,RawData[Checker ID],$Q$4,RawData[[Error Type ]],$Q$5))</f>
        <v/>
      </c>
    </row>
    <row r="29855" spans="15:15" x14ac:dyDescent="0.25">
      <c r="O29855" s="20" t="str">
        <f>IF(N29855="","",COUNTIFS(RawData[[Date ]],N29855,RawData[Month List],$Q$6,RawData[Tour/Site],$Q$2,RawData[[Picker ID ]],$Q$3,RawData[Checker ID],$Q$4,RawData[[Error Type ]],$Q$5))</f>
        <v/>
      </c>
    </row>
    <row r="29856" spans="15:15" x14ac:dyDescent="0.25">
      <c r="O29856" s="20" t="str">
        <f>IF(N29856="","",COUNTIFS(RawData[[Date ]],N29856,RawData[Month List],$Q$6,RawData[Tour/Site],$Q$2,RawData[[Picker ID ]],$Q$3,RawData[Checker ID],$Q$4,RawData[[Error Type ]],$Q$5))</f>
        <v/>
      </c>
    </row>
    <row r="29857" spans="15:15" x14ac:dyDescent="0.25">
      <c r="O29857" s="20" t="str">
        <f>IF(N29857="","",COUNTIFS(RawData[[Date ]],N29857,RawData[Month List],$Q$6,RawData[Tour/Site],$Q$2,RawData[[Picker ID ]],$Q$3,RawData[Checker ID],$Q$4,RawData[[Error Type ]],$Q$5))</f>
        <v/>
      </c>
    </row>
    <row r="29858" spans="15:15" x14ac:dyDescent="0.25">
      <c r="O29858" s="20" t="str">
        <f>IF(N29858="","",COUNTIFS(RawData[[Date ]],N29858,RawData[Month List],$Q$6,RawData[Tour/Site],$Q$2,RawData[[Picker ID ]],$Q$3,RawData[Checker ID],$Q$4,RawData[[Error Type ]],$Q$5))</f>
        <v/>
      </c>
    </row>
    <row r="29859" spans="15:15" x14ac:dyDescent="0.25">
      <c r="O29859" s="20" t="str">
        <f>IF(N29859="","",COUNTIFS(RawData[[Date ]],N29859,RawData[Month List],$Q$6,RawData[Tour/Site],$Q$2,RawData[[Picker ID ]],$Q$3,RawData[Checker ID],$Q$4,RawData[[Error Type ]],$Q$5))</f>
        <v/>
      </c>
    </row>
    <row r="29860" spans="15:15" x14ac:dyDescent="0.25">
      <c r="O29860" s="20" t="str">
        <f>IF(N29860="","",COUNTIFS(RawData[[Date ]],N29860,RawData[Month List],$Q$6,RawData[Tour/Site],$Q$2,RawData[[Picker ID ]],$Q$3,RawData[Checker ID],$Q$4,RawData[[Error Type ]],$Q$5))</f>
        <v/>
      </c>
    </row>
    <row r="29861" spans="15:15" x14ac:dyDescent="0.25">
      <c r="O29861" s="20" t="str">
        <f>IF(N29861="","",COUNTIFS(RawData[[Date ]],N29861,RawData[Month List],$Q$6,RawData[Tour/Site],$Q$2,RawData[[Picker ID ]],$Q$3,RawData[Checker ID],$Q$4,RawData[[Error Type ]],$Q$5))</f>
        <v/>
      </c>
    </row>
    <row r="29862" spans="15:15" x14ac:dyDescent="0.25">
      <c r="O29862" s="20" t="str">
        <f>IF(N29862="","",COUNTIFS(RawData[[Date ]],N29862,RawData[Month List],$Q$6,RawData[Tour/Site],$Q$2,RawData[[Picker ID ]],$Q$3,RawData[Checker ID],$Q$4,RawData[[Error Type ]],$Q$5))</f>
        <v/>
      </c>
    </row>
    <row r="29863" spans="15:15" x14ac:dyDescent="0.25">
      <c r="O29863" s="20" t="str">
        <f>IF(N29863="","",COUNTIFS(RawData[[Date ]],N29863,RawData[Month List],$Q$6,RawData[Tour/Site],$Q$2,RawData[[Picker ID ]],$Q$3,RawData[Checker ID],$Q$4,RawData[[Error Type ]],$Q$5))</f>
        <v/>
      </c>
    </row>
    <row r="29864" spans="15:15" x14ac:dyDescent="0.25">
      <c r="O29864" s="20" t="str">
        <f>IF(N29864="","",COUNTIFS(RawData[[Date ]],N29864,RawData[Month List],$Q$6,RawData[Tour/Site],$Q$2,RawData[[Picker ID ]],$Q$3,RawData[Checker ID],$Q$4,RawData[[Error Type ]],$Q$5))</f>
        <v/>
      </c>
    </row>
    <row r="29865" spans="15:15" x14ac:dyDescent="0.25">
      <c r="O29865" s="20" t="str">
        <f>IF(N29865="","",COUNTIFS(RawData[[Date ]],N29865,RawData[Month List],$Q$6,RawData[Tour/Site],$Q$2,RawData[[Picker ID ]],$Q$3,RawData[Checker ID],$Q$4,RawData[[Error Type ]],$Q$5))</f>
        <v/>
      </c>
    </row>
    <row r="29866" spans="15:15" x14ac:dyDescent="0.25">
      <c r="O29866" s="20" t="str">
        <f>IF(N29866="","",COUNTIFS(RawData[[Date ]],N29866,RawData[Month List],$Q$6,RawData[Tour/Site],$Q$2,RawData[[Picker ID ]],$Q$3,RawData[Checker ID],$Q$4,RawData[[Error Type ]],$Q$5))</f>
        <v/>
      </c>
    </row>
    <row r="29867" spans="15:15" x14ac:dyDescent="0.25">
      <c r="O29867" s="20" t="str">
        <f>IF(N29867="","",COUNTIFS(RawData[[Date ]],N29867,RawData[Month List],$Q$6,RawData[Tour/Site],$Q$2,RawData[[Picker ID ]],$Q$3,RawData[Checker ID],$Q$4,RawData[[Error Type ]],$Q$5))</f>
        <v/>
      </c>
    </row>
    <row r="29868" spans="15:15" x14ac:dyDescent="0.25">
      <c r="O29868" s="20" t="str">
        <f>IF(N29868="","",COUNTIFS(RawData[[Date ]],N29868,RawData[Month List],$Q$6,RawData[Tour/Site],$Q$2,RawData[[Picker ID ]],$Q$3,RawData[Checker ID],$Q$4,RawData[[Error Type ]],$Q$5))</f>
        <v/>
      </c>
    </row>
    <row r="29869" spans="15:15" x14ac:dyDescent="0.25">
      <c r="O29869" s="20" t="str">
        <f>IF(N29869="","",COUNTIFS(RawData[[Date ]],N29869,RawData[Month List],$Q$6,RawData[Tour/Site],$Q$2,RawData[[Picker ID ]],$Q$3,RawData[Checker ID],$Q$4,RawData[[Error Type ]],$Q$5))</f>
        <v/>
      </c>
    </row>
    <row r="29870" spans="15:15" x14ac:dyDescent="0.25">
      <c r="O29870" s="20" t="str">
        <f>IF(N29870="","",COUNTIFS(RawData[[Date ]],N29870,RawData[Month List],$Q$6,RawData[Tour/Site],$Q$2,RawData[[Picker ID ]],$Q$3,RawData[Checker ID],$Q$4,RawData[[Error Type ]],$Q$5))</f>
        <v/>
      </c>
    </row>
    <row r="29871" spans="15:15" x14ac:dyDescent="0.25">
      <c r="O29871" s="20" t="str">
        <f>IF(N29871="","",COUNTIFS(RawData[[Date ]],N29871,RawData[Month List],$Q$6,RawData[Tour/Site],$Q$2,RawData[[Picker ID ]],$Q$3,RawData[Checker ID],$Q$4,RawData[[Error Type ]],$Q$5))</f>
        <v/>
      </c>
    </row>
    <row r="29872" spans="15:15" x14ac:dyDescent="0.25">
      <c r="O29872" s="20" t="str">
        <f>IF(N29872="","",COUNTIFS(RawData[[Date ]],N29872,RawData[Month List],$Q$6,RawData[Tour/Site],$Q$2,RawData[[Picker ID ]],$Q$3,RawData[Checker ID],$Q$4,RawData[[Error Type ]],$Q$5))</f>
        <v/>
      </c>
    </row>
    <row r="29873" spans="15:15" x14ac:dyDescent="0.25">
      <c r="O29873" s="20" t="str">
        <f>IF(N29873="","",COUNTIFS(RawData[[Date ]],N29873,RawData[Month List],$Q$6,RawData[Tour/Site],$Q$2,RawData[[Picker ID ]],$Q$3,RawData[Checker ID],$Q$4,RawData[[Error Type ]],$Q$5))</f>
        <v/>
      </c>
    </row>
    <row r="29874" spans="15:15" x14ac:dyDescent="0.25">
      <c r="O29874" s="20" t="str">
        <f>IF(N29874="","",COUNTIFS(RawData[[Date ]],N29874,RawData[Month List],$Q$6,RawData[Tour/Site],$Q$2,RawData[[Picker ID ]],$Q$3,RawData[Checker ID],$Q$4,RawData[[Error Type ]],$Q$5))</f>
        <v/>
      </c>
    </row>
    <row r="29875" spans="15:15" x14ac:dyDescent="0.25">
      <c r="O29875" s="20" t="str">
        <f>IF(N29875="","",COUNTIFS(RawData[[Date ]],N29875,RawData[Month List],$Q$6,RawData[Tour/Site],$Q$2,RawData[[Picker ID ]],$Q$3,RawData[Checker ID],$Q$4,RawData[[Error Type ]],$Q$5))</f>
        <v/>
      </c>
    </row>
    <row r="29876" spans="15:15" x14ac:dyDescent="0.25">
      <c r="O29876" s="20" t="str">
        <f>IF(N29876="","",COUNTIFS(RawData[[Date ]],N29876,RawData[Month List],$Q$6,RawData[Tour/Site],$Q$2,RawData[[Picker ID ]],$Q$3,RawData[Checker ID],$Q$4,RawData[[Error Type ]],$Q$5))</f>
        <v/>
      </c>
    </row>
    <row r="29877" spans="15:15" x14ac:dyDescent="0.25">
      <c r="O29877" s="20" t="str">
        <f>IF(N29877="","",COUNTIFS(RawData[[Date ]],N29877,RawData[Month List],$Q$6,RawData[Tour/Site],$Q$2,RawData[[Picker ID ]],$Q$3,RawData[Checker ID],$Q$4,RawData[[Error Type ]],$Q$5))</f>
        <v/>
      </c>
    </row>
    <row r="29878" spans="15:15" x14ac:dyDescent="0.25">
      <c r="O29878" s="20" t="str">
        <f>IF(N29878="","",COUNTIFS(RawData[[Date ]],N29878,RawData[Month List],$Q$6,RawData[Tour/Site],$Q$2,RawData[[Picker ID ]],$Q$3,RawData[Checker ID],$Q$4,RawData[[Error Type ]],$Q$5))</f>
        <v/>
      </c>
    </row>
    <row r="29879" spans="15:15" x14ac:dyDescent="0.25">
      <c r="O29879" s="20" t="str">
        <f>IF(N29879="","",COUNTIFS(RawData[[Date ]],N29879,RawData[Month List],$Q$6,RawData[Tour/Site],$Q$2,RawData[[Picker ID ]],$Q$3,RawData[Checker ID],$Q$4,RawData[[Error Type ]],$Q$5))</f>
        <v/>
      </c>
    </row>
    <row r="29880" spans="15:15" x14ac:dyDescent="0.25">
      <c r="O29880" s="20" t="str">
        <f>IF(N29880="","",COUNTIFS(RawData[[Date ]],N29880,RawData[Month List],$Q$6,RawData[Tour/Site],$Q$2,RawData[[Picker ID ]],$Q$3,RawData[Checker ID],$Q$4,RawData[[Error Type ]],$Q$5))</f>
        <v/>
      </c>
    </row>
    <row r="29881" spans="15:15" x14ac:dyDescent="0.25">
      <c r="O29881" s="20" t="str">
        <f>IF(N29881="","",COUNTIFS(RawData[[Date ]],N29881,RawData[Month List],$Q$6,RawData[Tour/Site],$Q$2,RawData[[Picker ID ]],$Q$3,RawData[Checker ID],$Q$4,RawData[[Error Type ]],$Q$5))</f>
        <v/>
      </c>
    </row>
    <row r="29882" spans="15:15" x14ac:dyDescent="0.25">
      <c r="O29882" s="20" t="str">
        <f>IF(N29882="","",COUNTIFS(RawData[[Date ]],N29882,RawData[Month List],$Q$6,RawData[Tour/Site],$Q$2,RawData[[Picker ID ]],$Q$3,RawData[Checker ID],$Q$4,RawData[[Error Type ]],$Q$5))</f>
        <v/>
      </c>
    </row>
    <row r="29883" spans="15:15" x14ac:dyDescent="0.25">
      <c r="O29883" s="20" t="str">
        <f>IF(N29883="","",COUNTIFS(RawData[[Date ]],N29883,RawData[Month List],$Q$6,RawData[Tour/Site],$Q$2,RawData[[Picker ID ]],$Q$3,RawData[Checker ID],$Q$4,RawData[[Error Type ]],$Q$5))</f>
        <v/>
      </c>
    </row>
    <row r="29884" spans="15:15" x14ac:dyDescent="0.25">
      <c r="O29884" s="20" t="str">
        <f>IF(N29884="","",COUNTIFS(RawData[[Date ]],N29884,RawData[Month List],$Q$6,RawData[Tour/Site],$Q$2,RawData[[Picker ID ]],$Q$3,RawData[Checker ID],$Q$4,RawData[[Error Type ]],$Q$5))</f>
        <v/>
      </c>
    </row>
    <row r="29885" spans="15:15" x14ac:dyDescent="0.25">
      <c r="O29885" s="20" t="str">
        <f>IF(N29885="","",COUNTIFS(RawData[[Date ]],N29885,RawData[Month List],$Q$6,RawData[Tour/Site],$Q$2,RawData[[Picker ID ]],$Q$3,RawData[Checker ID],$Q$4,RawData[[Error Type ]],$Q$5))</f>
        <v/>
      </c>
    </row>
    <row r="29886" spans="15:15" x14ac:dyDescent="0.25">
      <c r="O29886" s="20" t="str">
        <f>IF(N29886="","",COUNTIFS(RawData[[Date ]],N29886,RawData[Month List],$Q$6,RawData[Tour/Site],$Q$2,RawData[[Picker ID ]],$Q$3,RawData[Checker ID],$Q$4,RawData[[Error Type ]],$Q$5))</f>
        <v/>
      </c>
    </row>
    <row r="29887" spans="15:15" x14ac:dyDescent="0.25">
      <c r="O29887" s="20" t="str">
        <f>IF(N29887="","",COUNTIFS(RawData[[Date ]],N29887,RawData[Month List],$Q$6,RawData[Tour/Site],$Q$2,RawData[[Picker ID ]],$Q$3,RawData[Checker ID],$Q$4,RawData[[Error Type ]],$Q$5))</f>
        <v/>
      </c>
    </row>
    <row r="29888" spans="15:15" x14ac:dyDescent="0.25">
      <c r="O29888" s="20" t="str">
        <f>IF(N29888="","",COUNTIFS(RawData[[Date ]],N29888,RawData[Month List],$Q$6,RawData[Tour/Site],$Q$2,RawData[[Picker ID ]],$Q$3,RawData[Checker ID],$Q$4,RawData[[Error Type ]],$Q$5))</f>
        <v/>
      </c>
    </row>
    <row r="29889" spans="15:15" x14ac:dyDescent="0.25">
      <c r="O29889" s="20" t="str">
        <f>IF(N29889="","",COUNTIFS(RawData[[Date ]],N29889,RawData[Month List],$Q$6,RawData[Tour/Site],$Q$2,RawData[[Picker ID ]],$Q$3,RawData[Checker ID],$Q$4,RawData[[Error Type ]],$Q$5))</f>
        <v/>
      </c>
    </row>
    <row r="29890" spans="15:15" x14ac:dyDescent="0.25">
      <c r="O29890" s="20" t="str">
        <f>IF(N29890="","",COUNTIFS(RawData[[Date ]],N29890,RawData[Month List],$Q$6,RawData[Tour/Site],$Q$2,RawData[[Picker ID ]],$Q$3,RawData[Checker ID],$Q$4,RawData[[Error Type ]],$Q$5))</f>
        <v/>
      </c>
    </row>
    <row r="29891" spans="15:15" x14ac:dyDescent="0.25">
      <c r="O29891" s="20" t="str">
        <f>IF(N29891="","",COUNTIFS(RawData[[Date ]],N29891,RawData[Month List],$Q$6,RawData[Tour/Site],$Q$2,RawData[[Picker ID ]],$Q$3,RawData[Checker ID],$Q$4,RawData[[Error Type ]],$Q$5))</f>
        <v/>
      </c>
    </row>
    <row r="29892" spans="15:15" x14ac:dyDescent="0.25">
      <c r="O29892" s="20" t="str">
        <f>IF(N29892="","",COUNTIFS(RawData[[Date ]],N29892,RawData[Month List],$Q$6,RawData[Tour/Site],$Q$2,RawData[[Picker ID ]],$Q$3,RawData[Checker ID],$Q$4,RawData[[Error Type ]],$Q$5))</f>
        <v/>
      </c>
    </row>
    <row r="29893" spans="15:15" x14ac:dyDescent="0.25">
      <c r="O29893" s="20" t="str">
        <f>IF(N29893="","",COUNTIFS(RawData[[Date ]],N29893,RawData[Month List],$Q$6,RawData[Tour/Site],$Q$2,RawData[[Picker ID ]],$Q$3,RawData[Checker ID],$Q$4,RawData[[Error Type ]],$Q$5))</f>
        <v/>
      </c>
    </row>
    <row r="29894" spans="15:15" x14ac:dyDescent="0.25">
      <c r="O29894" s="20" t="str">
        <f>IF(N29894="","",COUNTIFS(RawData[[Date ]],N29894,RawData[Month List],$Q$6,RawData[Tour/Site],$Q$2,RawData[[Picker ID ]],$Q$3,RawData[Checker ID],$Q$4,RawData[[Error Type ]],$Q$5))</f>
        <v/>
      </c>
    </row>
    <row r="29895" spans="15:15" x14ac:dyDescent="0.25">
      <c r="O29895" s="20" t="str">
        <f>IF(N29895="","",COUNTIFS(RawData[[Date ]],N29895,RawData[Month List],$Q$6,RawData[Tour/Site],$Q$2,RawData[[Picker ID ]],$Q$3,RawData[Checker ID],$Q$4,RawData[[Error Type ]],$Q$5))</f>
        <v/>
      </c>
    </row>
    <row r="29896" spans="15:15" x14ac:dyDescent="0.25">
      <c r="O29896" s="20" t="str">
        <f>IF(N29896="","",COUNTIFS(RawData[[Date ]],N29896,RawData[Month List],$Q$6,RawData[Tour/Site],$Q$2,RawData[[Picker ID ]],$Q$3,RawData[Checker ID],$Q$4,RawData[[Error Type ]],$Q$5))</f>
        <v/>
      </c>
    </row>
    <row r="29897" spans="15:15" x14ac:dyDescent="0.25">
      <c r="O29897" s="20" t="str">
        <f>IF(N29897="","",COUNTIFS(RawData[[Date ]],N29897,RawData[Month List],$Q$6,RawData[Tour/Site],$Q$2,RawData[[Picker ID ]],$Q$3,RawData[Checker ID],$Q$4,RawData[[Error Type ]],$Q$5))</f>
        <v/>
      </c>
    </row>
    <row r="29898" spans="15:15" x14ac:dyDescent="0.25">
      <c r="O29898" s="20" t="str">
        <f>IF(N29898="","",COUNTIFS(RawData[[Date ]],N29898,RawData[Month List],$Q$6,RawData[Tour/Site],$Q$2,RawData[[Picker ID ]],$Q$3,RawData[Checker ID],$Q$4,RawData[[Error Type ]],$Q$5))</f>
        <v/>
      </c>
    </row>
    <row r="29899" spans="15:15" x14ac:dyDescent="0.25">
      <c r="O29899" s="20" t="str">
        <f>IF(N29899="","",COUNTIFS(RawData[[Date ]],N29899,RawData[Month List],$Q$6,RawData[Tour/Site],$Q$2,RawData[[Picker ID ]],$Q$3,RawData[Checker ID],$Q$4,RawData[[Error Type ]],$Q$5))</f>
        <v/>
      </c>
    </row>
    <row r="29900" spans="15:15" x14ac:dyDescent="0.25">
      <c r="O29900" s="20" t="str">
        <f>IF(N29900="","",COUNTIFS(RawData[[Date ]],N29900,RawData[Month List],$Q$6,RawData[Tour/Site],$Q$2,RawData[[Picker ID ]],$Q$3,RawData[Checker ID],$Q$4,RawData[[Error Type ]],$Q$5))</f>
        <v/>
      </c>
    </row>
    <row r="29901" spans="15:15" x14ac:dyDescent="0.25">
      <c r="O29901" s="20" t="str">
        <f>IF(N29901="","",COUNTIFS(RawData[[Date ]],N29901,RawData[Month List],$Q$6,RawData[Tour/Site],$Q$2,RawData[[Picker ID ]],$Q$3,RawData[Checker ID],$Q$4,RawData[[Error Type ]],$Q$5))</f>
        <v/>
      </c>
    </row>
    <row r="29902" spans="15:15" x14ac:dyDescent="0.25">
      <c r="O29902" s="20" t="str">
        <f>IF(N29902="","",COUNTIFS(RawData[[Date ]],N29902,RawData[Month List],$Q$6,RawData[Tour/Site],$Q$2,RawData[[Picker ID ]],$Q$3,RawData[Checker ID],$Q$4,RawData[[Error Type ]],$Q$5))</f>
        <v/>
      </c>
    </row>
    <row r="29903" spans="15:15" x14ac:dyDescent="0.25">
      <c r="O29903" s="20" t="str">
        <f>IF(N29903="","",COUNTIFS(RawData[[Date ]],N29903,RawData[Month List],$Q$6,RawData[Tour/Site],$Q$2,RawData[[Picker ID ]],$Q$3,RawData[Checker ID],$Q$4,RawData[[Error Type ]],$Q$5))</f>
        <v/>
      </c>
    </row>
    <row r="29904" spans="15:15" x14ac:dyDescent="0.25">
      <c r="O29904" s="20" t="str">
        <f>IF(N29904="","",COUNTIFS(RawData[[Date ]],N29904,RawData[Month List],$Q$6,RawData[Tour/Site],$Q$2,RawData[[Picker ID ]],$Q$3,RawData[Checker ID],$Q$4,RawData[[Error Type ]],$Q$5))</f>
        <v/>
      </c>
    </row>
    <row r="29905" spans="15:15" x14ac:dyDescent="0.25">
      <c r="O29905" s="20" t="str">
        <f>IF(N29905="","",COUNTIFS(RawData[[Date ]],N29905,RawData[Month List],$Q$6,RawData[Tour/Site],$Q$2,RawData[[Picker ID ]],$Q$3,RawData[Checker ID],$Q$4,RawData[[Error Type ]],$Q$5))</f>
        <v/>
      </c>
    </row>
    <row r="29906" spans="15:15" x14ac:dyDescent="0.25">
      <c r="O29906" s="20" t="str">
        <f>IF(N29906="","",COUNTIFS(RawData[[Date ]],N29906,RawData[Month List],$Q$6,RawData[Tour/Site],$Q$2,RawData[[Picker ID ]],$Q$3,RawData[Checker ID],$Q$4,RawData[[Error Type ]],$Q$5))</f>
        <v/>
      </c>
    </row>
    <row r="29907" spans="15:15" x14ac:dyDescent="0.25">
      <c r="O29907" s="20" t="str">
        <f>IF(N29907="","",COUNTIFS(RawData[[Date ]],N29907,RawData[Month List],$Q$6,RawData[Tour/Site],$Q$2,RawData[[Picker ID ]],$Q$3,RawData[Checker ID],$Q$4,RawData[[Error Type ]],$Q$5))</f>
        <v/>
      </c>
    </row>
    <row r="29908" spans="15:15" x14ac:dyDescent="0.25">
      <c r="O29908" s="20" t="str">
        <f>IF(N29908="","",COUNTIFS(RawData[[Date ]],N29908,RawData[Month List],$Q$6,RawData[Tour/Site],$Q$2,RawData[[Picker ID ]],$Q$3,RawData[Checker ID],$Q$4,RawData[[Error Type ]],$Q$5))</f>
        <v/>
      </c>
    </row>
    <row r="29909" spans="15:15" x14ac:dyDescent="0.25">
      <c r="O29909" s="20" t="str">
        <f>IF(N29909="","",COUNTIFS(RawData[[Date ]],N29909,RawData[Month List],$Q$6,RawData[Tour/Site],$Q$2,RawData[[Picker ID ]],$Q$3,RawData[Checker ID],$Q$4,RawData[[Error Type ]],$Q$5))</f>
        <v/>
      </c>
    </row>
    <row r="29910" spans="15:15" x14ac:dyDescent="0.25">
      <c r="O29910" s="20" t="str">
        <f>IF(N29910="","",COUNTIFS(RawData[[Date ]],N29910,RawData[Month List],$Q$6,RawData[Tour/Site],$Q$2,RawData[[Picker ID ]],$Q$3,RawData[Checker ID],$Q$4,RawData[[Error Type ]],$Q$5))</f>
        <v/>
      </c>
    </row>
    <row r="29911" spans="15:15" x14ac:dyDescent="0.25">
      <c r="O29911" s="20" t="str">
        <f>IF(N29911="","",COUNTIFS(RawData[[Date ]],N29911,RawData[Month List],$Q$6,RawData[Tour/Site],$Q$2,RawData[[Picker ID ]],$Q$3,RawData[Checker ID],$Q$4,RawData[[Error Type ]],$Q$5))</f>
        <v/>
      </c>
    </row>
    <row r="29912" spans="15:15" x14ac:dyDescent="0.25">
      <c r="O29912" s="20" t="str">
        <f>IF(N29912="","",COUNTIFS(RawData[[Date ]],N29912,RawData[Month List],$Q$6,RawData[Tour/Site],$Q$2,RawData[[Picker ID ]],$Q$3,RawData[Checker ID],$Q$4,RawData[[Error Type ]],$Q$5))</f>
        <v/>
      </c>
    </row>
    <row r="29913" spans="15:15" x14ac:dyDescent="0.25">
      <c r="O29913" s="20" t="str">
        <f>IF(N29913="","",COUNTIFS(RawData[[Date ]],N29913,RawData[Month List],$Q$6,RawData[Tour/Site],$Q$2,RawData[[Picker ID ]],$Q$3,RawData[Checker ID],$Q$4,RawData[[Error Type ]],$Q$5))</f>
        <v/>
      </c>
    </row>
    <row r="29914" spans="15:15" x14ac:dyDescent="0.25">
      <c r="O29914" s="20" t="str">
        <f>IF(N29914="","",COUNTIFS(RawData[[Date ]],N29914,RawData[Month List],$Q$6,RawData[Tour/Site],$Q$2,RawData[[Picker ID ]],$Q$3,RawData[Checker ID],$Q$4,RawData[[Error Type ]],$Q$5))</f>
        <v/>
      </c>
    </row>
    <row r="29915" spans="15:15" x14ac:dyDescent="0.25">
      <c r="O29915" s="20" t="str">
        <f>IF(N29915="","",COUNTIFS(RawData[[Date ]],N29915,RawData[Month List],$Q$6,RawData[Tour/Site],$Q$2,RawData[[Picker ID ]],$Q$3,RawData[Checker ID],$Q$4,RawData[[Error Type ]],$Q$5))</f>
        <v/>
      </c>
    </row>
    <row r="29916" spans="15:15" x14ac:dyDescent="0.25">
      <c r="O29916" s="20" t="str">
        <f>IF(N29916="","",COUNTIFS(RawData[[Date ]],N29916,RawData[Month List],$Q$6,RawData[Tour/Site],$Q$2,RawData[[Picker ID ]],$Q$3,RawData[Checker ID],$Q$4,RawData[[Error Type ]],$Q$5))</f>
        <v/>
      </c>
    </row>
    <row r="29917" spans="15:15" x14ac:dyDescent="0.25">
      <c r="O29917" s="20" t="str">
        <f>IF(N29917="","",COUNTIFS(RawData[[Date ]],N29917,RawData[Month List],$Q$6,RawData[Tour/Site],$Q$2,RawData[[Picker ID ]],$Q$3,RawData[Checker ID],$Q$4,RawData[[Error Type ]],$Q$5))</f>
        <v/>
      </c>
    </row>
    <row r="29918" spans="15:15" x14ac:dyDescent="0.25">
      <c r="O29918" s="20" t="str">
        <f>IF(N29918="","",COUNTIFS(RawData[[Date ]],N29918,RawData[Month List],$Q$6,RawData[Tour/Site],$Q$2,RawData[[Picker ID ]],$Q$3,RawData[Checker ID],$Q$4,RawData[[Error Type ]],$Q$5))</f>
        <v/>
      </c>
    </row>
    <row r="29919" spans="15:15" x14ac:dyDescent="0.25">
      <c r="O29919" s="20" t="str">
        <f>IF(N29919="","",COUNTIFS(RawData[[Date ]],N29919,RawData[Month List],$Q$6,RawData[Tour/Site],$Q$2,RawData[[Picker ID ]],$Q$3,RawData[Checker ID],$Q$4,RawData[[Error Type ]],$Q$5))</f>
        <v/>
      </c>
    </row>
    <row r="29920" spans="15:15" x14ac:dyDescent="0.25">
      <c r="O29920" s="20" t="str">
        <f>IF(N29920="","",COUNTIFS(RawData[[Date ]],N29920,RawData[Month List],$Q$6,RawData[Tour/Site],$Q$2,RawData[[Picker ID ]],$Q$3,RawData[Checker ID],$Q$4,RawData[[Error Type ]],$Q$5))</f>
        <v/>
      </c>
    </row>
    <row r="29921" spans="15:15" x14ac:dyDescent="0.25">
      <c r="O29921" s="20" t="str">
        <f>IF(N29921="","",COUNTIFS(RawData[[Date ]],N29921,RawData[Month List],$Q$6,RawData[Tour/Site],$Q$2,RawData[[Picker ID ]],$Q$3,RawData[Checker ID],$Q$4,RawData[[Error Type ]],$Q$5))</f>
        <v/>
      </c>
    </row>
    <row r="29922" spans="15:15" x14ac:dyDescent="0.25">
      <c r="O29922" s="20" t="str">
        <f>IF(N29922="","",COUNTIFS(RawData[[Date ]],N29922,RawData[Month List],$Q$6,RawData[Tour/Site],$Q$2,RawData[[Picker ID ]],$Q$3,RawData[Checker ID],$Q$4,RawData[[Error Type ]],$Q$5))</f>
        <v/>
      </c>
    </row>
    <row r="29923" spans="15:15" x14ac:dyDescent="0.25">
      <c r="O29923" s="20" t="str">
        <f>IF(N29923="","",COUNTIFS(RawData[[Date ]],N29923,RawData[Month List],$Q$6,RawData[Tour/Site],$Q$2,RawData[[Picker ID ]],$Q$3,RawData[Checker ID],$Q$4,RawData[[Error Type ]],$Q$5))</f>
        <v/>
      </c>
    </row>
    <row r="29924" spans="15:15" x14ac:dyDescent="0.25">
      <c r="O29924" s="20" t="str">
        <f>IF(N29924="","",COUNTIFS(RawData[[Date ]],N29924,RawData[Month List],$Q$6,RawData[Tour/Site],$Q$2,RawData[[Picker ID ]],$Q$3,RawData[Checker ID],$Q$4,RawData[[Error Type ]],$Q$5))</f>
        <v/>
      </c>
    </row>
    <row r="29925" spans="15:15" x14ac:dyDescent="0.25">
      <c r="O29925" s="20" t="str">
        <f>IF(N29925="","",COUNTIFS(RawData[[Date ]],N29925,RawData[Month List],$Q$6,RawData[Tour/Site],$Q$2,RawData[[Picker ID ]],$Q$3,RawData[Checker ID],$Q$4,RawData[[Error Type ]],$Q$5))</f>
        <v/>
      </c>
    </row>
    <row r="29926" spans="15:15" x14ac:dyDescent="0.25">
      <c r="O29926" s="20" t="str">
        <f>IF(N29926="","",COUNTIFS(RawData[[Date ]],N29926,RawData[Month List],$Q$6,RawData[Tour/Site],$Q$2,RawData[[Picker ID ]],$Q$3,RawData[Checker ID],$Q$4,RawData[[Error Type ]],$Q$5))</f>
        <v/>
      </c>
    </row>
    <row r="29927" spans="15:15" x14ac:dyDescent="0.25">
      <c r="O29927" s="20" t="str">
        <f>IF(N29927="","",COUNTIFS(RawData[[Date ]],N29927,RawData[Month List],$Q$6,RawData[Tour/Site],$Q$2,RawData[[Picker ID ]],$Q$3,RawData[Checker ID],$Q$4,RawData[[Error Type ]],$Q$5))</f>
        <v/>
      </c>
    </row>
    <row r="29928" spans="15:15" x14ac:dyDescent="0.25">
      <c r="O29928" s="20" t="str">
        <f>IF(N29928="","",COUNTIFS(RawData[[Date ]],N29928,RawData[Month List],$Q$6,RawData[Tour/Site],$Q$2,RawData[[Picker ID ]],$Q$3,RawData[Checker ID],$Q$4,RawData[[Error Type ]],$Q$5))</f>
        <v/>
      </c>
    </row>
    <row r="29929" spans="15:15" x14ac:dyDescent="0.25">
      <c r="O29929" s="20" t="str">
        <f>IF(N29929="","",COUNTIFS(RawData[[Date ]],N29929,RawData[Month List],$Q$6,RawData[Tour/Site],$Q$2,RawData[[Picker ID ]],$Q$3,RawData[Checker ID],$Q$4,RawData[[Error Type ]],$Q$5))</f>
        <v/>
      </c>
    </row>
    <row r="29930" spans="15:15" x14ac:dyDescent="0.25">
      <c r="O29930" s="20" t="str">
        <f>IF(N29930="","",COUNTIFS(RawData[[Date ]],N29930,RawData[Month List],$Q$6,RawData[Tour/Site],$Q$2,RawData[[Picker ID ]],$Q$3,RawData[Checker ID],$Q$4,RawData[[Error Type ]],$Q$5))</f>
        <v/>
      </c>
    </row>
    <row r="29931" spans="15:15" x14ac:dyDescent="0.25">
      <c r="O29931" s="20" t="str">
        <f>IF(N29931="","",COUNTIFS(RawData[[Date ]],N29931,RawData[Month List],$Q$6,RawData[Tour/Site],$Q$2,RawData[[Picker ID ]],$Q$3,RawData[Checker ID],$Q$4,RawData[[Error Type ]],$Q$5))</f>
        <v/>
      </c>
    </row>
    <row r="29932" spans="15:15" x14ac:dyDescent="0.25">
      <c r="O29932" s="20" t="str">
        <f>IF(N29932="","",COUNTIFS(RawData[[Date ]],N29932,RawData[Month List],$Q$6,RawData[Tour/Site],$Q$2,RawData[[Picker ID ]],$Q$3,RawData[Checker ID],$Q$4,RawData[[Error Type ]],$Q$5))</f>
        <v/>
      </c>
    </row>
    <row r="29933" spans="15:15" x14ac:dyDescent="0.25">
      <c r="O29933" s="20" t="str">
        <f>IF(N29933="","",COUNTIFS(RawData[[Date ]],N29933,RawData[Month List],$Q$6,RawData[Tour/Site],$Q$2,RawData[[Picker ID ]],$Q$3,RawData[Checker ID],$Q$4,RawData[[Error Type ]],$Q$5))</f>
        <v/>
      </c>
    </row>
    <row r="29934" spans="15:15" x14ac:dyDescent="0.25">
      <c r="O29934" s="20" t="str">
        <f>IF(N29934="","",COUNTIFS(RawData[[Date ]],N29934,RawData[Month List],$Q$6,RawData[Tour/Site],$Q$2,RawData[[Picker ID ]],$Q$3,RawData[Checker ID],$Q$4,RawData[[Error Type ]],$Q$5))</f>
        <v/>
      </c>
    </row>
    <row r="29935" spans="15:15" x14ac:dyDescent="0.25">
      <c r="O29935" s="20" t="str">
        <f>IF(N29935="","",COUNTIFS(RawData[[Date ]],N29935,RawData[Month List],$Q$6,RawData[Tour/Site],$Q$2,RawData[[Picker ID ]],$Q$3,RawData[Checker ID],$Q$4,RawData[[Error Type ]],$Q$5))</f>
        <v/>
      </c>
    </row>
    <row r="29936" spans="15:15" x14ac:dyDescent="0.25">
      <c r="O29936" s="20" t="str">
        <f>IF(N29936="","",COUNTIFS(RawData[[Date ]],N29936,RawData[Month List],$Q$6,RawData[Tour/Site],$Q$2,RawData[[Picker ID ]],$Q$3,RawData[Checker ID],$Q$4,RawData[[Error Type ]],$Q$5))</f>
        <v/>
      </c>
    </row>
    <row r="29937" spans="15:15" x14ac:dyDescent="0.25">
      <c r="O29937" s="20" t="str">
        <f>IF(N29937="","",COUNTIFS(RawData[[Date ]],N29937,RawData[Month List],$Q$6,RawData[Tour/Site],$Q$2,RawData[[Picker ID ]],$Q$3,RawData[Checker ID],$Q$4,RawData[[Error Type ]],$Q$5))</f>
        <v/>
      </c>
    </row>
    <row r="29938" spans="15:15" x14ac:dyDescent="0.25">
      <c r="O29938" s="20" t="str">
        <f>IF(N29938="","",COUNTIFS(RawData[[Date ]],N29938,RawData[Month List],$Q$6,RawData[Tour/Site],$Q$2,RawData[[Picker ID ]],$Q$3,RawData[Checker ID],$Q$4,RawData[[Error Type ]],$Q$5))</f>
        <v/>
      </c>
    </row>
    <row r="29939" spans="15:15" x14ac:dyDescent="0.25">
      <c r="O29939" s="20" t="str">
        <f>IF(N29939="","",COUNTIFS(RawData[[Date ]],N29939,RawData[Month List],$Q$6,RawData[Tour/Site],$Q$2,RawData[[Picker ID ]],$Q$3,RawData[Checker ID],$Q$4,RawData[[Error Type ]],$Q$5))</f>
        <v/>
      </c>
    </row>
    <row r="29940" spans="15:15" x14ac:dyDescent="0.25">
      <c r="O29940" s="20" t="str">
        <f>IF(N29940="","",COUNTIFS(RawData[[Date ]],N29940,RawData[Month List],$Q$6,RawData[Tour/Site],$Q$2,RawData[[Picker ID ]],$Q$3,RawData[Checker ID],$Q$4,RawData[[Error Type ]],$Q$5))</f>
        <v/>
      </c>
    </row>
    <row r="29941" spans="15:15" x14ac:dyDescent="0.25">
      <c r="O29941" s="20" t="str">
        <f>IF(N29941="","",COUNTIFS(RawData[[Date ]],N29941,RawData[Month List],$Q$6,RawData[Tour/Site],$Q$2,RawData[[Picker ID ]],$Q$3,RawData[Checker ID],$Q$4,RawData[[Error Type ]],$Q$5))</f>
        <v/>
      </c>
    </row>
    <row r="29942" spans="15:15" x14ac:dyDescent="0.25">
      <c r="O29942" s="20" t="str">
        <f>IF(N29942="","",COUNTIFS(RawData[[Date ]],N29942,RawData[Month List],$Q$6,RawData[Tour/Site],$Q$2,RawData[[Picker ID ]],$Q$3,RawData[Checker ID],$Q$4,RawData[[Error Type ]],$Q$5))</f>
        <v/>
      </c>
    </row>
    <row r="29943" spans="15:15" x14ac:dyDescent="0.25">
      <c r="O29943" s="20" t="str">
        <f>IF(N29943="","",COUNTIFS(RawData[[Date ]],N29943,RawData[Month List],$Q$6,RawData[Tour/Site],$Q$2,RawData[[Picker ID ]],$Q$3,RawData[Checker ID],$Q$4,RawData[[Error Type ]],$Q$5))</f>
        <v/>
      </c>
    </row>
    <row r="29944" spans="15:15" x14ac:dyDescent="0.25">
      <c r="O29944" s="20" t="str">
        <f>IF(N29944="","",COUNTIFS(RawData[[Date ]],N29944,RawData[Month List],$Q$6,RawData[Tour/Site],$Q$2,RawData[[Picker ID ]],$Q$3,RawData[Checker ID],$Q$4,RawData[[Error Type ]],$Q$5))</f>
        <v/>
      </c>
    </row>
    <row r="29945" spans="15:15" x14ac:dyDescent="0.25">
      <c r="O29945" s="20" t="str">
        <f>IF(N29945="","",COUNTIFS(RawData[[Date ]],N29945,RawData[Month List],$Q$6,RawData[Tour/Site],$Q$2,RawData[[Picker ID ]],$Q$3,RawData[Checker ID],$Q$4,RawData[[Error Type ]],$Q$5))</f>
        <v/>
      </c>
    </row>
    <row r="29946" spans="15:15" x14ac:dyDescent="0.25">
      <c r="O29946" s="20" t="str">
        <f>IF(N29946="","",COUNTIFS(RawData[[Date ]],N29946,RawData[Month List],$Q$6,RawData[Tour/Site],$Q$2,RawData[[Picker ID ]],$Q$3,RawData[Checker ID],$Q$4,RawData[[Error Type ]],$Q$5))</f>
        <v/>
      </c>
    </row>
    <row r="29947" spans="15:15" x14ac:dyDescent="0.25">
      <c r="O29947" s="20" t="str">
        <f>IF(N29947="","",COUNTIFS(RawData[[Date ]],N29947,RawData[Month List],$Q$6,RawData[Tour/Site],$Q$2,RawData[[Picker ID ]],$Q$3,RawData[Checker ID],$Q$4,RawData[[Error Type ]],$Q$5))</f>
        <v/>
      </c>
    </row>
    <row r="29948" spans="15:15" x14ac:dyDescent="0.25">
      <c r="O29948" s="20" t="str">
        <f>IF(N29948="","",COUNTIFS(RawData[[Date ]],N29948,RawData[Month List],$Q$6,RawData[Tour/Site],$Q$2,RawData[[Picker ID ]],$Q$3,RawData[Checker ID],$Q$4,RawData[[Error Type ]],$Q$5))</f>
        <v/>
      </c>
    </row>
    <row r="29949" spans="15:15" x14ac:dyDescent="0.25">
      <c r="O29949" s="20" t="str">
        <f>IF(N29949="","",COUNTIFS(RawData[[Date ]],N29949,RawData[Month List],$Q$6,RawData[Tour/Site],$Q$2,RawData[[Picker ID ]],$Q$3,RawData[Checker ID],$Q$4,RawData[[Error Type ]],$Q$5))</f>
        <v/>
      </c>
    </row>
    <row r="29950" spans="15:15" x14ac:dyDescent="0.25">
      <c r="O29950" s="20" t="str">
        <f>IF(N29950="","",COUNTIFS(RawData[[Date ]],N29950,RawData[Month List],$Q$6,RawData[Tour/Site],$Q$2,RawData[[Picker ID ]],$Q$3,RawData[Checker ID],$Q$4,RawData[[Error Type ]],$Q$5))</f>
        <v/>
      </c>
    </row>
    <row r="29951" spans="15:15" x14ac:dyDescent="0.25">
      <c r="O29951" s="20" t="str">
        <f>IF(N29951="","",COUNTIFS(RawData[[Date ]],N29951,RawData[Month List],$Q$6,RawData[Tour/Site],$Q$2,RawData[[Picker ID ]],$Q$3,RawData[Checker ID],$Q$4,RawData[[Error Type ]],$Q$5))</f>
        <v/>
      </c>
    </row>
    <row r="29952" spans="15:15" x14ac:dyDescent="0.25">
      <c r="O29952" s="20" t="str">
        <f>IF(N29952="","",COUNTIFS(RawData[[Date ]],N29952,RawData[Month List],$Q$6,RawData[Tour/Site],$Q$2,RawData[[Picker ID ]],$Q$3,RawData[Checker ID],$Q$4,RawData[[Error Type ]],$Q$5))</f>
        <v/>
      </c>
    </row>
    <row r="29953" spans="15:15" x14ac:dyDescent="0.25">
      <c r="O29953" s="20" t="str">
        <f>IF(N29953="","",COUNTIFS(RawData[[Date ]],N29953,RawData[Month List],$Q$6,RawData[Tour/Site],$Q$2,RawData[[Picker ID ]],$Q$3,RawData[Checker ID],$Q$4,RawData[[Error Type ]],$Q$5))</f>
        <v/>
      </c>
    </row>
    <row r="29954" spans="15:15" x14ac:dyDescent="0.25">
      <c r="O29954" s="20" t="str">
        <f>IF(N29954="","",COUNTIFS(RawData[[Date ]],N29954,RawData[Month List],$Q$6,RawData[Tour/Site],$Q$2,RawData[[Picker ID ]],$Q$3,RawData[Checker ID],$Q$4,RawData[[Error Type ]],$Q$5))</f>
        <v/>
      </c>
    </row>
    <row r="29955" spans="15:15" x14ac:dyDescent="0.25">
      <c r="O29955" s="20" t="str">
        <f>IF(N29955="","",COUNTIFS(RawData[[Date ]],N29955,RawData[Month List],$Q$6,RawData[Tour/Site],$Q$2,RawData[[Picker ID ]],$Q$3,RawData[Checker ID],$Q$4,RawData[[Error Type ]],$Q$5))</f>
        <v/>
      </c>
    </row>
    <row r="29956" spans="15:15" x14ac:dyDescent="0.25">
      <c r="O29956" s="20" t="str">
        <f>IF(N29956="","",COUNTIFS(RawData[[Date ]],N29956,RawData[Month List],$Q$6,RawData[Tour/Site],$Q$2,RawData[[Picker ID ]],$Q$3,RawData[Checker ID],$Q$4,RawData[[Error Type ]],$Q$5))</f>
        <v/>
      </c>
    </row>
    <row r="29957" spans="15:15" x14ac:dyDescent="0.25">
      <c r="O29957" s="20" t="str">
        <f>IF(N29957="","",COUNTIFS(RawData[[Date ]],N29957,RawData[Month List],$Q$6,RawData[Tour/Site],$Q$2,RawData[[Picker ID ]],$Q$3,RawData[Checker ID],$Q$4,RawData[[Error Type ]],$Q$5))</f>
        <v/>
      </c>
    </row>
    <row r="29958" spans="15:15" x14ac:dyDescent="0.25">
      <c r="O29958" s="20" t="str">
        <f>IF(N29958="","",COUNTIFS(RawData[[Date ]],N29958,RawData[Month List],$Q$6,RawData[Tour/Site],$Q$2,RawData[[Picker ID ]],$Q$3,RawData[Checker ID],$Q$4,RawData[[Error Type ]],$Q$5))</f>
        <v/>
      </c>
    </row>
    <row r="29959" spans="15:15" x14ac:dyDescent="0.25">
      <c r="O29959" s="20" t="str">
        <f>IF(N29959="","",COUNTIFS(RawData[[Date ]],N29959,RawData[Month List],$Q$6,RawData[Tour/Site],$Q$2,RawData[[Picker ID ]],$Q$3,RawData[Checker ID],$Q$4,RawData[[Error Type ]],$Q$5))</f>
        <v/>
      </c>
    </row>
    <row r="29960" spans="15:15" x14ac:dyDescent="0.25">
      <c r="O29960" s="20" t="str">
        <f>IF(N29960="","",COUNTIFS(RawData[[Date ]],N29960,RawData[Month List],$Q$6,RawData[Tour/Site],$Q$2,RawData[[Picker ID ]],$Q$3,RawData[Checker ID],$Q$4,RawData[[Error Type ]],$Q$5))</f>
        <v/>
      </c>
    </row>
    <row r="29961" spans="15:15" x14ac:dyDescent="0.25">
      <c r="O29961" s="20" t="str">
        <f>IF(N29961="","",COUNTIFS(RawData[[Date ]],N29961,RawData[Month List],$Q$6,RawData[Tour/Site],$Q$2,RawData[[Picker ID ]],$Q$3,RawData[Checker ID],$Q$4,RawData[[Error Type ]],$Q$5))</f>
        <v/>
      </c>
    </row>
    <row r="29962" spans="15:15" x14ac:dyDescent="0.25">
      <c r="O29962" s="20" t="str">
        <f>IF(N29962="","",COUNTIFS(RawData[[Date ]],N29962,RawData[Month List],$Q$6,RawData[Tour/Site],$Q$2,RawData[[Picker ID ]],$Q$3,RawData[Checker ID],$Q$4,RawData[[Error Type ]],$Q$5))</f>
        <v/>
      </c>
    </row>
    <row r="29963" spans="15:15" x14ac:dyDescent="0.25">
      <c r="O29963" s="20" t="str">
        <f>IF(N29963="","",COUNTIFS(RawData[[Date ]],N29963,RawData[Month List],$Q$6,RawData[Tour/Site],$Q$2,RawData[[Picker ID ]],$Q$3,RawData[Checker ID],$Q$4,RawData[[Error Type ]],$Q$5))</f>
        <v/>
      </c>
    </row>
    <row r="29964" spans="15:15" x14ac:dyDescent="0.25">
      <c r="O29964" s="20" t="str">
        <f>IF(N29964="","",COUNTIFS(RawData[[Date ]],N29964,RawData[Month List],$Q$6,RawData[Tour/Site],$Q$2,RawData[[Picker ID ]],$Q$3,RawData[Checker ID],$Q$4,RawData[[Error Type ]],$Q$5))</f>
        <v/>
      </c>
    </row>
    <row r="29965" spans="15:15" x14ac:dyDescent="0.25">
      <c r="O29965" s="20" t="str">
        <f>IF(N29965="","",COUNTIFS(RawData[[Date ]],N29965,RawData[Month List],$Q$6,RawData[Tour/Site],$Q$2,RawData[[Picker ID ]],$Q$3,RawData[Checker ID],$Q$4,RawData[[Error Type ]],$Q$5))</f>
        <v/>
      </c>
    </row>
    <row r="29966" spans="15:15" x14ac:dyDescent="0.25">
      <c r="O29966" s="20" t="str">
        <f>IF(N29966="","",COUNTIFS(RawData[[Date ]],N29966,RawData[Month List],$Q$6,RawData[Tour/Site],$Q$2,RawData[[Picker ID ]],$Q$3,RawData[Checker ID],$Q$4,RawData[[Error Type ]],$Q$5))</f>
        <v/>
      </c>
    </row>
    <row r="29967" spans="15:15" x14ac:dyDescent="0.25">
      <c r="O29967" s="20" t="str">
        <f>IF(N29967="","",COUNTIFS(RawData[[Date ]],N29967,RawData[Month List],$Q$6,RawData[Tour/Site],$Q$2,RawData[[Picker ID ]],$Q$3,RawData[Checker ID],$Q$4,RawData[[Error Type ]],$Q$5))</f>
        <v/>
      </c>
    </row>
    <row r="29968" spans="15:15" x14ac:dyDescent="0.25">
      <c r="O29968" s="20" t="str">
        <f>IF(N29968="","",COUNTIFS(RawData[[Date ]],N29968,RawData[Month List],$Q$6,RawData[Tour/Site],$Q$2,RawData[[Picker ID ]],$Q$3,RawData[Checker ID],$Q$4,RawData[[Error Type ]],$Q$5))</f>
        <v/>
      </c>
    </row>
    <row r="29969" spans="15:15" x14ac:dyDescent="0.25">
      <c r="O29969" s="20" t="str">
        <f>IF(N29969="","",COUNTIFS(RawData[[Date ]],N29969,RawData[Month List],$Q$6,RawData[Tour/Site],$Q$2,RawData[[Picker ID ]],$Q$3,RawData[Checker ID],$Q$4,RawData[[Error Type ]],$Q$5))</f>
        <v/>
      </c>
    </row>
    <row r="29970" spans="15:15" x14ac:dyDescent="0.25">
      <c r="O29970" s="20" t="str">
        <f>IF(N29970="","",COUNTIFS(RawData[[Date ]],N29970,RawData[Month List],$Q$6,RawData[Tour/Site],$Q$2,RawData[[Picker ID ]],$Q$3,RawData[Checker ID],$Q$4,RawData[[Error Type ]],$Q$5))</f>
        <v/>
      </c>
    </row>
    <row r="29971" spans="15:15" x14ac:dyDescent="0.25">
      <c r="O29971" s="20" t="str">
        <f>IF(N29971="","",COUNTIFS(RawData[[Date ]],N29971,RawData[Month List],$Q$6,RawData[Tour/Site],$Q$2,RawData[[Picker ID ]],$Q$3,RawData[Checker ID],$Q$4,RawData[[Error Type ]],$Q$5))</f>
        <v/>
      </c>
    </row>
    <row r="29972" spans="15:15" x14ac:dyDescent="0.25">
      <c r="O29972" s="20" t="str">
        <f>IF(N29972="","",COUNTIFS(RawData[[Date ]],N29972,RawData[Month List],$Q$6,RawData[Tour/Site],$Q$2,RawData[[Picker ID ]],$Q$3,RawData[Checker ID],$Q$4,RawData[[Error Type ]],$Q$5))</f>
        <v/>
      </c>
    </row>
    <row r="29973" spans="15:15" x14ac:dyDescent="0.25">
      <c r="O29973" s="20" t="str">
        <f>IF(N29973="","",COUNTIFS(RawData[[Date ]],N29973,RawData[Month List],$Q$6,RawData[Tour/Site],$Q$2,RawData[[Picker ID ]],$Q$3,RawData[Checker ID],$Q$4,RawData[[Error Type ]],$Q$5))</f>
        <v/>
      </c>
    </row>
    <row r="29974" spans="15:15" x14ac:dyDescent="0.25">
      <c r="O29974" s="20" t="str">
        <f>IF(N29974="","",COUNTIFS(RawData[[Date ]],N29974,RawData[Month List],$Q$6,RawData[Tour/Site],$Q$2,RawData[[Picker ID ]],$Q$3,RawData[Checker ID],$Q$4,RawData[[Error Type ]],$Q$5))</f>
        <v/>
      </c>
    </row>
    <row r="29975" spans="15:15" x14ac:dyDescent="0.25">
      <c r="O29975" s="20" t="str">
        <f>IF(N29975="","",COUNTIFS(RawData[[Date ]],N29975,RawData[Month List],$Q$6,RawData[Tour/Site],$Q$2,RawData[[Picker ID ]],$Q$3,RawData[Checker ID],$Q$4,RawData[[Error Type ]],$Q$5))</f>
        <v/>
      </c>
    </row>
    <row r="29976" spans="15:15" x14ac:dyDescent="0.25">
      <c r="O29976" s="20" t="str">
        <f>IF(N29976="","",COUNTIFS(RawData[[Date ]],N29976,RawData[Month List],$Q$6,RawData[Tour/Site],$Q$2,RawData[[Picker ID ]],$Q$3,RawData[Checker ID],$Q$4,RawData[[Error Type ]],$Q$5))</f>
        <v/>
      </c>
    </row>
    <row r="29977" spans="15:15" x14ac:dyDescent="0.25">
      <c r="O29977" s="20" t="str">
        <f>IF(N29977="","",COUNTIFS(RawData[[Date ]],N29977,RawData[Month List],$Q$6,RawData[Tour/Site],$Q$2,RawData[[Picker ID ]],$Q$3,RawData[Checker ID],$Q$4,RawData[[Error Type ]],$Q$5))</f>
        <v/>
      </c>
    </row>
    <row r="29978" spans="15:15" x14ac:dyDescent="0.25">
      <c r="O29978" s="20" t="str">
        <f>IF(N29978="","",COUNTIFS(RawData[[Date ]],N29978,RawData[Month List],$Q$6,RawData[Tour/Site],$Q$2,RawData[[Picker ID ]],$Q$3,RawData[Checker ID],$Q$4,RawData[[Error Type ]],$Q$5))</f>
        <v/>
      </c>
    </row>
    <row r="29979" spans="15:15" x14ac:dyDescent="0.25">
      <c r="O29979" s="20" t="str">
        <f>IF(N29979="","",COUNTIFS(RawData[[Date ]],N29979,RawData[Month List],$Q$6,RawData[Tour/Site],$Q$2,RawData[[Picker ID ]],$Q$3,RawData[Checker ID],$Q$4,RawData[[Error Type ]],$Q$5))</f>
        <v/>
      </c>
    </row>
    <row r="29980" spans="15:15" x14ac:dyDescent="0.25">
      <c r="O29980" s="20" t="str">
        <f>IF(N29980="","",COUNTIFS(RawData[[Date ]],N29980,RawData[Month List],$Q$6,RawData[Tour/Site],$Q$2,RawData[[Picker ID ]],$Q$3,RawData[Checker ID],$Q$4,RawData[[Error Type ]],$Q$5))</f>
        <v/>
      </c>
    </row>
    <row r="29981" spans="15:15" x14ac:dyDescent="0.25">
      <c r="O29981" s="20" t="str">
        <f>IF(N29981="","",COUNTIFS(RawData[[Date ]],N29981,RawData[Month List],$Q$6,RawData[Tour/Site],$Q$2,RawData[[Picker ID ]],$Q$3,RawData[Checker ID],$Q$4,RawData[[Error Type ]],$Q$5))</f>
        <v/>
      </c>
    </row>
    <row r="29982" spans="15:15" x14ac:dyDescent="0.25">
      <c r="O29982" s="20" t="str">
        <f>IF(N29982="","",COUNTIFS(RawData[[Date ]],N29982,RawData[Month List],$Q$6,RawData[Tour/Site],$Q$2,RawData[[Picker ID ]],$Q$3,RawData[Checker ID],$Q$4,RawData[[Error Type ]],$Q$5))</f>
        <v/>
      </c>
    </row>
    <row r="29983" spans="15:15" x14ac:dyDescent="0.25">
      <c r="O29983" s="20" t="str">
        <f>IF(N29983="","",COUNTIFS(RawData[[Date ]],N29983,RawData[Month List],$Q$6,RawData[Tour/Site],$Q$2,RawData[[Picker ID ]],$Q$3,RawData[Checker ID],$Q$4,RawData[[Error Type ]],$Q$5))</f>
        <v/>
      </c>
    </row>
    <row r="29984" spans="15:15" x14ac:dyDescent="0.25">
      <c r="O29984" s="20" t="str">
        <f>IF(N29984="","",COUNTIFS(RawData[[Date ]],N29984,RawData[Month List],$Q$6,RawData[Tour/Site],$Q$2,RawData[[Picker ID ]],$Q$3,RawData[Checker ID],$Q$4,RawData[[Error Type ]],$Q$5))</f>
        <v/>
      </c>
    </row>
    <row r="29985" spans="15:15" x14ac:dyDescent="0.25">
      <c r="O29985" s="20" t="str">
        <f>IF(N29985="","",COUNTIFS(RawData[[Date ]],N29985,RawData[Month List],$Q$6,RawData[Tour/Site],$Q$2,RawData[[Picker ID ]],$Q$3,RawData[Checker ID],$Q$4,RawData[[Error Type ]],$Q$5))</f>
        <v/>
      </c>
    </row>
    <row r="29986" spans="15:15" x14ac:dyDescent="0.25">
      <c r="O29986" s="20" t="str">
        <f>IF(N29986="","",COUNTIFS(RawData[[Date ]],N29986,RawData[Month List],$Q$6,RawData[Tour/Site],$Q$2,RawData[[Picker ID ]],$Q$3,RawData[Checker ID],$Q$4,RawData[[Error Type ]],$Q$5))</f>
        <v/>
      </c>
    </row>
    <row r="29987" spans="15:15" x14ac:dyDescent="0.25">
      <c r="O29987" s="20" t="str">
        <f>IF(N29987="","",COUNTIFS(RawData[[Date ]],N29987,RawData[Month List],$Q$6,RawData[Tour/Site],$Q$2,RawData[[Picker ID ]],$Q$3,RawData[Checker ID],$Q$4,RawData[[Error Type ]],$Q$5))</f>
        <v/>
      </c>
    </row>
    <row r="29988" spans="15:15" x14ac:dyDescent="0.25">
      <c r="O29988" s="20" t="str">
        <f>IF(N29988="","",COUNTIFS(RawData[[Date ]],N29988,RawData[Month List],$Q$6,RawData[Tour/Site],$Q$2,RawData[[Picker ID ]],$Q$3,RawData[Checker ID],$Q$4,RawData[[Error Type ]],$Q$5))</f>
        <v/>
      </c>
    </row>
    <row r="29989" spans="15:15" x14ac:dyDescent="0.25">
      <c r="O29989" s="20" t="str">
        <f>IF(N29989="","",COUNTIFS(RawData[[Date ]],N29989,RawData[Month List],$Q$6,RawData[Tour/Site],$Q$2,RawData[[Picker ID ]],$Q$3,RawData[Checker ID],$Q$4,RawData[[Error Type ]],$Q$5))</f>
        <v/>
      </c>
    </row>
    <row r="29990" spans="15:15" x14ac:dyDescent="0.25">
      <c r="O29990" s="20" t="str">
        <f>IF(N29990="","",COUNTIFS(RawData[[Date ]],N29990,RawData[Month List],$Q$6,RawData[Tour/Site],$Q$2,RawData[[Picker ID ]],$Q$3,RawData[Checker ID],$Q$4,RawData[[Error Type ]],$Q$5))</f>
        <v/>
      </c>
    </row>
    <row r="29991" spans="15:15" x14ac:dyDescent="0.25">
      <c r="O29991" s="20" t="str">
        <f>IF(N29991="","",COUNTIFS(RawData[[Date ]],N29991,RawData[Month List],$Q$6,RawData[Tour/Site],$Q$2,RawData[[Picker ID ]],$Q$3,RawData[Checker ID],$Q$4,RawData[[Error Type ]],$Q$5))</f>
        <v/>
      </c>
    </row>
    <row r="29992" spans="15:15" x14ac:dyDescent="0.25">
      <c r="O29992" s="20" t="str">
        <f>IF(N29992="","",COUNTIFS(RawData[[Date ]],N29992,RawData[Month List],$Q$6,RawData[Tour/Site],$Q$2,RawData[[Picker ID ]],$Q$3,RawData[Checker ID],$Q$4,RawData[[Error Type ]],$Q$5))</f>
        <v/>
      </c>
    </row>
    <row r="29993" spans="15:15" x14ac:dyDescent="0.25">
      <c r="O29993" s="20" t="str">
        <f>IF(N29993="","",COUNTIFS(RawData[[Date ]],N29993,RawData[Month List],$Q$6,RawData[Tour/Site],$Q$2,RawData[[Picker ID ]],$Q$3,RawData[Checker ID],$Q$4,RawData[[Error Type ]],$Q$5))</f>
        <v/>
      </c>
    </row>
    <row r="29994" spans="15:15" x14ac:dyDescent="0.25">
      <c r="O29994" s="20" t="str">
        <f>IF(N29994="","",COUNTIFS(RawData[[Date ]],N29994,RawData[Month List],$Q$6,RawData[Tour/Site],$Q$2,RawData[[Picker ID ]],$Q$3,RawData[Checker ID],$Q$4,RawData[[Error Type ]],$Q$5))</f>
        <v/>
      </c>
    </row>
    <row r="29995" spans="15:15" x14ac:dyDescent="0.25">
      <c r="O29995" s="20" t="str">
        <f>IF(N29995="","",COUNTIFS(RawData[[Date ]],N29995,RawData[Month List],$Q$6,RawData[Tour/Site],$Q$2,RawData[[Picker ID ]],$Q$3,RawData[Checker ID],$Q$4,RawData[[Error Type ]],$Q$5))</f>
        <v/>
      </c>
    </row>
    <row r="29996" spans="15:15" x14ac:dyDescent="0.25">
      <c r="O29996" s="20" t="str">
        <f>IF(N29996="","",COUNTIFS(RawData[[Date ]],N29996,RawData[Month List],$Q$6,RawData[Tour/Site],$Q$2,RawData[[Picker ID ]],$Q$3,RawData[Checker ID],$Q$4,RawData[[Error Type ]],$Q$5))</f>
        <v/>
      </c>
    </row>
    <row r="29997" spans="15:15" x14ac:dyDescent="0.25">
      <c r="O29997" s="20" t="str">
        <f>IF(N29997="","",COUNTIFS(RawData[[Date ]],N29997,RawData[Month List],$Q$6,RawData[Tour/Site],$Q$2,RawData[[Picker ID ]],$Q$3,RawData[Checker ID],$Q$4,RawData[[Error Type ]],$Q$5))</f>
        <v/>
      </c>
    </row>
    <row r="29998" spans="15:15" x14ac:dyDescent="0.25">
      <c r="O29998" s="20" t="str">
        <f>IF(N29998="","",COUNTIFS(RawData[[Date ]],N29998,RawData[Month List],$Q$6,RawData[Tour/Site],$Q$2,RawData[[Picker ID ]],$Q$3,RawData[Checker ID],$Q$4,RawData[[Error Type ]],$Q$5))</f>
        <v/>
      </c>
    </row>
    <row r="29999" spans="15:15" x14ac:dyDescent="0.25">
      <c r="O29999" s="20" t="str">
        <f>IF(N29999="","",COUNTIFS(RawData[[Date ]],N29999,RawData[Month List],$Q$6,RawData[Tour/Site],$Q$2,RawData[[Picker ID ]],$Q$3,RawData[Checker ID],$Q$4,RawData[[Error Type ]],$Q$5))</f>
        <v/>
      </c>
    </row>
    <row r="30000" spans="15:15" x14ac:dyDescent="0.25">
      <c r="O30000" s="20" t="str">
        <f>IF(N30000="","",COUNTIFS(RawData[[Date ]],N30000,RawData[Month List],$Q$6,RawData[Tour/Site],$Q$2,RawData[[Picker ID ]],$Q$3,RawData[Checker ID],$Q$4,RawData[[Error Type ]],$Q$5))</f>
        <v/>
      </c>
    </row>
    <row r="30001" spans="15:15" x14ac:dyDescent="0.25">
      <c r="O30001" s="20" t="str">
        <f>IF(N30001="","",COUNTIFS(RawData[[Date ]],N30001,RawData[Month List],$Q$6,RawData[Tour/Site],$Q$2,RawData[[Picker ID ]],$Q$3,RawData[Checker ID],$Q$4,RawData[[Error Type ]],$Q$5))</f>
        <v/>
      </c>
    </row>
    <row r="30002" spans="15:15" x14ac:dyDescent="0.25">
      <c r="O30002" s="20" t="str">
        <f>IF(N30002="","",COUNTIFS(RawData[[Date ]],N30002,RawData[Month List],$Q$6,RawData[Tour/Site],$Q$2,RawData[[Picker ID ]],$Q$3,RawData[Checker ID],$Q$4,RawData[[Error Type ]],$Q$5))</f>
        <v/>
      </c>
    </row>
    <row r="30003" spans="15:15" x14ac:dyDescent="0.25">
      <c r="O30003" s="20" t="str">
        <f>IF(N30003="","",COUNTIFS(RawData[[Date ]],N30003,RawData[Month List],$Q$6,RawData[Tour/Site],$Q$2,RawData[[Picker ID ]],$Q$3,RawData[Checker ID],$Q$4,RawData[[Error Type ]],$Q$5))</f>
        <v/>
      </c>
    </row>
    <row r="30004" spans="15:15" x14ac:dyDescent="0.25">
      <c r="O30004" s="20" t="str">
        <f>IF(N30004="","",COUNTIFS(RawData[[Date ]],N30004,RawData[Month List],$Q$6,RawData[Tour/Site],$Q$2,RawData[[Picker ID ]],$Q$3,RawData[Checker ID],$Q$4,RawData[[Error Type ]],$Q$5))</f>
        <v/>
      </c>
    </row>
    <row r="30005" spans="15:15" x14ac:dyDescent="0.25">
      <c r="O30005" s="20" t="str">
        <f>IF(N30005="","",COUNTIFS(RawData[[Date ]],N30005,RawData[Month List],$Q$6,RawData[Tour/Site],$Q$2,RawData[[Picker ID ]],$Q$3,RawData[Checker ID],$Q$4,RawData[[Error Type ]],$Q$5))</f>
        <v/>
      </c>
    </row>
    <row r="30006" spans="15:15" x14ac:dyDescent="0.25">
      <c r="O30006" s="20" t="str">
        <f>IF(N30006="","",COUNTIFS(RawData[[Date ]],N30006,RawData[Month List],$Q$6,RawData[Tour/Site],$Q$2,RawData[[Picker ID ]],$Q$3,RawData[Checker ID],$Q$4,RawData[[Error Type ]],$Q$5))</f>
        <v/>
      </c>
    </row>
    <row r="30007" spans="15:15" x14ac:dyDescent="0.25">
      <c r="O30007" s="20" t="str">
        <f>IF(N30007="","",COUNTIFS(RawData[[Date ]],N30007,RawData[Month List],$Q$6,RawData[Tour/Site],$Q$2,RawData[[Picker ID ]],$Q$3,RawData[Checker ID],$Q$4,RawData[[Error Type ]],$Q$5))</f>
        <v/>
      </c>
    </row>
    <row r="30008" spans="15:15" x14ac:dyDescent="0.25">
      <c r="O30008" s="20" t="str">
        <f>IF(N30008="","",COUNTIFS(RawData[[Date ]],N30008,RawData[Month List],$Q$6,RawData[Tour/Site],$Q$2,RawData[[Picker ID ]],$Q$3,RawData[Checker ID],$Q$4,RawData[[Error Type ]],$Q$5))</f>
        <v/>
      </c>
    </row>
    <row r="30009" spans="15:15" x14ac:dyDescent="0.25">
      <c r="O30009" s="20" t="str">
        <f>IF(N30009="","",COUNTIFS(RawData[[Date ]],N30009,RawData[Month List],$Q$6,RawData[Tour/Site],$Q$2,RawData[[Picker ID ]],$Q$3,RawData[Checker ID],$Q$4,RawData[[Error Type ]],$Q$5))</f>
        <v/>
      </c>
    </row>
    <row r="30010" spans="15:15" x14ac:dyDescent="0.25">
      <c r="O30010" s="20" t="str">
        <f>IF(N30010="","",COUNTIFS(RawData[[Date ]],N30010,RawData[Month List],$Q$6,RawData[Tour/Site],$Q$2,RawData[[Picker ID ]],$Q$3,RawData[Checker ID],$Q$4,RawData[[Error Type ]],$Q$5))</f>
        <v/>
      </c>
    </row>
    <row r="30011" spans="15:15" x14ac:dyDescent="0.25">
      <c r="O30011" s="20" t="str">
        <f>IF(N30011="","",COUNTIFS(RawData[[Date ]],N30011,RawData[Month List],$Q$6,RawData[Tour/Site],$Q$2,RawData[[Picker ID ]],$Q$3,RawData[Checker ID],$Q$4,RawData[[Error Type ]],$Q$5))</f>
        <v/>
      </c>
    </row>
    <row r="30012" spans="15:15" x14ac:dyDescent="0.25">
      <c r="O30012" s="20" t="str">
        <f>IF(N30012="","",COUNTIFS(RawData[[Date ]],N30012,RawData[Month List],$Q$6,RawData[Tour/Site],$Q$2,RawData[[Picker ID ]],$Q$3,RawData[Checker ID],$Q$4,RawData[[Error Type ]],$Q$5))</f>
        <v/>
      </c>
    </row>
    <row r="30013" spans="15:15" x14ac:dyDescent="0.25">
      <c r="O30013" s="20" t="str">
        <f>IF(N30013="","",COUNTIFS(RawData[[Date ]],N30013,RawData[Month List],$Q$6,RawData[Tour/Site],$Q$2,RawData[[Picker ID ]],$Q$3,RawData[Checker ID],$Q$4,RawData[[Error Type ]],$Q$5))</f>
        <v/>
      </c>
    </row>
    <row r="30014" spans="15:15" x14ac:dyDescent="0.25">
      <c r="O30014" s="20" t="str">
        <f>IF(N30014="","",COUNTIFS(RawData[[Date ]],N30014,RawData[Month List],$Q$6,RawData[Tour/Site],$Q$2,RawData[[Picker ID ]],$Q$3,RawData[Checker ID],$Q$4,RawData[[Error Type ]],$Q$5))</f>
        <v/>
      </c>
    </row>
    <row r="30015" spans="15:15" x14ac:dyDescent="0.25">
      <c r="O30015" s="20" t="str">
        <f>IF(N30015="","",COUNTIFS(RawData[[Date ]],N30015,RawData[Month List],$Q$6,RawData[Tour/Site],$Q$2,RawData[[Picker ID ]],$Q$3,RawData[Checker ID],$Q$4,RawData[[Error Type ]],$Q$5))</f>
        <v/>
      </c>
    </row>
    <row r="30016" spans="15:15" x14ac:dyDescent="0.25">
      <c r="O30016" s="20" t="str">
        <f>IF(N30016="","",COUNTIFS(RawData[[Date ]],N30016,RawData[Month List],$Q$6,RawData[Tour/Site],$Q$2,RawData[[Picker ID ]],$Q$3,RawData[Checker ID],$Q$4,RawData[[Error Type ]],$Q$5))</f>
        <v/>
      </c>
    </row>
    <row r="30017" spans="15:15" x14ac:dyDescent="0.25">
      <c r="O30017" s="20" t="str">
        <f>IF(N30017="","",COUNTIFS(RawData[[Date ]],N30017,RawData[Month List],$Q$6,RawData[Tour/Site],$Q$2,RawData[[Picker ID ]],$Q$3,RawData[Checker ID],$Q$4,RawData[[Error Type ]],$Q$5))</f>
        <v/>
      </c>
    </row>
    <row r="30018" spans="15:15" x14ac:dyDescent="0.25">
      <c r="O30018" s="20" t="str">
        <f>IF(N30018="","",COUNTIFS(RawData[[Date ]],N30018,RawData[Month List],$Q$6,RawData[Tour/Site],$Q$2,RawData[[Picker ID ]],$Q$3,RawData[Checker ID],$Q$4,RawData[[Error Type ]],$Q$5))</f>
        <v/>
      </c>
    </row>
    <row r="30019" spans="15:15" x14ac:dyDescent="0.25">
      <c r="O30019" s="20" t="str">
        <f>IF(N30019="","",COUNTIFS(RawData[[Date ]],N30019,RawData[Month List],$Q$6,RawData[Tour/Site],$Q$2,RawData[[Picker ID ]],$Q$3,RawData[Checker ID],$Q$4,RawData[[Error Type ]],$Q$5))</f>
        <v/>
      </c>
    </row>
    <row r="30020" spans="15:15" x14ac:dyDescent="0.25">
      <c r="O30020" s="20" t="str">
        <f>IF(N30020="","",COUNTIFS(RawData[[Date ]],N30020,RawData[Month List],$Q$6,RawData[Tour/Site],$Q$2,RawData[[Picker ID ]],$Q$3,RawData[Checker ID],$Q$4,RawData[[Error Type ]],$Q$5))</f>
        <v/>
      </c>
    </row>
    <row r="30021" spans="15:15" x14ac:dyDescent="0.25">
      <c r="O30021" s="20" t="str">
        <f>IF(N30021="","",COUNTIFS(RawData[[Date ]],N30021,RawData[Month List],$Q$6,RawData[Tour/Site],$Q$2,RawData[[Picker ID ]],$Q$3,RawData[Checker ID],$Q$4,RawData[[Error Type ]],$Q$5))</f>
        <v/>
      </c>
    </row>
    <row r="30022" spans="15:15" x14ac:dyDescent="0.25">
      <c r="O30022" s="20" t="str">
        <f>IF(N30022="","",COUNTIFS(RawData[[Date ]],N30022,RawData[Month List],$Q$6,RawData[Tour/Site],$Q$2,RawData[[Picker ID ]],$Q$3,RawData[Checker ID],$Q$4,RawData[[Error Type ]],$Q$5))</f>
        <v/>
      </c>
    </row>
    <row r="30023" spans="15:15" x14ac:dyDescent="0.25">
      <c r="O30023" s="20" t="str">
        <f>IF(N30023="","",COUNTIFS(RawData[[Date ]],N30023,RawData[Month List],$Q$6,RawData[Tour/Site],$Q$2,RawData[[Picker ID ]],$Q$3,RawData[Checker ID],$Q$4,RawData[[Error Type ]],$Q$5))</f>
        <v/>
      </c>
    </row>
    <row r="30024" spans="15:15" x14ac:dyDescent="0.25">
      <c r="O30024" s="20" t="str">
        <f>IF(N30024="","",COUNTIFS(RawData[[Date ]],N30024,RawData[Month List],$Q$6,RawData[Tour/Site],$Q$2,RawData[[Picker ID ]],$Q$3,RawData[Checker ID],$Q$4,RawData[[Error Type ]],$Q$5))</f>
        <v/>
      </c>
    </row>
    <row r="30025" spans="15:15" x14ac:dyDescent="0.25">
      <c r="O30025" s="20" t="str">
        <f>IF(N30025="","",COUNTIFS(RawData[[Date ]],N30025,RawData[Month List],$Q$6,RawData[Tour/Site],$Q$2,RawData[[Picker ID ]],$Q$3,RawData[Checker ID],$Q$4,RawData[[Error Type ]],$Q$5))</f>
        <v/>
      </c>
    </row>
    <row r="30026" spans="15:15" x14ac:dyDescent="0.25">
      <c r="O30026" s="20" t="str">
        <f>IF(N30026="","",COUNTIFS(RawData[[Date ]],N30026,RawData[Month List],$Q$6,RawData[Tour/Site],$Q$2,RawData[[Picker ID ]],$Q$3,RawData[Checker ID],$Q$4,RawData[[Error Type ]],$Q$5))</f>
        <v/>
      </c>
    </row>
    <row r="30027" spans="15:15" x14ac:dyDescent="0.25">
      <c r="O30027" s="20" t="str">
        <f>IF(N30027="","",COUNTIFS(RawData[[Date ]],N30027,RawData[Month List],$Q$6,RawData[Tour/Site],$Q$2,RawData[[Picker ID ]],$Q$3,RawData[Checker ID],$Q$4,RawData[[Error Type ]],$Q$5))</f>
        <v/>
      </c>
    </row>
    <row r="30028" spans="15:15" x14ac:dyDescent="0.25">
      <c r="O30028" s="20" t="str">
        <f>IF(N30028="","",COUNTIFS(RawData[[Date ]],N30028,RawData[Month List],$Q$6,RawData[Tour/Site],$Q$2,RawData[[Picker ID ]],$Q$3,RawData[Checker ID],$Q$4,RawData[[Error Type ]],$Q$5))</f>
        <v/>
      </c>
    </row>
    <row r="30029" spans="15:15" x14ac:dyDescent="0.25">
      <c r="O30029" s="20" t="str">
        <f>IF(N30029="","",COUNTIFS(RawData[[Date ]],N30029,RawData[Month List],$Q$6,RawData[Tour/Site],$Q$2,RawData[[Picker ID ]],$Q$3,RawData[Checker ID],$Q$4,RawData[[Error Type ]],$Q$5))</f>
        <v/>
      </c>
    </row>
    <row r="30030" spans="15:15" x14ac:dyDescent="0.25">
      <c r="O30030" s="20" t="str">
        <f>IF(N30030="","",COUNTIFS(RawData[[Date ]],N30030,RawData[Month List],$Q$6,RawData[Tour/Site],$Q$2,RawData[[Picker ID ]],$Q$3,RawData[Checker ID],$Q$4,RawData[[Error Type ]],$Q$5))</f>
        <v/>
      </c>
    </row>
    <row r="30031" spans="15:15" x14ac:dyDescent="0.25">
      <c r="O30031" s="20" t="str">
        <f>IF(N30031="","",COUNTIFS(RawData[[Date ]],N30031,RawData[Month List],$Q$6,RawData[Tour/Site],$Q$2,RawData[[Picker ID ]],$Q$3,RawData[Checker ID],$Q$4,RawData[[Error Type ]],$Q$5))</f>
        <v/>
      </c>
    </row>
    <row r="30032" spans="15:15" x14ac:dyDescent="0.25">
      <c r="O30032" s="20" t="str">
        <f>IF(N30032="","",COUNTIFS(RawData[[Date ]],N30032,RawData[Month List],$Q$6,RawData[Tour/Site],$Q$2,RawData[[Picker ID ]],$Q$3,RawData[Checker ID],$Q$4,RawData[[Error Type ]],$Q$5))</f>
        <v/>
      </c>
    </row>
    <row r="30033" spans="15:15" x14ac:dyDescent="0.25">
      <c r="O30033" s="20" t="str">
        <f>IF(N30033="","",COUNTIFS(RawData[[Date ]],N30033,RawData[Month List],$Q$6,RawData[Tour/Site],$Q$2,RawData[[Picker ID ]],$Q$3,RawData[Checker ID],$Q$4,RawData[[Error Type ]],$Q$5))</f>
        <v/>
      </c>
    </row>
    <row r="30034" spans="15:15" x14ac:dyDescent="0.25">
      <c r="O30034" s="20" t="str">
        <f>IF(N30034="","",COUNTIFS(RawData[[Date ]],N30034,RawData[Month List],$Q$6,RawData[Tour/Site],$Q$2,RawData[[Picker ID ]],$Q$3,RawData[Checker ID],$Q$4,RawData[[Error Type ]],$Q$5))</f>
        <v/>
      </c>
    </row>
    <row r="30035" spans="15:15" x14ac:dyDescent="0.25">
      <c r="O30035" s="20" t="str">
        <f>IF(N30035="","",COUNTIFS(RawData[[Date ]],N30035,RawData[Month List],$Q$6,RawData[Tour/Site],$Q$2,RawData[[Picker ID ]],$Q$3,RawData[Checker ID],$Q$4,RawData[[Error Type ]],$Q$5))</f>
        <v/>
      </c>
    </row>
    <row r="30036" spans="15:15" x14ac:dyDescent="0.25">
      <c r="O30036" s="20" t="str">
        <f>IF(N30036="","",COUNTIFS(RawData[[Date ]],N30036,RawData[Month List],$Q$6,RawData[Tour/Site],$Q$2,RawData[[Picker ID ]],$Q$3,RawData[Checker ID],$Q$4,RawData[[Error Type ]],$Q$5))</f>
        <v/>
      </c>
    </row>
    <row r="30037" spans="15:15" x14ac:dyDescent="0.25">
      <c r="O30037" s="20" t="str">
        <f>IF(N30037="","",COUNTIFS(RawData[[Date ]],N30037,RawData[Month List],$Q$6,RawData[Tour/Site],$Q$2,RawData[[Picker ID ]],$Q$3,RawData[Checker ID],$Q$4,RawData[[Error Type ]],$Q$5))</f>
        <v/>
      </c>
    </row>
    <row r="30038" spans="15:15" x14ac:dyDescent="0.25">
      <c r="O30038" s="20" t="str">
        <f>IF(N30038="","",COUNTIFS(RawData[[Date ]],N30038,RawData[Month List],$Q$6,RawData[Tour/Site],$Q$2,RawData[[Picker ID ]],$Q$3,RawData[Checker ID],$Q$4,RawData[[Error Type ]],$Q$5))</f>
        <v/>
      </c>
    </row>
    <row r="30039" spans="15:15" x14ac:dyDescent="0.25">
      <c r="O30039" s="20" t="str">
        <f>IF(N30039="","",COUNTIFS(RawData[[Date ]],N30039,RawData[Month List],$Q$6,RawData[Tour/Site],$Q$2,RawData[[Picker ID ]],$Q$3,RawData[Checker ID],$Q$4,RawData[[Error Type ]],$Q$5))</f>
        <v/>
      </c>
    </row>
    <row r="30040" spans="15:15" x14ac:dyDescent="0.25">
      <c r="O30040" s="20" t="str">
        <f>IF(N30040="","",COUNTIFS(RawData[[Date ]],N30040,RawData[Month List],$Q$6,RawData[Tour/Site],$Q$2,RawData[[Picker ID ]],$Q$3,RawData[Checker ID],$Q$4,RawData[[Error Type ]],$Q$5))</f>
        <v/>
      </c>
    </row>
    <row r="30041" spans="15:15" x14ac:dyDescent="0.25">
      <c r="O30041" s="20" t="str">
        <f>IF(N30041="","",COUNTIFS(RawData[[Date ]],N30041,RawData[Month List],$Q$6,RawData[Tour/Site],$Q$2,RawData[[Picker ID ]],$Q$3,RawData[Checker ID],$Q$4,RawData[[Error Type ]],$Q$5))</f>
        <v/>
      </c>
    </row>
    <row r="30042" spans="15:15" x14ac:dyDescent="0.25">
      <c r="O30042" s="20" t="str">
        <f>IF(N30042="","",COUNTIFS(RawData[[Date ]],N30042,RawData[Month List],$Q$6,RawData[Tour/Site],$Q$2,RawData[[Picker ID ]],$Q$3,RawData[Checker ID],$Q$4,RawData[[Error Type ]],$Q$5))</f>
        <v/>
      </c>
    </row>
    <row r="30043" spans="15:15" x14ac:dyDescent="0.25">
      <c r="O30043" s="20" t="str">
        <f>IF(N30043="","",COUNTIFS(RawData[[Date ]],N30043,RawData[Month List],$Q$6,RawData[Tour/Site],$Q$2,RawData[[Picker ID ]],$Q$3,RawData[Checker ID],$Q$4,RawData[[Error Type ]],$Q$5))</f>
        <v/>
      </c>
    </row>
    <row r="30044" spans="15:15" x14ac:dyDescent="0.25">
      <c r="O30044" s="20" t="str">
        <f>IF(N30044="","",COUNTIFS(RawData[[Date ]],N30044,RawData[Month List],$Q$6,RawData[Tour/Site],$Q$2,RawData[[Picker ID ]],$Q$3,RawData[Checker ID],$Q$4,RawData[[Error Type ]],$Q$5))</f>
        <v/>
      </c>
    </row>
    <row r="30045" spans="15:15" x14ac:dyDescent="0.25">
      <c r="O30045" s="20" t="str">
        <f>IF(N30045="","",COUNTIFS(RawData[[Date ]],N30045,RawData[Month List],$Q$6,RawData[Tour/Site],$Q$2,RawData[[Picker ID ]],$Q$3,RawData[Checker ID],$Q$4,RawData[[Error Type ]],$Q$5))</f>
        <v/>
      </c>
    </row>
    <row r="30046" spans="15:15" x14ac:dyDescent="0.25">
      <c r="O30046" s="20" t="str">
        <f>IF(N30046="","",COUNTIFS(RawData[[Date ]],N30046,RawData[Month List],$Q$6,RawData[Tour/Site],$Q$2,RawData[[Picker ID ]],$Q$3,RawData[Checker ID],$Q$4,RawData[[Error Type ]],$Q$5))</f>
        <v/>
      </c>
    </row>
    <row r="30047" spans="15:15" x14ac:dyDescent="0.25">
      <c r="O30047" s="20" t="str">
        <f>IF(N30047="","",COUNTIFS(RawData[[Date ]],N30047,RawData[Month List],$Q$6,RawData[Tour/Site],$Q$2,RawData[[Picker ID ]],$Q$3,RawData[Checker ID],$Q$4,RawData[[Error Type ]],$Q$5))</f>
        <v/>
      </c>
    </row>
    <row r="30048" spans="15:15" x14ac:dyDescent="0.25">
      <c r="O30048" s="20" t="str">
        <f>IF(N30048="","",COUNTIFS(RawData[[Date ]],N30048,RawData[Month List],$Q$6,RawData[Tour/Site],$Q$2,RawData[[Picker ID ]],$Q$3,RawData[Checker ID],$Q$4,RawData[[Error Type ]],$Q$5))</f>
        <v/>
      </c>
    </row>
    <row r="30049" spans="15:15" x14ac:dyDescent="0.25">
      <c r="O30049" s="20" t="str">
        <f>IF(N30049="","",COUNTIFS(RawData[[Date ]],N30049,RawData[Month List],$Q$6,RawData[Tour/Site],$Q$2,RawData[[Picker ID ]],$Q$3,RawData[Checker ID],$Q$4,RawData[[Error Type ]],$Q$5))</f>
        <v/>
      </c>
    </row>
    <row r="30050" spans="15:15" x14ac:dyDescent="0.25">
      <c r="O30050" s="20" t="str">
        <f>IF(N30050="","",COUNTIFS(RawData[[Date ]],N30050,RawData[Month List],$Q$6,RawData[Tour/Site],$Q$2,RawData[[Picker ID ]],$Q$3,RawData[Checker ID],$Q$4,RawData[[Error Type ]],$Q$5))</f>
        <v/>
      </c>
    </row>
    <row r="30051" spans="15:15" x14ac:dyDescent="0.25">
      <c r="O30051" s="20" t="str">
        <f>IF(N30051="","",COUNTIFS(RawData[[Date ]],N30051,RawData[Month List],$Q$6,RawData[Tour/Site],$Q$2,RawData[[Picker ID ]],$Q$3,RawData[Checker ID],$Q$4,RawData[[Error Type ]],$Q$5))</f>
        <v/>
      </c>
    </row>
    <row r="30052" spans="15:15" x14ac:dyDescent="0.25">
      <c r="O30052" s="20" t="str">
        <f>IF(N30052="","",COUNTIFS(RawData[[Date ]],N30052,RawData[Month List],$Q$6,RawData[Tour/Site],$Q$2,RawData[[Picker ID ]],$Q$3,RawData[Checker ID],$Q$4,RawData[[Error Type ]],$Q$5))</f>
        <v/>
      </c>
    </row>
    <row r="30053" spans="15:15" x14ac:dyDescent="0.25">
      <c r="O30053" s="20" t="str">
        <f>IF(N30053="","",COUNTIFS(RawData[[Date ]],N30053,RawData[Month List],$Q$6,RawData[Tour/Site],$Q$2,RawData[[Picker ID ]],$Q$3,RawData[Checker ID],$Q$4,RawData[[Error Type ]],$Q$5))</f>
        <v/>
      </c>
    </row>
    <row r="30054" spans="15:15" x14ac:dyDescent="0.25">
      <c r="O30054" s="20" t="str">
        <f>IF(N30054="","",COUNTIFS(RawData[[Date ]],N30054,RawData[Month List],$Q$6,RawData[Tour/Site],$Q$2,RawData[[Picker ID ]],$Q$3,RawData[Checker ID],$Q$4,RawData[[Error Type ]],$Q$5))</f>
        <v/>
      </c>
    </row>
    <row r="30055" spans="15:15" x14ac:dyDescent="0.25">
      <c r="O30055" s="20" t="str">
        <f>IF(N30055="","",COUNTIFS(RawData[[Date ]],N30055,RawData[Month List],$Q$6,RawData[Tour/Site],$Q$2,RawData[[Picker ID ]],$Q$3,RawData[Checker ID],$Q$4,RawData[[Error Type ]],$Q$5))</f>
        <v/>
      </c>
    </row>
    <row r="30056" spans="15:15" x14ac:dyDescent="0.25">
      <c r="O30056" s="20" t="str">
        <f>IF(N30056="","",COUNTIFS(RawData[[Date ]],N30056,RawData[Month List],$Q$6,RawData[Tour/Site],$Q$2,RawData[[Picker ID ]],$Q$3,RawData[Checker ID],$Q$4,RawData[[Error Type ]],$Q$5))</f>
        <v/>
      </c>
    </row>
    <row r="30057" spans="15:15" x14ac:dyDescent="0.25">
      <c r="O30057" s="20" t="str">
        <f>IF(N30057="","",COUNTIFS(RawData[[Date ]],N30057,RawData[Month List],$Q$6,RawData[Tour/Site],$Q$2,RawData[[Picker ID ]],$Q$3,RawData[Checker ID],$Q$4,RawData[[Error Type ]],$Q$5))</f>
        <v/>
      </c>
    </row>
    <row r="30058" spans="15:15" x14ac:dyDescent="0.25">
      <c r="O30058" s="20" t="str">
        <f>IF(N30058="","",COUNTIFS(RawData[[Date ]],N30058,RawData[Month List],$Q$6,RawData[Tour/Site],$Q$2,RawData[[Picker ID ]],$Q$3,RawData[Checker ID],$Q$4,RawData[[Error Type ]],$Q$5))</f>
        <v/>
      </c>
    </row>
    <row r="30059" spans="15:15" x14ac:dyDescent="0.25">
      <c r="O30059" s="20" t="str">
        <f>IF(N30059="","",COUNTIFS(RawData[[Date ]],N30059,RawData[Month List],$Q$6,RawData[Tour/Site],$Q$2,RawData[[Picker ID ]],$Q$3,RawData[Checker ID],$Q$4,RawData[[Error Type ]],$Q$5))</f>
        <v/>
      </c>
    </row>
    <row r="30060" spans="15:15" x14ac:dyDescent="0.25">
      <c r="O30060" s="20" t="str">
        <f>IF(N30060="","",COUNTIFS(RawData[[Date ]],N30060,RawData[Month List],$Q$6,RawData[Tour/Site],$Q$2,RawData[[Picker ID ]],$Q$3,RawData[Checker ID],$Q$4,RawData[[Error Type ]],$Q$5))</f>
        <v/>
      </c>
    </row>
    <row r="30061" spans="15:15" x14ac:dyDescent="0.25">
      <c r="O30061" s="20" t="str">
        <f>IF(N30061="","",COUNTIFS(RawData[[Date ]],N30061,RawData[Month List],$Q$6,RawData[Tour/Site],$Q$2,RawData[[Picker ID ]],$Q$3,RawData[Checker ID],$Q$4,RawData[[Error Type ]],$Q$5))</f>
        <v/>
      </c>
    </row>
    <row r="30062" spans="15:15" x14ac:dyDescent="0.25">
      <c r="O30062" s="20" t="str">
        <f>IF(N30062="","",COUNTIFS(RawData[[Date ]],N30062,RawData[Month List],$Q$6,RawData[Tour/Site],$Q$2,RawData[[Picker ID ]],$Q$3,RawData[Checker ID],$Q$4,RawData[[Error Type ]],$Q$5))</f>
        <v/>
      </c>
    </row>
    <row r="30063" spans="15:15" x14ac:dyDescent="0.25">
      <c r="O30063" s="20" t="str">
        <f>IF(N30063="","",COUNTIFS(RawData[[Date ]],N30063,RawData[Month List],$Q$6,RawData[Tour/Site],$Q$2,RawData[[Picker ID ]],$Q$3,RawData[Checker ID],$Q$4,RawData[[Error Type ]],$Q$5))</f>
        <v/>
      </c>
    </row>
    <row r="30064" spans="15:15" x14ac:dyDescent="0.25">
      <c r="O30064" s="20" t="str">
        <f>IF(N30064="","",COUNTIFS(RawData[[Date ]],N30064,RawData[Month List],$Q$6,RawData[Tour/Site],$Q$2,RawData[[Picker ID ]],$Q$3,RawData[Checker ID],$Q$4,RawData[[Error Type ]],$Q$5))</f>
        <v/>
      </c>
    </row>
    <row r="30065" spans="15:15" x14ac:dyDescent="0.25">
      <c r="O30065" s="20" t="str">
        <f>IF(N30065="","",COUNTIFS(RawData[[Date ]],N30065,RawData[Month List],$Q$6,RawData[Tour/Site],$Q$2,RawData[[Picker ID ]],$Q$3,RawData[Checker ID],$Q$4,RawData[[Error Type ]],$Q$5))</f>
        <v/>
      </c>
    </row>
    <row r="30066" spans="15:15" x14ac:dyDescent="0.25">
      <c r="O30066" s="20" t="str">
        <f>IF(N30066="","",COUNTIFS(RawData[[Date ]],N30066,RawData[Month List],$Q$6,RawData[Tour/Site],$Q$2,RawData[[Picker ID ]],$Q$3,RawData[Checker ID],$Q$4,RawData[[Error Type ]],$Q$5))</f>
        <v/>
      </c>
    </row>
    <row r="30067" spans="15:15" x14ac:dyDescent="0.25">
      <c r="O30067" s="20" t="str">
        <f>IF(N30067="","",COUNTIFS(RawData[[Date ]],N30067,RawData[Month List],$Q$6,RawData[Tour/Site],$Q$2,RawData[[Picker ID ]],$Q$3,RawData[Checker ID],$Q$4,RawData[[Error Type ]],$Q$5))</f>
        <v/>
      </c>
    </row>
    <row r="30068" spans="15:15" x14ac:dyDescent="0.25">
      <c r="O30068" s="20" t="str">
        <f>IF(N30068="","",COUNTIFS(RawData[[Date ]],N30068,RawData[Month List],$Q$6,RawData[Tour/Site],$Q$2,RawData[[Picker ID ]],$Q$3,RawData[Checker ID],$Q$4,RawData[[Error Type ]],$Q$5))</f>
        <v/>
      </c>
    </row>
    <row r="30069" spans="15:15" x14ac:dyDescent="0.25">
      <c r="O30069" s="20" t="str">
        <f>IF(N30069="","",COUNTIFS(RawData[[Date ]],N30069,RawData[Month List],$Q$6,RawData[Tour/Site],$Q$2,RawData[[Picker ID ]],$Q$3,RawData[Checker ID],$Q$4,RawData[[Error Type ]],$Q$5))</f>
        <v/>
      </c>
    </row>
    <row r="30070" spans="15:15" x14ac:dyDescent="0.25">
      <c r="O30070" s="20" t="str">
        <f>IF(N30070="","",COUNTIFS(RawData[[Date ]],N30070,RawData[Month List],$Q$6,RawData[Tour/Site],$Q$2,RawData[[Picker ID ]],$Q$3,RawData[Checker ID],$Q$4,RawData[[Error Type ]],$Q$5))</f>
        <v/>
      </c>
    </row>
    <row r="30071" spans="15:15" x14ac:dyDescent="0.25">
      <c r="O30071" s="20" t="str">
        <f>IF(N30071="","",COUNTIFS(RawData[[Date ]],N30071,RawData[Month List],$Q$6,RawData[Tour/Site],$Q$2,RawData[[Picker ID ]],$Q$3,RawData[Checker ID],$Q$4,RawData[[Error Type ]],$Q$5))</f>
        <v/>
      </c>
    </row>
    <row r="30072" spans="15:15" x14ac:dyDescent="0.25">
      <c r="O30072" s="20" t="str">
        <f>IF(N30072="","",COUNTIFS(RawData[[Date ]],N30072,RawData[Month List],$Q$6,RawData[Tour/Site],$Q$2,RawData[[Picker ID ]],$Q$3,RawData[Checker ID],$Q$4,RawData[[Error Type ]],$Q$5))</f>
        <v/>
      </c>
    </row>
    <row r="30073" spans="15:15" x14ac:dyDescent="0.25">
      <c r="O30073" s="20" t="str">
        <f>IF(N30073="","",COUNTIFS(RawData[[Date ]],N30073,RawData[Month List],$Q$6,RawData[Tour/Site],$Q$2,RawData[[Picker ID ]],$Q$3,RawData[Checker ID],$Q$4,RawData[[Error Type ]],$Q$5))</f>
        <v/>
      </c>
    </row>
    <row r="30074" spans="15:15" x14ac:dyDescent="0.25">
      <c r="O30074" s="20" t="str">
        <f>IF(N30074="","",COUNTIFS(RawData[[Date ]],N30074,RawData[Month List],$Q$6,RawData[Tour/Site],$Q$2,RawData[[Picker ID ]],$Q$3,RawData[Checker ID],$Q$4,RawData[[Error Type ]],$Q$5))</f>
        <v/>
      </c>
    </row>
    <row r="30075" spans="15:15" x14ac:dyDescent="0.25">
      <c r="O30075" s="20" t="str">
        <f>IF(N30075="","",COUNTIFS(RawData[[Date ]],N30075,RawData[Month List],$Q$6,RawData[Tour/Site],$Q$2,RawData[[Picker ID ]],$Q$3,RawData[Checker ID],$Q$4,RawData[[Error Type ]],$Q$5))</f>
        <v/>
      </c>
    </row>
    <row r="30076" spans="15:15" x14ac:dyDescent="0.25">
      <c r="O30076" s="20" t="str">
        <f>IF(N30076="","",COUNTIFS(RawData[[Date ]],N30076,RawData[Month List],$Q$6,RawData[Tour/Site],$Q$2,RawData[[Picker ID ]],$Q$3,RawData[Checker ID],$Q$4,RawData[[Error Type ]],$Q$5))</f>
        <v/>
      </c>
    </row>
    <row r="30077" spans="15:15" x14ac:dyDescent="0.25">
      <c r="O30077" s="20" t="str">
        <f>IF(N30077="","",COUNTIFS(RawData[[Date ]],N30077,RawData[Month List],$Q$6,RawData[Tour/Site],$Q$2,RawData[[Picker ID ]],$Q$3,RawData[Checker ID],$Q$4,RawData[[Error Type ]],$Q$5))</f>
        <v/>
      </c>
    </row>
    <row r="30078" spans="15:15" x14ac:dyDescent="0.25">
      <c r="O30078" s="20" t="str">
        <f>IF(N30078="","",COUNTIFS(RawData[[Date ]],N30078,RawData[Month List],$Q$6,RawData[Tour/Site],$Q$2,RawData[[Picker ID ]],$Q$3,RawData[Checker ID],$Q$4,RawData[[Error Type ]],$Q$5))</f>
        <v/>
      </c>
    </row>
    <row r="30079" spans="15:15" x14ac:dyDescent="0.25">
      <c r="O30079" s="20" t="str">
        <f>IF(N30079="","",COUNTIFS(RawData[[Date ]],N30079,RawData[Month List],$Q$6,RawData[Tour/Site],$Q$2,RawData[[Picker ID ]],$Q$3,RawData[Checker ID],$Q$4,RawData[[Error Type ]],$Q$5))</f>
        <v/>
      </c>
    </row>
    <row r="30080" spans="15:15" x14ac:dyDescent="0.25">
      <c r="O30080" s="20" t="str">
        <f>IF(N30080="","",COUNTIFS(RawData[[Date ]],N30080,RawData[Month List],$Q$6,RawData[Tour/Site],$Q$2,RawData[[Picker ID ]],$Q$3,RawData[Checker ID],$Q$4,RawData[[Error Type ]],$Q$5))</f>
        <v/>
      </c>
    </row>
    <row r="30081" spans="15:15" x14ac:dyDescent="0.25">
      <c r="O30081" s="20" t="str">
        <f>IF(N30081="","",COUNTIFS(RawData[[Date ]],N30081,RawData[Month List],$Q$6,RawData[Tour/Site],$Q$2,RawData[[Picker ID ]],$Q$3,RawData[Checker ID],$Q$4,RawData[[Error Type ]],$Q$5))</f>
        <v/>
      </c>
    </row>
    <row r="30082" spans="15:15" x14ac:dyDescent="0.25">
      <c r="O30082" s="20" t="str">
        <f>IF(N30082="","",COUNTIFS(RawData[[Date ]],N30082,RawData[Month List],$Q$6,RawData[Tour/Site],$Q$2,RawData[[Picker ID ]],$Q$3,RawData[Checker ID],$Q$4,RawData[[Error Type ]],$Q$5))</f>
        <v/>
      </c>
    </row>
    <row r="30083" spans="15:15" x14ac:dyDescent="0.25">
      <c r="O30083" s="20" t="str">
        <f>IF(N30083="","",COUNTIFS(RawData[[Date ]],N30083,RawData[Month List],$Q$6,RawData[Tour/Site],$Q$2,RawData[[Picker ID ]],$Q$3,RawData[Checker ID],$Q$4,RawData[[Error Type ]],$Q$5))</f>
        <v/>
      </c>
    </row>
    <row r="30084" spans="15:15" x14ac:dyDescent="0.25">
      <c r="O30084" s="20" t="str">
        <f>IF(N30084="","",COUNTIFS(RawData[[Date ]],N30084,RawData[Month List],$Q$6,RawData[Tour/Site],$Q$2,RawData[[Picker ID ]],$Q$3,RawData[Checker ID],$Q$4,RawData[[Error Type ]],$Q$5))</f>
        <v/>
      </c>
    </row>
    <row r="30085" spans="15:15" x14ac:dyDescent="0.25">
      <c r="O30085" s="20" t="str">
        <f>IF(N30085="","",COUNTIFS(RawData[[Date ]],N30085,RawData[Month List],$Q$6,RawData[Tour/Site],$Q$2,RawData[[Picker ID ]],$Q$3,RawData[Checker ID],$Q$4,RawData[[Error Type ]],$Q$5))</f>
        <v/>
      </c>
    </row>
    <row r="30086" spans="15:15" x14ac:dyDescent="0.25">
      <c r="O30086" s="20" t="str">
        <f>IF(N30086="","",COUNTIFS(RawData[[Date ]],N30086,RawData[Month List],$Q$6,RawData[Tour/Site],$Q$2,RawData[[Picker ID ]],$Q$3,RawData[Checker ID],$Q$4,RawData[[Error Type ]],$Q$5))</f>
        <v/>
      </c>
    </row>
    <row r="30087" spans="15:15" x14ac:dyDescent="0.25">
      <c r="O30087" s="20" t="str">
        <f>IF(N30087="","",COUNTIFS(RawData[[Date ]],N30087,RawData[Month List],$Q$6,RawData[Tour/Site],$Q$2,RawData[[Picker ID ]],$Q$3,RawData[Checker ID],$Q$4,RawData[[Error Type ]],$Q$5))</f>
        <v/>
      </c>
    </row>
    <row r="30088" spans="15:15" x14ac:dyDescent="0.25">
      <c r="O30088" s="20" t="str">
        <f>IF(N30088="","",COUNTIFS(RawData[[Date ]],N30088,RawData[Month List],$Q$6,RawData[Tour/Site],$Q$2,RawData[[Picker ID ]],$Q$3,RawData[Checker ID],$Q$4,RawData[[Error Type ]],$Q$5))</f>
        <v/>
      </c>
    </row>
    <row r="30089" spans="15:15" x14ac:dyDescent="0.25">
      <c r="O30089" s="20" t="str">
        <f>IF(N30089="","",COUNTIFS(RawData[[Date ]],N30089,RawData[Month List],$Q$6,RawData[Tour/Site],$Q$2,RawData[[Picker ID ]],$Q$3,RawData[Checker ID],$Q$4,RawData[[Error Type ]],$Q$5))</f>
        <v/>
      </c>
    </row>
    <row r="30090" spans="15:15" x14ac:dyDescent="0.25">
      <c r="O30090" s="20" t="str">
        <f>IF(N30090="","",COUNTIFS(RawData[[Date ]],N30090,RawData[Month List],$Q$6,RawData[Tour/Site],$Q$2,RawData[[Picker ID ]],$Q$3,RawData[Checker ID],$Q$4,RawData[[Error Type ]],$Q$5))</f>
        <v/>
      </c>
    </row>
    <row r="30091" spans="15:15" x14ac:dyDescent="0.25">
      <c r="O30091" s="20" t="str">
        <f>IF(N30091="","",COUNTIFS(RawData[[Date ]],N30091,RawData[Month List],$Q$6,RawData[Tour/Site],$Q$2,RawData[[Picker ID ]],$Q$3,RawData[Checker ID],$Q$4,RawData[[Error Type ]],$Q$5))</f>
        <v/>
      </c>
    </row>
    <row r="30092" spans="15:15" x14ac:dyDescent="0.25">
      <c r="O30092" s="20" t="str">
        <f>IF(N30092="","",COUNTIFS(RawData[[Date ]],N30092,RawData[Month List],$Q$6,RawData[Tour/Site],$Q$2,RawData[[Picker ID ]],$Q$3,RawData[Checker ID],$Q$4,RawData[[Error Type ]],$Q$5))</f>
        <v/>
      </c>
    </row>
    <row r="30093" spans="15:15" x14ac:dyDescent="0.25">
      <c r="O30093" s="20" t="str">
        <f>IF(N30093="","",COUNTIFS(RawData[[Date ]],N30093,RawData[Month List],$Q$6,RawData[Tour/Site],$Q$2,RawData[[Picker ID ]],$Q$3,RawData[Checker ID],$Q$4,RawData[[Error Type ]],$Q$5))</f>
        <v/>
      </c>
    </row>
    <row r="30094" spans="15:15" x14ac:dyDescent="0.25">
      <c r="O30094" s="20" t="str">
        <f>IF(N30094="","",COUNTIFS(RawData[[Date ]],N30094,RawData[Month List],$Q$6,RawData[Tour/Site],$Q$2,RawData[[Picker ID ]],$Q$3,RawData[Checker ID],$Q$4,RawData[[Error Type ]],$Q$5))</f>
        <v/>
      </c>
    </row>
    <row r="30095" spans="15:15" x14ac:dyDescent="0.25">
      <c r="O30095" s="20" t="str">
        <f>IF(N30095="","",COUNTIFS(RawData[[Date ]],N30095,RawData[Month List],$Q$6,RawData[Tour/Site],$Q$2,RawData[[Picker ID ]],$Q$3,RawData[Checker ID],$Q$4,RawData[[Error Type ]],$Q$5))</f>
        <v/>
      </c>
    </row>
    <row r="30096" spans="15:15" x14ac:dyDescent="0.25">
      <c r="O30096" s="20" t="str">
        <f>IF(N30096="","",COUNTIFS(RawData[[Date ]],N30096,RawData[Month List],$Q$6,RawData[Tour/Site],$Q$2,RawData[[Picker ID ]],$Q$3,RawData[Checker ID],$Q$4,RawData[[Error Type ]],$Q$5))</f>
        <v/>
      </c>
    </row>
    <row r="30097" spans="15:15" x14ac:dyDescent="0.25">
      <c r="O30097" s="20" t="str">
        <f>IF(N30097="","",COUNTIFS(RawData[[Date ]],N30097,RawData[Month List],$Q$6,RawData[Tour/Site],$Q$2,RawData[[Picker ID ]],$Q$3,RawData[Checker ID],$Q$4,RawData[[Error Type ]],$Q$5))</f>
        <v/>
      </c>
    </row>
    <row r="30098" spans="15:15" x14ac:dyDescent="0.25">
      <c r="O30098" s="20" t="str">
        <f>IF(N30098="","",COUNTIFS(RawData[[Date ]],N30098,RawData[Month List],$Q$6,RawData[Tour/Site],$Q$2,RawData[[Picker ID ]],$Q$3,RawData[Checker ID],$Q$4,RawData[[Error Type ]],$Q$5))</f>
        <v/>
      </c>
    </row>
    <row r="30099" spans="15:15" x14ac:dyDescent="0.25">
      <c r="O30099" s="20" t="str">
        <f>IF(N30099="","",COUNTIFS(RawData[[Date ]],N30099,RawData[Month List],$Q$6,RawData[Tour/Site],$Q$2,RawData[[Picker ID ]],$Q$3,RawData[Checker ID],$Q$4,RawData[[Error Type ]],$Q$5))</f>
        <v/>
      </c>
    </row>
    <row r="30100" spans="15:15" x14ac:dyDescent="0.25">
      <c r="O30100" s="20" t="str">
        <f>IF(N30100="","",COUNTIFS(RawData[[Date ]],N30100,RawData[Month List],$Q$6,RawData[Tour/Site],$Q$2,RawData[[Picker ID ]],$Q$3,RawData[Checker ID],$Q$4,RawData[[Error Type ]],$Q$5))</f>
        <v/>
      </c>
    </row>
    <row r="30101" spans="15:15" x14ac:dyDescent="0.25">
      <c r="O30101" s="20" t="str">
        <f>IF(N30101="","",COUNTIFS(RawData[[Date ]],N30101,RawData[Month List],$Q$6,RawData[Tour/Site],$Q$2,RawData[[Picker ID ]],$Q$3,RawData[Checker ID],$Q$4,RawData[[Error Type ]],$Q$5))</f>
        <v/>
      </c>
    </row>
    <row r="30102" spans="15:15" x14ac:dyDescent="0.25">
      <c r="O30102" s="20" t="str">
        <f>IF(N30102="","",COUNTIFS(RawData[[Date ]],N30102,RawData[Month List],$Q$6,RawData[Tour/Site],$Q$2,RawData[[Picker ID ]],$Q$3,RawData[Checker ID],$Q$4,RawData[[Error Type ]],$Q$5))</f>
        <v/>
      </c>
    </row>
    <row r="30103" spans="15:15" x14ac:dyDescent="0.25">
      <c r="O30103" s="20" t="str">
        <f>IF(N30103="","",COUNTIFS(RawData[[Date ]],N30103,RawData[Month List],$Q$6,RawData[Tour/Site],$Q$2,RawData[[Picker ID ]],$Q$3,RawData[Checker ID],$Q$4,RawData[[Error Type ]],$Q$5))</f>
        <v/>
      </c>
    </row>
    <row r="30104" spans="15:15" x14ac:dyDescent="0.25">
      <c r="O30104" s="20" t="str">
        <f>IF(N30104="","",COUNTIFS(RawData[[Date ]],N30104,RawData[Month List],$Q$6,RawData[Tour/Site],$Q$2,RawData[[Picker ID ]],$Q$3,RawData[Checker ID],$Q$4,RawData[[Error Type ]],$Q$5))</f>
        <v/>
      </c>
    </row>
    <row r="30105" spans="15:15" x14ac:dyDescent="0.25">
      <c r="O30105" s="20" t="str">
        <f>IF(N30105="","",COUNTIFS(RawData[[Date ]],N30105,RawData[Month List],$Q$6,RawData[Tour/Site],$Q$2,RawData[[Picker ID ]],$Q$3,RawData[Checker ID],$Q$4,RawData[[Error Type ]],$Q$5))</f>
        <v/>
      </c>
    </row>
    <row r="30106" spans="15:15" x14ac:dyDescent="0.25">
      <c r="O30106" s="20" t="str">
        <f>IF(N30106="","",COUNTIFS(RawData[[Date ]],N30106,RawData[Month List],$Q$6,RawData[Tour/Site],$Q$2,RawData[[Picker ID ]],$Q$3,RawData[Checker ID],$Q$4,RawData[[Error Type ]],$Q$5))</f>
        <v/>
      </c>
    </row>
    <row r="30107" spans="15:15" x14ac:dyDescent="0.25">
      <c r="O30107" s="20" t="str">
        <f>IF(N30107="","",COUNTIFS(RawData[[Date ]],N30107,RawData[Month List],$Q$6,RawData[Tour/Site],$Q$2,RawData[[Picker ID ]],$Q$3,RawData[Checker ID],$Q$4,RawData[[Error Type ]],$Q$5))</f>
        <v/>
      </c>
    </row>
    <row r="30108" spans="15:15" x14ac:dyDescent="0.25">
      <c r="O30108" s="20" t="str">
        <f>IF(N30108="","",COUNTIFS(RawData[[Date ]],N30108,RawData[Month List],$Q$6,RawData[Tour/Site],$Q$2,RawData[[Picker ID ]],$Q$3,RawData[Checker ID],$Q$4,RawData[[Error Type ]],$Q$5))</f>
        <v/>
      </c>
    </row>
    <row r="30109" spans="15:15" x14ac:dyDescent="0.25">
      <c r="O30109" s="20" t="str">
        <f>IF(N30109="","",COUNTIFS(RawData[[Date ]],N30109,RawData[Month List],$Q$6,RawData[Tour/Site],$Q$2,RawData[[Picker ID ]],$Q$3,RawData[Checker ID],$Q$4,RawData[[Error Type ]],$Q$5))</f>
        <v/>
      </c>
    </row>
    <row r="30110" spans="15:15" x14ac:dyDescent="0.25">
      <c r="O30110" s="20" t="str">
        <f>IF(N30110="","",COUNTIFS(RawData[[Date ]],N30110,RawData[Month List],$Q$6,RawData[Tour/Site],$Q$2,RawData[[Picker ID ]],$Q$3,RawData[Checker ID],$Q$4,RawData[[Error Type ]],$Q$5))</f>
        <v/>
      </c>
    </row>
    <row r="30111" spans="15:15" x14ac:dyDescent="0.25">
      <c r="O30111" s="20" t="str">
        <f>IF(N30111="","",COUNTIFS(RawData[[Date ]],N30111,RawData[Month List],$Q$6,RawData[Tour/Site],$Q$2,RawData[[Picker ID ]],$Q$3,RawData[Checker ID],$Q$4,RawData[[Error Type ]],$Q$5))</f>
        <v/>
      </c>
    </row>
    <row r="30112" spans="15:15" x14ac:dyDescent="0.25">
      <c r="O30112" s="20" t="str">
        <f>IF(N30112="","",COUNTIFS(RawData[[Date ]],N30112,RawData[Month List],$Q$6,RawData[Tour/Site],$Q$2,RawData[[Picker ID ]],$Q$3,RawData[Checker ID],$Q$4,RawData[[Error Type ]],$Q$5))</f>
        <v/>
      </c>
    </row>
    <row r="30113" spans="15:15" x14ac:dyDescent="0.25">
      <c r="O30113" s="20" t="str">
        <f>IF(N30113="","",COUNTIFS(RawData[[Date ]],N30113,RawData[Month List],$Q$6,RawData[Tour/Site],$Q$2,RawData[[Picker ID ]],$Q$3,RawData[Checker ID],$Q$4,RawData[[Error Type ]],$Q$5))</f>
        <v/>
      </c>
    </row>
    <row r="30114" spans="15:15" x14ac:dyDescent="0.25">
      <c r="O30114" s="20" t="str">
        <f>IF(N30114="","",COUNTIFS(RawData[[Date ]],N30114,RawData[Month List],$Q$6,RawData[Tour/Site],$Q$2,RawData[[Picker ID ]],$Q$3,RawData[Checker ID],$Q$4,RawData[[Error Type ]],$Q$5))</f>
        <v/>
      </c>
    </row>
    <row r="30115" spans="15:15" x14ac:dyDescent="0.25">
      <c r="O30115" s="20" t="str">
        <f>IF(N30115="","",COUNTIFS(RawData[[Date ]],N30115,RawData[Month List],$Q$6,RawData[Tour/Site],$Q$2,RawData[[Picker ID ]],$Q$3,RawData[Checker ID],$Q$4,RawData[[Error Type ]],$Q$5))</f>
        <v/>
      </c>
    </row>
    <row r="30116" spans="15:15" x14ac:dyDescent="0.25">
      <c r="O30116" s="20" t="str">
        <f>IF(N30116="","",COUNTIFS(RawData[[Date ]],N30116,RawData[Month List],$Q$6,RawData[Tour/Site],$Q$2,RawData[[Picker ID ]],$Q$3,RawData[Checker ID],$Q$4,RawData[[Error Type ]],$Q$5))</f>
        <v/>
      </c>
    </row>
    <row r="30117" spans="15:15" x14ac:dyDescent="0.25">
      <c r="O30117" s="20" t="str">
        <f>IF(N30117="","",COUNTIFS(RawData[[Date ]],N30117,RawData[Month List],$Q$6,RawData[Tour/Site],$Q$2,RawData[[Picker ID ]],$Q$3,RawData[Checker ID],$Q$4,RawData[[Error Type ]],$Q$5))</f>
        <v/>
      </c>
    </row>
    <row r="30118" spans="15:15" x14ac:dyDescent="0.25">
      <c r="O30118" s="20" t="str">
        <f>IF(N30118="","",COUNTIFS(RawData[[Date ]],N30118,RawData[Month List],$Q$6,RawData[Tour/Site],$Q$2,RawData[[Picker ID ]],$Q$3,RawData[Checker ID],$Q$4,RawData[[Error Type ]],$Q$5))</f>
        <v/>
      </c>
    </row>
    <row r="30119" spans="15:15" x14ac:dyDescent="0.25">
      <c r="O30119" s="20" t="str">
        <f>IF(N30119="","",COUNTIFS(RawData[[Date ]],N30119,RawData[Month List],$Q$6,RawData[Tour/Site],$Q$2,RawData[[Picker ID ]],$Q$3,RawData[Checker ID],$Q$4,RawData[[Error Type ]],$Q$5))</f>
        <v/>
      </c>
    </row>
    <row r="30120" spans="15:15" x14ac:dyDescent="0.25">
      <c r="O30120" s="20" t="str">
        <f>IF(N30120="","",COUNTIFS(RawData[[Date ]],N30120,RawData[Month List],$Q$6,RawData[Tour/Site],$Q$2,RawData[[Picker ID ]],$Q$3,RawData[Checker ID],$Q$4,RawData[[Error Type ]],$Q$5))</f>
        <v/>
      </c>
    </row>
    <row r="30121" spans="15:15" x14ac:dyDescent="0.25">
      <c r="O30121" s="20" t="str">
        <f>IF(N30121="","",COUNTIFS(RawData[[Date ]],N30121,RawData[Month List],$Q$6,RawData[Tour/Site],$Q$2,RawData[[Picker ID ]],$Q$3,RawData[Checker ID],$Q$4,RawData[[Error Type ]],$Q$5))</f>
        <v/>
      </c>
    </row>
    <row r="30122" spans="15:15" x14ac:dyDescent="0.25">
      <c r="O30122" s="20" t="str">
        <f>IF(N30122="","",COUNTIFS(RawData[[Date ]],N30122,RawData[Month List],$Q$6,RawData[Tour/Site],$Q$2,RawData[[Picker ID ]],$Q$3,RawData[Checker ID],$Q$4,RawData[[Error Type ]],$Q$5))</f>
        <v/>
      </c>
    </row>
    <row r="30123" spans="15:15" x14ac:dyDescent="0.25">
      <c r="O30123" s="20" t="str">
        <f>IF(N30123="","",COUNTIFS(RawData[[Date ]],N30123,RawData[Month List],$Q$6,RawData[Tour/Site],$Q$2,RawData[[Picker ID ]],$Q$3,RawData[Checker ID],$Q$4,RawData[[Error Type ]],$Q$5))</f>
        <v/>
      </c>
    </row>
    <row r="30124" spans="15:15" x14ac:dyDescent="0.25">
      <c r="O30124" s="20" t="str">
        <f>IF(N30124="","",COUNTIFS(RawData[[Date ]],N30124,RawData[Month List],$Q$6,RawData[Tour/Site],$Q$2,RawData[[Picker ID ]],$Q$3,RawData[Checker ID],$Q$4,RawData[[Error Type ]],$Q$5))</f>
        <v/>
      </c>
    </row>
    <row r="30125" spans="15:15" x14ac:dyDescent="0.25">
      <c r="O30125" s="20" t="str">
        <f>IF(N30125="","",COUNTIFS(RawData[[Date ]],N30125,RawData[Month List],$Q$6,RawData[Tour/Site],$Q$2,RawData[[Picker ID ]],$Q$3,RawData[Checker ID],$Q$4,RawData[[Error Type ]],$Q$5))</f>
        <v/>
      </c>
    </row>
    <row r="30126" spans="15:15" x14ac:dyDescent="0.25">
      <c r="O30126" s="20" t="str">
        <f>IF(N30126="","",COUNTIFS(RawData[[Date ]],N30126,RawData[Month List],$Q$6,RawData[Tour/Site],$Q$2,RawData[[Picker ID ]],$Q$3,RawData[Checker ID],$Q$4,RawData[[Error Type ]],$Q$5))</f>
        <v/>
      </c>
    </row>
    <row r="30127" spans="15:15" x14ac:dyDescent="0.25">
      <c r="O30127" s="20" t="str">
        <f>IF(N30127="","",COUNTIFS(RawData[[Date ]],N30127,RawData[Month List],$Q$6,RawData[Tour/Site],$Q$2,RawData[[Picker ID ]],$Q$3,RawData[Checker ID],$Q$4,RawData[[Error Type ]],$Q$5))</f>
        <v/>
      </c>
    </row>
    <row r="30128" spans="15:15" x14ac:dyDescent="0.25">
      <c r="O30128" s="20" t="str">
        <f>IF(N30128="","",COUNTIFS(RawData[[Date ]],N30128,RawData[Month List],$Q$6,RawData[Tour/Site],$Q$2,RawData[[Picker ID ]],$Q$3,RawData[Checker ID],$Q$4,RawData[[Error Type ]],$Q$5))</f>
        <v/>
      </c>
    </row>
    <row r="30129" spans="15:15" x14ac:dyDescent="0.25">
      <c r="O30129" s="20" t="str">
        <f>IF(N30129="","",COUNTIFS(RawData[[Date ]],N30129,RawData[Month List],$Q$6,RawData[Tour/Site],$Q$2,RawData[[Picker ID ]],$Q$3,RawData[Checker ID],$Q$4,RawData[[Error Type ]],$Q$5))</f>
        <v/>
      </c>
    </row>
    <row r="30130" spans="15:15" x14ac:dyDescent="0.25">
      <c r="O30130" s="20" t="str">
        <f>IF(N30130="","",COUNTIFS(RawData[[Date ]],N30130,RawData[Month List],$Q$6,RawData[Tour/Site],$Q$2,RawData[[Picker ID ]],$Q$3,RawData[Checker ID],$Q$4,RawData[[Error Type ]],$Q$5))</f>
        <v/>
      </c>
    </row>
    <row r="30131" spans="15:15" x14ac:dyDescent="0.25">
      <c r="O30131" s="20" t="str">
        <f>IF(N30131="","",COUNTIFS(RawData[[Date ]],N30131,RawData[Month List],$Q$6,RawData[Tour/Site],$Q$2,RawData[[Picker ID ]],$Q$3,RawData[Checker ID],$Q$4,RawData[[Error Type ]],$Q$5))</f>
        <v/>
      </c>
    </row>
    <row r="30132" spans="15:15" x14ac:dyDescent="0.25">
      <c r="O30132" s="20" t="str">
        <f>IF(N30132="","",COUNTIFS(RawData[[Date ]],N30132,RawData[Month List],$Q$6,RawData[Tour/Site],$Q$2,RawData[[Picker ID ]],$Q$3,RawData[Checker ID],$Q$4,RawData[[Error Type ]],$Q$5))</f>
        <v/>
      </c>
    </row>
    <row r="30133" spans="15:15" x14ac:dyDescent="0.25">
      <c r="O30133" s="20" t="str">
        <f>IF(N30133="","",COUNTIFS(RawData[[Date ]],N30133,RawData[Month List],$Q$6,RawData[Tour/Site],$Q$2,RawData[[Picker ID ]],$Q$3,RawData[Checker ID],$Q$4,RawData[[Error Type ]],$Q$5))</f>
        <v/>
      </c>
    </row>
    <row r="30134" spans="15:15" x14ac:dyDescent="0.25">
      <c r="O30134" s="20" t="str">
        <f>IF(N30134="","",COUNTIFS(RawData[[Date ]],N30134,RawData[Month List],$Q$6,RawData[Tour/Site],$Q$2,RawData[[Picker ID ]],$Q$3,RawData[Checker ID],$Q$4,RawData[[Error Type ]],$Q$5))</f>
        <v/>
      </c>
    </row>
    <row r="30135" spans="15:15" x14ac:dyDescent="0.25">
      <c r="O30135" s="20" t="str">
        <f>IF(N30135="","",COUNTIFS(RawData[[Date ]],N30135,RawData[Month List],$Q$6,RawData[Tour/Site],$Q$2,RawData[[Picker ID ]],$Q$3,RawData[Checker ID],$Q$4,RawData[[Error Type ]],$Q$5))</f>
        <v/>
      </c>
    </row>
    <row r="30136" spans="15:15" x14ac:dyDescent="0.25">
      <c r="O30136" s="20" t="str">
        <f>IF(N30136="","",COUNTIFS(RawData[[Date ]],N30136,RawData[Month List],$Q$6,RawData[Tour/Site],$Q$2,RawData[[Picker ID ]],$Q$3,RawData[Checker ID],$Q$4,RawData[[Error Type ]],$Q$5))</f>
        <v/>
      </c>
    </row>
    <row r="30137" spans="15:15" x14ac:dyDescent="0.25">
      <c r="O30137" s="20" t="str">
        <f>IF(N30137="","",COUNTIFS(RawData[[Date ]],N30137,RawData[Month List],$Q$6,RawData[Tour/Site],$Q$2,RawData[[Picker ID ]],$Q$3,RawData[Checker ID],$Q$4,RawData[[Error Type ]],$Q$5))</f>
        <v/>
      </c>
    </row>
    <row r="30138" spans="15:15" x14ac:dyDescent="0.25">
      <c r="O30138" s="20" t="str">
        <f>IF(N30138="","",COUNTIFS(RawData[[Date ]],N30138,RawData[Month List],$Q$6,RawData[Tour/Site],$Q$2,RawData[[Picker ID ]],$Q$3,RawData[Checker ID],$Q$4,RawData[[Error Type ]],$Q$5))</f>
        <v/>
      </c>
    </row>
    <row r="30139" spans="15:15" x14ac:dyDescent="0.25">
      <c r="O30139" s="20" t="str">
        <f>IF(N30139="","",COUNTIFS(RawData[[Date ]],N30139,RawData[Month List],$Q$6,RawData[Tour/Site],$Q$2,RawData[[Picker ID ]],$Q$3,RawData[Checker ID],$Q$4,RawData[[Error Type ]],$Q$5))</f>
        <v/>
      </c>
    </row>
    <row r="30140" spans="15:15" x14ac:dyDescent="0.25">
      <c r="O30140" s="20" t="str">
        <f>IF(N30140="","",COUNTIFS(RawData[[Date ]],N30140,RawData[Month List],$Q$6,RawData[Tour/Site],$Q$2,RawData[[Picker ID ]],$Q$3,RawData[Checker ID],$Q$4,RawData[[Error Type ]],$Q$5))</f>
        <v/>
      </c>
    </row>
    <row r="30141" spans="15:15" x14ac:dyDescent="0.25">
      <c r="O30141" s="20" t="str">
        <f>IF(N30141="","",COUNTIFS(RawData[[Date ]],N30141,RawData[Month List],$Q$6,RawData[Tour/Site],$Q$2,RawData[[Picker ID ]],$Q$3,RawData[Checker ID],$Q$4,RawData[[Error Type ]],$Q$5))</f>
        <v/>
      </c>
    </row>
    <row r="30142" spans="15:15" x14ac:dyDescent="0.25">
      <c r="O30142" s="20" t="str">
        <f>IF(N30142="","",COUNTIFS(RawData[[Date ]],N30142,RawData[Month List],$Q$6,RawData[Tour/Site],$Q$2,RawData[[Picker ID ]],$Q$3,RawData[Checker ID],$Q$4,RawData[[Error Type ]],$Q$5))</f>
        <v/>
      </c>
    </row>
    <row r="30143" spans="15:15" x14ac:dyDescent="0.25">
      <c r="O30143" s="20" t="str">
        <f>IF(N30143="","",COUNTIFS(RawData[[Date ]],N30143,RawData[Month List],$Q$6,RawData[Tour/Site],$Q$2,RawData[[Picker ID ]],$Q$3,RawData[Checker ID],$Q$4,RawData[[Error Type ]],$Q$5))</f>
        <v/>
      </c>
    </row>
    <row r="30144" spans="15:15" x14ac:dyDescent="0.25">
      <c r="O30144" s="20" t="str">
        <f>IF(N30144="","",COUNTIFS(RawData[[Date ]],N30144,RawData[Month List],$Q$6,RawData[Tour/Site],$Q$2,RawData[[Picker ID ]],$Q$3,RawData[Checker ID],$Q$4,RawData[[Error Type ]],$Q$5))</f>
        <v/>
      </c>
    </row>
    <row r="30145" spans="15:15" x14ac:dyDescent="0.25">
      <c r="O30145" s="20" t="str">
        <f>IF(N30145="","",COUNTIFS(RawData[[Date ]],N30145,RawData[Month List],$Q$6,RawData[Tour/Site],$Q$2,RawData[[Picker ID ]],$Q$3,RawData[Checker ID],$Q$4,RawData[[Error Type ]],$Q$5))</f>
        <v/>
      </c>
    </row>
    <row r="30146" spans="15:15" x14ac:dyDescent="0.25">
      <c r="O30146" s="20" t="str">
        <f>IF(N30146="","",COUNTIFS(RawData[[Date ]],N30146,RawData[Month List],$Q$6,RawData[Tour/Site],$Q$2,RawData[[Picker ID ]],$Q$3,RawData[Checker ID],$Q$4,RawData[[Error Type ]],$Q$5))</f>
        <v/>
      </c>
    </row>
    <row r="30147" spans="15:15" x14ac:dyDescent="0.25">
      <c r="O30147" s="20" t="str">
        <f>IF(N30147="","",COUNTIFS(RawData[[Date ]],N30147,RawData[Month List],$Q$6,RawData[Tour/Site],$Q$2,RawData[[Picker ID ]],$Q$3,RawData[Checker ID],$Q$4,RawData[[Error Type ]],$Q$5))</f>
        <v/>
      </c>
    </row>
    <row r="30148" spans="15:15" x14ac:dyDescent="0.25">
      <c r="O30148" s="20" t="str">
        <f>IF(N30148="","",COUNTIFS(RawData[[Date ]],N30148,RawData[Month List],$Q$6,RawData[Tour/Site],$Q$2,RawData[[Picker ID ]],$Q$3,RawData[Checker ID],$Q$4,RawData[[Error Type ]],$Q$5))</f>
        <v/>
      </c>
    </row>
    <row r="30149" spans="15:15" x14ac:dyDescent="0.25">
      <c r="O30149" s="20" t="str">
        <f>IF(N30149="","",COUNTIFS(RawData[[Date ]],N30149,RawData[Month List],$Q$6,RawData[Tour/Site],$Q$2,RawData[[Picker ID ]],$Q$3,RawData[Checker ID],$Q$4,RawData[[Error Type ]],$Q$5))</f>
        <v/>
      </c>
    </row>
    <row r="30150" spans="15:15" x14ac:dyDescent="0.25">
      <c r="O30150" s="20" t="str">
        <f>IF(N30150="","",COUNTIFS(RawData[[Date ]],N30150,RawData[Month List],$Q$6,RawData[Tour/Site],$Q$2,RawData[[Picker ID ]],$Q$3,RawData[Checker ID],$Q$4,RawData[[Error Type ]],$Q$5))</f>
        <v/>
      </c>
    </row>
    <row r="30151" spans="15:15" x14ac:dyDescent="0.25">
      <c r="O30151" s="20" t="str">
        <f>IF(N30151="","",COUNTIFS(RawData[[Date ]],N30151,RawData[Month List],$Q$6,RawData[Tour/Site],$Q$2,RawData[[Picker ID ]],$Q$3,RawData[Checker ID],$Q$4,RawData[[Error Type ]],$Q$5))</f>
        <v/>
      </c>
    </row>
    <row r="30152" spans="15:15" x14ac:dyDescent="0.25">
      <c r="O30152" s="20" t="str">
        <f>IF(N30152="","",COUNTIFS(RawData[[Date ]],N30152,RawData[Month List],$Q$6,RawData[Tour/Site],$Q$2,RawData[[Picker ID ]],$Q$3,RawData[Checker ID],$Q$4,RawData[[Error Type ]],$Q$5))</f>
        <v/>
      </c>
    </row>
    <row r="30153" spans="15:15" x14ac:dyDescent="0.25">
      <c r="O30153" s="20" t="str">
        <f>IF(N30153="","",COUNTIFS(RawData[[Date ]],N30153,RawData[Month List],$Q$6,RawData[Tour/Site],$Q$2,RawData[[Picker ID ]],$Q$3,RawData[Checker ID],$Q$4,RawData[[Error Type ]],$Q$5))</f>
        <v/>
      </c>
    </row>
    <row r="30154" spans="15:15" x14ac:dyDescent="0.25">
      <c r="O30154" s="20" t="str">
        <f>IF(N30154="","",COUNTIFS(RawData[[Date ]],N30154,RawData[Month List],$Q$6,RawData[Tour/Site],$Q$2,RawData[[Picker ID ]],$Q$3,RawData[Checker ID],$Q$4,RawData[[Error Type ]],$Q$5))</f>
        <v/>
      </c>
    </row>
    <row r="30155" spans="15:15" x14ac:dyDescent="0.25">
      <c r="O30155" s="20" t="str">
        <f>IF(N30155="","",COUNTIFS(RawData[[Date ]],N30155,RawData[Month List],$Q$6,RawData[Tour/Site],$Q$2,RawData[[Picker ID ]],$Q$3,RawData[Checker ID],$Q$4,RawData[[Error Type ]],$Q$5))</f>
        <v/>
      </c>
    </row>
    <row r="30156" spans="15:15" x14ac:dyDescent="0.25">
      <c r="O30156" s="20" t="str">
        <f>IF(N30156="","",COUNTIFS(RawData[[Date ]],N30156,RawData[Month List],$Q$6,RawData[Tour/Site],$Q$2,RawData[[Picker ID ]],$Q$3,RawData[Checker ID],$Q$4,RawData[[Error Type ]],$Q$5))</f>
        <v/>
      </c>
    </row>
    <row r="30157" spans="15:15" x14ac:dyDescent="0.25">
      <c r="O30157" s="20" t="str">
        <f>IF(N30157="","",COUNTIFS(RawData[[Date ]],N30157,RawData[Month List],$Q$6,RawData[Tour/Site],$Q$2,RawData[[Picker ID ]],$Q$3,RawData[Checker ID],$Q$4,RawData[[Error Type ]],$Q$5))</f>
        <v/>
      </c>
    </row>
    <row r="30158" spans="15:15" x14ac:dyDescent="0.25">
      <c r="O30158" s="20" t="str">
        <f>IF(N30158="","",COUNTIFS(RawData[[Date ]],N30158,RawData[Month List],$Q$6,RawData[Tour/Site],$Q$2,RawData[[Picker ID ]],$Q$3,RawData[Checker ID],$Q$4,RawData[[Error Type ]],$Q$5))</f>
        <v/>
      </c>
    </row>
    <row r="30159" spans="15:15" x14ac:dyDescent="0.25">
      <c r="O30159" s="20" t="str">
        <f>IF(N30159="","",COUNTIFS(RawData[[Date ]],N30159,RawData[Month List],$Q$6,RawData[Tour/Site],$Q$2,RawData[[Picker ID ]],$Q$3,RawData[Checker ID],$Q$4,RawData[[Error Type ]],$Q$5))</f>
        <v/>
      </c>
    </row>
    <row r="30160" spans="15:15" x14ac:dyDescent="0.25">
      <c r="O30160" s="20" t="str">
        <f>IF(N30160="","",COUNTIFS(RawData[[Date ]],N30160,RawData[Month List],$Q$6,RawData[Tour/Site],$Q$2,RawData[[Picker ID ]],$Q$3,RawData[Checker ID],$Q$4,RawData[[Error Type ]],$Q$5))</f>
        <v/>
      </c>
    </row>
    <row r="30161" spans="15:15" x14ac:dyDescent="0.25">
      <c r="O30161" s="20" t="str">
        <f>IF(N30161="","",COUNTIFS(RawData[[Date ]],N30161,RawData[Month List],$Q$6,RawData[Tour/Site],$Q$2,RawData[[Picker ID ]],$Q$3,RawData[Checker ID],$Q$4,RawData[[Error Type ]],$Q$5))</f>
        <v/>
      </c>
    </row>
    <row r="30162" spans="15:15" x14ac:dyDescent="0.25">
      <c r="O30162" s="20" t="str">
        <f>IF(N30162="","",COUNTIFS(RawData[[Date ]],N30162,RawData[Month List],$Q$6,RawData[Tour/Site],$Q$2,RawData[[Picker ID ]],$Q$3,RawData[Checker ID],$Q$4,RawData[[Error Type ]],$Q$5))</f>
        <v/>
      </c>
    </row>
    <row r="30163" spans="15:15" x14ac:dyDescent="0.25">
      <c r="O30163" s="20" t="str">
        <f>IF(N30163="","",COUNTIFS(RawData[[Date ]],N30163,RawData[Month List],$Q$6,RawData[Tour/Site],$Q$2,RawData[[Picker ID ]],$Q$3,RawData[Checker ID],$Q$4,RawData[[Error Type ]],$Q$5))</f>
        <v/>
      </c>
    </row>
    <row r="30164" spans="15:15" x14ac:dyDescent="0.25">
      <c r="O30164" s="20" t="str">
        <f>IF(N30164="","",COUNTIFS(RawData[[Date ]],N30164,RawData[Month List],$Q$6,RawData[Tour/Site],$Q$2,RawData[[Picker ID ]],$Q$3,RawData[Checker ID],$Q$4,RawData[[Error Type ]],$Q$5))</f>
        <v/>
      </c>
    </row>
    <row r="30165" spans="15:15" x14ac:dyDescent="0.25">
      <c r="O30165" s="20" t="str">
        <f>IF(N30165="","",COUNTIFS(RawData[[Date ]],N30165,RawData[Month List],$Q$6,RawData[Tour/Site],$Q$2,RawData[[Picker ID ]],$Q$3,RawData[Checker ID],$Q$4,RawData[[Error Type ]],$Q$5))</f>
        <v/>
      </c>
    </row>
    <row r="30166" spans="15:15" x14ac:dyDescent="0.25">
      <c r="O30166" s="20" t="str">
        <f>IF(N30166="","",COUNTIFS(RawData[[Date ]],N30166,RawData[Month List],$Q$6,RawData[Tour/Site],$Q$2,RawData[[Picker ID ]],$Q$3,RawData[Checker ID],$Q$4,RawData[[Error Type ]],$Q$5))</f>
        <v/>
      </c>
    </row>
    <row r="30167" spans="15:15" x14ac:dyDescent="0.25">
      <c r="O30167" s="20" t="str">
        <f>IF(N30167="","",COUNTIFS(RawData[[Date ]],N30167,RawData[Month List],$Q$6,RawData[Tour/Site],$Q$2,RawData[[Picker ID ]],$Q$3,RawData[Checker ID],$Q$4,RawData[[Error Type ]],$Q$5))</f>
        <v/>
      </c>
    </row>
    <row r="30168" spans="15:15" x14ac:dyDescent="0.25">
      <c r="O30168" s="20" t="str">
        <f>IF(N30168="","",COUNTIFS(RawData[[Date ]],N30168,RawData[Month List],$Q$6,RawData[Tour/Site],$Q$2,RawData[[Picker ID ]],$Q$3,RawData[Checker ID],$Q$4,RawData[[Error Type ]],$Q$5))</f>
        <v/>
      </c>
    </row>
    <row r="30169" spans="15:15" x14ac:dyDescent="0.25">
      <c r="O30169" s="20" t="str">
        <f>IF(N30169="","",COUNTIFS(RawData[[Date ]],N30169,RawData[Month List],$Q$6,RawData[Tour/Site],$Q$2,RawData[[Picker ID ]],$Q$3,RawData[Checker ID],$Q$4,RawData[[Error Type ]],$Q$5))</f>
        <v/>
      </c>
    </row>
    <row r="30170" spans="15:15" x14ac:dyDescent="0.25">
      <c r="O30170" s="20" t="str">
        <f>IF(N30170="","",COUNTIFS(RawData[[Date ]],N30170,RawData[Month List],$Q$6,RawData[Tour/Site],$Q$2,RawData[[Picker ID ]],$Q$3,RawData[Checker ID],$Q$4,RawData[[Error Type ]],$Q$5))</f>
        <v/>
      </c>
    </row>
    <row r="30171" spans="15:15" x14ac:dyDescent="0.25">
      <c r="O30171" s="20" t="str">
        <f>IF(N30171="","",COUNTIFS(RawData[[Date ]],N30171,RawData[Month List],$Q$6,RawData[Tour/Site],$Q$2,RawData[[Picker ID ]],$Q$3,RawData[Checker ID],$Q$4,RawData[[Error Type ]],$Q$5))</f>
        <v/>
      </c>
    </row>
    <row r="30172" spans="15:15" x14ac:dyDescent="0.25">
      <c r="O30172" s="20" t="str">
        <f>IF(N30172="","",COUNTIFS(RawData[[Date ]],N30172,RawData[Month List],$Q$6,RawData[Tour/Site],$Q$2,RawData[[Picker ID ]],$Q$3,RawData[Checker ID],$Q$4,RawData[[Error Type ]],$Q$5))</f>
        <v/>
      </c>
    </row>
    <row r="30173" spans="15:15" x14ac:dyDescent="0.25">
      <c r="O30173" s="20" t="str">
        <f>IF(N30173="","",COUNTIFS(RawData[[Date ]],N30173,RawData[Month List],$Q$6,RawData[Tour/Site],$Q$2,RawData[[Picker ID ]],$Q$3,RawData[Checker ID],$Q$4,RawData[[Error Type ]],$Q$5))</f>
        <v/>
      </c>
    </row>
    <row r="30174" spans="15:15" x14ac:dyDescent="0.25">
      <c r="O30174" s="20" t="str">
        <f>IF(N30174="","",COUNTIFS(RawData[[Date ]],N30174,RawData[Month List],$Q$6,RawData[Tour/Site],$Q$2,RawData[[Picker ID ]],$Q$3,RawData[Checker ID],$Q$4,RawData[[Error Type ]],$Q$5))</f>
        <v/>
      </c>
    </row>
    <row r="30175" spans="15:15" x14ac:dyDescent="0.25">
      <c r="O30175" s="20" t="str">
        <f>IF(N30175="","",COUNTIFS(RawData[[Date ]],N30175,RawData[Month List],$Q$6,RawData[Tour/Site],$Q$2,RawData[[Picker ID ]],$Q$3,RawData[Checker ID],$Q$4,RawData[[Error Type ]],$Q$5))</f>
        <v/>
      </c>
    </row>
    <row r="30176" spans="15:15" x14ac:dyDescent="0.25">
      <c r="O30176" s="20" t="str">
        <f>IF(N30176="","",COUNTIFS(RawData[[Date ]],N30176,RawData[Month List],$Q$6,RawData[Tour/Site],$Q$2,RawData[[Picker ID ]],$Q$3,RawData[Checker ID],$Q$4,RawData[[Error Type ]],$Q$5))</f>
        <v/>
      </c>
    </row>
    <row r="30177" spans="15:15" x14ac:dyDescent="0.25">
      <c r="O30177" s="20" t="str">
        <f>IF(N30177="","",COUNTIFS(RawData[[Date ]],N30177,RawData[Month List],$Q$6,RawData[Tour/Site],$Q$2,RawData[[Picker ID ]],$Q$3,RawData[Checker ID],$Q$4,RawData[[Error Type ]],$Q$5))</f>
        <v/>
      </c>
    </row>
    <row r="30178" spans="15:15" x14ac:dyDescent="0.25">
      <c r="O30178" s="20" t="str">
        <f>IF(N30178="","",COUNTIFS(RawData[[Date ]],N30178,RawData[Month List],$Q$6,RawData[Tour/Site],$Q$2,RawData[[Picker ID ]],$Q$3,RawData[Checker ID],$Q$4,RawData[[Error Type ]],$Q$5))</f>
        <v/>
      </c>
    </row>
    <row r="30179" spans="15:15" x14ac:dyDescent="0.25">
      <c r="O30179" s="20" t="str">
        <f>IF(N30179="","",COUNTIFS(RawData[[Date ]],N30179,RawData[Month List],$Q$6,RawData[Tour/Site],$Q$2,RawData[[Picker ID ]],$Q$3,RawData[Checker ID],$Q$4,RawData[[Error Type ]],$Q$5))</f>
        <v/>
      </c>
    </row>
    <row r="30180" spans="15:15" x14ac:dyDescent="0.25">
      <c r="O30180" s="20" t="str">
        <f>IF(N30180="","",COUNTIFS(RawData[[Date ]],N30180,RawData[Month List],$Q$6,RawData[Tour/Site],$Q$2,RawData[[Picker ID ]],$Q$3,RawData[Checker ID],$Q$4,RawData[[Error Type ]],$Q$5))</f>
        <v/>
      </c>
    </row>
    <row r="30181" spans="15:15" x14ac:dyDescent="0.25">
      <c r="O30181" s="20" t="str">
        <f>IF(N30181="","",COUNTIFS(RawData[[Date ]],N30181,RawData[Month List],$Q$6,RawData[Tour/Site],$Q$2,RawData[[Picker ID ]],$Q$3,RawData[Checker ID],$Q$4,RawData[[Error Type ]],$Q$5))</f>
        <v/>
      </c>
    </row>
    <row r="30182" spans="15:15" x14ac:dyDescent="0.25">
      <c r="O30182" s="20" t="str">
        <f>IF(N30182="","",COUNTIFS(RawData[[Date ]],N30182,RawData[Month List],$Q$6,RawData[Tour/Site],$Q$2,RawData[[Picker ID ]],$Q$3,RawData[Checker ID],$Q$4,RawData[[Error Type ]],$Q$5))</f>
        <v/>
      </c>
    </row>
    <row r="30183" spans="15:15" x14ac:dyDescent="0.25">
      <c r="O30183" s="20" t="str">
        <f>IF(N30183="","",COUNTIFS(RawData[[Date ]],N30183,RawData[Month List],$Q$6,RawData[Tour/Site],$Q$2,RawData[[Picker ID ]],$Q$3,RawData[Checker ID],$Q$4,RawData[[Error Type ]],$Q$5))</f>
        <v/>
      </c>
    </row>
    <row r="30184" spans="15:15" x14ac:dyDescent="0.25">
      <c r="O30184" s="20" t="str">
        <f>IF(N30184="","",COUNTIFS(RawData[[Date ]],N30184,RawData[Month List],$Q$6,RawData[Tour/Site],$Q$2,RawData[[Picker ID ]],$Q$3,RawData[Checker ID],$Q$4,RawData[[Error Type ]],$Q$5))</f>
        <v/>
      </c>
    </row>
    <row r="30185" spans="15:15" x14ac:dyDescent="0.25">
      <c r="O30185" s="20" t="str">
        <f>IF(N30185="","",COUNTIFS(RawData[[Date ]],N30185,RawData[Month List],$Q$6,RawData[Tour/Site],$Q$2,RawData[[Picker ID ]],$Q$3,RawData[Checker ID],$Q$4,RawData[[Error Type ]],$Q$5))</f>
        <v/>
      </c>
    </row>
    <row r="30186" spans="15:15" x14ac:dyDescent="0.25">
      <c r="O30186" s="20" t="str">
        <f>IF(N30186="","",COUNTIFS(RawData[[Date ]],N30186,RawData[Month List],$Q$6,RawData[Tour/Site],$Q$2,RawData[[Picker ID ]],$Q$3,RawData[Checker ID],$Q$4,RawData[[Error Type ]],$Q$5))</f>
        <v/>
      </c>
    </row>
    <row r="30187" spans="15:15" x14ac:dyDescent="0.25">
      <c r="O30187" s="20" t="str">
        <f>IF(N30187="","",COUNTIFS(RawData[[Date ]],N30187,RawData[Month List],$Q$6,RawData[Tour/Site],$Q$2,RawData[[Picker ID ]],$Q$3,RawData[Checker ID],$Q$4,RawData[[Error Type ]],$Q$5))</f>
        <v/>
      </c>
    </row>
    <row r="30188" spans="15:15" x14ac:dyDescent="0.25">
      <c r="O30188" s="20" t="str">
        <f>IF(N30188="","",COUNTIFS(RawData[[Date ]],N30188,RawData[Month List],$Q$6,RawData[Tour/Site],$Q$2,RawData[[Picker ID ]],$Q$3,RawData[Checker ID],$Q$4,RawData[[Error Type ]],$Q$5))</f>
        <v/>
      </c>
    </row>
    <row r="30189" spans="15:15" x14ac:dyDescent="0.25">
      <c r="O30189" s="20" t="str">
        <f>IF(N30189="","",COUNTIFS(RawData[[Date ]],N30189,RawData[Month List],$Q$6,RawData[Tour/Site],$Q$2,RawData[[Picker ID ]],$Q$3,RawData[Checker ID],$Q$4,RawData[[Error Type ]],$Q$5))</f>
        <v/>
      </c>
    </row>
    <row r="30190" spans="15:15" x14ac:dyDescent="0.25">
      <c r="O30190" s="20" t="str">
        <f>IF(N30190="","",COUNTIFS(RawData[[Date ]],N30190,RawData[Month List],$Q$6,RawData[Tour/Site],$Q$2,RawData[[Picker ID ]],$Q$3,RawData[Checker ID],$Q$4,RawData[[Error Type ]],$Q$5))</f>
        <v/>
      </c>
    </row>
    <row r="30191" spans="15:15" x14ac:dyDescent="0.25">
      <c r="O30191" s="20" t="str">
        <f>IF(N30191="","",COUNTIFS(RawData[[Date ]],N30191,RawData[Month List],$Q$6,RawData[Tour/Site],$Q$2,RawData[[Picker ID ]],$Q$3,RawData[Checker ID],$Q$4,RawData[[Error Type ]],$Q$5))</f>
        <v/>
      </c>
    </row>
    <row r="30192" spans="15:15" x14ac:dyDescent="0.25">
      <c r="O30192" s="20" t="str">
        <f>IF(N30192="","",COUNTIFS(RawData[[Date ]],N30192,RawData[Month List],$Q$6,RawData[Tour/Site],$Q$2,RawData[[Picker ID ]],$Q$3,RawData[Checker ID],$Q$4,RawData[[Error Type ]],$Q$5))</f>
        <v/>
      </c>
    </row>
    <row r="30193" spans="15:15" x14ac:dyDescent="0.25">
      <c r="O30193" s="20" t="str">
        <f>IF(N30193="","",COUNTIFS(RawData[[Date ]],N30193,RawData[Month List],$Q$6,RawData[Tour/Site],$Q$2,RawData[[Picker ID ]],$Q$3,RawData[Checker ID],$Q$4,RawData[[Error Type ]],$Q$5))</f>
        <v/>
      </c>
    </row>
    <row r="30194" spans="15:15" x14ac:dyDescent="0.25">
      <c r="O30194" s="20" t="str">
        <f>IF(N30194="","",COUNTIFS(RawData[[Date ]],N30194,RawData[Month List],$Q$6,RawData[Tour/Site],$Q$2,RawData[[Picker ID ]],$Q$3,RawData[Checker ID],$Q$4,RawData[[Error Type ]],$Q$5))</f>
        <v/>
      </c>
    </row>
    <row r="30195" spans="15:15" x14ac:dyDescent="0.25">
      <c r="O30195" s="20" t="str">
        <f>IF(N30195="","",COUNTIFS(RawData[[Date ]],N30195,RawData[Month List],$Q$6,RawData[Tour/Site],$Q$2,RawData[[Picker ID ]],$Q$3,RawData[Checker ID],$Q$4,RawData[[Error Type ]],$Q$5))</f>
        <v/>
      </c>
    </row>
    <row r="30196" spans="15:15" x14ac:dyDescent="0.25">
      <c r="O30196" s="20" t="str">
        <f>IF(N30196="","",COUNTIFS(RawData[[Date ]],N30196,RawData[Month List],$Q$6,RawData[Tour/Site],$Q$2,RawData[[Picker ID ]],$Q$3,RawData[Checker ID],$Q$4,RawData[[Error Type ]],$Q$5))</f>
        <v/>
      </c>
    </row>
    <row r="30197" spans="15:15" x14ac:dyDescent="0.25">
      <c r="O30197" s="20" t="str">
        <f>IF(N30197="","",COUNTIFS(RawData[[Date ]],N30197,RawData[Month List],$Q$6,RawData[Tour/Site],$Q$2,RawData[[Picker ID ]],$Q$3,RawData[Checker ID],$Q$4,RawData[[Error Type ]],$Q$5))</f>
        <v/>
      </c>
    </row>
    <row r="30198" spans="15:15" x14ac:dyDescent="0.25">
      <c r="O30198" s="20" t="str">
        <f>IF(N30198="","",COUNTIFS(RawData[[Date ]],N30198,RawData[Month List],$Q$6,RawData[Tour/Site],$Q$2,RawData[[Picker ID ]],$Q$3,RawData[Checker ID],$Q$4,RawData[[Error Type ]],$Q$5))</f>
        <v/>
      </c>
    </row>
    <row r="30199" spans="15:15" x14ac:dyDescent="0.25">
      <c r="O30199" s="20" t="str">
        <f>IF(N30199="","",COUNTIFS(RawData[[Date ]],N30199,RawData[Month List],$Q$6,RawData[Tour/Site],$Q$2,RawData[[Picker ID ]],$Q$3,RawData[Checker ID],$Q$4,RawData[[Error Type ]],$Q$5))</f>
        <v/>
      </c>
    </row>
    <row r="30200" spans="15:15" x14ac:dyDescent="0.25">
      <c r="O30200" s="20" t="str">
        <f>IF(N30200="","",COUNTIFS(RawData[[Date ]],N30200,RawData[Month List],$Q$6,RawData[Tour/Site],$Q$2,RawData[[Picker ID ]],$Q$3,RawData[Checker ID],$Q$4,RawData[[Error Type ]],$Q$5))</f>
        <v/>
      </c>
    </row>
    <row r="30201" spans="15:15" x14ac:dyDescent="0.25">
      <c r="O30201" s="20" t="str">
        <f>IF(N30201="","",COUNTIFS(RawData[[Date ]],N30201,RawData[Month List],$Q$6,RawData[Tour/Site],$Q$2,RawData[[Picker ID ]],$Q$3,RawData[Checker ID],$Q$4,RawData[[Error Type ]],$Q$5))</f>
        <v/>
      </c>
    </row>
    <row r="30202" spans="15:15" x14ac:dyDescent="0.25">
      <c r="O30202" s="20" t="str">
        <f>IF(N30202="","",COUNTIFS(RawData[[Date ]],N30202,RawData[Month List],$Q$6,RawData[Tour/Site],$Q$2,RawData[[Picker ID ]],$Q$3,RawData[Checker ID],$Q$4,RawData[[Error Type ]],$Q$5))</f>
        <v/>
      </c>
    </row>
    <row r="30203" spans="15:15" x14ac:dyDescent="0.25">
      <c r="O30203" s="20" t="str">
        <f>IF(N30203="","",COUNTIFS(RawData[[Date ]],N30203,RawData[Month List],$Q$6,RawData[Tour/Site],$Q$2,RawData[[Picker ID ]],$Q$3,RawData[Checker ID],$Q$4,RawData[[Error Type ]],$Q$5))</f>
        <v/>
      </c>
    </row>
    <row r="30204" spans="15:15" x14ac:dyDescent="0.25">
      <c r="O30204" s="20" t="str">
        <f>IF(N30204="","",COUNTIFS(RawData[[Date ]],N30204,RawData[Month List],$Q$6,RawData[Tour/Site],$Q$2,RawData[[Picker ID ]],$Q$3,RawData[Checker ID],$Q$4,RawData[[Error Type ]],$Q$5))</f>
        <v/>
      </c>
    </row>
    <row r="30205" spans="15:15" x14ac:dyDescent="0.25">
      <c r="O30205" s="20" t="str">
        <f>IF(N30205="","",COUNTIFS(RawData[[Date ]],N30205,RawData[Month List],$Q$6,RawData[Tour/Site],$Q$2,RawData[[Picker ID ]],$Q$3,RawData[Checker ID],$Q$4,RawData[[Error Type ]],$Q$5))</f>
        <v/>
      </c>
    </row>
    <row r="30206" spans="15:15" x14ac:dyDescent="0.25">
      <c r="O30206" s="20" t="str">
        <f>IF(N30206="","",COUNTIFS(RawData[[Date ]],N30206,RawData[Month List],$Q$6,RawData[Tour/Site],$Q$2,RawData[[Picker ID ]],$Q$3,RawData[Checker ID],$Q$4,RawData[[Error Type ]],$Q$5))</f>
        <v/>
      </c>
    </row>
    <row r="30207" spans="15:15" x14ac:dyDescent="0.25">
      <c r="O30207" s="20" t="str">
        <f>IF(N30207="","",COUNTIFS(RawData[[Date ]],N30207,RawData[Month List],$Q$6,RawData[Tour/Site],$Q$2,RawData[[Picker ID ]],$Q$3,RawData[Checker ID],$Q$4,RawData[[Error Type ]],$Q$5))</f>
        <v/>
      </c>
    </row>
    <row r="30208" spans="15:15" x14ac:dyDescent="0.25">
      <c r="O30208" s="20" t="str">
        <f>IF(N30208="","",COUNTIFS(RawData[[Date ]],N30208,RawData[Month List],$Q$6,RawData[Tour/Site],$Q$2,RawData[[Picker ID ]],$Q$3,RawData[Checker ID],$Q$4,RawData[[Error Type ]],$Q$5))</f>
        <v/>
      </c>
    </row>
    <row r="30209" spans="15:15" x14ac:dyDescent="0.25">
      <c r="O30209" s="20" t="str">
        <f>IF(N30209="","",COUNTIFS(RawData[[Date ]],N30209,RawData[Month List],$Q$6,RawData[Tour/Site],$Q$2,RawData[[Picker ID ]],$Q$3,RawData[Checker ID],$Q$4,RawData[[Error Type ]],$Q$5))</f>
        <v/>
      </c>
    </row>
    <row r="30210" spans="15:15" x14ac:dyDescent="0.25">
      <c r="O30210" s="20" t="str">
        <f>IF(N30210="","",COUNTIFS(RawData[[Date ]],N30210,RawData[Month List],$Q$6,RawData[Tour/Site],$Q$2,RawData[[Picker ID ]],$Q$3,RawData[Checker ID],$Q$4,RawData[[Error Type ]],$Q$5))</f>
        <v/>
      </c>
    </row>
    <row r="30211" spans="15:15" x14ac:dyDescent="0.25">
      <c r="O30211" s="20" t="str">
        <f>IF(N30211="","",COUNTIFS(RawData[[Date ]],N30211,RawData[Month List],$Q$6,RawData[Tour/Site],$Q$2,RawData[[Picker ID ]],$Q$3,RawData[Checker ID],$Q$4,RawData[[Error Type ]],$Q$5))</f>
        <v/>
      </c>
    </row>
    <row r="30212" spans="15:15" x14ac:dyDescent="0.25">
      <c r="O30212" s="20" t="str">
        <f>IF(N30212="","",COUNTIFS(RawData[[Date ]],N30212,RawData[Month List],$Q$6,RawData[Tour/Site],$Q$2,RawData[[Picker ID ]],$Q$3,RawData[Checker ID],$Q$4,RawData[[Error Type ]],$Q$5))</f>
        <v/>
      </c>
    </row>
    <row r="30213" spans="15:15" x14ac:dyDescent="0.25">
      <c r="O30213" s="20" t="str">
        <f>IF(N30213="","",COUNTIFS(RawData[[Date ]],N30213,RawData[Month List],$Q$6,RawData[Tour/Site],$Q$2,RawData[[Picker ID ]],$Q$3,RawData[Checker ID],$Q$4,RawData[[Error Type ]],$Q$5))</f>
        <v/>
      </c>
    </row>
    <row r="30214" spans="15:15" x14ac:dyDescent="0.25">
      <c r="O30214" s="20" t="str">
        <f>IF(N30214="","",COUNTIFS(RawData[[Date ]],N30214,RawData[Month List],$Q$6,RawData[Tour/Site],$Q$2,RawData[[Picker ID ]],$Q$3,RawData[Checker ID],$Q$4,RawData[[Error Type ]],$Q$5))</f>
        <v/>
      </c>
    </row>
    <row r="30215" spans="15:15" x14ac:dyDescent="0.25">
      <c r="O30215" s="20" t="str">
        <f>IF(N30215="","",COUNTIFS(RawData[[Date ]],N30215,RawData[Month List],$Q$6,RawData[Tour/Site],$Q$2,RawData[[Picker ID ]],$Q$3,RawData[Checker ID],$Q$4,RawData[[Error Type ]],$Q$5))</f>
        <v/>
      </c>
    </row>
    <row r="30216" spans="15:15" x14ac:dyDescent="0.25">
      <c r="O30216" s="20" t="str">
        <f>IF(N30216="","",COUNTIFS(RawData[[Date ]],N30216,RawData[Month List],$Q$6,RawData[Tour/Site],$Q$2,RawData[[Picker ID ]],$Q$3,RawData[Checker ID],$Q$4,RawData[[Error Type ]],$Q$5))</f>
        <v/>
      </c>
    </row>
    <row r="30217" spans="15:15" x14ac:dyDescent="0.25">
      <c r="O30217" s="20" t="str">
        <f>IF(N30217="","",COUNTIFS(RawData[[Date ]],N30217,RawData[Month List],$Q$6,RawData[Tour/Site],$Q$2,RawData[[Picker ID ]],$Q$3,RawData[Checker ID],$Q$4,RawData[[Error Type ]],$Q$5))</f>
        <v/>
      </c>
    </row>
    <row r="30218" spans="15:15" x14ac:dyDescent="0.25">
      <c r="O30218" s="20" t="str">
        <f>IF(N30218="","",COUNTIFS(RawData[[Date ]],N30218,RawData[Month List],$Q$6,RawData[Tour/Site],$Q$2,RawData[[Picker ID ]],$Q$3,RawData[Checker ID],$Q$4,RawData[[Error Type ]],$Q$5))</f>
        <v/>
      </c>
    </row>
    <row r="30219" spans="15:15" x14ac:dyDescent="0.25">
      <c r="O30219" s="20" t="str">
        <f>IF(N30219="","",COUNTIFS(RawData[[Date ]],N30219,RawData[Month List],$Q$6,RawData[Tour/Site],$Q$2,RawData[[Picker ID ]],$Q$3,RawData[Checker ID],$Q$4,RawData[[Error Type ]],$Q$5))</f>
        <v/>
      </c>
    </row>
    <row r="30220" spans="15:15" x14ac:dyDescent="0.25">
      <c r="O30220" s="20" t="str">
        <f>IF(N30220="","",COUNTIFS(RawData[[Date ]],N30220,RawData[Month List],$Q$6,RawData[Tour/Site],$Q$2,RawData[[Picker ID ]],$Q$3,RawData[Checker ID],$Q$4,RawData[[Error Type ]],$Q$5))</f>
        <v/>
      </c>
    </row>
    <row r="30221" spans="15:15" x14ac:dyDescent="0.25">
      <c r="O30221" s="20" t="str">
        <f>IF(N30221="","",COUNTIFS(RawData[[Date ]],N30221,RawData[Month List],$Q$6,RawData[Tour/Site],$Q$2,RawData[[Picker ID ]],$Q$3,RawData[Checker ID],$Q$4,RawData[[Error Type ]],$Q$5))</f>
        <v/>
      </c>
    </row>
    <row r="30222" spans="15:15" x14ac:dyDescent="0.25">
      <c r="O30222" s="20" t="str">
        <f>IF(N30222="","",COUNTIFS(RawData[[Date ]],N30222,RawData[Month List],$Q$6,RawData[Tour/Site],$Q$2,RawData[[Picker ID ]],$Q$3,RawData[Checker ID],$Q$4,RawData[[Error Type ]],$Q$5))</f>
        <v/>
      </c>
    </row>
    <row r="30223" spans="15:15" x14ac:dyDescent="0.25">
      <c r="O30223" s="20" t="str">
        <f>IF(N30223="","",COUNTIFS(RawData[[Date ]],N30223,RawData[Month List],$Q$6,RawData[Tour/Site],$Q$2,RawData[[Picker ID ]],$Q$3,RawData[Checker ID],$Q$4,RawData[[Error Type ]],$Q$5))</f>
        <v/>
      </c>
    </row>
    <row r="30224" spans="15:15" x14ac:dyDescent="0.25">
      <c r="O30224" s="20" t="str">
        <f>IF(N30224="","",COUNTIFS(RawData[[Date ]],N30224,RawData[Month List],$Q$6,RawData[Tour/Site],$Q$2,RawData[[Picker ID ]],$Q$3,RawData[Checker ID],$Q$4,RawData[[Error Type ]],$Q$5))</f>
        <v/>
      </c>
    </row>
    <row r="30225" spans="15:15" x14ac:dyDescent="0.25">
      <c r="O30225" s="20" t="str">
        <f>IF(N30225="","",COUNTIFS(RawData[[Date ]],N30225,RawData[Month List],$Q$6,RawData[Tour/Site],$Q$2,RawData[[Picker ID ]],$Q$3,RawData[Checker ID],$Q$4,RawData[[Error Type ]],$Q$5))</f>
        <v/>
      </c>
    </row>
    <row r="30226" spans="15:15" x14ac:dyDescent="0.25">
      <c r="O30226" s="20" t="str">
        <f>IF(N30226="","",COUNTIFS(RawData[[Date ]],N30226,RawData[Month List],$Q$6,RawData[Tour/Site],$Q$2,RawData[[Picker ID ]],$Q$3,RawData[Checker ID],$Q$4,RawData[[Error Type ]],$Q$5))</f>
        <v/>
      </c>
    </row>
    <row r="30227" spans="15:15" x14ac:dyDescent="0.25">
      <c r="O30227" s="20" t="str">
        <f>IF(N30227="","",COUNTIFS(RawData[[Date ]],N30227,RawData[Month List],$Q$6,RawData[Tour/Site],$Q$2,RawData[[Picker ID ]],$Q$3,RawData[Checker ID],$Q$4,RawData[[Error Type ]],$Q$5))</f>
        <v/>
      </c>
    </row>
    <row r="30228" spans="15:15" x14ac:dyDescent="0.25">
      <c r="O30228" s="20" t="str">
        <f>IF(N30228="","",COUNTIFS(RawData[[Date ]],N30228,RawData[Month List],$Q$6,RawData[Tour/Site],$Q$2,RawData[[Picker ID ]],$Q$3,RawData[Checker ID],$Q$4,RawData[[Error Type ]],$Q$5))</f>
        <v/>
      </c>
    </row>
    <row r="30229" spans="15:15" x14ac:dyDescent="0.25">
      <c r="O30229" s="20" t="str">
        <f>IF(N30229="","",COUNTIFS(RawData[[Date ]],N30229,RawData[Month List],$Q$6,RawData[Tour/Site],$Q$2,RawData[[Picker ID ]],$Q$3,RawData[Checker ID],$Q$4,RawData[[Error Type ]],$Q$5))</f>
        <v/>
      </c>
    </row>
    <row r="30230" spans="15:15" x14ac:dyDescent="0.25">
      <c r="O30230" s="20" t="str">
        <f>IF(N30230="","",COUNTIFS(RawData[[Date ]],N30230,RawData[Month List],$Q$6,RawData[Tour/Site],$Q$2,RawData[[Picker ID ]],$Q$3,RawData[Checker ID],$Q$4,RawData[[Error Type ]],$Q$5))</f>
        <v/>
      </c>
    </row>
    <row r="30231" spans="15:15" x14ac:dyDescent="0.25">
      <c r="O30231" s="20" t="str">
        <f>IF(N30231="","",COUNTIFS(RawData[[Date ]],N30231,RawData[Month List],$Q$6,RawData[Tour/Site],$Q$2,RawData[[Picker ID ]],$Q$3,RawData[Checker ID],$Q$4,RawData[[Error Type ]],$Q$5))</f>
        <v/>
      </c>
    </row>
    <row r="30232" spans="15:15" x14ac:dyDescent="0.25">
      <c r="O30232" s="20" t="str">
        <f>IF(N30232="","",COUNTIFS(RawData[[Date ]],N30232,RawData[Month List],$Q$6,RawData[Tour/Site],$Q$2,RawData[[Picker ID ]],$Q$3,RawData[Checker ID],$Q$4,RawData[[Error Type ]],$Q$5))</f>
        <v/>
      </c>
    </row>
    <row r="30233" spans="15:15" x14ac:dyDescent="0.25">
      <c r="O30233" s="20" t="str">
        <f>IF(N30233="","",COUNTIFS(RawData[[Date ]],N30233,RawData[Month List],$Q$6,RawData[Tour/Site],$Q$2,RawData[[Picker ID ]],$Q$3,RawData[Checker ID],$Q$4,RawData[[Error Type ]],$Q$5))</f>
        <v/>
      </c>
    </row>
    <row r="30234" spans="15:15" x14ac:dyDescent="0.25">
      <c r="O30234" s="20" t="str">
        <f>IF(N30234="","",COUNTIFS(RawData[[Date ]],N30234,RawData[Month List],$Q$6,RawData[Tour/Site],$Q$2,RawData[[Picker ID ]],$Q$3,RawData[Checker ID],$Q$4,RawData[[Error Type ]],$Q$5))</f>
        <v/>
      </c>
    </row>
    <row r="30235" spans="15:15" x14ac:dyDescent="0.25">
      <c r="O30235" s="20" t="str">
        <f>IF(N30235="","",COUNTIFS(RawData[[Date ]],N30235,RawData[Month List],$Q$6,RawData[Tour/Site],$Q$2,RawData[[Picker ID ]],$Q$3,RawData[Checker ID],$Q$4,RawData[[Error Type ]],$Q$5))</f>
        <v/>
      </c>
    </row>
    <row r="30236" spans="15:15" x14ac:dyDescent="0.25">
      <c r="O30236" s="20" t="str">
        <f>IF(N30236="","",COUNTIFS(RawData[[Date ]],N30236,RawData[Month List],$Q$6,RawData[Tour/Site],$Q$2,RawData[[Picker ID ]],$Q$3,RawData[Checker ID],$Q$4,RawData[[Error Type ]],$Q$5))</f>
        <v/>
      </c>
    </row>
    <row r="30237" spans="15:15" x14ac:dyDescent="0.25">
      <c r="O30237" s="20" t="str">
        <f>IF(N30237="","",COUNTIFS(RawData[[Date ]],N30237,RawData[Month List],$Q$6,RawData[Tour/Site],$Q$2,RawData[[Picker ID ]],$Q$3,RawData[Checker ID],$Q$4,RawData[[Error Type ]],$Q$5))</f>
        <v/>
      </c>
    </row>
    <row r="30238" spans="15:15" x14ac:dyDescent="0.25">
      <c r="O30238" s="20" t="str">
        <f>IF(N30238="","",COUNTIFS(RawData[[Date ]],N30238,RawData[Month List],$Q$6,RawData[Tour/Site],$Q$2,RawData[[Picker ID ]],$Q$3,RawData[Checker ID],$Q$4,RawData[[Error Type ]],$Q$5))</f>
        <v/>
      </c>
    </row>
    <row r="30239" spans="15:15" x14ac:dyDescent="0.25">
      <c r="O30239" s="20" t="str">
        <f>IF(N30239="","",COUNTIFS(RawData[[Date ]],N30239,RawData[Month List],$Q$6,RawData[Tour/Site],$Q$2,RawData[[Picker ID ]],$Q$3,RawData[Checker ID],$Q$4,RawData[[Error Type ]],$Q$5))</f>
        <v/>
      </c>
    </row>
    <row r="30240" spans="15:15" x14ac:dyDescent="0.25">
      <c r="O30240" s="20" t="str">
        <f>IF(N30240="","",COUNTIFS(RawData[[Date ]],N30240,RawData[Month List],$Q$6,RawData[Tour/Site],$Q$2,RawData[[Picker ID ]],$Q$3,RawData[Checker ID],$Q$4,RawData[[Error Type ]],$Q$5))</f>
        <v/>
      </c>
    </row>
    <row r="30241" spans="15:15" x14ac:dyDescent="0.25">
      <c r="O30241" s="20" t="str">
        <f>IF(N30241="","",COUNTIFS(RawData[[Date ]],N30241,RawData[Month List],$Q$6,RawData[Tour/Site],$Q$2,RawData[[Picker ID ]],$Q$3,RawData[Checker ID],$Q$4,RawData[[Error Type ]],$Q$5))</f>
        <v/>
      </c>
    </row>
    <row r="30242" spans="15:15" x14ac:dyDescent="0.25">
      <c r="O30242" s="20" t="str">
        <f>IF(N30242="","",COUNTIFS(RawData[[Date ]],N30242,RawData[Month List],$Q$6,RawData[Tour/Site],$Q$2,RawData[[Picker ID ]],$Q$3,RawData[Checker ID],$Q$4,RawData[[Error Type ]],$Q$5))</f>
        <v/>
      </c>
    </row>
    <row r="30243" spans="15:15" x14ac:dyDescent="0.25">
      <c r="O30243" s="20" t="str">
        <f>IF(N30243="","",COUNTIFS(RawData[[Date ]],N30243,RawData[Month List],$Q$6,RawData[Tour/Site],$Q$2,RawData[[Picker ID ]],$Q$3,RawData[Checker ID],$Q$4,RawData[[Error Type ]],$Q$5))</f>
        <v/>
      </c>
    </row>
    <row r="30244" spans="15:15" x14ac:dyDescent="0.25">
      <c r="O30244" s="20" t="str">
        <f>IF(N30244="","",COUNTIFS(RawData[[Date ]],N30244,RawData[Month List],$Q$6,RawData[Tour/Site],$Q$2,RawData[[Picker ID ]],$Q$3,RawData[Checker ID],$Q$4,RawData[[Error Type ]],$Q$5))</f>
        <v/>
      </c>
    </row>
    <row r="30245" spans="15:15" x14ac:dyDescent="0.25">
      <c r="O30245" s="20" t="str">
        <f>IF(N30245="","",COUNTIFS(RawData[[Date ]],N30245,RawData[Month List],$Q$6,RawData[Tour/Site],$Q$2,RawData[[Picker ID ]],$Q$3,RawData[Checker ID],$Q$4,RawData[[Error Type ]],$Q$5))</f>
        <v/>
      </c>
    </row>
    <row r="30246" spans="15:15" x14ac:dyDescent="0.25">
      <c r="O30246" s="20" t="str">
        <f>IF(N30246="","",COUNTIFS(RawData[[Date ]],N30246,RawData[Month List],$Q$6,RawData[Tour/Site],$Q$2,RawData[[Picker ID ]],$Q$3,RawData[Checker ID],$Q$4,RawData[[Error Type ]],$Q$5))</f>
        <v/>
      </c>
    </row>
    <row r="30247" spans="15:15" x14ac:dyDescent="0.25">
      <c r="O30247" s="20" t="str">
        <f>IF(N30247="","",COUNTIFS(RawData[[Date ]],N30247,RawData[Month List],$Q$6,RawData[Tour/Site],$Q$2,RawData[[Picker ID ]],$Q$3,RawData[Checker ID],$Q$4,RawData[[Error Type ]],$Q$5))</f>
        <v/>
      </c>
    </row>
    <row r="30248" spans="15:15" x14ac:dyDescent="0.25">
      <c r="O30248" s="20" t="str">
        <f>IF(N30248="","",COUNTIFS(RawData[[Date ]],N30248,RawData[Month List],$Q$6,RawData[Tour/Site],$Q$2,RawData[[Picker ID ]],$Q$3,RawData[Checker ID],$Q$4,RawData[[Error Type ]],$Q$5))</f>
        <v/>
      </c>
    </row>
    <row r="30249" spans="15:15" x14ac:dyDescent="0.25">
      <c r="O30249" s="20" t="str">
        <f>IF(N30249="","",COUNTIFS(RawData[[Date ]],N30249,RawData[Month List],$Q$6,RawData[Tour/Site],$Q$2,RawData[[Picker ID ]],$Q$3,RawData[Checker ID],$Q$4,RawData[[Error Type ]],$Q$5))</f>
        <v/>
      </c>
    </row>
    <row r="30250" spans="15:15" x14ac:dyDescent="0.25">
      <c r="O30250" s="20" t="str">
        <f>IF(N30250="","",COUNTIFS(RawData[[Date ]],N30250,RawData[Month List],$Q$6,RawData[Tour/Site],$Q$2,RawData[[Picker ID ]],$Q$3,RawData[Checker ID],$Q$4,RawData[[Error Type ]],$Q$5))</f>
        <v/>
      </c>
    </row>
    <row r="30251" spans="15:15" x14ac:dyDescent="0.25">
      <c r="O30251" s="20" t="str">
        <f>IF(N30251="","",COUNTIFS(RawData[[Date ]],N30251,RawData[Month List],$Q$6,RawData[Tour/Site],$Q$2,RawData[[Picker ID ]],$Q$3,RawData[Checker ID],$Q$4,RawData[[Error Type ]],$Q$5))</f>
        <v/>
      </c>
    </row>
    <row r="30252" spans="15:15" x14ac:dyDescent="0.25">
      <c r="O30252" s="20" t="str">
        <f>IF(N30252="","",COUNTIFS(RawData[[Date ]],N30252,RawData[Month List],$Q$6,RawData[Tour/Site],$Q$2,RawData[[Picker ID ]],$Q$3,RawData[Checker ID],$Q$4,RawData[[Error Type ]],$Q$5))</f>
        <v/>
      </c>
    </row>
    <row r="30253" spans="15:15" x14ac:dyDescent="0.25">
      <c r="O30253" s="20" t="str">
        <f>IF(N30253="","",COUNTIFS(RawData[[Date ]],N30253,RawData[Month List],$Q$6,RawData[Tour/Site],$Q$2,RawData[[Picker ID ]],$Q$3,RawData[Checker ID],$Q$4,RawData[[Error Type ]],$Q$5))</f>
        <v/>
      </c>
    </row>
    <row r="30254" spans="15:15" x14ac:dyDescent="0.25">
      <c r="O30254" s="20" t="str">
        <f>IF(N30254="","",COUNTIFS(RawData[[Date ]],N30254,RawData[Month List],$Q$6,RawData[Tour/Site],$Q$2,RawData[[Picker ID ]],$Q$3,RawData[Checker ID],$Q$4,RawData[[Error Type ]],$Q$5))</f>
        <v/>
      </c>
    </row>
    <row r="30255" spans="15:15" x14ac:dyDescent="0.25">
      <c r="O30255" s="20" t="str">
        <f>IF(N30255="","",COUNTIFS(RawData[[Date ]],N30255,RawData[Month List],$Q$6,RawData[Tour/Site],$Q$2,RawData[[Picker ID ]],$Q$3,RawData[Checker ID],$Q$4,RawData[[Error Type ]],$Q$5))</f>
        <v/>
      </c>
    </row>
    <row r="30256" spans="15:15" x14ac:dyDescent="0.25">
      <c r="O30256" s="20" t="str">
        <f>IF(N30256="","",COUNTIFS(RawData[[Date ]],N30256,RawData[Month List],$Q$6,RawData[Tour/Site],$Q$2,RawData[[Picker ID ]],$Q$3,RawData[Checker ID],$Q$4,RawData[[Error Type ]],$Q$5))</f>
        <v/>
      </c>
    </row>
    <row r="30257" spans="15:15" x14ac:dyDescent="0.25">
      <c r="O30257" s="20" t="str">
        <f>IF(N30257="","",COUNTIFS(RawData[[Date ]],N30257,RawData[Month List],$Q$6,RawData[Tour/Site],$Q$2,RawData[[Picker ID ]],$Q$3,RawData[Checker ID],$Q$4,RawData[[Error Type ]],$Q$5))</f>
        <v/>
      </c>
    </row>
    <row r="30258" spans="15:15" x14ac:dyDescent="0.25">
      <c r="O30258" s="20" t="str">
        <f>IF(N30258="","",COUNTIFS(RawData[[Date ]],N30258,RawData[Month List],$Q$6,RawData[Tour/Site],$Q$2,RawData[[Picker ID ]],$Q$3,RawData[Checker ID],$Q$4,RawData[[Error Type ]],$Q$5))</f>
        <v/>
      </c>
    </row>
    <row r="30259" spans="15:15" x14ac:dyDescent="0.25">
      <c r="O30259" s="20" t="str">
        <f>IF(N30259="","",COUNTIFS(RawData[[Date ]],N30259,RawData[Month List],$Q$6,RawData[Tour/Site],$Q$2,RawData[[Picker ID ]],$Q$3,RawData[Checker ID],$Q$4,RawData[[Error Type ]],$Q$5))</f>
        <v/>
      </c>
    </row>
    <row r="30260" spans="15:15" x14ac:dyDescent="0.25">
      <c r="O30260" s="20" t="str">
        <f>IF(N30260="","",COUNTIFS(RawData[[Date ]],N30260,RawData[Month List],$Q$6,RawData[Tour/Site],$Q$2,RawData[[Picker ID ]],$Q$3,RawData[Checker ID],$Q$4,RawData[[Error Type ]],$Q$5))</f>
        <v/>
      </c>
    </row>
    <row r="30261" spans="15:15" x14ac:dyDescent="0.25">
      <c r="O30261" s="20" t="str">
        <f>IF(N30261="","",COUNTIFS(RawData[[Date ]],N30261,RawData[Month List],$Q$6,RawData[Tour/Site],$Q$2,RawData[[Picker ID ]],$Q$3,RawData[Checker ID],$Q$4,RawData[[Error Type ]],$Q$5))</f>
        <v/>
      </c>
    </row>
    <row r="30262" spans="15:15" x14ac:dyDescent="0.25">
      <c r="O30262" s="20" t="str">
        <f>IF(N30262="","",COUNTIFS(RawData[[Date ]],N30262,RawData[Month List],$Q$6,RawData[Tour/Site],$Q$2,RawData[[Picker ID ]],$Q$3,RawData[Checker ID],$Q$4,RawData[[Error Type ]],$Q$5))</f>
        <v/>
      </c>
    </row>
    <row r="30263" spans="15:15" x14ac:dyDescent="0.25">
      <c r="O30263" s="20" t="str">
        <f>IF(N30263="","",COUNTIFS(RawData[[Date ]],N30263,RawData[Month List],$Q$6,RawData[Tour/Site],$Q$2,RawData[[Picker ID ]],$Q$3,RawData[Checker ID],$Q$4,RawData[[Error Type ]],$Q$5))</f>
        <v/>
      </c>
    </row>
    <row r="30264" spans="15:15" x14ac:dyDescent="0.25">
      <c r="O30264" s="20" t="str">
        <f>IF(N30264="","",COUNTIFS(RawData[[Date ]],N30264,RawData[Month List],$Q$6,RawData[Tour/Site],$Q$2,RawData[[Picker ID ]],$Q$3,RawData[Checker ID],$Q$4,RawData[[Error Type ]],$Q$5))</f>
        <v/>
      </c>
    </row>
    <row r="30265" spans="15:15" x14ac:dyDescent="0.25">
      <c r="O30265" s="20" t="str">
        <f>IF(N30265="","",COUNTIFS(RawData[[Date ]],N30265,RawData[Month List],$Q$6,RawData[Tour/Site],$Q$2,RawData[[Picker ID ]],$Q$3,RawData[Checker ID],$Q$4,RawData[[Error Type ]],$Q$5))</f>
        <v/>
      </c>
    </row>
    <row r="30266" spans="15:15" x14ac:dyDescent="0.25">
      <c r="O30266" s="20" t="str">
        <f>IF(N30266="","",COUNTIFS(RawData[[Date ]],N30266,RawData[Month List],$Q$6,RawData[Tour/Site],$Q$2,RawData[[Picker ID ]],$Q$3,RawData[Checker ID],$Q$4,RawData[[Error Type ]],$Q$5))</f>
        <v/>
      </c>
    </row>
    <row r="30267" spans="15:15" x14ac:dyDescent="0.25">
      <c r="O30267" s="20" t="str">
        <f>IF(N30267="","",COUNTIFS(RawData[[Date ]],N30267,RawData[Month List],$Q$6,RawData[Tour/Site],$Q$2,RawData[[Picker ID ]],$Q$3,RawData[Checker ID],$Q$4,RawData[[Error Type ]],$Q$5))</f>
        <v/>
      </c>
    </row>
    <row r="30268" spans="15:15" x14ac:dyDescent="0.25">
      <c r="O30268" s="20" t="str">
        <f>IF(N30268="","",COUNTIFS(RawData[[Date ]],N30268,RawData[Month List],$Q$6,RawData[Tour/Site],$Q$2,RawData[[Picker ID ]],$Q$3,RawData[Checker ID],$Q$4,RawData[[Error Type ]],$Q$5))</f>
        <v/>
      </c>
    </row>
    <row r="30269" spans="15:15" x14ac:dyDescent="0.25">
      <c r="O30269" s="20" t="str">
        <f>IF(N30269="","",COUNTIFS(RawData[[Date ]],N30269,RawData[Month List],$Q$6,RawData[Tour/Site],$Q$2,RawData[[Picker ID ]],$Q$3,RawData[Checker ID],$Q$4,RawData[[Error Type ]],$Q$5))</f>
        <v/>
      </c>
    </row>
    <row r="30270" spans="15:15" x14ac:dyDescent="0.25">
      <c r="O30270" s="20" t="str">
        <f>IF(N30270="","",COUNTIFS(RawData[[Date ]],N30270,RawData[Month List],$Q$6,RawData[Tour/Site],$Q$2,RawData[[Picker ID ]],$Q$3,RawData[Checker ID],$Q$4,RawData[[Error Type ]],$Q$5))</f>
        <v/>
      </c>
    </row>
    <row r="30271" spans="15:15" x14ac:dyDescent="0.25">
      <c r="O30271" s="20" t="str">
        <f>IF(N30271="","",COUNTIFS(RawData[[Date ]],N30271,RawData[Month List],$Q$6,RawData[Tour/Site],$Q$2,RawData[[Picker ID ]],$Q$3,RawData[Checker ID],$Q$4,RawData[[Error Type ]],$Q$5))</f>
        <v/>
      </c>
    </row>
    <row r="30272" spans="15:15" x14ac:dyDescent="0.25">
      <c r="O30272" s="20" t="str">
        <f>IF(N30272="","",COUNTIFS(RawData[[Date ]],N30272,RawData[Month List],$Q$6,RawData[Tour/Site],$Q$2,RawData[[Picker ID ]],$Q$3,RawData[Checker ID],$Q$4,RawData[[Error Type ]],$Q$5))</f>
        <v/>
      </c>
    </row>
    <row r="30273" spans="15:15" x14ac:dyDescent="0.25">
      <c r="O30273" s="20" t="str">
        <f>IF(N30273="","",COUNTIFS(RawData[[Date ]],N30273,RawData[Month List],$Q$6,RawData[Tour/Site],$Q$2,RawData[[Picker ID ]],$Q$3,RawData[Checker ID],$Q$4,RawData[[Error Type ]],$Q$5))</f>
        <v/>
      </c>
    </row>
    <row r="30274" spans="15:15" x14ac:dyDescent="0.25">
      <c r="O30274" s="20" t="str">
        <f>IF(N30274="","",COUNTIFS(RawData[[Date ]],N30274,RawData[Month List],$Q$6,RawData[Tour/Site],$Q$2,RawData[[Picker ID ]],$Q$3,RawData[Checker ID],$Q$4,RawData[[Error Type ]],$Q$5))</f>
        <v/>
      </c>
    </row>
    <row r="30275" spans="15:15" x14ac:dyDescent="0.25">
      <c r="O30275" s="20" t="str">
        <f>IF(N30275="","",COUNTIFS(RawData[[Date ]],N30275,RawData[Month List],$Q$6,RawData[Tour/Site],$Q$2,RawData[[Picker ID ]],$Q$3,RawData[Checker ID],$Q$4,RawData[[Error Type ]],$Q$5))</f>
        <v/>
      </c>
    </row>
    <row r="30276" spans="15:15" x14ac:dyDescent="0.25">
      <c r="O30276" s="20" t="str">
        <f>IF(N30276="","",COUNTIFS(RawData[[Date ]],N30276,RawData[Month List],$Q$6,RawData[Tour/Site],$Q$2,RawData[[Picker ID ]],$Q$3,RawData[Checker ID],$Q$4,RawData[[Error Type ]],$Q$5))</f>
        <v/>
      </c>
    </row>
    <row r="30277" spans="15:15" x14ac:dyDescent="0.25">
      <c r="O30277" s="20" t="str">
        <f>IF(N30277="","",COUNTIFS(RawData[[Date ]],N30277,RawData[Month List],$Q$6,RawData[Tour/Site],$Q$2,RawData[[Picker ID ]],$Q$3,RawData[Checker ID],$Q$4,RawData[[Error Type ]],$Q$5))</f>
        <v/>
      </c>
    </row>
    <row r="30278" spans="15:15" x14ac:dyDescent="0.25">
      <c r="O30278" s="20" t="str">
        <f>IF(N30278="","",COUNTIFS(RawData[[Date ]],N30278,RawData[Month List],$Q$6,RawData[Tour/Site],$Q$2,RawData[[Picker ID ]],$Q$3,RawData[Checker ID],$Q$4,RawData[[Error Type ]],$Q$5))</f>
        <v/>
      </c>
    </row>
    <row r="30279" spans="15:15" x14ac:dyDescent="0.25">
      <c r="O30279" s="20" t="str">
        <f>IF(N30279="","",COUNTIFS(RawData[[Date ]],N30279,RawData[Month List],$Q$6,RawData[Tour/Site],$Q$2,RawData[[Picker ID ]],$Q$3,RawData[Checker ID],$Q$4,RawData[[Error Type ]],$Q$5))</f>
        <v/>
      </c>
    </row>
    <row r="30280" spans="15:15" x14ac:dyDescent="0.25">
      <c r="O30280" s="20" t="str">
        <f>IF(N30280="","",COUNTIFS(RawData[[Date ]],N30280,RawData[Month List],$Q$6,RawData[Tour/Site],$Q$2,RawData[[Picker ID ]],$Q$3,RawData[Checker ID],$Q$4,RawData[[Error Type ]],$Q$5))</f>
        <v/>
      </c>
    </row>
    <row r="30281" spans="15:15" x14ac:dyDescent="0.25">
      <c r="O30281" s="20" t="str">
        <f>IF(N30281="","",COUNTIFS(RawData[[Date ]],N30281,RawData[Month List],$Q$6,RawData[Tour/Site],$Q$2,RawData[[Picker ID ]],$Q$3,RawData[Checker ID],$Q$4,RawData[[Error Type ]],$Q$5))</f>
        <v/>
      </c>
    </row>
    <row r="30282" spans="15:15" x14ac:dyDescent="0.25">
      <c r="O30282" s="20" t="str">
        <f>IF(N30282="","",COUNTIFS(RawData[[Date ]],N30282,RawData[Month List],$Q$6,RawData[Tour/Site],$Q$2,RawData[[Picker ID ]],$Q$3,RawData[Checker ID],$Q$4,RawData[[Error Type ]],$Q$5))</f>
        <v/>
      </c>
    </row>
    <row r="30283" spans="15:15" x14ac:dyDescent="0.25">
      <c r="O30283" s="20" t="str">
        <f>IF(N30283="","",COUNTIFS(RawData[[Date ]],N30283,RawData[Month List],$Q$6,RawData[Tour/Site],$Q$2,RawData[[Picker ID ]],$Q$3,RawData[Checker ID],$Q$4,RawData[[Error Type ]],$Q$5))</f>
        <v/>
      </c>
    </row>
    <row r="30284" spans="15:15" x14ac:dyDescent="0.25">
      <c r="O30284" s="20" t="str">
        <f>IF(N30284="","",COUNTIFS(RawData[[Date ]],N30284,RawData[Month List],$Q$6,RawData[Tour/Site],$Q$2,RawData[[Picker ID ]],$Q$3,RawData[Checker ID],$Q$4,RawData[[Error Type ]],$Q$5))</f>
        <v/>
      </c>
    </row>
    <row r="30285" spans="15:15" x14ac:dyDescent="0.25">
      <c r="O30285" s="20" t="str">
        <f>IF(N30285="","",COUNTIFS(RawData[[Date ]],N30285,RawData[Month List],$Q$6,RawData[Tour/Site],$Q$2,RawData[[Picker ID ]],$Q$3,RawData[Checker ID],$Q$4,RawData[[Error Type ]],$Q$5))</f>
        <v/>
      </c>
    </row>
    <row r="30286" spans="15:15" x14ac:dyDescent="0.25">
      <c r="O30286" s="20" t="str">
        <f>IF(N30286="","",COUNTIFS(RawData[[Date ]],N30286,RawData[Month List],$Q$6,RawData[Tour/Site],$Q$2,RawData[[Picker ID ]],$Q$3,RawData[Checker ID],$Q$4,RawData[[Error Type ]],$Q$5))</f>
        <v/>
      </c>
    </row>
    <row r="30287" spans="15:15" x14ac:dyDescent="0.25">
      <c r="O30287" s="20" t="str">
        <f>IF(N30287="","",COUNTIFS(RawData[[Date ]],N30287,RawData[Month List],$Q$6,RawData[Tour/Site],$Q$2,RawData[[Picker ID ]],$Q$3,RawData[Checker ID],$Q$4,RawData[[Error Type ]],$Q$5))</f>
        <v/>
      </c>
    </row>
    <row r="30288" spans="15:15" x14ac:dyDescent="0.25">
      <c r="O30288" s="20" t="str">
        <f>IF(N30288="","",COUNTIFS(RawData[[Date ]],N30288,RawData[Month List],$Q$6,RawData[Tour/Site],$Q$2,RawData[[Picker ID ]],$Q$3,RawData[Checker ID],$Q$4,RawData[[Error Type ]],$Q$5))</f>
        <v/>
      </c>
    </row>
    <row r="30289" spans="15:15" x14ac:dyDescent="0.25">
      <c r="O30289" s="20" t="str">
        <f>IF(N30289="","",COUNTIFS(RawData[[Date ]],N30289,RawData[Month List],$Q$6,RawData[Tour/Site],$Q$2,RawData[[Picker ID ]],$Q$3,RawData[Checker ID],$Q$4,RawData[[Error Type ]],$Q$5))</f>
        <v/>
      </c>
    </row>
    <row r="30290" spans="15:15" x14ac:dyDescent="0.25">
      <c r="O30290" s="20" t="str">
        <f>IF(N30290="","",COUNTIFS(RawData[[Date ]],N30290,RawData[Month List],$Q$6,RawData[Tour/Site],$Q$2,RawData[[Picker ID ]],$Q$3,RawData[Checker ID],$Q$4,RawData[[Error Type ]],$Q$5))</f>
        <v/>
      </c>
    </row>
    <row r="30291" spans="15:15" x14ac:dyDescent="0.25">
      <c r="O30291" s="20" t="str">
        <f>IF(N30291="","",COUNTIFS(RawData[[Date ]],N30291,RawData[Month List],$Q$6,RawData[Tour/Site],$Q$2,RawData[[Picker ID ]],$Q$3,RawData[Checker ID],$Q$4,RawData[[Error Type ]],$Q$5))</f>
        <v/>
      </c>
    </row>
    <row r="30292" spans="15:15" x14ac:dyDescent="0.25">
      <c r="O30292" s="20" t="str">
        <f>IF(N30292="","",COUNTIFS(RawData[[Date ]],N30292,RawData[Month List],$Q$6,RawData[Tour/Site],$Q$2,RawData[[Picker ID ]],$Q$3,RawData[Checker ID],$Q$4,RawData[[Error Type ]],$Q$5))</f>
        <v/>
      </c>
    </row>
    <row r="30293" spans="15:15" x14ac:dyDescent="0.25">
      <c r="O30293" s="20" t="str">
        <f>IF(N30293="","",COUNTIFS(RawData[[Date ]],N30293,RawData[Month List],$Q$6,RawData[Tour/Site],$Q$2,RawData[[Picker ID ]],$Q$3,RawData[Checker ID],$Q$4,RawData[[Error Type ]],$Q$5))</f>
        <v/>
      </c>
    </row>
    <row r="30294" spans="15:15" x14ac:dyDescent="0.25">
      <c r="O30294" s="20" t="str">
        <f>IF(N30294="","",COUNTIFS(RawData[[Date ]],N30294,RawData[Month List],$Q$6,RawData[Tour/Site],$Q$2,RawData[[Picker ID ]],$Q$3,RawData[Checker ID],$Q$4,RawData[[Error Type ]],$Q$5))</f>
        <v/>
      </c>
    </row>
    <row r="30295" spans="15:15" x14ac:dyDescent="0.25">
      <c r="O30295" s="20" t="str">
        <f>IF(N30295="","",COUNTIFS(RawData[[Date ]],N30295,RawData[Month List],$Q$6,RawData[Tour/Site],$Q$2,RawData[[Picker ID ]],$Q$3,RawData[Checker ID],$Q$4,RawData[[Error Type ]],$Q$5))</f>
        <v/>
      </c>
    </row>
    <row r="30296" spans="15:15" x14ac:dyDescent="0.25">
      <c r="O30296" s="20" t="str">
        <f>IF(N30296="","",COUNTIFS(RawData[[Date ]],N30296,RawData[Month List],$Q$6,RawData[Tour/Site],$Q$2,RawData[[Picker ID ]],$Q$3,RawData[Checker ID],$Q$4,RawData[[Error Type ]],$Q$5))</f>
        <v/>
      </c>
    </row>
    <row r="30297" spans="15:15" x14ac:dyDescent="0.25">
      <c r="O30297" s="20" t="str">
        <f>IF(N30297="","",COUNTIFS(RawData[[Date ]],N30297,RawData[Month List],$Q$6,RawData[Tour/Site],$Q$2,RawData[[Picker ID ]],$Q$3,RawData[Checker ID],$Q$4,RawData[[Error Type ]],$Q$5))</f>
        <v/>
      </c>
    </row>
    <row r="30298" spans="15:15" x14ac:dyDescent="0.25">
      <c r="O30298" s="20" t="str">
        <f>IF(N30298="","",COUNTIFS(RawData[[Date ]],N30298,RawData[Month List],$Q$6,RawData[Tour/Site],$Q$2,RawData[[Picker ID ]],$Q$3,RawData[Checker ID],$Q$4,RawData[[Error Type ]],$Q$5))</f>
        <v/>
      </c>
    </row>
    <row r="30299" spans="15:15" x14ac:dyDescent="0.25">
      <c r="O30299" s="20" t="str">
        <f>IF(N30299="","",COUNTIFS(RawData[[Date ]],N30299,RawData[Month List],$Q$6,RawData[Tour/Site],$Q$2,RawData[[Picker ID ]],$Q$3,RawData[Checker ID],$Q$4,RawData[[Error Type ]],$Q$5))</f>
        <v/>
      </c>
    </row>
    <row r="30300" spans="15:15" x14ac:dyDescent="0.25">
      <c r="O30300" s="20" t="str">
        <f>IF(N30300="","",COUNTIFS(RawData[[Date ]],N30300,RawData[Month List],$Q$6,RawData[Tour/Site],$Q$2,RawData[[Picker ID ]],$Q$3,RawData[Checker ID],$Q$4,RawData[[Error Type ]],$Q$5))</f>
        <v/>
      </c>
    </row>
    <row r="30301" spans="15:15" x14ac:dyDescent="0.25">
      <c r="O30301" s="20" t="str">
        <f>IF(N30301="","",COUNTIFS(RawData[[Date ]],N30301,RawData[Month List],$Q$6,RawData[Tour/Site],$Q$2,RawData[[Picker ID ]],$Q$3,RawData[Checker ID],$Q$4,RawData[[Error Type ]],$Q$5))</f>
        <v/>
      </c>
    </row>
    <row r="30302" spans="15:15" x14ac:dyDescent="0.25">
      <c r="O30302" s="20" t="str">
        <f>IF(N30302="","",COUNTIFS(RawData[[Date ]],N30302,RawData[Month List],$Q$6,RawData[Tour/Site],$Q$2,RawData[[Picker ID ]],$Q$3,RawData[Checker ID],$Q$4,RawData[[Error Type ]],$Q$5))</f>
        <v/>
      </c>
    </row>
    <row r="30303" spans="15:15" x14ac:dyDescent="0.25">
      <c r="O30303" s="20" t="str">
        <f>IF(N30303="","",COUNTIFS(RawData[[Date ]],N30303,RawData[Month List],$Q$6,RawData[Tour/Site],$Q$2,RawData[[Picker ID ]],$Q$3,RawData[Checker ID],$Q$4,RawData[[Error Type ]],$Q$5))</f>
        <v/>
      </c>
    </row>
    <row r="30304" spans="15:15" x14ac:dyDescent="0.25">
      <c r="O30304" s="20" t="str">
        <f>IF(N30304="","",COUNTIFS(RawData[[Date ]],N30304,RawData[Month List],$Q$6,RawData[Tour/Site],$Q$2,RawData[[Picker ID ]],$Q$3,RawData[Checker ID],$Q$4,RawData[[Error Type ]],$Q$5))</f>
        <v/>
      </c>
    </row>
    <row r="30305" spans="15:15" x14ac:dyDescent="0.25">
      <c r="O30305" s="20" t="str">
        <f>IF(N30305="","",COUNTIFS(RawData[[Date ]],N30305,RawData[Month List],$Q$6,RawData[Tour/Site],$Q$2,RawData[[Picker ID ]],$Q$3,RawData[Checker ID],$Q$4,RawData[[Error Type ]],$Q$5))</f>
        <v/>
      </c>
    </row>
    <row r="30306" spans="15:15" x14ac:dyDescent="0.25">
      <c r="O30306" s="20" t="str">
        <f>IF(N30306="","",COUNTIFS(RawData[[Date ]],N30306,RawData[Month List],$Q$6,RawData[Tour/Site],$Q$2,RawData[[Picker ID ]],$Q$3,RawData[Checker ID],$Q$4,RawData[[Error Type ]],$Q$5))</f>
        <v/>
      </c>
    </row>
    <row r="30307" spans="15:15" x14ac:dyDescent="0.25">
      <c r="O30307" s="20" t="str">
        <f>IF(N30307="","",COUNTIFS(RawData[[Date ]],N30307,RawData[Month List],$Q$6,RawData[Tour/Site],$Q$2,RawData[[Picker ID ]],$Q$3,RawData[Checker ID],$Q$4,RawData[[Error Type ]],$Q$5))</f>
        <v/>
      </c>
    </row>
    <row r="30308" spans="15:15" x14ac:dyDescent="0.25">
      <c r="O30308" s="20" t="str">
        <f>IF(N30308="","",COUNTIFS(RawData[[Date ]],N30308,RawData[Month List],$Q$6,RawData[Tour/Site],$Q$2,RawData[[Picker ID ]],$Q$3,RawData[Checker ID],$Q$4,RawData[[Error Type ]],$Q$5))</f>
        <v/>
      </c>
    </row>
    <row r="30309" spans="15:15" x14ac:dyDescent="0.25">
      <c r="O30309" s="20" t="str">
        <f>IF(N30309="","",COUNTIFS(RawData[[Date ]],N30309,RawData[Month List],$Q$6,RawData[Tour/Site],$Q$2,RawData[[Picker ID ]],$Q$3,RawData[Checker ID],$Q$4,RawData[[Error Type ]],$Q$5))</f>
        <v/>
      </c>
    </row>
    <row r="30310" spans="15:15" x14ac:dyDescent="0.25">
      <c r="O30310" s="20" t="str">
        <f>IF(N30310="","",COUNTIFS(RawData[[Date ]],N30310,RawData[Month List],$Q$6,RawData[Tour/Site],$Q$2,RawData[[Picker ID ]],$Q$3,RawData[Checker ID],$Q$4,RawData[[Error Type ]],$Q$5))</f>
        <v/>
      </c>
    </row>
    <row r="30311" spans="15:15" x14ac:dyDescent="0.25">
      <c r="O30311" s="20" t="str">
        <f>IF(N30311="","",COUNTIFS(RawData[[Date ]],N30311,RawData[Month List],$Q$6,RawData[Tour/Site],$Q$2,RawData[[Picker ID ]],$Q$3,RawData[Checker ID],$Q$4,RawData[[Error Type ]],$Q$5))</f>
        <v/>
      </c>
    </row>
    <row r="30312" spans="15:15" x14ac:dyDescent="0.25">
      <c r="O30312" s="20" t="str">
        <f>IF(N30312="","",COUNTIFS(RawData[[Date ]],N30312,RawData[Month List],$Q$6,RawData[Tour/Site],$Q$2,RawData[[Picker ID ]],$Q$3,RawData[Checker ID],$Q$4,RawData[[Error Type ]],$Q$5))</f>
        <v/>
      </c>
    </row>
    <row r="30313" spans="15:15" x14ac:dyDescent="0.25">
      <c r="O30313" s="20" t="str">
        <f>IF(N30313="","",COUNTIFS(RawData[[Date ]],N30313,RawData[Month List],$Q$6,RawData[Tour/Site],$Q$2,RawData[[Picker ID ]],$Q$3,RawData[Checker ID],$Q$4,RawData[[Error Type ]],$Q$5))</f>
        <v/>
      </c>
    </row>
    <row r="30314" spans="15:15" x14ac:dyDescent="0.25">
      <c r="O30314" s="20" t="str">
        <f>IF(N30314="","",COUNTIFS(RawData[[Date ]],N30314,RawData[Month List],$Q$6,RawData[Tour/Site],$Q$2,RawData[[Picker ID ]],$Q$3,RawData[Checker ID],$Q$4,RawData[[Error Type ]],$Q$5))</f>
        <v/>
      </c>
    </row>
    <row r="30315" spans="15:15" x14ac:dyDescent="0.25">
      <c r="O30315" s="20" t="str">
        <f>IF(N30315="","",COUNTIFS(RawData[[Date ]],N30315,RawData[Month List],$Q$6,RawData[Tour/Site],$Q$2,RawData[[Picker ID ]],$Q$3,RawData[Checker ID],$Q$4,RawData[[Error Type ]],$Q$5))</f>
        <v/>
      </c>
    </row>
    <row r="30316" spans="15:15" x14ac:dyDescent="0.25">
      <c r="O30316" s="20" t="str">
        <f>IF(N30316="","",COUNTIFS(RawData[[Date ]],N30316,RawData[Month List],$Q$6,RawData[Tour/Site],$Q$2,RawData[[Picker ID ]],$Q$3,RawData[Checker ID],$Q$4,RawData[[Error Type ]],$Q$5))</f>
        <v/>
      </c>
    </row>
    <row r="30317" spans="15:15" x14ac:dyDescent="0.25">
      <c r="O30317" s="20" t="str">
        <f>IF(N30317="","",COUNTIFS(RawData[[Date ]],N30317,RawData[Month List],$Q$6,RawData[Tour/Site],$Q$2,RawData[[Picker ID ]],$Q$3,RawData[Checker ID],$Q$4,RawData[[Error Type ]],$Q$5))</f>
        <v/>
      </c>
    </row>
    <row r="30318" spans="15:15" x14ac:dyDescent="0.25">
      <c r="O30318" s="20" t="str">
        <f>IF(N30318="","",COUNTIFS(RawData[[Date ]],N30318,RawData[Month List],$Q$6,RawData[Tour/Site],$Q$2,RawData[[Picker ID ]],$Q$3,RawData[Checker ID],$Q$4,RawData[[Error Type ]],$Q$5))</f>
        <v/>
      </c>
    </row>
    <row r="30319" spans="15:15" x14ac:dyDescent="0.25">
      <c r="O30319" s="20" t="str">
        <f>IF(N30319="","",COUNTIFS(RawData[[Date ]],N30319,RawData[Month List],$Q$6,RawData[Tour/Site],$Q$2,RawData[[Picker ID ]],$Q$3,RawData[Checker ID],$Q$4,RawData[[Error Type ]],$Q$5))</f>
        <v/>
      </c>
    </row>
    <row r="30320" spans="15:15" x14ac:dyDescent="0.25">
      <c r="O30320" s="20" t="str">
        <f>IF(N30320="","",COUNTIFS(RawData[[Date ]],N30320,RawData[Month List],$Q$6,RawData[Tour/Site],$Q$2,RawData[[Picker ID ]],$Q$3,RawData[Checker ID],$Q$4,RawData[[Error Type ]],$Q$5))</f>
        <v/>
      </c>
    </row>
    <row r="30321" spans="15:15" x14ac:dyDescent="0.25">
      <c r="O30321" s="20" t="str">
        <f>IF(N30321="","",COUNTIFS(RawData[[Date ]],N30321,RawData[Month List],$Q$6,RawData[Tour/Site],$Q$2,RawData[[Picker ID ]],$Q$3,RawData[Checker ID],$Q$4,RawData[[Error Type ]],$Q$5))</f>
        <v/>
      </c>
    </row>
    <row r="30322" spans="15:15" x14ac:dyDescent="0.25">
      <c r="O30322" s="20" t="str">
        <f>IF(N30322="","",COUNTIFS(RawData[[Date ]],N30322,RawData[Month List],$Q$6,RawData[Tour/Site],$Q$2,RawData[[Picker ID ]],$Q$3,RawData[Checker ID],$Q$4,RawData[[Error Type ]],$Q$5))</f>
        <v/>
      </c>
    </row>
    <row r="30323" spans="15:15" x14ac:dyDescent="0.25">
      <c r="O30323" s="20" t="str">
        <f>IF(N30323="","",COUNTIFS(RawData[[Date ]],N30323,RawData[Month List],$Q$6,RawData[Tour/Site],$Q$2,RawData[[Picker ID ]],$Q$3,RawData[Checker ID],$Q$4,RawData[[Error Type ]],$Q$5))</f>
        <v/>
      </c>
    </row>
    <row r="30324" spans="15:15" x14ac:dyDescent="0.25">
      <c r="O30324" s="20" t="str">
        <f>IF(N30324="","",COUNTIFS(RawData[[Date ]],N30324,RawData[Month List],$Q$6,RawData[Tour/Site],$Q$2,RawData[[Picker ID ]],$Q$3,RawData[Checker ID],$Q$4,RawData[[Error Type ]],$Q$5))</f>
        <v/>
      </c>
    </row>
    <row r="30325" spans="15:15" x14ac:dyDescent="0.25">
      <c r="O30325" s="20" t="str">
        <f>IF(N30325="","",COUNTIFS(RawData[[Date ]],N30325,RawData[Month List],$Q$6,RawData[Tour/Site],$Q$2,RawData[[Picker ID ]],$Q$3,RawData[Checker ID],$Q$4,RawData[[Error Type ]],$Q$5))</f>
        <v/>
      </c>
    </row>
    <row r="30326" spans="15:15" x14ac:dyDescent="0.25">
      <c r="O30326" s="20" t="str">
        <f>IF(N30326="","",COUNTIFS(RawData[[Date ]],N30326,RawData[Month List],$Q$6,RawData[Tour/Site],$Q$2,RawData[[Picker ID ]],$Q$3,RawData[Checker ID],$Q$4,RawData[[Error Type ]],$Q$5))</f>
        <v/>
      </c>
    </row>
    <row r="30327" spans="15:15" x14ac:dyDescent="0.25">
      <c r="O30327" s="20" t="str">
        <f>IF(N30327="","",COUNTIFS(RawData[[Date ]],N30327,RawData[Month List],$Q$6,RawData[Tour/Site],$Q$2,RawData[[Picker ID ]],$Q$3,RawData[Checker ID],$Q$4,RawData[[Error Type ]],$Q$5))</f>
        <v/>
      </c>
    </row>
    <row r="30328" spans="15:15" x14ac:dyDescent="0.25">
      <c r="O30328" s="20" t="str">
        <f>IF(N30328="","",COUNTIFS(RawData[[Date ]],N30328,RawData[Month List],$Q$6,RawData[Tour/Site],$Q$2,RawData[[Picker ID ]],$Q$3,RawData[Checker ID],$Q$4,RawData[[Error Type ]],$Q$5))</f>
        <v/>
      </c>
    </row>
    <row r="30329" spans="15:15" x14ac:dyDescent="0.25">
      <c r="O30329" s="20" t="str">
        <f>IF(N30329="","",COUNTIFS(RawData[[Date ]],N30329,RawData[Month List],$Q$6,RawData[Tour/Site],$Q$2,RawData[[Picker ID ]],$Q$3,RawData[Checker ID],$Q$4,RawData[[Error Type ]],$Q$5))</f>
        <v/>
      </c>
    </row>
    <row r="30330" spans="15:15" x14ac:dyDescent="0.25">
      <c r="O30330" s="20" t="str">
        <f>IF(N30330="","",COUNTIFS(RawData[[Date ]],N30330,RawData[Month List],$Q$6,RawData[Tour/Site],$Q$2,RawData[[Picker ID ]],$Q$3,RawData[Checker ID],$Q$4,RawData[[Error Type ]],$Q$5))</f>
        <v/>
      </c>
    </row>
    <row r="30331" spans="15:15" x14ac:dyDescent="0.25">
      <c r="O30331" s="20" t="str">
        <f>IF(N30331="","",COUNTIFS(RawData[[Date ]],N30331,RawData[Month List],$Q$6,RawData[Tour/Site],$Q$2,RawData[[Picker ID ]],$Q$3,RawData[Checker ID],$Q$4,RawData[[Error Type ]],$Q$5))</f>
        <v/>
      </c>
    </row>
    <row r="30332" spans="15:15" x14ac:dyDescent="0.25">
      <c r="O30332" s="20" t="str">
        <f>IF(N30332="","",COUNTIFS(RawData[[Date ]],N30332,RawData[Month List],$Q$6,RawData[Tour/Site],$Q$2,RawData[[Picker ID ]],$Q$3,RawData[Checker ID],$Q$4,RawData[[Error Type ]],$Q$5))</f>
        <v/>
      </c>
    </row>
    <row r="30333" spans="15:15" x14ac:dyDescent="0.25">
      <c r="O30333" s="20" t="str">
        <f>IF(N30333="","",COUNTIFS(RawData[[Date ]],N30333,RawData[Month List],$Q$6,RawData[Tour/Site],$Q$2,RawData[[Picker ID ]],$Q$3,RawData[Checker ID],$Q$4,RawData[[Error Type ]],$Q$5))</f>
        <v/>
      </c>
    </row>
    <row r="30334" spans="15:15" x14ac:dyDescent="0.25">
      <c r="O30334" s="20" t="str">
        <f>IF(N30334="","",COUNTIFS(RawData[[Date ]],N30334,RawData[Month List],$Q$6,RawData[Tour/Site],$Q$2,RawData[[Picker ID ]],$Q$3,RawData[Checker ID],$Q$4,RawData[[Error Type ]],$Q$5))</f>
        <v/>
      </c>
    </row>
    <row r="30335" spans="15:15" x14ac:dyDescent="0.25">
      <c r="O30335" s="20" t="str">
        <f>IF(N30335="","",COUNTIFS(RawData[[Date ]],N30335,RawData[Month List],$Q$6,RawData[Tour/Site],$Q$2,RawData[[Picker ID ]],$Q$3,RawData[Checker ID],$Q$4,RawData[[Error Type ]],$Q$5))</f>
        <v/>
      </c>
    </row>
    <row r="30336" spans="15:15" x14ac:dyDescent="0.25">
      <c r="O30336" s="20" t="str">
        <f>IF(N30336="","",COUNTIFS(RawData[[Date ]],N30336,RawData[Month List],$Q$6,RawData[Tour/Site],$Q$2,RawData[[Picker ID ]],$Q$3,RawData[Checker ID],$Q$4,RawData[[Error Type ]],$Q$5))</f>
        <v/>
      </c>
    </row>
    <row r="30337" spans="15:15" x14ac:dyDescent="0.25">
      <c r="O30337" s="20" t="str">
        <f>IF(N30337="","",COUNTIFS(RawData[[Date ]],N30337,RawData[Month List],$Q$6,RawData[Tour/Site],$Q$2,RawData[[Picker ID ]],$Q$3,RawData[Checker ID],$Q$4,RawData[[Error Type ]],$Q$5))</f>
        <v/>
      </c>
    </row>
    <row r="30338" spans="15:15" x14ac:dyDescent="0.25">
      <c r="O30338" s="20" t="str">
        <f>IF(N30338="","",COUNTIFS(RawData[[Date ]],N30338,RawData[Month List],$Q$6,RawData[Tour/Site],$Q$2,RawData[[Picker ID ]],$Q$3,RawData[Checker ID],$Q$4,RawData[[Error Type ]],$Q$5))</f>
        <v/>
      </c>
    </row>
    <row r="30339" spans="15:15" x14ac:dyDescent="0.25">
      <c r="O30339" s="20" t="str">
        <f>IF(N30339="","",COUNTIFS(RawData[[Date ]],N30339,RawData[Month List],$Q$6,RawData[Tour/Site],$Q$2,RawData[[Picker ID ]],$Q$3,RawData[Checker ID],$Q$4,RawData[[Error Type ]],$Q$5))</f>
        <v/>
      </c>
    </row>
    <row r="30340" spans="15:15" x14ac:dyDescent="0.25">
      <c r="O30340" s="20" t="str">
        <f>IF(N30340="","",COUNTIFS(RawData[[Date ]],N30340,RawData[Month List],$Q$6,RawData[Tour/Site],$Q$2,RawData[[Picker ID ]],$Q$3,RawData[Checker ID],$Q$4,RawData[[Error Type ]],$Q$5))</f>
        <v/>
      </c>
    </row>
    <row r="30341" spans="15:15" x14ac:dyDescent="0.25">
      <c r="O30341" s="20" t="str">
        <f>IF(N30341="","",COUNTIFS(RawData[[Date ]],N30341,RawData[Month List],$Q$6,RawData[Tour/Site],$Q$2,RawData[[Picker ID ]],$Q$3,RawData[Checker ID],$Q$4,RawData[[Error Type ]],$Q$5))</f>
        <v/>
      </c>
    </row>
    <row r="30342" spans="15:15" x14ac:dyDescent="0.25">
      <c r="O30342" s="20" t="str">
        <f>IF(N30342="","",COUNTIFS(RawData[[Date ]],N30342,RawData[Month List],$Q$6,RawData[Tour/Site],$Q$2,RawData[[Picker ID ]],$Q$3,RawData[Checker ID],$Q$4,RawData[[Error Type ]],$Q$5))</f>
        <v/>
      </c>
    </row>
    <row r="30343" spans="15:15" x14ac:dyDescent="0.25">
      <c r="O30343" s="20" t="str">
        <f>IF(N30343="","",COUNTIFS(RawData[[Date ]],N30343,RawData[Month List],$Q$6,RawData[Tour/Site],$Q$2,RawData[[Picker ID ]],$Q$3,RawData[Checker ID],$Q$4,RawData[[Error Type ]],$Q$5))</f>
        <v/>
      </c>
    </row>
    <row r="30344" spans="15:15" x14ac:dyDescent="0.25">
      <c r="O30344" s="20" t="str">
        <f>IF(N30344="","",COUNTIFS(RawData[[Date ]],N30344,RawData[Month List],$Q$6,RawData[Tour/Site],$Q$2,RawData[[Picker ID ]],$Q$3,RawData[Checker ID],$Q$4,RawData[[Error Type ]],$Q$5))</f>
        <v/>
      </c>
    </row>
    <row r="30345" spans="15:15" x14ac:dyDescent="0.25">
      <c r="O30345" s="20" t="str">
        <f>IF(N30345="","",COUNTIFS(RawData[[Date ]],N30345,RawData[Month List],$Q$6,RawData[Tour/Site],$Q$2,RawData[[Picker ID ]],$Q$3,RawData[Checker ID],$Q$4,RawData[[Error Type ]],$Q$5))</f>
        <v/>
      </c>
    </row>
    <row r="30346" spans="15:15" x14ac:dyDescent="0.25">
      <c r="O30346" s="20" t="str">
        <f>IF(N30346="","",COUNTIFS(RawData[[Date ]],N30346,RawData[Month List],$Q$6,RawData[Tour/Site],$Q$2,RawData[[Picker ID ]],$Q$3,RawData[Checker ID],$Q$4,RawData[[Error Type ]],$Q$5))</f>
        <v/>
      </c>
    </row>
    <row r="30347" spans="15:15" x14ac:dyDescent="0.25">
      <c r="O30347" s="20" t="str">
        <f>IF(N30347="","",COUNTIFS(RawData[[Date ]],N30347,RawData[Month List],$Q$6,RawData[Tour/Site],$Q$2,RawData[[Picker ID ]],$Q$3,RawData[Checker ID],$Q$4,RawData[[Error Type ]],$Q$5))</f>
        <v/>
      </c>
    </row>
    <row r="30348" spans="15:15" x14ac:dyDescent="0.25">
      <c r="O30348" s="20" t="str">
        <f>IF(N30348="","",COUNTIFS(RawData[[Date ]],N30348,RawData[Month List],$Q$6,RawData[Tour/Site],$Q$2,RawData[[Picker ID ]],$Q$3,RawData[Checker ID],$Q$4,RawData[[Error Type ]],$Q$5))</f>
        <v/>
      </c>
    </row>
    <row r="30349" spans="15:15" x14ac:dyDescent="0.25">
      <c r="O30349" s="20" t="str">
        <f>IF(N30349="","",COUNTIFS(RawData[[Date ]],N30349,RawData[Month List],$Q$6,RawData[Tour/Site],$Q$2,RawData[[Picker ID ]],$Q$3,RawData[Checker ID],$Q$4,RawData[[Error Type ]],$Q$5))</f>
        <v/>
      </c>
    </row>
    <row r="30350" spans="15:15" x14ac:dyDescent="0.25">
      <c r="O30350" s="20" t="str">
        <f>IF(N30350="","",COUNTIFS(RawData[[Date ]],N30350,RawData[Month List],$Q$6,RawData[Tour/Site],$Q$2,RawData[[Picker ID ]],$Q$3,RawData[Checker ID],$Q$4,RawData[[Error Type ]],$Q$5))</f>
        <v/>
      </c>
    </row>
    <row r="30351" spans="15:15" x14ac:dyDescent="0.25">
      <c r="O30351" s="20" t="str">
        <f>IF(N30351="","",COUNTIFS(RawData[[Date ]],N30351,RawData[Month List],$Q$6,RawData[Tour/Site],$Q$2,RawData[[Picker ID ]],$Q$3,RawData[Checker ID],$Q$4,RawData[[Error Type ]],$Q$5))</f>
        <v/>
      </c>
    </row>
    <row r="30352" spans="15:15" x14ac:dyDescent="0.25">
      <c r="O30352" s="20" t="str">
        <f>IF(N30352="","",COUNTIFS(RawData[[Date ]],N30352,RawData[Month List],$Q$6,RawData[Tour/Site],$Q$2,RawData[[Picker ID ]],$Q$3,RawData[Checker ID],$Q$4,RawData[[Error Type ]],$Q$5))</f>
        <v/>
      </c>
    </row>
    <row r="30353" spans="15:15" x14ac:dyDescent="0.25">
      <c r="O30353" s="20" t="str">
        <f>IF(N30353="","",COUNTIFS(RawData[[Date ]],N30353,RawData[Month List],$Q$6,RawData[Tour/Site],$Q$2,RawData[[Picker ID ]],$Q$3,RawData[Checker ID],$Q$4,RawData[[Error Type ]],$Q$5))</f>
        <v/>
      </c>
    </row>
    <row r="30354" spans="15:15" x14ac:dyDescent="0.25">
      <c r="O30354" s="20" t="str">
        <f>IF(N30354="","",COUNTIFS(RawData[[Date ]],N30354,RawData[Month List],$Q$6,RawData[Tour/Site],$Q$2,RawData[[Picker ID ]],$Q$3,RawData[Checker ID],$Q$4,RawData[[Error Type ]],$Q$5))</f>
        <v/>
      </c>
    </row>
    <row r="30355" spans="15:15" x14ac:dyDescent="0.25">
      <c r="O30355" s="20" t="str">
        <f>IF(N30355="","",COUNTIFS(RawData[[Date ]],N30355,RawData[Month List],$Q$6,RawData[Tour/Site],$Q$2,RawData[[Picker ID ]],$Q$3,RawData[Checker ID],$Q$4,RawData[[Error Type ]],$Q$5))</f>
        <v/>
      </c>
    </row>
    <row r="30356" spans="15:15" x14ac:dyDescent="0.25">
      <c r="O30356" s="20" t="str">
        <f>IF(N30356="","",COUNTIFS(RawData[[Date ]],N30356,RawData[Month List],$Q$6,RawData[Tour/Site],$Q$2,RawData[[Picker ID ]],$Q$3,RawData[Checker ID],$Q$4,RawData[[Error Type ]],$Q$5))</f>
        <v/>
      </c>
    </row>
    <row r="30357" spans="15:15" x14ac:dyDescent="0.25">
      <c r="O30357" s="20" t="str">
        <f>IF(N30357="","",COUNTIFS(RawData[[Date ]],N30357,RawData[Month List],$Q$6,RawData[Tour/Site],$Q$2,RawData[[Picker ID ]],$Q$3,RawData[Checker ID],$Q$4,RawData[[Error Type ]],$Q$5))</f>
        <v/>
      </c>
    </row>
    <row r="30358" spans="15:15" x14ac:dyDescent="0.25">
      <c r="O30358" s="20" t="str">
        <f>IF(N30358="","",COUNTIFS(RawData[[Date ]],N30358,RawData[Month List],$Q$6,RawData[Tour/Site],$Q$2,RawData[[Picker ID ]],$Q$3,RawData[Checker ID],$Q$4,RawData[[Error Type ]],$Q$5))</f>
        <v/>
      </c>
    </row>
    <row r="30359" spans="15:15" x14ac:dyDescent="0.25">
      <c r="O30359" s="20" t="str">
        <f>IF(N30359="","",COUNTIFS(RawData[[Date ]],N30359,RawData[Month List],$Q$6,RawData[Tour/Site],$Q$2,RawData[[Picker ID ]],$Q$3,RawData[Checker ID],$Q$4,RawData[[Error Type ]],$Q$5))</f>
        <v/>
      </c>
    </row>
    <row r="30360" spans="15:15" x14ac:dyDescent="0.25">
      <c r="O30360" s="20" t="str">
        <f>IF(N30360="","",COUNTIFS(RawData[[Date ]],N30360,RawData[Month List],$Q$6,RawData[Tour/Site],$Q$2,RawData[[Picker ID ]],$Q$3,RawData[Checker ID],$Q$4,RawData[[Error Type ]],$Q$5))</f>
        <v/>
      </c>
    </row>
    <row r="30361" spans="15:15" x14ac:dyDescent="0.25">
      <c r="O30361" s="20" t="str">
        <f>IF(N30361="","",COUNTIFS(RawData[[Date ]],N30361,RawData[Month List],$Q$6,RawData[Tour/Site],$Q$2,RawData[[Picker ID ]],$Q$3,RawData[Checker ID],$Q$4,RawData[[Error Type ]],$Q$5))</f>
        <v/>
      </c>
    </row>
    <row r="30362" spans="15:15" x14ac:dyDescent="0.25">
      <c r="O30362" s="20" t="str">
        <f>IF(N30362="","",COUNTIFS(RawData[[Date ]],N30362,RawData[Month List],$Q$6,RawData[Tour/Site],$Q$2,RawData[[Picker ID ]],$Q$3,RawData[Checker ID],$Q$4,RawData[[Error Type ]],$Q$5))</f>
        <v/>
      </c>
    </row>
    <row r="30363" spans="15:15" x14ac:dyDescent="0.25">
      <c r="O30363" s="20" t="str">
        <f>IF(N30363="","",COUNTIFS(RawData[[Date ]],N30363,RawData[Month List],$Q$6,RawData[Tour/Site],$Q$2,RawData[[Picker ID ]],$Q$3,RawData[Checker ID],$Q$4,RawData[[Error Type ]],$Q$5))</f>
        <v/>
      </c>
    </row>
    <row r="30364" spans="15:15" x14ac:dyDescent="0.25">
      <c r="O30364" s="20" t="str">
        <f>IF(N30364="","",COUNTIFS(RawData[[Date ]],N30364,RawData[Month List],$Q$6,RawData[Tour/Site],$Q$2,RawData[[Picker ID ]],$Q$3,RawData[Checker ID],$Q$4,RawData[[Error Type ]],$Q$5))</f>
        <v/>
      </c>
    </row>
    <row r="30365" spans="15:15" x14ac:dyDescent="0.25">
      <c r="O30365" s="20" t="str">
        <f>IF(N30365="","",COUNTIFS(RawData[[Date ]],N30365,RawData[Month List],$Q$6,RawData[Tour/Site],$Q$2,RawData[[Picker ID ]],$Q$3,RawData[Checker ID],$Q$4,RawData[[Error Type ]],$Q$5))</f>
        <v/>
      </c>
    </row>
    <row r="30366" spans="15:15" x14ac:dyDescent="0.25">
      <c r="O30366" s="20" t="str">
        <f>IF(N30366="","",COUNTIFS(RawData[[Date ]],N30366,RawData[Month List],$Q$6,RawData[Tour/Site],$Q$2,RawData[[Picker ID ]],$Q$3,RawData[Checker ID],$Q$4,RawData[[Error Type ]],$Q$5))</f>
        <v/>
      </c>
    </row>
    <row r="30367" spans="15:15" x14ac:dyDescent="0.25">
      <c r="O30367" s="20" t="str">
        <f>IF(N30367="","",COUNTIFS(RawData[[Date ]],N30367,RawData[Month List],$Q$6,RawData[Tour/Site],$Q$2,RawData[[Picker ID ]],$Q$3,RawData[Checker ID],$Q$4,RawData[[Error Type ]],$Q$5))</f>
        <v/>
      </c>
    </row>
    <row r="30368" spans="15:15" x14ac:dyDescent="0.25">
      <c r="O30368" s="20" t="str">
        <f>IF(N30368="","",COUNTIFS(RawData[[Date ]],N30368,RawData[Month List],$Q$6,RawData[Tour/Site],$Q$2,RawData[[Picker ID ]],$Q$3,RawData[Checker ID],$Q$4,RawData[[Error Type ]],$Q$5))</f>
        <v/>
      </c>
    </row>
    <row r="30369" spans="15:15" x14ac:dyDescent="0.25">
      <c r="O30369" s="20" t="str">
        <f>IF(N30369="","",COUNTIFS(RawData[[Date ]],N30369,RawData[Month List],$Q$6,RawData[Tour/Site],$Q$2,RawData[[Picker ID ]],$Q$3,RawData[Checker ID],$Q$4,RawData[[Error Type ]],$Q$5))</f>
        <v/>
      </c>
    </row>
    <row r="30370" spans="15:15" x14ac:dyDescent="0.25">
      <c r="O30370" s="20" t="str">
        <f>IF(N30370="","",COUNTIFS(RawData[[Date ]],N30370,RawData[Month List],$Q$6,RawData[Tour/Site],$Q$2,RawData[[Picker ID ]],$Q$3,RawData[Checker ID],$Q$4,RawData[[Error Type ]],$Q$5))</f>
        <v/>
      </c>
    </row>
    <row r="30371" spans="15:15" x14ac:dyDescent="0.25">
      <c r="O30371" s="20" t="str">
        <f>IF(N30371="","",COUNTIFS(RawData[[Date ]],N30371,RawData[Month List],$Q$6,RawData[Tour/Site],$Q$2,RawData[[Picker ID ]],$Q$3,RawData[Checker ID],$Q$4,RawData[[Error Type ]],$Q$5))</f>
        <v/>
      </c>
    </row>
    <row r="30372" spans="15:15" x14ac:dyDescent="0.25">
      <c r="O30372" s="20" t="str">
        <f>IF(N30372="","",COUNTIFS(RawData[[Date ]],N30372,RawData[Month List],$Q$6,RawData[Tour/Site],$Q$2,RawData[[Picker ID ]],$Q$3,RawData[Checker ID],$Q$4,RawData[[Error Type ]],$Q$5))</f>
        <v/>
      </c>
    </row>
    <row r="30373" spans="15:15" x14ac:dyDescent="0.25">
      <c r="O30373" s="20" t="str">
        <f>IF(N30373="","",COUNTIFS(RawData[[Date ]],N30373,RawData[Month List],$Q$6,RawData[Tour/Site],$Q$2,RawData[[Picker ID ]],$Q$3,RawData[Checker ID],$Q$4,RawData[[Error Type ]],$Q$5))</f>
        <v/>
      </c>
    </row>
    <row r="30374" spans="15:15" x14ac:dyDescent="0.25">
      <c r="O30374" s="20" t="str">
        <f>IF(N30374="","",COUNTIFS(RawData[[Date ]],N30374,RawData[Month List],$Q$6,RawData[Tour/Site],$Q$2,RawData[[Picker ID ]],$Q$3,RawData[Checker ID],$Q$4,RawData[[Error Type ]],$Q$5))</f>
        <v/>
      </c>
    </row>
    <row r="30375" spans="15:15" x14ac:dyDescent="0.25">
      <c r="O30375" s="20" t="str">
        <f>IF(N30375="","",COUNTIFS(RawData[[Date ]],N30375,RawData[Month List],$Q$6,RawData[Tour/Site],$Q$2,RawData[[Picker ID ]],$Q$3,RawData[Checker ID],$Q$4,RawData[[Error Type ]],$Q$5))</f>
        <v/>
      </c>
    </row>
    <row r="30376" spans="15:15" x14ac:dyDescent="0.25">
      <c r="O30376" s="20" t="str">
        <f>IF(N30376="","",COUNTIFS(RawData[[Date ]],N30376,RawData[Month List],$Q$6,RawData[Tour/Site],$Q$2,RawData[[Picker ID ]],$Q$3,RawData[Checker ID],$Q$4,RawData[[Error Type ]],$Q$5))</f>
        <v/>
      </c>
    </row>
    <row r="30377" spans="15:15" x14ac:dyDescent="0.25">
      <c r="O30377" s="20" t="str">
        <f>IF(N30377="","",COUNTIFS(RawData[[Date ]],N30377,RawData[Month List],$Q$6,RawData[Tour/Site],$Q$2,RawData[[Picker ID ]],$Q$3,RawData[Checker ID],$Q$4,RawData[[Error Type ]],$Q$5))</f>
        <v/>
      </c>
    </row>
    <row r="30378" spans="15:15" x14ac:dyDescent="0.25">
      <c r="O30378" s="20" t="str">
        <f>IF(N30378="","",COUNTIFS(RawData[[Date ]],N30378,RawData[Month List],$Q$6,RawData[Tour/Site],$Q$2,RawData[[Picker ID ]],$Q$3,RawData[Checker ID],$Q$4,RawData[[Error Type ]],$Q$5))</f>
        <v/>
      </c>
    </row>
    <row r="30379" spans="15:15" x14ac:dyDescent="0.25">
      <c r="O30379" s="20" t="str">
        <f>IF(N30379="","",COUNTIFS(RawData[[Date ]],N30379,RawData[Month List],$Q$6,RawData[Tour/Site],$Q$2,RawData[[Picker ID ]],$Q$3,RawData[Checker ID],$Q$4,RawData[[Error Type ]],$Q$5))</f>
        <v/>
      </c>
    </row>
    <row r="30380" spans="15:15" x14ac:dyDescent="0.25">
      <c r="O30380" s="20" t="str">
        <f>IF(N30380="","",COUNTIFS(RawData[[Date ]],N30380,RawData[Month List],$Q$6,RawData[Tour/Site],$Q$2,RawData[[Picker ID ]],$Q$3,RawData[Checker ID],$Q$4,RawData[[Error Type ]],$Q$5))</f>
        <v/>
      </c>
    </row>
    <row r="30381" spans="15:15" x14ac:dyDescent="0.25">
      <c r="O30381" s="20" t="str">
        <f>IF(N30381="","",COUNTIFS(RawData[[Date ]],N30381,RawData[Month List],$Q$6,RawData[Tour/Site],$Q$2,RawData[[Picker ID ]],$Q$3,RawData[Checker ID],$Q$4,RawData[[Error Type ]],$Q$5))</f>
        <v/>
      </c>
    </row>
    <row r="30382" spans="15:15" x14ac:dyDescent="0.25">
      <c r="O30382" s="20" t="str">
        <f>IF(N30382="","",COUNTIFS(RawData[[Date ]],N30382,RawData[Month List],$Q$6,RawData[Tour/Site],$Q$2,RawData[[Picker ID ]],$Q$3,RawData[Checker ID],$Q$4,RawData[[Error Type ]],$Q$5))</f>
        <v/>
      </c>
    </row>
    <row r="30383" spans="15:15" x14ac:dyDescent="0.25">
      <c r="O30383" s="20" t="str">
        <f>IF(N30383="","",COUNTIFS(RawData[[Date ]],N30383,RawData[Month List],$Q$6,RawData[Tour/Site],$Q$2,RawData[[Picker ID ]],$Q$3,RawData[Checker ID],$Q$4,RawData[[Error Type ]],$Q$5))</f>
        <v/>
      </c>
    </row>
    <row r="30384" spans="15:15" x14ac:dyDescent="0.25">
      <c r="O30384" s="20" t="str">
        <f>IF(N30384="","",COUNTIFS(RawData[[Date ]],N30384,RawData[Month List],$Q$6,RawData[Tour/Site],$Q$2,RawData[[Picker ID ]],$Q$3,RawData[Checker ID],$Q$4,RawData[[Error Type ]],$Q$5))</f>
        <v/>
      </c>
    </row>
    <row r="30385" spans="15:15" x14ac:dyDescent="0.25">
      <c r="O30385" s="20" t="str">
        <f>IF(N30385="","",COUNTIFS(RawData[[Date ]],N30385,RawData[Month List],$Q$6,RawData[Tour/Site],$Q$2,RawData[[Picker ID ]],$Q$3,RawData[Checker ID],$Q$4,RawData[[Error Type ]],$Q$5))</f>
        <v/>
      </c>
    </row>
    <row r="30386" spans="15:15" x14ac:dyDescent="0.25">
      <c r="O30386" s="20" t="str">
        <f>IF(N30386="","",COUNTIFS(RawData[[Date ]],N30386,RawData[Month List],$Q$6,RawData[Tour/Site],$Q$2,RawData[[Picker ID ]],$Q$3,RawData[Checker ID],$Q$4,RawData[[Error Type ]],$Q$5))</f>
        <v/>
      </c>
    </row>
    <row r="30387" spans="15:15" x14ac:dyDescent="0.25">
      <c r="O30387" s="20" t="str">
        <f>IF(N30387="","",COUNTIFS(RawData[[Date ]],N30387,RawData[Month List],$Q$6,RawData[Tour/Site],$Q$2,RawData[[Picker ID ]],$Q$3,RawData[Checker ID],$Q$4,RawData[[Error Type ]],$Q$5))</f>
        <v/>
      </c>
    </row>
    <row r="30388" spans="15:15" x14ac:dyDescent="0.25">
      <c r="O30388" s="20" t="str">
        <f>IF(N30388="","",COUNTIFS(RawData[[Date ]],N30388,RawData[Month List],$Q$6,RawData[Tour/Site],$Q$2,RawData[[Picker ID ]],$Q$3,RawData[Checker ID],$Q$4,RawData[[Error Type ]],$Q$5))</f>
        <v/>
      </c>
    </row>
    <row r="30389" spans="15:15" x14ac:dyDescent="0.25">
      <c r="O30389" s="20" t="str">
        <f>IF(N30389="","",COUNTIFS(RawData[[Date ]],N30389,RawData[Month List],$Q$6,RawData[Tour/Site],$Q$2,RawData[[Picker ID ]],$Q$3,RawData[Checker ID],$Q$4,RawData[[Error Type ]],$Q$5))</f>
        <v/>
      </c>
    </row>
    <row r="30390" spans="15:15" x14ac:dyDescent="0.25">
      <c r="O30390" s="20" t="str">
        <f>IF(N30390="","",COUNTIFS(RawData[[Date ]],N30390,RawData[Month List],$Q$6,RawData[Tour/Site],$Q$2,RawData[[Picker ID ]],$Q$3,RawData[Checker ID],$Q$4,RawData[[Error Type ]],$Q$5))</f>
        <v/>
      </c>
    </row>
    <row r="30391" spans="15:15" x14ac:dyDescent="0.25">
      <c r="O30391" s="20" t="str">
        <f>IF(N30391="","",COUNTIFS(RawData[[Date ]],N30391,RawData[Month List],$Q$6,RawData[Tour/Site],$Q$2,RawData[[Picker ID ]],$Q$3,RawData[Checker ID],$Q$4,RawData[[Error Type ]],$Q$5))</f>
        <v/>
      </c>
    </row>
    <row r="30392" spans="15:15" x14ac:dyDescent="0.25">
      <c r="O30392" s="20" t="str">
        <f>IF(N30392="","",COUNTIFS(RawData[[Date ]],N30392,RawData[Month List],$Q$6,RawData[Tour/Site],$Q$2,RawData[[Picker ID ]],$Q$3,RawData[Checker ID],$Q$4,RawData[[Error Type ]],$Q$5))</f>
        <v/>
      </c>
    </row>
    <row r="30393" spans="15:15" x14ac:dyDescent="0.25">
      <c r="O30393" s="20" t="str">
        <f>IF(N30393="","",COUNTIFS(RawData[[Date ]],N30393,RawData[Month List],$Q$6,RawData[Tour/Site],$Q$2,RawData[[Picker ID ]],$Q$3,RawData[Checker ID],$Q$4,RawData[[Error Type ]],$Q$5))</f>
        <v/>
      </c>
    </row>
    <row r="30394" spans="15:15" x14ac:dyDescent="0.25">
      <c r="O30394" s="20" t="str">
        <f>IF(N30394="","",COUNTIFS(RawData[[Date ]],N30394,RawData[Month List],$Q$6,RawData[Tour/Site],$Q$2,RawData[[Picker ID ]],$Q$3,RawData[Checker ID],$Q$4,RawData[[Error Type ]],$Q$5))</f>
        <v/>
      </c>
    </row>
    <row r="30395" spans="15:15" x14ac:dyDescent="0.25">
      <c r="O30395" s="20" t="str">
        <f>IF(N30395="","",COUNTIFS(RawData[[Date ]],N30395,RawData[Month List],$Q$6,RawData[Tour/Site],$Q$2,RawData[[Picker ID ]],$Q$3,RawData[Checker ID],$Q$4,RawData[[Error Type ]],$Q$5))</f>
        <v/>
      </c>
    </row>
    <row r="30396" spans="15:15" x14ac:dyDescent="0.25">
      <c r="O30396" s="20" t="str">
        <f>IF(N30396="","",COUNTIFS(RawData[[Date ]],N30396,RawData[Month List],$Q$6,RawData[Tour/Site],$Q$2,RawData[[Picker ID ]],$Q$3,RawData[Checker ID],$Q$4,RawData[[Error Type ]],$Q$5))</f>
        <v/>
      </c>
    </row>
    <row r="30397" spans="15:15" x14ac:dyDescent="0.25">
      <c r="O30397" s="20" t="str">
        <f>IF(N30397="","",COUNTIFS(RawData[[Date ]],N30397,RawData[Month List],$Q$6,RawData[Tour/Site],$Q$2,RawData[[Picker ID ]],$Q$3,RawData[Checker ID],$Q$4,RawData[[Error Type ]],$Q$5))</f>
        <v/>
      </c>
    </row>
    <row r="30398" spans="15:15" x14ac:dyDescent="0.25">
      <c r="O30398" s="20" t="str">
        <f>IF(N30398="","",COUNTIFS(RawData[[Date ]],N30398,RawData[Month List],$Q$6,RawData[Tour/Site],$Q$2,RawData[[Picker ID ]],$Q$3,RawData[Checker ID],$Q$4,RawData[[Error Type ]],$Q$5))</f>
        <v/>
      </c>
    </row>
    <row r="30399" spans="15:15" x14ac:dyDescent="0.25">
      <c r="O30399" s="20" t="str">
        <f>IF(N30399="","",COUNTIFS(RawData[[Date ]],N30399,RawData[Month List],$Q$6,RawData[Tour/Site],$Q$2,RawData[[Picker ID ]],$Q$3,RawData[Checker ID],$Q$4,RawData[[Error Type ]],$Q$5))</f>
        <v/>
      </c>
    </row>
    <row r="30400" spans="15:15" x14ac:dyDescent="0.25">
      <c r="O30400" s="20" t="str">
        <f>IF(N30400="","",COUNTIFS(RawData[[Date ]],N30400,RawData[Month List],$Q$6,RawData[Tour/Site],$Q$2,RawData[[Picker ID ]],$Q$3,RawData[Checker ID],$Q$4,RawData[[Error Type ]],$Q$5))</f>
        <v/>
      </c>
    </row>
    <row r="30401" spans="15:15" x14ac:dyDescent="0.25">
      <c r="O30401" s="20" t="str">
        <f>IF(N30401="","",COUNTIFS(RawData[[Date ]],N30401,RawData[Month List],$Q$6,RawData[Tour/Site],$Q$2,RawData[[Picker ID ]],$Q$3,RawData[Checker ID],$Q$4,RawData[[Error Type ]],$Q$5))</f>
        <v/>
      </c>
    </row>
    <row r="30402" spans="15:15" x14ac:dyDescent="0.25">
      <c r="O30402" s="20" t="str">
        <f>IF(N30402="","",COUNTIFS(RawData[[Date ]],N30402,RawData[Month List],$Q$6,RawData[Tour/Site],$Q$2,RawData[[Picker ID ]],$Q$3,RawData[Checker ID],$Q$4,RawData[[Error Type ]],$Q$5))</f>
        <v/>
      </c>
    </row>
    <row r="30403" spans="15:15" x14ac:dyDescent="0.25">
      <c r="O30403" s="20" t="str">
        <f>IF(N30403="","",COUNTIFS(RawData[[Date ]],N30403,RawData[Month List],$Q$6,RawData[Tour/Site],$Q$2,RawData[[Picker ID ]],$Q$3,RawData[Checker ID],$Q$4,RawData[[Error Type ]],$Q$5))</f>
        <v/>
      </c>
    </row>
    <row r="30404" spans="15:15" x14ac:dyDescent="0.25">
      <c r="O30404" s="20" t="str">
        <f>IF(N30404="","",COUNTIFS(RawData[[Date ]],N30404,RawData[Month List],$Q$6,RawData[Tour/Site],$Q$2,RawData[[Picker ID ]],$Q$3,RawData[Checker ID],$Q$4,RawData[[Error Type ]],$Q$5))</f>
        <v/>
      </c>
    </row>
    <row r="30405" spans="15:15" x14ac:dyDescent="0.25">
      <c r="O30405" s="20" t="str">
        <f>IF(N30405="","",COUNTIFS(RawData[[Date ]],N30405,RawData[Month List],$Q$6,RawData[Tour/Site],$Q$2,RawData[[Picker ID ]],$Q$3,RawData[Checker ID],$Q$4,RawData[[Error Type ]],$Q$5))</f>
        <v/>
      </c>
    </row>
    <row r="30406" spans="15:15" x14ac:dyDescent="0.25">
      <c r="O30406" s="20" t="str">
        <f>IF(N30406="","",COUNTIFS(RawData[[Date ]],N30406,RawData[Month List],$Q$6,RawData[Tour/Site],$Q$2,RawData[[Picker ID ]],$Q$3,RawData[Checker ID],$Q$4,RawData[[Error Type ]],$Q$5))</f>
        <v/>
      </c>
    </row>
    <row r="30407" spans="15:15" x14ac:dyDescent="0.25">
      <c r="O30407" s="20" t="str">
        <f>IF(N30407="","",COUNTIFS(RawData[[Date ]],N30407,RawData[Month List],$Q$6,RawData[Tour/Site],$Q$2,RawData[[Picker ID ]],$Q$3,RawData[Checker ID],$Q$4,RawData[[Error Type ]],$Q$5))</f>
        <v/>
      </c>
    </row>
    <row r="30408" spans="15:15" x14ac:dyDescent="0.25">
      <c r="O30408" s="20" t="str">
        <f>IF(N30408="","",COUNTIFS(RawData[[Date ]],N30408,RawData[Month List],$Q$6,RawData[Tour/Site],$Q$2,RawData[[Picker ID ]],$Q$3,RawData[Checker ID],$Q$4,RawData[[Error Type ]],$Q$5))</f>
        <v/>
      </c>
    </row>
    <row r="30409" spans="15:15" x14ac:dyDescent="0.25">
      <c r="O30409" s="20" t="str">
        <f>IF(N30409="","",COUNTIFS(RawData[[Date ]],N30409,RawData[Month List],$Q$6,RawData[Tour/Site],$Q$2,RawData[[Picker ID ]],$Q$3,RawData[Checker ID],$Q$4,RawData[[Error Type ]],$Q$5))</f>
        <v/>
      </c>
    </row>
    <row r="30410" spans="15:15" x14ac:dyDescent="0.25">
      <c r="O30410" s="20" t="str">
        <f>IF(N30410="","",COUNTIFS(RawData[[Date ]],N30410,RawData[Month List],$Q$6,RawData[Tour/Site],$Q$2,RawData[[Picker ID ]],$Q$3,RawData[Checker ID],$Q$4,RawData[[Error Type ]],$Q$5))</f>
        <v/>
      </c>
    </row>
    <row r="30411" spans="15:15" x14ac:dyDescent="0.25">
      <c r="O30411" s="20" t="str">
        <f>IF(N30411="","",COUNTIFS(RawData[[Date ]],N30411,RawData[Month List],$Q$6,RawData[Tour/Site],$Q$2,RawData[[Picker ID ]],$Q$3,RawData[Checker ID],$Q$4,RawData[[Error Type ]],$Q$5))</f>
        <v/>
      </c>
    </row>
    <row r="30412" spans="15:15" x14ac:dyDescent="0.25">
      <c r="O30412" s="20" t="str">
        <f>IF(N30412="","",COUNTIFS(RawData[[Date ]],N30412,RawData[Month List],$Q$6,RawData[Tour/Site],$Q$2,RawData[[Picker ID ]],$Q$3,RawData[Checker ID],$Q$4,RawData[[Error Type ]],$Q$5))</f>
        <v/>
      </c>
    </row>
    <row r="30413" spans="15:15" x14ac:dyDescent="0.25">
      <c r="O30413" s="20" t="str">
        <f>IF(N30413="","",COUNTIFS(RawData[[Date ]],N30413,RawData[Month List],$Q$6,RawData[Tour/Site],$Q$2,RawData[[Picker ID ]],$Q$3,RawData[Checker ID],$Q$4,RawData[[Error Type ]],$Q$5))</f>
        <v/>
      </c>
    </row>
    <row r="30414" spans="15:15" x14ac:dyDescent="0.25">
      <c r="O30414" s="20" t="str">
        <f>IF(N30414="","",COUNTIFS(RawData[[Date ]],N30414,RawData[Month List],$Q$6,RawData[Tour/Site],$Q$2,RawData[[Picker ID ]],$Q$3,RawData[Checker ID],$Q$4,RawData[[Error Type ]],$Q$5))</f>
        <v/>
      </c>
    </row>
    <row r="30415" spans="15:15" x14ac:dyDescent="0.25">
      <c r="O30415" s="20" t="str">
        <f>IF(N30415="","",COUNTIFS(RawData[[Date ]],N30415,RawData[Month List],$Q$6,RawData[Tour/Site],$Q$2,RawData[[Picker ID ]],$Q$3,RawData[Checker ID],$Q$4,RawData[[Error Type ]],$Q$5))</f>
        <v/>
      </c>
    </row>
    <row r="30416" spans="15:15" x14ac:dyDescent="0.25">
      <c r="O30416" s="20" t="str">
        <f>IF(N30416="","",COUNTIFS(RawData[[Date ]],N30416,RawData[Month List],$Q$6,RawData[Tour/Site],$Q$2,RawData[[Picker ID ]],$Q$3,RawData[Checker ID],$Q$4,RawData[[Error Type ]],$Q$5))</f>
        <v/>
      </c>
    </row>
    <row r="30417" spans="15:15" x14ac:dyDescent="0.25">
      <c r="O30417" s="20" t="str">
        <f>IF(N30417="","",COUNTIFS(RawData[[Date ]],N30417,RawData[Month List],$Q$6,RawData[Tour/Site],$Q$2,RawData[[Picker ID ]],$Q$3,RawData[Checker ID],$Q$4,RawData[[Error Type ]],$Q$5))</f>
        <v/>
      </c>
    </row>
    <row r="30418" spans="15:15" x14ac:dyDescent="0.25">
      <c r="O30418" s="20" t="str">
        <f>IF(N30418="","",COUNTIFS(RawData[[Date ]],N30418,RawData[Month List],$Q$6,RawData[Tour/Site],$Q$2,RawData[[Picker ID ]],$Q$3,RawData[Checker ID],$Q$4,RawData[[Error Type ]],$Q$5))</f>
        <v/>
      </c>
    </row>
    <row r="30419" spans="15:15" x14ac:dyDescent="0.25">
      <c r="O30419" s="20" t="str">
        <f>IF(N30419="","",COUNTIFS(RawData[[Date ]],N30419,RawData[Month List],$Q$6,RawData[Tour/Site],$Q$2,RawData[[Picker ID ]],$Q$3,RawData[Checker ID],$Q$4,RawData[[Error Type ]],$Q$5))</f>
        <v/>
      </c>
    </row>
    <row r="30420" spans="15:15" x14ac:dyDescent="0.25">
      <c r="O30420" s="20" t="str">
        <f>IF(N30420="","",COUNTIFS(RawData[[Date ]],N30420,RawData[Month List],$Q$6,RawData[Tour/Site],$Q$2,RawData[[Picker ID ]],$Q$3,RawData[Checker ID],$Q$4,RawData[[Error Type ]],$Q$5))</f>
        <v/>
      </c>
    </row>
    <row r="30421" spans="15:15" x14ac:dyDescent="0.25">
      <c r="O30421" s="20" t="str">
        <f>IF(N30421="","",COUNTIFS(RawData[[Date ]],N30421,RawData[Month List],$Q$6,RawData[Tour/Site],$Q$2,RawData[[Picker ID ]],$Q$3,RawData[Checker ID],$Q$4,RawData[[Error Type ]],$Q$5))</f>
        <v/>
      </c>
    </row>
    <row r="30422" spans="15:15" x14ac:dyDescent="0.25">
      <c r="O30422" s="20" t="str">
        <f>IF(N30422="","",COUNTIFS(RawData[[Date ]],N30422,RawData[Month List],$Q$6,RawData[Tour/Site],$Q$2,RawData[[Picker ID ]],$Q$3,RawData[Checker ID],$Q$4,RawData[[Error Type ]],$Q$5))</f>
        <v/>
      </c>
    </row>
    <row r="30423" spans="15:15" x14ac:dyDescent="0.25">
      <c r="O30423" s="20" t="str">
        <f>IF(N30423="","",COUNTIFS(RawData[[Date ]],N30423,RawData[Month List],$Q$6,RawData[Tour/Site],$Q$2,RawData[[Picker ID ]],$Q$3,RawData[Checker ID],$Q$4,RawData[[Error Type ]],$Q$5))</f>
        <v/>
      </c>
    </row>
    <row r="30424" spans="15:15" x14ac:dyDescent="0.25">
      <c r="O30424" s="20" t="str">
        <f>IF(N30424="","",COUNTIFS(RawData[[Date ]],N30424,RawData[Month List],$Q$6,RawData[Tour/Site],$Q$2,RawData[[Picker ID ]],$Q$3,RawData[Checker ID],$Q$4,RawData[[Error Type ]],$Q$5))</f>
        <v/>
      </c>
    </row>
    <row r="30425" spans="15:15" x14ac:dyDescent="0.25">
      <c r="O30425" s="20" t="str">
        <f>IF(N30425="","",COUNTIFS(RawData[[Date ]],N30425,RawData[Month List],$Q$6,RawData[Tour/Site],$Q$2,RawData[[Picker ID ]],$Q$3,RawData[Checker ID],$Q$4,RawData[[Error Type ]],$Q$5))</f>
        <v/>
      </c>
    </row>
    <row r="30426" spans="15:15" x14ac:dyDescent="0.25">
      <c r="O30426" s="20" t="str">
        <f>IF(N30426="","",COUNTIFS(RawData[[Date ]],N30426,RawData[Month List],$Q$6,RawData[Tour/Site],$Q$2,RawData[[Picker ID ]],$Q$3,RawData[Checker ID],$Q$4,RawData[[Error Type ]],$Q$5))</f>
        <v/>
      </c>
    </row>
    <row r="30427" spans="15:15" x14ac:dyDescent="0.25">
      <c r="O30427" s="20" t="str">
        <f>IF(N30427="","",COUNTIFS(RawData[[Date ]],N30427,RawData[Month List],$Q$6,RawData[Tour/Site],$Q$2,RawData[[Picker ID ]],$Q$3,RawData[Checker ID],$Q$4,RawData[[Error Type ]],$Q$5))</f>
        <v/>
      </c>
    </row>
    <row r="30428" spans="15:15" x14ac:dyDescent="0.25">
      <c r="O30428" s="20" t="str">
        <f>IF(N30428="","",COUNTIFS(RawData[[Date ]],N30428,RawData[Month List],$Q$6,RawData[Tour/Site],$Q$2,RawData[[Picker ID ]],$Q$3,RawData[Checker ID],$Q$4,RawData[[Error Type ]],$Q$5))</f>
        <v/>
      </c>
    </row>
    <row r="30429" spans="15:15" x14ac:dyDescent="0.25">
      <c r="O30429" s="20" t="str">
        <f>IF(N30429="","",COUNTIFS(RawData[[Date ]],N30429,RawData[Month List],$Q$6,RawData[Tour/Site],$Q$2,RawData[[Picker ID ]],$Q$3,RawData[Checker ID],$Q$4,RawData[[Error Type ]],$Q$5))</f>
        <v/>
      </c>
    </row>
    <row r="30430" spans="15:15" x14ac:dyDescent="0.25">
      <c r="O30430" s="20" t="str">
        <f>IF(N30430="","",COUNTIFS(RawData[[Date ]],N30430,RawData[Month List],$Q$6,RawData[Tour/Site],$Q$2,RawData[[Picker ID ]],$Q$3,RawData[Checker ID],$Q$4,RawData[[Error Type ]],$Q$5))</f>
        <v/>
      </c>
    </row>
    <row r="30431" spans="15:15" x14ac:dyDescent="0.25">
      <c r="O30431" s="20" t="str">
        <f>IF(N30431="","",COUNTIFS(RawData[[Date ]],N30431,RawData[Month List],$Q$6,RawData[Tour/Site],$Q$2,RawData[[Picker ID ]],$Q$3,RawData[Checker ID],$Q$4,RawData[[Error Type ]],$Q$5))</f>
        <v/>
      </c>
    </row>
    <row r="30432" spans="15:15" x14ac:dyDescent="0.25">
      <c r="O30432" s="20" t="str">
        <f>IF(N30432="","",COUNTIFS(RawData[[Date ]],N30432,RawData[Month List],$Q$6,RawData[Tour/Site],$Q$2,RawData[[Picker ID ]],$Q$3,RawData[Checker ID],$Q$4,RawData[[Error Type ]],$Q$5))</f>
        <v/>
      </c>
    </row>
    <row r="30433" spans="15:15" x14ac:dyDescent="0.25">
      <c r="O30433" s="20" t="str">
        <f>IF(N30433="","",COUNTIFS(RawData[[Date ]],N30433,RawData[Month List],$Q$6,RawData[Tour/Site],$Q$2,RawData[[Picker ID ]],$Q$3,RawData[Checker ID],$Q$4,RawData[[Error Type ]],$Q$5))</f>
        <v/>
      </c>
    </row>
    <row r="30434" spans="15:15" x14ac:dyDescent="0.25">
      <c r="O30434" s="20" t="str">
        <f>IF(N30434="","",COUNTIFS(RawData[[Date ]],N30434,RawData[Month List],$Q$6,RawData[Tour/Site],$Q$2,RawData[[Picker ID ]],$Q$3,RawData[Checker ID],$Q$4,RawData[[Error Type ]],$Q$5))</f>
        <v/>
      </c>
    </row>
    <row r="30435" spans="15:15" x14ac:dyDescent="0.25">
      <c r="O30435" s="20" t="str">
        <f>IF(N30435="","",COUNTIFS(RawData[[Date ]],N30435,RawData[Month List],$Q$6,RawData[Tour/Site],$Q$2,RawData[[Picker ID ]],$Q$3,RawData[Checker ID],$Q$4,RawData[[Error Type ]],$Q$5))</f>
        <v/>
      </c>
    </row>
    <row r="30436" spans="15:15" x14ac:dyDescent="0.25">
      <c r="O30436" s="20" t="str">
        <f>IF(N30436="","",COUNTIFS(RawData[[Date ]],N30436,RawData[Month List],$Q$6,RawData[Tour/Site],$Q$2,RawData[[Picker ID ]],$Q$3,RawData[Checker ID],$Q$4,RawData[[Error Type ]],$Q$5))</f>
        <v/>
      </c>
    </row>
    <row r="30437" spans="15:15" x14ac:dyDescent="0.25">
      <c r="O30437" s="20" t="str">
        <f>IF(N30437="","",COUNTIFS(RawData[[Date ]],N30437,RawData[Month List],$Q$6,RawData[Tour/Site],$Q$2,RawData[[Picker ID ]],$Q$3,RawData[Checker ID],$Q$4,RawData[[Error Type ]],$Q$5))</f>
        <v/>
      </c>
    </row>
    <row r="30438" spans="15:15" x14ac:dyDescent="0.25">
      <c r="O30438" s="20" t="str">
        <f>IF(N30438="","",COUNTIFS(RawData[[Date ]],N30438,RawData[Month List],$Q$6,RawData[Tour/Site],$Q$2,RawData[[Picker ID ]],$Q$3,RawData[Checker ID],$Q$4,RawData[[Error Type ]],$Q$5))</f>
        <v/>
      </c>
    </row>
    <row r="30439" spans="15:15" x14ac:dyDescent="0.25">
      <c r="O30439" s="20" t="str">
        <f>IF(N30439="","",COUNTIFS(RawData[[Date ]],N30439,RawData[Month List],$Q$6,RawData[Tour/Site],$Q$2,RawData[[Picker ID ]],$Q$3,RawData[Checker ID],$Q$4,RawData[[Error Type ]],$Q$5))</f>
        <v/>
      </c>
    </row>
    <row r="30440" spans="15:15" x14ac:dyDescent="0.25">
      <c r="O30440" s="20" t="str">
        <f>IF(N30440="","",COUNTIFS(RawData[[Date ]],N30440,RawData[Month List],$Q$6,RawData[Tour/Site],$Q$2,RawData[[Picker ID ]],$Q$3,RawData[Checker ID],$Q$4,RawData[[Error Type ]],$Q$5))</f>
        <v/>
      </c>
    </row>
    <row r="30441" spans="15:15" x14ac:dyDescent="0.25">
      <c r="O30441" s="20" t="str">
        <f>IF(N30441="","",COUNTIFS(RawData[[Date ]],N30441,RawData[Month List],$Q$6,RawData[Tour/Site],$Q$2,RawData[[Picker ID ]],$Q$3,RawData[Checker ID],$Q$4,RawData[[Error Type ]],$Q$5))</f>
        <v/>
      </c>
    </row>
    <row r="30442" spans="15:15" x14ac:dyDescent="0.25">
      <c r="O30442" s="20" t="str">
        <f>IF(N30442="","",COUNTIFS(RawData[[Date ]],N30442,RawData[Month List],$Q$6,RawData[Tour/Site],$Q$2,RawData[[Picker ID ]],$Q$3,RawData[Checker ID],$Q$4,RawData[[Error Type ]],$Q$5))</f>
        <v/>
      </c>
    </row>
    <row r="30443" spans="15:15" x14ac:dyDescent="0.25">
      <c r="O30443" s="20" t="str">
        <f>IF(N30443="","",COUNTIFS(RawData[[Date ]],N30443,RawData[Month List],$Q$6,RawData[Tour/Site],$Q$2,RawData[[Picker ID ]],$Q$3,RawData[Checker ID],$Q$4,RawData[[Error Type ]],$Q$5))</f>
        <v/>
      </c>
    </row>
    <row r="30444" spans="15:15" x14ac:dyDescent="0.25">
      <c r="O30444" s="20" t="str">
        <f>IF(N30444="","",COUNTIFS(RawData[[Date ]],N30444,RawData[Month List],$Q$6,RawData[Tour/Site],$Q$2,RawData[[Picker ID ]],$Q$3,RawData[Checker ID],$Q$4,RawData[[Error Type ]],$Q$5))</f>
        <v/>
      </c>
    </row>
    <row r="30445" spans="15:15" x14ac:dyDescent="0.25">
      <c r="O30445" s="20" t="str">
        <f>IF(N30445="","",COUNTIFS(RawData[[Date ]],N30445,RawData[Month List],$Q$6,RawData[Tour/Site],$Q$2,RawData[[Picker ID ]],$Q$3,RawData[Checker ID],$Q$4,RawData[[Error Type ]],$Q$5))</f>
        <v/>
      </c>
    </row>
    <row r="30446" spans="15:15" x14ac:dyDescent="0.25">
      <c r="O30446" s="20" t="str">
        <f>IF(N30446="","",COUNTIFS(RawData[[Date ]],N30446,RawData[Month List],$Q$6,RawData[Tour/Site],$Q$2,RawData[[Picker ID ]],$Q$3,RawData[Checker ID],$Q$4,RawData[[Error Type ]],$Q$5))</f>
        <v/>
      </c>
    </row>
    <row r="30447" spans="15:15" x14ac:dyDescent="0.25">
      <c r="O30447" s="20" t="str">
        <f>IF(N30447="","",COUNTIFS(RawData[[Date ]],N30447,RawData[Month List],$Q$6,RawData[Tour/Site],$Q$2,RawData[[Picker ID ]],$Q$3,RawData[Checker ID],$Q$4,RawData[[Error Type ]],$Q$5))</f>
        <v/>
      </c>
    </row>
    <row r="30448" spans="15:15" x14ac:dyDescent="0.25">
      <c r="O30448" s="20" t="str">
        <f>IF(N30448="","",COUNTIFS(RawData[[Date ]],N30448,RawData[Month List],$Q$6,RawData[Tour/Site],$Q$2,RawData[[Picker ID ]],$Q$3,RawData[Checker ID],$Q$4,RawData[[Error Type ]],$Q$5))</f>
        <v/>
      </c>
    </row>
    <row r="30449" spans="15:15" x14ac:dyDescent="0.25">
      <c r="O30449" s="20" t="str">
        <f>IF(N30449="","",COUNTIFS(RawData[[Date ]],N30449,RawData[Month List],$Q$6,RawData[Tour/Site],$Q$2,RawData[[Picker ID ]],$Q$3,RawData[Checker ID],$Q$4,RawData[[Error Type ]],$Q$5))</f>
        <v/>
      </c>
    </row>
    <row r="30450" spans="15:15" x14ac:dyDescent="0.25">
      <c r="O30450" s="20" t="str">
        <f>IF(N30450="","",COUNTIFS(RawData[[Date ]],N30450,RawData[Month List],$Q$6,RawData[Tour/Site],$Q$2,RawData[[Picker ID ]],$Q$3,RawData[Checker ID],$Q$4,RawData[[Error Type ]],$Q$5))</f>
        <v/>
      </c>
    </row>
    <row r="30451" spans="15:15" x14ac:dyDescent="0.25">
      <c r="O30451" s="20" t="str">
        <f>IF(N30451="","",COUNTIFS(RawData[[Date ]],N30451,RawData[Month List],$Q$6,RawData[Tour/Site],$Q$2,RawData[[Picker ID ]],$Q$3,RawData[Checker ID],$Q$4,RawData[[Error Type ]],$Q$5))</f>
        <v/>
      </c>
    </row>
    <row r="30452" spans="15:15" x14ac:dyDescent="0.25">
      <c r="O30452" s="20" t="str">
        <f>IF(N30452="","",COUNTIFS(RawData[[Date ]],N30452,RawData[Month List],$Q$6,RawData[Tour/Site],$Q$2,RawData[[Picker ID ]],$Q$3,RawData[Checker ID],$Q$4,RawData[[Error Type ]],$Q$5))</f>
        <v/>
      </c>
    </row>
    <row r="30453" spans="15:15" x14ac:dyDescent="0.25">
      <c r="O30453" s="20" t="str">
        <f>IF(N30453="","",COUNTIFS(RawData[[Date ]],N30453,RawData[Month List],$Q$6,RawData[Tour/Site],$Q$2,RawData[[Picker ID ]],$Q$3,RawData[Checker ID],$Q$4,RawData[[Error Type ]],$Q$5))</f>
        <v/>
      </c>
    </row>
    <row r="30454" spans="15:15" x14ac:dyDescent="0.25">
      <c r="O30454" s="20" t="str">
        <f>IF(N30454="","",COUNTIFS(RawData[[Date ]],N30454,RawData[Month List],$Q$6,RawData[Tour/Site],$Q$2,RawData[[Picker ID ]],$Q$3,RawData[Checker ID],$Q$4,RawData[[Error Type ]],$Q$5))</f>
        <v/>
      </c>
    </row>
    <row r="30455" spans="15:15" x14ac:dyDescent="0.25">
      <c r="O30455" s="20" t="str">
        <f>IF(N30455="","",COUNTIFS(RawData[[Date ]],N30455,RawData[Month List],$Q$6,RawData[Tour/Site],$Q$2,RawData[[Picker ID ]],$Q$3,RawData[Checker ID],$Q$4,RawData[[Error Type ]],$Q$5))</f>
        <v/>
      </c>
    </row>
    <row r="30456" spans="15:15" x14ac:dyDescent="0.25">
      <c r="O30456" s="20" t="str">
        <f>IF(N30456="","",COUNTIFS(RawData[[Date ]],N30456,RawData[Month List],$Q$6,RawData[Tour/Site],$Q$2,RawData[[Picker ID ]],$Q$3,RawData[Checker ID],$Q$4,RawData[[Error Type ]],$Q$5))</f>
        <v/>
      </c>
    </row>
    <row r="30457" spans="15:15" x14ac:dyDescent="0.25">
      <c r="O30457" s="20" t="str">
        <f>IF(N30457="","",COUNTIFS(RawData[[Date ]],N30457,RawData[Month List],$Q$6,RawData[Tour/Site],$Q$2,RawData[[Picker ID ]],$Q$3,RawData[Checker ID],$Q$4,RawData[[Error Type ]],$Q$5))</f>
        <v/>
      </c>
    </row>
    <row r="30458" spans="15:15" x14ac:dyDescent="0.25">
      <c r="O30458" s="20" t="str">
        <f>IF(N30458="","",COUNTIFS(RawData[[Date ]],N30458,RawData[Month List],$Q$6,RawData[Tour/Site],$Q$2,RawData[[Picker ID ]],$Q$3,RawData[Checker ID],$Q$4,RawData[[Error Type ]],$Q$5))</f>
        <v/>
      </c>
    </row>
    <row r="30459" spans="15:15" x14ac:dyDescent="0.25">
      <c r="O30459" s="20" t="str">
        <f>IF(N30459="","",COUNTIFS(RawData[[Date ]],N30459,RawData[Month List],$Q$6,RawData[Tour/Site],$Q$2,RawData[[Picker ID ]],$Q$3,RawData[Checker ID],$Q$4,RawData[[Error Type ]],$Q$5))</f>
        <v/>
      </c>
    </row>
    <row r="30460" spans="15:15" x14ac:dyDescent="0.25">
      <c r="O30460" s="20" t="str">
        <f>IF(N30460="","",COUNTIFS(RawData[[Date ]],N30460,RawData[Month List],$Q$6,RawData[Tour/Site],$Q$2,RawData[[Picker ID ]],$Q$3,RawData[Checker ID],$Q$4,RawData[[Error Type ]],$Q$5))</f>
        <v/>
      </c>
    </row>
    <row r="30461" spans="15:15" x14ac:dyDescent="0.25">
      <c r="O30461" s="20" t="str">
        <f>IF(N30461="","",COUNTIFS(RawData[[Date ]],N30461,RawData[Month List],$Q$6,RawData[Tour/Site],$Q$2,RawData[[Picker ID ]],$Q$3,RawData[Checker ID],$Q$4,RawData[[Error Type ]],$Q$5))</f>
        <v/>
      </c>
    </row>
    <row r="30462" spans="15:15" x14ac:dyDescent="0.25">
      <c r="O30462" s="20" t="str">
        <f>IF(N30462="","",COUNTIFS(RawData[[Date ]],N30462,RawData[Month List],$Q$6,RawData[Tour/Site],$Q$2,RawData[[Picker ID ]],$Q$3,RawData[Checker ID],$Q$4,RawData[[Error Type ]],$Q$5))</f>
        <v/>
      </c>
    </row>
    <row r="30463" spans="15:15" x14ac:dyDescent="0.25">
      <c r="O30463" s="20" t="str">
        <f>IF(N30463="","",COUNTIFS(RawData[[Date ]],N30463,RawData[Month List],$Q$6,RawData[Tour/Site],$Q$2,RawData[[Picker ID ]],$Q$3,RawData[Checker ID],$Q$4,RawData[[Error Type ]],$Q$5))</f>
        <v/>
      </c>
    </row>
    <row r="30464" spans="15:15" x14ac:dyDescent="0.25">
      <c r="O30464" s="20" t="str">
        <f>IF(N30464="","",COUNTIFS(RawData[[Date ]],N30464,RawData[Month List],$Q$6,RawData[Tour/Site],$Q$2,RawData[[Picker ID ]],$Q$3,RawData[Checker ID],$Q$4,RawData[[Error Type ]],$Q$5))</f>
        <v/>
      </c>
    </row>
    <row r="30465" spans="15:15" x14ac:dyDescent="0.25">
      <c r="O30465" s="20" t="str">
        <f>IF(N30465="","",COUNTIFS(RawData[[Date ]],N30465,RawData[Month List],$Q$6,RawData[Tour/Site],$Q$2,RawData[[Picker ID ]],$Q$3,RawData[Checker ID],$Q$4,RawData[[Error Type ]],$Q$5))</f>
        <v/>
      </c>
    </row>
    <row r="30466" spans="15:15" x14ac:dyDescent="0.25">
      <c r="O30466" s="20" t="str">
        <f>IF(N30466="","",COUNTIFS(RawData[[Date ]],N30466,RawData[Month List],$Q$6,RawData[Tour/Site],$Q$2,RawData[[Picker ID ]],$Q$3,RawData[Checker ID],$Q$4,RawData[[Error Type ]],$Q$5))</f>
        <v/>
      </c>
    </row>
    <row r="30467" spans="15:15" x14ac:dyDescent="0.25">
      <c r="O30467" s="20" t="str">
        <f>IF(N30467="","",COUNTIFS(RawData[[Date ]],N30467,RawData[Month List],$Q$6,RawData[Tour/Site],$Q$2,RawData[[Picker ID ]],$Q$3,RawData[Checker ID],$Q$4,RawData[[Error Type ]],$Q$5))</f>
        <v/>
      </c>
    </row>
    <row r="30468" spans="15:15" x14ac:dyDescent="0.25">
      <c r="O30468" s="20" t="str">
        <f>IF(N30468="","",COUNTIFS(RawData[[Date ]],N30468,RawData[Month List],$Q$6,RawData[Tour/Site],$Q$2,RawData[[Picker ID ]],$Q$3,RawData[Checker ID],$Q$4,RawData[[Error Type ]],$Q$5))</f>
        <v/>
      </c>
    </row>
    <row r="30469" spans="15:15" x14ac:dyDescent="0.25">
      <c r="O30469" s="20" t="str">
        <f>IF(N30469="","",COUNTIFS(RawData[[Date ]],N30469,RawData[Month List],$Q$6,RawData[Tour/Site],$Q$2,RawData[[Picker ID ]],$Q$3,RawData[Checker ID],$Q$4,RawData[[Error Type ]],$Q$5))</f>
        <v/>
      </c>
    </row>
    <row r="30470" spans="15:15" x14ac:dyDescent="0.25">
      <c r="O30470" s="20" t="str">
        <f>IF(N30470="","",COUNTIFS(RawData[[Date ]],N30470,RawData[Month List],$Q$6,RawData[Tour/Site],$Q$2,RawData[[Picker ID ]],$Q$3,RawData[Checker ID],$Q$4,RawData[[Error Type ]],$Q$5))</f>
        <v/>
      </c>
    </row>
    <row r="30471" spans="15:15" x14ac:dyDescent="0.25">
      <c r="O30471" s="20" t="str">
        <f>IF(N30471="","",COUNTIFS(RawData[[Date ]],N30471,RawData[Month List],$Q$6,RawData[Tour/Site],$Q$2,RawData[[Picker ID ]],$Q$3,RawData[Checker ID],$Q$4,RawData[[Error Type ]],$Q$5))</f>
        <v/>
      </c>
    </row>
    <row r="30472" spans="15:15" x14ac:dyDescent="0.25">
      <c r="O30472" s="20" t="str">
        <f>IF(N30472="","",COUNTIFS(RawData[[Date ]],N30472,RawData[Month List],$Q$6,RawData[Tour/Site],$Q$2,RawData[[Picker ID ]],$Q$3,RawData[Checker ID],$Q$4,RawData[[Error Type ]],$Q$5))</f>
        <v/>
      </c>
    </row>
    <row r="30473" spans="15:15" x14ac:dyDescent="0.25">
      <c r="O30473" s="20" t="str">
        <f>IF(N30473="","",COUNTIFS(RawData[[Date ]],N30473,RawData[Month List],$Q$6,RawData[Tour/Site],$Q$2,RawData[[Picker ID ]],$Q$3,RawData[Checker ID],$Q$4,RawData[[Error Type ]],$Q$5))</f>
        <v/>
      </c>
    </row>
    <row r="30474" spans="15:15" x14ac:dyDescent="0.25">
      <c r="O30474" s="20" t="str">
        <f>IF(N30474="","",COUNTIFS(RawData[[Date ]],N30474,RawData[Month List],$Q$6,RawData[Tour/Site],$Q$2,RawData[[Picker ID ]],$Q$3,RawData[Checker ID],$Q$4,RawData[[Error Type ]],$Q$5))</f>
        <v/>
      </c>
    </row>
    <row r="30475" spans="15:15" x14ac:dyDescent="0.25">
      <c r="O30475" s="20" t="str">
        <f>IF(N30475="","",COUNTIFS(RawData[[Date ]],N30475,RawData[Month List],$Q$6,RawData[Tour/Site],$Q$2,RawData[[Picker ID ]],$Q$3,RawData[Checker ID],$Q$4,RawData[[Error Type ]],$Q$5))</f>
        <v/>
      </c>
    </row>
    <row r="30476" spans="15:15" x14ac:dyDescent="0.25">
      <c r="O30476" s="20" t="str">
        <f>IF(N30476="","",COUNTIFS(RawData[[Date ]],N30476,RawData[Month List],$Q$6,RawData[Tour/Site],$Q$2,RawData[[Picker ID ]],$Q$3,RawData[Checker ID],$Q$4,RawData[[Error Type ]],$Q$5))</f>
        <v/>
      </c>
    </row>
    <row r="30477" spans="15:15" x14ac:dyDescent="0.25">
      <c r="O30477" s="20" t="str">
        <f>IF(N30477="","",COUNTIFS(RawData[[Date ]],N30477,RawData[Month List],$Q$6,RawData[Tour/Site],$Q$2,RawData[[Picker ID ]],$Q$3,RawData[Checker ID],$Q$4,RawData[[Error Type ]],$Q$5))</f>
        <v/>
      </c>
    </row>
    <row r="30478" spans="15:15" x14ac:dyDescent="0.25">
      <c r="O30478" s="20" t="str">
        <f>IF(N30478="","",COUNTIFS(RawData[[Date ]],N30478,RawData[Month List],$Q$6,RawData[Tour/Site],$Q$2,RawData[[Picker ID ]],$Q$3,RawData[Checker ID],$Q$4,RawData[[Error Type ]],$Q$5))</f>
        <v/>
      </c>
    </row>
    <row r="30479" spans="15:15" x14ac:dyDescent="0.25">
      <c r="O30479" s="20" t="str">
        <f>IF(N30479="","",COUNTIFS(RawData[[Date ]],N30479,RawData[Month List],$Q$6,RawData[Tour/Site],$Q$2,RawData[[Picker ID ]],$Q$3,RawData[Checker ID],$Q$4,RawData[[Error Type ]],$Q$5))</f>
        <v/>
      </c>
    </row>
    <row r="30480" spans="15:15" x14ac:dyDescent="0.25">
      <c r="O30480" s="20" t="str">
        <f>IF(N30480="","",COUNTIFS(RawData[[Date ]],N30480,RawData[Month List],$Q$6,RawData[Tour/Site],$Q$2,RawData[[Picker ID ]],$Q$3,RawData[Checker ID],$Q$4,RawData[[Error Type ]],$Q$5))</f>
        <v/>
      </c>
    </row>
    <row r="30481" spans="15:15" x14ac:dyDescent="0.25">
      <c r="O30481" s="20" t="str">
        <f>IF(N30481="","",COUNTIFS(RawData[[Date ]],N30481,RawData[Month List],$Q$6,RawData[Tour/Site],$Q$2,RawData[[Picker ID ]],$Q$3,RawData[Checker ID],$Q$4,RawData[[Error Type ]],$Q$5))</f>
        <v/>
      </c>
    </row>
    <row r="30482" spans="15:15" x14ac:dyDescent="0.25">
      <c r="O30482" s="20" t="str">
        <f>IF(N30482="","",COUNTIFS(RawData[[Date ]],N30482,RawData[Month List],$Q$6,RawData[Tour/Site],$Q$2,RawData[[Picker ID ]],$Q$3,RawData[Checker ID],$Q$4,RawData[[Error Type ]],$Q$5))</f>
        <v/>
      </c>
    </row>
    <row r="30483" spans="15:15" x14ac:dyDescent="0.25">
      <c r="O30483" s="20" t="str">
        <f>IF(N30483="","",COUNTIFS(RawData[[Date ]],N30483,RawData[Month List],$Q$6,RawData[Tour/Site],$Q$2,RawData[[Picker ID ]],$Q$3,RawData[Checker ID],$Q$4,RawData[[Error Type ]],$Q$5))</f>
        <v/>
      </c>
    </row>
    <row r="30484" spans="15:15" x14ac:dyDescent="0.25">
      <c r="O30484" s="20" t="str">
        <f>IF(N30484="","",COUNTIFS(RawData[[Date ]],N30484,RawData[Month List],$Q$6,RawData[Tour/Site],$Q$2,RawData[[Picker ID ]],$Q$3,RawData[Checker ID],$Q$4,RawData[[Error Type ]],$Q$5))</f>
        <v/>
      </c>
    </row>
    <row r="30485" spans="15:15" x14ac:dyDescent="0.25">
      <c r="O30485" s="20" t="str">
        <f>IF(N30485="","",COUNTIFS(RawData[[Date ]],N30485,RawData[Month List],$Q$6,RawData[Tour/Site],$Q$2,RawData[[Picker ID ]],$Q$3,RawData[Checker ID],$Q$4,RawData[[Error Type ]],$Q$5))</f>
        <v/>
      </c>
    </row>
    <row r="30486" spans="15:15" x14ac:dyDescent="0.25">
      <c r="O30486" s="20" t="str">
        <f>IF(N30486="","",COUNTIFS(RawData[[Date ]],N30486,RawData[Month List],$Q$6,RawData[Tour/Site],$Q$2,RawData[[Picker ID ]],$Q$3,RawData[Checker ID],$Q$4,RawData[[Error Type ]],$Q$5))</f>
        <v/>
      </c>
    </row>
    <row r="30487" spans="15:15" x14ac:dyDescent="0.25">
      <c r="O30487" s="20" t="str">
        <f>IF(N30487="","",COUNTIFS(RawData[[Date ]],N30487,RawData[Month List],$Q$6,RawData[Tour/Site],$Q$2,RawData[[Picker ID ]],$Q$3,RawData[Checker ID],$Q$4,RawData[[Error Type ]],$Q$5))</f>
        <v/>
      </c>
    </row>
    <row r="30488" spans="15:15" x14ac:dyDescent="0.25">
      <c r="O30488" s="20" t="str">
        <f>IF(N30488="","",COUNTIFS(RawData[[Date ]],N30488,RawData[Month List],$Q$6,RawData[Tour/Site],$Q$2,RawData[[Picker ID ]],$Q$3,RawData[Checker ID],$Q$4,RawData[[Error Type ]],$Q$5))</f>
        <v/>
      </c>
    </row>
    <row r="30489" spans="15:15" x14ac:dyDescent="0.25">
      <c r="O30489" s="20" t="str">
        <f>IF(N30489="","",COUNTIFS(RawData[[Date ]],N30489,RawData[Month List],$Q$6,RawData[Tour/Site],$Q$2,RawData[[Picker ID ]],$Q$3,RawData[Checker ID],$Q$4,RawData[[Error Type ]],$Q$5))</f>
        <v/>
      </c>
    </row>
    <row r="30490" spans="15:15" x14ac:dyDescent="0.25">
      <c r="O30490" s="20" t="str">
        <f>IF(N30490="","",COUNTIFS(RawData[[Date ]],N30490,RawData[Month List],$Q$6,RawData[Tour/Site],$Q$2,RawData[[Picker ID ]],$Q$3,RawData[Checker ID],$Q$4,RawData[[Error Type ]],$Q$5))</f>
        <v/>
      </c>
    </row>
    <row r="30491" spans="15:15" x14ac:dyDescent="0.25">
      <c r="O30491" s="20" t="str">
        <f>IF(N30491="","",COUNTIFS(RawData[[Date ]],N30491,RawData[Month List],$Q$6,RawData[Tour/Site],$Q$2,RawData[[Picker ID ]],$Q$3,RawData[Checker ID],$Q$4,RawData[[Error Type ]],$Q$5))</f>
        <v/>
      </c>
    </row>
    <row r="30492" spans="15:15" x14ac:dyDescent="0.25">
      <c r="O30492" s="20" t="str">
        <f>IF(N30492="","",COUNTIFS(RawData[[Date ]],N30492,RawData[Month List],$Q$6,RawData[Tour/Site],$Q$2,RawData[[Picker ID ]],$Q$3,RawData[Checker ID],$Q$4,RawData[[Error Type ]],$Q$5))</f>
        <v/>
      </c>
    </row>
    <row r="30493" spans="15:15" x14ac:dyDescent="0.25">
      <c r="O30493" s="20" t="str">
        <f>IF(N30493="","",COUNTIFS(RawData[[Date ]],N30493,RawData[Month List],$Q$6,RawData[Tour/Site],$Q$2,RawData[[Picker ID ]],$Q$3,RawData[Checker ID],$Q$4,RawData[[Error Type ]],$Q$5))</f>
        <v/>
      </c>
    </row>
    <row r="30494" spans="15:15" x14ac:dyDescent="0.25">
      <c r="O30494" s="20" t="str">
        <f>IF(N30494="","",COUNTIFS(RawData[[Date ]],N30494,RawData[Month List],$Q$6,RawData[Tour/Site],$Q$2,RawData[[Picker ID ]],$Q$3,RawData[Checker ID],$Q$4,RawData[[Error Type ]],$Q$5))</f>
        <v/>
      </c>
    </row>
    <row r="30495" spans="15:15" x14ac:dyDescent="0.25">
      <c r="O30495" s="20" t="str">
        <f>IF(N30495="","",COUNTIFS(RawData[[Date ]],N30495,RawData[Month List],$Q$6,RawData[Tour/Site],$Q$2,RawData[[Picker ID ]],$Q$3,RawData[Checker ID],$Q$4,RawData[[Error Type ]],$Q$5))</f>
        <v/>
      </c>
    </row>
    <row r="30496" spans="15:15" x14ac:dyDescent="0.25">
      <c r="O30496" s="20" t="str">
        <f>IF(N30496="","",COUNTIFS(RawData[[Date ]],N30496,RawData[Month List],$Q$6,RawData[Tour/Site],$Q$2,RawData[[Picker ID ]],$Q$3,RawData[Checker ID],$Q$4,RawData[[Error Type ]],$Q$5))</f>
        <v/>
      </c>
    </row>
    <row r="30497" spans="15:15" x14ac:dyDescent="0.25">
      <c r="O30497" s="20" t="str">
        <f>IF(N30497="","",COUNTIFS(RawData[[Date ]],N30497,RawData[Month List],$Q$6,RawData[Tour/Site],$Q$2,RawData[[Picker ID ]],$Q$3,RawData[Checker ID],$Q$4,RawData[[Error Type ]],$Q$5))</f>
        <v/>
      </c>
    </row>
    <row r="30498" spans="15:15" x14ac:dyDescent="0.25">
      <c r="O30498" s="20" t="str">
        <f>IF(N30498="","",COUNTIFS(RawData[[Date ]],N30498,RawData[Month List],$Q$6,RawData[Tour/Site],$Q$2,RawData[[Picker ID ]],$Q$3,RawData[Checker ID],$Q$4,RawData[[Error Type ]],$Q$5))</f>
        <v/>
      </c>
    </row>
    <row r="30499" spans="15:15" x14ac:dyDescent="0.25">
      <c r="O30499" s="20" t="str">
        <f>IF(N30499="","",COUNTIFS(RawData[[Date ]],N30499,RawData[Month List],$Q$6,RawData[Tour/Site],$Q$2,RawData[[Picker ID ]],$Q$3,RawData[Checker ID],$Q$4,RawData[[Error Type ]],$Q$5))</f>
        <v/>
      </c>
    </row>
    <row r="30500" spans="15:15" x14ac:dyDescent="0.25">
      <c r="O30500" s="20" t="str">
        <f>IF(N30500="","",COUNTIFS(RawData[[Date ]],N30500,RawData[Month List],$Q$6,RawData[Tour/Site],$Q$2,RawData[[Picker ID ]],$Q$3,RawData[Checker ID],$Q$4,RawData[[Error Type ]],$Q$5))</f>
        <v/>
      </c>
    </row>
    <row r="30501" spans="15:15" x14ac:dyDescent="0.25">
      <c r="O30501" s="20" t="str">
        <f>IF(N30501="","",COUNTIFS(RawData[[Date ]],N30501,RawData[Month List],$Q$6,RawData[Tour/Site],$Q$2,RawData[[Picker ID ]],$Q$3,RawData[Checker ID],$Q$4,RawData[[Error Type ]],$Q$5))</f>
        <v/>
      </c>
    </row>
    <row r="30502" spans="15:15" x14ac:dyDescent="0.25">
      <c r="O30502" s="20" t="str">
        <f>IF(N30502="","",COUNTIFS(RawData[[Date ]],N30502,RawData[Month List],$Q$6,RawData[Tour/Site],$Q$2,RawData[[Picker ID ]],$Q$3,RawData[Checker ID],$Q$4,RawData[[Error Type ]],$Q$5))</f>
        <v/>
      </c>
    </row>
    <row r="30503" spans="15:15" x14ac:dyDescent="0.25">
      <c r="O30503" s="20" t="str">
        <f>IF(N30503="","",COUNTIFS(RawData[[Date ]],N30503,RawData[Month List],$Q$6,RawData[Tour/Site],$Q$2,RawData[[Picker ID ]],$Q$3,RawData[Checker ID],$Q$4,RawData[[Error Type ]],$Q$5))</f>
        <v/>
      </c>
    </row>
    <row r="30504" spans="15:15" x14ac:dyDescent="0.25">
      <c r="O30504" s="20" t="str">
        <f>IF(N30504="","",COUNTIFS(RawData[[Date ]],N30504,RawData[Month List],$Q$6,RawData[Tour/Site],$Q$2,RawData[[Picker ID ]],$Q$3,RawData[Checker ID],$Q$4,RawData[[Error Type ]],$Q$5))</f>
        <v/>
      </c>
    </row>
    <row r="30505" spans="15:15" x14ac:dyDescent="0.25">
      <c r="O30505" s="20" t="str">
        <f>IF(N30505="","",COUNTIFS(RawData[[Date ]],N30505,RawData[Month List],$Q$6,RawData[Tour/Site],$Q$2,RawData[[Picker ID ]],$Q$3,RawData[Checker ID],$Q$4,RawData[[Error Type ]],$Q$5))</f>
        <v/>
      </c>
    </row>
    <row r="30506" spans="15:15" x14ac:dyDescent="0.25">
      <c r="O30506" s="20" t="str">
        <f>IF(N30506="","",COUNTIFS(RawData[[Date ]],N30506,RawData[Month List],$Q$6,RawData[Tour/Site],$Q$2,RawData[[Picker ID ]],$Q$3,RawData[Checker ID],$Q$4,RawData[[Error Type ]],$Q$5))</f>
        <v/>
      </c>
    </row>
    <row r="30507" spans="15:15" x14ac:dyDescent="0.25">
      <c r="O30507" s="20" t="str">
        <f>IF(N30507="","",COUNTIFS(RawData[[Date ]],N30507,RawData[Month List],$Q$6,RawData[Tour/Site],$Q$2,RawData[[Picker ID ]],$Q$3,RawData[Checker ID],$Q$4,RawData[[Error Type ]],$Q$5))</f>
        <v/>
      </c>
    </row>
    <row r="30508" spans="15:15" x14ac:dyDescent="0.25">
      <c r="O30508" s="20" t="str">
        <f>IF(N30508="","",COUNTIFS(RawData[[Date ]],N30508,RawData[Month List],$Q$6,RawData[Tour/Site],$Q$2,RawData[[Picker ID ]],$Q$3,RawData[Checker ID],$Q$4,RawData[[Error Type ]],$Q$5))</f>
        <v/>
      </c>
    </row>
    <row r="30509" spans="15:15" x14ac:dyDescent="0.25">
      <c r="O30509" s="20" t="str">
        <f>IF(N30509="","",COUNTIFS(RawData[[Date ]],N30509,RawData[Month List],$Q$6,RawData[Tour/Site],$Q$2,RawData[[Picker ID ]],$Q$3,RawData[Checker ID],$Q$4,RawData[[Error Type ]],$Q$5))</f>
        <v/>
      </c>
    </row>
    <row r="30510" spans="15:15" x14ac:dyDescent="0.25">
      <c r="O30510" s="20" t="str">
        <f>IF(N30510="","",COUNTIFS(RawData[[Date ]],N30510,RawData[Month List],$Q$6,RawData[Tour/Site],$Q$2,RawData[[Picker ID ]],$Q$3,RawData[Checker ID],$Q$4,RawData[[Error Type ]],$Q$5))</f>
        <v/>
      </c>
    </row>
    <row r="30511" spans="15:15" x14ac:dyDescent="0.25">
      <c r="O30511" s="20" t="str">
        <f>IF(N30511="","",COUNTIFS(RawData[[Date ]],N30511,RawData[Month List],$Q$6,RawData[Tour/Site],$Q$2,RawData[[Picker ID ]],$Q$3,RawData[Checker ID],$Q$4,RawData[[Error Type ]],$Q$5))</f>
        <v/>
      </c>
    </row>
    <row r="30512" spans="15:15" x14ac:dyDescent="0.25">
      <c r="O30512" s="20" t="str">
        <f>IF(N30512="","",COUNTIFS(RawData[[Date ]],N30512,RawData[Month List],$Q$6,RawData[Tour/Site],$Q$2,RawData[[Picker ID ]],$Q$3,RawData[Checker ID],$Q$4,RawData[[Error Type ]],$Q$5))</f>
        <v/>
      </c>
    </row>
    <row r="30513" spans="15:15" x14ac:dyDescent="0.25">
      <c r="O30513" s="20" t="str">
        <f>IF(N30513="","",COUNTIFS(RawData[[Date ]],N30513,RawData[Month List],$Q$6,RawData[Tour/Site],$Q$2,RawData[[Picker ID ]],$Q$3,RawData[Checker ID],$Q$4,RawData[[Error Type ]],$Q$5))</f>
        <v/>
      </c>
    </row>
    <row r="30514" spans="15:15" x14ac:dyDescent="0.25">
      <c r="O30514" s="20" t="str">
        <f>IF(N30514="","",COUNTIFS(RawData[[Date ]],N30514,RawData[Month List],$Q$6,RawData[Tour/Site],$Q$2,RawData[[Picker ID ]],$Q$3,RawData[Checker ID],$Q$4,RawData[[Error Type ]],$Q$5))</f>
        <v/>
      </c>
    </row>
    <row r="30515" spans="15:15" x14ac:dyDescent="0.25">
      <c r="O30515" s="20" t="str">
        <f>IF(N30515="","",COUNTIFS(RawData[[Date ]],N30515,RawData[Month List],$Q$6,RawData[Tour/Site],$Q$2,RawData[[Picker ID ]],$Q$3,RawData[Checker ID],$Q$4,RawData[[Error Type ]],$Q$5))</f>
        <v/>
      </c>
    </row>
    <row r="30516" spans="15:15" x14ac:dyDescent="0.25">
      <c r="O30516" s="20" t="str">
        <f>IF(N30516="","",COUNTIFS(RawData[[Date ]],N30516,RawData[Month List],$Q$6,RawData[Tour/Site],$Q$2,RawData[[Picker ID ]],$Q$3,RawData[Checker ID],$Q$4,RawData[[Error Type ]],$Q$5))</f>
        <v/>
      </c>
    </row>
    <row r="30517" spans="15:15" x14ac:dyDescent="0.25">
      <c r="O30517" s="20" t="str">
        <f>IF(N30517="","",COUNTIFS(RawData[[Date ]],N30517,RawData[Month List],$Q$6,RawData[Tour/Site],$Q$2,RawData[[Picker ID ]],$Q$3,RawData[Checker ID],$Q$4,RawData[[Error Type ]],$Q$5))</f>
        <v/>
      </c>
    </row>
    <row r="30518" spans="15:15" x14ac:dyDescent="0.25">
      <c r="O30518" s="20" t="str">
        <f>IF(N30518="","",COUNTIFS(RawData[[Date ]],N30518,RawData[Month List],$Q$6,RawData[Tour/Site],$Q$2,RawData[[Picker ID ]],$Q$3,RawData[Checker ID],$Q$4,RawData[[Error Type ]],$Q$5))</f>
        <v/>
      </c>
    </row>
    <row r="30519" spans="15:15" x14ac:dyDescent="0.25">
      <c r="O30519" s="20" t="str">
        <f>IF(N30519="","",COUNTIFS(RawData[[Date ]],N30519,RawData[Month List],$Q$6,RawData[Tour/Site],$Q$2,RawData[[Picker ID ]],$Q$3,RawData[Checker ID],$Q$4,RawData[[Error Type ]],$Q$5))</f>
        <v/>
      </c>
    </row>
    <row r="30520" spans="15:15" x14ac:dyDescent="0.25">
      <c r="O30520" s="20" t="str">
        <f>IF(N30520="","",COUNTIFS(RawData[[Date ]],N30520,RawData[Month List],$Q$6,RawData[Tour/Site],$Q$2,RawData[[Picker ID ]],$Q$3,RawData[Checker ID],$Q$4,RawData[[Error Type ]],$Q$5))</f>
        <v/>
      </c>
    </row>
    <row r="30521" spans="15:15" x14ac:dyDescent="0.25">
      <c r="O30521" s="20" t="str">
        <f>IF(N30521="","",COUNTIFS(RawData[[Date ]],N30521,RawData[Month List],$Q$6,RawData[Tour/Site],$Q$2,RawData[[Picker ID ]],$Q$3,RawData[Checker ID],$Q$4,RawData[[Error Type ]],$Q$5))</f>
        <v/>
      </c>
    </row>
    <row r="30522" spans="15:15" x14ac:dyDescent="0.25">
      <c r="O30522" s="20" t="str">
        <f>IF(N30522="","",COUNTIFS(RawData[[Date ]],N30522,RawData[Month List],$Q$6,RawData[Tour/Site],$Q$2,RawData[[Picker ID ]],$Q$3,RawData[Checker ID],$Q$4,RawData[[Error Type ]],$Q$5))</f>
        <v/>
      </c>
    </row>
    <row r="30523" spans="15:15" x14ac:dyDescent="0.25">
      <c r="O30523" s="20" t="str">
        <f>IF(N30523="","",COUNTIFS(RawData[[Date ]],N30523,RawData[Month List],$Q$6,RawData[Tour/Site],$Q$2,RawData[[Picker ID ]],$Q$3,RawData[Checker ID],$Q$4,RawData[[Error Type ]],$Q$5))</f>
        <v/>
      </c>
    </row>
    <row r="30524" spans="15:15" x14ac:dyDescent="0.25">
      <c r="O30524" s="20" t="str">
        <f>IF(N30524="","",COUNTIFS(RawData[[Date ]],N30524,RawData[Month List],$Q$6,RawData[Tour/Site],$Q$2,RawData[[Picker ID ]],$Q$3,RawData[Checker ID],$Q$4,RawData[[Error Type ]],$Q$5))</f>
        <v/>
      </c>
    </row>
    <row r="30525" spans="15:15" x14ac:dyDescent="0.25">
      <c r="O30525" s="20" t="str">
        <f>IF(N30525="","",COUNTIFS(RawData[[Date ]],N30525,RawData[Month List],$Q$6,RawData[Tour/Site],$Q$2,RawData[[Picker ID ]],$Q$3,RawData[Checker ID],$Q$4,RawData[[Error Type ]],$Q$5))</f>
        <v/>
      </c>
    </row>
    <row r="30526" spans="15:15" x14ac:dyDescent="0.25">
      <c r="O30526" s="20" t="str">
        <f>IF(N30526="","",COUNTIFS(RawData[[Date ]],N30526,RawData[Month List],$Q$6,RawData[Tour/Site],$Q$2,RawData[[Picker ID ]],$Q$3,RawData[Checker ID],$Q$4,RawData[[Error Type ]],$Q$5))</f>
        <v/>
      </c>
    </row>
    <row r="30527" spans="15:15" x14ac:dyDescent="0.25">
      <c r="O30527" s="20" t="str">
        <f>IF(N30527="","",COUNTIFS(RawData[[Date ]],N30527,RawData[Month List],$Q$6,RawData[Tour/Site],$Q$2,RawData[[Picker ID ]],$Q$3,RawData[Checker ID],$Q$4,RawData[[Error Type ]],$Q$5))</f>
        <v/>
      </c>
    </row>
    <row r="30528" spans="15:15" x14ac:dyDescent="0.25">
      <c r="O30528" s="20" t="str">
        <f>IF(N30528="","",COUNTIFS(RawData[[Date ]],N30528,RawData[Month List],$Q$6,RawData[Tour/Site],$Q$2,RawData[[Picker ID ]],$Q$3,RawData[Checker ID],$Q$4,RawData[[Error Type ]],$Q$5))</f>
        <v/>
      </c>
    </row>
    <row r="30529" spans="15:15" x14ac:dyDescent="0.25">
      <c r="O30529" s="20" t="str">
        <f>IF(N30529="","",COUNTIFS(RawData[[Date ]],N30529,RawData[Month List],$Q$6,RawData[Tour/Site],$Q$2,RawData[[Picker ID ]],$Q$3,RawData[Checker ID],$Q$4,RawData[[Error Type ]],$Q$5))</f>
        <v/>
      </c>
    </row>
    <row r="30530" spans="15:15" x14ac:dyDescent="0.25">
      <c r="O30530" s="20" t="str">
        <f>IF(N30530="","",COUNTIFS(RawData[[Date ]],N30530,RawData[Month List],$Q$6,RawData[Tour/Site],$Q$2,RawData[[Picker ID ]],$Q$3,RawData[Checker ID],$Q$4,RawData[[Error Type ]],$Q$5))</f>
        <v/>
      </c>
    </row>
    <row r="30531" spans="15:15" x14ac:dyDescent="0.25">
      <c r="O30531" s="20" t="str">
        <f>IF(N30531="","",COUNTIFS(RawData[[Date ]],N30531,RawData[Month List],$Q$6,RawData[Tour/Site],$Q$2,RawData[[Picker ID ]],$Q$3,RawData[Checker ID],$Q$4,RawData[[Error Type ]],$Q$5))</f>
        <v/>
      </c>
    </row>
    <row r="30532" spans="15:15" x14ac:dyDescent="0.25">
      <c r="O30532" s="20" t="str">
        <f>IF(N30532="","",COUNTIFS(RawData[[Date ]],N30532,RawData[Month List],$Q$6,RawData[Tour/Site],$Q$2,RawData[[Picker ID ]],$Q$3,RawData[Checker ID],$Q$4,RawData[[Error Type ]],$Q$5))</f>
        <v/>
      </c>
    </row>
    <row r="30533" spans="15:15" x14ac:dyDescent="0.25">
      <c r="O30533" s="20" t="str">
        <f>IF(N30533="","",COUNTIFS(RawData[[Date ]],N30533,RawData[Month List],$Q$6,RawData[Tour/Site],$Q$2,RawData[[Picker ID ]],$Q$3,RawData[Checker ID],$Q$4,RawData[[Error Type ]],$Q$5))</f>
        <v/>
      </c>
    </row>
    <row r="30534" spans="15:15" x14ac:dyDescent="0.25">
      <c r="O30534" s="20" t="str">
        <f>IF(N30534="","",COUNTIFS(RawData[[Date ]],N30534,RawData[Month List],$Q$6,RawData[Tour/Site],$Q$2,RawData[[Picker ID ]],$Q$3,RawData[Checker ID],$Q$4,RawData[[Error Type ]],$Q$5))</f>
        <v/>
      </c>
    </row>
    <row r="30535" spans="15:15" x14ac:dyDescent="0.25">
      <c r="O30535" s="20" t="str">
        <f>IF(N30535="","",COUNTIFS(RawData[[Date ]],N30535,RawData[Month List],$Q$6,RawData[Tour/Site],$Q$2,RawData[[Picker ID ]],$Q$3,RawData[Checker ID],$Q$4,RawData[[Error Type ]],$Q$5))</f>
        <v/>
      </c>
    </row>
    <row r="30536" spans="15:15" x14ac:dyDescent="0.25">
      <c r="O30536" s="20" t="str">
        <f>IF(N30536="","",COUNTIFS(RawData[[Date ]],N30536,RawData[Month List],$Q$6,RawData[Tour/Site],$Q$2,RawData[[Picker ID ]],$Q$3,RawData[Checker ID],$Q$4,RawData[[Error Type ]],$Q$5))</f>
        <v/>
      </c>
    </row>
    <row r="30537" spans="15:15" x14ac:dyDescent="0.25">
      <c r="O30537" s="20" t="str">
        <f>IF(N30537="","",COUNTIFS(RawData[[Date ]],N30537,RawData[Month List],$Q$6,RawData[Tour/Site],$Q$2,RawData[[Picker ID ]],$Q$3,RawData[Checker ID],$Q$4,RawData[[Error Type ]],$Q$5))</f>
        <v/>
      </c>
    </row>
    <row r="30538" spans="15:15" x14ac:dyDescent="0.25">
      <c r="O30538" s="20" t="str">
        <f>IF(N30538="","",COUNTIFS(RawData[[Date ]],N30538,RawData[Month List],$Q$6,RawData[Tour/Site],$Q$2,RawData[[Picker ID ]],$Q$3,RawData[Checker ID],$Q$4,RawData[[Error Type ]],$Q$5))</f>
        <v/>
      </c>
    </row>
    <row r="30539" spans="15:15" x14ac:dyDescent="0.25">
      <c r="O30539" s="20" t="str">
        <f>IF(N30539="","",COUNTIFS(RawData[[Date ]],N30539,RawData[Month List],$Q$6,RawData[Tour/Site],$Q$2,RawData[[Picker ID ]],$Q$3,RawData[Checker ID],$Q$4,RawData[[Error Type ]],$Q$5))</f>
        <v/>
      </c>
    </row>
    <row r="30540" spans="15:15" x14ac:dyDescent="0.25">
      <c r="O30540" s="20" t="str">
        <f>IF(N30540="","",COUNTIFS(RawData[[Date ]],N30540,RawData[Month List],$Q$6,RawData[Tour/Site],$Q$2,RawData[[Picker ID ]],$Q$3,RawData[Checker ID],$Q$4,RawData[[Error Type ]],$Q$5))</f>
        <v/>
      </c>
    </row>
    <row r="30541" spans="15:15" x14ac:dyDescent="0.25">
      <c r="O30541" s="20" t="str">
        <f>IF(N30541="","",COUNTIFS(RawData[[Date ]],N30541,RawData[Month List],$Q$6,RawData[Tour/Site],$Q$2,RawData[[Picker ID ]],$Q$3,RawData[Checker ID],$Q$4,RawData[[Error Type ]],$Q$5))</f>
        <v/>
      </c>
    </row>
    <row r="30542" spans="15:15" x14ac:dyDescent="0.25">
      <c r="O30542" s="20" t="str">
        <f>IF(N30542="","",COUNTIFS(RawData[[Date ]],N30542,RawData[Month List],$Q$6,RawData[Tour/Site],$Q$2,RawData[[Picker ID ]],$Q$3,RawData[Checker ID],$Q$4,RawData[[Error Type ]],$Q$5))</f>
        <v/>
      </c>
    </row>
    <row r="30543" spans="15:15" x14ac:dyDescent="0.25">
      <c r="O30543" s="20" t="str">
        <f>IF(N30543="","",COUNTIFS(RawData[[Date ]],N30543,RawData[Month List],$Q$6,RawData[Tour/Site],$Q$2,RawData[[Picker ID ]],$Q$3,RawData[Checker ID],$Q$4,RawData[[Error Type ]],$Q$5))</f>
        <v/>
      </c>
    </row>
    <row r="30544" spans="15:15" x14ac:dyDescent="0.25">
      <c r="O30544" s="20" t="str">
        <f>IF(N30544="","",COUNTIFS(RawData[[Date ]],N30544,RawData[Month List],$Q$6,RawData[Tour/Site],$Q$2,RawData[[Picker ID ]],$Q$3,RawData[Checker ID],$Q$4,RawData[[Error Type ]],$Q$5))</f>
        <v/>
      </c>
    </row>
    <row r="30545" spans="15:15" x14ac:dyDescent="0.25">
      <c r="O30545" s="20" t="str">
        <f>IF(N30545="","",COUNTIFS(RawData[[Date ]],N30545,RawData[Month List],$Q$6,RawData[Tour/Site],$Q$2,RawData[[Picker ID ]],$Q$3,RawData[Checker ID],$Q$4,RawData[[Error Type ]],$Q$5))</f>
        <v/>
      </c>
    </row>
    <row r="30546" spans="15:15" x14ac:dyDescent="0.25">
      <c r="O30546" s="20" t="str">
        <f>IF(N30546="","",COUNTIFS(RawData[[Date ]],N30546,RawData[Month List],$Q$6,RawData[Tour/Site],$Q$2,RawData[[Picker ID ]],$Q$3,RawData[Checker ID],$Q$4,RawData[[Error Type ]],$Q$5))</f>
        <v/>
      </c>
    </row>
    <row r="30547" spans="15:15" x14ac:dyDescent="0.25">
      <c r="O30547" s="20" t="str">
        <f>IF(N30547="","",COUNTIFS(RawData[[Date ]],N30547,RawData[Month List],$Q$6,RawData[Tour/Site],$Q$2,RawData[[Picker ID ]],$Q$3,RawData[Checker ID],$Q$4,RawData[[Error Type ]],$Q$5))</f>
        <v/>
      </c>
    </row>
    <row r="30548" spans="15:15" x14ac:dyDescent="0.25">
      <c r="O30548" s="20" t="str">
        <f>IF(N30548="","",COUNTIFS(RawData[[Date ]],N30548,RawData[Month List],$Q$6,RawData[Tour/Site],$Q$2,RawData[[Picker ID ]],$Q$3,RawData[Checker ID],$Q$4,RawData[[Error Type ]],$Q$5))</f>
        <v/>
      </c>
    </row>
    <row r="30549" spans="15:15" x14ac:dyDescent="0.25">
      <c r="O30549" s="20" t="str">
        <f>IF(N30549="","",COUNTIFS(RawData[[Date ]],N30549,RawData[Month List],$Q$6,RawData[Tour/Site],$Q$2,RawData[[Picker ID ]],$Q$3,RawData[Checker ID],$Q$4,RawData[[Error Type ]],$Q$5))</f>
        <v/>
      </c>
    </row>
    <row r="30550" spans="15:15" x14ac:dyDescent="0.25">
      <c r="O30550" s="20" t="str">
        <f>IF(N30550="","",COUNTIFS(RawData[[Date ]],N30550,RawData[Month List],$Q$6,RawData[Tour/Site],$Q$2,RawData[[Picker ID ]],$Q$3,RawData[Checker ID],$Q$4,RawData[[Error Type ]],$Q$5))</f>
        <v/>
      </c>
    </row>
    <row r="30551" spans="15:15" x14ac:dyDescent="0.25">
      <c r="O30551" s="20" t="str">
        <f>IF(N30551="","",COUNTIFS(RawData[[Date ]],N30551,RawData[Month List],$Q$6,RawData[Tour/Site],$Q$2,RawData[[Picker ID ]],$Q$3,RawData[Checker ID],$Q$4,RawData[[Error Type ]],$Q$5))</f>
        <v/>
      </c>
    </row>
    <row r="30552" spans="15:15" x14ac:dyDescent="0.25">
      <c r="O30552" s="20" t="str">
        <f>IF(N30552="","",COUNTIFS(RawData[[Date ]],N30552,RawData[Month List],$Q$6,RawData[Tour/Site],$Q$2,RawData[[Picker ID ]],$Q$3,RawData[Checker ID],$Q$4,RawData[[Error Type ]],$Q$5))</f>
        <v/>
      </c>
    </row>
    <row r="30553" spans="15:15" x14ac:dyDescent="0.25">
      <c r="O30553" s="20" t="str">
        <f>IF(N30553="","",COUNTIFS(RawData[[Date ]],N30553,RawData[Month List],$Q$6,RawData[Tour/Site],$Q$2,RawData[[Picker ID ]],$Q$3,RawData[Checker ID],$Q$4,RawData[[Error Type ]],$Q$5))</f>
        <v/>
      </c>
    </row>
    <row r="30554" spans="15:15" x14ac:dyDescent="0.25">
      <c r="O30554" s="20" t="str">
        <f>IF(N30554="","",COUNTIFS(RawData[[Date ]],N30554,RawData[Month List],$Q$6,RawData[Tour/Site],$Q$2,RawData[[Picker ID ]],$Q$3,RawData[Checker ID],$Q$4,RawData[[Error Type ]],$Q$5))</f>
        <v/>
      </c>
    </row>
    <row r="30555" spans="15:15" x14ac:dyDescent="0.25">
      <c r="O30555" s="20" t="str">
        <f>IF(N30555="","",COUNTIFS(RawData[[Date ]],N30555,RawData[Month List],$Q$6,RawData[Tour/Site],$Q$2,RawData[[Picker ID ]],$Q$3,RawData[Checker ID],$Q$4,RawData[[Error Type ]],$Q$5))</f>
        <v/>
      </c>
    </row>
    <row r="30556" spans="15:15" x14ac:dyDescent="0.25">
      <c r="O30556" s="20" t="str">
        <f>IF(N30556="","",COUNTIFS(RawData[[Date ]],N30556,RawData[Month List],$Q$6,RawData[Tour/Site],$Q$2,RawData[[Picker ID ]],$Q$3,RawData[Checker ID],$Q$4,RawData[[Error Type ]],$Q$5))</f>
        <v/>
      </c>
    </row>
    <row r="30557" spans="15:15" x14ac:dyDescent="0.25">
      <c r="O30557" s="20" t="str">
        <f>IF(N30557="","",COUNTIFS(RawData[[Date ]],N30557,RawData[Month List],$Q$6,RawData[Tour/Site],$Q$2,RawData[[Picker ID ]],$Q$3,RawData[Checker ID],$Q$4,RawData[[Error Type ]],$Q$5))</f>
        <v/>
      </c>
    </row>
    <row r="30558" spans="15:15" x14ac:dyDescent="0.25">
      <c r="O30558" s="20" t="str">
        <f>IF(N30558="","",COUNTIFS(RawData[[Date ]],N30558,RawData[Month List],$Q$6,RawData[Tour/Site],$Q$2,RawData[[Picker ID ]],$Q$3,RawData[Checker ID],$Q$4,RawData[[Error Type ]],$Q$5))</f>
        <v/>
      </c>
    </row>
    <row r="30559" spans="15:15" x14ac:dyDescent="0.25">
      <c r="O30559" s="20" t="str">
        <f>IF(N30559="","",COUNTIFS(RawData[[Date ]],N30559,RawData[Month List],$Q$6,RawData[Tour/Site],$Q$2,RawData[[Picker ID ]],$Q$3,RawData[Checker ID],$Q$4,RawData[[Error Type ]],$Q$5))</f>
        <v/>
      </c>
    </row>
    <row r="30560" spans="15:15" x14ac:dyDescent="0.25">
      <c r="O30560" s="20" t="str">
        <f>IF(N30560="","",COUNTIFS(RawData[[Date ]],N30560,RawData[Month List],$Q$6,RawData[Tour/Site],$Q$2,RawData[[Picker ID ]],$Q$3,RawData[Checker ID],$Q$4,RawData[[Error Type ]],$Q$5))</f>
        <v/>
      </c>
    </row>
    <row r="30561" spans="15:15" x14ac:dyDescent="0.25">
      <c r="O30561" s="20" t="str">
        <f>IF(N30561="","",COUNTIFS(RawData[[Date ]],N30561,RawData[Month List],$Q$6,RawData[Tour/Site],$Q$2,RawData[[Picker ID ]],$Q$3,RawData[Checker ID],$Q$4,RawData[[Error Type ]],$Q$5))</f>
        <v/>
      </c>
    </row>
    <row r="30562" spans="15:15" x14ac:dyDescent="0.25">
      <c r="O30562" s="20" t="str">
        <f>IF(N30562="","",COUNTIFS(RawData[[Date ]],N30562,RawData[Month List],$Q$6,RawData[Tour/Site],$Q$2,RawData[[Picker ID ]],$Q$3,RawData[Checker ID],$Q$4,RawData[[Error Type ]],$Q$5))</f>
        <v/>
      </c>
    </row>
    <row r="30563" spans="15:15" x14ac:dyDescent="0.25">
      <c r="O30563" s="20" t="str">
        <f>IF(N30563="","",COUNTIFS(RawData[[Date ]],N30563,RawData[Month List],$Q$6,RawData[Tour/Site],$Q$2,RawData[[Picker ID ]],$Q$3,RawData[Checker ID],$Q$4,RawData[[Error Type ]],$Q$5))</f>
        <v/>
      </c>
    </row>
    <row r="30564" spans="15:15" x14ac:dyDescent="0.25">
      <c r="O30564" s="20" t="str">
        <f>IF(N30564="","",COUNTIFS(RawData[[Date ]],N30564,RawData[Month List],$Q$6,RawData[Tour/Site],$Q$2,RawData[[Picker ID ]],$Q$3,RawData[Checker ID],$Q$4,RawData[[Error Type ]],$Q$5))</f>
        <v/>
      </c>
    </row>
    <row r="30565" spans="15:15" x14ac:dyDescent="0.25">
      <c r="O30565" s="20" t="str">
        <f>IF(N30565="","",COUNTIFS(RawData[[Date ]],N30565,RawData[Month List],$Q$6,RawData[Tour/Site],$Q$2,RawData[[Picker ID ]],$Q$3,RawData[Checker ID],$Q$4,RawData[[Error Type ]],$Q$5))</f>
        <v/>
      </c>
    </row>
    <row r="30566" spans="15:15" x14ac:dyDescent="0.25">
      <c r="O30566" s="20" t="str">
        <f>IF(N30566="","",COUNTIFS(RawData[[Date ]],N30566,RawData[Month List],$Q$6,RawData[Tour/Site],$Q$2,RawData[[Picker ID ]],$Q$3,RawData[Checker ID],$Q$4,RawData[[Error Type ]],$Q$5))</f>
        <v/>
      </c>
    </row>
    <row r="30567" spans="15:15" x14ac:dyDescent="0.25">
      <c r="O30567" s="20" t="str">
        <f>IF(N30567="","",COUNTIFS(RawData[[Date ]],N30567,RawData[Month List],$Q$6,RawData[Tour/Site],$Q$2,RawData[[Picker ID ]],$Q$3,RawData[Checker ID],$Q$4,RawData[[Error Type ]],$Q$5))</f>
        <v/>
      </c>
    </row>
    <row r="30568" spans="15:15" x14ac:dyDescent="0.25">
      <c r="O30568" s="20" t="str">
        <f>IF(N30568="","",COUNTIFS(RawData[[Date ]],N30568,RawData[Month List],$Q$6,RawData[Tour/Site],$Q$2,RawData[[Picker ID ]],$Q$3,RawData[Checker ID],$Q$4,RawData[[Error Type ]],$Q$5))</f>
        <v/>
      </c>
    </row>
    <row r="30569" spans="15:15" x14ac:dyDescent="0.25">
      <c r="O30569" s="20" t="str">
        <f>IF(N30569="","",COUNTIFS(RawData[[Date ]],N30569,RawData[Month List],$Q$6,RawData[Tour/Site],$Q$2,RawData[[Picker ID ]],$Q$3,RawData[Checker ID],$Q$4,RawData[[Error Type ]],$Q$5))</f>
        <v/>
      </c>
    </row>
    <row r="30570" spans="15:15" x14ac:dyDescent="0.25">
      <c r="O30570" s="20" t="str">
        <f>IF(N30570="","",COUNTIFS(RawData[[Date ]],N30570,RawData[Month List],$Q$6,RawData[Tour/Site],$Q$2,RawData[[Picker ID ]],$Q$3,RawData[Checker ID],$Q$4,RawData[[Error Type ]],$Q$5))</f>
        <v/>
      </c>
    </row>
    <row r="30571" spans="15:15" x14ac:dyDescent="0.25">
      <c r="O30571" s="20" t="str">
        <f>IF(N30571="","",COUNTIFS(RawData[[Date ]],N30571,RawData[Month List],$Q$6,RawData[Tour/Site],$Q$2,RawData[[Picker ID ]],$Q$3,RawData[Checker ID],$Q$4,RawData[[Error Type ]],$Q$5))</f>
        <v/>
      </c>
    </row>
    <row r="30572" spans="15:15" x14ac:dyDescent="0.25">
      <c r="O30572" s="20" t="str">
        <f>IF(N30572="","",COUNTIFS(RawData[[Date ]],N30572,RawData[Month List],$Q$6,RawData[Tour/Site],$Q$2,RawData[[Picker ID ]],$Q$3,RawData[Checker ID],$Q$4,RawData[[Error Type ]],$Q$5))</f>
        <v/>
      </c>
    </row>
    <row r="30573" spans="15:15" x14ac:dyDescent="0.25">
      <c r="O30573" s="20" t="str">
        <f>IF(N30573="","",COUNTIFS(RawData[[Date ]],N30573,RawData[Month List],$Q$6,RawData[Tour/Site],$Q$2,RawData[[Picker ID ]],$Q$3,RawData[Checker ID],$Q$4,RawData[[Error Type ]],$Q$5))</f>
        <v/>
      </c>
    </row>
    <row r="30574" spans="15:15" x14ac:dyDescent="0.25">
      <c r="O30574" s="20" t="str">
        <f>IF(N30574="","",COUNTIFS(RawData[[Date ]],N30574,RawData[Month List],$Q$6,RawData[Tour/Site],$Q$2,RawData[[Picker ID ]],$Q$3,RawData[Checker ID],$Q$4,RawData[[Error Type ]],$Q$5))</f>
        <v/>
      </c>
    </row>
    <row r="30575" spans="15:15" x14ac:dyDescent="0.25">
      <c r="O30575" s="20" t="str">
        <f>IF(N30575="","",COUNTIFS(RawData[[Date ]],N30575,RawData[Month List],$Q$6,RawData[Tour/Site],$Q$2,RawData[[Picker ID ]],$Q$3,RawData[Checker ID],$Q$4,RawData[[Error Type ]],$Q$5))</f>
        <v/>
      </c>
    </row>
    <row r="30576" spans="15:15" x14ac:dyDescent="0.25">
      <c r="O30576" s="20" t="str">
        <f>IF(N30576="","",COUNTIFS(RawData[[Date ]],N30576,RawData[Month List],$Q$6,RawData[Tour/Site],$Q$2,RawData[[Picker ID ]],$Q$3,RawData[Checker ID],$Q$4,RawData[[Error Type ]],$Q$5))</f>
        <v/>
      </c>
    </row>
    <row r="30577" spans="15:15" x14ac:dyDescent="0.25">
      <c r="O30577" s="20" t="str">
        <f>IF(N30577="","",COUNTIFS(RawData[[Date ]],N30577,RawData[Month List],$Q$6,RawData[Tour/Site],$Q$2,RawData[[Picker ID ]],$Q$3,RawData[Checker ID],$Q$4,RawData[[Error Type ]],$Q$5))</f>
        <v/>
      </c>
    </row>
    <row r="30578" spans="15:15" x14ac:dyDescent="0.25">
      <c r="O30578" s="20" t="str">
        <f>IF(N30578="","",COUNTIFS(RawData[[Date ]],N30578,RawData[Month List],$Q$6,RawData[Tour/Site],$Q$2,RawData[[Picker ID ]],$Q$3,RawData[Checker ID],$Q$4,RawData[[Error Type ]],$Q$5))</f>
        <v/>
      </c>
    </row>
    <row r="30579" spans="15:15" x14ac:dyDescent="0.25">
      <c r="O30579" s="20" t="str">
        <f>IF(N30579="","",COUNTIFS(RawData[[Date ]],N30579,RawData[Month List],$Q$6,RawData[Tour/Site],$Q$2,RawData[[Picker ID ]],$Q$3,RawData[Checker ID],$Q$4,RawData[[Error Type ]],$Q$5))</f>
        <v/>
      </c>
    </row>
    <row r="30580" spans="15:15" x14ac:dyDescent="0.25">
      <c r="O30580" s="20" t="str">
        <f>IF(N30580="","",COUNTIFS(RawData[[Date ]],N30580,RawData[Month List],$Q$6,RawData[Tour/Site],$Q$2,RawData[[Picker ID ]],$Q$3,RawData[Checker ID],$Q$4,RawData[[Error Type ]],$Q$5))</f>
        <v/>
      </c>
    </row>
    <row r="30581" spans="15:15" x14ac:dyDescent="0.25">
      <c r="O30581" s="20" t="str">
        <f>IF(N30581="","",COUNTIFS(RawData[[Date ]],N30581,RawData[Month List],$Q$6,RawData[Tour/Site],$Q$2,RawData[[Picker ID ]],$Q$3,RawData[Checker ID],$Q$4,RawData[[Error Type ]],$Q$5))</f>
        <v/>
      </c>
    </row>
    <row r="30582" spans="15:15" x14ac:dyDescent="0.25">
      <c r="O30582" s="20" t="str">
        <f>IF(N30582="","",COUNTIFS(RawData[[Date ]],N30582,RawData[Month List],$Q$6,RawData[Tour/Site],$Q$2,RawData[[Picker ID ]],$Q$3,RawData[Checker ID],$Q$4,RawData[[Error Type ]],$Q$5))</f>
        <v/>
      </c>
    </row>
    <row r="30583" spans="15:15" x14ac:dyDescent="0.25">
      <c r="O30583" s="20" t="str">
        <f>IF(N30583="","",COUNTIFS(RawData[[Date ]],N30583,RawData[Month List],$Q$6,RawData[Tour/Site],$Q$2,RawData[[Picker ID ]],$Q$3,RawData[Checker ID],$Q$4,RawData[[Error Type ]],$Q$5))</f>
        <v/>
      </c>
    </row>
    <row r="30584" spans="15:15" x14ac:dyDescent="0.25">
      <c r="O30584" s="20" t="str">
        <f>IF(N30584="","",COUNTIFS(RawData[[Date ]],N30584,RawData[Month List],$Q$6,RawData[Tour/Site],$Q$2,RawData[[Picker ID ]],$Q$3,RawData[Checker ID],$Q$4,RawData[[Error Type ]],$Q$5))</f>
        <v/>
      </c>
    </row>
    <row r="30585" spans="15:15" x14ac:dyDescent="0.25">
      <c r="O30585" s="20" t="str">
        <f>IF(N30585="","",COUNTIFS(RawData[[Date ]],N30585,RawData[Month List],$Q$6,RawData[Tour/Site],$Q$2,RawData[[Picker ID ]],$Q$3,RawData[Checker ID],$Q$4,RawData[[Error Type ]],$Q$5))</f>
        <v/>
      </c>
    </row>
    <row r="30586" spans="15:15" x14ac:dyDescent="0.25">
      <c r="O30586" s="20" t="str">
        <f>IF(N30586="","",COUNTIFS(RawData[[Date ]],N30586,RawData[Month List],$Q$6,RawData[Tour/Site],$Q$2,RawData[[Picker ID ]],$Q$3,RawData[Checker ID],$Q$4,RawData[[Error Type ]],$Q$5))</f>
        <v/>
      </c>
    </row>
    <row r="30587" spans="15:15" x14ac:dyDescent="0.25">
      <c r="O30587" s="20" t="str">
        <f>IF(N30587="","",COUNTIFS(RawData[[Date ]],N30587,RawData[Month List],$Q$6,RawData[Tour/Site],$Q$2,RawData[[Picker ID ]],$Q$3,RawData[Checker ID],$Q$4,RawData[[Error Type ]],$Q$5))</f>
        <v/>
      </c>
    </row>
    <row r="30588" spans="15:15" x14ac:dyDescent="0.25">
      <c r="O30588" s="20" t="str">
        <f>IF(N30588="","",COUNTIFS(RawData[[Date ]],N30588,RawData[Month List],$Q$6,RawData[Tour/Site],$Q$2,RawData[[Picker ID ]],$Q$3,RawData[Checker ID],$Q$4,RawData[[Error Type ]],$Q$5))</f>
        <v/>
      </c>
    </row>
    <row r="30589" spans="15:15" x14ac:dyDescent="0.25">
      <c r="O30589" s="20" t="str">
        <f>IF(N30589="","",COUNTIFS(RawData[[Date ]],N30589,RawData[Month List],$Q$6,RawData[Tour/Site],$Q$2,RawData[[Picker ID ]],$Q$3,RawData[Checker ID],$Q$4,RawData[[Error Type ]],$Q$5))</f>
        <v/>
      </c>
    </row>
    <row r="30590" spans="15:15" x14ac:dyDescent="0.25">
      <c r="O30590" s="20" t="str">
        <f>IF(N30590="","",COUNTIFS(RawData[[Date ]],N30590,RawData[Month List],$Q$6,RawData[Tour/Site],$Q$2,RawData[[Picker ID ]],$Q$3,RawData[Checker ID],$Q$4,RawData[[Error Type ]],$Q$5))</f>
        <v/>
      </c>
    </row>
    <row r="30591" spans="15:15" x14ac:dyDescent="0.25">
      <c r="O30591" s="20" t="str">
        <f>IF(N30591="","",COUNTIFS(RawData[[Date ]],N30591,RawData[Month List],$Q$6,RawData[Tour/Site],$Q$2,RawData[[Picker ID ]],$Q$3,RawData[Checker ID],$Q$4,RawData[[Error Type ]],$Q$5))</f>
        <v/>
      </c>
    </row>
    <row r="30592" spans="15:15" x14ac:dyDescent="0.25">
      <c r="O30592" s="20" t="str">
        <f>IF(N30592="","",COUNTIFS(RawData[[Date ]],N30592,RawData[Month List],$Q$6,RawData[Tour/Site],$Q$2,RawData[[Picker ID ]],$Q$3,RawData[Checker ID],$Q$4,RawData[[Error Type ]],$Q$5))</f>
        <v/>
      </c>
    </row>
    <row r="30593" spans="15:15" x14ac:dyDescent="0.25">
      <c r="O30593" s="20" t="str">
        <f>IF(N30593="","",COUNTIFS(RawData[[Date ]],N30593,RawData[Month List],$Q$6,RawData[Tour/Site],$Q$2,RawData[[Picker ID ]],$Q$3,RawData[Checker ID],$Q$4,RawData[[Error Type ]],$Q$5))</f>
        <v/>
      </c>
    </row>
    <row r="30594" spans="15:15" x14ac:dyDescent="0.25">
      <c r="O30594" s="20" t="str">
        <f>IF(N30594="","",COUNTIFS(RawData[[Date ]],N30594,RawData[Month List],$Q$6,RawData[Tour/Site],$Q$2,RawData[[Picker ID ]],$Q$3,RawData[Checker ID],$Q$4,RawData[[Error Type ]],$Q$5))</f>
        <v/>
      </c>
    </row>
    <row r="30595" spans="15:15" x14ac:dyDescent="0.25">
      <c r="O30595" s="20" t="str">
        <f>IF(N30595="","",COUNTIFS(RawData[[Date ]],N30595,RawData[Month List],$Q$6,RawData[Tour/Site],$Q$2,RawData[[Picker ID ]],$Q$3,RawData[Checker ID],$Q$4,RawData[[Error Type ]],$Q$5))</f>
        <v/>
      </c>
    </row>
    <row r="30596" spans="15:15" x14ac:dyDescent="0.25">
      <c r="O30596" s="20" t="str">
        <f>IF(N30596="","",COUNTIFS(RawData[[Date ]],N30596,RawData[Month List],$Q$6,RawData[Tour/Site],$Q$2,RawData[[Picker ID ]],$Q$3,RawData[Checker ID],$Q$4,RawData[[Error Type ]],$Q$5))</f>
        <v/>
      </c>
    </row>
    <row r="30597" spans="15:15" x14ac:dyDescent="0.25">
      <c r="O30597" s="20" t="str">
        <f>IF(N30597="","",COUNTIFS(RawData[[Date ]],N30597,RawData[Month List],$Q$6,RawData[Tour/Site],$Q$2,RawData[[Picker ID ]],$Q$3,RawData[Checker ID],$Q$4,RawData[[Error Type ]],$Q$5))</f>
        <v/>
      </c>
    </row>
    <row r="30598" spans="15:15" x14ac:dyDescent="0.25">
      <c r="O30598" s="20" t="str">
        <f>IF(N30598="","",COUNTIFS(RawData[[Date ]],N30598,RawData[Month List],$Q$6,RawData[Tour/Site],$Q$2,RawData[[Picker ID ]],$Q$3,RawData[Checker ID],$Q$4,RawData[[Error Type ]],$Q$5))</f>
        <v/>
      </c>
    </row>
    <row r="30599" spans="15:15" x14ac:dyDescent="0.25">
      <c r="O30599" s="20" t="str">
        <f>IF(N30599="","",COUNTIFS(RawData[[Date ]],N30599,RawData[Month List],$Q$6,RawData[Tour/Site],$Q$2,RawData[[Picker ID ]],$Q$3,RawData[Checker ID],$Q$4,RawData[[Error Type ]],$Q$5))</f>
        <v/>
      </c>
    </row>
    <row r="30600" spans="15:15" x14ac:dyDescent="0.25">
      <c r="O30600" s="20" t="str">
        <f>IF(N30600="","",COUNTIFS(RawData[[Date ]],N30600,RawData[Month List],$Q$6,RawData[Tour/Site],$Q$2,RawData[[Picker ID ]],$Q$3,RawData[Checker ID],$Q$4,RawData[[Error Type ]],$Q$5))</f>
        <v/>
      </c>
    </row>
    <row r="30601" spans="15:15" x14ac:dyDescent="0.25">
      <c r="O30601" s="20" t="str">
        <f>IF(N30601="","",COUNTIFS(RawData[[Date ]],N30601,RawData[Month List],$Q$6,RawData[Tour/Site],$Q$2,RawData[[Picker ID ]],$Q$3,RawData[Checker ID],$Q$4,RawData[[Error Type ]],$Q$5))</f>
        <v/>
      </c>
    </row>
    <row r="30602" spans="15:15" x14ac:dyDescent="0.25">
      <c r="O30602" s="20" t="str">
        <f>IF(N30602="","",COUNTIFS(RawData[[Date ]],N30602,RawData[Month List],$Q$6,RawData[Tour/Site],$Q$2,RawData[[Picker ID ]],$Q$3,RawData[Checker ID],$Q$4,RawData[[Error Type ]],$Q$5))</f>
        <v/>
      </c>
    </row>
    <row r="30603" spans="15:15" x14ac:dyDescent="0.25">
      <c r="O30603" s="20" t="str">
        <f>IF(N30603="","",COUNTIFS(RawData[[Date ]],N30603,RawData[Month List],$Q$6,RawData[Tour/Site],$Q$2,RawData[[Picker ID ]],$Q$3,RawData[Checker ID],$Q$4,RawData[[Error Type ]],$Q$5))</f>
        <v/>
      </c>
    </row>
    <row r="30604" spans="15:15" x14ac:dyDescent="0.25">
      <c r="O30604" s="20" t="str">
        <f>IF(N30604="","",COUNTIFS(RawData[[Date ]],N30604,RawData[Month List],$Q$6,RawData[Tour/Site],$Q$2,RawData[[Picker ID ]],$Q$3,RawData[Checker ID],$Q$4,RawData[[Error Type ]],$Q$5))</f>
        <v/>
      </c>
    </row>
    <row r="30605" spans="15:15" x14ac:dyDescent="0.25">
      <c r="O30605" s="20" t="str">
        <f>IF(N30605="","",COUNTIFS(RawData[[Date ]],N30605,RawData[Month List],$Q$6,RawData[Tour/Site],$Q$2,RawData[[Picker ID ]],$Q$3,RawData[Checker ID],$Q$4,RawData[[Error Type ]],$Q$5))</f>
        <v/>
      </c>
    </row>
    <row r="30606" spans="15:15" x14ac:dyDescent="0.25">
      <c r="O30606" s="20" t="str">
        <f>IF(N30606="","",COUNTIFS(RawData[[Date ]],N30606,RawData[Month List],$Q$6,RawData[Tour/Site],$Q$2,RawData[[Picker ID ]],$Q$3,RawData[Checker ID],$Q$4,RawData[[Error Type ]],$Q$5))</f>
        <v/>
      </c>
    </row>
    <row r="30607" spans="15:15" x14ac:dyDescent="0.25">
      <c r="O30607" s="20" t="str">
        <f>IF(N30607="","",COUNTIFS(RawData[[Date ]],N30607,RawData[Month List],$Q$6,RawData[Tour/Site],$Q$2,RawData[[Picker ID ]],$Q$3,RawData[Checker ID],$Q$4,RawData[[Error Type ]],$Q$5))</f>
        <v/>
      </c>
    </row>
    <row r="30608" spans="15:15" x14ac:dyDescent="0.25">
      <c r="O30608" s="20" t="str">
        <f>IF(N30608="","",COUNTIFS(RawData[[Date ]],N30608,RawData[Month List],$Q$6,RawData[Tour/Site],$Q$2,RawData[[Picker ID ]],$Q$3,RawData[Checker ID],$Q$4,RawData[[Error Type ]],$Q$5))</f>
        <v/>
      </c>
    </row>
    <row r="30609" spans="15:15" x14ac:dyDescent="0.25">
      <c r="O30609" s="20" t="str">
        <f>IF(N30609="","",COUNTIFS(RawData[[Date ]],N30609,RawData[Month List],$Q$6,RawData[Tour/Site],$Q$2,RawData[[Picker ID ]],$Q$3,RawData[Checker ID],$Q$4,RawData[[Error Type ]],$Q$5))</f>
        <v/>
      </c>
    </row>
    <row r="30610" spans="15:15" x14ac:dyDescent="0.25">
      <c r="O30610" s="20" t="str">
        <f>IF(N30610="","",COUNTIFS(RawData[[Date ]],N30610,RawData[Month List],$Q$6,RawData[Tour/Site],$Q$2,RawData[[Picker ID ]],$Q$3,RawData[Checker ID],$Q$4,RawData[[Error Type ]],$Q$5))</f>
        <v/>
      </c>
    </row>
    <row r="30611" spans="15:15" x14ac:dyDescent="0.25">
      <c r="O30611" s="20" t="str">
        <f>IF(N30611="","",COUNTIFS(RawData[[Date ]],N30611,RawData[Month List],$Q$6,RawData[Tour/Site],$Q$2,RawData[[Picker ID ]],$Q$3,RawData[Checker ID],$Q$4,RawData[[Error Type ]],$Q$5))</f>
        <v/>
      </c>
    </row>
    <row r="30612" spans="15:15" x14ac:dyDescent="0.25">
      <c r="O30612" s="20" t="str">
        <f>IF(N30612="","",COUNTIFS(RawData[[Date ]],N30612,RawData[Month List],$Q$6,RawData[Tour/Site],$Q$2,RawData[[Picker ID ]],$Q$3,RawData[Checker ID],$Q$4,RawData[[Error Type ]],$Q$5))</f>
        <v/>
      </c>
    </row>
    <row r="30613" spans="15:15" x14ac:dyDescent="0.25">
      <c r="O30613" s="20" t="str">
        <f>IF(N30613="","",COUNTIFS(RawData[[Date ]],N30613,RawData[Month List],$Q$6,RawData[Tour/Site],$Q$2,RawData[[Picker ID ]],$Q$3,RawData[Checker ID],$Q$4,RawData[[Error Type ]],$Q$5))</f>
        <v/>
      </c>
    </row>
    <row r="30614" spans="15:15" x14ac:dyDescent="0.25">
      <c r="O30614" s="20" t="str">
        <f>IF(N30614="","",COUNTIFS(RawData[[Date ]],N30614,RawData[Month List],$Q$6,RawData[Tour/Site],$Q$2,RawData[[Picker ID ]],$Q$3,RawData[Checker ID],$Q$4,RawData[[Error Type ]],$Q$5))</f>
        <v/>
      </c>
    </row>
    <row r="30615" spans="15:15" x14ac:dyDescent="0.25">
      <c r="O30615" s="20" t="str">
        <f>IF(N30615="","",COUNTIFS(RawData[[Date ]],N30615,RawData[Month List],$Q$6,RawData[Tour/Site],$Q$2,RawData[[Picker ID ]],$Q$3,RawData[Checker ID],$Q$4,RawData[[Error Type ]],$Q$5))</f>
        <v/>
      </c>
    </row>
    <row r="30616" spans="15:15" x14ac:dyDescent="0.25">
      <c r="O30616" s="20" t="str">
        <f>IF(N30616="","",COUNTIFS(RawData[[Date ]],N30616,RawData[Month List],$Q$6,RawData[Tour/Site],$Q$2,RawData[[Picker ID ]],$Q$3,RawData[Checker ID],$Q$4,RawData[[Error Type ]],$Q$5))</f>
        <v/>
      </c>
    </row>
    <row r="30617" spans="15:15" x14ac:dyDescent="0.25">
      <c r="O30617" s="20" t="str">
        <f>IF(N30617="","",COUNTIFS(RawData[[Date ]],N30617,RawData[Month List],$Q$6,RawData[Tour/Site],$Q$2,RawData[[Picker ID ]],$Q$3,RawData[Checker ID],$Q$4,RawData[[Error Type ]],$Q$5))</f>
        <v/>
      </c>
    </row>
    <row r="30618" spans="15:15" x14ac:dyDescent="0.25">
      <c r="O30618" s="20" t="str">
        <f>IF(N30618="","",COUNTIFS(RawData[[Date ]],N30618,RawData[Month List],$Q$6,RawData[Tour/Site],$Q$2,RawData[[Picker ID ]],$Q$3,RawData[Checker ID],$Q$4,RawData[[Error Type ]],$Q$5))</f>
        <v/>
      </c>
    </row>
    <row r="30619" spans="15:15" x14ac:dyDescent="0.25">
      <c r="O30619" s="20" t="str">
        <f>IF(N30619="","",COUNTIFS(RawData[[Date ]],N30619,RawData[Month List],$Q$6,RawData[Tour/Site],$Q$2,RawData[[Picker ID ]],$Q$3,RawData[Checker ID],$Q$4,RawData[[Error Type ]],$Q$5))</f>
        <v/>
      </c>
    </row>
    <row r="30620" spans="15:15" x14ac:dyDescent="0.25">
      <c r="O30620" s="20" t="str">
        <f>IF(N30620="","",COUNTIFS(RawData[[Date ]],N30620,RawData[Month List],$Q$6,RawData[Tour/Site],$Q$2,RawData[[Picker ID ]],$Q$3,RawData[Checker ID],$Q$4,RawData[[Error Type ]],$Q$5))</f>
        <v/>
      </c>
    </row>
    <row r="30621" spans="15:15" x14ac:dyDescent="0.25">
      <c r="O30621" s="20" t="str">
        <f>IF(N30621="","",COUNTIFS(RawData[[Date ]],N30621,RawData[Month List],$Q$6,RawData[Tour/Site],$Q$2,RawData[[Picker ID ]],$Q$3,RawData[Checker ID],$Q$4,RawData[[Error Type ]],$Q$5))</f>
        <v/>
      </c>
    </row>
    <row r="30622" spans="15:15" x14ac:dyDescent="0.25">
      <c r="O30622" s="20" t="str">
        <f>IF(N30622="","",COUNTIFS(RawData[[Date ]],N30622,RawData[Month List],$Q$6,RawData[Tour/Site],$Q$2,RawData[[Picker ID ]],$Q$3,RawData[Checker ID],$Q$4,RawData[[Error Type ]],$Q$5))</f>
        <v/>
      </c>
    </row>
    <row r="30623" spans="15:15" x14ac:dyDescent="0.25">
      <c r="O30623" s="20" t="str">
        <f>IF(N30623="","",COUNTIFS(RawData[[Date ]],N30623,RawData[Month List],$Q$6,RawData[Tour/Site],$Q$2,RawData[[Picker ID ]],$Q$3,RawData[Checker ID],$Q$4,RawData[[Error Type ]],$Q$5))</f>
        <v/>
      </c>
    </row>
    <row r="30624" spans="15:15" x14ac:dyDescent="0.25">
      <c r="O30624" s="20" t="str">
        <f>IF(N30624="","",COUNTIFS(RawData[[Date ]],N30624,RawData[Month List],$Q$6,RawData[Tour/Site],$Q$2,RawData[[Picker ID ]],$Q$3,RawData[Checker ID],$Q$4,RawData[[Error Type ]],$Q$5))</f>
        <v/>
      </c>
    </row>
    <row r="30625" spans="15:15" x14ac:dyDescent="0.25">
      <c r="O30625" s="20" t="str">
        <f>IF(N30625="","",COUNTIFS(RawData[[Date ]],N30625,RawData[Month List],$Q$6,RawData[Tour/Site],$Q$2,RawData[[Picker ID ]],$Q$3,RawData[Checker ID],$Q$4,RawData[[Error Type ]],$Q$5))</f>
        <v/>
      </c>
    </row>
    <row r="30626" spans="15:15" x14ac:dyDescent="0.25">
      <c r="O30626" s="20" t="str">
        <f>IF(N30626="","",COUNTIFS(RawData[[Date ]],N30626,RawData[Month List],$Q$6,RawData[Tour/Site],$Q$2,RawData[[Picker ID ]],$Q$3,RawData[Checker ID],$Q$4,RawData[[Error Type ]],$Q$5))</f>
        <v/>
      </c>
    </row>
    <row r="30627" spans="15:15" x14ac:dyDescent="0.25">
      <c r="O30627" s="20" t="str">
        <f>IF(N30627="","",COUNTIFS(RawData[[Date ]],N30627,RawData[Month List],$Q$6,RawData[Tour/Site],$Q$2,RawData[[Picker ID ]],$Q$3,RawData[Checker ID],$Q$4,RawData[[Error Type ]],$Q$5))</f>
        <v/>
      </c>
    </row>
    <row r="30628" spans="15:15" x14ac:dyDescent="0.25">
      <c r="O30628" s="20" t="str">
        <f>IF(N30628="","",COUNTIFS(RawData[[Date ]],N30628,RawData[Month List],$Q$6,RawData[Tour/Site],$Q$2,RawData[[Picker ID ]],$Q$3,RawData[Checker ID],$Q$4,RawData[[Error Type ]],$Q$5))</f>
        <v/>
      </c>
    </row>
    <row r="30629" spans="15:15" x14ac:dyDescent="0.25">
      <c r="O30629" s="20" t="str">
        <f>IF(N30629="","",COUNTIFS(RawData[[Date ]],N30629,RawData[Month List],$Q$6,RawData[Tour/Site],$Q$2,RawData[[Picker ID ]],$Q$3,RawData[Checker ID],$Q$4,RawData[[Error Type ]],$Q$5))</f>
        <v/>
      </c>
    </row>
    <row r="30630" spans="15:15" x14ac:dyDescent="0.25">
      <c r="O30630" s="20" t="str">
        <f>IF(N30630="","",COUNTIFS(RawData[[Date ]],N30630,RawData[Month List],$Q$6,RawData[Tour/Site],$Q$2,RawData[[Picker ID ]],$Q$3,RawData[Checker ID],$Q$4,RawData[[Error Type ]],$Q$5))</f>
        <v/>
      </c>
    </row>
    <row r="30631" spans="15:15" x14ac:dyDescent="0.25">
      <c r="O30631" s="20" t="str">
        <f>IF(N30631="","",COUNTIFS(RawData[[Date ]],N30631,RawData[Month List],$Q$6,RawData[Tour/Site],$Q$2,RawData[[Picker ID ]],$Q$3,RawData[Checker ID],$Q$4,RawData[[Error Type ]],$Q$5))</f>
        <v/>
      </c>
    </row>
    <row r="30632" spans="15:15" x14ac:dyDescent="0.25">
      <c r="O30632" s="20" t="str">
        <f>IF(N30632="","",COUNTIFS(RawData[[Date ]],N30632,RawData[Month List],$Q$6,RawData[Tour/Site],$Q$2,RawData[[Picker ID ]],$Q$3,RawData[Checker ID],$Q$4,RawData[[Error Type ]],$Q$5))</f>
        <v/>
      </c>
    </row>
    <row r="30633" spans="15:15" x14ac:dyDescent="0.25">
      <c r="O30633" s="20" t="str">
        <f>IF(N30633="","",COUNTIFS(RawData[[Date ]],N30633,RawData[Month List],$Q$6,RawData[Tour/Site],$Q$2,RawData[[Picker ID ]],$Q$3,RawData[Checker ID],$Q$4,RawData[[Error Type ]],$Q$5))</f>
        <v/>
      </c>
    </row>
    <row r="30634" spans="15:15" x14ac:dyDescent="0.25">
      <c r="O30634" s="20" t="str">
        <f>IF(N30634="","",COUNTIFS(RawData[[Date ]],N30634,RawData[Month List],$Q$6,RawData[Tour/Site],$Q$2,RawData[[Picker ID ]],$Q$3,RawData[Checker ID],$Q$4,RawData[[Error Type ]],$Q$5))</f>
        <v/>
      </c>
    </row>
    <row r="30635" spans="15:15" x14ac:dyDescent="0.25">
      <c r="O30635" s="20" t="str">
        <f>IF(N30635="","",COUNTIFS(RawData[[Date ]],N30635,RawData[Month List],$Q$6,RawData[Tour/Site],$Q$2,RawData[[Picker ID ]],$Q$3,RawData[Checker ID],$Q$4,RawData[[Error Type ]],$Q$5))</f>
        <v/>
      </c>
    </row>
    <row r="30636" spans="15:15" x14ac:dyDescent="0.25">
      <c r="O30636" s="20" t="str">
        <f>IF(N30636="","",COUNTIFS(RawData[[Date ]],N30636,RawData[Month List],$Q$6,RawData[Tour/Site],$Q$2,RawData[[Picker ID ]],$Q$3,RawData[Checker ID],$Q$4,RawData[[Error Type ]],$Q$5))</f>
        <v/>
      </c>
    </row>
    <row r="30637" spans="15:15" x14ac:dyDescent="0.25">
      <c r="O30637" s="20" t="str">
        <f>IF(N30637="","",COUNTIFS(RawData[[Date ]],N30637,RawData[Month List],$Q$6,RawData[Tour/Site],$Q$2,RawData[[Picker ID ]],$Q$3,RawData[Checker ID],$Q$4,RawData[[Error Type ]],$Q$5))</f>
        <v/>
      </c>
    </row>
    <row r="30638" spans="15:15" x14ac:dyDescent="0.25">
      <c r="O30638" s="20" t="str">
        <f>IF(N30638="","",COUNTIFS(RawData[[Date ]],N30638,RawData[Month List],$Q$6,RawData[Tour/Site],$Q$2,RawData[[Picker ID ]],$Q$3,RawData[Checker ID],$Q$4,RawData[[Error Type ]],$Q$5))</f>
        <v/>
      </c>
    </row>
    <row r="30639" spans="15:15" x14ac:dyDescent="0.25">
      <c r="O30639" s="20" t="str">
        <f>IF(N30639="","",COUNTIFS(RawData[[Date ]],N30639,RawData[Month List],$Q$6,RawData[Tour/Site],$Q$2,RawData[[Picker ID ]],$Q$3,RawData[Checker ID],$Q$4,RawData[[Error Type ]],$Q$5))</f>
        <v/>
      </c>
    </row>
    <row r="30640" spans="15:15" x14ac:dyDescent="0.25">
      <c r="O30640" s="20" t="str">
        <f>IF(N30640="","",COUNTIFS(RawData[[Date ]],N30640,RawData[Month List],$Q$6,RawData[Tour/Site],$Q$2,RawData[[Picker ID ]],$Q$3,RawData[Checker ID],$Q$4,RawData[[Error Type ]],$Q$5))</f>
        <v/>
      </c>
    </row>
    <row r="30641" spans="15:15" x14ac:dyDescent="0.25">
      <c r="O30641" s="20" t="str">
        <f>IF(N30641="","",COUNTIFS(RawData[[Date ]],N30641,RawData[Month List],$Q$6,RawData[Tour/Site],$Q$2,RawData[[Picker ID ]],$Q$3,RawData[Checker ID],$Q$4,RawData[[Error Type ]],$Q$5))</f>
        <v/>
      </c>
    </row>
    <row r="30642" spans="15:15" x14ac:dyDescent="0.25">
      <c r="O30642" s="20" t="str">
        <f>IF(N30642="","",COUNTIFS(RawData[[Date ]],N30642,RawData[Month List],$Q$6,RawData[Tour/Site],$Q$2,RawData[[Picker ID ]],$Q$3,RawData[Checker ID],$Q$4,RawData[[Error Type ]],$Q$5))</f>
        <v/>
      </c>
    </row>
    <row r="30643" spans="15:15" x14ac:dyDescent="0.25">
      <c r="O30643" s="20" t="str">
        <f>IF(N30643="","",COUNTIFS(RawData[[Date ]],N30643,RawData[Month List],$Q$6,RawData[Tour/Site],$Q$2,RawData[[Picker ID ]],$Q$3,RawData[Checker ID],$Q$4,RawData[[Error Type ]],$Q$5))</f>
        <v/>
      </c>
    </row>
    <row r="30644" spans="15:15" x14ac:dyDescent="0.25">
      <c r="O30644" s="20" t="str">
        <f>IF(N30644="","",COUNTIFS(RawData[[Date ]],N30644,RawData[Month List],$Q$6,RawData[Tour/Site],$Q$2,RawData[[Picker ID ]],$Q$3,RawData[Checker ID],$Q$4,RawData[[Error Type ]],$Q$5))</f>
        <v/>
      </c>
    </row>
    <row r="30645" spans="15:15" x14ac:dyDescent="0.25">
      <c r="O30645" s="20" t="str">
        <f>IF(N30645="","",COUNTIFS(RawData[[Date ]],N30645,RawData[Month List],$Q$6,RawData[Tour/Site],$Q$2,RawData[[Picker ID ]],$Q$3,RawData[Checker ID],$Q$4,RawData[[Error Type ]],$Q$5))</f>
        <v/>
      </c>
    </row>
    <row r="30646" spans="15:15" x14ac:dyDescent="0.25">
      <c r="O30646" s="20" t="str">
        <f>IF(N30646="","",COUNTIFS(RawData[[Date ]],N30646,RawData[Month List],$Q$6,RawData[Tour/Site],$Q$2,RawData[[Picker ID ]],$Q$3,RawData[Checker ID],$Q$4,RawData[[Error Type ]],$Q$5))</f>
        <v/>
      </c>
    </row>
    <row r="30647" spans="15:15" x14ac:dyDescent="0.25">
      <c r="O30647" s="20" t="str">
        <f>IF(N30647="","",COUNTIFS(RawData[[Date ]],N30647,RawData[Month List],$Q$6,RawData[Tour/Site],$Q$2,RawData[[Picker ID ]],$Q$3,RawData[Checker ID],$Q$4,RawData[[Error Type ]],$Q$5))</f>
        <v/>
      </c>
    </row>
    <row r="30648" spans="15:15" x14ac:dyDescent="0.25">
      <c r="O30648" s="20" t="str">
        <f>IF(N30648="","",COUNTIFS(RawData[[Date ]],N30648,RawData[Month List],$Q$6,RawData[Tour/Site],$Q$2,RawData[[Picker ID ]],$Q$3,RawData[Checker ID],$Q$4,RawData[[Error Type ]],$Q$5))</f>
        <v/>
      </c>
    </row>
    <row r="30649" spans="15:15" x14ac:dyDescent="0.25">
      <c r="O30649" s="20" t="str">
        <f>IF(N30649="","",COUNTIFS(RawData[[Date ]],N30649,RawData[Month List],$Q$6,RawData[Tour/Site],$Q$2,RawData[[Picker ID ]],$Q$3,RawData[Checker ID],$Q$4,RawData[[Error Type ]],$Q$5))</f>
        <v/>
      </c>
    </row>
    <row r="30650" spans="15:15" x14ac:dyDescent="0.25">
      <c r="O30650" s="20" t="str">
        <f>IF(N30650="","",COUNTIFS(RawData[[Date ]],N30650,RawData[Month List],$Q$6,RawData[Tour/Site],$Q$2,RawData[[Picker ID ]],$Q$3,RawData[Checker ID],$Q$4,RawData[[Error Type ]],$Q$5))</f>
        <v/>
      </c>
    </row>
    <row r="30651" spans="15:15" x14ac:dyDescent="0.25">
      <c r="O30651" s="20" t="str">
        <f>IF(N30651="","",COUNTIFS(RawData[[Date ]],N30651,RawData[Month List],$Q$6,RawData[Tour/Site],$Q$2,RawData[[Picker ID ]],$Q$3,RawData[Checker ID],$Q$4,RawData[[Error Type ]],$Q$5))</f>
        <v/>
      </c>
    </row>
    <row r="30652" spans="15:15" x14ac:dyDescent="0.25">
      <c r="O30652" s="20" t="str">
        <f>IF(N30652="","",COUNTIFS(RawData[[Date ]],N30652,RawData[Month List],$Q$6,RawData[Tour/Site],$Q$2,RawData[[Picker ID ]],$Q$3,RawData[Checker ID],$Q$4,RawData[[Error Type ]],$Q$5))</f>
        <v/>
      </c>
    </row>
    <row r="30653" spans="15:15" x14ac:dyDescent="0.25">
      <c r="O30653" s="20" t="str">
        <f>IF(N30653="","",COUNTIFS(RawData[[Date ]],N30653,RawData[Month List],$Q$6,RawData[Tour/Site],$Q$2,RawData[[Picker ID ]],$Q$3,RawData[Checker ID],$Q$4,RawData[[Error Type ]],$Q$5))</f>
        <v/>
      </c>
    </row>
    <row r="30654" spans="15:15" x14ac:dyDescent="0.25">
      <c r="O30654" s="20" t="str">
        <f>IF(N30654="","",COUNTIFS(RawData[[Date ]],N30654,RawData[Month List],$Q$6,RawData[Tour/Site],$Q$2,RawData[[Picker ID ]],$Q$3,RawData[Checker ID],$Q$4,RawData[[Error Type ]],$Q$5))</f>
        <v/>
      </c>
    </row>
    <row r="30655" spans="15:15" x14ac:dyDescent="0.25">
      <c r="O30655" s="20" t="str">
        <f>IF(N30655="","",COUNTIFS(RawData[[Date ]],N30655,RawData[Month List],$Q$6,RawData[Tour/Site],$Q$2,RawData[[Picker ID ]],$Q$3,RawData[Checker ID],$Q$4,RawData[[Error Type ]],$Q$5))</f>
        <v/>
      </c>
    </row>
    <row r="30656" spans="15:15" x14ac:dyDescent="0.25">
      <c r="O30656" s="20" t="str">
        <f>IF(N30656="","",COUNTIFS(RawData[[Date ]],N30656,RawData[Month List],$Q$6,RawData[Tour/Site],$Q$2,RawData[[Picker ID ]],$Q$3,RawData[Checker ID],$Q$4,RawData[[Error Type ]],$Q$5))</f>
        <v/>
      </c>
    </row>
    <row r="30657" spans="15:15" x14ac:dyDescent="0.25">
      <c r="O30657" s="20" t="str">
        <f>IF(N30657="","",COUNTIFS(RawData[[Date ]],N30657,RawData[Month List],$Q$6,RawData[Tour/Site],$Q$2,RawData[[Picker ID ]],$Q$3,RawData[Checker ID],$Q$4,RawData[[Error Type ]],$Q$5))</f>
        <v/>
      </c>
    </row>
    <row r="30658" spans="15:15" x14ac:dyDescent="0.25">
      <c r="O30658" s="20" t="str">
        <f>IF(N30658="","",COUNTIFS(RawData[[Date ]],N30658,RawData[Month List],$Q$6,RawData[Tour/Site],$Q$2,RawData[[Picker ID ]],$Q$3,RawData[Checker ID],$Q$4,RawData[[Error Type ]],$Q$5))</f>
        <v/>
      </c>
    </row>
    <row r="30659" spans="15:15" x14ac:dyDescent="0.25">
      <c r="O30659" s="20" t="str">
        <f>IF(N30659="","",COUNTIFS(RawData[[Date ]],N30659,RawData[Month List],$Q$6,RawData[Tour/Site],$Q$2,RawData[[Picker ID ]],$Q$3,RawData[Checker ID],$Q$4,RawData[[Error Type ]],$Q$5))</f>
        <v/>
      </c>
    </row>
    <row r="30660" spans="15:15" x14ac:dyDescent="0.25">
      <c r="O30660" s="20" t="str">
        <f>IF(N30660="","",COUNTIFS(RawData[[Date ]],N30660,RawData[Month List],$Q$6,RawData[Tour/Site],$Q$2,RawData[[Picker ID ]],$Q$3,RawData[Checker ID],$Q$4,RawData[[Error Type ]],$Q$5))</f>
        <v/>
      </c>
    </row>
    <row r="30661" spans="15:15" x14ac:dyDescent="0.25">
      <c r="O30661" s="20" t="str">
        <f>IF(N30661="","",COUNTIFS(RawData[[Date ]],N30661,RawData[Month List],$Q$6,RawData[Tour/Site],$Q$2,RawData[[Picker ID ]],$Q$3,RawData[Checker ID],$Q$4,RawData[[Error Type ]],$Q$5))</f>
        <v/>
      </c>
    </row>
    <row r="30662" spans="15:15" x14ac:dyDescent="0.25">
      <c r="O30662" s="20" t="str">
        <f>IF(N30662="","",COUNTIFS(RawData[[Date ]],N30662,RawData[Month List],$Q$6,RawData[Tour/Site],$Q$2,RawData[[Picker ID ]],$Q$3,RawData[Checker ID],$Q$4,RawData[[Error Type ]],$Q$5))</f>
        <v/>
      </c>
    </row>
    <row r="30663" spans="15:15" x14ac:dyDescent="0.25">
      <c r="O30663" s="20" t="str">
        <f>IF(N30663="","",COUNTIFS(RawData[[Date ]],N30663,RawData[Month List],$Q$6,RawData[Tour/Site],$Q$2,RawData[[Picker ID ]],$Q$3,RawData[Checker ID],$Q$4,RawData[[Error Type ]],$Q$5))</f>
        <v/>
      </c>
    </row>
    <row r="30664" spans="15:15" x14ac:dyDescent="0.25">
      <c r="O30664" s="20" t="str">
        <f>IF(N30664="","",COUNTIFS(RawData[[Date ]],N30664,RawData[Month List],$Q$6,RawData[Tour/Site],$Q$2,RawData[[Picker ID ]],$Q$3,RawData[Checker ID],$Q$4,RawData[[Error Type ]],$Q$5))</f>
        <v/>
      </c>
    </row>
    <row r="30665" spans="15:15" x14ac:dyDescent="0.25">
      <c r="O30665" s="20" t="str">
        <f>IF(N30665="","",COUNTIFS(RawData[[Date ]],N30665,RawData[Month List],$Q$6,RawData[Tour/Site],$Q$2,RawData[[Picker ID ]],$Q$3,RawData[Checker ID],$Q$4,RawData[[Error Type ]],$Q$5))</f>
        <v/>
      </c>
    </row>
    <row r="30666" spans="15:15" x14ac:dyDescent="0.25">
      <c r="O30666" s="20" t="str">
        <f>IF(N30666="","",COUNTIFS(RawData[[Date ]],N30666,RawData[Month List],$Q$6,RawData[Tour/Site],$Q$2,RawData[[Picker ID ]],$Q$3,RawData[Checker ID],$Q$4,RawData[[Error Type ]],$Q$5))</f>
        <v/>
      </c>
    </row>
    <row r="30667" spans="15:15" x14ac:dyDescent="0.25">
      <c r="O30667" s="20" t="str">
        <f>IF(N30667="","",COUNTIFS(RawData[[Date ]],N30667,RawData[Month List],$Q$6,RawData[Tour/Site],$Q$2,RawData[[Picker ID ]],$Q$3,RawData[Checker ID],$Q$4,RawData[[Error Type ]],$Q$5))</f>
        <v/>
      </c>
    </row>
    <row r="30668" spans="15:15" x14ac:dyDescent="0.25">
      <c r="O30668" s="20" t="str">
        <f>IF(N30668="","",COUNTIFS(RawData[[Date ]],N30668,RawData[Month List],$Q$6,RawData[Tour/Site],$Q$2,RawData[[Picker ID ]],$Q$3,RawData[Checker ID],$Q$4,RawData[[Error Type ]],$Q$5))</f>
        <v/>
      </c>
    </row>
    <row r="30669" spans="15:15" x14ac:dyDescent="0.25">
      <c r="O30669" s="20" t="str">
        <f>IF(N30669="","",COUNTIFS(RawData[[Date ]],N30669,RawData[Month List],$Q$6,RawData[Tour/Site],$Q$2,RawData[[Picker ID ]],$Q$3,RawData[Checker ID],$Q$4,RawData[[Error Type ]],$Q$5))</f>
        <v/>
      </c>
    </row>
    <row r="30670" spans="15:15" x14ac:dyDescent="0.25">
      <c r="O30670" s="20" t="str">
        <f>IF(N30670="","",COUNTIFS(RawData[[Date ]],N30670,RawData[Month List],$Q$6,RawData[Tour/Site],$Q$2,RawData[[Picker ID ]],$Q$3,RawData[Checker ID],$Q$4,RawData[[Error Type ]],$Q$5))</f>
        <v/>
      </c>
    </row>
    <row r="30671" spans="15:15" x14ac:dyDescent="0.25">
      <c r="O30671" s="20" t="str">
        <f>IF(N30671="","",COUNTIFS(RawData[[Date ]],N30671,RawData[Month List],$Q$6,RawData[Tour/Site],$Q$2,RawData[[Picker ID ]],$Q$3,RawData[Checker ID],$Q$4,RawData[[Error Type ]],$Q$5))</f>
        <v/>
      </c>
    </row>
    <row r="30672" spans="15:15" x14ac:dyDescent="0.25">
      <c r="O30672" s="20" t="str">
        <f>IF(N30672="","",COUNTIFS(RawData[[Date ]],N30672,RawData[Month List],$Q$6,RawData[Tour/Site],$Q$2,RawData[[Picker ID ]],$Q$3,RawData[Checker ID],$Q$4,RawData[[Error Type ]],$Q$5))</f>
        <v/>
      </c>
    </row>
    <row r="30673" spans="15:15" x14ac:dyDescent="0.25">
      <c r="O30673" s="20" t="str">
        <f>IF(N30673="","",COUNTIFS(RawData[[Date ]],N30673,RawData[Month List],$Q$6,RawData[Tour/Site],$Q$2,RawData[[Picker ID ]],$Q$3,RawData[Checker ID],$Q$4,RawData[[Error Type ]],$Q$5))</f>
        <v/>
      </c>
    </row>
    <row r="30674" spans="15:15" x14ac:dyDescent="0.25">
      <c r="O30674" s="20" t="str">
        <f>IF(N30674="","",COUNTIFS(RawData[[Date ]],N30674,RawData[Month List],$Q$6,RawData[Tour/Site],$Q$2,RawData[[Picker ID ]],$Q$3,RawData[Checker ID],$Q$4,RawData[[Error Type ]],$Q$5))</f>
        <v/>
      </c>
    </row>
    <row r="30675" spans="15:15" x14ac:dyDescent="0.25">
      <c r="O30675" s="20" t="str">
        <f>IF(N30675="","",COUNTIFS(RawData[[Date ]],N30675,RawData[Month List],$Q$6,RawData[Tour/Site],$Q$2,RawData[[Picker ID ]],$Q$3,RawData[Checker ID],$Q$4,RawData[[Error Type ]],$Q$5))</f>
        <v/>
      </c>
    </row>
    <row r="30676" spans="15:15" x14ac:dyDescent="0.25">
      <c r="O30676" s="20" t="str">
        <f>IF(N30676="","",COUNTIFS(RawData[[Date ]],N30676,RawData[Month List],$Q$6,RawData[Tour/Site],$Q$2,RawData[[Picker ID ]],$Q$3,RawData[Checker ID],$Q$4,RawData[[Error Type ]],$Q$5))</f>
        <v/>
      </c>
    </row>
    <row r="30677" spans="15:15" x14ac:dyDescent="0.25">
      <c r="O30677" s="20" t="str">
        <f>IF(N30677="","",COUNTIFS(RawData[[Date ]],N30677,RawData[Month List],$Q$6,RawData[Tour/Site],$Q$2,RawData[[Picker ID ]],$Q$3,RawData[Checker ID],$Q$4,RawData[[Error Type ]],$Q$5))</f>
        <v/>
      </c>
    </row>
    <row r="30678" spans="15:15" x14ac:dyDescent="0.25">
      <c r="O30678" s="20" t="str">
        <f>IF(N30678="","",COUNTIFS(RawData[[Date ]],N30678,RawData[Month List],$Q$6,RawData[Tour/Site],$Q$2,RawData[[Picker ID ]],$Q$3,RawData[Checker ID],$Q$4,RawData[[Error Type ]],$Q$5))</f>
        <v/>
      </c>
    </row>
    <row r="30679" spans="15:15" x14ac:dyDescent="0.25">
      <c r="O30679" s="20" t="str">
        <f>IF(N30679="","",COUNTIFS(RawData[[Date ]],N30679,RawData[Month List],$Q$6,RawData[Tour/Site],$Q$2,RawData[[Picker ID ]],$Q$3,RawData[Checker ID],$Q$4,RawData[[Error Type ]],$Q$5))</f>
        <v/>
      </c>
    </row>
    <row r="30680" spans="15:15" x14ac:dyDescent="0.25">
      <c r="O30680" s="20" t="str">
        <f>IF(N30680="","",COUNTIFS(RawData[[Date ]],N30680,RawData[Month List],$Q$6,RawData[Tour/Site],$Q$2,RawData[[Picker ID ]],$Q$3,RawData[Checker ID],$Q$4,RawData[[Error Type ]],$Q$5))</f>
        <v/>
      </c>
    </row>
    <row r="30681" spans="15:15" x14ac:dyDescent="0.25">
      <c r="O30681" s="20" t="str">
        <f>IF(N30681="","",COUNTIFS(RawData[[Date ]],N30681,RawData[Month List],$Q$6,RawData[Tour/Site],$Q$2,RawData[[Picker ID ]],$Q$3,RawData[Checker ID],$Q$4,RawData[[Error Type ]],$Q$5))</f>
        <v/>
      </c>
    </row>
    <row r="30682" spans="15:15" x14ac:dyDescent="0.25">
      <c r="O30682" s="20" t="str">
        <f>IF(N30682="","",COUNTIFS(RawData[[Date ]],N30682,RawData[Month List],$Q$6,RawData[Tour/Site],$Q$2,RawData[[Picker ID ]],$Q$3,RawData[Checker ID],$Q$4,RawData[[Error Type ]],$Q$5))</f>
        <v/>
      </c>
    </row>
    <row r="30683" spans="15:15" x14ac:dyDescent="0.25">
      <c r="O30683" s="20" t="str">
        <f>IF(N30683="","",COUNTIFS(RawData[[Date ]],N30683,RawData[Month List],$Q$6,RawData[Tour/Site],$Q$2,RawData[[Picker ID ]],$Q$3,RawData[Checker ID],$Q$4,RawData[[Error Type ]],$Q$5))</f>
        <v/>
      </c>
    </row>
    <row r="30684" spans="15:15" x14ac:dyDescent="0.25">
      <c r="O30684" s="20" t="str">
        <f>IF(N30684="","",COUNTIFS(RawData[[Date ]],N30684,RawData[Month List],$Q$6,RawData[Tour/Site],$Q$2,RawData[[Picker ID ]],$Q$3,RawData[Checker ID],$Q$4,RawData[[Error Type ]],$Q$5))</f>
        <v/>
      </c>
    </row>
    <row r="30685" spans="15:15" x14ac:dyDescent="0.25">
      <c r="O30685" s="20" t="str">
        <f>IF(N30685="","",COUNTIFS(RawData[[Date ]],N30685,RawData[Month List],$Q$6,RawData[Tour/Site],$Q$2,RawData[[Picker ID ]],$Q$3,RawData[Checker ID],$Q$4,RawData[[Error Type ]],$Q$5))</f>
        <v/>
      </c>
    </row>
    <row r="30686" spans="15:15" x14ac:dyDescent="0.25">
      <c r="O30686" s="20" t="str">
        <f>IF(N30686="","",COUNTIFS(RawData[[Date ]],N30686,RawData[Month List],$Q$6,RawData[Tour/Site],$Q$2,RawData[[Picker ID ]],$Q$3,RawData[Checker ID],$Q$4,RawData[[Error Type ]],$Q$5))</f>
        <v/>
      </c>
    </row>
    <row r="30687" spans="15:15" x14ac:dyDescent="0.25">
      <c r="O30687" s="20" t="str">
        <f>IF(N30687="","",COUNTIFS(RawData[[Date ]],N30687,RawData[Month List],$Q$6,RawData[Tour/Site],$Q$2,RawData[[Picker ID ]],$Q$3,RawData[Checker ID],$Q$4,RawData[[Error Type ]],$Q$5))</f>
        <v/>
      </c>
    </row>
    <row r="30688" spans="15:15" x14ac:dyDescent="0.25">
      <c r="O30688" s="20" t="str">
        <f>IF(N30688="","",COUNTIFS(RawData[[Date ]],N30688,RawData[Month List],$Q$6,RawData[Tour/Site],$Q$2,RawData[[Picker ID ]],$Q$3,RawData[Checker ID],$Q$4,RawData[[Error Type ]],$Q$5))</f>
        <v/>
      </c>
    </row>
    <row r="30689" spans="15:15" x14ac:dyDescent="0.25">
      <c r="O30689" s="20" t="str">
        <f>IF(N30689="","",COUNTIFS(RawData[[Date ]],N30689,RawData[Month List],$Q$6,RawData[Tour/Site],$Q$2,RawData[[Picker ID ]],$Q$3,RawData[Checker ID],$Q$4,RawData[[Error Type ]],$Q$5))</f>
        <v/>
      </c>
    </row>
    <row r="30690" spans="15:15" x14ac:dyDescent="0.25">
      <c r="O30690" s="20" t="str">
        <f>IF(N30690="","",COUNTIFS(RawData[[Date ]],N30690,RawData[Month List],$Q$6,RawData[Tour/Site],$Q$2,RawData[[Picker ID ]],$Q$3,RawData[Checker ID],$Q$4,RawData[[Error Type ]],$Q$5))</f>
        <v/>
      </c>
    </row>
    <row r="30691" spans="15:15" x14ac:dyDescent="0.25">
      <c r="O30691" s="20" t="str">
        <f>IF(N30691="","",COUNTIFS(RawData[[Date ]],N30691,RawData[Month List],$Q$6,RawData[Tour/Site],$Q$2,RawData[[Picker ID ]],$Q$3,RawData[Checker ID],$Q$4,RawData[[Error Type ]],$Q$5))</f>
        <v/>
      </c>
    </row>
    <row r="30692" spans="15:15" x14ac:dyDescent="0.25">
      <c r="O30692" s="20" t="str">
        <f>IF(N30692="","",COUNTIFS(RawData[[Date ]],N30692,RawData[Month List],$Q$6,RawData[Tour/Site],$Q$2,RawData[[Picker ID ]],$Q$3,RawData[Checker ID],$Q$4,RawData[[Error Type ]],$Q$5))</f>
        <v/>
      </c>
    </row>
    <row r="30693" spans="15:15" x14ac:dyDescent="0.25">
      <c r="O30693" s="20" t="str">
        <f>IF(N30693="","",COUNTIFS(RawData[[Date ]],N30693,RawData[Month List],$Q$6,RawData[Tour/Site],$Q$2,RawData[[Picker ID ]],$Q$3,RawData[Checker ID],$Q$4,RawData[[Error Type ]],$Q$5))</f>
        <v/>
      </c>
    </row>
    <row r="30694" spans="15:15" x14ac:dyDescent="0.25">
      <c r="O30694" s="20" t="str">
        <f>IF(N30694="","",COUNTIFS(RawData[[Date ]],N30694,RawData[Month List],$Q$6,RawData[Tour/Site],$Q$2,RawData[[Picker ID ]],$Q$3,RawData[Checker ID],$Q$4,RawData[[Error Type ]],$Q$5))</f>
        <v/>
      </c>
    </row>
    <row r="30695" spans="15:15" x14ac:dyDescent="0.25">
      <c r="O30695" s="20" t="str">
        <f>IF(N30695="","",COUNTIFS(RawData[[Date ]],N30695,RawData[Month List],$Q$6,RawData[Tour/Site],$Q$2,RawData[[Picker ID ]],$Q$3,RawData[Checker ID],$Q$4,RawData[[Error Type ]],$Q$5))</f>
        <v/>
      </c>
    </row>
    <row r="30696" spans="15:15" x14ac:dyDescent="0.25">
      <c r="O30696" s="20" t="str">
        <f>IF(N30696="","",COUNTIFS(RawData[[Date ]],N30696,RawData[Month List],$Q$6,RawData[Tour/Site],$Q$2,RawData[[Picker ID ]],$Q$3,RawData[Checker ID],$Q$4,RawData[[Error Type ]],$Q$5))</f>
        <v/>
      </c>
    </row>
    <row r="30697" spans="15:15" x14ac:dyDescent="0.25">
      <c r="O30697" s="20" t="str">
        <f>IF(N30697="","",COUNTIFS(RawData[[Date ]],N30697,RawData[Month List],$Q$6,RawData[Tour/Site],$Q$2,RawData[[Picker ID ]],$Q$3,RawData[Checker ID],$Q$4,RawData[[Error Type ]],$Q$5))</f>
        <v/>
      </c>
    </row>
    <row r="30698" spans="15:15" x14ac:dyDescent="0.25">
      <c r="O30698" s="20" t="str">
        <f>IF(N30698="","",COUNTIFS(RawData[[Date ]],N30698,RawData[Month List],$Q$6,RawData[Tour/Site],$Q$2,RawData[[Picker ID ]],$Q$3,RawData[Checker ID],$Q$4,RawData[[Error Type ]],$Q$5))</f>
        <v/>
      </c>
    </row>
    <row r="30699" spans="15:15" x14ac:dyDescent="0.25">
      <c r="O30699" s="20" t="str">
        <f>IF(N30699="","",COUNTIFS(RawData[[Date ]],N30699,RawData[Month List],$Q$6,RawData[Tour/Site],$Q$2,RawData[[Picker ID ]],$Q$3,RawData[Checker ID],$Q$4,RawData[[Error Type ]],$Q$5))</f>
        <v/>
      </c>
    </row>
    <row r="30700" spans="15:15" x14ac:dyDescent="0.25">
      <c r="O30700" s="20" t="str">
        <f>IF(N30700="","",COUNTIFS(RawData[[Date ]],N30700,RawData[Month List],$Q$6,RawData[Tour/Site],$Q$2,RawData[[Picker ID ]],$Q$3,RawData[Checker ID],$Q$4,RawData[[Error Type ]],$Q$5))</f>
        <v/>
      </c>
    </row>
    <row r="30701" spans="15:15" x14ac:dyDescent="0.25">
      <c r="O30701" s="20" t="str">
        <f>IF(N30701="","",COUNTIFS(RawData[[Date ]],N30701,RawData[Month List],$Q$6,RawData[Tour/Site],$Q$2,RawData[[Picker ID ]],$Q$3,RawData[Checker ID],$Q$4,RawData[[Error Type ]],$Q$5))</f>
        <v/>
      </c>
    </row>
    <row r="30702" spans="15:15" x14ac:dyDescent="0.25">
      <c r="O30702" s="20" t="str">
        <f>IF(N30702="","",COUNTIFS(RawData[[Date ]],N30702,RawData[Month List],$Q$6,RawData[Tour/Site],$Q$2,RawData[[Picker ID ]],$Q$3,RawData[Checker ID],$Q$4,RawData[[Error Type ]],$Q$5))</f>
        <v/>
      </c>
    </row>
    <row r="30703" spans="15:15" x14ac:dyDescent="0.25">
      <c r="O30703" s="20" t="str">
        <f>IF(N30703="","",COUNTIFS(RawData[[Date ]],N30703,RawData[Month List],$Q$6,RawData[Tour/Site],$Q$2,RawData[[Picker ID ]],$Q$3,RawData[Checker ID],$Q$4,RawData[[Error Type ]],$Q$5))</f>
        <v/>
      </c>
    </row>
    <row r="30704" spans="15:15" x14ac:dyDescent="0.25">
      <c r="O30704" s="20" t="str">
        <f>IF(N30704="","",COUNTIFS(RawData[[Date ]],N30704,RawData[Month List],$Q$6,RawData[Tour/Site],$Q$2,RawData[[Picker ID ]],$Q$3,RawData[Checker ID],$Q$4,RawData[[Error Type ]],$Q$5))</f>
        <v/>
      </c>
    </row>
    <row r="30705" spans="15:15" x14ac:dyDescent="0.25">
      <c r="O30705" s="20" t="str">
        <f>IF(N30705="","",COUNTIFS(RawData[[Date ]],N30705,RawData[Month List],$Q$6,RawData[Tour/Site],$Q$2,RawData[[Picker ID ]],$Q$3,RawData[Checker ID],$Q$4,RawData[[Error Type ]],$Q$5))</f>
        <v/>
      </c>
    </row>
    <row r="30706" spans="15:15" x14ac:dyDescent="0.25">
      <c r="O30706" s="20" t="str">
        <f>IF(N30706="","",COUNTIFS(RawData[[Date ]],N30706,RawData[Month List],$Q$6,RawData[Tour/Site],$Q$2,RawData[[Picker ID ]],$Q$3,RawData[Checker ID],$Q$4,RawData[[Error Type ]],$Q$5))</f>
        <v/>
      </c>
    </row>
    <row r="30707" spans="15:15" x14ac:dyDescent="0.25">
      <c r="O30707" s="20" t="str">
        <f>IF(N30707="","",COUNTIFS(RawData[[Date ]],N30707,RawData[Month List],$Q$6,RawData[Tour/Site],$Q$2,RawData[[Picker ID ]],$Q$3,RawData[Checker ID],$Q$4,RawData[[Error Type ]],$Q$5))</f>
        <v/>
      </c>
    </row>
    <row r="30708" spans="15:15" x14ac:dyDescent="0.25">
      <c r="O30708" s="20" t="str">
        <f>IF(N30708="","",COUNTIFS(RawData[[Date ]],N30708,RawData[Month List],$Q$6,RawData[Tour/Site],$Q$2,RawData[[Picker ID ]],$Q$3,RawData[Checker ID],$Q$4,RawData[[Error Type ]],$Q$5))</f>
        <v/>
      </c>
    </row>
    <row r="30709" spans="15:15" x14ac:dyDescent="0.25">
      <c r="O30709" s="20" t="str">
        <f>IF(N30709="","",COUNTIFS(RawData[[Date ]],N30709,RawData[Month List],$Q$6,RawData[Tour/Site],$Q$2,RawData[[Picker ID ]],$Q$3,RawData[Checker ID],$Q$4,RawData[[Error Type ]],$Q$5))</f>
        <v/>
      </c>
    </row>
    <row r="30710" spans="15:15" x14ac:dyDescent="0.25">
      <c r="O30710" s="20" t="str">
        <f>IF(N30710="","",COUNTIFS(RawData[[Date ]],N30710,RawData[Month List],$Q$6,RawData[Tour/Site],$Q$2,RawData[[Picker ID ]],$Q$3,RawData[Checker ID],$Q$4,RawData[[Error Type ]],$Q$5))</f>
        <v/>
      </c>
    </row>
    <row r="30711" spans="15:15" x14ac:dyDescent="0.25">
      <c r="O30711" s="20" t="str">
        <f>IF(N30711="","",COUNTIFS(RawData[[Date ]],N30711,RawData[Month List],$Q$6,RawData[Tour/Site],$Q$2,RawData[[Picker ID ]],$Q$3,RawData[Checker ID],$Q$4,RawData[[Error Type ]],$Q$5))</f>
        <v/>
      </c>
    </row>
    <row r="30712" spans="15:15" x14ac:dyDescent="0.25">
      <c r="O30712" s="20" t="str">
        <f>IF(N30712="","",COUNTIFS(RawData[[Date ]],N30712,RawData[Month List],$Q$6,RawData[Tour/Site],$Q$2,RawData[[Picker ID ]],$Q$3,RawData[Checker ID],$Q$4,RawData[[Error Type ]],$Q$5))</f>
        <v/>
      </c>
    </row>
    <row r="30713" spans="15:15" x14ac:dyDescent="0.25">
      <c r="O30713" s="20" t="str">
        <f>IF(N30713="","",COUNTIFS(RawData[[Date ]],N30713,RawData[Month List],$Q$6,RawData[Tour/Site],$Q$2,RawData[[Picker ID ]],$Q$3,RawData[Checker ID],$Q$4,RawData[[Error Type ]],$Q$5))</f>
        <v/>
      </c>
    </row>
    <row r="30714" spans="15:15" x14ac:dyDescent="0.25">
      <c r="O30714" s="20" t="str">
        <f>IF(N30714="","",COUNTIFS(RawData[[Date ]],N30714,RawData[Month List],$Q$6,RawData[Tour/Site],$Q$2,RawData[[Picker ID ]],$Q$3,RawData[Checker ID],$Q$4,RawData[[Error Type ]],$Q$5))</f>
        <v/>
      </c>
    </row>
    <row r="30715" spans="15:15" x14ac:dyDescent="0.25">
      <c r="O30715" s="20" t="str">
        <f>IF(N30715="","",COUNTIFS(RawData[[Date ]],N30715,RawData[Month List],$Q$6,RawData[Tour/Site],$Q$2,RawData[[Picker ID ]],$Q$3,RawData[Checker ID],$Q$4,RawData[[Error Type ]],$Q$5))</f>
        <v/>
      </c>
    </row>
    <row r="30716" spans="15:15" x14ac:dyDescent="0.25">
      <c r="O30716" s="20" t="str">
        <f>IF(N30716="","",COUNTIFS(RawData[[Date ]],N30716,RawData[Month List],$Q$6,RawData[Tour/Site],$Q$2,RawData[[Picker ID ]],$Q$3,RawData[Checker ID],$Q$4,RawData[[Error Type ]],$Q$5))</f>
        <v/>
      </c>
    </row>
    <row r="30717" spans="15:15" x14ac:dyDescent="0.25">
      <c r="O30717" s="20" t="str">
        <f>IF(N30717="","",COUNTIFS(RawData[[Date ]],N30717,RawData[Month List],$Q$6,RawData[Tour/Site],$Q$2,RawData[[Picker ID ]],$Q$3,RawData[Checker ID],$Q$4,RawData[[Error Type ]],$Q$5))</f>
        <v/>
      </c>
    </row>
    <row r="30718" spans="15:15" x14ac:dyDescent="0.25">
      <c r="O30718" s="20" t="str">
        <f>IF(N30718="","",COUNTIFS(RawData[[Date ]],N30718,RawData[Month List],$Q$6,RawData[Tour/Site],$Q$2,RawData[[Picker ID ]],$Q$3,RawData[Checker ID],$Q$4,RawData[[Error Type ]],$Q$5))</f>
        <v/>
      </c>
    </row>
    <row r="30719" spans="15:15" x14ac:dyDescent="0.25">
      <c r="O30719" s="20" t="str">
        <f>IF(N30719="","",COUNTIFS(RawData[[Date ]],N30719,RawData[Month List],$Q$6,RawData[Tour/Site],$Q$2,RawData[[Picker ID ]],$Q$3,RawData[Checker ID],$Q$4,RawData[[Error Type ]],$Q$5))</f>
        <v/>
      </c>
    </row>
    <row r="30720" spans="15:15" x14ac:dyDescent="0.25">
      <c r="O30720" s="20" t="str">
        <f>IF(N30720="","",COUNTIFS(RawData[[Date ]],N30720,RawData[Month List],$Q$6,RawData[Tour/Site],$Q$2,RawData[[Picker ID ]],$Q$3,RawData[Checker ID],$Q$4,RawData[[Error Type ]],$Q$5))</f>
        <v/>
      </c>
    </row>
    <row r="30721" spans="15:15" x14ac:dyDescent="0.25">
      <c r="O30721" s="20" t="str">
        <f>IF(N30721="","",COUNTIFS(RawData[[Date ]],N30721,RawData[Month List],$Q$6,RawData[Tour/Site],$Q$2,RawData[[Picker ID ]],$Q$3,RawData[Checker ID],$Q$4,RawData[[Error Type ]],$Q$5))</f>
        <v/>
      </c>
    </row>
    <row r="30722" spans="15:15" x14ac:dyDescent="0.25">
      <c r="O30722" s="20" t="str">
        <f>IF(N30722="","",COUNTIFS(RawData[[Date ]],N30722,RawData[Month List],$Q$6,RawData[Tour/Site],$Q$2,RawData[[Picker ID ]],$Q$3,RawData[Checker ID],$Q$4,RawData[[Error Type ]],$Q$5))</f>
        <v/>
      </c>
    </row>
    <row r="30723" spans="15:15" x14ac:dyDescent="0.25">
      <c r="O30723" s="20" t="str">
        <f>IF(N30723="","",COUNTIFS(RawData[[Date ]],N30723,RawData[Month List],$Q$6,RawData[Tour/Site],$Q$2,RawData[[Picker ID ]],$Q$3,RawData[Checker ID],$Q$4,RawData[[Error Type ]],$Q$5))</f>
        <v/>
      </c>
    </row>
    <row r="30724" spans="15:15" x14ac:dyDescent="0.25">
      <c r="O30724" s="20" t="str">
        <f>IF(N30724="","",COUNTIFS(RawData[[Date ]],N30724,RawData[Month List],$Q$6,RawData[Tour/Site],$Q$2,RawData[[Picker ID ]],$Q$3,RawData[Checker ID],$Q$4,RawData[[Error Type ]],$Q$5))</f>
        <v/>
      </c>
    </row>
    <row r="30725" spans="15:15" x14ac:dyDescent="0.25">
      <c r="O30725" s="20" t="str">
        <f>IF(N30725="","",COUNTIFS(RawData[[Date ]],N30725,RawData[Month List],$Q$6,RawData[Tour/Site],$Q$2,RawData[[Picker ID ]],$Q$3,RawData[Checker ID],$Q$4,RawData[[Error Type ]],$Q$5))</f>
        <v/>
      </c>
    </row>
    <row r="30726" spans="15:15" x14ac:dyDescent="0.25">
      <c r="O30726" s="20" t="str">
        <f>IF(N30726="","",COUNTIFS(RawData[[Date ]],N30726,RawData[Month List],$Q$6,RawData[Tour/Site],$Q$2,RawData[[Picker ID ]],$Q$3,RawData[Checker ID],$Q$4,RawData[[Error Type ]],$Q$5))</f>
        <v/>
      </c>
    </row>
    <row r="30727" spans="15:15" x14ac:dyDescent="0.25">
      <c r="O30727" s="20" t="str">
        <f>IF(N30727="","",COUNTIFS(RawData[[Date ]],N30727,RawData[Month List],$Q$6,RawData[Tour/Site],$Q$2,RawData[[Picker ID ]],$Q$3,RawData[Checker ID],$Q$4,RawData[[Error Type ]],$Q$5))</f>
        <v/>
      </c>
    </row>
    <row r="30728" spans="15:15" x14ac:dyDescent="0.25">
      <c r="O30728" s="20" t="str">
        <f>IF(N30728="","",COUNTIFS(RawData[[Date ]],N30728,RawData[Month List],$Q$6,RawData[Tour/Site],$Q$2,RawData[[Picker ID ]],$Q$3,RawData[Checker ID],$Q$4,RawData[[Error Type ]],$Q$5))</f>
        <v/>
      </c>
    </row>
    <row r="30729" spans="15:15" x14ac:dyDescent="0.25">
      <c r="O30729" s="20" t="str">
        <f>IF(N30729="","",COUNTIFS(RawData[[Date ]],N30729,RawData[Month List],$Q$6,RawData[Tour/Site],$Q$2,RawData[[Picker ID ]],$Q$3,RawData[Checker ID],$Q$4,RawData[[Error Type ]],$Q$5))</f>
        <v/>
      </c>
    </row>
    <row r="30730" spans="15:15" x14ac:dyDescent="0.25">
      <c r="O30730" s="20" t="str">
        <f>IF(N30730="","",COUNTIFS(RawData[[Date ]],N30730,RawData[Month List],$Q$6,RawData[Tour/Site],$Q$2,RawData[[Picker ID ]],$Q$3,RawData[Checker ID],$Q$4,RawData[[Error Type ]],$Q$5))</f>
        <v/>
      </c>
    </row>
    <row r="30731" spans="15:15" x14ac:dyDescent="0.25">
      <c r="O30731" s="20" t="str">
        <f>IF(N30731="","",COUNTIFS(RawData[[Date ]],N30731,RawData[Month List],$Q$6,RawData[Tour/Site],$Q$2,RawData[[Picker ID ]],$Q$3,RawData[Checker ID],$Q$4,RawData[[Error Type ]],$Q$5))</f>
        <v/>
      </c>
    </row>
    <row r="30732" spans="15:15" x14ac:dyDescent="0.25">
      <c r="O30732" s="20" t="str">
        <f>IF(N30732="","",COUNTIFS(RawData[[Date ]],N30732,RawData[Month List],$Q$6,RawData[Tour/Site],$Q$2,RawData[[Picker ID ]],$Q$3,RawData[Checker ID],$Q$4,RawData[[Error Type ]],$Q$5))</f>
        <v/>
      </c>
    </row>
    <row r="30733" spans="15:15" x14ac:dyDescent="0.25">
      <c r="O30733" s="20" t="str">
        <f>IF(N30733="","",COUNTIFS(RawData[[Date ]],N30733,RawData[Month List],$Q$6,RawData[Tour/Site],$Q$2,RawData[[Picker ID ]],$Q$3,RawData[Checker ID],$Q$4,RawData[[Error Type ]],$Q$5))</f>
        <v/>
      </c>
    </row>
    <row r="30734" spans="15:15" x14ac:dyDescent="0.25">
      <c r="O30734" s="20" t="str">
        <f>IF(N30734="","",COUNTIFS(RawData[[Date ]],N30734,RawData[Month List],$Q$6,RawData[Tour/Site],$Q$2,RawData[[Picker ID ]],$Q$3,RawData[Checker ID],$Q$4,RawData[[Error Type ]],$Q$5))</f>
        <v/>
      </c>
    </row>
    <row r="30735" spans="15:15" x14ac:dyDescent="0.25">
      <c r="O30735" s="20" t="str">
        <f>IF(N30735="","",COUNTIFS(RawData[[Date ]],N30735,RawData[Month List],$Q$6,RawData[Tour/Site],$Q$2,RawData[[Picker ID ]],$Q$3,RawData[Checker ID],$Q$4,RawData[[Error Type ]],$Q$5))</f>
        <v/>
      </c>
    </row>
    <row r="30736" spans="15:15" x14ac:dyDescent="0.25">
      <c r="O30736" s="20" t="str">
        <f>IF(N30736="","",COUNTIFS(RawData[[Date ]],N30736,RawData[Month List],$Q$6,RawData[Tour/Site],$Q$2,RawData[[Picker ID ]],$Q$3,RawData[Checker ID],$Q$4,RawData[[Error Type ]],$Q$5))</f>
        <v/>
      </c>
    </row>
    <row r="30737" spans="15:15" x14ac:dyDescent="0.25">
      <c r="O30737" s="20" t="str">
        <f>IF(N30737="","",COUNTIFS(RawData[[Date ]],N30737,RawData[Month List],$Q$6,RawData[Tour/Site],$Q$2,RawData[[Picker ID ]],$Q$3,RawData[Checker ID],$Q$4,RawData[[Error Type ]],$Q$5))</f>
        <v/>
      </c>
    </row>
    <row r="30738" spans="15:15" x14ac:dyDescent="0.25">
      <c r="O30738" s="20" t="str">
        <f>IF(N30738="","",COUNTIFS(RawData[[Date ]],N30738,RawData[Month List],$Q$6,RawData[Tour/Site],$Q$2,RawData[[Picker ID ]],$Q$3,RawData[Checker ID],$Q$4,RawData[[Error Type ]],$Q$5))</f>
        <v/>
      </c>
    </row>
    <row r="30739" spans="15:15" x14ac:dyDescent="0.25">
      <c r="O30739" s="20" t="str">
        <f>IF(N30739="","",COUNTIFS(RawData[[Date ]],N30739,RawData[Month List],$Q$6,RawData[Tour/Site],$Q$2,RawData[[Picker ID ]],$Q$3,RawData[Checker ID],$Q$4,RawData[[Error Type ]],$Q$5))</f>
        <v/>
      </c>
    </row>
    <row r="30740" spans="15:15" x14ac:dyDescent="0.25">
      <c r="O30740" s="20" t="str">
        <f>IF(N30740="","",COUNTIFS(RawData[[Date ]],N30740,RawData[Month List],$Q$6,RawData[Tour/Site],$Q$2,RawData[[Picker ID ]],$Q$3,RawData[Checker ID],$Q$4,RawData[[Error Type ]],$Q$5))</f>
        <v/>
      </c>
    </row>
    <row r="30741" spans="15:15" x14ac:dyDescent="0.25">
      <c r="O30741" s="20" t="str">
        <f>IF(N30741="","",COUNTIFS(RawData[[Date ]],N30741,RawData[Month List],$Q$6,RawData[Tour/Site],$Q$2,RawData[[Picker ID ]],$Q$3,RawData[Checker ID],$Q$4,RawData[[Error Type ]],$Q$5))</f>
        <v/>
      </c>
    </row>
    <row r="30742" spans="15:15" x14ac:dyDescent="0.25">
      <c r="O30742" s="20" t="str">
        <f>IF(N30742="","",COUNTIFS(RawData[[Date ]],N30742,RawData[Month List],$Q$6,RawData[Tour/Site],$Q$2,RawData[[Picker ID ]],$Q$3,RawData[Checker ID],$Q$4,RawData[[Error Type ]],$Q$5))</f>
        <v/>
      </c>
    </row>
    <row r="30743" spans="15:15" x14ac:dyDescent="0.25">
      <c r="O30743" s="20" t="str">
        <f>IF(N30743="","",COUNTIFS(RawData[[Date ]],N30743,RawData[Month List],$Q$6,RawData[Tour/Site],$Q$2,RawData[[Picker ID ]],$Q$3,RawData[Checker ID],$Q$4,RawData[[Error Type ]],$Q$5))</f>
        <v/>
      </c>
    </row>
    <row r="30744" spans="15:15" x14ac:dyDescent="0.25">
      <c r="O30744" s="20" t="str">
        <f>IF(N30744="","",COUNTIFS(RawData[[Date ]],N30744,RawData[Month List],$Q$6,RawData[Tour/Site],$Q$2,RawData[[Picker ID ]],$Q$3,RawData[Checker ID],$Q$4,RawData[[Error Type ]],$Q$5))</f>
        <v/>
      </c>
    </row>
    <row r="30745" spans="15:15" x14ac:dyDescent="0.25">
      <c r="O30745" s="20" t="str">
        <f>IF(N30745="","",COUNTIFS(RawData[[Date ]],N30745,RawData[Month List],$Q$6,RawData[Tour/Site],$Q$2,RawData[[Picker ID ]],$Q$3,RawData[Checker ID],$Q$4,RawData[[Error Type ]],$Q$5))</f>
        <v/>
      </c>
    </row>
    <row r="30746" spans="15:15" x14ac:dyDescent="0.25">
      <c r="O30746" s="20" t="str">
        <f>IF(N30746="","",COUNTIFS(RawData[[Date ]],N30746,RawData[Month List],$Q$6,RawData[Tour/Site],$Q$2,RawData[[Picker ID ]],$Q$3,RawData[Checker ID],$Q$4,RawData[[Error Type ]],$Q$5))</f>
        <v/>
      </c>
    </row>
    <row r="30747" spans="15:15" x14ac:dyDescent="0.25">
      <c r="O30747" s="20" t="str">
        <f>IF(N30747="","",COUNTIFS(RawData[[Date ]],N30747,RawData[Month List],$Q$6,RawData[Tour/Site],$Q$2,RawData[[Picker ID ]],$Q$3,RawData[Checker ID],$Q$4,RawData[[Error Type ]],$Q$5))</f>
        <v/>
      </c>
    </row>
    <row r="30748" spans="15:15" x14ac:dyDescent="0.25">
      <c r="O30748" s="20" t="str">
        <f>IF(N30748="","",COUNTIFS(RawData[[Date ]],N30748,RawData[Month List],$Q$6,RawData[Tour/Site],$Q$2,RawData[[Picker ID ]],$Q$3,RawData[Checker ID],$Q$4,RawData[[Error Type ]],$Q$5))</f>
        <v/>
      </c>
    </row>
    <row r="30749" spans="15:15" x14ac:dyDescent="0.25">
      <c r="O30749" s="20" t="str">
        <f>IF(N30749="","",COUNTIFS(RawData[[Date ]],N30749,RawData[Month List],$Q$6,RawData[Tour/Site],$Q$2,RawData[[Picker ID ]],$Q$3,RawData[Checker ID],$Q$4,RawData[[Error Type ]],$Q$5))</f>
        <v/>
      </c>
    </row>
    <row r="30750" spans="15:15" x14ac:dyDescent="0.25">
      <c r="O30750" s="20" t="str">
        <f>IF(N30750="","",COUNTIFS(RawData[[Date ]],N30750,RawData[Month List],$Q$6,RawData[Tour/Site],$Q$2,RawData[[Picker ID ]],$Q$3,RawData[Checker ID],$Q$4,RawData[[Error Type ]],$Q$5))</f>
        <v/>
      </c>
    </row>
    <row r="30751" spans="15:15" x14ac:dyDescent="0.25">
      <c r="O30751" s="20" t="str">
        <f>IF(N30751="","",COUNTIFS(RawData[[Date ]],N30751,RawData[Month List],$Q$6,RawData[Tour/Site],$Q$2,RawData[[Picker ID ]],$Q$3,RawData[Checker ID],$Q$4,RawData[[Error Type ]],$Q$5))</f>
        <v/>
      </c>
    </row>
    <row r="30752" spans="15:15" x14ac:dyDescent="0.25">
      <c r="O30752" s="20" t="str">
        <f>IF(N30752="","",COUNTIFS(RawData[[Date ]],N30752,RawData[Month List],$Q$6,RawData[Tour/Site],$Q$2,RawData[[Picker ID ]],$Q$3,RawData[Checker ID],$Q$4,RawData[[Error Type ]],$Q$5))</f>
        <v/>
      </c>
    </row>
    <row r="30753" spans="15:15" x14ac:dyDescent="0.25">
      <c r="O30753" s="20" t="str">
        <f>IF(N30753="","",COUNTIFS(RawData[[Date ]],N30753,RawData[Month List],$Q$6,RawData[Tour/Site],$Q$2,RawData[[Picker ID ]],$Q$3,RawData[Checker ID],$Q$4,RawData[[Error Type ]],$Q$5))</f>
        <v/>
      </c>
    </row>
    <row r="30754" spans="15:15" x14ac:dyDescent="0.25">
      <c r="O30754" s="20" t="str">
        <f>IF(N30754="","",COUNTIFS(RawData[[Date ]],N30754,RawData[Month List],$Q$6,RawData[Tour/Site],$Q$2,RawData[[Picker ID ]],$Q$3,RawData[Checker ID],$Q$4,RawData[[Error Type ]],$Q$5))</f>
        <v/>
      </c>
    </row>
    <row r="30755" spans="15:15" x14ac:dyDescent="0.25">
      <c r="O30755" s="20" t="str">
        <f>IF(N30755="","",COUNTIFS(RawData[[Date ]],N30755,RawData[Month List],$Q$6,RawData[Tour/Site],$Q$2,RawData[[Picker ID ]],$Q$3,RawData[Checker ID],$Q$4,RawData[[Error Type ]],$Q$5))</f>
        <v/>
      </c>
    </row>
    <row r="30756" spans="15:15" x14ac:dyDescent="0.25">
      <c r="O30756" s="20" t="str">
        <f>IF(N30756="","",COUNTIFS(RawData[[Date ]],N30756,RawData[Month List],$Q$6,RawData[Tour/Site],$Q$2,RawData[[Picker ID ]],$Q$3,RawData[Checker ID],$Q$4,RawData[[Error Type ]],$Q$5))</f>
        <v/>
      </c>
    </row>
    <row r="30757" spans="15:15" x14ac:dyDescent="0.25">
      <c r="O30757" s="20" t="str">
        <f>IF(N30757="","",COUNTIFS(RawData[[Date ]],N30757,RawData[Month List],$Q$6,RawData[Tour/Site],$Q$2,RawData[[Picker ID ]],$Q$3,RawData[Checker ID],$Q$4,RawData[[Error Type ]],$Q$5))</f>
        <v/>
      </c>
    </row>
    <row r="30758" spans="15:15" x14ac:dyDescent="0.25">
      <c r="O30758" s="20" t="str">
        <f>IF(N30758="","",COUNTIFS(RawData[[Date ]],N30758,RawData[Month List],$Q$6,RawData[Tour/Site],$Q$2,RawData[[Picker ID ]],$Q$3,RawData[Checker ID],$Q$4,RawData[[Error Type ]],$Q$5))</f>
        <v/>
      </c>
    </row>
    <row r="30759" spans="15:15" x14ac:dyDescent="0.25">
      <c r="O30759" s="20" t="str">
        <f>IF(N30759="","",COUNTIFS(RawData[[Date ]],N30759,RawData[Month List],$Q$6,RawData[Tour/Site],$Q$2,RawData[[Picker ID ]],$Q$3,RawData[Checker ID],$Q$4,RawData[[Error Type ]],$Q$5))</f>
        <v/>
      </c>
    </row>
    <row r="30760" spans="15:15" x14ac:dyDescent="0.25">
      <c r="O30760" s="20" t="str">
        <f>IF(N30760="","",COUNTIFS(RawData[[Date ]],N30760,RawData[Month List],$Q$6,RawData[Tour/Site],$Q$2,RawData[[Picker ID ]],$Q$3,RawData[Checker ID],$Q$4,RawData[[Error Type ]],$Q$5))</f>
        <v/>
      </c>
    </row>
    <row r="30761" spans="15:15" x14ac:dyDescent="0.25">
      <c r="O30761" s="20" t="str">
        <f>IF(N30761="","",COUNTIFS(RawData[[Date ]],N30761,RawData[Month List],$Q$6,RawData[Tour/Site],$Q$2,RawData[[Picker ID ]],$Q$3,RawData[Checker ID],$Q$4,RawData[[Error Type ]],$Q$5))</f>
        <v/>
      </c>
    </row>
    <row r="30762" spans="15:15" x14ac:dyDescent="0.25">
      <c r="O30762" s="20" t="str">
        <f>IF(N30762="","",COUNTIFS(RawData[[Date ]],N30762,RawData[Month List],$Q$6,RawData[Tour/Site],$Q$2,RawData[[Picker ID ]],$Q$3,RawData[Checker ID],$Q$4,RawData[[Error Type ]],$Q$5))</f>
        <v/>
      </c>
    </row>
    <row r="30763" spans="15:15" x14ac:dyDescent="0.25">
      <c r="O30763" s="20" t="str">
        <f>IF(N30763="","",COUNTIFS(RawData[[Date ]],N30763,RawData[Month List],$Q$6,RawData[Tour/Site],$Q$2,RawData[[Picker ID ]],$Q$3,RawData[Checker ID],$Q$4,RawData[[Error Type ]],$Q$5))</f>
        <v/>
      </c>
    </row>
    <row r="30764" spans="15:15" x14ac:dyDescent="0.25">
      <c r="O30764" s="20" t="str">
        <f>IF(N30764="","",COUNTIFS(RawData[[Date ]],N30764,RawData[Month List],$Q$6,RawData[Tour/Site],$Q$2,RawData[[Picker ID ]],$Q$3,RawData[Checker ID],$Q$4,RawData[[Error Type ]],$Q$5))</f>
        <v/>
      </c>
    </row>
    <row r="30765" spans="15:15" x14ac:dyDescent="0.25">
      <c r="O30765" s="20" t="str">
        <f>IF(N30765="","",COUNTIFS(RawData[[Date ]],N30765,RawData[Month List],$Q$6,RawData[Tour/Site],$Q$2,RawData[[Picker ID ]],$Q$3,RawData[Checker ID],$Q$4,RawData[[Error Type ]],$Q$5))</f>
        <v/>
      </c>
    </row>
    <row r="30766" spans="15:15" x14ac:dyDescent="0.25">
      <c r="O30766" s="20" t="str">
        <f>IF(N30766="","",COUNTIFS(RawData[[Date ]],N30766,RawData[Month List],$Q$6,RawData[Tour/Site],$Q$2,RawData[[Picker ID ]],$Q$3,RawData[Checker ID],$Q$4,RawData[[Error Type ]],$Q$5))</f>
        <v/>
      </c>
    </row>
    <row r="30767" spans="15:15" x14ac:dyDescent="0.25">
      <c r="O30767" s="20" t="str">
        <f>IF(N30767="","",COUNTIFS(RawData[[Date ]],N30767,RawData[Month List],$Q$6,RawData[Tour/Site],$Q$2,RawData[[Picker ID ]],$Q$3,RawData[Checker ID],$Q$4,RawData[[Error Type ]],$Q$5))</f>
        <v/>
      </c>
    </row>
    <row r="30768" spans="15:15" x14ac:dyDescent="0.25">
      <c r="O30768" s="20" t="str">
        <f>IF(N30768="","",COUNTIFS(RawData[[Date ]],N30768,RawData[Month List],$Q$6,RawData[Tour/Site],$Q$2,RawData[[Picker ID ]],$Q$3,RawData[Checker ID],$Q$4,RawData[[Error Type ]],$Q$5))</f>
        <v/>
      </c>
    </row>
    <row r="30769" spans="15:15" x14ac:dyDescent="0.25">
      <c r="O30769" s="20" t="str">
        <f>IF(N30769="","",COUNTIFS(RawData[[Date ]],N30769,RawData[Month List],$Q$6,RawData[Tour/Site],$Q$2,RawData[[Picker ID ]],$Q$3,RawData[Checker ID],$Q$4,RawData[[Error Type ]],$Q$5))</f>
        <v/>
      </c>
    </row>
    <row r="30770" spans="15:15" x14ac:dyDescent="0.25">
      <c r="O30770" s="20" t="str">
        <f>IF(N30770="","",COUNTIFS(RawData[[Date ]],N30770,RawData[Month List],$Q$6,RawData[Tour/Site],$Q$2,RawData[[Picker ID ]],$Q$3,RawData[Checker ID],$Q$4,RawData[[Error Type ]],$Q$5))</f>
        <v/>
      </c>
    </row>
    <row r="30771" spans="15:15" x14ac:dyDescent="0.25">
      <c r="O30771" s="20" t="str">
        <f>IF(N30771="","",COUNTIFS(RawData[[Date ]],N30771,RawData[Month List],$Q$6,RawData[Tour/Site],$Q$2,RawData[[Picker ID ]],$Q$3,RawData[Checker ID],$Q$4,RawData[[Error Type ]],$Q$5))</f>
        <v/>
      </c>
    </row>
    <row r="30772" spans="15:15" x14ac:dyDescent="0.25">
      <c r="O30772" s="20" t="str">
        <f>IF(N30772="","",COUNTIFS(RawData[[Date ]],N30772,RawData[Month List],$Q$6,RawData[Tour/Site],$Q$2,RawData[[Picker ID ]],$Q$3,RawData[Checker ID],$Q$4,RawData[[Error Type ]],$Q$5))</f>
        <v/>
      </c>
    </row>
    <row r="30773" spans="15:15" x14ac:dyDescent="0.25">
      <c r="O30773" s="20" t="str">
        <f>IF(N30773="","",COUNTIFS(RawData[[Date ]],N30773,RawData[Month List],$Q$6,RawData[Tour/Site],$Q$2,RawData[[Picker ID ]],$Q$3,RawData[Checker ID],$Q$4,RawData[[Error Type ]],$Q$5))</f>
        <v/>
      </c>
    </row>
    <row r="30774" spans="15:15" x14ac:dyDescent="0.25">
      <c r="O30774" s="20" t="str">
        <f>IF(N30774="","",COUNTIFS(RawData[[Date ]],N30774,RawData[Month List],$Q$6,RawData[Tour/Site],$Q$2,RawData[[Picker ID ]],$Q$3,RawData[Checker ID],$Q$4,RawData[[Error Type ]],$Q$5))</f>
        <v/>
      </c>
    </row>
    <row r="30775" spans="15:15" x14ac:dyDescent="0.25">
      <c r="O30775" s="20" t="str">
        <f>IF(N30775="","",COUNTIFS(RawData[[Date ]],N30775,RawData[Month List],$Q$6,RawData[Tour/Site],$Q$2,RawData[[Picker ID ]],$Q$3,RawData[Checker ID],$Q$4,RawData[[Error Type ]],$Q$5))</f>
        <v/>
      </c>
    </row>
    <row r="30776" spans="15:15" x14ac:dyDescent="0.25">
      <c r="O30776" s="20" t="str">
        <f>IF(N30776="","",COUNTIFS(RawData[[Date ]],N30776,RawData[Month List],$Q$6,RawData[Tour/Site],$Q$2,RawData[[Picker ID ]],$Q$3,RawData[Checker ID],$Q$4,RawData[[Error Type ]],$Q$5))</f>
        <v/>
      </c>
    </row>
    <row r="30777" spans="15:15" x14ac:dyDescent="0.25">
      <c r="O30777" s="20" t="str">
        <f>IF(N30777="","",COUNTIFS(RawData[[Date ]],N30777,RawData[Month List],$Q$6,RawData[Tour/Site],$Q$2,RawData[[Picker ID ]],$Q$3,RawData[Checker ID],$Q$4,RawData[[Error Type ]],$Q$5))</f>
        <v/>
      </c>
    </row>
    <row r="30778" spans="15:15" x14ac:dyDescent="0.25">
      <c r="O30778" s="20" t="str">
        <f>IF(N30778="","",COUNTIFS(RawData[[Date ]],N30778,RawData[Month List],$Q$6,RawData[Tour/Site],$Q$2,RawData[[Picker ID ]],$Q$3,RawData[Checker ID],$Q$4,RawData[[Error Type ]],$Q$5))</f>
        <v/>
      </c>
    </row>
    <row r="30779" spans="15:15" x14ac:dyDescent="0.25">
      <c r="O30779" s="20" t="str">
        <f>IF(N30779="","",COUNTIFS(RawData[[Date ]],N30779,RawData[Month List],$Q$6,RawData[Tour/Site],$Q$2,RawData[[Picker ID ]],$Q$3,RawData[Checker ID],$Q$4,RawData[[Error Type ]],$Q$5))</f>
        <v/>
      </c>
    </row>
    <row r="30780" spans="15:15" x14ac:dyDescent="0.25">
      <c r="O30780" s="20" t="str">
        <f>IF(N30780="","",COUNTIFS(RawData[[Date ]],N30780,RawData[Month List],$Q$6,RawData[Tour/Site],$Q$2,RawData[[Picker ID ]],$Q$3,RawData[Checker ID],$Q$4,RawData[[Error Type ]],$Q$5))</f>
        <v/>
      </c>
    </row>
    <row r="30781" spans="15:15" x14ac:dyDescent="0.25">
      <c r="O30781" s="20" t="str">
        <f>IF(N30781="","",COUNTIFS(RawData[[Date ]],N30781,RawData[Month List],$Q$6,RawData[Tour/Site],$Q$2,RawData[[Picker ID ]],$Q$3,RawData[Checker ID],$Q$4,RawData[[Error Type ]],$Q$5))</f>
        <v/>
      </c>
    </row>
    <row r="30782" spans="15:15" x14ac:dyDescent="0.25">
      <c r="O30782" s="20" t="str">
        <f>IF(N30782="","",COUNTIFS(RawData[[Date ]],N30782,RawData[Month List],$Q$6,RawData[Tour/Site],$Q$2,RawData[[Picker ID ]],$Q$3,RawData[Checker ID],$Q$4,RawData[[Error Type ]],$Q$5))</f>
        <v/>
      </c>
    </row>
    <row r="30783" spans="15:15" x14ac:dyDescent="0.25">
      <c r="O30783" s="20" t="str">
        <f>IF(N30783="","",COUNTIFS(RawData[[Date ]],N30783,RawData[Month List],$Q$6,RawData[Tour/Site],$Q$2,RawData[[Picker ID ]],$Q$3,RawData[Checker ID],$Q$4,RawData[[Error Type ]],$Q$5))</f>
        <v/>
      </c>
    </row>
    <row r="30784" spans="15:15" x14ac:dyDescent="0.25">
      <c r="O30784" s="20" t="str">
        <f>IF(N30784="","",COUNTIFS(RawData[[Date ]],N30784,RawData[Month List],$Q$6,RawData[Tour/Site],$Q$2,RawData[[Picker ID ]],$Q$3,RawData[Checker ID],$Q$4,RawData[[Error Type ]],$Q$5))</f>
        <v/>
      </c>
    </row>
    <row r="30785" spans="15:15" x14ac:dyDescent="0.25">
      <c r="O30785" s="20" t="str">
        <f>IF(N30785="","",COUNTIFS(RawData[[Date ]],N30785,RawData[Month List],$Q$6,RawData[Tour/Site],$Q$2,RawData[[Picker ID ]],$Q$3,RawData[Checker ID],$Q$4,RawData[[Error Type ]],$Q$5))</f>
        <v/>
      </c>
    </row>
    <row r="30786" spans="15:15" x14ac:dyDescent="0.25">
      <c r="O30786" s="20" t="str">
        <f>IF(N30786="","",COUNTIFS(RawData[[Date ]],N30786,RawData[Month List],$Q$6,RawData[Tour/Site],$Q$2,RawData[[Picker ID ]],$Q$3,RawData[Checker ID],$Q$4,RawData[[Error Type ]],$Q$5))</f>
        <v/>
      </c>
    </row>
    <row r="30787" spans="15:15" x14ac:dyDescent="0.25">
      <c r="O30787" s="20" t="str">
        <f>IF(N30787="","",COUNTIFS(RawData[[Date ]],N30787,RawData[Month List],$Q$6,RawData[Tour/Site],$Q$2,RawData[[Picker ID ]],$Q$3,RawData[Checker ID],$Q$4,RawData[[Error Type ]],$Q$5))</f>
        <v/>
      </c>
    </row>
    <row r="30788" spans="15:15" x14ac:dyDescent="0.25">
      <c r="O30788" s="20" t="str">
        <f>IF(N30788="","",COUNTIFS(RawData[[Date ]],N30788,RawData[Month List],$Q$6,RawData[Tour/Site],$Q$2,RawData[[Picker ID ]],$Q$3,RawData[Checker ID],$Q$4,RawData[[Error Type ]],$Q$5))</f>
        <v/>
      </c>
    </row>
    <row r="30789" spans="15:15" x14ac:dyDescent="0.25">
      <c r="O30789" s="20" t="str">
        <f>IF(N30789="","",COUNTIFS(RawData[[Date ]],N30789,RawData[Month List],$Q$6,RawData[Tour/Site],$Q$2,RawData[[Picker ID ]],$Q$3,RawData[Checker ID],$Q$4,RawData[[Error Type ]],$Q$5))</f>
        <v/>
      </c>
    </row>
    <row r="30790" spans="15:15" x14ac:dyDescent="0.25">
      <c r="O30790" s="20" t="str">
        <f>IF(N30790="","",COUNTIFS(RawData[[Date ]],N30790,RawData[Month List],$Q$6,RawData[Tour/Site],$Q$2,RawData[[Picker ID ]],$Q$3,RawData[Checker ID],$Q$4,RawData[[Error Type ]],$Q$5))</f>
        <v/>
      </c>
    </row>
    <row r="30791" spans="15:15" x14ac:dyDescent="0.25">
      <c r="O30791" s="20" t="str">
        <f>IF(N30791="","",COUNTIFS(RawData[[Date ]],N30791,RawData[Month List],$Q$6,RawData[Tour/Site],$Q$2,RawData[[Picker ID ]],$Q$3,RawData[Checker ID],$Q$4,RawData[[Error Type ]],$Q$5))</f>
        <v/>
      </c>
    </row>
    <row r="30792" spans="15:15" x14ac:dyDescent="0.25">
      <c r="O30792" s="20" t="str">
        <f>IF(N30792="","",COUNTIFS(RawData[[Date ]],N30792,RawData[Month List],$Q$6,RawData[Tour/Site],$Q$2,RawData[[Picker ID ]],$Q$3,RawData[Checker ID],$Q$4,RawData[[Error Type ]],$Q$5))</f>
        <v/>
      </c>
    </row>
    <row r="30793" spans="15:15" x14ac:dyDescent="0.25">
      <c r="O30793" s="20" t="str">
        <f>IF(N30793="","",COUNTIFS(RawData[[Date ]],N30793,RawData[Month List],$Q$6,RawData[Tour/Site],$Q$2,RawData[[Picker ID ]],$Q$3,RawData[Checker ID],$Q$4,RawData[[Error Type ]],$Q$5))</f>
        <v/>
      </c>
    </row>
    <row r="30794" spans="15:15" x14ac:dyDescent="0.25">
      <c r="O30794" s="20" t="str">
        <f>IF(N30794="","",COUNTIFS(RawData[[Date ]],N30794,RawData[Month List],$Q$6,RawData[Tour/Site],$Q$2,RawData[[Picker ID ]],$Q$3,RawData[Checker ID],$Q$4,RawData[[Error Type ]],$Q$5))</f>
        <v/>
      </c>
    </row>
    <row r="30795" spans="15:15" x14ac:dyDescent="0.25">
      <c r="O30795" s="20" t="str">
        <f>IF(N30795="","",COUNTIFS(RawData[[Date ]],N30795,RawData[Month List],$Q$6,RawData[Tour/Site],$Q$2,RawData[[Picker ID ]],$Q$3,RawData[Checker ID],$Q$4,RawData[[Error Type ]],$Q$5))</f>
        <v/>
      </c>
    </row>
    <row r="30796" spans="15:15" x14ac:dyDescent="0.25">
      <c r="O30796" s="20" t="str">
        <f>IF(N30796="","",COUNTIFS(RawData[[Date ]],N30796,RawData[Month List],$Q$6,RawData[Tour/Site],$Q$2,RawData[[Picker ID ]],$Q$3,RawData[Checker ID],$Q$4,RawData[[Error Type ]],$Q$5))</f>
        <v/>
      </c>
    </row>
    <row r="30797" spans="15:15" x14ac:dyDescent="0.25">
      <c r="O30797" s="20" t="str">
        <f>IF(N30797="","",COUNTIFS(RawData[[Date ]],N30797,RawData[Month List],$Q$6,RawData[Tour/Site],$Q$2,RawData[[Picker ID ]],$Q$3,RawData[Checker ID],$Q$4,RawData[[Error Type ]],$Q$5))</f>
        <v/>
      </c>
    </row>
    <row r="30798" spans="15:15" x14ac:dyDescent="0.25">
      <c r="O30798" s="20" t="str">
        <f>IF(N30798="","",COUNTIFS(RawData[[Date ]],N30798,RawData[Month List],$Q$6,RawData[Tour/Site],$Q$2,RawData[[Picker ID ]],$Q$3,RawData[Checker ID],$Q$4,RawData[[Error Type ]],$Q$5))</f>
        <v/>
      </c>
    </row>
    <row r="30799" spans="15:15" x14ac:dyDescent="0.25">
      <c r="O30799" s="20" t="str">
        <f>IF(N30799="","",COUNTIFS(RawData[[Date ]],N30799,RawData[Month List],$Q$6,RawData[Tour/Site],$Q$2,RawData[[Picker ID ]],$Q$3,RawData[Checker ID],$Q$4,RawData[[Error Type ]],$Q$5))</f>
        <v/>
      </c>
    </row>
    <row r="30800" spans="15:15" x14ac:dyDescent="0.25">
      <c r="O30800" s="20" t="str">
        <f>IF(N30800="","",COUNTIFS(RawData[[Date ]],N30800,RawData[Month List],$Q$6,RawData[Tour/Site],$Q$2,RawData[[Picker ID ]],$Q$3,RawData[Checker ID],$Q$4,RawData[[Error Type ]],$Q$5))</f>
        <v/>
      </c>
    </row>
    <row r="30801" spans="15:15" x14ac:dyDescent="0.25">
      <c r="O30801" s="20" t="str">
        <f>IF(N30801="","",COUNTIFS(RawData[[Date ]],N30801,RawData[Month List],$Q$6,RawData[Tour/Site],$Q$2,RawData[[Picker ID ]],$Q$3,RawData[Checker ID],$Q$4,RawData[[Error Type ]],$Q$5))</f>
        <v/>
      </c>
    </row>
    <row r="30802" spans="15:15" x14ac:dyDescent="0.25">
      <c r="O30802" s="20" t="str">
        <f>IF(N30802="","",COUNTIFS(RawData[[Date ]],N30802,RawData[Month List],$Q$6,RawData[Tour/Site],$Q$2,RawData[[Picker ID ]],$Q$3,RawData[Checker ID],$Q$4,RawData[[Error Type ]],$Q$5))</f>
        <v/>
      </c>
    </row>
    <row r="30803" spans="15:15" x14ac:dyDescent="0.25">
      <c r="O30803" s="20" t="str">
        <f>IF(N30803="","",COUNTIFS(RawData[[Date ]],N30803,RawData[Month List],$Q$6,RawData[Tour/Site],$Q$2,RawData[[Picker ID ]],$Q$3,RawData[Checker ID],$Q$4,RawData[[Error Type ]],$Q$5))</f>
        <v/>
      </c>
    </row>
    <row r="30804" spans="15:15" x14ac:dyDescent="0.25">
      <c r="O30804" s="20" t="str">
        <f>IF(N30804="","",COUNTIFS(RawData[[Date ]],N30804,RawData[Month List],$Q$6,RawData[Tour/Site],$Q$2,RawData[[Picker ID ]],$Q$3,RawData[Checker ID],$Q$4,RawData[[Error Type ]],$Q$5))</f>
        <v/>
      </c>
    </row>
    <row r="30805" spans="15:15" x14ac:dyDescent="0.25">
      <c r="O30805" s="20" t="str">
        <f>IF(N30805="","",COUNTIFS(RawData[[Date ]],N30805,RawData[Month List],$Q$6,RawData[Tour/Site],$Q$2,RawData[[Picker ID ]],$Q$3,RawData[Checker ID],$Q$4,RawData[[Error Type ]],$Q$5))</f>
        <v/>
      </c>
    </row>
    <row r="30806" spans="15:15" x14ac:dyDescent="0.25">
      <c r="O30806" s="20" t="str">
        <f>IF(N30806="","",COUNTIFS(RawData[[Date ]],N30806,RawData[Month List],$Q$6,RawData[Tour/Site],$Q$2,RawData[[Picker ID ]],$Q$3,RawData[Checker ID],$Q$4,RawData[[Error Type ]],$Q$5))</f>
        <v/>
      </c>
    </row>
    <row r="30807" spans="15:15" x14ac:dyDescent="0.25">
      <c r="O30807" s="20" t="str">
        <f>IF(N30807="","",COUNTIFS(RawData[[Date ]],N30807,RawData[Month List],$Q$6,RawData[Tour/Site],$Q$2,RawData[[Picker ID ]],$Q$3,RawData[Checker ID],$Q$4,RawData[[Error Type ]],$Q$5))</f>
        <v/>
      </c>
    </row>
    <row r="30808" spans="15:15" x14ac:dyDescent="0.25">
      <c r="O30808" s="20" t="str">
        <f>IF(N30808="","",COUNTIFS(RawData[[Date ]],N30808,RawData[Month List],$Q$6,RawData[Tour/Site],$Q$2,RawData[[Picker ID ]],$Q$3,RawData[Checker ID],$Q$4,RawData[[Error Type ]],$Q$5))</f>
        <v/>
      </c>
    </row>
    <row r="30809" spans="15:15" x14ac:dyDescent="0.25">
      <c r="O30809" s="20" t="str">
        <f>IF(N30809="","",COUNTIFS(RawData[[Date ]],N30809,RawData[Month List],$Q$6,RawData[Tour/Site],$Q$2,RawData[[Picker ID ]],$Q$3,RawData[Checker ID],$Q$4,RawData[[Error Type ]],$Q$5))</f>
        <v/>
      </c>
    </row>
    <row r="30810" spans="15:15" x14ac:dyDescent="0.25">
      <c r="O30810" s="20" t="str">
        <f>IF(N30810="","",COUNTIFS(RawData[[Date ]],N30810,RawData[Month List],$Q$6,RawData[Tour/Site],$Q$2,RawData[[Picker ID ]],$Q$3,RawData[Checker ID],$Q$4,RawData[[Error Type ]],$Q$5))</f>
        <v/>
      </c>
    </row>
    <row r="30811" spans="15:15" x14ac:dyDescent="0.25">
      <c r="O30811" s="20" t="str">
        <f>IF(N30811="","",COUNTIFS(RawData[[Date ]],N30811,RawData[Month List],$Q$6,RawData[Tour/Site],$Q$2,RawData[[Picker ID ]],$Q$3,RawData[Checker ID],$Q$4,RawData[[Error Type ]],$Q$5))</f>
        <v/>
      </c>
    </row>
    <row r="30812" spans="15:15" x14ac:dyDescent="0.25">
      <c r="O30812" s="20" t="str">
        <f>IF(N30812="","",COUNTIFS(RawData[[Date ]],N30812,RawData[Month List],$Q$6,RawData[Tour/Site],$Q$2,RawData[[Picker ID ]],$Q$3,RawData[Checker ID],$Q$4,RawData[[Error Type ]],$Q$5))</f>
        <v/>
      </c>
    </row>
    <row r="30813" spans="15:15" x14ac:dyDescent="0.25">
      <c r="O30813" s="20" t="str">
        <f>IF(N30813="","",COUNTIFS(RawData[[Date ]],N30813,RawData[Month List],$Q$6,RawData[Tour/Site],$Q$2,RawData[[Picker ID ]],$Q$3,RawData[Checker ID],$Q$4,RawData[[Error Type ]],$Q$5))</f>
        <v/>
      </c>
    </row>
    <row r="30814" spans="15:15" x14ac:dyDescent="0.25">
      <c r="O30814" s="20" t="str">
        <f>IF(N30814="","",COUNTIFS(RawData[[Date ]],N30814,RawData[Month List],$Q$6,RawData[Tour/Site],$Q$2,RawData[[Picker ID ]],$Q$3,RawData[Checker ID],$Q$4,RawData[[Error Type ]],$Q$5))</f>
        <v/>
      </c>
    </row>
    <row r="30815" spans="15:15" x14ac:dyDescent="0.25">
      <c r="O30815" s="20" t="str">
        <f>IF(N30815="","",COUNTIFS(RawData[[Date ]],N30815,RawData[Month List],$Q$6,RawData[Tour/Site],$Q$2,RawData[[Picker ID ]],$Q$3,RawData[Checker ID],$Q$4,RawData[[Error Type ]],$Q$5))</f>
        <v/>
      </c>
    </row>
    <row r="30816" spans="15:15" x14ac:dyDescent="0.25">
      <c r="O30816" s="20" t="str">
        <f>IF(N30816="","",COUNTIFS(RawData[[Date ]],N30816,RawData[Month List],$Q$6,RawData[Tour/Site],$Q$2,RawData[[Picker ID ]],$Q$3,RawData[Checker ID],$Q$4,RawData[[Error Type ]],$Q$5))</f>
        <v/>
      </c>
    </row>
    <row r="30817" spans="15:15" x14ac:dyDescent="0.25">
      <c r="O30817" s="20" t="str">
        <f>IF(N30817="","",COUNTIFS(RawData[[Date ]],N30817,RawData[Month List],$Q$6,RawData[Tour/Site],$Q$2,RawData[[Picker ID ]],$Q$3,RawData[Checker ID],$Q$4,RawData[[Error Type ]],$Q$5))</f>
        <v/>
      </c>
    </row>
    <row r="30818" spans="15:15" x14ac:dyDescent="0.25">
      <c r="O30818" s="20" t="str">
        <f>IF(N30818="","",COUNTIFS(RawData[[Date ]],N30818,RawData[Month List],$Q$6,RawData[Tour/Site],$Q$2,RawData[[Picker ID ]],$Q$3,RawData[Checker ID],$Q$4,RawData[[Error Type ]],$Q$5))</f>
        <v/>
      </c>
    </row>
    <row r="30819" spans="15:15" x14ac:dyDescent="0.25">
      <c r="O30819" s="20" t="str">
        <f>IF(N30819="","",COUNTIFS(RawData[[Date ]],N30819,RawData[Month List],$Q$6,RawData[Tour/Site],$Q$2,RawData[[Picker ID ]],$Q$3,RawData[Checker ID],$Q$4,RawData[[Error Type ]],$Q$5))</f>
        <v/>
      </c>
    </row>
    <row r="30820" spans="15:15" x14ac:dyDescent="0.25">
      <c r="O30820" s="20" t="str">
        <f>IF(N30820="","",COUNTIFS(RawData[[Date ]],N30820,RawData[Month List],$Q$6,RawData[Tour/Site],$Q$2,RawData[[Picker ID ]],$Q$3,RawData[Checker ID],$Q$4,RawData[[Error Type ]],$Q$5))</f>
        <v/>
      </c>
    </row>
    <row r="30821" spans="15:15" x14ac:dyDescent="0.25">
      <c r="O30821" s="20" t="str">
        <f>IF(N30821="","",COUNTIFS(RawData[[Date ]],N30821,RawData[Month List],$Q$6,RawData[Tour/Site],$Q$2,RawData[[Picker ID ]],$Q$3,RawData[Checker ID],$Q$4,RawData[[Error Type ]],$Q$5))</f>
        <v/>
      </c>
    </row>
    <row r="30822" spans="15:15" x14ac:dyDescent="0.25">
      <c r="O30822" s="20" t="str">
        <f>IF(N30822="","",COUNTIFS(RawData[[Date ]],N30822,RawData[Month List],$Q$6,RawData[Tour/Site],$Q$2,RawData[[Picker ID ]],$Q$3,RawData[Checker ID],$Q$4,RawData[[Error Type ]],$Q$5))</f>
        <v/>
      </c>
    </row>
    <row r="30823" spans="15:15" x14ac:dyDescent="0.25">
      <c r="O30823" s="20" t="str">
        <f>IF(N30823="","",COUNTIFS(RawData[[Date ]],N30823,RawData[Month List],$Q$6,RawData[Tour/Site],$Q$2,RawData[[Picker ID ]],$Q$3,RawData[Checker ID],$Q$4,RawData[[Error Type ]],$Q$5))</f>
        <v/>
      </c>
    </row>
    <row r="30824" spans="15:15" x14ac:dyDescent="0.25">
      <c r="O30824" s="20" t="str">
        <f>IF(N30824="","",COUNTIFS(RawData[[Date ]],N30824,RawData[Month List],$Q$6,RawData[Tour/Site],$Q$2,RawData[[Picker ID ]],$Q$3,RawData[Checker ID],$Q$4,RawData[[Error Type ]],$Q$5))</f>
        <v/>
      </c>
    </row>
    <row r="30825" spans="15:15" x14ac:dyDescent="0.25">
      <c r="O30825" s="20" t="str">
        <f>IF(N30825="","",COUNTIFS(RawData[[Date ]],N30825,RawData[Month List],$Q$6,RawData[Tour/Site],$Q$2,RawData[[Picker ID ]],$Q$3,RawData[Checker ID],$Q$4,RawData[[Error Type ]],$Q$5))</f>
        <v/>
      </c>
    </row>
    <row r="30826" spans="15:15" x14ac:dyDescent="0.25">
      <c r="O30826" s="20" t="str">
        <f>IF(N30826="","",COUNTIFS(RawData[[Date ]],N30826,RawData[Month List],$Q$6,RawData[Tour/Site],$Q$2,RawData[[Picker ID ]],$Q$3,RawData[Checker ID],$Q$4,RawData[[Error Type ]],$Q$5))</f>
        <v/>
      </c>
    </row>
    <row r="30827" spans="15:15" x14ac:dyDescent="0.25">
      <c r="O30827" s="20" t="str">
        <f>IF(N30827="","",COUNTIFS(RawData[[Date ]],N30827,RawData[Month List],$Q$6,RawData[Tour/Site],$Q$2,RawData[[Picker ID ]],$Q$3,RawData[Checker ID],$Q$4,RawData[[Error Type ]],$Q$5))</f>
        <v/>
      </c>
    </row>
    <row r="30828" spans="15:15" x14ac:dyDescent="0.25">
      <c r="O30828" s="20" t="str">
        <f>IF(N30828="","",COUNTIFS(RawData[[Date ]],N30828,RawData[Month List],$Q$6,RawData[Tour/Site],$Q$2,RawData[[Picker ID ]],$Q$3,RawData[Checker ID],$Q$4,RawData[[Error Type ]],$Q$5))</f>
        <v/>
      </c>
    </row>
    <row r="30829" spans="15:15" x14ac:dyDescent="0.25">
      <c r="O30829" s="20" t="str">
        <f>IF(N30829="","",COUNTIFS(RawData[[Date ]],N30829,RawData[Month List],$Q$6,RawData[Tour/Site],$Q$2,RawData[[Picker ID ]],$Q$3,RawData[Checker ID],$Q$4,RawData[[Error Type ]],$Q$5))</f>
        <v/>
      </c>
    </row>
    <row r="30830" spans="15:15" x14ac:dyDescent="0.25">
      <c r="O30830" s="20" t="str">
        <f>IF(N30830="","",COUNTIFS(RawData[[Date ]],N30830,RawData[Month List],$Q$6,RawData[Tour/Site],$Q$2,RawData[[Picker ID ]],$Q$3,RawData[Checker ID],$Q$4,RawData[[Error Type ]],$Q$5))</f>
        <v/>
      </c>
    </row>
    <row r="30831" spans="15:15" x14ac:dyDescent="0.25">
      <c r="O30831" s="20" t="str">
        <f>IF(N30831="","",COUNTIFS(RawData[[Date ]],N30831,RawData[Month List],$Q$6,RawData[Tour/Site],$Q$2,RawData[[Picker ID ]],$Q$3,RawData[Checker ID],$Q$4,RawData[[Error Type ]],$Q$5))</f>
        <v/>
      </c>
    </row>
    <row r="30832" spans="15:15" x14ac:dyDescent="0.25">
      <c r="O30832" s="20" t="str">
        <f>IF(N30832="","",COUNTIFS(RawData[[Date ]],N30832,RawData[Month List],$Q$6,RawData[Tour/Site],$Q$2,RawData[[Picker ID ]],$Q$3,RawData[Checker ID],$Q$4,RawData[[Error Type ]],$Q$5))</f>
        <v/>
      </c>
    </row>
    <row r="30833" spans="15:15" x14ac:dyDescent="0.25">
      <c r="O30833" s="20" t="str">
        <f>IF(N30833="","",COUNTIFS(RawData[[Date ]],N30833,RawData[Month List],$Q$6,RawData[Tour/Site],$Q$2,RawData[[Picker ID ]],$Q$3,RawData[Checker ID],$Q$4,RawData[[Error Type ]],$Q$5))</f>
        <v/>
      </c>
    </row>
    <row r="30834" spans="15:15" x14ac:dyDescent="0.25">
      <c r="O30834" s="20" t="str">
        <f>IF(N30834="","",COUNTIFS(RawData[[Date ]],N30834,RawData[Month List],$Q$6,RawData[Tour/Site],$Q$2,RawData[[Picker ID ]],$Q$3,RawData[Checker ID],$Q$4,RawData[[Error Type ]],$Q$5))</f>
        <v/>
      </c>
    </row>
    <row r="30835" spans="15:15" x14ac:dyDescent="0.25">
      <c r="O30835" s="20" t="str">
        <f>IF(N30835="","",COUNTIFS(RawData[[Date ]],N30835,RawData[Month List],$Q$6,RawData[Tour/Site],$Q$2,RawData[[Picker ID ]],$Q$3,RawData[Checker ID],$Q$4,RawData[[Error Type ]],$Q$5))</f>
        <v/>
      </c>
    </row>
    <row r="30836" spans="15:15" x14ac:dyDescent="0.25">
      <c r="O30836" s="20" t="str">
        <f>IF(N30836="","",COUNTIFS(RawData[[Date ]],N30836,RawData[Month List],$Q$6,RawData[Tour/Site],$Q$2,RawData[[Picker ID ]],$Q$3,RawData[Checker ID],$Q$4,RawData[[Error Type ]],$Q$5))</f>
        <v/>
      </c>
    </row>
    <row r="30837" spans="15:15" x14ac:dyDescent="0.25">
      <c r="O30837" s="20" t="str">
        <f>IF(N30837="","",COUNTIFS(RawData[[Date ]],N30837,RawData[Month List],$Q$6,RawData[Tour/Site],$Q$2,RawData[[Picker ID ]],$Q$3,RawData[Checker ID],$Q$4,RawData[[Error Type ]],$Q$5))</f>
        <v/>
      </c>
    </row>
    <row r="30838" spans="15:15" x14ac:dyDescent="0.25">
      <c r="O30838" s="20" t="str">
        <f>IF(N30838="","",COUNTIFS(RawData[[Date ]],N30838,RawData[Month List],$Q$6,RawData[Tour/Site],$Q$2,RawData[[Picker ID ]],$Q$3,RawData[Checker ID],$Q$4,RawData[[Error Type ]],$Q$5))</f>
        <v/>
      </c>
    </row>
    <row r="30839" spans="15:15" x14ac:dyDescent="0.25">
      <c r="O30839" s="20" t="str">
        <f>IF(N30839="","",COUNTIFS(RawData[[Date ]],N30839,RawData[Month List],$Q$6,RawData[Tour/Site],$Q$2,RawData[[Picker ID ]],$Q$3,RawData[Checker ID],$Q$4,RawData[[Error Type ]],$Q$5))</f>
        <v/>
      </c>
    </row>
    <row r="30840" spans="15:15" x14ac:dyDescent="0.25">
      <c r="O30840" s="20" t="str">
        <f>IF(N30840="","",COUNTIFS(RawData[[Date ]],N30840,RawData[Month List],$Q$6,RawData[Tour/Site],$Q$2,RawData[[Picker ID ]],$Q$3,RawData[Checker ID],$Q$4,RawData[[Error Type ]],$Q$5))</f>
        <v/>
      </c>
    </row>
    <row r="30841" spans="15:15" x14ac:dyDescent="0.25">
      <c r="O30841" s="20" t="str">
        <f>IF(N30841="","",COUNTIFS(RawData[[Date ]],N30841,RawData[Month List],$Q$6,RawData[Tour/Site],$Q$2,RawData[[Picker ID ]],$Q$3,RawData[Checker ID],$Q$4,RawData[[Error Type ]],$Q$5))</f>
        <v/>
      </c>
    </row>
    <row r="30842" spans="15:15" x14ac:dyDescent="0.25">
      <c r="O30842" s="20" t="str">
        <f>IF(N30842="","",COUNTIFS(RawData[[Date ]],N30842,RawData[Month List],$Q$6,RawData[Tour/Site],$Q$2,RawData[[Picker ID ]],$Q$3,RawData[Checker ID],$Q$4,RawData[[Error Type ]],$Q$5))</f>
        <v/>
      </c>
    </row>
    <row r="30843" spans="15:15" x14ac:dyDescent="0.25">
      <c r="O30843" s="20" t="str">
        <f>IF(N30843="","",COUNTIFS(RawData[[Date ]],N30843,RawData[Month List],$Q$6,RawData[Tour/Site],$Q$2,RawData[[Picker ID ]],$Q$3,RawData[Checker ID],$Q$4,RawData[[Error Type ]],$Q$5))</f>
        <v/>
      </c>
    </row>
    <row r="30844" spans="15:15" x14ac:dyDescent="0.25">
      <c r="O30844" s="20" t="str">
        <f>IF(N30844="","",COUNTIFS(RawData[[Date ]],N30844,RawData[Month List],$Q$6,RawData[Tour/Site],$Q$2,RawData[[Picker ID ]],$Q$3,RawData[Checker ID],$Q$4,RawData[[Error Type ]],$Q$5))</f>
        <v/>
      </c>
    </row>
    <row r="30845" spans="15:15" x14ac:dyDescent="0.25">
      <c r="O30845" s="20" t="str">
        <f>IF(N30845="","",COUNTIFS(RawData[[Date ]],N30845,RawData[Month List],$Q$6,RawData[Tour/Site],$Q$2,RawData[[Picker ID ]],$Q$3,RawData[Checker ID],$Q$4,RawData[[Error Type ]],$Q$5))</f>
        <v/>
      </c>
    </row>
    <row r="30846" spans="15:15" x14ac:dyDescent="0.25">
      <c r="O30846" s="20" t="str">
        <f>IF(N30846="","",COUNTIFS(RawData[[Date ]],N30846,RawData[Month List],$Q$6,RawData[Tour/Site],$Q$2,RawData[[Picker ID ]],$Q$3,RawData[Checker ID],$Q$4,RawData[[Error Type ]],$Q$5))</f>
        <v/>
      </c>
    </row>
    <row r="30847" spans="15:15" x14ac:dyDescent="0.25">
      <c r="O30847" s="20" t="str">
        <f>IF(N30847="","",COUNTIFS(RawData[[Date ]],N30847,RawData[Month List],$Q$6,RawData[Tour/Site],$Q$2,RawData[[Picker ID ]],$Q$3,RawData[Checker ID],$Q$4,RawData[[Error Type ]],$Q$5))</f>
        <v/>
      </c>
    </row>
    <row r="30848" spans="15:15" x14ac:dyDescent="0.25">
      <c r="O30848" s="20" t="str">
        <f>IF(N30848="","",COUNTIFS(RawData[[Date ]],N30848,RawData[Month List],$Q$6,RawData[Tour/Site],$Q$2,RawData[[Picker ID ]],$Q$3,RawData[Checker ID],$Q$4,RawData[[Error Type ]],$Q$5))</f>
        <v/>
      </c>
    </row>
    <row r="30849" spans="15:15" x14ac:dyDescent="0.25">
      <c r="O30849" s="20" t="str">
        <f>IF(N30849="","",COUNTIFS(RawData[[Date ]],N30849,RawData[Month List],$Q$6,RawData[Tour/Site],$Q$2,RawData[[Picker ID ]],$Q$3,RawData[Checker ID],$Q$4,RawData[[Error Type ]],$Q$5))</f>
        <v/>
      </c>
    </row>
    <row r="30850" spans="15:15" x14ac:dyDescent="0.25">
      <c r="O30850" s="20" t="str">
        <f>IF(N30850="","",COUNTIFS(RawData[[Date ]],N30850,RawData[Month List],$Q$6,RawData[Tour/Site],$Q$2,RawData[[Picker ID ]],$Q$3,RawData[Checker ID],$Q$4,RawData[[Error Type ]],$Q$5))</f>
        <v/>
      </c>
    </row>
    <row r="30851" spans="15:15" x14ac:dyDescent="0.25">
      <c r="O30851" s="20" t="str">
        <f>IF(N30851="","",COUNTIFS(RawData[[Date ]],N30851,RawData[Month List],$Q$6,RawData[Tour/Site],$Q$2,RawData[[Picker ID ]],$Q$3,RawData[Checker ID],$Q$4,RawData[[Error Type ]],$Q$5))</f>
        <v/>
      </c>
    </row>
    <row r="30852" spans="15:15" x14ac:dyDescent="0.25">
      <c r="O30852" s="20" t="str">
        <f>IF(N30852="","",COUNTIFS(RawData[[Date ]],N30852,RawData[Month List],$Q$6,RawData[Tour/Site],$Q$2,RawData[[Picker ID ]],$Q$3,RawData[Checker ID],$Q$4,RawData[[Error Type ]],$Q$5))</f>
        <v/>
      </c>
    </row>
    <row r="30853" spans="15:15" x14ac:dyDescent="0.25">
      <c r="O30853" s="20" t="str">
        <f>IF(N30853="","",COUNTIFS(RawData[[Date ]],N30853,RawData[Month List],$Q$6,RawData[Tour/Site],$Q$2,RawData[[Picker ID ]],$Q$3,RawData[Checker ID],$Q$4,RawData[[Error Type ]],$Q$5))</f>
        <v/>
      </c>
    </row>
    <row r="30854" spans="15:15" x14ac:dyDescent="0.25">
      <c r="O30854" s="20" t="str">
        <f>IF(N30854="","",COUNTIFS(RawData[[Date ]],N30854,RawData[Month List],$Q$6,RawData[Tour/Site],$Q$2,RawData[[Picker ID ]],$Q$3,RawData[Checker ID],$Q$4,RawData[[Error Type ]],$Q$5))</f>
        <v/>
      </c>
    </row>
    <row r="30855" spans="15:15" x14ac:dyDescent="0.25">
      <c r="O30855" s="20" t="str">
        <f>IF(N30855="","",COUNTIFS(RawData[[Date ]],N30855,RawData[Month List],$Q$6,RawData[Tour/Site],$Q$2,RawData[[Picker ID ]],$Q$3,RawData[Checker ID],$Q$4,RawData[[Error Type ]],$Q$5))</f>
        <v/>
      </c>
    </row>
    <row r="30856" spans="15:15" x14ac:dyDescent="0.25">
      <c r="O30856" s="20" t="str">
        <f>IF(N30856="","",COUNTIFS(RawData[[Date ]],N30856,RawData[Month List],$Q$6,RawData[Tour/Site],$Q$2,RawData[[Picker ID ]],$Q$3,RawData[Checker ID],$Q$4,RawData[[Error Type ]],$Q$5))</f>
        <v/>
      </c>
    </row>
    <row r="30857" spans="15:15" x14ac:dyDescent="0.25">
      <c r="O30857" s="20" t="str">
        <f>IF(N30857="","",COUNTIFS(RawData[[Date ]],N30857,RawData[Month List],$Q$6,RawData[Tour/Site],$Q$2,RawData[[Picker ID ]],$Q$3,RawData[Checker ID],$Q$4,RawData[[Error Type ]],$Q$5))</f>
        <v/>
      </c>
    </row>
    <row r="30858" spans="15:15" x14ac:dyDescent="0.25">
      <c r="O30858" s="20" t="str">
        <f>IF(N30858="","",COUNTIFS(RawData[[Date ]],N30858,RawData[Month List],$Q$6,RawData[Tour/Site],$Q$2,RawData[[Picker ID ]],$Q$3,RawData[Checker ID],$Q$4,RawData[[Error Type ]],$Q$5))</f>
        <v/>
      </c>
    </row>
    <row r="30859" spans="15:15" x14ac:dyDescent="0.25">
      <c r="O30859" s="20" t="str">
        <f>IF(N30859="","",COUNTIFS(RawData[[Date ]],N30859,RawData[Month List],$Q$6,RawData[Tour/Site],$Q$2,RawData[[Picker ID ]],$Q$3,RawData[Checker ID],$Q$4,RawData[[Error Type ]],$Q$5))</f>
        <v/>
      </c>
    </row>
    <row r="30860" spans="15:15" x14ac:dyDescent="0.25">
      <c r="O30860" s="20" t="str">
        <f>IF(N30860="","",COUNTIFS(RawData[[Date ]],N30860,RawData[Month List],$Q$6,RawData[Tour/Site],$Q$2,RawData[[Picker ID ]],$Q$3,RawData[Checker ID],$Q$4,RawData[[Error Type ]],$Q$5))</f>
        <v/>
      </c>
    </row>
    <row r="30861" spans="15:15" x14ac:dyDescent="0.25">
      <c r="O30861" s="20" t="str">
        <f>IF(N30861="","",COUNTIFS(RawData[[Date ]],N30861,RawData[Month List],$Q$6,RawData[Tour/Site],$Q$2,RawData[[Picker ID ]],$Q$3,RawData[Checker ID],$Q$4,RawData[[Error Type ]],$Q$5))</f>
        <v/>
      </c>
    </row>
    <row r="30862" spans="15:15" x14ac:dyDescent="0.25">
      <c r="O30862" s="20" t="str">
        <f>IF(N30862="","",COUNTIFS(RawData[[Date ]],N30862,RawData[Month List],$Q$6,RawData[Tour/Site],$Q$2,RawData[[Picker ID ]],$Q$3,RawData[Checker ID],$Q$4,RawData[[Error Type ]],$Q$5))</f>
        <v/>
      </c>
    </row>
    <row r="30863" spans="15:15" x14ac:dyDescent="0.25">
      <c r="O30863" s="20" t="str">
        <f>IF(N30863="","",COUNTIFS(RawData[[Date ]],N30863,RawData[Month List],$Q$6,RawData[Tour/Site],$Q$2,RawData[[Picker ID ]],$Q$3,RawData[Checker ID],$Q$4,RawData[[Error Type ]],$Q$5))</f>
        <v/>
      </c>
    </row>
    <row r="30864" spans="15:15" x14ac:dyDescent="0.25">
      <c r="O30864" s="20" t="str">
        <f>IF(N30864="","",COUNTIFS(RawData[[Date ]],N30864,RawData[Month List],$Q$6,RawData[Tour/Site],$Q$2,RawData[[Picker ID ]],$Q$3,RawData[Checker ID],$Q$4,RawData[[Error Type ]],$Q$5))</f>
        <v/>
      </c>
    </row>
    <row r="30865" spans="15:15" x14ac:dyDescent="0.25">
      <c r="O30865" s="20" t="str">
        <f>IF(N30865="","",COUNTIFS(RawData[[Date ]],N30865,RawData[Month List],$Q$6,RawData[Tour/Site],$Q$2,RawData[[Picker ID ]],$Q$3,RawData[Checker ID],$Q$4,RawData[[Error Type ]],$Q$5))</f>
        <v/>
      </c>
    </row>
    <row r="30866" spans="15:15" x14ac:dyDescent="0.25">
      <c r="O30866" s="20" t="str">
        <f>IF(N30866="","",COUNTIFS(RawData[[Date ]],N30866,RawData[Month List],$Q$6,RawData[Tour/Site],$Q$2,RawData[[Picker ID ]],$Q$3,RawData[Checker ID],$Q$4,RawData[[Error Type ]],$Q$5))</f>
        <v/>
      </c>
    </row>
    <row r="30867" spans="15:15" x14ac:dyDescent="0.25">
      <c r="O30867" s="20" t="str">
        <f>IF(N30867="","",COUNTIFS(RawData[[Date ]],N30867,RawData[Month List],$Q$6,RawData[Tour/Site],$Q$2,RawData[[Picker ID ]],$Q$3,RawData[Checker ID],$Q$4,RawData[[Error Type ]],$Q$5))</f>
        <v/>
      </c>
    </row>
    <row r="30868" spans="15:15" x14ac:dyDescent="0.25">
      <c r="O30868" s="20" t="str">
        <f>IF(N30868="","",COUNTIFS(RawData[[Date ]],N30868,RawData[Month List],$Q$6,RawData[Tour/Site],$Q$2,RawData[[Picker ID ]],$Q$3,RawData[Checker ID],$Q$4,RawData[[Error Type ]],$Q$5))</f>
        <v/>
      </c>
    </row>
    <row r="30869" spans="15:15" x14ac:dyDescent="0.25">
      <c r="O30869" s="20" t="str">
        <f>IF(N30869="","",COUNTIFS(RawData[[Date ]],N30869,RawData[Month List],$Q$6,RawData[Tour/Site],$Q$2,RawData[[Picker ID ]],$Q$3,RawData[Checker ID],$Q$4,RawData[[Error Type ]],$Q$5))</f>
        <v/>
      </c>
    </row>
    <row r="30870" spans="15:15" x14ac:dyDescent="0.25">
      <c r="O30870" s="20" t="str">
        <f>IF(N30870="","",COUNTIFS(RawData[[Date ]],N30870,RawData[Month List],$Q$6,RawData[Tour/Site],$Q$2,RawData[[Picker ID ]],$Q$3,RawData[Checker ID],$Q$4,RawData[[Error Type ]],$Q$5))</f>
        <v/>
      </c>
    </row>
    <row r="30871" spans="15:15" x14ac:dyDescent="0.25">
      <c r="O30871" s="20" t="str">
        <f>IF(N30871="","",COUNTIFS(RawData[[Date ]],N30871,RawData[Month List],$Q$6,RawData[Tour/Site],$Q$2,RawData[[Picker ID ]],$Q$3,RawData[Checker ID],$Q$4,RawData[[Error Type ]],$Q$5))</f>
        <v/>
      </c>
    </row>
    <row r="30872" spans="15:15" x14ac:dyDescent="0.25">
      <c r="O30872" s="20" t="str">
        <f>IF(N30872="","",COUNTIFS(RawData[[Date ]],N30872,RawData[Month List],$Q$6,RawData[Tour/Site],$Q$2,RawData[[Picker ID ]],$Q$3,RawData[Checker ID],$Q$4,RawData[[Error Type ]],$Q$5))</f>
        <v/>
      </c>
    </row>
    <row r="30873" spans="15:15" x14ac:dyDescent="0.25">
      <c r="O30873" s="20" t="str">
        <f>IF(N30873="","",COUNTIFS(RawData[[Date ]],N30873,RawData[Month List],$Q$6,RawData[Tour/Site],$Q$2,RawData[[Picker ID ]],$Q$3,RawData[Checker ID],$Q$4,RawData[[Error Type ]],$Q$5))</f>
        <v/>
      </c>
    </row>
    <row r="30874" spans="15:15" x14ac:dyDescent="0.25">
      <c r="O30874" s="20" t="str">
        <f>IF(N30874="","",COUNTIFS(RawData[[Date ]],N30874,RawData[Month List],$Q$6,RawData[Tour/Site],$Q$2,RawData[[Picker ID ]],$Q$3,RawData[Checker ID],$Q$4,RawData[[Error Type ]],$Q$5))</f>
        <v/>
      </c>
    </row>
    <row r="30875" spans="15:15" x14ac:dyDescent="0.25">
      <c r="O30875" s="20" t="str">
        <f>IF(N30875="","",COUNTIFS(RawData[[Date ]],N30875,RawData[Month List],$Q$6,RawData[Tour/Site],$Q$2,RawData[[Picker ID ]],$Q$3,RawData[Checker ID],$Q$4,RawData[[Error Type ]],$Q$5))</f>
        <v/>
      </c>
    </row>
    <row r="30876" spans="15:15" x14ac:dyDescent="0.25">
      <c r="O30876" s="20" t="str">
        <f>IF(N30876="","",COUNTIFS(RawData[[Date ]],N30876,RawData[Month List],$Q$6,RawData[Tour/Site],$Q$2,RawData[[Picker ID ]],$Q$3,RawData[Checker ID],$Q$4,RawData[[Error Type ]],$Q$5))</f>
        <v/>
      </c>
    </row>
    <row r="30877" spans="15:15" x14ac:dyDescent="0.25">
      <c r="O30877" s="20" t="str">
        <f>IF(N30877="","",COUNTIFS(RawData[[Date ]],N30877,RawData[Month List],$Q$6,RawData[Tour/Site],$Q$2,RawData[[Picker ID ]],$Q$3,RawData[Checker ID],$Q$4,RawData[[Error Type ]],$Q$5))</f>
        <v/>
      </c>
    </row>
    <row r="30878" spans="15:15" x14ac:dyDescent="0.25">
      <c r="O30878" s="20" t="str">
        <f>IF(N30878="","",COUNTIFS(RawData[[Date ]],N30878,RawData[Month List],$Q$6,RawData[Tour/Site],$Q$2,RawData[[Picker ID ]],$Q$3,RawData[Checker ID],$Q$4,RawData[[Error Type ]],$Q$5))</f>
        <v/>
      </c>
    </row>
    <row r="30879" spans="15:15" x14ac:dyDescent="0.25">
      <c r="O30879" s="20" t="str">
        <f>IF(N30879="","",COUNTIFS(RawData[[Date ]],N30879,RawData[Month List],$Q$6,RawData[Tour/Site],$Q$2,RawData[[Picker ID ]],$Q$3,RawData[Checker ID],$Q$4,RawData[[Error Type ]],$Q$5))</f>
        <v/>
      </c>
    </row>
    <row r="30880" spans="15:15" x14ac:dyDescent="0.25">
      <c r="O30880" s="20" t="str">
        <f>IF(N30880="","",COUNTIFS(RawData[[Date ]],N30880,RawData[Month List],$Q$6,RawData[Tour/Site],$Q$2,RawData[[Picker ID ]],$Q$3,RawData[Checker ID],$Q$4,RawData[[Error Type ]],$Q$5))</f>
        <v/>
      </c>
    </row>
    <row r="30881" spans="15:15" x14ac:dyDescent="0.25">
      <c r="O30881" s="20" t="str">
        <f>IF(N30881="","",COUNTIFS(RawData[[Date ]],N30881,RawData[Month List],$Q$6,RawData[Tour/Site],$Q$2,RawData[[Picker ID ]],$Q$3,RawData[Checker ID],$Q$4,RawData[[Error Type ]],$Q$5))</f>
        <v/>
      </c>
    </row>
    <row r="30882" spans="15:15" x14ac:dyDescent="0.25">
      <c r="O30882" s="20" t="str">
        <f>IF(N30882="","",COUNTIFS(RawData[[Date ]],N30882,RawData[Month List],$Q$6,RawData[Tour/Site],$Q$2,RawData[[Picker ID ]],$Q$3,RawData[Checker ID],$Q$4,RawData[[Error Type ]],$Q$5))</f>
        <v/>
      </c>
    </row>
    <row r="30883" spans="15:15" x14ac:dyDescent="0.25">
      <c r="O30883" s="20" t="str">
        <f>IF(N30883="","",COUNTIFS(RawData[[Date ]],N30883,RawData[Month List],$Q$6,RawData[Tour/Site],$Q$2,RawData[[Picker ID ]],$Q$3,RawData[Checker ID],$Q$4,RawData[[Error Type ]],$Q$5))</f>
        <v/>
      </c>
    </row>
    <row r="30884" spans="15:15" x14ac:dyDescent="0.25">
      <c r="O30884" s="20" t="str">
        <f>IF(N30884="","",COUNTIFS(RawData[[Date ]],N30884,RawData[Month List],$Q$6,RawData[Tour/Site],$Q$2,RawData[[Picker ID ]],$Q$3,RawData[Checker ID],$Q$4,RawData[[Error Type ]],$Q$5))</f>
        <v/>
      </c>
    </row>
    <row r="30885" spans="15:15" x14ac:dyDescent="0.25">
      <c r="O30885" s="20" t="str">
        <f>IF(N30885="","",COUNTIFS(RawData[[Date ]],N30885,RawData[Month List],$Q$6,RawData[Tour/Site],$Q$2,RawData[[Picker ID ]],$Q$3,RawData[Checker ID],$Q$4,RawData[[Error Type ]],$Q$5))</f>
        <v/>
      </c>
    </row>
    <row r="30886" spans="15:15" x14ac:dyDescent="0.25">
      <c r="O30886" s="20" t="str">
        <f>IF(N30886="","",COUNTIFS(RawData[[Date ]],N30886,RawData[Month List],$Q$6,RawData[Tour/Site],$Q$2,RawData[[Picker ID ]],$Q$3,RawData[Checker ID],$Q$4,RawData[[Error Type ]],$Q$5))</f>
        <v/>
      </c>
    </row>
    <row r="30887" spans="15:15" x14ac:dyDescent="0.25">
      <c r="O30887" s="20" t="str">
        <f>IF(N30887="","",COUNTIFS(RawData[[Date ]],N30887,RawData[Month List],$Q$6,RawData[Tour/Site],$Q$2,RawData[[Picker ID ]],$Q$3,RawData[Checker ID],$Q$4,RawData[[Error Type ]],$Q$5))</f>
        <v/>
      </c>
    </row>
    <row r="30888" spans="15:15" x14ac:dyDescent="0.25">
      <c r="O30888" s="20" t="str">
        <f>IF(N30888="","",COUNTIFS(RawData[[Date ]],N30888,RawData[Month List],$Q$6,RawData[Tour/Site],$Q$2,RawData[[Picker ID ]],$Q$3,RawData[Checker ID],$Q$4,RawData[[Error Type ]],$Q$5))</f>
        <v/>
      </c>
    </row>
    <row r="30889" spans="15:15" x14ac:dyDescent="0.25">
      <c r="O30889" s="20" t="str">
        <f>IF(N30889="","",COUNTIFS(RawData[[Date ]],N30889,RawData[Month List],$Q$6,RawData[Tour/Site],$Q$2,RawData[[Picker ID ]],$Q$3,RawData[Checker ID],$Q$4,RawData[[Error Type ]],$Q$5))</f>
        <v/>
      </c>
    </row>
    <row r="30890" spans="15:15" x14ac:dyDescent="0.25">
      <c r="O30890" s="20" t="str">
        <f>IF(N30890="","",COUNTIFS(RawData[[Date ]],N30890,RawData[Month List],$Q$6,RawData[Tour/Site],$Q$2,RawData[[Picker ID ]],$Q$3,RawData[Checker ID],$Q$4,RawData[[Error Type ]],$Q$5))</f>
        <v/>
      </c>
    </row>
    <row r="30891" spans="15:15" x14ac:dyDescent="0.25">
      <c r="O30891" s="20" t="str">
        <f>IF(N30891="","",COUNTIFS(RawData[[Date ]],N30891,RawData[Month List],$Q$6,RawData[Tour/Site],$Q$2,RawData[[Picker ID ]],$Q$3,RawData[Checker ID],$Q$4,RawData[[Error Type ]],$Q$5))</f>
        <v/>
      </c>
    </row>
    <row r="30892" spans="15:15" x14ac:dyDescent="0.25">
      <c r="O30892" s="20" t="str">
        <f>IF(N30892="","",COUNTIFS(RawData[[Date ]],N30892,RawData[Month List],$Q$6,RawData[Tour/Site],$Q$2,RawData[[Picker ID ]],$Q$3,RawData[Checker ID],$Q$4,RawData[[Error Type ]],$Q$5))</f>
        <v/>
      </c>
    </row>
    <row r="30893" spans="15:15" x14ac:dyDescent="0.25">
      <c r="O30893" s="20" t="str">
        <f>IF(N30893="","",COUNTIFS(RawData[[Date ]],N30893,RawData[Month List],$Q$6,RawData[Tour/Site],$Q$2,RawData[[Picker ID ]],$Q$3,RawData[Checker ID],$Q$4,RawData[[Error Type ]],$Q$5))</f>
        <v/>
      </c>
    </row>
    <row r="30894" spans="15:15" x14ac:dyDescent="0.25">
      <c r="O30894" s="20" t="str">
        <f>IF(N30894="","",COUNTIFS(RawData[[Date ]],N30894,RawData[Month List],$Q$6,RawData[Tour/Site],$Q$2,RawData[[Picker ID ]],$Q$3,RawData[Checker ID],$Q$4,RawData[[Error Type ]],$Q$5))</f>
        <v/>
      </c>
    </row>
    <row r="30895" spans="15:15" x14ac:dyDescent="0.25">
      <c r="O30895" s="20" t="str">
        <f>IF(N30895="","",COUNTIFS(RawData[[Date ]],N30895,RawData[Month List],$Q$6,RawData[Tour/Site],$Q$2,RawData[[Picker ID ]],$Q$3,RawData[Checker ID],$Q$4,RawData[[Error Type ]],$Q$5))</f>
        <v/>
      </c>
    </row>
    <row r="30896" spans="15:15" x14ac:dyDescent="0.25">
      <c r="O30896" s="20" t="str">
        <f>IF(N30896="","",COUNTIFS(RawData[[Date ]],N30896,RawData[Month List],$Q$6,RawData[Tour/Site],$Q$2,RawData[[Picker ID ]],$Q$3,RawData[Checker ID],$Q$4,RawData[[Error Type ]],$Q$5))</f>
        <v/>
      </c>
    </row>
    <row r="30897" spans="15:15" x14ac:dyDescent="0.25">
      <c r="O30897" s="20" t="str">
        <f>IF(N30897="","",COUNTIFS(RawData[[Date ]],N30897,RawData[Month List],$Q$6,RawData[Tour/Site],$Q$2,RawData[[Picker ID ]],$Q$3,RawData[Checker ID],$Q$4,RawData[[Error Type ]],$Q$5))</f>
        <v/>
      </c>
    </row>
    <row r="30898" spans="15:15" x14ac:dyDescent="0.25">
      <c r="O30898" s="20" t="str">
        <f>IF(N30898="","",COUNTIFS(RawData[[Date ]],N30898,RawData[Month List],$Q$6,RawData[Tour/Site],$Q$2,RawData[[Picker ID ]],$Q$3,RawData[Checker ID],$Q$4,RawData[[Error Type ]],$Q$5))</f>
        <v/>
      </c>
    </row>
    <row r="30899" spans="15:15" x14ac:dyDescent="0.25">
      <c r="O30899" s="20" t="str">
        <f>IF(N30899="","",COUNTIFS(RawData[[Date ]],N30899,RawData[Month List],$Q$6,RawData[Tour/Site],$Q$2,RawData[[Picker ID ]],$Q$3,RawData[Checker ID],$Q$4,RawData[[Error Type ]],$Q$5))</f>
        <v/>
      </c>
    </row>
    <row r="30900" spans="15:15" x14ac:dyDescent="0.25">
      <c r="O30900" s="20" t="str">
        <f>IF(N30900="","",COUNTIFS(RawData[[Date ]],N30900,RawData[Month List],$Q$6,RawData[Tour/Site],$Q$2,RawData[[Picker ID ]],$Q$3,RawData[Checker ID],$Q$4,RawData[[Error Type ]],$Q$5))</f>
        <v/>
      </c>
    </row>
    <row r="30901" spans="15:15" x14ac:dyDescent="0.25">
      <c r="O30901" s="20" t="str">
        <f>IF(N30901="","",COUNTIFS(RawData[[Date ]],N30901,RawData[Month List],$Q$6,RawData[Tour/Site],$Q$2,RawData[[Picker ID ]],$Q$3,RawData[Checker ID],$Q$4,RawData[[Error Type ]],$Q$5))</f>
        <v/>
      </c>
    </row>
    <row r="30902" spans="15:15" x14ac:dyDescent="0.25">
      <c r="O30902" s="20" t="str">
        <f>IF(N30902="","",COUNTIFS(RawData[[Date ]],N30902,RawData[Month List],$Q$6,RawData[Tour/Site],$Q$2,RawData[[Picker ID ]],$Q$3,RawData[Checker ID],$Q$4,RawData[[Error Type ]],$Q$5))</f>
        <v/>
      </c>
    </row>
    <row r="30903" spans="15:15" x14ac:dyDescent="0.25">
      <c r="O30903" s="20" t="str">
        <f>IF(N30903="","",COUNTIFS(RawData[[Date ]],N30903,RawData[Month List],$Q$6,RawData[Tour/Site],$Q$2,RawData[[Picker ID ]],$Q$3,RawData[Checker ID],$Q$4,RawData[[Error Type ]],$Q$5))</f>
        <v/>
      </c>
    </row>
    <row r="30904" spans="15:15" x14ac:dyDescent="0.25">
      <c r="O30904" s="20" t="str">
        <f>IF(N30904="","",COUNTIFS(RawData[[Date ]],N30904,RawData[Month List],$Q$6,RawData[Tour/Site],$Q$2,RawData[[Picker ID ]],$Q$3,RawData[Checker ID],$Q$4,RawData[[Error Type ]],$Q$5))</f>
        <v/>
      </c>
    </row>
    <row r="30905" spans="15:15" x14ac:dyDescent="0.25">
      <c r="O30905" s="20" t="str">
        <f>IF(N30905="","",COUNTIFS(RawData[[Date ]],N30905,RawData[Month List],$Q$6,RawData[Tour/Site],$Q$2,RawData[[Picker ID ]],$Q$3,RawData[Checker ID],$Q$4,RawData[[Error Type ]],$Q$5))</f>
        <v/>
      </c>
    </row>
    <row r="30906" spans="15:15" x14ac:dyDescent="0.25">
      <c r="O30906" s="20" t="str">
        <f>IF(N30906="","",COUNTIFS(RawData[[Date ]],N30906,RawData[Month List],$Q$6,RawData[Tour/Site],$Q$2,RawData[[Picker ID ]],$Q$3,RawData[Checker ID],$Q$4,RawData[[Error Type ]],$Q$5))</f>
        <v/>
      </c>
    </row>
    <row r="30907" spans="15:15" x14ac:dyDescent="0.25">
      <c r="O30907" s="20" t="str">
        <f>IF(N30907="","",COUNTIFS(RawData[[Date ]],N30907,RawData[Month List],$Q$6,RawData[Tour/Site],$Q$2,RawData[[Picker ID ]],$Q$3,RawData[Checker ID],$Q$4,RawData[[Error Type ]],$Q$5))</f>
        <v/>
      </c>
    </row>
    <row r="30908" spans="15:15" x14ac:dyDescent="0.25">
      <c r="O30908" s="20" t="str">
        <f>IF(N30908="","",COUNTIFS(RawData[[Date ]],N30908,RawData[Month List],$Q$6,RawData[Tour/Site],$Q$2,RawData[[Picker ID ]],$Q$3,RawData[Checker ID],$Q$4,RawData[[Error Type ]],$Q$5))</f>
        <v/>
      </c>
    </row>
    <row r="30909" spans="15:15" x14ac:dyDescent="0.25">
      <c r="O30909" s="20" t="str">
        <f>IF(N30909="","",COUNTIFS(RawData[[Date ]],N30909,RawData[Month List],$Q$6,RawData[Tour/Site],$Q$2,RawData[[Picker ID ]],$Q$3,RawData[Checker ID],$Q$4,RawData[[Error Type ]],$Q$5))</f>
        <v/>
      </c>
    </row>
    <row r="30910" spans="15:15" x14ac:dyDescent="0.25">
      <c r="O30910" s="20" t="str">
        <f>IF(N30910="","",COUNTIFS(RawData[[Date ]],N30910,RawData[Month List],$Q$6,RawData[Tour/Site],$Q$2,RawData[[Picker ID ]],$Q$3,RawData[Checker ID],$Q$4,RawData[[Error Type ]],$Q$5))</f>
        <v/>
      </c>
    </row>
    <row r="30911" spans="15:15" x14ac:dyDescent="0.25">
      <c r="O30911" s="20" t="str">
        <f>IF(N30911="","",COUNTIFS(RawData[[Date ]],N30911,RawData[Month List],$Q$6,RawData[Tour/Site],$Q$2,RawData[[Picker ID ]],$Q$3,RawData[Checker ID],$Q$4,RawData[[Error Type ]],$Q$5))</f>
        <v/>
      </c>
    </row>
    <row r="30912" spans="15:15" x14ac:dyDescent="0.25">
      <c r="O30912" s="20" t="str">
        <f>IF(N30912="","",COUNTIFS(RawData[[Date ]],N30912,RawData[Month List],$Q$6,RawData[Tour/Site],$Q$2,RawData[[Picker ID ]],$Q$3,RawData[Checker ID],$Q$4,RawData[[Error Type ]],$Q$5))</f>
        <v/>
      </c>
    </row>
    <row r="30913" spans="15:15" x14ac:dyDescent="0.25">
      <c r="O30913" s="20" t="str">
        <f>IF(N30913="","",COUNTIFS(RawData[[Date ]],N30913,RawData[Month List],$Q$6,RawData[Tour/Site],$Q$2,RawData[[Picker ID ]],$Q$3,RawData[Checker ID],$Q$4,RawData[[Error Type ]],$Q$5))</f>
        <v/>
      </c>
    </row>
    <row r="30914" spans="15:15" x14ac:dyDescent="0.25">
      <c r="O30914" s="20" t="str">
        <f>IF(N30914="","",COUNTIFS(RawData[[Date ]],N30914,RawData[Month List],$Q$6,RawData[Tour/Site],$Q$2,RawData[[Picker ID ]],$Q$3,RawData[Checker ID],$Q$4,RawData[[Error Type ]],$Q$5))</f>
        <v/>
      </c>
    </row>
    <row r="30915" spans="15:15" x14ac:dyDescent="0.25">
      <c r="O30915" s="20" t="str">
        <f>IF(N30915="","",COUNTIFS(RawData[[Date ]],N30915,RawData[Month List],$Q$6,RawData[Tour/Site],$Q$2,RawData[[Picker ID ]],$Q$3,RawData[Checker ID],$Q$4,RawData[[Error Type ]],$Q$5))</f>
        <v/>
      </c>
    </row>
    <row r="30916" spans="15:15" x14ac:dyDescent="0.25">
      <c r="O30916" s="20" t="str">
        <f>IF(N30916="","",COUNTIFS(RawData[[Date ]],N30916,RawData[Month List],$Q$6,RawData[Tour/Site],$Q$2,RawData[[Picker ID ]],$Q$3,RawData[Checker ID],$Q$4,RawData[[Error Type ]],$Q$5))</f>
        <v/>
      </c>
    </row>
    <row r="30917" spans="15:15" x14ac:dyDescent="0.25">
      <c r="O30917" s="20" t="str">
        <f>IF(N30917="","",COUNTIFS(RawData[[Date ]],N30917,RawData[Month List],$Q$6,RawData[Tour/Site],$Q$2,RawData[[Picker ID ]],$Q$3,RawData[Checker ID],$Q$4,RawData[[Error Type ]],$Q$5))</f>
        <v/>
      </c>
    </row>
    <row r="30918" spans="15:15" x14ac:dyDescent="0.25">
      <c r="O30918" s="20" t="str">
        <f>IF(N30918="","",COUNTIFS(RawData[[Date ]],N30918,RawData[Month List],$Q$6,RawData[Tour/Site],$Q$2,RawData[[Picker ID ]],$Q$3,RawData[Checker ID],$Q$4,RawData[[Error Type ]],$Q$5))</f>
        <v/>
      </c>
    </row>
    <row r="30919" spans="15:15" x14ac:dyDescent="0.25">
      <c r="O30919" s="20" t="str">
        <f>IF(N30919="","",COUNTIFS(RawData[[Date ]],N30919,RawData[Month List],$Q$6,RawData[Tour/Site],$Q$2,RawData[[Picker ID ]],$Q$3,RawData[Checker ID],$Q$4,RawData[[Error Type ]],$Q$5))</f>
        <v/>
      </c>
    </row>
    <row r="30920" spans="15:15" x14ac:dyDescent="0.25">
      <c r="O30920" s="20" t="str">
        <f>IF(N30920="","",COUNTIFS(RawData[[Date ]],N30920,RawData[Month List],$Q$6,RawData[Tour/Site],$Q$2,RawData[[Picker ID ]],$Q$3,RawData[Checker ID],$Q$4,RawData[[Error Type ]],$Q$5))</f>
        <v/>
      </c>
    </row>
    <row r="30921" spans="15:15" x14ac:dyDescent="0.25">
      <c r="O30921" s="20" t="str">
        <f>IF(N30921="","",COUNTIFS(RawData[[Date ]],N30921,RawData[Month List],$Q$6,RawData[Tour/Site],$Q$2,RawData[[Picker ID ]],$Q$3,RawData[Checker ID],$Q$4,RawData[[Error Type ]],$Q$5))</f>
        <v/>
      </c>
    </row>
    <row r="30922" spans="15:15" x14ac:dyDescent="0.25">
      <c r="O30922" s="20" t="str">
        <f>IF(N30922="","",COUNTIFS(RawData[[Date ]],N30922,RawData[Month List],$Q$6,RawData[Tour/Site],$Q$2,RawData[[Picker ID ]],$Q$3,RawData[Checker ID],$Q$4,RawData[[Error Type ]],$Q$5))</f>
        <v/>
      </c>
    </row>
    <row r="30923" spans="15:15" x14ac:dyDescent="0.25">
      <c r="O30923" s="20" t="str">
        <f>IF(N30923="","",COUNTIFS(RawData[[Date ]],N30923,RawData[Month List],$Q$6,RawData[Tour/Site],$Q$2,RawData[[Picker ID ]],$Q$3,RawData[Checker ID],$Q$4,RawData[[Error Type ]],$Q$5))</f>
        <v/>
      </c>
    </row>
    <row r="30924" spans="15:15" x14ac:dyDescent="0.25">
      <c r="O30924" s="20" t="str">
        <f>IF(N30924="","",COUNTIFS(RawData[[Date ]],N30924,RawData[Month List],$Q$6,RawData[Tour/Site],$Q$2,RawData[[Picker ID ]],$Q$3,RawData[Checker ID],$Q$4,RawData[[Error Type ]],$Q$5))</f>
        <v/>
      </c>
    </row>
    <row r="30925" spans="15:15" x14ac:dyDescent="0.25">
      <c r="O30925" s="20" t="str">
        <f>IF(N30925="","",COUNTIFS(RawData[[Date ]],N30925,RawData[Month List],$Q$6,RawData[Tour/Site],$Q$2,RawData[[Picker ID ]],$Q$3,RawData[Checker ID],$Q$4,RawData[[Error Type ]],$Q$5))</f>
        <v/>
      </c>
    </row>
  </sheetData>
  <sheetProtection algorithmName="SHA-512" hashValue="VsIDhYHBie9Xo7oiL17r6uRr31SEOLbF+vNTd8ujv32D1ue/3wmiDaYfM2bqMz+FVqmNk2ffNHxQ4qBxWcCpfg==" saltValue="n9wboI2aDlGvFQqApB1mhw==" spinCount="100000" sheet="1" objects="1" scenarios="1"/>
  <mergeCells count="2">
    <mergeCell ref="A1:F1"/>
    <mergeCell ref="AC1:AE1"/>
  </mergeCells>
  <phoneticPr fontId="3" type="noConversion"/>
  <dataValidations count="6">
    <dataValidation type="list" allowBlank="1" showInputMessage="1" showErrorMessage="1" sqref="A11" xr:uid="{4EA52A9A-A862-4F79-9BF1-01CA224E2DE8}">
      <formula1>$X$11:$X$11272</formula1>
    </dataValidation>
    <dataValidation type="list" allowBlank="1" showInputMessage="1" showErrorMessage="1" sqref="B4" xr:uid="{C5B58F29-A151-4A99-962A-C05FFEC4CF6C}">
      <formula1>$Y$10:$Y$1000007</formula1>
    </dataValidation>
    <dataValidation type="list" allowBlank="1" showInputMessage="1" showErrorMessage="1" sqref="C4" xr:uid="{F365F83D-6D99-4F4D-ACB8-FEB68D10B7AE}">
      <formula1>$Z$10:$Z$1000007</formula1>
    </dataValidation>
    <dataValidation type="list" allowBlank="1" showInputMessage="1" showErrorMessage="1" sqref="D4" xr:uid="{F42CFB34-8FEC-4070-8B6D-C38C0A304AF5}">
      <formula1>$AA$10:$AA$1000007</formula1>
    </dataValidation>
    <dataValidation type="list" allowBlank="1" showInputMessage="1" showErrorMessage="1" sqref="E4" xr:uid="{7DDBC662-EC2E-4D03-8C51-484A7F9A6F01}">
      <formula1>$AB$10:$AB$22</formula1>
    </dataValidation>
    <dataValidation type="list" allowBlank="1" showInputMessage="1" showErrorMessage="1" sqref="A4" xr:uid="{0DC68926-6DE5-4B03-8726-B310E05EE9F4}">
      <formula1>$X$10:$X$80007</formula1>
    </dataValidation>
  </dataValidations>
  <pageMargins left="0.7" right="0.7" top="0.75" bottom="0.75" header="0.3" footer="0.3"/>
  <pageSetup scale="66" orientation="landscape" horizontalDpi="300" verticalDpi="300" r:id="rId1"/>
  <rowBreaks count="1" manualBreakCount="1">
    <brk id="38" max="16383" man="1"/>
  </rowBreaks>
  <colBreaks count="1" manualBreakCount="1">
    <brk id="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79223-FD28-43C0-8C19-77337FFC94BE}">
  <sheetPr codeName="Sheet3">
    <tabColor theme="9" tint="-0.499984740745262"/>
  </sheetPr>
  <dimension ref="A1:L114"/>
  <sheetViews>
    <sheetView zoomScaleNormal="100" workbookViewId="0">
      <pane ySplit="1" topLeftCell="A98" activePane="bottomLeft" state="frozen"/>
      <selection pane="bottomLeft" activeCell="A115" sqref="A115"/>
    </sheetView>
  </sheetViews>
  <sheetFormatPr defaultRowHeight="15" x14ac:dyDescent="0.25"/>
  <cols>
    <col min="1" max="1" width="18.85546875" style="50" customWidth="1"/>
    <col min="2" max="2" width="17.42578125" style="44" customWidth="1"/>
    <col min="3" max="3" width="50" style="44" customWidth="1"/>
    <col min="4" max="4" width="21.85546875" style="44" customWidth="1"/>
    <col min="5" max="5" width="15.5703125" style="44" customWidth="1"/>
    <col min="6" max="6" width="16.28515625" style="44" customWidth="1"/>
    <col min="7" max="7" width="22.42578125" style="44" customWidth="1"/>
    <col min="8" max="8" width="21" style="44" customWidth="1"/>
    <col min="9" max="9" width="15" style="1" bestFit="1" customWidth="1"/>
    <col min="10" max="10" width="14.28515625" style="1" customWidth="1"/>
    <col min="11" max="11" width="14.42578125" style="1" customWidth="1"/>
    <col min="12" max="12" width="18.42578125" style="1" customWidth="1"/>
    <col min="13" max="16384" width="9.140625" style="1"/>
  </cols>
  <sheetData>
    <row r="1" spans="1:12" customFormat="1" x14ac:dyDescent="0.25">
      <c r="A1" s="45" t="s">
        <v>0</v>
      </c>
      <c r="B1" s="48" t="s">
        <v>1</v>
      </c>
      <c r="C1" s="45" t="s">
        <v>7</v>
      </c>
      <c r="D1" s="45" t="s">
        <v>6</v>
      </c>
      <c r="E1" s="45" t="s">
        <v>2</v>
      </c>
      <c r="F1" s="45" t="s">
        <v>3</v>
      </c>
      <c r="G1" s="45" t="s">
        <v>4</v>
      </c>
      <c r="H1" s="45" t="s">
        <v>5</v>
      </c>
      <c r="I1" s="2" t="s">
        <v>17</v>
      </c>
      <c r="J1" s="51" t="s">
        <v>51</v>
      </c>
      <c r="K1" s="51" t="s">
        <v>52</v>
      </c>
      <c r="L1" s="51" t="s">
        <v>53</v>
      </c>
    </row>
    <row r="2" spans="1:12" x14ac:dyDescent="0.25">
      <c r="A2" s="50">
        <v>46211</v>
      </c>
      <c r="B2" s="44">
        <v>936999</v>
      </c>
      <c r="C2" s="47" t="s">
        <v>173</v>
      </c>
      <c r="D2" s="46">
        <v>36</v>
      </c>
      <c r="E2" s="44" t="s">
        <v>8</v>
      </c>
      <c r="F2" s="44">
        <v>2362</v>
      </c>
      <c r="G2" s="44" t="s">
        <v>171</v>
      </c>
      <c r="H2" s="44" t="s">
        <v>172</v>
      </c>
      <c r="I2" s="1" t="str">
        <f t="shared" ref="I2:I33" si="0">IF(A2="","",TEXT(A2,"mmmm yyyy"))</f>
        <v>July 2026</v>
      </c>
      <c r="J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" s="1">
        <f>IF(AND(RawData[[#This Row],[MatchFlag]]=1,COUNTIFS($G$2:G2,RawData[[#This Row],[Picker ID ]],$I$2:I2,RawData[[#This Row],[Month List]],$J$2:J2,1)=1),1,0)</f>
        <v>0</v>
      </c>
      <c r="L2" s="1">
        <f>IF(AND(RawData[[#This Row],[MatchFlag]]=1,COUNTIFS($H$2:H2,RawData[[#This Row],[Checker ID]],$I$2:I2,RawData[[#This Row],[Month List]],$J$2:J2,1)=1),1,0)</f>
        <v>0</v>
      </c>
    </row>
    <row r="3" spans="1:12" x14ac:dyDescent="0.25">
      <c r="A3" s="50">
        <v>46212</v>
      </c>
      <c r="B3" s="44">
        <v>2151167</v>
      </c>
      <c r="C3" s="47" t="s">
        <v>174</v>
      </c>
      <c r="D3" s="46">
        <v>12</v>
      </c>
      <c r="E3" s="44" t="s">
        <v>9</v>
      </c>
      <c r="F3" s="44">
        <v>2300</v>
      </c>
      <c r="G3" s="44" t="s">
        <v>175</v>
      </c>
      <c r="H3" s="44" t="s">
        <v>172</v>
      </c>
      <c r="I3" s="1" t="str">
        <f t="shared" si="0"/>
        <v>July 2026</v>
      </c>
      <c r="J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" s="1">
        <f>IF(AND(RawData[[#This Row],[MatchFlag]]=1,COUNTIFS($G$2:G3,RawData[[#This Row],[Picker ID ]],$I$2:I3,RawData[[#This Row],[Month List]],$J$2:J3,1)=1),1,0)</f>
        <v>0</v>
      </c>
      <c r="L3" s="1">
        <f>IF(AND(RawData[[#This Row],[MatchFlag]]=1,COUNTIFS($H$2:H3,RawData[[#This Row],[Checker ID]],$I$2:I3,RawData[[#This Row],[Month List]],$J$2:J3,1)=1),1,0)</f>
        <v>0</v>
      </c>
    </row>
    <row r="4" spans="1:12" x14ac:dyDescent="0.25">
      <c r="A4" s="50">
        <v>46213</v>
      </c>
      <c r="B4" s="44">
        <v>2259265</v>
      </c>
      <c r="C4" s="44" t="s">
        <v>176</v>
      </c>
      <c r="D4" s="46">
        <v>6</v>
      </c>
      <c r="E4" s="44" t="s">
        <v>8</v>
      </c>
      <c r="F4" s="44">
        <v>2300</v>
      </c>
      <c r="G4" s="44" t="s">
        <v>177</v>
      </c>
      <c r="H4" s="44" t="s">
        <v>172</v>
      </c>
      <c r="I4" s="1" t="str">
        <f t="shared" si="0"/>
        <v>July 2026</v>
      </c>
      <c r="J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" s="1">
        <f>IF(AND(RawData[[#This Row],[MatchFlag]]=1,COUNTIFS($G$2:G4,RawData[[#This Row],[Picker ID ]],$I$2:I4,RawData[[#This Row],[Month List]],$J$2:J4,1)=1),1,0)</f>
        <v>0</v>
      </c>
      <c r="L4" s="1">
        <f>IF(AND(RawData[[#This Row],[MatchFlag]]=1,COUNTIFS($H$2:H4,RawData[[#This Row],[Checker ID]],$I$2:I4,RawData[[#This Row],[Month List]],$J$2:J4,1)=1),1,0)</f>
        <v>0</v>
      </c>
    </row>
    <row r="5" spans="1:12" x14ac:dyDescent="0.25">
      <c r="A5" s="50">
        <v>46213</v>
      </c>
      <c r="B5" s="44">
        <v>1637570</v>
      </c>
      <c r="C5" s="47" t="s">
        <v>178</v>
      </c>
      <c r="D5" s="46">
        <v>12</v>
      </c>
      <c r="E5" s="44" t="s">
        <v>9</v>
      </c>
      <c r="F5" s="44">
        <v>2390</v>
      </c>
      <c r="G5" s="44" t="s">
        <v>179</v>
      </c>
      <c r="H5" s="44" t="s">
        <v>180</v>
      </c>
      <c r="I5" s="1" t="str">
        <f t="shared" si="0"/>
        <v>July 2026</v>
      </c>
      <c r="J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5" s="1">
        <f>IF(AND(RawData[[#This Row],[MatchFlag]]=1,COUNTIFS($G$2:G5,RawData[[#This Row],[Picker ID ]],$I$2:I5,RawData[[#This Row],[Month List]],$J$2:J5,1)=1),1,0)</f>
        <v>0</v>
      </c>
      <c r="L5" s="1">
        <f>IF(AND(RawData[[#This Row],[MatchFlag]]=1,COUNTIFS($H$2:H5,RawData[[#This Row],[Checker ID]],$I$2:I5,RawData[[#This Row],[Month List]],$J$2:J5,1)=1),1,0)</f>
        <v>0</v>
      </c>
    </row>
    <row r="6" spans="1:12" x14ac:dyDescent="0.25">
      <c r="A6" s="50">
        <v>46213</v>
      </c>
      <c r="B6" s="44">
        <v>1428439</v>
      </c>
      <c r="C6" s="47" t="s">
        <v>181</v>
      </c>
      <c r="D6" s="46">
        <v>12</v>
      </c>
      <c r="E6" s="44" t="s">
        <v>8</v>
      </c>
      <c r="F6" s="44">
        <v>2390</v>
      </c>
      <c r="G6" s="44" t="s">
        <v>179</v>
      </c>
      <c r="H6" s="44" t="s">
        <v>180</v>
      </c>
      <c r="I6" s="1" t="str">
        <f t="shared" si="0"/>
        <v>July 2026</v>
      </c>
      <c r="J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6" s="1">
        <f>IF(AND(RawData[[#This Row],[MatchFlag]]=1,COUNTIFS($G$2:G6,RawData[[#This Row],[Picker ID ]],$I$2:I6,RawData[[#This Row],[Month List]],$J$2:J6,1)=1),1,0)</f>
        <v>0</v>
      </c>
      <c r="L6" s="1">
        <f>IF(AND(RawData[[#This Row],[MatchFlag]]=1,COUNTIFS($H$2:H6,RawData[[#This Row],[Checker ID]],$I$2:I6,RawData[[#This Row],[Month List]],$J$2:J6,1)=1),1,0)</f>
        <v>0</v>
      </c>
    </row>
    <row r="7" spans="1:12" x14ac:dyDescent="0.25">
      <c r="A7" s="50">
        <v>46214</v>
      </c>
      <c r="B7" s="44">
        <v>448301</v>
      </c>
      <c r="C7" s="44" t="s">
        <v>182</v>
      </c>
      <c r="D7" s="46">
        <v>4</v>
      </c>
      <c r="E7" s="44" t="s">
        <v>8</v>
      </c>
      <c r="F7" s="44">
        <v>2320</v>
      </c>
      <c r="G7" s="44" t="s">
        <v>183</v>
      </c>
      <c r="H7" s="44" t="s">
        <v>180</v>
      </c>
      <c r="I7" s="1" t="str">
        <f t="shared" si="0"/>
        <v>July 2026</v>
      </c>
      <c r="J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7" s="1">
        <f>IF(AND(RawData[[#This Row],[MatchFlag]]=1,COUNTIFS($G$2:G7,RawData[[#This Row],[Picker ID ]],$I$2:I7,RawData[[#This Row],[Month List]],$J$2:J7,1)=1),1,0)</f>
        <v>0</v>
      </c>
      <c r="L7" s="1">
        <f>IF(AND(RawData[[#This Row],[MatchFlag]]=1,COUNTIFS($H$2:H7,RawData[[#This Row],[Checker ID]],$I$2:I7,RawData[[#This Row],[Month List]],$J$2:J7,1)=1),1,0)</f>
        <v>0</v>
      </c>
    </row>
    <row r="8" spans="1:12" x14ac:dyDescent="0.25">
      <c r="A8" s="50">
        <v>46215</v>
      </c>
      <c r="B8" s="44">
        <v>2500258</v>
      </c>
      <c r="C8" s="47" t="s">
        <v>184</v>
      </c>
      <c r="D8" s="46">
        <v>6</v>
      </c>
      <c r="E8" s="44" t="s">
        <v>8</v>
      </c>
      <c r="F8" s="44">
        <v>2286</v>
      </c>
      <c r="G8" s="44" t="s">
        <v>185</v>
      </c>
      <c r="H8" s="44" t="s">
        <v>186</v>
      </c>
      <c r="I8" s="1" t="str">
        <f t="shared" si="0"/>
        <v>July 2026</v>
      </c>
      <c r="J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8" s="1">
        <f>IF(AND(RawData[[#This Row],[MatchFlag]]=1,COUNTIFS($G$2:G8,RawData[[#This Row],[Picker ID ]],$I$2:I8,RawData[[#This Row],[Month List]],$J$2:J8,1)=1),1,0)</f>
        <v>0</v>
      </c>
      <c r="L8" s="1">
        <f>IF(AND(RawData[[#This Row],[MatchFlag]]=1,COUNTIFS($H$2:H8,RawData[[#This Row],[Checker ID]],$I$2:I8,RawData[[#This Row],[Month List]],$J$2:J8,1)=1),1,0)</f>
        <v>0</v>
      </c>
    </row>
    <row r="9" spans="1:12" x14ac:dyDescent="0.25">
      <c r="A9" s="50">
        <v>46215</v>
      </c>
      <c r="B9" s="44">
        <v>1228381</v>
      </c>
      <c r="C9" s="47" t="s">
        <v>187</v>
      </c>
      <c r="D9" s="46">
        <v>6</v>
      </c>
      <c r="E9" s="44" t="s">
        <v>8</v>
      </c>
      <c r="F9" s="44">
        <v>2270</v>
      </c>
      <c r="G9" s="44" t="s">
        <v>188</v>
      </c>
      <c r="H9" s="44" t="s">
        <v>172</v>
      </c>
      <c r="I9" s="1" t="str">
        <f t="shared" si="0"/>
        <v>July 2026</v>
      </c>
      <c r="J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9" s="1">
        <f>IF(AND(RawData[[#This Row],[MatchFlag]]=1,COUNTIFS($G$2:G9,RawData[[#This Row],[Picker ID ]],$I$2:I9,RawData[[#This Row],[Month List]],$J$2:J9,1)=1),1,0)</f>
        <v>0</v>
      </c>
      <c r="L9" s="1">
        <f>IF(AND(RawData[[#This Row],[MatchFlag]]=1,COUNTIFS($H$2:H9,RawData[[#This Row],[Checker ID]],$I$2:I9,RawData[[#This Row],[Month List]],$J$2:J9,1)=1),1,0)</f>
        <v>0</v>
      </c>
    </row>
    <row r="10" spans="1:12" x14ac:dyDescent="0.25">
      <c r="A10" s="50">
        <v>46216</v>
      </c>
      <c r="B10" s="44">
        <v>1659908</v>
      </c>
      <c r="C10" s="47" t="s">
        <v>189</v>
      </c>
      <c r="D10" s="46">
        <v>6</v>
      </c>
      <c r="E10" s="44" t="s">
        <v>9</v>
      </c>
      <c r="F10" s="44">
        <v>2276</v>
      </c>
      <c r="G10" s="44" t="s">
        <v>177</v>
      </c>
      <c r="H10" s="44" t="s">
        <v>172</v>
      </c>
      <c r="I10" s="1" t="str">
        <f t="shared" si="0"/>
        <v>July 2026</v>
      </c>
      <c r="J1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0" s="1">
        <f>IF(AND(RawData[[#This Row],[MatchFlag]]=1,COUNTIFS($G$2:G10,RawData[[#This Row],[Picker ID ]],$I$2:I10,RawData[[#This Row],[Month List]],$J$2:J10,1)=1),1,0)</f>
        <v>0</v>
      </c>
      <c r="L10" s="1">
        <f>IF(AND(RawData[[#This Row],[MatchFlag]]=1,COUNTIFS($H$2:H10,RawData[[#This Row],[Checker ID]],$I$2:I10,RawData[[#This Row],[Month List]],$J$2:J10,1)=1),1,0)</f>
        <v>0</v>
      </c>
    </row>
    <row r="11" spans="1:12" x14ac:dyDescent="0.25">
      <c r="A11" s="50">
        <v>46216</v>
      </c>
      <c r="B11" s="44">
        <v>1696950</v>
      </c>
      <c r="C11" s="47" t="s">
        <v>190</v>
      </c>
      <c r="D11" s="46">
        <v>6</v>
      </c>
      <c r="E11" s="44" t="s">
        <v>8</v>
      </c>
      <c r="F11" s="44">
        <v>2276</v>
      </c>
      <c r="G11" s="44" t="s">
        <v>177</v>
      </c>
      <c r="H11" s="44" t="s">
        <v>172</v>
      </c>
      <c r="I11" s="1" t="str">
        <f t="shared" si="0"/>
        <v>July 2026</v>
      </c>
      <c r="J1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1" s="1">
        <f>IF(AND(RawData[[#This Row],[MatchFlag]]=1,COUNTIFS($G$2:G11,RawData[[#This Row],[Picker ID ]],$I$2:I11,RawData[[#This Row],[Month List]],$J$2:J11,1)=1),1,0)</f>
        <v>0</v>
      </c>
      <c r="L11" s="1">
        <f>IF(AND(RawData[[#This Row],[MatchFlag]]=1,COUNTIFS($H$2:H11,RawData[[#This Row],[Checker ID]],$I$2:I11,RawData[[#This Row],[Month List]],$J$2:J11,1)=1),1,0)</f>
        <v>0</v>
      </c>
    </row>
    <row r="12" spans="1:12" x14ac:dyDescent="0.25">
      <c r="A12" s="50">
        <v>46216</v>
      </c>
      <c r="B12" s="44">
        <v>1338814</v>
      </c>
      <c r="C12" s="44" t="s">
        <v>191</v>
      </c>
      <c r="D12" s="46">
        <v>6</v>
      </c>
      <c r="E12" s="44" t="s">
        <v>8</v>
      </c>
      <c r="F12" s="44">
        <v>2300</v>
      </c>
      <c r="G12" s="44" t="s">
        <v>192</v>
      </c>
      <c r="H12" s="44" t="s">
        <v>186</v>
      </c>
      <c r="I12" s="1" t="str">
        <f t="shared" si="0"/>
        <v>July 2026</v>
      </c>
      <c r="J1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2" s="1">
        <f>IF(AND(RawData[[#This Row],[MatchFlag]]=1,COUNTIFS($G$2:G12,RawData[[#This Row],[Picker ID ]],$I$2:I12,RawData[[#This Row],[Month List]],$J$2:J12,1)=1),1,0)</f>
        <v>0</v>
      </c>
      <c r="L12" s="1">
        <f>IF(AND(RawData[[#This Row],[MatchFlag]]=1,COUNTIFS($H$2:H12,RawData[[#This Row],[Checker ID]],$I$2:I12,RawData[[#This Row],[Month List]],$J$2:J12,1)=1),1,0)</f>
        <v>0</v>
      </c>
    </row>
    <row r="13" spans="1:12" x14ac:dyDescent="0.25">
      <c r="A13" s="50">
        <v>46216</v>
      </c>
      <c r="B13" s="44">
        <v>23501</v>
      </c>
      <c r="C13" s="47" t="s">
        <v>193</v>
      </c>
      <c r="D13" s="46">
        <v>24</v>
      </c>
      <c r="E13" s="44" t="s">
        <v>8</v>
      </c>
      <c r="F13" s="44">
        <v>2300</v>
      </c>
      <c r="G13" s="44" t="s">
        <v>171</v>
      </c>
      <c r="H13" s="44" t="s">
        <v>172</v>
      </c>
      <c r="I13" s="1" t="str">
        <f t="shared" si="0"/>
        <v>July 2026</v>
      </c>
      <c r="J1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3" s="1">
        <f>IF(AND(RawData[[#This Row],[MatchFlag]]=1,COUNTIFS($G$2:G13,RawData[[#This Row],[Picker ID ]],$I$2:I13,RawData[[#This Row],[Month List]],$J$2:J13,1)=1),1,0)</f>
        <v>0</v>
      </c>
      <c r="L13" s="1">
        <f>IF(AND(RawData[[#This Row],[MatchFlag]]=1,COUNTIFS($H$2:H13,RawData[[#This Row],[Checker ID]],$I$2:I13,RawData[[#This Row],[Month List]],$J$2:J13,1)=1),1,0)</f>
        <v>0</v>
      </c>
    </row>
    <row r="14" spans="1:12" x14ac:dyDescent="0.25">
      <c r="A14" s="50">
        <v>46219</v>
      </c>
      <c r="B14" s="44">
        <v>2659981</v>
      </c>
      <c r="C14" s="47" t="s">
        <v>194</v>
      </c>
      <c r="D14" s="46">
        <v>12</v>
      </c>
      <c r="E14" s="44" t="s">
        <v>9</v>
      </c>
      <c r="F14" s="44">
        <v>2270</v>
      </c>
      <c r="G14" s="44" t="s">
        <v>195</v>
      </c>
      <c r="H14" s="44" t="s">
        <v>180</v>
      </c>
      <c r="I14" s="1" t="str">
        <f t="shared" si="0"/>
        <v>July 2026</v>
      </c>
      <c r="J1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4" s="1">
        <f>IF(AND(RawData[[#This Row],[MatchFlag]]=1,COUNTIFS($G$2:G14,RawData[[#This Row],[Picker ID ]],$I$2:I14,RawData[[#This Row],[Month List]],$J$2:J14,1)=1),1,0)</f>
        <v>0</v>
      </c>
      <c r="L14" s="1">
        <f>IF(AND(RawData[[#This Row],[MatchFlag]]=1,COUNTIFS($H$2:H14,RawData[[#This Row],[Checker ID]],$I$2:I14,RawData[[#This Row],[Month List]],$J$2:J14,1)=1),1,0)</f>
        <v>0</v>
      </c>
    </row>
    <row r="15" spans="1:12" x14ac:dyDescent="0.25">
      <c r="A15" s="50">
        <v>46220</v>
      </c>
      <c r="B15" s="44">
        <v>9744</v>
      </c>
      <c r="C15" s="47" t="s">
        <v>196</v>
      </c>
      <c r="D15" s="46">
        <v>6</v>
      </c>
      <c r="E15" s="44" t="s">
        <v>9</v>
      </c>
      <c r="F15" s="44">
        <v>2390</v>
      </c>
      <c r="G15" s="44" t="s">
        <v>197</v>
      </c>
      <c r="H15" s="44" t="s">
        <v>198</v>
      </c>
      <c r="I15" s="1" t="str">
        <f t="shared" si="0"/>
        <v>July 2026</v>
      </c>
      <c r="J1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5" s="1">
        <f>IF(AND(RawData[[#This Row],[MatchFlag]]=1,COUNTIFS($G$2:G15,RawData[[#This Row],[Picker ID ]],$I$2:I15,RawData[[#This Row],[Month List]],$J$2:J15,1)=1),1,0)</f>
        <v>0</v>
      </c>
      <c r="L15" s="1">
        <f>IF(AND(RawData[[#This Row],[MatchFlag]]=1,COUNTIFS($H$2:H15,RawData[[#This Row],[Checker ID]],$I$2:I15,RawData[[#This Row],[Month List]],$J$2:J15,1)=1),1,0)</f>
        <v>0</v>
      </c>
    </row>
    <row r="16" spans="1:12" x14ac:dyDescent="0.25">
      <c r="A16" s="50">
        <v>46220</v>
      </c>
      <c r="B16" s="44">
        <v>968616</v>
      </c>
      <c r="C16" s="47" t="s">
        <v>199</v>
      </c>
      <c r="D16" s="46">
        <v>3</v>
      </c>
      <c r="E16" s="44" t="s">
        <v>8</v>
      </c>
      <c r="F16" s="44">
        <v>2390</v>
      </c>
      <c r="G16" s="44" t="s">
        <v>197</v>
      </c>
      <c r="H16" s="44" t="s">
        <v>198</v>
      </c>
      <c r="I16" s="1" t="str">
        <f t="shared" si="0"/>
        <v>July 2026</v>
      </c>
      <c r="J1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6" s="1">
        <f>IF(AND(RawData[[#This Row],[MatchFlag]]=1,COUNTIFS($G$2:G16,RawData[[#This Row],[Picker ID ]],$I$2:I16,RawData[[#This Row],[Month List]],$J$2:J16,1)=1),1,0)</f>
        <v>0</v>
      </c>
      <c r="L16" s="1">
        <f>IF(AND(RawData[[#This Row],[MatchFlag]]=1,COUNTIFS($H$2:H16,RawData[[#This Row],[Checker ID]],$I$2:I16,RawData[[#This Row],[Month List]],$J$2:J16,1)=1),1,0)</f>
        <v>0</v>
      </c>
    </row>
    <row r="17" spans="1:12" x14ac:dyDescent="0.25">
      <c r="A17" s="50">
        <v>46220</v>
      </c>
      <c r="B17" s="44">
        <v>2325945</v>
      </c>
      <c r="C17" s="47" t="s">
        <v>201</v>
      </c>
      <c r="D17" s="46">
        <v>24</v>
      </c>
      <c r="E17" s="44" t="s">
        <v>9</v>
      </c>
      <c r="F17" s="44">
        <v>2575</v>
      </c>
      <c r="G17" s="44" t="s">
        <v>202</v>
      </c>
      <c r="H17" s="44" t="s">
        <v>172</v>
      </c>
      <c r="I17" s="1" t="str">
        <f t="shared" si="0"/>
        <v>July 2026</v>
      </c>
      <c r="J1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7" s="1">
        <f>IF(AND(RawData[[#This Row],[MatchFlag]]=1,COUNTIFS($G$2:G17,RawData[[#This Row],[Picker ID ]],$I$2:I17,RawData[[#This Row],[Month List]],$J$2:J17,1)=1),1,0)</f>
        <v>0</v>
      </c>
      <c r="L17" s="1">
        <f>IF(AND(RawData[[#This Row],[MatchFlag]]=1,COUNTIFS($H$2:H17,RawData[[#This Row],[Checker ID]],$I$2:I17,RawData[[#This Row],[Month List]],$J$2:J17,1)=1),1,0)</f>
        <v>0</v>
      </c>
    </row>
    <row r="18" spans="1:12" x14ac:dyDescent="0.25">
      <c r="A18" s="50">
        <v>46221</v>
      </c>
      <c r="B18" s="44">
        <v>720980</v>
      </c>
      <c r="C18" s="47" t="s">
        <v>203</v>
      </c>
      <c r="D18" s="46">
        <v>4</v>
      </c>
      <c r="E18" s="44" t="s">
        <v>9</v>
      </c>
      <c r="F18" s="44">
        <v>2380</v>
      </c>
      <c r="G18" s="44" t="s">
        <v>204</v>
      </c>
      <c r="H18" s="44" t="s">
        <v>180</v>
      </c>
      <c r="I18" s="1" t="str">
        <f t="shared" si="0"/>
        <v>July 2026</v>
      </c>
      <c r="J1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8" s="1">
        <f>IF(AND(RawData[[#This Row],[MatchFlag]]=1,COUNTIFS($G$2:G18,RawData[[#This Row],[Picker ID ]],$I$2:I18,RawData[[#This Row],[Month List]],$J$2:J18,1)=1),1,0)</f>
        <v>0</v>
      </c>
      <c r="L18" s="1">
        <f>IF(AND(RawData[[#This Row],[MatchFlag]]=1,COUNTIFS($H$2:H18,RawData[[#This Row],[Checker ID]],$I$2:I18,RawData[[#This Row],[Month List]],$J$2:J18,1)=1),1,0)</f>
        <v>0</v>
      </c>
    </row>
    <row r="19" spans="1:12" x14ac:dyDescent="0.25">
      <c r="A19" s="50">
        <v>46221</v>
      </c>
      <c r="B19" s="44">
        <v>2127466</v>
      </c>
      <c r="C19" s="47" t="s">
        <v>205</v>
      </c>
      <c r="D19" s="46">
        <v>8</v>
      </c>
      <c r="E19" s="44" t="s">
        <v>8</v>
      </c>
      <c r="F19" s="44">
        <v>2380</v>
      </c>
      <c r="G19" s="44" t="s">
        <v>188</v>
      </c>
      <c r="H19" s="44" t="s">
        <v>198</v>
      </c>
      <c r="I19" s="1" t="str">
        <f t="shared" si="0"/>
        <v>July 2026</v>
      </c>
      <c r="J1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19" s="1">
        <f>IF(AND(RawData[[#This Row],[MatchFlag]]=1,COUNTIFS($G$2:G19,RawData[[#This Row],[Picker ID ]],$I$2:I19,RawData[[#This Row],[Month List]],$J$2:J19,1)=1),1,0)</f>
        <v>0</v>
      </c>
      <c r="L19" s="1">
        <f>IF(AND(RawData[[#This Row],[MatchFlag]]=1,COUNTIFS($H$2:H19,RawData[[#This Row],[Checker ID]],$I$2:I19,RawData[[#This Row],[Month List]],$J$2:J19,1)=1),1,0)</f>
        <v>0</v>
      </c>
    </row>
    <row r="20" spans="1:12" x14ac:dyDescent="0.25">
      <c r="A20" s="50">
        <v>46222</v>
      </c>
      <c r="B20" s="44">
        <v>937560</v>
      </c>
      <c r="C20" s="47" t="s">
        <v>206</v>
      </c>
      <c r="D20" s="46">
        <v>9</v>
      </c>
      <c r="E20" s="44" t="s">
        <v>9</v>
      </c>
      <c r="F20" s="44">
        <v>2257</v>
      </c>
      <c r="G20" s="44" t="s">
        <v>207</v>
      </c>
      <c r="H20" s="44" t="s">
        <v>172</v>
      </c>
      <c r="I20" s="1" t="str">
        <f t="shared" si="0"/>
        <v>July 2026</v>
      </c>
      <c r="J2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0" s="1">
        <f>IF(AND(RawData[[#This Row],[MatchFlag]]=1,COUNTIFS($G$2:G20,RawData[[#This Row],[Picker ID ]],$I$2:I20,RawData[[#This Row],[Month List]],$J$2:J20,1)=1),1,0)</f>
        <v>0</v>
      </c>
      <c r="L20" s="1">
        <f>IF(AND(RawData[[#This Row],[MatchFlag]]=1,COUNTIFS($H$2:H20,RawData[[#This Row],[Checker ID]],$I$2:I20,RawData[[#This Row],[Month List]],$J$2:J20,1)=1),1,0)</f>
        <v>0</v>
      </c>
    </row>
    <row r="21" spans="1:12" x14ac:dyDescent="0.25">
      <c r="A21" s="50">
        <v>46222</v>
      </c>
      <c r="B21" s="44">
        <v>920389</v>
      </c>
      <c r="C21" s="47" t="s">
        <v>209</v>
      </c>
      <c r="D21" s="46">
        <v>12</v>
      </c>
      <c r="E21" s="44" t="s">
        <v>9</v>
      </c>
      <c r="F21" s="44">
        <v>2394</v>
      </c>
      <c r="G21" s="44" t="s">
        <v>210</v>
      </c>
      <c r="H21" s="44" t="s">
        <v>172</v>
      </c>
      <c r="I21" s="1" t="str">
        <f t="shared" si="0"/>
        <v>July 2026</v>
      </c>
      <c r="J2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1" s="1">
        <f>IF(AND(RawData[[#This Row],[MatchFlag]]=1,COUNTIFS($G$2:G21,RawData[[#This Row],[Picker ID ]],$I$2:I21,RawData[[#This Row],[Month List]],$J$2:J21,1)=1),1,0)</f>
        <v>0</v>
      </c>
      <c r="L21" s="1">
        <f>IF(AND(RawData[[#This Row],[MatchFlag]]=1,COUNTIFS($H$2:H21,RawData[[#This Row],[Checker ID]],$I$2:I21,RawData[[#This Row],[Month List]],$J$2:J21,1)=1),1,0)</f>
        <v>0</v>
      </c>
    </row>
    <row r="22" spans="1:12" x14ac:dyDescent="0.25">
      <c r="A22" s="50">
        <v>46222</v>
      </c>
      <c r="B22" s="44">
        <v>94621</v>
      </c>
      <c r="C22" s="47" t="s">
        <v>208</v>
      </c>
      <c r="D22" s="46">
        <v>48</v>
      </c>
      <c r="E22" s="44" t="s">
        <v>9</v>
      </c>
      <c r="F22" s="44">
        <v>2380</v>
      </c>
      <c r="G22" s="44" t="s">
        <v>212</v>
      </c>
      <c r="H22" s="44" t="s">
        <v>198</v>
      </c>
      <c r="I22" s="1" t="str">
        <f t="shared" si="0"/>
        <v>July 2026</v>
      </c>
      <c r="J2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2" s="1">
        <f>IF(AND(RawData[[#This Row],[MatchFlag]]=1,COUNTIFS($G$2:G22,RawData[[#This Row],[Picker ID ]],$I$2:I22,RawData[[#This Row],[Month List]],$J$2:J22,1)=1),1,0)</f>
        <v>0</v>
      </c>
      <c r="L22" s="1">
        <f>IF(AND(RawData[[#This Row],[MatchFlag]]=1,COUNTIFS($H$2:H22,RawData[[#This Row],[Checker ID]],$I$2:I22,RawData[[#This Row],[Month List]],$J$2:J22,1)=1),1,0)</f>
        <v>0</v>
      </c>
    </row>
    <row r="23" spans="1:12" x14ac:dyDescent="0.25">
      <c r="A23" s="50">
        <v>46224</v>
      </c>
      <c r="B23" s="44">
        <v>781599</v>
      </c>
      <c r="C23" s="47" t="s">
        <v>213</v>
      </c>
      <c r="D23" s="46">
        <v>3</v>
      </c>
      <c r="E23" s="44" t="s">
        <v>9</v>
      </c>
      <c r="F23" s="44">
        <v>2382</v>
      </c>
      <c r="G23" s="44" t="s">
        <v>211</v>
      </c>
      <c r="H23" s="44" t="s">
        <v>198</v>
      </c>
      <c r="I23" s="1" t="str">
        <f t="shared" si="0"/>
        <v>July 2026</v>
      </c>
      <c r="J2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3" s="1">
        <f>IF(AND(RawData[[#This Row],[MatchFlag]]=1,COUNTIFS($G$2:G23,RawData[[#This Row],[Picker ID ]],$I$2:I23,RawData[[#This Row],[Month List]],$J$2:J23,1)=1),1,0)</f>
        <v>0</v>
      </c>
      <c r="L23" s="1">
        <f>IF(AND(RawData[[#This Row],[MatchFlag]]=1,COUNTIFS($H$2:H23,RawData[[#This Row],[Checker ID]],$I$2:I23,RawData[[#This Row],[Month List]],$J$2:J23,1)=1),1,0)</f>
        <v>0</v>
      </c>
    </row>
    <row r="24" spans="1:12" x14ac:dyDescent="0.25">
      <c r="A24" s="50">
        <v>46224</v>
      </c>
      <c r="B24" s="44">
        <v>651740</v>
      </c>
      <c r="C24" s="47" t="s">
        <v>214</v>
      </c>
      <c r="D24" s="46">
        <v>3</v>
      </c>
      <c r="E24" s="44" t="s">
        <v>8</v>
      </c>
      <c r="F24" s="44">
        <v>2382</v>
      </c>
      <c r="G24" s="44" t="s">
        <v>211</v>
      </c>
      <c r="H24" s="44" t="s">
        <v>198</v>
      </c>
      <c r="I24" s="1" t="str">
        <f t="shared" si="0"/>
        <v>July 2026</v>
      </c>
      <c r="J2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4" s="1">
        <f>IF(AND(RawData[[#This Row],[MatchFlag]]=1,COUNTIFS($G$2:G24,RawData[[#This Row],[Picker ID ]],$I$2:I24,RawData[[#This Row],[Month List]],$J$2:J24,1)=1),1,0)</f>
        <v>0</v>
      </c>
      <c r="L24" s="1">
        <f>IF(AND(RawData[[#This Row],[MatchFlag]]=1,COUNTIFS($H$2:H24,RawData[[#This Row],[Checker ID]],$I$2:I24,RawData[[#This Row],[Month List]],$J$2:J24,1)=1),1,0)</f>
        <v>0</v>
      </c>
    </row>
    <row r="25" spans="1:12" x14ac:dyDescent="0.25">
      <c r="A25" s="50">
        <v>46225</v>
      </c>
      <c r="B25" s="44">
        <v>2583197</v>
      </c>
      <c r="C25" s="47" t="s">
        <v>215</v>
      </c>
      <c r="D25" s="46">
        <v>4</v>
      </c>
      <c r="E25" s="44" t="s">
        <v>8</v>
      </c>
      <c r="F25" s="44">
        <v>2252</v>
      </c>
      <c r="G25" s="44" t="s">
        <v>185</v>
      </c>
      <c r="H25" s="44" t="s">
        <v>198</v>
      </c>
      <c r="I25" s="1" t="str">
        <f t="shared" si="0"/>
        <v>July 2026</v>
      </c>
      <c r="J2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5" s="1">
        <f>IF(AND(RawData[[#This Row],[MatchFlag]]=1,COUNTIFS($G$2:G25,RawData[[#This Row],[Picker ID ]],$I$2:I25,RawData[[#This Row],[Month List]],$J$2:J25,1)=1),1,0)</f>
        <v>0</v>
      </c>
      <c r="L25" s="1">
        <f>IF(AND(RawData[[#This Row],[MatchFlag]]=1,COUNTIFS($H$2:H25,RawData[[#This Row],[Checker ID]],$I$2:I25,RawData[[#This Row],[Month List]],$J$2:J25,1)=1),1,0)</f>
        <v>0</v>
      </c>
    </row>
    <row r="26" spans="1:12" x14ac:dyDescent="0.25">
      <c r="A26" s="50">
        <v>46225</v>
      </c>
      <c r="B26" s="44">
        <v>1796410</v>
      </c>
      <c r="C26" s="47" t="s">
        <v>216</v>
      </c>
      <c r="D26" s="46">
        <v>15</v>
      </c>
      <c r="E26" s="44" t="s">
        <v>9</v>
      </c>
      <c r="F26" s="44">
        <v>2286</v>
      </c>
      <c r="G26" s="44" t="s">
        <v>217</v>
      </c>
      <c r="H26" s="44" t="s">
        <v>186</v>
      </c>
      <c r="I26" s="1" t="str">
        <f t="shared" si="0"/>
        <v>July 2026</v>
      </c>
      <c r="J2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6" s="1">
        <f>IF(AND(RawData[[#This Row],[MatchFlag]]=1,COUNTIFS($G$2:G26,RawData[[#This Row],[Picker ID ]],$I$2:I26,RawData[[#This Row],[Month List]],$J$2:J26,1)=1),1,0)</f>
        <v>0</v>
      </c>
      <c r="L26" s="1">
        <f>IF(AND(RawData[[#This Row],[MatchFlag]]=1,COUNTIFS($H$2:H26,RawData[[#This Row],[Checker ID]],$I$2:I26,RawData[[#This Row],[Month List]],$J$2:J26,1)=1),1,0)</f>
        <v>0</v>
      </c>
    </row>
    <row r="27" spans="1:12" x14ac:dyDescent="0.25">
      <c r="A27" s="50">
        <v>46225</v>
      </c>
      <c r="B27" s="44">
        <v>2573740</v>
      </c>
      <c r="C27" s="47" t="s">
        <v>218</v>
      </c>
      <c r="D27" s="46">
        <v>6</v>
      </c>
      <c r="E27" s="44" t="s">
        <v>9</v>
      </c>
      <c r="F27" s="44">
        <v>2410</v>
      </c>
      <c r="G27" s="44" t="s">
        <v>219</v>
      </c>
      <c r="H27" s="44" t="s">
        <v>186</v>
      </c>
      <c r="I27" s="1" t="str">
        <f t="shared" si="0"/>
        <v>July 2026</v>
      </c>
      <c r="J2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7" s="1">
        <f>IF(AND(RawData[[#This Row],[MatchFlag]]=1,COUNTIFS($G$2:G27,RawData[[#This Row],[Picker ID ]],$I$2:I27,RawData[[#This Row],[Month List]],$J$2:J27,1)=1),1,0)</f>
        <v>0</v>
      </c>
      <c r="L27" s="1">
        <f>IF(AND(RawData[[#This Row],[MatchFlag]]=1,COUNTIFS($H$2:H27,RawData[[#This Row],[Checker ID]],$I$2:I27,RawData[[#This Row],[Month List]],$J$2:J27,1)=1),1,0)</f>
        <v>0</v>
      </c>
    </row>
    <row r="28" spans="1:12" x14ac:dyDescent="0.25">
      <c r="A28" s="50">
        <v>46225</v>
      </c>
      <c r="B28" s="44">
        <v>2334287</v>
      </c>
      <c r="C28" s="47" t="s">
        <v>220</v>
      </c>
      <c r="D28" s="46">
        <v>2</v>
      </c>
      <c r="E28" s="44" t="s">
        <v>9</v>
      </c>
      <c r="F28" s="44">
        <v>2255</v>
      </c>
      <c r="G28" s="44" t="s">
        <v>221</v>
      </c>
      <c r="H28" s="44" t="s">
        <v>200</v>
      </c>
      <c r="I28" s="1" t="str">
        <f t="shared" si="0"/>
        <v>July 2026</v>
      </c>
      <c r="J2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8" s="1">
        <f>IF(AND(RawData[[#This Row],[MatchFlag]]=1,COUNTIFS($G$2:G28,RawData[[#This Row],[Picker ID ]],$I$2:I28,RawData[[#This Row],[Month List]],$J$2:J28,1)=1),1,0)</f>
        <v>0</v>
      </c>
      <c r="L28" s="1">
        <f>IF(AND(RawData[[#This Row],[MatchFlag]]=1,COUNTIFS($H$2:H28,RawData[[#This Row],[Checker ID]],$I$2:I28,RawData[[#This Row],[Month List]],$J$2:J28,1)=1),1,0)</f>
        <v>0</v>
      </c>
    </row>
    <row r="29" spans="1:12" x14ac:dyDescent="0.25">
      <c r="A29" s="50">
        <v>46226</v>
      </c>
      <c r="B29" s="44">
        <v>2363619</v>
      </c>
      <c r="C29" s="47" t="s">
        <v>222</v>
      </c>
      <c r="D29" s="46">
        <v>20</v>
      </c>
      <c r="E29" s="44" t="s">
        <v>9</v>
      </c>
      <c r="F29" s="44">
        <v>2490</v>
      </c>
      <c r="G29" s="44" t="s">
        <v>223</v>
      </c>
      <c r="H29" s="44" t="s">
        <v>198</v>
      </c>
      <c r="I29" s="1" t="str">
        <f t="shared" si="0"/>
        <v>July 2026</v>
      </c>
      <c r="J2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29" s="1">
        <f>IF(AND(RawData[[#This Row],[MatchFlag]]=1,COUNTIFS($G$2:G29,RawData[[#This Row],[Picker ID ]],$I$2:I29,RawData[[#This Row],[Month List]],$J$2:J29,1)=1),1,0)</f>
        <v>0</v>
      </c>
      <c r="L29" s="1">
        <f>IF(AND(RawData[[#This Row],[MatchFlag]]=1,COUNTIFS($H$2:H29,RawData[[#This Row],[Checker ID]],$I$2:I29,RawData[[#This Row],[Month List]],$J$2:J29,1)=1),1,0)</f>
        <v>0</v>
      </c>
    </row>
    <row r="30" spans="1:12" x14ac:dyDescent="0.25">
      <c r="A30" s="50">
        <v>46226</v>
      </c>
      <c r="B30" s="44">
        <v>1209271</v>
      </c>
      <c r="C30" s="47" t="s">
        <v>224</v>
      </c>
      <c r="D30" s="46">
        <v>12</v>
      </c>
      <c r="E30" s="44" t="s">
        <v>9</v>
      </c>
      <c r="F30" s="44">
        <v>2344</v>
      </c>
      <c r="G30" s="44" t="s">
        <v>225</v>
      </c>
      <c r="H30" s="44" t="s">
        <v>172</v>
      </c>
      <c r="I30" s="1" t="str">
        <f t="shared" si="0"/>
        <v>July 2026</v>
      </c>
      <c r="J3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0" s="1">
        <f>IF(AND(RawData[[#This Row],[MatchFlag]]=1,COUNTIFS($G$2:G30,RawData[[#This Row],[Picker ID ]],$I$2:I30,RawData[[#This Row],[Month List]],$J$2:J30,1)=1),1,0)</f>
        <v>0</v>
      </c>
      <c r="L30" s="1">
        <f>IF(AND(RawData[[#This Row],[MatchFlag]]=1,COUNTIFS($H$2:H30,RawData[[#This Row],[Checker ID]],$I$2:I30,RawData[[#This Row],[Month List]],$J$2:J30,1)=1),1,0)</f>
        <v>0</v>
      </c>
    </row>
    <row r="31" spans="1:12" x14ac:dyDescent="0.25">
      <c r="A31" s="50">
        <v>46226</v>
      </c>
      <c r="B31" s="44">
        <v>437782</v>
      </c>
      <c r="C31" s="47" t="s">
        <v>226</v>
      </c>
      <c r="D31" s="46">
        <v>6</v>
      </c>
      <c r="E31" s="44" t="s">
        <v>8</v>
      </c>
      <c r="F31" s="44">
        <v>2490</v>
      </c>
      <c r="G31" s="44" t="s">
        <v>227</v>
      </c>
      <c r="H31" s="44" t="s">
        <v>186</v>
      </c>
      <c r="I31" s="1" t="str">
        <f t="shared" si="0"/>
        <v>July 2026</v>
      </c>
      <c r="J3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1" s="1">
        <f>IF(AND(RawData[[#This Row],[MatchFlag]]=1,COUNTIFS($G$2:G31,RawData[[#This Row],[Picker ID ]],$I$2:I31,RawData[[#This Row],[Month List]],$J$2:J31,1)=1),1,0)</f>
        <v>0</v>
      </c>
      <c r="L31" s="1">
        <f>IF(AND(RawData[[#This Row],[MatchFlag]]=1,COUNTIFS($H$2:H31,RawData[[#This Row],[Checker ID]],$I$2:I31,RawData[[#This Row],[Month List]],$J$2:J31,1)=1),1,0)</f>
        <v>0</v>
      </c>
    </row>
    <row r="32" spans="1:12" x14ac:dyDescent="0.25">
      <c r="A32" s="50">
        <v>46227</v>
      </c>
      <c r="B32" s="44">
        <v>2575152</v>
      </c>
      <c r="C32" s="47" t="s">
        <v>228</v>
      </c>
      <c r="D32" s="46">
        <v>50</v>
      </c>
      <c r="E32" s="44" t="s">
        <v>9</v>
      </c>
      <c r="F32" s="44">
        <v>2320</v>
      </c>
      <c r="G32" s="44" t="s">
        <v>204</v>
      </c>
      <c r="H32" s="44" t="s">
        <v>198</v>
      </c>
      <c r="I32" s="1" t="str">
        <f t="shared" si="0"/>
        <v>July 2026</v>
      </c>
      <c r="J3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2" s="1">
        <f>IF(AND(RawData[[#This Row],[MatchFlag]]=1,COUNTIFS($G$2:G32,RawData[[#This Row],[Picker ID ]],$I$2:I32,RawData[[#This Row],[Month List]],$J$2:J32,1)=1),1,0)</f>
        <v>0</v>
      </c>
      <c r="L32" s="1">
        <f>IF(AND(RawData[[#This Row],[MatchFlag]]=1,COUNTIFS($H$2:H32,RawData[[#This Row],[Checker ID]],$I$2:I32,RawData[[#This Row],[Month List]],$J$2:J32,1)=1),1,0)</f>
        <v>0</v>
      </c>
    </row>
    <row r="33" spans="1:12" x14ac:dyDescent="0.25">
      <c r="A33" s="50">
        <v>46228</v>
      </c>
      <c r="B33" s="44">
        <v>2535441</v>
      </c>
      <c r="C33" s="47" t="s">
        <v>229</v>
      </c>
      <c r="D33" s="46">
        <v>6</v>
      </c>
      <c r="E33" s="44" t="s">
        <v>9</v>
      </c>
      <c r="F33" s="44">
        <v>2410</v>
      </c>
      <c r="G33" s="44" t="s">
        <v>230</v>
      </c>
      <c r="H33" s="44" t="s">
        <v>198</v>
      </c>
      <c r="I33" s="1" t="str">
        <f t="shared" si="0"/>
        <v>July 2026</v>
      </c>
      <c r="J3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3" s="1">
        <f>IF(AND(RawData[[#This Row],[MatchFlag]]=1,COUNTIFS($G$2:G33,RawData[[#This Row],[Picker ID ]],$I$2:I33,RawData[[#This Row],[Month List]],$J$2:J33,1)=1),1,0)</f>
        <v>0</v>
      </c>
      <c r="L33" s="1">
        <f>IF(AND(RawData[[#This Row],[MatchFlag]]=1,COUNTIFS($H$2:H33,RawData[[#This Row],[Checker ID]],$I$2:I33,RawData[[#This Row],[Month List]],$J$2:J33,1)=1),1,0)</f>
        <v>0</v>
      </c>
    </row>
    <row r="34" spans="1:12" x14ac:dyDescent="0.25">
      <c r="A34" s="50">
        <v>46227</v>
      </c>
      <c r="B34" s="44">
        <v>17909</v>
      </c>
      <c r="C34" s="47" t="s">
        <v>231</v>
      </c>
      <c r="D34" s="46">
        <v>16</v>
      </c>
      <c r="E34" s="44" t="s">
        <v>9</v>
      </c>
      <c r="F34" s="44">
        <v>2344</v>
      </c>
      <c r="G34" s="44" t="s">
        <v>177</v>
      </c>
      <c r="H34" s="44" t="s">
        <v>200</v>
      </c>
      <c r="I34" s="1" t="str">
        <f t="shared" ref="I34:I65" si="1">IF(A34="","",TEXT(A34,"mmmm yyyy"))</f>
        <v>July 2026</v>
      </c>
      <c r="J3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4" s="1">
        <f>IF(AND(RawData[[#This Row],[MatchFlag]]=1,COUNTIFS($G$2:G34,RawData[[#This Row],[Picker ID ]],$I$2:I34,RawData[[#This Row],[Month List]],$J$2:J34,1)=1),1,0)</f>
        <v>0</v>
      </c>
      <c r="L34" s="1">
        <f>IF(AND(RawData[[#This Row],[MatchFlag]]=1,COUNTIFS($H$2:H34,RawData[[#This Row],[Checker ID]],$I$2:I34,RawData[[#This Row],[Month List]],$J$2:J34,1)=1),1,0)</f>
        <v>0</v>
      </c>
    </row>
    <row r="35" spans="1:12" x14ac:dyDescent="0.25">
      <c r="A35" s="50">
        <v>46227</v>
      </c>
      <c r="B35" s="44">
        <v>17198</v>
      </c>
      <c r="C35" s="47" t="s">
        <v>232</v>
      </c>
      <c r="D35" s="46">
        <v>8</v>
      </c>
      <c r="E35" s="44" t="s">
        <v>8</v>
      </c>
      <c r="F35" s="44">
        <v>2344</v>
      </c>
      <c r="G35" s="44" t="s">
        <v>177</v>
      </c>
      <c r="H35" s="44" t="s">
        <v>200</v>
      </c>
      <c r="I35" s="1" t="str">
        <f t="shared" si="1"/>
        <v>July 2026</v>
      </c>
      <c r="J3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5" s="1">
        <f>IF(AND(RawData[[#This Row],[MatchFlag]]=1,COUNTIFS($G$2:G35,RawData[[#This Row],[Picker ID ]],$I$2:I35,RawData[[#This Row],[Month List]],$J$2:J35,1)=1),1,0)</f>
        <v>0</v>
      </c>
      <c r="L35" s="1">
        <f>IF(AND(RawData[[#This Row],[MatchFlag]]=1,COUNTIFS($H$2:H35,RawData[[#This Row],[Checker ID]],$I$2:I35,RawData[[#This Row],[Month List]],$J$2:J35,1)=1),1,0)</f>
        <v>0</v>
      </c>
    </row>
    <row r="36" spans="1:12" x14ac:dyDescent="0.25">
      <c r="A36" s="50">
        <v>46227</v>
      </c>
      <c r="B36" s="44">
        <v>964460</v>
      </c>
      <c r="C36" s="47" t="s">
        <v>233</v>
      </c>
      <c r="D36" s="46">
        <v>12</v>
      </c>
      <c r="E36" s="44" t="s">
        <v>9</v>
      </c>
      <c r="F36" s="44">
        <v>2270</v>
      </c>
      <c r="G36" s="44" t="s">
        <v>234</v>
      </c>
      <c r="H36" s="44" t="s">
        <v>200</v>
      </c>
      <c r="I36" s="1" t="str">
        <f t="shared" si="1"/>
        <v>July 2026</v>
      </c>
      <c r="J3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6" s="1">
        <f>IF(AND(RawData[[#This Row],[MatchFlag]]=1,COUNTIFS($G$2:G36,RawData[[#This Row],[Picker ID ]],$I$2:I36,RawData[[#This Row],[Month List]],$J$2:J36,1)=1),1,0)</f>
        <v>0</v>
      </c>
      <c r="L36" s="1">
        <f>IF(AND(RawData[[#This Row],[MatchFlag]]=1,COUNTIFS($H$2:H36,RawData[[#This Row],[Checker ID]],$I$2:I36,RawData[[#This Row],[Month List]],$J$2:J36,1)=1),1,0)</f>
        <v>0</v>
      </c>
    </row>
    <row r="37" spans="1:12" x14ac:dyDescent="0.25">
      <c r="A37" s="49">
        <v>46228</v>
      </c>
      <c r="B37" s="44">
        <v>2619194</v>
      </c>
      <c r="C37" s="47" t="s">
        <v>235</v>
      </c>
      <c r="D37" s="46">
        <v>12</v>
      </c>
      <c r="E37" s="44" t="s">
        <v>9</v>
      </c>
      <c r="F37" s="44">
        <v>2390</v>
      </c>
      <c r="G37" s="44" t="s">
        <v>236</v>
      </c>
      <c r="H37" s="44" t="s">
        <v>198</v>
      </c>
      <c r="I37" s="1" t="str">
        <f t="shared" si="1"/>
        <v>July 2026</v>
      </c>
      <c r="J3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7" s="1">
        <f>IF(AND(RawData[[#This Row],[MatchFlag]]=1,COUNTIFS($G$2:G37,RawData[[#This Row],[Picker ID ]],$I$2:I37,RawData[[#This Row],[Month List]],$J$2:J37,1)=1),1,0)</f>
        <v>0</v>
      </c>
      <c r="L37" s="1">
        <f>IF(AND(RawData[[#This Row],[MatchFlag]]=1,COUNTIFS($H$2:H37,RawData[[#This Row],[Checker ID]],$I$2:I37,RawData[[#This Row],[Month List]],$J$2:J37,1)=1),1,0)</f>
        <v>0</v>
      </c>
    </row>
    <row r="38" spans="1:12" x14ac:dyDescent="0.25">
      <c r="A38" s="49">
        <v>46228</v>
      </c>
      <c r="B38" s="44">
        <v>2163222</v>
      </c>
      <c r="C38" s="47" t="s">
        <v>237</v>
      </c>
      <c r="D38" s="46">
        <v>12</v>
      </c>
      <c r="E38" s="44" t="s">
        <v>8</v>
      </c>
      <c r="F38" s="44">
        <v>2390</v>
      </c>
      <c r="G38" s="44" t="s">
        <v>236</v>
      </c>
      <c r="H38" s="44" t="s">
        <v>198</v>
      </c>
      <c r="I38" s="1" t="str">
        <f t="shared" si="1"/>
        <v>July 2026</v>
      </c>
      <c r="J3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8" s="1">
        <f>IF(AND(RawData[[#This Row],[MatchFlag]]=1,COUNTIFS($G$2:G38,RawData[[#This Row],[Picker ID ]],$I$2:I38,RawData[[#This Row],[Month List]],$J$2:J38,1)=1),1,0)</f>
        <v>0</v>
      </c>
      <c r="L38" s="1">
        <f>IF(AND(RawData[[#This Row],[MatchFlag]]=1,COUNTIFS($H$2:H38,RawData[[#This Row],[Checker ID]],$I$2:I38,RawData[[#This Row],[Month List]],$J$2:J38,1)=1),1,0)</f>
        <v>0</v>
      </c>
    </row>
    <row r="39" spans="1:12" x14ac:dyDescent="0.25">
      <c r="A39" s="49">
        <v>46227</v>
      </c>
      <c r="B39" s="44">
        <v>1864952</v>
      </c>
      <c r="C39" s="47" t="s">
        <v>238</v>
      </c>
      <c r="D39" s="46">
        <v>12</v>
      </c>
      <c r="E39" s="44" t="s">
        <v>9</v>
      </c>
      <c r="F39" s="44">
        <v>2270</v>
      </c>
      <c r="G39" s="44" t="s">
        <v>239</v>
      </c>
      <c r="H39" s="44" t="s">
        <v>186</v>
      </c>
      <c r="I39" s="1" t="str">
        <f t="shared" si="1"/>
        <v>July 2026</v>
      </c>
      <c r="J3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39" s="1">
        <f>IF(AND(RawData[[#This Row],[MatchFlag]]=1,COUNTIFS($G$2:G39,RawData[[#This Row],[Picker ID ]],$I$2:I39,RawData[[#This Row],[Month List]],$J$2:J39,1)=1),1,0)</f>
        <v>0</v>
      </c>
      <c r="L39" s="1">
        <f>IF(AND(RawData[[#This Row],[MatchFlag]]=1,COUNTIFS($H$2:H39,RawData[[#This Row],[Checker ID]],$I$2:I39,RawData[[#This Row],[Month List]],$J$2:J39,1)=1),1,0)</f>
        <v>0</v>
      </c>
    </row>
    <row r="40" spans="1:12" x14ac:dyDescent="0.25">
      <c r="A40" s="49">
        <v>46227</v>
      </c>
      <c r="B40" s="44">
        <v>2597662</v>
      </c>
      <c r="C40" s="47" t="s">
        <v>240</v>
      </c>
      <c r="D40" s="46">
        <v>12</v>
      </c>
      <c r="E40" s="44" t="s">
        <v>8</v>
      </c>
      <c r="F40" s="44">
        <v>2270</v>
      </c>
      <c r="G40" s="44" t="s">
        <v>239</v>
      </c>
      <c r="H40" s="44" t="s">
        <v>186</v>
      </c>
      <c r="I40" s="1" t="str">
        <f t="shared" si="1"/>
        <v>July 2026</v>
      </c>
      <c r="J4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0" s="1">
        <f>IF(AND(RawData[[#This Row],[MatchFlag]]=1,COUNTIFS($G$2:G40,RawData[[#This Row],[Picker ID ]],$I$2:I40,RawData[[#This Row],[Month List]],$J$2:J40,1)=1),1,0)</f>
        <v>0</v>
      </c>
      <c r="L40" s="1">
        <f>IF(AND(RawData[[#This Row],[MatchFlag]]=1,COUNTIFS($H$2:H40,RawData[[#This Row],[Checker ID]],$I$2:I40,RawData[[#This Row],[Month List]],$J$2:J40,1)=1),1,0)</f>
        <v>0</v>
      </c>
    </row>
    <row r="41" spans="1:12" x14ac:dyDescent="0.25">
      <c r="A41" s="49">
        <v>46229</v>
      </c>
      <c r="B41" s="44">
        <v>2331631</v>
      </c>
      <c r="C41" s="47" t="s">
        <v>241</v>
      </c>
      <c r="D41" s="46">
        <v>6</v>
      </c>
      <c r="E41" s="44" t="s">
        <v>9</v>
      </c>
      <c r="F41" s="44">
        <v>2392</v>
      </c>
      <c r="G41" s="44" t="s">
        <v>207</v>
      </c>
      <c r="H41" s="44" t="s">
        <v>172</v>
      </c>
      <c r="I41" s="1" t="str">
        <f t="shared" si="1"/>
        <v>July 2026</v>
      </c>
      <c r="J4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1" s="1">
        <f>IF(AND(RawData[[#This Row],[MatchFlag]]=1,COUNTIFS($G$2:G41,RawData[[#This Row],[Picker ID ]],$I$2:I41,RawData[[#This Row],[Month List]],$J$2:J41,1)=1),1,0)</f>
        <v>0</v>
      </c>
      <c r="L41" s="1">
        <f>IF(AND(RawData[[#This Row],[MatchFlag]]=1,COUNTIFS($H$2:H41,RawData[[#This Row],[Checker ID]],$I$2:I41,RawData[[#This Row],[Month List]],$J$2:J41,1)=1),1,0)</f>
        <v>0</v>
      </c>
    </row>
    <row r="42" spans="1:12" x14ac:dyDescent="0.25">
      <c r="A42" s="49">
        <v>46229</v>
      </c>
      <c r="B42" s="44">
        <v>2578796</v>
      </c>
      <c r="C42" s="47" t="s">
        <v>242</v>
      </c>
      <c r="D42" s="46">
        <v>24</v>
      </c>
      <c r="E42" s="44" t="s">
        <v>8</v>
      </c>
      <c r="F42" s="44">
        <v>2392</v>
      </c>
      <c r="G42" s="44" t="s">
        <v>207</v>
      </c>
      <c r="H42" s="44" t="s">
        <v>172</v>
      </c>
      <c r="I42" s="1" t="str">
        <f t="shared" si="1"/>
        <v>July 2026</v>
      </c>
      <c r="J4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2" s="1">
        <f>IF(AND(RawData[[#This Row],[MatchFlag]]=1,COUNTIFS($G$2:G42,RawData[[#This Row],[Picker ID ]],$I$2:I42,RawData[[#This Row],[Month List]],$J$2:J42,1)=1),1,0)</f>
        <v>0</v>
      </c>
      <c r="L42" s="1">
        <f>IF(AND(RawData[[#This Row],[MatchFlag]]=1,COUNTIFS($H$2:H42,RawData[[#This Row],[Checker ID]],$I$2:I42,RawData[[#This Row],[Month List]],$J$2:J42,1)=1),1,0)</f>
        <v>0</v>
      </c>
    </row>
    <row r="43" spans="1:12" x14ac:dyDescent="0.25">
      <c r="A43" s="49">
        <v>46230</v>
      </c>
      <c r="B43" s="44">
        <v>1247628</v>
      </c>
      <c r="C43" s="47" t="s">
        <v>243</v>
      </c>
      <c r="D43" s="46">
        <v>6</v>
      </c>
      <c r="E43" s="44" t="s">
        <v>9</v>
      </c>
      <c r="F43" s="44">
        <v>2270</v>
      </c>
      <c r="G43" s="44" t="s">
        <v>244</v>
      </c>
      <c r="H43" s="44" t="s">
        <v>186</v>
      </c>
      <c r="I43" s="1" t="str">
        <f t="shared" si="1"/>
        <v>July 2026</v>
      </c>
      <c r="J4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3" s="1">
        <f>IF(AND(RawData[[#This Row],[MatchFlag]]=1,COUNTIFS($G$2:G43,RawData[[#This Row],[Picker ID ]],$I$2:I43,RawData[[#This Row],[Month List]],$J$2:J43,1)=1),1,0)</f>
        <v>0</v>
      </c>
      <c r="L43" s="1">
        <f>IF(AND(RawData[[#This Row],[MatchFlag]]=1,COUNTIFS($H$2:H43,RawData[[#This Row],[Checker ID]],$I$2:I43,RawData[[#This Row],[Month List]],$J$2:J43,1)=1),1,0)</f>
        <v>0</v>
      </c>
    </row>
    <row r="44" spans="1:12" x14ac:dyDescent="0.25">
      <c r="A44" s="49">
        <v>46230</v>
      </c>
      <c r="B44" s="44">
        <v>357270</v>
      </c>
      <c r="C44" s="47" t="s">
        <v>245</v>
      </c>
      <c r="D44" s="46">
        <v>12</v>
      </c>
      <c r="E44" s="44" t="s">
        <v>9</v>
      </c>
      <c r="F44" s="44">
        <v>2380</v>
      </c>
      <c r="G44" s="44" t="s">
        <v>227</v>
      </c>
      <c r="H44" s="44" t="s">
        <v>186</v>
      </c>
      <c r="I44" s="1" t="str">
        <f t="shared" si="1"/>
        <v>July 2026</v>
      </c>
      <c r="J4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4" s="1">
        <f>IF(AND(RawData[[#This Row],[MatchFlag]]=1,COUNTIFS($G$2:G44,RawData[[#This Row],[Picker ID ]],$I$2:I44,RawData[[#This Row],[Month List]],$J$2:J44,1)=1),1,0)</f>
        <v>0</v>
      </c>
      <c r="L44" s="1">
        <f>IF(AND(RawData[[#This Row],[MatchFlag]]=1,COUNTIFS($H$2:H44,RawData[[#This Row],[Checker ID]],$I$2:I44,RawData[[#This Row],[Month List]],$J$2:J44,1)=1),1,0)</f>
        <v>0</v>
      </c>
    </row>
    <row r="45" spans="1:12" x14ac:dyDescent="0.25">
      <c r="A45" s="49">
        <v>46231</v>
      </c>
      <c r="B45" s="44">
        <v>2235166</v>
      </c>
      <c r="C45" s="47" t="s">
        <v>246</v>
      </c>
      <c r="D45" s="46">
        <v>4</v>
      </c>
      <c r="E45" s="44" t="s">
        <v>8</v>
      </c>
      <c r="F45" s="44">
        <v>2490</v>
      </c>
      <c r="G45" s="44" t="s">
        <v>271</v>
      </c>
      <c r="H45" s="44" t="s">
        <v>186</v>
      </c>
      <c r="I45" s="1" t="str">
        <f t="shared" si="1"/>
        <v>July 2026</v>
      </c>
      <c r="J4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5" s="1">
        <f>IF(AND(RawData[[#This Row],[MatchFlag]]=1,COUNTIFS($G$2:G45,RawData[[#This Row],[Picker ID ]],$I$2:I45,RawData[[#This Row],[Month List]],$J$2:J45,1)=1),1,0)</f>
        <v>0</v>
      </c>
      <c r="L45" s="1">
        <f>IF(AND(RawData[[#This Row],[MatchFlag]]=1,COUNTIFS($H$2:H45,RawData[[#This Row],[Checker ID]],$I$2:I45,RawData[[#This Row],[Month List]],$J$2:J45,1)=1),1,0)</f>
        <v>0</v>
      </c>
    </row>
    <row r="46" spans="1:12" x14ac:dyDescent="0.25">
      <c r="A46" s="50">
        <v>46232</v>
      </c>
      <c r="B46" s="44">
        <v>3223</v>
      </c>
      <c r="C46" s="44" t="s">
        <v>247</v>
      </c>
      <c r="D46" s="46">
        <v>10</v>
      </c>
      <c r="E46" s="44" t="s">
        <v>9</v>
      </c>
      <c r="F46" s="44">
        <v>2382</v>
      </c>
      <c r="G46" s="44" t="s">
        <v>271</v>
      </c>
      <c r="H46" s="44" t="s">
        <v>186</v>
      </c>
      <c r="I46" s="1" t="str">
        <f t="shared" si="1"/>
        <v>July 2026</v>
      </c>
      <c r="J4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6" s="1">
        <f>IF(AND(RawData[[#This Row],[MatchFlag]]=1,COUNTIFS($G$2:G46,RawData[[#This Row],[Picker ID ]],$I$2:I46,RawData[[#This Row],[Month List]],$J$2:J46,1)=1),1,0)</f>
        <v>0</v>
      </c>
      <c r="L46" s="1">
        <f>IF(AND(RawData[[#This Row],[MatchFlag]]=1,COUNTIFS($H$2:H46,RawData[[#This Row],[Checker ID]],$I$2:I46,RawData[[#This Row],[Month List]],$J$2:J46,1)=1),1,0)</f>
        <v>0</v>
      </c>
    </row>
    <row r="47" spans="1:12" x14ac:dyDescent="0.25">
      <c r="A47" s="50">
        <v>46232</v>
      </c>
      <c r="B47" s="44">
        <v>11407</v>
      </c>
      <c r="C47" s="47" t="s">
        <v>248</v>
      </c>
      <c r="D47" s="46">
        <v>18</v>
      </c>
      <c r="E47" s="44" t="s">
        <v>8</v>
      </c>
      <c r="F47" s="44">
        <v>2420</v>
      </c>
      <c r="G47" s="44" t="s">
        <v>249</v>
      </c>
      <c r="H47" s="44" t="s">
        <v>198</v>
      </c>
      <c r="I47" s="1" t="str">
        <f t="shared" si="1"/>
        <v>July 2026</v>
      </c>
      <c r="J4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7" s="1">
        <f>IF(AND(RawData[[#This Row],[MatchFlag]]=1,COUNTIFS($G$2:G47,RawData[[#This Row],[Picker ID ]],$I$2:I47,RawData[[#This Row],[Month List]],$J$2:J47,1)=1),1,0)</f>
        <v>0</v>
      </c>
      <c r="L47" s="1">
        <f>IF(AND(RawData[[#This Row],[MatchFlag]]=1,COUNTIFS($H$2:H47,RawData[[#This Row],[Checker ID]],$I$2:I47,RawData[[#This Row],[Month List]],$J$2:J47,1)=1),1,0)</f>
        <v>0</v>
      </c>
    </row>
    <row r="48" spans="1:12" x14ac:dyDescent="0.25">
      <c r="A48" s="50">
        <v>46233</v>
      </c>
      <c r="B48" s="44">
        <v>1057733</v>
      </c>
      <c r="C48" s="47" t="s">
        <v>250</v>
      </c>
      <c r="D48" s="46">
        <v>12</v>
      </c>
      <c r="E48" s="44" t="s">
        <v>8</v>
      </c>
      <c r="F48" s="44">
        <v>2255</v>
      </c>
      <c r="G48" s="44" t="s">
        <v>251</v>
      </c>
      <c r="H48" s="44" t="s">
        <v>252</v>
      </c>
      <c r="I48" s="1" t="str">
        <f t="shared" si="1"/>
        <v>July 2026</v>
      </c>
      <c r="J4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8" s="1">
        <f>IF(AND(RawData[[#This Row],[MatchFlag]]=1,COUNTIFS($G$2:G48,RawData[[#This Row],[Picker ID ]],$I$2:I48,RawData[[#This Row],[Month List]],$J$2:J48,1)=1),1,0)</f>
        <v>0</v>
      </c>
      <c r="L48" s="1">
        <f>IF(AND(RawData[[#This Row],[MatchFlag]]=1,COUNTIFS($H$2:H48,RawData[[#This Row],[Checker ID]],$I$2:I48,RawData[[#This Row],[Month List]],$J$2:J48,1)=1),1,0)</f>
        <v>0</v>
      </c>
    </row>
    <row r="49" spans="1:12" x14ac:dyDescent="0.25">
      <c r="A49" s="50">
        <v>46234</v>
      </c>
      <c r="B49" s="44">
        <v>726860</v>
      </c>
      <c r="C49" s="47" t="s">
        <v>253</v>
      </c>
      <c r="D49" s="46">
        <v>6</v>
      </c>
      <c r="E49" s="44" t="s">
        <v>9</v>
      </c>
      <c r="F49" s="44">
        <v>2286</v>
      </c>
      <c r="G49" s="44" t="s">
        <v>254</v>
      </c>
      <c r="H49" s="44" t="s">
        <v>252</v>
      </c>
      <c r="I49" s="1" t="str">
        <f t="shared" si="1"/>
        <v>July 2026</v>
      </c>
      <c r="J4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0</v>
      </c>
      <c r="K49" s="1">
        <f>IF(AND(RawData[[#This Row],[MatchFlag]]=1,COUNTIFS($G$2:G49,RawData[[#This Row],[Picker ID ]],$I$2:I49,RawData[[#This Row],[Month List]],$J$2:J49,1)=1),1,0)</f>
        <v>0</v>
      </c>
      <c r="L49" s="1">
        <f>IF(AND(RawData[[#This Row],[MatchFlag]]=1,COUNTIFS($H$2:H49,RawData[[#This Row],[Checker ID]],$I$2:I49,RawData[[#This Row],[Month List]],$J$2:J49,1)=1),1,0)</f>
        <v>0</v>
      </c>
    </row>
    <row r="50" spans="1:12" x14ac:dyDescent="0.25">
      <c r="A50" s="50">
        <v>46235</v>
      </c>
      <c r="B50" s="44">
        <v>899617</v>
      </c>
      <c r="C50" s="44" t="s">
        <v>255</v>
      </c>
      <c r="D50" s="46">
        <v>12</v>
      </c>
      <c r="E50" s="44" t="s">
        <v>9</v>
      </c>
      <c r="F50" s="44">
        <v>2382</v>
      </c>
      <c r="G50" s="44" t="s">
        <v>185</v>
      </c>
      <c r="H50" s="44" t="s">
        <v>198</v>
      </c>
      <c r="I50" s="1" t="str">
        <f t="shared" si="1"/>
        <v>August 2026</v>
      </c>
      <c r="J5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0" s="1">
        <f>IF(AND(RawData[[#This Row],[MatchFlag]]=1,COUNTIFS($G$2:G50,RawData[[#This Row],[Picker ID ]],$I$2:I50,RawData[[#This Row],[Month List]],$J$2:J50,1)=1),1,0)</f>
        <v>1</v>
      </c>
      <c r="L50" s="1">
        <f>IF(AND(RawData[[#This Row],[MatchFlag]]=1,COUNTIFS($H$2:H50,RawData[[#This Row],[Checker ID]],$I$2:I50,RawData[[#This Row],[Month List]],$J$2:J50,1)=1),1,0)</f>
        <v>1</v>
      </c>
    </row>
    <row r="51" spans="1:12" x14ac:dyDescent="0.25">
      <c r="A51" s="50">
        <v>46235</v>
      </c>
      <c r="B51" s="44">
        <v>1780037</v>
      </c>
      <c r="C51" s="44" t="s">
        <v>256</v>
      </c>
      <c r="D51" s="46">
        <v>6</v>
      </c>
      <c r="E51" s="44" t="s">
        <v>8</v>
      </c>
      <c r="F51" s="44">
        <v>2382</v>
      </c>
      <c r="G51" s="44" t="s">
        <v>185</v>
      </c>
      <c r="H51" s="44" t="s">
        <v>198</v>
      </c>
      <c r="I51" s="1" t="str">
        <f t="shared" si="1"/>
        <v>August 2026</v>
      </c>
      <c r="J5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1" s="1">
        <f>IF(AND(RawData[[#This Row],[MatchFlag]]=1,COUNTIFS($G$2:G51,RawData[[#This Row],[Picker ID ]],$I$2:I51,RawData[[#This Row],[Month List]],$J$2:J51,1)=1),1,0)</f>
        <v>0</v>
      </c>
      <c r="L51" s="1">
        <f>IF(AND(RawData[[#This Row],[MatchFlag]]=1,COUNTIFS($H$2:H51,RawData[[#This Row],[Checker ID]],$I$2:I51,RawData[[#This Row],[Month List]],$J$2:J51,1)=1),1,0)</f>
        <v>0</v>
      </c>
    </row>
    <row r="52" spans="1:12" x14ac:dyDescent="0.25">
      <c r="A52" s="50">
        <v>46235</v>
      </c>
      <c r="B52" s="44">
        <v>1533197</v>
      </c>
      <c r="C52" s="47" t="s">
        <v>258</v>
      </c>
      <c r="D52" s="46">
        <v>32</v>
      </c>
      <c r="E52" s="44" t="s">
        <v>9</v>
      </c>
      <c r="F52" s="44">
        <v>2410</v>
      </c>
      <c r="G52" s="44" t="s">
        <v>236</v>
      </c>
      <c r="H52" s="44" t="s">
        <v>252</v>
      </c>
      <c r="I52" s="1" t="str">
        <f t="shared" si="1"/>
        <v>August 2026</v>
      </c>
      <c r="J5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2" s="1">
        <f>IF(AND(RawData[[#This Row],[MatchFlag]]=1,COUNTIFS($G$2:G52,RawData[[#This Row],[Picker ID ]],$I$2:I52,RawData[[#This Row],[Month List]],$J$2:J52,1)=1),1,0)</f>
        <v>1</v>
      </c>
      <c r="L52" s="1">
        <f>IF(AND(RawData[[#This Row],[MatchFlag]]=1,COUNTIFS($H$2:H52,RawData[[#This Row],[Checker ID]],$I$2:I52,RawData[[#This Row],[Month List]],$J$2:J52,1)=1),1,0)</f>
        <v>1</v>
      </c>
    </row>
    <row r="53" spans="1:12" x14ac:dyDescent="0.25">
      <c r="A53" s="50">
        <v>46235</v>
      </c>
      <c r="B53" s="44">
        <v>20166</v>
      </c>
      <c r="C53" s="47" t="s">
        <v>259</v>
      </c>
      <c r="D53" s="46">
        <v>1</v>
      </c>
      <c r="E53" s="44" t="s">
        <v>8</v>
      </c>
      <c r="F53" s="44">
        <v>2275</v>
      </c>
      <c r="G53" s="44" t="s">
        <v>260</v>
      </c>
      <c r="H53" s="44" t="s">
        <v>172</v>
      </c>
      <c r="I53" s="1" t="str">
        <f t="shared" si="1"/>
        <v>August 2026</v>
      </c>
      <c r="J5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3" s="1">
        <f>IF(AND(RawData[[#This Row],[MatchFlag]]=1,COUNTIFS($G$2:G53,RawData[[#This Row],[Picker ID ]],$I$2:I53,RawData[[#This Row],[Month List]],$J$2:J53,1)=1),1,0)</f>
        <v>1</v>
      </c>
      <c r="L53" s="1">
        <f>IF(AND(RawData[[#This Row],[MatchFlag]]=1,COUNTIFS($H$2:H53,RawData[[#This Row],[Checker ID]],$I$2:I53,RawData[[#This Row],[Month List]],$J$2:J53,1)=1),1,0)</f>
        <v>1</v>
      </c>
    </row>
    <row r="54" spans="1:12" x14ac:dyDescent="0.25">
      <c r="A54" s="50">
        <v>46235</v>
      </c>
      <c r="B54" s="44">
        <v>1608806</v>
      </c>
      <c r="C54" s="47" t="s">
        <v>261</v>
      </c>
      <c r="D54" s="46">
        <v>12</v>
      </c>
      <c r="E54" s="44" t="s">
        <v>9</v>
      </c>
      <c r="F54" s="44">
        <v>2575</v>
      </c>
      <c r="G54" s="44" t="s">
        <v>262</v>
      </c>
      <c r="H54" s="44" t="s">
        <v>172</v>
      </c>
      <c r="I54" s="1" t="str">
        <f t="shared" si="1"/>
        <v>August 2026</v>
      </c>
      <c r="J5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4" s="1">
        <f>IF(AND(RawData[[#This Row],[MatchFlag]]=1,COUNTIFS($G$2:G54,RawData[[#This Row],[Picker ID ]],$I$2:I54,RawData[[#This Row],[Month List]],$J$2:J54,1)=1),1,0)</f>
        <v>1</v>
      </c>
      <c r="L54" s="1">
        <f>IF(AND(RawData[[#This Row],[MatchFlag]]=1,COUNTIFS($H$2:H54,RawData[[#This Row],[Checker ID]],$I$2:I54,RawData[[#This Row],[Month List]],$J$2:J54,1)=1),1,0)</f>
        <v>0</v>
      </c>
    </row>
    <row r="55" spans="1:12" x14ac:dyDescent="0.25">
      <c r="A55" s="50">
        <v>46235</v>
      </c>
      <c r="B55" s="44">
        <v>1423362</v>
      </c>
      <c r="C55" s="47" t="s">
        <v>257</v>
      </c>
      <c r="D55" s="46">
        <v>12</v>
      </c>
      <c r="E55" s="44" t="s">
        <v>8</v>
      </c>
      <c r="F55" s="44">
        <v>2300</v>
      </c>
      <c r="G55" s="44" t="s">
        <v>171</v>
      </c>
      <c r="H55" s="44" t="s">
        <v>252</v>
      </c>
      <c r="I55" s="1" t="str">
        <f t="shared" si="1"/>
        <v>August 2026</v>
      </c>
      <c r="J5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5" s="1">
        <f>IF(AND(RawData[[#This Row],[MatchFlag]]=1,COUNTIFS($G$2:G55,RawData[[#This Row],[Picker ID ]],$I$2:I55,RawData[[#This Row],[Month List]],$J$2:J55,1)=1),1,0)</f>
        <v>1</v>
      </c>
      <c r="L55" s="1">
        <f>IF(AND(RawData[[#This Row],[MatchFlag]]=1,COUNTIFS($H$2:H55,RawData[[#This Row],[Checker ID]],$I$2:I55,RawData[[#This Row],[Month List]],$J$2:J55,1)=1),1,0)</f>
        <v>0</v>
      </c>
    </row>
    <row r="56" spans="1:12" x14ac:dyDescent="0.25">
      <c r="A56" s="50">
        <v>46235</v>
      </c>
      <c r="B56" s="44">
        <v>73522</v>
      </c>
      <c r="C56" s="47" t="s">
        <v>263</v>
      </c>
      <c r="D56" s="46">
        <v>12</v>
      </c>
      <c r="E56" s="44" t="s">
        <v>9</v>
      </c>
      <c r="F56" s="44">
        <v>2390</v>
      </c>
      <c r="G56" s="44" t="s">
        <v>251</v>
      </c>
      <c r="H56" s="44" t="s">
        <v>186</v>
      </c>
      <c r="I56" s="1" t="str">
        <f t="shared" si="1"/>
        <v>August 2026</v>
      </c>
      <c r="J5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6" s="1">
        <f>IF(AND(RawData[[#This Row],[MatchFlag]]=1,COUNTIFS($G$2:G56,RawData[[#This Row],[Picker ID ]],$I$2:I56,RawData[[#This Row],[Month List]],$J$2:J56,1)=1),1,0)</f>
        <v>1</v>
      </c>
      <c r="L56" s="1">
        <f>IF(AND(RawData[[#This Row],[MatchFlag]]=1,COUNTIFS($H$2:H56,RawData[[#This Row],[Checker ID]],$I$2:I56,RawData[[#This Row],[Month List]],$J$2:J56,1)=1),1,0)</f>
        <v>1</v>
      </c>
    </row>
    <row r="57" spans="1:12" x14ac:dyDescent="0.25">
      <c r="A57" s="50">
        <v>46235</v>
      </c>
      <c r="B57" s="44">
        <v>648787</v>
      </c>
      <c r="C57" s="47" t="s">
        <v>264</v>
      </c>
      <c r="D57" s="46">
        <v>12</v>
      </c>
      <c r="E57" s="44" t="s">
        <v>9</v>
      </c>
      <c r="F57" s="44">
        <v>2255</v>
      </c>
      <c r="G57" s="44" t="s">
        <v>179</v>
      </c>
      <c r="H57" s="44" t="s">
        <v>186</v>
      </c>
      <c r="I57" s="1" t="str">
        <f t="shared" si="1"/>
        <v>August 2026</v>
      </c>
      <c r="J5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7" s="1">
        <f>IF(AND(RawData[[#This Row],[MatchFlag]]=1,COUNTIFS($G$2:G57,RawData[[#This Row],[Picker ID ]],$I$2:I57,RawData[[#This Row],[Month List]],$J$2:J57,1)=1),1,0)</f>
        <v>1</v>
      </c>
      <c r="L57" s="1">
        <f>IF(AND(RawData[[#This Row],[MatchFlag]]=1,COUNTIFS($H$2:H57,RawData[[#This Row],[Checker ID]],$I$2:I57,RawData[[#This Row],[Month List]],$J$2:J57,1)=1),1,0)</f>
        <v>0</v>
      </c>
    </row>
    <row r="58" spans="1:12" x14ac:dyDescent="0.25">
      <c r="A58" s="50">
        <v>46236</v>
      </c>
      <c r="B58" s="44">
        <v>1815319</v>
      </c>
      <c r="C58" s="47" t="s">
        <v>265</v>
      </c>
      <c r="D58" s="46">
        <v>3</v>
      </c>
      <c r="E58" s="44" t="s">
        <v>8</v>
      </c>
      <c r="F58" s="44">
        <v>2560</v>
      </c>
      <c r="G58" s="44" t="s">
        <v>204</v>
      </c>
      <c r="H58" s="44" t="s">
        <v>186</v>
      </c>
      <c r="I58" s="1" t="str">
        <f t="shared" si="1"/>
        <v>August 2026</v>
      </c>
      <c r="J5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8" s="1">
        <f>IF(AND(RawData[[#This Row],[MatchFlag]]=1,COUNTIFS($G$2:G58,RawData[[#This Row],[Picker ID ]],$I$2:I58,RawData[[#This Row],[Month List]],$J$2:J58,1)=1),1,0)</f>
        <v>1</v>
      </c>
      <c r="L58" s="1">
        <f>IF(AND(RawData[[#This Row],[MatchFlag]]=1,COUNTIFS($H$2:H58,RawData[[#This Row],[Checker ID]],$I$2:I58,RawData[[#This Row],[Month List]],$J$2:J58,1)=1),1,0)</f>
        <v>0</v>
      </c>
    </row>
    <row r="59" spans="1:12" x14ac:dyDescent="0.25">
      <c r="A59" s="50">
        <v>46236</v>
      </c>
      <c r="B59" s="44">
        <v>1607617</v>
      </c>
      <c r="C59" s="47" t="s">
        <v>266</v>
      </c>
      <c r="D59" s="46">
        <v>12</v>
      </c>
      <c r="E59" s="44" t="s">
        <v>9</v>
      </c>
      <c r="F59" s="44">
        <v>2392</v>
      </c>
      <c r="G59" s="44" t="s">
        <v>260</v>
      </c>
      <c r="H59" s="44" t="s">
        <v>252</v>
      </c>
      <c r="I59" s="1" t="str">
        <f t="shared" si="1"/>
        <v>August 2026</v>
      </c>
      <c r="J5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59" s="1">
        <f>IF(AND(RawData[[#This Row],[MatchFlag]]=1,COUNTIFS($G$2:G59,RawData[[#This Row],[Picker ID ]],$I$2:I59,RawData[[#This Row],[Month List]],$J$2:J59,1)=1),1,0)</f>
        <v>0</v>
      </c>
      <c r="L59" s="1">
        <f>IF(AND(RawData[[#This Row],[MatchFlag]]=1,COUNTIFS($H$2:H59,RawData[[#This Row],[Checker ID]],$I$2:I59,RawData[[#This Row],[Month List]],$J$2:J59,1)=1),1,0)</f>
        <v>0</v>
      </c>
    </row>
    <row r="60" spans="1:12" x14ac:dyDescent="0.25">
      <c r="A60" s="50">
        <v>46237</v>
      </c>
      <c r="B60" s="44">
        <v>861823</v>
      </c>
      <c r="C60" s="47" t="s">
        <v>267</v>
      </c>
      <c r="D60" s="46">
        <v>8</v>
      </c>
      <c r="E60" s="44" t="s">
        <v>9</v>
      </c>
      <c r="F60" s="44">
        <v>2437</v>
      </c>
      <c r="G60" s="44" t="s">
        <v>268</v>
      </c>
      <c r="H60" s="44" t="s">
        <v>252</v>
      </c>
      <c r="I60" s="1" t="str">
        <f t="shared" si="1"/>
        <v>August 2026</v>
      </c>
      <c r="J6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0" s="1">
        <f>IF(AND(RawData[[#This Row],[MatchFlag]]=1,COUNTIFS($G$2:G60,RawData[[#This Row],[Picker ID ]],$I$2:I60,RawData[[#This Row],[Month List]],$J$2:J60,1)=1),1,0)</f>
        <v>1</v>
      </c>
      <c r="L60" s="1">
        <f>IF(AND(RawData[[#This Row],[MatchFlag]]=1,COUNTIFS($H$2:H60,RawData[[#This Row],[Checker ID]],$I$2:I60,RawData[[#This Row],[Month List]],$J$2:J60,1)=1),1,0)</f>
        <v>0</v>
      </c>
    </row>
    <row r="61" spans="1:12" x14ac:dyDescent="0.25">
      <c r="A61" s="50">
        <v>46237</v>
      </c>
      <c r="B61" s="44">
        <v>1411005</v>
      </c>
      <c r="C61" s="47" t="s">
        <v>269</v>
      </c>
      <c r="D61" s="46">
        <v>8</v>
      </c>
      <c r="E61" s="44" t="s">
        <v>9</v>
      </c>
      <c r="F61" s="44">
        <v>2331</v>
      </c>
      <c r="G61" s="44" t="s">
        <v>260</v>
      </c>
      <c r="H61" s="44" t="s">
        <v>172</v>
      </c>
      <c r="I61" s="1" t="str">
        <f t="shared" si="1"/>
        <v>August 2026</v>
      </c>
      <c r="J6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1" s="1">
        <f>IF(AND(RawData[[#This Row],[MatchFlag]]=1,COUNTIFS($G$2:G61,RawData[[#This Row],[Picker ID ]],$I$2:I61,RawData[[#This Row],[Month List]],$J$2:J61,1)=1),1,0)</f>
        <v>0</v>
      </c>
      <c r="L61" s="1">
        <f>IF(AND(RawData[[#This Row],[MatchFlag]]=1,COUNTIFS($H$2:H61,RawData[[#This Row],[Checker ID]],$I$2:I61,RawData[[#This Row],[Month List]],$J$2:J61,1)=1),1,0)</f>
        <v>0</v>
      </c>
    </row>
    <row r="62" spans="1:12" x14ac:dyDescent="0.25">
      <c r="A62" s="50">
        <v>46239</v>
      </c>
      <c r="B62" s="44">
        <v>1989893</v>
      </c>
      <c r="C62" s="47" t="s">
        <v>270</v>
      </c>
      <c r="D62" s="46">
        <v>3</v>
      </c>
      <c r="E62" s="44" t="s">
        <v>9</v>
      </c>
      <c r="F62" s="44">
        <v>2252</v>
      </c>
      <c r="G62" s="44" t="s">
        <v>271</v>
      </c>
      <c r="H62" s="44" t="s">
        <v>252</v>
      </c>
      <c r="I62" s="1" t="str">
        <f t="shared" si="1"/>
        <v>August 2026</v>
      </c>
      <c r="J6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2" s="1">
        <f>IF(AND(RawData[[#This Row],[MatchFlag]]=1,COUNTIFS($G$2:G62,RawData[[#This Row],[Picker ID ]],$I$2:I62,RawData[[#This Row],[Month List]],$J$2:J62,1)=1),1,0)</f>
        <v>1</v>
      </c>
      <c r="L62" s="1">
        <f>IF(AND(RawData[[#This Row],[MatchFlag]]=1,COUNTIFS($H$2:H62,RawData[[#This Row],[Checker ID]],$I$2:I62,RawData[[#This Row],[Month List]],$J$2:J62,1)=1),1,0)</f>
        <v>0</v>
      </c>
    </row>
    <row r="63" spans="1:12" x14ac:dyDescent="0.25">
      <c r="A63" s="50">
        <v>46239</v>
      </c>
      <c r="B63" s="44">
        <v>11407</v>
      </c>
      <c r="C63" s="47" t="s">
        <v>248</v>
      </c>
      <c r="D63" s="46">
        <v>1</v>
      </c>
      <c r="E63" s="44" t="s">
        <v>9</v>
      </c>
      <c r="F63" s="44">
        <v>2575</v>
      </c>
      <c r="G63" s="44" t="s">
        <v>202</v>
      </c>
      <c r="H63" s="44" t="s">
        <v>172</v>
      </c>
      <c r="I63" s="1" t="str">
        <f t="shared" si="1"/>
        <v>August 2026</v>
      </c>
      <c r="J6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3" s="1">
        <f>IF(AND(RawData[[#This Row],[MatchFlag]]=1,COUNTIFS($G$2:G63,RawData[[#This Row],[Picker ID ]],$I$2:I63,RawData[[#This Row],[Month List]],$J$2:J63,1)=1),1,0)</f>
        <v>1</v>
      </c>
      <c r="L63" s="1">
        <f>IF(AND(RawData[[#This Row],[MatchFlag]]=1,COUNTIFS($H$2:H63,RawData[[#This Row],[Checker ID]],$I$2:I63,RawData[[#This Row],[Month List]],$J$2:J63,1)=1),1,0)</f>
        <v>0</v>
      </c>
    </row>
    <row r="64" spans="1:12" x14ac:dyDescent="0.25">
      <c r="A64" s="50">
        <v>46240</v>
      </c>
      <c r="B64" s="44">
        <v>1464378</v>
      </c>
      <c r="C64" s="47" t="s">
        <v>272</v>
      </c>
      <c r="D64" s="46">
        <v>6</v>
      </c>
      <c r="E64" s="44" t="s">
        <v>8</v>
      </c>
      <c r="F64" s="44">
        <v>2332</v>
      </c>
      <c r="G64" s="44" t="s">
        <v>273</v>
      </c>
      <c r="H64" s="44" t="s">
        <v>172</v>
      </c>
      <c r="I64" s="1" t="str">
        <f t="shared" si="1"/>
        <v>August 2026</v>
      </c>
      <c r="J6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4" s="1">
        <f>IF(AND(RawData[[#This Row],[MatchFlag]]=1,COUNTIFS($G$2:G64,RawData[[#This Row],[Picker ID ]],$I$2:I64,RawData[[#This Row],[Month List]],$J$2:J64,1)=1),1,0)</f>
        <v>1</v>
      </c>
      <c r="L64" s="1">
        <f>IF(AND(RawData[[#This Row],[MatchFlag]]=1,COUNTIFS($H$2:H64,RawData[[#This Row],[Checker ID]],$I$2:I64,RawData[[#This Row],[Month List]],$J$2:J64,1)=1),1,0)</f>
        <v>0</v>
      </c>
    </row>
    <row r="65" spans="1:12" x14ac:dyDescent="0.25">
      <c r="A65" s="50">
        <v>46240</v>
      </c>
      <c r="B65" s="44">
        <v>1344332</v>
      </c>
      <c r="C65" s="47" t="s">
        <v>274</v>
      </c>
      <c r="D65" s="46">
        <v>6</v>
      </c>
      <c r="E65" s="44" t="s">
        <v>9</v>
      </c>
      <c r="F65" s="44">
        <v>2332</v>
      </c>
      <c r="G65" s="44" t="s">
        <v>273</v>
      </c>
      <c r="H65" s="44" t="s">
        <v>172</v>
      </c>
      <c r="I65" s="1" t="str">
        <f t="shared" si="1"/>
        <v>August 2026</v>
      </c>
      <c r="J6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5" s="1">
        <f>IF(AND(RawData[[#This Row],[MatchFlag]]=1,COUNTIFS($G$2:G65,RawData[[#This Row],[Picker ID ]],$I$2:I65,RawData[[#This Row],[Month List]],$J$2:J65,1)=1),1,0)</f>
        <v>0</v>
      </c>
      <c r="L65" s="1">
        <f>IF(AND(RawData[[#This Row],[MatchFlag]]=1,COUNTIFS($H$2:H65,RawData[[#This Row],[Checker ID]],$I$2:I65,RawData[[#This Row],[Month List]],$J$2:J65,1)=1),1,0)</f>
        <v>0</v>
      </c>
    </row>
    <row r="66" spans="1:12" x14ac:dyDescent="0.25">
      <c r="A66" s="50">
        <v>46240</v>
      </c>
      <c r="B66" s="44">
        <v>1348596</v>
      </c>
      <c r="C66" s="47" t="s">
        <v>275</v>
      </c>
      <c r="D66" s="46">
        <v>1</v>
      </c>
      <c r="E66" s="44" t="s">
        <v>8</v>
      </c>
      <c r="F66" s="44">
        <v>2255</v>
      </c>
      <c r="G66" s="44" t="s">
        <v>276</v>
      </c>
      <c r="H66" s="44" t="s">
        <v>200</v>
      </c>
      <c r="I66" s="1" t="str">
        <f t="shared" ref="I66:I90" si="2">IF(A66="","",TEXT(A66,"mmmm yyyy"))</f>
        <v>August 2026</v>
      </c>
      <c r="J6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6" s="1">
        <f>IF(AND(RawData[[#This Row],[MatchFlag]]=1,COUNTIFS($G$2:G66,RawData[[#This Row],[Picker ID ]],$I$2:I66,RawData[[#This Row],[Month List]],$J$2:J66,1)=1),1,0)</f>
        <v>1</v>
      </c>
      <c r="L66" s="1">
        <f>IF(AND(RawData[[#This Row],[MatchFlag]]=1,COUNTIFS($H$2:H66,RawData[[#This Row],[Checker ID]],$I$2:I66,RawData[[#This Row],[Month List]],$J$2:J66,1)=1),1,0)</f>
        <v>1</v>
      </c>
    </row>
    <row r="67" spans="1:12" x14ac:dyDescent="0.25">
      <c r="A67" s="50">
        <v>46240</v>
      </c>
      <c r="B67" s="44">
        <v>1261507</v>
      </c>
      <c r="C67" s="47" t="s">
        <v>278</v>
      </c>
      <c r="D67" s="46">
        <v>12</v>
      </c>
      <c r="E67" s="44" t="s">
        <v>8</v>
      </c>
      <c r="F67" s="44">
        <v>2300</v>
      </c>
      <c r="G67" s="44" t="s">
        <v>279</v>
      </c>
      <c r="H67" s="44" t="s">
        <v>172</v>
      </c>
      <c r="I67" s="1" t="str">
        <f t="shared" si="2"/>
        <v>August 2026</v>
      </c>
      <c r="J6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7" s="1">
        <f>IF(AND(RawData[[#This Row],[MatchFlag]]=1,COUNTIFS($G$2:G67,RawData[[#This Row],[Picker ID ]],$I$2:I67,RawData[[#This Row],[Month List]],$J$2:J67,1)=1),1,0)</f>
        <v>1</v>
      </c>
      <c r="L67" s="1">
        <f>IF(AND(RawData[[#This Row],[MatchFlag]]=1,COUNTIFS($H$2:H67,RawData[[#This Row],[Checker ID]],$I$2:I67,RawData[[#This Row],[Month List]],$J$2:J67,1)=1),1,0)</f>
        <v>0</v>
      </c>
    </row>
    <row r="68" spans="1:12" x14ac:dyDescent="0.25">
      <c r="A68" s="50">
        <v>46240</v>
      </c>
      <c r="B68" s="44">
        <v>1317432</v>
      </c>
      <c r="C68" s="47" t="s">
        <v>280</v>
      </c>
      <c r="D68" s="46">
        <v>12</v>
      </c>
      <c r="E68" s="44" t="s">
        <v>9</v>
      </c>
      <c r="F68" s="44">
        <v>2300</v>
      </c>
      <c r="G68" s="44" t="s">
        <v>279</v>
      </c>
      <c r="H68" s="44" t="s">
        <v>172</v>
      </c>
      <c r="I68" s="1" t="str">
        <f t="shared" si="2"/>
        <v>August 2026</v>
      </c>
      <c r="J6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8" s="1">
        <f>IF(AND(RawData[[#This Row],[MatchFlag]]=1,COUNTIFS($G$2:G68,RawData[[#This Row],[Picker ID ]],$I$2:I68,RawData[[#This Row],[Month List]],$J$2:J68,1)=1),1,0)</f>
        <v>0</v>
      </c>
      <c r="L68" s="1">
        <f>IF(AND(RawData[[#This Row],[MatchFlag]]=1,COUNTIFS($H$2:H68,RawData[[#This Row],[Checker ID]],$I$2:I68,RawData[[#This Row],[Month List]],$J$2:J68,1)=1),1,0)</f>
        <v>0</v>
      </c>
    </row>
    <row r="69" spans="1:12" x14ac:dyDescent="0.25">
      <c r="A69" s="50">
        <v>46241</v>
      </c>
      <c r="B69" s="44">
        <v>837191</v>
      </c>
      <c r="C69" s="47" t="s">
        <v>281</v>
      </c>
      <c r="D69" s="46">
        <v>5</v>
      </c>
      <c r="E69" s="44" t="s">
        <v>9</v>
      </c>
      <c r="F69" s="44">
        <v>2350</v>
      </c>
      <c r="G69" s="44" t="s">
        <v>188</v>
      </c>
      <c r="H69" s="44" t="s">
        <v>198</v>
      </c>
      <c r="I69" s="1" t="str">
        <f t="shared" si="2"/>
        <v>August 2026</v>
      </c>
      <c r="J6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69" s="1">
        <f>IF(AND(RawData[[#This Row],[MatchFlag]]=1,COUNTIFS($G$2:G69,RawData[[#This Row],[Picker ID ]],$I$2:I69,RawData[[#This Row],[Month List]],$J$2:J69,1)=1),1,0)</f>
        <v>1</v>
      </c>
      <c r="L69" s="1">
        <f>IF(AND(RawData[[#This Row],[MatchFlag]]=1,COUNTIFS($H$2:H69,RawData[[#This Row],[Checker ID]],$I$2:I69,RawData[[#This Row],[Month List]],$J$2:J69,1)=1),1,0)</f>
        <v>0</v>
      </c>
    </row>
    <row r="70" spans="1:12" x14ac:dyDescent="0.25">
      <c r="A70" s="50">
        <v>46241</v>
      </c>
      <c r="B70" s="44">
        <v>1629720</v>
      </c>
      <c r="C70" s="47" t="s">
        <v>282</v>
      </c>
      <c r="D70" s="46">
        <v>5</v>
      </c>
      <c r="E70" s="44" t="s">
        <v>9</v>
      </c>
      <c r="F70" s="44">
        <v>2575</v>
      </c>
      <c r="G70" s="44" t="s">
        <v>202</v>
      </c>
      <c r="H70" s="44" t="s">
        <v>252</v>
      </c>
      <c r="I70" s="1" t="str">
        <f t="shared" si="2"/>
        <v>August 2026</v>
      </c>
      <c r="J7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0" s="1">
        <f>IF(AND(RawData[[#This Row],[MatchFlag]]=1,COUNTIFS($G$2:G70,RawData[[#This Row],[Picker ID ]],$I$2:I70,RawData[[#This Row],[Month List]],$J$2:J70,1)=1),1,0)</f>
        <v>0</v>
      </c>
      <c r="L70" s="1">
        <f>IF(AND(RawData[[#This Row],[MatchFlag]]=1,COUNTIFS($H$2:H70,RawData[[#This Row],[Checker ID]],$I$2:I70,RawData[[#This Row],[Month List]],$J$2:J70,1)=1),1,0)</f>
        <v>0</v>
      </c>
    </row>
    <row r="71" spans="1:12" x14ac:dyDescent="0.25">
      <c r="A71" s="50">
        <v>46242</v>
      </c>
      <c r="B71" s="44">
        <v>2021203</v>
      </c>
      <c r="C71" s="47" t="s">
        <v>283</v>
      </c>
      <c r="D71" s="46">
        <v>18</v>
      </c>
      <c r="E71" s="44" t="s">
        <v>9</v>
      </c>
      <c r="F71" s="44">
        <v>2270</v>
      </c>
      <c r="G71" s="44" t="s">
        <v>284</v>
      </c>
      <c r="H71" s="44" t="s">
        <v>198</v>
      </c>
      <c r="I71" s="1" t="str">
        <f t="shared" si="2"/>
        <v>August 2026</v>
      </c>
      <c r="J7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1" s="1">
        <f>IF(AND(RawData[[#This Row],[MatchFlag]]=1,COUNTIFS($G$2:G71,RawData[[#This Row],[Picker ID ]],$I$2:I71,RawData[[#This Row],[Month List]],$J$2:J71,1)=1),1,0)</f>
        <v>1</v>
      </c>
      <c r="L71" s="1">
        <f>IF(AND(RawData[[#This Row],[MatchFlag]]=1,COUNTIFS($H$2:H71,RawData[[#This Row],[Checker ID]],$I$2:I71,RawData[[#This Row],[Month List]],$J$2:J71,1)=1),1,0)</f>
        <v>0</v>
      </c>
    </row>
    <row r="72" spans="1:12" x14ac:dyDescent="0.25">
      <c r="A72" s="50">
        <v>46244</v>
      </c>
      <c r="B72" s="44">
        <v>49148</v>
      </c>
      <c r="C72" s="47" t="s">
        <v>285</v>
      </c>
      <c r="D72" s="46">
        <v>1</v>
      </c>
      <c r="E72" s="44" t="s">
        <v>8</v>
      </c>
      <c r="F72" s="44">
        <v>2255</v>
      </c>
      <c r="G72" s="44" t="s">
        <v>262</v>
      </c>
      <c r="H72" s="44" t="s">
        <v>200</v>
      </c>
      <c r="I72" s="1" t="str">
        <f t="shared" si="2"/>
        <v>August 2026</v>
      </c>
      <c r="J7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2" s="1">
        <f>IF(AND(RawData[[#This Row],[MatchFlag]]=1,COUNTIFS($G$2:G72,RawData[[#This Row],[Picker ID ]],$I$2:I72,RawData[[#This Row],[Month List]],$J$2:J72,1)=1),1,0)</f>
        <v>0</v>
      </c>
      <c r="L72" s="1">
        <f>IF(AND(RawData[[#This Row],[MatchFlag]]=1,COUNTIFS($H$2:H72,RawData[[#This Row],[Checker ID]],$I$2:I72,RawData[[#This Row],[Month List]],$J$2:J72,1)=1),1,0)</f>
        <v>0</v>
      </c>
    </row>
    <row r="73" spans="1:12" x14ac:dyDescent="0.25">
      <c r="A73" s="50">
        <v>46244</v>
      </c>
      <c r="B73" s="44">
        <v>1309541</v>
      </c>
      <c r="C73" s="47" t="s">
        <v>286</v>
      </c>
      <c r="D73" s="46">
        <v>12</v>
      </c>
      <c r="E73" s="44" t="s">
        <v>9</v>
      </c>
      <c r="F73" s="44">
        <v>2344</v>
      </c>
      <c r="G73" s="44" t="s">
        <v>287</v>
      </c>
      <c r="H73" s="44" t="s">
        <v>252</v>
      </c>
      <c r="I73" s="1" t="str">
        <f t="shared" si="2"/>
        <v>August 2026</v>
      </c>
      <c r="J7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3" s="1">
        <f>IF(AND(RawData[[#This Row],[MatchFlag]]=1,COUNTIFS($G$2:G73,RawData[[#This Row],[Picker ID ]],$I$2:I73,RawData[[#This Row],[Month List]],$J$2:J73,1)=1),1,0)</f>
        <v>1</v>
      </c>
      <c r="L73" s="1">
        <f>IF(AND(RawData[[#This Row],[MatchFlag]]=1,COUNTIFS($H$2:H73,RawData[[#This Row],[Checker ID]],$I$2:I73,RawData[[#This Row],[Month List]],$J$2:J73,1)=1),1,0)</f>
        <v>0</v>
      </c>
    </row>
    <row r="74" spans="1:12" x14ac:dyDescent="0.25">
      <c r="A74" s="50">
        <v>46244</v>
      </c>
      <c r="B74" s="44">
        <v>2334287</v>
      </c>
      <c r="C74" s="47" t="s">
        <v>220</v>
      </c>
      <c r="D74" s="46">
        <v>2</v>
      </c>
      <c r="E74" s="44" t="s">
        <v>9</v>
      </c>
      <c r="F74" s="44">
        <v>2420</v>
      </c>
      <c r="G74" s="44" t="s">
        <v>202</v>
      </c>
      <c r="H74" s="44" t="s">
        <v>172</v>
      </c>
      <c r="I74" s="1" t="str">
        <f t="shared" si="2"/>
        <v>August 2026</v>
      </c>
      <c r="J7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4" s="1">
        <f>IF(AND(RawData[[#This Row],[MatchFlag]]=1,COUNTIFS($G$2:G74,RawData[[#This Row],[Picker ID ]],$I$2:I74,RawData[[#This Row],[Month List]],$J$2:J74,1)=1),1,0)</f>
        <v>0</v>
      </c>
      <c r="L74" s="1">
        <f>IF(AND(RawData[[#This Row],[MatchFlag]]=1,COUNTIFS($H$2:H74,RawData[[#This Row],[Checker ID]],$I$2:I74,RawData[[#This Row],[Month List]],$J$2:J74,1)=1),1,0)</f>
        <v>0</v>
      </c>
    </row>
    <row r="75" spans="1:12" x14ac:dyDescent="0.25">
      <c r="A75" s="50">
        <v>46246</v>
      </c>
      <c r="B75" s="44">
        <v>930605</v>
      </c>
      <c r="C75" s="47" t="s">
        <v>288</v>
      </c>
      <c r="D75" s="46">
        <v>6</v>
      </c>
      <c r="E75" s="44" t="s">
        <v>8</v>
      </c>
      <c r="F75" s="44">
        <v>2450</v>
      </c>
      <c r="G75" s="44" t="s">
        <v>289</v>
      </c>
      <c r="H75" s="44" t="s">
        <v>172</v>
      </c>
      <c r="I75" s="1" t="str">
        <f t="shared" si="2"/>
        <v>August 2026</v>
      </c>
      <c r="J7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5" s="1">
        <f>IF(AND(RawData[[#This Row],[MatchFlag]]=1,COUNTIFS($G$2:G75,RawData[[#This Row],[Picker ID ]],$I$2:I75,RawData[[#This Row],[Month List]],$J$2:J75,1)=1),1,0)</f>
        <v>1</v>
      </c>
      <c r="L75" s="1">
        <f>IF(AND(RawData[[#This Row],[MatchFlag]]=1,COUNTIFS($H$2:H75,RawData[[#This Row],[Checker ID]],$I$2:I75,RawData[[#This Row],[Month List]],$J$2:J75,1)=1),1,0)</f>
        <v>0</v>
      </c>
    </row>
    <row r="76" spans="1:12" x14ac:dyDescent="0.25">
      <c r="A76" s="50">
        <v>46246</v>
      </c>
      <c r="B76" s="44">
        <v>1764336</v>
      </c>
      <c r="C76" s="47" t="s">
        <v>290</v>
      </c>
      <c r="D76" s="46">
        <v>4</v>
      </c>
      <c r="E76" s="44" t="s">
        <v>9</v>
      </c>
      <c r="F76" s="44">
        <v>2267</v>
      </c>
      <c r="G76" s="44" t="s">
        <v>291</v>
      </c>
      <c r="H76" s="44" t="s">
        <v>186</v>
      </c>
      <c r="I76" s="1" t="str">
        <f t="shared" si="2"/>
        <v>August 2026</v>
      </c>
      <c r="J7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6" s="1">
        <f>IF(AND(RawData[[#This Row],[MatchFlag]]=1,COUNTIFS($G$2:G76,RawData[[#This Row],[Picker ID ]],$I$2:I76,RawData[[#This Row],[Month List]],$J$2:J76,1)=1),1,0)</f>
        <v>1</v>
      </c>
      <c r="L76" s="1">
        <f>IF(AND(RawData[[#This Row],[MatchFlag]]=1,COUNTIFS($H$2:H76,RawData[[#This Row],[Checker ID]],$I$2:I76,RawData[[#This Row],[Month List]],$J$2:J76,1)=1),1,0)</f>
        <v>0</v>
      </c>
    </row>
    <row r="77" spans="1:12" x14ac:dyDescent="0.25">
      <c r="A77" s="50">
        <v>46247</v>
      </c>
      <c r="B77" s="44">
        <v>1348596</v>
      </c>
      <c r="C77" s="47" t="s">
        <v>292</v>
      </c>
      <c r="D77" s="46">
        <v>25</v>
      </c>
      <c r="E77" s="44" t="s">
        <v>9</v>
      </c>
      <c r="F77" s="44">
        <v>2440</v>
      </c>
      <c r="G77" s="44" t="s">
        <v>293</v>
      </c>
      <c r="H77" s="44" t="s">
        <v>200</v>
      </c>
      <c r="I77" s="1" t="str">
        <f t="shared" si="2"/>
        <v>August 2026</v>
      </c>
      <c r="J7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7" s="1">
        <f>IF(AND(RawData[[#This Row],[MatchFlag]]=1,COUNTIFS($G$2:G77,RawData[[#This Row],[Picker ID ]],$I$2:I77,RawData[[#This Row],[Month List]],$J$2:J77,1)=1),1,0)</f>
        <v>1</v>
      </c>
      <c r="L77" s="1">
        <f>IF(AND(RawData[[#This Row],[MatchFlag]]=1,COUNTIFS($H$2:H77,RawData[[#This Row],[Checker ID]],$I$2:I77,RawData[[#This Row],[Month List]],$J$2:J77,1)=1),1,0)</f>
        <v>0</v>
      </c>
    </row>
    <row r="78" spans="1:12" x14ac:dyDescent="0.25">
      <c r="A78" s="50">
        <v>46247</v>
      </c>
      <c r="B78" s="44">
        <v>309825</v>
      </c>
      <c r="C78" s="47" t="s">
        <v>294</v>
      </c>
      <c r="D78" s="46">
        <v>12</v>
      </c>
      <c r="E78" s="44" t="s">
        <v>9</v>
      </c>
      <c r="F78" s="44">
        <v>2270</v>
      </c>
      <c r="G78" s="44" t="s">
        <v>295</v>
      </c>
      <c r="H78" s="44" t="s">
        <v>200</v>
      </c>
      <c r="I78" s="1" t="str">
        <f t="shared" si="2"/>
        <v>August 2026</v>
      </c>
      <c r="J7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8" s="1">
        <f>IF(AND(RawData[[#This Row],[MatchFlag]]=1,COUNTIFS($G$2:G78,RawData[[#This Row],[Picker ID ]],$I$2:I78,RawData[[#This Row],[Month List]],$J$2:J78,1)=1),1,0)</f>
        <v>1</v>
      </c>
      <c r="L78" s="1">
        <f>IF(AND(RawData[[#This Row],[MatchFlag]]=1,COUNTIFS($H$2:H78,RawData[[#This Row],[Checker ID]],$I$2:I78,RawData[[#This Row],[Month List]],$J$2:J78,1)=1),1,0)</f>
        <v>0</v>
      </c>
    </row>
    <row r="79" spans="1:12" x14ac:dyDescent="0.25">
      <c r="A79" s="50">
        <v>46247</v>
      </c>
      <c r="B79" s="44">
        <v>2644751</v>
      </c>
      <c r="C79" s="44" t="s">
        <v>296</v>
      </c>
      <c r="D79" s="46">
        <v>12</v>
      </c>
      <c r="E79" s="44" t="s">
        <v>9</v>
      </c>
      <c r="F79" s="44">
        <v>2270</v>
      </c>
      <c r="G79" s="44" t="s">
        <v>234</v>
      </c>
      <c r="H79" s="44" t="s">
        <v>200</v>
      </c>
      <c r="I79" s="1" t="str">
        <f t="shared" si="2"/>
        <v>August 2026</v>
      </c>
      <c r="J7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79" s="1">
        <f>IF(AND(RawData[[#This Row],[MatchFlag]]=1,COUNTIFS($G$2:G79,RawData[[#This Row],[Picker ID ]],$I$2:I79,RawData[[#This Row],[Month List]],$J$2:J79,1)=1),1,0)</f>
        <v>1</v>
      </c>
      <c r="L79" s="1">
        <f>IF(AND(RawData[[#This Row],[MatchFlag]]=1,COUNTIFS($H$2:H79,RawData[[#This Row],[Checker ID]],$I$2:I79,RawData[[#This Row],[Month List]],$J$2:J79,1)=1),1,0)</f>
        <v>0</v>
      </c>
    </row>
    <row r="80" spans="1:12" x14ac:dyDescent="0.25">
      <c r="A80" s="50">
        <v>46247</v>
      </c>
      <c r="B80" s="44">
        <v>1812701</v>
      </c>
      <c r="C80" s="47" t="s">
        <v>297</v>
      </c>
      <c r="D80" s="46">
        <v>6</v>
      </c>
      <c r="E80" s="44" t="s">
        <v>8</v>
      </c>
      <c r="F80" s="44">
        <v>2300</v>
      </c>
      <c r="G80" s="44" t="s">
        <v>279</v>
      </c>
      <c r="H80" s="44" t="s">
        <v>200</v>
      </c>
      <c r="I80" s="1" t="str">
        <f t="shared" si="2"/>
        <v>August 2026</v>
      </c>
      <c r="J8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0" s="1">
        <f>IF(AND(RawData[[#This Row],[MatchFlag]]=1,COUNTIFS($G$2:G80,RawData[[#This Row],[Picker ID ]],$I$2:I80,RawData[[#This Row],[Month List]],$J$2:J80,1)=1),1,0)</f>
        <v>0</v>
      </c>
      <c r="L80" s="1">
        <f>IF(AND(RawData[[#This Row],[MatchFlag]]=1,COUNTIFS($H$2:H80,RawData[[#This Row],[Checker ID]],$I$2:I80,RawData[[#This Row],[Month List]],$J$2:J80,1)=1),1,0)</f>
        <v>0</v>
      </c>
    </row>
    <row r="81" spans="1:12" x14ac:dyDescent="0.25">
      <c r="A81" s="50">
        <v>46248</v>
      </c>
      <c r="B81" s="44">
        <v>23884</v>
      </c>
      <c r="C81" s="47" t="s">
        <v>298</v>
      </c>
      <c r="D81" s="46">
        <v>6</v>
      </c>
      <c r="E81" s="44" t="s">
        <v>8</v>
      </c>
      <c r="F81" s="44">
        <v>2344</v>
      </c>
      <c r="G81" s="44" t="s">
        <v>299</v>
      </c>
      <c r="H81" s="44" t="s">
        <v>200</v>
      </c>
      <c r="I81" s="1" t="str">
        <f t="shared" si="2"/>
        <v>August 2026</v>
      </c>
      <c r="J8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1" s="1">
        <f>IF(AND(RawData[[#This Row],[MatchFlag]]=1,COUNTIFS($G$2:G81,RawData[[#This Row],[Picker ID ]],$I$2:I81,RawData[[#This Row],[Month List]],$J$2:J81,1)=1),1,0)</f>
        <v>1</v>
      </c>
      <c r="L81" s="1">
        <f>IF(AND(RawData[[#This Row],[MatchFlag]]=1,COUNTIFS($H$2:H81,RawData[[#This Row],[Checker ID]],$I$2:I81,RawData[[#This Row],[Month List]],$J$2:J81,1)=1),1,0)</f>
        <v>0</v>
      </c>
    </row>
    <row r="82" spans="1:12" x14ac:dyDescent="0.25">
      <c r="A82" s="50">
        <v>46248</v>
      </c>
      <c r="B82" s="44">
        <v>2259265</v>
      </c>
      <c r="C82" s="44" t="s">
        <v>176</v>
      </c>
      <c r="D82" s="46">
        <v>6</v>
      </c>
      <c r="E82" s="44" t="s">
        <v>9</v>
      </c>
      <c r="F82" s="44">
        <v>2344</v>
      </c>
      <c r="G82" s="44" t="s">
        <v>299</v>
      </c>
      <c r="H82" s="44" t="s">
        <v>200</v>
      </c>
      <c r="I82" s="1" t="str">
        <f t="shared" si="2"/>
        <v>August 2026</v>
      </c>
      <c r="J8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2" s="1">
        <f>IF(AND(RawData[[#This Row],[MatchFlag]]=1,COUNTIFS($G$2:G82,RawData[[#This Row],[Picker ID ]],$I$2:I82,RawData[[#This Row],[Month List]],$J$2:J82,1)=1),1,0)</f>
        <v>0</v>
      </c>
      <c r="L82" s="1">
        <f>IF(AND(RawData[[#This Row],[MatchFlag]]=1,COUNTIFS($H$2:H82,RawData[[#This Row],[Checker ID]],$I$2:I82,RawData[[#This Row],[Month List]],$J$2:J82,1)=1),1,0)</f>
        <v>0</v>
      </c>
    </row>
    <row r="83" spans="1:12" x14ac:dyDescent="0.25">
      <c r="A83" s="50">
        <v>46248</v>
      </c>
      <c r="B83" s="44">
        <v>210228</v>
      </c>
      <c r="C83" s="47" t="s">
        <v>300</v>
      </c>
      <c r="D83" s="46">
        <v>7</v>
      </c>
      <c r="E83" s="44" t="s">
        <v>9</v>
      </c>
      <c r="F83" s="44">
        <v>2262</v>
      </c>
      <c r="G83" s="44" t="s">
        <v>207</v>
      </c>
      <c r="H83" s="44" t="s">
        <v>172</v>
      </c>
      <c r="I83" s="1" t="str">
        <f t="shared" si="2"/>
        <v>August 2026</v>
      </c>
      <c r="J8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3" s="1">
        <f>IF(AND(RawData[[#This Row],[MatchFlag]]=1,COUNTIFS($G$2:G83,RawData[[#This Row],[Picker ID ]],$I$2:I83,RawData[[#This Row],[Month List]],$J$2:J83,1)=1),1,0)</f>
        <v>1</v>
      </c>
      <c r="L83" s="1">
        <f>IF(AND(RawData[[#This Row],[MatchFlag]]=1,COUNTIFS($H$2:H83,RawData[[#This Row],[Checker ID]],$I$2:I83,RawData[[#This Row],[Month List]],$J$2:J83,1)=1),1,0)</f>
        <v>0</v>
      </c>
    </row>
    <row r="84" spans="1:12" x14ac:dyDescent="0.25">
      <c r="A84" s="50">
        <v>46248</v>
      </c>
      <c r="B84" s="44">
        <v>23884</v>
      </c>
      <c r="C84" s="47" t="s">
        <v>298</v>
      </c>
      <c r="D84" s="46">
        <v>6</v>
      </c>
      <c r="E84" s="44" t="s">
        <v>9</v>
      </c>
      <c r="F84" s="44">
        <v>2392</v>
      </c>
      <c r="G84" s="44" t="s">
        <v>219</v>
      </c>
      <c r="H84" s="44" t="s">
        <v>200</v>
      </c>
      <c r="I84" s="1" t="str">
        <f t="shared" si="2"/>
        <v>August 2026</v>
      </c>
      <c r="J8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4" s="1">
        <f>IF(AND(RawData[[#This Row],[MatchFlag]]=1,COUNTIFS($G$2:G84,RawData[[#This Row],[Picker ID ]],$I$2:I84,RawData[[#This Row],[Month List]],$J$2:J84,1)=1),1,0)</f>
        <v>1</v>
      </c>
      <c r="L84" s="1">
        <f>IF(AND(RawData[[#This Row],[MatchFlag]]=1,COUNTIFS($H$2:H84,RawData[[#This Row],[Checker ID]],$I$2:I84,RawData[[#This Row],[Month List]],$J$2:J84,1)=1),1,0)</f>
        <v>0</v>
      </c>
    </row>
    <row r="85" spans="1:12" x14ac:dyDescent="0.25">
      <c r="A85" s="50">
        <v>46248</v>
      </c>
      <c r="B85" s="44">
        <v>2259265</v>
      </c>
      <c r="C85" s="47" t="s">
        <v>176</v>
      </c>
      <c r="D85" s="46">
        <v>6</v>
      </c>
      <c r="E85" s="44" t="s">
        <v>8</v>
      </c>
      <c r="F85" s="44">
        <v>2392</v>
      </c>
      <c r="G85" s="44" t="s">
        <v>219</v>
      </c>
      <c r="H85" s="44" t="s">
        <v>200</v>
      </c>
      <c r="I85" s="1" t="str">
        <f t="shared" si="2"/>
        <v>August 2026</v>
      </c>
      <c r="J8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5" s="1">
        <f>IF(AND(RawData[[#This Row],[MatchFlag]]=1,COUNTIFS($G$2:G85,RawData[[#This Row],[Picker ID ]],$I$2:I85,RawData[[#This Row],[Month List]],$J$2:J85,1)=1),1,0)</f>
        <v>0</v>
      </c>
      <c r="L85" s="1">
        <f>IF(AND(RawData[[#This Row],[MatchFlag]]=1,COUNTIFS($H$2:H85,RawData[[#This Row],[Checker ID]],$I$2:I85,RawData[[#This Row],[Month List]],$J$2:J85,1)=1),1,0)</f>
        <v>0</v>
      </c>
    </row>
    <row r="86" spans="1:12" x14ac:dyDescent="0.25">
      <c r="A86" s="50">
        <v>46248</v>
      </c>
      <c r="B86" s="44">
        <v>23884</v>
      </c>
      <c r="C86" s="47" t="s">
        <v>298</v>
      </c>
      <c r="D86" s="46">
        <v>6</v>
      </c>
      <c r="E86" s="44" t="s">
        <v>9</v>
      </c>
      <c r="F86" s="44">
        <v>2392</v>
      </c>
      <c r="G86" s="44" t="s">
        <v>202</v>
      </c>
      <c r="H86" s="44" t="s">
        <v>172</v>
      </c>
      <c r="I86" s="1" t="str">
        <f t="shared" si="2"/>
        <v>August 2026</v>
      </c>
      <c r="J8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6" s="1">
        <f>IF(AND(RawData[[#This Row],[MatchFlag]]=1,COUNTIFS($G$2:G86,RawData[[#This Row],[Picker ID ]],$I$2:I86,RawData[[#This Row],[Month List]],$J$2:J86,1)=1),1,0)</f>
        <v>0</v>
      </c>
      <c r="L86" s="1">
        <f>IF(AND(RawData[[#This Row],[MatchFlag]]=1,COUNTIFS($H$2:H86,RawData[[#This Row],[Checker ID]],$I$2:I86,RawData[[#This Row],[Month List]],$J$2:J86,1)=1),1,0)</f>
        <v>0</v>
      </c>
    </row>
    <row r="87" spans="1:12" x14ac:dyDescent="0.25">
      <c r="A87" s="50">
        <v>46248</v>
      </c>
      <c r="B87" s="44">
        <v>2259265</v>
      </c>
      <c r="C87" s="44" t="s">
        <v>176</v>
      </c>
      <c r="D87" s="46">
        <v>6</v>
      </c>
      <c r="E87" s="44" t="s">
        <v>8</v>
      </c>
      <c r="F87" s="44">
        <v>2392</v>
      </c>
      <c r="G87" s="44" t="s">
        <v>202</v>
      </c>
      <c r="H87" s="44" t="s">
        <v>172</v>
      </c>
      <c r="I87" s="1" t="str">
        <f t="shared" si="2"/>
        <v>August 2026</v>
      </c>
      <c r="J8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7" s="1">
        <f>IF(AND(RawData[[#This Row],[MatchFlag]]=1,COUNTIFS($G$2:G87,RawData[[#This Row],[Picker ID ]],$I$2:I87,RawData[[#This Row],[Month List]],$J$2:J87,1)=1),1,0)</f>
        <v>0</v>
      </c>
      <c r="L87" s="1">
        <f>IF(AND(RawData[[#This Row],[MatchFlag]]=1,COUNTIFS($H$2:H87,RawData[[#This Row],[Checker ID]],$I$2:I87,RawData[[#This Row],[Month List]],$J$2:J87,1)=1),1,0)</f>
        <v>0</v>
      </c>
    </row>
    <row r="88" spans="1:12" x14ac:dyDescent="0.25">
      <c r="A88" s="50">
        <v>46248</v>
      </c>
      <c r="B88" s="44">
        <v>23884</v>
      </c>
      <c r="C88" s="47" t="s">
        <v>298</v>
      </c>
      <c r="D88" s="46">
        <v>6</v>
      </c>
      <c r="E88" s="44" t="s">
        <v>9</v>
      </c>
      <c r="F88" s="44">
        <v>2332</v>
      </c>
      <c r="G88" s="44" t="s">
        <v>239</v>
      </c>
      <c r="H88" s="44" t="s">
        <v>200</v>
      </c>
      <c r="I88" s="1" t="str">
        <f t="shared" si="2"/>
        <v>August 2026</v>
      </c>
      <c r="J8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8" s="1">
        <f>IF(AND(RawData[[#This Row],[MatchFlag]]=1,COUNTIFS($G$2:G88,RawData[[#This Row],[Picker ID ]],$I$2:I88,RawData[[#This Row],[Month List]],$J$2:J88,1)=1),1,0)</f>
        <v>1</v>
      </c>
      <c r="L88" s="1">
        <f>IF(AND(RawData[[#This Row],[MatchFlag]]=1,COUNTIFS($H$2:H88,RawData[[#This Row],[Checker ID]],$I$2:I88,RawData[[#This Row],[Month List]],$J$2:J88,1)=1),1,0)</f>
        <v>0</v>
      </c>
    </row>
    <row r="89" spans="1:12" x14ac:dyDescent="0.25">
      <c r="A89" s="50">
        <v>46249</v>
      </c>
      <c r="B89" s="44">
        <v>318337</v>
      </c>
      <c r="C89" s="47" t="s">
        <v>301</v>
      </c>
      <c r="D89" s="46">
        <v>20</v>
      </c>
      <c r="E89" s="44" t="s">
        <v>8</v>
      </c>
      <c r="F89" s="44">
        <v>2410</v>
      </c>
      <c r="G89" s="44" t="s">
        <v>302</v>
      </c>
      <c r="H89" s="44" t="s">
        <v>198</v>
      </c>
      <c r="I89" s="1" t="str">
        <f t="shared" si="2"/>
        <v>August 2026</v>
      </c>
      <c r="J8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89" s="1">
        <f>IF(AND(RawData[[#This Row],[MatchFlag]]=1,COUNTIFS($G$2:G89,RawData[[#This Row],[Picker ID ]],$I$2:I89,RawData[[#This Row],[Month List]],$J$2:J89,1)=1),1,0)</f>
        <v>1</v>
      </c>
      <c r="L89" s="1">
        <f>IF(AND(RawData[[#This Row],[MatchFlag]]=1,COUNTIFS($H$2:H89,RawData[[#This Row],[Checker ID]],$I$2:I89,RawData[[#This Row],[Month List]],$J$2:J89,1)=1),1,0)</f>
        <v>0</v>
      </c>
    </row>
    <row r="90" spans="1:12" x14ac:dyDescent="0.25">
      <c r="A90" s="50">
        <v>46249</v>
      </c>
      <c r="B90" s="44">
        <v>1293</v>
      </c>
      <c r="C90" s="47" t="s">
        <v>303</v>
      </c>
      <c r="D90" s="46">
        <v>12</v>
      </c>
      <c r="E90" s="44" t="s">
        <v>9</v>
      </c>
      <c r="F90" s="44">
        <v>2420</v>
      </c>
      <c r="G90" s="44" t="s">
        <v>304</v>
      </c>
      <c r="H90" s="44" t="s">
        <v>186</v>
      </c>
      <c r="I90" s="1" t="str">
        <f t="shared" si="2"/>
        <v>August 2026</v>
      </c>
      <c r="J9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0" s="1">
        <f>IF(AND(RawData[[#This Row],[MatchFlag]]=1,COUNTIFS($G$2:G90,RawData[[#This Row],[Picker ID ]],$I$2:I90,RawData[[#This Row],[Month List]],$J$2:J90,1)=1),1,0)</f>
        <v>1</v>
      </c>
      <c r="L90" s="1">
        <f>IF(AND(RawData[[#This Row],[MatchFlag]]=1,COUNTIFS($H$2:H90,RawData[[#This Row],[Checker ID]],$I$2:I90,RawData[[#This Row],[Month List]],$J$2:J90,1)=1),1,0)</f>
        <v>0</v>
      </c>
    </row>
    <row r="91" spans="1:12" x14ac:dyDescent="0.25">
      <c r="A91" s="50">
        <v>46249</v>
      </c>
      <c r="B91" s="44">
        <v>655467</v>
      </c>
      <c r="C91" s="47" t="s">
        <v>305</v>
      </c>
      <c r="D91" s="46">
        <v>48</v>
      </c>
      <c r="E91" s="44" t="s">
        <v>8</v>
      </c>
      <c r="F91" s="44">
        <v>2420</v>
      </c>
      <c r="G91" s="44" t="s">
        <v>304</v>
      </c>
      <c r="H91" s="44" t="s">
        <v>186</v>
      </c>
      <c r="I91" s="1" t="str">
        <f t="shared" ref="I91:I100" si="3">IF(A91="","",TEXT(A91,"mmmm yyyy"))</f>
        <v>August 2026</v>
      </c>
      <c r="J9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1" s="1">
        <f>IF(AND(RawData[[#This Row],[MatchFlag]]=1,COUNTIFS($G$2:G91,RawData[[#This Row],[Picker ID ]],$I$2:I91,RawData[[#This Row],[Month List]],$J$2:J91,1)=1),1,0)</f>
        <v>0</v>
      </c>
      <c r="L91" s="1">
        <f>IF(AND(RawData[[#This Row],[MatchFlag]]=1,COUNTIFS($H$2:H91,RawData[[#This Row],[Checker ID]],$I$2:I91,RawData[[#This Row],[Month List]],$J$2:J91,1)=1),1,0)</f>
        <v>0</v>
      </c>
    </row>
    <row r="92" spans="1:12" x14ac:dyDescent="0.25">
      <c r="A92" s="50">
        <v>46249</v>
      </c>
      <c r="B92" s="44">
        <v>2330947</v>
      </c>
      <c r="C92" s="47" t="s">
        <v>306</v>
      </c>
      <c r="D92" s="46">
        <v>60</v>
      </c>
      <c r="E92" s="44" t="s">
        <v>9</v>
      </c>
      <c r="F92" s="44">
        <v>2252</v>
      </c>
      <c r="G92" s="44" t="s">
        <v>210</v>
      </c>
      <c r="H92" s="44" t="s">
        <v>198</v>
      </c>
      <c r="I92" s="1" t="str">
        <f t="shared" si="3"/>
        <v>August 2026</v>
      </c>
      <c r="J9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2" s="1">
        <f>IF(AND(RawData[[#This Row],[MatchFlag]]=1,COUNTIFS($G$2:G92,RawData[[#This Row],[Picker ID ]],$I$2:I92,RawData[[#This Row],[Month List]],$J$2:J92,1)=1),1,0)</f>
        <v>1</v>
      </c>
      <c r="L92" s="1">
        <f>IF(AND(RawData[[#This Row],[MatchFlag]]=1,COUNTIFS($H$2:H92,RawData[[#This Row],[Checker ID]],$I$2:I92,RawData[[#This Row],[Month List]],$J$2:J92,1)=1),1,0)</f>
        <v>0</v>
      </c>
    </row>
    <row r="93" spans="1:12" x14ac:dyDescent="0.25">
      <c r="A93" s="50">
        <v>46250</v>
      </c>
      <c r="B93" s="44">
        <v>2634132</v>
      </c>
      <c r="C93" s="47" t="s">
        <v>308</v>
      </c>
      <c r="D93" s="46">
        <v>36</v>
      </c>
      <c r="E93" s="44" t="s">
        <v>9</v>
      </c>
      <c r="F93" s="44">
        <v>2382</v>
      </c>
      <c r="G93" s="44" t="s">
        <v>185</v>
      </c>
      <c r="H93" s="44" t="s">
        <v>198</v>
      </c>
      <c r="I93" s="1" t="str">
        <f t="shared" si="3"/>
        <v>August 2026</v>
      </c>
      <c r="J9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3" s="1">
        <f>IF(AND(RawData[[#This Row],[MatchFlag]]=1,COUNTIFS($G$2:G93,RawData[[#This Row],[Picker ID ]],$I$2:I93,RawData[[#This Row],[Month List]],$J$2:J93,1)=1),1,0)</f>
        <v>0</v>
      </c>
      <c r="L93" s="1">
        <f>IF(AND(RawData[[#This Row],[MatchFlag]]=1,COUNTIFS($H$2:H93,RawData[[#This Row],[Checker ID]],$I$2:I93,RawData[[#This Row],[Month List]],$J$2:J93,1)=1),1,0)</f>
        <v>0</v>
      </c>
    </row>
    <row r="94" spans="1:12" x14ac:dyDescent="0.25">
      <c r="A94" s="50">
        <v>46250</v>
      </c>
      <c r="B94" s="44">
        <v>211840</v>
      </c>
      <c r="C94" s="47" t="s">
        <v>307</v>
      </c>
      <c r="D94" s="46">
        <v>19</v>
      </c>
      <c r="E94" s="44" t="s">
        <v>8</v>
      </c>
      <c r="F94" s="44">
        <v>2380</v>
      </c>
      <c r="G94" s="44" t="s">
        <v>210</v>
      </c>
      <c r="H94" s="44" t="s">
        <v>198</v>
      </c>
      <c r="I94" s="1" t="str">
        <f t="shared" si="3"/>
        <v>August 2026</v>
      </c>
      <c r="J9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4" s="1">
        <f>IF(AND(RawData[[#This Row],[MatchFlag]]=1,COUNTIFS($G$2:G94,RawData[[#This Row],[Picker ID ]],$I$2:I94,RawData[[#This Row],[Month List]],$J$2:J94,1)=1),1,0)</f>
        <v>0</v>
      </c>
      <c r="L94" s="1">
        <f>IF(AND(RawData[[#This Row],[MatchFlag]]=1,COUNTIFS($H$2:H94,RawData[[#This Row],[Checker ID]],$I$2:I94,RawData[[#This Row],[Month List]],$J$2:J94,1)=1),1,0)</f>
        <v>0</v>
      </c>
    </row>
    <row r="95" spans="1:12" x14ac:dyDescent="0.25">
      <c r="A95" s="50">
        <v>46250</v>
      </c>
      <c r="B95" s="44">
        <v>2664184</v>
      </c>
      <c r="C95" s="44" t="s">
        <v>309</v>
      </c>
      <c r="D95" s="44">
        <v>12</v>
      </c>
      <c r="E95" s="44" t="s">
        <v>9</v>
      </c>
      <c r="F95" s="44">
        <v>2390</v>
      </c>
      <c r="G95" s="44" t="s">
        <v>212</v>
      </c>
      <c r="H95" s="44" t="s">
        <v>198</v>
      </c>
      <c r="I95" s="1" t="str">
        <f t="shared" si="3"/>
        <v>August 2026</v>
      </c>
      <c r="J9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5" s="1">
        <f>IF(AND(RawData[[#This Row],[MatchFlag]]=1,COUNTIFS($G$2:G95,RawData[[#This Row],[Picker ID ]],$I$2:I95,RawData[[#This Row],[Month List]],$J$2:J95,1)=1),1,0)</f>
        <v>1</v>
      </c>
      <c r="L95" s="1">
        <f>IF(AND(RawData[[#This Row],[MatchFlag]]=1,COUNTIFS($H$2:H95,RawData[[#This Row],[Checker ID]],$I$2:I95,RawData[[#This Row],[Month List]],$J$2:J95,1)=1),1,0)</f>
        <v>0</v>
      </c>
    </row>
    <row r="96" spans="1:12" x14ac:dyDescent="0.25">
      <c r="A96" s="50">
        <v>46250</v>
      </c>
      <c r="B96" s="44">
        <v>1059807</v>
      </c>
      <c r="C96" s="47" t="s">
        <v>310</v>
      </c>
      <c r="D96" s="46">
        <v>6</v>
      </c>
      <c r="E96" s="44" t="s">
        <v>9</v>
      </c>
      <c r="F96" s="44">
        <v>2410</v>
      </c>
      <c r="G96" s="44" t="s">
        <v>179</v>
      </c>
      <c r="H96" s="44" t="s">
        <v>252</v>
      </c>
      <c r="I96" s="1" t="str">
        <f t="shared" si="3"/>
        <v>August 2026</v>
      </c>
      <c r="J9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6" s="1">
        <f>IF(AND(RawData[[#This Row],[MatchFlag]]=1,COUNTIFS($G$2:G96,RawData[[#This Row],[Picker ID ]],$I$2:I96,RawData[[#This Row],[Month List]],$J$2:J96,1)=1),1,0)</f>
        <v>0</v>
      </c>
      <c r="L96" s="1">
        <f>IF(AND(RawData[[#This Row],[MatchFlag]]=1,COUNTIFS($H$2:H96,RawData[[#This Row],[Checker ID]],$I$2:I96,RawData[[#This Row],[Month List]],$J$2:J96,1)=1),1,0)</f>
        <v>0</v>
      </c>
    </row>
    <row r="97" spans="1:12" x14ac:dyDescent="0.25">
      <c r="A97" s="50">
        <v>46252</v>
      </c>
      <c r="B97" s="44">
        <v>2563229</v>
      </c>
      <c r="C97" s="47" t="s">
        <v>311</v>
      </c>
      <c r="D97" s="46">
        <v>4</v>
      </c>
      <c r="E97" s="44" t="s">
        <v>9</v>
      </c>
      <c r="F97" s="44">
        <v>2344</v>
      </c>
      <c r="G97" s="44" t="s">
        <v>304</v>
      </c>
      <c r="H97" s="44" t="s">
        <v>200</v>
      </c>
      <c r="I97" s="1" t="str">
        <f t="shared" si="3"/>
        <v>August 2026</v>
      </c>
      <c r="J9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7" s="1">
        <f>IF(AND(RawData[[#This Row],[MatchFlag]]=1,COUNTIFS($G$2:G97,RawData[[#This Row],[Picker ID ]],$I$2:I97,RawData[[#This Row],[Month List]],$J$2:J97,1)=1),1,0)</f>
        <v>0</v>
      </c>
      <c r="L97" s="1">
        <f>IF(AND(RawData[[#This Row],[MatchFlag]]=1,COUNTIFS($H$2:H97,RawData[[#This Row],[Checker ID]],$I$2:I97,RawData[[#This Row],[Month List]],$J$2:J97,1)=1),1,0)</f>
        <v>0</v>
      </c>
    </row>
    <row r="98" spans="1:12" x14ac:dyDescent="0.25">
      <c r="A98" s="50">
        <v>46252</v>
      </c>
      <c r="B98" s="44">
        <v>2561375</v>
      </c>
      <c r="C98" s="47" t="s">
        <v>312</v>
      </c>
      <c r="D98" s="46">
        <v>12</v>
      </c>
      <c r="E98" s="44" t="s">
        <v>8</v>
      </c>
      <c r="F98" s="44">
        <v>2344</v>
      </c>
      <c r="G98" s="44" t="s">
        <v>304</v>
      </c>
      <c r="H98" s="44" t="s">
        <v>200</v>
      </c>
      <c r="I98" s="1" t="str">
        <f t="shared" si="3"/>
        <v>August 2026</v>
      </c>
      <c r="J9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8" s="1">
        <f>IF(AND(RawData[[#This Row],[MatchFlag]]=1,COUNTIFS($G$2:G98,RawData[[#This Row],[Picker ID ]],$I$2:I98,RawData[[#This Row],[Month List]],$J$2:J98,1)=1),1,0)</f>
        <v>0</v>
      </c>
      <c r="L98" s="1">
        <f>IF(AND(RawData[[#This Row],[MatchFlag]]=1,COUNTIFS($H$2:H98,RawData[[#This Row],[Checker ID]],$I$2:I98,RawData[[#This Row],[Month List]],$J$2:J98,1)=1),1,0)</f>
        <v>0</v>
      </c>
    </row>
    <row r="99" spans="1:12" x14ac:dyDescent="0.25">
      <c r="A99" s="50">
        <v>46252</v>
      </c>
      <c r="B99" s="44">
        <v>2579500</v>
      </c>
      <c r="C99" s="47" t="s">
        <v>313</v>
      </c>
      <c r="D99" s="46">
        <v>6</v>
      </c>
      <c r="E99" s="44" t="s">
        <v>9</v>
      </c>
      <c r="F99" s="44">
        <v>2420</v>
      </c>
      <c r="G99" s="44" t="s">
        <v>314</v>
      </c>
      <c r="H99" s="44" t="s">
        <v>200</v>
      </c>
      <c r="I99" s="1" t="str">
        <f t="shared" si="3"/>
        <v>August 2026</v>
      </c>
      <c r="J9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99" s="1">
        <f>IF(AND(RawData[[#This Row],[MatchFlag]]=1,COUNTIFS($G$2:G99,RawData[[#This Row],[Picker ID ]],$I$2:I99,RawData[[#This Row],[Month List]],$J$2:J99,1)=1),1,0)</f>
        <v>1</v>
      </c>
      <c r="L99" s="1">
        <f>IF(AND(RawData[[#This Row],[MatchFlag]]=1,COUNTIFS($H$2:H99,RawData[[#This Row],[Checker ID]],$I$2:I99,RawData[[#This Row],[Month List]],$J$2:J99,1)=1),1,0)</f>
        <v>0</v>
      </c>
    </row>
    <row r="100" spans="1:12" x14ac:dyDescent="0.25">
      <c r="A100" s="50">
        <v>46253</v>
      </c>
      <c r="B100" s="44">
        <v>2372721</v>
      </c>
      <c r="C100" s="47" t="s">
        <v>315</v>
      </c>
      <c r="D100" s="46">
        <v>6</v>
      </c>
      <c r="E100" s="44" t="s">
        <v>9</v>
      </c>
      <c r="F100" s="44">
        <v>2286</v>
      </c>
      <c r="G100" s="44" t="s">
        <v>204</v>
      </c>
      <c r="H100" s="44" t="s">
        <v>186</v>
      </c>
      <c r="I100" s="1" t="str">
        <f t="shared" si="3"/>
        <v>August 2026</v>
      </c>
      <c r="J10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0" s="1">
        <f>IF(AND(RawData[[#This Row],[MatchFlag]]=1,COUNTIFS($G$2:G100,RawData[[#This Row],[Picker ID ]],$I$2:I100,RawData[[#This Row],[Month List]],$J$2:J100,1)=1),1,0)</f>
        <v>0</v>
      </c>
      <c r="L100" s="1">
        <f>IF(AND(RawData[[#This Row],[MatchFlag]]=1,COUNTIFS($H$2:H100,RawData[[#This Row],[Checker ID]],$I$2:I100,RawData[[#This Row],[Month List]],$J$2:J100,1)=1),1,0)</f>
        <v>0</v>
      </c>
    </row>
    <row r="101" spans="1:12" x14ac:dyDescent="0.25">
      <c r="A101" s="50">
        <v>46253</v>
      </c>
      <c r="B101" s="44">
        <v>783689</v>
      </c>
      <c r="C101" s="47" t="s">
        <v>316</v>
      </c>
      <c r="D101" s="46">
        <v>24</v>
      </c>
      <c r="E101" s="44" t="s">
        <v>9</v>
      </c>
      <c r="F101" s="44">
        <v>2286</v>
      </c>
      <c r="G101" s="44" t="s">
        <v>204</v>
      </c>
      <c r="H101" s="44" t="s">
        <v>186</v>
      </c>
      <c r="I101" s="1" t="str">
        <f t="shared" ref="I101" si="4">IF(A101="","",TEXT(A101,"mmmm yyyy"))</f>
        <v>August 2026</v>
      </c>
      <c r="J10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1" s="1">
        <f>IF(AND(RawData[[#This Row],[MatchFlag]]=1,COUNTIFS($G$2:G114,RawData[[#This Row],[Picker ID ]],$I$2:I114,RawData[[#This Row],[Month List]],$J$2:J114,1)=1),1,0)</f>
        <v>0</v>
      </c>
      <c r="L101" s="1">
        <f>IF(AND(RawData[[#This Row],[MatchFlag]]=1,COUNTIFS($H$2:H114,RawData[[#This Row],[Checker ID]],$I$2:I114,RawData[[#This Row],[Month List]],$J$2:J114,1)=1),1,0)</f>
        <v>0</v>
      </c>
    </row>
    <row r="102" spans="1:12" x14ac:dyDescent="0.25">
      <c r="A102" s="50">
        <v>46253</v>
      </c>
      <c r="B102" s="44">
        <v>800536</v>
      </c>
      <c r="C102" s="47" t="s">
        <v>317</v>
      </c>
      <c r="D102" s="46">
        <v>6</v>
      </c>
      <c r="E102" s="44" t="s">
        <v>8</v>
      </c>
      <c r="F102" s="44">
        <v>2286</v>
      </c>
      <c r="G102" s="44" t="s">
        <v>204</v>
      </c>
      <c r="H102" s="44" t="s">
        <v>186</v>
      </c>
      <c r="I102" s="1" t="str">
        <f t="shared" ref="I102:I114" si="5">IF(A102="","",TEXT(A102,"mmmm yyyy"))</f>
        <v>August 2026</v>
      </c>
      <c r="J10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2" s="1">
        <f>IF(AND(RawData[[#This Row],[MatchFlag]]=1,COUNTIFS($G$2:G114,RawData[[#This Row],[Picker ID ]],$I$2:I114,RawData[[#This Row],[Month List]],$J$2:J114,1)=1),1,0)</f>
        <v>0</v>
      </c>
      <c r="L102" s="1">
        <f>IF(AND(RawData[[#This Row],[MatchFlag]]=1,COUNTIFS($H$2:H114,RawData[[#This Row],[Checker ID]],$I$2:I114,RawData[[#This Row],[Month List]],$J$2:J114,1)=1),1,0)</f>
        <v>0</v>
      </c>
    </row>
    <row r="103" spans="1:12" x14ac:dyDescent="0.25">
      <c r="A103" s="50">
        <v>46254</v>
      </c>
      <c r="B103" s="44">
        <v>2113852</v>
      </c>
      <c r="C103" s="47" t="s">
        <v>318</v>
      </c>
      <c r="D103" s="46">
        <v>12</v>
      </c>
      <c r="E103" s="44" t="s">
        <v>9</v>
      </c>
      <c r="F103" s="44">
        <v>2300</v>
      </c>
      <c r="G103" s="44" t="s">
        <v>207</v>
      </c>
      <c r="H103" s="44" t="s">
        <v>172</v>
      </c>
      <c r="I103" s="1" t="str">
        <f t="shared" si="5"/>
        <v>August 2026</v>
      </c>
      <c r="J10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3" s="1">
        <f>IF(AND(RawData[[#This Row],[MatchFlag]]=1,COUNTIFS($G$2:G114,RawData[[#This Row],[Picker ID ]],$I$2:I114,RawData[[#This Row],[Month List]],$J$2:J114,1)=1),1,0)</f>
        <v>0</v>
      </c>
      <c r="L103" s="1">
        <f>IF(AND(RawData[[#This Row],[MatchFlag]]=1,COUNTIFS($H$2:H114,RawData[[#This Row],[Checker ID]],$I$2:I114,RawData[[#This Row],[Month List]],$J$2:J114,1)=1),1,0)</f>
        <v>0</v>
      </c>
    </row>
    <row r="104" spans="1:12" x14ac:dyDescent="0.25">
      <c r="A104" s="50">
        <v>46254</v>
      </c>
      <c r="B104" s="44">
        <v>525825</v>
      </c>
      <c r="C104" s="47" t="s">
        <v>319</v>
      </c>
      <c r="D104" s="46">
        <v>24</v>
      </c>
      <c r="E104" s="44" t="s">
        <v>8</v>
      </c>
      <c r="F104" s="44">
        <v>2300</v>
      </c>
      <c r="G104" s="44" t="s">
        <v>207</v>
      </c>
      <c r="H104" s="44" t="s">
        <v>172</v>
      </c>
      <c r="I104" s="1" t="str">
        <f t="shared" si="5"/>
        <v>August 2026</v>
      </c>
      <c r="J10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4" s="1">
        <f>IF(AND(RawData[[#This Row],[MatchFlag]]=1,COUNTIFS($G$2:G114,RawData[[#This Row],[Picker ID ]],$I$2:I114,RawData[[#This Row],[Month List]],$J$2:J114,1)=1),1,0)</f>
        <v>0</v>
      </c>
      <c r="L104" s="1">
        <f>IF(AND(RawData[[#This Row],[MatchFlag]]=1,COUNTIFS($H$2:H114,RawData[[#This Row],[Checker ID]],$I$2:I114,RawData[[#This Row],[Month List]],$J$2:J114,1)=1),1,0)</f>
        <v>0</v>
      </c>
    </row>
    <row r="105" spans="1:12" x14ac:dyDescent="0.25">
      <c r="A105" s="50">
        <v>46254</v>
      </c>
      <c r="B105" s="44">
        <v>153707</v>
      </c>
      <c r="C105" s="47" t="s">
        <v>320</v>
      </c>
      <c r="D105" s="46">
        <v>6</v>
      </c>
      <c r="E105" s="44" t="s">
        <v>8</v>
      </c>
      <c r="F105" s="44">
        <v>2390</v>
      </c>
      <c r="G105" s="44" t="s">
        <v>195</v>
      </c>
      <c r="H105" s="44" t="s">
        <v>252</v>
      </c>
      <c r="I105" s="1" t="str">
        <f t="shared" si="5"/>
        <v>August 2026</v>
      </c>
      <c r="J105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5" s="1">
        <f>IF(AND(RawData[[#This Row],[MatchFlag]]=1,COUNTIFS($G$2:G114,RawData[[#This Row],[Picker ID ]],$I$2:I114,RawData[[#This Row],[Month List]],$J$2:J114,1)=1),1,0)</f>
        <v>1</v>
      </c>
      <c r="L105" s="1">
        <f>IF(AND(RawData[[#This Row],[MatchFlag]]=1,COUNTIFS($H$2:H114,RawData[[#This Row],[Checker ID]],$I$2:I114,RawData[[#This Row],[Month List]],$J$2:J114,1)=1),1,0)</f>
        <v>0</v>
      </c>
    </row>
    <row r="106" spans="1:12" x14ac:dyDescent="0.25">
      <c r="A106" s="50">
        <v>46255</v>
      </c>
      <c r="B106" s="44">
        <v>2235001</v>
      </c>
      <c r="C106" s="47" t="s">
        <v>321</v>
      </c>
      <c r="D106" s="46">
        <v>12</v>
      </c>
      <c r="E106" s="44" t="s">
        <v>8</v>
      </c>
      <c r="F106" s="44">
        <v>2382</v>
      </c>
      <c r="G106" s="44" t="s">
        <v>322</v>
      </c>
      <c r="H106" s="44" t="s">
        <v>198</v>
      </c>
      <c r="I106" s="1" t="str">
        <f t="shared" si="5"/>
        <v>August 2026</v>
      </c>
      <c r="J106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6" s="1">
        <f>IF(AND(RawData[[#This Row],[MatchFlag]]=1,COUNTIFS($G$2:G114,RawData[[#This Row],[Picker ID ]],$I$2:I114,RawData[[#This Row],[Month List]],$J$2:J114,1)=1),1,0)</f>
        <v>1</v>
      </c>
      <c r="L106" s="1">
        <f>IF(AND(RawData[[#This Row],[MatchFlag]]=1,COUNTIFS($H$2:H114,RawData[[#This Row],[Checker ID]],$I$2:I114,RawData[[#This Row],[Month List]],$J$2:J114,1)=1),1,0)</f>
        <v>0</v>
      </c>
    </row>
    <row r="107" spans="1:12" x14ac:dyDescent="0.25">
      <c r="A107" s="50">
        <v>46255</v>
      </c>
      <c r="B107" s="44">
        <v>1108510</v>
      </c>
      <c r="C107" s="47" t="s">
        <v>323</v>
      </c>
      <c r="D107" s="46">
        <v>12</v>
      </c>
      <c r="E107" s="44" t="s">
        <v>9</v>
      </c>
      <c r="F107" s="44">
        <v>2255</v>
      </c>
      <c r="G107" s="44" t="s">
        <v>185</v>
      </c>
      <c r="H107" s="44" t="s">
        <v>186</v>
      </c>
      <c r="I107" s="1" t="str">
        <f t="shared" si="5"/>
        <v>August 2026</v>
      </c>
      <c r="J107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7" s="1">
        <f>IF(AND(RawData[[#This Row],[MatchFlag]]=1,COUNTIFS($G$2:G114,RawData[[#This Row],[Picker ID ]],$I$2:I114,RawData[[#This Row],[Month List]],$J$2:J114,1)=1),1,0)</f>
        <v>0</v>
      </c>
      <c r="L107" s="1">
        <f>IF(AND(RawData[[#This Row],[MatchFlag]]=1,COUNTIFS($H$2:H114,RawData[[#This Row],[Checker ID]],$I$2:I114,RawData[[#This Row],[Month List]],$J$2:J114,1)=1),1,0)</f>
        <v>0</v>
      </c>
    </row>
    <row r="108" spans="1:12" x14ac:dyDescent="0.25">
      <c r="A108" s="50">
        <v>46256</v>
      </c>
      <c r="B108" s="44">
        <v>1499938</v>
      </c>
      <c r="C108" s="47" t="s">
        <v>324</v>
      </c>
      <c r="D108" s="46">
        <v>10</v>
      </c>
      <c r="E108" s="44" t="s">
        <v>9</v>
      </c>
      <c r="F108" s="44">
        <v>2382</v>
      </c>
      <c r="G108" s="44" t="s">
        <v>302</v>
      </c>
      <c r="H108" s="44" t="s">
        <v>198</v>
      </c>
      <c r="I108" s="1" t="str">
        <f t="shared" si="5"/>
        <v>August 2026</v>
      </c>
      <c r="J108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8" s="1">
        <f>IF(AND(RawData[[#This Row],[MatchFlag]]=1,COUNTIFS($G$2:G114,RawData[[#This Row],[Picker ID ]],$I$2:I114,RawData[[#This Row],[Month List]],$J$2:J114,1)=1),1,0)</f>
        <v>0</v>
      </c>
      <c r="L108" s="1">
        <f>IF(AND(RawData[[#This Row],[MatchFlag]]=1,COUNTIFS($H$2:H114,RawData[[#This Row],[Checker ID]],$I$2:I114,RawData[[#This Row],[Month List]],$J$2:J114,1)=1),1,0)</f>
        <v>0</v>
      </c>
    </row>
    <row r="109" spans="1:12" x14ac:dyDescent="0.25">
      <c r="A109" s="50">
        <v>46256</v>
      </c>
      <c r="B109" s="44">
        <v>2297614</v>
      </c>
      <c r="C109" s="47" t="s">
        <v>325</v>
      </c>
      <c r="D109" s="46">
        <v>12</v>
      </c>
      <c r="E109" s="44" t="s">
        <v>9</v>
      </c>
      <c r="F109" s="44">
        <v>2300</v>
      </c>
      <c r="G109" s="44" t="s">
        <v>262</v>
      </c>
      <c r="H109" s="44" t="s">
        <v>252</v>
      </c>
      <c r="I109" s="1" t="str">
        <f t="shared" si="5"/>
        <v>August 2026</v>
      </c>
      <c r="J109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09" s="1">
        <f>IF(AND(RawData[[#This Row],[MatchFlag]]=1,COUNTIFS($G$2:G114,RawData[[#This Row],[Picker ID ]],$I$2:I114,RawData[[#This Row],[Month List]],$J$2:J114,1)=1),1,0)</f>
        <v>0</v>
      </c>
      <c r="L109" s="1">
        <f>IF(AND(RawData[[#This Row],[MatchFlag]]=1,COUNTIFS($H$2:H114,RawData[[#This Row],[Checker ID]],$I$2:I114,RawData[[#This Row],[Month List]],$J$2:J114,1)=1),1,0)</f>
        <v>0</v>
      </c>
    </row>
    <row r="110" spans="1:12" x14ac:dyDescent="0.25">
      <c r="A110" s="50">
        <v>46256</v>
      </c>
      <c r="B110" s="44">
        <v>266458</v>
      </c>
      <c r="C110" s="47" t="s">
        <v>326</v>
      </c>
      <c r="D110" s="46">
        <v>24</v>
      </c>
      <c r="E110" s="44" t="s">
        <v>9</v>
      </c>
      <c r="F110" s="44">
        <v>2270</v>
      </c>
      <c r="G110" s="44" t="s">
        <v>225</v>
      </c>
      <c r="H110" s="44" t="s">
        <v>252</v>
      </c>
      <c r="I110" s="1" t="str">
        <f t="shared" si="5"/>
        <v>August 2026</v>
      </c>
      <c r="J110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10" s="1">
        <f>IF(AND(RawData[[#This Row],[MatchFlag]]=1,COUNTIFS($G$2:G114,RawData[[#This Row],[Picker ID ]],$I$2:I114,RawData[[#This Row],[Month List]],$J$2:J114,1)=1),1,0)</f>
        <v>1</v>
      </c>
      <c r="L110" s="1">
        <f>IF(AND(RawData[[#This Row],[MatchFlag]]=1,COUNTIFS($H$2:H114,RawData[[#This Row],[Checker ID]],$I$2:I114,RawData[[#This Row],[Month List]],$J$2:J114,1)=1),1,0)</f>
        <v>0</v>
      </c>
    </row>
    <row r="111" spans="1:12" x14ac:dyDescent="0.25">
      <c r="A111" s="50">
        <v>46257</v>
      </c>
      <c r="B111" s="44">
        <v>1568011</v>
      </c>
      <c r="C111" s="47" t="s">
        <v>327</v>
      </c>
      <c r="D111" s="46">
        <v>2</v>
      </c>
      <c r="E111" s="44" t="s">
        <v>9</v>
      </c>
      <c r="F111" s="44">
        <v>2270</v>
      </c>
      <c r="G111" s="44" t="s">
        <v>328</v>
      </c>
      <c r="H111" s="44" t="s">
        <v>200</v>
      </c>
      <c r="I111" s="1" t="str">
        <f t="shared" si="5"/>
        <v>August 2026</v>
      </c>
      <c r="J111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11" s="1">
        <f>IF(AND(RawData[[#This Row],[MatchFlag]]=1,COUNTIFS($G$2:G114,RawData[[#This Row],[Picker ID ]],$I$2:I114,RawData[[#This Row],[Month List]],$J$2:J114,1)=1),1,0)</f>
        <v>0</v>
      </c>
      <c r="L111" s="1">
        <f>IF(AND(RawData[[#This Row],[MatchFlag]]=1,COUNTIFS($H$2:H114,RawData[[#This Row],[Checker ID]],$I$2:I114,RawData[[#This Row],[Month List]],$J$2:J114,1)=1),1,0)</f>
        <v>0</v>
      </c>
    </row>
    <row r="112" spans="1:12" x14ac:dyDescent="0.25">
      <c r="A112" s="50">
        <v>46257</v>
      </c>
      <c r="B112" s="44">
        <v>2240921</v>
      </c>
      <c r="C112" s="47" t="s">
        <v>329</v>
      </c>
      <c r="D112" s="46">
        <v>3</v>
      </c>
      <c r="E112" s="44" t="s">
        <v>9</v>
      </c>
      <c r="F112" s="44">
        <v>2270</v>
      </c>
      <c r="G112" s="44" t="s">
        <v>328</v>
      </c>
      <c r="H112" s="44" t="s">
        <v>200</v>
      </c>
      <c r="I112" s="1" t="str">
        <f t="shared" si="5"/>
        <v>August 2026</v>
      </c>
      <c r="J112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12" s="1">
        <f>IF(AND(RawData[[#This Row],[MatchFlag]]=1,COUNTIFS($G$2:G114,RawData[[#This Row],[Picker ID ]],$I$2:I114,RawData[[#This Row],[Month List]],$J$2:J114,1)=1),1,0)</f>
        <v>0</v>
      </c>
      <c r="L112" s="1">
        <f>IF(AND(RawData[[#This Row],[MatchFlag]]=1,COUNTIFS($H$2:H114,RawData[[#This Row],[Checker ID]],$I$2:I114,RawData[[#This Row],[Month List]],$J$2:J114,1)=1),1,0)</f>
        <v>0</v>
      </c>
    </row>
    <row r="113" spans="1:12" x14ac:dyDescent="0.25">
      <c r="A113" s="50">
        <v>46257</v>
      </c>
      <c r="B113" s="44">
        <v>2694191</v>
      </c>
      <c r="C113" s="47" t="s">
        <v>330</v>
      </c>
      <c r="D113" s="46">
        <v>6</v>
      </c>
      <c r="E113" s="44" t="s">
        <v>9</v>
      </c>
      <c r="F113" s="44">
        <v>2300</v>
      </c>
      <c r="G113" s="44" t="s">
        <v>279</v>
      </c>
      <c r="H113" s="44" t="s">
        <v>200</v>
      </c>
      <c r="I113" s="1" t="str">
        <f t="shared" si="5"/>
        <v>August 2026</v>
      </c>
      <c r="J113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13" s="1">
        <f>IF(AND(RawData[[#This Row],[MatchFlag]]=1,COUNTIFS($G$2:G114,RawData[[#This Row],[Picker ID ]],$I$2:I114,RawData[[#This Row],[Month List]],$J$2:J114,1)=1),1,0)</f>
        <v>0</v>
      </c>
      <c r="L113" s="1">
        <f>IF(AND(RawData[[#This Row],[MatchFlag]]=1,COUNTIFS($H$2:H114,RawData[[#This Row],[Checker ID]],$I$2:I114,RawData[[#This Row],[Month List]],$J$2:J114,1)=1),1,0)</f>
        <v>0</v>
      </c>
    </row>
    <row r="114" spans="1:12" x14ac:dyDescent="0.25">
      <c r="A114" s="50">
        <v>46257</v>
      </c>
      <c r="B114" s="44">
        <v>651680</v>
      </c>
      <c r="C114" s="47" t="s">
        <v>331</v>
      </c>
      <c r="D114" s="46">
        <v>4</v>
      </c>
      <c r="E114" s="44" t="s">
        <v>9</v>
      </c>
      <c r="F114" s="44">
        <v>2270</v>
      </c>
      <c r="G114" s="44" t="s">
        <v>302</v>
      </c>
      <c r="H114" s="44" t="s">
        <v>198</v>
      </c>
      <c r="I114" s="1" t="str">
        <f t="shared" si="5"/>
        <v>August 2026</v>
      </c>
      <c r="J114" s="1">
        <f>IF(AND(OR(Dashboard!$A$4="ALL",RawData[[#This Row],[Month List]]=Dashboard!$A$4),OR(Dashboard!$B$4="ALL",RawData[[#This Row],[Tour/Site]]=Dashboard!$B$4),OR(Dashboard!$C$4="ALL",RawData[[#This Row],[Picker ID ]]=Dashboard!$C$4),OR(Dashboard!$D$4="ALL",RawData[[#This Row],[Checker ID]]=Dashboard!$D$4),OR(Dashboard!$E$4="ALL",RawData[[#This Row],[Error Type ]]=Dashboard!$E$4)),1,0)</f>
        <v>1</v>
      </c>
      <c r="K114" s="1">
        <f>IF(AND(RawData[[#This Row],[MatchFlag]]=1,COUNTIFS($G$2:G114,RawData[[#This Row],[Picker ID ]],$I$2:I114,RawData[[#This Row],[Month List]],$J$2:J114,1)=1),1,0)</f>
        <v>0</v>
      </c>
      <c r="L114" s="1">
        <f>IF(AND(RawData[[#This Row],[MatchFlag]]=1,COUNTIFS($H$2:H114,RawData[[#This Row],[Checker ID]],$I$2:I114,RawData[[#This Row],[Month List]],$J$2:J114,1)=1),1,0)</f>
        <v>0</v>
      </c>
    </row>
  </sheetData>
  <phoneticPr fontId="3" type="noConversion"/>
  <conditionalFormatting sqref="E1:E1048576">
    <cfRule type="containsText" dxfId="34" priority="3" operator="containsText" text="Short">
      <formula>NOT(ISERROR(SEARCH("Short",E1)))</formula>
    </cfRule>
  </conditionalFormatting>
  <conditionalFormatting sqref="E2:E1048576">
    <cfRule type="containsText" dxfId="33" priority="4" operator="containsText" text="Excess">
      <formula>NOT(ISERROR(SEARCH("Excess",E2)))</formula>
    </cfRule>
  </conditionalFormatting>
  <dataValidations count="4">
    <dataValidation type="list" allowBlank="1" showInputMessage="1" showErrorMessage="1" sqref="E2:E1048576" xr:uid="{06DB2C99-9C8B-4257-A51F-21DB8EE10762}">
      <formula1>"Short, Excess"</formula1>
    </dataValidation>
    <dataValidation type="list" allowBlank="1" showInputMessage="1" showErrorMessage="1" sqref="G2:G1048576" xr:uid="{347FA231-EEE3-411C-9F0E-F641E1409ECA}">
      <formula1>$G$2:$G$9963</formula1>
    </dataValidation>
    <dataValidation type="list" allowBlank="1" showInputMessage="1" showErrorMessage="1" sqref="F2:F1048576" xr:uid="{8C9986F8-EF0C-4208-AABF-CB99B6935168}">
      <formula1>$F$2:$F$9963</formula1>
    </dataValidation>
    <dataValidation type="list" allowBlank="1" showInputMessage="1" showErrorMessage="1" sqref="H2:H1048576" xr:uid="{8C51105E-3091-44A8-ACA5-79F84DBB7A24}">
      <formula1>$H$2:$H$963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E19C-0869-4729-8437-CF788343C845}">
  <sheetPr codeName="Sheet4">
    <tabColor theme="9" tint="-0.499984740745262"/>
  </sheetPr>
  <dimension ref="A1:M142"/>
  <sheetViews>
    <sheetView showGridLines="0" zoomScale="110" zoomScaleNormal="110" workbookViewId="0">
      <pane ySplit="6" topLeftCell="A7" activePane="bottomLeft" state="frozen"/>
      <selection pane="bottomLeft" activeCell="A4" sqref="A4"/>
    </sheetView>
  </sheetViews>
  <sheetFormatPr defaultRowHeight="20.100000000000001" customHeight="1" x14ac:dyDescent="0.25"/>
  <cols>
    <col min="1" max="1" width="21" style="30" customWidth="1"/>
    <col min="2" max="2" width="18.28515625" style="30" customWidth="1"/>
    <col min="3" max="3" width="20.42578125" style="30" customWidth="1"/>
    <col min="4" max="4" width="21" style="30" customWidth="1"/>
    <col min="5" max="5" width="20" style="30" customWidth="1"/>
    <col min="6" max="6" width="20.28515625" style="31" customWidth="1"/>
    <col min="7" max="7" width="26.42578125" style="30" customWidth="1"/>
    <col min="8" max="8" width="24.7109375" style="30" customWidth="1"/>
    <col min="11" max="11" width="26" style="4" bestFit="1" customWidth="1"/>
    <col min="13" max="13" width="14.7109375" bestFit="1" customWidth="1"/>
  </cols>
  <sheetData>
    <row r="1" spans="1:13" s="33" customFormat="1" ht="22.5" customHeight="1" x14ac:dyDescent="0.25">
      <c r="A1" s="67" t="s">
        <v>20</v>
      </c>
      <c r="B1" s="68"/>
      <c r="C1" s="68"/>
      <c r="D1" s="68"/>
      <c r="E1" s="68"/>
      <c r="F1" s="68"/>
      <c r="G1" s="68"/>
      <c r="H1" s="68"/>
      <c r="K1" s="34"/>
    </row>
    <row r="2" spans="1:13" ht="6.75" customHeight="1" x14ac:dyDescent="0.25">
      <c r="A2" s="27"/>
      <c r="B2" s="27"/>
      <c r="C2" s="27"/>
      <c r="D2" s="27"/>
      <c r="E2" s="27"/>
      <c r="F2" s="28"/>
      <c r="G2" s="27"/>
      <c r="H2" s="27"/>
    </row>
    <row r="3" spans="1:13" ht="22.5" customHeight="1" x14ac:dyDescent="0.25">
      <c r="A3" s="35"/>
      <c r="B3" s="36"/>
      <c r="C3" s="27"/>
      <c r="D3" s="37"/>
      <c r="E3" s="37"/>
      <c r="F3" s="38"/>
      <c r="G3" s="37"/>
      <c r="H3" s="37"/>
      <c r="K3"/>
    </row>
    <row r="4" spans="1:13" ht="18.75" customHeight="1" x14ac:dyDescent="0.25">
      <c r="A4" s="39" t="s">
        <v>277</v>
      </c>
      <c r="B4" s="69">
        <f>COUNTA(_xlfn.ANCHORARRAY(A7))</f>
        <v>35</v>
      </c>
      <c r="C4" s="69"/>
      <c r="D4" s="32">
        <f>SUM(B7:B1000)</f>
        <v>65</v>
      </c>
      <c r="E4" s="32">
        <f>SUM(C7:C1000)</f>
        <v>44</v>
      </c>
      <c r="F4" s="32">
        <f>SUM(D7:D1000)</f>
        <v>21</v>
      </c>
      <c r="G4" s="32">
        <f>SUM(E7:E900)</f>
        <v>726</v>
      </c>
      <c r="H4" s="27"/>
    </row>
    <row r="5" spans="1:13" ht="35.25" customHeight="1" x14ac:dyDescent="0.25">
      <c r="A5" s="27"/>
      <c r="B5" s="27"/>
      <c r="C5" s="27"/>
      <c r="D5" s="27"/>
      <c r="E5" s="27"/>
      <c r="F5" s="28"/>
      <c r="G5" s="27"/>
      <c r="H5" s="27"/>
    </row>
    <row r="6" spans="1:13" ht="23.25" customHeight="1" x14ac:dyDescent="0.25">
      <c r="A6" s="29" t="s">
        <v>4</v>
      </c>
      <c r="B6" s="29" t="s">
        <v>13</v>
      </c>
      <c r="C6" s="29" t="s">
        <v>10</v>
      </c>
      <c r="D6" s="29" t="s">
        <v>11</v>
      </c>
      <c r="E6" s="29" t="s">
        <v>14</v>
      </c>
      <c r="F6" s="29" t="s">
        <v>15</v>
      </c>
      <c r="G6" s="29" t="s">
        <v>12</v>
      </c>
      <c r="H6" s="29" t="s">
        <v>16</v>
      </c>
      <c r="K6" s="3" t="s">
        <v>27</v>
      </c>
      <c r="M6" s="3" t="s">
        <v>21</v>
      </c>
    </row>
    <row r="7" spans="1:13" ht="20.100000000000001" customHeight="1" x14ac:dyDescent="0.25">
      <c r="A7" s="9" t="str" cm="1">
        <f t="array" ref="A7:A41">_xlfn.SORTBY(_xlfn.UNIQUE(_xlfn.ANCHORARRAY(M7)),COUNTIFS('Raw Data'!G:G,_xlfn.UNIQUE(_xlfn.ANCHORARRAY(M7)),'Raw Data'!I:I,TEXT($A$4,"mmmm yyyy")),-1)</f>
        <v>DXB425505</v>
      </c>
      <c r="B7" s="9">
        <f>IF(A7="","",COUNTIFS(RawData[[Picker ID ]],A7,RawData[Month List],TEXT($A$4,"mmmm yyyy")))</f>
        <v>5</v>
      </c>
      <c r="C7" s="9">
        <f>IF(A7="","",COUNTIFS(RawData[[Picker ID ]],A7,RawData[Month List],TEXT($A$4,"mmmm yyyy"),RawData[[Error Type ]],"Short"))</f>
        <v>4</v>
      </c>
      <c r="D7" s="9">
        <f>IF(A7="","",COUNTIFS(RawData[[Picker ID ]],A7,RawData[Month List],TEXT($A$4,"mmmm yyyy"),RawData[[Error Type ]],"Excess"))</f>
        <v>1</v>
      </c>
      <c r="E7" s="9">
        <f>IF(A7="","",SUMIFS(RawData[Qyt Affected ( EA ) ],RawData[[Picker ID ]],A7,RawData[Month List],TEXT($A$4,"mmmm yyyy")))</f>
        <v>20</v>
      </c>
      <c r="F7" s="10">
        <f>IF(A7="","",_xlfn.MAXIFS(RawData[[Date ]],RawData[[Picker ID ]],A7,RawData[Month List],TEXT($A$4,"mmmm yyyy")))</f>
        <v>46248</v>
      </c>
      <c r="G7" s="9" t="str">
        <f>IF(A7="","",IF(C7&gt;D7,"Short",IF(D7&gt;C7,"Excess", "Equal")))</f>
        <v>Short</v>
      </c>
      <c r="H7" s="9">
        <f>IF(A7="","",RANK(B7,B$7:B$9995,0))</f>
        <v>1</v>
      </c>
      <c r="K7" s="4" t="str" cm="1">
        <f t="array" ref="K7:K8">_xlfn.SORTBY(_xlfn.UNIQUE(_xlfn._xlws.FILTER(RawData[Month List],RawData[Month List]&lt;&gt;"")),DATEVALUE("01"&amp;_xlfn.UNIQUE(_xlfn._xlws.FILTER(RawData[Month List],RawData[Month List]&lt;&gt;""))))</f>
        <v>July 2026</v>
      </c>
      <c r="M7" t="str" cm="1">
        <f t="array" ref="M7:M71">_xlfn._xlws.FILTER(RawData[[Picker ID ]],(RawData[[Picker ID ]]&lt;&gt;"")*(RawData[Month List]=TEXT($A$4,"mmmm yyyy")))</f>
        <v>DXB504922</v>
      </c>
    </row>
    <row r="8" spans="1:13" ht="20.100000000000001" customHeight="1" x14ac:dyDescent="0.25">
      <c r="A8" s="9" t="str">
        <v>DXB504922</v>
      </c>
      <c r="B8" s="9">
        <f>IF(A8="","",COUNTIFS('Raw Data'!G:G,A8,'Raw Data'!I:I,TEXT($A$4,"mmmm yyyy")))</f>
        <v>4</v>
      </c>
      <c r="C8" s="9">
        <f>IF(A8="","",COUNTIFS(RawData[[Picker ID ]],A8,RawData[Month List],TEXT($A$4,"mmmm yyyy"),RawData[[Error Type ]],"Short"))</f>
        <v>3</v>
      </c>
      <c r="D8" s="9">
        <f>IF(A8="","",COUNTIFS(RawData[[Picker ID ]],A8,RawData[Month List],TEXT($A$4,"mmmm yyyy"),RawData[[Error Type ]],"Excess"))</f>
        <v>1</v>
      </c>
      <c r="E8" s="9">
        <f>IF(A8="","",SUMIFS(RawData[Qyt Affected ( EA ) ],RawData[[Picker ID ]],A8,RawData[Month List],TEXT($A$4,"mmmm yyyy")))</f>
        <v>66</v>
      </c>
      <c r="F8" s="10">
        <f>IF(A8="","",_xlfn.MAXIFS(RawData[[Date ]],RawData[[Picker ID ]],A8,RawData[Month List],TEXT($A$4,"mmmm yyyy")))</f>
        <v>46255</v>
      </c>
      <c r="G8" s="9" t="str">
        <f t="shared" ref="G8:G71" si="0">IF(A8="","",IF(C8&gt;D8,"Short",IF(D8&gt;C8,"Excess", "Equal")))</f>
        <v>Short</v>
      </c>
      <c r="H8" s="9">
        <f t="shared" ref="H8:H71" si="1">IF(A8="","",RANK(B8,B$7:B$9995,0))</f>
        <v>2</v>
      </c>
      <c r="K8" s="4" t="str">
        <v>August 2026</v>
      </c>
      <c r="M8" t="str">
        <v>DXB504922</v>
      </c>
    </row>
    <row r="9" spans="1:13" ht="20.100000000000001" customHeight="1" x14ac:dyDescent="0.25">
      <c r="A9" s="9" t="str">
        <v>DXB504950</v>
      </c>
      <c r="B9" s="9">
        <f>IF(A9="","",COUNTIFS('Raw Data'!G:G,A9,'Raw Data'!I:I,TEXT($A$4,"mmmm yyyy")))</f>
        <v>4</v>
      </c>
      <c r="C9" s="9">
        <f>IF(A9="","",COUNTIFS(RawData[[Picker ID ]],A9,RawData[Month List],TEXT($A$4,"mmmm yyyy"),RawData[[Error Type ]],"Short"))</f>
        <v>2</v>
      </c>
      <c r="D9" s="9">
        <f>IF(A9="","",COUNTIFS(RawData[[Picker ID ]],A9,RawData[Month List],TEXT($A$4,"mmmm yyyy"),RawData[[Error Type ]],"Excess"))</f>
        <v>2</v>
      </c>
      <c r="E9" s="9">
        <f>IF(A9="","",SUMIFS(RawData[Qyt Affected ( EA ) ],RawData[[Picker ID ]],A9,RawData[Month List],TEXT($A$4,"mmmm yyyy")))</f>
        <v>39</v>
      </c>
      <c r="F9" s="10">
        <f>IF(A9="","",_xlfn.MAXIFS(RawData[[Date ]],RawData[[Picker ID ]],A9,RawData[Month List],TEXT($A$4,"mmmm yyyy")))</f>
        <v>46253</v>
      </c>
      <c r="G9" s="9" t="str">
        <f t="shared" si="0"/>
        <v>Equal</v>
      </c>
      <c r="H9" s="9">
        <f t="shared" si="1"/>
        <v>2</v>
      </c>
      <c r="M9" t="str">
        <v>DXB420499</v>
      </c>
    </row>
    <row r="10" spans="1:13" ht="20.100000000000001" customHeight="1" x14ac:dyDescent="0.25">
      <c r="A10" s="9" t="str">
        <v>DXB52675R</v>
      </c>
      <c r="B10" s="9">
        <f>IF(A10="","",COUNTIFS('Raw Data'!G:G,A10,'Raw Data'!I:I,TEXT($A$4,"mmmm yyyy")))</f>
        <v>4</v>
      </c>
      <c r="C10" s="9">
        <f>IF(A10="","",COUNTIFS(RawData[[Picker ID ]],A10,RawData[Month List],TEXT($A$4,"mmmm yyyy"),RawData[[Error Type ]],"Short"))</f>
        <v>2</v>
      </c>
      <c r="D10" s="9">
        <f>IF(A10="","",COUNTIFS(RawData[[Picker ID ]],A10,RawData[Month List],TEXT($A$4,"mmmm yyyy"),RawData[[Error Type ]],"Excess"))</f>
        <v>2</v>
      </c>
      <c r="E10" s="9">
        <f>IF(A10="","",SUMIFS(RawData[Qyt Affected ( EA ) ],RawData[[Picker ID ]],A10,RawData[Month List],TEXT($A$4,"mmmm yyyy")))</f>
        <v>36</v>
      </c>
      <c r="F10" s="10">
        <f>IF(A10="","",_xlfn.MAXIFS(RawData[[Date ]],RawData[[Picker ID ]],A10,RawData[Month List],TEXT($A$4,"mmmm yyyy")))</f>
        <v>46257</v>
      </c>
      <c r="G10" s="9" t="str">
        <f t="shared" si="0"/>
        <v>Equal</v>
      </c>
      <c r="H10" s="9">
        <f t="shared" si="1"/>
        <v>2</v>
      </c>
      <c r="M10" t="str">
        <v>DXB411399R</v>
      </c>
    </row>
    <row r="11" spans="1:13" ht="15.75" x14ac:dyDescent="0.25">
      <c r="A11" s="9" t="str">
        <v>DXB471127</v>
      </c>
      <c r="B11" s="9">
        <f>IF(A11="","",COUNTIFS('Raw Data'!G:G,A11,'Raw Data'!I:I,TEXT($A$4,"mmmm yyyy")))</f>
        <v>4</v>
      </c>
      <c r="C11" s="9">
        <f>IF(A11="","",COUNTIFS(RawData[[Picker ID ]],A11,RawData[Month List],TEXT($A$4,"mmmm yyyy"),RawData[[Error Type ]],"Short"))</f>
        <v>2</v>
      </c>
      <c r="D11" s="9">
        <f>IF(A11="","",COUNTIFS(RawData[[Picker ID ]],A11,RawData[Month List],TEXT($A$4,"mmmm yyyy"),RawData[[Error Type ]],"Excess"))</f>
        <v>2</v>
      </c>
      <c r="E11" s="9">
        <f>IF(A11="","",SUMIFS(RawData[Qyt Affected ( EA ) ],RawData[[Picker ID ]],A11,RawData[Month List],TEXT($A$4,"mmmm yyyy")))</f>
        <v>76</v>
      </c>
      <c r="F11" s="10">
        <f>IF(A11="","",_xlfn.MAXIFS(RawData[[Date ]],RawData[[Picker ID ]],A11,RawData[Month List],TEXT($A$4,"mmmm yyyy")))</f>
        <v>46252</v>
      </c>
      <c r="G11" s="9" t="str">
        <f t="shared" si="0"/>
        <v>Equal</v>
      </c>
      <c r="H11" s="9">
        <f t="shared" si="1"/>
        <v>2</v>
      </c>
      <c r="M11" t="str">
        <v>DXB57291R</v>
      </c>
    </row>
    <row r="12" spans="1:13" ht="15.75" x14ac:dyDescent="0.25">
      <c r="A12" s="9" t="str">
        <v>DXB411399R</v>
      </c>
      <c r="B12" s="9">
        <f>IF(A12="","",COUNTIFS('Raw Data'!G:G,A12,'Raw Data'!I:I,TEXT($A$4,"mmmm yyyy")))</f>
        <v>3</v>
      </c>
      <c r="C12" s="9">
        <f>IF(A12="","",COUNTIFS(RawData[[Picker ID ]],A12,RawData[Month List],TEXT($A$4,"mmmm yyyy"),RawData[[Error Type ]],"Short"))</f>
        <v>2</v>
      </c>
      <c r="D12" s="9">
        <f>IF(A12="","",COUNTIFS(RawData[[Picker ID ]],A12,RawData[Month List],TEXT($A$4,"mmmm yyyy"),RawData[[Error Type ]],"Excess"))</f>
        <v>1</v>
      </c>
      <c r="E12" s="9">
        <f>IF(A12="","",SUMIFS(RawData[Qyt Affected ( EA ) ],RawData[[Picker ID ]],A12,RawData[Month List],TEXT($A$4,"mmmm yyyy")))</f>
        <v>21</v>
      </c>
      <c r="F12" s="10">
        <f>IF(A12="","",_xlfn.MAXIFS(RawData[[Date ]],RawData[[Picker ID ]],A12,RawData[Month List],TEXT($A$4,"mmmm yyyy")))</f>
        <v>46237</v>
      </c>
      <c r="G12" s="9" t="str">
        <f t="shared" si="0"/>
        <v>Short</v>
      </c>
      <c r="H12" s="9">
        <f t="shared" si="1"/>
        <v>6</v>
      </c>
      <c r="M12" t="str">
        <v>DXB510559</v>
      </c>
    </row>
    <row r="13" spans="1:13" ht="15.75" x14ac:dyDescent="0.25">
      <c r="A13" s="9" t="str">
        <v>DXB57291R</v>
      </c>
      <c r="B13" s="9">
        <f>IF(A13="","",COUNTIFS('Raw Data'!G:G,A13,'Raw Data'!I:I,TEXT($A$4,"mmmm yyyy")))</f>
        <v>3</v>
      </c>
      <c r="C13" s="9">
        <f>IF(A13="","",COUNTIFS(RawData[[Picker ID ]],A13,RawData[Month List],TEXT($A$4,"mmmm yyyy"),RawData[[Error Type ]],"Short"))</f>
        <v>2</v>
      </c>
      <c r="D13" s="9">
        <f>IF(A13="","",COUNTIFS(RawData[[Picker ID ]],A13,RawData[Month List],TEXT($A$4,"mmmm yyyy"),RawData[[Error Type ]],"Excess"))</f>
        <v>1</v>
      </c>
      <c r="E13" s="9">
        <f>IF(A13="","",SUMIFS(RawData[Qyt Affected ( EA ) ],RawData[[Picker ID ]],A13,RawData[Month List],TEXT($A$4,"mmmm yyyy")))</f>
        <v>25</v>
      </c>
      <c r="F13" s="10">
        <f>IF(A13="","",_xlfn.MAXIFS(RawData[[Date ]],RawData[[Picker ID ]],A13,RawData[Month List],TEXT($A$4,"mmmm yyyy")))</f>
        <v>46256</v>
      </c>
      <c r="G13" s="9" t="str">
        <f t="shared" si="0"/>
        <v>Short</v>
      </c>
      <c r="H13" s="9">
        <f t="shared" si="1"/>
        <v>6</v>
      </c>
      <c r="M13" t="str">
        <v>DXB412854</v>
      </c>
    </row>
    <row r="14" spans="1:13" ht="20.100000000000001" customHeight="1" x14ac:dyDescent="0.25">
      <c r="A14" s="9" t="str">
        <v>DXB509334</v>
      </c>
      <c r="B14" s="9">
        <f>IF(A14="","",COUNTIFS('Raw Data'!G:G,A14,'Raw Data'!I:I,TEXT($A$4,"mmmm yyyy")))</f>
        <v>3</v>
      </c>
      <c r="C14" s="9">
        <f>IF(A14="","",COUNTIFS(RawData[[Picker ID ]],A14,RawData[Month List],TEXT($A$4,"mmmm yyyy"),RawData[[Error Type ]],"Short"))</f>
        <v>2</v>
      </c>
      <c r="D14" s="9">
        <f>IF(A14="","",COUNTIFS(RawData[[Picker ID ]],A14,RawData[Month List],TEXT($A$4,"mmmm yyyy"),RawData[[Error Type ]],"Excess"))</f>
        <v>1</v>
      </c>
      <c r="E14" s="9">
        <f>IF(A14="","",SUMIFS(RawData[Qyt Affected ( EA ) ],RawData[[Picker ID ]],A14,RawData[Month List],TEXT($A$4,"mmmm yyyy")))</f>
        <v>43</v>
      </c>
      <c r="F14" s="10">
        <f>IF(A14="","",_xlfn.MAXIFS(RawData[[Date ]],RawData[[Picker ID ]],A14,RawData[Month List],TEXT($A$4,"mmmm yyyy")))</f>
        <v>46254</v>
      </c>
      <c r="G14" s="9" t="str">
        <f t="shared" si="0"/>
        <v>Short</v>
      </c>
      <c r="H14" s="9">
        <f t="shared" si="1"/>
        <v>6</v>
      </c>
      <c r="M14" t="str">
        <v>DXB494696</v>
      </c>
    </row>
    <row r="15" spans="1:13" ht="20.100000000000001" customHeight="1" x14ac:dyDescent="0.25">
      <c r="A15" s="9" t="str">
        <v>DXB497085</v>
      </c>
      <c r="B15" s="9">
        <f>IF(A15="","",COUNTIFS('Raw Data'!G:G,A15,'Raw Data'!I:I,TEXT($A$4,"mmmm yyyy")))</f>
        <v>3</v>
      </c>
      <c r="C15" s="9">
        <f>IF(A15="","",COUNTIFS(RawData[[Picker ID ]],A15,RawData[Month List],TEXT($A$4,"mmmm yyyy"),RawData[[Error Type ]],"Short"))</f>
        <v>2</v>
      </c>
      <c r="D15" s="9">
        <f>IF(A15="","",COUNTIFS(RawData[[Picker ID ]],A15,RawData[Month List],TEXT($A$4,"mmmm yyyy"),RawData[[Error Type ]],"Excess"))</f>
        <v>1</v>
      </c>
      <c r="E15" s="9">
        <f>IF(A15="","",SUMIFS(RawData[Qyt Affected ( EA ) ],RawData[[Picker ID ]],A15,RawData[Month List],TEXT($A$4,"mmmm yyyy")))</f>
        <v>34</v>
      </c>
      <c r="F15" s="10">
        <f>IF(A15="","",_xlfn.MAXIFS(RawData[[Date ]],RawData[[Picker ID ]],A15,RawData[Month List],TEXT($A$4,"mmmm yyyy")))</f>
        <v>46257</v>
      </c>
      <c r="G15" s="9" t="str">
        <f t="shared" si="0"/>
        <v>Short</v>
      </c>
      <c r="H15" s="9">
        <f t="shared" si="1"/>
        <v>6</v>
      </c>
      <c r="M15" t="str">
        <v>DXB504950</v>
      </c>
    </row>
    <row r="16" spans="1:13" ht="20.100000000000001" customHeight="1" x14ac:dyDescent="0.25">
      <c r="A16" s="9" t="str">
        <v>DXB494696</v>
      </c>
      <c r="B16" s="9">
        <f>IF(A16="","",COUNTIFS('Raw Data'!G:G,A16,'Raw Data'!I:I,TEXT($A$4,"mmmm yyyy")))</f>
        <v>2</v>
      </c>
      <c r="C16" s="9">
        <f>IF(A16="","",COUNTIFS(RawData[[Picker ID ]],A16,RawData[Month List],TEXT($A$4,"mmmm yyyy"),RawData[[Error Type ]],"Short"))</f>
        <v>2</v>
      </c>
      <c r="D16" s="9">
        <f>IF(A16="","",COUNTIFS(RawData[[Picker ID ]],A16,RawData[Month List],TEXT($A$4,"mmmm yyyy"),RawData[[Error Type ]],"Excess"))</f>
        <v>0</v>
      </c>
      <c r="E16" s="9">
        <f>IF(A16="","",SUMIFS(RawData[Qyt Affected ( EA ) ],RawData[[Picker ID ]],A16,RawData[Month List],TEXT($A$4,"mmmm yyyy")))</f>
        <v>18</v>
      </c>
      <c r="F16" s="10">
        <f>IF(A16="","",_xlfn.MAXIFS(RawData[[Date ]],RawData[[Picker ID ]],A16,RawData[Month List],TEXT($A$4,"mmmm yyyy")))</f>
        <v>46250</v>
      </c>
      <c r="G16" s="9" t="str">
        <f t="shared" si="0"/>
        <v>Short</v>
      </c>
      <c r="H16" s="9">
        <f t="shared" si="1"/>
        <v>10</v>
      </c>
      <c r="M16" t="str">
        <v>DXB411399R</v>
      </c>
    </row>
    <row r="17" spans="1:13" ht="19.5" customHeight="1" x14ac:dyDescent="0.25">
      <c r="A17" s="9" t="str">
        <v>DXB481020R</v>
      </c>
      <c r="B17" s="9">
        <f>IF(A17="","",COUNTIFS('Raw Data'!G:G,A17,'Raw Data'!I:I,TEXT($A$4,"mmmm yyyy")))</f>
        <v>2</v>
      </c>
      <c r="C17" s="9">
        <f>IF(A17="","",COUNTIFS(RawData[[Picker ID ]],A17,RawData[Month List],TEXT($A$4,"mmmm yyyy"),RawData[[Error Type ]],"Short"))</f>
        <v>1</v>
      </c>
      <c r="D17" s="9">
        <f>IF(A17="","",COUNTIFS(RawData[[Picker ID ]],A17,RawData[Month List],TEXT($A$4,"mmmm yyyy"),RawData[[Error Type ]],"Excess"))</f>
        <v>1</v>
      </c>
      <c r="E17" s="9">
        <f>IF(A17="","",SUMIFS(RawData[Qyt Affected ( EA ) ],RawData[[Picker ID ]],A17,RawData[Month List],TEXT($A$4,"mmmm yyyy")))</f>
        <v>12</v>
      </c>
      <c r="F17" s="10">
        <f>IF(A17="","",_xlfn.MAXIFS(RawData[[Date ]],RawData[[Picker ID ]],A17,RawData[Month List],TEXT($A$4,"mmmm yyyy")))</f>
        <v>46240</v>
      </c>
      <c r="G17" s="9" t="str">
        <f t="shared" si="0"/>
        <v>Equal</v>
      </c>
      <c r="H17" s="9">
        <f t="shared" si="1"/>
        <v>10</v>
      </c>
      <c r="M17" t="str">
        <v>DXB414071R</v>
      </c>
    </row>
    <row r="18" spans="1:13" ht="20.100000000000001" hidden="1" customHeight="1" x14ac:dyDescent="0.25">
      <c r="A18" s="9" t="str">
        <v>DXB430120R</v>
      </c>
      <c r="B18" s="9">
        <f>IF(A18="","",COUNTIFS('Raw Data'!G:G,A18,'Raw Data'!I:I,TEXT($A$4,"mmmm yyyy")))</f>
        <v>2</v>
      </c>
      <c r="C18" s="9">
        <f>IF(A18="","",COUNTIFS(RawData[[Picker ID ]],A18,RawData[Month List],TEXT($A$4,"mmmm yyyy"),RawData[[Error Type ]],"Short"))</f>
        <v>1</v>
      </c>
      <c r="D18" s="9">
        <f>IF(A18="","",COUNTIFS(RawData[[Picker ID ]],A18,RawData[Month List],TEXT($A$4,"mmmm yyyy"),RawData[[Error Type ]],"Excess"))</f>
        <v>1</v>
      </c>
      <c r="E18" s="9">
        <f>IF(A18="","",SUMIFS(RawData[Qyt Affected ( EA ) ],RawData[[Picker ID ]],A18,RawData[Month List],TEXT($A$4,"mmmm yyyy")))</f>
        <v>12</v>
      </c>
      <c r="F18" s="10">
        <f>IF(A18="","",_xlfn.MAXIFS(RawData[[Date ]],RawData[[Picker ID ]],A18,RawData[Month List],TEXT($A$4,"mmmm yyyy")))</f>
        <v>46248</v>
      </c>
      <c r="G18" s="9" t="str">
        <f t="shared" si="0"/>
        <v>Equal</v>
      </c>
      <c r="H18" s="9">
        <f t="shared" si="1"/>
        <v>10</v>
      </c>
      <c r="M18" t="str">
        <v>DXB411399R</v>
      </c>
    </row>
    <row r="19" spans="1:13" ht="20.100000000000001" customHeight="1" x14ac:dyDescent="0.25">
      <c r="A19" s="9" t="str">
        <v>DXB485760</v>
      </c>
      <c r="B19" s="9">
        <f>IF(A19="","",COUNTIFS('Raw Data'!G:G,A19,'Raw Data'!I:I,TEXT($A$4,"mmmm yyyy")))</f>
        <v>2</v>
      </c>
      <c r="C19" s="9">
        <f>IF(A19="","",COUNTIFS(RawData[[Picker ID ]],A19,RawData[Month List],TEXT($A$4,"mmmm yyyy"),RawData[[Error Type ]],"Short"))</f>
        <v>1</v>
      </c>
      <c r="D19" s="9">
        <f>IF(A19="","",COUNTIFS(RawData[[Picker ID ]],A19,RawData[Month List],TEXT($A$4,"mmmm yyyy"),RawData[[Error Type ]],"Excess"))</f>
        <v>1</v>
      </c>
      <c r="E19" s="9">
        <f>IF(A19="","",SUMIFS(RawData[Qyt Affected ( EA ) ],RawData[[Picker ID ]],A19,RawData[Month List],TEXT($A$4,"mmmm yyyy")))</f>
        <v>12</v>
      </c>
      <c r="F19" s="10">
        <f>IF(A19="","",_xlfn.MAXIFS(RawData[[Date ]],RawData[[Picker ID ]],A19,RawData[Month List],TEXT($A$4,"mmmm yyyy")))</f>
        <v>46248</v>
      </c>
      <c r="G19" s="9" t="str">
        <f t="shared" si="0"/>
        <v>Equal</v>
      </c>
      <c r="H19" s="9">
        <f t="shared" si="1"/>
        <v>10</v>
      </c>
      <c r="M19" t="str">
        <v>DXB413486R</v>
      </c>
    </row>
    <row r="20" spans="1:13" ht="20.100000000000001" customHeight="1" x14ac:dyDescent="0.25">
      <c r="A20" s="9" t="str">
        <v>DXB492303</v>
      </c>
      <c r="B20" s="9">
        <f>IF(A20="","",COUNTIFS('Raw Data'!G:G,A20,'Raw Data'!I:I,TEXT($A$4,"mmmm yyyy")))</f>
        <v>2</v>
      </c>
      <c r="C20" s="9">
        <f>IF(A20="","",COUNTIFS(RawData[[Picker ID ]],A20,RawData[Month List],TEXT($A$4,"mmmm yyyy"),RawData[[Error Type ]],"Short"))</f>
        <v>1</v>
      </c>
      <c r="D20" s="9">
        <f>IF(A20="","",COUNTIFS(RawData[[Picker ID ]],A20,RawData[Month List],TEXT($A$4,"mmmm yyyy"),RawData[[Error Type ]],"Excess"))</f>
        <v>1</v>
      </c>
      <c r="E20" s="9">
        <f>IF(A20="","",SUMIFS(RawData[Qyt Affected ( EA ) ],RawData[[Picker ID ]],A20,RawData[Month List],TEXT($A$4,"mmmm yyyy")))</f>
        <v>79</v>
      </c>
      <c r="F20" s="10">
        <f>IF(A20="","",_xlfn.MAXIFS(RawData[[Date ]],RawData[[Picker ID ]],A20,RawData[Month List],TEXT($A$4,"mmmm yyyy")))</f>
        <v>46250</v>
      </c>
      <c r="G20" s="9" t="str">
        <f t="shared" si="0"/>
        <v>Equal</v>
      </c>
      <c r="H20" s="9">
        <f t="shared" si="1"/>
        <v>10</v>
      </c>
      <c r="M20" t="str">
        <v>DXB425505</v>
      </c>
    </row>
    <row r="21" spans="1:13" ht="20.100000000000001" customHeight="1" x14ac:dyDescent="0.25">
      <c r="A21" s="9" t="str">
        <v>DXB497090</v>
      </c>
      <c r="B21" s="9">
        <f>IF(A21="","",COUNTIFS('Raw Data'!G:G,A21,'Raw Data'!I:I,TEXT($A$4,"mmmm yyyy")))</f>
        <v>2</v>
      </c>
      <c r="C21" s="9">
        <f>IF(A21="","",COUNTIFS(RawData[[Picker ID ]],A21,RawData[Month List],TEXT($A$4,"mmmm yyyy"),RawData[[Error Type ]],"Short"))</f>
        <v>2</v>
      </c>
      <c r="D21" s="9">
        <f>IF(A21="","",COUNTIFS(RawData[[Picker ID ]],A21,RawData[Month List],TEXT($A$4,"mmmm yyyy"),RawData[[Error Type ]],"Excess"))</f>
        <v>0</v>
      </c>
      <c r="E21" s="9">
        <f>IF(A21="","",SUMIFS(RawData[Qyt Affected ( EA ) ],RawData[[Picker ID ]],A21,RawData[Month List],TEXT($A$4,"mmmm yyyy")))</f>
        <v>5</v>
      </c>
      <c r="F21" s="10">
        <f>IF(A21="","",_xlfn.MAXIFS(RawData[[Date ]],RawData[[Picker ID ]],A21,RawData[Month List],TEXT($A$4,"mmmm yyyy")))</f>
        <v>46257</v>
      </c>
      <c r="G21" s="9" t="str">
        <f t="shared" si="0"/>
        <v>Short</v>
      </c>
      <c r="H21" s="9">
        <f t="shared" si="1"/>
        <v>10</v>
      </c>
      <c r="M21" t="str">
        <v>DXB481020R</v>
      </c>
    </row>
    <row r="22" spans="1:13" ht="20.100000000000001" customHeight="1" x14ac:dyDescent="0.25">
      <c r="A22" s="9" t="str">
        <v>DXB420499</v>
      </c>
      <c r="B22" s="9">
        <f>IF(A22="","",COUNTIFS('Raw Data'!G:G,A22,'Raw Data'!I:I,TEXT($A$4,"mmmm yyyy")))</f>
        <v>1</v>
      </c>
      <c r="C22" s="9">
        <f>IF(A22="","",COUNTIFS(RawData[[Picker ID ]],A22,RawData[Month List],TEXT($A$4,"mmmm yyyy"),RawData[[Error Type ]],"Short"))</f>
        <v>1</v>
      </c>
      <c r="D22" s="9">
        <f>IF(A22="","",COUNTIFS(RawData[[Picker ID ]],A22,RawData[Month List],TEXT($A$4,"mmmm yyyy"),RawData[[Error Type ]],"Excess"))</f>
        <v>0</v>
      </c>
      <c r="E22" s="9">
        <f>IF(A22="","",SUMIFS(RawData[Qyt Affected ( EA ) ],RawData[[Picker ID ]],A22,RawData[Month List],TEXT($A$4,"mmmm yyyy")))</f>
        <v>32</v>
      </c>
      <c r="F22" s="10">
        <f>IF(A22="","",_xlfn.MAXIFS(RawData[[Date ]],RawData[[Picker ID ]],A22,RawData[Month List],TEXT($A$4,"mmmm yyyy")))</f>
        <v>46235</v>
      </c>
      <c r="G22" s="9" t="str">
        <f t="shared" si="0"/>
        <v>Short</v>
      </c>
      <c r="H22" s="9">
        <f t="shared" si="1"/>
        <v>16</v>
      </c>
      <c r="M22" t="str">
        <v>DXB481020R</v>
      </c>
    </row>
    <row r="23" spans="1:13" ht="20.100000000000001" customHeight="1" x14ac:dyDescent="0.25">
      <c r="A23" s="9" t="str">
        <v>DXB510559</v>
      </c>
      <c r="B23" s="9">
        <f>IF(A23="","",COUNTIFS('Raw Data'!G:G,A23,'Raw Data'!I:I,TEXT($A$4,"mmmm yyyy")))</f>
        <v>1</v>
      </c>
      <c r="C23" s="9">
        <f>IF(A23="","",COUNTIFS(RawData[[Picker ID ]],A23,RawData[Month List],TEXT($A$4,"mmmm yyyy"),RawData[[Error Type ]],"Short"))</f>
        <v>0</v>
      </c>
      <c r="D23" s="9">
        <f>IF(A23="","",COUNTIFS(RawData[[Picker ID ]],A23,RawData[Month List],TEXT($A$4,"mmmm yyyy"),RawData[[Error Type ]],"Excess"))</f>
        <v>1</v>
      </c>
      <c r="E23" s="9">
        <f>IF(A23="","",SUMIFS(RawData[Qyt Affected ( EA ) ],RawData[[Picker ID ]],A23,RawData[Month List],TEXT($A$4,"mmmm yyyy")))</f>
        <v>12</v>
      </c>
      <c r="F23" s="10">
        <f>IF(A23="","",_xlfn.MAXIFS(RawData[[Date ]],RawData[[Picker ID ]],A23,RawData[Month List],TEXT($A$4,"mmmm yyyy")))</f>
        <v>46235</v>
      </c>
      <c r="G23" s="9" t="str">
        <f t="shared" si="0"/>
        <v>Excess</v>
      </c>
      <c r="H23" s="9">
        <f t="shared" si="1"/>
        <v>16</v>
      </c>
      <c r="M23" t="str">
        <v>DXB504923</v>
      </c>
    </row>
    <row r="24" spans="1:13" ht="20.100000000000001" customHeight="1" x14ac:dyDescent="0.25">
      <c r="A24" s="9" t="str">
        <v>DXB412854</v>
      </c>
      <c r="B24" s="9">
        <f>IF(A24="","",COUNTIFS('Raw Data'!G:G,A24,'Raw Data'!I:I,TEXT($A$4,"mmmm yyyy")))</f>
        <v>1</v>
      </c>
      <c r="C24" s="9">
        <f>IF(A24="","",COUNTIFS(RawData[[Picker ID ]],A24,RawData[Month List],TEXT($A$4,"mmmm yyyy"),RawData[[Error Type ]],"Short"))</f>
        <v>1</v>
      </c>
      <c r="D24" s="9">
        <f>IF(A24="","",COUNTIFS(RawData[[Picker ID ]],A24,RawData[Month List],TEXT($A$4,"mmmm yyyy"),RawData[[Error Type ]],"Excess"))</f>
        <v>0</v>
      </c>
      <c r="E24" s="9">
        <f>IF(A24="","",SUMIFS(RawData[Qyt Affected ( EA ) ],RawData[[Picker ID ]],A24,RawData[Month List],TEXT($A$4,"mmmm yyyy")))</f>
        <v>12</v>
      </c>
      <c r="F24" s="10">
        <f>IF(A24="","",_xlfn.MAXIFS(RawData[[Date ]],RawData[[Picker ID ]],A24,RawData[Month List],TEXT($A$4,"mmmm yyyy")))</f>
        <v>46235</v>
      </c>
      <c r="G24" s="9" t="str">
        <f t="shared" si="0"/>
        <v>Short</v>
      </c>
      <c r="H24" s="9">
        <f t="shared" si="1"/>
        <v>16</v>
      </c>
      <c r="M24" t="str">
        <v>DXB52675R</v>
      </c>
    </row>
    <row r="25" spans="1:13" ht="20.100000000000001" customHeight="1" x14ac:dyDescent="0.25">
      <c r="A25" s="9" t="str">
        <v>DXB414071R</v>
      </c>
      <c r="B25" s="9">
        <f>IF(A25="","",COUNTIFS('Raw Data'!G:G,A25,'Raw Data'!I:I,TEXT($A$4,"mmmm yyyy")))</f>
        <v>1</v>
      </c>
      <c r="C25" s="9">
        <f>IF(A25="","",COUNTIFS(RawData[[Picker ID ]],A25,RawData[Month List],TEXT($A$4,"mmmm yyyy"),RawData[[Error Type ]],"Short"))</f>
        <v>1</v>
      </c>
      <c r="D25" s="9">
        <f>IF(A25="","",COUNTIFS(RawData[[Picker ID ]],A25,RawData[Month List],TEXT($A$4,"mmmm yyyy"),RawData[[Error Type ]],"Excess"))</f>
        <v>0</v>
      </c>
      <c r="E25" s="9">
        <f>IF(A25="","",SUMIFS(RawData[Qyt Affected ( EA ) ],RawData[[Picker ID ]],A25,RawData[Month List],TEXT($A$4,"mmmm yyyy")))</f>
        <v>8</v>
      </c>
      <c r="F25" s="10">
        <f>IF(A25="","",_xlfn.MAXIFS(RawData[[Date ]],RawData[[Picker ID ]],A25,RawData[Month List],TEXT($A$4,"mmmm yyyy")))</f>
        <v>46237</v>
      </c>
      <c r="G25" s="9" t="str">
        <f t="shared" si="0"/>
        <v>Short</v>
      </c>
      <c r="H25" s="9">
        <f t="shared" si="1"/>
        <v>16</v>
      </c>
      <c r="M25" t="str">
        <v>DXB52675R</v>
      </c>
    </row>
    <row r="26" spans="1:13" ht="20.100000000000001" customHeight="1" x14ac:dyDescent="0.25">
      <c r="A26" s="9" t="str">
        <v>DXB413486R</v>
      </c>
      <c r="B26" s="9">
        <f>IF(A26="","",COUNTIFS('Raw Data'!G:G,A26,'Raw Data'!I:I,TEXT($A$4,"mmmm yyyy")))</f>
        <v>1</v>
      </c>
      <c r="C26" s="9">
        <f>IF(A26="","",COUNTIFS(RawData[[Picker ID ]],A26,RawData[Month List],TEXT($A$4,"mmmm yyyy"),RawData[[Error Type ]],"Short"))</f>
        <v>1</v>
      </c>
      <c r="D26" s="9">
        <f>IF(A26="","",COUNTIFS(RawData[[Picker ID ]],A26,RawData[Month List],TEXT($A$4,"mmmm yyyy"),RawData[[Error Type ]],"Excess"))</f>
        <v>0</v>
      </c>
      <c r="E26" s="9">
        <f>IF(A26="","",SUMIFS(RawData[Qyt Affected ( EA ) ],RawData[[Picker ID ]],A26,RawData[Month List],TEXT($A$4,"mmmm yyyy")))</f>
        <v>3</v>
      </c>
      <c r="F26" s="10">
        <f>IF(A26="","",_xlfn.MAXIFS(RawData[[Date ]],RawData[[Picker ID ]],A26,RawData[Month List],TEXT($A$4,"mmmm yyyy")))</f>
        <v>46239</v>
      </c>
      <c r="G26" s="9" t="str">
        <f t="shared" si="0"/>
        <v>Short</v>
      </c>
      <c r="H26" s="9">
        <f t="shared" si="1"/>
        <v>16</v>
      </c>
      <c r="M26" t="str">
        <v>DXB76893</v>
      </c>
    </row>
    <row r="27" spans="1:13" ht="20.100000000000001" customHeight="1" x14ac:dyDescent="0.25">
      <c r="A27" s="9" t="str">
        <v>DXB504923</v>
      </c>
      <c r="B27" s="9">
        <f>IF(A27="","",COUNTIFS('Raw Data'!G:G,A27,'Raw Data'!I:I,TEXT($A$4,"mmmm yyyy")))</f>
        <v>1</v>
      </c>
      <c r="C27" s="9">
        <f>IF(A27="","",COUNTIFS(RawData[[Picker ID ]],A27,RawData[Month List],TEXT($A$4,"mmmm yyyy"),RawData[[Error Type ]],"Short"))</f>
        <v>0</v>
      </c>
      <c r="D27" s="9">
        <f>IF(A27="","",COUNTIFS(RawData[[Picker ID ]],A27,RawData[Month List],TEXT($A$4,"mmmm yyyy"),RawData[[Error Type ]],"Excess"))</f>
        <v>1</v>
      </c>
      <c r="E27" s="9">
        <f>IF(A27="","",SUMIFS(RawData[Qyt Affected ( EA ) ],RawData[[Picker ID ]],A27,RawData[Month List],TEXT($A$4,"mmmm yyyy")))</f>
        <v>1</v>
      </c>
      <c r="F27" s="10">
        <f>IF(A27="","",_xlfn.MAXIFS(RawData[[Date ]],RawData[[Picker ID ]],A27,RawData[Month List],TEXT($A$4,"mmmm yyyy")))</f>
        <v>46240</v>
      </c>
      <c r="G27" s="9" t="str">
        <f t="shared" si="0"/>
        <v>Excess</v>
      </c>
      <c r="H27" s="9">
        <f t="shared" si="1"/>
        <v>16</v>
      </c>
      <c r="M27" t="str">
        <v>DXB425505</v>
      </c>
    </row>
    <row r="28" spans="1:13" ht="20.100000000000001" customHeight="1" x14ac:dyDescent="0.25">
      <c r="A28" s="9" t="str">
        <v>DXB76893</v>
      </c>
      <c r="B28" s="9">
        <f>IF(A28="","",COUNTIFS('Raw Data'!G:G,A28,'Raw Data'!I:I,TEXT($A$4,"mmmm yyyy")))</f>
        <v>1</v>
      </c>
      <c r="C28" s="9">
        <f>IF(A28="","",COUNTIFS(RawData[[Picker ID ]],A28,RawData[Month List],TEXT($A$4,"mmmm yyyy"),RawData[[Error Type ]],"Short"))</f>
        <v>1</v>
      </c>
      <c r="D28" s="9">
        <f>IF(A28="","",COUNTIFS(RawData[[Picker ID ]],A28,RawData[Month List],TEXT($A$4,"mmmm yyyy"),RawData[[Error Type ]],"Excess"))</f>
        <v>0</v>
      </c>
      <c r="E28" s="9">
        <f>IF(A28="","",SUMIFS(RawData[Qyt Affected ( EA ) ],RawData[[Picker ID ]],A28,RawData[Month List],TEXT($A$4,"mmmm yyyy")))</f>
        <v>5</v>
      </c>
      <c r="F28" s="10">
        <f>IF(A28="","",_xlfn.MAXIFS(RawData[[Date ]],RawData[[Picker ID ]],A28,RawData[Month List],TEXT($A$4,"mmmm yyyy")))</f>
        <v>46241</v>
      </c>
      <c r="G28" s="9" t="str">
        <f t="shared" si="0"/>
        <v>Short</v>
      </c>
      <c r="H28" s="9">
        <f t="shared" si="1"/>
        <v>16</v>
      </c>
      <c r="M28" t="str">
        <v>DXB76892</v>
      </c>
    </row>
    <row r="29" spans="1:13" ht="20.100000000000001" customHeight="1" x14ac:dyDescent="0.25">
      <c r="A29" s="9" t="str">
        <v>DXB76892</v>
      </c>
      <c r="B29" s="9">
        <f>IF(A29="","",COUNTIFS('Raw Data'!G:G,A29,'Raw Data'!I:I,TEXT($A$4,"mmmm yyyy")))</f>
        <v>1</v>
      </c>
      <c r="C29" s="9">
        <f>IF(A29="","",COUNTIFS(RawData[[Picker ID ]],A29,RawData[Month List],TEXT($A$4,"mmmm yyyy"),RawData[[Error Type ]],"Short"))</f>
        <v>1</v>
      </c>
      <c r="D29" s="9">
        <f>IF(A29="","",COUNTIFS(RawData[[Picker ID ]],A29,RawData[Month List],TEXT($A$4,"mmmm yyyy"),RawData[[Error Type ]],"Excess"))</f>
        <v>0</v>
      </c>
      <c r="E29" s="9">
        <f>IF(A29="","",SUMIFS(RawData[Qyt Affected ( EA ) ],RawData[[Picker ID ]],A29,RawData[Month List],TEXT($A$4,"mmmm yyyy")))</f>
        <v>18</v>
      </c>
      <c r="F29" s="10">
        <f>IF(A29="","",_xlfn.MAXIFS(RawData[[Date ]],RawData[[Picker ID ]],A29,RawData[Month List],TEXT($A$4,"mmmm yyyy")))</f>
        <v>46242</v>
      </c>
      <c r="G29" s="9" t="str">
        <f t="shared" si="0"/>
        <v>Short</v>
      </c>
      <c r="H29" s="9">
        <f t="shared" si="1"/>
        <v>16</v>
      </c>
      <c r="M29" t="str">
        <v>DXB57291R</v>
      </c>
    </row>
    <row r="30" spans="1:13" ht="20.100000000000001" customHeight="1" x14ac:dyDescent="0.25">
      <c r="A30" s="9" t="str">
        <v>DXB462178</v>
      </c>
      <c r="B30" s="9">
        <f>IF(A30="","",COUNTIFS('Raw Data'!G:G,A30,'Raw Data'!I:I,TEXT($A$4,"mmmm yyyy")))</f>
        <v>1</v>
      </c>
      <c r="C30" s="9">
        <f>IF(A30="","",COUNTIFS(RawData[[Picker ID ]],A30,RawData[Month List],TEXT($A$4,"mmmm yyyy"),RawData[[Error Type ]],"Short"))</f>
        <v>1</v>
      </c>
      <c r="D30" s="9">
        <f>IF(A30="","",COUNTIFS(RawData[[Picker ID ]],A30,RawData[Month List],TEXT($A$4,"mmmm yyyy"),RawData[[Error Type ]],"Excess"))</f>
        <v>0</v>
      </c>
      <c r="E30" s="9">
        <f>IF(A30="","",SUMIFS(RawData[Qyt Affected ( EA ) ],RawData[[Picker ID ]],A30,RawData[Month List],TEXT($A$4,"mmmm yyyy")))</f>
        <v>12</v>
      </c>
      <c r="F30" s="10">
        <f>IF(A30="","",_xlfn.MAXIFS(RawData[[Date ]],RawData[[Picker ID ]],A30,RawData[Month List],TEXT($A$4,"mmmm yyyy")))</f>
        <v>46244</v>
      </c>
      <c r="G30" s="9" t="str">
        <f t="shared" si="0"/>
        <v>Short</v>
      </c>
      <c r="H30" s="9">
        <f t="shared" si="1"/>
        <v>16</v>
      </c>
      <c r="M30" t="str">
        <v>DXB462178</v>
      </c>
    </row>
    <row r="31" spans="1:13" ht="20.100000000000001" customHeight="1" x14ac:dyDescent="0.25">
      <c r="A31" s="9" t="str">
        <v>DXB487698</v>
      </c>
      <c r="B31" s="9">
        <f>IF(A31="","",COUNTIFS('Raw Data'!G:G,A31,'Raw Data'!I:I,TEXT($A$4,"mmmm yyyy")))</f>
        <v>1</v>
      </c>
      <c r="C31" s="9">
        <f>IF(A31="","",COUNTIFS(RawData[[Picker ID ]],A31,RawData[Month List],TEXT($A$4,"mmmm yyyy"),RawData[[Error Type ]],"Short"))</f>
        <v>0</v>
      </c>
      <c r="D31" s="9">
        <f>IF(A31="","",COUNTIFS(RawData[[Picker ID ]],A31,RawData[Month List],TEXT($A$4,"mmmm yyyy"),RawData[[Error Type ]],"Excess"))</f>
        <v>1</v>
      </c>
      <c r="E31" s="9">
        <f>IF(A31="","",SUMIFS(RawData[Qyt Affected ( EA ) ],RawData[[Picker ID ]],A31,RawData[Month List],TEXT($A$4,"mmmm yyyy")))</f>
        <v>6</v>
      </c>
      <c r="F31" s="10">
        <f>IF(A31="","",_xlfn.MAXIFS(RawData[[Date ]],RawData[[Picker ID ]],A31,RawData[Month List],TEXT($A$4,"mmmm yyyy")))</f>
        <v>46246</v>
      </c>
      <c r="G31" s="9" t="str">
        <f t="shared" si="0"/>
        <v>Excess</v>
      </c>
      <c r="H31" s="9">
        <f t="shared" si="1"/>
        <v>16</v>
      </c>
      <c r="M31" t="str">
        <v>DXB425505</v>
      </c>
    </row>
    <row r="32" spans="1:13" ht="20.100000000000001" customHeight="1" x14ac:dyDescent="0.25">
      <c r="A32" s="9" t="str">
        <v>DXB…......</v>
      </c>
      <c r="B32" s="9">
        <f>IF(A32="","",COUNTIFS('Raw Data'!G:G,A32,'Raw Data'!I:I,TEXT($A$4,"mmmm yyyy")))</f>
        <v>1</v>
      </c>
      <c r="C32" s="9">
        <f>IF(A32="","",COUNTIFS(RawData[[Picker ID ]],A32,RawData[Month List],TEXT($A$4,"mmmm yyyy"),RawData[[Error Type ]],"Short"))</f>
        <v>1</v>
      </c>
      <c r="D32" s="9">
        <f>IF(A32="","",COUNTIFS(RawData[[Picker ID ]],A32,RawData[Month List],TEXT($A$4,"mmmm yyyy"),RawData[[Error Type ]],"Excess"))</f>
        <v>0</v>
      </c>
      <c r="E32" s="9">
        <f>IF(A32="","",SUMIFS(RawData[Qyt Affected ( EA ) ],RawData[[Picker ID ]],A32,RawData[Month List],TEXT($A$4,"mmmm yyyy")))</f>
        <v>4</v>
      </c>
      <c r="F32" s="10">
        <f>IF(A32="","",_xlfn.MAXIFS(RawData[[Date ]],RawData[[Picker ID ]],A32,RawData[Month List],TEXT($A$4,"mmmm yyyy")))</f>
        <v>46246</v>
      </c>
      <c r="G32" s="9" t="str">
        <f t="shared" si="0"/>
        <v>Short</v>
      </c>
      <c r="H32" s="9">
        <f t="shared" si="1"/>
        <v>16</v>
      </c>
      <c r="M32" t="str">
        <v>DXB487698</v>
      </c>
    </row>
    <row r="33" spans="1:13" ht="20.100000000000001" customHeight="1" x14ac:dyDescent="0.25">
      <c r="A33" s="9" t="str">
        <v>DXB433581</v>
      </c>
      <c r="B33" s="9">
        <f>IF(A33="","",COUNTIFS('Raw Data'!G:G,A33,'Raw Data'!I:I,TEXT($A$4,"mmmm yyyy")))</f>
        <v>1</v>
      </c>
      <c r="C33" s="9">
        <f>IF(A33="","",COUNTIFS(RawData[[Picker ID ]],A33,RawData[Month List],TEXT($A$4,"mmmm yyyy"),RawData[[Error Type ]],"Short"))</f>
        <v>1</v>
      </c>
      <c r="D33" s="9">
        <f>IF(A33="","",COUNTIFS(RawData[[Picker ID ]],A33,RawData[Month List],TEXT($A$4,"mmmm yyyy"),RawData[[Error Type ]],"Excess"))</f>
        <v>0</v>
      </c>
      <c r="E33" s="9">
        <f>IF(A33="","",SUMIFS(RawData[Qyt Affected ( EA ) ],RawData[[Picker ID ]],A33,RawData[Month List],TEXT($A$4,"mmmm yyyy")))</f>
        <v>25</v>
      </c>
      <c r="F33" s="10">
        <f>IF(A33="","",_xlfn.MAXIFS(RawData[[Date ]],RawData[[Picker ID ]],A33,RawData[Month List],TEXT($A$4,"mmmm yyyy")))</f>
        <v>46247</v>
      </c>
      <c r="G33" s="9" t="str">
        <f t="shared" si="0"/>
        <v>Short</v>
      </c>
      <c r="H33" s="9">
        <f t="shared" si="1"/>
        <v>16</v>
      </c>
      <c r="M33" t="str">
        <v>DXB…......</v>
      </c>
    </row>
    <row r="34" spans="1:13" ht="20.100000000000001" customHeight="1" x14ac:dyDescent="0.25">
      <c r="A34" s="9" t="str">
        <v>DXB488630</v>
      </c>
      <c r="B34" s="9">
        <f>IF(A34="","",COUNTIFS('Raw Data'!G:G,A34,'Raw Data'!I:I,TEXT($A$4,"mmmm yyyy")))</f>
        <v>1</v>
      </c>
      <c r="C34" s="9">
        <f>IF(A34="","",COUNTIFS(RawData[[Picker ID ]],A34,RawData[Month List],TEXT($A$4,"mmmm yyyy"),RawData[[Error Type ]],"Short"))</f>
        <v>1</v>
      </c>
      <c r="D34" s="9">
        <f>IF(A34="","",COUNTIFS(RawData[[Picker ID ]],A34,RawData[Month List],TEXT($A$4,"mmmm yyyy"),RawData[[Error Type ]],"Excess"))</f>
        <v>0</v>
      </c>
      <c r="E34" s="9">
        <f>IF(A34="","",SUMIFS(RawData[Qyt Affected ( EA ) ],RawData[[Picker ID ]],A34,RawData[Month List],TEXT($A$4,"mmmm yyyy")))</f>
        <v>12</v>
      </c>
      <c r="F34" s="10">
        <f>IF(A34="","",_xlfn.MAXIFS(RawData[[Date ]],RawData[[Picker ID ]],A34,RawData[Month List],TEXT($A$4,"mmmm yyyy")))</f>
        <v>46247</v>
      </c>
      <c r="G34" s="9" t="str">
        <f t="shared" si="0"/>
        <v>Short</v>
      </c>
      <c r="H34" s="9">
        <f t="shared" si="1"/>
        <v>16</v>
      </c>
      <c r="M34" t="str">
        <v>DXB433581</v>
      </c>
    </row>
    <row r="35" spans="1:13" ht="20.100000000000001" customHeight="1" x14ac:dyDescent="0.25">
      <c r="A35" s="9" t="str">
        <v>DXB487190</v>
      </c>
      <c r="B35" s="9">
        <f>IF(A35="","",COUNTIFS('Raw Data'!G:G,A35,'Raw Data'!I:I,TEXT($A$4,"mmmm yyyy")))</f>
        <v>1</v>
      </c>
      <c r="C35" s="9">
        <f>IF(A35="","",COUNTIFS(RawData[[Picker ID ]],A35,RawData[Month List],TEXT($A$4,"mmmm yyyy"),RawData[[Error Type ]],"Short"))</f>
        <v>1</v>
      </c>
      <c r="D35" s="9">
        <f>IF(A35="","",COUNTIFS(RawData[[Picker ID ]],A35,RawData[Month List],TEXT($A$4,"mmmm yyyy"),RawData[[Error Type ]],"Excess"))</f>
        <v>0</v>
      </c>
      <c r="E35" s="9">
        <f>IF(A35="","",SUMIFS(RawData[Qyt Affected ( EA ) ],RawData[[Picker ID ]],A35,RawData[Month List],TEXT($A$4,"mmmm yyyy")))</f>
        <v>12</v>
      </c>
      <c r="F35" s="10">
        <f>IF(A35="","",_xlfn.MAXIFS(RawData[[Date ]],RawData[[Picker ID ]],A35,RawData[Month List],TEXT($A$4,"mmmm yyyy")))</f>
        <v>46247</v>
      </c>
      <c r="G35" s="9" t="str">
        <f t="shared" si="0"/>
        <v>Short</v>
      </c>
      <c r="H35" s="9">
        <f t="shared" si="1"/>
        <v>16</v>
      </c>
      <c r="M35" t="str">
        <v>DXB488630</v>
      </c>
    </row>
    <row r="36" spans="1:13" ht="20.100000000000001" customHeight="1" x14ac:dyDescent="0.25">
      <c r="A36" s="9" t="str">
        <v>DXB478379</v>
      </c>
      <c r="B36" s="9">
        <f>IF(A36="","",COUNTIFS('Raw Data'!G:G,A36,'Raw Data'!I:I,TEXT($A$4,"mmmm yyyy")))</f>
        <v>1</v>
      </c>
      <c r="C36" s="9">
        <f>IF(A36="","",COUNTIFS(RawData[[Picker ID ]],A36,RawData[Month List],TEXT($A$4,"mmmm yyyy"),RawData[[Error Type ]],"Short"))</f>
        <v>1</v>
      </c>
      <c r="D36" s="9">
        <f>IF(A36="","",COUNTIFS(RawData[[Picker ID ]],A36,RawData[Month List],TEXT($A$4,"mmmm yyyy"),RawData[[Error Type ]],"Excess"))</f>
        <v>0</v>
      </c>
      <c r="E36" s="9">
        <f>IF(A36="","",SUMIFS(RawData[Qyt Affected ( EA ) ],RawData[[Picker ID ]],A36,RawData[Month List],TEXT($A$4,"mmmm yyyy")))</f>
        <v>6</v>
      </c>
      <c r="F36" s="10">
        <f>IF(A36="","",_xlfn.MAXIFS(RawData[[Date ]],RawData[[Picker ID ]],A36,RawData[Month List],TEXT($A$4,"mmmm yyyy")))</f>
        <v>46248</v>
      </c>
      <c r="G36" s="9" t="str">
        <f t="shared" si="0"/>
        <v>Short</v>
      </c>
      <c r="H36" s="9">
        <f t="shared" si="1"/>
        <v>16</v>
      </c>
      <c r="M36" t="str">
        <v>DXB487190</v>
      </c>
    </row>
    <row r="37" spans="1:13" ht="20.100000000000001" customHeight="1" x14ac:dyDescent="0.25">
      <c r="A37" s="9" t="str">
        <v>DXB497086</v>
      </c>
      <c r="B37" s="9">
        <f>IF(A37="","",COUNTIFS('Raw Data'!G:G,A37,'Raw Data'!I:I,TEXT($A$4,"mmmm yyyy")))</f>
        <v>1</v>
      </c>
      <c r="C37" s="9">
        <f>IF(A37="","",COUNTIFS(RawData[[Picker ID ]],A37,RawData[Month List],TEXT($A$4,"mmmm yyyy"),RawData[[Error Type ]],"Short"))</f>
        <v>1</v>
      </c>
      <c r="D37" s="9">
        <f>IF(A37="","",COUNTIFS(RawData[[Picker ID ]],A37,RawData[Month List],TEXT($A$4,"mmmm yyyy"),RawData[[Error Type ]],"Excess"))</f>
        <v>0</v>
      </c>
      <c r="E37" s="9">
        <f>IF(A37="","",SUMIFS(RawData[Qyt Affected ( EA ) ],RawData[[Picker ID ]],A37,RawData[Month List],TEXT($A$4,"mmmm yyyy")))</f>
        <v>12</v>
      </c>
      <c r="F37" s="10">
        <f>IF(A37="","",_xlfn.MAXIFS(RawData[[Date ]],RawData[[Picker ID ]],A37,RawData[Month List],TEXT($A$4,"mmmm yyyy")))</f>
        <v>46250</v>
      </c>
      <c r="G37" s="9" t="str">
        <f t="shared" si="0"/>
        <v>Short</v>
      </c>
      <c r="H37" s="9">
        <f t="shared" si="1"/>
        <v>16</v>
      </c>
      <c r="M37" t="str">
        <v>DXB52675R</v>
      </c>
    </row>
    <row r="38" spans="1:13" ht="20.100000000000001" customHeight="1" x14ac:dyDescent="0.25">
      <c r="A38" s="9" t="str">
        <v>DXB488644</v>
      </c>
      <c r="B38" s="9">
        <f>IF(A38="","",COUNTIFS('Raw Data'!G:G,A38,'Raw Data'!I:I,TEXT($A$4,"mmmm yyyy")))</f>
        <v>1</v>
      </c>
      <c r="C38" s="9">
        <f>IF(A38="","",COUNTIFS(RawData[[Picker ID ]],A38,RawData[Month List],TEXT($A$4,"mmmm yyyy"),RawData[[Error Type ]],"Short"))</f>
        <v>1</v>
      </c>
      <c r="D38" s="9">
        <f>IF(A38="","",COUNTIFS(RawData[[Picker ID ]],A38,RawData[Month List],TEXT($A$4,"mmmm yyyy"),RawData[[Error Type ]],"Excess"))</f>
        <v>0</v>
      </c>
      <c r="E38" s="9">
        <f>IF(A38="","",SUMIFS(RawData[Qyt Affected ( EA ) ],RawData[[Picker ID ]],A38,RawData[Month List],TEXT($A$4,"mmmm yyyy")))</f>
        <v>6</v>
      </c>
      <c r="F38" s="10">
        <f>IF(A38="","",_xlfn.MAXIFS(RawData[[Date ]],RawData[[Picker ID ]],A38,RawData[Month List],TEXT($A$4,"mmmm yyyy")))</f>
        <v>46252</v>
      </c>
      <c r="G38" s="9" t="str">
        <f t="shared" si="0"/>
        <v>Short</v>
      </c>
      <c r="H38" s="9">
        <f t="shared" si="1"/>
        <v>16</v>
      </c>
      <c r="M38" t="str">
        <v>DXB430120R</v>
      </c>
    </row>
    <row r="39" spans="1:13" ht="20.100000000000001" customHeight="1" x14ac:dyDescent="0.25">
      <c r="A39" s="9" t="str">
        <v>DXB492416</v>
      </c>
      <c r="B39" s="9">
        <f>IF(A39="","",COUNTIFS('Raw Data'!G:G,A39,'Raw Data'!I:I,TEXT($A$4,"mmmm yyyy")))</f>
        <v>1</v>
      </c>
      <c r="C39" s="9">
        <f>IF(A39="","",COUNTIFS(RawData[[Picker ID ]],A39,RawData[Month List],TEXT($A$4,"mmmm yyyy"),RawData[[Error Type ]],"Short"))</f>
        <v>0</v>
      </c>
      <c r="D39" s="9">
        <f>IF(A39="","",COUNTIFS(RawData[[Picker ID ]],A39,RawData[Month List],TEXT($A$4,"mmmm yyyy"),RawData[[Error Type ]],"Excess"))</f>
        <v>1</v>
      </c>
      <c r="E39" s="9">
        <f>IF(A39="","",SUMIFS(RawData[Qyt Affected ( EA ) ],RawData[[Picker ID ]],A39,RawData[Month List],TEXT($A$4,"mmmm yyyy")))</f>
        <v>6</v>
      </c>
      <c r="F39" s="10">
        <f>IF(A39="","",_xlfn.MAXIFS(RawData[[Date ]],RawData[[Picker ID ]],A39,RawData[Month List],TEXT($A$4,"mmmm yyyy")))</f>
        <v>46254</v>
      </c>
      <c r="G39" s="9" t="str">
        <f t="shared" si="0"/>
        <v>Excess</v>
      </c>
      <c r="H39" s="9">
        <f t="shared" si="1"/>
        <v>16</v>
      </c>
      <c r="M39" t="str">
        <v>DXB430120R</v>
      </c>
    </row>
    <row r="40" spans="1:13" ht="20.100000000000001" customHeight="1" x14ac:dyDescent="0.25">
      <c r="A40" s="9" t="str">
        <v>DXB494649</v>
      </c>
      <c r="B40" s="9">
        <f>IF(A40="","",COUNTIFS('Raw Data'!G:G,A40,'Raw Data'!I:I,TEXT($A$4,"mmmm yyyy")))</f>
        <v>1</v>
      </c>
      <c r="C40" s="9">
        <f>IF(A40="","",COUNTIFS(RawData[[Picker ID ]],A40,RawData[Month List],TEXT($A$4,"mmmm yyyy"),RawData[[Error Type ]],"Short"))</f>
        <v>0</v>
      </c>
      <c r="D40" s="9">
        <f>IF(A40="","",COUNTIFS(RawData[[Picker ID ]],A40,RawData[Month List],TEXT($A$4,"mmmm yyyy"),RawData[[Error Type ]],"Excess"))</f>
        <v>1</v>
      </c>
      <c r="E40" s="9">
        <f>IF(A40="","",SUMIFS(RawData[Qyt Affected ( EA ) ],RawData[[Picker ID ]],A40,RawData[Month List],TEXT($A$4,"mmmm yyyy")))</f>
        <v>12</v>
      </c>
      <c r="F40" s="10">
        <f>IF(A40="","",_xlfn.MAXIFS(RawData[[Date ]],RawData[[Picker ID ]],A40,RawData[Month List],TEXT($A$4,"mmmm yyyy")))</f>
        <v>46255</v>
      </c>
      <c r="G40" s="9" t="str">
        <f t="shared" si="0"/>
        <v>Excess</v>
      </c>
      <c r="H40" s="9">
        <f t="shared" si="1"/>
        <v>16</v>
      </c>
      <c r="M40" t="str">
        <v>DXB509334</v>
      </c>
    </row>
    <row r="41" spans="1:13" ht="20.100000000000001" customHeight="1" x14ac:dyDescent="0.25">
      <c r="A41" s="9" t="str">
        <v>DXB63233R</v>
      </c>
      <c r="B41" s="9">
        <f>IF(A41="","",COUNTIFS('Raw Data'!G:G,A41,'Raw Data'!I:I,TEXT($A$4,"mmmm yyyy")))</f>
        <v>1</v>
      </c>
      <c r="C41" s="9">
        <f>IF(A41="","",COUNTIFS(RawData[[Picker ID ]],A41,RawData[Month List],TEXT($A$4,"mmmm yyyy"),RawData[[Error Type ]],"Short"))</f>
        <v>1</v>
      </c>
      <c r="D41" s="9">
        <f>IF(A41="","",COUNTIFS(RawData[[Picker ID ]],A41,RawData[Month List],TEXT($A$4,"mmmm yyyy"),RawData[[Error Type ]],"Excess"))</f>
        <v>0</v>
      </c>
      <c r="E41" s="9">
        <f>IF(A41="","",SUMIFS(RawData[Qyt Affected ( EA ) ],RawData[[Picker ID ]],A41,RawData[Month List],TEXT($A$4,"mmmm yyyy")))</f>
        <v>24</v>
      </c>
      <c r="F41" s="10">
        <f>IF(A41="","",_xlfn.MAXIFS(RawData[[Date ]],RawData[[Picker ID ]],A41,RawData[Month List],TEXT($A$4,"mmmm yyyy")))</f>
        <v>46256</v>
      </c>
      <c r="G41" s="9" t="str">
        <f t="shared" si="0"/>
        <v>Short</v>
      </c>
      <c r="H41" s="9">
        <f t="shared" si="1"/>
        <v>16</v>
      </c>
      <c r="M41" t="str">
        <v>DXB485760</v>
      </c>
    </row>
    <row r="42" spans="1:13" ht="20.100000000000001" customHeight="1" x14ac:dyDescent="0.25">
      <c r="A42" s="9"/>
      <c r="B42" s="9" t="str">
        <f>IF(A42="","",COUNTIFS('Raw Data'!G:G,A42,'Raw Data'!I:I,TEXT($A$4,"mmmm yyyy")))</f>
        <v/>
      </c>
      <c r="C42" s="9" t="str">
        <f>IF(A42="","",COUNTIFS(RawData[[Picker ID ]],A42,RawData[Month List],TEXT($A$4,"mmmm yyyy"),RawData[[Error Type ]],"Short"))</f>
        <v/>
      </c>
      <c r="D42" s="9" t="str">
        <f>IF(A42="","",COUNTIFS(RawData[[Picker ID ]],A42,RawData[Month List],TEXT($A$4,"mmmm yyyy"),RawData[[Error Type ]],"Excess"))</f>
        <v/>
      </c>
      <c r="E42" s="9" t="str">
        <f>IF(A42="","",SUMIFS(RawData[Qyt Affected ( EA ) ],RawData[[Picker ID ]],A42,RawData[Month List],TEXT($A$4,"mmmm yyyy")))</f>
        <v/>
      </c>
      <c r="F42" s="10" t="str">
        <f>IF(A42="","",_xlfn.MAXIFS(RawData[[Date ]],RawData[[Picker ID ]],A42,RawData[Month List],TEXT($A$4,"mmmm yyyy")))</f>
        <v/>
      </c>
      <c r="G42" s="9" t="str">
        <f t="shared" si="0"/>
        <v/>
      </c>
      <c r="H42" s="9" t="str">
        <f t="shared" si="1"/>
        <v/>
      </c>
      <c r="M42" t="str">
        <v>DXB485760</v>
      </c>
    </row>
    <row r="43" spans="1:13" ht="20.100000000000001" customHeight="1" x14ac:dyDescent="0.25">
      <c r="A43" s="9"/>
      <c r="B43" s="9" t="str">
        <f>IF(A43="","",COUNTIFS('Raw Data'!G:G,A43,'Raw Data'!I:I,TEXT($A$4,"mmmm yyyy")))</f>
        <v/>
      </c>
      <c r="C43" s="9" t="str">
        <f>IF(A43="","",COUNTIFS(RawData[[Picker ID ]],A43,RawData[Month List],TEXT($A$4,"mmmm yyyy"),RawData[[Error Type ]],"Short"))</f>
        <v/>
      </c>
      <c r="D43" s="9" t="str">
        <f>IF(A43="","",COUNTIFS(RawData[[Picker ID ]],A43,RawData[Month List],TEXT($A$4,"mmmm yyyy"),RawData[[Error Type ]],"Excess"))</f>
        <v/>
      </c>
      <c r="E43" s="9" t="str">
        <f>IF(A43="","",SUMIFS(RawData[Qyt Affected ( EA ) ],RawData[[Picker ID ]],A43,RawData[Month List],TEXT($A$4,"mmmm yyyy")))</f>
        <v/>
      </c>
      <c r="F43" s="10" t="str">
        <f>IF(A43="","",_xlfn.MAXIFS(RawData[[Date ]],RawData[[Picker ID ]],A43,RawData[Month List],TEXT($A$4,"mmmm yyyy")))</f>
        <v/>
      </c>
      <c r="G43" s="9" t="str">
        <f t="shared" si="0"/>
        <v/>
      </c>
      <c r="H43" s="9" t="str">
        <f t="shared" si="1"/>
        <v/>
      </c>
      <c r="M43" t="str">
        <v>DXB425505</v>
      </c>
    </row>
    <row r="44" spans="1:13" ht="20.100000000000001" customHeight="1" x14ac:dyDescent="0.25">
      <c r="A44" s="9"/>
      <c r="B44" s="9" t="str">
        <f>IF(A44="","",COUNTIFS('Raw Data'!G:G,A44,'Raw Data'!I:I,TEXT($A$4,"mmmm yyyy")))</f>
        <v/>
      </c>
      <c r="C44" s="9" t="str">
        <f>IF(A44="","",COUNTIFS(RawData[[Picker ID ]],A44,RawData[Month List],TEXT($A$4,"mmmm yyyy"),RawData[[Error Type ]],"Short"))</f>
        <v/>
      </c>
      <c r="D44" s="9" t="str">
        <f>IF(A44="","",COUNTIFS(RawData[[Picker ID ]],A44,RawData[Month List],TEXT($A$4,"mmmm yyyy"),RawData[[Error Type ]],"Excess"))</f>
        <v/>
      </c>
      <c r="E44" s="9" t="str">
        <f>IF(A44="","",SUMIFS(RawData[Qyt Affected ( EA ) ],RawData[[Picker ID ]],A44,RawData[Month List],TEXT($A$4,"mmmm yyyy")))</f>
        <v/>
      </c>
      <c r="F44" s="10" t="str">
        <f>IF(A44="","",_xlfn.MAXIFS(RawData[[Date ]],RawData[[Picker ID ]],A44,RawData[Month List],TEXT($A$4,"mmmm yyyy")))</f>
        <v/>
      </c>
      <c r="G44" s="9" t="str">
        <f t="shared" si="0"/>
        <v/>
      </c>
      <c r="H44" s="9" t="str">
        <f t="shared" si="1"/>
        <v/>
      </c>
      <c r="M44" t="str">
        <v>DXB425505</v>
      </c>
    </row>
    <row r="45" spans="1:13" ht="20.100000000000001" customHeight="1" x14ac:dyDescent="0.25">
      <c r="A45" s="9"/>
      <c r="B45" s="9" t="str">
        <f>IF(A45="","",COUNTIFS('Raw Data'!G:G,A45,'Raw Data'!I:I,TEXT($A$4,"mmmm yyyy")))</f>
        <v/>
      </c>
      <c r="C45" s="9" t="str">
        <f>IF(A45="","",COUNTIFS(RawData[[Picker ID ]],A45,RawData[Month List],TEXT($A$4,"mmmm yyyy"),RawData[[Error Type ]],"Short"))</f>
        <v/>
      </c>
      <c r="D45" s="9" t="str">
        <f>IF(A45="","",COUNTIFS(RawData[[Picker ID ]],A45,RawData[Month List],TEXT($A$4,"mmmm yyyy"),RawData[[Error Type ]],"Excess"))</f>
        <v/>
      </c>
      <c r="E45" s="9" t="str">
        <f>IF(A45="","",SUMIFS(RawData[Qyt Affected ( EA ) ],RawData[[Picker ID ]],A45,RawData[Month List],TEXT($A$4,"mmmm yyyy")))</f>
        <v/>
      </c>
      <c r="F45" s="10" t="str">
        <f>IF(A45="","",_xlfn.MAXIFS(RawData[[Date ]],RawData[[Picker ID ]],A45,RawData[Month List],TEXT($A$4,"mmmm yyyy")))</f>
        <v/>
      </c>
      <c r="G45" s="9" t="str">
        <f t="shared" si="0"/>
        <v/>
      </c>
      <c r="H45" s="9" t="str">
        <f t="shared" si="1"/>
        <v/>
      </c>
      <c r="M45" t="str">
        <v>DXB478379</v>
      </c>
    </row>
    <row r="46" spans="1:13" ht="20.100000000000001" customHeight="1" x14ac:dyDescent="0.25">
      <c r="A46" s="9"/>
      <c r="B46" s="9" t="str">
        <f>IF(A46="","",COUNTIFS('Raw Data'!G:G,A46,'Raw Data'!I:I,TEXT($A$4,"mmmm yyyy")))</f>
        <v/>
      </c>
      <c r="C46" s="9" t="str">
        <f>IF(A46="","",COUNTIFS(RawData[[Picker ID ]],A46,RawData[Month List],TEXT($A$4,"mmmm yyyy"),RawData[[Error Type ]],"Short"))</f>
        <v/>
      </c>
      <c r="D46" s="9" t="str">
        <f>IF(A46="","",COUNTIFS(RawData[[Picker ID ]],A46,RawData[Month List],TEXT($A$4,"mmmm yyyy"),RawData[[Error Type ]],"Excess"))</f>
        <v/>
      </c>
      <c r="E46" s="9" t="str">
        <f>IF(A46="","",SUMIFS(RawData[Qyt Affected ( EA ) ],RawData[[Picker ID ]],A46,RawData[Month List],TEXT($A$4,"mmmm yyyy")))</f>
        <v/>
      </c>
      <c r="F46" s="10" t="str">
        <f>IF(A46="","",_xlfn.MAXIFS(RawData[[Date ]],RawData[[Picker ID ]],A46,RawData[Month List],TEXT($A$4,"mmmm yyyy")))</f>
        <v/>
      </c>
      <c r="G46" s="9" t="str">
        <f t="shared" si="0"/>
        <v/>
      </c>
      <c r="H46" s="9" t="str">
        <f t="shared" si="1"/>
        <v/>
      </c>
      <c r="M46" t="str">
        <v>DXB497085</v>
      </c>
    </row>
    <row r="47" spans="1:13" ht="20.100000000000001" customHeight="1" x14ac:dyDescent="0.25">
      <c r="A47" s="9"/>
      <c r="B47" s="9" t="str">
        <f>IF(A47="","",COUNTIFS('Raw Data'!G:G,A47,'Raw Data'!I:I,TEXT($A$4,"mmmm yyyy")))</f>
        <v/>
      </c>
      <c r="C47" s="9" t="str">
        <f>IF(A47="","",COUNTIFS(RawData[[Picker ID ]],A47,RawData[Month List],TEXT($A$4,"mmmm yyyy"),RawData[[Error Type ]],"Short"))</f>
        <v/>
      </c>
      <c r="D47" s="9" t="str">
        <f>IF(A47="","",COUNTIFS(RawData[[Picker ID ]],A47,RawData[Month List],TEXT($A$4,"mmmm yyyy"),RawData[[Error Type ]],"Excess"))</f>
        <v/>
      </c>
      <c r="E47" s="9" t="str">
        <f>IF(A47="","",SUMIFS(RawData[Qyt Affected ( EA ) ],RawData[[Picker ID ]],A47,RawData[Month List],TEXT($A$4,"mmmm yyyy")))</f>
        <v/>
      </c>
      <c r="F47" s="10" t="str">
        <f>IF(A47="","",_xlfn.MAXIFS(RawData[[Date ]],RawData[[Picker ID ]],A47,RawData[Month List],TEXT($A$4,"mmmm yyyy")))</f>
        <v/>
      </c>
      <c r="G47" s="9" t="str">
        <f t="shared" si="0"/>
        <v/>
      </c>
      <c r="H47" s="9" t="str">
        <f t="shared" si="1"/>
        <v/>
      </c>
      <c r="M47" t="str">
        <v>DXB471127</v>
      </c>
    </row>
    <row r="48" spans="1:13" ht="20.100000000000001" customHeight="1" x14ac:dyDescent="0.25">
      <c r="A48" s="9"/>
      <c r="B48" s="9" t="str">
        <f>IF(A48="","",COUNTIFS('Raw Data'!G:G,A48,'Raw Data'!I:I,TEXT($A$4,"mmmm yyyy")))</f>
        <v/>
      </c>
      <c r="C48" s="9" t="str">
        <f>IF(A48="","",COUNTIFS(RawData[[Picker ID ]],A48,RawData[Month List],TEXT($A$4,"mmmm yyyy"),RawData[[Error Type ]],"Short"))</f>
        <v/>
      </c>
      <c r="D48" s="9" t="str">
        <f>IF(A48="","",COUNTIFS(RawData[[Picker ID ]],A48,RawData[Month List],TEXT($A$4,"mmmm yyyy"),RawData[[Error Type ]],"Excess"))</f>
        <v/>
      </c>
      <c r="E48" s="9" t="str">
        <f>IF(A48="","",SUMIFS(RawData[Qyt Affected ( EA ) ],RawData[[Picker ID ]],A48,RawData[Month List],TEXT($A$4,"mmmm yyyy")))</f>
        <v/>
      </c>
      <c r="F48" s="10" t="str">
        <f>IF(A48="","",_xlfn.MAXIFS(RawData[[Date ]],RawData[[Picker ID ]],A48,RawData[Month List],TEXT($A$4,"mmmm yyyy")))</f>
        <v/>
      </c>
      <c r="G48" s="9" t="str">
        <f t="shared" si="0"/>
        <v/>
      </c>
      <c r="H48" s="9" t="str">
        <f t="shared" si="1"/>
        <v/>
      </c>
      <c r="M48" t="str">
        <v>DXB471127</v>
      </c>
    </row>
    <row r="49" spans="1:13" ht="20.100000000000001" customHeight="1" x14ac:dyDescent="0.25">
      <c r="A49" s="9"/>
      <c r="B49" s="9" t="str">
        <f>IF(A49="","",COUNTIFS('Raw Data'!G:G,A49,'Raw Data'!I:I,TEXT($A$4,"mmmm yyyy")))</f>
        <v/>
      </c>
      <c r="C49" s="9" t="str">
        <f>IF(A49="","",COUNTIFS(RawData[[Picker ID ]],A49,RawData[Month List],TEXT($A$4,"mmmm yyyy"),RawData[[Error Type ]],"Short"))</f>
        <v/>
      </c>
      <c r="D49" s="9" t="str">
        <f>IF(A49="","",COUNTIFS(RawData[[Picker ID ]],A49,RawData[Month List],TEXT($A$4,"mmmm yyyy"),RawData[[Error Type ]],"Excess"))</f>
        <v/>
      </c>
      <c r="E49" s="9" t="str">
        <f>IF(A49="","",SUMIFS(RawData[Qyt Affected ( EA ) ],RawData[[Picker ID ]],A49,RawData[Month List],TEXT($A$4,"mmmm yyyy")))</f>
        <v/>
      </c>
      <c r="F49" s="10" t="str">
        <f>IF(A49="","",_xlfn.MAXIFS(RawData[[Date ]],RawData[[Picker ID ]],A49,RawData[Month List],TEXT($A$4,"mmmm yyyy")))</f>
        <v/>
      </c>
      <c r="G49" s="9" t="str">
        <f t="shared" si="0"/>
        <v/>
      </c>
      <c r="H49" s="9" t="str">
        <f t="shared" si="1"/>
        <v/>
      </c>
      <c r="M49" t="str">
        <v>DXB492303</v>
      </c>
    </row>
    <row r="50" spans="1:13" ht="20.100000000000001" customHeight="1" x14ac:dyDescent="0.25">
      <c r="A50" s="9"/>
      <c r="B50" s="9" t="str">
        <f>IF(A50="","",COUNTIFS('Raw Data'!G:G,A50,'Raw Data'!I:I,TEXT($A$4,"mmmm yyyy")))</f>
        <v/>
      </c>
      <c r="C50" s="9" t="str">
        <f>IF(A50="","",COUNTIFS(RawData[[Picker ID ]],A50,RawData[Month List],TEXT($A$4,"mmmm yyyy"),RawData[[Error Type ]],"Short"))</f>
        <v/>
      </c>
      <c r="D50" s="9" t="str">
        <f>IF(A50="","",COUNTIFS(RawData[[Picker ID ]],A50,RawData[Month List],TEXT($A$4,"mmmm yyyy"),RawData[[Error Type ]],"Excess"))</f>
        <v/>
      </c>
      <c r="E50" s="9" t="str">
        <f>IF(A50="","",SUMIFS(RawData[Qyt Affected ( EA ) ],RawData[[Picker ID ]],A50,RawData[Month List],TEXT($A$4,"mmmm yyyy")))</f>
        <v/>
      </c>
      <c r="F50" s="10" t="str">
        <f>IF(A50="","",_xlfn.MAXIFS(RawData[[Date ]],RawData[[Picker ID ]],A50,RawData[Month List],TEXT($A$4,"mmmm yyyy")))</f>
        <v/>
      </c>
      <c r="G50" s="9" t="str">
        <f t="shared" si="0"/>
        <v/>
      </c>
      <c r="H50" s="9" t="str">
        <f t="shared" si="1"/>
        <v/>
      </c>
      <c r="M50" t="str">
        <v>DXB504922</v>
      </c>
    </row>
    <row r="51" spans="1:13" ht="20.100000000000001" customHeight="1" x14ac:dyDescent="0.25">
      <c r="A51" s="9"/>
      <c r="B51" s="9" t="str">
        <f>IF(A51="","",COUNTIFS('Raw Data'!G:G,A51,'Raw Data'!I:I,TEXT($A$4,"mmmm yyyy")))</f>
        <v/>
      </c>
      <c r="C51" s="9" t="str">
        <f>IF(A51="","",COUNTIFS(RawData[[Picker ID ]],A51,RawData[Month List],TEXT($A$4,"mmmm yyyy"),RawData[[Error Type ]],"Short"))</f>
        <v/>
      </c>
      <c r="D51" s="9" t="str">
        <f>IF(A51="","",COUNTIFS(RawData[[Picker ID ]],A51,RawData[Month List],TEXT($A$4,"mmmm yyyy"),RawData[[Error Type ]],"Excess"))</f>
        <v/>
      </c>
      <c r="E51" s="9" t="str">
        <f>IF(A51="","",SUMIFS(RawData[Qyt Affected ( EA ) ],RawData[[Picker ID ]],A51,RawData[Month List],TEXT($A$4,"mmmm yyyy")))</f>
        <v/>
      </c>
      <c r="F51" s="10" t="str">
        <f>IF(A51="","",_xlfn.MAXIFS(RawData[[Date ]],RawData[[Picker ID ]],A51,RawData[Month List],TEXT($A$4,"mmmm yyyy")))</f>
        <v/>
      </c>
      <c r="G51" s="9" t="str">
        <f t="shared" si="0"/>
        <v/>
      </c>
      <c r="H51" s="9" t="str">
        <f t="shared" si="1"/>
        <v/>
      </c>
      <c r="M51" t="str">
        <v>DXB492303</v>
      </c>
    </row>
    <row r="52" spans="1:13" ht="20.100000000000001" customHeight="1" x14ac:dyDescent="0.25">
      <c r="A52" s="9"/>
      <c r="B52" s="9" t="str">
        <f>IF(A52="","",COUNTIFS('Raw Data'!G:G,A52,'Raw Data'!I:I,TEXT($A$4,"mmmm yyyy")))</f>
        <v/>
      </c>
      <c r="C52" s="9" t="str">
        <f>IF(A52="","",COUNTIFS(RawData[[Picker ID ]],A52,RawData[Month List],TEXT($A$4,"mmmm yyyy"),RawData[[Error Type ]],"Short"))</f>
        <v/>
      </c>
      <c r="D52" s="9" t="str">
        <f>IF(A52="","",COUNTIFS(RawData[[Picker ID ]],A52,RawData[Month List],TEXT($A$4,"mmmm yyyy"),RawData[[Error Type ]],"Excess"))</f>
        <v/>
      </c>
      <c r="E52" s="9" t="str">
        <f>IF(A52="","",SUMIFS(RawData[Qyt Affected ( EA ) ],RawData[[Picker ID ]],A52,RawData[Month List],TEXT($A$4,"mmmm yyyy")))</f>
        <v/>
      </c>
      <c r="F52" s="10" t="str">
        <f>IF(A52="","",_xlfn.MAXIFS(RawData[[Date ]],RawData[[Picker ID ]],A52,RawData[Month List],TEXT($A$4,"mmmm yyyy")))</f>
        <v/>
      </c>
      <c r="G52" s="9" t="str">
        <f t="shared" si="0"/>
        <v/>
      </c>
      <c r="H52" s="9" t="str">
        <f t="shared" si="1"/>
        <v/>
      </c>
      <c r="M52" t="str">
        <v>DXB497086</v>
      </c>
    </row>
    <row r="53" spans="1:13" ht="20.100000000000001" customHeight="1" x14ac:dyDescent="0.25">
      <c r="A53" s="9"/>
      <c r="B53" s="9" t="str">
        <f>IF(A53="","",COUNTIFS('Raw Data'!G:G,A53,'Raw Data'!I:I,TEXT($A$4,"mmmm yyyy")))</f>
        <v/>
      </c>
      <c r="C53" s="9" t="str">
        <f>IF(A53="","",COUNTIFS(RawData[[Picker ID ]],A53,RawData[Month List],TEXT($A$4,"mmmm yyyy"),RawData[[Error Type ]],"Short"))</f>
        <v/>
      </c>
      <c r="D53" s="9" t="str">
        <f>IF(A53="","",COUNTIFS(RawData[[Picker ID ]],A53,RawData[Month List],TEXT($A$4,"mmmm yyyy"),RawData[[Error Type ]],"Excess"))</f>
        <v/>
      </c>
      <c r="E53" s="9" t="str">
        <f>IF(A53="","",SUMIFS(RawData[Qyt Affected ( EA ) ],RawData[[Picker ID ]],A53,RawData[Month List],TEXT($A$4,"mmmm yyyy")))</f>
        <v/>
      </c>
      <c r="F53" s="10" t="str">
        <f>IF(A53="","",_xlfn.MAXIFS(RawData[[Date ]],RawData[[Picker ID ]],A53,RawData[Month List],TEXT($A$4,"mmmm yyyy")))</f>
        <v/>
      </c>
      <c r="G53" s="9" t="str">
        <f t="shared" si="0"/>
        <v/>
      </c>
      <c r="H53" s="9" t="str">
        <f t="shared" si="1"/>
        <v/>
      </c>
      <c r="M53" t="str">
        <v>DXB494696</v>
      </c>
    </row>
    <row r="54" spans="1:13" ht="20.100000000000001" customHeight="1" x14ac:dyDescent="0.25">
      <c r="A54" s="9"/>
      <c r="B54" s="9" t="str">
        <f>IF(A54="","",COUNTIFS('Raw Data'!G:G,A54,'Raw Data'!I:I,TEXT($A$4,"mmmm yyyy")))</f>
        <v/>
      </c>
      <c r="C54" s="9" t="str">
        <f>IF(A54="","",COUNTIFS(RawData[[Picker ID ]],A54,RawData[Month List],TEXT($A$4,"mmmm yyyy"),RawData[[Error Type ]],"Short"))</f>
        <v/>
      </c>
      <c r="D54" s="9" t="str">
        <f>IF(A54="","",COUNTIFS(RawData[[Picker ID ]],A54,RawData[Month List],TEXT($A$4,"mmmm yyyy"),RawData[[Error Type ]],"Excess"))</f>
        <v/>
      </c>
      <c r="E54" s="9" t="str">
        <f>IF(A54="","",SUMIFS(RawData[Qyt Affected ( EA ) ],RawData[[Picker ID ]],A54,RawData[Month List],TEXT($A$4,"mmmm yyyy")))</f>
        <v/>
      </c>
      <c r="F54" s="10" t="str">
        <f>IF(A54="","",_xlfn.MAXIFS(RawData[[Date ]],RawData[[Picker ID ]],A54,RawData[Month List],TEXT($A$4,"mmmm yyyy")))</f>
        <v/>
      </c>
      <c r="G54" s="9" t="str">
        <f t="shared" si="0"/>
        <v/>
      </c>
      <c r="H54" s="9" t="str">
        <f t="shared" si="1"/>
        <v/>
      </c>
      <c r="M54" t="str">
        <v>DXB471127</v>
      </c>
    </row>
    <row r="55" spans="1:13" ht="20.100000000000001" customHeight="1" x14ac:dyDescent="0.25">
      <c r="A55" s="9"/>
      <c r="B55" s="9" t="str">
        <f>IF(A55="","",COUNTIFS('Raw Data'!G:G,A55,'Raw Data'!I:I,TEXT($A$4,"mmmm yyyy")))</f>
        <v/>
      </c>
      <c r="C55" s="9" t="str">
        <f>IF(A55="","",COUNTIFS(RawData[[Picker ID ]],A55,RawData[Month List],TEXT($A$4,"mmmm yyyy"),RawData[[Error Type ]],"Short"))</f>
        <v/>
      </c>
      <c r="D55" s="9" t="str">
        <f>IF(A55="","",COUNTIFS(RawData[[Picker ID ]],A55,RawData[Month List],TEXT($A$4,"mmmm yyyy"),RawData[[Error Type ]],"Excess"))</f>
        <v/>
      </c>
      <c r="E55" s="9" t="str">
        <f>IF(A55="","",SUMIFS(RawData[Qyt Affected ( EA ) ],RawData[[Picker ID ]],A55,RawData[Month List],TEXT($A$4,"mmmm yyyy")))</f>
        <v/>
      </c>
      <c r="F55" s="10" t="str">
        <f>IF(A55="","",_xlfn.MAXIFS(RawData[[Date ]],RawData[[Picker ID ]],A55,RawData[Month List],TEXT($A$4,"mmmm yyyy")))</f>
        <v/>
      </c>
      <c r="G55" s="9" t="str">
        <f t="shared" si="0"/>
        <v/>
      </c>
      <c r="H55" s="9" t="str">
        <f t="shared" si="1"/>
        <v/>
      </c>
      <c r="M55" t="str">
        <v>DXB471127</v>
      </c>
    </row>
    <row r="56" spans="1:13" ht="20.100000000000001" customHeight="1" x14ac:dyDescent="0.25">
      <c r="A56" s="9"/>
      <c r="B56" s="9" t="str">
        <f>IF(A56="","",COUNTIFS('Raw Data'!G:G,A56,'Raw Data'!I:I,TEXT($A$4,"mmmm yyyy")))</f>
        <v/>
      </c>
      <c r="C56" s="9" t="str">
        <f>IF(A56="","",COUNTIFS(RawData[[Picker ID ]],A56,RawData[Month List],TEXT($A$4,"mmmm yyyy"),RawData[[Error Type ]],"Short"))</f>
        <v/>
      </c>
      <c r="D56" s="9" t="str">
        <f>IF(A56="","",COUNTIFS(RawData[[Picker ID ]],A56,RawData[Month List],TEXT($A$4,"mmmm yyyy"),RawData[[Error Type ]],"Excess"))</f>
        <v/>
      </c>
      <c r="E56" s="9" t="str">
        <f>IF(A56="","",SUMIFS(RawData[Qyt Affected ( EA ) ],RawData[[Picker ID ]],A56,RawData[Month List],TEXT($A$4,"mmmm yyyy")))</f>
        <v/>
      </c>
      <c r="F56" s="10" t="str">
        <f>IF(A56="","",_xlfn.MAXIFS(RawData[[Date ]],RawData[[Picker ID ]],A56,RawData[Month List],TEXT($A$4,"mmmm yyyy")))</f>
        <v/>
      </c>
      <c r="G56" s="9" t="str">
        <f t="shared" si="0"/>
        <v/>
      </c>
      <c r="H56" s="9" t="str">
        <f t="shared" si="1"/>
        <v/>
      </c>
      <c r="M56" t="str">
        <v>DXB488644</v>
      </c>
    </row>
    <row r="57" spans="1:13" ht="20.100000000000001" customHeight="1" x14ac:dyDescent="0.25">
      <c r="A57" s="9"/>
      <c r="B57" s="9" t="str">
        <f>IF(A57="","",COUNTIFS('Raw Data'!G:G,A57,'Raw Data'!I:I,TEXT($A$4,"mmmm yyyy")))</f>
        <v/>
      </c>
      <c r="C57" s="9" t="str">
        <f>IF(A57="","",COUNTIFS(RawData[[Picker ID ]],A57,RawData[Month List],TEXT($A$4,"mmmm yyyy"),RawData[[Error Type ]],"Short"))</f>
        <v/>
      </c>
      <c r="D57" s="9" t="str">
        <f>IF(A57="","",COUNTIFS(RawData[[Picker ID ]],A57,RawData[Month List],TEXT($A$4,"mmmm yyyy"),RawData[[Error Type ]],"Excess"))</f>
        <v/>
      </c>
      <c r="E57" s="9" t="str">
        <f>IF(A57="","",SUMIFS(RawData[Qyt Affected ( EA ) ],RawData[[Picker ID ]],A57,RawData[Month List],TEXT($A$4,"mmmm yyyy")))</f>
        <v/>
      </c>
      <c r="F57" s="10" t="str">
        <f>IF(A57="","",_xlfn.MAXIFS(RawData[[Date ]],RawData[[Picker ID ]],A57,RawData[Month List],TEXT($A$4,"mmmm yyyy")))</f>
        <v/>
      </c>
      <c r="G57" s="9" t="str">
        <f t="shared" si="0"/>
        <v/>
      </c>
      <c r="H57" s="9" t="str">
        <f t="shared" si="1"/>
        <v/>
      </c>
      <c r="M57" t="str">
        <v>DXB504950</v>
      </c>
    </row>
    <row r="58" spans="1:13" ht="20.100000000000001" customHeight="1" x14ac:dyDescent="0.25">
      <c r="A58" s="9"/>
      <c r="B58" s="9" t="str">
        <f>IF(A58="","",COUNTIFS('Raw Data'!G:G,A58,'Raw Data'!I:I,TEXT($A$4,"mmmm yyyy")))</f>
        <v/>
      </c>
      <c r="C58" s="9" t="str">
        <f>IF(A58="","",COUNTIFS(RawData[[Picker ID ]],A58,RawData[Month List],TEXT($A$4,"mmmm yyyy"),RawData[[Error Type ]],"Short"))</f>
        <v/>
      </c>
      <c r="D58" s="9" t="str">
        <f>IF(A58="","",COUNTIFS(RawData[[Picker ID ]],A58,RawData[Month List],TEXT($A$4,"mmmm yyyy"),RawData[[Error Type ]],"Excess"))</f>
        <v/>
      </c>
      <c r="E58" s="9" t="str">
        <f>IF(A58="","",SUMIFS(RawData[Qyt Affected ( EA ) ],RawData[[Picker ID ]],A58,RawData[Month List],TEXT($A$4,"mmmm yyyy")))</f>
        <v/>
      </c>
      <c r="F58" s="10" t="str">
        <f>IF(A58="","",_xlfn.MAXIFS(RawData[[Date ]],RawData[[Picker ID ]],A58,RawData[Month List],TEXT($A$4,"mmmm yyyy")))</f>
        <v/>
      </c>
      <c r="G58" s="9" t="str">
        <f t="shared" si="0"/>
        <v/>
      </c>
      <c r="H58" s="9" t="str">
        <f t="shared" si="1"/>
        <v/>
      </c>
      <c r="M58" t="str">
        <v>DXB504950</v>
      </c>
    </row>
    <row r="59" spans="1:13" ht="20.100000000000001" customHeight="1" x14ac:dyDescent="0.25">
      <c r="A59" s="9"/>
      <c r="B59" s="9" t="str">
        <f>IF(A59="","",COUNTIFS('Raw Data'!G:G,A59,'Raw Data'!I:I,TEXT($A$4,"mmmm yyyy")))</f>
        <v/>
      </c>
      <c r="C59" s="9" t="str">
        <f>IF(A59="","",COUNTIFS(RawData[[Picker ID ]],A59,RawData[Month List],TEXT($A$4,"mmmm yyyy"),RawData[[Error Type ]],"Short"))</f>
        <v/>
      </c>
      <c r="D59" s="9" t="str">
        <f>IF(A59="","",COUNTIFS(RawData[[Picker ID ]],A59,RawData[Month List],TEXT($A$4,"mmmm yyyy"),RawData[[Error Type ]],"Excess"))</f>
        <v/>
      </c>
      <c r="E59" s="9" t="str">
        <f>IF(A59="","",SUMIFS(RawData[Qyt Affected ( EA ) ],RawData[[Picker ID ]],A59,RawData[Month List],TEXT($A$4,"mmmm yyyy")))</f>
        <v/>
      </c>
      <c r="F59" s="10" t="str">
        <f>IF(A59="","",_xlfn.MAXIFS(RawData[[Date ]],RawData[[Picker ID ]],A59,RawData[Month List],TEXT($A$4,"mmmm yyyy")))</f>
        <v/>
      </c>
      <c r="G59" s="9" t="str">
        <f t="shared" si="0"/>
        <v/>
      </c>
      <c r="H59" s="9" t="str">
        <f t="shared" si="1"/>
        <v/>
      </c>
      <c r="M59" t="str">
        <v>DXB504950</v>
      </c>
    </row>
    <row r="60" spans="1:13" ht="20.100000000000001" customHeight="1" x14ac:dyDescent="0.25">
      <c r="A60" s="9"/>
      <c r="B60" s="9" t="str">
        <f>IF(A60="","",COUNTIFS('Raw Data'!G:G,A60,'Raw Data'!I:I,TEXT($A$4,"mmmm yyyy")))</f>
        <v/>
      </c>
      <c r="C60" s="9" t="str">
        <f>IF(A60="","",COUNTIFS(RawData[[Picker ID ]],A60,RawData[Month List],TEXT($A$4,"mmmm yyyy"),RawData[[Error Type ]],"Short"))</f>
        <v/>
      </c>
      <c r="D60" s="9" t="str">
        <f>IF(A60="","",COUNTIFS(RawData[[Picker ID ]],A60,RawData[Month List],TEXT($A$4,"mmmm yyyy"),RawData[[Error Type ]],"Excess"))</f>
        <v/>
      </c>
      <c r="E60" s="9" t="str">
        <f>IF(A60="","",SUMIFS(RawData[Qyt Affected ( EA ) ],RawData[[Picker ID ]],A60,RawData[Month List],TEXT($A$4,"mmmm yyyy")))</f>
        <v/>
      </c>
      <c r="F60" s="10" t="str">
        <f>IF(A60="","",_xlfn.MAXIFS(RawData[[Date ]],RawData[[Picker ID ]],A60,RawData[Month List],TEXT($A$4,"mmmm yyyy")))</f>
        <v/>
      </c>
      <c r="G60" s="9" t="str">
        <f t="shared" si="0"/>
        <v/>
      </c>
      <c r="H60" s="9" t="str">
        <f t="shared" si="1"/>
        <v/>
      </c>
      <c r="M60" t="str">
        <v>DXB509334</v>
      </c>
    </row>
    <row r="61" spans="1:13" ht="20.100000000000001" customHeight="1" x14ac:dyDescent="0.25">
      <c r="A61" s="9"/>
      <c r="B61" s="9" t="str">
        <f>IF(A61="","",COUNTIFS('Raw Data'!G:G,A61,'Raw Data'!I:I,TEXT($A$4,"mmmm yyyy")))</f>
        <v/>
      </c>
      <c r="C61" s="9" t="str">
        <f>IF(A61="","",COUNTIFS(RawData[[Picker ID ]],A61,RawData[Month List],TEXT($A$4,"mmmm yyyy"),RawData[[Error Type ]],"Short"))</f>
        <v/>
      </c>
      <c r="D61" s="9" t="str">
        <f>IF(A61="","",COUNTIFS(RawData[[Picker ID ]],A61,RawData[Month List],TEXT($A$4,"mmmm yyyy"),RawData[[Error Type ]],"Excess"))</f>
        <v/>
      </c>
      <c r="E61" s="9" t="str">
        <f>IF(A61="","",SUMIFS(RawData[Qyt Affected ( EA ) ],RawData[[Picker ID ]],A61,RawData[Month List],TEXT($A$4,"mmmm yyyy")))</f>
        <v/>
      </c>
      <c r="F61" s="10" t="str">
        <f>IF(A61="","",_xlfn.MAXIFS(RawData[[Date ]],RawData[[Picker ID ]],A61,RawData[Month List],TEXT($A$4,"mmmm yyyy")))</f>
        <v/>
      </c>
      <c r="G61" s="9" t="str">
        <f t="shared" si="0"/>
        <v/>
      </c>
      <c r="H61" s="9" t="str">
        <f t="shared" si="1"/>
        <v/>
      </c>
      <c r="M61" t="str">
        <v>DXB509334</v>
      </c>
    </row>
    <row r="62" spans="1:13" ht="20.100000000000001" customHeight="1" x14ac:dyDescent="0.25">
      <c r="A62" s="9"/>
      <c r="B62" s="9" t="str">
        <f>IF(A62="","",COUNTIFS('Raw Data'!G:G,A62,'Raw Data'!I:I,TEXT($A$4,"mmmm yyyy")))</f>
        <v/>
      </c>
      <c r="C62" s="9" t="str">
        <f>IF(A62="","",COUNTIFS(RawData[[Picker ID ]],A62,RawData[Month List],TEXT($A$4,"mmmm yyyy"),RawData[[Error Type ]],"Short"))</f>
        <v/>
      </c>
      <c r="D62" s="9" t="str">
        <f>IF(A62="","",COUNTIFS(RawData[[Picker ID ]],A62,RawData[Month List],TEXT($A$4,"mmmm yyyy"),RawData[[Error Type ]],"Excess"))</f>
        <v/>
      </c>
      <c r="E62" s="9" t="str">
        <f>IF(A62="","",SUMIFS(RawData[Qyt Affected ( EA ) ],RawData[[Picker ID ]],A62,RawData[Month List],TEXT($A$4,"mmmm yyyy")))</f>
        <v/>
      </c>
      <c r="F62" s="10" t="str">
        <f>IF(A62="","",_xlfn.MAXIFS(RawData[[Date ]],RawData[[Picker ID ]],A62,RawData[Month List],TEXT($A$4,"mmmm yyyy")))</f>
        <v/>
      </c>
      <c r="G62" s="9" t="str">
        <f t="shared" si="0"/>
        <v/>
      </c>
      <c r="H62" s="9" t="str">
        <f t="shared" si="1"/>
        <v/>
      </c>
      <c r="M62" t="str">
        <v>DXB492416</v>
      </c>
    </row>
    <row r="63" spans="1:13" ht="20.100000000000001" customHeight="1" x14ac:dyDescent="0.25">
      <c r="A63" s="9"/>
      <c r="B63" s="9" t="str">
        <f>IF(A63="","",COUNTIFS('Raw Data'!G:G,A63,'Raw Data'!I:I,TEXT($A$4,"mmmm yyyy")))</f>
        <v/>
      </c>
      <c r="C63" s="9" t="str">
        <f>IF(A63="","",COUNTIFS(RawData[[Picker ID ]],A63,RawData[Month List],TEXT($A$4,"mmmm yyyy"),RawData[[Error Type ]],"Short"))</f>
        <v/>
      </c>
      <c r="D63" s="9" t="str">
        <f>IF(A63="","",COUNTIFS(RawData[[Picker ID ]],A63,RawData[Month List],TEXT($A$4,"mmmm yyyy"),RawData[[Error Type ]],"Excess"))</f>
        <v/>
      </c>
      <c r="E63" s="9" t="str">
        <f>IF(A63="","",SUMIFS(RawData[Qyt Affected ( EA ) ],RawData[[Picker ID ]],A63,RawData[Month List],TEXT($A$4,"mmmm yyyy")))</f>
        <v/>
      </c>
      <c r="F63" s="10" t="str">
        <f>IF(A63="","",_xlfn.MAXIFS(RawData[[Date ]],RawData[[Picker ID ]],A63,RawData[Month List],TEXT($A$4,"mmmm yyyy")))</f>
        <v/>
      </c>
      <c r="G63" s="9" t="str">
        <f t="shared" si="0"/>
        <v/>
      </c>
      <c r="H63" s="9" t="str">
        <f t="shared" si="1"/>
        <v/>
      </c>
      <c r="M63" t="str">
        <v>DXB494649</v>
      </c>
    </row>
    <row r="64" spans="1:13" ht="20.100000000000001" customHeight="1" x14ac:dyDescent="0.25">
      <c r="A64" s="9"/>
      <c r="B64" s="9" t="str">
        <f>IF(A64="","",COUNTIFS('Raw Data'!G:G,A64,'Raw Data'!I:I,TEXT($A$4,"mmmm yyyy")))</f>
        <v/>
      </c>
      <c r="C64" s="9" t="str">
        <f>IF(A64="","",COUNTIFS(RawData[[Picker ID ]],A64,RawData[Month List],TEXT($A$4,"mmmm yyyy"),RawData[[Error Type ]],"Short"))</f>
        <v/>
      </c>
      <c r="D64" s="9" t="str">
        <f>IF(A64="","",COUNTIFS(RawData[[Picker ID ]],A64,RawData[Month List],TEXT($A$4,"mmmm yyyy"),RawData[[Error Type ]],"Excess"))</f>
        <v/>
      </c>
      <c r="E64" s="9" t="str">
        <f>IF(A64="","",SUMIFS(RawData[Qyt Affected ( EA ) ],RawData[[Picker ID ]],A64,RawData[Month List],TEXT($A$4,"mmmm yyyy")))</f>
        <v/>
      </c>
      <c r="F64" s="10" t="str">
        <f>IF(A64="","",_xlfn.MAXIFS(RawData[[Date ]],RawData[[Picker ID ]],A64,RawData[Month List],TEXT($A$4,"mmmm yyyy")))</f>
        <v/>
      </c>
      <c r="G64" s="9" t="str">
        <f t="shared" si="0"/>
        <v/>
      </c>
      <c r="H64" s="9" t="str">
        <f t="shared" si="1"/>
        <v/>
      </c>
      <c r="M64" t="str">
        <v>DXB504922</v>
      </c>
    </row>
    <row r="65" spans="1:13" ht="20.100000000000001" customHeight="1" x14ac:dyDescent="0.25">
      <c r="A65" s="9"/>
      <c r="B65" s="9" t="str">
        <f>IF(A65="","",COUNTIFS('Raw Data'!G:G,A65,'Raw Data'!I:I,TEXT($A$4,"mmmm yyyy")))</f>
        <v/>
      </c>
      <c r="C65" s="9" t="str">
        <f>IF(A65="","",COUNTIFS(RawData[[Picker ID ]],A65,RawData[Month List],TEXT($A$4,"mmmm yyyy"),RawData[[Error Type ]],"Short"))</f>
        <v/>
      </c>
      <c r="D65" s="9" t="str">
        <f>IF(A65="","",COUNTIFS(RawData[[Picker ID ]],A65,RawData[Month List],TEXT($A$4,"mmmm yyyy"),RawData[[Error Type ]],"Excess"))</f>
        <v/>
      </c>
      <c r="E65" s="9" t="str">
        <f>IF(A65="","",SUMIFS(RawData[Qyt Affected ( EA ) ],RawData[[Picker ID ]],A65,RawData[Month List],TEXT($A$4,"mmmm yyyy")))</f>
        <v/>
      </c>
      <c r="F65" s="10" t="str">
        <f>IF(A65="","",_xlfn.MAXIFS(RawData[[Date ]],RawData[[Picker ID ]],A65,RawData[Month List],TEXT($A$4,"mmmm yyyy")))</f>
        <v/>
      </c>
      <c r="G65" s="9" t="str">
        <f t="shared" si="0"/>
        <v/>
      </c>
      <c r="H65" s="9" t="str">
        <f t="shared" si="1"/>
        <v/>
      </c>
      <c r="M65" t="str">
        <v>DXB497085</v>
      </c>
    </row>
    <row r="66" spans="1:13" ht="20.100000000000001" customHeight="1" x14ac:dyDescent="0.25">
      <c r="A66" s="9"/>
      <c r="B66" s="9" t="str">
        <f>IF(A66="","",COUNTIFS('Raw Data'!G:G,A66,'Raw Data'!I:I,TEXT($A$4,"mmmm yyyy")))</f>
        <v/>
      </c>
      <c r="C66" s="9" t="str">
        <f>IF(A66="","",COUNTIFS(RawData[[Picker ID ]],A66,RawData[Month List],TEXT($A$4,"mmmm yyyy"),RawData[[Error Type ]],"Short"))</f>
        <v/>
      </c>
      <c r="D66" s="9" t="str">
        <f>IF(A66="","",COUNTIFS(RawData[[Picker ID ]],A66,RawData[Month List],TEXT($A$4,"mmmm yyyy"),RawData[[Error Type ]],"Excess"))</f>
        <v/>
      </c>
      <c r="E66" s="9" t="str">
        <f>IF(A66="","",SUMIFS(RawData[Qyt Affected ( EA ) ],RawData[[Picker ID ]],A66,RawData[Month List],TEXT($A$4,"mmmm yyyy")))</f>
        <v/>
      </c>
      <c r="F66" s="10" t="str">
        <f>IF(A66="","",_xlfn.MAXIFS(RawData[[Date ]],RawData[[Picker ID ]],A66,RawData[Month List],TEXT($A$4,"mmmm yyyy")))</f>
        <v/>
      </c>
      <c r="G66" s="9" t="str">
        <f t="shared" si="0"/>
        <v/>
      </c>
      <c r="H66" s="9" t="str">
        <f t="shared" si="1"/>
        <v/>
      </c>
      <c r="M66" t="str">
        <v>DXB57291R</v>
      </c>
    </row>
    <row r="67" spans="1:13" ht="20.100000000000001" customHeight="1" x14ac:dyDescent="0.25">
      <c r="A67" s="9"/>
      <c r="B67" s="9" t="str">
        <f>IF(A67="","",COUNTIFS('Raw Data'!G:G,A67,'Raw Data'!I:I,TEXT($A$4,"mmmm yyyy")))</f>
        <v/>
      </c>
      <c r="C67" s="9" t="str">
        <f>IF(A67="","",COUNTIFS(RawData[[Picker ID ]],A67,RawData[Month List],TEXT($A$4,"mmmm yyyy"),RawData[[Error Type ]],"Short"))</f>
        <v/>
      </c>
      <c r="D67" s="9" t="str">
        <f>IF(A67="","",COUNTIFS(RawData[[Picker ID ]],A67,RawData[Month List],TEXT($A$4,"mmmm yyyy"),RawData[[Error Type ]],"Excess"))</f>
        <v/>
      </c>
      <c r="E67" s="9" t="str">
        <f>IF(A67="","",SUMIFS(RawData[Qyt Affected ( EA ) ],RawData[[Picker ID ]],A67,RawData[Month List],TEXT($A$4,"mmmm yyyy")))</f>
        <v/>
      </c>
      <c r="F67" s="10" t="str">
        <f>IF(A67="","",_xlfn.MAXIFS(RawData[[Date ]],RawData[[Picker ID ]],A67,RawData[Month List],TEXT($A$4,"mmmm yyyy")))</f>
        <v/>
      </c>
      <c r="G67" s="9" t="str">
        <f t="shared" si="0"/>
        <v/>
      </c>
      <c r="H67" s="9" t="str">
        <f t="shared" si="1"/>
        <v/>
      </c>
      <c r="M67" t="str">
        <v>DXB63233R</v>
      </c>
    </row>
    <row r="68" spans="1:13" ht="20.100000000000001" customHeight="1" x14ac:dyDescent="0.25">
      <c r="A68" s="9"/>
      <c r="B68" s="9" t="str">
        <f>IF(A68="","",COUNTIFS('Raw Data'!G:G,A68,'Raw Data'!I:I,TEXT($A$4,"mmmm yyyy")))</f>
        <v/>
      </c>
      <c r="C68" s="9" t="str">
        <f>IF(A68="","",COUNTIFS(RawData[[Picker ID ]],A68,RawData[Month List],TEXT($A$4,"mmmm yyyy"),RawData[[Error Type ]],"Short"))</f>
        <v/>
      </c>
      <c r="D68" s="9" t="str">
        <f>IF(A68="","",COUNTIFS(RawData[[Picker ID ]],A68,RawData[Month List],TEXT($A$4,"mmmm yyyy"),RawData[[Error Type ]],"Excess"))</f>
        <v/>
      </c>
      <c r="E68" s="9" t="str">
        <f>IF(A68="","",SUMIFS(RawData[Qyt Affected ( EA ) ],RawData[[Picker ID ]],A68,RawData[Month List],TEXT($A$4,"mmmm yyyy")))</f>
        <v/>
      </c>
      <c r="F68" s="10" t="str">
        <f>IF(A68="","",_xlfn.MAXIFS(RawData[[Date ]],RawData[[Picker ID ]],A68,RawData[Month List],TEXT($A$4,"mmmm yyyy")))</f>
        <v/>
      </c>
      <c r="G68" s="9" t="str">
        <f t="shared" si="0"/>
        <v/>
      </c>
      <c r="H68" s="9" t="str">
        <f t="shared" si="1"/>
        <v/>
      </c>
      <c r="M68" t="str">
        <v>DXB497090</v>
      </c>
    </row>
    <row r="69" spans="1:13" ht="20.100000000000001" customHeight="1" x14ac:dyDescent="0.25">
      <c r="A69" s="9"/>
      <c r="B69" s="9" t="str">
        <f>IF(A69="","",COUNTIFS('Raw Data'!G:G,A69,'Raw Data'!I:I,TEXT($A$4,"mmmm yyyy")))</f>
        <v/>
      </c>
      <c r="C69" s="9" t="str">
        <f>IF(A69="","",COUNTIFS(RawData[[Picker ID ]],A69,RawData[Month List],TEXT($A$4,"mmmm yyyy"),RawData[[Error Type ]],"Short"))</f>
        <v/>
      </c>
      <c r="D69" s="9" t="str">
        <f>IF(A69="","",COUNTIFS(RawData[[Picker ID ]],A69,RawData[Month List],TEXT($A$4,"mmmm yyyy"),RawData[[Error Type ]],"Excess"))</f>
        <v/>
      </c>
      <c r="E69" s="9" t="str">
        <f>IF(A69="","",SUMIFS(RawData[Qyt Affected ( EA ) ],RawData[[Picker ID ]],A69,RawData[Month List],TEXT($A$4,"mmmm yyyy")))</f>
        <v/>
      </c>
      <c r="F69" s="10" t="str">
        <f>IF(A69="","",_xlfn.MAXIFS(RawData[[Date ]],RawData[[Picker ID ]],A69,RawData[Month List],TEXT($A$4,"mmmm yyyy")))</f>
        <v/>
      </c>
      <c r="G69" s="9" t="str">
        <f t="shared" si="0"/>
        <v/>
      </c>
      <c r="H69" s="9" t="str">
        <f t="shared" si="1"/>
        <v/>
      </c>
      <c r="M69" t="str">
        <v>DXB497090</v>
      </c>
    </row>
    <row r="70" spans="1:13" ht="20.100000000000001" customHeight="1" x14ac:dyDescent="0.25">
      <c r="A70" s="9"/>
      <c r="B70" s="9" t="str">
        <f>IF(A70="","",COUNTIFS('Raw Data'!G:G,A70,'Raw Data'!I:I,TEXT($A$4,"mmmm yyyy")))</f>
        <v/>
      </c>
      <c r="C70" s="9" t="str">
        <f>IF(A70="","",COUNTIFS(RawData[[Picker ID ]],A70,RawData[Month List],TEXT($A$4,"mmmm yyyy"),RawData[[Error Type ]],"Short"))</f>
        <v/>
      </c>
      <c r="D70" s="9" t="str">
        <f>IF(A70="","",COUNTIFS(RawData[[Picker ID ]],A70,RawData[Month List],TEXT($A$4,"mmmm yyyy"),RawData[[Error Type ]],"Excess"))</f>
        <v/>
      </c>
      <c r="E70" s="9" t="str">
        <f>IF(A70="","",SUMIFS(RawData[Qyt Affected ( EA ) ],RawData[[Picker ID ]],A70,RawData[Month List],TEXT($A$4,"mmmm yyyy")))</f>
        <v/>
      </c>
      <c r="F70" s="10" t="str">
        <f>IF(A70="","",_xlfn.MAXIFS(RawData[[Date ]],RawData[[Picker ID ]],A70,RawData[Month List],TEXT($A$4,"mmmm yyyy")))</f>
        <v/>
      </c>
      <c r="G70" s="9" t="str">
        <f t="shared" si="0"/>
        <v/>
      </c>
      <c r="H70" s="9" t="str">
        <f t="shared" si="1"/>
        <v/>
      </c>
      <c r="M70" t="str">
        <v>DXB52675R</v>
      </c>
    </row>
    <row r="71" spans="1:13" ht="20.100000000000001" customHeight="1" x14ac:dyDescent="0.25">
      <c r="A71" s="9"/>
      <c r="B71" s="9" t="str">
        <f>IF(A71="","",COUNTIFS('Raw Data'!G:G,A71,'Raw Data'!I:I,TEXT($A$4,"mmmm yyyy")))</f>
        <v/>
      </c>
      <c r="C71" s="9" t="str">
        <f>IF(A71="","",COUNTIFS(RawData[[Picker ID ]],A71,RawData[Month List],TEXT($A$4,"mmmm yyyy"),RawData[[Error Type ]],"Short"))</f>
        <v/>
      </c>
      <c r="D71" s="9" t="str">
        <f>IF(A71="","",COUNTIFS(RawData[[Picker ID ]],A71,RawData[Month List],TEXT($A$4,"mmmm yyyy"),RawData[[Error Type ]],"Excess"))</f>
        <v/>
      </c>
      <c r="E71" s="9" t="str">
        <f>IF(A71="","",SUMIFS(RawData[Qyt Affected ( EA ) ],RawData[[Picker ID ]],A71,RawData[Month List],TEXT($A$4,"mmmm yyyy")))</f>
        <v/>
      </c>
      <c r="F71" s="10" t="str">
        <f>IF(A71="","",_xlfn.MAXIFS(RawData[[Date ]],RawData[[Picker ID ]],A71,RawData[Month List],TEXT($A$4,"mmmm yyyy")))</f>
        <v/>
      </c>
      <c r="G71" s="9" t="str">
        <f t="shared" si="0"/>
        <v/>
      </c>
      <c r="H71" s="9" t="str">
        <f t="shared" si="1"/>
        <v/>
      </c>
      <c r="M71" t="str">
        <v>DXB497085</v>
      </c>
    </row>
    <row r="72" spans="1:13" ht="20.100000000000001" customHeight="1" x14ac:dyDescent="0.25">
      <c r="A72" s="9"/>
      <c r="B72" s="9" t="str">
        <f>IF(A72="","",COUNTIFS('Raw Data'!G:G,A72,'Raw Data'!I:I,TEXT($A$4,"mmmm yyyy")))</f>
        <v/>
      </c>
      <c r="C72" s="9" t="str">
        <f>IF(A72="","",COUNTIFS(RawData[[Picker ID ]],A72,RawData[Month List],TEXT($A$4,"mmmm yyyy"),RawData[[Error Type ]],"Short"))</f>
        <v/>
      </c>
      <c r="D72" s="9" t="str">
        <f>IF(A72="","",COUNTIFS(RawData[[Picker ID ]],A72,RawData[Month List],TEXT($A$4,"mmmm yyyy"),RawData[[Error Type ]],"Excess"))</f>
        <v/>
      </c>
      <c r="E72" s="9" t="str">
        <f>IF(A72="","",SUMIFS(RawData[Qyt Affected ( EA ) ],RawData[[Picker ID ]],A72,RawData[Month List],TEXT($A$4,"mmmm yyyy")))</f>
        <v/>
      </c>
      <c r="F72" s="10" t="str">
        <f>IF(A72="","",_xlfn.MAXIFS(RawData[[Date ]],RawData[[Picker ID ]],A72,RawData[Month List],TEXT($A$4,"mmmm yyyy")))</f>
        <v/>
      </c>
      <c r="G72" s="9" t="str">
        <f t="shared" ref="G72:G135" si="2">IF(A72="","",IF(C72&gt;D72,"Short",IF(D72&gt;C72,"Excess", "Equal")))</f>
        <v/>
      </c>
      <c r="H72" s="9" t="str">
        <f t="shared" ref="H72:H135" si="3">IF(A72="","",RANK(B72,B$7:B$9995,0))</f>
        <v/>
      </c>
    </row>
    <row r="73" spans="1:13" ht="20.100000000000001" customHeight="1" x14ac:dyDescent="0.25">
      <c r="A73" s="9"/>
      <c r="B73" s="9" t="str">
        <f>IF(A73="","",COUNTIFS('Raw Data'!G:G,A73,'Raw Data'!I:I,TEXT($A$4,"mmmm yyyy")))</f>
        <v/>
      </c>
      <c r="C73" s="9" t="str">
        <f>IF(A73="","",COUNTIFS(RawData[[Picker ID ]],A73,RawData[Month List],TEXT($A$4,"mmmm yyyy"),RawData[[Error Type ]],"Short"))</f>
        <v/>
      </c>
      <c r="D73" s="9" t="str">
        <f>IF(A73="","",COUNTIFS(RawData[[Picker ID ]],A73,RawData[Month List],TEXT($A$4,"mmmm yyyy"),RawData[[Error Type ]],"Excess"))</f>
        <v/>
      </c>
      <c r="E73" s="9" t="str">
        <f>IF(A73="","",SUMIFS(RawData[Qyt Affected ( EA ) ],RawData[[Picker ID ]],A73,RawData[Month List],TEXT($A$4,"mmmm yyyy")))</f>
        <v/>
      </c>
      <c r="F73" s="10" t="str">
        <f>IF(A73="","",_xlfn.MAXIFS(RawData[[Date ]],RawData[[Picker ID ]],A73,RawData[Month List],TEXT($A$4,"mmmm yyyy")))</f>
        <v/>
      </c>
      <c r="G73" s="9" t="str">
        <f t="shared" si="2"/>
        <v/>
      </c>
      <c r="H73" s="9" t="str">
        <f t="shared" si="3"/>
        <v/>
      </c>
    </row>
    <row r="74" spans="1:13" ht="20.100000000000001" customHeight="1" x14ac:dyDescent="0.25">
      <c r="A74" s="9"/>
      <c r="B74" s="9" t="str">
        <f>IF(A74="","",COUNTIFS('Raw Data'!G:G,A74,'Raw Data'!I:I,TEXT($A$4,"mmmm yyyy")))</f>
        <v/>
      </c>
      <c r="C74" s="9" t="str">
        <f>IF(A74="","",COUNTIFS(RawData[[Picker ID ]],A74,RawData[Month List],TEXT($A$4,"mmmm yyyy"),RawData[[Error Type ]],"Short"))</f>
        <v/>
      </c>
      <c r="D74" s="9" t="str">
        <f>IF(A74="","",COUNTIFS(RawData[[Picker ID ]],A74,RawData[Month List],TEXT($A$4,"mmmm yyyy"),RawData[[Error Type ]],"Excess"))</f>
        <v/>
      </c>
      <c r="E74" s="9" t="str">
        <f>IF(A74="","",SUMIFS(RawData[Qyt Affected ( EA ) ],RawData[[Picker ID ]],A74,RawData[Month List],TEXT($A$4,"mmmm yyyy")))</f>
        <v/>
      </c>
      <c r="F74" s="10" t="str">
        <f>IF(A74="","",_xlfn.MAXIFS(RawData[[Date ]],RawData[[Picker ID ]],A74,RawData[Month List],TEXT($A$4,"mmmm yyyy")))</f>
        <v/>
      </c>
      <c r="G74" s="9" t="str">
        <f t="shared" si="2"/>
        <v/>
      </c>
      <c r="H74" s="9" t="str">
        <f t="shared" si="3"/>
        <v/>
      </c>
    </row>
    <row r="75" spans="1:13" ht="20.100000000000001" customHeight="1" x14ac:dyDescent="0.25">
      <c r="A75" s="9"/>
      <c r="B75" s="9" t="str">
        <f>IF(A75="","",COUNTIFS('Raw Data'!G:G,A75,'Raw Data'!I:I,TEXT($A$4,"mmmm yyyy")))</f>
        <v/>
      </c>
      <c r="C75" s="9" t="str">
        <f>IF(A75="","",COUNTIFS(RawData[[Picker ID ]],A75,RawData[Month List],TEXT($A$4,"mmmm yyyy"),RawData[[Error Type ]],"Short"))</f>
        <v/>
      </c>
      <c r="D75" s="9" t="str">
        <f>IF(A75="","",COUNTIFS(RawData[[Picker ID ]],A75,RawData[Month List],TEXT($A$4,"mmmm yyyy"),RawData[[Error Type ]],"Excess"))</f>
        <v/>
      </c>
      <c r="E75" s="9" t="str">
        <f>IF(A75="","",SUMIFS(RawData[Qyt Affected ( EA ) ],RawData[[Picker ID ]],A75,RawData[Month List],TEXT($A$4,"mmmm yyyy")))</f>
        <v/>
      </c>
      <c r="F75" s="10" t="str">
        <f>IF(A75="","",_xlfn.MAXIFS(RawData[[Date ]],RawData[[Picker ID ]],A75,RawData[Month List],TEXT($A$4,"mmmm yyyy")))</f>
        <v/>
      </c>
      <c r="G75" s="9" t="str">
        <f t="shared" si="2"/>
        <v/>
      </c>
      <c r="H75" s="9" t="str">
        <f t="shared" si="3"/>
        <v/>
      </c>
    </row>
    <row r="76" spans="1:13" ht="20.100000000000001" customHeight="1" x14ac:dyDescent="0.25">
      <c r="A76" s="9"/>
      <c r="B76" s="9" t="str">
        <f>IF(A76="","",COUNTIFS('Raw Data'!G:G,A76,'Raw Data'!I:I,TEXT($A$4,"mmmm yyyy")))</f>
        <v/>
      </c>
      <c r="C76" s="9" t="str">
        <f>IF(A76="","",COUNTIFS(RawData[[Picker ID ]],A76,RawData[Month List],TEXT($A$4,"mmmm yyyy"),RawData[[Error Type ]],"Short"))</f>
        <v/>
      </c>
      <c r="D76" s="9" t="str">
        <f>IF(A76="","",COUNTIFS(RawData[[Picker ID ]],A76,RawData[Month List],TEXT($A$4,"mmmm yyyy"),RawData[[Error Type ]],"Excess"))</f>
        <v/>
      </c>
      <c r="E76" s="9" t="str">
        <f>IF(A76="","",SUMIFS(RawData[Qyt Affected ( EA ) ],RawData[[Picker ID ]],A76,RawData[Month List],TEXT($A$4,"mmmm yyyy")))</f>
        <v/>
      </c>
      <c r="F76" s="10" t="str">
        <f>IF(A76="","",_xlfn.MAXIFS(RawData[[Date ]],RawData[[Picker ID ]],A76,RawData[Month List],TEXT($A$4,"mmmm yyyy")))</f>
        <v/>
      </c>
      <c r="G76" s="9" t="str">
        <f t="shared" si="2"/>
        <v/>
      </c>
      <c r="H76" s="9" t="str">
        <f t="shared" si="3"/>
        <v/>
      </c>
    </row>
    <row r="77" spans="1:13" ht="20.100000000000001" customHeight="1" x14ac:dyDescent="0.25">
      <c r="A77" s="9"/>
      <c r="B77" s="9" t="str">
        <f>IF(A77="","",COUNTIFS('Raw Data'!G:G,A77,'Raw Data'!I:I,TEXT($A$4,"mmmm yyyy")))</f>
        <v/>
      </c>
      <c r="C77" s="9" t="str">
        <f>IF(A77="","",COUNTIFS(RawData[[Picker ID ]],A77,RawData[Month List],TEXT($A$4,"mmmm yyyy"),RawData[[Error Type ]],"Short"))</f>
        <v/>
      </c>
      <c r="D77" s="9" t="str">
        <f>IF(A77="","",COUNTIFS(RawData[[Picker ID ]],A77,RawData[Month List],TEXT($A$4,"mmmm yyyy"),RawData[[Error Type ]],"Excess"))</f>
        <v/>
      </c>
      <c r="E77" s="9" t="str">
        <f>IF(A77="","",SUMIFS(RawData[Qyt Affected ( EA ) ],RawData[[Picker ID ]],A77,RawData[Month List],TEXT($A$4,"mmmm yyyy")))</f>
        <v/>
      </c>
      <c r="F77" s="10" t="str">
        <f>IF(A77="","",_xlfn.MAXIFS(RawData[[Date ]],RawData[[Picker ID ]],A77,RawData[Month List],TEXT($A$4,"mmmm yyyy")))</f>
        <v/>
      </c>
      <c r="G77" s="9" t="str">
        <f t="shared" si="2"/>
        <v/>
      </c>
      <c r="H77" s="9" t="str">
        <f t="shared" si="3"/>
        <v/>
      </c>
    </row>
    <row r="78" spans="1:13" ht="20.100000000000001" customHeight="1" x14ac:dyDescent="0.25">
      <c r="A78" s="9"/>
      <c r="B78" s="9" t="str">
        <f>IF(A78="","",COUNTIFS('Raw Data'!G:G,A78,'Raw Data'!I:I,TEXT($A$4,"mmmm yyyy")))</f>
        <v/>
      </c>
      <c r="C78" s="9" t="str">
        <f>IF(A78="","",COUNTIFS(RawData[[Picker ID ]],A78,RawData[Month List],TEXT($A$4,"mmmm yyyy"),RawData[[Error Type ]],"Short"))</f>
        <v/>
      </c>
      <c r="D78" s="9" t="str">
        <f>IF(A78="","",COUNTIFS(RawData[[Picker ID ]],A78,RawData[Month List],TEXT($A$4,"mmmm yyyy"),RawData[[Error Type ]],"Excess"))</f>
        <v/>
      </c>
      <c r="E78" s="9" t="str">
        <f>IF(A78="","",SUMIFS(RawData[Qyt Affected ( EA ) ],RawData[[Picker ID ]],A78,RawData[Month List],TEXT($A$4,"mmmm yyyy")))</f>
        <v/>
      </c>
      <c r="F78" s="10" t="str">
        <f>IF(A78="","",_xlfn.MAXIFS(RawData[[Date ]],RawData[[Picker ID ]],A78,RawData[Month List],TEXT($A$4,"mmmm yyyy")))</f>
        <v/>
      </c>
      <c r="G78" s="9" t="str">
        <f t="shared" si="2"/>
        <v/>
      </c>
      <c r="H78" s="9" t="str">
        <f t="shared" si="3"/>
        <v/>
      </c>
    </row>
    <row r="79" spans="1:13" ht="20.100000000000001" customHeight="1" x14ac:dyDescent="0.25">
      <c r="A79" s="9"/>
      <c r="B79" s="9" t="str">
        <f>IF(A79="","",COUNTIFS('Raw Data'!G:G,A79,'Raw Data'!I:I,TEXT($A$4,"mmmm yyyy")))</f>
        <v/>
      </c>
      <c r="C79" s="9" t="str">
        <f>IF(A79="","",COUNTIFS(RawData[[Picker ID ]],A79,RawData[Month List],TEXT($A$4,"mmmm yyyy"),RawData[[Error Type ]],"Short"))</f>
        <v/>
      </c>
      <c r="D79" s="9" t="str">
        <f>IF(A79="","",COUNTIFS(RawData[[Picker ID ]],A79,RawData[Month List],TEXT($A$4,"mmmm yyyy"),RawData[[Error Type ]],"Excess"))</f>
        <v/>
      </c>
      <c r="E79" s="9" t="str">
        <f>IF(A79="","",SUMIFS(RawData[Qyt Affected ( EA ) ],RawData[[Picker ID ]],A79,RawData[Month List],TEXT($A$4,"mmmm yyyy")))</f>
        <v/>
      </c>
      <c r="F79" s="10" t="str">
        <f>IF(A79="","",_xlfn.MAXIFS(RawData[[Date ]],RawData[[Picker ID ]],A79,RawData[Month List],TEXT($A$4,"mmmm yyyy")))</f>
        <v/>
      </c>
      <c r="G79" s="9" t="str">
        <f t="shared" si="2"/>
        <v/>
      </c>
      <c r="H79" s="9" t="str">
        <f t="shared" si="3"/>
        <v/>
      </c>
    </row>
    <row r="80" spans="1:13" ht="20.100000000000001" customHeight="1" x14ac:dyDescent="0.25">
      <c r="A80" s="9"/>
      <c r="B80" s="9" t="str">
        <f>IF(A80="","",COUNTIFS('Raw Data'!G:G,A80,'Raw Data'!I:I,TEXT($A$4,"mmmm yyyy")))</f>
        <v/>
      </c>
      <c r="C80" s="9" t="str">
        <f>IF(A80="","",COUNTIFS(RawData[[Picker ID ]],A80,RawData[Month List],TEXT($A$4,"mmmm yyyy"),RawData[[Error Type ]],"Short"))</f>
        <v/>
      </c>
      <c r="D80" s="9" t="str">
        <f>IF(A80="","",COUNTIFS(RawData[[Picker ID ]],A80,RawData[Month List],TEXT($A$4,"mmmm yyyy"),RawData[[Error Type ]],"Excess"))</f>
        <v/>
      </c>
      <c r="E80" s="9" t="str">
        <f>IF(A80="","",SUMIFS(RawData[Qyt Affected ( EA ) ],RawData[[Picker ID ]],A80,RawData[Month List],TEXT($A$4,"mmmm yyyy")))</f>
        <v/>
      </c>
      <c r="F80" s="10" t="str">
        <f>IF(A80="","",_xlfn.MAXIFS(RawData[[Date ]],RawData[[Picker ID ]],A80,RawData[Month List],TEXT($A$4,"mmmm yyyy")))</f>
        <v/>
      </c>
      <c r="G80" s="9" t="str">
        <f t="shared" si="2"/>
        <v/>
      </c>
      <c r="H80" s="9" t="str">
        <f t="shared" si="3"/>
        <v/>
      </c>
    </row>
    <row r="81" spans="1:8" ht="20.100000000000001" customHeight="1" x14ac:dyDescent="0.25">
      <c r="A81" s="9"/>
      <c r="B81" s="9" t="str">
        <f>IF(A81="","",COUNTIFS('Raw Data'!G:G,A81,'Raw Data'!I:I,TEXT($A$4,"mmmm yyyy")))</f>
        <v/>
      </c>
      <c r="C81" s="9" t="str">
        <f>IF(A81="","",COUNTIFS(RawData[[Picker ID ]],A81,RawData[Month List],TEXT($A$4,"mmmm yyyy"),RawData[[Error Type ]],"Short"))</f>
        <v/>
      </c>
      <c r="D81" s="9" t="str">
        <f>IF(A81="","",COUNTIFS(RawData[[Picker ID ]],A81,RawData[Month List],TEXT($A$4,"mmmm yyyy"),RawData[[Error Type ]],"Excess"))</f>
        <v/>
      </c>
      <c r="E81" s="9" t="str">
        <f>IF(A81="","",SUMIFS(RawData[Qyt Affected ( EA ) ],RawData[[Picker ID ]],A81,RawData[Month List],TEXT($A$4,"mmmm yyyy")))</f>
        <v/>
      </c>
      <c r="F81" s="10" t="str">
        <f>IF(A81="","",_xlfn.MAXIFS(RawData[[Date ]],RawData[[Picker ID ]],A81,RawData[Month List],TEXT($A$4,"mmmm yyyy")))</f>
        <v/>
      </c>
      <c r="G81" s="9" t="str">
        <f t="shared" si="2"/>
        <v/>
      </c>
      <c r="H81" s="9" t="str">
        <f t="shared" si="3"/>
        <v/>
      </c>
    </row>
    <row r="82" spans="1:8" ht="20.100000000000001" customHeight="1" x14ac:dyDescent="0.25">
      <c r="A82" s="9"/>
      <c r="B82" s="9" t="str">
        <f>IF(A82="","",COUNTIFS('Raw Data'!G:G,A82,'Raw Data'!I:I,TEXT($A$4,"mmmm yyyy")))</f>
        <v/>
      </c>
      <c r="C82" s="9" t="str">
        <f>IF(A82="","",COUNTIFS(RawData[[Picker ID ]],A82,RawData[Month List],TEXT($A$4,"mmmm yyyy"),RawData[[Error Type ]],"Short"))</f>
        <v/>
      </c>
      <c r="D82" s="9" t="str">
        <f>IF(A82="","",COUNTIFS(RawData[[Picker ID ]],A82,RawData[Month List],TEXT($A$4,"mmmm yyyy"),RawData[[Error Type ]],"Excess"))</f>
        <v/>
      </c>
      <c r="E82" s="9" t="str">
        <f>IF(A82="","",SUMIFS(RawData[Qyt Affected ( EA ) ],RawData[[Picker ID ]],A82,RawData[Month List],TEXT($A$4,"mmmm yyyy")))</f>
        <v/>
      </c>
      <c r="F82" s="10" t="str">
        <f>IF(A82="","",_xlfn.MAXIFS(RawData[[Date ]],RawData[[Picker ID ]],A82,RawData[Month List],TEXT($A$4,"mmmm yyyy")))</f>
        <v/>
      </c>
      <c r="G82" s="9" t="str">
        <f t="shared" si="2"/>
        <v/>
      </c>
      <c r="H82" s="9" t="str">
        <f t="shared" si="3"/>
        <v/>
      </c>
    </row>
    <row r="83" spans="1:8" ht="20.100000000000001" customHeight="1" x14ac:dyDescent="0.25">
      <c r="A83" s="9"/>
      <c r="B83" s="9" t="str">
        <f>IF(A83="","",COUNTIFS('Raw Data'!G:G,A83,'Raw Data'!I:I,TEXT($A$4,"mmmm yyyy")))</f>
        <v/>
      </c>
      <c r="C83" s="9" t="str">
        <f>IF(A83="","",COUNTIFS(RawData[[Picker ID ]],A83,RawData[Month List],TEXT($A$4,"mmmm yyyy"),RawData[[Error Type ]],"Short"))</f>
        <v/>
      </c>
      <c r="D83" s="9" t="str">
        <f>IF(A83="","",COUNTIFS(RawData[[Picker ID ]],A83,RawData[Month List],TEXT($A$4,"mmmm yyyy"),RawData[[Error Type ]],"Excess"))</f>
        <v/>
      </c>
      <c r="E83" s="9" t="str">
        <f>IF(A83="","",SUMIFS(RawData[Qyt Affected ( EA ) ],RawData[[Picker ID ]],A83,RawData[Month List],TEXT($A$4,"mmmm yyyy")))</f>
        <v/>
      </c>
      <c r="F83" s="10" t="str">
        <f>IF(A83="","",_xlfn.MAXIFS(RawData[[Date ]],RawData[[Picker ID ]],A83,RawData[Month List],TEXT($A$4,"mmmm yyyy")))</f>
        <v/>
      </c>
      <c r="G83" s="9" t="str">
        <f t="shared" si="2"/>
        <v/>
      </c>
      <c r="H83" s="9" t="str">
        <f t="shared" si="3"/>
        <v/>
      </c>
    </row>
    <row r="84" spans="1:8" ht="20.100000000000001" customHeight="1" x14ac:dyDescent="0.25">
      <c r="A84" s="9"/>
      <c r="B84" s="9" t="str">
        <f>IF(A84="","",COUNTIFS('Raw Data'!G:G,A84,'Raw Data'!I:I,TEXT($A$4,"mmmm yyyy")))</f>
        <v/>
      </c>
      <c r="C84" s="9" t="str">
        <f>IF(A84="","",COUNTIFS(RawData[[Picker ID ]],A84,RawData[Month List],TEXT($A$4,"mmmm yyyy"),RawData[[Error Type ]],"Short"))</f>
        <v/>
      </c>
      <c r="D84" s="9" t="str">
        <f>IF(A84="","",COUNTIFS(RawData[[Picker ID ]],A84,RawData[Month List],TEXT($A$4,"mmmm yyyy"),RawData[[Error Type ]],"Excess"))</f>
        <v/>
      </c>
      <c r="E84" s="9" t="str">
        <f>IF(A84="","",SUMIFS(RawData[Qyt Affected ( EA ) ],RawData[[Picker ID ]],A84,RawData[Month List],TEXT($A$4,"mmmm yyyy")))</f>
        <v/>
      </c>
      <c r="F84" s="10" t="str">
        <f>IF(A84="","",_xlfn.MAXIFS(RawData[[Date ]],RawData[[Picker ID ]],A84,RawData[Month List],TEXT($A$4,"mmmm yyyy")))</f>
        <v/>
      </c>
      <c r="G84" s="9" t="str">
        <f t="shared" si="2"/>
        <v/>
      </c>
      <c r="H84" s="9" t="str">
        <f t="shared" si="3"/>
        <v/>
      </c>
    </row>
    <row r="85" spans="1:8" ht="20.100000000000001" customHeight="1" x14ac:dyDescent="0.25">
      <c r="A85" s="9"/>
      <c r="B85" s="9" t="str">
        <f>IF(A85="","",COUNTIF('Raw Data'!G:G,A85))</f>
        <v/>
      </c>
      <c r="C85" s="9" t="str">
        <f>IF(A85="","",COUNTIFS(RawData[[Picker ID ]],A85,RawData[Month List],TEXT($A$4,"mmmm yyyy"),RawData[[Error Type ]],"Short"))</f>
        <v/>
      </c>
      <c r="D85" s="9" t="str">
        <f>IF(A85="","",COUNTIFS(RawData[[Picker ID ]],A85,RawData[Month List],TEXT($A$4,"mmmm yyyy"),RawData[[Error Type ]],"Excess"))</f>
        <v/>
      </c>
      <c r="E85" s="9" t="str">
        <f>IF(A85="","",SUMIFS(RawData[Qyt Affected ( EA ) ],RawData[[Picker ID ]],A85,RawData[Month List],TEXT($A$4,"mmmm yyyy")))</f>
        <v/>
      </c>
      <c r="F85" s="10" t="str">
        <f>IF(A85="","",_xlfn.MAXIFS(RawData[[Date ]],RawData[[Picker ID ]],A85,RawData[Month List],TEXT($A$4,"mmmm yyyy")))</f>
        <v/>
      </c>
      <c r="G85" s="9" t="str">
        <f t="shared" si="2"/>
        <v/>
      </c>
      <c r="H85" s="9" t="str">
        <f t="shared" si="3"/>
        <v/>
      </c>
    </row>
    <row r="86" spans="1:8" ht="20.100000000000001" customHeight="1" x14ac:dyDescent="0.25">
      <c r="A86" s="9"/>
      <c r="B86" s="9" t="str">
        <f>IF(A86="","",COUNTIF('Raw Data'!G:G,A86))</f>
        <v/>
      </c>
      <c r="C86" s="9" t="str">
        <f>IF(A86="","",COUNTIFS(RawData[[Picker ID ]],A86,RawData[Month List],TEXT($A$4,"mmmm yyyy"),RawData[[Error Type ]],"Short"))</f>
        <v/>
      </c>
      <c r="D86" s="9" t="str">
        <f>IF(A86="","",COUNTIFS(RawData[[Picker ID ]],A86,RawData[Month List],TEXT($A$4,"mmmm yyyy"),RawData[[Error Type ]],"Excess"))</f>
        <v/>
      </c>
      <c r="E86" s="9" t="str">
        <f>IF(A86="","",SUMIFS(RawData[Qyt Affected ( EA ) ],RawData[[Picker ID ]],A86,RawData[Month List],TEXT($A$4,"mmmm yyyy")))</f>
        <v/>
      </c>
      <c r="F86" s="10" t="str">
        <f>IF(A86="","",_xlfn.MAXIFS(RawData[[Date ]],RawData[[Picker ID ]],A86,RawData[Month List],TEXT($A$4,"mmmm yyyy")))</f>
        <v/>
      </c>
      <c r="G86" s="9" t="str">
        <f t="shared" si="2"/>
        <v/>
      </c>
      <c r="H86" s="9" t="str">
        <f t="shared" si="3"/>
        <v/>
      </c>
    </row>
    <row r="87" spans="1:8" ht="20.100000000000001" customHeight="1" x14ac:dyDescent="0.25">
      <c r="A87" s="9"/>
      <c r="B87" s="9" t="str">
        <f>IF(A87="","",COUNTIF('Raw Data'!G:G,A87))</f>
        <v/>
      </c>
      <c r="C87" s="9" t="str">
        <f>IF(A87="","",COUNTIFS(RawData[[Picker ID ]],A87,RawData[Month List],TEXT($A$4,"mmmm yyyy"),RawData[[Error Type ]],"Short"))</f>
        <v/>
      </c>
      <c r="D87" s="9" t="str">
        <f>IF(A87="","",COUNTIFS(RawData[[Picker ID ]],A87,RawData[Month List],TEXT($A$4,"mmmm yyyy"),RawData[[Error Type ]],"Excess"))</f>
        <v/>
      </c>
      <c r="E87" s="9" t="str">
        <f>IF(A87="","",SUMIFS(RawData[Qyt Affected ( EA ) ],RawData[[Picker ID ]],A87,RawData[Month List],TEXT($A$4,"mmmm yyyy")))</f>
        <v/>
      </c>
      <c r="F87" s="10" t="str">
        <f>IF(A87="","",_xlfn.MAXIFS(RawData[[Date ]],RawData[[Picker ID ]],A87,RawData[Month List],TEXT($A$4,"mmmm yyyy")))</f>
        <v/>
      </c>
      <c r="G87" s="9" t="str">
        <f t="shared" si="2"/>
        <v/>
      </c>
      <c r="H87" s="9" t="str">
        <f t="shared" si="3"/>
        <v/>
      </c>
    </row>
    <row r="88" spans="1:8" ht="20.100000000000001" customHeight="1" x14ac:dyDescent="0.25">
      <c r="A88" s="9"/>
      <c r="B88" s="9" t="str">
        <f>IF(A88="","",COUNTIF('Raw Data'!G:G,A88))</f>
        <v/>
      </c>
      <c r="C88" s="9" t="str">
        <f>IF(A88="","",COUNTIFS(RawData[[Picker ID ]],A88,RawData[Month List],TEXT($A$4,"mmmm yyyy"),RawData[[Error Type ]],"Short"))</f>
        <v/>
      </c>
      <c r="D88" s="9" t="str">
        <f>IF(A88="","",COUNTIFS(RawData[[Picker ID ]],A88,RawData[Month List],TEXT($A$4,"mmmm yyyy"),RawData[[Error Type ]],"Excess"))</f>
        <v/>
      </c>
      <c r="E88" s="9" t="str">
        <f>IF(A88="","",SUMIFS(RawData[Qyt Affected ( EA ) ],RawData[[Picker ID ]],A88,RawData[Month List],TEXT($A$4,"mmmm yyyy")))</f>
        <v/>
      </c>
      <c r="F88" s="10" t="str">
        <f>IF(A88="","",_xlfn.MAXIFS(RawData[[Date ]],RawData[[Picker ID ]],A88,RawData[Month List],TEXT($A$4,"mmmm yyyy")))</f>
        <v/>
      </c>
      <c r="G88" s="9" t="str">
        <f t="shared" si="2"/>
        <v/>
      </c>
      <c r="H88" s="9" t="str">
        <f t="shared" si="3"/>
        <v/>
      </c>
    </row>
    <row r="89" spans="1:8" ht="20.100000000000001" customHeight="1" x14ac:dyDescent="0.25">
      <c r="A89" s="9"/>
      <c r="B89" s="9" t="str">
        <f>IF(A89="","",COUNTIF('Raw Data'!G:G,A89))</f>
        <v/>
      </c>
      <c r="C89" s="9" t="str">
        <f>IF(A89="","",COUNTIFS(RawData[[Picker ID ]],A89,RawData[Month List],TEXT($A$4,"mmmm yyyy"),RawData[[Error Type ]],"Short"))</f>
        <v/>
      </c>
      <c r="D89" s="9" t="str">
        <f>IF(A89="","",COUNTIFS(RawData[[Picker ID ]],A89,RawData[Month List],TEXT($A$4,"mmmm yyyy"),RawData[[Error Type ]],"Excess"))</f>
        <v/>
      </c>
      <c r="E89" s="9" t="str">
        <f>IF(A89="","",SUMIFS(RawData[Qyt Affected ( EA ) ],RawData[[Picker ID ]],A89,RawData[Month List],TEXT($A$4,"mmmm yyyy")))</f>
        <v/>
      </c>
      <c r="F89" s="10" t="str">
        <f>IF(A89="","",_xlfn.MAXIFS(RawData[[Date ]],RawData[[Picker ID ]],A89,RawData[Month List],TEXT($A$4,"mmmm yyyy")))</f>
        <v/>
      </c>
      <c r="G89" s="9" t="str">
        <f t="shared" si="2"/>
        <v/>
      </c>
      <c r="H89" s="9" t="str">
        <f t="shared" si="3"/>
        <v/>
      </c>
    </row>
    <row r="90" spans="1:8" ht="20.100000000000001" customHeight="1" x14ac:dyDescent="0.25">
      <c r="A90" s="9"/>
      <c r="B90" s="9" t="str">
        <f>IF(A90="","",COUNTIF('Raw Data'!G:G,A90))</f>
        <v/>
      </c>
      <c r="C90" s="9" t="str">
        <f>IF(A90="","",COUNTIFS(RawData[[Picker ID ]],A90,RawData[Month List],TEXT($A$4,"mmmm yyyy"),RawData[[Error Type ]],"Short"))</f>
        <v/>
      </c>
      <c r="D90" s="9" t="str">
        <f>IF(A90="","",COUNTIFS(RawData[[Picker ID ]],A90,RawData[Month List],TEXT($A$4,"mmmm yyyy"),RawData[[Error Type ]],"Excess"))</f>
        <v/>
      </c>
      <c r="E90" s="9" t="str">
        <f>IF(A90="","",SUMIFS(RawData[Qyt Affected ( EA ) ],RawData[[Picker ID ]],A90,RawData[Month List],TEXT($A$4,"mmmm yyyy")))</f>
        <v/>
      </c>
      <c r="F90" s="10" t="str">
        <f>IF(A90="","",_xlfn.MAXIFS(RawData[[Date ]],RawData[[Picker ID ]],A90,RawData[Month List],TEXT($A$4,"mmmm yyyy")))</f>
        <v/>
      </c>
      <c r="G90" s="9" t="str">
        <f t="shared" si="2"/>
        <v/>
      </c>
      <c r="H90" s="9" t="str">
        <f t="shared" si="3"/>
        <v/>
      </c>
    </row>
    <row r="91" spans="1:8" ht="20.100000000000001" customHeight="1" x14ac:dyDescent="0.25">
      <c r="A91" s="9"/>
      <c r="B91" s="9" t="str">
        <f>IF(A91="","",COUNTIF('Raw Data'!G:G,A91))</f>
        <v/>
      </c>
      <c r="C91" s="9" t="str">
        <f>IF(A91="","",COUNTIFS(RawData[[Picker ID ]],A91,RawData[Month List],TEXT($A$4,"mmmm yyyy"),RawData[[Error Type ]],"Short"))</f>
        <v/>
      </c>
      <c r="D91" s="9" t="str">
        <f>IF(A91="","",COUNTIFS(RawData[[Picker ID ]],A91,RawData[Month List],TEXT($A$4,"mmmm yyyy"),RawData[[Error Type ]],"Excess"))</f>
        <v/>
      </c>
      <c r="E91" s="9" t="str">
        <f>IF(A91="","",SUMIFS(RawData[Qyt Affected ( EA ) ],RawData[[Picker ID ]],A91,RawData[Month List],TEXT($A$4,"mmmm yyyy")))</f>
        <v/>
      </c>
      <c r="F91" s="10" t="str">
        <f>IF(A91="","",_xlfn.MAXIFS(RawData[[Date ]],RawData[[Picker ID ]],A91,RawData[Month List],TEXT($A$4,"mmmm yyyy")))</f>
        <v/>
      </c>
      <c r="G91" s="9" t="str">
        <f t="shared" si="2"/>
        <v/>
      </c>
      <c r="H91" s="9" t="str">
        <f t="shared" si="3"/>
        <v/>
      </c>
    </row>
    <row r="92" spans="1:8" ht="20.100000000000001" customHeight="1" x14ac:dyDescent="0.25">
      <c r="A92" s="9"/>
      <c r="B92" s="9" t="str">
        <f>IF(A92="","",COUNTIF('Raw Data'!G:G,A92))</f>
        <v/>
      </c>
      <c r="C92" s="9" t="str">
        <f>IF(A92="","",COUNTIFS(RawData[[Picker ID ]],A92,RawData[Month List],TEXT($A$4,"mmmm yyyy"),RawData[[Error Type ]],"Short"))</f>
        <v/>
      </c>
      <c r="D92" s="9" t="str">
        <f>IF(A92="","",COUNTIFS(RawData[[Picker ID ]],A92,RawData[Month List],TEXT($A$4,"mmmm yyyy"),RawData[[Error Type ]],"Excess"))</f>
        <v/>
      </c>
      <c r="E92" s="9" t="str">
        <f>IF(A92="","",SUMIFS(RawData[Qyt Affected ( EA ) ],RawData[[Picker ID ]],A92,RawData[Month List],TEXT($A$4,"mmmm yyyy")))</f>
        <v/>
      </c>
      <c r="F92" s="10" t="str">
        <f>IF(A92="","",_xlfn.MAXIFS(RawData[[Date ]],RawData[[Picker ID ]],A92,RawData[Month List],TEXT($A$4,"mmmm yyyy")))</f>
        <v/>
      </c>
      <c r="G92" s="9" t="str">
        <f t="shared" si="2"/>
        <v/>
      </c>
      <c r="H92" s="9" t="str">
        <f t="shared" si="3"/>
        <v/>
      </c>
    </row>
    <row r="93" spans="1:8" ht="20.100000000000001" customHeight="1" x14ac:dyDescent="0.25">
      <c r="A93" s="9"/>
      <c r="B93" s="9" t="str">
        <f>IF(A93="","",COUNTIF('Raw Data'!G:G,A93))</f>
        <v/>
      </c>
      <c r="C93" s="9" t="str">
        <f>IF(A93="","",COUNTIFS(RawData[[Picker ID ]],A93,RawData[Month List],TEXT($A$4,"mmmm yyyy"),RawData[[Error Type ]],"Short"))</f>
        <v/>
      </c>
      <c r="D93" s="9" t="str">
        <f>IF(A93="","",COUNTIFS(RawData[[Picker ID ]],A93,RawData[Month List],TEXT($A$4,"mmmm yyyy"),RawData[[Error Type ]],"Excess"))</f>
        <v/>
      </c>
      <c r="E93" s="9" t="str">
        <f>IF(A93="","",SUMIFS(RawData[Qyt Affected ( EA ) ],RawData[[Picker ID ]],A93,RawData[Month List],TEXT($A$4,"mmmm yyyy")))</f>
        <v/>
      </c>
      <c r="F93" s="10" t="str">
        <f>IF(A93="","",_xlfn.MAXIFS(RawData[[Date ]],RawData[[Picker ID ]],A93,RawData[Month List],TEXT($A$4,"mmmm yyyy")))</f>
        <v/>
      </c>
      <c r="G93" s="9" t="str">
        <f t="shared" si="2"/>
        <v/>
      </c>
      <c r="H93" s="9" t="str">
        <f t="shared" si="3"/>
        <v/>
      </c>
    </row>
    <row r="94" spans="1:8" ht="20.100000000000001" customHeight="1" x14ac:dyDescent="0.25">
      <c r="A94" s="9"/>
      <c r="B94" s="9" t="str">
        <f>IF(A94="","",COUNTIF('Raw Data'!G:G,A94))</f>
        <v/>
      </c>
      <c r="C94" s="9" t="str">
        <f>IF(A94="","",COUNTIFS(RawData[[Picker ID ]],A94,RawData[Month List],TEXT($A$4,"mmmm yyyy"),RawData[[Error Type ]],"Short"))</f>
        <v/>
      </c>
      <c r="D94" s="9" t="str">
        <f>IF(A94="","",COUNTIFS(RawData[[Picker ID ]],A94,RawData[Month List],TEXT($A$4,"mmmm yyyy"),RawData[[Error Type ]],"Excess"))</f>
        <v/>
      </c>
      <c r="E94" s="9" t="str">
        <f>IF(A94="","",SUMIFS(RawData[Qyt Affected ( EA ) ],RawData[[Picker ID ]],A94,RawData[Month List],TEXT($A$4,"mmmm yyyy")))</f>
        <v/>
      </c>
      <c r="F94" s="10" t="str">
        <f>IF(A94="","",_xlfn.MAXIFS(RawData[[Date ]],RawData[[Picker ID ]],A94,RawData[Month List],TEXT($A$4,"mmmm yyyy")))</f>
        <v/>
      </c>
      <c r="G94" s="9" t="str">
        <f t="shared" si="2"/>
        <v/>
      </c>
      <c r="H94" s="9" t="str">
        <f t="shared" si="3"/>
        <v/>
      </c>
    </row>
    <row r="95" spans="1:8" ht="20.100000000000001" customHeight="1" x14ac:dyDescent="0.25">
      <c r="A95" s="9"/>
      <c r="B95" s="9" t="str">
        <f>IF(A95="","",COUNTIF('Raw Data'!G:G,A95))</f>
        <v/>
      </c>
      <c r="C95" s="9" t="str">
        <f>IF(A95="","",COUNTIFS(RawData[[Picker ID ]],A95,RawData[Month List],TEXT($A$4,"mmmm yyyy"),RawData[[Error Type ]],"Short"))</f>
        <v/>
      </c>
      <c r="D95" s="9" t="str">
        <f>IF(A95="","",COUNTIFS(RawData[[Picker ID ]],A95,RawData[Month List],TEXT($A$4,"mmmm yyyy"),RawData[[Error Type ]],"Excess"))</f>
        <v/>
      </c>
      <c r="E95" s="9" t="str">
        <f>IF(A95="","",SUMIFS(RawData[Qyt Affected ( EA ) ],RawData[[Picker ID ]],A95,RawData[Month List],TEXT($A$4,"mmmm yyyy")))</f>
        <v/>
      </c>
      <c r="F95" s="10" t="str">
        <f>IF(A95="","",_xlfn.MAXIFS(RawData[[Date ]],RawData[[Picker ID ]],A95,RawData[Month List],TEXT($A$4,"mmmm yyyy")))</f>
        <v/>
      </c>
      <c r="G95" s="9" t="str">
        <f t="shared" si="2"/>
        <v/>
      </c>
      <c r="H95" s="9" t="str">
        <f t="shared" si="3"/>
        <v/>
      </c>
    </row>
    <row r="96" spans="1:8" ht="20.100000000000001" customHeight="1" x14ac:dyDescent="0.25">
      <c r="A96" s="9"/>
      <c r="B96" s="9" t="str">
        <f>IF(A96="","",COUNTIF('Raw Data'!G:G,A96))</f>
        <v/>
      </c>
      <c r="C96" s="9" t="str">
        <f>IF(A96="","",COUNTIFS(RawData[[Picker ID ]],A96,RawData[Month List],TEXT($A$4,"mmmm yyyy"),RawData[[Error Type ]],"Short"))</f>
        <v/>
      </c>
      <c r="D96" s="9" t="str">
        <f>IF(A96="","",COUNTIFS(RawData[[Picker ID ]],A96,RawData[Month List],TEXT($A$4,"mmmm yyyy"),RawData[[Error Type ]],"Excess"))</f>
        <v/>
      </c>
      <c r="E96" s="9" t="str">
        <f>IF(A96="","",SUMIFS(RawData[Qyt Affected ( EA ) ],RawData[[Picker ID ]],A96,RawData[Month List],TEXT($A$4,"mmmm yyyy")))</f>
        <v/>
      </c>
      <c r="F96" s="10" t="str">
        <f>IF(A96="","",_xlfn.MAXIFS(RawData[[Date ]],RawData[[Picker ID ]],A96,RawData[Month List],TEXT($A$4,"mmmm yyyy")))</f>
        <v/>
      </c>
      <c r="G96" s="9" t="str">
        <f t="shared" si="2"/>
        <v/>
      </c>
      <c r="H96" s="9" t="str">
        <f t="shared" si="3"/>
        <v/>
      </c>
    </row>
    <row r="97" spans="1:8" ht="20.100000000000001" customHeight="1" x14ac:dyDescent="0.25">
      <c r="A97" s="9"/>
      <c r="B97" s="9" t="str">
        <f>IF(A97="","",COUNTIF('Raw Data'!G:G,A97))</f>
        <v/>
      </c>
      <c r="C97" s="9" t="str">
        <f>IF(A97="","",COUNTIFS(RawData[[Picker ID ]],A97,RawData[Month List],TEXT($A$4,"mmmm yyyy"),RawData[[Error Type ]],"Short"))</f>
        <v/>
      </c>
      <c r="D97" s="9" t="str">
        <f>IF(A97="","",COUNTIFS(RawData[[Picker ID ]],A97,RawData[Month List],TEXT($A$4,"mmmm yyyy"),RawData[[Error Type ]],"Excess"))</f>
        <v/>
      </c>
      <c r="E97" s="9" t="str">
        <f>IF(A97="","",SUMIFS(RawData[Qyt Affected ( EA ) ],RawData[[Picker ID ]],A97,RawData[Month List],TEXT($A$4,"mmmm yyyy")))</f>
        <v/>
      </c>
      <c r="F97" s="10" t="str">
        <f>IF(A97="","",_xlfn.MAXIFS(RawData[[Date ]],RawData[[Picker ID ]],A97,RawData[Month List],TEXT($A$4,"mmmm yyyy")))</f>
        <v/>
      </c>
      <c r="G97" s="9" t="str">
        <f t="shared" si="2"/>
        <v/>
      </c>
      <c r="H97" s="9" t="str">
        <f t="shared" si="3"/>
        <v/>
      </c>
    </row>
    <row r="98" spans="1:8" ht="20.100000000000001" customHeight="1" x14ac:dyDescent="0.25">
      <c r="A98" s="9"/>
      <c r="B98" s="9" t="str">
        <f>IF(A98="","",COUNTIF('Raw Data'!G:G,A98))</f>
        <v/>
      </c>
      <c r="C98" s="9" t="str">
        <f>IF(A98="","",COUNTIFS(RawData[[Picker ID ]],A98,RawData[Month List],TEXT($A$4,"mmmm yyyy"),RawData[[Error Type ]],"Short"))</f>
        <v/>
      </c>
      <c r="D98" s="9" t="str">
        <f>IF(A98="","",COUNTIFS(RawData[[Picker ID ]],A98,RawData[Month List],TEXT($A$4,"mmmm yyyy"),RawData[[Error Type ]],"Excess"))</f>
        <v/>
      </c>
      <c r="E98" s="9" t="str">
        <f>IF(A98="","",SUMIFS(RawData[Qyt Affected ( EA ) ],RawData[[Picker ID ]],A98,RawData[Month List],TEXT($A$4,"mmmm yyyy")))</f>
        <v/>
      </c>
      <c r="F98" s="10" t="str">
        <f>IF(A98="","",_xlfn.MAXIFS(RawData[[Date ]],RawData[[Picker ID ]],A98,RawData[Month List],TEXT($A$4,"mmmm yyyy")))</f>
        <v/>
      </c>
      <c r="G98" s="9" t="str">
        <f t="shared" si="2"/>
        <v/>
      </c>
      <c r="H98" s="9" t="str">
        <f t="shared" si="3"/>
        <v/>
      </c>
    </row>
    <row r="99" spans="1:8" ht="20.100000000000001" customHeight="1" x14ac:dyDescent="0.25">
      <c r="A99" s="9"/>
      <c r="B99" s="9" t="str">
        <f>IF(A99="","",COUNTIF('Raw Data'!G:G,A99))</f>
        <v/>
      </c>
      <c r="C99" s="9" t="str">
        <f>IF(A99="","",COUNTIFS(RawData[[Picker ID ]],A99,RawData[Month List],TEXT($A$4,"mmmm yyyy"),RawData[[Error Type ]],"Short"))</f>
        <v/>
      </c>
      <c r="D99" s="9" t="str">
        <f>IF(A99="","",COUNTIFS(RawData[[Picker ID ]],A99,RawData[Month List],TEXT($A$4,"mmmm yyyy"),RawData[[Error Type ]],"Excess"))</f>
        <v/>
      </c>
      <c r="E99" s="9" t="str">
        <f>IF(A99="","",SUMIFS(RawData[Qyt Affected ( EA ) ],RawData[[Picker ID ]],A99,RawData[Month List],TEXT($A$4,"mmmm yyyy")))</f>
        <v/>
      </c>
      <c r="F99" s="10" t="str">
        <f>IF(A99="","",_xlfn.MAXIFS(RawData[[Date ]],RawData[[Picker ID ]],A99,RawData[Month List],TEXT($A$4,"mmmm yyyy")))</f>
        <v/>
      </c>
      <c r="G99" s="9" t="str">
        <f t="shared" si="2"/>
        <v/>
      </c>
      <c r="H99" s="9" t="str">
        <f t="shared" si="3"/>
        <v/>
      </c>
    </row>
    <row r="100" spans="1:8" ht="20.100000000000001" customHeight="1" x14ac:dyDescent="0.25">
      <c r="A100" s="9"/>
      <c r="B100" s="9" t="str">
        <f>IF(A100="","",COUNTIF('Raw Data'!G:G,A100))</f>
        <v/>
      </c>
      <c r="C100" s="9" t="str">
        <f>IF(A100="","",COUNTIFS(RawData[[Picker ID ]],A100,RawData[Month List],TEXT($A$4,"mmmm yyyy"),RawData[[Error Type ]],"Short"))</f>
        <v/>
      </c>
      <c r="D100" s="9" t="str">
        <f>IF(A100="","",COUNTIFS(RawData[[Picker ID ]],A100,RawData[Month List],TEXT($A$4,"mmmm yyyy"),RawData[[Error Type ]],"Excess"))</f>
        <v/>
      </c>
      <c r="E100" s="9" t="str">
        <f>IF(A100="","",SUMIFS(RawData[Qyt Affected ( EA ) ],RawData[[Picker ID ]],A100,RawData[Month List],TEXT($A$4,"mmmm yyyy")))</f>
        <v/>
      </c>
      <c r="F100" s="10" t="str">
        <f>IF(A100="","",_xlfn.MAXIFS(RawData[[Date ]],RawData[[Picker ID ]],A100,RawData[Month List],TEXT($A$4,"mmmm yyyy")))</f>
        <v/>
      </c>
      <c r="G100" s="9" t="str">
        <f t="shared" si="2"/>
        <v/>
      </c>
      <c r="H100" s="9" t="str">
        <f t="shared" si="3"/>
        <v/>
      </c>
    </row>
    <row r="101" spans="1:8" ht="20.100000000000001" customHeight="1" x14ac:dyDescent="0.25">
      <c r="A101" s="9"/>
      <c r="B101" s="9" t="str">
        <f>IF(A101="","",COUNTIF('Raw Data'!G:G,A101))</f>
        <v/>
      </c>
      <c r="C101" s="9" t="str">
        <f>IF(A101="","",COUNTIFS(RawData[[Picker ID ]],A101,RawData[Month List],TEXT($A$4,"mmmm yyyy"),RawData[[Error Type ]],"Short"))</f>
        <v/>
      </c>
      <c r="D101" s="9" t="str">
        <f>IF(A101="","",COUNTIFS(RawData[[Picker ID ]],A101,RawData[Month List],TEXT($A$4,"mmmm yyyy"),RawData[[Error Type ]],"Excess"))</f>
        <v/>
      </c>
      <c r="E101" s="9" t="str">
        <f>IF(A101="","",SUMIFS(RawData[Qyt Affected ( EA ) ],RawData[[Picker ID ]],A101,RawData[Month List],TEXT($A$4,"mmmm yyyy")))</f>
        <v/>
      </c>
      <c r="F101" s="10" t="str">
        <f>IF(A101="","",_xlfn.MAXIFS(RawData[[Date ]],RawData[[Picker ID ]],A101,RawData[Month List],TEXT($A$4,"mmmm yyyy")))</f>
        <v/>
      </c>
      <c r="G101" s="9" t="str">
        <f t="shared" si="2"/>
        <v/>
      </c>
      <c r="H101" s="9" t="str">
        <f t="shared" si="3"/>
        <v/>
      </c>
    </row>
    <row r="102" spans="1:8" ht="20.100000000000001" customHeight="1" x14ac:dyDescent="0.25">
      <c r="A102" s="9"/>
      <c r="B102" s="9" t="str">
        <f>IF(A102="","",COUNTIF('Raw Data'!G:G,A102))</f>
        <v/>
      </c>
      <c r="C102" s="9" t="str">
        <f>IF(A102="","",COUNTIFS(RawData[[Picker ID ]],A102,RawData[Month List],TEXT($A$4,"mmmm yyyy"),RawData[[Error Type ]],"Short"))</f>
        <v/>
      </c>
      <c r="D102" s="9" t="str">
        <f>IF(A102="","",COUNTIFS(RawData[[Picker ID ]],A102,RawData[Month List],TEXT($A$4,"mmmm yyyy"),RawData[[Error Type ]],"Excess"))</f>
        <v/>
      </c>
      <c r="E102" s="9" t="str">
        <f>IF(A102="","",SUMIFS(RawData[Qyt Affected ( EA ) ],RawData[[Picker ID ]],A102,RawData[Month List],TEXT($A$4,"mmmm yyyy")))</f>
        <v/>
      </c>
      <c r="F102" s="10" t="str">
        <f>IF(A102="","",_xlfn.MAXIFS(RawData[[Date ]],RawData[[Picker ID ]],A102,RawData[Month List],TEXT($A$4,"mmmm yyyy")))</f>
        <v/>
      </c>
      <c r="G102" s="9" t="str">
        <f t="shared" si="2"/>
        <v/>
      </c>
      <c r="H102" s="9" t="str">
        <f t="shared" si="3"/>
        <v/>
      </c>
    </row>
    <row r="103" spans="1:8" ht="20.100000000000001" customHeight="1" x14ac:dyDescent="0.25">
      <c r="A103" s="9"/>
      <c r="B103" s="9" t="str">
        <f>IF(A103="","",COUNTIF('Raw Data'!G:G,A103))</f>
        <v/>
      </c>
      <c r="C103" s="9" t="str">
        <f>IF(A103="","",COUNTIFS(RawData[[Picker ID ]],A103,RawData[Month List],TEXT($A$4,"mmmm yyyy"),RawData[[Error Type ]],"Short"))</f>
        <v/>
      </c>
      <c r="D103" s="9" t="str">
        <f>IF(A103="","",COUNTIFS(RawData[[Picker ID ]],A103,RawData[Month List],TEXT($A$4,"mmmm yyyy"),RawData[[Error Type ]],"Excess"))</f>
        <v/>
      </c>
      <c r="E103" s="9" t="str">
        <f>IF(A103="","",SUMIFS(RawData[Qyt Affected ( EA ) ],RawData[[Picker ID ]],A103,RawData[Month List],TEXT($A$4,"mmmm yyyy")))</f>
        <v/>
      </c>
      <c r="F103" s="10" t="str">
        <f>IF(A103="","",_xlfn.MAXIFS(RawData[[Date ]],RawData[[Picker ID ]],A103,RawData[Month List],TEXT($A$4,"mmmm yyyy")))</f>
        <v/>
      </c>
      <c r="G103" s="9" t="str">
        <f t="shared" si="2"/>
        <v/>
      </c>
      <c r="H103" s="9" t="str">
        <f t="shared" si="3"/>
        <v/>
      </c>
    </row>
    <row r="104" spans="1:8" ht="20.100000000000001" customHeight="1" x14ac:dyDescent="0.25">
      <c r="A104" s="9"/>
      <c r="B104" s="9" t="str">
        <f>IF(A104="","",COUNTIF('Raw Data'!G:G,A104))</f>
        <v/>
      </c>
      <c r="C104" s="9" t="str">
        <f>IF(A104="","",COUNTIFS(RawData[[Picker ID ]],A104,RawData[Month List],TEXT($A$4,"mmmm yyyy"),RawData[[Error Type ]],"Short"))</f>
        <v/>
      </c>
      <c r="D104" s="9" t="str">
        <f>IF(A104="","",COUNTIFS(RawData[[Picker ID ]],A104,RawData[Month List],TEXT($A$4,"mmmm yyyy"),RawData[[Error Type ]],"Excess"))</f>
        <v/>
      </c>
      <c r="E104" s="9" t="str">
        <f>IF(A104="","",SUMIFS(RawData[Qyt Affected ( EA ) ],RawData[[Picker ID ]],A104,RawData[Month List],TEXT($A$4,"mmmm yyyy")))</f>
        <v/>
      </c>
      <c r="F104" s="10" t="str">
        <f>IF(A104="","",_xlfn.MAXIFS(RawData[[Date ]],RawData[[Picker ID ]],A104,RawData[Month List],TEXT($A$4,"mmmm yyyy")))</f>
        <v/>
      </c>
      <c r="G104" s="9" t="str">
        <f t="shared" si="2"/>
        <v/>
      </c>
      <c r="H104" s="9" t="str">
        <f t="shared" si="3"/>
        <v/>
      </c>
    </row>
    <row r="105" spans="1:8" ht="20.100000000000001" customHeight="1" x14ac:dyDescent="0.25">
      <c r="A105" s="9"/>
      <c r="B105" s="9" t="str">
        <f>IF(A105="","",COUNTIF('Raw Data'!G:G,A105))</f>
        <v/>
      </c>
      <c r="C105" s="9" t="str">
        <f>IF(A105="","",COUNTIFS(RawData[[Picker ID ]],A105,RawData[Month List],TEXT($A$4,"mmmm yyyy"),RawData[[Error Type ]],"Short"))</f>
        <v/>
      </c>
      <c r="D105" s="9" t="str">
        <f>IF(A105="","",COUNTIFS(RawData[[Picker ID ]],A105,RawData[Month List],TEXT($A$4,"mmmm yyyy"),RawData[[Error Type ]],"Excess"))</f>
        <v/>
      </c>
      <c r="E105" s="9" t="str">
        <f>IF(A105="","",SUMIFS(RawData[Qyt Affected ( EA ) ],RawData[[Picker ID ]],A105,RawData[Month List],TEXT($A$4,"mmmm yyyy")))</f>
        <v/>
      </c>
      <c r="F105" s="10" t="str">
        <f>IF(A105="","",_xlfn.MAXIFS(RawData[[Date ]],RawData[[Picker ID ]],A105,RawData[Month List],TEXT($A$4,"mmmm yyyy")))</f>
        <v/>
      </c>
      <c r="G105" s="9" t="str">
        <f t="shared" si="2"/>
        <v/>
      </c>
      <c r="H105" s="9" t="str">
        <f t="shared" si="3"/>
        <v/>
      </c>
    </row>
    <row r="106" spans="1:8" ht="20.100000000000001" customHeight="1" x14ac:dyDescent="0.25">
      <c r="A106" s="9"/>
      <c r="B106" s="9" t="str">
        <f>IF(A106="","",COUNTIF('Raw Data'!G:G,A106))</f>
        <v/>
      </c>
      <c r="C106" s="9" t="str">
        <f>IF(A106="","",COUNTIFS(RawData[[Picker ID ]],A106,RawData[Month List],TEXT($A$4,"mmmm yyyy"),RawData[[Error Type ]],"Short"))</f>
        <v/>
      </c>
      <c r="D106" s="9" t="str">
        <f>IF(A106="","",COUNTIFS(RawData[[Picker ID ]],A106,RawData[Month List],TEXT($A$4,"mmmm yyyy"),RawData[[Error Type ]],"Excess"))</f>
        <v/>
      </c>
      <c r="E106" s="9" t="str">
        <f>IF(A106="","",SUMIFS(RawData[Qyt Affected ( EA ) ],RawData[[Picker ID ]],A106,RawData[Month List],TEXT($A$4,"mmmm yyyy")))</f>
        <v/>
      </c>
      <c r="F106" s="10" t="str">
        <f>IF(A106="","",_xlfn.MAXIFS(RawData[[Date ]],RawData[[Picker ID ]],A106,RawData[Month List],TEXT($A$4,"mmmm yyyy")))</f>
        <v/>
      </c>
      <c r="G106" s="9" t="str">
        <f t="shared" si="2"/>
        <v/>
      </c>
      <c r="H106" s="9" t="str">
        <f t="shared" si="3"/>
        <v/>
      </c>
    </row>
    <row r="107" spans="1:8" ht="20.100000000000001" customHeight="1" x14ac:dyDescent="0.25">
      <c r="A107" s="9"/>
      <c r="B107" s="9" t="str">
        <f>IF(A107="","",COUNTIF('Raw Data'!G:G,A107))</f>
        <v/>
      </c>
      <c r="C107" s="9" t="str">
        <f>IF(A107="","",COUNTIFS(RawData[[Picker ID ]],A107,RawData[Month List],TEXT($A$4,"mmmm yyyy"),RawData[[Error Type ]],"Short"))</f>
        <v/>
      </c>
      <c r="D107" s="9" t="str">
        <f>IF(A107="","",COUNTIFS(RawData[[Picker ID ]],A107,RawData[Month List],TEXT($A$4,"mmmm yyyy"),RawData[[Error Type ]],"Excess"))</f>
        <v/>
      </c>
      <c r="E107" s="9" t="str">
        <f>IF(A107="","",SUMIFS(RawData[Qyt Affected ( EA ) ],RawData[[Picker ID ]],A107,RawData[Month List],TEXT($A$4,"mmmm yyyy")))</f>
        <v/>
      </c>
      <c r="F107" s="10" t="str">
        <f>IF(A107="","",_xlfn.MAXIFS(RawData[[Date ]],RawData[[Picker ID ]],A107,RawData[Month List],TEXT($A$4,"mmmm yyyy")))</f>
        <v/>
      </c>
      <c r="G107" s="9" t="str">
        <f t="shared" si="2"/>
        <v/>
      </c>
      <c r="H107" s="9" t="str">
        <f t="shared" si="3"/>
        <v/>
      </c>
    </row>
    <row r="108" spans="1:8" ht="20.100000000000001" customHeight="1" x14ac:dyDescent="0.25">
      <c r="A108" s="9"/>
      <c r="B108" s="9" t="str">
        <f>IF(A108="","",COUNTIF('Raw Data'!G:G,A108))</f>
        <v/>
      </c>
      <c r="C108" s="9" t="str">
        <f>IF(A108="","",COUNTIFS(RawData[[Picker ID ]],A108,RawData[Month List],TEXT($A$4,"mmmm yyyy"),RawData[[Error Type ]],"Short"))</f>
        <v/>
      </c>
      <c r="D108" s="9" t="str">
        <f>IF(A108="","",COUNTIFS(RawData[[Picker ID ]],A108,RawData[Month List],TEXT($A$4,"mmmm yyyy"),RawData[[Error Type ]],"Excess"))</f>
        <v/>
      </c>
      <c r="E108" s="9" t="str">
        <f>IF(A108="","",SUMIFS(RawData[Qyt Affected ( EA ) ],RawData[[Picker ID ]],A108,RawData[Month List],TEXT($A$4,"mmmm yyyy")))</f>
        <v/>
      </c>
      <c r="F108" s="10" t="str">
        <f>IF(A108="","",_xlfn.MAXIFS(RawData[[Date ]],RawData[[Picker ID ]],A108,RawData[Month List],TEXT($A$4,"mmmm yyyy")))</f>
        <v/>
      </c>
      <c r="G108" s="9" t="str">
        <f t="shared" si="2"/>
        <v/>
      </c>
      <c r="H108" s="9" t="str">
        <f t="shared" si="3"/>
        <v/>
      </c>
    </row>
    <row r="109" spans="1:8" ht="20.100000000000001" customHeight="1" x14ac:dyDescent="0.25">
      <c r="A109" s="9"/>
      <c r="B109" s="9" t="str">
        <f>IF(A109="","",COUNTIF('Raw Data'!G:G,A109))</f>
        <v/>
      </c>
      <c r="C109" s="9" t="str">
        <f>IF(A109="","",COUNTIFS(RawData[[Picker ID ]],A109,RawData[Month List],TEXT($A$4,"mmmm yyyy"),RawData[[Error Type ]],"Short"))</f>
        <v/>
      </c>
      <c r="D109" s="9" t="str">
        <f>IF(A109="","",COUNTIFS(RawData[[Picker ID ]],A109,RawData[Month List],TEXT($A$4,"mmmm yyyy"),RawData[[Error Type ]],"Excess"))</f>
        <v/>
      </c>
      <c r="E109" s="9" t="str">
        <f>IF(A109="","",SUMIFS(RawData[Qyt Affected ( EA ) ],RawData[[Picker ID ]],A109,RawData[Month List],TEXT($A$4,"mmmm yyyy")))</f>
        <v/>
      </c>
      <c r="F109" s="10" t="str">
        <f>IF(A109="","",_xlfn.MAXIFS(RawData[[Date ]],RawData[[Picker ID ]],A109,RawData[Month List],TEXT($A$4,"mmmm yyyy")))</f>
        <v/>
      </c>
      <c r="G109" s="9" t="str">
        <f t="shared" si="2"/>
        <v/>
      </c>
      <c r="H109" s="9" t="str">
        <f t="shared" si="3"/>
        <v/>
      </c>
    </row>
    <row r="110" spans="1:8" ht="20.100000000000001" customHeight="1" x14ac:dyDescent="0.25">
      <c r="A110" s="9"/>
      <c r="B110" s="9" t="str">
        <f>IF(A110="","",COUNTIF('Raw Data'!G:G,A110))</f>
        <v/>
      </c>
      <c r="C110" s="9" t="str">
        <f>IF(A110="","",COUNTIFS(RawData[[Picker ID ]],A110,RawData[Month List],TEXT($A$4,"mmmm yyyy"),RawData[[Error Type ]],"Short"))</f>
        <v/>
      </c>
      <c r="D110" s="9" t="str">
        <f>IF(A110="","",COUNTIFS(RawData[[Picker ID ]],A110,RawData[Month List],TEXT($A$4,"mmmm yyyy"),RawData[[Error Type ]],"Excess"))</f>
        <v/>
      </c>
      <c r="E110" s="9" t="str">
        <f>IF(A110="","",SUMIFS(RawData[Qyt Affected ( EA ) ],RawData[[Picker ID ]],A110,RawData[Month List],TEXT($A$4,"mmmm yyyy")))</f>
        <v/>
      </c>
      <c r="F110" s="10" t="str">
        <f>IF(A110="","",_xlfn.MAXIFS(RawData[[Date ]],RawData[[Picker ID ]],A110,RawData[Month List],TEXT($A$4,"mmmm yyyy")))</f>
        <v/>
      </c>
      <c r="G110" s="9" t="str">
        <f t="shared" si="2"/>
        <v/>
      </c>
      <c r="H110" s="9" t="str">
        <f t="shared" si="3"/>
        <v/>
      </c>
    </row>
    <row r="111" spans="1:8" ht="20.100000000000001" customHeight="1" x14ac:dyDescent="0.25">
      <c r="A111" s="9"/>
      <c r="B111" s="9" t="str">
        <f>IF(A111="","",COUNTIF('Raw Data'!G:G,A111))</f>
        <v/>
      </c>
      <c r="C111" s="9" t="str">
        <f>IF(A111="","",COUNTIFS(RawData[[Picker ID ]],A111,RawData[Month List],TEXT($A$4,"mmmm yyyy"),RawData[[Error Type ]],"Short"))</f>
        <v/>
      </c>
      <c r="D111" s="9" t="str">
        <f>IF(A111="","",COUNTIFS(RawData[[Picker ID ]],A111,RawData[Month List],TEXT($A$4,"mmmm yyyy"),RawData[[Error Type ]],"Excess"))</f>
        <v/>
      </c>
      <c r="E111" s="9" t="str">
        <f>IF(A111="","",SUMIFS(RawData[Qyt Affected ( EA ) ],RawData[[Picker ID ]],A111,RawData[Month List],TEXT($A$4,"mmmm yyyy")))</f>
        <v/>
      </c>
      <c r="F111" s="10" t="str">
        <f>IF(A111="","",_xlfn.MAXIFS(RawData[[Date ]],RawData[[Picker ID ]],A111,RawData[Month List],TEXT($A$4,"mmmm yyyy")))</f>
        <v/>
      </c>
      <c r="G111" s="9" t="str">
        <f t="shared" si="2"/>
        <v/>
      </c>
      <c r="H111" s="9" t="str">
        <f t="shared" si="3"/>
        <v/>
      </c>
    </row>
    <row r="112" spans="1:8" ht="20.100000000000001" customHeight="1" x14ac:dyDescent="0.25">
      <c r="A112" s="9"/>
      <c r="B112" s="9" t="str">
        <f>IF(A112="","",COUNTIF('Raw Data'!G:G,A112))</f>
        <v/>
      </c>
      <c r="C112" s="9" t="str">
        <f>IF(A112="","",COUNTIFS(RawData[[Picker ID ]],A112,RawData[Month List],TEXT($A$4,"mmmm yyyy"),RawData[[Error Type ]],"Short"))</f>
        <v/>
      </c>
      <c r="D112" s="9" t="str">
        <f>IF(A112="","",COUNTIFS(RawData[[Picker ID ]],A112,RawData[Month List],TEXT($A$4,"mmmm yyyy"),RawData[[Error Type ]],"Excess"))</f>
        <v/>
      </c>
      <c r="E112" s="9" t="str">
        <f>IF(A112="","",SUMIFS(RawData[Qyt Affected ( EA ) ],RawData[[Picker ID ]],A112,RawData[Month List],TEXT($A$4,"mmmm yyyy")))</f>
        <v/>
      </c>
      <c r="F112" s="10" t="str">
        <f>IF(A112="","",_xlfn.MAXIFS(RawData[[Date ]],RawData[[Picker ID ]],A112,RawData[Month List],TEXT($A$4,"mmmm yyyy")))</f>
        <v/>
      </c>
      <c r="G112" s="9" t="str">
        <f t="shared" si="2"/>
        <v/>
      </c>
      <c r="H112" s="9" t="str">
        <f t="shared" si="3"/>
        <v/>
      </c>
    </row>
    <row r="113" spans="1:8" ht="20.100000000000001" customHeight="1" x14ac:dyDescent="0.25">
      <c r="A113" s="9"/>
      <c r="B113" s="9" t="str">
        <f>IF(A113="","",COUNTIF('Raw Data'!G:G,A113))</f>
        <v/>
      </c>
      <c r="C113" s="9" t="str">
        <f>IF(A113="","",COUNTIFS(RawData[[Picker ID ]],A113,RawData[Month List],TEXT($A$4,"mmmm yyyy"),RawData[[Error Type ]],"Short"))</f>
        <v/>
      </c>
      <c r="D113" s="9" t="str">
        <f>IF(A113="","",COUNTIFS(RawData[[Picker ID ]],A113,RawData[Month List],TEXT($A$4,"mmmm yyyy"),RawData[[Error Type ]],"Excess"))</f>
        <v/>
      </c>
      <c r="E113" s="9" t="str">
        <f>IF(A113="","",SUMIFS(RawData[Qyt Affected ( EA ) ],RawData[[Picker ID ]],A113,RawData[Month List],TEXT($A$4,"mmmm yyyy")))</f>
        <v/>
      </c>
      <c r="F113" s="10" t="str">
        <f>IF(A113="","",_xlfn.MAXIFS(RawData[[Date ]],RawData[[Picker ID ]],A113,RawData[Month List],TEXT($A$4,"mmmm yyyy")))</f>
        <v/>
      </c>
      <c r="G113" s="9" t="str">
        <f t="shared" si="2"/>
        <v/>
      </c>
      <c r="H113" s="9" t="str">
        <f t="shared" si="3"/>
        <v/>
      </c>
    </row>
    <row r="114" spans="1:8" ht="20.100000000000001" customHeight="1" x14ac:dyDescent="0.25">
      <c r="A114" s="9"/>
      <c r="B114" s="9" t="str">
        <f>IF(A114="","",COUNTIF('Raw Data'!G:G,A114))</f>
        <v/>
      </c>
      <c r="C114" s="9" t="str">
        <f>IF(A114="","",COUNTIFS(RawData[[Picker ID ]],A114,RawData[Month List],TEXT($A$4,"mmmm yyyy"),RawData[[Error Type ]],"Short"))</f>
        <v/>
      </c>
      <c r="D114" s="9" t="str">
        <f>IF(A114="","",COUNTIFS(RawData[[Picker ID ]],A114,RawData[Month List],TEXT($A$4,"mmmm yyyy"),RawData[[Error Type ]],"Excess"))</f>
        <v/>
      </c>
      <c r="E114" s="9" t="str">
        <f>IF(A114="","",SUMIFS(RawData[Qyt Affected ( EA ) ],RawData[[Picker ID ]],A114,RawData[Month List],TEXT($A$4,"mmmm yyyy")))</f>
        <v/>
      </c>
      <c r="F114" s="10" t="str">
        <f>IF(A114="","",_xlfn.MAXIFS(RawData[[Date ]],RawData[[Picker ID ]],A114,RawData[Month List],TEXT($A$4,"mmmm yyyy")))</f>
        <v/>
      </c>
      <c r="G114" s="9" t="str">
        <f t="shared" si="2"/>
        <v/>
      </c>
      <c r="H114" s="9" t="str">
        <f t="shared" si="3"/>
        <v/>
      </c>
    </row>
    <row r="115" spans="1:8" ht="20.100000000000001" customHeight="1" x14ac:dyDescent="0.25">
      <c r="A115" s="9"/>
      <c r="B115" s="9" t="str">
        <f>IF(A115="","",COUNTIF('Raw Data'!G:G,A115))</f>
        <v/>
      </c>
      <c r="C115" s="9" t="str">
        <f>IF(A115="","",COUNTIFS(RawData[[Picker ID ]],A115,RawData[Month List],TEXT($A$4,"mmmm yyyy"),RawData[[Error Type ]],"Short"))</f>
        <v/>
      </c>
      <c r="D115" s="9" t="str">
        <f>IF(A115="","",COUNTIFS(RawData[[Picker ID ]],A115,RawData[Month List],TEXT($A$4,"mmmm yyyy"),RawData[[Error Type ]],"Excess"))</f>
        <v/>
      </c>
      <c r="E115" s="9" t="str">
        <f>IF(A115="","",SUMIFS(RawData[Qyt Affected ( EA ) ],RawData[[Picker ID ]],A115,RawData[Month List],TEXT($A$4,"mmmm yyyy")))</f>
        <v/>
      </c>
      <c r="F115" s="10" t="str">
        <f>IF(A115="","",_xlfn.MAXIFS(RawData[[Date ]],RawData[[Picker ID ]],A115,RawData[Month List],TEXT($A$4,"mmmm yyyy")))</f>
        <v/>
      </c>
      <c r="G115" s="9" t="str">
        <f t="shared" si="2"/>
        <v/>
      </c>
      <c r="H115" s="9" t="str">
        <f t="shared" si="3"/>
        <v/>
      </c>
    </row>
    <row r="116" spans="1:8" ht="20.100000000000001" customHeight="1" x14ac:dyDescent="0.25">
      <c r="A116" s="9"/>
      <c r="B116" s="9" t="str">
        <f>IF(A116="","",COUNTIF('Raw Data'!G:G,A116))</f>
        <v/>
      </c>
      <c r="C116" s="9" t="str">
        <f>IF(A116="","",COUNTIFS(RawData[[Picker ID ]],A116,RawData[Month List],TEXT($A$4,"mmmm yyyy"),RawData[[Error Type ]],"Short"))</f>
        <v/>
      </c>
      <c r="D116" s="9" t="str">
        <f>IF(A116="","",COUNTIFS(RawData[[Picker ID ]],A116,RawData[Month List],TEXT($A$4,"mmmm yyyy"),RawData[[Error Type ]],"Excess"))</f>
        <v/>
      </c>
      <c r="E116" s="9" t="str">
        <f>IF(A116="","",SUMIFS(RawData[Qyt Affected ( EA ) ],RawData[[Picker ID ]],A116,RawData[Month List],TEXT($A$4,"mmmm yyyy")))</f>
        <v/>
      </c>
      <c r="F116" s="10" t="str">
        <f>IF(A116="","",_xlfn.MAXIFS(RawData[[Date ]],RawData[[Picker ID ]],A116,RawData[Month List],TEXT($A$4,"mmmm yyyy")))</f>
        <v/>
      </c>
      <c r="G116" s="9" t="str">
        <f t="shared" si="2"/>
        <v/>
      </c>
      <c r="H116" s="9" t="str">
        <f t="shared" si="3"/>
        <v/>
      </c>
    </row>
    <row r="117" spans="1:8" ht="20.100000000000001" customHeight="1" x14ac:dyDescent="0.25">
      <c r="A117" s="9"/>
      <c r="B117" s="9" t="str">
        <f>IF(A117="","",COUNTIF('Raw Data'!G:G,A117))</f>
        <v/>
      </c>
      <c r="C117" s="9" t="str">
        <f>IF(A117="","",COUNTIFS(RawData[[Picker ID ]],A117,RawData[Month List],TEXT($A$4,"mmmm yyyy"),RawData[[Error Type ]],"Short"))</f>
        <v/>
      </c>
      <c r="D117" s="9" t="str">
        <f>IF(A117="","",COUNTIFS(RawData[[Picker ID ]],A117,RawData[Month List],TEXT($A$4,"mmmm yyyy"),RawData[[Error Type ]],"Excess"))</f>
        <v/>
      </c>
      <c r="E117" s="9" t="str">
        <f>IF(A117="","",SUMIFS(RawData[Qyt Affected ( EA ) ],RawData[[Picker ID ]],A117,RawData[Month List],TEXT($A$4,"mmmm yyyy")))</f>
        <v/>
      </c>
      <c r="F117" s="10" t="str">
        <f>IF(A117="","",_xlfn.MAXIFS(RawData[[Date ]],RawData[[Picker ID ]],A117,RawData[Month List],TEXT($A$4,"mmmm yyyy")))</f>
        <v/>
      </c>
      <c r="G117" s="9" t="str">
        <f t="shared" si="2"/>
        <v/>
      </c>
      <c r="H117" s="9" t="str">
        <f t="shared" si="3"/>
        <v/>
      </c>
    </row>
    <row r="118" spans="1:8" ht="20.100000000000001" customHeight="1" x14ac:dyDescent="0.25">
      <c r="A118" s="9"/>
      <c r="B118" s="9" t="str">
        <f>IF(A118="","",COUNTIF('Raw Data'!G:G,A118))</f>
        <v/>
      </c>
      <c r="C118" s="9" t="str">
        <f>IF(A118="","",COUNTIFS(RawData[[Picker ID ]],A118,RawData[Month List],TEXT($A$4,"mmmm yyyy"),RawData[[Error Type ]],"Short"))</f>
        <v/>
      </c>
      <c r="D118" s="9" t="str">
        <f>IF(A118="","",COUNTIFS(RawData[[Picker ID ]],A118,RawData[Month List],TEXT($A$4,"mmmm yyyy"),RawData[[Error Type ]],"Excess"))</f>
        <v/>
      </c>
      <c r="E118" s="9" t="str">
        <f>IF(A118="","",SUMIFS(RawData[Qyt Affected ( EA ) ],RawData[[Picker ID ]],A118,RawData[Month List],TEXT($A$4,"mmmm yyyy")))</f>
        <v/>
      </c>
      <c r="F118" s="10" t="str">
        <f>IF(A118="","",_xlfn.MAXIFS(RawData[[Date ]],RawData[[Picker ID ]],A118,RawData[Month List],TEXT($A$4,"mmmm yyyy")))</f>
        <v/>
      </c>
      <c r="G118" s="9" t="str">
        <f t="shared" si="2"/>
        <v/>
      </c>
      <c r="H118" s="9" t="str">
        <f t="shared" si="3"/>
        <v/>
      </c>
    </row>
    <row r="119" spans="1:8" ht="20.100000000000001" customHeight="1" x14ac:dyDescent="0.25">
      <c r="A119" s="9"/>
      <c r="B119" s="9" t="str">
        <f>IF(A119="","",COUNTIF('Raw Data'!G:G,A119))</f>
        <v/>
      </c>
      <c r="C119" s="9" t="str">
        <f>IF(A119="","",COUNTIFS(RawData[[Picker ID ]],A119,RawData[Month List],TEXT($A$4,"mmmm yyyy"),RawData[[Error Type ]],"Short"))</f>
        <v/>
      </c>
      <c r="D119" s="9" t="str">
        <f>IF(A119="","",COUNTIFS(RawData[[Picker ID ]],A119,RawData[Month List],TEXT($A$4,"mmmm yyyy"),RawData[[Error Type ]],"Excess"))</f>
        <v/>
      </c>
      <c r="E119" s="9" t="str">
        <f>IF(A119="","",SUMIFS(RawData[Qyt Affected ( EA ) ],RawData[[Picker ID ]],A119,RawData[Month List],TEXT($A$4,"mmmm yyyy")))</f>
        <v/>
      </c>
      <c r="F119" s="10" t="str">
        <f>IF(A119="","",_xlfn.MAXIFS(RawData[[Date ]],RawData[[Picker ID ]],A119,RawData[Month List],TEXT($A$4,"mmmm yyyy")))</f>
        <v/>
      </c>
      <c r="G119" s="9" t="str">
        <f t="shared" si="2"/>
        <v/>
      </c>
      <c r="H119" s="9" t="str">
        <f t="shared" si="3"/>
        <v/>
      </c>
    </row>
    <row r="120" spans="1:8" ht="20.100000000000001" customHeight="1" x14ac:dyDescent="0.25">
      <c r="A120" s="9"/>
      <c r="B120" s="9" t="str">
        <f>IF(A120="","",COUNTIF('Raw Data'!G:G,A120))</f>
        <v/>
      </c>
      <c r="C120" s="9" t="str">
        <f>IF(A120="","",COUNTIFS(RawData[[Picker ID ]],A120,RawData[Month List],TEXT($A$4,"mmmm yyyy"),RawData[[Error Type ]],"Short"))</f>
        <v/>
      </c>
      <c r="D120" s="9" t="str">
        <f>IF(A120="","",COUNTIFS(RawData[[Picker ID ]],A120,RawData[Month List],TEXT($A$4,"mmmm yyyy"),RawData[[Error Type ]],"Excess"))</f>
        <v/>
      </c>
      <c r="E120" s="9" t="str">
        <f>IF(A120="","",SUMIFS(RawData[Qyt Affected ( EA ) ],RawData[[Picker ID ]],A120,RawData[Month List],TEXT($A$4,"mmmm yyyy")))</f>
        <v/>
      </c>
      <c r="F120" s="10" t="str">
        <f>IF(A120="","",_xlfn.MAXIFS(RawData[[Date ]],RawData[[Picker ID ]],A120,RawData[Month List],TEXT($A$4,"mmmm yyyy")))</f>
        <v/>
      </c>
      <c r="G120" s="9" t="str">
        <f t="shared" si="2"/>
        <v/>
      </c>
      <c r="H120" s="9" t="str">
        <f t="shared" si="3"/>
        <v/>
      </c>
    </row>
    <row r="121" spans="1:8" ht="20.100000000000001" customHeight="1" x14ac:dyDescent="0.25">
      <c r="A121" s="9"/>
      <c r="B121" s="9" t="str">
        <f>IF(A121="","",COUNTIF('Raw Data'!G:G,A121))</f>
        <v/>
      </c>
      <c r="C121" s="9" t="str">
        <f>IF(A121="","",COUNTIFS(RawData[[Picker ID ]],A121,RawData[Month List],TEXT($A$4,"mmmm yyyy"),RawData[[Error Type ]],"Short"))</f>
        <v/>
      </c>
      <c r="D121" s="9" t="str">
        <f>IF(A121="","",COUNTIFS(RawData[[Picker ID ]],A121,RawData[Month List],TEXT($A$4,"mmmm yyyy"),RawData[[Error Type ]],"Excess"))</f>
        <v/>
      </c>
      <c r="E121" s="9" t="str">
        <f>IF(A121="","",SUMIFS(RawData[Qyt Affected ( EA ) ],RawData[[Picker ID ]],A121,RawData[Month List],TEXT($A$4,"mmmm yyyy")))</f>
        <v/>
      </c>
      <c r="F121" s="10" t="str">
        <f>IF(A121="","",_xlfn.MAXIFS(RawData[[Date ]],RawData[[Picker ID ]],A121,RawData[Month List],TEXT($A$4,"mmmm yyyy")))</f>
        <v/>
      </c>
      <c r="G121" s="9" t="str">
        <f t="shared" si="2"/>
        <v/>
      </c>
      <c r="H121" s="9" t="str">
        <f t="shared" si="3"/>
        <v/>
      </c>
    </row>
    <row r="122" spans="1:8" ht="20.100000000000001" customHeight="1" x14ac:dyDescent="0.25">
      <c r="A122" s="9"/>
      <c r="B122" s="9" t="str">
        <f>IF(A122="","",COUNTIF('Raw Data'!G:G,A122))</f>
        <v/>
      </c>
      <c r="C122" s="9" t="str">
        <f>IF(A122="","",COUNTIFS(RawData[[Picker ID ]],A122,RawData[Month List],TEXT($A$4,"mmmm yyyy"),RawData[[Error Type ]],"Short"))</f>
        <v/>
      </c>
      <c r="D122" s="9" t="str">
        <f>IF(A122="","",COUNTIFS(RawData[[Picker ID ]],A122,RawData[Month List],TEXT($A$4,"mmmm yyyy"),RawData[[Error Type ]],"Excess"))</f>
        <v/>
      </c>
      <c r="E122" s="9" t="str">
        <f>IF(A122="","",SUMIFS(RawData[Qyt Affected ( EA ) ],RawData[[Picker ID ]],A122,RawData[Month List],TEXT($A$4,"mmmm yyyy")))</f>
        <v/>
      </c>
      <c r="F122" s="10" t="str">
        <f>IF(A122="","",_xlfn.MAXIFS(RawData[[Date ]],RawData[[Picker ID ]],A122,RawData[Month List],TEXT($A$4,"mmmm yyyy")))</f>
        <v/>
      </c>
      <c r="G122" s="9" t="str">
        <f t="shared" si="2"/>
        <v/>
      </c>
      <c r="H122" s="9" t="str">
        <f t="shared" si="3"/>
        <v/>
      </c>
    </row>
    <row r="123" spans="1:8" ht="20.100000000000001" customHeight="1" x14ac:dyDescent="0.25">
      <c r="A123" s="9"/>
      <c r="B123" s="9" t="str">
        <f>IF(A123="","",COUNTIF('Raw Data'!G:G,A123))</f>
        <v/>
      </c>
      <c r="C123" s="9" t="str">
        <f>IF(A123="","",COUNTIFS(RawData[[Picker ID ]],A123,RawData[Month List],TEXT($A$4,"mmmm yyyy"),RawData[[Error Type ]],"Short"))</f>
        <v/>
      </c>
      <c r="D123" s="9" t="str">
        <f>IF(A123="","",COUNTIFS(RawData[[Picker ID ]],A123,RawData[Month List],TEXT($A$4,"mmmm yyyy"),RawData[[Error Type ]],"Excess"))</f>
        <v/>
      </c>
      <c r="E123" s="9" t="str">
        <f>IF(A123="","",SUMIFS(RawData[Qyt Affected ( EA ) ],RawData[[Picker ID ]],A123,RawData[Month List],TEXT($A$4,"mmmm yyyy")))</f>
        <v/>
      </c>
      <c r="F123" s="10" t="str">
        <f>IF(A123="","",_xlfn.MAXIFS(RawData[[Date ]],RawData[[Picker ID ]],A123,RawData[Month List],TEXT($A$4,"mmmm yyyy")))</f>
        <v/>
      </c>
      <c r="G123" s="9" t="str">
        <f t="shared" si="2"/>
        <v/>
      </c>
      <c r="H123" s="9" t="str">
        <f t="shared" si="3"/>
        <v/>
      </c>
    </row>
    <row r="124" spans="1:8" ht="20.100000000000001" customHeight="1" x14ac:dyDescent="0.25">
      <c r="A124" s="9"/>
      <c r="B124" s="9" t="str">
        <f>IF(A124="","",COUNTIF('Raw Data'!G:G,A124))</f>
        <v/>
      </c>
      <c r="C124" s="9" t="str">
        <f>IF(A124="","",COUNTIFS(RawData[[Picker ID ]],A124,RawData[Month List],TEXT($A$4,"mmmm yyyy"),RawData[[Error Type ]],"Short"))</f>
        <v/>
      </c>
      <c r="D124" s="9" t="str">
        <f>IF(A124="","",COUNTIFS(RawData[[Picker ID ]],A124,RawData[Month List],TEXT($A$4,"mmmm yyyy"),RawData[[Error Type ]],"Excess"))</f>
        <v/>
      </c>
      <c r="E124" s="9" t="str">
        <f>IF(A124="","",SUMIFS(RawData[Qyt Affected ( EA ) ],RawData[[Picker ID ]],A124,RawData[Month List],TEXT($A$4,"mmmm yyyy")))</f>
        <v/>
      </c>
      <c r="F124" s="10" t="str">
        <f>IF(A124="","",_xlfn.MAXIFS(RawData[[Date ]],RawData[[Picker ID ]],A124,RawData[Month List],TEXT($A$4,"mmmm yyyy")))</f>
        <v/>
      </c>
      <c r="G124" s="9" t="str">
        <f t="shared" si="2"/>
        <v/>
      </c>
      <c r="H124" s="9" t="str">
        <f t="shared" si="3"/>
        <v/>
      </c>
    </row>
    <row r="125" spans="1:8" ht="20.100000000000001" customHeight="1" x14ac:dyDescent="0.25">
      <c r="A125" s="9"/>
      <c r="B125" s="9" t="str">
        <f>IF(A125="","",COUNTIF('Raw Data'!G:G,A125))</f>
        <v/>
      </c>
      <c r="C125" s="9" t="str">
        <f>IF(A125="","",COUNTIFS(RawData[[Picker ID ]],A125,RawData[Month List],TEXT($A$4,"mmmm yyyy"),RawData[[Error Type ]],"Short"))</f>
        <v/>
      </c>
      <c r="D125" s="9" t="str">
        <f>IF(A125="","",COUNTIFS(RawData[[Picker ID ]],A125,RawData[Month List],TEXT($A$4,"mmmm yyyy"),RawData[[Error Type ]],"Excess"))</f>
        <v/>
      </c>
      <c r="E125" s="9" t="str">
        <f>IF(A125="","",SUMIFS(RawData[Qyt Affected ( EA ) ],RawData[[Picker ID ]],A125,RawData[Month List],TEXT($A$4,"mmmm yyyy")))</f>
        <v/>
      </c>
      <c r="F125" s="10" t="str">
        <f>IF(A125="","",_xlfn.MAXIFS(RawData[[Date ]],RawData[[Picker ID ]],A125,RawData[Month List],TEXT($A$4,"mmmm yyyy")))</f>
        <v/>
      </c>
      <c r="G125" s="9" t="str">
        <f t="shared" si="2"/>
        <v/>
      </c>
      <c r="H125" s="9" t="str">
        <f t="shared" si="3"/>
        <v/>
      </c>
    </row>
    <row r="126" spans="1:8" ht="20.100000000000001" customHeight="1" x14ac:dyDescent="0.25">
      <c r="A126" s="9"/>
      <c r="B126" s="9" t="str">
        <f>IF(A126="","",COUNTIF('Raw Data'!G:G,A126))</f>
        <v/>
      </c>
      <c r="C126" s="9" t="str">
        <f>IF(A126="","",COUNTIFS(RawData[[Picker ID ]],A126,RawData[Month List],TEXT($A$4,"mmmm yyyy"),RawData[[Error Type ]],"Short"))</f>
        <v/>
      </c>
      <c r="D126" s="9" t="str">
        <f>IF(A126="","",COUNTIFS(RawData[[Picker ID ]],A126,RawData[Month List],TEXT($A$4,"mmmm yyyy"),RawData[[Error Type ]],"Excess"))</f>
        <v/>
      </c>
      <c r="E126" s="9" t="str">
        <f>IF(A126="","",SUMIFS(RawData[Qyt Affected ( EA ) ],RawData[[Picker ID ]],A126,RawData[Month List],TEXT($A$4,"mmmm yyyy")))</f>
        <v/>
      </c>
      <c r="F126" s="10" t="str">
        <f>IF(A126="","",_xlfn.MAXIFS(RawData[[Date ]],RawData[[Picker ID ]],A126,RawData[Month List],TEXT($A$4,"mmmm yyyy")))</f>
        <v/>
      </c>
      <c r="G126" s="9" t="str">
        <f t="shared" si="2"/>
        <v/>
      </c>
      <c r="H126" s="9" t="str">
        <f t="shared" si="3"/>
        <v/>
      </c>
    </row>
    <row r="127" spans="1:8" ht="20.100000000000001" customHeight="1" x14ac:dyDescent="0.25">
      <c r="A127" s="9"/>
      <c r="B127" s="9" t="str">
        <f>IF(A127="","",COUNTIF('Raw Data'!G:G,A127))</f>
        <v/>
      </c>
      <c r="C127" s="9" t="str">
        <f>IF(A127="","",COUNTIFS(RawData[[Picker ID ]],A127,RawData[Month List],TEXT($A$4,"mmmm yyyy"),RawData[[Error Type ]],"Short"))</f>
        <v/>
      </c>
      <c r="D127" s="9" t="str">
        <f>IF(A127="","",COUNTIFS(RawData[[Picker ID ]],A127,RawData[Month List],TEXT($A$4,"mmmm yyyy"),RawData[[Error Type ]],"Excess"))</f>
        <v/>
      </c>
      <c r="E127" s="9" t="str">
        <f>IF(A127="","",SUMIFS(RawData[Qyt Affected ( EA ) ],RawData[[Picker ID ]],A127,RawData[Month List],TEXT($A$4,"mmmm yyyy")))</f>
        <v/>
      </c>
      <c r="F127" s="10" t="str">
        <f>IF(A127="","",_xlfn.MAXIFS(RawData[[Date ]],RawData[[Picker ID ]],A127,RawData[Month List],TEXT($A$4,"mmmm yyyy")))</f>
        <v/>
      </c>
      <c r="G127" s="9" t="str">
        <f t="shared" si="2"/>
        <v/>
      </c>
      <c r="H127" s="9" t="str">
        <f t="shared" si="3"/>
        <v/>
      </c>
    </row>
    <row r="128" spans="1:8" ht="20.100000000000001" customHeight="1" x14ac:dyDescent="0.25">
      <c r="A128" s="9"/>
      <c r="B128" s="9" t="str">
        <f>IF(A128="","",COUNTIF('Raw Data'!G:G,A128))</f>
        <v/>
      </c>
      <c r="C128" s="9" t="str">
        <f>IF(A128="","",COUNTIFS(RawData[[Picker ID ]],A128,RawData[Month List],TEXT($A$4,"mmmm yyyy"),RawData[[Error Type ]],"Short"))</f>
        <v/>
      </c>
      <c r="D128" s="9" t="str">
        <f>IF(A128="","",COUNTIFS(RawData[[Picker ID ]],A128,RawData[Month List],TEXT($A$4,"mmmm yyyy"),RawData[[Error Type ]],"Excess"))</f>
        <v/>
      </c>
      <c r="E128" s="9" t="str">
        <f>IF(A128="","",SUMIFS(RawData[Qyt Affected ( EA ) ],RawData[[Picker ID ]],A128,RawData[Month List],TEXT($A$4,"mmmm yyyy")))</f>
        <v/>
      </c>
      <c r="F128" s="10" t="str">
        <f>IF(A128="","",_xlfn.MAXIFS(RawData[[Date ]],RawData[[Picker ID ]],A128,RawData[Month List],TEXT($A$4,"mmmm yyyy")))</f>
        <v/>
      </c>
      <c r="G128" s="9" t="str">
        <f t="shared" si="2"/>
        <v/>
      </c>
      <c r="H128" s="9" t="str">
        <f t="shared" si="3"/>
        <v/>
      </c>
    </row>
    <row r="129" spans="1:8" ht="20.100000000000001" customHeight="1" x14ac:dyDescent="0.25">
      <c r="A129" s="9"/>
      <c r="B129" s="9" t="str">
        <f>IF(A129="","",COUNTIF('Raw Data'!G:G,A129))</f>
        <v/>
      </c>
      <c r="C129" s="9" t="str">
        <f>IF(A129="","",COUNTIFS(RawData[[Picker ID ]],A129,RawData[Month List],TEXT($A$4,"mmmm yyyy"),RawData[[Error Type ]],"Short"))</f>
        <v/>
      </c>
      <c r="D129" s="9" t="str">
        <f>IF(A129="","",COUNTIFS(RawData[[Picker ID ]],A129,RawData[Month List],TEXT($A$4,"mmmm yyyy"),RawData[[Error Type ]],"Excess"))</f>
        <v/>
      </c>
      <c r="E129" s="9" t="str">
        <f>IF(A129="","",SUMIFS(RawData[Qyt Affected ( EA ) ],RawData[[Picker ID ]],A129,RawData[Month List],TEXT($A$4,"mmmm yyyy")))</f>
        <v/>
      </c>
      <c r="F129" s="10" t="str">
        <f>IF(A129="","",_xlfn.MAXIFS(RawData[[Date ]],RawData[[Picker ID ]],A129,RawData[Month List],TEXT($A$4,"mmmm yyyy")))</f>
        <v/>
      </c>
      <c r="G129" s="9" t="str">
        <f t="shared" si="2"/>
        <v/>
      </c>
      <c r="H129" s="9" t="str">
        <f t="shared" si="3"/>
        <v/>
      </c>
    </row>
    <row r="130" spans="1:8" ht="20.100000000000001" customHeight="1" x14ac:dyDescent="0.25">
      <c r="A130" s="9"/>
      <c r="B130" s="9" t="str">
        <f>IF(A130="","",COUNTIF('Raw Data'!G:G,A130))</f>
        <v/>
      </c>
      <c r="C130" s="9" t="str">
        <f>IF(A130="","",COUNTIFS(RawData[[Picker ID ]],A130,RawData[Month List],TEXT($A$4,"mmmm yyyy"),RawData[[Error Type ]],"Short"))</f>
        <v/>
      </c>
      <c r="D130" s="9" t="str">
        <f>IF(A130="","",COUNTIFS(RawData[[Picker ID ]],A130,RawData[Month List],TEXT($A$4,"mmmm yyyy"),RawData[[Error Type ]],"Excess"))</f>
        <v/>
      </c>
      <c r="E130" s="9" t="str">
        <f>IF(A130="","",SUMIFS(RawData[Qyt Affected ( EA ) ],RawData[[Picker ID ]],A130,RawData[Month List],TEXT($A$4,"mmmm yyyy")))</f>
        <v/>
      </c>
      <c r="F130" s="10" t="str">
        <f>IF(A130="","",_xlfn.MAXIFS(RawData[[Date ]],RawData[[Picker ID ]],A130,RawData[Month List],TEXT($A$4,"mmmm yyyy")))</f>
        <v/>
      </c>
      <c r="G130" s="9" t="str">
        <f t="shared" si="2"/>
        <v/>
      </c>
      <c r="H130" s="9" t="str">
        <f t="shared" si="3"/>
        <v/>
      </c>
    </row>
    <row r="131" spans="1:8" ht="20.100000000000001" customHeight="1" x14ac:dyDescent="0.25">
      <c r="A131" s="9"/>
      <c r="B131" s="9" t="str">
        <f>IF(A131="","",COUNTIF('Raw Data'!G:G,A131))</f>
        <v/>
      </c>
      <c r="C131" s="9" t="str">
        <f>IF(A131="","",COUNTIFS(RawData[[Picker ID ]],A131,RawData[Month List],TEXT($A$4,"mmmm yyyy"),RawData[[Error Type ]],"Short"))</f>
        <v/>
      </c>
      <c r="D131" s="9" t="str">
        <f>IF(A131="","",COUNTIFS(RawData[[Picker ID ]],A131,RawData[Month List],TEXT($A$4,"mmmm yyyy"),RawData[[Error Type ]],"Excess"))</f>
        <v/>
      </c>
      <c r="E131" s="9" t="str">
        <f>IF(A131="","",SUMIFS(RawData[Qyt Affected ( EA ) ],RawData[[Picker ID ]],A131,RawData[Month List],TEXT($A$4,"mmmm yyyy")))</f>
        <v/>
      </c>
      <c r="F131" s="10" t="str">
        <f>IF(A131="","",_xlfn.MAXIFS(RawData[[Date ]],RawData[[Picker ID ]],A131,RawData[Month List],TEXT($A$4,"mmmm yyyy")))</f>
        <v/>
      </c>
      <c r="G131" s="9" t="str">
        <f t="shared" si="2"/>
        <v/>
      </c>
      <c r="H131" s="9" t="str">
        <f t="shared" si="3"/>
        <v/>
      </c>
    </row>
    <row r="132" spans="1:8" ht="20.100000000000001" customHeight="1" x14ac:dyDescent="0.25">
      <c r="A132" s="9"/>
      <c r="B132" s="9" t="str">
        <f>IF(A132="","",COUNTIF('Raw Data'!G:G,A132))</f>
        <v/>
      </c>
      <c r="C132" s="9" t="str">
        <f>IF(A132="","",COUNTIFS(RawData[[Picker ID ]],A132,RawData[Month List],TEXT($A$4,"mmmm yyyy"),RawData[[Error Type ]],"Short"))</f>
        <v/>
      </c>
      <c r="D132" s="9" t="str">
        <f>IF(A132="","",COUNTIFS(RawData[[Picker ID ]],A132,RawData[Month List],TEXT($A$4,"mmmm yyyy"),RawData[[Error Type ]],"Excess"))</f>
        <v/>
      </c>
      <c r="E132" s="9" t="str">
        <f>IF(A132="","",SUMIFS(RawData[Qyt Affected ( EA ) ],RawData[[Picker ID ]],A132,RawData[Month List],TEXT($A$4,"mmmm yyyy")))</f>
        <v/>
      </c>
      <c r="F132" s="10" t="str">
        <f>IF(A132="","",_xlfn.MAXIFS(RawData[[Date ]],RawData[[Picker ID ]],A132,RawData[Month List],TEXT($A$4,"mmmm yyyy")))</f>
        <v/>
      </c>
      <c r="G132" s="9" t="str">
        <f t="shared" si="2"/>
        <v/>
      </c>
      <c r="H132" s="9" t="str">
        <f t="shared" si="3"/>
        <v/>
      </c>
    </row>
    <row r="133" spans="1:8" ht="20.100000000000001" customHeight="1" x14ac:dyDescent="0.25">
      <c r="A133" s="9"/>
      <c r="B133" s="9" t="str">
        <f>IF(A133="","",COUNTIF('Raw Data'!G:G,A133))</f>
        <v/>
      </c>
      <c r="C133" s="9" t="str">
        <f>IF(A133="","",COUNTIFS(RawData[[Picker ID ]],A133,RawData[Month List],TEXT($A$4,"mmmm yyyy"),RawData[[Error Type ]],"Short"))</f>
        <v/>
      </c>
      <c r="D133" s="9" t="str">
        <f>IF(A133="","",COUNTIFS(RawData[[Picker ID ]],A133,RawData[Month List],TEXT($A$4,"mmmm yyyy"),RawData[[Error Type ]],"Excess"))</f>
        <v/>
      </c>
      <c r="E133" s="9" t="str">
        <f>IF(A133="","",SUMIFS(RawData[Qyt Affected ( EA ) ],RawData[[Picker ID ]],A133,RawData[Month List],TEXT($A$4,"mmmm yyyy")))</f>
        <v/>
      </c>
      <c r="F133" s="10" t="str">
        <f>IF(A133="","",_xlfn.MAXIFS(RawData[[Date ]],RawData[[Picker ID ]],A133,RawData[Month List],TEXT($A$4,"mmmm yyyy")))</f>
        <v/>
      </c>
      <c r="G133" s="9" t="str">
        <f t="shared" si="2"/>
        <v/>
      </c>
      <c r="H133" s="9" t="str">
        <f t="shared" si="3"/>
        <v/>
      </c>
    </row>
    <row r="134" spans="1:8" ht="20.100000000000001" customHeight="1" x14ac:dyDescent="0.25">
      <c r="A134" s="9"/>
      <c r="B134" s="9" t="str">
        <f>IF(A134="","",COUNTIF('Raw Data'!G:G,A134))</f>
        <v/>
      </c>
      <c r="C134" s="9" t="str">
        <f>IF(A134="","",COUNTIFS(RawData[[Picker ID ]],A134,RawData[Month List],TEXT($A$4,"mmmm yyyy"),RawData[[Error Type ]],"Short"))</f>
        <v/>
      </c>
      <c r="D134" s="9" t="str">
        <f>IF(A134="","",COUNTIFS(RawData[[Picker ID ]],A134,RawData[Month List],TEXT($A$4,"mmmm yyyy"),RawData[[Error Type ]],"Excess"))</f>
        <v/>
      </c>
      <c r="E134" s="9" t="str">
        <f>IF(A134="","",SUMIFS(RawData[Qyt Affected ( EA ) ],RawData[[Picker ID ]],A134,RawData[Month List],TEXT($A$4,"mmmm yyyy")))</f>
        <v/>
      </c>
      <c r="F134" s="10" t="str">
        <f>IF(A134="","",_xlfn.MAXIFS(RawData[[Date ]],RawData[[Picker ID ]],A134,RawData[Month List],TEXT($A$4,"mmmm yyyy")))</f>
        <v/>
      </c>
      <c r="G134" s="9" t="str">
        <f t="shared" si="2"/>
        <v/>
      </c>
      <c r="H134" s="9" t="str">
        <f t="shared" si="3"/>
        <v/>
      </c>
    </row>
    <row r="135" spans="1:8" ht="20.100000000000001" customHeight="1" x14ac:dyDescent="0.25">
      <c r="A135" s="9"/>
      <c r="B135" s="9" t="str">
        <f>IF(A135="","",COUNTIF('Raw Data'!G:G,A135))</f>
        <v/>
      </c>
      <c r="C135" s="9" t="str">
        <f>IF(A135="","",COUNTIFS(RawData[[Picker ID ]],A135,RawData[Month List],TEXT($A$4,"mmmm yyyy"),RawData[[Error Type ]],"Short"))</f>
        <v/>
      </c>
      <c r="D135" s="9" t="str">
        <f>IF(A135="","",COUNTIFS(RawData[[Picker ID ]],A135,RawData[Month List],TEXT($A$4,"mmmm yyyy"),RawData[[Error Type ]],"Excess"))</f>
        <v/>
      </c>
      <c r="E135" s="9" t="str">
        <f>IF(A135="","",SUMIFS(RawData[Qyt Affected ( EA ) ],RawData[[Picker ID ]],A135,RawData[Month List],TEXT($A$4,"mmmm yyyy")))</f>
        <v/>
      </c>
      <c r="F135" s="10" t="str">
        <f>IF(A135="","",_xlfn.MAXIFS(RawData[[Date ]],RawData[[Picker ID ]],A135,RawData[Month List],TEXT($A$4,"mmmm yyyy")))</f>
        <v/>
      </c>
      <c r="G135" s="9" t="str">
        <f t="shared" si="2"/>
        <v/>
      </c>
      <c r="H135" s="9" t="str">
        <f t="shared" si="3"/>
        <v/>
      </c>
    </row>
    <row r="136" spans="1:8" ht="20.100000000000001" customHeight="1" x14ac:dyDescent="0.25">
      <c r="A136" s="9"/>
      <c r="B136" s="9" t="str">
        <f>IF(A136="","",COUNTIF('Raw Data'!G:G,A136))</f>
        <v/>
      </c>
      <c r="C136" s="9" t="str">
        <f>IF(A136="","",COUNTIFS(RawData[[Picker ID ]],A136,RawData[Month List],TEXT($A$4,"mmmm yyyy"),RawData[[Error Type ]],"Short"))</f>
        <v/>
      </c>
      <c r="D136" s="9" t="str">
        <f>IF(A136="","",COUNTIFS(RawData[[Picker ID ]],A136,RawData[Month List],TEXT($A$4,"mmmm yyyy"),RawData[[Error Type ]],"Excess"))</f>
        <v/>
      </c>
      <c r="E136" s="9" t="str">
        <f>IF(A136="","",SUMIFS(RawData[Qyt Affected ( EA ) ],RawData[[Picker ID ]],A136,RawData[Month List],TEXT($A$4,"mmmm yyyy")))</f>
        <v/>
      </c>
      <c r="F136" s="10" t="str">
        <f>IF(A136="","",_xlfn.MAXIFS(RawData[[Date ]],RawData[[Picker ID ]],A136,RawData[Month List],TEXT($A$4,"mmmm yyyy")))</f>
        <v/>
      </c>
      <c r="G136" s="9" t="str">
        <f t="shared" ref="G136" si="4">IF(A136="","",IF(C136&gt;D136,"Short",IF(D136&gt;C136,"Excess", "Equal")))</f>
        <v/>
      </c>
      <c r="H136" s="9" t="str">
        <f t="shared" ref="H136" si="5">IF(A136="","",RANK(B136,B$7:B$9995,0))</f>
        <v/>
      </c>
    </row>
    <row r="137" spans="1:8" ht="20.100000000000001" customHeight="1" x14ac:dyDescent="0.25">
      <c r="A137" s="9"/>
      <c r="B137" s="9" t="str">
        <f>IF(A137="","",COUNTIF('Raw Data'!G:G,A137))</f>
        <v/>
      </c>
      <c r="C137" s="9" t="str">
        <f>IF(A137="","",COUNTIFS('Raw Data'!G:G,A137,'Raw Data'!E:E,"Short"))</f>
        <v/>
      </c>
      <c r="D137" s="9" t="str">
        <f>IF(A137="","",COUNTIFS('Raw Data'!G:G,A137,'Raw Data'!E:E,"Excess"))</f>
        <v/>
      </c>
      <c r="E137" s="9" t="str">
        <f>IF(A137="","",SUMIF('Raw Data'!G:G,A137,'Raw Data'!D:D))</f>
        <v/>
      </c>
      <c r="F137" s="10" t="str">
        <f>IF(A137="","",_xlfn.MAXIFS('Raw Data'!A:A,'Raw Data'!G:G,A137,'Raw Data'!I:I,TEXT($A$4,"mmmm yyyy")))</f>
        <v/>
      </c>
      <c r="G137" s="9" t="str">
        <f t="shared" ref="G137:G142" si="6">IF(A137="","",IF(C137&gt;D137,"Short",IF(D137&gt;C137,"Excess", "Equal")))</f>
        <v/>
      </c>
      <c r="H137" s="9" t="str">
        <f t="shared" ref="H137:H142" si="7">IF(A137="","",RANK(B137,B$7:B$9995,0))</f>
        <v/>
      </c>
    </row>
    <row r="138" spans="1:8" ht="20.100000000000001" customHeight="1" x14ac:dyDescent="0.25">
      <c r="A138" s="9"/>
      <c r="B138" s="9" t="str">
        <f>IF(A138="","",COUNTIF('Raw Data'!G:G,A138))</f>
        <v/>
      </c>
      <c r="C138" s="9" t="str">
        <f>IF(A138="","",COUNTIFS('Raw Data'!G:G,A138,'Raw Data'!E:E,"Short"))</f>
        <v/>
      </c>
      <c r="D138" s="9" t="str">
        <f>IF(A138="","",COUNTIFS('Raw Data'!G:G,A138,'Raw Data'!E:E,"Excess"))</f>
        <v/>
      </c>
      <c r="E138" s="9" t="str">
        <f>IF(A138="","",SUMIF('Raw Data'!G:G,A138,'Raw Data'!D:D))</f>
        <v/>
      </c>
      <c r="F138" s="10" t="str">
        <f>IF(A138="","",_xlfn.MAXIFS('Raw Data'!A:A,'Raw Data'!G:G,A138,'Raw Data'!I:I,TEXT($A$4,"mmmm yyyy")))</f>
        <v/>
      </c>
      <c r="G138" s="9" t="str">
        <f t="shared" si="6"/>
        <v/>
      </c>
      <c r="H138" s="9" t="str">
        <f t="shared" si="7"/>
        <v/>
      </c>
    </row>
    <row r="139" spans="1:8" ht="20.100000000000001" customHeight="1" x14ac:dyDescent="0.25">
      <c r="A139" s="9"/>
      <c r="B139" s="9" t="str">
        <f>IF(A139="","",COUNTIF('Raw Data'!G:G,A139))</f>
        <v/>
      </c>
      <c r="C139" s="9" t="str">
        <f>IF(A139="","",COUNTIFS('Raw Data'!G:G,A139,'Raw Data'!E:E,"Short"))</f>
        <v/>
      </c>
      <c r="D139" s="9" t="str">
        <f>IF(A139="","",COUNTIFS('Raw Data'!G:G,A139,'Raw Data'!E:E,"Excess"))</f>
        <v/>
      </c>
      <c r="E139" s="9" t="str">
        <f>IF(A139="","",SUMIF('Raw Data'!G:G,A139,'Raw Data'!D:D))</f>
        <v/>
      </c>
      <c r="F139" s="10" t="str">
        <f>IF(A139="","",_xlfn.MAXIFS('Raw Data'!A:A,'Raw Data'!G:G,A139,'Raw Data'!I:I,TEXT($A$4,"mmmm yyyy")))</f>
        <v/>
      </c>
      <c r="G139" s="9" t="str">
        <f t="shared" si="6"/>
        <v/>
      </c>
      <c r="H139" s="9" t="str">
        <f t="shared" si="7"/>
        <v/>
      </c>
    </row>
    <row r="140" spans="1:8" ht="20.100000000000001" customHeight="1" x14ac:dyDescent="0.25">
      <c r="A140" s="9"/>
      <c r="B140" s="9" t="str">
        <f>IF(A140="","",COUNTIF('Raw Data'!G:G,A140))</f>
        <v/>
      </c>
      <c r="C140" s="9" t="str">
        <f>IF(A140="","",COUNTIFS('Raw Data'!G:G,A140,'Raw Data'!E:E,"Short"))</f>
        <v/>
      </c>
      <c r="D140" s="9" t="str">
        <f>IF(A140="","",COUNTIFS('Raw Data'!G:G,A140,'Raw Data'!E:E,"Excess"))</f>
        <v/>
      </c>
      <c r="E140" s="9" t="str">
        <f>IF(A140="","",SUMIF('Raw Data'!G:G,A140,'Raw Data'!D:D))</f>
        <v/>
      </c>
      <c r="F140" s="10" t="str">
        <f>IF(A140="","",_xlfn.MAXIFS('Raw Data'!A:A,'Raw Data'!G:G,A140,'Raw Data'!I:I,TEXT($A$4,"mmmm yyyy")))</f>
        <v/>
      </c>
      <c r="G140" s="9" t="str">
        <f t="shared" si="6"/>
        <v/>
      </c>
      <c r="H140" s="9" t="str">
        <f t="shared" si="7"/>
        <v/>
      </c>
    </row>
    <row r="141" spans="1:8" ht="20.100000000000001" customHeight="1" x14ac:dyDescent="0.25">
      <c r="A141" s="9"/>
      <c r="B141" s="9" t="str">
        <f>IF(A141="","",COUNTIF('Raw Data'!G:G,A141))</f>
        <v/>
      </c>
      <c r="C141" s="9" t="str">
        <f>IF(A141="","",COUNTIFS('Raw Data'!G:G,A141,'Raw Data'!E:E,"Short"))</f>
        <v/>
      </c>
      <c r="D141" s="9" t="str">
        <f>IF(A141="","",COUNTIFS('Raw Data'!G:G,A141,'Raw Data'!E:E,"Excess"))</f>
        <v/>
      </c>
      <c r="E141" s="9" t="str">
        <f>IF(A141="","",SUMIF('Raw Data'!G:G,A141,'Raw Data'!D:D))</f>
        <v/>
      </c>
      <c r="F141" s="10" t="str">
        <f>IF(A141="","",_xlfn.MAXIFS('Raw Data'!A:A,'Raw Data'!G:G,A141,'Raw Data'!I:I,TEXT($A$4,"mmmm yyyy")))</f>
        <v/>
      </c>
      <c r="G141" s="9" t="str">
        <f t="shared" si="6"/>
        <v/>
      </c>
      <c r="H141" s="9" t="str">
        <f t="shared" si="7"/>
        <v/>
      </c>
    </row>
    <row r="142" spans="1:8" ht="20.100000000000001" customHeight="1" x14ac:dyDescent="0.25">
      <c r="A142" s="9"/>
      <c r="B142" s="9" t="str">
        <f>IF(A142="","",COUNTIF('Raw Data'!G:G,A142))</f>
        <v/>
      </c>
      <c r="C142" s="9" t="str">
        <f>IF(A142="","",COUNTIFS('Raw Data'!G:G,A142,'Raw Data'!E:E,"Short"))</f>
        <v/>
      </c>
      <c r="D142" s="9" t="str">
        <f>IF(A142="","",COUNTIFS('Raw Data'!G:G,A142,'Raw Data'!E:E,"Excess"))</f>
        <v/>
      </c>
      <c r="E142" s="9" t="str">
        <f>IF(A142="","",SUMIF('Raw Data'!G:G,A142,'Raw Data'!D:D))</f>
        <v/>
      </c>
      <c r="F142" s="10" t="str">
        <f>IF(A142="","",_xlfn.MAXIFS('Raw Data'!A:A,'Raw Data'!G:G,A142,'Raw Data'!I:I,TEXT($A$4,"mmmm yyyy")))</f>
        <v/>
      </c>
      <c r="G142" s="9" t="str">
        <f t="shared" si="6"/>
        <v/>
      </c>
      <c r="H142" s="9" t="str">
        <f t="shared" si="7"/>
        <v/>
      </c>
    </row>
  </sheetData>
  <sheetProtection algorithmName="SHA-512" hashValue="Ma5cEoxjw55lF1RocJDZUmpO7DvjSbmLiofjgAtWlZECN5L8tPKi+Sd3HyZtD6sTBrefnJzBvp4p18Juq1zElQ==" saltValue="J1I/wvkRYcWuA6M3ISD+GA==" spinCount="100000" sheet="1" objects="1" scenarios="1"/>
  <mergeCells count="2">
    <mergeCell ref="A1:H1"/>
    <mergeCell ref="B4:C4"/>
  </mergeCells>
  <conditionalFormatting sqref="B7:B1048576">
    <cfRule type="colorScale" priority="7">
      <colorScale>
        <cfvo type="min"/>
        <cfvo type="percentile" val="50"/>
        <cfvo type="max"/>
        <color theme="9"/>
        <color rgb="FFFFFF00"/>
        <color rgb="FFC00000"/>
      </colorScale>
    </cfRule>
  </conditionalFormatting>
  <conditionalFormatting sqref="H6">
    <cfRule type="containsText" dxfId="32" priority="10" operator="containsText" text="High">
      <formula>NOT(ISERROR(SEARCH("High",H6)))</formula>
    </cfRule>
    <cfRule type="containsText" dxfId="31" priority="11" operator="containsText" text="Medium">
      <formula>NOT(ISERROR(SEARCH("Medium",H6)))</formula>
    </cfRule>
    <cfRule type="containsText" dxfId="30" priority="12" operator="containsText" text="Low">
      <formula>NOT(ISERROR(SEARCH("Low",H6)))</formula>
    </cfRule>
  </conditionalFormatting>
  <conditionalFormatting sqref="H7:H1048576">
    <cfRule type="colorScale" priority="8">
      <colorScale>
        <cfvo type="min"/>
        <cfvo type="percentile" val="50"/>
        <cfvo type="max"/>
        <color rgb="FFC00000"/>
        <color rgb="FFFFFF00"/>
        <color theme="9"/>
      </colorScale>
    </cfRule>
  </conditionalFormatting>
  <conditionalFormatting sqref="K6">
    <cfRule type="containsText" dxfId="29" priority="1" operator="containsText" text="High">
      <formula>NOT(ISERROR(SEARCH("High",K6)))</formula>
    </cfRule>
    <cfRule type="containsText" dxfId="28" priority="2" operator="containsText" text="Medium">
      <formula>NOT(ISERROR(SEARCH("Medium",K6)))</formula>
    </cfRule>
    <cfRule type="containsText" dxfId="27" priority="3" operator="containsText" text="Low">
      <formula>NOT(ISERROR(SEARCH("Low",K6)))</formula>
    </cfRule>
  </conditionalFormatting>
  <conditionalFormatting sqref="M6">
    <cfRule type="containsText" dxfId="26" priority="4" operator="containsText" text="High">
      <formula>NOT(ISERROR(SEARCH("High",M6)))</formula>
    </cfRule>
    <cfRule type="containsText" dxfId="25" priority="5" operator="containsText" text="Medium">
      <formula>NOT(ISERROR(SEARCH("Medium",M6)))</formula>
    </cfRule>
    <cfRule type="containsText" dxfId="24" priority="6" operator="containsText" text="Low">
      <formula>NOT(ISERROR(SEARCH("Low",M6)))</formula>
    </cfRule>
  </conditionalFormatting>
  <dataValidations count="1">
    <dataValidation type="list" allowBlank="1" showInputMessage="1" showErrorMessage="1" sqref="A4" xr:uid="{7AF15DB6-893C-4A56-9A69-28D595A4D635}">
      <formula1>$K$7:$K$8000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F0862-3E3E-4947-BB21-2D327894E31A}">
  <sheetPr codeName="Sheet5">
    <tabColor theme="9" tint="-0.499984740745262"/>
  </sheetPr>
  <dimension ref="A1:M1048576"/>
  <sheetViews>
    <sheetView showGridLines="0" zoomScaleNormal="100" workbookViewId="0">
      <pane ySplit="6" topLeftCell="A7" activePane="bottomLeft" state="frozen"/>
      <selection pane="bottomLeft" activeCell="A4" sqref="A4"/>
    </sheetView>
  </sheetViews>
  <sheetFormatPr defaultColWidth="22.7109375" defaultRowHeight="24.95" customHeight="1" x14ac:dyDescent="0.25"/>
  <cols>
    <col min="1" max="1" width="18.85546875" customWidth="1"/>
    <col min="2" max="2" width="25" customWidth="1"/>
    <col min="3" max="3" width="22.7109375" customWidth="1"/>
    <col min="4" max="4" width="20.7109375" customWidth="1"/>
    <col min="5" max="5" width="24.140625" customWidth="1"/>
    <col min="6" max="6" width="25.5703125" style="7" customWidth="1"/>
    <col min="7" max="7" width="28.85546875" customWidth="1"/>
    <col min="8" max="8" width="21.140625" customWidth="1"/>
    <col min="9" max="9" width="8.42578125" customWidth="1"/>
    <col min="10" max="10" width="26" bestFit="1" customWidth="1"/>
    <col min="11" max="11" width="7.28515625" customWidth="1"/>
    <col min="12" max="12" width="19.5703125" bestFit="1" customWidth="1"/>
  </cols>
  <sheetData>
    <row r="1" spans="1:13" ht="24.95" customHeight="1" x14ac:dyDescent="0.4">
      <c r="A1" s="70" t="s">
        <v>29</v>
      </c>
      <c r="B1" s="70"/>
      <c r="C1" s="70"/>
      <c r="D1" s="70"/>
      <c r="E1" s="70"/>
      <c r="F1" s="70"/>
      <c r="G1" s="70"/>
      <c r="H1" s="70"/>
    </row>
    <row r="2" spans="1:13" ht="12" customHeight="1" x14ac:dyDescent="0.25">
      <c r="A2" s="13"/>
      <c r="B2" s="13"/>
      <c r="C2" s="13"/>
      <c r="D2" s="13"/>
      <c r="E2" s="13"/>
      <c r="F2" s="13"/>
      <c r="G2" s="13"/>
      <c r="H2" s="13"/>
    </row>
    <row r="3" spans="1:13" ht="28.5" customHeight="1" x14ac:dyDescent="0.25">
      <c r="A3" s="17"/>
      <c r="B3" s="13"/>
      <c r="C3" s="13"/>
      <c r="D3" s="13"/>
      <c r="E3" s="13"/>
      <c r="F3" s="13"/>
      <c r="G3" s="13"/>
      <c r="H3" s="13"/>
    </row>
    <row r="4" spans="1:13" ht="26.25" customHeight="1" x14ac:dyDescent="0.25">
      <c r="A4" s="41" t="s">
        <v>332</v>
      </c>
      <c r="B4" s="71">
        <f>SUM(B7:B1000)</f>
        <v>48</v>
      </c>
      <c r="C4" s="71"/>
      <c r="D4" s="15">
        <f>SUM(C7:C1000)</f>
        <v>27</v>
      </c>
      <c r="E4" s="15">
        <f>SUM(D7:D1000)</f>
        <v>21</v>
      </c>
      <c r="F4" s="15">
        <f>SUM(E7:E1000)</f>
        <v>571</v>
      </c>
      <c r="G4" s="19"/>
      <c r="H4" s="19"/>
    </row>
    <row r="5" spans="1:13" ht="28.5" customHeight="1" x14ac:dyDescent="0.25">
      <c r="A5" s="13"/>
      <c r="B5" s="13"/>
      <c r="C5" s="13"/>
      <c r="D5" s="13"/>
      <c r="E5" s="13"/>
      <c r="F5" s="13"/>
      <c r="G5" s="13"/>
      <c r="H5" s="13"/>
    </row>
    <row r="6" spans="1:13" s="5" customFormat="1" ht="24" customHeight="1" x14ac:dyDescent="0.3">
      <c r="A6" s="11" t="s">
        <v>23</v>
      </c>
      <c r="B6" s="11" t="s">
        <v>30</v>
      </c>
      <c r="C6" s="11" t="s">
        <v>31</v>
      </c>
      <c r="D6" s="11" t="s">
        <v>32</v>
      </c>
      <c r="E6" s="11" t="s">
        <v>24</v>
      </c>
      <c r="F6" s="11" t="s">
        <v>25</v>
      </c>
      <c r="G6" s="11" t="s">
        <v>26</v>
      </c>
      <c r="H6" s="11" t="s">
        <v>16</v>
      </c>
      <c r="J6" s="3" t="s">
        <v>27</v>
      </c>
      <c r="L6" s="3" t="s">
        <v>28</v>
      </c>
      <c r="M6" s="6"/>
    </row>
    <row r="7" spans="1:13" ht="20.100000000000001" customHeight="1" x14ac:dyDescent="0.25">
      <c r="A7" s="9" t="str" cm="1">
        <f t="array" ref="A7:A12">_xlfn.SORTBY(_xlfn.UNIQUE(_xlfn.ANCHORARRAY(L7)),COUNTIFS('Raw Data'!H:H,_xlfn.UNIQUE(_xlfn.ANCHORARRAY(L7)),'Raw Data'!I:I,TEXT($A$4,"mmmm yyyy")),-1)</f>
        <v>DXB495322</v>
      </c>
      <c r="B7" s="9">
        <f>IF(A7="","",COUNTIFS('Raw Data'!H:H,A7,'Raw Data'!I:I,TEXT($A$4,"mmmm yyyy")))</f>
        <v>13</v>
      </c>
      <c r="C7" s="9">
        <f>IF(A7="","",COUNTIFS('Raw Data'!H:H,A7,'Raw Data'!I:I,TEXT($A$4,"mmmm yyyy"),'Raw Data'!E:E,"Short"))</f>
        <v>7</v>
      </c>
      <c r="D7" s="9">
        <f>IF(A7="","",COUNTIFS('Raw Data'!H:H,A7,'Raw Data'!I:I,TEXT($A$4,"mmmm yyyy"),'Raw Data'!E:E,"Excess"))</f>
        <v>6</v>
      </c>
      <c r="E7" s="9">
        <f>IF(A7="","",SUMIFS('Raw Data'!D:D,'Raw Data'!H:H,A7,'Raw Data'!I:I,TEXT($A$4,"mmmm yyyy")))</f>
        <v>183</v>
      </c>
      <c r="F7" s="10">
        <f>IF(A7="","",_xlfn.MAXIFS('Raw Data'!A:A,'Raw Data'!H:H,A7,'Raw Data'!I:I,TEXT($A$4,"mmmm yyyy")))</f>
        <v>46229</v>
      </c>
      <c r="G7" s="9" t="str">
        <f>IF(A7="","",IF(C7&gt;D7,"Short",IF(D7&gt;C7,"Excess", "Equal")))</f>
        <v>Short</v>
      </c>
      <c r="H7" s="9">
        <f>IF(A7="","",RANK(B7,B$7:B$9995,0))</f>
        <v>1</v>
      </c>
      <c r="J7" s="4" t="str" cm="1">
        <f t="array" ref="J7:J8">_xlfn.SORTBY(_xlfn.UNIQUE(_xlfn._xlws.FILTER(RawData[Month List],RawData[Month List]&lt;&gt;"")),DATEVALUE("01"&amp;_xlfn.UNIQUE(_xlfn._xlws.FILTER(RawData[Month List],RawData[Month List]&lt;&gt;""))))</f>
        <v>July 2026</v>
      </c>
      <c r="L7" t="str" cm="1">
        <f t="array" ref="L7:L54">_xlfn._xlws.FILTER(RawData[Checker ID],(RawData[Checker ID]&lt;&gt;"")*(RawData[Month List]=TEXT($A$4,"mmmm yyyy")))</f>
        <v>DXB495322</v>
      </c>
    </row>
    <row r="8" spans="1:13" ht="20.100000000000001" customHeight="1" x14ac:dyDescent="0.25">
      <c r="A8" s="9" t="str">
        <v>DXB492425</v>
      </c>
      <c r="B8" s="9">
        <f>IF(A8="","",COUNTIFS('Raw Data'!H:H,A8,'Raw Data'!I:I,TEXT($A$4,"mmmm yyyy")))</f>
        <v>13</v>
      </c>
      <c r="C8" s="9">
        <f>IF(A8="","",COUNTIFS('Raw Data'!H:H,A8,'Raw Data'!I:I,TEXT($A$4,"mmmm yyyy"),'Raw Data'!E:E,"Short"))</f>
        <v>7</v>
      </c>
      <c r="D8" s="9">
        <f>IF(A8="","",COUNTIFS('Raw Data'!H:H,A8,'Raw Data'!I:I,TEXT($A$4,"mmmm yyyy"),'Raw Data'!E:E,"Excess"))</f>
        <v>6</v>
      </c>
      <c r="E8" s="9">
        <f>IF(A8="","",SUMIFS('Raw Data'!D:D,'Raw Data'!H:H,A8,'Raw Data'!I:I,TEXT($A$4,"mmmm yyyy")))</f>
        <v>193</v>
      </c>
      <c r="F8" s="10">
        <f>IF(A8="","",_xlfn.MAXIFS('Raw Data'!A:A,'Raw Data'!H:H,A8,'Raw Data'!I:I,TEXT($A$4,"mmmm yyyy")))</f>
        <v>46232</v>
      </c>
      <c r="G8" s="9" t="str">
        <f t="shared" ref="G8:G38" si="0">IF(A8="","",IF(C8&gt;D8,"Short",IF(D8&gt;C8,"Excess", "Equal")))</f>
        <v>Short</v>
      </c>
      <c r="H8" s="9">
        <f t="shared" ref="H8:H71" si="1">IF(A8="","",RANK(B8,B$7:B$9995,0))</f>
        <v>1</v>
      </c>
      <c r="J8" s="4" t="str">
        <v>August 2026</v>
      </c>
      <c r="L8" t="str">
        <v>DXB495322</v>
      </c>
    </row>
    <row r="9" spans="1:13" ht="20.100000000000001" customHeight="1" x14ac:dyDescent="0.25">
      <c r="A9" s="9" t="str">
        <v>DXB442324</v>
      </c>
      <c r="B9" s="9">
        <f>IF(A9="","",COUNTIFS('Raw Data'!H:H,A9,'Raw Data'!I:I,TEXT($A$4,"mmmm yyyy")))</f>
        <v>11</v>
      </c>
      <c r="C9" s="9">
        <f>IF(A9="","",COUNTIFS('Raw Data'!H:H,A9,'Raw Data'!I:I,TEXT($A$4,"mmmm yyyy"),'Raw Data'!E:E,"Short"))</f>
        <v>6</v>
      </c>
      <c r="D9" s="9">
        <f>IF(A9="","",COUNTIFS('Raw Data'!H:H,A9,'Raw Data'!I:I,TEXT($A$4,"mmmm yyyy"),'Raw Data'!E:E,"Excess"))</f>
        <v>5</v>
      </c>
      <c r="E9" s="9">
        <f>IF(A9="","",SUMIFS('Raw Data'!D:D,'Raw Data'!H:H,A9,'Raw Data'!I:I,TEXT($A$4,"mmmm yyyy")))</f>
        <v>95</v>
      </c>
      <c r="F9" s="10">
        <f>IF(A9="","",_xlfn.MAXIFS('Raw Data'!A:A,'Raw Data'!H:H,A9,'Raw Data'!I:I,TEXT($A$4,"mmmm yyyy")))</f>
        <v>46232</v>
      </c>
      <c r="G9" s="9" t="str">
        <f t="shared" si="0"/>
        <v>Short</v>
      </c>
      <c r="H9" s="9">
        <f t="shared" si="1"/>
        <v>3</v>
      </c>
      <c r="L9" t="str">
        <v>DXB495322</v>
      </c>
    </row>
    <row r="10" spans="1:13" ht="20.100000000000001" customHeight="1" x14ac:dyDescent="0.25">
      <c r="A10" s="9" t="str">
        <v>DXB486073</v>
      </c>
      <c r="B10" s="9">
        <f>IF(A10="","",COUNTIFS('Raw Data'!H:H,A10,'Raw Data'!I:I,TEXT($A$4,"mmmm yyyy")))</f>
        <v>5</v>
      </c>
      <c r="C10" s="9">
        <f>IF(A10="","",COUNTIFS('Raw Data'!H:H,A10,'Raw Data'!I:I,TEXT($A$4,"mmmm yyyy"),'Raw Data'!E:E,"Short"))</f>
        <v>3</v>
      </c>
      <c r="D10" s="9">
        <f>IF(A10="","",COUNTIFS('Raw Data'!H:H,A10,'Raw Data'!I:I,TEXT($A$4,"mmmm yyyy"),'Raw Data'!E:E,"Excess"))</f>
        <v>2</v>
      </c>
      <c r="E10" s="9">
        <f>IF(A10="","",SUMIFS('Raw Data'!D:D,'Raw Data'!H:H,A10,'Raw Data'!I:I,TEXT($A$4,"mmmm yyyy")))</f>
        <v>44</v>
      </c>
      <c r="F10" s="10">
        <f>IF(A10="","",_xlfn.MAXIFS('Raw Data'!A:A,'Raw Data'!H:H,A10,'Raw Data'!I:I,TEXT($A$4,"mmmm yyyy")))</f>
        <v>46221</v>
      </c>
      <c r="G10" s="9" t="str">
        <f t="shared" si="0"/>
        <v>Short</v>
      </c>
      <c r="H10" s="9">
        <f t="shared" si="1"/>
        <v>4</v>
      </c>
      <c r="L10" t="str">
        <v>DXB486073</v>
      </c>
    </row>
    <row r="11" spans="1:13" ht="20.100000000000001" customHeight="1" x14ac:dyDescent="0.25">
      <c r="A11" s="9" t="str">
        <v>DXB456417</v>
      </c>
      <c r="B11" s="9">
        <f>IF(A11="","",COUNTIFS('Raw Data'!H:H,A11,'Raw Data'!I:I,TEXT($A$4,"mmmm yyyy")))</f>
        <v>4</v>
      </c>
      <c r="C11" s="9">
        <f>IF(A11="","",COUNTIFS('Raw Data'!H:H,A11,'Raw Data'!I:I,TEXT($A$4,"mmmm yyyy"),'Raw Data'!E:E,"Short"))</f>
        <v>3</v>
      </c>
      <c r="D11" s="9">
        <f>IF(A11="","",COUNTIFS('Raw Data'!H:H,A11,'Raw Data'!I:I,TEXT($A$4,"mmmm yyyy"),'Raw Data'!E:E,"Excess"))</f>
        <v>1</v>
      </c>
      <c r="E11" s="9">
        <f>IF(A11="","",SUMIFS('Raw Data'!D:D,'Raw Data'!H:H,A11,'Raw Data'!I:I,TEXT($A$4,"mmmm yyyy")))</f>
        <v>38</v>
      </c>
      <c r="F11" s="10">
        <f>IF(A11="","",_xlfn.MAXIFS('Raw Data'!A:A,'Raw Data'!H:H,A11,'Raw Data'!I:I,TEXT($A$4,"mmmm yyyy")))</f>
        <v>46227</v>
      </c>
      <c r="G11" s="9" t="str">
        <f t="shared" si="0"/>
        <v>Short</v>
      </c>
      <c r="H11" s="9">
        <f t="shared" si="1"/>
        <v>5</v>
      </c>
      <c r="L11" t="str">
        <v>DXB486073</v>
      </c>
    </row>
    <row r="12" spans="1:13" ht="20.100000000000001" customHeight="1" x14ac:dyDescent="0.25">
      <c r="A12" s="9" t="str">
        <v>DXB501183</v>
      </c>
      <c r="B12" s="9">
        <f>IF(A12="","",COUNTIFS('Raw Data'!H:H,A12,'Raw Data'!I:I,TEXT($A$4,"mmmm yyyy")))</f>
        <v>2</v>
      </c>
      <c r="C12" s="9">
        <f>IF(A12="","",COUNTIFS('Raw Data'!H:H,A12,'Raw Data'!I:I,TEXT($A$4,"mmmm yyyy"),'Raw Data'!E:E,"Short"))</f>
        <v>1</v>
      </c>
      <c r="D12" s="9">
        <f>IF(A12="","",COUNTIFS('Raw Data'!H:H,A12,'Raw Data'!I:I,TEXT($A$4,"mmmm yyyy"),'Raw Data'!E:E,"Excess"))</f>
        <v>1</v>
      </c>
      <c r="E12" s="9">
        <f>IF(A12="","",SUMIFS('Raw Data'!D:D,'Raw Data'!H:H,A12,'Raw Data'!I:I,TEXT($A$4,"mmmm yyyy")))</f>
        <v>18</v>
      </c>
      <c r="F12" s="10">
        <f>IF(A12="","",_xlfn.MAXIFS('Raw Data'!A:A,'Raw Data'!H:H,A12,'Raw Data'!I:I,TEXT($A$4,"mmmm yyyy")))</f>
        <v>46234</v>
      </c>
      <c r="G12" s="9" t="str">
        <f t="shared" si="0"/>
        <v>Equal</v>
      </c>
      <c r="H12" s="9">
        <f t="shared" si="1"/>
        <v>6</v>
      </c>
      <c r="L12" t="str">
        <v>DXB486073</v>
      </c>
    </row>
    <row r="13" spans="1:13" ht="20.100000000000001" customHeight="1" x14ac:dyDescent="0.25">
      <c r="A13" s="9"/>
      <c r="B13" s="9" t="str">
        <f>IF(A13="","",COUNTIFS('Raw Data'!H:H,A13,'Raw Data'!I:I,TEXT($A$4,"mmmm yyyy")))</f>
        <v/>
      </c>
      <c r="C13" s="9" t="str">
        <f>IF(A13="","",COUNTIFS('Raw Data'!H:H,A13,'Raw Data'!I:I,TEXT($A$4,"mmmm yyyy"),'Raw Data'!E:E,"Short"))</f>
        <v/>
      </c>
      <c r="D13" s="9" t="str">
        <f>IF(A13="","",COUNTIFS('Raw Data'!H:H,A13,'Raw Data'!I:I,TEXT($A$4,"mmmm yyyy"),'Raw Data'!E:E,"Excess"))</f>
        <v/>
      </c>
      <c r="E13" s="9" t="str">
        <f>IF(A13="","",SUMIFS('Raw Data'!D:D,'Raw Data'!H:H,A13,'Raw Data'!I:I,TEXT($A$4,"mmmm yyyy")))</f>
        <v/>
      </c>
      <c r="F13" s="10" t="str">
        <f>IF(A13="","",_xlfn.MAXIFS('Raw Data'!A:A,'Raw Data'!H:H,A13,'Raw Data'!I:I,TEXT($A$4,"mmmm yyyy")))</f>
        <v/>
      </c>
      <c r="G13" s="9" t="str">
        <f t="shared" si="0"/>
        <v/>
      </c>
      <c r="H13" s="9" t="str">
        <f t="shared" si="1"/>
        <v/>
      </c>
      <c r="L13" t="str">
        <v>DXB442324</v>
      </c>
    </row>
    <row r="14" spans="1:13" ht="20.100000000000001" customHeight="1" x14ac:dyDescent="0.25">
      <c r="A14" s="9"/>
      <c r="B14" s="9" t="str">
        <f>IF(A14="","",COUNTIFS('Raw Data'!H:H,A14,'Raw Data'!I:I,TEXT($A$4,"mmmm yyyy")))</f>
        <v/>
      </c>
      <c r="C14" s="9" t="str">
        <f>IF(A14="","",COUNTIFS('Raw Data'!H:H,A14,'Raw Data'!I:I,TEXT($A$4,"mmmm yyyy"),'Raw Data'!E:E,"Short"))</f>
        <v/>
      </c>
      <c r="D14" s="9" t="str">
        <f>IF(A14="","",COUNTIFS('Raw Data'!H:H,A14,'Raw Data'!I:I,TEXT($A$4,"mmmm yyyy"),'Raw Data'!E:E,"Excess"))</f>
        <v/>
      </c>
      <c r="E14" s="9" t="str">
        <f>IF(A14="","",SUMIFS('Raw Data'!D:D,'Raw Data'!H:H,A14,'Raw Data'!I:I,TEXT($A$4,"mmmm yyyy")))</f>
        <v/>
      </c>
      <c r="F14" s="10" t="str">
        <f>IF(A14="","",_xlfn.MAXIFS('Raw Data'!A:A,'Raw Data'!H:H,A14,'Raw Data'!I:I,TEXT($A$4,"mmmm yyyy")))</f>
        <v/>
      </c>
      <c r="G14" s="9" t="str">
        <f t="shared" si="0"/>
        <v/>
      </c>
      <c r="H14" s="9" t="str">
        <f t="shared" si="1"/>
        <v/>
      </c>
      <c r="L14" t="str">
        <v>DXB495322</v>
      </c>
    </row>
    <row r="15" spans="1:13" ht="20.100000000000001" customHeight="1" x14ac:dyDescent="0.25">
      <c r="A15" s="9"/>
      <c r="B15" s="9" t="str">
        <f>IF(A15="","",COUNTIFS('Raw Data'!H:H,A15,'Raw Data'!I:I,TEXT($A$4,"mmmm yyyy")))</f>
        <v/>
      </c>
      <c r="C15" s="9" t="str">
        <f>IF(A15="","",COUNTIFS('Raw Data'!H:H,A15,'Raw Data'!I:I,TEXT($A$4,"mmmm yyyy"),'Raw Data'!E:E,"Short"))</f>
        <v/>
      </c>
      <c r="D15" s="9" t="str">
        <f>IF(A15="","",COUNTIFS('Raw Data'!H:H,A15,'Raw Data'!I:I,TEXT($A$4,"mmmm yyyy"),'Raw Data'!E:E,"Excess"))</f>
        <v/>
      </c>
      <c r="E15" s="9" t="str">
        <f>IF(A15="","",SUMIFS('Raw Data'!D:D,'Raw Data'!H:H,A15,'Raw Data'!I:I,TEXT($A$4,"mmmm yyyy")))</f>
        <v/>
      </c>
      <c r="F15" s="10" t="str">
        <f>IF(A15="","",_xlfn.MAXIFS('Raw Data'!A:A,'Raw Data'!H:H,A15,'Raw Data'!I:I,TEXT($A$4,"mmmm yyyy")))</f>
        <v/>
      </c>
      <c r="G15" s="9" t="str">
        <f t="shared" si="0"/>
        <v/>
      </c>
      <c r="H15" s="9" t="str">
        <f t="shared" si="1"/>
        <v/>
      </c>
      <c r="L15" t="str">
        <v>DXB495322</v>
      </c>
    </row>
    <row r="16" spans="1:13" ht="20.100000000000001" customHeight="1" x14ac:dyDescent="0.25">
      <c r="A16" s="9"/>
      <c r="B16" s="9" t="str">
        <f>IF(A16="","",COUNTIFS('Raw Data'!H:H,A16,'Raw Data'!I:I,TEXT($A$4,"mmmm yyyy")))</f>
        <v/>
      </c>
      <c r="C16" s="9" t="str">
        <f>IF(A16="","",COUNTIFS('Raw Data'!H:H,A16,'Raw Data'!I:I,TEXT($A$4,"mmmm yyyy"),'Raw Data'!E:E,"Short"))</f>
        <v/>
      </c>
      <c r="D16" s="9" t="str">
        <f>IF(A16="","",COUNTIFS('Raw Data'!H:H,A16,'Raw Data'!I:I,TEXT($A$4,"mmmm yyyy"),'Raw Data'!E:E,"Excess"))</f>
        <v/>
      </c>
      <c r="E16" s="9" t="str">
        <f>IF(A16="","",SUMIFS('Raw Data'!D:D,'Raw Data'!H:H,A16,'Raw Data'!I:I,TEXT($A$4,"mmmm yyyy")))</f>
        <v/>
      </c>
      <c r="F16" s="10" t="str">
        <f>IF(A16="","",_xlfn.MAXIFS('Raw Data'!A:A,'Raw Data'!H:H,A16,'Raw Data'!I:I,TEXT($A$4,"mmmm yyyy")))</f>
        <v/>
      </c>
      <c r="G16" s="9" t="str">
        <f t="shared" si="0"/>
        <v/>
      </c>
      <c r="H16" s="9" t="str">
        <f t="shared" si="1"/>
        <v/>
      </c>
      <c r="L16" t="str">
        <v>DXB495322</v>
      </c>
    </row>
    <row r="17" spans="1:12" ht="20.100000000000001" customHeight="1" x14ac:dyDescent="0.25">
      <c r="A17" s="9"/>
      <c r="B17" s="9" t="str">
        <f>IF(A17="","",COUNTIFS('Raw Data'!H:H,A17,'Raw Data'!I:I,TEXT($A$4,"mmmm yyyy")))</f>
        <v/>
      </c>
      <c r="C17" s="9" t="str">
        <f>IF(A17="","",COUNTIFS('Raw Data'!H:H,A17,'Raw Data'!I:I,TEXT($A$4,"mmmm yyyy"),'Raw Data'!E:E,"Short"))</f>
        <v/>
      </c>
      <c r="D17" s="9" t="str">
        <f>IF(A17="","",COUNTIFS('Raw Data'!H:H,A17,'Raw Data'!I:I,TEXT($A$4,"mmmm yyyy"),'Raw Data'!E:E,"Excess"))</f>
        <v/>
      </c>
      <c r="E17" s="9" t="str">
        <f>IF(A17="","",SUMIFS('Raw Data'!D:D,'Raw Data'!H:H,A17,'Raw Data'!I:I,TEXT($A$4,"mmmm yyyy")))</f>
        <v/>
      </c>
      <c r="F17" s="10" t="str">
        <f>IF(A17="","",_xlfn.MAXIFS('Raw Data'!A:A,'Raw Data'!H:H,A17,'Raw Data'!I:I,TEXT($A$4,"mmmm yyyy")))</f>
        <v/>
      </c>
      <c r="G17" s="9" t="str">
        <f t="shared" si="0"/>
        <v/>
      </c>
      <c r="H17" s="9" t="str">
        <f t="shared" si="1"/>
        <v/>
      </c>
      <c r="L17" t="str">
        <v>DXB442324</v>
      </c>
    </row>
    <row r="18" spans="1:12" ht="20.100000000000001" customHeight="1" x14ac:dyDescent="0.25">
      <c r="A18" s="9"/>
      <c r="B18" s="9" t="str">
        <f>IF(A18="","",COUNTIFS('Raw Data'!H:H,A18,'Raw Data'!I:I,TEXT($A$4,"mmmm yyyy")))</f>
        <v/>
      </c>
      <c r="C18" s="9" t="str">
        <f>IF(A18="","",COUNTIFS('Raw Data'!H:H,A18,'Raw Data'!I:I,TEXT($A$4,"mmmm yyyy"),'Raw Data'!E:E,"Short"))</f>
        <v/>
      </c>
      <c r="D18" s="9" t="str">
        <f>IF(A18="","",COUNTIFS('Raw Data'!H:H,A18,'Raw Data'!I:I,TEXT($A$4,"mmmm yyyy"),'Raw Data'!E:E,"Excess"))</f>
        <v/>
      </c>
      <c r="E18" s="9" t="str">
        <f>IF(A18="","",SUMIFS('Raw Data'!D:D,'Raw Data'!H:H,A18,'Raw Data'!I:I,TEXT($A$4,"mmmm yyyy")))</f>
        <v/>
      </c>
      <c r="F18" s="10" t="str">
        <f>IF(A18="","",_xlfn.MAXIFS('Raw Data'!A:A,'Raw Data'!H:H,A18,'Raw Data'!I:I,TEXT($A$4,"mmmm yyyy")))</f>
        <v/>
      </c>
      <c r="G18" s="9" t="str">
        <f t="shared" si="0"/>
        <v/>
      </c>
      <c r="H18" s="9" t="str">
        <f t="shared" si="1"/>
        <v/>
      </c>
      <c r="L18" t="str">
        <v>DXB495322</v>
      </c>
    </row>
    <row r="19" spans="1:12" ht="20.100000000000001" customHeight="1" x14ac:dyDescent="0.25">
      <c r="A19" s="9"/>
      <c r="B19" s="9" t="str">
        <f>IF(A19="","",COUNTIFS('Raw Data'!H:H,A19,'Raw Data'!I:I,TEXT($A$4,"mmmm yyyy")))</f>
        <v/>
      </c>
      <c r="C19" s="9" t="str">
        <f>IF(A19="","",COUNTIFS('Raw Data'!H:H,A19,'Raw Data'!I:I,TEXT($A$4,"mmmm yyyy"),'Raw Data'!E:E,"Short"))</f>
        <v/>
      </c>
      <c r="D19" s="9" t="str">
        <f>IF(A19="","",COUNTIFS('Raw Data'!H:H,A19,'Raw Data'!I:I,TEXT($A$4,"mmmm yyyy"),'Raw Data'!E:E,"Excess"))</f>
        <v/>
      </c>
      <c r="E19" s="9" t="str">
        <f>IF(A19="","",SUMIFS('Raw Data'!D:D,'Raw Data'!H:H,A19,'Raw Data'!I:I,TEXT($A$4,"mmmm yyyy")))</f>
        <v/>
      </c>
      <c r="F19" s="10" t="str">
        <f>IF(A19="","",_xlfn.MAXIFS('Raw Data'!A:A,'Raw Data'!H:H,A19,'Raw Data'!I:I,TEXT($A$4,"mmmm yyyy")))</f>
        <v/>
      </c>
      <c r="G19" s="9" t="str">
        <f t="shared" si="0"/>
        <v/>
      </c>
      <c r="H19" s="9" t="str">
        <f t="shared" si="1"/>
        <v/>
      </c>
      <c r="L19" t="str">
        <v>DXB486073</v>
      </c>
    </row>
    <row r="20" spans="1:12" ht="20.100000000000001" customHeight="1" x14ac:dyDescent="0.25">
      <c r="A20" s="9"/>
      <c r="B20" s="9" t="str">
        <f>IF(A20="","",COUNTIFS('Raw Data'!H:H,A20,'Raw Data'!I:I,TEXT($A$4,"mmmm yyyy")))</f>
        <v/>
      </c>
      <c r="C20" s="9" t="str">
        <f>IF(A20="","",COUNTIFS('Raw Data'!H:H,A20,'Raw Data'!I:I,TEXT($A$4,"mmmm yyyy"),'Raw Data'!E:E,"Short"))</f>
        <v/>
      </c>
      <c r="D20" s="9" t="str">
        <f>IF(A20="","",COUNTIFS('Raw Data'!H:H,A20,'Raw Data'!I:I,TEXT($A$4,"mmmm yyyy"),'Raw Data'!E:E,"Excess"))</f>
        <v/>
      </c>
      <c r="E20" s="9" t="str">
        <f>IF(A20="","",SUMIFS('Raw Data'!D:D,'Raw Data'!H:H,A20,'Raw Data'!I:I,TEXT($A$4,"mmmm yyyy")))</f>
        <v/>
      </c>
      <c r="F20" s="10" t="str">
        <f>IF(A20="","",_xlfn.MAXIFS('Raw Data'!A:A,'Raw Data'!H:H,A20,'Raw Data'!I:I,TEXT($A$4,"mmmm yyyy")))</f>
        <v/>
      </c>
      <c r="G20" s="9" t="str">
        <f t="shared" si="0"/>
        <v/>
      </c>
      <c r="H20" s="9" t="str">
        <f t="shared" si="1"/>
        <v/>
      </c>
      <c r="L20" t="str">
        <v>DXB492425</v>
      </c>
    </row>
    <row r="21" spans="1:12" ht="20.100000000000001" customHeight="1" x14ac:dyDescent="0.25">
      <c r="A21" s="9"/>
      <c r="B21" s="9" t="str">
        <f>IF(A21="","",COUNTIFS('Raw Data'!H:H,A21,'Raw Data'!I:I,TEXT($A$4,"mmmm yyyy")))</f>
        <v/>
      </c>
      <c r="C21" s="9" t="str">
        <f>IF(A21="","",COUNTIFS('Raw Data'!H:H,A21,'Raw Data'!I:I,TEXT($A$4,"mmmm yyyy"),'Raw Data'!E:E,"Short"))</f>
        <v/>
      </c>
      <c r="D21" s="9" t="str">
        <f>IF(A21="","",COUNTIFS('Raw Data'!H:H,A21,'Raw Data'!I:I,TEXT($A$4,"mmmm yyyy"),'Raw Data'!E:E,"Excess"))</f>
        <v/>
      </c>
      <c r="E21" s="9" t="str">
        <f>IF(A21="","",SUMIFS('Raw Data'!D:D,'Raw Data'!H:H,A21,'Raw Data'!I:I,TEXT($A$4,"mmmm yyyy")))</f>
        <v/>
      </c>
      <c r="F21" s="10" t="str">
        <f>IF(A21="","",_xlfn.MAXIFS('Raw Data'!A:A,'Raw Data'!H:H,A21,'Raw Data'!I:I,TEXT($A$4,"mmmm yyyy")))</f>
        <v/>
      </c>
      <c r="G21" s="9" t="str">
        <f t="shared" si="0"/>
        <v/>
      </c>
      <c r="H21" s="9" t="str">
        <f t="shared" si="1"/>
        <v/>
      </c>
      <c r="L21" t="str">
        <v>DXB492425</v>
      </c>
    </row>
    <row r="22" spans="1:12" ht="20.100000000000001" customHeight="1" x14ac:dyDescent="0.25">
      <c r="A22" s="9"/>
      <c r="B22" s="9" t="str">
        <f>IF(A22="","",COUNTIFS('Raw Data'!H:H,A22,'Raw Data'!I:I,TEXT($A$4,"mmmm yyyy")))</f>
        <v/>
      </c>
      <c r="C22" s="9" t="str">
        <f>IF(A22="","",COUNTIFS('Raw Data'!H:H,A22,'Raw Data'!I:I,TEXT($A$4,"mmmm yyyy"),'Raw Data'!E:E,"Short"))</f>
        <v/>
      </c>
      <c r="D22" s="9" t="str">
        <f>IF(A22="","",COUNTIFS('Raw Data'!H:H,A22,'Raw Data'!I:I,TEXT($A$4,"mmmm yyyy"),'Raw Data'!E:E,"Excess"))</f>
        <v/>
      </c>
      <c r="E22" s="9" t="str">
        <f>IF(A22="","",SUMIFS('Raw Data'!D:D,'Raw Data'!H:H,A22,'Raw Data'!I:I,TEXT($A$4,"mmmm yyyy")))</f>
        <v/>
      </c>
      <c r="F22" s="10" t="str">
        <f>IF(A22="","",_xlfn.MAXIFS('Raw Data'!A:A,'Raw Data'!H:H,A22,'Raw Data'!I:I,TEXT($A$4,"mmmm yyyy")))</f>
        <v/>
      </c>
      <c r="G22" s="9" t="str">
        <f t="shared" si="0"/>
        <v/>
      </c>
      <c r="H22" s="9" t="str">
        <f t="shared" si="1"/>
        <v/>
      </c>
      <c r="L22" t="str">
        <v>DXB495322</v>
      </c>
    </row>
    <row r="23" spans="1:12" ht="20.100000000000001" customHeight="1" x14ac:dyDescent="0.25">
      <c r="A23" s="9"/>
      <c r="B23" s="9" t="str">
        <f>IF(A23="","",COUNTIFS('Raw Data'!H:H,A23,'Raw Data'!I:I,TEXT($A$4,"mmmm yyyy")))</f>
        <v/>
      </c>
      <c r="C23" s="9" t="str">
        <f>IF(A23="","",COUNTIFS('Raw Data'!H:H,A23,'Raw Data'!I:I,TEXT($A$4,"mmmm yyyy"),'Raw Data'!E:E,"Short"))</f>
        <v/>
      </c>
      <c r="D23" s="9" t="str">
        <f>IF(A23="","",COUNTIFS('Raw Data'!H:H,A23,'Raw Data'!I:I,TEXT($A$4,"mmmm yyyy"),'Raw Data'!E:E,"Excess"))</f>
        <v/>
      </c>
      <c r="E23" s="9" t="str">
        <f>IF(A23="","",SUMIFS('Raw Data'!D:D,'Raw Data'!H:H,A23,'Raw Data'!I:I,TEXT($A$4,"mmmm yyyy")))</f>
        <v/>
      </c>
      <c r="F23" s="10" t="str">
        <f>IF(A23="","",_xlfn.MAXIFS('Raw Data'!A:A,'Raw Data'!H:H,A23,'Raw Data'!I:I,TEXT($A$4,"mmmm yyyy")))</f>
        <v/>
      </c>
      <c r="G23" s="9" t="str">
        <f t="shared" si="0"/>
        <v/>
      </c>
      <c r="H23" s="9" t="str">
        <f t="shared" si="1"/>
        <v/>
      </c>
      <c r="L23" t="str">
        <v>DXB486073</v>
      </c>
    </row>
    <row r="24" spans="1:12" ht="20.100000000000001" customHeight="1" x14ac:dyDescent="0.25">
      <c r="A24" s="9"/>
      <c r="B24" s="9" t="str">
        <f>IF(A24="","",COUNTIFS('Raw Data'!H:H,A24,'Raw Data'!I:I,TEXT($A$4,"mmmm yyyy")))</f>
        <v/>
      </c>
      <c r="C24" s="9" t="str">
        <f>IF(A24="","",COUNTIFS('Raw Data'!H:H,A24,'Raw Data'!I:I,TEXT($A$4,"mmmm yyyy"),'Raw Data'!E:E,"Short"))</f>
        <v/>
      </c>
      <c r="D24" s="9" t="str">
        <f>IF(A24="","",COUNTIFS('Raw Data'!H:H,A24,'Raw Data'!I:I,TEXT($A$4,"mmmm yyyy"),'Raw Data'!E:E,"Excess"))</f>
        <v/>
      </c>
      <c r="E24" s="9" t="str">
        <f>IF(A24="","",SUMIFS('Raw Data'!D:D,'Raw Data'!H:H,A24,'Raw Data'!I:I,TEXT($A$4,"mmmm yyyy")))</f>
        <v/>
      </c>
      <c r="F24" s="10" t="str">
        <f>IF(A24="","",_xlfn.MAXIFS('Raw Data'!A:A,'Raw Data'!H:H,A24,'Raw Data'!I:I,TEXT($A$4,"mmmm yyyy")))</f>
        <v/>
      </c>
      <c r="G24" s="9" t="str">
        <f t="shared" si="0"/>
        <v/>
      </c>
      <c r="H24" s="9" t="str">
        <f t="shared" si="1"/>
        <v/>
      </c>
      <c r="L24" t="str">
        <v>DXB492425</v>
      </c>
    </row>
    <row r="25" spans="1:12" ht="20.100000000000001" customHeight="1" x14ac:dyDescent="0.25">
      <c r="A25" s="9"/>
      <c r="B25" s="9" t="str">
        <f>IF(A25="","",COUNTIFS('Raw Data'!H:H,A25,'Raw Data'!I:I,TEXT($A$4,"mmmm yyyy")))</f>
        <v/>
      </c>
      <c r="C25" s="9" t="str">
        <f>IF(A25="","",COUNTIFS('Raw Data'!H:H,A25,'Raw Data'!I:I,TEXT($A$4,"mmmm yyyy"),'Raw Data'!E:E,"Short"))</f>
        <v/>
      </c>
      <c r="D25" s="9" t="str">
        <f>IF(A25="","",COUNTIFS('Raw Data'!H:H,A25,'Raw Data'!I:I,TEXT($A$4,"mmmm yyyy"),'Raw Data'!E:E,"Excess"))</f>
        <v/>
      </c>
      <c r="E25" s="9" t="str">
        <f>IF(A25="","",SUMIFS('Raw Data'!D:D,'Raw Data'!H:H,A25,'Raw Data'!I:I,TEXT($A$4,"mmmm yyyy")))</f>
        <v/>
      </c>
      <c r="F25" s="10" t="str">
        <f>IF(A25="","",_xlfn.MAXIFS('Raw Data'!A:A,'Raw Data'!H:H,A25,'Raw Data'!I:I,TEXT($A$4,"mmmm yyyy")))</f>
        <v/>
      </c>
      <c r="G25" s="9" t="str">
        <f t="shared" si="0"/>
        <v/>
      </c>
      <c r="H25" s="9" t="str">
        <f t="shared" si="1"/>
        <v/>
      </c>
      <c r="L25" t="str">
        <v>DXB495322</v>
      </c>
    </row>
    <row r="26" spans="1:12" ht="20.100000000000001" customHeight="1" x14ac:dyDescent="0.25">
      <c r="A26" s="9"/>
      <c r="B26" s="9" t="str">
        <f>IF(A26="","",COUNTIFS('Raw Data'!H:H,A26,'Raw Data'!I:I,TEXT($A$4,"mmmm yyyy")))</f>
        <v/>
      </c>
      <c r="C26" s="9" t="str">
        <f>IF(A26="","",COUNTIFS('Raw Data'!H:H,A26,'Raw Data'!I:I,TEXT($A$4,"mmmm yyyy"),'Raw Data'!E:E,"Short"))</f>
        <v/>
      </c>
      <c r="D26" s="9" t="str">
        <f>IF(A26="","",COUNTIFS('Raw Data'!H:H,A26,'Raw Data'!I:I,TEXT($A$4,"mmmm yyyy"),'Raw Data'!E:E,"Excess"))</f>
        <v/>
      </c>
      <c r="E26" s="9" t="str">
        <f>IF(A26="","",SUMIFS('Raw Data'!D:D,'Raw Data'!H:H,A26,'Raw Data'!I:I,TEXT($A$4,"mmmm yyyy")))</f>
        <v/>
      </c>
      <c r="F26" s="10" t="str">
        <f>IF(A26="","",_xlfn.MAXIFS('Raw Data'!A:A,'Raw Data'!H:H,A26,'Raw Data'!I:I,TEXT($A$4,"mmmm yyyy")))</f>
        <v/>
      </c>
      <c r="G26" s="9" t="str">
        <f t="shared" si="0"/>
        <v/>
      </c>
      <c r="H26" s="9" t="str">
        <f t="shared" si="1"/>
        <v/>
      </c>
      <c r="L26" t="str">
        <v>DXB495322</v>
      </c>
    </row>
    <row r="27" spans="1:12" ht="20.100000000000001" customHeight="1" x14ac:dyDescent="0.25">
      <c r="A27" s="9"/>
      <c r="B27" s="9" t="str">
        <f>IF(A27="","",COUNTIFS('Raw Data'!H:H,A27,'Raw Data'!I:I,TEXT($A$4,"mmmm yyyy")))</f>
        <v/>
      </c>
      <c r="C27" s="9" t="str">
        <f>IF(A27="","",COUNTIFS('Raw Data'!H:H,A27,'Raw Data'!I:I,TEXT($A$4,"mmmm yyyy"),'Raw Data'!E:E,"Short"))</f>
        <v/>
      </c>
      <c r="D27" s="9" t="str">
        <f>IF(A27="","",COUNTIFS('Raw Data'!H:H,A27,'Raw Data'!I:I,TEXT($A$4,"mmmm yyyy"),'Raw Data'!E:E,"Excess"))</f>
        <v/>
      </c>
      <c r="E27" s="9" t="str">
        <f>IF(A27="","",SUMIFS('Raw Data'!D:D,'Raw Data'!H:H,A27,'Raw Data'!I:I,TEXT($A$4,"mmmm yyyy")))</f>
        <v/>
      </c>
      <c r="F27" s="10" t="str">
        <f>IF(A27="","",_xlfn.MAXIFS('Raw Data'!A:A,'Raw Data'!H:H,A27,'Raw Data'!I:I,TEXT($A$4,"mmmm yyyy")))</f>
        <v/>
      </c>
      <c r="G27" s="9" t="str">
        <f t="shared" si="0"/>
        <v/>
      </c>
      <c r="H27" s="9" t="str">
        <f t="shared" si="1"/>
        <v/>
      </c>
      <c r="L27" t="str">
        <v>DXB492425</v>
      </c>
    </row>
    <row r="28" spans="1:12" ht="20.100000000000001" customHeight="1" x14ac:dyDescent="0.25">
      <c r="A28" s="9"/>
      <c r="B28" s="9" t="str">
        <f>IF(A28="","",COUNTIFS('Raw Data'!H:H,A28,'Raw Data'!I:I,TEXT($A$4,"mmmm yyyy")))</f>
        <v/>
      </c>
      <c r="C28" s="9" t="str">
        <f>IF(A28="","",COUNTIFS('Raw Data'!H:H,A28,'Raw Data'!I:I,TEXT($A$4,"mmmm yyyy"),'Raw Data'!E:E,"Short"))</f>
        <v/>
      </c>
      <c r="D28" s="9" t="str">
        <f>IF(A28="","",COUNTIFS('Raw Data'!H:H,A28,'Raw Data'!I:I,TEXT($A$4,"mmmm yyyy"),'Raw Data'!E:E,"Excess"))</f>
        <v/>
      </c>
      <c r="E28" s="9" t="str">
        <f>IF(A28="","",SUMIFS('Raw Data'!D:D,'Raw Data'!H:H,A28,'Raw Data'!I:I,TEXT($A$4,"mmmm yyyy")))</f>
        <v/>
      </c>
      <c r="F28" s="10" t="str">
        <f>IF(A28="","",_xlfn.MAXIFS('Raw Data'!A:A,'Raw Data'!H:H,A28,'Raw Data'!I:I,TEXT($A$4,"mmmm yyyy")))</f>
        <v/>
      </c>
      <c r="G28" s="9" t="str">
        <f t="shared" si="0"/>
        <v/>
      </c>
      <c r="H28" s="9" t="str">
        <f t="shared" si="1"/>
        <v/>
      </c>
      <c r="L28" t="str">
        <v>DXB492425</v>
      </c>
    </row>
    <row r="29" spans="1:12" ht="20.100000000000001" customHeight="1" x14ac:dyDescent="0.25">
      <c r="A29" s="9"/>
      <c r="B29" s="9" t="str">
        <f>IF(A29="","",COUNTIFS('Raw Data'!H:H,A29,'Raw Data'!I:I,TEXT($A$4,"mmmm yyyy")))</f>
        <v/>
      </c>
      <c r="C29" s="9" t="str">
        <f>IF(A29="","",COUNTIFS('Raw Data'!H:H,A29,'Raw Data'!I:I,TEXT($A$4,"mmmm yyyy"),'Raw Data'!E:E,"Short"))</f>
        <v/>
      </c>
      <c r="D29" s="9" t="str">
        <f>IF(A29="","",COUNTIFS('Raw Data'!H:H,A29,'Raw Data'!I:I,TEXT($A$4,"mmmm yyyy"),'Raw Data'!E:E,"Excess"))</f>
        <v/>
      </c>
      <c r="E29" s="9" t="str">
        <f>IF(A29="","",SUMIFS('Raw Data'!D:D,'Raw Data'!H:H,A29,'Raw Data'!I:I,TEXT($A$4,"mmmm yyyy")))</f>
        <v/>
      </c>
      <c r="F29" s="10" t="str">
        <f>IF(A29="","",_xlfn.MAXIFS('Raw Data'!A:A,'Raw Data'!H:H,A29,'Raw Data'!I:I,TEXT($A$4,"mmmm yyyy")))</f>
        <v/>
      </c>
      <c r="G29" s="9" t="str">
        <f t="shared" si="0"/>
        <v/>
      </c>
      <c r="H29" s="9" t="str">
        <f t="shared" si="1"/>
        <v/>
      </c>
      <c r="L29" t="str">
        <v>DXB492425</v>
      </c>
    </row>
    <row r="30" spans="1:12" ht="20.100000000000001" customHeight="1" x14ac:dyDescent="0.25">
      <c r="A30" s="9"/>
      <c r="B30" s="9" t="str">
        <f>IF(A30="","",COUNTIFS('Raw Data'!H:H,A30,'Raw Data'!I:I,TEXT($A$4,"mmmm yyyy")))</f>
        <v/>
      </c>
      <c r="C30" s="9" t="str">
        <f>IF(A30="","",COUNTIFS('Raw Data'!H:H,A30,'Raw Data'!I:I,TEXT($A$4,"mmmm yyyy"),'Raw Data'!E:E,"Short"))</f>
        <v/>
      </c>
      <c r="D30" s="9" t="str">
        <f>IF(A30="","",COUNTIFS('Raw Data'!H:H,A30,'Raw Data'!I:I,TEXT($A$4,"mmmm yyyy"),'Raw Data'!E:E,"Excess"))</f>
        <v/>
      </c>
      <c r="E30" s="9" t="str">
        <f>IF(A30="","",SUMIFS('Raw Data'!D:D,'Raw Data'!H:H,A30,'Raw Data'!I:I,TEXT($A$4,"mmmm yyyy")))</f>
        <v/>
      </c>
      <c r="F30" s="10" t="str">
        <f>IF(A30="","",_xlfn.MAXIFS('Raw Data'!A:A,'Raw Data'!H:H,A30,'Raw Data'!I:I,TEXT($A$4,"mmmm yyyy")))</f>
        <v/>
      </c>
      <c r="G30" s="9" t="str">
        <f t="shared" si="0"/>
        <v/>
      </c>
      <c r="H30" s="9" t="str">
        <f t="shared" si="1"/>
        <v/>
      </c>
      <c r="L30" t="str">
        <v>DXB492425</v>
      </c>
    </row>
    <row r="31" spans="1:12" ht="20.100000000000001" customHeight="1" x14ac:dyDescent="0.25">
      <c r="A31" s="9"/>
      <c r="B31" s="9" t="str">
        <f>IF(A31="","",COUNTIFS('Raw Data'!H:H,A31,'Raw Data'!I:I,TEXT($A$4,"mmmm yyyy")))</f>
        <v/>
      </c>
      <c r="C31" s="9" t="str">
        <f>IF(A31="","",COUNTIFS('Raw Data'!H:H,A31,'Raw Data'!I:I,TEXT($A$4,"mmmm yyyy"),'Raw Data'!E:E,"Short"))</f>
        <v/>
      </c>
      <c r="D31" s="9" t="str">
        <f>IF(A31="","",COUNTIFS('Raw Data'!H:H,A31,'Raw Data'!I:I,TEXT($A$4,"mmmm yyyy"),'Raw Data'!E:E,"Excess"))</f>
        <v/>
      </c>
      <c r="E31" s="9" t="str">
        <f>IF(A31="","",SUMIFS('Raw Data'!D:D,'Raw Data'!H:H,A31,'Raw Data'!I:I,TEXT($A$4,"mmmm yyyy")))</f>
        <v/>
      </c>
      <c r="F31" s="10" t="str">
        <f>IF(A31="","",_xlfn.MAXIFS('Raw Data'!A:A,'Raw Data'!H:H,A31,'Raw Data'!I:I,TEXT($A$4,"mmmm yyyy")))</f>
        <v/>
      </c>
      <c r="G31" s="9" t="str">
        <f t="shared" si="0"/>
        <v/>
      </c>
      <c r="H31" s="9" t="str">
        <f t="shared" si="1"/>
        <v/>
      </c>
      <c r="L31" t="str">
        <v>DXB442324</v>
      </c>
    </row>
    <row r="32" spans="1:12" ht="20.100000000000001" customHeight="1" x14ac:dyDescent="0.25">
      <c r="A32" s="9"/>
      <c r="B32" s="9" t="str">
        <f>IF(A32="","",COUNTIFS('Raw Data'!H:H,A32,'Raw Data'!I:I,TEXT($A$4,"mmmm yyyy")))</f>
        <v/>
      </c>
      <c r="C32" s="9" t="str">
        <f>IF(A32="","",COUNTIFS('Raw Data'!H:H,A32,'Raw Data'!I:I,TEXT($A$4,"mmmm yyyy"),'Raw Data'!E:E,"Short"))</f>
        <v/>
      </c>
      <c r="D32" s="9" t="str">
        <f>IF(A32="","",COUNTIFS('Raw Data'!H:H,A32,'Raw Data'!I:I,TEXT($A$4,"mmmm yyyy"),'Raw Data'!E:E,"Excess"))</f>
        <v/>
      </c>
      <c r="E32" s="9" t="str">
        <f>IF(A32="","",SUMIFS('Raw Data'!D:D,'Raw Data'!H:H,A32,'Raw Data'!I:I,TEXT($A$4,"mmmm yyyy")))</f>
        <v/>
      </c>
      <c r="F32" s="10" t="str">
        <f>IF(A32="","",_xlfn.MAXIFS('Raw Data'!A:A,'Raw Data'!H:H,A32,'Raw Data'!I:I,TEXT($A$4,"mmmm yyyy")))</f>
        <v/>
      </c>
      <c r="G32" s="9" t="str">
        <f t="shared" si="0"/>
        <v/>
      </c>
      <c r="H32" s="9" t="str">
        <f t="shared" si="1"/>
        <v/>
      </c>
      <c r="L32" t="str">
        <v>DXB442324</v>
      </c>
    </row>
    <row r="33" spans="1:12" ht="20.100000000000001" customHeight="1" x14ac:dyDescent="0.25">
      <c r="A33" s="9"/>
      <c r="B33" s="9" t="str">
        <f>IF(A33="","",COUNTIFS('Raw Data'!H:H,A33,'Raw Data'!I:I,TEXT($A$4,"mmmm yyyy")))</f>
        <v/>
      </c>
      <c r="C33" s="9" t="str">
        <f>IF(A33="","",COUNTIFS('Raw Data'!H:H,A33,'Raw Data'!I:I,TEXT($A$4,"mmmm yyyy"),'Raw Data'!E:E,"Short"))</f>
        <v/>
      </c>
      <c r="D33" s="9" t="str">
        <f>IF(A33="","",COUNTIFS('Raw Data'!H:H,A33,'Raw Data'!I:I,TEXT($A$4,"mmmm yyyy"),'Raw Data'!E:E,"Excess"))</f>
        <v/>
      </c>
      <c r="E33" s="9" t="str">
        <f>IF(A33="","",SUMIFS('Raw Data'!D:D,'Raw Data'!H:H,A33,'Raw Data'!I:I,TEXT($A$4,"mmmm yyyy")))</f>
        <v/>
      </c>
      <c r="F33" s="10" t="str">
        <f>IF(A33="","",_xlfn.MAXIFS('Raw Data'!A:A,'Raw Data'!H:H,A33,'Raw Data'!I:I,TEXT($A$4,"mmmm yyyy")))</f>
        <v/>
      </c>
      <c r="G33" s="9" t="str">
        <f t="shared" si="0"/>
        <v/>
      </c>
      <c r="H33" s="9" t="str">
        <f t="shared" si="1"/>
        <v/>
      </c>
      <c r="L33" t="str">
        <v>DXB456417</v>
      </c>
    </row>
    <row r="34" spans="1:12" ht="20.100000000000001" customHeight="1" x14ac:dyDescent="0.25">
      <c r="A34" s="9"/>
      <c r="B34" s="9" t="str">
        <f>IF(A34="","",COUNTIFS('Raw Data'!H:H,A34,'Raw Data'!I:I,TEXT($A$4,"mmmm yyyy")))</f>
        <v/>
      </c>
      <c r="C34" s="9" t="str">
        <f>IF(A34="","",COUNTIFS('Raw Data'!H:H,A34,'Raw Data'!I:I,TEXT($A$4,"mmmm yyyy"),'Raw Data'!E:E,"Short"))</f>
        <v/>
      </c>
      <c r="D34" s="9" t="str">
        <f>IF(A34="","",COUNTIFS('Raw Data'!H:H,A34,'Raw Data'!I:I,TEXT($A$4,"mmmm yyyy"),'Raw Data'!E:E,"Excess"))</f>
        <v/>
      </c>
      <c r="E34" s="9" t="str">
        <f>IF(A34="","",SUMIFS('Raw Data'!D:D,'Raw Data'!H:H,A34,'Raw Data'!I:I,TEXT($A$4,"mmmm yyyy")))</f>
        <v/>
      </c>
      <c r="F34" s="10" t="str">
        <f>IF(A34="","",_xlfn.MAXIFS('Raw Data'!A:A,'Raw Data'!H:H,A34,'Raw Data'!I:I,TEXT($A$4,"mmmm yyyy")))</f>
        <v/>
      </c>
      <c r="G34" s="9" t="str">
        <f t="shared" si="0"/>
        <v/>
      </c>
      <c r="H34" s="9" t="str">
        <f t="shared" si="1"/>
        <v/>
      </c>
      <c r="L34" t="str">
        <v>DXB492425</v>
      </c>
    </row>
    <row r="35" spans="1:12" ht="20.100000000000001" customHeight="1" x14ac:dyDescent="0.25">
      <c r="A35" s="9"/>
      <c r="B35" s="9" t="str">
        <f>IF(A35="","",COUNTIFS('Raw Data'!H:H,A35,'Raw Data'!I:I,TEXT($A$4,"mmmm yyyy")))</f>
        <v/>
      </c>
      <c r="C35" s="9" t="str">
        <f>IF(A35="","",COUNTIFS('Raw Data'!H:H,A35,'Raw Data'!I:I,TEXT($A$4,"mmmm yyyy"),'Raw Data'!E:E,"Short"))</f>
        <v/>
      </c>
      <c r="D35" s="9" t="str">
        <f>IF(A35="","",COUNTIFS('Raw Data'!H:H,A35,'Raw Data'!I:I,TEXT($A$4,"mmmm yyyy"),'Raw Data'!E:E,"Excess"))</f>
        <v/>
      </c>
      <c r="E35" s="9" t="str">
        <f>IF(A35="","",SUMIFS('Raw Data'!D:D,'Raw Data'!H:H,A35,'Raw Data'!I:I,TEXT($A$4,"mmmm yyyy")))</f>
        <v/>
      </c>
      <c r="F35" s="10" t="str">
        <f>IF(A35="","",_xlfn.MAXIFS('Raw Data'!A:A,'Raw Data'!H:H,A35,'Raw Data'!I:I,TEXT($A$4,"mmmm yyyy")))</f>
        <v/>
      </c>
      <c r="G35" s="9" t="str">
        <f t="shared" si="0"/>
        <v/>
      </c>
      <c r="H35" s="9" t="str">
        <f t="shared" si="1"/>
        <v/>
      </c>
      <c r="L35" t="str">
        <v>DXB495322</v>
      </c>
    </row>
    <row r="36" spans="1:12" ht="20.100000000000001" customHeight="1" x14ac:dyDescent="0.25">
      <c r="A36" s="9"/>
      <c r="B36" s="9" t="str">
        <f>IF(A36="","",COUNTIFS('Raw Data'!H:H,A36,'Raw Data'!I:I,TEXT($A$4,"mmmm yyyy")))</f>
        <v/>
      </c>
      <c r="C36" s="9" t="str">
        <f>IF(A36="","",COUNTIFS('Raw Data'!H:H,A36,'Raw Data'!I:I,TEXT($A$4,"mmmm yyyy"),'Raw Data'!E:E,"Short"))</f>
        <v/>
      </c>
      <c r="D36" s="9" t="str">
        <f>IF(A36="","",COUNTIFS('Raw Data'!H:H,A36,'Raw Data'!I:I,TEXT($A$4,"mmmm yyyy"),'Raw Data'!E:E,"Excess"))</f>
        <v/>
      </c>
      <c r="E36" s="9" t="str">
        <f>IF(A36="","",SUMIFS('Raw Data'!D:D,'Raw Data'!H:H,A36,'Raw Data'!I:I,TEXT($A$4,"mmmm yyyy")))</f>
        <v/>
      </c>
      <c r="F36" s="10" t="str">
        <f>IF(A36="","",_xlfn.MAXIFS('Raw Data'!A:A,'Raw Data'!H:H,A36,'Raw Data'!I:I,TEXT($A$4,"mmmm yyyy")))</f>
        <v/>
      </c>
      <c r="G36" s="9" t="str">
        <f t="shared" si="0"/>
        <v/>
      </c>
      <c r="H36" s="9" t="str">
        <f t="shared" si="1"/>
        <v/>
      </c>
      <c r="L36" t="str">
        <v>DXB442324</v>
      </c>
    </row>
    <row r="37" spans="1:12" ht="20.100000000000001" customHeight="1" x14ac:dyDescent="0.25">
      <c r="A37" s="9"/>
      <c r="B37" s="9" t="str">
        <f>IF(A37="","",COUNTIFS('Raw Data'!H:H,A37,'Raw Data'!I:I,TEXT($A$4,"mmmm yyyy")))</f>
        <v/>
      </c>
      <c r="C37" s="9" t="str">
        <f>IF(A37="","",COUNTIFS('Raw Data'!H:H,A37,'Raw Data'!I:I,TEXT($A$4,"mmmm yyyy"),'Raw Data'!E:E,"Short"))</f>
        <v/>
      </c>
      <c r="D37" s="9" t="str">
        <f>IF(A37="","",COUNTIFS('Raw Data'!H:H,A37,'Raw Data'!I:I,TEXT($A$4,"mmmm yyyy"),'Raw Data'!E:E,"Excess"))</f>
        <v/>
      </c>
      <c r="E37" s="9" t="str">
        <f>IF(A37="","",SUMIFS('Raw Data'!D:D,'Raw Data'!H:H,A37,'Raw Data'!I:I,TEXT($A$4,"mmmm yyyy")))</f>
        <v/>
      </c>
      <c r="F37" s="10" t="str">
        <f>IF(A37="","",_xlfn.MAXIFS('Raw Data'!A:A,'Raw Data'!H:H,A37,'Raw Data'!I:I,TEXT($A$4,"mmmm yyyy")))</f>
        <v/>
      </c>
      <c r="G37" s="9" t="str">
        <f t="shared" si="0"/>
        <v/>
      </c>
      <c r="H37" s="9" t="str">
        <f t="shared" si="1"/>
        <v/>
      </c>
      <c r="L37" t="str">
        <v>DXB492425</v>
      </c>
    </row>
    <row r="38" spans="1:12" ht="20.100000000000001" customHeight="1" x14ac:dyDescent="0.25">
      <c r="A38" s="9"/>
      <c r="B38" s="9" t="str">
        <f>IF(A38="","",COUNTIFS('Raw Data'!H:H,A38,'Raw Data'!I:I,TEXT($A$4,"mmmm yyyy")))</f>
        <v/>
      </c>
      <c r="C38" s="9" t="str">
        <f>IF(A38="","",COUNTIFS('Raw Data'!H:H,A38,'Raw Data'!I:I,TEXT($A$4,"mmmm yyyy"),'Raw Data'!E:E,"Short"))</f>
        <v/>
      </c>
      <c r="D38" s="9" t="str">
        <f>IF(A38="","",COUNTIFS('Raw Data'!H:H,A38,'Raw Data'!I:I,TEXT($A$4,"mmmm yyyy"),'Raw Data'!E:E,"Excess"))</f>
        <v/>
      </c>
      <c r="E38" s="9" t="str">
        <f>IF(A38="","",SUMIFS('Raw Data'!D:D,'Raw Data'!H:H,A38,'Raw Data'!I:I,TEXT($A$4,"mmmm yyyy")))</f>
        <v/>
      </c>
      <c r="F38" s="10" t="str">
        <f>IF(A38="","",_xlfn.MAXIFS('Raw Data'!A:A,'Raw Data'!H:H,A38,'Raw Data'!I:I,TEXT($A$4,"mmmm yyyy")))</f>
        <v/>
      </c>
      <c r="G38" s="9" t="str">
        <f t="shared" si="0"/>
        <v/>
      </c>
      <c r="H38" s="9" t="str">
        <f t="shared" si="1"/>
        <v/>
      </c>
      <c r="L38" t="str">
        <v>DXB492425</v>
      </c>
    </row>
    <row r="39" spans="1:12" ht="20.100000000000001" customHeight="1" x14ac:dyDescent="0.25">
      <c r="A39" s="9"/>
      <c r="B39" s="9" t="str">
        <f>IF(A39="","",COUNTIFS('Raw Data'!H:H,A39,'Raw Data'!I:I,TEXT($A$4,"mmmm yyyy")))</f>
        <v/>
      </c>
      <c r="C39" s="9" t="str">
        <f>IF(A39="","",COUNTIFS('Raw Data'!H:H,A39,'Raw Data'!I:I,TEXT($A$4,"mmmm yyyy"),'Raw Data'!E:E,"Short"))</f>
        <v/>
      </c>
      <c r="D39" s="9" t="str">
        <f>IF(A39="","",COUNTIFS('Raw Data'!H:H,A39,'Raw Data'!I:I,TEXT($A$4,"mmmm yyyy"),'Raw Data'!E:E,"Excess"))</f>
        <v/>
      </c>
      <c r="E39" s="9" t="str">
        <f>IF(A39="","",SUMIFS('Raw Data'!D:D,'Raw Data'!H:H,A39,'Raw Data'!I:I,TEXT($A$4,"mmmm yyyy")))</f>
        <v/>
      </c>
      <c r="F39" s="10" t="str">
        <f>IF(A39="","",_xlfn.MAXIFS('Raw Data'!A:A,'Raw Data'!H:H,A39,'Raw Data'!I:I,TEXT($A$4,"mmmm yyyy")))</f>
        <v/>
      </c>
      <c r="G39" s="9" t="str">
        <f t="shared" ref="G39:G70" si="2">IF(A39="","",IF(C39&gt;D39,"Short",IF(D39&gt;C39,"Excess", "Equal")))</f>
        <v/>
      </c>
      <c r="H39" s="9" t="str">
        <f t="shared" si="1"/>
        <v/>
      </c>
      <c r="L39" t="str">
        <v>DXB456417</v>
      </c>
    </row>
    <row r="40" spans="1:12" ht="20.100000000000001" customHeight="1" x14ac:dyDescent="0.25">
      <c r="A40" s="9"/>
      <c r="B40" s="9" t="str">
        <f>IF(A40="","",COUNTIFS('Raw Data'!H:H,A40,'Raw Data'!I:I,TEXT($A$4,"mmmm yyyy")))</f>
        <v/>
      </c>
      <c r="C40" s="9" t="str">
        <f>IF(A40="","",COUNTIFS('Raw Data'!H:H,A40,'Raw Data'!I:I,TEXT($A$4,"mmmm yyyy"),'Raw Data'!E:E,"Short"))</f>
        <v/>
      </c>
      <c r="D40" s="9" t="str">
        <f>IF(A40="","",COUNTIFS('Raw Data'!H:H,A40,'Raw Data'!I:I,TEXT($A$4,"mmmm yyyy"),'Raw Data'!E:E,"Excess"))</f>
        <v/>
      </c>
      <c r="E40" s="9" t="str">
        <f>IF(A40="","",SUMIFS('Raw Data'!D:D,'Raw Data'!H:H,A40,'Raw Data'!I:I,TEXT($A$4,"mmmm yyyy")))</f>
        <v/>
      </c>
      <c r="F40" s="10" t="str">
        <f>IF(A40="","",_xlfn.MAXIFS('Raw Data'!A:A,'Raw Data'!H:H,A40,'Raw Data'!I:I,TEXT($A$4,"mmmm yyyy")))</f>
        <v/>
      </c>
      <c r="G40" s="9" t="str">
        <f t="shared" si="2"/>
        <v/>
      </c>
      <c r="H40" s="9" t="str">
        <f t="shared" si="1"/>
        <v/>
      </c>
      <c r="L40" t="str">
        <v>DXB456417</v>
      </c>
    </row>
    <row r="41" spans="1:12" ht="20.100000000000001" customHeight="1" x14ac:dyDescent="0.25">
      <c r="A41" s="9"/>
      <c r="B41" s="9" t="str">
        <f>IF(A41="","",COUNTIFS('Raw Data'!H:H,A41,'Raw Data'!I:I,TEXT($A$4,"mmmm yyyy")))</f>
        <v/>
      </c>
      <c r="C41" s="9" t="str">
        <f>IF(A41="","",COUNTIFS('Raw Data'!H:H,A41,'Raw Data'!I:I,TEXT($A$4,"mmmm yyyy"),'Raw Data'!E:E,"Short"))</f>
        <v/>
      </c>
      <c r="D41" s="9" t="str">
        <f>IF(A41="","",COUNTIFS('Raw Data'!H:H,A41,'Raw Data'!I:I,TEXT($A$4,"mmmm yyyy"),'Raw Data'!E:E,"Excess"))</f>
        <v/>
      </c>
      <c r="E41" s="9" t="str">
        <f>IF(A41="","",SUMIFS('Raw Data'!D:D,'Raw Data'!H:H,A41,'Raw Data'!I:I,TEXT($A$4,"mmmm yyyy")))</f>
        <v/>
      </c>
      <c r="F41" s="10" t="str">
        <f>IF(A41="","",_xlfn.MAXIFS('Raw Data'!A:A,'Raw Data'!H:H,A41,'Raw Data'!I:I,TEXT($A$4,"mmmm yyyy")))</f>
        <v/>
      </c>
      <c r="G41" s="9" t="str">
        <f t="shared" si="2"/>
        <v/>
      </c>
      <c r="H41" s="9" t="str">
        <f t="shared" si="1"/>
        <v/>
      </c>
      <c r="L41" t="str">
        <v>DXB456417</v>
      </c>
    </row>
    <row r="42" spans="1:12" ht="20.100000000000001" customHeight="1" x14ac:dyDescent="0.25">
      <c r="A42" s="9"/>
      <c r="B42" s="9" t="str">
        <f>IF(A42="","",COUNTIFS('Raw Data'!H:H,A42,'Raw Data'!I:I,TEXT($A$4,"mmmm yyyy")))</f>
        <v/>
      </c>
      <c r="C42" s="9" t="str">
        <f>IF(A42="","",COUNTIFS('Raw Data'!H:H,A42,'Raw Data'!I:I,TEXT($A$4,"mmmm yyyy"),'Raw Data'!E:E,"Short"))</f>
        <v/>
      </c>
      <c r="D42" s="9" t="str">
        <f>IF(A42="","",COUNTIFS('Raw Data'!H:H,A42,'Raw Data'!I:I,TEXT($A$4,"mmmm yyyy"),'Raw Data'!E:E,"Excess"))</f>
        <v/>
      </c>
      <c r="E42" s="9" t="str">
        <f>IF(A42="","",SUMIFS('Raw Data'!D:D,'Raw Data'!H:H,A42,'Raw Data'!I:I,TEXT($A$4,"mmmm yyyy")))</f>
        <v/>
      </c>
      <c r="F42" s="10" t="str">
        <f>IF(A42="","",_xlfn.MAXIFS('Raw Data'!A:A,'Raw Data'!H:H,A42,'Raw Data'!I:I,TEXT($A$4,"mmmm yyyy")))</f>
        <v/>
      </c>
      <c r="G42" s="9" t="str">
        <f t="shared" si="2"/>
        <v/>
      </c>
      <c r="H42" s="9" t="str">
        <f t="shared" si="1"/>
        <v/>
      </c>
      <c r="L42" t="str">
        <v>DXB492425</v>
      </c>
    </row>
    <row r="43" spans="1:12" ht="20.100000000000001" customHeight="1" x14ac:dyDescent="0.25">
      <c r="A43" s="9"/>
      <c r="B43" s="9" t="str">
        <f>IF(A43="","",COUNTIFS('Raw Data'!H:H,A43,'Raw Data'!I:I,TEXT($A$4,"mmmm yyyy")))</f>
        <v/>
      </c>
      <c r="C43" s="9" t="str">
        <f>IF(A43="","",COUNTIFS('Raw Data'!H:H,A43,'Raw Data'!I:I,TEXT($A$4,"mmmm yyyy"),'Raw Data'!E:E,"Short"))</f>
        <v/>
      </c>
      <c r="D43" s="9" t="str">
        <f>IF(A43="","",COUNTIFS('Raw Data'!H:H,A43,'Raw Data'!I:I,TEXT($A$4,"mmmm yyyy"),'Raw Data'!E:E,"Excess"))</f>
        <v/>
      </c>
      <c r="E43" s="9" t="str">
        <f>IF(A43="","",SUMIFS('Raw Data'!D:D,'Raw Data'!H:H,A43,'Raw Data'!I:I,TEXT($A$4,"mmmm yyyy")))</f>
        <v/>
      </c>
      <c r="F43" s="10" t="str">
        <f>IF(A43="","",_xlfn.MAXIFS('Raw Data'!A:A,'Raw Data'!H:H,A43,'Raw Data'!I:I,TEXT($A$4,"mmmm yyyy")))</f>
        <v/>
      </c>
      <c r="G43" s="9" t="str">
        <f t="shared" si="2"/>
        <v/>
      </c>
      <c r="H43" s="9" t="str">
        <f t="shared" si="1"/>
        <v/>
      </c>
      <c r="L43" t="str">
        <v>DXB492425</v>
      </c>
    </row>
    <row r="44" spans="1:12" ht="20.100000000000001" customHeight="1" x14ac:dyDescent="0.25">
      <c r="A44" s="9"/>
      <c r="B44" s="9" t="str">
        <f>IF(A44="","",COUNTIFS('Raw Data'!H:H,A44,'Raw Data'!I:I,TEXT($A$4,"mmmm yyyy")))</f>
        <v/>
      </c>
      <c r="C44" s="9" t="str">
        <f>IF(A44="","",COUNTIFS('Raw Data'!H:H,A44,'Raw Data'!I:I,TEXT($A$4,"mmmm yyyy"),'Raw Data'!E:E,"Short"))</f>
        <v/>
      </c>
      <c r="D44" s="9" t="str">
        <f>IF(A44="","",COUNTIFS('Raw Data'!H:H,A44,'Raw Data'!I:I,TEXT($A$4,"mmmm yyyy"),'Raw Data'!E:E,"Excess"))</f>
        <v/>
      </c>
      <c r="E44" s="9" t="str">
        <f>IF(A44="","",SUMIFS('Raw Data'!D:D,'Raw Data'!H:H,A44,'Raw Data'!I:I,TEXT($A$4,"mmmm yyyy")))</f>
        <v/>
      </c>
      <c r="F44" s="10" t="str">
        <f>IF(A44="","",_xlfn.MAXIFS('Raw Data'!A:A,'Raw Data'!H:H,A44,'Raw Data'!I:I,TEXT($A$4,"mmmm yyyy")))</f>
        <v/>
      </c>
      <c r="G44" s="9" t="str">
        <f t="shared" si="2"/>
        <v/>
      </c>
      <c r="H44" s="9" t="str">
        <f t="shared" si="1"/>
        <v/>
      </c>
      <c r="L44" t="str">
        <v>DXB442324</v>
      </c>
    </row>
    <row r="45" spans="1:12" ht="20.100000000000001" customHeight="1" x14ac:dyDescent="0.25">
      <c r="A45" s="9"/>
      <c r="B45" s="9" t="str">
        <f>IF(A45="","",COUNTIFS('Raw Data'!H:H,A45,'Raw Data'!I:I,TEXT($A$4,"mmmm yyyy")))</f>
        <v/>
      </c>
      <c r="C45" s="9" t="str">
        <f>IF(A45="","",COUNTIFS('Raw Data'!H:H,A45,'Raw Data'!I:I,TEXT($A$4,"mmmm yyyy"),'Raw Data'!E:E,"Short"))</f>
        <v/>
      </c>
      <c r="D45" s="9" t="str">
        <f>IF(A45="","",COUNTIFS('Raw Data'!H:H,A45,'Raw Data'!I:I,TEXT($A$4,"mmmm yyyy"),'Raw Data'!E:E,"Excess"))</f>
        <v/>
      </c>
      <c r="E45" s="9" t="str">
        <f>IF(A45="","",SUMIFS('Raw Data'!D:D,'Raw Data'!H:H,A45,'Raw Data'!I:I,TEXT($A$4,"mmmm yyyy")))</f>
        <v/>
      </c>
      <c r="F45" s="10" t="str">
        <f>IF(A45="","",_xlfn.MAXIFS('Raw Data'!A:A,'Raw Data'!H:H,A45,'Raw Data'!I:I,TEXT($A$4,"mmmm yyyy")))</f>
        <v/>
      </c>
      <c r="G45" s="9" t="str">
        <f t="shared" si="2"/>
        <v/>
      </c>
      <c r="H45" s="9" t="str">
        <f t="shared" si="1"/>
        <v/>
      </c>
      <c r="L45" t="str">
        <v>DXB442324</v>
      </c>
    </row>
    <row r="46" spans="1:12" ht="20.100000000000001" customHeight="1" x14ac:dyDescent="0.25">
      <c r="A46" s="9"/>
      <c r="B46" s="9" t="str">
        <f>IF(A46="","",COUNTIFS('Raw Data'!H:H,A46,'Raw Data'!I:I,TEXT($A$4,"mmmm yyyy")))</f>
        <v/>
      </c>
      <c r="C46" s="9" t="str">
        <f>IF(A46="","",COUNTIFS('Raw Data'!H:H,A46,'Raw Data'!I:I,TEXT($A$4,"mmmm yyyy"),'Raw Data'!E:E,"Short"))</f>
        <v/>
      </c>
      <c r="D46" s="9" t="str">
        <f>IF(A46="","",COUNTIFS('Raw Data'!H:H,A46,'Raw Data'!I:I,TEXT($A$4,"mmmm yyyy"),'Raw Data'!E:E,"Excess"))</f>
        <v/>
      </c>
      <c r="E46" s="9" t="str">
        <f>IF(A46="","",SUMIFS('Raw Data'!D:D,'Raw Data'!H:H,A46,'Raw Data'!I:I,TEXT($A$4,"mmmm yyyy")))</f>
        <v/>
      </c>
      <c r="F46" s="10" t="str">
        <f>IF(A46="","",_xlfn.MAXIFS('Raw Data'!A:A,'Raw Data'!H:H,A46,'Raw Data'!I:I,TEXT($A$4,"mmmm yyyy")))</f>
        <v/>
      </c>
      <c r="G46" s="9" t="str">
        <f t="shared" si="2"/>
        <v/>
      </c>
      <c r="H46" s="9" t="str">
        <f t="shared" si="1"/>
        <v/>
      </c>
      <c r="L46" t="str">
        <v>DXB495322</v>
      </c>
    </row>
    <row r="47" spans="1:12" ht="20.100000000000001" customHeight="1" x14ac:dyDescent="0.25">
      <c r="A47" s="9"/>
      <c r="B47" s="9" t="str">
        <f>IF(A47="","",COUNTIFS('Raw Data'!H:H,A47,'Raw Data'!I:I,TEXT($A$4,"mmmm yyyy")))</f>
        <v/>
      </c>
      <c r="C47" s="9" t="str">
        <f>IF(A47="","",COUNTIFS('Raw Data'!H:H,A47,'Raw Data'!I:I,TEXT($A$4,"mmmm yyyy"),'Raw Data'!E:E,"Short"))</f>
        <v/>
      </c>
      <c r="D47" s="9" t="str">
        <f>IF(A47="","",COUNTIFS('Raw Data'!H:H,A47,'Raw Data'!I:I,TEXT($A$4,"mmmm yyyy"),'Raw Data'!E:E,"Excess"))</f>
        <v/>
      </c>
      <c r="E47" s="9" t="str">
        <f>IF(A47="","",SUMIFS('Raw Data'!D:D,'Raw Data'!H:H,A47,'Raw Data'!I:I,TEXT($A$4,"mmmm yyyy")))</f>
        <v/>
      </c>
      <c r="F47" s="10" t="str">
        <f>IF(A47="","",_xlfn.MAXIFS('Raw Data'!A:A,'Raw Data'!H:H,A47,'Raw Data'!I:I,TEXT($A$4,"mmmm yyyy")))</f>
        <v/>
      </c>
      <c r="G47" s="9" t="str">
        <f t="shared" si="2"/>
        <v/>
      </c>
      <c r="H47" s="9" t="str">
        <f t="shared" si="1"/>
        <v/>
      </c>
      <c r="L47" t="str">
        <v>DXB495322</v>
      </c>
    </row>
    <row r="48" spans="1:12" ht="20.100000000000001" customHeight="1" x14ac:dyDescent="0.25">
      <c r="A48" s="9"/>
      <c r="B48" s="9" t="str">
        <f>IF(A48="","",COUNTIFS('Raw Data'!H:H,A48,'Raw Data'!I:I,TEXT($A$4,"mmmm yyyy")))</f>
        <v/>
      </c>
      <c r="C48" s="9" t="str">
        <f>IF(A48="","",COUNTIFS('Raw Data'!H:H,A48,'Raw Data'!I:I,TEXT($A$4,"mmmm yyyy"),'Raw Data'!E:E,"Short"))</f>
        <v/>
      </c>
      <c r="D48" s="9" t="str">
        <f>IF(A48="","",COUNTIFS('Raw Data'!H:H,A48,'Raw Data'!I:I,TEXT($A$4,"mmmm yyyy"),'Raw Data'!E:E,"Excess"))</f>
        <v/>
      </c>
      <c r="E48" s="9" t="str">
        <f>IF(A48="","",SUMIFS('Raw Data'!D:D,'Raw Data'!H:H,A48,'Raw Data'!I:I,TEXT($A$4,"mmmm yyyy")))</f>
        <v/>
      </c>
      <c r="F48" s="10" t="str">
        <f>IF(A48="","",_xlfn.MAXIFS('Raw Data'!A:A,'Raw Data'!H:H,A48,'Raw Data'!I:I,TEXT($A$4,"mmmm yyyy")))</f>
        <v/>
      </c>
      <c r="G48" s="9" t="str">
        <f t="shared" si="2"/>
        <v/>
      </c>
      <c r="H48" s="9" t="str">
        <f t="shared" si="1"/>
        <v/>
      </c>
      <c r="L48" t="str">
        <v>DXB442324</v>
      </c>
    </row>
    <row r="49" spans="1:12" ht="20.100000000000001" customHeight="1" x14ac:dyDescent="0.25">
      <c r="A49" s="9"/>
      <c r="B49" s="9" t="str">
        <f>IF(A49="","",COUNTIFS('Raw Data'!H:H,A49,'Raw Data'!I:I,TEXT($A$4,"mmmm yyyy")))</f>
        <v/>
      </c>
      <c r="C49" s="9" t="str">
        <f>IF(A49="","",COUNTIFS('Raw Data'!H:H,A49,'Raw Data'!I:I,TEXT($A$4,"mmmm yyyy"),'Raw Data'!E:E,"Short"))</f>
        <v/>
      </c>
      <c r="D49" s="9" t="str">
        <f>IF(A49="","",COUNTIFS('Raw Data'!H:H,A49,'Raw Data'!I:I,TEXT($A$4,"mmmm yyyy"),'Raw Data'!E:E,"Excess"))</f>
        <v/>
      </c>
      <c r="E49" s="9" t="str">
        <f>IF(A49="","",SUMIFS('Raw Data'!D:D,'Raw Data'!H:H,A49,'Raw Data'!I:I,TEXT($A$4,"mmmm yyyy")))</f>
        <v/>
      </c>
      <c r="F49" s="10" t="str">
        <f>IF(A49="","",_xlfn.MAXIFS('Raw Data'!A:A,'Raw Data'!H:H,A49,'Raw Data'!I:I,TEXT($A$4,"mmmm yyyy")))</f>
        <v/>
      </c>
      <c r="G49" s="9" t="str">
        <f t="shared" si="2"/>
        <v/>
      </c>
      <c r="H49" s="9" t="str">
        <f t="shared" si="1"/>
        <v/>
      </c>
      <c r="L49" t="str">
        <v>DXB442324</v>
      </c>
    </row>
    <row r="50" spans="1:12" ht="20.100000000000001" customHeight="1" x14ac:dyDescent="0.25">
      <c r="A50" s="9"/>
      <c r="B50" s="9" t="str">
        <f>IF(A50="","",COUNTIFS('Raw Data'!H:H,A50,'Raw Data'!I:I,TEXT($A$4,"mmmm yyyy")))</f>
        <v/>
      </c>
      <c r="C50" s="9" t="str">
        <f>IF(A50="","",COUNTIFS('Raw Data'!H:H,A50,'Raw Data'!I:I,TEXT($A$4,"mmmm yyyy"),'Raw Data'!E:E,"Short"))</f>
        <v/>
      </c>
      <c r="D50" s="9" t="str">
        <f>IF(A50="","",COUNTIFS('Raw Data'!H:H,A50,'Raw Data'!I:I,TEXT($A$4,"mmmm yyyy"),'Raw Data'!E:E,"Excess"))</f>
        <v/>
      </c>
      <c r="E50" s="9" t="str">
        <f>IF(A50="","",SUMIFS('Raw Data'!D:D,'Raw Data'!H:H,A50,'Raw Data'!I:I,TEXT($A$4,"mmmm yyyy")))</f>
        <v/>
      </c>
      <c r="F50" s="10" t="str">
        <f>IF(A50="","",_xlfn.MAXIFS('Raw Data'!A:A,'Raw Data'!H:H,A50,'Raw Data'!I:I,TEXT($A$4,"mmmm yyyy")))</f>
        <v/>
      </c>
      <c r="G50" s="9" t="str">
        <f t="shared" si="2"/>
        <v/>
      </c>
      <c r="H50" s="9" t="str">
        <f t="shared" si="1"/>
        <v/>
      </c>
      <c r="L50" t="str">
        <v>DXB442324</v>
      </c>
    </row>
    <row r="51" spans="1:12" ht="20.100000000000001" customHeight="1" x14ac:dyDescent="0.25">
      <c r="A51" s="9"/>
      <c r="B51" s="9" t="str">
        <f>IF(A51="","",COUNTIFS('Raw Data'!H:H,A51,'Raw Data'!I:I,TEXT($A$4,"mmmm yyyy")))</f>
        <v/>
      </c>
      <c r="C51" s="9" t="str">
        <f>IF(A51="","",COUNTIFS('Raw Data'!H:H,A51,'Raw Data'!I:I,TEXT($A$4,"mmmm yyyy"),'Raw Data'!E:E,"Short"))</f>
        <v/>
      </c>
      <c r="D51" s="9" t="str">
        <f>IF(A51="","",COUNTIFS('Raw Data'!H:H,A51,'Raw Data'!I:I,TEXT($A$4,"mmmm yyyy"),'Raw Data'!E:E,"Excess"))</f>
        <v/>
      </c>
      <c r="E51" s="9" t="str">
        <f>IF(A51="","",SUMIFS('Raw Data'!D:D,'Raw Data'!H:H,A51,'Raw Data'!I:I,TEXT($A$4,"mmmm yyyy")))</f>
        <v/>
      </c>
      <c r="F51" s="10" t="str">
        <f>IF(A51="","",_xlfn.MAXIFS('Raw Data'!A:A,'Raw Data'!H:H,A51,'Raw Data'!I:I,TEXT($A$4,"mmmm yyyy")))</f>
        <v/>
      </c>
      <c r="G51" s="9" t="str">
        <f t="shared" si="2"/>
        <v/>
      </c>
      <c r="H51" s="9" t="str">
        <f t="shared" si="1"/>
        <v/>
      </c>
      <c r="L51" t="str">
        <v>DXB442324</v>
      </c>
    </row>
    <row r="52" spans="1:12" ht="20.100000000000001" customHeight="1" x14ac:dyDescent="0.25">
      <c r="A52" s="9"/>
      <c r="B52" s="9" t="str">
        <f>IF(A52="","",COUNTIFS('Raw Data'!H:H,A52,'Raw Data'!I:I,TEXT($A$4,"mmmm yyyy")))</f>
        <v/>
      </c>
      <c r="C52" s="9" t="str">
        <f>IF(A52="","",COUNTIFS('Raw Data'!H:H,A52,'Raw Data'!I:I,TEXT($A$4,"mmmm yyyy"),'Raw Data'!E:E,"Short"))</f>
        <v/>
      </c>
      <c r="D52" s="9" t="str">
        <f>IF(A52="","",COUNTIFS('Raw Data'!H:H,A52,'Raw Data'!I:I,TEXT($A$4,"mmmm yyyy"),'Raw Data'!E:E,"Excess"))</f>
        <v/>
      </c>
      <c r="E52" s="9" t="str">
        <f>IF(A52="","",SUMIFS('Raw Data'!D:D,'Raw Data'!H:H,A52,'Raw Data'!I:I,TEXT($A$4,"mmmm yyyy")))</f>
        <v/>
      </c>
      <c r="F52" s="10" t="str">
        <f>IF(A52="","",_xlfn.MAXIFS('Raw Data'!A:A,'Raw Data'!H:H,A52,'Raw Data'!I:I,TEXT($A$4,"mmmm yyyy")))</f>
        <v/>
      </c>
      <c r="G52" s="9" t="str">
        <f t="shared" si="2"/>
        <v/>
      </c>
      <c r="H52" s="9" t="str">
        <f t="shared" si="1"/>
        <v/>
      </c>
      <c r="L52" t="str">
        <v>DXB492425</v>
      </c>
    </row>
    <row r="53" spans="1:12" ht="20.100000000000001" customHeight="1" x14ac:dyDescent="0.25">
      <c r="A53" s="9"/>
      <c r="B53" s="9" t="str">
        <f>IF(A53="","",COUNTIFS('Raw Data'!H:H,A53,'Raw Data'!I:I,TEXT($A$4,"mmmm yyyy")))</f>
        <v/>
      </c>
      <c r="C53" s="9" t="str">
        <f>IF(A53="","",COUNTIFS('Raw Data'!H:H,A53,'Raw Data'!I:I,TEXT($A$4,"mmmm yyyy"),'Raw Data'!E:E,"Short"))</f>
        <v/>
      </c>
      <c r="D53" s="9" t="str">
        <f>IF(A53="","",COUNTIFS('Raw Data'!H:H,A53,'Raw Data'!I:I,TEXT($A$4,"mmmm yyyy"),'Raw Data'!E:E,"Excess"))</f>
        <v/>
      </c>
      <c r="E53" s="9" t="str">
        <f>IF(A53="","",SUMIFS('Raw Data'!D:D,'Raw Data'!H:H,A53,'Raw Data'!I:I,TEXT($A$4,"mmmm yyyy")))</f>
        <v/>
      </c>
      <c r="F53" s="10" t="str">
        <f>IF(A53="","",_xlfn.MAXIFS('Raw Data'!A:A,'Raw Data'!H:H,A53,'Raw Data'!I:I,TEXT($A$4,"mmmm yyyy")))</f>
        <v/>
      </c>
      <c r="G53" s="9" t="str">
        <f t="shared" si="2"/>
        <v/>
      </c>
      <c r="H53" s="9" t="str">
        <f t="shared" si="1"/>
        <v/>
      </c>
      <c r="L53" t="str">
        <v>DXB501183</v>
      </c>
    </row>
    <row r="54" spans="1:12" ht="20.100000000000001" customHeight="1" x14ac:dyDescent="0.25">
      <c r="A54" s="9"/>
      <c r="B54" s="9" t="str">
        <f>IF(A54="","",COUNTIFS('Raw Data'!H:H,A54,'Raw Data'!I:I,TEXT($A$4,"mmmm yyyy")))</f>
        <v/>
      </c>
      <c r="C54" s="9" t="str">
        <f>IF(A54="","",COUNTIFS('Raw Data'!H:H,A54,'Raw Data'!I:I,TEXT($A$4,"mmmm yyyy"),'Raw Data'!E:E,"Short"))</f>
        <v/>
      </c>
      <c r="D54" s="9" t="str">
        <f>IF(A54="","",COUNTIFS('Raw Data'!H:H,A54,'Raw Data'!I:I,TEXT($A$4,"mmmm yyyy"),'Raw Data'!E:E,"Excess"))</f>
        <v/>
      </c>
      <c r="E54" s="9" t="str">
        <f>IF(A54="","",SUMIFS('Raw Data'!D:D,'Raw Data'!H:H,A54,'Raw Data'!I:I,TEXT($A$4,"mmmm yyyy")))</f>
        <v/>
      </c>
      <c r="F54" s="10" t="str">
        <f>IF(A54="","",_xlfn.MAXIFS('Raw Data'!A:A,'Raw Data'!H:H,A54,'Raw Data'!I:I,TEXT($A$4,"mmmm yyyy")))</f>
        <v/>
      </c>
      <c r="G54" s="9" t="str">
        <f t="shared" si="2"/>
        <v/>
      </c>
      <c r="H54" s="9" t="str">
        <f t="shared" si="1"/>
        <v/>
      </c>
      <c r="L54" t="str">
        <v>DXB501183</v>
      </c>
    </row>
    <row r="55" spans="1:12" ht="20.100000000000001" customHeight="1" x14ac:dyDescent="0.25">
      <c r="A55" s="9"/>
      <c r="B55" s="9" t="str">
        <f>IF(A55="","",COUNTIFS('Raw Data'!H:H,A55,'Raw Data'!I:I,TEXT($A$4,"mmmm yyyy")))</f>
        <v/>
      </c>
      <c r="C55" s="9" t="str">
        <f>IF(A55="","",COUNTIFS('Raw Data'!H:H,A55,'Raw Data'!I:I,TEXT($A$4,"mmmm yyyy"),'Raw Data'!E:E,"Short"))</f>
        <v/>
      </c>
      <c r="D55" s="9" t="str">
        <f>IF(A55="","",COUNTIFS('Raw Data'!H:H,A55,'Raw Data'!I:I,TEXT($A$4,"mmmm yyyy"),'Raw Data'!E:E,"Excess"))</f>
        <v/>
      </c>
      <c r="E55" s="9" t="str">
        <f>IF(A55="","",SUMIFS('Raw Data'!D:D,'Raw Data'!H:H,A55,'Raw Data'!I:I,TEXT($A$4,"mmmm yyyy")))</f>
        <v/>
      </c>
      <c r="F55" s="10" t="str">
        <f>IF(A55="","",_xlfn.MAXIFS('Raw Data'!A:A,'Raw Data'!H:H,A55,'Raw Data'!I:I,TEXT($A$4,"mmmm yyyy")))</f>
        <v/>
      </c>
      <c r="G55" s="9" t="str">
        <f t="shared" si="2"/>
        <v/>
      </c>
      <c r="H55" s="9" t="str">
        <f t="shared" si="1"/>
        <v/>
      </c>
    </row>
    <row r="56" spans="1:12" ht="20.100000000000001" customHeight="1" x14ac:dyDescent="0.25">
      <c r="A56" s="9"/>
      <c r="B56" s="9" t="str">
        <f>IF(A56="","",COUNTIFS('Raw Data'!H:H,A56,'Raw Data'!I:I,TEXT($A$4,"mmmm yyyy")))</f>
        <v/>
      </c>
      <c r="C56" s="9" t="str">
        <f>IF(A56="","",COUNTIFS('Raw Data'!H:H,A56,'Raw Data'!I:I,TEXT($A$4,"mmmm yyyy"),'Raw Data'!E:E,"Short"))</f>
        <v/>
      </c>
      <c r="D56" s="9" t="str">
        <f>IF(A56="","",COUNTIFS('Raw Data'!H:H,A56,'Raw Data'!I:I,TEXT($A$4,"mmmm yyyy"),'Raw Data'!E:E,"Excess"))</f>
        <v/>
      </c>
      <c r="E56" s="9" t="str">
        <f>IF(A56="","",SUMIFS('Raw Data'!D:D,'Raw Data'!H:H,A56,'Raw Data'!I:I,TEXT($A$4,"mmmm yyyy")))</f>
        <v/>
      </c>
      <c r="F56" s="10" t="str">
        <f>IF(A56="","",_xlfn.MAXIFS('Raw Data'!A:A,'Raw Data'!H:H,A56,'Raw Data'!I:I,TEXT($A$4,"mmmm yyyy")))</f>
        <v/>
      </c>
      <c r="G56" s="9" t="str">
        <f t="shared" si="2"/>
        <v/>
      </c>
      <c r="H56" s="9" t="str">
        <f t="shared" si="1"/>
        <v/>
      </c>
    </row>
    <row r="57" spans="1:12" ht="20.100000000000001" customHeight="1" x14ac:dyDescent="0.25">
      <c r="A57" s="9"/>
      <c r="B57" s="9" t="str">
        <f>IF(A57="","",COUNTIFS('Raw Data'!H:H,A57,'Raw Data'!I:I,TEXT($A$4,"mmmm yyyy")))</f>
        <v/>
      </c>
      <c r="C57" s="9" t="str">
        <f>IF(A57="","",COUNTIFS('Raw Data'!H:H,A57,'Raw Data'!I:I,TEXT($A$4,"mmmm yyyy"),'Raw Data'!E:E,"Short"))</f>
        <v/>
      </c>
      <c r="D57" s="9" t="str">
        <f>IF(A57="","",COUNTIFS('Raw Data'!H:H,A57,'Raw Data'!I:I,TEXT($A$4,"mmmm yyyy"),'Raw Data'!E:E,"Excess"))</f>
        <v/>
      </c>
      <c r="E57" s="9" t="str">
        <f>IF(A57="","",SUMIFS('Raw Data'!D:D,'Raw Data'!H:H,A57,'Raw Data'!I:I,TEXT($A$4,"mmmm yyyy")))</f>
        <v/>
      </c>
      <c r="F57" s="10" t="str">
        <f>IF(A57="","",_xlfn.MAXIFS('Raw Data'!A:A,'Raw Data'!H:H,A57,'Raw Data'!I:I,TEXT($A$4,"mmmm yyyy")))</f>
        <v/>
      </c>
      <c r="G57" s="9" t="str">
        <f t="shared" si="2"/>
        <v/>
      </c>
      <c r="H57" s="9" t="str">
        <f t="shared" si="1"/>
        <v/>
      </c>
    </row>
    <row r="58" spans="1:12" ht="20.100000000000001" customHeight="1" x14ac:dyDescent="0.25">
      <c r="A58" s="9"/>
      <c r="B58" s="9" t="str">
        <f>IF(A58="","",COUNTIFS('Raw Data'!H:H,A58,'Raw Data'!I:I,TEXT($A$4,"mmmm yyyy")))</f>
        <v/>
      </c>
      <c r="C58" s="9" t="str">
        <f>IF(A58="","",COUNTIFS('Raw Data'!H:H,A58,'Raw Data'!I:I,TEXT($A$4,"mmmm yyyy"),'Raw Data'!E:E,"Short"))</f>
        <v/>
      </c>
      <c r="D58" s="9" t="str">
        <f>IF(A58="","",COUNTIFS('Raw Data'!H:H,A58,'Raw Data'!I:I,TEXT($A$4,"mmmm yyyy"),'Raw Data'!E:E,"Excess"))</f>
        <v/>
      </c>
      <c r="E58" s="9" t="str">
        <f>IF(A58="","",SUMIFS('Raw Data'!D:D,'Raw Data'!H:H,A58,'Raw Data'!I:I,TEXT($A$4,"mmmm yyyy")))</f>
        <v/>
      </c>
      <c r="F58" s="10" t="str">
        <f>IF(A58="","",_xlfn.MAXIFS('Raw Data'!A:A,'Raw Data'!H:H,A58,'Raw Data'!I:I,TEXT($A$4,"mmmm yyyy")))</f>
        <v/>
      </c>
      <c r="G58" s="9" t="str">
        <f t="shared" si="2"/>
        <v/>
      </c>
      <c r="H58" s="9" t="str">
        <f t="shared" si="1"/>
        <v/>
      </c>
    </row>
    <row r="59" spans="1:12" ht="20.100000000000001" customHeight="1" x14ac:dyDescent="0.25">
      <c r="A59" s="9"/>
      <c r="B59" s="9" t="str">
        <f>IF(A59="","",COUNTIFS('Raw Data'!H:H,A59,'Raw Data'!I:I,TEXT($A$4,"mmmm yyyy")))</f>
        <v/>
      </c>
      <c r="C59" s="9" t="str">
        <f>IF(A59="","",COUNTIFS('Raw Data'!H:H,A59,'Raw Data'!I:I,TEXT($A$4,"mmmm yyyy"),'Raw Data'!E:E,"Short"))</f>
        <v/>
      </c>
      <c r="D59" s="9" t="str">
        <f>IF(A59="","",COUNTIFS('Raw Data'!H:H,A59,'Raw Data'!I:I,TEXT($A$4,"mmmm yyyy"),'Raw Data'!E:E,"Excess"))</f>
        <v/>
      </c>
      <c r="E59" s="9" t="str">
        <f>IF(A59="","",SUMIFS('Raw Data'!D:D,'Raw Data'!H:H,A59,'Raw Data'!I:I,TEXT($A$4,"mmmm yyyy")))</f>
        <v/>
      </c>
      <c r="F59" s="10" t="str">
        <f>IF(A59="","",_xlfn.MAXIFS('Raw Data'!A:A,'Raw Data'!H:H,A59,'Raw Data'!I:I,TEXT($A$4,"mmmm yyyy")))</f>
        <v/>
      </c>
      <c r="G59" s="9" t="str">
        <f t="shared" si="2"/>
        <v/>
      </c>
      <c r="H59" s="9" t="str">
        <f t="shared" si="1"/>
        <v/>
      </c>
    </row>
    <row r="60" spans="1:12" ht="20.100000000000001" customHeight="1" x14ac:dyDescent="0.25">
      <c r="A60" s="9"/>
      <c r="B60" s="9" t="str">
        <f>IF(A60="","",COUNTIFS('Raw Data'!H:H,A60,'Raw Data'!I:I,TEXT($A$4,"mmmm yyyy")))</f>
        <v/>
      </c>
      <c r="C60" s="9" t="str">
        <f>IF(A60="","",COUNTIFS('Raw Data'!H:H,A60,'Raw Data'!I:I,TEXT($A$4,"mmmm yyyy"),'Raw Data'!E:E,"Short"))</f>
        <v/>
      </c>
      <c r="D60" s="9" t="str">
        <f>IF(A60="","",COUNTIFS('Raw Data'!H:H,A60,'Raw Data'!I:I,TEXT($A$4,"mmmm yyyy"),'Raw Data'!E:E,"Excess"))</f>
        <v/>
      </c>
      <c r="E60" s="9" t="str">
        <f>IF(A60="","",SUMIFS('Raw Data'!D:D,'Raw Data'!H:H,A60,'Raw Data'!I:I,TEXT($A$4,"mmmm yyyy")))</f>
        <v/>
      </c>
      <c r="F60" s="10" t="str">
        <f>IF(A60="","",_xlfn.MAXIFS('Raw Data'!A:A,'Raw Data'!H:H,A60,'Raw Data'!I:I,TEXT($A$4,"mmmm yyyy")))</f>
        <v/>
      </c>
      <c r="G60" s="9" t="str">
        <f t="shared" si="2"/>
        <v/>
      </c>
      <c r="H60" s="9" t="str">
        <f t="shared" si="1"/>
        <v/>
      </c>
    </row>
    <row r="61" spans="1:12" ht="20.100000000000001" customHeight="1" x14ac:dyDescent="0.25">
      <c r="A61" s="9"/>
      <c r="B61" s="9" t="str">
        <f>IF(A61="","",COUNTIFS('Raw Data'!H:H,A61,'Raw Data'!I:I,TEXT($A$4,"mmmm yyyy")))</f>
        <v/>
      </c>
      <c r="C61" s="9" t="str">
        <f>IF(A61="","",COUNTIFS('Raw Data'!H:H,A61,'Raw Data'!I:I,TEXT($A$4,"mmmm yyyy"),'Raw Data'!E:E,"Short"))</f>
        <v/>
      </c>
      <c r="D61" s="9" t="str">
        <f>IF(A61="","",COUNTIFS('Raw Data'!H:H,A61,'Raw Data'!I:I,TEXT($A$4,"mmmm yyyy"),'Raw Data'!E:E,"Excess"))</f>
        <v/>
      </c>
      <c r="E61" s="9" t="str">
        <f>IF(A61="","",SUMIFS('Raw Data'!D:D,'Raw Data'!H:H,A61,'Raw Data'!I:I,TEXT($A$4,"mmmm yyyy")))</f>
        <v/>
      </c>
      <c r="F61" s="10" t="str">
        <f>IF(A61="","",_xlfn.MAXIFS('Raw Data'!A:A,'Raw Data'!H:H,A61,'Raw Data'!I:I,TEXT($A$4,"mmmm yyyy")))</f>
        <v/>
      </c>
      <c r="G61" s="9" t="str">
        <f t="shared" si="2"/>
        <v/>
      </c>
      <c r="H61" s="9" t="str">
        <f t="shared" si="1"/>
        <v/>
      </c>
    </row>
    <row r="62" spans="1:12" ht="20.100000000000001" customHeight="1" x14ac:dyDescent="0.25">
      <c r="A62" s="9"/>
      <c r="B62" s="9" t="str">
        <f>IF(A62="","",COUNTIFS('Raw Data'!H:H,A62,'Raw Data'!I:I,TEXT($A$4,"mmmm yyyy")))</f>
        <v/>
      </c>
      <c r="C62" s="9" t="str">
        <f>IF(A62="","",COUNTIFS('Raw Data'!H:H,A62,'Raw Data'!I:I,TEXT($A$4,"mmmm yyyy"),'Raw Data'!E:E,"Short"))</f>
        <v/>
      </c>
      <c r="D62" s="9" t="str">
        <f>IF(A62="","",COUNTIFS('Raw Data'!H:H,A62,'Raw Data'!I:I,TEXT($A$4,"mmmm yyyy"),'Raw Data'!E:E,"Excess"))</f>
        <v/>
      </c>
      <c r="E62" s="9" t="str">
        <f>IF(A62="","",SUMIFS('Raw Data'!D:D,'Raw Data'!H:H,A62,'Raw Data'!I:I,TEXT($A$4,"mmmm yyyy")))</f>
        <v/>
      </c>
      <c r="F62" s="10" t="str">
        <f>IF(A62="","",_xlfn.MAXIFS('Raw Data'!A:A,'Raw Data'!H:H,A62,'Raw Data'!I:I,TEXT($A$4,"mmmm yyyy")))</f>
        <v/>
      </c>
      <c r="G62" s="9" t="str">
        <f t="shared" si="2"/>
        <v/>
      </c>
      <c r="H62" s="9" t="str">
        <f t="shared" si="1"/>
        <v/>
      </c>
    </row>
    <row r="63" spans="1:12" ht="20.100000000000001" customHeight="1" x14ac:dyDescent="0.25">
      <c r="A63" s="9"/>
      <c r="B63" s="9" t="str">
        <f>IF(A63="","",COUNTIFS('Raw Data'!H:H,A63,'Raw Data'!I:I,TEXT($A$4,"mmmm yyyy")))</f>
        <v/>
      </c>
      <c r="C63" s="9" t="str">
        <f>IF(A63="","",COUNTIFS('Raw Data'!H:H,A63,'Raw Data'!I:I,TEXT($A$4,"mmmm yyyy"),'Raw Data'!E:E,"Short"))</f>
        <v/>
      </c>
      <c r="D63" s="9" t="str">
        <f>IF(A63="","",COUNTIFS('Raw Data'!H:H,A63,'Raw Data'!I:I,TEXT($A$4,"mmmm yyyy"),'Raw Data'!E:E,"Excess"))</f>
        <v/>
      </c>
      <c r="E63" s="9" t="str">
        <f>IF(A63="","",SUMIFS('Raw Data'!D:D,'Raw Data'!H:H,A63,'Raw Data'!I:I,TEXT($A$4,"mmmm yyyy")))</f>
        <v/>
      </c>
      <c r="F63" s="10" t="str">
        <f>IF(A63="","",_xlfn.MAXIFS('Raw Data'!A:A,'Raw Data'!H:H,A63,'Raw Data'!I:I,TEXT($A$4,"mmmm yyyy")))</f>
        <v/>
      </c>
      <c r="G63" s="9" t="str">
        <f t="shared" si="2"/>
        <v/>
      </c>
      <c r="H63" s="9" t="str">
        <f t="shared" si="1"/>
        <v/>
      </c>
    </row>
    <row r="64" spans="1:12" ht="20.100000000000001" customHeight="1" x14ac:dyDescent="0.25">
      <c r="A64" s="9"/>
      <c r="B64" s="9" t="str">
        <f>IF(A64="","",COUNTIFS('Raw Data'!H:H,A64,'Raw Data'!I:I,TEXT($A$4,"mmmm yyyy")))</f>
        <v/>
      </c>
      <c r="C64" s="9" t="str">
        <f>IF(A64="","",COUNTIFS('Raw Data'!H:H,A64,'Raw Data'!I:I,TEXT($A$4,"mmmm yyyy"),'Raw Data'!E:E,"Short"))</f>
        <v/>
      </c>
      <c r="D64" s="9" t="str">
        <f>IF(A64="","",COUNTIFS('Raw Data'!H:H,A64,'Raw Data'!I:I,TEXT($A$4,"mmmm yyyy"),'Raw Data'!E:E,"Excess"))</f>
        <v/>
      </c>
      <c r="E64" s="9" t="str">
        <f>IF(A64="","",SUMIFS('Raw Data'!D:D,'Raw Data'!H:H,A64,'Raw Data'!I:I,TEXT($A$4,"mmmm yyyy")))</f>
        <v/>
      </c>
      <c r="F64" s="10" t="str">
        <f>IF(A64="","",_xlfn.MAXIFS('Raw Data'!A:A,'Raw Data'!H:H,A64,'Raw Data'!I:I,TEXT($A$4,"mmmm yyyy")))</f>
        <v/>
      </c>
      <c r="G64" s="9" t="str">
        <f t="shared" si="2"/>
        <v/>
      </c>
      <c r="H64" s="9" t="str">
        <f t="shared" si="1"/>
        <v/>
      </c>
    </row>
    <row r="65" spans="1:8" ht="20.100000000000001" customHeight="1" x14ac:dyDescent="0.25">
      <c r="A65" s="9"/>
      <c r="B65" s="9" t="str">
        <f>IF(A65="","",COUNTIFS('Raw Data'!H:H,A65,'Raw Data'!I:I,TEXT($A$4,"mmmm yyyy")))</f>
        <v/>
      </c>
      <c r="C65" s="9" t="str">
        <f>IF(A65="","",COUNTIFS('Raw Data'!H:H,A65,'Raw Data'!I:I,TEXT($A$4,"mmmm yyyy"),'Raw Data'!E:E,"Short"))</f>
        <v/>
      </c>
      <c r="D65" s="9" t="str">
        <f>IF(A65="","",COUNTIFS('Raw Data'!H:H,A65,'Raw Data'!I:I,TEXT($A$4,"mmmm yyyy"),'Raw Data'!E:E,"Excess"))</f>
        <v/>
      </c>
      <c r="E65" s="9" t="str">
        <f>IF(A65="","",SUMIFS('Raw Data'!D:D,'Raw Data'!H:H,A65,'Raw Data'!I:I,TEXT($A$4,"mmmm yyyy")))</f>
        <v/>
      </c>
      <c r="F65" s="10" t="str">
        <f>IF(A65="","",_xlfn.MAXIFS('Raw Data'!A:A,'Raw Data'!H:H,A65,'Raw Data'!I:I,TEXT($A$4,"mmmm yyyy")))</f>
        <v/>
      </c>
      <c r="G65" s="9" t="str">
        <f t="shared" si="2"/>
        <v/>
      </c>
      <c r="H65" s="9" t="str">
        <f t="shared" si="1"/>
        <v/>
      </c>
    </row>
    <row r="66" spans="1:8" ht="20.100000000000001" customHeight="1" x14ac:dyDescent="0.25">
      <c r="A66" s="9"/>
      <c r="B66" s="9" t="str">
        <f>IF(A66="","",COUNTIFS('Raw Data'!H:H,A66,'Raw Data'!I:I,TEXT($A$4,"mmmm yyyy")))</f>
        <v/>
      </c>
      <c r="C66" s="9" t="str">
        <f>IF(A66="","",COUNTIFS('Raw Data'!H:H,A66,'Raw Data'!I:I,TEXT($A$4,"mmmm yyyy"),'Raw Data'!E:E,"Short"))</f>
        <v/>
      </c>
      <c r="D66" s="9" t="str">
        <f>IF(A66="","",COUNTIFS('Raw Data'!H:H,A66,'Raw Data'!I:I,TEXT($A$4,"mmmm yyyy"),'Raw Data'!E:E,"Excess"))</f>
        <v/>
      </c>
      <c r="E66" s="9" t="str">
        <f>IF(A66="","",SUMIFS('Raw Data'!D:D,'Raw Data'!H:H,A66,'Raw Data'!I:I,TEXT($A$4,"mmmm yyyy")))</f>
        <v/>
      </c>
      <c r="F66" s="10" t="str">
        <f>IF(A66="","",_xlfn.MAXIFS('Raw Data'!A:A,'Raw Data'!H:H,A66,'Raw Data'!I:I,TEXT($A$4,"mmmm yyyy")))</f>
        <v/>
      </c>
      <c r="G66" s="9" t="str">
        <f t="shared" si="2"/>
        <v/>
      </c>
      <c r="H66" s="9" t="str">
        <f t="shared" si="1"/>
        <v/>
      </c>
    </row>
    <row r="67" spans="1:8" ht="20.100000000000001" customHeight="1" x14ac:dyDescent="0.25">
      <c r="A67" s="9"/>
      <c r="B67" s="9" t="str">
        <f>IF(A67="","",COUNTIFS('Raw Data'!H:H,A67,'Raw Data'!I:I,TEXT($A$4,"mmmm yyyy")))</f>
        <v/>
      </c>
      <c r="C67" s="9" t="str">
        <f>IF(A67="","",COUNTIFS('Raw Data'!H:H,A67,'Raw Data'!I:I,TEXT($A$4,"mmmm yyyy"),'Raw Data'!E:E,"Short"))</f>
        <v/>
      </c>
      <c r="D67" s="9" t="str">
        <f>IF(A67="","",COUNTIFS('Raw Data'!H:H,A67,'Raw Data'!I:I,TEXT($A$4,"mmmm yyyy"),'Raw Data'!E:E,"Excess"))</f>
        <v/>
      </c>
      <c r="E67" s="9" t="str">
        <f>IF(A67="","",SUMIFS('Raw Data'!D:D,'Raw Data'!H:H,A67,'Raw Data'!I:I,TEXT($A$4,"mmmm yyyy")))</f>
        <v/>
      </c>
      <c r="F67" s="10" t="str">
        <f>IF(A67="","",_xlfn.MAXIFS('Raw Data'!A:A,'Raw Data'!H:H,A67,'Raw Data'!I:I,TEXT($A$4,"mmmm yyyy")))</f>
        <v/>
      </c>
      <c r="G67" s="9" t="str">
        <f t="shared" si="2"/>
        <v/>
      </c>
      <c r="H67" s="9" t="str">
        <f t="shared" si="1"/>
        <v/>
      </c>
    </row>
    <row r="68" spans="1:8" ht="20.100000000000001" customHeight="1" x14ac:dyDescent="0.25">
      <c r="A68" s="9"/>
      <c r="B68" s="9" t="str">
        <f>IF(A68="","",COUNTIFS('Raw Data'!H:H,A68,'Raw Data'!I:I,TEXT($A$4,"mmmm yyyy")))</f>
        <v/>
      </c>
      <c r="C68" s="9" t="str">
        <f>IF(A68="","",COUNTIFS('Raw Data'!H:H,A68,'Raw Data'!I:I,TEXT($A$4,"mmmm yyyy"),'Raw Data'!E:E,"Short"))</f>
        <v/>
      </c>
      <c r="D68" s="9" t="str">
        <f>IF(A68="","",COUNTIFS('Raw Data'!H:H,A68,'Raw Data'!I:I,TEXT($A$4,"mmmm yyyy"),'Raw Data'!E:E,"Excess"))</f>
        <v/>
      </c>
      <c r="E68" s="9" t="str">
        <f>IF(A68="","",SUMIFS('Raw Data'!D:D,'Raw Data'!H:H,A68,'Raw Data'!I:I,TEXT($A$4,"mmmm yyyy")))</f>
        <v/>
      </c>
      <c r="F68" s="10" t="str">
        <f>IF(A68="","",_xlfn.MAXIFS('Raw Data'!A:A,'Raw Data'!H:H,A68,'Raw Data'!I:I,TEXT($A$4,"mmmm yyyy")))</f>
        <v/>
      </c>
      <c r="G68" s="9" t="str">
        <f t="shared" si="2"/>
        <v/>
      </c>
      <c r="H68" s="9" t="str">
        <f t="shared" si="1"/>
        <v/>
      </c>
    </row>
    <row r="69" spans="1:8" ht="20.100000000000001" customHeight="1" x14ac:dyDescent="0.25">
      <c r="A69" s="9"/>
      <c r="B69" s="9" t="str">
        <f>IF(A69="","",COUNTIFS('Raw Data'!H:H,A69,'Raw Data'!I:I,TEXT($A$4,"mmmm yyyy")))</f>
        <v/>
      </c>
      <c r="C69" s="9" t="str">
        <f>IF(A69="","",COUNTIFS('Raw Data'!H:H,A69,'Raw Data'!I:I,TEXT($A$4,"mmmm yyyy"),'Raw Data'!E:E,"Short"))</f>
        <v/>
      </c>
      <c r="D69" s="9" t="str">
        <f>IF(A69="","",COUNTIFS('Raw Data'!H:H,A69,'Raw Data'!I:I,TEXT($A$4,"mmmm yyyy"),'Raw Data'!E:E,"Excess"))</f>
        <v/>
      </c>
      <c r="E69" s="9" t="str">
        <f>IF(A69="","",SUMIFS('Raw Data'!D:D,'Raw Data'!H:H,A69,'Raw Data'!I:I,TEXT($A$4,"mmmm yyyy")))</f>
        <v/>
      </c>
      <c r="F69" s="10" t="str">
        <f>IF(A69="","",_xlfn.MAXIFS('Raw Data'!A:A,'Raw Data'!H:H,A69,'Raw Data'!I:I,TEXT($A$4,"mmmm yyyy")))</f>
        <v/>
      </c>
      <c r="G69" s="9" t="str">
        <f t="shared" si="2"/>
        <v/>
      </c>
      <c r="H69" s="9" t="str">
        <f t="shared" si="1"/>
        <v/>
      </c>
    </row>
    <row r="70" spans="1:8" ht="20.100000000000001" customHeight="1" x14ac:dyDescent="0.25">
      <c r="A70" s="9"/>
      <c r="B70" s="9" t="str">
        <f>IF(A70="","",COUNTIFS('Raw Data'!H:H,A70,'Raw Data'!I:I,TEXT($A$4,"mmmm yyyy")))</f>
        <v/>
      </c>
      <c r="C70" s="9" t="str">
        <f>IF(A70="","",COUNTIFS('Raw Data'!H:H,A70,'Raw Data'!I:I,TEXT($A$4,"mmmm yyyy"),'Raw Data'!E:E,"Short"))</f>
        <v/>
      </c>
      <c r="D70" s="9" t="str">
        <f>IF(A70="","",COUNTIFS('Raw Data'!H:H,A70,'Raw Data'!I:I,TEXT($A$4,"mmmm yyyy"),'Raw Data'!E:E,"Excess"))</f>
        <v/>
      </c>
      <c r="E70" s="9" t="str">
        <f>IF(A70="","",SUMIFS('Raw Data'!D:D,'Raw Data'!H:H,A70,'Raw Data'!I:I,TEXT($A$4,"mmmm yyyy")))</f>
        <v/>
      </c>
      <c r="F70" s="10" t="str">
        <f>IF(A70="","",_xlfn.MAXIFS('Raw Data'!A:A,'Raw Data'!H:H,A70,'Raw Data'!I:I,TEXT($A$4,"mmmm yyyy")))</f>
        <v/>
      </c>
      <c r="G70" s="9" t="str">
        <f t="shared" si="2"/>
        <v/>
      </c>
      <c r="H70" s="9" t="str">
        <f t="shared" si="1"/>
        <v/>
      </c>
    </row>
    <row r="71" spans="1:8" ht="20.100000000000001" customHeight="1" x14ac:dyDescent="0.25">
      <c r="A71" s="9"/>
      <c r="B71" s="9" t="str">
        <f>IF(A71="","",COUNTIFS('Raw Data'!H:H,A71,'Raw Data'!I:I,TEXT($A$4,"mmmm yyyy")))</f>
        <v/>
      </c>
      <c r="C71" s="9" t="str">
        <f>IF(A71="","",COUNTIFS('Raw Data'!H:H,A71,'Raw Data'!I:I,TEXT($A$4,"mmmm yyyy"),'Raw Data'!E:E,"Short"))</f>
        <v/>
      </c>
      <c r="D71" s="9" t="str">
        <f>IF(A71="","",COUNTIFS('Raw Data'!H:H,A71,'Raw Data'!I:I,TEXT($A$4,"mmmm yyyy"),'Raw Data'!E:E,"Excess"))</f>
        <v/>
      </c>
      <c r="E71" s="9" t="str">
        <f>IF(A71="","",SUMIFS('Raw Data'!D:D,'Raw Data'!H:H,A71,'Raw Data'!I:I,TEXT($A$4,"mmmm yyyy")))</f>
        <v/>
      </c>
      <c r="F71" s="10" t="str">
        <f>IF(A71="","",_xlfn.MAXIFS('Raw Data'!A:A,'Raw Data'!H:H,A71,'Raw Data'!I:I,TEXT($A$4,"mmmm yyyy")))</f>
        <v/>
      </c>
      <c r="G71" s="9" t="str">
        <f t="shared" ref="G71:G102" si="3">IF(A71="","",IF(C71&gt;D71,"Short",IF(D71&gt;C71,"Excess", "Equal")))</f>
        <v/>
      </c>
      <c r="H71" s="9" t="str">
        <f t="shared" si="1"/>
        <v/>
      </c>
    </row>
    <row r="72" spans="1:8" ht="20.100000000000001" customHeight="1" x14ac:dyDescent="0.25">
      <c r="A72" s="9"/>
      <c r="B72" s="9" t="str">
        <f>IF(A72="","",COUNTIFS('Raw Data'!H:H,A72,'Raw Data'!I:I,TEXT($A$4,"mmmm yyyy")))</f>
        <v/>
      </c>
      <c r="C72" s="9" t="str">
        <f>IF(A72="","",COUNTIFS('Raw Data'!H:H,A72,'Raw Data'!I:I,TEXT($A$4,"mmmm yyyy"),'Raw Data'!E:E,"Short"))</f>
        <v/>
      </c>
      <c r="D72" s="9" t="str">
        <f>IF(A72="","",COUNTIFS('Raw Data'!H:H,A72,'Raw Data'!I:I,TEXT($A$4,"mmmm yyyy"),'Raw Data'!E:E,"Excess"))</f>
        <v/>
      </c>
      <c r="E72" s="9" t="str">
        <f>IF(A72="","",SUMIFS('Raw Data'!D:D,'Raw Data'!H:H,A72,'Raw Data'!I:I,TEXT($A$4,"mmmm yyyy")))</f>
        <v/>
      </c>
      <c r="F72" s="10" t="str">
        <f>IF(A72="","",_xlfn.MAXIFS('Raw Data'!A:A,'Raw Data'!H:H,A72,'Raw Data'!I:I,TEXT($A$4,"mmmm yyyy")))</f>
        <v/>
      </c>
      <c r="G72" s="9" t="str">
        <f t="shared" si="3"/>
        <v/>
      </c>
      <c r="H72" s="9" t="str">
        <f t="shared" ref="H72:H74" si="4">IF(A72="","",RANK(B72,B$7:B$9995,0))</f>
        <v/>
      </c>
    </row>
    <row r="73" spans="1:8" ht="20.100000000000001" customHeight="1" x14ac:dyDescent="0.25">
      <c r="A73" s="9"/>
      <c r="B73" s="9" t="str">
        <f>IF(A73="","",COUNTIFS('Raw Data'!H:H,A73,'Raw Data'!I:I,TEXT($A$4,"mmmm yyyy")))</f>
        <v/>
      </c>
      <c r="C73" s="9" t="str">
        <f>IF(A73="","",COUNTIFS('Raw Data'!H:H,A73,'Raw Data'!I:I,TEXT($A$4,"mmmm yyyy"),'Raw Data'!E:E,"Short"))</f>
        <v/>
      </c>
      <c r="D73" s="9" t="str">
        <f>IF(A73="","",COUNTIFS('Raw Data'!H:H,A73,'Raw Data'!I:I,TEXT($A$4,"mmmm yyyy"),'Raw Data'!E:E,"Excess"))</f>
        <v/>
      </c>
      <c r="E73" s="9" t="str">
        <f>IF(A73="","",SUMIFS('Raw Data'!D:D,'Raw Data'!H:H,A73,'Raw Data'!I:I,TEXT($A$4,"mmmm yyyy")))</f>
        <v/>
      </c>
      <c r="F73" s="10" t="str">
        <f>IF(A73="","",_xlfn.MAXIFS('Raw Data'!A:A,'Raw Data'!H:H,A73,'Raw Data'!I:I,TEXT($A$4,"mmmm yyyy")))</f>
        <v/>
      </c>
      <c r="G73" s="9" t="str">
        <f t="shared" si="3"/>
        <v/>
      </c>
      <c r="H73" s="9" t="str">
        <f t="shared" si="4"/>
        <v/>
      </c>
    </row>
    <row r="74" spans="1:8" ht="20.100000000000001" customHeight="1" x14ac:dyDescent="0.25">
      <c r="A74" s="9"/>
      <c r="B74" s="9" t="str">
        <f>IF(A74="","",COUNTIFS('Raw Data'!H:H,A74,'Raw Data'!I:I,TEXT($A$4,"mmmm yyyy")))</f>
        <v/>
      </c>
      <c r="C74" s="9" t="str">
        <f>IF(A74="","",COUNTIFS('Raw Data'!H:H,A74,'Raw Data'!I:I,TEXT($A$4,"mmmm yyyy"),'Raw Data'!E:E,"Short"))</f>
        <v/>
      </c>
      <c r="D74" s="9" t="str">
        <f>IF(A74="","",COUNTIFS('Raw Data'!H:H,A74,'Raw Data'!I:I,TEXT($A$4,"mmmm yyyy"),'Raw Data'!E:E,"Excess"))</f>
        <v/>
      </c>
      <c r="E74" s="9" t="str">
        <f>IF(A74="","",SUMIFS('Raw Data'!D:D,'Raw Data'!H:H,A74,'Raw Data'!I:I,TEXT($A$4,"mmmm yyyy")))</f>
        <v/>
      </c>
      <c r="F74" s="10" t="str">
        <f>IF(A74="","",_xlfn.MAXIFS('Raw Data'!A:A,'Raw Data'!H:H,A74,'Raw Data'!I:I,TEXT($A$4,"mmmm yyyy")))</f>
        <v/>
      </c>
      <c r="G74" s="9" t="str">
        <f t="shared" si="3"/>
        <v/>
      </c>
      <c r="H74" s="9" t="str">
        <f t="shared" si="4"/>
        <v/>
      </c>
    </row>
    <row r="75" spans="1:8" ht="20.100000000000001" customHeight="1" x14ac:dyDescent="0.25">
      <c r="A75" s="9"/>
      <c r="B75" s="9" t="str">
        <f>IF(A75="","",COUNTIF('Raw Data'!H:H,A75))</f>
        <v/>
      </c>
      <c r="C75" s="9" t="str">
        <f>IF(A75="","",COUNTIFS('Raw Data'!H:H,A75,'Raw Data'!E:E,"Short"))</f>
        <v/>
      </c>
      <c r="D75" s="9" t="str">
        <f>IF(A75="","",COUNTIFS('Raw Data'!H:H,A75,'Raw Data'!E:E,"Excess"))</f>
        <v/>
      </c>
      <c r="E75" s="9" t="str">
        <f>IF(A75="","",SUMIF('Raw Data'!H:H,A75,'Raw Data'!D:D))</f>
        <v/>
      </c>
      <c r="F75" s="10" t="str">
        <f>IF(A75="","",_xlfn.MAXIFS('Raw Data'!A:A,'Raw Data'!H:H,A75,'Raw Data'!I:I,TEXT($A$4,"mmmm yyyy")))</f>
        <v/>
      </c>
      <c r="G75" s="9" t="str">
        <f t="shared" si="3"/>
        <v/>
      </c>
      <c r="H75" s="9" t="str">
        <f t="shared" ref="H75:H125" si="5">IF(A75="","",RANK(B75,B$7:B$9995,0))</f>
        <v/>
      </c>
    </row>
    <row r="76" spans="1:8" ht="20.100000000000001" customHeight="1" x14ac:dyDescent="0.25">
      <c r="A76" s="9"/>
      <c r="B76" s="9" t="str">
        <f>IF(A76="","",COUNTIF('Raw Data'!H:H,A76))</f>
        <v/>
      </c>
      <c r="C76" s="9" t="str">
        <f>IF(A76="","",COUNTIFS('Raw Data'!H:H,A76,'Raw Data'!E:E,"Short"))</f>
        <v/>
      </c>
      <c r="D76" s="9" t="str">
        <f>IF(A76="","",COUNTIFS('Raw Data'!H:H,A76,'Raw Data'!E:E,"Excess"))</f>
        <v/>
      </c>
      <c r="E76" s="9" t="str">
        <f>IF(A76="","",SUMIF('Raw Data'!H:H,A76,'Raw Data'!D:D))</f>
        <v/>
      </c>
      <c r="F76" s="10" t="str">
        <f>IF(A76="","",_xlfn.MAXIFS('Raw Data'!A:A,'Raw Data'!H:H,A76,'Raw Data'!I:I,TEXT($A$4,"mmmm yyyy")))</f>
        <v/>
      </c>
      <c r="G76" s="9" t="str">
        <f t="shared" si="3"/>
        <v/>
      </c>
      <c r="H76" s="9" t="str">
        <f t="shared" si="5"/>
        <v/>
      </c>
    </row>
    <row r="77" spans="1:8" ht="20.100000000000001" customHeight="1" x14ac:dyDescent="0.25">
      <c r="A77" s="9"/>
      <c r="B77" s="9" t="str">
        <f>IF(A77="","",COUNTIF('Raw Data'!H:H,A77))</f>
        <v/>
      </c>
      <c r="C77" s="9" t="str">
        <f>IF(A77="","",COUNTIFS('Raw Data'!H:H,A77,'Raw Data'!E:E,"Short"))</f>
        <v/>
      </c>
      <c r="D77" s="9" t="str">
        <f>IF(A77="","",COUNTIFS('Raw Data'!H:H,A77,'Raw Data'!E:E,"Excess"))</f>
        <v/>
      </c>
      <c r="E77" s="9" t="str">
        <f>IF(A77="","",SUMIF('Raw Data'!H:H,A77,'Raw Data'!D:D))</f>
        <v/>
      </c>
      <c r="F77" s="10" t="str">
        <f>IF(A77="","",_xlfn.MAXIFS('Raw Data'!A:A,'Raw Data'!H:H,A77,'Raw Data'!I:I,TEXT($A$4,"mmmm yyyy")))</f>
        <v/>
      </c>
      <c r="G77" s="9" t="str">
        <f t="shared" si="3"/>
        <v/>
      </c>
      <c r="H77" s="9" t="str">
        <f t="shared" si="5"/>
        <v/>
      </c>
    </row>
    <row r="78" spans="1:8" ht="20.100000000000001" customHeight="1" x14ac:dyDescent="0.25">
      <c r="A78" s="9"/>
      <c r="B78" s="9" t="str">
        <f>IF(A78="","",COUNTIF('Raw Data'!H:H,A78))</f>
        <v/>
      </c>
      <c r="C78" s="9" t="str">
        <f>IF(A78="","",COUNTIFS('Raw Data'!H:H,A78,'Raw Data'!E:E,"Short"))</f>
        <v/>
      </c>
      <c r="D78" s="9" t="str">
        <f>IF(A78="","",COUNTIFS('Raw Data'!H:H,A78,'Raw Data'!E:E,"Excess"))</f>
        <v/>
      </c>
      <c r="E78" s="9" t="str">
        <f>IF(A78="","",SUMIF('Raw Data'!H:H,A78,'Raw Data'!D:D))</f>
        <v/>
      </c>
      <c r="F78" s="10" t="str">
        <f>IF(A78="","",_xlfn.MAXIFS('Raw Data'!A:A,'Raw Data'!H:H,A78,'Raw Data'!I:I,TEXT($A$4,"mmmm yyyy")))</f>
        <v/>
      </c>
      <c r="G78" s="9" t="str">
        <f t="shared" si="3"/>
        <v/>
      </c>
      <c r="H78" s="9" t="str">
        <f t="shared" si="5"/>
        <v/>
      </c>
    </row>
    <row r="79" spans="1:8" ht="20.100000000000001" customHeight="1" x14ac:dyDescent="0.25">
      <c r="A79" s="9"/>
      <c r="B79" s="9" t="str">
        <f>IF(A79="","",COUNTIF('Raw Data'!H:H,A79))</f>
        <v/>
      </c>
      <c r="C79" s="9" t="str">
        <f>IF(A79="","",COUNTIFS('Raw Data'!H:H,A79,'Raw Data'!E:E,"Short"))</f>
        <v/>
      </c>
      <c r="D79" s="9" t="str">
        <f>IF(A79="","",COUNTIFS('Raw Data'!H:H,A79,'Raw Data'!E:E,"Excess"))</f>
        <v/>
      </c>
      <c r="E79" s="9" t="str">
        <f>IF(A79="","",SUMIF('Raw Data'!H:H,A79,'Raw Data'!D:D))</f>
        <v/>
      </c>
      <c r="F79" s="10" t="str">
        <f>IF(A79="","",_xlfn.MAXIFS('Raw Data'!A:A,'Raw Data'!H:H,A79,'Raw Data'!I:I,TEXT($A$4,"mmmm yyyy")))</f>
        <v/>
      </c>
      <c r="G79" s="9" t="str">
        <f t="shared" si="3"/>
        <v/>
      </c>
      <c r="H79" s="9" t="str">
        <f t="shared" si="5"/>
        <v/>
      </c>
    </row>
    <row r="80" spans="1:8" ht="20.100000000000001" customHeight="1" x14ac:dyDescent="0.25">
      <c r="A80" s="9"/>
      <c r="B80" s="9" t="str">
        <f>IF(A80="","",COUNTIF('Raw Data'!H:H,A80))</f>
        <v/>
      </c>
      <c r="C80" s="9" t="str">
        <f>IF(A80="","",COUNTIFS('Raw Data'!H:H,A80,'Raw Data'!E:E,"Short"))</f>
        <v/>
      </c>
      <c r="D80" s="9" t="str">
        <f>IF(A80="","",COUNTIFS('Raw Data'!H:H,A80,'Raw Data'!E:E,"Excess"))</f>
        <v/>
      </c>
      <c r="E80" s="9" t="str">
        <f>IF(A80="","",SUMIF('Raw Data'!H:H,A80,'Raw Data'!D:D))</f>
        <v/>
      </c>
      <c r="F80" s="10" t="str">
        <f>IF(A80="","",_xlfn.MAXIFS('Raw Data'!A:A,'Raw Data'!H:H,A80,'Raw Data'!I:I,TEXT($A$4,"mmmm yyyy")))</f>
        <v/>
      </c>
      <c r="G80" s="9" t="str">
        <f t="shared" si="3"/>
        <v/>
      </c>
      <c r="H80" s="9" t="str">
        <f t="shared" si="5"/>
        <v/>
      </c>
    </row>
    <row r="81" spans="1:8" ht="20.100000000000001" customHeight="1" x14ac:dyDescent="0.25">
      <c r="A81" s="9"/>
      <c r="B81" s="9" t="str">
        <f>IF(A81="","",COUNTIF('Raw Data'!H:H,A81))</f>
        <v/>
      </c>
      <c r="C81" s="9" t="str">
        <f>IF(A81="","",COUNTIFS('Raw Data'!H:H,A81,'Raw Data'!E:E,"Short"))</f>
        <v/>
      </c>
      <c r="D81" s="9" t="str">
        <f>IF(A81="","",COUNTIFS('Raw Data'!H:H,A81,'Raw Data'!E:E,"Excess"))</f>
        <v/>
      </c>
      <c r="E81" s="9" t="str">
        <f>IF(A81="","",SUMIF('Raw Data'!H:H,A81,'Raw Data'!D:D))</f>
        <v/>
      </c>
      <c r="F81" s="10" t="str">
        <f>IF(A81="","",_xlfn.MAXIFS('Raw Data'!A:A,'Raw Data'!H:H,A81,'Raw Data'!I:I,TEXT($A$4,"mmmm yyyy")))</f>
        <v/>
      </c>
      <c r="G81" s="9" t="str">
        <f t="shared" si="3"/>
        <v/>
      </c>
      <c r="H81" s="9" t="str">
        <f t="shared" si="5"/>
        <v/>
      </c>
    </row>
    <row r="82" spans="1:8" ht="20.100000000000001" customHeight="1" x14ac:dyDescent="0.25">
      <c r="A82" s="9"/>
      <c r="B82" s="9" t="str">
        <f>IF(A82="","",COUNTIF('Raw Data'!H:H,A82))</f>
        <v/>
      </c>
      <c r="C82" s="9" t="str">
        <f>IF(A82="","",COUNTIFS('Raw Data'!H:H,A82,'Raw Data'!E:E,"Short"))</f>
        <v/>
      </c>
      <c r="D82" s="9" t="str">
        <f>IF(A82="","",COUNTIFS('Raw Data'!H:H,A82,'Raw Data'!E:E,"Excess"))</f>
        <v/>
      </c>
      <c r="E82" s="9" t="str">
        <f>IF(A82="","",SUMIF('Raw Data'!H:H,A82,'Raw Data'!D:D))</f>
        <v/>
      </c>
      <c r="F82" s="10" t="str">
        <f>IF(A82="","",_xlfn.MAXIFS('Raw Data'!A:A,'Raw Data'!H:H,A82,'Raw Data'!I:I,TEXT($A$4,"mmmm yyyy")))</f>
        <v/>
      </c>
      <c r="G82" s="9" t="str">
        <f t="shared" si="3"/>
        <v/>
      </c>
      <c r="H82" s="9" t="str">
        <f t="shared" si="5"/>
        <v/>
      </c>
    </row>
    <row r="83" spans="1:8" ht="20.100000000000001" customHeight="1" x14ac:dyDescent="0.25">
      <c r="A83" s="9"/>
      <c r="B83" s="9" t="str">
        <f>IF(A83="","",COUNTIF('Raw Data'!H:H,A83))</f>
        <v/>
      </c>
      <c r="C83" s="9" t="str">
        <f>IF(A83="","",COUNTIFS('Raw Data'!H:H,A83,'Raw Data'!E:E,"Short"))</f>
        <v/>
      </c>
      <c r="D83" s="9" t="str">
        <f>IF(A83="","",COUNTIFS('Raw Data'!H:H,A83,'Raw Data'!E:E,"Excess"))</f>
        <v/>
      </c>
      <c r="E83" s="9" t="str">
        <f>IF(A83="","",SUMIF('Raw Data'!H:H,A83,'Raw Data'!D:D))</f>
        <v/>
      </c>
      <c r="F83" s="10" t="str">
        <f>IF(A83="","",_xlfn.MAXIFS('Raw Data'!A:A,'Raw Data'!H:H,A83,'Raw Data'!I:I,TEXT($A$4,"mmmm yyyy")))</f>
        <v/>
      </c>
      <c r="G83" s="9" t="str">
        <f t="shared" si="3"/>
        <v/>
      </c>
      <c r="H83" s="9" t="str">
        <f t="shared" si="5"/>
        <v/>
      </c>
    </row>
    <row r="84" spans="1:8" ht="20.100000000000001" customHeight="1" x14ac:dyDescent="0.25">
      <c r="A84" s="9"/>
      <c r="B84" s="9" t="str">
        <f>IF(A84="","",COUNTIF('Raw Data'!H:H,A84))</f>
        <v/>
      </c>
      <c r="C84" s="9" t="str">
        <f>IF(A84="","",COUNTIFS('Raw Data'!H:H,A84,'Raw Data'!E:E,"Short"))</f>
        <v/>
      </c>
      <c r="D84" s="9" t="str">
        <f>IF(A84="","",COUNTIFS('Raw Data'!H:H,A84,'Raw Data'!E:E,"Excess"))</f>
        <v/>
      </c>
      <c r="E84" s="9" t="str">
        <f>IF(A84="","",SUMIF('Raw Data'!H:H,A84,'Raw Data'!D:D))</f>
        <v/>
      </c>
      <c r="F84" s="10" t="str">
        <f>IF(A84="","",_xlfn.MAXIFS('Raw Data'!A:A,'Raw Data'!H:H,A84,'Raw Data'!I:I,TEXT($A$4,"mmmm yyyy")))</f>
        <v/>
      </c>
      <c r="G84" s="9" t="str">
        <f t="shared" si="3"/>
        <v/>
      </c>
      <c r="H84" s="9" t="str">
        <f t="shared" si="5"/>
        <v/>
      </c>
    </row>
    <row r="85" spans="1:8" ht="20.100000000000001" customHeight="1" x14ac:dyDescent="0.25">
      <c r="A85" s="9"/>
      <c r="B85" s="9" t="str">
        <f>IF(A85="","",COUNTIF('Raw Data'!H:H,A85))</f>
        <v/>
      </c>
      <c r="C85" s="9" t="str">
        <f>IF(A85="","",COUNTIFS('Raw Data'!H:H,A85,'Raw Data'!E:E,"Short"))</f>
        <v/>
      </c>
      <c r="D85" s="9" t="str">
        <f>IF(A85="","",COUNTIFS('Raw Data'!H:H,A85,'Raw Data'!E:E,"Excess"))</f>
        <v/>
      </c>
      <c r="E85" s="9" t="str">
        <f>IF(A85="","",SUMIF('Raw Data'!H:H,A85,'Raw Data'!D:D))</f>
        <v/>
      </c>
      <c r="F85" s="10" t="str">
        <f>IF(A85="","",_xlfn.MAXIFS('Raw Data'!A:A,'Raw Data'!H:H,A85,'Raw Data'!I:I,TEXT($A$4,"mmmm yyyy")))</f>
        <v/>
      </c>
      <c r="G85" s="9" t="str">
        <f t="shared" si="3"/>
        <v/>
      </c>
      <c r="H85" s="9" t="str">
        <f t="shared" si="5"/>
        <v/>
      </c>
    </row>
    <row r="86" spans="1:8" ht="20.100000000000001" customHeight="1" x14ac:dyDescent="0.25">
      <c r="A86" s="9"/>
      <c r="B86" s="9" t="str">
        <f>IF(A86="","",COUNTIF('Raw Data'!H:H,A86))</f>
        <v/>
      </c>
      <c r="C86" s="9" t="str">
        <f>IF(A86="","",COUNTIFS('Raw Data'!H:H,A86,'Raw Data'!E:E,"Short"))</f>
        <v/>
      </c>
      <c r="D86" s="9" t="str">
        <f>IF(A86="","",COUNTIFS('Raw Data'!H:H,A86,'Raw Data'!E:E,"Excess"))</f>
        <v/>
      </c>
      <c r="E86" s="9" t="str">
        <f>IF(A86="","",SUMIF('Raw Data'!H:H,A86,'Raw Data'!D:D))</f>
        <v/>
      </c>
      <c r="F86" s="10" t="str">
        <f>IF(A86="","",_xlfn.MAXIFS('Raw Data'!A:A,'Raw Data'!H:H,A86,'Raw Data'!I:I,TEXT($A$4,"mmmm yyyy")))</f>
        <v/>
      </c>
      <c r="G86" s="9" t="str">
        <f t="shared" si="3"/>
        <v/>
      </c>
      <c r="H86" s="9" t="str">
        <f t="shared" si="5"/>
        <v/>
      </c>
    </row>
    <row r="87" spans="1:8" ht="20.100000000000001" customHeight="1" x14ac:dyDescent="0.25">
      <c r="A87" s="9"/>
      <c r="B87" s="9" t="str">
        <f>IF(A87="","",COUNTIF('Raw Data'!H:H,A87))</f>
        <v/>
      </c>
      <c r="C87" s="9" t="str">
        <f>IF(A87="","",COUNTIFS('Raw Data'!H:H,A87,'Raw Data'!E:E,"Short"))</f>
        <v/>
      </c>
      <c r="D87" s="9" t="str">
        <f>IF(A87="","",COUNTIFS('Raw Data'!H:H,A87,'Raw Data'!E:E,"Excess"))</f>
        <v/>
      </c>
      <c r="E87" s="9" t="str">
        <f>IF(A87="","",SUMIF('Raw Data'!H:H,A87,'Raw Data'!D:D))</f>
        <v/>
      </c>
      <c r="F87" s="10" t="str">
        <f>IF(A87="","",_xlfn.MAXIFS('Raw Data'!A:A,'Raw Data'!H:H,A87,'Raw Data'!I:I,TEXT($A$4,"mmmm yyyy")))</f>
        <v/>
      </c>
      <c r="G87" s="9" t="str">
        <f t="shared" si="3"/>
        <v/>
      </c>
      <c r="H87" s="9" t="str">
        <f t="shared" si="5"/>
        <v/>
      </c>
    </row>
    <row r="88" spans="1:8" ht="20.100000000000001" customHeight="1" x14ac:dyDescent="0.25">
      <c r="A88" s="9"/>
      <c r="B88" s="9" t="str">
        <f>IF(A88="","",COUNTIF('Raw Data'!H:H,A88))</f>
        <v/>
      </c>
      <c r="C88" s="9" t="str">
        <f>IF(A88="","",COUNTIFS('Raw Data'!H:H,A88,'Raw Data'!E:E,"Short"))</f>
        <v/>
      </c>
      <c r="D88" s="9" t="str">
        <f>IF(A88="","",COUNTIFS('Raw Data'!H:H,A88,'Raw Data'!E:E,"Excess"))</f>
        <v/>
      </c>
      <c r="E88" s="9" t="str">
        <f>IF(A88="","",SUMIF('Raw Data'!H:H,A88,'Raw Data'!D:D))</f>
        <v/>
      </c>
      <c r="F88" s="10" t="str">
        <f>IF(A88="","",_xlfn.MAXIFS('Raw Data'!A:A,'Raw Data'!H:H,A88,'Raw Data'!I:I,TEXT($A$4,"mmmm yyyy")))</f>
        <v/>
      </c>
      <c r="G88" s="9" t="str">
        <f t="shared" si="3"/>
        <v/>
      </c>
      <c r="H88" s="9" t="str">
        <f t="shared" si="5"/>
        <v/>
      </c>
    </row>
    <row r="89" spans="1:8" ht="20.100000000000001" customHeight="1" x14ac:dyDescent="0.25">
      <c r="A89" s="9"/>
      <c r="B89" s="9" t="str">
        <f>IF(A89="","",COUNTIF('Raw Data'!H:H,A89))</f>
        <v/>
      </c>
      <c r="C89" s="9" t="str">
        <f>IF(A89="","",COUNTIFS('Raw Data'!H:H,A89,'Raw Data'!E:E,"Short"))</f>
        <v/>
      </c>
      <c r="D89" s="9" t="str">
        <f>IF(A89="","",COUNTIFS('Raw Data'!H:H,A89,'Raw Data'!E:E,"Excess"))</f>
        <v/>
      </c>
      <c r="E89" s="9" t="str">
        <f>IF(A89="","",SUMIF('Raw Data'!H:H,A89,'Raw Data'!D:D))</f>
        <v/>
      </c>
      <c r="F89" s="10" t="str">
        <f>IF(A89="","",_xlfn.MAXIFS('Raw Data'!A:A,'Raw Data'!H:H,A89,'Raw Data'!I:I,TEXT($A$4,"mmmm yyyy")))</f>
        <v/>
      </c>
      <c r="G89" s="9" t="str">
        <f t="shared" si="3"/>
        <v/>
      </c>
      <c r="H89" s="9" t="str">
        <f t="shared" si="5"/>
        <v/>
      </c>
    </row>
    <row r="90" spans="1:8" ht="20.100000000000001" customHeight="1" x14ac:dyDescent="0.25">
      <c r="A90" s="9"/>
      <c r="B90" s="9" t="str">
        <f>IF(A90="","",COUNTIF('Raw Data'!H:H,A90))</f>
        <v/>
      </c>
      <c r="C90" s="9" t="str">
        <f>IF(A90="","",COUNTIFS('Raw Data'!H:H,A90,'Raw Data'!E:E,"Short"))</f>
        <v/>
      </c>
      <c r="D90" s="9" t="str">
        <f>IF(A90="","",COUNTIFS('Raw Data'!H:H,A90,'Raw Data'!E:E,"Excess"))</f>
        <v/>
      </c>
      <c r="E90" s="9" t="str">
        <f>IF(A90="","",SUMIF('Raw Data'!H:H,A90,'Raw Data'!D:D))</f>
        <v/>
      </c>
      <c r="F90" s="10" t="str">
        <f>IF(A90="","",_xlfn.MAXIFS('Raw Data'!A:A,'Raw Data'!H:H,A90,'Raw Data'!I:I,TEXT($A$4,"mmmm yyyy")))</f>
        <v/>
      </c>
      <c r="G90" s="9" t="str">
        <f t="shared" si="3"/>
        <v/>
      </c>
      <c r="H90" s="9" t="str">
        <f t="shared" si="5"/>
        <v/>
      </c>
    </row>
    <row r="91" spans="1:8" ht="20.100000000000001" customHeight="1" x14ac:dyDescent="0.25">
      <c r="A91" s="9"/>
      <c r="B91" s="9" t="str">
        <f>IF(A91="","",COUNTIF('Raw Data'!H:H,A91))</f>
        <v/>
      </c>
      <c r="C91" s="9" t="str">
        <f>IF(A91="","",COUNTIFS('Raw Data'!H:H,A91,'Raw Data'!E:E,"Short"))</f>
        <v/>
      </c>
      <c r="D91" s="9" t="str">
        <f>IF(A91="","",COUNTIFS('Raw Data'!H:H,A91,'Raw Data'!E:E,"Excess"))</f>
        <v/>
      </c>
      <c r="E91" s="9" t="str">
        <f>IF(A91="","",SUMIF('Raw Data'!H:H,A91,'Raw Data'!D:D))</f>
        <v/>
      </c>
      <c r="F91" s="10" t="str">
        <f>IF(A91="","",_xlfn.MAXIFS('Raw Data'!A:A,'Raw Data'!H:H,A91,'Raw Data'!I:I,TEXT($A$4,"mmmm yyyy")))</f>
        <v/>
      </c>
      <c r="G91" s="9" t="str">
        <f t="shared" si="3"/>
        <v/>
      </c>
      <c r="H91" s="9" t="str">
        <f t="shared" si="5"/>
        <v/>
      </c>
    </row>
    <row r="92" spans="1:8" ht="20.100000000000001" customHeight="1" x14ac:dyDescent="0.25">
      <c r="A92" s="9"/>
      <c r="B92" s="9" t="str">
        <f>IF(A92="","",COUNTIF('Raw Data'!H:H,A92))</f>
        <v/>
      </c>
      <c r="C92" s="9" t="str">
        <f>IF(A92="","",COUNTIFS('Raw Data'!H:H,A92,'Raw Data'!E:E,"Short"))</f>
        <v/>
      </c>
      <c r="D92" s="9" t="str">
        <f>IF(A92="","",COUNTIFS('Raw Data'!H:H,A92,'Raw Data'!E:E,"Excess"))</f>
        <v/>
      </c>
      <c r="E92" s="9" t="str">
        <f>IF(A92="","",SUMIF('Raw Data'!H:H,A92,'Raw Data'!D:D))</f>
        <v/>
      </c>
      <c r="F92" s="10" t="str">
        <f>IF(A92="","",_xlfn.MAXIFS('Raw Data'!A:A,'Raw Data'!H:H,A92,'Raw Data'!I:I,TEXT($A$4,"mmmm yyyy")))</f>
        <v/>
      </c>
      <c r="G92" s="9" t="str">
        <f t="shared" si="3"/>
        <v/>
      </c>
      <c r="H92" s="9" t="str">
        <f t="shared" si="5"/>
        <v/>
      </c>
    </row>
    <row r="93" spans="1:8" ht="20.100000000000001" customHeight="1" x14ac:dyDescent="0.25">
      <c r="A93" s="9"/>
      <c r="B93" s="9" t="str">
        <f>IF(A93="","",COUNTIF('Raw Data'!H:H,A93))</f>
        <v/>
      </c>
      <c r="C93" s="9" t="str">
        <f>IF(A93="","",COUNTIFS('Raw Data'!H:H,A93,'Raw Data'!E:E,"Short"))</f>
        <v/>
      </c>
      <c r="D93" s="9" t="str">
        <f>IF(A93="","",COUNTIFS('Raw Data'!H:H,A93,'Raw Data'!E:E,"Excess"))</f>
        <v/>
      </c>
      <c r="E93" s="9" t="str">
        <f>IF(A93="","",SUMIF('Raw Data'!H:H,A93,'Raw Data'!D:D))</f>
        <v/>
      </c>
      <c r="F93" s="10" t="str">
        <f>IF(A93="","",_xlfn.MAXIFS('Raw Data'!A:A,'Raw Data'!H:H,A93,'Raw Data'!I:I,TEXT($A$4,"mmmm yyyy")))</f>
        <v/>
      </c>
      <c r="G93" s="9" t="str">
        <f t="shared" si="3"/>
        <v/>
      </c>
      <c r="H93" s="40" t="str">
        <f t="shared" si="5"/>
        <v/>
      </c>
    </row>
    <row r="94" spans="1:8" ht="20.100000000000001" customHeight="1" x14ac:dyDescent="0.25">
      <c r="A94" s="9"/>
      <c r="B94" s="9" t="str">
        <f>IF(A94="","",COUNTIF('Raw Data'!H:H,A94))</f>
        <v/>
      </c>
      <c r="C94" s="9" t="str">
        <f>IF(A94="","",COUNTIFS('Raw Data'!H:H,A94,'Raw Data'!E:E,"Short"))</f>
        <v/>
      </c>
      <c r="D94" s="9" t="str">
        <f>IF(A94="","",COUNTIFS('Raw Data'!H:H,A94,'Raw Data'!E:E,"Excess"))</f>
        <v/>
      </c>
      <c r="E94" s="9" t="str">
        <f>IF(A94="","",SUMIF('Raw Data'!H:H,A94,'Raw Data'!D:D))</f>
        <v/>
      </c>
      <c r="F94" s="10" t="str">
        <f>IF(A94="","",_xlfn.MAXIFS('Raw Data'!A:A,'Raw Data'!H:H,A94,'Raw Data'!I:I,TEXT($A$4,"mmmm yyyy")))</f>
        <v/>
      </c>
      <c r="G94" s="9" t="str">
        <f t="shared" si="3"/>
        <v/>
      </c>
      <c r="H94" s="40" t="str">
        <f t="shared" si="5"/>
        <v/>
      </c>
    </row>
    <row r="95" spans="1:8" ht="20.100000000000001" customHeight="1" x14ac:dyDescent="0.25">
      <c r="A95" s="9"/>
      <c r="B95" s="9" t="str">
        <f>IF(A95="","",COUNTIF('Raw Data'!H:H,A95))</f>
        <v/>
      </c>
      <c r="C95" s="9" t="str">
        <f>IF(A95="","",COUNTIFS('Raw Data'!H:H,A95,'Raw Data'!E:E,"Short"))</f>
        <v/>
      </c>
      <c r="D95" s="9" t="str">
        <f>IF(A95="","",COUNTIFS('Raw Data'!H:H,A95,'Raw Data'!E:E,"Excess"))</f>
        <v/>
      </c>
      <c r="E95" s="9" t="str">
        <f>IF(A95="","",SUMIF('Raw Data'!H:H,A95,'Raw Data'!D:D))</f>
        <v/>
      </c>
      <c r="F95" s="10" t="str">
        <f>IF(A95="","",_xlfn.MAXIFS('Raw Data'!A:A,'Raw Data'!H:H,A95,'Raw Data'!I:I,TEXT($A$4,"mmmm yyyy")))</f>
        <v/>
      </c>
      <c r="G95" s="9" t="str">
        <f t="shared" si="3"/>
        <v/>
      </c>
      <c r="H95" s="40" t="str">
        <f t="shared" si="5"/>
        <v/>
      </c>
    </row>
    <row r="96" spans="1:8" ht="20.100000000000001" customHeight="1" x14ac:dyDescent="0.25">
      <c r="A96" s="9"/>
      <c r="B96" s="9" t="str">
        <f>IF(A96="","",COUNTIF('Raw Data'!H:H,A96))</f>
        <v/>
      </c>
      <c r="C96" s="9" t="str">
        <f>IF(A96="","",COUNTIFS('Raw Data'!H:H,A96,'Raw Data'!E:E,"Short"))</f>
        <v/>
      </c>
      <c r="D96" s="9" t="str">
        <f>IF(A96="","",COUNTIFS('Raw Data'!H:H,A96,'Raw Data'!E:E,"Excess"))</f>
        <v/>
      </c>
      <c r="E96" s="9" t="str">
        <f>IF(A96="","",SUMIF('Raw Data'!H:H,A96,'Raw Data'!D:D))</f>
        <v/>
      </c>
      <c r="F96" s="10" t="str">
        <f>IF(A96="","",_xlfn.MAXIFS('Raw Data'!A:A,'Raw Data'!H:H,A96,'Raw Data'!I:I,TEXT($A$4,"mmmm yyyy")))</f>
        <v/>
      </c>
      <c r="G96" s="9" t="str">
        <f t="shared" si="3"/>
        <v/>
      </c>
      <c r="H96" s="40" t="str">
        <f t="shared" si="5"/>
        <v/>
      </c>
    </row>
    <row r="97" spans="1:8" ht="20.100000000000001" customHeight="1" x14ac:dyDescent="0.25">
      <c r="A97" s="9"/>
      <c r="B97" s="9" t="str">
        <f>IF(A97="","",COUNTIF('Raw Data'!H:H,A97))</f>
        <v/>
      </c>
      <c r="C97" s="9" t="str">
        <f>IF(A97="","",COUNTIFS('Raw Data'!H:H,A97,'Raw Data'!E:E,"Short"))</f>
        <v/>
      </c>
      <c r="D97" s="9" t="str">
        <f>IF(A97="","",COUNTIFS('Raw Data'!H:H,A97,'Raw Data'!E:E,"Excess"))</f>
        <v/>
      </c>
      <c r="E97" s="9" t="str">
        <f>IF(A97="","",SUMIF('Raw Data'!H:H,A97,'Raw Data'!D:D))</f>
        <v/>
      </c>
      <c r="F97" s="10" t="str">
        <f>IF(A97="","",_xlfn.MAXIFS('Raw Data'!A:A,'Raw Data'!H:H,A97,'Raw Data'!I:I,TEXT($A$4,"mmmm yyyy")))</f>
        <v/>
      </c>
      <c r="G97" s="9" t="str">
        <f t="shared" si="3"/>
        <v/>
      </c>
      <c r="H97" s="40" t="str">
        <f t="shared" si="5"/>
        <v/>
      </c>
    </row>
    <row r="98" spans="1:8" ht="20.100000000000001" customHeight="1" x14ac:dyDescent="0.25">
      <c r="A98" s="9"/>
      <c r="B98" s="9" t="str">
        <f>IF(A98="","",COUNTIF('Raw Data'!H:H,A98))</f>
        <v/>
      </c>
      <c r="C98" s="9" t="str">
        <f>IF(A98="","",COUNTIFS('Raw Data'!H:H,A98,'Raw Data'!E:E,"Short"))</f>
        <v/>
      </c>
      <c r="D98" s="9" t="str">
        <f>IF(A98="","",COUNTIFS('Raw Data'!H:H,A98,'Raw Data'!E:E,"Excess"))</f>
        <v/>
      </c>
      <c r="E98" s="9" t="str">
        <f>IF(A98="","",SUMIF('Raw Data'!H:H,A98,'Raw Data'!D:D))</f>
        <v/>
      </c>
      <c r="F98" s="10" t="str">
        <f>IF(A98="","",_xlfn.MAXIFS('Raw Data'!A:A,'Raw Data'!H:H,A98,'Raw Data'!I:I,TEXT($A$4,"mmmm yyyy")))</f>
        <v/>
      </c>
      <c r="G98" s="9" t="str">
        <f t="shared" si="3"/>
        <v/>
      </c>
      <c r="H98" s="40" t="str">
        <f t="shared" si="5"/>
        <v/>
      </c>
    </row>
    <row r="99" spans="1:8" ht="20.100000000000001" customHeight="1" x14ac:dyDescent="0.25">
      <c r="A99" s="9"/>
      <c r="B99" s="9" t="str">
        <f>IF(A99="","",COUNTIF('Raw Data'!H:H,A99))</f>
        <v/>
      </c>
      <c r="C99" s="9" t="str">
        <f>IF(A99="","",COUNTIFS('Raw Data'!H:H,A99,'Raw Data'!E:E,"Short"))</f>
        <v/>
      </c>
      <c r="D99" s="9" t="str">
        <f>IF(A99="","",COUNTIFS('Raw Data'!H:H,A99,'Raw Data'!E:E,"Excess"))</f>
        <v/>
      </c>
      <c r="E99" s="9" t="str">
        <f>IF(A99="","",SUMIF('Raw Data'!H:H,A99,'Raw Data'!D:D))</f>
        <v/>
      </c>
      <c r="F99" s="10" t="str">
        <f>IF(A99="","",_xlfn.MAXIFS('Raw Data'!A:A,'Raw Data'!H:H,A99,'Raw Data'!I:I,TEXT($A$4,"mmmm yyyy")))</f>
        <v/>
      </c>
      <c r="G99" s="9" t="str">
        <f t="shared" si="3"/>
        <v/>
      </c>
      <c r="H99" s="40" t="str">
        <f t="shared" si="5"/>
        <v/>
      </c>
    </row>
    <row r="100" spans="1:8" ht="20.100000000000001" customHeight="1" x14ac:dyDescent="0.25">
      <c r="A100" s="9"/>
      <c r="B100" s="9" t="str">
        <f>IF(A100="","",COUNTIF('Raw Data'!H:H,A100))</f>
        <v/>
      </c>
      <c r="C100" s="9" t="str">
        <f>IF(A100="","",COUNTIFS('Raw Data'!H:H,A100,'Raw Data'!E:E,"Short"))</f>
        <v/>
      </c>
      <c r="D100" s="9" t="str">
        <f>IF(A100="","",COUNTIFS('Raw Data'!H:H,A100,'Raw Data'!E:E,"Excess"))</f>
        <v/>
      </c>
      <c r="E100" s="9" t="str">
        <f>IF(A100="","",SUMIF('Raw Data'!H:H,A100,'Raw Data'!D:D))</f>
        <v/>
      </c>
      <c r="F100" s="10" t="str">
        <f>IF(A100="","",_xlfn.MAXIFS('Raw Data'!A:A,'Raw Data'!H:H,A100,'Raw Data'!I:I,TEXT($A$4,"mmmm yyyy")))</f>
        <v/>
      </c>
      <c r="G100" s="9" t="str">
        <f t="shared" si="3"/>
        <v/>
      </c>
      <c r="H100" s="40" t="str">
        <f t="shared" si="5"/>
        <v/>
      </c>
    </row>
    <row r="101" spans="1:8" ht="20.100000000000001" customHeight="1" x14ac:dyDescent="0.25">
      <c r="A101" s="9"/>
      <c r="B101" s="9" t="str">
        <f>IF(A101="","",COUNTIF('Raw Data'!H:H,A101))</f>
        <v/>
      </c>
      <c r="C101" s="9" t="str">
        <f>IF(A101="","",COUNTIFS('Raw Data'!H:H,A101,'Raw Data'!E:E,"Short"))</f>
        <v/>
      </c>
      <c r="D101" s="9" t="str">
        <f>IF(A101="","",COUNTIFS('Raw Data'!H:H,A101,'Raw Data'!E:E,"Excess"))</f>
        <v/>
      </c>
      <c r="E101" s="9" t="str">
        <f>IF(A101="","",SUMIF('Raw Data'!H:H,A101,'Raw Data'!D:D))</f>
        <v/>
      </c>
      <c r="F101" s="10" t="str">
        <f>IF(A101="","",_xlfn.MAXIFS('Raw Data'!A:A,'Raw Data'!H:H,A101,'Raw Data'!I:I,TEXT($A$4,"mmmm yyyy")))</f>
        <v/>
      </c>
      <c r="G101" s="9" t="str">
        <f t="shared" si="3"/>
        <v/>
      </c>
      <c r="H101" s="40" t="str">
        <f t="shared" si="5"/>
        <v/>
      </c>
    </row>
    <row r="102" spans="1:8" ht="20.100000000000001" customHeight="1" x14ac:dyDescent="0.25">
      <c r="A102" s="9"/>
      <c r="B102" s="9" t="str">
        <f>IF(A102="","",COUNTIF('Raw Data'!H:H,A102))</f>
        <v/>
      </c>
      <c r="C102" s="9" t="str">
        <f>IF(A102="","",COUNTIFS('Raw Data'!H:H,A102,'Raw Data'!E:E,"Short"))</f>
        <v/>
      </c>
      <c r="D102" s="9" t="str">
        <f>IF(A102="","",COUNTIFS('Raw Data'!H:H,A102,'Raw Data'!E:E,"Excess"))</f>
        <v/>
      </c>
      <c r="E102" s="9" t="str">
        <f>IF(A102="","",SUMIF('Raw Data'!H:H,A102,'Raw Data'!D:D))</f>
        <v/>
      </c>
      <c r="F102" s="10" t="str">
        <f>IF(A102="","",_xlfn.MAXIFS('Raw Data'!A:A,'Raw Data'!H:H,A102,'Raw Data'!I:I,TEXT($A$4,"mmmm yyyy")))</f>
        <v/>
      </c>
      <c r="G102" s="9" t="str">
        <f t="shared" si="3"/>
        <v/>
      </c>
      <c r="H102" s="40" t="str">
        <f t="shared" si="5"/>
        <v/>
      </c>
    </row>
    <row r="103" spans="1:8" ht="20.100000000000001" customHeight="1" x14ac:dyDescent="0.25">
      <c r="A103" s="9"/>
      <c r="B103" s="9" t="str">
        <f>IF(A103="","",COUNTIF('Raw Data'!H:H,A103))</f>
        <v/>
      </c>
      <c r="C103" s="9" t="str">
        <f>IF(A103="","",COUNTIFS('Raw Data'!H:H,A103,'Raw Data'!E:E,"Short"))</f>
        <v/>
      </c>
      <c r="D103" s="9" t="str">
        <f>IF(A103="","",COUNTIFS('Raw Data'!H:H,A103,'Raw Data'!E:E,"Excess"))</f>
        <v/>
      </c>
      <c r="E103" s="9" t="str">
        <f>IF(A103="","",SUMIF('Raw Data'!H:H,A103,'Raw Data'!D:D))</f>
        <v/>
      </c>
      <c r="F103" s="10" t="str">
        <f>IF(A103="","",_xlfn.MAXIFS('Raw Data'!A:A,'Raw Data'!H:H,A103,'Raw Data'!I:I,TEXT($A$4,"mmmm yyyy")))</f>
        <v/>
      </c>
      <c r="G103" s="9" t="str">
        <f t="shared" ref="G103:G134" si="6">IF(A103="","",IF(C103&gt;D103,"Short",IF(D103&gt;C103,"Excess", "Equal")))</f>
        <v/>
      </c>
      <c r="H103" s="40" t="str">
        <f t="shared" si="5"/>
        <v/>
      </c>
    </row>
    <row r="104" spans="1:8" ht="20.100000000000001" customHeight="1" x14ac:dyDescent="0.25">
      <c r="A104" s="9"/>
      <c r="B104" s="9" t="str">
        <f>IF(A104="","",COUNTIF('Raw Data'!H:H,A104))</f>
        <v/>
      </c>
      <c r="C104" s="9" t="str">
        <f>IF(A104="","",COUNTIFS('Raw Data'!H:H,A104,'Raw Data'!E:E,"Short"))</f>
        <v/>
      </c>
      <c r="D104" s="9" t="str">
        <f>IF(A104="","",COUNTIFS('Raw Data'!H:H,A104,'Raw Data'!E:E,"Excess"))</f>
        <v/>
      </c>
      <c r="E104" s="9" t="str">
        <f>IF(A104="","",SUMIF('Raw Data'!H:H,A104,'Raw Data'!D:D))</f>
        <v/>
      </c>
      <c r="F104" s="10" t="str">
        <f>IF(A104="","",_xlfn.MAXIFS('Raw Data'!A:A,'Raw Data'!H:H,A104,'Raw Data'!I:I,TEXT($A$4,"mmmm yyyy")))</f>
        <v/>
      </c>
      <c r="G104" s="9" t="str">
        <f t="shared" si="6"/>
        <v/>
      </c>
      <c r="H104" s="40" t="str">
        <f t="shared" si="5"/>
        <v/>
      </c>
    </row>
    <row r="105" spans="1:8" ht="20.100000000000001" customHeight="1" x14ac:dyDescent="0.25">
      <c r="A105" s="9"/>
      <c r="B105" s="9" t="str">
        <f>IF(A105="","",COUNTIF('Raw Data'!H:H,A105))</f>
        <v/>
      </c>
      <c r="C105" s="9" t="str">
        <f>IF(A105="","",COUNTIFS('Raw Data'!H:H,A105,'Raw Data'!E:E,"Short"))</f>
        <v/>
      </c>
      <c r="D105" s="9" t="str">
        <f>IF(A105="","",COUNTIFS('Raw Data'!H:H,A105,'Raw Data'!E:E,"Excess"))</f>
        <v/>
      </c>
      <c r="E105" s="9" t="str">
        <f>IF(A105="","",SUMIF('Raw Data'!H:H,A105,'Raw Data'!D:D))</f>
        <v/>
      </c>
      <c r="F105" s="10" t="str">
        <f>IF(A105="","",_xlfn.MAXIFS('Raw Data'!A:A,'Raw Data'!H:H,A105,'Raw Data'!I:I,TEXT($A$4,"mmmm yyyy")))</f>
        <v/>
      </c>
      <c r="G105" s="9" t="str">
        <f t="shared" si="6"/>
        <v/>
      </c>
      <c r="H105" s="40" t="str">
        <f t="shared" si="5"/>
        <v/>
      </c>
    </row>
    <row r="106" spans="1:8" ht="20.100000000000001" customHeight="1" x14ac:dyDescent="0.25">
      <c r="A106" s="9"/>
      <c r="B106" s="9" t="str">
        <f>IF(A106="","",COUNTIF('Raw Data'!H:H,A106))</f>
        <v/>
      </c>
      <c r="C106" s="9" t="str">
        <f>IF(A106="","",COUNTIFS('Raw Data'!H:H,A106,'Raw Data'!E:E,"Short"))</f>
        <v/>
      </c>
      <c r="D106" s="9" t="str">
        <f>IF(A106="","",COUNTIFS('Raw Data'!H:H,A106,'Raw Data'!E:E,"Excess"))</f>
        <v/>
      </c>
      <c r="E106" s="9" t="str">
        <f>IF(A106="","",SUMIF('Raw Data'!H:H,A106,'Raw Data'!D:D))</f>
        <v/>
      </c>
      <c r="F106" s="10" t="str">
        <f>IF(A106="","",_xlfn.MAXIFS('Raw Data'!A:A,'Raw Data'!H:H,A106,'Raw Data'!I:I,TEXT($A$4,"mmmm yyyy")))</f>
        <v/>
      </c>
      <c r="G106" s="9" t="str">
        <f t="shared" si="6"/>
        <v/>
      </c>
      <c r="H106" s="40" t="str">
        <f t="shared" si="5"/>
        <v/>
      </c>
    </row>
    <row r="107" spans="1:8" ht="20.100000000000001" customHeight="1" x14ac:dyDescent="0.25">
      <c r="A107" s="9"/>
      <c r="B107" s="9" t="str">
        <f>IF(A107="","",COUNTIF('Raw Data'!H:H,A107))</f>
        <v/>
      </c>
      <c r="C107" s="9" t="str">
        <f>IF(A107="","",COUNTIFS('Raw Data'!H:H,A107,'Raw Data'!E:E,"Short"))</f>
        <v/>
      </c>
      <c r="D107" s="9" t="str">
        <f>IF(A107="","",COUNTIFS('Raw Data'!H:H,A107,'Raw Data'!E:E,"Excess"))</f>
        <v/>
      </c>
      <c r="E107" s="9" t="str">
        <f>IF(A107="","",SUMIF('Raw Data'!H:H,A107,'Raw Data'!D:D))</f>
        <v/>
      </c>
      <c r="F107" s="10" t="str">
        <f>IF(A107="","",_xlfn.MAXIFS('Raw Data'!A:A,'Raw Data'!H:H,A107,'Raw Data'!I:I,TEXT($A$4,"mmmm yyyy")))</f>
        <v/>
      </c>
      <c r="G107" s="9" t="str">
        <f t="shared" si="6"/>
        <v/>
      </c>
      <c r="H107" s="40" t="str">
        <f t="shared" si="5"/>
        <v/>
      </c>
    </row>
    <row r="108" spans="1:8" ht="20.100000000000001" customHeight="1" x14ac:dyDescent="0.25">
      <c r="A108" s="9"/>
      <c r="B108" s="9" t="str">
        <f>IF(A108="","",COUNTIF('Raw Data'!H:H,A108))</f>
        <v/>
      </c>
      <c r="C108" s="9" t="str">
        <f>IF(A108="","",COUNTIFS('Raw Data'!H:H,A108,'Raw Data'!E:E,"Short"))</f>
        <v/>
      </c>
      <c r="D108" s="9" t="str">
        <f>IF(A108="","",COUNTIFS('Raw Data'!H:H,A108,'Raw Data'!E:E,"Excess"))</f>
        <v/>
      </c>
      <c r="E108" s="9" t="str">
        <f>IF(A108="","",SUMIF('Raw Data'!H:H,A108,'Raw Data'!D:D))</f>
        <v/>
      </c>
      <c r="F108" s="10" t="str">
        <f>IF(A108="","",_xlfn.MAXIFS('Raw Data'!A:A,'Raw Data'!H:H,A108,'Raw Data'!I:I,TEXT($A$4,"mmmm yyyy")))</f>
        <v/>
      </c>
      <c r="G108" s="9" t="str">
        <f t="shared" si="6"/>
        <v/>
      </c>
      <c r="H108" s="40" t="str">
        <f t="shared" si="5"/>
        <v/>
      </c>
    </row>
    <row r="109" spans="1:8" ht="20.100000000000001" customHeight="1" x14ac:dyDescent="0.25">
      <c r="A109" s="9"/>
      <c r="B109" s="9" t="str">
        <f>IF(A109="","",COUNTIF('Raw Data'!H:H,A109))</f>
        <v/>
      </c>
      <c r="C109" s="9" t="str">
        <f>IF(A109="","",COUNTIFS('Raw Data'!H:H,A109,'Raw Data'!E:E,"Short"))</f>
        <v/>
      </c>
      <c r="D109" s="9" t="str">
        <f>IF(A109="","",COUNTIFS('Raw Data'!H:H,A109,'Raw Data'!E:E,"Excess"))</f>
        <v/>
      </c>
      <c r="E109" s="9" t="str">
        <f>IF(A109="","",SUMIF('Raw Data'!H:H,A109,'Raw Data'!D:D))</f>
        <v/>
      </c>
      <c r="F109" s="10" t="str">
        <f>IF(A109="","",_xlfn.MAXIFS('Raw Data'!A:A,'Raw Data'!H:H,A109,'Raw Data'!I:I,TEXT($A$4,"mmmm yyyy")))</f>
        <v/>
      </c>
      <c r="G109" s="9" t="str">
        <f t="shared" si="6"/>
        <v/>
      </c>
      <c r="H109" s="40" t="str">
        <f t="shared" si="5"/>
        <v/>
      </c>
    </row>
    <row r="110" spans="1:8" ht="20.100000000000001" customHeight="1" x14ac:dyDescent="0.25">
      <c r="A110" s="9"/>
      <c r="B110" s="9" t="str">
        <f>IF(A110="","",COUNTIF('Raw Data'!H:H,A110))</f>
        <v/>
      </c>
      <c r="C110" s="9" t="str">
        <f>IF(A110="","",COUNTIFS('Raw Data'!H:H,A110,'Raw Data'!E:E,"Short"))</f>
        <v/>
      </c>
      <c r="D110" s="9" t="str">
        <f>IF(A110="","",COUNTIFS('Raw Data'!H:H,A110,'Raw Data'!E:E,"Excess"))</f>
        <v/>
      </c>
      <c r="E110" s="9" t="str">
        <f>IF(A110="","",SUMIF('Raw Data'!H:H,A110,'Raw Data'!D:D))</f>
        <v/>
      </c>
      <c r="F110" s="10" t="str">
        <f>IF(A110="","",_xlfn.MAXIFS('Raw Data'!A:A,'Raw Data'!H:H,A110,'Raw Data'!I:I,TEXT($A$4,"mmmm yyyy")))</f>
        <v/>
      </c>
      <c r="G110" s="9" t="str">
        <f t="shared" si="6"/>
        <v/>
      </c>
      <c r="H110" s="40" t="str">
        <f t="shared" si="5"/>
        <v/>
      </c>
    </row>
    <row r="111" spans="1:8" ht="20.100000000000001" customHeight="1" x14ac:dyDescent="0.25">
      <c r="A111" s="9"/>
      <c r="B111" s="9" t="str">
        <f>IF(A111="","",COUNTIF('Raw Data'!H:H,A111))</f>
        <v/>
      </c>
      <c r="C111" s="9" t="str">
        <f>IF(A111="","",COUNTIFS('Raw Data'!H:H,A111,'Raw Data'!E:E,"Short"))</f>
        <v/>
      </c>
      <c r="D111" s="9" t="str">
        <f>IF(A111="","",COUNTIFS('Raw Data'!H:H,A111,'Raw Data'!E:E,"Excess"))</f>
        <v/>
      </c>
      <c r="E111" s="9" t="str">
        <f>IF(A111="","",SUMIF('Raw Data'!H:H,A111,'Raw Data'!D:D))</f>
        <v/>
      </c>
      <c r="F111" s="10" t="str">
        <f>IF(A111="","",_xlfn.MAXIFS('Raw Data'!A:A,'Raw Data'!H:H,A111,'Raw Data'!I:I,TEXT($A$4,"mmmm yyyy")))</f>
        <v/>
      </c>
      <c r="G111" s="9" t="str">
        <f t="shared" si="6"/>
        <v/>
      </c>
      <c r="H111" s="40" t="str">
        <f t="shared" si="5"/>
        <v/>
      </c>
    </row>
    <row r="112" spans="1:8" ht="20.100000000000001" customHeight="1" x14ac:dyDescent="0.25">
      <c r="A112" s="9"/>
      <c r="B112" s="9" t="str">
        <f>IF(A112="","",COUNTIF('Raw Data'!H:H,A112))</f>
        <v/>
      </c>
      <c r="C112" s="9" t="str">
        <f>IF(A112="","",COUNTIFS('Raw Data'!H:H,A112,'Raw Data'!E:E,"Short"))</f>
        <v/>
      </c>
      <c r="D112" s="9" t="str">
        <f>IF(A112="","",COUNTIFS('Raw Data'!H:H,A112,'Raw Data'!E:E,"Excess"))</f>
        <v/>
      </c>
      <c r="E112" s="9" t="str">
        <f>IF(A112="","",SUMIF('Raw Data'!H:H,A112,'Raw Data'!D:D))</f>
        <v/>
      </c>
      <c r="F112" s="10" t="str">
        <f>IF(A112="","",_xlfn.MAXIFS('Raw Data'!A:A,'Raw Data'!H:H,A112,'Raw Data'!I:I,TEXT($A$4,"mmmm yyyy")))</f>
        <v/>
      </c>
      <c r="G112" s="9" t="str">
        <f t="shared" si="6"/>
        <v/>
      </c>
      <c r="H112" s="40" t="str">
        <f t="shared" si="5"/>
        <v/>
      </c>
    </row>
    <row r="113" spans="1:8" ht="20.100000000000001" customHeight="1" x14ac:dyDescent="0.25">
      <c r="A113" s="9"/>
      <c r="B113" s="9" t="str">
        <f>IF(A113="","",COUNTIF('Raw Data'!H:H,A113))</f>
        <v/>
      </c>
      <c r="C113" s="9" t="str">
        <f>IF(A113="","",COUNTIFS('Raw Data'!H:H,A113,'Raw Data'!E:E,"Short"))</f>
        <v/>
      </c>
      <c r="D113" s="9" t="str">
        <f>IF(A113="","",COUNTIFS('Raw Data'!H:H,A113,'Raw Data'!E:E,"Excess"))</f>
        <v/>
      </c>
      <c r="E113" s="9" t="str">
        <f>IF(A113="","",SUMIF('Raw Data'!H:H,A113,'Raw Data'!D:D))</f>
        <v/>
      </c>
      <c r="F113" s="10" t="str">
        <f>IF(A113="","",_xlfn.MAXIFS('Raw Data'!A:A,'Raw Data'!H:H,A113,'Raw Data'!I:I,TEXT($A$4,"mmmm yyyy")))</f>
        <v/>
      </c>
      <c r="G113" s="9" t="str">
        <f t="shared" si="6"/>
        <v/>
      </c>
      <c r="H113" s="40" t="str">
        <f t="shared" si="5"/>
        <v/>
      </c>
    </row>
    <row r="114" spans="1:8" ht="20.100000000000001" customHeight="1" x14ac:dyDescent="0.25">
      <c r="A114" s="9"/>
      <c r="B114" s="9" t="str">
        <f>IF(A114="","",COUNTIF('Raw Data'!H:H,A114))</f>
        <v/>
      </c>
      <c r="C114" s="9" t="str">
        <f>IF(A114="","",COUNTIFS('Raw Data'!H:H,A114,'Raw Data'!E:E,"Short"))</f>
        <v/>
      </c>
      <c r="D114" s="9" t="str">
        <f>IF(A114="","",COUNTIFS('Raw Data'!H:H,A114,'Raw Data'!E:E,"Excess"))</f>
        <v/>
      </c>
      <c r="E114" s="9" t="str">
        <f>IF(A114="","",SUMIF('Raw Data'!H:H,A114,'Raw Data'!D:D))</f>
        <v/>
      </c>
      <c r="F114" s="10" t="str">
        <f>IF(A114="","",_xlfn.MAXIFS('Raw Data'!A:A,'Raw Data'!H:H,A114,'Raw Data'!I:I,TEXT($A$4,"mmmm yyyy")))</f>
        <v/>
      </c>
      <c r="G114" s="9" t="str">
        <f t="shared" si="6"/>
        <v/>
      </c>
      <c r="H114" s="40" t="str">
        <f t="shared" si="5"/>
        <v/>
      </c>
    </row>
    <row r="115" spans="1:8" ht="20.100000000000001" customHeight="1" x14ac:dyDescent="0.25">
      <c r="A115" s="9"/>
      <c r="B115" s="9" t="str">
        <f>IF(A115="","",COUNTIF('Raw Data'!H:H,A115))</f>
        <v/>
      </c>
      <c r="C115" s="9" t="str">
        <f>IF(A115="","",COUNTIFS('Raw Data'!H:H,A115,'Raw Data'!E:E,"Short"))</f>
        <v/>
      </c>
      <c r="D115" s="9" t="str">
        <f>IF(A115="","",COUNTIFS('Raw Data'!H:H,A115,'Raw Data'!E:E,"Excess"))</f>
        <v/>
      </c>
      <c r="E115" s="9" t="str">
        <f>IF(A115="","",SUMIF('Raw Data'!H:H,A115,'Raw Data'!D:D))</f>
        <v/>
      </c>
      <c r="F115" s="10" t="str">
        <f>IF(A115="","",_xlfn.MAXIFS('Raw Data'!A:A,'Raw Data'!H:H,A115,'Raw Data'!I:I,TEXT($A$4,"mmmm yyyy")))</f>
        <v/>
      </c>
      <c r="G115" s="9" t="str">
        <f t="shared" si="6"/>
        <v/>
      </c>
      <c r="H115" s="40" t="str">
        <f t="shared" si="5"/>
        <v/>
      </c>
    </row>
    <row r="116" spans="1:8" ht="20.100000000000001" customHeight="1" x14ac:dyDescent="0.25">
      <c r="A116" s="9"/>
      <c r="B116" s="9" t="str">
        <f>IF(A116="","",COUNTIF('Raw Data'!H:H,A116))</f>
        <v/>
      </c>
      <c r="C116" s="9" t="str">
        <f>IF(A116="","",COUNTIFS('Raw Data'!H:H,A116,'Raw Data'!E:E,"Short"))</f>
        <v/>
      </c>
      <c r="D116" s="9" t="str">
        <f>IF(A116="","",COUNTIFS('Raw Data'!H:H,A116,'Raw Data'!E:E,"Excess"))</f>
        <v/>
      </c>
      <c r="E116" s="9" t="str">
        <f>IF(A116="","",SUMIF('Raw Data'!H:H,A116,'Raw Data'!D:D))</f>
        <v/>
      </c>
      <c r="F116" s="10" t="str">
        <f>IF(A116="","",_xlfn.MAXIFS('Raw Data'!A:A,'Raw Data'!H:H,A116,'Raw Data'!I:I,TEXT($A$4,"mmmm yyyy")))</f>
        <v/>
      </c>
      <c r="G116" s="9" t="str">
        <f t="shared" si="6"/>
        <v/>
      </c>
      <c r="H116" s="40" t="str">
        <f t="shared" si="5"/>
        <v/>
      </c>
    </row>
    <row r="117" spans="1:8" ht="20.100000000000001" customHeight="1" x14ac:dyDescent="0.25">
      <c r="A117" s="9"/>
      <c r="B117" s="9" t="str">
        <f>IF(A117="","",COUNTIF('Raw Data'!H:H,A117))</f>
        <v/>
      </c>
      <c r="C117" s="9" t="str">
        <f>IF(A117="","",COUNTIFS('Raw Data'!H:H,A117,'Raw Data'!E:E,"Short"))</f>
        <v/>
      </c>
      <c r="D117" s="9" t="str">
        <f>IF(A117="","",COUNTIFS('Raw Data'!H:H,A117,'Raw Data'!E:E,"Excess"))</f>
        <v/>
      </c>
      <c r="E117" s="9" t="str">
        <f>IF(A117="","",SUMIF('Raw Data'!H:H,A117,'Raw Data'!D:D))</f>
        <v/>
      </c>
      <c r="F117" s="10" t="str">
        <f>IF(A117="","",_xlfn.MAXIFS('Raw Data'!A:A,'Raw Data'!H:H,A117,'Raw Data'!I:I,TEXT($A$4,"mmmm yyyy")))</f>
        <v/>
      </c>
      <c r="G117" s="9" t="str">
        <f t="shared" si="6"/>
        <v/>
      </c>
      <c r="H117" s="40" t="str">
        <f t="shared" si="5"/>
        <v/>
      </c>
    </row>
    <row r="118" spans="1:8" ht="20.100000000000001" customHeight="1" x14ac:dyDescent="0.25">
      <c r="A118" s="9"/>
      <c r="B118" s="9" t="str">
        <f>IF(A118="","",COUNTIF('Raw Data'!H:H,A118))</f>
        <v/>
      </c>
      <c r="C118" s="9" t="str">
        <f>IF(A118="","",COUNTIFS('Raw Data'!H:H,A118,'Raw Data'!E:E,"Short"))</f>
        <v/>
      </c>
      <c r="D118" s="9" t="str">
        <f>IF(A118="","",COUNTIFS('Raw Data'!H:H,A118,'Raw Data'!E:E,"Excess"))</f>
        <v/>
      </c>
      <c r="E118" s="9" t="str">
        <f>IF(A118="","",SUMIF('Raw Data'!H:H,A118,'Raw Data'!D:D))</f>
        <v/>
      </c>
      <c r="F118" s="10" t="str">
        <f>IF(A118="","",_xlfn.MAXIFS('Raw Data'!A:A,'Raw Data'!H:H,A118,'Raw Data'!I:I,TEXT($A$4,"mmmm yyyy")))</f>
        <v/>
      </c>
      <c r="G118" s="9" t="str">
        <f t="shared" si="6"/>
        <v/>
      </c>
      <c r="H118" s="40" t="str">
        <f t="shared" si="5"/>
        <v/>
      </c>
    </row>
    <row r="119" spans="1:8" ht="20.100000000000001" customHeight="1" x14ac:dyDescent="0.25">
      <c r="A119" s="9"/>
      <c r="B119" s="9" t="str">
        <f>IF(A119="","",COUNTIF('Raw Data'!H:H,A119))</f>
        <v/>
      </c>
      <c r="C119" s="9" t="str">
        <f>IF(A119="","",COUNTIFS('Raw Data'!H:H,A119,'Raw Data'!E:E,"Short"))</f>
        <v/>
      </c>
      <c r="D119" s="9" t="str">
        <f>IF(A119="","",COUNTIFS('Raw Data'!H:H,A119,'Raw Data'!E:E,"Excess"))</f>
        <v/>
      </c>
      <c r="E119" s="9" t="str">
        <f>IF(A119="","",SUMIF('Raw Data'!H:H,A119,'Raw Data'!D:D))</f>
        <v/>
      </c>
      <c r="F119" s="10" t="str">
        <f>IF(A119="","",_xlfn.MAXIFS('Raw Data'!A:A,'Raw Data'!H:H,A119,'Raw Data'!I:I,TEXT($A$4,"mmmm yyyy")))</f>
        <v/>
      </c>
      <c r="G119" s="9" t="str">
        <f t="shared" si="6"/>
        <v/>
      </c>
      <c r="H119" s="40" t="str">
        <f t="shared" si="5"/>
        <v/>
      </c>
    </row>
    <row r="120" spans="1:8" ht="20.100000000000001" customHeight="1" x14ac:dyDescent="0.25">
      <c r="A120" s="9"/>
      <c r="B120" s="9" t="str">
        <f>IF(A120="","",COUNTIF('Raw Data'!H:H,A120))</f>
        <v/>
      </c>
      <c r="C120" s="9" t="str">
        <f>IF(A120="","",COUNTIFS('Raw Data'!H:H,A120,'Raw Data'!E:E,"Short"))</f>
        <v/>
      </c>
      <c r="D120" s="9" t="str">
        <f>IF(A120="","",COUNTIFS('Raw Data'!H:H,A120,'Raw Data'!E:E,"Excess"))</f>
        <v/>
      </c>
      <c r="E120" s="9" t="str">
        <f>IF(A120="","",SUMIF('Raw Data'!H:H,A120,'Raw Data'!D:D))</f>
        <v/>
      </c>
      <c r="F120" s="10" t="str">
        <f>IF(A120="","",_xlfn.MAXIFS('Raw Data'!A:A,'Raw Data'!H:H,A120,'Raw Data'!I:I,TEXT($A$4,"mmmm yyyy")))</f>
        <v/>
      </c>
      <c r="G120" s="9" t="str">
        <f t="shared" si="6"/>
        <v/>
      </c>
      <c r="H120" s="40" t="str">
        <f t="shared" si="5"/>
        <v/>
      </c>
    </row>
    <row r="121" spans="1:8" ht="20.100000000000001" customHeight="1" x14ac:dyDescent="0.25">
      <c r="A121" s="9"/>
      <c r="B121" s="9" t="str">
        <f>IF(A121="","",COUNTIF('Raw Data'!H:H,A121))</f>
        <v/>
      </c>
      <c r="C121" s="9" t="str">
        <f>IF(A121="","",COUNTIFS('Raw Data'!H:H,A121,'Raw Data'!E:E,"Short"))</f>
        <v/>
      </c>
      <c r="D121" s="9" t="str">
        <f>IF(A121="","",COUNTIFS('Raw Data'!H:H,A121,'Raw Data'!E:E,"Excess"))</f>
        <v/>
      </c>
      <c r="E121" s="9" t="str">
        <f>IF(A121="","",SUMIF('Raw Data'!H:H,A121,'Raw Data'!D:D))</f>
        <v/>
      </c>
      <c r="F121" s="10" t="str">
        <f>IF(A121="","",_xlfn.MAXIFS('Raw Data'!A:A,'Raw Data'!H:H,A121,'Raw Data'!I:I,TEXT($A$4,"mmmm yyyy")))</f>
        <v/>
      </c>
      <c r="G121" s="9" t="str">
        <f t="shared" si="6"/>
        <v/>
      </c>
      <c r="H121" s="40" t="str">
        <f t="shared" si="5"/>
        <v/>
      </c>
    </row>
    <row r="122" spans="1:8" ht="20.100000000000001" customHeight="1" x14ac:dyDescent="0.25">
      <c r="A122" s="9"/>
      <c r="B122" s="9" t="str">
        <f>IF(A122="","",COUNTIF('Raw Data'!H:H,A122))</f>
        <v/>
      </c>
      <c r="C122" s="9" t="str">
        <f>IF(A122="","",COUNTIFS('Raw Data'!H:H,A122,'Raw Data'!E:E,"Short"))</f>
        <v/>
      </c>
      <c r="D122" s="9" t="str">
        <f>IF(A122="","",COUNTIFS('Raw Data'!H:H,A122,'Raw Data'!E:E,"Excess"))</f>
        <v/>
      </c>
      <c r="E122" s="9" t="str">
        <f>IF(A122="","",SUMIF('Raw Data'!H:H,A122,'Raw Data'!D:D))</f>
        <v/>
      </c>
      <c r="F122" s="10" t="str">
        <f>IF(A122="","",_xlfn.MAXIFS('Raw Data'!A:A,'Raw Data'!H:H,A122,'Raw Data'!I:I,TEXT($A$4,"mmmm yyyy")))</f>
        <v/>
      </c>
      <c r="G122" s="9" t="str">
        <f t="shared" si="6"/>
        <v/>
      </c>
      <c r="H122" s="40" t="str">
        <f t="shared" si="5"/>
        <v/>
      </c>
    </row>
    <row r="123" spans="1:8" ht="20.100000000000001" customHeight="1" x14ac:dyDescent="0.25">
      <c r="A123" s="9"/>
      <c r="B123" s="9" t="str">
        <f>IF(A123="","",COUNTIF('Raw Data'!H:H,A123))</f>
        <v/>
      </c>
      <c r="C123" s="9" t="str">
        <f>IF(A123="","",COUNTIFS('Raw Data'!H:H,A123,'Raw Data'!E:E,"Short"))</f>
        <v/>
      </c>
      <c r="D123" s="9" t="str">
        <f>IF(A123="","",COUNTIFS('Raw Data'!H:H,A123,'Raw Data'!E:E,"Excess"))</f>
        <v/>
      </c>
      <c r="E123" s="9" t="str">
        <f>IF(A123="","",SUMIF('Raw Data'!H:H,A123,'Raw Data'!D:D))</f>
        <v/>
      </c>
      <c r="F123" s="10" t="str">
        <f>IF(A123="","",_xlfn.MAXIFS('Raw Data'!A:A,'Raw Data'!H:H,A123,'Raw Data'!I:I,TEXT($A$4,"mmmm yyyy")))</f>
        <v/>
      </c>
      <c r="G123" s="9" t="str">
        <f t="shared" si="6"/>
        <v/>
      </c>
      <c r="H123" s="40" t="str">
        <f t="shared" si="5"/>
        <v/>
      </c>
    </row>
    <row r="124" spans="1:8" ht="20.100000000000001" customHeight="1" x14ac:dyDescent="0.25">
      <c r="A124" s="9"/>
      <c r="B124" s="9" t="str">
        <f>IF(A124="","",COUNTIF('Raw Data'!H:H,A124))</f>
        <v/>
      </c>
      <c r="C124" s="9" t="str">
        <f>IF(A124="","",COUNTIFS('Raw Data'!H:H,A124,'Raw Data'!E:E,"Short"))</f>
        <v/>
      </c>
      <c r="D124" s="9" t="str">
        <f>IF(A124="","",COUNTIFS('Raw Data'!H:H,A124,'Raw Data'!E:E,"Excess"))</f>
        <v/>
      </c>
      <c r="E124" s="9" t="str">
        <f>IF(A124="","",SUMIF('Raw Data'!H:H,A124,'Raw Data'!D:D))</f>
        <v/>
      </c>
      <c r="F124" s="10" t="str">
        <f>IF(A124="","",_xlfn.MAXIFS('Raw Data'!A:A,'Raw Data'!H:H,A124,'Raw Data'!I:I,TEXT($A$4,"mmmm yyyy")))</f>
        <v/>
      </c>
      <c r="G124" s="9" t="str">
        <f t="shared" si="6"/>
        <v/>
      </c>
      <c r="H124" s="40" t="str">
        <f t="shared" si="5"/>
        <v/>
      </c>
    </row>
    <row r="125" spans="1:8" ht="20.100000000000001" customHeight="1" x14ac:dyDescent="0.25">
      <c r="A125" s="9"/>
      <c r="B125" s="9" t="str">
        <f>IF(A125="","",COUNTIF('Raw Data'!H:H,A125))</f>
        <v/>
      </c>
      <c r="C125" s="9" t="str">
        <f>IF(A125="","",COUNTIFS('Raw Data'!H:H,A125,'Raw Data'!E:E,"Short"))</f>
        <v/>
      </c>
      <c r="D125" s="9" t="str">
        <f>IF(A125="","",COUNTIFS('Raw Data'!H:H,A125,'Raw Data'!E:E,"Excess"))</f>
        <v/>
      </c>
      <c r="E125" s="9" t="str">
        <f>IF(A125="","",SUMIF('Raw Data'!H:H,A125,'Raw Data'!D:D))</f>
        <v/>
      </c>
      <c r="F125" s="10" t="str">
        <f>IF(A125="","",_xlfn.MAXIFS('Raw Data'!A:A,'Raw Data'!H:H,A125,'Raw Data'!I:I,TEXT($A$4,"mmmm yyyy")))</f>
        <v/>
      </c>
      <c r="G125" s="9" t="str">
        <f t="shared" si="6"/>
        <v/>
      </c>
      <c r="H125" s="40" t="str">
        <f t="shared" si="5"/>
        <v/>
      </c>
    </row>
    <row r="126" spans="1:8" ht="20.100000000000001" customHeight="1" x14ac:dyDescent="0.25">
      <c r="A126" s="9"/>
      <c r="B126" s="9" t="str">
        <f>IF(A126="","",COUNTIF('Raw Data'!H:H,A126))</f>
        <v/>
      </c>
      <c r="C126" s="9" t="str">
        <f>IF(A126="","",COUNTIFS('Raw Data'!H:H,A126,'Raw Data'!E:E,"Short"))</f>
        <v/>
      </c>
      <c r="D126" s="9" t="str">
        <f>IF(A126="","",COUNTIFS('Raw Data'!H:H,A126,'Raw Data'!E:E,"Excess"))</f>
        <v/>
      </c>
      <c r="E126" s="9" t="str">
        <f>IF(A126="","",SUMIF('Raw Data'!H:H,A126,'Raw Data'!D:D))</f>
        <v/>
      </c>
      <c r="F126" s="10" t="str">
        <f>IF(A126="","",_xlfn.MAXIFS('Raw Data'!A:A,'Raw Data'!H:H,A126,'Raw Data'!I:I,TEXT($A$4,"mmmm yyyy")))</f>
        <v/>
      </c>
      <c r="G126" s="9" t="str">
        <f t="shared" si="6"/>
        <v/>
      </c>
      <c r="H126" s="40"/>
    </row>
    <row r="127" spans="1:8" ht="20.100000000000001" customHeight="1" x14ac:dyDescent="0.25">
      <c r="A127" s="9"/>
      <c r="B127" s="9" t="str">
        <f>IF(A127="","",COUNTIF('Raw Data'!H:H,A127))</f>
        <v/>
      </c>
      <c r="C127" s="9" t="str">
        <f>IF(A127="","",COUNTIFS('Raw Data'!H:H,A127,'Raw Data'!E:E,"Short"))</f>
        <v/>
      </c>
      <c r="D127" s="9" t="str">
        <f>IF(A127="","",COUNTIFS('Raw Data'!H:H,A127,'Raw Data'!E:E,"Excess"))</f>
        <v/>
      </c>
      <c r="E127" s="9" t="str">
        <f>IF(A127="","",SUMIF('Raw Data'!H:H,A127,'Raw Data'!D:D))</f>
        <v/>
      </c>
      <c r="F127" s="10" t="str">
        <f>IF(A127="","",_xlfn.MAXIFS('Raw Data'!A:A,'Raw Data'!H:H,A127,'Raw Data'!I:I,TEXT($A$4,"mmmm yyyy")))</f>
        <v/>
      </c>
      <c r="G127" s="9" t="str">
        <f t="shared" si="6"/>
        <v/>
      </c>
      <c r="H127" s="40"/>
    </row>
    <row r="128" spans="1:8" ht="20.100000000000001" customHeight="1" x14ac:dyDescent="0.25">
      <c r="A128" s="9"/>
      <c r="B128" s="9" t="str">
        <f>IF(A128="","",COUNTIF('Raw Data'!H:H,A128))</f>
        <v/>
      </c>
      <c r="C128" s="9" t="str">
        <f>IF(A128="","",COUNTIFS('Raw Data'!H:H,A128,'Raw Data'!E:E,"Short"))</f>
        <v/>
      </c>
      <c r="D128" s="9" t="str">
        <f>IF(A128="","",COUNTIFS('Raw Data'!H:H,A128,'Raw Data'!E:E,"Excess"))</f>
        <v/>
      </c>
      <c r="E128" s="9" t="str">
        <f>IF(A128="","",SUMIF('Raw Data'!H:H,A128,'Raw Data'!D:D))</f>
        <v/>
      </c>
      <c r="F128" s="10" t="str">
        <f>IF(A128="","",_xlfn.MAXIFS('Raw Data'!A:A,'Raw Data'!H:H,A128,'Raw Data'!I:I,TEXT($A$4,"mmmm yyyy")))</f>
        <v/>
      </c>
      <c r="G128" s="9" t="str">
        <f t="shared" si="6"/>
        <v/>
      </c>
      <c r="H128" s="40"/>
    </row>
    <row r="129" spans="1:8" ht="20.100000000000001" customHeight="1" x14ac:dyDescent="0.25">
      <c r="A129" s="9"/>
      <c r="B129" s="9" t="str">
        <f>IF(A129="","",COUNTIF('Raw Data'!H:H,A129))</f>
        <v/>
      </c>
      <c r="C129" s="9" t="str">
        <f>IF(A129="","",COUNTIFS('Raw Data'!H:H,A129,'Raw Data'!E:E,"Short"))</f>
        <v/>
      </c>
      <c r="D129" s="9" t="str">
        <f>IF(A129="","",COUNTIFS('Raw Data'!H:H,A129,'Raw Data'!E:E,"Excess"))</f>
        <v/>
      </c>
      <c r="E129" s="9" t="str">
        <f>IF(A129="","",SUMIF('Raw Data'!H:H,A129,'Raw Data'!D:D))</f>
        <v/>
      </c>
      <c r="F129" s="10" t="str">
        <f>IF(A129="","",_xlfn.MAXIFS('Raw Data'!A:A,'Raw Data'!H:H,A129,'Raw Data'!I:I,TEXT($A$4,"mmmm yyyy")))</f>
        <v/>
      </c>
      <c r="G129" s="9" t="str">
        <f t="shared" si="6"/>
        <v/>
      </c>
      <c r="H129" s="40"/>
    </row>
    <row r="130" spans="1:8" ht="20.100000000000001" customHeight="1" x14ac:dyDescent="0.25">
      <c r="A130" s="9"/>
      <c r="B130" s="9" t="str">
        <f>IF(A130="","",COUNTIF('Raw Data'!H:H,A130))</f>
        <v/>
      </c>
      <c r="C130" s="9" t="str">
        <f>IF(A130="","",COUNTIFS('Raw Data'!H:H,A130,'Raw Data'!E:E,"Short"))</f>
        <v/>
      </c>
      <c r="D130" s="9" t="str">
        <f>IF(A130="","",COUNTIFS('Raw Data'!H:H,A130,'Raw Data'!E:E,"Excess"))</f>
        <v/>
      </c>
      <c r="E130" s="9" t="str">
        <f>IF(A130="","",SUMIF('Raw Data'!H:H,A130,'Raw Data'!D:D))</f>
        <v/>
      </c>
      <c r="F130" s="10" t="str">
        <f>IF(A130="","",_xlfn.MAXIFS('Raw Data'!A:A,'Raw Data'!H:H,A130,'Raw Data'!I:I,TEXT($A$4,"mmmm yyyy")))</f>
        <v/>
      </c>
      <c r="G130" s="9" t="str">
        <f t="shared" si="6"/>
        <v/>
      </c>
      <c r="H130" s="40"/>
    </row>
    <row r="131" spans="1:8" ht="20.100000000000001" customHeight="1" x14ac:dyDescent="0.25">
      <c r="A131" s="9"/>
      <c r="B131" s="9" t="str">
        <f>IF(A131="","",COUNTIF('Raw Data'!H:H,A131))</f>
        <v/>
      </c>
      <c r="C131" s="9" t="str">
        <f>IF(A131="","",COUNTIFS('Raw Data'!H:H,A131,'Raw Data'!E:E,"Short"))</f>
        <v/>
      </c>
      <c r="D131" s="9" t="str">
        <f>IF(A131="","",COUNTIFS('Raw Data'!H:H,A131,'Raw Data'!E:E,"Excess"))</f>
        <v/>
      </c>
      <c r="E131" s="9" t="str">
        <f>IF(A131="","",SUMIF('Raw Data'!H:H,A131,'Raw Data'!D:D))</f>
        <v/>
      </c>
      <c r="F131" s="10" t="str">
        <f>IF(A131="","",_xlfn.MAXIFS('Raw Data'!A:A,'Raw Data'!H:H,A131,'Raw Data'!I:I,TEXT($A$4,"mmmm yyyy")))</f>
        <v/>
      </c>
      <c r="G131" s="9" t="str">
        <f t="shared" si="6"/>
        <v/>
      </c>
      <c r="H131" s="40"/>
    </row>
    <row r="132" spans="1:8" ht="20.100000000000001" customHeight="1" x14ac:dyDescent="0.25">
      <c r="A132" s="9"/>
      <c r="B132" s="9" t="str">
        <f>IF(A132="","",COUNTIF('Raw Data'!H:H,A132))</f>
        <v/>
      </c>
      <c r="C132" s="9" t="str">
        <f>IF(A132="","",COUNTIFS('Raw Data'!H:H,A132,'Raw Data'!E:E,"Short"))</f>
        <v/>
      </c>
      <c r="D132" s="9" t="str">
        <f>IF(A132="","",COUNTIFS('Raw Data'!H:H,A132,'Raw Data'!E:E,"Excess"))</f>
        <v/>
      </c>
      <c r="E132" s="9" t="str">
        <f>IF(A132="","",SUMIF('Raw Data'!H:H,A132,'Raw Data'!D:D))</f>
        <v/>
      </c>
      <c r="F132" s="10" t="str">
        <f>IF(A132="","",_xlfn.MAXIFS('Raw Data'!A:A,'Raw Data'!H:H,A132,'Raw Data'!I:I,TEXT($A$4,"mmmm yyyy")))</f>
        <v/>
      </c>
      <c r="G132" s="9" t="str">
        <f t="shared" si="6"/>
        <v/>
      </c>
      <c r="H132" s="40"/>
    </row>
    <row r="133" spans="1:8" ht="20.100000000000001" customHeight="1" x14ac:dyDescent="0.25">
      <c r="A133" s="9"/>
      <c r="B133" s="9" t="str">
        <f>IF(A133="","",COUNTIF('Raw Data'!H:H,A133))</f>
        <v/>
      </c>
      <c r="C133" s="9" t="str">
        <f>IF(A133="","",COUNTIFS('Raw Data'!H:H,A133,'Raw Data'!E:E,"Short"))</f>
        <v/>
      </c>
      <c r="D133" s="9" t="str">
        <f>IF(A133="","",COUNTIFS('Raw Data'!H:H,A133,'Raw Data'!E:E,"Excess"))</f>
        <v/>
      </c>
      <c r="E133" s="9" t="str">
        <f>IF(A133="","",SUMIF('Raw Data'!H:H,A133,'Raw Data'!D:D))</f>
        <v/>
      </c>
      <c r="F133" s="10" t="str">
        <f>IF(A133="","",_xlfn.MAXIFS('Raw Data'!A:A,'Raw Data'!H:H,A133,'Raw Data'!I:I,TEXT($A$4,"mmmm yyyy")))</f>
        <v/>
      </c>
      <c r="G133" s="9" t="str">
        <f t="shared" si="6"/>
        <v/>
      </c>
      <c r="H133" s="40"/>
    </row>
    <row r="134" spans="1:8" ht="20.100000000000001" customHeight="1" x14ac:dyDescent="0.25">
      <c r="A134" s="9"/>
      <c r="B134" s="9" t="str">
        <f>IF(A134="","",COUNTIF('Raw Data'!H:H,A134))</f>
        <v/>
      </c>
      <c r="C134" s="9" t="str">
        <f>IF(A134="","",COUNTIFS('Raw Data'!H:H,A134,'Raw Data'!E:E,"Short"))</f>
        <v/>
      </c>
      <c r="D134" s="9" t="str">
        <f>IF(A134="","",COUNTIFS('Raw Data'!H:H,A134,'Raw Data'!E:E,"Excess"))</f>
        <v/>
      </c>
      <c r="E134" s="9" t="str">
        <f>IF(A134="","",SUMIF('Raw Data'!H:H,A134,'Raw Data'!D:D))</f>
        <v/>
      </c>
      <c r="F134" s="10" t="str">
        <f>IF(A134="","",_xlfn.MAXIFS('Raw Data'!A:A,'Raw Data'!H:H,A134,'Raw Data'!I:I,TEXT($A$4,"mmmm yyyy")))</f>
        <v/>
      </c>
      <c r="G134" s="9" t="str">
        <f t="shared" si="6"/>
        <v/>
      </c>
      <c r="H134" s="40"/>
    </row>
    <row r="135" spans="1:8" ht="20.100000000000001" customHeight="1" x14ac:dyDescent="0.25">
      <c r="A135" s="9"/>
      <c r="B135" s="9" t="str">
        <f>IF(A135="","",COUNTIF('Raw Data'!H:H,A135))</f>
        <v/>
      </c>
      <c r="C135" s="9" t="str">
        <f>IF(A135="","",COUNTIFS('Raw Data'!H:H,A135,'Raw Data'!E:E,"Short"))</f>
        <v/>
      </c>
      <c r="D135" s="9" t="str">
        <f>IF(A135="","",COUNTIFS('Raw Data'!H:H,A135,'Raw Data'!E:E,"Excess"))</f>
        <v/>
      </c>
      <c r="E135" s="9" t="str">
        <f>IF(A135="","",SUMIF('Raw Data'!H:H,A135,'Raw Data'!D:D))</f>
        <v/>
      </c>
      <c r="F135" s="10" t="str">
        <f>IF(A135="","",_xlfn.MAXIFS('Raw Data'!A:A,'Raw Data'!H:H,A135,'Raw Data'!I:I,TEXT($A$4,"mmmm yyyy")))</f>
        <v/>
      </c>
      <c r="G135" s="9" t="str">
        <f t="shared" ref="G135:G158" si="7">IF(A135="","",IF(C135&gt;D135,"Short",IF(D135&gt;C135,"Excess", "Equal")))</f>
        <v/>
      </c>
      <c r="H135" s="40"/>
    </row>
    <row r="136" spans="1:8" ht="20.100000000000001" customHeight="1" x14ac:dyDescent="0.25">
      <c r="A136" s="9"/>
      <c r="B136" s="9" t="str">
        <f>IF(A136="","",COUNTIF('Raw Data'!H:H,A136))</f>
        <v/>
      </c>
      <c r="C136" s="9" t="str">
        <f>IF(A136="","",COUNTIFS('Raw Data'!H:H,A136,'Raw Data'!E:E,"Short"))</f>
        <v/>
      </c>
      <c r="D136" s="9" t="str">
        <f>IF(A136="","",COUNTIFS('Raw Data'!H:H,A136,'Raw Data'!E:E,"Excess"))</f>
        <v/>
      </c>
      <c r="E136" s="9" t="str">
        <f>IF(A136="","",SUMIF('Raw Data'!H:H,A136,'Raw Data'!D:D))</f>
        <v/>
      </c>
      <c r="F136" s="10" t="str">
        <f>IF(A136="","",_xlfn.MAXIFS('Raw Data'!A:A,'Raw Data'!H:H,A136,'Raw Data'!I:I,TEXT($A$4,"mmmm yyyy")))</f>
        <v/>
      </c>
      <c r="G136" s="9" t="str">
        <f t="shared" si="7"/>
        <v/>
      </c>
      <c r="H136" s="40"/>
    </row>
    <row r="137" spans="1:8" ht="20.100000000000001" customHeight="1" x14ac:dyDescent="0.25">
      <c r="A137" s="9"/>
      <c r="B137" s="9" t="str">
        <f>IF(A137="","",COUNTIF('Raw Data'!H:H,A137))</f>
        <v/>
      </c>
      <c r="C137" s="9" t="str">
        <f>IF(A137="","",COUNTIFS('Raw Data'!H:H,A137,'Raw Data'!E:E,"Short"))</f>
        <v/>
      </c>
      <c r="D137" s="9" t="str">
        <f>IF(A137="","",COUNTIFS('Raw Data'!H:H,A137,'Raw Data'!E:E,"Excess"))</f>
        <v/>
      </c>
      <c r="E137" s="9" t="str">
        <f>IF(A137="","",SUMIF('Raw Data'!H:H,A137,'Raw Data'!D:D))</f>
        <v/>
      </c>
      <c r="F137" s="10" t="str">
        <f>IF(A137="","",_xlfn.MAXIFS('Raw Data'!A:A,'Raw Data'!H:H,A137,'Raw Data'!I:I,TEXT($A$4,"mmmm yyyy")))</f>
        <v/>
      </c>
      <c r="G137" s="9" t="str">
        <f t="shared" si="7"/>
        <v/>
      </c>
      <c r="H137" s="40"/>
    </row>
    <row r="138" spans="1:8" ht="20.100000000000001" customHeight="1" x14ac:dyDescent="0.25">
      <c r="A138" s="9"/>
      <c r="B138" s="9" t="str">
        <f>IF(A138="","",COUNTIF('Raw Data'!H:H,A138))</f>
        <v/>
      </c>
      <c r="C138" s="9" t="str">
        <f>IF(A138="","",COUNTIFS('Raw Data'!H:H,A138,'Raw Data'!E:E,"Short"))</f>
        <v/>
      </c>
      <c r="D138" s="9" t="str">
        <f>IF(A138="","",COUNTIFS('Raw Data'!H:H,A138,'Raw Data'!E:E,"Excess"))</f>
        <v/>
      </c>
      <c r="E138" s="9" t="str">
        <f>IF(A138="","",SUMIF('Raw Data'!H:H,A138,'Raw Data'!D:D))</f>
        <v/>
      </c>
      <c r="F138" s="10" t="str">
        <f>IF(A138="","",_xlfn.MAXIFS('Raw Data'!A:A,'Raw Data'!H:H,A138,'Raw Data'!I:I,TEXT($A$4,"mmmm yyyy")))</f>
        <v/>
      </c>
      <c r="G138" s="9" t="str">
        <f t="shared" si="7"/>
        <v/>
      </c>
      <c r="H138" s="40"/>
    </row>
    <row r="139" spans="1:8" ht="20.100000000000001" customHeight="1" x14ac:dyDescent="0.25">
      <c r="A139" s="9"/>
      <c r="B139" s="9" t="str">
        <f>IF(A139="","",COUNTIF('Raw Data'!H:H,A139))</f>
        <v/>
      </c>
      <c r="C139" s="9" t="str">
        <f>IF(A139="","",COUNTIFS('Raw Data'!H:H,A139,'Raw Data'!E:E,"Short"))</f>
        <v/>
      </c>
      <c r="D139" s="9" t="str">
        <f>IF(A139="","",COUNTIFS('Raw Data'!H:H,A139,'Raw Data'!E:E,"Excess"))</f>
        <v/>
      </c>
      <c r="E139" s="9" t="str">
        <f>IF(A139="","",SUMIF('Raw Data'!H:H,A139,'Raw Data'!D:D))</f>
        <v/>
      </c>
      <c r="F139" s="10" t="str">
        <f>IF(A139="","",_xlfn.MAXIFS('Raw Data'!A:A,'Raw Data'!H:H,A139,'Raw Data'!I:I,TEXT($A$4,"mmmm yyyy")))</f>
        <v/>
      </c>
      <c r="G139" s="9" t="str">
        <f t="shared" si="7"/>
        <v/>
      </c>
      <c r="H139" s="40"/>
    </row>
    <row r="140" spans="1:8" ht="20.100000000000001" customHeight="1" x14ac:dyDescent="0.25">
      <c r="A140" s="9"/>
      <c r="B140" s="9" t="str">
        <f>IF(A140="","",COUNTIF('Raw Data'!H:H,A140))</f>
        <v/>
      </c>
      <c r="C140" s="9" t="str">
        <f>IF(A140="","",COUNTIFS('Raw Data'!H:H,A140,'Raw Data'!E:E,"Short"))</f>
        <v/>
      </c>
      <c r="D140" s="9" t="str">
        <f>IF(A140="","",COUNTIFS('Raw Data'!H:H,A140,'Raw Data'!E:E,"Excess"))</f>
        <v/>
      </c>
      <c r="E140" s="9" t="str">
        <f>IF(A140="","",SUMIF('Raw Data'!H:H,A140,'Raw Data'!D:D))</f>
        <v/>
      </c>
      <c r="F140" s="10" t="str">
        <f>IF(A140="","",_xlfn.MAXIFS('Raw Data'!A:A,'Raw Data'!H:H,A140,'Raw Data'!I:I,TEXT($A$4,"mmmm yyyy")))</f>
        <v/>
      </c>
      <c r="G140" s="9" t="str">
        <f t="shared" si="7"/>
        <v/>
      </c>
      <c r="H140" s="40"/>
    </row>
    <row r="141" spans="1:8" ht="20.100000000000001" customHeight="1" x14ac:dyDescent="0.25">
      <c r="A141" s="9"/>
      <c r="B141" s="9" t="str">
        <f>IF(A141="","",COUNTIF('Raw Data'!H:H,A141))</f>
        <v/>
      </c>
      <c r="C141" s="9" t="str">
        <f>IF(A141="","",COUNTIFS('Raw Data'!H:H,A141,'Raw Data'!E:E,"Short"))</f>
        <v/>
      </c>
      <c r="D141" s="9" t="str">
        <f>IF(A141="","",COUNTIFS('Raw Data'!H:H,A141,'Raw Data'!E:E,"Excess"))</f>
        <v/>
      </c>
      <c r="E141" s="9" t="str">
        <f>IF(A141="","",SUMIF('Raw Data'!H:H,A141,'Raw Data'!D:D))</f>
        <v/>
      </c>
      <c r="F141" s="10" t="str">
        <f>IF(A141="","",_xlfn.MAXIFS('Raw Data'!A:A,'Raw Data'!H:H,A141,'Raw Data'!I:I,TEXT($A$4,"mmmm yyyy")))</f>
        <v/>
      </c>
      <c r="G141" s="9" t="str">
        <f t="shared" si="7"/>
        <v/>
      </c>
      <c r="H141" s="40"/>
    </row>
    <row r="142" spans="1:8" ht="20.100000000000001" customHeight="1" x14ac:dyDescent="0.25">
      <c r="A142" s="9"/>
      <c r="B142" s="9" t="str">
        <f>IF(A142="","",COUNTIF('Raw Data'!H:H,A142))</f>
        <v/>
      </c>
      <c r="C142" s="9" t="str">
        <f>IF(A142="","",COUNTIFS('Raw Data'!H:H,A142,'Raw Data'!E:E,"Short"))</f>
        <v/>
      </c>
      <c r="D142" s="9" t="str">
        <f>IF(A142="","",COUNTIFS('Raw Data'!H:H,A142,'Raw Data'!E:E,"Excess"))</f>
        <v/>
      </c>
      <c r="E142" s="9" t="str">
        <f>IF(A142="","",SUMIF('Raw Data'!H:H,A142,'Raw Data'!D:D))</f>
        <v/>
      </c>
      <c r="F142" s="10" t="str">
        <f>IF(A142="","",_xlfn.MAXIFS('Raw Data'!A:A,'Raw Data'!H:H,A142,'Raw Data'!I:I,TEXT($A$4,"mmmm yyyy")))</f>
        <v/>
      </c>
      <c r="G142" s="9" t="str">
        <f t="shared" si="7"/>
        <v/>
      </c>
      <c r="H142" s="40"/>
    </row>
    <row r="143" spans="1:8" ht="20.100000000000001" customHeight="1" x14ac:dyDescent="0.25">
      <c r="A143" s="9"/>
      <c r="B143" s="9" t="str">
        <f>IF(A143="","",COUNTIF('Raw Data'!H:H,A143))</f>
        <v/>
      </c>
      <c r="C143" s="9" t="str">
        <f>IF(A143="","",COUNTIFS('Raw Data'!H:H,A143,'Raw Data'!E:E,"Short"))</f>
        <v/>
      </c>
      <c r="D143" s="9" t="str">
        <f>IF(A143="","",COUNTIFS('Raw Data'!H:H,A143,'Raw Data'!E:E,"Excess"))</f>
        <v/>
      </c>
      <c r="E143" s="9" t="str">
        <f>IF(A143="","",SUMIF('Raw Data'!H:H,A143,'Raw Data'!D:D))</f>
        <v/>
      </c>
      <c r="F143" s="10" t="str">
        <f>IF(A143="","",_xlfn.MAXIFS('Raw Data'!A:A,'Raw Data'!H:H,A143,'Raw Data'!I:I,TEXT($A$4,"mmmm yyyy")))</f>
        <v/>
      </c>
      <c r="G143" s="9" t="str">
        <f t="shared" si="7"/>
        <v/>
      </c>
      <c r="H143" s="40"/>
    </row>
    <row r="144" spans="1:8" ht="20.100000000000001" customHeight="1" x14ac:dyDescent="0.25">
      <c r="A144" s="9"/>
      <c r="B144" s="9" t="str">
        <f>IF(A144="","",COUNTIF('Raw Data'!H:H,A144))</f>
        <v/>
      </c>
      <c r="C144" s="9" t="str">
        <f>IF(A144="","",COUNTIFS('Raw Data'!H:H,A144,'Raw Data'!E:E,"Short"))</f>
        <v/>
      </c>
      <c r="D144" s="9" t="str">
        <f>IF(A144="","",COUNTIFS('Raw Data'!H:H,A144,'Raw Data'!E:E,"Excess"))</f>
        <v/>
      </c>
      <c r="E144" s="9" t="str">
        <f>IF(A144="","",SUMIF('Raw Data'!H:H,A144,'Raw Data'!D:D))</f>
        <v/>
      </c>
      <c r="F144" s="10" t="str">
        <f>IF(A144="","",_xlfn.MAXIFS('Raw Data'!A:A,'Raw Data'!H:H,A144,'Raw Data'!I:I,TEXT($A$4,"mmmm yyyy")))</f>
        <v/>
      </c>
      <c r="G144" s="9" t="str">
        <f t="shared" si="7"/>
        <v/>
      </c>
      <c r="H144" s="40"/>
    </row>
    <row r="145" spans="1:8" ht="20.100000000000001" customHeight="1" x14ac:dyDescent="0.25">
      <c r="A145" s="9"/>
      <c r="B145" s="9" t="str">
        <f>IF(A145="","",COUNTIF('Raw Data'!H:H,A145))</f>
        <v/>
      </c>
      <c r="C145" s="9" t="str">
        <f>IF(A145="","",COUNTIFS('Raw Data'!H:H,A145,'Raw Data'!E:E,"Short"))</f>
        <v/>
      </c>
      <c r="D145" s="9" t="str">
        <f>IF(A145="","",COUNTIFS('Raw Data'!H:H,A145,'Raw Data'!E:E,"Excess"))</f>
        <v/>
      </c>
      <c r="E145" s="9" t="str">
        <f>IF(A145="","",SUMIF('Raw Data'!H:H,A145,'Raw Data'!D:D))</f>
        <v/>
      </c>
      <c r="F145" s="10" t="str">
        <f>IF(A145="","",_xlfn.MAXIFS('Raw Data'!A:A,'Raw Data'!H:H,A145,'Raw Data'!I:I,TEXT($A$4,"mmmm yyyy")))</f>
        <v/>
      </c>
      <c r="G145" s="9" t="str">
        <f t="shared" si="7"/>
        <v/>
      </c>
      <c r="H145" s="40"/>
    </row>
    <row r="146" spans="1:8" ht="20.100000000000001" customHeight="1" x14ac:dyDescent="0.25">
      <c r="A146" s="9"/>
      <c r="B146" s="9" t="str">
        <f>IF(A146="","",COUNTIF('Raw Data'!H:H,A146))</f>
        <v/>
      </c>
      <c r="C146" s="9" t="str">
        <f>IF(A146="","",COUNTIFS('Raw Data'!H:H,A146,'Raw Data'!E:E,"Short"))</f>
        <v/>
      </c>
      <c r="D146" s="9" t="str">
        <f>IF(A146="","",COUNTIFS('Raw Data'!H:H,A146,'Raw Data'!E:E,"Excess"))</f>
        <v/>
      </c>
      <c r="E146" s="9" t="str">
        <f>IF(A146="","",SUMIF('Raw Data'!H:H,A146,'Raw Data'!D:D))</f>
        <v/>
      </c>
      <c r="F146" s="10" t="str">
        <f>IF(A146="","",_xlfn.MAXIFS('Raw Data'!A:A,'Raw Data'!H:H,A146,'Raw Data'!I:I,TEXT($A$4,"mmmm yyyy")))</f>
        <v/>
      </c>
      <c r="G146" s="9" t="str">
        <f t="shared" si="7"/>
        <v/>
      </c>
      <c r="H146" s="40"/>
    </row>
    <row r="147" spans="1:8" ht="20.100000000000001" customHeight="1" x14ac:dyDescent="0.25">
      <c r="A147" s="9"/>
      <c r="B147" s="9" t="str">
        <f>IF(A147="","",COUNTIF('Raw Data'!H:H,A147))</f>
        <v/>
      </c>
      <c r="C147" s="9" t="str">
        <f>IF(A147="","",COUNTIFS('Raw Data'!H:H,A147,'Raw Data'!E:E,"Short"))</f>
        <v/>
      </c>
      <c r="D147" s="9" t="str">
        <f>IF(A147="","",COUNTIFS('Raw Data'!H:H,A147,'Raw Data'!E:E,"Excess"))</f>
        <v/>
      </c>
      <c r="E147" s="9" t="str">
        <f>IF(A147="","",SUMIF('Raw Data'!H:H,A147,'Raw Data'!D:D))</f>
        <v/>
      </c>
      <c r="F147" s="10" t="str">
        <f>IF(A147="","",_xlfn.MAXIFS('Raw Data'!A:A,'Raw Data'!H:H,A147,'Raw Data'!I:I,TEXT($A$4,"mmmm yyyy")))</f>
        <v/>
      </c>
      <c r="G147" s="9" t="str">
        <f t="shared" si="7"/>
        <v/>
      </c>
      <c r="H147" s="40"/>
    </row>
    <row r="148" spans="1:8" ht="20.100000000000001" customHeight="1" x14ac:dyDescent="0.25">
      <c r="A148" s="9"/>
      <c r="B148" s="9" t="str">
        <f>IF(A148="","",COUNTIF('Raw Data'!H:H,A148))</f>
        <v/>
      </c>
      <c r="C148" s="9" t="str">
        <f>IF(A148="","",COUNTIFS('Raw Data'!H:H,A148,'Raw Data'!E:E,"Short"))</f>
        <v/>
      </c>
      <c r="D148" s="9" t="str">
        <f>IF(A148="","",COUNTIFS('Raw Data'!H:H,A148,'Raw Data'!E:E,"Excess"))</f>
        <v/>
      </c>
      <c r="E148" s="9" t="str">
        <f>IF(A148="","",SUMIF('Raw Data'!H:H,A148,'Raw Data'!D:D))</f>
        <v/>
      </c>
      <c r="F148" s="10" t="str">
        <f>IF(A148="","",_xlfn.MAXIFS('Raw Data'!A:A,'Raw Data'!H:H,A148,'Raw Data'!I:I,TEXT($A$4,"mmmm yyyy")))</f>
        <v/>
      </c>
      <c r="G148" s="9" t="str">
        <f t="shared" si="7"/>
        <v/>
      </c>
      <c r="H148" s="40"/>
    </row>
    <row r="149" spans="1:8" ht="20.100000000000001" customHeight="1" x14ac:dyDescent="0.25">
      <c r="A149" s="9"/>
      <c r="B149" s="9" t="str">
        <f>IF(A149="","",COUNTIF('Raw Data'!H:H,A149))</f>
        <v/>
      </c>
      <c r="C149" s="9" t="str">
        <f>IF(A149="","",COUNTIFS('Raw Data'!H:H,A149,'Raw Data'!E:E,"Short"))</f>
        <v/>
      </c>
      <c r="D149" s="9" t="str">
        <f>IF(A149="","",COUNTIFS('Raw Data'!H:H,A149,'Raw Data'!E:E,"Excess"))</f>
        <v/>
      </c>
      <c r="E149" s="9" t="str">
        <f>IF(A149="","",SUMIF('Raw Data'!H:H,A149,'Raw Data'!D:D))</f>
        <v/>
      </c>
      <c r="F149" s="10" t="str">
        <f>IF(A149="","",_xlfn.MAXIFS('Raw Data'!A:A,'Raw Data'!H:H,A149,'Raw Data'!I:I,TEXT($A$4,"mmmm yyyy")))</f>
        <v/>
      </c>
      <c r="G149" s="9" t="str">
        <f t="shared" si="7"/>
        <v/>
      </c>
      <c r="H149" s="40"/>
    </row>
    <row r="150" spans="1:8" ht="20.100000000000001" customHeight="1" x14ac:dyDescent="0.25">
      <c r="A150" s="9"/>
      <c r="B150" s="9" t="str">
        <f>IF(A150="","",COUNTIF('Raw Data'!H:H,A150))</f>
        <v/>
      </c>
      <c r="C150" s="9" t="str">
        <f>IF(A150="","",COUNTIFS('Raw Data'!H:H,A150,'Raw Data'!E:E,"Short"))</f>
        <v/>
      </c>
      <c r="D150" s="9" t="str">
        <f>IF(A150="","",COUNTIFS('Raw Data'!H:H,A150,'Raw Data'!E:E,"Excess"))</f>
        <v/>
      </c>
      <c r="E150" s="9" t="str">
        <f>IF(A150="","",SUMIF('Raw Data'!H:H,A150,'Raw Data'!D:D))</f>
        <v/>
      </c>
      <c r="F150" s="10" t="str">
        <f>IF(A150="","",_xlfn.MAXIFS('Raw Data'!A:A,'Raw Data'!H:H,A150,'Raw Data'!I:I,TEXT($A$4,"mmmm yyyy")))</f>
        <v/>
      </c>
      <c r="G150" s="9" t="str">
        <f t="shared" si="7"/>
        <v/>
      </c>
      <c r="H150" s="40"/>
    </row>
    <row r="151" spans="1:8" ht="20.100000000000001" customHeight="1" x14ac:dyDescent="0.25">
      <c r="A151" s="9"/>
      <c r="B151" s="9" t="str">
        <f>IF(A151="","",COUNTIF('Raw Data'!H:H,A151))</f>
        <v/>
      </c>
      <c r="C151" s="9" t="str">
        <f>IF(A151="","",COUNTIFS('Raw Data'!H:H,A151,'Raw Data'!E:E,"Short"))</f>
        <v/>
      </c>
      <c r="D151" s="9" t="str">
        <f>IF(A151="","",COUNTIFS('Raw Data'!H:H,A151,'Raw Data'!E:E,"Excess"))</f>
        <v/>
      </c>
      <c r="E151" s="9" t="str">
        <f>IF(A151="","",SUMIF('Raw Data'!H:H,A151,'Raw Data'!D:D))</f>
        <v/>
      </c>
      <c r="F151" s="10" t="str">
        <f>IF(A151="","",_xlfn.MAXIFS('Raw Data'!A:A,'Raw Data'!H:H,A151,'Raw Data'!I:I,TEXT($A$4,"mmmm yyyy")))</f>
        <v/>
      </c>
      <c r="G151" s="9" t="str">
        <f t="shared" si="7"/>
        <v/>
      </c>
      <c r="H151" s="40"/>
    </row>
    <row r="152" spans="1:8" ht="20.100000000000001" customHeight="1" x14ac:dyDescent="0.25">
      <c r="A152" s="9"/>
      <c r="B152" s="9" t="str">
        <f>IF(A152="","",COUNTIF('Raw Data'!H:H,A152))</f>
        <v/>
      </c>
      <c r="C152" s="9" t="str">
        <f>IF(A152="","",COUNTIFS('Raw Data'!H:H,A152,'Raw Data'!E:E,"Short"))</f>
        <v/>
      </c>
      <c r="D152" s="9" t="str">
        <f>IF(A152="","",COUNTIFS('Raw Data'!H:H,A152,'Raw Data'!E:E,"Excess"))</f>
        <v/>
      </c>
      <c r="E152" s="9" t="str">
        <f>IF(A152="","",SUMIF('Raw Data'!H:H,A152,'Raw Data'!D:D))</f>
        <v/>
      </c>
      <c r="F152" s="10" t="str">
        <f>IF(A152="","",_xlfn.MAXIFS('Raw Data'!A:A,'Raw Data'!H:H,A152,'Raw Data'!I:I,TEXT($A$4,"mmmm yyyy")))</f>
        <v/>
      </c>
      <c r="G152" s="9" t="str">
        <f t="shared" si="7"/>
        <v/>
      </c>
      <c r="H152" s="40"/>
    </row>
    <row r="153" spans="1:8" ht="20.100000000000001" customHeight="1" x14ac:dyDescent="0.25">
      <c r="A153" s="9"/>
      <c r="B153" s="9" t="str">
        <f>IF(A153="","",COUNTIF('Raw Data'!H:H,A153))</f>
        <v/>
      </c>
      <c r="C153" s="9" t="str">
        <f>IF(A153="","",COUNTIFS('Raw Data'!H:H,A153,'Raw Data'!E:E,"Short"))</f>
        <v/>
      </c>
      <c r="D153" s="9" t="str">
        <f>IF(A153="","",COUNTIFS('Raw Data'!H:H,A153,'Raw Data'!E:E,"Excess"))</f>
        <v/>
      </c>
      <c r="E153" s="9" t="str">
        <f>IF(A153="","",SUMIF('Raw Data'!H:H,A153,'Raw Data'!D:D))</f>
        <v/>
      </c>
      <c r="F153" s="10" t="str">
        <f>IF(A153="","",_xlfn.MAXIFS('Raw Data'!A:A,'Raw Data'!H:H,A153,'Raw Data'!I:I,TEXT($A$4,"mmmm yyyy")))</f>
        <v/>
      </c>
      <c r="G153" s="9" t="str">
        <f t="shared" si="7"/>
        <v/>
      </c>
      <c r="H153" s="40"/>
    </row>
    <row r="154" spans="1:8" ht="20.100000000000001" customHeight="1" x14ac:dyDescent="0.25">
      <c r="A154" s="9"/>
      <c r="B154" s="9" t="str">
        <f>IF(A154="","",COUNTIF('Raw Data'!H:H,A154))</f>
        <v/>
      </c>
      <c r="C154" s="9" t="str">
        <f>IF(A154="","",COUNTIFS('Raw Data'!H:H,A154,'Raw Data'!E:E,"Short"))</f>
        <v/>
      </c>
      <c r="D154" s="9" t="str">
        <f>IF(A154="","",COUNTIFS('Raw Data'!H:H,A154,'Raw Data'!E:E,"Excess"))</f>
        <v/>
      </c>
      <c r="E154" s="9" t="str">
        <f>IF(A154="","",SUMIF('Raw Data'!H:H,A154,'Raw Data'!D:D))</f>
        <v/>
      </c>
      <c r="F154" s="10" t="str">
        <f>IF(A154="","",_xlfn.MAXIFS('Raw Data'!A:A,'Raw Data'!H:H,A154,'Raw Data'!I:I,TEXT($A$4,"mmmm yyyy")))</f>
        <v/>
      </c>
      <c r="G154" s="9" t="str">
        <f t="shared" si="7"/>
        <v/>
      </c>
      <c r="H154" s="40"/>
    </row>
    <row r="155" spans="1:8" ht="20.100000000000001" customHeight="1" x14ac:dyDescent="0.25">
      <c r="A155" s="9"/>
      <c r="B155" s="9" t="str">
        <f>IF(A155="","",COUNTIF('Raw Data'!H:H,A155))</f>
        <v/>
      </c>
      <c r="C155" s="9" t="str">
        <f>IF(A155="","",COUNTIFS('Raw Data'!H:H,A155,'Raw Data'!E:E,"Short"))</f>
        <v/>
      </c>
      <c r="D155" s="9" t="str">
        <f>IF(A155="","",COUNTIFS('Raw Data'!H:H,A155,'Raw Data'!E:E,"Excess"))</f>
        <v/>
      </c>
      <c r="E155" s="9" t="str">
        <f>IF(A155="","",SUMIF('Raw Data'!H:H,A155,'Raw Data'!D:D))</f>
        <v/>
      </c>
      <c r="F155" s="10" t="str">
        <f>IF(A155="","",_xlfn.MAXIFS('Raw Data'!A:A,'Raw Data'!H:H,A155,'Raw Data'!I:I,TEXT($A$4,"mmmm yyyy")))</f>
        <v/>
      </c>
      <c r="G155" s="9" t="str">
        <f t="shared" si="7"/>
        <v/>
      </c>
      <c r="H155" s="40"/>
    </row>
    <row r="156" spans="1:8" ht="20.100000000000001" customHeight="1" x14ac:dyDescent="0.25">
      <c r="A156" s="9"/>
      <c r="B156" s="9" t="str">
        <f>IF(A156="","",COUNTIF('Raw Data'!H:H,A156))</f>
        <v/>
      </c>
      <c r="C156" s="9" t="str">
        <f>IF(A156="","",COUNTIFS('Raw Data'!H:H,A156,'Raw Data'!E:E,"Short"))</f>
        <v/>
      </c>
      <c r="D156" s="9" t="str">
        <f>IF(A156="","",COUNTIFS('Raw Data'!H:H,A156,'Raw Data'!E:E,"Excess"))</f>
        <v/>
      </c>
      <c r="E156" s="9" t="str">
        <f>IF(A156="","",SUMIF('Raw Data'!H:H,A156,'Raw Data'!D:D))</f>
        <v/>
      </c>
      <c r="F156" s="10" t="str">
        <f>IF(A156="","",_xlfn.MAXIFS('Raw Data'!A:A,'Raw Data'!H:H,A156,'Raw Data'!I:I,TEXT($A$4,"mmmm yyyy")))</f>
        <v/>
      </c>
      <c r="G156" s="9" t="str">
        <f t="shared" si="7"/>
        <v/>
      </c>
      <c r="H156" s="40"/>
    </row>
    <row r="157" spans="1:8" ht="20.100000000000001" customHeight="1" x14ac:dyDescent="0.25">
      <c r="A157" s="9"/>
      <c r="B157" s="9" t="str">
        <f>IF(A157="","",COUNTIF('Raw Data'!H:H,A157))</f>
        <v/>
      </c>
      <c r="C157" s="9" t="str">
        <f>IF(A157="","",COUNTIFS('Raw Data'!H:H,A157,'Raw Data'!E:E,"Short"))</f>
        <v/>
      </c>
      <c r="D157" s="9" t="str">
        <f>IF(A157="","",COUNTIFS('Raw Data'!H:H,A157,'Raw Data'!E:E,"Excess"))</f>
        <v/>
      </c>
      <c r="E157" s="9" t="str">
        <f>IF(A157="","",SUMIF('Raw Data'!H:H,A157,'Raw Data'!D:D))</f>
        <v/>
      </c>
      <c r="F157" s="10" t="str">
        <f>IF(A157="","",_xlfn.MAXIFS('Raw Data'!A:A,'Raw Data'!H:H,A157,'Raw Data'!I:I,TEXT($A$4,"mmmm yyyy")))</f>
        <v/>
      </c>
      <c r="G157" s="9" t="str">
        <f t="shared" si="7"/>
        <v/>
      </c>
      <c r="H157" s="40"/>
    </row>
    <row r="158" spans="1:8" ht="20.100000000000001" customHeight="1" x14ac:dyDescent="0.25">
      <c r="A158" s="9"/>
      <c r="B158" s="9" t="str">
        <f>IF(A158="","",COUNTIF('Raw Data'!H:H,A158))</f>
        <v/>
      </c>
      <c r="C158" s="9" t="str">
        <f>IF(A158="","",COUNTIFS('Raw Data'!H:H,A158,'Raw Data'!E:E,"Short"))</f>
        <v/>
      </c>
      <c r="D158" s="9" t="str">
        <f>IF(A158="","",COUNTIFS('Raw Data'!H:H,A158,'Raw Data'!E:E,"Excess"))</f>
        <v/>
      </c>
      <c r="E158" s="9" t="str">
        <f>IF(A158="","",SUMIF('Raw Data'!H:H,A158,'Raw Data'!D:D))</f>
        <v/>
      </c>
      <c r="F158" s="10" t="str">
        <f>IF(A158="","",_xlfn.MAXIFS('Raw Data'!A:A,'Raw Data'!H:H,A158,'Raw Data'!I:I,TEXT($A$4,"mmmm yyyy")))</f>
        <v/>
      </c>
      <c r="G158" s="9" t="str">
        <f t="shared" si="7"/>
        <v/>
      </c>
      <c r="H158" s="40"/>
    </row>
    <row r="1048576" spans="3:3" ht="24.95" customHeight="1" x14ac:dyDescent="0.25">
      <c r="C1048576" t="str">
        <f>IF(A1048576="","",COUNTIFS('Raw Data'!H:H,A1048576,'Raw Data'!E:E,"Short"))</f>
        <v/>
      </c>
    </row>
  </sheetData>
  <sheetProtection algorithmName="SHA-512" hashValue="VVlsf24FSRQzBe27gscrI5l9bO6Gqajwx+/1c6ivTUSHAia9iHtOr/u0OyW+kaQ5GS8TT5KjlST3jPjXHrVnMQ==" saltValue="iK4xFcBInKMrG9v3fXm33A==" spinCount="100000" sheet="1" objects="1" scenarios="1"/>
  <mergeCells count="2">
    <mergeCell ref="A1:H1"/>
    <mergeCell ref="B4:C4"/>
  </mergeCells>
  <conditionalFormatting sqref="B7:B1048576">
    <cfRule type="colorScale" priority="2">
      <colorScale>
        <cfvo type="min"/>
        <cfvo type="percentile" val="50"/>
        <cfvo type="max"/>
        <color rgb="FFC00000"/>
        <color rgb="FFFFFF00"/>
        <color theme="9"/>
      </colorScale>
    </cfRule>
  </conditionalFormatting>
  <conditionalFormatting sqref="H7:H1048576">
    <cfRule type="colorScale" priority="1">
      <colorScale>
        <cfvo type="min"/>
        <cfvo type="percentile" val="50"/>
        <cfvo type="max"/>
        <color theme="9"/>
        <color rgb="FFFFFF00"/>
        <color rgb="FFC00000"/>
      </colorScale>
    </cfRule>
  </conditionalFormatting>
  <conditionalFormatting sqref="J6">
    <cfRule type="containsText" dxfId="23" priority="6" operator="containsText" text="High">
      <formula>NOT(ISERROR(SEARCH("High",J6)))</formula>
    </cfRule>
    <cfRule type="containsText" dxfId="22" priority="7" operator="containsText" text="Medium">
      <formula>NOT(ISERROR(SEARCH("Medium",J6)))</formula>
    </cfRule>
    <cfRule type="containsText" dxfId="21" priority="8" operator="containsText" text="Low">
      <formula>NOT(ISERROR(SEARCH("Low",J6)))</formula>
    </cfRule>
  </conditionalFormatting>
  <conditionalFormatting sqref="L6">
    <cfRule type="containsText" dxfId="20" priority="3" operator="containsText" text="High">
      <formula>NOT(ISERROR(SEARCH("High",L6)))</formula>
    </cfRule>
    <cfRule type="containsText" dxfId="19" priority="4" operator="containsText" text="Medium">
      <formula>NOT(ISERROR(SEARCH("Medium",L6)))</formula>
    </cfRule>
    <cfRule type="containsText" dxfId="18" priority="5" operator="containsText" text="Low">
      <formula>NOT(ISERROR(SEARCH("Low",L6)))</formula>
    </cfRule>
  </conditionalFormatting>
  <dataValidations count="1">
    <dataValidation type="list" allowBlank="1" showInputMessage="1" showErrorMessage="1" sqref="A4" xr:uid="{0866E487-5AD1-46D3-9A18-C99711A333F2}">
      <formula1>$J$7:$J$8000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8833-20D5-4FE8-AF4D-197579590A22}">
  <sheetPr codeName="Sheet6">
    <tabColor theme="9" tint="-0.499984740745262"/>
  </sheetPr>
  <dimension ref="A1:L145"/>
  <sheetViews>
    <sheetView showGridLines="0" zoomScaleNormal="100" workbookViewId="0">
      <pane ySplit="6" topLeftCell="A7" activePane="bottomLeft" state="frozen"/>
      <selection pane="bottomLeft" activeCell="A4" sqref="A4"/>
    </sheetView>
  </sheetViews>
  <sheetFormatPr defaultColWidth="37.7109375" defaultRowHeight="24.95" customHeight="1" x14ac:dyDescent="0.25"/>
  <sheetData>
    <row r="1" spans="1:12" ht="24.95" customHeight="1" x14ac:dyDescent="0.45">
      <c r="A1" s="73" t="s">
        <v>36</v>
      </c>
      <c r="B1" s="73"/>
      <c r="C1" s="73"/>
      <c r="D1" s="73"/>
      <c r="E1" s="73"/>
    </row>
    <row r="2" spans="1:12" ht="13.5" customHeight="1" x14ac:dyDescent="0.25">
      <c r="A2" s="13"/>
      <c r="B2" s="13"/>
      <c r="C2" s="13"/>
      <c r="D2" s="13"/>
      <c r="E2" s="13"/>
    </row>
    <row r="3" spans="1:12" ht="24.95" customHeight="1" x14ac:dyDescent="0.25">
      <c r="A3" s="17"/>
      <c r="B3" s="13"/>
      <c r="C3" s="13"/>
      <c r="D3" s="13"/>
      <c r="E3" s="52">
        <f>SUM(E7:E1000)</f>
        <v>726</v>
      </c>
    </row>
    <row r="4" spans="1:12" ht="35.25" customHeight="1" x14ac:dyDescent="0.25">
      <c r="A4" s="42" t="s">
        <v>277</v>
      </c>
      <c r="B4" s="15">
        <f>COUNTA(_xlfn.ANCHORARRAY(A7))</f>
        <v>23</v>
      </c>
      <c r="C4" s="15">
        <f>SUM(B7:B10000)</f>
        <v>65</v>
      </c>
      <c r="D4" s="15">
        <f>SUM(C7:C10000)</f>
        <v>44</v>
      </c>
      <c r="E4" s="17">
        <f>SUM(D7:D1000)</f>
        <v>21</v>
      </c>
    </row>
    <row r="5" spans="1:12" ht="19.5" customHeight="1" x14ac:dyDescent="0.25">
      <c r="A5" s="72"/>
      <c r="B5" s="72"/>
      <c r="C5" s="72"/>
      <c r="D5" s="72"/>
      <c r="E5" s="72"/>
    </row>
    <row r="6" spans="1:12" s="5" customFormat="1" ht="26.25" customHeight="1" x14ac:dyDescent="0.3">
      <c r="A6" s="11" t="s">
        <v>33</v>
      </c>
      <c r="B6" s="11" t="s">
        <v>34</v>
      </c>
      <c r="C6" s="11" t="s">
        <v>9</v>
      </c>
      <c r="D6" s="11" t="s">
        <v>35</v>
      </c>
      <c r="E6" s="11" t="s">
        <v>24</v>
      </c>
      <c r="F6"/>
      <c r="G6"/>
      <c r="J6" s="3" t="s">
        <v>27</v>
      </c>
      <c r="L6" s="3" t="s">
        <v>28</v>
      </c>
    </row>
    <row r="7" spans="1:12" ht="20.100000000000001" customHeight="1" x14ac:dyDescent="0.25">
      <c r="A7" s="9" cm="1">
        <f t="array" ref="A7:A29">_xlfn.SORTBY(_xlfn.UNIQUE(_xlfn.ANCHORARRAY(L7)),COUNTIFS('Raw Data'!F:F,_xlfn.UNIQUE(_xlfn.ANCHORARRAY(L7)),'Raw Data'!I:I,TEXT($A$4,"mmmm yyyy")),-1)</f>
        <v>2300</v>
      </c>
      <c r="B7" s="9">
        <f>IF(A7="","",COUNTIFS(RawData[Tour/Site],A7,RawData[Month List],TEXT($A$4,"mmmm yyyy")))</f>
        <v>8</v>
      </c>
      <c r="C7" s="9">
        <f>IF(A7="","",COUNTIFS(RawData[Tour/Site],A7,RawData[Month List],TEXT($A$4,"mmmm yyyy"),RawData[[Error Type ]],"Short"))</f>
        <v>4</v>
      </c>
      <c r="D7" s="9">
        <f>IF(A7="","",COUNTIFS(RawData[Tour/Site],A7,RawData[Month List],TEXT($A$4,"mmmm yyyy"),RawData[[Error Type ]],"Excess"))</f>
        <v>4</v>
      </c>
      <c r="E7" s="9">
        <f>IF(A7="","",SUMIFS(RawData[Qyt Affected ( EA ) ],RawData[Tour/Site],A7,RawData[Month List],TEXT($A$4,"mmmm yyyy")))</f>
        <v>96</v>
      </c>
      <c r="J7" t="str" cm="1">
        <f t="array" ref="J7:J8">_xlfn.SORTBY(_xlfn.UNIQUE(_xlfn._xlws.FILTER(RawData[Month List],RawData[Month List]&lt;&gt;"")),DATEVALUE("01"&amp;_xlfn.UNIQUE(_xlfn._xlws.FILTER(RawData[Month List],RawData[Month List]&lt;&gt;""))))</f>
        <v>July 2026</v>
      </c>
      <c r="L7" cm="1">
        <f t="array" ref="L7:L71">_xlfn._xlws.FILTER(RawData[Tour/Site],(RawData[Tour/Site]&lt;&gt;"")*(RawData[Month List]=TEXT(A$4,"mmmm yyyy")))</f>
        <v>2382</v>
      </c>
    </row>
    <row r="8" spans="1:12" ht="20.100000000000001" customHeight="1" x14ac:dyDescent="0.25">
      <c r="A8" s="9">
        <v>2270</v>
      </c>
      <c r="B8" s="9">
        <f>IF(A8="","",COUNTIFS(RawData[Tour/Site],A8,RawData[Month List],TEXT($A$4,"mmmm yyyy")))</f>
        <v>7</v>
      </c>
      <c r="C8" s="9">
        <f>IF(A8="","",COUNTIFS(RawData[Tour/Site],A8,RawData[Month List],TEXT($A$4,"mmmm yyyy"),RawData[[Error Type ]],"Short"))</f>
        <v>7</v>
      </c>
      <c r="D8" s="9">
        <f>IF(A8="","",COUNTIFS(RawData[Tour/Site],A8,RawData[Month List],TEXT($A$4,"mmmm yyyy"),RawData[[Error Type ]],"Excess"))</f>
        <v>0</v>
      </c>
      <c r="E8" s="9">
        <f>IF(A8="","",SUMIFS(RawData[Qyt Affected ( EA ) ],RawData[Tour/Site],A8,RawData[Month List],TEXT($A$4,"mmmm yyyy")))</f>
        <v>75</v>
      </c>
      <c r="J8" t="str">
        <v>August 2026</v>
      </c>
      <c r="L8">
        <v>2382</v>
      </c>
    </row>
    <row r="9" spans="1:12" ht="20.100000000000001" customHeight="1" x14ac:dyDescent="0.25">
      <c r="A9" s="9">
        <v>2382</v>
      </c>
      <c r="B9" s="9">
        <f>IF(A9="","",COUNTIFS(RawData[Tour/Site],A9,RawData[Month List],TEXT($A$4,"mmmm yyyy")))</f>
        <v>5</v>
      </c>
      <c r="C9" s="9">
        <f>IF(A9="","",COUNTIFS(RawData[Tour/Site],A9,RawData[Month List],TEXT($A$4,"mmmm yyyy"),RawData[[Error Type ]],"Short"))</f>
        <v>3</v>
      </c>
      <c r="D9" s="9">
        <f>IF(A9="","",COUNTIFS(RawData[Tour/Site],A9,RawData[Month List],TEXT($A$4,"mmmm yyyy"),RawData[[Error Type ]],"Excess"))</f>
        <v>2</v>
      </c>
      <c r="E9" s="9">
        <f>IF(A9="","",SUMIFS(RawData[Qyt Affected ( EA ) ],RawData[Tour/Site],A9,RawData[Month List],TEXT($A$4,"mmmm yyyy")))</f>
        <v>76</v>
      </c>
      <c r="L9">
        <v>2410</v>
      </c>
    </row>
    <row r="10" spans="1:12" ht="20.100000000000001" customHeight="1" x14ac:dyDescent="0.25">
      <c r="A10" s="9">
        <v>2392</v>
      </c>
      <c r="B10" s="9">
        <f>IF(A10="","",COUNTIFS(RawData[Tour/Site],A10,RawData[Month List],TEXT($A$4,"mmmm yyyy")))</f>
        <v>5</v>
      </c>
      <c r="C10" s="9">
        <f>IF(A10="","",COUNTIFS(RawData[Tour/Site],A10,RawData[Month List],TEXT($A$4,"mmmm yyyy"),RawData[[Error Type ]],"Short"))</f>
        <v>3</v>
      </c>
      <c r="D10" s="9">
        <f>IF(A10="","",COUNTIFS(RawData[Tour/Site],A10,RawData[Month List],TEXT($A$4,"mmmm yyyy"),RawData[[Error Type ]],"Excess"))</f>
        <v>2</v>
      </c>
      <c r="E10" s="9">
        <f>IF(A10="","",SUMIFS(RawData[Qyt Affected ( EA ) ],RawData[Tour/Site],A10,RawData[Month List],TEXT($A$4,"mmmm yyyy")))</f>
        <v>36</v>
      </c>
      <c r="L10">
        <v>2275</v>
      </c>
    </row>
    <row r="11" spans="1:12" ht="20.100000000000001" customHeight="1" x14ac:dyDescent="0.25">
      <c r="A11" s="9">
        <v>2344</v>
      </c>
      <c r="B11" s="9">
        <f>IF(A11="","",COUNTIFS(RawData[Tour/Site],A11,RawData[Month List],TEXT($A$4,"mmmm yyyy")))</f>
        <v>5</v>
      </c>
      <c r="C11" s="9">
        <f>IF(A11="","",COUNTIFS(RawData[Tour/Site],A11,RawData[Month List],TEXT($A$4,"mmmm yyyy"),RawData[[Error Type ]],"Short"))</f>
        <v>3</v>
      </c>
      <c r="D11" s="9">
        <f>IF(A11="","",COUNTIFS(RawData[Tour/Site],A11,RawData[Month List],TEXT($A$4,"mmmm yyyy"),RawData[[Error Type ]],"Excess"))</f>
        <v>2</v>
      </c>
      <c r="E11" s="9">
        <f>IF(A11="","",SUMIFS(RawData[Qyt Affected ( EA ) ],RawData[Tour/Site],A11,RawData[Month List],TEXT($A$4,"mmmm yyyy")))</f>
        <v>40</v>
      </c>
      <c r="L11">
        <v>2575</v>
      </c>
    </row>
    <row r="12" spans="1:12" ht="20.100000000000001" customHeight="1" x14ac:dyDescent="0.25">
      <c r="A12" s="9">
        <v>2255</v>
      </c>
      <c r="B12" s="9">
        <f>IF(A12="","",COUNTIFS(RawData[Tour/Site],A12,RawData[Month List],TEXT($A$4,"mmmm yyyy")))</f>
        <v>4</v>
      </c>
      <c r="C12" s="9">
        <f>IF(A12="","",COUNTIFS(RawData[Tour/Site],A12,RawData[Month List],TEXT($A$4,"mmmm yyyy"),RawData[[Error Type ]],"Short"))</f>
        <v>2</v>
      </c>
      <c r="D12" s="9">
        <f>IF(A12="","",COUNTIFS(RawData[Tour/Site],A12,RawData[Month List],TEXT($A$4,"mmmm yyyy"),RawData[[Error Type ]],"Excess"))</f>
        <v>2</v>
      </c>
      <c r="E12" s="9">
        <f>IF(A12="","",SUMIFS(RawData[Qyt Affected ( EA ) ],RawData[Tour/Site],A12,RawData[Month List],TEXT($A$4,"mmmm yyyy")))</f>
        <v>26</v>
      </c>
      <c r="L12">
        <v>2300</v>
      </c>
    </row>
    <row r="13" spans="1:12" ht="20.100000000000001" customHeight="1" x14ac:dyDescent="0.25">
      <c r="A13" s="9">
        <v>2420</v>
      </c>
      <c r="B13" s="9">
        <f>IF(A13="","",COUNTIFS(RawData[Tour/Site],A13,RawData[Month List],TEXT($A$4,"mmmm yyyy")))</f>
        <v>4</v>
      </c>
      <c r="C13" s="9">
        <f>IF(A13="","",COUNTIFS(RawData[Tour/Site],A13,RawData[Month List],TEXT($A$4,"mmmm yyyy"),RawData[[Error Type ]],"Short"))</f>
        <v>3</v>
      </c>
      <c r="D13" s="9">
        <f>IF(A13="","",COUNTIFS(RawData[Tour/Site],A13,RawData[Month List],TEXT($A$4,"mmmm yyyy"),RawData[[Error Type ]],"Excess"))</f>
        <v>1</v>
      </c>
      <c r="E13" s="9">
        <f>IF(A13="","",SUMIFS(RawData[Qyt Affected ( EA ) ],RawData[Tour/Site],A13,RawData[Month List],TEXT($A$4,"mmmm yyyy")))</f>
        <v>68</v>
      </c>
      <c r="L13">
        <v>2390</v>
      </c>
    </row>
    <row r="14" spans="1:12" ht="20.100000000000001" customHeight="1" x14ac:dyDescent="0.25">
      <c r="A14" s="9">
        <v>2410</v>
      </c>
      <c r="B14" s="9">
        <f>IF(A14="","",COUNTIFS(RawData[Tour/Site],A14,RawData[Month List],TEXT($A$4,"mmmm yyyy")))</f>
        <v>3</v>
      </c>
      <c r="C14" s="9">
        <f>IF(A14="","",COUNTIFS(RawData[Tour/Site],A14,RawData[Month List],TEXT($A$4,"mmmm yyyy"),RawData[[Error Type ]],"Short"))</f>
        <v>2</v>
      </c>
      <c r="D14" s="9">
        <f>IF(A14="","",COUNTIFS(RawData[Tour/Site],A14,RawData[Month List],TEXT($A$4,"mmmm yyyy"),RawData[[Error Type ]],"Excess"))</f>
        <v>1</v>
      </c>
      <c r="E14" s="9">
        <f>IF(A14="","",SUMIFS(RawData[Qyt Affected ( EA ) ],RawData[Tour/Site],A14,RawData[Month List],TEXT($A$4,"mmmm yyyy")))</f>
        <v>58</v>
      </c>
      <c r="L14">
        <v>2255</v>
      </c>
    </row>
    <row r="15" spans="1:12" ht="20.100000000000001" customHeight="1" x14ac:dyDescent="0.25">
      <c r="A15" s="9">
        <v>2575</v>
      </c>
      <c r="B15" s="9">
        <f>IF(A15="","",COUNTIFS(RawData[Tour/Site],A15,RawData[Month List],TEXT($A$4,"mmmm yyyy")))</f>
        <v>3</v>
      </c>
      <c r="C15" s="9">
        <f>IF(A15="","",COUNTIFS(RawData[Tour/Site],A15,RawData[Month List],TEXT($A$4,"mmmm yyyy"),RawData[[Error Type ]],"Short"))</f>
        <v>3</v>
      </c>
      <c r="D15" s="9">
        <f>IF(A15="","",COUNTIFS(RawData[Tour/Site],A15,RawData[Month List],TEXT($A$4,"mmmm yyyy"),RawData[[Error Type ]],"Excess"))</f>
        <v>0</v>
      </c>
      <c r="E15" s="9">
        <f>IF(A15="","",SUMIFS(RawData[Qyt Affected ( EA ) ],RawData[Tour/Site],A15,RawData[Month List],TEXT($A$4,"mmmm yyyy")))</f>
        <v>18</v>
      </c>
      <c r="L15">
        <v>2560</v>
      </c>
    </row>
    <row r="16" spans="1:12" ht="20.100000000000001" customHeight="1" x14ac:dyDescent="0.25">
      <c r="A16" s="9">
        <v>2390</v>
      </c>
      <c r="B16" s="9">
        <f>IF(A16="","",COUNTIFS(RawData[Tour/Site],A16,RawData[Month List],TEXT($A$4,"mmmm yyyy")))</f>
        <v>3</v>
      </c>
      <c r="C16" s="9">
        <f>IF(A16="","",COUNTIFS(RawData[Tour/Site],A16,RawData[Month List],TEXT($A$4,"mmmm yyyy"),RawData[[Error Type ]],"Short"))</f>
        <v>2</v>
      </c>
      <c r="D16" s="9">
        <f>IF(A16="","",COUNTIFS(RawData[Tour/Site],A16,RawData[Month List],TEXT($A$4,"mmmm yyyy"),RawData[[Error Type ]],"Excess"))</f>
        <v>1</v>
      </c>
      <c r="E16" s="9">
        <f>IF(A16="","",SUMIFS(RawData[Qyt Affected ( EA ) ],RawData[Tour/Site],A16,RawData[Month List],TEXT($A$4,"mmmm yyyy")))</f>
        <v>30</v>
      </c>
      <c r="L16">
        <v>2392</v>
      </c>
    </row>
    <row r="17" spans="1:12" ht="20.100000000000001" customHeight="1" x14ac:dyDescent="0.25">
      <c r="A17" s="9">
        <v>2332</v>
      </c>
      <c r="B17" s="9">
        <f>IF(A17="","",COUNTIFS(RawData[Tour/Site],A17,RawData[Month List],TEXT($A$4,"mmmm yyyy")))</f>
        <v>3</v>
      </c>
      <c r="C17" s="9">
        <f>IF(A17="","",COUNTIFS(RawData[Tour/Site],A17,RawData[Month List],TEXT($A$4,"mmmm yyyy"),RawData[[Error Type ]],"Short"))</f>
        <v>2</v>
      </c>
      <c r="D17" s="9">
        <f>IF(A17="","",COUNTIFS(RawData[Tour/Site],A17,RawData[Month List],TEXT($A$4,"mmmm yyyy"),RawData[[Error Type ]],"Excess"))</f>
        <v>1</v>
      </c>
      <c r="E17" s="9">
        <f>IF(A17="","",SUMIFS(RawData[Qyt Affected ( EA ) ],RawData[Tour/Site],A17,RawData[Month List],TEXT($A$4,"mmmm yyyy")))</f>
        <v>18</v>
      </c>
      <c r="L17">
        <v>2437</v>
      </c>
    </row>
    <row r="18" spans="1:12" ht="20.100000000000001" customHeight="1" x14ac:dyDescent="0.25">
      <c r="A18" s="9">
        <v>2286</v>
      </c>
      <c r="B18" s="9">
        <f>IF(A18="","",COUNTIFS(RawData[Tour/Site],A18,RawData[Month List],TEXT($A$4,"mmmm yyyy")))</f>
        <v>3</v>
      </c>
      <c r="C18" s="9">
        <f>IF(A18="","",COUNTIFS(RawData[Tour/Site],A18,RawData[Month List],TEXT($A$4,"mmmm yyyy"),RawData[[Error Type ]],"Short"))</f>
        <v>2</v>
      </c>
      <c r="D18" s="9">
        <f>IF(A18="","",COUNTIFS(RawData[Tour/Site],A18,RawData[Month List],TEXT($A$4,"mmmm yyyy"),RawData[[Error Type ]],"Excess"))</f>
        <v>1</v>
      </c>
      <c r="E18" s="9">
        <f>IF(A18="","",SUMIFS(RawData[Qyt Affected ( EA ) ],RawData[Tour/Site],A18,RawData[Month List],TEXT($A$4,"mmmm yyyy")))</f>
        <v>36</v>
      </c>
      <c r="L18">
        <v>2331</v>
      </c>
    </row>
    <row r="19" spans="1:12" ht="20.100000000000001" customHeight="1" x14ac:dyDescent="0.25">
      <c r="A19" s="9">
        <v>2252</v>
      </c>
      <c r="B19" s="9">
        <f>IF(A19="","",COUNTIFS(RawData[Tour/Site],A19,RawData[Month List],TEXT($A$4,"mmmm yyyy")))</f>
        <v>2</v>
      </c>
      <c r="C19" s="9">
        <f>IF(A19="","",COUNTIFS(RawData[Tour/Site],A19,RawData[Month List],TEXT($A$4,"mmmm yyyy"),RawData[[Error Type ]],"Short"))</f>
        <v>2</v>
      </c>
      <c r="D19" s="9">
        <f>IF(A19="","",COUNTIFS(RawData[Tour/Site],A19,RawData[Month List],TEXT($A$4,"mmmm yyyy"),RawData[[Error Type ]],"Excess"))</f>
        <v>0</v>
      </c>
      <c r="E19" s="9">
        <f>IF(A19="","",SUMIFS(RawData[Qyt Affected ( EA ) ],RawData[Tour/Site],A19,RawData[Month List],TEXT($A$4,"mmmm yyyy")))</f>
        <v>63</v>
      </c>
      <c r="L19">
        <v>2252</v>
      </c>
    </row>
    <row r="20" spans="1:12" ht="20.100000000000001" customHeight="1" x14ac:dyDescent="0.25">
      <c r="A20" s="9">
        <v>2275</v>
      </c>
      <c r="B20" s="9">
        <f>IF(A20="","",COUNTIFS(RawData[Tour/Site],A20,RawData[Month List],TEXT($A$4,"mmmm yyyy")))</f>
        <v>1</v>
      </c>
      <c r="C20" s="9">
        <f>IF(A20="","",COUNTIFS(RawData[Tour/Site],A20,RawData[Month List],TEXT($A$4,"mmmm yyyy"),RawData[[Error Type ]],"Short"))</f>
        <v>0</v>
      </c>
      <c r="D20" s="9">
        <f>IF(A20="","",COUNTIFS(RawData[Tour/Site],A20,RawData[Month List],TEXT($A$4,"mmmm yyyy"),RawData[[Error Type ]],"Excess"))</f>
        <v>1</v>
      </c>
      <c r="E20" s="9">
        <f>IF(A20="","",SUMIFS(RawData[Qyt Affected ( EA ) ],RawData[Tour/Site],A20,RawData[Month List],TEXT($A$4,"mmmm yyyy")))</f>
        <v>1</v>
      </c>
      <c r="L20">
        <v>2575</v>
      </c>
    </row>
    <row r="21" spans="1:12" ht="20.100000000000001" customHeight="1" x14ac:dyDescent="0.25">
      <c r="A21" s="9">
        <v>2560</v>
      </c>
      <c r="B21" s="9">
        <f>IF(A21="","",COUNTIFS(RawData[Tour/Site],A21,RawData[Month List],TEXT($A$4,"mmmm yyyy")))</f>
        <v>1</v>
      </c>
      <c r="C21" s="9">
        <f>IF(A21="","",COUNTIFS(RawData[Tour/Site],A21,RawData[Month List],TEXT($A$4,"mmmm yyyy"),RawData[[Error Type ]],"Short"))</f>
        <v>0</v>
      </c>
      <c r="D21" s="9">
        <f>IF(A21="","",COUNTIFS(RawData[Tour/Site],A21,RawData[Month List],TEXT($A$4,"mmmm yyyy"),RawData[[Error Type ]],"Excess"))</f>
        <v>1</v>
      </c>
      <c r="E21" s="9">
        <f>IF(A21="","",SUMIFS(RawData[Qyt Affected ( EA ) ],RawData[Tour/Site],A21,RawData[Month List],TEXT($A$4,"mmmm yyyy")))</f>
        <v>3</v>
      </c>
      <c r="L21">
        <v>2332</v>
      </c>
    </row>
    <row r="22" spans="1:12" ht="20.100000000000001" customHeight="1" x14ac:dyDescent="0.25">
      <c r="A22" s="9">
        <v>2437</v>
      </c>
      <c r="B22" s="9">
        <f>IF(A22="","",COUNTIFS(RawData[Tour/Site],A22,RawData[Month List],TEXT($A$4,"mmmm yyyy")))</f>
        <v>1</v>
      </c>
      <c r="C22" s="9">
        <f>IF(A22="","",COUNTIFS(RawData[Tour/Site],A22,RawData[Month List],TEXT($A$4,"mmmm yyyy"),RawData[[Error Type ]],"Short"))</f>
        <v>1</v>
      </c>
      <c r="D22" s="9">
        <f>IF(A22="","",COUNTIFS(RawData[Tour/Site],A22,RawData[Month List],TEXT($A$4,"mmmm yyyy"),RawData[[Error Type ]],"Excess"))</f>
        <v>0</v>
      </c>
      <c r="E22" s="9">
        <f>IF(A22="","",SUMIFS(RawData[Qyt Affected ( EA ) ],RawData[Tour/Site],A22,RawData[Month List],TEXT($A$4,"mmmm yyyy")))</f>
        <v>8</v>
      </c>
      <c r="L22">
        <v>2332</v>
      </c>
    </row>
    <row r="23" spans="1:12" ht="20.100000000000001" customHeight="1" x14ac:dyDescent="0.25">
      <c r="A23" s="9">
        <v>2331</v>
      </c>
      <c r="B23" s="9">
        <f>IF(A23="","",COUNTIFS(RawData[Tour/Site],A23,RawData[Month List],TEXT($A$4,"mmmm yyyy")))</f>
        <v>1</v>
      </c>
      <c r="C23" s="9">
        <f>IF(A23="","",COUNTIFS(RawData[Tour/Site],A23,RawData[Month List],TEXT($A$4,"mmmm yyyy"),RawData[[Error Type ]],"Short"))</f>
        <v>1</v>
      </c>
      <c r="D23" s="9">
        <f>IF(A23="","",COUNTIFS(RawData[Tour/Site],A23,RawData[Month List],TEXT($A$4,"mmmm yyyy"),RawData[[Error Type ]],"Excess"))</f>
        <v>0</v>
      </c>
      <c r="E23" s="9">
        <f>IF(A23="","",SUMIFS(RawData[Qyt Affected ( EA ) ],RawData[Tour/Site],A23,RawData[Month List],TEXT($A$4,"mmmm yyyy")))</f>
        <v>8</v>
      </c>
      <c r="L23">
        <v>2255</v>
      </c>
    </row>
    <row r="24" spans="1:12" ht="20.100000000000001" customHeight="1" x14ac:dyDescent="0.25">
      <c r="A24" s="9">
        <v>2350</v>
      </c>
      <c r="B24" s="9">
        <f>IF(A24="","",COUNTIFS(RawData[Tour/Site],A24,RawData[Month List],TEXT($A$4,"mmmm yyyy")))</f>
        <v>1</v>
      </c>
      <c r="C24" s="9">
        <f>IF(A24="","",COUNTIFS(RawData[Tour/Site],A24,RawData[Month List],TEXT($A$4,"mmmm yyyy"),RawData[[Error Type ]],"Short"))</f>
        <v>1</v>
      </c>
      <c r="D24" s="9">
        <f>IF(A24="","",COUNTIFS(RawData[Tour/Site],A24,RawData[Month List],TEXT($A$4,"mmmm yyyy"),RawData[[Error Type ]],"Excess"))</f>
        <v>0</v>
      </c>
      <c r="E24" s="9">
        <f>IF(A24="","",SUMIFS(RawData[Qyt Affected ( EA ) ],RawData[Tour/Site],A24,RawData[Month List],TEXT($A$4,"mmmm yyyy")))</f>
        <v>5</v>
      </c>
      <c r="L24">
        <v>2300</v>
      </c>
    </row>
    <row r="25" spans="1:12" ht="20.100000000000001" customHeight="1" x14ac:dyDescent="0.25">
      <c r="A25" s="9">
        <v>2450</v>
      </c>
      <c r="B25" s="9">
        <f>IF(A25="","",COUNTIFS(RawData[Tour/Site],A25,RawData[Month List],TEXT($A$4,"mmmm yyyy")))</f>
        <v>1</v>
      </c>
      <c r="C25" s="9">
        <f>IF(A25="","",COUNTIFS(RawData[Tour/Site],A25,RawData[Month List],TEXT($A$4,"mmmm yyyy"),RawData[[Error Type ]],"Short"))</f>
        <v>0</v>
      </c>
      <c r="D25" s="9">
        <f>IF(A25="","",COUNTIFS(RawData[Tour/Site],A25,RawData[Month List],TEXT($A$4,"mmmm yyyy"),RawData[[Error Type ]],"Excess"))</f>
        <v>1</v>
      </c>
      <c r="E25" s="9">
        <f>IF(A25="","",SUMIFS(RawData[Qyt Affected ( EA ) ],RawData[Tour/Site],A25,RawData[Month List],TEXT($A$4,"mmmm yyyy")))</f>
        <v>6</v>
      </c>
      <c r="L25">
        <v>2300</v>
      </c>
    </row>
    <row r="26" spans="1:12" ht="20.100000000000001" customHeight="1" x14ac:dyDescent="0.25">
      <c r="A26" s="9">
        <v>2267</v>
      </c>
      <c r="B26" s="9">
        <f>IF(A26="","",COUNTIFS(RawData[Tour/Site],A26,RawData[Month List],TEXT($A$4,"mmmm yyyy")))</f>
        <v>1</v>
      </c>
      <c r="C26" s="9">
        <f>IF(A26="","",COUNTIFS(RawData[Tour/Site],A26,RawData[Month List],TEXT($A$4,"mmmm yyyy"),RawData[[Error Type ]],"Short"))</f>
        <v>1</v>
      </c>
      <c r="D26" s="9">
        <f>IF(A26="","",COUNTIFS(RawData[Tour/Site],A26,RawData[Month List],TEXT($A$4,"mmmm yyyy"),RawData[[Error Type ]],"Excess"))</f>
        <v>0</v>
      </c>
      <c r="E26" s="9">
        <f>IF(A26="","",SUMIFS(RawData[Qyt Affected ( EA ) ],RawData[Tour/Site],A26,RawData[Month List],TEXT($A$4,"mmmm yyyy")))</f>
        <v>4</v>
      </c>
      <c r="L26">
        <v>2350</v>
      </c>
    </row>
    <row r="27" spans="1:12" ht="20.100000000000001" customHeight="1" x14ac:dyDescent="0.25">
      <c r="A27" s="9">
        <v>2440</v>
      </c>
      <c r="B27" s="9">
        <f>IF(A27="","",COUNTIFS(RawData[Tour/Site],A27,RawData[Month List],TEXT($A$4,"mmmm yyyy")))</f>
        <v>1</v>
      </c>
      <c r="C27" s="9">
        <f>IF(A27="","",COUNTIFS(RawData[Tour/Site],A27,RawData[Month List],TEXT($A$4,"mmmm yyyy"),RawData[[Error Type ]],"Short"))</f>
        <v>1</v>
      </c>
      <c r="D27" s="9">
        <f>IF(A27="","",COUNTIFS(RawData[Tour/Site],A27,RawData[Month List],TEXT($A$4,"mmmm yyyy"),RawData[[Error Type ]],"Excess"))</f>
        <v>0</v>
      </c>
      <c r="E27" s="9">
        <f>IF(A27="","",SUMIFS(RawData[Qyt Affected ( EA ) ],RawData[Tour/Site],A27,RawData[Month List],TEXT($A$4,"mmmm yyyy")))</f>
        <v>25</v>
      </c>
      <c r="L27">
        <v>2575</v>
      </c>
    </row>
    <row r="28" spans="1:12" ht="20.100000000000001" customHeight="1" x14ac:dyDescent="0.25">
      <c r="A28" s="9">
        <v>2262</v>
      </c>
      <c r="B28" s="9">
        <f>IF(A28="","",COUNTIFS(RawData[Tour/Site],A28,RawData[Month List],TEXT($A$4,"mmmm yyyy")))</f>
        <v>1</v>
      </c>
      <c r="C28" s="9">
        <f>IF(A28="","",COUNTIFS(RawData[Tour/Site],A28,RawData[Month List],TEXT($A$4,"mmmm yyyy"),RawData[[Error Type ]],"Short"))</f>
        <v>1</v>
      </c>
      <c r="D28" s="9">
        <f>IF(A28="","",COUNTIFS(RawData[Tour/Site],A28,RawData[Month List],TEXT($A$4,"mmmm yyyy"),RawData[[Error Type ]],"Excess"))</f>
        <v>0</v>
      </c>
      <c r="E28" s="9">
        <f>IF(A28="","",SUMIFS(RawData[Qyt Affected ( EA ) ],RawData[Tour/Site],A28,RawData[Month List],TEXT($A$4,"mmmm yyyy")))</f>
        <v>7</v>
      </c>
      <c r="L28">
        <v>2270</v>
      </c>
    </row>
    <row r="29" spans="1:12" ht="20.100000000000001" customHeight="1" x14ac:dyDescent="0.25">
      <c r="A29" s="9">
        <v>2380</v>
      </c>
      <c r="B29" s="9">
        <f>IF(A29="","",COUNTIFS(RawData[Tour/Site],A29,RawData[Month List],TEXT($A$4,"mmmm yyyy")))</f>
        <v>1</v>
      </c>
      <c r="C29" s="9">
        <f>IF(A29="","",COUNTIFS(RawData[Tour/Site],A29,RawData[Month List],TEXT($A$4,"mmmm yyyy"),RawData[[Error Type ]],"Short"))</f>
        <v>0</v>
      </c>
      <c r="D29" s="9">
        <f>IF(A29="","",COUNTIFS(RawData[Tour/Site],A29,RawData[Month List],TEXT($A$4,"mmmm yyyy"),RawData[[Error Type ]],"Excess"))</f>
        <v>1</v>
      </c>
      <c r="E29" s="9">
        <f>IF(A29="","",SUMIFS(RawData[Qyt Affected ( EA ) ],RawData[Tour/Site],A29,RawData[Month List],TEXT($A$4,"mmmm yyyy")))</f>
        <v>19</v>
      </c>
      <c r="L29">
        <v>2255</v>
      </c>
    </row>
    <row r="30" spans="1:12" ht="20.100000000000001" customHeight="1" x14ac:dyDescent="0.25">
      <c r="A30" s="9"/>
      <c r="B30" s="9" t="str">
        <f>IF(A30="","",COUNTIFS(RawData[Tour/Site],A30,RawData[Month List],TEXT($A$4,"mmmm yyyy")))</f>
        <v/>
      </c>
      <c r="C30" s="9" t="str">
        <f>IF(A30="","",COUNTIFS(RawData[Tour/Site],A30,RawData[Month List],TEXT($A$4,"mmmm yyyy"),RawData[[Error Type ]],"Short"))</f>
        <v/>
      </c>
      <c r="D30" s="9" t="str">
        <f>IF(A30="","",COUNTIFS(RawData[Tour/Site],A30,RawData[Month List],TEXT($A$4,"mmmm yyyy"),RawData[[Error Type ]],"Excess"))</f>
        <v/>
      </c>
      <c r="E30" s="9" t="str">
        <f>IF(A30="","",SUMIFS(RawData[Qyt Affected ( EA ) ],RawData[Tour/Site],A30,RawData[Month List],TEXT($A$4,"mmmm yyyy")))</f>
        <v/>
      </c>
      <c r="L30">
        <v>2344</v>
      </c>
    </row>
    <row r="31" spans="1:12" ht="20.100000000000001" customHeight="1" x14ac:dyDescent="0.25">
      <c r="A31" s="9"/>
      <c r="B31" s="9" t="str">
        <f>IF(A31="","",COUNTIFS(RawData[Tour/Site],A31,RawData[Month List],TEXT($A$4,"mmmm yyyy")))</f>
        <v/>
      </c>
      <c r="C31" s="9" t="str">
        <f>IF(A31="","",COUNTIFS(RawData[Tour/Site],A31,RawData[Month List],TEXT($A$4,"mmmm yyyy"),RawData[[Error Type ]],"Short"))</f>
        <v/>
      </c>
      <c r="D31" s="9" t="str">
        <f>IF(A31="","",COUNTIFS(RawData[Tour/Site],A31,RawData[Month List],TEXT($A$4,"mmmm yyyy"),RawData[[Error Type ]],"Excess"))</f>
        <v/>
      </c>
      <c r="E31" s="9" t="str">
        <f>IF(A31="","",SUMIFS(RawData[Qyt Affected ( EA ) ],RawData[Tour/Site],A31,RawData[Month List],TEXT($A$4,"mmmm yyyy")))</f>
        <v/>
      </c>
      <c r="L31">
        <v>2420</v>
      </c>
    </row>
    <row r="32" spans="1:12" ht="20.100000000000001" customHeight="1" x14ac:dyDescent="0.25">
      <c r="A32" s="9"/>
      <c r="B32" s="9" t="str">
        <f>IF(A32="","",COUNTIFS(RawData[Tour/Site],A32,RawData[Month List],TEXT($A$4,"mmmm yyyy")))</f>
        <v/>
      </c>
      <c r="C32" s="9" t="str">
        <f>IF(A32="","",COUNTIFS(RawData[Tour/Site],A32,RawData[Month List],TEXT($A$4,"mmmm yyyy"),RawData[[Error Type ]],"Short"))</f>
        <v/>
      </c>
      <c r="D32" s="9" t="str">
        <f>IF(A32="","",COUNTIFS(RawData[Tour/Site],A32,RawData[Month List],TEXT($A$4,"mmmm yyyy"),RawData[[Error Type ]],"Excess"))</f>
        <v/>
      </c>
      <c r="E32" s="9" t="str">
        <f>IF(A32="","",SUMIFS(RawData[Qyt Affected ( EA ) ],RawData[Tour/Site],A32,RawData[Month List],TEXT($A$4,"mmmm yyyy")))</f>
        <v/>
      </c>
      <c r="L32">
        <v>2450</v>
      </c>
    </row>
    <row r="33" spans="1:12" ht="20.100000000000001" customHeight="1" x14ac:dyDescent="0.25">
      <c r="A33" s="9"/>
      <c r="B33" s="9" t="str">
        <f>IF(A33="","",COUNTIFS(RawData[Tour/Site],A33,RawData[Month List],TEXT($A$4,"mmmm yyyy")))</f>
        <v/>
      </c>
      <c r="C33" s="9" t="str">
        <f>IF(A33="","",COUNTIFS(RawData[Tour/Site],A33,RawData[Month List],TEXT($A$4,"mmmm yyyy"),RawData[[Error Type ]],"Short"))</f>
        <v/>
      </c>
      <c r="D33" s="9" t="str">
        <f>IF(A33="","",COUNTIFS(RawData[Tour/Site],A33,RawData[Month List],TEXT($A$4,"mmmm yyyy"),RawData[[Error Type ]],"Excess"))</f>
        <v/>
      </c>
      <c r="E33" s="9" t="str">
        <f>IF(A33="","",SUMIFS(RawData[Qyt Affected ( EA ) ],RawData[Tour/Site],A33,RawData[Month List],TEXT($A$4,"mmmm yyyy")))</f>
        <v/>
      </c>
      <c r="L33">
        <v>2267</v>
      </c>
    </row>
    <row r="34" spans="1:12" ht="20.100000000000001" customHeight="1" x14ac:dyDescent="0.25">
      <c r="A34" s="9"/>
      <c r="B34" s="9" t="str">
        <f>IF(A34="","",COUNTIFS(RawData[Tour/Site],A34,RawData[Month List],TEXT($A$4,"mmmm yyyy")))</f>
        <v/>
      </c>
      <c r="C34" s="9" t="str">
        <f>IF(A34="","",COUNTIFS(RawData[Tour/Site],A34,RawData[Month List],TEXT($A$4,"mmmm yyyy"),RawData[[Error Type ]],"Short"))</f>
        <v/>
      </c>
      <c r="D34" s="9" t="str">
        <f>IF(A34="","",COUNTIFS(RawData[Tour/Site],A34,RawData[Month List],TEXT($A$4,"mmmm yyyy"),RawData[[Error Type ]],"Excess"))</f>
        <v/>
      </c>
      <c r="E34" s="9" t="str">
        <f>IF(A34="","",SUMIFS(RawData[Qyt Affected ( EA ) ],RawData[Tour/Site],A34,RawData[Month List],TEXT($A$4,"mmmm yyyy")))</f>
        <v/>
      </c>
      <c r="L34">
        <v>2440</v>
      </c>
    </row>
    <row r="35" spans="1:12" ht="20.100000000000001" customHeight="1" x14ac:dyDescent="0.25">
      <c r="A35" s="9"/>
      <c r="B35" s="9" t="str">
        <f>IF(A35="","",COUNTIFS(RawData[Tour/Site],A35,RawData[Month List],TEXT($A$4,"mmmm yyyy")))</f>
        <v/>
      </c>
      <c r="C35" s="9" t="str">
        <f>IF(A35="","",COUNTIFS(RawData[Tour/Site],A35,RawData[Month List],TEXT($A$4,"mmmm yyyy"),RawData[[Error Type ]],"Short"))</f>
        <v/>
      </c>
      <c r="D35" s="9" t="str">
        <f>IF(A35="","",COUNTIFS(RawData[Tour/Site],A35,RawData[Month List],TEXT($A$4,"mmmm yyyy"),RawData[[Error Type ]],"Excess"))</f>
        <v/>
      </c>
      <c r="E35" s="9" t="str">
        <f>IF(A35="","",SUMIFS(RawData[Qyt Affected ( EA ) ],RawData[Tour/Site],A35,RawData[Month List],TEXT($A$4,"mmmm yyyy")))</f>
        <v/>
      </c>
      <c r="L35">
        <v>2270</v>
      </c>
    </row>
    <row r="36" spans="1:12" ht="20.100000000000001" customHeight="1" x14ac:dyDescent="0.25">
      <c r="A36" s="9"/>
      <c r="B36" s="9" t="str">
        <f>IF(A36="","",COUNTIFS(RawData[Tour/Site],A36,RawData[Month List],TEXT($A$4,"mmmm yyyy")))</f>
        <v/>
      </c>
      <c r="C36" s="9" t="str">
        <f>IF(A36="","",COUNTIFS(RawData[Tour/Site],A36,RawData[Month List],TEXT($A$4,"mmmm yyyy"),RawData[[Error Type ]],"Short"))</f>
        <v/>
      </c>
      <c r="D36" s="9" t="str">
        <f>IF(A36="","",COUNTIFS(RawData[Tour/Site],A36,RawData[Month List],TEXT($A$4,"mmmm yyyy"),RawData[[Error Type ]],"Excess"))</f>
        <v/>
      </c>
      <c r="E36" s="9" t="str">
        <f>IF(A36="","",SUMIFS(RawData[Qyt Affected ( EA ) ],RawData[Tour/Site],A36,RawData[Month List],TEXT($A$4,"mmmm yyyy")))</f>
        <v/>
      </c>
      <c r="L36">
        <v>2270</v>
      </c>
    </row>
    <row r="37" spans="1:12" ht="20.100000000000001" customHeight="1" x14ac:dyDescent="0.25">
      <c r="A37" s="9"/>
      <c r="B37" s="9" t="str">
        <f>IF(A37="","",COUNTIFS(RawData[Tour/Site],A37,RawData[Month List],TEXT($A$4,"mmmm yyyy")))</f>
        <v/>
      </c>
      <c r="C37" s="9" t="str">
        <f>IF(A37="","",COUNTIFS(RawData[Tour/Site],A37,RawData[Month List],TEXT($A$4,"mmmm yyyy"),RawData[[Error Type ]],"Short"))</f>
        <v/>
      </c>
      <c r="D37" s="9" t="str">
        <f>IF(A37="","",COUNTIFS(RawData[Tour/Site],A37,RawData[Month List],TEXT($A$4,"mmmm yyyy"),RawData[[Error Type ]],"Excess"))</f>
        <v/>
      </c>
      <c r="E37" s="9" t="str">
        <f>IF(A37="","",SUMIFS(RawData[Qyt Affected ( EA ) ],RawData[Tour/Site],A37,RawData[Month List],TEXT($A$4,"mmmm yyyy")))</f>
        <v/>
      </c>
      <c r="L37">
        <v>2300</v>
      </c>
    </row>
    <row r="38" spans="1:12" ht="20.100000000000001" customHeight="1" x14ac:dyDescent="0.25">
      <c r="A38" s="9"/>
      <c r="B38" s="9" t="str">
        <f>IF(A38="","",COUNTIFS(RawData[Tour/Site],A38,RawData[Month List],TEXT($A$4,"mmmm yyyy")))</f>
        <v/>
      </c>
      <c r="C38" s="9" t="str">
        <f>IF(A38="","",COUNTIFS(RawData[Tour/Site],A38,RawData[Month List],TEXT($A$4,"mmmm yyyy"),RawData[[Error Type ]],"Short"))</f>
        <v/>
      </c>
      <c r="D38" s="9" t="str">
        <f>IF(A38="","",COUNTIFS(RawData[Tour/Site],A38,RawData[Month List],TEXT($A$4,"mmmm yyyy"),RawData[[Error Type ]],"Excess"))</f>
        <v/>
      </c>
      <c r="E38" s="9" t="str">
        <f>IF(A38="","",SUMIFS(RawData[Qyt Affected ( EA ) ],RawData[Tour/Site],A38,RawData[Month List],TEXT($A$4,"mmmm yyyy")))</f>
        <v/>
      </c>
      <c r="L38">
        <v>2344</v>
      </c>
    </row>
    <row r="39" spans="1:12" ht="20.100000000000001" customHeight="1" x14ac:dyDescent="0.25">
      <c r="A39" s="9"/>
      <c r="B39" s="9" t="str">
        <f>IF(A39="","",COUNTIFS(RawData[Tour/Site],A39,RawData[Month List],TEXT($A$4,"mmmm yyyy")))</f>
        <v/>
      </c>
      <c r="C39" s="9" t="str">
        <f>IF(A39="","",COUNTIFS(RawData[Tour/Site],A39,RawData[Month List],TEXT($A$4,"mmmm yyyy"),RawData[[Error Type ]],"Short"))</f>
        <v/>
      </c>
      <c r="D39" s="9" t="str">
        <f>IF(A39="","",COUNTIFS(RawData[Tour/Site],A39,RawData[Month List],TEXT($A$4,"mmmm yyyy"),RawData[[Error Type ]],"Excess"))</f>
        <v/>
      </c>
      <c r="E39" s="9" t="str">
        <f>IF(A39="","",SUMIFS(RawData[Qyt Affected ( EA ) ],RawData[Tour/Site],A39,RawData[Month List],TEXT($A$4,"mmmm yyyy")))</f>
        <v/>
      </c>
      <c r="L39">
        <v>2344</v>
      </c>
    </row>
    <row r="40" spans="1:12" ht="20.100000000000001" customHeight="1" x14ac:dyDescent="0.25">
      <c r="A40" s="9"/>
      <c r="B40" s="9" t="str">
        <f>IF(A40="","",COUNTIFS(RawData[Tour/Site],A40,RawData[Month List],TEXT($A$4,"mmmm yyyy")))</f>
        <v/>
      </c>
      <c r="C40" s="9" t="str">
        <f>IF(A40="","",COUNTIFS(RawData[Tour/Site],A40,RawData[Month List],TEXT($A$4,"mmmm yyyy"),RawData[[Error Type ]],"Short"))</f>
        <v/>
      </c>
      <c r="D40" s="9" t="str">
        <f>IF(A40="","",COUNTIFS(RawData[Tour/Site],A40,RawData[Month List],TEXT($A$4,"mmmm yyyy"),RawData[[Error Type ]],"Excess"))</f>
        <v/>
      </c>
      <c r="E40" s="9" t="str">
        <f>IF(A40="","",SUMIFS(RawData[Qyt Affected ( EA ) ],RawData[Tour/Site],A40,RawData[Month List],TEXT($A$4,"mmmm yyyy")))</f>
        <v/>
      </c>
      <c r="L40">
        <v>2262</v>
      </c>
    </row>
    <row r="41" spans="1:12" ht="20.100000000000001" customHeight="1" x14ac:dyDescent="0.25">
      <c r="A41" s="9"/>
      <c r="B41" s="9" t="str">
        <f>IF(A41="","",COUNTIFS(RawData[Tour/Site],A41,RawData[Month List],TEXT($A$4,"mmmm yyyy")))</f>
        <v/>
      </c>
      <c r="C41" s="9" t="str">
        <f>IF(A41="","",COUNTIFS(RawData[Tour/Site],A41,RawData[Month List],TEXT($A$4,"mmmm yyyy"),RawData[[Error Type ]],"Short"))</f>
        <v/>
      </c>
      <c r="D41" s="9" t="str">
        <f>IF(A41="","",COUNTIFS(RawData[Tour/Site],A41,RawData[Month List],TEXT($A$4,"mmmm yyyy"),RawData[[Error Type ]],"Excess"))</f>
        <v/>
      </c>
      <c r="E41" s="9" t="str">
        <f>IF(A41="","",SUMIFS(RawData[Qyt Affected ( EA ) ],RawData[Tour/Site],A41,RawData[Month List],TEXT($A$4,"mmmm yyyy")))</f>
        <v/>
      </c>
      <c r="L41">
        <v>2392</v>
      </c>
    </row>
    <row r="42" spans="1:12" ht="20.100000000000001" customHeight="1" x14ac:dyDescent="0.25">
      <c r="A42" s="9"/>
      <c r="B42" s="9" t="str">
        <f>IF(A42="","",COUNTIFS(RawData[Tour/Site],A42,RawData[Month List],TEXT($A$4,"mmmm yyyy")))</f>
        <v/>
      </c>
      <c r="C42" s="9" t="str">
        <f>IF(A42="","",COUNTIFS(RawData[Tour/Site],A42,RawData[Month List],TEXT($A$4,"mmmm yyyy"),RawData[[Error Type ]],"Short"))</f>
        <v/>
      </c>
      <c r="D42" s="9" t="str">
        <f>IF(A42="","",COUNTIFS(RawData[Tour/Site],A42,RawData[Month List],TEXT($A$4,"mmmm yyyy"),RawData[[Error Type ]],"Excess"))</f>
        <v/>
      </c>
      <c r="E42" s="9" t="str">
        <f>IF(A42="","",SUMIFS(RawData[Qyt Affected ( EA ) ],RawData[Tour/Site],A42,RawData[Month List],TEXT($A$4,"mmmm yyyy")))</f>
        <v/>
      </c>
      <c r="L42">
        <v>2392</v>
      </c>
    </row>
    <row r="43" spans="1:12" ht="20.100000000000001" customHeight="1" x14ac:dyDescent="0.25">
      <c r="A43" s="9"/>
      <c r="B43" s="9" t="str">
        <f>IF(A43="","",COUNTIFS(RawData[Tour/Site],A43,RawData[Month List],TEXT($A$4,"mmmm yyyy")))</f>
        <v/>
      </c>
      <c r="C43" s="9" t="str">
        <f>IF(A43="","",COUNTIFS(RawData[Tour/Site],A43,RawData[Month List],TEXT($A$4,"mmmm yyyy"),RawData[[Error Type ]],"Short"))</f>
        <v/>
      </c>
      <c r="D43" s="9" t="str">
        <f>IF(A43="","",COUNTIFS(RawData[Tour/Site],A43,RawData[Month List],TEXT($A$4,"mmmm yyyy"),RawData[[Error Type ]],"Excess"))</f>
        <v/>
      </c>
      <c r="E43" s="9" t="str">
        <f>IF(A43="","",SUMIFS(RawData[Qyt Affected ( EA ) ],RawData[Tour/Site],A43,RawData[Month List],TEXT($A$4,"mmmm yyyy")))</f>
        <v/>
      </c>
      <c r="L43">
        <v>2392</v>
      </c>
    </row>
    <row r="44" spans="1:12" ht="20.100000000000001" customHeight="1" x14ac:dyDescent="0.25">
      <c r="A44" s="9"/>
      <c r="B44" s="9" t="str">
        <f>IF(A44="","",COUNTIFS(RawData[Tour/Site],A44,RawData[Month List],TEXT($A$4,"mmmm yyyy")))</f>
        <v/>
      </c>
      <c r="C44" s="9" t="str">
        <f>IF(A44="","",COUNTIFS(RawData[Tour/Site],A44,RawData[Month List],TEXT($A$4,"mmmm yyyy"),RawData[[Error Type ]],"Short"))</f>
        <v/>
      </c>
      <c r="D44" s="9" t="str">
        <f>IF(A44="","",COUNTIFS(RawData[Tour/Site],A44,RawData[Month List],TEXT($A$4,"mmmm yyyy"),RawData[[Error Type ]],"Excess"))</f>
        <v/>
      </c>
      <c r="E44" s="9" t="str">
        <f>IF(A44="","",SUMIFS(RawData[Qyt Affected ( EA ) ],RawData[Tour/Site],A44,RawData[Month List],TEXT($A$4,"mmmm yyyy")))</f>
        <v/>
      </c>
      <c r="L44">
        <v>2392</v>
      </c>
    </row>
    <row r="45" spans="1:12" ht="20.100000000000001" customHeight="1" x14ac:dyDescent="0.25">
      <c r="A45" s="9"/>
      <c r="B45" s="9" t="str">
        <f>IF(A45="","",COUNTIFS(RawData[Tour/Site],A45,RawData[Month List],TEXT($A$4,"mmmm yyyy")))</f>
        <v/>
      </c>
      <c r="C45" s="9" t="str">
        <f>IF(A45="","",COUNTIFS(RawData[Tour/Site],A45,RawData[Month List],TEXT($A$4,"mmmm yyyy"),RawData[[Error Type ]],"Short"))</f>
        <v/>
      </c>
      <c r="D45" s="9" t="str">
        <f>IF(A45="","",COUNTIFS(RawData[Tour/Site],A45,RawData[Month List],TEXT($A$4,"mmmm yyyy"),RawData[[Error Type ]],"Excess"))</f>
        <v/>
      </c>
      <c r="E45" s="9" t="str">
        <f>IF(A45="","",SUMIFS(RawData[Qyt Affected ( EA ) ],RawData[Tour/Site],A45,RawData[Month List],TEXT($A$4,"mmmm yyyy")))</f>
        <v/>
      </c>
      <c r="L45">
        <v>2332</v>
      </c>
    </row>
    <row r="46" spans="1:12" ht="20.100000000000001" customHeight="1" x14ac:dyDescent="0.25">
      <c r="A46" s="9"/>
      <c r="B46" s="9" t="str">
        <f>IF(A46="","",COUNTIFS(RawData[Tour/Site],A46,RawData[Month List],TEXT($A$4,"mmmm yyyy")))</f>
        <v/>
      </c>
      <c r="C46" s="9" t="str">
        <f>IF(A46="","",COUNTIFS(RawData[Tour/Site],A46,RawData[Month List],TEXT($A$4,"mmmm yyyy"),RawData[[Error Type ]],"Short"))</f>
        <v/>
      </c>
      <c r="D46" s="9" t="str">
        <f>IF(A46="","",COUNTIFS(RawData[Tour/Site],A46,RawData[Month List],TEXT($A$4,"mmmm yyyy"),RawData[[Error Type ]],"Excess"))</f>
        <v/>
      </c>
      <c r="E46" s="9" t="str">
        <f>IF(A46="","",SUMIFS(RawData[Qyt Affected ( EA ) ],RawData[Tour/Site],A46,RawData[Month List],TEXT($A$4,"mmmm yyyy")))</f>
        <v/>
      </c>
      <c r="L46">
        <v>2410</v>
      </c>
    </row>
    <row r="47" spans="1:12" ht="20.100000000000001" customHeight="1" x14ac:dyDescent="0.25">
      <c r="A47" s="9"/>
      <c r="B47" s="9" t="str">
        <f>IF(A47="","",COUNTIFS(RawData[Tour/Site],A47,RawData[Month List],TEXT($A$4,"mmmm yyyy")))</f>
        <v/>
      </c>
      <c r="C47" s="9" t="str">
        <f>IF(A47="","",COUNTIFS(RawData[Tour/Site],A47,RawData[Month List],TEXT($A$4,"mmmm yyyy"),RawData[[Error Type ]],"Short"))</f>
        <v/>
      </c>
      <c r="D47" s="9" t="str">
        <f>IF(A47="","",COUNTIFS(RawData[Tour/Site],A47,RawData[Month List],TEXT($A$4,"mmmm yyyy"),RawData[[Error Type ]],"Excess"))</f>
        <v/>
      </c>
      <c r="E47" s="9" t="str">
        <f>IF(A47="","",SUMIFS(RawData[Qyt Affected ( EA ) ],RawData[Tour/Site],A47,RawData[Month List],TEXT($A$4,"mmmm yyyy")))</f>
        <v/>
      </c>
      <c r="L47">
        <v>2420</v>
      </c>
    </row>
    <row r="48" spans="1:12" ht="20.100000000000001" customHeight="1" x14ac:dyDescent="0.25">
      <c r="A48" s="9"/>
      <c r="B48" s="9" t="str">
        <f>IF(A48="","",COUNTIFS(RawData[Tour/Site],A48,RawData[Month List],TEXT($A$4,"mmmm yyyy")))</f>
        <v/>
      </c>
      <c r="C48" s="9" t="str">
        <f>IF(A48="","",COUNTIFS(RawData[Tour/Site],A48,RawData[Month List],TEXT($A$4,"mmmm yyyy"),RawData[[Error Type ]],"Short"))</f>
        <v/>
      </c>
      <c r="D48" s="9" t="str">
        <f>IF(A48="","",COUNTIFS(RawData[Tour/Site],A48,RawData[Month List],TEXT($A$4,"mmmm yyyy"),RawData[[Error Type ]],"Excess"))</f>
        <v/>
      </c>
      <c r="E48" s="9" t="str">
        <f>IF(A48="","",SUMIFS(RawData[Qyt Affected ( EA ) ],RawData[Tour/Site],A48,RawData[Month List],TEXT($A$4,"mmmm yyyy")))</f>
        <v/>
      </c>
      <c r="L48">
        <v>2420</v>
      </c>
    </row>
    <row r="49" spans="1:12" ht="20.100000000000001" customHeight="1" x14ac:dyDescent="0.25">
      <c r="A49" s="9"/>
      <c r="B49" s="9" t="str">
        <f>IF(A49="","",COUNTIFS(RawData[Tour/Site],A49,RawData[Month List],TEXT($A$4,"mmmm yyyy")))</f>
        <v/>
      </c>
      <c r="C49" s="9" t="str">
        <f>IF(A49="","",COUNTIFS(RawData[Tour/Site],A49,RawData[Month List],TEXT($A$4,"mmmm yyyy"),RawData[[Error Type ]],"Short"))</f>
        <v/>
      </c>
      <c r="D49" s="9" t="str">
        <f>IF(A49="","",COUNTIFS(RawData[Tour/Site],A49,RawData[Month List],TEXT($A$4,"mmmm yyyy"),RawData[[Error Type ]],"Excess"))</f>
        <v/>
      </c>
      <c r="E49" s="9" t="str">
        <f>IF(A49="","",SUMIFS(RawData[Qyt Affected ( EA ) ],RawData[Tour/Site],A49,RawData[Month List],TEXT($A$4,"mmmm yyyy")))</f>
        <v/>
      </c>
      <c r="L49">
        <v>2252</v>
      </c>
    </row>
    <row r="50" spans="1:12" ht="20.100000000000001" customHeight="1" x14ac:dyDescent="0.25">
      <c r="A50" s="9"/>
      <c r="B50" s="9" t="str">
        <f>IF(A50="","",COUNTIFS(RawData[Tour/Site],A50,RawData[Month List],TEXT($A$4,"mmmm yyyy")))</f>
        <v/>
      </c>
      <c r="C50" s="9" t="str">
        <f>IF(A50="","",COUNTIFS(RawData[Tour/Site],A50,RawData[Month List],TEXT($A$4,"mmmm yyyy"),RawData[[Error Type ]],"Short"))</f>
        <v/>
      </c>
      <c r="D50" s="9" t="str">
        <f>IF(A50="","",COUNTIFS(RawData[Tour/Site],A50,RawData[Month List],TEXT($A$4,"mmmm yyyy"),RawData[[Error Type ]],"Excess"))</f>
        <v/>
      </c>
      <c r="E50" s="9" t="str">
        <f>IF(A50="","",SUMIFS(RawData[Qyt Affected ( EA ) ],RawData[Tour/Site],A50,RawData[Month List],TEXT($A$4,"mmmm yyyy")))</f>
        <v/>
      </c>
      <c r="L50">
        <v>2382</v>
      </c>
    </row>
    <row r="51" spans="1:12" ht="20.100000000000001" customHeight="1" x14ac:dyDescent="0.25">
      <c r="A51" s="9"/>
      <c r="B51" s="9" t="str">
        <f>IF(A51="","",COUNTIFS(RawData[Tour/Site],A51,RawData[Month List],TEXT($A$4,"mmmm yyyy")))</f>
        <v/>
      </c>
      <c r="C51" s="9" t="str">
        <f>IF(A51="","",COUNTIFS(RawData[Tour/Site],A51,RawData[Month List],TEXT($A$4,"mmmm yyyy"),RawData[[Error Type ]],"Short"))</f>
        <v/>
      </c>
      <c r="D51" s="9" t="str">
        <f>IF(A51="","",COUNTIFS(RawData[Tour/Site],A51,RawData[Month List],TEXT($A$4,"mmmm yyyy"),RawData[[Error Type ]],"Excess"))</f>
        <v/>
      </c>
      <c r="E51" s="9" t="str">
        <f>IF(A51="","",SUMIFS(RawData[Qyt Affected ( EA ) ],RawData[Tour/Site],A51,RawData[Month List],TEXT($A$4,"mmmm yyyy")))</f>
        <v/>
      </c>
      <c r="L51">
        <v>2380</v>
      </c>
    </row>
    <row r="52" spans="1:12" ht="20.100000000000001" customHeight="1" x14ac:dyDescent="0.25">
      <c r="A52" s="9"/>
      <c r="B52" s="9" t="str">
        <f>IF(A52="","",COUNTIFS(RawData[Tour/Site],A52,RawData[Month List],TEXT($A$4,"mmmm yyyy")))</f>
        <v/>
      </c>
      <c r="C52" s="9" t="str">
        <f>IF(A52="","",COUNTIFS(RawData[Tour/Site],A52,RawData[Month List],TEXT($A$4,"mmmm yyyy"),RawData[[Error Type ]],"Short"))</f>
        <v/>
      </c>
      <c r="D52" s="9" t="str">
        <f>IF(A52="","",COUNTIFS(RawData[Tour/Site],A52,RawData[Month List],TEXT($A$4,"mmmm yyyy"),RawData[[Error Type ]],"Excess"))</f>
        <v/>
      </c>
      <c r="E52" s="9" t="str">
        <f>IF(A52="","",SUMIFS(RawData[Qyt Affected ( EA ) ],RawData[Tour/Site],A52,RawData[Month List],TEXT($A$4,"mmmm yyyy")))</f>
        <v/>
      </c>
      <c r="L52">
        <v>2390</v>
      </c>
    </row>
    <row r="53" spans="1:12" ht="20.100000000000001" customHeight="1" x14ac:dyDescent="0.25">
      <c r="A53" s="9"/>
      <c r="B53" s="9" t="str">
        <f>IF(A53="","",COUNTIFS(RawData[Tour/Site],A53,RawData[Month List],TEXT($A$4,"mmmm yyyy")))</f>
        <v/>
      </c>
      <c r="C53" s="9" t="str">
        <f>IF(A53="","",COUNTIFS(RawData[Tour/Site],A53,RawData[Month List],TEXT($A$4,"mmmm yyyy"),RawData[[Error Type ]],"Short"))</f>
        <v/>
      </c>
      <c r="D53" s="9" t="str">
        <f>IF(A53="","",COUNTIFS(RawData[Tour/Site],A53,RawData[Month List],TEXT($A$4,"mmmm yyyy"),RawData[[Error Type ]],"Excess"))</f>
        <v/>
      </c>
      <c r="E53" s="9" t="str">
        <f>IF(A53="","",SUMIFS(RawData[Qyt Affected ( EA ) ],RawData[Tour/Site],A53,RawData[Month List],TEXT($A$4,"mmmm yyyy")))</f>
        <v/>
      </c>
      <c r="L53">
        <v>2410</v>
      </c>
    </row>
    <row r="54" spans="1:12" ht="20.100000000000001" customHeight="1" x14ac:dyDescent="0.25">
      <c r="A54" s="9"/>
      <c r="B54" s="9" t="str">
        <f>IF(A54="","",COUNTIFS(RawData[Tour/Site],A54,RawData[Month List],TEXT($A$4,"mmmm yyyy")))</f>
        <v/>
      </c>
      <c r="C54" s="9" t="str">
        <f>IF(A54="","",COUNTIFS(RawData[Tour/Site],A54,RawData[Month List],TEXT($A$4,"mmmm yyyy"),RawData[[Error Type ]],"Short"))</f>
        <v/>
      </c>
      <c r="D54" s="9" t="str">
        <f>IF(A54="","",COUNTIFS(RawData[Tour/Site],A54,RawData[Month List],TEXT($A$4,"mmmm yyyy"),RawData[[Error Type ]],"Excess"))</f>
        <v/>
      </c>
      <c r="E54" s="9" t="str">
        <f>IF(A54="","",SUMIFS(RawData[Qyt Affected ( EA ) ],RawData[Tour/Site],A54,RawData[Month List],TEXT($A$4,"mmmm yyyy")))</f>
        <v/>
      </c>
      <c r="L54">
        <v>2344</v>
      </c>
    </row>
    <row r="55" spans="1:12" ht="20.100000000000001" customHeight="1" x14ac:dyDescent="0.25">
      <c r="A55" s="9"/>
      <c r="B55" s="9" t="str">
        <f>IF(A55="","",COUNTIFS(RawData[Tour/Site],A55,RawData[Month List],TEXT($A$4,"mmmm yyyy")))</f>
        <v/>
      </c>
      <c r="C55" s="9" t="str">
        <f>IF(A55="","",COUNTIFS(RawData[Tour/Site],A55,RawData[Month List],TEXT($A$4,"mmmm yyyy"),RawData[[Error Type ]],"Short"))</f>
        <v/>
      </c>
      <c r="D55" s="9" t="str">
        <f>IF(A55="","",COUNTIFS(RawData[Tour/Site],A55,RawData[Month List],TEXT($A$4,"mmmm yyyy"),RawData[[Error Type ]],"Excess"))</f>
        <v/>
      </c>
      <c r="E55" s="9" t="str">
        <f>IF(A55="","",SUMIFS(RawData[Qyt Affected ( EA ) ],RawData[Tour/Site],A55,RawData[Month List],TEXT($A$4,"mmmm yyyy")))</f>
        <v/>
      </c>
      <c r="L55">
        <v>2344</v>
      </c>
    </row>
    <row r="56" spans="1:12" ht="20.100000000000001" customHeight="1" x14ac:dyDescent="0.25">
      <c r="A56" s="9"/>
      <c r="B56" s="9" t="str">
        <f>IF(A56="","",COUNTIFS(RawData[Tour/Site],A56,RawData[Month List],TEXT($A$4,"mmmm yyyy")))</f>
        <v/>
      </c>
      <c r="C56" s="9" t="str">
        <f>IF(A56="","",COUNTIFS(RawData[Tour/Site],A56,RawData[Month List],TEXT($A$4,"mmmm yyyy"),RawData[[Error Type ]],"Short"))</f>
        <v/>
      </c>
      <c r="D56" s="9" t="str">
        <f>IF(A56="","",COUNTIFS(RawData[Tour/Site],A56,RawData[Month List],TEXT($A$4,"mmmm yyyy"),RawData[[Error Type ]],"Excess"))</f>
        <v/>
      </c>
      <c r="E56" s="9" t="str">
        <f>IF(A56="","",SUMIFS(RawData[Qyt Affected ( EA ) ],RawData[Tour/Site],A56,RawData[Month List],TEXT($A$4,"mmmm yyyy")))</f>
        <v/>
      </c>
      <c r="L56">
        <v>2420</v>
      </c>
    </row>
    <row r="57" spans="1:12" ht="20.100000000000001" customHeight="1" x14ac:dyDescent="0.25">
      <c r="A57" s="9"/>
      <c r="B57" s="9" t="str">
        <f>IF(A57="","",COUNTIFS(RawData[Tour/Site],A57,RawData[Month List],TEXT($A$4,"mmmm yyyy")))</f>
        <v/>
      </c>
      <c r="C57" s="9" t="str">
        <f>IF(A57="","",COUNTIFS(RawData[Tour/Site],A57,RawData[Month List],TEXT($A$4,"mmmm yyyy"),RawData[[Error Type ]],"Short"))</f>
        <v/>
      </c>
      <c r="D57" s="9" t="str">
        <f>IF(A57="","",COUNTIFS(RawData[Tour/Site],A57,RawData[Month List],TEXT($A$4,"mmmm yyyy"),RawData[[Error Type ]],"Excess"))</f>
        <v/>
      </c>
      <c r="E57" s="9" t="str">
        <f>IF(A57="","",SUMIFS(RawData[Qyt Affected ( EA ) ],RawData[Tour/Site],A57,RawData[Month List],TEXT($A$4,"mmmm yyyy")))</f>
        <v/>
      </c>
      <c r="L57">
        <v>2286</v>
      </c>
    </row>
    <row r="58" spans="1:12" ht="20.100000000000001" customHeight="1" x14ac:dyDescent="0.25">
      <c r="A58" s="9"/>
      <c r="B58" s="9" t="str">
        <f>IF(A58="","",COUNTIFS(RawData[Tour/Site],A58,RawData[Month List],TEXT($A$4,"mmmm yyyy")))</f>
        <v/>
      </c>
      <c r="C58" s="9" t="str">
        <f>IF(A58="","",COUNTIFS(RawData[Tour/Site],A58,RawData[Month List],TEXT($A$4,"mmmm yyyy"),RawData[[Error Type ]],"Short"))</f>
        <v/>
      </c>
      <c r="D58" s="9" t="str">
        <f>IF(A58="","",COUNTIFS(RawData[Tour/Site],A58,RawData[Month List],TEXT($A$4,"mmmm yyyy"),RawData[[Error Type ]],"Excess"))</f>
        <v/>
      </c>
      <c r="E58" s="9" t="str">
        <f>IF(A58="","",SUMIFS(RawData[Qyt Affected ( EA ) ],RawData[Tour/Site],A58,RawData[Month List],TEXT($A$4,"mmmm yyyy")))</f>
        <v/>
      </c>
      <c r="L58">
        <v>2286</v>
      </c>
    </row>
    <row r="59" spans="1:12" ht="20.100000000000001" customHeight="1" x14ac:dyDescent="0.25">
      <c r="A59" s="9"/>
      <c r="B59" s="9" t="str">
        <f>IF(A59="","",COUNTIFS(RawData[Tour/Site],A59,RawData[Month List],TEXT($A$4,"mmmm yyyy")))</f>
        <v/>
      </c>
      <c r="C59" s="9" t="str">
        <f>IF(A59="","",COUNTIFS(RawData[Tour/Site],A59,RawData[Month List],TEXT($A$4,"mmmm yyyy"),RawData[[Error Type ]],"Short"))</f>
        <v/>
      </c>
      <c r="D59" s="9" t="str">
        <f>IF(A59="","",COUNTIFS(RawData[Tour/Site],A59,RawData[Month List],TEXT($A$4,"mmmm yyyy"),RawData[[Error Type ]],"Excess"))</f>
        <v/>
      </c>
      <c r="E59" s="9" t="str">
        <f>IF(A59="","",SUMIFS(RawData[Qyt Affected ( EA ) ],RawData[Tour/Site],A59,RawData[Month List],TEXT($A$4,"mmmm yyyy")))</f>
        <v/>
      </c>
      <c r="L59">
        <v>2286</v>
      </c>
    </row>
    <row r="60" spans="1:12" ht="20.100000000000001" customHeight="1" x14ac:dyDescent="0.25">
      <c r="A60" s="9"/>
      <c r="B60" s="9" t="str">
        <f>IF(A60="","",COUNTIFS(RawData[Tour/Site],A60,RawData[Month List],TEXT($A$4,"mmmm yyyy")))</f>
        <v/>
      </c>
      <c r="C60" s="9" t="str">
        <f>IF(A60="","",COUNTIFS(RawData[Tour/Site],A60,RawData[Month List],TEXT($A$4,"mmmm yyyy"),RawData[[Error Type ]],"Short"))</f>
        <v/>
      </c>
      <c r="D60" s="9" t="str">
        <f>IF(A60="","",COUNTIFS(RawData[Tour/Site],A60,RawData[Month List],TEXT($A$4,"mmmm yyyy"),RawData[[Error Type ]],"Excess"))</f>
        <v/>
      </c>
      <c r="E60" s="9" t="str">
        <f>IF(A60="","",SUMIFS(RawData[Qyt Affected ( EA ) ],RawData[Tour/Site],A60,RawData[Month List],TEXT($A$4,"mmmm yyyy")))</f>
        <v/>
      </c>
      <c r="L60">
        <v>2300</v>
      </c>
    </row>
    <row r="61" spans="1:12" ht="20.100000000000001" customHeight="1" x14ac:dyDescent="0.25">
      <c r="A61" s="9"/>
      <c r="B61" s="9" t="str">
        <f>IF(A61="","",COUNTIFS(RawData[Tour/Site],A61,RawData[Month List],TEXT($A$4,"mmmm yyyy")))</f>
        <v/>
      </c>
      <c r="C61" s="9" t="str">
        <f>IF(A61="","",COUNTIFS(RawData[Tour/Site],A61,RawData[Month List],TEXT($A$4,"mmmm yyyy"),RawData[[Error Type ]],"Short"))</f>
        <v/>
      </c>
      <c r="D61" s="9" t="str">
        <f>IF(A61="","",COUNTIFS(RawData[Tour/Site],A61,RawData[Month List],TEXT($A$4,"mmmm yyyy"),RawData[[Error Type ]],"Excess"))</f>
        <v/>
      </c>
      <c r="E61" s="9" t="str">
        <f>IF(A61="","",SUMIFS(RawData[Qyt Affected ( EA ) ],RawData[Tour/Site],A61,RawData[Month List],TEXT($A$4,"mmmm yyyy")))</f>
        <v/>
      </c>
      <c r="L61">
        <v>2300</v>
      </c>
    </row>
    <row r="62" spans="1:12" ht="20.100000000000001" customHeight="1" x14ac:dyDescent="0.25">
      <c r="A62" s="9"/>
      <c r="B62" s="9" t="str">
        <f>IF(A62="","",COUNTIFS(RawData[Tour/Site],A62,RawData[Month List],TEXT($A$4,"mmmm yyyy")))</f>
        <v/>
      </c>
      <c r="C62" s="9" t="str">
        <f>IF(A62="","",COUNTIFS(RawData[Tour/Site],A62,RawData[Month List],TEXT($A$4,"mmmm yyyy"),RawData[[Error Type ]],"Short"))</f>
        <v/>
      </c>
      <c r="D62" s="9" t="str">
        <f>IF(A62="","",COUNTIFS(RawData[Tour/Site],A62,RawData[Month List],TEXT($A$4,"mmmm yyyy"),RawData[[Error Type ]],"Excess"))</f>
        <v/>
      </c>
      <c r="E62" s="9" t="str">
        <f>IF(A62="","",SUMIFS(RawData[Qyt Affected ( EA ) ],RawData[Tour/Site],A62,RawData[Month List],TEXT($A$4,"mmmm yyyy")))</f>
        <v/>
      </c>
      <c r="L62">
        <v>2390</v>
      </c>
    </row>
    <row r="63" spans="1:12" ht="20.100000000000001" customHeight="1" x14ac:dyDescent="0.25">
      <c r="A63" s="9"/>
      <c r="B63" s="9" t="str">
        <f>IF(A63="","",COUNTIFS(RawData[Tour/Site],A63,RawData[Month List],TEXT($A$4,"mmmm yyyy")))</f>
        <v/>
      </c>
      <c r="C63" s="9" t="str">
        <f>IF(A63="","",COUNTIFS(RawData[Tour/Site],A63,RawData[Month List],TEXT($A$4,"mmmm yyyy"),RawData[[Error Type ]],"Short"))</f>
        <v/>
      </c>
      <c r="D63" s="9" t="str">
        <f>IF(A63="","",COUNTIFS(RawData[Tour/Site],A63,RawData[Month List],TEXT($A$4,"mmmm yyyy"),RawData[[Error Type ]],"Excess"))</f>
        <v/>
      </c>
      <c r="E63" s="9" t="str">
        <f>IF(A63="","",SUMIFS(RawData[Qyt Affected ( EA ) ],RawData[Tour/Site],A63,RawData[Month List],TEXT($A$4,"mmmm yyyy")))</f>
        <v/>
      </c>
      <c r="L63">
        <v>2382</v>
      </c>
    </row>
    <row r="64" spans="1:12" ht="20.100000000000001" customHeight="1" x14ac:dyDescent="0.25">
      <c r="A64" s="9"/>
      <c r="B64" s="9" t="str">
        <f>IF(A64="","",COUNTIFS(RawData[Tour/Site],A64,RawData[Month List],TEXT($A$4,"mmmm yyyy")))</f>
        <v/>
      </c>
      <c r="C64" s="9" t="str">
        <f>IF(A64="","",COUNTIFS(RawData[Tour/Site],A64,RawData[Month List],TEXT($A$4,"mmmm yyyy"),RawData[[Error Type ]],"Short"))</f>
        <v/>
      </c>
      <c r="D64" s="9" t="str">
        <f>IF(A64="","",COUNTIFS(RawData[Tour/Site],A64,RawData[Month List],TEXT($A$4,"mmmm yyyy"),RawData[[Error Type ]],"Excess"))</f>
        <v/>
      </c>
      <c r="E64" s="9" t="str">
        <f>IF(A64="","",SUMIFS(RawData[Qyt Affected ( EA ) ],RawData[Tour/Site],A64,RawData[Month List],TEXT($A$4,"mmmm yyyy")))</f>
        <v/>
      </c>
      <c r="L64">
        <v>2255</v>
      </c>
    </row>
    <row r="65" spans="1:12" ht="20.100000000000001" customHeight="1" x14ac:dyDescent="0.25">
      <c r="A65" s="9"/>
      <c r="B65" s="9" t="str">
        <f>IF(A65="","",COUNTIFS(RawData[Tour/Site],A65,RawData[Month List],TEXT($A$4,"mmmm yyyy")))</f>
        <v/>
      </c>
      <c r="C65" s="9" t="str">
        <f>IF(A65="","",COUNTIFS(RawData[Tour/Site],A65,RawData[Month List],TEXT($A$4,"mmmm yyyy"),RawData[[Error Type ]],"Short"))</f>
        <v/>
      </c>
      <c r="D65" s="9" t="str">
        <f>IF(A65="","",COUNTIFS(RawData[Tour/Site],A65,RawData[Month List],TEXT($A$4,"mmmm yyyy"),RawData[[Error Type ]],"Excess"))</f>
        <v/>
      </c>
      <c r="E65" s="9" t="str">
        <f>IF(A65="","",SUMIFS(RawData[Qyt Affected ( EA ) ],RawData[Tour/Site],A65,RawData[Month List],TEXT($A$4,"mmmm yyyy")))</f>
        <v/>
      </c>
      <c r="L65">
        <v>2382</v>
      </c>
    </row>
    <row r="66" spans="1:12" ht="20.100000000000001" customHeight="1" x14ac:dyDescent="0.25">
      <c r="A66" s="9"/>
      <c r="B66" s="9" t="str">
        <f>IF(A66="","",COUNTIFS(RawData[Tour/Site],A66,RawData[Month List],TEXT($A$4,"mmmm yyyy")))</f>
        <v/>
      </c>
      <c r="C66" s="9" t="str">
        <f>IF(A66="","",COUNTIFS(RawData[Tour/Site],A66,RawData[Month List],TEXT($A$4,"mmmm yyyy"),RawData[[Error Type ]],"Short"))</f>
        <v/>
      </c>
      <c r="D66" s="9" t="str">
        <f>IF(A66="","",COUNTIFS(RawData[Tour/Site],A66,RawData[Month List],TEXT($A$4,"mmmm yyyy"),RawData[[Error Type ]],"Excess"))</f>
        <v/>
      </c>
      <c r="E66" s="9" t="str">
        <f>IF(A66="","",SUMIFS(RawData[Qyt Affected ( EA ) ],RawData[Tour/Site],A66,RawData[Month List],TEXT($A$4,"mmmm yyyy")))</f>
        <v/>
      </c>
      <c r="L66">
        <v>2300</v>
      </c>
    </row>
    <row r="67" spans="1:12" ht="20.100000000000001" customHeight="1" x14ac:dyDescent="0.25">
      <c r="A67" s="9"/>
      <c r="B67" s="9" t="str">
        <f>IF(A67="","",COUNTIFS(RawData[Tour/Site],A67,RawData[Month List],TEXT($A$4,"mmmm yyyy")))</f>
        <v/>
      </c>
      <c r="C67" s="9" t="str">
        <f>IF(A67="","",COUNTIFS(RawData[Tour/Site],A67,RawData[Month List],TEXT($A$4,"mmmm yyyy"),RawData[[Error Type ]],"Short"))</f>
        <v/>
      </c>
      <c r="D67" s="9" t="str">
        <f>IF(A67="","",COUNTIFS(RawData[Tour/Site],A67,RawData[Month List],TEXT($A$4,"mmmm yyyy"),RawData[[Error Type ]],"Excess"))</f>
        <v/>
      </c>
      <c r="E67" s="9" t="str">
        <f>IF(A67="","",SUMIFS(RawData[Qyt Affected ( EA ) ],RawData[Tour/Site],A67,RawData[Month List],TEXT($A$4,"mmmm yyyy")))</f>
        <v/>
      </c>
      <c r="L67">
        <v>2270</v>
      </c>
    </row>
    <row r="68" spans="1:12" ht="20.100000000000001" customHeight="1" x14ac:dyDescent="0.25">
      <c r="A68" s="9"/>
      <c r="B68" s="9" t="str">
        <f>IF(A68="","",COUNTIFS(RawData[Tour/Site],A68,RawData[Month List],TEXT($A$4,"mmmm yyyy")))</f>
        <v/>
      </c>
      <c r="C68" s="9" t="str">
        <f>IF(A68="","",COUNTIFS(RawData[Tour/Site],A68,RawData[Month List],TEXT($A$4,"mmmm yyyy"),RawData[[Error Type ]],"Short"))</f>
        <v/>
      </c>
      <c r="D68" s="9" t="str">
        <f>IF(A68="","",COUNTIFS(RawData[Tour/Site],A68,RawData[Month List],TEXT($A$4,"mmmm yyyy"),RawData[[Error Type ]],"Excess"))</f>
        <v/>
      </c>
      <c r="E68" s="9" t="str">
        <f>IF(A68="","",SUMIFS(RawData[Qyt Affected ( EA ) ],RawData[Tour/Site],A68,RawData[Month List],TEXT($A$4,"mmmm yyyy")))</f>
        <v/>
      </c>
      <c r="L68">
        <v>2270</v>
      </c>
    </row>
    <row r="69" spans="1:12" ht="20.100000000000001" customHeight="1" x14ac:dyDescent="0.25">
      <c r="A69" s="9"/>
      <c r="B69" s="9" t="str">
        <f>IF(A69="","",COUNTIFS(RawData[Tour/Site],A69,RawData[Month List],TEXT($A$4,"mmmm yyyy")))</f>
        <v/>
      </c>
      <c r="C69" s="9" t="str">
        <f>IF(A69="","",COUNTIFS(RawData[Tour/Site],A69,RawData[Month List],TEXT($A$4,"mmmm yyyy"),RawData[[Error Type ]],"Short"))</f>
        <v/>
      </c>
      <c r="D69" s="9" t="str">
        <f>IF(A69="","",COUNTIFS(RawData[Tour/Site],A69,RawData[Month List],TEXT($A$4,"mmmm yyyy"),RawData[[Error Type ]],"Excess"))</f>
        <v/>
      </c>
      <c r="E69" s="9" t="str">
        <f>IF(A69="","",SUMIFS(RawData[Qyt Affected ( EA ) ],RawData[Tour/Site],A69,RawData[Month List],TEXT($A$4,"mmmm yyyy")))</f>
        <v/>
      </c>
      <c r="L69">
        <v>2270</v>
      </c>
    </row>
    <row r="70" spans="1:12" ht="20.100000000000001" customHeight="1" x14ac:dyDescent="0.25">
      <c r="A70" s="9"/>
      <c r="B70" s="9" t="str">
        <f>IF(A70="","",COUNTIFS(RawData[Tour/Site],A70,RawData[Month List],TEXT($A$4,"mmmm yyyy")))</f>
        <v/>
      </c>
      <c r="C70" s="9" t="str">
        <f>IF(A70="","",COUNTIFS(RawData[Tour/Site],A70,RawData[Month List],TEXT($A$4,"mmmm yyyy"),RawData[[Error Type ]],"Short"))</f>
        <v/>
      </c>
      <c r="D70" s="9" t="str">
        <f>IF(A70="","",COUNTIFS(RawData[Tour/Site],A70,RawData[Month List],TEXT($A$4,"mmmm yyyy"),RawData[[Error Type ]],"Excess"))</f>
        <v/>
      </c>
      <c r="E70" s="9" t="str">
        <f>IF(A70="","",SUMIFS(RawData[Qyt Affected ( EA ) ],RawData[Tour/Site],A70,RawData[Month List],TEXT($A$4,"mmmm yyyy")))</f>
        <v/>
      </c>
      <c r="L70">
        <v>2300</v>
      </c>
    </row>
    <row r="71" spans="1:12" ht="20.100000000000001" customHeight="1" x14ac:dyDescent="0.25">
      <c r="A71" s="9"/>
      <c r="B71" s="9" t="str">
        <f>IF(A71="","",COUNTIFS(RawData[Tour/Site],A71,RawData[Month List],TEXT($A$4,"mmmm yyyy")))</f>
        <v/>
      </c>
      <c r="C71" s="9" t="str">
        <f>IF(A71="","",COUNTIFS(RawData[Tour/Site],A71,RawData[Month List],TEXT($A$4,"mmmm yyyy"),RawData[[Error Type ]],"Short"))</f>
        <v/>
      </c>
      <c r="D71" s="9" t="str">
        <f>IF(A71="","",COUNTIFS(RawData[Tour/Site],A71,RawData[Month List],TEXT($A$4,"mmmm yyyy"),RawData[[Error Type ]],"Excess"))</f>
        <v/>
      </c>
      <c r="E71" s="9" t="str">
        <f>IF(A71="","",SUMIFS(RawData[Qyt Affected ( EA ) ],RawData[Tour/Site],A71,RawData[Month List],TEXT($A$4,"mmmm yyyy")))</f>
        <v/>
      </c>
      <c r="L71">
        <v>2270</v>
      </c>
    </row>
    <row r="72" spans="1:12" ht="20.100000000000001" customHeight="1" x14ac:dyDescent="0.25">
      <c r="A72" s="9"/>
      <c r="B72" s="9" t="str">
        <f>IF(A72="","",COUNTIFS(RawData[Tour/Site],A72,RawData[Month List],TEXT($A$4,"mmmm yyyy")))</f>
        <v/>
      </c>
      <c r="C72" s="9" t="str">
        <f>IF(A72="","",COUNTIFS(RawData[Tour/Site],A72,RawData[Month List],TEXT($A$4,"mmmm yyyy"),RawData[[Error Type ]],"Short"))</f>
        <v/>
      </c>
      <c r="D72" s="9" t="str">
        <f>IF(A72="","",COUNTIFS(RawData[Tour/Site],A72,RawData[Month List],TEXT($A$4,"mmmm yyyy"),RawData[[Error Type ]],"Excess"))</f>
        <v/>
      </c>
      <c r="E72" s="9" t="str">
        <f>IF(A72="","",SUMIFS(RawData[Qyt Affected ( EA ) ],RawData[Tour/Site],A72,RawData[Month List],TEXT($A$4,"mmmm yyyy")))</f>
        <v/>
      </c>
    </row>
    <row r="73" spans="1:12" ht="20.100000000000001" customHeight="1" x14ac:dyDescent="0.25">
      <c r="A73" s="9"/>
      <c r="B73" s="9" t="str">
        <f>IF(A73="","",COUNTIFS(RawData[Tour/Site],A73,RawData[Month List],TEXT($A$4,"mmmm yyyy")))</f>
        <v/>
      </c>
      <c r="C73" s="9" t="str">
        <f>IF(A73="","",COUNTIFS(RawData[Tour/Site],A73,RawData[Month List],TEXT($A$4,"mmmm yyyy"),RawData[[Error Type ]],"Short"))</f>
        <v/>
      </c>
      <c r="D73" s="9" t="str">
        <f>IF(A73="","",COUNTIFS(RawData[Tour/Site],A73,RawData[Month List],TEXT($A$4,"mmmm yyyy"),RawData[[Error Type ]],"Excess"))</f>
        <v/>
      </c>
      <c r="E73" s="9" t="str">
        <f>IF(A73="","",SUMIFS(RawData[Qyt Affected ( EA ) ],RawData[Tour/Site],A73,RawData[Month List],TEXT($A$4,"mmmm yyyy")))</f>
        <v/>
      </c>
    </row>
    <row r="74" spans="1:12" ht="20.100000000000001" customHeight="1" x14ac:dyDescent="0.25">
      <c r="A74" s="9"/>
      <c r="B74" s="9" t="str">
        <f>IF(A74="","",COUNTIFS(RawData[Tour/Site],A74,RawData[Month List],TEXT($A$4,"mmmm yyyy")))</f>
        <v/>
      </c>
      <c r="C74" s="9" t="str">
        <f>IF(A74="","",COUNTIFS(RawData[Tour/Site],A74,RawData[Month List],TEXT($A$4,"mmmm yyyy"),RawData[[Error Type ]],"Short"))</f>
        <v/>
      </c>
      <c r="D74" s="9" t="str">
        <f>IF(A74="","",COUNTIFS(RawData[Tour/Site],A74,RawData[Month List],TEXT($A$4,"mmmm yyyy"),RawData[[Error Type ]],"Excess"))</f>
        <v/>
      </c>
      <c r="E74" s="9" t="str">
        <f>IF(A74="","",SUMIFS(RawData[Qyt Affected ( EA ) ],RawData[Tour/Site],A74,RawData[Month List],TEXT($A$4,"mmmm yyyy")))</f>
        <v/>
      </c>
    </row>
    <row r="75" spans="1:12" ht="20.100000000000001" customHeight="1" x14ac:dyDescent="0.25">
      <c r="A75" s="9"/>
      <c r="B75" s="9" t="str">
        <f>IF(A75="","",COUNTIFS(RawData[Tour/Site],A75,RawData[Month List],TEXT($A$4,"mmmm yyyy")))</f>
        <v/>
      </c>
      <c r="C75" s="9" t="str">
        <f>IF(A75="","",COUNTIFS(RawData[Tour/Site],A75,RawData[Month List],TEXT($A$4,"mmmm yyyy"),RawData[[Error Type ]],"Short"))</f>
        <v/>
      </c>
      <c r="D75" s="9" t="str">
        <f>IF(A75="","",COUNTIFS(RawData[Tour/Site],A75,RawData[Month List],TEXT($A$4,"mmmm yyyy"),RawData[[Error Type ]],"Excess"))</f>
        <v/>
      </c>
      <c r="E75" s="9" t="str">
        <f>IF(A75="","",SUMIFS(RawData[Qyt Affected ( EA ) ],RawData[Tour/Site],A75,RawData[Month List],TEXT($A$4,"mmmm yyyy")))</f>
        <v/>
      </c>
    </row>
    <row r="76" spans="1:12" ht="20.100000000000001" customHeight="1" x14ac:dyDescent="0.25">
      <c r="A76" s="9"/>
      <c r="B76" s="9" t="str">
        <f>IF(A76="","",COUNTIFS(RawData[Tour/Site],A76,RawData[Month List],TEXT($A$4,"mmmm yyyy")))</f>
        <v/>
      </c>
      <c r="C76" s="9" t="str">
        <f>IF(A76="","",COUNTIFS(RawData[Tour/Site],A76,RawData[Month List],TEXT($A$4,"mmmm yyyy"),RawData[[Error Type ]],"Short"))</f>
        <v/>
      </c>
      <c r="D76" s="9" t="str">
        <f>IF(A76="","",COUNTIFS(RawData[Tour/Site],A76,RawData[Month List],TEXT($A$4,"mmmm yyyy"),RawData[[Error Type ]],"Excess"))</f>
        <v/>
      </c>
      <c r="E76" s="9" t="str">
        <f>IF(A76="","",SUMIFS(RawData[Qyt Affected ( EA ) ],RawData[Tour/Site],A76,RawData[Month List],TEXT($A$4,"mmmm yyyy")))</f>
        <v/>
      </c>
    </row>
    <row r="77" spans="1:12" ht="20.100000000000001" customHeight="1" x14ac:dyDescent="0.25">
      <c r="A77" s="9"/>
      <c r="B77" s="9" t="str">
        <f>IF(A77="","",COUNTIFS(RawData[Tour/Site],A77,RawData[Month List],TEXT($A$4,"mmmm yyyy")))</f>
        <v/>
      </c>
      <c r="C77" s="9" t="str">
        <f>IF(A77="","",COUNTIFS(RawData[Tour/Site],A77,RawData[Month List],TEXT($A$4,"mmmm yyyy"),RawData[[Error Type ]],"Short"))</f>
        <v/>
      </c>
      <c r="D77" s="9" t="str">
        <f>IF(A77="","",COUNTIFS(RawData[Tour/Site],A77,RawData[Month List],TEXT($A$4,"mmmm yyyy"),RawData[[Error Type ]],"Excess"))</f>
        <v/>
      </c>
      <c r="E77" s="9" t="str">
        <f>IF(A77="","",SUMIFS(RawData[Qyt Affected ( EA ) ],RawData[Tour/Site],A77,RawData[Month List],TEXT($A$4,"mmmm yyyy")))</f>
        <v/>
      </c>
    </row>
    <row r="78" spans="1:12" ht="20.100000000000001" customHeight="1" x14ac:dyDescent="0.25">
      <c r="A78" s="9"/>
      <c r="B78" s="9" t="str">
        <f>IF(A78="","",COUNTIFS(RawData[Tour/Site],A78,RawData[Month List],TEXT($A$4,"mmmm yyyy")))</f>
        <v/>
      </c>
      <c r="C78" s="9" t="str">
        <f>IF(A78="","",COUNTIFS(RawData[Tour/Site],A78,RawData[Month List],TEXT($A$4,"mmmm yyyy"),RawData[[Error Type ]],"Short"))</f>
        <v/>
      </c>
      <c r="D78" s="9" t="str">
        <f>IF(A78="","",COUNTIFS(RawData[Tour/Site],A78,RawData[Month List],TEXT($A$4,"mmmm yyyy"),RawData[[Error Type ]],"Excess"))</f>
        <v/>
      </c>
      <c r="E78" s="9" t="str">
        <f>IF(A78="","",SUMIFS(RawData[Qyt Affected ( EA ) ],RawData[Tour/Site],A78,RawData[Month List],TEXT($A$4,"mmmm yyyy")))</f>
        <v/>
      </c>
    </row>
    <row r="79" spans="1:12" ht="20.100000000000001" customHeight="1" x14ac:dyDescent="0.25">
      <c r="A79" s="9"/>
      <c r="B79" s="9" t="str">
        <f>IF(A79="","",COUNTIFS(RawData[Tour/Site],A79,RawData[Month List],TEXT($A$4,"mmmm yyyy")))</f>
        <v/>
      </c>
      <c r="C79" s="9" t="str">
        <f>IF(A79="","",COUNTIFS(RawData[Tour/Site],A79,RawData[Month List],TEXT($A$4,"mmmm yyyy"),RawData[[Error Type ]],"Short"))</f>
        <v/>
      </c>
      <c r="D79" s="9" t="str">
        <f>IF(A79="","",COUNTIFS(RawData[Tour/Site],A79,RawData[Month List],TEXT($A$4,"mmmm yyyy"),RawData[[Error Type ]],"Excess"))</f>
        <v/>
      </c>
      <c r="E79" s="9" t="str">
        <f>IF(A79="","",SUMIFS(RawData[Qyt Affected ( EA ) ],RawData[Tour/Site],A79,RawData[Month List],TEXT($A$4,"mmmm yyyy")))</f>
        <v/>
      </c>
    </row>
    <row r="80" spans="1:12" ht="20.100000000000001" customHeight="1" x14ac:dyDescent="0.25">
      <c r="A80" s="9"/>
      <c r="B80" s="9" t="str">
        <f>IF(A80="","",COUNTIFS(RawData[Tour/Site],A80,RawData[Month List],TEXT($A$4,"mmmm yyyy")))</f>
        <v/>
      </c>
      <c r="C80" s="9" t="str">
        <f>IF(A80="","",COUNTIFS(RawData[Tour/Site],A80,RawData[Month List],TEXT($A$4,"mmmm yyyy"),RawData[[Error Type ]],"Short"))</f>
        <v/>
      </c>
      <c r="D80" s="9" t="str">
        <f>IF(A80="","",COUNTIFS(RawData[Tour/Site],A80,RawData[Month List],TEXT($A$4,"mmmm yyyy"),RawData[[Error Type ]],"Excess"))</f>
        <v/>
      </c>
      <c r="E80" s="9" t="str">
        <f>IF(A80="","",SUMIFS(RawData[Qyt Affected ( EA ) ],RawData[Tour/Site],A80,RawData[Month List],TEXT($A$4,"mmmm yyyy")))</f>
        <v/>
      </c>
    </row>
    <row r="81" spans="1:5" ht="20.100000000000001" customHeight="1" x14ac:dyDescent="0.25">
      <c r="A81" s="9"/>
      <c r="B81" s="9" t="str">
        <f>IF(A81="","",COUNTIFS(RawData[Tour/Site],A81,RawData[Month List],TEXT($A$4,"mmmm yyyy")))</f>
        <v/>
      </c>
      <c r="C81" s="9" t="str">
        <f>IF(A81="","",COUNTIFS(RawData[Tour/Site],A81,RawData[Month List],TEXT($A$4,"mmmm yyyy"),RawData[[Error Type ]],"Short"))</f>
        <v/>
      </c>
      <c r="D81" s="9" t="str">
        <f>IF(A81="","",COUNTIFS(RawData[Tour/Site],A81,RawData[Month List],TEXT($A$4,"mmmm yyyy"),RawData[[Error Type ]],"Excess"))</f>
        <v/>
      </c>
      <c r="E81" s="9" t="str">
        <f>IF(A81="","",SUMIFS(RawData[Qyt Affected ( EA ) ],RawData[Tour/Site],A81,RawData[Month List],TEXT($A$4,"mmmm yyyy")))</f>
        <v/>
      </c>
    </row>
    <row r="82" spans="1:5" ht="20.100000000000001" customHeight="1" x14ac:dyDescent="0.25">
      <c r="A82" s="9"/>
      <c r="B82" s="9" t="str">
        <f>IF(A82="","",COUNTIFS(RawData[Tour/Site],A82,RawData[Month List],TEXT($A$4,"mmmm yyyy")))</f>
        <v/>
      </c>
      <c r="C82" s="9" t="str">
        <f>IF(A82="","",COUNTIFS(RawData[Tour/Site],A82,RawData[Month List],TEXT($A$4,"mmmm yyyy"),RawData[[Error Type ]],"Short"))</f>
        <v/>
      </c>
      <c r="D82" s="9" t="str">
        <f>IF(A82="","",COUNTIFS(RawData[Tour/Site],A82,RawData[Month List],TEXT($A$4,"mmmm yyyy"),RawData[[Error Type ]],"Excess"))</f>
        <v/>
      </c>
      <c r="E82" s="9" t="str">
        <f>IF(A82="","",SUMIFS(RawData[Qyt Affected ( EA ) ],RawData[Tour/Site],A82,RawData[Month List],TEXT($A$4,"mmmm yyyy")))</f>
        <v/>
      </c>
    </row>
    <row r="83" spans="1:5" ht="20.100000000000001" customHeight="1" x14ac:dyDescent="0.25">
      <c r="A83" s="9"/>
      <c r="B83" s="9" t="str">
        <f>IF(A83="","",COUNTIFS(RawData[Tour/Site],A83,RawData[Month List],TEXT($A$4,"mmmm yyyy")))</f>
        <v/>
      </c>
      <c r="C83" s="9" t="str">
        <f>IF(A83="","",COUNTIFS(RawData[Tour/Site],A83,RawData[Month List],TEXT($A$4,"mmmm yyyy"),RawData[[Error Type ]],"Short"))</f>
        <v/>
      </c>
      <c r="D83" s="9" t="str">
        <f>IF(A83="","",COUNTIFS(RawData[Tour/Site],A83,RawData[Month List],TEXT($A$4,"mmmm yyyy"),RawData[[Error Type ]],"Excess"))</f>
        <v/>
      </c>
      <c r="E83" s="9" t="str">
        <f>IF(A83="","",SUMIFS(RawData[Qyt Affected ( EA ) ],RawData[Tour/Site],A83,RawData[Month List],TEXT($A$4,"mmmm yyyy")))</f>
        <v/>
      </c>
    </row>
    <row r="84" spans="1:5" ht="20.100000000000001" customHeight="1" x14ac:dyDescent="0.25">
      <c r="A84" s="9"/>
      <c r="B84" s="9" t="str">
        <f>IF(A84="","",COUNTIFS(RawData[Tour/Site],A84,RawData[Month List],TEXT($A$4,"mmmm yyyy")))</f>
        <v/>
      </c>
      <c r="C84" s="9" t="str">
        <f>IF(A84="","",COUNTIFS(RawData[Tour/Site],A84,RawData[Month List],TEXT($A$4,"mmmm yyyy"),RawData[[Error Type ]],"Short"))</f>
        <v/>
      </c>
      <c r="D84" s="9" t="str">
        <f>IF(A84="","",COUNTIFS(RawData[Tour/Site],A84,RawData[Month List],TEXT($A$4,"mmmm yyyy"),RawData[[Error Type ]],"Excess"))</f>
        <v/>
      </c>
      <c r="E84" s="9" t="str">
        <f>IF(A84="","",SUMIFS(RawData[Qyt Affected ( EA ) ],RawData[Tour/Site],A84,RawData[Month List],TEXT($A$4,"mmmm yyyy")))</f>
        <v/>
      </c>
    </row>
    <row r="85" spans="1:5" ht="20.100000000000001" customHeight="1" x14ac:dyDescent="0.25">
      <c r="A85" s="9"/>
      <c r="B85" s="9" t="str">
        <f>IF(A85="","",COUNTIFS(RawData[Tour/Site],A85,RawData[Month List],TEXT($A$4,"mmmm yyyy")))</f>
        <v/>
      </c>
      <c r="C85" s="9" t="str">
        <f>IF(A85="","",COUNTIFS(RawData[Tour/Site],A85,RawData[Month List],TEXT($A$4,"mmmm yyyy"),RawData[[Error Type ]],"Short"))</f>
        <v/>
      </c>
      <c r="D85" s="9" t="str">
        <f>IF(A85="","",COUNTIFS(RawData[Tour/Site],A85,RawData[Month List],TEXT($A$4,"mmmm yyyy"),RawData[[Error Type ]],"Excess"))</f>
        <v/>
      </c>
      <c r="E85" s="9" t="str">
        <f>IF(A85="","",SUMIFS(RawData[Qyt Affected ( EA ) ],RawData[Tour/Site],A85,RawData[Month List],TEXT($A$4,"mmmm yyyy")))</f>
        <v/>
      </c>
    </row>
    <row r="86" spans="1:5" ht="20.100000000000001" customHeight="1" x14ac:dyDescent="0.25">
      <c r="A86" s="9"/>
      <c r="B86" s="9" t="str">
        <f>IF(A86="","",COUNTIFS(RawData[Tour/Site],A86,RawData[Month List],TEXT($A$4,"mmmm yyyy")))</f>
        <v/>
      </c>
      <c r="C86" s="9" t="str">
        <f>IF(A86="","",COUNTIFS(RawData[Tour/Site],A86,RawData[Month List],TEXT($A$4,"mmmm yyyy"),RawData[[Error Type ]],"Short"))</f>
        <v/>
      </c>
      <c r="D86" s="9" t="str">
        <f>IF(A86="","",COUNTIFS(RawData[Tour/Site],A86,RawData[Month List],TEXT($A$4,"mmmm yyyy"),RawData[[Error Type ]],"Excess"))</f>
        <v/>
      </c>
      <c r="E86" s="9" t="str">
        <f>IF(A86="","",SUMIFS(RawData[Qyt Affected ( EA ) ],RawData[Tour/Site],A86,RawData[Month List],TEXT($A$4,"mmmm yyyy")))</f>
        <v/>
      </c>
    </row>
    <row r="87" spans="1:5" ht="20.100000000000001" customHeight="1" x14ac:dyDescent="0.25">
      <c r="A87" s="9"/>
      <c r="B87" s="9" t="str">
        <f>IF(A87="","",COUNTIFS(RawData[Tour/Site],A87,RawData[Month List],TEXT($A$4,"mmmm yyyy")))</f>
        <v/>
      </c>
      <c r="C87" s="9" t="str">
        <f>IF(A87="","",COUNTIFS(RawData[Tour/Site],A87,RawData[Month List],TEXT($A$4,"mmmm yyyy"),RawData[[Error Type ]],"Short"))</f>
        <v/>
      </c>
      <c r="D87" s="9" t="str">
        <f>IF(A87="","",COUNTIFS(RawData[Tour/Site],A87,RawData[Month List],TEXT($A$4,"mmmm yyyy"),RawData[[Error Type ]],"Excess"))</f>
        <v/>
      </c>
      <c r="E87" s="9" t="str">
        <f>IF(A87="","",SUMIFS(RawData[Qyt Affected ( EA ) ],RawData[Tour/Site],A87,RawData[Month List],TEXT($A$4,"mmmm yyyy")))</f>
        <v/>
      </c>
    </row>
    <row r="88" spans="1:5" ht="20.100000000000001" customHeight="1" x14ac:dyDescent="0.25">
      <c r="A88" s="9"/>
      <c r="B88" s="9" t="str">
        <f>IF(A88="","",COUNTIFS(RawData[Tour/Site],A88,RawData[Month List],TEXT($A$4,"mmmm yyyy")))</f>
        <v/>
      </c>
      <c r="C88" s="9" t="str">
        <f>IF(A88="","",COUNTIFS(RawData[Tour/Site],A88,RawData[Month List],TEXT($A$4,"mmmm yyyy"),RawData[[Error Type ]],"Short"))</f>
        <v/>
      </c>
      <c r="D88" s="9" t="str">
        <f>IF(A88="","",COUNTIFS(RawData[Tour/Site],A88,RawData[Month List],TEXT($A$4,"mmmm yyyy"),RawData[[Error Type ]],"Excess"))</f>
        <v/>
      </c>
      <c r="E88" s="9" t="str">
        <f>IF(A88="","",SUMIFS(RawData[Qyt Affected ( EA ) ],RawData[Tour/Site],A88,RawData[Month List],TEXT($A$4,"mmmm yyyy")))</f>
        <v/>
      </c>
    </row>
    <row r="89" spans="1:5" ht="20.100000000000001" customHeight="1" x14ac:dyDescent="0.25">
      <c r="A89" s="9"/>
      <c r="B89" s="9" t="str">
        <f>IF(A89="","",COUNTIFS(RawData[Tour/Site],A89,RawData[Month List],TEXT($A$4,"mmmm yyyy")))</f>
        <v/>
      </c>
      <c r="C89" s="9" t="str">
        <f>IF(A89="","",COUNTIFS(RawData[Tour/Site],A89,RawData[Month List],TEXT($A$4,"mmmm yyyy"),RawData[[Error Type ]],"Short"))</f>
        <v/>
      </c>
      <c r="D89" s="9" t="str">
        <f>IF(A89="","",COUNTIFS(RawData[Tour/Site],A89,RawData[Month List],TEXT($A$4,"mmmm yyyy"),RawData[[Error Type ]],"Excess"))</f>
        <v/>
      </c>
      <c r="E89" s="9" t="str">
        <f>IF(A89="","",SUMIFS(RawData[Qyt Affected ( EA ) ],RawData[Tour/Site],A89,RawData[Month List],TEXT($A$4,"mmmm yyyy")))</f>
        <v/>
      </c>
    </row>
    <row r="90" spans="1:5" ht="20.100000000000001" customHeight="1" x14ac:dyDescent="0.25">
      <c r="A90" s="9"/>
      <c r="B90" s="9" t="str">
        <f>IF(A90="","",COUNTIFS(RawData[Tour/Site],A90,RawData[Month List],TEXT($A$4,"mmmm yyyy")))</f>
        <v/>
      </c>
      <c r="C90" s="9" t="str">
        <f>IF(A90="","",COUNTIFS(RawData[Tour/Site],A90,RawData[Month List],TEXT($A$4,"mmmm yyyy"),RawData[[Error Type ]],"Short"))</f>
        <v/>
      </c>
      <c r="D90" s="9" t="str">
        <f>IF(A90="","",COUNTIFS(RawData[Tour/Site],A90,RawData[Month List],TEXT($A$4,"mmmm yyyy"),RawData[[Error Type ]],"Excess"))</f>
        <v/>
      </c>
      <c r="E90" s="9" t="str">
        <f>IF(A90="","",SUMIFS(RawData[Qyt Affected ( EA ) ],RawData[Tour/Site],A90,RawData[Month List],TEXT($A$4,"mmmm yyyy")))</f>
        <v/>
      </c>
    </row>
    <row r="91" spans="1:5" ht="20.100000000000001" customHeight="1" x14ac:dyDescent="0.25">
      <c r="A91" s="9"/>
      <c r="B91" s="9" t="str">
        <f>IF(A91="","",COUNTIFS(RawData[Tour/Site],A91,RawData[Month List],TEXT($A$4,"mmmm yyyy")))</f>
        <v/>
      </c>
      <c r="C91" s="9" t="str">
        <f>IF(A91="","",COUNTIFS(RawData[Tour/Site],A91,RawData[Month List],TEXT($A$4,"mmmm yyyy"),RawData[[Error Type ]],"Short"))</f>
        <v/>
      </c>
      <c r="D91" s="9" t="str">
        <f>IF(A91="","",COUNTIFS(RawData[Tour/Site],A91,RawData[Month List],TEXT($A$4,"mmmm yyyy"),RawData[[Error Type ]],"Excess"))</f>
        <v/>
      </c>
      <c r="E91" s="9" t="str">
        <f>IF(A91="","",SUMIFS(RawData[Qyt Affected ( EA ) ],RawData[Tour/Site],A91,RawData[Month List],TEXT($A$4,"mmmm yyyy")))</f>
        <v/>
      </c>
    </row>
    <row r="92" spans="1:5" ht="20.100000000000001" customHeight="1" x14ac:dyDescent="0.25">
      <c r="A92" s="9"/>
      <c r="B92" s="9" t="str">
        <f>IF(A92="","",COUNTIFS(RawData[Tour/Site],A92,RawData[Month List],TEXT($A$4,"mmmm yyyy")))</f>
        <v/>
      </c>
      <c r="C92" s="9" t="str">
        <f>IF(A92="","",COUNTIFS(RawData[Tour/Site],A92,RawData[Month List],TEXT($A$4,"mmmm yyyy"),RawData[[Error Type ]],"Short"))</f>
        <v/>
      </c>
      <c r="D92" s="9" t="str">
        <f>IF(A92="","",COUNTIFS(RawData[Tour/Site],A92,RawData[Month List],TEXT($A$4,"mmmm yyyy"),RawData[[Error Type ]],"Excess"))</f>
        <v/>
      </c>
      <c r="E92" s="9" t="str">
        <f>IF(A92="","",SUMIFS(RawData[Qyt Affected ( EA ) ],RawData[Tour/Site],A92,RawData[Month List],TEXT($A$4,"mmmm yyyy")))</f>
        <v/>
      </c>
    </row>
    <row r="93" spans="1:5" ht="20.100000000000001" customHeight="1" x14ac:dyDescent="0.25">
      <c r="A93" s="9"/>
      <c r="B93" s="9" t="str">
        <f>IF(A93="","",COUNTIFS(RawData[Tour/Site],A93,RawData[Month List],TEXT($A$4,"mmmm yyyy")))</f>
        <v/>
      </c>
      <c r="C93" s="9" t="str">
        <f>IF(A93="","",COUNTIFS(RawData[Tour/Site],A93,RawData[Month List],TEXT($A$4,"mmmm yyyy"),RawData[[Error Type ]],"Short"))</f>
        <v/>
      </c>
      <c r="D93" s="9" t="str">
        <f>IF(A93="","",COUNTIFS(RawData[Tour/Site],A93,RawData[Month List],TEXT($A$4,"mmmm yyyy"),RawData[[Error Type ]],"Excess"))</f>
        <v/>
      </c>
      <c r="E93" s="9" t="str">
        <f>IF(A93="","",SUMIFS(RawData[Qyt Affected ( EA ) ],RawData[Tour/Site],A93,RawData[Month List],TEXT($A$4,"mmmm yyyy")))</f>
        <v/>
      </c>
    </row>
    <row r="94" spans="1:5" ht="20.100000000000001" customHeight="1" x14ac:dyDescent="0.25">
      <c r="A94" s="9"/>
      <c r="B94" s="9" t="str">
        <f>IF(A94="","",COUNTIFS(RawData[Tour/Site],A94,RawData[Month List],TEXT($A$4,"mmmm yyyy")))</f>
        <v/>
      </c>
      <c r="C94" s="9" t="str">
        <f>IF(A94="","",COUNTIFS(RawData[Tour/Site],A94,RawData[Month List],TEXT($A$4,"mmmm yyyy"),RawData[[Error Type ]],"Short"))</f>
        <v/>
      </c>
      <c r="D94" s="9" t="str">
        <f>IF(A94="","",COUNTIFS(RawData[Tour/Site],A94,RawData[Month List],TEXT($A$4,"mmmm yyyy"),RawData[[Error Type ]],"Excess"))</f>
        <v/>
      </c>
      <c r="E94" s="9" t="str">
        <f>IF(A94="","",SUMIFS(RawData[Qyt Affected ( EA ) ],RawData[Tour/Site],A94,RawData[Month List],TEXT($A$4,"mmmm yyyy")))</f>
        <v/>
      </c>
    </row>
    <row r="95" spans="1:5" ht="20.100000000000001" customHeight="1" x14ac:dyDescent="0.25">
      <c r="A95" s="9"/>
      <c r="B95" s="9" t="str">
        <f>IF(A95="","",COUNTIFS(RawData[Tour/Site],A95,RawData[Month List],TEXT($A$4,"mmmm yyyy")))</f>
        <v/>
      </c>
      <c r="C95" s="9" t="str">
        <f>IF(A95="","",COUNTIFS(RawData[Tour/Site],A95,RawData[Month List],TEXT($A$4,"mmmm yyyy"),RawData[[Error Type ]],"Short"))</f>
        <v/>
      </c>
      <c r="D95" s="9" t="str">
        <f>IF(A95="","",COUNTIFS(RawData[Tour/Site],A95,RawData[Month List],TEXT($A$4,"mmmm yyyy"),RawData[[Error Type ]],"Excess"))</f>
        <v/>
      </c>
      <c r="E95" s="9" t="str">
        <f>IF(A95="","",SUMIFS(RawData[Qyt Affected ( EA ) ],RawData[Tour/Site],A95,RawData[Month List],TEXT($A$4,"mmmm yyyy")))</f>
        <v/>
      </c>
    </row>
    <row r="96" spans="1:5" ht="20.100000000000001" customHeight="1" x14ac:dyDescent="0.25">
      <c r="A96" s="9"/>
      <c r="B96" s="9" t="str">
        <f>IF(A96="","",COUNTIFS(RawData[Tour/Site],A96,RawData[Month List],TEXT($A$4,"mmmm yyyy")))</f>
        <v/>
      </c>
      <c r="C96" s="9" t="str">
        <f>IF(A96="","",COUNTIFS(RawData[Tour/Site],A96,RawData[Month List],TEXT($A$4,"mmmm yyyy"),RawData[[Error Type ]],"Short"))</f>
        <v/>
      </c>
      <c r="D96" s="9" t="str">
        <f>IF(A96="","",COUNTIFS(RawData[Tour/Site],A96,RawData[Month List],TEXT($A$4,"mmmm yyyy"),RawData[[Error Type ]],"Excess"))</f>
        <v/>
      </c>
      <c r="E96" s="9" t="str">
        <f>IF(A96="","",SUMIFS(RawData[Qyt Affected ( EA ) ],RawData[Tour/Site],A96,RawData[Month List],TEXT($A$4,"mmmm yyyy")))</f>
        <v/>
      </c>
    </row>
    <row r="97" spans="1:5" ht="20.100000000000001" customHeight="1" x14ac:dyDescent="0.25">
      <c r="A97" s="9"/>
      <c r="B97" s="9" t="str">
        <f>IF(A97="","",COUNTIFS(RawData[Tour/Site],A97,RawData[Month List],TEXT($A$4,"mmmm yyyy")))</f>
        <v/>
      </c>
      <c r="C97" s="9" t="str">
        <f>IF(A97="","",COUNTIFS(RawData[Tour/Site],A97,RawData[Month List],TEXT($A$4,"mmmm yyyy"),RawData[[Error Type ]],"Short"))</f>
        <v/>
      </c>
      <c r="D97" s="9" t="str">
        <f>IF(A97="","",COUNTIFS(RawData[Tour/Site],A97,RawData[Month List],TEXT($A$4,"mmmm yyyy"),RawData[[Error Type ]],"Excess"))</f>
        <v/>
      </c>
      <c r="E97" s="9" t="str">
        <f>IF(A97="","",SUMIFS(RawData[Qyt Affected ( EA ) ],RawData[Tour/Site],A97,RawData[Month List],TEXT($A$4,"mmmm yyyy")))</f>
        <v/>
      </c>
    </row>
    <row r="98" spans="1:5" ht="20.100000000000001" customHeight="1" x14ac:dyDescent="0.25">
      <c r="A98" s="9"/>
      <c r="B98" s="9" t="str">
        <f>IF(A98="","",COUNTIFS(RawData[Tour/Site],A98,RawData[Month List],TEXT($A$4,"mmmm yyyy")))</f>
        <v/>
      </c>
      <c r="C98" s="9" t="str">
        <f>IF(A98="","",COUNTIFS(RawData[Tour/Site],A98,RawData[Month List],TEXT($A$4,"mmmm yyyy"),RawData[[Error Type ]],"Short"))</f>
        <v/>
      </c>
      <c r="D98" s="9" t="str">
        <f>IF(A98="","",COUNTIFS(RawData[Tour/Site],A98,RawData[Month List],TEXT($A$4,"mmmm yyyy"),RawData[[Error Type ]],"Excess"))</f>
        <v/>
      </c>
      <c r="E98" s="9" t="str">
        <f>IF(A98="","",SUMIFS(RawData[Qyt Affected ( EA ) ],RawData[Tour/Site],A98,RawData[Month List],TEXT($A$4,"mmmm yyyy")))</f>
        <v/>
      </c>
    </row>
    <row r="99" spans="1:5" ht="20.100000000000001" customHeight="1" x14ac:dyDescent="0.25">
      <c r="A99" s="9"/>
      <c r="B99" s="9" t="str">
        <f>IF(A99="","",COUNTIFS(RawData[Tour/Site],A99,RawData[Month List],TEXT($A$4,"mmmm yyyy")))</f>
        <v/>
      </c>
      <c r="C99" s="9" t="str">
        <f>IF(A99="","",COUNTIFS(RawData[Tour/Site],A99,RawData[Month List],TEXT($A$4,"mmmm yyyy"),RawData[[Error Type ]],"Short"))</f>
        <v/>
      </c>
      <c r="D99" s="9" t="str">
        <f>IF(A99="","",COUNTIFS(RawData[Tour/Site],A99,RawData[Month List],TEXT($A$4,"mmmm yyyy"),RawData[[Error Type ]],"Excess"))</f>
        <v/>
      </c>
      <c r="E99" s="9" t="str">
        <f>IF(A99="","",SUMIFS(RawData[Qyt Affected ( EA ) ],RawData[Tour/Site],A99,RawData[Month List],TEXT($A$4,"mmmm yyyy")))</f>
        <v/>
      </c>
    </row>
    <row r="100" spans="1:5" ht="20.100000000000001" customHeight="1" x14ac:dyDescent="0.25">
      <c r="A100" s="9"/>
      <c r="B100" s="9" t="str">
        <f>IF(A100="","",COUNTIFS(RawData[Tour/Site],A100,RawData[Month List],TEXT($A$4,"mmmm yyyy")))</f>
        <v/>
      </c>
      <c r="C100" s="9" t="str">
        <f>IF(A100="","",COUNTIFS(RawData[Tour/Site],A100,RawData[Month List],TEXT($A$4,"mmmm yyyy"),RawData[[Error Type ]],"Short"))</f>
        <v/>
      </c>
      <c r="D100" s="9" t="str">
        <f>IF(A100="","",COUNTIFS(RawData[Tour/Site],A100,RawData[Month List],TEXT($A$4,"mmmm yyyy"),RawData[[Error Type ]],"Excess"))</f>
        <v/>
      </c>
      <c r="E100" s="9" t="str">
        <f>IF(A100="","",SUMIFS(RawData[Qyt Affected ( EA ) ],RawData[Tour/Site],A100,RawData[Month List],TEXT($A$4,"mmmm yyyy")))</f>
        <v/>
      </c>
    </row>
    <row r="101" spans="1:5" ht="20.100000000000001" customHeight="1" x14ac:dyDescent="0.25">
      <c r="A101" s="9"/>
      <c r="B101" s="9" t="str">
        <f>IF(A101="","",COUNTIFS(RawData[Tour/Site],A101,RawData[Month List],TEXT($A$4,"mmmm yyyy")))</f>
        <v/>
      </c>
      <c r="C101" s="9" t="str">
        <f>IF(A101="","",COUNTIFS(RawData[Tour/Site],A101,RawData[Month List],TEXT($A$4,"mmmm yyyy"),RawData[[Error Type ]],"Short"))</f>
        <v/>
      </c>
      <c r="D101" s="9" t="str">
        <f>IF(A101="","",COUNTIFS(RawData[Tour/Site],A101,RawData[Month List],TEXT($A$4,"mmmm yyyy"),RawData[[Error Type ]],"Excess"))</f>
        <v/>
      </c>
      <c r="E101" s="9" t="str">
        <f>IF(A101="","",SUMIFS(RawData[Qyt Affected ( EA ) ],RawData[Tour/Site],A101,RawData[Month List],TEXT($A$4,"mmmm yyyy")))</f>
        <v/>
      </c>
    </row>
    <row r="102" spans="1:5" ht="20.100000000000001" customHeight="1" x14ac:dyDescent="0.25">
      <c r="A102" s="9"/>
      <c r="B102" s="9" t="str">
        <f>IF(A102="","",COUNTIFS(RawData[Tour/Site],A102,RawData[Month List],TEXT($A$4,"mmmm yyyy")))</f>
        <v/>
      </c>
      <c r="C102" s="9" t="str">
        <f>IF(A102="","",COUNTIFS(RawData[Tour/Site],A102,RawData[Month List],TEXT($A$4,"mmmm yyyy"),RawData[[Error Type ]],"Short"))</f>
        <v/>
      </c>
      <c r="D102" s="9" t="str">
        <f>IF(A102="","",COUNTIFS(RawData[Tour/Site],A102,RawData[Month List],TEXT($A$4,"mmmm yyyy"),RawData[[Error Type ]],"Excess"))</f>
        <v/>
      </c>
      <c r="E102" s="9" t="str">
        <f>IF(A102="","",SUMIFS(RawData[Qyt Affected ( EA ) ],RawData[Tour/Site],A102,RawData[Month List],TEXT($A$4,"mmmm yyyy")))</f>
        <v/>
      </c>
    </row>
    <row r="103" spans="1:5" ht="20.100000000000001" customHeight="1" x14ac:dyDescent="0.25">
      <c r="A103" s="9"/>
      <c r="B103" s="9" t="str">
        <f>IF(A103="","",COUNTIFS(RawData[Tour/Site],A103,RawData[Month List],TEXT($A$4,"mmmm yyyy")))</f>
        <v/>
      </c>
      <c r="C103" s="9" t="str">
        <f>IF(A103="","",COUNTIFS(RawData[Tour/Site],A103,RawData[Month List],TEXT($A$4,"mmmm yyyy"),RawData[[Error Type ]],"Short"))</f>
        <v/>
      </c>
      <c r="D103" s="9" t="str">
        <f>IF(A103="","",COUNTIFS(RawData[Tour/Site],A103,RawData[Month List],TEXT($A$4,"mmmm yyyy"),RawData[[Error Type ]],"Excess"))</f>
        <v/>
      </c>
      <c r="E103" s="9" t="str">
        <f>IF(A103="","",SUMIFS(RawData[Qyt Affected ( EA ) ],RawData[Tour/Site],A103,RawData[Month List],TEXT($A$4,"mmmm yyyy")))</f>
        <v/>
      </c>
    </row>
    <row r="104" spans="1:5" ht="20.100000000000001" customHeight="1" x14ac:dyDescent="0.25">
      <c r="A104" s="9"/>
      <c r="B104" s="9" t="str">
        <f>IF(A104="","",COUNTIFS(RawData[Tour/Site],A104,RawData[Month List],TEXT($A$4,"mmmm yyyy")))</f>
        <v/>
      </c>
      <c r="C104" s="9" t="str">
        <f>IF(A104="","",COUNTIFS(RawData[Tour/Site],A104,RawData[Month List],TEXT($A$4,"mmmm yyyy"),RawData[[Error Type ]],"Short"))</f>
        <v/>
      </c>
      <c r="D104" s="9" t="str">
        <f>IF(A104="","",COUNTIFS(RawData[Tour/Site],A104,RawData[Month List],TEXT($A$4,"mmmm yyyy"),RawData[[Error Type ]],"Excess"))</f>
        <v/>
      </c>
      <c r="E104" s="9" t="str">
        <f>IF(A104="","",SUMIFS(RawData[Qyt Affected ( EA ) ],RawData[Tour/Site],A104,RawData[Month List],TEXT($A$4,"mmmm yyyy")))</f>
        <v/>
      </c>
    </row>
    <row r="105" spans="1:5" ht="20.100000000000001" customHeight="1" x14ac:dyDescent="0.25">
      <c r="A105" s="9"/>
      <c r="B105" s="9" t="str">
        <f>IF(A105="","",COUNTIFS(RawData[Tour/Site],A105,RawData[Month List],TEXT($A$4,"mmmm yyyy")))</f>
        <v/>
      </c>
      <c r="C105" s="9" t="str">
        <f>IF(A105="","",COUNTIFS(RawData[Tour/Site],A105,RawData[Month List],TEXT($A$4,"mmmm yyyy"),RawData[[Error Type ]],"Short"))</f>
        <v/>
      </c>
      <c r="D105" s="9" t="str">
        <f>IF(A105="","",COUNTIFS(RawData[Tour/Site],A105,RawData[Month List],TEXT($A$4,"mmmm yyyy"),RawData[[Error Type ]],"Excess"))</f>
        <v/>
      </c>
      <c r="E105" s="9" t="str">
        <f>IF(A105="","",SUMIFS(RawData[Qyt Affected ( EA ) ],RawData[Tour/Site],A105,RawData[Month List],TEXT($A$4,"mmmm yyyy")))</f>
        <v/>
      </c>
    </row>
    <row r="106" spans="1:5" ht="20.100000000000001" customHeight="1" x14ac:dyDescent="0.25">
      <c r="A106" s="9"/>
      <c r="B106" s="9" t="str">
        <f>IF(A106="","",COUNTIFS(RawData[Tour/Site],A106,RawData[Month List],TEXT($A$4,"mmmm yyyy")))</f>
        <v/>
      </c>
      <c r="C106" s="9" t="str">
        <f>IF(A106="","",COUNTIFS(RawData[Tour/Site],A106,RawData[Month List],TEXT($A$4,"mmmm yyyy"),RawData[[Error Type ]],"Short"))</f>
        <v/>
      </c>
      <c r="D106" s="9" t="str">
        <f>IF(A106="","",COUNTIFS(RawData[Tour/Site],A106,RawData[Month List],TEXT($A$4,"mmmm yyyy"),RawData[[Error Type ]],"Excess"))</f>
        <v/>
      </c>
      <c r="E106" s="9" t="str">
        <f>IF(A106="","",SUMIFS(RawData[Qyt Affected ( EA ) ],RawData[Tour/Site],A106,RawData[Month List],TEXT($A$4,"mmmm yyyy")))</f>
        <v/>
      </c>
    </row>
    <row r="107" spans="1:5" ht="20.100000000000001" customHeight="1" x14ac:dyDescent="0.25">
      <c r="A107" s="9"/>
      <c r="B107" s="9" t="str">
        <f>IF(A107="","",COUNTIFS(RawData[Tour/Site],A107,RawData[Month List],TEXT($A$4,"mmmm yyyy")))</f>
        <v/>
      </c>
      <c r="C107" s="9" t="str">
        <f>IF(A107="","",COUNTIFS(RawData[Tour/Site],A107,RawData[Month List],TEXT($A$4,"mmmm yyyy"),RawData[[Error Type ]],"Short"))</f>
        <v/>
      </c>
      <c r="D107" s="9" t="str">
        <f>IF(A107="","",COUNTIFS(RawData[Tour/Site],A107,RawData[Month List],TEXT($A$4,"mmmm yyyy"),RawData[[Error Type ]],"Excess"))</f>
        <v/>
      </c>
      <c r="E107" s="9" t="str">
        <f>IF(A107="","",SUMIFS(RawData[Qyt Affected ( EA ) ],RawData[Tour/Site],A107,RawData[Month List],TEXT($A$4,"mmmm yyyy")))</f>
        <v/>
      </c>
    </row>
    <row r="108" spans="1:5" ht="20.100000000000001" customHeight="1" x14ac:dyDescent="0.25">
      <c r="A108" s="40"/>
      <c r="B108" s="9" t="str">
        <f>IF(A108="","",COUNTIFS(RawData[Tour/Site],A108,RawData[Month List],TEXT($A$4,"mmmm yyyy")))</f>
        <v/>
      </c>
      <c r="C108" s="9" t="str">
        <f>IF(A108="","",COUNTIFS(RawData[Tour/Site],A108,RawData[Month List],TEXT($A$4,"mmmm yyyy"),RawData[[Error Type ]],"Short"))</f>
        <v/>
      </c>
      <c r="D108" s="9" t="str">
        <f>IF(A108="","",COUNTIFS(RawData[Tour/Site],A108,RawData[Month List],TEXT($A$4,"mmmm yyyy"),RawData[[Error Type ]],"Excess"))</f>
        <v/>
      </c>
      <c r="E108" s="9" t="str">
        <f>IF(A108="","",SUMIFS(RawData[Qyt Affected ( EA ) ],RawData[Tour/Site],A108,RawData[Month List],TEXT($A$4,"mmmm yyyy")))</f>
        <v/>
      </c>
    </row>
    <row r="109" spans="1:5" ht="20.100000000000001" customHeight="1" x14ac:dyDescent="0.25">
      <c r="A109" s="40"/>
      <c r="B109" s="9" t="str">
        <f>IF(A109="","",COUNTIFS(RawData[Tour/Site],A109,RawData[Month List],TEXT($A$4,"mmmm yyyy")))</f>
        <v/>
      </c>
      <c r="C109" s="9" t="str">
        <f>IF(A109="","",COUNTIFS(RawData[Tour/Site],A109,RawData[Month List],TEXT($A$4,"mmmm yyyy"),RawData[[Error Type ]],"Short"))</f>
        <v/>
      </c>
      <c r="D109" s="9" t="str">
        <f>IF(A109="","",COUNTIFS(RawData[Tour/Site],A109,RawData[Month List],TEXT($A$4,"mmmm yyyy"),RawData[[Error Type ]],"Excess"))</f>
        <v/>
      </c>
      <c r="E109" s="9" t="str">
        <f>IF(A109="","",SUMIFS(RawData[Qyt Affected ( EA ) ],RawData[Tour/Site],A109,RawData[Month List],TEXT($A$4,"mmmm yyyy")))</f>
        <v/>
      </c>
    </row>
    <row r="110" spans="1:5" ht="20.100000000000001" customHeight="1" x14ac:dyDescent="0.25">
      <c r="A110" s="40"/>
      <c r="B110" s="9" t="str">
        <f>IF(A110="","",COUNTIFS(RawData[Tour/Site],A110,RawData[Month List],TEXT($A$4,"mmmm yyyy")))</f>
        <v/>
      </c>
      <c r="C110" s="9" t="str">
        <f>IF(A110="","",COUNTIFS(RawData[Tour/Site],A110,RawData[Month List],TEXT($A$4,"mmmm yyyy"),RawData[[Error Type ]],"Short"))</f>
        <v/>
      </c>
      <c r="D110" s="9" t="str">
        <f>IF(A110="","",COUNTIFS(RawData[Tour/Site],A110,RawData[Month List],TEXT($A$4,"mmmm yyyy"),RawData[[Error Type ]],"Excess"))</f>
        <v/>
      </c>
      <c r="E110" s="9" t="str">
        <f>IF(A110="","",SUMIFS(RawData[Qyt Affected ( EA ) ],RawData[Tour/Site],A110,RawData[Month List],TEXT($A$4,"mmmm yyyy")))</f>
        <v/>
      </c>
    </row>
    <row r="111" spans="1:5" ht="20.100000000000001" customHeight="1" x14ac:dyDescent="0.25">
      <c r="A111" s="40"/>
      <c r="B111" s="9" t="str">
        <f>IF(A111="","",COUNTIFS(RawData[Tour/Site],A111,RawData[Month List],TEXT($A$4,"mmmm yyyy")))</f>
        <v/>
      </c>
      <c r="C111" s="9" t="str">
        <f>IF(A111="","",COUNTIFS(RawData[Tour/Site],A111,RawData[Month List],TEXT($A$4,"mmmm yyyy"),RawData[[Error Type ]],"Short"))</f>
        <v/>
      </c>
      <c r="D111" s="9" t="str">
        <f>IF(A111="","",COUNTIFS(RawData[Tour/Site],A111,RawData[Month List],TEXT($A$4,"mmmm yyyy"),RawData[[Error Type ]],"Excess"))</f>
        <v/>
      </c>
      <c r="E111" s="9" t="str">
        <f>IF(A111="","",SUMIFS(RawData[Qyt Affected ( EA ) ],RawData[Tour/Site],A111,RawData[Month List],TEXT($A$4,"mmmm yyyy")))</f>
        <v/>
      </c>
    </row>
    <row r="112" spans="1:5" ht="20.100000000000001" customHeight="1" x14ac:dyDescent="0.25">
      <c r="A112" s="40"/>
      <c r="B112" s="9" t="str">
        <f>IF(A112="","",COUNTIFS(RawData[Tour/Site],A112,RawData[Month List],TEXT($A$4,"mmmm yyyy")))</f>
        <v/>
      </c>
      <c r="C112" s="9" t="str">
        <f>IF(A112="","",COUNTIFS(RawData[Tour/Site],A112,RawData[Month List],TEXT($A$4,"mmmm yyyy"),RawData[[Error Type ]],"Short"))</f>
        <v/>
      </c>
      <c r="D112" s="9" t="str">
        <f>IF(A112="","",COUNTIFS(RawData[Tour/Site],A112,RawData[Month List],TEXT($A$4,"mmmm yyyy"),RawData[[Error Type ]],"Excess"))</f>
        <v/>
      </c>
      <c r="E112" s="9" t="str">
        <f>IF(A112="","",SUMIFS(RawData[Qyt Affected ( EA ) ],RawData[Tour/Site],A112,RawData[Month List],TEXT($A$4,"mmmm yyyy")))</f>
        <v/>
      </c>
    </row>
    <row r="113" spans="1:5" ht="20.100000000000001" customHeight="1" x14ac:dyDescent="0.25">
      <c r="A113" s="40"/>
      <c r="B113" s="9" t="str">
        <f>IF(A113="","",COUNTIFS(RawData[Tour/Site],A113,RawData[Month List],TEXT($A$4,"mmmm yyyy")))</f>
        <v/>
      </c>
      <c r="C113" s="9" t="str">
        <f>IF(A113="","",COUNTIFS(RawData[Tour/Site],A113,RawData[Month List],TEXT($A$4,"mmmm yyyy"),RawData[[Error Type ]],"Short"))</f>
        <v/>
      </c>
      <c r="D113" s="9" t="str">
        <f>IF(A113="","",COUNTIFS(RawData[Tour/Site],A113,RawData[Month List],TEXT($A$4,"mmmm yyyy"),RawData[[Error Type ]],"Excess"))</f>
        <v/>
      </c>
      <c r="E113" s="9" t="str">
        <f>IF(A113="","",SUMIFS(RawData[Qyt Affected ( EA ) ],RawData[Tour/Site],A113,RawData[Month List],TEXT($A$4,"mmmm yyyy")))</f>
        <v/>
      </c>
    </row>
    <row r="114" spans="1:5" ht="20.100000000000001" customHeight="1" x14ac:dyDescent="0.25">
      <c r="A114" s="40"/>
      <c r="B114" s="9" t="str">
        <f>IF(A114="","",COUNTIFS(RawData[Tour/Site],A114,RawData[Month List],TEXT($A$4,"mmmm yyyy")))</f>
        <v/>
      </c>
      <c r="C114" s="9" t="str">
        <f>IF(A114="","",COUNTIFS(RawData[Tour/Site],A114,RawData[Month List],TEXT($A$4,"mmmm yyyy"),RawData[[Error Type ]],"Short"))</f>
        <v/>
      </c>
      <c r="D114" s="9" t="str">
        <f>IF(A114="","",COUNTIFS(RawData[Tour/Site],A114,RawData[Month List],TEXT($A$4,"mmmm yyyy"),RawData[[Error Type ]],"Excess"))</f>
        <v/>
      </c>
      <c r="E114" s="9" t="str">
        <f>IF(A114="","",SUMIFS(RawData[Qyt Affected ( EA ) ],RawData[Tour/Site],A114,RawData[Month List],TEXT($A$4,"mmmm yyyy")))</f>
        <v/>
      </c>
    </row>
    <row r="115" spans="1:5" ht="20.100000000000001" customHeight="1" x14ac:dyDescent="0.25">
      <c r="A115" s="40"/>
      <c r="B115" s="9" t="str">
        <f>IF(A115="","",COUNTIFS(RawData[Tour/Site],A115,RawData[Month List],TEXT($A$4,"mmmm yyyy")))</f>
        <v/>
      </c>
      <c r="C115" s="9" t="str">
        <f>IF(A115="","",COUNTIFS(RawData[Tour/Site],A115,RawData[Month List],TEXT($A$4,"mmmm yyyy"),RawData[[Error Type ]],"Short"))</f>
        <v/>
      </c>
      <c r="D115" s="9" t="str">
        <f>IF(A115="","",COUNTIFS(RawData[Tour/Site],A115,RawData[Month List],TEXT($A$4,"mmmm yyyy"),RawData[[Error Type ]],"Excess"))</f>
        <v/>
      </c>
      <c r="E115" s="9" t="str">
        <f>IF(A115="","",SUMIFS(RawData[Qyt Affected ( EA ) ],RawData[Tour/Site],A115,RawData[Month List],TEXT($A$4,"mmmm yyyy")))</f>
        <v/>
      </c>
    </row>
    <row r="116" spans="1:5" ht="20.100000000000001" customHeight="1" x14ac:dyDescent="0.25">
      <c r="A116" s="40"/>
      <c r="B116" s="9" t="str">
        <f>IF(A116="","",COUNTIFS(RawData[Tour/Site],A116,RawData[Month List],TEXT($A$4,"mmmm yyyy")))</f>
        <v/>
      </c>
      <c r="C116" s="9" t="str">
        <f>IF(A116="","",COUNTIFS(RawData[Tour/Site],A116,RawData[Month List],TEXT($A$4,"mmmm yyyy"),RawData[[Error Type ]],"Short"))</f>
        <v/>
      </c>
      <c r="D116" s="9" t="str">
        <f>IF(A116="","",COUNTIFS(RawData[Tour/Site],A116,RawData[Month List],TEXT($A$4,"mmmm yyyy"),RawData[[Error Type ]],"Excess"))</f>
        <v/>
      </c>
      <c r="E116" s="9" t="str">
        <f>IF(A116="","",SUMIFS(RawData[Qyt Affected ( EA ) ],RawData[Tour/Site],A116,RawData[Month List],TEXT($A$4,"mmmm yyyy")))</f>
        <v/>
      </c>
    </row>
    <row r="117" spans="1:5" ht="20.100000000000001" customHeight="1" x14ac:dyDescent="0.25">
      <c r="A117" s="40"/>
      <c r="B117" s="9" t="str">
        <f>IF(A117="","",COUNTIFS(RawData[Tour/Site],A117,RawData[Month List],TEXT($A$4,"mmmm yyyy")))</f>
        <v/>
      </c>
      <c r="C117" s="9" t="str">
        <f>IF(A117="","",COUNTIFS(RawData[Tour/Site],A117,RawData[Month List],TEXT($A$4,"mmmm yyyy"),RawData[[Error Type ]],"Short"))</f>
        <v/>
      </c>
      <c r="D117" s="9" t="str">
        <f>IF(A117="","",COUNTIFS(RawData[Tour/Site],A117,RawData[Month List],TEXT($A$4,"mmmm yyyy"),RawData[[Error Type ]],"Excess"))</f>
        <v/>
      </c>
      <c r="E117" s="9" t="str">
        <f>IF(A117="","",SUMIFS(RawData[Qyt Affected ( EA ) ],RawData[Tour/Site],A117,RawData[Month List],TEXT($A$4,"mmmm yyyy")))</f>
        <v/>
      </c>
    </row>
    <row r="118" spans="1:5" ht="20.100000000000001" customHeight="1" x14ac:dyDescent="0.25">
      <c r="A118" s="40"/>
      <c r="B118" s="9" t="str">
        <f>IF(A118="","",COUNTIFS(RawData[Tour/Site],A118,RawData[Month List],TEXT($A$4,"mmmm yyyy")))</f>
        <v/>
      </c>
      <c r="C118" s="9" t="str">
        <f>IF(A118="","",COUNTIFS(RawData[Tour/Site],A118,RawData[Month List],TEXT($A$4,"mmmm yyyy"),RawData[[Error Type ]],"Short"))</f>
        <v/>
      </c>
      <c r="D118" s="9" t="str">
        <f>IF(A118="","",COUNTIFS(RawData[Tour/Site],A118,RawData[Month List],TEXT($A$4,"mmmm yyyy"),RawData[[Error Type ]],"Excess"))</f>
        <v/>
      </c>
      <c r="E118" s="9" t="str">
        <f>IF(A118="","",SUMIFS(RawData[Qyt Affected ( EA ) ],RawData[Tour/Site],A118,RawData[Month List],TEXT($A$4,"mmmm yyyy")))</f>
        <v/>
      </c>
    </row>
    <row r="119" spans="1:5" ht="20.100000000000001" customHeight="1" x14ac:dyDescent="0.25">
      <c r="A119" s="40"/>
      <c r="B119" s="9" t="str">
        <f>IF(A119="","",COUNTIFS(RawData[Tour/Site],A119,RawData[Month List],TEXT($A$4,"mmmm yyyy")))</f>
        <v/>
      </c>
      <c r="C119" s="9" t="str">
        <f>IF(A119="","",COUNTIFS(RawData[Tour/Site],A119,RawData[Month List],TEXT($A$4,"mmmm yyyy"),RawData[[Error Type ]],"Short"))</f>
        <v/>
      </c>
      <c r="D119" s="9" t="str">
        <f>IF(A119="","",COUNTIFS(RawData[Tour/Site],A119,RawData[Month List],TEXT($A$4,"mmmm yyyy"),RawData[[Error Type ]],"Excess"))</f>
        <v/>
      </c>
      <c r="E119" s="9" t="str">
        <f>IF(A119="","",SUMIFS(RawData[Qyt Affected ( EA ) ],RawData[Tour/Site],A119,RawData[Month List],TEXT($A$4,"mmmm yyyy")))</f>
        <v/>
      </c>
    </row>
    <row r="120" spans="1:5" ht="20.100000000000001" customHeight="1" x14ac:dyDescent="0.25">
      <c r="A120" s="40"/>
      <c r="B120" s="9" t="str">
        <f>IF(A120="","",COUNTIFS(RawData[Tour/Site],A120,RawData[Month List],TEXT($A$4,"mmmm yyyy")))</f>
        <v/>
      </c>
      <c r="C120" s="9" t="str">
        <f>IF(A120="","",COUNTIFS(RawData[Tour/Site],A120,RawData[Month List],TEXT($A$4,"mmmm yyyy"),RawData[[Error Type ]],"Short"))</f>
        <v/>
      </c>
      <c r="D120" s="9" t="str">
        <f>IF(A120="","",COUNTIFS(RawData[Tour/Site],A120,RawData[Month List],TEXT($A$4,"mmmm yyyy"),RawData[[Error Type ]],"Excess"))</f>
        <v/>
      </c>
      <c r="E120" s="9" t="str">
        <f>IF(A120="","",SUMIFS(RawData[Qyt Affected ( EA ) ],RawData[Tour/Site],A120,RawData[Month List],TEXT($A$4,"mmmm yyyy")))</f>
        <v/>
      </c>
    </row>
    <row r="121" spans="1:5" ht="20.100000000000001" customHeight="1" x14ac:dyDescent="0.25">
      <c r="A121" s="40"/>
      <c r="B121" s="9" t="str">
        <f>IF(A121="","",COUNTIFS(RawData[Tour/Site],A121,RawData[Month List],TEXT($A$4,"mmmm yyyy")))</f>
        <v/>
      </c>
      <c r="C121" s="9" t="str">
        <f>IF(A121="","",COUNTIFS(RawData[Tour/Site],A121,RawData[Month List],TEXT($A$4,"mmmm yyyy"),RawData[[Error Type ]],"Short"))</f>
        <v/>
      </c>
      <c r="D121" s="9" t="str">
        <f>IF(A121="","",COUNTIFS(RawData[Tour/Site],A121,RawData[Month List],TEXT($A$4,"mmmm yyyy"),RawData[[Error Type ]],"Excess"))</f>
        <v/>
      </c>
      <c r="E121" s="9" t="str">
        <f>IF(A121="","",SUMIFS(RawData[Qyt Affected ( EA ) ],RawData[Tour/Site],A121,RawData[Month List],TEXT($A$4,"mmmm yyyy")))</f>
        <v/>
      </c>
    </row>
    <row r="122" spans="1:5" ht="20.100000000000001" customHeight="1" x14ac:dyDescent="0.25">
      <c r="A122" s="40"/>
      <c r="B122" s="9" t="str">
        <f>IF(A122="","",COUNTIFS(RawData[Tour/Site],A122,RawData[Month List],TEXT($A$4,"mmmm yyyy")))</f>
        <v/>
      </c>
      <c r="C122" s="9" t="str">
        <f>IF(A122="","",COUNTIFS(RawData[Tour/Site],A122,RawData[Month List],TEXT($A$4,"mmmm yyyy"),RawData[[Error Type ]],"Short"))</f>
        <v/>
      </c>
      <c r="D122" s="9" t="str">
        <f>IF(A122="","",COUNTIFS(RawData[Tour/Site],A122,RawData[Month List],TEXT($A$4,"mmmm yyyy"),RawData[[Error Type ]],"Excess"))</f>
        <v/>
      </c>
      <c r="E122" s="9" t="str">
        <f>IF(A122="","",SUMIFS(RawData[Qyt Affected ( EA ) ],RawData[Tour/Site],A122,RawData[Month List],TEXT($A$4,"mmmm yyyy")))</f>
        <v/>
      </c>
    </row>
    <row r="123" spans="1:5" ht="20.100000000000001" customHeight="1" x14ac:dyDescent="0.25">
      <c r="A123" s="40"/>
      <c r="B123" s="9" t="str">
        <f>IF(A123="","",COUNTIFS(RawData[Tour/Site],A123,RawData[Month List],TEXT($A$4,"mmmm yyyy")))</f>
        <v/>
      </c>
      <c r="C123" s="9" t="str">
        <f>IF(A123="","",COUNTIFS(RawData[Tour/Site],A123,RawData[Month List],TEXT($A$4,"mmmm yyyy"),RawData[[Error Type ]],"Short"))</f>
        <v/>
      </c>
      <c r="D123" s="9" t="str">
        <f>IF(A123="","",COUNTIFS(RawData[Tour/Site],A123,RawData[Month List],TEXT($A$4,"mmmm yyyy"),RawData[[Error Type ]],"Excess"))</f>
        <v/>
      </c>
      <c r="E123" s="9" t="str">
        <f>IF(A123="","",SUMIFS(RawData[Qyt Affected ( EA ) ],RawData[Tour/Site],A123,RawData[Month List],TEXT($A$4,"mmmm yyyy")))</f>
        <v/>
      </c>
    </row>
    <row r="124" spans="1:5" ht="20.100000000000001" customHeight="1" x14ac:dyDescent="0.25">
      <c r="A124" s="40"/>
      <c r="B124" s="9" t="str">
        <f>IF(A124="","",COUNTIFS(RawData[Tour/Site],A124,RawData[Month List],TEXT($A$4,"mmmm yyyy")))</f>
        <v/>
      </c>
      <c r="C124" s="9" t="str">
        <f>IF(A124="","",COUNTIFS(RawData[Tour/Site],A124,RawData[Month List],TEXT($A$4,"mmmm yyyy"),RawData[[Error Type ]],"Short"))</f>
        <v/>
      </c>
      <c r="D124" s="9" t="str">
        <f>IF(A124="","",COUNTIFS(RawData[Tour/Site],A124,RawData[Month List],TEXT($A$4,"mmmm yyyy"),RawData[[Error Type ]],"Excess"))</f>
        <v/>
      </c>
      <c r="E124" s="9" t="str">
        <f>IF(A124="","",SUMIFS(RawData[Qyt Affected ( EA ) ],RawData[Tour/Site],A124,RawData[Month List],TEXT($A$4,"mmmm yyyy")))</f>
        <v/>
      </c>
    </row>
    <row r="125" spans="1:5" ht="20.100000000000001" customHeight="1" x14ac:dyDescent="0.25">
      <c r="A125" s="40"/>
      <c r="B125" s="9" t="str">
        <f>IF(A125="","",COUNTIFS(RawData[Tour/Site],A125,RawData[Month List],TEXT($A$4,"mmmm yyyy")))</f>
        <v/>
      </c>
      <c r="C125" s="9" t="str">
        <f>IF(A125="","",COUNTIFS(RawData[Tour/Site],A125,RawData[Month List],TEXT($A$4,"mmmm yyyy"),RawData[[Error Type ]],"Short"))</f>
        <v/>
      </c>
      <c r="D125" s="9" t="str">
        <f>IF(A125="","",COUNTIFS(RawData[Tour/Site],A125,RawData[Month List],TEXT($A$4,"mmmm yyyy"),RawData[[Error Type ]],"Excess"))</f>
        <v/>
      </c>
      <c r="E125" s="9" t="str">
        <f>IF(A125="","",SUMIFS(RawData[Qyt Affected ( EA ) ],RawData[Tour/Site],A125,RawData[Month List],TEXT($A$4,"mmmm yyyy")))</f>
        <v/>
      </c>
    </row>
    <row r="126" spans="1:5" ht="20.100000000000001" customHeight="1" x14ac:dyDescent="0.25">
      <c r="A126" s="40"/>
      <c r="B126" s="9" t="str">
        <f>IF(A126="","",COUNTIFS(RawData[Tour/Site],A126,RawData[Month List],TEXT($A$4,"mmmm yyyy")))</f>
        <v/>
      </c>
      <c r="C126" s="9" t="str">
        <f>IF(A126="","",COUNTIFS(RawData[Tour/Site],A126,RawData[Month List],TEXT($A$4,"mmmm yyyy"),RawData[[Error Type ]],"Short"))</f>
        <v/>
      </c>
      <c r="D126" s="9" t="str">
        <f>IF(A126="","",COUNTIFS(RawData[Tour/Site],A126,RawData[Month List],TEXT($A$4,"mmmm yyyy"),RawData[[Error Type ]],"Excess"))</f>
        <v/>
      </c>
      <c r="E126" s="9" t="str">
        <f>IF(A126="","",SUMIFS(RawData[Qyt Affected ( EA ) ],RawData[Tour/Site],A126,RawData[Month List],TEXT($A$4,"mmmm yyyy")))</f>
        <v/>
      </c>
    </row>
    <row r="127" spans="1:5" ht="20.100000000000001" customHeight="1" x14ac:dyDescent="0.25">
      <c r="A127" s="40"/>
      <c r="B127" s="9" t="str">
        <f>IF(A127="","",COUNTIFS(RawData[Tour/Site],A127,RawData[Month List],TEXT($A$4,"mmmm yyyy")))</f>
        <v/>
      </c>
      <c r="C127" s="9" t="str">
        <f>IF(A127="","",COUNTIFS(RawData[Tour/Site],A127,RawData[Month List],TEXT($A$4,"mmmm yyyy"),RawData[[Error Type ]],"Short"))</f>
        <v/>
      </c>
      <c r="D127" s="9" t="str">
        <f>IF(A127="","",COUNTIFS(RawData[Tour/Site],A127,RawData[Month List],TEXT($A$4,"mmmm yyyy"),RawData[[Error Type ]],"Excess"))</f>
        <v/>
      </c>
      <c r="E127" s="9" t="str">
        <f>IF(A127="","",SUMIFS(RawData[Qyt Affected ( EA ) ],RawData[Tour/Site],A127,RawData[Month List],TEXT($A$4,"mmmm yyyy")))</f>
        <v/>
      </c>
    </row>
    <row r="128" spans="1:5" ht="20.100000000000001" customHeight="1" x14ac:dyDescent="0.25">
      <c r="A128" s="40"/>
      <c r="B128" s="9" t="str">
        <f>IF(A128="","",COUNTIFS(RawData[Tour/Site],A128,RawData[Month List],TEXT($A$4,"mmmm yyyy")))</f>
        <v/>
      </c>
      <c r="C128" s="9" t="str">
        <f>IF(A128="","",COUNTIFS(RawData[Tour/Site],A128,RawData[Month List],TEXT($A$4,"mmmm yyyy"),RawData[[Error Type ]],"Short"))</f>
        <v/>
      </c>
      <c r="D128" s="9" t="str">
        <f>IF(A128="","",COUNTIFS(RawData[Tour/Site],A128,RawData[Month List],TEXT($A$4,"mmmm yyyy"),RawData[[Error Type ]],"Excess"))</f>
        <v/>
      </c>
      <c r="E128" s="9" t="str">
        <f>IF(A128="","",SUMIFS(RawData[Qyt Affected ( EA ) ],RawData[Tour/Site],A128,RawData[Month List],TEXT($A$4,"mmmm yyyy")))</f>
        <v/>
      </c>
    </row>
    <row r="129" spans="1:5" ht="20.100000000000001" customHeight="1" x14ac:dyDescent="0.25">
      <c r="A129" s="40"/>
      <c r="B129" s="9" t="str">
        <f>IF(A129="","",COUNTIFS(RawData[Tour/Site],A129,RawData[Month List],TEXT($A$4,"mmmm yyyy")))</f>
        <v/>
      </c>
      <c r="C129" s="9" t="str">
        <f>IF(A129="","",COUNTIFS(RawData[Tour/Site],A129,RawData[Month List],TEXT($A$4,"mmmm yyyy"),RawData[[Error Type ]],"Short"))</f>
        <v/>
      </c>
      <c r="D129" s="9" t="str">
        <f>IF(A129="","",COUNTIFS(RawData[Tour/Site],A129,RawData[Month List],TEXT($A$4,"mmmm yyyy"),RawData[[Error Type ]],"Excess"))</f>
        <v/>
      </c>
      <c r="E129" s="9" t="str">
        <f>IF(A129="","",SUMIFS(RawData[Qyt Affected ( EA ) ],RawData[Tour/Site],A129,RawData[Month List],TEXT($A$4,"mmmm yyyy")))</f>
        <v/>
      </c>
    </row>
    <row r="130" spans="1:5" ht="20.100000000000001" customHeight="1" x14ac:dyDescent="0.25">
      <c r="A130" s="40"/>
      <c r="B130" s="9" t="str">
        <f>IF(A130="","",COUNTIFS(RawData[Tour/Site],A130,RawData[Month List],TEXT($A$4,"mmmm yyyy")))</f>
        <v/>
      </c>
      <c r="C130" s="9" t="str">
        <f>IF(A130="","",COUNTIFS(RawData[Tour/Site],A130,RawData[Month List],TEXT($A$4,"mmmm yyyy"),RawData[[Error Type ]],"Short"))</f>
        <v/>
      </c>
      <c r="D130" s="9" t="str">
        <f>IF(A130="","",COUNTIFS(RawData[Tour/Site],A130,RawData[Month List],TEXT($A$4,"mmmm yyyy"),RawData[[Error Type ]],"Excess"))</f>
        <v/>
      </c>
      <c r="E130" s="9" t="str">
        <f>IF(A130="","",SUMIFS(RawData[Qyt Affected ( EA ) ],RawData[Tour/Site],A130,RawData[Month List],TEXT($A$4,"mmmm yyyy")))</f>
        <v/>
      </c>
    </row>
    <row r="131" spans="1:5" ht="20.100000000000001" customHeight="1" x14ac:dyDescent="0.25">
      <c r="A131" s="40"/>
      <c r="B131" s="9" t="str">
        <f>IF(A131="","",COUNTIFS(RawData[Tour/Site],A131,RawData[Month List],TEXT($A$4,"mmmm yyyy")))</f>
        <v/>
      </c>
      <c r="C131" s="9" t="str">
        <f>IF(A131="","",COUNTIFS(RawData[Tour/Site],A131,RawData[Month List],TEXT($A$4,"mmmm yyyy"),RawData[[Error Type ]],"Short"))</f>
        <v/>
      </c>
      <c r="D131" s="9" t="str">
        <f>IF(A131="","",COUNTIFS(RawData[Tour/Site],A131,RawData[Month List],TEXT($A$4,"mmmm yyyy"),RawData[[Error Type ]],"Excess"))</f>
        <v/>
      </c>
      <c r="E131" s="9" t="str">
        <f>IF(A131="","",SUMIFS(RawData[Qyt Affected ( EA ) ],RawData[Tour/Site],A131,RawData[Month List],TEXT($A$4,"mmmm yyyy")))</f>
        <v/>
      </c>
    </row>
    <row r="132" spans="1:5" ht="20.100000000000001" customHeight="1" x14ac:dyDescent="0.25">
      <c r="A132" s="40"/>
      <c r="B132" s="9" t="str">
        <f>IF(A132="","",COUNTIFS(RawData[Tour/Site],A132,RawData[Month List],TEXT($A$4,"mmmm yyyy")))</f>
        <v/>
      </c>
      <c r="C132" s="9" t="str">
        <f>IF(A132="","",COUNTIFS(RawData[Tour/Site],A132,RawData[Month List],TEXT($A$4,"mmmm yyyy"),RawData[[Error Type ]],"Short"))</f>
        <v/>
      </c>
      <c r="D132" s="9" t="str">
        <f>IF(A132="","",COUNTIFS(RawData[Tour/Site],A132,RawData[Month List],TEXT($A$4,"mmmm yyyy"),RawData[[Error Type ]],"Excess"))</f>
        <v/>
      </c>
      <c r="E132" s="9" t="str">
        <f>IF(A132="","",SUMIFS(RawData[Qyt Affected ( EA ) ],RawData[Tour/Site],A132,RawData[Month List],TEXT($A$4,"mmmm yyyy")))</f>
        <v/>
      </c>
    </row>
    <row r="133" spans="1:5" ht="20.100000000000001" customHeight="1" x14ac:dyDescent="0.25">
      <c r="A133" s="40"/>
      <c r="B133" s="9" t="str">
        <f>IF(A133="","",COUNTIFS(RawData[Tour/Site],A133,RawData[Month List],TEXT($A$4,"mmmm yyyy")))</f>
        <v/>
      </c>
      <c r="C133" s="9" t="str">
        <f>IF(A133="","",COUNTIFS(RawData[Tour/Site],A133,RawData[Month List],TEXT($A$4,"mmmm yyyy"),RawData[[Error Type ]],"Short"))</f>
        <v/>
      </c>
      <c r="D133" s="9" t="str">
        <f>IF(A133="","",COUNTIFS(RawData[Tour/Site],A133,RawData[Month List],TEXT($A$4,"mmmm yyyy"),RawData[[Error Type ]],"Excess"))</f>
        <v/>
      </c>
      <c r="E133" s="9" t="str">
        <f>IF(A133="","",SUMIFS(RawData[Qyt Affected ( EA ) ],RawData[Tour/Site],A133,RawData[Month List],TEXT($A$4,"mmmm yyyy")))</f>
        <v/>
      </c>
    </row>
    <row r="134" spans="1:5" ht="20.100000000000001" customHeight="1" x14ac:dyDescent="0.25">
      <c r="A134" s="40"/>
      <c r="B134" s="9" t="str">
        <f>IF(A134="","",COUNTIFS(RawData[Tour/Site],A134,RawData[Month List],TEXT($A$4,"mmmm yyyy")))</f>
        <v/>
      </c>
      <c r="C134" s="9" t="str">
        <f>IF(A134="","",COUNTIFS(RawData[Tour/Site],A134,RawData[Month List],TEXT($A$4,"mmmm yyyy"),RawData[[Error Type ]],"Short"))</f>
        <v/>
      </c>
      <c r="D134" s="9" t="str">
        <f>IF(A134="","",COUNTIFS(RawData[Tour/Site],A134,RawData[Month List],TEXT($A$4,"mmmm yyyy"),RawData[[Error Type ]],"Excess"))</f>
        <v/>
      </c>
      <c r="E134" s="9" t="str">
        <f>IF(A134="","",SUMIFS(RawData[Qyt Affected ( EA ) ],RawData[Tour/Site],A134,RawData[Month List],TEXT($A$4,"mmmm yyyy")))</f>
        <v/>
      </c>
    </row>
    <row r="135" spans="1:5" ht="20.100000000000001" customHeight="1" x14ac:dyDescent="0.25">
      <c r="A135" s="40"/>
      <c r="B135" s="9" t="str">
        <f>IF(A135="","",COUNTIFS(RawData[Tour/Site],A135,RawData[Month List],TEXT($A$4,"mmmm yyyy")))</f>
        <v/>
      </c>
      <c r="C135" s="9" t="str">
        <f>IF(A135="","",COUNTIFS(RawData[Tour/Site],A135,RawData[Month List],TEXT($A$4,"mmmm yyyy"),RawData[[Error Type ]],"Short"))</f>
        <v/>
      </c>
      <c r="D135" s="9" t="str">
        <f>IF(A135="","",COUNTIFS(RawData[Tour/Site],A135,RawData[Month List],TEXT($A$4,"mmmm yyyy"),RawData[[Error Type ]],"Excess"))</f>
        <v/>
      </c>
      <c r="E135" s="9" t="str">
        <f>IF(A135="","",SUMIFS(RawData[Qyt Affected ( EA ) ],RawData[Tour/Site],A135,RawData[Month List],TEXT($A$4,"mmmm yyyy")))</f>
        <v/>
      </c>
    </row>
    <row r="136" spans="1:5" ht="20.100000000000001" customHeight="1" x14ac:dyDescent="0.25">
      <c r="A136" s="40"/>
      <c r="B136" s="9" t="str">
        <f>IF(A136="","",COUNTIFS(RawData[Tour/Site],A136,RawData[Month List],TEXT($A$4,"mmmm yyyy")))</f>
        <v/>
      </c>
      <c r="C136" s="9" t="str">
        <f>IF(A136="","",COUNTIFS(RawData[Tour/Site],A136,RawData[Month List],TEXT($A$4,"mmmm yyyy"),RawData[[Error Type ]],"Short"))</f>
        <v/>
      </c>
      <c r="D136" s="9" t="str">
        <f>IF(A136="","",COUNTIFS(RawData[Tour/Site],A136,RawData[Month List],TEXT($A$4,"mmmm yyyy"),RawData[[Error Type ]],"Excess"))</f>
        <v/>
      </c>
      <c r="E136" s="9" t="str">
        <f>IF(A136="","",SUMIFS(RawData[Qyt Affected ( EA ) ],RawData[Tour/Site],A136,RawData[Month List],TEXT($A$4,"mmmm yyyy")))</f>
        <v/>
      </c>
    </row>
    <row r="137" spans="1:5" ht="20.100000000000001" customHeight="1" x14ac:dyDescent="0.25">
      <c r="A137" s="40"/>
      <c r="B137" s="9" t="str">
        <f>IF(A137="","",COUNTIFS(RawData[Tour/Site],A137,RawData[Month List],TEXT($A$4,"mmmm yyyy")))</f>
        <v/>
      </c>
      <c r="C137" s="9" t="str">
        <f>IF(A137="","",COUNTIFS(RawData[Tour/Site],A137,RawData[Month List],TEXT($A$4,"mmmm yyyy"),RawData[[Error Type ]],"Short"))</f>
        <v/>
      </c>
      <c r="D137" s="9" t="str">
        <f>IF(A137="","",COUNTIFS(RawData[Tour/Site],A137,RawData[Month List],TEXT($A$4,"mmmm yyyy"),RawData[[Error Type ]],"Excess"))</f>
        <v/>
      </c>
      <c r="E137" s="9" t="str">
        <f>IF(A137="","",SUMIFS(RawData[Qyt Affected ( EA ) ],RawData[Tour/Site],A137,RawData[Month List],TEXT($A$4,"mmmm yyyy")))</f>
        <v/>
      </c>
    </row>
    <row r="138" spans="1:5" ht="20.100000000000001" customHeight="1" x14ac:dyDescent="0.25">
      <c r="A138" s="40"/>
      <c r="B138" s="9" t="str">
        <f>IF(A138="","",COUNTIFS(RawData[Tour/Site],A138,RawData[Month List],TEXT($A$4,"mmmm yyyy")))</f>
        <v/>
      </c>
      <c r="C138" s="9" t="str">
        <f>IF(A138="","",COUNTIFS(RawData[Tour/Site],A138,RawData[Month List],TEXT($A$4,"mmmm yyyy"),RawData[[Error Type ]],"Short"))</f>
        <v/>
      </c>
      <c r="D138" s="9" t="str">
        <f>IF(A138="","",COUNTIFS(RawData[Tour/Site],A138,RawData[Month List],TEXT($A$4,"mmmm yyyy"),RawData[[Error Type ]],"Excess"))</f>
        <v/>
      </c>
      <c r="E138" s="9" t="str">
        <f>IF(A138="","",SUMIFS(RawData[Qyt Affected ( EA ) ],RawData[Tour/Site],A138,RawData[Month List],TEXT($A$4,"mmmm yyyy")))</f>
        <v/>
      </c>
    </row>
    <row r="139" spans="1:5" ht="20.100000000000001" customHeight="1" x14ac:dyDescent="0.25">
      <c r="A139" s="40"/>
      <c r="B139" s="9" t="str">
        <f>IF(A139="","",COUNTIFS(RawData[Tour/Site],A139,RawData[Month List],TEXT($A$4,"mmmm yyyy")))</f>
        <v/>
      </c>
      <c r="C139" s="9" t="str">
        <f>IF(A139="","",COUNTIFS(RawData[Tour/Site],A139,RawData[Month List],TEXT($A$4,"mmmm yyyy"),RawData[[Error Type ]],"Short"))</f>
        <v/>
      </c>
      <c r="D139" s="9" t="str">
        <f>IF(A139="","",COUNTIFS(RawData[Tour/Site],A139,RawData[Month List],TEXT($A$4,"mmmm yyyy"),RawData[[Error Type ]],"Excess"))</f>
        <v/>
      </c>
      <c r="E139" s="9" t="str">
        <f>IF(A139="","",SUMIFS(RawData[Qyt Affected ( EA ) ],RawData[Tour/Site],A139,RawData[Month List],TEXT($A$4,"mmmm yyyy")))</f>
        <v/>
      </c>
    </row>
    <row r="140" spans="1:5" ht="20.100000000000001" customHeight="1" x14ac:dyDescent="0.25">
      <c r="A140" s="40"/>
      <c r="B140" s="9" t="str">
        <f>IF(A140="","",COUNTIFS(RawData[Tour/Site],A140,RawData[Month List],TEXT($A$4,"mmmm yyyy")))</f>
        <v/>
      </c>
      <c r="C140" s="9" t="str">
        <f>IF(A140="","",COUNTIFS(RawData[Tour/Site],A140,RawData[Month List],TEXT($A$4,"mmmm yyyy"),RawData[[Error Type ]],"Short"))</f>
        <v/>
      </c>
      <c r="D140" s="9" t="str">
        <f>IF(A140="","",COUNTIFS(RawData[Tour/Site],A140,RawData[Month List],TEXT($A$4,"mmmm yyyy"),RawData[[Error Type ]],"Excess"))</f>
        <v/>
      </c>
      <c r="E140" s="9" t="str">
        <f>IF(A140="","",SUMIFS(RawData[Qyt Affected ( EA ) ],RawData[Tour/Site],A140,RawData[Month List],TEXT($A$4,"mmmm yyyy")))</f>
        <v/>
      </c>
    </row>
    <row r="141" spans="1:5" ht="20.100000000000001" customHeight="1" x14ac:dyDescent="0.25">
      <c r="A141" s="40"/>
      <c r="B141" s="9" t="str">
        <f>IF(A141="","",COUNTIFS(RawData[Tour/Site],A141,RawData[Month List],TEXT($A$4,"mmmm yyyy")))</f>
        <v/>
      </c>
      <c r="C141" s="9" t="str">
        <f>IF(A141="","",COUNTIFS(RawData[Tour/Site],A141,RawData[Month List],TEXT($A$4,"mmmm yyyy"),RawData[[Error Type ]],"Short"))</f>
        <v/>
      </c>
      <c r="D141" s="9" t="str">
        <f>IF(A141="","",COUNTIFS(RawData[Tour/Site],A141,RawData[Month List],TEXT($A$4,"mmmm yyyy"),RawData[[Error Type ]],"Excess"))</f>
        <v/>
      </c>
      <c r="E141" s="9" t="str">
        <f>IF(A141="","",SUMIFS(RawData[Qyt Affected ( EA ) ],RawData[Tour/Site],A141,RawData[Month List],TEXT($A$4,"mmmm yyyy")))</f>
        <v/>
      </c>
    </row>
    <row r="142" spans="1:5" ht="20.100000000000001" customHeight="1" x14ac:dyDescent="0.25">
      <c r="A142" s="40"/>
      <c r="B142" s="9" t="str">
        <f>IF(A142="","",COUNTIFS(RawData[Tour/Site],A142,RawData[Month List],TEXT($A$4,"mmmm yyyy")))</f>
        <v/>
      </c>
      <c r="C142" s="9" t="str">
        <f>IF(A142="","",COUNTIFS(RawData[Tour/Site],A142,RawData[Month List],TEXT($A$4,"mmmm yyyy"),RawData[[Error Type ]],"Short"))</f>
        <v/>
      </c>
      <c r="D142" s="9" t="str">
        <f>IF(A142="","",COUNTIFS(RawData[Tour/Site],A142,RawData[Month List],TEXT($A$4,"mmmm yyyy"),RawData[[Error Type ]],"Excess"))</f>
        <v/>
      </c>
      <c r="E142" s="9" t="str">
        <f>IF(A142="","",SUMIFS(RawData[Qyt Affected ( EA ) ],RawData[Tour/Site],A142,RawData[Month List],TEXT($A$4,"mmmm yyyy")))</f>
        <v/>
      </c>
    </row>
    <row r="143" spans="1:5" ht="20.100000000000001" customHeight="1" x14ac:dyDescent="0.25">
      <c r="A143" s="40"/>
      <c r="B143" s="9" t="str">
        <f>IF(A143="","",COUNTIFS(RawData[Tour/Site],A143,RawData[Month List],TEXT($A$4,"mmmm yyyy")))</f>
        <v/>
      </c>
      <c r="C143" s="9" t="str">
        <f>IF(A143="","",COUNTIFS(RawData[Tour/Site],A143,RawData[Month List],TEXT($A$4,"mmmm yyyy"),RawData[[Error Type ]],"Short"))</f>
        <v/>
      </c>
      <c r="D143" s="9" t="str">
        <f>IF(A143="","",COUNTIFS(RawData[Tour/Site],A143,RawData[Month List],TEXT($A$4,"mmmm yyyy"),RawData[[Error Type ]],"Excess"))</f>
        <v/>
      </c>
      <c r="E143" s="9" t="str">
        <f>IF(A143="","",SUMIFS(RawData[Qyt Affected ( EA ) ],RawData[Tour/Site],A143,RawData[Month List],TEXT($A$4,"mmmm yyyy")))</f>
        <v/>
      </c>
    </row>
    <row r="144" spans="1:5" ht="24.95" customHeight="1" x14ac:dyDescent="0.25">
      <c r="B144" s="9" t="str">
        <f>IF(A144="","",COUNTIFS(RawData[Tour/Site],A144,RawData[Month List],TEXT($A$4,"mmmm yyyy")))</f>
        <v/>
      </c>
      <c r="C144" s="9" t="str">
        <f>IF(A144="","",COUNTIFS(RawData[Tour/Site],A144,RawData[Month List],TEXT($A$4,"mmmm yyyy"),RawData[[Error Type ]],"Short"))</f>
        <v/>
      </c>
      <c r="D144" s="9" t="str">
        <f>IF(A144="","",COUNTIFS(RawData[Tour/Site],A144,RawData[Month List],TEXT($A$4,"mmmm yyyy"),RawData[[Error Type ]],"Excess"))</f>
        <v/>
      </c>
      <c r="E144" s="9" t="str">
        <f>IF(A144="","",SUMIFS(RawData[Qyt Affected ( EA ) ],RawData[Tour/Site],A144,RawData[Month List],TEXT($A$4,"mmmm yyyy")))</f>
        <v/>
      </c>
    </row>
    <row r="145" spans="2:5" ht="24.95" customHeight="1" x14ac:dyDescent="0.25">
      <c r="B145" s="9" t="str">
        <f>IF(A145="","",COUNTIFS(RawData[Tour/Site],A145,RawData[Month List],TEXT($A$4,"mmmm yyyy")))</f>
        <v/>
      </c>
      <c r="C145" s="9" t="str">
        <f>IF(A145="","",COUNTIFS(RawData[Tour/Site],A145,RawData[Month List],TEXT($A$4,"mmmm yyyy"),RawData[[Error Type ]],"Short"))</f>
        <v/>
      </c>
      <c r="D145" s="9" t="str">
        <f>IF(A145="","",COUNTIFS(RawData[Tour/Site],A145,RawData[Month List],TEXT($A$4,"mmmm yyyy"),RawData[[Error Type ]],"Excess"))</f>
        <v/>
      </c>
      <c r="E145" s="9" t="str">
        <f>IF(A145="","",SUMIFS(RawData[Qyt Affected ( EA ) ],RawData[Tour/Site],A145,RawData[Month List],TEXT($A$4,"mmmm yyyy")))</f>
        <v/>
      </c>
    </row>
  </sheetData>
  <sheetProtection algorithmName="SHA-512" hashValue="Y6m+KLc763D8XXMMQroE5gF0LVjfzCcxRxrGjVwaNA3ZsBdS1l4OzFJmVw/+AXrLixBSEMs2JaCUtHJzZCFKFg==" saltValue="On40y8UpPVGl6NyKiPgzKg==" spinCount="100000" sheet="1" objects="1" scenarios="1"/>
  <mergeCells count="2">
    <mergeCell ref="A5:E5"/>
    <mergeCell ref="A1:E1"/>
  </mergeCells>
  <conditionalFormatting sqref="B7:B145">
    <cfRule type="colorScale" priority="2">
      <colorScale>
        <cfvo type="min"/>
        <cfvo type="percentile" val="50"/>
        <cfvo type="max"/>
        <color theme="9" tint="-0.249977111117893"/>
        <color rgb="FFFFFF00"/>
        <color rgb="FFC00000"/>
      </colorScale>
    </cfRule>
  </conditionalFormatting>
  <conditionalFormatting sqref="E7:E145">
    <cfRule type="colorScale" priority="1">
      <colorScale>
        <cfvo type="min"/>
        <cfvo type="percentile" val="50"/>
        <cfvo type="max"/>
        <color theme="9" tint="-0.249977111117893"/>
        <color rgb="FFFFFF00"/>
        <color rgb="FFC00000"/>
      </colorScale>
    </cfRule>
  </conditionalFormatting>
  <conditionalFormatting sqref="J6">
    <cfRule type="containsText" dxfId="17" priority="6" operator="containsText" text="High">
      <formula>NOT(ISERROR(SEARCH("High",J6)))</formula>
    </cfRule>
    <cfRule type="containsText" dxfId="16" priority="7" operator="containsText" text="Medium">
      <formula>NOT(ISERROR(SEARCH("Medium",J6)))</formula>
    </cfRule>
    <cfRule type="containsText" dxfId="15" priority="8" operator="containsText" text="Low">
      <formula>NOT(ISERROR(SEARCH("Low",J6)))</formula>
    </cfRule>
  </conditionalFormatting>
  <conditionalFormatting sqref="L6">
    <cfRule type="containsText" dxfId="14" priority="3" operator="containsText" text="High">
      <formula>NOT(ISERROR(SEARCH("High",L6)))</formula>
    </cfRule>
    <cfRule type="containsText" dxfId="13" priority="4" operator="containsText" text="Medium">
      <formula>NOT(ISERROR(SEARCH("Medium",L6)))</formula>
    </cfRule>
    <cfRule type="containsText" dxfId="12" priority="5" operator="containsText" text="Low">
      <formula>NOT(ISERROR(SEARCH("Low",L6)))</formula>
    </cfRule>
  </conditionalFormatting>
  <dataValidations count="1">
    <dataValidation type="list" allowBlank="1" showInputMessage="1" showErrorMessage="1" sqref="A4" xr:uid="{E3EB9C29-6EFF-4EAD-9CB6-66EBCEB5A06C}">
      <formula1>$J$7:$J$8000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BA798-F5A2-475B-A94F-9F5D9375A657}">
  <sheetPr codeName="Sheet7">
    <tabColor theme="9" tint="-0.499984740745262"/>
  </sheetPr>
  <dimension ref="A1:M147"/>
  <sheetViews>
    <sheetView showGridLines="0" zoomScale="120" zoomScaleNormal="120" workbookViewId="0">
      <pane ySplit="6" topLeftCell="A7" activePane="bottomLeft" state="frozen"/>
      <selection pane="bottomLeft" activeCell="A4" sqref="A4"/>
    </sheetView>
  </sheetViews>
  <sheetFormatPr defaultColWidth="30.7109375" defaultRowHeight="15" x14ac:dyDescent="0.25"/>
  <cols>
    <col min="1" max="1" width="30.7109375" style="7"/>
    <col min="13" max="13" width="30.7109375" style="7"/>
  </cols>
  <sheetData>
    <row r="1" spans="1:13" ht="23.25" customHeight="1" x14ac:dyDescent="0.4">
      <c r="A1" s="74" t="s">
        <v>37</v>
      </c>
      <c r="B1" s="74"/>
      <c r="C1" s="74"/>
      <c r="D1" s="74"/>
      <c r="E1" s="74"/>
      <c r="F1" s="12"/>
    </row>
    <row r="2" spans="1:13" ht="5.25" customHeight="1" x14ac:dyDescent="0.25">
      <c r="A2" s="16"/>
      <c r="B2" s="13"/>
      <c r="C2" s="13"/>
      <c r="D2" s="13"/>
      <c r="E2" s="13"/>
    </row>
    <row r="3" spans="1:13" ht="30" customHeight="1" x14ac:dyDescent="0.25">
      <c r="A3" s="14"/>
      <c r="B3" s="13"/>
      <c r="C3" s="13"/>
      <c r="D3" s="16"/>
      <c r="E3" s="13"/>
      <c r="M3"/>
    </row>
    <row r="4" spans="1:13" ht="19.5" customHeight="1" x14ac:dyDescent="0.25">
      <c r="A4" s="42" t="s">
        <v>277</v>
      </c>
      <c r="B4" s="15">
        <f>SUM(B7:B1000)</f>
        <v>65</v>
      </c>
      <c r="C4" s="15">
        <f>SUM(C7:C1000)</f>
        <v>44</v>
      </c>
      <c r="D4" s="15">
        <f>SUM(D7:D1000)</f>
        <v>21</v>
      </c>
      <c r="E4" s="15">
        <f>SUM(E7:E1000)</f>
        <v>726</v>
      </c>
    </row>
    <row r="5" spans="1:13" ht="12.75" customHeight="1" x14ac:dyDescent="0.25">
      <c r="A5" s="16"/>
      <c r="B5" s="13"/>
      <c r="C5" s="13"/>
      <c r="D5" s="13"/>
      <c r="E5" s="13"/>
    </row>
    <row r="6" spans="1:13" s="5" customFormat="1" ht="15.75" customHeight="1" x14ac:dyDescent="0.3">
      <c r="A6" s="11" t="s">
        <v>0</v>
      </c>
      <c r="B6" s="11" t="s">
        <v>34</v>
      </c>
      <c r="C6" s="11" t="s">
        <v>9</v>
      </c>
      <c r="D6" s="11" t="s">
        <v>35</v>
      </c>
      <c r="E6" s="11" t="s">
        <v>24</v>
      </c>
      <c r="F6"/>
      <c r="G6"/>
      <c r="H6"/>
      <c r="K6" s="3" t="s">
        <v>27</v>
      </c>
      <c r="M6" s="8" t="s">
        <v>21</v>
      </c>
    </row>
    <row r="7" spans="1:13" ht="15.75" x14ac:dyDescent="0.25">
      <c r="A7" s="10" cm="1">
        <f t="array" ref="A7:A25">_xlfn._xlws.SORT(_xlfn.UNIQUE(_xlfn.ANCHORARRAY(M7)),1,1)</f>
        <v>46235</v>
      </c>
      <c r="B7" s="9">
        <f>IF(A7="","",COUNTIFS(RawData[[Date ]],A7))</f>
        <v>8</v>
      </c>
      <c r="C7" s="9">
        <f>IF(A7="","",COUNTIFS(RawData[[Date ]],A7,RawData[[Error Type ]],"Short"))</f>
        <v>5</v>
      </c>
      <c r="D7" s="9">
        <f>IF(A7="","",COUNTIFS(RawData[[Date ]],A7,RawData[[Error Type ]],"Excess"))</f>
        <v>3</v>
      </c>
      <c r="E7" s="9">
        <f>IF(A7="","",SUMIFS(RawData[Qyt Affected ( EA ) ],RawData[[Date ]],A7))</f>
        <v>99</v>
      </c>
      <c r="K7" t="str" cm="1">
        <f t="array" ref="K7:K8">_xlfn.SORTBY(_xlfn.UNIQUE(_xlfn._xlws.FILTER(RawData[Month List],RawData[Month List]&lt;&gt;"")),DATEVALUE("01"&amp;_xlfn.UNIQUE(_xlfn._xlws.FILTER(RawData[Month List],RawData[Month List]&lt;&gt;""))))</f>
        <v>July 2026</v>
      </c>
      <c r="M7" s="7" cm="1">
        <f t="array" ref="M7:M71">_xlfn._xlws.FILTER(RawData[[Date ]],(RawData[[Date ]]&lt;&gt;"")*(RawData[Month List]=TEXT($A$4,"mmmm yyyy")))</f>
        <v>46235</v>
      </c>
    </row>
    <row r="8" spans="1:13" ht="15.75" x14ac:dyDescent="0.25">
      <c r="A8" s="10">
        <v>46236</v>
      </c>
      <c r="B8" s="9">
        <f>IF(A8="","",COUNTIFS(RawData[[Date ]],A8))</f>
        <v>2</v>
      </c>
      <c r="C8" s="9">
        <f>IF(A8="","",COUNTIFS(RawData[[Date ]],A8,RawData[[Error Type ]],"Short"))</f>
        <v>1</v>
      </c>
      <c r="D8" s="9">
        <f>IF(A8="","",COUNTIFS(RawData[[Date ]],A8,RawData[[Error Type ]],"Excess"))</f>
        <v>1</v>
      </c>
      <c r="E8" s="9">
        <f>IF(A8="","",SUMIFS(RawData[Qyt Affected ( EA ) ],RawData[[Date ]],A8))</f>
        <v>15</v>
      </c>
      <c r="K8" t="str">
        <v>August 2026</v>
      </c>
      <c r="M8" s="7">
        <v>46235</v>
      </c>
    </row>
    <row r="9" spans="1:13" ht="15.75" x14ac:dyDescent="0.25">
      <c r="A9" s="10">
        <v>46237</v>
      </c>
      <c r="B9" s="9">
        <f>IF(A9="","",COUNTIFS(RawData[[Date ]],A9))</f>
        <v>2</v>
      </c>
      <c r="C9" s="9">
        <f>IF(A9="","",COUNTIFS(RawData[[Date ]],A9,RawData[[Error Type ]],"Short"))</f>
        <v>2</v>
      </c>
      <c r="D9" s="9">
        <f>IF(A9="","",COUNTIFS(RawData[[Date ]],A9,RawData[[Error Type ]],"Excess"))</f>
        <v>0</v>
      </c>
      <c r="E9" s="9">
        <f>IF(A9="","",SUMIFS(RawData[Qyt Affected ( EA ) ],RawData[[Date ]],A9))</f>
        <v>16</v>
      </c>
      <c r="M9" s="7">
        <v>46235</v>
      </c>
    </row>
    <row r="10" spans="1:13" ht="15.75" x14ac:dyDescent="0.25">
      <c r="A10" s="10">
        <v>46239</v>
      </c>
      <c r="B10" s="9">
        <f>IF(A10="","",COUNTIFS(RawData[[Date ]],A10))</f>
        <v>2</v>
      </c>
      <c r="C10" s="9">
        <f>IF(A10="","",COUNTIFS(RawData[[Date ]],A10,RawData[[Error Type ]],"Short"))</f>
        <v>2</v>
      </c>
      <c r="D10" s="9">
        <f>IF(A10="","",COUNTIFS(RawData[[Date ]],A10,RawData[[Error Type ]],"Excess"))</f>
        <v>0</v>
      </c>
      <c r="E10" s="9">
        <f>IF(A10="","",SUMIFS(RawData[Qyt Affected ( EA ) ],RawData[[Date ]],A10))</f>
        <v>4</v>
      </c>
      <c r="M10" s="7">
        <v>46235</v>
      </c>
    </row>
    <row r="11" spans="1:13" ht="15.75" x14ac:dyDescent="0.25">
      <c r="A11" s="10">
        <v>46240</v>
      </c>
      <c r="B11" s="9">
        <f>IF(A11="","",COUNTIFS(RawData[[Date ]],A11))</f>
        <v>5</v>
      </c>
      <c r="C11" s="9">
        <f>IF(A11="","",COUNTIFS(RawData[[Date ]],A11,RawData[[Error Type ]],"Short"))</f>
        <v>2</v>
      </c>
      <c r="D11" s="9">
        <f>IF(A11="","",COUNTIFS(RawData[[Date ]],A11,RawData[[Error Type ]],"Excess"))</f>
        <v>3</v>
      </c>
      <c r="E11" s="9">
        <f>IF(A11="","",SUMIFS(RawData[Qyt Affected ( EA ) ],RawData[[Date ]],A11))</f>
        <v>37</v>
      </c>
      <c r="M11" s="7">
        <v>46235</v>
      </c>
    </row>
    <row r="12" spans="1:13" ht="15.75" x14ac:dyDescent="0.25">
      <c r="A12" s="10">
        <v>46241</v>
      </c>
      <c r="B12" s="9">
        <f>IF(A12="","",COUNTIFS(RawData[[Date ]],A12))</f>
        <v>2</v>
      </c>
      <c r="C12" s="9">
        <f>IF(A12="","",COUNTIFS(RawData[[Date ]],A12,RawData[[Error Type ]],"Short"))</f>
        <v>2</v>
      </c>
      <c r="D12" s="9">
        <f>IF(A12="","",COUNTIFS(RawData[[Date ]],A12,RawData[[Error Type ]],"Excess"))</f>
        <v>0</v>
      </c>
      <c r="E12" s="9">
        <f>IF(A12="","",SUMIFS(RawData[Qyt Affected ( EA ) ],RawData[[Date ]],A12))</f>
        <v>10</v>
      </c>
      <c r="M12" s="7">
        <v>46235</v>
      </c>
    </row>
    <row r="13" spans="1:13" ht="15.75" x14ac:dyDescent="0.25">
      <c r="A13" s="10">
        <v>46242</v>
      </c>
      <c r="B13" s="9">
        <f>IF(A13="","",COUNTIFS(RawData[[Date ]],A13))</f>
        <v>1</v>
      </c>
      <c r="C13" s="9">
        <f>IF(A13="","",COUNTIFS(RawData[[Date ]],A13,RawData[[Error Type ]],"Short"))</f>
        <v>1</v>
      </c>
      <c r="D13" s="9">
        <f>IF(A13="","",COUNTIFS(RawData[[Date ]],A13,RawData[[Error Type ]],"Excess"))</f>
        <v>0</v>
      </c>
      <c r="E13" s="9">
        <f>IF(A13="","",SUMIFS(RawData[Qyt Affected ( EA ) ],RawData[[Date ]],A13))</f>
        <v>18</v>
      </c>
      <c r="M13" s="7">
        <v>46235</v>
      </c>
    </row>
    <row r="14" spans="1:13" ht="15.75" x14ac:dyDescent="0.25">
      <c r="A14" s="10">
        <v>46244</v>
      </c>
      <c r="B14" s="9">
        <f>IF(A14="","",COUNTIFS(RawData[[Date ]],A14))</f>
        <v>3</v>
      </c>
      <c r="C14" s="9">
        <f>IF(A14="","",COUNTIFS(RawData[[Date ]],A14,RawData[[Error Type ]],"Short"))</f>
        <v>2</v>
      </c>
      <c r="D14" s="9">
        <f>IF(A14="","",COUNTIFS(RawData[[Date ]],A14,RawData[[Error Type ]],"Excess"))</f>
        <v>1</v>
      </c>
      <c r="E14" s="9">
        <f>IF(A14="","",SUMIFS(RawData[Qyt Affected ( EA ) ],RawData[[Date ]],A14))</f>
        <v>15</v>
      </c>
      <c r="M14" s="7">
        <v>46235</v>
      </c>
    </row>
    <row r="15" spans="1:13" ht="15.75" x14ac:dyDescent="0.25">
      <c r="A15" s="10">
        <v>46246</v>
      </c>
      <c r="B15" s="9">
        <f>IF(A15="","",COUNTIFS(RawData[[Date ]],A15))</f>
        <v>2</v>
      </c>
      <c r="C15" s="9">
        <f>IF(A15="","",COUNTIFS(RawData[[Date ]],A15,RawData[[Error Type ]],"Short"))</f>
        <v>1</v>
      </c>
      <c r="D15" s="9">
        <f>IF(A15="","",COUNTIFS(RawData[[Date ]],A15,RawData[[Error Type ]],"Excess"))</f>
        <v>1</v>
      </c>
      <c r="E15" s="9">
        <f>IF(A15="","",SUMIFS(RawData[Qyt Affected ( EA ) ],RawData[[Date ]],A15))</f>
        <v>10</v>
      </c>
      <c r="M15" s="7">
        <v>46236</v>
      </c>
    </row>
    <row r="16" spans="1:13" ht="15.75" x14ac:dyDescent="0.25">
      <c r="A16" s="10">
        <v>46247</v>
      </c>
      <c r="B16" s="9">
        <f>IF(A16="","",COUNTIFS(RawData[[Date ]],A16))</f>
        <v>4</v>
      </c>
      <c r="C16" s="9">
        <f>IF(A16="","",COUNTIFS(RawData[[Date ]],A16,RawData[[Error Type ]],"Short"))</f>
        <v>3</v>
      </c>
      <c r="D16" s="9">
        <f>IF(A16="","",COUNTIFS(RawData[[Date ]],A16,RawData[[Error Type ]],"Excess"))</f>
        <v>1</v>
      </c>
      <c r="E16" s="9">
        <f>IF(A16="","",SUMIFS(RawData[Qyt Affected ( EA ) ],RawData[[Date ]],A16))</f>
        <v>55</v>
      </c>
      <c r="M16" s="7">
        <v>46236</v>
      </c>
    </row>
    <row r="17" spans="1:13" ht="15.75" x14ac:dyDescent="0.25">
      <c r="A17" s="10">
        <v>46248</v>
      </c>
      <c r="B17" s="9">
        <f>IF(A17="","",COUNTIFS(RawData[[Date ]],A17))</f>
        <v>8</v>
      </c>
      <c r="C17" s="9">
        <f>IF(A17="","",COUNTIFS(RawData[[Date ]],A17,RawData[[Error Type ]],"Short"))</f>
        <v>5</v>
      </c>
      <c r="D17" s="9">
        <f>IF(A17="","",COUNTIFS(RawData[[Date ]],A17,RawData[[Error Type ]],"Excess"))</f>
        <v>3</v>
      </c>
      <c r="E17" s="9">
        <f>IF(A17="","",SUMIFS(RawData[Qyt Affected ( EA ) ],RawData[[Date ]],A17))</f>
        <v>49</v>
      </c>
      <c r="M17" s="7">
        <v>46237</v>
      </c>
    </row>
    <row r="18" spans="1:13" ht="15.75" x14ac:dyDescent="0.25">
      <c r="A18" s="10">
        <v>46249</v>
      </c>
      <c r="B18" s="9">
        <f>IF(A18="","",COUNTIFS(RawData[[Date ]],A18))</f>
        <v>4</v>
      </c>
      <c r="C18" s="9">
        <f>IF(A18="","",COUNTIFS(RawData[[Date ]],A18,RawData[[Error Type ]],"Short"))</f>
        <v>2</v>
      </c>
      <c r="D18" s="9">
        <f>IF(A18="","",COUNTIFS(RawData[[Date ]],A18,RawData[[Error Type ]],"Excess"))</f>
        <v>2</v>
      </c>
      <c r="E18" s="9">
        <f>IF(A18="","",SUMIFS(RawData[Qyt Affected ( EA ) ],RawData[[Date ]],A18))</f>
        <v>140</v>
      </c>
      <c r="M18" s="7">
        <v>46237</v>
      </c>
    </row>
    <row r="19" spans="1:13" ht="15.75" x14ac:dyDescent="0.25">
      <c r="A19" s="10">
        <v>46250</v>
      </c>
      <c r="B19" s="9">
        <f>IF(A19="","",COUNTIFS(RawData[[Date ]],A19))</f>
        <v>4</v>
      </c>
      <c r="C19" s="9">
        <f>IF(A19="","",COUNTIFS(RawData[[Date ]],A19,RawData[[Error Type ]],"Short"))</f>
        <v>3</v>
      </c>
      <c r="D19" s="9">
        <f>IF(A19="","",COUNTIFS(RawData[[Date ]],A19,RawData[[Error Type ]],"Excess"))</f>
        <v>1</v>
      </c>
      <c r="E19" s="9">
        <f>IF(A19="","",SUMIFS(RawData[Qyt Affected ( EA ) ],RawData[[Date ]],A19))</f>
        <v>73</v>
      </c>
      <c r="M19" s="7">
        <v>46239</v>
      </c>
    </row>
    <row r="20" spans="1:13" ht="15.75" x14ac:dyDescent="0.25">
      <c r="A20" s="10">
        <v>46252</v>
      </c>
      <c r="B20" s="9">
        <f>IF(A20="","",COUNTIFS(RawData[[Date ]],A20))</f>
        <v>3</v>
      </c>
      <c r="C20" s="9">
        <f>IF(A20="","",COUNTIFS(RawData[[Date ]],A20,RawData[[Error Type ]],"Short"))</f>
        <v>2</v>
      </c>
      <c r="D20" s="9">
        <f>IF(A20="","",COUNTIFS(RawData[[Date ]],A20,RawData[[Error Type ]],"Excess"))</f>
        <v>1</v>
      </c>
      <c r="E20" s="9">
        <f>IF(A20="","",SUMIFS(RawData[Qyt Affected ( EA ) ],RawData[[Date ]],A20))</f>
        <v>22</v>
      </c>
      <c r="M20" s="7">
        <v>46239</v>
      </c>
    </row>
    <row r="21" spans="1:13" ht="15.75" x14ac:dyDescent="0.25">
      <c r="A21" s="10">
        <v>46253</v>
      </c>
      <c r="B21" s="9">
        <f>IF(A21="","",COUNTIFS(RawData[[Date ]],A21))</f>
        <v>3</v>
      </c>
      <c r="C21" s="9">
        <f>IF(A21="","",COUNTIFS(RawData[[Date ]],A21,RawData[[Error Type ]],"Short"))</f>
        <v>2</v>
      </c>
      <c r="D21" s="9">
        <f>IF(A21="","",COUNTIFS(RawData[[Date ]],A21,RawData[[Error Type ]],"Excess"))</f>
        <v>1</v>
      </c>
      <c r="E21" s="9">
        <f>IF(A21="","",SUMIFS(RawData[Qyt Affected ( EA ) ],RawData[[Date ]],A21))</f>
        <v>36</v>
      </c>
      <c r="M21" s="7">
        <v>46240</v>
      </c>
    </row>
    <row r="22" spans="1:13" ht="15.75" x14ac:dyDescent="0.25">
      <c r="A22" s="10">
        <v>46254</v>
      </c>
      <c r="B22" s="9">
        <f>IF(A22="","",COUNTIFS(RawData[[Date ]],A22))</f>
        <v>3</v>
      </c>
      <c r="C22" s="9">
        <f>IF(A22="","",COUNTIFS(RawData[[Date ]],A22,RawData[[Error Type ]],"Short"))</f>
        <v>1</v>
      </c>
      <c r="D22" s="9">
        <f>IF(A22="","",COUNTIFS(RawData[[Date ]],A22,RawData[[Error Type ]],"Excess"))</f>
        <v>2</v>
      </c>
      <c r="E22" s="9">
        <f>IF(A22="","",SUMIFS(RawData[Qyt Affected ( EA ) ],RawData[[Date ]],A22))</f>
        <v>42</v>
      </c>
      <c r="M22" s="7">
        <v>46240</v>
      </c>
    </row>
    <row r="23" spans="1:13" ht="15.75" x14ac:dyDescent="0.25">
      <c r="A23" s="10">
        <v>46255</v>
      </c>
      <c r="B23" s="9">
        <f>IF(A23="","",COUNTIFS(RawData[[Date ]],A23))</f>
        <v>2</v>
      </c>
      <c r="C23" s="9">
        <f>IF(A23="","",COUNTIFS(RawData[[Date ]],A23,RawData[[Error Type ]],"Short"))</f>
        <v>1</v>
      </c>
      <c r="D23" s="9">
        <f>IF(A23="","",COUNTIFS(RawData[[Date ]],A23,RawData[[Error Type ]],"Excess"))</f>
        <v>1</v>
      </c>
      <c r="E23" s="9">
        <f>IF(A23="","",SUMIFS(RawData[Qyt Affected ( EA ) ],RawData[[Date ]],A23))</f>
        <v>24</v>
      </c>
      <c r="M23" s="7">
        <v>46240</v>
      </c>
    </row>
    <row r="24" spans="1:13" ht="15.75" x14ac:dyDescent="0.25">
      <c r="A24" s="10">
        <v>46256</v>
      </c>
      <c r="B24" s="9">
        <f>IF(A24="","",COUNTIFS(RawData[[Date ]],A24))</f>
        <v>3</v>
      </c>
      <c r="C24" s="9">
        <f>IF(A24="","",COUNTIFS(RawData[[Date ]],A24,RawData[[Error Type ]],"Short"))</f>
        <v>3</v>
      </c>
      <c r="D24" s="9">
        <f>IF(A24="","",COUNTIFS(RawData[[Date ]],A24,RawData[[Error Type ]],"Excess"))</f>
        <v>0</v>
      </c>
      <c r="E24" s="9">
        <f>IF(A24="","",SUMIFS(RawData[Qyt Affected ( EA ) ],RawData[[Date ]],A24))</f>
        <v>46</v>
      </c>
      <c r="M24" s="7">
        <v>46240</v>
      </c>
    </row>
    <row r="25" spans="1:13" ht="15.75" x14ac:dyDescent="0.25">
      <c r="A25" s="10">
        <v>46257</v>
      </c>
      <c r="B25" s="9">
        <f>IF(A25="","",COUNTIFS(RawData[[Date ]],A25))</f>
        <v>4</v>
      </c>
      <c r="C25" s="9">
        <f>IF(A25="","",COUNTIFS(RawData[[Date ]],A25,RawData[[Error Type ]],"Short"))</f>
        <v>4</v>
      </c>
      <c r="D25" s="9">
        <f>IF(A25="","",COUNTIFS(RawData[[Date ]],A25,RawData[[Error Type ]],"Excess"))</f>
        <v>0</v>
      </c>
      <c r="E25" s="9">
        <f>IF(A25="","",SUMIFS(RawData[Qyt Affected ( EA ) ],RawData[[Date ]],A25))</f>
        <v>15</v>
      </c>
      <c r="M25" s="7">
        <v>46240</v>
      </c>
    </row>
    <row r="26" spans="1:13" ht="15.75" x14ac:dyDescent="0.25">
      <c r="A26" s="10"/>
      <c r="B26" s="9" t="str">
        <f>IF(A26="","",COUNTIFS(RawData[[Date ]],A26))</f>
        <v/>
      </c>
      <c r="C26" s="9" t="str">
        <f>IF(A26="","",COUNTIFS(RawData[[Date ]],A26,RawData[[Error Type ]],"Short"))</f>
        <v/>
      </c>
      <c r="D26" s="9" t="str">
        <f>IF(A26="","",COUNTIFS(RawData[[Date ]],A26,RawData[[Error Type ]],"Excess"))</f>
        <v/>
      </c>
      <c r="E26" s="9" t="str">
        <f>IF(A26="","",SUMIFS(RawData[Qyt Affected ( EA ) ],RawData[[Date ]],A26))</f>
        <v/>
      </c>
      <c r="M26" s="7">
        <v>46241</v>
      </c>
    </row>
    <row r="27" spans="1:13" ht="15.75" x14ac:dyDescent="0.25">
      <c r="A27" s="10"/>
      <c r="B27" s="9" t="str">
        <f>IF(A27="","",COUNTIFS(RawData[[Date ]],A27))</f>
        <v/>
      </c>
      <c r="C27" s="9" t="str">
        <f>IF(A27="","",COUNTIFS(RawData[[Date ]],A27,RawData[[Error Type ]],"Short"))</f>
        <v/>
      </c>
      <c r="D27" s="9" t="str">
        <f>IF(A27="","",COUNTIFS(RawData[[Date ]],A27,RawData[[Error Type ]],"Excess"))</f>
        <v/>
      </c>
      <c r="E27" s="9" t="str">
        <f>IF(A27="","",SUMIFS(RawData[Qyt Affected ( EA ) ],RawData[[Date ]],A27))</f>
        <v/>
      </c>
      <c r="M27" s="7">
        <v>46241</v>
      </c>
    </row>
    <row r="28" spans="1:13" ht="15.75" x14ac:dyDescent="0.25">
      <c r="A28" s="10"/>
      <c r="B28" s="9" t="str">
        <f>IF(A28="","",COUNTIFS(RawData[[Date ]],A28))</f>
        <v/>
      </c>
      <c r="C28" s="9" t="str">
        <f>IF(A28="","",COUNTIFS(RawData[[Date ]],A28,RawData[[Error Type ]],"Short"))</f>
        <v/>
      </c>
      <c r="D28" s="9" t="str">
        <f>IF(A28="","",COUNTIFS(RawData[[Date ]],A28,RawData[[Error Type ]],"Excess"))</f>
        <v/>
      </c>
      <c r="E28" s="9" t="str">
        <f>IF(A28="","",SUMIFS(RawData[Qyt Affected ( EA ) ],RawData[[Date ]],A28))</f>
        <v/>
      </c>
      <c r="M28" s="7">
        <v>46242</v>
      </c>
    </row>
    <row r="29" spans="1:13" ht="15.75" x14ac:dyDescent="0.25">
      <c r="A29" s="10"/>
      <c r="B29" s="9" t="str">
        <f>IF(A29="","",COUNTIFS(RawData[[Date ]],A29))</f>
        <v/>
      </c>
      <c r="C29" s="9" t="str">
        <f>IF(A29="","",COUNTIFS(RawData[[Date ]],A29,RawData[[Error Type ]],"Short"))</f>
        <v/>
      </c>
      <c r="D29" s="9" t="str">
        <f>IF(A29="","",COUNTIFS(RawData[[Date ]],A29,RawData[[Error Type ]],"Excess"))</f>
        <v/>
      </c>
      <c r="E29" s="9" t="str">
        <f>IF(A29="","",SUMIFS(RawData[Qyt Affected ( EA ) ],RawData[[Date ]],A29))</f>
        <v/>
      </c>
      <c r="M29" s="7">
        <v>46244</v>
      </c>
    </row>
    <row r="30" spans="1:13" ht="15.75" x14ac:dyDescent="0.25">
      <c r="A30" s="10"/>
      <c r="B30" s="9" t="str">
        <f>IF(A30="","",COUNTIFS(RawData[[Date ]],A30))</f>
        <v/>
      </c>
      <c r="C30" s="9" t="str">
        <f>IF(A30="","",COUNTIFS(RawData[[Date ]],A30,RawData[[Error Type ]],"Short"))</f>
        <v/>
      </c>
      <c r="D30" s="9" t="str">
        <f>IF(A30="","",COUNTIFS(RawData[[Date ]],A30,RawData[[Error Type ]],"Excess"))</f>
        <v/>
      </c>
      <c r="E30" s="9" t="str">
        <f>IF(A30="","",SUMIFS(RawData[Qyt Affected ( EA ) ],RawData[[Date ]],A30))</f>
        <v/>
      </c>
      <c r="M30" s="7">
        <v>46244</v>
      </c>
    </row>
    <row r="31" spans="1:13" ht="15.75" x14ac:dyDescent="0.25">
      <c r="A31" s="10"/>
      <c r="B31" s="9" t="str">
        <f>IF(A31="","",COUNTIFS(RawData[[Date ]],A31))</f>
        <v/>
      </c>
      <c r="C31" s="9" t="str">
        <f>IF(A31="","",COUNTIFS(RawData[[Date ]],A31,RawData[[Error Type ]],"Short"))</f>
        <v/>
      </c>
      <c r="D31" s="9" t="str">
        <f>IF(A31="","",COUNTIFS(RawData[[Date ]],A31,RawData[[Error Type ]],"Excess"))</f>
        <v/>
      </c>
      <c r="E31" s="9" t="str">
        <f>IF(A31="","",SUMIFS(RawData[Qyt Affected ( EA ) ],RawData[[Date ]],A31))</f>
        <v/>
      </c>
      <c r="M31" s="7">
        <v>46244</v>
      </c>
    </row>
    <row r="32" spans="1:13" ht="15.75" x14ac:dyDescent="0.25">
      <c r="A32" s="10"/>
      <c r="B32" s="9" t="str">
        <f>IF(A32="","",COUNTIFS(RawData[[Date ]],A32))</f>
        <v/>
      </c>
      <c r="C32" s="9" t="str">
        <f>IF(A32="","",COUNTIFS(RawData[[Date ]],A32,RawData[[Error Type ]],"Short"))</f>
        <v/>
      </c>
      <c r="D32" s="9" t="str">
        <f>IF(A32="","",COUNTIFS(RawData[[Date ]],A32,RawData[[Error Type ]],"Excess"))</f>
        <v/>
      </c>
      <c r="E32" s="9" t="str">
        <f>IF(A32="","",SUMIFS(RawData[Qyt Affected ( EA ) ],RawData[[Date ]],A32))</f>
        <v/>
      </c>
      <c r="M32" s="7">
        <v>46246</v>
      </c>
    </row>
    <row r="33" spans="1:13" ht="15.75" x14ac:dyDescent="0.25">
      <c r="A33" s="10"/>
      <c r="B33" s="9" t="str">
        <f>IF(A33="","",COUNTIFS(RawData[[Date ]],A33))</f>
        <v/>
      </c>
      <c r="C33" s="9" t="str">
        <f>IF(A33="","",COUNTIFS(RawData[[Date ]],A33,RawData[[Error Type ]],"Short"))</f>
        <v/>
      </c>
      <c r="D33" s="9" t="str">
        <f>IF(A33="","",COUNTIFS(RawData[[Date ]],A33,RawData[[Error Type ]],"Excess"))</f>
        <v/>
      </c>
      <c r="E33" s="9" t="str">
        <f>IF(A33="","",SUMIFS(RawData[Qyt Affected ( EA ) ],RawData[[Date ]],A33))</f>
        <v/>
      </c>
      <c r="M33" s="7">
        <v>46246</v>
      </c>
    </row>
    <row r="34" spans="1:13" ht="15.75" x14ac:dyDescent="0.25">
      <c r="A34" s="10"/>
      <c r="B34" s="9" t="str">
        <f>IF(A34="","",COUNTIFS(RawData[[Date ]],A34))</f>
        <v/>
      </c>
      <c r="C34" s="9" t="str">
        <f>IF(A34="","",COUNTIFS(RawData[[Date ]],A34,RawData[[Error Type ]],"Short"))</f>
        <v/>
      </c>
      <c r="D34" s="9" t="str">
        <f>IF(A34="","",COUNTIFS(RawData[[Date ]],A34,RawData[[Error Type ]],"Excess"))</f>
        <v/>
      </c>
      <c r="E34" s="9" t="str">
        <f>IF(A34="","",SUMIFS(RawData[Qyt Affected ( EA ) ],RawData[[Date ]],A34))</f>
        <v/>
      </c>
      <c r="M34" s="7">
        <v>46247</v>
      </c>
    </row>
    <row r="35" spans="1:13" ht="15.75" x14ac:dyDescent="0.25">
      <c r="A35" s="10"/>
      <c r="B35" s="9" t="str">
        <f>IF(A35="","",COUNTIFS(RawData[[Date ]],A35))</f>
        <v/>
      </c>
      <c r="C35" s="9" t="str">
        <f>IF(A35="","",COUNTIFS(RawData[[Date ]],A35,RawData[[Error Type ]],"Short"))</f>
        <v/>
      </c>
      <c r="D35" s="9" t="str">
        <f>IF(A35="","",COUNTIFS(RawData[[Date ]],A35,RawData[[Error Type ]],"Excess"))</f>
        <v/>
      </c>
      <c r="E35" s="9" t="str">
        <f>IF(A35="","",SUMIFS(RawData[Qyt Affected ( EA ) ],RawData[[Date ]],A35))</f>
        <v/>
      </c>
      <c r="M35" s="7">
        <v>46247</v>
      </c>
    </row>
    <row r="36" spans="1:13" ht="15.75" x14ac:dyDescent="0.25">
      <c r="A36" s="10"/>
      <c r="B36" s="9" t="str">
        <f>IF(A36="","",COUNTIFS(RawData[[Date ]],A36))</f>
        <v/>
      </c>
      <c r="C36" s="9" t="str">
        <f>IF(A36="","",COUNTIFS(RawData[[Date ]],A36,RawData[[Error Type ]],"Short"))</f>
        <v/>
      </c>
      <c r="D36" s="9" t="str">
        <f>IF(A36="","",COUNTIFS(RawData[[Date ]],A36,RawData[[Error Type ]],"Excess"))</f>
        <v/>
      </c>
      <c r="E36" s="9" t="str">
        <f>IF(A36="","",SUMIFS(RawData[Qyt Affected ( EA ) ],RawData[[Date ]],A36))</f>
        <v/>
      </c>
      <c r="M36" s="7">
        <v>46247</v>
      </c>
    </row>
    <row r="37" spans="1:13" ht="15.75" x14ac:dyDescent="0.25">
      <c r="A37" s="10"/>
      <c r="B37" s="9" t="str">
        <f>IF(A37="","",COUNTIFS(RawData[[Date ]],A37))</f>
        <v/>
      </c>
      <c r="C37" s="9" t="str">
        <f>IF(A37="","",COUNTIFS(RawData[[Date ]],A37,RawData[[Error Type ]],"Short"))</f>
        <v/>
      </c>
      <c r="D37" s="9" t="str">
        <f>IF(A37="","",COUNTIFS(RawData[[Date ]],A37,RawData[[Error Type ]],"Excess"))</f>
        <v/>
      </c>
      <c r="E37" s="9" t="str">
        <f>IF(A37="","",SUMIFS(RawData[Qyt Affected ( EA ) ],RawData[[Date ]],A37))</f>
        <v/>
      </c>
      <c r="M37" s="7">
        <v>46247</v>
      </c>
    </row>
    <row r="38" spans="1:13" ht="15.75" x14ac:dyDescent="0.25">
      <c r="A38" s="10"/>
      <c r="B38" s="9" t="str">
        <f>IF(A38="","",COUNTIFS(RawData[[Date ]],A38))</f>
        <v/>
      </c>
      <c r="C38" s="9" t="str">
        <f>IF(A38="","",COUNTIFS(RawData[[Date ]],A38,RawData[[Error Type ]],"Short"))</f>
        <v/>
      </c>
      <c r="D38" s="9" t="str">
        <f>IF(A38="","",COUNTIFS(RawData[[Date ]],A38,RawData[[Error Type ]],"Excess"))</f>
        <v/>
      </c>
      <c r="E38" s="9" t="str">
        <f>IF(A38="","",SUMIFS(RawData[Qyt Affected ( EA ) ],RawData[[Date ]],A38))</f>
        <v/>
      </c>
      <c r="M38" s="7">
        <v>46248</v>
      </c>
    </row>
    <row r="39" spans="1:13" ht="15.75" x14ac:dyDescent="0.25">
      <c r="A39" s="10"/>
      <c r="B39" s="9" t="str">
        <f>IF(A39="","",COUNTIFS(RawData[[Date ]],A39))</f>
        <v/>
      </c>
      <c r="C39" s="9" t="str">
        <f>IF(A39="","",COUNTIFS(RawData[[Date ]],A39,RawData[[Error Type ]],"Short"))</f>
        <v/>
      </c>
      <c r="D39" s="9" t="str">
        <f>IF(A39="","",COUNTIFS(RawData[[Date ]],A39,RawData[[Error Type ]],"Excess"))</f>
        <v/>
      </c>
      <c r="E39" s="9" t="str">
        <f>IF(A39="","",SUMIFS(RawData[Qyt Affected ( EA ) ],RawData[[Date ]],A39))</f>
        <v/>
      </c>
      <c r="M39" s="7">
        <v>46248</v>
      </c>
    </row>
    <row r="40" spans="1:13" ht="15.75" x14ac:dyDescent="0.25">
      <c r="A40" s="10"/>
      <c r="B40" s="9" t="str">
        <f>IF(A40="","",COUNTIFS(RawData[[Date ]],A40))</f>
        <v/>
      </c>
      <c r="C40" s="9" t="str">
        <f>IF(A40="","",COUNTIFS(RawData[[Date ]],A40,RawData[[Error Type ]],"Short"))</f>
        <v/>
      </c>
      <c r="D40" s="9" t="str">
        <f>IF(A40="","",COUNTIFS(RawData[[Date ]],A40,RawData[[Error Type ]],"Excess"))</f>
        <v/>
      </c>
      <c r="E40" s="9" t="str">
        <f>IF(A40="","",SUMIFS(RawData[Qyt Affected ( EA ) ],RawData[[Date ]],A40))</f>
        <v/>
      </c>
      <c r="M40" s="7">
        <v>46248</v>
      </c>
    </row>
    <row r="41" spans="1:13" ht="15.75" x14ac:dyDescent="0.25">
      <c r="A41" s="10"/>
      <c r="B41" s="9" t="str">
        <f>IF(A41="","",COUNTIFS(RawData[[Date ]],A41))</f>
        <v/>
      </c>
      <c r="C41" s="9" t="str">
        <f>IF(A41="","",COUNTIFS(RawData[[Date ]],A41,RawData[[Error Type ]],"Short"))</f>
        <v/>
      </c>
      <c r="D41" s="9" t="str">
        <f>IF(A41="","",COUNTIFS(RawData[[Date ]],A41,RawData[[Error Type ]],"Excess"))</f>
        <v/>
      </c>
      <c r="E41" s="9" t="str">
        <f>IF(A41="","",SUMIFS(RawData[Qyt Affected ( EA ) ],RawData[[Date ]],A41))</f>
        <v/>
      </c>
      <c r="M41" s="7">
        <v>46248</v>
      </c>
    </row>
    <row r="42" spans="1:13" ht="15.75" x14ac:dyDescent="0.25">
      <c r="A42" s="10"/>
      <c r="B42" s="9" t="str">
        <f>IF(A42="","",COUNTIFS(RawData[[Date ]],A42))</f>
        <v/>
      </c>
      <c r="C42" s="9" t="str">
        <f>IF(A42="","",COUNTIFS(RawData[[Date ]],A42,RawData[[Error Type ]],"Short"))</f>
        <v/>
      </c>
      <c r="D42" s="9" t="str">
        <f>IF(A42="","",COUNTIFS(RawData[[Date ]],A42,RawData[[Error Type ]],"Excess"))</f>
        <v/>
      </c>
      <c r="E42" s="9" t="str">
        <f>IF(A42="","",SUMIFS(RawData[Qyt Affected ( EA ) ],RawData[[Date ]],A42))</f>
        <v/>
      </c>
      <c r="M42" s="7">
        <v>46248</v>
      </c>
    </row>
    <row r="43" spans="1:13" ht="15.75" x14ac:dyDescent="0.25">
      <c r="A43" s="10"/>
      <c r="B43" s="9" t="str">
        <f>IF(A43="","",COUNTIFS(RawData[[Date ]],A43))</f>
        <v/>
      </c>
      <c r="C43" s="9" t="str">
        <f>IF(A43="","",COUNTIFS(RawData[[Date ]],A43,RawData[[Error Type ]],"Short"))</f>
        <v/>
      </c>
      <c r="D43" s="9" t="str">
        <f>IF(A43="","",COUNTIFS(RawData[[Date ]],A43,RawData[[Error Type ]],"Excess"))</f>
        <v/>
      </c>
      <c r="E43" s="9" t="str">
        <f>IF(A43="","",SUMIFS(RawData[Qyt Affected ( EA ) ],RawData[[Date ]],A43))</f>
        <v/>
      </c>
      <c r="M43" s="7">
        <v>46248</v>
      </c>
    </row>
    <row r="44" spans="1:13" ht="15.75" x14ac:dyDescent="0.25">
      <c r="A44" s="10"/>
      <c r="B44" s="9" t="str">
        <f>IF(A44="","",COUNTIFS(RawData[[Date ]],A44))</f>
        <v/>
      </c>
      <c r="C44" s="9" t="str">
        <f>IF(A44="","",COUNTIFS(RawData[[Date ]],A44,RawData[[Error Type ]],"Short"))</f>
        <v/>
      </c>
      <c r="D44" s="9" t="str">
        <f>IF(A44="","",COUNTIFS(RawData[[Date ]],A44,RawData[[Error Type ]],"Excess"))</f>
        <v/>
      </c>
      <c r="E44" s="9" t="str">
        <f>IF(A44="","",SUMIFS(RawData[Qyt Affected ( EA ) ],RawData[[Date ]],A44))</f>
        <v/>
      </c>
      <c r="M44" s="7">
        <v>46248</v>
      </c>
    </row>
    <row r="45" spans="1:13" ht="15.75" x14ac:dyDescent="0.25">
      <c r="A45" s="10"/>
      <c r="B45" s="9" t="str">
        <f>IF(A45="","",COUNTIFS(RawData[[Date ]],A45))</f>
        <v/>
      </c>
      <c r="C45" s="9" t="str">
        <f>IF(A45="","",COUNTIFS(RawData[[Date ]],A45,RawData[[Error Type ]],"Short"))</f>
        <v/>
      </c>
      <c r="D45" s="9" t="str">
        <f>IF(A45="","",COUNTIFS(RawData[[Date ]],A45,RawData[[Error Type ]],"Excess"))</f>
        <v/>
      </c>
      <c r="E45" s="9" t="str">
        <f>IF(A45="","",SUMIFS(RawData[Qyt Affected ( EA ) ],RawData[[Date ]],A45))</f>
        <v/>
      </c>
      <c r="M45" s="7">
        <v>46248</v>
      </c>
    </row>
    <row r="46" spans="1:13" ht="15.75" x14ac:dyDescent="0.25">
      <c r="A46" s="10"/>
      <c r="B46" s="9" t="str">
        <f>IF(A46="","",COUNTIFS(RawData[[Date ]],A46))</f>
        <v/>
      </c>
      <c r="C46" s="9" t="str">
        <f>IF(A46="","",COUNTIFS(RawData[[Date ]],A46,RawData[[Error Type ]],"Short"))</f>
        <v/>
      </c>
      <c r="D46" s="9" t="str">
        <f>IF(A46="","",COUNTIFS(RawData[[Date ]],A46,RawData[[Error Type ]],"Excess"))</f>
        <v/>
      </c>
      <c r="E46" s="9" t="str">
        <f>IF(A46="","",SUMIFS(RawData[Qyt Affected ( EA ) ],RawData[[Date ]],A46))</f>
        <v/>
      </c>
      <c r="M46" s="7">
        <v>46249</v>
      </c>
    </row>
    <row r="47" spans="1:13" ht="15.75" x14ac:dyDescent="0.25">
      <c r="A47" s="10"/>
      <c r="B47" s="9" t="str">
        <f>IF(A47="","",COUNTIFS(RawData[[Date ]],A47))</f>
        <v/>
      </c>
      <c r="C47" s="9" t="str">
        <f>IF(A47="","",COUNTIFS(RawData[[Date ]],A47,RawData[[Error Type ]],"Short"))</f>
        <v/>
      </c>
      <c r="D47" s="9" t="str">
        <f>IF(A47="","",COUNTIFS(RawData[[Date ]],A47,RawData[[Error Type ]],"Excess"))</f>
        <v/>
      </c>
      <c r="E47" s="9" t="str">
        <f>IF(A47="","",SUMIFS(RawData[Qyt Affected ( EA ) ],RawData[[Date ]],A47))</f>
        <v/>
      </c>
      <c r="M47" s="7">
        <v>46249</v>
      </c>
    </row>
    <row r="48" spans="1:13" ht="15.75" x14ac:dyDescent="0.25">
      <c r="A48" s="10"/>
      <c r="B48" s="9" t="str">
        <f>IF(A48="","",COUNTIFS(RawData[[Date ]],A48))</f>
        <v/>
      </c>
      <c r="C48" s="9" t="str">
        <f>IF(A48="","",COUNTIFS(RawData[[Date ]],A48,RawData[[Error Type ]],"Short"))</f>
        <v/>
      </c>
      <c r="D48" s="9" t="str">
        <f>IF(A48="","",COUNTIFS(RawData[[Date ]],A48,RawData[[Error Type ]],"Excess"))</f>
        <v/>
      </c>
      <c r="E48" s="9" t="str">
        <f>IF(A48="","",SUMIFS(RawData[Qyt Affected ( EA ) ],RawData[[Date ]],A48))</f>
        <v/>
      </c>
      <c r="M48" s="7">
        <v>46249</v>
      </c>
    </row>
    <row r="49" spans="1:13" ht="15.75" x14ac:dyDescent="0.25">
      <c r="A49" s="10"/>
      <c r="B49" s="9" t="str">
        <f>IF(A49="","",COUNTIFS(RawData[[Date ]],A49))</f>
        <v/>
      </c>
      <c r="C49" s="9" t="str">
        <f>IF(A49="","",COUNTIFS(RawData[[Date ]],A49,RawData[[Error Type ]],"Short"))</f>
        <v/>
      </c>
      <c r="D49" s="9" t="str">
        <f>IF(A49="","",COUNTIFS(RawData[[Date ]],A49,RawData[[Error Type ]],"Excess"))</f>
        <v/>
      </c>
      <c r="E49" s="9" t="str">
        <f>IF(A49="","",SUMIFS(RawData[Qyt Affected ( EA ) ],RawData[[Date ]],A49))</f>
        <v/>
      </c>
      <c r="M49" s="7">
        <v>46249</v>
      </c>
    </row>
    <row r="50" spans="1:13" ht="15.75" x14ac:dyDescent="0.25">
      <c r="A50" s="10"/>
      <c r="B50" s="9" t="str">
        <f>IF(A50="","",COUNTIFS(RawData[[Date ]],A50))</f>
        <v/>
      </c>
      <c r="C50" s="9" t="str">
        <f>IF(A50="","",COUNTIFS(RawData[[Date ]],A50,RawData[[Error Type ]],"Short"))</f>
        <v/>
      </c>
      <c r="D50" s="9" t="str">
        <f>IF(A50="","",COUNTIFS(RawData[[Date ]],A50,RawData[[Error Type ]],"Excess"))</f>
        <v/>
      </c>
      <c r="E50" s="9" t="str">
        <f>IF(A50="","",SUMIFS(RawData[Qyt Affected ( EA ) ],RawData[[Date ]],A50))</f>
        <v/>
      </c>
      <c r="M50" s="7">
        <v>46250</v>
      </c>
    </row>
    <row r="51" spans="1:13" ht="15.75" x14ac:dyDescent="0.25">
      <c r="A51" s="10"/>
      <c r="B51" s="9" t="str">
        <f>IF(A51="","",COUNTIFS(RawData[[Date ]],A51))</f>
        <v/>
      </c>
      <c r="C51" s="9" t="str">
        <f>IF(A51="","",COUNTIFS(RawData[[Date ]],A51,RawData[[Error Type ]],"Short"))</f>
        <v/>
      </c>
      <c r="D51" s="9" t="str">
        <f>IF(A51="","",COUNTIFS(RawData[[Date ]],A51,RawData[[Error Type ]],"Excess"))</f>
        <v/>
      </c>
      <c r="E51" s="9" t="str">
        <f>IF(A51="","",SUMIFS(RawData[Qyt Affected ( EA ) ],RawData[[Date ]],A51))</f>
        <v/>
      </c>
      <c r="M51" s="7">
        <v>46250</v>
      </c>
    </row>
    <row r="52" spans="1:13" ht="15.75" x14ac:dyDescent="0.25">
      <c r="A52" s="10"/>
      <c r="B52" s="9" t="str">
        <f>IF(A52="","",COUNTIFS(RawData[[Date ]],A52))</f>
        <v/>
      </c>
      <c r="C52" s="9" t="str">
        <f>IF(A52="","",COUNTIFS(RawData[[Date ]],A52,RawData[[Error Type ]],"Short"))</f>
        <v/>
      </c>
      <c r="D52" s="9" t="str">
        <f>IF(A52="","",COUNTIFS(RawData[[Date ]],A52,RawData[[Error Type ]],"Excess"))</f>
        <v/>
      </c>
      <c r="E52" s="9" t="str">
        <f>IF(A52="","",SUMIFS(RawData[Qyt Affected ( EA ) ],RawData[[Date ]],A52))</f>
        <v/>
      </c>
      <c r="M52" s="7">
        <v>46250</v>
      </c>
    </row>
    <row r="53" spans="1:13" ht="15.75" x14ac:dyDescent="0.25">
      <c r="A53" s="10"/>
      <c r="B53" s="9" t="str">
        <f>IF(A53="","",COUNTIFS(RawData[[Date ]],A53))</f>
        <v/>
      </c>
      <c r="C53" s="9" t="str">
        <f>IF(A53="","",COUNTIFS(RawData[[Date ]],A53,RawData[[Error Type ]],"Short"))</f>
        <v/>
      </c>
      <c r="D53" s="9" t="str">
        <f>IF(A53="","",COUNTIFS(RawData[[Date ]],A53,RawData[[Error Type ]],"Excess"))</f>
        <v/>
      </c>
      <c r="E53" s="9" t="str">
        <f>IF(A53="","",SUMIFS(RawData[Qyt Affected ( EA ) ],RawData[[Date ]],A53))</f>
        <v/>
      </c>
      <c r="M53" s="7">
        <v>46250</v>
      </c>
    </row>
    <row r="54" spans="1:13" ht="15.75" x14ac:dyDescent="0.25">
      <c r="A54" s="10"/>
      <c r="B54" s="9" t="str">
        <f>IF(A54="","",COUNTIFS(RawData[[Date ]],A54))</f>
        <v/>
      </c>
      <c r="C54" s="9" t="str">
        <f>IF(A54="","",COUNTIFS(RawData[[Date ]],A54,RawData[[Error Type ]],"Short"))</f>
        <v/>
      </c>
      <c r="D54" s="9" t="str">
        <f>IF(A54="","",COUNTIFS(RawData[[Date ]],A54,RawData[[Error Type ]],"Excess"))</f>
        <v/>
      </c>
      <c r="E54" s="9" t="str">
        <f>IF(A54="","",SUMIFS(RawData[Qyt Affected ( EA ) ],RawData[[Date ]],A54))</f>
        <v/>
      </c>
      <c r="M54" s="7">
        <v>46252</v>
      </c>
    </row>
    <row r="55" spans="1:13" ht="15.75" x14ac:dyDescent="0.25">
      <c r="A55" s="10"/>
      <c r="B55" s="9" t="str">
        <f>IF(A55="","",COUNTIFS(RawData[[Date ]],A55))</f>
        <v/>
      </c>
      <c r="C55" s="9" t="str">
        <f>IF(A55="","",COUNTIFS(RawData[[Date ]],A55,RawData[[Error Type ]],"Short"))</f>
        <v/>
      </c>
      <c r="D55" s="9" t="str">
        <f>IF(A55="","",COUNTIFS(RawData[[Date ]],A55,RawData[[Error Type ]],"Excess"))</f>
        <v/>
      </c>
      <c r="E55" s="9" t="str">
        <f>IF(A55="","",SUMIFS(RawData[Qyt Affected ( EA ) ],RawData[[Date ]],A55))</f>
        <v/>
      </c>
      <c r="M55" s="7">
        <v>46252</v>
      </c>
    </row>
    <row r="56" spans="1:13" ht="15.75" x14ac:dyDescent="0.25">
      <c r="A56" s="10"/>
      <c r="B56" s="9" t="str">
        <f>IF(A56="","",COUNTIFS(RawData[[Date ]],A56))</f>
        <v/>
      </c>
      <c r="C56" s="9" t="str">
        <f>IF(A56="","",COUNTIFS(RawData[[Date ]],A56,RawData[[Error Type ]],"Short"))</f>
        <v/>
      </c>
      <c r="D56" s="9" t="str">
        <f>IF(A56="","",COUNTIFS(RawData[[Date ]],A56,RawData[[Error Type ]],"Excess"))</f>
        <v/>
      </c>
      <c r="E56" s="9" t="str">
        <f>IF(A56="","",SUMIFS(RawData[Qyt Affected ( EA ) ],RawData[[Date ]],A56))</f>
        <v/>
      </c>
      <c r="M56" s="7">
        <v>46252</v>
      </c>
    </row>
    <row r="57" spans="1:13" ht="15.75" x14ac:dyDescent="0.25">
      <c r="A57" s="10"/>
      <c r="B57" s="9" t="str">
        <f>IF(A57="","",COUNTIFS(RawData[[Date ]],A57))</f>
        <v/>
      </c>
      <c r="C57" s="9" t="str">
        <f>IF(A57="","",COUNTIFS(RawData[[Date ]],A57,RawData[[Error Type ]],"Short"))</f>
        <v/>
      </c>
      <c r="D57" s="9" t="str">
        <f>IF(A57="","",COUNTIFS(RawData[[Date ]],A57,RawData[[Error Type ]],"Excess"))</f>
        <v/>
      </c>
      <c r="E57" s="9" t="str">
        <f>IF(A57="","",SUMIFS(RawData[Qyt Affected ( EA ) ],RawData[[Date ]],A57))</f>
        <v/>
      </c>
      <c r="M57" s="7">
        <v>46253</v>
      </c>
    </row>
    <row r="58" spans="1:13" ht="15.75" x14ac:dyDescent="0.25">
      <c r="A58" s="10"/>
      <c r="B58" s="9" t="str">
        <f>IF(A58="","",COUNTIFS(RawData[[Date ]],A58))</f>
        <v/>
      </c>
      <c r="C58" s="9" t="str">
        <f>IF(A58="","",COUNTIFS(RawData[[Date ]],A58,RawData[[Error Type ]],"Short"))</f>
        <v/>
      </c>
      <c r="D58" s="9" t="str">
        <f>IF(A58="","",COUNTIFS(RawData[[Date ]],A58,RawData[[Error Type ]],"Excess"))</f>
        <v/>
      </c>
      <c r="E58" s="9" t="str">
        <f>IF(A58="","",SUMIFS(RawData[Qyt Affected ( EA ) ],RawData[[Date ]],A58))</f>
        <v/>
      </c>
      <c r="M58" s="7">
        <v>46253</v>
      </c>
    </row>
    <row r="59" spans="1:13" ht="15.75" x14ac:dyDescent="0.25">
      <c r="A59" s="10"/>
      <c r="B59" s="9" t="str">
        <f>IF(A59="","",COUNTIFS(RawData[[Date ]],A59))</f>
        <v/>
      </c>
      <c r="C59" s="9" t="str">
        <f>IF(A59="","",COUNTIFS(RawData[[Date ]],A59,RawData[[Error Type ]],"Short"))</f>
        <v/>
      </c>
      <c r="D59" s="9" t="str">
        <f>IF(A59="","",COUNTIFS(RawData[[Date ]],A59,RawData[[Error Type ]],"Excess"))</f>
        <v/>
      </c>
      <c r="E59" s="9" t="str">
        <f>IF(A59="","",SUMIFS(RawData[Qyt Affected ( EA ) ],RawData[[Date ]],A59))</f>
        <v/>
      </c>
      <c r="M59" s="7">
        <v>46253</v>
      </c>
    </row>
    <row r="60" spans="1:13" ht="15.75" x14ac:dyDescent="0.25">
      <c r="A60" s="10"/>
      <c r="B60" s="9" t="str">
        <f>IF(A60="","",COUNTIFS(RawData[[Date ]],A60))</f>
        <v/>
      </c>
      <c r="C60" s="9" t="str">
        <f>IF(A60="","",COUNTIFS(RawData[[Date ]],A60,RawData[[Error Type ]],"Short"))</f>
        <v/>
      </c>
      <c r="D60" s="9" t="str">
        <f>IF(A60="","",COUNTIFS(RawData[[Date ]],A60,RawData[[Error Type ]],"Excess"))</f>
        <v/>
      </c>
      <c r="E60" s="9" t="str">
        <f>IF(A60="","",SUMIFS(RawData[Qyt Affected ( EA ) ],RawData[[Date ]],A60))</f>
        <v/>
      </c>
      <c r="M60" s="7">
        <v>46254</v>
      </c>
    </row>
    <row r="61" spans="1:13" ht="15.75" x14ac:dyDescent="0.25">
      <c r="A61" s="10"/>
      <c r="B61" s="9" t="str">
        <f>IF(A61="","",COUNTIFS(RawData[[Date ]],A61))</f>
        <v/>
      </c>
      <c r="C61" s="9" t="str">
        <f>IF(A61="","",COUNTIFS(RawData[[Date ]],A61,RawData[[Error Type ]],"Short"))</f>
        <v/>
      </c>
      <c r="D61" s="9" t="str">
        <f>IF(A61="","",COUNTIFS(RawData[[Date ]],A61,RawData[[Error Type ]],"Excess"))</f>
        <v/>
      </c>
      <c r="E61" s="9" t="str">
        <f>IF(A61="","",SUMIFS(RawData[Qyt Affected ( EA ) ],RawData[[Date ]],A61))</f>
        <v/>
      </c>
      <c r="M61" s="7">
        <v>46254</v>
      </c>
    </row>
    <row r="62" spans="1:13" ht="15.75" x14ac:dyDescent="0.25">
      <c r="A62" s="10"/>
      <c r="B62" s="9" t="str">
        <f>IF(A62="","",COUNTIFS(RawData[[Date ]],A62))</f>
        <v/>
      </c>
      <c r="C62" s="9" t="str">
        <f>IF(A62="","",COUNTIFS(RawData[[Date ]],A62,RawData[[Error Type ]],"Short"))</f>
        <v/>
      </c>
      <c r="D62" s="9" t="str">
        <f>IF(A62="","",COUNTIFS(RawData[[Date ]],A62,RawData[[Error Type ]],"Excess"))</f>
        <v/>
      </c>
      <c r="E62" s="9" t="str">
        <f>IF(A62="","",SUMIFS(RawData[Qyt Affected ( EA ) ],RawData[[Date ]],A62))</f>
        <v/>
      </c>
      <c r="M62" s="7">
        <v>46254</v>
      </c>
    </row>
    <row r="63" spans="1:13" ht="15.75" x14ac:dyDescent="0.25">
      <c r="A63" s="10"/>
      <c r="B63" s="9" t="str">
        <f>IF(A63="","",COUNTIFS(RawData[[Date ]],A63))</f>
        <v/>
      </c>
      <c r="C63" s="9" t="str">
        <f>IF(A63="","",COUNTIFS(RawData[[Date ]],A63,RawData[[Error Type ]],"Short"))</f>
        <v/>
      </c>
      <c r="D63" s="9" t="str">
        <f>IF(A63="","",COUNTIFS(RawData[[Date ]],A63,RawData[[Error Type ]],"Excess"))</f>
        <v/>
      </c>
      <c r="E63" s="9" t="str">
        <f>IF(A63="","",SUMIFS(RawData[Qyt Affected ( EA ) ],RawData[[Date ]],A63))</f>
        <v/>
      </c>
      <c r="M63" s="7">
        <v>46255</v>
      </c>
    </row>
    <row r="64" spans="1:13" ht="15.75" x14ac:dyDescent="0.25">
      <c r="A64" s="10"/>
      <c r="B64" s="9" t="str">
        <f>IF(A64="","",COUNTIFS(RawData[[Date ]],A64))</f>
        <v/>
      </c>
      <c r="C64" s="9" t="str">
        <f>IF(A64="","",COUNTIFS(RawData[[Date ]],A64,RawData[[Error Type ]],"Short"))</f>
        <v/>
      </c>
      <c r="D64" s="9" t="str">
        <f>IF(A64="","",COUNTIFS(RawData[[Date ]],A64,RawData[[Error Type ]],"Excess"))</f>
        <v/>
      </c>
      <c r="E64" s="9" t="str">
        <f>IF(A64="","",SUMIFS(RawData[Qyt Affected ( EA ) ],RawData[[Date ]],A64))</f>
        <v/>
      </c>
      <c r="M64" s="7">
        <v>46255</v>
      </c>
    </row>
    <row r="65" spans="1:13" ht="15.75" x14ac:dyDescent="0.25">
      <c r="A65" s="10"/>
      <c r="B65" s="9" t="str">
        <f>IF(A65="","",COUNTIFS(RawData[[Date ]],A65))</f>
        <v/>
      </c>
      <c r="C65" s="9" t="str">
        <f>IF(A65="","",COUNTIFS(RawData[[Date ]],A65,RawData[[Error Type ]],"Short"))</f>
        <v/>
      </c>
      <c r="D65" s="9" t="str">
        <f>IF(A65="","",COUNTIFS(RawData[[Date ]],A65,RawData[[Error Type ]],"Excess"))</f>
        <v/>
      </c>
      <c r="E65" s="9" t="str">
        <f>IF(A65="","",SUMIFS(RawData[Qyt Affected ( EA ) ],RawData[[Date ]],A65))</f>
        <v/>
      </c>
      <c r="M65" s="7">
        <v>46256</v>
      </c>
    </row>
    <row r="66" spans="1:13" ht="15.75" x14ac:dyDescent="0.25">
      <c r="A66" s="10"/>
      <c r="B66" s="9" t="str">
        <f>IF(A66="","",COUNTIFS(RawData[[Date ]],A66))</f>
        <v/>
      </c>
      <c r="C66" s="9" t="str">
        <f>IF(A66="","",COUNTIFS(RawData[[Date ]],A66,RawData[[Error Type ]],"Short"))</f>
        <v/>
      </c>
      <c r="D66" s="9" t="str">
        <f>IF(A66="","",COUNTIFS(RawData[[Date ]],A66,RawData[[Error Type ]],"Excess"))</f>
        <v/>
      </c>
      <c r="E66" s="9" t="str">
        <f>IF(A66="","",SUMIFS(RawData[Qyt Affected ( EA ) ],RawData[[Date ]],A66))</f>
        <v/>
      </c>
      <c r="M66" s="7">
        <v>46256</v>
      </c>
    </row>
    <row r="67" spans="1:13" ht="15.75" x14ac:dyDescent="0.25">
      <c r="A67" s="10"/>
      <c r="B67" s="9" t="str">
        <f>IF(A67="","",COUNTIFS(RawData[[Date ]],A67))</f>
        <v/>
      </c>
      <c r="C67" s="9" t="str">
        <f>IF(A67="","",COUNTIFS(RawData[[Date ]],A67,RawData[[Error Type ]],"Short"))</f>
        <v/>
      </c>
      <c r="D67" s="9" t="str">
        <f>IF(A67="","",COUNTIFS(RawData[[Date ]],A67,RawData[[Error Type ]],"Excess"))</f>
        <v/>
      </c>
      <c r="E67" s="9" t="str">
        <f>IF(A67="","",SUMIFS(RawData[Qyt Affected ( EA ) ],RawData[[Date ]],A67))</f>
        <v/>
      </c>
      <c r="M67" s="7">
        <v>46256</v>
      </c>
    </row>
    <row r="68" spans="1:13" ht="15.75" x14ac:dyDescent="0.25">
      <c r="A68" s="10"/>
      <c r="B68" s="9" t="str">
        <f>IF(A68="","",COUNTIFS(RawData[[Date ]],A68))</f>
        <v/>
      </c>
      <c r="C68" s="9" t="str">
        <f>IF(A68="","",COUNTIFS(RawData[[Date ]],A68,RawData[[Error Type ]],"Short"))</f>
        <v/>
      </c>
      <c r="D68" s="9" t="str">
        <f>IF(A68="","",COUNTIFS(RawData[[Date ]],A68,RawData[[Error Type ]],"Excess"))</f>
        <v/>
      </c>
      <c r="E68" s="9" t="str">
        <f>IF(A68="","",SUMIFS(RawData[Qyt Affected ( EA ) ],RawData[[Date ]],A68))</f>
        <v/>
      </c>
      <c r="M68" s="7">
        <v>46257</v>
      </c>
    </row>
    <row r="69" spans="1:13" ht="15.75" x14ac:dyDescent="0.25">
      <c r="A69" s="10"/>
      <c r="B69" s="9" t="str">
        <f>IF(A69="","",COUNTIFS(RawData[[Date ]],A69))</f>
        <v/>
      </c>
      <c r="C69" s="9" t="str">
        <f>IF(A69="","",COUNTIFS(RawData[[Date ]],A69,RawData[[Error Type ]],"Short"))</f>
        <v/>
      </c>
      <c r="D69" s="9" t="str">
        <f>IF(A69="","",COUNTIFS(RawData[[Date ]],A69,RawData[[Error Type ]],"Excess"))</f>
        <v/>
      </c>
      <c r="E69" s="9" t="str">
        <f>IF(A69="","",SUMIFS(RawData[Qyt Affected ( EA ) ],RawData[[Date ]],A69))</f>
        <v/>
      </c>
      <c r="M69" s="7">
        <v>46257</v>
      </c>
    </row>
    <row r="70" spans="1:13" ht="15.75" x14ac:dyDescent="0.25">
      <c r="A70" s="10"/>
      <c r="B70" s="9" t="str">
        <f>IF(A70="","",COUNTIFS(RawData[[Date ]],A70))</f>
        <v/>
      </c>
      <c r="C70" s="9" t="str">
        <f>IF(A70="","",COUNTIFS(RawData[[Date ]],A70,RawData[[Error Type ]],"Short"))</f>
        <v/>
      </c>
      <c r="D70" s="9" t="str">
        <f>IF(A70="","",COUNTIFS(RawData[[Date ]],A70,RawData[[Error Type ]],"Excess"))</f>
        <v/>
      </c>
      <c r="E70" s="9" t="str">
        <f>IF(A70="","",SUMIFS(RawData[Qyt Affected ( EA ) ],RawData[[Date ]],A70))</f>
        <v/>
      </c>
      <c r="M70" s="7">
        <v>46257</v>
      </c>
    </row>
    <row r="71" spans="1:13" ht="15.75" x14ac:dyDescent="0.25">
      <c r="A71" s="10"/>
      <c r="B71" s="9" t="str">
        <f>IF(A71="","",COUNTIFS(RawData[[Date ]],A71))</f>
        <v/>
      </c>
      <c r="C71" s="9" t="str">
        <f>IF(A71="","",COUNTIFS(RawData[[Date ]],A71,RawData[[Error Type ]],"Short"))</f>
        <v/>
      </c>
      <c r="D71" s="9" t="str">
        <f>IF(A71="","",COUNTIFS(RawData[[Date ]],A71,RawData[[Error Type ]],"Excess"))</f>
        <v/>
      </c>
      <c r="E71" s="9" t="str">
        <f>IF(A71="","",SUMIFS(RawData[Qyt Affected ( EA ) ],RawData[[Date ]],A71))</f>
        <v/>
      </c>
      <c r="M71" s="7">
        <v>46257</v>
      </c>
    </row>
    <row r="72" spans="1:13" ht="15.75" x14ac:dyDescent="0.25">
      <c r="A72" s="10"/>
      <c r="B72" s="9" t="str">
        <f>IF(A72="","",COUNTIFS(RawData[[Date ]],A72))</f>
        <v/>
      </c>
      <c r="C72" s="9" t="str">
        <f>IF(A72="","",COUNTIFS(RawData[[Date ]],A72,RawData[[Error Type ]],"Short"))</f>
        <v/>
      </c>
      <c r="D72" s="9" t="str">
        <f>IF(A72="","",COUNTIFS(RawData[[Date ]],A72,RawData[[Error Type ]],"Excess"))</f>
        <v/>
      </c>
      <c r="E72" s="9" t="str">
        <f>IF(A72="","",SUMIFS(RawData[Qyt Affected ( EA ) ],RawData[[Date ]],A72))</f>
        <v/>
      </c>
    </row>
    <row r="73" spans="1:13" ht="15.75" x14ac:dyDescent="0.25">
      <c r="A73" s="10"/>
      <c r="B73" s="9" t="str">
        <f>IF(A73="","",COUNTIFS(RawData[[Date ]],A73))</f>
        <v/>
      </c>
      <c r="C73" s="9" t="str">
        <f>IF(A73="","",COUNTIFS(RawData[[Date ]],A73,RawData[[Error Type ]],"Short"))</f>
        <v/>
      </c>
      <c r="D73" s="9" t="str">
        <f>IF(A73="","",COUNTIFS(RawData[[Date ]],A73,RawData[[Error Type ]],"Excess"))</f>
        <v/>
      </c>
      <c r="E73" s="9" t="str">
        <f>IF(A73="","",SUMIFS(RawData[Qyt Affected ( EA ) ],RawData[[Date ]],A73))</f>
        <v/>
      </c>
    </row>
    <row r="74" spans="1:13" ht="15.75" x14ac:dyDescent="0.25">
      <c r="A74" s="10"/>
      <c r="B74" s="9" t="str">
        <f>IF(A74="","",COUNTIFS(RawData[[Date ]],A74))</f>
        <v/>
      </c>
      <c r="C74" s="9" t="str">
        <f>IF(A74="","",COUNTIFS(RawData[[Date ]],A74,RawData[[Error Type ]],"Short"))</f>
        <v/>
      </c>
      <c r="D74" s="9" t="str">
        <f>IF(A74="","",COUNTIFS(RawData[[Date ]],A74,RawData[[Error Type ]],"Excess"))</f>
        <v/>
      </c>
      <c r="E74" s="9" t="str">
        <f>IF(A74="","",SUMIFS(RawData[Qyt Affected ( EA ) ],RawData[[Date ]],A74))</f>
        <v/>
      </c>
    </row>
    <row r="75" spans="1:13" ht="15.75" x14ac:dyDescent="0.25">
      <c r="A75" s="10"/>
      <c r="B75" s="9" t="str">
        <f>IF(A75="","",COUNTIFS(RawData[[Date ]],A75))</f>
        <v/>
      </c>
      <c r="C75" s="9" t="str">
        <f>IF(A75="","",COUNTIFS(RawData[[Date ]],A75,RawData[[Error Type ]],"Short"))</f>
        <v/>
      </c>
      <c r="D75" s="9" t="str">
        <f>IF(A75="","",COUNTIFS(RawData[[Date ]],A75,RawData[[Error Type ]],"Excess"))</f>
        <v/>
      </c>
      <c r="E75" s="9" t="str">
        <f>IF(A75="","",SUMIFS(RawData[Qyt Affected ( EA ) ],RawData[[Date ]],A75))</f>
        <v/>
      </c>
    </row>
    <row r="76" spans="1:13" ht="15.75" x14ac:dyDescent="0.25">
      <c r="A76" s="10"/>
      <c r="B76" s="9" t="str">
        <f>IF(A76="","",COUNTIFS(RawData[[Date ]],A76))</f>
        <v/>
      </c>
      <c r="C76" s="9" t="str">
        <f>IF(A76="","",COUNTIFS(RawData[[Date ]],A76,RawData[[Error Type ]],"Short"))</f>
        <v/>
      </c>
      <c r="D76" s="9" t="str">
        <f>IF(A76="","",COUNTIFS(RawData[[Date ]],A76,RawData[[Error Type ]],"Excess"))</f>
        <v/>
      </c>
      <c r="E76" s="9" t="str">
        <f>IF(A76="","",SUMIFS(RawData[Qyt Affected ( EA ) ],RawData[[Date ]],A76))</f>
        <v/>
      </c>
    </row>
    <row r="77" spans="1:13" ht="15.75" x14ac:dyDescent="0.25">
      <c r="A77" s="10"/>
      <c r="B77" s="9" t="str">
        <f>IF(A77="","",COUNTIFS(RawData[[Date ]],A77))</f>
        <v/>
      </c>
      <c r="C77" s="9" t="str">
        <f>IF(A77="","",COUNTIFS(RawData[[Date ]],A77,RawData[[Error Type ]],"Short"))</f>
        <v/>
      </c>
      <c r="D77" s="9" t="str">
        <f>IF(A77="","",COUNTIFS(RawData[[Date ]],A77,RawData[[Error Type ]],"Excess"))</f>
        <v/>
      </c>
      <c r="E77" s="9" t="str">
        <f>IF(A77="","",SUMIFS(RawData[Qyt Affected ( EA ) ],RawData[[Date ]],A77))</f>
        <v/>
      </c>
    </row>
    <row r="78" spans="1:13" ht="15.75" x14ac:dyDescent="0.25">
      <c r="A78" s="10"/>
      <c r="B78" s="9" t="str">
        <f>IF(A78="","",COUNTIFS(RawData[[Date ]],A78))</f>
        <v/>
      </c>
      <c r="C78" s="9" t="str">
        <f>IF(A78="","",COUNTIFS(RawData[[Date ]],A78,RawData[[Error Type ]],"Short"))</f>
        <v/>
      </c>
      <c r="D78" s="9" t="str">
        <f>IF(A78="","",COUNTIFS(RawData[[Date ]],A78,RawData[[Error Type ]],"Excess"))</f>
        <v/>
      </c>
      <c r="E78" s="9" t="str">
        <f>IF(A78="","",SUMIFS(RawData[Qyt Affected ( EA ) ],RawData[[Date ]],A78))</f>
        <v/>
      </c>
    </row>
    <row r="79" spans="1:13" ht="15.75" x14ac:dyDescent="0.25">
      <c r="A79" s="10"/>
      <c r="B79" s="9" t="str">
        <f>IF(A79="","",COUNTIFS(RawData[[Date ]],A79))</f>
        <v/>
      </c>
      <c r="C79" s="9" t="str">
        <f>IF(A79="","",COUNTIFS(RawData[[Date ]],A79,RawData[[Error Type ]],"Short"))</f>
        <v/>
      </c>
      <c r="D79" s="9" t="str">
        <f>IF(A79="","",COUNTIFS(RawData[[Date ]],A79,RawData[[Error Type ]],"Excess"))</f>
        <v/>
      </c>
      <c r="E79" s="9" t="str">
        <f>IF(A79="","",SUMIFS(RawData[Qyt Affected ( EA ) ],RawData[[Date ]],A79))</f>
        <v/>
      </c>
    </row>
    <row r="80" spans="1:13" ht="15.75" x14ac:dyDescent="0.25">
      <c r="A80" s="10"/>
      <c r="B80" s="9" t="str">
        <f>IF(A80="","",COUNTIFS(RawData[[Date ]],A80))</f>
        <v/>
      </c>
      <c r="C80" s="9" t="str">
        <f>IF(A80="","",COUNTIFS(RawData[[Date ]],A80,RawData[[Error Type ]],"Short"))</f>
        <v/>
      </c>
      <c r="D80" s="9" t="str">
        <f>IF(A80="","",COUNTIFS(RawData[[Date ]],A80,RawData[[Error Type ]],"Excess"))</f>
        <v/>
      </c>
      <c r="E80" s="9" t="str">
        <f>IF(A80="","",SUMIFS(RawData[Qyt Affected ( EA ) ],RawData[[Date ]],A80))</f>
        <v/>
      </c>
    </row>
    <row r="81" spans="1:5" ht="15.75" x14ac:dyDescent="0.25">
      <c r="A81" s="10"/>
      <c r="B81" s="9" t="str">
        <f>IF(A81="","",COUNTIFS(RawData[[Date ]],A81))</f>
        <v/>
      </c>
      <c r="C81" s="9" t="str">
        <f>IF(A81="","",COUNTIFS(RawData[[Date ]],A81,RawData[[Error Type ]],"Short"))</f>
        <v/>
      </c>
      <c r="D81" s="9" t="str">
        <f>IF(A81="","",COUNTIFS(RawData[[Date ]],A81,RawData[[Error Type ]],"Excess"))</f>
        <v/>
      </c>
      <c r="E81" s="9" t="str">
        <f>IF(A81="","",SUMIFS(RawData[Qyt Affected ( EA ) ],RawData[[Date ]],A81))</f>
        <v/>
      </c>
    </row>
    <row r="82" spans="1:5" ht="15.75" x14ac:dyDescent="0.25">
      <c r="A82" s="10"/>
      <c r="B82" s="9" t="str">
        <f>IF(A82="","",COUNTIFS(RawData[[Date ]],A82))</f>
        <v/>
      </c>
      <c r="C82" s="9" t="str">
        <f>IF(A82="","",COUNTIFS(RawData[[Date ]],A82,RawData[[Error Type ]],"Short"))</f>
        <v/>
      </c>
      <c r="D82" s="9" t="str">
        <f>IF(A82="","",COUNTIFS(RawData[[Date ]],A82,RawData[[Error Type ]],"Excess"))</f>
        <v/>
      </c>
      <c r="E82" s="9" t="str">
        <f>IF(A82="","",SUMIFS(RawData[Qyt Affected ( EA ) ],RawData[[Date ]],A82))</f>
        <v/>
      </c>
    </row>
    <row r="83" spans="1:5" ht="15.75" x14ac:dyDescent="0.25">
      <c r="A83" s="10"/>
      <c r="B83" s="9" t="str">
        <f>IF(A83="","",COUNTIFS(RawData[[Date ]],A83))</f>
        <v/>
      </c>
      <c r="C83" s="9" t="str">
        <f>IF(A83="","",COUNTIFS(RawData[[Date ]],A83,RawData[[Error Type ]],"Short"))</f>
        <v/>
      </c>
      <c r="D83" s="9" t="str">
        <f>IF(A83="","",COUNTIFS(RawData[[Date ]],A83,RawData[[Error Type ]],"Excess"))</f>
        <v/>
      </c>
      <c r="E83" s="9" t="str">
        <f>IF(A83="","",SUMIFS(RawData[Qyt Affected ( EA ) ],RawData[[Date ]],A83))</f>
        <v/>
      </c>
    </row>
    <row r="84" spans="1:5" ht="15.75" x14ac:dyDescent="0.25">
      <c r="A84" s="10"/>
      <c r="B84" s="9" t="str">
        <f>IF(A84="","",COUNTIFS(RawData[[Date ]],A84))</f>
        <v/>
      </c>
      <c r="C84" s="9" t="str">
        <f>IF(A84="","",COUNTIFS(RawData[[Date ]],A84,RawData[[Error Type ]],"Short"))</f>
        <v/>
      </c>
      <c r="D84" s="9" t="str">
        <f>IF(A84="","",COUNTIFS(RawData[[Date ]],A84,RawData[[Error Type ]],"Excess"))</f>
        <v/>
      </c>
      <c r="E84" s="9" t="str">
        <f>IF(A84="","",SUMIFS(RawData[Qyt Affected ( EA ) ],RawData[[Date ]],A84))</f>
        <v/>
      </c>
    </row>
    <row r="85" spans="1:5" ht="15.75" x14ac:dyDescent="0.25">
      <c r="A85" s="10"/>
      <c r="B85" s="9" t="str">
        <f>IF(A85="","",COUNTIFS(RawData[[Date ]],A85))</f>
        <v/>
      </c>
      <c r="C85" s="9" t="str">
        <f>IF(A85="","",COUNTIFS(RawData[[Date ]],A85,RawData[[Error Type ]],"Short"))</f>
        <v/>
      </c>
      <c r="D85" s="9" t="str">
        <f>IF(A85="","",COUNTIFS(RawData[[Date ]],A85,RawData[[Error Type ]],"Excess"))</f>
        <v/>
      </c>
      <c r="E85" s="9" t="str">
        <f>IF(A85="","",SUMIFS(RawData[Qyt Affected ( EA ) ],RawData[[Date ]],A85))</f>
        <v/>
      </c>
    </row>
    <row r="86" spans="1:5" ht="15.75" x14ac:dyDescent="0.25">
      <c r="A86" s="10"/>
      <c r="B86" s="9" t="str">
        <f>IF(A86="","",COUNTIFS(RawData[[Date ]],A86))</f>
        <v/>
      </c>
      <c r="C86" s="9" t="str">
        <f>IF(A86="","",COUNTIFS(RawData[[Date ]],A86,RawData[[Error Type ]],"Short"))</f>
        <v/>
      </c>
      <c r="D86" s="9" t="str">
        <f>IF(A86="","",COUNTIFS(RawData[[Date ]],A86,RawData[[Error Type ]],"Excess"))</f>
        <v/>
      </c>
      <c r="E86" s="9" t="str">
        <f>IF(A86="","",SUMIFS(RawData[Qyt Affected ( EA ) ],RawData[[Date ]],A86))</f>
        <v/>
      </c>
    </row>
    <row r="87" spans="1:5" ht="15.75" x14ac:dyDescent="0.25">
      <c r="A87" s="10"/>
      <c r="B87" s="9" t="str">
        <f>IF(A87="","",COUNTIFS(RawData[[Date ]],A87))</f>
        <v/>
      </c>
      <c r="C87" s="9" t="str">
        <f>IF(A87="","",COUNTIFS(RawData[[Date ]],A87,RawData[[Error Type ]],"Short"))</f>
        <v/>
      </c>
      <c r="D87" s="9" t="str">
        <f>IF(A87="","",COUNTIFS(RawData[[Date ]],A87,RawData[[Error Type ]],"Excess"))</f>
        <v/>
      </c>
      <c r="E87" s="9" t="str">
        <f>IF(A87="","",SUMIFS(RawData[Qyt Affected ( EA ) ],RawData[[Date ]],A87))</f>
        <v/>
      </c>
    </row>
    <row r="88" spans="1:5" ht="15.75" x14ac:dyDescent="0.25">
      <c r="A88" s="10"/>
      <c r="B88" s="9" t="str">
        <f>IF(A88="","",COUNTIFS(RawData[[Date ]],A88))</f>
        <v/>
      </c>
      <c r="C88" s="9" t="str">
        <f>IF(A88="","",COUNTIFS(RawData[[Date ]],A88,RawData[[Error Type ]],"Short"))</f>
        <v/>
      </c>
      <c r="D88" s="9" t="str">
        <f>IF(A88="","",COUNTIFS(RawData[[Date ]],A88,RawData[[Error Type ]],"Excess"))</f>
        <v/>
      </c>
      <c r="E88" s="9" t="str">
        <f>IF(A88="","",SUMIFS(RawData[Qyt Affected ( EA ) ],RawData[[Date ]],A88))</f>
        <v/>
      </c>
    </row>
    <row r="89" spans="1:5" ht="15.75" x14ac:dyDescent="0.25">
      <c r="A89" s="10"/>
      <c r="B89" s="9" t="str">
        <f>IF(A89="","",COUNTIFS(RawData[[Date ]],A89))</f>
        <v/>
      </c>
      <c r="C89" s="9" t="str">
        <f>IF(A89="","",COUNTIFS(RawData[[Date ]],A89,RawData[[Error Type ]],"Short"))</f>
        <v/>
      </c>
      <c r="D89" s="9" t="str">
        <f>IF(A89="","",COUNTIFS(RawData[[Date ]],A89,RawData[[Error Type ]],"Excess"))</f>
        <v/>
      </c>
      <c r="E89" s="9" t="str">
        <f>IF(A89="","",SUMIFS(RawData[Qyt Affected ( EA ) ],RawData[[Date ]],A89))</f>
        <v/>
      </c>
    </row>
    <row r="90" spans="1:5" ht="15.75" x14ac:dyDescent="0.25">
      <c r="A90" s="10"/>
      <c r="B90" s="9" t="str">
        <f>IF(A90="","",COUNTIFS(RawData[[Date ]],A90))</f>
        <v/>
      </c>
      <c r="C90" s="9" t="str">
        <f>IF(A90="","",COUNTIFS(RawData[[Date ]],A90,RawData[[Error Type ]],"Short"))</f>
        <v/>
      </c>
      <c r="D90" s="9" t="str">
        <f>IF(A90="","",COUNTIFS(RawData[[Date ]],A90,RawData[[Error Type ]],"Excess"))</f>
        <v/>
      </c>
      <c r="E90" s="9" t="str">
        <f>IF(A90="","",SUMIFS(RawData[Qyt Affected ( EA ) ],RawData[[Date ]],A90))</f>
        <v/>
      </c>
    </row>
    <row r="91" spans="1:5" ht="15.75" x14ac:dyDescent="0.25">
      <c r="A91" s="10"/>
      <c r="B91" s="9" t="str">
        <f>IF(A91="","",COUNTIFS(RawData[[Date ]],A91))</f>
        <v/>
      </c>
      <c r="C91" s="9" t="str">
        <f>IF(A91="","",COUNTIFS(RawData[[Date ]],A91,RawData[[Error Type ]],"Short"))</f>
        <v/>
      </c>
      <c r="D91" s="9" t="str">
        <f>IF(A91="","",COUNTIFS(RawData[[Date ]],A91,RawData[[Error Type ]],"Excess"))</f>
        <v/>
      </c>
      <c r="E91" s="9" t="str">
        <f>IF(A91="","",SUMIFS(RawData[Qyt Affected ( EA ) ],RawData[[Date ]],A91))</f>
        <v/>
      </c>
    </row>
    <row r="92" spans="1:5" ht="15.75" x14ac:dyDescent="0.25">
      <c r="A92" s="10"/>
      <c r="B92" s="9" t="str">
        <f>IF(A92="","",COUNTIFS(RawData[[Date ]],A92))</f>
        <v/>
      </c>
      <c r="C92" s="9" t="str">
        <f>IF(A92="","",COUNTIFS(RawData[[Date ]],A92,RawData[[Error Type ]],"Short"))</f>
        <v/>
      </c>
      <c r="D92" s="9" t="str">
        <f>IF(A92="","",COUNTIFS(RawData[[Date ]],A92,RawData[[Error Type ]],"Excess"))</f>
        <v/>
      </c>
      <c r="E92" s="9" t="str">
        <f>IF(A92="","",SUMIFS(RawData[Qyt Affected ( EA ) ],RawData[[Date ]],A92))</f>
        <v/>
      </c>
    </row>
    <row r="93" spans="1:5" ht="15.75" x14ac:dyDescent="0.25">
      <c r="A93" s="10"/>
      <c r="B93" s="9" t="str">
        <f>IF(A93="","",COUNTIFS(RawData[[Date ]],A93))</f>
        <v/>
      </c>
      <c r="C93" s="9" t="str">
        <f>IF(A93="","",COUNTIFS(RawData[[Date ]],A93,RawData[[Error Type ]],"Short"))</f>
        <v/>
      </c>
      <c r="D93" s="9" t="str">
        <f>IF(A93="","",COUNTIFS(RawData[[Date ]],A93,RawData[[Error Type ]],"Excess"))</f>
        <v/>
      </c>
      <c r="E93" s="9" t="str">
        <f>IF(A93="","",SUMIFS(RawData[Qyt Affected ( EA ) ],RawData[[Date ]],A93))</f>
        <v/>
      </c>
    </row>
    <row r="94" spans="1:5" ht="15.75" x14ac:dyDescent="0.25">
      <c r="A94" s="10"/>
      <c r="B94" s="9" t="str">
        <f>IF(A94="","",COUNTIFS(RawData[[Date ]],A94))</f>
        <v/>
      </c>
      <c r="C94" s="9" t="str">
        <f>IF(A94="","",COUNTIFS(RawData[[Date ]],A94,RawData[[Error Type ]],"Short"))</f>
        <v/>
      </c>
      <c r="D94" s="9" t="str">
        <f>IF(A94="","",COUNTIFS(RawData[[Date ]],A94,RawData[[Error Type ]],"Excess"))</f>
        <v/>
      </c>
      <c r="E94" s="9" t="str">
        <f>IF(A94="","",SUMIFS(RawData[Qyt Affected ( EA ) ],RawData[[Date ]],A94))</f>
        <v/>
      </c>
    </row>
    <row r="95" spans="1:5" ht="15.75" x14ac:dyDescent="0.25">
      <c r="A95" s="10"/>
      <c r="B95" s="9" t="str">
        <f>IF(A95="","",COUNTIFS(RawData[[Date ]],A95))</f>
        <v/>
      </c>
      <c r="C95" s="9" t="str">
        <f>IF(A95="","",COUNTIFS(RawData[[Date ]],A95,RawData[[Error Type ]],"Short"))</f>
        <v/>
      </c>
      <c r="D95" s="9" t="str">
        <f>IF(A95="","",COUNTIFS(RawData[[Date ]],A95,RawData[[Error Type ]],"Excess"))</f>
        <v/>
      </c>
      <c r="E95" s="9" t="str">
        <f>IF(A95="","",SUMIFS(RawData[Qyt Affected ( EA ) ],RawData[[Date ]],A95))</f>
        <v/>
      </c>
    </row>
    <row r="96" spans="1:5" ht="15.75" x14ac:dyDescent="0.25">
      <c r="A96" s="10"/>
      <c r="B96" s="9" t="str">
        <f>IF(A96="","",COUNTIFS(RawData[[Date ]],A96))</f>
        <v/>
      </c>
      <c r="C96" s="9" t="str">
        <f>IF(A96="","",COUNTIFS(RawData[[Date ]],A96,RawData[[Error Type ]],"Short"))</f>
        <v/>
      </c>
      <c r="D96" s="9" t="str">
        <f>IF(A96="","",COUNTIFS(RawData[[Date ]],A96,RawData[[Error Type ]],"Excess"))</f>
        <v/>
      </c>
      <c r="E96" s="9" t="str">
        <f>IF(A96="","",SUMIFS(RawData[Qyt Affected ( EA ) ],RawData[[Date ]],A96))</f>
        <v/>
      </c>
    </row>
    <row r="97" spans="1:5" ht="15.75" x14ac:dyDescent="0.25">
      <c r="A97" s="10"/>
      <c r="B97" s="9" t="str">
        <f>IF(A97="","",COUNTIFS(RawData[[Date ]],A97))</f>
        <v/>
      </c>
      <c r="C97" s="9" t="str">
        <f>IF(A97="","",COUNTIFS(RawData[[Date ]],A97,RawData[[Error Type ]],"Short"))</f>
        <v/>
      </c>
      <c r="D97" s="9" t="str">
        <f>IF(A97="","",COUNTIFS(RawData[[Date ]],A97,RawData[[Error Type ]],"Excess"))</f>
        <v/>
      </c>
      <c r="E97" s="9" t="str">
        <f>IF(A97="","",SUMIFS(RawData[Qyt Affected ( EA ) ],RawData[[Date ]],A97))</f>
        <v/>
      </c>
    </row>
    <row r="98" spans="1:5" ht="15.75" x14ac:dyDescent="0.25">
      <c r="A98" s="10"/>
      <c r="B98" s="9" t="str">
        <f>IF(A98="","",COUNTIFS(RawData[[Date ]],A98))</f>
        <v/>
      </c>
      <c r="C98" s="9" t="str">
        <f>IF(A98="","",COUNTIFS(RawData[[Date ]],A98,RawData[[Error Type ]],"Short"))</f>
        <v/>
      </c>
      <c r="D98" s="9" t="str">
        <f>IF(A98="","",COUNTIFS(RawData[[Date ]],A98,RawData[[Error Type ]],"Excess"))</f>
        <v/>
      </c>
      <c r="E98" s="9" t="str">
        <f>IF(A98="","",SUMIFS(RawData[Qyt Affected ( EA ) ],RawData[[Date ]],A98))</f>
        <v/>
      </c>
    </row>
    <row r="99" spans="1:5" ht="15.75" x14ac:dyDescent="0.25">
      <c r="A99" s="10"/>
      <c r="B99" s="9" t="str">
        <f>IF(A99="","",COUNTIFS(RawData[[Date ]],A99))</f>
        <v/>
      </c>
      <c r="C99" s="9" t="str">
        <f>IF(A99="","",COUNTIFS(RawData[[Date ]],A99,RawData[[Error Type ]],"Short"))</f>
        <v/>
      </c>
      <c r="D99" s="9" t="str">
        <f>IF(A99="","",COUNTIFS(RawData[[Date ]],A99,RawData[[Error Type ]],"Excess"))</f>
        <v/>
      </c>
      <c r="E99" s="9" t="str">
        <f>IF(A99="","",SUMIFS(RawData[Qyt Affected ( EA ) ],RawData[[Date ]],A99))</f>
        <v/>
      </c>
    </row>
    <row r="100" spans="1:5" ht="15.75" x14ac:dyDescent="0.25">
      <c r="A100" s="10"/>
      <c r="B100" s="9" t="str">
        <f>IF(A100="","",COUNTIFS(RawData[[Date ]],A100))</f>
        <v/>
      </c>
      <c r="C100" s="9" t="str">
        <f>IF(A100="","",COUNTIFS(RawData[[Date ]],A100,RawData[[Error Type ]],"Short"))</f>
        <v/>
      </c>
      <c r="D100" s="9" t="str">
        <f>IF(A100="","",COUNTIFS(RawData[[Date ]],A100,RawData[[Error Type ]],"Excess"))</f>
        <v/>
      </c>
      <c r="E100" s="9" t="str">
        <f>IF(A100="","",SUMIFS(RawData[Qyt Affected ( EA ) ],RawData[[Date ]],A100))</f>
        <v/>
      </c>
    </row>
    <row r="101" spans="1:5" ht="15.75" x14ac:dyDescent="0.25">
      <c r="A101" s="10"/>
      <c r="B101" s="9" t="str">
        <f>IF(A101="","",COUNTIFS(RawData[[Date ]],A101))</f>
        <v/>
      </c>
      <c r="C101" s="9" t="str">
        <f>IF(A101="","",COUNTIFS(RawData[[Date ]],A101,RawData[[Error Type ]],"Short"))</f>
        <v/>
      </c>
      <c r="D101" s="9" t="str">
        <f>IF(A101="","",COUNTIFS(RawData[[Date ]],A101,RawData[[Error Type ]],"Excess"))</f>
        <v/>
      </c>
      <c r="E101" s="9" t="str">
        <f>IF(A101="","",SUMIFS(RawData[Qyt Affected ( EA ) ],RawData[[Date ]],A101))</f>
        <v/>
      </c>
    </row>
    <row r="102" spans="1:5" ht="15.75" x14ac:dyDescent="0.25">
      <c r="A102" s="10"/>
      <c r="B102" s="9" t="str">
        <f>IF(A102="","",COUNTIFS(RawData[[Date ]],A102))</f>
        <v/>
      </c>
      <c r="C102" s="9" t="str">
        <f>IF(A102="","",COUNTIFS(RawData[[Date ]],A102,RawData[[Error Type ]],"Short"))</f>
        <v/>
      </c>
      <c r="D102" s="9" t="str">
        <f>IF(A102="","",COUNTIFS(RawData[[Date ]],A102,RawData[[Error Type ]],"Excess"))</f>
        <v/>
      </c>
      <c r="E102" s="9" t="str">
        <f>IF(A102="","",SUMIFS(RawData[Qyt Affected ( EA ) ],RawData[[Date ]],A102))</f>
        <v/>
      </c>
    </row>
    <row r="103" spans="1:5" ht="15.75" x14ac:dyDescent="0.25">
      <c r="A103" s="10"/>
      <c r="B103" s="9" t="str">
        <f>IF(A103="","",COUNTIFS(RawData[[Date ]],A103))</f>
        <v/>
      </c>
      <c r="C103" s="9" t="str">
        <f>IF(A103="","",COUNTIFS(RawData[[Date ]],A103,RawData[[Error Type ]],"Short"))</f>
        <v/>
      </c>
      <c r="D103" s="9" t="str">
        <f>IF(A103="","",COUNTIFS(RawData[[Date ]],A103,RawData[[Error Type ]],"Excess"))</f>
        <v/>
      </c>
      <c r="E103" s="9" t="str">
        <f>IF(A103="","",SUMIFS(RawData[Qyt Affected ( EA ) ],RawData[[Date ]],A103))</f>
        <v/>
      </c>
    </row>
    <row r="104" spans="1:5" ht="15.75" x14ac:dyDescent="0.25">
      <c r="A104" s="10"/>
      <c r="B104" s="9" t="str">
        <f>IF(A104="","",COUNTIFS(RawData[[Date ]],A104))</f>
        <v/>
      </c>
      <c r="C104" s="9" t="str">
        <f>IF(A104="","",COUNTIFS(RawData[[Date ]],A104,RawData[[Error Type ]],"Short"))</f>
        <v/>
      </c>
      <c r="D104" s="9" t="str">
        <f>IF(A104="","",COUNTIFS(RawData[[Date ]],A104,RawData[[Error Type ]],"Excess"))</f>
        <v/>
      </c>
      <c r="E104" s="9" t="str">
        <f>IF(A104="","",SUMIFS(RawData[Qyt Affected ( EA ) ],RawData[[Date ]],A104))</f>
        <v/>
      </c>
    </row>
    <row r="105" spans="1:5" ht="15.75" x14ac:dyDescent="0.25">
      <c r="A105" s="10"/>
      <c r="B105" s="9" t="str">
        <f>IF(A105="","",COUNTIFS(RawData[[Date ]],A105))</f>
        <v/>
      </c>
      <c r="C105" s="9" t="str">
        <f>IF(A105="","",COUNTIFS(RawData[[Date ]],A105,RawData[[Error Type ]],"Short"))</f>
        <v/>
      </c>
      <c r="D105" s="9" t="str">
        <f>IF(A105="","",COUNTIFS(RawData[[Date ]],A105,RawData[[Error Type ]],"Excess"))</f>
        <v/>
      </c>
      <c r="E105" s="9" t="str">
        <f>IF(A105="","",SUMIFS(RawData[Qyt Affected ( EA ) ],RawData[[Date ]],A105))</f>
        <v/>
      </c>
    </row>
    <row r="106" spans="1:5" ht="15.75" x14ac:dyDescent="0.25">
      <c r="A106" s="10"/>
      <c r="B106" s="9" t="str">
        <f>IF(A106="","",COUNTIFS(RawData[[Date ]],A106))</f>
        <v/>
      </c>
      <c r="C106" s="9" t="str">
        <f>IF(A106="","",COUNTIFS(RawData[[Date ]],A106,RawData[[Error Type ]],"Short"))</f>
        <v/>
      </c>
      <c r="D106" s="9" t="str">
        <f>IF(A106="","",COUNTIFS(RawData[[Date ]],A106,RawData[[Error Type ]],"Excess"))</f>
        <v/>
      </c>
      <c r="E106" s="9" t="str">
        <f>IF(A106="","",SUMIFS(RawData[Qyt Affected ( EA ) ],RawData[[Date ]],A106))</f>
        <v/>
      </c>
    </row>
    <row r="107" spans="1:5" ht="15.75" x14ac:dyDescent="0.25">
      <c r="A107" s="10"/>
      <c r="B107" s="9" t="str">
        <f>IF(A107="","",COUNTIFS(RawData[[Date ]],A107))</f>
        <v/>
      </c>
      <c r="C107" s="9" t="str">
        <f>IF(A107="","",COUNTIFS(RawData[[Date ]],A107,RawData[[Error Type ]],"Short"))</f>
        <v/>
      </c>
      <c r="D107" s="9" t="str">
        <f>IF(A107="","",COUNTIFS(RawData[[Date ]],A107,RawData[[Error Type ]],"Excess"))</f>
        <v/>
      </c>
      <c r="E107" s="9" t="str">
        <f>IF(A107="","",SUMIFS(RawData[Qyt Affected ( EA ) ],RawData[[Date ]],A107))</f>
        <v/>
      </c>
    </row>
    <row r="108" spans="1:5" ht="15.75" x14ac:dyDescent="0.25">
      <c r="A108" s="10"/>
      <c r="B108" s="9" t="str">
        <f>IF(A108="","",COUNTIFS(RawData[[Date ]],A108))</f>
        <v/>
      </c>
      <c r="C108" s="9" t="str">
        <f>IF(A108="","",COUNTIFS(RawData[[Date ]],A108,RawData[[Error Type ]],"Short"))</f>
        <v/>
      </c>
      <c r="D108" s="9" t="str">
        <f>IF(A108="","",COUNTIFS(RawData[[Date ]],A108,RawData[[Error Type ]],"Excess"))</f>
        <v/>
      </c>
      <c r="E108" s="9" t="str">
        <f>IF(A108="","",SUMIFS(RawData[Qyt Affected ( EA ) ],RawData[[Date ]],A108))</f>
        <v/>
      </c>
    </row>
    <row r="109" spans="1:5" ht="15.75" x14ac:dyDescent="0.25">
      <c r="A109" s="10"/>
      <c r="B109" s="9" t="str">
        <f>IF(A109="","",COUNTIFS(RawData[[Date ]],A109))</f>
        <v/>
      </c>
      <c r="C109" s="9" t="str">
        <f>IF(A109="","",COUNTIFS(RawData[[Date ]],A109,RawData[[Error Type ]],"Short"))</f>
        <v/>
      </c>
      <c r="D109" s="9" t="str">
        <f>IF(A109="","",COUNTIFS(RawData[[Date ]],A109,RawData[[Error Type ]],"Excess"))</f>
        <v/>
      </c>
      <c r="E109" s="9" t="str">
        <f>IF(A109="","",SUMIFS(RawData[Qyt Affected ( EA ) ],RawData[[Date ]],A109))</f>
        <v/>
      </c>
    </row>
    <row r="110" spans="1:5" ht="15.75" x14ac:dyDescent="0.25">
      <c r="A110" s="10"/>
      <c r="B110" s="9" t="str">
        <f>IF(A110="","",COUNTIFS(RawData[[Date ]],A110))</f>
        <v/>
      </c>
      <c r="C110" s="9" t="str">
        <f>IF(A110="","",COUNTIFS(RawData[[Date ]],A110,RawData[[Error Type ]],"Short"))</f>
        <v/>
      </c>
      <c r="D110" s="9" t="str">
        <f>IF(A110="","",COUNTIFS(RawData[[Date ]],A110,RawData[[Error Type ]],"Excess"))</f>
        <v/>
      </c>
      <c r="E110" s="9" t="str">
        <f>IF(A110="","",SUMIFS(RawData[Qyt Affected ( EA ) ],RawData[[Date ]],A110))</f>
        <v/>
      </c>
    </row>
    <row r="111" spans="1:5" ht="15.75" x14ac:dyDescent="0.25">
      <c r="A111" s="10"/>
      <c r="B111" s="9" t="str">
        <f>IF(A111="","",COUNTIFS(RawData[[Date ]],A111))</f>
        <v/>
      </c>
      <c r="C111" s="9" t="str">
        <f>IF(A111="","",COUNTIFS(RawData[[Date ]],A111,RawData[[Error Type ]],"Short"))</f>
        <v/>
      </c>
      <c r="D111" s="9" t="str">
        <f>IF(A111="","",COUNTIFS(RawData[[Date ]],A111,RawData[[Error Type ]],"Excess"))</f>
        <v/>
      </c>
      <c r="E111" s="9" t="str">
        <f>IF(A111="","",SUMIFS(RawData[Qyt Affected ( EA ) ],RawData[[Date ]],A111))</f>
        <v/>
      </c>
    </row>
    <row r="112" spans="1:5" ht="15.75" x14ac:dyDescent="0.25">
      <c r="A112" s="10"/>
      <c r="B112" s="9" t="str">
        <f>IF(A112="","",COUNTIFS(RawData[[Date ]],A112))</f>
        <v/>
      </c>
      <c r="C112" s="9" t="str">
        <f>IF(A112="","",COUNTIFS(RawData[[Date ]],A112,RawData[[Error Type ]],"Short"))</f>
        <v/>
      </c>
      <c r="D112" s="9" t="str">
        <f>IF(A112="","",COUNTIFS(RawData[[Date ]],A112,RawData[[Error Type ]],"Excess"))</f>
        <v/>
      </c>
      <c r="E112" s="9" t="str">
        <f>IF(A112="","",SUMIFS(RawData[Qyt Affected ( EA ) ],RawData[[Date ]],A112))</f>
        <v/>
      </c>
    </row>
    <row r="113" spans="1:5" ht="15.75" x14ac:dyDescent="0.25">
      <c r="A113" s="10"/>
      <c r="B113" s="9" t="str">
        <f>IF(A113="","",COUNTIFS(RawData[[Date ]],A113))</f>
        <v/>
      </c>
      <c r="C113" s="9" t="str">
        <f>IF(A113="","",COUNTIFS(RawData[[Date ]],A113,RawData[[Error Type ]],"Short"))</f>
        <v/>
      </c>
      <c r="D113" s="9" t="str">
        <f>IF(A113="","",COUNTIFS(RawData[[Date ]],A113,RawData[[Error Type ]],"Excess"))</f>
        <v/>
      </c>
      <c r="E113" s="9" t="str">
        <f>IF(A113="","",SUMIFS(RawData[Qyt Affected ( EA ) ],RawData[[Date ]],A113))</f>
        <v/>
      </c>
    </row>
    <row r="114" spans="1:5" ht="15.75" x14ac:dyDescent="0.25">
      <c r="A114" s="10"/>
      <c r="B114" s="9" t="str">
        <f>IF(A114="","",COUNTIFS(RawData[[Date ]],A114))</f>
        <v/>
      </c>
      <c r="C114" s="9" t="str">
        <f>IF(A114="","",COUNTIFS(RawData[[Date ]],A114,RawData[[Error Type ]],"Short"))</f>
        <v/>
      </c>
      <c r="D114" s="9" t="str">
        <f>IF(A114="","",COUNTIFS(RawData[[Date ]],A114,RawData[[Error Type ]],"Excess"))</f>
        <v/>
      </c>
      <c r="E114" s="9" t="str">
        <f>IF(A114="","",SUMIFS(RawData[Qyt Affected ( EA ) ],RawData[[Date ]],A114))</f>
        <v/>
      </c>
    </row>
    <row r="115" spans="1:5" ht="15.75" x14ac:dyDescent="0.25">
      <c r="A115" s="10"/>
      <c r="B115" s="9" t="str">
        <f>IF(A115="","",COUNTIFS(RawData[[Date ]],A115))</f>
        <v/>
      </c>
      <c r="C115" s="9" t="str">
        <f>IF(A115="","",COUNTIFS(RawData[[Date ]],A115,RawData[[Error Type ]],"Short"))</f>
        <v/>
      </c>
      <c r="D115" s="9" t="str">
        <f>IF(A115="","",COUNTIFS(RawData[[Date ]],A115,RawData[[Error Type ]],"Excess"))</f>
        <v/>
      </c>
      <c r="E115" s="9" t="str">
        <f>IF(A115="","",SUMIFS(RawData[Qyt Affected ( EA ) ],RawData[[Date ]],A115))</f>
        <v/>
      </c>
    </row>
    <row r="116" spans="1:5" ht="15.75" x14ac:dyDescent="0.25">
      <c r="A116" s="10"/>
      <c r="B116" s="9" t="str">
        <f>IF(A116="","",COUNTIFS(RawData[[Date ]],A116))</f>
        <v/>
      </c>
      <c r="C116" s="9" t="str">
        <f>IF(A116="","",COUNTIFS(RawData[[Date ]],A116,RawData[[Error Type ]],"Short"))</f>
        <v/>
      </c>
      <c r="D116" s="9" t="str">
        <f>IF(A116="","",COUNTIFS(RawData[[Date ]],A116,RawData[[Error Type ]],"Excess"))</f>
        <v/>
      </c>
      <c r="E116" s="9" t="str">
        <f>IF(A116="","",SUMIFS(RawData[Qyt Affected ( EA ) ],RawData[[Date ]],A116))</f>
        <v/>
      </c>
    </row>
    <row r="117" spans="1:5" ht="15.75" x14ac:dyDescent="0.25">
      <c r="A117" s="10"/>
      <c r="B117" s="9" t="str">
        <f>IF(A117="","",COUNTIFS(RawData[[Date ]],A117))</f>
        <v/>
      </c>
      <c r="C117" s="9" t="str">
        <f>IF(A117="","",COUNTIFS(RawData[[Date ]],A117,RawData[[Error Type ]],"Short"))</f>
        <v/>
      </c>
      <c r="D117" s="9" t="str">
        <f>IF(A117="","",COUNTIFS(RawData[[Date ]],A117,RawData[[Error Type ]],"Excess"))</f>
        <v/>
      </c>
      <c r="E117" s="9" t="str">
        <f>IF(A117="","",SUMIFS(RawData[Qyt Affected ( EA ) ],RawData[[Date ]],A117))</f>
        <v/>
      </c>
    </row>
    <row r="118" spans="1:5" ht="15.75" x14ac:dyDescent="0.25">
      <c r="A118" s="10"/>
      <c r="B118" s="9" t="str">
        <f>IF(A118="","",COUNTIFS(RawData[[Date ]],A118))</f>
        <v/>
      </c>
      <c r="C118" s="9" t="str">
        <f>IF(A118="","",COUNTIFS(RawData[[Date ]],A118,RawData[[Error Type ]],"Short"))</f>
        <v/>
      </c>
      <c r="D118" s="9" t="str">
        <f>IF(A118="","",COUNTIFS(RawData[[Date ]],A118,RawData[[Error Type ]],"Excess"))</f>
        <v/>
      </c>
      <c r="E118" s="9" t="str">
        <f>IF(A118="","",SUMIFS(RawData[Qyt Affected ( EA ) ],RawData[[Date ]],A118))</f>
        <v/>
      </c>
    </row>
    <row r="119" spans="1:5" ht="15.75" x14ac:dyDescent="0.25">
      <c r="A119" s="10"/>
      <c r="B119" s="9" t="str">
        <f>IF(A119="","",COUNTIFS(RawData[[Date ]],A119))</f>
        <v/>
      </c>
      <c r="C119" s="9" t="str">
        <f>IF(A119="","",COUNTIFS(RawData[[Date ]],A119,RawData[[Error Type ]],"Short"))</f>
        <v/>
      </c>
      <c r="D119" s="9" t="str">
        <f>IF(A119="","",COUNTIFS(RawData[[Date ]],A119,RawData[[Error Type ]],"Excess"))</f>
        <v/>
      </c>
      <c r="E119" s="9" t="str">
        <f>IF(A119="","",SUMIFS(RawData[Qyt Affected ( EA ) ],RawData[[Date ]],A119))</f>
        <v/>
      </c>
    </row>
    <row r="120" spans="1:5" ht="15.75" x14ac:dyDescent="0.25">
      <c r="A120" s="10"/>
      <c r="B120" s="9" t="str">
        <f>IF(A120="","",COUNTIFS(RawData[[Date ]],A120))</f>
        <v/>
      </c>
      <c r="C120" s="9" t="str">
        <f>IF(A120="","",COUNTIFS(RawData[[Date ]],A120,RawData[[Error Type ]],"Short"))</f>
        <v/>
      </c>
      <c r="D120" s="9" t="str">
        <f>IF(A120="","",COUNTIFS(RawData[[Date ]],A120,RawData[[Error Type ]],"Excess"))</f>
        <v/>
      </c>
      <c r="E120" s="9" t="str">
        <f>IF(A120="","",SUMIFS(RawData[Qyt Affected ( EA ) ],RawData[[Date ]],A120))</f>
        <v/>
      </c>
    </row>
    <row r="121" spans="1:5" ht="15.75" x14ac:dyDescent="0.25">
      <c r="A121" s="10"/>
      <c r="B121" s="9" t="str">
        <f>IF(A121="","",COUNTIFS(RawData[[Date ]],A121))</f>
        <v/>
      </c>
      <c r="C121" s="9" t="str">
        <f>IF(A121="","",COUNTIFS(RawData[[Date ]],A121,RawData[[Error Type ]],"Short"))</f>
        <v/>
      </c>
      <c r="D121" s="9" t="str">
        <f>IF(A121="","",COUNTIFS(RawData[[Date ]],A121,RawData[[Error Type ]],"Excess"))</f>
        <v/>
      </c>
      <c r="E121" s="9" t="str">
        <f>IF(A121="","",SUMIFS(RawData[Qyt Affected ( EA ) ],RawData[[Date ]],A121))</f>
        <v/>
      </c>
    </row>
    <row r="122" spans="1:5" ht="15.75" x14ac:dyDescent="0.25">
      <c r="A122" s="10"/>
      <c r="B122" s="9" t="str">
        <f>IF(A122="","",COUNTIFS(RawData[[Date ]],A122))</f>
        <v/>
      </c>
      <c r="C122" s="9" t="str">
        <f>IF(A122="","",COUNTIFS(RawData[[Date ]],A122,RawData[[Error Type ]],"Short"))</f>
        <v/>
      </c>
      <c r="D122" s="9" t="str">
        <f>IF(A122="","",COUNTIFS(RawData[[Date ]],A122,RawData[[Error Type ]],"Excess"))</f>
        <v/>
      </c>
      <c r="E122" s="9" t="str">
        <f>IF(A122="","",SUMIFS(RawData[Qyt Affected ( EA ) ],RawData[[Date ]],A122))</f>
        <v/>
      </c>
    </row>
    <row r="123" spans="1:5" ht="15.75" x14ac:dyDescent="0.25">
      <c r="A123" s="10"/>
      <c r="B123" s="9" t="str">
        <f>IF(A123="","",COUNTIFS(RawData[[Date ]],A123))</f>
        <v/>
      </c>
      <c r="C123" s="9" t="str">
        <f>IF(A123="","",COUNTIFS(RawData[[Date ]],A123,RawData[[Error Type ]],"Short"))</f>
        <v/>
      </c>
      <c r="D123" s="9" t="str">
        <f>IF(A123="","",COUNTIFS(RawData[[Date ]],A123,RawData[[Error Type ]],"Excess"))</f>
        <v/>
      </c>
      <c r="E123" s="9" t="str">
        <f>IF(A123="","",SUMIFS(RawData[Qyt Affected ( EA ) ],RawData[[Date ]],A123))</f>
        <v/>
      </c>
    </row>
    <row r="124" spans="1:5" ht="15.75" x14ac:dyDescent="0.25">
      <c r="A124" s="10"/>
      <c r="B124" s="9" t="str">
        <f>IF(A124="","",COUNTIFS(RawData[[Date ]],A124))</f>
        <v/>
      </c>
      <c r="C124" s="9" t="str">
        <f>IF(A124="","",COUNTIFS(RawData[[Date ]],A124,RawData[[Error Type ]],"Short"))</f>
        <v/>
      </c>
      <c r="D124" s="9" t="str">
        <f>IF(A124="","",COUNTIFS(RawData[[Date ]],A124,RawData[[Error Type ]],"Excess"))</f>
        <v/>
      </c>
      <c r="E124" s="9" t="str">
        <f>IF(A124="","",SUMIFS(RawData[Qyt Affected ( EA ) ],RawData[[Date ]],A124))</f>
        <v/>
      </c>
    </row>
    <row r="125" spans="1:5" ht="15.75" x14ac:dyDescent="0.25">
      <c r="A125" s="10"/>
      <c r="B125" s="9" t="str">
        <f>IF(A125="","",COUNTIFS(RawData[[Date ]],A125))</f>
        <v/>
      </c>
      <c r="C125" s="9" t="str">
        <f>IF(A125="","",COUNTIFS(RawData[[Date ]],A125,RawData[[Error Type ]],"Short"))</f>
        <v/>
      </c>
      <c r="D125" s="9" t="str">
        <f>IF(A125="","",COUNTIFS(RawData[[Date ]],A125,RawData[[Error Type ]],"Excess"))</f>
        <v/>
      </c>
      <c r="E125" s="9" t="str">
        <f>IF(A125="","",SUMIFS(RawData[Qyt Affected ( EA ) ],RawData[[Date ]],A125))</f>
        <v/>
      </c>
    </row>
    <row r="126" spans="1:5" ht="15.75" x14ac:dyDescent="0.25">
      <c r="A126" s="10"/>
      <c r="B126" s="9" t="str">
        <f>IF(A126="","",COUNTIFS(RawData[[Date ]],A126))</f>
        <v/>
      </c>
      <c r="C126" s="9" t="str">
        <f>IF(A126="","",COUNTIFS(RawData[[Date ]],A126,RawData[[Error Type ]],"Short"))</f>
        <v/>
      </c>
      <c r="D126" s="9" t="str">
        <f>IF(A126="","",COUNTIFS(RawData[[Date ]],A126,RawData[[Error Type ]],"Excess"))</f>
        <v/>
      </c>
      <c r="E126" s="9" t="str">
        <f>IF(A126="","",SUMIFS(RawData[Qyt Affected ( EA ) ],RawData[[Date ]],A126))</f>
        <v/>
      </c>
    </row>
    <row r="127" spans="1:5" ht="15.75" x14ac:dyDescent="0.25">
      <c r="A127" s="10"/>
      <c r="B127" s="9" t="str">
        <f>IF(A127="","",COUNTIFS(RawData[[Date ]],A127))</f>
        <v/>
      </c>
      <c r="C127" s="9" t="str">
        <f>IF(A127="","",COUNTIFS(RawData[[Date ]],A127,RawData[[Error Type ]],"Short"))</f>
        <v/>
      </c>
      <c r="D127" s="9" t="str">
        <f>IF(A127="","",COUNTIFS(RawData[[Date ]],A127,RawData[[Error Type ]],"Excess"))</f>
        <v/>
      </c>
      <c r="E127" s="9" t="str">
        <f>IF(A127="","",SUMIFS(RawData[Qyt Affected ( EA ) ],RawData[[Date ]],A127))</f>
        <v/>
      </c>
    </row>
    <row r="128" spans="1:5" ht="15.75" x14ac:dyDescent="0.25">
      <c r="A128" s="10"/>
      <c r="B128" s="9" t="str">
        <f>IF(A128="","",COUNTIFS(RawData[[Date ]],A128))</f>
        <v/>
      </c>
      <c r="C128" s="9" t="str">
        <f>IF(A128="","",COUNTIFS(RawData[[Date ]],A128,RawData[[Error Type ]],"Short"))</f>
        <v/>
      </c>
      <c r="D128" s="9" t="str">
        <f>IF(A128="","",COUNTIFS(RawData[[Date ]],A128,RawData[[Error Type ]],"Excess"))</f>
        <v/>
      </c>
      <c r="E128" s="9" t="str">
        <f>IF(A128="","",SUMIFS(RawData[Qyt Affected ( EA ) ],RawData[[Date ]],A128))</f>
        <v/>
      </c>
    </row>
    <row r="129" spans="1:5" ht="15.75" x14ac:dyDescent="0.25">
      <c r="A129" s="10"/>
      <c r="B129" s="9" t="str">
        <f>IF(A129="","",COUNTIFS(RawData[[Date ]],A129))</f>
        <v/>
      </c>
      <c r="C129" s="9" t="str">
        <f>IF(A129="","",COUNTIFS(RawData[[Date ]],A129,RawData[[Error Type ]],"Short"))</f>
        <v/>
      </c>
      <c r="D129" s="9" t="str">
        <f>IF(A129="","",COUNTIFS(RawData[[Date ]],A129,RawData[[Error Type ]],"Excess"))</f>
        <v/>
      </c>
      <c r="E129" s="9" t="str">
        <f>IF(A129="","",SUMIFS(RawData[Qyt Affected ( EA ) ],RawData[[Date ]],A129))</f>
        <v/>
      </c>
    </row>
    <row r="130" spans="1:5" ht="15.75" x14ac:dyDescent="0.25">
      <c r="A130" s="10"/>
      <c r="B130" s="9" t="str">
        <f>IF(A130="","",COUNTIFS(RawData[[Date ]],A130))</f>
        <v/>
      </c>
      <c r="C130" s="9" t="str">
        <f>IF(A130="","",COUNTIFS(RawData[[Date ]],A130,RawData[[Error Type ]],"Short"))</f>
        <v/>
      </c>
      <c r="D130" s="9" t="str">
        <f>IF(A130="","",COUNTIFS(RawData[[Date ]],A130,RawData[[Error Type ]],"Excess"))</f>
        <v/>
      </c>
      <c r="E130" s="9" t="str">
        <f>IF(A130="","",SUMIFS(RawData[Qyt Affected ( EA ) ],RawData[[Date ]],A130))</f>
        <v/>
      </c>
    </row>
    <row r="131" spans="1:5" ht="15.75" x14ac:dyDescent="0.25">
      <c r="A131" s="10"/>
      <c r="B131" s="9" t="str">
        <f>IF(A131="","",COUNTIFS(RawData[[Date ]],A131))</f>
        <v/>
      </c>
      <c r="C131" s="9" t="str">
        <f>IF(A131="","",COUNTIFS(RawData[[Date ]],A131,RawData[[Error Type ]],"Short"))</f>
        <v/>
      </c>
      <c r="D131" s="9" t="str">
        <f>IF(A131="","",COUNTIFS(RawData[[Date ]],A131,RawData[[Error Type ]],"Excess"))</f>
        <v/>
      </c>
      <c r="E131" s="9" t="str">
        <f>IF(A131="","",SUMIFS(RawData[Qyt Affected ( EA ) ],RawData[[Date ]],A131))</f>
        <v/>
      </c>
    </row>
    <row r="132" spans="1:5" ht="15.75" x14ac:dyDescent="0.25">
      <c r="A132" s="10"/>
      <c r="B132" s="9" t="str">
        <f>IF(A132="","",COUNTIFS(RawData[[Date ]],A132))</f>
        <v/>
      </c>
      <c r="C132" s="9" t="str">
        <f>IF(A132="","",COUNTIFS(RawData[[Date ]],A132,RawData[[Error Type ]],"Short"))</f>
        <v/>
      </c>
      <c r="D132" s="9" t="str">
        <f>IF(A132="","",COUNTIFS(RawData[[Date ]],A132,RawData[[Error Type ]],"Excess"))</f>
        <v/>
      </c>
      <c r="E132" s="9" t="str">
        <f>IF(A132="","",SUMIFS(RawData[Qyt Affected ( EA ) ],RawData[[Date ]],A132))</f>
        <v/>
      </c>
    </row>
    <row r="133" spans="1:5" ht="15.75" x14ac:dyDescent="0.25">
      <c r="A133" s="10"/>
      <c r="B133" s="9" t="str">
        <f>IF(A133="","",COUNTIFS(RawData[[Date ]],A133))</f>
        <v/>
      </c>
      <c r="C133" s="9" t="str">
        <f>IF(A133="","",COUNTIFS(RawData[[Date ]],A133,RawData[[Error Type ]],"Short"))</f>
        <v/>
      </c>
      <c r="D133" s="9" t="str">
        <f>IF(A133="","",COUNTIFS(RawData[[Date ]],A133,RawData[[Error Type ]],"Excess"))</f>
        <v/>
      </c>
      <c r="E133" s="9" t="str">
        <f>IF(A133="","",SUMIFS(RawData[Qyt Affected ( EA ) ],RawData[[Date ]],A133))</f>
        <v/>
      </c>
    </row>
    <row r="134" spans="1:5" ht="15.75" x14ac:dyDescent="0.25">
      <c r="A134" s="10"/>
      <c r="B134" s="9" t="str">
        <f>IF(A134="","",COUNTIFS(RawData[[Date ]],A134))</f>
        <v/>
      </c>
      <c r="C134" s="9" t="str">
        <f>IF(A134="","",COUNTIFS(RawData[[Date ]],A134,RawData[[Error Type ]],"Short"))</f>
        <v/>
      </c>
      <c r="D134" s="9" t="str">
        <f>IF(A134="","",COUNTIFS(RawData[[Date ]],A134,RawData[[Error Type ]],"Excess"))</f>
        <v/>
      </c>
      <c r="E134" s="9" t="str">
        <f>IF(A134="","",SUMIFS(RawData[Qyt Affected ( EA ) ],RawData[[Date ]],A134))</f>
        <v/>
      </c>
    </row>
    <row r="135" spans="1:5" ht="15.75" x14ac:dyDescent="0.25">
      <c r="A135" s="10"/>
      <c r="B135" s="9" t="str">
        <f>IF(A135="","",COUNTIFS(RawData[[Date ]],A135))</f>
        <v/>
      </c>
      <c r="C135" s="9" t="str">
        <f>IF(A135="","",COUNTIFS(RawData[[Date ]],A135,RawData[[Error Type ]],"Short"))</f>
        <v/>
      </c>
      <c r="D135" s="9" t="str">
        <f>IF(A135="","",COUNTIFS(RawData[[Date ]],A135,RawData[[Error Type ]],"Excess"))</f>
        <v/>
      </c>
      <c r="E135" s="9" t="str">
        <f>IF(A135="","",SUMIFS(RawData[Qyt Affected ( EA ) ],RawData[[Date ]],A135))</f>
        <v/>
      </c>
    </row>
    <row r="136" spans="1:5" ht="15.75" x14ac:dyDescent="0.25">
      <c r="A136" s="10"/>
      <c r="B136" s="9" t="str">
        <f>IF(A136="","",COUNTIFS(RawData[[Date ]],A136))</f>
        <v/>
      </c>
      <c r="C136" s="9" t="str">
        <f>IF(A136="","",COUNTIFS(RawData[[Date ]],A136,RawData[[Error Type ]],"Short"))</f>
        <v/>
      </c>
      <c r="D136" s="9" t="str">
        <f>IF(A136="","",COUNTIFS(RawData[[Date ]],A136,RawData[[Error Type ]],"Excess"))</f>
        <v/>
      </c>
      <c r="E136" s="9" t="str">
        <f>IF(A136="","",SUMIFS(RawData[Qyt Affected ( EA ) ],RawData[[Date ]],A136))</f>
        <v/>
      </c>
    </row>
    <row r="137" spans="1:5" ht="15.75" x14ac:dyDescent="0.25">
      <c r="A137" s="10"/>
      <c r="B137" s="9" t="str">
        <f>IF(A137="","",COUNTIFS(RawData[[Date ]],A137))</f>
        <v/>
      </c>
      <c r="C137" s="9" t="str">
        <f>IF(A137="","",COUNTIFS(RawData[[Date ]],A137,RawData[[Error Type ]],"Short"))</f>
        <v/>
      </c>
      <c r="D137" s="9" t="str">
        <f>IF(A137="","",COUNTIFS(RawData[[Date ]],A137,RawData[[Error Type ]],"Excess"))</f>
        <v/>
      </c>
      <c r="E137" s="9" t="str">
        <f>IF(A137="","",SUMIFS(RawData[Qyt Affected ( EA ) ],RawData[[Date ]],A137))</f>
        <v/>
      </c>
    </row>
    <row r="138" spans="1:5" ht="15.75" x14ac:dyDescent="0.25">
      <c r="A138" s="10"/>
      <c r="B138" s="9" t="str">
        <f>IF(A138="","",COUNTIFS('Raw Data'!A:A,A138))</f>
        <v/>
      </c>
      <c r="C138" s="9" t="str">
        <f>IF(A138="","",COUNTIFS('Raw Data'!A:A,A138,'Raw Data'!E:E,"Short"))</f>
        <v/>
      </c>
      <c r="D138" s="9" t="str">
        <f>IF(A138="","",COUNTIFS('Raw Data'!A:A,A138,'Raw Data'!E:E,"Excess"))</f>
        <v/>
      </c>
      <c r="E138" s="9" t="str">
        <f>IF(A138="","",SUMIFS('Raw Data'!D:D,'Raw Data'!A:A,A138))</f>
        <v/>
      </c>
    </row>
    <row r="139" spans="1:5" ht="15.75" x14ac:dyDescent="0.25">
      <c r="A139" s="10"/>
      <c r="B139" s="9" t="str">
        <f>IF(A139="","",COUNTIFS('Raw Data'!A:A,A139))</f>
        <v/>
      </c>
      <c r="C139" s="9" t="str">
        <f>IF(A139="","",COUNTIFS('Raw Data'!A:A,A139,'Raw Data'!E:E,"Short"))</f>
        <v/>
      </c>
      <c r="D139" s="9" t="str">
        <f>IF(A139="","",COUNTIFS('Raw Data'!A:A,A139,'Raw Data'!E:E,"Excess"))</f>
        <v/>
      </c>
      <c r="E139" s="9" t="str">
        <f>IF(A139="","",SUMIFS('Raw Data'!D:D,'Raw Data'!A:A,A139))</f>
        <v/>
      </c>
    </row>
    <row r="140" spans="1:5" ht="15.75" x14ac:dyDescent="0.25">
      <c r="A140" s="10"/>
      <c r="B140" s="9" t="str">
        <f>IF(A140="","",COUNTIFS('Raw Data'!A:A,A140))</f>
        <v/>
      </c>
      <c r="C140" s="9" t="str">
        <f>IF(A140="","",COUNTIFS('Raw Data'!A:A,A140,'Raw Data'!E:E,"Short"))</f>
        <v/>
      </c>
      <c r="D140" s="9" t="str">
        <f>IF(A140="","",COUNTIFS('Raw Data'!A:A,A140,'Raw Data'!E:E,"Excess"))</f>
        <v/>
      </c>
      <c r="E140" s="9" t="str">
        <f>IF(A140="","",SUMIFS('Raw Data'!D:D,'Raw Data'!A:A,A140))</f>
        <v/>
      </c>
    </row>
    <row r="141" spans="1:5" ht="15.75" x14ac:dyDescent="0.25">
      <c r="A141" s="10"/>
      <c r="B141" s="9" t="str">
        <f>IF(A141="","",COUNTIFS('Raw Data'!A:A,A141))</f>
        <v/>
      </c>
      <c r="C141" s="9" t="str">
        <f>IF(A141="","",COUNTIFS('Raw Data'!A:A,A141,'Raw Data'!E:E,"Short"))</f>
        <v/>
      </c>
      <c r="D141" s="9" t="str">
        <f>IF(A141="","",COUNTIFS('Raw Data'!A:A,A141,'Raw Data'!E:E,"Excess"))</f>
        <v/>
      </c>
      <c r="E141" s="9" t="str">
        <f>IF(A141="","",SUMIFS('Raw Data'!D:D,'Raw Data'!A:A,A141))</f>
        <v/>
      </c>
    </row>
    <row r="142" spans="1:5" ht="15.75" x14ac:dyDescent="0.25">
      <c r="A142" s="10"/>
      <c r="B142" s="9" t="str">
        <f>IF(A142="","",COUNTIFS('Raw Data'!A:A,A142))</f>
        <v/>
      </c>
      <c r="C142" s="9" t="str">
        <f>IF(A142="","",COUNTIFS('Raw Data'!A:A,A142,'Raw Data'!E:E,"Short"))</f>
        <v/>
      </c>
      <c r="D142" s="9" t="str">
        <f>IF(A142="","",COUNTIFS('Raw Data'!A:A,A142,'Raw Data'!E:E,"Excess"))</f>
        <v/>
      </c>
      <c r="E142" s="9" t="str">
        <f>IF(A142="","",SUMIFS('Raw Data'!D:D,'Raw Data'!A:A,A142))</f>
        <v/>
      </c>
    </row>
    <row r="143" spans="1:5" ht="15.75" x14ac:dyDescent="0.25">
      <c r="A143" s="10"/>
      <c r="B143" s="9" t="str">
        <f>IF(A143="","",COUNTIFS('Raw Data'!A:A,A143))</f>
        <v/>
      </c>
      <c r="C143" s="9" t="str">
        <f>IF(A143="","",COUNTIFS('Raw Data'!A:A,A143,'Raw Data'!E:E,"Short"))</f>
        <v/>
      </c>
      <c r="D143" s="9" t="str">
        <f>IF(A143="","",COUNTIFS('Raw Data'!A:A,A143,'Raw Data'!E:E,"Excess"))</f>
        <v/>
      </c>
      <c r="E143" s="9" t="str">
        <f>IF(A143="","",SUMIFS('Raw Data'!D:D,'Raw Data'!A:A,A143))</f>
        <v/>
      </c>
    </row>
    <row r="144" spans="1:5" ht="15.75" x14ac:dyDescent="0.25">
      <c r="A144" s="10"/>
      <c r="B144" s="9" t="str">
        <f>IF(A144="","",COUNTIFS('Raw Data'!A:A,A144))</f>
        <v/>
      </c>
      <c r="C144" s="9" t="str">
        <f>IF(A144="","",COUNTIFS('Raw Data'!A:A,A144,'Raw Data'!E:E,"Short"))</f>
        <v/>
      </c>
      <c r="D144" s="9" t="str">
        <f>IF(A144="","",COUNTIFS('Raw Data'!A:A,A144,'Raw Data'!E:E,"Excess"))</f>
        <v/>
      </c>
      <c r="E144" s="9" t="str">
        <f>IF(A144="","",SUMIFS('Raw Data'!D:D,'Raw Data'!A:A,A144))</f>
        <v/>
      </c>
    </row>
    <row r="145" spans="1:5" ht="15.75" x14ac:dyDescent="0.25">
      <c r="A145" s="10"/>
      <c r="B145" s="9" t="str">
        <f>IF(A145="","",COUNTIFS('Raw Data'!A:A,A145))</f>
        <v/>
      </c>
      <c r="C145" s="9" t="str">
        <f>IF(A145="","",COUNTIFS('Raw Data'!A:A,A145,'Raw Data'!E:E,"Short"))</f>
        <v/>
      </c>
      <c r="D145" s="9" t="str">
        <f>IF(A145="","",COUNTIFS('Raw Data'!A:A,A145,'Raw Data'!E:E,"Excess"))</f>
        <v/>
      </c>
      <c r="E145" s="9" t="str">
        <f>IF(A145="","",SUMIFS('Raw Data'!D:D,'Raw Data'!A:A,A145))</f>
        <v/>
      </c>
    </row>
    <row r="146" spans="1:5" ht="15.75" x14ac:dyDescent="0.25">
      <c r="A146" s="10"/>
      <c r="B146" s="9" t="str">
        <f>IF(A146="","",COUNTIFS('Raw Data'!A:A,A146))</f>
        <v/>
      </c>
      <c r="C146" s="9" t="str">
        <f>IF(A146="","",COUNTIFS('Raw Data'!A:A,A146,'Raw Data'!E:E,"Short"))</f>
        <v/>
      </c>
      <c r="D146" s="9" t="str">
        <f>IF(A146="","",COUNTIFS('Raw Data'!A:A,A146,'Raw Data'!E:E,"Excess"))</f>
        <v/>
      </c>
      <c r="E146" s="9" t="str">
        <f>IF(A146="","",SUMIFS('Raw Data'!D:D,'Raw Data'!A:A,A146))</f>
        <v/>
      </c>
    </row>
    <row r="147" spans="1:5" ht="15.75" x14ac:dyDescent="0.25">
      <c r="A147" s="10"/>
      <c r="B147" s="9" t="str">
        <f>IF(A147="","",COUNTIFS('Raw Data'!A:A,A147))</f>
        <v/>
      </c>
      <c r="C147" s="9" t="str">
        <f>IF(A147="","",COUNTIFS('Raw Data'!A:A,A147,'Raw Data'!E:E,"Short"))</f>
        <v/>
      </c>
      <c r="D147" s="9" t="str">
        <f>IF(A147="","",COUNTIFS('Raw Data'!A:A,A147,'Raw Data'!E:E,"Excess"))</f>
        <v/>
      </c>
      <c r="E147" s="9" t="str">
        <f>IF(A147="","",SUMIFS('Raw Data'!D:D,'Raw Data'!A:A,A147))</f>
        <v/>
      </c>
    </row>
  </sheetData>
  <sheetProtection algorithmName="SHA-512" hashValue="hkyo3S6dbhRxEaRv+VANvrKwn7lvs74/g4Qhsy1s9wwIzqsshhpkdMkhHznWebNpDmLtqlhHPgHt148GSwTgug==" saltValue="DY4u34ZuRDVszRTqiR+eyQ==" spinCount="100000" sheet="1" objects="1" scenarios="1"/>
  <mergeCells count="1">
    <mergeCell ref="A1:E1"/>
  </mergeCells>
  <conditionalFormatting sqref="B7:B137">
    <cfRule type="colorScale" priority="2">
      <colorScale>
        <cfvo type="min"/>
        <cfvo type="percentile" val="50"/>
        <cfvo type="max"/>
        <color theme="9" tint="-0.249977111117893"/>
        <color rgb="FFFFFF00"/>
        <color rgb="FFC00000"/>
      </colorScale>
    </cfRule>
  </conditionalFormatting>
  <conditionalFormatting sqref="E7:E141">
    <cfRule type="colorScale" priority="1">
      <colorScale>
        <cfvo type="min"/>
        <cfvo type="percentile" val="50"/>
        <cfvo type="max"/>
        <color theme="9" tint="-0.249977111117893"/>
        <color rgb="FFFFFF00"/>
        <color rgb="FFC00000"/>
      </colorScale>
    </cfRule>
  </conditionalFormatting>
  <conditionalFormatting sqref="K6">
    <cfRule type="containsText" dxfId="11" priority="6" operator="containsText" text="High">
      <formula>NOT(ISERROR(SEARCH("High",K6)))</formula>
    </cfRule>
    <cfRule type="containsText" dxfId="10" priority="7" operator="containsText" text="Medium">
      <formula>NOT(ISERROR(SEARCH("Medium",K6)))</formula>
    </cfRule>
    <cfRule type="containsText" dxfId="9" priority="8" operator="containsText" text="Low">
      <formula>NOT(ISERROR(SEARCH("Low",K6)))</formula>
    </cfRule>
  </conditionalFormatting>
  <conditionalFormatting sqref="M6">
    <cfRule type="containsText" dxfId="8" priority="3" operator="containsText" text="High">
      <formula>NOT(ISERROR(SEARCH("High",M6)))</formula>
    </cfRule>
    <cfRule type="containsText" dxfId="7" priority="4" operator="containsText" text="Medium">
      <formula>NOT(ISERROR(SEARCH("Medium",M6)))</formula>
    </cfRule>
    <cfRule type="containsText" dxfId="6" priority="5" operator="containsText" text="Low">
      <formula>NOT(ISERROR(SEARCH("Low",M6)))</formula>
    </cfRule>
  </conditionalFormatting>
  <dataValidations count="1">
    <dataValidation type="list" allowBlank="1" showInputMessage="1" showErrorMessage="1" sqref="A4" xr:uid="{69DE199B-E124-4EED-B6F5-3FEB444CBF78}">
      <formula1>$K$7:$K$8000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A291-BBA5-4422-9A98-8CE006D8E447}">
  <sheetPr codeName="Sheet8">
    <tabColor theme="9" tint="-0.499984740745262"/>
  </sheetPr>
  <dimension ref="A1:M691"/>
  <sheetViews>
    <sheetView showGridLines="0" zoomScaleNormal="100" workbookViewId="0">
      <pane ySplit="6" topLeftCell="A7" activePane="bottomLeft" state="frozen"/>
      <selection activeCell="I1" sqref="I1"/>
      <selection pane="bottomLeft" activeCell="A4" sqref="A4"/>
    </sheetView>
  </sheetViews>
  <sheetFormatPr defaultColWidth="30.7109375" defaultRowHeight="15" x14ac:dyDescent="0.25"/>
  <cols>
    <col min="2" max="2" width="58.7109375" customWidth="1"/>
    <col min="3" max="3" width="24.7109375" customWidth="1"/>
    <col min="4" max="4" width="24.42578125" customWidth="1"/>
    <col min="5" max="5" width="21.85546875" customWidth="1"/>
    <col min="6" max="7" width="29.42578125" customWidth="1"/>
  </cols>
  <sheetData>
    <row r="1" spans="1:13" ht="27" customHeight="1" x14ac:dyDescent="0.4">
      <c r="A1" s="74" t="s">
        <v>40</v>
      </c>
      <c r="B1" s="74"/>
      <c r="C1" s="74"/>
      <c r="D1" s="74"/>
      <c r="E1" s="74"/>
      <c r="F1" s="74"/>
      <c r="M1" s="7"/>
    </row>
    <row r="2" spans="1:13" x14ac:dyDescent="0.25">
      <c r="A2" s="13"/>
      <c r="B2" s="13"/>
      <c r="C2" s="13"/>
      <c r="D2" s="13"/>
      <c r="E2" s="13"/>
      <c r="F2" s="13"/>
    </row>
    <row r="3" spans="1:13" ht="24" x14ac:dyDescent="0.25">
      <c r="A3" s="14"/>
      <c r="B3" s="13"/>
      <c r="C3" s="13"/>
      <c r="D3" s="13"/>
      <c r="E3" s="13"/>
      <c r="F3" s="13"/>
    </row>
    <row r="4" spans="1:13" ht="30" customHeight="1" x14ac:dyDescent="0.25">
      <c r="A4" s="42" t="s">
        <v>277</v>
      </c>
      <c r="B4" s="15">
        <f>COUNTA(_xlfn.ANCHORARRAY(A7))</f>
        <v>59</v>
      </c>
      <c r="C4" s="15">
        <f>SUM(C7:C10000)</f>
        <v>65</v>
      </c>
      <c r="D4" s="15">
        <f>SUM(D7:D10000)</f>
        <v>44</v>
      </c>
      <c r="E4" s="15">
        <f>SUM(E7:E10000)</f>
        <v>21</v>
      </c>
      <c r="F4" s="15">
        <f>SUM(F7:F10000)</f>
        <v>726</v>
      </c>
    </row>
    <row r="5" spans="1:13" ht="30" customHeight="1" x14ac:dyDescent="0.25">
      <c r="A5" s="13"/>
      <c r="B5" s="13"/>
      <c r="C5" s="13"/>
      <c r="D5" s="13"/>
      <c r="E5" s="13"/>
      <c r="F5" s="13"/>
    </row>
    <row r="6" spans="1:13" s="5" customFormat="1" ht="23.25" customHeight="1" x14ac:dyDescent="0.3">
      <c r="A6" s="11" t="s">
        <v>41</v>
      </c>
      <c r="B6" s="11" t="s">
        <v>7</v>
      </c>
      <c r="C6" s="11" t="s">
        <v>38</v>
      </c>
      <c r="D6" s="11" t="s">
        <v>31</v>
      </c>
      <c r="E6" s="11" t="s">
        <v>32</v>
      </c>
      <c r="F6" s="11" t="s">
        <v>39</v>
      </c>
      <c r="G6"/>
      <c r="H6"/>
      <c r="K6" s="3" t="s">
        <v>27</v>
      </c>
      <c r="M6" s="8" t="s">
        <v>28</v>
      </c>
    </row>
    <row r="7" spans="1:13" ht="15.75" x14ac:dyDescent="0.25">
      <c r="A7" s="9" cm="1">
        <f t="array" ref="A7:A65">_xlfn.SORTBY(_xlfn.UNIQUE(_xlfn.ANCHORARRAY(M7)),COUNTIFS('Raw Data'!B:B,_xlfn.UNIQUE(_xlfn.ANCHORARRAY(M7)),'Raw Data'!I:I,TEXT($A$4,"mmmm yyyy")),-1)</f>
        <v>23884</v>
      </c>
      <c r="B7" s="9" t="str">
        <f>IF(A7="","",INDEX(RawData[Description],MATCH(A7,RawData[[Article ]],0)))</f>
        <v>Loreal S/L Invisible Gel 150ml</v>
      </c>
      <c r="C7" s="9">
        <f>IF(A7="","",COUNTIFS(RawData[[Article ]],A7,RawData[Month List],TEXT($A$4,"mmmm yyyy")))</f>
        <v>4</v>
      </c>
      <c r="D7" s="9">
        <f>IF(A7="","",COUNTIFS(RawData[[Article ]],A7,RawData[[Error Type ]],"Short",RawData[Month List],TEXT($A$4,"mmmm yyyy")))</f>
        <v>3</v>
      </c>
      <c r="E7" s="9">
        <f>IF(A7="","",COUNTIFS(RawData[[Article ]],A7,RawData[[Error Type ]],"Excess",RawData[Month List],TEXT($A$4, "mmmm yyyy")))</f>
        <v>1</v>
      </c>
      <c r="F7" s="9">
        <f>IF(A7="","",SUMIFS(RawData[Qyt Affected ( EA ) ],RawData[[Article ]],A7,RawData[Month List],TEXT($A$4,"mmmm yyyy")))</f>
        <v>24</v>
      </c>
      <c r="I7" t="str">
        <f>TEXT($A$4, "mmmm yyyyy")</f>
        <v>August 2026</v>
      </c>
      <c r="K7" t="str" cm="1">
        <f t="array" ref="K7:K8">_xlfn.SORTBY(_xlfn.UNIQUE(_xlfn._xlws.FILTER(RawData[Month List],RawData[Month List]&lt;&gt;"")),DATEVALUE("01"&amp;_xlfn.UNIQUE(_xlfn._xlws.FILTER(RawData[Month List],RawData[Month List]&lt;&gt;""))))</f>
        <v>July 2026</v>
      </c>
      <c r="M7" cm="1">
        <f t="array" ref="M7:M71">_xlfn._xlws.FILTER(RawData[[Article ]],(RawData[[Article ]]&lt;&gt;"")*(RawData[Month List]=TEXT(A$4,"mmmm yyyy")))</f>
        <v>899617</v>
      </c>
    </row>
    <row r="8" spans="1:13" ht="15.75" x14ac:dyDescent="0.25">
      <c r="A8" s="9">
        <v>2259265</v>
      </c>
      <c r="B8" s="9" t="str">
        <f>IF(A8="","",INDEX(RawData[Description],MATCH(A8,RawData[[Article ]],0)))</f>
        <v>L/Elv ExtOrdOil Midnt.Serm100m</v>
      </c>
      <c r="C8" s="9">
        <f>IF(A8="","",COUNTIFS(RawData[[Article ]],A8,RawData[Month List],TEXT($A$4,"mmmm yyyy")))</f>
        <v>3</v>
      </c>
      <c r="D8" s="9">
        <f>IF(A8="","",COUNTIFS(RawData[[Article ]],A8,RawData[[Error Type ]],"Short",RawData[Month List],TEXT($A$4,"mmmm yyyy")))</f>
        <v>1</v>
      </c>
      <c r="E8" s="9">
        <f>IF(A8="","",COUNTIFS(RawData[[Article ]],A8,RawData[[Error Type ]],"Excess",RawData[Month List],TEXT($A$4, "mmmm yyyy")))</f>
        <v>2</v>
      </c>
      <c r="F8" s="9">
        <f>IF(A8="","",SUMIFS(RawData[Qyt Affected ( EA ) ],RawData[[Article ]],A8,RawData[Month List],TEXT($A$4,"mmmm yyyy")))</f>
        <v>18</v>
      </c>
      <c r="K8" t="str">
        <v>August 2026</v>
      </c>
      <c r="M8">
        <v>1780037</v>
      </c>
    </row>
    <row r="9" spans="1:13" ht="15.75" x14ac:dyDescent="0.25">
      <c r="A9" s="9">
        <v>1348596</v>
      </c>
      <c r="B9" s="9" t="str">
        <f>IF(A9="","",INDEX(RawData[Description],MATCH(A9,RawData[[Article ]],0)))</f>
        <v>6 M/Dubai Drnk.Water500ml 12s PO</v>
      </c>
      <c r="C9" s="9">
        <f>IF(A9="","",COUNTIFS(RawData[[Article ]],A9,RawData[Month List],TEXT($A$4,"mmmm yyyy")))</f>
        <v>2</v>
      </c>
      <c r="D9" s="9">
        <f>IF(A9="","",COUNTIFS(RawData[[Article ]],A9,RawData[[Error Type ]],"Short",RawData[Month List],TEXT($A$4,"mmmm yyyy")))</f>
        <v>1</v>
      </c>
      <c r="E9" s="9">
        <f>IF(A9="","",COUNTIFS(RawData[[Article ]],A9,RawData[[Error Type ]],"Excess",RawData[Month List],TEXT($A$4, "mmmm yyyy")))</f>
        <v>1</v>
      </c>
      <c r="F9" s="9">
        <f>IF(A9="","",SUMIFS(RawData[Qyt Affected ( EA ) ],RawData[[Article ]],A9,RawData[Month List],TEXT($A$4,"mmmm yyyy")))</f>
        <v>26</v>
      </c>
      <c r="M9">
        <v>1533197</v>
      </c>
    </row>
    <row r="10" spans="1:13" ht="15.75" x14ac:dyDescent="0.25">
      <c r="A10" s="9">
        <v>899617</v>
      </c>
      <c r="B10" s="9" t="str">
        <f>IF(A10="","",INDEX(RawData[Description],MATCH(A10,RawData[[Article ]],0)))</f>
        <v>E/day Black Beans 454g</v>
      </c>
      <c r="C10" s="9">
        <f>IF(A10="","",COUNTIFS(RawData[[Article ]],A10,RawData[Month List],TEXT($A$4,"mmmm yyyy")))</f>
        <v>1</v>
      </c>
      <c r="D10" s="9">
        <f>IF(A10="","",COUNTIFS(RawData[[Article ]],A10,RawData[[Error Type ]],"Short",RawData[Month List],TEXT($A$4,"mmmm yyyy")))</f>
        <v>1</v>
      </c>
      <c r="E10" s="9">
        <f>IF(A10="","",COUNTIFS(RawData[[Article ]],A10,RawData[[Error Type ]],"Excess",RawData[Month List],TEXT($A$4, "mmmm yyyy")))</f>
        <v>0</v>
      </c>
      <c r="F10" s="9">
        <f>IF(A10="","",SUMIFS(RawData[Qyt Affected ( EA ) ],RawData[[Article ]],A10,RawData[Month List],TEXT($A$4,"mmmm yyyy")))</f>
        <v>12</v>
      </c>
      <c r="M10">
        <v>20166</v>
      </c>
    </row>
    <row r="11" spans="1:13" ht="15.75" x14ac:dyDescent="0.25">
      <c r="A11" s="9">
        <v>1780037</v>
      </c>
      <c r="B11" s="9" t="str">
        <f>IF(A11="","",INDEX(RawData[Description],MATCH(A11,RawData[[Article ]],0)))</f>
        <v xml:space="preserve"> Eastrn Spicy ChickenMasala125g</v>
      </c>
      <c r="C11" s="9">
        <f>IF(A11="","",COUNTIFS(RawData[[Article ]],A11,RawData[Month List],TEXT($A$4,"mmmm yyyy")))</f>
        <v>1</v>
      </c>
      <c r="D11" s="9">
        <f>IF(A11="","",COUNTIFS(RawData[[Article ]],A11,RawData[[Error Type ]],"Short",RawData[Month List],TEXT($A$4,"mmmm yyyy")))</f>
        <v>0</v>
      </c>
      <c r="E11" s="9">
        <f>IF(A11="","",COUNTIFS(RawData[[Article ]],A11,RawData[[Error Type ]],"Excess",RawData[Month List],TEXT($A$4, "mmmm yyyy")))</f>
        <v>1</v>
      </c>
      <c r="F11" s="9">
        <f>IF(A11="","",SUMIFS(RawData[Qyt Affected ( EA ) ],RawData[[Article ]],A11,RawData[Month List],TEXT($A$4,"mmmm yyyy")))</f>
        <v>6</v>
      </c>
      <c r="M11">
        <v>1608806</v>
      </c>
    </row>
    <row r="12" spans="1:13" ht="15.75" x14ac:dyDescent="0.25">
      <c r="A12" s="9">
        <v>1533197</v>
      </c>
      <c r="B12" s="9" t="str">
        <f>IF(A12="","",INDEX(RawData[Description],MATCH(A12,RawData[[Article ]],0)))</f>
        <v>Cerlc B/F Ban.Orng.Bsc 6M+ 90g</v>
      </c>
      <c r="C12" s="9">
        <f>IF(A12="","",COUNTIFS(RawData[[Article ]],A12,RawData[Month List],TEXT($A$4,"mmmm yyyy")))</f>
        <v>1</v>
      </c>
      <c r="D12" s="9">
        <f>IF(A12="","",COUNTIFS(RawData[[Article ]],A12,RawData[[Error Type ]],"Short",RawData[Month List],TEXT($A$4,"mmmm yyyy")))</f>
        <v>1</v>
      </c>
      <c r="E12" s="9">
        <f>IF(A12="","",COUNTIFS(RawData[[Article ]],A12,RawData[[Error Type ]],"Excess",RawData[Month List],TEXT($A$4, "mmmm yyyy")))</f>
        <v>0</v>
      </c>
      <c r="F12" s="9">
        <f>IF(A12="","",SUMIFS(RawData[Qyt Affected ( EA ) ],RawData[[Article ]],A12,RawData[Month List],TEXT($A$4,"mmmm yyyy")))</f>
        <v>32</v>
      </c>
      <c r="M12">
        <v>1423362</v>
      </c>
    </row>
    <row r="13" spans="1:13" ht="15.75" x14ac:dyDescent="0.25">
      <c r="A13" s="9">
        <v>20166</v>
      </c>
      <c r="B13" s="9" t="str">
        <f>IF(A13="","",INDEX(RawData[Description],MATCH(A13,RawData[[Article ]],0)))</f>
        <v xml:space="preserve"> White Seed</v>
      </c>
      <c r="C13" s="9">
        <f>IF(A13="","",COUNTIFS(RawData[[Article ]],A13,RawData[Month List],TEXT($A$4,"mmmm yyyy")))</f>
        <v>1</v>
      </c>
      <c r="D13" s="9">
        <f>IF(A13="","",COUNTIFS(RawData[[Article ]],A13,RawData[[Error Type ]],"Short",RawData[Month List],TEXT($A$4,"mmmm yyyy")))</f>
        <v>0</v>
      </c>
      <c r="E13" s="9">
        <f>IF(A13="","",COUNTIFS(RawData[[Article ]],A13,RawData[[Error Type ]],"Excess",RawData[Month List],TEXT($A$4, "mmmm yyyy")))</f>
        <v>1</v>
      </c>
      <c r="F13" s="9">
        <f>IF(A13="","",SUMIFS(RawData[Qyt Affected ( EA ) ],RawData[[Article ]],A13,RawData[Month List],TEXT($A$4,"mmmm yyyy")))</f>
        <v>1</v>
      </c>
      <c r="M13">
        <v>73522</v>
      </c>
    </row>
    <row r="14" spans="1:13" ht="15.75" x14ac:dyDescent="0.25">
      <c r="A14" s="9">
        <v>1608806</v>
      </c>
      <c r="B14" s="9" t="str">
        <f>IF(A14="","",INDEX(RawData[Description],MATCH(A14,RawData[[Article ]],0)))</f>
        <v>Rex.Deo(W) A/P 48H PwdrDry150m</v>
      </c>
      <c r="C14" s="9">
        <f>IF(A14="","",COUNTIFS(RawData[[Article ]],A14,RawData[Month List],TEXT($A$4,"mmmm yyyy")))</f>
        <v>1</v>
      </c>
      <c r="D14" s="9">
        <f>IF(A14="","",COUNTIFS(RawData[[Article ]],A14,RawData[[Error Type ]],"Short",RawData[Month List],TEXT($A$4,"mmmm yyyy")))</f>
        <v>1</v>
      </c>
      <c r="E14" s="9">
        <f>IF(A14="","",COUNTIFS(RawData[[Article ]],A14,RawData[[Error Type ]],"Excess",RawData[Month List],TEXT($A$4, "mmmm yyyy")))</f>
        <v>0</v>
      </c>
      <c r="F14" s="9">
        <f>IF(A14="","",SUMIFS(RawData[Qyt Affected ( EA ) ],RawData[[Article ]],A14,RawData[Month List],TEXT($A$4,"mmmm yyyy")))</f>
        <v>12</v>
      </c>
      <c r="M14">
        <v>648787</v>
      </c>
    </row>
    <row r="15" spans="1:13" ht="15.75" x14ac:dyDescent="0.25">
      <c r="A15" s="9">
        <v>1423362</v>
      </c>
      <c r="B15" s="9" t="str">
        <f>IF(A15="","",INDEX(RawData[Description],MATCH(A15,RawData[[Article ]],0)))</f>
        <v>Nestle Condensed Milk Sqz 450g</v>
      </c>
      <c r="C15" s="9">
        <f>IF(A15="","",COUNTIFS(RawData[[Article ]],A15,RawData[Month List],TEXT($A$4,"mmmm yyyy")))</f>
        <v>1</v>
      </c>
      <c r="D15" s="9">
        <f>IF(A15="","",COUNTIFS(RawData[[Article ]],A15,RawData[[Error Type ]],"Short",RawData[Month List],TEXT($A$4,"mmmm yyyy")))</f>
        <v>0</v>
      </c>
      <c r="E15" s="9">
        <f>IF(A15="","",COUNTIFS(RawData[[Article ]],A15,RawData[[Error Type ]],"Excess",RawData[Month List],TEXT($A$4, "mmmm yyyy")))</f>
        <v>1</v>
      </c>
      <c r="F15" s="9">
        <f>IF(A15="","",SUMIFS(RawData[Qyt Affected ( EA ) ],RawData[[Article ]],A15,RawData[Month List],TEXT($A$4,"mmmm yyyy")))</f>
        <v>12</v>
      </c>
      <c r="M15">
        <v>1815319</v>
      </c>
    </row>
    <row r="16" spans="1:13" ht="15.75" x14ac:dyDescent="0.25">
      <c r="A16" s="9">
        <v>73522</v>
      </c>
      <c r="B16" s="9" t="str">
        <f>IF(A16="","",INDEX(RawData[Description],MATCH(A16,RawData[[Article ]],0)))</f>
        <v>Safa Tomato Paste 850g</v>
      </c>
      <c r="C16" s="9">
        <f>IF(A16="","",COUNTIFS(RawData[[Article ]],A16,RawData[Month List],TEXT($A$4,"mmmm yyyy")))</f>
        <v>1</v>
      </c>
      <c r="D16" s="9">
        <f>IF(A16="","",COUNTIFS(RawData[[Article ]],A16,RawData[[Error Type ]],"Short",RawData[Month List],TEXT($A$4,"mmmm yyyy")))</f>
        <v>1</v>
      </c>
      <c r="E16" s="9">
        <f>IF(A16="","",COUNTIFS(RawData[[Article ]],A16,RawData[[Error Type ]],"Excess",RawData[Month List],TEXT($A$4, "mmmm yyyy")))</f>
        <v>0</v>
      </c>
      <c r="F16" s="9">
        <f>IF(A16="","",SUMIFS(RawData[Qyt Affected ( EA ) ],RawData[[Article ]],A16,RawData[Month List],TEXT($A$4,"mmmm yyyy")))</f>
        <v>12</v>
      </c>
      <c r="M16">
        <v>1607617</v>
      </c>
    </row>
    <row r="17" spans="1:13" ht="15.75" x14ac:dyDescent="0.25">
      <c r="A17" s="9">
        <v>648787</v>
      </c>
      <c r="B17" s="9" t="str">
        <f>IF(A17="","",INDEX(RawData[Description],MATCH(A17,RawData[[Article ]],0)))</f>
        <v>Eastern Coconut Oil 2lt</v>
      </c>
      <c r="C17" s="9">
        <f>IF(A17="","",COUNTIFS(RawData[[Article ]],A17,RawData[Month List],TEXT($A$4,"mmmm yyyy")))</f>
        <v>1</v>
      </c>
      <c r="D17" s="9">
        <f>IF(A17="","",COUNTIFS(RawData[[Article ]],A17,RawData[[Error Type ]],"Short",RawData[Month List],TEXT($A$4,"mmmm yyyy")))</f>
        <v>1</v>
      </c>
      <c r="E17" s="9">
        <f>IF(A17="","",COUNTIFS(RawData[[Article ]],A17,RawData[[Error Type ]],"Excess",RawData[Month List],TEXT($A$4, "mmmm yyyy")))</f>
        <v>0</v>
      </c>
      <c r="F17" s="9">
        <f>IF(A17="","",SUMIFS(RawData[Qyt Affected ( EA ) ],RawData[[Article ]],A17,RawData[Month List],TEXT($A$4,"mmmm yyyy")))</f>
        <v>12</v>
      </c>
      <c r="M17">
        <v>861823</v>
      </c>
    </row>
    <row r="18" spans="1:13" ht="15.75" x14ac:dyDescent="0.25">
      <c r="A18" s="9">
        <v>1815319</v>
      </c>
      <c r="B18" s="9" t="str">
        <f>IF(A18="","",INDEX(RawData[Description],MATCH(A18,RawData[[Article ]],0)))</f>
        <v>Lulu Canola Oil 1.5lt 2s</v>
      </c>
      <c r="C18" s="9">
        <f>IF(A18="","",COUNTIFS(RawData[[Article ]],A18,RawData[Month List],TEXT($A$4,"mmmm yyyy")))</f>
        <v>1</v>
      </c>
      <c r="D18" s="9">
        <f>IF(A18="","",COUNTIFS(RawData[[Article ]],A18,RawData[[Error Type ]],"Short",RawData[Month List],TEXT($A$4,"mmmm yyyy")))</f>
        <v>0</v>
      </c>
      <c r="E18" s="9">
        <f>IF(A18="","",COUNTIFS(RawData[[Article ]],A18,RawData[[Error Type ]],"Excess",RawData[Month List],TEXT($A$4, "mmmm yyyy")))</f>
        <v>1</v>
      </c>
      <c r="F18" s="9">
        <f>IF(A18="","",SUMIFS(RawData[Qyt Affected ( EA ) ],RawData[[Article ]],A18,RawData[Month List],TEXT($A$4,"mmmm yyyy")))</f>
        <v>3</v>
      </c>
      <c r="M18">
        <v>1411005</v>
      </c>
    </row>
    <row r="19" spans="1:13" ht="15.75" x14ac:dyDescent="0.25">
      <c r="A19" s="9">
        <v>1607617</v>
      </c>
      <c r="B19" s="9" t="str">
        <f>IF(A19="","",INDEX(RawData[Description],MATCH(A19,RawData[[Article ]],0)))</f>
        <v>Signl T/P Nat.Elmnt Charcl 75m</v>
      </c>
      <c r="C19" s="9">
        <f>IF(A19="","",COUNTIFS(RawData[[Article ]],A19,RawData[Month List],TEXT($A$4,"mmmm yyyy")))</f>
        <v>1</v>
      </c>
      <c r="D19" s="9">
        <f>IF(A19="","",COUNTIFS(RawData[[Article ]],A19,RawData[[Error Type ]],"Short",RawData[Month List],TEXT($A$4,"mmmm yyyy")))</f>
        <v>1</v>
      </c>
      <c r="E19" s="9">
        <f>IF(A19="","",COUNTIFS(RawData[[Article ]],A19,RawData[[Error Type ]],"Excess",RawData[Month List],TEXT($A$4, "mmmm yyyy")))</f>
        <v>0</v>
      </c>
      <c r="F19" s="9">
        <f>IF(A19="","",SUMIFS(RawData[Qyt Affected ( EA ) ],RawData[[Article ]],A19,RawData[Month List],TEXT($A$4,"mmmm yyyy")))</f>
        <v>12</v>
      </c>
      <c r="M19">
        <v>1989893</v>
      </c>
    </row>
    <row r="20" spans="1:13" ht="15.75" x14ac:dyDescent="0.25">
      <c r="A20" s="9">
        <v>861823</v>
      </c>
      <c r="B20" s="9" t="str">
        <f>IF(A20="","",INDEX(RawData[Description],MATCH(A20,RawData[[Article ]],0)))</f>
        <v>Lego Pesto Tradtnl Basil 190g</v>
      </c>
      <c r="C20" s="9">
        <f>IF(A20="","",COUNTIFS(RawData[[Article ]],A20,RawData[Month List],TEXT($A$4,"mmmm yyyy")))</f>
        <v>1</v>
      </c>
      <c r="D20" s="9">
        <f>IF(A20="","",COUNTIFS(RawData[[Article ]],A20,RawData[[Error Type ]],"Short",RawData[Month List],TEXT($A$4,"mmmm yyyy")))</f>
        <v>1</v>
      </c>
      <c r="E20" s="9">
        <f>IF(A20="","",COUNTIFS(RawData[[Article ]],A20,RawData[[Error Type ]],"Excess",RawData[Month List],TEXT($A$4, "mmmm yyyy")))</f>
        <v>0</v>
      </c>
      <c r="F20" s="9">
        <f>IF(A20="","",SUMIFS(RawData[Qyt Affected ( EA ) ],RawData[[Article ]],A20,RawData[Month List],TEXT($A$4,"mmmm yyyy")))</f>
        <v>8</v>
      </c>
      <c r="M20">
        <v>11407</v>
      </c>
    </row>
    <row r="21" spans="1:13" ht="15.75" x14ac:dyDescent="0.25">
      <c r="A21" s="9">
        <v>1411005</v>
      </c>
      <c r="B21" s="9" t="str">
        <f>IF(A21="","",INDEX(RawData[Description],MATCH(A21,RawData[[Article ]],0)))</f>
        <v>HM Antiseptic 750ml 2s+500ml</v>
      </c>
      <c r="C21" s="9">
        <f>IF(A21="","",COUNTIFS(RawData[[Article ]],A21,RawData[Month List],TEXT($A$4,"mmmm yyyy")))</f>
        <v>1</v>
      </c>
      <c r="D21" s="9">
        <f>IF(A21="","",COUNTIFS(RawData[[Article ]],A21,RawData[[Error Type ]],"Short",RawData[Month List],TEXT($A$4,"mmmm yyyy")))</f>
        <v>1</v>
      </c>
      <c r="E21" s="9">
        <f>IF(A21="","",COUNTIFS(RawData[[Article ]],A21,RawData[[Error Type ]],"Excess",RawData[Month List],TEXT($A$4, "mmmm yyyy")))</f>
        <v>0</v>
      </c>
      <c r="F21" s="9">
        <f>IF(A21="","",SUMIFS(RawData[Qyt Affected ( EA ) ],RawData[[Article ]],A21,RawData[Month List],TEXT($A$4,"mmmm yyyy")))</f>
        <v>8</v>
      </c>
      <c r="M21">
        <v>1464378</v>
      </c>
    </row>
    <row r="22" spans="1:13" ht="15.75" x14ac:dyDescent="0.25">
      <c r="A22" s="9">
        <v>1989893</v>
      </c>
      <c r="B22" s="9" t="str">
        <f>IF(A22="","",INDEX(RawData[Description],MATCH(A22,RawData[[Article ]],0)))</f>
        <v>Finsh PB A/1 Qntm Lemn 21s 2pk</v>
      </c>
      <c r="C22" s="9">
        <f>IF(A22="","",COUNTIFS(RawData[[Article ]],A22,RawData[Month List],TEXT($A$4,"mmmm yyyy")))</f>
        <v>1</v>
      </c>
      <c r="D22" s="9">
        <f>IF(A22="","",COUNTIFS(RawData[[Article ]],A22,RawData[[Error Type ]],"Short",RawData[Month List],TEXT($A$4,"mmmm yyyy")))</f>
        <v>1</v>
      </c>
      <c r="E22" s="9">
        <f>IF(A22="","",COUNTIFS(RawData[[Article ]],A22,RawData[[Error Type ]],"Excess",RawData[Month List],TEXT($A$4, "mmmm yyyy")))</f>
        <v>0</v>
      </c>
      <c r="F22" s="9">
        <f>IF(A22="","",SUMIFS(RawData[Qyt Affected ( EA ) ],RawData[[Article ]],A22,RawData[Month List],TEXT($A$4,"mmmm yyyy")))</f>
        <v>3</v>
      </c>
      <c r="M22">
        <v>1344332</v>
      </c>
    </row>
    <row r="23" spans="1:13" ht="15.75" x14ac:dyDescent="0.25">
      <c r="A23" s="9">
        <v>11407</v>
      </c>
      <c r="B23" s="9" t="str">
        <f>IF(A23="","",INDEX(RawData[Description],MATCH(A23,RawData[[Article ]],0)))</f>
        <v>Nivea Soft 75ml</v>
      </c>
      <c r="C23" s="9">
        <f>IF(A23="","",COUNTIFS(RawData[[Article ]],A23,RawData[Month List],TEXT($A$4,"mmmm yyyy")))</f>
        <v>1</v>
      </c>
      <c r="D23" s="9">
        <f>IF(A23="","",COUNTIFS(RawData[[Article ]],A23,RawData[[Error Type ]],"Short",RawData[Month List],TEXT($A$4,"mmmm yyyy")))</f>
        <v>1</v>
      </c>
      <c r="E23" s="9">
        <f>IF(A23="","",COUNTIFS(RawData[[Article ]],A23,RawData[[Error Type ]],"Excess",RawData[Month List],TEXT($A$4, "mmmm yyyy")))</f>
        <v>0</v>
      </c>
      <c r="F23" s="9">
        <f>IF(A23="","",SUMIFS(RawData[Qyt Affected ( EA ) ],RawData[[Article ]],A23,RawData[Month List],TEXT($A$4,"mmmm yyyy")))</f>
        <v>1</v>
      </c>
      <c r="M23">
        <v>1348596</v>
      </c>
    </row>
    <row r="24" spans="1:13" ht="15.75" x14ac:dyDescent="0.25">
      <c r="A24" s="9">
        <v>1464378</v>
      </c>
      <c r="B24" s="9" t="str">
        <f>IF(A24="","",INDEX(RawData[Description],MATCH(A24,RawData[[Article ]],0)))</f>
        <v>Dov.B/Wsh Rst.Ritl Cocnt 500ml</v>
      </c>
      <c r="C24" s="9">
        <f>IF(A24="","",COUNTIFS(RawData[[Article ]],A24,RawData[Month List],TEXT($A$4,"mmmm yyyy")))</f>
        <v>1</v>
      </c>
      <c r="D24" s="9">
        <f>IF(A24="","",COUNTIFS(RawData[[Article ]],A24,RawData[[Error Type ]],"Short",RawData[Month List],TEXT($A$4,"mmmm yyyy")))</f>
        <v>0</v>
      </c>
      <c r="E24" s="9">
        <f>IF(A24="","",COUNTIFS(RawData[[Article ]],A24,RawData[[Error Type ]],"Excess",RawData[Month List],TEXT($A$4, "mmmm yyyy")))</f>
        <v>1</v>
      </c>
      <c r="F24" s="9">
        <f>IF(A24="","",SUMIFS(RawData[Qyt Affected ( EA ) ],RawData[[Article ]],A24,RawData[Month List],TEXT($A$4,"mmmm yyyy")))</f>
        <v>6</v>
      </c>
      <c r="M24">
        <v>1261507</v>
      </c>
    </row>
    <row r="25" spans="1:13" ht="15.75" x14ac:dyDescent="0.25">
      <c r="A25" s="9">
        <v>1344332</v>
      </c>
      <c r="B25" s="9" t="str">
        <f>IF(A25="","",INDEX(RawData[Description],MATCH(A25,RawData[[Article ]],0)))</f>
        <v>Pert Shmp Dmg&amp;Dyd OlvOil 600ml</v>
      </c>
      <c r="C25" s="9">
        <f>IF(A25="","",COUNTIFS(RawData[[Article ]],A25,RawData[Month List],TEXT($A$4,"mmmm yyyy")))</f>
        <v>1</v>
      </c>
      <c r="D25" s="9">
        <f>IF(A25="","",COUNTIFS(RawData[[Article ]],A25,RawData[[Error Type ]],"Short",RawData[Month List],TEXT($A$4,"mmmm yyyy")))</f>
        <v>1</v>
      </c>
      <c r="E25" s="9">
        <f>IF(A25="","",COUNTIFS(RawData[[Article ]],A25,RawData[[Error Type ]],"Excess",RawData[Month List],TEXT($A$4, "mmmm yyyy")))</f>
        <v>0</v>
      </c>
      <c r="F25" s="9">
        <f>IF(A25="","",SUMIFS(RawData[Qyt Affected ( EA ) ],RawData[[Article ]],A25,RawData[Month List],TEXT($A$4,"mmmm yyyy")))</f>
        <v>6</v>
      </c>
      <c r="M25">
        <v>1317432</v>
      </c>
    </row>
    <row r="26" spans="1:13" ht="15.75" x14ac:dyDescent="0.25">
      <c r="A26" s="9">
        <v>1261507</v>
      </c>
      <c r="B26" s="9" t="str">
        <f>IF(A26="","",INDEX(RawData[Description],MATCH(A26,RawData[[Article ]],0)))</f>
        <v xml:space="preserve">C/G </v>
      </c>
      <c r="C26" s="9">
        <f>IF(A26="","",COUNTIFS(RawData[[Article ]],A26,RawData[Month List],TEXT($A$4,"mmmm yyyy")))</f>
        <v>1</v>
      </c>
      <c r="D26" s="9">
        <f>IF(A26="","",COUNTIFS(RawData[[Article ]],A26,RawData[[Error Type ]],"Short",RawData[Month List],TEXT($A$4,"mmmm yyyy")))</f>
        <v>0</v>
      </c>
      <c r="E26" s="9">
        <f>IF(A26="","",COUNTIFS(RawData[[Article ]],A26,RawData[[Error Type ]],"Excess",RawData[Month List],TEXT($A$4, "mmmm yyyy")))</f>
        <v>1</v>
      </c>
      <c r="F26" s="9">
        <f>IF(A26="","",SUMIFS(RawData[Qyt Affected ( EA ) ],RawData[[Article ]],A26,RawData[Month List],TEXT($A$4,"mmmm yyyy")))</f>
        <v>12</v>
      </c>
      <c r="M26">
        <v>837191</v>
      </c>
    </row>
    <row r="27" spans="1:13" ht="15.75" x14ac:dyDescent="0.25">
      <c r="A27" s="9">
        <v>1317432</v>
      </c>
      <c r="B27" s="9" t="str">
        <f>IF(A27="","",INDEX(RawData[Description],MATCH(A27,RawData[[Article ]],0)))</f>
        <v>C/G FvaBns Mashd Salsa.Rcp450g</v>
      </c>
      <c r="C27" s="9">
        <f>IF(A27="","",COUNTIFS(RawData[[Article ]],A27,RawData[Month List],TEXT($A$4,"mmmm yyyy")))</f>
        <v>1</v>
      </c>
      <c r="D27" s="9">
        <f>IF(A27="","",COUNTIFS(RawData[[Article ]],A27,RawData[[Error Type ]],"Short",RawData[Month List],TEXT($A$4,"mmmm yyyy")))</f>
        <v>1</v>
      </c>
      <c r="E27" s="9">
        <f>IF(A27="","",COUNTIFS(RawData[[Article ]],A27,RawData[[Error Type ]],"Excess",RawData[Month List],TEXT($A$4, "mmmm yyyy")))</f>
        <v>0</v>
      </c>
      <c r="F27" s="9">
        <f>IF(A27="","",SUMIFS(RawData[Qyt Affected ( EA ) ],RawData[[Article ]],A27,RawData[Month List],TEXT($A$4,"mmmm yyyy")))</f>
        <v>12</v>
      </c>
      <c r="M27">
        <v>1629720</v>
      </c>
    </row>
    <row r="28" spans="1:13" ht="15.75" x14ac:dyDescent="0.25">
      <c r="A28" s="9">
        <v>837191</v>
      </c>
      <c r="B28" s="9" t="str">
        <f>IF(A28="","",INDEX(RawData[Description],MATCH(A28,RawData[[Article ]],0)))</f>
        <v>J&amp;J Baby Soap 125g 5+1</v>
      </c>
      <c r="C28" s="9">
        <f>IF(A28="","",COUNTIFS(RawData[[Article ]],A28,RawData[Month List],TEXT($A$4,"mmmm yyyy")))</f>
        <v>1</v>
      </c>
      <c r="D28" s="9">
        <f>IF(A28="","",COUNTIFS(RawData[[Article ]],A28,RawData[[Error Type ]],"Short",RawData[Month List],TEXT($A$4,"mmmm yyyy")))</f>
        <v>1</v>
      </c>
      <c r="E28" s="9">
        <f>IF(A28="","",COUNTIFS(RawData[[Article ]],A28,RawData[[Error Type ]],"Excess",RawData[Month List],TEXT($A$4, "mmmm yyyy")))</f>
        <v>0</v>
      </c>
      <c r="F28" s="9">
        <f>IF(A28="","",SUMIFS(RawData[Qyt Affected ( EA ) ],RawData[[Article ]],A28,RawData[Month List],TEXT($A$4,"mmmm yyyy")))</f>
        <v>5</v>
      </c>
      <c r="M28">
        <v>2021203</v>
      </c>
    </row>
    <row r="29" spans="1:13" ht="15.75" x14ac:dyDescent="0.25">
      <c r="A29" s="9">
        <v>1629720</v>
      </c>
      <c r="B29" s="9" t="str">
        <f>IF(A29="","",INDEX(RawData[Description],MATCH(A29,RawData[[Article ]],0)))</f>
        <v>Gerber Bite Tomoto+Carrot 35g</v>
      </c>
      <c r="C29" s="9">
        <f>IF(A29="","",COUNTIFS(RawData[[Article ]],A29,RawData[Month List],TEXT($A$4,"mmmm yyyy")))</f>
        <v>1</v>
      </c>
      <c r="D29" s="9">
        <f>IF(A29="","",COUNTIFS(RawData[[Article ]],A29,RawData[[Error Type ]],"Short",RawData[Month List],TEXT($A$4,"mmmm yyyy")))</f>
        <v>1</v>
      </c>
      <c r="E29" s="9">
        <f>IF(A29="","",COUNTIFS(RawData[[Article ]],A29,RawData[[Error Type ]],"Excess",RawData[Month List],TEXT($A$4, "mmmm yyyy")))</f>
        <v>0</v>
      </c>
      <c r="F29" s="9">
        <f>IF(A29="","",SUMIFS(RawData[Qyt Affected ( EA ) ],RawData[[Article ]],A29,RawData[Month List],TEXT($A$4,"mmmm yyyy")))</f>
        <v>5</v>
      </c>
      <c r="M29">
        <v>49148</v>
      </c>
    </row>
    <row r="30" spans="1:13" ht="15.75" x14ac:dyDescent="0.25">
      <c r="A30" s="9">
        <v>2021203</v>
      </c>
      <c r="B30" s="9" t="str">
        <f>IF(A30="","",INDEX(RawData[Description],MATCH(A30,RawData[[Article ]],0)))</f>
        <v>Palm.Foamg H/W Lime&amp;Mint 250ml</v>
      </c>
      <c r="C30" s="9">
        <f>IF(A30="","",COUNTIFS(RawData[[Article ]],A30,RawData[Month List],TEXT($A$4,"mmmm yyyy")))</f>
        <v>1</v>
      </c>
      <c r="D30" s="9">
        <f>IF(A30="","",COUNTIFS(RawData[[Article ]],A30,RawData[[Error Type ]],"Short",RawData[Month List],TEXT($A$4,"mmmm yyyy")))</f>
        <v>1</v>
      </c>
      <c r="E30" s="9">
        <f>IF(A30="","",COUNTIFS(RawData[[Article ]],A30,RawData[[Error Type ]],"Excess",RawData[Month List],TEXT($A$4, "mmmm yyyy")))</f>
        <v>0</v>
      </c>
      <c r="F30" s="9">
        <f>IF(A30="","",SUMIFS(RawData[Qyt Affected ( EA ) ],RawData[[Article ]],A30,RawData[Month List],TEXT($A$4,"mmmm yyyy")))</f>
        <v>18</v>
      </c>
      <c r="M30">
        <v>1309541</v>
      </c>
    </row>
    <row r="31" spans="1:13" ht="15.75" x14ac:dyDescent="0.25">
      <c r="A31" s="9">
        <v>49148</v>
      </c>
      <c r="B31" s="9" t="str">
        <f>IF(A31="","",INDEX(RawData[Description],MATCH(A31,RawData[[Article ]],0)))</f>
        <v>Irani Raisin Golden</v>
      </c>
      <c r="C31" s="9">
        <f>IF(A31="","",COUNTIFS(RawData[[Article ]],A31,RawData[Month List],TEXT($A$4,"mmmm yyyy")))</f>
        <v>1</v>
      </c>
      <c r="D31" s="9">
        <f>IF(A31="","",COUNTIFS(RawData[[Article ]],A31,RawData[[Error Type ]],"Short",RawData[Month List],TEXT($A$4,"mmmm yyyy")))</f>
        <v>0</v>
      </c>
      <c r="E31" s="9">
        <f>IF(A31="","",COUNTIFS(RawData[[Article ]],A31,RawData[[Error Type ]],"Excess",RawData[Month List],TEXT($A$4, "mmmm yyyy")))</f>
        <v>1</v>
      </c>
      <c r="F31" s="9">
        <f>IF(A31="","",SUMIFS(RawData[Qyt Affected ( EA ) ],RawData[[Article ]],A31,RawData[Month List],TEXT($A$4,"mmmm yyyy")))</f>
        <v>1</v>
      </c>
      <c r="M31">
        <v>2334287</v>
      </c>
    </row>
    <row r="32" spans="1:13" ht="15.75" x14ac:dyDescent="0.25">
      <c r="A32" s="9">
        <v>1309541</v>
      </c>
      <c r="B32" s="9" t="str">
        <f>IF(A32="","",INDEX(RawData[Description],MATCH(A32,RawData[[Article ]],0)))</f>
        <v>Pringles Chips Sour&amp;Onion 70g</v>
      </c>
      <c r="C32" s="9">
        <f>IF(A32="","",COUNTIFS(RawData[[Article ]],A32,RawData[Month List],TEXT($A$4,"mmmm yyyy")))</f>
        <v>1</v>
      </c>
      <c r="D32" s="9">
        <f>IF(A32="","",COUNTIFS(RawData[[Article ]],A32,RawData[[Error Type ]],"Short",RawData[Month List],TEXT($A$4,"mmmm yyyy")))</f>
        <v>1</v>
      </c>
      <c r="E32" s="9">
        <f>IF(A32="","",COUNTIFS(RawData[[Article ]],A32,RawData[[Error Type ]],"Excess",RawData[Month List],TEXT($A$4, "mmmm yyyy")))</f>
        <v>0</v>
      </c>
      <c r="F32" s="9">
        <f>IF(A32="","",SUMIFS(RawData[Qyt Affected ( EA ) ],RawData[[Article ]],A32,RawData[Month List],TEXT($A$4,"mmmm yyyy")))</f>
        <v>12</v>
      </c>
      <c r="M32">
        <v>930605</v>
      </c>
    </row>
    <row r="33" spans="1:13" ht="15.75" x14ac:dyDescent="0.25">
      <c r="A33" s="9">
        <v>2334287</v>
      </c>
      <c r="B33" s="9" t="str">
        <f>IF(A33="","",INDEX(RawData[Description],MATCH(A33,RawData[[Article ]],0)))</f>
        <v>Tid TplPr Gel DwyFlor 2x1.8LPO</v>
      </c>
      <c r="C33" s="9">
        <f>IF(A33="","",COUNTIFS(RawData[[Article ]],A33,RawData[Month List],TEXT($A$4,"mmmm yyyy")))</f>
        <v>1</v>
      </c>
      <c r="D33" s="9">
        <f>IF(A33="","",COUNTIFS(RawData[[Article ]],A33,RawData[[Error Type ]],"Short",RawData[Month List],TEXT($A$4,"mmmm yyyy")))</f>
        <v>1</v>
      </c>
      <c r="E33" s="9">
        <f>IF(A33="","",COUNTIFS(RawData[[Article ]],A33,RawData[[Error Type ]],"Excess",RawData[Month List],TEXT($A$4, "mmmm yyyy")))</f>
        <v>0</v>
      </c>
      <c r="F33" s="9">
        <f>IF(A33="","",SUMIFS(RawData[Qyt Affected ( EA ) ],RawData[[Article ]],A33,RawData[Month List],TEXT($A$4,"mmmm yyyy")))</f>
        <v>2</v>
      </c>
      <c r="M33">
        <v>1764336</v>
      </c>
    </row>
    <row r="34" spans="1:13" ht="15.75" x14ac:dyDescent="0.25">
      <c r="A34" s="9">
        <v>930605</v>
      </c>
      <c r="B34" s="9" t="str">
        <f>IF(A34="","",INDEX(RawData[Description],MATCH(A34,RawData[[Article ]],0)))</f>
        <v>Clr Shmp(M) A/D ShwrFrsh 400ml</v>
      </c>
      <c r="C34" s="9">
        <f>IF(A34="","",COUNTIFS(RawData[[Article ]],A34,RawData[Month List],TEXT($A$4,"mmmm yyyy")))</f>
        <v>1</v>
      </c>
      <c r="D34" s="9">
        <f>IF(A34="","",COUNTIFS(RawData[[Article ]],A34,RawData[[Error Type ]],"Short",RawData[Month List],TEXT($A$4,"mmmm yyyy")))</f>
        <v>0</v>
      </c>
      <c r="E34" s="9">
        <f>IF(A34="","",COUNTIFS(RawData[[Article ]],A34,RawData[[Error Type ]],"Excess",RawData[Month List],TEXT($A$4, "mmmm yyyy")))</f>
        <v>1</v>
      </c>
      <c r="F34" s="9">
        <f>IF(A34="","",SUMIFS(RawData[Qyt Affected ( EA ) ],RawData[[Article ]],A34,RawData[Month List],TEXT($A$4,"mmmm yyyy")))</f>
        <v>6</v>
      </c>
      <c r="M34">
        <v>1348596</v>
      </c>
    </row>
    <row r="35" spans="1:13" ht="15.75" x14ac:dyDescent="0.25">
      <c r="A35" s="9">
        <v>1764336</v>
      </c>
      <c r="B35" s="9" t="str">
        <f>IF(A35="","",INDEX(RawData[Description],MATCH(A35,RawData[[Article ]],0)))</f>
        <v>Surf WP Jasm&amp;FrenchFlw TL 2.4k</v>
      </c>
      <c r="C35" s="9">
        <f>IF(A35="","",COUNTIFS(RawData[[Article ]],A35,RawData[Month List],TEXT($A$4,"mmmm yyyy")))</f>
        <v>1</v>
      </c>
      <c r="D35" s="9">
        <f>IF(A35="","",COUNTIFS(RawData[[Article ]],A35,RawData[[Error Type ]],"Short",RawData[Month List],TEXT($A$4,"mmmm yyyy")))</f>
        <v>1</v>
      </c>
      <c r="E35" s="9">
        <f>IF(A35="","",COUNTIFS(RawData[[Article ]],A35,RawData[[Error Type ]],"Excess",RawData[Month List],TEXT($A$4, "mmmm yyyy")))</f>
        <v>0</v>
      </c>
      <c r="F35" s="9">
        <f>IF(A35="","",SUMIFS(RawData[Qyt Affected ( EA ) ],RawData[[Article ]],A35,RawData[Month List],TEXT($A$4,"mmmm yyyy")))</f>
        <v>4</v>
      </c>
      <c r="M35">
        <v>309825</v>
      </c>
    </row>
    <row r="36" spans="1:13" ht="15.75" x14ac:dyDescent="0.25">
      <c r="A36" s="9">
        <v>309825</v>
      </c>
      <c r="B36" s="9" t="str">
        <f>IF(A36="","",INDEX(RawData[Description],MATCH(A36,RawData[[Article ]],0)))</f>
        <v>Crest Tooth Paste Kids 50ml</v>
      </c>
      <c r="C36" s="9">
        <f>IF(A36="","",COUNTIFS(RawData[[Article ]],A36,RawData[Month List],TEXT($A$4,"mmmm yyyy")))</f>
        <v>1</v>
      </c>
      <c r="D36" s="9">
        <f>IF(A36="","",COUNTIFS(RawData[[Article ]],A36,RawData[[Error Type ]],"Short",RawData[Month List],TEXT($A$4,"mmmm yyyy")))</f>
        <v>1</v>
      </c>
      <c r="E36" s="9">
        <f>IF(A36="","",COUNTIFS(RawData[[Article ]],A36,RawData[[Error Type ]],"Excess",RawData[Month List],TEXT($A$4, "mmmm yyyy")))</f>
        <v>0</v>
      </c>
      <c r="F36" s="9">
        <f>IF(A36="","",SUMIFS(RawData[Qyt Affected ( EA ) ],RawData[[Article ]],A36,RawData[Month List],TEXT($A$4,"mmmm yyyy")))</f>
        <v>12</v>
      </c>
      <c r="M36">
        <v>2644751</v>
      </c>
    </row>
    <row r="37" spans="1:13" ht="15.75" x14ac:dyDescent="0.25">
      <c r="A37" s="9">
        <v>2644751</v>
      </c>
      <c r="B37" s="9" t="str">
        <f>IF(A37="","",INDEX(RawData[Description],MATCH(A37,RawData[[Article ]],0)))</f>
        <v>Al Jazira Virgn OliveOil 1ltPO</v>
      </c>
      <c r="C37" s="9">
        <f>IF(A37="","",COUNTIFS(RawData[[Article ]],A37,RawData[Month List],TEXT($A$4,"mmmm yyyy")))</f>
        <v>1</v>
      </c>
      <c r="D37" s="9">
        <f>IF(A37="","",COUNTIFS(RawData[[Article ]],A37,RawData[[Error Type ]],"Short",RawData[Month List],TEXT($A$4,"mmmm yyyy")))</f>
        <v>1</v>
      </c>
      <c r="E37" s="9">
        <f>IF(A37="","",COUNTIFS(RawData[[Article ]],A37,RawData[[Error Type ]],"Excess",RawData[Month List],TEXT($A$4, "mmmm yyyy")))</f>
        <v>0</v>
      </c>
      <c r="F37" s="9">
        <f>IF(A37="","",SUMIFS(RawData[Qyt Affected ( EA ) ],RawData[[Article ]],A37,RawData[Month List],TEXT($A$4,"mmmm yyyy")))</f>
        <v>12</v>
      </c>
      <c r="M37">
        <v>1812701</v>
      </c>
    </row>
    <row r="38" spans="1:13" ht="15.75" x14ac:dyDescent="0.25">
      <c r="A38" s="9">
        <v>1812701</v>
      </c>
      <c r="B38" s="9" t="str">
        <f>IF(A38="","",INDEX(RawData[Description],MATCH(A38,RawData[[Article ]],0)))</f>
        <v>Kotex Nat.Cotn Mxi Nght Wng22s</v>
      </c>
      <c r="C38" s="9">
        <f>IF(A38="","",COUNTIFS(RawData[[Article ]],A38,RawData[Month List],TEXT($A$4,"mmmm yyyy")))</f>
        <v>1</v>
      </c>
      <c r="D38" s="9">
        <f>IF(A38="","",COUNTIFS(RawData[[Article ]],A38,RawData[[Error Type ]],"Short",RawData[Month List],TEXT($A$4,"mmmm yyyy")))</f>
        <v>0</v>
      </c>
      <c r="E38" s="9">
        <f>IF(A38="","",COUNTIFS(RawData[[Article ]],A38,RawData[[Error Type ]],"Excess",RawData[Month List],TEXT($A$4, "mmmm yyyy")))</f>
        <v>1</v>
      </c>
      <c r="F38" s="9">
        <f>IF(A38="","",SUMIFS(RawData[Qyt Affected ( EA ) ],RawData[[Article ]],A38,RawData[Month List],TEXT($A$4,"mmmm yyyy")))</f>
        <v>6</v>
      </c>
      <c r="M38">
        <v>23884</v>
      </c>
    </row>
    <row r="39" spans="1:13" ht="15.75" x14ac:dyDescent="0.25">
      <c r="A39" s="9">
        <v>210228</v>
      </c>
      <c r="B39" s="9" t="str">
        <f>IF(A39="","",INDEX(RawData[Description],MATCH(A39,RawData[[Article ]],0)))</f>
        <v>RoyalChef Ponni Boil Rice 5kg</v>
      </c>
      <c r="C39" s="9">
        <f>IF(A39="","",COUNTIFS(RawData[[Article ]],A39,RawData[Month List],TEXT($A$4,"mmmm yyyy")))</f>
        <v>1</v>
      </c>
      <c r="D39" s="9">
        <f>IF(A39="","",COUNTIFS(RawData[[Article ]],A39,RawData[[Error Type ]],"Short",RawData[Month List],TEXT($A$4,"mmmm yyyy")))</f>
        <v>1</v>
      </c>
      <c r="E39" s="9">
        <f>IF(A39="","",COUNTIFS(RawData[[Article ]],A39,RawData[[Error Type ]],"Excess",RawData[Month List],TEXT($A$4, "mmmm yyyy")))</f>
        <v>0</v>
      </c>
      <c r="F39" s="9">
        <f>IF(A39="","",SUMIFS(RawData[Qyt Affected ( EA ) ],RawData[[Article ]],A39,RawData[Month List],TEXT($A$4,"mmmm yyyy")))</f>
        <v>7</v>
      </c>
      <c r="M39">
        <v>2259265</v>
      </c>
    </row>
    <row r="40" spans="1:13" ht="15.75" x14ac:dyDescent="0.25">
      <c r="A40" s="9">
        <v>318337</v>
      </c>
      <c r="B40" s="9" t="str">
        <f>IF(A40="","",INDEX(RawData[Description],MATCH(A40,RawData[[Article ]],0)))</f>
        <v>Lulu Macaroni Risone 400gm</v>
      </c>
      <c r="C40" s="9">
        <f>IF(A40="","",COUNTIFS(RawData[[Article ]],A40,RawData[Month List],TEXT($A$4,"mmmm yyyy")))</f>
        <v>1</v>
      </c>
      <c r="D40" s="9">
        <f>IF(A40="","",COUNTIFS(RawData[[Article ]],A40,RawData[[Error Type ]],"Short",RawData[Month List],TEXT($A$4,"mmmm yyyy")))</f>
        <v>0</v>
      </c>
      <c r="E40" s="9">
        <f>IF(A40="","",COUNTIFS(RawData[[Article ]],A40,RawData[[Error Type ]],"Excess",RawData[Month List],TEXT($A$4, "mmmm yyyy")))</f>
        <v>1</v>
      </c>
      <c r="F40" s="9">
        <f>IF(A40="","",SUMIFS(RawData[Qyt Affected ( EA ) ],RawData[[Article ]],A40,RawData[Month List],TEXT($A$4,"mmmm yyyy")))</f>
        <v>20</v>
      </c>
      <c r="M40">
        <v>210228</v>
      </c>
    </row>
    <row r="41" spans="1:13" ht="15.75" x14ac:dyDescent="0.25">
      <c r="A41" s="9">
        <v>1293</v>
      </c>
      <c r="B41" s="9" t="str">
        <f>IF(A41="","",INDEX(RawData[Description],MATCH(A41,RawData[[Article ]],0)))</f>
        <v>C/G Peeld Foul W/Chilly 450g</v>
      </c>
      <c r="C41" s="9">
        <f>IF(A41="","",COUNTIFS(RawData[[Article ]],A41,RawData[Month List],TEXT($A$4,"mmmm yyyy")))</f>
        <v>1</v>
      </c>
      <c r="D41" s="9">
        <f>IF(A41="","",COUNTIFS(RawData[[Article ]],A41,RawData[[Error Type ]],"Short",RawData[Month List],TEXT($A$4,"mmmm yyyy")))</f>
        <v>1</v>
      </c>
      <c r="E41" s="9">
        <f>IF(A41="","",COUNTIFS(RawData[[Article ]],A41,RawData[[Error Type ]],"Excess",RawData[Month List],TEXT($A$4, "mmmm yyyy")))</f>
        <v>0</v>
      </c>
      <c r="F41" s="9">
        <f>IF(A41="","",SUMIFS(RawData[Qyt Affected ( EA ) ],RawData[[Article ]],A41,RawData[Month List],TEXT($A$4,"mmmm yyyy")))</f>
        <v>12</v>
      </c>
      <c r="M41">
        <v>23884</v>
      </c>
    </row>
    <row r="42" spans="1:13" ht="15.75" x14ac:dyDescent="0.25">
      <c r="A42" s="9">
        <v>655467</v>
      </c>
      <c r="B42" s="9" t="str">
        <f>IF(A42="","",INDEX(RawData[Description],MATCH(A42,RawData[[Article ]],0)))</f>
        <v>Par. C/Bisc.Gold Pineapple 67g</v>
      </c>
      <c r="C42" s="9">
        <f>IF(A42="","",COUNTIFS(RawData[[Article ]],A42,RawData[Month List],TEXT($A$4,"mmmm yyyy")))</f>
        <v>1</v>
      </c>
      <c r="D42" s="9">
        <f>IF(A42="","",COUNTIFS(RawData[[Article ]],A42,RawData[[Error Type ]],"Short",RawData[Month List],TEXT($A$4,"mmmm yyyy")))</f>
        <v>0</v>
      </c>
      <c r="E42" s="9">
        <f>IF(A42="","",COUNTIFS(RawData[[Article ]],A42,RawData[[Error Type ]],"Excess",RawData[Month List],TEXT($A$4, "mmmm yyyy")))</f>
        <v>1</v>
      </c>
      <c r="F42" s="9">
        <f>IF(A42="","",SUMIFS(RawData[Qyt Affected ( EA ) ],RawData[[Article ]],A42,RawData[Month List],TEXT($A$4,"mmmm yyyy")))</f>
        <v>48</v>
      </c>
      <c r="M42">
        <v>2259265</v>
      </c>
    </row>
    <row r="43" spans="1:13" ht="15.75" x14ac:dyDescent="0.25">
      <c r="A43" s="9">
        <v>2330947</v>
      </c>
      <c r="B43" s="9" t="str">
        <f>IF(A43="","",INDEX(RawData[Description],MATCH(A43,RawData[[Article ]],0)))</f>
        <v>C/Up TP WhtFrsh Chrcol Coc75ml</v>
      </c>
      <c r="C43" s="9">
        <f>IF(A43="","",COUNTIFS(RawData[[Article ]],A43,RawData[Month List],TEXT($A$4,"mmmm yyyy")))</f>
        <v>1</v>
      </c>
      <c r="D43" s="9">
        <f>IF(A43="","",COUNTIFS(RawData[[Article ]],A43,RawData[[Error Type ]],"Short",RawData[Month List],TEXT($A$4,"mmmm yyyy")))</f>
        <v>1</v>
      </c>
      <c r="E43" s="9">
        <f>IF(A43="","",COUNTIFS(RawData[[Article ]],A43,RawData[[Error Type ]],"Excess",RawData[Month List],TEXT($A$4, "mmmm yyyy")))</f>
        <v>0</v>
      </c>
      <c r="F43" s="9">
        <f>IF(A43="","",SUMIFS(RawData[Qyt Affected ( EA ) ],RawData[[Article ]],A43,RawData[Month List],TEXT($A$4,"mmmm yyyy")))</f>
        <v>60</v>
      </c>
      <c r="M43">
        <v>23884</v>
      </c>
    </row>
    <row r="44" spans="1:13" ht="15.75" x14ac:dyDescent="0.25">
      <c r="A44" s="9">
        <v>2634132</v>
      </c>
      <c r="B44" s="9" t="str">
        <f>IF(A44="","",INDEX(RawData[Description],MATCH(A44,RawData[[Article ]],0)))</f>
        <v>Colg T/P Total Clean Mint 50ml</v>
      </c>
      <c r="C44" s="9">
        <f>IF(A44="","",COUNTIFS(RawData[[Article ]],A44,RawData[Month List],TEXT($A$4,"mmmm yyyy")))</f>
        <v>1</v>
      </c>
      <c r="D44" s="9">
        <f>IF(A44="","",COUNTIFS(RawData[[Article ]],A44,RawData[[Error Type ]],"Short",RawData[Month List],TEXT($A$4,"mmmm yyyy")))</f>
        <v>1</v>
      </c>
      <c r="E44" s="9">
        <f>IF(A44="","",COUNTIFS(RawData[[Article ]],A44,RawData[[Error Type ]],"Excess",RawData[Month List],TEXT($A$4, "mmmm yyyy")))</f>
        <v>0</v>
      </c>
      <c r="F44" s="9">
        <f>IF(A44="","",SUMIFS(RawData[Qyt Affected ( EA ) ],RawData[[Article ]],A44,RawData[Month List],TEXT($A$4,"mmmm yyyy")))</f>
        <v>36</v>
      </c>
      <c r="M44">
        <v>2259265</v>
      </c>
    </row>
    <row r="45" spans="1:13" ht="15.75" x14ac:dyDescent="0.25">
      <c r="A45" s="9">
        <v>211840</v>
      </c>
      <c r="B45" s="9" t="str">
        <f>IF(A45="","",INDEX(RawData[Description],MATCH(A45,RawData[[Article ]],0)))</f>
        <v>H/M Toothpick 280s Sqr. YK0167</v>
      </c>
      <c r="C45" s="9">
        <f>IF(A45="","",COUNTIFS(RawData[[Article ]],A45,RawData[Month List],TEXT($A$4,"mmmm yyyy")))</f>
        <v>1</v>
      </c>
      <c r="D45" s="9">
        <f>IF(A45="","",COUNTIFS(RawData[[Article ]],A45,RawData[[Error Type ]],"Short",RawData[Month List],TEXT($A$4,"mmmm yyyy")))</f>
        <v>0</v>
      </c>
      <c r="E45" s="9">
        <f>IF(A45="","",COUNTIFS(RawData[[Article ]],A45,RawData[[Error Type ]],"Excess",RawData[Month List],TEXT($A$4, "mmmm yyyy")))</f>
        <v>1</v>
      </c>
      <c r="F45" s="9">
        <f>IF(A45="","",SUMIFS(RawData[Qyt Affected ( EA ) ],RawData[[Article ]],A45,RawData[Month List],TEXT($A$4,"mmmm yyyy")))</f>
        <v>19</v>
      </c>
      <c r="M45">
        <v>23884</v>
      </c>
    </row>
    <row r="46" spans="1:13" ht="15.75" x14ac:dyDescent="0.25">
      <c r="A46" s="9">
        <v>2664184</v>
      </c>
      <c r="B46" s="9" t="str">
        <f>IF(A46="","",INDEX(RawData[Description],MATCH(A46,RawData[[Article ]],0)))</f>
        <v>Heinz Dynamite Sauce Sqz 400ml</v>
      </c>
      <c r="C46" s="9">
        <f>IF(A46="","",COUNTIFS(RawData[[Article ]],A46,RawData[Month List],TEXT($A$4,"mmmm yyyy")))</f>
        <v>1</v>
      </c>
      <c r="D46" s="9">
        <f>IF(A46="","",COUNTIFS(RawData[[Article ]],A46,RawData[[Error Type ]],"Short",RawData[Month List],TEXT($A$4,"mmmm yyyy")))</f>
        <v>1</v>
      </c>
      <c r="E46" s="9">
        <f>IF(A46="","",COUNTIFS(RawData[[Article ]],A46,RawData[[Error Type ]],"Excess",RawData[Month List],TEXT($A$4, "mmmm yyyy")))</f>
        <v>0</v>
      </c>
      <c r="F46" s="9">
        <f>IF(A46="","",SUMIFS(RawData[Qyt Affected ( EA ) ],RawData[[Article ]],A46,RawData[Month List],TEXT($A$4,"mmmm yyyy")))</f>
        <v>12</v>
      </c>
      <c r="M46">
        <v>318337</v>
      </c>
    </row>
    <row r="47" spans="1:13" ht="15.75" x14ac:dyDescent="0.25">
      <c r="A47" s="9">
        <v>1059807</v>
      </c>
      <c r="B47" s="9" t="str">
        <f>IF(A47="","",INDEX(RawData[Description],MATCH(A47,RawData[[Article ]],0)))</f>
        <v>Det.H/Wash Orgnl 400ml 2s PO</v>
      </c>
      <c r="C47" s="9">
        <f>IF(A47="","",COUNTIFS(RawData[[Article ]],A47,RawData[Month List],TEXT($A$4,"mmmm yyyy")))</f>
        <v>1</v>
      </c>
      <c r="D47" s="9">
        <f>IF(A47="","",COUNTIFS(RawData[[Article ]],A47,RawData[[Error Type ]],"Short",RawData[Month List],TEXT($A$4,"mmmm yyyy")))</f>
        <v>1</v>
      </c>
      <c r="E47" s="9">
        <f>IF(A47="","",COUNTIFS(RawData[[Article ]],A47,RawData[[Error Type ]],"Excess",RawData[Month List],TEXT($A$4, "mmmm yyyy")))</f>
        <v>0</v>
      </c>
      <c r="F47" s="9">
        <f>IF(A47="","",SUMIFS(RawData[Qyt Affected ( EA ) ],RawData[[Article ]],A47,RawData[Month List],TEXT($A$4,"mmmm yyyy")))</f>
        <v>6</v>
      </c>
      <c r="M47">
        <v>1293</v>
      </c>
    </row>
    <row r="48" spans="1:13" ht="15.75" x14ac:dyDescent="0.25">
      <c r="A48" s="9">
        <v>2563229</v>
      </c>
      <c r="B48" s="9" t="str">
        <f>IF(A48="","",INDEX(RawData[Description],MATCH(A48,RawData[[Article ]],0)))</f>
        <v>Loyal Fab.Softnr Blue Petal 3L</v>
      </c>
      <c r="C48" s="9">
        <f>IF(A48="","",COUNTIFS(RawData[[Article ]],A48,RawData[Month List],TEXT($A$4,"mmmm yyyy")))</f>
        <v>1</v>
      </c>
      <c r="D48" s="9">
        <f>IF(A48="","",COUNTIFS(RawData[[Article ]],A48,RawData[[Error Type ]],"Short",RawData[Month List],TEXT($A$4,"mmmm yyyy")))</f>
        <v>1</v>
      </c>
      <c r="E48" s="9">
        <f>IF(A48="","",COUNTIFS(RawData[[Article ]],A48,RawData[[Error Type ]],"Excess",RawData[Month List],TEXT($A$4, "mmmm yyyy")))</f>
        <v>0</v>
      </c>
      <c r="F48" s="9">
        <f>IF(A48="","",SUMIFS(RawData[Qyt Affected ( EA ) ],RawData[[Article ]],A48,RawData[Month List],TEXT($A$4,"mmmm yyyy")))</f>
        <v>4</v>
      </c>
      <c r="M48">
        <v>655467</v>
      </c>
    </row>
    <row r="49" spans="1:13" ht="15.75" x14ac:dyDescent="0.25">
      <c r="A49" s="9">
        <v>2561375</v>
      </c>
      <c r="B49" s="9" t="str">
        <f>IF(A49="","",INDEX(RawData[Description],MATCH(A49,RawData[[Article ]],0)))</f>
        <v>Pril D/W UltraPwr Lemn1.25L PO</v>
      </c>
      <c r="C49" s="9">
        <f>IF(A49="","",COUNTIFS(RawData[[Article ]],A49,RawData[Month List],TEXT($A$4,"mmmm yyyy")))</f>
        <v>1</v>
      </c>
      <c r="D49" s="9">
        <f>IF(A49="","",COUNTIFS(RawData[[Article ]],A49,RawData[[Error Type ]],"Short",RawData[Month List],TEXT($A$4,"mmmm yyyy")))</f>
        <v>0</v>
      </c>
      <c r="E49" s="9">
        <f>IF(A49="","",COUNTIFS(RawData[[Article ]],A49,RawData[[Error Type ]],"Excess",RawData[Month List],TEXT($A$4, "mmmm yyyy")))</f>
        <v>1</v>
      </c>
      <c r="F49" s="9">
        <f>IF(A49="","",SUMIFS(RawData[Qyt Affected ( EA ) ],RawData[[Article ]],A49,RawData[Month List],TEXT($A$4,"mmmm yyyy")))</f>
        <v>12</v>
      </c>
      <c r="M49">
        <v>2330947</v>
      </c>
    </row>
    <row r="50" spans="1:13" ht="15.75" x14ac:dyDescent="0.25">
      <c r="A50" s="9">
        <v>2579500</v>
      </c>
      <c r="B50" s="9" t="str">
        <f>IF(A50="","",INDEX(RawData[Description],MATCH(A50,RawData[[Article ]],0)))</f>
        <v>R/B Handwash</v>
      </c>
      <c r="C50" s="9">
        <f>IF(A50="","",COUNTIFS(RawData[[Article ]],A50,RawData[Month List],TEXT($A$4,"mmmm yyyy")))</f>
        <v>1</v>
      </c>
      <c r="D50" s="9">
        <f>IF(A50="","",COUNTIFS(RawData[[Article ]],A50,RawData[[Error Type ]],"Short",RawData[Month List],TEXT($A$4,"mmmm yyyy")))</f>
        <v>1</v>
      </c>
      <c r="E50" s="9">
        <f>IF(A50="","",COUNTIFS(RawData[[Article ]],A50,RawData[[Error Type ]],"Excess",RawData[Month List],TEXT($A$4, "mmmm yyyy")))</f>
        <v>0</v>
      </c>
      <c r="F50" s="9">
        <f>IF(A50="","",SUMIFS(RawData[Qyt Affected ( EA ) ],RawData[[Article ]],A50,RawData[Month List],TEXT($A$4,"mmmm yyyy")))</f>
        <v>6</v>
      </c>
      <c r="M50">
        <v>2634132</v>
      </c>
    </row>
    <row r="51" spans="1:13" ht="15.75" x14ac:dyDescent="0.25">
      <c r="A51" s="9">
        <v>2372721</v>
      </c>
      <c r="B51" s="9" t="str">
        <f>IF(A51="","",INDEX(RawData[Description],MATCH(A51,RawData[[Article ]],0)))</f>
        <v>Alodrma Aloe Hydrat.Serum 50ml</v>
      </c>
      <c r="C51" s="9">
        <f>IF(A51="","",COUNTIFS(RawData[[Article ]],A51,RawData[Month List],TEXT($A$4,"mmmm yyyy")))</f>
        <v>1</v>
      </c>
      <c r="D51" s="9">
        <f>IF(A51="","",COUNTIFS(RawData[[Article ]],A51,RawData[[Error Type ]],"Short",RawData[Month List],TEXT($A$4,"mmmm yyyy")))</f>
        <v>1</v>
      </c>
      <c r="E51" s="9">
        <f>IF(A51="","",COUNTIFS(RawData[[Article ]],A51,RawData[[Error Type ]],"Excess",RawData[Month List],TEXT($A$4, "mmmm yyyy")))</f>
        <v>0</v>
      </c>
      <c r="F51" s="9">
        <f>IF(A51="","",SUMIFS(RawData[Qyt Affected ( EA ) ],RawData[[Article ]],A51,RawData[Month List],TEXT($A$4,"mmmm yyyy")))</f>
        <v>6</v>
      </c>
      <c r="M51">
        <v>211840</v>
      </c>
    </row>
    <row r="52" spans="1:13" ht="15.75" x14ac:dyDescent="0.25">
      <c r="A52" s="9">
        <v>783689</v>
      </c>
      <c r="B52" s="9" t="str">
        <f>IF(A52="","",INDEX(RawData[Description],MATCH(A52,RawData[[Article ]],0)))</f>
        <v>Balmy Sisal Face&amp;Body Bath Pad</v>
      </c>
      <c r="C52" s="9">
        <f>IF(A52="","",COUNTIFS(RawData[[Article ]],A52,RawData[Month List],TEXT($A$4,"mmmm yyyy")))</f>
        <v>1</v>
      </c>
      <c r="D52" s="9">
        <f>IF(A52="","",COUNTIFS(RawData[[Article ]],A52,RawData[[Error Type ]],"Short",RawData[Month List],TEXT($A$4,"mmmm yyyy")))</f>
        <v>1</v>
      </c>
      <c r="E52" s="9">
        <f>IF(A52="","",COUNTIFS(RawData[[Article ]],A52,RawData[[Error Type ]],"Excess",RawData[Month List],TEXT($A$4, "mmmm yyyy")))</f>
        <v>0</v>
      </c>
      <c r="F52" s="9">
        <f>IF(A52="","",SUMIFS(RawData[Qyt Affected ( EA ) ],RawData[[Article ]],A52,RawData[Month List],TEXT($A$4,"mmmm yyyy")))</f>
        <v>24</v>
      </c>
      <c r="M52">
        <v>2664184</v>
      </c>
    </row>
    <row r="53" spans="1:13" ht="15.75" x14ac:dyDescent="0.25">
      <c r="A53" s="9">
        <v>800536</v>
      </c>
      <c r="B53" s="9" t="str">
        <f>IF(A53="","",INDEX(RawData[Description],MATCH(A53,RawData[[Article ]],0)))</f>
        <v>C&amp;C F/Scrb M/Enrgy S/Enrgs150m</v>
      </c>
      <c r="C53" s="9">
        <f>IF(A53="","",COUNTIFS(RawData[[Article ]],A53,RawData[Month List],TEXT($A$4,"mmmm yyyy")))</f>
        <v>1</v>
      </c>
      <c r="D53" s="9">
        <f>IF(A53="","",COUNTIFS(RawData[[Article ]],A53,RawData[[Error Type ]],"Short",RawData[Month List],TEXT($A$4,"mmmm yyyy")))</f>
        <v>0</v>
      </c>
      <c r="E53" s="9">
        <f>IF(A53="","",COUNTIFS(RawData[[Article ]],A53,RawData[[Error Type ]],"Excess",RawData[Month List],TEXT($A$4, "mmmm yyyy")))</f>
        <v>1</v>
      </c>
      <c r="F53" s="9">
        <f>IF(A53="","",SUMIFS(RawData[Qyt Affected ( EA ) ],RawData[[Article ]],A53,RawData[Month List],TEXT($A$4,"mmmm yyyy")))</f>
        <v>6</v>
      </c>
      <c r="M53">
        <v>1059807</v>
      </c>
    </row>
    <row r="54" spans="1:13" ht="15.75" x14ac:dyDescent="0.25">
      <c r="A54" s="9">
        <v>2113852</v>
      </c>
      <c r="B54" s="9" t="str">
        <f>IF(A54="","",INDEX(RawData[Description],MATCH(A54,RawData[[Article ]],0)))</f>
        <v>A/Garden AppleCider Vinegar 1L</v>
      </c>
      <c r="C54" s="9">
        <f>IF(A54="","",COUNTIFS(RawData[[Article ]],A54,RawData[Month List],TEXT($A$4,"mmmm yyyy")))</f>
        <v>1</v>
      </c>
      <c r="D54" s="9">
        <f>IF(A54="","",COUNTIFS(RawData[[Article ]],A54,RawData[[Error Type ]],"Short",RawData[Month List],TEXT($A$4,"mmmm yyyy")))</f>
        <v>1</v>
      </c>
      <c r="E54" s="9">
        <f>IF(A54="","",COUNTIFS(RawData[[Article ]],A54,RawData[[Error Type ]],"Excess",RawData[Month List],TEXT($A$4, "mmmm yyyy")))</f>
        <v>0</v>
      </c>
      <c r="F54" s="9">
        <f>IF(A54="","",SUMIFS(RawData[Qyt Affected ( EA ) ],RawData[[Article ]],A54,RawData[Month List],TEXT($A$4,"mmmm yyyy")))</f>
        <v>12</v>
      </c>
      <c r="M54">
        <v>2563229</v>
      </c>
    </row>
    <row r="55" spans="1:13" ht="15.75" x14ac:dyDescent="0.25">
      <c r="A55" s="9">
        <v>525825</v>
      </c>
      <c r="B55" s="9" t="str">
        <f>IF(A55="","",INDEX(RawData[Description],MATCH(A55,RawData[[Article ]],0)))</f>
        <v>Aptamil Lactose Free 400g 0-6M</v>
      </c>
      <c r="C55" s="9">
        <f>IF(A55="","",COUNTIFS(RawData[[Article ]],A55,RawData[Month List],TEXT($A$4,"mmmm yyyy")))</f>
        <v>1</v>
      </c>
      <c r="D55" s="9">
        <f>IF(A55="","",COUNTIFS(RawData[[Article ]],A55,RawData[[Error Type ]],"Short",RawData[Month List],TEXT($A$4,"mmmm yyyy")))</f>
        <v>0</v>
      </c>
      <c r="E55" s="9">
        <f>IF(A55="","",COUNTIFS(RawData[[Article ]],A55,RawData[[Error Type ]],"Excess",RawData[Month List],TEXT($A$4, "mmmm yyyy")))</f>
        <v>1</v>
      </c>
      <c r="F55" s="9">
        <f>IF(A55="","",SUMIFS(RawData[Qyt Affected ( EA ) ],RawData[[Article ]],A55,RawData[Month List],TEXT($A$4,"mmmm yyyy")))</f>
        <v>24</v>
      </c>
      <c r="M55">
        <v>2561375</v>
      </c>
    </row>
    <row r="56" spans="1:13" ht="15.75" x14ac:dyDescent="0.25">
      <c r="A56" s="9">
        <v>153707</v>
      </c>
      <c r="B56" s="9" t="str">
        <f>IF(A56="","",INDEX(RawData[Description],MATCH(A56,RawData[[Article ]],0)))</f>
        <v>Oman Chips 97g</v>
      </c>
      <c r="C56" s="9">
        <f>IF(A56="","",COUNTIFS(RawData[[Article ]],A56,RawData[Month List],TEXT($A$4,"mmmm yyyy")))</f>
        <v>1</v>
      </c>
      <c r="D56" s="9">
        <f>IF(A56="","",COUNTIFS(RawData[[Article ]],A56,RawData[[Error Type ]],"Short",RawData[Month List],TEXT($A$4,"mmmm yyyy")))</f>
        <v>0</v>
      </c>
      <c r="E56" s="9">
        <f>IF(A56="","",COUNTIFS(RawData[[Article ]],A56,RawData[[Error Type ]],"Excess",RawData[Month List],TEXT($A$4, "mmmm yyyy")))</f>
        <v>1</v>
      </c>
      <c r="F56" s="9">
        <f>IF(A56="","",SUMIFS(RawData[Qyt Affected ( EA ) ],RawData[[Article ]],A56,RawData[Month List],TEXT($A$4,"mmmm yyyy")))</f>
        <v>6</v>
      </c>
      <c r="M56">
        <v>2579500</v>
      </c>
    </row>
    <row r="57" spans="1:13" ht="15.75" x14ac:dyDescent="0.25">
      <c r="A57" s="9">
        <v>2235001</v>
      </c>
      <c r="B57" s="9" t="str">
        <f>IF(A57="","",INDEX(RawData[Description],MATCH(A57,RawData[[Article ]],0)))</f>
        <v xml:space="preserve"> Brit.Toastea WhtRusk 2x305g PO</v>
      </c>
      <c r="C57" s="9">
        <f>IF(A57="","",COUNTIFS(RawData[[Article ]],A57,RawData[Month List],TEXT($A$4,"mmmm yyyy")))</f>
        <v>1</v>
      </c>
      <c r="D57" s="9">
        <f>IF(A57="","",COUNTIFS(RawData[[Article ]],A57,RawData[[Error Type ]],"Short",RawData[Month List],TEXT($A$4,"mmmm yyyy")))</f>
        <v>0</v>
      </c>
      <c r="E57" s="9">
        <f>IF(A57="","",COUNTIFS(RawData[[Article ]],A57,RawData[[Error Type ]],"Excess",RawData[Month List],TEXT($A$4, "mmmm yyyy")))</f>
        <v>1</v>
      </c>
      <c r="F57" s="9">
        <f>IF(A57="","",SUMIFS(RawData[Qyt Affected ( EA ) ],RawData[[Article ]],A57,RawData[Month List],TEXT($A$4,"mmmm yyyy")))</f>
        <v>12</v>
      </c>
      <c r="M57">
        <v>2372721</v>
      </c>
    </row>
    <row r="58" spans="1:13" ht="15.75" x14ac:dyDescent="0.25">
      <c r="A58" s="9">
        <v>1108510</v>
      </c>
      <c r="B58" s="9" t="str">
        <f>IF(A58="","",INDEX(RawData[Description],MATCH(A58,RawData[[Article ]],0)))</f>
        <v>Hnz Thsnd.Islnd Drsng 400ml PO</v>
      </c>
      <c r="C58" s="9">
        <f>IF(A58="","",COUNTIFS(RawData[[Article ]],A58,RawData[Month List],TEXT($A$4,"mmmm yyyy")))</f>
        <v>1</v>
      </c>
      <c r="D58" s="9">
        <f>IF(A58="","",COUNTIFS(RawData[[Article ]],A58,RawData[[Error Type ]],"Short",RawData[Month List],TEXT($A$4,"mmmm yyyy")))</f>
        <v>1</v>
      </c>
      <c r="E58" s="9">
        <f>IF(A58="","",COUNTIFS(RawData[[Article ]],A58,RawData[[Error Type ]],"Excess",RawData[Month List],TEXT($A$4, "mmmm yyyy")))</f>
        <v>0</v>
      </c>
      <c r="F58" s="9">
        <f>IF(A58="","",SUMIFS(RawData[Qyt Affected ( EA ) ],RawData[[Article ]],A58,RawData[Month List],TEXT($A$4,"mmmm yyyy")))</f>
        <v>12</v>
      </c>
      <c r="M58">
        <v>783689</v>
      </c>
    </row>
    <row r="59" spans="1:13" ht="15.75" x14ac:dyDescent="0.25">
      <c r="A59" s="9">
        <v>1499938</v>
      </c>
      <c r="B59" s="9" t="str">
        <f>IF(A59="","",INDEX(RawData[Description],MATCH(A59,RawData[[Article ]],0)))</f>
        <v>H/P Cont. MW 1000m5s+500m5s PO</v>
      </c>
      <c r="C59" s="9">
        <f>IF(A59="","",COUNTIFS(RawData[[Article ]],A59,RawData[Month List],TEXT($A$4,"mmmm yyyy")))</f>
        <v>1</v>
      </c>
      <c r="D59" s="9">
        <f>IF(A59="","",COUNTIFS(RawData[[Article ]],A59,RawData[[Error Type ]],"Short",RawData[Month List],TEXT($A$4,"mmmm yyyy")))</f>
        <v>1</v>
      </c>
      <c r="E59" s="9">
        <f>IF(A59="","",COUNTIFS(RawData[[Article ]],A59,RawData[[Error Type ]],"Excess",RawData[Month List],TEXT($A$4, "mmmm yyyy")))</f>
        <v>0</v>
      </c>
      <c r="F59" s="9">
        <f>IF(A59="","",SUMIFS(RawData[Qyt Affected ( EA ) ],RawData[[Article ]],A59,RawData[Month List],TEXT($A$4,"mmmm yyyy")))</f>
        <v>10</v>
      </c>
      <c r="M59">
        <v>800536</v>
      </c>
    </row>
    <row r="60" spans="1:13" ht="15.75" x14ac:dyDescent="0.25">
      <c r="A60" s="9">
        <v>2297614</v>
      </c>
      <c r="B60" s="9" t="str">
        <f>IF(A60="","",INDEX(RawData[Description],MATCH(A60,RawData[[Article ]],0)))</f>
        <v>Najat Bsmti Rice XXXL1121 5kg</v>
      </c>
      <c r="C60" s="9">
        <f>IF(A60="","",COUNTIFS(RawData[[Article ]],A60,RawData[Month List],TEXT($A$4,"mmmm yyyy")))</f>
        <v>1</v>
      </c>
      <c r="D60" s="9">
        <f>IF(A60="","",COUNTIFS(RawData[[Article ]],A60,RawData[[Error Type ]],"Short",RawData[Month List],TEXT($A$4,"mmmm yyyy")))</f>
        <v>1</v>
      </c>
      <c r="E60" s="9">
        <f>IF(A60="","",COUNTIFS(RawData[[Article ]],A60,RawData[[Error Type ]],"Excess",RawData[Month List],TEXT($A$4, "mmmm yyyy")))</f>
        <v>0</v>
      </c>
      <c r="F60" s="9">
        <f>IF(A60="","",SUMIFS(RawData[Qyt Affected ( EA ) ],RawData[[Article ]],A60,RawData[Month List],TEXT($A$4,"mmmm yyyy")))</f>
        <v>12</v>
      </c>
      <c r="M60">
        <v>2113852</v>
      </c>
    </row>
    <row r="61" spans="1:13" ht="15.75" x14ac:dyDescent="0.25">
      <c r="A61" s="9">
        <v>266458</v>
      </c>
      <c r="B61" s="9" t="str">
        <f>IF(A61="","",INDEX(RawData[Description],MATCH(A61,RawData[[Article ]],0)))</f>
        <v>Nestle Coffeemate 170gm</v>
      </c>
      <c r="C61" s="9">
        <f>IF(A61="","",COUNTIFS(RawData[[Article ]],A61,RawData[Month List],TEXT($A$4,"mmmm yyyy")))</f>
        <v>1</v>
      </c>
      <c r="D61" s="9">
        <f>IF(A61="","",COUNTIFS(RawData[[Article ]],A61,RawData[[Error Type ]],"Short",RawData[Month List],TEXT($A$4,"mmmm yyyy")))</f>
        <v>1</v>
      </c>
      <c r="E61" s="9">
        <f>IF(A61="","",COUNTIFS(RawData[[Article ]],A61,RawData[[Error Type ]],"Excess",RawData[Month List],TEXT($A$4, "mmmm yyyy")))</f>
        <v>0</v>
      </c>
      <c r="F61" s="9">
        <f>IF(A61="","",SUMIFS(RawData[Qyt Affected ( EA ) ],RawData[[Article ]],A61,RawData[Month List],TEXT($A$4,"mmmm yyyy")))</f>
        <v>24</v>
      </c>
      <c r="M61">
        <v>525825</v>
      </c>
    </row>
    <row r="62" spans="1:13" ht="15.75" x14ac:dyDescent="0.25">
      <c r="A62" s="9">
        <v>1568011</v>
      </c>
      <c r="B62" s="9" t="str">
        <f>IF(A62="","",INDEX(RawData[Description],MATCH(A62,RawData[[Article ]],0)))</f>
        <v>Hug.Dpr Pants#3 6-11kg 44s PO</v>
      </c>
      <c r="C62" s="9">
        <f>IF(A62="","",COUNTIFS(RawData[[Article ]],A62,RawData[Month List],TEXT($A$4,"mmmm yyyy")))</f>
        <v>1</v>
      </c>
      <c r="D62" s="9">
        <f>IF(A62="","",COUNTIFS(RawData[[Article ]],A62,RawData[[Error Type ]],"Short",RawData[Month List],TEXT($A$4,"mmmm yyyy")))</f>
        <v>1</v>
      </c>
      <c r="E62" s="9">
        <f>IF(A62="","",COUNTIFS(RawData[[Article ]],A62,RawData[[Error Type ]],"Excess",RawData[Month List],TEXT($A$4, "mmmm yyyy")))</f>
        <v>0</v>
      </c>
      <c r="F62" s="9">
        <f>IF(A62="","",SUMIFS(RawData[Qyt Affected ( EA ) ],RawData[[Article ]],A62,RawData[Month List],TEXT($A$4,"mmmm yyyy")))</f>
        <v>2</v>
      </c>
      <c r="M62">
        <v>153707</v>
      </c>
    </row>
    <row r="63" spans="1:13" ht="15.75" x14ac:dyDescent="0.25">
      <c r="A63" s="9">
        <v>2240921</v>
      </c>
      <c r="B63" s="9" t="str">
        <f>IF(A63="","",INDEX(RawData[Description],MATCH(A63,RawData[[Article ]],0)))</f>
        <v>F/B InsDry Pant#4 9-15k 44s PO</v>
      </c>
      <c r="C63" s="9">
        <f>IF(A63="","",COUNTIFS(RawData[[Article ]],A63,RawData[Month List],TEXT($A$4,"mmmm yyyy")))</f>
        <v>1</v>
      </c>
      <c r="D63" s="9">
        <f>IF(A63="","",COUNTIFS(RawData[[Article ]],A63,RawData[[Error Type ]],"Short",RawData[Month List],TEXT($A$4,"mmmm yyyy")))</f>
        <v>1</v>
      </c>
      <c r="E63" s="9">
        <f>IF(A63="","",COUNTIFS(RawData[[Article ]],A63,RawData[[Error Type ]],"Excess",RawData[Month List],TEXT($A$4, "mmmm yyyy")))</f>
        <v>0</v>
      </c>
      <c r="F63" s="9">
        <f>IF(A63="","",SUMIFS(RawData[Qyt Affected ( EA ) ],RawData[[Article ]],A63,RawData[Month List],TEXT($A$4,"mmmm yyyy")))</f>
        <v>3</v>
      </c>
      <c r="M63">
        <v>2235001</v>
      </c>
    </row>
    <row r="64" spans="1:13" ht="15.75" x14ac:dyDescent="0.25">
      <c r="A64" s="9">
        <v>2694191</v>
      </c>
      <c r="B64" s="9" t="str">
        <f>IF(A64="","",INDEX(RawData[Description],MATCH(A64,RawData[[Article ]],0)))</f>
        <v>Dove B/W Deep Moisture 400ml</v>
      </c>
      <c r="C64" s="9">
        <f>IF(A64="","",COUNTIFS(RawData[[Article ]],A64,RawData[Month List],TEXT($A$4,"mmmm yyyy")))</f>
        <v>1</v>
      </c>
      <c r="D64" s="9">
        <f>IF(A64="","",COUNTIFS(RawData[[Article ]],A64,RawData[[Error Type ]],"Short",RawData[Month List],TEXT($A$4,"mmmm yyyy")))</f>
        <v>1</v>
      </c>
      <c r="E64" s="9">
        <f>IF(A64="","",COUNTIFS(RawData[[Article ]],A64,RawData[[Error Type ]],"Excess",RawData[Month List],TEXT($A$4, "mmmm yyyy")))</f>
        <v>0</v>
      </c>
      <c r="F64" s="9">
        <f>IF(A64="","",SUMIFS(RawData[Qyt Affected ( EA ) ],RawData[[Article ]],A64,RawData[Month List],TEXT($A$4,"mmmm yyyy")))</f>
        <v>6</v>
      </c>
      <c r="M64">
        <v>1108510</v>
      </c>
    </row>
    <row r="65" spans="1:13" ht="15.75" x14ac:dyDescent="0.25">
      <c r="A65" s="9">
        <v>651680</v>
      </c>
      <c r="B65" s="9" t="str">
        <f>IF(A65="","",INDEX(RawData[Description],MATCH(A65,RawData[[Article ]],0)))</f>
        <v>Indo Chkn.Curry Nodle 75g 10s</v>
      </c>
      <c r="C65" s="9">
        <f>IF(A65="","",COUNTIFS(RawData[[Article ]],A65,RawData[Month List],TEXT($A$4,"mmmm yyyy")))</f>
        <v>1</v>
      </c>
      <c r="D65" s="9">
        <f>IF(A65="","",COUNTIFS(RawData[[Article ]],A65,RawData[[Error Type ]],"Short",RawData[Month List],TEXT($A$4,"mmmm yyyy")))</f>
        <v>1</v>
      </c>
      <c r="E65" s="9">
        <f>IF(A65="","",COUNTIFS(RawData[[Article ]],A65,RawData[[Error Type ]],"Excess",RawData[Month List],TEXT($A$4, "mmmm yyyy")))</f>
        <v>0</v>
      </c>
      <c r="F65" s="9">
        <f>IF(A65="","",SUMIFS(RawData[Qyt Affected ( EA ) ],RawData[[Article ]],A65,RawData[Month List],TEXT($A$4,"mmmm yyyy")))</f>
        <v>4</v>
      </c>
      <c r="M65">
        <v>1499938</v>
      </c>
    </row>
    <row r="66" spans="1:13" ht="15.75" x14ac:dyDescent="0.25">
      <c r="A66" s="9"/>
      <c r="B66" s="9" t="str">
        <f>IF(A66="","",INDEX(RawData[Description],MATCH(A66,RawData[[Article ]],0)))</f>
        <v/>
      </c>
      <c r="C66" s="9" t="str">
        <f>IF(A66="","",COUNTIFS(RawData[[Article ]],A66,RawData[Month List],TEXT($A$4,"mmmm yyyy")))</f>
        <v/>
      </c>
      <c r="D66" s="9" t="str">
        <f>IF(A66="","",COUNTIFS(RawData[[Article ]],A66,RawData[[Error Type ]],"Short",RawData[Month List],TEXT($A$4,"mmmm yyyy")))</f>
        <v/>
      </c>
      <c r="E66" s="9" t="str">
        <f>IF(A66="","",COUNTIFS(RawData[[Article ]],A66,RawData[[Error Type ]],"Excess",RawData[Month List],TEXT($A$4, "mmmm yyyy")))</f>
        <v/>
      </c>
      <c r="F66" s="9" t="str">
        <f>IF(A66="","",SUMIFS(RawData[Qyt Affected ( EA ) ],RawData[[Article ]],A66,RawData[Month List],TEXT($A$4,"mmmm yyyy")))</f>
        <v/>
      </c>
      <c r="M66">
        <v>2297614</v>
      </c>
    </row>
    <row r="67" spans="1:13" ht="15.75" x14ac:dyDescent="0.25">
      <c r="A67" s="9"/>
      <c r="B67" s="9" t="str">
        <f>IF(A67="","",INDEX(RawData[Description],MATCH(A67,RawData[[Article ]],0)))</f>
        <v/>
      </c>
      <c r="C67" s="9" t="str">
        <f>IF(A67="","",COUNTIFS(RawData[[Article ]],A67,RawData[Month List],TEXT($A$4,"mmmm yyyy")))</f>
        <v/>
      </c>
      <c r="D67" s="9" t="str">
        <f>IF(A67="","",COUNTIFS(RawData[[Article ]],A67,RawData[[Error Type ]],"Short",RawData[Month List],TEXT($A$4,"mmmm yyyy")))</f>
        <v/>
      </c>
      <c r="E67" s="9" t="str">
        <f>IF(A67="","",COUNTIFS(RawData[[Article ]],A67,RawData[[Error Type ]],"Excess",RawData[Month List],TEXT($A$4, "mmmm yyyy")))</f>
        <v/>
      </c>
      <c r="F67" s="9" t="str">
        <f>IF(A67="","",SUMIFS(RawData[Qyt Affected ( EA ) ],RawData[[Article ]],A67,RawData[Month List],TEXT($A$4,"mmmm yyyy")))</f>
        <v/>
      </c>
      <c r="M67">
        <v>266458</v>
      </c>
    </row>
    <row r="68" spans="1:13" ht="15.75" x14ac:dyDescent="0.25">
      <c r="A68" s="9"/>
      <c r="B68" s="9" t="str">
        <f>IF(A68="","",INDEX(RawData[Description],MATCH(A68,RawData[[Article ]],0)))</f>
        <v/>
      </c>
      <c r="C68" s="9" t="str">
        <f>IF(A68="","",COUNTIFS(RawData[[Article ]],A68,RawData[Month List],TEXT($A$4,"mmmm yyyy")))</f>
        <v/>
      </c>
      <c r="D68" s="9" t="str">
        <f>IF(A68="","",COUNTIFS(RawData[[Article ]],A68,RawData[[Error Type ]],"Short",RawData[Month List],TEXT($A$4,"mmmm yyyy")))</f>
        <v/>
      </c>
      <c r="E68" s="9" t="str">
        <f>IF(A68="","",COUNTIFS(RawData[[Article ]],A68,RawData[[Error Type ]],"Excess",RawData[Month List],TEXT($A$4, "mmmm yyyy")))</f>
        <v/>
      </c>
      <c r="F68" s="9" t="str">
        <f>IF(A68="","",SUMIFS(RawData[Qyt Affected ( EA ) ],RawData[[Article ]],A68,RawData[Month List],TEXT($A$4,"mmmm yyyy")))</f>
        <v/>
      </c>
      <c r="M68">
        <v>1568011</v>
      </c>
    </row>
    <row r="69" spans="1:13" ht="15.75" x14ac:dyDescent="0.25">
      <c r="A69" s="9"/>
      <c r="B69" s="9" t="str">
        <f>IF(A69="","",INDEX(RawData[Description],MATCH(A69,RawData[[Article ]],0)))</f>
        <v/>
      </c>
      <c r="C69" s="9" t="str">
        <f>IF(A69="","",COUNTIFS(RawData[[Article ]],A69,RawData[Month List],TEXT($A$4,"mmmm yyyy")))</f>
        <v/>
      </c>
      <c r="D69" s="9" t="str">
        <f>IF(A69="","",COUNTIFS(RawData[[Article ]],A69,RawData[[Error Type ]],"Short",RawData[Month List],TEXT($A$4,"mmmm yyyy")))</f>
        <v/>
      </c>
      <c r="E69" s="9" t="str">
        <f>IF(A69="","",COUNTIFS(RawData[[Article ]],A69,RawData[[Error Type ]],"Excess",RawData[Month List],TEXT($A$4, "mmmm yyyy")))</f>
        <v/>
      </c>
      <c r="F69" s="9" t="str">
        <f>IF(A69="","",SUMIFS(RawData[Qyt Affected ( EA ) ],RawData[[Article ]],A69,RawData[Month List],TEXT($A$4,"mmmm yyyy")))</f>
        <v/>
      </c>
      <c r="M69">
        <v>2240921</v>
      </c>
    </row>
    <row r="70" spans="1:13" ht="15.75" x14ac:dyDescent="0.25">
      <c r="A70" s="9"/>
      <c r="B70" s="9" t="str">
        <f>IF(A70="","",INDEX(RawData[Description],MATCH(A70,RawData[[Article ]],0)))</f>
        <v/>
      </c>
      <c r="C70" s="9" t="str">
        <f>IF(A70="","",COUNTIFS(RawData[[Article ]],A70,RawData[Month List],TEXT($A$4,"mmmm yyyy")))</f>
        <v/>
      </c>
      <c r="D70" s="9" t="str">
        <f>IF(A70="","",COUNTIFS(RawData[[Article ]],A70,RawData[[Error Type ]],"Short",RawData[Month List],TEXT($A$4,"mmmm yyyy")))</f>
        <v/>
      </c>
      <c r="E70" s="9" t="str">
        <f>IF(A70="","",COUNTIFS(RawData[[Article ]],A70,RawData[[Error Type ]],"Excess",RawData[Month List],TEXT($A$4, "mmmm yyyy")))</f>
        <v/>
      </c>
      <c r="F70" s="9" t="str">
        <f>IF(A70="","",SUMIFS(RawData[Qyt Affected ( EA ) ],RawData[[Article ]],A70,RawData[Month List],TEXT($A$4,"mmmm yyyy")))</f>
        <v/>
      </c>
      <c r="M70">
        <v>2694191</v>
      </c>
    </row>
    <row r="71" spans="1:13" ht="15.75" x14ac:dyDescent="0.25">
      <c r="A71" s="9"/>
      <c r="B71" s="9" t="str">
        <f>IF(A71="","",INDEX(RawData[Description],MATCH(A71,RawData[[Article ]],0)))</f>
        <v/>
      </c>
      <c r="C71" s="9" t="str">
        <f>IF(A71="","",COUNTIFS(RawData[[Article ]],A71,RawData[Month List],TEXT($A$4,"mmmm yyyy")))</f>
        <v/>
      </c>
      <c r="D71" s="9" t="str">
        <f>IF(A71="","",COUNTIFS(RawData[[Article ]],A71,RawData[[Error Type ]],"Short",RawData[Month List],TEXT($A$4,"mmmm yyyy")))</f>
        <v/>
      </c>
      <c r="E71" s="9" t="str">
        <f>IF(A71="","",COUNTIFS(RawData[[Article ]],A71,RawData[[Error Type ]],"Excess",RawData[Month List],TEXT($A$4, "mmmm yyyy")))</f>
        <v/>
      </c>
      <c r="F71" s="9" t="str">
        <f>IF(A71="","",SUMIFS(RawData[Qyt Affected ( EA ) ],RawData[[Article ]],A71,RawData[Month List],TEXT($A$4,"mmmm yyyy")))</f>
        <v/>
      </c>
      <c r="M71">
        <v>651680</v>
      </c>
    </row>
    <row r="72" spans="1:13" ht="15.75" x14ac:dyDescent="0.25">
      <c r="A72" s="9"/>
      <c r="B72" s="9" t="str">
        <f>IF(A72="","",INDEX(RawData[Description],MATCH(A72,RawData[[Article ]],0)))</f>
        <v/>
      </c>
      <c r="C72" s="9" t="str">
        <f>IF(A72="","",COUNTIFS(RawData[[Article ]],A72,RawData[Month List],TEXT($A$4,"mmmm yyyy")))</f>
        <v/>
      </c>
      <c r="D72" s="9" t="str">
        <f>IF(A72="","",COUNTIFS(RawData[[Article ]],A72,RawData[[Error Type ]],"Short",RawData[Month List],TEXT($A$4,"mmmm yyyy")))</f>
        <v/>
      </c>
      <c r="E72" s="9" t="str">
        <f>IF(A72="","",COUNTIFS(RawData[[Article ]],A72,RawData[[Error Type ]],"Excess",RawData[Month List],TEXT($A$4, "mmmm yyyy")))</f>
        <v/>
      </c>
      <c r="F72" s="9" t="str">
        <f>IF(A72="","",SUMIFS(RawData[Qyt Affected ( EA ) ],RawData[[Article ]],A72,RawData[Month List],TEXT($A$4,"mmmm yyyy")))</f>
        <v/>
      </c>
    </row>
    <row r="73" spans="1:13" ht="15.75" x14ac:dyDescent="0.25">
      <c r="A73" s="9"/>
      <c r="B73" s="9" t="str">
        <f>IF(A73="","",INDEX(RawData[Description],MATCH(A73,RawData[[Article ]],0)))</f>
        <v/>
      </c>
      <c r="C73" s="9" t="str">
        <f>IF(A73="","",COUNTIFS(RawData[[Article ]],A73,RawData[Month List],TEXT($A$4,"mmmm yyyy")))</f>
        <v/>
      </c>
      <c r="D73" s="9" t="str">
        <f>IF(A73="","",COUNTIFS(RawData[[Article ]],A73,RawData[[Error Type ]],"Short",RawData[Month List],TEXT($A$4,"mmmm yyyy")))</f>
        <v/>
      </c>
      <c r="E73" s="9" t="str">
        <f>IF(A73="","",COUNTIFS(RawData[[Article ]],A73,RawData[[Error Type ]],"Excess",RawData[Month List],TEXT($A$4, "mmmm yyyy")))</f>
        <v/>
      </c>
      <c r="F73" s="9" t="str">
        <f>IF(A73="","",SUMIFS(RawData[Qyt Affected ( EA ) ],RawData[[Article ]],A73,RawData[Month List],TEXT($A$4,"mmmm yyyy")))</f>
        <v/>
      </c>
    </row>
    <row r="74" spans="1:13" ht="15.75" x14ac:dyDescent="0.25">
      <c r="A74" s="9"/>
      <c r="B74" s="9" t="str">
        <f>IF(A74="","",INDEX(RawData[Description],MATCH(A74,RawData[[Article ]],0)))</f>
        <v/>
      </c>
      <c r="C74" s="9" t="str">
        <f>IF(A74="","",COUNTIFS(RawData[[Article ]],A74,RawData[Month List],TEXT($A$4,"mmmm yyyy")))</f>
        <v/>
      </c>
      <c r="D74" s="9" t="str">
        <f>IF(A74="","",COUNTIFS(RawData[[Article ]],A74,RawData[[Error Type ]],"Short",RawData[Month List],TEXT($A$4,"mmmm yyyy")))</f>
        <v/>
      </c>
      <c r="E74" s="9" t="str">
        <f>IF(A74="","",COUNTIFS(RawData[[Article ]],A74,RawData[[Error Type ]],"Excess",RawData[Month List],TEXT($A$4, "mmmm yyyy")))</f>
        <v/>
      </c>
      <c r="F74" s="9" t="str">
        <f>IF(A74="","",SUMIFS(RawData[Qyt Affected ( EA ) ],RawData[[Article ]],A74,RawData[Month List],TEXT($A$4,"mmmm yyyy")))</f>
        <v/>
      </c>
    </row>
    <row r="75" spans="1:13" ht="15.75" x14ac:dyDescent="0.25">
      <c r="A75" s="9"/>
      <c r="B75" s="9" t="str">
        <f>IF(A75="","",INDEX(RawData[Description],MATCH(A75,RawData[[Article ]],0)))</f>
        <v/>
      </c>
      <c r="C75" s="9" t="str">
        <f>IF(A75="","",COUNTIFS(RawData[[Article ]],A75,RawData[Month List],TEXT($A$4,"mmmm yyyy")))</f>
        <v/>
      </c>
      <c r="D75" s="9" t="str">
        <f>IF(A75="","",COUNTIFS(RawData[[Article ]],A75,RawData[[Error Type ]],"Short",RawData[Month List],TEXT($A$4,"mmmm yyyy")))</f>
        <v/>
      </c>
      <c r="E75" s="9" t="str">
        <f>IF(A75="","",COUNTIFS(RawData[[Article ]],A75,RawData[[Error Type ]],"Excess",RawData[Month List],TEXT($A$4, "mmmm yyyy")))</f>
        <v/>
      </c>
      <c r="F75" s="9" t="str">
        <f>IF(A75="","",SUMIFS(RawData[Qyt Affected ( EA ) ],RawData[[Article ]],A75,RawData[Month List],TEXT($A$4,"mmmm yyyy")))</f>
        <v/>
      </c>
    </row>
    <row r="76" spans="1:13" ht="15.75" x14ac:dyDescent="0.25">
      <c r="A76" s="9"/>
      <c r="B76" s="9" t="str">
        <f>IF(A76="","",INDEX(RawData[Description],MATCH(A76,RawData[[Article ]],0)))</f>
        <v/>
      </c>
      <c r="C76" s="9" t="str">
        <f>IF(A76="","",COUNTIFS(RawData[[Article ]],A76,RawData[Month List],TEXT($A$4,"mmmm yyyy")))</f>
        <v/>
      </c>
      <c r="D76" s="9" t="str">
        <f>IF(A76="","",COUNTIFS(RawData[[Article ]],A76,RawData[[Error Type ]],"Short",RawData[Month List],TEXT($A$4,"mmmm yyyy")))</f>
        <v/>
      </c>
      <c r="E76" s="9" t="str">
        <f>IF(A76="","",COUNTIFS(RawData[[Article ]],A76,RawData[[Error Type ]],"Excess",RawData[Month List],TEXT($A$4, "mmmm yyyy")))</f>
        <v/>
      </c>
      <c r="F76" s="9" t="str">
        <f>IF(A76="","",SUMIFS(RawData[Qyt Affected ( EA ) ],RawData[[Article ]],A76,RawData[Month List],TEXT($A$4,"mmmm yyyy")))</f>
        <v/>
      </c>
    </row>
    <row r="77" spans="1:13" ht="15.75" x14ac:dyDescent="0.25">
      <c r="A77" s="9"/>
      <c r="B77" s="9" t="str">
        <f>IF(A77="","",INDEX(RawData[Description],MATCH(A77,RawData[[Article ]],0)))</f>
        <v/>
      </c>
      <c r="C77" s="9" t="str">
        <f>IF(A77="","",COUNTIFS(RawData[[Article ]],A77,RawData[Month List],TEXT($A$4,"mmmm yyyy")))</f>
        <v/>
      </c>
      <c r="D77" s="9" t="str">
        <f>IF(A77="","",COUNTIFS(RawData[[Article ]],A77,RawData[[Error Type ]],"Short",RawData[Month List],TEXT($A$4,"mmmm yyyy")))</f>
        <v/>
      </c>
      <c r="E77" s="9" t="str">
        <f>IF(A77="","",COUNTIFS(RawData[[Article ]],A77,RawData[[Error Type ]],"Excess",RawData[Month List],TEXT($A$4, "mmmm yyyy")))</f>
        <v/>
      </c>
      <c r="F77" s="9" t="str">
        <f>IF(A77="","",SUMIFS(RawData[Qyt Affected ( EA ) ],RawData[[Article ]],A77,RawData[Month List],TEXT($A$4,"mmmm yyyy")))</f>
        <v/>
      </c>
    </row>
    <row r="78" spans="1:13" ht="15.75" x14ac:dyDescent="0.25">
      <c r="A78" s="9"/>
      <c r="B78" s="9" t="str">
        <f>IF(A78="","",INDEX(RawData[Description],MATCH(A78,RawData[[Article ]],0)))</f>
        <v/>
      </c>
      <c r="C78" s="9" t="str">
        <f>IF(A78="","",COUNTIFS(RawData[[Article ]],A78,RawData[Month List],TEXT($A$4,"mmmm yyyy")))</f>
        <v/>
      </c>
      <c r="D78" s="9" t="str">
        <f>IF(A78="","",COUNTIFS(RawData[[Article ]],A78,RawData[[Error Type ]],"Short",RawData[Month List],TEXT($A$4,"mmmm yyyy")))</f>
        <v/>
      </c>
      <c r="E78" s="9" t="str">
        <f>IF(A78="","",COUNTIFS(RawData[[Article ]],A78,RawData[[Error Type ]],"Excess",RawData[Month List],TEXT($A$4, "mmmm yyyy")))</f>
        <v/>
      </c>
      <c r="F78" s="9" t="str">
        <f>IF(A78="","",SUMIFS(RawData[Qyt Affected ( EA ) ],RawData[[Article ]],A78,RawData[Month List],TEXT($A$4,"mmmm yyyy")))</f>
        <v/>
      </c>
    </row>
    <row r="79" spans="1:13" ht="15.75" x14ac:dyDescent="0.25">
      <c r="A79" s="9"/>
      <c r="B79" s="9" t="str">
        <f>IF(A79="","",INDEX(RawData[Description],MATCH(A79,RawData[[Article ]],0)))</f>
        <v/>
      </c>
      <c r="C79" s="9" t="str">
        <f>IF(A79="","",COUNTIFS(RawData[[Article ]],A79,RawData[Month List],TEXT($A$4,"mmmm yyyy")))</f>
        <v/>
      </c>
      <c r="D79" s="9" t="str">
        <f>IF(A79="","",COUNTIFS(RawData[[Article ]],A79,RawData[[Error Type ]],"Short",RawData[Month List],TEXT($A$4,"mmmm yyyy")))</f>
        <v/>
      </c>
      <c r="E79" s="9" t="str">
        <f>IF(A79="","",COUNTIFS(RawData[[Article ]],A79,RawData[[Error Type ]],"Excess",RawData[Month List],TEXT($A$4, "mmmm yyyy")))</f>
        <v/>
      </c>
      <c r="F79" s="9" t="str">
        <f>IF(A79="","",SUMIFS(RawData[Qyt Affected ( EA ) ],RawData[[Article ]],A79,RawData[Month List],TEXT($A$4,"mmmm yyyy")))</f>
        <v/>
      </c>
    </row>
    <row r="80" spans="1:13" ht="15.75" x14ac:dyDescent="0.25">
      <c r="A80" s="9"/>
      <c r="B80" s="9" t="str">
        <f>IF(A80="","",INDEX(RawData[Description],MATCH(A80,RawData[[Article ]],0)))</f>
        <v/>
      </c>
      <c r="C80" s="9" t="str">
        <f>IF(A80="","",COUNTIFS(RawData[[Article ]],A80,RawData[Month List],TEXT($A$4,"mmmm yyyy")))</f>
        <v/>
      </c>
      <c r="D80" s="9" t="str">
        <f>IF(A80="","",COUNTIFS(RawData[[Article ]],A80,RawData[[Error Type ]],"Short",RawData[Month List],TEXT($A$4,"mmmm yyyy")))</f>
        <v/>
      </c>
      <c r="E80" s="9" t="str">
        <f>IF(A80="","",COUNTIFS(RawData[[Article ]],A80,RawData[[Error Type ]],"Excess",RawData[Month List],TEXT($A$4, "mmmm yyyy")))</f>
        <v/>
      </c>
      <c r="F80" s="9" t="str">
        <f>IF(A80="","",SUMIFS(RawData[Qyt Affected ( EA ) ],RawData[[Article ]],A80,RawData[Month List],TEXT($A$4,"mmmm yyyy")))</f>
        <v/>
      </c>
    </row>
    <row r="81" spans="1:6" ht="15.75" x14ac:dyDescent="0.25">
      <c r="A81" s="9"/>
      <c r="B81" s="9" t="str">
        <f>IF(A81="","",INDEX(RawData[Description],MATCH(A81,RawData[[Article ]],0)))</f>
        <v/>
      </c>
      <c r="C81" s="9" t="str">
        <f>IF(A81="","",COUNTIFS(RawData[[Article ]],A81,RawData[Month List],TEXT($A$4,"mmmm yyyy")))</f>
        <v/>
      </c>
      <c r="D81" s="9" t="str">
        <f>IF(A81="","",COUNTIFS(RawData[[Article ]],A81,RawData[[Error Type ]],"Short",RawData[Month List],TEXT($A$4,"mmmm yyyy")))</f>
        <v/>
      </c>
      <c r="E81" s="9" t="str">
        <f>IF(A81="","",COUNTIFS(RawData[[Article ]],A81,RawData[[Error Type ]],"Excess",RawData[Month List],TEXT($A$4, "mmmm yyyy")))</f>
        <v/>
      </c>
      <c r="F81" s="9" t="str">
        <f>IF(A81="","",SUMIFS(RawData[Qyt Affected ( EA ) ],RawData[[Article ]],A81,RawData[Month List],TEXT($A$4,"mmmm yyyy")))</f>
        <v/>
      </c>
    </row>
    <row r="82" spans="1:6" ht="15.75" x14ac:dyDescent="0.25">
      <c r="A82" s="9"/>
      <c r="B82" s="9" t="str">
        <f>IF(A82="","",INDEX(RawData[Description],MATCH(A82,RawData[[Article ]],0)))</f>
        <v/>
      </c>
      <c r="C82" s="9" t="str">
        <f>IF(A82="","",COUNTIFS(RawData[[Article ]],A82,RawData[Month List],TEXT($A$4,"mmmm yyyy")))</f>
        <v/>
      </c>
      <c r="D82" s="9" t="str">
        <f>IF(A82="","",COUNTIFS(RawData[[Article ]],A82,RawData[[Error Type ]],"Short",RawData[Month List],TEXT($A$4,"mmmm yyyy")))</f>
        <v/>
      </c>
      <c r="E82" s="9" t="str">
        <f>IF(A82="","",COUNTIFS(RawData[[Article ]],A82,RawData[[Error Type ]],"Excess",RawData[Month List],TEXT($A$4, "mmmm yyyy")))</f>
        <v/>
      </c>
      <c r="F82" s="9" t="str">
        <f>IF(A82="","",SUMIFS(RawData[Qyt Affected ( EA ) ],RawData[[Article ]],A82,RawData[Month List],TEXT($A$4,"mmmm yyyy")))</f>
        <v/>
      </c>
    </row>
    <row r="83" spans="1:6" ht="15.75" x14ac:dyDescent="0.25">
      <c r="A83" s="9"/>
      <c r="B83" s="9" t="str">
        <f>IF(A83="","",INDEX(RawData[Description],MATCH(A83,RawData[[Article ]],0)))</f>
        <v/>
      </c>
      <c r="C83" s="9" t="str">
        <f>IF(A83="","",COUNTIFS(RawData[[Article ]],A83,RawData[Month List],TEXT($A$4,"mmmm yyyy")))</f>
        <v/>
      </c>
      <c r="D83" s="9" t="str">
        <f>IF(A83="","",COUNTIFS(RawData[[Article ]],A83,RawData[[Error Type ]],"Short",RawData[Month List],TEXT($A$4,"mmmm yyyy")))</f>
        <v/>
      </c>
      <c r="E83" s="9" t="str">
        <f>IF(A83="","",COUNTIFS(RawData[[Article ]],A83,RawData[[Error Type ]],"Excess",RawData[Month List],TEXT($A$4, "mmmm yyyy")))</f>
        <v/>
      </c>
      <c r="F83" s="9" t="str">
        <f>IF(A83="","",SUMIFS(RawData[Qyt Affected ( EA ) ],RawData[[Article ]],A83,RawData[Month List],TEXT($A$4,"mmmm yyyy")))</f>
        <v/>
      </c>
    </row>
    <row r="84" spans="1:6" ht="15.75" x14ac:dyDescent="0.25">
      <c r="A84" s="9"/>
      <c r="B84" s="9" t="str">
        <f>IF(A84="","",INDEX(RawData[Description],MATCH(A84,RawData[[Article ]],0)))</f>
        <v/>
      </c>
      <c r="C84" s="9" t="str">
        <f>IF(A84="","",COUNTIFS(RawData[[Article ]],A84,RawData[Month List],TEXT($A$4,"mmmm yyyy")))</f>
        <v/>
      </c>
      <c r="D84" s="9" t="str">
        <f>IF(A84="","",COUNTIFS(RawData[[Article ]],A84,RawData[[Error Type ]],"Short",RawData[Month List],TEXT($A$4,"mmmm yyyy")))</f>
        <v/>
      </c>
      <c r="E84" s="9" t="str">
        <f>IF(A84="","",COUNTIFS(RawData[[Article ]],A84,RawData[[Error Type ]],"Excess",RawData[Month List],TEXT($A$4, "mmmm yyyy")))</f>
        <v/>
      </c>
      <c r="F84" s="9" t="str">
        <f>IF(A84="","",SUMIFS(RawData[Qyt Affected ( EA ) ],RawData[[Article ]],A84,RawData[Month List],TEXT($A$4,"mmmm yyyy")))</f>
        <v/>
      </c>
    </row>
    <row r="85" spans="1:6" ht="15.75" x14ac:dyDescent="0.25">
      <c r="A85" s="9"/>
      <c r="B85" s="9" t="str">
        <f>IF(A85="","",INDEX(RawData[Description],MATCH(A85,RawData[[Article ]],0)))</f>
        <v/>
      </c>
      <c r="C85" s="9" t="str">
        <f>IF(A85="","",COUNTIFS(RawData[[Article ]],A85,RawData[Month List],TEXT($A$4,"mmmm yyyy")))</f>
        <v/>
      </c>
      <c r="D85" s="9" t="str">
        <f>IF(A85="","",COUNTIFS(RawData[[Article ]],A85,RawData[[Error Type ]],"Short",RawData[Month List],TEXT($A$4,"mmmm yyyy")))</f>
        <v/>
      </c>
      <c r="E85" s="9" t="str">
        <f>IF(A85="","",COUNTIFS(RawData[[Article ]],A85,RawData[[Error Type ]],"Excess",RawData[Month List],TEXT($A$4, "mmmm yyyy")))</f>
        <v/>
      </c>
      <c r="F85" s="9" t="str">
        <f>IF(A85="","",SUMIFS(RawData[Qyt Affected ( EA ) ],RawData[[Article ]],A85,RawData[Month List],TEXT($A$4,"mmmm yyyy")))</f>
        <v/>
      </c>
    </row>
    <row r="86" spans="1:6" ht="15.75" x14ac:dyDescent="0.25">
      <c r="A86" s="9"/>
      <c r="B86" s="9" t="str">
        <f>IF(A86="","",INDEX(RawData[Description],MATCH(A86,RawData[[Article ]],0)))</f>
        <v/>
      </c>
      <c r="C86" s="9" t="str">
        <f>IF(A86="","",COUNTIFS(RawData[[Article ]],A86,RawData[Month List],TEXT($A$4,"mmmm yyyy")))</f>
        <v/>
      </c>
      <c r="D86" s="9" t="str">
        <f>IF(A86="","",COUNTIFS(RawData[[Article ]],A86,RawData[[Error Type ]],"Short",RawData[Month List],TEXT($A$4,"mmmm yyyy")))</f>
        <v/>
      </c>
      <c r="E86" s="9" t="str">
        <f>IF(A86="","",COUNTIFS(RawData[[Article ]],A86,RawData[[Error Type ]],"Excess",RawData[Month List],TEXT($A$4, "mmmm yyyy")))</f>
        <v/>
      </c>
      <c r="F86" s="9" t="str">
        <f>IF(A86="","",SUMIFS(RawData[Qyt Affected ( EA ) ],RawData[[Article ]],A86,RawData[Month List],TEXT($A$4,"mmmm yyyy")))</f>
        <v/>
      </c>
    </row>
    <row r="87" spans="1:6" ht="15.75" x14ac:dyDescent="0.25">
      <c r="A87" s="9"/>
      <c r="B87" s="9" t="str">
        <f>IF(A87="","",INDEX(RawData[Description],MATCH(A87,RawData[[Article ]],0)))</f>
        <v/>
      </c>
      <c r="C87" s="9" t="str">
        <f>IF(A87="","",COUNTIFS(RawData[[Article ]],A87,RawData[Month List],TEXT($A$4,"mmmm yyyy")))</f>
        <v/>
      </c>
      <c r="D87" s="9" t="str">
        <f>IF(A87="","",COUNTIFS(RawData[[Article ]],A87,RawData[[Error Type ]],"Short",RawData[Month List],TEXT($A$4,"mmmm yyyy")))</f>
        <v/>
      </c>
      <c r="E87" s="9" t="str">
        <f>IF(A87="","",COUNTIFS(RawData[[Article ]],A87,RawData[[Error Type ]],"Excess",RawData[Month List],TEXT($A$4, "mmmm yyyy")))</f>
        <v/>
      </c>
      <c r="F87" s="9" t="str">
        <f>IF(A87="","",SUMIFS(RawData[Qyt Affected ( EA ) ],RawData[[Article ]],A87,RawData[Month List],TEXT($A$4,"mmmm yyyy")))</f>
        <v/>
      </c>
    </row>
    <row r="88" spans="1:6" ht="15.75" x14ac:dyDescent="0.25">
      <c r="A88" s="9"/>
      <c r="B88" s="9" t="str">
        <f>IF(A88="","",INDEX(RawData[Description],MATCH(A88,RawData[[Article ]],0)))</f>
        <v/>
      </c>
      <c r="C88" s="9" t="str">
        <f>IF(A88="","",COUNTIFS(RawData[[Article ]],A88,RawData[Month List],TEXT($A$4,"mmmm yyyy")))</f>
        <v/>
      </c>
      <c r="D88" s="9" t="str">
        <f>IF(A88="","",COUNTIFS(RawData[[Article ]],A88,RawData[[Error Type ]],"Short",RawData[Month List],TEXT($A$4,"mmmm yyyy")))</f>
        <v/>
      </c>
      <c r="E88" s="9" t="str">
        <f>IF(A88="","",COUNTIFS(RawData[[Article ]],A88,RawData[[Error Type ]],"Excess",RawData[Month List],TEXT($A$4, "mmmm yyyy")))</f>
        <v/>
      </c>
      <c r="F88" s="9" t="str">
        <f>IF(A88="","",SUMIFS(RawData[Qyt Affected ( EA ) ],RawData[[Article ]],A88,RawData[Month List],TEXT($A$4,"mmmm yyyy")))</f>
        <v/>
      </c>
    </row>
    <row r="89" spans="1:6" ht="15.75" x14ac:dyDescent="0.25">
      <c r="A89" s="9"/>
      <c r="B89" s="9" t="str">
        <f>IF(A89="","",INDEX(RawData[Description],MATCH(A89,RawData[[Article ]],0)))</f>
        <v/>
      </c>
      <c r="C89" s="9" t="str">
        <f>IF(A89="","",COUNTIFS(RawData[[Article ]],A89,RawData[Month List],TEXT($A$4,"mmmm yyyy")))</f>
        <v/>
      </c>
      <c r="D89" s="9" t="str">
        <f>IF(A89="","",COUNTIFS(RawData[[Article ]],A89,RawData[[Error Type ]],"Short",RawData[Month List],TEXT($A$4,"mmmm yyyy")))</f>
        <v/>
      </c>
      <c r="E89" s="9" t="str">
        <f>IF(A89="","",COUNTIFS(RawData[[Article ]],A89,RawData[[Error Type ]],"Excess",RawData[Month List],TEXT($A$4, "mmmm yyyy")))</f>
        <v/>
      </c>
      <c r="F89" s="9" t="str">
        <f>IF(A89="","",SUMIFS(RawData[Qyt Affected ( EA ) ],RawData[[Article ]],A89,RawData[Month List],TEXT($A$4,"mmmm yyyy")))</f>
        <v/>
      </c>
    </row>
    <row r="90" spans="1:6" ht="15.75" x14ac:dyDescent="0.25">
      <c r="A90" s="9"/>
      <c r="B90" s="9" t="str">
        <f>IF(A90="","",INDEX(RawData[Description],MATCH(A90,RawData[[Article ]],0)))</f>
        <v/>
      </c>
      <c r="C90" s="9" t="str">
        <f>IF(A90="","",COUNTIFS(RawData[[Article ]],A90,RawData[Month List],TEXT($A$4,"mmmm yyyy")))</f>
        <v/>
      </c>
      <c r="D90" s="9" t="str">
        <f>IF(A90="","",COUNTIFS(RawData[[Article ]],A90,RawData[[Error Type ]],"Short",RawData[Month List],TEXT($A$4,"mmmm yyyy")))</f>
        <v/>
      </c>
      <c r="E90" s="9" t="str">
        <f>IF(A90="","",COUNTIFS(RawData[[Article ]],A90,RawData[[Error Type ]],"Excess",RawData[Month List],TEXT($A$4, "mmmm yyyy")))</f>
        <v/>
      </c>
      <c r="F90" s="9" t="str">
        <f>IF(A90="","",SUMIFS(RawData[Qyt Affected ( EA ) ],RawData[[Article ]],A90,RawData[Month List],TEXT($A$4,"mmmm yyyy")))</f>
        <v/>
      </c>
    </row>
    <row r="91" spans="1:6" ht="15.75" x14ac:dyDescent="0.25">
      <c r="A91" s="9"/>
      <c r="B91" s="9" t="str">
        <f>IF(A91="","",INDEX(RawData[Description],MATCH(A91,RawData[[Article ]],0)))</f>
        <v/>
      </c>
      <c r="C91" s="9" t="str">
        <f>IF(A91="","",COUNTIFS(RawData[[Article ]],A91,RawData[Month List],TEXT($A$4,"mmmm yyyy")))</f>
        <v/>
      </c>
      <c r="D91" s="9" t="str">
        <f>IF(A91="","",COUNTIFS(RawData[[Article ]],A91,RawData[[Error Type ]],"Short",RawData[Month List],TEXT($A$4,"mmmm yyyy")))</f>
        <v/>
      </c>
      <c r="E91" s="9" t="str">
        <f>IF(A91="","",COUNTIFS(RawData[[Article ]],A91,RawData[[Error Type ]],"Excess",RawData[Month List],TEXT($A$4, "mmmm yyyy")))</f>
        <v/>
      </c>
      <c r="F91" s="9" t="str">
        <f>IF(A91="","",SUMIFS(RawData[Qyt Affected ( EA ) ],RawData[[Article ]],A91,RawData[Month List],TEXT($A$4,"mmmm yyyy")))</f>
        <v/>
      </c>
    </row>
    <row r="92" spans="1:6" ht="15.75" x14ac:dyDescent="0.25">
      <c r="A92" s="9"/>
      <c r="B92" s="9" t="str">
        <f>IF(A92="","",INDEX(RawData[Description],MATCH(A92,RawData[[Article ]],0)))</f>
        <v/>
      </c>
      <c r="C92" s="9" t="str">
        <f>IF(A92="","",COUNTIFS(RawData[[Article ]],A92,RawData[Month List],TEXT($A$4,"mmmm yyyy")))</f>
        <v/>
      </c>
      <c r="D92" s="9" t="str">
        <f>IF(A92="","",COUNTIFS(RawData[[Article ]],A92,RawData[[Error Type ]],"Short",RawData[Month List],TEXT($A$4,"mmmm yyyy")))</f>
        <v/>
      </c>
      <c r="E92" s="9" t="str">
        <f>IF(A92="","",COUNTIFS(RawData[[Article ]],A92,RawData[[Error Type ]],"Excess",RawData[Month List],TEXT($A$4, "mmmm yyyy")))</f>
        <v/>
      </c>
      <c r="F92" s="9" t="str">
        <f>IF(A92="","",SUMIFS(RawData[Qyt Affected ( EA ) ],RawData[[Article ]],A92,RawData[Month List],TEXT($A$4,"mmmm yyyy")))</f>
        <v/>
      </c>
    </row>
    <row r="93" spans="1:6" ht="15.75" x14ac:dyDescent="0.25">
      <c r="A93" s="9"/>
      <c r="B93" s="9" t="str">
        <f>IF(A93="","",INDEX(RawData[Description],MATCH(A93,RawData[[Article ]],0)))</f>
        <v/>
      </c>
      <c r="C93" s="9" t="str">
        <f>IF(A93="","",COUNTIFS(RawData[[Article ]],A93,RawData[Month List],TEXT($A$4,"mmmm yyyy")))</f>
        <v/>
      </c>
      <c r="D93" s="9" t="str">
        <f>IF(A93="","",COUNTIFS(RawData[[Article ]],A93,RawData[[Error Type ]],"Short",RawData[Month List],TEXT($A$4,"mmmm yyyy")))</f>
        <v/>
      </c>
      <c r="E93" s="9" t="str">
        <f>IF(A93="","",COUNTIFS(RawData[[Article ]],A93,RawData[[Error Type ]],"Excess",RawData[Month List],TEXT($A$4, "mmmm yyyy")))</f>
        <v/>
      </c>
      <c r="F93" s="9" t="str">
        <f>IF(A93="","",SUMIFS(RawData[Qyt Affected ( EA ) ],RawData[[Article ]],A93,RawData[Month List],TEXT($A$4,"mmmm yyyy")))</f>
        <v/>
      </c>
    </row>
    <row r="94" spans="1:6" ht="15.75" x14ac:dyDescent="0.25">
      <c r="A94" s="9"/>
      <c r="B94" s="9" t="str">
        <f>IF(A94="","",INDEX(RawData[Description],MATCH(A94,RawData[[Article ]],0)))</f>
        <v/>
      </c>
      <c r="C94" s="9" t="str">
        <f>IF(A94="","",COUNTIFS(RawData[[Article ]],A94,RawData[Month List],TEXT($A$4,"mmmm yyyy")))</f>
        <v/>
      </c>
      <c r="D94" s="9" t="str">
        <f>IF(A94="","",COUNTIFS(RawData[[Article ]],A94,RawData[[Error Type ]],"Short",RawData[Month List],TEXT($A$4,"mmmm yyyy")))</f>
        <v/>
      </c>
      <c r="E94" s="9" t="str">
        <f>IF(A94="","",COUNTIFS(RawData[[Article ]],A94,RawData[[Error Type ]],"Excess",RawData[Month List],TEXT($A$4, "mmmm yyyy")))</f>
        <v/>
      </c>
      <c r="F94" s="9" t="str">
        <f>IF(A94="","",SUMIFS(RawData[Qyt Affected ( EA ) ],RawData[[Article ]],A94,RawData[Month List],TEXT($A$4,"mmmm yyyy")))</f>
        <v/>
      </c>
    </row>
    <row r="95" spans="1:6" ht="15.75" x14ac:dyDescent="0.25">
      <c r="A95" s="9"/>
      <c r="B95" s="9" t="str">
        <f>IF(A95="","",INDEX(RawData[Description],MATCH(A95,RawData[[Article ]],0)))</f>
        <v/>
      </c>
      <c r="C95" s="9" t="str">
        <f>IF(A95="","",COUNTIFS(RawData[[Article ]],A95,RawData[Month List],TEXT($A$4,"mmmm yyyy")))</f>
        <v/>
      </c>
      <c r="D95" s="9" t="str">
        <f>IF(A95="","",COUNTIFS(RawData[[Article ]],A95,RawData[[Error Type ]],"Short",RawData[Month List],TEXT($A$4,"mmmm yyyy")))</f>
        <v/>
      </c>
      <c r="E95" s="9" t="str">
        <f>IF(A95="","",COUNTIFS(RawData[[Article ]],A95,RawData[[Error Type ]],"Excess",RawData[Month List],TEXT($A$4, "mmmm yyyy")))</f>
        <v/>
      </c>
      <c r="F95" s="9" t="str">
        <f>IF(A95="","",SUMIFS(RawData[Qyt Affected ( EA ) ],RawData[[Article ]],A95,RawData[Month List],TEXT($A$4,"mmmm yyyy")))</f>
        <v/>
      </c>
    </row>
    <row r="96" spans="1:6" ht="15.75" x14ac:dyDescent="0.25">
      <c r="A96" s="9"/>
      <c r="B96" s="9" t="str">
        <f>IF(A96="","",INDEX(RawData[Description],MATCH(A96,RawData[[Article ]],0)))</f>
        <v/>
      </c>
      <c r="C96" s="9" t="str">
        <f>IF(A96="","",COUNTIFS(RawData[[Article ]],A96,RawData[Month List],TEXT($A$4,"mmmm yyyy")))</f>
        <v/>
      </c>
      <c r="D96" s="9" t="str">
        <f>IF(A96="","",COUNTIFS(RawData[[Article ]],A96,RawData[[Error Type ]],"Short",RawData[Month List],TEXT($A$4,"mmmm yyyy")))</f>
        <v/>
      </c>
      <c r="E96" s="9" t="str">
        <f>IF(A96="","",COUNTIFS(RawData[[Article ]],A96,RawData[[Error Type ]],"Excess",RawData[Month List],TEXT($A$4, "mmmm yyyy")))</f>
        <v/>
      </c>
      <c r="F96" s="9" t="str">
        <f>IF(A96="","",SUMIFS(RawData[Qyt Affected ( EA ) ],RawData[[Article ]],A96,RawData[Month List],TEXT($A$4,"mmmm yyyy")))</f>
        <v/>
      </c>
    </row>
    <row r="97" spans="1:6" ht="15.75" x14ac:dyDescent="0.25">
      <c r="A97" s="9"/>
      <c r="B97" s="9" t="str">
        <f>IF(A97="","",INDEX(RawData[Description],MATCH(A97,RawData[[Article ]],0)))</f>
        <v/>
      </c>
      <c r="C97" s="9" t="str">
        <f>IF(A97="","",COUNTIFS(RawData[[Article ]],A97,RawData[Month List],TEXT($A$4,"mmmm yyyy")))</f>
        <v/>
      </c>
      <c r="D97" s="9" t="str">
        <f>IF(A97="","",COUNTIFS(RawData[[Article ]],A97,RawData[[Error Type ]],"Short",RawData[Month List],TEXT($A$4,"mmmm yyyy")))</f>
        <v/>
      </c>
      <c r="E97" s="9" t="str">
        <f>IF(A97="","",COUNTIFS(RawData[[Article ]],A97,RawData[[Error Type ]],"Excess",RawData[Month List],TEXT($A$4, "mmmm yyyy")))</f>
        <v/>
      </c>
      <c r="F97" s="9" t="str">
        <f>IF(A97="","",SUMIFS(RawData[Qyt Affected ( EA ) ],RawData[[Article ]],A97,RawData[Month List],TEXT($A$4,"mmmm yyyy")))</f>
        <v/>
      </c>
    </row>
    <row r="98" spans="1:6" ht="15.75" x14ac:dyDescent="0.25">
      <c r="A98" s="9"/>
      <c r="B98" s="9" t="str">
        <f>IF(A98="","",INDEX(RawData[Description],MATCH(A98,RawData[[Article ]],0)))</f>
        <v/>
      </c>
      <c r="C98" s="9" t="str">
        <f>IF(A98="","",COUNTIFS(RawData[[Article ]],A98,RawData[Month List],TEXT($A$4,"mmmm yyyy")))</f>
        <v/>
      </c>
      <c r="D98" s="9" t="str">
        <f>IF(A98="","",COUNTIFS(RawData[[Article ]],A98,RawData[[Error Type ]],"Short",RawData[Month List],TEXT($A$4,"mmmm yyyy")))</f>
        <v/>
      </c>
      <c r="E98" s="9" t="str">
        <f>IF(A98="","",COUNTIFS(RawData[[Article ]],A98,RawData[[Error Type ]],"Excess",RawData[Month List],TEXT($A$4, "mmmm yyyy")))</f>
        <v/>
      </c>
      <c r="F98" s="9" t="str">
        <f>IF(A98="","",SUMIFS(RawData[Qyt Affected ( EA ) ],RawData[[Article ]],A98,RawData[Month List],TEXT($A$4,"mmmm yyyy")))</f>
        <v/>
      </c>
    </row>
    <row r="99" spans="1:6" ht="15.75" x14ac:dyDescent="0.25">
      <c r="A99" s="9"/>
      <c r="B99" s="9" t="str">
        <f>IF(A99="","",INDEX(RawData[Description],MATCH(A99,RawData[[Article ]],0)))</f>
        <v/>
      </c>
      <c r="C99" s="9" t="str">
        <f>IF(A99="","",COUNTIFS(RawData[[Article ]],A99,RawData[Month List],TEXT($A$4,"mmmm yyyy")))</f>
        <v/>
      </c>
      <c r="D99" s="9" t="str">
        <f>IF(A99="","",COUNTIFS(RawData[[Article ]],A99,RawData[[Error Type ]],"Short",RawData[Month List],TEXT($A$4,"mmmm yyyy")))</f>
        <v/>
      </c>
      <c r="E99" s="9" t="str">
        <f>IF(A99="","",COUNTIFS(RawData[[Article ]],A99,RawData[[Error Type ]],"Excess",RawData[Month List],TEXT($A$4, "mmmm yyyy")))</f>
        <v/>
      </c>
      <c r="F99" s="9" t="str">
        <f>IF(A99="","",SUMIFS(RawData[Qyt Affected ( EA ) ],RawData[[Article ]],A99,RawData[Month List],TEXT($A$4,"mmmm yyyy")))</f>
        <v/>
      </c>
    </row>
    <row r="100" spans="1:6" ht="15.75" x14ac:dyDescent="0.25">
      <c r="A100" s="9"/>
      <c r="B100" s="9" t="str">
        <f>IF(A100="","",INDEX(RawData[Description],MATCH(A100,RawData[[Article ]],0)))</f>
        <v/>
      </c>
      <c r="C100" s="9" t="str">
        <f>IF(A100="","",COUNTIFS(RawData[[Article ]],A100,RawData[Month List],TEXT($A$4,"mmmm yyyy")))</f>
        <v/>
      </c>
      <c r="D100" s="9" t="str">
        <f>IF(A100="","",COUNTIFS(RawData[[Article ]],A100,RawData[[Error Type ]],"Short",RawData[Month List],TEXT($A$4,"mmmm yyyy")))</f>
        <v/>
      </c>
      <c r="E100" s="9" t="str">
        <f>IF(A100="","",COUNTIFS(RawData[[Article ]],A100,RawData[[Error Type ]],"Excess",RawData[Month List],TEXT($A$4, "mmmm yyyy")))</f>
        <v/>
      </c>
      <c r="F100" s="9" t="str">
        <f>IF(A100="","",SUMIFS(RawData[Qyt Affected ( EA ) ],RawData[[Article ]],A100,RawData[Month List],TEXT($A$4,"mmmm yyyy")))</f>
        <v/>
      </c>
    </row>
    <row r="101" spans="1:6" ht="15.75" x14ac:dyDescent="0.25">
      <c r="A101" s="9"/>
      <c r="B101" s="9" t="str">
        <f>IF(A101="","",INDEX(RawData[Description],MATCH(A101,RawData[[Article ]],0)))</f>
        <v/>
      </c>
      <c r="C101" s="9" t="str">
        <f>IF(A101="","",COUNTIFS(RawData[[Article ]],A101,RawData[Month List],TEXT($A$4,"mmmm yyyy")))</f>
        <v/>
      </c>
      <c r="D101" s="9" t="str">
        <f>IF(A101="","",COUNTIFS(RawData[[Article ]],A101,RawData[[Error Type ]],"Short",RawData[Month List],TEXT($A$4,"mmmm yyyy")))</f>
        <v/>
      </c>
      <c r="E101" s="9" t="str">
        <f>IF(A101="","",COUNTIFS(RawData[[Article ]],A101,RawData[[Error Type ]],"Excess",RawData[Month List],TEXT($A$4, "mmmm yyyy")))</f>
        <v/>
      </c>
      <c r="F101" s="9" t="str">
        <f>IF(A101="","",SUMIFS(RawData[Qyt Affected ( EA ) ],RawData[[Article ]],A101,RawData[Month List],TEXT($A$4,"mmmm yyyy")))</f>
        <v/>
      </c>
    </row>
    <row r="102" spans="1:6" ht="15.75" x14ac:dyDescent="0.25">
      <c r="A102" s="9"/>
      <c r="B102" s="9" t="str">
        <f>IF(A102="","",INDEX(RawData[Description],MATCH(A102,RawData[[Article ]],0)))</f>
        <v/>
      </c>
      <c r="C102" s="9" t="str">
        <f>IF(A102="","",COUNTIFS(RawData[[Article ]],A102,RawData[Month List],TEXT($A$4,"mmmm yyyy")))</f>
        <v/>
      </c>
      <c r="D102" s="9" t="str">
        <f>IF(A102="","",COUNTIFS(RawData[[Article ]],A102,RawData[[Error Type ]],"Short",RawData[Month List],TEXT($A$4,"mmmm yyyy")))</f>
        <v/>
      </c>
      <c r="E102" s="9" t="str">
        <f>IF(A102="","",COUNTIFS(RawData[[Article ]],A102,RawData[[Error Type ]],"Excess",RawData[Month List],TEXT($A$4, "mmmm yyyy")))</f>
        <v/>
      </c>
      <c r="F102" s="9" t="str">
        <f>IF(A102="","",SUMIFS(RawData[Qyt Affected ( EA ) ],RawData[[Article ]],A102,RawData[Month List],TEXT($A$4,"mmmm yyyy")))</f>
        <v/>
      </c>
    </row>
    <row r="103" spans="1:6" ht="15.75" x14ac:dyDescent="0.25">
      <c r="A103" s="9"/>
      <c r="B103" s="9" t="str">
        <f>IF(A103="","",INDEX(RawData[Description],MATCH(A103,RawData[[Article ]],0)))</f>
        <v/>
      </c>
      <c r="C103" s="9" t="str">
        <f>IF(A103="","",COUNTIFS(RawData[[Article ]],A103,RawData[Month List],TEXT($A$4,"mmmm yyyy")))</f>
        <v/>
      </c>
      <c r="D103" s="9" t="str">
        <f>IF(A103="","",COUNTIFS(RawData[[Article ]],A103,RawData[[Error Type ]],"Short",RawData[Month List],TEXT($A$4,"mmmm yyyy")))</f>
        <v/>
      </c>
      <c r="E103" s="9" t="str">
        <f>IF(A103="","",COUNTIFS(RawData[[Article ]],A103,RawData[[Error Type ]],"Excess",RawData[Month List],TEXT($A$4, "mmmm yyyy")))</f>
        <v/>
      </c>
      <c r="F103" s="9" t="str">
        <f>IF(A103="","",SUMIFS(RawData[Qyt Affected ( EA ) ],RawData[[Article ]],A103,RawData[Month List],TEXT($A$4,"mmmm yyyy")))</f>
        <v/>
      </c>
    </row>
    <row r="104" spans="1:6" ht="15.75" x14ac:dyDescent="0.25">
      <c r="A104" s="9"/>
      <c r="B104" s="9" t="str">
        <f>IF(A104="","",INDEX(RawData[Description],MATCH(A104,RawData[[Article ]],0)))</f>
        <v/>
      </c>
      <c r="C104" s="9" t="str">
        <f>IF(A104="","",COUNTIFS(RawData[[Article ]],A104,RawData[Month List],TEXT($A$4,"mmmm yyyy")))</f>
        <v/>
      </c>
      <c r="D104" s="9" t="str">
        <f>IF(A104="","",COUNTIFS(RawData[[Article ]],A104,RawData[[Error Type ]],"Short",RawData[Month List],TEXT($A$4,"mmmm yyyy")))</f>
        <v/>
      </c>
      <c r="E104" s="9" t="str">
        <f>IF(A104="","",COUNTIFS(RawData[[Article ]],A104,RawData[[Error Type ]],"Excess",RawData[Month List],TEXT($A$4, "mmmm yyyy")))</f>
        <v/>
      </c>
      <c r="F104" s="9" t="str">
        <f>IF(A104="","",SUMIFS(RawData[Qyt Affected ( EA ) ],RawData[[Article ]],A104,RawData[Month List],TEXT($A$4,"mmmm yyyy")))</f>
        <v/>
      </c>
    </row>
    <row r="105" spans="1:6" ht="15.75" x14ac:dyDescent="0.25">
      <c r="A105" s="9"/>
      <c r="B105" s="9" t="str">
        <f>IF(A105="","",INDEX(RawData[Description],MATCH(A105,RawData[[Article ]],0)))</f>
        <v/>
      </c>
      <c r="C105" s="9" t="str">
        <f>IF(A105="","",COUNTIFS(RawData[[Article ]],A105,RawData[Month List],TEXT($A$4,"mmmm yyyy")))</f>
        <v/>
      </c>
      <c r="D105" s="9" t="str">
        <f>IF(A105="","",COUNTIFS(RawData[[Article ]],A105,RawData[[Error Type ]],"Short",RawData[Month List],TEXT($A$4,"mmmm yyyy")))</f>
        <v/>
      </c>
      <c r="E105" s="9" t="str">
        <f>IF(A105="","",COUNTIFS(RawData[[Article ]],A105,RawData[[Error Type ]],"Excess",RawData[Month List],TEXT($A$4, "mmmm yyyy")))</f>
        <v/>
      </c>
      <c r="F105" s="9" t="str">
        <f>IF(A105="","",SUMIFS(RawData[Qyt Affected ( EA ) ],RawData[[Article ]],A105,RawData[Month List],TEXT($A$4,"mmmm yyyy")))</f>
        <v/>
      </c>
    </row>
    <row r="106" spans="1:6" ht="15.75" x14ac:dyDescent="0.25">
      <c r="A106" s="9"/>
      <c r="B106" s="9" t="str">
        <f>IF(A106="","",INDEX(RawData[Description],MATCH(A106,RawData[[Article ]],0)))</f>
        <v/>
      </c>
      <c r="C106" s="9" t="str">
        <f>IF(A106="","",COUNTIFS(RawData[[Article ]],A106,RawData[Month List],TEXT($A$4,"mmmm yyyy")))</f>
        <v/>
      </c>
      <c r="D106" s="9" t="str">
        <f>IF(A106="","",COUNTIFS(RawData[[Article ]],A106,RawData[[Error Type ]],"Short",RawData[Month List],TEXT($A$4,"mmmm yyyy")))</f>
        <v/>
      </c>
      <c r="E106" s="9" t="str">
        <f>IF(A106="","",COUNTIFS(RawData[[Article ]],A106,RawData[[Error Type ]],"Excess",RawData[Month List],TEXT($A$4, "mmmm yyyy")))</f>
        <v/>
      </c>
      <c r="F106" s="9" t="str">
        <f>IF(A106="","",SUMIFS(RawData[Qyt Affected ( EA ) ],RawData[[Article ]],A106,RawData[Month List],TEXT($A$4,"mmmm yyyy")))</f>
        <v/>
      </c>
    </row>
    <row r="107" spans="1:6" ht="15.75" x14ac:dyDescent="0.25">
      <c r="A107" s="9"/>
      <c r="B107" s="9" t="str">
        <f>IF(A107="","",INDEX(RawData[Description],MATCH(A107,RawData[[Article ]],0)))</f>
        <v/>
      </c>
      <c r="C107" s="9" t="str">
        <f>IF(A107="","",COUNTIFS(RawData[[Article ]],A107,RawData[Month List],TEXT($A$4,"mmmm yyyy")))</f>
        <v/>
      </c>
      <c r="D107" s="9" t="str">
        <f>IF(A107="","",COUNTIFS(RawData[[Article ]],A107,RawData[[Error Type ]],"Short",RawData[Month List],TEXT($A$4,"mmmm yyyy")))</f>
        <v/>
      </c>
      <c r="E107" s="9" t="str">
        <f>IF(A107="","",COUNTIFS(RawData[[Article ]],A107,RawData[[Error Type ]],"Excess",RawData[Month List],TEXT($A$4, "mmmm yyyy")))</f>
        <v/>
      </c>
      <c r="F107" s="9" t="str">
        <f>IF(A107="","",SUMIFS(RawData[Qyt Affected ( EA ) ],RawData[[Article ]],A107,RawData[Month List],TEXT($A$4,"mmmm yyyy")))</f>
        <v/>
      </c>
    </row>
    <row r="108" spans="1:6" ht="15.75" x14ac:dyDescent="0.25">
      <c r="A108" s="9"/>
      <c r="B108" s="9" t="str">
        <f>IF(A108="","",INDEX(RawData[Description],MATCH(A108,RawData[[Article ]],0)))</f>
        <v/>
      </c>
      <c r="C108" s="9" t="str">
        <f>IF(A108="","",COUNTIFS(RawData[[Article ]],A108,RawData[Month List],TEXT($A$4,"mmmm yyyy")))</f>
        <v/>
      </c>
      <c r="D108" s="9" t="str">
        <f>IF(A108="","",COUNTIFS(RawData[[Article ]],A108,RawData[[Error Type ]],"Short",RawData[Month List],TEXT($A$4,"mmmm yyyy")))</f>
        <v/>
      </c>
      <c r="E108" s="9" t="str">
        <f>IF(A108="","",COUNTIFS(RawData[[Article ]],A108,RawData[[Error Type ]],"Excess",RawData[Month List],TEXT($A$4, "mmmm yyyy")))</f>
        <v/>
      </c>
      <c r="F108" s="9" t="str">
        <f>IF(A108="","",SUMIFS(RawData[Qyt Affected ( EA ) ],RawData[[Article ]],A108,RawData[Month List],TEXT($A$4,"mmmm yyyy")))</f>
        <v/>
      </c>
    </row>
    <row r="109" spans="1:6" ht="15.75" x14ac:dyDescent="0.25">
      <c r="A109" s="9"/>
      <c r="B109" s="9" t="str">
        <f>IF(A109="","",INDEX(RawData[Description],MATCH(A109,RawData[[Article ]],0)))</f>
        <v/>
      </c>
      <c r="C109" s="9" t="str">
        <f>IF(A109="","",COUNTIFS(RawData[[Article ]],A109,RawData[Month List],TEXT($A$4,"mmmm yyyy")))</f>
        <v/>
      </c>
      <c r="D109" s="9" t="str">
        <f>IF(A109="","",COUNTIFS(RawData[[Article ]],A109,RawData[[Error Type ]],"Short",RawData[Month List],TEXT($A$4,"mmmm yyyy")))</f>
        <v/>
      </c>
      <c r="E109" s="9" t="str">
        <f>IF(A109="","",COUNTIFS(RawData[[Article ]],A109,RawData[[Error Type ]],"Excess",RawData[Month List],TEXT($A$4, "mmmm yyyy")))</f>
        <v/>
      </c>
      <c r="F109" s="9" t="str">
        <f>IF(A109="","",SUMIFS(RawData[Qyt Affected ( EA ) ],RawData[[Article ]],A109,RawData[Month List],TEXT($A$4,"mmmm yyyy")))</f>
        <v/>
      </c>
    </row>
    <row r="110" spans="1:6" ht="15.75" x14ac:dyDescent="0.25">
      <c r="A110" s="9"/>
      <c r="B110" s="9" t="str">
        <f>IF(A110="","",INDEX(RawData[Description],MATCH(A110,RawData[[Article ]],0)))</f>
        <v/>
      </c>
      <c r="C110" s="9" t="str">
        <f>IF(A110="","",COUNTIFS(RawData[[Article ]],A110,RawData[Month List],TEXT($A$4,"mmmm yyyy")))</f>
        <v/>
      </c>
      <c r="D110" s="9" t="str">
        <f>IF(A110="","",COUNTIFS(RawData[[Article ]],A110,RawData[[Error Type ]],"Short",RawData[Month List],TEXT($A$4,"mmmm yyyy")))</f>
        <v/>
      </c>
      <c r="E110" s="9" t="str">
        <f>IF(A110="","",COUNTIFS(RawData[[Article ]],A110,RawData[[Error Type ]],"Excess",RawData[Month List],TEXT($A$4, "mmmm yyyy")))</f>
        <v/>
      </c>
      <c r="F110" s="9" t="str">
        <f>IF(A110="","",SUMIFS(RawData[Qyt Affected ( EA ) ],RawData[[Article ]],A110,RawData[Month List],TEXT($A$4,"mmmm yyyy")))</f>
        <v/>
      </c>
    </row>
    <row r="111" spans="1:6" ht="15.75" x14ac:dyDescent="0.25">
      <c r="A111" s="9"/>
      <c r="B111" s="9" t="str">
        <f>IF(A111="","",INDEX(RawData[Description],MATCH(A111,RawData[[Article ]],0)))</f>
        <v/>
      </c>
      <c r="C111" s="9" t="str">
        <f>IF(A111="","",COUNTIFS(RawData[[Article ]],A111,RawData[Month List],TEXT($A$4,"mmmm yyyy")))</f>
        <v/>
      </c>
      <c r="D111" s="9" t="str">
        <f>IF(A111="","",COUNTIFS(RawData[[Article ]],A111,RawData[[Error Type ]],"Short",RawData[Month List],TEXT($A$4,"mmmm yyyy")))</f>
        <v/>
      </c>
      <c r="E111" s="9" t="str">
        <f>IF(A111="","",COUNTIFS(RawData[[Article ]],A111,RawData[[Error Type ]],"Excess",RawData[Month List],TEXT($A$4, "mmmm yyyy")))</f>
        <v/>
      </c>
      <c r="F111" s="9" t="str">
        <f>IF(A111="","",SUMIFS(RawData[Qyt Affected ( EA ) ],RawData[[Article ]],A111,RawData[Month List],TEXT($A$4,"mmmm yyyy")))</f>
        <v/>
      </c>
    </row>
    <row r="112" spans="1:6" ht="15.75" x14ac:dyDescent="0.25">
      <c r="A112" s="9"/>
      <c r="B112" s="9" t="str">
        <f>IF(A112="","",INDEX(RawData[Description],MATCH(A112,RawData[[Article ]],0)))</f>
        <v/>
      </c>
      <c r="C112" s="9" t="str">
        <f>IF(A112="","",COUNTIFS(RawData[[Article ]],A112,RawData[Month List],TEXT($A$4,"mmmm yyyy")))</f>
        <v/>
      </c>
      <c r="D112" s="9" t="str">
        <f>IF(A112="","",COUNTIFS(RawData[[Article ]],A112,RawData[[Error Type ]],"Short",RawData[Month List],TEXT($A$4,"mmmm yyyy")))</f>
        <v/>
      </c>
      <c r="E112" s="9" t="str">
        <f>IF(A112="","",COUNTIFS(RawData[[Article ]],A112,RawData[[Error Type ]],"Excess",RawData[Month List],TEXT($A$4, "mmmm yyyy")))</f>
        <v/>
      </c>
      <c r="F112" s="9" t="str">
        <f>IF(A112="","",SUMIFS(RawData[Qyt Affected ( EA ) ],RawData[[Article ]],A112,RawData[Month List],TEXT($A$4,"mmmm yyyy")))</f>
        <v/>
      </c>
    </row>
    <row r="113" spans="1:6" ht="15.75" x14ac:dyDescent="0.25">
      <c r="A113" s="9"/>
      <c r="B113" s="9" t="str">
        <f>IF(A113="","",INDEX(RawData[Description],MATCH(A113,RawData[[Article ]],0)))</f>
        <v/>
      </c>
      <c r="C113" s="9" t="str">
        <f>IF(A113="","",COUNTIFS(RawData[[Article ]],A113,RawData[Month List],TEXT($A$4,"mmmm yyyy")))</f>
        <v/>
      </c>
      <c r="D113" s="9" t="str">
        <f>IF(A113="","",COUNTIFS(RawData[[Article ]],A113,RawData[[Error Type ]],"Short",RawData[Month List],TEXT($A$4,"mmmm yyyy")))</f>
        <v/>
      </c>
      <c r="E113" s="9" t="str">
        <f>IF(A113="","",COUNTIFS(RawData[[Article ]],A113,RawData[[Error Type ]],"Excess",RawData[Month List],TEXT($A$4, "mmmm yyyy")))</f>
        <v/>
      </c>
      <c r="F113" s="9" t="str">
        <f>IF(A113="","",SUMIFS(RawData[Qyt Affected ( EA ) ],RawData[[Article ]],A113,RawData[Month List],TEXT($A$4,"mmmm yyyy")))</f>
        <v/>
      </c>
    </row>
    <row r="114" spans="1:6" ht="15.75" x14ac:dyDescent="0.25">
      <c r="A114" s="9"/>
      <c r="B114" s="9" t="str">
        <f>IF(A114="","",INDEX(RawData[Description],MATCH(A114,RawData[[Article ]],0)))</f>
        <v/>
      </c>
      <c r="C114" s="9" t="str">
        <f>IF(A114="","",COUNTIFS(RawData[[Article ]],A114,RawData[Month List],TEXT($A$4,"mmmm yyyy")))</f>
        <v/>
      </c>
      <c r="D114" s="9" t="str">
        <f>IF(A114="","",COUNTIFS(RawData[[Article ]],A114,RawData[[Error Type ]],"Short",RawData[Month List],TEXT($A$4,"mmmm yyyy")))</f>
        <v/>
      </c>
      <c r="E114" s="9" t="str">
        <f>IF(A114="","",COUNTIFS(RawData[[Article ]],A114,RawData[[Error Type ]],"Excess",RawData[Month List],TEXT($A$4, "mmmm yyyy")))</f>
        <v/>
      </c>
      <c r="F114" s="9" t="str">
        <f>IF(A114="","",SUMIFS(RawData[Qyt Affected ( EA ) ],RawData[[Article ]],A114,RawData[Month List],TEXT($A$4,"mmmm yyyy")))</f>
        <v/>
      </c>
    </row>
    <row r="115" spans="1:6" ht="15.75" x14ac:dyDescent="0.25">
      <c r="A115" s="9"/>
      <c r="B115" s="9" t="str">
        <f>IF(A115="","",INDEX(RawData[Description],MATCH(A115,RawData[[Article ]],0)))</f>
        <v/>
      </c>
      <c r="C115" s="9" t="str">
        <f>IF(A115="","",COUNTIFS(RawData[[Article ]],A115,RawData[Month List],TEXT($A$4,"mmmm yyyy")))</f>
        <v/>
      </c>
      <c r="D115" s="9" t="str">
        <f>IF(A115="","",COUNTIFS(RawData[[Article ]],A115,RawData[[Error Type ]],"Short",RawData[Month List],TEXT($A$4,"mmmm yyyy")))</f>
        <v/>
      </c>
      <c r="E115" s="9" t="str">
        <f>IF(A115="","",COUNTIFS(RawData[[Article ]],A115,RawData[[Error Type ]],"Excess",RawData[Month List],TEXT($A$4, "mmmm yyyy")))</f>
        <v/>
      </c>
      <c r="F115" s="9" t="str">
        <f>IF(A115="","",SUMIFS(RawData[Qyt Affected ( EA ) ],RawData[[Article ]],A115,RawData[Month List],TEXT($A$4,"mmmm yyyy")))</f>
        <v/>
      </c>
    </row>
    <row r="116" spans="1:6" ht="15.75" x14ac:dyDescent="0.25">
      <c r="A116" s="9"/>
      <c r="B116" s="9" t="str">
        <f>IF(A116="","",INDEX(RawData[Description],MATCH(A116,RawData[[Article ]],0)))</f>
        <v/>
      </c>
      <c r="C116" s="9" t="str">
        <f>IF(A116="","",COUNTIFS(RawData[[Article ]],A116,RawData[Month List],TEXT($A$4,"mmmm yyyy")))</f>
        <v/>
      </c>
      <c r="D116" s="9" t="str">
        <f>IF(A116="","",COUNTIFS(RawData[[Article ]],A116,RawData[[Error Type ]],"Short",RawData[Month List],TEXT($A$4,"mmmm yyyy")))</f>
        <v/>
      </c>
      <c r="E116" s="9" t="str">
        <f>IF(A116="","",COUNTIFS(RawData[[Article ]],A116,RawData[[Error Type ]],"Excess",RawData[Month List],TEXT($A$4, "mmmm yyyy")))</f>
        <v/>
      </c>
      <c r="F116" s="9" t="str">
        <f>IF(A116="","",SUMIFS(RawData[Qyt Affected ( EA ) ],RawData[[Article ]],A116,RawData[Month List],TEXT($A$4,"mmmm yyyy")))</f>
        <v/>
      </c>
    </row>
    <row r="117" spans="1:6" ht="15.75" x14ac:dyDescent="0.25">
      <c r="A117" s="9"/>
      <c r="B117" s="9" t="str">
        <f>IF(A117="","",INDEX(RawData[Description],MATCH(A117,RawData[[Article ]],0)))</f>
        <v/>
      </c>
      <c r="C117" s="9" t="str">
        <f>IF(A117="","",COUNTIFS(RawData[[Article ]],A117,RawData[Month List],TEXT($A$4,"mmmm yyyy")))</f>
        <v/>
      </c>
      <c r="D117" s="9" t="str">
        <f>IF(A117="","",COUNTIFS(RawData[[Article ]],A117,RawData[[Error Type ]],"Short",RawData[Month List],TEXT($A$4,"mmmm yyyy")))</f>
        <v/>
      </c>
      <c r="E117" s="9" t="str">
        <f>IF(A117="","",COUNTIFS(RawData[[Article ]],A117,RawData[[Error Type ]],"Excess",RawData[Month List],TEXT($A$4, "mmmm yyyy")))</f>
        <v/>
      </c>
      <c r="F117" s="9" t="str">
        <f>IF(A117="","",SUMIFS(RawData[Qyt Affected ( EA ) ],RawData[[Article ]],A117,RawData[Month List],TEXT($A$4,"mmmm yyyy")))</f>
        <v/>
      </c>
    </row>
    <row r="118" spans="1:6" ht="15.75" x14ac:dyDescent="0.25">
      <c r="A118" s="9"/>
      <c r="B118" s="9" t="str">
        <f>IF(A118="","",INDEX(RawData[Description],MATCH(A118,RawData[[Article ]],0)))</f>
        <v/>
      </c>
      <c r="C118" s="9" t="str">
        <f>IF(A118="","",COUNTIFS(RawData[[Article ]],A118,RawData[Month List],TEXT($A$4,"mmmm yyyy")))</f>
        <v/>
      </c>
      <c r="D118" s="9" t="str">
        <f>IF(A118="","",COUNTIFS(RawData[[Article ]],A118,RawData[[Error Type ]],"Short",RawData[Month List],TEXT($A$4,"mmmm yyyy")))</f>
        <v/>
      </c>
      <c r="E118" s="9" t="str">
        <f>IF(A118="","",COUNTIFS(RawData[[Article ]],A118,RawData[[Error Type ]],"Excess",RawData[Month List],TEXT($A$4, "mmmm yyyy")))</f>
        <v/>
      </c>
      <c r="F118" s="9" t="str">
        <f>IF(A118="","",SUMIFS(RawData[Qyt Affected ( EA ) ],RawData[[Article ]],A118,RawData[Month List],TEXT($A$4,"mmmm yyyy")))</f>
        <v/>
      </c>
    </row>
    <row r="119" spans="1:6" ht="15.75" x14ac:dyDescent="0.25">
      <c r="A119" s="9"/>
      <c r="B119" s="9" t="str">
        <f>IF(A119="","",INDEX(RawData[Description],MATCH(A119,RawData[[Article ]],0)))</f>
        <v/>
      </c>
      <c r="C119" s="9" t="str">
        <f>IF(A119="","",COUNTIFS(RawData[[Article ]],A119,RawData[Month List],TEXT($A$4,"mmmm yyyy")))</f>
        <v/>
      </c>
      <c r="D119" s="9" t="str">
        <f>IF(A119="","",COUNTIFS(RawData[[Article ]],A119,RawData[[Error Type ]],"Short",RawData[Month List],TEXT($A$4,"mmmm yyyy")))</f>
        <v/>
      </c>
      <c r="E119" s="9" t="str">
        <f>IF(A119="","",COUNTIFS(RawData[[Article ]],A119,RawData[[Error Type ]],"Excess",RawData[Month List],TEXT($A$4, "mmmm yyyy")))</f>
        <v/>
      </c>
      <c r="F119" s="9" t="str">
        <f>IF(A119="","",SUMIFS(RawData[Qyt Affected ( EA ) ],RawData[[Article ]],A119,RawData[Month List],TEXT($A$4,"mmmm yyyy")))</f>
        <v/>
      </c>
    </row>
    <row r="120" spans="1:6" ht="15.75" x14ac:dyDescent="0.25">
      <c r="A120" s="9"/>
      <c r="B120" s="9" t="str">
        <f>IF(A120="","",INDEX(RawData[Description],MATCH(A120,RawData[[Article ]],0)))</f>
        <v/>
      </c>
      <c r="C120" s="9" t="str">
        <f>IF(A120="","",COUNTIFS(RawData[[Article ]],A120,RawData[Month List],TEXT($A$4,"mmmm yyyy")))</f>
        <v/>
      </c>
      <c r="D120" s="9" t="str">
        <f>IF(A120="","",COUNTIFS(RawData[[Article ]],A120,RawData[[Error Type ]],"Short",RawData[Month List],TEXT($A$4,"mmmm yyyy")))</f>
        <v/>
      </c>
      <c r="E120" s="9" t="str">
        <f>IF(A120="","",COUNTIFS(RawData[[Article ]],A120,RawData[[Error Type ]],"Excess",RawData[Month List],TEXT($A$4, "mmmm yyyy")))</f>
        <v/>
      </c>
      <c r="F120" s="9" t="str">
        <f>IF(A120="","",SUMIFS(RawData[Qyt Affected ( EA ) ],RawData[[Article ]],A120,RawData[Month List],TEXT($A$4,"mmmm yyyy")))</f>
        <v/>
      </c>
    </row>
    <row r="121" spans="1:6" ht="15.75" x14ac:dyDescent="0.25">
      <c r="A121" s="9"/>
      <c r="B121" s="9" t="str">
        <f>IF(A121="","",INDEX(RawData[Description],MATCH(A121,RawData[[Article ]],0)))</f>
        <v/>
      </c>
      <c r="C121" s="9" t="str">
        <f>IF(A121="","",COUNTIFS(RawData[[Article ]],A121,RawData[Month List],TEXT($A$4,"mmmm yyyy")))</f>
        <v/>
      </c>
      <c r="D121" s="9" t="str">
        <f>IF(A121="","",COUNTIFS(RawData[[Article ]],A121,RawData[[Error Type ]],"Short",RawData[Month List],TEXT($A$4,"mmmm yyyy")))</f>
        <v/>
      </c>
      <c r="E121" s="9" t="str">
        <f>IF(A121="","",COUNTIFS(RawData[[Article ]],A121,RawData[[Error Type ]],"Excess",RawData[Month List],TEXT($A$4, "mmmm yyyy")))</f>
        <v/>
      </c>
      <c r="F121" s="9" t="str">
        <f>IF(A121="","",SUMIFS(RawData[Qyt Affected ( EA ) ],RawData[[Article ]],A121,RawData[Month List],TEXT($A$4,"mmmm yyyy")))</f>
        <v/>
      </c>
    </row>
    <row r="122" spans="1:6" ht="15.75" x14ac:dyDescent="0.25">
      <c r="A122" s="9"/>
      <c r="B122" s="9" t="str">
        <f>IF(A122="","",INDEX(RawData[Description],MATCH(A122,RawData[[Article ]],0)))</f>
        <v/>
      </c>
      <c r="C122" s="9" t="str">
        <f>IF(A122="","",COUNTIFS(RawData[[Article ]],A122,RawData[Month List],TEXT($A$4,"mmmm yyyy")))</f>
        <v/>
      </c>
      <c r="D122" s="9" t="str">
        <f>IF(A122="","",COUNTIFS(RawData[[Article ]],A122,RawData[[Error Type ]],"Short",RawData[Month List],TEXT($A$4,"mmmm yyyy")))</f>
        <v/>
      </c>
      <c r="E122" s="9" t="str">
        <f>IF(A122="","",COUNTIFS(RawData[[Article ]],A122,RawData[[Error Type ]],"Excess",RawData[Month List],TEXT($A$4, "mmmm yyyy")))</f>
        <v/>
      </c>
      <c r="F122" s="9" t="str">
        <f>IF(A122="","",SUMIFS(RawData[Qyt Affected ( EA ) ],RawData[[Article ]],A122,RawData[Month List],TEXT($A$4,"mmmm yyyy")))</f>
        <v/>
      </c>
    </row>
    <row r="123" spans="1:6" ht="15.75" x14ac:dyDescent="0.25">
      <c r="A123" s="9"/>
      <c r="B123" s="9" t="str">
        <f>IF(A123="","",INDEX(RawData[Description],MATCH(A123,RawData[[Article ]],0)))</f>
        <v/>
      </c>
      <c r="C123" s="9" t="str">
        <f>IF(A123="","",COUNTIFS(RawData[[Article ]],A123,RawData[Month List],TEXT($A$4,"mmmm yyyy")))</f>
        <v/>
      </c>
      <c r="D123" s="9" t="str">
        <f>IF(A123="","",COUNTIFS(RawData[[Article ]],A123,RawData[[Error Type ]],"Short",RawData[Month List],TEXT($A$4,"mmmm yyyy")))</f>
        <v/>
      </c>
      <c r="E123" s="9" t="str">
        <f>IF(A123="","",COUNTIFS(RawData[[Article ]],A123,RawData[[Error Type ]],"Excess",RawData[Month List],TEXT($A$4, "mmmm yyyy")))</f>
        <v/>
      </c>
      <c r="F123" s="9" t="str">
        <f>IF(A123="","",SUMIFS(RawData[Qyt Affected ( EA ) ],RawData[[Article ]],A123,RawData[Month List],TEXT($A$4,"mmmm yyyy")))</f>
        <v/>
      </c>
    </row>
    <row r="124" spans="1:6" ht="15.75" x14ac:dyDescent="0.25">
      <c r="A124" s="9"/>
      <c r="B124" s="9" t="str">
        <f>IF(A124="","",INDEX(RawData[Description],MATCH(A124,RawData[[Article ]],0)))</f>
        <v/>
      </c>
      <c r="C124" s="9" t="str">
        <f>IF(A124="","",COUNTIFS(RawData[[Article ]],A124,RawData[Month List],TEXT($A$4,"mmmm yyyy")))</f>
        <v/>
      </c>
      <c r="D124" s="9" t="str">
        <f>IF(A124="","",COUNTIFS(RawData[[Article ]],A124,RawData[[Error Type ]],"Short",RawData[Month List],TEXT($A$4,"mmmm yyyy")))</f>
        <v/>
      </c>
      <c r="E124" s="9" t="str">
        <f>IF(A124="","",COUNTIFS(RawData[[Article ]],A124,RawData[[Error Type ]],"Excess",RawData[Month List],TEXT($A$4, "mmmm yyyy")))</f>
        <v/>
      </c>
      <c r="F124" s="9" t="str">
        <f>IF(A124="","",SUMIFS(RawData[Qyt Affected ( EA ) ],RawData[[Article ]],A124,RawData[Month List],TEXT($A$4,"mmmm yyyy")))</f>
        <v/>
      </c>
    </row>
    <row r="125" spans="1:6" ht="15.75" x14ac:dyDescent="0.25">
      <c r="A125" s="9"/>
      <c r="B125" s="9" t="str">
        <f>IF(A125="","",INDEX(RawData[Description],MATCH(A125,RawData[[Article ]],0)))</f>
        <v/>
      </c>
      <c r="C125" s="9" t="str">
        <f>IF(A125="","",COUNTIFS(RawData[[Article ]],A125,RawData[Month List],TEXT($A$4,"mmmm yyyy")))</f>
        <v/>
      </c>
      <c r="D125" s="9" t="str">
        <f>IF(A125="","",COUNTIFS(RawData[[Article ]],A125,RawData[[Error Type ]],"Short",RawData[Month List],TEXT($A$4,"mmmm yyyy")))</f>
        <v/>
      </c>
      <c r="E125" s="9" t="str">
        <f>IF(A125="","",COUNTIFS(RawData[[Article ]],A125,RawData[[Error Type ]],"Excess",RawData[Month List],TEXT($A$4, "mmmm yyyy")))</f>
        <v/>
      </c>
      <c r="F125" s="9" t="str">
        <f>IF(A125="","",SUMIFS(RawData[Qyt Affected ( EA ) ],RawData[[Article ]],A125,RawData[Month List],TEXT($A$4,"mmmm yyyy")))</f>
        <v/>
      </c>
    </row>
    <row r="126" spans="1:6" ht="15.75" x14ac:dyDescent="0.25">
      <c r="A126" s="9"/>
      <c r="B126" s="9" t="str">
        <f>IF(A126="","",INDEX(RawData[Description],MATCH(A126,RawData[[Article ]],0)))</f>
        <v/>
      </c>
      <c r="C126" s="9" t="str">
        <f>IF(A126="","",COUNTIFS(RawData[[Article ]],A126,RawData[Month List],TEXT($A$4,"mmmm yyyy")))</f>
        <v/>
      </c>
      <c r="D126" s="9" t="str">
        <f>IF(A126="","",COUNTIFS(RawData[[Article ]],A126,RawData[[Error Type ]],"Short",RawData[Month List],TEXT($A$4,"mmmm yyyy")))</f>
        <v/>
      </c>
      <c r="E126" s="9" t="str">
        <f>IF(A126="","",COUNTIFS(RawData[[Article ]],A126,RawData[[Error Type ]],"Excess",RawData[Month List],TEXT($A$4, "mmmm yyyy")))</f>
        <v/>
      </c>
      <c r="F126" s="9" t="str">
        <f>IF(A126="","",SUMIFS(RawData[Qyt Affected ( EA ) ],RawData[[Article ]],A126,RawData[Month List],TEXT($A$4,"mmmm yyyy")))</f>
        <v/>
      </c>
    </row>
    <row r="127" spans="1:6" ht="15.75" x14ac:dyDescent="0.25">
      <c r="A127" s="9"/>
      <c r="B127" s="9" t="str">
        <f>IF(A127="","",INDEX(RawData[Description],MATCH(A127,RawData[[Article ]],0)))</f>
        <v/>
      </c>
      <c r="C127" s="9" t="str">
        <f>IF(A127="","",COUNTIFS(RawData[[Article ]],A127,RawData[Month List],TEXT($A$4,"mmmm yyyy")))</f>
        <v/>
      </c>
      <c r="D127" s="9" t="str">
        <f>IF(A127="","",COUNTIFS(RawData[[Article ]],A127,RawData[[Error Type ]],"Short",RawData[Month List],TEXT($A$4,"mmmm yyyy")))</f>
        <v/>
      </c>
      <c r="E127" s="9" t="str">
        <f>IF(A127="","",COUNTIFS(RawData[[Article ]],A127,RawData[[Error Type ]],"Excess",RawData[Month List],TEXT($A$4, "mmmm yyyy")))</f>
        <v/>
      </c>
      <c r="F127" s="9" t="str">
        <f>IF(A127="","",SUMIFS(RawData[Qyt Affected ( EA ) ],RawData[[Article ]],A127,RawData[Month List],TEXT($A$4,"mmmm yyyy")))</f>
        <v/>
      </c>
    </row>
    <row r="128" spans="1:6" ht="15.75" x14ac:dyDescent="0.25">
      <c r="A128" s="9"/>
      <c r="B128" s="9" t="str">
        <f>IF(A128="","",INDEX(RawData[Description],MATCH(A128,RawData[[Article ]],0)))</f>
        <v/>
      </c>
      <c r="C128" s="9" t="str">
        <f>IF(A128="","",COUNTIFS(RawData[[Article ]],A128,RawData[Month List],TEXT($A$4,"mmmm yyyy")))</f>
        <v/>
      </c>
      <c r="D128" s="9" t="str">
        <f>IF(A128="","",COUNTIFS(RawData[[Article ]],A128,RawData[[Error Type ]],"Short",RawData[Month List],TEXT($A$4,"mmmm yyyy")))</f>
        <v/>
      </c>
      <c r="E128" s="9" t="str">
        <f>IF(A128="","",COUNTIFS(RawData[[Article ]],A128,RawData[[Error Type ]],"Excess",RawData[Month List],TEXT($A$4, "mmmm yyyy")))</f>
        <v/>
      </c>
      <c r="F128" s="9" t="str">
        <f>IF(A128="","",SUMIFS(RawData[Qyt Affected ( EA ) ],RawData[[Article ]],A128,RawData[Month List],TEXT($A$4,"mmmm yyyy")))</f>
        <v/>
      </c>
    </row>
    <row r="129" spans="1:6" ht="15.75" x14ac:dyDescent="0.25">
      <c r="A129" s="9"/>
      <c r="B129" s="9" t="str">
        <f>IF(A129="","",INDEX(RawData[Description],MATCH(A129,RawData[[Article ]],0)))</f>
        <v/>
      </c>
      <c r="C129" s="9" t="str">
        <f>IF(A129="","",COUNTIFS(RawData[[Article ]],A129,RawData[Month List],TEXT($A$4,"mmmm yyyy")))</f>
        <v/>
      </c>
      <c r="D129" s="9" t="str">
        <f>IF(A129="","",COUNTIFS(RawData[[Article ]],A129,RawData[[Error Type ]],"Short",RawData[Month List],TEXT($A$4,"mmmm yyyy")))</f>
        <v/>
      </c>
      <c r="E129" s="9" t="str">
        <f>IF(A129="","",COUNTIFS(RawData[[Article ]],A129,RawData[[Error Type ]],"Excess",RawData[Month List],TEXT($A$4, "mmmm yyyy")))</f>
        <v/>
      </c>
      <c r="F129" s="9" t="str">
        <f>IF(A129="","",SUMIFS(RawData[Qyt Affected ( EA ) ],RawData[[Article ]],A129,RawData[Month List],TEXT($A$4,"mmmm yyyy")))</f>
        <v/>
      </c>
    </row>
    <row r="130" spans="1:6" ht="15.75" x14ac:dyDescent="0.25">
      <c r="A130" s="9"/>
      <c r="B130" s="9" t="str">
        <f>IF(A130="","",INDEX(RawData[Description],MATCH(A130,RawData[[Article ]],0)))</f>
        <v/>
      </c>
      <c r="C130" s="9" t="str">
        <f>IF(A130="","",COUNTIFS(RawData[[Article ]],A130,RawData[Month List],TEXT($A$4,"mmmm yyyy")))</f>
        <v/>
      </c>
      <c r="D130" s="9" t="str">
        <f>IF(A130="","",COUNTIFS(RawData[[Article ]],A130,RawData[[Error Type ]],"Short",RawData[Month List],TEXT($A$4,"mmmm yyyy")))</f>
        <v/>
      </c>
      <c r="E130" s="9" t="str">
        <f>IF(A130="","",COUNTIFS(RawData[[Article ]],A130,RawData[[Error Type ]],"Excess",RawData[Month List],TEXT($A$4, "mmmm yyyy")))</f>
        <v/>
      </c>
      <c r="F130" s="9" t="str">
        <f>IF(A130="","",SUMIFS(RawData[Qyt Affected ( EA ) ],RawData[[Article ]],A130,RawData[Month List],TEXT($A$4,"mmmm yyyy")))</f>
        <v/>
      </c>
    </row>
    <row r="131" spans="1:6" ht="15.75" x14ac:dyDescent="0.25">
      <c r="A131" s="9"/>
      <c r="B131" s="9" t="str">
        <f>IF(A131="","",INDEX(RawData[Description],MATCH(A131,RawData[[Article ]],0)))</f>
        <v/>
      </c>
      <c r="C131" s="9" t="str">
        <f>IF(A131="","",COUNTIFS(RawData[[Article ]],A131,RawData[Month List],TEXT($A$4,"mmmm yyyy")))</f>
        <v/>
      </c>
      <c r="D131" s="9" t="str">
        <f>IF(A131="","",COUNTIFS(RawData[[Article ]],A131,RawData[[Error Type ]],"Short",RawData[Month List],TEXT($A$4,"mmmm yyyy")))</f>
        <v/>
      </c>
      <c r="E131" s="9" t="str">
        <f>IF(A131="","",COUNTIFS(RawData[[Article ]],A131,RawData[[Error Type ]],"Excess",RawData[Month List],TEXT($A$4, "mmmm yyyy")))</f>
        <v/>
      </c>
      <c r="F131" s="9" t="str">
        <f>IF(A131="","",SUMIFS(RawData[Qyt Affected ( EA ) ],RawData[[Article ]],A131,RawData[Month List],TEXT($A$4,"mmmm yyyy")))</f>
        <v/>
      </c>
    </row>
    <row r="132" spans="1:6" ht="15.75" x14ac:dyDescent="0.25">
      <c r="A132" s="9"/>
      <c r="B132" s="9" t="str">
        <f>IF(A132="","",INDEX(RawData[Description],MATCH(A132,RawData[[Article ]],0)))</f>
        <v/>
      </c>
      <c r="C132" s="9" t="str">
        <f>IF(A132="","",COUNTIFS(RawData[[Article ]],A132,RawData[Month List],TEXT($A$4,"mmmm yyyy")))</f>
        <v/>
      </c>
      <c r="D132" s="9" t="str">
        <f>IF(A132="","",COUNTIFS(RawData[[Article ]],A132,RawData[[Error Type ]],"Short",RawData[Month List],TEXT($A$4,"mmmm yyyy")))</f>
        <v/>
      </c>
      <c r="E132" s="9" t="str">
        <f>IF(A132="","",COUNTIFS(RawData[[Article ]],A132,RawData[[Error Type ]],"Excess",RawData[Month List],TEXT($A$4, "mmmm yyyy")))</f>
        <v/>
      </c>
      <c r="F132" s="9" t="str">
        <f>IF(A132="","",SUMIFS(RawData[Qyt Affected ( EA ) ],RawData[[Article ]],A132,RawData[Month List],TEXT($A$4,"mmmm yyyy")))</f>
        <v/>
      </c>
    </row>
    <row r="133" spans="1:6" ht="15.75" x14ac:dyDescent="0.25">
      <c r="A133" s="9"/>
      <c r="B133" s="9" t="str">
        <f>IF(A133="","",INDEX(RawData[Description],MATCH(A133,RawData[[Article ]],0)))</f>
        <v/>
      </c>
      <c r="C133" s="9" t="str">
        <f>IF(A133="","",COUNTIFS(RawData[[Article ]],A133,RawData[Month List],TEXT($A$4,"mmmm yyyy")))</f>
        <v/>
      </c>
      <c r="D133" s="9" t="str">
        <f>IF(A133="","",COUNTIFS(RawData[[Article ]],A133,RawData[[Error Type ]],"Short",RawData[Month List],TEXT($A$4,"mmmm yyyy")))</f>
        <v/>
      </c>
      <c r="E133" s="9" t="str">
        <f>IF(A133="","",COUNTIFS(RawData[[Article ]],A133,RawData[[Error Type ]],"Excess",RawData[Month List],TEXT($A$4, "mmmm yyyy")))</f>
        <v/>
      </c>
      <c r="F133" s="9" t="str">
        <f>IF(A133="","",SUMIFS(RawData[Qyt Affected ( EA ) ],RawData[[Article ]],A133,RawData[Month List],TEXT($A$4,"mmmm yyyy")))</f>
        <v/>
      </c>
    </row>
    <row r="134" spans="1:6" ht="15.75" x14ac:dyDescent="0.25">
      <c r="A134" s="9"/>
      <c r="B134" s="9" t="str">
        <f>IF(A134="","",INDEX(RawData[Description],MATCH(A134,RawData[[Article ]],0)))</f>
        <v/>
      </c>
      <c r="C134" s="9" t="str">
        <f>IF(A134="","",COUNTIFS(RawData[[Article ]],A134,RawData[Month List],TEXT($A$4,"mmmm yyyy")))</f>
        <v/>
      </c>
      <c r="D134" s="9" t="str">
        <f>IF(A134="","",COUNTIFS(RawData[[Article ]],A134,RawData[[Error Type ]],"Short",RawData[Month List],TEXT($A$4,"mmmm yyyy")))</f>
        <v/>
      </c>
      <c r="E134" s="9" t="str">
        <f>IF(A134="","",COUNTIFS(RawData[[Article ]],A134,RawData[[Error Type ]],"Excess",RawData[Month List],TEXT($A$4, "mmmm yyyy")))</f>
        <v/>
      </c>
      <c r="F134" s="9" t="str">
        <f>IF(A134="","",SUMIFS(RawData[Qyt Affected ( EA ) ],RawData[[Article ]],A134,RawData[Month List],TEXT($A$4,"mmmm yyyy")))</f>
        <v/>
      </c>
    </row>
    <row r="135" spans="1:6" ht="15.75" x14ac:dyDescent="0.25">
      <c r="A135" s="9"/>
      <c r="B135" s="9" t="str">
        <f>IF(A135="","",INDEX(RawData[Description],MATCH(A135,RawData[[Article ]],0)))</f>
        <v/>
      </c>
      <c r="C135" s="9" t="str">
        <f>IF(A135="","",COUNTIFS(RawData[[Article ]],A135,RawData[Month List],TEXT($A$4,"mmmm yyyy")))</f>
        <v/>
      </c>
      <c r="D135" s="9" t="str">
        <f>IF(A135="","",COUNTIFS(RawData[[Article ]],A135,RawData[[Error Type ]],"Short",RawData[Month List],TEXT($A$4,"mmmm yyyy")))</f>
        <v/>
      </c>
      <c r="E135" s="9" t="str">
        <f>IF(A135="","",COUNTIFS(RawData[[Article ]],A135,RawData[[Error Type ]],"Excess",RawData[Month List],TEXT($A$4, "mmmm yyyy")))</f>
        <v/>
      </c>
      <c r="F135" s="9" t="str">
        <f>IF(A135="","",SUMIFS(RawData[Qyt Affected ( EA ) ],RawData[[Article ]],A135,RawData[Month List],TEXT($A$4,"mmmm yyyy")))</f>
        <v/>
      </c>
    </row>
    <row r="136" spans="1:6" ht="15.75" x14ac:dyDescent="0.25">
      <c r="A136" s="9"/>
      <c r="B136" s="9" t="str">
        <f>IF(A136="","",INDEX(RawData[Description],MATCH(A136,RawData[[Article ]],0)))</f>
        <v/>
      </c>
      <c r="C136" s="9" t="str">
        <f>IF(A136="","",COUNTIFS(RawData[[Article ]],A136,RawData[Month List],TEXT($A$4,"mmmm yyyy")))</f>
        <v/>
      </c>
      <c r="D136" s="9" t="str">
        <f>IF(A136="","",COUNTIFS(RawData[[Article ]],A136,RawData[[Error Type ]],"Short",RawData[Month List],TEXT($A$4,"mmmm yyyy")))</f>
        <v/>
      </c>
      <c r="E136" s="9" t="str">
        <f>IF(A136="","",COUNTIFS(RawData[[Article ]],A136,RawData[[Error Type ]],"Excess",RawData[Month List],TEXT($A$4, "mmmm yyyy")))</f>
        <v/>
      </c>
      <c r="F136" s="9" t="str">
        <f>IF(A136="","",SUMIFS(RawData[Qyt Affected ( EA ) ],RawData[[Article ]],A136,RawData[Month List],TEXT($A$4,"mmmm yyyy")))</f>
        <v/>
      </c>
    </row>
    <row r="137" spans="1:6" ht="15.75" x14ac:dyDescent="0.25">
      <c r="A137" s="9"/>
      <c r="B137" s="9" t="str">
        <f>IF(A137="","",INDEX(RawData[Description],MATCH(A137,RawData[[Article ]],0)))</f>
        <v/>
      </c>
      <c r="C137" s="9" t="str">
        <f>IF(A137="","",COUNTIFS(RawData[[Article ]],A137,RawData[Month List],TEXT($A$4,"mmmm yyyy")))</f>
        <v/>
      </c>
      <c r="D137" s="9" t="str">
        <f>IF(A137="","",COUNTIFS(RawData[[Article ]],A137,RawData[[Error Type ]],"Short",RawData[Month List],TEXT($A$4,"mmmm yyyy")))</f>
        <v/>
      </c>
      <c r="E137" s="9" t="str">
        <f>IF(A137="","",COUNTIFS(RawData[[Article ]],A137,RawData[[Error Type ]],"Excess",RawData[Month List],TEXT($A$4, "mmmm yyyy")))</f>
        <v/>
      </c>
      <c r="F137" s="9" t="str">
        <f>IF(A137="","",SUMIFS(RawData[Qyt Affected ( EA ) ],RawData[[Article ]],A137,RawData[Month List],TEXT($A$4,"mmmm yyyy")))</f>
        <v/>
      </c>
    </row>
    <row r="138" spans="1:6" ht="15.75" x14ac:dyDescent="0.25">
      <c r="A138" s="9"/>
      <c r="B138" s="9" t="str">
        <f>IF(A138="","",INDEX(RawData[Description],MATCH(A138,RawData[[Article ]],0)))</f>
        <v/>
      </c>
      <c r="C138" s="9" t="str">
        <f>IF(A138="","",COUNTIFS(RawData[[Article ]],A138,RawData[Month List],TEXT($A$4,"mmmm yyyy")))</f>
        <v/>
      </c>
      <c r="D138" s="9" t="str">
        <f>IF(A138="","",COUNTIFS(RawData[[Article ]],A138,RawData[[Error Type ]],"Short",RawData[Month List],TEXT($A$4,"mmmm yyyy")))</f>
        <v/>
      </c>
      <c r="E138" s="9" t="str">
        <f>IF(A138="","",COUNTIFS(RawData[[Article ]],A138,RawData[[Error Type ]],"Excess",RawData[Month List],TEXT($A$4, "mmmm yyyy")))</f>
        <v/>
      </c>
      <c r="F138" s="9" t="str">
        <f>IF(A138="","",SUMIFS(RawData[Qyt Affected ( EA ) ],RawData[[Article ]],A138,RawData[Month List],TEXT($A$4,"mmmm yyyy")))</f>
        <v/>
      </c>
    </row>
    <row r="139" spans="1:6" ht="15.75" x14ac:dyDescent="0.25">
      <c r="A139" s="9"/>
      <c r="B139" s="9" t="str">
        <f>IF(A139="","",INDEX(RawData[Description],MATCH(A139,RawData[[Article ]],0)))</f>
        <v/>
      </c>
      <c r="C139" s="9" t="str">
        <f>IF(A139="","",COUNTIFS(RawData[[Article ]],A139,RawData[Month List],TEXT($A$4,"mmmm yyyy")))</f>
        <v/>
      </c>
      <c r="D139" s="9" t="str">
        <f>IF(A139="","",COUNTIFS(RawData[[Article ]],A139,RawData[[Error Type ]],"Short",RawData[Month List],TEXT($A$4,"mmmm yyyy")))</f>
        <v/>
      </c>
      <c r="E139" s="9" t="str">
        <f>IF(A139="","",COUNTIFS(RawData[[Article ]],A139,RawData[[Error Type ]],"Excess",RawData[Month List],TEXT($A$4, "mmmm yyyy")))</f>
        <v/>
      </c>
      <c r="F139" s="9" t="str">
        <f>IF(A139="","",SUMIFS(RawData[Qyt Affected ( EA ) ],RawData[[Article ]],A139,RawData[Month List],TEXT($A$4,"mmmm yyyy")))</f>
        <v/>
      </c>
    </row>
    <row r="140" spans="1:6" ht="15.75" x14ac:dyDescent="0.25">
      <c r="A140" s="9"/>
      <c r="B140" s="9" t="str">
        <f>IF(A140="","",INDEX(RawData[Description],MATCH(A140,RawData[[Article ]],0)))</f>
        <v/>
      </c>
      <c r="C140" s="9" t="str">
        <f>IF(A140="","",COUNTIFS(RawData[[Article ]],A140,RawData[Month List],TEXT($A$4,"mmmm yyyy")))</f>
        <v/>
      </c>
      <c r="D140" s="9" t="str">
        <f>IF(A140="","",COUNTIFS(RawData[[Article ]],A140,RawData[[Error Type ]],"Short",RawData[Month List],TEXT($A$4,"mmmm yyyy")))</f>
        <v/>
      </c>
      <c r="E140" s="9" t="str">
        <f>IF(A140="","",COUNTIFS(RawData[[Article ]],A140,RawData[[Error Type ]],"Excess",RawData[Month List],TEXT($A$4, "mmmm yyyy")))</f>
        <v/>
      </c>
      <c r="F140" s="9" t="str">
        <f>IF(A140="","",SUMIFS(RawData[Qyt Affected ( EA ) ],RawData[[Article ]],A140,RawData[Month List],TEXT($A$4,"mmmm yyyy")))</f>
        <v/>
      </c>
    </row>
    <row r="141" spans="1:6" ht="15.75" x14ac:dyDescent="0.25">
      <c r="A141" s="9"/>
      <c r="B141" s="9" t="str">
        <f>IF(A141="","",INDEX(RawData[Description],MATCH(A141,RawData[[Article ]],0)))</f>
        <v/>
      </c>
      <c r="C141" s="9" t="str">
        <f>IF(A141="","",COUNTIFS(RawData[[Article ]],A141,RawData[Month List],TEXT($A$4,"mmmm yyyy")))</f>
        <v/>
      </c>
      <c r="D141" s="9" t="str">
        <f>IF(A141="","",COUNTIFS(RawData[[Article ]],A141,RawData[[Error Type ]],"Short",RawData[Month List],TEXT($A$4,"mmmm yyyy")))</f>
        <v/>
      </c>
      <c r="E141" s="9" t="str">
        <f>IF(A141="","",COUNTIFS(RawData[[Article ]],A141,RawData[[Error Type ]],"Excess",RawData[Month List],TEXT($A$4, "mmmm yyyy")))</f>
        <v/>
      </c>
      <c r="F141" s="9" t="str">
        <f>IF(A141="","",SUMIFS(RawData[Qyt Affected ( EA ) ],RawData[[Article ]],A141,RawData[Month List],TEXT($A$4,"mmmm yyyy")))</f>
        <v/>
      </c>
    </row>
    <row r="142" spans="1:6" ht="15.75" x14ac:dyDescent="0.25">
      <c r="A142" s="9"/>
      <c r="B142" s="9" t="str">
        <f>IF(A142="","",INDEX(RawData[Description],MATCH(A142,RawData[[Article ]],0)))</f>
        <v/>
      </c>
      <c r="C142" s="9" t="str">
        <f>IF(A142="","",COUNTIFS(RawData[[Article ]],A142,RawData[Month List],TEXT($A$4,"mmmm yyyy")))</f>
        <v/>
      </c>
      <c r="D142" s="9" t="str">
        <f>IF(A142="","",COUNTIFS(RawData[[Article ]],A142,RawData[[Error Type ]],"Short",RawData[Month List],TEXT($A$4,"mmmm yyyy")))</f>
        <v/>
      </c>
      <c r="E142" s="9" t="str">
        <f>IF(A142="","",COUNTIFS(RawData[[Article ]],A142,RawData[[Error Type ]],"Excess",RawData[Month List],TEXT($A$4, "mmmm yyyy")))</f>
        <v/>
      </c>
      <c r="F142" s="9" t="str">
        <f>IF(A142="","",SUMIFS(RawData[Qyt Affected ( EA ) ],RawData[[Article ]],A142,RawData[Month List],TEXT($A$4,"mmmm yyyy")))</f>
        <v/>
      </c>
    </row>
    <row r="143" spans="1:6" ht="15.75" x14ac:dyDescent="0.25">
      <c r="A143" s="9"/>
      <c r="B143" s="9" t="str">
        <f>IF(A143="","",INDEX(RawData[Description],MATCH(A143,RawData[[Article ]],0)))</f>
        <v/>
      </c>
      <c r="C143" s="9" t="str">
        <f>IF(A143="","",COUNTIFS(RawData[[Article ]],A143,RawData[Month List],TEXT($A$4,"mmmm yyyy")))</f>
        <v/>
      </c>
      <c r="D143" s="9" t="str">
        <f>IF(A143="","",COUNTIFS(RawData[[Article ]],A143,RawData[[Error Type ]],"Short",RawData[Month List],TEXT($A$4,"mmmm yyyy")))</f>
        <v/>
      </c>
      <c r="E143" s="9" t="str">
        <f>IF(A143="","",COUNTIFS(RawData[[Article ]],A143,RawData[[Error Type ]],"Excess",RawData[Month List],TEXT($A$4, "mmmm yyyy")))</f>
        <v/>
      </c>
      <c r="F143" s="9" t="str">
        <f>IF(A143="","",SUMIFS(RawData[Qyt Affected ( EA ) ],RawData[[Article ]],A143,RawData[Month List],TEXT($A$4,"mmmm yyyy")))</f>
        <v/>
      </c>
    </row>
    <row r="144" spans="1:6" ht="15.75" x14ac:dyDescent="0.25">
      <c r="A144" s="9"/>
      <c r="B144" s="9" t="str">
        <f>IF(A144="","",INDEX(RawData[Description],MATCH(A144,RawData[[Article ]],0)))</f>
        <v/>
      </c>
      <c r="C144" s="9" t="str">
        <f>IF(A144="","",COUNTIFS(RawData[[Article ]],A144,RawData[Month List],TEXT($A$4,"mmmm yyyy")))</f>
        <v/>
      </c>
      <c r="D144" s="9" t="str">
        <f>IF(A144="","",COUNTIFS(RawData[[Article ]],A144,RawData[[Error Type ]],"Short",RawData[Month List],TEXT($A$4,"mmmm yyyy")))</f>
        <v/>
      </c>
      <c r="E144" s="9" t="str">
        <f>IF(A144="","",COUNTIFS(RawData[[Article ]],A144,RawData[[Error Type ]],"Excess",RawData[Month List],TEXT($A$4, "mmmm yyyy")))</f>
        <v/>
      </c>
      <c r="F144" s="9" t="str">
        <f>IF(A144="","",SUMIFS(RawData[Qyt Affected ( EA ) ],RawData[[Article ]],A144,RawData[Month List],TEXT($A$4,"mmmm yyyy")))</f>
        <v/>
      </c>
    </row>
    <row r="145" spans="1:6" ht="15.75" x14ac:dyDescent="0.25">
      <c r="A145" s="9"/>
      <c r="B145" s="9" t="str">
        <f>IF(A145="","",INDEX(RawData[Description],MATCH(A145,RawData[[Article ]],0)))</f>
        <v/>
      </c>
      <c r="C145" s="9" t="str">
        <f>IF(A145="","",COUNTIFS(RawData[[Article ]],A145,RawData[Month List],TEXT($A$4,"mmmm yyyy")))</f>
        <v/>
      </c>
      <c r="D145" s="9" t="str">
        <f>IF(A145="","",COUNTIFS(RawData[[Article ]],A145,RawData[[Error Type ]],"Short",RawData[Month List],TEXT($A$4,"mmmm yyyy")))</f>
        <v/>
      </c>
      <c r="E145" s="9" t="str">
        <f>IF(A145="","",COUNTIFS(RawData[[Article ]],A145,RawData[[Error Type ]],"Excess",RawData[Month List],TEXT($A$4, "mmmm yyyy")))</f>
        <v/>
      </c>
      <c r="F145" s="9" t="str">
        <f>IF(A145="","",SUMIFS(RawData[Qyt Affected ( EA ) ],RawData[[Article ]],A145,RawData[Month List],TEXT($A$4,"mmmm yyyy")))</f>
        <v/>
      </c>
    </row>
    <row r="146" spans="1:6" ht="15.75" x14ac:dyDescent="0.25">
      <c r="A146" s="9"/>
      <c r="B146" s="9" t="str">
        <f>IF(A146="","",INDEX(RawData[Description],MATCH(A146,RawData[[Article ]],0)))</f>
        <v/>
      </c>
      <c r="C146" s="9" t="str">
        <f>IF(A146="","",COUNTIFS(RawData[[Article ]],A146,RawData[Month List],TEXT($A$4,"mmmm yyyy")))</f>
        <v/>
      </c>
      <c r="D146" s="9" t="str">
        <f>IF(A146="","",COUNTIFS(RawData[[Article ]],A146,RawData[[Error Type ]],"Short",RawData[Month List],TEXT($A$4,"mmmm yyyy")))</f>
        <v/>
      </c>
      <c r="E146" s="9" t="str">
        <f>IF(A146="","",COUNTIFS(RawData[[Article ]],A146,RawData[[Error Type ]],"Excess",RawData[Month List],TEXT($A$4, "mmmm yyyy")))</f>
        <v/>
      </c>
      <c r="F146" s="9" t="str">
        <f>IF(A146="","",SUMIFS(RawData[Qyt Affected ( EA ) ],RawData[[Article ]],A146,RawData[Month List],TEXT($A$4,"mmmm yyyy")))</f>
        <v/>
      </c>
    </row>
    <row r="147" spans="1:6" ht="15.75" x14ac:dyDescent="0.25">
      <c r="A147" s="9"/>
      <c r="B147" s="9" t="str">
        <f>IF(A147="","",INDEX(RawData[Description],MATCH(A147,RawData[[Article ]],0)))</f>
        <v/>
      </c>
      <c r="C147" s="9" t="str">
        <f>IF(A147="","",COUNTIFS(RawData[[Article ]],A147,RawData[Month List],TEXT($A$4,"mmmm yyyy")))</f>
        <v/>
      </c>
      <c r="D147" s="9" t="str">
        <f>IF(A147="","",COUNTIFS(RawData[[Article ]],A147,RawData[[Error Type ]],"Short",RawData[Month List],TEXT($A$4,"mmmm yyyy")))</f>
        <v/>
      </c>
      <c r="E147" s="9" t="str">
        <f>IF(A147="","",COUNTIFS(RawData[[Article ]],A147,RawData[[Error Type ]],"Excess",RawData[Month List],TEXT($A$4, "mmmm yyyy")))</f>
        <v/>
      </c>
      <c r="F147" s="9" t="str">
        <f>IF(A147="","",SUMIFS(RawData[Qyt Affected ( EA ) ],RawData[[Article ]],A147,RawData[Month List],TEXT($A$4,"mmmm yyyy")))</f>
        <v/>
      </c>
    </row>
    <row r="148" spans="1:6" ht="15.75" x14ac:dyDescent="0.25">
      <c r="A148" s="9"/>
      <c r="B148" s="9" t="str">
        <f>IF(A148="","",INDEX(RawData[Description],MATCH(A148,RawData[[Article ]],0)))</f>
        <v/>
      </c>
      <c r="C148" s="9" t="str">
        <f>IF(A148="","",COUNTIFS(RawData[[Article ]],A148,RawData[Month List],TEXT($A$4,"mmmm yyyy")))</f>
        <v/>
      </c>
      <c r="D148" s="9" t="str">
        <f>IF(A148="","",COUNTIFS(RawData[[Article ]],A148,RawData[[Error Type ]],"Short",RawData[Month List],TEXT($A$4,"mmmm yyyy")))</f>
        <v/>
      </c>
      <c r="E148" s="9" t="str">
        <f>IF(A148="","",COUNTIFS(RawData[[Article ]],A148,RawData[[Error Type ]],"Excess",RawData[Month List],TEXT($A$4, "mmmm yyyy")))</f>
        <v/>
      </c>
      <c r="F148" s="9" t="str">
        <f>IF(A148="","",SUMIFS(RawData[Qyt Affected ( EA ) ],RawData[[Article ]],A148,RawData[Month List],TEXT($A$4,"mmmm yyyy")))</f>
        <v/>
      </c>
    </row>
    <row r="149" spans="1:6" ht="15.75" x14ac:dyDescent="0.25">
      <c r="A149" s="9"/>
      <c r="B149" s="9" t="str">
        <f>IF(A149="","",INDEX(RawData[Description],MATCH(A149,RawData[[Article ]],0)))</f>
        <v/>
      </c>
      <c r="C149" s="9" t="str">
        <f>IF(A149="","",COUNTIFS(RawData[[Article ]],A149,RawData[Month List],TEXT($A$4,"mmmm yyyy")))</f>
        <v/>
      </c>
      <c r="D149" s="9" t="str">
        <f>IF(A149="","",COUNTIFS(RawData[[Article ]],A149,RawData[[Error Type ]],"Short",RawData[Month List],TEXT($A$4,"mmmm yyyy")))</f>
        <v/>
      </c>
      <c r="E149" s="9" t="str">
        <f>IF(A149="","",COUNTIFS(RawData[[Article ]],A149,RawData[[Error Type ]],"Excess",RawData[Month List],TEXT($A$4, "mmmm yyyy")))</f>
        <v/>
      </c>
      <c r="F149" s="9" t="str">
        <f>IF(A149="","",SUMIFS(RawData[Qyt Affected ( EA ) ],RawData[[Article ]],A149,RawData[Month List],TEXT($A$4,"mmmm yyyy")))</f>
        <v/>
      </c>
    </row>
    <row r="150" spans="1:6" ht="15.75" x14ac:dyDescent="0.25">
      <c r="A150" s="9"/>
      <c r="B150" s="9" t="str">
        <f>IF(A150="","",INDEX(RawData[Description],MATCH(A150,RawData[[Article ]],0)))</f>
        <v/>
      </c>
      <c r="C150" s="9" t="str">
        <f>IF(A150="","",COUNTIFS(RawData[[Article ]],A150,RawData[Month List],TEXT($A$4,"mmmm yyyy")))</f>
        <v/>
      </c>
      <c r="D150" s="9" t="str">
        <f>IF(A150="","",COUNTIFS(RawData[[Article ]],A150,RawData[[Error Type ]],"Short",RawData[Month List],TEXT($A$4,"mmmm yyyy")))</f>
        <v/>
      </c>
      <c r="E150" s="9" t="str">
        <f>IF(A150="","",COUNTIFS(RawData[[Article ]],A150,RawData[[Error Type ]],"Excess",RawData[Month List],TEXT($A$4, "mmmm yyyy")))</f>
        <v/>
      </c>
      <c r="F150" s="9" t="str">
        <f>IF(A150="","",SUMIFS(RawData[Qyt Affected ( EA ) ],RawData[[Article ]],A150,RawData[Month List],TEXT($A$4,"mmmm yyyy")))</f>
        <v/>
      </c>
    </row>
    <row r="151" spans="1:6" ht="15.75" x14ac:dyDescent="0.25">
      <c r="A151" s="9"/>
      <c r="B151" s="9" t="str">
        <f>IF(A151="","",INDEX(RawData[Description],MATCH(A151,RawData[[Article ]],0)))</f>
        <v/>
      </c>
      <c r="C151" s="9" t="str">
        <f>IF(A151="","",COUNTIFS(RawData[[Article ]],A151,RawData[Month List],TEXT($A$4,"mmmm yyyy")))</f>
        <v/>
      </c>
      <c r="D151" s="9" t="str">
        <f>IF(A151="","",COUNTIFS(RawData[[Article ]],A151,RawData[[Error Type ]],"Short",RawData[Month List],TEXT($A$4,"mmmm yyyy")))</f>
        <v/>
      </c>
      <c r="E151" s="9" t="str">
        <f>IF(A151="","",COUNTIFS(RawData[[Article ]],A151,RawData[[Error Type ]],"Excess",RawData[Month List],TEXT($A$4, "mmmm yyyy")))</f>
        <v/>
      </c>
      <c r="F151" s="9" t="str">
        <f>IF(A151="","",SUMIFS(RawData[Qyt Affected ( EA ) ],RawData[[Article ]],A151,RawData[Month List],TEXT($A$4,"mmmm yyyy")))</f>
        <v/>
      </c>
    </row>
    <row r="152" spans="1:6" ht="15.75" x14ac:dyDescent="0.25">
      <c r="A152" s="9"/>
      <c r="B152" s="9" t="str">
        <f>IF(A152="","",INDEX(RawData[Description],MATCH(A152,RawData[[Article ]],0)))</f>
        <v/>
      </c>
      <c r="C152" s="9" t="str">
        <f>IF(A152="","",COUNTIFS(RawData[[Article ]],A152,RawData[Month List],TEXT($A$4,"mmmm yyyy")))</f>
        <v/>
      </c>
      <c r="D152" s="9" t="str">
        <f>IF(A152="","",COUNTIFS(RawData[[Article ]],A152,RawData[[Error Type ]],"Short",RawData[Month List],TEXT($A$4,"mmmm yyyy")))</f>
        <v/>
      </c>
      <c r="E152" s="9" t="str">
        <f>IF(A152="","",COUNTIFS(RawData[[Article ]],A152,RawData[[Error Type ]],"Excess",RawData[Month List],TEXT($A$4, "mmmm yyyy")))</f>
        <v/>
      </c>
      <c r="F152" s="9" t="str">
        <f>IF(A152="","",SUMIFS(RawData[Qyt Affected ( EA ) ],RawData[[Article ]],A152,RawData[Month List],TEXT($A$4,"mmmm yyyy")))</f>
        <v/>
      </c>
    </row>
    <row r="153" spans="1:6" ht="15.75" x14ac:dyDescent="0.25">
      <c r="A153" s="9"/>
      <c r="B153" s="9" t="str">
        <f>IF(A153="","",INDEX(RawData[Description],MATCH(A153,RawData[[Article ]],0)))</f>
        <v/>
      </c>
      <c r="C153" s="9" t="str">
        <f>IF(A153="","",COUNTIFS(RawData[[Article ]],A153,RawData[Month List],TEXT($A$4,"mmmm yyyy")))</f>
        <v/>
      </c>
      <c r="D153" s="9" t="str">
        <f>IF(A153="","",COUNTIFS(RawData[[Article ]],A153,RawData[[Error Type ]],"Short",RawData[Month List],TEXT($A$4,"mmmm yyyy")))</f>
        <v/>
      </c>
      <c r="E153" s="9" t="str">
        <f>IF(A153="","",COUNTIFS(RawData[[Article ]],A153,RawData[[Error Type ]],"Excess",RawData[Month List],TEXT($A$4, "mmmm yyyy")))</f>
        <v/>
      </c>
      <c r="F153" s="9" t="str">
        <f>IF(A153="","",SUMIFS(RawData[Qyt Affected ( EA ) ],RawData[[Article ]],A153,RawData[Month List],TEXT($A$4,"mmmm yyyy")))</f>
        <v/>
      </c>
    </row>
    <row r="154" spans="1:6" ht="15.75" x14ac:dyDescent="0.25">
      <c r="A154" s="9"/>
      <c r="B154" s="9" t="str">
        <f>IF(A154="","",INDEX(RawData[Description],MATCH(A154,RawData[[Article ]],0)))</f>
        <v/>
      </c>
      <c r="C154" s="9" t="str">
        <f>IF(A154="","",COUNTIFS(RawData[[Article ]],A154,RawData[Month List],TEXT($A$4,"mmmm yyyy")))</f>
        <v/>
      </c>
      <c r="D154" s="9" t="str">
        <f>IF(A154="","",COUNTIFS(RawData[[Article ]],A154,RawData[[Error Type ]],"Short",RawData[Month List],TEXT($A$4,"mmmm yyyy")))</f>
        <v/>
      </c>
      <c r="E154" s="9" t="str">
        <f>IF(A154="","",COUNTIFS(RawData[[Article ]],A154,RawData[[Error Type ]],"Excess",RawData[Month List],TEXT($A$4, "mmmm yyyy")))</f>
        <v/>
      </c>
      <c r="F154" s="9" t="str">
        <f>IF(A154="","",SUMIFS(RawData[Qyt Affected ( EA ) ],RawData[[Article ]],A154,RawData[Month List],TEXT($A$4,"mmmm yyyy")))</f>
        <v/>
      </c>
    </row>
    <row r="155" spans="1:6" ht="15.75" x14ac:dyDescent="0.25">
      <c r="A155" s="9"/>
      <c r="B155" s="9" t="str">
        <f>IF(A155="","",INDEX(RawData[Description],MATCH(A155,RawData[[Article ]],0)))</f>
        <v/>
      </c>
      <c r="C155" s="9" t="str">
        <f>IF(A155="","",COUNTIFS(RawData[[Article ]],A155,RawData[Month List],TEXT($A$4,"mmmm yyyy")))</f>
        <v/>
      </c>
      <c r="D155" s="9" t="str">
        <f>IF(A155="","",COUNTIFS(RawData[[Article ]],A155,RawData[[Error Type ]],"Short",RawData[Month List],TEXT($A$4,"mmmm yyyy")))</f>
        <v/>
      </c>
      <c r="E155" s="9" t="str">
        <f>IF(A155="","",COUNTIFS(RawData[[Article ]],A155,RawData[[Error Type ]],"Excess",RawData[Month List],TEXT($A$4, "mmmm yyyy")))</f>
        <v/>
      </c>
      <c r="F155" s="9" t="str">
        <f>IF(A155="","",SUMIFS(RawData[Qyt Affected ( EA ) ],RawData[[Article ]],A155,RawData[Month List],TEXT($A$4,"mmmm yyyy")))</f>
        <v/>
      </c>
    </row>
    <row r="156" spans="1:6" ht="15.75" x14ac:dyDescent="0.25">
      <c r="A156" s="9"/>
      <c r="B156" s="9" t="str">
        <f>IF(A156="","",INDEX(RawData[Description],MATCH(A156,RawData[[Article ]],0)))</f>
        <v/>
      </c>
      <c r="C156" s="9" t="str">
        <f>IF(A156="","",COUNTIFS(RawData[[Article ]],A156,RawData[Month List],TEXT($A$4,"mmmm yyyy")))</f>
        <v/>
      </c>
      <c r="D156" s="9" t="str">
        <f>IF(A156="","",COUNTIFS(RawData[[Article ]],A156,RawData[[Error Type ]],"Short",RawData[Month List],TEXT($A$4,"mmmm yyyy")))</f>
        <v/>
      </c>
      <c r="E156" s="9" t="str">
        <f>IF(A156="","",COUNTIFS(RawData[[Article ]],A156,RawData[[Error Type ]],"Excess",RawData[Month List],TEXT($A$4, "mmmm yyyy")))</f>
        <v/>
      </c>
      <c r="F156" s="9" t="str">
        <f>IF(A156="","",SUMIFS(RawData[Qyt Affected ( EA ) ],RawData[[Article ]],A156,RawData[Month List],TEXT($A$4,"mmmm yyyy")))</f>
        <v/>
      </c>
    </row>
    <row r="157" spans="1:6" ht="15.75" x14ac:dyDescent="0.25">
      <c r="A157" s="9"/>
      <c r="B157" s="9" t="str">
        <f>IF(A157="","",INDEX(RawData[Description],MATCH(A157,RawData[[Article ]],0)))</f>
        <v/>
      </c>
      <c r="C157" s="9" t="str">
        <f>IF(A157="","",COUNTIFS(RawData[[Article ]],A157,RawData[Month List],TEXT($A$4,"mmmm yyyy")))</f>
        <v/>
      </c>
      <c r="D157" s="9" t="str">
        <f>IF(A157="","",COUNTIFS(RawData[[Article ]],A157,RawData[[Error Type ]],"Short",RawData[Month List],TEXT($A$4,"mmmm yyyy")))</f>
        <v/>
      </c>
      <c r="E157" s="9" t="str">
        <f>IF(A157="","",COUNTIFS(RawData[[Article ]],A157,RawData[[Error Type ]],"Excess",RawData[Month List],TEXT($A$4, "mmmm yyyy")))</f>
        <v/>
      </c>
      <c r="F157" s="9" t="str">
        <f>IF(A157="","",SUMIFS(RawData[Qyt Affected ( EA ) ],RawData[[Article ]],A157,RawData[Month List],TEXT($A$4,"mmmm yyyy")))</f>
        <v/>
      </c>
    </row>
    <row r="158" spans="1:6" ht="15.75" x14ac:dyDescent="0.25">
      <c r="A158" s="9"/>
      <c r="B158" s="9" t="str">
        <f>IF(A158="","",INDEX(RawData[Description],MATCH(A158,RawData[[Article ]],0)))</f>
        <v/>
      </c>
      <c r="C158" s="9" t="str">
        <f>IF(A158="","",COUNTIFS(RawData[[Article ]],A158,RawData[Month List],TEXT($A$4,"mmmm yyyy")))</f>
        <v/>
      </c>
      <c r="D158" s="9" t="str">
        <f>IF(A158="","",COUNTIFS(RawData[[Article ]],A158,RawData[[Error Type ]],"Short",RawData[Month List],TEXT($A$4,"mmmm yyyy")))</f>
        <v/>
      </c>
      <c r="E158" s="9" t="str">
        <f>IF(A158="","",COUNTIFS(RawData[[Article ]],A158,RawData[[Error Type ]],"Excess",RawData[Month List],TEXT($A$4, "mmmm yyyy")))</f>
        <v/>
      </c>
      <c r="F158" s="9" t="str">
        <f>IF(A158="","",SUMIFS(RawData[Qyt Affected ( EA ) ],RawData[[Article ]],A158,RawData[Month List],TEXT($A$4,"mmmm yyyy")))</f>
        <v/>
      </c>
    </row>
    <row r="159" spans="1:6" ht="15.75" x14ac:dyDescent="0.25">
      <c r="A159" s="9"/>
      <c r="B159" s="9" t="str">
        <f>IF(A159="","",INDEX(RawData[Description],MATCH(A159,RawData[[Article ]],0)))</f>
        <v/>
      </c>
      <c r="C159" s="9" t="str">
        <f>IF(A159="","",COUNTIFS(RawData[[Article ]],A159,RawData[Month List],TEXT($A$4,"mmmm yyyy")))</f>
        <v/>
      </c>
      <c r="D159" s="9" t="str">
        <f>IF(A159="","",COUNTIFS(RawData[[Article ]],A159,RawData[[Error Type ]],"Short",RawData[Month List],TEXT($A$4,"mmmm yyyy")))</f>
        <v/>
      </c>
      <c r="E159" s="9" t="str">
        <f>IF(A159="","",COUNTIFS(RawData[[Article ]],A159,RawData[[Error Type ]],"Excess",RawData[Month List],TEXT($A$4, "mmmm yyyy")))</f>
        <v/>
      </c>
      <c r="F159" s="9" t="str">
        <f>IF(A159="","",SUMIFS(RawData[Qyt Affected ( EA ) ],RawData[[Article ]],A159,RawData[Month List],TEXT($A$4,"mmmm yyyy")))</f>
        <v/>
      </c>
    </row>
    <row r="160" spans="1:6" ht="15.75" x14ac:dyDescent="0.25">
      <c r="A160" s="9"/>
      <c r="B160" s="9" t="str">
        <f>IF(A160="","",INDEX(RawData[Description],MATCH(A160,RawData[[Article ]],0)))</f>
        <v/>
      </c>
      <c r="C160" s="9" t="str">
        <f>IF(A160="","",COUNTIFS(RawData[[Article ]],A160,RawData[Month List],TEXT($A$4,"mmmm yyyy")))</f>
        <v/>
      </c>
      <c r="D160" s="9" t="str">
        <f>IF(A160="","",COUNTIFS(RawData[[Article ]],A160,RawData[[Error Type ]],"Short",RawData[Month List],TEXT($A$4,"mmmm yyyy")))</f>
        <v/>
      </c>
      <c r="E160" s="9" t="str">
        <f>IF(A160="","",COUNTIFS(RawData[[Article ]],A160,RawData[[Error Type ]],"Excess",RawData[Month List],TEXT($A$4, "mmmm yyyy")))</f>
        <v/>
      </c>
      <c r="F160" s="9" t="str">
        <f>IF(A160="","",SUMIFS(RawData[Qyt Affected ( EA ) ],RawData[[Article ]],A160,RawData[Month List],TEXT($A$4,"mmmm yyyy")))</f>
        <v/>
      </c>
    </row>
    <row r="161" spans="1:6" ht="15.75" x14ac:dyDescent="0.25">
      <c r="A161" s="9"/>
      <c r="B161" s="9" t="str">
        <f>IF(A161="","",INDEX(RawData[Description],MATCH(A161,RawData[[Article ]],0)))</f>
        <v/>
      </c>
      <c r="C161" s="9" t="str">
        <f>IF(A161="","",COUNTIFS(RawData[[Article ]],A161,RawData[Month List],TEXT($A$4,"mmmm yyyy")))</f>
        <v/>
      </c>
      <c r="D161" s="9" t="str">
        <f>IF(A161="","",COUNTIFS(RawData[[Article ]],A161,RawData[[Error Type ]],"Short",RawData[Month List],TEXT($A$4,"mmmm yyyy")))</f>
        <v/>
      </c>
      <c r="E161" s="9" t="str">
        <f>IF(A161="","",COUNTIFS(RawData[[Article ]],A161,RawData[[Error Type ]],"Excess",RawData[Month List],TEXT($A$4, "mmmm yyyy")))</f>
        <v/>
      </c>
      <c r="F161" s="9" t="str">
        <f>IF(A161="","",SUMIFS(RawData[Qyt Affected ( EA ) ],RawData[[Article ]],A161,RawData[Month List],TEXT($A$4,"mmmm yyyy")))</f>
        <v/>
      </c>
    </row>
    <row r="162" spans="1:6" ht="15.75" x14ac:dyDescent="0.25">
      <c r="A162" s="9"/>
      <c r="B162" s="9" t="str">
        <f>IF(A162="","",INDEX(RawData[Description],MATCH(A162,RawData[[Article ]],0)))</f>
        <v/>
      </c>
      <c r="C162" s="9" t="str">
        <f>IF(A162="","",COUNTIFS(RawData[[Article ]],A162,RawData[Month List],TEXT($A$4,"mmmm yyyy")))</f>
        <v/>
      </c>
      <c r="D162" s="9" t="str">
        <f>IF(A162="","",COUNTIFS(RawData[[Article ]],A162,RawData[[Error Type ]],"Short",RawData[Month List],TEXT($A$4,"mmmm yyyy")))</f>
        <v/>
      </c>
      <c r="E162" s="9" t="str">
        <f>IF(A162="","",COUNTIFS(RawData[[Article ]],A162,RawData[[Error Type ]],"Excess",RawData[Month List],TEXT($A$4, "mmmm yyyy")))</f>
        <v/>
      </c>
      <c r="F162" s="9" t="str">
        <f>IF(A162="","",SUMIFS(RawData[Qyt Affected ( EA ) ],RawData[[Article ]],A162,RawData[Month List],TEXT($A$4,"mmmm yyyy")))</f>
        <v/>
      </c>
    </row>
    <row r="163" spans="1:6" ht="15.75" x14ac:dyDescent="0.25">
      <c r="A163" s="9"/>
      <c r="B163" s="9" t="str">
        <f>IF(A163="","",INDEX(RawData[Description],MATCH(A163,RawData[[Article ]],0)))</f>
        <v/>
      </c>
      <c r="C163" s="9" t="str">
        <f>IF(A163="","",COUNTIFS(RawData[[Article ]],A163,RawData[Month List],TEXT($A$4,"mmmm yyyy")))</f>
        <v/>
      </c>
      <c r="D163" s="9" t="str">
        <f>IF(A163="","",COUNTIFS(RawData[[Article ]],A163,RawData[[Error Type ]],"Short",RawData[Month List],TEXT($A$4,"mmmm yyyy")))</f>
        <v/>
      </c>
      <c r="E163" s="9" t="str">
        <f>IF(A163="","",COUNTIFS(RawData[[Article ]],A163,RawData[[Error Type ]],"Excess",RawData[Month List],TEXT($A$4, "mmmm yyyy")))</f>
        <v/>
      </c>
      <c r="F163" s="9" t="str">
        <f>IF(A163="","",SUMIFS(RawData[Qyt Affected ( EA ) ],RawData[[Article ]],A163,RawData[Month List],TEXT($A$4,"mmmm yyyy")))</f>
        <v/>
      </c>
    </row>
    <row r="164" spans="1:6" ht="15.75" x14ac:dyDescent="0.25">
      <c r="A164" s="9"/>
      <c r="B164" s="9" t="str">
        <f>IF(A164="","",INDEX(RawData[Description],MATCH(A164,RawData[[Article ]],0)))</f>
        <v/>
      </c>
      <c r="C164" s="9" t="str">
        <f>IF(A164="","",COUNTIFS(RawData[[Article ]],A164,RawData[Month List],TEXT($A$4,"mmmm yyyy")))</f>
        <v/>
      </c>
      <c r="D164" s="9" t="str">
        <f>IF(A164="","",COUNTIFS(RawData[[Article ]],A164,RawData[[Error Type ]],"Short",RawData[Month List],TEXT($A$4,"mmmm yyyy")))</f>
        <v/>
      </c>
      <c r="E164" s="9" t="str">
        <f>IF(A164="","",COUNTIFS(RawData[[Article ]],A164,RawData[[Error Type ]],"Excess",RawData[Month List],TEXT($A$4, "mmmm yyyy")))</f>
        <v/>
      </c>
      <c r="F164" s="9" t="str">
        <f>IF(A164="","",SUMIFS(RawData[Qyt Affected ( EA ) ],RawData[[Article ]],A164,RawData[Month List],TEXT($A$4,"mmmm yyyy")))</f>
        <v/>
      </c>
    </row>
    <row r="165" spans="1:6" ht="15.75" x14ac:dyDescent="0.25">
      <c r="A165" s="9"/>
      <c r="B165" s="9" t="str">
        <f>IF(A165="","",INDEX(RawData[Description],MATCH(A165,RawData[[Article ]],0)))</f>
        <v/>
      </c>
      <c r="C165" s="9" t="str">
        <f>IF(A165="","",COUNTIFS(RawData[[Article ]],A165,RawData[Month List],TEXT($A$4,"mmmm yyyy")))</f>
        <v/>
      </c>
      <c r="D165" s="9" t="str">
        <f>IF(A165="","",COUNTIFS(RawData[[Article ]],A165,RawData[[Error Type ]],"Short",RawData[Month List],TEXT($A$4,"mmmm yyyy")))</f>
        <v/>
      </c>
      <c r="E165" s="9" t="str">
        <f>IF(A165="","",COUNTIFS(RawData[[Article ]],A165,RawData[[Error Type ]],"Excess",RawData[Month List],TEXT($A$4, "mmmm yyyy")))</f>
        <v/>
      </c>
      <c r="F165" s="9" t="str">
        <f>IF(A165="","",SUMIFS(RawData[Qyt Affected ( EA ) ],RawData[[Article ]],A165,RawData[Month List],TEXT($A$4,"mmmm yyyy")))</f>
        <v/>
      </c>
    </row>
    <row r="166" spans="1:6" ht="15.75" x14ac:dyDescent="0.25">
      <c r="A166" s="9"/>
      <c r="B166" s="9" t="str">
        <f>IF(A166="","",INDEX(RawData[Description],MATCH(A166,RawData[[Article ]],0)))</f>
        <v/>
      </c>
      <c r="C166" s="9" t="str">
        <f>IF(A166="","",COUNTIFS(RawData[[Article ]],A166,RawData[Month List],TEXT($A$4,"mmmm yyyy")))</f>
        <v/>
      </c>
      <c r="D166" s="9" t="str">
        <f>IF(A166="","",COUNTIFS(RawData[[Article ]],A166,RawData[[Error Type ]],"Short",RawData[Month List],TEXT($A$4,"mmmm yyyy")))</f>
        <v/>
      </c>
      <c r="E166" s="9" t="str">
        <f>IF(A166="","",COUNTIFS(RawData[[Article ]],A166,RawData[[Error Type ]],"Excess",RawData[Month List],TEXT($A$4, "mmmm yyyy")))</f>
        <v/>
      </c>
      <c r="F166" s="9" t="str">
        <f>IF(A166="","",SUMIFS(RawData[Qyt Affected ( EA ) ],RawData[[Article ]],A166,RawData[Month List],TEXT($A$4,"mmmm yyyy")))</f>
        <v/>
      </c>
    </row>
    <row r="167" spans="1:6" ht="15.75" x14ac:dyDescent="0.25">
      <c r="A167" s="9"/>
      <c r="B167" s="9" t="str">
        <f>IF(A167="","",INDEX(RawData[Description],MATCH(A167,RawData[[Article ]],0)))</f>
        <v/>
      </c>
      <c r="C167" s="9" t="str">
        <f>IF(A167="","",COUNTIFS(RawData[[Article ]],A167,RawData[Month List],TEXT($A$4,"mmmm yyyy")))</f>
        <v/>
      </c>
      <c r="D167" s="9" t="str">
        <f>IF(A167="","",COUNTIFS(RawData[[Article ]],A167,RawData[[Error Type ]],"Short",RawData[Month List],TEXT($A$4,"mmmm yyyy")))</f>
        <v/>
      </c>
      <c r="E167" s="9" t="str">
        <f>IF(A167="","",COUNTIFS(RawData[[Article ]],A167,RawData[[Error Type ]],"Excess",RawData[Month List],TEXT($A$4, "mmmm yyyy")))</f>
        <v/>
      </c>
      <c r="F167" s="9" t="str">
        <f>IF(A167="","",SUMIFS(RawData[Qyt Affected ( EA ) ],RawData[[Article ]],A167,RawData[Month List],TEXT($A$4,"mmmm yyyy")))</f>
        <v/>
      </c>
    </row>
    <row r="168" spans="1:6" ht="15.75" x14ac:dyDescent="0.25">
      <c r="A168" s="9"/>
      <c r="B168" s="9" t="str">
        <f>IF(A168="","",INDEX(RawData[Description],MATCH(A168,RawData[[Article ]],0)))</f>
        <v/>
      </c>
      <c r="C168" s="9" t="str">
        <f>IF(A168="","",COUNTIFS(RawData[[Article ]],A168,RawData[Month List],TEXT($A$4,"mmmm yyyy")))</f>
        <v/>
      </c>
      <c r="D168" s="9" t="str">
        <f>IF(A168="","",COUNTIFS(RawData[[Article ]],A168,RawData[[Error Type ]],"Short",RawData[Month List],TEXT($A$4,"mmmm yyyy")))</f>
        <v/>
      </c>
      <c r="E168" s="9" t="str">
        <f>IF(A168="","",COUNTIFS(RawData[[Article ]],A168,RawData[[Error Type ]],"Excess",RawData[Month List],TEXT($A$4, "mmmm yyyy")))</f>
        <v/>
      </c>
      <c r="F168" s="9" t="str">
        <f>IF(A168="","",SUMIFS(RawData[Qyt Affected ( EA ) ],RawData[[Article ]],A168,RawData[Month List],TEXT($A$4,"mmmm yyyy")))</f>
        <v/>
      </c>
    </row>
    <row r="169" spans="1:6" ht="15.75" x14ac:dyDescent="0.25">
      <c r="A169" s="9"/>
      <c r="B169" s="9" t="str">
        <f>IF(A169="","",INDEX(RawData[Description],MATCH(A169,RawData[[Article ]],0)))</f>
        <v/>
      </c>
      <c r="C169" s="9" t="str">
        <f>IF(A169="","",COUNTIFS(RawData[[Article ]],A169,RawData[Month List],TEXT($A$4,"mmmm yyyy")))</f>
        <v/>
      </c>
      <c r="D169" s="9" t="str">
        <f>IF(A169="","",COUNTIFS(RawData[[Article ]],A169,RawData[[Error Type ]],"Short",RawData[Month List],TEXT($A$4,"mmmm yyyy")))</f>
        <v/>
      </c>
      <c r="E169" s="9" t="str">
        <f>IF(A169="","",COUNTIFS(RawData[[Article ]],A169,RawData[[Error Type ]],"Excess",RawData[Month List],TEXT($A$4, "mmmm yyyy")))</f>
        <v/>
      </c>
      <c r="F169" s="9" t="str">
        <f>IF(A169="","",SUMIFS(RawData[Qyt Affected ( EA ) ],RawData[[Article ]],A169,RawData[Month List],TEXT($A$4,"mmmm yyyy")))</f>
        <v/>
      </c>
    </row>
    <row r="170" spans="1:6" ht="15.75" x14ac:dyDescent="0.25">
      <c r="A170" s="9"/>
      <c r="B170" s="9" t="str">
        <f>IF(A170="","",INDEX(RawData[Description],MATCH(A170,RawData[[Article ]],0)))</f>
        <v/>
      </c>
      <c r="C170" s="9" t="str">
        <f>IF(A170="","",COUNTIFS(RawData[[Article ]],A170,RawData[Month List],TEXT($A$4,"mmmm yyyy")))</f>
        <v/>
      </c>
      <c r="D170" s="9" t="str">
        <f>IF(A170="","",COUNTIFS(RawData[[Article ]],A170,RawData[[Error Type ]],"Short",RawData[Month List],TEXT($A$4,"mmmm yyyy")))</f>
        <v/>
      </c>
      <c r="E170" s="9" t="str">
        <f>IF(A170="","",COUNTIFS(RawData[[Article ]],A170,RawData[[Error Type ]],"Excess",RawData[Month List],TEXT($A$4, "mmmm yyyy")))</f>
        <v/>
      </c>
      <c r="F170" s="9" t="str">
        <f>IF(A170="","",SUMIFS(RawData[Qyt Affected ( EA ) ],RawData[[Article ]],A170,RawData[Month List],TEXT($A$4,"mmmm yyyy")))</f>
        <v/>
      </c>
    </row>
    <row r="171" spans="1:6" ht="15.75" x14ac:dyDescent="0.25">
      <c r="A171" s="9"/>
      <c r="B171" s="9" t="str">
        <f>IF(A171="","",INDEX(RawData[Description],MATCH(A171,RawData[[Article ]],0)))</f>
        <v/>
      </c>
      <c r="C171" s="9" t="str">
        <f>IF(A171="","",COUNTIFS(RawData[[Article ]],A171,RawData[Month List],TEXT($A$4,"mmmm yyyy")))</f>
        <v/>
      </c>
      <c r="D171" s="9" t="str">
        <f>IF(A171="","",COUNTIFS(RawData[[Article ]],A171,RawData[[Error Type ]],"Short",RawData[Month List],TEXT($A$4,"mmmm yyyy")))</f>
        <v/>
      </c>
      <c r="E171" s="9" t="str">
        <f>IF(A171="","",COUNTIFS(RawData[[Article ]],A171,RawData[[Error Type ]],"Excess",RawData[Month List],TEXT($A$4, "mmmm yyyy")))</f>
        <v/>
      </c>
      <c r="F171" s="9" t="str">
        <f>IF(A171="","",SUMIFS(RawData[Qyt Affected ( EA ) ],RawData[[Article ]],A171,RawData[Month List],TEXT($A$4,"mmmm yyyy")))</f>
        <v/>
      </c>
    </row>
    <row r="172" spans="1:6" ht="15.75" x14ac:dyDescent="0.25">
      <c r="A172" s="9"/>
      <c r="B172" s="9" t="str">
        <f>IF(A172="","",INDEX(RawData[Description],MATCH(A172,RawData[[Article ]],0)))</f>
        <v/>
      </c>
      <c r="C172" s="9" t="str">
        <f>IF(A172="","",COUNTIFS(RawData[[Article ]],A172,RawData[Month List],TEXT($A$4,"mmmm yyyy")))</f>
        <v/>
      </c>
      <c r="D172" s="9" t="str">
        <f>IF(A172="","",COUNTIFS(RawData[[Article ]],A172,RawData[[Error Type ]],"Short",RawData[Month List],TEXT($A$4,"mmmm yyyy")))</f>
        <v/>
      </c>
      <c r="E172" s="9" t="str">
        <f>IF(A172="","",COUNTIFS(RawData[[Article ]],A172,RawData[[Error Type ]],"Excess",RawData[Month List],TEXT($A$4, "mmmm yyyy")))</f>
        <v/>
      </c>
      <c r="F172" s="9" t="str">
        <f>IF(A172="","",SUMIFS(RawData[Qyt Affected ( EA ) ],RawData[[Article ]],A172,RawData[Month List],TEXT($A$4,"mmmm yyyy")))</f>
        <v/>
      </c>
    </row>
    <row r="173" spans="1:6" ht="15.75" x14ac:dyDescent="0.25">
      <c r="A173" s="9"/>
      <c r="B173" s="9" t="str">
        <f>IF(A173="","",INDEX(RawData[Description],MATCH(A173,RawData[[Article ]],0)))</f>
        <v/>
      </c>
      <c r="C173" s="9" t="str">
        <f>IF(A173="","",COUNTIFS(RawData[[Article ]],A173,RawData[Month List],TEXT($A$4,"mmmm yyyy")))</f>
        <v/>
      </c>
      <c r="D173" s="9" t="str">
        <f>IF(A173="","",COUNTIFS(RawData[[Article ]],A173,RawData[[Error Type ]],"Short",RawData[Month List],TEXT($A$4,"mmmm yyyy")))</f>
        <v/>
      </c>
      <c r="E173" s="9" t="str">
        <f>IF(A173="","",COUNTIFS(RawData[[Article ]],A173,RawData[[Error Type ]],"Excess",RawData[Month List],TEXT($A$4, "mmmm yyyy")))</f>
        <v/>
      </c>
      <c r="F173" s="9" t="str">
        <f>IF(A173="","",SUMIFS(RawData[Qyt Affected ( EA ) ],RawData[[Article ]],A173,RawData[Month List],TEXT($A$4,"mmmm yyyy")))</f>
        <v/>
      </c>
    </row>
    <row r="174" spans="1:6" ht="15.75" x14ac:dyDescent="0.25">
      <c r="A174" s="9"/>
      <c r="B174" s="9" t="str">
        <f>IF(A174="","",INDEX(RawData[Description],MATCH(A174,RawData[[Article ]],0)))</f>
        <v/>
      </c>
      <c r="C174" s="9" t="str">
        <f>IF(A174="","",COUNTIFS(RawData[[Article ]],A174,RawData[Month List],TEXT($A$4,"mmmm yyyy")))</f>
        <v/>
      </c>
      <c r="D174" s="9" t="str">
        <f>IF(A174="","",COUNTIFS(RawData[[Article ]],A174,RawData[[Error Type ]],"Short",RawData[Month List],TEXT($A$4,"mmmm yyyy")))</f>
        <v/>
      </c>
      <c r="E174" s="9" t="str">
        <f>IF(A174="","",COUNTIFS(RawData[[Article ]],A174,RawData[[Error Type ]],"Excess",RawData[Month List],TEXT($A$4, "mmmm yyyy")))</f>
        <v/>
      </c>
      <c r="F174" s="9" t="str">
        <f>IF(A174="","",SUMIFS(RawData[Qyt Affected ( EA ) ],RawData[[Article ]],A174,RawData[Month List],TEXT($A$4,"mmmm yyyy")))</f>
        <v/>
      </c>
    </row>
    <row r="175" spans="1:6" ht="15.75" x14ac:dyDescent="0.25">
      <c r="A175" s="9"/>
      <c r="B175" s="9" t="str">
        <f>IF(A175="","",INDEX(RawData[Description],MATCH(A175,RawData[[Article ]],0)))</f>
        <v/>
      </c>
      <c r="C175" s="9" t="str">
        <f>IF(A175="","",COUNTIFS(RawData[[Article ]],A175,RawData[Month List],TEXT($A$4,"mmmm yyyy")))</f>
        <v/>
      </c>
      <c r="D175" s="9" t="str">
        <f>IF(A175="","",COUNTIFS(RawData[[Article ]],A175,RawData[[Error Type ]],"Short",RawData[Month List],TEXT($A$4,"mmmm yyyy")))</f>
        <v/>
      </c>
      <c r="E175" s="9" t="str">
        <f>IF(A175="","",COUNTIFS(RawData[[Article ]],A175,RawData[[Error Type ]],"Excess",RawData[Month List],TEXT($A$4, "mmmm yyyy")))</f>
        <v/>
      </c>
      <c r="F175" s="9" t="str">
        <f>IF(A175="","",SUMIFS(RawData[Qyt Affected ( EA ) ],RawData[[Article ]],A175,RawData[Month List],TEXT($A$4,"mmmm yyyy")))</f>
        <v/>
      </c>
    </row>
    <row r="176" spans="1:6" ht="15.75" x14ac:dyDescent="0.25">
      <c r="A176" s="9"/>
      <c r="B176" s="9" t="str">
        <f>IF(A176="","",INDEX(RawData[Description],MATCH(A176,RawData[[Article ]],0)))</f>
        <v/>
      </c>
      <c r="C176" s="9" t="str">
        <f>IF(A176="","",COUNTIFS(RawData[[Article ]],A176,RawData[Month List],TEXT($A$4,"mmmm yyyy")))</f>
        <v/>
      </c>
      <c r="D176" s="9" t="str">
        <f>IF(A176="","",COUNTIFS(RawData[[Article ]],A176,RawData[[Error Type ]],"Short",RawData[Month List],TEXT($A$4,"mmmm yyyy")))</f>
        <v/>
      </c>
      <c r="E176" s="9" t="str">
        <f>IF(A176="","",COUNTIFS(RawData[[Article ]],A176,RawData[[Error Type ]],"Excess",RawData[Month List],TEXT($A$4, "mmmm yyyy")))</f>
        <v/>
      </c>
      <c r="F176" s="9" t="str">
        <f>IF(A176="","",SUMIFS(RawData[Qyt Affected ( EA ) ],RawData[[Article ]],A176,RawData[Month List],TEXT($A$4,"mmmm yyyy")))</f>
        <v/>
      </c>
    </row>
    <row r="177" spans="1:6" ht="15.75" x14ac:dyDescent="0.25">
      <c r="A177" s="9"/>
      <c r="B177" s="9" t="str">
        <f>IF(A177="","",INDEX(RawData[Description],MATCH(A177,RawData[[Article ]],0)))</f>
        <v/>
      </c>
      <c r="C177" s="9" t="str">
        <f>IF(A177="","",COUNTIFS(RawData[[Article ]],A177,RawData[Month List],TEXT($A$4,"mmmm yyyy")))</f>
        <v/>
      </c>
      <c r="D177" s="9" t="str">
        <f>IF(A177="","",COUNTIFS(RawData[[Article ]],A177,RawData[[Error Type ]],"Short",RawData[Month List],TEXT($A$4,"mmmm yyyy")))</f>
        <v/>
      </c>
      <c r="E177" s="9" t="str">
        <f>IF(A177="","",COUNTIFS(RawData[[Article ]],A177,RawData[[Error Type ]],"Excess",RawData[Month List],TEXT($A$4, "mmmm yyyy")))</f>
        <v/>
      </c>
      <c r="F177" s="9" t="str">
        <f>IF(A177="","",SUMIFS(RawData[Qyt Affected ( EA ) ],RawData[[Article ]],A177,RawData[Month List],TEXT($A$4,"mmmm yyyy")))</f>
        <v/>
      </c>
    </row>
    <row r="178" spans="1:6" ht="15.75" x14ac:dyDescent="0.25">
      <c r="A178" s="9"/>
      <c r="B178" s="9" t="str">
        <f>IF(A178="","",INDEX(RawData[Description],MATCH(A178,RawData[[Article ]],0)))</f>
        <v/>
      </c>
      <c r="C178" s="9" t="str">
        <f>IF(A178="","",COUNTIFS(RawData[[Article ]],A178,RawData[Month List],TEXT($A$4,"mmmm yyyy")))</f>
        <v/>
      </c>
      <c r="D178" s="9" t="str">
        <f>IF(A178="","",COUNTIFS(RawData[[Article ]],A178,RawData[[Error Type ]],"Short",RawData[Month List],TEXT($A$4,"mmmm yyyy")))</f>
        <v/>
      </c>
      <c r="E178" s="9" t="str">
        <f>IF(A178="","",COUNTIFS(RawData[[Article ]],A178,RawData[[Error Type ]],"Excess",RawData[Month List],TEXT($A$4, "mmmm yyyy")))</f>
        <v/>
      </c>
      <c r="F178" s="9" t="str">
        <f>IF(A178="","",SUMIFS(RawData[Qyt Affected ( EA ) ],RawData[[Article ]],A178,RawData[Month List],TEXT($A$4,"mmmm yyyy")))</f>
        <v/>
      </c>
    </row>
    <row r="179" spans="1:6" ht="15.75" x14ac:dyDescent="0.25">
      <c r="A179" s="9"/>
      <c r="B179" s="9" t="str">
        <f>IF(A179="","",INDEX(RawData[Description],MATCH(A179,RawData[[Article ]],0)))</f>
        <v/>
      </c>
      <c r="C179" s="9" t="str">
        <f>IF(A179="","",COUNTIFS(RawData[[Article ]],A179,RawData[Month List],TEXT($A$4,"mmmm yyyy")))</f>
        <v/>
      </c>
      <c r="D179" s="9" t="str">
        <f>IF(A179="","",COUNTIFS(RawData[[Article ]],A179,RawData[[Error Type ]],"Short",RawData[Month List],TEXT($A$4,"mmmm yyyy")))</f>
        <v/>
      </c>
      <c r="E179" s="9" t="str">
        <f>IF(A179="","",COUNTIFS(RawData[[Article ]],A179,RawData[[Error Type ]],"Excess",RawData[Month List],TEXT($A$4, "mmmm yyyy")))</f>
        <v/>
      </c>
      <c r="F179" s="9" t="str">
        <f>IF(A179="","",SUMIFS(RawData[Qyt Affected ( EA ) ],RawData[[Article ]],A179,RawData[Month List],TEXT($A$4,"mmmm yyyy")))</f>
        <v/>
      </c>
    </row>
    <row r="180" spans="1:6" ht="15.75" x14ac:dyDescent="0.25">
      <c r="A180" s="9"/>
      <c r="B180" s="9" t="str">
        <f>IF(A180="","",INDEX(RawData[Description],MATCH(A180,RawData[[Article ]],0)))</f>
        <v/>
      </c>
      <c r="C180" s="9" t="str">
        <f>IF(A180="","",COUNTIFS(RawData[[Article ]],A180,RawData[Month List],TEXT($A$4,"mmmm yyyy")))</f>
        <v/>
      </c>
      <c r="D180" s="9" t="str">
        <f>IF(A180="","",COUNTIFS(RawData[[Article ]],A180,RawData[[Error Type ]],"Short",RawData[Month List],TEXT($A$4,"mmmm yyyy")))</f>
        <v/>
      </c>
      <c r="E180" s="9" t="str">
        <f>IF(A180="","",COUNTIFS(RawData[[Article ]],A180,RawData[[Error Type ]],"Excess",RawData[Month List],TEXT($A$4, "mmmm yyyy")))</f>
        <v/>
      </c>
      <c r="F180" s="9" t="str">
        <f>IF(A180="","",SUMIFS(RawData[Qyt Affected ( EA ) ],RawData[[Article ]],A180,RawData[Month List],TEXT($A$4,"mmmm yyyy")))</f>
        <v/>
      </c>
    </row>
    <row r="181" spans="1:6" ht="15.75" x14ac:dyDescent="0.25">
      <c r="A181" s="40"/>
      <c r="B181" s="9" t="str">
        <f>IF(A181="","",INDEX(RawData[Description],MATCH(A181,RawData[[Article ]],0)))</f>
        <v/>
      </c>
      <c r="C181" s="9" t="str">
        <f>IF(A181="","",COUNTIFS(RawData[[Article ]],A181,RawData[Month List],TEXT($A$4,"mmmm yyyy")))</f>
        <v/>
      </c>
      <c r="D181" s="9" t="str">
        <f>IF(A181="","",COUNTIFS(RawData[[Article ]],A181,RawData[[Error Type ]],"Short",RawData[Month List],TEXT($A$4,"mmmm yyyy")))</f>
        <v/>
      </c>
      <c r="E181" s="9" t="str">
        <f>IF(A181="","",COUNTIFS(RawData[[Article ]],A181,RawData[[Error Type ]],"Excess",RawData[Month List],TEXT($A$4, "mmmm yyyy")))</f>
        <v/>
      </c>
      <c r="F181" s="9" t="str">
        <f>IF(A181="","",SUMIFS(RawData[Qyt Affected ( EA ) ],RawData[[Article ]],A181,RawData[Month List],TEXT($A$4,"mmmm yyyy")))</f>
        <v/>
      </c>
    </row>
    <row r="182" spans="1:6" ht="15.75" x14ac:dyDescent="0.25">
      <c r="A182" s="40"/>
      <c r="B182" s="9" t="str">
        <f>IF(A182="","",INDEX(RawData[Description],MATCH(A182,RawData[[Article ]],0)))</f>
        <v/>
      </c>
      <c r="C182" s="9" t="str">
        <f>IF(A182="","",COUNTIFS(RawData[[Article ]],A182,RawData[Month List],TEXT($A$4,"mmmm yyyy")))</f>
        <v/>
      </c>
      <c r="D182" s="9" t="str">
        <f>IF(A182="","",COUNTIFS(RawData[[Article ]],A182,RawData[[Error Type ]],"Short",RawData[Month List],TEXT($A$4,"mmmm yyyy")))</f>
        <v/>
      </c>
      <c r="E182" s="9" t="str">
        <f>IF(A182="","",COUNTIFS(RawData[[Article ]],A182,RawData[[Error Type ]],"Excess",RawData[Month List],TEXT($A$4, "mmmm yyyy")))</f>
        <v/>
      </c>
      <c r="F182" s="9" t="str">
        <f>IF(A182="","",SUMIFS(RawData[Qyt Affected ( EA ) ],RawData[[Article ]],A182,RawData[Month List],TEXT($A$4,"mmmm yyyy")))</f>
        <v/>
      </c>
    </row>
    <row r="183" spans="1:6" ht="15.75" x14ac:dyDescent="0.25">
      <c r="A183" s="40"/>
      <c r="B183" s="9" t="str">
        <f>IF(A183="","",INDEX(RawData[Description],MATCH(A183,RawData[[Article ]],0)))</f>
        <v/>
      </c>
      <c r="C183" s="9" t="str">
        <f>IF(A183="","",COUNTIFS(RawData[[Article ]],A183,RawData[Month List],TEXT($A$4,"mmmm yyyy")))</f>
        <v/>
      </c>
      <c r="D183" s="9" t="str">
        <f>IF(A183="","",COUNTIFS(RawData[[Article ]],A183,RawData[[Error Type ]],"Short",RawData[Month List],TEXT($A$4,"mmmm yyyy")))</f>
        <v/>
      </c>
      <c r="E183" s="9" t="str">
        <f>IF(A183="","",COUNTIFS(RawData[[Article ]],A183,RawData[[Error Type ]],"Excess",RawData[Month List],TEXT($A$4, "mmmm yyyy")))</f>
        <v/>
      </c>
      <c r="F183" s="9" t="str">
        <f>IF(A183="","",SUMIFS(RawData[Qyt Affected ( EA ) ],RawData[[Article ]],A183,RawData[Month List],TEXT($A$4,"mmmm yyyy")))</f>
        <v/>
      </c>
    </row>
    <row r="184" spans="1:6" ht="15.75" x14ac:dyDescent="0.25">
      <c r="A184" s="40"/>
      <c r="B184" s="9" t="str">
        <f>IF(A184="","",INDEX(RawData[Description],MATCH(A184,RawData[[Article ]],0)))</f>
        <v/>
      </c>
      <c r="C184" s="9" t="str">
        <f>IF(A184="","",COUNTIFS(RawData[[Article ]],A184,RawData[Month List],TEXT($A$4,"mmmm yyyy")))</f>
        <v/>
      </c>
      <c r="D184" s="9" t="str">
        <f>IF(A184="","",COUNTIFS(RawData[[Article ]],A184,RawData[[Error Type ]],"Short",RawData[Month List],TEXT($A$4,"mmmm yyyy")))</f>
        <v/>
      </c>
      <c r="E184" s="9" t="str">
        <f>IF(A184="","",COUNTIFS(RawData[[Article ]],A184,RawData[[Error Type ]],"Excess",RawData[Month List],TEXT($A$4, "mmmm yyyy")))</f>
        <v/>
      </c>
      <c r="F184" s="9" t="str">
        <f>IF(A184="","",SUMIFS(RawData[Qyt Affected ( EA ) ],RawData[[Article ]],A184,RawData[Month List],TEXT($A$4,"mmmm yyyy")))</f>
        <v/>
      </c>
    </row>
    <row r="185" spans="1:6" ht="15.75" x14ac:dyDescent="0.25">
      <c r="A185" s="40"/>
      <c r="B185" s="9" t="str">
        <f>IF(A185="","",INDEX(RawData[Description],MATCH(A185,RawData[[Article ]],0)))</f>
        <v/>
      </c>
      <c r="C185" s="9" t="str">
        <f>IF(A185="","",COUNTIFS(RawData[[Article ]],A185,RawData[Month List],TEXT($A$4,"mmmm yyyy")))</f>
        <v/>
      </c>
      <c r="D185" s="9" t="str">
        <f>IF(A185="","",COUNTIFS(RawData[[Article ]],A185,RawData[[Error Type ]],"Short",RawData[Month List],TEXT($A$4,"mmmm yyyy")))</f>
        <v/>
      </c>
      <c r="E185" s="9" t="str">
        <f>IF(A185="","",COUNTIFS(RawData[[Article ]],A185,RawData[[Error Type ]],"Excess",RawData[Month List],TEXT($A$4, "mmmm yyyy")))</f>
        <v/>
      </c>
      <c r="F185" s="9" t="str">
        <f>IF(A185="","",SUMIFS(RawData[Qyt Affected ( EA ) ],RawData[[Article ]],A185,RawData[Month List],TEXT($A$4,"mmmm yyyy")))</f>
        <v/>
      </c>
    </row>
    <row r="186" spans="1:6" ht="15.75" x14ac:dyDescent="0.25">
      <c r="A186" s="40"/>
      <c r="B186" s="9" t="str">
        <f>IF(A186="","",INDEX(RawData[Description],MATCH(A186,RawData[[Article ]],0)))</f>
        <v/>
      </c>
      <c r="C186" s="9" t="str">
        <f>IF(A186="","",COUNTIFS(RawData[[Article ]],A186,RawData[Month List],TEXT($A$4,"mmmm yyyy")))</f>
        <v/>
      </c>
      <c r="D186" s="9" t="str">
        <f>IF(A186="","",COUNTIFS(RawData[[Article ]],A186,RawData[[Error Type ]],"Short",RawData[Month List],TEXT($A$4,"mmmm yyyy")))</f>
        <v/>
      </c>
      <c r="E186" s="9" t="str">
        <f>IF(A186="","",COUNTIFS(RawData[[Article ]],A186,RawData[[Error Type ]],"Excess",RawData[Month List],TEXT($A$4, "mmmm yyyy")))</f>
        <v/>
      </c>
      <c r="F186" s="9" t="str">
        <f>IF(A186="","",SUMIFS(RawData[Qyt Affected ( EA ) ],RawData[[Article ]],A186,RawData[Month List],TEXT($A$4,"mmmm yyyy")))</f>
        <v/>
      </c>
    </row>
    <row r="187" spans="1:6" ht="15.75" x14ac:dyDescent="0.25">
      <c r="A187" s="40"/>
      <c r="B187" s="9" t="str">
        <f>IF(A187="","",INDEX(RawData[Description],MATCH(A187,RawData[[Article ]],0)))</f>
        <v/>
      </c>
      <c r="C187" s="9" t="str">
        <f>IF(A187="","",COUNTIFS(RawData[[Article ]],A187,RawData[Month List],TEXT($A$4,"mmmm yyyy")))</f>
        <v/>
      </c>
      <c r="D187" s="9" t="str">
        <f>IF(A187="","",COUNTIFS(RawData[[Article ]],A187,RawData[[Error Type ]],"Short",RawData[Month List],TEXT($A$4,"mmmm yyyy")))</f>
        <v/>
      </c>
      <c r="E187" s="9" t="str">
        <f>IF(A187="","",COUNTIFS(RawData[[Article ]],A187,RawData[[Error Type ]],"Excess",RawData[Month List],TEXT($A$4, "mmmm yyyy")))</f>
        <v/>
      </c>
      <c r="F187" s="9" t="str">
        <f>IF(A187="","",SUMIFS(RawData[Qyt Affected ( EA ) ],RawData[[Article ]],A187,RawData[Month List],TEXT($A$4,"mmmm yyyy")))</f>
        <v/>
      </c>
    </row>
    <row r="188" spans="1:6" ht="15.75" x14ac:dyDescent="0.25">
      <c r="A188" s="40"/>
      <c r="B188" s="9" t="str">
        <f>IF(A188="","",INDEX(RawData[Description],MATCH(A188,RawData[[Article ]],0)))</f>
        <v/>
      </c>
      <c r="C188" s="9" t="str">
        <f>IF(A188="","",COUNTIFS(RawData[[Article ]],A188,RawData[Month List],TEXT($A$4,"mmmm yyyy")))</f>
        <v/>
      </c>
      <c r="D188" s="9" t="str">
        <f>IF(A188="","",COUNTIFS(RawData[[Article ]],A188,RawData[[Error Type ]],"Short",RawData[Month List],TEXT($A$4,"mmmm yyyy")))</f>
        <v/>
      </c>
      <c r="E188" s="9" t="str">
        <f>IF(A188="","",COUNTIFS(RawData[[Article ]],A188,RawData[[Error Type ]],"Excess",RawData[Month List],TEXT($A$4, "mmmm yyyy")))</f>
        <v/>
      </c>
      <c r="F188" s="9" t="str">
        <f>IF(A188="","",SUMIFS(RawData[Qyt Affected ( EA ) ],RawData[[Article ]],A188,RawData[Month List],TEXT($A$4,"mmmm yyyy")))</f>
        <v/>
      </c>
    </row>
    <row r="189" spans="1:6" ht="15.75" x14ac:dyDescent="0.25">
      <c r="A189" s="40"/>
      <c r="B189" s="9" t="str">
        <f>IF(A189="","",INDEX(RawData[Description],MATCH(A189,RawData[[Article ]],0)))</f>
        <v/>
      </c>
      <c r="C189" s="9" t="str">
        <f>IF(A189="","",COUNTIFS(RawData[[Article ]],A189,RawData[Month List],TEXT($A$4,"mmmm yyyy")))</f>
        <v/>
      </c>
      <c r="D189" s="9" t="str">
        <f>IF(A189="","",COUNTIFS(RawData[[Article ]],A189,RawData[[Error Type ]],"Short",RawData[Month List],TEXT($A$4,"mmmm yyyy")))</f>
        <v/>
      </c>
      <c r="E189" s="9" t="str">
        <f>IF(A189="","",COUNTIFS(RawData[[Article ]],A189,RawData[[Error Type ]],"Excess",RawData[Month List],TEXT($A$4, "mmmm yyyy")))</f>
        <v/>
      </c>
      <c r="F189" s="9" t="str">
        <f>IF(A189="","",SUMIFS(RawData[Qyt Affected ( EA ) ],RawData[[Article ]],A189,RawData[Month List],TEXT($A$4,"mmmm yyyy")))</f>
        <v/>
      </c>
    </row>
    <row r="190" spans="1:6" ht="15.75" x14ac:dyDescent="0.25">
      <c r="A190" s="40"/>
      <c r="B190" s="9" t="str">
        <f>IF(A190="","",INDEX(RawData[Description],MATCH(A190,RawData[[Article ]],0)))</f>
        <v/>
      </c>
      <c r="C190" s="9" t="str">
        <f>IF(A190="","",COUNTIFS(RawData[[Article ]],A190,RawData[Month List],TEXT($A$4,"mmmm yyyy")))</f>
        <v/>
      </c>
      <c r="D190" s="9" t="str">
        <f>IF(A190="","",COUNTIFS(RawData[[Article ]],A190,RawData[[Error Type ]],"Short",RawData[Month List],TEXT($A$4,"mmmm yyyy")))</f>
        <v/>
      </c>
      <c r="E190" s="9" t="str">
        <f>IF(A190="","",COUNTIFS(RawData[[Article ]],A190,RawData[[Error Type ]],"Excess",RawData[Month List],TEXT($A$4, "mmmm yyyy")))</f>
        <v/>
      </c>
      <c r="F190" s="9" t="str">
        <f>IF(A190="","",SUMIFS(RawData[Qyt Affected ( EA ) ],RawData[[Article ]],A190,RawData[Month List],TEXT($A$4,"mmmm yyyy")))</f>
        <v/>
      </c>
    </row>
    <row r="191" spans="1:6" ht="15.75" x14ac:dyDescent="0.25">
      <c r="A191" s="40"/>
      <c r="B191" s="9" t="str">
        <f>IF(A191="","",INDEX(RawData[Description],MATCH(A191,RawData[[Article ]],0)))</f>
        <v/>
      </c>
      <c r="C191" s="9" t="str">
        <f>IF(A191="","",COUNTIFS(RawData[[Article ]],A191,RawData[Month List],TEXT($A$4,"mmmm yyyy")))</f>
        <v/>
      </c>
      <c r="D191" s="9" t="str">
        <f>IF(A191="","",COUNTIFS(RawData[[Article ]],A191,RawData[[Error Type ]],"Short",RawData[Month List],TEXT($A$4,"mmmm yyyy")))</f>
        <v/>
      </c>
      <c r="E191" s="9" t="str">
        <f>IF(A191="","",COUNTIFS(RawData[[Article ]],A191,RawData[[Error Type ]],"Excess",RawData[Month List],TEXT($A$4, "mmmm yyyy")))</f>
        <v/>
      </c>
      <c r="F191" s="9" t="str">
        <f>IF(A191="","",SUMIFS(RawData[Qyt Affected ( EA ) ],RawData[[Article ]],A191,RawData[Month List],TEXT($A$4,"mmmm yyyy")))</f>
        <v/>
      </c>
    </row>
    <row r="192" spans="1:6" ht="15.75" x14ac:dyDescent="0.25">
      <c r="A192" s="40"/>
      <c r="B192" s="9" t="str">
        <f>IF(A192="","",INDEX(RawData[Description],MATCH(A192,RawData[[Article ]],0)))</f>
        <v/>
      </c>
      <c r="C192" s="9" t="str">
        <f>IF(A192="","",COUNTIFS(RawData[[Article ]],A192,RawData[Month List],TEXT($A$4,"mmmm yyyy")))</f>
        <v/>
      </c>
      <c r="D192" s="9" t="str">
        <f>IF(A192="","",COUNTIFS(RawData[[Article ]],A192,RawData[[Error Type ]],"Short",RawData[Month List],TEXT($A$4,"mmmm yyyy")))</f>
        <v/>
      </c>
      <c r="E192" s="9" t="str">
        <f>IF(A192="","",COUNTIFS(RawData[[Article ]],A192,RawData[[Error Type ]],"Excess",RawData[Month List],TEXT($A$4, "mmmm yyyy")))</f>
        <v/>
      </c>
      <c r="F192" s="9" t="str">
        <f>IF(A192="","",SUMIFS(RawData[Qyt Affected ( EA ) ],RawData[[Article ]],A192,RawData[Month List],TEXT($A$4,"mmmm yyyy")))</f>
        <v/>
      </c>
    </row>
    <row r="193" spans="1:6" ht="15.75" x14ac:dyDescent="0.25">
      <c r="A193" s="40"/>
      <c r="B193" s="9" t="str">
        <f>IF(A193="","",INDEX(RawData[Description],MATCH(A193,RawData[[Article ]],0)))</f>
        <v/>
      </c>
      <c r="C193" s="9" t="str">
        <f>IF(A193="","",COUNTIFS(RawData[[Article ]],A193,RawData[Month List],TEXT($A$4,"mmmm yyyy")))</f>
        <v/>
      </c>
      <c r="D193" s="9" t="str">
        <f>IF(A193="","",COUNTIFS(RawData[[Article ]],A193,RawData[[Error Type ]],"Short",RawData[Month List],TEXT($A$4,"mmmm yyyy")))</f>
        <v/>
      </c>
      <c r="E193" s="9" t="str">
        <f>IF(A193="","",COUNTIFS(RawData[[Article ]],A193,RawData[[Error Type ]],"Excess",RawData[Month List],TEXT($A$4, "mmmm yyyy")))</f>
        <v/>
      </c>
      <c r="F193" s="9" t="str">
        <f>IF(A193="","",SUMIFS(RawData[Qyt Affected ( EA ) ],RawData[[Article ]],A193,RawData[Month List],TEXT($A$4,"mmmm yyyy")))</f>
        <v/>
      </c>
    </row>
    <row r="194" spans="1:6" ht="15.75" x14ac:dyDescent="0.25">
      <c r="A194" s="40"/>
      <c r="B194" s="9" t="str">
        <f>IF(A194="","",INDEX(RawData[Description],MATCH(A194,RawData[[Article ]],0)))</f>
        <v/>
      </c>
      <c r="C194" s="9" t="str">
        <f>IF(A194="","",COUNTIFS(RawData[[Article ]],A194,RawData[Month List],TEXT($A$4,"mmmm yyyy")))</f>
        <v/>
      </c>
      <c r="D194" s="9" t="str">
        <f>IF(A194="","",COUNTIFS(RawData[[Article ]],A194,RawData[[Error Type ]],"Short",RawData[Month List],TEXT($A$4,"mmmm yyyy")))</f>
        <v/>
      </c>
      <c r="E194" s="9" t="str">
        <f>IF(A194="","",COUNTIFS(RawData[[Article ]],A194,RawData[[Error Type ]],"Excess",RawData[Month List],TEXT($A$4, "mmmm yyyy")))</f>
        <v/>
      </c>
      <c r="F194" s="9" t="str">
        <f>IF(A194="","",SUMIFS(RawData[Qyt Affected ( EA ) ],RawData[[Article ]],A194,RawData[Month List],TEXT($A$4,"mmmm yyyy")))</f>
        <v/>
      </c>
    </row>
    <row r="195" spans="1:6" ht="15.75" x14ac:dyDescent="0.25">
      <c r="A195" s="40"/>
      <c r="B195" s="9" t="str">
        <f>IF(A195="","",INDEX(RawData[Description],MATCH(A195,RawData[[Article ]],0)))</f>
        <v/>
      </c>
      <c r="C195" s="9" t="str">
        <f>IF(A195="","",COUNTIFS(RawData[[Article ]],A195,RawData[Month List],TEXT($A$4,"mmmm yyyy")))</f>
        <v/>
      </c>
      <c r="D195" s="9" t="str">
        <f>IF(A195="","",COUNTIFS(RawData[[Article ]],A195,RawData[[Error Type ]],"Short",RawData[Month List],TEXT($A$4,"mmmm yyyy")))</f>
        <v/>
      </c>
      <c r="E195" s="9" t="str">
        <f>IF(A195="","",COUNTIFS(RawData[[Article ]],A195,RawData[[Error Type ]],"Excess",RawData[Month List],TEXT($A$4, "mmmm yyyy")))</f>
        <v/>
      </c>
      <c r="F195" s="9" t="str">
        <f>IF(A195="","",SUMIFS(RawData[Qyt Affected ( EA ) ],RawData[[Article ]],A195,RawData[Month List],TEXT($A$4,"mmmm yyyy")))</f>
        <v/>
      </c>
    </row>
    <row r="196" spans="1:6" ht="15.75" x14ac:dyDescent="0.25">
      <c r="A196" s="40"/>
      <c r="B196" s="9" t="str">
        <f>IF(A196="","",INDEX(RawData[Description],MATCH(A196,RawData[[Article ]],0)))</f>
        <v/>
      </c>
      <c r="C196" s="9" t="str">
        <f>IF(A196="","",COUNTIFS(RawData[[Article ]],A196,RawData[Month List],TEXT($A$4,"mmmm yyyy")))</f>
        <v/>
      </c>
      <c r="D196" s="9" t="str">
        <f>IF(A196="","",COUNTIFS(RawData[[Article ]],A196,RawData[[Error Type ]],"Short",RawData[Month List],TEXT($A$4,"mmmm yyyy")))</f>
        <v/>
      </c>
      <c r="E196" s="9" t="str">
        <f>IF(A196="","",COUNTIFS(RawData[[Article ]],A196,RawData[[Error Type ]],"Excess",RawData[Month List],TEXT($A$4, "mmmm yyyy")))</f>
        <v/>
      </c>
      <c r="F196" s="9" t="str">
        <f>IF(A196="","",SUMIFS(RawData[Qyt Affected ( EA ) ],RawData[[Article ]],A196,RawData[Month List],TEXT($A$4,"mmmm yyyy")))</f>
        <v/>
      </c>
    </row>
    <row r="197" spans="1:6" ht="15.75" x14ac:dyDescent="0.25">
      <c r="A197" s="40"/>
      <c r="B197" s="9" t="str">
        <f>IF(A197="","",INDEX(RawData[Description],MATCH(A197,RawData[[Article ]],0)))</f>
        <v/>
      </c>
      <c r="C197" s="9" t="str">
        <f>IF(A197="","",COUNTIFS(RawData[[Article ]],A197,RawData[Month List],TEXT($A$4,"mmmm yyyy")))</f>
        <v/>
      </c>
      <c r="D197" s="9" t="str">
        <f>IF(A197="","",COUNTIFS(RawData[[Article ]],A197,RawData[[Error Type ]],"Short",RawData[Month List],TEXT($A$4,"mmmm yyyy")))</f>
        <v/>
      </c>
      <c r="E197" s="9" t="str">
        <f>IF(A197="","",COUNTIFS(RawData[[Article ]],A197,RawData[[Error Type ]],"Excess",RawData[Month List],TEXT($A$4, "mmmm yyyy")))</f>
        <v/>
      </c>
      <c r="F197" s="9" t="str">
        <f>IF(A197="","",SUMIFS(RawData[Qyt Affected ( EA ) ],RawData[[Article ]],A197,RawData[Month List],TEXT($A$4,"mmmm yyyy")))</f>
        <v/>
      </c>
    </row>
    <row r="198" spans="1:6" ht="15.75" x14ac:dyDescent="0.25">
      <c r="A198" s="40"/>
      <c r="B198" s="9" t="str">
        <f>IF(A198="","",INDEX(RawData[Description],MATCH(A198,RawData[[Article ]],0)))</f>
        <v/>
      </c>
      <c r="C198" s="9" t="str">
        <f>IF(A198="","",COUNTIFS(RawData[[Article ]],A198,RawData[Month List],TEXT($A$4,"mmmm yyyy")))</f>
        <v/>
      </c>
      <c r="D198" s="9" t="str">
        <f>IF(A198="","",COUNTIFS(RawData[[Article ]],A198,RawData[[Error Type ]],"Short",RawData[Month List],TEXT($A$4,"mmmm yyyy")))</f>
        <v/>
      </c>
      <c r="E198" s="9" t="str">
        <f>IF(A198="","",COUNTIFS(RawData[[Article ]],A198,RawData[[Error Type ]],"Excess",RawData[Month List],TEXT($A$4, "mmmm yyyy")))</f>
        <v/>
      </c>
      <c r="F198" s="9" t="str">
        <f>IF(A198="","",SUMIFS(RawData[Qyt Affected ( EA ) ],RawData[[Article ]],A198,RawData[Month List],TEXT($A$4,"mmmm yyyy")))</f>
        <v/>
      </c>
    </row>
    <row r="199" spans="1:6" ht="15.75" x14ac:dyDescent="0.25">
      <c r="A199" s="40"/>
      <c r="B199" s="9" t="str">
        <f>IF(A199="","",INDEX(RawData[Description],MATCH(A199,RawData[[Article ]],0)))</f>
        <v/>
      </c>
      <c r="C199" s="9" t="str">
        <f>IF(A199="","",COUNTIFS(RawData[[Article ]],A199,RawData[Month List],TEXT($A$4,"mmmm yyyy")))</f>
        <v/>
      </c>
      <c r="D199" s="9" t="str">
        <f>IF(A199="","",COUNTIFS(RawData[[Article ]],A199,RawData[[Error Type ]],"Short",RawData[Month List],TEXT($A$4,"mmmm yyyy")))</f>
        <v/>
      </c>
      <c r="E199" s="9" t="str">
        <f>IF(A199="","",COUNTIFS(RawData[[Article ]],A199,RawData[[Error Type ]],"Excess",RawData[Month List],TEXT($A$4, "mmmm yyyy")))</f>
        <v/>
      </c>
      <c r="F199" s="9" t="str">
        <f>IF(A199="","",SUMIFS(RawData[Qyt Affected ( EA ) ],RawData[[Article ]],A199,RawData[Month List],TEXT($A$4,"mmmm yyyy")))</f>
        <v/>
      </c>
    </row>
    <row r="200" spans="1:6" ht="15.75" x14ac:dyDescent="0.25">
      <c r="A200" s="40"/>
      <c r="B200" s="9" t="str">
        <f>IF(A200="","",INDEX(RawData[Description],MATCH(A200,RawData[[Article ]],0)))</f>
        <v/>
      </c>
      <c r="C200" s="9" t="str">
        <f>IF(A200="","",COUNTIFS(RawData[[Article ]],A200,RawData[Month List],TEXT($A$4,"mmmm yyyy")))</f>
        <v/>
      </c>
      <c r="D200" s="9" t="str">
        <f>IF(A200="","",COUNTIFS(RawData[[Article ]],A200,RawData[[Error Type ]],"Short",RawData[Month List],TEXT($A$4,"mmmm yyyy")))</f>
        <v/>
      </c>
      <c r="E200" s="9" t="str">
        <f>IF(A200="","",COUNTIFS(RawData[[Article ]],A200,RawData[[Error Type ]],"Excess",RawData[Month List],TEXT($A$4, "mmmm yyyy")))</f>
        <v/>
      </c>
      <c r="F200" s="9" t="str">
        <f>IF(A200="","",SUMIFS(RawData[Qyt Affected ( EA ) ],RawData[[Article ]],A200,RawData[Month List],TEXT($A$4,"mmmm yyyy")))</f>
        <v/>
      </c>
    </row>
    <row r="201" spans="1:6" ht="15.75" x14ac:dyDescent="0.25">
      <c r="A201" s="40"/>
      <c r="B201" s="9" t="str">
        <f>IF(A201="","",INDEX(RawData[Description],MATCH(A201,RawData[[Article ]],0)))</f>
        <v/>
      </c>
      <c r="C201" s="9" t="str">
        <f>IF(A201="","",COUNTIFS(RawData[[Article ]],A201,RawData[Month List],TEXT($A$4,"mmmm yyyy")))</f>
        <v/>
      </c>
      <c r="D201" s="9" t="str">
        <f>IF(A201="","",COUNTIFS(RawData[[Article ]],A201,RawData[[Error Type ]],"Short",RawData[Month List],TEXT($A$4,"mmmm yyyy")))</f>
        <v/>
      </c>
      <c r="E201" s="9" t="str">
        <f>IF(A201="","",COUNTIFS(RawData[[Article ]],A201,RawData[[Error Type ]],"Excess",RawData[Month List],TEXT($A$4, "mmmm yyyy")))</f>
        <v/>
      </c>
      <c r="F201" s="9" t="str">
        <f>IF(A201="","",SUMIFS(RawData[Qyt Affected ( EA ) ],RawData[[Article ]],A201,RawData[Month List],TEXT($A$4,"mmmm yyyy")))</f>
        <v/>
      </c>
    </row>
    <row r="202" spans="1:6" ht="15.75" x14ac:dyDescent="0.25">
      <c r="A202" s="40"/>
      <c r="B202" s="9" t="str">
        <f>IF(A202="","",INDEX(RawData[Description],MATCH(A202,RawData[[Article ]],0)))</f>
        <v/>
      </c>
      <c r="C202" s="9" t="str">
        <f>IF(A202="","",COUNTIFS(RawData[[Article ]],A202,RawData[Month List],TEXT($A$4,"mmmm yyyy")))</f>
        <v/>
      </c>
      <c r="D202" s="9" t="str">
        <f>IF(A202="","",COUNTIFS(RawData[[Article ]],A202,RawData[[Error Type ]],"Short",RawData[Month List],TEXT($A$4,"mmmm yyyy")))</f>
        <v/>
      </c>
      <c r="E202" s="9" t="str">
        <f>IF(A202="","",COUNTIFS(RawData[[Article ]],A202,RawData[[Error Type ]],"Excess",RawData[Month List],TEXT($A$4, "mmmm yyyy")))</f>
        <v/>
      </c>
      <c r="F202" s="9" t="str">
        <f>IF(A202="","",SUMIFS(RawData[Qyt Affected ( EA ) ],RawData[[Article ]],A202,RawData[Month List],TEXT($A$4,"mmmm yyyy")))</f>
        <v/>
      </c>
    </row>
    <row r="203" spans="1:6" ht="15.75" x14ac:dyDescent="0.25">
      <c r="A203" s="40"/>
      <c r="B203" s="9" t="str">
        <f>IF(A203="","",INDEX(RawData[Description],MATCH(A203,RawData[[Article ]],0)))</f>
        <v/>
      </c>
      <c r="C203" s="9" t="str">
        <f>IF(A203="","",COUNTIFS(RawData[[Article ]],A203,RawData[Month List],TEXT($A$4,"mmmm yyyy")))</f>
        <v/>
      </c>
      <c r="D203" s="9" t="str">
        <f>IF(A203="","",COUNTIFS(RawData[[Article ]],A203,RawData[[Error Type ]],"Short",RawData[Month List],TEXT($A$4,"mmmm yyyy")))</f>
        <v/>
      </c>
      <c r="E203" s="9" t="str">
        <f>IF(A203="","",COUNTIFS(RawData[[Article ]],A203,RawData[[Error Type ]],"Excess",RawData[Month List],TEXT($A$4, "mmmm yyyy")))</f>
        <v/>
      </c>
      <c r="F203" s="9" t="str">
        <f>IF(A203="","",SUMIFS(RawData[Qyt Affected ( EA ) ],RawData[[Article ]],A203,RawData[Month List],TEXT($A$4,"mmmm yyyy")))</f>
        <v/>
      </c>
    </row>
    <row r="204" spans="1:6" ht="15.75" x14ac:dyDescent="0.25">
      <c r="A204" s="40"/>
      <c r="B204" s="9" t="str">
        <f>IF(A204="","",INDEX(RawData[Description],MATCH(A204,RawData[[Article ]],0)))</f>
        <v/>
      </c>
      <c r="C204" s="9" t="str">
        <f>IF(A204="","",COUNTIFS(RawData[[Article ]],A204,RawData[Month List],TEXT($A$4,"mmmm yyyy")))</f>
        <v/>
      </c>
      <c r="D204" s="9" t="str">
        <f>IF(A204="","",COUNTIFS(RawData[[Article ]],A204,RawData[[Error Type ]],"Short",RawData[Month List],TEXT($A$4,"mmmm yyyy")))</f>
        <v/>
      </c>
      <c r="E204" s="9" t="str">
        <f>IF(A204="","",COUNTIFS(RawData[[Article ]],A204,RawData[[Error Type ]],"Excess",RawData[Month List],TEXT($A$4, "mmmm yyyy")))</f>
        <v/>
      </c>
      <c r="F204" s="9" t="str">
        <f>IF(A204="","",SUMIFS(RawData[Qyt Affected ( EA ) ],RawData[[Article ]],A204,RawData[Month List],TEXT($A$4,"mmmm yyyy")))</f>
        <v/>
      </c>
    </row>
    <row r="205" spans="1:6" ht="15.75" x14ac:dyDescent="0.25">
      <c r="A205" s="40"/>
      <c r="B205" s="9" t="str">
        <f>IF(A205="","",INDEX(RawData[Description],MATCH(A205,RawData[[Article ]],0)))</f>
        <v/>
      </c>
      <c r="C205" s="9" t="str">
        <f>IF(A205="","",COUNTIFS(RawData[[Article ]],A205,RawData[Month List],TEXT($A$4,"mmmm yyyy")))</f>
        <v/>
      </c>
      <c r="D205" s="9" t="str">
        <f>IF(A205="","",COUNTIFS(RawData[[Article ]],A205,RawData[[Error Type ]],"Short",RawData[Month List],TEXT($A$4,"mmmm yyyy")))</f>
        <v/>
      </c>
      <c r="E205" s="9" t="str">
        <f>IF(A205="","",COUNTIFS(RawData[[Article ]],A205,RawData[[Error Type ]],"Excess",RawData[Month List],TEXT($A$4, "mmmm yyyy")))</f>
        <v/>
      </c>
      <c r="F205" s="9" t="str">
        <f>IF(A205="","",SUMIFS(RawData[Qyt Affected ( EA ) ],RawData[[Article ]],A205,RawData[Month List],TEXT($A$4,"mmmm yyyy")))</f>
        <v/>
      </c>
    </row>
    <row r="206" spans="1:6" ht="15.75" x14ac:dyDescent="0.25">
      <c r="A206" s="40"/>
      <c r="B206" s="9" t="str">
        <f>IF(A206="","",INDEX(RawData[Description],MATCH(A206,RawData[[Article ]],0)))</f>
        <v/>
      </c>
      <c r="C206" s="9" t="str">
        <f>IF(A206="","",COUNTIFS(RawData[[Article ]],A206,RawData[Month List],TEXT($A$4,"mmmm yyyy")))</f>
        <v/>
      </c>
      <c r="D206" s="9" t="str">
        <f>IF(A206="","",COUNTIFS(RawData[[Article ]],A206,RawData[[Error Type ]],"Short",RawData[Month List],TEXT($A$4,"mmmm yyyy")))</f>
        <v/>
      </c>
      <c r="E206" s="9" t="str">
        <f>IF(A206="","",COUNTIFS(RawData[[Article ]],A206,RawData[[Error Type ]],"Excess",RawData[Month List],TEXT($A$4, "mmmm yyyy")))</f>
        <v/>
      </c>
      <c r="F206" s="9" t="str">
        <f>IF(A206="","",SUMIFS(RawData[Qyt Affected ( EA ) ],RawData[[Article ]],A206,RawData[Month List],TEXT($A$4,"mmmm yyyy")))</f>
        <v/>
      </c>
    </row>
    <row r="207" spans="1:6" ht="15.75" x14ac:dyDescent="0.25">
      <c r="A207" s="40"/>
      <c r="B207" s="9" t="str">
        <f>IF(A207="","",INDEX(RawData[Description],MATCH(A207,RawData[[Article ]],0)))</f>
        <v/>
      </c>
      <c r="C207" s="9" t="str">
        <f>IF(A207="","",COUNTIFS(RawData[[Article ]],A207,RawData[Month List],TEXT($A$4,"mmmm yyyy")))</f>
        <v/>
      </c>
      <c r="D207" s="9" t="str">
        <f>IF(A207="","",COUNTIFS(RawData[[Article ]],A207,RawData[[Error Type ]],"Short",RawData[Month List],TEXT($A$4,"mmmm yyyy")))</f>
        <v/>
      </c>
      <c r="E207" s="9" t="str">
        <f>IF(A207="","",COUNTIFS(RawData[[Article ]],A207,RawData[[Error Type ]],"Excess",RawData[Month List],TEXT($A$4, "mmmm yyyy")))</f>
        <v/>
      </c>
      <c r="F207" s="9" t="str">
        <f>IF(A207="","",SUMIFS(RawData[Qyt Affected ( EA ) ],RawData[[Article ]],A207,RawData[Month List],TEXT($A$4,"mmmm yyyy")))</f>
        <v/>
      </c>
    </row>
    <row r="208" spans="1:6" ht="15.75" x14ac:dyDescent="0.25">
      <c r="A208" s="40"/>
      <c r="B208" s="9" t="str">
        <f>IF(A208="","",INDEX(RawData[Description],MATCH(A208,RawData[[Article ]],0)))</f>
        <v/>
      </c>
      <c r="C208" s="9" t="str">
        <f>IF(A208="","",COUNTIFS(RawData[[Article ]],A208,RawData[Month List],TEXT($A$4,"mmmm yyyy")))</f>
        <v/>
      </c>
      <c r="D208" s="9" t="str">
        <f>IF(A208="","",COUNTIFS(RawData[[Article ]],A208,RawData[[Error Type ]],"Short",RawData[Month List],TEXT($A$4,"mmmm yyyy")))</f>
        <v/>
      </c>
      <c r="E208" s="9" t="str">
        <f>IF(A208="","",COUNTIFS(RawData[[Article ]],A208,RawData[[Error Type ]],"Excess",RawData[Month List],TEXT($A$4, "mmmm yyyy")))</f>
        <v/>
      </c>
      <c r="F208" s="9" t="str">
        <f>IF(A208="","",SUMIFS(RawData[Qyt Affected ( EA ) ],RawData[[Article ]],A208,RawData[Month List],TEXT($A$4,"mmmm yyyy")))</f>
        <v/>
      </c>
    </row>
    <row r="209" spans="1:6" ht="15.75" x14ac:dyDescent="0.25">
      <c r="A209" s="40"/>
      <c r="B209" s="9" t="str">
        <f>IF(A209="","",INDEX(RawData[Description],MATCH(A209,RawData[[Article ]],0)))</f>
        <v/>
      </c>
      <c r="C209" s="9" t="str">
        <f>IF(A209="","",COUNTIFS(RawData[[Article ]],A209,RawData[Month List],TEXT($A$4,"mmmm yyyy")))</f>
        <v/>
      </c>
      <c r="D209" s="9" t="str">
        <f>IF(A209="","",COUNTIFS(RawData[[Article ]],A209,RawData[[Error Type ]],"Short",RawData[Month List],TEXT($A$4,"mmmm yyyy")))</f>
        <v/>
      </c>
      <c r="E209" s="9" t="str">
        <f>IF(A209="","",COUNTIFS(RawData[[Article ]],A209,RawData[[Error Type ]],"Excess",RawData[Month List],TEXT($A$4, "mmmm yyyy")))</f>
        <v/>
      </c>
      <c r="F209" s="9" t="str">
        <f>IF(A209="","",SUMIFS(RawData[Qyt Affected ( EA ) ],RawData[[Article ]],A209,RawData[Month List],TEXT($A$4,"mmmm yyyy")))</f>
        <v/>
      </c>
    </row>
    <row r="210" spans="1:6" ht="15.75" x14ac:dyDescent="0.25">
      <c r="A210" s="40"/>
      <c r="B210" s="9" t="str">
        <f>IF(A210="","",INDEX(RawData[Description],MATCH(A210,RawData[[Article ]],0)))</f>
        <v/>
      </c>
      <c r="C210" s="9" t="str">
        <f>IF(A210="","",COUNTIFS(RawData[[Article ]],A210,RawData[Month List],TEXT($A$4,"mmmm yyyy")))</f>
        <v/>
      </c>
      <c r="D210" s="9" t="str">
        <f>IF(A210="","",COUNTIFS(RawData[[Article ]],A210,RawData[[Error Type ]],"Short",RawData[Month List],TEXT($A$4,"mmmm yyyy")))</f>
        <v/>
      </c>
      <c r="E210" s="9" t="str">
        <f>IF(A210="","",COUNTIFS(RawData[[Article ]],A210,RawData[[Error Type ]],"Excess",RawData[Month List],TEXT($A$4, "mmmm yyyy")))</f>
        <v/>
      </c>
      <c r="F210" s="9" t="str">
        <f>IF(A210="","",SUMIFS(RawData[Qyt Affected ( EA ) ],RawData[[Article ]],A210,RawData[Month List],TEXT($A$4,"mmmm yyyy")))</f>
        <v/>
      </c>
    </row>
    <row r="211" spans="1:6" ht="15.75" x14ac:dyDescent="0.25">
      <c r="A211" s="40"/>
      <c r="B211" s="9" t="str">
        <f>IF(A211="","",INDEX(RawData[Description],MATCH(A211,RawData[[Article ]],0)))</f>
        <v/>
      </c>
      <c r="C211" s="9" t="str">
        <f>IF(A211="","",COUNTIFS(RawData[[Article ]],A211,RawData[Month List],TEXT($A$4,"mmmm yyyy")))</f>
        <v/>
      </c>
      <c r="D211" s="9" t="str">
        <f>IF(A211="","",COUNTIFS(RawData[[Article ]],A211,RawData[[Error Type ]],"Short",RawData[Month List],TEXT($A$4,"mmmm yyyy")))</f>
        <v/>
      </c>
      <c r="E211" s="9" t="str">
        <f>IF(A211="","",COUNTIFS(RawData[[Article ]],A211,RawData[[Error Type ]],"Excess",RawData[Month List],TEXT($A$4, "mmmm yyyy")))</f>
        <v/>
      </c>
      <c r="F211" s="9" t="str">
        <f>IF(A211="","",SUMIFS(RawData[Qyt Affected ( EA ) ],RawData[[Article ]],A211,RawData[Month List],TEXT($A$4,"mmmm yyyy")))</f>
        <v/>
      </c>
    </row>
    <row r="212" spans="1:6" ht="15.75" x14ac:dyDescent="0.25">
      <c r="A212" s="40"/>
      <c r="B212" s="9" t="str">
        <f>IF(A212="","",INDEX(RawData[Description],MATCH(A212,RawData[[Article ]],0)))</f>
        <v/>
      </c>
      <c r="C212" s="9" t="str">
        <f>IF(A212="","",COUNTIFS(RawData[[Article ]],A212,RawData[Month List],TEXT($A$4,"mmmm yyyy")))</f>
        <v/>
      </c>
      <c r="D212" s="9" t="str">
        <f>IF(A212="","",COUNTIFS(RawData[[Article ]],A212,RawData[[Error Type ]],"Short",RawData[Month List],TEXT($A$4,"mmmm yyyy")))</f>
        <v/>
      </c>
      <c r="E212" s="9" t="str">
        <f>IF(A212="","",COUNTIFS(RawData[[Article ]],A212,RawData[[Error Type ]],"Excess",RawData[Month List],TEXT($A$4, "mmmm yyyy")))</f>
        <v/>
      </c>
      <c r="F212" s="9" t="str">
        <f>IF(A212="","",SUMIFS(RawData[Qyt Affected ( EA ) ],RawData[[Article ]],A212,RawData[Month List],TEXT($A$4,"mmmm yyyy")))</f>
        <v/>
      </c>
    </row>
    <row r="213" spans="1:6" ht="15.75" x14ac:dyDescent="0.25">
      <c r="A213" s="40"/>
      <c r="B213" s="9" t="str">
        <f>IF(A213="","",INDEX(RawData[Description],MATCH(A213,RawData[[Article ]],0)))</f>
        <v/>
      </c>
      <c r="C213" s="9" t="str">
        <f>IF(A213="","",COUNTIFS(RawData[[Article ]],A213,RawData[Month List],TEXT($A$4,"mmmm yyyy")))</f>
        <v/>
      </c>
      <c r="D213" s="9" t="str">
        <f>IF(A213="","",COUNTIFS(RawData[[Article ]],A213,RawData[[Error Type ]],"Short",RawData[Month List],TEXT($A$4,"mmmm yyyy")))</f>
        <v/>
      </c>
      <c r="E213" s="9" t="str">
        <f>IF(A213="","",COUNTIFS(RawData[[Article ]],A213,RawData[[Error Type ]],"Excess",RawData[Month List],TEXT($A$4, "mmmm yyyy")))</f>
        <v/>
      </c>
      <c r="F213" s="9" t="str">
        <f>IF(A213="","",SUMIFS(RawData[Qyt Affected ( EA ) ],RawData[[Article ]],A213,RawData[Month List],TEXT($A$4,"mmmm yyyy")))</f>
        <v/>
      </c>
    </row>
    <row r="214" spans="1:6" ht="15.75" x14ac:dyDescent="0.25">
      <c r="A214" s="40"/>
      <c r="B214" s="9" t="str">
        <f>IF(A214="","",INDEX(RawData[Description],MATCH(A214,RawData[[Article ]],0)))</f>
        <v/>
      </c>
      <c r="C214" s="9" t="str">
        <f>IF(A214="","",COUNTIFS(RawData[[Article ]],A214,RawData[Month List],TEXT($A$4,"mmmm yyyy")))</f>
        <v/>
      </c>
      <c r="D214" s="9" t="str">
        <f>IF(A214="","",COUNTIFS(RawData[[Article ]],A214,RawData[[Error Type ]],"Short",RawData[Month List],TEXT($A$4,"mmmm yyyy")))</f>
        <v/>
      </c>
      <c r="E214" s="9" t="str">
        <f>IF(A214="","",COUNTIFS(RawData[[Article ]],A214,RawData[[Error Type ]],"Excess",RawData[Month List],TEXT($A$4, "mmmm yyyy")))</f>
        <v/>
      </c>
      <c r="F214" s="9" t="str">
        <f>IF(A214="","",SUMIFS(RawData[Qyt Affected ( EA ) ],RawData[[Article ]],A214,RawData[Month List],TEXT($A$4,"mmmm yyyy")))</f>
        <v/>
      </c>
    </row>
    <row r="215" spans="1:6" ht="15.75" x14ac:dyDescent="0.25">
      <c r="A215" s="40"/>
      <c r="B215" s="9" t="str">
        <f>IF(A215="","",INDEX(RawData[Description],MATCH(A215,RawData[[Article ]],0)))</f>
        <v/>
      </c>
      <c r="C215" s="9" t="str">
        <f>IF(A215="","",COUNTIFS(RawData[[Article ]],A215,RawData[Month List],TEXT($A$4,"mmmm yyyy")))</f>
        <v/>
      </c>
      <c r="D215" s="9" t="str">
        <f>IF(A215="","",COUNTIFS(RawData[[Article ]],A215,RawData[[Error Type ]],"Short",RawData[Month List],TEXT($A$4,"mmmm yyyy")))</f>
        <v/>
      </c>
      <c r="E215" s="9" t="str">
        <f>IF(A215="","",COUNTIFS(RawData[[Article ]],A215,RawData[[Error Type ]],"Excess",RawData[Month List],TEXT($A$4, "mmmm yyyy")))</f>
        <v/>
      </c>
      <c r="F215" s="9" t="str">
        <f>IF(A215="","",SUMIFS(RawData[Qyt Affected ( EA ) ],RawData[[Article ]],A215,RawData[Month List],TEXT($A$4,"mmmm yyyy")))</f>
        <v/>
      </c>
    </row>
    <row r="216" spans="1:6" ht="15.75" x14ac:dyDescent="0.25">
      <c r="A216" s="40"/>
      <c r="B216" s="9" t="str">
        <f>IF(A216="","",INDEX(RawData[Description],MATCH(A216,RawData[[Article ]],0)))</f>
        <v/>
      </c>
      <c r="C216" s="9" t="str">
        <f>IF(A216="","",COUNTIFS(RawData[[Article ]],A216,RawData[Month List],TEXT($A$4,"mmmm yyyy")))</f>
        <v/>
      </c>
      <c r="D216" s="9" t="str">
        <f>IF(A216="","",COUNTIFS(RawData[[Article ]],A216,RawData[[Error Type ]],"Short",RawData[Month List],TEXT($A$4,"mmmm yyyy")))</f>
        <v/>
      </c>
      <c r="E216" s="9" t="str">
        <f>IF(A216="","",COUNTIFS(RawData[[Article ]],A216,RawData[[Error Type ]],"Excess",RawData[Month List],TEXT($A$4, "mmmm yyyy")))</f>
        <v/>
      </c>
      <c r="F216" s="9" t="str">
        <f>IF(A216="","",SUMIFS(RawData[Qyt Affected ( EA ) ],RawData[[Article ]],A216,RawData[Month List],TEXT($A$4,"mmmm yyyy")))</f>
        <v/>
      </c>
    </row>
    <row r="217" spans="1:6" ht="15.75" x14ac:dyDescent="0.25">
      <c r="A217" s="40"/>
      <c r="B217" s="9" t="str">
        <f>IF(A217="","",INDEX(RawData[Description],MATCH(A217,RawData[[Article ]],0)))</f>
        <v/>
      </c>
      <c r="C217" s="9" t="str">
        <f>IF(A217="","",COUNTIFS(RawData[[Article ]],A217,RawData[Month List],TEXT($A$4,"mmmm yyyy")))</f>
        <v/>
      </c>
      <c r="D217" s="9" t="str">
        <f>IF(A217="","",COUNTIFS(RawData[[Article ]],A217,RawData[[Error Type ]],"Short",RawData[Month List],TEXT($A$4,"mmmm yyyy")))</f>
        <v/>
      </c>
      <c r="E217" s="9" t="str">
        <f>IF(A217="","",COUNTIFS(RawData[[Article ]],A217,RawData[[Error Type ]],"Excess",RawData[Month List],TEXT($A$4, "mmmm yyyy")))</f>
        <v/>
      </c>
      <c r="F217" s="9" t="str">
        <f>IF(A217="","",SUMIFS(RawData[Qyt Affected ( EA ) ],RawData[[Article ]],A217,RawData[Month List],TEXT($A$4,"mmmm yyyy")))</f>
        <v/>
      </c>
    </row>
    <row r="218" spans="1:6" ht="15.75" x14ac:dyDescent="0.25">
      <c r="A218" s="40"/>
      <c r="B218" s="9" t="str">
        <f>IF(A218="","",INDEX(RawData[Description],MATCH(A218,RawData[[Article ]],0)))</f>
        <v/>
      </c>
      <c r="C218" s="9" t="str">
        <f>IF(A218="","",COUNTIFS(RawData[[Article ]],A218,RawData[Month List],TEXT($A$4,"mmmm yyyy")))</f>
        <v/>
      </c>
      <c r="D218" s="9" t="str">
        <f>IF(A218="","",COUNTIFS(RawData[[Article ]],A218,RawData[[Error Type ]],"Short",RawData[Month List],TEXT($A$4,"mmmm yyyy")))</f>
        <v/>
      </c>
      <c r="E218" s="9" t="str">
        <f>IF(A218="","",COUNTIFS(RawData[[Article ]],A218,RawData[[Error Type ]],"Excess",RawData[Month List],TEXT($A$4, "mmmm yyyy")))</f>
        <v/>
      </c>
      <c r="F218" s="9" t="str">
        <f>IF(A218="","",SUMIFS(RawData[Qyt Affected ( EA ) ],RawData[[Article ]],A218,RawData[Month List],TEXT($A$4,"mmmm yyyy")))</f>
        <v/>
      </c>
    </row>
    <row r="219" spans="1:6" ht="15.75" x14ac:dyDescent="0.25">
      <c r="A219" s="40"/>
      <c r="B219" s="9" t="str">
        <f>IF(A219="","",INDEX(RawData[Description],MATCH(A219,RawData[[Article ]],0)))</f>
        <v/>
      </c>
      <c r="C219" s="9" t="str">
        <f>IF(A219="","",COUNTIFS(RawData[[Article ]],A219,RawData[Month List],TEXT($A$4,"mmmm yyyy")))</f>
        <v/>
      </c>
      <c r="D219" s="9" t="str">
        <f>IF(A219="","",COUNTIFS(RawData[[Article ]],A219,RawData[[Error Type ]],"Short",RawData[Month List],TEXT($A$4,"mmmm yyyy")))</f>
        <v/>
      </c>
      <c r="E219" s="9" t="str">
        <f>IF(A219="","",COUNTIFS(RawData[[Article ]],A219,RawData[[Error Type ]],"Excess",RawData[Month List],TEXT($A$4, "mmmm yyyy")))</f>
        <v/>
      </c>
      <c r="F219" s="9" t="str">
        <f>IF(A219="","",SUMIFS(RawData[Qyt Affected ( EA ) ],RawData[[Article ]],A219,RawData[Month List],TEXT($A$4,"mmmm yyyy")))</f>
        <v/>
      </c>
    </row>
    <row r="220" spans="1:6" ht="15.75" x14ac:dyDescent="0.25">
      <c r="A220" s="40"/>
      <c r="B220" s="9" t="str">
        <f>IF(A220="","",INDEX(RawData[Description],MATCH(A220,RawData[[Article ]],0)))</f>
        <v/>
      </c>
      <c r="C220" s="9" t="str">
        <f>IF(A220="","",COUNTIFS(RawData[[Article ]],A220,RawData[Month List],TEXT($A$4,"mmmm yyyy")))</f>
        <v/>
      </c>
      <c r="D220" s="9" t="str">
        <f>IF(A220="","",COUNTIFS(RawData[[Article ]],A220,RawData[[Error Type ]],"Short",RawData[Month List],TEXT($A$4,"mmmm yyyy")))</f>
        <v/>
      </c>
      <c r="E220" s="9" t="str">
        <f>IF(A220="","",COUNTIFS(RawData[[Article ]],A220,RawData[[Error Type ]],"Excess",RawData[Month List],TEXT($A$4, "mmmm yyyy")))</f>
        <v/>
      </c>
      <c r="F220" s="9" t="str">
        <f>IF(A220="","",SUMIFS(RawData[Qyt Affected ( EA ) ],RawData[[Article ]],A220,RawData[Month List],TEXT($A$4,"mmmm yyyy")))</f>
        <v/>
      </c>
    </row>
    <row r="221" spans="1:6" ht="15.75" x14ac:dyDescent="0.25">
      <c r="A221" s="40"/>
      <c r="B221" s="9" t="str">
        <f>IF(A221="","",INDEX(RawData[Description],MATCH(A221,RawData[[Article ]],0)))</f>
        <v/>
      </c>
      <c r="C221" s="9" t="str">
        <f>IF(A221="","",COUNTIFS(RawData[[Article ]],A221,RawData[Month List],TEXT($A$4,"mmmm yyyy")))</f>
        <v/>
      </c>
      <c r="D221" s="9" t="str">
        <f>IF(A221="","",COUNTIFS(RawData[[Article ]],A221,RawData[[Error Type ]],"Short",RawData[Month List],TEXT($A$4,"mmmm yyyy")))</f>
        <v/>
      </c>
      <c r="E221" s="9" t="str">
        <f>IF(A221="","",COUNTIFS(RawData[[Article ]],A221,RawData[[Error Type ]],"Excess",RawData[Month List],TEXT($A$4, "mmmm yyyy")))</f>
        <v/>
      </c>
      <c r="F221" s="9" t="str">
        <f>IF(A221="","",SUMIFS(RawData[Qyt Affected ( EA ) ],RawData[[Article ]],A221,RawData[Month List],TEXT($A$4,"mmmm yyyy")))</f>
        <v/>
      </c>
    </row>
    <row r="222" spans="1:6" ht="15.75" x14ac:dyDescent="0.25">
      <c r="A222" s="40"/>
      <c r="B222" s="9" t="str">
        <f>IF(A222="","",INDEX(RawData[Description],MATCH(A222,RawData[[Article ]],0)))</f>
        <v/>
      </c>
      <c r="C222" s="9" t="str">
        <f>IF(A222="","",COUNTIFS(RawData[[Article ]],A222,RawData[Month List],TEXT($A$4,"mmmm yyyy")))</f>
        <v/>
      </c>
      <c r="D222" s="9" t="str">
        <f>IF(A222="","",COUNTIFS(RawData[[Article ]],A222,RawData[[Error Type ]],"Short",RawData[Month List],TEXT($A$4,"mmmm yyyy")))</f>
        <v/>
      </c>
      <c r="E222" s="9" t="str">
        <f>IF(A222="","",COUNTIFS(RawData[[Article ]],A222,RawData[[Error Type ]],"Excess",RawData[Month List],TEXT($A$4, "mmmm yyyy")))</f>
        <v/>
      </c>
      <c r="F222" s="9" t="str">
        <f>IF(A222="","",SUMIFS(RawData[Qyt Affected ( EA ) ],RawData[[Article ]],A222,RawData[Month List],TEXT($A$4,"mmmm yyyy")))</f>
        <v/>
      </c>
    </row>
    <row r="223" spans="1:6" ht="15.75" x14ac:dyDescent="0.25">
      <c r="A223" s="40"/>
      <c r="B223" s="9" t="str">
        <f>IF(A223="","",INDEX(RawData[Description],MATCH(A223,RawData[[Article ]],0)))</f>
        <v/>
      </c>
      <c r="C223" s="9" t="str">
        <f>IF(A223="","",COUNTIFS(RawData[[Article ]],A223,RawData[Month List],TEXT($A$4,"mmmm yyyy")))</f>
        <v/>
      </c>
      <c r="D223" s="9" t="str">
        <f>IF(A223="","",COUNTIFS(RawData[[Article ]],A223,RawData[[Error Type ]],"Short",RawData[Month List],TEXT($A$4,"mmmm yyyy")))</f>
        <v/>
      </c>
      <c r="E223" s="9" t="str">
        <f>IF(A223="","",COUNTIFS(RawData[[Article ]],A223,RawData[[Error Type ]],"Excess",RawData[Month List],TEXT($A$4, "mmmm yyyy")))</f>
        <v/>
      </c>
      <c r="F223" s="9" t="str">
        <f>IF(A223="","",SUMIFS(RawData[Qyt Affected ( EA ) ],RawData[[Article ]],A223,RawData[Month List],TEXT($A$4,"mmmm yyyy")))</f>
        <v/>
      </c>
    </row>
    <row r="224" spans="1:6" ht="15.75" x14ac:dyDescent="0.25">
      <c r="A224" s="40"/>
      <c r="B224" s="9" t="str">
        <f>IF(A224="","",INDEX(RawData[Description],MATCH(A224,RawData[[Article ]],0)))</f>
        <v/>
      </c>
      <c r="C224" s="9" t="str">
        <f>IF(A224="","",COUNTIFS(RawData[[Article ]],A224,RawData[Month List],TEXT($A$4,"mmmm yyyy")))</f>
        <v/>
      </c>
      <c r="D224" s="9" t="str">
        <f>IF(A224="","",COUNTIFS(RawData[[Article ]],A224,RawData[[Error Type ]],"Short",RawData[Month List],TEXT($A$4,"mmmm yyyy")))</f>
        <v/>
      </c>
      <c r="E224" s="9" t="str">
        <f>IF(A224="","",COUNTIFS(RawData[[Article ]],A224,RawData[[Error Type ]],"Excess",RawData[Month List],TEXT($A$4, "mmmm yyyy")))</f>
        <v/>
      </c>
      <c r="F224" s="9" t="str">
        <f>IF(A224="","",SUMIFS(RawData[Qyt Affected ( EA ) ],RawData[[Article ]],A224,RawData[Month List],TEXT($A$4,"mmmm yyyy")))</f>
        <v/>
      </c>
    </row>
    <row r="225" spans="1:6" ht="15.75" x14ac:dyDescent="0.25">
      <c r="A225" s="40"/>
      <c r="B225" s="9" t="str">
        <f>IF(A225="","",INDEX(RawData[Description],MATCH(A225,RawData[[Article ]],0)))</f>
        <v/>
      </c>
      <c r="C225" s="9" t="str">
        <f>IF(A225="","",COUNTIFS(RawData[[Article ]],A225,RawData[Month List],TEXT($A$4,"mmmm yyyy")))</f>
        <v/>
      </c>
      <c r="D225" s="9" t="str">
        <f>IF(A225="","",COUNTIFS(RawData[[Article ]],A225,RawData[[Error Type ]],"Short",RawData[Month List],TEXT($A$4,"mmmm yyyy")))</f>
        <v/>
      </c>
      <c r="E225" s="9" t="str">
        <f>IF(A225="","",COUNTIFS(RawData[[Article ]],A225,RawData[[Error Type ]],"Excess",RawData[Month List],TEXT($A$4, "mmmm yyyy")))</f>
        <v/>
      </c>
      <c r="F225" s="9" t="str">
        <f>IF(A225="","",SUMIFS(RawData[Qyt Affected ( EA ) ],RawData[[Article ]],A225,RawData[Month List],TEXT($A$4,"mmmm yyyy")))</f>
        <v/>
      </c>
    </row>
    <row r="226" spans="1:6" ht="15.75" x14ac:dyDescent="0.25">
      <c r="A226" s="40"/>
      <c r="B226" s="9" t="str">
        <f>IF(A226="","",INDEX(RawData[Description],MATCH(A226,RawData[[Article ]],0)))</f>
        <v/>
      </c>
      <c r="C226" s="9" t="str">
        <f>IF(A226="","",COUNTIFS(RawData[[Article ]],A226,RawData[Month List],TEXT($A$4,"mmmm yyyy")))</f>
        <v/>
      </c>
      <c r="D226" s="9" t="str">
        <f>IF(A226="","",COUNTIFS(RawData[[Article ]],A226,RawData[[Error Type ]],"Short",RawData[Month List],TEXT($A$4,"mmmm yyyy")))</f>
        <v/>
      </c>
      <c r="E226" s="9" t="str">
        <f>IF(A226="","",COUNTIFS(RawData[[Article ]],A226,RawData[[Error Type ]],"Excess",RawData[Month List],TEXT($A$4, "mmmm yyyy")))</f>
        <v/>
      </c>
      <c r="F226" s="9" t="str">
        <f>IF(A226="","",SUMIFS(RawData[Qyt Affected ( EA ) ],RawData[[Article ]],A226,RawData[Month List],TEXT($A$4,"mmmm yyyy")))</f>
        <v/>
      </c>
    </row>
    <row r="227" spans="1:6" ht="15.75" x14ac:dyDescent="0.25">
      <c r="A227" s="40"/>
      <c r="B227" s="9" t="str">
        <f>IF(A227="","",INDEX(RawData[Description],MATCH(A227,RawData[[Article ]],0)))</f>
        <v/>
      </c>
      <c r="C227" s="9" t="str">
        <f>IF(A227="","",COUNTIFS(RawData[[Article ]],A227,RawData[Month List],TEXT($A$4,"mmmm yyyy")))</f>
        <v/>
      </c>
      <c r="D227" s="9" t="str">
        <f>IF(A227="","",COUNTIFS(RawData[[Article ]],A227,RawData[[Error Type ]],"Short",RawData[Month List],TEXT($A$4,"mmmm yyyy")))</f>
        <v/>
      </c>
      <c r="E227" s="9" t="str">
        <f>IF(A227="","",COUNTIFS(RawData[[Article ]],A227,RawData[[Error Type ]],"Excess",RawData[Month List],TEXT($A$4, "mmmm yyyy")))</f>
        <v/>
      </c>
      <c r="F227" s="9" t="str">
        <f>IF(A227="","",SUMIFS(RawData[Qyt Affected ( EA ) ],RawData[[Article ]],A227,RawData[Month List],TEXT($A$4,"mmmm yyyy")))</f>
        <v/>
      </c>
    </row>
    <row r="228" spans="1:6" ht="15.75" x14ac:dyDescent="0.25">
      <c r="A228" s="40"/>
      <c r="B228" s="9" t="str">
        <f>IF(A228="","",INDEX(RawData[Description],MATCH(A228,RawData[[Article ]],0)))</f>
        <v/>
      </c>
      <c r="C228" s="9" t="str">
        <f>IF(A228="","",COUNTIFS(RawData[[Article ]],A228,RawData[Month List],TEXT($A$4,"mmmm yyyy")))</f>
        <v/>
      </c>
      <c r="D228" s="9" t="str">
        <f>IF(A228="","",COUNTIFS(RawData[[Article ]],A228,RawData[[Error Type ]],"Short",RawData[Month List],TEXT($A$4,"mmmm yyyy")))</f>
        <v/>
      </c>
      <c r="E228" s="9" t="str">
        <f>IF(A228="","",COUNTIFS(RawData[[Article ]],A228,RawData[[Error Type ]],"Excess",RawData[Month List],TEXT($A$4, "mmmm yyyy")))</f>
        <v/>
      </c>
      <c r="F228" s="9" t="str">
        <f>IF(A228="","",SUMIFS(RawData[Qyt Affected ( EA ) ],RawData[[Article ]],A228,RawData[Month List],TEXT($A$4,"mmmm yyyy")))</f>
        <v/>
      </c>
    </row>
    <row r="229" spans="1:6" ht="15.75" x14ac:dyDescent="0.25">
      <c r="A229" s="40"/>
      <c r="B229" s="9" t="str">
        <f>IF(A229="","",INDEX(RawData[Description],MATCH(A229,RawData[[Article ]],0)))</f>
        <v/>
      </c>
      <c r="C229" s="9" t="str">
        <f>IF(A229="","",COUNTIFS(RawData[[Article ]],A229,RawData[Month List],TEXT($A$4,"mmmm yyyy")))</f>
        <v/>
      </c>
      <c r="D229" s="9" t="str">
        <f>IF(A229="","",COUNTIFS(RawData[[Article ]],A229,RawData[[Error Type ]],"Short",RawData[Month List],TEXT($A$4,"mmmm yyyy")))</f>
        <v/>
      </c>
      <c r="E229" s="9" t="str">
        <f>IF(A229="","",COUNTIFS(RawData[[Article ]],A229,RawData[[Error Type ]],"Excess",RawData[Month List],TEXT($A$4, "mmmm yyyy")))</f>
        <v/>
      </c>
      <c r="F229" s="9" t="str">
        <f>IF(A229="","",SUMIFS(RawData[Qyt Affected ( EA ) ],RawData[[Article ]],A229,RawData[Month List],TEXT($A$4,"mmmm yyyy")))</f>
        <v/>
      </c>
    </row>
    <row r="230" spans="1:6" ht="15.75" x14ac:dyDescent="0.25">
      <c r="A230" s="40"/>
      <c r="B230" s="9" t="str">
        <f>IF(A230="","",INDEX(RawData[Description],MATCH(A230,RawData[[Article ]],0)))</f>
        <v/>
      </c>
      <c r="C230" s="9" t="str">
        <f>IF(A230="","",COUNTIFS(RawData[[Article ]],A230,RawData[Month List],TEXT($A$4,"mmmm yyyy")))</f>
        <v/>
      </c>
      <c r="D230" s="9" t="str">
        <f>IF(A230="","",COUNTIFS(RawData[[Article ]],A230,RawData[[Error Type ]],"Short",RawData[Month List],TEXT($A$4,"mmmm yyyy")))</f>
        <v/>
      </c>
      <c r="E230" s="9" t="str">
        <f>IF(A230="","",COUNTIFS(RawData[[Article ]],A230,RawData[[Error Type ]],"Excess",RawData[Month List],TEXT($A$4, "mmmm yyyy")))</f>
        <v/>
      </c>
      <c r="F230" s="9" t="str">
        <f>IF(A230="","",SUMIFS(RawData[Qyt Affected ( EA ) ],RawData[[Article ]],A230,RawData[Month List],TEXT($A$4,"mmmm yyyy")))</f>
        <v/>
      </c>
    </row>
    <row r="231" spans="1:6" ht="15.75" x14ac:dyDescent="0.25">
      <c r="A231" s="40"/>
      <c r="B231" s="9" t="str">
        <f>IF(A231="","",INDEX(RawData[Description],MATCH(A231,RawData[[Article ]],0)))</f>
        <v/>
      </c>
      <c r="C231" s="9" t="str">
        <f>IF(A231="","",COUNTIFS(RawData[[Article ]],A231,RawData[Month List],TEXT($A$4,"mmmm yyyy")))</f>
        <v/>
      </c>
      <c r="D231" s="9" t="str">
        <f>IF(A231="","",COUNTIFS(RawData[[Article ]],A231,RawData[[Error Type ]],"Short",RawData[Month List],TEXT($A$4,"mmmm yyyy")))</f>
        <v/>
      </c>
      <c r="E231" s="9" t="str">
        <f>IF(A231="","",COUNTIFS(RawData[[Article ]],A231,RawData[[Error Type ]],"Excess",RawData[Month List],TEXT($A$4, "mmmm yyyy")))</f>
        <v/>
      </c>
      <c r="F231" s="9" t="str">
        <f>IF(A231="","",SUMIFS(RawData[Qyt Affected ( EA ) ],RawData[[Article ]],A231,RawData[Month List],TEXT($A$4,"mmmm yyyy")))</f>
        <v/>
      </c>
    </row>
    <row r="232" spans="1:6" ht="15.75" x14ac:dyDescent="0.25">
      <c r="A232" s="40"/>
      <c r="B232" s="9" t="str">
        <f>IF(A232="","",INDEX(RawData[Description],MATCH(A232,RawData[[Article ]],0)))</f>
        <v/>
      </c>
      <c r="C232" s="9" t="str">
        <f>IF(A232="","",COUNTIFS(RawData[[Article ]],A232,RawData[Month List],TEXT($A$4,"mmmm yyyy")))</f>
        <v/>
      </c>
      <c r="D232" s="9" t="str">
        <f>IF(A232="","",COUNTIFS(RawData[[Article ]],A232,RawData[[Error Type ]],"Short",RawData[Month List],TEXT($A$4,"mmmm yyyy")))</f>
        <v/>
      </c>
      <c r="E232" s="9" t="str">
        <f>IF(A232="","",COUNTIFS(RawData[[Article ]],A232,RawData[[Error Type ]],"Excess",RawData[Month List],TEXT($A$4, "mmmm yyyy")))</f>
        <v/>
      </c>
      <c r="F232" s="9" t="str">
        <f>IF(A232="","",SUMIFS(RawData[Qyt Affected ( EA ) ],RawData[[Article ]],A232,RawData[Month List],TEXT($A$4,"mmmm yyyy")))</f>
        <v/>
      </c>
    </row>
    <row r="233" spans="1:6" ht="15.75" x14ac:dyDescent="0.25">
      <c r="A233" s="40"/>
      <c r="B233" s="9" t="str">
        <f>IF(A233="","",INDEX(RawData[Description],MATCH(A233,RawData[[Article ]],0)))</f>
        <v/>
      </c>
      <c r="C233" s="9" t="str">
        <f>IF(A233="","",COUNTIFS(RawData[[Article ]],A233,RawData[Month List],TEXT($A$4,"mmmm yyyy")))</f>
        <v/>
      </c>
      <c r="D233" s="9" t="str">
        <f>IF(A233="","",COUNTIFS(RawData[[Article ]],A233,RawData[[Error Type ]],"Short",RawData[Month List],TEXT($A$4,"mmmm yyyy")))</f>
        <v/>
      </c>
      <c r="E233" s="9" t="str">
        <f>IF(A233="","",COUNTIFS(RawData[[Article ]],A233,RawData[[Error Type ]],"Excess",RawData[Month List],TEXT($A$4, "mmmm yyyy")))</f>
        <v/>
      </c>
      <c r="F233" s="9" t="str">
        <f>IF(A233="","",SUMIFS(RawData[Qyt Affected ( EA ) ],RawData[[Article ]],A233,RawData[Month List],TEXT($A$4,"mmmm yyyy")))</f>
        <v/>
      </c>
    </row>
    <row r="234" spans="1:6" ht="15.75" x14ac:dyDescent="0.25">
      <c r="A234" s="40"/>
      <c r="B234" s="9" t="str">
        <f>IF(A234="","",INDEX(RawData[Description],MATCH(A234,RawData[[Article ]],0)))</f>
        <v/>
      </c>
      <c r="C234" s="9" t="str">
        <f>IF(A234="","",COUNTIFS(RawData[[Article ]],A234,RawData[Month List],TEXT($A$4,"mmmm yyyy")))</f>
        <v/>
      </c>
      <c r="D234" s="9" t="str">
        <f>IF(A234="","",COUNTIFS(RawData[[Article ]],A234,RawData[[Error Type ]],"Short",RawData[Month List],TEXT($A$4,"mmmm yyyy")))</f>
        <v/>
      </c>
      <c r="E234" s="9" t="str">
        <f>IF(A234="","",COUNTIFS(RawData[[Article ]],A234,RawData[[Error Type ]],"Excess",RawData[Month List],TEXT($A$4, "mmmm yyyy")))</f>
        <v/>
      </c>
      <c r="F234" s="9" t="str">
        <f>IF(A234="","",SUMIFS(RawData[Qyt Affected ( EA ) ],RawData[[Article ]],A234,RawData[Month List],TEXT($A$4,"mmmm yyyy")))</f>
        <v/>
      </c>
    </row>
    <row r="235" spans="1:6" ht="15.75" x14ac:dyDescent="0.25">
      <c r="A235" s="40"/>
      <c r="B235" s="9" t="str">
        <f>IF(A235="","",INDEX(RawData[Description],MATCH(A235,RawData[[Article ]],0)))</f>
        <v/>
      </c>
      <c r="C235" s="9" t="str">
        <f>IF(A235="","",COUNTIFS(RawData[[Article ]],A235,RawData[Month List],TEXT($A$4,"mmmm yyyy")))</f>
        <v/>
      </c>
      <c r="D235" s="9" t="str">
        <f>IF(A235="","",COUNTIFS(RawData[[Article ]],A235,RawData[[Error Type ]],"Short",RawData[Month List],TEXT($A$4,"mmmm yyyy")))</f>
        <v/>
      </c>
      <c r="E235" s="9" t="str">
        <f>IF(A235="","",COUNTIFS(RawData[[Article ]],A235,RawData[[Error Type ]],"Excess",RawData[Month List],TEXT($A$4, "mmmm yyyy")))</f>
        <v/>
      </c>
      <c r="F235" s="9" t="str">
        <f>IF(A235="","",SUMIFS(RawData[Qyt Affected ( EA ) ],RawData[[Article ]],A235,RawData[Month List],TEXT($A$4,"mmmm yyyy")))</f>
        <v/>
      </c>
    </row>
    <row r="236" spans="1:6" ht="15.75" x14ac:dyDescent="0.25">
      <c r="A236" s="40"/>
      <c r="B236" s="9" t="str">
        <f>IF(A236="","",INDEX(RawData[Description],MATCH(A236,RawData[[Article ]],0)))</f>
        <v/>
      </c>
      <c r="C236" s="9" t="str">
        <f>IF(A236="","",COUNTIFS(RawData[[Article ]],A236,RawData[Month List],TEXT($A$4,"mmmm yyyy")))</f>
        <v/>
      </c>
      <c r="D236" s="9" t="str">
        <f>IF(A236="","",COUNTIFS(RawData[[Article ]],A236,RawData[[Error Type ]],"Short",RawData[Month List],TEXT($A$4,"mmmm yyyy")))</f>
        <v/>
      </c>
      <c r="E236" s="9" t="str">
        <f>IF(A236="","",COUNTIFS(RawData[[Article ]],A236,RawData[[Error Type ]],"Excess",RawData[Month List],TEXT($A$4, "mmmm yyyy")))</f>
        <v/>
      </c>
      <c r="F236" s="9" t="str">
        <f>IF(A236="","",SUMIFS(RawData[Qyt Affected ( EA ) ],RawData[[Article ]],A236,RawData[Month List],TEXT($A$4,"mmmm yyyy")))</f>
        <v/>
      </c>
    </row>
    <row r="237" spans="1:6" ht="15.75" x14ac:dyDescent="0.25">
      <c r="A237" s="40"/>
      <c r="B237" s="9" t="str">
        <f>IF(A237="","",INDEX(RawData[Description],MATCH(A237,RawData[[Article ]],0)))</f>
        <v/>
      </c>
      <c r="C237" s="9" t="str">
        <f>IF(A237="","",COUNTIFS(RawData[[Article ]],A237,RawData[Month List],TEXT($A$4,"mmmm yyyy")))</f>
        <v/>
      </c>
      <c r="D237" s="9" t="str">
        <f>IF(A237="","",COUNTIFS(RawData[[Article ]],A237,RawData[[Error Type ]],"Short",RawData[Month List],TEXT($A$4,"mmmm yyyy")))</f>
        <v/>
      </c>
      <c r="E237" s="9" t="str">
        <f>IF(A237="","",COUNTIFS(RawData[[Article ]],A237,RawData[[Error Type ]],"Excess",RawData[Month List],TEXT($A$4, "mmmm yyyy")))</f>
        <v/>
      </c>
      <c r="F237" s="9" t="str">
        <f>IF(A237="","",SUMIFS(RawData[Qyt Affected ( EA ) ],RawData[[Article ]],A237,RawData[Month List],TEXT($A$4,"mmmm yyyy")))</f>
        <v/>
      </c>
    </row>
    <row r="238" spans="1:6" ht="15.75" x14ac:dyDescent="0.25">
      <c r="A238" s="40"/>
      <c r="B238" s="9" t="str">
        <f>IF(A238="","",INDEX(RawData[Description],MATCH(A238,RawData[[Article ]],0)))</f>
        <v/>
      </c>
      <c r="C238" s="9" t="str">
        <f>IF(A238="","",COUNTIFS(RawData[[Article ]],A238,RawData[Month List],TEXT($A$4,"mmmm yyyy")))</f>
        <v/>
      </c>
      <c r="D238" s="9" t="str">
        <f>IF(A238="","",COUNTIFS(RawData[[Article ]],A238,RawData[[Error Type ]],"Short",RawData[Month List],TEXT($A$4,"mmmm yyyy")))</f>
        <v/>
      </c>
      <c r="E238" s="9" t="str">
        <f>IF(A238="","",COUNTIFS(RawData[[Article ]],A238,RawData[[Error Type ]],"Excess",RawData[Month List],TEXT($A$4, "mmmm yyyy")))</f>
        <v/>
      </c>
      <c r="F238" s="9" t="str">
        <f>IF(A238="","",SUMIFS(RawData[Qyt Affected ( EA ) ],RawData[[Article ]],A238,RawData[Month List],TEXT($A$4,"mmmm yyyy")))</f>
        <v/>
      </c>
    </row>
    <row r="239" spans="1:6" ht="15.75" x14ac:dyDescent="0.25">
      <c r="A239" s="40"/>
      <c r="B239" s="9" t="str">
        <f>IF(A239="","",INDEX(RawData[Description],MATCH(A239,RawData[[Article ]],0)))</f>
        <v/>
      </c>
      <c r="C239" s="9" t="str">
        <f>IF(A239="","",COUNTIFS(RawData[[Article ]],A239,RawData[Month List],TEXT($A$4,"mmmm yyyy")))</f>
        <v/>
      </c>
      <c r="D239" s="9" t="str">
        <f>IF(A239="","",COUNTIFS(RawData[[Article ]],A239,RawData[[Error Type ]],"Short",RawData[Month List],TEXT($A$4,"mmmm yyyy")))</f>
        <v/>
      </c>
      <c r="E239" s="9" t="str">
        <f>IF(A239="","",COUNTIFS(RawData[[Article ]],A239,RawData[[Error Type ]],"Excess",RawData[Month List],TEXT($A$4, "mmmm yyyy")))</f>
        <v/>
      </c>
      <c r="F239" s="9" t="str">
        <f>IF(A239="","",SUMIFS(RawData[Qyt Affected ( EA ) ],RawData[[Article ]],A239,RawData[Month List],TEXT($A$4,"mmmm yyyy")))</f>
        <v/>
      </c>
    </row>
    <row r="240" spans="1:6" ht="15.75" x14ac:dyDescent="0.25">
      <c r="A240" s="40"/>
      <c r="B240" s="9" t="str">
        <f>IF(A240="","",INDEX(RawData[Description],MATCH(A240,RawData[[Article ]],0)))</f>
        <v/>
      </c>
      <c r="C240" s="9" t="str">
        <f>IF(A240="","",COUNTIFS(RawData[[Article ]],A240,RawData[Month List],TEXT($A$4,"mmmm yyyy")))</f>
        <v/>
      </c>
      <c r="D240" s="9" t="str">
        <f>IF(A240="","",COUNTIFS(RawData[[Article ]],A240,RawData[[Error Type ]],"Short",RawData[Month List],TEXT($A$4,"mmmm yyyy")))</f>
        <v/>
      </c>
      <c r="E240" s="9" t="str">
        <f>IF(A240="","",COUNTIFS(RawData[[Article ]],A240,RawData[[Error Type ]],"Excess",RawData[Month List],TEXT($A$4, "mmmm yyyy")))</f>
        <v/>
      </c>
      <c r="F240" s="9" t="str">
        <f>IF(A240="","",SUMIFS(RawData[Qyt Affected ( EA ) ],RawData[[Article ]],A240,RawData[Month List],TEXT($A$4,"mmmm yyyy")))</f>
        <v/>
      </c>
    </row>
    <row r="241" spans="1:6" ht="15.75" x14ac:dyDescent="0.25">
      <c r="A241" s="40"/>
      <c r="B241" s="9" t="str">
        <f>IF(A241="","",INDEX(RawData[Description],MATCH(A241,RawData[[Article ]],0)))</f>
        <v/>
      </c>
      <c r="C241" s="9" t="str">
        <f>IF(A241="","",COUNTIFS(RawData[[Article ]],A241,RawData[Month List],TEXT($A$4,"mmmm yyyy")))</f>
        <v/>
      </c>
      <c r="D241" s="9" t="str">
        <f>IF(A241="","",COUNTIFS(RawData[[Article ]],A241,RawData[[Error Type ]],"Short",RawData[Month List],TEXT($A$4,"mmmm yyyy")))</f>
        <v/>
      </c>
      <c r="E241" s="9" t="str">
        <f>IF(A241="","",COUNTIFS(RawData[[Article ]],A241,RawData[[Error Type ]],"Excess",RawData[Month List],TEXT($A$4, "mmmm yyyy")))</f>
        <v/>
      </c>
      <c r="F241" s="9" t="str">
        <f>IF(A241="","",SUMIFS(RawData[Qyt Affected ( EA ) ],RawData[[Article ]],A241,RawData[Month List],TEXT($A$4,"mmmm yyyy")))</f>
        <v/>
      </c>
    </row>
    <row r="242" spans="1:6" ht="15.75" x14ac:dyDescent="0.25">
      <c r="A242" s="40"/>
      <c r="B242" s="9" t="str">
        <f>IF(A242="","",INDEX(RawData[Description],MATCH(A242,RawData[[Article ]],0)))</f>
        <v/>
      </c>
      <c r="C242" s="9" t="str">
        <f>IF(A242="","",COUNTIFS(RawData[[Article ]],A242,RawData[Month List],TEXT($A$4,"mmmm yyyy")))</f>
        <v/>
      </c>
      <c r="D242" s="9" t="str">
        <f>IF(A242="","",COUNTIFS(RawData[[Article ]],A242,RawData[[Error Type ]],"Short",RawData[Month List],TEXT($A$4,"mmmm yyyy")))</f>
        <v/>
      </c>
      <c r="E242" s="9" t="str">
        <f>IF(A242="","",COUNTIFS(RawData[[Article ]],A242,RawData[[Error Type ]],"Excess",RawData[Month List],TEXT($A$4, "mmmm yyyy")))</f>
        <v/>
      </c>
      <c r="F242" s="9" t="str">
        <f>IF(A242="","",SUMIFS(RawData[Qyt Affected ( EA ) ],RawData[[Article ]],A242,RawData[Month List],TEXT($A$4,"mmmm yyyy")))</f>
        <v/>
      </c>
    </row>
    <row r="243" spans="1:6" ht="15.75" x14ac:dyDescent="0.25">
      <c r="A243" s="40"/>
      <c r="B243" s="9" t="str">
        <f>IF(A243="","",INDEX(RawData[Description],MATCH(A243,RawData[[Article ]],0)))</f>
        <v/>
      </c>
      <c r="C243" s="9" t="str">
        <f>IF(A243="","",COUNTIFS(RawData[[Article ]],A243,RawData[Month List],TEXT($A$4,"mmmm yyyy")))</f>
        <v/>
      </c>
      <c r="D243" s="9" t="str">
        <f>IF(A243="","",COUNTIFS(RawData[[Article ]],A243,RawData[[Error Type ]],"Short",RawData[Month List],TEXT($A$4,"mmmm yyyy")))</f>
        <v/>
      </c>
      <c r="E243" s="9" t="str">
        <f>IF(A243="","",COUNTIFS(RawData[[Article ]],A243,RawData[[Error Type ]],"Excess",RawData[Month List],TEXT($A$4, "mmmm yyyy")))</f>
        <v/>
      </c>
      <c r="F243" s="9" t="str">
        <f>IF(A243="","",SUMIFS(RawData[Qyt Affected ( EA ) ],RawData[[Article ]],A243,RawData[Month List],TEXT($A$4,"mmmm yyyy")))</f>
        <v/>
      </c>
    </row>
    <row r="244" spans="1:6" ht="15.75" x14ac:dyDescent="0.25">
      <c r="A244" s="40"/>
      <c r="B244" s="9" t="str">
        <f>IF(A244="","",INDEX(RawData[Description],MATCH(A244,RawData[[Article ]],0)))</f>
        <v/>
      </c>
      <c r="C244" s="9" t="str">
        <f>IF(A244="","",COUNTIFS(RawData[[Article ]],A244,RawData[Month List],TEXT($A$4,"mmmm yyyy")))</f>
        <v/>
      </c>
      <c r="D244" s="9" t="str">
        <f>IF(A244="","",COUNTIFS(RawData[[Article ]],A244,RawData[[Error Type ]],"Short",RawData[Month List],TEXT($A$4,"mmmm yyyy")))</f>
        <v/>
      </c>
      <c r="E244" s="9" t="str">
        <f>IF(A244="","",COUNTIFS(RawData[[Article ]],A244,RawData[[Error Type ]],"Excess",RawData[Month List],TEXT($A$4, "mmmm yyyy")))</f>
        <v/>
      </c>
      <c r="F244" s="9" t="str">
        <f>IF(A244="","",SUMIFS(RawData[Qyt Affected ( EA ) ],RawData[[Article ]],A244,RawData[Month List],TEXT($A$4,"mmmm yyyy")))</f>
        <v/>
      </c>
    </row>
    <row r="245" spans="1:6" ht="15.75" x14ac:dyDescent="0.25">
      <c r="A245" s="40"/>
      <c r="B245" s="9" t="str">
        <f>IF(A245="","",INDEX(RawData[Description],MATCH(A245,RawData[[Article ]],0)))</f>
        <v/>
      </c>
      <c r="C245" s="9" t="str">
        <f>IF(A245="","",COUNTIFS(RawData[[Article ]],A245,RawData[Month List],TEXT($A$4,"mmmm yyyy")))</f>
        <v/>
      </c>
      <c r="D245" s="9" t="str">
        <f>IF(A245="","",COUNTIFS(RawData[[Article ]],A245,RawData[[Error Type ]],"Short",RawData[Month List],TEXT($A$4,"mmmm yyyy")))</f>
        <v/>
      </c>
      <c r="E245" s="9" t="str">
        <f>IF(A245="","",COUNTIFS(RawData[[Article ]],A245,RawData[[Error Type ]],"Excess",RawData[Month List],TEXT($A$4, "mmmm yyyy")))</f>
        <v/>
      </c>
      <c r="F245" s="9" t="str">
        <f>IF(A245="","",SUMIFS(RawData[Qyt Affected ( EA ) ],RawData[[Article ]],A245,RawData[Month List],TEXT($A$4,"mmmm yyyy")))</f>
        <v/>
      </c>
    </row>
    <row r="246" spans="1:6" ht="15.75" x14ac:dyDescent="0.25">
      <c r="A246" s="40"/>
      <c r="B246" s="9" t="str">
        <f>IF(A246="","",INDEX(RawData[Description],MATCH(A246,RawData[[Article ]],0)))</f>
        <v/>
      </c>
      <c r="C246" s="9" t="str">
        <f>IF(A246="","",COUNTIFS(RawData[[Article ]],A246,RawData[Month List],TEXT($A$4,"mmmm yyyy")))</f>
        <v/>
      </c>
      <c r="D246" s="9" t="str">
        <f>IF(A246="","",COUNTIFS(RawData[[Article ]],A246,RawData[[Error Type ]],"Short",RawData[Month List],TEXT($A$4,"mmmm yyyy")))</f>
        <v/>
      </c>
      <c r="E246" s="9" t="str">
        <f>IF(A246="","",COUNTIFS(RawData[[Article ]],A246,RawData[[Error Type ]],"Excess",RawData[Month List],TEXT($A$4, "mmmm yyyy")))</f>
        <v/>
      </c>
      <c r="F246" s="9" t="str">
        <f>IF(A246="","",SUMIFS(RawData[Qyt Affected ( EA ) ],RawData[[Article ]],A246,RawData[Month List],TEXT($A$4,"mmmm yyyy")))</f>
        <v/>
      </c>
    </row>
    <row r="247" spans="1:6" ht="15.75" x14ac:dyDescent="0.25">
      <c r="A247" s="40"/>
      <c r="B247" s="9" t="str">
        <f>IF(A247="","",INDEX(RawData[Description],MATCH(A247,RawData[[Article ]],0)))</f>
        <v/>
      </c>
      <c r="C247" s="9" t="str">
        <f>IF(A247="","",COUNTIFS(RawData[[Article ]],A247,RawData[Month List],TEXT($A$4,"mmmm yyyy")))</f>
        <v/>
      </c>
      <c r="D247" s="9" t="str">
        <f>IF(A247="","",COUNTIFS(RawData[[Article ]],A247,RawData[[Error Type ]],"Short",RawData[Month List],TEXT($A$4,"mmmm yyyy")))</f>
        <v/>
      </c>
      <c r="E247" s="9" t="str">
        <f>IF(A247="","",COUNTIFS(RawData[[Article ]],A247,RawData[[Error Type ]],"Excess",RawData[Month List],TEXT($A$4, "mmmm yyyy")))</f>
        <v/>
      </c>
      <c r="F247" s="9" t="str">
        <f>IF(A247="","",SUMIFS(RawData[Qyt Affected ( EA ) ],RawData[[Article ]],A247,RawData[Month List],TEXT($A$4,"mmmm yyyy")))</f>
        <v/>
      </c>
    </row>
    <row r="248" spans="1:6" ht="15.75" x14ac:dyDescent="0.25">
      <c r="A248" s="40"/>
      <c r="B248" s="9" t="str">
        <f>IF(A248="","",INDEX(RawData[Description],MATCH(A248,RawData[[Article ]],0)))</f>
        <v/>
      </c>
      <c r="C248" s="9" t="str">
        <f>IF(A248="","",COUNTIFS(RawData[[Article ]],A248,RawData[Month List],TEXT($A$4,"mmmm yyyy")))</f>
        <v/>
      </c>
      <c r="D248" s="9" t="str">
        <f>IF(A248="","",COUNTIFS(RawData[[Article ]],A248,RawData[[Error Type ]],"Short",RawData[Month List],TEXT($A$4,"mmmm yyyy")))</f>
        <v/>
      </c>
      <c r="E248" s="9" t="str">
        <f>IF(A248="","",COUNTIFS(RawData[[Article ]],A248,RawData[[Error Type ]],"Excess",RawData[Month List],TEXT($A$4, "mmmm yyyy")))</f>
        <v/>
      </c>
      <c r="F248" s="9" t="str">
        <f>IF(A248="","",SUMIFS(RawData[Qyt Affected ( EA ) ],RawData[[Article ]],A248,RawData[Month List],TEXT($A$4,"mmmm yyyy")))</f>
        <v/>
      </c>
    </row>
    <row r="249" spans="1:6" ht="15.75" x14ac:dyDescent="0.25">
      <c r="A249" s="40"/>
      <c r="B249" s="9" t="str">
        <f>IF(A249="","",INDEX(RawData[Description],MATCH(A249,RawData[[Article ]],0)))</f>
        <v/>
      </c>
      <c r="C249" s="9" t="str">
        <f>IF(A249="","",COUNTIFS(RawData[[Article ]],A249,RawData[Month List],TEXT($A$4,"mmmm yyyy")))</f>
        <v/>
      </c>
      <c r="D249" s="9" t="str">
        <f>IF(A249="","",COUNTIFS(RawData[[Article ]],A249,RawData[[Error Type ]],"Short",RawData[Month List],TEXT($A$4,"mmmm yyyy")))</f>
        <v/>
      </c>
      <c r="E249" s="9" t="str">
        <f>IF(A249="","",COUNTIFS(RawData[[Article ]],A249,RawData[[Error Type ]],"Excess",RawData[Month List],TEXT($A$4, "mmmm yyyy")))</f>
        <v/>
      </c>
      <c r="F249" s="9" t="str">
        <f>IF(A249="","",SUMIFS(RawData[Qyt Affected ( EA ) ],RawData[[Article ]],A249,RawData[Month List],TEXT($A$4,"mmmm yyyy")))</f>
        <v/>
      </c>
    </row>
    <row r="250" spans="1:6" ht="15.75" x14ac:dyDescent="0.25">
      <c r="A250" s="40"/>
      <c r="B250" s="9" t="str">
        <f>IF(A250="","",INDEX(RawData[Description],MATCH(A250,RawData[[Article ]],0)))</f>
        <v/>
      </c>
      <c r="C250" s="9" t="str">
        <f>IF(A250="","",COUNTIFS(RawData[[Article ]],A250,RawData[Month List],TEXT($A$4,"mmmm yyyy")))</f>
        <v/>
      </c>
      <c r="D250" s="9" t="str">
        <f>IF(A250="","",COUNTIFS(RawData[[Article ]],A250,RawData[[Error Type ]],"Short",RawData[Month List],TEXT($A$4,"mmmm yyyy")))</f>
        <v/>
      </c>
      <c r="E250" s="9" t="str">
        <f>IF(A250="","",COUNTIFS(RawData[[Article ]],A250,RawData[[Error Type ]],"Excess",RawData[Month List],TEXT($A$4, "mmmm yyyy")))</f>
        <v/>
      </c>
      <c r="F250" s="9" t="str">
        <f>IF(A250="","",SUMIFS(RawData[Qyt Affected ( EA ) ],RawData[[Article ]],A250,RawData[Month List],TEXT($A$4,"mmmm yyyy")))</f>
        <v/>
      </c>
    </row>
    <row r="251" spans="1:6" ht="15.75" x14ac:dyDescent="0.25">
      <c r="A251" s="40"/>
      <c r="B251" s="9" t="str">
        <f>IF(A251="","",INDEX(RawData[Description],MATCH(A251,RawData[[Article ]],0)))</f>
        <v/>
      </c>
      <c r="C251" s="9" t="str">
        <f>IF(A251="","",COUNTIFS(RawData[[Article ]],A251,RawData[Month List],TEXT($A$4,"mmmm yyyy")))</f>
        <v/>
      </c>
      <c r="D251" s="9" t="str">
        <f>IF(A251="","",COUNTIFS(RawData[[Article ]],A251,RawData[[Error Type ]],"Short",RawData[Month List],TEXT($A$4,"mmmm yyyy")))</f>
        <v/>
      </c>
      <c r="E251" s="9" t="str">
        <f>IF(A251="","",COUNTIFS(RawData[[Article ]],A251,RawData[[Error Type ]],"Excess",RawData[Month List],TEXT($A$4, "mmmm yyyy")))</f>
        <v/>
      </c>
      <c r="F251" s="9" t="str">
        <f>IF(A251="","",SUMIFS(RawData[Qyt Affected ( EA ) ],RawData[[Article ]],A251,RawData[Month List],TEXT($A$4,"mmmm yyyy")))</f>
        <v/>
      </c>
    </row>
    <row r="252" spans="1:6" ht="15.75" x14ac:dyDescent="0.25">
      <c r="A252" s="40"/>
      <c r="B252" s="9" t="str">
        <f>IF(A252="","",INDEX(RawData[Description],MATCH(A252,RawData[[Article ]],0)))</f>
        <v/>
      </c>
      <c r="C252" s="9" t="str">
        <f>IF(A252="","",COUNTIFS(RawData[[Article ]],A252,RawData[Month List],TEXT($A$4,"mmmm yyyy")))</f>
        <v/>
      </c>
      <c r="D252" s="9" t="str">
        <f>IF(A252="","",COUNTIFS(RawData[[Article ]],A252,RawData[[Error Type ]],"Short",RawData[Month List],TEXT($A$4,"mmmm yyyy")))</f>
        <v/>
      </c>
      <c r="E252" s="9" t="str">
        <f>IF(A252="","",COUNTIFS(RawData[[Article ]],A252,RawData[[Error Type ]],"Excess",RawData[Month List],TEXT($A$4, "mmmm yyyy")))</f>
        <v/>
      </c>
      <c r="F252" s="9" t="str">
        <f>IF(A252="","",SUMIFS(RawData[Qyt Affected ( EA ) ],RawData[[Article ]],A252,RawData[Month List],TEXT($A$4,"mmmm yyyy")))</f>
        <v/>
      </c>
    </row>
    <row r="253" spans="1:6" ht="15.75" x14ac:dyDescent="0.25">
      <c r="A253" s="40"/>
      <c r="B253" s="9" t="str">
        <f>IF(A253="","",INDEX(RawData[Description],MATCH(A253,RawData[[Article ]],0)))</f>
        <v/>
      </c>
      <c r="C253" s="9" t="str">
        <f>IF(A253="","",COUNTIFS(RawData[[Article ]],A253,RawData[Month List],TEXT($A$4,"mmmm yyyy")))</f>
        <v/>
      </c>
      <c r="D253" s="9" t="str">
        <f>IF(A253="","",COUNTIFS(RawData[[Article ]],A253,RawData[[Error Type ]],"Short",RawData[Month List],TEXT($A$4,"mmmm yyyy")))</f>
        <v/>
      </c>
      <c r="E253" s="9" t="str">
        <f>IF(A253="","",COUNTIFS(RawData[[Article ]],A253,RawData[[Error Type ]],"Excess",RawData[Month List],TEXT($A$4, "mmmm yyyy")))</f>
        <v/>
      </c>
      <c r="F253" s="9" t="str">
        <f>IF(A253="","",SUMIFS(RawData[Qyt Affected ( EA ) ],RawData[[Article ]],A253,RawData[Month List],TEXT($A$4,"mmmm yyyy")))</f>
        <v/>
      </c>
    </row>
    <row r="254" spans="1:6" ht="15.75" x14ac:dyDescent="0.25">
      <c r="A254" s="40"/>
      <c r="B254" s="9" t="str">
        <f>IF(A254="","",INDEX(RawData[Description],MATCH(A254,RawData[[Article ]],0)))</f>
        <v/>
      </c>
      <c r="C254" s="9" t="str">
        <f>IF(A254="","",COUNTIFS(RawData[[Article ]],A254,RawData[Month List],TEXT($A$4,"mmmm yyyy")))</f>
        <v/>
      </c>
      <c r="D254" s="9" t="str">
        <f>IF(A254="","",COUNTIFS(RawData[[Article ]],A254,RawData[[Error Type ]],"Short",RawData[Month List],TEXT($A$4,"mmmm yyyy")))</f>
        <v/>
      </c>
      <c r="E254" s="9" t="str">
        <f>IF(A254="","",COUNTIFS(RawData[[Article ]],A254,RawData[[Error Type ]],"Excess",RawData[Month List],TEXT($A$4, "mmmm yyyy")))</f>
        <v/>
      </c>
      <c r="F254" s="9" t="str">
        <f>IF(A254="","",SUMIFS(RawData[Qyt Affected ( EA ) ],RawData[[Article ]],A254,RawData[Month List],TEXT($A$4,"mmmm yyyy")))</f>
        <v/>
      </c>
    </row>
    <row r="255" spans="1:6" ht="15.75" x14ac:dyDescent="0.25">
      <c r="A255" s="40"/>
      <c r="B255" s="9" t="str">
        <f>IF(A255="","",INDEX(RawData[Description],MATCH(A255,RawData[[Article ]],0)))</f>
        <v/>
      </c>
      <c r="C255" s="9" t="str">
        <f>IF(A255="","",COUNTIFS(RawData[[Article ]],A255,RawData[Month List],TEXT($A$4,"mmmm yyyy")))</f>
        <v/>
      </c>
      <c r="D255" s="9" t="str">
        <f>IF(A255="","",COUNTIFS(RawData[[Article ]],A255,RawData[[Error Type ]],"Short",RawData[Month List],TEXT($A$4,"mmmm yyyy")))</f>
        <v/>
      </c>
      <c r="E255" s="9" t="str">
        <f>IF(A255="","",COUNTIFS(RawData[[Article ]],A255,RawData[[Error Type ]],"Excess",RawData[Month List],TEXT($A$4, "mmmm yyyy")))</f>
        <v/>
      </c>
      <c r="F255" s="9" t="str">
        <f>IF(A255="","",SUMIFS(RawData[Qyt Affected ( EA ) ],RawData[[Article ]],A255,RawData[Month List],TEXT($A$4,"mmmm yyyy")))</f>
        <v/>
      </c>
    </row>
    <row r="256" spans="1:6" ht="15.75" x14ac:dyDescent="0.25">
      <c r="A256" s="40"/>
      <c r="B256" s="9" t="str">
        <f>IF(A256="","",INDEX(RawData[Description],MATCH(A256,RawData[[Article ]],0)))</f>
        <v/>
      </c>
      <c r="C256" s="9" t="str">
        <f>IF(A256="","",COUNTIFS(RawData[[Article ]],A256,RawData[Month List],TEXT($A$4,"mmmm yyyy")))</f>
        <v/>
      </c>
      <c r="D256" s="9" t="str">
        <f>IF(A256="","",COUNTIFS(RawData[[Article ]],A256,RawData[[Error Type ]],"Short",RawData[Month List],TEXT($A$4,"mmmm yyyy")))</f>
        <v/>
      </c>
      <c r="E256" s="9" t="str">
        <f>IF(A256="","",COUNTIFS(RawData[[Article ]],A256,RawData[[Error Type ]],"Excess",RawData[Month List],TEXT($A$4, "mmmm yyyy")))</f>
        <v/>
      </c>
      <c r="F256" s="9" t="str">
        <f>IF(A256="","",SUMIFS(RawData[Qyt Affected ( EA ) ],RawData[[Article ]],A256,RawData[Month List],TEXT($A$4,"mmmm yyyy")))</f>
        <v/>
      </c>
    </row>
    <row r="257" spans="1:6" ht="15.75" x14ac:dyDescent="0.25">
      <c r="A257" s="40"/>
      <c r="B257" s="9" t="str">
        <f>IF(A257="","",INDEX(RawData[Description],MATCH(A257,RawData[[Article ]],0)))</f>
        <v/>
      </c>
      <c r="C257" s="9" t="str">
        <f>IF(A257="","",COUNTIFS(RawData[[Article ]],A257,RawData[Month List],TEXT($A$4,"mmmm yyyy")))</f>
        <v/>
      </c>
      <c r="D257" s="9" t="str">
        <f>IF(A257="","",COUNTIFS(RawData[[Article ]],A257,RawData[[Error Type ]],"Short",RawData[Month List],TEXT($A$4,"mmmm yyyy")))</f>
        <v/>
      </c>
      <c r="E257" s="9" t="str">
        <f>IF(A257="","",COUNTIFS(RawData[[Article ]],A257,RawData[[Error Type ]],"Excess",RawData[Month List],TEXT($A$4, "mmmm yyyy")))</f>
        <v/>
      </c>
      <c r="F257" s="9" t="str">
        <f>IF(A257="","",SUMIFS(RawData[Qyt Affected ( EA ) ],RawData[[Article ]],A257,RawData[Month List],TEXT($A$4,"mmmm yyyy")))</f>
        <v/>
      </c>
    </row>
    <row r="258" spans="1:6" ht="15.75" x14ac:dyDescent="0.25">
      <c r="A258" s="40"/>
      <c r="B258" s="9" t="str">
        <f>IF(A258="","",INDEX(RawData[Description],MATCH(A258,RawData[[Article ]],0)))</f>
        <v/>
      </c>
      <c r="C258" s="9" t="str">
        <f>IF(A258="","",COUNTIFS(RawData[[Article ]],A258,RawData[Month List],TEXT($A$4,"mmmm yyyy")))</f>
        <v/>
      </c>
      <c r="D258" s="9" t="str">
        <f>IF(A258="","",COUNTIFS(RawData[[Article ]],A258,RawData[[Error Type ]],"Short",RawData[Month List],TEXT($A$4,"mmmm yyyy")))</f>
        <v/>
      </c>
      <c r="E258" s="9" t="str">
        <f>IF(A258="","",COUNTIFS(RawData[[Article ]],A258,RawData[[Error Type ]],"Excess",RawData[Month List],TEXT($A$4, "mmmm yyyy")))</f>
        <v/>
      </c>
      <c r="F258" s="9" t="str">
        <f>IF(A258="","",SUMIFS(RawData[Qyt Affected ( EA ) ],RawData[[Article ]],A258,RawData[Month List],TEXT($A$4,"mmmm yyyy")))</f>
        <v/>
      </c>
    </row>
    <row r="259" spans="1:6" ht="15.75" x14ac:dyDescent="0.25">
      <c r="A259" s="40"/>
      <c r="B259" s="9" t="str">
        <f>IF(A259="","",INDEX(RawData[Description],MATCH(A259,RawData[[Article ]],0)))</f>
        <v/>
      </c>
      <c r="C259" s="9" t="str">
        <f>IF(A259="","",COUNTIFS(RawData[[Article ]],A259,RawData[Month List],TEXT($A$4,"mmmm yyyy")))</f>
        <v/>
      </c>
      <c r="D259" s="9" t="str">
        <f>IF(A259="","",COUNTIFS(RawData[[Article ]],A259,RawData[[Error Type ]],"Short",RawData[Month List],TEXT($A$4,"mmmm yyyy")))</f>
        <v/>
      </c>
      <c r="E259" s="9" t="str">
        <f>IF(A259="","",COUNTIFS(RawData[[Article ]],A259,RawData[[Error Type ]],"Excess",RawData[Month List],TEXT($A$4, "mmmm yyyy")))</f>
        <v/>
      </c>
      <c r="F259" s="9" t="str">
        <f>IF(A259="","",SUMIFS(RawData[Qyt Affected ( EA ) ],RawData[[Article ]],A259,RawData[Month List],TEXT($A$4,"mmmm yyyy")))</f>
        <v/>
      </c>
    </row>
    <row r="260" spans="1:6" ht="15.75" x14ac:dyDescent="0.25">
      <c r="A260" s="40"/>
      <c r="B260" s="9" t="str">
        <f>IF(A260="","",INDEX(RawData[Description],MATCH(A260,RawData[[Article ]],0)))</f>
        <v/>
      </c>
      <c r="C260" s="9" t="str">
        <f>IF(A260="","",COUNTIFS(RawData[[Article ]],A260,RawData[Month List],TEXT($A$4,"mmmm yyyy")))</f>
        <v/>
      </c>
      <c r="D260" s="9" t="str">
        <f>IF(A260="","",COUNTIFS(RawData[[Article ]],A260,RawData[[Error Type ]],"Short",RawData[Month List],TEXT($A$4,"mmmm yyyy")))</f>
        <v/>
      </c>
      <c r="E260" s="9" t="str">
        <f>IF(A260="","",COUNTIFS(RawData[[Article ]],A260,RawData[[Error Type ]],"Excess",RawData[Month List],TEXT($A$4, "mmmm yyyy")))</f>
        <v/>
      </c>
      <c r="F260" s="9" t="str">
        <f>IF(A260="","",SUMIFS(RawData[Qyt Affected ( EA ) ],RawData[[Article ]],A260,RawData[Month List],TEXT($A$4,"mmmm yyyy")))</f>
        <v/>
      </c>
    </row>
    <row r="261" spans="1:6" ht="15.75" x14ac:dyDescent="0.25">
      <c r="A261" s="40"/>
      <c r="B261" s="9" t="str">
        <f>IF(A261="","",INDEX(RawData[Description],MATCH(A261,RawData[[Article ]],0)))</f>
        <v/>
      </c>
      <c r="C261" s="9" t="str">
        <f>IF(A261="","",COUNTIFS(RawData[[Article ]],A261,RawData[Month List],TEXT($A$4,"mmmm yyyy")))</f>
        <v/>
      </c>
      <c r="D261" s="9" t="str">
        <f>IF(A261="","",COUNTIFS(RawData[[Article ]],A261,RawData[[Error Type ]],"Short",RawData[Month List],TEXT($A$4,"mmmm yyyy")))</f>
        <v/>
      </c>
      <c r="E261" s="9" t="str">
        <f>IF(A261="","",COUNTIFS(RawData[[Article ]],A261,RawData[[Error Type ]],"Excess",RawData[Month List],TEXT($A$4, "mmmm yyyy")))</f>
        <v/>
      </c>
      <c r="F261" s="9" t="str">
        <f>IF(A261="","",SUMIFS(RawData[Qyt Affected ( EA ) ],RawData[[Article ]],A261,RawData[Month List],TEXT($A$4,"mmmm yyyy")))</f>
        <v/>
      </c>
    </row>
    <row r="262" spans="1:6" ht="15.75" x14ac:dyDescent="0.25">
      <c r="A262" s="40"/>
      <c r="B262" s="9" t="str">
        <f>IF(A262="","",INDEX(RawData[Description],MATCH(A262,RawData[[Article ]],0)))</f>
        <v/>
      </c>
      <c r="C262" s="9" t="str">
        <f>IF(A262="","",COUNTIFS(RawData[[Article ]],A262,RawData[Month List],TEXT($A$4,"mmmm yyyy")))</f>
        <v/>
      </c>
      <c r="D262" s="9" t="str">
        <f>IF(A262="","",COUNTIFS(RawData[[Article ]],A262,RawData[[Error Type ]],"Short",RawData[Month List],TEXT($A$4,"mmmm yyyy")))</f>
        <v/>
      </c>
      <c r="E262" s="9" t="str">
        <f>IF(A262="","",COUNTIFS(RawData[[Article ]],A262,RawData[[Error Type ]],"Excess",RawData[Month List],TEXT($A$4, "mmmm yyyy")))</f>
        <v/>
      </c>
      <c r="F262" s="9" t="str">
        <f>IF(A262="","",SUMIFS(RawData[Qyt Affected ( EA ) ],RawData[[Article ]],A262,RawData[Month List],TEXT($A$4,"mmmm yyyy")))</f>
        <v/>
      </c>
    </row>
    <row r="263" spans="1:6" ht="15.75" x14ac:dyDescent="0.25">
      <c r="A263" s="40"/>
      <c r="B263" s="9" t="str">
        <f>IF(A263="","",INDEX(RawData[Description],MATCH(A263,RawData[[Article ]],0)))</f>
        <v/>
      </c>
      <c r="C263" s="9" t="str">
        <f>IF(A263="","",COUNTIFS(RawData[[Article ]],A263,RawData[Month List],TEXT($A$4,"mmmm yyyy")))</f>
        <v/>
      </c>
      <c r="D263" s="9" t="str">
        <f>IF(A263="","",COUNTIFS(RawData[[Article ]],A263,RawData[[Error Type ]],"Short",RawData[Month List],TEXT($A$4,"mmmm yyyy")))</f>
        <v/>
      </c>
      <c r="E263" s="9" t="str">
        <f>IF(A263="","",COUNTIFS(RawData[[Article ]],A263,RawData[[Error Type ]],"Excess",RawData[Month List],TEXT($A$4, "mmmm yyyy")))</f>
        <v/>
      </c>
      <c r="F263" s="9" t="str">
        <f>IF(A263="","",SUMIFS(RawData[Qyt Affected ( EA ) ],RawData[[Article ]],A263,RawData[Month List],TEXT($A$4,"mmmm yyyy")))</f>
        <v/>
      </c>
    </row>
    <row r="264" spans="1:6" ht="15.75" x14ac:dyDescent="0.25">
      <c r="A264" s="40"/>
      <c r="B264" s="9" t="str">
        <f>IF(A264="","",INDEX(RawData[Description],MATCH(A264,RawData[[Article ]],0)))</f>
        <v/>
      </c>
      <c r="C264" s="9" t="str">
        <f>IF(A264="","",COUNTIFS(RawData[[Article ]],A264,RawData[Month List],TEXT($A$4,"mmmm yyyy")))</f>
        <v/>
      </c>
      <c r="D264" s="9" t="str">
        <f>IF(A264="","",COUNTIFS(RawData[[Article ]],A264,RawData[[Error Type ]],"Short",RawData[Month List],TEXT($A$4,"mmmm yyyy")))</f>
        <v/>
      </c>
      <c r="E264" s="9" t="str">
        <f>IF(A264="","",COUNTIFS(RawData[[Article ]],A264,RawData[[Error Type ]],"Excess",RawData[Month List],TEXT($A$4, "mmmm yyyy")))</f>
        <v/>
      </c>
      <c r="F264" s="9" t="str">
        <f>IF(A264="","",SUMIFS(RawData[Qyt Affected ( EA ) ],RawData[[Article ]],A264,RawData[Month List],TEXT($A$4,"mmmm yyyy")))</f>
        <v/>
      </c>
    </row>
    <row r="265" spans="1:6" ht="15.75" x14ac:dyDescent="0.25">
      <c r="A265" s="40"/>
      <c r="B265" s="9" t="str">
        <f>IF(A265="","",INDEX(RawData[Description],MATCH(A265,RawData[[Article ]],0)))</f>
        <v/>
      </c>
      <c r="C265" s="9" t="str">
        <f>IF(A265="","",COUNTIFS(RawData[[Article ]],A265,RawData[Month List],TEXT($A$4,"mmmm yyyy")))</f>
        <v/>
      </c>
      <c r="D265" s="9" t="str">
        <f>IF(A265="","",COUNTIFS(RawData[[Article ]],A265,RawData[[Error Type ]],"Short",RawData[Month List],TEXT($A$4,"mmmm yyyy")))</f>
        <v/>
      </c>
      <c r="E265" s="9" t="str">
        <f>IF(A265="","",COUNTIFS(RawData[[Article ]],A265,RawData[[Error Type ]],"Excess",RawData[Month List],TEXT($A$4, "mmmm yyyy")))</f>
        <v/>
      </c>
      <c r="F265" s="9" t="str">
        <f>IF(A265="","",SUMIFS(RawData[Qyt Affected ( EA ) ],RawData[[Article ]],A265,RawData[Month List],TEXT($A$4,"mmmm yyyy")))</f>
        <v/>
      </c>
    </row>
    <row r="266" spans="1:6" ht="15.75" x14ac:dyDescent="0.25">
      <c r="A266" s="40"/>
      <c r="B266" s="9" t="str">
        <f>IF(A266="","",INDEX(RawData[Description],MATCH(A266,RawData[[Article ]],0)))</f>
        <v/>
      </c>
      <c r="C266" s="9" t="str">
        <f>IF(A266="","",COUNTIFS(RawData[[Article ]],A266,RawData[Month List],TEXT($A$4,"mmmm yyyy")))</f>
        <v/>
      </c>
      <c r="D266" s="9" t="str">
        <f>IF(A266="","",COUNTIFS(RawData[[Article ]],A266,RawData[[Error Type ]],"Short",RawData[Month List],TEXT($A$4,"mmmm yyyy")))</f>
        <v/>
      </c>
      <c r="E266" s="9" t="str">
        <f>IF(A266="","",COUNTIFS(RawData[[Article ]],A266,RawData[[Error Type ]],"Excess",RawData[Month List],TEXT($A$4, "mmmm yyyy")))</f>
        <v/>
      </c>
      <c r="F266" s="9" t="str">
        <f>IF(A266="","",SUMIFS(RawData[Qyt Affected ( EA ) ],RawData[[Article ]],A266,RawData[Month List],TEXT($A$4,"mmmm yyyy")))</f>
        <v/>
      </c>
    </row>
    <row r="267" spans="1:6" ht="15.75" x14ac:dyDescent="0.25">
      <c r="A267" s="40"/>
      <c r="B267" s="9" t="str">
        <f>IF(A267="","",INDEX(RawData[Description],MATCH(A267,RawData[[Article ]],0)))</f>
        <v/>
      </c>
      <c r="C267" s="9" t="str">
        <f>IF(A267="","",COUNTIFS(RawData[[Article ]],A267,RawData[Month List],TEXT($A$4,"mmmm yyyy")))</f>
        <v/>
      </c>
      <c r="D267" s="9" t="str">
        <f>IF(A267="","",COUNTIFS(RawData[[Article ]],A267,RawData[[Error Type ]],"Short",RawData[Month List],TEXT($A$4,"mmmm yyyy")))</f>
        <v/>
      </c>
      <c r="E267" s="9" t="str">
        <f>IF(A267="","",COUNTIFS(RawData[[Article ]],A267,RawData[[Error Type ]],"Excess",RawData[Month List],TEXT($A$4, "mmmm yyyy")))</f>
        <v/>
      </c>
      <c r="F267" s="9" t="str">
        <f>IF(A267="","",SUMIFS(RawData[Qyt Affected ( EA ) ],RawData[[Article ]],A267,RawData[Month List],TEXT($A$4,"mmmm yyyy")))</f>
        <v/>
      </c>
    </row>
    <row r="268" spans="1:6" ht="15.75" x14ac:dyDescent="0.25">
      <c r="A268" s="40"/>
      <c r="B268" s="9" t="str">
        <f>IF(A268="","",INDEX(RawData[Description],MATCH(A268,RawData[[Article ]],0)))</f>
        <v/>
      </c>
      <c r="C268" s="9" t="str">
        <f>IF(A268="","",COUNTIFS(RawData[[Article ]],A268,RawData[Month List],TEXT($A$4,"mmmm yyyy")))</f>
        <v/>
      </c>
      <c r="D268" s="9" t="str">
        <f>IF(A268="","",COUNTIFS(RawData[[Article ]],A268,RawData[[Error Type ]],"Short",RawData[Month List],TEXT($A$4,"mmmm yyyy")))</f>
        <v/>
      </c>
      <c r="E268" s="9" t="str">
        <f>IF(A268="","",COUNTIFS(RawData[[Article ]],A268,RawData[[Error Type ]],"Excess",RawData[Month List],TEXT($A$4, "mmmm yyyy")))</f>
        <v/>
      </c>
      <c r="F268" s="9" t="str">
        <f>IF(A268="","",SUMIFS(RawData[Qyt Affected ( EA ) ],RawData[[Article ]],A268,RawData[Month List],TEXT($A$4,"mmmm yyyy")))</f>
        <v/>
      </c>
    </row>
    <row r="269" spans="1:6" ht="15.75" x14ac:dyDescent="0.25">
      <c r="A269" s="40"/>
      <c r="B269" s="9" t="str">
        <f>IF(A269="","",INDEX(RawData[Description],MATCH(A269,RawData[[Article ]],0)))</f>
        <v/>
      </c>
      <c r="C269" s="9" t="str">
        <f>IF(A269="","",COUNTIFS(RawData[[Article ]],A269,RawData[Month List],TEXT($A$4,"mmmm yyyy")))</f>
        <v/>
      </c>
      <c r="D269" s="9" t="str">
        <f>IF(A269="","",COUNTIFS(RawData[[Article ]],A269,RawData[[Error Type ]],"Short",RawData[Month List],TEXT($A$4,"mmmm yyyy")))</f>
        <v/>
      </c>
      <c r="E269" s="9" t="str">
        <f>IF(A269="","",COUNTIFS(RawData[[Article ]],A269,RawData[[Error Type ]],"Excess",RawData[Month List],TEXT($A$4, "mmmm yyyy")))</f>
        <v/>
      </c>
      <c r="F269" s="9" t="str">
        <f>IF(A269="","",SUMIFS(RawData[Qyt Affected ( EA ) ],RawData[[Article ]],A269,RawData[Month List],TEXT($A$4,"mmmm yyyy")))</f>
        <v/>
      </c>
    </row>
    <row r="270" spans="1:6" ht="15.75" x14ac:dyDescent="0.25">
      <c r="A270" s="40"/>
      <c r="B270" s="9" t="str">
        <f>IF(A270="","",INDEX(RawData[Description],MATCH(A270,RawData[[Article ]],0)))</f>
        <v/>
      </c>
      <c r="C270" s="9" t="str">
        <f>IF(A270="","",COUNTIFS(RawData[[Article ]],A270,RawData[Month List],TEXT($A$4,"mmmm yyyy")))</f>
        <v/>
      </c>
      <c r="D270" s="9" t="str">
        <f>IF(A270="","",COUNTIFS(RawData[[Article ]],A270,RawData[[Error Type ]],"Short",RawData[Month List],TEXT($A$4,"mmmm yyyy")))</f>
        <v/>
      </c>
      <c r="E270" s="9" t="str">
        <f>IF(A270="","",COUNTIFS(RawData[[Article ]],A270,RawData[[Error Type ]],"Excess",RawData[Month List],TEXT($A$4, "mmmm yyyy")))</f>
        <v/>
      </c>
      <c r="F270" s="9" t="str">
        <f>IF(A270="","",SUMIFS(RawData[Qyt Affected ( EA ) ],RawData[[Article ]],A270,RawData[Month List],TEXT($A$4,"mmmm yyyy")))</f>
        <v/>
      </c>
    </row>
    <row r="271" spans="1:6" ht="15.75" x14ac:dyDescent="0.25">
      <c r="A271" s="40"/>
      <c r="B271" s="9" t="str">
        <f>IF(A271="","",INDEX(RawData[Description],MATCH(A271,RawData[[Article ]],0)))</f>
        <v/>
      </c>
      <c r="C271" s="9" t="str">
        <f>IF(A271="","",COUNTIFS(RawData[[Article ]],A271,RawData[Month List],TEXT($A$4,"mmmm yyyy")))</f>
        <v/>
      </c>
      <c r="D271" s="9" t="str">
        <f>IF(A271="","",COUNTIFS(RawData[[Article ]],A271,RawData[[Error Type ]],"Short",RawData[Month List],TEXT($A$4,"mmmm yyyy")))</f>
        <v/>
      </c>
      <c r="E271" s="9" t="str">
        <f>IF(A271="","",COUNTIFS(RawData[[Article ]],A271,RawData[[Error Type ]],"Excess",RawData[Month List],TEXT($A$4, "mmmm yyyy")))</f>
        <v/>
      </c>
      <c r="F271" s="9" t="str">
        <f>IF(A271="","",SUMIFS(RawData[Qyt Affected ( EA ) ],RawData[[Article ]],A271,RawData[Month List],TEXT($A$4,"mmmm yyyy")))</f>
        <v/>
      </c>
    </row>
    <row r="272" spans="1:6" ht="15.75" x14ac:dyDescent="0.25">
      <c r="A272" s="40"/>
      <c r="B272" s="9" t="str">
        <f>IF(A272="","",INDEX(RawData[Description],MATCH(A272,RawData[[Article ]],0)))</f>
        <v/>
      </c>
      <c r="C272" s="9" t="str">
        <f>IF(A272="","",COUNTIFS(RawData[[Article ]],A272,RawData[Month List],TEXT($A$4,"mmmm yyyy")))</f>
        <v/>
      </c>
      <c r="D272" s="9" t="str">
        <f>IF(A272="","",COUNTIFS(RawData[[Article ]],A272,RawData[[Error Type ]],"Short",RawData[Month List],TEXT($A$4,"mmmm yyyy")))</f>
        <v/>
      </c>
      <c r="E272" s="9" t="str">
        <f>IF(A272="","",COUNTIFS(RawData[[Article ]],A272,RawData[[Error Type ]],"Excess",RawData[Month List],TEXT($A$4, "mmmm yyyy")))</f>
        <v/>
      </c>
      <c r="F272" s="9" t="str">
        <f>IF(A272="","",SUMIFS(RawData[Qyt Affected ( EA ) ],RawData[[Article ]],A272,RawData[Month List],TEXT($A$4,"mmmm yyyy")))</f>
        <v/>
      </c>
    </row>
    <row r="273" spans="1:6" ht="15.75" x14ac:dyDescent="0.25">
      <c r="A273" s="40"/>
      <c r="B273" s="9" t="str">
        <f>IF(A273="","",INDEX(RawData[Description],MATCH(A273,RawData[[Article ]],0)))</f>
        <v/>
      </c>
      <c r="C273" s="9" t="str">
        <f>IF(A273="","",COUNTIFS(RawData[[Article ]],A273,RawData[Month List],TEXT($A$4,"mmmm yyyy")))</f>
        <v/>
      </c>
      <c r="D273" s="9" t="str">
        <f>IF(A273="","",COUNTIFS(RawData[[Article ]],A273,RawData[[Error Type ]],"Short",RawData[Month List],TEXT($A$4,"mmmm yyyy")))</f>
        <v/>
      </c>
      <c r="E273" s="9" t="str">
        <f>IF(A273="","",COUNTIFS(RawData[[Article ]],A273,RawData[[Error Type ]],"Excess",RawData[Month List],TEXT($A$4, "mmmm yyyy")))</f>
        <v/>
      </c>
      <c r="F273" s="9" t="str">
        <f>IF(A273="","",SUMIFS(RawData[Qyt Affected ( EA ) ],RawData[[Article ]],A273,RawData[Month List],TEXT($A$4,"mmmm yyyy")))</f>
        <v/>
      </c>
    </row>
    <row r="274" spans="1:6" ht="15.75" x14ac:dyDescent="0.25">
      <c r="A274" s="40"/>
      <c r="B274" s="9" t="str">
        <f>IF(A274="","",INDEX(RawData[Description],MATCH(A274,RawData[[Article ]],0)))</f>
        <v/>
      </c>
      <c r="C274" s="9" t="str">
        <f>IF(A274="","",COUNTIFS(RawData[[Article ]],A274,RawData[Month List],TEXT($A$4,"mmmm yyyy")))</f>
        <v/>
      </c>
      <c r="D274" s="9" t="str">
        <f>IF(A274="","",COUNTIFS(RawData[[Article ]],A274,RawData[[Error Type ]],"Short",RawData[Month List],TEXT($A$4,"mmmm yyyy")))</f>
        <v/>
      </c>
      <c r="E274" s="9" t="str">
        <f>IF(A274="","",COUNTIFS(RawData[[Article ]],A274,RawData[[Error Type ]],"Excess",RawData[Month List],TEXT($A$4, "mmmm yyyy")))</f>
        <v/>
      </c>
      <c r="F274" s="9" t="str">
        <f>IF(A274="","",SUMIFS(RawData[Qyt Affected ( EA ) ],RawData[[Article ]],A274,RawData[Month List],TEXT($A$4,"mmmm yyyy")))</f>
        <v/>
      </c>
    </row>
    <row r="275" spans="1:6" ht="15.75" x14ac:dyDescent="0.25">
      <c r="A275" s="40"/>
      <c r="B275" s="9" t="str">
        <f>IF(A275="","",INDEX(RawData[Description],MATCH(A275,RawData[[Article ]],0)))</f>
        <v/>
      </c>
      <c r="C275" s="9" t="str">
        <f>IF(A275="","",COUNTIFS(RawData[[Article ]],A275,RawData[Month List],TEXT($A$4,"mmmm yyyy")))</f>
        <v/>
      </c>
      <c r="D275" s="9" t="str">
        <f>IF(A275="","",COUNTIFS(RawData[[Article ]],A275,RawData[[Error Type ]],"Short",RawData[Month List],TEXT($A$4,"mmmm yyyy")))</f>
        <v/>
      </c>
      <c r="E275" s="9" t="str">
        <f>IF(A275="","",COUNTIFS(RawData[[Article ]],A275,RawData[[Error Type ]],"Excess",RawData[Month List],TEXT($A$4, "mmmm yyyy")))</f>
        <v/>
      </c>
      <c r="F275" s="9" t="str">
        <f>IF(A275="","",SUMIFS(RawData[Qyt Affected ( EA ) ],RawData[[Article ]],A275,RawData[Month List],TEXT($A$4,"mmmm yyyy")))</f>
        <v/>
      </c>
    </row>
    <row r="276" spans="1:6" ht="15.75" x14ac:dyDescent="0.25">
      <c r="A276" s="40"/>
      <c r="B276" s="9" t="str">
        <f>IF(A276="","",INDEX(RawData[Description],MATCH(A276,RawData[[Article ]],0)))</f>
        <v/>
      </c>
      <c r="C276" s="9" t="str">
        <f>IF(A276="","",COUNTIFS(RawData[[Article ]],A276,RawData[Month List],TEXT($A$4,"mmmm yyyy")))</f>
        <v/>
      </c>
      <c r="D276" s="9" t="str">
        <f>IF(A276="","",COUNTIFS(RawData[[Article ]],A276,RawData[[Error Type ]],"Short",RawData[Month List],TEXT($A$4,"mmmm yyyy")))</f>
        <v/>
      </c>
      <c r="E276" s="9" t="str">
        <f>IF(A276="","",COUNTIFS(RawData[[Article ]],A276,RawData[[Error Type ]],"Excess",RawData[Month List],TEXT($A$4, "mmmm yyyy")))</f>
        <v/>
      </c>
      <c r="F276" s="9" t="str">
        <f>IF(A276="","",SUMIFS(RawData[Qyt Affected ( EA ) ],RawData[[Article ]],A276,RawData[Month List],TEXT($A$4,"mmmm yyyy")))</f>
        <v/>
      </c>
    </row>
    <row r="277" spans="1:6" ht="15.75" x14ac:dyDescent="0.25">
      <c r="A277" s="40"/>
      <c r="B277" s="9" t="str">
        <f>IF(A277="","",INDEX(RawData[Description],MATCH(A277,RawData[[Article ]],0)))</f>
        <v/>
      </c>
      <c r="C277" s="9" t="str">
        <f>IF(A277="","",COUNTIFS(RawData[[Article ]],A277,RawData[Month List],TEXT($A$4,"mmmm yyyy")))</f>
        <v/>
      </c>
      <c r="D277" s="9" t="str">
        <f>IF(A277="","",COUNTIFS(RawData[[Article ]],A277,RawData[[Error Type ]],"Short",RawData[Month List],TEXT($A$4,"mmmm yyyy")))</f>
        <v/>
      </c>
      <c r="E277" s="9" t="str">
        <f>IF(A277="","",COUNTIFS(RawData[[Article ]],A277,RawData[[Error Type ]],"Excess",RawData[Month List],TEXT($A$4, "mmmm yyyy")))</f>
        <v/>
      </c>
      <c r="F277" s="9" t="str">
        <f>IF(A277="","",SUMIFS(RawData[Qyt Affected ( EA ) ],RawData[[Article ]],A277,RawData[Month List],TEXT($A$4,"mmmm yyyy")))</f>
        <v/>
      </c>
    </row>
    <row r="278" spans="1:6" ht="15.75" x14ac:dyDescent="0.25">
      <c r="A278" s="40"/>
      <c r="B278" s="9" t="str">
        <f>IF(A278="","",INDEX(RawData[Description],MATCH(A278,RawData[[Article ]],0)))</f>
        <v/>
      </c>
      <c r="C278" s="9" t="str">
        <f>IF(A278="","",COUNTIFS(RawData[[Article ]],A278,RawData[Month List],TEXT($A$4,"mmmm yyyy")))</f>
        <v/>
      </c>
      <c r="D278" s="9" t="str">
        <f>IF(A278="","",COUNTIFS(RawData[[Article ]],A278,RawData[[Error Type ]],"Short",RawData[Month List],TEXT($A$4,"mmmm yyyy")))</f>
        <v/>
      </c>
      <c r="E278" s="9" t="str">
        <f>IF(A278="","",COUNTIFS(RawData[[Article ]],A278,RawData[[Error Type ]],"Excess",RawData[Month List],TEXT($A$4, "mmmm yyyy")))</f>
        <v/>
      </c>
      <c r="F278" s="9" t="str">
        <f>IF(A278="","",SUMIFS(RawData[Qyt Affected ( EA ) ],RawData[[Article ]],A278,RawData[Month List],TEXT($A$4,"mmmm yyyy")))</f>
        <v/>
      </c>
    </row>
    <row r="279" spans="1:6" ht="15.75" x14ac:dyDescent="0.25">
      <c r="A279" s="40"/>
      <c r="B279" s="9" t="str">
        <f>IF(A279="","",INDEX(RawData[Description],MATCH(A279,RawData[[Article ]],0)))</f>
        <v/>
      </c>
      <c r="C279" s="9" t="str">
        <f>IF(A279="","",COUNTIFS(RawData[[Article ]],A279,RawData[Month List],TEXT($A$4,"mmmm yyyy")))</f>
        <v/>
      </c>
      <c r="D279" s="9" t="str">
        <f>IF(A279="","",COUNTIFS(RawData[[Article ]],A279,RawData[[Error Type ]],"Short",RawData[Month List],TEXT($A$4,"mmmm yyyy")))</f>
        <v/>
      </c>
      <c r="E279" s="9" t="str">
        <f>IF(A279="","",COUNTIFS(RawData[[Article ]],A279,RawData[[Error Type ]],"Excess",RawData[Month List],TEXT($A$4, "mmmm yyyy")))</f>
        <v/>
      </c>
      <c r="F279" s="9" t="str">
        <f>IF(A279="","",SUMIFS(RawData[Qyt Affected ( EA ) ],RawData[[Article ]],A279,RawData[Month List],TEXT($A$4,"mmmm yyyy")))</f>
        <v/>
      </c>
    </row>
    <row r="280" spans="1:6" ht="15.75" x14ac:dyDescent="0.25">
      <c r="A280" s="40"/>
      <c r="B280" s="9" t="str">
        <f>IF(A280="","",INDEX(RawData[Description],MATCH(A280,RawData[[Article ]],0)))</f>
        <v/>
      </c>
      <c r="C280" s="9" t="str">
        <f>IF(A280="","",COUNTIFS(RawData[[Article ]],A280,RawData[Month List],TEXT($A$4,"mmmm yyyy")))</f>
        <v/>
      </c>
      <c r="D280" s="9" t="str">
        <f>IF(A280="","",COUNTIFS(RawData[[Article ]],A280,RawData[[Error Type ]],"Short",RawData[Month List],TEXT($A$4,"mmmm yyyy")))</f>
        <v/>
      </c>
      <c r="E280" s="9" t="str">
        <f>IF(A280="","",COUNTIFS(RawData[[Article ]],A280,RawData[[Error Type ]],"Excess",RawData[Month List],TEXT($A$4, "mmmm yyyy")))</f>
        <v/>
      </c>
      <c r="F280" s="9" t="str">
        <f>IF(A280="","",SUMIFS(RawData[Qyt Affected ( EA ) ],RawData[[Article ]],A280,RawData[Month List],TEXT($A$4,"mmmm yyyy")))</f>
        <v/>
      </c>
    </row>
    <row r="281" spans="1:6" ht="15.75" x14ac:dyDescent="0.25">
      <c r="A281" s="40"/>
      <c r="B281" s="9" t="str">
        <f>IF(A281="","",INDEX(RawData[Description],MATCH(A281,RawData[[Article ]],0)))</f>
        <v/>
      </c>
      <c r="C281" s="9" t="str">
        <f>IF(A281="","",COUNTIFS(RawData[[Article ]],A281,RawData[Month List],TEXT($A$4,"mmmm yyyy")))</f>
        <v/>
      </c>
      <c r="D281" s="9" t="str">
        <f>IF(A281="","",COUNTIFS(RawData[[Article ]],A281,RawData[[Error Type ]],"Short",RawData[Month List],TEXT($A$4,"mmmm yyyy")))</f>
        <v/>
      </c>
      <c r="E281" s="9" t="str">
        <f>IF(A281="","",COUNTIFS(RawData[[Article ]],A281,RawData[[Error Type ]],"Excess",RawData[Month List],TEXT($A$4, "mmmm yyyy")))</f>
        <v/>
      </c>
      <c r="F281" s="9" t="str">
        <f>IF(A281="","",SUMIFS(RawData[Qyt Affected ( EA ) ],RawData[[Article ]],A281,RawData[Month List],TEXT($A$4,"mmmm yyyy")))</f>
        <v/>
      </c>
    </row>
    <row r="282" spans="1:6" ht="15.75" x14ac:dyDescent="0.25">
      <c r="A282" s="40"/>
      <c r="B282" s="9" t="str">
        <f>IF(A282="","",INDEX(RawData[Description],MATCH(A282,RawData[[Article ]],0)))</f>
        <v/>
      </c>
      <c r="C282" s="9" t="str">
        <f>IF(A282="","",COUNTIFS(RawData[[Article ]],A282,RawData[Month List],TEXT($A$4,"mmmm yyyy")))</f>
        <v/>
      </c>
      <c r="D282" s="9" t="str">
        <f>IF(A282="","",COUNTIFS(RawData[[Article ]],A282,RawData[[Error Type ]],"Short",RawData[Month List],TEXT($A$4,"mmmm yyyy")))</f>
        <v/>
      </c>
      <c r="E282" s="9" t="str">
        <f>IF(A282="","",COUNTIFS(RawData[[Article ]],A282,RawData[[Error Type ]],"Excess",RawData[Month List],TEXT($A$4, "mmmm yyyy")))</f>
        <v/>
      </c>
      <c r="F282" s="9" t="str">
        <f>IF(A282="","",SUMIFS(RawData[Qyt Affected ( EA ) ],RawData[[Article ]],A282,RawData[Month List],TEXT($A$4,"mmmm yyyy")))</f>
        <v/>
      </c>
    </row>
    <row r="283" spans="1:6" ht="15.75" x14ac:dyDescent="0.25">
      <c r="A283" s="40"/>
      <c r="B283" s="9" t="str">
        <f>IF(A283="","",INDEX(RawData[Description],MATCH(A283,RawData[[Article ]],0)))</f>
        <v/>
      </c>
      <c r="C283" s="9" t="str">
        <f>IF(A283="","",COUNTIFS(RawData[[Article ]],A283,RawData[Month List],TEXT($A$4,"mmmm yyyy")))</f>
        <v/>
      </c>
      <c r="D283" s="9" t="str">
        <f>IF(A283="","",COUNTIFS(RawData[[Article ]],A283,RawData[[Error Type ]],"Short",RawData[Month List],TEXT($A$4,"mmmm yyyy")))</f>
        <v/>
      </c>
      <c r="E283" s="9" t="str">
        <f>IF(A283="","",COUNTIFS(RawData[[Article ]],A283,RawData[[Error Type ]],"Excess",RawData[Month List],TEXT($A$4, "mmmm yyyy")))</f>
        <v/>
      </c>
      <c r="F283" s="9" t="str">
        <f>IF(A283="","",SUMIFS(RawData[Qyt Affected ( EA ) ],RawData[[Article ]],A283,RawData[Month List],TEXT($A$4,"mmmm yyyy")))</f>
        <v/>
      </c>
    </row>
    <row r="284" spans="1:6" ht="15.75" x14ac:dyDescent="0.25">
      <c r="A284" s="40"/>
      <c r="B284" s="9" t="str">
        <f>IF(A284="","",INDEX(RawData[Description],MATCH(A284,RawData[[Article ]],0)))</f>
        <v/>
      </c>
      <c r="C284" s="9" t="str">
        <f>IF(A284="","",COUNTIFS(RawData[[Article ]],A284,RawData[Month List],TEXT($A$4,"mmmm yyyy")))</f>
        <v/>
      </c>
      <c r="D284" s="9" t="str">
        <f>IF(A284="","",COUNTIFS(RawData[[Article ]],A284,RawData[[Error Type ]],"Short",RawData[Month List],TEXT($A$4,"mmmm yyyy")))</f>
        <v/>
      </c>
      <c r="E284" s="9" t="str">
        <f>IF(A284="","",COUNTIFS(RawData[[Article ]],A284,RawData[[Error Type ]],"Excess",RawData[Month List],TEXT($A$4, "mmmm yyyy")))</f>
        <v/>
      </c>
      <c r="F284" s="9" t="str">
        <f>IF(A284="","",SUMIFS(RawData[Qyt Affected ( EA ) ],RawData[[Article ]],A284,RawData[Month List],TEXT($A$4,"mmmm yyyy")))</f>
        <v/>
      </c>
    </row>
    <row r="285" spans="1:6" ht="15.75" x14ac:dyDescent="0.25">
      <c r="A285" s="40"/>
      <c r="B285" s="9" t="str">
        <f>IF(A285="","",INDEX(RawData[Description],MATCH(A285,RawData[[Article ]],0)))</f>
        <v/>
      </c>
      <c r="C285" s="9" t="str">
        <f>IF(A285="","",COUNTIFS(RawData[[Article ]],A285,RawData[Month List],TEXT($A$4,"mmmm yyyy")))</f>
        <v/>
      </c>
      <c r="D285" s="9" t="str">
        <f>IF(A285="","",COUNTIFS(RawData[[Article ]],A285,RawData[[Error Type ]],"Short",RawData[Month List],TEXT($A$4,"mmmm yyyy")))</f>
        <v/>
      </c>
      <c r="E285" s="9" t="str">
        <f>IF(A285="","",COUNTIFS(RawData[[Article ]],A285,RawData[[Error Type ]],"Excess",RawData[Month List],TEXT($A$4, "mmmm yyyy")))</f>
        <v/>
      </c>
      <c r="F285" s="9" t="str">
        <f>IF(A285="","",SUMIFS(RawData[Qyt Affected ( EA ) ],RawData[[Article ]],A285,RawData[Month List],TEXT($A$4,"mmmm yyyy")))</f>
        <v/>
      </c>
    </row>
    <row r="286" spans="1:6" ht="15.75" x14ac:dyDescent="0.25">
      <c r="A286" s="40"/>
      <c r="B286" s="9" t="str">
        <f>IF(A286="","",INDEX(RawData[Description],MATCH(A286,RawData[[Article ]],0)))</f>
        <v/>
      </c>
      <c r="C286" s="9" t="str">
        <f>IF(A286="","",COUNTIFS(RawData[[Article ]],A286,RawData[Month List],TEXT($A$4,"mmmm yyyy")))</f>
        <v/>
      </c>
      <c r="D286" s="9" t="str">
        <f>IF(A286="","",COUNTIFS(RawData[[Article ]],A286,RawData[[Error Type ]],"Short",RawData[Month List],TEXT($A$4,"mmmm yyyy")))</f>
        <v/>
      </c>
      <c r="E286" s="9" t="str">
        <f>IF(A286="","",COUNTIFS(RawData[[Article ]],A286,RawData[[Error Type ]],"Excess",RawData[Month List],TEXT($A$4, "mmmm yyyy")))</f>
        <v/>
      </c>
      <c r="F286" s="9" t="str">
        <f>IF(A286="","",SUMIFS(RawData[Qyt Affected ( EA ) ],RawData[[Article ]],A286,RawData[Month List],TEXT($A$4,"mmmm yyyy")))</f>
        <v/>
      </c>
    </row>
    <row r="287" spans="1:6" ht="15.75" x14ac:dyDescent="0.25">
      <c r="A287" s="40"/>
      <c r="B287" s="9" t="str">
        <f>IF(A287="","",INDEX(RawData[Description],MATCH(A287,RawData[[Article ]],0)))</f>
        <v/>
      </c>
      <c r="C287" s="9" t="str">
        <f>IF(A287="","",COUNTIFS(RawData[[Article ]],A287,RawData[Month List],TEXT($A$4,"mmmm yyyy")))</f>
        <v/>
      </c>
      <c r="D287" s="9" t="str">
        <f>IF(A287="","",COUNTIFS(RawData[[Article ]],A287,RawData[[Error Type ]],"Short",RawData[Month List],TEXT($A$4,"mmmm yyyy")))</f>
        <v/>
      </c>
      <c r="E287" s="9" t="str">
        <f>IF(A287="","",COUNTIFS(RawData[[Article ]],A287,RawData[[Error Type ]],"Excess",RawData[Month List],TEXT($A$4, "mmmm yyyy")))</f>
        <v/>
      </c>
      <c r="F287" s="9" t="str">
        <f>IF(A287="","",SUMIFS(RawData[Qyt Affected ( EA ) ],RawData[[Article ]],A287,RawData[Month List],TEXT($A$4,"mmmm yyyy")))</f>
        <v/>
      </c>
    </row>
    <row r="288" spans="1:6" ht="15.75" x14ac:dyDescent="0.25">
      <c r="A288" s="40"/>
      <c r="B288" s="9" t="str">
        <f>IF(A288="","",INDEX(RawData[Description],MATCH(A288,RawData[[Article ]],0)))</f>
        <v/>
      </c>
      <c r="C288" s="9" t="str">
        <f>IF(A288="","",COUNTIFS(RawData[[Article ]],A288,RawData[Month List],TEXT($A$4,"mmmm yyyy")))</f>
        <v/>
      </c>
      <c r="D288" s="9" t="str">
        <f>IF(A288="","",COUNTIFS(RawData[[Article ]],A288,RawData[[Error Type ]],"Short",RawData[Month List],TEXT($A$4,"mmmm yyyy")))</f>
        <v/>
      </c>
      <c r="E288" s="9" t="str">
        <f>IF(A288="","",COUNTIFS(RawData[[Article ]],A288,RawData[[Error Type ]],"Excess",RawData[Month List],TEXT($A$4, "mmmm yyyy")))</f>
        <v/>
      </c>
      <c r="F288" s="9" t="str">
        <f>IF(A288="","",SUMIFS(RawData[Qyt Affected ( EA ) ],RawData[[Article ]],A288,RawData[Month List],TEXT($A$4,"mmmm yyyy")))</f>
        <v/>
      </c>
    </row>
    <row r="289" spans="1:6" ht="15.75" x14ac:dyDescent="0.25">
      <c r="A289" s="40"/>
      <c r="B289" s="9" t="str">
        <f>IF(A289="","",INDEX(RawData[Description],MATCH(A289,RawData[[Article ]],0)))</f>
        <v/>
      </c>
      <c r="C289" s="9" t="str">
        <f>IF(A289="","",COUNTIFS(RawData[[Article ]],A289,RawData[Month List],TEXT($A$4,"mmmm yyyy")))</f>
        <v/>
      </c>
      <c r="D289" s="9" t="str">
        <f>IF(A289="","",COUNTIFS(RawData[[Article ]],A289,RawData[[Error Type ]],"Short",RawData[Month List],TEXT($A$4,"mmmm yyyy")))</f>
        <v/>
      </c>
      <c r="E289" s="9" t="str">
        <f>IF(A289="","",COUNTIFS(RawData[[Article ]],A289,RawData[[Error Type ]],"Excess",RawData[Month List],TEXT($A$4, "mmmm yyyy")))</f>
        <v/>
      </c>
      <c r="F289" s="9" t="str">
        <f>IF(A289="","",SUMIFS(RawData[Qyt Affected ( EA ) ],RawData[[Article ]],A289,RawData[Month List],TEXT($A$4,"mmmm yyyy")))</f>
        <v/>
      </c>
    </row>
    <row r="290" spans="1:6" ht="15.75" x14ac:dyDescent="0.25">
      <c r="A290" s="40"/>
      <c r="B290" s="9" t="str">
        <f>IF(A290="","",INDEX(RawData[Description],MATCH(A290,RawData[[Article ]],0)))</f>
        <v/>
      </c>
      <c r="C290" s="9" t="str">
        <f>IF(A290="","",COUNTIFS(RawData[[Article ]],A290,RawData[Month List],TEXT($A$4,"mmmm yyyy")))</f>
        <v/>
      </c>
      <c r="D290" s="9" t="str">
        <f>IF(A290="","",COUNTIFS(RawData[[Article ]],A290,RawData[[Error Type ]],"Short",RawData[Month List],TEXT($A$4,"mmmm yyyy")))</f>
        <v/>
      </c>
      <c r="E290" s="9" t="str">
        <f>IF(A290="","",COUNTIFS(RawData[[Article ]],A290,RawData[[Error Type ]],"Excess",RawData[Month List],TEXT($A$4, "mmmm yyyy")))</f>
        <v/>
      </c>
      <c r="F290" s="9" t="str">
        <f>IF(A290="","",SUMIFS(RawData[Qyt Affected ( EA ) ],RawData[[Article ]],A290,RawData[Month List],TEXT($A$4,"mmmm yyyy")))</f>
        <v/>
      </c>
    </row>
    <row r="291" spans="1:6" ht="15.75" x14ac:dyDescent="0.25">
      <c r="A291" s="40"/>
      <c r="B291" s="9" t="str">
        <f>IF(A291="","",INDEX(RawData[Description],MATCH(A291,RawData[[Article ]],0)))</f>
        <v/>
      </c>
      <c r="C291" s="9" t="str">
        <f>IF(A291="","",COUNTIFS(RawData[[Article ]],A291,RawData[Month List],TEXT($A$4,"mmmm yyyy")))</f>
        <v/>
      </c>
      <c r="D291" s="9" t="str">
        <f>IF(A291="","",COUNTIFS(RawData[[Article ]],A291,RawData[[Error Type ]],"Short",RawData[Month List],TEXT($A$4,"mmmm yyyy")))</f>
        <v/>
      </c>
      <c r="E291" s="9" t="str">
        <f>IF(A291="","",COUNTIFS(RawData[[Article ]],A291,RawData[[Error Type ]],"Excess",RawData[Month List],TEXT($A$4, "mmmm yyyy")))</f>
        <v/>
      </c>
      <c r="F291" s="9" t="str">
        <f>IF(A291="","",SUMIFS(RawData[Qyt Affected ( EA ) ],RawData[[Article ]],A291,RawData[Month List],TEXT($A$4,"mmmm yyyy")))</f>
        <v/>
      </c>
    </row>
    <row r="292" spans="1:6" ht="15.75" x14ac:dyDescent="0.25">
      <c r="A292" s="40"/>
      <c r="B292" s="9" t="str">
        <f>IF(A292="","",INDEX(RawData[Description],MATCH(A292,RawData[[Article ]],0)))</f>
        <v/>
      </c>
      <c r="C292" s="9" t="str">
        <f>IF(A292="","",COUNTIFS(RawData[[Article ]],A292,RawData[Month List],TEXT($A$4,"mmmm yyyy")))</f>
        <v/>
      </c>
      <c r="D292" s="9" t="str">
        <f>IF(A292="","",COUNTIFS(RawData[[Article ]],A292,RawData[[Error Type ]],"Short",RawData[Month List],TEXT($A$4,"mmmm yyyy")))</f>
        <v/>
      </c>
      <c r="E292" s="9" t="str">
        <f>IF(A292="","",COUNTIFS(RawData[[Article ]],A292,RawData[[Error Type ]],"Excess",RawData[Month List],TEXT($A$4, "mmmm yyyy")))</f>
        <v/>
      </c>
      <c r="F292" s="9" t="str">
        <f>IF(A292="","",SUMIFS(RawData[Qyt Affected ( EA ) ],RawData[[Article ]],A292,RawData[Month List],TEXT($A$4,"mmmm yyyy")))</f>
        <v/>
      </c>
    </row>
    <row r="293" spans="1:6" ht="15.75" x14ac:dyDescent="0.25">
      <c r="A293" s="40"/>
      <c r="B293" s="9" t="str">
        <f>IF(A293="","",INDEX(RawData[Description],MATCH(A293,RawData[[Article ]],0)))</f>
        <v/>
      </c>
      <c r="C293" s="9" t="str">
        <f>IF(A293="","",COUNTIFS(RawData[[Article ]],A293,RawData[Month List],TEXT($A$4,"mmmm yyyy")))</f>
        <v/>
      </c>
      <c r="D293" s="9" t="str">
        <f>IF(A293="","",COUNTIFS(RawData[[Article ]],A293,RawData[[Error Type ]],"Short",RawData[Month List],TEXT($A$4,"mmmm yyyy")))</f>
        <v/>
      </c>
      <c r="E293" s="9" t="str">
        <f>IF(A293="","",COUNTIFS(RawData[[Article ]],A293,RawData[[Error Type ]],"Excess",RawData[Month List],TEXT($A$4, "mmmm yyyy")))</f>
        <v/>
      </c>
      <c r="F293" s="9" t="str">
        <f>IF(A293="","",SUMIFS(RawData[Qyt Affected ( EA ) ],RawData[[Article ]],A293,RawData[Month List],TEXT($A$4,"mmmm yyyy")))</f>
        <v/>
      </c>
    </row>
    <row r="294" spans="1:6" ht="15.75" x14ac:dyDescent="0.25">
      <c r="A294" s="40"/>
      <c r="B294" s="9" t="str">
        <f>IF(A294="","",INDEX(RawData[Description],MATCH(A294,RawData[[Article ]],0)))</f>
        <v/>
      </c>
      <c r="C294" s="9" t="str">
        <f>IF(A294="","",COUNTIFS(RawData[[Article ]],A294,RawData[Month List],TEXT($A$4,"mmmm yyyy")))</f>
        <v/>
      </c>
      <c r="D294" s="9" t="str">
        <f>IF(A294="","",COUNTIFS(RawData[[Article ]],A294,RawData[[Error Type ]],"Short",RawData[Month List],TEXT($A$4,"mmmm yyyy")))</f>
        <v/>
      </c>
      <c r="E294" s="9" t="str">
        <f>IF(A294="","",COUNTIFS(RawData[[Article ]],A294,RawData[[Error Type ]],"Excess",RawData[Month List],TEXT($A$4, "mmmm yyyy")))</f>
        <v/>
      </c>
      <c r="F294" s="9" t="str">
        <f>IF(A294="","",SUMIFS(RawData[Qyt Affected ( EA ) ],RawData[[Article ]],A294,RawData[Month List],TEXT($A$4,"mmmm yyyy")))</f>
        <v/>
      </c>
    </row>
    <row r="295" spans="1:6" ht="15.75" x14ac:dyDescent="0.25">
      <c r="A295" s="40"/>
      <c r="B295" s="9" t="str">
        <f>IF(A295="","",INDEX(RawData[Description],MATCH(A295,RawData[[Article ]],0)))</f>
        <v/>
      </c>
      <c r="C295" s="9" t="str">
        <f>IF(A295="","",COUNTIFS(RawData[[Article ]],A295,RawData[Month List],TEXT($A$4,"mmmm yyyy")))</f>
        <v/>
      </c>
      <c r="D295" s="9" t="str">
        <f>IF(A295="","",COUNTIFS(RawData[[Article ]],A295,RawData[[Error Type ]],"Short",RawData[Month List],TEXT($A$4,"mmmm yyyy")))</f>
        <v/>
      </c>
      <c r="E295" s="9" t="str">
        <f>IF(A295="","",COUNTIFS(RawData[[Article ]],A295,RawData[[Error Type ]],"Excess",RawData[Month List],TEXT($A$4, "mmmm yyyy")))</f>
        <v/>
      </c>
      <c r="F295" s="9" t="str">
        <f>IF(A295="","",SUMIFS(RawData[Qyt Affected ( EA ) ],RawData[[Article ]],A295,RawData[Month List],TEXT($A$4,"mmmm yyyy")))</f>
        <v/>
      </c>
    </row>
    <row r="296" spans="1:6" ht="15.75" x14ac:dyDescent="0.25">
      <c r="A296" s="40"/>
      <c r="B296" s="9" t="str">
        <f>IF(A296="","",INDEX(RawData[Description],MATCH(A296,RawData[[Article ]],0)))</f>
        <v/>
      </c>
      <c r="C296" s="9" t="str">
        <f>IF(A296="","",COUNTIFS(RawData[[Article ]],A296,RawData[Month List],TEXT($A$4,"mmmm yyyy")))</f>
        <v/>
      </c>
      <c r="D296" s="9" t="str">
        <f>IF(A296="","",COUNTIFS(RawData[[Article ]],A296,RawData[[Error Type ]],"Short",RawData[Month List],TEXT($A$4,"mmmm yyyy")))</f>
        <v/>
      </c>
      <c r="E296" s="9" t="str">
        <f>IF(A296="","",COUNTIFS(RawData[[Article ]],A296,RawData[[Error Type ]],"Excess",RawData[Month List],TEXT($A$4, "mmmm yyyy")))</f>
        <v/>
      </c>
      <c r="F296" s="9" t="str">
        <f>IF(A296="","",SUMIFS(RawData[Qyt Affected ( EA ) ],RawData[[Article ]],A296,RawData[Month List],TEXT($A$4,"mmmm yyyy")))</f>
        <v/>
      </c>
    </row>
    <row r="297" spans="1:6" ht="15.75" x14ac:dyDescent="0.25">
      <c r="A297" s="40"/>
      <c r="B297" s="9" t="str">
        <f>IF(A297="","",INDEX(RawData[Description],MATCH(A297,RawData[[Article ]],0)))</f>
        <v/>
      </c>
      <c r="C297" s="9" t="str">
        <f>IF(A297="","",COUNTIFS(RawData[[Article ]],A297,RawData[Month List],TEXT($A$4,"mmmm yyyy")))</f>
        <v/>
      </c>
      <c r="D297" s="9" t="str">
        <f>IF(A297="","",COUNTIFS(RawData[[Article ]],A297,RawData[[Error Type ]],"Short",RawData[Month List],TEXT($A$4,"mmmm yyyy")))</f>
        <v/>
      </c>
      <c r="E297" s="9" t="str">
        <f>IF(A297="","",COUNTIFS(RawData[[Article ]],A297,RawData[[Error Type ]],"Excess",RawData[Month List],TEXT($A$4, "mmmm yyyy")))</f>
        <v/>
      </c>
      <c r="F297" s="9" t="str">
        <f>IF(A297="","",SUMIFS(RawData[Qyt Affected ( EA ) ],RawData[[Article ]],A297,RawData[Month List],TEXT($A$4,"mmmm yyyy")))</f>
        <v/>
      </c>
    </row>
    <row r="298" spans="1:6" ht="15.75" x14ac:dyDescent="0.25">
      <c r="A298" s="40"/>
      <c r="B298" s="9" t="str">
        <f>IF(A298="","",INDEX(RawData[Description],MATCH(A298,RawData[[Article ]],0)))</f>
        <v/>
      </c>
      <c r="C298" s="9" t="str">
        <f>IF(A298="","",COUNTIFS(RawData[[Article ]],A298,RawData[Month List],TEXT($A$4,"mmmm yyyy")))</f>
        <v/>
      </c>
      <c r="D298" s="9" t="str">
        <f>IF(A298="","",COUNTIFS(RawData[[Article ]],A298,RawData[[Error Type ]],"Short",RawData[Month List],TEXT($A$4,"mmmm yyyy")))</f>
        <v/>
      </c>
      <c r="E298" s="9" t="str">
        <f>IF(A298="","",COUNTIFS(RawData[[Article ]],A298,RawData[[Error Type ]],"Excess",RawData[Month List],TEXT($A$4, "mmmm yyyy")))</f>
        <v/>
      </c>
      <c r="F298" s="9" t="str">
        <f>IF(A298="","",SUMIFS(RawData[Qyt Affected ( EA ) ],RawData[[Article ]],A298,RawData[Month List],TEXT($A$4,"mmmm yyyy")))</f>
        <v/>
      </c>
    </row>
    <row r="299" spans="1:6" ht="15.75" x14ac:dyDescent="0.25">
      <c r="A299" s="40"/>
      <c r="B299" s="9" t="str">
        <f>IF(A299="","",INDEX(RawData[Description],MATCH(A299,RawData[[Article ]],0)))</f>
        <v/>
      </c>
      <c r="C299" s="9" t="str">
        <f>IF(A299="","",COUNTIFS(RawData[[Article ]],A299,RawData[Month List],TEXT($A$4,"mmmm yyyy")))</f>
        <v/>
      </c>
      <c r="D299" s="9" t="str">
        <f>IF(A299="","",COUNTIFS(RawData[[Article ]],A299,RawData[[Error Type ]],"Short",RawData[Month List],TEXT($A$4,"mmmm yyyy")))</f>
        <v/>
      </c>
      <c r="E299" s="9" t="str">
        <f>IF(A299="","",COUNTIFS(RawData[[Article ]],A299,RawData[[Error Type ]],"Excess",RawData[Month List],TEXT($A$4, "mmmm yyyy")))</f>
        <v/>
      </c>
      <c r="F299" s="9" t="str">
        <f>IF(A299="","",SUMIFS(RawData[Qyt Affected ( EA ) ],RawData[[Article ]],A299,RawData[Month List],TEXT($A$4,"mmmm yyyy")))</f>
        <v/>
      </c>
    </row>
    <row r="300" spans="1:6" ht="15.75" x14ac:dyDescent="0.25">
      <c r="A300" s="40"/>
      <c r="B300" s="9" t="str">
        <f>IF(A300="","",INDEX(RawData[Description],MATCH(A300,RawData[[Article ]],0)))</f>
        <v/>
      </c>
      <c r="C300" s="9" t="str">
        <f>IF(A300="","",COUNTIFS(RawData[[Article ]],A300,RawData[Month List],TEXT($A$4,"mmmm yyyy")))</f>
        <v/>
      </c>
      <c r="D300" s="9" t="str">
        <f>IF(A300="","",COUNTIFS(RawData[[Article ]],A300,RawData[[Error Type ]],"Short",RawData[Month List],TEXT($A$4,"mmmm yyyy")))</f>
        <v/>
      </c>
      <c r="E300" s="9" t="str">
        <f>IF(A300="","",COUNTIFS(RawData[[Article ]],A300,RawData[[Error Type ]],"Excess",RawData[Month List],TEXT($A$4, "mmmm yyyy")))</f>
        <v/>
      </c>
      <c r="F300" s="9" t="str">
        <f>IF(A300="","",SUMIFS(RawData[Qyt Affected ( EA ) ],RawData[[Article ]],A300,RawData[Month List],TEXT($A$4,"mmmm yyyy")))</f>
        <v/>
      </c>
    </row>
    <row r="301" spans="1:6" ht="15.75" x14ac:dyDescent="0.25">
      <c r="A301" s="40"/>
      <c r="B301" s="9" t="str">
        <f>IF(A301="","",INDEX(RawData[Description],MATCH(A301,RawData[[Article ]],0)))</f>
        <v/>
      </c>
      <c r="C301" s="9" t="str">
        <f>IF(A301="","",COUNTIFS(RawData[[Article ]],A301,RawData[Month List],TEXT($A$4,"mmmm yyyy")))</f>
        <v/>
      </c>
      <c r="D301" s="9" t="str">
        <f>IF(A301="","",COUNTIFS(RawData[[Article ]],A301,RawData[[Error Type ]],"Short",RawData[Month List],TEXT($A$4,"mmmm yyyy")))</f>
        <v/>
      </c>
      <c r="E301" s="9" t="str">
        <f>IF(A301="","",COUNTIFS(RawData[[Article ]],A301,RawData[[Error Type ]],"Excess",RawData[Month List],TEXT($A$4, "mmmm yyyy")))</f>
        <v/>
      </c>
      <c r="F301" s="9" t="str">
        <f>IF(A301="","",SUMIFS(RawData[Qyt Affected ( EA ) ],RawData[[Article ]],A301,RawData[Month List],TEXT($A$4,"mmmm yyyy")))</f>
        <v/>
      </c>
    </row>
    <row r="302" spans="1:6" ht="15.75" x14ac:dyDescent="0.25">
      <c r="A302" s="40"/>
      <c r="B302" s="9" t="str">
        <f>IF(A302="","",INDEX(RawData[Description],MATCH(A302,RawData[[Article ]],0)))</f>
        <v/>
      </c>
      <c r="C302" s="9" t="str">
        <f>IF(A302="","",COUNTIFS(RawData[[Article ]],A302,RawData[Month List],TEXT($A$4,"mmmm yyyy")))</f>
        <v/>
      </c>
      <c r="D302" s="9" t="str">
        <f>IF(A302="","",COUNTIFS(RawData[[Article ]],A302,RawData[[Error Type ]],"Short",RawData[Month List],TEXT($A$4,"mmmm yyyy")))</f>
        <v/>
      </c>
      <c r="E302" s="9" t="str">
        <f>IF(A302="","",COUNTIFS(RawData[[Article ]],A302,RawData[[Error Type ]],"Excess",RawData[Month List],TEXT($A$4, "mmmm yyyy")))</f>
        <v/>
      </c>
      <c r="F302" s="9" t="str">
        <f>IF(A302="","",SUMIFS(RawData[Qyt Affected ( EA ) ],RawData[[Article ]],A302,RawData[Month List],TEXT($A$4,"mmmm yyyy")))</f>
        <v/>
      </c>
    </row>
    <row r="303" spans="1:6" ht="15.75" x14ac:dyDescent="0.25">
      <c r="A303" s="40"/>
      <c r="B303" s="9" t="str">
        <f>IF(A303="","",INDEX(RawData[Description],MATCH(A303,RawData[[Article ]],0)))</f>
        <v/>
      </c>
      <c r="C303" s="9" t="str">
        <f>IF(A303="","",COUNTIFS(RawData[[Article ]],A303,RawData[Month List],TEXT($A$4,"mmmm yyyy")))</f>
        <v/>
      </c>
      <c r="D303" s="9" t="str">
        <f>IF(A303="","",COUNTIFS(RawData[[Article ]],A303,RawData[[Error Type ]],"Short",RawData[Month List],TEXT($A$4,"mmmm yyyy")))</f>
        <v/>
      </c>
      <c r="E303" s="9" t="str">
        <f>IF(A303="","",COUNTIFS(RawData[[Article ]],A303,RawData[[Error Type ]],"Excess",RawData[Month List],TEXT($A$4, "mmmm yyyy")))</f>
        <v/>
      </c>
      <c r="F303" s="9" t="str">
        <f>IF(A303="","",SUMIFS(RawData[Qyt Affected ( EA ) ],RawData[[Article ]],A303,RawData[Month List],TEXT($A$4,"mmmm yyyy")))</f>
        <v/>
      </c>
    </row>
    <row r="304" spans="1:6" ht="15.75" x14ac:dyDescent="0.25">
      <c r="A304" s="40"/>
      <c r="B304" s="9" t="str">
        <f>IF(A304="","",INDEX(RawData[Description],MATCH(A304,RawData[[Article ]],0)))</f>
        <v/>
      </c>
      <c r="C304" s="9" t="str">
        <f>IF(A304="","",COUNTIFS(RawData[[Article ]],A304,RawData[Month List],TEXT($A$4,"mmmm yyyy")))</f>
        <v/>
      </c>
      <c r="D304" s="9" t="str">
        <f>IF(A304="","",COUNTIFS(RawData[[Article ]],A304,RawData[[Error Type ]],"Short",RawData[Month List],TEXT($A$4,"mmmm yyyy")))</f>
        <v/>
      </c>
      <c r="E304" s="9" t="str">
        <f>IF(A304="","",COUNTIFS(RawData[[Article ]],A304,RawData[[Error Type ]],"Excess",RawData[Month List],TEXT($A$4, "mmmm yyyy")))</f>
        <v/>
      </c>
      <c r="F304" s="9" t="str">
        <f>IF(A304="","",SUMIFS(RawData[Qyt Affected ( EA ) ],RawData[[Article ]],A304,RawData[Month List],TEXT($A$4,"mmmm yyyy")))</f>
        <v/>
      </c>
    </row>
    <row r="305" spans="1:6" ht="15.75" x14ac:dyDescent="0.25">
      <c r="A305" s="40"/>
      <c r="B305" s="9" t="str">
        <f>IF(A305="","",INDEX(RawData[Description],MATCH(A305,RawData[[Article ]],0)))</f>
        <v/>
      </c>
      <c r="C305" s="9" t="str">
        <f>IF(A305="","",COUNTIFS(RawData[[Article ]],A305,RawData[Month List],TEXT($A$4,"mmmm yyyy")))</f>
        <v/>
      </c>
      <c r="D305" s="9" t="str">
        <f>IF(A305="","",COUNTIFS(RawData[[Article ]],A305,RawData[[Error Type ]],"Short",RawData[Month List],TEXT($A$4,"mmmm yyyy")))</f>
        <v/>
      </c>
      <c r="E305" s="9" t="str">
        <f>IF(A305="","",COUNTIFS(RawData[[Article ]],A305,RawData[[Error Type ]],"Excess",RawData[Month List],TEXT($A$4, "mmmm yyyy")))</f>
        <v/>
      </c>
      <c r="F305" s="9" t="str">
        <f>IF(A305="","",SUMIFS(RawData[Qyt Affected ( EA ) ],RawData[[Article ]],A305,RawData[Month List],TEXT($A$4,"mmmm yyyy")))</f>
        <v/>
      </c>
    </row>
    <row r="306" spans="1:6" ht="15.75" x14ac:dyDescent="0.25">
      <c r="A306" s="40"/>
      <c r="B306" s="9" t="str">
        <f>IF(A306="","",INDEX(RawData[Description],MATCH(A306,RawData[[Article ]],0)))</f>
        <v/>
      </c>
      <c r="C306" s="9" t="str">
        <f>IF(A306="","",COUNTIFS(RawData[[Article ]],A306,RawData[Month List],TEXT($A$4,"mmmm yyyy")))</f>
        <v/>
      </c>
      <c r="D306" s="9" t="str">
        <f>IF(A306="","",COUNTIFS(RawData[[Article ]],A306,RawData[[Error Type ]],"Short",RawData[Month List],TEXT($A$4,"mmmm yyyy")))</f>
        <v/>
      </c>
      <c r="E306" s="9" t="str">
        <f>IF(A306="","",COUNTIFS(RawData[[Article ]],A306,RawData[[Error Type ]],"Excess",RawData[Month List],TEXT($A$4, "mmmm yyyy")))</f>
        <v/>
      </c>
      <c r="F306" s="9" t="str">
        <f>IF(A306="","",SUMIFS(RawData[Qyt Affected ( EA ) ],RawData[[Article ]],A306,RawData[Month List],TEXT($A$4,"mmmm yyyy")))</f>
        <v/>
      </c>
    </row>
    <row r="307" spans="1:6" ht="15.75" x14ac:dyDescent="0.25">
      <c r="A307" s="40"/>
      <c r="B307" s="9" t="str">
        <f>IF(A307="","",INDEX(RawData[Description],MATCH(A307,RawData[[Article ]],0)))</f>
        <v/>
      </c>
      <c r="C307" s="9" t="str">
        <f>IF(A307="","",COUNTIFS(RawData[[Article ]],A307,RawData[Month List],TEXT($A$4,"mmmm yyyy")))</f>
        <v/>
      </c>
      <c r="D307" s="9" t="str">
        <f>IF(A307="","",COUNTIFS(RawData[[Article ]],A307,RawData[[Error Type ]],"Short",RawData[Month List],TEXT($A$4,"mmmm yyyy")))</f>
        <v/>
      </c>
      <c r="E307" s="9" t="str">
        <f>IF(A307="","",COUNTIFS(RawData[[Article ]],A307,RawData[[Error Type ]],"Excess",RawData[Month List],TEXT($A$4, "mmmm yyyy")))</f>
        <v/>
      </c>
      <c r="F307" s="9" t="str">
        <f>IF(A307="","",SUMIFS(RawData[Qyt Affected ( EA ) ],RawData[[Article ]],A307,RawData[Month List],TEXT($A$4,"mmmm yyyy")))</f>
        <v/>
      </c>
    </row>
    <row r="308" spans="1:6" ht="15.75" x14ac:dyDescent="0.25">
      <c r="A308" s="40"/>
      <c r="B308" s="9" t="str">
        <f>IF(A308="","",INDEX(RawData[Description],MATCH(A308,RawData[[Article ]],0)))</f>
        <v/>
      </c>
      <c r="C308" s="9" t="str">
        <f>IF(A308="","",COUNTIFS(RawData[[Article ]],A308,RawData[Month List],TEXT($A$4,"mmmm yyyy")))</f>
        <v/>
      </c>
      <c r="D308" s="9" t="str">
        <f>IF(A308="","",COUNTIFS(RawData[[Article ]],A308,RawData[[Error Type ]],"Short",RawData[Month List],TEXT($A$4,"mmmm yyyy")))</f>
        <v/>
      </c>
      <c r="E308" s="9" t="str">
        <f>IF(A308="","",COUNTIFS(RawData[[Article ]],A308,RawData[[Error Type ]],"Excess",RawData[Month List],TEXT($A$4, "mmmm yyyy")))</f>
        <v/>
      </c>
      <c r="F308" s="9" t="str">
        <f>IF(A308="","",SUMIFS(RawData[Qyt Affected ( EA ) ],RawData[[Article ]],A308,RawData[Month List],TEXT($A$4,"mmmm yyyy")))</f>
        <v/>
      </c>
    </row>
    <row r="309" spans="1:6" ht="15.75" x14ac:dyDescent="0.25">
      <c r="A309" s="40"/>
      <c r="B309" s="9" t="str">
        <f>IF(A309="","",INDEX(RawData[Description],MATCH(A309,RawData[[Article ]],0)))</f>
        <v/>
      </c>
      <c r="C309" s="9" t="str">
        <f>IF(A309="","",COUNTIFS(RawData[[Article ]],A309,RawData[Month List],TEXT($A$4,"mmmm yyyy")))</f>
        <v/>
      </c>
      <c r="D309" s="9" t="str">
        <f>IF(A309="","",COUNTIFS(RawData[[Article ]],A309,RawData[[Error Type ]],"Short",RawData[Month List],TEXT($A$4,"mmmm yyyy")))</f>
        <v/>
      </c>
      <c r="E309" s="9" t="str">
        <f>IF(A309="","",COUNTIFS(RawData[[Article ]],A309,RawData[[Error Type ]],"Excess",RawData[Month List],TEXT($A$4, "mmmm yyyy")))</f>
        <v/>
      </c>
      <c r="F309" s="9" t="str">
        <f>IF(A309="","",SUMIFS(RawData[Qyt Affected ( EA ) ],RawData[[Article ]],A309,RawData[Month List],TEXT($A$4,"mmmm yyyy")))</f>
        <v/>
      </c>
    </row>
    <row r="310" spans="1:6" ht="15.75" x14ac:dyDescent="0.25">
      <c r="A310" s="40"/>
      <c r="B310" s="9" t="str">
        <f>IF(A310="","",INDEX(RawData[Description],MATCH(A310,RawData[[Article ]],0)))</f>
        <v/>
      </c>
      <c r="C310" s="9" t="str">
        <f>IF(A310="","",COUNTIFS(RawData[[Article ]],A310,RawData[Month List],TEXT($A$4,"mmmm yyyy")))</f>
        <v/>
      </c>
      <c r="D310" s="9" t="str">
        <f>IF(A310="","",COUNTIFS(RawData[[Article ]],A310,RawData[[Error Type ]],"Short",RawData[Month List],TEXT($A$4,"mmmm yyyy")))</f>
        <v/>
      </c>
      <c r="E310" s="9" t="str">
        <f>IF(A310="","",COUNTIFS(RawData[[Article ]],A310,RawData[[Error Type ]],"Excess",RawData[Month List],TEXT($A$4, "mmmm yyyy")))</f>
        <v/>
      </c>
      <c r="F310" s="9" t="str">
        <f>IF(A310="","",SUMIFS(RawData[Qyt Affected ( EA ) ],RawData[[Article ]],A310,RawData[Month List],TEXT($A$4,"mmmm yyyy")))</f>
        <v/>
      </c>
    </row>
    <row r="311" spans="1:6" ht="15.75" x14ac:dyDescent="0.25">
      <c r="A311" s="40"/>
      <c r="B311" s="9" t="str">
        <f>IF(A311="","",INDEX(RawData[Description],MATCH(A311,RawData[[Article ]],0)))</f>
        <v/>
      </c>
      <c r="C311" s="9" t="str">
        <f>IF(A311="","",COUNTIFS(RawData[[Article ]],A311,RawData[Month List],TEXT($A$4,"mmmm yyyy")))</f>
        <v/>
      </c>
      <c r="D311" s="9" t="str">
        <f>IF(A311="","",COUNTIFS(RawData[[Article ]],A311,RawData[[Error Type ]],"Short",RawData[Month List],TEXT($A$4,"mmmm yyyy")))</f>
        <v/>
      </c>
      <c r="E311" s="9" t="str">
        <f>IF(A311="","",COUNTIFS(RawData[[Article ]],A311,RawData[[Error Type ]],"Excess",RawData[Month List],TEXT($A$4, "mmmm yyyy")))</f>
        <v/>
      </c>
      <c r="F311" s="9" t="str">
        <f>IF(A311="","",SUMIFS(RawData[Qyt Affected ( EA ) ],RawData[[Article ]],A311,RawData[Month List],TEXT($A$4,"mmmm yyyy")))</f>
        <v/>
      </c>
    </row>
    <row r="312" spans="1:6" ht="15.75" x14ac:dyDescent="0.25">
      <c r="A312" s="40"/>
      <c r="B312" s="9" t="str">
        <f>IF(A312="","",INDEX(RawData[Description],MATCH(A312,RawData[[Article ]],0)))</f>
        <v/>
      </c>
      <c r="C312" s="9" t="str">
        <f>IF(A312="","",COUNTIFS(RawData[[Article ]],A312,RawData[Month List],TEXT($A$4,"mmmm yyyy")))</f>
        <v/>
      </c>
      <c r="D312" s="9" t="str">
        <f>IF(A312="","",COUNTIFS(RawData[[Article ]],A312,RawData[[Error Type ]],"Short",RawData[Month List],TEXT($A$4,"mmmm yyyy")))</f>
        <v/>
      </c>
      <c r="E312" s="9" t="str">
        <f>IF(A312="","",COUNTIFS(RawData[[Article ]],A312,RawData[[Error Type ]],"Excess",RawData[Month List],TEXT($A$4, "mmmm yyyy")))</f>
        <v/>
      </c>
      <c r="F312" s="9" t="str">
        <f>IF(A312="","",SUMIFS(RawData[Qyt Affected ( EA ) ],RawData[[Article ]],A312,RawData[Month List],TEXT($A$4,"mmmm yyyy")))</f>
        <v/>
      </c>
    </row>
    <row r="313" spans="1:6" ht="15.75" x14ac:dyDescent="0.25">
      <c r="A313" s="40"/>
      <c r="B313" s="9" t="str">
        <f>IF(A313="","",INDEX(RawData[Description],MATCH(A313,RawData[[Article ]],0)))</f>
        <v/>
      </c>
      <c r="C313" s="9" t="str">
        <f>IF(A313="","",COUNTIFS(RawData[[Article ]],A313,RawData[Month List],TEXT($A$4,"mmmm yyyy")))</f>
        <v/>
      </c>
      <c r="D313" s="9" t="str">
        <f>IF(A313="","",COUNTIFS(RawData[[Article ]],A313,RawData[[Error Type ]],"Short",RawData[Month List],TEXT($A$4,"mmmm yyyy")))</f>
        <v/>
      </c>
      <c r="E313" s="9" t="str">
        <f>IF(A313="","",COUNTIFS(RawData[[Article ]],A313,RawData[[Error Type ]],"Excess",RawData[Month List],TEXT($A$4, "mmmm yyyy")))</f>
        <v/>
      </c>
      <c r="F313" s="9" t="str">
        <f>IF(A313="","",SUMIFS(RawData[Qyt Affected ( EA ) ],RawData[[Article ]],A313,RawData[Month List],TEXT($A$4,"mmmm yyyy")))</f>
        <v/>
      </c>
    </row>
    <row r="314" spans="1:6" ht="15.75" x14ac:dyDescent="0.25">
      <c r="A314" s="40"/>
      <c r="B314" s="9" t="str">
        <f>IF(A314="","",INDEX(RawData[Description],MATCH(A314,RawData[[Article ]],0)))</f>
        <v/>
      </c>
      <c r="C314" s="9" t="str">
        <f>IF(A314="","",COUNTIFS(RawData[[Article ]],A314,RawData[Month List],TEXT($A$4,"mmmm yyyy")))</f>
        <v/>
      </c>
      <c r="D314" s="9" t="str">
        <f>IF(A314="","",COUNTIFS(RawData[[Article ]],A314,RawData[[Error Type ]],"Short",RawData[Month List],TEXT($A$4,"mmmm yyyy")))</f>
        <v/>
      </c>
      <c r="E314" s="9" t="str">
        <f>IF(A314="","",COUNTIFS(RawData[[Article ]],A314,RawData[[Error Type ]],"Excess",RawData[Month List],TEXT($A$4, "mmmm yyyy")))</f>
        <v/>
      </c>
      <c r="F314" s="9" t="str">
        <f>IF(A314="","",SUMIFS(RawData[Qyt Affected ( EA ) ],RawData[[Article ]],A314,RawData[Month List],TEXT($A$4,"mmmm yyyy")))</f>
        <v/>
      </c>
    </row>
    <row r="315" spans="1:6" ht="15.75" x14ac:dyDescent="0.25">
      <c r="A315" s="40"/>
      <c r="B315" s="9" t="str">
        <f>IF(A315="","",INDEX(RawData[Description],MATCH(A315,RawData[[Article ]],0)))</f>
        <v/>
      </c>
      <c r="C315" s="9" t="str">
        <f>IF(A315="","",COUNTIFS(RawData[[Article ]],A315,RawData[Month List],TEXT($A$4,"mmmm yyyy")))</f>
        <v/>
      </c>
      <c r="D315" s="9" t="str">
        <f>IF(A315="","",COUNTIFS(RawData[[Article ]],A315,RawData[[Error Type ]],"Short",RawData[Month List],TEXT($A$4,"mmmm yyyy")))</f>
        <v/>
      </c>
      <c r="E315" s="9" t="str">
        <f>IF(A315="","",COUNTIFS(RawData[[Article ]],A315,RawData[[Error Type ]],"Excess",RawData[Month List],TEXT($A$4, "mmmm yyyy")))</f>
        <v/>
      </c>
      <c r="F315" s="9" t="str">
        <f>IF(A315="","",SUMIFS(RawData[Qyt Affected ( EA ) ],RawData[[Article ]],A315,RawData[Month List],TEXT($A$4,"mmmm yyyy")))</f>
        <v/>
      </c>
    </row>
    <row r="316" spans="1:6" ht="15.75" x14ac:dyDescent="0.25">
      <c r="A316" s="40"/>
      <c r="B316" s="9" t="str">
        <f>IF(A316="","",INDEX(RawData[Description],MATCH(A316,RawData[[Article ]],0)))</f>
        <v/>
      </c>
      <c r="C316" s="9" t="str">
        <f>IF(A316="","",COUNTIFS(RawData[[Article ]],A316,RawData[Month List],TEXT($A$4,"mmmm yyyy")))</f>
        <v/>
      </c>
      <c r="D316" s="9" t="str">
        <f>IF(A316="","",COUNTIFS(RawData[[Article ]],A316,RawData[[Error Type ]],"Short",RawData[Month List],TEXT($A$4,"mmmm yyyy")))</f>
        <v/>
      </c>
      <c r="E316" s="9" t="str">
        <f>IF(A316="","",COUNTIFS(RawData[[Article ]],A316,RawData[[Error Type ]],"Excess",RawData[Month List],TEXT($A$4, "mmmm yyyy")))</f>
        <v/>
      </c>
      <c r="F316" s="9" t="str">
        <f>IF(A316="","",SUMIFS(RawData[Qyt Affected ( EA ) ],RawData[[Article ]],A316,RawData[Month List],TEXT($A$4,"mmmm yyyy")))</f>
        <v/>
      </c>
    </row>
    <row r="317" spans="1:6" ht="15.75" x14ac:dyDescent="0.25">
      <c r="A317" s="40"/>
      <c r="B317" s="9" t="str">
        <f>IF(A317="","",INDEX(RawData[Description],MATCH(A317,RawData[[Article ]],0)))</f>
        <v/>
      </c>
      <c r="C317" s="9" t="str">
        <f>IF(A317="","",COUNTIFS(RawData[[Article ]],A317,RawData[Month List],TEXT($A$4,"mmmm yyyy")))</f>
        <v/>
      </c>
      <c r="D317" s="9" t="str">
        <f>IF(A317="","",COUNTIFS(RawData[[Article ]],A317,RawData[[Error Type ]],"Short",RawData[Month List],TEXT($A$4,"mmmm yyyy")))</f>
        <v/>
      </c>
      <c r="E317" s="9" t="str">
        <f>IF(A317="","",COUNTIFS(RawData[[Article ]],A317,RawData[[Error Type ]],"Excess",RawData[Month List],TEXT($A$4, "mmmm yyyy")))</f>
        <v/>
      </c>
      <c r="F317" s="9" t="str">
        <f>IF(A317="","",SUMIFS(RawData[Qyt Affected ( EA ) ],RawData[[Article ]],A317,RawData[Month List],TEXT($A$4,"mmmm yyyy")))</f>
        <v/>
      </c>
    </row>
    <row r="318" spans="1:6" ht="15.75" x14ac:dyDescent="0.25">
      <c r="A318" s="40"/>
      <c r="B318" s="9" t="str">
        <f>IF(A318="","",INDEX(RawData[Description],MATCH(A318,RawData[[Article ]],0)))</f>
        <v/>
      </c>
      <c r="C318" s="9" t="str">
        <f>IF(A318="","",COUNTIFS(RawData[[Article ]],A318,RawData[Month List],TEXT($A$4,"mmmm yyyy")))</f>
        <v/>
      </c>
      <c r="D318" s="9" t="str">
        <f>IF(A318="","",COUNTIFS(RawData[[Article ]],A318,RawData[[Error Type ]],"Short",RawData[Month List],TEXT($A$4,"mmmm yyyy")))</f>
        <v/>
      </c>
      <c r="E318" s="9" t="str">
        <f>IF(A318="","",COUNTIFS(RawData[[Article ]],A318,RawData[[Error Type ]],"Excess",RawData[Month List],TEXT($A$4, "mmmm yyyy")))</f>
        <v/>
      </c>
      <c r="F318" s="9" t="str">
        <f>IF(A318="","",SUMIFS(RawData[Qyt Affected ( EA ) ],RawData[[Article ]],A318,RawData[Month List],TEXT($A$4,"mmmm yyyy")))</f>
        <v/>
      </c>
    </row>
    <row r="319" spans="1:6" ht="15.75" x14ac:dyDescent="0.25">
      <c r="A319" s="40"/>
      <c r="B319" s="9" t="str">
        <f>IF(A319="","",INDEX(RawData[Description],MATCH(A319,RawData[[Article ]],0)))</f>
        <v/>
      </c>
      <c r="C319" s="9" t="str">
        <f>IF(A319="","",COUNTIFS(RawData[[Article ]],A319,RawData[Month List],TEXT($A$4,"mmmm yyyy")))</f>
        <v/>
      </c>
      <c r="D319" s="9" t="str">
        <f>IF(A319="","",COUNTIFS(RawData[[Article ]],A319,RawData[[Error Type ]],"Short",RawData[Month List],TEXT($A$4,"mmmm yyyy")))</f>
        <v/>
      </c>
      <c r="E319" s="9" t="str">
        <f>IF(A319="","",COUNTIFS(RawData[[Article ]],A319,RawData[[Error Type ]],"Excess",RawData[Month List],TEXT($A$4, "mmmm yyyy")))</f>
        <v/>
      </c>
      <c r="F319" s="9" t="str">
        <f>IF(A319="","",SUMIFS(RawData[Qyt Affected ( EA ) ],RawData[[Article ]],A319,RawData[Month List],TEXT($A$4,"mmmm yyyy")))</f>
        <v/>
      </c>
    </row>
    <row r="320" spans="1:6" ht="15.75" x14ac:dyDescent="0.25">
      <c r="A320" s="40"/>
      <c r="B320" s="9" t="str">
        <f>IF(A320="","",INDEX(RawData[Description],MATCH(A320,RawData[[Article ]],0)))</f>
        <v/>
      </c>
      <c r="C320" s="9" t="str">
        <f>IF(A320="","",COUNTIFS(RawData[[Article ]],A320,RawData[Month List],TEXT($A$4,"mmmm yyyy")))</f>
        <v/>
      </c>
      <c r="D320" s="9" t="str">
        <f>IF(A320="","",COUNTIFS(RawData[[Article ]],A320,RawData[[Error Type ]],"Short",RawData[Month List],TEXT($A$4,"mmmm yyyy")))</f>
        <v/>
      </c>
      <c r="E320" s="9" t="str">
        <f>IF(A320="","",COUNTIFS(RawData[[Article ]],A320,RawData[[Error Type ]],"Excess",RawData[Month List],TEXT($A$4, "mmmm yyyy")))</f>
        <v/>
      </c>
      <c r="F320" s="9" t="str">
        <f>IF(A320="","",SUMIFS(RawData[Qyt Affected ( EA ) ],RawData[[Article ]],A320,RawData[Month List],TEXT($A$4,"mmmm yyyy")))</f>
        <v/>
      </c>
    </row>
    <row r="321" spans="1:6" ht="15.75" x14ac:dyDescent="0.25">
      <c r="A321" s="40"/>
      <c r="B321" s="9" t="str">
        <f>IF(A321="","",INDEX(RawData[Description],MATCH(A321,RawData[[Article ]],0)))</f>
        <v/>
      </c>
      <c r="C321" s="9" t="str">
        <f>IF(A321="","",COUNTIFS(RawData[[Article ]],A321,RawData[Month List],TEXT($A$4,"mmmm yyyy")))</f>
        <v/>
      </c>
      <c r="D321" s="9" t="str">
        <f>IF(A321="","",COUNTIFS(RawData[[Article ]],A321,RawData[[Error Type ]],"Short",RawData[Month List],TEXT($A$4,"mmmm yyyy")))</f>
        <v/>
      </c>
      <c r="E321" s="9" t="str">
        <f>IF(A321="","",COUNTIFS(RawData[[Article ]],A321,RawData[[Error Type ]],"Excess",RawData[Month List],TEXT($A$4, "mmmm yyyy")))</f>
        <v/>
      </c>
      <c r="F321" s="9" t="str">
        <f>IF(A321="","",SUMIFS(RawData[Qyt Affected ( EA ) ],RawData[[Article ]],A321,RawData[Month List],TEXT($A$4,"mmmm yyyy")))</f>
        <v/>
      </c>
    </row>
    <row r="322" spans="1:6" ht="15.75" x14ac:dyDescent="0.25">
      <c r="A322" s="40"/>
      <c r="B322" s="9" t="str">
        <f>IF(A322="","",INDEX(RawData[Description],MATCH(A322,RawData[[Article ]],0)))</f>
        <v/>
      </c>
      <c r="C322" s="9" t="str">
        <f>IF(A322="","",COUNTIFS(RawData[[Article ]],A322,RawData[Month List],TEXT($A$4,"mmmm yyyy")))</f>
        <v/>
      </c>
      <c r="D322" s="9" t="str">
        <f>IF(A322="","",COUNTIFS(RawData[[Article ]],A322,RawData[[Error Type ]],"Short",RawData[Month List],TEXT($A$4,"mmmm yyyy")))</f>
        <v/>
      </c>
      <c r="E322" s="9" t="str">
        <f>IF(A322="","",COUNTIFS(RawData[[Article ]],A322,RawData[[Error Type ]],"Excess",RawData[Month List],TEXT($A$4, "mmmm yyyy")))</f>
        <v/>
      </c>
      <c r="F322" s="9" t="str">
        <f>IF(A322="","",SUMIFS(RawData[Qyt Affected ( EA ) ],RawData[[Article ]],A322,RawData[Month List],TEXT($A$4,"mmmm yyyy")))</f>
        <v/>
      </c>
    </row>
    <row r="323" spans="1:6" ht="15.75" x14ac:dyDescent="0.25">
      <c r="A323" s="40"/>
      <c r="B323" s="9" t="str">
        <f>IF(A323="","",INDEX(RawData[Description],MATCH(A323,RawData[[Article ]],0)))</f>
        <v/>
      </c>
      <c r="C323" s="9" t="str">
        <f>IF(A323="","",COUNTIFS(RawData[[Article ]],A323,RawData[Month List],TEXT($A$4,"mmmm yyyy")))</f>
        <v/>
      </c>
      <c r="D323" s="9" t="str">
        <f>IF(A323="","",COUNTIFS(RawData[[Article ]],A323,RawData[[Error Type ]],"Short",RawData[Month List],TEXT($A$4,"mmmm yyyy")))</f>
        <v/>
      </c>
      <c r="E323" s="9" t="str">
        <f>IF(A323="","",COUNTIFS(RawData[[Article ]],A323,RawData[[Error Type ]],"Excess",RawData[Month List],TEXT($A$4, "mmmm yyyy")))</f>
        <v/>
      </c>
      <c r="F323" s="9" t="str">
        <f>IF(A323="","",SUMIFS(RawData[Qyt Affected ( EA ) ],RawData[[Article ]],A323,RawData[Month List],TEXT($A$4,"mmmm yyyy")))</f>
        <v/>
      </c>
    </row>
    <row r="324" spans="1:6" ht="15.75" x14ac:dyDescent="0.25">
      <c r="A324" s="40"/>
      <c r="B324" s="9" t="str">
        <f>IF(A324="","",INDEX(RawData[Description],MATCH(A324,RawData[[Article ]],0)))</f>
        <v/>
      </c>
      <c r="C324" s="9" t="str">
        <f>IF(A324="","",COUNTIFS(RawData[[Article ]],A324,RawData[Month List],TEXT($A$4,"mmmm yyyy")))</f>
        <v/>
      </c>
      <c r="D324" s="9" t="str">
        <f>IF(A324="","",COUNTIFS(RawData[[Article ]],A324,RawData[[Error Type ]],"Short",RawData[Month List],TEXT($A$4,"mmmm yyyy")))</f>
        <v/>
      </c>
      <c r="E324" s="9" t="str">
        <f>IF(A324="","",COUNTIFS(RawData[[Article ]],A324,RawData[[Error Type ]],"Excess",RawData[Month List],TEXT($A$4, "mmmm yyyy")))</f>
        <v/>
      </c>
      <c r="F324" s="9" t="str">
        <f>IF(A324="","",SUMIFS(RawData[Qyt Affected ( EA ) ],RawData[[Article ]],A324,RawData[Month List],TEXT($A$4,"mmmm yyyy")))</f>
        <v/>
      </c>
    </row>
    <row r="325" spans="1:6" ht="15.75" x14ac:dyDescent="0.25">
      <c r="A325" s="40"/>
      <c r="B325" s="9" t="str">
        <f>IF(A325="","",INDEX(RawData[Description],MATCH(A325,RawData[[Article ]],0)))</f>
        <v/>
      </c>
      <c r="C325" s="9" t="str">
        <f>IF(A325="","",COUNTIFS(RawData[[Article ]],A325,RawData[Month List],TEXT($A$4,"mmmm yyyy")))</f>
        <v/>
      </c>
      <c r="D325" s="9" t="str">
        <f>IF(A325="","",COUNTIFS(RawData[[Article ]],A325,RawData[[Error Type ]],"Short",RawData[Month List],TEXT($A$4,"mmmm yyyy")))</f>
        <v/>
      </c>
      <c r="E325" s="9" t="str">
        <f>IF(A325="","",COUNTIFS(RawData[[Article ]],A325,RawData[[Error Type ]],"Excess",RawData[Month List],TEXT($A$4, "mmmm yyyy")))</f>
        <v/>
      </c>
      <c r="F325" s="9" t="str">
        <f>IF(A325="","",SUMIFS(RawData[Qyt Affected ( EA ) ],RawData[[Article ]],A325,RawData[Month List],TEXT($A$4,"mmmm yyyy")))</f>
        <v/>
      </c>
    </row>
    <row r="326" spans="1:6" ht="15.75" x14ac:dyDescent="0.25">
      <c r="A326" s="40"/>
      <c r="B326" s="9" t="str">
        <f>IF(A326="","",INDEX(RawData[Description],MATCH(A326,RawData[[Article ]],0)))</f>
        <v/>
      </c>
      <c r="C326" s="9" t="str">
        <f>IF(A326="","",COUNTIFS(RawData[[Article ]],A326,RawData[Month List],TEXT($A$4,"mmmm yyyy")))</f>
        <v/>
      </c>
      <c r="D326" s="9" t="str">
        <f>IF(A326="","",COUNTIFS(RawData[[Article ]],A326,RawData[[Error Type ]],"Short",RawData[Month List],TEXT($A$4,"mmmm yyyy")))</f>
        <v/>
      </c>
      <c r="E326" s="9" t="str">
        <f>IF(A326="","",COUNTIFS(RawData[[Article ]],A326,RawData[[Error Type ]],"Excess",RawData[Month List],TEXT($A$4, "mmmm yyyy")))</f>
        <v/>
      </c>
      <c r="F326" s="9" t="str">
        <f>IF(A326="","",SUMIFS(RawData[Qyt Affected ( EA ) ],RawData[[Article ]],A326,RawData[Month List],TEXT($A$4,"mmmm yyyy")))</f>
        <v/>
      </c>
    </row>
    <row r="327" spans="1:6" ht="15.75" x14ac:dyDescent="0.25">
      <c r="A327" s="40"/>
      <c r="B327" s="9" t="str">
        <f>IF(A327="","",INDEX(RawData[Description],MATCH(A327,RawData[[Article ]],0)))</f>
        <v/>
      </c>
      <c r="C327" s="9" t="str">
        <f>IF(A327="","",COUNTIFS(RawData[[Article ]],A327,RawData[Month List],TEXT($A$4,"mmmm yyyy")))</f>
        <v/>
      </c>
      <c r="D327" s="9" t="str">
        <f>IF(A327="","",COUNTIFS(RawData[[Article ]],A327,RawData[[Error Type ]],"Short",RawData[Month List],TEXT($A$4,"mmmm yyyy")))</f>
        <v/>
      </c>
      <c r="E327" s="9" t="str">
        <f>IF(A327="","",COUNTIFS(RawData[[Article ]],A327,RawData[[Error Type ]],"Excess",RawData[Month List],TEXT($A$4, "mmmm yyyy")))</f>
        <v/>
      </c>
      <c r="F327" s="9" t="str">
        <f>IF(A327="","",SUMIFS(RawData[Qyt Affected ( EA ) ],RawData[[Article ]],A327,RawData[Month List],TEXT($A$4,"mmmm yyyy")))</f>
        <v/>
      </c>
    </row>
    <row r="328" spans="1:6" ht="15.75" x14ac:dyDescent="0.25">
      <c r="A328" s="40"/>
      <c r="B328" s="9" t="str">
        <f>IF(A328="","",INDEX(RawData[Description],MATCH(A328,RawData[[Article ]],0)))</f>
        <v/>
      </c>
      <c r="C328" s="9" t="str">
        <f>IF(A328="","",COUNTIFS(RawData[[Article ]],A328,RawData[Month List],TEXT($A$4,"mmmm yyyy")))</f>
        <v/>
      </c>
      <c r="D328" s="9" t="str">
        <f>IF(A328="","",COUNTIFS(RawData[[Article ]],A328,RawData[[Error Type ]],"Short",RawData[Month List],TEXT($A$4,"mmmm yyyy")))</f>
        <v/>
      </c>
      <c r="E328" s="9" t="str">
        <f>IF(A328="","",COUNTIFS(RawData[[Article ]],A328,RawData[[Error Type ]],"Excess",RawData[Month List],TEXT($A$4, "mmmm yyyy")))</f>
        <v/>
      </c>
      <c r="F328" s="9" t="str">
        <f>IF(A328="","",SUMIFS(RawData[Qyt Affected ( EA ) ],RawData[[Article ]],A328,RawData[Month List],TEXT($A$4,"mmmm yyyy")))</f>
        <v/>
      </c>
    </row>
    <row r="329" spans="1:6" ht="15.75" x14ac:dyDescent="0.25">
      <c r="A329" s="40"/>
      <c r="B329" s="9" t="str">
        <f>IF(A329="","",INDEX(RawData[Description],MATCH(A329,RawData[[Article ]],0)))</f>
        <v/>
      </c>
      <c r="C329" s="9" t="str">
        <f>IF(A329="","",COUNTIFS(RawData[[Article ]],A329,RawData[Month List],TEXT($A$4,"mmmm yyyy")))</f>
        <v/>
      </c>
      <c r="D329" s="9" t="str">
        <f>IF(A329="","",COUNTIFS(RawData[[Article ]],A329,RawData[[Error Type ]],"Short",RawData[Month List],TEXT($A$4,"mmmm yyyy")))</f>
        <v/>
      </c>
      <c r="E329" s="9" t="str">
        <f>IF(A329="","",COUNTIFS(RawData[[Article ]],A329,RawData[[Error Type ]],"Excess",RawData[Month List],TEXT($A$4, "mmmm yyyy")))</f>
        <v/>
      </c>
      <c r="F329" s="9" t="str">
        <f>IF(A329="","",SUMIFS(RawData[Qyt Affected ( EA ) ],RawData[[Article ]],A329,RawData[Month List],TEXT($A$4,"mmmm yyyy")))</f>
        <v/>
      </c>
    </row>
    <row r="330" spans="1:6" ht="15.75" x14ac:dyDescent="0.25">
      <c r="A330" s="40"/>
      <c r="B330" s="9" t="str">
        <f>IF(A330="","",INDEX(RawData[Description],MATCH(A330,RawData[[Article ]],0)))</f>
        <v/>
      </c>
      <c r="C330" s="9" t="str">
        <f>IF(A330="","",COUNTIFS(RawData[[Article ]],A330,RawData[Month List],TEXT($A$4,"mmmm yyyy")))</f>
        <v/>
      </c>
      <c r="D330" s="9" t="str">
        <f>IF(A330="","",COUNTIFS(RawData[[Article ]],A330,RawData[[Error Type ]],"Short",RawData[Month List],TEXT($A$4,"mmmm yyyy")))</f>
        <v/>
      </c>
      <c r="E330" s="9" t="str">
        <f>IF(A330="","",COUNTIFS(RawData[[Article ]],A330,RawData[[Error Type ]],"Excess",RawData[Month List],TEXT($A$4, "mmmm yyyy")))</f>
        <v/>
      </c>
      <c r="F330" s="9" t="str">
        <f>IF(A330="","",SUMIFS(RawData[Qyt Affected ( EA ) ],RawData[[Article ]],A330,RawData[Month List],TEXT($A$4,"mmmm yyyy")))</f>
        <v/>
      </c>
    </row>
    <row r="331" spans="1:6" ht="15.75" x14ac:dyDescent="0.25">
      <c r="A331" s="40"/>
      <c r="B331" s="9" t="str">
        <f>IF(A331="","",INDEX(RawData[Description],MATCH(A331,RawData[[Article ]],0)))</f>
        <v/>
      </c>
      <c r="C331" s="9" t="str">
        <f>IF(A331="","",COUNTIFS(RawData[[Article ]],A331,RawData[Month List],TEXT($A$4,"mmmm yyyy")))</f>
        <v/>
      </c>
      <c r="D331" s="9" t="str">
        <f>IF(A331="","",COUNTIFS(RawData[[Article ]],A331,RawData[[Error Type ]],"Short",RawData[Month List],TEXT($A$4,"mmmm yyyy")))</f>
        <v/>
      </c>
      <c r="E331" s="9" t="str">
        <f>IF(A331="","",COUNTIFS(RawData[[Article ]],A331,RawData[[Error Type ]],"Excess",RawData[Month List],TEXT($A$4, "mmmm yyyy")))</f>
        <v/>
      </c>
      <c r="F331" s="9" t="str">
        <f>IF(A331="","",SUMIFS(RawData[Qyt Affected ( EA ) ],RawData[[Article ]],A331,RawData[Month List],TEXT($A$4,"mmmm yyyy")))</f>
        <v/>
      </c>
    </row>
    <row r="332" spans="1:6" ht="15.75" x14ac:dyDescent="0.25">
      <c r="A332" s="40"/>
      <c r="B332" s="9" t="str">
        <f>IF(A332="","",INDEX(RawData[Description],MATCH(A332,RawData[[Article ]],0)))</f>
        <v/>
      </c>
      <c r="C332" s="9" t="str">
        <f>IF(A332="","",COUNTIFS(RawData[[Article ]],A332,RawData[Month List],TEXT($A$4,"mmmm yyyy")))</f>
        <v/>
      </c>
      <c r="D332" s="9" t="str">
        <f>IF(A332="","",COUNTIFS(RawData[[Article ]],A332,RawData[[Error Type ]],"Short",RawData[Month List],TEXT($A$4,"mmmm yyyy")))</f>
        <v/>
      </c>
      <c r="E332" s="9" t="str">
        <f>IF(A332="","",COUNTIFS(RawData[[Article ]],A332,RawData[[Error Type ]],"Excess",RawData[Month List],TEXT($A$4, "mmmm yyyy")))</f>
        <v/>
      </c>
      <c r="F332" s="9" t="str">
        <f>IF(A332="","",SUMIFS(RawData[Qyt Affected ( EA ) ],RawData[[Article ]],A332,RawData[Month List],TEXT($A$4,"mmmm yyyy")))</f>
        <v/>
      </c>
    </row>
    <row r="333" spans="1:6" ht="15.75" x14ac:dyDescent="0.25">
      <c r="A333" s="40"/>
      <c r="B333" s="9" t="str">
        <f>IF(A333="","",INDEX(RawData[Description],MATCH(A333,RawData[[Article ]],0)))</f>
        <v/>
      </c>
      <c r="C333" s="9" t="str">
        <f>IF(A333="","",COUNTIFS(RawData[[Article ]],A333,RawData[Month List],TEXT($A$4,"mmmm yyyy")))</f>
        <v/>
      </c>
      <c r="D333" s="9" t="str">
        <f>IF(A333="","",COUNTIFS(RawData[[Article ]],A333,RawData[[Error Type ]],"Short",RawData[Month List],TEXT($A$4,"mmmm yyyy")))</f>
        <v/>
      </c>
      <c r="E333" s="9" t="str">
        <f>IF(A333="","",COUNTIFS(RawData[[Article ]],A333,RawData[[Error Type ]],"Excess",RawData[Month List],TEXT($A$4, "mmmm yyyy")))</f>
        <v/>
      </c>
      <c r="F333" s="9" t="str">
        <f>IF(A333="","",SUMIFS(RawData[Qyt Affected ( EA ) ],RawData[[Article ]],A333,RawData[Month List],TEXT($A$4,"mmmm yyyy")))</f>
        <v/>
      </c>
    </row>
    <row r="334" spans="1:6" ht="15.75" x14ac:dyDescent="0.25">
      <c r="A334" s="40"/>
      <c r="B334" s="9" t="str">
        <f>IF(A334="","",INDEX(RawData[Description],MATCH(A334,RawData[[Article ]],0)))</f>
        <v/>
      </c>
      <c r="C334" s="9" t="str">
        <f>IF(A334="","",COUNTIFS(RawData[[Article ]],A334,RawData[Month List],TEXT($A$4,"mmmm yyyy")))</f>
        <v/>
      </c>
      <c r="D334" s="9" t="str">
        <f>IF(A334="","",COUNTIFS(RawData[[Article ]],A334,RawData[[Error Type ]],"Short",RawData[Month List],TEXT($A$4,"mmmm yyyy")))</f>
        <v/>
      </c>
      <c r="E334" s="9" t="str">
        <f>IF(A334="","",COUNTIFS(RawData[[Article ]],A334,RawData[[Error Type ]],"Excess",RawData[Month List],TEXT($A$4, "mmmm yyyy")))</f>
        <v/>
      </c>
      <c r="F334" s="9" t="str">
        <f>IF(A334="","",SUMIFS(RawData[Qyt Affected ( EA ) ],RawData[[Article ]],A334,RawData[Month List],TEXT($A$4,"mmmm yyyy")))</f>
        <v/>
      </c>
    </row>
    <row r="335" spans="1:6" ht="15.75" x14ac:dyDescent="0.25">
      <c r="A335" s="40"/>
      <c r="B335" s="9" t="str">
        <f>IF(A335="","",INDEX(RawData[Description],MATCH(A335,RawData[[Article ]],0)))</f>
        <v/>
      </c>
      <c r="C335" s="9" t="str">
        <f>IF(A335="","",COUNTIFS(RawData[[Article ]],A335,RawData[Month List],TEXT($A$4,"mmmm yyyy")))</f>
        <v/>
      </c>
      <c r="D335" s="9" t="str">
        <f>IF(A335="","",COUNTIFS(RawData[[Article ]],A335,RawData[[Error Type ]],"Short",RawData[Month List],TEXT($A$4,"mmmm yyyy")))</f>
        <v/>
      </c>
      <c r="E335" s="9" t="str">
        <f>IF(A335="","",COUNTIFS(RawData[[Article ]],A335,RawData[[Error Type ]],"Excess",RawData[Month List],TEXT($A$4, "mmmm yyyy")))</f>
        <v/>
      </c>
      <c r="F335" s="9" t="str">
        <f>IF(A335="","",SUMIFS(RawData[Qyt Affected ( EA ) ],RawData[[Article ]],A335,RawData[Month List],TEXT($A$4,"mmmm yyyy")))</f>
        <v/>
      </c>
    </row>
    <row r="336" spans="1:6" ht="15.75" x14ac:dyDescent="0.25">
      <c r="A336" s="40"/>
      <c r="B336" s="9" t="str">
        <f>IF(A336="","",INDEX(RawData[Description],MATCH(A336,RawData[[Article ]],0)))</f>
        <v/>
      </c>
      <c r="C336" s="9" t="str">
        <f>IF(A336="","",COUNTIFS(RawData[[Article ]],A336,RawData[Month List],TEXT($A$4,"mmmm yyyy")))</f>
        <v/>
      </c>
      <c r="D336" s="9" t="str">
        <f>IF(A336="","",COUNTIFS(RawData[[Article ]],A336,RawData[[Error Type ]],"Short",RawData[Month List],TEXT($A$4,"mmmm yyyy")))</f>
        <v/>
      </c>
      <c r="E336" s="9" t="str">
        <f>IF(A336="","",COUNTIFS(RawData[[Article ]],A336,RawData[[Error Type ]],"Excess",RawData[Month List],TEXT($A$4, "mmmm yyyy")))</f>
        <v/>
      </c>
      <c r="F336" s="9" t="str">
        <f>IF(A336="","",SUMIFS(RawData[Qyt Affected ( EA ) ],RawData[[Article ]],A336,RawData[Month List],TEXT($A$4,"mmmm yyyy")))</f>
        <v/>
      </c>
    </row>
    <row r="337" spans="1:6" ht="15.75" x14ac:dyDescent="0.25">
      <c r="A337" s="40"/>
      <c r="B337" s="9" t="str">
        <f>IF(A337="","",INDEX(RawData[Description],MATCH(A337,RawData[[Article ]],0)))</f>
        <v/>
      </c>
      <c r="C337" s="9" t="str">
        <f>IF(A337="","",COUNTIFS(RawData[[Article ]],A337,RawData[Month List],TEXT($A$4,"mmmm yyyy")))</f>
        <v/>
      </c>
      <c r="D337" s="9" t="str">
        <f>IF(A337="","",COUNTIFS(RawData[[Article ]],A337,RawData[[Error Type ]],"Short",RawData[Month List],TEXT($A$4,"mmmm yyyy")))</f>
        <v/>
      </c>
      <c r="E337" s="9" t="str">
        <f>IF(A337="","",COUNTIFS(RawData[[Article ]],A337,RawData[[Error Type ]],"Excess",RawData[Month List],TEXT($A$4, "mmmm yyyy")))</f>
        <v/>
      </c>
      <c r="F337" s="9" t="str">
        <f>IF(A337="","",SUMIFS(RawData[Qyt Affected ( EA ) ],RawData[[Article ]],A337,RawData[Month List],TEXT($A$4,"mmmm yyyy")))</f>
        <v/>
      </c>
    </row>
    <row r="338" spans="1:6" ht="15.75" x14ac:dyDescent="0.25">
      <c r="A338" s="40"/>
      <c r="B338" s="9" t="str">
        <f>IF(A338="","",INDEX(RawData[Description],MATCH(A338,RawData[[Article ]],0)))</f>
        <v/>
      </c>
      <c r="C338" s="9" t="str">
        <f>IF(A338="","",COUNTIFS(RawData[[Article ]],A338,RawData[Month List],TEXT($A$4,"mmmm yyyy")))</f>
        <v/>
      </c>
      <c r="D338" s="9" t="str">
        <f>IF(A338="","",COUNTIFS(RawData[[Article ]],A338,RawData[[Error Type ]],"Short",RawData[Month List],TEXT($A$4,"mmmm yyyy")))</f>
        <v/>
      </c>
      <c r="E338" s="9" t="str">
        <f>IF(A338="","",COUNTIFS(RawData[[Article ]],A338,RawData[[Error Type ]],"Excess",RawData[Month List],TEXT($A$4, "mmmm yyyy")))</f>
        <v/>
      </c>
      <c r="F338" s="9" t="str">
        <f>IF(A338="","",SUMIFS(RawData[Qyt Affected ( EA ) ],RawData[[Article ]],A338,RawData[Month List],TEXT($A$4,"mmmm yyyy")))</f>
        <v/>
      </c>
    </row>
    <row r="339" spans="1:6" ht="15.75" x14ac:dyDescent="0.25">
      <c r="A339" s="40"/>
      <c r="B339" s="9" t="str">
        <f>IF(A339="","",INDEX(RawData[Description],MATCH(A339,RawData[[Article ]],0)))</f>
        <v/>
      </c>
      <c r="C339" s="9" t="str">
        <f>IF(A339="","",COUNTIFS(RawData[[Article ]],A339,RawData[Month List],TEXT($A$4,"mmmm yyyy")))</f>
        <v/>
      </c>
      <c r="D339" s="9" t="str">
        <f>IF(A339="","",COUNTIFS(RawData[[Article ]],A339,RawData[[Error Type ]],"Short",RawData[Month List],TEXT($A$4,"mmmm yyyy")))</f>
        <v/>
      </c>
      <c r="E339" s="9" t="str">
        <f>IF(A339="","",COUNTIFS(RawData[[Article ]],A339,RawData[[Error Type ]],"Excess",RawData[Month List],TEXT($A$4, "mmmm yyyy")))</f>
        <v/>
      </c>
      <c r="F339" s="9" t="str">
        <f>IF(A339="","",SUMIFS(RawData[Qyt Affected ( EA ) ],RawData[[Article ]],A339,RawData[Month List],TEXT($A$4,"mmmm yyyy")))</f>
        <v/>
      </c>
    </row>
    <row r="340" spans="1:6" ht="15.75" x14ac:dyDescent="0.25">
      <c r="A340" s="40"/>
      <c r="B340" s="9" t="str">
        <f>IF(A340="","",INDEX(RawData[Description],MATCH(A340,RawData[[Article ]],0)))</f>
        <v/>
      </c>
      <c r="C340" s="9" t="str">
        <f>IF(A340="","",COUNTIFS(RawData[[Article ]],A340,RawData[Month List],TEXT($A$4,"mmmm yyyy")))</f>
        <v/>
      </c>
      <c r="D340" s="9" t="str">
        <f>IF(A340="","",COUNTIFS(RawData[[Article ]],A340,RawData[[Error Type ]],"Short",RawData[Month List],TEXT($A$4,"mmmm yyyy")))</f>
        <v/>
      </c>
      <c r="E340" s="9" t="str">
        <f>IF(A340="","",COUNTIFS(RawData[[Article ]],A340,RawData[[Error Type ]],"Excess",RawData[Month List],TEXT($A$4, "mmmm yyyy")))</f>
        <v/>
      </c>
      <c r="F340" s="9" t="str">
        <f>IF(A340="","",SUMIFS(RawData[Qyt Affected ( EA ) ],RawData[[Article ]],A340,RawData[Month List],TEXT($A$4,"mmmm yyyy")))</f>
        <v/>
      </c>
    </row>
    <row r="341" spans="1:6" ht="15.75" x14ac:dyDescent="0.25">
      <c r="A341" s="40"/>
      <c r="B341" s="9" t="str">
        <f>IF(A341="","",INDEX(RawData[Description],MATCH(A341,RawData[[Article ]],0)))</f>
        <v/>
      </c>
      <c r="C341" s="9" t="str">
        <f>IF(A341="","",COUNTIFS(RawData[[Article ]],A341,RawData[Month List],TEXT($A$4,"mmmm yyyy")))</f>
        <v/>
      </c>
      <c r="D341" s="9" t="str">
        <f>IF(A341="","",COUNTIFS(RawData[[Article ]],A341,RawData[[Error Type ]],"Short",RawData[Month List],TEXT($A$4,"mmmm yyyy")))</f>
        <v/>
      </c>
      <c r="E341" s="9" t="str">
        <f>IF(A341="","",COUNTIFS(RawData[[Article ]],A341,RawData[[Error Type ]],"Excess",RawData[Month List],TEXT($A$4, "mmmm yyyy")))</f>
        <v/>
      </c>
      <c r="F341" s="9" t="str">
        <f>IF(A341="","",SUMIFS(RawData[Qyt Affected ( EA ) ],RawData[[Article ]],A341,RawData[Month List],TEXT($A$4,"mmmm yyyy")))</f>
        <v/>
      </c>
    </row>
    <row r="342" spans="1:6" ht="15.75" x14ac:dyDescent="0.25">
      <c r="A342" s="40"/>
      <c r="B342" s="9" t="str">
        <f>IF(A342="","",INDEX(RawData[Description],MATCH(A342,RawData[[Article ]],0)))</f>
        <v/>
      </c>
      <c r="C342" s="9" t="str">
        <f>IF(A342="","",COUNTIFS(RawData[[Article ]],A342,RawData[Month List],TEXT($A$4,"mmmm yyyy")))</f>
        <v/>
      </c>
      <c r="D342" s="9" t="str">
        <f>IF(A342="","",COUNTIFS(RawData[[Article ]],A342,RawData[[Error Type ]],"Short",RawData[Month List],TEXT($A$4,"mmmm yyyy")))</f>
        <v/>
      </c>
      <c r="E342" s="9" t="str">
        <f>IF(A342="","",COUNTIFS(RawData[[Article ]],A342,RawData[[Error Type ]],"Excess",RawData[Month List],TEXT($A$4, "mmmm yyyy")))</f>
        <v/>
      </c>
      <c r="F342" s="9" t="str">
        <f>IF(A342="","",SUMIFS(RawData[Qyt Affected ( EA ) ],RawData[[Article ]],A342,RawData[Month List],TEXT($A$4,"mmmm yyyy")))</f>
        <v/>
      </c>
    </row>
    <row r="343" spans="1:6" ht="15.75" x14ac:dyDescent="0.25">
      <c r="A343" s="40"/>
      <c r="B343" s="9" t="str">
        <f>IF(A343="","",INDEX(RawData[Description],MATCH(A343,RawData[[Article ]],0)))</f>
        <v/>
      </c>
      <c r="C343" s="9" t="str">
        <f>IF(A343="","",COUNTIFS(RawData[[Article ]],A343,RawData[Month List],TEXT($A$4,"mmmm yyyy")))</f>
        <v/>
      </c>
      <c r="D343" s="9" t="str">
        <f>IF(A343="","",COUNTIFS(RawData[[Article ]],A343,RawData[[Error Type ]],"Short",RawData[Month List],TEXT($A$4,"mmmm yyyy")))</f>
        <v/>
      </c>
      <c r="E343" s="9" t="str">
        <f>IF(A343="","",COUNTIFS(RawData[[Article ]],A343,RawData[[Error Type ]],"Excess",RawData[Month List],TEXT($A$4, "mmmm yyyy")))</f>
        <v/>
      </c>
      <c r="F343" s="9" t="str">
        <f>IF(A343="","",SUMIFS(RawData[Qyt Affected ( EA ) ],RawData[[Article ]],A343,RawData[Month List],TEXT($A$4,"mmmm yyyy")))</f>
        <v/>
      </c>
    </row>
    <row r="344" spans="1:6" ht="15.75" x14ac:dyDescent="0.25">
      <c r="A344" s="40"/>
      <c r="B344" s="9" t="str">
        <f>IF(A344="","",INDEX(RawData[Description],MATCH(A344,RawData[[Article ]],0)))</f>
        <v/>
      </c>
      <c r="C344" s="9" t="str">
        <f>IF(A344="","",COUNTIFS(RawData[[Article ]],A344,RawData[Month List],TEXT($A$4,"mmmm yyyy")))</f>
        <v/>
      </c>
      <c r="D344" s="9" t="str">
        <f>IF(A344="","",COUNTIFS(RawData[[Article ]],A344,RawData[[Error Type ]],"Short",RawData[Month List],TEXT($A$4,"mmmm yyyy")))</f>
        <v/>
      </c>
      <c r="E344" s="9" t="str">
        <f>IF(A344="","",COUNTIFS(RawData[[Article ]],A344,RawData[[Error Type ]],"Excess",RawData[Month List],TEXT($A$4, "mmmm yyyy")))</f>
        <v/>
      </c>
      <c r="F344" s="9" t="str">
        <f>IF(A344="","",SUMIFS(RawData[Qyt Affected ( EA ) ],RawData[[Article ]],A344,RawData[Month List],TEXT($A$4,"mmmm yyyy")))</f>
        <v/>
      </c>
    </row>
    <row r="345" spans="1:6" ht="15.75" x14ac:dyDescent="0.25">
      <c r="A345" s="40"/>
      <c r="B345" s="9" t="str">
        <f>IF(A345="","",INDEX(RawData[Description],MATCH(A345,RawData[[Article ]],0)))</f>
        <v/>
      </c>
      <c r="C345" s="9" t="str">
        <f>IF(A345="","",COUNTIFS(RawData[[Article ]],A345,RawData[Month List],TEXT($A$4,"mmmm yyyy")))</f>
        <v/>
      </c>
      <c r="D345" s="9" t="str">
        <f>IF(A345="","",COUNTIFS(RawData[[Article ]],A345,RawData[[Error Type ]],"Short",RawData[Month List],TEXT($A$4,"mmmm yyyy")))</f>
        <v/>
      </c>
      <c r="E345" s="9" t="str">
        <f>IF(A345="","",COUNTIFS(RawData[[Article ]],A345,RawData[[Error Type ]],"Excess",RawData[Month List],TEXT($A$4, "mmmm yyyy")))</f>
        <v/>
      </c>
      <c r="F345" s="9" t="str">
        <f>IF(A345="","",SUMIFS(RawData[Qyt Affected ( EA ) ],RawData[[Article ]],A345,RawData[Month List],TEXT($A$4,"mmmm yyyy")))</f>
        <v/>
      </c>
    </row>
    <row r="346" spans="1:6" ht="15.75" x14ac:dyDescent="0.25">
      <c r="A346" s="40"/>
      <c r="B346" s="9" t="str">
        <f>IF(A346="","",INDEX(RawData[Description],MATCH(A346,RawData[[Article ]],0)))</f>
        <v/>
      </c>
      <c r="C346" s="9" t="str">
        <f>IF(A346="","",COUNTIFS(RawData[[Article ]],A346,RawData[Month List],TEXT($A$4,"mmmm yyyy")))</f>
        <v/>
      </c>
      <c r="D346" s="9" t="str">
        <f>IF(A346="","",COUNTIFS(RawData[[Article ]],A346,RawData[[Error Type ]],"Short",RawData[Month List],TEXT($A$4,"mmmm yyyy")))</f>
        <v/>
      </c>
      <c r="E346" s="9" t="str">
        <f>IF(A346="","",COUNTIFS(RawData[[Article ]],A346,RawData[[Error Type ]],"Excess",RawData[Month List],TEXT($A$4, "mmmm yyyy")))</f>
        <v/>
      </c>
      <c r="F346" s="9" t="str">
        <f>IF(A346="","",SUMIFS(RawData[Qyt Affected ( EA ) ],RawData[[Article ]],A346,RawData[Month List],TEXT($A$4,"mmmm yyyy")))</f>
        <v/>
      </c>
    </row>
    <row r="347" spans="1:6" ht="15.75" x14ac:dyDescent="0.25">
      <c r="A347" s="40"/>
      <c r="B347" s="9" t="str">
        <f>IF(A347="","",INDEX(RawData[Description],MATCH(A347,RawData[[Article ]],0)))</f>
        <v/>
      </c>
      <c r="C347" s="9" t="str">
        <f>IF(A347="","",COUNTIFS(RawData[[Article ]],A347,RawData[Month List],TEXT($A$4,"mmmm yyyy")))</f>
        <v/>
      </c>
      <c r="D347" s="9" t="str">
        <f>IF(A347="","",COUNTIFS(RawData[[Article ]],A347,RawData[[Error Type ]],"Short",RawData[Month List],TEXT($A$4,"mmmm yyyy")))</f>
        <v/>
      </c>
      <c r="E347" s="9" t="str">
        <f>IF(A347="","",COUNTIFS(RawData[[Article ]],A347,RawData[[Error Type ]],"Excess",RawData[Month List],TEXT($A$4, "mmmm yyyy")))</f>
        <v/>
      </c>
      <c r="F347" s="9" t="str">
        <f>IF(A347="","",SUMIFS(RawData[Qyt Affected ( EA ) ],RawData[[Article ]],A347,RawData[Month List],TEXT($A$4,"mmmm yyyy")))</f>
        <v/>
      </c>
    </row>
    <row r="348" spans="1:6" ht="15.75" x14ac:dyDescent="0.25">
      <c r="A348" s="40"/>
      <c r="B348" s="9" t="str">
        <f>IF(A348="","",INDEX(RawData[Description],MATCH(A348,RawData[[Article ]],0)))</f>
        <v/>
      </c>
      <c r="C348" s="9" t="str">
        <f>IF(A348="","",COUNTIFS(RawData[[Article ]],A348,RawData[Month List],TEXT($A$4,"mmmm yyyy")))</f>
        <v/>
      </c>
      <c r="D348" s="9" t="str">
        <f>IF(A348="","",COUNTIFS(RawData[[Article ]],A348,RawData[[Error Type ]],"Short",RawData[Month List],TEXT($A$4,"mmmm yyyy")))</f>
        <v/>
      </c>
      <c r="E348" s="9" t="str">
        <f>IF(A348="","",COUNTIFS(RawData[[Article ]],A348,RawData[[Error Type ]],"Excess",RawData[Month List],TEXT($A$4, "mmmm yyyy")))</f>
        <v/>
      </c>
      <c r="F348" s="9" t="str">
        <f>IF(A348="","",SUMIFS(RawData[Qyt Affected ( EA ) ],RawData[[Article ]],A348,RawData[Month List],TEXT($A$4,"mmmm yyyy")))</f>
        <v/>
      </c>
    </row>
    <row r="349" spans="1:6" ht="15.75" x14ac:dyDescent="0.25">
      <c r="A349" s="40"/>
      <c r="B349" s="9" t="str">
        <f>IF(A349="","",INDEX(RawData[Description],MATCH(A349,RawData[[Article ]],0)))</f>
        <v/>
      </c>
      <c r="C349" s="9" t="str">
        <f>IF(A349="","",COUNTIFS(RawData[[Article ]],A349,RawData[Month List],TEXT($A$4,"mmmm yyyy")))</f>
        <v/>
      </c>
      <c r="D349" s="9" t="str">
        <f>IF(A349="","",COUNTIFS(RawData[[Article ]],A349,RawData[[Error Type ]],"Short",RawData[Month List],TEXT($A$4,"mmmm yyyy")))</f>
        <v/>
      </c>
      <c r="E349" s="9" t="str">
        <f>IF(A349="","",COUNTIFS(RawData[[Article ]],A349,RawData[[Error Type ]],"Excess",RawData[Month List],TEXT($A$4, "mmmm yyyy")))</f>
        <v/>
      </c>
      <c r="F349" s="9" t="str">
        <f>IF(A349="","",SUMIFS(RawData[Qyt Affected ( EA ) ],RawData[[Article ]],A349,RawData[Month List],TEXT($A$4,"mmmm yyyy")))</f>
        <v/>
      </c>
    </row>
    <row r="350" spans="1:6" ht="15.75" x14ac:dyDescent="0.25">
      <c r="A350" s="40"/>
      <c r="B350" s="9" t="str">
        <f>IF(A350="","",INDEX(RawData[Description],MATCH(A350,RawData[[Article ]],0)))</f>
        <v/>
      </c>
      <c r="C350" s="9" t="str">
        <f>IF(A350="","",COUNTIFS(RawData[[Article ]],A350,RawData[Month List],TEXT($A$4,"mmmm yyyy")))</f>
        <v/>
      </c>
      <c r="D350" s="9" t="str">
        <f>IF(A350="","",COUNTIFS(RawData[[Article ]],A350,RawData[[Error Type ]],"Short",RawData[Month List],TEXT($A$4,"mmmm yyyy")))</f>
        <v/>
      </c>
      <c r="E350" s="9" t="str">
        <f>IF(A350="","",COUNTIFS(RawData[[Article ]],A350,RawData[[Error Type ]],"Excess",RawData[Month List],TEXT($A$4, "mmmm yyyy")))</f>
        <v/>
      </c>
      <c r="F350" s="9" t="str">
        <f>IF(A350="","",SUMIFS(RawData[Qyt Affected ( EA ) ],RawData[[Article ]],A350,RawData[Month List],TEXT($A$4,"mmmm yyyy")))</f>
        <v/>
      </c>
    </row>
    <row r="351" spans="1:6" ht="15.75" x14ac:dyDescent="0.25">
      <c r="A351" s="40"/>
      <c r="B351" s="9" t="str">
        <f>IF(A351="","",INDEX(RawData[Description],MATCH(A351,RawData[[Article ]],0)))</f>
        <v/>
      </c>
      <c r="C351" s="9" t="str">
        <f>IF(A351="","",COUNTIFS(RawData[[Article ]],A351,RawData[Month List],TEXT($A$4,"mmmm yyyy")))</f>
        <v/>
      </c>
      <c r="D351" s="9" t="str">
        <f>IF(A351="","",COUNTIFS(RawData[[Article ]],A351,RawData[[Error Type ]],"Short",RawData[Month List],TEXT($A$4,"mmmm yyyy")))</f>
        <v/>
      </c>
      <c r="E351" s="9" t="str">
        <f>IF(A351="","",COUNTIFS(RawData[[Article ]],A351,RawData[[Error Type ]],"Excess",RawData[Month List],TEXT($A$4, "mmmm yyyy")))</f>
        <v/>
      </c>
      <c r="F351" s="9" t="str">
        <f>IF(A351="","",SUMIFS(RawData[Qyt Affected ( EA ) ],RawData[[Article ]],A351,RawData[Month List],TEXT($A$4,"mmmm yyyy")))</f>
        <v/>
      </c>
    </row>
    <row r="352" spans="1:6" ht="15.75" x14ac:dyDescent="0.25">
      <c r="A352" s="40"/>
      <c r="B352" s="9" t="str">
        <f>IF(A352="","",INDEX(RawData[Description],MATCH(A352,RawData[[Article ]],0)))</f>
        <v/>
      </c>
      <c r="C352" s="9" t="str">
        <f>IF(A352="","",COUNTIFS(RawData[[Article ]],A352,RawData[Month List],TEXT($A$4,"mmmm yyyy")))</f>
        <v/>
      </c>
      <c r="D352" s="9" t="str">
        <f>IF(A352="","",COUNTIFS(RawData[[Article ]],A352,RawData[[Error Type ]],"Short",RawData[Month List],TEXT($A$4,"mmmm yyyy")))</f>
        <v/>
      </c>
      <c r="E352" s="9" t="str">
        <f>IF(A352="","",COUNTIFS(RawData[[Article ]],A352,RawData[[Error Type ]],"Excess",RawData[Month List],TEXT($A$4, "mmmm yyyy")))</f>
        <v/>
      </c>
      <c r="F352" s="9" t="str">
        <f>IF(A352="","",SUMIFS(RawData[Qyt Affected ( EA ) ],RawData[[Article ]],A352,RawData[Month List],TEXT($A$4,"mmmm yyyy")))</f>
        <v/>
      </c>
    </row>
    <row r="353" spans="1:6" ht="15.75" x14ac:dyDescent="0.25">
      <c r="A353" s="40"/>
      <c r="B353" s="9" t="str">
        <f>IF(A353="","",INDEX(RawData[Description],MATCH(A353,RawData[[Article ]],0)))</f>
        <v/>
      </c>
      <c r="C353" s="9" t="str">
        <f>IF(A353="","",COUNTIFS(RawData[[Article ]],A353,RawData[Month List],TEXT($A$4,"mmmm yyyy")))</f>
        <v/>
      </c>
      <c r="D353" s="9" t="str">
        <f>IF(A353="","",COUNTIFS(RawData[[Article ]],A353,RawData[[Error Type ]],"Short",RawData[Month List],TEXT($A$4,"mmmm yyyy")))</f>
        <v/>
      </c>
      <c r="E353" s="9" t="str">
        <f>IF(A353="","",COUNTIFS(RawData[[Article ]],A353,RawData[[Error Type ]],"Excess",RawData[Month List],TEXT($A$4, "mmmm yyyy")))</f>
        <v/>
      </c>
      <c r="F353" s="9" t="str">
        <f>IF(A353="","",SUMIFS(RawData[Qyt Affected ( EA ) ],RawData[[Article ]],A353,RawData[Month List],TEXT($A$4,"mmmm yyyy")))</f>
        <v/>
      </c>
    </row>
    <row r="354" spans="1:6" ht="15.75" x14ac:dyDescent="0.25">
      <c r="A354" s="40"/>
      <c r="B354" s="9" t="str">
        <f>IF(A354="","",INDEX(RawData[Description],MATCH(A354,RawData[[Article ]],0)))</f>
        <v/>
      </c>
      <c r="C354" s="9" t="str">
        <f>IF(A354="","",COUNTIFS(RawData[[Article ]],A354,RawData[Month List],TEXT($A$4,"mmmm yyyy")))</f>
        <v/>
      </c>
      <c r="D354" s="9" t="str">
        <f>IF(A354="","",COUNTIFS(RawData[[Article ]],A354,RawData[[Error Type ]],"Short",RawData[Month List],TEXT($A$4,"mmmm yyyy")))</f>
        <v/>
      </c>
      <c r="E354" s="9" t="str">
        <f>IF(A354="","",COUNTIFS(RawData[[Article ]],A354,RawData[[Error Type ]],"Excess",RawData[Month List],TEXT($A$4, "mmmm yyyy")))</f>
        <v/>
      </c>
      <c r="F354" s="9" t="str">
        <f>IF(A354="","",SUMIFS(RawData[Qyt Affected ( EA ) ],RawData[[Article ]],A354,RawData[Month List],TEXT($A$4,"mmmm yyyy")))</f>
        <v/>
      </c>
    </row>
    <row r="355" spans="1:6" ht="15.75" x14ac:dyDescent="0.25">
      <c r="A355" s="40"/>
      <c r="B355" s="9" t="str">
        <f>IF(A355="","",INDEX(RawData[Description],MATCH(A355,RawData[[Article ]],0)))</f>
        <v/>
      </c>
      <c r="C355" s="9" t="str">
        <f>IF(A355="","",COUNTIFS(RawData[[Article ]],A355,RawData[Month List],TEXT($A$4,"mmmm yyyy")))</f>
        <v/>
      </c>
      <c r="D355" s="9" t="str">
        <f>IF(A355="","",COUNTIFS(RawData[[Article ]],A355,RawData[[Error Type ]],"Short",RawData[Month List],TEXT($A$4,"mmmm yyyy")))</f>
        <v/>
      </c>
      <c r="E355" s="9" t="str">
        <f>IF(A355="","",COUNTIFS(RawData[[Article ]],A355,RawData[[Error Type ]],"Excess",RawData[Month List],TEXT($A$4, "mmmm yyyy")))</f>
        <v/>
      </c>
      <c r="F355" s="9" t="str">
        <f>IF(A355="","",SUMIFS(RawData[Qyt Affected ( EA ) ],RawData[[Article ]],A355,RawData[Month List],TEXT($A$4,"mmmm yyyy")))</f>
        <v/>
      </c>
    </row>
    <row r="356" spans="1:6" ht="15.75" x14ac:dyDescent="0.25">
      <c r="A356" s="40"/>
      <c r="B356" s="9" t="str">
        <f>IF(A356="","",INDEX(RawData[Description],MATCH(A356,RawData[[Article ]],0)))</f>
        <v/>
      </c>
      <c r="C356" s="9" t="str">
        <f>IF(A356="","",COUNTIFS(RawData[[Article ]],A356,RawData[Month List],TEXT($A$4,"mmmm yyyy")))</f>
        <v/>
      </c>
      <c r="D356" s="9" t="str">
        <f>IF(A356="","",COUNTIFS(RawData[[Article ]],A356,RawData[[Error Type ]],"Short",RawData[Month List],TEXT($A$4,"mmmm yyyy")))</f>
        <v/>
      </c>
      <c r="E356" s="9" t="str">
        <f>IF(A356="","",COUNTIFS(RawData[[Article ]],A356,RawData[[Error Type ]],"Excess",RawData[Month List],TEXT($A$4, "mmmm yyyy")))</f>
        <v/>
      </c>
      <c r="F356" s="9" t="str">
        <f>IF(A356="","",SUMIFS(RawData[Qyt Affected ( EA ) ],RawData[[Article ]],A356,RawData[Month List],TEXT($A$4,"mmmm yyyy")))</f>
        <v/>
      </c>
    </row>
    <row r="357" spans="1:6" ht="15.75" x14ac:dyDescent="0.25">
      <c r="A357" s="40"/>
      <c r="B357" s="9" t="str">
        <f>IF(A357="","",INDEX(RawData[Description],MATCH(A357,RawData[[Article ]],0)))</f>
        <v/>
      </c>
      <c r="C357" s="9" t="str">
        <f>IF(A357="","",COUNTIFS(RawData[[Article ]],A357,RawData[Month List],TEXT($A$4,"mmmm yyyy")))</f>
        <v/>
      </c>
      <c r="D357" s="9" t="str">
        <f>IF(A357="","",COUNTIFS(RawData[[Article ]],A357,RawData[[Error Type ]],"Short",RawData[Month List],TEXT($A$4,"mmmm yyyy")))</f>
        <v/>
      </c>
      <c r="E357" s="9" t="str">
        <f>IF(A357="","",COUNTIFS(RawData[[Article ]],A357,RawData[[Error Type ]],"Excess",RawData[Month List],TEXT($A$4, "mmmm yyyy")))</f>
        <v/>
      </c>
      <c r="F357" s="9" t="str">
        <f>IF(A357="","",SUMIFS(RawData[Qyt Affected ( EA ) ],RawData[[Article ]],A357,RawData[Month List],TEXT($A$4,"mmmm yyyy")))</f>
        <v/>
      </c>
    </row>
    <row r="358" spans="1:6" ht="15.75" x14ac:dyDescent="0.25">
      <c r="A358" s="40"/>
      <c r="B358" s="9" t="str">
        <f>IF(A358="","",INDEX(RawData[Description],MATCH(A358,RawData[[Article ]],0)))</f>
        <v/>
      </c>
      <c r="C358" s="9" t="str">
        <f>IF(A358="","",COUNTIFS(RawData[[Article ]],A358,RawData[Month List],TEXT($A$4,"mmmm yyyy")))</f>
        <v/>
      </c>
      <c r="D358" s="9" t="str">
        <f>IF(A358="","",COUNTIFS(RawData[[Article ]],A358,RawData[[Error Type ]],"Short",RawData[Month List],TEXT($A$4,"mmmm yyyy")))</f>
        <v/>
      </c>
      <c r="E358" s="9" t="str">
        <f>IF(A358="","",COUNTIFS(RawData[[Article ]],A358,RawData[[Error Type ]],"Excess",RawData[Month List],TEXT($A$4, "mmmm yyyy")))</f>
        <v/>
      </c>
      <c r="F358" s="9" t="str">
        <f>IF(A358="","",SUMIFS(RawData[Qyt Affected ( EA ) ],RawData[[Article ]],A358,RawData[Month List],TEXT($A$4,"mmmm yyyy")))</f>
        <v/>
      </c>
    </row>
    <row r="359" spans="1:6" ht="15.75" x14ac:dyDescent="0.25">
      <c r="A359" s="40"/>
      <c r="B359" s="9" t="str">
        <f>IF(A359="","",INDEX(RawData[Description],MATCH(A359,RawData[[Article ]],0)))</f>
        <v/>
      </c>
      <c r="C359" s="9" t="str">
        <f>IF(A359="","",COUNTIFS(RawData[[Article ]],A359,RawData[Month List],TEXT($A$4,"mmmm yyyy")))</f>
        <v/>
      </c>
      <c r="D359" s="9" t="str">
        <f>IF(A359="","",COUNTIFS(RawData[[Article ]],A359,RawData[[Error Type ]],"Short",RawData[Month List],TEXT($A$4,"mmmm yyyy")))</f>
        <v/>
      </c>
      <c r="E359" s="9" t="str">
        <f>IF(A359="","",COUNTIFS(RawData[[Article ]],A359,RawData[[Error Type ]],"Excess",RawData[Month List],TEXT($A$4, "mmmm yyyy")))</f>
        <v/>
      </c>
      <c r="F359" s="9" t="str">
        <f>IF(A359="","",SUMIFS(RawData[Qyt Affected ( EA ) ],RawData[[Article ]],A359,RawData[Month List],TEXT($A$4,"mmmm yyyy")))</f>
        <v/>
      </c>
    </row>
    <row r="360" spans="1:6" ht="15.75" x14ac:dyDescent="0.25">
      <c r="A360" s="40"/>
      <c r="B360" s="9" t="str">
        <f>IF(A360="","",INDEX(RawData[Description],MATCH(A360,RawData[[Article ]],0)))</f>
        <v/>
      </c>
      <c r="C360" s="9" t="str">
        <f>IF(A360="","",COUNTIFS(RawData[[Article ]],A360,RawData[Month List],TEXT($A$4,"mmmm yyyy")))</f>
        <v/>
      </c>
      <c r="D360" s="9" t="str">
        <f>IF(A360="","",COUNTIFS(RawData[[Article ]],A360,RawData[[Error Type ]],"Short",RawData[Month List],TEXT($A$4,"mmmm yyyy")))</f>
        <v/>
      </c>
      <c r="E360" s="9" t="str">
        <f>IF(A360="","",COUNTIFS(RawData[[Article ]],A360,RawData[[Error Type ]],"Excess",RawData[Month List],TEXT($A$4, "mmmm yyyy")))</f>
        <v/>
      </c>
      <c r="F360" s="9" t="str">
        <f>IF(A360="","",SUMIFS(RawData[Qyt Affected ( EA ) ],RawData[[Article ]],A360,RawData[Month List],TEXT($A$4,"mmmm yyyy")))</f>
        <v/>
      </c>
    </row>
    <row r="361" spans="1:6" ht="15.75" x14ac:dyDescent="0.25">
      <c r="A361" s="40"/>
      <c r="B361" s="9" t="str">
        <f>IF(A361="","",INDEX(RawData[Description],MATCH(A361,RawData[[Article ]],0)))</f>
        <v/>
      </c>
      <c r="C361" s="9" t="str">
        <f>IF(A361="","",COUNTIFS(RawData[[Article ]],A361,RawData[Month List],TEXT($A$4,"mmmm yyyy")))</f>
        <v/>
      </c>
      <c r="D361" s="9" t="str">
        <f>IF(A361="","",COUNTIFS(RawData[[Article ]],A361,RawData[[Error Type ]],"Short",RawData[Month List],TEXT($A$4,"mmmm yyyy")))</f>
        <v/>
      </c>
      <c r="E361" s="9" t="str">
        <f>IF(A361="","",COUNTIFS(RawData[[Article ]],A361,RawData[[Error Type ]],"Excess",RawData[Month List],TEXT($A$4, "mmmm yyyy")))</f>
        <v/>
      </c>
      <c r="F361" s="9" t="str">
        <f>IF(A361="","",SUMIFS(RawData[Qyt Affected ( EA ) ],RawData[[Article ]],A361,RawData[Month List],TEXT($A$4,"mmmm yyyy")))</f>
        <v/>
      </c>
    </row>
    <row r="362" spans="1:6" ht="15.75" x14ac:dyDescent="0.25">
      <c r="A362" s="40"/>
      <c r="B362" s="9" t="str">
        <f>IF(A362="","",INDEX(RawData[Description],MATCH(A362,RawData[[Article ]],0)))</f>
        <v/>
      </c>
      <c r="C362" s="9" t="str">
        <f>IF(A362="","",COUNTIFS(RawData[[Article ]],A362,RawData[Month List],TEXT($A$4,"mmmm yyyy")))</f>
        <v/>
      </c>
      <c r="D362" s="9" t="str">
        <f>IF(A362="","",COUNTIFS(RawData[[Article ]],A362,RawData[[Error Type ]],"Short",RawData[Month List],TEXT($A$4,"mmmm yyyy")))</f>
        <v/>
      </c>
      <c r="E362" s="9" t="str">
        <f>IF(A362="","",COUNTIFS(RawData[[Article ]],A362,RawData[[Error Type ]],"Excess",RawData[Month List],TEXT($A$4, "mmmm yyyy")))</f>
        <v/>
      </c>
      <c r="F362" s="9" t="str">
        <f>IF(A362="","",SUMIFS(RawData[Qyt Affected ( EA ) ],RawData[[Article ]],A362,RawData[Month List],TEXT($A$4,"mmmm yyyy")))</f>
        <v/>
      </c>
    </row>
    <row r="363" spans="1:6" ht="15.75" x14ac:dyDescent="0.25">
      <c r="A363" s="40"/>
      <c r="B363" s="9" t="str">
        <f>IF(A363="","",INDEX(RawData[Description],MATCH(A363,RawData[[Article ]],0)))</f>
        <v/>
      </c>
      <c r="C363" s="9" t="str">
        <f>IF(A363="","",COUNTIFS(RawData[[Article ]],A363,RawData[Month List],TEXT($A$4,"mmmm yyyy")))</f>
        <v/>
      </c>
      <c r="D363" s="9" t="str">
        <f>IF(A363="","",COUNTIFS(RawData[[Article ]],A363,RawData[[Error Type ]],"Short",RawData[Month List],TEXT($A$4,"mmmm yyyy")))</f>
        <v/>
      </c>
      <c r="E363" s="9" t="str">
        <f>IF(A363="","",COUNTIFS(RawData[[Article ]],A363,RawData[[Error Type ]],"Excess",RawData[Month List],TEXT($A$4, "mmmm yyyy")))</f>
        <v/>
      </c>
      <c r="F363" s="9" t="str">
        <f>IF(A363="","",SUMIFS(RawData[Qyt Affected ( EA ) ],RawData[[Article ]],A363,RawData[Month List],TEXT($A$4,"mmmm yyyy")))</f>
        <v/>
      </c>
    </row>
    <row r="364" spans="1:6" ht="15.75" x14ac:dyDescent="0.25">
      <c r="A364" s="40"/>
      <c r="B364" s="9" t="str">
        <f>IF(A364="","",INDEX(RawData[Description],MATCH(A364,RawData[[Article ]],0)))</f>
        <v/>
      </c>
      <c r="C364" s="9" t="str">
        <f>IF(A364="","",COUNTIFS(RawData[[Article ]],A364,RawData[Month List],TEXT($A$4,"mmmm yyyy")))</f>
        <v/>
      </c>
      <c r="D364" s="9" t="str">
        <f>IF(A364="","",COUNTIFS(RawData[[Article ]],A364,RawData[[Error Type ]],"Short",RawData[Month List],TEXT($A$4,"mmmm yyyy")))</f>
        <v/>
      </c>
      <c r="E364" s="9" t="str">
        <f>IF(A364="","",COUNTIFS(RawData[[Article ]],A364,RawData[[Error Type ]],"Excess",RawData[Month List],TEXT($A$4, "mmmm yyyy")))</f>
        <v/>
      </c>
      <c r="F364" s="9" t="str">
        <f>IF(A364="","",SUMIFS(RawData[Qyt Affected ( EA ) ],RawData[[Article ]],A364,RawData[Month List],TEXT($A$4,"mmmm yyyy")))</f>
        <v/>
      </c>
    </row>
    <row r="365" spans="1:6" ht="15.75" x14ac:dyDescent="0.25">
      <c r="A365" s="40"/>
      <c r="B365" s="9" t="str">
        <f>IF(A365="","",INDEX(RawData[Description],MATCH(A365,RawData[[Article ]],0)))</f>
        <v/>
      </c>
      <c r="C365" s="9" t="str">
        <f>IF(A365="","",COUNTIFS(RawData[[Article ]],A365,RawData[Month List],TEXT($A$4,"mmmm yyyy")))</f>
        <v/>
      </c>
      <c r="D365" s="9" t="str">
        <f>IF(A365="","",COUNTIFS(RawData[[Article ]],A365,RawData[[Error Type ]],"Short",RawData[Month List],TEXT($A$4,"mmmm yyyy")))</f>
        <v/>
      </c>
      <c r="E365" s="9" t="str">
        <f>IF(A365="","",COUNTIFS(RawData[[Article ]],A365,RawData[[Error Type ]],"Excess",RawData[Month List],TEXT($A$4, "mmmm yyyy")))</f>
        <v/>
      </c>
      <c r="F365" s="9" t="str">
        <f>IF(A365="","",SUMIFS(RawData[Qyt Affected ( EA ) ],RawData[[Article ]],A365,RawData[Month List],TEXT($A$4,"mmmm yyyy")))</f>
        <v/>
      </c>
    </row>
    <row r="366" spans="1:6" ht="15.75" x14ac:dyDescent="0.25">
      <c r="A366" s="40"/>
      <c r="B366" s="9" t="str">
        <f>IF(A366="","",INDEX(RawData[Description],MATCH(A366,RawData[[Article ]],0)))</f>
        <v/>
      </c>
      <c r="C366" s="9" t="str">
        <f>IF(A366="","",COUNTIFS(RawData[[Article ]],A366,RawData[Month List],TEXT($A$4,"mmmm yyyy")))</f>
        <v/>
      </c>
      <c r="D366" s="9" t="str">
        <f>IF(A366="","",COUNTIFS(RawData[[Article ]],A366,RawData[[Error Type ]],"Short",RawData[Month List],TEXT($A$4,"mmmm yyyy")))</f>
        <v/>
      </c>
      <c r="E366" s="9" t="str">
        <f>IF(A366="","",COUNTIFS(RawData[[Article ]],A366,RawData[[Error Type ]],"Excess",RawData[Month List],TEXT($A$4, "mmmm yyyy")))</f>
        <v/>
      </c>
      <c r="F366" s="9" t="str">
        <f>IF(A366="","",SUMIFS(RawData[Qyt Affected ( EA ) ],RawData[[Article ]],A366,RawData[Month List],TEXT($A$4,"mmmm yyyy")))</f>
        <v/>
      </c>
    </row>
    <row r="367" spans="1:6" ht="15.75" x14ac:dyDescent="0.25">
      <c r="A367" s="40"/>
      <c r="B367" s="9" t="str">
        <f>IF(A367="","",INDEX(RawData[Description],MATCH(A367,RawData[[Article ]],0)))</f>
        <v/>
      </c>
      <c r="C367" s="9" t="str">
        <f>IF(A367="","",COUNTIFS(RawData[[Article ]],A367,RawData[Month List],TEXT($A$4,"mmmm yyyy")))</f>
        <v/>
      </c>
      <c r="D367" s="9" t="str">
        <f>IF(A367="","",COUNTIFS(RawData[[Article ]],A367,RawData[[Error Type ]],"Short",RawData[Month List],TEXT($A$4,"mmmm yyyy")))</f>
        <v/>
      </c>
      <c r="E367" s="9" t="str">
        <f>IF(A367="","",COUNTIFS(RawData[[Article ]],A367,RawData[[Error Type ]],"Excess",RawData[Month List],TEXT($A$4, "mmmm yyyy")))</f>
        <v/>
      </c>
      <c r="F367" s="9" t="str">
        <f>IF(A367="","",SUMIFS(RawData[Qyt Affected ( EA ) ],RawData[[Article ]],A367,RawData[Month List],TEXT($A$4,"mmmm yyyy")))</f>
        <v/>
      </c>
    </row>
    <row r="368" spans="1:6" ht="15.75" x14ac:dyDescent="0.25">
      <c r="A368" s="40"/>
      <c r="B368" s="9" t="str">
        <f>IF(A368="","",INDEX(RawData[Description],MATCH(A368,RawData[[Article ]],0)))</f>
        <v/>
      </c>
      <c r="C368" s="9" t="str">
        <f>IF(A368="","",COUNTIFS(RawData[[Article ]],A368,RawData[Month List],TEXT($A$4,"mmmm yyyy")))</f>
        <v/>
      </c>
      <c r="D368" s="9" t="str">
        <f>IF(A368="","",COUNTIFS(RawData[[Article ]],A368,RawData[[Error Type ]],"Short",RawData[Month List],TEXT($A$4,"mmmm yyyy")))</f>
        <v/>
      </c>
      <c r="E368" s="9" t="str">
        <f>IF(A368="","",COUNTIFS(RawData[[Article ]],A368,RawData[[Error Type ]],"Excess",RawData[Month List],TEXT($A$4, "mmmm yyyy")))</f>
        <v/>
      </c>
      <c r="F368" s="9" t="str">
        <f>IF(A368="","",SUMIFS(RawData[Qyt Affected ( EA ) ],RawData[[Article ]],A368,RawData[Month List],TEXT($A$4,"mmmm yyyy")))</f>
        <v/>
      </c>
    </row>
    <row r="369" spans="1:6" ht="15.75" x14ac:dyDescent="0.25">
      <c r="A369" s="40"/>
      <c r="B369" s="9" t="str">
        <f>IF(A369="","",INDEX(RawData[Description],MATCH(A369,RawData[[Article ]],0)))</f>
        <v/>
      </c>
      <c r="C369" s="9" t="str">
        <f>IF(A369="","",COUNTIFS(RawData[[Article ]],A369,RawData[Month List],TEXT($A$4,"mmmm yyyy")))</f>
        <v/>
      </c>
      <c r="D369" s="9" t="str">
        <f>IF(A369="","",COUNTIFS(RawData[[Article ]],A369,RawData[[Error Type ]],"Short",RawData[Month List],TEXT($A$4,"mmmm yyyy")))</f>
        <v/>
      </c>
      <c r="E369" s="9" t="str">
        <f>IF(A369="","",COUNTIFS(RawData[[Article ]],A369,RawData[[Error Type ]],"Excess",RawData[Month List],TEXT($A$4, "mmmm yyyy")))</f>
        <v/>
      </c>
      <c r="F369" s="9" t="str">
        <f>IF(A369="","",SUMIFS(RawData[Qyt Affected ( EA ) ],RawData[[Article ]],A369,RawData[Month List],TEXT($A$4,"mmmm yyyy")))</f>
        <v/>
      </c>
    </row>
    <row r="370" spans="1:6" ht="15.75" x14ac:dyDescent="0.25">
      <c r="A370" s="40"/>
      <c r="B370" s="9" t="str">
        <f>IF(A370="","",INDEX(RawData[Description],MATCH(A370,RawData[[Article ]],0)))</f>
        <v/>
      </c>
      <c r="C370" s="9" t="str">
        <f>IF(A370="","",COUNTIFS(RawData[[Article ]],A370,RawData[Month List],TEXT($A$4,"mmmm yyyy")))</f>
        <v/>
      </c>
      <c r="D370" s="9" t="str">
        <f>IF(A370="","",COUNTIFS(RawData[[Article ]],A370,RawData[[Error Type ]],"Short",RawData[Month List],TEXT($A$4,"mmmm yyyy")))</f>
        <v/>
      </c>
      <c r="E370" s="9" t="str">
        <f>IF(A370="","",COUNTIFS(RawData[[Article ]],A370,RawData[[Error Type ]],"Excess",RawData[Month List],TEXT($A$4, "mmmm yyyy")))</f>
        <v/>
      </c>
      <c r="F370" s="9" t="str">
        <f>IF(A370="","",SUMIFS(RawData[Qyt Affected ( EA ) ],RawData[[Article ]],A370,RawData[Month List],TEXT($A$4,"mmmm yyyy")))</f>
        <v/>
      </c>
    </row>
    <row r="371" spans="1:6" ht="15.75" x14ac:dyDescent="0.25">
      <c r="A371" s="40"/>
      <c r="B371" s="9" t="str">
        <f>IF(A371="","",INDEX(RawData[Description],MATCH(A371,RawData[[Article ]],0)))</f>
        <v/>
      </c>
      <c r="C371" s="9" t="str">
        <f>IF(A371="","",COUNTIFS(RawData[[Article ]],A371,RawData[Month List],TEXT($A$4,"mmmm yyyy")))</f>
        <v/>
      </c>
      <c r="D371" s="9" t="str">
        <f>IF(A371="","",COUNTIFS(RawData[[Article ]],A371,RawData[[Error Type ]],"Short",RawData[Month List],TEXT($A$4,"mmmm yyyy")))</f>
        <v/>
      </c>
      <c r="E371" s="9" t="str">
        <f>IF(A371="","",COUNTIFS(RawData[[Article ]],A371,RawData[[Error Type ]],"Excess",RawData[Month List],TEXT($A$4, "mmmm yyyy")))</f>
        <v/>
      </c>
      <c r="F371" s="9" t="str">
        <f>IF(A371="","",SUMIFS(RawData[Qyt Affected ( EA ) ],RawData[[Article ]],A371,RawData[Month List],TEXT($A$4,"mmmm yyyy")))</f>
        <v/>
      </c>
    </row>
    <row r="372" spans="1:6" ht="15.75" x14ac:dyDescent="0.25">
      <c r="A372" s="40"/>
      <c r="B372" s="9" t="str">
        <f>IF(A372="","",INDEX(RawData[Description],MATCH(A372,RawData[[Article ]],0)))</f>
        <v/>
      </c>
      <c r="C372" s="9" t="str">
        <f>IF(A372="","",COUNTIFS(RawData[[Article ]],A372,RawData[Month List],TEXT($A$4,"mmmm yyyy")))</f>
        <v/>
      </c>
      <c r="D372" s="9" t="str">
        <f>IF(A372="","",COUNTIFS(RawData[[Article ]],A372,RawData[[Error Type ]],"Short",RawData[Month List],TEXT($A$4,"mmmm yyyy")))</f>
        <v/>
      </c>
      <c r="E372" s="9" t="str">
        <f>IF(A372="","",COUNTIFS(RawData[[Article ]],A372,RawData[[Error Type ]],"Excess",RawData[Month List],TEXT($A$4, "mmmm yyyy")))</f>
        <v/>
      </c>
      <c r="F372" s="9" t="str">
        <f>IF(A372="","",SUMIFS(RawData[Qyt Affected ( EA ) ],RawData[[Article ]],A372,RawData[Month List],TEXT($A$4,"mmmm yyyy")))</f>
        <v/>
      </c>
    </row>
    <row r="373" spans="1:6" ht="15.75" x14ac:dyDescent="0.25">
      <c r="A373" s="40"/>
      <c r="B373" s="9" t="str">
        <f>IF(A373="","",INDEX(RawData[Description],MATCH(A373,RawData[[Article ]],0)))</f>
        <v/>
      </c>
      <c r="C373" s="9" t="str">
        <f>IF(A373="","",COUNTIFS(RawData[[Article ]],A373,RawData[Month List],TEXT($A$4,"mmmm yyyy")))</f>
        <v/>
      </c>
      <c r="D373" s="9" t="str">
        <f>IF(A373="","",COUNTIFS(RawData[[Article ]],A373,RawData[[Error Type ]],"Short",RawData[Month List],TEXT($A$4,"mmmm yyyy")))</f>
        <v/>
      </c>
      <c r="E373" s="9" t="str">
        <f>IF(A373="","",COUNTIFS(RawData[[Article ]],A373,RawData[[Error Type ]],"Excess",RawData[Month List],TEXT($A$4, "mmmm yyyy")))</f>
        <v/>
      </c>
      <c r="F373" s="9" t="str">
        <f>IF(A373="","",SUMIFS(RawData[Qyt Affected ( EA ) ],RawData[[Article ]],A373,RawData[Month List],TEXT($A$4,"mmmm yyyy")))</f>
        <v/>
      </c>
    </row>
    <row r="374" spans="1:6" ht="15.75" x14ac:dyDescent="0.25">
      <c r="A374" s="40"/>
      <c r="B374" s="9" t="str">
        <f>IF(A374="","",INDEX(RawData[Description],MATCH(A374,RawData[[Article ]],0)))</f>
        <v/>
      </c>
      <c r="C374" s="9" t="str">
        <f>IF(A374="","",COUNTIFS(RawData[[Article ]],A374,RawData[Month List],TEXT($A$4,"mmmm yyyy")))</f>
        <v/>
      </c>
      <c r="D374" s="9" t="str">
        <f>IF(A374="","",COUNTIFS(RawData[[Article ]],A374,RawData[[Error Type ]],"Short",RawData[Month List],TEXT($A$4,"mmmm yyyy")))</f>
        <v/>
      </c>
      <c r="E374" s="9" t="str">
        <f>IF(A374="","",COUNTIFS(RawData[[Article ]],A374,RawData[[Error Type ]],"Excess",RawData[Month List],TEXT($A$4, "mmmm yyyy")))</f>
        <v/>
      </c>
      <c r="F374" s="9" t="str">
        <f>IF(A374="","",SUMIFS(RawData[Qyt Affected ( EA ) ],RawData[[Article ]],A374,RawData[Month List],TEXT($A$4,"mmmm yyyy")))</f>
        <v/>
      </c>
    </row>
    <row r="375" spans="1:6" ht="15.75" x14ac:dyDescent="0.25">
      <c r="A375" s="40"/>
      <c r="B375" s="9" t="str">
        <f>IF(A375="","",INDEX(RawData[Description],MATCH(A375,RawData[[Article ]],0)))</f>
        <v/>
      </c>
      <c r="C375" s="9" t="str">
        <f>IF(A375="","",COUNTIFS(RawData[[Article ]],A375,RawData[Month List],TEXT($A$4,"mmmm yyyy")))</f>
        <v/>
      </c>
      <c r="D375" s="9" t="str">
        <f>IF(A375="","",COUNTIFS(RawData[[Article ]],A375,RawData[[Error Type ]],"Short",RawData[Month List],TEXT($A$4,"mmmm yyyy")))</f>
        <v/>
      </c>
      <c r="E375" s="9" t="str">
        <f>IF(A375="","",COUNTIFS(RawData[[Article ]],A375,RawData[[Error Type ]],"Excess",RawData[Month List],TEXT($A$4, "mmmm yyyy")))</f>
        <v/>
      </c>
      <c r="F375" s="9" t="str">
        <f>IF(A375="","",SUMIFS(RawData[Qyt Affected ( EA ) ],RawData[[Article ]],A375,RawData[Month List],TEXT($A$4,"mmmm yyyy")))</f>
        <v/>
      </c>
    </row>
    <row r="376" spans="1:6" ht="15.75" x14ac:dyDescent="0.25">
      <c r="A376" s="40"/>
      <c r="B376" s="9" t="str">
        <f>IF(A376="","",INDEX(RawData[Description],MATCH(A376,RawData[[Article ]],0)))</f>
        <v/>
      </c>
      <c r="C376" s="9" t="str">
        <f>IF(A376="","",COUNTIFS(RawData[[Article ]],A376,RawData[Month List],TEXT($A$4,"mmmm yyyy")))</f>
        <v/>
      </c>
      <c r="D376" s="9" t="str">
        <f>IF(A376="","",COUNTIFS(RawData[[Article ]],A376,RawData[[Error Type ]],"Short",RawData[Month List],TEXT($A$4,"mmmm yyyy")))</f>
        <v/>
      </c>
      <c r="E376" s="9" t="str">
        <f>IF(A376="","",COUNTIFS(RawData[[Article ]],A376,RawData[[Error Type ]],"Excess",RawData[Month List],TEXT($A$4, "mmmm yyyy")))</f>
        <v/>
      </c>
      <c r="F376" s="9" t="str">
        <f>IF(A376="","",SUMIFS(RawData[Qyt Affected ( EA ) ],RawData[[Article ]],A376,RawData[Month List],TEXT($A$4,"mmmm yyyy")))</f>
        <v/>
      </c>
    </row>
    <row r="377" spans="1:6" ht="15.75" x14ac:dyDescent="0.25">
      <c r="A377" s="40"/>
      <c r="B377" s="9" t="str">
        <f>IF(A377="","",INDEX(RawData[Description],MATCH(A377,RawData[[Article ]],0)))</f>
        <v/>
      </c>
      <c r="C377" s="9" t="str">
        <f>IF(A377="","",COUNTIFS(RawData[[Article ]],A377,RawData[Month List],TEXT($A$4,"mmmm yyyy")))</f>
        <v/>
      </c>
      <c r="D377" s="9" t="str">
        <f>IF(A377="","",COUNTIFS(RawData[[Article ]],A377,RawData[[Error Type ]],"Short",RawData[Month List],TEXT($A$4,"mmmm yyyy")))</f>
        <v/>
      </c>
      <c r="E377" s="9" t="str">
        <f>IF(A377="","",COUNTIFS(RawData[[Article ]],A377,RawData[[Error Type ]],"Excess",RawData[Month List],TEXT($A$4, "mmmm yyyy")))</f>
        <v/>
      </c>
      <c r="F377" s="9" t="str">
        <f>IF(A377="","",SUMIFS(RawData[Qyt Affected ( EA ) ],RawData[[Article ]],A377,RawData[Month List],TEXT($A$4,"mmmm yyyy")))</f>
        <v/>
      </c>
    </row>
    <row r="378" spans="1:6" ht="15.75" x14ac:dyDescent="0.25">
      <c r="A378" s="40"/>
      <c r="B378" s="9" t="str">
        <f>IF(A378="","",INDEX(RawData[Description],MATCH(A378,RawData[[Article ]],0)))</f>
        <v/>
      </c>
      <c r="C378" s="9" t="str">
        <f>IF(A378="","",COUNTIFS(RawData[[Article ]],A378,RawData[Month List],TEXT($A$4,"mmmm yyyy")))</f>
        <v/>
      </c>
      <c r="D378" s="9" t="str">
        <f>IF(A378="","",COUNTIFS(RawData[[Article ]],A378,RawData[[Error Type ]],"Short",RawData[Month List],TEXT($A$4,"mmmm yyyy")))</f>
        <v/>
      </c>
      <c r="E378" s="9" t="str">
        <f>IF(A378="","",COUNTIFS(RawData[[Article ]],A378,RawData[[Error Type ]],"Excess",RawData[Month List],TEXT($A$4, "mmmm yyyy")))</f>
        <v/>
      </c>
      <c r="F378" s="9" t="str">
        <f>IF(A378="","",SUMIFS(RawData[Qyt Affected ( EA ) ],RawData[[Article ]],A378,RawData[Month List],TEXT($A$4,"mmmm yyyy")))</f>
        <v/>
      </c>
    </row>
    <row r="379" spans="1:6" ht="15.75" x14ac:dyDescent="0.25">
      <c r="A379" s="40"/>
      <c r="B379" s="9" t="str">
        <f>IF(A379="","",INDEX(RawData[Description],MATCH(A379,RawData[[Article ]],0)))</f>
        <v/>
      </c>
      <c r="C379" s="9" t="str">
        <f>IF(A379="","",COUNTIFS(RawData[[Article ]],A379,RawData[Month List],TEXT($A$4,"mmmm yyyy")))</f>
        <v/>
      </c>
      <c r="D379" s="9" t="str">
        <f>IF(A379="","",COUNTIFS(RawData[[Article ]],A379,RawData[[Error Type ]],"Short",RawData[Month List],TEXT($A$4,"mmmm yyyy")))</f>
        <v/>
      </c>
      <c r="E379" s="9" t="str">
        <f>IF(A379="","",COUNTIFS(RawData[[Article ]],A379,RawData[[Error Type ]],"Excess",RawData[Month List],TEXT($A$4, "mmmm yyyy")))</f>
        <v/>
      </c>
      <c r="F379" s="9" t="str">
        <f>IF(A379="","",SUMIFS(RawData[Qyt Affected ( EA ) ],RawData[[Article ]],A379,RawData[Month List],TEXT($A$4,"mmmm yyyy")))</f>
        <v/>
      </c>
    </row>
    <row r="380" spans="1:6" ht="15.75" x14ac:dyDescent="0.25">
      <c r="A380" s="40"/>
      <c r="B380" s="9" t="str">
        <f>IF(A380="","",INDEX(RawData[Description],MATCH(A380,RawData[[Article ]],0)))</f>
        <v/>
      </c>
      <c r="C380" s="9" t="str">
        <f>IF(A380="","",COUNTIFS(RawData[[Article ]],A380,RawData[Month List],TEXT($A$4,"mmmm yyyy")))</f>
        <v/>
      </c>
      <c r="D380" s="9" t="str">
        <f>IF(A380="","",COUNTIFS(RawData[[Article ]],A380,RawData[[Error Type ]],"Short",RawData[Month List],TEXT($A$4,"mmmm yyyy")))</f>
        <v/>
      </c>
      <c r="E380" s="9" t="str">
        <f>IF(A380="","",COUNTIFS(RawData[[Article ]],A380,RawData[[Error Type ]],"Excess",RawData[Month List],TEXT($A$4, "mmmm yyyy")))</f>
        <v/>
      </c>
      <c r="F380" s="9" t="str">
        <f>IF(A380="","",SUMIFS(RawData[Qyt Affected ( EA ) ],RawData[[Article ]],A380,RawData[Month List],TEXT($A$4,"mmmm yyyy")))</f>
        <v/>
      </c>
    </row>
    <row r="381" spans="1:6" ht="15.75" x14ac:dyDescent="0.25">
      <c r="A381" s="40"/>
      <c r="B381" s="9" t="str">
        <f>IF(A381="","",INDEX(RawData[Description],MATCH(A381,RawData[[Article ]],0)))</f>
        <v/>
      </c>
      <c r="C381" s="9" t="str">
        <f>IF(A381="","",COUNTIFS(RawData[[Article ]],A381,RawData[Month List],TEXT($A$4,"mmmm yyyy")))</f>
        <v/>
      </c>
      <c r="D381" s="9" t="str">
        <f>IF(A381="","",COUNTIFS(RawData[[Article ]],A381,RawData[[Error Type ]],"Short",RawData[Month List],TEXT($A$4,"mmmm yyyy")))</f>
        <v/>
      </c>
      <c r="E381" s="9" t="str">
        <f>IF(A381="","",COUNTIFS(RawData[[Article ]],A381,RawData[[Error Type ]],"Excess",RawData[Month List],TEXT($A$4, "mmmm yyyy")))</f>
        <v/>
      </c>
      <c r="F381" s="9" t="str">
        <f>IF(A381="","",SUMIFS(RawData[Qyt Affected ( EA ) ],RawData[[Article ]],A381,RawData[Month List],TEXT($A$4,"mmmm yyyy")))</f>
        <v/>
      </c>
    </row>
    <row r="382" spans="1:6" ht="15.75" x14ac:dyDescent="0.25">
      <c r="A382" s="40"/>
      <c r="B382" s="9" t="str">
        <f>IF(A382="","",INDEX(RawData[Description],MATCH(A382,RawData[[Article ]],0)))</f>
        <v/>
      </c>
      <c r="C382" s="9" t="str">
        <f>IF(A382="","",COUNTIFS(RawData[[Article ]],A382,RawData[Month List],TEXT($A$4,"mmmm yyyy")))</f>
        <v/>
      </c>
      <c r="D382" s="9" t="str">
        <f>IF(A382="","",COUNTIFS(RawData[[Article ]],A382,RawData[[Error Type ]],"Short",RawData[Month List],TEXT($A$4,"mmmm yyyy")))</f>
        <v/>
      </c>
      <c r="E382" s="9" t="str">
        <f>IF(A382="","",COUNTIFS(RawData[[Article ]],A382,RawData[[Error Type ]],"Excess",RawData[Month List],TEXT($A$4, "mmmm yyyy")))</f>
        <v/>
      </c>
      <c r="F382" s="9" t="str">
        <f>IF(A382="","",SUMIFS(RawData[Qyt Affected ( EA ) ],RawData[[Article ]],A382,RawData[Month List],TEXT($A$4,"mmmm yyyy")))</f>
        <v/>
      </c>
    </row>
    <row r="383" spans="1:6" ht="15.75" x14ac:dyDescent="0.25">
      <c r="A383" s="40"/>
      <c r="B383" s="9" t="str">
        <f>IF(A383="","",INDEX(RawData[Description],MATCH(A383,RawData[[Article ]],0)))</f>
        <v/>
      </c>
      <c r="C383" s="9" t="str">
        <f>IF(A383="","",COUNTIFS(RawData[[Article ]],A383,RawData[Month List],TEXT($A$4,"mmmm yyyy")))</f>
        <v/>
      </c>
      <c r="D383" s="9" t="str">
        <f>IF(A383="","",COUNTIFS(RawData[[Article ]],A383,RawData[[Error Type ]],"Short",RawData[Month List],TEXT($A$4,"mmmm yyyy")))</f>
        <v/>
      </c>
      <c r="E383" s="9" t="str">
        <f>IF(A383="","",COUNTIFS(RawData[[Article ]],A383,RawData[[Error Type ]],"Excess",RawData[Month List],TEXT($A$4, "mmmm yyyy")))</f>
        <v/>
      </c>
      <c r="F383" s="9" t="str">
        <f>IF(A383="","",SUMIFS(RawData[Qyt Affected ( EA ) ],RawData[[Article ]],A383,RawData[Month List],TEXT($A$4,"mmmm yyyy")))</f>
        <v/>
      </c>
    </row>
    <row r="384" spans="1:6" ht="15.75" x14ac:dyDescent="0.25">
      <c r="A384" s="40"/>
      <c r="B384" s="9" t="str">
        <f>IF(A384="","",INDEX(RawData[Description],MATCH(A384,RawData[[Article ]],0)))</f>
        <v/>
      </c>
      <c r="C384" s="9" t="str">
        <f>IF(A384="","",COUNTIFS(RawData[[Article ]],A384,RawData[Month List],TEXT($A$4,"mmmm yyyy")))</f>
        <v/>
      </c>
      <c r="D384" s="9" t="str">
        <f>IF(A384="","",COUNTIFS(RawData[[Article ]],A384,RawData[[Error Type ]],"Short",RawData[Month List],TEXT($A$4,"mmmm yyyy")))</f>
        <v/>
      </c>
      <c r="E384" s="9" t="str">
        <f>IF(A384="","",COUNTIFS(RawData[[Article ]],A384,RawData[[Error Type ]],"Excess",RawData[Month List],TEXT($A$4, "mmmm yyyy")))</f>
        <v/>
      </c>
      <c r="F384" s="9" t="str">
        <f>IF(A384="","",SUMIFS(RawData[Qyt Affected ( EA ) ],RawData[[Article ]],A384,RawData[Month List],TEXT($A$4,"mmmm yyyy")))</f>
        <v/>
      </c>
    </row>
    <row r="385" spans="1:6" ht="15.75" x14ac:dyDescent="0.25">
      <c r="A385" s="40"/>
      <c r="B385" s="9" t="str">
        <f>IF(A385="","",INDEX(RawData[Description],MATCH(A385,RawData[[Article ]],0)))</f>
        <v/>
      </c>
      <c r="C385" s="9" t="str">
        <f>IF(A385="","",COUNTIFS(RawData[[Article ]],A385,RawData[Month List],TEXT($A$4,"mmmm yyyy")))</f>
        <v/>
      </c>
      <c r="D385" s="9" t="str">
        <f>IF(A385="","",COUNTIFS(RawData[[Article ]],A385,RawData[[Error Type ]],"Short",RawData[Month List],TEXT($A$4,"mmmm yyyy")))</f>
        <v/>
      </c>
      <c r="E385" s="9" t="str">
        <f>IF(A385="","",COUNTIFS(RawData[[Article ]],A385,RawData[[Error Type ]],"Excess",RawData[Month List],TEXT($A$4, "mmmm yyyy")))</f>
        <v/>
      </c>
      <c r="F385" s="9" t="str">
        <f>IF(A385="","",SUMIFS(RawData[Qyt Affected ( EA ) ],RawData[[Article ]],A385,RawData[Month List],TEXT($A$4,"mmmm yyyy")))</f>
        <v/>
      </c>
    </row>
    <row r="386" spans="1:6" ht="15.75" x14ac:dyDescent="0.25">
      <c r="A386" s="40"/>
      <c r="B386" s="9" t="str">
        <f>IF(A386="","",INDEX(RawData[Description],MATCH(A386,RawData[[Article ]],0)))</f>
        <v/>
      </c>
      <c r="C386" s="9" t="str">
        <f>IF(A386="","",COUNTIFS(RawData[[Article ]],A386,RawData[Month List],TEXT($A$4,"mmmm yyyy")))</f>
        <v/>
      </c>
      <c r="D386" s="9" t="str">
        <f>IF(A386="","",COUNTIFS(RawData[[Article ]],A386,RawData[[Error Type ]],"Short",RawData[Month List],TEXT($A$4,"mmmm yyyy")))</f>
        <v/>
      </c>
      <c r="E386" s="9" t="str">
        <f>IF(A386="","",COUNTIFS(RawData[[Article ]],A386,RawData[[Error Type ]],"Excess",RawData[Month List],TEXT($A$4, "mmmm yyyy")))</f>
        <v/>
      </c>
      <c r="F386" s="9" t="str">
        <f>IF(A386="","",SUMIFS(RawData[Qyt Affected ( EA ) ],RawData[[Article ]],A386,RawData[Month List],TEXT($A$4,"mmmm yyyy")))</f>
        <v/>
      </c>
    </row>
    <row r="387" spans="1:6" ht="15.75" x14ac:dyDescent="0.25">
      <c r="A387" s="40"/>
      <c r="B387" s="9" t="str">
        <f>IF(A387="","",INDEX(RawData[Description],MATCH(A387,RawData[[Article ]],0)))</f>
        <v/>
      </c>
      <c r="C387" s="9" t="str">
        <f>IF(A387="","",COUNTIFS(RawData[[Article ]],A387,RawData[Month List],TEXT($A$4,"mmmm yyyy")))</f>
        <v/>
      </c>
      <c r="D387" s="9" t="str">
        <f>IF(A387="","",COUNTIFS(RawData[[Article ]],A387,RawData[[Error Type ]],"Short",RawData[Month List],TEXT($A$4,"mmmm yyyy")))</f>
        <v/>
      </c>
      <c r="E387" s="9" t="str">
        <f>IF(A387="","",COUNTIFS(RawData[[Article ]],A387,RawData[[Error Type ]],"Excess",RawData[Month List],TEXT($A$4, "mmmm yyyy")))</f>
        <v/>
      </c>
      <c r="F387" s="9" t="str">
        <f>IF(A387="","",SUMIFS(RawData[Qyt Affected ( EA ) ],RawData[[Article ]],A387,RawData[Month List],TEXT($A$4,"mmmm yyyy")))</f>
        <v/>
      </c>
    </row>
    <row r="388" spans="1:6" ht="15.75" x14ac:dyDescent="0.25">
      <c r="A388" s="40"/>
      <c r="B388" s="9" t="str">
        <f>IF(A388="","",INDEX(RawData[Description],MATCH(A388,RawData[[Article ]],0)))</f>
        <v/>
      </c>
      <c r="C388" s="9" t="str">
        <f>IF(A388="","",COUNTIFS(RawData[[Article ]],A388,RawData[Month List],TEXT($A$4,"mmmm yyyy")))</f>
        <v/>
      </c>
      <c r="D388" s="9" t="str">
        <f>IF(A388="","",COUNTIFS(RawData[[Article ]],A388,RawData[[Error Type ]],"Short",RawData[Month List],TEXT($A$4,"mmmm yyyy")))</f>
        <v/>
      </c>
      <c r="E388" s="9" t="str">
        <f>IF(A388="","",COUNTIFS(RawData[[Article ]],A388,RawData[[Error Type ]],"Excess",RawData[Month List],TEXT($A$4, "mmmm yyyy")))</f>
        <v/>
      </c>
      <c r="F388" s="9" t="str">
        <f>IF(A388="","",SUMIFS(RawData[Qyt Affected ( EA ) ],RawData[[Article ]],A388,RawData[Month List],TEXT($A$4,"mmmm yyyy")))</f>
        <v/>
      </c>
    </row>
    <row r="389" spans="1:6" ht="15.75" x14ac:dyDescent="0.25">
      <c r="A389" s="40"/>
      <c r="B389" s="9" t="str">
        <f>IF(A389="","",INDEX(RawData[Description],MATCH(A389,RawData[[Article ]],0)))</f>
        <v/>
      </c>
      <c r="C389" s="9" t="str">
        <f>IF(A389="","",COUNTIFS(RawData[[Article ]],A389,RawData[Month List],TEXT($A$4,"mmmm yyyy")))</f>
        <v/>
      </c>
      <c r="D389" s="9" t="str">
        <f>IF(A389="","",COUNTIFS(RawData[[Article ]],A389,RawData[[Error Type ]],"Short",RawData[Month List],TEXT($A$4,"mmmm yyyy")))</f>
        <v/>
      </c>
      <c r="E389" s="9" t="str">
        <f>IF(A389="","",COUNTIFS(RawData[[Article ]],A389,RawData[[Error Type ]],"Excess",RawData[Month List],TEXT($A$4, "mmmm yyyy")))</f>
        <v/>
      </c>
      <c r="F389" s="9" t="str">
        <f>IF(A389="","",SUMIFS(RawData[Qyt Affected ( EA ) ],RawData[[Article ]],A389,RawData[Month List],TEXT($A$4,"mmmm yyyy")))</f>
        <v/>
      </c>
    </row>
    <row r="390" spans="1:6" ht="15.75" x14ac:dyDescent="0.25">
      <c r="A390" s="40"/>
      <c r="B390" s="9" t="str">
        <f>IF(A390="","",INDEX(RawData[Description],MATCH(A390,RawData[[Article ]],0)))</f>
        <v/>
      </c>
      <c r="C390" s="9" t="str">
        <f>IF(A390="","",COUNTIFS(RawData[[Article ]],A390,RawData[Month List],TEXT($A$4,"mmmm yyyy")))</f>
        <v/>
      </c>
      <c r="D390" s="9" t="str">
        <f>IF(A390="","",COUNTIFS(RawData[[Article ]],A390,RawData[[Error Type ]],"Short",RawData[Month List],TEXT($A$4,"mmmm yyyy")))</f>
        <v/>
      </c>
      <c r="E390" s="9" t="str">
        <f>IF(A390="","",COUNTIFS(RawData[[Article ]],A390,RawData[[Error Type ]],"Excess",RawData[Month List],TEXT($A$4, "mmmm yyyy")))</f>
        <v/>
      </c>
      <c r="F390" s="9" t="str">
        <f>IF(A390="","",SUMIFS(RawData[Qyt Affected ( EA ) ],RawData[[Article ]],A390,RawData[Month List],TEXT($A$4,"mmmm yyyy")))</f>
        <v/>
      </c>
    </row>
    <row r="391" spans="1:6" ht="15.75" x14ac:dyDescent="0.25">
      <c r="A391" s="40"/>
      <c r="B391" s="9" t="str">
        <f>IF(A391="","",INDEX(RawData[Description],MATCH(A391,RawData[[Article ]],0)))</f>
        <v/>
      </c>
      <c r="C391" s="9" t="str">
        <f>IF(A391="","",COUNTIFS(RawData[[Article ]],A391,RawData[Month List],TEXT($A$4,"mmmm yyyy")))</f>
        <v/>
      </c>
      <c r="D391" s="9" t="str">
        <f>IF(A391="","",COUNTIFS(RawData[[Article ]],A391,RawData[[Error Type ]],"Short",RawData[Month List],TEXT($A$4,"mmmm yyyy")))</f>
        <v/>
      </c>
      <c r="E391" s="9" t="str">
        <f>IF(A391="","",COUNTIFS(RawData[[Article ]],A391,RawData[[Error Type ]],"Excess",RawData[Month List],TEXT($A$4, "mmmm yyyy")))</f>
        <v/>
      </c>
      <c r="F391" s="9" t="str">
        <f>IF(A391="","",SUMIFS(RawData[Qyt Affected ( EA ) ],RawData[[Article ]],A391,RawData[Month List],TEXT($A$4,"mmmm yyyy")))</f>
        <v/>
      </c>
    </row>
    <row r="392" spans="1:6" ht="15.75" x14ac:dyDescent="0.25">
      <c r="A392" s="40"/>
      <c r="B392" s="9" t="str">
        <f>IF(A392="","",INDEX(RawData[Description],MATCH(A392,RawData[[Article ]],0)))</f>
        <v/>
      </c>
      <c r="C392" s="9" t="str">
        <f>IF(A392="","",COUNTIFS(RawData[[Article ]],A392,RawData[Month List],TEXT($A$4,"mmmm yyyy")))</f>
        <v/>
      </c>
      <c r="D392" s="9" t="str">
        <f>IF(A392="","",COUNTIFS(RawData[[Article ]],A392,RawData[[Error Type ]],"Short",RawData[Month List],TEXT($A$4,"mmmm yyyy")))</f>
        <v/>
      </c>
      <c r="E392" s="9" t="str">
        <f>IF(A392="","",COUNTIFS(RawData[[Article ]],A392,RawData[[Error Type ]],"Excess",RawData[Month List],TEXT($A$4, "mmmm yyyy")))</f>
        <v/>
      </c>
      <c r="F392" s="9" t="str">
        <f>IF(A392="","",SUMIFS(RawData[Qyt Affected ( EA ) ],RawData[[Article ]],A392,RawData[Month List],TEXT($A$4,"mmmm yyyy")))</f>
        <v/>
      </c>
    </row>
    <row r="393" spans="1:6" ht="15.75" x14ac:dyDescent="0.25">
      <c r="A393" s="40"/>
      <c r="B393" s="9" t="str">
        <f>IF(A393="","",INDEX(RawData[Description],MATCH(A393,RawData[[Article ]],0)))</f>
        <v/>
      </c>
      <c r="C393" s="9" t="str">
        <f>IF(A393="","",COUNTIFS(RawData[[Article ]],A393,RawData[Month List],TEXT($A$4,"mmmm yyyy")))</f>
        <v/>
      </c>
      <c r="D393" s="9" t="str">
        <f>IF(A393="","",COUNTIFS(RawData[[Article ]],A393,RawData[[Error Type ]],"Short",RawData[Month List],TEXT($A$4,"mmmm yyyy")))</f>
        <v/>
      </c>
      <c r="E393" s="9" t="str">
        <f>IF(A393="","",COUNTIFS(RawData[[Article ]],A393,RawData[[Error Type ]],"Excess",RawData[Month List],TEXT($A$4, "mmmm yyyy")))</f>
        <v/>
      </c>
      <c r="F393" s="9" t="str">
        <f>IF(A393="","",SUMIFS(RawData[Qyt Affected ( EA ) ],RawData[[Article ]],A393,RawData[Month List],TEXT($A$4,"mmmm yyyy")))</f>
        <v/>
      </c>
    </row>
    <row r="394" spans="1:6" ht="15.75" x14ac:dyDescent="0.25">
      <c r="A394" s="40"/>
      <c r="B394" s="9" t="str">
        <f>IF(A394="","",INDEX(RawData[Description],MATCH(A394,RawData[[Article ]],0)))</f>
        <v/>
      </c>
      <c r="C394" s="9" t="str">
        <f>IF(A394="","",COUNTIFS(RawData[[Article ]],A394,RawData[Month List],TEXT($A$4,"mmmm yyyy")))</f>
        <v/>
      </c>
      <c r="D394" s="9" t="str">
        <f>IF(A394="","",COUNTIFS(RawData[[Article ]],A394,RawData[[Error Type ]],"Short",RawData[Month List],TEXT($A$4,"mmmm yyyy")))</f>
        <v/>
      </c>
      <c r="E394" s="9" t="str">
        <f>IF(A394="","",COUNTIFS(RawData[[Article ]],A394,RawData[[Error Type ]],"Excess",RawData[Month List],TEXT($A$4, "mmmm yyyy")))</f>
        <v/>
      </c>
      <c r="F394" s="9" t="str">
        <f>IF(A394="","",SUMIFS(RawData[Qyt Affected ( EA ) ],RawData[[Article ]],A394,RawData[Month List],TEXT($A$4,"mmmm yyyy")))</f>
        <v/>
      </c>
    </row>
    <row r="395" spans="1:6" ht="15.75" x14ac:dyDescent="0.25">
      <c r="A395" s="40"/>
      <c r="B395" s="9" t="str">
        <f>IF(A395="","",INDEX(RawData[Description],MATCH(A395,RawData[[Article ]],0)))</f>
        <v/>
      </c>
      <c r="C395" s="9" t="str">
        <f>IF(A395="","",COUNTIFS(RawData[[Article ]],A395,RawData[Month List],TEXT($A$4,"mmmm yyyy")))</f>
        <v/>
      </c>
      <c r="D395" s="9" t="str">
        <f>IF(A395="","",COUNTIFS(RawData[[Article ]],A395,RawData[[Error Type ]],"Short",RawData[Month List],TEXT($A$4,"mmmm yyyy")))</f>
        <v/>
      </c>
      <c r="E395" s="9" t="str">
        <f>IF(A395="","",COUNTIFS(RawData[[Article ]],A395,RawData[[Error Type ]],"Excess",RawData[Month List],TEXT($A$4, "mmmm yyyy")))</f>
        <v/>
      </c>
      <c r="F395" s="9" t="str">
        <f>IF(A395="","",SUMIFS(RawData[Qyt Affected ( EA ) ],RawData[[Article ]],A395,RawData[Month List],TEXT($A$4,"mmmm yyyy")))</f>
        <v/>
      </c>
    </row>
    <row r="396" spans="1:6" ht="15.75" x14ac:dyDescent="0.25">
      <c r="A396" s="40"/>
      <c r="B396" s="9" t="str">
        <f>IF(A396="","",INDEX(RawData[Description],MATCH(A396,RawData[[Article ]],0)))</f>
        <v/>
      </c>
      <c r="C396" s="9" t="str">
        <f>IF(A396="","",COUNTIFS(RawData[[Article ]],A396,RawData[Month List],TEXT($A$4,"mmmm yyyy")))</f>
        <v/>
      </c>
      <c r="D396" s="9" t="str">
        <f>IF(A396="","",COUNTIFS(RawData[[Article ]],A396,RawData[[Error Type ]],"Short",RawData[Month List],TEXT($A$4,"mmmm yyyy")))</f>
        <v/>
      </c>
      <c r="E396" s="9" t="str">
        <f>IF(A396="","",COUNTIFS(RawData[[Article ]],A396,RawData[[Error Type ]],"Excess",RawData[Month List],TEXT($A$4, "mmmm yyyy")))</f>
        <v/>
      </c>
      <c r="F396" s="9" t="str">
        <f>IF(A396="","",SUMIFS(RawData[Qyt Affected ( EA ) ],RawData[[Article ]],A396,RawData[Month List],TEXT($A$4,"mmmm yyyy")))</f>
        <v/>
      </c>
    </row>
    <row r="397" spans="1:6" ht="15.75" x14ac:dyDescent="0.25">
      <c r="A397" s="40"/>
      <c r="B397" s="9" t="str">
        <f>IF(A397="","",INDEX(RawData[Description],MATCH(A397,RawData[[Article ]],0)))</f>
        <v/>
      </c>
      <c r="C397" s="9" t="str">
        <f>IF(A397="","",COUNTIFS(RawData[[Article ]],A397,RawData[Month List],TEXT($A$4,"mmmm yyyy")))</f>
        <v/>
      </c>
      <c r="D397" s="9" t="str">
        <f>IF(A397="","",COUNTIFS(RawData[[Article ]],A397,RawData[[Error Type ]],"Short",RawData[Month List],TEXT($A$4,"mmmm yyyy")))</f>
        <v/>
      </c>
      <c r="E397" s="9" t="str">
        <f>IF(A397="","",COUNTIFS(RawData[[Article ]],A397,RawData[[Error Type ]],"Excess",RawData[Month List],TEXT($A$4, "mmmm yyyy")))</f>
        <v/>
      </c>
      <c r="F397" s="9" t="str">
        <f>IF(A397="","",SUMIFS(RawData[Qyt Affected ( EA ) ],RawData[[Article ]],A397,RawData[Month List],TEXT($A$4,"mmmm yyyy")))</f>
        <v/>
      </c>
    </row>
    <row r="398" spans="1:6" ht="15.75" x14ac:dyDescent="0.25">
      <c r="A398" s="40"/>
      <c r="B398" s="9" t="str">
        <f>IF(A398="","",INDEX(RawData[Description],MATCH(A398,RawData[[Article ]],0)))</f>
        <v/>
      </c>
      <c r="C398" s="9" t="str">
        <f>IF(A398="","",COUNTIFS(RawData[[Article ]],A398,RawData[Month List],TEXT($A$4,"mmmm yyyy")))</f>
        <v/>
      </c>
      <c r="D398" s="9" t="str">
        <f>IF(A398="","",COUNTIFS(RawData[[Article ]],A398,RawData[[Error Type ]],"Short",RawData[Month List],TEXT($A$4,"mmmm yyyy")))</f>
        <v/>
      </c>
      <c r="E398" s="9" t="str">
        <f>IF(A398="","",COUNTIFS(RawData[[Article ]],A398,RawData[[Error Type ]],"Excess",RawData[Month List],TEXT($A$4, "mmmm yyyy")))</f>
        <v/>
      </c>
      <c r="F398" s="9" t="str">
        <f>IF(A398="","",SUMIFS(RawData[Qyt Affected ( EA ) ],RawData[[Article ]],A398,RawData[Month List],TEXT($A$4,"mmmm yyyy")))</f>
        <v/>
      </c>
    </row>
    <row r="399" spans="1:6" ht="15.75" x14ac:dyDescent="0.25">
      <c r="A399" s="40"/>
      <c r="B399" s="9" t="str">
        <f>IF(A399="","",INDEX(RawData[Description],MATCH(A399,RawData[[Article ]],0)))</f>
        <v/>
      </c>
      <c r="C399" s="9" t="str">
        <f>IF(A399="","",COUNTIFS(RawData[[Article ]],A399,RawData[Month List],TEXT($A$4,"mmmm yyyy")))</f>
        <v/>
      </c>
      <c r="D399" s="9" t="str">
        <f>IF(A399="","",COUNTIFS(RawData[[Article ]],A399,RawData[[Error Type ]],"Short",RawData[Month List],TEXT($A$4,"mmmm yyyy")))</f>
        <v/>
      </c>
      <c r="E399" s="9" t="str">
        <f>IF(A399="","",COUNTIFS(RawData[[Article ]],A399,RawData[[Error Type ]],"Excess",RawData[Month List],TEXT($A$4, "mmmm yyyy")))</f>
        <v/>
      </c>
      <c r="F399" s="9" t="str">
        <f>IF(A399="","",SUMIFS(RawData[Qyt Affected ( EA ) ],RawData[[Article ]],A399,RawData[Month List],TEXT($A$4,"mmmm yyyy")))</f>
        <v/>
      </c>
    </row>
    <row r="400" spans="1:6" ht="15.75" x14ac:dyDescent="0.25">
      <c r="A400" s="40"/>
      <c r="B400" s="9" t="str">
        <f>IF(A400="","",INDEX(RawData[Description],MATCH(A400,RawData[[Article ]],0)))</f>
        <v/>
      </c>
      <c r="C400" s="9" t="str">
        <f>IF(A400="","",COUNTIFS(RawData[[Article ]],A400,RawData[Month List],TEXT($A$4,"mmmm yyyy")))</f>
        <v/>
      </c>
      <c r="D400" s="9" t="str">
        <f>IF(A400="","",COUNTIFS(RawData[[Article ]],A400,RawData[[Error Type ]],"Short",RawData[Month List],TEXT($A$4,"mmmm yyyy")))</f>
        <v/>
      </c>
      <c r="E400" s="9" t="str">
        <f>IF(A400="","",COUNTIFS(RawData[[Article ]],A400,RawData[[Error Type ]],"Excess",RawData[Month List],TEXT($A$4, "mmmm yyyy")))</f>
        <v/>
      </c>
      <c r="F400" s="9" t="str">
        <f>IF(A400="","",SUMIFS(RawData[Qyt Affected ( EA ) ],RawData[[Article ]],A400,RawData[Month List],TEXT($A$4,"mmmm yyyy")))</f>
        <v/>
      </c>
    </row>
    <row r="401" spans="1:6" ht="15.75" x14ac:dyDescent="0.25">
      <c r="A401" s="40"/>
      <c r="B401" s="9" t="str">
        <f>IF(A401="","",INDEX(RawData[Description],MATCH(A401,RawData[[Article ]],0)))</f>
        <v/>
      </c>
      <c r="C401" s="9" t="str">
        <f>IF(A401="","",COUNTIFS(RawData[[Article ]],A401,RawData[Month List],TEXT($A$4,"mmmm yyyy")))</f>
        <v/>
      </c>
      <c r="D401" s="9" t="str">
        <f>IF(A401="","",COUNTIFS(RawData[[Article ]],A401,RawData[[Error Type ]],"Short",RawData[Month List],TEXT($A$4,"mmmm yyyy")))</f>
        <v/>
      </c>
      <c r="E401" s="9" t="str">
        <f>IF(A401="","",COUNTIFS(RawData[[Article ]],A401,RawData[[Error Type ]],"Excess",RawData[Month List],TEXT($A$4, "mmmm yyyy")))</f>
        <v/>
      </c>
      <c r="F401" s="9" t="str">
        <f>IF(A401="","",SUMIFS(RawData[Qyt Affected ( EA ) ],RawData[[Article ]],A401,RawData[Month List],TEXT($A$4,"mmmm yyyy")))</f>
        <v/>
      </c>
    </row>
    <row r="402" spans="1:6" ht="15.75" x14ac:dyDescent="0.25">
      <c r="A402" s="40"/>
      <c r="B402" s="9" t="str">
        <f>IF(A402="","",INDEX(RawData[Description],MATCH(A402,RawData[[Article ]],0)))</f>
        <v/>
      </c>
      <c r="C402" s="9" t="str">
        <f>IF(A402="","",COUNTIFS(RawData[[Article ]],A402,RawData[Month List],TEXT($A$4,"mmmm yyyy")))</f>
        <v/>
      </c>
      <c r="D402" s="9" t="str">
        <f>IF(A402="","",COUNTIFS(RawData[[Article ]],A402,RawData[[Error Type ]],"Short",RawData[Month List],TEXT($A$4,"mmmm yyyy")))</f>
        <v/>
      </c>
      <c r="E402" s="9" t="str">
        <f>IF(A402="","",COUNTIFS(RawData[[Article ]],A402,RawData[[Error Type ]],"Excess",RawData[Month List],TEXT($A$4, "mmmm yyyy")))</f>
        <v/>
      </c>
      <c r="F402" s="9" t="str">
        <f>IF(A402="","",SUMIFS(RawData[Qyt Affected ( EA ) ],RawData[[Article ]],A402,RawData[Month List],TEXT($A$4,"mmmm yyyy")))</f>
        <v/>
      </c>
    </row>
    <row r="403" spans="1:6" ht="15.75" x14ac:dyDescent="0.25">
      <c r="A403" s="40"/>
      <c r="B403" s="9" t="str">
        <f>IF(A403="","",INDEX(RawData[Description],MATCH(A403,RawData[[Article ]],0)))</f>
        <v/>
      </c>
      <c r="C403" s="9" t="str">
        <f>IF(A403="","",COUNTIFS(RawData[[Article ]],A403,RawData[Month List],TEXT($A$4,"mmmm yyyy")))</f>
        <v/>
      </c>
      <c r="D403" s="9" t="str">
        <f>IF(A403="","",COUNTIFS(RawData[[Article ]],A403,RawData[[Error Type ]],"Short",RawData[Month List],TEXT($A$4,"mmmm yyyy")))</f>
        <v/>
      </c>
      <c r="E403" s="9" t="str">
        <f>IF(A403="","",COUNTIFS(RawData[[Article ]],A403,RawData[[Error Type ]],"Excess",RawData[Month List],TEXT($A$4, "mmmm yyyy")))</f>
        <v/>
      </c>
      <c r="F403" s="9" t="str">
        <f>IF(A403="","",SUMIFS(RawData[Qyt Affected ( EA ) ],RawData[[Article ]],A403,RawData[Month List],TEXT($A$4,"mmmm yyyy")))</f>
        <v/>
      </c>
    </row>
    <row r="404" spans="1:6" ht="15.75" x14ac:dyDescent="0.25">
      <c r="A404" s="40"/>
      <c r="B404" s="9" t="str">
        <f>IF(A404="","",INDEX(RawData[Description],MATCH(A404,RawData[[Article ]],0)))</f>
        <v/>
      </c>
      <c r="C404" s="9" t="str">
        <f>IF(A404="","",COUNTIFS(RawData[[Article ]],A404,RawData[Month List],TEXT($A$4,"mmmm yyyy")))</f>
        <v/>
      </c>
      <c r="D404" s="9" t="str">
        <f>IF(A404="","",COUNTIFS(RawData[[Article ]],A404,RawData[[Error Type ]],"Short",RawData[Month List],TEXT($A$4,"mmmm yyyy")))</f>
        <v/>
      </c>
      <c r="E404" s="9" t="str">
        <f>IF(A404="","",COUNTIFS(RawData[[Article ]],A404,RawData[[Error Type ]],"Excess",RawData[Month List],TEXT($A$4, "mmmm yyyy")))</f>
        <v/>
      </c>
      <c r="F404" s="9" t="str">
        <f>IF(A404="","",SUMIFS(RawData[Qyt Affected ( EA ) ],RawData[[Article ]],A404,RawData[Month List],TEXT($A$4,"mmmm yyyy")))</f>
        <v/>
      </c>
    </row>
    <row r="405" spans="1:6" ht="15.75" x14ac:dyDescent="0.25">
      <c r="A405" s="40"/>
      <c r="B405" s="9" t="str">
        <f>IF(A405="","",INDEX(RawData[Description],MATCH(A405,RawData[[Article ]],0)))</f>
        <v/>
      </c>
      <c r="C405" s="9" t="str">
        <f>IF(A405="","",COUNTIFS(RawData[[Article ]],A405,RawData[Month List],TEXT($A$4,"mmmm yyyy")))</f>
        <v/>
      </c>
      <c r="D405" s="9" t="str">
        <f>IF(A405="","",COUNTIFS(RawData[[Article ]],A405,RawData[[Error Type ]],"Short",RawData[Month List],TEXT($A$4,"mmmm yyyy")))</f>
        <v/>
      </c>
      <c r="E405" s="9" t="str">
        <f>IF(A405="","",COUNTIFS(RawData[[Article ]],A405,RawData[[Error Type ]],"Excess",RawData[Month List],TEXT($A$4, "mmmm yyyy")))</f>
        <v/>
      </c>
      <c r="F405" s="9" t="str">
        <f>IF(A405="","",SUMIFS(RawData[Qyt Affected ( EA ) ],RawData[[Article ]],A405,RawData[Month List],TEXT($A$4,"mmmm yyyy")))</f>
        <v/>
      </c>
    </row>
    <row r="406" spans="1:6" ht="15.75" x14ac:dyDescent="0.25">
      <c r="A406" s="40"/>
      <c r="B406" s="9" t="str">
        <f>IF(A406="","",INDEX(RawData[Description],MATCH(A406,RawData[[Article ]],0)))</f>
        <v/>
      </c>
      <c r="C406" s="9" t="str">
        <f>IF(A406="","",COUNTIFS(RawData[[Article ]],A406,RawData[Month List],TEXT($A$4,"mmmm yyyy")))</f>
        <v/>
      </c>
      <c r="D406" s="9" t="str">
        <f>IF(A406="","",COUNTIFS(RawData[[Article ]],A406,RawData[[Error Type ]],"Short",RawData[Month List],TEXT($A$4,"mmmm yyyy")))</f>
        <v/>
      </c>
      <c r="E406" s="9" t="str">
        <f>IF(A406="","",COUNTIFS(RawData[[Article ]],A406,RawData[[Error Type ]],"Excess",RawData[Month List],TEXT($A$4, "mmmm yyyy")))</f>
        <v/>
      </c>
      <c r="F406" s="9" t="str">
        <f>IF(A406="","",SUMIFS(RawData[Qyt Affected ( EA ) ],RawData[[Article ]],A406,RawData[Month List],TEXT($A$4,"mmmm yyyy")))</f>
        <v/>
      </c>
    </row>
    <row r="407" spans="1:6" ht="15.75" x14ac:dyDescent="0.25">
      <c r="A407" s="40"/>
      <c r="B407" s="9" t="str">
        <f>IF(A407="","",INDEX(RawData[Description],MATCH(A407,RawData[[Article ]],0)))</f>
        <v/>
      </c>
      <c r="C407" s="9" t="str">
        <f>IF(A407="","",COUNTIFS(RawData[[Article ]],A407,RawData[Month List],TEXT($A$4,"mmmm yyyy")))</f>
        <v/>
      </c>
      <c r="D407" s="9" t="str">
        <f>IF(A407="","",COUNTIFS(RawData[[Article ]],A407,RawData[[Error Type ]],"Short",RawData[Month List],TEXT($A$4,"mmmm yyyy")))</f>
        <v/>
      </c>
      <c r="E407" s="9" t="str">
        <f>IF(A407="","",COUNTIFS(RawData[[Article ]],A407,RawData[[Error Type ]],"Excess",RawData[Month List],TEXT($A$4, "mmmm yyyy")))</f>
        <v/>
      </c>
      <c r="F407" s="9" t="str">
        <f>IF(A407="","",SUMIFS(RawData[Qyt Affected ( EA ) ],RawData[[Article ]],A407,RawData[Month List],TEXT($A$4,"mmmm yyyy")))</f>
        <v/>
      </c>
    </row>
    <row r="408" spans="1:6" ht="15.75" x14ac:dyDescent="0.25">
      <c r="A408" s="40"/>
      <c r="B408" s="9" t="str">
        <f>IF(A408="","",INDEX(RawData[Description],MATCH(A408,RawData[[Article ]],0)))</f>
        <v/>
      </c>
      <c r="C408" s="9" t="str">
        <f>IF(A408="","",COUNTIFS(RawData[[Article ]],A408,RawData[Month List],TEXT($A$4,"mmmm yyyy")))</f>
        <v/>
      </c>
      <c r="D408" s="9" t="str">
        <f>IF(A408="","",COUNTIFS(RawData[[Article ]],A408,RawData[[Error Type ]],"Short",RawData[Month List],TEXT($A$4,"mmmm yyyy")))</f>
        <v/>
      </c>
      <c r="E408" s="9" t="str">
        <f>IF(A408="","",COUNTIFS(RawData[[Article ]],A408,RawData[[Error Type ]],"Excess",RawData[Month List],TEXT($A$4, "mmmm yyyy")))</f>
        <v/>
      </c>
      <c r="F408" s="9" t="str">
        <f>IF(A408="","",SUMIFS(RawData[Qyt Affected ( EA ) ],RawData[[Article ]],A408,RawData[Month List],TEXT($A$4,"mmmm yyyy")))</f>
        <v/>
      </c>
    </row>
    <row r="409" spans="1:6" ht="15.75" x14ac:dyDescent="0.25">
      <c r="A409" s="40"/>
      <c r="B409" s="9" t="str">
        <f>IF(A409="","",INDEX(RawData[Description],MATCH(A409,RawData[[Article ]],0)))</f>
        <v/>
      </c>
      <c r="C409" s="9" t="str">
        <f>IF(A409="","",COUNTIFS(RawData[[Article ]],A409,RawData[Month List],TEXT($A$4,"mmmm yyyy")))</f>
        <v/>
      </c>
      <c r="D409" s="9" t="str">
        <f>IF(A409="","",COUNTIFS(RawData[[Article ]],A409,RawData[[Error Type ]],"Short",RawData[Month List],TEXT($A$4,"mmmm yyyy")))</f>
        <v/>
      </c>
      <c r="E409" s="9" t="str">
        <f>IF(A409="","",COUNTIFS(RawData[[Article ]],A409,RawData[[Error Type ]],"Excess",RawData[Month List],TEXT($A$4, "mmmm yyyy")))</f>
        <v/>
      </c>
      <c r="F409" s="9" t="str">
        <f>IF(A409="","",SUMIFS(RawData[Qyt Affected ( EA ) ],RawData[[Article ]],A409,RawData[Month List],TEXT($A$4,"mmmm yyyy")))</f>
        <v/>
      </c>
    </row>
    <row r="410" spans="1:6" ht="15.75" x14ac:dyDescent="0.25">
      <c r="A410" s="40"/>
      <c r="B410" s="9" t="str">
        <f>IF(A410="","",INDEX(RawData[Description],MATCH(A410,RawData[[Article ]],0)))</f>
        <v/>
      </c>
      <c r="C410" s="9" t="str">
        <f>IF(A410="","",COUNTIFS(RawData[[Article ]],A410,RawData[Month List],TEXT($A$4,"mmmm yyyy")))</f>
        <v/>
      </c>
      <c r="D410" s="9" t="str">
        <f>IF(A410="","",COUNTIFS(RawData[[Article ]],A410,RawData[[Error Type ]],"Short",RawData[Month List],TEXT($A$4,"mmmm yyyy")))</f>
        <v/>
      </c>
      <c r="E410" s="9" t="str">
        <f>IF(A410="","",COUNTIFS(RawData[[Article ]],A410,RawData[[Error Type ]],"Excess",RawData[Month List],TEXT($A$4, "mmmm yyyy")))</f>
        <v/>
      </c>
      <c r="F410" s="9" t="str">
        <f>IF(A410="","",SUMIFS(RawData[Qyt Affected ( EA ) ],RawData[[Article ]],A410,RawData[Month List],TEXT($A$4,"mmmm yyyy")))</f>
        <v/>
      </c>
    </row>
    <row r="411" spans="1:6" ht="15.75" x14ac:dyDescent="0.25">
      <c r="A411" s="40"/>
      <c r="B411" s="9" t="str">
        <f>IF(A411="","",INDEX(RawData[Description],MATCH(A411,RawData[[Article ]],0)))</f>
        <v/>
      </c>
      <c r="C411" s="9" t="str">
        <f>IF(A411="","",COUNTIFS(RawData[[Article ]],A411,RawData[Month List],TEXT($A$4,"mmmm yyyy")))</f>
        <v/>
      </c>
      <c r="D411" s="9" t="str">
        <f>IF(A411="","",COUNTIFS(RawData[[Article ]],A411,RawData[[Error Type ]],"Short",RawData[Month List],TEXT($A$4,"mmmm yyyy")))</f>
        <v/>
      </c>
      <c r="E411" s="9" t="str">
        <f>IF(A411="","",COUNTIFS(RawData[[Article ]],A411,RawData[[Error Type ]],"Excess",RawData[Month List],TEXT($A$4, "mmmm yyyy")))</f>
        <v/>
      </c>
      <c r="F411" s="9" t="str">
        <f>IF(A411="","",SUMIFS(RawData[Qyt Affected ( EA ) ],RawData[[Article ]],A411,RawData[Month List],TEXT($A$4,"mmmm yyyy")))</f>
        <v/>
      </c>
    </row>
    <row r="412" spans="1:6" ht="15.75" x14ac:dyDescent="0.25">
      <c r="A412" s="40"/>
      <c r="B412" s="9" t="str">
        <f>IF(A412="","",INDEX(RawData[Description],MATCH(A412,RawData[[Article ]],0)))</f>
        <v/>
      </c>
      <c r="C412" s="9" t="str">
        <f>IF(A412="","",COUNTIFS(RawData[[Article ]],A412,RawData[Month List],TEXT($A$4,"mmmm yyyy")))</f>
        <v/>
      </c>
      <c r="D412" s="9" t="str">
        <f>IF(A412="","",COUNTIFS(RawData[[Article ]],A412,RawData[[Error Type ]],"Short",RawData[Month List],TEXT($A$4,"mmmm yyyy")))</f>
        <v/>
      </c>
      <c r="E412" s="9" t="str">
        <f>IF(A412="","",COUNTIFS(RawData[[Article ]],A412,RawData[[Error Type ]],"Excess",RawData[Month List],TEXT($A$4, "mmmm yyyy")))</f>
        <v/>
      </c>
      <c r="F412" s="9" t="str">
        <f>IF(A412="","",SUMIFS(RawData[Qyt Affected ( EA ) ],RawData[[Article ]],A412,RawData[Month List],TEXT($A$4,"mmmm yyyy")))</f>
        <v/>
      </c>
    </row>
    <row r="413" spans="1:6" ht="15.75" x14ac:dyDescent="0.25">
      <c r="A413" s="40"/>
      <c r="B413" s="9" t="str">
        <f>IF(A413="","",INDEX(RawData[Description],MATCH(A413,RawData[[Article ]],0)))</f>
        <v/>
      </c>
      <c r="C413" s="9" t="str">
        <f>IF(A413="","",COUNTIFS(RawData[[Article ]],A413,RawData[Month List],TEXT($A$4,"mmmm yyyy")))</f>
        <v/>
      </c>
      <c r="D413" s="9" t="str">
        <f>IF(A413="","",COUNTIFS(RawData[[Article ]],A413,RawData[[Error Type ]],"Short",RawData[Month List],TEXT($A$4,"mmmm yyyy")))</f>
        <v/>
      </c>
      <c r="E413" s="9" t="str">
        <f>IF(A413="","",COUNTIFS(RawData[[Article ]],A413,RawData[[Error Type ]],"Excess",RawData[Month List],TEXT($A$4, "mmmm yyyy")))</f>
        <v/>
      </c>
      <c r="F413" s="9" t="str">
        <f>IF(A413="","",SUMIFS(RawData[Qyt Affected ( EA ) ],RawData[[Article ]],A413,RawData[Month List],TEXT($A$4,"mmmm yyyy")))</f>
        <v/>
      </c>
    </row>
    <row r="414" spans="1:6" ht="15.75" x14ac:dyDescent="0.25">
      <c r="A414" s="40"/>
      <c r="B414" s="9" t="str">
        <f>IF(A414="","",INDEX(RawData[Description],MATCH(A414,RawData[[Article ]],0)))</f>
        <v/>
      </c>
      <c r="C414" s="9" t="str">
        <f>IF(A414="","",COUNTIFS(RawData[[Article ]],A414,RawData[Month List],TEXT($A$4,"mmmm yyyy")))</f>
        <v/>
      </c>
      <c r="D414" s="9" t="str">
        <f>IF(A414="","",COUNTIFS(RawData[[Article ]],A414,RawData[[Error Type ]],"Short",RawData[Month List],TEXT($A$4,"mmmm yyyy")))</f>
        <v/>
      </c>
      <c r="E414" s="9" t="str">
        <f>IF(A414="","",COUNTIFS(RawData[[Article ]],A414,RawData[[Error Type ]],"Excess",RawData[Month List],TEXT($A$4, "mmmm yyyy")))</f>
        <v/>
      </c>
      <c r="F414" s="9" t="str">
        <f>IF(A414="","",SUMIFS(RawData[Qyt Affected ( EA ) ],RawData[[Article ]],A414,RawData[Month List],TEXT($A$4,"mmmm yyyy")))</f>
        <v/>
      </c>
    </row>
    <row r="415" spans="1:6" ht="15.75" x14ac:dyDescent="0.25">
      <c r="A415" s="40"/>
      <c r="B415" s="9" t="str">
        <f>IF(A415="","",INDEX(RawData[Description],MATCH(A415,RawData[[Article ]],0)))</f>
        <v/>
      </c>
      <c r="C415" s="9" t="str">
        <f>IF(A415="","",COUNTIFS(RawData[[Article ]],A415,RawData[Month List],TEXT($A$4,"mmmm yyyy")))</f>
        <v/>
      </c>
      <c r="D415" s="9" t="str">
        <f>IF(A415="","",COUNTIFS(RawData[[Article ]],A415,RawData[[Error Type ]],"Short",RawData[Month List],TEXT($A$4,"mmmm yyyy")))</f>
        <v/>
      </c>
      <c r="E415" s="9" t="str">
        <f>IF(A415="","",COUNTIFS(RawData[[Article ]],A415,RawData[[Error Type ]],"Excess",RawData[Month List],TEXT($A$4, "mmmm yyyy")))</f>
        <v/>
      </c>
      <c r="F415" s="9" t="str">
        <f>IF(A415="","",SUMIFS(RawData[Qyt Affected ( EA ) ],RawData[[Article ]],A415,RawData[Month List],TEXT($A$4,"mmmm yyyy")))</f>
        <v/>
      </c>
    </row>
    <row r="416" spans="1:6" ht="15.75" x14ac:dyDescent="0.25">
      <c r="A416" s="40"/>
      <c r="B416" s="9" t="str">
        <f>IF(A416="","",INDEX(RawData[Description],MATCH(A416,RawData[[Article ]],0)))</f>
        <v/>
      </c>
      <c r="C416" s="9" t="str">
        <f>IF(A416="","",COUNTIFS(RawData[[Article ]],A416,RawData[Month List],TEXT($A$4,"mmmm yyyy")))</f>
        <v/>
      </c>
      <c r="D416" s="9" t="str">
        <f>IF(A416="","",COUNTIFS(RawData[[Article ]],A416,RawData[[Error Type ]],"Short",RawData[Month List],TEXT($A$4,"mmmm yyyy")))</f>
        <v/>
      </c>
      <c r="E416" s="9" t="str">
        <f>IF(A416="","",COUNTIFS(RawData[[Article ]],A416,RawData[[Error Type ]],"Excess",RawData[Month List],TEXT($A$4, "mmmm yyyy")))</f>
        <v/>
      </c>
      <c r="F416" s="9" t="str">
        <f>IF(A416="","",SUMIFS(RawData[Qyt Affected ( EA ) ],RawData[[Article ]],A416,RawData[Month List],TEXT($A$4,"mmmm yyyy")))</f>
        <v/>
      </c>
    </row>
    <row r="417" spans="1:6" ht="15.75" x14ac:dyDescent="0.25">
      <c r="A417" s="40"/>
      <c r="B417" s="9" t="str">
        <f>IF(A417="","",INDEX(RawData[Description],MATCH(A417,RawData[[Article ]],0)))</f>
        <v/>
      </c>
      <c r="C417" s="9" t="str">
        <f>IF(A417="","",COUNTIFS(RawData[[Article ]],A417,RawData[Month List],TEXT($A$4,"mmmm yyyy")))</f>
        <v/>
      </c>
      <c r="D417" s="9" t="str">
        <f>IF(A417="","",COUNTIFS(RawData[[Article ]],A417,RawData[[Error Type ]],"Short",RawData[Month List],TEXT($A$4,"mmmm yyyy")))</f>
        <v/>
      </c>
      <c r="E417" s="9" t="str">
        <f>IF(A417="","",COUNTIFS(RawData[[Article ]],A417,RawData[[Error Type ]],"Excess",RawData[Month List],TEXT($A$4, "mmmm yyyy")))</f>
        <v/>
      </c>
      <c r="F417" s="9" t="str">
        <f>IF(A417="","",SUMIFS(RawData[Qyt Affected ( EA ) ],RawData[[Article ]],A417,RawData[Month List],TEXT($A$4,"mmmm yyyy")))</f>
        <v/>
      </c>
    </row>
    <row r="418" spans="1:6" ht="15.75" x14ac:dyDescent="0.25">
      <c r="A418" s="40"/>
      <c r="B418" s="9" t="str">
        <f>IF(A418="","",INDEX(RawData[Description],MATCH(A418,RawData[[Article ]],0)))</f>
        <v/>
      </c>
      <c r="C418" s="9" t="str">
        <f>IF(A418="","",COUNTIFS(RawData[[Article ]],A418,RawData[Month List],TEXT($A$4,"mmmm yyyy")))</f>
        <v/>
      </c>
      <c r="D418" s="9" t="str">
        <f>IF(A418="","",COUNTIFS(RawData[[Article ]],A418,RawData[[Error Type ]],"Short",RawData[Month List],TEXT($A$4,"mmmm yyyy")))</f>
        <v/>
      </c>
      <c r="E418" s="9" t="str">
        <f>IF(A418="","",COUNTIFS(RawData[[Article ]],A418,RawData[[Error Type ]],"Excess",RawData[Month List],TEXT($A$4, "mmmm yyyy")))</f>
        <v/>
      </c>
      <c r="F418" s="9" t="str">
        <f>IF(A418="","",SUMIFS(RawData[Qyt Affected ( EA ) ],RawData[[Article ]],A418,RawData[Month List],TEXT($A$4,"mmmm yyyy")))</f>
        <v/>
      </c>
    </row>
    <row r="419" spans="1:6" ht="15.75" x14ac:dyDescent="0.25">
      <c r="A419" s="40"/>
      <c r="B419" s="9" t="str">
        <f>IF(A419="","",INDEX(RawData[Description],MATCH(A419,RawData[[Article ]],0)))</f>
        <v/>
      </c>
      <c r="C419" s="9" t="str">
        <f>IF(A419="","",COUNTIFS(RawData[[Article ]],A419,RawData[Month List],TEXT($A$4,"mmmm yyyy")))</f>
        <v/>
      </c>
      <c r="D419" s="9" t="str">
        <f>IF(A419="","",COUNTIFS(RawData[[Article ]],A419,RawData[[Error Type ]],"Short",RawData[Month List],TEXT($A$4,"mmmm yyyy")))</f>
        <v/>
      </c>
      <c r="E419" s="9" t="str">
        <f>IF(A419="","",COUNTIFS(RawData[[Article ]],A419,RawData[[Error Type ]],"Excess",RawData[Month List],TEXT($A$4, "mmmm yyyy")))</f>
        <v/>
      </c>
      <c r="F419" s="9" t="str">
        <f>IF(A419="","",SUMIFS(RawData[Qyt Affected ( EA ) ],RawData[[Article ]],A419,RawData[Month List],TEXT($A$4,"mmmm yyyy")))</f>
        <v/>
      </c>
    </row>
    <row r="420" spans="1:6" ht="15.75" x14ac:dyDescent="0.25">
      <c r="A420" s="40"/>
      <c r="B420" s="9" t="str">
        <f>IF(A420="","",INDEX(RawData[Description],MATCH(A420,RawData[[Article ]],0)))</f>
        <v/>
      </c>
      <c r="C420" s="9" t="str">
        <f>IF(A420="","",COUNTIFS(RawData[[Article ]],A420,RawData[Month List],TEXT($A$4,"mmmm yyyy")))</f>
        <v/>
      </c>
      <c r="D420" s="9" t="str">
        <f>IF(A420="","",COUNTIFS(RawData[[Article ]],A420,RawData[[Error Type ]],"Short",RawData[Month List],TEXT($A$4,"mmmm yyyy")))</f>
        <v/>
      </c>
      <c r="E420" s="9" t="str">
        <f>IF(A420="","",COUNTIFS(RawData[[Article ]],A420,RawData[[Error Type ]],"Excess",RawData[Month List],TEXT($A$4, "mmmm yyyy")))</f>
        <v/>
      </c>
      <c r="F420" s="9" t="str">
        <f>IF(A420="","",SUMIFS(RawData[Qyt Affected ( EA ) ],RawData[[Article ]],A420,RawData[Month List],TEXT($A$4,"mmmm yyyy")))</f>
        <v/>
      </c>
    </row>
    <row r="421" spans="1:6" ht="15.75" x14ac:dyDescent="0.25">
      <c r="A421" s="40"/>
      <c r="B421" s="9" t="str">
        <f>IF(A421="","",INDEX(RawData[Description],MATCH(A421,RawData[[Article ]],0)))</f>
        <v/>
      </c>
      <c r="C421" s="9" t="str">
        <f>IF(A421="","",COUNTIFS(RawData[[Article ]],A421,RawData[Month List],TEXT($A$4,"mmmm yyyy")))</f>
        <v/>
      </c>
      <c r="D421" s="9" t="str">
        <f>IF(A421="","",COUNTIFS(RawData[[Article ]],A421,RawData[[Error Type ]],"Short",RawData[Month List],TEXT($A$4,"mmmm yyyy")))</f>
        <v/>
      </c>
      <c r="E421" s="9" t="str">
        <f>IF(A421="","",COUNTIFS(RawData[[Article ]],A421,RawData[[Error Type ]],"Excess",RawData[Month List],TEXT($A$4, "mmmm yyyy")))</f>
        <v/>
      </c>
      <c r="F421" s="9" t="str">
        <f>IF(A421="","",SUMIFS(RawData[Qyt Affected ( EA ) ],RawData[[Article ]],A421,RawData[Month List],TEXT($A$4,"mmmm yyyy")))</f>
        <v/>
      </c>
    </row>
    <row r="422" spans="1:6" ht="15.75" x14ac:dyDescent="0.25">
      <c r="A422" s="40"/>
      <c r="B422" s="9" t="str">
        <f>IF(A422="","",INDEX(RawData[Description],MATCH(A422,RawData[[Article ]],0)))</f>
        <v/>
      </c>
      <c r="C422" s="9" t="str">
        <f>IF(A422="","",COUNTIFS(RawData[[Article ]],A422,RawData[Month List],TEXT($A$4,"mmmm yyyy")))</f>
        <v/>
      </c>
      <c r="D422" s="9" t="str">
        <f>IF(A422="","",COUNTIFS(RawData[[Article ]],A422,RawData[[Error Type ]],"Short",RawData[Month List],TEXT($A$4,"mmmm yyyy")))</f>
        <v/>
      </c>
      <c r="E422" s="9" t="str">
        <f>IF(A422="","",COUNTIFS(RawData[[Article ]],A422,RawData[[Error Type ]],"Excess",RawData[Month List],TEXT($A$4, "mmmm yyyy")))</f>
        <v/>
      </c>
      <c r="F422" s="9" t="str">
        <f>IF(A422="","",SUMIFS(RawData[Qyt Affected ( EA ) ],RawData[[Article ]],A422,RawData[Month List],TEXT($A$4,"mmmm yyyy")))</f>
        <v/>
      </c>
    </row>
    <row r="423" spans="1:6" ht="15.75" x14ac:dyDescent="0.25">
      <c r="A423" s="40"/>
      <c r="B423" s="9" t="str">
        <f>IF(A423="","",INDEX(RawData[Description],MATCH(A423,RawData[[Article ]],0)))</f>
        <v/>
      </c>
      <c r="C423" s="9" t="str">
        <f>IF(A423="","",COUNTIFS(RawData[[Article ]],A423,RawData[Month List],TEXT($A$4,"mmmm yyyy")))</f>
        <v/>
      </c>
      <c r="D423" s="9" t="str">
        <f>IF(A423="","",COUNTIFS(RawData[[Article ]],A423,RawData[[Error Type ]],"Short",RawData[Month List],TEXT($A$4,"mmmm yyyy")))</f>
        <v/>
      </c>
      <c r="E423" s="9" t="str">
        <f>IF(A423="","",COUNTIFS(RawData[[Article ]],A423,RawData[[Error Type ]],"Excess",RawData[Month List],TEXT($A$4, "mmmm yyyy")))</f>
        <v/>
      </c>
      <c r="F423" s="9" t="str">
        <f>IF(A423="","",SUMIFS(RawData[Qyt Affected ( EA ) ],RawData[[Article ]],A423,RawData[Month List],TEXT($A$4,"mmmm yyyy")))</f>
        <v/>
      </c>
    </row>
    <row r="424" spans="1:6" ht="15.75" x14ac:dyDescent="0.25">
      <c r="A424" s="40"/>
      <c r="B424" s="9" t="str">
        <f>IF(A424="","",INDEX(RawData[Description],MATCH(A424,RawData[[Article ]],0)))</f>
        <v/>
      </c>
      <c r="C424" s="9" t="str">
        <f>IF(A424="","",COUNTIFS(RawData[[Article ]],A424,RawData[Month List],TEXT($A$4,"mmmm yyyy")))</f>
        <v/>
      </c>
      <c r="D424" s="9" t="str">
        <f>IF(A424="","",COUNTIFS(RawData[[Article ]],A424,RawData[[Error Type ]],"Short",RawData[Month List],TEXT($A$4,"mmmm yyyy")))</f>
        <v/>
      </c>
      <c r="E424" s="9" t="str">
        <f>IF(A424="","",COUNTIFS(RawData[[Article ]],A424,RawData[[Error Type ]],"Excess",RawData[Month List],TEXT($A$4, "mmmm yyyy")))</f>
        <v/>
      </c>
      <c r="F424" s="9" t="str">
        <f>IF(A424="","",SUMIFS(RawData[Qyt Affected ( EA ) ],RawData[[Article ]],A424,RawData[Month List],TEXT($A$4,"mmmm yyyy")))</f>
        <v/>
      </c>
    </row>
    <row r="425" spans="1:6" ht="15.75" x14ac:dyDescent="0.25">
      <c r="A425" s="40"/>
      <c r="B425" s="9" t="str">
        <f>IF(A425="","",INDEX(RawData[Description],MATCH(A425,RawData[[Article ]],0)))</f>
        <v/>
      </c>
      <c r="C425" s="9" t="str">
        <f>IF(A425="","",COUNTIFS(RawData[[Article ]],A425,RawData[Month List],TEXT($A$4,"mmmm yyyy")))</f>
        <v/>
      </c>
      <c r="D425" s="9" t="str">
        <f>IF(A425="","",COUNTIFS(RawData[[Article ]],A425,RawData[[Error Type ]],"Short",RawData[Month List],TEXT($A$4,"mmmm yyyy")))</f>
        <v/>
      </c>
      <c r="E425" s="9" t="str">
        <f>IF(A425="","",COUNTIFS(RawData[[Article ]],A425,RawData[[Error Type ]],"Excess",RawData[Month List],TEXT($A$4, "mmmm yyyy")))</f>
        <v/>
      </c>
      <c r="F425" s="9" t="str">
        <f>IF(A425="","",SUMIFS(RawData[Qyt Affected ( EA ) ],RawData[[Article ]],A425,RawData[Month List],TEXT($A$4,"mmmm yyyy")))</f>
        <v/>
      </c>
    </row>
    <row r="426" spans="1:6" ht="15.75" x14ac:dyDescent="0.25">
      <c r="A426" s="40"/>
      <c r="B426" s="9" t="str">
        <f>IF(A426="","",INDEX(RawData[Description],MATCH(A426,RawData[[Article ]],0)))</f>
        <v/>
      </c>
      <c r="C426" s="9" t="str">
        <f>IF(A426="","",COUNTIFS(RawData[[Article ]],A426,RawData[Month List],TEXT($A$4,"mmmm yyyy")))</f>
        <v/>
      </c>
      <c r="D426" s="9" t="str">
        <f>IF(A426="","",COUNTIFS(RawData[[Article ]],A426,RawData[[Error Type ]],"Short",RawData[Month List],TEXT($A$4,"mmmm yyyy")))</f>
        <v/>
      </c>
      <c r="E426" s="9" t="str">
        <f>IF(A426="","",COUNTIFS(RawData[[Article ]],A426,RawData[[Error Type ]],"Excess",RawData[Month List],TEXT($A$4, "mmmm yyyy")))</f>
        <v/>
      </c>
      <c r="F426" s="9" t="str">
        <f>IF(A426="","",SUMIFS(RawData[Qyt Affected ( EA ) ],RawData[[Article ]],A426,RawData[Month List],TEXT($A$4,"mmmm yyyy")))</f>
        <v/>
      </c>
    </row>
    <row r="427" spans="1:6" ht="15.75" x14ac:dyDescent="0.25">
      <c r="A427" s="40"/>
      <c r="B427" s="9" t="str">
        <f>IF(A427="","",INDEX(RawData[Description],MATCH(A427,RawData[[Article ]],0)))</f>
        <v/>
      </c>
      <c r="C427" s="9" t="str">
        <f>IF(A427="","",COUNTIFS(RawData[[Article ]],A427,RawData[Month List],TEXT($A$4,"mmmm yyyy")))</f>
        <v/>
      </c>
      <c r="D427" s="9" t="str">
        <f>IF(A427="","",COUNTIFS(RawData[[Article ]],A427,RawData[[Error Type ]],"Short",RawData[Month List],TEXT($A$4,"mmmm yyyy")))</f>
        <v/>
      </c>
      <c r="E427" s="9" t="str">
        <f>IF(A427="","",COUNTIFS(RawData[[Article ]],A427,RawData[[Error Type ]],"Excess",RawData[Month List],TEXT($A$4, "mmmm yyyy")))</f>
        <v/>
      </c>
      <c r="F427" s="9" t="str">
        <f>IF(A427="","",SUMIFS(RawData[Qyt Affected ( EA ) ],RawData[[Article ]],A427,RawData[Month List],TEXT($A$4,"mmmm yyyy")))</f>
        <v/>
      </c>
    </row>
    <row r="428" spans="1:6" ht="15.75" x14ac:dyDescent="0.25">
      <c r="A428" s="40"/>
      <c r="B428" s="9" t="str">
        <f>IF(A428="","",INDEX(RawData[Description],MATCH(A428,RawData[[Article ]],0)))</f>
        <v/>
      </c>
      <c r="C428" s="9" t="str">
        <f>IF(A428="","",COUNTIFS(RawData[[Article ]],A428,RawData[Month List],TEXT($A$4,"mmmm yyyy")))</f>
        <v/>
      </c>
      <c r="D428" s="9" t="str">
        <f>IF(A428="","",COUNTIFS(RawData[[Article ]],A428,RawData[[Error Type ]],"Short",RawData[Month List],TEXT($A$4,"mmmm yyyy")))</f>
        <v/>
      </c>
      <c r="E428" s="9" t="str">
        <f>IF(A428="","",COUNTIFS(RawData[[Article ]],A428,RawData[[Error Type ]],"Excess",RawData[Month List],TEXT($A$4, "mmmm yyyy")))</f>
        <v/>
      </c>
      <c r="F428" s="9" t="str">
        <f>IF(A428="","",SUMIFS(RawData[Qyt Affected ( EA ) ],RawData[[Article ]],A428,RawData[Month List],TEXT($A$4,"mmmm yyyy")))</f>
        <v/>
      </c>
    </row>
    <row r="429" spans="1:6" ht="15.75" x14ac:dyDescent="0.25">
      <c r="A429" s="40"/>
      <c r="B429" s="9" t="str">
        <f>IF(A429="","",INDEX(RawData[Description],MATCH(A429,RawData[[Article ]],0)))</f>
        <v/>
      </c>
      <c r="C429" s="9" t="str">
        <f>IF(A429="","",COUNTIFS(RawData[[Article ]],A429,RawData[Month List],TEXT($A$4,"mmmm yyyy")))</f>
        <v/>
      </c>
      <c r="D429" s="9" t="str">
        <f>IF(A429="","",COUNTIFS(RawData[[Article ]],A429,RawData[[Error Type ]],"Short",RawData[Month List],TEXT($A$4,"mmmm yyyy")))</f>
        <v/>
      </c>
      <c r="E429" s="9" t="str">
        <f>IF(A429="","",COUNTIFS(RawData[[Article ]],A429,RawData[[Error Type ]],"Excess",RawData[Month List],TEXT($A$4, "mmmm yyyy")))</f>
        <v/>
      </c>
      <c r="F429" s="9" t="str">
        <f>IF(A429="","",SUMIFS(RawData[Qyt Affected ( EA ) ],RawData[[Article ]],A429,RawData[Month List],TEXT($A$4,"mmmm yyyy")))</f>
        <v/>
      </c>
    </row>
    <row r="430" spans="1:6" ht="15.75" x14ac:dyDescent="0.25">
      <c r="A430" s="40"/>
      <c r="B430" s="9" t="str">
        <f>IF(A430="","",INDEX(RawData[Description],MATCH(A430,RawData[[Article ]],0)))</f>
        <v/>
      </c>
      <c r="C430" s="9" t="str">
        <f>IF(A430="","",COUNTIFS(RawData[[Article ]],A430,RawData[Month List],TEXT($A$4,"mmmm yyyy")))</f>
        <v/>
      </c>
      <c r="D430" s="9" t="str">
        <f>IF(A430="","",COUNTIFS(RawData[[Article ]],A430,RawData[[Error Type ]],"Short",RawData[Month List],TEXT($A$4,"mmmm yyyy")))</f>
        <v/>
      </c>
      <c r="E430" s="9" t="str">
        <f>IF(A430="","",COUNTIFS(RawData[[Article ]],A430,RawData[[Error Type ]],"Excess",RawData[Month List],TEXT($A$4, "mmmm yyyy")))</f>
        <v/>
      </c>
      <c r="F430" s="9" t="str">
        <f>IF(A430="","",SUMIFS(RawData[Qyt Affected ( EA ) ],RawData[[Article ]],A430,RawData[Month List],TEXT($A$4,"mmmm yyyy")))</f>
        <v/>
      </c>
    </row>
    <row r="431" spans="1:6" ht="15.75" x14ac:dyDescent="0.25">
      <c r="A431" s="40"/>
      <c r="B431" s="9" t="str">
        <f>IF(A431="","",INDEX(RawData[Description],MATCH(A431,RawData[[Article ]],0)))</f>
        <v/>
      </c>
      <c r="C431" s="9" t="str">
        <f>IF(A431="","",COUNTIFS(RawData[[Article ]],A431,RawData[Month List],TEXT($A$4,"mmmm yyyy")))</f>
        <v/>
      </c>
      <c r="D431" s="9" t="str">
        <f>IF(A431="","",COUNTIFS(RawData[[Article ]],A431,RawData[[Error Type ]],"Short",RawData[Month List],TEXT($A$4,"mmmm yyyy")))</f>
        <v/>
      </c>
      <c r="E431" s="9" t="str">
        <f>IF(A431="","",COUNTIFS(RawData[[Article ]],A431,RawData[[Error Type ]],"Excess",RawData[Month List],TEXT($A$4, "mmmm yyyy")))</f>
        <v/>
      </c>
      <c r="F431" s="9" t="str">
        <f>IF(A431="","",SUMIFS(RawData[Qyt Affected ( EA ) ],RawData[[Article ]],A431,RawData[Month List],TEXT($A$4,"mmmm yyyy")))</f>
        <v/>
      </c>
    </row>
    <row r="432" spans="1:6" ht="15.75" x14ac:dyDescent="0.25">
      <c r="A432" s="40"/>
      <c r="B432" s="9" t="str">
        <f>IF(A432="","",INDEX(RawData[Description],MATCH(A432,RawData[[Article ]],0)))</f>
        <v/>
      </c>
      <c r="C432" s="9" t="str">
        <f>IF(A432="","",COUNTIFS(RawData[[Article ]],A432,RawData[Month List],TEXT($A$4,"mmmm yyyy")))</f>
        <v/>
      </c>
      <c r="D432" s="9" t="str">
        <f>IF(A432="","",COUNTIFS(RawData[[Article ]],A432,RawData[[Error Type ]],"Short",RawData[Month List],TEXT($A$4,"mmmm yyyy")))</f>
        <v/>
      </c>
      <c r="E432" s="9" t="str">
        <f>IF(A432="","",COUNTIFS(RawData[[Article ]],A432,RawData[[Error Type ]],"Excess",RawData[Month List],TEXT($A$4, "mmmm yyyy")))</f>
        <v/>
      </c>
      <c r="F432" s="9" t="str">
        <f>IF(A432="","",SUMIFS(RawData[Qyt Affected ( EA ) ],RawData[[Article ]],A432,RawData[Month List],TEXT($A$4,"mmmm yyyy")))</f>
        <v/>
      </c>
    </row>
    <row r="433" spans="1:6" ht="15.75" x14ac:dyDescent="0.25">
      <c r="A433" s="40"/>
      <c r="B433" s="9" t="str">
        <f>IF(A433="","",INDEX(RawData[Description],MATCH(A433,RawData[[Article ]],0)))</f>
        <v/>
      </c>
      <c r="C433" s="9" t="str">
        <f>IF(A433="","",COUNTIFS(RawData[[Article ]],A433,RawData[Month List],TEXT($A$4,"mmmm yyyy")))</f>
        <v/>
      </c>
      <c r="D433" s="9" t="str">
        <f>IF(A433="","",COUNTIFS(RawData[[Article ]],A433,RawData[[Error Type ]],"Short",RawData[Month List],TEXT($A$4,"mmmm yyyy")))</f>
        <v/>
      </c>
      <c r="E433" s="9" t="str">
        <f>IF(A433="","",COUNTIFS(RawData[[Article ]],A433,RawData[[Error Type ]],"Excess",RawData[Month List],TEXT($A$4, "mmmm yyyy")))</f>
        <v/>
      </c>
      <c r="F433" s="9" t="str">
        <f>IF(A433="","",SUMIFS(RawData[Qyt Affected ( EA ) ],RawData[[Article ]],A433,RawData[Month List],TEXT($A$4,"mmmm yyyy")))</f>
        <v/>
      </c>
    </row>
    <row r="434" spans="1:6" ht="15.75" x14ac:dyDescent="0.25">
      <c r="A434" s="40"/>
      <c r="B434" s="9" t="str">
        <f>IF(A434="","",INDEX(RawData[Description],MATCH(A434,RawData[[Article ]],0)))</f>
        <v/>
      </c>
      <c r="C434" s="9" t="str">
        <f>IF(A434="","",COUNTIFS(RawData[[Article ]],A434,RawData[Month List],TEXT($A$4,"mmmm yyyy")))</f>
        <v/>
      </c>
      <c r="D434" s="9" t="str">
        <f>IF(A434="","",COUNTIFS(RawData[[Article ]],A434,RawData[[Error Type ]],"Short",RawData[Month List],TEXT($A$4,"mmmm yyyy")))</f>
        <v/>
      </c>
      <c r="E434" s="9" t="str">
        <f>IF(A434="","",COUNTIFS(RawData[[Article ]],A434,RawData[[Error Type ]],"Excess",RawData[Month List],TEXT($A$4, "mmmm yyyy")))</f>
        <v/>
      </c>
      <c r="F434" s="9" t="str">
        <f>IF(A434="","",SUMIFS(RawData[Qyt Affected ( EA ) ],RawData[[Article ]],A434,RawData[Month List],TEXT($A$4,"mmmm yyyy")))</f>
        <v/>
      </c>
    </row>
    <row r="435" spans="1:6" ht="15.75" x14ac:dyDescent="0.25">
      <c r="A435" s="40"/>
      <c r="B435" s="9" t="str">
        <f>IF(A435="","",INDEX(RawData[Description],MATCH(A435,RawData[[Article ]],0)))</f>
        <v/>
      </c>
      <c r="C435" s="9" t="str">
        <f>IF(A435="","",COUNTIFS(RawData[[Article ]],A435,RawData[Month List],TEXT($A$4,"mmmm yyyy")))</f>
        <v/>
      </c>
      <c r="D435" s="9" t="str">
        <f>IF(A435="","",COUNTIFS(RawData[[Article ]],A435,RawData[[Error Type ]],"Short",RawData[Month List],TEXT($A$4,"mmmm yyyy")))</f>
        <v/>
      </c>
      <c r="E435" s="9" t="str">
        <f>IF(A435="","",COUNTIFS(RawData[[Article ]],A435,RawData[[Error Type ]],"Excess",RawData[Month List],TEXT($A$4, "mmmm yyyy")))</f>
        <v/>
      </c>
      <c r="F435" s="9" t="str">
        <f>IF(A435="","",SUMIFS(RawData[Qyt Affected ( EA ) ],RawData[[Article ]],A435,RawData[Month List],TEXT($A$4,"mmmm yyyy")))</f>
        <v/>
      </c>
    </row>
    <row r="436" spans="1:6" ht="15.75" x14ac:dyDescent="0.25">
      <c r="A436" s="40"/>
      <c r="B436" s="9" t="str">
        <f>IF(A436="","",INDEX(RawData[Description],MATCH(A436,RawData[[Article ]],0)))</f>
        <v/>
      </c>
      <c r="C436" s="9" t="str">
        <f>IF(A436="","",COUNTIFS(RawData[[Article ]],A436,RawData[Month List],TEXT($A$4,"mmmm yyyy")))</f>
        <v/>
      </c>
      <c r="D436" s="9" t="str">
        <f>IF(A436="","",COUNTIFS(RawData[[Article ]],A436,RawData[[Error Type ]],"Short",RawData[Month List],TEXT($A$4,"mmmm yyyy")))</f>
        <v/>
      </c>
      <c r="E436" s="9" t="str">
        <f>IF(A436="","",COUNTIFS(RawData[[Article ]],A436,RawData[[Error Type ]],"Excess",RawData[Month List],TEXT($A$4, "mmmm yyyy")))</f>
        <v/>
      </c>
      <c r="F436" s="9" t="str">
        <f>IF(A436="","",SUMIFS(RawData[Qyt Affected ( EA ) ],RawData[[Article ]],A436,RawData[Month List],TEXT($A$4,"mmmm yyyy")))</f>
        <v/>
      </c>
    </row>
    <row r="437" spans="1:6" ht="15.75" x14ac:dyDescent="0.25">
      <c r="A437" s="40"/>
      <c r="B437" s="9" t="str">
        <f>IF(A437="","",INDEX(RawData[Description],MATCH(A437,RawData[[Article ]],0)))</f>
        <v/>
      </c>
      <c r="C437" s="9" t="str">
        <f>IF(A437="","",COUNTIFS(RawData[[Article ]],A437,RawData[Month List],TEXT($A$4,"mmmm yyyy")))</f>
        <v/>
      </c>
      <c r="D437" s="9" t="str">
        <f>IF(A437="","",COUNTIFS(RawData[[Article ]],A437,RawData[[Error Type ]],"Short",RawData[Month List],TEXT($A$4,"mmmm yyyy")))</f>
        <v/>
      </c>
      <c r="E437" s="9" t="str">
        <f>IF(A437="","",COUNTIFS(RawData[[Article ]],A437,RawData[[Error Type ]],"Excess",RawData[Month List],TEXT($A$4, "mmmm yyyy")))</f>
        <v/>
      </c>
      <c r="F437" s="9" t="str">
        <f>IF(A437="","",SUMIFS(RawData[Qyt Affected ( EA ) ],RawData[[Article ]],A437,RawData[Month List],TEXT($A$4,"mmmm yyyy")))</f>
        <v/>
      </c>
    </row>
    <row r="438" spans="1:6" ht="15.75" x14ac:dyDescent="0.25">
      <c r="A438" s="40"/>
      <c r="B438" s="9" t="str">
        <f>IF(A438="","",INDEX(RawData[Description],MATCH(A438,RawData[[Article ]],0)))</f>
        <v/>
      </c>
      <c r="C438" s="9" t="str">
        <f>IF(A438="","",COUNTIFS(RawData[[Article ]],A438,RawData[Month List],TEXT($A$4,"mmmm yyyy")))</f>
        <v/>
      </c>
      <c r="D438" s="9" t="str">
        <f>IF(A438="","",COUNTIFS(RawData[[Article ]],A438,RawData[[Error Type ]],"Short",RawData[Month List],TEXT($A$4,"mmmm yyyy")))</f>
        <v/>
      </c>
      <c r="E438" s="9" t="str">
        <f>IF(A438="","",COUNTIFS(RawData[[Article ]],A438,RawData[[Error Type ]],"Excess",RawData[Month List],TEXT($A$4, "mmmm yyyy")))</f>
        <v/>
      </c>
      <c r="F438" s="9" t="str">
        <f>IF(A438="","",SUMIFS(RawData[Qyt Affected ( EA ) ],RawData[[Article ]],A438,RawData[Month List],TEXT($A$4,"mmmm yyyy")))</f>
        <v/>
      </c>
    </row>
    <row r="439" spans="1:6" ht="15.75" x14ac:dyDescent="0.25">
      <c r="A439" s="40"/>
      <c r="B439" s="9" t="str">
        <f>IF(A439="","",INDEX(RawData[Description],MATCH(A439,RawData[[Article ]],0)))</f>
        <v/>
      </c>
      <c r="C439" s="9" t="str">
        <f>IF(A439="","",COUNTIFS(RawData[[Article ]],A439,RawData[Month List],TEXT($A$4,"mmmm yyyy")))</f>
        <v/>
      </c>
      <c r="D439" s="9" t="str">
        <f>IF(A439="","",COUNTIFS(RawData[[Article ]],A439,RawData[[Error Type ]],"Short",RawData[Month List],TEXT($A$4,"mmmm yyyy")))</f>
        <v/>
      </c>
      <c r="E439" s="9" t="str">
        <f>IF(A439="","",COUNTIFS(RawData[[Article ]],A439,RawData[[Error Type ]],"Excess",RawData[Month List],TEXT($A$4, "mmmm yyyy")))</f>
        <v/>
      </c>
      <c r="F439" s="9" t="str">
        <f>IF(A439="","",SUMIFS(RawData[Qyt Affected ( EA ) ],RawData[[Article ]],A439,RawData[Month List],TEXT($A$4,"mmmm yyyy")))</f>
        <v/>
      </c>
    </row>
    <row r="440" spans="1:6" ht="15.75" x14ac:dyDescent="0.25">
      <c r="A440" s="40"/>
      <c r="B440" s="9" t="str">
        <f>IF(A440="","",INDEX(RawData[Description],MATCH(A440,RawData[[Article ]],0)))</f>
        <v/>
      </c>
      <c r="C440" s="9" t="str">
        <f>IF(A440="","",COUNTIFS(RawData[[Article ]],A440,RawData[Month List],TEXT($A$4,"mmmm yyyy")))</f>
        <v/>
      </c>
      <c r="D440" s="9" t="str">
        <f>IF(A440="","",COUNTIFS(RawData[[Article ]],A440,RawData[[Error Type ]],"Short",RawData[Month List],TEXT($A$4,"mmmm yyyy")))</f>
        <v/>
      </c>
      <c r="E440" s="9" t="str">
        <f>IF(A440="","",COUNTIFS(RawData[[Article ]],A440,RawData[[Error Type ]],"Excess",RawData[Month List],TEXT($A$4, "mmmm yyyy")))</f>
        <v/>
      </c>
      <c r="F440" s="9" t="str">
        <f>IF(A440="","",SUMIFS(RawData[Qyt Affected ( EA ) ],RawData[[Article ]],A440,RawData[Month List],TEXT($A$4,"mmmm yyyy")))</f>
        <v/>
      </c>
    </row>
    <row r="441" spans="1:6" ht="15.75" x14ac:dyDescent="0.25">
      <c r="A441" s="40"/>
      <c r="B441" s="9" t="str">
        <f>IF(A441="","",INDEX(RawData[Description],MATCH(A441,RawData[[Article ]],0)))</f>
        <v/>
      </c>
      <c r="C441" s="9" t="str">
        <f>IF(A441="","",COUNTIFS(RawData[[Article ]],A441,RawData[Month List],TEXT($A$4,"mmmm yyyy")))</f>
        <v/>
      </c>
      <c r="D441" s="9" t="str">
        <f>IF(A441="","",COUNTIFS(RawData[[Article ]],A441,RawData[[Error Type ]],"Short",RawData[Month List],TEXT($A$4,"mmmm yyyy")))</f>
        <v/>
      </c>
      <c r="E441" s="9" t="str">
        <f>IF(A441="","",COUNTIFS(RawData[[Article ]],A441,RawData[[Error Type ]],"Excess",RawData[Month List],TEXT($A$4, "mmmm yyyy")))</f>
        <v/>
      </c>
      <c r="F441" s="9" t="str">
        <f>IF(A441="","",SUMIFS(RawData[Qyt Affected ( EA ) ],RawData[[Article ]],A441,RawData[Month List],TEXT($A$4,"mmmm yyyy")))</f>
        <v/>
      </c>
    </row>
    <row r="442" spans="1:6" ht="15.75" x14ac:dyDescent="0.25">
      <c r="A442" s="40"/>
      <c r="B442" s="9" t="str">
        <f>IF(A442="","",INDEX(RawData[Description],MATCH(A442,RawData[[Article ]],0)))</f>
        <v/>
      </c>
      <c r="C442" s="9" t="str">
        <f>IF(A442="","",COUNTIFS(RawData[[Article ]],A442,RawData[Month List],TEXT($A$4,"mmmm yyyy")))</f>
        <v/>
      </c>
      <c r="D442" s="9" t="str">
        <f>IF(A442="","",COUNTIFS(RawData[[Article ]],A442,RawData[[Error Type ]],"Short",RawData[Month List],TEXT($A$4,"mmmm yyyy")))</f>
        <v/>
      </c>
      <c r="E442" s="9" t="str">
        <f>IF(A442="","",COUNTIFS(RawData[[Article ]],A442,RawData[[Error Type ]],"Excess",RawData[Month List],TEXT($A$4, "mmmm yyyy")))</f>
        <v/>
      </c>
      <c r="F442" s="9" t="str">
        <f>IF(A442="","",SUMIFS(RawData[Qyt Affected ( EA ) ],RawData[[Article ]],A442,RawData[Month List],TEXT($A$4,"mmmm yyyy")))</f>
        <v/>
      </c>
    </row>
    <row r="443" spans="1:6" ht="15.75" x14ac:dyDescent="0.25">
      <c r="A443" s="40"/>
      <c r="B443" s="9" t="str">
        <f>IF(A443="","",INDEX(RawData[Description],MATCH(A443,RawData[[Article ]],0)))</f>
        <v/>
      </c>
      <c r="C443" s="9" t="str">
        <f>IF(A443="","",COUNTIFS(RawData[[Article ]],A443,RawData[Month List],TEXT($A$4,"mmmm yyyy")))</f>
        <v/>
      </c>
      <c r="D443" s="9" t="str">
        <f>IF(A443="","",COUNTIFS(RawData[[Article ]],A443,RawData[[Error Type ]],"Short",RawData[Month List],TEXT($A$4,"mmmm yyyy")))</f>
        <v/>
      </c>
      <c r="E443" s="9" t="str">
        <f>IF(A443="","",COUNTIFS(RawData[[Article ]],A443,RawData[[Error Type ]],"Excess",RawData[Month List],TEXT($A$4, "mmmm yyyy")))</f>
        <v/>
      </c>
      <c r="F443" s="9" t="str">
        <f>IF(A443="","",SUMIFS(RawData[Qyt Affected ( EA ) ],RawData[[Article ]],A443,RawData[Month List],TEXT($A$4,"mmmm yyyy")))</f>
        <v/>
      </c>
    </row>
    <row r="444" spans="1:6" ht="15.75" x14ac:dyDescent="0.25">
      <c r="A444" s="40"/>
      <c r="B444" s="9" t="str">
        <f>IF(A444="","",INDEX(RawData[Description],MATCH(A444,RawData[[Article ]],0)))</f>
        <v/>
      </c>
      <c r="C444" s="9" t="str">
        <f>IF(A444="","",COUNTIFS(RawData[[Article ]],A444,RawData[Month List],TEXT($A$4,"mmmm yyyy")))</f>
        <v/>
      </c>
      <c r="D444" s="9" t="str">
        <f>IF(A444="","",COUNTIFS(RawData[[Article ]],A444,RawData[[Error Type ]],"Short",RawData[Month List],TEXT($A$4,"mmmm yyyy")))</f>
        <v/>
      </c>
      <c r="E444" s="9" t="str">
        <f>IF(A444="","",COUNTIFS(RawData[[Article ]],A444,RawData[[Error Type ]],"Excess",RawData[Month List],TEXT($A$4, "mmmm yyyy")))</f>
        <v/>
      </c>
      <c r="F444" s="9" t="str">
        <f>IF(A444="","",SUMIFS(RawData[Qyt Affected ( EA ) ],RawData[[Article ]],A444,RawData[Month List],TEXT($A$4,"mmmm yyyy")))</f>
        <v/>
      </c>
    </row>
    <row r="445" spans="1:6" ht="15.75" x14ac:dyDescent="0.25">
      <c r="A445" s="40"/>
      <c r="B445" s="9" t="str">
        <f>IF(A445="","",INDEX(RawData[Description],MATCH(A445,RawData[[Article ]],0)))</f>
        <v/>
      </c>
      <c r="C445" s="9" t="str">
        <f>IF(A445="","",COUNTIFS(RawData[[Article ]],A445,RawData[Month List],TEXT($A$4,"mmmm yyyy")))</f>
        <v/>
      </c>
      <c r="D445" s="9" t="str">
        <f>IF(A445="","",COUNTIFS(RawData[[Article ]],A445,RawData[[Error Type ]],"Short",RawData[Month List],TEXT($A$4,"mmmm yyyy")))</f>
        <v/>
      </c>
      <c r="E445" s="9" t="str">
        <f>IF(A445="","",COUNTIFS(RawData[[Article ]],A445,RawData[[Error Type ]],"Excess",RawData[Month List],TEXT($A$4, "mmmm yyyy")))</f>
        <v/>
      </c>
      <c r="F445" s="9" t="str">
        <f>IF(A445="","",SUMIFS(RawData[Qyt Affected ( EA ) ],RawData[[Article ]],A445,RawData[Month List],TEXT($A$4,"mmmm yyyy")))</f>
        <v/>
      </c>
    </row>
    <row r="446" spans="1:6" ht="15.75" x14ac:dyDescent="0.25">
      <c r="A446" s="40"/>
      <c r="B446" s="9" t="str">
        <f>IF(A446="","",INDEX(RawData[Description],MATCH(A446,RawData[[Article ]],0)))</f>
        <v/>
      </c>
      <c r="C446" s="9" t="str">
        <f>IF(A446="","",COUNTIFS(RawData[[Article ]],A446,RawData[Month List],TEXT($A$4,"mmmm yyyy")))</f>
        <v/>
      </c>
      <c r="D446" s="9" t="str">
        <f>IF(A446="","",COUNTIFS(RawData[[Article ]],A446,RawData[[Error Type ]],"Short",RawData[Month List],TEXT($A$4,"mmmm yyyy")))</f>
        <v/>
      </c>
      <c r="E446" s="9" t="str">
        <f>IF(A446="","",COUNTIFS(RawData[[Article ]],A446,RawData[[Error Type ]],"Excess",RawData[Month List],TEXT($A$4, "mmmm yyyy")))</f>
        <v/>
      </c>
      <c r="F446" s="9" t="str">
        <f>IF(A446="","",SUMIFS(RawData[Qyt Affected ( EA ) ],RawData[[Article ]],A446,RawData[Month List],TEXT($A$4,"mmmm yyyy")))</f>
        <v/>
      </c>
    </row>
    <row r="447" spans="1:6" ht="15.75" x14ac:dyDescent="0.25">
      <c r="A447" s="40"/>
      <c r="B447" s="9" t="str">
        <f>IF(A447="","",INDEX(RawData[Description],MATCH(A447,RawData[[Article ]],0)))</f>
        <v/>
      </c>
      <c r="C447" s="9" t="str">
        <f>IF(A447="","",COUNTIFS(RawData[[Article ]],A447,RawData[Month List],TEXT($A$4,"mmmm yyyy")))</f>
        <v/>
      </c>
      <c r="D447" s="9" t="str">
        <f>IF(A447="","",COUNTIFS(RawData[[Article ]],A447,RawData[[Error Type ]],"Short",RawData[Month List],TEXT($A$4,"mmmm yyyy")))</f>
        <v/>
      </c>
      <c r="E447" s="9" t="str">
        <f>IF(A447="","",COUNTIFS(RawData[[Article ]],A447,RawData[[Error Type ]],"Excess",RawData[Month List],TEXT($A$4, "mmmm yyyy")))</f>
        <v/>
      </c>
      <c r="F447" s="9" t="str">
        <f>IF(A447="","",SUMIFS(RawData[Qyt Affected ( EA ) ],RawData[[Article ]],A447,RawData[Month List],TEXT($A$4,"mmmm yyyy")))</f>
        <v/>
      </c>
    </row>
    <row r="448" spans="1:6" ht="15.75" x14ac:dyDescent="0.25">
      <c r="A448" s="40"/>
      <c r="B448" s="9" t="str">
        <f>IF(A448="","",INDEX(RawData[Description],MATCH(A448,RawData[[Article ]],0)))</f>
        <v/>
      </c>
      <c r="C448" s="9" t="str">
        <f>IF(A448="","",COUNTIFS(RawData[[Article ]],A448,RawData[Month List],TEXT($A$4,"mmmm yyyy")))</f>
        <v/>
      </c>
      <c r="D448" s="9" t="str">
        <f>IF(A448="","",COUNTIFS(RawData[[Article ]],A448,RawData[[Error Type ]],"Short",RawData[Month List],TEXT($A$4,"mmmm yyyy")))</f>
        <v/>
      </c>
      <c r="E448" s="9" t="str">
        <f>IF(A448="","",COUNTIFS(RawData[[Article ]],A448,RawData[[Error Type ]],"Excess",RawData[Month List],TEXT($A$4, "mmmm yyyy")))</f>
        <v/>
      </c>
      <c r="F448" s="9" t="str">
        <f>IF(A448="","",SUMIFS(RawData[Qyt Affected ( EA ) ],RawData[[Article ]],A448,RawData[Month List],TEXT($A$4,"mmmm yyyy")))</f>
        <v/>
      </c>
    </row>
    <row r="449" spans="1:6" ht="15.75" x14ac:dyDescent="0.25">
      <c r="A449" s="40"/>
      <c r="B449" s="9" t="str">
        <f>IF(A449="","",INDEX(RawData[Description],MATCH(A449,RawData[[Article ]],0)))</f>
        <v/>
      </c>
      <c r="C449" s="9" t="str">
        <f>IF(A449="","",COUNTIFS(RawData[[Article ]],A449,RawData[Month List],TEXT($A$4,"mmmm yyyy")))</f>
        <v/>
      </c>
      <c r="D449" s="9" t="str">
        <f>IF(A449="","",COUNTIFS(RawData[[Article ]],A449,RawData[[Error Type ]],"Short",RawData[Month List],TEXT($A$4,"mmmm yyyy")))</f>
        <v/>
      </c>
      <c r="E449" s="9" t="str">
        <f>IF(A449="","",COUNTIFS(RawData[[Article ]],A449,RawData[[Error Type ]],"Excess",RawData[Month List],TEXT($A$4, "mmmm yyyy")))</f>
        <v/>
      </c>
      <c r="F449" s="9" t="str">
        <f>IF(A449="","",SUMIFS(RawData[Qyt Affected ( EA ) ],RawData[[Article ]],A449,RawData[Month List],TEXT($A$4,"mmmm yyyy")))</f>
        <v/>
      </c>
    </row>
    <row r="450" spans="1:6" ht="15.75" x14ac:dyDescent="0.25">
      <c r="A450" s="40"/>
      <c r="B450" s="9" t="str">
        <f>IF(A450="","",INDEX(RawData[Description],MATCH(A450,RawData[[Article ]],0)))</f>
        <v/>
      </c>
      <c r="C450" s="9" t="str">
        <f>IF(A450="","",COUNTIFS(RawData[[Article ]],A450,RawData[Month List],TEXT($A$4,"mmmm yyyy")))</f>
        <v/>
      </c>
      <c r="D450" s="9" t="str">
        <f>IF(A450="","",COUNTIFS(RawData[[Article ]],A450,RawData[[Error Type ]],"Short",RawData[Month List],TEXT($A$4,"mmmm yyyy")))</f>
        <v/>
      </c>
      <c r="E450" s="9" t="str">
        <f>IF(A450="","",COUNTIFS(RawData[[Article ]],A450,RawData[[Error Type ]],"Excess",RawData[Month List],TEXT($A$4, "mmmm yyyy")))</f>
        <v/>
      </c>
      <c r="F450" s="9" t="str">
        <f>IF(A450="","",SUMIFS(RawData[Qyt Affected ( EA ) ],RawData[[Article ]],A450,RawData[Month List],TEXT($A$4,"mmmm yyyy")))</f>
        <v/>
      </c>
    </row>
    <row r="451" spans="1:6" ht="15.75" x14ac:dyDescent="0.25">
      <c r="A451" s="40"/>
      <c r="B451" s="9" t="str">
        <f>IF(A451="","",INDEX(RawData[Description],MATCH(A451,RawData[[Article ]],0)))</f>
        <v/>
      </c>
      <c r="C451" s="9" t="str">
        <f>IF(A451="","",COUNTIFS(RawData[[Article ]],A451,RawData[Month List],TEXT($A$4,"mmmm yyyy")))</f>
        <v/>
      </c>
      <c r="D451" s="9" t="str">
        <f>IF(A451="","",COUNTIFS(RawData[[Article ]],A451,RawData[[Error Type ]],"Short",RawData[Month List],TEXT($A$4,"mmmm yyyy")))</f>
        <v/>
      </c>
      <c r="E451" s="9" t="str">
        <f>IF(A451="","",COUNTIFS(RawData[[Article ]],A451,RawData[[Error Type ]],"Excess",RawData[Month List],TEXT($A$4, "mmmm yyyy")))</f>
        <v/>
      </c>
      <c r="F451" s="9" t="str">
        <f>IF(A451="","",SUMIFS(RawData[Qyt Affected ( EA ) ],RawData[[Article ]],A451,RawData[Month List],TEXT($A$4,"mmmm yyyy")))</f>
        <v/>
      </c>
    </row>
    <row r="452" spans="1:6" ht="15.75" x14ac:dyDescent="0.25">
      <c r="A452" s="40"/>
      <c r="B452" s="9" t="str">
        <f>IF(A452="","",INDEX(RawData[Description],MATCH(A452,RawData[[Article ]],0)))</f>
        <v/>
      </c>
      <c r="C452" s="9" t="str">
        <f>IF(A452="","",COUNTIFS(RawData[[Article ]],A452,RawData[Month List],TEXT($A$4,"mmmm yyyy")))</f>
        <v/>
      </c>
      <c r="D452" s="9" t="str">
        <f>IF(A452="","",COUNTIFS(RawData[[Article ]],A452,RawData[[Error Type ]],"Short",RawData[Month List],TEXT($A$4,"mmmm yyyy")))</f>
        <v/>
      </c>
      <c r="E452" s="9" t="str">
        <f>IF(A452="","",COUNTIFS(RawData[[Article ]],A452,RawData[[Error Type ]],"Excess",RawData[Month List],TEXT($A$4, "mmmm yyyy")))</f>
        <v/>
      </c>
      <c r="F452" s="9" t="str">
        <f>IF(A452="","",SUMIFS(RawData[Qyt Affected ( EA ) ],RawData[[Article ]],A452,RawData[Month List],TEXT($A$4,"mmmm yyyy")))</f>
        <v/>
      </c>
    </row>
    <row r="453" spans="1:6" ht="15.75" x14ac:dyDescent="0.25">
      <c r="A453" s="40"/>
      <c r="B453" s="9" t="str">
        <f>IF(A453="","",INDEX(RawData[Description],MATCH(A453,RawData[[Article ]],0)))</f>
        <v/>
      </c>
      <c r="C453" s="9" t="str">
        <f>IF(A453="","",COUNTIFS(RawData[[Article ]],A453,RawData[Month List],TEXT($A$4,"mmmm yyyy")))</f>
        <v/>
      </c>
      <c r="D453" s="9" t="str">
        <f>IF(A453="","",COUNTIFS(RawData[[Article ]],A453,RawData[[Error Type ]],"Short",RawData[Month List],TEXT($A$4,"mmmm yyyy")))</f>
        <v/>
      </c>
      <c r="E453" s="9" t="str">
        <f>IF(A453="","",COUNTIFS(RawData[[Article ]],A453,RawData[[Error Type ]],"Excess",RawData[Month List],TEXT($A$4, "mmmm yyyy")))</f>
        <v/>
      </c>
      <c r="F453" s="9" t="str">
        <f>IF(A453="","",SUMIFS(RawData[Qyt Affected ( EA ) ],RawData[[Article ]],A453,RawData[Month List],TEXT($A$4,"mmmm yyyy")))</f>
        <v/>
      </c>
    </row>
    <row r="454" spans="1:6" ht="15.75" x14ac:dyDescent="0.25">
      <c r="A454" s="40"/>
      <c r="B454" s="9" t="str">
        <f>IF(A454="","",INDEX(RawData[Description],MATCH(A454,RawData[[Article ]],0)))</f>
        <v/>
      </c>
      <c r="C454" s="9" t="str">
        <f>IF(A454="","",COUNTIFS(RawData[[Article ]],A454,RawData[Month List],TEXT($A$4,"mmmm yyyy")))</f>
        <v/>
      </c>
      <c r="D454" s="9" t="str">
        <f>IF(A454="","",COUNTIFS(RawData[[Article ]],A454,RawData[[Error Type ]],"Short",RawData[Month List],TEXT($A$4,"mmmm yyyy")))</f>
        <v/>
      </c>
      <c r="E454" s="9" t="str">
        <f>IF(A454="","",COUNTIFS(RawData[[Article ]],A454,RawData[[Error Type ]],"Excess",RawData[Month List],TEXT($A$4, "mmmm yyyy")))</f>
        <v/>
      </c>
      <c r="F454" s="9" t="str">
        <f>IF(A454="","",SUMIFS(RawData[Qyt Affected ( EA ) ],RawData[[Article ]],A454,RawData[Month List],TEXT($A$4,"mmmm yyyy")))</f>
        <v/>
      </c>
    </row>
    <row r="455" spans="1:6" ht="15.75" x14ac:dyDescent="0.25">
      <c r="A455" s="40"/>
      <c r="B455" s="9" t="str">
        <f>IF(A455="","",INDEX(RawData[Description],MATCH(A455,RawData[[Article ]],0)))</f>
        <v/>
      </c>
      <c r="C455" s="9" t="str">
        <f>IF(A455="","",COUNTIFS(RawData[[Article ]],A455,RawData[Month List],TEXT($A$4,"mmmm yyyy")))</f>
        <v/>
      </c>
      <c r="D455" s="9" t="str">
        <f>IF(A455="","",COUNTIFS(RawData[[Article ]],A455,RawData[[Error Type ]],"Short",RawData[Month List],TEXT($A$4,"mmmm yyyy")))</f>
        <v/>
      </c>
      <c r="E455" s="9" t="str">
        <f>IF(A455="","",COUNTIFS(RawData[[Article ]],A455,RawData[[Error Type ]],"Excess",RawData[Month List],TEXT($A$4, "mmmm yyyy")))</f>
        <v/>
      </c>
      <c r="F455" s="9" t="str">
        <f>IF(A455="","",SUMIFS(RawData[Qyt Affected ( EA ) ],RawData[[Article ]],A455,RawData[Month List],TEXT($A$4,"mmmm yyyy")))</f>
        <v/>
      </c>
    </row>
    <row r="456" spans="1:6" ht="15.75" x14ac:dyDescent="0.25">
      <c r="A456" s="40"/>
      <c r="B456" s="9" t="str">
        <f>IF(A456="","",INDEX(RawData[Description],MATCH(A456,RawData[[Article ]],0)))</f>
        <v/>
      </c>
      <c r="C456" s="9" t="str">
        <f>IF(A456="","",COUNTIFS(RawData[[Article ]],A456,RawData[Month List],TEXT($A$4,"mmmm yyyy")))</f>
        <v/>
      </c>
      <c r="D456" s="9" t="str">
        <f>IF(A456="","",COUNTIFS(RawData[[Article ]],A456,RawData[[Error Type ]],"Short",RawData[Month List],TEXT($A$4,"mmmm yyyy")))</f>
        <v/>
      </c>
      <c r="E456" s="9" t="str">
        <f>IF(A456="","",COUNTIFS(RawData[[Article ]],A456,RawData[[Error Type ]],"Excess",RawData[Month List],TEXT($A$4, "mmmm yyyy")))</f>
        <v/>
      </c>
      <c r="F456" s="9" t="str">
        <f>IF(A456="","",SUMIFS(RawData[Qyt Affected ( EA ) ],RawData[[Article ]],A456,RawData[Month List],TEXT($A$4,"mmmm yyyy")))</f>
        <v/>
      </c>
    </row>
    <row r="457" spans="1:6" ht="15.75" x14ac:dyDescent="0.25">
      <c r="A457" s="40"/>
      <c r="B457" s="9" t="str">
        <f>IF(A457="","",INDEX(RawData[Description],MATCH(A457,RawData[[Article ]],0)))</f>
        <v/>
      </c>
      <c r="C457" s="9" t="str">
        <f>IF(A457="","",COUNTIFS(RawData[[Article ]],A457,RawData[Month List],TEXT($A$4,"mmmm yyyy")))</f>
        <v/>
      </c>
      <c r="D457" s="9" t="str">
        <f>IF(A457="","",COUNTIFS(RawData[[Article ]],A457,RawData[[Error Type ]],"Short",RawData[Month List],TEXT($A$4,"mmmm yyyy")))</f>
        <v/>
      </c>
      <c r="E457" s="9" t="str">
        <f>IF(A457="","",COUNTIFS(RawData[[Article ]],A457,RawData[[Error Type ]],"Excess",RawData[Month List],TEXT($A$4, "mmmm yyyy")))</f>
        <v/>
      </c>
      <c r="F457" s="9" t="str">
        <f>IF(A457="","",SUMIFS(RawData[Qyt Affected ( EA ) ],RawData[[Article ]],A457,RawData[Month List],TEXT($A$4,"mmmm yyyy")))</f>
        <v/>
      </c>
    </row>
    <row r="458" spans="1:6" ht="15.75" x14ac:dyDescent="0.25">
      <c r="A458" s="40"/>
      <c r="B458" s="9" t="str">
        <f>IF(A458="","",INDEX(RawData[Description],MATCH(A458,RawData[[Article ]],0)))</f>
        <v/>
      </c>
      <c r="C458" s="9" t="str">
        <f>IF(A458="","",COUNTIFS(RawData[[Article ]],A458,RawData[Month List],TEXT($A$4,"mmmm yyyy")))</f>
        <v/>
      </c>
      <c r="D458" s="9" t="str">
        <f>IF(A458="","",COUNTIFS(RawData[[Article ]],A458,RawData[[Error Type ]],"Short",RawData[Month List],TEXT($A$4,"mmmm yyyy")))</f>
        <v/>
      </c>
      <c r="E458" s="9" t="str">
        <f>IF(A458="","",COUNTIFS(RawData[[Article ]],A458,RawData[[Error Type ]],"Excess",RawData[Month List],TEXT($A$4, "mmmm yyyy")))</f>
        <v/>
      </c>
      <c r="F458" s="9" t="str">
        <f>IF(A458="","",SUMIFS(RawData[Qyt Affected ( EA ) ],RawData[[Article ]],A458,RawData[Month List],TEXT($A$4,"mmmm yyyy")))</f>
        <v/>
      </c>
    </row>
    <row r="459" spans="1:6" ht="15.75" x14ac:dyDescent="0.25">
      <c r="A459" s="40"/>
      <c r="B459" s="9" t="str">
        <f>IF(A459="","",INDEX(RawData[Description],MATCH(A459,RawData[[Article ]],0)))</f>
        <v/>
      </c>
      <c r="C459" s="9" t="str">
        <f>IF(A459="","",COUNTIFS(RawData[[Article ]],A459,RawData[Month List],TEXT($A$4,"mmmm yyyy")))</f>
        <v/>
      </c>
      <c r="D459" s="9" t="str">
        <f>IF(A459="","",COUNTIFS(RawData[[Article ]],A459,RawData[[Error Type ]],"Short",RawData[Month List],TEXT($A$4,"mmmm yyyy")))</f>
        <v/>
      </c>
      <c r="E459" s="9" t="str">
        <f>IF(A459="","",COUNTIFS(RawData[[Article ]],A459,RawData[[Error Type ]],"Excess",RawData[Month List],TEXT($A$4, "mmmm yyyy")))</f>
        <v/>
      </c>
      <c r="F459" s="9" t="str">
        <f>IF(A459="","",SUMIFS(RawData[Qyt Affected ( EA ) ],RawData[[Article ]],A459,RawData[Month List],TEXT($A$4,"mmmm yyyy")))</f>
        <v/>
      </c>
    </row>
    <row r="460" spans="1:6" ht="15.75" x14ac:dyDescent="0.25">
      <c r="A460" s="40"/>
      <c r="B460" s="9" t="str">
        <f>IF(A460="","",INDEX(RawData[Description],MATCH(A460,RawData[[Article ]],0)))</f>
        <v/>
      </c>
      <c r="C460" s="9" t="str">
        <f>IF(A460="","",COUNTIFS(RawData[[Article ]],A460,RawData[Month List],TEXT($A$4,"mmmm yyyy")))</f>
        <v/>
      </c>
      <c r="D460" s="9" t="str">
        <f>IF(A460="","",COUNTIFS(RawData[[Article ]],A460,RawData[[Error Type ]],"Short",RawData[Month List],TEXT($A$4,"mmmm yyyy")))</f>
        <v/>
      </c>
      <c r="E460" s="9" t="str">
        <f>IF(A460="","",COUNTIFS(RawData[[Article ]],A460,RawData[[Error Type ]],"Excess",RawData[Month List],TEXT($A$4, "mmmm yyyy")))</f>
        <v/>
      </c>
      <c r="F460" s="9" t="str">
        <f>IF(A460="","",SUMIFS(RawData[Qyt Affected ( EA ) ],RawData[[Article ]],A460,RawData[Month List],TEXT($A$4,"mmmm yyyy")))</f>
        <v/>
      </c>
    </row>
    <row r="461" spans="1:6" ht="15.75" x14ac:dyDescent="0.25">
      <c r="A461" s="40"/>
      <c r="B461" s="9" t="str">
        <f>IF(A461="","",INDEX(RawData[Description],MATCH(A461,RawData[[Article ]],0)))</f>
        <v/>
      </c>
      <c r="C461" s="9" t="str">
        <f>IF(A461="","",COUNTIFS(RawData[[Article ]],A461,RawData[Month List],TEXT($A$4,"mmmm yyyy")))</f>
        <v/>
      </c>
      <c r="D461" s="9" t="str">
        <f>IF(A461="","",COUNTIFS(RawData[[Article ]],A461,RawData[[Error Type ]],"Short",RawData[Month List],TEXT($A$4,"mmmm yyyy")))</f>
        <v/>
      </c>
      <c r="E461" s="9" t="str">
        <f>IF(A461="","",COUNTIFS(RawData[[Article ]],A461,RawData[[Error Type ]],"Excess",RawData[Month List],TEXT($A$4, "mmmm yyyy")))</f>
        <v/>
      </c>
      <c r="F461" s="9" t="str">
        <f>IF(A461="","",SUMIFS(RawData[Qyt Affected ( EA ) ],RawData[[Article ]],A461,RawData[Month List],TEXT($A$4,"mmmm yyyy")))</f>
        <v/>
      </c>
    </row>
    <row r="462" spans="1:6" ht="15.75" x14ac:dyDescent="0.25">
      <c r="A462" s="40"/>
      <c r="B462" s="9" t="str">
        <f>IF(A462="","",INDEX(RawData[Description],MATCH(A462,RawData[[Article ]],0)))</f>
        <v/>
      </c>
      <c r="C462" s="9" t="str">
        <f>IF(A462="","",COUNTIFS(RawData[[Article ]],A462,RawData[Month List],TEXT($A$4,"mmmm yyyy")))</f>
        <v/>
      </c>
      <c r="D462" s="9" t="str">
        <f>IF(A462="","",COUNTIFS(RawData[[Article ]],A462,RawData[[Error Type ]],"Short",RawData[Month List],TEXT($A$4,"mmmm yyyy")))</f>
        <v/>
      </c>
      <c r="E462" s="9" t="str">
        <f>IF(A462="","",COUNTIFS(RawData[[Article ]],A462,RawData[[Error Type ]],"Excess",RawData[Month List],TEXT($A$4, "mmmm yyyy")))</f>
        <v/>
      </c>
      <c r="F462" s="9" t="str">
        <f>IF(A462="","",SUMIFS(RawData[Qyt Affected ( EA ) ],RawData[[Article ]],A462,RawData[Month List],TEXT($A$4,"mmmm yyyy")))</f>
        <v/>
      </c>
    </row>
    <row r="463" spans="1:6" ht="15.75" x14ac:dyDescent="0.25">
      <c r="A463" s="40"/>
      <c r="B463" s="9" t="str">
        <f>IF(A463="","",INDEX(RawData[Description],MATCH(A463,RawData[[Article ]],0)))</f>
        <v/>
      </c>
      <c r="C463" s="9" t="str">
        <f>IF(A463="","",COUNTIFS(RawData[[Article ]],A463,RawData[Month List],TEXT($A$4,"mmmm yyyy")))</f>
        <v/>
      </c>
      <c r="D463" s="9" t="str">
        <f>IF(A463="","",COUNTIFS(RawData[[Article ]],A463,RawData[[Error Type ]],"Short",RawData[Month List],TEXT($A$4,"mmmm yyyy")))</f>
        <v/>
      </c>
      <c r="E463" s="9" t="str">
        <f>IF(A463="","",COUNTIFS(RawData[[Article ]],A463,RawData[[Error Type ]],"Excess",RawData[Month List],TEXT($A$4, "mmmm yyyy")))</f>
        <v/>
      </c>
      <c r="F463" s="9" t="str">
        <f>IF(A463="","",SUMIFS(RawData[Qyt Affected ( EA ) ],RawData[[Article ]],A463,RawData[Month List],TEXT($A$4,"mmmm yyyy")))</f>
        <v/>
      </c>
    </row>
    <row r="464" spans="1:6" ht="15.75" x14ac:dyDescent="0.25">
      <c r="A464" s="40"/>
      <c r="B464" s="9" t="str">
        <f>IF(A464="","",INDEX(RawData[Description],MATCH(A464,RawData[[Article ]],0)))</f>
        <v/>
      </c>
      <c r="C464" s="9" t="str">
        <f>IF(A464="","",COUNTIFS(RawData[[Article ]],A464,RawData[Month List],TEXT($A$4,"mmmm yyyy")))</f>
        <v/>
      </c>
      <c r="D464" s="9" t="str">
        <f>IF(A464="","",COUNTIFS(RawData[[Article ]],A464,RawData[[Error Type ]],"Short",RawData[Month List],TEXT($A$4,"mmmm yyyy")))</f>
        <v/>
      </c>
      <c r="E464" s="9" t="str">
        <f>IF(A464="","",COUNTIFS(RawData[[Article ]],A464,RawData[[Error Type ]],"Excess",RawData[Month List],TEXT($A$4, "mmmm yyyy")))</f>
        <v/>
      </c>
      <c r="F464" s="9" t="str">
        <f>IF(A464="","",SUMIFS(RawData[Qyt Affected ( EA ) ],RawData[[Article ]],A464,RawData[Month List],TEXT($A$4,"mmmm yyyy")))</f>
        <v/>
      </c>
    </row>
    <row r="465" spans="1:6" ht="15.75" x14ac:dyDescent="0.25">
      <c r="A465" s="40"/>
      <c r="B465" s="9" t="str">
        <f>IF(A465="","",INDEX(RawData[Description],MATCH(A465,RawData[[Article ]],0)))</f>
        <v/>
      </c>
      <c r="C465" s="9" t="str">
        <f>IF(A465="","",COUNTIFS(RawData[[Article ]],A465,RawData[Month List],TEXT($A$4,"mmmm yyyy")))</f>
        <v/>
      </c>
      <c r="D465" s="9" t="str">
        <f>IF(A465="","",COUNTIFS(RawData[[Article ]],A465,RawData[[Error Type ]],"Short",RawData[Month List],TEXT($A$4,"mmmm yyyy")))</f>
        <v/>
      </c>
      <c r="E465" s="9" t="str">
        <f>IF(A465="","",COUNTIFS(RawData[[Article ]],A465,RawData[[Error Type ]],"Excess",RawData[Month List],TEXT($A$4, "mmmm yyyy")))</f>
        <v/>
      </c>
      <c r="F465" s="9" t="str">
        <f>IF(A465="","",SUMIFS(RawData[Qyt Affected ( EA ) ],RawData[[Article ]],A465,RawData[Month List],TEXT($A$4,"mmmm yyyy")))</f>
        <v/>
      </c>
    </row>
    <row r="466" spans="1:6" ht="15.75" x14ac:dyDescent="0.25">
      <c r="A466" s="40"/>
      <c r="B466" s="9" t="str">
        <f>IF(A466="","",INDEX(RawData[Description],MATCH(A466,RawData[[Article ]],0)))</f>
        <v/>
      </c>
      <c r="C466" s="9" t="str">
        <f>IF(A466="","",COUNTIFS(RawData[[Article ]],A466,RawData[Month List],TEXT($A$4,"mmmm yyyy")))</f>
        <v/>
      </c>
      <c r="D466" s="9" t="str">
        <f>IF(A466="","",COUNTIFS(RawData[[Article ]],A466,RawData[[Error Type ]],"Short",RawData[Month List],TEXT($A$4,"mmmm yyyy")))</f>
        <v/>
      </c>
      <c r="E466" s="9" t="str">
        <f>IF(A466="","",COUNTIFS(RawData[[Article ]],A466,RawData[[Error Type ]],"Excess",RawData[Month List],TEXT($A$4, "mmmm yyyy")))</f>
        <v/>
      </c>
      <c r="F466" s="9" t="str">
        <f>IF(A466="","",SUMIFS(RawData[Qyt Affected ( EA ) ],RawData[[Article ]],A466,RawData[Month List],TEXT($A$4,"mmmm yyyy")))</f>
        <v/>
      </c>
    </row>
    <row r="467" spans="1:6" ht="15.75" x14ac:dyDescent="0.25">
      <c r="A467" s="40"/>
      <c r="B467" s="9" t="str">
        <f>IF(A467="","",INDEX(RawData[Description],MATCH(A467,RawData[[Article ]],0)))</f>
        <v/>
      </c>
      <c r="C467" s="9" t="str">
        <f>IF(A467="","",COUNTIFS(RawData[[Article ]],A467,RawData[Month List],TEXT($A$4,"mmmm yyyy")))</f>
        <v/>
      </c>
      <c r="D467" s="9" t="str">
        <f>IF(A467="","",COUNTIFS(RawData[[Article ]],A467,RawData[[Error Type ]],"Short",RawData[Month List],TEXT($A$4,"mmmm yyyy")))</f>
        <v/>
      </c>
      <c r="E467" s="9" t="str">
        <f>IF(A467="","",COUNTIFS(RawData[[Article ]],A467,RawData[[Error Type ]],"Excess",RawData[Month List],TEXT($A$4, "mmmm yyyy")))</f>
        <v/>
      </c>
      <c r="F467" s="9" t="str">
        <f>IF(A467="","",SUMIFS(RawData[Qyt Affected ( EA ) ],RawData[[Article ]],A467,RawData[Month List],TEXT($A$4,"mmmm yyyy")))</f>
        <v/>
      </c>
    </row>
    <row r="468" spans="1:6" ht="15.75" x14ac:dyDescent="0.25">
      <c r="A468" s="40"/>
      <c r="B468" s="9" t="str">
        <f>IF(A468="","",INDEX(RawData[Description],MATCH(A468,RawData[[Article ]],0)))</f>
        <v/>
      </c>
      <c r="C468" s="9" t="str">
        <f>IF(A468="","",COUNTIFS(RawData[[Article ]],A468,RawData[Month List],TEXT($A$4,"mmmm yyyy")))</f>
        <v/>
      </c>
      <c r="D468" s="9" t="str">
        <f>IF(A468="","",COUNTIFS(RawData[[Article ]],A468,RawData[[Error Type ]],"Short",RawData[Month List],TEXT($A$4,"mmmm yyyy")))</f>
        <v/>
      </c>
      <c r="E468" s="9" t="str">
        <f>IF(A468="","",COUNTIFS(RawData[[Article ]],A468,RawData[[Error Type ]],"Excess",RawData[Month List],TEXT($A$4, "mmmm yyyy")))</f>
        <v/>
      </c>
      <c r="F468" s="9" t="str">
        <f>IF(A468="","",SUMIFS(RawData[Qyt Affected ( EA ) ],RawData[[Article ]],A468,RawData[Month List],TEXT($A$4,"mmmm yyyy")))</f>
        <v/>
      </c>
    </row>
    <row r="469" spans="1:6" ht="15.75" x14ac:dyDescent="0.25">
      <c r="A469" s="40"/>
      <c r="B469" s="9" t="str">
        <f>IF(A469="","",INDEX(RawData[Description],MATCH(A469,RawData[[Article ]],0)))</f>
        <v/>
      </c>
      <c r="C469" s="9" t="str">
        <f>IF(A469="","",COUNTIFS(RawData[[Article ]],A469,RawData[Month List],TEXT($A$4,"mmmm yyyy")))</f>
        <v/>
      </c>
      <c r="D469" s="9" t="str">
        <f>IF(A469="","",COUNTIFS(RawData[[Article ]],A469,RawData[[Error Type ]],"Short",RawData[Month List],TEXT($A$4,"mmmm yyyy")))</f>
        <v/>
      </c>
      <c r="E469" s="9" t="str">
        <f>IF(A469="","",COUNTIFS(RawData[[Article ]],A469,RawData[[Error Type ]],"Excess",RawData[Month List],TEXT($A$4, "mmmm yyyy")))</f>
        <v/>
      </c>
      <c r="F469" s="9" t="str">
        <f>IF(A469="","",SUMIFS(RawData[Qyt Affected ( EA ) ],RawData[[Article ]],A469,RawData[Month List],TEXT($A$4,"mmmm yyyy")))</f>
        <v/>
      </c>
    </row>
    <row r="470" spans="1:6" ht="15.75" x14ac:dyDescent="0.25">
      <c r="A470" s="40"/>
      <c r="B470" s="9" t="str">
        <f>IF(A470="","",INDEX(RawData[Description],MATCH(A470,RawData[[Article ]],0)))</f>
        <v/>
      </c>
      <c r="C470" s="9" t="str">
        <f>IF(A470="","",COUNTIFS(RawData[[Article ]],A470,RawData[Month List],TEXT($A$4,"mmmm yyyy")))</f>
        <v/>
      </c>
      <c r="D470" s="9" t="str">
        <f>IF(A470="","",COUNTIFS(RawData[[Article ]],A470,RawData[[Error Type ]],"Short",RawData[Month List],TEXT($A$4,"mmmm yyyy")))</f>
        <v/>
      </c>
      <c r="E470" s="9" t="str">
        <f>IF(A470="","",COUNTIFS(RawData[[Article ]],A470,RawData[[Error Type ]],"Excess",RawData[Month List],TEXT($A$4, "mmmm yyyy")))</f>
        <v/>
      </c>
      <c r="F470" s="9" t="str">
        <f>IF(A470="","",SUMIFS(RawData[Qyt Affected ( EA ) ],RawData[[Article ]],A470,RawData[Month List],TEXT($A$4,"mmmm yyyy")))</f>
        <v/>
      </c>
    </row>
    <row r="471" spans="1:6" ht="15.75" x14ac:dyDescent="0.25">
      <c r="A471" s="40"/>
      <c r="B471" s="9" t="str">
        <f>IF(A471="","",INDEX(RawData[Description],MATCH(A471,RawData[[Article ]],0)))</f>
        <v/>
      </c>
      <c r="C471" s="9" t="str">
        <f>IF(A471="","",COUNTIFS(RawData[[Article ]],A471,RawData[Month List],TEXT($A$4,"mmmm yyyy")))</f>
        <v/>
      </c>
      <c r="D471" s="9" t="str">
        <f>IF(A471="","",COUNTIFS(RawData[[Article ]],A471,RawData[[Error Type ]],"Short",RawData[Month List],TEXT($A$4,"mmmm yyyy")))</f>
        <v/>
      </c>
      <c r="E471" s="9" t="str">
        <f>IF(A471="","",COUNTIFS(RawData[[Article ]],A471,RawData[[Error Type ]],"Excess",RawData[Month List],TEXT($A$4, "mmmm yyyy")))</f>
        <v/>
      </c>
      <c r="F471" s="9" t="str">
        <f>IF(A471="","",SUMIFS(RawData[Qyt Affected ( EA ) ],RawData[[Article ]],A471,RawData[Month List],TEXT($A$4,"mmmm yyyy")))</f>
        <v/>
      </c>
    </row>
    <row r="472" spans="1:6" ht="15.75" x14ac:dyDescent="0.25">
      <c r="A472" s="40"/>
      <c r="B472" s="9" t="str">
        <f>IF(A472="","",INDEX(RawData[Description],MATCH(A472,RawData[[Article ]],0)))</f>
        <v/>
      </c>
      <c r="C472" s="9" t="str">
        <f>IF(A472="","",COUNTIFS(RawData[[Article ]],A472,RawData[Month List],TEXT($A$4,"mmmm yyyy")))</f>
        <v/>
      </c>
      <c r="D472" s="9" t="str">
        <f>IF(A472="","",COUNTIFS(RawData[[Article ]],A472,RawData[[Error Type ]],"Short",RawData[Month List],TEXT($A$4,"mmmm yyyy")))</f>
        <v/>
      </c>
      <c r="E472" s="9" t="str">
        <f>IF(A472="","",COUNTIFS(RawData[[Article ]],A472,RawData[[Error Type ]],"Excess",RawData[Month List],TEXT($A$4, "mmmm yyyy")))</f>
        <v/>
      </c>
      <c r="F472" s="9" t="str">
        <f>IF(A472="","",SUMIFS(RawData[Qyt Affected ( EA ) ],RawData[[Article ]],A472,RawData[Month List],TEXT($A$4,"mmmm yyyy")))</f>
        <v/>
      </c>
    </row>
    <row r="473" spans="1:6" ht="15.75" x14ac:dyDescent="0.25">
      <c r="A473" s="40"/>
      <c r="B473" s="9" t="str">
        <f>IF(A473="","",INDEX(RawData[Description],MATCH(A473,RawData[[Article ]],0)))</f>
        <v/>
      </c>
      <c r="C473" s="9" t="str">
        <f>IF(A473="","",COUNTIFS(RawData[[Article ]],A473,RawData[Month List],TEXT($A$4,"mmmm yyyy")))</f>
        <v/>
      </c>
      <c r="D473" s="9" t="str">
        <f>IF(A473="","",COUNTIFS(RawData[[Article ]],A473,RawData[[Error Type ]],"Short",RawData[Month List],TEXT($A$4,"mmmm yyyy")))</f>
        <v/>
      </c>
      <c r="E473" s="9" t="str">
        <f>IF(A473="","",COUNTIFS(RawData[[Article ]],A473,RawData[[Error Type ]],"Excess",RawData[Month List],TEXT($A$4, "mmmm yyyy")))</f>
        <v/>
      </c>
      <c r="F473" s="9" t="str">
        <f>IF(A473="","",SUMIFS(RawData[Qyt Affected ( EA ) ],RawData[[Article ]],A473,RawData[Month List],TEXT($A$4,"mmmm yyyy")))</f>
        <v/>
      </c>
    </row>
    <row r="474" spans="1:6" ht="15.75" x14ac:dyDescent="0.25">
      <c r="A474" s="40"/>
      <c r="B474" s="9" t="str">
        <f>IF(A474="","",INDEX(RawData[Description],MATCH(A474,RawData[[Article ]],0)))</f>
        <v/>
      </c>
      <c r="C474" s="9" t="str">
        <f>IF(A474="","",COUNTIFS(RawData[[Article ]],A474,RawData[Month List],TEXT($A$4,"mmmm yyyy")))</f>
        <v/>
      </c>
      <c r="D474" s="9" t="str">
        <f>IF(A474="","",COUNTIFS(RawData[[Article ]],A474,RawData[[Error Type ]],"Short",RawData[Month List],TEXT($A$4,"mmmm yyyy")))</f>
        <v/>
      </c>
      <c r="E474" s="9" t="str">
        <f>IF(A474="","",COUNTIFS(RawData[[Article ]],A474,RawData[[Error Type ]],"Excess",RawData[Month List],TEXT($A$4, "mmmm yyyy")))</f>
        <v/>
      </c>
      <c r="F474" s="9" t="str">
        <f>IF(A474="","",SUMIFS(RawData[Qyt Affected ( EA ) ],RawData[[Article ]],A474,RawData[Month List],TEXT($A$4,"mmmm yyyy")))</f>
        <v/>
      </c>
    </row>
    <row r="475" spans="1:6" ht="15.75" x14ac:dyDescent="0.25">
      <c r="A475" s="40"/>
      <c r="B475" s="9" t="str">
        <f>IF(A475="","",INDEX(RawData[Description],MATCH(A475,RawData[[Article ]],0)))</f>
        <v/>
      </c>
      <c r="C475" s="9" t="str">
        <f>IF(A475="","",COUNTIFS(RawData[[Article ]],A475,RawData[Month List],TEXT($A$4,"mmmm yyyy")))</f>
        <v/>
      </c>
      <c r="D475" s="9" t="str">
        <f>IF(A475="","",COUNTIFS(RawData[[Article ]],A475,RawData[[Error Type ]],"Short",RawData[Month List],TEXT($A$4,"mmmm yyyy")))</f>
        <v/>
      </c>
      <c r="E475" s="9" t="str">
        <f>IF(A475="","",COUNTIFS(RawData[[Article ]],A475,RawData[[Error Type ]],"Excess",RawData[Month List],TEXT($A$4, "mmmm yyyy")))</f>
        <v/>
      </c>
      <c r="F475" s="9" t="str">
        <f>IF(A475="","",SUMIFS(RawData[Qyt Affected ( EA ) ],RawData[[Article ]],A475,RawData[Month List],TEXT($A$4,"mmmm yyyy")))</f>
        <v/>
      </c>
    </row>
    <row r="476" spans="1:6" ht="15.75" x14ac:dyDescent="0.25">
      <c r="A476" s="40"/>
      <c r="B476" s="9" t="str">
        <f>IF(A476="","",INDEX(RawData[Description],MATCH(A476,RawData[[Article ]],0)))</f>
        <v/>
      </c>
      <c r="C476" s="9" t="str">
        <f>IF(A476="","",COUNTIFS(RawData[[Article ]],A476,RawData[Month List],TEXT($A$4,"mmmm yyyy")))</f>
        <v/>
      </c>
      <c r="D476" s="9" t="str">
        <f>IF(A476="","",COUNTIFS(RawData[[Article ]],A476,RawData[[Error Type ]],"Short",RawData[Month List],TEXT($A$4,"mmmm yyyy")))</f>
        <v/>
      </c>
      <c r="E476" s="9" t="str">
        <f>IF(A476="","",COUNTIFS(RawData[[Article ]],A476,RawData[[Error Type ]],"Excess",RawData[Month List],TEXT($A$4, "mmmm yyyy")))</f>
        <v/>
      </c>
      <c r="F476" s="9" t="str">
        <f>IF(A476="","",SUMIFS(RawData[Qyt Affected ( EA ) ],RawData[[Article ]],A476,RawData[Month List],TEXT($A$4,"mmmm yyyy")))</f>
        <v/>
      </c>
    </row>
    <row r="477" spans="1:6" ht="15.75" x14ac:dyDescent="0.25">
      <c r="A477" s="40"/>
      <c r="B477" s="9" t="str">
        <f>IF(A477="","",INDEX(RawData[Description],MATCH(A477,RawData[[Article ]],0)))</f>
        <v/>
      </c>
      <c r="C477" s="9" t="str">
        <f>IF(A477="","",COUNTIFS(RawData[[Article ]],A477,RawData[Month List],TEXT($A$4,"mmmm yyyy")))</f>
        <v/>
      </c>
      <c r="D477" s="9" t="str">
        <f>IF(A477="","",COUNTIFS(RawData[[Article ]],A477,RawData[[Error Type ]],"Short",RawData[Month List],TEXT($A$4,"mmmm yyyy")))</f>
        <v/>
      </c>
      <c r="E477" s="9" t="str">
        <f>IF(A477="","",COUNTIFS(RawData[[Article ]],A477,RawData[[Error Type ]],"Excess",RawData[Month List],TEXT($A$4, "mmmm yyyy")))</f>
        <v/>
      </c>
      <c r="F477" s="9" t="str">
        <f>IF(A477="","",SUMIFS(RawData[Qyt Affected ( EA ) ],RawData[[Article ]],A477,RawData[Month List],TEXT($A$4,"mmmm yyyy")))</f>
        <v/>
      </c>
    </row>
    <row r="478" spans="1:6" ht="15.75" x14ac:dyDescent="0.25">
      <c r="A478" s="40"/>
      <c r="B478" s="9" t="str">
        <f>IF(A478="","",INDEX(RawData[Description],MATCH(A478,RawData[[Article ]],0)))</f>
        <v/>
      </c>
      <c r="C478" s="9" t="str">
        <f>IF(A478="","",COUNTIFS(RawData[[Article ]],A478,RawData[Month List],TEXT($A$4,"mmmm yyyy")))</f>
        <v/>
      </c>
      <c r="D478" s="9" t="str">
        <f>IF(A478="","",COUNTIFS(RawData[[Article ]],A478,RawData[[Error Type ]],"Short",RawData[Month List],TEXT($A$4,"mmmm yyyy")))</f>
        <v/>
      </c>
      <c r="E478" s="9" t="str">
        <f>IF(A478="","",COUNTIFS(RawData[[Article ]],A478,RawData[[Error Type ]],"Excess",RawData[Month List],TEXT($A$4, "mmmm yyyy")))</f>
        <v/>
      </c>
      <c r="F478" s="9" t="str">
        <f>IF(A478="","",SUMIFS(RawData[Qyt Affected ( EA ) ],RawData[[Article ]],A478,RawData[Month List],TEXT($A$4,"mmmm yyyy")))</f>
        <v/>
      </c>
    </row>
    <row r="479" spans="1:6" ht="15.75" x14ac:dyDescent="0.25">
      <c r="A479" s="40"/>
      <c r="B479" s="9" t="str">
        <f>IF(A479="","",INDEX(RawData[Description],MATCH(A479,RawData[[Article ]],0)))</f>
        <v/>
      </c>
      <c r="C479" s="9" t="str">
        <f>IF(A479="","",COUNTIFS(RawData[[Article ]],A479,RawData[Month List],TEXT($A$4,"mmmm yyyy")))</f>
        <v/>
      </c>
      <c r="D479" s="9" t="str">
        <f>IF(A479="","",COUNTIFS(RawData[[Article ]],A479,RawData[[Error Type ]],"Short",RawData[Month List],TEXT($A$4,"mmmm yyyy")))</f>
        <v/>
      </c>
      <c r="E479" s="9" t="str">
        <f>IF(A479="","",COUNTIFS(RawData[[Article ]],A479,RawData[[Error Type ]],"Excess",RawData[Month List],TEXT($A$4, "mmmm yyyy")))</f>
        <v/>
      </c>
      <c r="F479" s="9" t="str">
        <f>IF(A479="","",SUMIFS(RawData[Qyt Affected ( EA ) ],RawData[[Article ]],A479,RawData[Month List],TEXT($A$4,"mmmm yyyy")))</f>
        <v/>
      </c>
    </row>
    <row r="480" spans="1:6" ht="15.75" x14ac:dyDescent="0.25">
      <c r="A480" s="40"/>
      <c r="B480" s="9" t="str">
        <f>IF(A480="","",INDEX(RawData[Description],MATCH(A480,RawData[[Article ]],0)))</f>
        <v/>
      </c>
      <c r="C480" s="9" t="str">
        <f>IF(A480="","",COUNTIFS(RawData[[Article ]],A480,RawData[Month List],TEXT($A$4,"mmmm yyyy")))</f>
        <v/>
      </c>
      <c r="D480" s="9" t="str">
        <f>IF(A480="","",COUNTIFS(RawData[[Article ]],A480,RawData[[Error Type ]],"Short",RawData[Month List],TEXT($A$4,"mmmm yyyy")))</f>
        <v/>
      </c>
      <c r="E480" s="9" t="str">
        <f>IF(A480="","",COUNTIFS(RawData[[Article ]],A480,RawData[[Error Type ]],"Excess",RawData[Month List],TEXT($A$4, "mmmm yyyy")))</f>
        <v/>
      </c>
      <c r="F480" s="9" t="str">
        <f>IF(A480="","",SUMIFS(RawData[Qyt Affected ( EA ) ],RawData[[Article ]],A480,RawData[Month List],TEXT($A$4,"mmmm yyyy")))</f>
        <v/>
      </c>
    </row>
    <row r="481" spans="1:6" ht="15.75" x14ac:dyDescent="0.25">
      <c r="A481" s="40"/>
      <c r="B481" s="9" t="str">
        <f>IF(A481="","",INDEX(RawData[Description],MATCH(A481,RawData[[Article ]],0)))</f>
        <v/>
      </c>
      <c r="C481" s="9" t="str">
        <f>IF(A481="","",COUNTIFS(RawData[[Article ]],A481,RawData[Month List],TEXT($A$4,"mmmm yyyy")))</f>
        <v/>
      </c>
      <c r="D481" s="9" t="str">
        <f>IF(A481="","",COUNTIFS(RawData[[Article ]],A481,RawData[[Error Type ]],"Short",RawData[Month List],TEXT($A$4,"mmmm yyyy")))</f>
        <v/>
      </c>
      <c r="E481" s="9" t="str">
        <f>IF(A481="","",COUNTIFS(RawData[[Article ]],A481,RawData[[Error Type ]],"Excess",RawData[Month List],TEXT($A$4, "mmmm yyyy")))</f>
        <v/>
      </c>
      <c r="F481" s="9" t="str">
        <f>IF(A481="","",SUMIFS(RawData[Qyt Affected ( EA ) ],RawData[[Article ]],A481,RawData[Month List],TEXT($A$4,"mmmm yyyy")))</f>
        <v/>
      </c>
    </row>
    <row r="482" spans="1:6" ht="15.75" x14ac:dyDescent="0.25">
      <c r="A482" s="40"/>
      <c r="B482" s="9" t="str">
        <f>IF(A482="","",INDEX(RawData[Description],MATCH(A482,RawData[[Article ]],0)))</f>
        <v/>
      </c>
      <c r="C482" s="9" t="str">
        <f>IF(A482="","",COUNTIFS(RawData[[Article ]],A482,RawData[Month List],TEXT($A$4,"mmmm yyyy")))</f>
        <v/>
      </c>
      <c r="D482" s="9" t="str">
        <f>IF(A482="","",COUNTIFS(RawData[[Article ]],A482,RawData[[Error Type ]],"Short",RawData[Month List],TEXT($A$4,"mmmm yyyy")))</f>
        <v/>
      </c>
      <c r="E482" s="9" t="str">
        <f>IF(A482="","",COUNTIFS(RawData[[Article ]],A482,RawData[[Error Type ]],"Excess",RawData[Month List],TEXT($A$4, "mmmm yyyy")))</f>
        <v/>
      </c>
      <c r="F482" s="9" t="str">
        <f>IF(A482="","",SUMIFS(RawData[Qyt Affected ( EA ) ],RawData[[Article ]],A482,RawData[Month List],TEXT($A$4,"mmmm yyyy")))</f>
        <v/>
      </c>
    </row>
    <row r="483" spans="1:6" ht="15.75" x14ac:dyDescent="0.25">
      <c r="A483" s="40"/>
      <c r="B483" s="9" t="str">
        <f>IF(A483="","",INDEX(RawData[Description],MATCH(A483,RawData[[Article ]],0)))</f>
        <v/>
      </c>
      <c r="C483" s="9" t="str">
        <f>IF(A483="","",COUNTIFS(RawData[[Article ]],A483,RawData[Month List],TEXT($A$4,"mmmm yyyy")))</f>
        <v/>
      </c>
      <c r="D483" s="9" t="str">
        <f>IF(A483="","",COUNTIFS(RawData[[Article ]],A483,RawData[[Error Type ]],"Short",RawData[Month List],TEXT($A$4,"mmmm yyyy")))</f>
        <v/>
      </c>
      <c r="E483" s="9" t="str">
        <f>IF(A483="","",COUNTIFS(RawData[[Article ]],A483,RawData[[Error Type ]],"Excess",RawData[Month List],TEXT($A$4, "mmmm yyyy")))</f>
        <v/>
      </c>
      <c r="F483" s="9" t="str">
        <f>IF(A483="","",SUMIFS(RawData[Qyt Affected ( EA ) ],RawData[[Article ]],A483,RawData[Month List],TEXT($A$4,"mmmm yyyy")))</f>
        <v/>
      </c>
    </row>
    <row r="484" spans="1:6" ht="15.75" x14ac:dyDescent="0.25">
      <c r="A484" s="40"/>
      <c r="B484" s="9" t="str">
        <f>IF(A484="","",INDEX(RawData[Description],MATCH(A484,RawData[[Article ]],0)))</f>
        <v/>
      </c>
      <c r="C484" s="9" t="str">
        <f>IF(A484="","",COUNTIFS(RawData[[Article ]],A484,RawData[Month List],TEXT($A$4,"mmmm yyyy")))</f>
        <v/>
      </c>
      <c r="D484" s="9" t="str">
        <f>IF(A484="","",COUNTIFS(RawData[[Article ]],A484,RawData[[Error Type ]],"Short",RawData[Month List],TEXT($A$4,"mmmm yyyy")))</f>
        <v/>
      </c>
      <c r="E484" s="9" t="str">
        <f>IF(A484="","",COUNTIFS(RawData[[Article ]],A484,RawData[[Error Type ]],"Excess",RawData[Month List],TEXT($A$4, "mmmm yyyy")))</f>
        <v/>
      </c>
      <c r="F484" s="9" t="str">
        <f>IF(A484="","",SUMIFS(RawData[Qyt Affected ( EA ) ],RawData[[Article ]],A484,RawData[Month List],TEXT($A$4,"mmmm yyyy")))</f>
        <v/>
      </c>
    </row>
    <row r="485" spans="1:6" ht="15.75" x14ac:dyDescent="0.25">
      <c r="A485" s="40"/>
      <c r="B485" s="9" t="str">
        <f>IF(A485="","",INDEX(RawData[Description],MATCH(A485,RawData[[Article ]],0)))</f>
        <v/>
      </c>
      <c r="C485" s="9" t="str">
        <f>IF(A485="","",COUNTIFS(RawData[[Article ]],A485,RawData[Month List],TEXT($A$4,"mmmm yyyy")))</f>
        <v/>
      </c>
      <c r="D485" s="9" t="str">
        <f>IF(A485="","",COUNTIFS(RawData[[Article ]],A485,RawData[[Error Type ]],"Short",RawData[Month List],TEXT($A$4,"mmmm yyyy")))</f>
        <v/>
      </c>
      <c r="E485" s="9" t="str">
        <f>IF(A485="","",COUNTIFS(RawData[[Article ]],A485,RawData[[Error Type ]],"Excess",RawData[Month List],TEXT($A$4, "mmmm yyyy")))</f>
        <v/>
      </c>
      <c r="F485" s="9" t="str">
        <f>IF(A485="","",SUMIFS(RawData[Qyt Affected ( EA ) ],RawData[[Article ]],A485,RawData[Month List],TEXT($A$4,"mmmm yyyy")))</f>
        <v/>
      </c>
    </row>
    <row r="486" spans="1:6" ht="15.75" x14ac:dyDescent="0.25">
      <c r="A486" s="40"/>
      <c r="B486" s="9" t="str">
        <f>IF(A486="","",INDEX(RawData[Description],MATCH(A486,RawData[[Article ]],0)))</f>
        <v/>
      </c>
      <c r="C486" s="9" t="str">
        <f>IF(A486="","",COUNTIFS(RawData[[Article ]],A486,RawData[Month List],TEXT($A$4,"mmmm yyyy")))</f>
        <v/>
      </c>
      <c r="D486" s="9" t="str">
        <f>IF(A486="","",COUNTIFS(RawData[[Article ]],A486,RawData[[Error Type ]],"Short",RawData[Month List],TEXT($A$4,"mmmm yyyy")))</f>
        <v/>
      </c>
      <c r="E486" s="9" t="str">
        <f>IF(A486="","",COUNTIFS(RawData[[Article ]],A486,RawData[[Error Type ]],"Excess",RawData[Month List],TEXT($A$4, "mmmm yyyy")))</f>
        <v/>
      </c>
      <c r="F486" s="9" t="str">
        <f>IF(A486="","",SUMIFS(RawData[Qyt Affected ( EA ) ],RawData[[Article ]],A486,RawData[Month List],TEXT($A$4,"mmmm yyyy")))</f>
        <v/>
      </c>
    </row>
    <row r="487" spans="1:6" ht="15.75" x14ac:dyDescent="0.25">
      <c r="A487" s="40"/>
      <c r="B487" s="9" t="str">
        <f>IF(A487="","",INDEX(RawData[Description],MATCH(A487,RawData[[Article ]],0)))</f>
        <v/>
      </c>
      <c r="C487" s="9" t="str">
        <f>IF(A487="","",COUNTIFS(RawData[[Article ]],A487,RawData[Month List],TEXT($A$4,"mmmm yyyy")))</f>
        <v/>
      </c>
      <c r="D487" s="9" t="str">
        <f>IF(A487="","",COUNTIFS(RawData[[Article ]],A487,RawData[[Error Type ]],"Short",RawData[Month List],TEXT($A$4,"mmmm yyyy")))</f>
        <v/>
      </c>
      <c r="E487" s="9" t="str">
        <f>IF(A487="","",COUNTIFS(RawData[[Article ]],A487,RawData[[Error Type ]],"Excess",RawData[Month List],TEXT($A$4, "mmmm yyyy")))</f>
        <v/>
      </c>
      <c r="F487" s="9" t="str">
        <f>IF(A487="","",SUMIFS(RawData[Qyt Affected ( EA ) ],RawData[[Article ]],A487,RawData[Month List],TEXT($A$4,"mmmm yyyy")))</f>
        <v/>
      </c>
    </row>
    <row r="488" spans="1:6" ht="15.75" x14ac:dyDescent="0.25">
      <c r="A488" s="40"/>
      <c r="B488" s="9" t="str">
        <f>IF(A488="","",INDEX(RawData[Description],MATCH(A488,RawData[[Article ]],0)))</f>
        <v/>
      </c>
      <c r="C488" s="9" t="str">
        <f>IF(A488="","",COUNTIFS(RawData[[Article ]],A488,RawData[Month List],TEXT($A$4,"mmmm yyyy")))</f>
        <v/>
      </c>
      <c r="D488" s="9" t="str">
        <f>IF(A488="","",COUNTIFS(RawData[[Article ]],A488,RawData[[Error Type ]],"Short",RawData[Month List],TEXT($A$4,"mmmm yyyy")))</f>
        <v/>
      </c>
      <c r="E488" s="9" t="str">
        <f>IF(A488="","",COUNTIFS(RawData[[Article ]],A488,RawData[[Error Type ]],"Excess",RawData[Month List],TEXT($A$4, "mmmm yyyy")))</f>
        <v/>
      </c>
      <c r="F488" s="9" t="str">
        <f>IF(A488="","",SUMIFS(RawData[Qyt Affected ( EA ) ],RawData[[Article ]],A488,RawData[Month List],TEXT($A$4,"mmmm yyyy")))</f>
        <v/>
      </c>
    </row>
    <row r="489" spans="1:6" ht="15.75" x14ac:dyDescent="0.25">
      <c r="A489" s="40"/>
      <c r="B489" s="9" t="str">
        <f>IF(A489="","",INDEX(RawData[Description],MATCH(A489,RawData[[Article ]],0)))</f>
        <v/>
      </c>
      <c r="C489" s="9" t="str">
        <f>IF(A489="","",COUNTIFS(RawData[[Article ]],A489,RawData[Month List],TEXT($A$4,"mmmm yyyy")))</f>
        <v/>
      </c>
      <c r="D489" s="9" t="str">
        <f>IF(A489="","",COUNTIFS(RawData[[Article ]],A489,RawData[[Error Type ]],"Short",RawData[Month List],TEXT($A$4,"mmmm yyyy")))</f>
        <v/>
      </c>
      <c r="E489" s="9" t="str">
        <f>IF(A489="","",COUNTIFS(RawData[[Article ]],A489,RawData[[Error Type ]],"Excess",RawData[Month List],TEXT($A$4, "mmmm yyyy")))</f>
        <v/>
      </c>
      <c r="F489" s="9" t="str">
        <f>IF(A489="","",SUMIFS(RawData[Qyt Affected ( EA ) ],RawData[[Article ]],A489,RawData[Month List],TEXT($A$4,"mmmm yyyy")))</f>
        <v/>
      </c>
    </row>
    <row r="490" spans="1:6" ht="15.75" x14ac:dyDescent="0.25">
      <c r="A490" s="40"/>
      <c r="B490" s="9" t="str">
        <f>IF(A490="","",INDEX(RawData[Description],MATCH(A490,RawData[[Article ]],0)))</f>
        <v/>
      </c>
      <c r="C490" s="9" t="str">
        <f>IF(A490="","",COUNTIFS(RawData[[Article ]],A490,RawData[Month List],TEXT($A$4,"mmmm yyyy")))</f>
        <v/>
      </c>
      <c r="D490" s="9" t="str">
        <f>IF(A490="","",COUNTIFS(RawData[[Article ]],A490,RawData[[Error Type ]],"Short",RawData[Month List],TEXT($A$4,"mmmm yyyy")))</f>
        <v/>
      </c>
      <c r="E490" s="9" t="str">
        <f>IF(A490="","",COUNTIFS(RawData[[Article ]],A490,RawData[[Error Type ]],"Excess",RawData[Month List],TEXT($A$4, "mmmm yyyy")))</f>
        <v/>
      </c>
      <c r="F490" s="9" t="str">
        <f>IF(A490="","",SUMIFS(RawData[Qyt Affected ( EA ) ],RawData[[Article ]],A490,RawData[Month List],TEXT($A$4,"mmmm yyyy")))</f>
        <v/>
      </c>
    </row>
    <row r="491" spans="1:6" ht="15.75" x14ac:dyDescent="0.25">
      <c r="A491" s="40"/>
      <c r="B491" s="9" t="str">
        <f>IF(A491="","",INDEX(RawData[Description],MATCH(A491,RawData[[Article ]],0)))</f>
        <v/>
      </c>
      <c r="C491" s="9" t="str">
        <f>IF(A491="","",COUNTIFS(RawData[[Article ]],A491,RawData[Month List],TEXT($A$4,"mmmm yyyy")))</f>
        <v/>
      </c>
      <c r="D491" s="9" t="str">
        <f>IF(A491="","",COUNTIFS(RawData[[Article ]],A491,RawData[[Error Type ]],"Short",RawData[Month List],TEXT($A$4,"mmmm yyyy")))</f>
        <v/>
      </c>
      <c r="E491" s="9" t="str">
        <f>IF(A491="","",COUNTIFS(RawData[[Article ]],A491,RawData[[Error Type ]],"Excess",RawData[Month List],TEXT($A$4, "mmmm yyyy")))</f>
        <v/>
      </c>
      <c r="F491" s="9" t="str">
        <f>IF(A491="","",SUMIFS(RawData[Qyt Affected ( EA ) ],RawData[[Article ]],A491,RawData[Month List],TEXT($A$4,"mmmm yyyy")))</f>
        <v/>
      </c>
    </row>
    <row r="492" spans="1:6" ht="15.75" x14ac:dyDescent="0.25">
      <c r="A492" s="40"/>
      <c r="B492" s="9" t="str">
        <f>IF(A492="","",INDEX(RawData[Description],MATCH(A492,RawData[[Article ]],0)))</f>
        <v/>
      </c>
      <c r="C492" s="9" t="str">
        <f>IF(A492="","",COUNTIFS(RawData[[Article ]],A492,RawData[Month List],TEXT($A$4,"mmmm yyyy")))</f>
        <v/>
      </c>
      <c r="D492" s="9" t="str">
        <f>IF(A492="","",COUNTIFS(RawData[[Article ]],A492,RawData[[Error Type ]],"Short",RawData[Month List],TEXT($A$4,"mmmm yyyy")))</f>
        <v/>
      </c>
      <c r="E492" s="9" t="str">
        <f>IF(A492="","",COUNTIFS(RawData[[Article ]],A492,RawData[[Error Type ]],"Excess",RawData[Month List],TEXT($A$4, "mmmm yyyy")))</f>
        <v/>
      </c>
      <c r="F492" s="9" t="str">
        <f>IF(A492="","",SUMIFS(RawData[Qyt Affected ( EA ) ],RawData[[Article ]],A492,RawData[Month List],TEXT($A$4,"mmmm yyyy")))</f>
        <v/>
      </c>
    </row>
    <row r="493" spans="1:6" ht="15.75" x14ac:dyDescent="0.25">
      <c r="A493" s="40"/>
      <c r="B493" s="9" t="str">
        <f>IF(A493="","",INDEX(RawData[Description],MATCH(A493,RawData[[Article ]],0)))</f>
        <v/>
      </c>
      <c r="C493" s="9" t="str">
        <f>IF(A493="","",COUNTIFS(RawData[[Article ]],A493,RawData[Month List],TEXT($A$4,"mmmm yyyy")))</f>
        <v/>
      </c>
      <c r="D493" s="9" t="str">
        <f>IF(A493="","",COUNTIFS(RawData[[Article ]],A493,RawData[[Error Type ]],"Short",RawData[Month List],TEXT($A$4,"mmmm yyyy")))</f>
        <v/>
      </c>
      <c r="E493" s="9" t="str">
        <f>IF(A493="","",COUNTIFS(RawData[[Article ]],A493,RawData[[Error Type ]],"Excess",RawData[Month List],TEXT($A$4, "mmmm yyyy")))</f>
        <v/>
      </c>
      <c r="F493" s="9" t="str">
        <f>IF(A493="","",SUMIFS(RawData[Qyt Affected ( EA ) ],RawData[[Article ]],A493,RawData[Month List],TEXT($A$4,"mmmm yyyy")))</f>
        <v/>
      </c>
    </row>
    <row r="494" spans="1:6" ht="15.75" x14ac:dyDescent="0.25">
      <c r="A494" s="40"/>
      <c r="B494" s="9" t="str">
        <f>IF(A494="","",INDEX(RawData[Description],MATCH(A494,RawData[[Article ]],0)))</f>
        <v/>
      </c>
      <c r="C494" s="9" t="str">
        <f>IF(A494="","",COUNTIFS(RawData[[Article ]],A494,RawData[Month List],TEXT($A$4,"mmmm yyyy")))</f>
        <v/>
      </c>
      <c r="D494" s="9" t="str">
        <f>IF(A494="","",COUNTIFS(RawData[[Article ]],A494,RawData[[Error Type ]],"Short",RawData[Month List],TEXT($A$4,"mmmm yyyy")))</f>
        <v/>
      </c>
      <c r="E494" s="9" t="str">
        <f>IF(A494="","",COUNTIFS(RawData[[Article ]],A494,RawData[[Error Type ]],"Excess",RawData[Month List],TEXT($A$4, "mmmm yyyy")))</f>
        <v/>
      </c>
      <c r="F494" s="9" t="str">
        <f>IF(A494="","",SUMIFS(RawData[Qyt Affected ( EA ) ],RawData[[Article ]],A494,RawData[Month List],TEXT($A$4,"mmmm yyyy")))</f>
        <v/>
      </c>
    </row>
    <row r="495" spans="1:6" ht="15.75" x14ac:dyDescent="0.25">
      <c r="A495" s="40"/>
      <c r="B495" s="9" t="str">
        <f>IF(A495="","",INDEX(RawData[Description],MATCH(A495,RawData[[Article ]],0)))</f>
        <v/>
      </c>
      <c r="C495" s="9" t="str">
        <f>IF(A495="","",COUNTIFS(RawData[[Article ]],A495,RawData[Month List],TEXT($A$4,"mmmm yyyy")))</f>
        <v/>
      </c>
      <c r="D495" s="9" t="str">
        <f>IF(A495="","",COUNTIFS(RawData[[Article ]],A495,RawData[[Error Type ]],"Short",RawData[Month List],TEXT($A$4,"mmmm yyyy")))</f>
        <v/>
      </c>
      <c r="E495" s="9" t="str">
        <f>IF(A495="","",COUNTIFS(RawData[[Article ]],A495,RawData[[Error Type ]],"Excess",RawData[Month List],TEXT($A$4, "mmmm yyyy")))</f>
        <v/>
      </c>
      <c r="F495" s="9" t="str">
        <f>IF(A495="","",SUMIFS(RawData[Qyt Affected ( EA ) ],RawData[[Article ]],A495,RawData[Month List],TEXT($A$4,"mmmm yyyy")))</f>
        <v/>
      </c>
    </row>
    <row r="496" spans="1:6" ht="15.75" x14ac:dyDescent="0.25">
      <c r="A496" s="40"/>
      <c r="B496" s="9" t="str">
        <f>IF(A496="","",INDEX(RawData[Description],MATCH(A496,RawData[[Article ]],0)))</f>
        <v/>
      </c>
      <c r="C496" s="9" t="str">
        <f>IF(A496="","",COUNTIFS(RawData[[Article ]],A496,RawData[Month List],TEXT($A$4,"mmmm yyyy")))</f>
        <v/>
      </c>
      <c r="D496" s="9" t="str">
        <f>IF(A496="","",COUNTIFS(RawData[[Article ]],A496,RawData[[Error Type ]],"Short",RawData[Month List],TEXT($A$4,"mmmm yyyy")))</f>
        <v/>
      </c>
      <c r="E496" s="9" t="str">
        <f>IF(A496="","",COUNTIFS(RawData[[Article ]],A496,RawData[[Error Type ]],"Excess",RawData[Month List],TEXT($A$4, "mmmm yyyy")))</f>
        <v/>
      </c>
      <c r="F496" s="9" t="str">
        <f>IF(A496="","",SUMIFS(RawData[Qyt Affected ( EA ) ],RawData[[Article ]],A496,RawData[Month List],TEXT($A$4,"mmmm yyyy")))</f>
        <v/>
      </c>
    </row>
    <row r="497" spans="1:6" ht="15.75" x14ac:dyDescent="0.25">
      <c r="A497" s="40"/>
      <c r="B497" s="9" t="str">
        <f>IF(A497="","",INDEX(RawData[Description],MATCH(A497,RawData[[Article ]],0)))</f>
        <v/>
      </c>
      <c r="C497" s="9" t="str">
        <f>IF(A497="","",COUNTIFS(RawData[[Article ]],A497,RawData[Month List],TEXT($A$4,"mmmm yyyy")))</f>
        <v/>
      </c>
      <c r="D497" s="9" t="str">
        <f>IF(A497="","",COUNTIFS(RawData[[Article ]],A497,RawData[[Error Type ]],"Short",RawData[Month List],TEXT($A$4,"mmmm yyyy")))</f>
        <v/>
      </c>
      <c r="E497" s="9" t="str">
        <f>IF(A497="","",COUNTIFS(RawData[[Article ]],A497,RawData[[Error Type ]],"Excess",RawData[Month List],TEXT($A$4, "mmmm yyyy")))</f>
        <v/>
      </c>
      <c r="F497" s="9" t="str">
        <f>IF(A497="","",SUMIFS(RawData[Qyt Affected ( EA ) ],RawData[[Article ]],A497,RawData[Month List],TEXT($A$4,"mmmm yyyy")))</f>
        <v/>
      </c>
    </row>
    <row r="498" spans="1:6" ht="15.75" x14ac:dyDescent="0.25">
      <c r="A498" s="40"/>
      <c r="B498" s="9" t="str">
        <f>IF(A498="","",INDEX(RawData[Description],MATCH(A498,RawData[[Article ]],0)))</f>
        <v/>
      </c>
      <c r="C498" s="9" t="str">
        <f>IF(A498="","",COUNTIFS(RawData[[Article ]],A498,RawData[Month List],TEXT($A$4,"mmmm yyyy")))</f>
        <v/>
      </c>
      <c r="D498" s="9" t="str">
        <f>IF(A498="","",COUNTIFS(RawData[[Article ]],A498,RawData[[Error Type ]],"Short",RawData[Month List],TEXT($A$4,"mmmm yyyy")))</f>
        <v/>
      </c>
      <c r="E498" s="9" t="str">
        <f>IF(A498="","",COUNTIFS(RawData[[Article ]],A498,RawData[[Error Type ]],"Excess",RawData[Month List],TEXT($A$4, "mmmm yyyy")))</f>
        <v/>
      </c>
      <c r="F498" s="9" t="str">
        <f>IF(A498="","",SUMIFS(RawData[Qyt Affected ( EA ) ],RawData[[Article ]],A498,RawData[Month List],TEXT($A$4,"mmmm yyyy")))</f>
        <v/>
      </c>
    </row>
    <row r="499" spans="1:6" ht="15.75" x14ac:dyDescent="0.25">
      <c r="A499" s="40"/>
      <c r="B499" s="9" t="str">
        <f>IF(A499="","",INDEX(RawData[Description],MATCH(A499,RawData[[Article ]],0)))</f>
        <v/>
      </c>
      <c r="C499" s="9" t="str">
        <f>IF(A499="","",COUNTIFS(RawData[[Article ]],A499,RawData[Month List],TEXT($A$4,"mmmm yyyy")))</f>
        <v/>
      </c>
      <c r="D499" s="9" t="str">
        <f>IF(A499="","",COUNTIFS(RawData[[Article ]],A499,RawData[[Error Type ]],"Short",RawData[Month List],TEXT($A$4,"mmmm yyyy")))</f>
        <v/>
      </c>
      <c r="E499" s="9" t="str">
        <f>IF(A499="","",COUNTIFS(RawData[[Article ]],A499,RawData[[Error Type ]],"Excess",RawData[Month List],TEXT($A$4, "mmmm yyyy")))</f>
        <v/>
      </c>
      <c r="F499" s="9" t="str">
        <f>IF(A499="","",SUMIFS(RawData[Qyt Affected ( EA ) ],RawData[[Article ]],A499,RawData[Month List],TEXT($A$4,"mmmm yyyy")))</f>
        <v/>
      </c>
    </row>
    <row r="500" spans="1:6" ht="15.75" x14ac:dyDescent="0.25">
      <c r="A500" s="40"/>
      <c r="B500" s="9" t="str">
        <f>IF(A500="","",INDEX(RawData[Description],MATCH(A500,RawData[[Article ]],0)))</f>
        <v/>
      </c>
      <c r="C500" s="9" t="str">
        <f>IF(A500="","",COUNTIFS(RawData[[Article ]],A500,RawData[Month List],TEXT($A$4,"mmmm yyyy")))</f>
        <v/>
      </c>
      <c r="D500" s="9" t="str">
        <f>IF(A500="","",COUNTIFS(RawData[[Article ]],A500,RawData[[Error Type ]],"Short",RawData[Month List],TEXT($A$4,"mmmm yyyy")))</f>
        <v/>
      </c>
      <c r="E500" s="9" t="str">
        <f>IF(A500="","",COUNTIFS(RawData[[Article ]],A500,RawData[[Error Type ]],"Excess",RawData[Month List],TEXT($A$4, "mmmm yyyy")))</f>
        <v/>
      </c>
      <c r="F500" s="9" t="str">
        <f>IF(A500="","",SUMIFS(RawData[Qyt Affected ( EA ) ],RawData[[Article ]],A500,RawData[Month List],TEXT($A$4,"mmmm yyyy")))</f>
        <v/>
      </c>
    </row>
    <row r="501" spans="1:6" ht="15.75" x14ac:dyDescent="0.25">
      <c r="A501" s="40"/>
      <c r="B501" s="9" t="str">
        <f>IF(A501="","",INDEX(RawData[Description],MATCH(A501,RawData[[Article ]],0)))</f>
        <v/>
      </c>
      <c r="C501" s="9" t="str">
        <f>IF(A501="","",COUNTIFS(RawData[[Article ]],A501,RawData[Month List],TEXT($A$4,"mmmm yyyy")))</f>
        <v/>
      </c>
      <c r="D501" s="9" t="str">
        <f>IF(A501="","",COUNTIFS(RawData[[Article ]],A501,RawData[[Error Type ]],"Short",RawData[Month List],TEXT($A$4,"mmmm yyyy")))</f>
        <v/>
      </c>
      <c r="E501" s="9" t="str">
        <f>IF(A501="","",COUNTIFS(RawData[[Article ]],A501,RawData[[Error Type ]],"Excess",RawData[Month List],TEXT($A$4, "mmmm yyyy")))</f>
        <v/>
      </c>
      <c r="F501" s="9" t="str">
        <f>IF(A501="","",SUMIFS(RawData[Qyt Affected ( EA ) ],RawData[[Article ]],A501,RawData[Month List],TEXT($A$4,"mmmm yyyy")))</f>
        <v/>
      </c>
    </row>
    <row r="502" spans="1:6" ht="15.75" x14ac:dyDescent="0.25">
      <c r="A502" s="40"/>
      <c r="B502" s="9" t="str">
        <f>IF(A502="","",INDEX(RawData[Description],MATCH(A502,RawData[[Article ]],0)))</f>
        <v/>
      </c>
      <c r="C502" s="9" t="str">
        <f>IF(A502="","",COUNTIFS(RawData[[Article ]],A502,RawData[Month List],TEXT($A$4,"mmmm yyyy")))</f>
        <v/>
      </c>
      <c r="D502" s="9" t="str">
        <f>IF(A502="","",COUNTIFS(RawData[[Article ]],A502,RawData[[Error Type ]],"Short",RawData[Month List],TEXT($A$4,"mmmm yyyy")))</f>
        <v/>
      </c>
      <c r="E502" s="9" t="str">
        <f>IF(A502="","",COUNTIFS(RawData[[Article ]],A502,RawData[[Error Type ]],"Excess",RawData[Month List],TEXT($A$4, "mmmm yyyy")))</f>
        <v/>
      </c>
      <c r="F502" s="9" t="str">
        <f>IF(A502="","",SUMIFS(RawData[Qyt Affected ( EA ) ],RawData[[Article ]],A502,RawData[Month List],TEXT($A$4,"mmmm yyyy")))</f>
        <v/>
      </c>
    </row>
    <row r="503" spans="1:6" ht="15.75" x14ac:dyDescent="0.25">
      <c r="A503" s="40"/>
      <c r="B503" s="9" t="str">
        <f>IF(A503="","",INDEX(RawData[Description],MATCH(A503,RawData[[Article ]],0)))</f>
        <v/>
      </c>
      <c r="C503" s="9" t="str">
        <f>IF(A503="","",COUNTIFS(RawData[[Article ]],A503,RawData[Month List],TEXT($A$4,"mmmm yyyy")))</f>
        <v/>
      </c>
      <c r="D503" s="9" t="str">
        <f>IF(A503="","",COUNTIFS(RawData[[Article ]],A503,RawData[[Error Type ]],"Short",RawData[Month List],TEXT($A$4,"mmmm yyyy")))</f>
        <v/>
      </c>
      <c r="E503" s="9" t="str">
        <f>IF(A503="","",COUNTIFS(RawData[[Article ]],A503,RawData[[Error Type ]],"Excess",RawData[Month List],TEXT($A$4, "mmmm yyyy")))</f>
        <v/>
      </c>
      <c r="F503" s="9" t="str">
        <f>IF(A503="","",SUMIFS(RawData[Qyt Affected ( EA ) ],RawData[[Article ]],A503,RawData[Month List],TEXT($A$4,"mmmm yyyy")))</f>
        <v/>
      </c>
    </row>
    <row r="504" spans="1:6" ht="15.75" x14ac:dyDescent="0.25">
      <c r="A504" s="40"/>
      <c r="B504" s="9" t="str">
        <f>IF(A504="","",INDEX(RawData[Description],MATCH(A504,RawData[[Article ]],0)))</f>
        <v/>
      </c>
      <c r="C504" s="9" t="str">
        <f>IF(A504="","",COUNTIFS(RawData[[Article ]],A504,RawData[Month List],TEXT($A$4,"mmmm yyyy")))</f>
        <v/>
      </c>
      <c r="D504" s="9" t="str">
        <f>IF(A504="","",COUNTIFS(RawData[[Article ]],A504,RawData[[Error Type ]],"Short",RawData[Month List],TEXT($A$4,"mmmm yyyy")))</f>
        <v/>
      </c>
      <c r="E504" s="9" t="str">
        <f>IF(A504="","",COUNTIFS(RawData[[Article ]],A504,RawData[[Error Type ]],"Excess",RawData[Month List],TEXT($A$4, "mmmm yyyy")))</f>
        <v/>
      </c>
      <c r="F504" s="9" t="str">
        <f>IF(A504="","",SUMIFS(RawData[Qyt Affected ( EA ) ],RawData[[Article ]],A504,RawData[Month List],TEXT($A$4,"mmmm yyyy")))</f>
        <v/>
      </c>
    </row>
    <row r="505" spans="1:6" ht="15.75" x14ac:dyDescent="0.25">
      <c r="A505" s="40"/>
      <c r="B505" s="9" t="str">
        <f>IF(A505="","",INDEX(RawData[Description],MATCH(A505,RawData[[Article ]],0)))</f>
        <v/>
      </c>
      <c r="C505" s="9" t="str">
        <f>IF(A505="","",COUNTIFS(RawData[[Article ]],A505,RawData[Month List],TEXT($A$4,"mmmm yyyy")))</f>
        <v/>
      </c>
      <c r="D505" s="9" t="str">
        <f>IF(A505="","",COUNTIFS(RawData[[Article ]],A505,RawData[[Error Type ]],"Short",RawData[Month List],TEXT($A$4,"mmmm yyyy")))</f>
        <v/>
      </c>
      <c r="E505" s="9" t="str">
        <f>IF(A505="","",COUNTIFS(RawData[[Article ]],A505,RawData[[Error Type ]],"Excess",RawData[Month List],TEXT($A$4, "mmmm yyyy")))</f>
        <v/>
      </c>
      <c r="F505" s="9" t="str">
        <f>IF(A505="","",SUMIFS(RawData[Qyt Affected ( EA ) ],RawData[[Article ]],A505,RawData[Month List],TEXT($A$4,"mmmm yyyy")))</f>
        <v/>
      </c>
    </row>
    <row r="506" spans="1:6" ht="15.75" x14ac:dyDescent="0.25">
      <c r="A506" s="40"/>
      <c r="B506" s="9" t="str">
        <f>IF(A506="","",INDEX(RawData[Description],MATCH(A506,RawData[[Article ]],0)))</f>
        <v/>
      </c>
      <c r="C506" s="9" t="str">
        <f>IF(A506="","",COUNTIFS(RawData[[Article ]],A506,RawData[Month List],TEXT($A$4,"mmmm yyyy")))</f>
        <v/>
      </c>
      <c r="D506" s="9" t="str">
        <f>IF(A506="","",COUNTIFS(RawData[[Article ]],A506,RawData[[Error Type ]],"Short",RawData[Month List],TEXT($A$4,"mmmm yyyy")))</f>
        <v/>
      </c>
      <c r="E506" s="9" t="str">
        <f>IF(A506="","",COUNTIFS(RawData[[Article ]],A506,RawData[[Error Type ]],"Excess",RawData[Month List],TEXT($A$4, "mmmm yyyy")))</f>
        <v/>
      </c>
      <c r="F506" s="9" t="str">
        <f>IF(A506="","",SUMIFS(RawData[Qyt Affected ( EA ) ],RawData[[Article ]],A506,RawData[Month List],TEXT($A$4,"mmmm yyyy")))</f>
        <v/>
      </c>
    </row>
    <row r="507" spans="1:6" ht="15.75" x14ac:dyDescent="0.25">
      <c r="A507" s="40"/>
      <c r="B507" s="9" t="str">
        <f>IF(A507="","",INDEX(RawData[Description],MATCH(A507,RawData[[Article ]],0)))</f>
        <v/>
      </c>
      <c r="C507" s="9" t="str">
        <f>IF(A507="","",COUNTIFS(RawData[[Article ]],A507,RawData[Month List],TEXT($A$4,"mmmm yyyy")))</f>
        <v/>
      </c>
      <c r="D507" s="9" t="str">
        <f>IF(A507="","",COUNTIFS(RawData[[Article ]],A507,RawData[[Error Type ]],"Short",RawData[Month List],TEXT($A$4,"mmmm yyyy")))</f>
        <v/>
      </c>
      <c r="E507" s="9" t="str">
        <f>IF(A507="","",COUNTIFS(RawData[[Article ]],A507,RawData[[Error Type ]],"Excess",RawData[Month List],TEXT($A$4, "mmmm yyyy")))</f>
        <v/>
      </c>
      <c r="F507" s="9" t="str">
        <f>IF(A507="","",SUMIFS(RawData[Qyt Affected ( EA ) ],RawData[[Article ]],A507,RawData[Month List],TEXT($A$4,"mmmm yyyy")))</f>
        <v/>
      </c>
    </row>
    <row r="508" spans="1:6" ht="15.75" x14ac:dyDescent="0.25">
      <c r="B508" s="9" t="str">
        <f>IF(A508="","",INDEX(RawData[Description],MATCH(A508,RawData[[Article ]],0)))</f>
        <v/>
      </c>
      <c r="C508" s="9" t="str">
        <f>IF(A508="","",COUNTIFS(RawData[[Article ]],A508,RawData[Month List],TEXT($A$4,"mmmm yyyy")))</f>
        <v/>
      </c>
      <c r="D508" s="9" t="str">
        <f>IF(A508="","",COUNTIFS(RawData[[Article ]],A508,RawData[[Error Type ]],"Short",RawData[Month List],TEXT($A$4,"mmmm yyyy")))</f>
        <v/>
      </c>
      <c r="E508" s="9" t="str">
        <f>IF(A508="","",COUNTIFS(RawData[[Article ]],A508,RawData[[Error Type ]],"Excess",RawData[Month List],TEXT($A$4, "mmmm yyyy")))</f>
        <v/>
      </c>
      <c r="F508" s="9" t="str">
        <f>IF(A508="","",SUMIFS(RawData[Qyt Affected ( EA ) ],RawData[[Article ]],A508,RawData[Month List],TEXT($A$4,"mmmm yyyy")))</f>
        <v/>
      </c>
    </row>
    <row r="509" spans="1:6" ht="15.75" x14ac:dyDescent="0.25">
      <c r="B509" s="9" t="str">
        <f>IF(A509="","",INDEX(RawData[Description],MATCH(A509,RawData[[Article ]],0)))</f>
        <v/>
      </c>
      <c r="C509" s="9" t="str">
        <f>IF(A509="","",COUNTIFS(RawData[[Article ]],A509,RawData[Month List],TEXT($A$4,"mmmm yyyy")))</f>
        <v/>
      </c>
      <c r="D509" s="9" t="str">
        <f>IF(A509="","",COUNTIFS(RawData[[Article ]],A509,RawData[[Error Type ]],"Short",RawData[Month List],TEXT($A$4,"mmmm yyyy")))</f>
        <v/>
      </c>
      <c r="E509" s="9" t="str">
        <f>IF(A509="","",COUNTIFS(RawData[[Article ]],A509,RawData[[Error Type ]],"Excess",RawData[Month List],TEXT($A$4, "mmmm yyyy")))</f>
        <v/>
      </c>
      <c r="F509" s="9" t="str">
        <f>IF(A509="","",SUMIFS(RawData[Qyt Affected ( EA ) ],RawData[[Article ]],A509,RawData[Month List],TEXT($A$4,"mmmm yyyy")))</f>
        <v/>
      </c>
    </row>
    <row r="510" spans="1:6" ht="15.75" x14ac:dyDescent="0.25">
      <c r="B510" s="9" t="str">
        <f>IF(A510="","",INDEX(RawData[Description],MATCH(A510,RawData[[Article ]],0)))</f>
        <v/>
      </c>
      <c r="C510" s="9" t="str">
        <f>IF(A510="","",COUNTIFS(RawData[[Article ]],A510,RawData[Month List],TEXT($A$4,"mmmm yyyy")))</f>
        <v/>
      </c>
      <c r="D510" s="9" t="str">
        <f>IF(A510="","",COUNTIFS(RawData[[Article ]],A510,RawData[[Error Type ]],"Short",RawData[Month List],TEXT($A$4,"mmmm yyyy")))</f>
        <v/>
      </c>
      <c r="E510" s="9" t="str">
        <f>IF(A510="","",COUNTIFS(RawData[[Article ]],A510,RawData[[Error Type ]],"Excess",RawData[Month List],TEXT($A$4, "mmmm yyyy")))</f>
        <v/>
      </c>
      <c r="F510" s="9" t="str">
        <f>IF(A510="","",SUMIFS(RawData[Qyt Affected ( EA ) ],RawData[[Article ]],A510,RawData[Month List],TEXT($A$4,"mmmm yyyy")))</f>
        <v/>
      </c>
    </row>
    <row r="511" spans="1:6" ht="15.75" x14ac:dyDescent="0.25">
      <c r="B511" s="9" t="str">
        <f>IF(A511="","",INDEX(RawData[Description],MATCH(A511,RawData[[Article ]],0)))</f>
        <v/>
      </c>
      <c r="C511" s="9" t="str">
        <f>IF(A511="","",COUNTIFS(RawData[[Article ]],A511,RawData[Month List],TEXT($A$4,"mmmm yyyy")))</f>
        <v/>
      </c>
      <c r="D511" s="9" t="str">
        <f>IF(A511="","",COUNTIFS(RawData[[Article ]],A511,RawData[[Error Type ]],"Short",RawData[Month List],TEXT($A$4,"mmmm yyyy")))</f>
        <v/>
      </c>
      <c r="E511" s="9" t="str">
        <f>IF(A511="","",COUNTIFS(RawData[[Article ]],A511,RawData[[Error Type ]],"Excess",RawData[Month List],TEXT($A$4, "mmmm yyyy")))</f>
        <v/>
      </c>
      <c r="F511" s="9" t="str">
        <f>IF(A511="","",SUMIFS(RawData[Qyt Affected ( EA ) ],RawData[[Article ]],A511,RawData[Month List],TEXT($A$4,"mmmm yyyy")))</f>
        <v/>
      </c>
    </row>
    <row r="512" spans="1:6" ht="15.75" x14ac:dyDescent="0.25">
      <c r="B512" s="9" t="str">
        <f>IF(A512="","",INDEX(RawData[Description],MATCH(A512,RawData[[Article ]],0)))</f>
        <v/>
      </c>
      <c r="C512" s="9" t="str">
        <f>IF(A512="","",COUNTIFS(RawData[[Article ]],A512,RawData[Month List],TEXT($A$4,"mmmm yyyy")))</f>
        <v/>
      </c>
      <c r="D512" s="9" t="str">
        <f>IF(A512="","",COUNTIFS(RawData[[Article ]],A512,RawData[[Error Type ]],"Short",RawData[Month List],TEXT($A$4,"mmmm yyyy")))</f>
        <v/>
      </c>
      <c r="E512" s="9" t="str">
        <f>IF(A512="","",COUNTIFS(RawData[[Article ]],A512,RawData[[Error Type ]],"Excess",RawData[Month List],TEXT($A$4, "mmmm yyyy")))</f>
        <v/>
      </c>
      <c r="F512" s="9" t="str">
        <f>IF(A512="","",SUMIFS(RawData[Qyt Affected ( EA ) ],RawData[[Article ]],A512,RawData[Month List],TEXT($A$4,"mmmm yyyy")))</f>
        <v/>
      </c>
    </row>
    <row r="513" spans="2:6" ht="15.75" x14ac:dyDescent="0.25">
      <c r="B513" s="9" t="str">
        <f>IF(A513="","",INDEX(RawData[Description],MATCH(A513,RawData[[Article ]],0)))</f>
        <v/>
      </c>
      <c r="C513" s="9" t="str">
        <f>IF(A513="","",COUNTIFS(RawData[[Article ]],A513,RawData[Month List],TEXT($A$4,"mmmm yyyy")))</f>
        <v/>
      </c>
      <c r="D513" s="9" t="str">
        <f>IF(A513="","",COUNTIFS(RawData[[Article ]],A513,RawData[[Error Type ]],"Short",RawData[Month List],TEXT($A$4,"mmmm yyyy")))</f>
        <v/>
      </c>
      <c r="E513" s="9" t="str">
        <f>IF(A513="","",COUNTIFS(RawData[[Article ]],A513,RawData[[Error Type ]],"Excess",RawData[Month List],TEXT($A$4, "mmmm yyyy")))</f>
        <v/>
      </c>
      <c r="F513" s="9" t="str">
        <f>IF(A513="","",SUMIFS(RawData[Qyt Affected ( EA ) ],RawData[[Article ]],A513,RawData[Month List],TEXT($A$4,"mmmm yyyy")))</f>
        <v/>
      </c>
    </row>
    <row r="514" spans="2:6" ht="15.75" x14ac:dyDescent="0.25">
      <c r="B514" s="9" t="str">
        <f>IF(A514="","",INDEX(RawData[Description],MATCH(A514,RawData[[Article ]],0)))</f>
        <v/>
      </c>
      <c r="C514" s="9" t="str">
        <f>IF(A514="","",COUNTIFS(RawData[[Article ]],A514,RawData[Month List],TEXT($A$4,"mmmm yyyy")))</f>
        <v/>
      </c>
      <c r="D514" s="9" t="str">
        <f>IF(A514="","",COUNTIFS(RawData[[Article ]],A514,RawData[[Error Type ]],"Short",RawData[Month List],TEXT($A$4,"mmmm yyyy")))</f>
        <v/>
      </c>
      <c r="E514" s="9" t="str">
        <f>IF(A514="","",COUNTIFS(RawData[[Article ]],A514,RawData[[Error Type ]],"Excess",RawData[Month List],TEXT($A$4, "mmmm yyyy")))</f>
        <v/>
      </c>
      <c r="F514" s="9" t="str">
        <f>IF(A514="","",SUMIFS(RawData[Qyt Affected ( EA ) ],RawData[[Article ]],A514,RawData[Month List],TEXT($A$4,"mmmm yyyy")))</f>
        <v/>
      </c>
    </row>
    <row r="515" spans="2:6" ht="15.75" x14ac:dyDescent="0.25">
      <c r="B515" s="9" t="str">
        <f>IF(A515="","",INDEX(RawData[Description],MATCH(A515,RawData[[Article ]],0)))</f>
        <v/>
      </c>
      <c r="C515" s="9" t="str">
        <f>IF(A515="","",COUNTIFS(RawData[[Article ]],A515,RawData[Month List],TEXT($A$4,"mmmm yyyy")))</f>
        <v/>
      </c>
      <c r="D515" s="9" t="str">
        <f>IF(A515="","",COUNTIFS(RawData[[Article ]],A515,RawData[[Error Type ]],"Short",RawData[Month List],TEXT($A$4,"mmmm yyyy")))</f>
        <v/>
      </c>
      <c r="E515" s="9" t="str">
        <f>IF(A515="","",COUNTIFS(RawData[[Article ]],A515,RawData[[Error Type ]],"Excess",RawData[Month List],TEXT($A$4, "mmmm yyyy")))</f>
        <v/>
      </c>
      <c r="F515" s="9" t="str">
        <f>IF(A515="","",SUMIFS(RawData[Qyt Affected ( EA ) ],RawData[[Article ]],A515,RawData[Month List],TEXT($A$4,"mmmm yyyy")))</f>
        <v/>
      </c>
    </row>
    <row r="516" spans="2:6" ht="15.75" x14ac:dyDescent="0.25">
      <c r="B516" s="9" t="str">
        <f>IF(A516="","",INDEX(RawData[Description],MATCH(A516,RawData[[Article ]],0)))</f>
        <v/>
      </c>
      <c r="C516" s="9" t="str">
        <f>IF(A516="","",COUNTIFS(RawData[[Article ]],A516,RawData[Month List],TEXT($A$4,"mmmm yyyy")))</f>
        <v/>
      </c>
      <c r="D516" s="9" t="str">
        <f>IF(A516="","",COUNTIFS(RawData[[Article ]],A516,RawData[[Error Type ]],"Short",RawData[Month List],TEXT($A$4,"mmmm yyyy")))</f>
        <v/>
      </c>
      <c r="E516" s="9" t="str">
        <f>IF(A516="","",COUNTIFS(RawData[[Article ]],A516,RawData[[Error Type ]],"Excess",RawData[Month List],TEXT($A$4, "mmmm yyyy")))</f>
        <v/>
      </c>
      <c r="F516" s="9" t="str">
        <f>IF(A516="","",SUMIFS(RawData[Qyt Affected ( EA ) ],RawData[[Article ]],A516,RawData[Month List],TEXT($A$4,"mmmm yyyy")))</f>
        <v/>
      </c>
    </row>
    <row r="517" spans="2:6" ht="15.75" x14ac:dyDescent="0.25">
      <c r="B517" s="9" t="str">
        <f>IF(A517="","",INDEX(RawData[Description],MATCH(A517,RawData[[Article ]],0)))</f>
        <v/>
      </c>
      <c r="C517" s="9" t="str">
        <f>IF(A517="","",COUNTIFS(RawData[[Article ]],A517,RawData[Month List],TEXT($A$4,"mmmm yyyy")))</f>
        <v/>
      </c>
      <c r="D517" s="9" t="str">
        <f>IF(A517="","",COUNTIFS(RawData[[Article ]],A517,RawData[[Error Type ]],"Short",RawData[Month List],TEXT($A$4,"mmmm yyyy")))</f>
        <v/>
      </c>
      <c r="E517" s="9" t="str">
        <f>IF(A517="","",COUNTIFS(RawData[[Article ]],A517,RawData[[Error Type ]],"Excess",RawData[Month List],TEXT($A$4, "mmmm yyyy")))</f>
        <v/>
      </c>
      <c r="F517" s="9" t="str">
        <f>IF(A517="","",SUMIFS(RawData[Qyt Affected ( EA ) ],RawData[[Article ]],A517,RawData[Month List],TEXT($A$4,"mmmm yyyy")))</f>
        <v/>
      </c>
    </row>
    <row r="518" spans="2:6" ht="15.75" x14ac:dyDescent="0.25">
      <c r="B518" s="9" t="str">
        <f>IF(A518="","",INDEX(RawData[Description],MATCH(A518,RawData[[Article ]],0)))</f>
        <v/>
      </c>
      <c r="C518" s="9" t="str">
        <f>IF(A518="","",COUNTIFS(RawData[[Article ]],A518,RawData[Month List],TEXT($A$4,"mmmm yyyy")))</f>
        <v/>
      </c>
      <c r="D518" s="9" t="str">
        <f>IF(A518="","",COUNTIFS(RawData[[Article ]],A518,RawData[[Error Type ]],"Short",RawData[Month List],TEXT($A$4,"mmmm yyyy")))</f>
        <v/>
      </c>
      <c r="E518" s="9" t="str">
        <f>IF(A518="","",COUNTIFS(RawData[[Article ]],A518,RawData[[Error Type ]],"Excess",RawData[Month List],TEXT($A$4, "mmmm yyyy")))</f>
        <v/>
      </c>
      <c r="F518" s="9" t="str">
        <f>IF(A518="","",SUMIFS(RawData[Qyt Affected ( EA ) ],RawData[[Article ]],A518,RawData[Month List],TEXT($A$4,"mmmm yyyy")))</f>
        <v/>
      </c>
    </row>
    <row r="519" spans="2:6" ht="15.75" x14ac:dyDescent="0.25">
      <c r="B519" s="9" t="str">
        <f>IF(A519="","",INDEX(RawData[Description],MATCH(A519,RawData[[Article ]],0)))</f>
        <v/>
      </c>
      <c r="C519" s="9" t="str">
        <f>IF(A519="","",COUNTIFS(RawData[[Article ]],A519,RawData[Month List],TEXT($A$4,"mmmm yyyy")))</f>
        <v/>
      </c>
      <c r="D519" s="9" t="str">
        <f>IF(A519="","",COUNTIFS(RawData[[Article ]],A519,RawData[[Error Type ]],"Short",RawData[Month List],TEXT($A$4,"mmmm yyyy")))</f>
        <v/>
      </c>
      <c r="E519" s="9" t="str">
        <f>IF(A519="","",COUNTIFS(RawData[[Article ]],A519,RawData[[Error Type ]],"Excess",RawData[Month List],TEXT($A$4, "mmmm yyyy")))</f>
        <v/>
      </c>
      <c r="F519" s="9" t="str">
        <f>IF(A519="","",SUMIFS(RawData[Qyt Affected ( EA ) ],RawData[[Article ]],A519,RawData[Month List],TEXT($A$4,"mmmm yyyy")))</f>
        <v/>
      </c>
    </row>
    <row r="520" spans="2:6" ht="15.75" x14ac:dyDescent="0.25">
      <c r="B520" s="9" t="str">
        <f>IF(A520="","",INDEX(RawData[Description],MATCH(A520,RawData[[Article ]],0)))</f>
        <v/>
      </c>
      <c r="C520" s="9" t="str">
        <f>IF(A520="","",COUNTIFS(RawData[[Article ]],A520,RawData[Month List],TEXT($A$4,"mmmm yyyy")))</f>
        <v/>
      </c>
      <c r="D520" s="9" t="str">
        <f>IF(A520="","",COUNTIFS(RawData[[Article ]],A520,RawData[[Error Type ]],"Short",RawData[Month List],TEXT($A$4,"mmmm yyyy")))</f>
        <v/>
      </c>
      <c r="E520" s="9" t="str">
        <f>IF(A520="","",COUNTIFS(RawData[[Article ]],A520,RawData[[Error Type ]],"Excess",RawData[Month List],TEXT($A$4, "mmmm yyyy")))</f>
        <v/>
      </c>
      <c r="F520" s="9" t="str">
        <f>IF(A520="","",SUMIFS(RawData[Qyt Affected ( EA ) ],RawData[[Article ]],A520,RawData[Month List],TEXT($A$4,"mmmm yyyy")))</f>
        <v/>
      </c>
    </row>
    <row r="521" spans="2:6" ht="15.75" x14ac:dyDescent="0.25">
      <c r="B521" s="9" t="str">
        <f>IF(A521="","",INDEX(RawData[Description],MATCH(A521,RawData[[Article ]],0)))</f>
        <v/>
      </c>
      <c r="C521" s="9" t="str">
        <f>IF(A521="","",COUNTIFS(RawData[[Article ]],A521,RawData[Month List],TEXT($A$4,"mmmm yyyy")))</f>
        <v/>
      </c>
      <c r="D521" s="9" t="str">
        <f>IF(A521="","",COUNTIFS(RawData[[Article ]],A521,RawData[[Error Type ]],"Short",RawData[Month List],TEXT($A$4,"mmmm yyyy")))</f>
        <v/>
      </c>
      <c r="E521" s="9" t="str">
        <f>IF(A521="","",COUNTIFS(RawData[[Article ]],A521,RawData[[Error Type ]],"Excess",RawData[Month List],TEXT($A$4, "mmmm yyyy")))</f>
        <v/>
      </c>
      <c r="F521" s="9" t="str">
        <f>IF(A521="","",SUMIFS(RawData[Qyt Affected ( EA ) ],RawData[[Article ]],A521,RawData[Month List],TEXT($A$4,"mmmm yyyy")))</f>
        <v/>
      </c>
    </row>
    <row r="522" spans="2:6" ht="15.75" x14ac:dyDescent="0.25">
      <c r="B522" s="9" t="str">
        <f>IF(A522="","",INDEX(RawData[Description],MATCH(A522,RawData[[Article ]],0)))</f>
        <v/>
      </c>
      <c r="C522" s="9" t="str">
        <f>IF(A522="","",COUNTIFS(RawData[[Article ]],A522,RawData[Month List],TEXT($A$4,"mmmm yyyy")))</f>
        <v/>
      </c>
      <c r="D522" s="9" t="str">
        <f>IF(A522="","",COUNTIFS(RawData[[Article ]],A522,RawData[[Error Type ]],"Short",RawData[Month List],TEXT($A$4,"mmmm yyyy")))</f>
        <v/>
      </c>
      <c r="E522" s="9" t="str">
        <f>IF(A522="","",COUNTIFS(RawData[[Article ]],A522,RawData[[Error Type ]],"Excess",RawData[Month List],TEXT($A$4, "mmmm yyyy")))</f>
        <v/>
      </c>
      <c r="F522" s="9" t="str">
        <f>IF(A522="","",SUMIFS(RawData[Qyt Affected ( EA ) ],RawData[[Article ]],A522,RawData[Month List],TEXT($A$4,"mmmm yyyy")))</f>
        <v/>
      </c>
    </row>
    <row r="523" spans="2:6" ht="15.75" x14ac:dyDescent="0.25">
      <c r="B523" s="9" t="str">
        <f>IF(A523="","",INDEX(RawData[Description],MATCH(A523,RawData[[Article ]],0)))</f>
        <v/>
      </c>
      <c r="C523" s="9" t="str">
        <f>IF(A523="","",COUNTIFS(RawData[[Article ]],A523,RawData[Month List],TEXT($A$4,"mmmm yyyy")))</f>
        <v/>
      </c>
      <c r="D523" s="9" t="str">
        <f>IF(A523="","",COUNTIFS(RawData[[Article ]],A523,RawData[[Error Type ]],"Short",RawData[Month List],TEXT($A$4,"mmmm yyyy")))</f>
        <v/>
      </c>
      <c r="E523" s="9" t="str">
        <f>IF(A523="","",COUNTIFS(RawData[[Article ]],A523,RawData[[Error Type ]],"Excess",RawData[Month List],TEXT($A$4, "mmmm yyyy")))</f>
        <v/>
      </c>
      <c r="F523" s="9" t="str">
        <f>IF(A523="","",SUMIFS(RawData[Qyt Affected ( EA ) ],RawData[[Article ]],A523,RawData[Month List],TEXT($A$4,"mmmm yyyy")))</f>
        <v/>
      </c>
    </row>
    <row r="524" spans="2:6" ht="15.75" x14ac:dyDescent="0.25">
      <c r="B524" s="9" t="str">
        <f>IF(A524="","",INDEX(RawData[Description],MATCH(A524,RawData[[Article ]],0)))</f>
        <v/>
      </c>
      <c r="C524" s="9" t="str">
        <f>IF(A524="","",COUNTIFS(RawData[[Article ]],A524,RawData[Month List],TEXT($A$4,"mmmm yyyy")))</f>
        <v/>
      </c>
      <c r="D524" s="9" t="str">
        <f>IF(A524="","",COUNTIFS(RawData[[Article ]],A524,RawData[[Error Type ]],"Short",RawData[Month List],TEXT($A$4,"mmmm yyyy")))</f>
        <v/>
      </c>
      <c r="E524" s="9" t="str">
        <f>IF(A524="","",COUNTIFS(RawData[[Article ]],A524,RawData[[Error Type ]],"Excess",RawData[Month List],TEXT($A$4, "mmmm yyyy")))</f>
        <v/>
      </c>
      <c r="F524" s="9" t="str">
        <f>IF(A524="","",SUMIFS(RawData[Qyt Affected ( EA ) ],RawData[[Article ]],A524,RawData[Month List],TEXT($A$4,"mmmm yyyy")))</f>
        <v/>
      </c>
    </row>
    <row r="525" spans="2:6" ht="15.75" x14ac:dyDescent="0.25">
      <c r="B525" s="9" t="str">
        <f>IF(A525="","",INDEX(RawData[Description],MATCH(A525,RawData[[Article ]],0)))</f>
        <v/>
      </c>
      <c r="C525" s="9" t="str">
        <f>IF(A525="","",COUNTIFS(RawData[[Article ]],A525,RawData[Month List],TEXT($A$4,"mmmm yyyy")))</f>
        <v/>
      </c>
      <c r="D525" s="9" t="str">
        <f>IF(A525="","",COUNTIFS(RawData[[Article ]],A525,RawData[[Error Type ]],"Short",RawData[Month List],TEXT($A$4,"mmmm yyyy")))</f>
        <v/>
      </c>
      <c r="E525" s="9" t="str">
        <f>IF(A525="","",COUNTIFS(RawData[[Article ]],A525,RawData[[Error Type ]],"Excess",RawData[Month List],TEXT($A$4, "mmmm yyyy")))</f>
        <v/>
      </c>
      <c r="F525" s="9" t="str">
        <f>IF(A525="","",SUMIFS(RawData[Qyt Affected ( EA ) ],RawData[[Article ]],A525,RawData[Month List],TEXT($A$4,"mmmm yyyy")))</f>
        <v/>
      </c>
    </row>
    <row r="526" spans="2:6" ht="15.75" x14ac:dyDescent="0.25">
      <c r="B526" s="9" t="str">
        <f>IF(A526="","",INDEX(RawData[Description],MATCH(A526,RawData[[Article ]],0)))</f>
        <v/>
      </c>
      <c r="C526" s="9" t="str">
        <f>IF(A526="","",COUNTIFS(RawData[[Article ]],A526,RawData[Month List],TEXT($A$4,"mmmm yyyy")))</f>
        <v/>
      </c>
      <c r="D526" s="9" t="str">
        <f>IF(A526="","",COUNTIFS(RawData[[Article ]],A526,RawData[[Error Type ]],"Short",RawData[Month List],TEXT($A$4,"mmmm yyyy")))</f>
        <v/>
      </c>
      <c r="E526" s="9" t="str">
        <f>IF(A526="","",COUNTIFS(RawData[[Article ]],A526,RawData[[Error Type ]],"Excess",RawData[Month List],TEXT($A$4, "mmmm yyyy")))</f>
        <v/>
      </c>
      <c r="F526" s="9" t="str">
        <f>IF(A526="","",SUMIFS(RawData[Qyt Affected ( EA ) ],RawData[[Article ]],A526,RawData[Month List],TEXT($A$4,"mmmm yyyy")))</f>
        <v/>
      </c>
    </row>
    <row r="527" spans="2:6" ht="15.75" x14ac:dyDescent="0.25">
      <c r="B527" s="9" t="str">
        <f>IF(A527="","",INDEX(RawData[Description],MATCH(A527,RawData[[Article ]],0)))</f>
        <v/>
      </c>
      <c r="C527" s="9" t="str">
        <f>IF(A527="","",COUNTIFS(RawData[[Article ]],A527,RawData[Month List],TEXT($A$4,"mmmm yyyy")))</f>
        <v/>
      </c>
      <c r="D527" s="9" t="str">
        <f>IF(A527="","",COUNTIFS(RawData[[Article ]],A527,RawData[[Error Type ]],"Short",RawData[Month List],TEXT($A$4,"mmmm yyyy")))</f>
        <v/>
      </c>
      <c r="E527" s="9" t="str">
        <f>IF(A527="","",COUNTIFS(RawData[[Article ]],A527,RawData[[Error Type ]],"Excess",RawData[Month List],TEXT($A$4, "mmmm yyyy")))</f>
        <v/>
      </c>
      <c r="F527" s="9" t="str">
        <f>IF(A527="","",SUMIFS(RawData[Qyt Affected ( EA ) ],RawData[[Article ]],A527,RawData[Month List],TEXT($A$4,"mmmm yyyy")))</f>
        <v/>
      </c>
    </row>
    <row r="528" spans="2:6" ht="15.75" x14ac:dyDescent="0.25">
      <c r="B528" s="9" t="str">
        <f>IF(A528="","",INDEX(RawData[Description],MATCH(A528,RawData[[Article ]],0)))</f>
        <v/>
      </c>
      <c r="C528" s="9" t="str">
        <f>IF(A528="","",COUNTIFS(RawData[[Article ]],A528,RawData[Month List],TEXT($A$4,"mmmm yyyy")))</f>
        <v/>
      </c>
      <c r="D528" s="9" t="str">
        <f>IF(A528="","",COUNTIFS(RawData[[Article ]],A528,RawData[[Error Type ]],"Short",RawData[Month List],TEXT($A$4,"mmmm yyyy")))</f>
        <v/>
      </c>
      <c r="E528" s="9" t="str">
        <f>IF(A528="","",COUNTIFS(RawData[[Article ]],A528,RawData[[Error Type ]],"Excess",RawData[Month List],TEXT($A$4, "mmmm yyyy")))</f>
        <v/>
      </c>
      <c r="F528" s="9" t="str">
        <f>IF(A528="","",SUMIFS(RawData[Qyt Affected ( EA ) ],RawData[[Article ]],A528,RawData[Month List],TEXT($A$4,"mmmm yyyy")))</f>
        <v/>
      </c>
    </row>
    <row r="529" spans="2:6" ht="15.75" x14ac:dyDescent="0.25">
      <c r="B529" s="9" t="str">
        <f>IF(A529="","",INDEX(RawData[Description],MATCH(A529,RawData[[Article ]],0)))</f>
        <v/>
      </c>
      <c r="C529" s="9" t="str">
        <f>IF(A529="","",COUNTIFS(RawData[[Article ]],A529,RawData[Month List],TEXT($A$4,"mmmm yyyy")))</f>
        <v/>
      </c>
      <c r="D529" s="9" t="str">
        <f>IF(A529="","",COUNTIFS(RawData[[Article ]],A529,RawData[[Error Type ]],"Short",RawData[Month List],TEXT($A$4,"mmmm yyyy")))</f>
        <v/>
      </c>
      <c r="E529" s="9" t="str">
        <f>IF(A529="","",COUNTIFS(RawData[[Article ]],A529,RawData[[Error Type ]],"Excess",RawData[Month List],TEXT($A$4, "mmmm yyyy")))</f>
        <v/>
      </c>
      <c r="F529" s="9" t="str">
        <f>IF(A529="","",SUMIFS(RawData[Qyt Affected ( EA ) ],RawData[[Article ]],A529,RawData[Month List],TEXT($A$4,"mmmm yyyy")))</f>
        <v/>
      </c>
    </row>
    <row r="530" spans="2:6" ht="15.75" x14ac:dyDescent="0.25">
      <c r="B530" s="9" t="str">
        <f>IF(A530="","",INDEX(RawData[Description],MATCH(A530,RawData[[Article ]],0)))</f>
        <v/>
      </c>
      <c r="C530" s="9" t="str">
        <f>IF(A530="","",COUNTIFS(RawData[[Article ]],A530,RawData[Month List],TEXT($A$4,"mmmm yyyy")))</f>
        <v/>
      </c>
      <c r="D530" s="9" t="str">
        <f>IF(A530="","",COUNTIFS(RawData[[Article ]],A530,RawData[[Error Type ]],"Short",RawData[Month List],TEXT($A$4,"mmmm yyyy")))</f>
        <v/>
      </c>
      <c r="E530" s="9" t="str">
        <f>IF(A530="","",COUNTIFS(RawData[[Article ]],A530,RawData[[Error Type ]],"Excess",RawData[Month List],TEXT($A$4, "mmmm yyyy")))</f>
        <v/>
      </c>
      <c r="F530" s="9" t="str">
        <f>IF(A530="","",SUMIFS(RawData[Qyt Affected ( EA ) ],RawData[[Article ]],A530,RawData[Month List],TEXT($A$4,"mmmm yyyy")))</f>
        <v/>
      </c>
    </row>
    <row r="531" spans="2:6" ht="15.75" x14ac:dyDescent="0.25">
      <c r="B531" s="9" t="str">
        <f>IF(A531="","",INDEX(RawData[Description],MATCH(A531,RawData[[Article ]],0)))</f>
        <v/>
      </c>
      <c r="C531" s="9" t="str">
        <f>IF(A531="","",COUNTIFS(RawData[[Article ]],A531,RawData[Month List],TEXT($A$4,"mmmm yyyy")))</f>
        <v/>
      </c>
      <c r="D531" s="9" t="str">
        <f>IF(A531="","",COUNTIFS(RawData[[Article ]],A531,RawData[[Error Type ]],"Short",RawData[Month List],TEXT($A$4,"mmmm yyyy")))</f>
        <v/>
      </c>
      <c r="E531" s="9" t="str">
        <f>IF(A531="","",COUNTIFS(RawData[[Article ]],A531,RawData[[Error Type ]],"Excess",RawData[Month List],TEXT($A$4, "mmmm yyyy")))</f>
        <v/>
      </c>
      <c r="F531" s="9" t="str">
        <f>IF(A531="","",SUMIFS(RawData[Qyt Affected ( EA ) ],RawData[[Article ]],A531,RawData[Month List],TEXT($A$4,"mmmm yyyy")))</f>
        <v/>
      </c>
    </row>
    <row r="532" spans="2:6" ht="15.75" x14ac:dyDescent="0.25">
      <c r="B532" s="9" t="str">
        <f>IF(A532="","",INDEX(RawData[Description],MATCH(A532,RawData[[Article ]],0)))</f>
        <v/>
      </c>
      <c r="C532" s="9" t="str">
        <f>IF(A532="","",COUNTIFS(RawData[[Article ]],A532,RawData[Month List],TEXT($A$4,"mmmm yyyy")))</f>
        <v/>
      </c>
      <c r="D532" s="9" t="str">
        <f>IF(A532="","",COUNTIFS(RawData[[Article ]],A532,RawData[[Error Type ]],"Short",RawData[Month List],TEXT($A$4,"mmmm yyyy")))</f>
        <v/>
      </c>
      <c r="E532" s="9" t="str">
        <f>IF(A532="","",COUNTIFS(RawData[[Article ]],A532,RawData[[Error Type ]],"Excess",RawData[Month List],TEXT($A$4, "mmmm yyyy")))</f>
        <v/>
      </c>
      <c r="F532" s="9" t="str">
        <f>IF(A532="","",SUMIFS(RawData[Qyt Affected ( EA ) ],RawData[[Article ]],A532,RawData[Month List],TEXT($A$4,"mmmm yyyy")))</f>
        <v/>
      </c>
    </row>
    <row r="533" spans="2:6" ht="15.75" x14ac:dyDescent="0.25">
      <c r="B533" s="9" t="str">
        <f>IF(A533="","",INDEX(RawData[Description],MATCH(A533,RawData[[Article ]],0)))</f>
        <v/>
      </c>
      <c r="C533" s="9" t="str">
        <f>IF(A533="","",COUNTIFS(RawData[[Article ]],A533,RawData[Month List],TEXT($A$4,"mmmm yyyy")))</f>
        <v/>
      </c>
      <c r="D533" s="9" t="str">
        <f>IF(A533="","",COUNTIFS(RawData[[Article ]],A533,RawData[[Error Type ]],"Short",RawData[Month List],TEXT($A$4,"mmmm yyyy")))</f>
        <v/>
      </c>
      <c r="E533" s="9" t="str">
        <f>IF(A533="","",COUNTIFS(RawData[[Article ]],A533,RawData[[Error Type ]],"Excess",RawData[Month List],TEXT($A$4, "mmmm yyyy")))</f>
        <v/>
      </c>
      <c r="F533" s="9" t="str">
        <f>IF(A533="","",SUMIFS(RawData[Qyt Affected ( EA ) ],RawData[[Article ]],A533,RawData[Month List],TEXT($A$4,"mmmm yyyy")))</f>
        <v/>
      </c>
    </row>
    <row r="534" spans="2:6" ht="15.75" x14ac:dyDescent="0.25">
      <c r="B534" s="9" t="str">
        <f>IF(A534="","",INDEX(RawData[Description],MATCH(A534,RawData[[Article ]],0)))</f>
        <v/>
      </c>
      <c r="C534" s="9" t="str">
        <f>IF(A534="","",COUNTIFS(RawData[[Article ]],A534,RawData[Month List],TEXT($A$4,"mmmm yyyy")))</f>
        <v/>
      </c>
      <c r="D534" s="9" t="str">
        <f>IF(A534="","",COUNTIFS(RawData[[Article ]],A534,RawData[[Error Type ]],"Short",RawData[Month List],TEXT($A$4,"mmmm yyyy")))</f>
        <v/>
      </c>
      <c r="E534" s="9" t="str">
        <f>IF(A534="","",COUNTIFS(RawData[[Article ]],A534,RawData[[Error Type ]],"Excess",RawData[Month List],TEXT($A$4, "mmmm yyyy")))</f>
        <v/>
      </c>
      <c r="F534" s="9" t="str">
        <f>IF(A534="","",SUMIFS(RawData[Qyt Affected ( EA ) ],RawData[[Article ]],A534,RawData[Month List],TEXT($A$4,"mmmm yyyy")))</f>
        <v/>
      </c>
    </row>
    <row r="535" spans="2:6" ht="15.75" x14ac:dyDescent="0.25">
      <c r="B535" s="9" t="str">
        <f>IF(A535="","",INDEX(RawData[Description],MATCH(A535,RawData[[Article ]],0)))</f>
        <v/>
      </c>
      <c r="C535" s="9" t="str">
        <f>IF(A535="","",COUNTIFS(RawData[[Article ]],A535,RawData[Month List],TEXT($A$4,"mmmm yyyy")))</f>
        <v/>
      </c>
      <c r="D535" s="9" t="str">
        <f>IF(A535="","",COUNTIFS(RawData[[Article ]],A535,RawData[[Error Type ]],"Short",RawData[Month List],TEXT($A$4,"mmmm yyyy")))</f>
        <v/>
      </c>
      <c r="E535" s="9" t="str">
        <f>IF(A535="","",COUNTIFS(RawData[[Article ]],A535,RawData[[Error Type ]],"Excess",RawData[Month List],TEXT($A$4, "mmmm yyyy")))</f>
        <v/>
      </c>
      <c r="F535" s="9" t="str">
        <f>IF(A535="","",SUMIFS(RawData[Qyt Affected ( EA ) ],RawData[[Article ]],A535,RawData[Month List],TEXT($A$4,"mmmm yyyy")))</f>
        <v/>
      </c>
    </row>
    <row r="536" spans="2:6" ht="15.75" x14ac:dyDescent="0.25">
      <c r="B536" s="9" t="str">
        <f>IF(A536="","",INDEX(RawData[Description],MATCH(A536,RawData[[Article ]],0)))</f>
        <v/>
      </c>
      <c r="C536" s="9" t="str">
        <f>IF(A536="","",COUNTIFS(RawData[[Article ]],A536,RawData[Month List],TEXT($A$4,"mmmm yyyy")))</f>
        <v/>
      </c>
      <c r="D536" s="9" t="str">
        <f>IF(A536="","",COUNTIFS(RawData[[Article ]],A536,RawData[[Error Type ]],"Short",RawData[Month List],TEXT($A$4,"mmmm yyyy")))</f>
        <v/>
      </c>
      <c r="E536" s="9" t="str">
        <f>IF(A536="","",COUNTIFS(RawData[[Article ]],A536,RawData[[Error Type ]],"Excess",RawData[Month List],TEXT($A$4, "mmmm yyyy")))</f>
        <v/>
      </c>
      <c r="F536" s="9" t="str">
        <f>IF(A536="","",SUMIFS(RawData[Qyt Affected ( EA ) ],RawData[[Article ]],A536,RawData[Month List],TEXT($A$4,"mmmm yyyy")))</f>
        <v/>
      </c>
    </row>
    <row r="537" spans="2:6" ht="15.75" x14ac:dyDescent="0.25">
      <c r="B537" s="9" t="str">
        <f>IF(A537="","",INDEX(RawData[Description],MATCH(A537,RawData[[Article ]],0)))</f>
        <v/>
      </c>
      <c r="C537" s="9" t="str">
        <f>IF(A537="","",COUNTIFS(RawData[[Article ]],A537,RawData[Month List],TEXT($A$4,"mmmm yyyy")))</f>
        <v/>
      </c>
      <c r="D537" s="9" t="str">
        <f>IF(A537="","",COUNTIFS(RawData[[Article ]],A537,RawData[[Error Type ]],"Short",RawData[Month List],TEXT($A$4,"mmmm yyyy")))</f>
        <v/>
      </c>
      <c r="E537" s="9" t="str">
        <f>IF(A537="","",COUNTIFS(RawData[[Article ]],A537,RawData[[Error Type ]],"Excess",RawData[Month List],TEXT($A$4, "mmmm yyyy")))</f>
        <v/>
      </c>
      <c r="F537" s="9" t="str">
        <f>IF(A537="","",SUMIFS(RawData[Qyt Affected ( EA ) ],RawData[[Article ]],A537,RawData[Month List],TEXT($A$4,"mmmm yyyy")))</f>
        <v/>
      </c>
    </row>
    <row r="538" spans="2:6" ht="15.75" x14ac:dyDescent="0.25">
      <c r="B538" s="9" t="str">
        <f>IF(A538="","",INDEX(RawData[Description],MATCH(A538,RawData[[Article ]],0)))</f>
        <v/>
      </c>
      <c r="C538" s="9" t="str">
        <f>IF(A538="","",COUNTIFS(RawData[[Article ]],A538,RawData[Month List],TEXT($A$4,"mmmm yyyy")))</f>
        <v/>
      </c>
      <c r="D538" s="9" t="str">
        <f>IF(A538="","",COUNTIFS(RawData[[Article ]],A538,RawData[[Error Type ]],"Short",RawData[Month List],TEXT($A$4,"mmmm yyyy")))</f>
        <v/>
      </c>
      <c r="E538" s="9" t="str">
        <f>IF(A538="","",COUNTIFS(RawData[[Article ]],A538,RawData[[Error Type ]],"Excess",RawData[Month List],TEXT($A$4, "mmmm yyyy")))</f>
        <v/>
      </c>
      <c r="F538" s="9" t="str">
        <f>IF(A538="","",SUMIFS(RawData[Qyt Affected ( EA ) ],RawData[[Article ]],A538,RawData[Month List],TEXT($A$4,"mmmm yyyy")))</f>
        <v/>
      </c>
    </row>
    <row r="539" spans="2:6" ht="15.75" x14ac:dyDescent="0.25">
      <c r="B539" s="9" t="str">
        <f>IF(A539="","",INDEX(RawData[Description],MATCH(A539,RawData[[Article ]],0)))</f>
        <v/>
      </c>
      <c r="C539" s="9" t="str">
        <f>IF(A539="","",COUNTIFS(RawData[[Article ]],A539,RawData[Month List],TEXT($A$4,"mmmm yyyy")))</f>
        <v/>
      </c>
      <c r="D539" s="9" t="str">
        <f>IF(A539="","",COUNTIFS(RawData[[Article ]],A539,RawData[[Error Type ]],"Short",RawData[Month List],TEXT($A$4,"mmmm yyyy")))</f>
        <v/>
      </c>
      <c r="E539" s="9" t="str">
        <f>IF(A539="","",COUNTIFS(RawData[[Article ]],A539,RawData[[Error Type ]],"Excess",RawData[Month List],TEXT($A$4, "mmmm yyyy")))</f>
        <v/>
      </c>
      <c r="F539" s="9" t="str">
        <f>IF(A539="","",SUMIFS(RawData[Qyt Affected ( EA ) ],RawData[[Article ]],A539,RawData[Month List],TEXT($A$4,"mmmm yyyy")))</f>
        <v/>
      </c>
    </row>
    <row r="540" spans="2:6" ht="15.75" x14ac:dyDescent="0.25">
      <c r="B540" s="9" t="str">
        <f>IF(A540="","",INDEX(RawData[Description],MATCH(A540,RawData[[Article ]],0)))</f>
        <v/>
      </c>
      <c r="C540" s="9" t="str">
        <f>IF(A540="","",COUNTIFS(RawData[[Article ]],A540,RawData[Month List],TEXT($A$4,"mmmm yyyy")))</f>
        <v/>
      </c>
      <c r="D540" s="9" t="str">
        <f>IF(A540="","",COUNTIFS(RawData[[Article ]],A540,RawData[[Error Type ]],"Short",RawData[Month List],TEXT($A$4,"mmmm yyyy")))</f>
        <v/>
      </c>
      <c r="E540" s="9" t="str">
        <f>IF(A540="","",COUNTIFS(RawData[[Article ]],A540,RawData[[Error Type ]],"Excess",RawData[Month List],TEXT($A$4, "mmmm yyyy")))</f>
        <v/>
      </c>
      <c r="F540" s="9" t="str">
        <f>IF(A540="","",SUMIFS(RawData[Qyt Affected ( EA ) ],RawData[[Article ]],A540,RawData[Month List],TEXT($A$4,"mmmm yyyy")))</f>
        <v/>
      </c>
    </row>
    <row r="541" spans="2:6" ht="15.75" x14ac:dyDescent="0.25">
      <c r="B541" s="9" t="str">
        <f>IF(A541="","",INDEX(RawData[Description],MATCH(A541,RawData[[Article ]],0)))</f>
        <v/>
      </c>
      <c r="C541" s="9" t="str">
        <f>IF(A541="","",COUNTIFS(RawData[[Article ]],A541,RawData[Month List],TEXT($A$4,"mmmm yyyy")))</f>
        <v/>
      </c>
      <c r="D541" s="9" t="str">
        <f>IF(A541="","",COUNTIFS(RawData[[Article ]],A541,RawData[[Error Type ]],"Short",RawData[Month List],TEXT($A$4,"mmmm yyyy")))</f>
        <v/>
      </c>
      <c r="E541" s="9" t="str">
        <f>IF(A541="","",COUNTIFS(RawData[[Article ]],A541,RawData[[Error Type ]],"Excess",RawData[Month List],TEXT($A$4, "mmmm yyyy")))</f>
        <v/>
      </c>
      <c r="F541" s="9" t="str">
        <f>IF(A541="","",SUMIFS(RawData[Qyt Affected ( EA ) ],RawData[[Article ]],A541,RawData[Month List],TEXT($A$4,"mmmm yyyy")))</f>
        <v/>
      </c>
    </row>
    <row r="542" spans="2:6" ht="15.75" x14ac:dyDescent="0.25">
      <c r="B542" s="9" t="str">
        <f>IF(A542="","",INDEX(RawData[Description],MATCH(A542,RawData[[Article ]],0)))</f>
        <v/>
      </c>
      <c r="C542" s="9" t="str">
        <f>IF(A542="","",COUNTIFS(RawData[[Article ]],A542,RawData[Month List],TEXT($A$4,"mmmm yyyy")))</f>
        <v/>
      </c>
      <c r="D542" s="9" t="str">
        <f>IF(A542="","",COUNTIFS(RawData[[Article ]],A542,RawData[[Error Type ]],"Short",RawData[Month List],TEXT($A$4,"mmmm yyyy")))</f>
        <v/>
      </c>
      <c r="E542" s="9" t="str">
        <f>IF(A542="","",COUNTIFS(RawData[[Article ]],A542,RawData[[Error Type ]],"Excess",RawData[Month List],TEXT($A$4, "mmmm yyyy")))</f>
        <v/>
      </c>
      <c r="F542" s="9" t="str">
        <f>IF(A542="","",SUMIFS(RawData[Qyt Affected ( EA ) ],RawData[[Article ]],A542,RawData[Month List],TEXT($A$4,"mmmm yyyy")))</f>
        <v/>
      </c>
    </row>
    <row r="543" spans="2:6" ht="15.75" x14ac:dyDescent="0.25">
      <c r="B543" s="9" t="str">
        <f>IF(A543="","",INDEX(RawData[Description],MATCH(A543,RawData[[Article ]],0)))</f>
        <v/>
      </c>
      <c r="C543" s="9" t="str">
        <f>IF(A543="","",COUNTIFS(RawData[[Article ]],A543,RawData[Month List],TEXT($A$4,"mmmm yyyy")))</f>
        <v/>
      </c>
      <c r="D543" s="9" t="str">
        <f>IF(A543="","",COUNTIFS(RawData[[Article ]],A543,RawData[[Error Type ]],"Short",RawData[Month List],TEXT($A$4,"mmmm yyyy")))</f>
        <v/>
      </c>
      <c r="E543" s="9" t="str">
        <f>IF(A543="","",COUNTIFS(RawData[[Article ]],A543,RawData[[Error Type ]],"Excess",RawData[Month List],TEXT($A$4, "mmmm yyyy")))</f>
        <v/>
      </c>
      <c r="F543" s="9" t="str">
        <f>IF(A543="","",SUMIFS(RawData[Qyt Affected ( EA ) ],RawData[[Article ]],A543,RawData[Month List],TEXT($A$4,"mmmm yyyy")))</f>
        <v/>
      </c>
    </row>
    <row r="544" spans="2:6" ht="15.75" x14ac:dyDescent="0.25">
      <c r="B544" s="9" t="str">
        <f>IF(A544="","",INDEX(RawData[Description],MATCH(A544,RawData[[Article ]],0)))</f>
        <v/>
      </c>
      <c r="C544" s="9" t="str">
        <f>IF(A544="","",COUNTIFS(RawData[[Article ]],A544,RawData[Month List],TEXT($A$4,"mmmm yyyy")))</f>
        <v/>
      </c>
      <c r="D544" s="9" t="str">
        <f>IF(A544="","",COUNTIFS(RawData[[Article ]],A544,RawData[[Error Type ]],"Short",RawData[Month List],TEXT($A$4,"mmmm yyyy")))</f>
        <v/>
      </c>
      <c r="E544" s="9" t="str">
        <f>IF(A544="","",COUNTIFS(RawData[[Article ]],A544,RawData[[Error Type ]],"Excess",RawData[Month List],TEXT($A$4, "mmmm yyyy")))</f>
        <v/>
      </c>
      <c r="F544" s="9" t="str">
        <f>IF(A544="","",SUMIFS(RawData[Qyt Affected ( EA ) ],RawData[[Article ]],A544,RawData[Month List],TEXT($A$4,"mmmm yyyy")))</f>
        <v/>
      </c>
    </row>
    <row r="545" spans="2:6" ht="15.75" x14ac:dyDescent="0.25">
      <c r="B545" s="9" t="str">
        <f>IF(A545="","",INDEX(RawData[Description],MATCH(A545,RawData[[Article ]],0)))</f>
        <v/>
      </c>
      <c r="C545" s="9" t="str">
        <f>IF(A545="","",COUNTIFS(RawData[[Article ]],A545,RawData[Month List],TEXT($A$4,"mmmm yyyy")))</f>
        <v/>
      </c>
      <c r="D545" s="9" t="str">
        <f>IF(A545="","",COUNTIFS(RawData[[Article ]],A545,RawData[[Error Type ]],"Short",RawData[Month List],TEXT($A$4,"mmmm yyyy")))</f>
        <v/>
      </c>
      <c r="E545" s="9" t="str">
        <f>IF(A545="","",COUNTIFS(RawData[[Article ]],A545,RawData[[Error Type ]],"Excess",RawData[Month List],TEXT($A$4, "mmmm yyyy")))</f>
        <v/>
      </c>
      <c r="F545" s="9" t="str">
        <f>IF(A545="","",SUMIFS(RawData[Qyt Affected ( EA ) ],RawData[[Article ]],A545,RawData[Month List],TEXT($A$4,"mmmm yyyy")))</f>
        <v/>
      </c>
    </row>
    <row r="546" spans="2:6" ht="15.75" x14ac:dyDescent="0.25">
      <c r="B546" s="9" t="str">
        <f>IF(A546="","",INDEX(RawData[Description],MATCH(A546,RawData[[Article ]],0)))</f>
        <v/>
      </c>
      <c r="C546" s="9" t="str">
        <f>IF(A546="","",COUNTIFS(RawData[[Article ]],A546,RawData[Month List],TEXT($A$4,"mmmm yyyy")))</f>
        <v/>
      </c>
      <c r="D546" s="9" t="str">
        <f>IF(A546="","",COUNTIFS(RawData[[Article ]],A546,RawData[[Error Type ]],"Short",RawData[Month List],TEXT($A$4,"mmmm yyyy")))</f>
        <v/>
      </c>
      <c r="E546" s="9" t="str">
        <f>IF(A546="","",COUNTIFS(RawData[[Article ]],A546,RawData[[Error Type ]],"Excess",RawData[Month List],TEXT($A$4, "mmmm yyyy")))</f>
        <v/>
      </c>
      <c r="F546" s="9" t="str">
        <f>IF(A546="","",SUMIFS(RawData[Qyt Affected ( EA ) ],RawData[[Article ]],A546,RawData[Month List],TEXT($A$4,"mmmm yyyy")))</f>
        <v/>
      </c>
    </row>
    <row r="547" spans="2:6" ht="15.75" x14ac:dyDescent="0.25">
      <c r="B547" s="9" t="str">
        <f>IF(A547="","",INDEX(RawData[Description],MATCH(A547,RawData[[Article ]],0)))</f>
        <v/>
      </c>
      <c r="C547" s="9" t="str">
        <f>IF(A547="","",COUNTIFS(RawData[[Article ]],A547,RawData[Month List],TEXT($A$4,"mmmm yyyy")))</f>
        <v/>
      </c>
      <c r="D547" s="9" t="str">
        <f>IF(A547="","",COUNTIFS(RawData[[Article ]],A547,RawData[[Error Type ]],"Short",RawData[Month List],TEXT($A$4,"mmmm yyyy")))</f>
        <v/>
      </c>
      <c r="E547" s="9" t="str">
        <f>IF(A547="","",COUNTIFS(RawData[[Article ]],A547,RawData[[Error Type ]],"Excess",RawData[Month List],TEXT($A$4, "mmmm yyyy")))</f>
        <v/>
      </c>
      <c r="F547" s="9" t="str">
        <f>IF(A547="","",SUMIFS(RawData[Qyt Affected ( EA ) ],RawData[[Article ]],A547,RawData[Month List],TEXT($A$4,"mmmm yyyy")))</f>
        <v/>
      </c>
    </row>
    <row r="548" spans="2:6" ht="15.75" x14ac:dyDescent="0.25">
      <c r="B548" s="9" t="str">
        <f>IF(A548="","",INDEX(RawData[Description],MATCH(A548,RawData[[Article ]],0)))</f>
        <v/>
      </c>
      <c r="C548" s="9" t="str">
        <f>IF(A548="","",COUNTIFS(RawData[[Article ]],A548,RawData[Month List],TEXT($A$4,"mmmm yyyy")))</f>
        <v/>
      </c>
      <c r="D548" s="9" t="str">
        <f>IF(A548="","",COUNTIFS(RawData[[Article ]],A548,RawData[[Error Type ]],"Short",RawData[Month List],TEXT($A$4,"mmmm yyyy")))</f>
        <v/>
      </c>
      <c r="E548" s="9" t="str">
        <f>IF(A548="","",COUNTIFS(RawData[[Article ]],A548,RawData[[Error Type ]],"Excess",RawData[Month List],TEXT($A$4, "mmmm yyyy")))</f>
        <v/>
      </c>
      <c r="F548" s="9" t="str">
        <f>IF(A548="","",SUMIFS(RawData[Qyt Affected ( EA ) ],RawData[[Article ]],A548,RawData[Month List],TEXT($A$4,"mmmm yyyy")))</f>
        <v/>
      </c>
    </row>
    <row r="549" spans="2:6" ht="15.75" x14ac:dyDescent="0.25">
      <c r="B549" s="9" t="str">
        <f>IF(A549="","",INDEX(RawData[Description],MATCH(A549,RawData[[Article ]],0)))</f>
        <v/>
      </c>
      <c r="C549" s="9" t="str">
        <f>IF(A549="","",COUNTIFS(RawData[[Article ]],A549,RawData[Month List],TEXT($A$4,"mmmm yyyy")))</f>
        <v/>
      </c>
      <c r="D549" s="9" t="str">
        <f>IF(A549="","",COUNTIFS(RawData[[Article ]],A549,RawData[[Error Type ]],"Short",RawData[Month List],TEXT($A$4,"mmmm yyyy")))</f>
        <v/>
      </c>
      <c r="E549" s="9" t="str">
        <f>IF(A549="","",COUNTIFS(RawData[[Article ]],A549,RawData[[Error Type ]],"Excess",RawData[Month List],TEXT($A$4, "mmmm yyyy")))</f>
        <v/>
      </c>
      <c r="F549" s="9" t="str">
        <f>IF(A549="","",SUMIFS(RawData[Qyt Affected ( EA ) ],RawData[[Article ]],A549,RawData[Month List],TEXT($A$4,"mmmm yyyy")))</f>
        <v/>
      </c>
    </row>
    <row r="550" spans="2:6" ht="15.75" x14ac:dyDescent="0.25">
      <c r="B550" s="9" t="str">
        <f>IF(A550="","",INDEX(RawData[Description],MATCH(A550,RawData[[Article ]],0)))</f>
        <v/>
      </c>
      <c r="C550" s="9" t="str">
        <f>IF(A550="","",COUNTIFS(RawData[[Article ]],A550,RawData[Month List],TEXT($A$4,"mmmm yyyy")))</f>
        <v/>
      </c>
      <c r="D550" s="9" t="str">
        <f>IF(A550="","",COUNTIFS(RawData[[Article ]],A550,RawData[[Error Type ]],"Short",RawData[Month List],TEXT($A$4,"mmmm yyyy")))</f>
        <v/>
      </c>
      <c r="E550" s="9" t="str">
        <f>IF(A550="","",COUNTIFS(RawData[[Article ]],A550,RawData[[Error Type ]],"Excess",RawData[Month List],TEXT($A$4, "mmmm yyyy")))</f>
        <v/>
      </c>
      <c r="F550" s="9" t="str">
        <f>IF(A550="","",SUMIFS(RawData[Qyt Affected ( EA ) ],RawData[[Article ]],A550,RawData[Month List],TEXT($A$4,"mmmm yyyy")))</f>
        <v/>
      </c>
    </row>
    <row r="551" spans="2:6" ht="15.75" x14ac:dyDescent="0.25">
      <c r="B551" s="9" t="str">
        <f>IF(A551="","",INDEX(RawData[Description],MATCH(A551,RawData[[Article ]],0)))</f>
        <v/>
      </c>
      <c r="C551" s="9" t="str">
        <f>IF(A551="","",COUNTIFS(RawData[[Article ]],A551,RawData[Month List],TEXT($A$4,"mmmm yyyy")))</f>
        <v/>
      </c>
      <c r="D551" s="9" t="str">
        <f>IF(A551="","",COUNTIFS(RawData[[Article ]],A551,RawData[[Error Type ]],"Short",RawData[Month List],TEXT($A$4,"mmmm yyyy")))</f>
        <v/>
      </c>
      <c r="E551" s="9" t="str">
        <f>IF(A551="","",COUNTIFS(RawData[[Article ]],A551,RawData[[Error Type ]],"Excess",RawData[Month List],TEXT($A$4, "mmmm yyyy")))</f>
        <v/>
      </c>
      <c r="F551" s="9" t="str">
        <f>IF(A551="","",SUMIFS(RawData[Qyt Affected ( EA ) ],RawData[[Article ]],A551,RawData[Month List],TEXT($A$4,"mmmm yyyy")))</f>
        <v/>
      </c>
    </row>
    <row r="552" spans="2:6" ht="15.75" x14ac:dyDescent="0.25">
      <c r="B552" s="9" t="str">
        <f>IF(A552="","",INDEX(RawData[Description],MATCH(A552,RawData[[Article ]],0)))</f>
        <v/>
      </c>
      <c r="C552" s="9" t="str">
        <f>IF(A552="","",COUNTIFS(RawData[[Article ]],A552,RawData[Month List],TEXT($A$4,"mmmm yyyy")))</f>
        <v/>
      </c>
      <c r="D552" s="9" t="str">
        <f>IF(A552="","",COUNTIFS(RawData[[Article ]],A552,RawData[[Error Type ]],"Short",RawData[Month List],TEXT($A$4,"mmmm yyyy")))</f>
        <v/>
      </c>
      <c r="E552" s="9" t="str">
        <f>IF(A552="","",COUNTIFS(RawData[[Article ]],A552,RawData[[Error Type ]],"Excess",RawData[Month List],TEXT($A$4, "mmmm yyyy")))</f>
        <v/>
      </c>
      <c r="F552" s="9" t="str">
        <f>IF(A552="","",SUMIFS(RawData[Qyt Affected ( EA ) ],RawData[[Article ]],A552,RawData[Month List],TEXT($A$4,"mmmm yyyy")))</f>
        <v/>
      </c>
    </row>
    <row r="553" spans="2:6" ht="15.75" x14ac:dyDescent="0.25">
      <c r="B553" s="9" t="str">
        <f>IF(A553="","",INDEX(RawData[Description],MATCH(A553,RawData[[Article ]],0)))</f>
        <v/>
      </c>
      <c r="C553" s="9" t="str">
        <f>IF(A553="","",COUNTIFS(RawData[[Article ]],A553,RawData[Month List],TEXT($A$4,"mmmm yyyy")))</f>
        <v/>
      </c>
      <c r="D553" s="9" t="str">
        <f>IF(A553="","",COUNTIFS(RawData[[Article ]],A553,RawData[[Error Type ]],"Short",RawData[Month List],TEXT($A$4,"mmmm yyyy")))</f>
        <v/>
      </c>
      <c r="E553" s="9" t="str">
        <f>IF(A553="","",COUNTIFS(RawData[[Article ]],A553,RawData[[Error Type ]],"Excess",RawData[Month List],TEXT($A$4, "mmmm yyyy")))</f>
        <v/>
      </c>
      <c r="F553" s="9" t="str">
        <f>IF(A553="","",SUMIFS(RawData[Qyt Affected ( EA ) ],RawData[[Article ]],A553,RawData[Month List],TEXT($A$4,"mmmm yyyy")))</f>
        <v/>
      </c>
    </row>
    <row r="554" spans="2:6" ht="15.75" x14ac:dyDescent="0.25">
      <c r="B554" s="9" t="str">
        <f>IF(A554="","",INDEX(RawData[Description],MATCH(A554,RawData[[Article ]],0)))</f>
        <v/>
      </c>
      <c r="C554" s="9" t="str">
        <f>IF(A554="","",COUNTIFS(RawData[[Article ]],A554,RawData[Month List],TEXT($A$4,"mmmm yyyy")))</f>
        <v/>
      </c>
      <c r="D554" s="9" t="str">
        <f>IF(A554="","",COUNTIFS(RawData[[Article ]],A554,RawData[[Error Type ]],"Short",RawData[Month List],TEXT($A$4,"mmmm yyyy")))</f>
        <v/>
      </c>
      <c r="E554" s="9" t="str">
        <f>IF(A554="","",COUNTIFS(RawData[[Article ]],A554,RawData[[Error Type ]],"Excess",RawData[Month List],TEXT($A$4, "mmmm yyyy")))</f>
        <v/>
      </c>
      <c r="F554" s="9" t="str">
        <f>IF(A554="","",SUMIFS(RawData[Qyt Affected ( EA ) ],RawData[[Article ]],A554,RawData[Month List],TEXT($A$4,"mmmm yyyy")))</f>
        <v/>
      </c>
    </row>
    <row r="555" spans="2:6" ht="15.75" x14ac:dyDescent="0.25">
      <c r="B555" s="9" t="str">
        <f>IF(A555="","",INDEX(RawData[Description],MATCH(A555,RawData[[Article ]],0)))</f>
        <v/>
      </c>
      <c r="C555" s="9" t="str">
        <f>IF(A555="","",COUNTIFS(RawData[[Article ]],A555,RawData[Month List],TEXT($A$4,"mmmm yyyy")))</f>
        <v/>
      </c>
      <c r="D555" s="9" t="str">
        <f>IF(A555="","",COUNTIFS(RawData[[Article ]],A555,RawData[[Error Type ]],"Short",RawData[Month List],TEXT($A$4,"mmmm yyyy")))</f>
        <v/>
      </c>
      <c r="E555" s="9" t="str">
        <f>IF(A555="","",COUNTIFS(RawData[[Article ]],A555,RawData[[Error Type ]],"Excess",RawData[Month List],TEXT($A$4, "mmmm yyyy")))</f>
        <v/>
      </c>
      <c r="F555" s="9" t="str">
        <f>IF(A555="","",SUMIFS(RawData[Qyt Affected ( EA ) ],RawData[[Article ]],A555,RawData[Month List],TEXT($A$4,"mmmm yyyy")))</f>
        <v/>
      </c>
    </row>
    <row r="556" spans="2:6" ht="15.75" x14ac:dyDescent="0.25">
      <c r="B556" s="9" t="str">
        <f>IF(A556="","",INDEX(RawData[Description],MATCH(A556,RawData[[Article ]],0)))</f>
        <v/>
      </c>
      <c r="C556" s="9" t="str">
        <f>IF(A556="","",COUNTIFS(RawData[[Article ]],A556,RawData[Month List],TEXT($A$4,"mmmm yyyy")))</f>
        <v/>
      </c>
      <c r="D556" s="9" t="str">
        <f>IF(A556="","",COUNTIFS(RawData[[Article ]],A556,RawData[[Error Type ]],"Short",RawData[Month List],TEXT($A$4,"mmmm yyyy")))</f>
        <v/>
      </c>
      <c r="E556" s="9" t="str">
        <f>IF(A556="","",COUNTIFS(RawData[[Article ]],A556,RawData[[Error Type ]],"Excess",RawData[Month List],TEXT($A$4, "mmmm yyyy")))</f>
        <v/>
      </c>
      <c r="F556" s="9" t="str">
        <f>IF(A556="","",SUMIFS(RawData[Qyt Affected ( EA ) ],RawData[[Article ]],A556,RawData[Month List],TEXT($A$4,"mmmm yyyy")))</f>
        <v/>
      </c>
    </row>
    <row r="557" spans="2:6" ht="15.75" x14ac:dyDescent="0.25">
      <c r="B557" s="9" t="str">
        <f>IF(A557="","",INDEX(RawData[Description],MATCH(A557,RawData[[Article ]],0)))</f>
        <v/>
      </c>
      <c r="C557" s="9" t="str">
        <f>IF(A557="","",COUNTIFS(RawData[[Article ]],A557,RawData[Month List],TEXT($A$4,"mmmm yyyy")))</f>
        <v/>
      </c>
      <c r="D557" s="9" t="str">
        <f>IF(A557="","",COUNTIFS(RawData[[Article ]],A557,RawData[[Error Type ]],"Short",RawData[Month List],TEXT($A$4,"mmmm yyyy")))</f>
        <v/>
      </c>
      <c r="E557" s="9" t="str">
        <f>IF(A557="","",COUNTIFS(RawData[[Article ]],A557,RawData[[Error Type ]],"Excess",RawData[Month List],TEXT($A$4, "mmmm yyyy")))</f>
        <v/>
      </c>
      <c r="F557" s="9" t="str">
        <f>IF(A557="","",SUMIFS(RawData[Qyt Affected ( EA ) ],RawData[[Article ]],A557,RawData[Month List],TEXT($A$4,"mmmm yyyy")))</f>
        <v/>
      </c>
    </row>
    <row r="558" spans="2:6" ht="15.75" x14ac:dyDescent="0.25">
      <c r="B558" s="9" t="str">
        <f>IF(A558="","",INDEX(RawData[Description],MATCH(A558,RawData[[Article ]],0)))</f>
        <v/>
      </c>
      <c r="C558" s="9" t="str">
        <f>IF(A558="","",COUNTIFS(RawData[[Article ]],A558,RawData[Month List],TEXT($A$4,"mmmm yyyy")))</f>
        <v/>
      </c>
      <c r="D558" s="9" t="str">
        <f>IF(A558="","",COUNTIFS(RawData[[Article ]],A558,RawData[[Error Type ]],"Short",RawData[Month List],TEXT($A$4,"mmmm yyyy")))</f>
        <v/>
      </c>
      <c r="E558" s="9" t="str">
        <f>IF(A558="","",COUNTIFS(RawData[[Article ]],A558,RawData[[Error Type ]],"Excess",RawData[Month List],TEXT($A$4, "mmmm yyyy")))</f>
        <v/>
      </c>
      <c r="F558" s="9" t="str">
        <f>IF(A558="","",SUMIFS(RawData[Qyt Affected ( EA ) ],RawData[[Article ]],A558,RawData[Month List],TEXT($A$4,"mmmm yyyy")))</f>
        <v/>
      </c>
    </row>
    <row r="559" spans="2:6" ht="15.75" x14ac:dyDescent="0.25">
      <c r="B559" s="9" t="str">
        <f>IF(A559="","",INDEX(RawData[Description],MATCH(A559,RawData[[Article ]],0)))</f>
        <v/>
      </c>
      <c r="C559" s="9" t="str">
        <f>IF(A559="","",COUNTIFS(RawData[[Article ]],A559,RawData[Month List],TEXT($A$4,"mmmm yyyy")))</f>
        <v/>
      </c>
      <c r="D559" s="9" t="str">
        <f>IF(A559="","",COUNTIFS(RawData[[Article ]],A559,RawData[[Error Type ]],"Short",RawData[Month List],TEXT($A$4,"mmmm yyyy")))</f>
        <v/>
      </c>
      <c r="E559" s="9" t="str">
        <f>IF(A559="","",COUNTIFS(RawData[[Article ]],A559,RawData[[Error Type ]],"Excess",RawData[Month List],TEXT($A$4, "mmmm yyyy")))</f>
        <v/>
      </c>
      <c r="F559" s="9" t="str">
        <f>IF(A559="","",SUMIFS(RawData[Qyt Affected ( EA ) ],RawData[[Article ]],A559,RawData[Month List],TEXT($A$4,"mmmm yyyy")))</f>
        <v/>
      </c>
    </row>
    <row r="560" spans="2:6" ht="15.75" x14ac:dyDescent="0.25">
      <c r="B560" s="9" t="str">
        <f>IF(A560="","",INDEX(RawData[Description],MATCH(A560,RawData[[Article ]],0)))</f>
        <v/>
      </c>
      <c r="C560" s="9" t="str">
        <f>IF(A560="","",COUNTIFS(RawData[[Article ]],A560,RawData[Month List],TEXT($A$4,"mmmm yyyy")))</f>
        <v/>
      </c>
      <c r="D560" s="9" t="str">
        <f>IF(A560="","",COUNTIFS(RawData[[Article ]],A560,RawData[[Error Type ]],"Short",RawData[Month List],TEXT($A$4,"mmmm yyyy")))</f>
        <v/>
      </c>
      <c r="E560" s="9" t="str">
        <f>IF(A560="","",COUNTIFS(RawData[[Article ]],A560,RawData[[Error Type ]],"Excess",RawData[Month List],TEXT($A$4, "mmmm yyyy")))</f>
        <v/>
      </c>
      <c r="F560" s="9" t="str">
        <f>IF(A560="","",SUMIFS(RawData[Qyt Affected ( EA ) ],RawData[[Article ]],A560,RawData[Month List],TEXT($A$4,"mmmm yyyy")))</f>
        <v/>
      </c>
    </row>
    <row r="561" spans="2:6" ht="15.75" x14ac:dyDescent="0.25">
      <c r="B561" s="9" t="str">
        <f>IF(A561="","",INDEX(RawData[Description],MATCH(A561,RawData[[Article ]],0)))</f>
        <v/>
      </c>
      <c r="C561" s="9" t="str">
        <f>IF(A561="","",COUNTIFS(RawData[[Article ]],A561,RawData[Month List],TEXT($A$4,"mmmm yyyy")))</f>
        <v/>
      </c>
      <c r="D561" s="9" t="str">
        <f>IF(A561="","",COUNTIFS(RawData[[Article ]],A561,RawData[[Error Type ]],"Short",RawData[Month List],TEXT($A$4,"mmmm yyyy")))</f>
        <v/>
      </c>
      <c r="E561" s="9" t="str">
        <f>IF(A561="","",COUNTIFS(RawData[[Article ]],A561,RawData[[Error Type ]],"Excess",RawData[Month List],TEXT($A$4, "mmmm yyyy")))</f>
        <v/>
      </c>
      <c r="F561" s="9" t="str">
        <f>IF(A561="","",SUMIFS(RawData[Qyt Affected ( EA ) ],RawData[[Article ]],A561,RawData[Month List],TEXT($A$4,"mmmm yyyy")))</f>
        <v/>
      </c>
    </row>
    <row r="562" spans="2:6" ht="15.75" x14ac:dyDescent="0.25">
      <c r="B562" s="9" t="str">
        <f>IF(A562="","",INDEX(RawData[Description],MATCH(A562,RawData[[Article ]],0)))</f>
        <v/>
      </c>
      <c r="C562" s="9" t="str">
        <f>IF(A562="","",COUNTIFS(RawData[[Article ]],A562,RawData[Month List],TEXT($A$4,"mmmm yyyy")))</f>
        <v/>
      </c>
      <c r="D562" s="9" t="str">
        <f>IF(A562="","",COUNTIFS(RawData[[Article ]],A562,RawData[[Error Type ]],"Short",RawData[Month List],TEXT($A$4,"mmmm yyyy")))</f>
        <v/>
      </c>
      <c r="E562" s="9" t="str">
        <f>IF(A562="","",COUNTIFS(RawData[[Article ]],A562,RawData[[Error Type ]],"Excess",RawData[Month List],TEXT($A$4, "mmmm yyyy")))</f>
        <v/>
      </c>
      <c r="F562" s="9" t="str">
        <f>IF(A562="","",SUMIFS(RawData[Qyt Affected ( EA ) ],RawData[[Article ]],A562,RawData[Month List],TEXT($A$4,"mmmm yyyy")))</f>
        <v/>
      </c>
    </row>
    <row r="563" spans="2:6" ht="15.75" x14ac:dyDescent="0.25">
      <c r="B563" s="9" t="str">
        <f>IF(A563="","",INDEX(RawData[Description],MATCH(A563,RawData[[Article ]],0)))</f>
        <v/>
      </c>
      <c r="C563" s="9" t="str">
        <f>IF(A563="","",COUNTIFS(RawData[[Article ]],A563,RawData[Month List],TEXT($A$4,"mmmm yyyy")))</f>
        <v/>
      </c>
      <c r="D563" s="9" t="str">
        <f>IF(A563="","",COUNTIFS(RawData[[Article ]],A563,RawData[[Error Type ]],"Short",RawData[Month List],TEXT($A$4,"mmmm yyyy")))</f>
        <v/>
      </c>
      <c r="E563" s="9" t="str">
        <f>IF(A563="","",COUNTIFS(RawData[[Article ]],A563,RawData[[Error Type ]],"Excess",RawData[Month List],TEXT($A$4, "mmmm yyyy")))</f>
        <v/>
      </c>
      <c r="F563" s="9" t="str">
        <f>IF(A563="","",SUMIFS(RawData[Qyt Affected ( EA ) ],RawData[[Article ]],A563,RawData[Month List],TEXT($A$4,"mmmm yyyy")))</f>
        <v/>
      </c>
    </row>
    <row r="564" spans="2:6" ht="15.75" x14ac:dyDescent="0.25">
      <c r="B564" s="9" t="str">
        <f>IF(A564="","",INDEX(RawData[Description],MATCH(A564,RawData[[Article ]],0)))</f>
        <v/>
      </c>
      <c r="C564" s="9" t="str">
        <f>IF(A564="","",COUNTIFS(RawData[[Article ]],A564,RawData[Month List],TEXT($A$4,"mmmm yyyy")))</f>
        <v/>
      </c>
      <c r="D564" s="9" t="str">
        <f>IF(A564="","",COUNTIFS(RawData[[Article ]],A564,RawData[[Error Type ]],"Short",RawData[Month List],TEXT($A$4,"mmmm yyyy")))</f>
        <v/>
      </c>
      <c r="E564" s="9" t="str">
        <f>IF(A564="","",COUNTIFS(RawData[[Article ]],A564,RawData[[Error Type ]],"Excess",RawData[Month List],TEXT($A$4, "mmmm yyyy")))</f>
        <v/>
      </c>
      <c r="F564" s="9" t="str">
        <f>IF(A564="","",SUMIFS(RawData[Qyt Affected ( EA ) ],RawData[[Article ]],A564,RawData[Month List],TEXT($A$4,"mmmm yyyy")))</f>
        <v/>
      </c>
    </row>
    <row r="565" spans="2:6" ht="15.75" x14ac:dyDescent="0.25">
      <c r="B565" s="9" t="str">
        <f>IF(A565="","",INDEX(RawData[Description],MATCH(A565,RawData[[Article ]],0)))</f>
        <v/>
      </c>
      <c r="C565" s="9" t="str">
        <f>IF(A565="","",COUNTIFS(RawData[[Article ]],A565,RawData[Month List],TEXT($A$4,"mmmm yyyy")))</f>
        <v/>
      </c>
      <c r="D565" s="9" t="str">
        <f>IF(A565="","",COUNTIFS(RawData[[Article ]],A565,RawData[[Error Type ]],"Short",RawData[Month List],TEXT($A$4,"mmmm yyyy")))</f>
        <v/>
      </c>
      <c r="E565" s="9" t="str">
        <f>IF(A565="","",COUNTIFS(RawData[[Article ]],A565,RawData[[Error Type ]],"Excess",RawData[Month List],TEXT($A$4, "mmmm yyyy")))</f>
        <v/>
      </c>
      <c r="F565" s="9" t="str">
        <f>IF(A565="","",SUMIFS(RawData[Qyt Affected ( EA ) ],RawData[[Article ]],A565,RawData[Month List],TEXT($A$4,"mmmm yyyy")))</f>
        <v/>
      </c>
    </row>
    <row r="566" spans="2:6" ht="15.75" x14ac:dyDescent="0.25">
      <c r="B566" s="9" t="str">
        <f>IF(A566="","",INDEX(RawData[Description],MATCH(A566,RawData[[Article ]],0)))</f>
        <v/>
      </c>
      <c r="C566" s="9" t="str">
        <f>IF(A566="","",COUNTIFS(RawData[[Article ]],A566,RawData[Month List],TEXT($A$4,"mmmm yyyy")))</f>
        <v/>
      </c>
      <c r="D566" s="9" t="str">
        <f>IF(A566="","",COUNTIFS(RawData[[Article ]],A566,RawData[[Error Type ]],"Short",RawData[Month List],TEXT($A$4,"mmmm yyyy")))</f>
        <v/>
      </c>
      <c r="E566" s="9" t="str">
        <f>IF(A566="","",COUNTIFS(RawData[[Article ]],A566,RawData[[Error Type ]],"Excess",RawData[Month List],TEXT($A$4, "mmmm yyyy")))</f>
        <v/>
      </c>
      <c r="F566" s="9" t="str">
        <f>IF(A566="","",SUMIFS(RawData[Qyt Affected ( EA ) ],RawData[[Article ]],A566,RawData[Month List],TEXT($A$4,"mmmm yyyy")))</f>
        <v/>
      </c>
    </row>
    <row r="567" spans="2:6" ht="15.75" x14ac:dyDescent="0.25">
      <c r="B567" s="9" t="str">
        <f>IF(A567="","",INDEX(RawData[Description],MATCH(A567,RawData[[Article ]],0)))</f>
        <v/>
      </c>
      <c r="C567" s="9" t="str">
        <f>IF(A567="","",COUNTIFS(RawData[[Article ]],A567,RawData[Month List],TEXT($A$4,"mmmm yyyy")))</f>
        <v/>
      </c>
      <c r="D567" s="9" t="str">
        <f>IF(A567="","",COUNTIFS(RawData[[Article ]],A567,RawData[[Error Type ]],"Short",RawData[Month List],TEXT($A$4,"mmmm yyyy")))</f>
        <v/>
      </c>
      <c r="E567" s="9" t="str">
        <f>IF(A567="","",COUNTIFS(RawData[[Article ]],A567,RawData[[Error Type ]],"Excess",RawData[Month List],TEXT($A$4, "mmmm yyyy")))</f>
        <v/>
      </c>
      <c r="F567" s="9" t="str">
        <f>IF(A567="","",SUMIFS(RawData[Qyt Affected ( EA ) ],RawData[[Article ]],A567,RawData[Month List],TEXT($A$4,"mmmm yyyy")))</f>
        <v/>
      </c>
    </row>
    <row r="568" spans="2:6" ht="15.75" x14ac:dyDescent="0.25">
      <c r="B568" s="9" t="str">
        <f>IF(A568="","",INDEX(RawData[Description],MATCH(A568,RawData[[Article ]],0)))</f>
        <v/>
      </c>
      <c r="C568" s="9" t="str">
        <f>IF(A568="","",COUNTIFS(RawData[[Article ]],A568,RawData[Month List],TEXT($A$4,"mmmm yyyy")))</f>
        <v/>
      </c>
      <c r="D568" s="9" t="str">
        <f>IF(A568="","",COUNTIFS(RawData[[Article ]],A568,RawData[[Error Type ]],"Short",RawData[Month List],TEXT($A$4,"mmmm yyyy")))</f>
        <v/>
      </c>
      <c r="E568" s="9" t="str">
        <f>IF(A568="","",COUNTIFS(RawData[[Article ]],A568,RawData[[Error Type ]],"Excess",RawData[Month List],TEXT($A$4, "mmmm yyyy")))</f>
        <v/>
      </c>
      <c r="F568" s="9" t="str">
        <f>IF(A568="","",SUMIFS(RawData[Qyt Affected ( EA ) ],RawData[[Article ]],A568,RawData[Month List],TEXT($A$4,"mmmm yyyy")))</f>
        <v/>
      </c>
    </row>
    <row r="569" spans="2:6" ht="15.75" x14ac:dyDescent="0.25">
      <c r="B569" s="9" t="str">
        <f>IF(A569="","",INDEX(RawData[Description],MATCH(A569,RawData[[Article ]],0)))</f>
        <v/>
      </c>
      <c r="C569" s="9" t="str">
        <f>IF(A569="","",COUNTIFS(RawData[[Article ]],A569,RawData[Month List],TEXT($A$4,"mmmm yyyy")))</f>
        <v/>
      </c>
      <c r="D569" s="9" t="str">
        <f>IF(A569="","",COUNTIFS(RawData[[Article ]],A569,RawData[[Error Type ]],"Short",RawData[Month List],TEXT($A$4,"mmmm yyyy")))</f>
        <v/>
      </c>
      <c r="E569" s="9" t="str">
        <f>IF(A569="","",COUNTIFS(RawData[[Article ]],A569,RawData[[Error Type ]],"Excess",RawData[Month List],TEXT($A$4, "mmmm yyyy")))</f>
        <v/>
      </c>
      <c r="F569" s="9" t="str">
        <f>IF(A569="","",SUMIFS(RawData[Qyt Affected ( EA ) ],RawData[[Article ]],A569,RawData[Month List],TEXT($A$4,"mmmm yyyy")))</f>
        <v/>
      </c>
    </row>
    <row r="570" spans="2:6" ht="15.75" x14ac:dyDescent="0.25">
      <c r="B570" s="9" t="str">
        <f>IF(A570="","",INDEX(RawData[Description],MATCH(A570,RawData[[Article ]],0)))</f>
        <v/>
      </c>
      <c r="C570" s="9" t="str">
        <f>IF(A570="","",COUNTIFS(RawData[[Article ]],A570,RawData[Month List],TEXT($A$4,"mmmm yyyy")))</f>
        <v/>
      </c>
      <c r="D570" s="9" t="str">
        <f>IF(A570="","",COUNTIFS(RawData[[Article ]],A570,RawData[[Error Type ]],"Short",RawData[Month List],TEXT($A$4,"mmmm yyyy")))</f>
        <v/>
      </c>
      <c r="E570" s="9" t="str">
        <f>IF(A570="","",COUNTIFS(RawData[[Article ]],A570,RawData[[Error Type ]],"Excess",RawData[Month List],TEXT($A$4, "mmmm yyyy")))</f>
        <v/>
      </c>
      <c r="F570" s="9" t="str">
        <f>IF(A570="","",SUMIFS(RawData[Qyt Affected ( EA ) ],RawData[[Article ]],A570,RawData[Month List],TEXT($A$4,"mmmm yyyy")))</f>
        <v/>
      </c>
    </row>
    <row r="571" spans="2:6" ht="15.75" x14ac:dyDescent="0.25">
      <c r="B571" s="9" t="str">
        <f>IF(A571="","",INDEX(RawData[Description],MATCH(A571,RawData[[Article ]],0)))</f>
        <v/>
      </c>
      <c r="C571" s="9" t="str">
        <f>IF(A571="","",COUNTIFS(RawData[[Article ]],A571,RawData[Month List],TEXT($A$4,"mmmm yyyy")))</f>
        <v/>
      </c>
      <c r="D571" s="9" t="str">
        <f>IF(A571="","",COUNTIFS(RawData[[Article ]],A571,RawData[[Error Type ]],"Short",RawData[Month List],TEXT($A$4,"mmmm yyyy")))</f>
        <v/>
      </c>
      <c r="E571" s="9" t="str">
        <f>IF(A571="","",COUNTIFS(RawData[[Article ]],A571,RawData[[Error Type ]],"Excess",RawData[Month List],TEXT($A$4, "mmmm yyyy")))</f>
        <v/>
      </c>
      <c r="F571" s="9" t="str">
        <f>IF(A571="","",SUMIFS(RawData[Qyt Affected ( EA ) ],RawData[[Article ]],A571,RawData[Month List],TEXT($A$4,"mmmm yyyy")))</f>
        <v/>
      </c>
    </row>
    <row r="572" spans="2:6" ht="15.75" x14ac:dyDescent="0.25">
      <c r="B572" s="9" t="str">
        <f>IF(A572="","",INDEX(RawData[Description],MATCH(A572,RawData[[Article ]],0)))</f>
        <v/>
      </c>
      <c r="C572" s="9" t="str">
        <f>IF(A572="","",COUNTIFS(RawData[[Article ]],A572,RawData[Month List],TEXT($A$4,"mmmm yyyy")))</f>
        <v/>
      </c>
      <c r="D572" s="9" t="str">
        <f>IF(A572="","",COUNTIFS(RawData[[Article ]],A572,RawData[[Error Type ]],"Short",RawData[Month List],TEXT($A$4,"mmmm yyyy")))</f>
        <v/>
      </c>
      <c r="E572" s="9" t="str">
        <f>IF(A572="","",COUNTIFS(RawData[[Article ]],A572,RawData[[Error Type ]],"Excess",RawData[Month List],TEXT($A$4, "mmmm yyyy")))</f>
        <v/>
      </c>
      <c r="F572" s="9" t="str">
        <f>IF(A572="","",SUMIFS(RawData[Qyt Affected ( EA ) ],RawData[[Article ]],A572,RawData[Month List],TEXT($A$4,"mmmm yyyy")))</f>
        <v/>
      </c>
    </row>
    <row r="573" spans="2:6" ht="15.75" x14ac:dyDescent="0.25">
      <c r="B573" s="9" t="str">
        <f>IF(A573="","",INDEX(RawData[Description],MATCH(A573,RawData[[Article ]],0)))</f>
        <v/>
      </c>
      <c r="C573" s="9" t="str">
        <f>IF(A573="","",COUNTIFS(RawData[[Article ]],A573,RawData[Month List],TEXT($A$4,"mmmm yyyy")))</f>
        <v/>
      </c>
      <c r="D573" s="9" t="str">
        <f>IF(A573="","",COUNTIFS(RawData[[Article ]],A573,RawData[[Error Type ]],"Short",RawData[Month List],TEXT($A$4,"mmmm yyyy")))</f>
        <v/>
      </c>
      <c r="E573" s="9" t="str">
        <f>IF(A573="","",COUNTIFS(RawData[[Article ]],A573,RawData[[Error Type ]],"Excess",RawData[Month List],TEXT($A$4, "mmmm yyyy")))</f>
        <v/>
      </c>
      <c r="F573" s="9" t="str">
        <f>IF(A573="","",SUMIFS(RawData[Qyt Affected ( EA ) ],RawData[[Article ]],A573,RawData[Month List],TEXT($A$4,"mmmm yyyy")))</f>
        <v/>
      </c>
    </row>
    <row r="574" spans="2:6" ht="15.75" x14ac:dyDescent="0.25">
      <c r="B574" s="9" t="str">
        <f>IF(A574="","",INDEX(RawData[Description],MATCH(A574,RawData[[Article ]],0)))</f>
        <v/>
      </c>
      <c r="C574" s="9" t="str">
        <f>IF(A574="","",COUNTIFS(RawData[[Article ]],A574,RawData[Month List],TEXT($A$4,"mmmm yyyy")))</f>
        <v/>
      </c>
      <c r="D574" s="9" t="str">
        <f>IF(A574="","",COUNTIFS(RawData[[Article ]],A574,RawData[[Error Type ]],"Short",RawData[Month List],TEXT($A$4,"mmmm yyyy")))</f>
        <v/>
      </c>
      <c r="E574" s="9" t="str">
        <f>IF(A574="","",COUNTIFS(RawData[[Article ]],A574,RawData[[Error Type ]],"Excess",RawData[Month List],TEXT($A$4, "mmmm yyyy")))</f>
        <v/>
      </c>
      <c r="F574" s="9" t="str">
        <f>IF(A574="","",SUMIFS(RawData[Qyt Affected ( EA ) ],RawData[[Article ]],A574,RawData[Month List],TEXT($A$4,"mmmm yyyy")))</f>
        <v/>
      </c>
    </row>
    <row r="575" spans="2:6" ht="15.75" x14ac:dyDescent="0.25">
      <c r="B575" s="9" t="str">
        <f>IF(A575="","",INDEX(RawData[Description],MATCH(A575,RawData[[Article ]],0)))</f>
        <v/>
      </c>
      <c r="C575" s="9" t="str">
        <f>IF(A575="","",COUNTIFS(RawData[[Article ]],A575,RawData[Month List],TEXT($A$4,"mmmm yyyy")))</f>
        <v/>
      </c>
      <c r="D575" s="9" t="str">
        <f>IF(A575="","",COUNTIFS(RawData[[Article ]],A575,RawData[[Error Type ]],"Short",RawData[Month List],TEXT($A$4,"mmmm yyyy")))</f>
        <v/>
      </c>
      <c r="E575" s="9" t="str">
        <f>IF(A575="","",COUNTIFS(RawData[[Article ]],A575,RawData[[Error Type ]],"Excess",RawData[Month List],TEXT($A$4, "mmmm yyyy")))</f>
        <v/>
      </c>
      <c r="F575" s="9" t="str">
        <f>IF(A575="","",SUMIFS(RawData[Qyt Affected ( EA ) ],RawData[[Article ]],A575,RawData[Month List],TEXT($A$4,"mmmm yyyy")))</f>
        <v/>
      </c>
    </row>
    <row r="576" spans="2:6" ht="15.75" x14ac:dyDescent="0.25">
      <c r="B576" s="9" t="str">
        <f>IF(A576="","",INDEX(RawData[Description],MATCH(A576,RawData[[Article ]],0)))</f>
        <v/>
      </c>
      <c r="C576" s="9" t="str">
        <f>IF(A576="","",COUNTIFS(RawData[[Article ]],A576,RawData[Month List],TEXT($A$4,"mmmm yyyy")))</f>
        <v/>
      </c>
      <c r="D576" s="9" t="str">
        <f>IF(A576="","",COUNTIFS(RawData[[Article ]],A576,RawData[[Error Type ]],"Short",RawData[Month List],TEXT($A$4,"mmmm yyyy")))</f>
        <v/>
      </c>
      <c r="E576" s="9" t="str">
        <f>IF(A576="","",COUNTIFS(RawData[[Article ]],A576,RawData[[Error Type ]],"Excess",RawData[Month List],TEXT($A$4, "mmmm yyyy")))</f>
        <v/>
      </c>
      <c r="F576" s="9" t="str">
        <f>IF(A576="","",SUMIFS(RawData[Qyt Affected ( EA ) ],RawData[[Article ]],A576,RawData[Month List],TEXT($A$4,"mmmm yyyy")))</f>
        <v/>
      </c>
    </row>
    <row r="577" spans="2:6" ht="15.75" x14ac:dyDescent="0.25">
      <c r="B577" s="9" t="str">
        <f>IF(A577="","",INDEX(RawData[Description],MATCH(A577,RawData[[Article ]],0)))</f>
        <v/>
      </c>
      <c r="C577" s="9" t="str">
        <f>IF(A577="","",COUNTIFS(RawData[[Article ]],A577,RawData[Month List],TEXT($A$4,"mmmm yyyy")))</f>
        <v/>
      </c>
      <c r="D577" s="9" t="str">
        <f>IF(A577="","",COUNTIFS(RawData[[Article ]],A577,RawData[[Error Type ]],"Short",RawData[Month List],TEXT($A$4,"mmmm yyyy")))</f>
        <v/>
      </c>
      <c r="E577" s="9" t="str">
        <f>IF(A577="","",COUNTIFS(RawData[[Article ]],A577,RawData[[Error Type ]],"Excess",RawData[Month List],TEXT($A$4, "mmmm yyyy")))</f>
        <v/>
      </c>
      <c r="F577" s="9" t="str">
        <f>IF(A577="","",SUMIFS(RawData[Qyt Affected ( EA ) ],RawData[[Article ]],A577,RawData[Month List],TEXT($A$4,"mmmm yyyy")))</f>
        <v/>
      </c>
    </row>
    <row r="578" spans="2:6" ht="15.75" x14ac:dyDescent="0.25">
      <c r="B578" s="9" t="str">
        <f>IF(A578="","",INDEX(RawData[Description],MATCH(A578,RawData[[Article ]],0)))</f>
        <v/>
      </c>
      <c r="C578" s="9" t="str">
        <f>IF(A578="","",COUNTIFS(RawData[[Article ]],A578,RawData[Month List],TEXT($A$4,"mmmm yyyy")))</f>
        <v/>
      </c>
      <c r="D578" s="9" t="str">
        <f>IF(A578="","",COUNTIFS(RawData[[Article ]],A578,RawData[[Error Type ]],"Short",RawData[Month List],TEXT($A$4,"mmmm yyyy")))</f>
        <v/>
      </c>
      <c r="E578" s="9" t="str">
        <f>IF(A578="","",COUNTIFS(RawData[[Article ]],A578,RawData[[Error Type ]],"Excess",RawData[Month List],TEXT($A$4, "mmmm yyyy")))</f>
        <v/>
      </c>
      <c r="F578" s="9" t="str">
        <f>IF(A578="","",SUMIFS(RawData[Qyt Affected ( EA ) ],RawData[[Article ]],A578,RawData[Month List],TEXT($A$4,"mmmm yyyy")))</f>
        <v/>
      </c>
    </row>
    <row r="579" spans="2:6" ht="15.75" x14ac:dyDescent="0.25">
      <c r="B579" s="9" t="str">
        <f>IF(A579="","",INDEX(RawData[Description],MATCH(A579,RawData[[Article ]],0)))</f>
        <v/>
      </c>
      <c r="C579" s="9" t="str">
        <f>IF(A579="","",COUNTIFS(RawData[[Article ]],A579,RawData[Month List],TEXT($A$4,"mmmm yyyy")))</f>
        <v/>
      </c>
      <c r="D579" s="9" t="str">
        <f>IF(A579="","",COUNTIFS(RawData[[Article ]],A579,RawData[[Error Type ]],"Short",RawData[Month List],TEXT($A$4,"mmmm yyyy")))</f>
        <v/>
      </c>
      <c r="E579" s="9" t="str">
        <f>IF(A579="","",COUNTIFS(RawData[[Article ]],A579,RawData[[Error Type ]],"Excess",RawData[Month List],TEXT($A$4, "mmmm yyyy")))</f>
        <v/>
      </c>
      <c r="F579" s="9" t="str">
        <f>IF(A579="","",SUMIFS(RawData[Qyt Affected ( EA ) ],RawData[[Article ]],A579,RawData[Month List],TEXT($A$4,"mmmm yyyy")))</f>
        <v/>
      </c>
    </row>
    <row r="580" spans="2:6" ht="15.75" x14ac:dyDescent="0.25">
      <c r="B580" s="9" t="str">
        <f>IF(A580="","",INDEX(RawData[Description],MATCH(A580,RawData[[Article ]],0)))</f>
        <v/>
      </c>
      <c r="C580" s="9" t="str">
        <f>IF(A580="","",COUNTIFS(RawData[[Article ]],A580,RawData[Month List],TEXT($A$4,"mmmm yyyy")))</f>
        <v/>
      </c>
      <c r="D580" s="9" t="str">
        <f>IF(A580="","",COUNTIFS(RawData[[Article ]],A580,RawData[[Error Type ]],"Short",RawData[Month List],TEXT($A$4,"mmmm yyyy")))</f>
        <v/>
      </c>
      <c r="E580" s="9" t="str">
        <f>IF(A580="","",COUNTIFS(RawData[[Article ]],A580,RawData[[Error Type ]],"Excess",RawData[Month List],TEXT($A$4, "mmmm yyyy")))</f>
        <v/>
      </c>
      <c r="F580" s="9" t="str">
        <f>IF(A580="","",SUMIFS(RawData[Qyt Affected ( EA ) ],RawData[[Article ]],A580,RawData[Month List],TEXT($A$4,"mmmm yyyy")))</f>
        <v/>
      </c>
    </row>
    <row r="581" spans="2:6" ht="15.75" x14ac:dyDescent="0.25">
      <c r="B581" s="9" t="str">
        <f>IF(A581="","",INDEX(RawData[Description],MATCH(A581,RawData[[Article ]],0)))</f>
        <v/>
      </c>
      <c r="C581" s="9" t="str">
        <f>IF(A581="","",COUNTIFS(RawData[[Article ]],A581,RawData[Month List],TEXT($A$4,"mmmm yyyy")))</f>
        <v/>
      </c>
      <c r="D581" s="9" t="str">
        <f>IF(A581="","",COUNTIFS(RawData[[Article ]],A581,RawData[[Error Type ]],"Short",RawData[Month List],TEXT($A$4,"mmmm yyyy")))</f>
        <v/>
      </c>
      <c r="E581" s="9" t="str">
        <f>IF(A581="","",COUNTIFS(RawData[[Article ]],A581,RawData[[Error Type ]],"Excess",RawData[Month List],TEXT($A$4, "mmmm yyyy")))</f>
        <v/>
      </c>
      <c r="F581" s="9" t="str">
        <f>IF(A581="","",SUMIFS(RawData[Qyt Affected ( EA ) ],RawData[[Article ]],A581,RawData[Month List],TEXT($A$4,"mmmm yyyy")))</f>
        <v/>
      </c>
    </row>
    <row r="582" spans="2:6" ht="15.75" x14ac:dyDescent="0.25">
      <c r="B582" s="9" t="str">
        <f>IF(A582="","",INDEX(RawData[Description],MATCH(A582,RawData[[Article ]],0)))</f>
        <v/>
      </c>
      <c r="C582" s="9" t="str">
        <f>IF(A582="","",COUNTIFS(RawData[[Article ]],A582,RawData[Month List],TEXT($A$4,"mmmm yyyy")))</f>
        <v/>
      </c>
      <c r="D582" s="9" t="str">
        <f>IF(A582="","",COUNTIFS(RawData[[Article ]],A582,RawData[[Error Type ]],"Short",RawData[Month List],TEXT($A$4,"mmmm yyyy")))</f>
        <v/>
      </c>
      <c r="E582" s="9" t="str">
        <f>IF(A582="","",COUNTIFS(RawData[[Article ]],A582,RawData[[Error Type ]],"Excess",RawData[Month List],TEXT($A$4, "mmmm yyyy")))</f>
        <v/>
      </c>
      <c r="F582" s="9" t="str">
        <f>IF(A582="","",SUMIFS(RawData[Qyt Affected ( EA ) ],RawData[[Article ]],A582,RawData[Month List],TEXT($A$4,"mmmm yyyy")))</f>
        <v/>
      </c>
    </row>
    <row r="583" spans="2:6" ht="15.75" x14ac:dyDescent="0.25">
      <c r="B583" s="9" t="str">
        <f>IF(A583="","",INDEX(RawData[Description],MATCH(A583,RawData[[Article ]],0)))</f>
        <v/>
      </c>
      <c r="C583" s="9" t="str">
        <f>IF(A583="","",COUNTIFS(RawData[[Article ]],A583,RawData[Month List],TEXT($A$4,"mmmm yyyy")))</f>
        <v/>
      </c>
      <c r="D583" s="9" t="str">
        <f>IF(A583="","",COUNTIFS(RawData[[Article ]],A583,RawData[[Error Type ]],"Short",RawData[Month List],TEXT($A$4,"mmmm yyyy")))</f>
        <v/>
      </c>
      <c r="E583" s="9" t="str">
        <f>IF(A583="","",COUNTIFS(RawData[[Article ]],A583,RawData[[Error Type ]],"Excess",RawData[Month List],TEXT($A$4, "mmmm yyyy")))</f>
        <v/>
      </c>
      <c r="F583" s="9" t="str">
        <f>IF(A583="","",SUMIFS(RawData[Qyt Affected ( EA ) ],RawData[[Article ]],A583,RawData[Month List],TEXT($A$4,"mmmm yyyy")))</f>
        <v/>
      </c>
    </row>
    <row r="584" spans="2:6" ht="15.75" x14ac:dyDescent="0.25">
      <c r="B584" s="9" t="str">
        <f>IF(A584="","",INDEX(RawData[Description],MATCH(A584,RawData[[Article ]],0)))</f>
        <v/>
      </c>
      <c r="C584" s="9" t="str">
        <f>IF(A584="","",COUNTIFS(RawData[[Article ]],A584,RawData[Month List],TEXT($A$4,"mmmm yyyy")))</f>
        <v/>
      </c>
      <c r="D584" s="9" t="str">
        <f>IF(A584="","",COUNTIFS(RawData[[Article ]],A584,RawData[[Error Type ]],"Short",RawData[Month List],TEXT($A$4,"mmmm yyyy")))</f>
        <v/>
      </c>
      <c r="E584" s="9" t="str">
        <f>IF(A584="","",COUNTIFS(RawData[[Article ]],A584,RawData[[Error Type ]],"Excess",RawData[Month List],TEXT($A$4, "mmmm yyyy")))</f>
        <v/>
      </c>
      <c r="F584" s="9" t="str">
        <f>IF(A584="","",SUMIFS(RawData[Qyt Affected ( EA ) ],RawData[[Article ]],A584,RawData[Month List],TEXT($A$4,"mmmm yyyy")))</f>
        <v/>
      </c>
    </row>
    <row r="585" spans="2:6" ht="15.75" x14ac:dyDescent="0.25">
      <c r="B585" s="9" t="str">
        <f>IF(A585="","",INDEX(RawData[Description],MATCH(A585,RawData[[Article ]],0)))</f>
        <v/>
      </c>
      <c r="C585" s="9" t="str">
        <f>IF(A585="","",COUNTIFS(RawData[[Article ]],A585,RawData[Month List],TEXT($A$4,"mmmm yyyy")))</f>
        <v/>
      </c>
      <c r="D585" s="9" t="str">
        <f>IF(A585="","",COUNTIFS(RawData[[Article ]],A585,RawData[[Error Type ]],"Short",RawData[Month List],TEXT($A$4,"mmmm yyyy")))</f>
        <v/>
      </c>
      <c r="E585" s="9" t="str">
        <f>IF(A585="","",COUNTIFS(RawData[[Article ]],A585,RawData[[Error Type ]],"Excess",RawData[Month List],TEXT($A$4, "mmmm yyyy")))</f>
        <v/>
      </c>
      <c r="F585" s="9" t="str">
        <f>IF(A585="","",SUMIFS(RawData[Qyt Affected ( EA ) ],RawData[[Article ]],A585,RawData[Month List],TEXT($A$4,"mmmm yyyy")))</f>
        <v/>
      </c>
    </row>
    <row r="586" spans="2:6" ht="15.75" x14ac:dyDescent="0.25">
      <c r="B586" s="9" t="str">
        <f>IF(A586="","",INDEX(RawData[Description],MATCH(A586,RawData[[Article ]],0)))</f>
        <v/>
      </c>
      <c r="C586" s="9" t="str">
        <f>IF(A586="","",COUNTIFS(RawData[[Article ]],A586,RawData[Month List],TEXT($A$4,"mmmm yyyy")))</f>
        <v/>
      </c>
      <c r="D586" s="9" t="str">
        <f>IF(A586="","",COUNTIFS(RawData[[Article ]],A586,RawData[[Error Type ]],"Short",RawData[Month List],TEXT($A$4,"mmmm yyyy")))</f>
        <v/>
      </c>
      <c r="E586" s="9" t="str">
        <f>IF(A586="","",COUNTIFS(RawData[[Article ]],A586,RawData[[Error Type ]],"Excess",RawData[Month List],TEXT($A$4, "mmmm yyyy")))</f>
        <v/>
      </c>
      <c r="F586" s="9" t="str">
        <f>IF(A586="","",SUMIFS(RawData[Qyt Affected ( EA ) ],RawData[[Article ]],A586,RawData[Month List],TEXT($A$4,"mmmm yyyy")))</f>
        <v/>
      </c>
    </row>
    <row r="587" spans="2:6" ht="15.75" x14ac:dyDescent="0.25">
      <c r="B587" s="9" t="str">
        <f>IF(A587="","",INDEX(RawData[Description],MATCH(A587,RawData[[Article ]],0)))</f>
        <v/>
      </c>
      <c r="C587" s="9" t="str">
        <f>IF(A587="","",COUNTIFS(RawData[[Article ]],A587,RawData[Month List],TEXT($A$4,"mmmm yyyy")))</f>
        <v/>
      </c>
      <c r="D587" s="9" t="str">
        <f>IF(A587="","",COUNTIFS(RawData[[Article ]],A587,RawData[[Error Type ]],"Short",RawData[Month List],TEXT($A$4,"mmmm yyyy")))</f>
        <v/>
      </c>
      <c r="E587" s="9" t="str">
        <f>IF(A587="","",COUNTIFS(RawData[[Article ]],A587,RawData[[Error Type ]],"Excess",RawData[Month List],TEXT($A$4, "mmmm yyyy")))</f>
        <v/>
      </c>
      <c r="F587" s="9" t="str">
        <f>IF(A587="","",SUMIFS(RawData[Qyt Affected ( EA ) ],RawData[[Article ]],A587,RawData[Month List],TEXT($A$4,"mmmm yyyy")))</f>
        <v/>
      </c>
    </row>
    <row r="588" spans="2:6" ht="15.75" x14ac:dyDescent="0.25">
      <c r="B588" s="9" t="str">
        <f>IF(A588="","",INDEX(RawData[Description],MATCH(A588,RawData[[Article ]],0)))</f>
        <v/>
      </c>
      <c r="C588" s="9" t="str">
        <f>IF(A588="","",COUNTIFS(RawData[[Article ]],A588,RawData[Month List],TEXT($A$4,"mmmm yyyy")))</f>
        <v/>
      </c>
      <c r="D588" s="9" t="str">
        <f>IF(A588="","",COUNTIFS(RawData[[Article ]],A588,RawData[[Error Type ]],"Short",RawData[Month List],TEXT($A$4,"mmmm yyyy")))</f>
        <v/>
      </c>
      <c r="E588" s="9" t="str">
        <f>IF(A588="","",COUNTIFS(RawData[[Article ]],A588,RawData[[Error Type ]],"Excess",RawData[Month List],TEXT($A$4, "mmmm yyyy")))</f>
        <v/>
      </c>
      <c r="F588" s="9" t="str">
        <f>IF(A588="","",SUMIFS(RawData[Qyt Affected ( EA ) ],RawData[[Article ]],A588,RawData[Month List],TEXT($A$4,"mmmm yyyy")))</f>
        <v/>
      </c>
    </row>
    <row r="589" spans="2:6" ht="15.75" x14ac:dyDescent="0.25">
      <c r="B589" s="9" t="str">
        <f>IF(A589="","",INDEX(RawData[Description],MATCH(A589,RawData[[Article ]],0)))</f>
        <v/>
      </c>
      <c r="C589" s="9" t="str">
        <f>IF(A589="","",COUNTIFS(RawData[[Article ]],A589,RawData[Month List],TEXT($A$4,"mmmm yyyy")))</f>
        <v/>
      </c>
      <c r="D589" s="9" t="str">
        <f>IF(A589="","",COUNTIFS(RawData[[Article ]],A589,RawData[[Error Type ]],"Short",RawData[Month List],TEXT($A$4,"mmmm yyyy")))</f>
        <v/>
      </c>
      <c r="E589" s="9" t="str">
        <f>IF(A589="","",COUNTIFS(RawData[[Article ]],A589,RawData[[Error Type ]],"Excess",RawData[Month List],TEXT($A$4, "mmmm yyyy")))</f>
        <v/>
      </c>
      <c r="F589" s="9" t="str">
        <f>IF(A589="","",SUMIFS(RawData[Qyt Affected ( EA ) ],RawData[[Article ]],A589,RawData[Month List],TEXT($A$4,"mmmm yyyy")))</f>
        <v/>
      </c>
    </row>
    <row r="590" spans="2:6" ht="15.75" x14ac:dyDescent="0.25">
      <c r="B590" s="9" t="str">
        <f>IF(A590="","",INDEX(RawData[Description],MATCH(A590,RawData[[Article ]],0)))</f>
        <v/>
      </c>
      <c r="C590" s="9" t="str">
        <f>IF(A590="","",COUNTIFS(RawData[[Article ]],A590,RawData[Month List],TEXT($A$4,"mmmm yyyy")))</f>
        <v/>
      </c>
      <c r="D590" s="9" t="str">
        <f>IF(A590="","",COUNTIFS(RawData[[Article ]],A590,RawData[[Error Type ]],"Short",RawData[Month List],TEXT($A$4,"mmmm yyyy")))</f>
        <v/>
      </c>
      <c r="E590" s="9" t="str">
        <f>IF(A590="","",COUNTIFS(RawData[[Article ]],A590,RawData[[Error Type ]],"Excess",RawData[Month List],TEXT($A$4, "mmmm yyyy")))</f>
        <v/>
      </c>
      <c r="F590" s="9" t="str">
        <f>IF(A590="","",SUMIFS(RawData[Qyt Affected ( EA ) ],RawData[[Article ]],A590,RawData[Month List],TEXT($A$4,"mmmm yyyy")))</f>
        <v/>
      </c>
    </row>
    <row r="591" spans="2:6" ht="15.75" x14ac:dyDescent="0.25">
      <c r="B591" s="9" t="str">
        <f>IF(A591="","",INDEX(RawData[Description],MATCH(A591,RawData[[Article ]],0)))</f>
        <v/>
      </c>
      <c r="C591" s="9" t="str">
        <f>IF(A591="","",COUNTIFS(RawData[[Article ]],A591,RawData[Month List],TEXT($A$4,"mmmm yyyy")))</f>
        <v/>
      </c>
      <c r="D591" s="9" t="str">
        <f>IF(A591="","",COUNTIFS(RawData[[Article ]],A591,RawData[[Error Type ]],"Short",RawData[Month List],TEXT($A$4,"mmmm yyyy")))</f>
        <v/>
      </c>
      <c r="E591" s="9" t="str">
        <f>IF(A591="","",COUNTIFS(RawData[[Article ]],A591,RawData[[Error Type ]],"Excess",RawData[Month List],TEXT($A$4, "mmmm yyyy")))</f>
        <v/>
      </c>
      <c r="F591" s="9" t="str">
        <f>IF(A591="","",SUMIFS(RawData[Qyt Affected ( EA ) ],RawData[[Article ]],A591,RawData[Month List],TEXT($A$4,"mmmm yyyy")))</f>
        <v/>
      </c>
    </row>
    <row r="592" spans="2:6" ht="15.75" x14ac:dyDescent="0.25">
      <c r="B592" s="9" t="str">
        <f>IF(A592="","",INDEX(RawData[Description],MATCH(A592,RawData[[Article ]],0)))</f>
        <v/>
      </c>
      <c r="C592" s="9" t="str">
        <f>IF(A592="","",COUNTIFS(RawData[[Article ]],A592,RawData[Month List],TEXT($A$4,"mmmm yyyy")))</f>
        <v/>
      </c>
      <c r="D592" s="9" t="str">
        <f>IF(A592="","",COUNTIFS(RawData[[Article ]],A592,RawData[[Error Type ]],"Short",RawData[Month List],TEXT($A$4,"mmmm yyyy")))</f>
        <v/>
      </c>
      <c r="E592" s="9" t="str">
        <f>IF(A592="","",COUNTIFS(RawData[[Article ]],A592,RawData[[Error Type ]],"Excess",RawData[Month List],TEXT($A$4, "mmmm yyyy")))</f>
        <v/>
      </c>
      <c r="F592" s="9" t="str">
        <f>IF(A592="","",SUMIFS(RawData[Qyt Affected ( EA ) ],RawData[[Article ]],A592,RawData[Month List],TEXT($A$4,"mmmm yyyy")))</f>
        <v/>
      </c>
    </row>
    <row r="593" spans="2:6" ht="15.75" x14ac:dyDescent="0.25">
      <c r="B593" s="9" t="str">
        <f>IF(A593="","",INDEX(RawData[Description],MATCH(A593,RawData[[Article ]],0)))</f>
        <v/>
      </c>
      <c r="C593" s="9" t="str">
        <f>IF(A593="","",COUNTIFS(RawData[[Article ]],A593,RawData[Month List],TEXT($A$4,"mmmm yyyy")))</f>
        <v/>
      </c>
      <c r="D593" s="9" t="str">
        <f>IF(A593="","",COUNTIFS(RawData[[Article ]],A593,RawData[[Error Type ]],"Short",RawData[Month List],TEXT($A$4,"mmmm yyyy")))</f>
        <v/>
      </c>
      <c r="E593" s="9" t="str">
        <f>IF(A593="","",COUNTIFS(RawData[[Article ]],A593,RawData[[Error Type ]],"Excess",RawData[Month List],TEXT($A$4, "mmmm yyyy")))</f>
        <v/>
      </c>
      <c r="F593" s="9" t="str">
        <f>IF(A593="","",SUMIFS(RawData[Qyt Affected ( EA ) ],RawData[[Article ]],A593,RawData[Month List],TEXT($A$4,"mmmm yyyy")))</f>
        <v/>
      </c>
    </row>
    <row r="594" spans="2:6" ht="15.75" x14ac:dyDescent="0.25">
      <c r="B594" s="9" t="str">
        <f>IF(A594="","",INDEX(RawData[Description],MATCH(A594,RawData[[Article ]],0)))</f>
        <v/>
      </c>
      <c r="C594" s="9" t="str">
        <f>IF(A594="","",COUNTIFS(RawData[[Article ]],A594,RawData[Month List],TEXT($A$4,"mmmm yyyy")))</f>
        <v/>
      </c>
      <c r="D594" s="9" t="str">
        <f>IF(A594="","",COUNTIFS(RawData[[Article ]],A594,RawData[[Error Type ]],"Short",RawData[Month List],TEXT($A$4,"mmmm yyyy")))</f>
        <v/>
      </c>
      <c r="E594" s="9" t="str">
        <f>IF(A594="","",COUNTIFS(RawData[[Article ]],A594,RawData[[Error Type ]],"Excess",RawData[Month List],TEXT($A$4, "mmmm yyyy")))</f>
        <v/>
      </c>
      <c r="F594" s="9" t="str">
        <f>IF(A594="","",SUMIFS(RawData[Qyt Affected ( EA ) ],RawData[[Article ]],A594,RawData[Month List],TEXT($A$4,"mmmm yyyy")))</f>
        <v/>
      </c>
    </row>
    <row r="595" spans="2:6" ht="15.75" x14ac:dyDescent="0.25">
      <c r="B595" s="9" t="str">
        <f>IF(A595="","",INDEX(RawData[Description],MATCH(A595,RawData[[Article ]],0)))</f>
        <v/>
      </c>
      <c r="C595" s="9" t="str">
        <f>IF(A595="","",COUNTIFS(RawData[[Article ]],A595,RawData[Month List],TEXT($A$4,"mmmm yyyy")))</f>
        <v/>
      </c>
      <c r="D595" s="9" t="str">
        <f>IF(A595="","",COUNTIFS(RawData[[Article ]],A595,RawData[[Error Type ]],"Short",RawData[Month List],TEXT($A$4,"mmmm yyyy")))</f>
        <v/>
      </c>
      <c r="E595" s="9" t="str">
        <f>IF(A595="","",COUNTIFS(RawData[[Article ]],A595,RawData[[Error Type ]],"Excess",RawData[Month List],TEXT($A$4, "mmmm yyyy")))</f>
        <v/>
      </c>
      <c r="F595" s="9" t="str">
        <f>IF(A595="","",SUMIFS(RawData[Qyt Affected ( EA ) ],RawData[[Article ]],A595,RawData[Month List],TEXT($A$4,"mmmm yyyy")))</f>
        <v/>
      </c>
    </row>
    <row r="596" spans="2:6" ht="15.75" x14ac:dyDescent="0.25">
      <c r="B596" s="9" t="str">
        <f>IF(A596="","",INDEX(RawData[Description],MATCH(A596,RawData[[Article ]],0)))</f>
        <v/>
      </c>
      <c r="C596" s="9" t="str">
        <f>IF(A596="","",COUNTIFS(RawData[[Article ]],A596,RawData[Month List],TEXT($A$4,"mmmm yyyy")))</f>
        <v/>
      </c>
      <c r="D596" s="9" t="str">
        <f>IF(A596="","",COUNTIFS(RawData[[Article ]],A596,RawData[[Error Type ]],"Short",RawData[Month List],TEXT($A$4,"mmmm yyyy")))</f>
        <v/>
      </c>
      <c r="E596" s="9" t="str">
        <f>IF(A596="","",COUNTIFS(RawData[[Article ]],A596,RawData[[Error Type ]],"Excess",RawData[Month List],TEXT($A$4, "mmmm yyyy")))</f>
        <v/>
      </c>
      <c r="F596" s="9" t="str">
        <f>IF(A596="","",SUMIFS(RawData[Qyt Affected ( EA ) ],RawData[[Article ]],A596,RawData[Month List],TEXT($A$4,"mmmm yyyy")))</f>
        <v/>
      </c>
    </row>
    <row r="597" spans="2:6" ht="15.75" x14ac:dyDescent="0.25">
      <c r="B597" s="9" t="str">
        <f>IF(A597="","",INDEX(RawData[Description],MATCH(A597,RawData[[Article ]],0)))</f>
        <v/>
      </c>
      <c r="C597" s="9" t="str">
        <f>IF(A597="","",COUNTIFS(RawData[[Article ]],A597,RawData[Month List],TEXT($A$4,"mmmm yyyy")))</f>
        <v/>
      </c>
      <c r="D597" s="9" t="str">
        <f>IF(A597="","",COUNTIFS(RawData[[Article ]],A597,RawData[[Error Type ]],"Short",RawData[Month List],TEXT($A$4,"mmmm yyyy")))</f>
        <v/>
      </c>
      <c r="E597" s="9" t="str">
        <f>IF(A597="","",COUNTIFS(RawData[[Article ]],A597,RawData[[Error Type ]],"Excess",RawData[Month List],TEXT($A$4, "mmmm yyyy")))</f>
        <v/>
      </c>
      <c r="F597" s="9" t="str">
        <f>IF(A597="","",SUMIFS(RawData[Qyt Affected ( EA ) ],RawData[[Article ]],A597,RawData[Month List],TEXT($A$4,"mmmm yyyy")))</f>
        <v/>
      </c>
    </row>
    <row r="598" spans="2:6" ht="15.75" x14ac:dyDescent="0.25">
      <c r="B598" s="9" t="str">
        <f>IF(A598="","",INDEX(RawData[Description],MATCH(A598,RawData[[Article ]],0)))</f>
        <v/>
      </c>
      <c r="C598" s="9" t="str">
        <f>IF(A598="","",COUNTIFS(RawData[[Article ]],A598,RawData[Month List],TEXT($A$4,"mmmm yyyy")))</f>
        <v/>
      </c>
      <c r="D598" s="9" t="str">
        <f>IF(A598="","",COUNTIFS(RawData[[Article ]],A598,RawData[[Error Type ]],"Short",RawData[Month List],TEXT($A$4,"mmmm yyyy")))</f>
        <v/>
      </c>
      <c r="E598" s="9" t="str">
        <f>IF(A598="","",COUNTIFS(RawData[[Article ]],A598,RawData[[Error Type ]],"Excess",RawData[Month List],TEXT($A$4, "mmmm yyyy")))</f>
        <v/>
      </c>
      <c r="F598" s="9" t="str">
        <f>IF(A598="","",SUMIFS(RawData[Qyt Affected ( EA ) ],RawData[[Article ]],A598,RawData[Month List],TEXT($A$4,"mmmm yyyy")))</f>
        <v/>
      </c>
    </row>
    <row r="599" spans="2:6" ht="15.75" x14ac:dyDescent="0.25">
      <c r="B599" s="9" t="str">
        <f>IF(A599="","",INDEX(RawData[Description],MATCH(A599,RawData[[Article ]],0)))</f>
        <v/>
      </c>
      <c r="C599" s="9" t="str">
        <f>IF(A599="","",COUNTIFS(RawData[[Article ]],A599,RawData[Month List],TEXT($A$4,"mmmm yyyy")))</f>
        <v/>
      </c>
      <c r="D599" s="9" t="str">
        <f>IF(A599="","",COUNTIFS(RawData[[Article ]],A599,RawData[[Error Type ]],"Short",RawData[Month List],TEXT($A$4,"mmmm yyyy")))</f>
        <v/>
      </c>
      <c r="E599" s="9" t="str">
        <f>IF(A599="","",COUNTIFS(RawData[[Article ]],A599,RawData[[Error Type ]],"Excess",RawData[Month List],TEXT($A$4, "mmmm yyyy")))</f>
        <v/>
      </c>
      <c r="F599" s="9" t="str">
        <f>IF(A599="","",SUMIFS(RawData[Qyt Affected ( EA ) ],RawData[[Article ]],A599,RawData[Month List],TEXT($A$4,"mmmm yyyy")))</f>
        <v/>
      </c>
    </row>
    <row r="600" spans="2:6" ht="15.75" x14ac:dyDescent="0.25">
      <c r="B600" s="9" t="str">
        <f>IF(A600="","",INDEX(RawData[Description],MATCH(A600,RawData[[Article ]],0)))</f>
        <v/>
      </c>
      <c r="C600" s="9" t="str">
        <f>IF(A600="","",COUNTIFS(RawData[[Article ]],A600,RawData[Month List],TEXT($A$4,"mmmm yyyy")))</f>
        <v/>
      </c>
      <c r="D600" s="9" t="str">
        <f>IF(A600="","",COUNTIFS(RawData[[Article ]],A600,RawData[[Error Type ]],"Short",RawData[Month List],TEXT($A$4,"mmmm yyyy")))</f>
        <v/>
      </c>
      <c r="E600" s="9" t="str">
        <f>IF(A600="","",COUNTIFS(RawData[[Article ]],A600,RawData[[Error Type ]],"Excess",RawData[Month List],TEXT($A$4, "mmmm yyyy")))</f>
        <v/>
      </c>
      <c r="F600" s="9" t="str">
        <f>IF(A600="","",SUMIFS(RawData[Qyt Affected ( EA ) ],RawData[[Article ]],A600,RawData[Month List],TEXT($A$4,"mmmm yyyy")))</f>
        <v/>
      </c>
    </row>
    <row r="601" spans="2:6" ht="15.75" x14ac:dyDescent="0.25">
      <c r="B601" s="9" t="str">
        <f>IF(A601="","",INDEX(RawData[Description],MATCH(A601,RawData[[Article ]],0)))</f>
        <v/>
      </c>
      <c r="C601" s="9" t="str">
        <f>IF(A601="","",COUNTIFS(RawData[[Article ]],A601,RawData[Month List],TEXT($A$4,"mmmm yyyy")))</f>
        <v/>
      </c>
      <c r="D601" s="9" t="str">
        <f>IF(A601="","",COUNTIFS(RawData[[Article ]],A601,RawData[[Error Type ]],"Short",RawData[Month List],TEXT($A$4,"mmmm yyyy")))</f>
        <v/>
      </c>
      <c r="E601" s="9" t="str">
        <f>IF(A601="","",COUNTIFS(RawData[[Article ]],A601,RawData[[Error Type ]],"Excess",RawData[Month List],TEXT($A$4, "mmmm yyyy")))</f>
        <v/>
      </c>
      <c r="F601" s="9" t="str">
        <f>IF(A601="","",SUMIFS(RawData[Qyt Affected ( EA ) ],RawData[[Article ]],A601,RawData[Month List],TEXT($A$4,"mmmm yyyy")))</f>
        <v/>
      </c>
    </row>
    <row r="602" spans="2:6" ht="15.75" x14ac:dyDescent="0.25">
      <c r="B602" s="9" t="str">
        <f>IF(A602="","",INDEX(RawData[Description],MATCH(A602,RawData[[Article ]],0)))</f>
        <v/>
      </c>
      <c r="C602" s="9" t="str">
        <f>IF(A602="","",COUNTIFS(RawData[[Article ]],A602,RawData[Month List],TEXT($A$4,"mmmm yyyy")))</f>
        <v/>
      </c>
      <c r="D602" s="9" t="str">
        <f>IF(A602="","",COUNTIFS(RawData[[Article ]],A602,RawData[[Error Type ]],"Short",RawData[Month List],TEXT($A$4,"mmmm yyyy")))</f>
        <v/>
      </c>
      <c r="E602" s="9" t="str">
        <f>IF(A602="","",COUNTIFS(RawData[[Article ]],A602,RawData[[Error Type ]],"Excess",RawData[Month List],TEXT($A$4, "mmmm yyyy")))</f>
        <v/>
      </c>
      <c r="F602" s="9" t="str">
        <f>IF(A602="","",SUMIFS(RawData[Qyt Affected ( EA ) ],RawData[[Article ]],A602,RawData[Month List],TEXT($A$4,"mmmm yyyy")))</f>
        <v/>
      </c>
    </row>
    <row r="603" spans="2:6" ht="15.75" x14ac:dyDescent="0.25">
      <c r="B603" s="9" t="str">
        <f>IF(A603="","",INDEX(RawData[Description],MATCH(A603,RawData[[Article ]],0)))</f>
        <v/>
      </c>
      <c r="C603" s="9" t="str">
        <f>IF(A603="","",COUNTIFS(RawData[[Article ]],A603,RawData[Month List],TEXT($A$4,"mmmm yyyy")))</f>
        <v/>
      </c>
      <c r="D603" s="9" t="str">
        <f>IF(A603="","",COUNTIFS(RawData[[Article ]],A603,RawData[[Error Type ]],"Short",RawData[Month List],TEXT($A$4,"mmmm yyyy")))</f>
        <v/>
      </c>
      <c r="E603" s="9" t="str">
        <f>IF(A603="","",COUNTIFS(RawData[[Article ]],A603,RawData[[Error Type ]],"Excess",RawData[Month List],TEXT($A$4, "mmmm yyyy")))</f>
        <v/>
      </c>
      <c r="F603" s="9" t="str">
        <f>IF(A603="","",SUMIFS(RawData[Qyt Affected ( EA ) ],RawData[[Article ]],A603,RawData[Month List],TEXT($A$4,"mmmm yyyy")))</f>
        <v/>
      </c>
    </row>
    <row r="604" spans="2:6" ht="15.75" x14ac:dyDescent="0.25">
      <c r="B604" s="9" t="str">
        <f>IF(A604="","",INDEX(RawData[Description],MATCH(A604,RawData[[Article ]],0)))</f>
        <v/>
      </c>
      <c r="C604" s="9" t="str">
        <f>IF(A604="","",COUNTIFS(RawData[[Article ]],A604,RawData[Month List],TEXT($A$4,"mmmm yyyy")))</f>
        <v/>
      </c>
      <c r="D604" s="9" t="str">
        <f>IF(A604="","",COUNTIFS(RawData[[Article ]],A604,RawData[[Error Type ]],"Short",RawData[Month List],TEXT($A$4,"mmmm yyyy")))</f>
        <v/>
      </c>
      <c r="E604" s="9" t="str">
        <f>IF(A604="","",COUNTIFS(RawData[[Article ]],A604,RawData[[Error Type ]],"Excess",RawData[Month List],TEXT($A$4, "mmmm yyyy")))</f>
        <v/>
      </c>
      <c r="F604" s="9" t="str">
        <f>IF(A604="","",SUMIFS(RawData[Qyt Affected ( EA ) ],RawData[[Article ]],A604,RawData[Month List],TEXT($A$4,"mmmm yyyy")))</f>
        <v/>
      </c>
    </row>
    <row r="605" spans="2:6" ht="15.75" x14ac:dyDescent="0.25">
      <c r="B605" s="9" t="str">
        <f>IF(A605="","",INDEX(RawData[Description],MATCH(A605,RawData[[Article ]],0)))</f>
        <v/>
      </c>
      <c r="C605" s="9" t="str">
        <f>IF(A605="","",COUNTIFS(RawData[[Article ]],A605,RawData[Month List],TEXT($A$4,"mmmm yyyy")))</f>
        <v/>
      </c>
      <c r="D605" s="9" t="str">
        <f>IF(A605="","",COUNTIFS(RawData[[Article ]],A605,RawData[[Error Type ]],"Short",RawData[Month List],TEXT($A$4,"mmmm yyyy")))</f>
        <v/>
      </c>
      <c r="E605" s="9" t="str">
        <f>IF(A605="","",COUNTIFS(RawData[[Article ]],A605,RawData[[Error Type ]],"Excess",RawData[Month List],TEXT($A$4, "mmmm yyyy")))</f>
        <v/>
      </c>
      <c r="F605" s="9" t="str">
        <f>IF(A605="","",SUMIFS(RawData[Qyt Affected ( EA ) ],RawData[[Article ]],A605,RawData[Month List],TEXT($A$4,"mmmm yyyy")))</f>
        <v/>
      </c>
    </row>
    <row r="606" spans="2:6" ht="15.75" x14ac:dyDescent="0.25">
      <c r="B606" s="9" t="str">
        <f>IF(A606="","",INDEX(RawData[Description],MATCH(A606,RawData[[Article ]],0)))</f>
        <v/>
      </c>
      <c r="C606" s="9" t="str">
        <f>IF(A606="","",COUNTIFS(RawData[[Article ]],A606,RawData[Month List],TEXT($A$4,"mmmm yyyy")))</f>
        <v/>
      </c>
      <c r="D606" s="9" t="str">
        <f>IF(A606="","",COUNTIFS(RawData[[Article ]],A606,RawData[[Error Type ]],"Short",RawData[Month List],TEXT($A$4,"mmmm yyyy")))</f>
        <v/>
      </c>
      <c r="E606" s="9" t="str">
        <f>IF(A606="","",COUNTIFS(RawData[[Article ]],A606,RawData[[Error Type ]],"Excess",RawData[Month List],TEXT($A$4, "mmmm yyyy")))</f>
        <v/>
      </c>
      <c r="F606" s="9" t="str">
        <f>IF(A606="","",SUMIFS(RawData[Qyt Affected ( EA ) ],RawData[[Article ]],A606,RawData[Month List],TEXT($A$4,"mmmm yyyy")))</f>
        <v/>
      </c>
    </row>
    <row r="607" spans="2:6" ht="15.75" x14ac:dyDescent="0.25">
      <c r="B607" s="9" t="str">
        <f>IF(A607="","",INDEX(RawData[Description],MATCH(A607,RawData[[Article ]],0)))</f>
        <v/>
      </c>
      <c r="C607" s="9" t="str">
        <f>IF(A607="","",COUNTIFS(RawData[[Article ]],A607,RawData[Month List],TEXT($A$4,"mmmm yyyy")))</f>
        <v/>
      </c>
      <c r="D607" s="9" t="str">
        <f>IF(A607="","",COUNTIFS(RawData[[Article ]],A607,RawData[[Error Type ]],"Short",RawData[Month List],TEXT($A$4,"mmmm yyyy")))</f>
        <v/>
      </c>
      <c r="E607" s="9" t="str">
        <f>IF(A607="","",COUNTIFS(RawData[[Article ]],A607,RawData[[Error Type ]],"Excess",RawData[Month List],TEXT($A$4, "mmmm yyyy")))</f>
        <v/>
      </c>
      <c r="F607" s="9" t="str">
        <f>IF(A607="","",SUMIFS(RawData[Qyt Affected ( EA ) ],RawData[[Article ]],A607,RawData[Month List],TEXT($A$4,"mmmm yyyy")))</f>
        <v/>
      </c>
    </row>
    <row r="608" spans="2:6" ht="15.75" x14ac:dyDescent="0.25">
      <c r="B608" s="9" t="str">
        <f>IF(A608="","",INDEX(RawData[Description],MATCH(A608,RawData[[Article ]],0)))</f>
        <v/>
      </c>
      <c r="C608" s="9" t="str">
        <f>IF(A608="","",COUNTIFS(RawData[[Article ]],A608,RawData[Month List],TEXT($A$4,"mmmm yyyy")))</f>
        <v/>
      </c>
      <c r="D608" s="9" t="str">
        <f>IF(A608="","",COUNTIFS(RawData[[Article ]],A608,RawData[[Error Type ]],"Short",RawData[Month List],TEXT($A$4,"mmmm yyyy")))</f>
        <v/>
      </c>
      <c r="E608" s="9" t="str">
        <f>IF(A608="","",COUNTIFS(RawData[[Article ]],A608,RawData[[Error Type ]],"Excess",RawData[Month List],TEXT($A$4, "mmmm yyyy")))</f>
        <v/>
      </c>
      <c r="F608" s="9" t="str">
        <f>IF(A608="","",SUMIFS(RawData[Qyt Affected ( EA ) ],RawData[[Article ]],A608,RawData[Month List],TEXT($A$4,"mmmm yyyy")))</f>
        <v/>
      </c>
    </row>
    <row r="609" spans="2:6" ht="15.75" x14ac:dyDescent="0.25">
      <c r="B609" s="9" t="str">
        <f>IF(A609="","",INDEX(RawData[Description],MATCH(A609,RawData[[Article ]],0)))</f>
        <v/>
      </c>
      <c r="C609" s="9" t="str">
        <f>IF(A609="","",COUNTIFS(RawData[[Article ]],A609,RawData[Month List],TEXT($A$4,"mmmm yyyy")))</f>
        <v/>
      </c>
      <c r="D609" s="9" t="str">
        <f>IF(A609="","",COUNTIFS(RawData[[Article ]],A609,RawData[[Error Type ]],"Short",RawData[Month List],TEXT($A$4,"mmmm yyyy")))</f>
        <v/>
      </c>
      <c r="E609" s="9" t="str">
        <f>IF(A609="","",COUNTIFS(RawData[[Article ]],A609,RawData[[Error Type ]],"Excess",RawData[Month List],TEXT($A$4, "mmmm yyyy")))</f>
        <v/>
      </c>
      <c r="F609" s="9" t="str">
        <f>IF(A609="","",SUMIFS(RawData[Qyt Affected ( EA ) ],RawData[[Article ]],A609,RawData[Month List],TEXT($A$4,"mmmm yyyy")))</f>
        <v/>
      </c>
    </row>
    <row r="610" spans="2:6" ht="15.75" x14ac:dyDescent="0.25">
      <c r="B610" s="9" t="str">
        <f>IF(A610="","",INDEX(RawData[Description],MATCH(A610,RawData[[Article ]],0)))</f>
        <v/>
      </c>
      <c r="C610" s="9" t="str">
        <f>IF(A610="","",COUNTIFS(RawData[[Article ]],A610,RawData[Month List],TEXT($A$4,"mmmm yyyy")))</f>
        <v/>
      </c>
      <c r="D610" s="9" t="str">
        <f>IF(A610="","",COUNTIFS(RawData[[Article ]],A610,RawData[[Error Type ]],"Short",RawData[Month List],TEXT($A$4,"mmmm yyyy")))</f>
        <v/>
      </c>
      <c r="E610" s="9" t="str">
        <f>IF(A610="","",COUNTIFS(RawData[[Article ]],A610,RawData[[Error Type ]],"Excess",RawData[Month List],TEXT($A$4, "mmmm yyyy")))</f>
        <v/>
      </c>
      <c r="F610" s="9" t="str">
        <f>IF(A610="","",SUMIFS(RawData[Qyt Affected ( EA ) ],RawData[[Article ]],A610,RawData[Month List],TEXT($A$4,"mmmm yyyy")))</f>
        <v/>
      </c>
    </row>
    <row r="611" spans="2:6" ht="15.75" x14ac:dyDescent="0.25">
      <c r="B611" s="9" t="str">
        <f>IF(A611="","",INDEX(RawData[Description],MATCH(A611,RawData[[Article ]],0)))</f>
        <v/>
      </c>
      <c r="C611" s="9" t="str">
        <f>IF(A611="","",COUNTIFS(RawData[[Article ]],A611,RawData[Month List],TEXT($A$4,"mmmm yyyy")))</f>
        <v/>
      </c>
      <c r="D611" s="9" t="str">
        <f>IF(A611="","",COUNTIFS(RawData[[Article ]],A611,RawData[[Error Type ]],"Short",RawData[Month List],TEXT($A$4,"mmmm yyyy")))</f>
        <v/>
      </c>
      <c r="E611" s="9" t="str">
        <f>IF(A611="","",COUNTIFS(RawData[[Article ]],A611,RawData[[Error Type ]],"Excess",RawData[Month List],TEXT($A$4, "mmmm yyyy")))</f>
        <v/>
      </c>
      <c r="F611" s="9" t="str">
        <f>IF(A611="","",SUMIFS(RawData[Qyt Affected ( EA ) ],RawData[[Article ]],A611,RawData[Month List],TEXT($A$4,"mmmm yyyy")))</f>
        <v/>
      </c>
    </row>
    <row r="612" spans="2:6" ht="15.75" x14ac:dyDescent="0.25">
      <c r="B612" s="9" t="str">
        <f>IF(A612="","",INDEX(RawData[Description],MATCH(A612,RawData[[Article ]],0)))</f>
        <v/>
      </c>
      <c r="C612" s="9" t="str">
        <f>IF(A612="","",COUNTIFS(RawData[[Article ]],A612,RawData[Month List],TEXT($A$4,"mmmm yyyy")))</f>
        <v/>
      </c>
      <c r="D612" s="9" t="str">
        <f>IF(A612="","",COUNTIFS(RawData[[Article ]],A612,RawData[[Error Type ]],"Short",RawData[Month List],TEXT($A$4,"mmmm yyyy")))</f>
        <v/>
      </c>
      <c r="E612" s="9" t="str">
        <f>IF(A612="","",COUNTIFS(RawData[[Article ]],A612,RawData[[Error Type ]],"Excess",RawData[Month List],TEXT($A$4, "mmmm yyyy")))</f>
        <v/>
      </c>
      <c r="F612" s="9" t="str">
        <f>IF(A612="","",SUMIFS(RawData[Qyt Affected ( EA ) ],RawData[[Article ]],A612,RawData[Month List],TEXT($A$4,"mmmm yyyy")))</f>
        <v/>
      </c>
    </row>
    <row r="613" spans="2:6" ht="15.75" x14ac:dyDescent="0.25">
      <c r="B613" s="9" t="str">
        <f>IF(A613="","",INDEX(RawData[Description],MATCH(A613,RawData[[Article ]],0)))</f>
        <v/>
      </c>
      <c r="C613" s="9" t="str">
        <f>IF(A613="","",COUNTIFS(RawData[[Article ]],A613,RawData[Month List],TEXT($A$4,"mmmm yyyy")))</f>
        <v/>
      </c>
      <c r="D613" s="9" t="str">
        <f>IF(A613="","",COUNTIFS(RawData[[Article ]],A613,RawData[[Error Type ]],"Short",RawData[Month List],TEXT($A$4,"mmmm yyyy")))</f>
        <v/>
      </c>
      <c r="E613" s="9" t="str">
        <f>IF(A613="","",COUNTIFS(RawData[[Article ]],A613,RawData[[Error Type ]],"Excess",RawData[Month List],TEXT($A$4, "mmmm yyyy")))</f>
        <v/>
      </c>
      <c r="F613" s="9" t="str">
        <f>IF(A613="","",SUMIFS(RawData[Qyt Affected ( EA ) ],RawData[[Article ]],A613,RawData[Month List],TEXT($A$4,"mmmm yyyy")))</f>
        <v/>
      </c>
    </row>
    <row r="614" spans="2:6" ht="15.75" x14ac:dyDescent="0.25">
      <c r="B614" s="9" t="str">
        <f>IF(A614="","",INDEX(RawData[Description],MATCH(A614,RawData[[Article ]],0)))</f>
        <v/>
      </c>
      <c r="C614" s="9" t="str">
        <f>IF(A614="","",COUNTIFS(RawData[[Article ]],A614,RawData[Month List],TEXT($A$4,"mmmm yyyy")))</f>
        <v/>
      </c>
      <c r="D614" s="9" t="str">
        <f>IF(A614="","",COUNTIFS(RawData[[Article ]],A614,RawData[[Error Type ]],"Short",RawData[Month List],TEXT($A$4,"mmmm yyyy")))</f>
        <v/>
      </c>
      <c r="E614" s="9" t="str">
        <f>IF(A614="","",COUNTIFS(RawData[[Article ]],A614,RawData[[Error Type ]],"Excess",RawData[Month List],TEXT($A$4, "mmmm yyyy")))</f>
        <v/>
      </c>
      <c r="F614" s="9" t="str">
        <f>IF(A614="","",SUMIFS(RawData[Qyt Affected ( EA ) ],RawData[[Article ]],A614,RawData[Month List],TEXT($A$4,"mmmm yyyy")))</f>
        <v/>
      </c>
    </row>
    <row r="615" spans="2:6" ht="15.75" x14ac:dyDescent="0.25">
      <c r="B615" s="9" t="str">
        <f>IF(A615="","",INDEX(RawData[Description],MATCH(A615,RawData[[Article ]],0)))</f>
        <v/>
      </c>
      <c r="C615" s="9" t="str">
        <f>IF(A615="","",COUNTIFS(RawData[[Article ]],A615,RawData[Month List],TEXT($A$4,"mmmm yyyy")))</f>
        <v/>
      </c>
      <c r="D615" s="9" t="str">
        <f>IF(A615="","",COUNTIFS(RawData[[Article ]],A615,RawData[[Error Type ]],"Short",RawData[Month List],TEXT($A$4,"mmmm yyyy")))</f>
        <v/>
      </c>
      <c r="E615" s="9" t="str">
        <f>IF(A615="","",COUNTIFS(RawData[[Article ]],A615,RawData[[Error Type ]],"Excess",RawData[Month List],TEXT($A$4, "mmmm yyyy")))</f>
        <v/>
      </c>
      <c r="F615" s="9" t="str">
        <f>IF(A615="","",SUMIFS(RawData[Qyt Affected ( EA ) ],RawData[[Article ]],A615,RawData[Month List],TEXT($A$4,"mmmm yyyy")))</f>
        <v/>
      </c>
    </row>
    <row r="616" spans="2:6" ht="15.75" x14ac:dyDescent="0.25">
      <c r="B616" s="9" t="str">
        <f>IF(A616="","",INDEX(RawData[Description],MATCH(A616,RawData[[Article ]],0)))</f>
        <v/>
      </c>
      <c r="C616" s="9" t="str">
        <f>IF(A616="","",COUNTIFS(RawData[[Article ]],A616,RawData[Month List],TEXT($A$4,"mmmm yyyy")))</f>
        <v/>
      </c>
      <c r="D616" s="9" t="str">
        <f>IF(A616="","",COUNTIFS(RawData[[Article ]],A616,RawData[[Error Type ]],"Short",RawData[Month List],TEXT($A$4,"mmmm yyyy")))</f>
        <v/>
      </c>
      <c r="E616" s="9" t="str">
        <f>IF(A616="","",COUNTIFS(RawData[[Article ]],A616,RawData[[Error Type ]],"Excess",RawData[Month List],TEXT($A$4, "mmmm yyyy")))</f>
        <v/>
      </c>
      <c r="F616" s="9" t="str">
        <f>IF(A616="","",SUMIFS(RawData[Qyt Affected ( EA ) ],RawData[[Article ]],A616,RawData[Month List],TEXT($A$4,"mmmm yyyy")))</f>
        <v/>
      </c>
    </row>
    <row r="617" spans="2:6" ht="15.75" x14ac:dyDescent="0.25">
      <c r="B617" s="9" t="str">
        <f>IF(A617="","",INDEX(RawData[Description],MATCH(A617,RawData[[Article ]],0)))</f>
        <v/>
      </c>
      <c r="C617" s="9" t="str">
        <f>IF(A617="","",COUNTIFS(RawData[[Article ]],A617,RawData[Month List],TEXT($A$4,"mmmm yyyy")))</f>
        <v/>
      </c>
      <c r="D617" s="9" t="str">
        <f>IF(A617="","",COUNTIFS(RawData[[Article ]],A617,RawData[[Error Type ]],"Short",RawData[Month List],TEXT($A$4,"mmmm yyyy")))</f>
        <v/>
      </c>
      <c r="E617" s="9" t="str">
        <f>IF(A617="","",COUNTIFS(RawData[[Article ]],A617,RawData[[Error Type ]],"Excess",RawData[Month List],TEXT($A$4, "mmmm yyyy")))</f>
        <v/>
      </c>
      <c r="F617" s="9" t="str">
        <f>IF(A617="","",SUMIFS(RawData[Qyt Affected ( EA ) ],RawData[[Article ]],A617,RawData[Month List],TEXT($A$4,"mmmm yyyy")))</f>
        <v/>
      </c>
    </row>
    <row r="618" spans="2:6" ht="15.75" x14ac:dyDescent="0.25">
      <c r="B618" s="9" t="str">
        <f>IF(A618="","",INDEX(RawData[Description],MATCH(A618,RawData[[Article ]],0)))</f>
        <v/>
      </c>
      <c r="C618" s="9" t="str">
        <f>IF(A618="","",COUNTIFS(RawData[[Article ]],A618,RawData[Month List],TEXT($A$4,"mmmm yyyy")))</f>
        <v/>
      </c>
      <c r="D618" s="9" t="str">
        <f>IF(A618="","",COUNTIFS(RawData[[Article ]],A618,RawData[[Error Type ]],"Short",RawData[Month List],TEXT($A$4,"mmmm yyyy")))</f>
        <v/>
      </c>
      <c r="E618" s="9" t="str">
        <f>IF(A618="","",COUNTIFS(RawData[[Article ]],A618,RawData[[Error Type ]],"Excess",RawData[Month List],TEXT($A$4, "mmmm yyyy")))</f>
        <v/>
      </c>
      <c r="F618" s="9" t="str">
        <f>IF(A618="","",SUMIFS(RawData[Qyt Affected ( EA ) ],RawData[[Article ]],A618,RawData[Month List],TEXT($A$4,"mmmm yyyy")))</f>
        <v/>
      </c>
    </row>
    <row r="619" spans="2:6" ht="15.75" x14ac:dyDescent="0.25">
      <c r="B619" s="9" t="str">
        <f>IF(A619="","",INDEX(RawData[Description],MATCH(A619,RawData[[Article ]],0)))</f>
        <v/>
      </c>
      <c r="C619" s="9" t="str">
        <f>IF(A619="","",COUNTIFS(RawData[[Article ]],A619,RawData[Month List],TEXT($A$4,"mmmm yyyy")))</f>
        <v/>
      </c>
      <c r="D619" s="9" t="str">
        <f>IF(A619="","",COUNTIFS(RawData[[Article ]],A619,RawData[[Error Type ]],"Short",RawData[Month List],TEXT($A$4,"mmmm yyyy")))</f>
        <v/>
      </c>
      <c r="E619" s="9" t="str">
        <f>IF(A619="","",COUNTIFS(RawData[[Article ]],A619,RawData[[Error Type ]],"Excess",RawData[Month List],TEXT($A$4, "mmmm yyyy")))</f>
        <v/>
      </c>
      <c r="F619" s="9" t="str">
        <f>IF(A619="","",SUMIFS(RawData[Qyt Affected ( EA ) ],RawData[[Article ]],A619,RawData[Month List],TEXT($A$4,"mmmm yyyy")))</f>
        <v/>
      </c>
    </row>
    <row r="620" spans="2:6" ht="15.75" x14ac:dyDescent="0.25">
      <c r="B620" s="9" t="str">
        <f>IF(A620="","",INDEX(RawData[Description],MATCH(A620,RawData[[Article ]],0)))</f>
        <v/>
      </c>
      <c r="C620" s="9" t="str">
        <f>IF(A620="","",COUNTIFS(RawData[[Article ]],A620,RawData[Month List],TEXT($A$4,"mmmm yyyy")))</f>
        <v/>
      </c>
      <c r="D620" s="9" t="str">
        <f>IF(A620="","",COUNTIFS(RawData[[Article ]],A620,RawData[[Error Type ]],"Short",RawData[Month List],TEXT($A$4,"mmmm yyyy")))</f>
        <v/>
      </c>
      <c r="E620" s="9" t="str">
        <f>IF(A620="","",COUNTIFS(RawData[[Article ]],A620,RawData[[Error Type ]],"Excess",RawData[Month List],TEXT($A$4, "mmmm yyyy")))</f>
        <v/>
      </c>
      <c r="F620" s="9" t="str">
        <f>IF(A620="","",SUMIFS(RawData[Qyt Affected ( EA ) ],RawData[[Article ]],A620,RawData[Month List],TEXT($A$4,"mmmm yyyy")))</f>
        <v/>
      </c>
    </row>
    <row r="621" spans="2:6" ht="15.75" x14ac:dyDescent="0.25">
      <c r="B621" s="9" t="str">
        <f>IF(A621="","",INDEX(RawData[Description],MATCH(A621,RawData[[Article ]],0)))</f>
        <v/>
      </c>
      <c r="C621" s="9" t="str">
        <f>IF(A621="","",COUNTIFS(RawData[[Article ]],A621,RawData[Month List],TEXT($A$4,"mmmm yyyy")))</f>
        <v/>
      </c>
      <c r="D621" s="9" t="str">
        <f>IF(A621="","",COUNTIFS(RawData[[Article ]],A621,RawData[[Error Type ]],"Short",RawData[Month List],TEXT($A$4,"mmmm yyyy")))</f>
        <v/>
      </c>
      <c r="E621" s="9" t="str">
        <f>IF(A621="","",COUNTIFS(RawData[[Article ]],A621,RawData[[Error Type ]],"Excess",RawData[Month List],TEXT($A$4, "mmmm yyyy")))</f>
        <v/>
      </c>
      <c r="F621" s="9" t="str">
        <f>IF(A621="","",SUMIFS(RawData[Qyt Affected ( EA ) ],RawData[[Article ]],A621,RawData[Month List],TEXT($A$4,"mmmm yyyy")))</f>
        <v/>
      </c>
    </row>
    <row r="622" spans="2:6" ht="15.75" x14ac:dyDescent="0.25">
      <c r="B622" s="9" t="str">
        <f>IF(A622="","",INDEX(RawData[Description],MATCH(A622,RawData[[Article ]],0)))</f>
        <v/>
      </c>
      <c r="C622" s="9" t="str">
        <f>IF(A622="","",COUNTIFS(RawData[[Article ]],A622,RawData[Month List],TEXT($A$4,"mmmm yyyy")))</f>
        <v/>
      </c>
      <c r="D622" s="9" t="str">
        <f>IF(A622="","",COUNTIFS(RawData[[Article ]],A622,RawData[[Error Type ]],"Short",RawData[Month List],TEXT($A$4,"mmmm yyyy")))</f>
        <v/>
      </c>
      <c r="E622" s="9" t="str">
        <f>IF(A622="","",COUNTIFS(RawData[[Article ]],A622,RawData[[Error Type ]],"Excess",RawData[Month List],TEXT($A$4, "mmmm yyyy")))</f>
        <v/>
      </c>
      <c r="F622" s="9" t="str">
        <f>IF(A622="","",SUMIFS(RawData[Qyt Affected ( EA ) ],RawData[[Article ]],A622,RawData[Month List],TEXT($A$4,"mmmm yyyy")))</f>
        <v/>
      </c>
    </row>
    <row r="623" spans="2:6" ht="15.75" x14ac:dyDescent="0.25">
      <c r="B623" s="9" t="str">
        <f>IF(A623="","",INDEX(RawData[Description],MATCH(A623,RawData[[Article ]],0)))</f>
        <v/>
      </c>
      <c r="C623" s="9" t="str">
        <f>IF(A623="","",COUNTIFS(RawData[[Article ]],A623,RawData[Month List],TEXT($A$4,"mmmm yyyy")))</f>
        <v/>
      </c>
      <c r="D623" s="9" t="str">
        <f>IF(A623="","",COUNTIFS(RawData[[Article ]],A623,RawData[[Error Type ]],"Short",RawData[Month List],TEXT($A$4,"mmmm yyyy")))</f>
        <v/>
      </c>
      <c r="E623" s="9" t="str">
        <f>IF(A623="","",COUNTIFS(RawData[[Article ]],A623,RawData[[Error Type ]],"Excess",RawData[Month List],TEXT($A$4, "mmmm yyyy")))</f>
        <v/>
      </c>
      <c r="F623" s="9" t="str">
        <f>IF(A623="","",SUMIFS(RawData[Qyt Affected ( EA ) ],RawData[[Article ]],A623,RawData[Month List],TEXT($A$4,"mmmm yyyy")))</f>
        <v/>
      </c>
    </row>
    <row r="624" spans="2:6" ht="15.75" x14ac:dyDescent="0.25">
      <c r="B624" s="9" t="str">
        <f>IF(A624="","",INDEX(RawData[Description],MATCH(A624,RawData[[Article ]],0)))</f>
        <v/>
      </c>
      <c r="C624" s="9" t="str">
        <f>IF(A624="","",COUNTIFS(RawData[[Article ]],A624,RawData[Month List],TEXT($A$4,"mmmm yyyy")))</f>
        <v/>
      </c>
      <c r="D624" s="9" t="str">
        <f>IF(A624="","",COUNTIFS(RawData[[Article ]],A624,RawData[[Error Type ]],"Short",RawData[Month List],TEXT($A$4,"mmmm yyyy")))</f>
        <v/>
      </c>
      <c r="E624" s="9" t="str">
        <f>IF(A624="","",COUNTIFS(RawData[[Article ]],A624,RawData[[Error Type ]],"Excess",RawData[Month List],TEXT($A$4, "mmmm yyyy")))</f>
        <v/>
      </c>
      <c r="F624" s="9" t="str">
        <f>IF(A624="","",SUMIFS(RawData[Qyt Affected ( EA ) ],RawData[[Article ]],A624,RawData[Month List],TEXT($A$4,"mmmm yyyy")))</f>
        <v/>
      </c>
    </row>
    <row r="625" spans="2:6" ht="15.75" x14ac:dyDescent="0.25">
      <c r="B625" s="9" t="str">
        <f>IF(A625="","",INDEX(RawData[Description],MATCH(A625,RawData[[Article ]],0)))</f>
        <v/>
      </c>
      <c r="C625" s="9" t="str">
        <f>IF(A625="","",COUNTIFS(RawData[[Article ]],A625,RawData[Month List],TEXT($A$4,"mmmm yyyy")))</f>
        <v/>
      </c>
      <c r="D625" s="9" t="str">
        <f>IF(A625="","",COUNTIFS(RawData[[Article ]],A625,RawData[[Error Type ]],"Short",RawData[Month List],TEXT($A$4,"mmmm yyyy")))</f>
        <v/>
      </c>
      <c r="E625" s="9" t="str">
        <f>IF(A625="","",COUNTIFS(RawData[[Article ]],A625,RawData[[Error Type ]],"Excess",RawData[Month List],TEXT($A$4, "mmmm yyyy")))</f>
        <v/>
      </c>
      <c r="F625" s="9" t="str">
        <f>IF(A625="","",SUMIFS(RawData[Qyt Affected ( EA ) ],RawData[[Article ]],A625,RawData[Month List],TEXT($A$4,"mmmm yyyy")))</f>
        <v/>
      </c>
    </row>
    <row r="626" spans="2:6" ht="15.75" x14ac:dyDescent="0.25">
      <c r="B626" s="9" t="str">
        <f>IF(A626="","",INDEX(RawData[Description],MATCH(A626,RawData[[Article ]],0)))</f>
        <v/>
      </c>
      <c r="C626" s="9" t="str">
        <f>IF(A626="","",COUNTIFS(RawData[[Article ]],A626,RawData[Month List],TEXT($A$4,"mmmm yyyy")))</f>
        <v/>
      </c>
      <c r="D626" s="9" t="str">
        <f>IF(A626="","",COUNTIFS(RawData[[Article ]],A626,RawData[[Error Type ]],"Short",RawData[Month List],TEXT($A$4,"mmmm yyyy")))</f>
        <v/>
      </c>
      <c r="E626" s="9" t="str">
        <f>IF(A626="","",COUNTIFS(RawData[[Article ]],A626,RawData[[Error Type ]],"Excess",RawData[Month List],TEXT($A$4, "mmmm yyyy")))</f>
        <v/>
      </c>
      <c r="F626" s="9" t="str">
        <f>IF(A626="","",SUMIFS(RawData[Qyt Affected ( EA ) ],RawData[[Article ]],A626,RawData[Month List],TEXT($A$4,"mmmm yyyy")))</f>
        <v/>
      </c>
    </row>
    <row r="627" spans="2:6" ht="15.75" x14ac:dyDescent="0.25">
      <c r="B627" s="9" t="str">
        <f>IF(A627="","",INDEX(RawData[Description],MATCH(A627,RawData[[Article ]],0)))</f>
        <v/>
      </c>
      <c r="C627" s="9" t="str">
        <f>IF(A627="","",COUNTIFS(RawData[[Article ]],A627,RawData[Month List],TEXT($A$4,"mmmm yyyy")))</f>
        <v/>
      </c>
      <c r="D627" s="9" t="str">
        <f>IF(A627="","",COUNTIFS(RawData[[Article ]],A627,RawData[[Error Type ]],"Short",RawData[Month List],TEXT($A$4,"mmmm yyyy")))</f>
        <v/>
      </c>
      <c r="E627" s="9" t="str">
        <f>IF(A627="","",COUNTIFS(RawData[[Article ]],A627,RawData[[Error Type ]],"Excess",RawData[Month List],TEXT($A$4, "mmmm yyyy")))</f>
        <v/>
      </c>
      <c r="F627" s="9" t="str">
        <f>IF(A627="","",SUMIFS(RawData[Qyt Affected ( EA ) ],RawData[[Article ]],A627,RawData[Month List],TEXT($A$4,"mmmm yyyy")))</f>
        <v/>
      </c>
    </row>
    <row r="628" spans="2:6" ht="15.75" x14ac:dyDescent="0.25">
      <c r="B628" s="9" t="str">
        <f>IF(A628="","",INDEX(RawData[Description],MATCH(A628,RawData[[Article ]],0)))</f>
        <v/>
      </c>
      <c r="C628" s="9" t="str">
        <f>IF(A628="","",COUNTIFS(RawData[[Article ]],A628,RawData[Month List],TEXT($A$4,"mmmm yyyy")))</f>
        <v/>
      </c>
      <c r="D628" s="9" t="str">
        <f>IF(A628="","",COUNTIFS(RawData[[Article ]],A628,RawData[[Error Type ]],"Short",RawData[Month List],TEXT($A$4,"mmmm yyyy")))</f>
        <v/>
      </c>
      <c r="E628" s="9" t="str">
        <f>IF(A628="","",COUNTIFS(RawData[[Article ]],A628,RawData[[Error Type ]],"Excess",RawData[Month List],TEXT($A$4, "mmmm yyyy")))</f>
        <v/>
      </c>
      <c r="F628" s="9" t="str">
        <f>IF(A628="","",SUMIFS(RawData[Qyt Affected ( EA ) ],RawData[[Article ]],A628,RawData[Month List],TEXT($A$4,"mmmm yyyy")))</f>
        <v/>
      </c>
    </row>
    <row r="629" spans="2:6" ht="15.75" x14ac:dyDescent="0.25">
      <c r="B629" s="9" t="str">
        <f>IF(A629="","",INDEX(RawData[Description],MATCH(A629,RawData[[Article ]],0)))</f>
        <v/>
      </c>
      <c r="C629" s="9" t="str">
        <f>IF(A629="","",COUNTIFS(RawData[[Article ]],A629,RawData[Month List],TEXT($A$4,"mmmm yyyy")))</f>
        <v/>
      </c>
      <c r="D629" s="9" t="str">
        <f>IF(A629="","",COUNTIFS(RawData[[Article ]],A629,RawData[[Error Type ]],"Short",RawData[Month List],TEXT($A$4,"mmmm yyyy")))</f>
        <v/>
      </c>
      <c r="E629" s="9" t="str">
        <f>IF(A629="","",COUNTIFS(RawData[[Article ]],A629,RawData[[Error Type ]],"Excess",RawData[Month List],TEXT($A$4, "mmmm yyyy")))</f>
        <v/>
      </c>
      <c r="F629" s="9" t="str">
        <f>IF(A629="","",SUMIFS(RawData[Qyt Affected ( EA ) ],RawData[[Article ]],A629,RawData[Month List],TEXT($A$4,"mmmm yyyy")))</f>
        <v/>
      </c>
    </row>
    <row r="630" spans="2:6" ht="15.75" x14ac:dyDescent="0.25">
      <c r="B630" s="9" t="str">
        <f>IF(A630="","",INDEX(RawData[Description],MATCH(A630,RawData[[Article ]],0)))</f>
        <v/>
      </c>
      <c r="C630" s="9" t="str">
        <f>IF(A630="","",COUNTIFS(RawData[[Article ]],A630,RawData[Month List],TEXT($A$4,"mmmm yyyy")))</f>
        <v/>
      </c>
      <c r="D630" s="9" t="str">
        <f>IF(A630="","",COUNTIFS(RawData[[Article ]],A630,RawData[[Error Type ]],"Short",RawData[Month List],TEXT($A$4,"mmmm yyyy")))</f>
        <v/>
      </c>
      <c r="E630" s="9" t="str">
        <f>IF(A630="","",COUNTIFS(RawData[[Article ]],A630,RawData[[Error Type ]],"Excess",RawData[Month List],TEXT($A$4, "mmmm yyyy")))</f>
        <v/>
      </c>
      <c r="F630" s="9" t="str">
        <f>IF(A630="","",SUMIFS(RawData[Qyt Affected ( EA ) ],RawData[[Article ]],A630,RawData[Month List],TEXT($A$4,"mmmm yyyy")))</f>
        <v/>
      </c>
    </row>
    <row r="631" spans="2:6" ht="15.75" x14ac:dyDescent="0.25">
      <c r="B631" s="9" t="str">
        <f>IF(A631="","",INDEX(RawData[Description],MATCH(A631,RawData[[Article ]],0)))</f>
        <v/>
      </c>
      <c r="C631" s="9" t="str">
        <f>IF(A631="","",COUNTIFS(RawData[[Article ]],A631,RawData[Month List],TEXT($A$4,"mmmm yyyy")))</f>
        <v/>
      </c>
      <c r="D631" s="9" t="str">
        <f>IF(A631="","",COUNTIFS(RawData[[Article ]],A631,RawData[[Error Type ]],"Short",RawData[Month List],TEXT($A$4,"mmmm yyyy")))</f>
        <v/>
      </c>
      <c r="E631" s="9" t="str">
        <f>IF(A631="","",COUNTIFS(RawData[[Article ]],A631,RawData[[Error Type ]],"Excess",RawData[Month List],TEXT($A$4, "mmmm yyyy")))</f>
        <v/>
      </c>
      <c r="F631" s="9" t="str">
        <f>IF(A631="","",SUMIFS(RawData[Qyt Affected ( EA ) ],RawData[[Article ]],A631,RawData[Month List],TEXT($A$4,"mmmm yyyy")))</f>
        <v/>
      </c>
    </row>
    <row r="632" spans="2:6" ht="15.75" x14ac:dyDescent="0.25">
      <c r="B632" s="9" t="str">
        <f>IF(A632="","",INDEX(RawData[Description],MATCH(A632,RawData[[Article ]],0)))</f>
        <v/>
      </c>
      <c r="C632" s="9" t="str">
        <f>IF(A632="","",COUNTIFS(RawData[[Article ]],A632,RawData[Month List],TEXT($A$4,"mmmm yyyy")))</f>
        <v/>
      </c>
      <c r="D632" s="9" t="str">
        <f>IF(A632="","",COUNTIFS(RawData[[Article ]],A632,RawData[[Error Type ]],"Short",RawData[Month List],TEXT($A$4,"mmmm yyyy")))</f>
        <v/>
      </c>
      <c r="E632" s="9" t="str">
        <f>IF(A632="","",COUNTIFS(RawData[[Article ]],A632,RawData[[Error Type ]],"Excess",RawData[Month List],TEXT($A$4, "mmmm yyyy")))</f>
        <v/>
      </c>
      <c r="F632" s="9" t="str">
        <f>IF(A632="","",SUMIFS(RawData[Qyt Affected ( EA ) ],RawData[[Article ]],A632,RawData[Month List],TEXT($A$4,"mmmm yyyy")))</f>
        <v/>
      </c>
    </row>
    <row r="633" spans="2:6" ht="15.75" x14ac:dyDescent="0.25">
      <c r="B633" s="9" t="str">
        <f>IF(A633="","",INDEX(RawData[Description],MATCH(A633,RawData[[Article ]],0)))</f>
        <v/>
      </c>
      <c r="C633" s="9" t="str">
        <f>IF(A633="","",COUNTIFS(RawData[[Article ]],A633,RawData[Month List],TEXT($A$4,"mmmm yyyy")))</f>
        <v/>
      </c>
      <c r="D633" s="9" t="str">
        <f>IF(A633="","",COUNTIFS(RawData[[Article ]],A633,RawData[[Error Type ]],"Short",RawData[Month List],TEXT($A$4,"mmmm yyyy")))</f>
        <v/>
      </c>
      <c r="E633" s="9" t="str">
        <f>IF(A633="","",COUNTIFS(RawData[[Article ]],A633,RawData[[Error Type ]],"Excess",RawData[Month List],TEXT($A$4, "mmmm yyyy")))</f>
        <v/>
      </c>
      <c r="F633" s="9" t="str">
        <f>IF(A633="","",SUMIFS(RawData[Qyt Affected ( EA ) ],RawData[[Article ]],A633,RawData[Month List],TEXT($A$4,"mmmm yyyy")))</f>
        <v/>
      </c>
    </row>
    <row r="634" spans="2:6" ht="15.75" x14ac:dyDescent="0.25">
      <c r="B634" s="9" t="str">
        <f>IF(A634="","",INDEX(RawData[Description],MATCH(A634,RawData[[Article ]],0)))</f>
        <v/>
      </c>
      <c r="C634" s="9" t="str">
        <f>IF(A634="","",COUNTIFS(RawData[[Article ]],A634,RawData[Month List],TEXT($A$4,"mmmm yyyy")))</f>
        <v/>
      </c>
      <c r="D634" s="9" t="str">
        <f>IF(A634="","",COUNTIFS(RawData[[Article ]],A634,RawData[[Error Type ]],"Short",RawData[Month List],TEXT($A$4,"mmmm yyyy")))</f>
        <v/>
      </c>
      <c r="E634" s="9" t="str">
        <f>IF(A634="","",COUNTIFS(RawData[[Article ]],A634,RawData[[Error Type ]],"Excess",RawData[Month List],TEXT($A$4, "mmmm yyyy")))</f>
        <v/>
      </c>
      <c r="F634" s="9" t="str">
        <f>IF(A634="","",SUMIFS(RawData[Qyt Affected ( EA ) ],RawData[[Article ]],A634,RawData[Month List],TEXT($A$4,"mmmm yyyy")))</f>
        <v/>
      </c>
    </row>
    <row r="635" spans="2:6" ht="15.75" x14ac:dyDescent="0.25">
      <c r="B635" s="9" t="str">
        <f>IF(A635="","",INDEX(RawData[Description],MATCH(A635,RawData[[Article ]],0)))</f>
        <v/>
      </c>
      <c r="C635" s="9" t="str">
        <f>IF(A635="","",COUNTIFS(RawData[[Article ]],A635,RawData[Month List],TEXT($A$4,"mmmm yyyy")))</f>
        <v/>
      </c>
      <c r="D635" s="9" t="str">
        <f>IF(A635="","",COUNTIFS(RawData[[Article ]],A635,RawData[[Error Type ]],"Short",RawData[Month List],TEXT($A$4,"mmmm yyyy")))</f>
        <v/>
      </c>
      <c r="E635" s="9" t="str">
        <f>IF(A635="","",COUNTIFS(RawData[[Article ]],A635,RawData[[Error Type ]],"Excess",RawData[Month List],TEXT($A$4, "mmmm yyyy")))</f>
        <v/>
      </c>
      <c r="F635" s="9" t="str">
        <f>IF(A635="","",SUMIFS(RawData[Qyt Affected ( EA ) ],RawData[[Article ]],A635,RawData[Month List],TEXT($A$4,"mmmm yyyy")))</f>
        <v/>
      </c>
    </row>
    <row r="636" spans="2:6" ht="15.75" x14ac:dyDescent="0.25">
      <c r="B636" s="9" t="str">
        <f>IF(A636="","",INDEX(RawData[Description],MATCH(A636,RawData[[Article ]],0)))</f>
        <v/>
      </c>
      <c r="C636" s="9" t="str">
        <f>IF(A636="","",COUNTIFS(RawData[[Article ]],A636,RawData[Month List],TEXT($A$4,"mmmm yyyy")))</f>
        <v/>
      </c>
      <c r="D636" s="9" t="str">
        <f>IF(A636="","",COUNTIFS(RawData[[Article ]],A636,RawData[[Error Type ]],"Short",RawData[Month List],TEXT($A$4,"mmmm yyyy")))</f>
        <v/>
      </c>
      <c r="E636" s="9" t="str">
        <f>IF(A636="","",COUNTIFS(RawData[[Article ]],A636,RawData[[Error Type ]],"Excess",RawData[Month List],TEXT($A$4, "mmmm yyyy")))</f>
        <v/>
      </c>
      <c r="F636" s="9" t="str">
        <f>IF(A636="","",SUMIFS(RawData[Qyt Affected ( EA ) ],RawData[[Article ]],A636,RawData[Month List],TEXT($A$4,"mmmm yyyy")))</f>
        <v/>
      </c>
    </row>
    <row r="637" spans="2:6" ht="15.75" x14ac:dyDescent="0.25">
      <c r="B637" s="9" t="str">
        <f>IF(A637="","",INDEX(RawData[Description],MATCH(A637,RawData[[Article ]],0)))</f>
        <v/>
      </c>
      <c r="C637" s="9" t="str">
        <f>IF(A637="","",COUNTIFS(RawData[[Article ]],A637,RawData[Month List],TEXT($A$4,"mmmm yyyy")))</f>
        <v/>
      </c>
      <c r="D637" s="9" t="str">
        <f>IF(A637="","",COUNTIFS(RawData[[Article ]],A637,RawData[[Error Type ]],"Short",RawData[Month List],TEXT($A$4,"mmmm yyyy")))</f>
        <v/>
      </c>
      <c r="E637" s="9" t="str">
        <f>IF(A637="","",COUNTIFS(RawData[[Article ]],A637,RawData[[Error Type ]],"Excess",RawData[Month List],TEXT($A$4, "mmmm yyyy")))</f>
        <v/>
      </c>
      <c r="F637" s="9" t="str">
        <f>IF(A637="","",SUMIFS(RawData[Qyt Affected ( EA ) ],RawData[[Article ]],A637,RawData[Month List],TEXT($A$4,"mmmm yyyy")))</f>
        <v/>
      </c>
    </row>
    <row r="638" spans="2:6" ht="15.75" x14ac:dyDescent="0.25">
      <c r="B638" s="9" t="str">
        <f>IF(A638="","",INDEX(RawData[Description],MATCH(A638,RawData[[Article ]],0)))</f>
        <v/>
      </c>
      <c r="C638" s="9" t="str">
        <f>IF(A638="","",COUNTIFS(RawData[[Article ]],A638,RawData[Month List],TEXT($A$4,"mmmm yyyy")))</f>
        <v/>
      </c>
      <c r="D638" s="9" t="str">
        <f>IF(A638="","",COUNTIFS(RawData[[Article ]],A638,RawData[[Error Type ]],"Short",RawData[Month List],TEXT($A$4,"mmmm yyyy")))</f>
        <v/>
      </c>
      <c r="E638" s="9" t="str">
        <f>IF(A638="","",COUNTIFS(RawData[[Article ]],A638,RawData[[Error Type ]],"Excess",RawData[Month List],TEXT($A$4, "mmmm yyyy")))</f>
        <v/>
      </c>
      <c r="F638" s="9" t="str">
        <f>IF(A638="","",SUMIFS(RawData[Qyt Affected ( EA ) ],RawData[[Article ]],A638,RawData[Month List],TEXT($A$4,"mmmm yyyy")))</f>
        <v/>
      </c>
    </row>
    <row r="639" spans="2:6" ht="15.75" x14ac:dyDescent="0.25">
      <c r="B639" s="9" t="str">
        <f>IF(A639="","",INDEX(RawData[Description],MATCH(A639,RawData[[Article ]],0)))</f>
        <v/>
      </c>
      <c r="C639" s="9" t="str">
        <f>IF(A639="","",COUNTIFS(RawData[[Article ]],A639,RawData[Month List],TEXT($A$4,"mmmm yyyy")))</f>
        <v/>
      </c>
      <c r="D639" s="9" t="str">
        <f>IF(A639="","",COUNTIFS(RawData[[Article ]],A639,RawData[[Error Type ]],"Short",RawData[Month List],TEXT($A$4,"mmmm yyyy")))</f>
        <v/>
      </c>
      <c r="E639" s="9" t="str">
        <f>IF(A639="","",COUNTIFS(RawData[[Article ]],A639,RawData[[Error Type ]],"Excess",RawData[Month List],TEXT($A$4, "mmmm yyyy")))</f>
        <v/>
      </c>
      <c r="F639" s="9" t="str">
        <f>IF(A639="","",SUMIFS(RawData[Qyt Affected ( EA ) ],RawData[[Article ]],A639,RawData[Month List],TEXT($A$4,"mmmm yyyy")))</f>
        <v/>
      </c>
    </row>
    <row r="640" spans="2:6" ht="15.75" x14ac:dyDescent="0.25">
      <c r="B640" s="9" t="str">
        <f>IF(A640="","",INDEX(RawData[Description],MATCH(A640,RawData[[Article ]],0)))</f>
        <v/>
      </c>
      <c r="C640" s="9" t="str">
        <f>IF(A640="","",COUNTIFS(RawData[[Article ]],A640,RawData[Month List],TEXT($A$4,"mmmm yyyy")))</f>
        <v/>
      </c>
      <c r="D640" s="9" t="str">
        <f>IF(A640="","",COUNTIFS(RawData[[Article ]],A640,RawData[[Error Type ]],"Short",RawData[Month List],TEXT($A$4,"mmmm yyyy")))</f>
        <v/>
      </c>
      <c r="E640" s="9" t="str">
        <f>IF(A640="","",COUNTIFS(RawData[[Article ]],A640,RawData[[Error Type ]],"Excess",RawData[Month List],TEXT($A$4, "mmmm yyyy")))</f>
        <v/>
      </c>
      <c r="F640" s="9" t="str">
        <f>IF(A640="","",SUMIFS(RawData[Qyt Affected ( EA ) ],RawData[[Article ]],A640,RawData[Month List],TEXT($A$4,"mmmm yyyy")))</f>
        <v/>
      </c>
    </row>
    <row r="641" spans="2:6" ht="15.75" x14ac:dyDescent="0.25">
      <c r="B641" s="9" t="str">
        <f>IF(A641="","",INDEX(RawData[Description],MATCH(A641,RawData[[Article ]],0)))</f>
        <v/>
      </c>
      <c r="C641" s="9" t="str">
        <f>IF(A641="","",COUNTIFS(RawData[[Article ]],A641,RawData[Month List],TEXT($A$4,"mmmm yyyy")))</f>
        <v/>
      </c>
      <c r="D641" s="9" t="str">
        <f>IF(A641="","",COUNTIFS(RawData[[Article ]],A641,RawData[[Error Type ]],"Short",RawData[Month List],TEXT($A$4,"mmmm yyyy")))</f>
        <v/>
      </c>
      <c r="E641" s="9" t="str">
        <f>IF(A641="","",COUNTIFS(RawData[[Article ]],A641,RawData[[Error Type ]],"Excess",RawData[Month List],TEXT($A$4, "mmmm yyyy")))</f>
        <v/>
      </c>
      <c r="F641" s="9" t="str">
        <f>IF(A641="","",SUMIFS(RawData[Qyt Affected ( EA ) ],RawData[[Article ]],A641,RawData[Month List],TEXT($A$4,"mmmm yyyy")))</f>
        <v/>
      </c>
    </row>
    <row r="642" spans="2:6" ht="15.75" x14ac:dyDescent="0.25">
      <c r="B642" s="9" t="str">
        <f>IF(A642="","",INDEX(RawData[Description],MATCH(A642,RawData[[Article ]],0)))</f>
        <v/>
      </c>
      <c r="C642" s="9" t="str">
        <f>IF(A642="","",COUNTIFS(RawData[[Article ]],A642,RawData[Month List],TEXT($A$4,"mmmm yyyy")))</f>
        <v/>
      </c>
      <c r="D642" s="9" t="str">
        <f>IF(A642="","",COUNTIFS(RawData[[Article ]],A642,RawData[[Error Type ]],"Short",RawData[Month List],TEXT($A$4,"mmmm yyyy")))</f>
        <v/>
      </c>
      <c r="E642" s="9" t="str">
        <f>IF(A642="","",COUNTIFS(RawData[[Article ]],A642,RawData[[Error Type ]],"Excess",RawData[Month List],TEXT($A$4, "mmmm yyyy")))</f>
        <v/>
      </c>
      <c r="F642" s="9" t="str">
        <f>IF(A642="","",SUMIFS(RawData[Qyt Affected ( EA ) ],RawData[[Article ]],A642,RawData[Month List],TEXT($A$4,"mmmm yyyy")))</f>
        <v/>
      </c>
    </row>
    <row r="643" spans="2:6" ht="15.75" x14ac:dyDescent="0.25">
      <c r="B643" s="9" t="str">
        <f>IF(A643="","",INDEX(RawData[Description],MATCH(A643,RawData[[Article ]],0)))</f>
        <v/>
      </c>
      <c r="C643" s="9" t="str">
        <f>IF(A643="","",COUNTIFS(RawData[[Article ]],A643,RawData[Month List],TEXT($A$4,"mmmm yyyy")))</f>
        <v/>
      </c>
      <c r="D643" s="9" t="str">
        <f>IF(A643="","",COUNTIFS(RawData[[Article ]],A643,RawData[[Error Type ]],"Short",RawData[Month List],TEXT($A$4,"mmmm yyyy")))</f>
        <v/>
      </c>
      <c r="E643" s="9" t="str">
        <f>IF(A643="","",COUNTIFS(RawData[[Article ]],A643,RawData[[Error Type ]],"Excess",RawData[Month List],TEXT($A$4, "mmmm yyyy")))</f>
        <v/>
      </c>
      <c r="F643" s="9" t="str">
        <f>IF(A643="","",SUMIFS(RawData[Qyt Affected ( EA ) ],RawData[[Article ]],A643,RawData[Month List],TEXT($A$4,"mmmm yyyy")))</f>
        <v/>
      </c>
    </row>
    <row r="644" spans="2:6" ht="15.75" x14ac:dyDescent="0.25">
      <c r="B644" s="9" t="str">
        <f>IF(A644="","",INDEX(RawData[Description],MATCH(A644,RawData[[Article ]],0)))</f>
        <v/>
      </c>
      <c r="C644" s="9" t="str">
        <f>IF(A644="","",COUNTIFS(RawData[[Article ]],A644,RawData[Month List],TEXT($A$4,"mmmm yyyy")))</f>
        <v/>
      </c>
      <c r="D644" s="9" t="str">
        <f>IF(A644="","",COUNTIFS(RawData[[Article ]],A644,RawData[[Error Type ]],"Short",RawData[Month List],TEXT($A$4,"mmmm yyyy")))</f>
        <v/>
      </c>
      <c r="E644" s="9" t="str">
        <f>IF(A644="","",COUNTIFS(RawData[[Article ]],A644,RawData[[Error Type ]],"Excess",RawData[Month List],TEXT($A$4, "mmmm yyyy")))</f>
        <v/>
      </c>
      <c r="F644" s="9" t="str">
        <f>IF(A644="","",SUMIFS(RawData[Qyt Affected ( EA ) ],RawData[[Article ]],A644,RawData[Month List],TEXT($A$4,"mmmm yyyy")))</f>
        <v/>
      </c>
    </row>
    <row r="645" spans="2:6" ht="15.75" x14ac:dyDescent="0.25">
      <c r="B645" s="9" t="str">
        <f>IF(A645="","",INDEX(RawData[Description],MATCH(A645,RawData[[Article ]],0)))</f>
        <v/>
      </c>
      <c r="C645" s="9" t="str">
        <f>IF(A645="","",COUNTIFS(RawData[[Article ]],A645,RawData[Month List],TEXT($A$4,"mmmm yyyy")))</f>
        <v/>
      </c>
      <c r="D645" s="9" t="str">
        <f>IF(A645="","",COUNTIFS(RawData[[Article ]],A645,RawData[[Error Type ]],"Short",RawData[Month List],TEXT($A$4,"mmmm yyyy")))</f>
        <v/>
      </c>
      <c r="E645" s="9" t="str">
        <f>IF(A645="","",COUNTIFS(RawData[[Article ]],A645,RawData[[Error Type ]],"Excess",RawData[Month List],TEXT($A$4, "mmmm yyyy")))</f>
        <v/>
      </c>
      <c r="F645" s="9" t="str">
        <f>IF(A645="","",SUMIFS(RawData[Qyt Affected ( EA ) ],RawData[[Article ]],A645,RawData[Month List],TEXT($A$4,"mmmm yyyy")))</f>
        <v/>
      </c>
    </row>
    <row r="646" spans="2:6" ht="15.75" x14ac:dyDescent="0.25">
      <c r="B646" s="9" t="str">
        <f>IF(A646="","",INDEX(RawData[Description],MATCH(A646,RawData[[Article ]],0)))</f>
        <v/>
      </c>
      <c r="C646" s="9" t="str">
        <f>IF(A646="","",COUNTIFS(RawData[[Article ]],A646,RawData[Month List],TEXT($A$4,"mmmm yyyy")))</f>
        <v/>
      </c>
      <c r="D646" s="9" t="str">
        <f>IF(A646="","",COUNTIFS(RawData[[Article ]],A646,RawData[[Error Type ]],"Short",RawData[Month List],TEXT($A$4,"mmmm yyyy")))</f>
        <v/>
      </c>
      <c r="E646" s="9" t="str">
        <f>IF(A646="","",COUNTIFS(RawData[[Article ]],A646,RawData[[Error Type ]],"Excess",RawData[Month List],TEXT($A$4, "mmmm yyyy")))</f>
        <v/>
      </c>
      <c r="F646" s="9" t="str">
        <f>IF(A646="","",SUMIFS(RawData[Qyt Affected ( EA ) ],RawData[[Article ]],A646,RawData[Month List],TEXT($A$4,"mmmm yyyy")))</f>
        <v/>
      </c>
    </row>
    <row r="647" spans="2:6" ht="15.75" x14ac:dyDescent="0.25">
      <c r="B647" s="9" t="str">
        <f>IF(A647="","",INDEX(RawData[Description],MATCH(A647,RawData[[Article ]],0)))</f>
        <v/>
      </c>
      <c r="C647" s="9" t="str">
        <f>IF(A647="","",COUNTIFS(RawData[[Article ]],A647,RawData[Month List],TEXT($A$4,"mmmm yyyy")))</f>
        <v/>
      </c>
      <c r="D647" s="9" t="str">
        <f>IF(A647="","",COUNTIFS(RawData[[Article ]],A647,RawData[[Error Type ]],"Short",RawData[Month List],TEXT($A$4,"mmmm yyyy")))</f>
        <v/>
      </c>
      <c r="E647" s="9" t="str">
        <f>IF(A647="","",COUNTIFS(RawData[[Article ]],A647,RawData[[Error Type ]],"Excess",RawData[Month List],TEXT($A$4, "mmmm yyyy")))</f>
        <v/>
      </c>
      <c r="F647" s="9" t="str">
        <f>IF(A647="","",SUMIFS(RawData[Qyt Affected ( EA ) ],RawData[[Article ]],A647,RawData[Month List],TEXT($A$4,"mmmm yyyy")))</f>
        <v/>
      </c>
    </row>
    <row r="648" spans="2:6" ht="15.75" x14ac:dyDescent="0.25">
      <c r="B648" s="9" t="str">
        <f>IF(A648="","",INDEX(RawData[Description],MATCH(A648,RawData[[Article ]],0)))</f>
        <v/>
      </c>
      <c r="C648" s="9" t="str">
        <f>IF(A648="","",COUNTIFS(RawData[[Article ]],A648,RawData[Month List],TEXT($A$4,"mmmm yyyy")))</f>
        <v/>
      </c>
      <c r="D648" s="9" t="str">
        <f>IF(A648="","",COUNTIFS(RawData[[Article ]],A648,RawData[[Error Type ]],"Short",RawData[Month List],TEXT($A$4,"mmmm yyyy")))</f>
        <v/>
      </c>
      <c r="E648" s="9" t="str">
        <f>IF(A648="","",COUNTIFS(RawData[[Article ]],A648,RawData[[Error Type ]],"Excess",RawData[Month List],TEXT($A$4, "mmmm yyyy")))</f>
        <v/>
      </c>
      <c r="F648" s="9" t="str">
        <f>IF(A648="","",SUMIFS(RawData[Qyt Affected ( EA ) ],RawData[[Article ]],A648,RawData[Month List],TEXT($A$4,"mmmm yyyy")))</f>
        <v/>
      </c>
    </row>
    <row r="649" spans="2:6" ht="15.75" x14ac:dyDescent="0.25">
      <c r="B649" s="9" t="str">
        <f>IF(A649="","",INDEX(RawData[Description],MATCH(A649,RawData[[Article ]],0)))</f>
        <v/>
      </c>
      <c r="C649" s="9" t="str">
        <f>IF(A649="","",COUNTIFS(RawData[[Article ]],A649,RawData[Month List],TEXT($A$4,"mmmm yyyy")))</f>
        <v/>
      </c>
      <c r="D649" s="9" t="str">
        <f>IF(A649="","",COUNTIFS(RawData[[Article ]],A649,RawData[[Error Type ]],"Short",RawData[Month List],TEXT($A$4,"mmmm yyyy")))</f>
        <v/>
      </c>
      <c r="E649" s="9" t="str">
        <f>IF(A649="","",COUNTIFS(RawData[[Article ]],A649,RawData[[Error Type ]],"Excess",RawData[Month List],TEXT($A$4, "mmmm yyyy")))</f>
        <v/>
      </c>
      <c r="F649" s="9" t="str">
        <f>IF(A649="","",SUMIFS(RawData[Qyt Affected ( EA ) ],RawData[[Article ]],A649,RawData[Month List],TEXT($A$4,"mmmm yyyy")))</f>
        <v/>
      </c>
    </row>
    <row r="650" spans="2:6" ht="15.75" x14ac:dyDescent="0.25">
      <c r="B650" s="9" t="str">
        <f>IF(A650="","",INDEX(RawData[Description],MATCH(A650,RawData[[Article ]],0)))</f>
        <v/>
      </c>
      <c r="C650" s="9" t="str">
        <f>IF(A650="","",COUNTIFS(RawData[[Article ]],A650,RawData[Month List],TEXT($A$4,"mmmm yyyy")))</f>
        <v/>
      </c>
      <c r="D650" s="9" t="str">
        <f>IF(A650="","",COUNTIFS(RawData[[Article ]],A650,RawData[[Error Type ]],"Short",RawData[Month List],TEXT($A$4,"mmmm yyyy")))</f>
        <v/>
      </c>
      <c r="E650" s="9" t="str">
        <f>IF(A650="","",COUNTIFS(RawData[[Article ]],A650,RawData[[Error Type ]],"Excess",RawData[Month List],TEXT($A$4, "mmmm yyyy")))</f>
        <v/>
      </c>
      <c r="F650" s="9" t="str">
        <f>IF(A650="","",SUMIFS(RawData[Qyt Affected ( EA ) ],RawData[[Article ]],A650,RawData[Month List],TEXT($A$4,"mmmm yyyy")))</f>
        <v/>
      </c>
    </row>
    <row r="651" spans="2:6" ht="15.75" x14ac:dyDescent="0.25">
      <c r="B651" s="9" t="str">
        <f>IF(A651="","",INDEX(RawData[Description],MATCH(A651,RawData[[Article ]],0)))</f>
        <v/>
      </c>
      <c r="C651" s="9" t="str">
        <f>IF(A651="","",COUNTIFS(RawData[[Article ]],A651,RawData[Month List],TEXT($A$4,"mmmm yyyy")))</f>
        <v/>
      </c>
      <c r="D651" s="9" t="str">
        <f>IF(A651="","",COUNTIFS(RawData[[Article ]],A651,RawData[[Error Type ]],"Short",RawData[Month List],TEXT($A$4,"mmmm yyyy")))</f>
        <v/>
      </c>
      <c r="E651" s="9" t="str">
        <f>IF(A651="","",COUNTIFS(RawData[[Article ]],A651,RawData[[Error Type ]],"Excess",RawData[Month List],TEXT($A$4, "mmmm yyyy")))</f>
        <v/>
      </c>
      <c r="F651" s="9" t="str">
        <f>IF(A651="","",SUMIFS(RawData[Qyt Affected ( EA ) ],RawData[[Article ]],A651,RawData[Month List],TEXT($A$4,"mmmm yyyy")))</f>
        <v/>
      </c>
    </row>
    <row r="652" spans="2:6" ht="15.75" x14ac:dyDescent="0.25">
      <c r="B652" s="9" t="str">
        <f>IF(A652="","",INDEX(RawData[Description],MATCH(A652,RawData[[Article ]],0)))</f>
        <v/>
      </c>
      <c r="C652" s="9" t="str">
        <f>IF(A652="","",COUNTIFS(RawData[[Article ]],A652,RawData[Month List],TEXT($A$4,"mmmm yyyy")))</f>
        <v/>
      </c>
      <c r="D652" s="9" t="str">
        <f>IF(A652="","",COUNTIFS(RawData[[Article ]],A652,RawData[[Error Type ]],"Short",RawData[Month List],TEXT($A$4,"mmmm yyyy")))</f>
        <v/>
      </c>
      <c r="E652" s="9" t="str">
        <f>IF(A652="","",COUNTIFS(RawData[[Article ]],A652,RawData[[Error Type ]],"Excess",RawData[Month List],TEXT($A$4, "mmmm yyyy")))</f>
        <v/>
      </c>
      <c r="F652" s="9" t="str">
        <f>IF(A652="","",SUMIFS(RawData[Qyt Affected ( EA ) ],RawData[[Article ]],A652,RawData[Month List],TEXT($A$4,"mmmm yyyy")))</f>
        <v/>
      </c>
    </row>
    <row r="653" spans="2:6" ht="15.75" x14ac:dyDescent="0.25">
      <c r="B653" s="9" t="str">
        <f>IF(A653="","",INDEX(RawData[Description],MATCH(A653,RawData[[Article ]],0)))</f>
        <v/>
      </c>
      <c r="C653" s="9" t="str">
        <f>IF(A653="","",COUNTIFS(RawData[[Article ]],A653,RawData[Month List],TEXT($A$4,"mmmm yyyy")))</f>
        <v/>
      </c>
      <c r="D653" s="9" t="str">
        <f>IF(A653="","",COUNTIFS(RawData[[Article ]],A653,RawData[[Error Type ]],"Short",RawData[Month List],TEXT($A$4,"mmmm yyyy")))</f>
        <v/>
      </c>
      <c r="E653" s="9" t="str">
        <f>IF(A653="","",COUNTIFS(RawData[[Article ]],A653,RawData[[Error Type ]],"Excess",RawData[Month List],TEXT($A$4, "mmmm yyyy")))</f>
        <v/>
      </c>
      <c r="F653" s="9" t="str">
        <f>IF(A653="","",SUMIFS(RawData[Qyt Affected ( EA ) ],RawData[[Article ]],A653,RawData[Month List],TEXT($A$4,"mmmm yyyy")))</f>
        <v/>
      </c>
    </row>
    <row r="654" spans="2:6" ht="15.75" x14ac:dyDescent="0.25">
      <c r="B654" s="9" t="str">
        <f>IF(A654="","",INDEX(RawData[Description],MATCH(A654,RawData[[Article ]],0)))</f>
        <v/>
      </c>
      <c r="C654" s="9" t="str">
        <f>IF(A654="","",COUNTIFS(RawData[[Article ]],A654,RawData[Month List],TEXT($A$4,"mmmm yyyy")))</f>
        <v/>
      </c>
      <c r="D654" s="9" t="str">
        <f>IF(A654="","",COUNTIFS(RawData[[Article ]],A654,RawData[[Error Type ]],"Short",RawData[Month List],TEXT($A$4,"mmmm yyyy")))</f>
        <v/>
      </c>
      <c r="E654" s="9" t="str">
        <f>IF(A654="","",COUNTIFS(RawData[[Article ]],A654,RawData[[Error Type ]],"Excess",RawData[Month List],TEXT($A$4, "mmmm yyyy")))</f>
        <v/>
      </c>
      <c r="F654" s="9" t="str">
        <f>IF(A654="","",SUMIFS(RawData[Qyt Affected ( EA ) ],RawData[[Article ]],A654,RawData[Month List],TEXT($A$4,"mmmm yyyy")))</f>
        <v/>
      </c>
    </row>
    <row r="655" spans="2:6" ht="15.75" x14ac:dyDescent="0.25">
      <c r="B655" s="9" t="str">
        <f>IF(A655="","",INDEX(RawData[Description],MATCH(A655,RawData[[Article ]],0)))</f>
        <v/>
      </c>
      <c r="C655" s="9" t="str">
        <f>IF(A655="","",COUNTIFS(RawData[[Article ]],A655,RawData[Month List],TEXT($A$4,"mmmm yyyy")))</f>
        <v/>
      </c>
      <c r="D655" s="9" t="str">
        <f>IF(A655="","",COUNTIFS(RawData[[Article ]],A655,RawData[[Error Type ]],"Short",RawData[Month List],TEXT($A$4,"mmmm yyyy")))</f>
        <v/>
      </c>
      <c r="E655" s="9" t="str">
        <f>IF(A655="","",COUNTIFS(RawData[[Article ]],A655,RawData[[Error Type ]],"Excess",RawData[Month List],TEXT($A$4, "mmmm yyyy")))</f>
        <v/>
      </c>
      <c r="F655" s="9" t="str">
        <f>IF(A655="","",SUMIFS(RawData[Qyt Affected ( EA ) ],RawData[[Article ]],A655,RawData[Month List],TEXT($A$4,"mmmm yyyy")))</f>
        <v/>
      </c>
    </row>
    <row r="656" spans="2:6" ht="15.75" x14ac:dyDescent="0.25">
      <c r="B656" s="9" t="str">
        <f>IF(A656="","",INDEX(RawData[Description],MATCH(A656,RawData[[Article ]],0)))</f>
        <v/>
      </c>
      <c r="C656" s="9" t="str">
        <f>IF(A656="","",COUNTIFS(RawData[[Article ]],A656,RawData[Month List],TEXT($A$4,"mmmm yyyy")))</f>
        <v/>
      </c>
      <c r="D656" s="9" t="str">
        <f>IF(A656="","",COUNTIFS(RawData[[Article ]],A656,RawData[[Error Type ]],"Short",RawData[Month List],TEXT($A$4,"mmmm yyyy")))</f>
        <v/>
      </c>
      <c r="E656" s="9" t="str">
        <f>IF(A656="","",COUNTIFS(RawData[[Article ]],A656,RawData[[Error Type ]],"Excess",RawData[Month List],TEXT($A$4, "mmmm yyyy")))</f>
        <v/>
      </c>
      <c r="F656" s="9" t="str">
        <f>IF(A656="","",SUMIFS(RawData[Qyt Affected ( EA ) ],RawData[[Article ]],A656,RawData[Month List],TEXT($A$4,"mmmm yyyy")))</f>
        <v/>
      </c>
    </row>
    <row r="657" spans="2:6" ht="15.75" x14ac:dyDescent="0.25">
      <c r="B657" s="9" t="str">
        <f>IF(A657="","",INDEX(RawData[Description],MATCH(A657,RawData[[Article ]],0)))</f>
        <v/>
      </c>
      <c r="C657" s="9" t="str">
        <f>IF(A657="","",COUNTIFS(RawData[[Article ]],A657,RawData[Month List],TEXT($A$4,"mmmm yyyy")))</f>
        <v/>
      </c>
      <c r="D657" s="9" t="str">
        <f>IF(A657="","",COUNTIFS(RawData[[Article ]],A657,RawData[[Error Type ]],"Short",RawData[Month List],TEXT($A$4,"mmmm yyyy")))</f>
        <v/>
      </c>
      <c r="E657" s="9" t="str">
        <f>IF(A657="","",COUNTIFS(RawData[[Article ]],A657,RawData[[Error Type ]],"Excess",RawData[Month List],TEXT($A$4, "mmmm yyyy")))</f>
        <v/>
      </c>
      <c r="F657" s="9" t="str">
        <f>IF(A657="","",SUMIFS(RawData[Qyt Affected ( EA ) ],RawData[[Article ]],A657,RawData[Month List],TEXT($A$4,"mmmm yyyy")))</f>
        <v/>
      </c>
    </row>
    <row r="658" spans="2:6" ht="15.75" x14ac:dyDescent="0.25">
      <c r="B658" s="9" t="str">
        <f>IF(A658="","",INDEX(RawData[Description],MATCH(A658,RawData[[Article ]],0)))</f>
        <v/>
      </c>
      <c r="C658" s="9" t="str">
        <f>IF(A658="","",COUNTIFS(RawData[[Article ]],A658,RawData[Month List],TEXT($A$4,"mmmm yyyy")))</f>
        <v/>
      </c>
      <c r="D658" s="9" t="str">
        <f>IF(A658="","",COUNTIFS(RawData[[Article ]],A658,RawData[[Error Type ]],"Short",RawData[Month List],TEXT($A$4,"mmmm yyyy")))</f>
        <v/>
      </c>
      <c r="E658" s="9" t="str">
        <f>IF(A658="","",COUNTIFS(RawData[[Article ]],A658,RawData[[Error Type ]],"Excess",RawData[Month List],TEXT($A$4, "mmmm yyyy")))</f>
        <v/>
      </c>
      <c r="F658" s="9" t="str">
        <f>IF(A658="","",SUMIFS(RawData[Qyt Affected ( EA ) ],RawData[[Article ]],A658,RawData[Month List],TEXT($A$4,"mmmm yyyy")))</f>
        <v/>
      </c>
    </row>
    <row r="659" spans="2:6" ht="15.75" x14ac:dyDescent="0.25">
      <c r="B659" s="9" t="str">
        <f>IF(A659="","",INDEX(RawData[Description],MATCH(A659,RawData[[Article ]],0)))</f>
        <v/>
      </c>
      <c r="C659" s="9" t="str">
        <f>IF(A659="","",COUNTIFS(RawData[[Article ]],A659,RawData[Month List],TEXT($A$4,"mmmm yyyy")))</f>
        <v/>
      </c>
      <c r="D659" s="9" t="str">
        <f>IF(A659="","",COUNTIFS(RawData[[Article ]],A659,RawData[[Error Type ]],"Short",RawData[Month List],TEXT($A$4,"mmmm yyyy")))</f>
        <v/>
      </c>
      <c r="E659" s="9" t="str">
        <f>IF(A659="","",COUNTIFS(RawData[[Article ]],A659,RawData[[Error Type ]],"Excess",RawData[Month List],TEXT($A$4, "mmmm yyyy")))</f>
        <v/>
      </c>
      <c r="F659" s="9" t="str">
        <f>IF(A659="","",SUMIFS(RawData[Qyt Affected ( EA ) ],RawData[[Article ]],A659,RawData[Month List],TEXT($A$4,"mmmm yyyy")))</f>
        <v/>
      </c>
    </row>
    <row r="660" spans="2:6" ht="15.75" x14ac:dyDescent="0.25">
      <c r="B660" s="9" t="str">
        <f>IF(A660="","",INDEX(RawData[Description],MATCH(A660,RawData[[Article ]],0)))</f>
        <v/>
      </c>
      <c r="C660" s="9" t="str">
        <f>IF(A660="","",COUNTIFS(RawData[[Article ]],A660,RawData[Month List],TEXT($A$4,"mmmm yyyy")))</f>
        <v/>
      </c>
      <c r="D660" s="9" t="str">
        <f>IF(A660="","",COUNTIFS(RawData[[Article ]],A660,RawData[[Error Type ]],"Short",RawData[Month List],TEXT($A$4,"mmmm yyyy")))</f>
        <v/>
      </c>
      <c r="E660" s="9" t="str">
        <f>IF(A660="","",COUNTIFS(RawData[[Article ]],A660,RawData[[Error Type ]],"Excess",RawData[Month List],TEXT($A$4, "mmmm yyyy")))</f>
        <v/>
      </c>
      <c r="F660" s="9" t="str">
        <f>IF(A660="","",SUMIFS(RawData[Qyt Affected ( EA ) ],RawData[[Article ]],A660,RawData[Month List],TEXT($A$4,"mmmm yyyy")))</f>
        <v/>
      </c>
    </row>
    <row r="661" spans="2:6" ht="15.75" x14ac:dyDescent="0.25">
      <c r="B661" s="9" t="str">
        <f>IF(A661="","",INDEX(RawData[Description],MATCH(A661,RawData[[Article ]],0)))</f>
        <v/>
      </c>
      <c r="C661" s="9" t="str">
        <f>IF(A661="","",COUNTIFS(RawData[[Article ]],A661,RawData[Month List],TEXT($A$4,"mmmm yyyy")))</f>
        <v/>
      </c>
      <c r="D661" s="9" t="str">
        <f>IF(A661="","",COUNTIFS(RawData[[Article ]],A661,RawData[[Error Type ]],"Short",RawData[Month List],TEXT($A$4,"mmmm yyyy")))</f>
        <v/>
      </c>
      <c r="E661" s="9" t="str">
        <f>IF(A661="","",COUNTIFS(RawData[[Article ]],A661,RawData[[Error Type ]],"Excess",RawData[Month List],TEXT($A$4, "mmmm yyyy")))</f>
        <v/>
      </c>
      <c r="F661" s="9" t="str">
        <f>IF(A661="","",SUMIFS(RawData[Qyt Affected ( EA ) ],RawData[[Article ]],A661,RawData[Month List],TEXT($A$4,"mmmm yyyy")))</f>
        <v/>
      </c>
    </row>
    <row r="662" spans="2:6" ht="15.75" x14ac:dyDescent="0.25">
      <c r="B662" s="9" t="str">
        <f>IF(A662="","",INDEX(RawData[Description],MATCH(A662,RawData[[Article ]],0)))</f>
        <v/>
      </c>
      <c r="C662" s="9" t="str">
        <f>IF(A662="","",COUNTIFS(RawData[[Article ]],A662,RawData[Month List],TEXT($A$4,"mmmm yyyy")))</f>
        <v/>
      </c>
      <c r="D662" s="9" t="str">
        <f>IF(A662="","",COUNTIFS(RawData[[Article ]],A662,RawData[[Error Type ]],"Short",RawData[Month List],TEXT($A$4,"mmmm yyyy")))</f>
        <v/>
      </c>
      <c r="E662" s="9" t="str">
        <f>IF(A662="","",COUNTIFS(RawData[[Article ]],A662,RawData[[Error Type ]],"Excess",RawData[Month List],TEXT($A$4, "mmmm yyyy")))</f>
        <v/>
      </c>
      <c r="F662" s="9" t="str">
        <f>IF(A662="","",SUMIFS(RawData[Qyt Affected ( EA ) ],RawData[[Article ]],A662,RawData[Month List],TEXT($A$4,"mmmm yyyy")))</f>
        <v/>
      </c>
    </row>
    <row r="663" spans="2:6" ht="15.75" x14ac:dyDescent="0.25">
      <c r="B663" s="9" t="str">
        <f>IF(A663="","",INDEX(RawData[Description],MATCH(A663,RawData[[Article ]],0)))</f>
        <v/>
      </c>
      <c r="C663" s="9" t="str">
        <f>IF(A663="","",COUNTIFS(RawData[[Article ]],A663,RawData[Month List],TEXT($A$4,"mmmm yyyy")))</f>
        <v/>
      </c>
      <c r="D663" s="9" t="str">
        <f>IF(A663="","",COUNTIFS(RawData[[Article ]],A663,RawData[[Error Type ]],"Short",RawData[Month List],TEXT($A$4,"mmmm yyyy")))</f>
        <v/>
      </c>
      <c r="E663" s="9" t="str">
        <f>IF(A663="","",COUNTIFS(RawData[[Article ]],A663,RawData[[Error Type ]],"Excess",RawData[Month List],TEXT($A$4, "mmmm yyyy")))</f>
        <v/>
      </c>
      <c r="F663" s="9" t="str">
        <f>IF(A663="","",SUMIFS(RawData[Qyt Affected ( EA ) ],RawData[[Article ]],A663,RawData[Month List],TEXT($A$4,"mmmm yyyy")))</f>
        <v/>
      </c>
    </row>
    <row r="664" spans="2:6" ht="15.75" x14ac:dyDescent="0.25">
      <c r="B664" s="9" t="str">
        <f>IF(A664="","",INDEX(RawData[Description],MATCH(A664,RawData[[Article ]],0)))</f>
        <v/>
      </c>
      <c r="C664" s="9" t="str">
        <f>IF(A664="","",COUNTIFS(RawData[[Article ]],A664,RawData[Month List],TEXT($A$4,"mmmm yyyy")))</f>
        <v/>
      </c>
      <c r="D664" s="9" t="str">
        <f>IF(A664="","",COUNTIFS(RawData[[Article ]],A664,RawData[[Error Type ]],"Short",RawData[Month List],TEXT($A$4,"mmmm yyyy")))</f>
        <v/>
      </c>
      <c r="E664" s="9" t="str">
        <f>IF(A664="","",COUNTIFS(RawData[[Article ]],A664,RawData[[Error Type ]],"Excess",RawData[Month List],TEXT($A$4, "mmmm yyyy")))</f>
        <v/>
      </c>
      <c r="F664" s="9" t="str">
        <f>IF(A664="","",SUMIFS(RawData[Qyt Affected ( EA ) ],RawData[[Article ]],A664,RawData[Month List],TEXT($A$4,"mmmm yyyy")))</f>
        <v/>
      </c>
    </row>
    <row r="665" spans="2:6" ht="15.75" x14ac:dyDescent="0.25">
      <c r="B665" s="9" t="str">
        <f>IF(A665="","",INDEX(RawData[Description],MATCH(A665,RawData[[Article ]],0)))</f>
        <v/>
      </c>
      <c r="C665" s="9" t="str">
        <f>IF(A665="","",COUNTIFS(RawData[[Article ]],A665,RawData[Month List],TEXT($A$4,"mmmm yyyy")))</f>
        <v/>
      </c>
      <c r="D665" s="9" t="str">
        <f>IF(A665="","",COUNTIFS(RawData[[Article ]],A665,RawData[[Error Type ]],"Short",RawData[Month List],TEXT($A$4,"mmmm yyyy")))</f>
        <v/>
      </c>
      <c r="E665" s="9" t="str">
        <f>IF(A665="","",COUNTIFS(RawData[[Article ]],A665,RawData[[Error Type ]],"Excess",RawData[Month List],TEXT($A$4, "mmmm yyyy")))</f>
        <v/>
      </c>
      <c r="F665" s="9" t="str">
        <f>IF(A665="","",SUMIFS(RawData[Qyt Affected ( EA ) ],RawData[[Article ]],A665,RawData[Month List],TEXT($A$4,"mmmm yyyy")))</f>
        <v/>
      </c>
    </row>
    <row r="666" spans="2:6" ht="15.75" x14ac:dyDescent="0.25">
      <c r="B666" s="9" t="str">
        <f>IF(A666="","",INDEX(RawData[Description],MATCH(A666,RawData[[Article ]],0)))</f>
        <v/>
      </c>
      <c r="C666" s="9" t="str">
        <f>IF(A666="","",COUNTIFS(RawData[[Article ]],A666,RawData[Month List],TEXT($A$4,"mmmm yyyy")))</f>
        <v/>
      </c>
      <c r="D666" s="9" t="str">
        <f>IF(A666="","",COUNTIFS(RawData[[Article ]],A666,RawData[[Error Type ]],"Short",RawData[Month List],TEXT($A$4,"mmmm yyyy")))</f>
        <v/>
      </c>
      <c r="E666" s="9" t="str">
        <f>IF(A666="","",COUNTIFS(RawData[[Article ]],A666,RawData[[Error Type ]],"Excess",RawData[Month List],TEXT($A$4, "mmmm yyyy")))</f>
        <v/>
      </c>
      <c r="F666" s="9" t="str">
        <f>IF(A666="","",SUMIFS(RawData[Qyt Affected ( EA ) ],RawData[[Article ]],A666,RawData[Month List],TEXT($A$4,"mmmm yyyy")))</f>
        <v/>
      </c>
    </row>
    <row r="667" spans="2:6" ht="15.75" x14ac:dyDescent="0.25">
      <c r="B667" s="9" t="str">
        <f>IF(A667="","",INDEX(RawData[Description],MATCH(A667,RawData[[Article ]],0)))</f>
        <v/>
      </c>
      <c r="C667" s="9" t="str">
        <f>IF(A667="","",COUNTIFS(RawData[[Article ]],A667,RawData[Month List],TEXT($A$4,"mmmm yyyy")))</f>
        <v/>
      </c>
      <c r="D667" s="9" t="str">
        <f>IF(A667="","",COUNTIFS(RawData[[Article ]],A667,RawData[[Error Type ]],"Short",RawData[Month List],TEXT($A$4,"mmmm yyyy")))</f>
        <v/>
      </c>
      <c r="E667" s="9" t="str">
        <f>IF(A667="","",COUNTIFS(RawData[[Article ]],A667,RawData[[Error Type ]],"Excess",RawData[Month List],TEXT($A$4, "mmmm yyyy")))</f>
        <v/>
      </c>
      <c r="F667" s="9" t="str">
        <f>IF(A667="","",SUMIFS(RawData[Qyt Affected ( EA ) ],RawData[[Article ]],A667,RawData[Month List],TEXT($A$4,"mmmm yyyy")))</f>
        <v/>
      </c>
    </row>
    <row r="668" spans="2:6" ht="15.75" x14ac:dyDescent="0.25">
      <c r="B668" s="9" t="str">
        <f>IF(A668="","",INDEX(RawData[Description],MATCH(A668,RawData[[Article ]],0)))</f>
        <v/>
      </c>
      <c r="C668" s="9" t="str">
        <f>IF(A668="","",COUNTIFS(RawData[[Article ]],A668,RawData[Month List],TEXT($A$4,"mmmm yyyy")))</f>
        <v/>
      </c>
      <c r="D668" s="9" t="str">
        <f>IF(A668="","",COUNTIFS(RawData[[Article ]],A668,RawData[[Error Type ]],"Short",RawData[Month List],TEXT($A$4,"mmmm yyyy")))</f>
        <v/>
      </c>
      <c r="E668" s="9" t="str">
        <f>IF(A668="","",COUNTIFS(RawData[[Article ]],A668,RawData[[Error Type ]],"Excess",RawData[Month List],TEXT($A$4, "mmmm yyyy")))</f>
        <v/>
      </c>
      <c r="F668" s="9" t="str">
        <f>IF(A668="","",SUMIFS(RawData[Qyt Affected ( EA ) ],RawData[[Article ]],A668,RawData[Month List],TEXT($A$4,"mmmm yyyy")))</f>
        <v/>
      </c>
    </row>
    <row r="669" spans="2:6" ht="15.75" x14ac:dyDescent="0.25">
      <c r="B669" s="9" t="str">
        <f>IF(A669="","",INDEX(RawData[Description],MATCH(A669,RawData[[Article ]],0)))</f>
        <v/>
      </c>
      <c r="C669" s="9" t="str">
        <f>IF(A669="","",COUNTIFS(RawData[[Article ]],A669,RawData[Month List],TEXT($A$4,"mmmm yyyy")))</f>
        <v/>
      </c>
      <c r="D669" s="9" t="str">
        <f>IF(A669="","",COUNTIFS(RawData[[Article ]],A669,RawData[[Error Type ]],"Short",RawData[Month List],TEXT($A$4,"mmmm yyyy")))</f>
        <v/>
      </c>
      <c r="E669" s="9" t="str">
        <f>IF(A669="","",COUNTIFS(RawData[[Article ]],A669,RawData[[Error Type ]],"Excess",RawData[Month List],TEXT($A$4, "mmmm yyyy")))</f>
        <v/>
      </c>
      <c r="F669" s="9" t="str">
        <f>IF(A669="","",SUMIFS(RawData[Qyt Affected ( EA ) ],RawData[[Article ]],A669,RawData[Month List],TEXT($A$4,"mmmm yyyy")))</f>
        <v/>
      </c>
    </row>
    <row r="670" spans="2:6" ht="15.75" x14ac:dyDescent="0.25">
      <c r="B670" s="9" t="str">
        <f>IF(A670="","",INDEX(RawData[Description],MATCH(A670,RawData[[Article ]],0)))</f>
        <v/>
      </c>
      <c r="C670" s="9" t="str">
        <f>IF(A670="","",COUNTIFS(RawData[[Article ]],A670,RawData[Month List],TEXT($A$4,"mmmm yyyy")))</f>
        <v/>
      </c>
      <c r="D670" s="9" t="str">
        <f>IF(A670="","",COUNTIFS(RawData[[Article ]],A670,RawData[[Error Type ]],"Short",RawData[Month List],TEXT($A$4,"mmmm yyyy")))</f>
        <v/>
      </c>
      <c r="E670" s="9" t="str">
        <f>IF(A670="","",COUNTIFS(RawData[[Article ]],A670,RawData[[Error Type ]],"Excess",RawData[Month List],TEXT($A$4, "mmmm yyyy")))</f>
        <v/>
      </c>
      <c r="F670" s="9" t="str">
        <f>IF(A670="","",SUMIFS(RawData[Qyt Affected ( EA ) ],RawData[[Article ]],A670,RawData[Month List],TEXT($A$4,"mmmm yyyy")))</f>
        <v/>
      </c>
    </row>
    <row r="671" spans="2:6" ht="15.75" x14ac:dyDescent="0.25">
      <c r="B671" s="9" t="str">
        <f>IF(A671="","",INDEX(RawData[Description],MATCH(A671,RawData[[Article ]],0)))</f>
        <v/>
      </c>
      <c r="C671" s="9" t="str">
        <f>IF(A671="","",COUNTIFS(RawData[[Article ]],A671,RawData[Month List],TEXT($A$4,"mmmm yyyy")))</f>
        <v/>
      </c>
      <c r="D671" s="9" t="str">
        <f>IF(A671="","",COUNTIFS(RawData[[Article ]],A671,RawData[[Error Type ]],"Short",RawData[Month List],TEXT($A$4,"mmmm yyyy")))</f>
        <v/>
      </c>
      <c r="E671" s="9" t="str">
        <f>IF(A671="","",COUNTIFS(RawData[[Article ]],A671,RawData[[Error Type ]],"Excess",RawData[Month List],TEXT($A$4, "mmmm yyyy")))</f>
        <v/>
      </c>
      <c r="F671" s="9" t="str">
        <f>IF(A671="","",SUMIFS(RawData[Qyt Affected ( EA ) ],RawData[[Article ]],A671,RawData[Month List],TEXT($A$4,"mmmm yyyy")))</f>
        <v/>
      </c>
    </row>
    <row r="672" spans="2:6" ht="15.75" x14ac:dyDescent="0.25">
      <c r="B672" s="9" t="str">
        <f>IF(A672="","",INDEX(RawData[Description],MATCH(A672,RawData[[Article ]],0)))</f>
        <v/>
      </c>
      <c r="C672" s="9" t="str">
        <f>IF(A672="","",COUNTIFS(RawData[[Article ]],A672,RawData[Month List],TEXT($A$4,"mmmm yyyy")))</f>
        <v/>
      </c>
      <c r="D672" s="9" t="str">
        <f>IF(A672="","",COUNTIFS(RawData[[Article ]],A672,RawData[[Error Type ]],"Short",RawData[Month List],TEXT($A$4,"mmmm yyyy")))</f>
        <v/>
      </c>
      <c r="E672" s="9" t="str">
        <f>IF(A672="","",COUNTIFS(RawData[[Article ]],A672,RawData[[Error Type ]],"Excess",RawData[Month List],TEXT($A$4, "mmmm yyyy")))</f>
        <v/>
      </c>
      <c r="F672" s="9" t="str">
        <f>IF(A672="","",SUMIFS(RawData[Qyt Affected ( EA ) ],RawData[[Article ]],A672,RawData[Month List],TEXT($A$4,"mmmm yyyy")))</f>
        <v/>
      </c>
    </row>
    <row r="673" spans="2:6" ht="15.75" x14ac:dyDescent="0.25">
      <c r="B673" s="9" t="str">
        <f>IF(A673="","",INDEX(RawData[Description],MATCH(A673,RawData[[Article ]],0)))</f>
        <v/>
      </c>
      <c r="C673" s="9" t="str">
        <f>IF(A673="","",COUNTIFS(RawData[[Article ]],A673,RawData[Month List],TEXT($A$4,"mmmm yyyy")))</f>
        <v/>
      </c>
      <c r="D673" s="9" t="str">
        <f>IF(A673="","",COUNTIFS(RawData[[Article ]],A673,RawData[[Error Type ]],"Short",RawData[Month List],TEXT($A$4,"mmmm yyyy")))</f>
        <v/>
      </c>
      <c r="E673" s="9" t="str">
        <f>IF(A673="","",COUNTIFS(RawData[[Article ]],A673,RawData[[Error Type ]],"Excess",RawData[Month List],TEXT($A$4, "mmmm yyyy")))</f>
        <v/>
      </c>
      <c r="F673" s="9" t="str">
        <f>IF(A673="","",SUMIFS(RawData[Qyt Affected ( EA ) ],RawData[[Article ]],A673,RawData[Month List],TEXT($A$4,"mmmm yyyy")))</f>
        <v/>
      </c>
    </row>
    <row r="674" spans="2:6" ht="15.75" x14ac:dyDescent="0.25">
      <c r="B674" s="9" t="str">
        <f>IF(A674="","",INDEX(RawData[Description],MATCH(A674,RawData[[Article ]],0)))</f>
        <v/>
      </c>
      <c r="C674" s="9" t="str">
        <f>IF(A674="","",COUNTIFS(RawData[[Article ]],A674,RawData[Month List],TEXT($A$4,"mmmm yyyy")))</f>
        <v/>
      </c>
      <c r="D674" s="9" t="str">
        <f>IF(A674="","",COUNTIFS(RawData[[Article ]],A674,RawData[[Error Type ]],"Short",RawData[Month List],TEXT($A$4,"mmmm yyyy")))</f>
        <v/>
      </c>
      <c r="E674" s="9" t="str">
        <f>IF(A674="","",COUNTIFS(RawData[[Article ]],A674,RawData[[Error Type ]],"Excess",RawData[Month List],TEXT($A$4, "mmmm yyyy")))</f>
        <v/>
      </c>
      <c r="F674" s="9" t="str">
        <f>IF(A674="","",SUMIFS(RawData[Qyt Affected ( EA ) ],RawData[[Article ]],A674,RawData[Month List],TEXT($A$4,"mmmm yyyy")))</f>
        <v/>
      </c>
    </row>
    <row r="675" spans="2:6" ht="15.75" x14ac:dyDescent="0.25">
      <c r="B675" s="9" t="str">
        <f>IF(A675="","",INDEX(RawData[Description],MATCH(A675,RawData[[Article ]],0)))</f>
        <v/>
      </c>
      <c r="C675" s="9" t="str">
        <f>IF(A675="","",COUNTIFS(RawData[[Article ]],A675,RawData[Month List],TEXT($A$4,"mmmm yyyy")))</f>
        <v/>
      </c>
      <c r="D675" s="9" t="str">
        <f>IF(A675="","",COUNTIFS(RawData[[Article ]],A675,RawData[[Error Type ]],"Short",RawData[Month List],TEXT($A$4,"mmmm yyyy")))</f>
        <v/>
      </c>
      <c r="E675" s="9" t="str">
        <f>IF(A675="","",COUNTIFS(RawData[[Article ]],A675,RawData[[Error Type ]],"Excess",RawData[Month List],TEXT($A$4, "mmmm yyyy")))</f>
        <v/>
      </c>
      <c r="F675" s="9" t="str">
        <f>IF(A675="","",SUMIFS(RawData[Qyt Affected ( EA ) ],RawData[[Article ]],A675,RawData[Month List],TEXT($A$4,"mmmm yyyy")))</f>
        <v/>
      </c>
    </row>
    <row r="676" spans="2:6" ht="15.75" x14ac:dyDescent="0.25">
      <c r="B676" s="9" t="str">
        <f>IF(A676="","",INDEX(RawData[Description],MATCH(A676,RawData[[Article ]],0)))</f>
        <v/>
      </c>
      <c r="C676" s="9" t="str">
        <f>IF(A676="","",COUNTIFS(RawData[[Article ]],A676,RawData[Month List],TEXT($A$4,"mmmm yyyy")))</f>
        <v/>
      </c>
      <c r="D676" s="9" t="str">
        <f>IF(A676="","",COUNTIFS(RawData[[Article ]],A676,RawData[[Error Type ]],"Short",RawData[Month List],TEXT($A$4,"mmmm yyyy")))</f>
        <v/>
      </c>
      <c r="E676" s="9" t="str">
        <f>IF(A676="","",COUNTIFS(RawData[[Article ]],A676,RawData[[Error Type ]],"Excess",RawData[Month List],TEXT($A$4, "mmmm yyyy")))</f>
        <v/>
      </c>
      <c r="F676" s="9" t="str">
        <f>IF(A676="","",SUMIFS(RawData[Qyt Affected ( EA ) ],RawData[[Article ]],A676,RawData[Month List],TEXT($A$4,"mmmm yyyy")))</f>
        <v/>
      </c>
    </row>
    <row r="677" spans="2:6" ht="15.75" x14ac:dyDescent="0.25">
      <c r="B677" s="9" t="str">
        <f>IF(A677="","",INDEX(RawData[Description],MATCH(A677,RawData[[Article ]],0)))</f>
        <v/>
      </c>
      <c r="C677" s="9" t="str">
        <f>IF(A677="","",COUNTIFS(RawData[[Article ]],A677,RawData[Month List],TEXT($A$4,"mmmm yyyy")))</f>
        <v/>
      </c>
      <c r="D677" s="9" t="str">
        <f>IF(A677="","",COUNTIFS(RawData[[Article ]],A677,RawData[[Error Type ]],"Short",RawData[Month List],TEXT($A$4,"mmmm yyyy")))</f>
        <v/>
      </c>
      <c r="E677" s="9" t="str">
        <f>IF(A677="","",COUNTIFS(RawData[[Article ]],A677,RawData[[Error Type ]],"Excess",RawData[Month List],TEXT($A$4, "mmmm yyyy")))</f>
        <v/>
      </c>
      <c r="F677" s="9" t="str">
        <f>IF(A677="","",SUMIFS(RawData[Qyt Affected ( EA ) ],RawData[[Article ]],A677,RawData[Month List],TEXT($A$4,"mmmm yyyy")))</f>
        <v/>
      </c>
    </row>
    <row r="678" spans="2:6" ht="15.75" x14ac:dyDescent="0.25">
      <c r="B678" s="9" t="str">
        <f>IF(A678="","",INDEX(RawData[Description],MATCH(A678,RawData[[Article ]],0)))</f>
        <v/>
      </c>
      <c r="C678" s="9" t="str">
        <f>IF(A678="","",COUNTIFS(RawData[[Article ]],A678,RawData[Month List],TEXT($A$4,"mmmm yyyy")))</f>
        <v/>
      </c>
      <c r="D678" s="9" t="str">
        <f>IF(A678="","",COUNTIFS(RawData[[Article ]],A678,RawData[[Error Type ]],"Short",RawData[Month List],TEXT($A$4,"mmmm yyyy")))</f>
        <v/>
      </c>
      <c r="E678" s="9" t="str">
        <f>IF(A678="","",COUNTIFS(RawData[[Article ]],A678,RawData[[Error Type ]],"Excess",RawData[Month List],TEXT($A$4, "mmmm yyyy")))</f>
        <v/>
      </c>
      <c r="F678" s="9" t="str">
        <f>IF(A678="","",SUMIFS(RawData[Qyt Affected ( EA ) ],RawData[[Article ]],A678,RawData[Month List],TEXT($A$4,"mmmm yyyy")))</f>
        <v/>
      </c>
    </row>
    <row r="679" spans="2:6" ht="15.75" x14ac:dyDescent="0.25">
      <c r="B679" s="9" t="str">
        <f>IF(A679="","",INDEX(RawData[Description],MATCH(A679,RawData[[Article ]],0)))</f>
        <v/>
      </c>
      <c r="C679" s="9" t="str">
        <f>IF(A679="","",COUNTIFS(RawData[[Article ]],A679,RawData[Month List],TEXT($A$4,"mmmm yyyy")))</f>
        <v/>
      </c>
      <c r="D679" s="9" t="str">
        <f>IF(A679="","",COUNTIFS(RawData[[Article ]],A679,RawData[[Error Type ]],"Short",RawData[Month List],TEXT($A$4,"mmmm yyyy")))</f>
        <v/>
      </c>
      <c r="E679" s="9" t="str">
        <f>IF(A679="","",COUNTIFS(RawData[[Article ]],A679,RawData[[Error Type ]],"Excess",RawData[Month List],TEXT($A$4, "mmmm yyyy")))</f>
        <v/>
      </c>
      <c r="F679" s="9" t="str">
        <f>IF(A679="","",SUMIFS(RawData[Qyt Affected ( EA ) ],RawData[[Article ]],A679,RawData[Month List],TEXT($A$4,"mmmm yyyy")))</f>
        <v/>
      </c>
    </row>
    <row r="680" spans="2:6" ht="15.75" x14ac:dyDescent="0.25">
      <c r="B680" s="9" t="str">
        <f>IF(A680="","",INDEX(RawData[Description],MATCH(A680,RawData[[Article ]],0)))</f>
        <v/>
      </c>
      <c r="C680" s="9" t="str">
        <f>IF(A680="","",COUNTIFS(RawData[[Article ]],A680,RawData[Month List],TEXT($A$4,"mmmm yyyy")))</f>
        <v/>
      </c>
      <c r="D680" s="9" t="str">
        <f>IF(A680="","",COUNTIFS(RawData[[Article ]],A680,RawData[[Error Type ]],"Short",RawData[Month List],TEXT($A$4,"mmmm yyyy")))</f>
        <v/>
      </c>
      <c r="E680" s="9" t="str">
        <f>IF(A680="","",COUNTIFS(RawData[[Article ]],A680,RawData[[Error Type ]],"Excess",RawData[Month List],TEXT($A$4, "mmmm yyyy")))</f>
        <v/>
      </c>
      <c r="F680" s="9" t="str">
        <f>IF(A680="","",SUMIFS(RawData[Qyt Affected ( EA ) ],RawData[[Article ]],A680,RawData[Month List],TEXT($A$4,"mmmm yyyy")))</f>
        <v/>
      </c>
    </row>
    <row r="681" spans="2:6" ht="15.75" x14ac:dyDescent="0.25">
      <c r="B681" s="9" t="str">
        <f>IF(A681="","",INDEX(RawData[Description],MATCH(A681,RawData[[Article ]],0)))</f>
        <v/>
      </c>
      <c r="C681" s="9" t="str">
        <f>IF(A681="","",COUNTIFS(RawData[[Article ]],A681,RawData[Month List],TEXT($A$4,"mmmm yyyy")))</f>
        <v/>
      </c>
      <c r="D681" s="9" t="str">
        <f>IF(A681="","",COUNTIFS(RawData[[Article ]],A681,RawData[[Error Type ]],"Short",RawData[Month List],TEXT($A$4,"mmmm yyyy")))</f>
        <v/>
      </c>
      <c r="E681" s="9" t="str">
        <f>IF(A681="","",COUNTIFS(RawData[[Article ]],A681,RawData[[Error Type ]],"Excess",RawData[Month List],TEXT($A$4, "mmmm yyyy")))</f>
        <v/>
      </c>
      <c r="F681" s="9" t="str">
        <f>IF(A681="","",SUMIFS(RawData[Qyt Affected ( EA ) ],RawData[[Article ]],A681,RawData[Month List],TEXT($A$4,"mmmm yyyy")))</f>
        <v/>
      </c>
    </row>
    <row r="682" spans="2:6" ht="15.75" x14ac:dyDescent="0.25">
      <c r="B682" s="9" t="str">
        <f>IF(A682="","",INDEX(RawData[Description],MATCH(A682,RawData[[Article ]],0)))</f>
        <v/>
      </c>
      <c r="C682" s="9" t="str">
        <f>IF(A682="","",COUNTIFS(RawData[[Article ]],A682,RawData[Month List],TEXT($A$4,"mmmm yyyy")))</f>
        <v/>
      </c>
      <c r="D682" s="9" t="str">
        <f>IF(A682="","",COUNTIFS(RawData[[Article ]],A682,RawData[[Error Type ]],"Short",RawData[Month List],TEXT($A$4,"mmmm yyyy")))</f>
        <v/>
      </c>
      <c r="E682" s="9" t="str">
        <f>IF(A682="","",COUNTIFS(RawData[[Article ]],A682,RawData[[Error Type ]],"Excess",RawData[Month List],TEXT($A$4, "mmmm yyyy")))</f>
        <v/>
      </c>
      <c r="F682" s="9" t="str">
        <f>IF(A682="","",SUMIFS(RawData[Qyt Affected ( EA ) ],RawData[[Article ]],A682,RawData[Month List],TEXT($A$4,"mmmm yyyy")))</f>
        <v/>
      </c>
    </row>
    <row r="683" spans="2:6" ht="15.75" x14ac:dyDescent="0.25">
      <c r="B683" s="9" t="str">
        <f>IF(A683="","",INDEX(RawData[Description],MATCH(A683,RawData[[Article ]],0)))</f>
        <v/>
      </c>
      <c r="C683" s="9" t="str">
        <f>IF(A683="","",COUNTIFS(RawData[[Article ]],A683,RawData[Month List],TEXT($A$4,"mmmm yyyy")))</f>
        <v/>
      </c>
      <c r="D683" s="9" t="str">
        <f>IF(A683="","",COUNTIFS(RawData[[Article ]],A683,RawData[[Error Type ]],"Short",RawData[Month List],TEXT($A$4,"mmmm yyyy")))</f>
        <v/>
      </c>
      <c r="E683" s="9" t="str">
        <f>IF(A683="","",COUNTIFS(RawData[[Article ]],A683,RawData[[Error Type ]],"Excess",RawData[Month List],TEXT($A$4, "mmmm yyyy")))</f>
        <v/>
      </c>
      <c r="F683" s="9" t="str">
        <f>IF(A683="","",SUMIFS(RawData[Qyt Affected ( EA ) ],RawData[[Article ]],A683,RawData[Month List],TEXT($A$4,"mmmm yyyy")))</f>
        <v/>
      </c>
    </row>
    <row r="684" spans="2:6" ht="15.75" x14ac:dyDescent="0.25">
      <c r="B684" s="9" t="str">
        <f>IF(A684="","",INDEX(RawData[Description],MATCH(A684,RawData[[Article ]],0)))</f>
        <v/>
      </c>
      <c r="C684" s="9" t="str">
        <f>IF(A684="","",COUNTIFS(RawData[[Article ]],A684,RawData[Month List],TEXT($A$4,"mmmm yyyy")))</f>
        <v/>
      </c>
      <c r="D684" s="9" t="str">
        <f>IF(A684="","",COUNTIFS(RawData[[Article ]],A684,RawData[[Error Type ]],"Short",RawData[Month List],TEXT($A$4,"mmmm yyyy")))</f>
        <v/>
      </c>
      <c r="E684" s="9" t="str">
        <f>IF(A684="","",COUNTIFS(RawData[[Article ]],A684,RawData[[Error Type ]],"Excess",RawData[Month List],TEXT($A$4, "mmmm yyyy")))</f>
        <v/>
      </c>
      <c r="F684" s="9" t="str">
        <f>IF(A684="","",SUMIFS(RawData[Qyt Affected ( EA ) ],RawData[[Article ]],A684,RawData[Month List],TEXT($A$4,"mmmm yyyy")))</f>
        <v/>
      </c>
    </row>
    <row r="685" spans="2:6" ht="15.75" x14ac:dyDescent="0.25">
      <c r="B685" s="9" t="str">
        <f>IF(A685="","",INDEX(RawData[Description],MATCH(A685,RawData[[Article ]],0)))</f>
        <v/>
      </c>
      <c r="C685" s="9" t="str">
        <f>IF(A685="","",COUNTIFS(RawData[[Article ]],A685,RawData[Month List],TEXT($A$4,"mmmm yyyy")))</f>
        <v/>
      </c>
      <c r="D685" s="9" t="str">
        <f>IF(A685="","",COUNTIFS(RawData[[Article ]],A685,RawData[[Error Type ]],"Short",RawData[Month List],TEXT($A$4,"mmmm yyyy")))</f>
        <v/>
      </c>
      <c r="E685" s="9" t="str">
        <f>IF(A685="","",COUNTIFS(RawData[[Article ]],A685,RawData[[Error Type ]],"Excess",RawData[Month List],TEXT($A$4, "mmmm yyyy")))</f>
        <v/>
      </c>
      <c r="F685" s="9" t="str">
        <f>IF(A685="","",SUMIFS(RawData[Qyt Affected ( EA ) ],RawData[[Article ]],A685,RawData[Month List],TEXT($A$4,"mmmm yyyy")))</f>
        <v/>
      </c>
    </row>
    <row r="686" spans="2:6" ht="15.75" x14ac:dyDescent="0.25">
      <c r="B686" s="9" t="str">
        <f>IF(A686="","",INDEX(RawData[Description],MATCH(A686,RawData[[Article ]],0)))</f>
        <v/>
      </c>
      <c r="C686" s="9" t="str">
        <f>IF(A686="","",COUNTIFS(RawData[[Article ]],A686,RawData[Month List],TEXT($A$4,"mmmm yyyy")))</f>
        <v/>
      </c>
      <c r="D686" s="9" t="str">
        <f>IF(A686="","",COUNTIFS(RawData[[Article ]],A686,RawData[[Error Type ]],"Short",RawData[Month List],TEXT($A$4,"mmmm yyyy")))</f>
        <v/>
      </c>
      <c r="E686" s="9" t="str">
        <f>IF(A686="","",COUNTIFS(RawData[[Article ]],A686,RawData[[Error Type ]],"Excess",RawData[Month List],TEXT($A$4, "mmmm yyyy")))</f>
        <v/>
      </c>
      <c r="F686" s="9" t="str">
        <f>IF(A686="","",SUMIFS(RawData[Qyt Affected ( EA ) ],RawData[[Article ]],A686,RawData[Month List],TEXT($A$4,"mmmm yyyy")))</f>
        <v/>
      </c>
    </row>
    <row r="687" spans="2:6" ht="15.75" x14ac:dyDescent="0.25">
      <c r="B687" s="9" t="str">
        <f>IF(A687="","",INDEX(RawData[Description],MATCH(A687,RawData[[Article ]],0)))</f>
        <v/>
      </c>
      <c r="C687" s="9" t="str">
        <f>IF(A687="","",COUNTIFS(RawData[[Article ]],A687,RawData[Month List],TEXT($A$4,"mmmm yyyy")))</f>
        <v/>
      </c>
      <c r="D687" s="9" t="str">
        <f>IF(A687="","",COUNTIFS(RawData[[Article ]],A687,RawData[[Error Type ]],"Short",RawData[Month List],TEXT($A$4,"mmmm yyyy")))</f>
        <v/>
      </c>
      <c r="E687" s="9" t="str">
        <f>IF(A687="","",COUNTIFS(RawData[[Article ]],A687,RawData[[Error Type ]],"Excess",RawData[Month List],TEXT($A$4, "mmmm yyyy")))</f>
        <v/>
      </c>
      <c r="F687" s="9" t="str">
        <f>IF(A687="","",SUMIFS(RawData[Qyt Affected ( EA ) ],RawData[[Article ]],A687,RawData[Month List],TEXT($A$4,"mmmm yyyy")))</f>
        <v/>
      </c>
    </row>
    <row r="688" spans="2:6" ht="15.75" x14ac:dyDescent="0.25">
      <c r="B688" s="9" t="str">
        <f>IF(A688="","",INDEX(RawData[Description],MATCH(A688,RawData[[Article ]],0)))</f>
        <v/>
      </c>
      <c r="C688" s="9" t="str">
        <f>IF(A688="","",COUNTIFS(RawData[[Article ]],A688,RawData[Month List],TEXT($A$4,"mmmm yyyy")))</f>
        <v/>
      </c>
      <c r="D688" s="9" t="str">
        <f>IF(A688="","",COUNTIFS(RawData[[Article ]],A688,RawData[[Error Type ]],"Short",RawData[Month List],TEXT($A$4,"mmmm yyyy")))</f>
        <v/>
      </c>
      <c r="E688" s="9" t="str">
        <f>IF(A688="","",COUNTIFS(RawData[[Article ]],A688,RawData[[Error Type ]],"Excess",RawData[Month List],TEXT($A$4, "mmmm yyyy")))</f>
        <v/>
      </c>
      <c r="F688" s="9" t="str">
        <f>IF(A688="","",SUMIFS(RawData[Qyt Affected ( EA ) ],RawData[[Article ]],A688,RawData[Month List],TEXT($A$4,"mmmm yyyy")))</f>
        <v/>
      </c>
    </row>
    <row r="689" spans="2:6" ht="15.75" x14ac:dyDescent="0.25">
      <c r="B689" s="9" t="str">
        <f>IF(A689="","",INDEX(RawData[Description],MATCH(A689,RawData[[Article ]],0)))</f>
        <v/>
      </c>
      <c r="C689" s="9" t="str">
        <f>IF(A689="","",COUNTIFS(RawData[[Article ]],A689,RawData[Month List],TEXT($A$4,"mmmm yyyy")))</f>
        <v/>
      </c>
      <c r="D689" s="9" t="str">
        <f>IF(A689="","",COUNTIFS(RawData[[Article ]],A689,RawData[[Error Type ]],"Short",RawData[Month List],TEXT($A$4,"mmmm yyyy")))</f>
        <v/>
      </c>
      <c r="E689" s="9" t="str">
        <f>IF(A689="","",COUNTIFS(RawData[[Article ]],A689,RawData[[Error Type ]],"Excess",RawData[Month List],TEXT($A$4, "mmmm yyyy")))</f>
        <v/>
      </c>
      <c r="F689" s="9" t="str">
        <f>IF(A689="","",SUMIFS(RawData[Qyt Affected ( EA ) ],RawData[[Article ]],A689,RawData[Month List],TEXT($A$4,"mmmm yyyy")))</f>
        <v/>
      </c>
    </row>
    <row r="690" spans="2:6" ht="15.75" x14ac:dyDescent="0.25">
      <c r="B690" s="9" t="str">
        <f>IF(A690="","",INDEX(RawData[Description],MATCH(A690,RawData[[Article ]],0)))</f>
        <v/>
      </c>
      <c r="C690" s="9" t="str">
        <f>IF(A690="","",COUNTIFS(RawData[[Article ]],A690,RawData[Month List],TEXT($A$4,"mmmm yyyy")))</f>
        <v/>
      </c>
      <c r="D690" s="9" t="str">
        <f>IF(A690="","",COUNTIFS(RawData[[Article ]],A690,RawData[[Error Type ]],"Short",RawData[Month List],TEXT($A$4,"mmmm yyyy")))</f>
        <v/>
      </c>
      <c r="E690" s="9" t="str">
        <f>IF(A690="","",COUNTIFS(RawData[[Article ]],A690,RawData[[Error Type ]],"Excess",RawData[Month List],TEXT($A$4, "mmmm yyyy")))</f>
        <v/>
      </c>
      <c r="F690" s="9" t="str">
        <f>IF(A690="","",SUMIFS(RawData[Qyt Affected ( EA ) ],RawData[[Article ]],A690,RawData[Month List],TEXT($A$4,"mmmm yyyy")))</f>
        <v/>
      </c>
    </row>
    <row r="691" spans="2:6" ht="15.75" x14ac:dyDescent="0.25">
      <c r="B691" s="9" t="str">
        <f>IF(A691="","",INDEX(RawData[Description],MATCH(A691,RawData[[Article ]],0)))</f>
        <v/>
      </c>
      <c r="C691" s="9" t="str">
        <f>IF(A691="","",COUNTIFS(RawData[[Article ]],A691,RawData[Month List],TEXT($A$4,"mmmm yyyy")))</f>
        <v/>
      </c>
      <c r="D691" s="9" t="str">
        <f>IF(A691="","",COUNTIFS(RawData[[Article ]],A691,RawData[[Error Type ]],"Short",RawData[Month List],TEXT($A$4,"mmmm yyyy")))</f>
        <v/>
      </c>
      <c r="E691" s="9" t="str">
        <f>IF(A691="","",COUNTIFS(RawData[[Article ]],A691,RawData[[Error Type ]],"Excess",RawData[Month List],TEXT($A$4, "mmmm yyyy")))</f>
        <v/>
      </c>
      <c r="F691" s="9" t="str">
        <f>IF(A691="","",SUMIFS(RawData[Qyt Affected ( EA ) ],RawData[[Article ]],A691,RawData[Month List],TEXT($A$4,"mmmm yyyy")))</f>
        <v/>
      </c>
    </row>
  </sheetData>
  <sheetProtection algorithmName="SHA-512" hashValue="xD+xpH+M2Xxqr323Nnqvpq7/mwsDGHw9nkbOPzJ8UFJjQDgwl4IQGACvBxTgrJ9678M8tIP7p0fG28nihB41hg==" saltValue="jgsc5eMi5GydAC7iRCx5yQ==" spinCount="100000" sheet="1" objects="1" scenarios="1"/>
  <mergeCells count="1">
    <mergeCell ref="A1:F1"/>
  </mergeCells>
  <conditionalFormatting sqref="C7:C1048576">
    <cfRule type="colorScale" priority="2">
      <colorScale>
        <cfvo type="min"/>
        <cfvo type="percentile" val="50"/>
        <cfvo type="max"/>
        <color theme="9" tint="-0.249977111117893"/>
        <color rgb="FFFFFF00"/>
        <color rgb="FFC00000"/>
      </colorScale>
    </cfRule>
  </conditionalFormatting>
  <conditionalFormatting sqref="F7:F691">
    <cfRule type="colorScale" priority="3">
      <colorScale>
        <cfvo type="min"/>
        <cfvo type="percentile" val="50"/>
        <cfvo type="max"/>
        <color theme="9" tint="-0.249977111117893"/>
        <color rgb="FFFFFF00"/>
        <color rgb="FFC00000"/>
      </colorScale>
    </cfRule>
  </conditionalFormatting>
  <conditionalFormatting sqref="F7:F1048576">
    <cfRule type="colorScale" priority="1">
      <colorScale>
        <cfvo type="min"/>
        <cfvo type="percentile" val="50"/>
        <cfvo type="max"/>
        <color theme="9" tint="-0.249977111117893"/>
        <color rgb="FFFFFF00"/>
        <color rgb="FFC00000"/>
      </colorScale>
    </cfRule>
  </conditionalFormatting>
  <conditionalFormatting sqref="K6">
    <cfRule type="containsText" dxfId="5" priority="4" operator="containsText" text="High">
      <formula>NOT(ISERROR(SEARCH("High",K6)))</formula>
    </cfRule>
    <cfRule type="containsText" dxfId="4" priority="5" operator="containsText" text="Medium">
      <formula>NOT(ISERROR(SEARCH("Medium",K6)))</formula>
    </cfRule>
    <cfRule type="containsText" dxfId="3" priority="6" operator="containsText" text="Low">
      <formula>NOT(ISERROR(SEARCH("Low",K6)))</formula>
    </cfRule>
  </conditionalFormatting>
  <conditionalFormatting sqref="M6">
    <cfRule type="containsText" dxfId="2" priority="7" operator="containsText" text="High">
      <formula>NOT(ISERROR(SEARCH("High",M6)))</formula>
    </cfRule>
    <cfRule type="containsText" dxfId="1" priority="8" operator="containsText" text="Medium">
      <formula>NOT(ISERROR(SEARCH("Medium",M6)))</formula>
    </cfRule>
    <cfRule type="containsText" dxfId="0" priority="9" operator="containsText" text="Low">
      <formula>NOT(ISERROR(SEARCH("Low",M6)))</formula>
    </cfRule>
  </conditionalFormatting>
  <dataValidations count="1">
    <dataValidation type="list" allowBlank="1" showInputMessage="1" showErrorMessage="1" sqref="A4" xr:uid="{4D449CC2-836A-498C-B9AB-288428340965}">
      <formula1>$K$7:$K$8000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B5E1-028A-4CDB-B406-EAFDA0895AA5}">
  <dimension ref="A1:F139"/>
  <sheetViews>
    <sheetView showGridLines="0" topLeftCell="A124" workbookViewId="0">
      <selection activeCell="C136" sqref="C136"/>
    </sheetView>
  </sheetViews>
  <sheetFormatPr defaultColWidth="30.7109375" defaultRowHeight="15" x14ac:dyDescent="0.25"/>
  <sheetData>
    <row r="1" spans="1:6" ht="21" x14ac:dyDescent="0.35">
      <c r="A1" s="77" t="s">
        <v>63</v>
      </c>
      <c r="B1" s="77"/>
      <c r="C1" s="77"/>
      <c r="D1" s="77"/>
      <c r="E1" s="77"/>
      <c r="F1" s="64"/>
    </row>
    <row r="3" spans="1:6" ht="18.75" x14ac:dyDescent="0.25">
      <c r="A3" s="75" t="s">
        <v>64</v>
      </c>
      <c r="B3" s="75"/>
      <c r="C3" s="75"/>
      <c r="D3" s="75"/>
      <c r="E3" s="75"/>
      <c r="F3" s="63"/>
    </row>
    <row r="4" spans="1:6" ht="18.75" x14ac:dyDescent="0.25">
      <c r="A4" s="58"/>
      <c r="B4" s="58"/>
      <c r="C4" s="58"/>
      <c r="D4" s="58"/>
      <c r="E4" s="58"/>
      <c r="F4" s="58"/>
    </row>
    <row r="5" spans="1:6" x14ac:dyDescent="0.25">
      <c r="B5" s="76" t="s">
        <v>85</v>
      </c>
      <c r="C5" s="76"/>
      <c r="D5" s="76"/>
    </row>
    <row r="6" spans="1:6" x14ac:dyDescent="0.25">
      <c r="B6" s="57"/>
      <c r="C6" s="57"/>
      <c r="D6" s="57"/>
    </row>
    <row r="7" spans="1:6" x14ac:dyDescent="0.25">
      <c r="B7" s="60" t="s">
        <v>65</v>
      </c>
      <c r="C7" s="61" t="s">
        <v>66</v>
      </c>
      <c r="D7" s="60" t="s">
        <v>63</v>
      </c>
    </row>
    <row r="8" spans="1:6" x14ac:dyDescent="0.25">
      <c r="B8" s="62" t="s">
        <v>67</v>
      </c>
      <c r="C8" s="62" t="s">
        <v>68</v>
      </c>
      <c r="D8" s="62"/>
    </row>
    <row r="9" spans="1:6" x14ac:dyDescent="0.25">
      <c r="B9" s="62" t="s">
        <v>69</v>
      </c>
      <c r="C9" s="62" t="s">
        <v>71</v>
      </c>
      <c r="D9" s="62" t="s">
        <v>70</v>
      </c>
    </row>
    <row r="10" spans="1:6" x14ac:dyDescent="0.25">
      <c r="B10" s="62" t="s">
        <v>75</v>
      </c>
      <c r="C10" s="62" t="s">
        <v>74</v>
      </c>
      <c r="D10" s="62" t="s">
        <v>73</v>
      </c>
    </row>
    <row r="11" spans="1:6" x14ac:dyDescent="0.25">
      <c r="B11" s="62" t="s">
        <v>78</v>
      </c>
      <c r="C11" s="62" t="s">
        <v>77</v>
      </c>
      <c r="D11" s="62" t="s">
        <v>76</v>
      </c>
    </row>
    <row r="12" spans="1:6" x14ac:dyDescent="0.25">
      <c r="B12" s="62" t="s">
        <v>81</v>
      </c>
      <c r="C12" s="62" t="s">
        <v>80</v>
      </c>
      <c r="D12" s="62" t="s">
        <v>79</v>
      </c>
    </row>
    <row r="13" spans="1:6" x14ac:dyDescent="0.25">
      <c r="B13" s="62" t="s">
        <v>84</v>
      </c>
      <c r="C13" s="62" t="s">
        <v>83</v>
      </c>
      <c r="D13" s="62" t="s">
        <v>82</v>
      </c>
    </row>
    <row r="15" spans="1:6" x14ac:dyDescent="0.25">
      <c r="B15" s="76" t="s">
        <v>87</v>
      </c>
      <c r="C15" s="76"/>
      <c r="D15" s="76"/>
    </row>
    <row r="16" spans="1:6" x14ac:dyDescent="0.25">
      <c r="B16" s="59"/>
      <c r="C16" s="59"/>
      <c r="D16" s="59"/>
    </row>
    <row r="17" spans="2:4" x14ac:dyDescent="0.25">
      <c r="B17" s="60" t="s">
        <v>65</v>
      </c>
      <c r="C17" s="61" t="s">
        <v>66</v>
      </c>
      <c r="D17" s="60" t="s">
        <v>63</v>
      </c>
    </row>
    <row r="18" spans="2:4" x14ac:dyDescent="0.25">
      <c r="B18" s="62" t="s">
        <v>88</v>
      </c>
      <c r="C18" s="62" t="s">
        <v>89</v>
      </c>
      <c r="D18" s="62" t="s">
        <v>86</v>
      </c>
    </row>
    <row r="19" spans="2:4" x14ac:dyDescent="0.25">
      <c r="B19" s="62" t="s">
        <v>91</v>
      </c>
      <c r="C19" s="62" t="s">
        <v>92</v>
      </c>
      <c r="D19" s="62" t="s">
        <v>90</v>
      </c>
    </row>
    <row r="20" spans="2:4" x14ac:dyDescent="0.25">
      <c r="B20" s="62" t="s">
        <v>93</v>
      </c>
      <c r="C20" s="62" t="s">
        <v>95</v>
      </c>
      <c r="D20" s="62" t="s">
        <v>94</v>
      </c>
    </row>
    <row r="21" spans="2:4" x14ac:dyDescent="0.25">
      <c r="B21" s="62" t="s">
        <v>96</v>
      </c>
      <c r="C21" s="62" t="s">
        <v>97</v>
      </c>
      <c r="D21" s="62" t="s">
        <v>98</v>
      </c>
    </row>
    <row r="22" spans="2:4" x14ac:dyDescent="0.25">
      <c r="B22" s="62" t="s">
        <v>101</v>
      </c>
      <c r="C22" s="62" t="s">
        <v>100</v>
      </c>
      <c r="D22" s="62" t="s">
        <v>99</v>
      </c>
    </row>
    <row r="23" spans="2:4" x14ac:dyDescent="0.25">
      <c r="B23" s="62" t="s">
        <v>102</v>
      </c>
      <c r="C23" s="62" t="s">
        <v>104</v>
      </c>
      <c r="D23" s="62" t="s">
        <v>103</v>
      </c>
    </row>
    <row r="24" spans="2:4" x14ac:dyDescent="0.25">
      <c r="B24" s="62" t="s">
        <v>105</v>
      </c>
      <c r="C24" s="62" t="s">
        <v>107</v>
      </c>
      <c r="D24" s="62" t="s">
        <v>106</v>
      </c>
    </row>
    <row r="25" spans="2:4" x14ac:dyDescent="0.25">
      <c r="B25" s="62" t="s">
        <v>108</v>
      </c>
      <c r="C25" s="62" t="s">
        <v>16</v>
      </c>
      <c r="D25" s="62" t="s">
        <v>109</v>
      </c>
    </row>
    <row r="27" spans="2:4" x14ac:dyDescent="0.25">
      <c r="B27" s="76" t="s">
        <v>110</v>
      </c>
      <c r="C27" s="76"/>
      <c r="D27" s="76"/>
    </row>
    <row r="29" spans="2:4" x14ac:dyDescent="0.25">
      <c r="B29" s="60" t="s">
        <v>65</v>
      </c>
      <c r="C29" s="61" t="s">
        <v>66</v>
      </c>
      <c r="D29" s="60" t="s">
        <v>63</v>
      </c>
    </row>
    <row r="30" spans="2:4" x14ac:dyDescent="0.25">
      <c r="B30" s="62" t="s">
        <v>111</v>
      </c>
      <c r="C30" s="62" t="s">
        <v>112</v>
      </c>
      <c r="D30" s="62" t="s">
        <v>113</v>
      </c>
    </row>
    <row r="31" spans="2:4" x14ac:dyDescent="0.25">
      <c r="B31" s="62" t="s">
        <v>115</v>
      </c>
      <c r="C31" s="62" t="s">
        <v>116</v>
      </c>
      <c r="D31" s="62" t="s">
        <v>114</v>
      </c>
    </row>
    <row r="34" spans="1:5" ht="18.75" x14ac:dyDescent="0.25">
      <c r="A34" s="75" t="s">
        <v>117</v>
      </c>
      <c r="B34" s="75"/>
      <c r="C34" s="75"/>
      <c r="D34" s="75"/>
      <c r="E34" s="75"/>
    </row>
    <row r="36" spans="1:5" x14ac:dyDescent="0.25">
      <c r="B36" s="76" t="s">
        <v>85</v>
      </c>
      <c r="C36" s="76"/>
      <c r="D36" s="76"/>
    </row>
    <row r="38" spans="1:5" x14ac:dyDescent="0.25">
      <c r="B38" s="60" t="s">
        <v>65</v>
      </c>
      <c r="C38" s="61" t="s">
        <v>66</v>
      </c>
      <c r="D38" s="60" t="s">
        <v>63</v>
      </c>
    </row>
    <row r="39" spans="1:5" x14ac:dyDescent="0.25">
      <c r="B39" s="62" t="s">
        <v>67</v>
      </c>
      <c r="C39" s="62" t="s">
        <v>68</v>
      </c>
      <c r="D39" s="62"/>
    </row>
    <row r="40" spans="1:5" x14ac:dyDescent="0.25">
      <c r="B40" s="62" t="s">
        <v>69</v>
      </c>
      <c r="C40" s="62" t="s">
        <v>118</v>
      </c>
      <c r="D40" s="62" t="s">
        <v>73</v>
      </c>
    </row>
    <row r="41" spans="1:5" x14ac:dyDescent="0.25">
      <c r="B41" s="62" t="s">
        <v>75</v>
      </c>
      <c r="C41" s="62" t="s">
        <v>119</v>
      </c>
      <c r="D41" s="62" t="s">
        <v>76</v>
      </c>
    </row>
    <row r="42" spans="1:5" x14ac:dyDescent="0.25">
      <c r="B42" s="62" t="s">
        <v>78</v>
      </c>
      <c r="C42" s="62" t="s">
        <v>120</v>
      </c>
      <c r="D42" s="62" t="s">
        <v>79</v>
      </c>
    </row>
    <row r="43" spans="1:5" x14ac:dyDescent="0.25">
      <c r="B43" s="62" t="s">
        <v>81</v>
      </c>
      <c r="C43" s="62" t="s">
        <v>121</v>
      </c>
      <c r="D43" s="62" t="s">
        <v>122</v>
      </c>
    </row>
    <row r="45" spans="1:5" x14ac:dyDescent="0.25">
      <c r="B45" s="76" t="s">
        <v>87</v>
      </c>
      <c r="C45" s="76"/>
      <c r="D45" s="76"/>
    </row>
    <row r="47" spans="1:5" x14ac:dyDescent="0.25">
      <c r="B47" s="60" t="s">
        <v>65</v>
      </c>
      <c r="C47" s="61" t="s">
        <v>66</v>
      </c>
      <c r="D47" s="60" t="s">
        <v>63</v>
      </c>
    </row>
    <row r="48" spans="1:5" x14ac:dyDescent="0.25">
      <c r="B48" s="62" t="s">
        <v>88</v>
      </c>
      <c r="C48" s="62" t="s">
        <v>123</v>
      </c>
      <c r="D48" s="62" t="s">
        <v>124</v>
      </c>
    </row>
    <row r="49" spans="1:6" x14ac:dyDescent="0.25">
      <c r="B49" s="62" t="s">
        <v>91</v>
      </c>
      <c r="C49" s="62" t="s">
        <v>125</v>
      </c>
      <c r="D49" s="62" t="s">
        <v>126</v>
      </c>
    </row>
    <row r="50" spans="1:6" x14ac:dyDescent="0.25">
      <c r="B50" s="62" t="s">
        <v>93</v>
      </c>
      <c r="C50" s="62" t="s">
        <v>127</v>
      </c>
      <c r="D50" s="62" t="s">
        <v>129</v>
      </c>
    </row>
    <row r="51" spans="1:6" x14ac:dyDescent="0.25">
      <c r="B51" s="62" t="s">
        <v>96</v>
      </c>
      <c r="C51" s="62" t="s">
        <v>128</v>
      </c>
      <c r="D51" s="62" t="s">
        <v>130</v>
      </c>
    </row>
    <row r="52" spans="1:6" x14ac:dyDescent="0.25">
      <c r="B52" s="62" t="s">
        <v>101</v>
      </c>
      <c r="C52" s="62" t="s">
        <v>100</v>
      </c>
      <c r="D52" s="62" t="s">
        <v>131</v>
      </c>
    </row>
    <row r="53" spans="1:6" x14ac:dyDescent="0.25">
      <c r="B53" s="62" t="s">
        <v>102</v>
      </c>
      <c r="C53" s="62" t="s">
        <v>25</v>
      </c>
      <c r="D53" s="62" t="s">
        <v>132</v>
      </c>
    </row>
    <row r="54" spans="1:6" x14ac:dyDescent="0.25">
      <c r="B54" s="62" t="s">
        <v>105</v>
      </c>
      <c r="C54" s="62" t="s">
        <v>133</v>
      </c>
      <c r="D54" s="62" t="s">
        <v>106</v>
      </c>
    </row>
    <row r="55" spans="1:6" x14ac:dyDescent="0.25">
      <c r="B55" s="62" t="s">
        <v>108</v>
      </c>
      <c r="C55" s="62" t="s">
        <v>134</v>
      </c>
      <c r="D55" s="62" t="s">
        <v>109</v>
      </c>
    </row>
    <row r="57" spans="1:6" x14ac:dyDescent="0.25">
      <c r="B57" s="76" t="s">
        <v>110</v>
      </c>
      <c r="C57" s="76"/>
      <c r="D57" s="76"/>
    </row>
    <row r="59" spans="1:6" x14ac:dyDescent="0.25">
      <c r="B59" s="60" t="s">
        <v>65</v>
      </c>
      <c r="C59" s="61" t="s">
        <v>66</v>
      </c>
      <c r="D59" s="60" t="s">
        <v>63</v>
      </c>
    </row>
    <row r="60" spans="1:6" x14ac:dyDescent="0.25">
      <c r="B60" s="62" t="s">
        <v>135</v>
      </c>
      <c r="C60" s="62" t="s">
        <v>112</v>
      </c>
      <c r="D60" s="62" t="s">
        <v>113</v>
      </c>
    </row>
    <row r="61" spans="1:6" x14ac:dyDescent="0.25">
      <c r="B61" s="62" t="s">
        <v>137</v>
      </c>
      <c r="C61" s="62" t="s">
        <v>116</v>
      </c>
      <c r="D61" s="62" t="s">
        <v>136</v>
      </c>
    </row>
    <row r="64" spans="1:6" ht="18.75" x14ac:dyDescent="0.25">
      <c r="A64" s="75" t="s">
        <v>156</v>
      </c>
      <c r="B64" s="75"/>
      <c r="C64" s="75"/>
      <c r="D64" s="75"/>
      <c r="E64" s="75"/>
      <c r="F64" s="63"/>
    </row>
    <row r="66" spans="2:4" x14ac:dyDescent="0.25">
      <c r="B66" s="76" t="s">
        <v>85</v>
      </c>
      <c r="C66" s="76"/>
      <c r="D66" s="76"/>
    </row>
    <row r="68" spans="2:4" x14ac:dyDescent="0.25">
      <c r="B68" s="60" t="s">
        <v>65</v>
      </c>
      <c r="C68" s="61" t="s">
        <v>66</v>
      </c>
      <c r="D68" s="60" t="s">
        <v>63</v>
      </c>
    </row>
    <row r="69" spans="2:4" x14ac:dyDescent="0.25">
      <c r="B69" s="62" t="s">
        <v>67</v>
      </c>
      <c r="C69" s="62" t="s">
        <v>68</v>
      </c>
      <c r="D69" s="62"/>
    </row>
    <row r="70" spans="2:4" x14ac:dyDescent="0.25">
      <c r="B70" s="62" t="s">
        <v>69</v>
      </c>
      <c r="C70" s="62" t="s">
        <v>138</v>
      </c>
      <c r="D70" s="62" t="s">
        <v>70</v>
      </c>
    </row>
    <row r="71" spans="2:4" x14ac:dyDescent="0.25">
      <c r="B71" s="62" t="s">
        <v>72</v>
      </c>
      <c r="C71" s="62" t="s">
        <v>140</v>
      </c>
      <c r="D71" s="62" t="s">
        <v>139</v>
      </c>
    </row>
    <row r="72" spans="2:4" x14ac:dyDescent="0.25">
      <c r="B72" s="62" t="s">
        <v>75</v>
      </c>
      <c r="C72" s="62" t="s">
        <v>141</v>
      </c>
      <c r="D72" s="62" t="s">
        <v>142</v>
      </c>
    </row>
    <row r="73" spans="2:4" x14ac:dyDescent="0.25">
      <c r="B73" s="62" t="s">
        <v>78</v>
      </c>
      <c r="C73" s="62" t="s">
        <v>143</v>
      </c>
      <c r="D73" s="62" t="s">
        <v>79</v>
      </c>
    </row>
    <row r="74" spans="2:4" x14ac:dyDescent="0.25">
      <c r="B74" s="62" t="s">
        <v>144</v>
      </c>
      <c r="C74" s="62" t="s">
        <v>121</v>
      </c>
      <c r="D74" s="62" t="s">
        <v>122</v>
      </c>
    </row>
    <row r="76" spans="2:4" x14ac:dyDescent="0.25">
      <c r="B76" s="76" t="s">
        <v>87</v>
      </c>
      <c r="C76" s="76"/>
      <c r="D76" s="76"/>
    </row>
    <row r="78" spans="2:4" x14ac:dyDescent="0.25">
      <c r="B78" s="60" t="s">
        <v>65</v>
      </c>
      <c r="C78" s="61" t="s">
        <v>66</v>
      </c>
      <c r="D78" s="60" t="s">
        <v>63</v>
      </c>
    </row>
    <row r="79" spans="2:4" x14ac:dyDescent="0.25">
      <c r="B79" s="62" t="s">
        <v>88</v>
      </c>
      <c r="C79" s="62" t="s">
        <v>146</v>
      </c>
      <c r="D79" s="62" t="s">
        <v>145</v>
      </c>
    </row>
    <row r="80" spans="2:4" x14ac:dyDescent="0.25">
      <c r="B80" s="62" t="s">
        <v>91</v>
      </c>
      <c r="C80" s="62" t="s">
        <v>147</v>
      </c>
      <c r="D80" s="62" t="s">
        <v>148</v>
      </c>
    </row>
    <row r="81" spans="1:5" x14ac:dyDescent="0.25">
      <c r="B81" s="62" t="s">
        <v>93</v>
      </c>
      <c r="C81" s="62" t="s">
        <v>149</v>
      </c>
      <c r="D81" s="62" t="s">
        <v>152</v>
      </c>
    </row>
    <row r="82" spans="1:5" x14ac:dyDescent="0.25">
      <c r="B82" s="62" t="s">
        <v>96</v>
      </c>
      <c r="C82" s="62" t="s">
        <v>150</v>
      </c>
      <c r="D82" s="62" t="s">
        <v>153</v>
      </c>
    </row>
    <row r="83" spans="1:5" x14ac:dyDescent="0.25">
      <c r="B83" s="62" t="s">
        <v>101</v>
      </c>
      <c r="C83" s="62" t="s">
        <v>151</v>
      </c>
      <c r="D83" s="62" t="s">
        <v>154</v>
      </c>
    </row>
    <row r="85" spans="1:5" x14ac:dyDescent="0.25">
      <c r="B85" s="76" t="s">
        <v>110</v>
      </c>
      <c r="C85" s="76"/>
      <c r="D85" s="76"/>
    </row>
    <row r="87" spans="1:5" x14ac:dyDescent="0.25">
      <c r="B87" s="60" t="s">
        <v>65</v>
      </c>
      <c r="C87" s="61" t="s">
        <v>66</v>
      </c>
      <c r="D87" s="60" t="s">
        <v>63</v>
      </c>
    </row>
    <row r="88" spans="1:5" x14ac:dyDescent="0.25">
      <c r="B88" s="62" t="s">
        <v>135</v>
      </c>
      <c r="C88" s="62" t="s">
        <v>112</v>
      </c>
      <c r="D88" s="62" t="s">
        <v>113</v>
      </c>
    </row>
    <row r="89" spans="1:5" x14ac:dyDescent="0.25">
      <c r="B89" s="62" t="s">
        <v>137</v>
      </c>
      <c r="C89" s="62" t="s">
        <v>116</v>
      </c>
      <c r="D89" s="62" t="s">
        <v>155</v>
      </c>
    </row>
    <row r="92" spans="1:5" ht="18.75" x14ac:dyDescent="0.25">
      <c r="A92" s="75" t="s">
        <v>157</v>
      </c>
      <c r="B92" s="75"/>
      <c r="C92" s="75"/>
      <c r="D92" s="75"/>
      <c r="E92" s="75"/>
    </row>
    <row r="94" spans="1:5" x14ac:dyDescent="0.25">
      <c r="B94" s="76" t="s">
        <v>85</v>
      </c>
      <c r="C94" s="76"/>
      <c r="D94" s="76"/>
    </row>
    <row r="96" spans="1:5" x14ac:dyDescent="0.25">
      <c r="B96" s="60" t="s">
        <v>65</v>
      </c>
      <c r="C96" s="61" t="s">
        <v>66</v>
      </c>
      <c r="D96" s="60" t="s">
        <v>63</v>
      </c>
    </row>
    <row r="97" spans="2:4" x14ac:dyDescent="0.25">
      <c r="B97" s="62" t="s">
        <v>67</v>
      </c>
      <c r="C97" s="62" t="s">
        <v>68</v>
      </c>
      <c r="D97" s="62"/>
    </row>
    <row r="98" spans="2:4" x14ac:dyDescent="0.25">
      <c r="B98" s="62" t="s">
        <v>69</v>
      </c>
      <c r="C98" s="62" t="s">
        <v>140</v>
      </c>
      <c r="D98" s="62" t="s">
        <v>73</v>
      </c>
    </row>
    <row r="99" spans="2:4" x14ac:dyDescent="0.25">
      <c r="B99" s="62" t="s">
        <v>72</v>
      </c>
      <c r="C99" s="62" t="s">
        <v>77</v>
      </c>
      <c r="D99" s="62" t="s">
        <v>76</v>
      </c>
    </row>
    <row r="100" spans="2:4" x14ac:dyDescent="0.25">
      <c r="B100" s="62" t="s">
        <v>75</v>
      </c>
      <c r="C100" s="62" t="s">
        <v>143</v>
      </c>
      <c r="D100" s="62" t="s">
        <v>79</v>
      </c>
    </row>
    <row r="101" spans="2:4" x14ac:dyDescent="0.25">
      <c r="B101" s="62" t="s">
        <v>78</v>
      </c>
      <c r="C101" s="62" t="s">
        <v>121</v>
      </c>
      <c r="D101" s="62" t="s">
        <v>122</v>
      </c>
    </row>
    <row r="103" spans="2:4" x14ac:dyDescent="0.25">
      <c r="B103" s="76" t="s">
        <v>87</v>
      </c>
      <c r="C103" s="76"/>
      <c r="D103" s="76"/>
    </row>
    <row r="105" spans="2:4" x14ac:dyDescent="0.25">
      <c r="B105" s="60" t="s">
        <v>65</v>
      </c>
      <c r="C105" s="61" t="s">
        <v>66</v>
      </c>
      <c r="D105" s="60" t="s">
        <v>63</v>
      </c>
    </row>
    <row r="106" spans="2:4" x14ac:dyDescent="0.25">
      <c r="B106" s="62" t="s">
        <v>88</v>
      </c>
      <c r="C106" s="62" t="s">
        <v>158</v>
      </c>
      <c r="D106" s="62" t="s">
        <v>159</v>
      </c>
    </row>
    <row r="107" spans="2:4" x14ac:dyDescent="0.25">
      <c r="B107" s="62" t="s">
        <v>91</v>
      </c>
      <c r="C107" s="62" t="s">
        <v>147</v>
      </c>
      <c r="D107" s="62" t="s">
        <v>160</v>
      </c>
    </row>
    <row r="108" spans="2:4" x14ac:dyDescent="0.25">
      <c r="B108" s="62" t="s">
        <v>93</v>
      </c>
      <c r="C108" s="62" t="s">
        <v>149</v>
      </c>
      <c r="D108" s="62" t="s">
        <v>161</v>
      </c>
    </row>
    <row r="109" spans="2:4" x14ac:dyDescent="0.25">
      <c r="B109" s="62" t="s">
        <v>96</v>
      </c>
      <c r="C109" s="62" t="s">
        <v>150</v>
      </c>
      <c r="D109" s="62" t="s">
        <v>162</v>
      </c>
    </row>
    <row r="110" spans="2:4" x14ac:dyDescent="0.25">
      <c r="B110" s="62" t="s">
        <v>101</v>
      </c>
      <c r="C110" s="62" t="s">
        <v>151</v>
      </c>
      <c r="D110" s="62" t="s">
        <v>163</v>
      </c>
    </row>
    <row r="112" spans="2:4" x14ac:dyDescent="0.25">
      <c r="B112" s="76" t="s">
        <v>110</v>
      </c>
      <c r="C112" s="76"/>
      <c r="D112" s="76"/>
    </row>
    <row r="114" spans="1:5" x14ac:dyDescent="0.25">
      <c r="B114" s="60" t="s">
        <v>65</v>
      </c>
      <c r="C114" s="61" t="s">
        <v>66</v>
      </c>
      <c r="D114" s="60" t="s">
        <v>63</v>
      </c>
    </row>
    <row r="115" spans="1:5" x14ac:dyDescent="0.25">
      <c r="B115" s="62" t="s">
        <v>111</v>
      </c>
      <c r="C115" s="62" t="s">
        <v>112</v>
      </c>
      <c r="D115" s="62" t="s">
        <v>113</v>
      </c>
    </row>
    <row r="116" spans="1:5" x14ac:dyDescent="0.25">
      <c r="B116" s="62" t="s">
        <v>115</v>
      </c>
      <c r="C116" s="62" t="s">
        <v>116</v>
      </c>
      <c r="D116" s="62" t="s">
        <v>164</v>
      </c>
    </row>
    <row r="119" spans="1:5" ht="18.75" x14ac:dyDescent="0.25">
      <c r="A119" s="75" t="s">
        <v>165</v>
      </c>
      <c r="B119" s="75"/>
      <c r="C119" s="75"/>
      <c r="D119" s="75"/>
      <c r="E119" s="75"/>
    </row>
    <row r="120" spans="1:5" ht="18.75" x14ac:dyDescent="0.25">
      <c r="A120" s="58"/>
      <c r="B120" s="58"/>
      <c r="C120" s="58"/>
      <c r="D120" s="58"/>
      <c r="E120" s="58"/>
    </row>
    <row r="121" spans="1:5" x14ac:dyDescent="0.25">
      <c r="B121" s="76" t="s">
        <v>85</v>
      </c>
      <c r="C121" s="76"/>
      <c r="D121" s="76"/>
    </row>
    <row r="122" spans="1:5" x14ac:dyDescent="0.25">
      <c r="B122" s="57"/>
      <c r="C122" s="57"/>
      <c r="D122" s="57"/>
    </row>
    <row r="123" spans="1:5" x14ac:dyDescent="0.25">
      <c r="B123" s="60" t="s">
        <v>65</v>
      </c>
      <c r="C123" s="61" t="s">
        <v>66</v>
      </c>
      <c r="D123" s="60" t="s">
        <v>63</v>
      </c>
    </row>
    <row r="124" spans="1:5" x14ac:dyDescent="0.25">
      <c r="B124" s="62" t="s">
        <v>67</v>
      </c>
      <c r="C124" s="62" t="s">
        <v>68</v>
      </c>
      <c r="D124" s="62"/>
    </row>
    <row r="125" spans="1:5" x14ac:dyDescent="0.25">
      <c r="B125" s="62" t="s">
        <v>69</v>
      </c>
      <c r="C125" s="62" t="s">
        <v>166</v>
      </c>
      <c r="D125" s="62" t="s">
        <v>70</v>
      </c>
    </row>
    <row r="126" spans="1:5" x14ac:dyDescent="0.25">
      <c r="B126" s="62" t="s">
        <v>72</v>
      </c>
      <c r="C126" s="62" t="s">
        <v>140</v>
      </c>
      <c r="D126" s="62" t="s">
        <v>142</v>
      </c>
    </row>
    <row r="127" spans="1:5" x14ac:dyDescent="0.25">
      <c r="B127" s="62" t="s">
        <v>75</v>
      </c>
      <c r="C127" s="62" t="s">
        <v>141</v>
      </c>
      <c r="D127" s="62" t="s">
        <v>167</v>
      </c>
    </row>
    <row r="128" spans="1:5" x14ac:dyDescent="0.25">
      <c r="B128" s="62" t="s">
        <v>78</v>
      </c>
      <c r="C128" s="62" t="s">
        <v>143</v>
      </c>
      <c r="D128" s="62" t="s">
        <v>168</v>
      </c>
    </row>
    <row r="129" spans="2:4" x14ac:dyDescent="0.25">
      <c r="B129" s="62" t="s">
        <v>81</v>
      </c>
      <c r="C129" s="62" t="s">
        <v>83</v>
      </c>
      <c r="D129" s="62" t="s">
        <v>169</v>
      </c>
    </row>
    <row r="131" spans="2:4" x14ac:dyDescent="0.25">
      <c r="B131" s="76" t="s">
        <v>87</v>
      </c>
      <c r="C131" s="76"/>
      <c r="D131" s="76"/>
    </row>
    <row r="133" spans="2:4" x14ac:dyDescent="0.25">
      <c r="B133" s="60" t="s">
        <v>65</v>
      </c>
      <c r="C133" s="61" t="s">
        <v>66</v>
      </c>
      <c r="D133" s="60" t="s">
        <v>63</v>
      </c>
    </row>
    <row r="134" spans="2:4" x14ac:dyDescent="0.25">
      <c r="B134" s="62" t="s">
        <v>88</v>
      </c>
      <c r="C134" s="62" t="s">
        <v>170</v>
      </c>
      <c r="D134" s="62"/>
    </row>
    <row r="135" spans="2:4" x14ac:dyDescent="0.25">
      <c r="B135" s="62" t="s">
        <v>91</v>
      </c>
      <c r="C135" s="62"/>
      <c r="D135" s="62"/>
    </row>
    <row r="136" spans="2:4" x14ac:dyDescent="0.25">
      <c r="B136" s="62" t="s">
        <v>93</v>
      </c>
      <c r="C136" s="62" t="s">
        <v>34</v>
      </c>
      <c r="D136" s="62"/>
    </row>
    <row r="137" spans="2:4" x14ac:dyDescent="0.25">
      <c r="B137" s="62" t="s">
        <v>96</v>
      </c>
      <c r="C137" s="62"/>
      <c r="D137" s="62"/>
    </row>
    <row r="138" spans="2:4" x14ac:dyDescent="0.25">
      <c r="B138" s="62" t="s">
        <v>101</v>
      </c>
      <c r="C138" s="62"/>
      <c r="D138" s="62"/>
    </row>
    <row r="139" spans="2:4" x14ac:dyDescent="0.25">
      <c r="B139" s="62" t="s">
        <v>102</v>
      </c>
      <c r="C139" s="62"/>
      <c r="D139" s="62"/>
    </row>
  </sheetData>
  <sheetProtection sheet="1" objects="1" scenarios="1"/>
  <mergeCells count="20">
    <mergeCell ref="B131:D131"/>
    <mergeCell ref="B103:D103"/>
    <mergeCell ref="B112:D112"/>
    <mergeCell ref="A119:E119"/>
    <mergeCell ref="B121:D121"/>
    <mergeCell ref="B66:D66"/>
    <mergeCell ref="B76:D76"/>
    <mergeCell ref="B85:D85"/>
    <mergeCell ref="A92:E92"/>
    <mergeCell ref="B94:D94"/>
    <mergeCell ref="A64:E64"/>
    <mergeCell ref="B5:D5"/>
    <mergeCell ref="A3:E3"/>
    <mergeCell ref="A1:E1"/>
    <mergeCell ref="B15:D15"/>
    <mergeCell ref="B27:D27"/>
    <mergeCell ref="A34:E34"/>
    <mergeCell ref="B36:D36"/>
    <mergeCell ref="B45:D45"/>
    <mergeCell ref="B57:D5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C2EE4-CB13-44E9-8AE7-9EC7C77CA019}">
  <sheetPr codeName="Sheet9"/>
  <dimension ref="A1:A22"/>
  <sheetViews>
    <sheetView workbookViewId="0">
      <selection activeCell="A23" sqref="A23"/>
    </sheetView>
  </sheetViews>
  <sheetFormatPr defaultRowHeight="15" x14ac:dyDescent="0.25"/>
  <cols>
    <col min="1" max="1" width="187.42578125" customWidth="1"/>
  </cols>
  <sheetData>
    <row r="1" spans="1:1" x14ac:dyDescent="0.25">
      <c r="A1" t="s">
        <v>19</v>
      </c>
    </row>
    <row r="4" spans="1:1" x14ac:dyDescent="0.25">
      <c r="A4" t="s">
        <v>18</v>
      </c>
    </row>
    <row r="7" spans="1:1" x14ac:dyDescent="0.25">
      <c r="A7" t="s">
        <v>22</v>
      </c>
    </row>
    <row r="10" spans="1:1" x14ac:dyDescent="0.25">
      <c r="A10" t="s">
        <v>49</v>
      </c>
    </row>
    <row r="12" spans="1:1" x14ac:dyDescent="0.25">
      <c r="A12" t="s">
        <v>50</v>
      </c>
    </row>
    <row r="13" spans="1:1" x14ac:dyDescent="0.25">
      <c r="A13" t="s">
        <v>48</v>
      </c>
    </row>
    <row r="18" spans="1:1" x14ac:dyDescent="0.25">
      <c r="A18" t="s">
        <v>54</v>
      </c>
    </row>
    <row r="20" spans="1:1" x14ac:dyDescent="0.25">
      <c r="A20" t="s">
        <v>57</v>
      </c>
    </row>
    <row r="22" spans="1:1" x14ac:dyDescent="0.25">
      <c r="A22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Read</vt:lpstr>
      <vt:lpstr>Dashboard</vt:lpstr>
      <vt:lpstr>Raw Data</vt:lpstr>
      <vt:lpstr>PickerMonthlyReport</vt:lpstr>
      <vt:lpstr>Storekeeper Monthly Report </vt:lpstr>
      <vt:lpstr>Tour Analysis</vt:lpstr>
      <vt:lpstr>Daily Analysis</vt:lpstr>
      <vt:lpstr>Article Analysis</vt:lpstr>
      <vt:lpstr>Sheet1</vt:lpstr>
      <vt:lpstr>Sheet2</vt:lpstr>
      <vt:lpstr>Tourcharty7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logisticscoordinator 2030</dc:creator>
  <cp:lastModifiedBy>logisticscoordinator 2030</cp:lastModifiedBy>
  <cp:lastPrinted>2026-08-17T00:10:35Z</cp:lastPrinted>
  <dcterms:created xsi:type="dcterms:W3CDTF">2026-07-23T23:01:34Z</dcterms:created>
  <dcterms:modified xsi:type="dcterms:W3CDTF">2026-08-27T00:42:50Z</dcterms:modified>
</cp:coreProperties>
</file>